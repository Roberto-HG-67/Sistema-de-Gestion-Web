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Desktop\Pagina Web\Excel\"/>
    </mc:Choice>
  </mc:AlternateContent>
  <xr:revisionPtr revIDLastSave="0" documentId="13_ncr:1_{5901436C-BD21-4D2C-8D62-144C25DD56F8}" xr6:coauthVersionLast="47" xr6:coauthVersionMax="47" xr10:uidLastSave="{00000000-0000-0000-0000-000000000000}"/>
  <bookViews>
    <workbookView xWindow="-120" yWindow="-120" windowWidth="29040" windowHeight="15720" activeTab="2" xr2:uid="{28C34AC7-BE30-43BB-88D5-1242C6859ED3}"/>
  </bookViews>
  <sheets>
    <sheet name="2025-Mensual" sheetId="6" r:id="rId1"/>
    <sheet name="2026-Mensual" sheetId="7" r:id="rId2"/>
    <sheet name="2026-Semanal" sheetId="5" r:id="rId3"/>
  </sheets>
  <externalReferences>
    <externalReference r:id="rId4"/>
  </externalReferences>
  <definedNames>
    <definedName name="_xlnm._FilterDatabase" localSheetId="1" hidden="1">'2026-Mensual'!$A$1:$AX$232</definedName>
    <definedName name="_xlnm._FilterDatabase" localSheetId="2" hidden="1">'2026-Semanal'!$A$2:$B$232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O4" i="5" l="1"/>
  <c r="DP4" i="5" s="1"/>
  <c r="DO5" i="5"/>
  <c r="DP5" i="5" s="1"/>
  <c r="DO6" i="5"/>
  <c r="DP6" i="5" s="1"/>
  <c r="DO7" i="5"/>
  <c r="DP7" i="5" s="1"/>
  <c r="DO8" i="5"/>
  <c r="DP8" i="5" s="1"/>
  <c r="DO9" i="5"/>
  <c r="DP9" i="5" s="1"/>
  <c r="DO10" i="5"/>
  <c r="DP10" i="5" s="1"/>
  <c r="DO11" i="5"/>
  <c r="DP11" i="5" s="1"/>
  <c r="DO12" i="5"/>
  <c r="DP12" i="5"/>
  <c r="DR12" i="5" s="1"/>
  <c r="DQ12" i="5"/>
  <c r="DO13" i="5"/>
  <c r="DP13" i="5" s="1"/>
  <c r="DO14" i="5"/>
  <c r="DP14" i="5" s="1"/>
  <c r="DO15" i="5"/>
  <c r="DP15" i="5" s="1"/>
  <c r="DO16" i="5"/>
  <c r="DP16" i="5" s="1"/>
  <c r="DO17" i="5"/>
  <c r="DP17" i="5" s="1"/>
  <c r="DO18" i="5"/>
  <c r="DP18" i="5" s="1"/>
  <c r="DO19" i="5"/>
  <c r="DP19" i="5" s="1"/>
  <c r="DO20" i="5"/>
  <c r="DP20" i="5" s="1"/>
  <c r="DO21" i="5"/>
  <c r="DP21" i="5"/>
  <c r="DR21" i="5" s="1"/>
  <c r="DQ21" i="5"/>
  <c r="DO22" i="5"/>
  <c r="DP22" i="5" s="1"/>
  <c r="DO23" i="5"/>
  <c r="DP23" i="5" s="1"/>
  <c r="DO24" i="5"/>
  <c r="DP24" i="5" s="1"/>
  <c r="DO25" i="5"/>
  <c r="DP25" i="5" s="1"/>
  <c r="DO26" i="5"/>
  <c r="DP26" i="5" s="1"/>
  <c r="DO27" i="5"/>
  <c r="DP27" i="5" s="1"/>
  <c r="DO28" i="5"/>
  <c r="DP28" i="5" s="1"/>
  <c r="DO29" i="5"/>
  <c r="DP29" i="5" s="1"/>
  <c r="DO30" i="5"/>
  <c r="DP30" i="5"/>
  <c r="DR30" i="5" s="1"/>
  <c r="DQ30" i="5"/>
  <c r="DO31" i="5"/>
  <c r="DP31" i="5" s="1"/>
  <c r="DO32" i="5"/>
  <c r="DP32" i="5" s="1"/>
  <c r="DO33" i="5"/>
  <c r="DP33" i="5" s="1"/>
  <c r="DO34" i="5"/>
  <c r="DP34" i="5" s="1"/>
  <c r="DO35" i="5"/>
  <c r="DP35" i="5" s="1"/>
  <c r="DO36" i="5"/>
  <c r="DP36" i="5" s="1"/>
  <c r="DO37" i="5"/>
  <c r="DP37" i="5" s="1"/>
  <c r="DO38" i="5"/>
  <c r="DP38" i="5" s="1"/>
  <c r="DO39" i="5"/>
  <c r="DP39" i="5"/>
  <c r="DR39" i="5" s="1"/>
  <c r="DQ39" i="5"/>
  <c r="DO40" i="5"/>
  <c r="DP40" i="5" s="1"/>
  <c r="DO41" i="5"/>
  <c r="DP41" i="5" s="1"/>
  <c r="DO42" i="5"/>
  <c r="DP42" i="5" s="1"/>
  <c r="DO43" i="5"/>
  <c r="DP43" i="5" s="1"/>
  <c r="DO44" i="5"/>
  <c r="DP44" i="5" s="1"/>
  <c r="DO45" i="5"/>
  <c r="DP45" i="5" s="1"/>
  <c r="DO46" i="5"/>
  <c r="DP46" i="5" s="1"/>
  <c r="DO47" i="5"/>
  <c r="DP47" i="5" s="1"/>
  <c r="DO48" i="5"/>
  <c r="DP48" i="5"/>
  <c r="DR48" i="5" s="1"/>
  <c r="DQ48" i="5"/>
  <c r="DO49" i="5"/>
  <c r="DP49" i="5" s="1"/>
  <c r="DO50" i="5"/>
  <c r="DP50" i="5" s="1"/>
  <c r="DO51" i="5"/>
  <c r="DP51" i="5" s="1"/>
  <c r="DO52" i="5"/>
  <c r="DP52" i="5" s="1"/>
  <c r="DO53" i="5"/>
  <c r="DP53" i="5" s="1"/>
  <c r="DO54" i="5"/>
  <c r="DP54" i="5" s="1"/>
  <c r="DO55" i="5"/>
  <c r="DP55" i="5" s="1"/>
  <c r="DO56" i="5"/>
  <c r="DP56" i="5" s="1"/>
  <c r="DO57" i="5"/>
  <c r="DP57" i="5"/>
  <c r="DR57" i="5" s="1"/>
  <c r="DQ57" i="5"/>
  <c r="DO58" i="5"/>
  <c r="DP58" i="5" s="1"/>
  <c r="DO59" i="5"/>
  <c r="DP59" i="5" s="1"/>
  <c r="DO60" i="5"/>
  <c r="DP60" i="5" s="1"/>
  <c r="DO61" i="5"/>
  <c r="DP61" i="5" s="1"/>
  <c r="DO62" i="5"/>
  <c r="DP62" i="5" s="1"/>
  <c r="DO63" i="5"/>
  <c r="DP63" i="5" s="1"/>
  <c r="DO64" i="5"/>
  <c r="DP64" i="5" s="1"/>
  <c r="DO65" i="5"/>
  <c r="DP65" i="5" s="1"/>
  <c r="DO66" i="5"/>
  <c r="DP66" i="5"/>
  <c r="DR66" i="5" s="1"/>
  <c r="DQ66" i="5"/>
  <c r="DO67" i="5"/>
  <c r="DP67" i="5" s="1"/>
  <c r="DO68" i="5"/>
  <c r="DP68" i="5" s="1"/>
  <c r="DO69" i="5"/>
  <c r="DP69" i="5" s="1"/>
  <c r="DO70" i="5"/>
  <c r="DP70" i="5" s="1"/>
  <c r="DO71" i="5"/>
  <c r="DP71" i="5" s="1"/>
  <c r="DO72" i="5"/>
  <c r="DP72" i="5" s="1"/>
  <c r="DO73" i="5"/>
  <c r="DP73" i="5" s="1"/>
  <c r="DO74" i="5"/>
  <c r="DP74" i="5" s="1"/>
  <c r="DO75" i="5"/>
  <c r="DP75" i="5"/>
  <c r="DR75" i="5" s="1"/>
  <c r="DQ75" i="5"/>
  <c r="DO76" i="5"/>
  <c r="DP76" i="5" s="1"/>
  <c r="DO77" i="5"/>
  <c r="DP77" i="5" s="1"/>
  <c r="DO78" i="5"/>
  <c r="DP78" i="5" s="1"/>
  <c r="DO79" i="5"/>
  <c r="DP79" i="5" s="1"/>
  <c r="DO80" i="5"/>
  <c r="DP80" i="5" s="1"/>
  <c r="DO81" i="5"/>
  <c r="DP81" i="5" s="1"/>
  <c r="DO82" i="5"/>
  <c r="DP82" i="5" s="1"/>
  <c r="DO83" i="5"/>
  <c r="DP83" i="5" s="1"/>
  <c r="DO84" i="5"/>
  <c r="DP84" i="5"/>
  <c r="DR84" i="5" s="1"/>
  <c r="DQ84" i="5"/>
  <c r="DO85" i="5"/>
  <c r="DP85" i="5" s="1"/>
  <c r="DO86" i="5"/>
  <c r="DP86" i="5" s="1"/>
  <c r="DO87" i="5"/>
  <c r="DP87" i="5" s="1"/>
  <c r="DO88" i="5"/>
  <c r="DP88" i="5" s="1"/>
  <c r="DO89" i="5"/>
  <c r="DP89" i="5" s="1"/>
  <c r="DO90" i="5"/>
  <c r="DP90" i="5" s="1"/>
  <c r="DO91" i="5"/>
  <c r="DP91" i="5" s="1"/>
  <c r="DO92" i="5"/>
  <c r="DP92" i="5" s="1"/>
  <c r="DO93" i="5"/>
  <c r="DP93" i="5"/>
  <c r="DR93" i="5" s="1"/>
  <c r="DQ93" i="5"/>
  <c r="DO94" i="5"/>
  <c r="DP94" i="5" s="1"/>
  <c r="DO95" i="5"/>
  <c r="DP95" i="5" s="1"/>
  <c r="DO96" i="5"/>
  <c r="DP96" i="5" s="1"/>
  <c r="DO97" i="5"/>
  <c r="DP97" i="5" s="1"/>
  <c r="DO98" i="5"/>
  <c r="DP98" i="5" s="1"/>
  <c r="DO99" i="5"/>
  <c r="DP99" i="5" s="1"/>
  <c r="DO100" i="5"/>
  <c r="DP100" i="5" s="1"/>
  <c r="DO101" i="5"/>
  <c r="DP101" i="5" s="1"/>
  <c r="DO102" i="5"/>
  <c r="DP102" i="5"/>
  <c r="DR102" i="5" s="1"/>
  <c r="DQ102" i="5"/>
  <c r="DO103" i="5"/>
  <c r="DP103" i="5" s="1"/>
  <c r="DO104" i="5"/>
  <c r="DP104" i="5" s="1"/>
  <c r="DO105" i="5"/>
  <c r="DP105" i="5" s="1"/>
  <c r="DO106" i="5"/>
  <c r="DP106" i="5" s="1"/>
  <c r="DO107" i="5"/>
  <c r="DP107" i="5" s="1"/>
  <c r="DO108" i="5"/>
  <c r="DP108" i="5" s="1"/>
  <c r="DO109" i="5"/>
  <c r="DP109" i="5" s="1"/>
  <c r="DO110" i="5"/>
  <c r="DP110" i="5" s="1"/>
  <c r="DO111" i="5"/>
  <c r="DP111" i="5"/>
  <c r="DR111" i="5" s="1"/>
  <c r="DQ111" i="5"/>
  <c r="DO112" i="5"/>
  <c r="DP112" i="5" s="1"/>
  <c r="DO113" i="5"/>
  <c r="DP113" i="5" s="1"/>
  <c r="DO114" i="5"/>
  <c r="DP114" i="5" s="1"/>
  <c r="DO115" i="5"/>
  <c r="DP115" i="5" s="1"/>
  <c r="DO116" i="5"/>
  <c r="DP116" i="5" s="1"/>
  <c r="DO117" i="5"/>
  <c r="DP117" i="5" s="1"/>
  <c r="DO118" i="5"/>
  <c r="DP118" i="5" s="1"/>
  <c r="DO119" i="5"/>
  <c r="DP119" i="5" s="1"/>
  <c r="DO120" i="5"/>
  <c r="DP120" i="5"/>
  <c r="DR120" i="5" s="1"/>
  <c r="DQ120" i="5"/>
  <c r="DO121" i="5"/>
  <c r="DP121" i="5" s="1"/>
  <c r="DO122" i="5"/>
  <c r="DP122" i="5" s="1"/>
  <c r="DO123" i="5"/>
  <c r="DP123" i="5" s="1"/>
  <c r="DO124" i="5"/>
  <c r="DP124" i="5" s="1"/>
  <c r="DO125" i="5"/>
  <c r="DP125" i="5" s="1"/>
  <c r="DO126" i="5"/>
  <c r="DP126" i="5" s="1"/>
  <c r="DO127" i="5"/>
  <c r="DP127" i="5" s="1"/>
  <c r="DO128" i="5"/>
  <c r="DP128" i="5" s="1"/>
  <c r="DO129" i="5"/>
  <c r="DP129" i="5"/>
  <c r="DR129" i="5" s="1"/>
  <c r="DQ129" i="5"/>
  <c r="DO130" i="5"/>
  <c r="DP130" i="5" s="1"/>
  <c r="DO131" i="5"/>
  <c r="DP131" i="5" s="1"/>
  <c r="DO132" i="5"/>
  <c r="DP132" i="5" s="1"/>
  <c r="DO133" i="5"/>
  <c r="DP133" i="5" s="1"/>
  <c r="DO134" i="5"/>
  <c r="DP134" i="5" s="1"/>
  <c r="DO135" i="5"/>
  <c r="DP135" i="5" s="1"/>
  <c r="DO136" i="5"/>
  <c r="DP136" i="5" s="1"/>
  <c r="DO137" i="5"/>
  <c r="DP137" i="5" s="1"/>
  <c r="DO138" i="5"/>
  <c r="DP138" i="5"/>
  <c r="DR138" i="5" s="1"/>
  <c r="DQ138" i="5"/>
  <c r="DO139" i="5"/>
  <c r="DP139" i="5" s="1"/>
  <c r="DO140" i="5"/>
  <c r="DP140" i="5" s="1"/>
  <c r="DO141" i="5"/>
  <c r="DP141" i="5" s="1"/>
  <c r="DO142" i="5"/>
  <c r="DP142" i="5" s="1"/>
  <c r="DO143" i="5"/>
  <c r="DP143" i="5" s="1"/>
  <c r="DO144" i="5"/>
  <c r="DP144" i="5" s="1"/>
  <c r="DO145" i="5"/>
  <c r="DP145" i="5" s="1"/>
  <c r="DO146" i="5"/>
  <c r="DP146" i="5" s="1"/>
  <c r="DO147" i="5"/>
  <c r="DP147" i="5"/>
  <c r="DR147" i="5" s="1"/>
  <c r="DQ147" i="5"/>
  <c r="DO148" i="5"/>
  <c r="DP148" i="5" s="1"/>
  <c r="DO149" i="5"/>
  <c r="DP149" i="5" s="1"/>
  <c r="DO150" i="5"/>
  <c r="DP150" i="5" s="1"/>
  <c r="DO151" i="5"/>
  <c r="DP151" i="5" s="1"/>
  <c r="DO152" i="5"/>
  <c r="DP152" i="5" s="1"/>
  <c r="DO153" i="5"/>
  <c r="DP153" i="5" s="1"/>
  <c r="DO154" i="5"/>
  <c r="DP154" i="5" s="1"/>
  <c r="DO155" i="5"/>
  <c r="DP155" i="5" s="1"/>
  <c r="DO156" i="5"/>
  <c r="DP156" i="5"/>
  <c r="DR156" i="5" s="1"/>
  <c r="DQ156" i="5"/>
  <c r="DO157" i="5"/>
  <c r="DP157" i="5" s="1"/>
  <c r="DO158" i="5"/>
  <c r="DP158" i="5" s="1"/>
  <c r="DO159" i="5"/>
  <c r="DP159" i="5" s="1"/>
  <c r="DO160" i="5"/>
  <c r="DP160" i="5" s="1"/>
  <c r="DO161" i="5"/>
  <c r="DP161" i="5" s="1"/>
  <c r="DO162" i="5"/>
  <c r="DP162" i="5" s="1"/>
  <c r="DO163" i="5"/>
  <c r="DP163" i="5" s="1"/>
  <c r="DO164" i="5"/>
  <c r="DP164" i="5" s="1"/>
  <c r="DO165" i="5"/>
  <c r="DP165" i="5"/>
  <c r="DR165" i="5" s="1"/>
  <c r="DQ165" i="5"/>
  <c r="DO166" i="5"/>
  <c r="DP166" i="5" s="1"/>
  <c r="DO167" i="5"/>
  <c r="DP167" i="5" s="1"/>
  <c r="DO168" i="5"/>
  <c r="DP168" i="5" s="1"/>
  <c r="DO169" i="5"/>
  <c r="DP169" i="5" s="1"/>
  <c r="DO170" i="5"/>
  <c r="DP170" i="5" s="1"/>
  <c r="DO171" i="5"/>
  <c r="DP171" i="5" s="1"/>
  <c r="DO172" i="5"/>
  <c r="DP172" i="5" s="1"/>
  <c r="DO173" i="5"/>
  <c r="DP173" i="5" s="1"/>
  <c r="DO174" i="5"/>
  <c r="DP174" i="5"/>
  <c r="DR174" i="5" s="1"/>
  <c r="DQ174" i="5"/>
  <c r="DO175" i="5"/>
  <c r="DP175" i="5" s="1"/>
  <c r="DO176" i="5"/>
  <c r="DP176" i="5" s="1"/>
  <c r="DO177" i="5"/>
  <c r="DP177" i="5" s="1"/>
  <c r="DO178" i="5"/>
  <c r="DP178" i="5" s="1"/>
  <c r="DO179" i="5"/>
  <c r="DP179" i="5" s="1"/>
  <c r="DO180" i="5"/>
  <c r="DP180" i="5" s="1"/>
  <c r="DO181" i="5"/>
  <c r="DP181" i="5" s="1"/>
  <c r="DO182" i="5"/>
  <c r="DP182" i="5" s="1"/>
  <c r="DO183" i="5"/>
  <c r="DP183" i="5"/>
  <c r="DR183" i="5" s="1"/>
  <c r="DQ183" i="5"/>
  <c r="DO184" i="5"/>
  <c r="DP184" i="5" s="1"/>
  <c r="DO185" i="5"/>
  <c r="DP185" i="5" s="1"/>
  <c r="DO186" i="5"/>
  <c r="DP186" i="5" s="1"/>
  <c r="DO187" i="5"/>
  <c r="DP187" i="5" s="1"/>
  <c r="DO188" i="5"/>
  <c r="DP188" i="5" s="1"/>
  <c r="DO189" i="5"/>
  <c r="DP189" i="5" s="1"/>
  <c r="DO190" i="5"/>
  <c r="DP190" i="5" s="1"/>
  <c r="DO191" i="5"/>
  <c r="DP191" i="5" s="1"/>
  <c r="DO192" i="5"/>
  <c r="DP192" i="5"/>
  <c r="DR192" i="5" s="1"/>
  <c r="DQ192" i="5"/>
  <c r="DO193" i="5"/>
  <c r="DP193" i="5" s="1"/>
  <c r="DO194" i="5"/>
  <c r="DP194" i="5" s="1"/>
  <c r="DO195" i="5"/>
  <c r="DP195" i="5" s="1"/>
  <c r="DO196" i="5"/>
  <c r="DP196" i="5" s="1"/>
  <c r="DO197" i="5"/>
  <c r="DP197" i="5" s="1"/>
  <c r="DO198" i="5"/>
  <c r="DP198" i="5" s="1"/>
  <c r="DO199" i="5"/>
  <c r="DP199" i="5" s="1"/>
  <c r="DO200" i="5"/>
  <c r="DP200" i="5" s="1"/>
  <c r="DO201" i="5"/>
  <c r="DP201" i="5"/>
  <c r="DR201" i="5" s="1"/>
  <c r="DQ201" i="5"/>
  <c r="DO202" i="5"/>
  <c r="DP202" i="5" s="1"/>
  <c r="DO203" i="5"/>
  <c r="DP203" i="5" s="1"/>
  <c r="DO204" i="5"/>
  <c r="DP204" i="5" s="1"/>
  <c r="DO205" i="5"/>
  <c r="DP205" i="5" s="1"/>
  <c r="DO206" i="5"/>
  <c r="DP206" i="5" s="1"/>
  <c r="DO207" i="5"/>
  <c r="DP207" i="5" s="1"/>
  <c r="DO208" i="5"/>
  <c r="DP208" i="5" s="1"/>
  <c r="DO209" i="5"/>
  <c r="DP209" i="5" s="1"/>
  <c r="DO210" i="5"/>
  <c r="DP210" i="5"/>
  <c r="DR210" i="5" s="1"/>
  <c r="DQ210" i="5"/>
  <c r="DO211" i="5"/>
  <c r="DP211" i="5" s="1"/>
  <c r="DO212" i="5"/>
  <c r="DP212" i="5" s="1"/>
  <c r="DO213" i="5"/>
  <c r="DP213" i="5" s="1"/>
  <c r="DO214" i="5"/>
  <c r="DP214" i="5" s="1"/>
  <c r="DO215" i="5"/>
  <c r="DP215" i="5" s="1"/>
  <c r="DO216" i="5"/>
  <c r="DP216" i="5" s="1"/>
  <c r="DO217" i="5"/>
  <c r="DP217" i="5" s="1"/>
  <c r="DO218" i="5"/>
  <c r="DP218" i="5" s="1"/>
  <c r="DO219" i="5"/>
  <c r="DP219" i="5"/>
  <c r="DR219" i="5" s="1"/>
  <c r="DQ219" i="5"/>
  <c r="DO220" i="5"/>
  <c r="DP220" i="5" s="1"/>
  <c r="DO221" i="5"/>
  <c r="DP221" i="5" s="1"/>
  <c r="DO222" i="5"/>
  <c r="DP222" i="5" s="1"/>
  <c r="DO223" i="5"/>
  <c r="DP223" i="5" s="1"/>
  <c r="DO224" i="5"/>
  <c r="DP224" i="5" s="1"/>
  <c r="DO225" i="5"/>
  <c r="DP225" i="5" s="1"/>
  <c r="DO226" i="5"/>
  <c r="DP226" i="5" s="1"/>
  <c r="DO227" i="5"/>
  <c r="DP227" i="5" s="1"/>
  <c r="DO228" i="5"/>
  <c r="DP228" i="5"/>
  <c r="DR228" i="5" s="1"/>
  <c r="DQ228" i="5"/>
  <c r="DO229" i="5"/>
  <c r="DP229" i="5" s="1"/>
  <c r="DO230" i="5"/>
  <c r="DP230" i="5" s="1"/>
  <c r="DO231" i="5"/>
  <c r="DP231" i="5" s="1"/>
  <c r="DO232" i="5"/>
  <c r="DP232" i="5" s="1"/>
  <c r="DO3" i="5"/>
  <c r="DP3" i="5" s="1"/>
  <c r="DK4" i="5"/>
  <c r="DL4" i="5" s="1"/>
  <c r="DK5" i="5"/>
  <c r="DL5" i="5" s="1"/>
  <c r="DK6" i="5"/>
  <c r="DL6" i="5" s="1"/>
  <c r="DK7" i="5"/>
  <c r="DL7" i="5" s="1"/>
  <c r="DK8" i="5"/>
  <c r="DL8" i="5" s="1"/>
  <c r="DK9" i="5"/>
  <c r="DL9" i="5" s="1"/>
  <c r="DK10" i="5"/>
  <c r="DL10" i="5" s="1"/>
  <c r="DK11" i="5"/>
  <c r="DL11" i="5" s="1"/>
  <c r="DK12" i="5"/>
  <c r="DL12" i="5"/>
  <c r="DN12" i="5" s="1"/>
  <c r="DM12" i="5"/>
  <c r="DK13" i="5"/>
  <c r="DL13" i="5" s="1"/>
  <c r="DK14" i="5"/>
  <c r="DL14" i="5" s="1"/>
  <c r="DK15" i="5"/>
  <c r="DL15" i="5" s="1"/>
  <c r="DK16" i="5"/>
  <c r="DL16" i="5" s="1"/>
  <c r="DK17" i="5"/>
  <c r="DL17" i="5" s="1"/>
  <c r="DK18" i="5"/>
  <c r="DL18" i="5" s="1"/>
  <c r="DK19" i="5"/>
  <c r="DL19" i="5" s="1"/>
  <c r="DK20" i="5"/>
  <c r="DL20" i="5" s="1"/>
  <c r="DK21" i="5"/>
  <c r="DL21" i="5"/>
  <c r="DN21" i="5" s="1"/>
  <c r="DM21" i="5"/>
  <c r="DK22" i="5"/>
  <c r="DL22" i="5" s="1"/>
  <c r="DK23" i="5"/>
  <c r="DL23" i="5" s="1"/>
  <c r="DK24" i="5"/>
  <c r="DL24" i="5" s="1"/>
  <c r="DK25" i="5"/>
  <c r="DL25" i="5" s="1"/>
  <c r="DK26" i="5"/>
  <c r="DL26" i="5" s="1"/>
  <c r="DK27" i="5"/>
  <c r="DL27" i="5" s="1"/>
  <c r="DK28" i="5"/>
  <c r="DL28" i="5" s="1"/>
  <c r="DK29" i="5"/>
  <c r="DL29" i="5" s="1"/>
  <c r="DK30" i="5"/>
  <c r="DL30" i="5"/>
  <c r="DN30" i="5" s="1"/>
  <c r="DM30" i="5"/>
  <c r="DK31" i="5"/>
  <c r="DL31" i="5" s="1"/>
  <c r="DK32" i="5"/>
  <c r="DL32" i="5" s="1"/>
  <c r="DK33" i="5"/>
  <c r="DL33" i="5" s="1"/>
  <c r="DK34" i="5"/>
  <c r="DL34" i="5" s="1"/>
  <c r="DK35" i="5"/>
  <c r="DL35" i="5" s="1"/>
  <c r="DK36" i="5"/>
  <c r="DL36" i="5" s="1"/>
  <c r="DK37" i="5"/>
  <c r="DL37" i="5" s="1"/>
  <c r="DK38" i="5"/>
  <c r="DL38" i="5" s="1"/>
  <c r="DK39" i="5"/>
  <c r="DL39" i="5"/>
  <c r="DN39" i="5" s="1"/>
  <c r="DM39" i="5"/>
  <c r="DK40" i="5"/>
  <c r="DL40" i="5" s="1"/>
  <c r="DK41" i="5"/>
  <c r="DL41" i="5" s="1"/>
  <c r="DK42" i="5"/>
  <c r="DL42" i="5" s="1"/>
  <c r="DK43" i="5"/>
  <c r="DL43" i="5" s="1"/>
  <c r="DK44" i="5"/>
  <c r="DL44" i="5" s="1"/>
  <c r="DK45" i="5"/>
  <c r="DL45" i="5" s="1"/>
  <c r="DK46" i="5"/>
  <c r="DL46" i="5" s="1"/>
  <c r="DK47" i="5"/>
  <c r="DL47" i="5" s="1"/>
  <c r="DK48" i="5"/>
  <c r="DL48" i="5"/>
  <c r="DN48" i="5" s="1"/>
  <c r="DM48" i="5"/>
  <c r="DK49" i="5"/>
  <c r="DL49" i="5" s="1"/>
  <c r="DK50" i="5"/>
  <c r="DL50" i="5" s="1"/>
  <c r="DK51" i="5"/>
  <c r="DL51" i="5" s="1"/>
  <c r="DK52" i="5"/>
  <c r="DL52" i="5" s="1"/>
  <c r="DK53" i="5"/>
  <c r="DL53" i="5" s="1"/>
  <c r="DK54" i="5"/>
  <c r="DL54" i="5" s="1"/>
  <c r="DK55" i="5"/>
  <c r="DL55" i="5" s="1"/>
  <c r="DK56" i="5"/>
  <c r="DL56" i="5" s="1"/>
  <c r="DK57" i="5"/>
  <c r="DL57" i="5"/>
  <c r="DN57" i="5" s="1"/>
  <c r="DM57" i="5"/>
  <c r="DK58" i="5"/>
  <c r="DL58" i="5" s="1"/>
  <c r="DK59" i="5"/>
  <c r="DL59" i="5" s="1"/>
  <c r="DK60" i="5"/>
  <c r="DL60" i="5" s="1"/>
  <c r="DK61" i="5"/>
  <c r="DL61" i="5" s="1"/>
  <c r="DK62" i="5"/>
  <c r="DL62" i="5" s="1"/>
  <c r="DK63" i="5"/>
  <c r="DL63" i="5" s="1"/>
  <c r="DK64" i="5"/>
  <c r="DL64" i="5" s="1"/>
  <c r="DK65" i="5"/>
  <c r="DL65" i="5" s="1"/>
  <c r="DK66" i="5"/>
  <c r="DL66" i="5"/>
  <c r="DN66" i="5" s="1"/>
  <c r="DM66" i="5"/>
  <c r="DK67" i="5"/>
  <c r="DL67" i="5" s="1"/>
  <c r="DK68" i="5"/>
  <c r="DL68" i="5" s="1"/>
  <c r="DK69" i="5"/>
  <c r="DL69" i="5" s="1"/>
  <c r="DK70" i="5"/>
  <c r="DL70" i="5" s="1"/>
  <c r="DK71" i="5"/>
  <c r="DL71" i="5" s="1"/>
  <c r="DK72" i="5"/>
  <c r="DL72" i="5" s="1"/>
  <c r="DK73" i="5"/>
  <c r="DL73" i="5" s="1"/>
  <c r="DK74" i="5"/>
  <c r="DL74" i="5" s="1"/>
  <c r="DK75" i="5"/>
  <c r="DL75" i="5"/>
  <c r="DN75" i="5" s="1"/>
  <c r="DM75" i="5"/>
  <c r="DK76" i="5"/>
  <c r="DL76" i="5" s="1"/>
  <c r="DK77" i="5"/>
  <c r="DL77" i="5" s="1"/>
  <c r="DK78" i="5"/>
  <c r="DL78" i="5" s="1"/>
  <c r="DK79" i="5"/>
  <c r="DL79" i="5" s="1"/>
  <c r="DK80" i="5"/>
  <c r="DL80" i="5" s="1"/>
  <c r="DK81" i="5"/>
  <c r="DL81" i="5" s="1"/>
  <c r="DK82" i="5"/>
  <c r="DL82" i="5" s="1"/>
  <c r="DK83" i="5"/>
  <c r="DL83" i="5" s="1"/>
  <c r="DK84" i="5"/>
  <c r="DL84" i="5"/>
  <c r="DN84" i="5" s="1"/>
  <c r="DM84" i="5"/>
  <c r="DK85" i="5"/>
  <c r="DL85" i="5" s="1"/>
  <c r="DK86" i="5"/>
  <c r="DL86" i="5" s="1"/>
  <c r="DK87" i="5"/>
  <c r="DL87" i="5" s="1"/>
  <c r="DK88" i="5"/>
  <c r="DL88" i="5" s="1"/>
  <c r="DK89" i="5"/>
  <c r="DL89" i="5" s="1"/>
  <c r="DK90" i="5"/>
  <c r="DL90" i="5" s="1"/>
  <c r="DK91" i="5"/>
  <c r="DL91" i="5" s="1"/>
  <c r="DK92" i="5"/>
  <c r="DL92" i="5" s="1"/>
  <c r="DK93" i="5"/>
  <c r="DL93" i="5"/>
  <c r="DN93" i="5" s="1"/>
  <c r="DM93" i="5"/>
  <c r="DK94" i="5"/>
  <c r="DL94" i="5" s="1"/>
  <c r="DK95" i="5"/>
  <c r="DL95" i="5" s="1"/>
  <c r="DK96" i="5"/>
  <c r="DL96" i="5" s="1"/>
  <c r="DK97" i="5"/>
  <c r="DL97" i="5" s="1"/>
  <c r="DK98" i="5"/>
  <c r="DL98" i="5" s="1"/>
  <c r="DK99" i="5"/>
  <c r="DL99" i="5" s="1"/>
  <c r="DK100" i="5"/>
  <c r="DL100" i="5" s="1"/>
  <c r="DK101" i="5"/>
  <c r="DL101" i="5" s="1"/>
  <c r="DK102" i="5"/>
  <c r="DL102" i="5"/>
  <c r="DN102" i="5" s="1"/>
  <c r="DM102" i="5"/>
  <c r="DK103" i="5"/>
  <c r="DL103" i="5" s="1"/>
  <c r="DK104" i="5"/>
  <c r="DL104" i="5" s="1"/>
  <c r="DK105" i="5"/>
  <c r="DL105" i="5" s="1"/>
  <c r="DK106" i="5"/>
  <c r="DL106" i="5" s="1"/>
  <c r="DK107" i="5"/>
  <c r="DL107" i="5" s="1"/>
  <c r="DK108" i="5"/>
  <c r="DL108" i="5" s="1"/>
  <c r="DK109" i="5"/>
  <c r="DL109" i="5" s="1"/>
  <c r="DK110" i="5"/>
  <c r="DL110" i="5" s="1"/>
  <c r="DK111" i="5"/>
  <c r="DL111" i="5"/>
  <c r="DN111" i="5" s="1"/>
  <c r="DM111" i="5"/>
  <c r="DK112" i="5"/>
  <c r="DL112" i="5" s="1"/>
  <c r="DK113" i="5"/>
  <c r="DL113" i="5" s="1"/>
  <c r="DK114" i="5"/>
  <c r="DL114" i="5" s="1"/>
  <c r="DK115" i="5"/>
  <c r="DL115" i="5" s="1"/>
  <c r="DK116" i="5"/>
  <c r="DL116" i="5" s="1"/>
  <c r="DK117" i="5"/>
  <c r="DL117" i="5" s="1"/>
  <c r="DK118" i="5"/>
  <c r="DL118" i="5" s="1"/>
  <c r="DK119" i="5"/>
  <c r="DL119" i="5" s="1"/>
  <c r="DK120" i="5"/>
  <c r="DL120" i="5"/>
  <c r="DN120" i="5" s="1"/>
  <c r="DM120" i="5"/>
  <c r="DK121" i="5"/>
  <c r="DL121" i="5" s="1"/>
  <c r="DK122" i="5"/>
  <c r="DL122" i="5" s="1"/>
  <c r="DK123" i="5"/>
  <c r="DL123" i="5" s="1"/>
  <c r="DK124" i="5"/>
  <c r="DL124" i="5" s="1"/>
  <c r="DK125" i="5"/>
  <c r="DL125" i="5" s="1"/>
  <c r="DK126" i="5"/>
  <c r="DL126" i="5" s="1"/>
  <c r="DK127" i="5"/>
  <c r="DL127" i="5" s="1"/>
  <c r="DK128" i="5"/>
  <c r="DL128" i="5" s="1"/>
  <c r="DK129" i="5"/>
  <c r="DL129" i="5"/>
  <c r="DN129" i="5" s="1"/>
  <c r="DM129" i="5"/>
  <c r="DK130" i="5"/>
  <c r="DL130" i="5" s="1"/>
  <c r="DK131" i="5"/>
  <c r="DL131" i="5" s="1"/>
  <c r="DK132" i="5"/>
  <c r="DL132" i="5" s="1"/>
  <c r="DK133" i="5"/>
  <c r="DL133" i="5" s="1"/>
  <c r="DK134" i="5"/>
  <c r="DL134" i="5" s="1"/>
  <c r="DK135" i="5"/>
  <c r="DL135" i="5" s="1"/>
  <c r="DK136" i="5"/>
  <c r="DL136" i="5" s="1"/>
  <c r="DK137" i="5"/>
  <c r="DL137" i="5" s="1"/>
  <c r="DK138" i="5"/>
  <c r="DL138" i="5"/>
  <c r="DN138" i="5" s="1"/>
  <c r="DM138" i="5"/>
  <c r="DK139" i="5"/>
  <c r="DL139" i="5" s="1"/>
  <c r="DK140" i="5"/>
  <c r="DL140" i="5" s="1"/>
  <c r="DK141" i="5"/>
  <c r="DL141" i="5" s="1"/>
  <c r="DK142" i="5"/>
  <c r="DL142" i="5" s="1"/>
  <c r="DK143" i="5"/>
  <c r="DL143" i="5" s="1"/>
  <c r="DK144" i="5"/>
  <c r="DL144" i="5" s="1"/>
  <c r="DK145" i="5"/>
  <c r="DL145" i="5" s="1"/>
  <c r="DK146" i="5"/>
  <c r="DL146" i="5" s="1"/>
  <c r="DK147" i="5"/>
  <c r="DL147" i="5" s="1"/>
  <c r="DK148" i="5"/>
  <c r="DL148" i="5" s="1"/>
  <c r="DK149" i="5"/>
  <c r="DL149" i="5" s="1"/>
  <c r="DK150" i="5"/>
  <c r="DL150" i="5" s="1"/>
  <c r="DK151" i="5"/>
  <c r="DL151" i="5" s="1"/>
  <c r="DK152" i="5"/>
  <c r="DL152" i="5" s="1"/>
  <c r="DK153" i="5"/>
  <c r="DL153" i="5" s="1"/>
  <c r="DK154" i="5"/>
  <c r="DL154" i="5" s="1"/>
  <c r="DK155" i="5"/>
  <c r="DL155" i="5" s="1"/>
  <c r="DK156" i="5"/>
  <c r="DL156" i="5"/>
  <c r="DN156" i="5" s="1"/>
  <c r="DM156" i="5"/>
  <c r="DK157" i="5"/>
  <c r="DL157" i="5" s="1"/>
  <c r="DK158" i="5"/>
  <c r="DL158" i="5" s="1"/>
  <c r="DK159" i="5"/>
  <c r="DL159" i="5" s="1"/>
  <c r="DK160" i="5"/>
  <c r="DL160" i="5" s="1"/>
  <c r="DK161" i="5"/>
  <c r="DL161" i="5" s="1"/>
  <c r="DK162" i="5"/>
  <c r="DL162" i="5" s="1"/>
  <c r="DK163" i="5"/>
  <c r="DL163" i="5" s="1"/>
  <c r="DK164" i="5"/>
  <c r="DL164" i="5" s="1"/>
  <c r="DK165" i="5"/>
  <c r="DL165" i="5" s="1"/>
  <c r="DK166" i="5"/>
  <c r="DL166" i="5" s="1"/>
  <c r="DK167" i="5"/>
  <c r="DL167" i="5" s="1"/>
  <c r="DK168" i="5"/>
  <c r="DL168" i="5" s="1"/>
  <c r="DK169" i="5"/>
  <c r="DL169" i="5" s="1"/>
  <c r="DK170" i="5"/>
  <c r="DL170" i="5" s="1"/>
  <c r="DK171" i="5"/>
  <c r="DL171" i="5" s="1"/>
  <c r="DK172" i="5"/>
  <c r="DL172" i="5" s="1"/>
  <c r="DK173" i="5"/>
  <c r="DL173" i="5" s="1"/>
  <c r="DK174" i="5"/>
  <c r="DL174" i="5"/>
  <c r="DN174" i="5" s="1"/>
  <c r="DM174" i="5"/>
  <c r="DK175" i="5"/>
  <c r="DL175" i="5" s="1"/>
  <c r="DK176" i="5"/>
  <c r="DL176" i="5" s="1"/>
  <c r="DK177" i="5"/>
  <c r="DL177" i="5" s="1"/>
  <c r="DK178" i="5"/>
  <c r="DL178" i="5" s="1"/>
  <c r="DK179" i="5"/>
  <c r="DL179" i="5" s="1"/>
  <c r="DK180" i="5"/>
  <c r="DL180" i="5" s="1"/>
  <c r="DK181" i="5"/>
  <c r="DL181" i="5" s="1"/>
  <c r="DK182" i="5"/>
  <c r="DL182" i="5" s="1"/>
  <c r="DK183" i="5"/>
  <c r="DL183" i="5" s="1"/>
  <c r="DK184" i="5"/>
  <c r="DL184" i="5" s="1"/>
  <c r="DK185" i="5"/>
  <c r="DL185" i="5" s="1"/>
  <c r="DK186" i="5"/>
  <c r="DL186" i="5" s="1"/>
  <c r="DK187" i="5"/>
  <c r="DL187" i="5" s="1"/>
  <c r="DK188" i="5"/>
  <c r="DL188" i="5" s="1"/>
  <c r="DK189" i="5"/>
  <c r="DL189" i="5" s="1"/>
  <c r="DK190" i="5"/>
  <c r="DL190" i="5" s="1"/>
  <c r="DK191" i="5"/>
  <c r="DL191" i="5" s="1"/>
  <c r="DK192" i="5"/>
  <c r="DL192" i="5"/>
  <c r="DN192" i="5" s="1"/>
  <c r="DM192" i="5"/>
  <c r="DK193" i="5"/>
  <c r="DL193" i="5" s="1"/>
  <c r="DK194" i="5"/>
  <c r="DL194" i="5" s="1"/>
  <c r="DK195" i="5"/>
  <c r="DL195" i="5" s="1"/>
  <c r="DK196" i="5"/>
  <c r="DL196" i="5" s="1"/>
  <c r="DK197" i="5"/>
  <c r="DL197" i="5" s="1"/>
  <c r="DK198" i="5"/>
  <c r="DL198" i="5" s="1"/>
  <c r="DK199" i="5"/>
  <c r="DL199" i="5" s="1"/>
  <c r="DK200" i="5"/>
  <c r="DL200" i="5" s="1"/>
  <c r="DK201" i="5"/>
  <c r="DL201" i="5"/>
  <c r="DN201" i="5" s="1"/>
  <c r="DM201" i="5"/>
  <c r="DK202" i="5"/>
  <c r="DL202" i="5" s="1"/>
  <c r="DK203" i="5"/>
  <c r="DL203" i="5" s="1"/>
  <c r="DK204" i="5"/>
  <c r="DL204" i="5" s="1"/>
  <c r="DK205" i="5"/>
  <c r="DL205" i="5" s="1"/>
  <c r="DK206" i="5"/>
  <c r="DL206" i="5" s="1"/>
  <c r="DK207" i="5"/>
  <c r="DL207" i="5" s="1"/>
  <c r="DK208" i="5"/>
  <c r="DL208" i="5" s="1"/>
  <c r="DK209" i="5"/>
  <c r="DL209" i="5" s="1"/>
  <c r="DK210" i="5"/>
  <c r="DL210" i="5"/>
  <c r="DN210" i="5" s="1"/>
  <c r="DM210" i="5"/>
  <c r="DK211" i="5"/>
  <c r="DL211" i="5" s="1"/>
  <c r="DK212" i="5"/>
  <c r="DL212" i="5" s="1"/>
  <c r="DK213" i="5"/>
  <c r="DL213" i="5" s="1"/>
  <c r="DK214" i="5"/>
  <c r="DL214" i="5" s="1"/>
  <c r="DK215" i="5"/>
  <c r="DL215" i="5" s="1"/>
  <c r="DK216" i="5"/>
  <c r="DL216" i="5" s="1"/>
  <c r="DK217" i="5"/>
  <c r="DL217" i="5" s="1"/>
  <c r="DK218" i="5"/>
  <c r="DL218" i="5" s="1"/>
  <c r="DK219" i="5"/>
  <c r="DL219" i="5" s="1"/>
  <c r="DK220" i="5"/>
  <c r="DL220" i="5" s="1"/>
  <c r="DK221" i="5"/>
  <c r="DL221" i="5" s="1"/>
  <c r="DK222" i="5"/>
  <c r="DL222" i="5" s="1"/>
  <c r="DK223" i="5"/>
  <c r="DL223" i="5" s="1"/>
  <c r="DK224" i="5"/>
  <c r="DL224" i="5" s="1"/>
  <c r="DK225" i="5"/>
  <c r="DL225" i="5" s="1"/>
  <c r="DK226" i="5"/>
  <c r="DL226" i="5" s="1"/>
  <c r="DK227" i="5"/>
  <c r="DL227" i="5" s="1"/>
  <c r="DK228" i="5"/>
  <c r="DL228" i="5" s="1"/>
  <c r="DK229" i="5"/>
  <c r="DL229" i="5" s="1"/>
  <c r="DK230" i="5"/>
  <c r="DL230" i="5" s="1"/>
  <c r="DK231" i="5"/>
  <c r="DL231" i="5" s="1"/>
  <c r="DK232" i="5"/>
  <c r="DL232" i="5" s="1"/>
  <c r="DK3" i="5"/>
  <c r="DL3" i="5" s="1"/>
  <c r="DG4" i="5"/>
  <c r="DH4" i="5" s="1"/>
  <c r="DG5" i="5"/>
  <c r="DH5" i="5" s="1"/>
  <c r="DG6" i="5"/>
  <c r="DH6" i="5" s="1"/>
  <c r="DG7" i="5"/>
  <c r="DH7" i="5"/>
  <c r="DI7" i="5" s="1"/>
  <c r="DJ7" i="5"/>
  <c r="DG8" i="5"/>
  <c r="DH8" i="5"/>
  <c r="DI8" i="5" s="1"/>
  <c r="DG9" i="5"/>
  <c r="DH9" i="5" s="1"/>
  <c r="DG10" i="5"/>
  <c r="DH10" i="5" s="1"/>
  <c r="DG11" i="5"/>
  <c r="DH11" i="5" s="1"/>
  <c r="DG12" i="5"/>
  <c r="DH12" i="5"/>
  <c r="DI12" i="5" s="1"/>
  <c r="DJ12" i="5"/>
  <c r="DG13" i="5"/>
  <c r="DH13" i="5" s="1"/>
  <c r="DG14" i="5"/>
  <c r="DH14" i="5" s="1"/>
  <c r="DG15" i="5"/>
  <c r="DH15" i="5" s="1"/>
  <c r="DG16" i="5"/>
  <c r="DH16" i="5"/>
  <c r="DI16" i="5" s="1"/>
  <c r="DJ16" i="5"/>
  <c r="DG17" i="5"/>
  <c r="DH17" i="5"/>
  <c r="DI17" i="5" s="1"/>
  <c r="DG18" i="5"/>
  <c r="DH18" i="5" s="1"/>
  <c r="DG19" i="5"/>
  <c r="DH19" i="5" s="1"/>
  <c r="DG20" i="5"/>
  <c r="DH20" i="5" s="1"/>
  <c r="DG21" i="5"/>
  <c r="DH21" i="5"/>
  <c r="DI21" i="5" s="1"/>
  <c r="DJ21" i="5"/>
  <c r="DG22" i="5"/>
  <c r="DH22" i="5" s="1"/>
  <c r="DG23" i="5"/>
  <c r="DH23" i="5" s="1"/>
  <c r="DG24" i="5"/>
  <c r="DH24" i="5" s="1"/>
  <c r="DG25" i="5"/>
  <c r="DH25" i="5"/>
  <c r="DI25" i="5" s="1"/>
  <c r="DJ25" i="5"/>
  <c r="DG26" i="5"/>
  <c r="DH26" i="5"/>
  <c r="DI26" i="5" s="1"/>
  <c r="DG27" i="5"/>
  <c r="DH27" i="5" s="1"/>
  <c r="DG28" i="5"/>
  <c r="DH28" i="5" s="1"/>
  <c r="DG29" i="5"/>
  <c r="DH29" i="5" s="1"/>
  <c r="DG30" i="5"/>
  <c r="DH30" i="5"/>
  <c r="DI30" i="5" s="1"/>
  <c r="DJ30" i="5"/>
  <c r="DG31" i="5"/>
  <c r="DH31" i="5" s="1"/>
  <c r="DG32" i="5"/>
  <c r="DH32" i="5" s="1"/>
  <c r="DG33" i="5"/>
  <c r="DH33" i="5" s="1"/>
  <c r="DG34" i="5"/>
  <c r="DH34" i="5"/>
  <c r="DI34" i="5" s="1"/>
  <c r="DJ34" i="5"/>
  <c r="DG35" i="5"/>
  <c r="DH35" i="5"/>
  <c r="DI35" i="5" s="1"/>
  <c r="DG36" i="5"/>
  <c r="DH36" i="5" s="1"/>
  <c r="DG37" i="5"/>
  <c r="DH37" i="5" s="1"/>
  <c r="DG38" i="5"/>
  <c r="DH38" i="5" s="1"/>
  <c r="DG39" i="5"/>
  <c r="DH39" i="5"/>
  <c r="DI39" i="5" s="1"/>
  <c r="DJ39" i="5"/>
  <c r="DG40" i="5"/>
  <c r="DH40" i="5" s="1"/>
  <c r="DG41" i="5"/>
  <c r="DH41" i="5" s="1"/>
  <c r="DG42" i="5"/>
  <c r="DH42" i="5" s="1"/>
  <c r="DG43" i="5"/>
  <c r="DH43" i="5"/>
  <c r="DI43" i="5" s="1"/>
  <c r="DJ43" i="5"/>
  <c r="DG44" i="5"/>
  <c r="DH44" i="5"/>
  <c r="DI44" i="5" s="1"/>
  <c r="DG45" i="5"/>
  <c r="DH45" i="5" s="1"/>
  <c r="DG46" i="5"/>
  <c r="DH46" i="5" s="1"/>
  <c r="DG47" i="5"/>
  <c r="DH47" i="5" s="1"/>
  <c r="DG48" i="5"/>
  <c r="DH48" i="5"/>
  <c r="DI48" i="5" s="1"/>
  <c r="DJ48" i="5"/>
  <c r="DG49" i="5"/>
  <c r="DH49" i="5" s="1"/>
  <c r="DG50" i="5"/>
  <c r="DH50" i="5" s="1"/>
  <c r="DG51" i="5"/>
  <c r="DH51" i="5" s="1"/>
  <c r="DG52" i="5"/>
  <c r="DH52" i="5"/>
  <c r="DI52" i="5" s="1"/>
  <c r="DJ52" i="5"/>
  <c r="DG53" i="5"/>
  <c r="DH53" i="5"/>
  <c r="DI53" i="5" s="1"/>
  <c r="DG54" i="5"/>
  <c r="DH54" i="5" s="1"/>
  <c r="DG55" i="5"/>
  <c r="DH55" i="5" s="1"/>
  <c r="DG56" i="5"/>
  <c r="DH56" i="5" s="1"/>
  <c r="DG57" i="5"/>
  <c r="DH57" i="5"/>
  <c r="DI57" i="5" s="1"/>
  <c r="DJ57" i="5"/>
  <c r="DG58" i="5"/>
  <c r="DH58" i="5" s="1"/>
  <c r="DG59" i="5"/>
  <c r="DH59" i="5" s="1"/>
  <c r="DG60" i="5"/>
  <c r="DH60" i="5" s="1"/>
  <c r="DG61" i="5"/>
  <c r="DH61" i="5"/>
  <c r="DI61" i="5" s="1"/>
  <c r="DJ61" i="5"/>
  <c r="DG62" i="5"/>
  <c r="DH62" i="5"/>
  <c r="DI62" i="5" s="1"/>
  <c r="DG63" i="5"/>
  <c r="DH63" i="5" s="1"/>
  <c r="DG64" i="5"/>
  <c r="DH64" i="5" s="1"/>
  <c r="DG65" i="5"/>
  <c r="DH65" i="5" s="1"/>
  <c r="DG66" i="5"/>
  <c r="DH66" i="5"/>
  <c r="DI66" i="5" s="1"/>
  <c r="DJ66" i="5"/>
  <c r="DG67" i="5"/>
  <c r="DH67" i="5" s="1"/>
  <c r="DG68" i="5"/>
  <c r="DH68" i="5" s="1"/>
  <c r="DG69" i="5"/>
  <c r="DH69" i="5" s="1"/>
  <c r="DG70" i="5"/>
  <c r="DH70" i="5"/>
  <c r="DI70" i="5" s="1"/>
  <c r="DJ70" i="5"/>
  <c r="DG71" i="5"/>
  <c r="DH71" i="5"/>
  <c r="DI71" i="5" s="1"/>
  <c r="DG72" i="5"/>
  <c r="DH72" i="5" s="1"/>
  <c r="DG73" i="5"/>
  <c r="DH73" i="5" s="1"/>
  <c r="DG74" i="5"/>
  <c r="DH74" i="5" s="1"/>
  <c r="DG75" i="5"/>
  <c r="DH75" i="5"/>
  <c r="DI75" i="5" s="1"/>
  <c r="DJ75" i="5"/>
  <c r="DG76" i="5"/>
  <c r="DH76" i="5" s="1"/>
  <c r="DG77" i="5"/>
  <c r="DH77" i="5" s="1"/>
  <c r="DG78" i="5"/>
  <c r="DH78" i="5" s="1"/>
  <c r="DG79" i="5"/>
  <c r="DH79" i="5"/>
  <c r="DI79" i="5" s="1"/>
  <c r="DJ79" i="5"/>
  <c r="DG80" i="5"/>
  <c r="DH80" i="5"/>
  <c r="DI80" i="5" s="1"/>
  <c r="DG81" i="5"/>
  <c r="DH81" i="5" s="1"/>
  <c r="DG82" i="5"/>
  <c r="DH82" i="5" s="1"/>
  <c r="DG83" i="5"/>
  <c r="DH83" i="5" s="1"/>
  <c r="DG84" i="5"/>
  <c r="DH84" i="5"/>
  <c r="DI84" i="5" s="1"/>
  <c r="DJ84" i="5"/>
  <c r="DG85" i="5"/>
  <c r="DH85" i="5" s="1"/>
  <c r="DG86" i="5"/>
  <c r="DH86" i="5" s="1"/>
  <c r="DG87" i="5"/>
  <c r="DH87" i="5" s="1"/>
  <c r="DG88" i="5"/>
  <c r="DH88" i="5"/>
  <c r="DI88" i="5" s="1"/>
  <c r="DJ88" i="5"/>
  <c r="DG89" i="5"/>
  <c r="DH89" i="5"/>
  <c r="DI89" i="5" s="1"/>
  <c r="DG90" i="5"/>
  <c r="DH90" i="5" s="1"/>
  <c r="DG91" i="5"/>
  <c r="DH91" i="5" s="1"/>
  <c r="DG92" i="5"/>
  <c r="DH92" i="5" s="1"/>
  <c r="DG93" i="5"/>
  <c r="DH93" i="5"/>
  <c r="DI93" i="5"/>
  <c r="DJ93" i="5"/>
  <c r="DG94" i="5"/>
  <c r="DH94" i="5" s="1"/>
  <c r="DG95" i="5"/>
  <c r="DH95" i="5" s="1"/>
  <c r="DG96" i="5"/>
  <c r="DH96" i="5" s="1"/>
  <c r="DG97" i="5"/>
  <c r="DH97" i="5"/>
  <c r="DI97" i="5" s="1"/>
  <c r="DJ97" i="5"/>
  <c r="DG98" i="5"/>
  <c r="DH98" i="5"/>
  <c r="DJ98" i="5" s="1"/>
  <c r="DI98" i="5"/>
  <c r="DG99" i="5"/>
  <c r="DH99" i="5" s="1"/>
  <c r="DG100" i="5"/>
  <c r="DH100" i="5" s="1"/>
  <c r="DG101" i="5"/>
  <c r="DH101" i="5" s="1"/>
  <c r="DG102" i="5"/>
  <c r="DH102" i="5"/>
  <c r="DI102" i="5"/>
  <c r="DJ102" i="5"/>
  <c r="DG103" i="5"/>
  <c r="DH103" i="5" s="1"/>
  <c r="DG104" i="5"/>
  <c r="DH104" i="5" s="1"/>
  <c r="DG105" i="5"/>
  <c r="DH105" i="5" s="1"/>
  <c r="DG106" i="5"/>
  <c r="DH106" i="5"/>
  <c r="DI106" i="5" s="1"/>
  <c r="DJ106" i="5"/>
  <c r="DG107" i="5"/>
  <c r="DH107" i="5"/>
  <c r="DJ107" i="5" s="1"/>
  <c r="DI107" i="5"/>
  <c r="DG108" i="5"/>
  <c r="DH108" i="5" s="1"/>
  <c r="DG109" i="5"/>
  <c r="DH109" i="5" s="1"/>
  <c r="DG110" i="5"/>
  <c r="DH110" i="5" s="1"/>
  <c r="DG111" i="5"/>
  <c r="DH111" i="5"/>
  <c r="DI111" i="5"/>
  <c r="DJ111" i="5"/>
  <c r="DG112" i="5"/>
  <c r="DH112" i="5" s="1"/>
  <c r="DG113" i="5"/>
  <c r="DH113" i="5" s="1"/>
  <c r="DG114" i="5"/>
  <c r="DH114" i="5" s="1"/>
  <c r="DG115" i="5"/>
  <c r="DH115" i="5"/>
  <c r="DI115" i="5" s="1"/>
  <c r="DJ115" i="5"/>
  <c r="DG116" i="5"/>
  <c r="DH116" i="5"/>
  <c r="DJ116" i="5" s="1"/>
  <c r="DI116" i="5"/>
  <c r="DG117" i="5"/>
  <c r="DH117" i="5" s="1"/>
  <c r="DG118" i="5"/>
  <c r="DH118" i="5" s="1"/>
  <c r="DG119" i="5"/>
  <c r="DH119" i="5" s="1"/>
  <c r="DG120" i="5"/>
  <c r="DH120" i="5"/>
  <c r="DI120" i="5"/>
  <c r="DJ120" i="5"/>
  <c r="DG121" i="5"/>
  <c r="DH121" i="5" s="1"/>
  <c r="DG122" i="5"/>
  <c r="DH122" i="5" s="1"/>
  <c r="DG123" i="5"/>
  <c r="DH123" i="5" s="1"/>
  <c r="DG124" i="5"/>
  <c r="DH124" i="5"/>
  <c r="DI124" i="5" s="1"/>
  <c r="DJ124" i="5"/>
  <c r="DG125" i="5"/>
  <c r="DH125" i="5"/>
  <c r="DJ125" i="5" s="1"/>
  <c r="DI125" i="5"/>
  <c r="DG126" i="5"/>
  <c r="DH126" i="5" s="1"/>
  <c r="DG127" i="5"/>
  <c r="DH127" i="5" s="1"/>
  <c r="DG128" i="5"/>
  <c r="DH128" i="5" s="1"/>
  <c r="DG129" i="5"/>
  <c r="DH129" i="5"/>
  <c r="DI129" i="5"/>
  <c r="DJ129" i="5"/>
  <c r="DG130" i="5"/>
  <c r="DH130" i="5" s="1"/>
  <c r="DG131" i="5"/>
  <c r="DH131" i="5" s="1"/>
  <c r="DG132" i="5"/>
  <c r="DH132" i="5" s="1"/>
  <c r="DG133" i="5"/>
  <c r="DH133" i="5"/>
  <c r="DI133" i="5"/>
  <c r="DJ133" i="5"/>
  <c r="DG134" i="5"/>
  <c r="DH134" i="5"/>
  <c r="DJ134" i="5" s="1"/>
  <c r="DI134" i="5"/>
  <c r="DG135" i="5"/>
  <c r="DH135" i="5" s="1"/>
  <c r="DG136" i="5"/>
  <c r="DH136" i="5" s="1"/>
  <c r="DG137" i="5"/>
  <c r="DH137" i="5" s="1"/>
  <c r="DG138" i="5"/>
  <c r="DH138" i="5"/>
  <c r="DI138" i="5"/>
  <c r="DJ138" i="5"/>
  <c r="DG139" i="5"/>
  <c r="DH139" i="5" s="1"/>
  <c r="DG140" i="5"/>
  <c r="DH140" i="5" s="1"/>
  <c r="DG141" i="5"/>
  <c r="DH141" i="5" s="1"/>
  <c r="DG142" i="5"/>
  <c r="DH142" i="5"/>
  <c r="DI142" i="5"/>
  <c r="DJ142" i="5"/>
  <c r="DG143" i="5"/>
  <c r="DH143" i="5"/>
  <c r="DJ143" i="5" s="1"/>
  <c r="DI143" i="5"/>
  <c r="DG144" i="5"/>
  <c r="DH144" i="5" s="1"/>
  <c r="DG145" i="5"/>
  <c r="DH145" i="5" s="1"/>
  <c r="DG146" i="5"/>
  <c r="DH146" i="5" s="1"/>
  <c r="DG147" i="5"/>
  <c r="DH147" i="5"/>
  <c r="DI147" i="5"/>
  <c r="DJ147" i="5"/>
  <c r="DG148" i="5"/>
  <c r="DH148" i="5" s="1"/>
  <c r="DG149" i="5"/>
  <c r="DH149" i="5" s="1"/>
  <c r="DG150" i="5"/>
  <c r="DH150" i="5" s="1"/>
  <c r="DG151" i="5"/>
  <c r="DH151" i="5"/>
  <c r="DI151" i="5"/>
  <c r="DJ151" i="5"/>
  <c r="DG152" i="5"/>
  <c r="DH152" i="5"/>
  <c r="DJ152" i="5" s="1"/>
  <c r="DI152" i="5"/>
  <c r="DG153" i="5"/>
  <c r="DH153" i="5" s="1"/>
  <c r="DG154" i="5"/>
  <c r="DH154" i="5" s="1"/>
  <c r="DG155" i="5"/>
  <c r="DH155" i="5" s="1"/>
  <c r="DG156" i="5"/>
  <c r="DH156" i="5"/>
  <c r="DI156" i="5"/>
  <c r="DJ156" i="5"/>
  <c r="DG157" i="5"/>
  <c r="DH157" i="5" s="1"/>
  <c r="DG158" i="5"/>
  <c r="DH158" i="5" s="1"/>
  <c r="DG159" i="5"/>
  <c r="DH159" i="5" s="1"/>
  <c r="DG160" i="5"/>
  <c r="DH160" i="5"/>
  <c r="DI160" i="5"/>
  <c r="DJ160" i="5"/>
  <c r="DG161" i="5"/>
  <c r="DH161" i="5"/>
  <c r="DJ161" i="5" s="1"/>
  <c r="DI161" i="5"/>
  <c r="DG162" i="5"/>
  <c r="DH162" i="5" s="1"/>
  <c r="DG163" i="5"/>
  <c r="DH163" i="5" s="1"/>
  <c r="DG164" i="5"/>
  <c r="DH164" i="5" s="1"/>
  <c r="DG165" i="5"/>
  <c r="DH165" i="5"/>
  <c r="DI165" i="5"/>
  <c r="DJ165" i="5"/>
  <c r="DG166" i="5"/>
  <c r="DH166" i="5" s="1"/>
  <c r="DG167" i="5"/>
  <c r="DH167" i="5" s="1"/>
  <c r="DG168" i="5"/>
  <c r="DH168" i="5" s="1"/>
  <c r="DG169" i="5"/>
  <c r="DH169" i="5"/>
  <c r="DI169" i="5"/>
  <c r="DJ169" i="5"/>
  <c r="DG170" i="5"/>
  <c r="DH170" i="5"/>
  <c r="DJ170" i="5" s="1"/>
  <c r="DI170" i="5"/>
  <c r="DG171" i="5"/>
  <c r="DH171" i="5" s="1"/>
  <c r="DG172" i="5"/>
  <c r="DH172" i="5" s="1"/>
  <c r="DG173" i="5"/>
  <c r="DH173" i="5" s="1"/>
  <c r="DG174" i="5"/>
  <c r="DH174" i="5" s="1"/>
  <c r="DG175" i="5"/>
  <c r="DH175" i="5" s="1"/>
  <c r="DG176" i="5"/>
  <c r="DH176" i="5" s="1"/>
  <c r="DG177" i="5"/>
  <c r="DH177" i="5" s="1"/>
  <c r="DG178" i="5"/>
  <c r="DH178" i="5"/>
  <c r="DI178" i="5"/>
  <c r="DJ178" i="5"/>
  <c r="DG179" i="5"/>
  <c r="DH179" i="5"/>
  <c r="DJ179" i="5" s="1"/>
  <c r="DI179" i="5"/>
  <c r="DG180" i="5"/>
  <c r="DH180" i="5" s="1"/>
  <c r="DG181" i="5"/>
  <c r="DH181" i="5" s="1"/>
  <c r="DG182" i="5"/>
  <c r="DH182" i="5" s="1"/>
  <c r="DG183" i="5"/>
  <c r="DH183" i="5"/>
  <c r="DI183" i="5"/>
  <c r="DJ183" i="5"/>
  <c r="DG184" i="5"/>
  <c r="DH184" i="5" s="1"/>
  <c r="DG185" i="5"/>
  <c r="DH185" i="5" s="1"/>
  <c r="DG186" i="5"/>
  <c r="DH186" i="5" s="1"/>
  <c r="DG187" i="5"/>
  <c r="DH187" i="5"/>
  <c r="DI187" i="5"/>
  <c r="DJ187" i="5"/>
  <c r="DG188" i="5"/>
  <c r="DH188" i="5" s="1"/>
  <c r="DG189" i="5"/>
  <c r="DH189" i="5" s="1"/>
  <c r="DG190" i="5"/>
  <c r="DH190" i="5" s="1"/>
  <c r="DG191" i="5"/>
  <c r="DH191" i="5" s="1"/>
  <c r="DG192" i="5"/>
  <c r="DH192" i="5"/>
  <c r="DI192" i="5"/>
  <c r="DJ192" i="5"/>
  <c r="DG193" i="5"/>
  <c r="DH193" i="5" s="1"/>
  <c r="DG194" i="5"/>
  <c r="DH194" i="5" s="1"/>
  <c r="DG195" i="5"/>
  <c r="DH195" i="5" s="1"/>
  <c r="DG196" i="5"/>
  <c r="DH196" i="5"/>
  <c r="DI196" i="5"/>
  <c r="DJ196" i="5"/>
  <c r="DG197" i="5"/>
  <c r="DH197" i="5"/>
  <c r="DJ197" i="5" s="1"/>
  <c r="DI197" i="5"/>
  <c r="DG198" i="5"/>
  <c r="DH198" i="5" s="1"/>
  <c r="DG199" i="5"/>
  <c r="DH199" i="5" s="1"/>
  <c r="DG200" i="5"/>
  <c r="DH200" i="5" s="1"/>
  <c r="DG201" i="5"/>
  <c r="DH201" i="5"/>
  <c r="DI201" i="5"/>
  <c r="DJ201" i="5"/>
  <c r="DG202" i="5"/>
  <c r="DH202" i="5" s="1"/>
  <c r="DG203" i="5"/>
  <c r="DH203" i="5" s="1"/>
  <c r="DG204" i="5"/>
  <c r="DH204" i="5" s="1"/>
  <c r="DG205" i="5"/>
  <c r="DH205" i="5" s="1"/>
  <c r="DG206" i="5"/>
  <c r="DH206" i="5" s="1"/>
  <c r="DG207" i="5"/>
  <c r="DH207" i="5" s="1"/>
  <c r="DG208" i="5"/>
  <c r="DH208" i="5" s="1"/>
  <c r="DG209" i="5"/>
  <c r="DH209" i="5" s="1"/>
  <c r="DG210" i="5"/>
  <c r="DH210" i="5"/>
  <c r="DI210" i="5"/>
  <c r="DJ210" i="5"/>
  <c r="DG211" i="5"/>
  <c r="DH211" i="5" s="1"/>
  <c r="DG212" i="5"/>
  <c r="DH212" i="5" s="1"/>
  <c r="DG213" i="5"/>
  <c r="DH213" i="5" s="1"/>
  <c r="DG214" i="5"/>
  <c r="DH214" i="5" s="1"/>
  <c r="DG215" i="5"/>
  <c r="DH215" i="5" s="1"/>
  <c r="DG216" i="5"/>
  <c r="DH216" i="5" s="1"/>
  <c r="DG217" i="5"/>
  <c r="DH217" i="5" s="1"/>
  <c r="DG218" i="5"/>
  <c r="DH218" i="5" s="1"/>
  <c r="DG219" i="5"/>
  <c r="DH219" i="5" s="1"/>
  <c r="DG220" i="5"/>
  <c r="DH220" i="5" s="1"/>
  <c r="DG221" i="5"/>
  <c r="DH221" i="5" s="1"/>
  <c r="DG222" i="5"/>
  <c r="DH222" i="5" s="1"/>
  <c r="DG223" i="5"/>
  <c r="DH223" i="5"/>
  <c r="DI223" i="5"/>
  <c r="DJ223" i="5"/>
  <c r="DG224" i="5"/>
  <c r="DH224" i="5" s="1"/>
  <c r="DG225" i="5"/>
  <c r="DH225" i="5" s="1"/>
  <c r="DG226" i="5"/>
  <c r="DH226" i="5" s="1"/>
  <c r="DG227" i="5"/>
  <c r="DH227" i="5" s="1"/>
  <c r="DG228" i="5"/>
  <c r="DH228" i="5" s="1"/>
  <c r="DG229" i="5"/>
  <c r="DH229" i="5" s="1"/>
  <c r="DG230" i="5"/>
  <c r="DH230" i="5" s="1"/>
  <c r="DG231" i="5"/>
  <c r="DH231" i="5" s="1"/>
  <c r="DG232" i="5"/>
  <c r="DH232" i="5" s="1"/>
  <c r="DG3" i="5"/>
  <c r="DH3" i="5" s="1"/>
  <c r="DC4" i="5"/>
  <c r="DD4" i="5" s="1"/>
  <c r="DC5" i="5"/>
  <c r="DD5" i="5" s="1"/>
  <c r="DC6" i="5"/>
  <c r="DD6" i="5" s="1"/>
  <c r="DC7" i="5"/>
  <c r="DD7" i="5" s="1"/>
  <c r="DC8" i="5"/>
  <c r="DD8" i="5"/>
  <c r="DE8" i="5" s="1"/>
  <c r="DC9" i="5"/>
  <c r="DD9" i="5" s="1"/>
  <c r="DC10" i="5"/>
  <c r="DD10" i="5" s="1"/>
  <c r="DC11" i="5"/>
  <c r="DD11" i="5"/>
  <c r="DE11" i="5" s="1"/>
  <c r="DC12" i="5"/>
  <c r="DD12" i="5" s="1"/>
  <c r="DC13" i="5"/>
  <c r="DD13" i="5" s="1"/>
  <c r="DC14" i="5"/>
  <c r="DD14" i="5" s="1"/>
  <c r="DC15" i="5"/>
  <c r="DD15" i="5" s="1"/>
  <c r="DC16" i="5"/>
  <c r="DD16" i="5" s="1"/>
  <c r="DC17" i="5"/>
  <c r="DD17" i="5"/>
  <c r="DE17" i="5" s="1"/>
  <c r="DC18" i="5"/>
  <c r="DD18" i="5" s="1"/>
  <c r="DC19" i="5"/>
  <c r="DD19" i="5" s="1"/>
  <c r="DC20" i="5"/>
  <c r="DD20" i="5"/>
  <c r="DE20" i="5" s="1"/>
  <c r="DC21" i="5"/>
  <c r="DD21" i="5" s="1"/>
  <c r="DC22" i="5"/>
  <c r="DD22" i="5" s="1"/>
  <c r="DC23" i="5"/>
  <c r="DD23" i="5" s="1"/>
  <c r="DC24" i="5"/>
  <c r="DD24" i="5" s="1"/>
  <c r="DC25" i="5"/>
  <c r="DD25" i="5" s="1"/>
  <c r="DC26" i="5"/>
  <c r="DD26" i="5"/>
  <c r="DE26" i="5" s="1"/>
  <c r="DC27" i="5"/>
  <c r="DD27" i="5" s="1"/>
  <c r="DC28" i="5"/>
  <c r="DD28" i="5" s="1"/>
  <c r="DC29" i="5"/>
  <c r="DD29" i="5"/>
  <c r="DE29" i="5" s="1"/>
  <c r="DC30" i="5"/>
  <c r="DD30" i="5" s="1"/>
  <c r="DC31" i="5"/>
  <c r="DD31" i="5" s="1"/>
  <c r="DC32" i="5"/>
  <c r="DD32" i="5" s="1"/>
  <c r="DC33" i="5"/>
  <c r="DD33" i="5" s="1"/>
  <c r="DC34" i="5"/>
  <c r="DD34" i="5" s="1"/>
  <c r="DC35" i="5"/>
  <c r="DD35" i="5"/>
  <c r="DE35" i="5" s="1"/>
  <c r="DC36" i="5"/>
  <c r="DD36" i="5" s="1"/>
  <c r="DC37" i="5"/>
  <c r="DD37" i="5" s="1"/>
  <c r="DC38" i="5"/>
  <c r="DD38" i="5"/>
  <c r="DE38" i="5" s="1"/>
  <c r="DC39" i="5"/>
  <c r="DD39" i="5" s="1"/>
  <c r="DC40" i="5"/>
  <c r="DD40" i="5" s="1"/>
  <c r="DC41" i="5"/>
  <c r="DD41" i="5" s="1"/>
  <c r="DC42" i="5"/>
  <c r="DD42" i="5" s="1"/>
  <c r="DC43" i="5"/>
  <c r="DD43" i="5" s="1"/>
  <c r="DC44" i="5"/>
  <c r="DD44" i="5"/>
  <c r="DE44" i="5" s="1"/>
  <c r="DC45" i="5"/>
  <c r="DD45" i="5" s="1"/>
  <c r="DC46" i="5"/>
  <c r="DD46" i="5" s="1"/>
  <c r="DC47" i="5"/>
  <c r="DD47" i="5"/>
  <c r="DE47" i="5" s="1"/>
  <c r="DC48" i="5"/>
  <c r="DD48" i="5" s="1"/>
  <c r="DC49" i="5"/>
  <c r="DD49" i="5" s="1"/>
  <c r="DC50" i="5"/>
  <c r="DD50" i="5" s="1"/>
  <c r="DC51" i="5"/>
  <c r="DD51" i="5" s="1"/>
  <c r="DC52" i="5"/>
  <c r="DD52" i="5" s="1"/>
  <c r="DC53" i="5"/>
  <c r="DD53" i="5"/>
  <c r="DE53" i="5" s="1"/>
  <c r="DC54" i="5"/>
  <c r="DD54" i="5" s="1"/>
  <c r="DC55" i="5"/>
  <c r="DD55" i="5" s="1"/>
  <c r="DC56" i="5"/>
  <c r="DD56" i="5"/>
  <c r="DE56" i="5" s="1"/>
  <c r="DC57" i="5"/>
  <c r="DD57" i="5" s="1"/>
  <c r="DC58" i="5"/>
  <c r="DD58" i="5" s="1"/>
  <c r="DC59" i="5"/>
  <c r="DD59" i="5" s="1"/>
  <c r="DC60" i="5"/>
  <c r="DD60" i="5" s="1"/>
  <c r="DC61" i="5"/>
  <c r="DD61" i="5" s="1"/>
  <c r="DC62" i="5"/>
  <c r="DD62" i="5"/>
  <c r="DE62" i="5" s="1"/>
  <c r="DC63" i="5"/>
  <c r="DD63" i="5" s="1"/>
  <c r="DC64" i="5"/>
  <c r="DD64" i="5" s="1"/>
  <c r="DC65" i="5"/>
  <c r="DD65" i="5"/>
  <c r="DE65" i="5" s="1"/>
  <c r="DC66" i="5"/>
  <c r="DD66" i="5" s="1"/>
  <c r="DC67" i="5"/>
  <c r="DD67" i="5" s="1"/>
  <c r="DC68" i="5"/>
  <c r="DD68" i="5" s="1"/>
  <c r="DC69" i="5"/>
  <c r="DD69" i="5" s="1"/>
  <c r="DC70" i="5"/>
  <c r="DD70" i="5" s="1"/>
  <c r="DC71" i="5"/>
  <c r="DD71" i="5"/>
  <c r="DE71" i="5" s="1"/>
  <c r="DC72" i="5"/>
  <c r="DD72" i="5" s="1"/>
  <c r="DC73" i="5"/>
  <c r="DD73" i="5" s="1"/>
  <c r="DC74" i="5"/>
  <c r="DD74" i="5"/>
  <c r="DE74" i="5" s="1"/>
  <c r="DC75" i="5"/>
  <c r="DD75" i="5" s="1"/>
  <c r="DC76" i="5"/>
  <c r="DD76" i="5" s="1"/>
  <c r="DC77" i="5"/>
  <c r="DD77" i="5" s="1"/>
  <c r="DC78" i="5"/>
  <c r="DD78" i="5" s="1"/>
  <c r="DC79" i="5"/>
  <c r="DD79" i="5" s="1"/>
  <c r="DC80" i="5"/>
  <c r="DD80" i="5"/>
  <c r="DE80" i="5" s="1"/>
  <c r="DC81" i="5"/>
  <c r="DD81" i="5" s="1"/>
  <c r="DC82" i="5"/>
  <c r="DD82" i="5" s="1"/>
  <c r="DC83" i="5"/>
  <c r="DD83" i="5"/>
  <c r="DE83" i="5" s="1"/>
  <c r="DC84" i="5"/>
  <c r="DD84" i="5" s="1"/>
  <c r="DC85" i="5"/>
  <c r="DD85" i="5" s="1"/>
  <c r="DC86" i="5"/>
  <c r="DD86" i="5" s="1"/>
  <c r="DC87" i="5"/>
  <c r="DD87" i="5" s="1"/>
  <c r="DC88" i="5"/>
  <c r="DD88" i="5" s="1"/>
  <c r="DC89" i="5"/>
  <c r="DD89" i="5"/>
  <c r="DE89" i="5" s="1"/>
  <c r="DC90" i="5"/>
  <c r="DD90" i="5" s="1"/>
  <c r="DC91" i="5"/>
  <c r="DD91" i="5" s="1"/>
  <c r="DC92" i="5"/>
  <c r="DD92" i="5"/>
  <c r="DE92" i="5" s="1"/>
  <c r="DC93" i="5"/>
  <c r="DD93" i="5" s="1"/>
  <c r="DC94" i="5"/>
  <c r="DD94" i="5" s="1"/>
  <c r="DC95" i="5"/>
  <c r="DD95" i="5" s="1"/>
  <c r="DC96" i="5"/>
  <c r="DD96" i="5" s="1"/>
  <c r="DC97" i="5"/>
  <c r="DD97" i="5" s="1"/>
  <c r="DC98" i="5"/>
  <c r="DD98" i="5"/>
  <c r="DE98" i="5" s="1"/>
  <c r="DC99" i="5"/>
  <c r="DD99" i="5" s="1"/>
  <c r="DC100" i="5"/>
  <c r="DD100" i="5" s="1"/>
  <c r="DC101" i="5"/>
  <c r="DD101" i="5"/>
  <c r="DE101" i="5" s="1"/>
  <c r="DC102" i="5"/>
  <c r="DD102" i="5" s="1"/>
  <c r="DC103" i="5"/>
  <c r="DD103" i="5" s="1"/>
  <c r="DC104" i="5"/>
  <c r="DD104" i="5" s="1"/>
  <c r="DC105" i="5"/>
  <c r="DD105" i="5" s="1"/>
  <c r="DC106" i="5"/>
  <c r="DD106" i="5" s="1"/>
  <c r="DC107" i="5"/>
  <c r="DD107" i="5"/>
  <c r="DF107" i="5" s="1"/>
  <c r="DE107" i="5"/>
  <c r="DC108" i="5"/>
  <c r="DD108" i="5" s="1"/>
  <c r="DC109" i="5"/>
  <c r="DD109" i="5" s="1"/>
  <c r="DC110" i="5"/>
  <c r="DD110" i="5"/>
  <c r="DE110" i="5" s="1"/>
  <c r="DC111" i="5"/>
  <c r="DD111" i="5" s="1"/>
  <c r="DC112" i="5"/>
  <c r="DD112" i="5" s="1"/>
  <c r="DC113" i="5"/>
  <c r="DD113" i="5" s="1"/>
  <c r="DC114" i="5"/>
  <c r="DD114" i="5" s="1"/>
  <c r="DC115" i="5"/>
  <c r="DD115" i="5" s="1"/>
  <c r="DC116" i="5"/>
  <c r="DD116" i="5"/>
  <c r="DF116" i="5" s="1"/>
  <c r="DE116" i="5"/>
  <c r="DC117" i="5"/>
  <c r="DD117" i="5" s="1"/>
  <c r="DC118" i="5"/>
  <c r="DD118" i="5" s="1"/>
  <c r="DC119" i="5"/>
  <c r="DD119" i="5"/>
  <c r="DF119" i="5" s="1"/>
  <c r="DE119" i="5"/>
  <c r="DC120" i="5"/>
  <c r="DD120" i="5" s="1"/>
  <c r="DE120" i="5" s="1"/>
  <c r="DF120" i="5"/>
  <c r="DC121" i="5"/>
  <c r="DD121" i="5" s="1"/>
  <c r="DC122" i="5"/>
  <c r="DD122" i="5" s="1"/>
  <c r="DC123" i="5"/>
  <c r="DD123" i="5" s="1"/>
  <c r="DC124" i="5"/>
  <c r="DD124" i="5" s="1"/>
  <c r="DC125" i="5"/>
  <c r="DD125" i="5"/>
  <c r="DF125" i="5" s="1"/>
  <c r="DE125" i="5"/>
  <c r="DC126" i="5"/>
  <c r="DD126" i="5" s="1"/>
  <c r="DC127" i="5"/>
  <c r="DD127" i="5" s="1"/>
  <c r="DC128" i="5"/>
  <c r="DD128" i="5"/>
  <c r="DF128" i="5" s="1"/>
  <c r="DE128" i="5"/>
  <c r="DC129" i="5"/>
  <c r="DD129" i="5" s="1"/>
  <c r="DC130" i="5"/>
  <c r="DD130" i="5" s="1"/>
  <c r="DC131" i="5"/>
  <c r="DD131" i="5" s="1"/>
  <c r="DC132" i="5"/>
  <c r="DD132" i="5" s="1"/>
  <c r="DC133" i="5"/>
  <c r="DD133" i="5" s="1"/>
  <c r="DC134" i="5"/>
  <c r="DD134" i="5"/>
  <c r="DF134" i="5" s="1"/>
  <c r="DE134" i="5"/>
  <c r="DC135" i="5"/>
  <c r="DD135" i="5" s="1"/>
  <c r="DC136" i="5"/>
  <c r="DD136" i="5" s="1"/>
  <c r="DC137" i="5"/>
  <c r="DD137" i="5"/>
  <c r="DF137" i="5" s="1"/>
  <c r="DE137" i="5"/>
  <c r="DC138" i="5"/>
  <c r="DD138" i="5" s="1"/>
  <c r="DC139" i="5"/>
  <c r="DD139" i="5" s="1"/>
  <c r="DC140" i="5"/>
  <c r="DD140" i="5" s="1"/>
  <c r="DC141" i="5"/>
  <c r="DD141" i="5" s="1"/>
  <c r="DC142" i="5"/>
  <c r="DD142" i="5" s="1"/>
  <c r="DC143" i="5"/>
  <c r="DD143" i="5"/>
  <c r="DF143" i="5" s="1"/>
  <c r="DE143" i="5"/>
  <c r="DC144" i="5"/>
  <c r="DD144" i="5" s="1"/>
  <c r="DC145" i="5"/>
  <c r="DD145" i="5" s="1"/>
  <c r="DC146" i="5"/>
  <c r="DD146" i="5"/>
  <c r="DF146" i="5" s="1"/>
  <c r="DE146" i="5"/>
  <c r="DC147" i="5"/>
  <c r="DD147" i="5" s="1"/>
  <c r="DC148" i="5"/>
  <c r="DD148" i="5" s="1"/>
  <c r="DC149" i="5"/>
  <c r="DD149" i="5" s="1"/>
  <c r="DC150" i="5"/>
  <c r="DD150" i="5" s="1"/>
  <c r="DC151" i="5"/>
  <c r="DD151" i="5" s="1"/>
  <c r="DC152" i="5"/>
  <c r="DD152" i="5"/>
  <c r="DF152" i="5" s="1"/>
  <c r="DE152" i="5"/>
  <c r="DC153" i="5"/>
  <c r="DD153" i="5" s="1"/>
  <c r="DC154" i="5"/>
  <c r="DD154" i="5" s="1"/>
  <c r="DC155" i="5"/>
  <c r="DD155" i="5"/>
  <c r="DF155" i="5" s="1"/>
  <c r="DE155" i="5"/>
  <c r="DC156" i="5"/>
  <c r="DD156" i="5" s="1"/>
  <c r="DC157" i="5"/>
  <c r="DD157" i="5" s="1"/>
  <c r="DC158" i="5"/>
  <c r="DD158" i="5" s="1"/>
  <c r="DC159" i="5"/>
  <c r="DD159" i="5" s="1"/>
  <c r="DC160" i="5"/>
  <c r="DD160" i="5" s="1"/>
  <c r="DC161" i="5"/>
  <c r="DD161" i="5"/>
  <c r="DF161" i="5" s="1"/>
  <c r="DE161" i="5"/>
  <c r="DC162" i="5"/>
  <c r="DD162" i="5" s="1"/>
  <c r="DC163" i="5"/>
  <c r="DD163" i="5" s="1"/>
  <c r="DC164" i="5"/>
  <c r="DD164" i="5"/>
  <c r="DF164" i="5" s="1"/>
  <c r="DE164" i="5"/>
  <c r="DC165" i="5"/>
  <c r="DD165" i="5" s="1"/>
  <c r="DC166" i="5"/>
  <c r="DD166" i="5" s="1"/>
  <c r="DC167" i="5"/>
  <c r="DD167" i="5" s="1"/>
  <c r="DC168" i="5"/>
  <c r="DD168" i="5" s="1"/>
  <c r="DC169" i="5"/>
  <c r="DD169" i="5" s="1"/>
  <c r="DC170" i="5"/>
  <c r="DD170" i="5"/>
  <c r="DF170" i="5" s="1"/>
  <c r="DE170" i="5"/>
  <c r="DC171" i="5"/>
  <c r="DD171" i="5" s="1"/>
  <c r="DC172" i="5"/>
  <c r="DD172" i="5" s="1"/>
  <c r="DC173" i="5"/>
  <c r="DD173" i="5"/>
  <c r="DF173" i="5" s="1"/>
  <c r="DE173" i="5"/>
  <c r="DC174" i="5"/>
  <c r="DD174" i="5" s="1"/>
  <c r="DC175" i="5"/>
  <c r="DD175" i="5" s="1"/>
  <c r="DC176" i="5"/>
  <c r="DD176" i="5" s="1"/>
  <c r="DC177" i="5"/>
  <c r="DD177" i="5" s="1"/>
  <c r="DC178" i="5"/>
  <c r="DD178" i="5" s="1"/>
  <c r="DC179" i="5"/>
  <c r="DD179" i="5"/>
  <c r="DF179" i="5" s="1"/>
  <c r="DE179" i="5"/>
  <c r="DC180" i="5"/>
  <c r="DD180" i="5" s="1"/>
  <c r="DC181" i="5"/>
  <c r="DD181" i="5" s="1"/>
  <c r="DC182" i="5"/>
  <c r="DD182" i="5"/>
  <c r="DF182" i="5" s="1"/>
  <c r="DE182" i="5"/>
  <c r="DC183" i="5"/>
  <c r="DD183" i="5" s="1"/>
  <c r="DE183" i="5" s="1"/>
  <c r="DC184" i="5"/>
  <c r="DD184" i="5" s="1"/>
  <c r="DC185" i="5"/>
  <c r="DD185" i="5" s="1"/>
  <c r="DC186" i="5"/>
  <c r="DD186" i="5" s="1"/>
  <c r="DC187" i="5"/>
  <c r="DD187" i="5" s="1"/>
  <c r="DC188" i="5"/>
  <c r="DD188" i="5"/>
  <c r="DF188" i="5" s="1"/>
  <c r="DE188" i="5"/>
  <c r="DC189" i="5"/>
  <c r="DD189" i="5" s="1"/>
  <c r="DC190" i="5"/>
  <c r="DD190" i="5" s="1"/>
  <c r="DC191" i="5"/>
  <c r="DD191" i="5"/>
  <c r="DF191" i="5" s="1"/>
  <c r="DE191" i="5"/>
  <c r="DC192" i="5"/>
  <c r="DD192" i="5" s="1"/>
  <c r="DE192" i="5" s="1"/>
  <c r="DC193" i="5"/>
  <c r="DD193" i="5" s="1"/>
  <c r="DC194" i="5"/>
  <c r="DD194" i="5" s="1"/>
  <c r="DC195" i="5"/>
  <c r="DD195" i="5" s="1"/>
  <c r="DC196" i="5"/>
  <c r="DD196" i="5" s="1"/>
  <c r="DC197" i="5"/>
  <c r="DD197" i="5"/>
  <c r="DF197" i="5" s="1"/>
  <c r="DC198" i="5"/>
  <c r="DD198" i="5" s="1"/>
  <c r="DC199" i="5"/>
  <c r="DD199" i="5" s="1"/>
  <c r="DC200" i="5"/>
  <c r="DD200" i="5" s="1"/>
  <c r="DC201" i="5"/>
  <c r="DD201" i="5" s="1"/>
  <c r="DE201" i="5" s="1"/>
  <c r="DC202" i="5"/>
  <c r="DD202" i="5" s="1"/>
  <c r="DC203" i="5"/>
  <c r="DD203" i="5" s="1"/>
  <c r="DC204" i="5"/>
  <c r="DD204" i="5" s="1"/>
  <c r="DC205" i="5"/>
  <c r="DD205" i="5" s="1"/>
  <c r="DC206" i="5"/>
  <c r="DD206" i="5"/>
  <c r="DF206" i="5" s="1"/>
  <c r="DE206" i="5"/>
  <c r="DC207" i="5"/>
  <c r="DD207" i="5" s="1"/>
  <c r="DC208" i="5"/>
  <c r="DD208" i="5" s="1"/>
  <c r="DC209" i="5"/>
  <c r="DD209" i="5"/>
  <c r="DF209" i="5" s="1"/>
  <c r="DE209" i="5"/>
  <c r="DC210" i="5"/>
  <c r="DD210" i="5" s="1"/>
  <c r="DE210" i="5" s="1"/>
  <c r="DC211" i="5"/>
  <c r="DD211" i="5" s="1"/>
  <c r="DC212" i="5"/>
  <c r="DD212" i="5" s="1"/>
  <c r="DC213" i="5"/>
  <c r="DD213" i="5" s="1"/>
  <c r="DC214" i="5"/>
  <c r="DD214" i="5" s="1"/>
  <c r="DC215" i="5"/>
  <c r="DD215" i="5"/>
  <c r="DF215" i="5" s="1"/>
  <c r="DE215" i="5"/>
  <c r="DC216" i="5"/>
  <c r="DD216" i="5" s="1"/>
  <c r="DC217" i="5"/>
  <c r="DD217" i="5" s="1"/>
  <c r="DC218" i="5"/>
  <c r="DD218" i="5" s="1"/>
  <c r="DC219" i="5"/>
  <c r="DD219" i="5" s="1"/>
  <c r="DE219" i="5" s="1"/>
  <c r="DC220" i="5"/>
  <c r="DD220" i="5" s="1"/>
  <c r="DC221" i="5"/>
  <c r="DD221" i="5" s="1"/>
  <c r="DC222" i="5"/>
  <c r="DD222" i="5" s="1"/>
  <c r="DC223" i="5"/>
  <c r="DD223" i="5" s="1"/>
  <c r="DC224" i="5"/>
  <c r="DD224" i="5"/>
  <c r="DF224" i="5" s="1"/>
  <c r="DE224" i="5"/>
  <c r="DC225" i="5"/>
  <c r="DD225" i="5" s="1"/>
  <c r="DC226" i="5"/>
  <c r="DD226" i="5" s="1"/>
  <c r="DC227" i="5"/>
  <c r="DD227" i="5" s="1"/>
  <c r="DC228" i="5"/>
  <c r="DD228" i="5" s="1"/>
  <c r="DE228" i="5" s="1"/>
  <c r="DF228" i="5"/>
  <c r="DC229" i="5"/>
  <c r="DD229" i="5" s="1"/>
  <c r="DC230" i="5"/>
  <c r="DD230" i="5" s="1"/>
  <c r="DC231" i="5"/>
  <c r="DD231" i="5" s="1"/>
  <c r="DC232" i="5"/>
  <c r="DD232" i="5" s="1"/>
  <c r="DC3" i="5"/>
  <c r="DD3" i="5" s="1"/>
  <c r="DF3" i="5" s="1"/>
  <c r="CY4" i="5"/>
  <c r="CZ4" i="5" s="1"/>
  <c r="CY5" i="5"/>
  <c r="CZ5" i="5" s="1"/>
  <c r="CY6" i="5"/>
  <c r="CZ6" i="5"/>
  <c r="DA6" i="5" s="1"/>
  <c r="CY7" i="5"/>
  <c r="CZ7" i="5"/>
  <c r="DA7" i="5" s="1"/>
  <c r="DB7" i="5"/>
  <c r="CY8" i="5"/>
  <c r="CZ8" i="5" s="1"/>
  <c r="CY9" i="5"/>
  <c r="CZ9" i="5" s="1"/>
  <c r="CY10" i="5"/>
  <c r="CZ10" i="5" s="1"/>
  <c r="CY11" i="5"/>
  <c r="CZ11" i="5"/>
  <c r="DA11" i="5"/>
  <c r="DB11" i="5"/>
  <c r="CY12" i="5"/>
  <c r="CZ12" i="5"/>
  <c r="DB12" i="5" s="1"/>
  <c r="DA12" i="5"/>
  <c r="CY13" i="5"/>
  <c r="CZ13" i="5" s="1"/>
  <c r="CY14" i="5"/>
  <c r="CZ14" i="5" s="1"/>
  <c r="CY15" i="5"/>
  <c r="CZ15" i="5"/>
  <c r="DA15" i="5" s="1"/>
  <c r="CY16" i="5"/>
  <c r="CZ16" i="5"/>
  <c r="DA16" i="5" s="1"/>
  <c r="DB16" i="5"/>
  <c r="CY17" i="5"/>
  <c r="CZ17" i="5" s="1"/>
  <c r="CY18" i="5"/>
  <c r="CZ18" i="5" s="1"/>
  <c r="CY19" i="5"/>
  <c r="CZ19" i="5" s="1"/>
  <c r="CY20" i="5"/>
  <c r="CZ20" i="5"/>
  <c r="DA20" i="5"/>
  <c r="DB20" i="5"/>
  <c r="CY21" i="5"/>
  <c r="CZ21" i="5"/>
  <c r="DB21" i="5" s="1"/>
  <c r="DA21" i="5"/>
  <c r="CY22" i="5"/>
  <c r="CZ22" i="5" s="1"/>
  <c r="CY23" i="5"/>
  <c r="CZ23" i="5" s="1"/>
  <c r="CY24" i="5"/>
  <c r="CZ24" i="5"/>
  <c r="DA24" i="5" s="1"/>
  <c r="CY25" i="5"/>
  <c r="CZ25" i="5"/>
  <c r="DA25" i="5" s="1"/>
  <c r="DB25" i="5"/>
  <c r="CY26" i="5"/>
  <c r="CZ26" i="5" s="1"/>
  <c r="CY27" i="5"/>
  <c r="CZ27" i="5" s="1"/>
  <c r="CY28" i="5"/>
  <c r="CZ28" i="5" s="1"/>
  <c r="CY29" i="5"/>
  <c r="CZ29" i="5"/>
  <c r="DA29" i="5"/>
  <c r="DB29" i="5"/>
  <c r="CY30" i="5"/>
  <c r="CZ30" i="5"/>
  <c r="DB30" i="5" s="1"/>
  <c r="DA30" i="5"/>
  <c r="CY31" i="5"/>
  <c r="CZ31" i="5" s="1"/>
  <c r="CY32" i="5"/>
  <c r="CZ32" i="5" s="1"/>
  <c r="CY33" i="5"/>
  <c r="CZ33" i="5"/>
  <c r="DA33" i="5" s="1"/>
  <c r="CY34" i="5"/>
  <c r="CZ34" i="5"/>
  <c r="DA34" i="5" s="1"/>
  <c r="DB34" i="5"/>
  <c r="CY35" i="5"/>
  <c r="CZ35" i="5" s="1"/>
  <c r="CY36" i="5"/>
  <c r="CZ36" i="5" s="1"/>
  <c r="CY37" i="5"/>
  <c r="CZ37" i="5" s="1"/>
  <c r="CY38" i="5"/>
  <c r="CZ38" i="5"/>
  <c r="DA38" i="5"/>
  <c r="DB38" i="5"/>
  <c r="CY39" i="5"/>
  <c r="CZ39" i="5"/>
  <c r="DB39" i="5" s="1"/>
  <c r="DA39" i="5"/>
  <c r="CY40" i="5"/>
  <c r="CZ40" i="5" s="1"/>
  <c r="CY41" i="5"/>
  <c r="CZ41" i="5" s="1"/>
  <c r="CY42" i="5"/>
  <c r="CZ42" i="5"/>
  <c r="DA42" i="5" s="1"/>
  <c r="CY43" i="5"/>
  <c r="CZ43" i="5"/>
  <c r="DA43" i="5" s="1"/>
  <c r="DB43" i="5"/>
  <c r="CY44" i="5"/>
  <c r="CZ44" i="5" s="1"/>
  <c r="CY45" i="5"/>
  <c r="CZ45" i="5" s="1"/>
  <c r="CY46" i="5"/>
  <c r="CZ46" i="5" s="1"/>
  <c r="CY47" i="5"/>
  <c r="CZ47" i="5"/>
  <c r="DA47" i="5"/>
  <c r="DB47" i="5"/>
  <c r="CY48" i="5"/>
  <c r="CZ48" i="5"/>
  <c r="DB48" i="5" s="1"/>
  <c r="DA48" i="5"/>
  <c r="CY49" i="5"/>
  <c r="CZ49" i="5" s="1"/>
  <c r="CY50" i="5"/>
  <c r="CZ50" i="5" s="1"/>
  <c r="CY51" i="5"/>
  <c r="CZ51" i="5"/>
  <c r="DA51" i="5" s="1"/>
  <c r="CY52" i="5"/>
  <c r="CZ52" i="5"/>
  <c r="DA52" i="5" s="1"/>
  <c r="DB52" i="5"/>
  <c r="CY53" i="5"/>
  <c r="CZ53" i="5" s="1"/>
  <c r="CY54" i="5"/>
  <c r="CZ54" i="5" s="1"/>
  <c r="CY55" i="5"/>
  <c r="CZ55" i="5" s="1"/>
  <c r="CY56" i="5"/>
  <c r="CZ56" i="5" s="1"/>
  <c r="CY57" i="5"/>
  <c r="CZ57" i="5"/>
  <c r="DB57" i="5" s="1"/>
  <c r="DA57" i="5"/>
  <c r="CY58" i="5"/>
  <c r="CZ58" i="5" s="1"/>
  <c r="CY59" i="5"/>
  <c r="CZ59" i="5" s="1"/>
  <c r="CY60" i="5"/>
  <c r="CZ60" i="5"/>
  <c r="DB60" i="5" s="1"/>
  <c r="DA60" i="5"/>
  <c r="CY61" i="5"/>
  <c r="CZ61" i="5"/>
  <c r="DA61" i="5" s="1"/>
  <c r="DB61" i="5"/>
  <c r="CY62" i="5"/>
  <c r="CZ62" i="5" s="1"/>
  <c r="CY63" i="5"/>
  <c r="CZ63" i="5" s="1"/>
  <c r="CY64" i="5"/>
  <c r="CZ64" i="5" s="1"/>
  <c r="CY65" i="5"/>
  <c r="CZ65" i="5" s="1"/>
  <c r="CY66" i="5"/>
  <c r="CZ66" i="5"/>
  <c r="DB66" i="5" s="1"/>
  <c r="DA66" i="5"/>
  <c r="CY67" i="5"/>
  <c r="CZ67" i="5" s="1"/>
  <c r="CY68" i="5"/>
  <c r="CZ68" i="5" s="1"/>
  <c r="CY69" i="5"/>
  <c r="CZ69" i="5"/>
  <c r="DB69" i="5" s="1"/>
  <c r="DA69" i="5"/>
  <c r="CY70" i="5"/>
  <c r="CZ70" i="5"/>
  <c r="DA70" i="5" s="1"/>
  <c r="DB70" i="5"/>
  <c r="CY71" i="5"/>
  <c r="CZ71" i="5" s="1"/>
  <c r="CY72" i="5"/>
  <c r="CZ72" i="5" s="1"/>
  <c r="CY73" i="5"/>
  <c r="CZ73" i="5" s="1"/>
  <c r="CY74" i="5"/>
  <c r="CZ74" i="5" s="1"/>
  <c r="CY75" i="5"/>
  <c r="CZ75" i="5"/>
  <c r="DB75" i="5" s="1"/>
  <c r="DA75" i="5"/>
  <c r="CY76" i="5"/>
  <c r="CZ76" i="5" s="1"/>
  <c r="CY77" i="5"/>
  <c r="CZ77" i="5" s="1"/>
  <c r="CY78" i="5"/>
  <c r="CZ78" i="5"/>
  <c r="DB78" i="5" s="1"/>
  <c r="DA78" i="5"/>
  <c r="CY79" i="5"/>
  <c r="CZ79" i="5"/>
  <c r="DA79" i="5" s="1"/>
  <c r="DB79" i="5"/>
  <c r="CY80" i="5"/>
  <c r="CZ80" i="5" s="1"/>
  <c r="CY81" i="5"/>
  <c r="CZ81" i="5" s="1"/>
  <c r="CY82" i="5"/>
  <c r="CZ82" i="5" s="1"/>
  <c r="CY83" i="5"/>
  <c r="CZ83" i="5" s="1"/>
  <c r="CY84" i="5"/>
  <c r="CZ84" i="5"/>
  <c r="DB84" i="5" s="1"/>
  <c r="DA84" i="5"/>
  <c r="CY85" i="5"/>
  <c r="CZ85" i="5" s="1"/>
  <c r="CY86" i="5"/>
  <c r="CZ86" i="5" s="1"/>
  <c r="CY87" i="5"/>
  <c r="CZ87" i="5"/>
  <c r="DB87" i="5" s="1"/>
  <c r="DA87" i="5"/>
  <c r="CY88" i="5"/>
  <c r="CZ88" i="5"/>
  <c r="DA88" i="5" s="1"/>
  <c r="DB88" i="5"/>
  <c r="CY89" i="5"/>
  <c r="CZ89" i="5" s="1"/>
  <c r="CY90" i="5"/>
  <c r="CZ90" i="5" s="1"/>
  <c r="CY91" i="5"/>
  <c r="CZ91" i="5" s="1"/>
  <c r="CY92" i="5"/>
  <c r="CZ92" i="5" s="1"/>
  <c r="CY93" i="5"/>
  <c r="CZ93" i="5"/>
  <c r="DB93" i="5" s="1"/>
  <c r="DA93" i="5"/>
  <c r="CY94" i="5"/>
  <c r="CZ94" i="5" s="1"/>
  <c r="CY95" i="5"/>
  <c r="CZ95" i="5" s="1"/>
  <c r="CY96" i="5"/>
  <c r="CZ96" i="5"/>
  <c r="DB96" i="5" s="1"/>
  <c r="DA96" i="5"/>
  <c r="CY97" i="5"/>
  <c r="CZ97" i="5"/>
  <c r="DA97" i="5" s="1"/>
  <c r="DB97" i="5"/>
  <c r="CY98" i="5"/>
  <c r="CZ98" i="5" s="1"/>
  <c r="CY99" i="5"/>
  <c r="CZ99" i="5" s="1"/>
  <c r="CY100" i="5"/>
  <c r="CZ100" i="5" s="1"/>
  <c r="CY101" i="5"/>
  <c r="CZ101" i="5" s="1"/>
  <c r="CY102" i="5"/>
  <c r="CZ102" i="5"/>
  <c r="DB102" i="5" s="1"/>
  <c r="DA102" i="5"/>
  <c r="CY103" i="5"/>
  <c r="CZ103" i="5" s="1"/>
  <c r="CY104" i="5"/>
  <c r="CZ104" i="5" s="1"/>
  <c r="CY105" i="5"/>
  <c r="CZ105" i="5" s="1"/>
  <c r="CY106" i="5"/>
  <c r="CZ106" i="5"/>
  <c r="DA106" i="5" s="1"/>
  <c r="DB106" i="5"/>
  <c r="CY107" i="5"/>
  <c r="CZ107" i="5" s="1"/>
  <c r="CY108" i="5"/>
  <c r="CZ108" i="5" s="1"/>
  <c r="CY109" i="5"/>
  <c r="CZ109" i="5" s="1"/>
  <c r="CY110" i="5"/>
  <c r="CZ110" i="5" s="1"/>
  <c r="CY111" i="5"/>
  <c r="CZ111" i="5"/>
  <c r="DB111" i="5" s="1"/>
  <c r="DA111" i="5"/>
  <c r="CY112" i="5"/>
  <c r="CZ112" i="5" s="1"/>
  <c r="CY113" i="5"/>
  <c r="CZ113" i="5" s="1"/>
  <c r="CY114" i="5"/>
  <c r="CZ114" i="5" s="1"/>
  <c r="CY115" i="5"/>
  <c r="CZ115" i="5"/>
  <c r="DA115" i="5" s="1"/>
  <c r="DB115" i="5"/>
  <c r="CY116" i="5"/>
  <c r="CZ116" i="5" s="1"/>
  <c r="CY117" i="5"/>
  <c r="CZ117" i="5" s="1"/>
  <c r="CY118" i="5"/>
  <c r="CZ118" i="5" s="1"/>
  <c r="CY119" i="5"/>
  <c r="CZ119" i="5" s="1"/>
  <c r="CY120" i="5"/>
  <c r="CZ120" i="5"/>
  <c r="DB120" i="5" s="1"/>
  <c r="DA120" i="5"/>
  <c r="CY121" i="5"/>
  <c r="CZ121" i="5" s="1"/>
  <c r="CY122" i="5"/>
  <c r="CZ122" i="5" s="1"/>
  <c r="CY123" i="5"/>
  <c r="CZ123" i="5" s="1"/>
  <c r="CY124" i="5"/>
  <c r="CZ124" i="5"/>
  <c r="DA124" i="5" s="1"/>
  <c r="DB124" i="5"/>
  <c r="CY125" i="5"/>
  <c r="CZ125" i="5" s="1"/>
  <c r="CY126" i="5"/>
  <c r="CZ126" i="5" s="1"/>
  <c r="CY127" i="5"/>
  <c r="CZ127" i="5" s="1"/>
  <c r="CY128" i="5"/>
  <c r="CZ128" i="5" s="1"/>
  <c r="CY129" i="5"/>
  <c r="CZ129" i="5"/>
  <c r="DB129" i="5" s="1"/>
  <c r="DA129" i="5"/>
  <c r="CY130" i="5"/>
  <c r="CZ130" i="5" s="1"/>
  <c r="CY131" i="5"/>
  <c r="CZ131" i="5" s="1"/>
  <c r="CY132" i="5"/>
  <c r="CZ132" i="5" s="1"/>
  <c r="CY133" i="5"/>
  <c r="CZ133" i="5"/>
  <c r="DA133" i="5" s="1"/>
  <c r="DB133" i="5"/>
  <c r="CY134" i="5"/>
  <c r="CZ134" i="5" s="1"/>
  <c r="CY135" i="5"/>
  <c r="CZ135" i="5" s="1"/>
  <c r="CY136" i="5"/>
  <c r="CZ136" i="5" s="1"/>
  <c r="CY137" i="5"/>
  <c r="CZ137" i="5" s="1"/>
  <c r="CY138" i="5"/>
  <c r="CZ138" i="5"/>
  <c r="DB138" i="5" s="1"/>
  <c r="DA138" i="5"/>
  <c r="CY139" i="5"/>
  <c r="CZ139" i="5" s="1"/>
  <c r="CY140" i="5"/>
  <c r="CZ140" i="5" s="1"/>
  <c r="CY141" i="5"/>
  <c r="CZ141" i="5" s="1"/>
  <c r="CY142" i="5"/>
  <c r="CZ142" i="5"/>
  <c r="DA142" i="5" s="1"/>
  <c r="DB142" i="5"/>
  <c r="CY143" i="5"/>
  <c r="CZ143" i="5" s="1"/>
  <c r="CY144" i="5"/>
  <c r="CZ144" i="5" s="1"/>
  <c r="CY145" i="5"/>
  <c r="CZ145" i="5" s="1"/>
  <c r="CY146" i="5"/>
  <c r="CZ146" i="5" s="1"/>
  <c r="CY147" i="5"/>
  <c r="CZ147" i="5" s="1"/>
  <c r="CY148" i="5"/>
  <c r="CZ148" i="5" s="1"/>
  <c r="CY149" i="5"/>
  <c r="CZ149" i="5" s="1"/>
  <c r="CY150" i="5"/>
  <c r="CZ150" i="5" s="1"/>
  <c r="CY151" i="5"/>
  <c r="CZ151" i="5"/>
  <c r="DA151" i="5"/>
  <c r="DB151" i="5"/>
  <c r="CY152" i="5"/>
  <c r="CZ152" i="5" s="1"/>
  <c r="CY153" i="5"/>
  <c r="CZ153" i="5" s="1"/>
  <c r="CY154" i="5"/>
  <c r="CZ154" i="5" s="1"/>
  <c r="CY155" i="5"/>
  <c r="CZ155" i="5" s="1"/>
  <c r="CY156" i="5"/>
  <c r="CZ156" i="5" s="1"/>
  <c r="CY157" i="5"/>
  <c r="CZ157" i="5" s="1"/>
  <c r="CY158" i="5"/>
  <c r="CZ158" i="5" s="1"/>
  <c r="CY159" i="5"/>
  <c r="CZ159" i="5" s="1"/>
  <c r="CY160" i="5"/>
  <c r="CZ160" i="5" s="1"/>
  <c r="CY161" i="5"/>
  <c r="CZ161" i="5" s="1"/>
  <c r="CY162" i="5"/>
  <c r="CZ162" i="5" s="1"/>
  <c r="CY163" i="5"/>
  <c r="CZ163" i="5" s="1"/>
  <c r="CY164" i="5"/>
  <c r="CZ164" i="5" s="1"/>
  <c r="CY165" i="5"/>
  <c r="CZ165" i="5" s="1"/>
  <c r="CY166" i="5"/>
  <c r="CZ166" i="5" s="1"/>
  <c r="CY167" i="5"/>
  <c r="CZ167" i="5" s="1"/>
  <c r="CY168" i="5"/>
  <c r="CZ168" i="5" s="1"/>
  <c r="CY169" i="5"/>
  <c r="CZ169" i="5"/>
  <c r="DA169" i="5"/>
  <c r="DB169" i="5"/>
  <c r="CY170" i="5"/>
  <c r="CZ170" i="5" s="1"/>
  <c r="CY171" i="5"/>
  <c r="CZ171" i="5" s="1"/>
  <c r="CY172" i="5"/>
  <c r="CZ172" i="5" s="1"/>
  <c r="CY173" i="5"/>
  <c r="CZ173" i="5" s="1"/>
  <c r="CY174" i="5"/>
  <c r="CZ174" i="5" s="1"/>
  <c r="CY175" i="5"/>
  <c r="CZ175" i="5" s="1"/>
  <c r="CY176" i="5"/>
  <c r="CZ176" i="5" s="1"/>
  <c r="CY177" i="5"/>
  <c r="CZ177" i="5" s="1"/>
  <c r="CY178" i="5"/>
  <c r="CZ178" i="5" s="1"/>
  <c r="CY179" i="5"/>
  <c r="CZ179" i="5" s="1"/>
  <c r="CY180" i="5"/>
  <c r="CZ180" i="5" s="1"/>
  <c r="CY181" i="5"/>
  <c r="CZ181" i="5" s="1"/>
  <c r="CY182" i="5"/>
  <c r="CZ182" i="5" s="1"/>
  <c r="CY183" i="5"/>
  <c r="CZ183" i="5" s="1"/>
  <c r="CY184" i="5"/>
  <c r="CZ184" i="5" s="1"/>
  <c r="CY185" i="5"/>
  <c r="CZ185" i="5" s="1"/>
  <c r="CY186" i="5"/>
  <c r="CZ186" i="5" s="1"/>
  <c r="CY187" i="5"/>
  <c r="CZ187" i="5" s="1"/>
  <c r="CY188" i="5"/>
  <c r="CZ188" i="5" s="1"/>
  <c r="CY189" i="5"/>
  <c r="CZ189" i="5" s="1"/>
  <c r="CY190" i="5"/>
  <c r="CZ190" i="5" s="1"/>
  <c r="CY191" i="5"/>
  <c r="CZ191" i="5" s="1"/>
  <c r="CY192" i="5"/>
  <c r="CZ192" i="5" s="1"/>
  <c r="CY193" i="5"/>
  <c r="CZ193" i="5" s="1"/>
  <c r="CY194" i="5"/>
  <c r="CZ194" i="5" s="1"/>
  <c r="CY195" i="5"/>
  <c r="CZ195" i="5" s="1"/>
  <c r="CY196" i="5"/>
  <c r="CZ196" i="5"/>
  <c r="DA196" i="5"/>
  <c r="DB196" i="5"/>
  <c r="CY197" i="5"/>
  <c r="CZ197" i="5" s="1"/>
  <c r="CY198" i="5"/>
  <c r="CZ198" i="5" s="1"/>
  <c r="CY199" i="5"/>
  <c r="CZ199" i="5" s="1"/>
  <c r="CY200" i="5"/>
  <c r="CZ200" i="5" s="1"/>
  <c r="CY201" i="5"/>
  <c r="CZ201" i="5" s="1"/>
  <c r="CY202" i="5"/>
  <c r="CZ202" i="5" s="1"/>
  <c r="CY203" i="5"/>
  <c r="CZ203" i="5" s="1"/>
  <c r="CY204" i="5"/>
  <c r="CZ204" i="5" s="1"/>
  <c r="CY205" i="5"/>
  <c r="CZ205" i="5" s="1"/>
  <c r="CY206" i="5"/>
  <c r="CZ206" i="5" s="1"/>
  <c r="CY207" i="5"/>
  <c r="CZ207" i="5" s="1"/>
  <c r="CY208" i="5"/>
  <c r="CZ208" i="5" s="1"/>
  <c r="CY209" i="5"/>
  <c r="CZ209" i="5" s="1"/>
  <c r="CY210" i="5"/>
  <c r="CZ210" i="5" s="1"/>
  <c r="CY211" i="5"/>
  <c r="CZ211" i="5" s="1"/>
  <c r="CY212" i="5"/>
  <c r="CZ212" i="5" s="1"/>
  <c r="CY213" i="5"/>
  <c r="CZ213" i="5" s="1"/>
  <c r="CY214" i="5"/>
  <c r="CZ214" i="5" s="1"/>
  <c r="CY215" i="5"/>
  <c r="CZ215" i="5" s="1"/>
  <c r="CY216" i="5"/>
  <c r="CZ216" i="5" s="1"/>
  <c r="CY217" i="5"/>
  <c r="CZ217" i="5" s="1"/>
  <c r="CY218" i="5"/>
  <c r="CZ218" i="5" s="1"/>
  <c r="CY219" i="5"/>
  <c r="CZ219" i="5" s="1"/>
  <c r="CY220" i="5"/>
  <c r="CZ220" i="5" s="1"/>
  <c r="CY221" i="5"/>
  <c r="CZ221" i="5" s="1"/>
  <c r="CY222" i="5"/>
  <c r="CZ222" i="5" s="1"/>
  <c r="CY223" i="5"/>
  <c r="CZ223" i="5"/>
  <c r="DA223" i="5"/>
  <c r="DB223" i="5"/>
  <c r="CY224" i="5"/>
  <c r="CZ224" i="5" s="1"/>
  <c r="CY225" i="5"/>
  <c r="CZ225" i="5" s="1"/>
  <c r="CY226" i="5"/>
  <c r="CZ226" i="5" s="1"/>
  <c r="CY227" i="5"/>
  <c r="CZ227" i="5" s="1"/>
  <c r="CY228" i="5"/>
  <c r="CZ228" i="5" s="1"/>
  <c r="CY229" i="5"/>
  <c r="CZ229" i="5" s="1"/>
  <c r="CY230" i="5"/>
  <c r="CZ230" i="5" s="1"/>
  <c r="CY231" i="5"/>
  <c r="CZ231" i="5" s="1"/>
  <c r="CY232" i="5"/>
  <c r="CZ232" i="5" s="1"/>
  <c r="CY3" i="5"/>
  <c r="CZ3" i="5" s="1"/>
  <c r="CU4" i="5"/>
  <c r="CV4" i="5" s="1"/>
  <c r="CU5" i="5"/>
  <c r="CV5" i="5"/>
  <c r="CW5" i="5" s="1"/>
  <c r="CU6" i="5"/>
  <c r="CV6" i="5"/>
  <c r="CW6" i="5" s="1"/>
  <c r="CU7" i="5"/>
  <c r="CV7" i="5" s="1"/>
  <c r="CU8" i="5"/>
  <c r="CV8" i="5" s="1"/>
  <c r="CU9" i="5"/>
  <c r="CV9" i="5" s="1"/>
  <c r="CU10" i="5"/>
  <c r="CV10" i="5" s="1"/>
  <c r="CU11" i="5"/>
  <c r="CV11" i="5" s="1"/>
  <c r="CU12" i="5"/>
  <c r="CV12" i="5"/>
  <c r="CW12" i="5"/>
  <c r="CX12" i="5"/>
  <c r="CU13" i="5"/>
  <c r="CV13" i="5" s="1"/>
  <c r="CU14" i="5"/>
  <c r="CV14" i="5" s="1"/>
  <c r="CU15" i="5"/>
  <c r="CV15" i="5"/>
  <c r="CW15" i="5" s="1"/>
  <c r="CU16" i="5"/>
  <c r="CV16" i="5" s="1"/>
  <c r="CU17" i="5"/>
  <c r="CV17" i="5" s="1"/>
  <c r="CU18" i="5"/>
  <c r="CV18" i="5" s="1"/>
  <c r="CU19" i="5"/>
  <c r="CV19" i="5" s="1"/>
  <c r="CU20" i="5"/>
  <c r="CV20" i="5" s="1"/>
  <c r="CU21" i="5"/>
  <c r="CV21" i="5"/>
  <c r="CW21" i="5"/>
  <c r="CX21" i="5"/>
  <c r="CU22" i="5"/>
  <c r="CV22" i="5" s="1"/>
  <c r="CU23" i="5"/>
  <c r="CV23" i="5"/>
  <c r="CW23" i="5" s="1"/>
  <c r="CU24" i="5"/>
  <c r="CV24" i="5" s="1"/>
  <c r="CU25" i="5"/>
  <c r="CV25" i="5" s="1"/>
  <c r="CU26" i="5"/>
  <c r="CV26" i="5" s="1"/>
  <c r="CU27" i="5"/>
  <c r="CV27" i="5" s="1"/>
  <c r="CU28" i="5"/>
  <c r="CV28" i="5" s="1"/>
  <c r="CU29" i="5"/>
  <c r="CV29" i="5" s="1"/>
  <c r="CU30" i="5"/>
  <c r="CV30" i="5"/>
  <c r="CW30" i="5"/>
  <c r="CX30" i="5"/>
  <c r="CU31" i="5"/>
  <c r="CV31" i="5" s="1"/>
  <c r="CU32" i="5"/>
  <c r="CV32" i="5" s="1"/>
  <c r="CU33" i="5"/>
  <c r="CV33" i="5" s="1"/>
  <c r="CU34" i="5"/>
  <c r="CV34" i="5" s="1"/>
  <c r="CU35" i="5"/>
  <c r="CV35" i="5" s="1"/>
  <c r="CU36" i="5"/>
  <c r="CV36" i="5" s="1"/>
  <c r="CU37" i="5"/>
  <c r="CV37" i="5" s="1"/>
  <c r="CU38" i="5"/>
  <c r="CV38" i="5" s="1"/>
  <c r="CU39" i="5"/>
  <c r="CV39" i="5"/>
  <c r="CW39" i="5"/>
  <c r="CX39" i="5"/>
  <c r="CU40" i="5"/>
  <c r="CV40" i="5" s="1"/>
  <c r="CU41" i="5"/>
  <c r="CV41" i="5" s="1"/>
  <c r="CU42" i="5"/>
  <c r="CV42" i="5" s="1"/>
  <c r="CU43" i="5"/>
  <c r="CV43" i="5" s="1"/>
  <c r="CU44" i="5"/>
  <c r="CV44" i="5" s="1"/>
  <c r="CU45" i="5"/>
  <c r="CV45" i="5" s="1"/>
  <c r="CU46" i="5"/>
  <c r="CV46" i="5" s="1"/>
  <c r="CU47" i="5"/>
  <c r="CV47" i="5" s="1"/>
  <c r="CU48" i="5"/>
  <c r="CV48" i="5"/>
  <c r="CW48" i="5"/>
  <c r="CX48" i="5"/>
  <c r="CU49" i="5"/>
  <c r="CV49" i="5" s="1"/>
  <c r="CU50" i="5"/>
  <c r="CV50" i="5" s="1"/>
  <c r="CU51" i="5"/>
  <c r="CV51" i="5" s="1"/>
  <c r="CU52" i="5"/>
  <c r="CV52" i="5" s="1"/>
  <c r="CU53" i="5"/>
  <c r="CV53" i="5" s="1"/>
  <c r="CU54" i="5"/>
  <c r="CV54" i="5" s="1"/>
  <c r="CU55" i="5"/>
  <c r="CV55" i="5" s="1"/>
  <c r="CU56" i="5"/>
  <c r="CV56" i="5" s="1"/>
  <c r="CU57" i="5"/>
  <c r="CV57" i="5"/>
  <c r="CW57" i="5"/>
  <c r="CX57" i="5"/>
  <c r="CU58" i="5"/>
  <c r="CV58" i="5" s="1"/>
  <c r="CU59" i="5"/>
  <c r="CV59" i="5" s="1"/>
  <c r="CU60" i="5"/>
  <c r="CV60" i="5" s="1"/>
  <c r="CU61" i="5"/>
  <c r="CV61" i="5" s="1"/>
  <c r="CU62" i="5"/>
  <c r="CV62" i="5" s="1"/>
  <c r="CU63" i="5"/>
  <c r="CV63" i="5" s="1"/>
  <c r="CU64" i="5"/>
  <c r="CV64" i="5" s="1"/>
  <c r="CU65" i="5"/>
  <c r="CV65" i="5" s="1"/>
  <c r="CU66" i="5"/>
  <c r="CV66" i="5"/>
  <c r="CW66" i="5"/>
  <c r="CX66" i="5"/>
  <c r="CU67" i="5"/>
  <c r="CV67" i="5" s="1"/>
  <c r="CU68" i="5"/>
  <c r="CV68" i="5" s="1"/>
  <c r="CU69" i="5"/>
  <c r="CV69" i="5" s="1"/>
  <c r="CU70" i="5"/>
  <c r="CV70" i="5" s="1"/>
  <c r="CU71" i="5"/>
  <c r="CV71" i="5" s="1"/>
  <c r="CU72" i="5"/>
  <c r="CV72" i="5" s="1"/>
  <c r="CU73" i="5"/>
  <c r="CV73" i="5" s="1"/>
  <c r="CU74" i="5"/>
  <c r="CV74" i="5" s="1"/>
  <c r="CU75" i="5"/>
  <c r="CV75" i="5"/>
  <c r="CW75" i="5"/>
  <c r="CX75" i="5"/>
  <c r="CU76" i="5"/>
  <c r="CV76" i="5" s="1"/>
  <c r="CU77" i="5"/>
  <c r="CV77" i="5" s="1"/>
  <c r="CU78" i="5"/>
  <c r="CV78" i="5" s="1"/>
  <c r="CU79" i="5"/>
  <c r="CV79" i="5" s="1"/>
  <c r="CU80" i="5"/>
  <c r="CV80" i="5" s="1"/>
  <c r="CU81" i="5"/>
  <c r="CV81" i="5" s="1"/>
  <c r="CU82" i="5"/>
  <c r="CV82" i="5" s="1"/>
  <c r="CU83" i="5"/>
  <c r="CV83" i="5" s="1"/>
  <c r="CU84" i="5"/>
  <c r="CV84" i="5"/>
  <c r="CW84" i="5"/>
  <c r="CX84" i="5"/>
  <c r="CU85" i="5"/>
  <c r="CV85" i="5" s="1"/>
  <c r="CU86" i="5"/>
  <c r="CV86" i="5" s="1"/>
  <c r="CU87" i="5"/>
  <c r="CV87" i="5" s="1"/>
  <c r="CU88" i="5"/>
  <c r="CV88" i="5" s="1"/>
  <c r="CU89" i="5"/>
  <c r="CV89" i="5" s="1"/>
  <c r="CU90" i="5"/>
  <c r="CV90" i="5" s="1"/>
  <c r="CU91" i="5"/>
  <c r="CV91" i="5" s="1"/>
  <c r="CU92" i="5"/>
  <c r="CV92" i="5" s="1"/>
  <c r="CU93" i="5"/>
  <c r="CV93" i="5"/>
  <c r="CW93" i="5"/>
  <c r="CX93" i="5"/>
  <c r="CU94" i="5"/>
  <c r="CV94" i="5" s="1"/>
  <c r="CU95" i="5"/>
  <c r="CV95" i="5" s="1"/>
  <c r="CU96" i="5"/>
  <c r="CV96" i="5" s="1"/>
  <c r="CU97" i="5"/>
  <c r="CV97" i="5" s="1"/>
  <c r="CU98" i="5"/>
  <c r="CV98" i="5" s="1"/>
  <c r="CU99" i="5"/>
  <c r="CV99" i="5" s="1"/>
  <c r="CU100" i="5"/>
  <c r="CV100" i="5" s="1"/>
  <c r="CU101" i="5"/>
  <c r="CV101" i="5" s="1"/>
  <c r="CU102" i="5"/>
  <c r="CV102" i="5"/>
  <c r="CW102" i="5"/>
  <c r="CX102" i="5"/>
  <c r="CU103" i="5"/>
  <c r="CV103" i="5" s="1"/>
  <c r="CU104" i="5"/>
  <c r="CV104" i="5" s="1"/>
  <c r="CU105" i="5"/>
  <c r="CV105" i="5" s="1"/>
  <c r="CU106" i="5"/>
  <c r="CV106" i="5" s="1"/>
  <c r="CU107" i="5"/>
  <c r="CV107" i="5" s="1"/>
  <c r="CU108" i="5"/>
  <c r="CV108" i="5" s="1"/>
  <c r="CU109" i="5"/>
  <c r="CV109" i="5" s="1"/>
  <c r="CU110" i="5"/>
  <c r="CV110" i="5" s="1"/>
  <c r="CU111" i="5"/>
  <c r="CV111" i="5" s="1"/>
  <c r="CW111" i="5"/>
  <c r="CX111" i="5"/>
  <c r="CU112" i="5"/>
  <c r="CV112" i="5" s="1"/>
  <c r="CU113" i="5"/>
  <c r="CV113" i="5" s="1"/>
  <c r="CU114" i="5"/>
  <c r="CV114" i="5" s="1"/>
  <c r="CU115" i="5"/>
  <c r="CV115" i="5" s="1"/>
  <c r="CU116" i="5"/>
  <c r="CV116" i="5" s="1"/>
  <c r="CU117" i="5"/>
  <c r="CV117" i="5" s="1"/>
  <c r="CU118" i="5"/>
  <c r="CV118" i="5" s="1"/>
  <c r="CU119" i="5"/>
  <c r="CV119" i="5" s="1"/>
  <c r="CU120" i="5"/>
  <c r="CV120" i="5"/>
  <c r="CW120" i="5"/>
  <c r="CX120" i="5"/>
  <c r="CU121" i="5"/>
  <c r="CV121" i="5" s="1"/>
  <c r="CU122" i="5"/>
  <c r="CV122" i="5" s="1"/>
  <c r="CU123" i="5"/>
  <c r="CV123" i="5" s="1"/>
  <c r="CU124" i="5"/>
  <c r="CV124" i="5" s="1"/>
  <c r="CU125" i="5"/>
  <c r="CV125" i="5" s="1"/>
  <c r="CU126" i="5"/>
  <c r="CV126" i="5" s="1"/>
  <c r="CU127" i="5"/>
  <c r="CV127" i="5" s="1"/>
  <c r="CU128" i="5"/>
  <c r="CV128" i="5" s="1"/>
  <c r="CU129" i="5"/>
  <c r="CV129" i="5"/>
  <c r="CW129" i="5"/>
  <c r="CX129" i="5"/>
  <c r="CU130" i="5"/>
  <c r="CV130" i="5" s="1"/>
  <c r="CU131" i="5"/>
  <c r="CV131" i="5" s="1"/>
  <c r="CU132" i="5"/>
  <c r="CV132" i="5" s="1"/>
  <c r="CU133" i="5"/>
  <c r="CV133" i="5" s="1"/>
  <c r="CU134" i="5"/>
  <c r="CV134" i="5" s="1"/>
  <c r="CU135" i="5"/>
  <c r="CV135" i="5" s="1"/>
  <c r="CU136" i="5"/>
  <c r="CV136" i="5" s="1"/>
  <c r="CU137" i="5"/>
  <c r="CV137" i="5" s="1"/>
  <c r="CU138" i="5"/>
  <c r="CV138" i="5"/>
  <c r="CW138" i="5"/>
  <c r="CX138" i="5"/>
  <c r="CU139" i="5"/>
  <c r="CV139" i="5" s="1"/>
  <c r="CU140" i="5"/>
  <c r="CV140" i="5" s="1"/>
  <c r="CU141" i="5"/>
  <c r="CV141" i="5" s="1"/>
  <c r="CU142" i="5"/>
  <c r="CV142" i="5" s="1"/>
  <c r="CU143" i="5"/>
  <c r="CV143" i="5" s="1"/>
  <c r="CU144" i="5"/>
  <c r="CV144" i="5" s="1"/>
  <c r="CU145" i="5"/>
  <c r="CV145" i="5" s="1"/>
  <c r="CU146" i="5"/>
  <c r="CV146" i="5" s="1"/>
  <c r="CU147" i="5"/>
  <c r="CV147" i="5"/>
  <c r="CW147" i="5"/>
  <c r="CX147" i="5"/>
  <c r="CU148" i="5"/>
  <c r="CV148" i="5" s="1"/>
  <c r="CU149" i="5"/>
  <c r="CV149" i="5" s="1"/>
  <c r="CU150" i="5"/>
  <c r="CV150" i="5" s="1"/>
  <c r="CU151" i="5"/>
  <c r="CV151" i="5" s="1"/>
  <c r="CU152" i="5"/>
  <c r="CV152" i="5" s="1"/>
  <c r="CU153" i="5"/>
  <c r="CV153" i="5" s="1"/>
  <c r="CU154" i="5"/>
  <c r="CV154" i="5" s="1"/>
  <c r="CU155" i="5"/>
  <c r="CV155" i="5" s="1"/>
  <c r="CU156" i="5"/>
  <c r="CV156" i="5"/>
  <c r="CW156" i="5"/>
  <c r="CX156" i="5"/>
  <c r="CU157" i="5"/>
  <c r="CV157" i="5" s="1"/>
  <c r="CU158" i="5"/>
  <c r="CV158" i="5" s="1"/>
  <c r="CU159" i="5"/>
  <c r="CV159" i="5" s="1"/>
  <c r="CU160" i="5"/>
  <c r="CV160" i="5" s="1"/>
  <c r="CU161" i="5"/>
  <c r="CV161" i="5" s="1"/>
  <c r="CU162" i="5"/>
  <c r="CV162" i="5" s="1"/>
  <c r="CU163" i="5"/>
  <c r="CV163" i="5" s="1"/>
  <c r="CU164" i="5"/>
  <c r="CV164" i="5" s="1"/>
  <c r="CU165" i="5"/>
  <c r="CV165" i="5"/>
  <c r="CW165" i="5"/>
  <c r="CX165" i="5"/>
  <c r="CU166" i="5"/>
  <c r="CV166" i="5" s="1"/>
  <c r="CU167" i="5"/>
  <c r="CV167" i="5" s="1"/>
  <c r="CU168" i="5"/>
  <c r="CV168" i="5" s="1"/>
  <c r="CU169" i="5"/>
  <c r="CV169" i="5" s="1"/>
  <c r="CU170" i="5"/>
  <c r="CV170" i="5" s="1"/>
  <c r="CU171" i="5"/>
  <c r="CV171" i="5" s="1"/>
  <c r="CU172" i="5"/>
  <c r="CV172" i="5" s="1"/>
  <c r="CU173" i="5"/>
  <c r="CV173" i="5" s="1"/>
  <c r="CU174" i="5"/>
  <c r="CV174" i="5"/>
  <c r="CW174" i="5"/>
  <c r="CX174" i="5"/>
  <c r="CU175" i="5"/>
  <c r="CV175" i="5" s="1"/>
  <c r="CU176" i="5"/>
  <c r="CV176" i="5" s="1"/>
  <c r="CU177" i="5"/>
  <c r="CV177" i="5" s="1"/>
  <c r="CU178" i="5"/>
  <c r="CV178" i="5" s="1"/>
  <c r="CU179" i="5"/>
  <c r="CV179" i="5" s="1"/>
  <c r="CU180" i="5"/>
  <c r="CV180" i="5" s="1"/>
  <c r="CU181" i="5"/>
  <c r="CV181" i="5" s="1"/>
  <c r="CU182" i="5"/>
  <c r="CV182" i="5" s="1"/>
  <c r="CU183" i="5"/>
  <c r="CV183" i="5"/>
  <c r="CW183" i="5"/>
  <c r="CX183" i="5"/>
  <c r="CU184" i="5"/>
  <c r="CV184" i="5" s="1"/>
  <c r="CU185" i="5"/>
  <c r="CV185" i="5" s="1"/>
  <c r="CU186" i="5"/>
  <c r="CV186" i="5" s="1"/>
  <c r="CU187" i="5"/>
  <c r="CV187" i="5" s="1"/>
  <c r="CU188" i="5"/>
  <c r="CV188" i="5" s="1"/>
  <c r="CU189" i="5"/>
  <c r="CV189" i="5" s="1"/>
  <c r="CX189" i="5" s="1"/>
  <c r="CW189" i="5"/>
  <c r="CU190" i="5"/>
  <c r="CV190" i="5" s="1"/>
  <c r="CU191" i="5"/>
  <c r="CV191" i="5" s="1"/>
  <c r="CU192" i="5"/>
  <c r="CV192" i="5"/>
  <c r="CW192" i="5"/>
  <c r="CX192" i="5"/>
  <c r="CU193" i="5"/>
  <c r="CV193" i="5" s="1"/>
  <c r="CU194" i="5"/>
  <c r="CV194" i="5" s="1"/>
  <c r="CU195" i="5"/>
  <c r="CV195" i="5" s="1"/>
  <c r="CU196" i="5"/>
  <c r="CV196" i="5" s="1"/>
  <c r="CU197" i="5"/>
  <c r="CV197" i="5"/>
  <c r="CX197" i="5" s="1"/>
  <c r="CU198" i="5"/>
  <c r="CV198" i="5" s="1"/>
  <c r="CX198" i="5" s="1"/>
  <c r="CU199" i="5"/>
  <c r="CV199" i="5" s="1"/>
  <c r="CU200" i="5"/>
  <c r="CV200" i="5" s="1"/>
  <c r="CU201" i="5"/>
  <c r="CV201" i="5"/>
  <c r="CW201" i="5"/>
  <c r="CX201" i="5"/>
  <c r="CU202" i="5"/>
  <c r="CV202" i="5" s="1"/>
  <c r="CU203" i="5"/>
  <c r="CV203" i="5" s="1"/>
  <c r="CU204" i="5"/>
  <c r="CV204" i="5" s="1"/>
  <c r="CU205" i="5"/>
  <c r="CV205" i="5" s="1"/>
  <c r="CU206" i="5"/>
  <c r="CV206" i="5" s="1"/>
  <c r="CU207" i="5"/>
  <c r="CV207" i="5" s="1"/>
  <c r="CX207" i="5" s="1"/>
  <c r="CW207" i="5"/>
  <c r="CU208" i="5"/>
  <c r="CV208" i="5" s="1"/>
  <c r="CU209" i="5"/>
  <c r="CV209" i="5" s="1"/>
  <c r="CU210" i="5"/>
  <c r="CV210" i="5"/>
  <c r="CW210" i="5"/>
  <c r="CX210" i="5"/>
  <c r="CU211" i="5"/>
  <c r="CV211" i="5" s="1"/>
  <c r="CU212" i="5"/>
  <c r="CV212" i="5" s="1"/>
  <c r="CU213" i="5"/>
  <c r="CV213" i="5" s="1"/>
  <c r="CU214" i="5"/>
  <c r="CV214" i="5" s="1"/>
  <c r="CW214" i="5" s="1"/>
  <c r="CX214" i="5"/>
  <c r="CU215" i="5"/>
  <c r="CV215" i="5" s="1"/>
  <c r="CU216" i="5"/>
  <c r="CV216" i="5" s="1"/>
  <c r="CX216" i="5" s="1"/>
  <c r="CW216" i="5"/>
  <c r="CU217" i="5"/>
  <c r="CV217" i="5" s="1"/>
  <c r="CU218" i="5"/>
  <c r="CV218" i="5" s="1"/>
  <c r="CU219" i="5"/>
  <c r="CV219" i="5"/>
  <c r="CW219" i="5" s="1"/>
  <c r="CU220" i="5"/>
  <c r="CV220" i="5" s="1"/>
  <c r="CU221" i="5"/>
  <c r="CV221" i="5" s="1"/>
  <c r="CU222" i="5"/>
  <c r="CV222" i="5" s="1"/>
  <c r="CU223" i="5"/>
  <c r="CV223" i="5" s="1"/>
  <c r="CW223" i="5" s="1"/>
  <c r="CU224" i="5"/>
  <c r="CV224" i="5" s="1"/>
  <c r="CU225" i="5"/>
  <c r="CV225" i="5" s="1"/>
  <c r="CX225" i="5" s="1"/>
  <c r="CW225" i="5"/>
  <c r="CU226" i="5"/>
  <c r="CV226" i="5" s="1"/>
  <c r="CU227" i="5"/>
  <c r="CV227" i="5" s="1"/>
  <c r="CU228" i="5"/>
  <c r="CV228" i="5"/>
  <c r="CW228" i="5" s="1"/>
  <c r="CX228" i="5"/>
  <c r="CU229" i="5"/>
  <c r="CV229" i="5" s="1"/>
  <c r="CU230" i="5"/>
  <c r="CV230" i="5" s="1"/>
  <c r="CU231" i="5"/>
  <c r="CV231" i="5" s="1"/>
  <c r="CU232" i="5"/>
  <c r="CV232" i="5" s="1"/>
  <c r="CW232" i="5" s="1"/>
  <c r="CU3" i="5"/>
  <c r="CV3" i="5" s="1"/>
  <c r="CQ4" i="5"/>
  <c r="CR4" i="5" s="1"/>
  <c r="CQ5" i="5"/>
  <c r="CR5" i="5" s="1"/>
  <c r="CQ6" i="5"/>
  <c r="CR6" i="5" s="1"/>
  <c r="CQ7" i="5"/>
  <c r="CR7" i="5"/>
  <c r="CS7" i="5" s="1"/>
  <c r="CT7" i="5"/>
  <c r="CQ8" i="5"/>
  <c r="CR8" i="5" s="1"/>
  <c r="CQ9" i="5"/>
  <c r="CR9" i="5" s="1"/>
  <c r="CQ10" i="5"/>
  <c r="CR10" i="5" s="1"/>
  <c r="CQ11" i="5"/>
  <c r="CR11" i="5" s="1"/>
  <c r="CQ12" i="5"/>
  <c r="CR12" i="5"/>
  <c r="CT12" i="5" s="1"/>
  <c r="CS12" i="5"/>
  <c r="CQ13" i="5"/>
  <c r="CR13" i="5" s="1"/>
  <c r="CQ14" i="5"/>
  <c r="CR14" i="5" s="1"/>
  <c r="CQ15" i="5"/>
  <c r="CR15" i="5" s="1"/>
  <c r="CQ16" i="5"/>
  <c r="CR16" i="5"/>
  <c r="CS16" i="5" s="1"/>
  <c r="CT16" i="5"/>
  <c r="CQ17" i="5"/>
  <c r="CR17" i="5" s="1"/>
  <c r="CQ18" i="5"/>
  <c r="CR18" i="5" s="1"/>
  <c r="CQ19" i="5"/>
  <c r="CR19" i="5" s="1"/>
  <c r="CQ20" i="5"/>
  <c r="CR20" i="5" s="1"/>
  <c r="CQ21" i="5"/>
  <c r="CR21" i="5"/>
  <c r="CT21" i="5" s="1"/>
  <c r="CS21" i="5"/>
  <c r="CQ22" i="5"/>
  <c r="CR22" i="5" s="1"/>
  <c r="CQ23" i="5"/>
  <c r="CR23" i="5" s="1"/>
  <c r="CQ24" i="5"/>
  <c r="CR24" i="5" s="1"/>
  <c r="CQ25" i="5"/>
  <c r="CR25" i="5"/>
  <c r="CS25" i="5" s="1"/>
  <c r="CT25" i="5"/>
  <c r="CQ26" i="5"/>
  <c r="CR26" i="5" s="1"/>
  <c r="CQ27" i="5"/>
  <c r="CR27" i="5" s="1"/>
  <c r="CQ28" i="5"/>
  <c r="CR28" i="5" s="1"/>
  <c r="CQ29" i="5"/>
  <c r="CR29" i="5" s="1"/>
  <c r="CQ30" i="5"/>
  <c r="CR30" i="5"/>
  <c r="CT30" i="5" s="1"/>
  <c r="CS30" i="5"/>
  <c r="CQ31" i="5"/>
  <c r="CR31" i="5" s="1"/>
  <c r="CQ32" i="5"/>
  <c r="CR32" i="5" s="1"/>
  <c r="CQ33" i="5"/>
  <c r="CR33" i="5" s="1"/>
  <c r="CQ34" i="5"/>
  <c r="CR34" i="5"/>
  <c r="CS34" i="5" s="1"/>
  <c r="CT34" i="5"/>
  <c r="CQ35" i="5"/>
  <c r="CR35" i="5" s="1"/>
  <c r="CQ36" i="5"/>
  <c r="CR36" i="5" s="1"/>
  <c r="CQ37" i="5"/>
  <c r="CR37" i="5" s="1"/>
  <c r="CQ38" i="5"/>
  <c r="CR38" i="5" s="1"/>
  <c r="CQ39" i="5"/>
  <c r="CR39" i="5"/>
  <c r="CT39" i="5" s="1"/>
  <c r="CS39" i="5"/>
  <c r="CQ40" i="5"/>
  <c r="CR40" i="5" s="1"/>
  <c r="CQ41" i="5"/>
  <c r="CR41" i="5" s="1"/>
  <c r="CQ42" i="5"/>
  <c r="CR42" i="5" s="1"/>
  <c r="CQ43" i="5"/>
  <c r="CR43" i="5"/>
  <c r="CS43" i="5" s="1"/>
  <c r="CT43" i="5"/>
  <c r="CQ44" i="5"/>
  <c r="CR44" i="5" s="1"/>
  <c r="CQ45" i="5"/>
  <c r="CR45" i="5" s="1"/>
  <c r="CQ46" i="5"/>
  <c r="CR46" i="5" s="1"/>
  <c r="CQ47" i="5"/>
  <c r="CR47" i="5" s="1"/>
  <c r="CQ48" i="5"/>
  <c r="CR48" i="5"/>
  <c r="CT48" i="5" s="1"/>
  <c r="CS48" i="5"/>
  <c r="CQ49" i="5"/>
  <c r="CR49" i="5" s="1"/>
  <c r="CQ50" i="5"/>
  <c r="CR50" i="5" s="1"/>
  <c r="CQ51" i="5"/>
  <c r="CR51" i="5" s="1"/>
  <c r="CQ52" i="5"/>
  <c r="CR52" i="5"/>
  <c r="CS52" i="5" s="1"/>
  <c r="CT52" i="5"/>
  <c r="CQ53" i="5"/>
  <c r="CR53" i="5" s="1"/>
  <c r="CQ54" i="5"/>
  <c r="CR54" i="5" s="1"/>
  <c r="CQ55" i="5"/>
  <c r="CR55" i="5" s="1"/>
  <c r="CQ56" i="5"/>
  <c r="CR56" i="5" s="1"/>
  <c r="CQ57" i="5"/>
  <c r="CR57" i="5"/>
  <c r="CT57" i="5" s="1"/>
  <c r="CS57" i="5"/>
  <c r="CQ58" i="5"/>
  <c r="CR58" i="5" s="1"/>
  <c r="CQ59" i="5"/>
  <c r="CR59" i="5" s="1"/>
  <c r="CQ60" i="5"/>
  <c r="CR60" i="5" s="1"/>
  <c r="CQ61" i="5"/>
  <c r="CR61" i="5"/>
  <c r="CS61" i="5" s="1"/>
  <c r="CT61" i="5"/>
  <c r="CQ62" i="5"/>
  <c r="CR62" i="5" s="1"/>
  <c r="CQ63" i="5"/>
  <c r="CR63" i="5" s="1"/>
  <c r="CQ64" i="5"/>
  <c r="CR64" i="5" s="1"/>
  <c r="CQ65" i="5"/>
  <c r="CR65" i="5" s="1"/>
  <c r="CQ66" i="5"/>
  <c r="CR66" i="5"/>
  <c r="CT66" i="5" s="1"/>
  <c r="CS66" i="5"/>
  <c r="CQ67" i="5"/>
  <c r="CR67" i="5" s="1"/>
  <c r="CQ68" i="5"/>
  <c r="CR68" i="5" s="1"/>
  <c r="CQ69" i="5"/>
  <c r="CR69" i="5" s="1"/>
  <c r="CQ70" i="5"/>
  <c r="CR70" i="5"/>
  <c r="CS70" i="5" s="1"/>
  <c r="CT70" i="5"/>
  <c r="CQ71" i="5"/>
  <c r="CR71" i="5" s="1"/>
  <c r="CQ72" i="5"/>
  <c r="CR72" i="5" s="1"/>
  <c r="CQ73" i="5"/>
  <c r="CR73" i="5" s="1"/>
  <c r="CQ74" i="5"/>
  <c r="CR74" i="5" s="1"/>
  <c r="CQ75" i="5"/>
  <c r="CR75" i="5"/>
  <c r="CT75" i="5" s="1"/>
  <c r="CS75" i="5"/>
  <c r="CQ76" i="5"/>
  <c r="CR76" i="5" s="1"/>
  <c r="CQ77" i="5"/>
  <c r="CR77" i="5" s="1"/>
  <c r="CQ78" i="5"/>
  <c r="CR78" i="5" s="1"/>
  <c r="CQ79" i="5"/>
  <c r="CR79" i="5"/>
  <c r="CS79" i="5"/>
  <c r="CT79" i="5"/>
  <c r="CQ80" i="5"/>
  <c r="CR80" i="5" s="1"/>
  <c r="CQ81" i="5"/>
  <c r="CR81" i="5" s="1"/>
  <c r="CQ82" i="5"/>
  <c r="CR82" i="5" s="1"/>
  <c r="CQ83" i="5"/>
  <c r="CR83" i="5" s="1"/>
  <c r="CQ84" i="5"/>
  <c r="CR84" i="5"/>
  <c r="CT84" i="5" s="1"/>
  <c r="CS84" i="5"/>
  <c r="CQ85" i="5"/>
  <c r="CR85" i="5" s="1"/>
  <c r="CQ86" i="5"/>
  <c r="CR86" i="5" s="1"/>
  <c r="CQ87" i="5"/>
  <c r="CR87" i="5" s="1"/>
  <c r="CQ88" i="5"/>
  <c r="CR88" i="5"/>
  <c r="CS88" i="5"/>
  <c r="CT88" i="5"/>
  <c r="CQ89" i="5"/>
  <c r="CR89" i="5" s="1"/>
  <c r="CQ90" i="5"/>
  <c r="CR90" i="5" s="1"/>
  <c r="CQ91" i="5"/>
  <c r="CR91" i="5" s="1"/>
  <c r="CQ92" i="5"/>
  <c r="CR92" i="5" s="1"/>
  <c r="CQ93" i="5"/>
  <c r="CR93" i="5"/>
  <c r="CT93" i="5" s="1"/>
  <c r="CS93" i="5"/>
  <c r="CQ94" i="5"/>
  <c r="CR94" i="5" s="1"/>
  <c r="CQ95" i="5"/>
  <c r="CR95" i="5" s="1"/>
  <c r="CQ96" i="5"/>
  <c r="CR96" i="5" s="1"/>
  <c r="CQ97" i="5"/>
  <c r="CR97" i="5"/>
  <c r="CS97" i="5"/>
  <c r="CT97" i="5"/>
  <c r="CQ98" i="5"/>
  <c r="CR98" i="5" s="1"/>
  <c r="CQ99" i="5"/>
  <c r="CR99" i="5" s="1"/>
  <c r="CQ100" i="5"/>
  <c r="CR100" i="5" s="1"/>
  <c r="CQ101" i="5"/>
  <c r="CR101" i="5" s="1"/>
  <c r="CQ102" i="5"/>
  <c r="CR102" i="5"/>
  <c r="CT102" i="5" s="1"/>
  <c r="CS102" i="5"/>
  <c r="CQ103" i="5"/>
  <c r="CR103" i="5" s="1"/>
  <c r="CQ104" i="5"/>
  <c r="CR104" i="5" s="1"/>
  <c r="CQ105" i="5"/>
  <c r="CR105" i="5" s="1"/>
  <c r="CQ106" i="5"/>
  <c r="CR106" i="5"/>
  <c r="CS106" i="5"/>
  <c r="CT106" i="5"/>
  <c r="CQ107" i="5"/>
  <c r="CR107" i="5" s="1"/>
  <c r="CQ108" i="5"/>
  <c r="CR108" i="5" s="1"/>
  <c r="CQ109" i="5"/>
  <c r="CR109" i="5" s="1"/>
  <c r="CQ110" i="5"/>
  <c r="CR110" i="5" s="1"/>
  <c r="CQ111" i="5"/>
  <c r="CR111" i="5"/>
  <c r="CT111" i="5" s="1"/>
  <c r="CS111" i="5"/>
  <c r="CQ112" i="5"/>
  <c r="CR112" i="5" s="1"/>
  <c r="CQ113" i="5"/>
  <c r="CR113" i="5" s="1"/>
  <c r="CQ114" i="5"/>
  <c r="CR114" i="5" s="1"/>
  <c r="CQ115" i="5"/>
  <c r="CR115" i="5"/>
  <c r="CS115" i="5"/>
  <c r="CT115" i="5"/>
  <c r="CQ116" i="5"/>
  <c r="CR116" i="5" s="1"/>
  <c r="CQ117" i="5"/>
  <c r="CR117" i="5" s="1"/>
  <c r="CQ118" i="5"/>
  <c r="CR118" i="5" s="1"/>
  <c r="CQ119" i="5"/>
  <c r="CR119" i="5" s="1"/>
  <c r="CQ120" i="5"/>
  <c r="CR120" i="5"/>
  <c r="CT120" i="5" s="1"/>
  <c r="CS120" i="5"/>
  <c r="CQ121" i="5"/>
  <c r="CR121" i="5" s="1"/>
  <c r="CQ122" i="5"/>
  <c r="CR122" i="5" s="1"/>
  <c r="CQ123" i="5"/>
  <c r="CR123" i="5" s="1"/>
  <c r="CQ124" i="5"/>
  <c r="CR124" i="5"/>
  <c r="CS124" i="5"/>
  <c r="CT124" i="5"/>
  <c r="CQ125" i="5"/>
  <c r="CR125" i="5" s="1"/>
  <c r="CQ126" i="5"/>
  <c r="CR126" i="5" s="1"/>
  <c r="CQ127" i="5"/>
  <c r="CR127" i="5" s="1"/>
  <c r="CQ128" i="5"/>
  <c r="CR128" i="5" s="1"/>
  <c r="CQ129" i="5"/>
  <c r="CR129" i="5"/>
  <c r="CT129" i="5" s="1"/>
  <c r="CS129" i="5"/>
  <c r="CQ130" i="5"/>
  <c r="CR130" i="5" s="1"/>
  <c r="CQ131" i="5"/>
  <c r="CR131" i="5" s="1"/>
  <c r="CQ132" i="5"/>
  <c r="CR132" i="5" s="1"/>
  <c r="CQ133" i="5"/>
  <c r="CR133" i="5"/>
  <c r="CS133" i="5"/>
  <c r="CT133" i="5"/>
  <c r="CQ134" i="5"/>
  <c r="CR134" i="5" s="1"/>
  <c r="CQ135" i="5"/>
  <c r="CR135" i="5" s="1"/>
  <c r="CQ136" i="5"/>
  <c r="CR136" i="5" s="1"/>
  <c r="CQ137" i="5"/>
  <c r="CR137" i="5" s="1"/>
  <c r="CQ138" i="5"/>
  <c r="CR138" i="5"/>
  <c r="CT138" i="5" s="1"/>
  <c r="CS138" i="5"/>
  <c r="CQ139" i="5"/>
  <c r="CR139" i="5" s="1"/>
  <c r="CQ140" i="5"/>
  <c r="CR140" i="5" s="1"/>
  <c r="CQ141" i="5"/>
  <c r="CR141" i="5" s="1"/>
  <c r="CQ142" i="5"/>
  <c r="CR142" i="5"/>
  <c r="CS142" i="5"/>
  <c r="CT142" i="5"/>
  <c r="CQ143" i="5"/>
  <c r="CR143" i="5" s="1"/>
  <c r="CQ144" i="5"/>
  <c r="CR144" i="5" s="1"/>
  <c r="CQ145" i="5"/>
  <c r="CR145" i="5" s="1"/>
  <c r="CQ146" i="5"/>
  <c r="CR146" i="5" s="1"/>
  <c r="CQ147" i="5"/>
  <c r="CR147" i="5"/>
  <c r="CT147" i="5" s="1"/>
  <c r="CS147" i="5"/>
  <c r="CQ148" i="5"/>
  <c r="CR148" i="5" s="1"/>
  <c r="CQ149" i="5"/>
  <c r="CR149" i="5" s="1"/>
  <c r="CQ150" i="5"/>
  <c r="CR150" i="5" s="1"/>
  <c r="CQ151" i="5"/>
  <c r="CR151" i="5"/>
  <c r="CS151" i="5"/>
  <c r="CT151" i="5"/>
  <c r="CQ152" i="5"/>
  <c r="CR152" i="5" s="1"/>
  <c r="CQ153" i="5"/>
  <c r="CR153" i="5" s="1"/>
  <c r="CQ154" i="5"/>
  <c r="CR154" i="5" s="1"/>
  <c r="CQ155" i="5"/>
  <c r="CR155" i="5" s="1"/>
  <c r="CQ156" i="5"/>
  <c r="CR156" i="5"/>
  <c r="CT156" i="5" s="1"/>
  <c r="CS156" i="5"/>
  <c r="CQ157" i="5"/>
  <c r="CR157" i="5" s="1"/>
  <c r="CQ158" i="5"/>
  <c r="CR158" i="5" s="1"/>
  <c r="CQ159" i="5"/>
  <c r="CR159" i="5" s="1"/>
  <c r="CQ160" i="5"/>
  <c r="CR160" i="5"/>
  <c r="CS160" i="5"/>
  <c r="CT160" i="5"/>
  <c r="CQ161" i="5"/>
  <c r="CR161" i="5" s="1"/>
  <c r="CQ162" i="5"/>
  <c r="CR162" i="5" s="1"/>
  <c r="CQ163" i="5"/>
  <c r="CR163" i="5" s="1"/>
  <c r="CQ164" i="5"/>
  <c r="CR164" i="5" s="1"/>
  <c r="CQ165" i="5"/>
  <c r="CR165" i="5"/>
  <c r="CT165" i="5" s="1"/>
  <c r="CS165" i="5"/>
  <c r="CQ166" i="5"/>
  <c r="CR166" i="5" s="1"/>
  <c r="CQ167" i="5"/>
  <c r="CR167" i="5" s="1"/>
  <c r="CQ168" i="5"/>
  <c r="CR168" i="5" s="1"/>
  <c r="CQ169" i="5"/>
  <c r="CR169" i="5"/>
  <c r="CS169" i="5"/>
  <c r="CT169" i="5"/>
  <c r="CQ170" i="5"/>
  <c r="CR170" i="5" s="1"/>
  <c r="CQ171" i="5"/>
  <c r="CR171" i="5" s="1"/>
  <c r="CQ172" i="5"/>
  <c r="CR172" i="5" s="1"/>
  <c r="CQ173" i="5"/>
  <c r="CR173" i="5" s="1"/>
  <c r="CQ174" i="5"/>
  <c r="CR174" i="5"/>
  <c r="CT174" i="5" s="1"/>
  <c r="CS174" i="5"/>
  <c r="CQ175" i="5"/>
  <c r="CR175" i="5" s="1"/>
  <c r="CQ176" i="5"/>
  <c r="CR176" i="5" s="1"/>
  <c r="CQ177" i="5"/>
  <c r="CR177" i="5" s="1"/>
  <c r="CQ178" i="5"/>
  <c r="CR178" i="5"/>
  <c r="CS178" i="5"/>
  <c r="CT178" i="5"/>
  <c r="CQ179" i="5"/>
  <c r="CR179" i="5" s="1"/>
  <c r="CQ180" i="5"/>
  <c r="CR180" i="5" s="1"/>
  <c r="CQ181" i="5"/>
  <c r="CR181" i="5" s="1"/>
  <c r="CQ182" i="5"/>
  <c r="CR182" i="5" s="1"/>
  <c r="CQ183" i="5"/>
  <c r="CR183" i="5"/>
  <c r="CT183" i="5" s="1"/>
  <c r="CS183" i="5"/>
  <c r="CQ184" i="5"/>
  <c r="CR184" i="5" s="1"/>
  <c r="CQ185" i="5"/>
  <c r="CR185" i="5" s="1"/>
  <c r="CQ186" i="5"/>
  <c r="CR186" i="5" s="1"/>
  <c r="CQ187" i="5"/>
  <c r="CR187" i="5"/>
  <c r="CS187" i="5"/>
  <c r="CT187" i="5"/>
  <c r="CQ188" i="5"/>
  <c r="CR188" i="5" s="1"/>
  <c r="CQ189" i="5"/>
  <c r="CR189" i="5" s="1"/>
  <c r="CQ190" i="5"/>
  <c r="CR190" i="5" s="1"/>
  <c r="CQ191" i="5"/>
  <c r="CR191" i="5" s="1"/>
  <c r="CQ192" i="5"/>
  <c r="CR192" i="5"/>
  <c r="CT192" i="5" s="1"/>
  <c r="CS192" i="5"/>
  <c r="CQ193" i="5"/>
  <c r="CR193" i="5" s="1"/>
  <c r="CQ194" i="5"/>
  <c r="CR194" i="5" s="1"/>
  <c r="CQ195" i="5"/>
  <c r="CR195" i="5" s="1"/>
  <c r="CQ196" i="5"/>
  <c r="CR196" i="5"/>
  <c r="CS196" i="5"/>
  <c r="CT196" i="5"/>
  <c r="CQ197" i="5"/>
  <c r="CR197" i="5" s="1"/>
  <c r="CQ198" i="5"/>
  <c r="CR198" i="5" s="1"/>
  <c r="CQ199" i="5"/>
  <c r="CR199" i="5" s="1"/>
  <c r="CQ200" i="5"/>
  <c r="CR200" i="5" s="1"/>
  <c r="CQ201" i="5"/>
  <c r="CR201" i="5"/>
  <c r="CT201" i="5" s="1"/>
  <c r="CS201" i="5"/>
  <c r="CQ202" i="5"/>
  <c r="CR202" i="5" s="1"/>
  <c r="CQ203" i="5"/>
  <c r="CR203" i="5" s="1"/>
  <c r="CQ204" i="5"/>
  <c r="CR204" i="5" s="1"/>
  <c r="CQ205" i="5"/>
  <c r="CR205" i="5"/>
  <c r="CS205" i="5"/>
  <c r="CT205" i="5"/>
  <c r="CQ206" i="5"/>
  <c r="CR206" i="5" s="1"/>
  <c r="CQ207" i="5"/>
  <c r="CR207" i="5" s="1"/>
  <c r="CQ208" i="5"/>
  <c r="CR208" i="5" s="1"/>
  <c r="CQ209" i="5"/>
  <c r="CR209" i="5" s="1"/>
  <c r="CQ210" i="5"/>
  <c r="CR210" i="5"/>
  <c r="CT210" i="5" s="1"/>
  <c r="CS210" i="5"/>
  <c r="CQ211" i="5"/>
  <c r="CR211" i="5" s="1"/>
  <c r="CQ212" i="5"/>
  <c r="CR212" i="5" s="1"/>
  <c r="CQ213" i="5"/>
  <c r="CR213" i="5" s="1"/>
  <c r="CQ214" i="5"/>
  <c r="CR214" i="5"/>
  <c r="CS214" i="5"/>
  <c r="CT214" i="5"/>
  <c r="CQ215" i="5"/>
  <c r="CR215" i="5" s="1"/>
  <c r="CQ216" i="5"/>
  <c r="CR216" i="5" s="1"/>
  <c r="CQ217" i="5"/>
  <c r="CR217" i="5" s="1"/>
  <c r="CQ218" i="5"/>
  <c r="CR218" i="5" s="1"/>
  <c r="CQ219" i="5"/>
  <c r="CR219" i="5" s="1"/>
  <c r="CQ220" i="5"/>
  <c r="CR220" i="5" s="1"/>
  <c r="CQ221" i="5"/>
  <c r="CR221" i="5" s="1"/>
  <c r="CQ222" i="5"/>
  <c r="CR222" i="5" s="1"/>
  <c r="CQ223" i="5"/>
  <c r="CR223" i="5"/>
  <c r="CS223" i="5"/>
  <c r="CT223" i="5"/>
  <c r="CQ224" i="5"/>
  <c r="CR224" i="5" s="1"/>
  <c r="CQ225" i="5"/>
  <c r="CR225" i="5" s="1"/>
  <c r="CQ226" i="5"/>
  <c r="CR226" i="5" s="1"/>
  <c r="CQ227" i="5"/>
  <c r="CR227" i="5" s="1"/>
  <c r="CQ228" i="5"/>
  <c r="CR228" i="5" s="1"/>
  <c r="CQ229" i="5"/>
  <c r="CR229" i="5" s="1"/>
  <c r="CQ230" i="5"/>
  <c r="CR230" i="5" s="1"/>
  <c r="CQ231" i="5"/>
  <c r="CR231" i="5" s="1"/>
  <c r="CQ232" i="5"/>
  <c r="CR232" i="5"/>
  <c r="CS232" i="5"/>
  <c r="CT232" i="5"/>
  <c r="CQ3" i="5"/>
  <c r="CR3" i="5" s="1"/>
  <c r="CM4" i="5"/>
  <c r="CN4" i="5" s="1"/>
  <c r="CM5" i="5"/>
  <c r="CN5" i="5" s="1"/>
  <c r="CM6" i="5"/>
  <c r="CN6" i="5" s="1"/>
  <c r="CM7" i="5"/>
  <c r="CN7" i="5" s="1"/>
  <c r="CM8" i="5"/>
  <c r="CN8" i="5" s="1"/>
  <c r="CM9" i="5"/>
  <c r="CN9" i="5" s="1"/>
  <c r="CM10" i="5"/>
  <c r="CN10" i="5" s="1"/>
  <c r="CM11" i="5"/>
  <c r="CN11" i="5" s="1"/>
  <c r="CM12" i="5"/>
  <c r="CN12" i="5"/>
  <c r="CP12" i="5" s="1"/>
  <c r="CO12" i="5"/>
  <c r="CM13" i="5"/>
  <c r="CN13" i="5" s="1"/>
  <c r="CM14" i="5"/>
  <c r="CN14" i="5" s="1"/>
  <c r="CM15" i="5"/>
  <c r="CN15" i="5" s="1"/>
  <c r="CM16" i="5"/>
  <c r="CN16" i="5" s="1"/>
  <c r="CM17" i="5"/>
  <c r="CN17" i="5" s="1"/>
  <c r="CM18" i="5"/>
  <c r="CN18" i="5" s="1"/>
  <c r="CM19" i="5"/>
  <c r="CN19" i="5" s="1"/>
  <c r="CM20" i="5"/>
  <c r="CN20" i="5" s="1"/>
  <c r="CM21" i="5"/>
  <c r="CN21" i="5"/>
  <c r="CP21" i="5" s="1"/>
  <c r="CO21" i="5"/>
  <c r="CM22" i="5"/>
  <c r="CN22" i="5" s="1"/>
  <c r="CM23" i="5"/>
  <c r="CN23" i="5" s="1"/>
  <c r="CM24" i="5"/>
  <c r="CN24" i="5" s="1"/>
  <c r="CM25" i="5"/>
  <c r="CN25" i="5" s="1"/>
  <c r="CM26" i="5"/>
  <c r="CN26" i="5" s="1"/>
  <c r="CM27" i="5"/>
  <c r="CN27" i="5" s="1"/>
  <c r="CM28" i="5"/>
  <c r="CN28" i="5" s="1"/>
  <c r="CM29" i="5"/>
  <c r="CN29" i="5" s="1"/>
  <c r="CM30" i="5"/>
  <c r="CN30" i="5"/>
  <c r="CP30" i="5" s="1"/>
  <c r="CO30" i="5"/>
  <c r="CM31" i="5"/>
  <c r="CN31" i="5" s="1"/>
  <c r="CM32" i="5"/>
  <c r="CN32" i="5" s="1"/>
  <c r="CM33" i="5"/>
  <c r="CN33" i="5" s="1"/>
  <c r="CM34" i="5"/>
  <c r="CN34" i="5" s="1"/>
  <c r="CM35" i="5"/>
  <c r="CN35" i="5" s="1"/>
  <c r="CM36" i="5"/>
  <c r="CN36" i="5" s="1"/>
  <c r="CM37" i="5"/>
  <c r="CN37" i="5" s="1"/>
  <c r="CM38" i="5"/>
  <c r="CN38" i="5" s="1"/>
  <c r="CM39" i="5"/>
  <c r="CN39" i="5"/>
  <c r="CP39" i="5" s="1"/>
  <c r="CO39" i="5"/>
  <c r="CM40" i="5"/>
  <c r="CN40" i="5" s="1"/>
  <c r="CM41" i="5"/>
  <c r="CN41" i="5" s="1"/>
  <c r="CM42" i="5"/>
  <c r="CN42" i="5" s="1"/>
  <c r="CM43" i="5"/>
  <c r="CN43" i="5" s="1"/>
  <c r="CM44" i="5"/>
  <c r="CN44" i="5" s="1"/>
  <c r="CM45" i="5"/>
  <c r="CN45" i="5" s="1"/>
  <c r="CM46" i="5"/>
  <c r="CN46" i="5" s="1"/>
  <c r="CM47" i="5"/>
  <c r="CN47" i="5" s="1"/>
  <c r="CM48" i="5"/>
  <c r="CN48" i="5"/>
  <c r="CP48" i="5" s="1"/>
  <c r="CO48" i="5"/>
  <c r="CM49" i="5"/>
  <c r="CN49" i="5" s="1"/>
  <c r="CM50" i="5"/>
  <c r="CN50" i="5" s="1"/>
  <c r="CM51" i="5"/>
  <c r="CN51" i="5" s="1"/>
  <c r="CM52" i="5"/>
  <c r="CN52" i="5" s="1"/>
  <c r="CM53" i="5"/>
  <c r="CN53" i="5" s="1"/>
  <c r="CM54" i="5"/>
  <c r="CN54" i="5" s="1"/>
  <c r="CM55" i="5"/>
  <c r="CN55" i="5" s="1"/>
  <c r="CM56" i="5"/>
  <c r="CN56" i="5" s="1"/>
  <c r="CM57" i="5"/>
  <c r="CN57" i="5"/>
  <c r="CP57" i="5" s="1"/>
  <c r="CO57" i="5"/>
  <c r="CM58" i="5"/>
  <c r="CN58" i="5" s="1"/>
  <c r="CM59" i="5"/>
  <c r="CN59" i="5" s="1"/>
  <c r="CM60" i="5"/>
  <c r="CN60" i="5" s="1"/>
  <c r="CM61" i="5"/>
  <c r="CN61" i="5" s="1"/>
  <c r="CM62" i="5"/>
  <c r="CN62" i="5" s="1"/>
  <c r="CM63" i="5"/>
  <c r="CN63" i="5" s="1"/>
  <c r="CM64" i="5"/>
  <c r="CN64" i="5" s="1"/>
  <c r="CM65" i="5"/>
  <c r="CN65" i="5" s="1"/>
  <c r="CM66" i="5"/>
  <c r="CN66" i="5"/>
  <c r="CP66" i="5" s="1"/>
  <c r="CO66" i="5"/>
  <c r="CM67" i="5"/>
  <c r="CN67" i="5" s="1"/>
  <c r="CM68" i="5"/>
  <c r="CN68" i="5" s="1"/>
  <c r="CM69" i="5"/>
  <c r="CN69" i="5" s="1"/>
  <c r="CM70" i="5"/>
  <c r="CN70" i="5" s="1"/>
  <c r="CM71" i="5"/>
  <c r="CN71" i="5" s="1"/>
  <c r="CM72" i="5"/>
  <c r="CN72" i="5" s="1"/>
  <c r="CM73" i="5"/>
  <c r="CN73" i="5" s="1"/>
  <c r="CM74" i="5"/>
  <c r="CN74" i="5" s="1"/>
  <c r="CM75" i="5"/>
  <c r="CN75" i="5"/>
  <c r="CP75" i="5" s="1"/>
  <c r="CO75" i="5"/>
  <c r="CM76" i="5"/>
  <c r="CN76" i="5" s="1"/>
  <c r="CM77" i="5"/>
  <c r="CN77" i="5" s="1"/>
  <c r="CM78" i="5"/>
  <c r="CN78" i="5" s="1"/>
  <c r="CM79" i="5"/>
  <c r="CN79" i="5" s="1"/>
  <c r="CM80" i="5"/>
  <c r="CN80" i="5" s="1"/>
  <c r="CM81" i="5"/>
  <c r="CN81" i="5" s="1"/>
  <c r="CM82" i="5"/>
  <c r="CN82" i="5" s="1"/>
  <c r="CM83" i="5"/>
  <c r="CN83" i="5" s="1"/>
  <c r="CM84" i="5"/>
  <c r="CN84" i="5"/>
  <c r="CP84" i="5" s="1"/>
  <c r="CO84" i="5"/>
  <c r="CM85" i="5"/>
  <c r="CN85" i="5" s="1"/>
  <c r="CM86" i="5"/>
  <c r="CN86" i="5" s="1"/>
  <c r="CM87" i="5"/>
  <c r="CN87" i="5" s="1"/>
  <c r="CM88" i="5"/>
  <c r="CN88" i="5" s="1"/>
  <c r="CM89" i="5"/>
  <c r="CN89" i="5" s="1"/>
  <c r="CM90" i="5"/>
  <c r="CN90" i="5" s="1"/>
  <c r="CM91" i="5"/>
  <c r="CN91" i="5" s="1"/>
  <c r="CM92" i="5"/>
  <c r="CN92" i="5" s="1"/>
  <c r="CM93" i="5"/>
  <c r="CN93" i="5"/>
  <c r="CP93" i="5" s="1"/>
  <c r="CO93" i="5"/>
  <c r="CM94" i="5"/>
  <c r="CN94" i="5" s="1"/>
  <c r="CM95" i="5"/>
  <c r="CN95" i="5" s="1"/>
  <c r="CM96" i="5"/>
  <c r="CN96" i="5" s="1"/>
  <c r="CM97" i="5"/>
  <c r="CN97" i="5" s="1"/>
  <c r="CM98" i="5"/>
  <c r="CN98" i="5" s="1"/>
  <c r="CM99" i="5"/>
  <c r="CN99" i="5" s="1"/>
  <c r="CM100" i="5"/>
  <c r="CN100" i="5" s="1"/>
  <c r="CM101" i="5"/>
  <c r="CN101" i="5" s="1"/>
  <c r="CM102" i="5"/>
  <c r="CN102" i="5"/>
  <c r="CP102" i="5" s="1"/>
  <c r="CO102" i="5"/>
  <c r="CM103" i="5"/>
  <c r="CN103" i="5" s="1"/>
  <c r="CM104" i="5"/>
  <c r="CN104" i="5" s="1"/>
  <c r="CM105" i="5"/>
  <c r="CN105" i="5" s="1"/>
  <c r="CM106" i="5"/>
  <c r="CN106" i="5" s="1"/>
  <c r="CM107" i="5"/>
  <c r="CN107" i="5" s="1"/>
  <c r="CM108" i="5"/>
  <c r="CN108" i="5" s="1"/>
  <c r="CM109" i="5"/>
  <c r="CN109" i="5" s="1"/>
  <c r="CM110" i="5"/>
  <c r="CN110" i="5" s="1"/>
  <c r="CM111" i="5"/>
  <c r="CN111" i="5"/>
  <c r="CP111" i="5" s="1"/>
  <c r="CO111" i="5"/>
  <c r="CM112" i="5"/>
  <c r="CN112" i="5" s="1"/>
  <c r="CM113" i="5"/>
  <c r="CN113" i="5" s="1"/>
  <c r="CM114" i="5"/>
  <c r="CN114" i="5" s="1"/>
  <c r="CM115" i="5"/>
  <c r="CN115" i="5" s="1"/>
  <c r="CM116" i="5"/>
  <c r="CN116" i="5" s="1"/>
  <c r="CM117" i="5"/>
  <c r="CN117" i="5" s="1"/>
  <c r="CM118" i="5"/>
  <c r="CN118" i="5" s="1"/>
  <c r="CM119" i="5"/>
  <c r="CN119" i="5" s="1"/>
  <c r="CM120" i="5"/>
  <c r="CN120" i="5"/>
  <c r="CP120" i="5" s="1"/>
  <c r="CO120" i="5"/>
  <c r="CM121" i="5"/>
  <c r="CN121" i="5" s="1"/>
  <c r="CM122" i="5"/>
  <c r="CN122" i="5" s="1"/>
  <c r="CM123" i="5"/>
  <c r="CN123" i="5" s="1"/>
  <c r="CM124" i="5"/>
  <c r="CN124" i="5" s="1"/>
  <c r="CM125" i="5"/>
  <c r="CN125" i="5" s="1"/>
  <c r="CM126" i="5"/>
  <c r="CN126" i="5" s="1"/>
  <c r="CM127" i="5"/>
  <c r="CN127" i="5" s="1"/>
  <c r="CM128" i="5"/>
  <c r="CN128" i="5" s="1"/>
  <c r="CM129" i="5"/>
  <c r="CN129" i="5"/>
  <c r="CP129" i="5" s="1"/>
  <c r="CO129" i="5"/>
  <c r="CM130" i="5"/>
  <c r="CN130" i="5" s="1"/>
  <c r="CM131" i="5"/>
  <c r="CN131" i="5" s="1"/>
  <c r="CM132" i="5"/>
  <c r="CN132" i="5" s="1"/>
  <c r="CM133" i="5"/>
  <c r="CN133" i="5" s="1"/>
  <c r="CM134" i="5"/>
  <c r="CN134" i="5" s="1"/>
  <c r="CM135" i="5"/>
  <c r="CN135" i="5" s="1"/>
  <c r="CM136" i="5"/>
  <c r="CN136" i="5" s="1"/>
  <c r="CM137" i="5"/>
  <c r="CN137" i="5" s="1"/>
  <c r="CM138" i="5"/>
  <c r="CN138" i="5"/>
  <c r="CP138" i="5" s="1"/>
  <c r="CO138" i="5"/>
  <c r="CM139" i="5"/>
  <c r="CN139" i="5" s="1"/>
  <c r="CM140" i="5"/>
  <c r="CN140" i="5" s="1"/>
  <c r="CM141" i="5"/>
  <c r="CN141" i="5" s="1"/>
  <c r="CM142" i="5"/>
  <c r="CN142" i="5" s="1"/>
  <c r="CM143" i="5"/>
  <c r="CN143" i="5" s="1"/>
  <c r="CM144" i="5"/>
  <c r="CN144" i="5" s="1"/>
  <c r="CM145" i="5"/>
  <c r="CN145" i="5" s="1"/>
  <c r="CM146" i="5"/>
  <c r="CN146" i="5" s="1"/>
  <c r="CM147" i="5"/>
  <c r="CN147" i="5"/>
  <c r="CP147" i="5" s="1"/>
  <c r="CO147" i="5"/>
  <c r="CM148" i="5"/>
  <c r="CN148" i="5" s="1"/>
  <c r="CM149" i="5"/>
  <c r="CN149" i="5" s="1"/>
  <c r="CM150" i="5"/>
  <c r="CN150" i="5" s="1"/>
  <c r="CM151" i="5"/>
  <c r="CN151" i="5" s="1"/>
  <c r="CM152" i="5"/>
  <c r="CN152" i="5" s="1"/>
  <c r="CM153" i="5"/>
  <c r="CN153" i="5" s="1"/>
  <c r="CM154" i="5"/>
  <c r="CN154" i="5" s="1"/>
  <c r="CM155" i="5"/>
  <c r="CN155" i="5" s="1"/>
  <c r="CM156" i="5"/>
  <c r="CN156" i="5"/>
  <c r="CP156" i="5" s="1"/>
  <c r="CO156" i="5"/>
  <c r="CM157" i="5"/>
  <c r="CN157" i="5" s="1"/>
  <c r="CM158" i="5"/>
  <c r="CN158" i="5" s="1"/>
  <c r="CM159" i="5"/>
  <c r="CN159" i="5" s="1"/>
  <c r="CM160" i="5"/>
  <c r="CN160" i="5" s="1"/>
  <c r="CM161" i="5"/>
  <c r="CN161" i="5" s="1"/>
  <c r="CM162" i="5"/>
  <c r="CN162" i="5" s="1"/>
  <c r="CM163" i="5"/>
  <c r="CN163" i="5" s="1"/>
  <c r="CM164" i="5"/>
  <c r="CN164" i="5" s="1"/>
  <c r="CM165" i="5"/>
  <c r="CN165" i="5"/>
  <c r="CP165" i="5" s="1"/>
  <c r="CO165" i="5"/>
  <c r="CM166" i="5"/>
  <c r="CN166" i="5" s="1"/>
  <c r="CM167" i="5"/>
  <c r="CN167" i="5" s="1"/>
  <c r="CM168" i="5"/>
  <c r="CN168" i="5" s="1"/>
  <c r="CM169" i="5"/>
  <c r="CN169" i="5" s="1"/>
  <c r="CM170" i="5"/>
  <c r="CN170" i="5" s="1"/>
  <c r="CM171" i="5"/>
  <c r="CN171" i="5" s="1"/>
  <c r="CM172" i="5"/>
  <c r="CN172" i="5" s="1"/>
  <c r="CM173" i="5"/>
  <c r="CN173" i="5" s="1"/>
  <c r="CM174" i="5"/>
  <c r="CN174" i="5" s="1"/>
  <c r="CP174" i="5" s="1"/>
  <c r="CO174" i="5"/>
  <c r="CM175" i="5"/>
  <c r="CN175" i="5" s="1"/>
  <c r="CM176" i="5"/>
  <c r="CN176" i="5" s="1"/>
  <c r="CM177" i="5"/>
  <c r="CN177" i="5" s="1"/>
  <c r="CM178" i="5"/>
  <c r="CN178" i="5" s="1"/>
  <c r="CM179" i="5"/>
  <c r="CN179" i="5" s="1"/>
  <c r="CM180" i="5"/>
  <c r="CN180" i="5" s="1"/>
  <c r="CM181" i="5"/>
  <c r="CN181" i="5" s="1"/>
  <c r="CM182" i="5"/>
  <c r="CN182" i="5" s="1"/>
  <c r="CM183" i="5"/>
  <c r="CN183" i="5"/>
  <c r="CP183" i="5" s="1"/>
  <c r="CO183" i="5"/>
  <c r="CM184" i="5"/>
  <c r="CN184" i="5" s="1"/>
  <c r="CM185" i="5"/>
  <c r="CN185" i="5" s="1"/>
  <c r="CM186" i="5"/>
  <c r="CN186" i="5" s="1"/>
  <c r="CM187" i="5"/>
  <c r="CN187" i="5" s="1"/>
  <c r="CM188" i="5"/>
  <c r="CN188" i="5" s="1"/>
  <c r="CM189" i="5"/>
  <c r="CN189" i="5" s="1"/>
  <c r="CM190" i="5"/>
  <c r="CN190" i="5" s="1"/>
  <c r="CM191" i="5"/>
  <c r="CN191" i="5" s="1"/>
  <c r="CM192" i="5"/>
  <c r="CN192" i="5"/>
  <c r="CP192" i="5" s="1"/>
  <c r="CO192" i="5"/>
  <c r="CM193" i="5"/>
  <c r="CN193" i="5" s="1"/>
  <c r="CM194" i="5"/>
  <c r="CN194" i="5" s="1"/>
  <c r="CM195" i="5"/>
  <c r="CN195" i="5" s="1"/>
  <c r="CM196" i="5"/>
  <c r="CN196" i="5" s="1"/>
  <c r="CM197" i="5"/>
  <c r="CN197" i="5" s="1"/>
  <c r="CM198" i="5"/>
  <c r="CN198" i="5" s="1"/>
  <c r="CP198" i="5" s="1"/>
  <c r="CO198" i="5"/>
  <c r="CM199" i="5"/>
  <c r="CN199" i="5" s="1"/>
  <c r="CM200" i="5"/>
  <c r="CN200" i="5" s="1"/>
  <c r="CM201" i="5"/>
  <c r="CN201" i="5"/>
  <c r="CP201" i="5" s="1"/>
  <c r="CO201" i="5"/>
  <c r="CM202" i="5"/>
  <c r="CN202" i="5" s="1"/>
  <c r="CM203" i="5"/>
  <c r="CN203" i="5" s="1"/>
  <c r="CM204" i="5"/>
  <c r="CN204" i="5" s="1"/>
  <c r="CM205" i="5"/>
  <c r="CN205" i="5" s="1"/>
  <c r="CM206" i="5"/>
  <c r="CN206" i="5" s="1"/>
  <c r="CM207" i="5"/>
  <c r="CN207" i="5" s="1"/>
  <c r="CP207" i="5" s="1"/>
  <c r="CM208" i="5"/>
  <c r="CN208" i="5" s="1"/>
  <c r="CM209" i="5"/>
  <c r="CN209" i="5" s="1"/>
  <c r="CM210" i="5"/>
  <c r="CN210" i="5" s="1"/>
  <c r="CP210" i="5" s="1"/>
  <c r="CO210" i="5"/>
  <c r="CM211" i="5"/>
  <c r="CN211" i="5" s="1"/>
  <c r="CP211" i="5" s="1"/>
  <c r="CO211" i="5"/>
  <c r="CM212" i="5"/>
  <c r="CN212" i="5" s="1"/>
  <c r="CM213" i="5"/>
  <c r="CN213" i="5" s="1"/>
  <c r="CM214" i="5"/>
  <c r="CN214" i="5" s="1"/>
  <c r="CM215" i="5"/>
  <c r="CN215" i="5" s="1"/>
  <c r="CM216" i="5"/>
  <c r="CN216" i="5" s="1"/>
  <c r="CP216" i="5" s="1"/>
  <c r="CM217" i="5"/>
  <c r="CN217" i="5" s="1"/>
  <c r="CM218" i="5"/>
  <c r="CN218" i="5" s="1"/>
  <c r="CM219" i="5"/>
  <c r="CN219" i="5" s="1"/>
  <c r="CP219" i="5" s="1"/>
  <c r="CO219" i="5"/>
  <c r="CM220" i="5"/>
  <c r="CN220" i="5" s="1"/>
  <c r="CP220" i="5" s="1"/>
  <c r="CO220" i="5"/>
  <c r="CM221" i="5"/>
  <c r="CN221" i="5" s="1"/>
  <c r="CM222" i="5"/>
  <c r="CN222" i="5" s="1"/>
  <c r="CM223" i="5"/>
  <c r="CN223" i="5" s="1"/>
  <c r="CM224" i="5"/>
  <c r="CN224" i="5" s="1"/>
  <c r="CM225" i="5"/>
  <c r="CN225" i="5" s="1"/>
  <c r="CP225" i="5" s="1"/>
  <c r="CM226" i="5"/>
  <c r="CN226" i="5" s="1"/>
  <c r="CM227" i="5"/>
  <c r="CN227" i="5" s="1"/>
  <c r="CM228" i="5"/>
  <c r="CN228" i="5" s="1"/>
  <c r="CP228" i="5" s="1"/>
  <c r="CO228" i="5"/>
  <c r="CM229" i="5"/>
  <c r="CN229" i="5" s="1"/>
  <c r="CP229" i="5" s="1"/>
  <c r="CM230" i="5"/>
  <c r="CN230" i="5" s="1"/>
  <c r="CM231" i="5"/>
  <c r="CN231" i="5" s="1"/>
  <c r="CM232" i="5"/>
  <c r="CN232" i="5" s="1"/>
  <c r="CM3" i="5"/>
  <c r="CN3" i="5" s="1"/>
  <c r="CI4" i="5"/>
  <c r="CJ4" i="5" s="1"/>
  <c r="CI5" i="5"/>
  <c r="CJ5" i="5" s="1"/>
  <c r="CI6" i="5"/>
  <c r="CJ6" i="5" s="1"/>
  <c r="CI7" i="5"/>
  <c r="CJ7" i="5" s="1"/>
  <c r="CI8" i="5"/>
  <c r="CJ8" i="5"/>
  <c r="CK8" i="5" s="1"/>
  <c r="CI9" i="5"/>
  <c r="CJ9" i="5" s="1"/>
  <c r="CI10" i="5"/>
  <c r="CJ10" i="5" s="1"/>
  <c r="CI11" i="5"/>
  <c r="CJ11" i="5" s="1"/>
  <c r="CI12" i="5"/>
  <c r="CJ12" i="5" s="1"/>
  <c r="CI13" i="5"/>
  <c r="CJ13" i="5" s="1"/>
  <c r="CI14" i="5"/>
  <c r="CJ14" i="5" s="1"/>
  <c r="CI15" i="5"/>
  <c r="CJ15" i="5" s="1"/>
  <c r="CI16" i="5"/>
  <c r="CJ16" i="5" s="1"/>
  <c r="CI17" i="5"/>
  <c r="CJ17" i="5"/>
  <c r="CK17" i="5" s="1"/>
  <c r="CI18" i="5"/>
  <c r="CJ18" i="5" s="1"/>
  <c r="CI19" i="5"/>
  <c r="CJ19" i="5" s="1"/>
  <c r="CI20" i="5"/>
  <c r="CJ20" i="5" s="1"/>
  <c r="CI21" i="5"/>
  <c r="CJ21" i="5" s="1"/>
  <c r="CI22" i="5"/>
  <c r="CJ22" i="5" s="1"/>
  <c r="CI23" i="5"/>
  <c r="CJ23" i="5" s="1"/>
  <c r="CI24" i="5"/>
  <c r="CJ24" i="5" s="1"/>
  <c r="CI25" i="5"/>
  <c r="CJ25" i="5" s="1"/>
  <c r="CI26" i="5"/>
  <c r="CJ26" i="5"/>
  <c r="CK26" i="5" s="1"/>
  <c r="CI27" i="5"/>
  <c r="CJ27" i="5" s="1"/>
  <c r="CI28" i="5"/>
  <c r="CJ28" i="5" s="1"/>
  <c r="CI29" i="5"/>
  <c r="CJ29" i="5" s="1"/>
  <c r="CI30" i="5"/>
  <c r="CJ30" i="5" s="1"/>
  <c r="CI31" i="5"/>
  <c r="CJ31" i="5" s="1"/>
  <c r="CI32" i="5"/>
  <c r="CJ32" i="5" s="1"/>
  <c r="CI33" i="5"/>
  <c r="CJ33" i="5" s="1"/>
  <c r="CI34" i="5"/>
  <c r="CJ34" i="5" s="1"/>
  <c r="CI35" i="5"/>
  <c r="CJ35" i="5"/>
  <c r="CK35" i="5" s="1"/>
  <c r="CI36" i="5"/>
  <c r="CJ36" i="5" s="1"/>
  <c r="CI37" i="5"/>
  <c r="CJ37" i="5" s="1"/>
  <c r="CI38" i="5"/>
  <c r="CJ38" i="5" s="1"/>
  <c r="CI39" i="5"/>
  <c r="CJ39" i="5" s="1"/>
  <c r="CI40" i="5"/>
  <c r="CJ40" i="5" s="1"/>
  <c r="CI41" i="5"/>
  <c r="CJ41" i="5" s="1"/>
  <c r="CI42" i="5"/>
  <c r="CJ42" i="5" s="1"/>
  <c r="CI43" i="5"/>
  <c r="CJ43" i="5" s="1"/>
  <c r="CI44" i="5"/>
  <c r="CJ44" i="5"/>
  <c r="CK44" i="5" s="1"/>
  <c r="CI45" i="5"/>
  <c r="CJ45" i="5" s="1"/>
  <c r="CI46" i="5"/>
  <c r="CJ46" i="5" s="1"/>
  <c r="CI47" i="5"/>
  <c r="CJ47" i="5" s="1"/>
  <c r="CI48" i="5"/>
  <c r="CJ48" i="5" s="1"/>
  <c r="CI49" i="5"/>
  <c r="CJ49" i="5" s="1"/>
  <c r="CI50" i="5"/>
  <c r="CJ50" i="5" s="1"/>
  <c r="CI51" i="5"/>
  <c r="CJ51" i="5" s="1"/>
  <c r="CI52" i="5"/>
  <c r="CJ52" i="5" s="1"/>
  <c r="CI53" i="5"/>
  <c r="CJ53" i="5"/>
  <c r="CK53" i="5" s="1"/>
  <c r="CI54" i="5"/>
  <c r="CJ54" i="5" s="1"/>
  <c r="CI55" i="5"/>
  <c r="CJ55" i="5" s="1"/>
  <c r="CI56" i="5"/>
  <c r="CJ56" i="5" s="1"/>
  <c r="CI57" i="5"/>
  <c r="CJ57" i="5" s="1"/>
  <c r="CI58" i="5"/>
  <c r="CJ58" i="5" s="1"/>
  <c r="CI59" i="5"/>
  <c r="CJ59" i="5" s="1"/>
  <c r="CI60" i="5"/>
  <c r="CJ60" i="5" s="1"/>
  <c r="CI61" i="5"/>
  <c r="CJ61" i="5" s="1"/>
  <c r="CI62" i="5"/>
  <c r="CJ62" i="5"/>
  <c r="CK62" i="5" s="1"/>
  <c r="CI63" i="5"/>
  <c r="CJ63" i="5" s="1"/>
  <c r="CI64" i="5"/>
  <c r="CJ64" i="5" s="1"/>
  <c r="CI65" i="5"/>
  <c r="CJ65" i="5" s="1"/>
  <c r="CI66" i="5"/>
  <c r="CJ66" i="5" s="1"/>
  <c r="CI67" i="5"/>
  <c r="CJ67" i="5" s="1"/>
  <c r="CI68" i="5"/>
  <c r="CJ68" i="5" s="1"/>
  <c r="CI69" i="5"/>
  <c r="CJ69" i="5" s="1"/>
  <c r="CI70" i="5"/>
  <c r="CJ70" i="5" s="1"/>
  <c r="CI71" i="5"/>
  <c r="CJ71" i="5"/>
  <c r="CK71" i="5" s="1"/>
  <c r="CI72" i="5"/>
  <c r="CJ72" i="5" s="1"/>
  <c r="CI73" i="5"/>
  <c r="CJ73" i="5" s="1"/>
  <c r="CI74" i="5"/>
  <c r="CJ74" i="5" s="1"/>
  <c r="CI75" i="5"/>
  <c r="CJ75" i="5" s="1"/>
  <c r="CI76" i="5"/>
  <c r="CJ76" i="5" s="1"/>
  <c r="CI77" i="5"/>
  <c r="CJ77" i="5" s="1"/>
  <c r="CI78" i="5"/>
  <c r="CJ78" i="5" s="1"/>
  <c r="CI79" i="5"/>
  <c r="CJ79" i="5" s="1"/>
  <c r="CI80" i="5"/>
  <c r="CJ80" i="5"/>
  <c r="CK80" i="5" s="1"/>
  <c r="CI81" i="5"/>
  <c r="CJ81" i="5" s="1"/>
  <c r="CI82" i="5"/>
  <c r="CJ82" i="5" s="1"/>
  <c r="CI83" i="5"/>
  <c r="CJ83" i="5" s="1"/>
  <c r="CI84" i="5"/>
  <c r="CJ84" i="5" s="1"/>
  <c r="CI85" i="5"/>
  <c r="CJ85" i="5" s="1"/>
  <c r="CI86" i="5"/>
  <c r="CJ86" i="5" s="1"/>
  <c r="CI87" i="5"/>
  <c r="CJ87" i="5" s="1"/>
  <c r="CI88" i="5"/>
  <c r="CJ88" i="5" s="1"/>
  <c r="CI89" i="5"/>
  <c r="CJ89" i="5"/>
  <c r="CK89" i="5" s="1"/>
  <c r="CI90" i="5"/>
  <c r="CJ90" i="5" s="1"/>
  <c r="CI91" i="5"/>
  <c r="CJ91" i="5" s="1"/>
  <c r="CI92" i="5"/>
  <c r="CJ92" i="5" s="1"/>
  <c r="CI93" i="5"/>
  <c r="CJ93" i="5" s="1"/>
  <c r="CI94" i="5"/>
  <c r="CJ94" i="5" s="1"/>
  <c r="CI95" i="5"/>
  <c r="CJ95" i="5" s="1"/>
  <c r="CI96" i="5"/>
  <c r="CJ96" i="5" s="1"/>
  <c r="CI97" i="5"/>
  <c r="CJ97" i="5" s="1"/>
  <c r="CI98" i="5"/>
  <c r="CJ98" i="5"/>
  <c r="CK98" i="5" s="1"/>
  <c r="CI99" i="5"/>
  <c r="CJ99" i="5" s="1"/>
  <c r="CI100" i="5"/>
  <c r="CJ100" i="5" s="1"/>
  <c r="CI101" i="5"/>
  <c r="CJ101" i="5" s="1"/>
  <c r="CI102" i="5"/>
  <c r="CJ102" i="5" s="1"/>
  <c r="CI103" i="5"/>
  <c r="CJ103" i="5" s="1"/>
  <c r="CI104" i="5"/>
  <c r="CJ104" i="5" s="1"/>
  <c r="CI105" i="5"/>
  <c r="CJ105" i="5" s="1"/>
  <c r="CI106" i="5"/>
  <c r="CJ106" i="5" s="1"/>
  <c r="CI107" i="5"/>
  <c r="CJ107" i="5"/>
  <c r="CK107" i="5" s="1"/>
  <c r="CI108" i="5"/>
  <c r="CJ108" i="5" s="1"/>
  <c r="CI109" i="5"/>
  <c r="CJ109" i="5" s="1"/>
  <c r="CI110" i="5"/>
  <c r="CJ110" i="5" s="1"/>
  <c r="CI111" i="5"/>
  <c r="CJ111" i="5" s="1"/>
  <c r="CK111" i="5" s="1"/>
  <c r="CI112" i="5"/>
  <c r="CJ112" i="5" s="1"/>
  <c r="CI113" i="5"/>
  <c r="CJ113" i="5" s="1"/>
  <c r="CI114" i="5"/>
  <c r="CJ114" i="5" s="1"/>
  <c r="CI115" i="5"/>
  <c r="CJ115" i="5" s="1"/>
  <c r="CI116" i="5"/>
  <c r="CJ116" i="5"/>
  <c r="CK116" i="5" s="1"/>
  <c r="CI117" i="5"/>
  <c r="CJ117" i="5" s="1"/>
  <c r="CI118" i="5"/>
  <c r="CJ118" i="5" s="1"/>
  <c r="CI119" i="5"/>
  <c r="CJ119" i="5" s="1"/>
  <c r="CI120" i="5"/>
  <c r="CJ120" i="5" s="1"/>
  <c r="CI121" i="5"/>
  <c r="CJ121" i="5" s="1"/>
  <c r="CI122" i="5"/>
  <c r="CJ122" i="5" s="1"/>
  <c r="CI123" i="5"/>
  <c r="CJ123" i="5" s="1"/>
  <c r="CI124" i="5"/>
  <c r="CJ124" i="5" s="1"/>
  <c r="CI125" i="5"/>
  <c r="CJ125" i="5"/>
  <c r="CK125" i="5" s="1"/>
  <c r="CI126" i="5"/>
  <c r="CJ126" i="5" s="1"/>
  <c r="CI127" i="5"/>
  <c r="CJ127" i="5" s="1"/>
  <c r="CI128" i="5"/>
  <c r="CJ128" i="5" s="1"/>
  <c r="CI129" i="5"/>
  <c r="CJ129" i="5" s="1"/>
  <c r="CI130" i="5"/>
  <c r="CJ130" i="5" s="1"/>
  <c r="CI131" i="5"/>
  <c r="CJ131" i="5" s="1"/>
  <c r="CI132" i="5"/>
  <c r="CJ132" i="5" s="1"/>
  <c r="CI133" i="5"/>
  <c r="CJ133" i="5" s="1"/>
  <c r="CI134" i="5"/>
  <c r="CJ134" i="5" s="1"/>
  <c r="CI135" i="5"/>
  <c r="CJ135" i="5" s="1"/>
  <c r="CI136" i="5"/>
  <c r="CJ136" i="5" s="1"/>
  <c r="CI137" i="5"/>
  <c r="CJ137" i="5" s="1"/>
  <c r="CI138" i="5"/>
  <c r="CJ138" i="5" s="1"/>
  <c r="CI139" i="5"/>
  <c r="CJ139" i="5" s="1"/>
  <c r="CI140" i="5"/>
  <c r="CJ140" i="5" s="1"/>
  <c r="CI141" i="5"/>
  <c r="CJ141" i="5" s="1"/>
  <c r="CI142" i="5"/>
  <c r="CJ142" i="5" s="1"/>
  <c r="CI143" i="5"/>
  <c r="CJ143" i="5" s="1"/>
  <c r="CI144" i="5"/>
  <c r="CJ144" i="5" s="1"/>
  <c r="CI145" i="5"/>
  <c r="CJ145" i="5" s="1"/>
  <c r="CI146" i="5"/>
  <c r="CJ146" i="5" s="1"/>
  <c r="CI147" i="5"/>
  <c r="CJ147" i="5" s="1"/>
  <c r="CI148" i="5"/>
  <c r="CJ148" i="5" s="1"/>
  <c r="CL148" i="5" s="1"/>
  <c r="CK148" i="5"/>
  <c r="CI149" i="5"/>
  <c r="CJ149" i="5" s="1"/>
  <c r="CI150" i="5"/>
  <c r="CJ150" i="5" s="1"/>
  <c r="CI151" i="5"/>
  <c r="CJ151" i="5" s="1"/>
  <c r="CI152" i="5"/>
  <c r="CJ152" i="5" s="1"/>
  <c r="CL152" i="5" s="1"/>
  <c r="CI153" i="5"/>
  <c r="CJ153" i="5" s="1"/>
  <c r="CI154" i="5"/>
  <c r="CJ154" i="5" s="1"/>
  <c r="CI155" i="5"/>
  <c r="CJ155" i="5" s="1"/>
  <c r="CI156" i="5"/>
  <c r="CJ156" i="5" s="1"/>
  <c r="CI157" i="5"/>
  <c r="CJ157" i="5" s="1"/>
  <c r="CL157" i="5" s="1"/>
  <c r="CI158" i="5"/>
  <c r="CJ158" i="5" s="1"/>
  <c r="CI159" i="5"/>
  <c r="CJ159" i="5" s="1"/>
  <c r="CI160" i="5"/>
  <c r="CJ160" i="5" s="1"/>
  <c r="CI161" i="5"/>
  <c r="CJ161" i="5"/>
  <c r="CL161" i="5" s="1"/>
  <c r="CK161" i="5"/>
  <c r="CI162" i="5"/>
  <c r="CJ162" i="5" s="1"/>
  <c r="CI163" i="5"/>
  <c r="CJ163" i="5" s="1"/>
  <c r="CI164" i="5"/>
  <c r="CJ164" i="5" s="1"/>
  <c r="CI165" i="5"/>
  <c r="CJ165" i="5" s="1"/>
  <c r="CI166" i="5"/>
  <c r="CJ166" i="5" s="1"/>
  <c r="CL166" i="5" s="1"/>
  <c r="CI167" i="5"/>
  <c r="CJ167" i="5" s="1"/>
  <c r="CI168" i="5"/>
  <c r="CJ168" i="5" s="1"/>
  <c r="CI169" i="5"/>
  <c r="CJ169" i="5" s="1"/>
  <c r="CI170" i="5"/>
  <c r="CJ170" i="5" s="1"/>
  <c r="CL170" i="5" s="1"/>
  <c r="CK170" i="5"/>
  <c r="CI171" i="5"/>
  <c r="CJ171" i="5" s="1"/>
  <c r="CI172" i="5"/>
  <c r="CJ172" i="5" s="1"/>
  <c r="CI173" i="5"/>
  <c r="CJ173" i="5" s="1"/>
  <c r="CI174" i="5"/>
  <c r="CJ174" i="5" s="1"/>
  <c r="CI175" i="5"/>
  <c r="CJ175" i="5" s="1"/>
  <c r="CL175" i="5" s="1"/>
  <c r="CI176" i="5"/>
  <c r="CJ176" i="5" s="1"/>
  <c r="CI177" i="5"/>
  <c r="CJ177" i="5" s="1"/>
  <c r="CI178" i="5"/>
  <c r="CJ178" i="5" s="1"/>
  <c r="CI179" i="5"/>
  <c r="CJ179" i="5" s="1"/>
  <c r="CL179" i="5" s="1"/>
  <c r="CK179" i="5"/>
  <c r="CI180" i="5"/>
  <c r="CJ180" i="5" s="1"/>
  <c r="CI181" i="5"/>
  <c r="CJ181" i="5" s="1"/>
  <c r="CI182" i="5"/>
  <c r="CJ182" i="5" s="1"/>
  <c r="CI183" i="5"/>
  <c r="CJ183" i="5" s="1"/>
  <c r="CI184" i="5"/>
  <c r="CJ184" i="5" s="1"/>
  <c r="CL184" i="5" s="1"/>
  <c r="CK184" i="5"/>
  <c r="CI185" i="5"/>
  <c r="CJ185" i="5" s="1"/>
  <c r="CI186" i="5"/>
  <c r="CJ186" i="5" s="1"/>
  <c r="CI187" i="5"/>
  <c r="CJ187" i="5" s="1"/>
  <c r="CI188" i="5"/>
  <c r="CJ188" i="5" s="1"/>
  <c r="CL188" i="5" s="1"/>
  <c r="CI189" i="5"/>
  <c r="CJ189" i="5" s="1"/>
  <c r="CI190" i="5"/>
  <c r="CJ190" i="5" s="1"/>
  <c r="CI191" i="5"/>
  <c r="CJ191" i="5" s="1"/>
  <c r="CI192" i="5"/>
  <c r="CJ192" i="5" s="1"/>
  <c r="CI193" i="5"/>
  <c r="CJ193" i="5" s="1"/>
  <c r="CL193" i="5" s="1"/>
  <c r="CI194" i="5"/>
  <c r="CJ194" i="5" s="1"/>
  <c r="CI195" i="5"/>
  <c r="CJ195" i="5" s="1"/>
  <c r="CI196" i="5"/>
  <c r="CJ196" i="5" s="1"/>
  <c r="CI197" i="5"/>
  <c r="CJ197" i="5"/>
  <c r="CL197" i="5" s="1"/>
  <c r="CK197" i="5"/>
  <c r="CI198" i="5"/>
  <c r="CJ198" i="5" s="1"/>
  <c r="CI199" i="5"/>
  <c r="CJ199" i="5" s="1"/>
  <c r="CI200" i="5"/>
  <c r="CJ200" i="5" s="1"/>
  <c r="CI201" i="5"/>
  <c r="CJ201" i="5" s="1"/>
  <c r="CI202" i="5"/>
  <c r="CJ202" i="5" s="1"/>
  <c r="CL202" i="5" s="1"/>
  <c r="CI203" i="5"/>
  <c r="CJ203" i="5" s="1"/>
  <c r="CI204" i="5"/>
  <c r="CJ204" i="5" s="1"/>
  <c r="CI205" i="5"/>
  <c r="CJ205" i="5" s="1"/>
  <c r="CI206" i="5"/>
  <c r="CJ206" i="5" s="1"/>
  <c r="CL206" i="5" s="1"/>
  <c r="CK206" i="5"/>
  <c r="CI207" i="5"/>
  <c r="CJ207" i="5" s="1"/>
  <c r="CI208" i="5"/>
  <c r="CJ208" i="5" s="1"/>
  <c r="CI209" i="5"/>
  <c r="CJ209" i="5" s="1"/>
  <c r="CI210" i="5"/>
  <c r="CJ210" i="5" s="1"/>
  <c r="CI211" i="5"/>
  <c r="CJ211" i="5" s="1"/>
  <c r="CL211" i="5" s="1"/>
  <c r="CI212" i="5"/>
  <c r="CJ212" i="5" s="1"/>
  <c r="CI213" i="5"/>
  <c r="CJ213" i="5" s="1"/>
  <c r="CI214" i="5"/>
  <c r="CJ214" i="5" s="1"/>
  <c r="CI215" i="5"/>
  <c r="CJ215" i="5" s="1"/>
  <c r="CL215" i="5" s="1"/>
  <c r="CI216" i="5"/>
  <c r="CJ216" i="5" s="1"/>
  <c r="CI217" i="5"/>
  <c r="CJ217" i="5" s="1"/>
  <c r="CI218" i="5"/>
  <c r="CJ218" i="5" s="1"/>
  <c r="CI219" i="5"/>
  <c r="CJ219" i="5" s="1"/>
  <c r="CI220" i="5"/>
  <c r="CJ220" i="5" s="1"/>
  <c r="CL220" i="5" s="1"/>
  <c r="CI221" i="5"/>
  <c r="CJ221" i="5" s="1"/>
  <c r="CI222" i="5"/>
  <c r="CJ222" i="5" s="1"/>
  <c r="CI223" i="5"/>
  <c r="CJ223" i="5" s="1"/>
  <c r="CI224" i="5"/>
  <c r="CJ224" i="5"/>
  <c r="CL224" i="5" s="1"/>
  <c r="CK224" i="5"/>
  <c r="CI225" i="5"/>
  <c r="CJ225" i="5" s="1"/>
  <c r="CI226" i="5"/>
  <c r="CJ226" i="5" s="1"/>
  <c r="CI227" i="5"/>
  <c r="CJ227" i="5" s="1"/>
  <c r="CI228" i="5"/>
  <c r="CJ228" i="5" s="1"/>
  <c r="CK228" i="5" s="1"/>
  <c r="CI229" i="5"/>
  <c r="CJ229" i="5" s="1"/>
  <c r="CL229" i="5" s="1"/>
  <c r="CK229" i="5"/>
  <c r="CI230" i="5"/>
  <c r="CJ230" i="5" s="1"/>
  <c r="CI231" i="5"/>
  <c r="CJ231" i="5" s="1"/>
  <c r="CI232" i="5"/>
  <c r="CJ232" i="5" s="1"/>
  <c r="CI3" i="5"/>
  <c r="CJ3" i="5" s="1"/>
  <c r="CL3" i="5" s="1"/>
  <c r="CE4" i="5"/>
  <c r="CF4" i="5" s="1"/>
  <c r="CE5" i="5"/>
  <c r="CF5" i="5" s="1"/>
  <c r="CE6" i="5"/>
  <c r="CF6" i="5" s="1"/>
  <c r="CE7" i="5"/>
  <c r="CF7" i="5"/>
  <c r="CG7" i="5"/>
  <c r="CH7" i="5"/>
  <c r="CE8" i="5"/>
  <c r="CF8" i="5" s="1"/>
  <c r="CE9" i="5"/>
  <c r="CF9" i="5" s="1"/>
  <c r="CE10" i="5"/>
  <c r="CF10" i="5" s="1"/>
  <c r="CE11" i="5"/>
  <c r="CF11" i="5" s="1"/>
  <c r="CE12" i="5"/>
  <c r="CF12" i="5"/>
  <c r="CH12" i="5" s="1"/>
  <c r="CG12" i="5"/>
  <c r="CE13" i="5"/>
  <c r="CF13" i="5" s="1"/>
  <c r="CE14" i="5"/>
  <c r="CF14" i="5" s="1"/>
  <c r="CE15" i="5"/>
  <c r="CF15" i="5" s="1"/>
  <c r="CE16" i="5"/>
  <c r="CF16" i="5" s="1"/>
  <c r="CE17" i="5"/>
  <c r="CF17" i="5" s="1"/>
  <c r="CE18" i="5"/>
  <c r="CF18" i="5" s="1"/>
  <c r="CE19" i="5"/>
  <c r="CF19" i="5" s="1"/>
  <c r="CE20" i="5"/>
  <c r="CF20" i="5" s="1"/>
  <c r="CE21" i="5"/>
  <c r="CF21" i="5"/>
  <c r="CH21" i="5" s="1"/>
  <c r="CG21" i="5"/>
  <c r="CE22" i="5"/>
  <c r="CF22" i="5" s="1"/>
  <c r="CE23" i="5"/>
  <c r="CF23" i="5" s="1"/>
  <c r="CE24" i="5"/>
  <c r="CF24" i="5" s="1"/>
  <c r="CE25" i="5"/>
  <c r="CF25" i="5" s="1"/>
  <c r="CE26" i="5"/>
  <c r="CF26" i="5" s="1"/>
  <c r="CE27" i="5"/>
  <c r="CF27" i="5" s="1"/>
  <c r="CE28" i="5"/>
  <c r="CF28" i="5" s="1"/>
  <c r="CE29" i="5"/>
  <c r="CF29" i="5" s="1"/>
  <c r="CE30" i="5"/>
  <c r="CF30" i="5"/>
  <c r="CH30" i="5" s="1"/>
  <c r="CG30" i="5"/>
  <c r="CE31" i="5"/>
  <c r="CF31" i="5" s="1"/>
  <c r="CE32" i="5"/>
  <c r="CF32" i="5" s="1"/>
  <c r="CE33" i="5"/>
  <c r="CF33" i="5" s="1"/>
  <c r="CE34" i="5"/>
  <c r="CF34" i="5" s="1"/>
  <c r="CE35" i="5"/>
  <c r="CF35" i="5" s="1"/>
  <c r="CE36" i="5"/>
  <c r="CF36" i="5" s="1"/>
  <c r="CE37" i="5"/>
  <c r="CF37" i="5" s="1"/>
  <c r="CE38" i="5"/>
  <c r="CF38" i="5" s="1"/>
  <c r="CE39" i="5"/>
  <c r="CF39" i="5"/>
  <c r="CH39" i="5" s="1"/>
  <c r="CG39" i="5"/>
  <c r="CE40" i="5"/>
  <c r="CF40" i="5" s="1"/>
  <c r="CE41" i="5"/>
  <c r="CF41" i="5" s="1"/>
  <c r="CE42" i="5"/>
  <c r="CF42" i="5" s="1"/>
  <c r="CE43" i="5"/>
  <c r="CF43" i="5" s="1"/>
  <c r="CE44" i="5"/>
  <c r="CF44" i="5" s="1"/>
  <c r="CE45" i="5"/>
  <c r="CF45" i="5" s="1"/>
  <c r="CE46" i="5"/>
  <c r="CF46" i="5" s="1"/>
  <c r="CE47" i="5"/>
  <c r="CF47" i="5" s="1"/>
  <c r="CE48" i="5"/>
  <c r="CF48" i="5"/>
  <c r="CH48" i="5" s="1"/>
  <c r="CG48" i="5"/>
  <c r="CE49" i="5"/>
  <c r="CF49" i="5" s="1"/>
  <c r="CE50" i="5"/>
  <c r="CF50" i="5" s="1"/>
  <c r="CE51" i="5"/>
  <c r="CF51" i="5" s="1"/>
  <c r="CE52" i="5"/>
  <c r="CF52" i="5" s="1"/>
  <c r="CE53" i="5"/>
  <c r="CF53" i="5" s="1"/>
  <c r="CE54" i="5"/>
  <c r="CF54" i="5" s="1"/>
  <c r="CE55" i="5"/>
  <c r="CF55" i="5" s="1"/>
  <c r="CE56" i="5"/>
  <c r="CF56" i="5" s="1"/>
  <c r="CE57" i="5"/>
  <c r="CF57" i="5"/>
  <c r="CH57" i="5" s="1"/>
  <c r="CG57" i="5"/>
  <c r="CE58" i="5"/>
  <c r="CF58" i="5" s="1"/>
  <c r="CE59" i="5"/>
  <c r="CF59" i="5" s="1"/>
  <c r="CE60" i="5"/>
  <c r="CF60" i="5" s="1"/>
  <c r="CE61" i="5"/>
  <c r="CF61" i="5" s="1"/>
  <c r="CE62" i="5"/>
  <c r="CF62" i="5" s="1"/>
  <c r="CE63" i="5"/>
  <c r="CF63" i="5" s="1"/>
  <c r="CE64" i="5"/>
  <c r="CF64" i="5" s="1"/>
  <c r="CE65" i="5"/>
  <c r="CF65" i="5" s="1"/>
  <c r="CE66" i="5"/>
  <c r="CF66" i="5"/>
  <c r="CH66" i="5" s="1"/>
  <c r="CG66" i="5"/>
  <c r="CE67" i="5"/>
  <c r="CF67" i="5" s="1"/>
  <c r="CE68" i="5"/>
  <c r="CF68" i="5" s="1"/>
  <c r="CE69" i="5"/>
  <c r="CF69" i="5" s="1"/>
  <c r="CE70" i="5"/>
  <c r="CF70" i="5" s="1"/>
  <c r="CE71" i="5"/>
  <c r="CF71" i="5" s="1"/>
  <c r="CE72" i="5"/>
  <c r="CF72" i="5" s="1"/>
  <c r="CE73" i="5"/>
  <c r="CF73" i="5" s="1"/>
  <c r="CE74" i="5"/>
  <c r="CF74" i="5" s="1"/>
  <c r="CE75" i="5"/>
  <c r="CF75" i="5"/>
  <c r="CH75" i="5" s="1"/>
  <c r="CG75" i="5"/>
  <c r="CE76" i="5"/>
  <c r="CF76" i="5" s="1"/>
  <c r="CE77" i="5"/>
  <c r="CF77" i="5" s="1"/>
  <c r="CE78" i="5"/>
  <c r="CF78" i="5" s="1"/>
  <c r="CE79" i="5"/>
  <c r="CF79" i="5" s="1"/>
  <c r="CE80" i="5"/>
  <c r="CF80" i="5" s="1"/>
  <c r="CE81" i="5"/>
  <c r="CF81" i="5" s="1"/>
  <c r="CE82" i="5"/>
  <c r="CF82" i="5" s="1"/>
  <c r="CE83" i="5"/>
  <c r="CF83" i="5" s="1"/>
  <c r="CE84" i="5"/>
  <c r="CF84" i="5"/>
  <c r="CH84" i="5" s="1"/>
  <c r="CG84" i="5"/>
  <c r="CE85" i="5"/>
  <c r="CF85" i="5" s="1"/>
  <c r="CE86" i="5"/>
  <c r="CF86" i="5" s="1"/>
  <c r="CE87" i="5"/>
  <c r="CF87" i="5" s="1"/>
  <c r="CE88" i="5"/>
  <c r="CF88" i="5" s="1"/>
  <c r="CE89" i="5"/>
  <c r="CF89" i="5" s="1"/>
  <c r="CE90" i="5"/>
  <c r="CF90" i="5" s="1"/>
  <c r="CE91" i="5"/>
  <c r="CF91" i="5" s="1"/>
  <c r="CE92" i="5"/>
  <c r="CF92" i="5" s="1"/>
  <c r="CE93" i="5"/>
  <c r="CF93" i="5"/>
  <c r="CH93" i="5" s="1"/>
  <c r="CG93" i="5"/>
  <c r="CE94" i="5"/>
  <c r="CF94" i="5" s="1"/>
  <c r="CE95" i="5"/>
  <c r="CF95" i="5" s="1"/>
  <c r="CE96" i="5"/>
  <c r="CF96" i="5" s="1"/>
  <c r="CE97" i="5"/>
  <c r="CF97" i="5" s="1"/>
  <c r="CE98" i="5"/>
  <c r="CF98" i="5" s="1"/>
  <c r="CE99" i="5"/>
  <c r="CF99" i="5" s="1"/>
  <c r="CE100" i="5"/>
  <c r="CF100" i="5" s="1"/>
  <c r="CE101" i="5"/>
  <c r="CF101" i="5" s="1"/>
  <c r="CE102" i="5"/>
  <c r="CF102" i="5"/>
  <c r="CH102" i="5" s="1"/>
  <c r="CG102" i="5"/>
  <c r="CE103" i="5"/>
  <c r="CF103" i="5" s="1"/>
  <c r="CE104" i="5"/>
  <c r="CF104" i="5" s="1"/>
  <c r="CE105" i="5"/>
  <c r="CF105" i="5" s="1"/>
  <c r="CE106" i="5"/>
  <c r="CF106" i="5" s="1"/>
  <c r="CE107" i="5"/>
  <c r="CF107" i="5" s="1"/>
  <c r="CE108" i="5"/>
  <c r="CF108" i="5" s="1"/>
  <c r="CE109" i="5"/>
  <c r="CF109" i="5" s="1"/>
  <c r="CE110" i="5"/>
  <c r="CF110" i="5" s="1"/>
  <c r="CE111" i="5"/>
  <c r="CF111" i="5"/>
  <c r="CH111" i="5" s="1"/>
  <c r="CG111" i="5"/>
  <c r="CE112" i="5"/>
  <c r="CF112" i="5" s="1"/>
  <c r="CE113" i="5"/>
  <c r="CF113" i="5" s="1"/>
  <c r="CE114" i="5"/>
  <c r="CF114" i="5" s="1"/>
  <c r="CE115" i="5"/>
  <c r="CF115" i="5" s="1"/>
  <c r="CE116" i="5"/>
  <c r="CF116" i="5" s="1"/>
  <c r="CE117" i="5"/>
  <c r="CF117" i="5" s="1"/>
  <c r="CE118" i="5"/>
  <c r="CF118" i="5" s="1"/>
  <c r="CE119" i="5"/>
  <c r="CF119" i="5" s="1"/>
  <c r="CE120" i="5"/>
  <c r="CF120" i="5"/>
  <c r="CH120" i="5" s="1"/>
  <c r="CG120" i="5"/>
  <c r="CE121" i="5"/>
  <c r="CF121" i="5" s="1"/>
  <c r="CE122" i="5"/>
  <c r="CF122" i="5" s="1"/>
  <c r="CE123" i="5"/>
  <c r="CF123" i="5" s="1"/>
  <c r="CE124" i="5"/>
  <c r="CF124" i="5" s="1"/>
  <c r="CE125" i="5"/>
  <c r="CF125" i="5" s="1"/>
  <c r="CE126" i="5"/>
  <c r="CF126" i="5" s="1"/>
  <c r="CE127" i="5"/>
  <c r="CF127" i="5" s="1"/>
  <c r="CE128" i="5"/>
  <c r="CF128" i="5" s="1"/>
  <c r="CE129" i="5"/>
  <c r="CF129" i="5"/>
  <c r="CH129" i="5" s="1"/>
  <c r="CG129" i="5"/>
  <c r="CE130" i="5"/>
  <c r="CF130" i="5" s="1"/>
  <c r="CE131" i="5"/>
  <c r="CF131" i="5" s="1"/>
  <c r="CE132" i="5"/>
  <c r="CF132" i="5" s="1"/>
  <c r="CE133" i="5"/>
  <c r="CF133" i="5" s="1"/>
  <c r="CE134" i="5"/>
  <c r="CF134" i="5" s="1"/>
  <c r="CE135" i="5"/>
  <c r="CF135" i="5" s="1"/>
  <c r="CE136" i="5"/>
  <c r="CF136" i="5" s="1"/>
  <c r="CE137" i="5"/>
  <c r="CF137" i="5" s="1"/>
  <c r="CE138" i="5"/>
  <c r="CF138" i="5"/>
  <c r="CH138" i="5" s="1"/>
  <c r="CG138" i="5"/>
  <c r="CE139" i="5"/>
  <c r="CF139" i="5" s="1"/>
  <c r="CE140" i="5"/>
  <c r="CF140" i="5" s="1"/>
  <c r="CE141" i="5"/>
  <c r="CF141" i="5" s="1"/>
  <c r="CE142" i="5"/>
  <c r="CF142" i="5" s="1"/>
  <c r="CE143" i="5"/>
  <c r="CF143" i="5" s="1"/>
  <c r="CE144" i="5"/>
  <c r="CF144" i="5" s="1"/>
  <c r="CE145" i="5"/>
  <c r="CF145" i="5" s="1"/>
  <c r="CE146" i="5"/>
  <c r="CF146" i="5" s="1"/>
  <c r="CE147" i="5"/>
  <c r="CF147" i="5"/>
  <c r="CH147" i="5" s="1"/>
  <c r="CG147" i="5"/>
  <c r="CE148" i="5"/>
  <c r="CF148" i="5" s="1"/>
  <c r="CE149" i="5"/>
  <c r="CF149" i="5" s="1"/>
  <c r="CE150" i="5"/>
  <c r="CF150" i="5" s="1"/>
  <c r="CE151" i="5"/>
  <c r="CF151" i="5" s="1"/>
  <c r="CE152" i="5"/>
  <c r="CF152" i="5" s="1"/>
  <c r="CE153" i="5"/>
  <c r="CF153" i="5" s="1"/>
  <c r="CE154" i="5"/>
  <c r="CF154" i="5" s="1"/>
  <c r="CE155" i="5"/>
  <c r="CF155" i="5" s="1"/>
  <c r="CE156" i="5"/>
  <c r="CF156" i="5" s="1"/>
  <c r="CE157" i="5"/>
  <c r="CF157" i="5" s="1"/>
  <c r="CE158" i="5"/>
  <c r="CF158" i="5" s="1"/>
  <c r="CE159" i="5"/>
  <c r="CF159" i="5" s="1"/>
  <c r="CE160" i="5"/>
  <c r="CF160" i="5" s="1"/>
  <c r="CE161" i="5"/>
  <c r="CF161" i="5" s="1"/>
  <c r="CE162" i="5"/>
  <c r="CF162" i="5" s="1"/>
  <c r="CE163" i="5"/>
  <c r="CF163" i="5" s="1"/>
  <c r="CE164" i="5"/>
  <c r="CF164" i="5" s="1"/>
  <c r="CE165" i="5"/>
  <c r="CF165" i="5" s="1"/>
  <c r="CE166" i="5"/>
  <c r="CF166" i="5" s="1"/>
  <c r="CE167" i="5"/>
  <c r="CF167" i="5" s="1"/>
  <c r="CE168" i="5"/>
  <c r="CF168" i="5" s="1"/>
  <c r="CE169" i="5"/>
  <c r="CF169" i="5" s="1"/>
  <c r="CE170" i="5"/>
  <c r="CF170" i="5" s="1"/>
  <c r="CE171" i="5"/>
  <c r="CF171" i="5" s="1"/>
  <c r="CE172" i="5"/>
  <c r="CF172" i="5" s="1"/>
  <c r="CE173" i="5"/>
  <c r="CF173" i="5" s="1"/>
  <c r="CE174" i="5"/>
  <c r="CF174" i="5" s="1"/>
  <c r="CE175" i="5"/>
  <c r="CF175" i="5" s="1"/>
  <c r="CE176" i="5"/>
  <c r="CF176" i="5" s="1"/>
  <c r="CE177" i="5"/>
  <c r="CF177" i="5" s="1"/>
  <c r="CE178" i="5"/>
  <c r="CF178" i="5" s="1"/>
  <c r="CE179" i="5"/>
  <c r="CF179" i="5" s="1"/>
  <c r="CE180" i="5"/>
  <c r="CF180" i="5" s="1"/>
  <c r="CE181" i="5"/>
  <c r="CF181" i="5" s="1"/>
  <c r="CE182" i="5"/>
  <c r="CF182" i="5" s="1"/>
  <c r="CE183" i="5"/>
  <c r="CF183" i="5" s="1"/>
  <c r="CE184" i="5"/>
  <c r="CF184" i="5" s="1"/>
  <c r="CE185" i="5"/>
  <c r="CF185" i="5" s="1"/>
  <c r="CE186" i="5"/>
  <c r="CF186" i="5" s="1"/>
  <c r="CE187" i="5"/>
  <c r="CF187" i="5" s="1"/>
  <c r="CE188" i="5"/>
  <c r="CF188" i="5" s="1"/>
  <c r="CE189" i="5"/>
  <c r="CF189" i="5" s="1"/>
  <c r="CE190" i="5"/>
  <c r="CF190" i="5" s="1"/>
  <c r="CE191" i="5"/>
  <c r="CF191" i="5" s="1"/>
  <c r="CE192" i="5"/>
  <c r="CF192" i="5" s="1"/>
  <c r="CE193" i="5"/>
  <c r="CF193" i="5" s="1"/>
  <c r="CE194" i="5"/>
  <c r="CF194" i="5" s="1"/>
  <c r="CE195" i="5"/>
  <c r="CF195" i="5" s="1"/>
  <c r="CE196" i="5"/>
  <c r="CF196" i="5" s="1"/>
  <c r="CE197" i="5"/>
  <c r="CF197" i="5" s="1"/>
  <c r="CE198" i="5"/>
  <c r="CF198" i="5" s="1"/>
  <c r="CE199" i="5"/>
  <c r="CF199" i="5" s="1"/>
  <c r="CE200" i="5"/>
  <c r="CF200" i="5" s="1"/>
  <c r="CE201" i="5"/>
  <c r="CF201" i="5"/>
  <c r="CH201" i="5" s="1"/>
  <c r="CG201" i="5"/>
  <c r="CE202" i="5"/>
  <c r="CF202" i="5" s="1"/>
  <c r="CE203" i="5"/>
  <c r="CF203" i="5" s="1"/>
  <c r="CE204" i="5"/>
  <c r="CF204" i="5" s="1"/>
  <c r="CE205" i="5"/>
  <c r="CF205" i="5" s="1"/>
  <c r="CE206" i="5"/>
  <c r="CF206" i="5" s="1"/>
  <c r="CE207" i="5"/>
  <c r="CF207" i="5" s="1"/>
  <c r="CE208" i="5"/>
  <c r="CF208" i="5" s="1"/>
  <c r="CE209" i="5"/>
  <c r="CF209" i="5" s="1"/>
  <c r="CE210" i="5"/>
  <c r="CF210" i="5" s="1"/>
  <c r="CE211" i="5"/>
  <c r="CF211" i="5" s="1"/>
  <c r="CE212" i="5"/>
  <c r="CF212" i="5" s="1"/>
  <c r="CE213" i="5"/>
  <c r="CF213" i="5" s="1"/>
  <c r="CE214" i="5"/>
  <c r="CF214" i="5" s="1"/>
  <c r="CE215" i="5"/>
  <c r="CF215" i="5" s="1"/>
  <c r="CE216" i="5"/>
  <c r="CF216" i="5" s="1"/>
  <c r="CE217" i="5"/>
  <c r="CF217" i="5" s="1"/>
  <c r="CE218" i="5"/>
  <c r="CF218" i="5" s="1"/>
  <c r="CE219" i="5"/>
  <c r="CF219" i="5" s="1"/>
  <c r="CE220" i="5"/>
  <c r="CF220" i="5" s="1"/>
  <c r="CE221" i="5"/>
  <c r="CF221" i="5" s="1"/>
  <c r="CE222" i="5"/>
  <c r="CF222" i="5" s="1"/>
  <c r="CE223" i="5"/>
  <c r="CF223" i="5" s="1"/>
  <c r="CE224" i="5"/>
  <c r="CF224" i="5" s="1"/>
  <c r="CE225" i="5"/>
  <c r="CF225" i="5" s="1"/>
  <c r="CE226" i="5"/>
  <c r="CF226" i="5" s="1"/>
  <c r="CE227" i="5"/>
  <c r="CF227" i="5" s="1"/>
  <c r="CE228" i="5"/>
  <c r="CF228" i="5" s="1"/>
  <c r="CE229" i="5"/>
  <c r="CF229" i="5" s="1"/>
  <c r="CE230" i="5"/>
  <c r="CF230" i="5" s="1"/>
  <c r="CE231" i="5"/>
  <c r="CF231" i="5" s="1"/>
  <c r="CE232" i="5"/>
  <c r="CF232" i="5" s="1"/>
  <c r="CE3" i="5"/>
  <c r="CF3" i="5" s="1"/>
  <c r="CA4" i="5"/>
  <c r="CB4" i="5" s="1"/>
  <c r="CA5" i="5"/>
  <c r="CB5" i="5" s="1"/>
  <c r="CA6" i="5"/>
  <c r="CB6" i="5" s="1"/>
  <c r="CA7" i="5"/>
  <c r="CB7" i="5" s="1"/>
  <c r="CA8" i="5"/>
  <c r="CB8" i="5" s="1"/>
  <c r="CA9" i="5"/>
  <c r="CB9" i="5" s="1"/>
  <c r="CA10" i="5"/>
  <c r="CB10" i="5"/>
  <c r="CD10" i="5" s="1"/>
  <c r="CC10" i="5"/>
  <c r="CA11" i="5"/>
  <c r="CB11" i="5"/>
  <c r="CC11" i="5" s="1"/>
  <c r="CA12" i="5"/>
  <c r="CB12" i="5"/>
  <c r="CC12" i="5"/>
  <c r="CD12" i="5"/>
  <c r="CA13" i="5"/>
  <c r="CB13" i="5" s="1"/>
  <c r="CA14" i="5"/>
  <c r="CB14" i="5" s="1"/>
  <c r="CA15" i="5"/>
  <c r="CB15" i="5" s="1"/>
  <c r="CA16" i="5"/>
  <c r="CB16" i="5" s="1"/>
  <c r="CA17" i="5"/>
  <c r="CB17" i="5" s="1"/>
  <c r="CA18" i="5"/>
  <c r="CB18" i="5" s="1"/>
  <c r="CA19" i="5"/>
  <c r="CB19" i="5" s="1"/>
  <c r="CA20" i="5"/>
  <c r="CB20" i="5"/>
  <c r="CC20" i="5" s="1"/>
  <c r="CA21" i="5"/>
  <c r="CB21" i="5"/>
  <c r="CC21" i="5"/>
  <c r="CD21" i="5"/>
  <c r="CA22" i="5"/>
  <c r="CB22" i="5" s="1"/>
  <c r="CA23" i="5"/>
  <c r="CB23" i="5" s="1"/>
  <c r="CA24" i="5"/>
  <c r="CB24" i="5" s="1"/>
  <c r="CA25" i="5"/>
  <c r="CB25" i="5" s="1"/>
  <c r="CA26" i="5"/>
  <c r="CB26" i="5" s="1"/>
  <c r="CA27" i="5"/>
  <c r="CB27" i="5" s="1"/>
  <c r="CA28" i="5"/>
  <c r="CB28" i="5" s="1"/>
  <c r="CA29" i="5"/>
  <c r="CB29" i="5"/>
  <c r="CC29" i="5" s="1"/>
  <c r="CA30" i="5"/>
  <c r="CB30" i="5"/>
  <c r="CC30" i="5"/>
  <c r="CD30" i="5"/>
  <c r="CA31" i="5"/>
  <c r="CB31" i="5" s="1"/>
  <c r="CA32" i="5"/>
  <c r="CB32" i="5" s="1"/>
  <c r="CA33" i="5"/>
  <c r="CB33" i="5" s="1"/>
  <c r="CA34" i="5"/>
  <c r="CB34" i="5" s="1"/>
  <c r="CA35" i="5"/>
  <c r="CB35" i="5" s="1"/>
  <c r="CA36" i="5"/>
  <c r="CB36" i="5" s="1"/>
  <c r="CA37" i="5"/>
  <c r="CB37" i="5" s="1"/>
  <c r="CA38" i="5"/>
  <c r="CB38" i="5"/>
  <c r="CC38" i="5" s="1"/>
  <c r="CA39" i="5"/>
  <c r="CB39" i="5"/>
  <c r="CC39" i="5"/>
  <c r="CD39" i="5"/>
  <c r="CA40" i="5"/>
  <c r="CB40" i="5" s="1"/>
  <c r="CA41" i="5"/>
  <c r="CB41" i="5" s="1"/>
  <c r="CA42" i="5"/>
  <c r="CB42" i="5" s="1"/>
  <c r="CA43" i="5"/>
  <c r="CB43" i="5" s="1"/>
  <c r="CA44" i="5"/>
  <c r="CB44" i="5" s="1"/>
  <c r="CA45" i="5"/>
  <c r="CB45" i="5" s="1"/>
  <c r="CA46" i="5"/>
  <c r="CB46" i="5" s="1"/>
  <c r="CA47" i="5"/>
  <c r="CB47" i="5"/>
  <c r="CC47" i="5" s="1"/>
  <c r="CA48" i="5"/>
  <c r="CB48" i="5"/>
  <c r="CC48" i="5"/>
  <c r="CD48" i="5"/>
  <c r="CA49" i="5"/>
  <c r="CB49" i="5" s="1"/>
  <c r="CA50" i="5"/>
  <c r="CB50" i="5" s="1"/>
  <c r="CA51" i="5"/>
  <c r="CB51" i="5" s="1"/>
  <c r="CA52" i="5"/>
  <c r="CB52" i="5" s="1"/>
  <c r="CA53" i="5"/>
  <c r="CB53" i="5" s="1"/>
  <c r="CA54" i="5"/>
  <c r="CB54" i="5" s="1"/>
  <c r="CA55" i="5"/>
  <c r="CB55" i="5" s="1"/>
  <c r="CA56" i="5"/>
  <c r="CB56" i="5"/>
  <c r="CC56" i="5" s="1"/>
  <c r="CA57" i="5"/>
  <c r="CB57" i="5"/>
  <c r="CC57" i="5"/>
  <c r="CD57" i="5"/>
  <c r="CA58" i="5"/>
  <c r="CB58" i="5" s="1"/>
  <c r="CA59" i="5"/>
  <c r="CB59" i="5" s="1"/>
  <c r="CA60" i="5"/>
  <c r="CB60" i="5" s="1"/>
  <c r="CA61" i="5"/>
  <c r="CB61" i="5" s="1"/>
  <c r="CA62" i="5"/>
  <c r="CB62" i="5" s="1"/>
  <c r="CA63" i="5"/>
  <c r="CB63" i="5" s="1"/>
  <c r="CA64" i="5"/>
  <c r="CB64" i="5" s="1"/>
  <c r="CA65" i="5"/>
  <c r="CB65" i="5"/>
  <c r="CC65" i="5" s="1"/>
  <c r="CA66" i="5"/>
  <c r="CB66" i="5"/>
  <c r="CC66" i="5"/>
  <c r="CD66" i="5"/>
  <c r="CA67" i="5"/>
  <c r="CB67" i="5" s="1"/>
  <c r="CA68" i="5"/>
  <c r="CB68" i="5" s="1"/>
  <c r="CA69" i="5"/>
  <c r="CB69" i="5" s="1"/>
  <c r="CA70" i="5"/>
  <c r="CB70" i="5" s="1"/>
  <c r="CA71" i="5"/>
  <c r="CB71" i="5" s="1"/>
  <c r="CA72" i="5"/>
  <c r="CB72" i="5" s="1"/>
  <c r="CA73" i="5"/>
  <c r="CB73" i="5" s="1"/>
  <c r="CA74" i="5"/>
  <c r="CB74" i="5"/>
  <c r="CC74" i="5" s="1"/>
  <c r="CA75" i="5"/>
  <c r="CB75" i="5"/>
  <c r="CC75" i="5"/>
  <c r="CD75" i="5"/>
  <c r="CA76" i="5"/>
  <c r="CB76" i="5" s="1"/>
  <c r="CA77" i="5"/>
  <c r="CB77" i="5" s="1"/>
  <c r="CA78" i="5"/>
  <c r="CB78" i="5" s="1"/>
  <c r="CA79" i="5"/>
  <c r="CB79" i="5" s="1"/>
  <c r="CA80" i="5"/>
  <c r="CB80" i="5" s="1"/>
  <c r="CA81" i="5"/>
  <c r="CB81" i="5" s="1"/>
  <c r="CA82" i="5"/>
  <c r="CB82" i="5" s="1"/>
  <c r="CA83" i="5"/>
  <c r="CB83" i="5"/>
  <c r="CC83" i="5" s="1"/>
  <c r="CA84" i="5"/>
  <c r="CB84" i="5"/>
  <c r="CC84" i="5"/>
  <c r="CD84" i="5"/>
  <c r="CA85" i="5"/>
  <c r="CB85" i="5" s="1"/>
  <c r="CA86" i="5"/>
  <c r="CB86" i="5" s="1"/>
  <c r="CA87" i="5"/>
  <c r="CB87" i="5" s="1"/>
  <c r="CA88" i="5"/>
  <c r="CB88" i="5" s="1"/>
  <c r="CA89" i="5"/>
  <c r="CB89" i="5" s="1"/>
  <c r="CA90" i="5"/>
  <c r="CB90" i="5" s="1"/>
  <c r="CA91" i="5"/>
  <c r="CB91" i="5" s="1"/>
  <c r="CA92" i="5"/>
  <c r="CB92" i="5"/>
  <c r="CC92" i="5" s="1"/>
  <c r="CA93" i="5"/>
  <c r="CB93" i="5"/>
  <c r="CC93" i="5"/>
  <c r="CD93" i="5"/>
  <c r="CA94" i="5"/>
  <c r="CB94" i="5" s="1"/>
  <c r="CA95" i="5"/>
  <c r="CB95" i="5" s="1"/>
  <c r="CA96" i="5"/>
  <c r="CB96" i="5" s="1"/>
  <c r="CA97" i="5"/>
  <c r="CB97" i="5" s="1"/>
  <c r="CA98" i="5"/>
  <c r="CB98" i="5" s="1"/>
  <c r="CA99" i="5"/>
  <c r="CB99" i="5" s="1"/>
  <c r="CA100" i="5"/>
  <c r="CB100" i="5" s="1"/>
  <c r="CA101" i="5"/>
  <c r="CB101" i="5"/>
  <c r="CC101" i="5" s="1"/>
  <c r="CA102" i="5"/>
  <c r="CB102" i="5"/>
  <c r="CC102" i="5"/>
  <c r="CD102" i="5"/>
  <c r="CA103" i="5"/>
  <c r="CB103" i="5" s="1"/>
  <c r="CA104" i="5"/>
  <c r="CB104" i="5" s="1"/>
  <c r="CA105" i="5"/>
  <c r="CB105" i="5" s="1"/>
  <c r="CA106" i="5"/>
  <c r="CB106" i="5" s="1"/>
  <c r="CA107" i="5"/>
  <c r="CB107" i="5" s="1"/>
  <c r="CA108" i="5"/>
  <c r="CB108" i="5" s="1"/>
  <c r="CA109" i="5"/>
  <c r="CB109" i="5" s="1"/>
  <c r="CA110" i="5"/>
  <c r="CB110" i="5"/>
  <c r="CC110" i="5" s="1"/>
  <c r="CA111" i="5"/>
  <c r="CB111" i="5"/>
  <c r="CC111" i="5"/>
  <c r="CD111" i="5"/>
  <c r="CA112" i="5"/>
  <c r="CB112" i="5" s="1"/>
  <c r="CA113" i="5"/>
  <c r="CB113" i="5" s="1"/>
  <c r="CA114" i="5"/>
  <c r="CB114" i="5" s="1"/>
  <c r="CA115" i="5"/>
  <c r="CB115" i="5" s="1"/>
  <c r="CA116" i="5"/>
  <c r="CB116" i="5" s="1"/>
  <c r="CA117" i="5"/>
  <c r="CB117" i="5" s="1"/>
  <c r="CA118" i="5"/>
  <c r="CB118" i="5" s="1"/>
  <c r="CA119" i="5"/>
  <c r="CB119" i="5"/>
  <c r="CC119" i="5" s="1"/>
  <c r="CA120" i="5"/>
  <c r="CB120" i="5"/>
  <c r="CC120" i="5"/>
  <c r="CD120" i="5"/>
  <c r="CA121" i="5"/>
  <c r="CB121" i="5" s="1"/>
  <c r="CA122" i="5"/>
  <c r="CB122" i="5" s="1"/>
  <c r="CA123" i="5"/>
  <c r="CB123" i="5" s="1"/>
  <c r="CA124" i="5"/>
  <c r="CB124" i="5" s="1"/>
  <c r="CA125" i="5"/>
  <c r="CB125" i="5" s="1"/>
  <c r="CA126" i="5"/>
  <c r="CB126" i="5" s="1"/>
  <c r="CA127" i="5"/>
  <c r="CB127" i="5" s="1"/>
  <c r="CA128" i="5"/>
  <c r="CB128" i="5"/>
  <c r="CC128" i="5" s="1"/>
  <c r="CA129" i="5"/>
  <c r="CB129" i="5"/>
  <c r="CC129" i="5"/>
  <c r="CD129" i="5"/>
  <c r="CA130" i="5"/>
  <c r="CB130" i="5" s="1"/>
  <c r="CA131" i="5"/>
  <c r="CB131" i="5" s="1"/>
  <c r="CA132" i="5"/>
  <c r="CB132" i="5" s="1"/>
  <c r="CA133" i="5"/>
  <c r="CB133" i="5" s="1"/>
  <c r="CA134" i="5"/>
  <c r="CB134" i="5" s="1"/>
  <c r="CA135" i="5"/>
  <c r="CB135" i="5" s="1"/>
  <c r="CA136" i="5"/>
  <c r="CB136" i="5" s="1"/>
  <c r="CA137" i="5"/>
  <c r="CB137" i="5"/>
  <c r="CD137" i="5" s="1"/>
  <c r="CC137" i="5"/>
  <c r="CA138" i="5"/>
  <c r="CB138" i="5"/>
  <c r="CC138" i="5"/>
  <c r="CD138" i="5"/>
  <c r="CA139" i="5"/>
  <c r="CB139" i="5" s="1"/>
  <c r="CA140" i="5"/>
  <c r="CB140" i="5" s="1"/>
  <c r="CA141" i="5"/>
  <c r="CB141" i="5" s="1"/>
  <c r="CA142" i="5"/>
  <c r="CB142" i="5" s="1"/>
  <c r="CA143" i="5"/>
  <c r="CB143" i="5"/>
  <c r="CD143" i="5" s="1"/>
  <c r="CA144" i="5"/>
  <c r="CB144" i="5" s="1"/>
  <c r="CA145" i="5"/>
  <c r="CB145" i="5" s="1"/>
  <c r="CA146" i="5"/>
  <c r="CB146" i="5"/>
  <c r="CD146" i="5" s="1"/>
  <c r="CC146" i="5"/>
  <c r="CA147" i="5"/>
  <c r="CB147" i="5"/>
  <c r="CC147" i="5"/>
  <c r="CD147" i="5"/>
  <c r="CA148" i="5"/>
  <c r="CB148" i="5" s="1"/>
  <c r="CA149" i="5"/>
  <c r="CB149" i="5" s="1"/>
  <c r="CA150" i="5"/>
  <c r="CB150" i="5" s="1"/>
  <c r="CA151" i="5"/>
  <c r="CB151" i="5" s="1"/>
  <c r="CA152" i="5"/>
  <c r="CB152" i="5"/>
  <c r="CD152" i="5" s="1"/>
  <c r="CA153" i="5"/>
  <c r="CB153" i="5" s="1"/>
  <c r="CA154" i="5"/>
  <c r="CB154" i="5" s="1"/>
  <c r="CA155" i="5"/>
  <c r="CB155" i="5"/>
  <c r="CD155" i="5" s="1"/>
  <c r="CC155" i="5"/>
  <c r="CA156" i="5"/>
  <c r="CB156" i="5"/>
  <c r="CC156" i="5"/>
  <c r="CD156" i="5"/>
  <c r="CA157" i="5"/>
  <c r="CB157" i="5" s="1"/>
  <c r="CA158" i="5"/>
  <c r="CB158" i="5" s="1"/>
  <c r="CA159" i="5"/>
  <c r="CB159" i="5" s="1"/>
  <c r="CA160" i="5"/>
  <c r="CB160" i="5" s="1"/>
  <c r="CA161" i="5"/>
  <c r="CB161" i="5" s="1"/>
  <c r="CA162" i="5"/>
  <c r="CB162" i="5" s="1"/>
  <c r="CA163" i="5"/>
  <c r="CB163" i="5" s="1"/>
  <c r="CA164" i="5"/>
  <c r="CB164" i="5" s="1"/>
  <c r="CA165" i="5"/>
  <c r="CB165" i="5"/>
  <c r="CC165" i="5"/>
  <c r="CD165" i="5"/>
  <c r="CA166" i="5"/>
  <c r="CB166" i="5" s="1"/>
  <c r="CA167" i="5"/>
  <c r="CB167" i="5" s="1"/>
  <c r="CA168" i="5"/>
  <c r="CB168" i="5" s="1"/>
  <c r="CA169" i="5"/>
  <c r="CB169" i="5" s="1"/>
  <c r="CA170" i="5"/>
  <c r="CB170" i="5" s="1"/>
  <c r="CA171" i="5"/>
  <c r="CB171" i="5" s="1"/>
  <c r="CA172" i="5"/>
  <c r="CB172" i="5" s="1"/>
  <c r="CA173" i="5"/>
  <c r="CB173" i="5"/>
  <c r="CD173" i="5" s="1"/>
  <c r="CC173" i="5"/>
  <c r="CA174" i="5"/>
  <c r="CB174" i="5"/>
  <c r="CC174" i="5"/>
  <c r="CD174" i="5"/>
  <c r="CA175" i="5"/>
  <c r="CB175" i="5" s="1"/>
  <c r="CA176" i="5"/>
  <c r="CB176" i="5" s="1"/>
  <c r="CA177" i="5"/>
  <c r="CB177" i="5" s="1"/>
  <c r="CA178" i="5"/>
  <c r="CB178" i="5" s="1"/>
  <c r="CA179" i="5"/>
  <c r="CB179" i="5"/>
  <c r="CD179" i="5" s="1"/>
  <c r="CC179" i="5"/>
  <c r="CA180" i="5"/>
  <c r="CB180" i="5" s="1"/>
  <c r="CA181" i="5"/>
  <c r="CB181" i="5" s="1"/>
  <c r="CA182" i="5"/>
  <c r="CB182" i="5"/>
  <c r="CD182" i="5" s="1"/>
  <c r="CC182" i="5"/>
  <c r="CA183" i="5"/>
  <c r="CB183" i="5"/>
  <c r="CC183" i="5"/>
  <c r="CD183" i="5"/>
  <c r="CA184" i="5"/>
  <c r="CB184" i="5" s="1"/>
  <c r="CA185" i="5"/>
  <c r="CB185" i="5" s="1"/>
  <c r="CA186" i="5"/>
  <c r="CB186" i="5" s="1"/>
  <c r="CA187" i="5"/>
  <c r="CB187" i="5" s="1"/>
  <c r="CA188" i="5"/>
  <c r="CB188" i="5" s="1"/>
  <c r="CA189" i="5"/>
  <c r="CB189" i="5" s="1"/>
  <c r="CA190" i="5"/>
  <c r="CB190" i="5" s="1"/>
  <c r="CA191" i="5"/>
  <c r="CB191" i="5"/>
  <c r="CD191" i="5" s="1"/>
  <c r="CC191" i="5"/>
  <c r="CA192" i="5"/>
  <c r="CB192" i="5"/>
  <c r="CC192" i="5"/>
  <c r="CD192" i="5"/>
  <c r="CA193" i="5"/>
  <c r="CB193" i="5" s="1"/>
  <c r="CA194" i="5"/>
  <c r="CB194" i="5" s="1"/>
  <c r="CA195" i="5"/>
  <c r="CB195" i="5" s="1"/>
  <c r="CA196" i="5"/>
  <c r="CB196" i="5" s="1"/>
  <c r="CA197" i="5"/>
  <c r="CB197" i="5"/>
  <c r="CD197" i="5" s="1"/>
  <c r="CA198" i="5"/>
  <c r="CB198" i="5" s="1"/>
  <c r="CA199" i="5"/>
  <c r="CB199" i="5" s="1"/>
  <c r="CA200" i="5"/>
  <c r="CB200" i="5" s="1"/>
  <c r="CD200" i="5" s="1"/>
  <c r="CC200" i="5"/>
  <c r="CA201" i="5"/>
  <c r="CB201" i="5"/>
  <c r="CC201" i="5"/>
  <c r="CD201" i="5"/>
  <c r="CA202" i="5"/>
  <c r="CB202" i="5" s="1"/>
  <c r="CA203" i="5"/>
  <c r="CB203" i="5" s="1"/>
  <c r="CA204" i="5"/>
  <c r="CB204" i="5" s="1"/>
  <c r="CA205" i="5"/>
  <c r="CB205" i="5" s="1"/>
  <c r="CC205" i="5" s="1"/>
  <c r="CA206" i="5"/>
  <c r="CB206" i="5" s="1"/>
  <c r="CA207" i="5"/>
  <c r="CB207" i="5" s="1"/>
  <c r="CA208" i="5"/>
  <c r="CB208" i="5" s="1"/>
  <c r="CD208" i="5" s="1"/>
  <c r="CA209" i="5"/>
  <c r="CB209" i="5" s="1"/>
  <c r="CD209" i="5" s="1"/>
  <c r="CC209" i="5"/>
  <c r="CA210" i="5"/>
  <c r="CB210" i="5"/>
  <c r="CC210" i="5"/>
  <c r="CD210" i="5"/>
  <c r="CA211" i="5"/>
  <c r="CB211" i="5" s="1"/>
  <c r="CA212" i="5"/>
  <c r="CB212" i="5" s="1"/>
  <c r="CA213" i="5"/>
  <c r="CB213" i="5" s="1"/>
  <c r="CA214" i="5"/>
  <c r="CB214" i="5" s="1"/>
  <c r="CC214" i="5" s="1"/>
  <c r="CD214" i="5"/>
  <c r="CA215" i="5"/>
  <c r="CB215" i="5" s="1"/>
  <c r="CA216" i="5"/>
  <c r="CB216" i="5" s="1"/>
  <c r="CA217" i="5"/>
  <c r="CB217" i="5" s="1"/>
  <c r="CD217" i="5" s="1"/>
  <c r="CA218" i="5"/>
  <c r="CB218" i="5" s="1"/>
  <c r="CD218" i="5" s="1"/>
  <c r="CA219" i="5"/>
  <c r="CB219" i="5"/>
  <c r="CC219" i="5"/>
  <c r="CD219" i="5"/>
  <c r="CA220" i="5"/>
  <c r="CB220" i="5" s="1"/>
  <c r="CA221" i="5"/>
  <c r="CB221" i="5" s="1"/>
  <c r="CA222" i="5"/>
  <c r="CB222" i="5" s="1"/>
  <c r="CA223" i="5"/>
  <c r="CB223" i="5" s="1"/>
  <c r="CC223" i="5" s="1"/>
  <c r="CA224" i="5"/>
  <c r="CB224" i="5" s="1"/>
  <c r="CA225" i="5"/>
  <c r="CB225" i="5" s="1"/>
  <c r="CA226" i="5"/>
  <c r="CB226" i="5" s="1"/>
  <c r="CD226" i="5" s="1"/>
  <c r="CC226" i="5"/>
  <c r="CA227" i="5"/>
  <c r="CB227" i="5" s="1"/>
  <c r="CD227" i="5" s="1"/>
  <c r="CA228" i="5"/>
  <c r="CB228" i="5"/>
  <c r="CC228" i="5"/>
  <c r="CD228" i="5"/>
  <c r="CA229" i="5"/>
  <c r="CB229" i="5" s="1"/>
  <c r="CA230" i="5"/>
  <c r="CB230" i="5" s="1"/>
  <c r="CA231" i="5"/>
  <c r="CB231" i="5" s="1"/>
  <c r="CA232" i="5"/>
  <c r="CB232" i="5" s="1"/>
  <c r="CC232" i="5" s="1"/>
  <c r="CA3" i="5"/>
  <c r="CB3" i="5" s="1"/>
  <c r="BW4" i="5"/>
  <c r="BX4" i="5" s="1"/>
  <c r="BW5" i="5"/>
  <c r="BX5" i="5" s="1"/>
  <c r="BW6" i="5"/>
  <c r="BX6" i="5" s="1"/>
  <c r="BW7" i="5"/>
  <c r="BX7" i="5"/>
  <c r="BY7" i="5"/>
  <c r="BZ7" i="5"/>
  <c r="BW8" i="5"/>
  <c r="BX8" i="5" s="1"/>
  <c r="BW9" i="5"/>
  <c r="BX9" i="5" s="1"/>
  <c r="BW10" i="5"/>
  <c r="BX10" i="5" s="1"/>
  <c r="BW11" i="5"/>
  <c r="BX11" i="5" s="1"/>
  <c r="BW12" i="5"/>
  <c r="BX12" i="5"/>
  <c r="BY12" i="5" s="1"/>
  <c r="BW13" i="5"/>
  <c r="BX13" i="5" s="1"/>
  <c r="BW14" i="5"/>
  <c r="BX14" i="5" s="1"/>
  <c r="BW15" i="5"/>
  <c r="BX15" i="5" s="1"/>
  <c r="BW16" i="5"/>
  <c r="BX16" i="5"/>
  <c r="BY16" i="5"/>
  <c r="BZ16" i="5"/>
  <c r="BW17" i="5"/>
  <c r="BX17" i="5" s="1"/>
  <c r="BW18" i="5"/>
  <c r="BX18" i="5" s="1"/>
  <c r="BW19" i="5"/>
  <c r="BX19" i="5" s="1"/>
  <c r="BW20" i="5"/>
  <c r="BX20" i="5" s="1"/>
  <c r="BW21" i="5"/>
  <c r="BX21" i="5"/>
  <c r="BY21" i="5" s="1"/>
  <c r="BW22" i="5"/>
  <c r="BX22" i="5" s="1"/>
  <c r="BW23" i="5"/>
  <c r="BX23" i="5" s="1"/>
  <c r="BW24" i="5"/>
  <c r="BX24" i="5" s="1"/>
  <c r="BW25" i="5"/>
  <c r="BX25" i="5"/>
  <c r="BY25" i="5"/>
  <c r="BZ25" i="5"/>
  <c r="BW26" i="5"/>
  <c r="BX26" i="5" s="1"/>
  <c r="BW27" i="5"/>
  <c r="BX27" i="5" s="1"/>
  <c r="BW28" i="5"/>
  <c r="BX28" i="5" s="1"/>
  <c r="BW29" i="5"/>
  <c r="BX29" i="5" s="1"/>
  <c r="BW30" i="5"/>
  <c r="BX30" i="5"/>
  <c r="BY30" i="5" s="1"/>
  <c r="BW31" i="5"/>
  <c r="BX31" i="5" s="1"/>
  <c r="BW32" i="5"/>
  <c r="BX32" i="5" s="1"/>
  <c r="BW33" i="5"/>
  <c r="BX33" i="5" s="1"/>
  <c r="BW34" i="5"/>
  <c r="BX34" i="5"/>
  <c r="BY34" i="5"/>
  <c r="BZ34" i="5"/>
  <c r="BW35" i="5"/>
  <c r="BX35" i="5" s="1"/>
  <c r="BW36" i="5"/>
  <c r="BX36" i="5" s="1"/>
  <c r="BW37" i="5"/>
  <c r="BX37" i="5" s="1"/>
  <c r="BW38" i="5"/>
  <c r="BX38" i="5" s="1"/>
  <c r="BW39" i="5"/>
  <c r="BX39" i="5"/>
  <c r="BY39" i="5" s="1"/>
  <c r="BW40" i="5"/>
  <c r="BX40" i="5" s="1"/>
  <c r="BW41" i="5"/>
  <c r="BX41" i="5" s="1"/>
  <c r="BW42" i="5"/>
  <c r="BX42" i="5" s="1"/>
  <c r="BW43" i="5"/>
  <c r="BX43" i="5"/>
  <c r="BY43" i="5"/>
  <c r="BZ43" i="5"/>
  <c r="BW44" i="5"/>
  <c r="BX44" i="5" s="1"/>
  <c r="BW45" i="5"/>
  <c r="BX45" i="5" s="1"/>
  <c r="BW46" i="5"/>
  <c r="BX46" i="5" s="1"/>
  <c r="BW47" i="5"/>
  <c r="BX47" i="5" s="1"/>
  <c r="BW48" i="5"/>
  <c r="BX48" i="5"/>
  <c r="BY48" i="5" s="1"/>
  <c r="BW49" i="5"/>
  <c r="BX49" i="5" s="1"/>
  <c r="BW50" i="5"/>
  <c r="BX50" i="5" s="1"/>
  <c r="BW51" i="5"/>
  <c r="BX51" i="5" s="1"/>
  <c r="BW52" i="5"/>
  <c r="BX52" i="5"/>
  <c r="BY52" i="5"/>
  <c r="BZ52" i="5"/>
  <c r="BW53" i="5"/>
  <c r="BX53" i="5" s="1"/>
  <c r="BW54" i="5"/>
  <c r="BX54" i="5" s="1"/>
  <c r="BW55" i="5"/>
  <c r="BX55" i="5" s="1"/>
  <c r="BW56" i="5"/>
  <c r="BX56" i="5" s="1"/>
  <c r="BW57" i="5"/>
  <c r="BX57" i="5" s="1"/>
  <c r="BW58" i="5"/>
  <c r="BX58" i="5" s="1"/>
  <c r="BW59" i="5"/>
  <c r="BX59" i="5" s="1"/>
  <c r="BW60" i="5"/>
  <c r="BX60" i="5" s="1"/>
  <c r="BW61" i="5"/>
  <c r="BX61" i="5"/>
  <c r="BY61" i="5"/>
  <c r="BZ61" i="5"/>
  <c r="BW62" i="5"/>
  <c r="BX62" i="5" s="1"/>
  <c r="BW63" i="5"/>
  <c r="BX63" i="5" s="1"/>
  <c r="BW64" i="5"/>
  <c r="BX64" i="5" s="1"/>
  <c r="BW65" i="5"/>
  <c r="BX65" i="5" s="1"/>
  <c r="BW66" i="5"/>
  <c r="BX66" i="5"/>
  <c r="BY66" i="5" s="1"/>
  <c r="BW67" i="5"/>
  <c r="BX67" i="5" s="1"/>
  <c r="BW68" i="5"/>
  <c r="BX68" i="5" s="1"/>
  <c r="BW69" i="5"/>
  <c r="BX69" i="5" s="1"/>
  <c r="BW70" i="5"/>
  <c r="BX70" i="5"/>
  <c r="BY70" i="5"/>
  <c r="BZ70" i="5"/>
  <c r="BW71" i="5"/>
  <c r="BX71" i="5" s="1"/>
  <c r="BW72" i="5"/>
  <c r="BX72" i="5" s="1"/>
  <c r="BW73" i="5"/>
  <c r="BX73" i="5" s="1"/>
  <c r="BW74" i="5"/>
  <c r="BX74" i="5" s="1"/>
  <c r="BW75" i="5"/>
  <c r="BX75" i="5"/>
  <c r="BY75" i="5" s="1"/>
  <c r="BW76" i="5"/>
  <c r="BX76" i="5" s="1"/>
  <c r="BW77" i="5"/>
  <c r="BX77" i="5" s="1"/>
  <c r="BW78" i="5"/>
  <c r="BX78" i="5" s="1"/>
  <c r="BW79" i="5"/>
  <c r="BX79" i="5"/>
  <c r="BY79" i="5"/>
  <c r="BZ79" i="5"/>
  <c r="BW80" i="5"/>
  <c r="BX80" i="5" s="1"/>
  <c r="BW81" i="5"/>
  <c r="BX81" i="5" s="1"/>
  <c r="BW82" i="5"/>
  <c r="BX82" i="5" s="1"/>
  <c r="BW83" i="5"/>
  <c r="BX83" i="5" s="1"/>
  <c r="BW84" i="5"/>
  <c r="BX84" i="5"/>
  <c r="BY84" i="5" s="1"/>
  <c r="BW85" i="5"/>
  <c r="BX85" i="5" s="1"/>
  <c r="BW86" i="5"/>
  <c r="BX86" i="5" s="1"/>
  <c r="BW87" i="5"/>
  <c r="BX87" i="5" s="1"/>
  <c r="BW88" i="5"/>
  <c r="BX88" i="5"/>
  <c r="BY88" i="5"/>
  <c r="BZ88" i="5"/>
  <c r="BW89" i="5"/>
  <c r="BX89" i="5" s="1"/>
  <c r="BW90" i="5"/>
  <c r="BX90" i="5" s="1"/>
  <c r="BW91" i="5"/>
  <c r="BX91" i="5" s="1"/>
  <c r="BW92" i="5"/>
  <c r="BX92" i="5" s="1"/>
  <c r="BW93" i="5"/>
  <c r="BX93" i="5"/>
  <c r="BY93" i="5" s="1"/>
  <c r="BW94" i="5"/>
  <c r="BX94" i="5" s="1"/>
  <c r="BW95" i="5"/>
  <c r="BX95" i="5" s="1"/>
  <c r="BW96" i="5"/>
  <c r="BX96" i="5" s="1"/>
  <c r="BW97" i="5"/>
  <c r="BX97" i="5"/>
  <c r="BY97" i="5"/>
  <c r="BZ97" i="5"/>
  <c r="BW98" i="5"/>
  <c r="BX98" i="5" s="1"/>
  <c r="BW99" i="5"/>
  <c r="BX99" i="5" s="1"/>
  <c r="BW100" i="5"/>
  <c r="BX100" i="5" s="1"/>
  <c r="BW101" i="5"/>
  <c r="BX101" i="5" s="1"/>
  <c r="BW102" i="5"/>
  <c r="BX102" i="5"/>
  <c r="BY102" i="5" s="1"/>
  <c r="BW103" i="5"/>
  <c r="BX103" i="5" s="1"/>
  <c r="BW104" i="5"/>
  <c r="BX104" i="5" s="1"/>
  <c r="BW105" i="5"/>
  <c r="BX105" i="5" s="1"/>
  <c r="BW106" i="5"/>
  <c r="BX106" i="5"/>
  <c r="BY106" i="5"/>
  <c r="BZ106" i="5"/>
  <c r="BW107" i="5"/>
  <c r="BX107" i="5" s="1"/>
  <c r="BW108" i="5"/>
  <c r="BX108" i="5" s="1"/>
  <c r="BW109" i="5"/>
  <c r="BX109" i="5" s="1"/>
  <c r="BW110" i="5"/>
  <c r="BX110" i="5" s="1"/>
  <c r="BW111" i="5"/>
  <c r="BX111" i="5"/>
  <c r="BY111" i="5" s="1"/>
  <c r="BW112" i="5"/>
  <c r="BX112" i="5" s="1"/>
  <c r="BW113" i="5"/>
  <c r="BX113" i="5" s="1"/>
  <c r="BW114" i="5"/>
  <c r="BX114" i="5" s="1"/>
  <c r="BW115" i="5"/>
  <c r="BX115" i="5"/>
  <c r="BY115" i="5"/>
  <c r="BZ115" i="5"/>
  <c r="BW116" i="5"/>
  <c r="BX116" i="5" s="1"/>
  <c r="BW117" i="5"/>
  <c r="BX117" i="5" s="1"/>
  <c r="BW118" i="5"/>
  <c r="BX118" i="5" s="1"/>
  <c r="BW119" i="5"/>
  <c r="BX119" i="5" s="1"/>
  <c r="BW120" i="5"/>
  <c r="BX120" i="5"/>
  <c r="BY120" i="5" s="1"/>
  <c r="BW121" i="5"/>
  <c r="BX121" i="5" s="1"/>
  <c r="BW122" i="5"/>
  <c r="BX122" i="5" s="1"/>
  <c r="BW123" i="5"/>
  <c r="BX123" i="5" s="1"/>
  <c r="BW124" i="5"/>
  <c r="BX124" i="5"/>
  <c r="BY124" i="5"/>
  <c r="BZ124" i="5"/>
  <c r="BW125" i="5"/>
  <c r="BX125" i="5" s="1"/>
  <c r="BW126" i="5"/>
  <c r="BX126" i="5" s="1"/>
  <c r="BW127" i="5"/>
  <c r="BX127" i="5" s="1"/>
  <c r="BW128" i="5"/>
  <c r="BX128" i="5" s="1"/>
  <c r="BW129" i="5"/>
  <c r="BX129" i="5"/>
  <c r="BY129" i="5" s="1"/>
  <c r="BW130" i="5"/>
  <c r="BX130" i="5" s="1"/>
  <c r="BW131" i="5"/>
  <c r="BX131" i="5" s="1"/>
  <c r="BW132" i="5"/>
  <c r="BX132" i="5" s="1"/>
  <c r="BW133" i="5"/>
  <c r="BX133" i="5"/>
  <c r="BY133" i="5"/>
  <c r="BZ133" i="5"/>
  <c r="BW134" i="5"/>
  <c r="BX134" i="5" s="1"/>
  <c r="BW135" i="5"/>
  <c r="BX135" i="5" s="1"/>
  <c r="BW136" i="5"/>
  <c r="BX136" i="5" s="1"/>
  <c r="BW137" i="5"/>
  <c r="BX137" i="5" s="1"/>
  <c r="BW138" i="5"/>
  <c r="BX138" i="5"/>
  <c r="BY138" i="5" s="1"/>
  <c r="BW139" i="5"/>
  <c r="BX139" i="5" s="1"/>
  <c r="BW140" i="5"/>
  <c r="BX140" i="5" s="1"/>
  <c r="BW141" i="5"/>
  <c r="BX141" i="5" s="1"/>
  <c r="BW142" i="5"/>
  <c r="BX142" i="5"/>
  <c r="BY142" i="5"/>
  <c r="BZ142" i="5"/>
  <c r="BW143" i="5"/>
  <c r="BX143" i="5" s="1"/>
  <c r="BW144" i="5"/>
  <c r="BX144" i="5" s="1"/>
  <c r="BW145" i="5"/>
  <c r="BX145" i="5" s="1"/>
  <c r="BW146" i="5"/>
  <c r="BX146" i="5" s="1"/>
  <c r="BW147" i="5"/>
  <c r="BX147" i="5"/>
  <c r="BY147" i="5" s="1"/>
  <c r="BW148" i="5"/>
  <c r="BX148" i="5" s="1"/>
  <c r="BW149" i="5"/>
  <c r="BX149" i="5" s="1"/>
  <c r="BW150" i="5"/>
  <c r="BX150" i="5" s="1"/>
  <c r="BW151" i="5"/>
  <c r="BX151" i="5"/>
  <c r="BY151" i="5"/>
  <c r="BZ151" i="5"/>
  <c r="BW152" i="5"/>
  <c r="BX152" i="5" s="1"/>
  <c r="BW153" i="5"/>
  <c r="BX153" i="5" s="1"/>
  <c r="BW154" i="5"/>
  <c r="BX154" i="5" s="1"/>
  <c r="BW155" i="5"/>
  <c r="BX155" i="5" s="1"/>
  <c r="BW156" i="5"/>
  <c r="BX156" i="5"/>
  <c r="BY156" i="5" s="1"/>
  <c r="BW157" i="5"/>
  <c r="BX157" i="5" s="1"/>
  <c r="BW158" i="5"/>
  <c r="BX158" i="5" s="1"/>
  <c r="BW159" i="5"/>
  <c r="BX159" i="5" s="1"/>
  <c r="BW160" i="5"/>
  <c r="BX160" i="5"/>
  <c r="BY160" i="5"/>
  <c r="BZ160" i="5"/>
  <c r="BW161" i="5"/>
  <c r="BX161" i="5" s="1"/>
  <c r="BW162" i="5"/>
  <c r="BX162" i="5" s="1"/>
  <c r="BW163" i="5"/>
  <c r="BX163" i="5" s="1"/>
  <c r="BW164" i="5"/>
  <c r="BX164" i="5" s="1"/>
  <c r="BW165" i="5"/>
  <c r="BX165" i="5"/>
  <c r="BZ165" i="5" s="1"/>
  <c r="BY165" i="5"/>
  <c r="BW166" i="5"/>
  <c r="BX166" i="5" s="1"/>
  <c r="BW167" i="5"/>
  <c r="BX167" i="5" s="1"/>
  <c r="BW168" i="5"/>
  <c r="BX168" i="5" s="1"/>
  <c r="BW169" i="5"/>
  <c r="BX169" i="5"/>
  <c r="BY169" i="5"/>
  <c r="BZ169" i="5"/>
  <c r="BW170" i="5"/>
  <c r="BX170" i="5" s="1"/>
  <c r="BW171" i="5"/>
  <c r="BX171" i="5" s="1"/>
  <c r="BW172" i="5"/>
  <c r="BX172" i="5" s="1"/>
  <c r="BW173" i="5"/>
  <c r="BX173" i="5" s="1"/>
  <c r="BW174" i="5"/>
  <c r="BX174" i="5" s="1"/>
  <c r="BW175" i="5"/>
  <c r="BX175" i="5" s="1"/>
  <c r="BW176" i="5"/>
  <c r="BX176" i="5" s="1"/>
  <c r="BW177" i="5"/>
  <c r="BX177" i="5" s="1"/>
  <c r="BW178" i="5"/>
  <c r="BX178" i="5"/>
  <c r="BY178" i="5"/>
  <c r="BZ178" i="5"/>
  <c r="BW179" i="5"/>
  <c r="BX179" i="5" s="1"/>
  <c r="BW180" i="5"/>
  <c r="BX180" i="5" s="1"/>
  <c r="BW181" i="5"/>
  <c r="BX181" i="5" s="1"/>
  <c r="BW182" i="5"/>
  <c r="BX182" i="5" s="1"/>
  <c r="BW183" i="5"/>
  <c r="BX183" i="5" s="1"/>
  <c r="BW184" i="5"/>
  <c r="BX184" i="5" s="1"/>
  <c r="BW185" i="5"/>
  <c r="BX185" i="5" s="1"/>
  <c r="BW186" i="5"/>
  <c r="BX186" i="5" s="1"/>
  <c r="BW187" i="5"/>
  <c r="BX187" i="5"/>
  <c r="BY187" i="5"/>
  <c r="BZ187" i="5"/>
  <c r="BW188" i="5"/>
  <c r="BX188" i="5" s="1"/>
  <c r="BW189" i="5"/>
  <c r="BX189" i="5" s="1"/>
  <c r="BW190" i="5"/>
  <c r="BX190" i="5" s="1"/>
  <c r="BW191" i="5"/>
  <c r="BX191" i="5" s="1"/>
  <c r="BW192" i="5"/>
  <c r="BX192" i="5"/>
  <c r="BZ192" i="5" s="1"/>
  <c r="BY192" i="5"/>
  <c r="BW193" i="5"/>
  <c r="BX193" i="5" s="1"/>
  <c r="BW194" i="5"/>
  <c r="BX194" i="5" s="1"/>
  <c r="BW195" i="5"/>
  <c r="BX195" i="5" s="1"/>
  <c r="BW196" i="5"/>
  <c r="BX196" i="5"/>
  <c r="BY196" i="5"/>
  <c r="BZ196" i="5"/>
  <c r="BW197" i="5"/>
  <c r="BX197" i="5" s="1"/>
  <c r="BW198" i="5"/>
  <c r="BX198" i="5" s="1"/>
  <c r="BW199" i="5"/>
  <c r="BX199" i="5" s="1"/>
  <c r="BW200" i="5"/>
  <c r="BX200" i="5" s="1"/>
  <c r="BW201" i="5"/>
  <c r="BX201" i="5"/>
  <c r="BZ201" i="5" s="1"/>
  <c r="BY201" i="5"/>
  <c r="BW202" i="5"/>
  <c r="BX202" i="5" s="1"/>
  <c r="BW203" i="5"/>
  <c r="BX203" i="5" s="1"/>
  <c r="BW204" i="5"/>
  <c r="BX204" i="5" s="1"/>
  <c r="BW205" i="5"/>
  <c r="BX205" i="5"/>
  <c r="BY205" i="5"/>
  <c r="BZ205" i="5"/>
  <c r="BW206" i="5"/>
  <c r="BX206" i="5" s="1"/>
  <c r="BW207" i="5"/>
  <c r="BX207" i="5" s="1"/>
  <c r="BW208" i="5"/>
  <c r="BX208" i="5" s="1"/>
  <c r="BW209" i="5"/>
  <c r="BX209" i="5" s="1"/>
  <c r="BW210" i="5"/>
  <c r="BX210" i="5" s="1"/>
  <c r="BW211" i="5"/>
  <c r="BX211" i="5" s="1"/>
  <c r="BW212" i="5"/>
  <c r="BX212" i="5" s="1"/>
  <c r="BW213" i="5"/>
  <c r="BX213" i="5" s="1"/>
  <c r="BW214" i="5"/>
  <c r="BX214" i="5"/>
  <c r="BY214" i="5"/>
  <c r="BZ214" i="5"/>
  <c r="BW215" i="5"/>
  <c r="BX215" i="5" s="1"/>
  <c r="BW216" i="5"/>
  <c r="BX216" i="5" s="1"/>
  <c r="BW217" i="5"/>
  <c r="BX217" i="5" s="1"/>
  <c r="BW218" i="5"/>
  <c r="BX218" i="5" s="1"/>
  <c r="BW219" i="5"/>
  <c r="BX219" i="5" s="1"/>
  <c r="BW220" i="5"/>
  <c r="BX220" i="5" s="1"/>
  <c r="BW221" i="5"/>
  <c r="BX221" i="5" s="1"/>
  <c r="BW222" i="5"/>
  <c r="BX222" i="5" s="1"/>
  <c r="BW223" i="5"/>
  <c r="BX223" i="5"/>
  <c r="BY223" i="5"/>
  <c r="BZ223" i="5"/>
  <c r="BW224" i="5"/>
  <c r="BX224" i="5" s="1"/>
  <c r="BW225" i="5"/>
  <c r="BX225" i="5" s="1"/>
  <c r="BW226" i="5"/>
  <c r="BX226" i="5" s="1"/>
  <c r="BW227" i="5"/>
  <c r="BX227" i="5" s="1"/>
  <c r="BW228" i="5"/>
  <c r="BX228" i="5" s="1"/>
  <c r="BW229" i="5"/>
  <c r="BX229" i="5" s="1"/>
  <c r="BW230" i="5"/>
  <c r="BX230" i="5" s="1"/>
  <c r="BW231" i="5"/>
  <c r="BX231" i="5" s="1"/>
  <c r="BW232" i="5"/>
  <c r="BX232" i="5" s="1"/>
  <c r="BW3" i="5"/>
  <c r="BX3" i="5" s="1"/>
  <c r="BS4" i="5"/>
  <c r="BT4" i="5" s="1"/>
  <c r="BS5" i="5"/>
  <c r="BT5" i="5" s="1"/>
  <c r="BS6" i="5"/>
  <c r="BT6" i="5"/>
  <c r="BU6" i="5" s="1"/>
  <c r="BV6" i="5"/>
  <c r="BS7" i="5"/>
  <c r="BT7" i="5" s="1"/>
  <c r="BS8" i="5"/>
  <c r="BT8" i="5"/>
  <c r="BU8" i="5" s="1"/>
  <c r="BS9" i="5"/>
  <c r="BT9" i="5" s="1"/>
  <c r="BS10" i="5"/>
  <c r="BT10" i="5" s="1"/>
  <c r="BS11" i="5"/>
  <c r="BT11" i="5"/>
  <c r="BU11" i="5" s="1"/>
  <c r="BS12" i="5"/>
  <c r="BT12" i="5"/>
  <c r="BU12" i="5" s="1"/>
  <c r="BV12" i="5"/>
  <c r="BS13" i="5"/>
  <c r="BT13" i="5" s="1"/>
  <c r="BS14" i="5"/>
  <c r="BT14" i="5" s="1"/>
  <c r="BS15" i="5"/>
  <c r="BT15" i="5"/>
  <c r="BU15" i="5" s="1"/>
  <c r="BV15" i="5"/>
  <c r="BS16" i="5"/>
  <c r="BT16" i="5" s="1"/>
  <c r="BS17" i="5"/>
  <c r="BT17" i="5"/>
  <c r="BU17" i="5" s="1"/>
  <c r="BS18" i="5"/>
  <c r="BT18" i="5" s="1"/>
  <c r="BS19" i="5"/>
  <c r="BT19" i="5" s="1"/>
  <c r="BS20" i="5"/>
  <c r="BT20" i="5" s="1"/>
  <c r="BS21" i="5"/>
  <c r="BT21" i="5"/>
  <c r="BU21" i="5" s="1"/>
  <c r="BV21" i="5"/>
  <c r="BS22" i="5"/>
  <c r="BT22" i="5" s="1"/>
  <c r="BS23" i="5"/>
  <c r="BT23" i="5" s="1"/>
  <c r="BS24" i="5"/>
  <c r="BT24" i="5"/>
  <c r="BU24" i="5"/>
  <c r="BV24" i="5"/>
  <c r="BS25" i="5"/>
  <c r="BT25" i="5" s="1"/>
  <c r="BS26" i="5"/>
  <c r="BT26" i="5"/>
  <c r="BU26" i="5" s="1"/>
  <c r="BS27" i="5"/>
  <c r="BT27" i="5" s="1"/>
  <c r="BS28" i="5"/>
  <c r="BT28" i="5" s="1"/>
  <c r="BS29" i="5"/>
  <c r="BT29" i="5" s="1"/>
  <c r="BS30" i="5"/>
  <c r="BT30" i="5"/>
  <c r="BU30" i="5" s="1"/>
  <c r="BV30" i="5"/>
  <c r="BS31" i="5"/>
  <c r="BT31" i="5" s="1"/>
  <c r="BS32" i="5"/>
  <c r="BT32" i="5" s="1"/>
  <c r="BS33" i="5"/>
  <c r="BT33" i="5"/>
  <c r="BU33" i="5"/>
  <c r="BV33" i="5"/>
  <c r="BS34" i="5"/>
  <c r="BT34" i="5" s="1"/>
  <c r="BS35" i="5"/>
  <c r="BT35" i="5"/>
  <c r="BU35" i="5" s="1"/>
  <c r="BS36" i="5"/>
  <c r="BT36" i="5" s="1"/>
  <c r="BS37" i="5"/>
  <c r="BT37" i="5" s="1"/>
  <c r="BS38" i="5"/>
  <c r="BT38" i="5" s="1"/>
  <c r="BS39" i="5"/>
  <c r="BT39" i="5"/>
  <c r="BU39" i="5" s="1"/>
  <c r="BV39" i="5"/>
  <c r="BS40" i="5"/>
  <c r="BT40" i="5" s="1"/>
  <c r="BS41" i="5"/>
  <c r="BT41" i="5" s="1"/>
  <c r="BS42" i="5"/>
  <c r="BT42" i="5" s="1"/>
  <c r="BS43" i="5"/>
  <c r="BT43" i="5" s="1"/>
  <c r="BS44" i="5"/>
  <c r="BT44" i="5"/>
  <c r="BU44" i="5" s="1"/>
  <c r="BS45" i="5"/>
  <c r="BT45" i="5" s="1"/>
  <c r="BS46" i="5"/>
  <c r="BT46" i="5" s="1"/>
  <c r="BS47" i="5"/>
  <c r="BT47" i="5" s="1"/>
  <c r="BS48" i="5"/>
  <c r="BT48" i="5"/>
  <c r="BU48" i="5" s="1"/>
  <c r="BV48" i="5"/>
  <c r="BS49" i="5"/>
  <c r="BT49" i="5" s="1"/>
  <c r="BS50" i="5"/>
  <c r="BT50" i="5" s="1"/>
  <c r="BS51" i="5"/>
  <c r="BT51" i="5" s="1"/>
  <c r="BS52" i="5"/>
  <c r="BT52" i="5" s="1"/>
  <c r="BS53" i="5"/>
  <c r="BT53" i="5"/>
  <c r="BU53" i="5" s="1"/>
  <c r="BS54" i="5"/>
  <c r="BT54" i="5" s="1"/>
  <c r="BS55" i="5"/>
  <c r="BT55" i="5" s="1"/>
  <c r="BS56" i="5"/>
  <c r="BT56" i="5" s="1"/>
  <c r="BS57" i="5"/>
  <c r="BT57" i="5"/>
  <c r="BU57" i="5" s="1"/>
  <c r="BV57" i="5"/>
  <c r="BS58" i="5"/>
  <c r="BT58" i="5" s="1"/>
  <c r="BS59" i="5"/>
  <c r="BT59" i="5" s="1"/>
  <c r="BS60" i="5"/>
  <c r="BT60" i="5" s="1"/>
  <c r="BS61" i="5"/>
  <c r="BT61" i="5" s="1"/>
  <c r="BS62" i="5"/>
  <c r="BT62" i="5"/>
  <c r="BU62" i="5" s="1"/>
  <c r="BS63" i="5"/>
  <c r="BT63" i="5" s="1"/>
  <c r="BS64" i="5"/>
  <c r="BT64" i="5" s="1"/>
  <c r="BS65" i="5"/>
  <c r="BT65" i="5" s="1"/>
  <c r="BS66" i="5"/>
  <c r="BT66" i="5"/>
  <c r="BU66" i="5" s="1"/>
  <c r="BV66" i="5"/>
  <c r="BS67" i="5"/>
  <c r="BT67" i="5" s="1"/>
  <c r="BS68" i="5"/>
  <c r="BT68" i="5" s="1"/>
  <c r="BS69" i="5"/>
  <c r="BT69" i="5" s="1"/>
  <c r="BS70" i="5"/>
  <c r="BT70" i="5" s="1"/>
  <c r="BS71" i="5"/>
  <c r="BT71" i="5"/>
  <c r="BU71" i="5" s="1"/>
  <c r="BS72" i="5"/>
  <c r="BT72" i="5" s="1"/>
  <c r="BS73" i="5"/>
  <c r="BT73" i="5" s="1"/>
  <c r="BS74" i="5"/>
  <c r="BT74" i="5" s="1"/>
  <c r="BS75" i="5"/>
  <c r="BT75" i="5"/>
  <c r="BU75" i="5" s="1"/>
  <c r="BV75" i="5"/>
  <c r="BS76" i="5"/>
  <c r="BT76" i="5" s="1"/>
  <c r="BS77" i="5"/>
  <c r="BT77" i="5" s="1"/>
  <c r="BS78" i="5"/>
  <c r="BT78" i="5" s="1"/>
  <c r="BS79" i="5"/>
  <c r="BT79" i="5" s="1"/>
  <c r="BS80" i="5"/>
  <c r="BT80" i="5"/>
  <c r="BU80" i="5" s="1"/>
  <c r="BS81" i="5"/>
  <c r="BT81" i="5" s="1"/>
  <c r="BS82" i="5"/>
  <c r="BT82" i="5" s="1"/>
  <c r="BS83" i="5"/>
  <c r="BT83" i="5" s="1"/>
  <c r="BS84" i="5"/>
  <c r="BT84" i="5"/>
  <c r="BU84" i="5"/>
  <c r="BV84" i="5"/>
  <c r="BS85" i="5"/>
  <c r="BT85" i="5" s="1"/>
  <c r="BS86" i="5"/>
  <c r="BT86" i="5" s="1"/>
  <c r="BS87" i="5"/>
  <c r="BT87" i="5" s="1"/>
  <c r="BS88" i="5"/>
  <c r="BT88" i="5" s="1"/>
  <c r="BS89" i="5"/>
  <c r="BT89" i="5"/>
  <c r="BU89" i="5" s="1"/>
  <c r="BS90" i="5"/>
  <c r="BT90" i="5" s="1"/>
  <c r="BS91" i="5"/>
  <c r="BT91" i="5" s="1"/>
  <c r="BS92" i="5"/>
  <c r="BT92" i="5" s="1"/>
  <c r="BS93" i="5"/>
  <c r="BT93" i="5"/>
  <c r="BU93" i="5"/>
  <c r="BV93" i="5"/>
  <c r="BS94" i="5"/>
  <c r="BT94" i="5" s="1"/>
  <c r="BS95" i="5"/>
  <c r="BT95" i="5" s="1"/>
  <c r="BS96" i="5"/>
  <c r="BT96" i="5" s="1"/>
  <c r="BS97" i="5"/>
  <c r="BT97" i="5" s="1"/>
  <c r="BS98" i="5"/>
  <c r="BT98" i="5"/>
  <c r="BU98" i="5" s="1"/>
  <c r="BS99" i="5"/>
  <c r="BT99" i="5" s="1"/>
  <c r="BS100" i="5"/>
  <c r="BT100" i="5" s="1"/>
  <c r="BS101" i="5"/>
  <c r="BT101" i="5" s="1"/>
  <c r="BS102" i="5"/>
  <c r="BT102" i="5"/>
  <c r="BU102" i="5"/>
  <c r="BV102" i="5"/>
  <c r="BS103" i="5"/>
  <c r="BT103" i="5" s="1"/>
  <c r="BS104" i="5"/>
  <c r="BT104" i="5" s="1"/>
  <c r="BS105" i="5"/>
  <c r="BT105" i="5" s="1"/>
  <c r="BS106" i="5"/>
  <c r="BT106" i="5" s="1"/>
  <c r="BS107" i="5"/>
  <c r="BT107" i="5" s="1"/>
  <c r="BS108" i="5"/>
  <c r="BT108" i="5" s="1"/>
  <c r="BS109" i="5"/>
  <c r="BT109" i="5" s="1"/>
  <c r="BS110" i="5"/>
  <c r="BT110" i="5" s="1"/>
  <c r="BS111" i="5"/>
  <c r="BT111" i="5"/>
  <c r="BU111" i="5"/>
  <c r="BV111" i="5"/>
  <c r="BS112" i="5"/>
  <c r="BT112" i="5" s="1"/>
  <c r="BS113" i="5"/>
  <c r="BT113" i="5" s="1"/>
  <c r="BS114" i="5"/>
  <c r="BT114" i="5" s="1"/>
  <c r="BS115" i="5"/>
  <c r="BT115" i="5" s="1"/>
  <c r="BS116" i="5"/>
  <c r="BT116" i="5"/>
  <c r="BV116" i="5" s="1"/>
  <c r="BU116" i="5"/>
  <c r="BS117" i="5"/>
  <c r="BT117" i="5" s="1"/>
  <c r="BS118" i="5"/>
  <c r="BT118" i="5" s="1"/>
  <c r="BS119" i="5"/>
  <c r="BT119" i="5" s="1"/>
  <c r="BS120" i="5"/>
  <c r="BT120" i="5"/>
  <c r="BU120" i="5"/>
  <c r="BV120" i="5"/>
  <c r="BS121" i="5"/>
  <c r="BT121" i="5" s="1"/>
  <c r="BS122" i="5"/>
  <c r="BT122" i="5" s="1"/>
  <c r="BS123" i="5"/>
  <c r="BT123" i="5" s="1"/>
  <c r="BS124" i="5"/>
  <c r="BT124" i="5" s="1"/>
  <c r="BS125" i="5"/>
  <c r="BT125" i="5"/>
  <c r="BV125" i="5" s="1"/>
  <c r="BU125" i="5"/>
  <c r="BS126" i="5"/>
  <c r="BT126" i="5" s="1"/>
  <c r="BS127" i="5"/>
  <c r="BT127" i="5" s="1"/>
  <c r="BS128" i="5"/>
  <c r="BT128" i="5" s="1"/>
  <c r="BS129" i="5"/>
  <c r="BT129" i="5"/>
  <c r="BU129" i="5"/>
  <c r="BV129" i="5"/>
  <c r="BS130" i="5"/>
  <c r="BT130" i="5" s="1"/>
  <c r="BS131" i="5"/>
  <c r="BT131" i="5" s="1"/>
  <c r="BS132" i="5"/>
  <c r="BT132" i="5" s="1"/>
  <c r="BS133" i="5"/>
  <c r="BT133" i="5" s="1"/>
  <c r="BS134" i="5"/>
  <c r="BT134" i="5" s="1"/>
  <c r="BS135" i="5"/>
  <c r="BT135" i="5" s="1"/>
  <c r="BS136" i="5"/>
  <c r="BT136" i="5" s="1"/>
  <c r="BS137" i="5"/>
  <c r="BT137" i="5" s="1"/>
  <c r="BS138" i="5"/>
  <c r="BT138" i="5" s="1"/>
  <c r="BS139" i="5"/>
  <c r="BT139" i="5" s="1"/>
  <c r="BS140" i="5"/>
  <c r="BT140" i="5" s="1"/>
  <c r="BS141" i="5"/>
  <c r="BT141" i="5" s="1"/>
  <c r="BS142" i="5"/>
  <c r="BT142" i="5" s="1"/>
  <c r="BS143" i="5"/>
  <c r="BT143" i="5" s="1"/>
  <c r="BS144" i="5"/>
  <c r="BT144" i="5" s="1"/>
  <c r="BS145" i="5"/>
  <c r="BT145" i="5" s="1"/>
  <c r="BS146" i="5"/>
  <c r="BT146" i="5" s="1"/>
  <c r="BS147" i="5"/>
  <c r="BT147" i="5"/>
  <c r="BU147" i="5"/>
  <c r="BV147" i="5"/>
  <c r="BS148" i="5"/>
  <c r="BT148" i="5" s="1"/>
  <c r="BS149" i="5"/>
  <c r="BT149" i="5" s="1"/>
  <c r="BS150" i="5"/>
  <c r="BT150" i="5" s="1"/>
  <c r="BS151" i="5"/>
  <c r="BT151" i="5" s="1"/>
  <c r="BS152" i="5"/>
  <c r="BT152" i="5" s="1"/>
  <c r="BS153" i="5"/>
  <c r="BT153" i="5" s="1"/>
  <c r="BS154" i="5"/>
  <c r="BT154" i="5" s="1"/>
  <c r="BS155" i="5"/>
  <c r="BT155" i="5" s="1"/>
  <c r="BS156" i="5"/>
  <c r="BT156" i="5"/>
  <c r="BU156" i="5"/>
  <c r="BV156" i="5"/>
  <c r="BS157" i="5"/>
  <c r="BT157" i="5" s="1"/>
  <c r="BS158" i="5"/>
  <c r="BT158" i="5" s="1"/>
  <c r="BS159" i="5"/>
  <c r="BT159" i="5" s="1"/>
  <c r="BS160" i="5"/>
  <c r="BT160" i="5" s="1"/>
  <c r="BS161" i="5"/>
  <c r="BT161" i="5" s="1"/>
  <c r="BS162" i="5"/>
  <c r="BT162" i="5" s="1"/>
  <c r="BS163" i="5"/>
  <c r="BT163" i="5" s="1"/>
  <c r="BS164" i="5"/>
  <c r="BT164" i="5" s="1"/>
  <c r="BS165" i="5"/>
  <c r="BT165" i="5" s="1"/>
  <c r="BS166" i="5"/>
  <c r="BT166" i="5" s="1"/>
  <c r="BS167" i="5"/>
  <c r="BT167" i="5" s="1"/>
  <c r="BS168" i="5"/>
  <c r="BT168" i="5" s="1"/>
  <c r="BS169" i="5"/>
  <c r="BT169" i="5" s="1"/>
  <c r="BS170" i="5"/>
  <c r="BT170" i="5" s="1"/>
  <c r="BS171" i="5"/>
  <c r="BT171" i="5" s="1"/>
  <c r="BS172" i="5"/>
  <c r="BT172" i="5" s="1"/>
  <c r="BS173" i="5"/>
  <c r="BT173" i="5" s="1"/>
  <c r="BS174" i="5"/>
  <c r="BT174" i="5" s="1"/>
  <c r="BS175" i="5"/>
  <c r="BT175" i="5" s="1"/>
  <c r="BS176" i="5"/>
  <c r="BT176" i="5" s="1"/>
  <c r="BS177" i="5"/>
  <c r="BT177" i="5" s="1"/>
  <c r="BS178" i="5"/>
  <c r="BT178" i="5" s="1"/>
  <c r="BS179" i="5"/>
  <c r="BT179" i="5"/>
  <c r="BV179" i="5" s="1"/>
  <c r="BU179" i="5"/>
  <c r="BS180" i="5"/>
  <c r="BT180" i="5" s="1"/>
  <c r="BS181" i="5"/>
  <c r="BT181" i="5" s="1"/>
  <c r="BS182" i="5"/>
  <c r="BT182" i="5" s="1"/>
  <c r="BS183" i="5"/>
  <c r="BT183" i="5" s="1"/>
  <c r="BS184" i="5"/>
  <c r="BT184" i="5" s="1"/>
  <c r="BS185" i="5"/>
  <c r="BT185" i="5" s="1"/>
  <c r="BS186" i="5"/>
  <c r="BT186" i="5" s="1"/>
  <c r="BS187" i="5"/>
  <c r="BT187" i="5" s="1"/>
  <c r="BS188" i="5"/>
  <c r="BT188" i="5" s="1"/>
  <c r="BS189" i="5"/>
  <c r="BT189" i="5" s="1"/>
  <c r="BS190" i="5"/>
  <c r="BT190" i="5" s="1"/>
  <c r="BS191" i="5"/>
  <c r="BT191" i="5" s="1"/>
  <c r="BS192" i="5"/>
  <c r="BT192" i="5"/>
  <c r="BU192" i="5"/>
  <c r="BV192" i="5"/>
  <c r="BS193" i="5"/>
  <c r="BT193" i="5" s="1"/>
  <c r="BS194" i="5"/>
  <c r="BT194" i="5" s="1"/>
  <c r="BS195" i="5"/>
  <c r="BT195" i="5" s="1"/>
  <c r="BS196" i="5"/>
  <c r="BT196" i="5" s="1"/>
  <c r="BS197" i="5"/>
  <c r="BT197" i="5" s="1"/>
  <c r="BS198" i="5"/>
  <c r="BT198" i="5" s="1"/>
  <c r="BS199" i="5"/>
  <c r="BT199" i="5" s="1"/>
  <c r="BS200" i="5"/>
  <c r="BT200" i="5" s="1"/>
  <c r="BS201" i="5"/>
  <c r="BT201" i="5"/>
  <c r="BU201" i="5"/>
  <c r="BV201" i="5"/>
  <c r="BS202" i="5"/>
  <c r="BT202" i="5" s="1"/>
  <c r="BS203" i="5"/>
  <c r="BT203" i="5" s="1"/>
  <c r="BS204" i="5"/>
  <c r="BT204" i="5" s="1"/>
  <c r="BS205" i="5"/>
  <c r="BT205" i="5" s="1"/>
  <c r="BS206" i="5"/>
  <c r="BT206" i="5" s="1"/>
  <c r="BS207" i="5"/>
  <c r="BT207" i="5" s="1"/>
  <c r="BS208" i="5"/>
  <c r="BT208" i="5" s="1"/>
  <c r="BS209" i="5"/>
  <c r="BT209" i="5" s="1"/>
  <c r="BS210" i="5"/>
  <c r="BT210" i="5"/>
  <c r="BU210" i="5"/>
  <c r="BV210" i="5"/>
  <c r="BS211" i="5"/>
  <c r="BT211" i="5" s="1"/>
  <c r="BS212" i="5"/>
  <c r="BT212" i="5" s="1"/>
  <c r="BS213" i="5"/>
  <c r="BT213" i="5" s="1"/>
  <c r="BS214" i="5"/>
  <c r="BT214" i="5" s="1"/>
  <c r="BS215" i="5"/>
  <c r="BT215" i="5" s="1"/>
  <c r="BS216" i="5"/>
  <c r="BT216" i="5" s="1"/>
  <c r="BS217" i="5"/>
  <c r="BT217" i="5" s="1"/>
  <c r="BS218" i="5"/>
  <c r="BT218" i="5" s="1"/>
  <c r="BS219" i="5"/>
  <c r="BT219" i="5" s="1"/>
  <c r="BS220" i="5"/>
  <c r="BT220" i="5" s="1"/>
  <c r="BS221" i="5"/>
  <c r="BT221" i="5" s="1"/>
  <c r="BS222" i="5"/>
  <c r="BT222" i="5" s="1"/>
  <c r="BS223" i="5"/>
  <c r="BT223" i="5" s="1"/>
  <c r="BS224" i="5"/>
  <c r="BT224" i="5" s="1"/>
  <c r="BS225" i="5"/>
  <c r="BT225" i="5" s="1"/>
  <c r="BS226" i="5"/>
  <c r="BT226" i="5" s="1"/>
  <c r="BS227" i="5"/>
  <c r="BT227" i="5" s="1"/>
  <c r="BS228" i="5"/>
  <c r="BT228" i="5" s="1"/>
  <c r="BS229" i="5"/>
  <c r="BT229" i="5" s="1"/>
  <c r="BS230" i="5"/>
  <c r="BT230" i="5" s="1"/>
  <c r="BS231" i="5"/>
  <c r="BT231" i="5" s="1"/>
  <c r="BS232" i="5"/>
  <c r="BT232" i="5" s="1"/>
  <c r="BS3" i="5"/>
  <c r="BT3" i="5" s="1"/>
  <c r="BO4" i="5"/>
  <c r="BP4" i="5" s="1"/>
  <c r="BO5" i="5"/>
  <c r="BP5" i="5" s="1"/>
  <c r="BO6" i="5"/>
  <c r="BP6" i="5"/>
  <c r="BR6" i="5" s="1"/>
  <c r="BQ6" i="5"/>
  <c r="BO7" i="5"/>
  <c r="BP7" i="5" s="1"/>
  <c r="BO8" i="5"/>
  <c r="BP8" i="5"/>
  <c r="BO9" i="5"/>
  <c r="BP9" i="5" s="1"/>
  <c r="BO10" i="5"/>
  <c r="BP10" i="5" s="1"/>
  <c r="BO11" i="5"/>
  <c r="BP11" i="5" s="1"/>
  <c r="BO12" i="5"/>
  <c r="BP12" i="5"/>
  <c r="BQ12" i="5" s="1"/>
  <c r="BR12" i="5"/>
  <c r="BO13" i="5"/>
  <c r="BP13" i="5" s="1"/>
  <c r="BO14" i="5"/>
  <c r="BP14" i="5" s="1"/>
  <c r="BO15" i="5"/>
  <c r="BP15" i="5"/>
  <c r="BR15" i="5" s="1"/>
  <c r="BQ15" i="5"/>
  <c r="BO16" i="5"/>
  <c r="BP16" i="5" s="1"/>
  <c r="BO17" i="5"/>
  <c r="BP17" i="5"/>
  <c r="BO18" i="5"/>
  <c r="BP18" i="5" s="1"/>
  <c r="BO19" i="5"/>
  <c r="BP19" i="5" s="1"/>
  <c r="BO20" i="5"/>
  <c r="BP20" i="5" s="1"/>
  <c r="BO21" i="5"/>
  <c r="BP21" i="5"/>
  <c r="BQ21" i="5" s="1"/>
  <c r="BR21" i="5"/>
  <c r="BO22" i="5"/>
  <c r="BP22" i="5" s="1"/>
  <c r="BO23" i="5"/>
  <c r="BP23" i="5" s="1"/>
  <c r="BO24" i="5"/>
  <c r="BP24" i="5"/>
  <c r="BR24" i="5" s="1"/>
  <c r="BQ24" i="5"/>
  <c r="BO25" i="5"/>
  <c r="BP25" i="5" s="1"/>
  <c r="BO26" i="5"/>
  <c r="BP26" i="5"/>
  <c r="BO27" i="5"/>
  <c r="BP27" i="5" s="1"/>
  <c r="BO28" i="5"/>
  <c r="BP28" i="5" s="1"/>
  <c r="BO29" i="5"/>
  <c r="BP29" i="5" s="1"/>
  <c r="BO30" i="5"/>
  <c r="BP30" i="5"/>
  <c r="BQ30" i="5" s="1"/>
  <c r="BR30" i="5"/>
  <c r="BO31" i="5"/>
  <c r="BP31" i="5" s="1"/>
  <c r="BO32" i="5"/>
  <c r="BP32" i="5" s="1"/>
  <c r="BO33" i="5"/>
  <c r="BP33" i="5"/>
  <c r="BR33" i="5" s="1"/>
  <c r="BQ33" i="5"/>
  <c r="BO34" i="5"/>
  <c r="BP34" i="5" s="1"/>
  <c r="BO35" i="5"/>
  <c r="BP35" i="5"/>
  <c r="BO36" i="5"/>
  <c r="BP36" i="5" s="1"/>
  <c r="BO37" i="5"/>
  <c r="BP37" i="5" s="1"/>
  <c r="BO38" i="5"/>
  <c r="BP38" i="5" s="1"/>
  <c r="BO39" i="5"/>
  <c r="BP39" i="5"/>
  <c r="BQ39" i="5" s="1"/>
  <c r="BR39" i="5"/>
  <c r="BO40" i="5"/>
  <c r="BP40" i="5" s="1"/>
  <c r="BO41" i="5"/>
  <c r="BP41" i="5" s="1"/>
  <c r="BO42" i="5"/>
  <c r="BP42" i="5"/>
  <c r="BR42" i="5" s="1"/>
  <c r="BQ42" i="5"/>
  <c r="BO43" i="5"/>
  <c r="BP43" i="5" s="1"/>
  <c r="BO44" i="5"/>
  <c r="BP44" i="5"/>
  <c r="BO45" i="5"/>
  <c r="BP45" i="5" s="1"/>
  <c r="BO46" i="5"/>
  <c r="BP46" i="5" s="1"/>
  <c r="BO47" i="5"/>
  <c r="BP47" i="5" s="1"/>
  <c r="BO48" i="5"/>
  <c r="BP48" i="5"/>
  <c r="BQ48" i="5" s="1"/>
  <c r="BR48" i="5"/>
  <c r="BO49" i="5"/>
  <c r="BP49" i="5" s="1"/>
  <c r="BO50" i="5"/>
  <c r="BP50" i="5" s="1"/>
  <c r="BO51" i="5"/>
  <c r="BP51" i="5"/>
  <c r="BR51" i="5" s="1"/>
  <c r="BQ51" i="5"/>
  <c r="BO52" i="5"/>
  <c r="BP52" i="5" s="1"/>
  <c r="BO53" i="5"/>
  <c r="BP53" i="5"/>
  <c r="BO54" i="5"/>
  <c r="BP54" i="5" s="1"/>
  <c r="BO55" i="5"/>
  <c r="BP55" i="5" s="1"/>
  <c r="BO56" i="5"/>
  <c r="BP56" i="5" s="1"/>
  <c r="BO57" i="5"/>
  <c r="BP57" i="5"/>
  <c r="BQ57" i="5" s="1"/>
  <c r="BR57" i="5"/>
  <c r="BO58" i="5"/>
  <c r="BP58" i="5" s="1"/>
  <c r="BO59" i="5"/>
  <c r="BP59" i="5" s="1"/>
  <c r="BO60" i="5"/>
  <c r="BP60" i="5"/>
  <c r="BR60" i="5" s="1"/>
  <c r="BQ60" i="5"/>
  <c r="BO61" i="5"/>
  <c r="BP61" i="5" s="1"/>
  <c r="BO62" i="5"/>
  <c r="BP62" i="5"/>
  <c r="BO63" i="5"/>
  <c r="BP63" i="5" s="1"/>
  <c r="BO64" i="5"/>
  <c r="BP64" i="5" s="1"/>
  <c r="BO65" i="5"/>
  <c r="BP65" i="5" s="1"/>
  <c r="BO66" i="5"/>
  <c r="BP66" i="5"/>
  <c r="BQ66" i="5" s="1"/>
  <c r="BR66" i="5"/>
  <c r="BO67" i="5"/>
  <c r="BP67" i="5" s="1"/>
  <c r="BO68" i="5"/>
  <c r="BP68" i="5" s="1"/>
  <c r="BO69" i="5"/>
  <c r="BP69" i="5"/>
  <c r="BR69" i="5" s="1"/>
  <c r="BQ69" i="5"/>
  <c r="BO70" i="5"/>
  <c r="BP70" i="5" s="1"/>
  <c r="BO71" i="5"/>
  <c r="BP71" i="5"/>
  <c r="BO72" i="5"/>
  <c r="BP72" i="5" s="1"/>
  <c r="BO73" i="5"/>
  <c r="BP73" i="5" s="1"/>
  <c r="BO74" i="5"/>
  <c r="BP74" i="5" s="1"/>
  <c r="BO75" i="5"/>
  <c r="BP75" i="5"/>
  <c r="BQ75" i="5" s="1"/>
  <c r="BR75" i="5"/>
  <c r="BO76" i="5"/>
  <c r="BP76" i="5" s="1"/>
  <c r="BO77" i="5"/>
  <c r="BP77" i="5" s="1"/>
  <c r="BO78" i="5"/>
  <c r="BP78" i="5"/>
  <c r="BR78" i="5" s="1"/>
  <c r="BQ78" i="5"/>
  <c r="BO79" i="5"/>
  <c r="BP79" i="5" s="1"/>
  <c r="BO80" i="5"/>
  <c r="BP80" i="5"/>
  <c r="BO81" i="5"/>
  <c r="BP81" i="5" s="1"/>
  <c r="BO82" i="5"/>
  <c r="BP82" i="5" s="1"/>
  <c r="BO83" i="5"/>
  <c r="BP83" i="5" s="1"/>
  <c r="BO84" i="5"/>
  <c r="BP84" i="5"/>
  <c r="BQ84" i="5" s="1"/>
  <c r="BR84" i="5"/>
  <c r="BO85" i="5"/>
  <c r="BP85" i="5" s="1"/>
  <c r="BO86" i="5"/>
  <c r="BP86" i="5" s="1"/>
  <c r="BO87" i="5"/>
  <c r="BP87" i="5"/>
  <c r="BR87" i="5" s="1"/>
  <c r="BQ87" i="5"/>
  <c r="BO88" i="5"/>
  <c r="BP88" i="5" s="1"/>
  <c r="BO89" i="5"/>
  <c r="BP89" i="5"/>
  <c r="BO90" i="5"/>
  <c r="BP90" i="5" s="1"/>
  <c r="BO91" i="5"/>
  <c r="BP91" i="5" s="1"/>
  <c r="BO92" i="5"/>
  <c r="BP92" i="5" s="1"/>
  <c r="BO93" i="5"/>
  <c r="BP93" i="5"/>
  <c r="BQ93" i="5" s="1"/>
  <c r="BR93" i="5"/>
  <c r="BO94" i="5"/>
  <c r="BP94" i="5" s="1"/>
  <c r="BO95" i="5"/>
  <c r="BP95" i="5" s="1"/>
  <c r="BO96" i="5"/>
  <c r="BP96" i="5"/>
  <c r="BR96" i="5" s="1"/>
  <c r="BQ96" i="5"/>
  <c r="BO97" i="5"/>
  <c r="BP97" i="5" s="1"/>
  <c r="BO98" i="5"/>
  <c r="BP98" i="5"/>
  <c r="BO99" i="5"/>
  <c r="BP99" i="5" s="1"/>
  <c r="BO100" i="5"/>
  <c r="BP100" i="5" s="1"/>
  <c r="BO101" i="5"/>
  <c r="BP101" i="5" s="1"/>
  <c r="BO102" i="5"/>
  <c r="BP102" i="5"/>
  <c r="BQ102" i="5" s="1"/>
  <c r="BR102" i="5"/>
  <c r="BO103" i="5"/>
  <c r="BP103" i="5" s="1"/>
  <c r="BO104" i="5"/>
  <c r="BP104" i="5" s="1"/>
  <c r="BO105" i="5"/>
  <c r="BP105" i="5"/>
  <c r="BR105" i="5" s="1"/>
  <c r="BQ105" i="5"/>
  <c r="BO106" i="5"/>
  <c r="BP106" i="5" s="1"/>
  <c r="BO107" i="5"/>
  <c r="BP107" i="5"/>
  <c r="BO108" i="5"/>
  <c r="BP108" i="5" s="1"/>
  <c r="BO109" i="5"/>
  <c r="BP109" i="5" s="1"/>
  <c r="BO110" i="5"/>
  <c r="BP110" i="5" s="1"/>
  <c r="BO111" i="5"/>
  <c r="BP111" i="5"/>
  <c r="BQ111" i="5" s="1"/>
  <c r="BR111" i="5"/>
  <c r="BO112" i="5"/>
  <c r="BP112" i="5" s="1"/>
  <c r="BO113" i="5"/>
  <c r="BP113" i="5" s="1"/>
  <c r="BO114" i="5"/>
  <c r="BP114" i="5"/>
  <c r="BR114" i="5" s="1"/>
  <c r="BQ114" i="5"/>
  <c r="BO115" i="5"/>
  <c r="BP115" i="5" s="1"/>
  <c r="BO116" i="5"/>
  <c r="BP116" i="5"/>
  <c r="BO117" i="5"/>
  <c r="BP117" i="5" s="1"/>
  <c r="BO118" i="5"/>
  <c r="BP118" i="5" s="1"/>
  <c r="BO119" i="5"/>
  <c r="BP119" i="5" s="1"/>
  <c r="BO120" i="5"/>
  <c r="BP120" i="5"/>
  <c r="BQ120" i="5"/>
  <c r="BR120" i="5"/>
  <c r="BO121" i="5"/>
  <c r="BP121" i="5" s="1"/>
  <c r="BO122" i="5"/>
  <c r="BP122" i="5" s="1"/>
  <c r="BO123" i="5"/>
  <c r="BP123" i="5"/>
  <c r="BR123" i="5" s="1"/>
  <c r="BQ123" i="5"/>
  <c r="BO124" i="5"/>
  <c r="BP124" i="5" s="1"/>
  <c r="BO125" i="5"/>
  <c r="BP125" i="5" s="1"/>
  <c r="BO126" i="5"/>
  <c r="BP126" i="5" s="1"/>
  <c r="BO127" i="5"/>
  <c r="BP127" i="5" s="1"/>
  <c r="BO128" i="5"/>
  <c r="BP128" i="5" s="1"/>
  <c r="BO129" i="5"/>
  <c r="BP129" i="5"/>
  <c r="BQ129" i="5"/>
  <c r="BR129" i="5"/>
  <c r="BO130" i="5"/>
  <c r="BP130" i="5" s="1"/>
  <c r="BO131" i="5"/>
  <c r="BP131" i="5" s="1"/>
  <c r="BO132" i="5"/>
  <c r="BP132" i="5"/>
  <c r="BR132" i="5" s="1"/>
  <c r="BQ132" i="5"/>
  <c r="BO133" i="5"/>
  <c r="BP133" i="5" s="1"/>
  <c r="BO134" i="5"/>
  <c r="BP134" i="5" s="1"/>
  <c r="BO135" i="5"/>
  <c r="BP135" i="5" s="1"/>
  <c r="BO136" i="5"/>
  <c r="BP136" i="5" s="1"/>
  <c r="BO137" i="5"/>
  <c r="BP137" i="5" s="1"/>
  <c r="BO138" i="5"/>
  <c r="BP138" i="5"/>
  <c r="BQ138" i="5"/>
  <c r="BR138" i="5"/>
  <c r="BO139" i="5"/>
  <c r="BP139" i="5" s="1"/>
  <c r="BO140" i="5"/>
  <c r="BP140" i="5" s="1"/>
  <c r="BO141" i="5"/>
  <c r="BP141" i="5"/>
  <c r="BR141" i="5" s="1"/>
  <c r="BQ141" i="5"/>
  <c r="BO142" i="5"/>
  <c r="BP142" i="5" s="1"/>
  <c r="BO143" i="5"/>
  <c r="BP143" i="5" s="1"/>
  <c r="BO144" i="5"/>
  <c r="BP144" i="5" s="1"/>
  <c r="BO145" i="5"/>
  <c r="BP145" i="5" s="1"/>
  <c r="BO146" i="5"/>
  <c r="BP146" i="5" s="1"/>
  <c r="BO147" i="5"/>
  <c r="BP147" i="5"/>
  <c r="BQ147" i="5"/>
  <c r="BR147" i="5"/>
  <c r="BO148" i="5"/>
  <c r="BP148" i="5" s="1"/>
  <c r="BO149" i="5"/>
  <c r="BP149" i="5" s="1"/>
  <c r="BO150" i="5"/>
  <c r="BP150" i="5"/>
  <c r="BR150" i="5" s="1"/>
  <c r="BQ150" i="5"/>
  <c r="BO151" i="5"/>
  <c r="BP151" i="5" s="1"/>
  <c r="BO152" i="5"/>
  <c r="BP152" i="5" s="1"/>
  <c r="BO153" i="5"/>
  <c r="BP153" i="5" s="1"/>
  <c r="BO154" i="5"/>
  <c r="BP154" i="5" s="1"/>
  <c r="BO155" i="5"/>
  <c r="BP155" i="5" s="1"/>
  <c r="BO156" i="5"/>
  <c r="BP156" i="5"/>
  <c r="BQ156" i="5"/>
  <c r="BR156" i="5"/>
  <c r="BO157" i="5"/>
  <c r="BP157" i="5" s="1"/>
  <c r="BO158" i="5"/>
  <c r="BP158" i="5" s="1"/>
  <c r="BO159" i="5"/>
  <c r="BP159" i="5"/>
  <c r="BR159" i="5" s="1"/>
  <c r="BQ159" i="5"/>
  <c r="BO160" i="5"/>
  <c r="BP160" i="5" s="1"/>
  <c r="BO161" i="5"/>
  <c r="BP161" i="5" s="1"/>
  <c r="BO162" i="5"/>
  <c r="BP162" i="5" s="1"/>
  <c r="BO163" i="5"/>
  <c r="BP163" i="5" s="1"/>
  <c r="BO164" i="5"/>
  <c r="BP164" i="5" s="1"/>
  <c r="BO165" i="5"/>
  <c r="BP165" i="5"/>
  <c r="BQ165" i="5" s="1"/>
  <c r="BO166" i="5"/>
  <c r="BP166" i="5" s="1"/>
  <c r="BO167" i="5"/>
  <c r="BP167" i="5" s="1"/>
  <c r="BO168" i="5"/>
  <c r="BP168" i="5"/>
  <c r="BR168" i="5" s="1"/>
  <c r="BQ168" i="5"/>
  <c r="BO169" i="5"/>
  <c r="BP169" i="5" s="1"/>
  <c r="BQ169" i="5" s="1"/>
  <c r="BO170" i="5"/>
  <c r="BP170" i="5" s="1"/>
  <c r="BO171" i="5"/>
  <c r="BP171" i="5" s="1"/>
  <c r="BO172" i="5"/>
  <c r="BP172" i="5" s="1"/>
  <c r="BO173" i="5"/>
  <c r="BP173" i="5" s="1"/>
  <c r="BO174" i="5"/>
  <c r="BP174" i="5"/>
  <c r="BQ174" i="5" s="1"/>
  <c r="BR174" i="5"/>
  <c r="BO175" i="5"/>
  <c r="BP175" i="5" s="1"/>
  <c r="BO176" i="5"/>
  <c r="BP176" i="5" s="1"/>
  <c r="BO177" i="5"/>
  <c r="BP177" i="5"/>
  <c r="BR177" i="5" s="1"/>
  <c r="BQ177" i="5"/>
  <c r="BO178" i="5"/>
  <c r="BP178" i="5" s="1"/>
  <c r="BQ178" i="5" s="1"/>
  <c r="BO179" i="5"/>
  <c r="BP179" i="5" s="1"/>
  <c r="BO180" i="5"/>
  <c r="BP180" i="5" s="1"/>
  <c r="BO181" i="5"/>
  <c r="BP181" i="5" s="1"/>
  <c r="BO182" i="5"/>
  <c r="BP182" i="5" s="1"/>
  <c r="BO183" i="5"/>
  <c r="BP183" i="5"/>
  <c r="BQ183" i="5" s="1"/>
  <c r="BO184" i="5"/>
  <c r="BP184" i="5" s="1"/>
  <c r="BO185" i="5"/>
  <c r="BP185" i="5" s="1"/>
  <c r="BO186" i="5"/>
  <c r="BP186" i="5"/>
  <c r="BR186" i="5" s="1"/>
  <c r="BQ186" i="5"/>
  <c r="BO187" i="5"/>
  <c r="BP187" i="5" s="1"/>
  <c r="BQ187" i="5" s="1"/>
  <c r="BR187" i="5"/>
  <c r="BO188" i="5"/>
  <c r="BP188" i="5" s="1"/>
  <c r="BO189" i="5"/>
  <c r="BP189" i="5" s="1"/>
  <c r="BO190" i="5"/>
  <c r="BP190" i="5" s="1"/>
  <c r="BO191" i="5"/>
  <c r="BP191" i="5" s="1"/>
  <c r="BO192" i="5"/>
  <c r="BP192" i="5"/>
  <c r="BQ192" i="5"/>
  <c r="BR192" i="5"/>
  <c r="BO193" i="5"/>
  <c r="BP193" i="5" s="1"/>
  <c r="BO194" i="5"/>
  <c r="BP194" i="5" s="1"/>
  <c r="BO195" i="5"/>
  <c r="BP195" i="5"/>
  <c r="BR195" i="5" s="1"/>
  <c r="BQ195" i="5"/>
  <c r="BO196" i="5"/>
  <c r="BP196" i="5" s="1"/>
  <c r="BQ196" i="5" s="1"/>
  <c r="BR196" i="5"/>
  <c r="BO197" i="5"/>
  <c r="BP197" i="5" s="1"/>
  <c r="BO198" i="5"/>
  <c r="BP198" i="5" s="1"/>
  <c r="BO199" i="5"/>
  <c r="BP199" i="5" s="1"/>
  <c r="BO200" i="5"/>
  <c r="BP200" i="5" s="1"/>
  <c r="BO201" i="5"/>
  <c r="BP201" i="5"/>
  <c r="BQ201" i="5"/>
  <c r="BR201" i="5"/>
  <c r="BO202" i="5"/>
  <c r="BP202" i="5" s="1"/>
  <c r="BO203" i="5"/>
  <c r="BP203" i="5" s="1"/>
  <c r="BO204" i="5"/>
  <c r="BP204" i="5"/>
  <c r="BR204" i="5" s="1"/>
  <c r="BQ204" i="5"/>
  <c r="BO205" i="5"/>
  <c r="BP205" i="5" s="1"/>
  <c r="BQ205" i="5" s="1"/>
  <c r="BO206" i="5"/>
  <c r="BP206" i="5" s="1"/>
  <c r="BO207" i="5"/>
  <c r="BP207" i="5" s="1"/>
  <c r="BO208" i="5"/>
  <c r="BP208" i="5" s="1"/>
  <c r="BO209" i="5"/>
  <c r="BP209" i="5" s="1"/>
  <c r="BO210" i="5"/>
  <c r="BP210" i="5"/>
  <c r="BQ210" i="5" s="1"/>
  <c r="BR210" i="5"/>
  <c r="BO211" i="5"/>
  <c r="BP211" i="5" s="1"/>
  <c r="BO212" i="5"/>
  <c r="BP212" i="5" s="1"/>
  <c r="BO213" i="5"/>
  <c r="BP213" i="5"/>
  <c r="BR213" i="5" s="1"/>
  <c r="BQ213" i="5"/>
  <c r="BO214" i="5"/>
  <c r="BP214" i="5" s="1"/>
  <c r="BQ214" i="5" s="1"/>
  <c r="BO215" i="5"/>
  <c r="BP215" i="5" s="1"/>
  <c r="BO216" i="5"/>
  <c r="BP216" i="5" s="1"/>
  <c r="BO217" i="5"/>
  <c r="BP217" i="5" s="1"/>
  <c r="BO218" i="5"/>
  <c r="BP218" i="5" s="1"/>
  <c r="BO219" i="5"/>
  <c r="BP219" i="5"/>
  <c r="BQ219" i="5" s="1"/>
  <c r="BR219" i="5"/>
  <c r="BO220" i="5"/>
  <c r="BP220" i="5" s="1"/>
  <c r="BO221" i="5"/>
  <c r="BP221" i="5" s="1"/>
  <c r="BO222" i="5"/>
  <c r="BP222" i="5"/>
  <c r="BR222" i="5" s="1"/>
  <c r="BQ222" i="5"/>
  <c r="BO223" i="5"/>
  <c r="BP223" i="5" s="1"/>
  <c r="BQ223" i="5" s="1"/>
  <c r="BO224" i="5"/>
  <c r="BP224" i="5" s="1"/>
  <c r="BO225" i="5"/>
  <c r="BP225" i="5" s="1"/>
  <c r="BO226" i="5"/>
  <c r="BP226" i="5" s="1"/>
  <c r="BO227" i="5"/>
  <c r="BP227" i="5" s="1"/>
  <c r="BO228" i="5"/>
  <c r="BP228" i="5"/>
  <c r="BQ228" i="5" s="1"/>
  <c r="BR228" i="5"/>
  <c r="BO229" i="5"/>
  <c r="BP229" i="5" s="1"/>
  <c r="BO230" i="5"/>
  <c r="BP230" i="5" s="1"/>
  <c r="BO231" i="5"/>
  <c r="BP231" i="5" s="1"/>
  <c r="BR231" i="5" s="1"/>
  <c r="BQ231" i="5"/>
  <c r="BO232" i="5"/>
  <c r="BP232" i="5" s="1"/>
  <c r="BQ232" i="5" s="1"/>
  <c r="BR232" i="5"/>
  <c r="BO3" i="5"/>
  <c r="BP3" i="5" s="1"/>
  <c r="BR3" i="5" s="1"/>
  <c r="BK4" i="5"/>
  <c r="BL4" i="5" s="1"/>
  <c r="BK5" i="5"/>
  <c r="BL5" i="5" s="1"/>
  <c r="BK6" i="5"/>
  <c r="BL6" i="5" s="1"/>
  <c r="BK7" i="5"/>
  <c r="BL7" i="5"/>
  <c r="BM7" i="5"/>
  <c r="BN7" i="5"/>
  <c r="BK8" i="5"/>
  <c r="BL8" i="5" s="1"/>
  <c r="BK9" i="5"/>
  <c r="BL9" i="5" s="1"/>
  <c r="BK10" i="5"/>
  <c r="BL10" i="5" s="1"/>
  <c r="BK11" i="5"/>
  <c r="BL11" i="5" s="1"/>
  <c r="BK12" i="5"/>
  <c r="BL12" i="5"/>
  <c r="BN12" i="5" s="1"/>
  <c r="BM12" i="5"/>
  <c r="BK13" i="5"/>
  <c r="BL13" i="5" s="1"/>
  <c r="BK14" i="5"/>
  <c r="BL14" i="5" s="1"/>
  <c r="BK15" i="5"/>
  <c r="BL15" i="5" s="1"/>
  <c r="BK16" i="5"/>
  <c r="BL16" i="5"/>
  <c r="BM16" i="5"/>
  <c r="BN16" i="5"/>
  <c r="BK17" i="5"/>
  <c r="BL17" i="5" s="1"/>
  <c r="BK18" i="5"/>
  <c r="BL18" i="5" s="1"/>
  <c r="BK19" i="5"/>
  <c r="BL19" i="5" s="1"/>
  <c r="BK20" i="5"/>
  <c r="BL20" i="5" s="1"/>
  <c r="BK21" i="5"/>
  <c r="BL21" i="5"/>
  <c r="BN21" i="5" s="1"/>
  <c r="BM21" i="5"/>
  <c r="BK22" i="5"/>
  <c r="BL22" i="5" s="1"/>
  <c r="BK23" i="5"/>
  <c r="BL23" i="5" s="1"/>
  <c r="BK24" i="5"/>
  <c r="BL24" i="5" s="1"/>
  <c r="BK25" i="5"/>
  <c r="BL25" i="5"/>
  <c r="BM25" i="5"/>
  <c r="BN25" i="5"/>
  <c r="BK26" i="5"/>
  <c r="BL26" i="5" s="1"/>
  <c r="BK27" i="5"/>
  <c r="BL27" i="5" s="1"/>
  <c r="BK28" i="5"/>
  <c r="BL28" i="5" s="1"/>
  <c r="BK29" i="5"/>
  <c r="BL29" i="5" s="1"/>
  <c r="BK30" i="5"/>
  <c r="BL30" i="5"/>
  <c r="BN30" i="5" s="1"/>
  <c r="BM30" i="5"/>
  <c r="BK31" i="5"/>
  <c r="BL31" i="5" s="1"/>
  <c r="BK32" i="5"/>
  <c r="BL32" i="5" s="1"/>
  <c r="BK33" i="5"/>
  <c r="BL33" i="5" s="1"/>
  <c r="BK34" i="5"/>
  <c r="BL34" i="5"/>
  <c r="BM34" i="5"/>
  <c r="BN34" i="5"/>
  <c r="BK35" i="5"/>
  <c r="BL35" i="5" s="1"/>
  <c r="BK36" i="5"/>
  <c r="BL36" i="5" s="1"/>
  <c r="BK37" i="5"/>
  <c r="BL37" i="5" s="1"/>
  <c r="BK38" i="5"/>
  <c r="BL38" i="5" s="1"/>
  <c r="BK39" i="5"/>
  <c r="BL39" i="5"/>
  <c r="BN39" i="5" s="1"/>
  <c r="BM39" i="5"/>
  <c r="BK40" i="5"/>
  <c r="BL40" i="5" s="1"/>
  <c r="BK41" i="5"/>
  <c r="BL41" i="5" s="1"/>
  <c r="BK42" i="5"/>
  <c r="BL42" i="5" s="1"/>
  <c r="BK43" i="5"/>
  <c r="BL43" i="5"/>
  <c r="BM43" i="5"/>
  <c r="BN43" i="5"/>
  <c r="BK44" i="5"/>
  <c r="BL44" i="5" s="1"/>
  <c r="BK45" i="5"/>
  <c r="BL45" i="5" s="1"/>
  <c r="BK46" i="5"/>
  <c r="BL46" i="5" s="1"/>
  <c r="BK47" i="5"/>
  <c r="BL47" i="5" s="1"/>
  <c r="BK48" i="5"/>
  <c r="BL48" i="5"/>
  <c r="BN48" i="5" s="1"/>
  <c r="BM48" i="5"/>
  <c r="BK49" i="5"/>
  <c r="BL49" i="5" s="1"/>
  <c r="BK50" i="5"/>
  <c r="BL50" i="5" s="1"/>
  <c r="BK51" i="5"/>
  <c r="BL51" i="5" s="1"/>
  <c r="BK52" i="5"/>
  <c r="BL52" i="5"/>
  <c r="BM52" i="5"/>
  <c r="BN52" i="5"/>
  <c r="BK53" i="5"/>
  <c r="BL53" i="5" s="1"/>
  <c r="BK54" i="5"/>
  <c r="BL54" i="5" s="1"/>
  <c r="BK55" i="5"/>
  <c r="BL55" i="5" s="1"/>
  <c r="BK56" i="5"/>
  <c r="BL56" i="5" s="1"/>
  <c r="BK57" i="5"/>
  <c r="BL57" i="5"/>
  <c r="BN57" i="5" s="1"/>
  <c r="BM57" i="5"/>
  <c r="BK58" i="5"/>
  <c r="BL58" i="5" s="1"/>
  <c r="BK59" i="5"/>
  <c r="BL59" i="5" s="1"/>
  <c r="BK60" i="5"/>
  <c r="BL60" i="5" s="1"/>
  <c r="BK61" i="5"/>
  <c r="BL61" i="5"/>
  <c r="BM61" i="5"/>
  <c r="BN61" i="5"/>
  <c r="BK62" i="5"/>
  <c r="BL62" i="5" s="1"/>
  <c r="BK63" i="5"/>
  <c r="BL63" i="5" s="1"/>
  <c r="BK64" i="5"/>
  <c r="BL64" i="5" s="1"/>
  <c r="BK65" i="5"/>
  <c r="BL65" i="5" s="1"/>
  <c r="BK66" i="5"/>
  <c r="BL66" i="5"/>
  <c r="BN66" i="5" s="1"/>
  <c r="BM66" i="5"/>
  <c r="BK67" i="5"/>
  <c r="BL67" i="5" s="1"/>
  <c r="BK68" i="5"/>
  <c r="BL68" i="5" s="1"/>
  <c r="BK69" i="5"/>
  <c r="BL69" i="5" s="1"/>
  <c r="BK70" i="5"/>
  <c r="BL70" i="5"/>
  <c r="BM70" i="5"/>
  <c r="BN70" i="5"/>
  <c r="BK71" i="5"/>
  <c r="BL71" i="5" s="1"/>
  <c r="BK72" i="5"/>
  <c r="BL72" i="5" s="1"/>
  <c r="BK73" i="5"/>
  <c r="BL73" i="5" s="1"/>
  <c r="BK74" i="5"/>
  <c r="BL74" i="5" s="1"/>
  <c r="BK75" i="5"/>
  <c r="BL75" i="5"/>
  <c r="BN75" i="5" s="1"/>
  <c r="BM75" i="5"/>
  <c r="BK76" i="5"/>
  <c r="BL76" i="5" s="1"/>
  <c r="BK77" i="5"/>
  <c r="BL77" i="5" s="1"/>
  <c r="BK78" i="5"/>
  <c r="BL78" i="5" s="1"/>
  <c r="BK79" i="5"/>
  <c r="BL79" i="5"/>
  <c r="BM79" i="5"/>
  <c r="BN79" i="5"/>
  <c r="BK80" i="5"/>
  <c r="BL80" i="5" s="1"/>
  <c r="BK81" i="5"/>
  <c r="BL81" i="5" s="1"/>
  <c r="BK82" i="5"/>
  <c r="BL82" i="5" s="1"/>
  <c r="BK83" i="5"/>
  <c r="BL83" i="5" s="1"/>
  <c r="BK84" i="5"/>
  <c r="BL84" i="5"/>
  <c r="BN84" i="5" s="1"/>
  <c r="BM84" i="5"/>
  <c r="BK85" i="5"/>
  <c r="BL85" i="5" s="1"/>
  <c r="BK86" i="5"/>
  <c r="BL86" i="5" s="1"/>
  <c r="BK87" i="5"/>
  <c r="BL87" i="5" s="1"/>
  <c r="BK88" i="5"/>
  <c r="BL88" i="5"/>
  <c r="BM88" i="5"/>
  <c r="BN88" i="5"/>
  <c r="BK89" i="5"/>
  <c r="BL89" i="5" s="1"/>
  <c r="BK90" i="5"/>
  <c r="BL90" i="5" s="1"/>
  <c r="BK91" i="5"/>
  <c r="BL91" i="5" s="1"/>
  <c r="BK92" i="5"/>
  <c r="BL92" i="5" s="1"/>
  <c r="BK93" i="5"/>
  <c r="BL93" i="5"/>
  <c r="BN93" i="5" s="1"/>
  <c r="BM93" i="5"/>
  <c r="BK94" i="5"/>
  <c r="BL94" i="5" s="1"/>
  <c r="BK95" i="5"/>
  <c r="BL95" i="5" s="1"/>
  <c r="BK96" i="5"/>
  <c r="BL96" i="5" s="1"/>
  <c r="BK97" i="5"/>
  <c r="BL97" i="5"/>
  <c r="BM97" i="5"/>
  <c r="BN97" i="5"/>
  <c r="BK98" i="5"/>
  <c r="BL98" i="5" s="1"/>
  <c r="BK99" i="5"/>
  <c r="BL99" i="5" s="1"/>
  <c r="BK100" i="5"/>
  <c r="BL100" i="5" s="1"/>
  <c r="BK101" i="5"/>
  <c r="BL101" i="5" s="1"/>
  <c r="BK102" i="5"/>
  <c r="BL102" i="5"/>
  <c r="BN102" i="5" s="1"/>
  <c r="BM102" i="5"/>
  <c r="BK103" i="5"/>
  <c r="BL103" i="5" s="1"/>
  <c r="BK104" i="5"/>
  <c r="BL104" i="5" s="1"/>
  <c r="BK105" i="5"/>
  <c r="BL105" i="5" s="1"/>
  <c r="BK106" i="5"/>
  <c r="BL106" i="5"/>
  <c r="BM106" i="5"/>
  <c r="BN106" i="5"/>
  <c r="BK107" i="5"/>
  <c r="BL107" i="5" s="1"/>
  <c r="BK108" i="5"/>
  <c r="BL108" i="5" s="1"/>
  <c r="BK109" i="5"/>
  <c r="BL109" i="5" s="1"/>
  <c r="BK110" i="5"/>
  <c r="BL110" i="5" s="1"/>
  <c r="BK111" i="5"/>
  <c r="BL111" i="5"/>
  <c r="BN111" i="5" s="1"/>
  <c r="BM111" i="5"/>
  <c r="BK112" i="5"/>
  <c r="BL112" i="5" s="1"/>
  <c r="BK113" i="5"/>
  <c r="BL113" i="5" s="1"/>
  <c r="BK114" i="5"/>
  <c r="BL114" i="5" s="1"/>
  <c r="BK115" i="5"/>
  <c r="BL115" i="5"/>
  <c r="BM115" i="5"/>
  <c r="BN115" i="5"/>
  <c r="BK116" i="5"/>
  <c r="BL116" i="5" s="1"/>
  <c r="BK117" i="5"/>
  <c r="BL117" i="5" s="1"/>
  <c r="BK118" i="5"/>
  <c r="BL118" i="5" s="1"/>
  <c r="BK119" i="5"/>
  <c r="BL119" i="5" s="1"/>
  <c r="BK120" i="5"/>
  <c r="BL120" i="5"/>
  <c r="BN120" i="5" s="1"/>
  <c r="BM120" i="5"/>
  <c r="BK121" i="5"/>
  <c r="BL121" i="5" s="1"/>
  <c r="BK122" i="5"/>
  <c r="BL122" i="5" s="1"/>
  <c r="BK123" i="5"/>
  <c r="BL123" i="5" s="1"/>
  <c r="BK124" i="5"/>
  <c r="BL124" i="5"/>
  <c r="BM124" i="5"/>
  <c r="BN124" i="5"/>
  <c r="BK125" i="5"/>
  <c r="BL125" i="5" s="1"/>
  <c r="BK126" i="5"/>
  <c r="BL126" i="5" s="1"/>
  <c r="BK127" i="5"/>
  <c r="BL127" i="5" s="1"/>
  <c r="BK128" i="5"/>
  <c r="BL128" i="5" s="1"/>
  <c r="BK129" i="5"/>
  <c r="BL129" i="5"/>
  <c r="BN129" i="5" s="1"/>
  <c r="BM129" i="5"/>
  <c r="BK130" i="5"/>
  <c r="BL130" i="5" s="1"/>
  <c r="BK131" i="5"/>
  <c r="BL131" i="5" s="1"/>
  <c r="BK132" i="5"/>
  <c r="BL132" i="5" s="1"/>
  <c r="BK133" i="5"/>
  <c r="BL133" i="5"/>
  <c r="BM133" i="5"/>
  <c r="BN133" i="5"/>
  <c r="BK134" i="5"/>
  <c r="BL134" i="5" s="1"/>
  <c r="BK135" i="5"/>
  <c r="BL135" i="5" s="1"/>
  <c r="BK136" i="5"/>
  <c r="BL136" i="5" s="1"/>
  <c r="BK137" i="5"/>
  <c r="BL137" i="5" s="1"/>
  <c r="BK138" i="5"/>
  <c r="BL138" i="5"/>
  <c r="BN138" i="5" s="1"/>
  <c r="BM138" i="5"/>
  <c r="BK139" i="5"/>
  <c r="BL139" i="5" s="1"/>
  <c r="BK140" i="5"/>
  <c r="BL140" i="5" s="1"/>
  <c r="BK141" i="5"/>
  <c r="BL141" i="5" s="1"/>
  <c r="BK142" i="5"/>
  <c r="BL142" i="5"/>
  <c r="BM142" i="5"/>
  <c r="BN142" i="5"/>
  <c r="BK143" i="5"/>
  <c r="BL143" i="5" s="1"/>
  <c r="BK144" i="5"/>
  <c r="BL144" i="5" s="1"/>
  <c r="BK145" i="5"/>
  <c r="BL145" i="5" s="1"/>
  <c r="BK146" i="5"/>
  <c r="BL146" i="5" s="1"/>
  <c r="BK147" i="5"/>
  <c r="BL147" i="5"/>
  <c r="BN147" i="5" s="1"/>
  <c r="BM147" i="5"/>
  <c r="BK148" i="5"/>
  <c r="BL148" i="5" s="1"/>
  <c r="BK149" i="5"/>
  <c r="BL149" i="5" s="1"/>
  <c r="BK150" i="5"/>
  <c r="BL150" i="5" s="1"/>
  <c r="BK151" i="5"/>
  <c r="BL151" i="5"/>
  <c r="BM151" i="5"/>
  <c r="BN151" i="5"/>
  <c r="BK152" i="5"/>
  <c r="BL152" i="5" s="1"/>
  <c r="BK153" i="5"/>
  <c r="BL153" i="5" s="1"/>
  <c r="BK154" i="5"/>
  <c r="BL154" i="5" s="1"/>
  <c r="BK155" i="5"/>
  <c r="BL155" i="5" s="1"/>
  <c r="BK156" i="5"/>
  <c r="BL156" i="5"/>
  <c r="BN156" i="5" s="1"/>
  <c r="BM156" i="5"/>
  <c r="BK157" i="5"/>
  <c r="BL157" i="5" s="1"/>
  <c r="BK158" i="5"/>
  <c r="BL158" i="5" s="1"/>
  <c r="BK159" i="5"/>
  <c r="BL159" i="5" s="1"/>
  <c r="BK160" i="5"/>
  <c r="BL160" i="5"/>
  <c r="BM160" i="5"/>
  <c r="BN160" i="5"/>
  <c r="BK161" i="5"/>
  <c r="BL161" i="5" s="1"/>
  <c r="BK162" i="5"/>
  <c r="BL162" i="5" s="1"/>
  <c r="BK163" i="5"/>
  <c r="BL163" i="5" s="1"/>
  <c r="BK164" i="5"/>
  <c r="BL164" i="5" s="1"/>
  <c r="BK165" i="5"/>
  <c r="BL165" i="5"/>
  <c r="BN165" i="5" s="1"/>
  <c r="BM165" i="5"/>
  <c r="BK166" i="5"/>
  <c r="BL166" i="5" s="1"/>
  <c r="BK167" i="5"/>
  <c r="BL167" i="5" s="1"/>
  <c r="BK168" i="5"/>
  <c r="BL168" i="5" s="1"/>
  <c r="BK169" i="5"/>
  <c r="BL169" i="5"/>
  <c r="BM169" i="5"/>
  <c r="BN169" i="5"/>
  <c r="BK170" i="5"/>
  <c r="BL170" i="5" s="1"/>
  <c r="BK171" i="5"/>
  <c r="BL171" i="5" s="1"/>
  <c r="BK172" i="5"/>
  <c r="BL172" i="5" s="1"/>
  <c r="BK173" i="5"/>
  <c r="BL173" i="5" s="1"/>
  <c r="BK174" i="5"/>
  <c r="BL174" i="5"/>
  <c r="BN174" i="5" s="1"/>
  <c r="BM174" i="5"/>
  <c r="BK175" i="5"/>
  <c r="BL175" i="5" s="1"/>
  <c r="BK176" i="5"/>
  <c r="BL176" i="5" s="1"/>
  <c r="BK177" i="5"/>
  <c r="BL177" i="5" s="1"/>
  <c r="BK178" i="5"/>
  <c r="BL178" i="5"/>
  <c r="BM178" i="5"/>
  <c r="BN178" i="5"/>
  <c r="BK179" i="5"/>
  <c r="BL179" i="5" s="1"/>
  <c r="BK180" i="5"/>
  <c r="BL180" i="5" s="1"/>
  <c r="BK181" i="5"/>
  <c r="BL181" i="5" s="1"/>
  <c r="BK182" i="5"/>
  <c r="BL182" i="5" s="1"/>
  <c r="BK183" i="5"/>
  <c r="BL183" i="5" s="1"/>
  <c r="BK184" i="5"/>
  <c r="BL184" i="5" s="1"/>
  <c r="BK185" i="5"/>
  <c r="BL185" i="5" s="1"/>
  <c r="BK186" i="5"/>
  <c r="BL186" i="5" s="1"/>
  <c r="BK187" i="5"/>
  <c r="BL187" i="5"/>
  <c r="BM187" i="5"/>
  <c r="BN187" i="5"/>
  <c r="BK188" i="5"/>
  <c r="BL188" i="5" s="1"/>
  <c r="BK189" i="5"/>
  <c r="BL189" i="5" s="1"/>
  <c r="BK190" i="5"/>
  <c r="BL190" i="5" s="1"/>
  <c r="BK191" i="5"/>
  <c r="BL191" i="5" s="1"/>
  <c r="BK192" i="5"/>
  <c r="BL192" i="5"/>
  <c r="BN192" i="5" s="1"/>
  <c r="BM192" i="5"/>
  <c r="BK193" i="5"/>
  <c r="BL193" i="5" s="1"/>
  <c r="BK194" i="5"/>
  <c r="BL194" i="5" s="1"/>
  <c r="BK195" i="5"/>
  <c r="BL195" i="5" s="1"/>
  <c r="BK196" i="5"/>
  <c r="BL196" i="5"/>
  <c r="BM196" i="5"/>
  <c r="BN196" i="5"/>
  <c r="BK197" i="5"/>
  <c r="BL197" i="5" s="1"/>
  <c r="BK198" i="5"/>
  <c r="BL198" i="5" s="1"/>
  <c r="BK199" i="5"/>
  <c r="BL199" i="5" s="1"/>
  <c r="BK200" i="5"/>
  <c r="BL200" i="5" s="1"/>
  <c r="BK201" i="5"/>
  <c r="BL201" i="5"/>
  <c r="BN201" i="5" s="1"/>
  <c r="BM201" i="5"/>
  <c r="BK202" i="5"/>
  <c r="BL202" i="5" s="1"/>
  <c r="BK203" i="5"/>
  <c r="BL203" i="5" s="1"/>
  <c r="BK204" i="5"/>
  <c r="BL204" i="5" s="1"/>
  <c r="BK205" i="5"/>
  <c r="BL205" i="5"/>
  <c r="BM205" i="5"/>
  <c r="BN205" i="5"/>
  <c r="BK206" i="5"/>
  <c r="BL206" i="5" s="1"/>
  <c r="BK207" i="5"/>
  <c r="BL207" i="5" s="1"/>
  <c r="BK208" i="5"/>
  <c r="BL208" i="5" s="1"/>
  <c r="BK209" i="5"/>
  <c r="BL209" i="5" s="1"/>
  <c r="BK210" i="5"/>
  <c r="BL210" i="5" s="1"/>
  <c r="BK211" i="5"/>
  <c r="BL211" i="5" s="1"/>
  <c r="BK212" i="5"/>
  <c r="BL212" i="5" s="1"/>
  <c r="BK213" i="5"/>
  <c r="BL213" i="5" s="1"/>
  <c r="BK214" i="5"/>
  <c r="BL214" i="5" s="1"/>
  <c r="BK215" i="5"/>
  <c r="BL215" i="5" s="1"/>
  <c r="BK216" i="5"/>
  <c r="BL216" i="5" s="1"/>
  <c r="BK217" i="5"/>
  <c r="BL217" i="5" s="1"/>
  <c r="BK218" i="5"/>
  <c r="BL218" i="5" s="1"/>
  <c r="BK219" i="5"/>
  <c r="BL219" i="5" s="1"/>
  <c r="BK220" i="5"/>
  <c r="BL220" i="5" s="1"/>
  <c r="BK221" i="5"/>
  <c r="BL221" i="5" s="1"/>
  <c r="BK222" i="5"/>
  <c r="BL222" i="5" s="1"/>
  <c r="BK223" i="5"/>
  <c r="BL223" i="5" s="1"/>
  <c r="BK224" i="5"/>
  <c r="BL224" i="5" s="1"/>
  <c r="BK225" i="5"/>
  <c r="BL225" i="5" s="1"/>
  <c r="BK226" i="5"/>
  <c r="BL226" i="5" s="1"/>
  <c r="BK227" i="5"/>
  <c r="BL227" i="5" s="1"/>
  <c r="BK228" i="5"/>
  <c r="BL228" i="5" s="1"/>
  <c r="BK229" i="5"/>
  <c r="BL229" i="5" s="1"/>
  <c r="BK230" i="5"/>
  <c r="BL230" i="5" s="1"/>
  <c r="BK231" i="5"/>
  <c r="BL231" i="5" s="1"/>
  <c r="BK232" i="5"/>
  <c r="BL232" i="5" s="1"/>
  <c r="BK3" i="5"/>
  <c r="BL3" i="5" s="1"/>
  <c r="BG4" i="5"/>
  <c r="BH4" i="5" s="1"/>
  <c r="BG5" i="5"/>
  <c r="BH5" i="5"/>
  <c r="BI5" i="5" s="1"/>
  <c r="BG6" i="5"/>
  <c r="BH6" i="5"/>
  <c r="BI6" i="5" s="1"/>
  <c r="BG7" i="5"/>
  <c r="BH7" i="5" s="1"/>
  <c r="BG8" i="5"/>
  <c r="BH8" i="5" s="1"/>
  <c r="BG9" i="5"/>
  <c r="BH9" i="5" s="1"/>
  <c r="BG10" i="5"/>
  <c r="BH10" i="5" s="1"/>
  <c r="BG11" i="5"/>
  <c r="BH11" i="5" s="1"/>
  <c r="BG12" i="5"/>
  <c r="BH12" i="5"/>
  <c r="BI12" i="5"/>
  <c r="BJ12" i="5"/>
  <c r="BG13" i="5"/>
  <c r="BH13" i="5" s="1"/>
  <c r="BG14" i="5"/>
  <c r="BH14" i="5"/>
  <c r="BJ14" i="5" s="1"/>
  <c r="BI14" i="5"/>
  <c r="BG15" i="5"/>
  <c r="BH15" i="5" s="1"/>
  <c r="BG16" i="5"/>
  <c r="BH16" i="5" s="1"/>
  <c r="BG17" i="5"/>
  <c r="BH17" i="5" s="1"/>
  <c r="BG18" i="5"/>
  <c r="BH18" i="5" s="1"/>
  <c r="BG19" i="5"/>
  <c r="BH19" i="5" s="1"/>
  <c r="BG20" i="5"/>
  <c r="BH20" i="5" s="1"/>
  <c r="BG21" i="5"/>
  <c r="BH21" i="5"/>
  <c r="BI21" i="5"/>
  <c r="BJ21" i="5"/>
  <c r="BG22" i="5"/>
  <c r="BH22" i="5" s="1"/>
  <c r="BG23" i="5"/>
  <c r="BH23" i="5"/>
  <c r="BJ23" i="5" s="1"/>
  <c r="BI23" i="5"/>
  <c r="BG24" i="5"/>
  <c r="BH24" i="5"/>
  <c r="BJ24" i="5" s="1"/>
  <c r="BI24" i="5"/>
  <c r="BG25" i="5"/>
  <c r="BH25" i="5" s="1"/>
  <c r="BG26" i="5"/>
  <c r="BH26" i="5"/>
  <c r="BG27" i="5"/>
  <c r="BH27" i="5" s="1"/>
  <c r="BG28" i="5"/>
  <c r="BH28" i="5" s="1"/>
  <c r="BG29" i="5"/>
  <c r="BH29" i="5" s="1"/>
  <c r="BG30" i="5"/>
  <c r="BH30" i="5"/>
  <c r="BI30" i="5"/>
  <c r="BJ30" i="5"/>
  <c r="BG31" i="5"/>
  <c r="BH31" i="5" s="1"/>
  <c r="BG32" i="5"/>
  <c r="BH32" i="5"/>
  <c r="BJ32" i="5" s="1"/>
  <c r="BI32" i="5"/>
  <c r="BG33" i="5"/>
  <c r="BH33" i="5"/>
  <c r="BJ33" i="5" s="1"/>
  <c r="BI33" i="5"/>
  <c r="BG34" i="5"/>
  <c r="BH34" i="5" s="1"/>
  <c r="BG35" i="5"/>
  <c r="BH35" i="5"/>
  <c r="BG36" i="5"/>
  <c r="BH36" i="5" s="1"/>
  <c r="BG37" i="5"/>
  <c r="BH37" i="5" s="1"/>
  <c r="BG38" i="5"/>
  <c r="BH38" i="5" s="1"/>
  <c r="BG39" i="5"/>
  <c r="BH39" i="5"/>
  <c r="BI39" i="5"/>
  <c r="BJ39" i="5"/>
  <c r="BG40" i="5"/>
  <c r="BH40" i="5" s="1"/>
  <c r="BG41" i="5"/>
  <c r="BH41" i="5"/>
  <c r="BJ41" i="5" s="1"/>
  <c r="BI41" i="5"/>
  <c r="BG42" i="5"/>
  <c r="BH42" i="5"/>
  <c r="BJ42" i="5" s="1"/>
  <c r="BI42" i="5"/>
  <c r="BG43" i="5"/>
  <c r="BH43" i="5" s="1"/>
  <c r="BG44" i="5"/>
  <c r="BH44" i="5" s="1"/>
  <c r="BG45" i="5"/>
  <c r="BH45" i="5" s="1"/>
  <c r="BG46" i="5"/>
  <c r="BH46" i="5" s="1"/>
  <c r="BG47" i="5"/>
  <c r="BH47" i="5" s="1"/>
  <c r="BG48" i="5"/>
  <c r="BH48" i="5"/>
  <c r="BI48" i="5"/>
  <c r="BJ48" i="5"/>
  <c r="BG49" i="5"/>
  <c r="BH49" i="5" s="1"/>
  <c r="BG50" i="5"/>
  <c r="BH50" i="5"/>
  <c r="BJ50" i="5" s="1"/>
  <c r="BI50" i="5"/>
  <c r="BG51" i="5"/>
  <c r="BH51" i="5" s="1"/>
  <c r="BG52" i="5"/>
  <c r="BH52" i="5" s="1"/>
  <c r="BG53" i="5"/>
  <c r="BH53" i="5"/>
  <c r="BG54" i="5"/>
  <c r="BH54" i="5" s="1"/>
  <c r="BG55" i="5"/>
  <c r="BH55" i="5" s="1"/>
  <c r="BG56" i="5"/>
  <c r="BH56" i="5" s="1"/>
  <c r="BG57" i="5"/>
  <c r="BH57" i="5"/>
  <c r="BI57" i="5"/>
  <c r="BJ57" i="5"/>
  <c r="BG58" i="5"/>
  <c r="BH58" i="5" s="1"/>
  <c r="BG59" i="5"/>
  <c r="BH59" i="5"/>
  <c r="BJ59" i="5" s="1"/>
  <c r="BI59" i="5"/>
  <c r="BG60" i="5"/>
  <c r="BH60" i="5" s="1"/>
  <c r="BG61" i="5"/>
  <c r="BH61" i="5" s="1"/>
  <c r="BG62" i="5"/>
  <c r="BH62" i="5"/>
  <c r="BG63" i="5"/>
  <c r="BH63" i="5" s="1"/>
  <c r="BG64" i="5"/>
  <c r="BH64" i="5" s="1"/>
  <c r="BG65" i="5"/>
  <c r="BH65" i="5" s="1"/>
  <c r="BG66" i="5"/>
  <c r="BH66" i="5"/>
  <c r="BI66" i="5"/>
  <c r="BJ66" i="5"/>
  <c r="BG67" i="5"/>
  <c r="BH67" i="5" s="1"/>
  <c r="BG68" i="5"/>
  <c r="BH68" i="5" s="1"/>
  <c r="BG69" i="5"/>
  <c r="BH69" i="5" s="1"/>
  <c r="BG70" i="5"/>
  <c r="BH70" i="5" s="1"/>
  <c r="BG71" i="5"/>
  <c r="BH71" i="5" s="1"/>
  <c r="BG72" i="5"/>
  <c r="BH72" i="5" s="1"/>
  <c r="BG73" i="5"/>
  <c r="BH73" i="5" s="1"/>
  <c r="BG74" i="5"/>
  <c r="BH74" i="5" s="1"/>
  <c r="BG75" i="5"/>
  <c r="BH75" i="5"/>
  <c r="BI75" i="5"/>
  <c r="BJ75" i="5"/>
  <c r="BG76" i="5"/>
  <c r="BH76" i="5" s="1"/>
  <c r="BG77" i="5"/>
  <c r="BH77" i="5" s="1"/>
  <c r="BG78" i="5"/>
  <c r="BH78" i="5" s="1"/>
  <c r="BG79" i="5"/>
  <c r="BH79" i="5" s="1"/>
  <c r="BG80" i="5"/>
  <c r="BH80" i="5" s="1"/>
  <c r="BG81" i="5"/>
  <c r="BH81" i="5" s="1"/>
  <c r="BG82" i="5"/>
  <c r="BH82" i="5" s="1"/>
  <c r="BG83" i="5"/>
  <c r="BH83" i="5" s="1"/>
  <c r="BG84" i="5"/>
  <c r="BH84" i="5"/>
  <c r="BI84" i="5"/>
  <c r="BJ84" i="5"/>
  <c r="BG85" i="5"/>
  <c r="BH85" i="5" s="1"/>
  <c r="BG86" i="5"/>
  <c r="BH86" i="5" s="1"/>
  <c r="BG87" i="5"/>
  <c r="BH87" i="5" s="1"/>
  <c r="BG88" i="5"/>
  <c r="BH88" i="5" s="1"/>
  <c r="BG89" i="5"/>
  <c r="BH89" i="5"/>
  <c r="BG90" i="5"/>
  <c r="BH90" i="5" s="1"/>
  <c r="BG91" i="5"/>
  <c r="BH91" i="5" s="1"/>
  <c r="BG92" i="5"/>
  <c r="BH92" i="5" s="1"/>
  <c r="BG93" i="5"/>
  <c r="BH93" i="5"/>
  <c r="BI93" i="5"/>
  <c r="BJ93" i="5"/>
  <c r="BG94" i="5"/>
  <c r="BH94" i="5" s="1"/>
  <c r="BG95" i="5"/>
  <c r="BH95" i="5" s="1"/>
  <c r="BG96" i="5"/>
  <c r="BH96" i="5" s="1"/>
  <c r="BG97" i="5"/>
  <c r="BH97" i="5" s="1"/>
  <c r="BG98" i="5"/>
  <c r="BH98" i="5"/>
  <c r="BG99" i="5"/>
  <c r="BH99" i="5" s="1"/>
  <c r="BG100" i="5"/>
  <c r="BH100" i="5" s="1"/>
  <c r="BG101" i="5"/>
  <c r="BH101" i="5" s="1"/>
  <c r="BG102" i="5"/>
  <c r="BH102" i="5"/>
  <c r="BI102" i="5"/>
  <c r="BJ102" i="5"/>
  <c r="BG103" i="5"/>
  <c r="BH103" i="5" s="1"/>
  <c r="BG104" i="5"/>
  <c r="BH104" i="5" s="1"/>
  <c r="BG105" i="5"/>
  <c r="BH105" i="5" s="1"/>
  <c r="BG106" i="5"/>
  <c r="BH106" i="5" s="1"/>
  <c r="BG107" i="5"/>
  <c r="BH107" i="5" s="1"/>
  <c r="BG108" i="5"/>
  <c r="BH108" i="5" s="1"/>
  <c r="BG109" i="5"/>
  <c r="BH109" i="5" s="1"/>
  <c r="BG110" i="5"/>
  <c r="BH110" i="5" s="1"/>
  <c r="BG111" i="5"/>
  <c r="BH111" i="5"/>
  <c r="BI111" i="5"/>
  <c r="BJ111" i="5"/>
  <c r="BG112" i="5"/>
  <c r="BH112" i="5" s="1"/>
  <c r="BG113" i="5"/>
  <c r="BH113" i="5" s="1"/>
  <c r="BG114" i="5"/>
  <c r="BH114" i="5" s="1"/>
  <c r="BG115" i="5"/>
  <c r="BH115" i="5" s="1"/>
  <c r="BG116" i="5"/>
  <c r="BH116" i="5" s="1"/>
  <c r="BG117" i="5"/>
  <c r="BH117" i="5" s="1"/>
  <c r="BG118" i="5"/>
  <c r="BH118" i="5" s="1"/>
  <c r="BJ118" i="5" s="1"/>
  <c r="BG119" i="5"/>
  <c r="BH119" i="5" s="1"/>
  <c r="BG120" i="5"/>
  <c r="BH120" i="5"/>
  <c r="BI120" i="5"/>
  <c r="BJ120" i="5"/>
  <c r="BG121" i="5"/>
  <c r="BH121" i="5" s="1"/>
  <c r="BG122" i="5"/>
  <c r="BH122" i="5" s="1"/>
  <c r="BG123" i="5"/>
  <c r="BH123" i="5" s="1"/>
  <c r="BG124" i="5"/>
  <c r="BH124" i="5" s="1"/>
  <c r="BG125" i="5"/>
  <c r="BH125" i="5"/>
  <c r="BG126" i="5"/>
  <c r="BH126" i="5" s="1"/>
  <c r="BG127" i="5"/>
  <c r="BH127" i="5" s="1"/>
  <c r="BJ127" i="5" s="1"/>
  <c r="BI127" i="5"/>
  <c r="BG128" i="5"/>
  <c r="BH128" i="5" s="1"/>
  <c r="BG129" i="5"/>
  <c r="BH129" i="5"/>
  <c r="BI129" i="5"/>
  <c r="BJ129" i="5"/>
  <c r="BG130" i="5"/>
  <c r="BH130" i="5" s="1"/>
  <c r="BG131" i="5"/>
  <c r="BH131" i="5" s="1"/>
  <c r="BG132" i="5"/>
  <c r="BH132" i="5" s="1"/>
  <c r="BG133" i="5"/>
  <c r="BH133" i="5" s="1"/>
  <c r="BG134" i="5"/>
  <c r="BH134" i="5" s="1"/>
  <c r="BG135" i="5"/>
  <c r="BH135" i="5" s="1"/>
  <c r="BG136" i="5"/>
  <c r="BH136" i="5" s="1"/>
  <c r="BJ136" i="5" s="1"/>
  <c r="BG137" i="5"/>
  <c r="BH137" i="5" s="1"/>
  <c r="BG138" i="5"/>
  <c r="BH138" i="5"/>
  <c r="BI138" i="5"/>
  <c r="BJ138" i="5"/>
  <c r="BG139" i="5"/>
  <c r="BH139" i="5" s="1"/>
  <c r="BG140" i="5"/>
  <c r="BH140" i="5" s="1"/>
  <c r="BG141" i="5"/>
  <c r="BH141" i="5" s="1"/>
  <c r="BG142" i="5"/>
  <c r="BH142" i="5" s="1"/>
  <c r="BG143" i="5"/>
  <c r="BH143" i="5"/>
  <c r="BG144" i="5"/>
  <c r="BH144" i="5" s="1"/>
  <c r="BG145" i="5"/>
  <c r="BH145" i="5" s="1"/>
  <c r="BJ145" i="5" s="1"/>
  <c r="BI145" i="5"/>
  <c r="BG146" i="5"/>
  <c r="BH146" i="5" s="1"/>
  <c r="BG147" i="5"/>
  <c r="BH147" i="5"/>
  <c r="BI147" i="5"/>
  <c r="BJ147" i="5"/>
  <c r="BG148" i="5"/>
  <c r="BH148" i="5" s="1"/>
  <c r="BG149" i="5"/>
  <c r="BH149" i="5" s="1"/>
  <c r="BG150" i="5"/>
  <c r="BH150" i="5" s="1"/>
  <c r="BJ150" i="5" s="1"/>
  <c r="BG151" i="5"/>
  <c r="BH151" i="5" s="1"/>
  <c r="BG152" i="5"/>
  <c r="BH152" i="5" s="1"/>
  <c r="BG153" i="5"/>
  <c r="BH153" i="5" s="1"/>
  <c r="BG154" i="5"/>
  <c r="BH154" i="5" s="1"/>
  <c r="BJ154" i="5" s="1"/>
  <c r="BI154" i="5"/>
  <c r="BG155" i="5"/>
  <c r="BH155" i="5" s="1"/>
  <c r="BG156" i="5"/>
  <c r="BH156" i="5"/>
  <c r="BI156" i="5"/>
  <c r="BJ156" i="5"/>
  <c r="BG157" i="5"/>
  <c r="BH157" i="5" s="1"/>
  <c r="BG158" i="5"/>
  <c r="BH158" i="5" s="1"/>
  <c r="BG159" i="5"/>
  <c r="BH159" i="5" s="1"/>
  <c r="BJ159" i="5" s="1"/>
  <c r="BG160" i="5"/>
  <c r="BH160" i="5" s="1"/>
  <c r="BG161" i="5"/>
  <c r="BH161" i="5" s="1"/>
  <c r="BG162" i="5"/>
  <c r="BH162" i="5" s="1"/>
  <c r="BG163" i="5"/>
  <c r="BH163" i="5" s="1"/>
  <c r="BJ163" i="5" s="1"/>
  <c r="BI163" i="5"/>
  <c r="BG164" i="5"/>
  <c r="BH164" i="5" s="1"/>
  <c r="BG165" i="5"/>
  <c r="BH165" i="5"/>
  <c r="BI165" i="5"/>
  <c r="BJ165" i="5"/>
  <c r="BG166" i="5"/>
  <c r="BH166" i="5" s="1"/>
  <c r="BG167" i="5"/>
  <c r="BH167" i="5" s="1"/>
  <c r="BG168" i="5"/>
  <c r="BH168" i="5" s="1"/>
  <c r="BJ168" i="5" s="1"/>
  <c r="BG169" i="5"/>
  <c r="BH169" i="5" s="1"/>
  <c r="BG170" i="5"/>
  <c r="BH170" i="5" s="1"/>
  <c r="BG171" i="5"/>
  <c r="BH171" i="5" s="1"/>
  <c r="BG172" i="5"/>
  <c r="BH172" i="5" s="1"/>
  <c r="BJ172" i="5" s="1"/>
  <c r="BI172" i="5"/>
  <c r="BG173" i="5"/>
  <c r="BH173" i="5" s="1"/>
  <c r="BG174" i="5"/>
  <c r="BH174" i="5"/>
  <c r="BI174" i="5"/>
  <c r="BJ174" i="5"/>
  <c r="BG175" i="5"/>
  <c r="BH175" i="5" s="1"/>
  <c r="BG176" i="5"/>
  <c r="BH176" i="5" s="1"/>
  <c r="BG177" i="5"/>
  <c r="BH177" i="5" s="1"/>
  <c r="BJ177" i="5" s="1"/>
  <c r="BG178" i="5"/>
  <c r="BH178" i="5" s="1"/>
  <c r="BG179" i="5"/>
  <c r="BH179" i="5"/>
  <c r="BJ179" i="5" s="1"/>
  <c r="BI179" i="5"/>
  <c r="BG180" i="5"/>
  <c r="BH180" i="5" s="1"/>
  <c r="BG181" i="5"/>
  <c r="BH181" i="5" s="1"/>
  <c r="BJ181" i="5" s="1"/>
  <c r="BG182" i="5"/>
  <c r="BH182" i="5" s="1"/>
  <c r="BG183" i="5"/>
  <c r="BH183" i="5"/>
  <c r="BI183" i="5"/>
  <c r="BJ183" i="5"/>
  <c r="BG184" i="5"/>
  <c r="BH184" i="5" s="1"/>
  <c r="BG185" i="5"/>
  <c r="BH185" i="5" s="1"/>
  <c r="BG186" i="5"/>
  <c r="BH186" i="5" s="1"/>
  <c r="BJ186" i="5" s="1"/>
  <c r="BG187" i="5"/>
  <c r="BH187" i="5" s="1"/>
  <c r="BG188" i="5"/>
  <c r="BH188" i="5" s="1"/>
  <c r="BG189" i="5"/>
  <c r="BH189" i="5" s="1"/>
  <c r="BG190" i="5"/>
  <c r="BH190" i="5" s="1"/>
  <c r="BJ190" i="5" s="1"/>
  <c r="BG191" i="5"/>
  <c r="BH191" i="5" s="1"/>
  <c r="BG192" i="5"/>
  <c r="BH192" i="5"/>
  <c r="BI192" i="5"/>
  <c r="BJ192" i="5"/>
  <c r="BG193" i="5"/>
  <c r="BH193" i="5" s="1"/>
  <c r="BG194" i="5"/>
  <c r="BH194" i="5" s="1"/>
  <c r="BG195" i="5"/>
  <c r="BH195" i="5" s="1"/>
  <c r="BJ195" i="5" s="1"/>
  <c r="BG196" i="5"/>
  <c r="BH196" i="5" s="1"/>
  <c r="BI196" i="5" s="1"/>
  <c r="BG197" i="5"/>
  <c r="BH197" i="5"/>
  <c r="BJ197" i="5" s="1"/>
  <c r="BI197" i="5"/>
  <c r="BG198" i="5"/>
  <c r="BH198" i="5" s="1"/>
  <c r="BG199" i="5"/>
  <c r="BH199" i="5" s="1"/>
  <c r="BJ199" i="5" s="1"/>
  <c r="BI199" i="5"/>
  <c r="BG200" i="5"/>
  <c r="BH200" i="5" s="1"/>
  <c r="BG201" i="5"/>
  <c r="BH201" i="5"/>
  <c r="BI201" i="5"/>
  <c r="BJ201" i="5"/>
  <c r="BG202" i="5"/>
  <c r="BH202" i="5" s="1"/>
  <c r="BG203" i="5"/>
  <c r="BH203" i="5" s="1"/>
  <c r="BG204" i="5"/>
  <c r="BH204" i="5" s="1"/>
  <c r="BJ204" i="5" s="1"/>
  <c r="BG205" i="5"/>
  <c r="BH205" i="5" s="1"/>
  <c r="BI205" i="5" s="1"/>
  <c r="BG206" i="5"/>
  <c r="BH206" i="5"/>
  <c r="BJ206" i="5" s="1"/>
  <c r="BI206" i="5"/>
  <c r="BG207" i="5"/>
  <c r="BH207" i="5" s="1"/>
  <c r="BG208" i="5"/>
  <c r="BH208" i="5" s="1"/>
  <c r="BJ208" i="5" s="1"/>
  <c r="BI208" i="5"/>
  <c r="BG209" i="5"/>
  <c r="BH209" i="5" s="1"/>
  <c r="BG210" i="5"/>
  <c r="BH210" i="5"/>
  <c r="BI210" i="5" s="1"/>
  <c r="BG211" i="5"/>
  <c r="BH211" i="5" s="1"/>
  <c r="BG212" i="5"/>
  <c r="BH212" i="5" s="1"/>
  <c r="BG213" i="5"/>
  <c r="BH213" i="5" s="1"/>
  <c r="BJ213" i="5" s="1"/>
  <c r="BG214" i="5"/>
  <c r="BH214" i="5" s="1"/>
  <c r="BI214" i="5" s="1"/>
  <c r="BJ214" i="5"/>
  <c r="BG215" i="5"/>
  <c r="BH215" i="5" s="1"/>
  <c r="BG216" i="5"/>
  <c r="BH216" i="5" s="1"/>
  <c r="BG217" i="5"/>
  <c r="BH217" i="5" s="1"/>
  <c r="BJ217" i="5" s="1"/>
  <c r="BG218" i="5"/>
  <c r="BH218" i="5" s="1"/>
  <c r="BG219" i="5"/>
  <c r="BH219" i="5"/>
  <c r="BJ219" i="5" s="1"/>
  <c r="BI219" i="5"/>
  <c r="BG220" i="5"/>
  <c r="BH220" i="5" s="1"/>
  <c r="BG221" i="5"/>
  <c r="BH221" i="5" s="1"/>
  <c r="BJ221" i="5" s="1"/>
  <c r="BI221" i="5"/>
  <c r="BG222" i="5"/>
  <c r="BH222" i="5" s="1"/>
  <c r="BJ222" i="5" s="1"/>
  <c r="BG223" i="5"/>
  <c r="BH223" i="5" s="1"/>
  <c r="BI223" i="5" s="1"/>
  <c r="BJ223" i="5"/>
  <c r="BG224" i="5"/>
  <c r="BH224" i="5" s="1"/>
  <c r="BG225" i="5"/>
  <c r="BH225" i="5" s="1"/>
  <c r="BG226" i="5"/>
  <c r="BH226" i="5" s="1"/>
  <c r="BJ226" i="5" s="1"/>
  <c r="BG227" i="5"/>
  <c r="BH227" i="5" s="1"/>
  <c r="BG228" i="5"/>
  <c r="BH228" i="5"/>
  <c r="BJ228" i="5" s="1"/>
  <c r="BI228" i="5"/>
  <c r="BG229" i="5"/>
  <c r="BH229" i="5" s="1"/>
  <c r="BG230" i="5"/>
  <c r="BH230" i="5" s="1"/>
  <c r="BJ230" i="5" s="1"/>
  <c r="BI230" i="5"/>
  <c r="BG231" i="5"/>
  <c r="BH231" i="5" s="1"/>
  <c r="BJ231" i="5" s="1"/>
  <c r="BG232" i="5"/>
  <c r="BH232" i="5" s="1"/>
  <c r="BI232" i="5" s="1"/>
  <c r="BJ232" i="5"/>
  <c r="BG3" i="5"/>
  <c r="BH3" i="5" s="1"/>
  <c r="BC4" i="5"/>
  <c r="BD4" i="5" s="1"/>
  <c r="BC5" i="5"/>
  <c r="BD5" i="5" s="1"/>
  <c r="BC6" i="5"/>
  <c r="BD6" i="5" s="1"/>
  <c r="BC7" i="5"/>
  <c r="BD7" i="5" s="1"/>
  <c r="BC8" i="5"/>
  <c r="BD8" i="5"/>
  <c r="BE8" i="5" s="1"/>
  <c r="BC9" i="5"/>
  <c r="BD9" i="5" s="1"/>
  <c r="BC10" i="5"/>
  <c r="BD10" i="5" s="1"/>
  <c r="BC11" i="5"/>
  <c r="BD11" i="5" s="1"/>
  <c r="BC12" i="5"/>
  <c r="BD12" i="5" s="1"/>
  <c r="BC13" i="5"/>
  <c r="BD13" i="5" s="1"/>
  <c r="BC14" i="5"/>
  <c r="BD14" i="5" s="1"/>
  <c r="BC15" i="5"/>
  <c r="BD15" i="5" s="1"/>
  <c r="BC16" i="5"/>
  <c r="BD16" i="5" s="1"/>
  <c r="BC17" i="5"/>
  <c r="BD17" i="5"/>
  <c r="BE17" i="5" s="1"/>
  <c r="BC18" i="5"/>
  <c r="BD18" i="5" s="1"/>
  <c r="BC19" i="5"/>
  <c r="BD19" i="5" s="1"/>
  <c r="BC20" i="5"/>
  <c r="BD20" i="5" s="1"/>
  <c r="BC21" i="5"/>
  <c r="BD21" i="5" s="1"/>
  <c r="BC22" i="5"/>
  <c r="BD22" i="5" s="1"/>
  <c r="BC23" i="5"/>
  <c r="BD23" i="5" s="1"/>
  <c r="BC24" i="5"/>
  <c r="BD24" i="5" s="1"/>
  <c r="BC25" i="5"/>
  <c r="BD25" i="5" s="1"/>
  <c r="BC26" i="5"/>
  <c r="BD26" i="5"/>
  <c r="BE26" i="5" s="1"/>
  <c r="BC27" i="5"/>
  <c r="BD27" i="5" s="1"/>
  <c r="BC28" i="5"/>
  <c r="BD28" i="5" s="1"/>
  <c r="BC29" i="5"/>
  <c r="BD29" i="5" s="1"/>
  <c r="BC30" i="5"/>
  <c r="BD30" i="5" s="1"/>
  <c r="BC31" i="5"/>
  <c r="BD31" i="5" s="1"/>
  <c r="BC32" i="5"/>
  <c r="BD32" i="5" s="1"/>
  <c r="BC33" i="5"/>
  <c r="BD33" i="5" s="1"/>
  <c r="BC34" i="5"/>
  <c r="BD34" i="5" s="1"/>
  <c r="BC35" i="5"/>
  <c r="BD35" i="5"/>
  <c r="BE35" i="5" s="1"/>
  <c r="BC36" i="5"/>
  <c r="BD36" i="5" s="1"/>
  <c r="BC37" i="5"/>
  <c r="BD37" i="5" s="1"/>
  <c r="BC38" i="5"/>
  <c r="BD38" i="5" s="1"/>
  <c r="BC39" i="5"/>
  <c r="BD39" i="5" s="1"/>
  <c r="BC40" i="5"/>
  <c r="BD40" i="5" s="1"/>
  <c r="BC41" i="5"/>
  <c r="BD41" i="5" s="1"/>
  <c r="BC42" i="5"/>
  <c r="BD42" i="5" s="1"/>
  <c r="BC43" i="5"/>
  <c r="BD43" i="5" s="1"/>
  <c r="BC44" i="5"/>
  <c r="BD44" i="5"/>
  <c r="BE44" i="5" s="1"/>
  <c r="BC45" i="5"/>
  <c r="BD45" i="5" s="1"/>
  <c r="BC46" i="5"/>
  <c r="BD46" i="5" s="1"/>
  <c r="BC47" i="5"/>
  <c r="BD47" i="5" s="1"/>
  <c r="BC48" i="5"/>
  <c r="BD48" i="5" s="1"/>
  <c r="BC49" i="5"/>
  <c r="BD49" i="5" s="1"/>
  <c r="BC50" i="5"/>
  <c r="BD50" i="5" s="1"/>
  <c r="BC51" i="5"/>
  <c r="BD51" i="5" s="1"/>
  <c r="BC52" i="5"/>
  <c r="BD52" i="5" s="1"/>
  <c r="BC53" i="5"/>
  <c r="BD53" i="5"/>
  <c r="BE53" i="5" s="1"/>
  <c r="BC54" i="5"/>
  <c r="BD54" i="5" s="1"/>
  <c r="BC55" i="5"/>
  <c r="BD55" i="5" s="1"/>
  <c r="BC56" i="5"/>
  <c r="BD56" i="5" s="1"/>
  <c r="BC57" i="5"/>
  <c r="BD57" i="5" s="1"/>
  <c r="BC58" i="5"/>
  <c r="BD58" i="5" s="1"/>
  <c r="BC59" i="5"/>
  <c r="BD59" i="5" s="1"/>
  <c r="BC60" i="5"/>
  <c r="BD60" i="5" s="1"/>
  <c r="BC61" i="5"/>
  <c r="BD61" i="5" s="1"/>
  <c r="BC62" i="5"/>
  <c r="BD62" i="5"/>
  <c r="BE62" i="5" s="1"/>
  <c r="BC63" i="5"/>
  <c r="BD63" i="5" s="1"/>
  <c r="BC64" i="5"/>
  <c r="BD64" i="5" s="1"/>
  <c r="BC65" i="5"/>
  <c r="BD65" i="5" s="1"/>
  <c r="BC66" i="5"/>
  <c r="BD66" i="5" s="1"/>
  <c r="BC67" i="5"/>
  <c r="BD67" i="5" s="1"/>
  <c r="BC68" i="5"/>
  <c r="BD68" i="5" s="1"/>
  <c r="BC69" i="5"/>
  <c r="BD69" i="5" s="1"/>
  <c r="BC70" i="5"/>
  <c r="BD70" i="5" s="1"/>
  <c r="BC71" i="5"/>
  <c r="BD71" i="5"/>
  <c r="BE71" i="5" s="1"/>
  <c r="BC72" i="5"/>
  <c r="BD72" i="5" s="1"/>
  <c r="BC73" i="5"/>
  <c r="BD73" i="5" s="1"/>
  <c r="BC74" i="5"/>
  <c r="BD74" i="5" s="1"/>
  <c r="BC75" i="5"/>
  <c r="BD75" i="5" s="1"/>
  <c r="BC76" i="5"/>
  <c r="BD76" i="5" s="1"/>
  <c r="BC77" i="5"/>
  <c r="BD77" i="5" s="1"/>
  <c r="BC78" i="5"/>
  <c r="BD78" i="5" s="1"/>
  <c r="BC79" i="5"/>
  <c r="BD79" i="5" s="1"/>
  <c r="BC80" i="5"/>
  <c r="BD80" i="5"/>
  <c r="BF80" i="5" s="1"/>
  <c r="BE80" i="5"/>
  <c r="BC81" i="5"/>
  <c r="BD81" i="5" s="1"/>
  <c r="BC82" i="5"/>
  <c r="BD82" i="5" s="1"/>
  <c r="BC83" i="5"/>
  <c r="BD83" i="5" s="1"/>
  <c r="BC84" i="5"/>
  <c r="BD84" i="5" s="1"/>
  <c r="BC85" i="5"/>
  <c r="BD85" i="5" s="1"/>
  <c r="BC86" i="5"/>
  <c r="BD86" i="5" s="1"/>
  <c r="BC87" i="5"/>
  <c r="BD87" i="5" s="1"/>
  <c r="BC88" i="5"/>
  <c r="BD88" i="5" s="1"/>
  <c r="BC89" i="5"/>
  <c r="BD89" i="5"/>
  <c r="BF89" i="5" s="1"/>
  <c r="BE89" i="5"/>
  <c r="BC90" i="5"/>
  <c r="BD90" i="5" s="1"/>
  <c r="BC91" i="5"/>
  <c r="BD91" i="5" s="1"/>
  <c r="BC92" i="5"/>
  <c r="BD92" i="5" s="1"/>
  <c r="BC93" i="5"/>
  <c r="BD93" i="5" s="1"/>
  <c r="BC94" i="5"/>
  <c r="BD94" i="5" s="1"/>
  <c r="BC95" i="5"/>
  <c r="BD95" i="5" s="1"/>
  <c r="BC96" i="5"/>
  <c r="BD96" i="5" s="1"/>
  <c r="BC97" i="5"/>
  <c r="BD97" i="5" s="1"/>
  <c r="BC98" i="5"/>
  <c r="BD98" i="5"/>
  <c r="BF98" i="5" s="1"/>
  <c r="BE98" i="5"/>
  <c r="BC99" i="5"/>
  <c r="BD99" i="5" s="1"/>
  <c r="BC100" i="5"/>
  <c r="BD100" i="5" s="1"/>
  <c r="BC101" i="5"/>
  <c r="BD101" i="5" s="1"/>
  <c r="BC102" i="5"/>
  <c r="BD102" i="5" s="1"/>
  <c r="BC103" i="5"/>
  <c r="BD103" i="5" s="1"/>
  <c r="BC104" i="5"/>
  <c r="BD104" i="5" s="1"/>
  <c r="BC105" i="5"/>
  <c r="BD105" i="5" s="1"/>
  <c r="BC106" i="5"/>
  <c r="BD106" i="5" s="1"/>
  <c r="BC107" i="5"/>
  <c r="BD107" i="5"/>
  <c r="BF107" i="5" s="1"/>
  <c r="BE107" i="5"/>
  <c r="BC108" i="5"/>
  <c r="BD108" i="5" s="1"/>
  <c r="BC109" i="5"/>
  <c r="BD109" i="5" s="1"/>
  <c r="BC110" i="5"/>
  <c r="BD110" i="5" s="1"/>
  <c r="BC111" i="5"/>
  <c r="BD111" i="5" s="1"/>
  <c r="BC112" i="5"/>
  <c r="BD112" i="5" s="1"/>
  <c r="BC113" i="5"/>
  <c r="BD113" i="5" s="1"/>
  <c r="BC114" i="5"/>
  <c r="BD114" i="5" s="1"/>
  <c r="BC115" i="5"/>
  <c r="BD115" i="5" s="1"/>
  <c r="BC116" i="5"/>
  <c r="BD116" i="5"/>
  <c r="BF116" i="5" s="1"/>
  <c r="BE116" i="5"/>
  <c r="BC117" i="5"/>
  <c r="BD117" i="5" s="1"/>
  <c r="BC118" i="5"/>
  <c r="BD118" i="5" s="1"/>
  <c r="BC119" i="5"/>
  <c r="BD119" i="5" s="1"/>
  <c r="BC120" i="5"/>
  <c r="BD120" i="5" s="1"/>
  <c r="BC121" i="5"/>
  <c r="BD121" i="5" s="1"/>
  <c r="BC122" i="5"/>
  <c r="BD122" i="5" s="1"/>
  <c r="BC123" i="5"/>
  <c r="BD123" i="5" s="1"/>
  <c r="BC124" i="5"/>
  <c r="BD124" i="5" s="1"/>
  <c r="BC125" i="5"/>
  <c r="BD125" i="5"/>
  <c r="BF125" i="5" s="1"/>
  <c r="BE125" i="5"/>
  <c r="BC126" i="5"/>
  <c r="BD126" i="5" s="1"/>
  <c r="BC127" i="5"/>
  <c r="BD127" i="5" s="1"/>
  <c r="BC128" i="5"/>
  <c r="BD128" i="5" s="1"/>
  <c r="BC129" i="5"/>
  <c r="BD129" i="5" s="1"/>
  <c r="BC130" i="5"/>
  <c r="BD130" i="5" s="1"/>
  <c r="BC131" i="5"/>
  <c r="BD131" i="5" s="1"/>
  <c r="BC132" i="5"/>
  <c r="BD132" i="5" s="1"/>
  <c r="BC133" i="5"/>
  <c r="BD133" i="5" s="1"/>
  <c r="BC134" i="5"/>
  <c r="BD134" i="5"/>
  <c r="BF134" i="5" s="1"/>
  <c r="BE134" i="5"/>
  <c r="BC135" i="5"/>
  <c r="BD135" i="5" s="1"/>
  <c r="BC136" i="5"/>
  <c r="BD136" i="5" s="1"/>
  <c r="BC137" i="5"/>
  <c r="BD137" i="5" s="1"/>
  <c r="BC138" i="5"/>
  <c r="BD138" i="5" s="1"/>
  <c r="BC139" i="5"/>
  <c r="BD139" i="5" s="1"/>
  <c r="BC140" i="5"/>
  <c r="BD140" i="5" s="1"/>
  <c r="BC141" i="5"/>
  <c r="BD141" i="5" s="1"/>
  <c r="BC142" i="5"/>
  <c r="BD142" i="5" s="1"/>
  <c r="BC143" i="5"/>
  <c r="BD143" i="5"/>
  <c r="BF143" i="5" s="1"/>
  <c r="BE143" i="5"/>
  <c r="BC144" i="5"/>
  <c r="BD144" i="5" s="1"/>
  <c r="BC145" i="5"/>
  <c r="BD145" i="5" s="1"/>
  <c r="BC146" i="5"/>
  <c r="BD146" i="5" s="1"/>
  <c r="BC147" i="5"/>
  <c r="BD147" i="5" s="1"/>
  <c r="BC148" i="5"/>
  <c r="BD148" i="5" s="1"/>
  <c r="BC149" i="5"/>
  <c r="BD149" i="5" s="1"/>
  <c r="BC150" i="5"/>
  <c r="BD150" i="5" s="1"/>
  <c r="BC151" i="5"/>
  <c r="BD151" i="5" s="1"/>
  <c r="BC152" i="5"/>
  <c r="BD152" i="5" s="1"/>
  <c r="BC153" i="5"/>
  <c r="BD153" i="5" s="1"/>
  <c r="BC154" i="5"/>
  <c r="BD154" i="5" s="1"/>
  <c r="BC155" i="5"/>
  <c r="BD155" i="5" s="1"/>
  <c r="BC156" i="5"/>
  <c r="BD156" i="5" s="1"/>
  <c r="BC157" i="5"/>
  <c r="BD157" i="5" s="1"/>
  <c r="BC158" i="5"/>
  <c r="BD158" i="5" s="1"/>
  <c r="BC159" i="5"/>
  <c r="BD159" i="5" s="1"/>
  <c r="BC160" i="5"/>
  <c r="BD160" i="5" s="1"/>
  <c r="BC161" i="5"/>
  <c r="BD161" i="5" s="1"/>
  <c r="BC162" i="5"/>
  <c r="BD162" i="5" s="1"/>
  <c r="BC163" i="5"/>
  <c r="BD163" i="5" s="1"/>
  <c r="BC164" i="5"/>
  <c r="BD164" i="5" s="1"/>
  <c r="BC165" i="5"/>
  <c r="BD165" i="5" s="1"/>
  <c r="BC166" i="5"/>
  <c r="BD166" i="5" s="1"/>
  <c r="BC167" i="5"/>
  <c r="BD167" i="5" s="1"/>
  <c r="BC168" i="5"/>
  <c r="BD168" i="5" s="1"/>
  <c r="BC169" i="5"/>
  <c r="BD169" i="5" s="1"/>
  <c r="BC170" i="5"/>
  <c r="BD170" i="5" s="1"/>
  <c r="BC171" i="5"/>
  <c r="BD171" i="5" s="1"/>
  <c r="BC172" i="5"/>
  <c r="BD172" i="5" s="1"/>
  <c r="BC173" i="5"/>
  <c r="BD173" i="5" s="1"/>
  <c r="BC174" i="5"/>
  <c r="BD174" i="5" s="1"/>
  <c r="BC175" i="5"/>
  <c r="BD175" i="5" s="1"/>
  <c r="BC176" i="5"/>
  <c r="BD176" i="5" s="1"/>
  <c r="BC177" i="5"/>
  <c r="BD177" i="5" s="1"/>
  <c r="BC178" i="5"/>
  <c r="BD178" i="5" s="1"/>
  <c r="BC179" i="5"/>
  <c r="BD179" i="5" s="1"/>
  <c r="BC180" i="5"/>
  <c r="BD180" i="5" s="1"/>
  <c r="BC181" i="5"/>
  <c r="BD181" i="5" s="1"/>
  <c r="BC182" i="5"/>
  <c r="BD182" i="5" s="1"/>
  <c r="BC183" i="5"/>
  <c r="BD183" i="5" s="1"/>
  <c r="BC184" i="5"/>
  <c r="BD184" i="5" s="1"/>
  <c r="BC185" i="5"/>
  <c r="BD185" i="5" s="1"/>
  <c r="BC186" i="5"/>
  <c r="BD186" i="5" s="1"/>
  <c r="BC187" i="5"/>
  <c r="BD187" i="5" s="1"/>
  <c r="BC188" i="5"/>
  <c r="BD188" i="5" s="1"/>
  <c r="BC189" i="5"/>
  <c r="BD189" i="5" s="1"/>
  <c r="BC190" i="5"/>
  <c r="BD190" i="5" s="1"/>
  <c r="BC191" i="5"/>
  <c r="BD191" i="5" s="1"/>
  <c r="BC192" i="5"/>
  <c r="BD192" i="5" s="1"/>
  <c r="BC193" i="5"/>
  <c r="BD193" i="5" s="1"/>
  <c r="BC194" i="5"/>
  <c r="BD194" i="5" s="1"/>
  <c r="BC195" i="5"/>
  <c r="BD195" i="5" s="1"/>
  <c r="BC196" i="5"/>
  <c r="BD196" i="5" s="1"/>
  <c r="BC197" i="5"/>
  <c r="BD197" i="5" s="1"/>
  <c r="BC198" i="5"/>
  <c r="BD198" i="5" s="1"/>
  <c r="BC199" i="5"/>
  <c r="BD199" i="5" s="1"/>
  <c r="BC200" i="5"/>
  <c r="BD200" i="5" s="1"/>
  <c r="BC201" i="5"/>
  <c r="BD201" i="5" s="1"/>
  <c r="BC202" i="5"/>
  <c r="BD202" i="5" s="1"/>
  <c r="BC203" i="5"/>
  <c r="BD203" i="5" s="1"/>
  <c r="BC204" i="5"/>
  <c r="BD204" i="5" s="1"/>
  <c r="BC205" i="5"/>
  <c r="BD205" i="5" s="1"/>
  <c r="BC206" i="5"/>
  <c r="BD206" i="5" s="1"/>
  <c r="BC207" i="5"/>
  <c r="BD207" i="5" s="1"/>
  <c r="BC208" i="5"/>
  <c r="BD208" i="5" s="1"/>
  <c r="BC209" i="5"/>
  <c r="BD209" i="5" s="1"/>
  <c r="BC210" i="5"/>
  <c r="BD210" i="5" s="1"/>
  <c r="BC211" i="5"/>
  <c r="BD211" i="5" s="1"/>
  <c r="BC212" i="5"/>
  <c r="BD212" i="5" s="1"/>
  <c r="BC213" i="5"/>
  <c r="BD213" i="5" s="1"/>
  <c r="BC214" i="5"/>
  <c r="BD214" i="5" s="1"/>
  <c r="BC215" i="5"/>
  <c r="BD215" i="5" s="1"/>
  <c r="BC216" i="5"/>
  <c r="BD216" i="5" s="1"/>
  <c r="BC217" i="5"/>
  <c r="BD217" i="5" s="1"/>
  <c r="BC218" i="5"/>
  <c r="BD218" i="5" s="1"/>
  <c r="BC219" i="5"/>
  <c r="BD219" i="5" s="1"/>
  <c r="BC220" i="5"/>
  <c r="BD220" i="5" s="1"/>
  <c r="BC221" i="5"/>
  <c r="BD221" i="5" s="1"/>
  <c r="BC222" i="5"/>
  <c r="BD222" i="5" s="1"/>
  <c r="BC223" i="5"/>
  <c r="BD223" i="5" s="1"/>
  <c r="BC224" i="5"/>
  <c r="BD224" i="5" s="1"/>
  <c r="BC225" i="5"/>
  <c r="BD225" i="5" s="1"/>
  <c r="BC226" i="5"/>
  <c r="BD226" i="5" s="1"/>
  <c r="BC227" i="5"/>
  <c r="BD227" i="5" s="1"/>
  <c r="BC228" i="5"/>
  <c r="BD228" i="5" s="1"/>
  <c r="BC229" i="5"/>
  <c r="BD229" i="5" s="1"/>
  <c r="BC230" i="5"/>
  <c r="BD230" i="5" s="1"/>
  <c r="BC231" i="5"/>
  <c r="BD231" i="5" s="1"/>
  <c r="BC232" i="5"/>
  <c r="BD232" i="5" s="1"/>
  <c r="BC3" i="5"/>
  <c r="BD3" i="5" s="1"/>
  <c r="DQ33" i="5" l="1"/>
  <c r="DR33" i="5"/>
  <c r="DQ224" i="5"/>
  <c r="DR224" i="5"/>
  <c r="DQ194" i="5"/>
  <c r="DR194" i="5"/>
  <c r="DQ180" i="5"/>
  <c r="DR180" i="5"/>
  <c r="DQ150" i="5"/>
  <c r="DR150" i="5"/>
  <c r="DQ136" i="5"/>
  <c r="DR136" i="5"/>
  <c r="DQ106" i="5"/>
  <c r="DR106" i="5"/>
  <c r="DQ92" i="5"/>
  <c r="DR92" i="5"/>
  <c r="DQ76" i="5"/>
  <c r="DR76" i="5"/>
  <c r="DR62" i="5"/>
  <c r="DQ62" i="5"/>
  <c r="DQ18" i="5"/>
  <c r="DR18" i="5"/>
  <c r="DQ223" i="5"/>
  <c r="DR223" i="5"/>
  <c r="DQ209" i="5"/>
  <c r="DR209" i="5"/>
  <c r="DR193" i="5"/>
  <c r="DQ193" i="5"/>
  <c r="DR179" i="5"/>
  <c r="DQ179" i="5"/>
  <c r="DQ149" i="5"/>
  <c r="DR149" i="5"/>
  <c r="DQ135" i="5"/>
  <c r="DR135" i="5"/>
  <c r="DQ105" i="5"/>
  <c r="DR105" i="5"/>
  <c r="DQ91" i="5"/>
  <c r="DR91" i="5"/>
  <c r="DQ61" i="5"/>
  <c r="DR61" i="5"/>
  <c r="DQ17" i="5"/>
  <c r="DR17" i="5"/>
  <c r="DQ222" i="5"/>
  <c r="DR222" i="5"/>
  <c r="DQ208" i="5"/>
  <c r="DR208" i="5"/>
  <c r="DQ178" i="5"/>
  <c r="DR178" i="5"/>
  <c r="DQ164" i="5"/>
  <c r="DR164" i="5"/>
  <c r="DQ148" i="5"/>
  <c r="DR148" i="5"/>
  <c r="DR134" i="5"/>
  <c r="DQ134" i="5"/>
  <c r="DQ104" i="5"/>
  <c r="DR104" i="5"/>
  <c r="DQ90" i="5"/>
  <c r="DR90" i="5"/>
  <c r="DQ60" i="5"/>
  <c r="DR60" i="5"/>
  <c r="DQ46" i="5"/>
  <c r="DR46" i="5"/>
  <c r="DQ16" i="5"/>
  <c r="DR16" i="5"/>
  <c r="DR121" i="5"/>
  <c r="DQ121" i="5"/>
  <c r="DQ32" i="5"/>
  <c r="DR32" i="5"/>
  <c r="DQ47" i="5"/>
  <c r="DR47" i="5"/>
  <c r="DQ221" i="5"/>
  <c r="DR221" i="5"/>
  <c r="DQ207" i="5"/>
  <c r="DR207" i="5"/>
  <c r="DQ177" i="5"/>
  <c r="DR177" i="5"/>
  <c r="DQ163" i="5"/>
  <c r="DR163" i="5"/>
  <c r="DQ133" i="5"/>
  <c r="DR133" i="5"/>
  <c r="DQ119" i="5"/>
  <c r="DR119" i="5"/>
  <c r="DQ103" i="5"/>
  <c r="DR103" i="5"/>
  <c r="DR89" i="5"/>
  <c r="DQ89" i="5"/>
  <c r="DQ59" i="5"/>
  <c r="DR59" i="5"/>
  <c r="DQ45" i="5"/>
  <c r="DR45" i="5"/>
  <c r="DQ15" i="5"/>
  <c r="DR15" i="5"/>
  <c r="DQ31" i="5"/>
  <c r="DR31" i="5"/>
  <c r="DR220" i="5"/>
  <c r="DQ220" i="5"/>
  <c r="DQ206" i="5"/>
  <c r="DR206" i="5"/>
  <c r="DQ176" i="5"/>
  <c r="DR176" i="5"/>
  <c r="DQ162" i="5"/>
  <c r="DR162" i="5"/>
  <c r="DQ132" i="5"/>
  <c r="DR132" i="5"/>
  <c r="DQ118" i="5"/>
  <c r="DR118" i="5"/>
  <c r="DQ88" i="5"/>
  <c r="DR88" i="5"/>
  <c r="DQ74" i="5"/>
  <c r="DR74" i="5"/>
  <c r="DQ58" i="5"/>
  <c r="DR58" i="5"/>
  <c r="DR44" i="5"/>
  <c r="DQ44" i="5"/>
  <c r="DQ14" i="5"/>
  <c r="DR14" i="5"/>
  <c r="DQ77" i="5"/>
  <c r="DR77" i="5"/>
  <c r="DQ73" i="5"/>
  <c r="DR73" i="5"/>
  <c r="DQ203" i="5"/>
  <c r="DR203" i="5"/>
  <c r="DQ189" i="5"/>
  <c r="DR189" i="5"/>
  <c r="DQ159" i="5"/>
  <c r="DR159" i="5"/>
  <c r="DQ145" i="5"/>
  <c r="DR145" i="5"/>
  <c r="DQ115" i="5"/>
  <c r="DR115" i="5"/>
  <c r="DQ101" i="5"/>
  <c r="DR101" i="5"/>
  <c r="DQ85" i="5"/>
  <c r="DR85" i="5"/>
  <c r="DR71" i="5"/>
  <c r="DQ71" i="5"/>
  <c r="DQ41" i="5"/>
  <c r="DR41" i="5"/>
  <c r="DQ27" i="5"/>
  <c r="DR27" i="5"/>
  <c r="DR107" i="5"/>
  <c r="DQ107" i="5"/>
  <c r="DQ87" i="5"/>
  <c r="DR87" i="5"/>
  <c r="DQ42" i="5"/>
  <c r="DR42" i="5"/>
  <c r="DQ232" i="5"/>
  <c r="DR232" i="5"/>
  <c r="DQ218" i="5"/>
  <c r="DR218" i="5"/>
  <c r="DR202" i="5"/>
  <c r="DQ202" i="5"/>
  <c r="DQ188" i="5"/>
  <c r="DR188" i="5"/>
  <c r="DQ158" i="5"/>
  <c r="DR158" i="5"/>
  <c r="DQ144" i="5"/>
  <c r="DR144" i="5"/>
  <c r="DQ114" i="5"/>
  <c r="DR114" i="5"/>
  <c r="DQ100" i="5"/>
  <c r="DR100" i="5"/>
  <c r="DQ70" i="5"/>
  <c r="DR70" i="5"/>
  <c r="DQ56" i="5"/>
  <c r="DR56" i="5"/>
  <c r="DQ40" i="5"/>
  <c r="DR40" i="5"/>
  <c r="DR26" i="5"/>
  <c r="DQ26" i="5"/>
  <c r="DQ225" i="5"/>
  <c r="DR225" i="5"/>
  <c r="DQ137" i="5"/>
  <c r="DR137" i="5"/>
  <c r="DQ205" i="5"/>
  <c r="DR205" i="5"/>
  <c r="DQ161" i="5"/>
  <c r="DR161" i="5"/>
  <c r="DQ117" i="5"/>
  <c r="DR117" i="5"/>
  <c r="DQ43" i="5"/>
  <c r="DR43" i="5"/>
  <c r="DQ204" i="5"/>
  <c r="DR204" i="5"/>
  <c r="DQ190" i="5"/>
  <c r="DR190" i="5"/>
  <c r="DQ160" i="5"/>
  <c r="DR160" i="5"/>
  <c r="DQ146" i="5"/>
  <c r="DR146" i="5"/>
  <c r="DQ28" i="5"/>
  <c r="DR28" i="5"/>
  <c r="DQ231" i="5"/>
  <c r="DR231" i="5"/>
  <c r="DQ217" i="5"/>
  <c r="DR217" i="5"/>
  <c r="DQ187" i="5"/>
  <c r="DR187" i="5"/>
  <c r="DQ173" i="5"/>
  <c r="DR173" i="5"/>
  <c r="DQ157" i="5"/>
  <c r="DR157" i="5"/>
  <c r="DQ143" i="5"/>
  <c r="DR143" i="5"/>
  <c r="DQ113" i="5"/>
  <c r="DR113" i="5"/>
  <c r="DQ99" i="5"/>
  <c r="DR99" i="5"/>
  <c r="DQ69" i="5"/>
  <c r="DR69" i="5"/>
  <c r="DQ55" i="5"/>
  <c r="DR55" i="5"/>
  <c r="DQ25" i="5"/>
  <c r="DR25" i="5"/>
  <c r="DQ11" i="5"/>
  <c r="DR11" i="5"/>
  <c r="DQ230" i="5"/>
  <c r="DR230" i="5"/>
  <c r="DQ216" i="5"/>
  <c r="DR216" i="5"/>
  <c r="DQ186" i="5"/>
  <c r="DR186" i="5"/>
  <c r="DQ172" i="5"/>
  <c r="DR172" i="5"/>
  <c r="DQ142" i="5"/>
  <c r="DR142" i="5"/>
  <c r="DQ128" i="5"/>
  <c r="DR128" i="5"/>
  <c r="DQ112" i="5"/>
  <c r="DR112" i="5"/>
  <c r="DR98" i="5"/>
  <c r="DQ98" i="5"/>
  <c r="DQ68" i="5"/>
  <c r="DR68" i="5"/>
  <c r="DQ54" i="5"/>
  <c r="DR54" i="5"/>
  <c r="DQ24" i="5"/>
  <c r="DR24" i="5"/>
  <c r="DQ10" i="5"/>
  <c r="DR10" i="5"/>
  <c r="DQ19" i="5"/>
  <c r="DR19" i="5"/>
  <c r="DR116" i="5"/>
  <c r="DQ116" i="5"/>
  <c r="DR229" i="5"/>
  <c r="DQ229" i="5"/>
  <c r="DR215" i="5"/>
  <c r="DQ215" i="5"/>
  <c r="DQ185" i="5"/>
  <c r="DR185" i="5"/>
  <c r="DQ171" i="5"/>
  <c r="DR171" i="5"/>
  <c r="DQ141" i="5"/>
  <c r="DR141" i="5"/>
  <c r="DQ127" i="5"/>
  <c r="DR127" i="5"/>
  <c r="DQ97" i="5"/>
  <c r="DR97" i="5"/>
  <c r="DQ83" i="5"/>
  <c r="DR83" i="5"/>
  <c r="DQ67" i="5"/>
  <c r="DR67" i="5"/>
  <c r="DR53" i="5"/>
  <c r="DQ53" i="5"/>
  <c r="DQ23" i="5"/>
  <c r="DR23" i="5"/>
  <c r="DQ9" i="5"/>
  <c r="DR9" i="5"/>
  <c r="DQ63" i="5"/>
  <c r="DR63" i="5"/>
  <c r="DQ130" i="5"/>
  <c r="DR130" i="5"/>
  <c r="DQ214" i="5"/>
  <c r="DR214" i="5"/>
  <c r="DQ200" i="5"/>
  <c r="DR200" i="5"/>
  <c r="DR184" i="5"/>
  <c r="DQ184" i="5"/>
  <c r="DR170" i="5"/>
  <c r="DQ170" i="5"/>
  <c r="DQ140" i="5"/>
  <c r="DR140" i="5"/>
  <c r="DQ96" i="5"/>
  <c r="DR96" i="5"/>
  <c r="DQ82" i="5"/>
  <c r="DR82" i="5"/>
  <c r="DQ52" i="5"/>
  <c r="DR52" i="5"/>
  <c r="DQ38" i="5"/>
  <c r="DR38" i="5"/>
  <c r="DQ22" i="5"/>
  <c r="DR22" i="5"/>
  <c r="DR8" i="5"/>
  <c r="DQ8" i="5"/>
  <c r="DQ191" i="5"/>
  <c r="DR191" i="5"/>
  <c r="DQ29" i="5"/>
  <c r="DR29" i="5"/>
  <c r="DQ126" i="5"/>
  <c r="DR126" i="5"/>
  <c r="DQ213" i="5"/>
  <c r="DR213" i="5"/>
  <c r="DQ199" i="5"/>
  <c r="DR199" i="5"/>
  <c r="DQ169" i="5"/>
  <c r="DR169" i="5"/>
  <c r="DQ155" i="5"/>
  <c r="DR155" i="5"/>
  <c r="DQ139" i="5"/>
  <c r="DR139" i="5"/>
  <c r="DQ125" i="5"/>
  <c r="DR125" i="5"/>
  <c r="DQ95" i="5"/>
  <c r="DR95" i="5"/>
  <c r="DQ81" i="5"/>
  <c r="DR81" i="5"/>
  <c r="DQ51" i="5"/>
  <c r="DR51" i="5"/>
  <c r="DQ37" i="5"/>
  <c r="DR37" i="5"/>
  <c r="DQ7" i="5"/>
  <c r="DR7" i="5"/>
  <c r="DQ195" i="5"/>
  <c r="DR195" i="5"/>
  <c r="DQ151" i="5"/>
  <c r="DR151" i="5"/>
  <c r="DR175" i="5"/>
  <c r="DQ175" i="5"/>
  <c r="DQ131" i="5"/>
  <c r="DR131" i="5"/>
  <c r="DQ13" i="5"/>
  <c r="DR13" i="5"/>
  <c r="DQ72" i="5"/>
  <c r="DR72" i="5"/>
  <c r="DQ212" i="5"/>
  <c r="DR212" i="5"/>
  <c r="DQ198" i="5"/>
  <c r="DR198" i="5"/>
  <c r="DQ168" i="5"/>
  <c r="DR168" i="5"/>
  <c r="DQ154" i="5"/>
  <c r="DR154" i="5"/>
  <c r="DQ124" i="5"/>
  <c r="DR124" i="5"/>
  <c r="DQ110" i="5"/>
  <c r="DR110" i="5"/>
  <c r="DQ94" i="5"/>
  <c r="DR94" i="5"/>
  <c r="DR80" i="5"/>
  <c r="DQ80" i="5"/>
  <c r="DQ50" i="5"/>
  <c r="DR50" i="5"/>
  <c r="DQ36" i="5"/>
  <c r="DR36" i="5"/>
  <c r="DQ181" i="5"/>
  <c r="DR181" i="5"/>
  <c r="DQ86" i="5"/>
  <c r="DR86" i="5"/>
  <c r="DQ6" i="5"/>
  <c r="DR6" i="5"/>
  <c r="DQ227" i="5"/>
  <c r="DR227" i="5"/>
  <c r="DR211" i="5"/>
  <c r="DQ211" i="5"/>
  <c r="DR197" i="5"/>
  <c r="DQ197" i="5"/>
  <c r="DQ167" i="5"/>
  <c r="DR167" i="5"/>
  <c r="DQ153" i="5"/>
  <c r="DR153" i="5"/>
  <c r="DQ123" i="5"/>
  <c r="DR123" i="5"/>
  <c r="DQ109" i="5"/>
  <c r="DR109" i="5"/>
  <c r="DQ79" i="5"/>
  <c r="DR79" i="5"/>
  <c r="DQ65" i="5"/>
  <c r="DR65" i="5"/>
  <c r="DQ49" i="5"/>
  <c r="DR49" i="5"/>
  <c r="DR35" i="5"/>
  <c r="DQ35" i="5"/>
  <c r="DQ5" i="5"/>
  <c r="DR5" i="5"/>
  <c r="DQ226" i="5"/>
  <c r="DR226" i="5"/>
  <c r="DQ196" i="5"/>
  <c r="DR196" i="5"/>
  <c r="DQ182" i="5"/>
  <c r="DR182" i="5"/>
  <c r="DR166" i="5"/>
  <c r="DQ166" i="5"/>
  <c r="DR152" i="5"/>
  <c r="DQ152" i="5"/>
  <c r="DQ122" i="5"/>
  <c r="DR122" i="5"/>
  <c r="DQ108" i="5"/>
  <c r="DR108" i="5"/>
  <c r="DQ78" i="5"/>
  <c r="DR78" i="5"/>
  <c r="DQ64" i="5"/>
  <c r="DR64" i="5"/>
  <c r="DQ34" i="5"/>
  <c r="DR34" i="5"/>
  <c r="DQ20" i="5"/>
  <c r="DR20" i="5"/>
  <c r="DQ4" i="5"/>
  <c r="DR4" i="5"/>
  <c r="DR3" i="5"/>
  <c r="DQ3" i="5"/>
  <c r="DM16" i="5"/>
  <c r="DN16" i="5"/>
  <c r="DM229" i="5"/>
  <c r="DN229" i="5"/>
  <c r="DM211" i="5"/>
  <c r="DN211" i="5"/>
  <c r="DM197" i="5"/>
  <c r="DN197" i="5"/>
  <c r="DM181" i="5"/>
  <c r="DN181" i="5"/>
  <c r="DM165" i="5"/>
  <c r="DN165" i="5"/>
  <c r="DM149" i="5"/>
  <c r="DN149" i="5"/>
  <c r="DN133" i="5"/>
  <c r="DM133" i="5"/>
  <c r="DM119" i="5"/>
  <c r="DN119" i="5"/>
  <c r="DM103" i="5"/>
  <c r="DN103" i="5"/>
  <c r="DM89" i="5"/>
  <c r="DN89" i="5"/>
  <c r="DM59" i="5"/>
  <c r="DN59" i="5"/>
  <c r="DM45" i="5"/>
  <c r="DN45" i="5"/>
  <c r="DM15" i="5"/>
  <c r="DN15" i="5"/>
  <c r="DM91" i="5"/>
  <c r="DN91" i="5"/>
  <c r="DM228" i="5"/>
  <c r="DN228" i="5"/>
  <c r="DM196" i="5"/>
  <c r="DN196" i="5"/>
  <c r="DM180" i="5"/>
  <c r="DN180" i="5"/>
  <c r="DM164" i="5"/>
  <c r="DN164" i="5"/>
  <c r="DM148" i="5"/>
  <c r="DN148" i="5"/>
  <c r="DM132" i="5"/>
  <c r="DN132" i="5"/>
  <c r="DM118" i="5"/>
  <c r="DN118" i="5"/>
  <c r="DN88" i="5"/>
  <c r="DM88" i="5"/>
  <c r="DM74" i="5"/>
  <c r="DN74" i="5"/>
  <c r="DM58" i="5"/>
  <c r="DN58" i="5"/>
  <c r="DM44" i="5"/>
  <c r="DN44" i="5"/>
  <c r="DM14" i="5"/>
  <c r="DN14" i="5"/>
  <c r="DM166" i="5"/>
  <c r="DN166" i="5"/>
  <c r="DM227" i="5"/>
  <c r="DN227" i="5"/>
  <c r="DM195" i="5"/>
  <c r="DN195" i="5"/>
  <c r="DN179" i="5"/>
  <c r="DM179" i="5"/>
  <c r="DM163" i="5"/>
  <c r="DN163" i="5"/>
  <c r="DM147" i="5"/>
  <c r="DN147" i="5"/>
  <c r="DM131" i="5"/>
  <c r="DN131" i="5"/>
  <c r="DM117" i="5"/>
  <c r="DN117" i="5"/>
  <c r="DM87" i="5"/>
  <c r="DN87" i="5"/>
  <c r="DM73" i="5"/>
  <c r="DN73" i="5"/>
  <c r="DN43" i="5"/>
  <c r="DM43" i="5"/>
  <c r="DM29" i="5"/>
  <c r="DN29" i="5"/>
  <c r="DM13" i="5"/>
  <c r="DN13" i="5"/>
  <c r="DM107" i="5"/>
  <c r="DN107" i="5"/>
  <c r="DM213" i="5"/>
  <c r="DN213" i="5"/>
  <c r="DM150" i="5"/>
  <c r="DN150" i="5"/>
  <c r="DM194" i="5"/>
  <c r="DN194" i="5"/>
  <c r="DM178" i="5"/>
  <c r="DN178" i="5"/>
  <c r="DM162" i="5"/>
  <c r="DN162" i="5"/>
  <c r="DM146" i="5"/>
  <c r="DN146" i="5"/>
  <c r="DM130" i="5"/>
  <c r="DN130" i="5"/>
  <c r="DN116" i="5"/>
  <c r="DM116" i="5"/>
  <c r="DM86" i="5"/>
  <c r="DN86" i="5"/>
  <c r="DM72" i="5"/>
  <c r="DN72" i="5"/>
  <c r="DM42" i="5"/>
  <c r="DN42" i="5"/>
  <c r="DM28" i="5"/>
  <c r="DN28" i="5"/>
  <c r="DM63" i="5"/>
  <c r="DN63" i="5"/>
  <c r="DM168" i="5"/>
  <c r="DN168" i="5"/>
  <c r="DM46" i="5"/>
  <c r="DN46" i="5"/>
  <c r="DM226" i="5"/>
  <c r="DN226" i="5"/>
  <c r="DM225" i="5"/>
  <c r="DN225" i="5"/>
  <c r="DM209" i="5"/>
  <c r="DN209" i="5"/>
  <c r="DM193" i="5"/>
  <c r="DN193" i="5"/>
  <c r="DM177" i="5"/>
  <c r="DN177" i="5"/>
  <c r="DN161" i="5"/>
  <c r="DM161" i="5"/>
  <c r="DM145" i="5"/>
  <c r="DN145" i="5"/>
  <c r="DN115" i="5"/>
  <c r="DM115" i="5"/>
  <c r="DM101" i="5"/>
  <c r="DN101" i="5"/>
  <c r="DM85" i="5"/>
  <c r="DN85" i="5"/>
  <c r="DM71" i="5"/>
  <c r="DN71" i="5"/>
  <c r="DM41" i="5"/>
  <c r="DN41" i="5"/>
  <c r="DM27" i="5"/>
  <c r="DN27" i="5"/>
  <c r="DM214" i="5"/>
  <c r="DN214" i="5"/>
  <c r="DN62" i="5"/>
  <c r="DM62" i="5"/>
  <c r="DN61" i="5"/>
  <c r="DM61" i="5"/>
  <c r="DM60" i="5"/>
  <c r="DN60" i="5"/>
  <c r="DM224" i="5"/>
  <c r="DN224" i="5"/>
  <c r="DM208" i="5"/>
  <c r="DN208" i="5"/>
  <c r="DM176" i="5"/>
  <c r="DN176" i="5"/>
  <c r="DN160" i="5"/>
  <c r="DM160" i="5"/>
  <c r="DM144" i="5"/>
  <c r="DN144" i="5"/>
  <c r="DM114" i="5"/>
  <c r="DN114" i="5"/>
  <c r="DM100" i="5"/>
  <c r="DN100" i="5"/>
  <c r="DN70" i="5"/>
  <c r="DM70" i="5"/>
  <c r="DM56" i="5"/>
  <c r="DN56" i="5"/>
  <c r="DM40" i="5"/>
  <c r="DN40" i="5"/>
  <c r="DM26" i="5"/>
  <c r="DN26" i="5"/>
  <c r="DM182" i="5"/>
  <c r="DN182" i="5"/>
  <c r="DN223" i="5"/>
  <c r="DM223" i="5"/>
  <c r="DM207" i="5"/>
  <c r="DN207" i="5"/>
  <c r="DM175" i="5"/>
  <c r="DN175" i="5"/>
  <c r="DM159" i="5"/>
  <c r="DN159" i="5"/>
  <c r="DN143" i="5"/>
  <c r="DM143" i="5"/>
  <c r="DM113" i="5"/>
  <c r="DN113" i="5"/>
  <c r="DM99" i="5"/>
  <c r="DN99" i="5"/>
  <c r="DM69" i="5"/>
  <c r="DN69" i="5"/>
  <c r="DM55" i="5"/>
  <c r="DN55" i="5"/>
  <c r="DN25" i="5"/>
  <c r="DM25" i="5"/>
  <c r="DM11" i="5"/>
  <c r="DN11" i="5"/>
  <c r="DM198" i="5"/>
  <c r="DN198" i="5"/>
  <c r="DM222" i="5"/>
  <c r="DN222" i="5"/>
  <c r="DM206" i="5"/>
  <c r="DN206" i="5"/>
  <c r="DM158" i="5"/>
  <c r="DN158" i="5"/>
  <c r="DN142" i="5"/>
  <c r="DM142" i="5"/>
  <c r="DM128" i="5"/>
  <c r="DN128" i="5"/>
  <c r="DN98" i="5"/>
  <c r="DM98" i="5"/>
  <c r="DM54" i="5"/>
  <c r="DN54" i="5"/>
  <c r="DM24" i="5"/>
  <c r="DN24" i="5"/>
  <c r="DM10" i="5"/>
  <c r="DN10" i="5"/>
  <c r="DN215" i="5"/>
  <c r="DM215" i="5"/>
  <c r="DM77" i="5"/>
  <c r="DN77" i="5"/>
  <c r="DM200" i="5"/>
  <c r="DN200" i="5"/>
  <c r="DN152" i="5"/>
  <c r="DM152" i="5"/>
  <c r="DN106" i="5"/>
  <c r="DM106" i="5"/>
  <c r="DM32" i="5"/>
  <c r="DN32" i="5"/>
  <c r="DM47" i="5"/>
  <c r="DN47" i="5"/>
  <c r="DM230" i="5"/>
  <c r="DN230" i="5"/>
  <c r="DM112" i="5"/>
  <c r="DN112" i="5"/>
  <c r="DM221" i="5"/>
  <c r="DN221" i="5"/>
  <c r="DN205" i="5"/>
  <c r="DM205" i="5"/>
  <c r="DM191" i="5"/>
  <c r="DN191" i="5"/>
  <c r="DM157" i="5"/>
  <c r="DN157" i="5"/>
  <c r="DM141" i="5"/>
  <c r="DN141" i="5"/>
  <c r="DM127" i="5"/>
  <c r="DN127" i="5"/>
  <c r="DN97" i="5"/>
  <c r="DM97" i="5"/>
  <c r="DM83" i="5"/>
  <c r="DN83" i="5"/>
  <c r="DM67" i="5"/>
  <c r="DN67" i="5"/>
  <c r="DN53" i="5"/>
  <c r="DM53" i="5"/>
  <c r="DM23" i="5"/>
  <c r="DN23" i="5"/>
  <c r="DM9" i="5"/>
  <c r="DN9" i="5"/>
  <c r="DM185" i="5"/>
  <c r="DN185" i="5"/>
  <c r="DM153" i="5"/>
  <c r="DN153" i="5"/>
  <c r="DM19" i="5"/>
  <c r="DN19" i="5"/>
  <c r="DN232" i="5"/>
  <c r="DM232" i="5"/>
  <c r="DM184" i="5"/>
  <c r="DN184" i="5"/>
  <c r="DM136" i="5"/>
  <c r="DN136" i="5"/>
  <c r="DM92" i="5"/>
  <c r="DN92" i="5"/>
  <c r="DM18" i="5"/>
  <c r="DN18" i="5"/>
  <c r="DM199" i="5"/>
  <c r="DN199" i="5"/>
  <c r="DN151" i="5"/>
  <c r="DM151" i="5"/>
  <c r="DM31" i="5"/>
  <c r="DN31" i="5"/>
  <c r="DM90" i="5"/>
  <c r="DN90" i="5"/>
  <c r="DM68" i="5"/>
  <c r="DN68" i="5"/>
  <c r="DM220" i="5"/>
  <c r="DN220" i="5"/>
  <c r="DM204" i="5"/>
  <c r="DN204" i="5"/>
  <c r="DM190" i="5"/>
  <c r="DN190" i="5"/>
  <c r="DM140" i="5"/>
  <c r="DN140" i="5"/>
  <c r="DM126" i="5"/>
  <c r="DN126" i="5"/>
  <c r="DM96" i="5"/>
  <c r="DN96" i="5"/>
  <c r="DM82" i="5"/>
  <c r="DN82" i="5"/>
  <c r="DN52" i="5"/>
  <c r="DM52" i="5"/>
  <c r="DM38" i="5"/>
  <c r="DN38" i="5"/>
  <c r="DM22" i="5"/>
  <c r="DN22" i="5"/>
  <c r="DN8" i="5"/>
  <c r="DM8" i="5"/>
  <c r="DM121" i="5"/>
  <c r="DN121" i="5"/>
  <c r="DM135" i="5"/>
  <c r="DN135" i="5"/>
  <c r="DN134" i="5"/>
  <c r="DM134" i="5"/>
  <c r="DM219" i="5"/>
  <c r="DN219" i="5"/>
  <c r="DM203" i="5"/>
  <c r="DN203" i="5"/>
  <c r="DM189" i="5"/>
  <c r="DN189" i="5"/>
  <c r="DM173" i="5"/>
  <c r="DN173" i="5"/>
  <c r="DM139" i="5"/>
  <c r="DN139" i="5"/>
  <c r="DM125" i="5"/>
  <c r="DN125" i="5"/>
  <c r="DM95" i="5"/>
  <c r="DN95" i="5"/>
  <c r="DM81" i="5"/>
  <c r="DN81" i="5"/>
  <c r="DM51" i="5"/>
  <c r="DN51" i="5"/>
  <c r="DM37" i="5"/>
  <c r="DN37" i="5"/>
  <c r="DN7" i="5"/>
  <c r="DM7" i="5"/>
  <c r="DM212" i="5"/>
  <c r="DN212" i="5"/>
  <c r="DM36" i="5"/>
  <c r="DN36" i="5"/>
  <c r="DM169" i="5"/>
  <c r="DN169" i="5"/>
  <c r="DM137" i="5"/>
  <c r="DN137" i="5"/>
  <c r="DM33" i="5"/>
  <c r="DN33" i="5"/>
  <c r="DM231" i="5"/>
  <c r="DN231" i="5"/>
  <c r="DM183" i="5"/>
  <c r="DN183" i="5"/>
  <c r="DM167" i="5"/>
  <c r="DN167" i="5"/>
  <c r="DN17" i="5"/>
  <c r="DM17" i="5"/>
  <c r="DM104" i="5"/>
  <c r="DN104" i="5"/>
  <c r="DM218" i="5"/>
  <c r="DN218" i="5"/>
  <c r="DM202" i="5"/>
  <c r="DN202" i="5"/>
  <c r="DN188" i="5"/>
  <c r="DM188" i="5"/>
  <c r="DM172" i="5"/>
  <c r="DN172" i="5"/>
  <c r="DN124" i="5"/>
  <c r="DM124" i="5"/>
  <c r="DM110" i="5"/>
  <c r="DN110" i="5"/>
  <c r="DM94" i="5"/>
  <c r="DN94" i="5"/>
  <c r="DN80" i="5"/>
  <c r="DM80" i="5"/>
  <c r="DM50" i="5"/>
  <c r="DN50" i="5"/>
  <c r="DM6" i="5"/>
  <c r="DN6" i="5"/>
  <c r="DM217" i="5"/>
  <c r="DN217" i="5"/>
  <c r="DN187" i="5"/>
  <c r="DM187" i="5"/>
  <c r="DM171" i="5"/>
  <c r="DN171" i="5"/>
  <c r="DM155" i="5"/>
  <c r="DN155" i="5"/>
  <c r="DM123" i="5"/>
  <c r="DN123" i="5"/>
  <c r="DM109" i="5"/>
  <c r="DN109" i="5"/>
  <c r="DN79" i="5"/>
  <c r="DM79" i="5"/>
  <c r="DM65" i="5"/>
  <c r="DN65" i="5"/>
  <c r="DM49" i="5"/>
  <c r="DN49" i="5"/>
  <c r="DN35" i="5"/>
  <c r="DM35" i="5"/>
  <c r="DM5" i="5"/>
  <c r="DN5" i="5"/>
  <c r="DM76" i="5"/>
  <c r="DN76" i="5"/>
  <c r="DM105" i="5"/>
  <c r="DN105" i="5"/>
  <c r="DM216" i="5"/>
  <c r="DN216" i="5"/>
  <c r="DM186" i="5"/>
  <c r="DN186" i="5"/>
  <c r="DN170" i="5"/>
  <c r="DM170" i="5"/>
  <c r="DM154" i="5"/>
  <c r="DN154" i="5"/>
  <c r="DM122" i="5"/>
  <c r="DN122" i="5"/>
  <c r="DM108" i="5"/>
  <c r="DN108" i="5"/>
  <c r="DM78" i="5"/>
  <c r="DN78" i="5"/>
  <c r="DM64" i="5"/>
  <c r="DN64" i="5"/>
  <c r="DN34" i="5"/>
  <c r="DM34" i="5"/>
  <c r="DM20" i="5"/>
  <c r="DN20" i="5"/>
  <c r="DM4" i="5"/>
  <c r="DN4" i="5"/>
  <c r="DN3" i="5"/>
  <c r="DM3" i="5"/>
  <c r="DI222" i="5"/>
  <c r="DJ222" i="5"/>
  <c r="DI207" i="5"/>
  <c r="DJ207" i="5"/>
  <c r="DI185" i="5"/>
  <c r="DJ185" i="5"/>
  <c r="DI175" i="5"/>
  <c r="DJ175" i="5"/>
  <c r="DJ155" i="5"/>
  <c r="DI155" i="5"/>
  <c r="DI145" i="5"/>
  <c r="DJ145" i="5"/>
  <c r="DI135" i="5"/>
  <c r="DJ135" i="5"/>
  <c r="DI96" i="5"/>
  <c r="DJ96" i="5"/>
  <c r="DI73" i="5"/>
  <c r="DJ73" i="5"/>
  <c r="DI50" i="5"/>
  <c r="DJ50" i="5"/>
  <c r="DI94" i="5"/>
  <c r="DJ94" i="5"/>
  <c r="DJ232" i="5"/>
  <c r="DI232" i="5"/>
  <c r="DI217" i="5"/>
  <c r="DJ217" i="5"/>
  <c r="DI202" i="5"/>
  <c r="DJ202" i="5"/>
  <c r="DI113" i="5"/>
  <c r="DJ113" i="5"/>
  <c r="DI81" i="5"/>
  <c r="DJ81" i="5"/>
  <c r="DI58" i="5"/>
  <c r="DJ58" i="5"/>
  <c r="DJ47" i="5"/>
  <c r="DI47" i="5"/>
  <c r="DI24" i="5"/>
  <c r="DJ24" i="5"/>
  <c r="DJ206" i="5"/>
  <c r="DI206" i="5"/>
  <c r="DJ38" i="5"/>
  <c r="DI38" i="5"/>
  <c r="DI205" i="5"/>
  <c r="DJ205" i="5"/>
  <c r="DI194" i="5"/>
  <c r="DJ194" i="5"/>
  <c r="DI218" i="5"/>
  <c r="DJ218" i="5"/>
  <c r="DI193" i="5"/>
  <c r="DJ193" i="5"/>
  <c r="DI171" i="5"/>
  <c r="DJ171" i="5"/>
  <c r="DI114" i="5"/>
  <c r="DJ114" i="5"/>
  <c r="DI103" i="5"/>
  <c r="DJ103" i="5"/>
  <c r="DI82" i="5"/>
  <c r="DJ82" i="5"/>
  <c r="DI231" i="5"/>
  <c r="DJ231" i="5"/>
  <c r="DI216" i="5"/>
  <c r="DJ216" i="5"/>
  <c r="DJ182" i="5"/>
  <c r="DI182" i="5"/>
  <c r="DI123" i="5"/>
  <c r="DJ123" i="5"/>
  <c r="DI112" i="5"/>
  <c r="DJ112" i="5"/>
  <c r="DI46" i="5"/>
  <c r="DJ46" i="5"/>
  <c r="DI23" i="5"/>
  <c r="DJ23" i="5"/>
  <c r="DI72" i="5"/>
  <c r="DJ72" i="5"/>
  <c r="DI59" i="5"/>
  <c r="DJ59" i="5"/>
  <c r="DI230" i="5"/>
  <c r="DJ230" i="5"/>
  <c r="DJ215" i="5"/>
  <c r="DI215" i="5"/>
  <c r="DI181" i="5"/>
  <c r="DJ181" i="5"/>
  <c r="DI122" i="5"/>
  <c r="DJ122" i="5"/>
  <c r="DJ92" i="5"/>
  <c r="DI92" i="5"/>
  <c r="DI69" i="5"/>
  <c r="DJ69" i="5"/>
  <c r="DI45" i="5"/>
  <c r="DJ45" i="5"/>
  <c r="DI22" i="5"/>
  <c r="DJ22" i="5"/>
  <c r="DJ11" i="5"/>
  <c r="DI11" i="5"/>
  <c r="DI184" i="5"/>
  <c r="DJ184" i="5"/>
  <c r="DI49" i="5"/>
  <c r="DJ49" i="5"/>
  <c r="DI220" i="5"/>
  <c r="DJ220" i="5"/>
  <c r="DI37" i="5"/>
  <c r="DJ37" i="5"/>
  <c r="DI219" i="5"/>
  <c r="DJ219" i="5"/>
  <c r="DI162" i="5"/>
  <c r="DJ162" i="5"/>
  <c r="DI13" i="5"/>
  <c r="DJ13" i="5"/>
  <c r="DI203" i="5"/>
  <c r="DJ203" i="5"/>
  <c r="DI229" i="5"/>
  <c r="DJ229" i="5"/>
  <c r="DI214" i="5"/>
  <c r="DJ214" i="5"/>
  <c r="DI180" i="5"/>
  <c r="DJ180" i="5"/>
  <c r="DI132" i="5"/>
  <c r="DJ132" i="5"/>
  <c r="DI121" i="5"/>
  <c r="DJ121" i="5"/>
  <c r="DI91" i="5"/>
  <c r="DJ91" i="5"/>
  <c r="DI68" i="5"/>
  <c r="DJ68" i="5"/>
  <c r="DI10" i="5"/>
  <c r="DJ10" i="5"/>
  <c r="DI221" i="5"/>
  <c r="DJ221" i="5"/>
  <c r="DJ164" i="5"/>
  <c r="DI164" i="5"/>
  <c r="DI15" i="5"/>
  <c r="DJ15" i="5"/>
  <c r="DI195" i="5"/>
  <c r="DJ195" i="5"/>
  <c r="DJ173" i="5"/>
  <c r="DI173" i="5"/>
  <c r="DI153" i="5"/>
  <c r="DJ153" i="5"/>
  <c r="DI14" i="5"/>
  <c r="DJ14" i="5"/>
  <c r="DI204" i="5"/>
  <c r="DJ204" i="5"/>
  <c r="DI172" i="5"/>
  <c r="DJ172" i="5"/>
  <c r="DI60" i="5"/>
  <c r="DJ60" i="5"/>
  <c r="DJ228" i="5"/>
  <c r="DI228" i="5"/>
  <c r="DI213" i="5"/>
  <c r="DJ213" i="5"/>
  <c r="DI191" i="5"/>
  <c r="DJ191" i="5"/>
  <c r="DI141" i="5"/>
  <c r="DJ141" i="5"/>
  <c r="DI131" i="5"/>
  <c r="DJ131" i="5"/>
  <c r="DJ101" i="5"/>
  <c r="DI101" i="5"/>
  <c r="DI90" i="5"/>
  <c r="DJ90" i="5"/>
  <c r="DI67" i="5"/>
  <c r="DJ67" i="5"/>
  <c r="DJ56" i="5"/>
  <c r="DI56" i="5"/>
  <c r="DI33" i="5"/>
  <c r="DJ33" i="5"/>
  <c r="DI9" i="5"/>
  <c r="DJ9" i="5"/>
  <c r="DI95" i="5"/>
  <c r="DJ95" i="5"/>
  <c r="DJ227" i="5"/>
  <c r="DI227" i="5"/>
  <c r="DI212" i="5"/>
  <c r="DJ212" i="5"/>
  <c r="DJ200" i="5"/>
  <c r="DI200" i="5"/>
  <c r="DI190" i="5"/>
  <c r="DJ190" i="5"/>
  <c r="DI150" i="5"/>
  <c r="DJ150" i="5"/>
  <c r="DI140" i="5"/>
  <c r="DJ140" i="5"/>
  <c r="DI130" i="5"/>
  <c r="DJ130" i="5"/>
  <c r="DI100" i="5"/>
  <c r="DJ100" i="5"/>
  <c r="DI55" i="5"/>
  <c r="DJ55" i="5"/>
  <c r="DI32" i="5"/>
  <c r="DJ32" i="5"/>
  <c r="DI226" i="5"/>
  <c r="DJ226" i="5"/>
  <c r="DI211" i="5"/>
  <c r="DJ211" i="5"/>
  <c r="DI199" i="5"/>
  <c r="DJ199" i="5"/>
  <c r="DI189" i="5"/>
  <c r="DJ189" i="5"/>
  <c r="DI159" i="5"/>
  <c r="DJ159" i="5"/>
  <c r="DI149" i="5"/>
  <c r="DJ149" i="5"/>
  <c r="DI139" i="5"/>
  <c r="DJ139" i="5"/>
  <c r="DJ110" i="5"/>
  <c r="DI110" i="5"/>
  <c r="DI99" i="5"/>
  <c r="DJ99" i="5"/>
  <c r="DI78" i="5"/>
  <c r="DJ78" i="5"/>
  <c r="DI54" i="5"/>
  <c r="DJ54" i="5"/>
  <c r="DI31" i="5"/>
  <c r="DJ31" i="5"/>
  <c r="DJ20" i="5"/>
  <c r="DI20" i="5"/>
  <c r="DI225" i="5"/>
  <c r="DJ225" i="5"/>
  <c r="DI198" i="5"/>
  <c r="DJ198" i="5"/>
  <c r="DJ188" i="5"/>
  <c r="DI188" i="5"/>
  <c r="DI168" i="5"/>
  <c r="DJ168" i="5"/>
  <c r="DI158" i="5"/>
  <c r="DJ158" i="5"/>
  <c r="DI148" i="5"/>
  <c r="DJ148" i="5"/>
  <c r="DI109" i="5"/>
  <c r="DJ109" i="5"/>
  <c r="DI77" i="5"/>
  <c r="DJ77" i="5"/>
  <c r="DI19" i="5"/>
  <c r="DJ19" i="5"/>
  <c r="DJ224" i="5"/>
  <c r="DI224" i="5"/>
  <c r="DI157" i="5"/>
  <c r="DJ157" i="5"/>
  <c r="DJ119" i="5"/>
  <c r="DI119" i="5"/>
  <c r="DI108" i="5"/>
  <c r="DJ108" i="5"/>
  <c r="DI76" i="5"/>
  <c r="DJ76" i="5"/>
  <c r="DJ65" i="5"/>
  <c r="DI65" i="5"/>
  <c r="DI42" i="5"/>
  <c r="DJ42" i="5"/>
  <c r="DI18" i="5"/>
  <c r="DJ18" i="5"/>
  <c r="DI105" i="5"/>
  <c r="DJ105" i="5"/>
  <c r="DJ83" i="5"/>
  <c r="DI83" i="5"/>
  <c r="DI167" i="5"/>
  <c r="DJ167" i="5"/>
  <c r="DI166" i="5"/>
  <c r="DJ166" i="5"/>
  <c r="DI118" i="5"/>
  <c r="DJ118" i="5"/>
  <c r="DI64" i="5"/>
  <c r="DJ64" i="5"/>
  <c r="DI41" i="5"/>
  <c r="DJ41" i="5"/>
  <c r="DI36" i="5"/>
  <c r="DJ36" i="5"/>
  <c r="DJ128" i="5"/>
  <c r="DI128" i="5"/>
  <c r="DI117" i="5"/>
  <c r="DJ117" i="5"/>
  <c r="DI87" i="5"/>
  <c r="DJ87" i="5"/>
  <c r="DI63" i="5"/>
  <c r="DJ63" i="5"/>
  <c r="DI40" i="5"/>
  <c r="DJ40" i="5"/>
  <c r="DJ29" i="5"/>
  <c r="DI29" i="5"/>
  <c r="DI6" i="5"/>
  <c r="DJ6" i="5"/>
  <c r="DI104" i="5"/>
  <c r="DJ104" i="5"/>
  <c r="DI209" i="5"/>
  <c r="DJ209" i="5"/>
  <c r="DI177" i="5"/>
  <c r="DJ177" i="5"/>
  <c r="DJ137" i="5"/>
  <c r="DI137" i="5"/>
  <c r="DI127" i="5"/>
  <c r="DJ127" i="5"/>
  <c r="DI86" i="5"/>
  <c r="DJ86" i="5"/>
  <c r="DI28" i="5"/>
  <c r="DJ28" i="5"/>
  <c r="DI5" i="5"/>
  <c r="DJ5" i="5"/>
  <c r="DJ174" i="5"/>
  <c r="DI174" i="5"/>
  <c r="DI154" i="5"/>
  <c r="DJ154" i="5"/>
  <c r="DI144" i="5"/>
  <c r="DJ144" i="5"/>
  <c r="DI163" i="5"/>
  <c r="DJ163" i="5"/>
  <c r="DI208" i="5"/>
  <c r="DJ208" i="5"/>
  <c r="DI186" i="5"/>
  <c r="DJ186" i="5"/>
  <c r="DI176" i="5"/>
  <c r="DJ176" i="5"/>
  <c r="DJ146" i="5"/>
  <c r="DI146" i="5"/>
  <c r="DI136" i="5"/>
  <c r="DJ136" i="5"/>
  <c r="DI126" i="5"/>
  <c r="DJ126" i="5"/>
  <c r="DI85" i="5"/>
  <c r="DJ85" i="5"/>
  <c r="DJ74" i="5"/>
  <c r="DI74" i="5"/>
  <c r="DI51" i="5"/>
  <c r="DJ51" i="5"/>
  <c r="DI27" i="5"/>
  <c r="DJ27" i="5"/>
  <c r="DI4" i="5"/>
  <c r="DJ4" i="5"/>
  <c r="DJ89" i="5"/>
  <c r="DJ80" i="5"/>
  <c r="DJ71" i="5"/>
  <c r="DJ62" i="5"/>
  <c r="DJ53" i="5"/>
  <c r="DJ44" i="5"/>
  <c r="DJ35" i="5"/>
  <c r="DJ26" i="5"/>
  <c r="DJ17" i="5"/>
  <c r="DJ8" i="5"/>
  <c r="DI3" i="5"/>
  <c r="DJ3" i="5"/>
  <c r="DE230" i="5"/>
  <c r="DF230" i="5"/>
  <c r="DE118" i="5"/>
  <c r="DF118" i="5"/>
  <c r="DE166" i="5"/>
  <c r="DF166" i="5"/>
  <c r="DE154" i="5"/>
  <c r="DF154" i="5"/>
  <c r="DE142" i="5"/>
  <c r="DF142" i="5"/>
  <c r="DE117" i="5"/>
  <c r="DF117" i="5"/>
  <c r="DE104" i="5"/>
  <c r="DF104" i="5"/>
  <c r="DE60" i="5"/>
  <c r="DF60" i="5"/>
  <c r="DE45" i="5"/>
  <c r="DF45" i="5"/>
  <c r="DF30" i="5"/>
  <c r="DE30" i="5"/>
  <c r="DE16" i="5"/>
  <c r="DF16" i="5"/>
  <c r="DE76" i="5"/>
  <c r="DF76" i="5"/>
  <c r="DE46" i="5"/>
  <c r="DF46" i="5"/>
  <c r="DE202" i="5"/>
  <c r="DF202" i="5"/>
  <c r="DE190" i="5"/>
  <c r="DF190" i="5"/>
  <c r="DF165" i="5"/>
  <c r="DE165" i="5"/>
  <c r="DE153" i="5"/>
  <c r="DF153" i="5"/>
  <c r="DF141" i="5"/>
  <c r="DE141" i="5"/>
  <c r="DE103" i="5"/>
  <c r="DF103" i="5"/>
  <c r="DE59" i="5"/>
  <c r="DF59" i="5"/>
  <c r="DF15" i="5"/>
  <c r="DE15" i="5"/>
  <c r="DE106" i="5"/>
  <c r="DF106" i="5"/>
  <c r="DE203" i="5"/>
  <c r="DF203" i="5"/>
  <c r="DE227" i="5"/>
  <c r="DF227" i="5"/>
  <c r="DE214" i="5"/>
  <c r="DF214" i="5"/>
  <c r="DF201" i="5"/>
  <c r="DE189" i="5"/>
  <c r="DF189" i="5"/>
  <c r="DE178" i="5"/>
  <c r="DF178" i="5"/>
  <c r="DE140" i="5"/>
  <c r="DF140" i="5"/>
  <c r="DF102" i="5"/>
  <c r="DE102" i="5"/>
  <c r="DE88" i="5"/>
  <c r="DF88" i="5"/>
  <c r="DE73" i="5"/>
  <c r="DF73" i="5"/>
  <c r="DE58" i="5"/>
  <c r="DF58" i="5"/>
  <c r="DE14" i="5"/>
  <c r="DF14" i="5"/>
  <c r="DE139" i="5"/>
  <c r="DF139" i="5"/>
  <c r="DE127" i="5"/>
  <c r="DF127" i="5"/>
  <c r="DE87" i="5"/>
  <c r="DF87" i="5"/>
  <c r="DE72" i="5"/>
  <c r="DF72" i="5"/>
  <c r="DF57" i="5"/>
  <c r="DE57" i="5"/>
  <c r="DE43" i="5"/>
  <c r="DF43" i="5"/>
  <c r="DE28" i="5"/>
  <c r="DF28" i="5"/>
  <c r="DE13" i="5"/>
  <c r="DF13" i="5"/>
  <c r="DE225" i="5"/>
  <c r="DF225" i="5"/>
  <c r="DE212" i="5"/>
  <c r="DF212" i="5"/>
  <c r="DE200" i="5"/>
  <c r="DF200" i="5"/>
  <c r="DE176" i="5"/>
  <c r="DF176" i="5"/>
  <c r="DF138" i="5"/>
  <c r="DE138" i="5"/>
  <c r="DE126" i="5"/>
  <c r="DF126" i="5"/>
  <c r="DE115" i="5"/>
  <c r="DF115" i="5"/>
  <c r="DE86" i="5"/>
  <c r="DF86" i="5"/>
  <c r="DE42" i="5"/>
  <c r="DF42" i="5"/>
  <c r="DE27" i="5"/>
  <c r="DF27" i="5"/>
  <c r="DF12" i="5"/>
  <c r="DE12" i="5"/>
  <c r="DE130" i="5"/>
  <c r="DF130" i="5"/>
  <c r="DE32" i="5"/>
  <c r="DF32" i="5"/>
  <c r="DE61" i="5"/>
  <c r="DF61" i="5"/>
  <c r="DE175" i="5"/>
  <c r="DF175" i="5"/>
  <c r="DE163" i="5"/>
  <c r="DF163" i="5"/>
  <c r="DE151" i="5"/>
  <c r="DF151" i="5"/>
  <c r="DE114" i="5"/>
  <c r="DF114" i="5"/>
  <c r="DE100" i="5"/>
  <c r="DF100" i="5"/>
  <c r="DE85" i="5"/>
  <c r="DF85" i="5"/>
  <c r="DE41" i="5"/>
  <c r="DF41" i="5"/>
  <c r="DE211" i="5"/>
  <c r="DF211" i="5"/>
  <c r="DF210" i="5"/>
  <c r="DE198" i="5"/>
  <c r="DF198" i="5"/>
  <c r="DE187" i="5"/>
  <c r="DF187" i="5"/>
  <c r="DF174" i="5"/>
  <c r="DE174" i="5"/>
  <c r="DE162" i="5"/>
  <c r="DF162" i="5"/>
  <c r="DF150" i="5"/>
  <c r="DE150" i="5"/>
  <c r="DE113" i="5"/>
  <c r="DF113" i="5"/>
  <c r="DE99" i="5"/>
  <c r="DF99" i="5"/>
  <c r="DF84" i="5"/>
  <c r="DE84" i="5"/>
  <c r="DE70" i="5"/>
  <c r="DF70" i="5"/>
  <c r="DE55" i="5"/>
  <c r="DF55" i="5"/>
  <c r="DE40" i="5"/>
  <c r="DF40" i="5"/>
  <c r="DE229" i="5"/>
  <c r="DF229" i="5"/>
  <c r="DF75" i="5"/>
  <c r="DE75" i="5"/>
  <c r="DE226" i="5"/>
  <c r="DF226" i="5"/>
  <c r="DF177" i="5"/>
  <c r="DE177" i="5"/>
  <c r="DE199" i="5"/>
  <c r="DF199" i="5"/>
  <c r="DE197" i="5"/>
  <c r="DE186" i="5"/>
  <c r="DF186" i="5"/>
  <c r="DE149" i="5"/>
  <c r="DF149" i="5"/>
  <c r="DE112" i="5"/>
  <c r="DF112" i="5"/>
  <c r="DE69" i="5"/>
  <c r="DF69" i="5"/>
  <c r="DE54" i="5"/>
  <c r="DF54" i="5"/>
  <c r="DF39" i="5"/>
  <c r="DE39" i="5"/>
  <c r="DE25" i="5"/>
  <c r="DF25" i="5"/>
  <c r="DE10" i="5"/>
  <c r="DF10" i="5"/>
  <c r="DF168" i="5"/>
  <c r="DE168" i="5"/>
  <c r="DE148" i="5"/>
  <c r="DF148" i="5"/>
  <c r="DE136" i="5"/>
  <c r="DF136" i="5"/>
  <c r="DE124" i="5"/>
  <c r="DF124" i="5"/>
  <c r="DF111" i="5"/>
  <c r="DE111" i="5"/>
  <c r="DE68" i="5"/>
  <c r="DF68" i="5"/>
  <c r="DE24" i="5"/>
  <c r="DF24" i="5"/>
  <c r="DE9" i="5"/>
  <c r="DF9" i="5"/>
  <c r="DE90" i="5"/>
  <c r="DF90" i="5"/>
  <c r="DE184" i="5"/>
  <c r="DF184" i="5"/>
  <c r="DE147" i="5"/>
  <c r="DF147" i="5"/>
  <c r="DE135" i="5"/>
  <c r="DF135" i="5"/>
  <c r="DE123" i="5"/>
  <c r="DF123" i="5"/>
  <c r="DE97" i="5"/>
  <c r="DF97" i="5"/>
  <c r="DE82" i="5"/>
  <c r="DF82" i="5"/>
  <c r="DE67" i="5"/>
  <c r="DF67" i="5"/>
  <c r="DE23" i="5"/>
  <c r="DF23" i="5"/>
  <c r="DF231" i="5"/>
  <c r="DE231" i="5"/>
  <c r="DE217" i="5"/>
  <c r="DF217" i="5"/>
  <c r="DE181" i="5"/>
  <c r="DF181" i="5"/>
  <c r="DE169" i="5"/>
  <c r="DF169" i="5"/>
  <c r="DE131" i="5"/>
  <c r="DF131" i="5"/>
  <c r="DE18" i="5"/>
  <c r="DF18" i="5"/>
  <c r="DE216" i="5"/>
  <c r="DF216" i="5"/>
  <c r="DE205" i="5"/>
  <c r="DF205" i="5"/>
  <c r="DE180" i="5"/>
  <c r="DF180" i="5"/>
  <c r="DF204" i="5"/>
  <c r="DE204" i="5"/>
  <c r="DE167" i="5"/>
  <c r="DF167" i="5"/>
  <c r="DF129" i="5"/>
  <c r="DE129" i="5"/>
  <c r="DE31" i="5"/>
  <c r="DF31" i="5"/>
  <c r="DE213" i="5"/>
  <c r="DF213" i="5"/>
  <c r="DE223" i="5"/>
  <c r="DF223" i="5"/>
  <c r="DE185" i="5"/>
  <c r="DF185" i="5"/>
  <c r="DE222" i="5"/>
  <c r="DF222" i="5"/>
  <c r="DE221" i="5"/>
  <c r="DF221" i="5"/>
  <c r="DE196" i="5"/>
  <c r="DF196" i="5"/>
  <c r="DF183" i="5"/>
  <c r="DE172" i="5"/>
  <c r="DF172" i="5"/>
  <c r="DE160" i="5"/>
  <c r="DF160" i="5"/>
  <c r="DE122" i="5"/>
  <c r="DF122" i="5"/>
  <c r="DE96" i="5"/>
  <c r="DF96" i="5"/>
  <c r="DE81" i="5"/>
  <c r="DF81" i="5"/>
  <c r="DF66" i="5"/>
  <c r="DE66" i="5"/>
  <c r="DE52" i="5"/>
  <c r="DF52" i="5"/>
  <c r="DE37" i="5"/>
  <c r="DF37" i="5"/>
  <c r="DE22" i="5"/>
  <c r="DF22" i="5"/>
  <c r="DE77" i="5"/>
  <c r="DF77" i="5"/>
  <c r="DE91" i="5"/>
  <c r="DF91" i="5"/>
  <c r="DE105" i="5"/>
  <c r="DF105" i="5"/>
  <c r="DE121" i="5"/>
  <c r="DF121" i="5"/>
  <c r="DE109" i="5"/>
  <c r="DF109" i="5"/>
  <c r="DE95" i="5"/>
  <c r="DF95" i="5"/>
  <c r="DE51" i="5"/>
  <c r="DF51" i="5"/>
  <c r="DE36" i="5"/>
  <c r="DF36" i="5"/>
  <c r="DF21" i="5"/>
  <c r="DE21" i="5"/>
  <c r="DE7" i="5"/>
  <c r="DF7" i="5"/>
  <c r="DE33" i="5"/>
  <c r="DF33" i="5"/>
  <c r="DE220" i="5"/>
  <c r="DF220" i="5"/>
  <c r="DE208" i="5"/>
  <c r="DF208" i="5"/>
  <c r="DE195" i="5"/>
  <c r="DF195" i="5"/>
  <c r="DE171" i="5"/>
  <c r="DF171" i="5"/>
  <c r="DE159" i="5"/>
  <c r="DF159" i="5"/>
  <c r="DF219" i="5"/>
  <c r="DE207" i="5"/>
  <c r="DF207" i="5"/>
  <c r="DE194" i="5"/>
  <c r="DF194" i="5"/>
  <c r="DE158" i="5"/>
  <c r="DF158" i="5"/>
  <c r="DE108" i="5"/>
  <c r="DF108" i="5"/>
  <c r="DE94" i="5"/>
  <c r="DF94" i="5"/>
  <c r="DE50" i="5"/>
  <c r="DF50" i="5"/>
  <c r="DE6" i="5"/>
  <c r="DF6" i="5"/>
  <c r="DE157" i="5"/>
  <c r="DF157" i="5"/>
  <c r="DE145" i="5"/>
  <c r="DF145" i="5"/>
  <c r="DE133" i="5"/>
  <c r="DF133" i="5"/>
  <c r="DF93" i="5"/>
  <c r="DE93" i="5"/>
  <c r="DE79" i="5"/>
  <c r="DF79" i="5"/>
  <c r="DE64" i="5"/>
  <c r="DF64" i="5"/>
  <c r="DE49" i="5"/>
  <c r="DF49" i="5"/>
  <c r="DE5" i="5"/>
  <c r="DF5" i="5"/>
  <c r="DE193" i="5"/>
  <c r="DF193" i="5"/>
  <c r="DE232" i="5"/>
  <c r="DF232" i="5"/>
  <c r="DE218" i="5"/>
  <c r="DF218" i="5"/>
  <c r="DF192" i="5"/>
  <c r="DE156" i="5"/>
  <c r="DF156" i="5"/>
  <c r="DE144" i="5"/>
  <c r="DF144" i="5"/>
  <c r="DF132" i="5"/>
  <c r="DE132" i="5"/>
  <c r="DE78" i="5"/>
  <c r="DF78" i="5"/>
  <c r="DE63" i="5"/>
  <c r="DF63" i="5"/>
  <c r="DF48" i="5"/>
  <c r="DE48" i="5"/>
  <c r="DE34" i="5"/>
  <c r="DF34" i="5"/>
  <c r="DE19" i="5"/>
  <c r="DF19" i="5"/>
  <c r="DE4" i="5"/>
  <c r="DF4" i="5"/>
  <c r="DF110" i="5"/>
  <c r="DF101" i="5"/>
  <c r="DF92" i="5"/>
  <c r="DF83" i="5"/>
  <c r="DF74" i="5"/>
  <c r="DF65" i="5"/>
  <c r="DF56" i="5"/>
  <c r="DF47" i="5"/>
  <c r="DF38" i="5"/>
  <c r="DF29" i="5"/>
  <c r="DF20" i="5"/>
  <c r="DF11" i="5"/>
  <c r="DF98" i="5"/>
  <c r="DF89" i="5"/>
  <c r="DF80" i="5"/>
  <c r="DF71" i="5"/>
  <c r="DF62" i="5"/>
  <c r="DF53" i="5"/>
  <c r="DF44" i="5"/>
  <c r="DF35" i="5"/>
  <c r="DF26" i="5"/>
  <c r="DF17" i="5"/>
  <c r="DF8" i="5"/>
  <c r="DE3" i="5"/>
  <c r="DB191" i="5"/>
  <c r="DA191" i="5"/>
  <c r="DA22" i="5"/>
  <c r="DB22" i="5"/>
  <c r="DA205" i="5"/>
  <c r="DB205" i="5"/>
  <c r="DA190" i="5"/>
  <c r="DB190" i="5"/>
  <c r="DA172" i="5"/>
  <c r="DB172" i="5"/>
  <c r="DA157" i="5"/>
  <c r="DB157" i="5"/>
  <c r="DA130" i="5"/>
  <c r="DB130" i="5"/>
  <c r="DA118" i="5"/>
  <c r="DB118" i="5"/>
  <c r="DA94" i="5"/>
  <c r="DB94" i="5"/>
  <c r="DA72" i="5"/>
  <c r="DB72" i="5"/>
  <c r="DB222" i="5"/>
  <c r="DA222" i="5"/>
  <c r="DA204" i="5"/>
  <c r="DB204" i="5"/>
  <c r="DA189" i="5"/>
  <c r="DB189" i="5"/>
  <c r="DA171" i="5"/>
  <c r="DB171" i="5"/>
  <c r="DA156" i="5"/>
  <c r="DB156" i="5"/>
  <c r="DA117" i="5"/>
  <c r="DB117" i="5"/>
  <c r="DA105" i="5"/>
  <c r="DB105" i="5"/>
  <c r="DB83" i="5"/>
  <c r="DA83" i="5"/>
  <c r="DA71" i="5"/>
  <c r="DB71" i="5"/>
  <c r="DA50" i="5"/>
  <c r="DB50" i="5"/>
  <c r="DA40" i="5"/>
  <c r="DB40" i="5"/>
  <c r="DA221" i="5"/>
  <c r="DB221" i="5"/>
  <c r="DA203" i="5"/>
  <c r="DB203" i="5"/>
  <c r="DB188" i="5"/>
  <c r="DA188" i="5"/>
  <c r="DA170" i="5"/>
  <c r="DB170" i="5"/>
  <c r="DA155" i="5"/>
  <c r="DB155" i="5"/>
  <c r="DA116" i="5"/>
  <c r="DB116" i="5"/>
  <c r="DA104" i="5"/>
  <c r="DB104" i="5"/>
  <c r="DA82" i="5"/>
  <c r="DB82" i="5"/>
  <c r="DA49" i="5"/>
  <c r="DB49" i="5"/>
  <c r="DB74" i="5"/>
  <c r="DA74" i="5"/>
  <c r="DA207" i="5"/>
  <c r="DB207" i="5"/>
  <c r="DA132" i="5"/>
  <c r="DB132" i="5"/>
  <c r="DA23" i="5"/>
  <c r="DB23" i="5"/>
  <c r="DB173" i="5"/>
  <c r="DA173" i="5"/>
  <c r="DA220" i="5"/>
  <c r="DB220" i="5"/>
  <c r="DA202" i="5"/>
  <c r="DB202" i="5"/>
  <c r="DB187" i="5"/>
  <c r="DA187" i="5"/>
  <c r="DA154" i="5"/>
  <c r="DB154" i="5"/>
  <c r="DA141" i="5"/>
  <c r="DB141" i="5"/>
  <c r="DA103" i="5"/>
  <c r="DB103" i="5"/>
  <c r="DA81" i="5"/>
  <c r="DB81" i="5"/>
  <c r="DB219" i="5"/>
  <c r="DA219" i="5"/>
  <c r="DA201" i="5"/>
  <c r="DB201" i="5"/>
  <c r="DA186" i="5"/>
  <c r="DB186" i="5"/>
  <c r="DA153" i="5"/>
  <c r="DB153" i="5"/>
  <c r="DA140" i="5"/>
  <c r="DB140" i="5"/>
  <c r="DB128" i="5"/>
  <c r="DA128" i="5"/>
  <c r="DB92" i="5"/>
  <c r="DA92" i="5"/>
  <c r="DA80" i="5"/>
  <c r="DB80" i="5"/>
  <c r="DB62" i="5"/>
  <c r="DA62" i="5"/>
  <c r="DA158" i="5"/>
  <c r="DB158" i="5"/>
  <c r="DA41" i="5"/>
  <c r="DB41" i="5"/>
  <c r="DB218" i="5"/>
  <c r="DA218" i="5"/>
  <c r="DB200" i="5"/>
  <c r="DA200" i="5"/>
  <c r="DA185" i="5"/>
  <c r="DB185" i="5"/>
  <c r="DA152" i="5"/>
  <c r="DB152" i="5"/>
  <c r="DA139" i="5"/>
  <c r="DB139" i="5"/>
  <c r="DA127" i="5"/>
  <c r="DB127" i="5"/>
  <c r="DA91" i="5"/>
  <c r="DB91" i="5"/>
  <c r="DA59" i="5"/>
  <c r="DB59" i="5"/>
  <c r="DB143" i="5"/>
  <c r="DA143" i="5"/>
  <c r="DA31" i="5"/>
  <c r="DB31" i="5"/>
  <c r="DB232" i="5"/>
  <c r="DA232" i="5"/>
  <c r="DA217" i="5"/>
  <c r="DB217" i="5"/>
  <c r="DA199" i="5"/>
  <c r="DB199" i="5"/>
  <c r="DA184" i="5"/>
  <c r="DB184" i="5"/>
  <c r="DA126" i="5"/>
  <c r="DB126" i="5"/>
  <c r="DA114" i="5"/>
  <c r="DB114" i="5"/>
  <c r="DA90" i="5"/>
  <c r="DB90" i="5"/>
  <c r="DA58" i="5"/>
  <c r="DB58" i="5"/>
  <c r="DA10" i="5"/>
  <c r="DB10" i="5"/>
  <c r="DA231" i="5"/>
  <c r="DB231" i="5"/>
  <c r="DB216" i="5"/>
  <c r="DA216" i="5"/>
  <c r="DA198" i="5"/>
  <c r="DB198" i="5"/>
  <c r="DA183" i="5"/>
  <c r="DB183" i="5"/>
  <c r="DA168" i="5"/>
  <c r="DB168" i="5"/>
  <c r="DB125" i="5"/>
  <c r="DA125" i="5"/>
  <c r="DA113" i="5"/>
  <c r="DB113" i="5"/>
  <c r="DB101" i="5"/>
  <c r="DA101" i="5"/>
  <c r="DB89" i="5"/>
  <c r="DA89" i="5"/>
  <c r="DA19" i="5"/>
  <c r="DB19" i="5"/>
  <c r="DA9" i="5"/>
  <c r="DB9" i="5"/>
  <c r="DA131" i="5"/>
  <c r="DB131" i="5"/>
  <c r="DA230" i="5"/>
  <c r="DB230" i="5"/>
  <c r="DA215" i="5"/>
  <c r="DB215" i="5"/>
  <c r="DA197" i="5"/>
  <c r="DB197" i="5"/>
  <c r="DB182" i="5"/>
  <c r="DA182" i="5"/>
  <c r="DA167" i="5"/>
  <c r="DB167" i="5"/>
  <c r="DA112" i="5"/>
  <c r="DB112" i="5"/>
  <c r="DA100" i="5"/>
  <c r="DB100" i="5"/>
  <c r="DA68" i="5"/>
  <c r="DB68" i="5"/>
  <c r="DA28" i="5"/>
  <c r="DB28" i="5"/>
  <c r="DA18" i="5"/>
  <c r="DB18" i="5"/>
  <c r="DB8" i="5"/>
  <c r="DA8" i="5"/>
  <c r="DB119" i="5"/>
  <c r="DA119" i="5"/>
  <c r="DA229" i="5"/>
  <c r="DB229" i="5"/>
  <c r="DA214" i="5"/>
  <c r="DB214" i="5"/>
  <c r="DA181" i="5"/>
  <c r="DB181" i="5"/>
  <c r="DA166" i="5"/>
  <c r="DB166" i="5"/>
  <c r="DB137" i="5"/>
  <c r="DA137" i="5"/>
  <c r="DA99" i="5"/>
  <c r="DB99" i="5"/>
  <c r="DA67" i="5"/>
  <c r="DB67" i="5"/>
  <c r="DA37" i="5"/>
  <c r="DB37" i="5"/>
  <c r="DA27" i="5"/>
  <c r="DB27" i="5"/>
  <c r="DA17" i="5"/>
  <c r="DB17" i="5"/>
  <c r="DA32" i="5"/>
  <c r="DB32" i="5"/>
  <c r="DA228" i="5"/>
  <c r="DB228" i="5"/>
  <c r="DA213" i="5"/>
  <c r="DB213" i="5"/>
  <c r="DA180" i="5"/>
  <c r="DB180" i="5"/>
  <c r="DA165" i="5"/>
  <c r="DB165" i="5"/>
  <c r="DA150" i="5"/>
  <c r="DB150" i="5"/>
  <c r="DA136" i="5"/>
  <c r="DB136" i="5"/>
  <c r="DA98" i="5"/>
  <c r="DB98" i="5"/>
  <c r="DB56" i="5"/>
  <c r="DA56" i="5"/>
  <c r="DA46" i="5"/>
  <c r="DB46" i="5"/>
  <c r="DA36" i="5"/>
  <c r="DB36" i="5"/>
  <c r="DA26" i="5"/>
  <c r="DB26" i="5"/>
  <c r="DA95" i="5"/>
  <c r="DB95" i="5"/>
  <c r="DB227" i="5"/>
  <c r="DA227" i="5"/>
  <c r="DA212" i="5"/>
  <c r="DB212" i="5"/>
  <c r="DB179" i="5"/>
  <c r="DA179" i="5"/>
  <c r="DB164" i="5"/>
  <c r="DA164" i="5"/>
  <c r="DA149" i="5"/>
  <c r="DB149" i="5"/>
  <c r="DA135" i="5"/>
  <c r="DB135" i="5"/>
  <c r="DA123" i="5"/>
  <c r="DB123" i="5"/>
  <c r="DA77" i="5"/>
  <c r="DB77" i="5"/>
  <c r="DA55" i="5"/>
  <c r="DB55" i="5"/>
  <c r="DA45" i="5"/>
  <c r="DB45" i="5"/>
  <c r="DA35" i="5"/>
  <c r="DB35" i="5"/>
  <c r="DA192" i="5"/>
  <c r="DB192" i="5"/>
  <c r="DA144" i="5"/>
  <c r="DB144" i="5"/>
  <c r="DA13" i="5"/>
  <c r="DB13" i="5"/>
  <c r="DB206" i="5"/>
  <c r="DA206" i="5"/>
  <c r="DA73" i="5"/>
  <c r="DB73" i="5"/>
  <c r="DA226" i="5"/>
  <c r="DB226" i="5"/>
  <c r="DA148" i="5"/>
  <c r="DB148" i="5"/>
  <c r="DA76" i="5"/>
  <c r="DB76" i="5"/>
  <c r="DA225" i="5"/>
  <c r="DB225" i="5"/>
  <c r="DA195" i="5"/>
  <c r="DB195" i="5"/>
  <c r="DA147" i="5"/>
  <c r="DB147" i="5"/>
  <c r="DA121" i="5"/>
  <c r="DB121" i="5"/>
  <c r="DB224" i="5"/>
  <c r="DA224" i="5"/>
  <c r="DB209" i="5"/>
  <c r="DA209" i="5"/>
  <c r="DA194" i="5"/>
  <c r="DB194" i="5"/>
  <c r="DA176" i="5"/>
  <c r="DB176" i="5"/>
  <c r="DB161" i="5"/>
  <c r="DA161" i="5"/>
  <c r="DB146" i="5"/>
  <c r="DA146" i="5"/>
  <c r="DA108" i="5"/>
  <c r="DB108" i="5"/>
  <c r="DA86" i="5"/>
  <c r="DB86" i="5"/>
  <c r="DA64" i="5"/>
  <c r="DB64" i="5"/>
  <c r="DA5" i="5"/>
  <c r="DB5" i="5"/>
  <c r="DA174" i="5"/>
  <c r="DB174" i="5"/>
  <c r="DA159" i="5"/>
  <c r="DB159" i="5"/>
  <c r="DB211" i="5"/>
  <c r="DA211" i="5"/>
  <c r="DB178" i="5"/>
  <c r="DA178" i="5"/>
  <c r="DA163" i="5"/>
  <c r="DB163" i="5"/>
  <c r="DA134" i="5"/>
  <c r="DB134" i="5"/>
  <c r="DA122" i="5"/>
  <c r="DB122" i="5"/>
  <c r="DB110" i="5"/>
  <c r="DA110" i="5"/>
  <c r="DA54" i="5"/>
  <c r="DB54" i="5"/>
  <c r="DB44" i="5"/>
  <c r="DA44" i="5"/>
  <c r="DA210" i="5"/>
  <c r="DB210" i="5"/>
  <c r="DA177" i="5"/>
  <c r="DB177" i="5"/>
  <c r="DA162" i="5"/>
  <c r="DB162" i="5"/>
  <c r="DA109" i="5"/>
  <c r="DB109" i="5"/>
  <c r="DB65" i="5"/>
  <c r="DA65" i="5"/>
  <c r="DA53" i="5"/>
  <c r="DB53" i="5"/>
  <c r="DA208" i="5"/>
  <c r="DB208" i="5"/>
  <c r="DA193" i="5"/>
  <c r="DB193" i="5"/>
  <c r="DA175" i="5"/>
  <c r="DB175" i="5"/>
  <c r="DA160" i="5"/>
  <c r="DB160" i="5"/>
  <c r="DA145" i="5"/>
  <c r="DB145" i="5"/>
  <c r="DB107" i="5"/>
  <c r="DA107" i="5"/>
  <c r="DA85" i="5"/>
  <c r="DB85" i="5"/>
  <c r="DA63" i="5"/>
  <c r="DB63" i="5"/>
  <c r="DA14" i="5"/>
  <c r="DB14" i="5"/>
  <c r="DA4" i="5"/>
  <c r="DB4" i="5"/>
  <c r="DB51" i="5"/>
  <c r="DB42" i="5"/>
  <c r="DB33" i="5"/>
  <c r="DB24" i="5"/>
  <c r="DB15" i="5"/>
  <c r="DB6" i="5"/>
  <c r="DB3" i="5"/>
  <c r="DA3" i="5"/>
  <c r="CX107" i="5"/>
  <c r="CW107" i="5"/>
  <c r="CW80" i="5"/>
  <c r="CX80" i="5"/>
  <c r="CW53" i="5"/>
  <c r="CX53" i="5"/>
  <c r="CW26" i="5"/>
  <c r="CX26" i="5"/>
  <c r="CX188" i="5"/>
  <c r="CW188" i="5"/>
  <c r="CX134" i="5"/>
  <c r="CW134" i="5"/>
  <c r="CX215" i="5"/>
  <c r="CW215" i="5"/>
  <c r="CX161" i="5"/>
  <c r="CW161" i="5"/>
  <c r="CX224" i="5"/>
  <c r="CW224" i="5"/>
  <c r="CW89" i="5"/>
  <c r="CX89" i="5"/>
  <c r="CW62" i="5"/>
  <c r="CX62" i="5"/>
  <c r="CW35" i="5"/>
  <c r="CX35" i="5"/>
  <c r="CX170" i="5"/>
  <c r="CW170" i="5"/>
  <c r="CX143" i="5"/>
  <c r="CW143" i="5"/>
  <c r="CX116" i="5"/>
  <c r="CW116" i="5"/>
  <c r="CW8" i="5"/>
  <c r="CX8" i="5"/>
  <c r="CX206" i="5"/>
  <c r="CW206" i="5"/>
  <c r="CW98" i="5"/>
  <c r="CX98" i="5"/>
  <c r="CW71" i="5"/>
  <c r="CX71" i="5"/>
  <c r="CW44" i="5"/>
  <c r="CX44" i="5"/>
  <c r="CX179" i="5"/>
  <c r="CW179" i="5"/>
  <c r="CX152" i="5"/>
  <c r="CW152" i="5"/>
  <c r="CX125" i="5"/>
  <c r="CW125" i="5"/>
  <c r="CW17" i="5"/>
  <c r="CX17" i="5"/>
  <c r="CW194" i="5"/>
  <c r="CX194" i="5"/>
  <c r="CW172" i="5"/>
  <c r="CX172" i="5"/>
  <c r="CX205" i="5"/>
  <c r="CW205" i="5"/>
  <c r="CW193" i="5"/>
  <c r="CX193" i="5"/>
  <c r="CW171" i="5"/>
  <c r="CX171" i="5"/>
  <c r="CX160" i="5"/>
  <c r="CW160" i="5"/>
  <c r="CW137" i="5"/>
  <c r="CX137" i="5"/>
  <c r="CW113" i="5"/>
  <c r="CX113" i="5"/>
  <c r="CW64" i="5"/>
  <c r="CX64" i="5"/>
  <c r="CW51" i="5"/>
  <c r="CX51" i="5"/>
  <c r="CW37" i="5"/>
  <c r="CX37" i="5"/>
  <c r="CW24" i="5"/>
  <c r="CX24" i="5"/>
  <c r="CX223" i="5"/>
  <c r="CW213" i="5"/>
  <c r="CX213" i="5"/>
  <c r="CW180" i="5"/>
  <c r="CX180" i="5"/>
  <c r="CX169" i="5"/>
  <c r="CW169" i="5"/>
  <c r="CW146" i="5"/>
  <c r="CX146" i="5"/>
  <c r="CW122" i="5"/>
  <c r="CX122" i="5"/>
  <c r="CW85" i="5"/>
  <c r="CX85" i="5"/>
  <c r="CW74" i="5"/>
  <c r="CX74" i="5"/>
  <c r="CX61" i="5"/>
  <c r="CW61" i="5"/>
  <c r="CW36" i="5"/>
  <c r="CX36" i="5"/>
  <c r="CW121" i="5"/>
  <c r="CX121" i="5"/>
  <c r="CW110" i="5"/>
  <c r="CX110" i="5"/>
  <c r="CW73" i="5"/>
  <c r="CX73" i="5"/>
  <c r="CW60" i="5"/>
  <c r="CX60" i="5"/>
  <c r="CW204" i="5"/>
  <c r="CX204" i="5"/>
  <c r="CW159" i="5"/>
  <c r="CX159" i="5"/>
  <c r="CW136" i="5"/>
  <c r="CX136" i="5"/>
  <c r="CX232" i="5"/>
  <c r="CW222" i="5"/>
  <c r="CX222" i="5"/>
  <c r="CW211" i="5"/>
  <c r="CX211" i="5"/>
  <c r="CW190" i="5"/>
  <c r="CX190" i="5"/>
  <c r="CW167" i="5"/>
  <c r="CX167" i="5"/>
  <c r="CW144" i="5"/>
  <c r="CX144" i="5"/>
  <c r="CX133" i="5"/>
  <c r="CW133" i="5"/>
  <c r="CW109" i="5"/>
  <c r="CX109" i="5"/>
  <c r="CX97" i="5"/>
  <c r="CW97" i="5"/>
  <c r="CW72" i="5"/>
  <c r="CX72" i="5"/>
  <c r="CW59" i="5"/>
  <c r="CX59" i="5"/>
  <c r="CW22" i="5"/>
  <c r="CX22" i="5"/>
  <c r="CW212" i="5"/>
  <c r="CX212" i="5"/>
  <c r="CW191" i="5"/>
  <c r="CX191" i="5"/>
  <c r="CW168" i="5"/>
  <c r="CX168" i="5"/>
  <c r="CW145" i="5"/>
  <c r="CX145" i="5"/>
  <c r="CW221" i="5"/>
  <c r="CX221" i="5"/>
  <c r="CW166" i="5"/>
  <c r="CX166" i="5"/>
  <c r="CW132" i="5"/>
  <c r="CX132" i="5"/>
  <c r="CW108" i="5"/>
  <c r="CX108" i="5"/>
  <c r="CW96" i="5"/>
  <c r="CX96" i="5"/>
  <c r="CW58" i="5"/>
  <c r="CX58" i="5"/>
  <c r="CW47" i="5"/>
  <c r="CX47" i="5"/>
  <c r="CX34" i="5"/>
  <c r="CW34" i="5"/>
  <c r="CW11" i="5"/>
  <c r="CX11" i="5"/>
  <c r="CW157" i="5"/>
  <c r="CX157" i="5"/>
  <c r="CW231" i="5"/>
  <c r="CX231" i="5"/>
  <c r="CW220" i="5"/>
  <c r="CX220" i="5"/>
  <c r="CW200" i="5"/>
  <c r="CX200" i="5"/>
  <c r="CX178" i="5"/>
  <c r="CW178" i="5"/>
  <c r="CW155" i="5"/>
  <c r="CX155" i="5"/>
  <c r="CW131" i="5"/>
  <c r="CX131" i="5"/>
  <c r="CW95" i="5"/>
  <c r="CX95" i="5"/>
  <c r="CW46" i="5"/>
  <c r="CX46" i="5"/>
  <c r="CW33" i="5"/>
  <c r="CX33" i="5"/>
  <c r="CW10" i="5"/>
  <c r="CX10" i="5"/>
  <c r="CW112" i="5"/>
  <c r="CX112" i="5"/>
  <c r="CW101" i="5"/>
  <c r="CX101" i="5"/>
  <c r="CW14" i="5"/>
  <c r="CX14" i="5"/>
  <c r="CW135" i="5"/>
  <c r="CX135" i="5"/>
  <c r="CW100" i="5"/>
  <c r="CX100" i="5"/>
  <c r="CW87" i="5"/>
  <c r="CX87" i="5"/>
  <c r="CW13" i="5"/>
  <c r="CX13" i="5"/>
  <c r="CW230" i="5"/>
  <c r="CX230" i="5"/>
  <c r="CX219" i="5"/>
  <c r="CW199" i="5"/>
  <c r="CX199" i="5"/>
  <c r="CW177" i="5"/>
  <c r="CX177" i="5"/>
  <c r="CW154" i="5"/>
  <c r="CX154" i="5"/>
  <c r="CW130" i="5"/>
  <c r="CX130" i="5"/>
  <c r="CW94" i="5"/>
  <c r="CX94" i="5"/>
  <c r="CW83" i="5"/>
  <c r="CX83" i="5"/>
  <c r="CX70" i="5"/>
  <c r="CW70" i="5"/>
  <c r="CW45" i="5"/>
  <c r="CX45" i="5"/>
  <c r="CW32" i="5"/>
  <c r="CX32" i="5"/>
  <c r="CW9" i="5"/>
  <c r="CX9" i="5"/>
  <c r="CW203" i="5"/>
  <c r="CX203" i="5"/>
  <c r="CW182" i="5"/>
  <c r="CX182" i="5"/>
  <c r="CW158" i="5"/>
  <c r="CX158" i="5"/>
  <c r="CX124" i="5"/>
  <c r="CW124" i="5"/>
  <c r="CW25" i="5"/>
  <c r="CX25" i="5"/>
  <c r="CW229" i="5"/>
  <c r="CX229" i="5"/>
  <c r="CW198" i="5"/>
  <c r="CW176" i="5"/>
  <c r="CX176" i="5"/>
  <c r="CW153" i="5"/>
  <c r="CX153" i="5"/>
  <c r="CX142" i="5"/>
  <c r="CW142" i="5"/>
  <c r="CW119" i="5"/>
  <c r="CX119" i="5"/>
  <c r="CW82" i="5"/>
  <c r="CX82" i="5"/>
  <c r="CW69" i="5"/>
  <c r="CX69" i="5"/>
  <c r="CW31" i="5"/>
  <c r="CX31" i="5"/>
  <c r="CW63" i="5"/>
  <c r="CX63" i="5"/>
  <c r="CW209" i="5"/>
  <c r="CX209" i="5"/>
  <c r="CW175" i="5"/>
  <c r="CX175" i="5"/>
  <c r="CW141" i="5"/>
  <c r="CX141" i="5"/>
  <c r="CW118" i="5"/>
  <c r="CX118" i="5"/>
  <c r="CX106" i="5"/>
  <c r="CW106" i="5"/>
  <c r="CW81" i="5"/>
  <c r="CX81" i="5"/>
  <c r="CW68" i="5"/>
  <c r="CX68" i="5"/>
  <c r="CX88" i="5"/>
  <c r="CW88" i="5"/>
  <c r="CW20" i="5"/>
  <c r="CX20" i="5"/>
  <c r="CW208" i="5"/>
  <c r="CX208" i="5"/>
  <c r="CW197" i="5"/>
  <c r="CX187" i="5"/>
  <c r="CW187" i="5"/>
  <c r="CW164" i="5"/>
  <c r="CX164" i="5"/>
  <c r="CW140" i="5"/>
  <c r="CX140" i="5"/>
  <c r="CW117" i="5"/>
  <c r="CX117" i="5"/>
  <c r="CW105" i="5"/>
  <c r="CX105" i="5"/>
  <c r="CW67" i="5"/>
  <c r="CX67" i="5"/>
  <c r="CW56" i="5"/>
  <c r="CX56" i="5"/>
  <c r="CX43" i="5"/>
  <c r="CW43" i="5"/>
  <c r="CW19" i="5"/>
  <c r="CX19" i="5"/>
  <c r="CX7" i="5"/>
  <c r="CW7" i="5"/>
  <c r="CW50" i="5"/>
  <c r="CX50" i="5"/>
  <c r="CW49" i="5"/>
  <c r="CX49" i="5"/>
  <c r="CW99" i="5"/>
  <c r="CX99" i="5"/>
  <c r="CW139" i="5"/>
  <c r="CX139" i="5"/>
  <c r="CW104" i="5"/>
  <c r="CX104" i="5"/>
  <c r="CW55" i="5"/>
  <c r="CX55" i="5"/>
  <c r="CW42" i="5"/>
  <c r="CX42" i="5"/>
  <c r="CW18" i="5"/>
  <c r="CX18" i="5"/>
  <c r="CW38" i="5"/>
  <c r="CX38" i="5"/>
  <c r="CW217" i="5"/>
  <c r="CX217" i="5"/>
  <c r="CW185" i="5"/>
  <c r="CX185" i="5"/>
  <c r="CW162" i="5"/>
  <c r="CX162" i="5"/>
  <c r="CX151" i="5"/>
  <c r="CW151" i="5"/>
  <c r="CW128" i="5"/>
  <c r="CX128" i="5"/>
  <c r="CW103" i="5"/>
  <c r="CX103" i="5"/>
  <c r="CW92" i="5"/>
  <c r="CX92" i="5"/>
  <c r="CX79" i="5"/>
  <c r="CW79" i="5"/>
  <c r="CW54" i="5"/>
  <c r="CX54" i="5"/>
  <c r="CW41" i="5"/>
  <c r="CX41" i="5"/>
  <c r="CW202" i="5"/>
  <c r="CX202" i="5"/>
  <c r="CW181" i="5"/>
  <c r="CX181" i="5"/>
  <c r="CW123" i="5"/>
  <c r="CX123" i="5"/>
  <c r="CW218" i="5"/>
  <c r="CX218" i="5"/>
  <c r="CW186" i="5"/>
  <c r="CX186" i="5"/>
  <c r="CW163" i="5"/>
  <c r="CX163" i="5"/>
  <c r="CW227" i="5"/>
  <c r="CX227" i="5"/>
  <c r="CX196" i="5"/>
  <c r="CW196" i="5"/>
  <c r="CW91" i="5"/>
  <c r="CX91" i="5"/>
  <c r="CW78" i="5"/>
  <c r="CX78" i="5"/>
  <c r="CW40" i="5"/>
  <c r="CX40" i="5"/>
  <c r="CW29" i="5"/>
  <c r="CX29" i="5"/>
  <c r="CW86" i="5"/>
  <c r="CX86" i="5"/>
  <c r="CW184" i="5"/>
  <c r="CX184" i="5"/>
  <c r="CW150" i="5"/>
  <c r="CX150" i="5"/>
  <c r="CW127" i="5"/>
  <c r="CX127" i="5"/>
  <c r="CW226" i="5"/>
  <c r="CX226" i="5"/>
  <c r="CW195" i="5"/>
  <c r="CX195" i="5"/>
  <c r="CW173" i="5"/>
  <c r="CX173" i="5"/>
  <c r="CW149" i="5"/>
  <c r="CX149" i="5"/>
  <c r="CW126" i="5"/>
  <c r="CX126" i="5"/>
  <c r="CX115" i="5"/>
  <c r="CW115" i="5"/>
  <c r="CW90" i="5"/>
  <c r="CX90" i="5"/>
  <c r="CW77" i="5"/>
  <c r="CX77" i="5"/>
  <c r="CW28" i="5"/>
  <c r="CX28" i="5"/>
  <c r="CX16" i="5"/>
  <c r="CW16" i="5"/>
  <c r="CW148" i="5"/>
  <c r="CX148" i="5"/>
  <c r="CW114" i="5"/>
  <c r="CX114" i="5"/>
  <c r="CW76" i="5"/>
  <c r="CX76" i="5"/>
  <c r="CW65" i="5"/>
  <c r="CX65" i="5"/>
  <c r="CX52" i="5"/>
  <c r="CW52" i="5"/>
  <c r="CW27" i="5"/>
  <c r="CX27" i="5"/>
  <c r="CW4" i="5"/>
  <c r="CX4" i="5"/>
  <c r="CX15" i="5"/>
  <c r="CX6" i="5"/>
  <c r="CX23" i="5"/>
  <c r="CX5" i="5"/>
  <c r="CW3" i="5"/>
  <c r="CX3" i="5"/>
  <c r="CS231" i="5"/>
  <c r="CT231" i="5"/>
  <c r="CT230" i="5"/>
  <c r="CS230" i="5"/>
  <c r="CS27" i="5"/>
  <c r="CT27" i="5"/>
  <c r="CS99" i="5"/>
  <c r="CT99" i="5"/>
  <c r="CS219" i="5"/>
  <c r="CT219" i="5"/>
  <c r="CS218" i="5"/>
  <c r="CT218" i="5"/>
  <c r="CS195" i="5"/>
  <c r="CT195" i="5"/>
  <c r="CS171" i="5"/>
  <c r="CT171" i="5"/>
  <c r="CS148" i="5"/>
  <c r="CT148" i="5"/>
  <c r="CS137" i="5"/>
  <c r="CT137" i="5"/>
  <c r="CS90" i="5"/>
  <c r="CT90" i="5"/>
  <c r="CS54" i="5"/>
  <c r="CT54" i="5"/>
  <c r="CS42" i="5"/>
  <c r="CT42" i="5"/>
  <c r="CS4" i="5"/>
  <c r="CT4" i="5"/>
  <c r="CS217" i="5"/>
  <c r="CT217" i="5"/>
  <c r="CS194" i="5"/>
  <c r="CT194" i="5"/>
  <c r="CS170" i="5"/>
  <c r="CT170" i="5"/>
  <c r="CS136" i="5"/>
  <c r="CT136" i="5"/>
  <c r="CS113" i="5"/>
  <c r="CT113" i="5"/>
  <c r="CT89" i="5"/>
  <c r="CS89" i="5"/>
  <c r="CT53" i="5"/>
  <c r="CS53" i="5"/>
  <c r="CS41" i="5"/>
  <c r="CT41" i="5"/>
  <c r="CS29" i="5"/>
  <c r="CT29" i="5"/>
  <c r="CS112" i="5"/>
  <c r="CT112" i="5"/>
  <c r="CS134" i="5"/>
  <c r="CT134" i="5"/>
  <c r="CS180" i="5"/>
  <c r="CT180" i="5"/>
  <c r="CS51" i="5"/>
  <c r="CT51" i="5"/>
  <c r="CS227" i="5"/>
  <c r="CT227" i="5"/>
  <c r="CS202" i="5"/>
  <c r="CT202" i="5"/>
  <c r="CS191" i="5"/>
  <c r="CT191" i="5"/>
  <c r="CS168" i="5"/>
  <c r="CT168" i="5"/>
  <c r="CS144" i="5"/>
  <c r="CT144" i="5"/>
  <c r="CS121" i="5"/>
  <c r="CT121" i="5"/>
  <c r="CS110" i="5"/>
  <c r="CT110" i="5"/>
  <c r="CS62" i="5"/>
  <c r="CT62" i="5"/>
  <c r="CS38" i="5"/>
  <c r="CT38" i="5"/>
  <c r="CS78" i="5"/>
  <c r="CT78" i="5"/>
  <c r="CS216" i="5"/>
  <c r="CT216" i="5"/>
  <c r="CS182" i="5"/>
  <c r="CT182" i="5"/>
  <c r="CS159" i="5"/>
  <c r="CT159" i="5"/>
  <c r="CS101" i="5"/>
  <c r="CT101" i="5"/>
  <c r="CS40" i="5"/>
  <c r="CT40" i="5"/>
  <c r="CT215" i="5"/>
  <c r="CS215" i="5"/>
  <c r="CS158" i="5"/>
  <c r="CT158" i="5"/>
  <c r="CS229" i="5"/>
  <c r="CT229" i="5"/>
  <c r="CS14" i="5"/>
  <c r="CT14" i="5"/>
  <c r="CS228" i="5"/>
  <c r="CT228" i="5"/>
  <c r="CS203" i="5"/>
  <c r="CT203" i="5"/>
  <c r="CS145" i="5"/>
  <c r="CT145" i="5"/>
  <c r="CT122" i="5"/>
  <c r="CS122" i="5"/>
  <c r="CS98" i="5"/>
  <c r="CT98" i="5"/>
  <c r="CS63" i="5"/>
  <c r="CT63" i="5"/>
  <c r="CS13" i="5"/>
  <c r="CT13" i="5"/>
  <c r="CS50" i="5"/>
  <c r="CT50" i="5"/>
  <c r="CS226" i="5"/>
  <c r="CT226" i="5"/>
  <c r="CS190" i="5"/>
  <c r="CT190" i="5"/>
  <c r="CS167" i="5"/>
  <c r="CT167" i="5"/>
  <c r="CS143" i="5"/>
  <c r="CT143" i="5"/>
  <c r="CS109" i="5"/>
  <c r="CT109" i="5"/>
  <c r="CS86" i="5"/>
  <c r="CT86" i="5"/>
  <c r="CS49" i="5"/>
  <c r="CT49" i="5"/>
  <c r="CS37" i="5"/>
  <c r="CT37" i="5"/>
  <c r="CS225" i="5"/>
  <c r="CT225" i="5"/>
  <c r="CS213" i="5"/>
  <c r="CT213" i="5"/>
  <c r="CT189" i="5"/>
  <c r="CS189" i="5"/>
  <c r="CS166" i="5"/>
  <c r="CT166" i="5"/>
  <c r="CS155" i="5"/>
  <c r="CT155" i="5"/>
  <c r="CS132" i="5"/>
  <c r="CT132" i="5"/>
  <c r="CS108" i="5"/>
  <c r="CT108" i="5"/>
  <c r="CS85" i="5"/>
  <c r="CT85" i="5"/>
  <c r="CS74" i="5"/>
  <c r="CT74" i="5"/>
  <c r="CS36" i="5"/>
  <c r="CT36" i="5"/>
  <c r="CS24" i="5"/>
  <c r="CT24" i="5"/>
  <c r="CS193" i="5"/>
  <c r="CT193" i="5"/>
  <c r="CS135" i="5"/>
  <c r="CT135" i="5"/>
  <c r="CS28" i="5"/>
  <c r="CT28" i="5"/>
  <c r="CS181" i="5"/>
  <c r="CT181" i="5"/>
  <c r="CS15" i="5"/>
  <c r="CT15" i="5"/>
  <c r="CS204" i="5"/>
  <c r="CT204" i="5"/>
  <c r="CS26" i="5"/>
  <c r="CT26" i="5"/>
  <c r="CT179" i="5"/>
  <c r="CS179" i="5"/>
  <c r="CS87" i="5"/>
  <c r="CT87" i="5"/>
  <c r="CS224" i="5"/>
  <c r="CT224" i="5"/>
  <c r="CS212" i="5"/>
  <c r="CT212" i="5"/>
  <c r="CS188" i="5"/>
  <c r="CT188" i="5"/>
  <c r="CS154" i="5"/>
  <c r="CT154" i="5"/>
  <c r="CT131" i="5"/>
  <c r="CS131" i="5"/>
  <c r="CT107" i="5"/>
  <c r="CS107" i="5"/>
  <c r="CS73" i="5"/>
  <c r="CT73" i="5"/>
  <c r="CT35" i="5"/>
  <c r="CS35" i="5"/>
  <c r="CS23" i="5"/>
  <c r="CT23" i="5"/>
  <c r="CS11" i="5"/>
  <c r="CT11" i="5"/>
  <c r="CS157" i="5"/>
  <c r="CT157" i="5"/>
  <c r="CS211" i="5"/>
  <c r="CT211" i="5"/>
  <c r="CS200" i="5"/>
  <c r="CT200" i="5"/>
  <c r="CS177" i="5"/>
  <c r="CT177" i="5"/>
  <c r="CS153" i="5"/>
  <c r="CT153" i="5"/>
  <c r="CS130" i="5"/>
  <c r="CT130" i="5"/>
  <c r="CS119" i="5"/>
  <c r="CT119" i="5"/>
  <c r="CS96" i="5"/>
  <c r="CT96" i="5"/>
  <c r="CS72" i="5"/>
  <c r="CT72" i="5"/>
  <c r="CS60" i="5"/>
  <c r="CT60" i="5"/>
  <c r="CS22" i="5"/>
  <c r="CT22" i="5"/>
  <c r="CS10" i="5"/>
  <c r="CT10" i="5"/>
  <c r="CS199" i="5"/>
  <c r="CT199" i="5"/>
  <c r="CS176" i="5"/>
  <c r="CT176" i="5"/>
  <c r="CS152" i="5"/>
  <c r="CT152" i="5"/>
  <c r="CS118" i="5"/>
  <c r="CT118" i="5"/>
  <c r="CS95" i="5"/>
  <c r="CT95" i="5"/>
  <c r="CT71" i="5"/>
  <c r="CS71" i="5"/>
  <c r="CS59" i="5"/>
  <c r="CT59" i="5"/>
  <c r="CS47" i="5"/>
  <c r="CT47" i="5"/>
  <c r="CS9" i="5"/>
  <c r="CT9" i="5"/>
  <c r="CS198" i="5"/>
  <c r="CT198" i="5"/>
  <c r="CS175" i="5"/>
  <c r="CT175" i="5"/>
  <c r="CS164" i="5"/>
  <c r="CT164" i="5"/>
  <c r="CS141" i="5"/>
  <c r="CT141" i="5"/>
  <c r="CS117" i="5"/>
  <c r="CT117" i="5"/>
  <c r="CS94" i="5"/>
  <c r="CT94" i="5"/>
  <c r="CS83" i="5"/>
  <c r="CT83" i="5"/>
  <c r="CS58" i="5"/>
  <c r="CT58" i="5"/>
  <c r="CS46" i="5"/>
  <c r="CT46" i="5"/>
  <c r="CT8" i="5"/>
  <c r="CS8" i="5"/>
  <c r="CT197" i="5"/>
  <c r="CS197" i="5"/>
  <c r="CS163" i="5"/>
  <c r="CT163" i="5"/>
  <c r="CT140" i="5"/>
  <c r="CS140" i="5"/>
  <c r="CS116" i="5"/>
  <c r="CT116" i="5"/>
  <c r="CS82" i="5"/>
  <c r="CT82" i="5"/>
  <c r="CS45" i="5"/>
  <c r="CT45" i="5"/>
  <c r="CS33" i="5"/>
  <c r="CT33" i="5"/>
  <c r="CS146" i="5"/>
  <c r="CT146" i="5"/>
  <c r="CS222" i="5"/>
  <c r="CT222" i="5"/>
  <c r="CS209" i="5"/>
  <c r="CT209" i="5"/>
  <c r="CS186" i="5"/>
  <c r="CT186" i="5"/>
  <c r="CS162" i="5"/>
  <c r="CT162" i="5"/>
  <c r="CS139" i="5"/>
  <c r="CT139" i="5"/>
  <c r="CS128" i="5"/>
  <c r="CT128" i="5"/>
  <c r="CS105" i="5"/>
  <c r="CT105" i="5"/>
  <c r="CS81" i="5"/>
  <c r="CT81" i="5"/>
  <c r="CS44" i="5"/>
  <c r="CT44" i="5"/>
  <c r="CS32" i="5"/>
  <c r="CT32" i="5"/>
  <c r="CS20" i="5"/>
  <c r="CT20" i="5"/>
  <c r="CS100" i="5"/>
  <c r="CT100" i="5"/>
  <c r="CS64" i="5"/>
  <c r="CT64" i="5"/>
  <c r="CS221" i="5"/>
  <c r="CT221" i="5"/>
  <c r="CS208" i="5"/>
  <c r="CT208" i="5"/>
  <c r="CT185" i="5"/>
  <c r="CS185" i="5"/>
  <c r="CT161" i="5"/>
  <c r="CS161" i="5"/>
  <c r="CS127" i="5"/>
  <c r="CT127" i="5"/>
  <c r="CS104" i="5"/>
  <c r="CT104" i="5"/>
  <c r="CS80" i="5"/>
  <c r="CT80" i="5"/>
  <c r="CS69" i="5"/>
  <c r="CT69" i="5"/>
  <c r="CS31" i="5"/>
  <c r="CT31" i="5"/>
  <c r="CS19" i="5"/>
  <c r="CT19" i="5"/>
  <c r="CS77" i="5"/>
  <c r="CT77" i="5"/>
  <c r="CS123" i="5"/>
  <c r="CT123" i="5"/>
  <c r="CT220" i="5"/>
  <c r="CS220" i="5"/>
  <c r="CS207" i="5"/>
  <c r="CT207" i="5"/>
  <c r="CS184" i="5"/>
  <c r="CT184" i="5"/>
  <c r="CS173" i="5"/>
  <c r="CT173" i="5"/>
  <c r="CS150" i="5"/>
  <c r="CT150" i="5"/>
  <c r="CS126" i="5"/>
  <c r="CT126" i="5"/>
  <c r="CS103" i="5"/>
  <c r="CT103" i="5"/>
  <c r="CS92" i="5"/>
  <c r="CT92" i="5"/>
  <c r="CS68" i="5"/>
  <c r="CT68" i="5"/>
  <c r="CS56" i="5"/>
  <c r="CT56" i="5"/>
  <c r="CS18" i="5"/>
  <c r="CT18" i="5"/>
  <c r="CS6" i="5"/>
  <c r="CT6" i="5"/>
  <c r="CS206" i="5"/>
  <c r="CT206" i="5"/>
  <c r="CS172" i="5"/>
  <c r="CT172" i="5"/>
  <c r="CS149" i="5"/>
  <c r="CT149" i="5"/>
  <c r="CT125" i="5"/>
  <c r="CS125" i="5"/>
  <c r="CS91" i="5"/>
  <c r="CT91" i="5"/>
  <c r="CS67" i="5"/>
  <c r="CT67" i="5"/>
  <c r="CS55" i="5"/>
  <c r="CT55" i="5"/>
  <c r="CS17" i="5"/>
  <c r="CT17" i="5"/>
  <c r="CS5" i="5"/>
  <c r="CT5" i="5"/>
  <c r="CS65" i="5"/>
  <c r="CT65" i="5"/>
  <c r="CS76" i="5"/>
  <c r="CT76" i="5"/>
  <c r="CS114" i="5"/>
  <c r="CT114" i="5"/>
  <c r="CT3" i="5"/>
  <c r="CS3" i="5"/>
  <c r="CO224" i="5"/>
  <c r="CP224" i="5"/>
  <c r="CO223" i="5"/>
  <c r="CP223" i="5"/>
  <c r="CP196" i="5"/>
  <c r="CO196" i="5"/>
  <c r="CO182" i="5"/>
  <c r="CP182" i="5"/>
  <c r="CO151" i="5"/>
  <c r="CP151" i="5"/>
  <c r="CO137" i="5"/>
  <c r="CP137" i="5"/>
  <c r="CO121" i="5"/>
  <c r="CP121" i="5"/>
  <c r="CO107" i="5"/>
  <c r="CP107" i="5"/>
  <c r="CO77" i="5"/>
  <c r="CP77" i="5"/>
  <c r="CO63" i="5"/>
  <c r="CP63" i="5"/>
  <c r="CO33" i="5"/>
  <c r="CP33" i="5"/>
  <c r="CO19" i="5"/>
  <c r="CP19" i="5"/>
  <c r="CO221" i="5"/>
  <c r="CP221" i="5"/>
  <c r="CO194" i="5"/>
  <c r="CP194" i="5"/>
  <c r="CO31" i="5"/>
  <c r="CP31" i="5"/>
  <c r="CP179" i="5"/>
  <c r="CO179" i="5"/>
  <c r="CO164" i="5"/>
  <c r="CP164" i="5"/>
  <c r="CO148" i="5"/>
  <c r="CP148" i="5"/>
  <c r="CO206" i="5"/>
  <c r="CP206" i="5"/>
  <c r="CO177" i="5"/>
  <c r="CP177" i="5"/>
  <c r="CO132" i="5"/>
  <c r="CP132" i="5"/>
  <c r="CO118" i="5"/>
  <c r="CP118" i="5"/>
  <c r="CP88" i="5"/>
  <c r="CO88" i="5"/>
  <c r="CO74" i="5"/>
  <c r="CP74" i="5"/>
  <c r="CO58" i="5"/>
  <c r="CP58" i="5"/>
  <c r="CP44" i="5"/>
  <c r="CO44" i="5"/>
  <c r="CO14" i="5"/>
  <c r="CP14" i="5"/>
  <c r="CP134" i="5"/>
  <c r="CO134" i="5"/>
  <c r="CO104" i="5"/>
  <c r="CP104" i="5"/>
  <c r="CO90" i="5"/>
  <c r="CP90" i="5"/>
  <c r="CO60" i="5"/>
  <c r="CP60" i="5"/>
  <c r="CO46" i="5"/>
  <c r="CP46" i="5"/>
  <c r="CP16" i="5"/>
  <c r="CO16" i="5"/>
  <c r="CO89" i="5"/>
  <c r="CP89" i="5"/>
  <c r="CO59" i="5"/>
  <c r="CP59" i="5"/>
  <c r="CO45" i="5"/>
  <c r="CP45" i="5"/>
  <c r="CO15" i="5"/>
  <c r="CP15" i="5"/>
  <c r="CO162" i="5"/>
  <c r="CP162" i="5"/>
  <c r="CP232" i="5"/>
  <c r="CO232" i="5"/>
  <c r="CP205" i="5"/>
  <c r="CO205" i="5"/>
  <c r="CO176" i="5"/>
  <c r="CP176" i="5"/>
  <c r="CP161" i="5"/>
  <c r="CO161" i="5"/>
  <c r="CO131" i="5"/>
  <c r="CP131" i="5"/>
  <c r="CO117" i="5"/>
  <c r="CP117" i="5"/>
  <c r="CO87" i="5"/>
  <c r="CP87" i="5"/>
  <c r="CO73" i="5"/>
  <c r="CP73" i="5"/>
  <c r="CP43" i="5"/>
  <c r="CO43" i="5"/>
  <c r="CO29" i="5"/>
  <c r="CP29" i="5"/>
  <c r="CO13" i="5"/>
  <c r="CP13" i="5"/>
  <c r="CO181" i="5"/>
  <c r="CP181" i="5"/>
  <c r="CO178" i="5"/>
  <c r="CP178" i="5"/>
  <c r="CO163" i="5"/>
  <c r="CP163" i="5"/>
  <c r="CP133" i="5"/>
  <c r="CO133" i="5"/>
  <c r="CO119" i="5"/>
  <c r="CP119" i="5"/>
  <c r="CO103" i="5"/>
  <c r="CP103" i="5"/>
  <c r="CO231" i="5"/>
  <c r="CP231" i="5"/>
  <c r="CO218" i="5"/>
  <c r="CP218" i="5"/>
  <c r="CO204" i="5"/>
  <c r="CP204" i="5"/>
  <c r="CO191" i="5"/>
  <c r="CP191" i="5"/>
  <c r="CP175" i="5"/>
  <c r="CO175" i="5"/>
  <c r="CP160" i="5"/>
  <c r="CO160" i="5"/>
  <c r="CO146" i="5"/>
  <c r="CP146" i="5"/>
  <c r="CO130" i="5"/>
  <c r="CP130" i="5"/>
  <c r="CP116" i="5"/>
  <c r="CO116" i="5"/>
  <c r="CO86" i="5"/>
  <c r="CP86" i="5"/>
  <c r="CO72" i="5"/>
  <c r="CP72" i="5"/>
  <c r="CO42" i="5"/>
  <c r="CP42" i="5"/>
  <c r="CO28" i="5"/>
  <c r="CP28" i="5"/>
  <c r="CO222" i="5"/>
  <c r="CP222" i="5"/>
  <c r="CO209" i="5"/>
  <c r="CP209" i="5"/>
  <c r="CO195" i="5"/>
  <c r="CP195" i="5"/>
  <c r="CO150" i="5"/>
  <c r="CP150" i="5"/>
  <c r="CO32" i="5"/>
  <c r="CP32" i="5"/>
  <c r="CP61" i="5"/>
  <c r="CO61" i="5"/>
  <c r="CO203" i="5"/>
  <c r="CP203" i="5"/>
  <c r="CO159" i="5"/>
  <c r="CP159" i="5"/>
  <c r="CO145" i="5"/>
  <c r="CP145" i="5"/>
  <c r="CP115" i="5"/>
  <c r="CO115" i="5"/>
  <c r="CO101" i="5"/>
  <c r="CP101" i="5"/>
  <c r="CO71" i="5"/>
  <c r="CP71" i="5"/>
  <c r="CO41" i="5"/>
  <c r="CP41" i="5"/>
  <c r="CO27" i="5"/>
  <c r="CP27" i="5"/>
  <c r="CO17" i="5"/>
  <c r="CP17" i="5"/>
  <c r="CO193" i="5"/>
  <c r="CP193" i="5"/>
  <c r="CO230" i="5"/>
  <c r="CP230" i="5"/>
  <c r="CO217" i="5"/>
  <c r="CP217" i="5"/>
  <c r="CO190" i="5"/>
  <c r="CP190" i="5"/>
  <c r="CO85" i="5"/>
  <c r="CP85" i="5"/>
  <c r="CO229" i="5"/>
  <c r="CO216" i="5"/>
  <c r="CO202" i="5"/>
  <c r="CP202" i="5"/>
  <c r="CO189" i="5"/>
  <c r="CP189" i="5"/>
  <c r="CO158" i="5"/>
  <c r="CP158" i="5"/>
  <c r="CO144" i="5"/>
  <c r="CP144" i="5"/>
  <c r="CO114" i="5"/>
  <c r="CP114" i="5"/>
  <c r="CO100" i="5"/>
  <c r="CP100" i="5"/>
  <c r="CP70" i="5"/>
  <c r="CO70" i="5"/>
  <c r="CO56" i="5"/>
  <c r="CP56" i="5"/>
  <c r="CO40" i="5"/>
  <c r="CP40" i="5"/>
  <c r="CP26" i="5"/>
  <c r="CO26" i="5"/>
  <c r="CO188" i="5"/>
  <c r="CP188" i="5"/>
  <c r="CO173" i="5"/>
  <c r="CP173" i="5"/>
  <c r="CO157" i="5"/>
  <c r="CP157" i="5"/>
  <c r="CO143" i="5"/>
  <c r="CP143" i="5"/>
  <c r="CO113" i="5"/>
  <c r="CP113" i="5"/>
  <c r="CO99" i="5"/>
  <c r="CP99" i="5"/>
  <c r="CO69" i="5"/>
  <c r="CP69" i="5"/>
  <c r="CO55" i="5"/>
  <c r="CP55" i="5"/>
  <c r="CP25" i="5"/>
  <c r="CO25" i="5"/>
  <c r="CO11" i="5"/>
  <c r="CP11" i="5"/>
  <c r="CP98" i="5"/>
  <c r="CO98" i="5"/>
  <c r="CO68" i="5"/>
  <c r="CP68" i="5"/>
  <c r="CO54" i="5"/>
  <c r="CP54" i="5"/>
  <c r="CO24" i="5"/>
  <c r="CP24" i="5"/>
  <c r="CO10" i="5"/>
  <c r="CP10" i="5"/>
  <c r="CP215" i="5"/>
  <c r="CO215" i="5"/>
  <c r="CO187" i="5"/>
  <c r="CP187" i="5"/>
  <c r="CO172" i="5"/>
  <c r="CP172" i="5"/>
  <c r="CP142" i="5"/>
  <c r="CO142" i="5"/>
  <c r="CO128" i="5"/>
  <c r="CP128" i="5"/>
  <c r="CP112" i="5"/>
  <c r="CO112" i="5"/>
  <c r="CP214" i="5"/>
  <c r="CO214" i="5"/>
  <c r="CO186" i="5"/>
  <c r="CP186" i="5"/>
  <c r="CO171" i="5"/>
  <c r="CP171" i="5"/>
  <c r="CO141" i="5"/>
  <c r="CP141" i="5"/>
  <c r="CO127" i="5"/>
  <c r="CP127" i="5"/>
  <c r="CP97" i="5"/>
  <c r="CO97" i="5"/>
  <c r="CO83" i="5"/>
  <c r="CP83" i="5"/>
  <c r="CO67" i="5"/>
  <c r="CP67" i="5"/>
  <c r="CO53" i="5"/>
  <c r="CP53" i="5"/>
  <c r="CO23" i="5"/>
  <c r="CP23" i="5"/>
  <c r="CO9" i="5"/>
  <c r="CP9" i="5"/>
  <c r="CO136" i="5"/>
  <c r="CP136" i="5"/>
  <c r="CO170" i="5"/>
  <c r="CP170" i="5"/>
  <c r="CO140" i="5"/>
  <c r="CP140" i="5"/>
  <c r="CO126" i="5"/>
  <c r="CP126" i="5"/>
  <c r="CO96" i="5"/>
  <c r="CP96" i="5"/>
  <c r="CO82" i="5"/>
  <c r="CP82" i="5"/>
  <c r="CP52" i="5"/>
  <c r="CO52" i="5"/>
  <c r="CO38" i="5"/>
  <c r="CP38" i="5"/>
  <c r="CO22" i="5"/>
  <c r="CP22" i="5"/>
  <c r="CP8" i="5"/>
  <c r="CO8" i="5"/>
  <c r="CO76" i="5"/>
  <c r="CP76" i="5"/>
  <c r="CO91" i="5"/>
  <c r="CP91" i="5"/>
  <c r="CO212" i="5"/>
  <c r="CP212" i="5"/>
  <c r="CO199" i="5"/>
  <c r="CP199" i="5"/>
  <c r="CO184" i="5"/>
  <c r="CP184" i="5"/>
  <c r="CO169" i="5"/>
  <c r="CP169" i="5"/>
  <c r="CO155" i="5"/>
  <c r="CP155" i="5"/>
  <c r="CP139" i="5"/>
  <c r="CO139" i="5"/>
  <c r="CO125" i="5"/>
  <c r="CP125" i="5"/>
  <c r="CO95" i="5"/>
  <c r="CP95" i="5"/>
  <c r="CO81" i="5"/>
  <c r="CP81" i="5"/>
  <c r="CO51" i="5"/>
  <c r="CP51" i="5"/>
  <c r="CO37" i="5"/>
  <c r="CP37" i="5"/>
  <c r="CP7" i="5"/>
  <c r="CO7" i="5"/>
  <c r="CP62" i="5"/>
  <c r="CO62" i="5"/>
  <c r="CO18" i="5"/>
  <c r="CP18" i="5"/>
  <c r="CO208" i="5"/>
  <c r="CP208" i="5"/>
  <c r="CO180" i="5"/>
  <c r="CP180" i="5"/>
  <c r="CO149" i="5"/>
  <c r="CP149" i="5"/>
  <c r="CO135" i="5"/>
  <c r="CP135" i="5"/>
  <c r="CO47" i="5"/>
  <c r="CP47" i="5"/>
  <c r="CO207" i="5"/>
  <c r="CO227" i="5"/>
  <c r="CP227" i="5"/>
  <c r="CO213" i="5"/>
  <c r="CP213" i="5"/>
  <c r="CO200" i="5"/>
  <c r="CP200" i="5"/>
  <c r="CO185" i="5"/>
  <c r="CP185" i="5"/>
  <c r="CO226" i="5"/>
  <c r="CP226" i="5"/>
  <c r="CO225" i="5"/>
  <c r="CO168" i="5"/>
  <c r="CP168" i="5"/>
  <c r="CO154" i="5"/>
  <c r="CP154" i="5"/>
  <c r="CP124" i="5"/>
  <c r="CO124" i="5"/>
  <c r="CO110" i="5"/>
  <c r="CP110" i="5"/>
  <c r="CO94" i="5"/>
  <c r="CP94" i="5"/>
  <c r="CP80" i="5"/>
  <c r="CO80" i="5"/>
  <c r="CO50" i="5"/>
  <c r="CP50" i="5"/>
  <c r="CO36" i="5"/>
  <c r="CP36" i="5"/>
  <c r="CO6" i="5"/>
  <c r="CP6" i="5"/>
  <c r="CO92" i="5"/>
  <c r="CP92" i="5"/>
  <c r="CO105" i="5"/>
  <c r="CP105" i="5"/>
  <c r="CO167" i="5"/>
  <c r="CP167" i="5"/>
  <c r="CO153" i="5"/>
  <c r="CP153" i="5"/>
  <c r="CO123" i="5"/>
  <c r="CP123" i="5"/>
  <c r="CO109" i="5"/>
  <c r="CP109" i="5"/>
  <c r="CP79" i="5"/>
  <c r="CO79" i="5"/>
  <c r="CO65" i="5"/>
  <c r="CP65" i="5"/>
  <c r="CO49" i="5"/>
  <c r="CP49" i="5"/>
  <c r="CO35" i="5"/>
  <c r="CP35" i="5"/>
  <c r="CO5" i="5"/>
  <c r="CP5" i="5"/>
  <c r="CP106" i="5"/>
  <c r="CO106" i="5"/>
  <c r="CP197" i="5"/>
  <c r="CO197" i="5"/>
  <c r="CO166" i="5"/>
  <c r="CP166" i="5"/>
  <c r="CO152" i="5"/>
  <c r="CP152" i="5"/>
  <c r="CO122" i="5"/>
  <c r="CP122" i="5"/>
  <c r="CO108" i="5"/>
  <c r="CP108" i="5"/>
  <c r="CO78" i="5"/>
  <c r="CP78" i="5"/>
  <c r="CO64" i="5"/>
  <c r="CP64" i="5"/>
  <c r="CP34" i="5"/>
  <c r="CO34" i="5"/>
  <c r="CO20" i="5"/>
  <c r="CP20" i="5"/>
  <c r="CO4" i="5"/>
  <c r="CP4" i="5"/>
  <c r="CP3" i="5"/>
  <c r="CO3" i="5"/>
  <c r="CK221" i="5"/>
  <c r="CL221" i="5"/>
  <c r="CK205" i="5"/>
  <c r="CL205" i="5"/>
  <c r="CK191" i="5"/>
  <c r="CL191" i="5"/>
  <c r="CK176" i="5"/>
  <c r="CL176" i="5"/>
  <c r="CK130" i="5"/>
  <c r="CL130" i="5"/>
  <c r="CK114" i="5"/>
  <c r="CL114" i="5"/>
  <c r="CK82" i="5"/>
  <c r="CL82" i="5"/>
  <c r="CL66" i="5"/>
  <c r="CK66" i="5"/>
  <c r="CK50" i="5"/>
  <c r="CL50" i="5"/>
  <c r="CK34" i="5"/>
  <c r="CL34" i="5"/>
  <c r="CK162" i="5"/>
  <c r="CL162" i="5"/>
  <c r="CK131" i="5"/>
  <c r="CL131" i="5"/>
  <c r="CK115" i="5"/>
  <c r="CL115" i="5"/>
  <c r="CK99" i="5"/>
  <c r="CL99" i="5"/>
  <c r="CK83" i="5"/>
  <c r="CL83" i="5"/>
  <c r="CK67" i="5"/>
  <c r="CL67" i="5"/>
  <c r="CK51" i="5"/>
  <c r="CL51" i="5"/>
  <c r="CK18" i="5"/>
  <c r="CL18" i="5"/>
  <c r="CK232" i="5"/>
  <c r="CL232" i="5"/>
  <c r="CK219" i="5"/>
  <c r="CL219" i="5"/>
  <c r="CK204" i="5"/>
  <c r="CL204" i="5"/>
  <c r="CK190" i="5"/>
  <c r="CL190" i="5"/>
  <c r="CK175" i="5"/>
  <c r="CL147" i="5"/>
  <c r="CK147" i="5"/>
  <c r="CK129" i="5"/>
  <c r="CL129" i="5"/>
  <c r="CK113" i="5"/>
  <c r="CL113" i="5"/>
  <c r="CK81" i="5"/>
  <c r="CL81" i="5"/>
  <c r="CK65" i="5"/>
  <c r="CL65" i="5"/>
  <c r="CK49" i="5"/>
  <c r="CL49" i="5"/>
  <c r="CK33" i="5"/>
  <c r="CL33" i="5"/>
  <c r="CK178" i="5"/>
  <c r="CL178" i="5"/>
  <c r="CK163" i="5"/>
  <c r="CL163" i="5"/>
  <c r="CK149" i="5"/>
  <c r="CL149" i="5"/>
  <c r="CK132" i="5"/>
  <c r="CL132" i="5"/>
  <c r="CK100" i="5"/>
  <c r="CL100" i="5"/>
  <c r="CL84" i="5"/>
  <c r="CK84" i="5"/>
  <c r="CK68" i="5"/>
  <c r="CL68" i="5"/>
  <c r="CK52" i="5"/>
  <c r="CL52" i="5"/>
  <c r="CK19" i="5"/>
  <c r="CL19" i="5"/>
  <c r="CK220" i="5"/>
  <c r="CL192" i="5"/>
  <c r="CK192" i="5"/>
  <c r="CK177" i="5"/>
  <c r="CL177" i="5"/>
  <c r="CK231" i="5"/>
  <c r="CL231" i="5"/>
  <c r="CK218" i="5"/>
  <c r="CL218" i="5"/>
  <c r="CK203" i="5"/>
  <c r="CL203" i="5"/>
  <c r="CK146" i="5"/>
  <c r="CL146" i="5"/>
  <c r="CK128" i="5"/>
  <c r="CL128" i="5"/>
  <c r="CK112" i="5"/>
  <c r="CL112" i="5"/>
  <c r="CK97" i="5"/>
  <c r="CL97" i="5"/>
  <c r="CK64" i="5"/>
  <c r="CL64" i="5"/>
  <c r="CL48" i="5"/>
  <c r="CK48" i="5"/>
  <c r="CK32" i="5"/>
  <c r="CL32" i="5"/>
  <c r="CK16" i="5"/>
  <c r="CL16" i="5"/>
  <c r="CK189" i="5"/>
  <c r="CL189" i="5"/>
  <c r="CK230" i="5"/>
  <c r="CL230" i="5"/>
  <c r="CK217" i="5"/>
  <c r="CL217" i="5"/>
  <c r="CK202" i="5"/>
  <c r="CK188" i="5"/>
  <c r="CL174" i="5"/>
  <c r="CK174" i="5"/>
  <c r="CK160" i="5"/>
  <c r="CL160" i="5"/>
  <c r="CK145" i="5"/>
  <c r="CL145" i="5"/>
  <c r="CK127" i="5"/>
  <c r="CL127" i="5"/>
  <c r="CL111" i="5"/>
  <c r="CK96" i="5"/>
  <c r="CL96" i="5"/>
  <c r="CK63" i="5"/>
  <c r="CL63" i="5"/>
  <c r="CK47" i="5"/>
  <c r="CL47" i="5"/>
  <c r="CK31" i="5"/>
  <c r="CL31" i="5"/>
  <c r="CK15" i="5"/>
  <c r="CL15" i="5"/>
  <c r="CK173" i="5"/>
  <c r="CL173" i="5"/>
  <c r="CK14" i="5"/>
  <c r="CL14" i="5"/>
  <c r="CK215" i="5"/>
  <c r="CL201" i="5"/>
  <c r="CK201" i="5"/>
  <c r="CK187" i="5"/>
  <c r="CL187" i="5"/>
  <c r="CK172" i="5"/>
  <c r="CL172" i="5"/>
  <c r="CK158" i="5"/>
  <c r="CL158" i="5"/>
  <c r="CK143" i="5"/>
  <c r="CL143" i="5"/>
  <c r="CK110" i="5"/>
  <c r="CL110" i="5"/>
  <c r="CK94" i="5"/>
  <c r="CL94" i="5"/>
  <c r="CK78" i="5"/>
  <c r="CL78" i="5"/>
  <c r="CK45" i="5"/>
  <c r="CL45" i="5"/>
  <c r="CK29" i="5"/>
  <c r="CL29" i="5"/>
  <c r="CK13" i="5"/>
  <c r="CL13" i="5"/>
  <c r="CK216" i="5"/>
  <c r="CL216" i="5"/>
  <c r="CK159" i="5"/>
  <c r="CL159" i="5"/>
  <c r="CK144" i="5"/>
  <c r="CL144" i="5"/>
  <c r="CK126" i="5"/>
  <c r="CL126" i="5"/>
  <c r="CK95" i="5"/>
  <c r="CL95" i="5"/>
  <c r="CK79" i="5"/>
  <c r="CL79" i="5"/>
  <c r="CK46" i="5"/>
  <c r="CL46" i="5"/>
  <c r="CL30" i="5"/>
  <c r="CK30" i="5"/>
  <c r="CL228" i="5"/>
  <c r="CK200" i="5"/>
  <c r="CL200" i="5"/>
  <c r="CK186" i="5"/>
  <c r="CL186" i="5"/>
  <c r="CK171" i="5"/>
  <c r="CL171" i="5"/>
  <c r="CK157" i="5"/>
  <c r="CK142" i="5"/>
  <c r="CL142" i="5"/>
  <c r="CK109" i="5"/>
  <c r="CL109" i="5"/>
  <c r="CL93" i="5"/>
  <c r="CK93" i="5"/>
  <c r="CK77" i="5"/>
  <c r="CL77" i="5"/>
  <c r="CK61" i="5"/>
  <c r="CL61" i="5"/>
  <c r="CK28" i="5"/>
  <c r="CL28" i="5"/>
  <c r="CL12" i="5"/>
  <c r="CK12" i="5"/>
  <c r="CK198" i="5"/>
  <c r="CL198" i="5"/>
  <c r="CK156" i="5"/>
  <c r="CL156" i="5"/>
  <c r="CK123" i="5"/>
  <c r="CL123" i="5"/>
  <c r="CK91" i="5"/>
  <c r="CL91" i="5"/>
  <c r="CK10" i="5"/>
  <c r="CL10" i="5"/>
  <c r="CK226" i="5"/>
  <c r="CL226" i="5"/>
  <c r="CK212" i="5"/>
  <c r="CL212" i="5"/>
  <c r="CK169" i="5"/>
  <c r="CL169" i="5"/>
  <c r="CK155" i="5"/>
  <c r="CL155" i="5"/>
  <c r="CK139" i="5"/>
  <c r="CL139" i="5"/>
  <c r="CK122" i="5"/>
  <c r="CL122" i="5"/>
  <c r="CK90" i="5"/>
  <c r="CL90" i="5"/>
  <c r="CK74" i="5"/>
  <c r="CL74" i="5"/>
  <c r="CK58" i="5"/>
  <c r="CL58" i="5"/>
  <c r="CK42" i="5"/>
  <c r="CL42" i="5"/>
  <c r="CK9" i="5"/>
  <c r="CL9" i="5"/>
  <c r="CK60" i="5"/>
  <c r="CL60" i="5"/>
  <c r="CK43" i="5"/>
  <c r="CL43" i="5"/>
  <c r="CK225" i="5"/>
  <c r="CL225" i="5"/>
  <c r="CK211" i="5"/>
  <c r="CL183" i="5"/>
  <c r="CK183" i="5"/>
  <c r="CK168" i="5"/>
  <c r="CL168" i="5"/>
  <c r="CK154" i="5"/>
  <c r="CL154" i="5"/>
  <c r="CK138" i="5"/>
  <c r="CL138" i="5"/>
  <c r="CK121" i="5"/>
  <c r="CL121" i="5"/>
  <c r="CK106" i="5"/>
  <c r="CL106" i="5"/>
  <c r="CK73" i="5"/>
  <c r="CL73" i="5"/>
  <c r="CL57" i="5"/>
  <c r="CK57" i="5"/>
  <c r="CK41" i="5"/>
  <c r="CL41" i="5"/>
  <c r="CK25" i="5"/>
  <c r="CL25" i="5"/>
  <c r="CK124" i="5"/>
  <c r="CL124" i="5"/>
  <c r="CK108" i="5"/>
  <c r="CL108" i="5"/>
  <c r="CK76" i="5"/>
  <c r="CL76" i="5"/>
  <c r="CK11" i="5"/>
  <c r="CL11" i="5"/>
  <c r="CK213" i="5"/>
  <c r="CL213" i="5"/>
  <c r="CK140" i="5"/>
  <c r="CL140" i="5"/>
  <c r="CK59" i="5"/>
  <c r="CL59" i="5"/>
  <c r="CK182" i="5"/>
  <c r="CL182" i="5"/>
  <c r="CK167" i="5"/>
  <c r="CL167" i="5"/>
  <c r="CK153" i="5"/>
  <c r="CL153" i="5"/>
  <c r="CK137" i="5"/>
  <c r="CL137" i="5"/>
  <c r="CL120" i="5"/>
  <c r="CK120" i="5"/>
  <c r="CK105" i="5"/>
  <c r="CL105" i="5"/>
  <c r="CK72" i="5"/>
  <c r="CL72" i="5"/>
  <c r="CK56" i="5"/>
  <c r="CL56" i="5"/>
  <c r="CK40" i="5"/>
  <c r="CL40" i="5"/>
  <c r="CK24" i="5"/>
  <c r="CL24" i="5"/>
  <c r="CL210" i="5"/>
  <c r="CK210" i="5"/>
  <c r="CK196" i="5"/>
  <c r="CL196" i="5"/>
  <c r="CK181" i="5"/>
  <c r="CL181" i="5"/>
  <c r="CK166" i="5"/>
  <c r="CK152" i="5"/>
  <c r="CK136" i="5"/>
  <c r="CL136" i="5"/>
  <c r="CK119" i="5"/>
  <c r="CL119" i="5"/>
  <c r="CK104" i="5"/>
  <c r="CL104" i="5"/>
  <c r="CK88" i="5"/>
  <c r="CL88" i="5"/>
  <c r="CK55" i="5"/>
  <c r="CL55" i="5"/>
  <c r="CL39" i="5"/>
  <c r="CK39" i="5"/>
  <c r="CK23" i="5"/>
  <c r="CL23" i="5"/>
  <c r="CK7" i="5"/>
  <c r="CL7" i="5"/>
  <c r="CK214" i="5"/>
  <c r="CL214" i="5"/>
  <c r="CK199" i="5"/>
  <c r="CL199" i="5"/>
  <c r="CK185" i="5"/>
  <c r="CL185" i="5"/>
  <c r="CK141" i="5"/>
  <c r="CL141" i="5"/>
  <c r="CK92" i="5"/>
  <c r="CL92" i="5"/>
  <c r="CK27" i="5"/>
  <c r="CL27" i="5"/>
  <c r="CK227" i="5"/>
  <c r="CL227" i="5"/>
  <c r="CK209" i="5"/>
  <c r="CL209" i="5"/>
  <c r="CK195" i="5"/>
  <c r="CL195" i="5"/>
  <c r="CK135" i="5"/>
  <c r="CL135" i="5"/>
  <c r="CK118" i="5"/>
  <c r="CL118" i="5"/>
  <c r="CK103" i="5"/>
  <c r="CL103" i="5"/>
  <c r="CK87" i="5"/>
  <c r="CL87" i="5"/>
  <c r="CK54" i="5"/>
  <c r="CL54" i="5"/>
  <c r="CK38" i="5"/>
  <c r="CL38" i="5"/>
  <c r="CK22" i="5"/>
  <c r="CL22" i="5"/>
  <c r="CK6" i="5"/>
  <c r="CL6" i="5"/>
  <c r="CK223" i="5"/>
  <c r="CL223" i="5"/>
  <c r="CK208" i="5"/>
  <c r="CL208" i="5"/>
  <c r="CK194" i="5"/>
  <c r="CL194" i="5"/>
  <c r="CL165" i="5"/>
  <c r="CK165" i="5"/>
  <c r="CK151" i="5"/>
  <c r="CL151" i="5"/>
  <c r="CK134" i="5"/>
  <c r="CL134" i="5"/>
  <c r="CK117" i="5"/>
  <c r="CL117" i="5"/>
  <c r="CL102" i="5"/>
  <c r="CK102" i="5"/>
  <c r="CK86" i="5"/>
  <c r="CL86" i="5"/>
  <c r="CK70" i="5"/>
  <c r="CL70" i="5"/>
  <c r="CK37" i="5"/>
  <c r="CL37" i="5"/>
  <c r="CL21" i="5"/>
  <c r="CK21" i="5"/>
  <c r="CK5" i="5"/>
  <c r="CL5" i="5"/>
  <c r="CL75" i="5"/>
  <c r="CK75" i="5"/>
  <c r="CK180" i="5"/>
  <c r="CL180" i="5"/>
  <c r="CK222" i="5"/>
  <c r="CL222" i="5"/>
  <c r="CK207" i="5"/>
  <c r="CL207" i="5"/>
  <c r="CK193" i="5"/>
  <c r="CK164" i="5"/>
  <c r="CL164" i="5"/>
  <c r="CK150" i="5"/>
  <c r="CL150" i="5"/>
  <c r="CK133" i="5"/>
  <c r="CL133" i="5"/>
  <c r="CK101" i="5"/>
  <c r="CL101" i="5"/>
  <c r="CK85" i="5"/>
  <c r="CL85" i="5"/>
  <c r="CK69" i="5"/>
  <c r="CL69" i="5"/>
  <c r="CK36" i="5"/>
  <c r="CL36" i="5"/>
  <c r="CK20" i="5"/>
  <c r="CL20" i="5"/>
  <c r="CK4" i="5"/>
  <c r="CL4" i="5"/>
  <c r="CL125" i="5"/>
  <c r="CL116" i="5"/>
  <c r="CL107" i="5"/>
  <c r="CL98" i="5"/>
  <c r="CL89" i="5"/>
  <c r="CL80" i="5"/>
  <c r="CL71" i="5"/>
  <c r="CL62" i="5"/>
  <c r="CL53" i="5"/>
  <c r="CL44" i="5"/>
  <c r="CL35" i="5"/>
  <c r="CL26" i="5"/>
  <c r="CL17" i="5"/>
  <c r="CL8" i="5"/>
  <c r="CK3" i="5"/>
  <c r="CG103" i="5"/>
  <c r="CH103" i="5"/>
  <c r="CG119" i="5"/>
  <c r="CH119" i="5"/>
  <c r="CG218" i="5"/>
  <c r="CH218" i="5"/>
  <c r="CG60" i="5"/>
  <c r="CH60" i="5"/>
  <c r="CG165" i="5"/>
  <c r="CH165" i="5"/>
  <c r="CG59" i="5"/>
  <c r="CH59" i="5"/>
  <c r="CG200" i="5"/>
  <c r="CH200" i="5"/>
  <c r="CG44" i="5"/>
  <c r="CH44" i="5"/>
  <c r="CH215" i="5"/>
  <c r="CG215" i="5"/>
  <c r="CG163" i="5"/>
  <c r="CH163" i="5"/>
  <c r="CG13" i="5"/>
  <c r="CH13" i="5"/>
  <c r="CG198" i="5"/>
  <c r="CH198" i="5"/>
  <c r="CG146" i="5"/>
  <c r="CH146" i="5"/>
  <c r="CG116" i="5"/>
  <c r="CH116" i="5"/>
  <c r="CG231" i="5"/>
  <c r="CH231" i="5"/>
  <c r="CH197" i="5"/>
  <c r="CG197" i="5"/>
  <c r="CG161" i="5"/>
  <c r="CH161" i="5"/>
  <c r="CH115" i="5"/>
  <c r="CG115" i="5"/>
  <c r="CG85" i="5"/>
  <c r="CH85" i="5"/>
  <c r="CG230" i="5"/>
  <c r="CH230" i="5"/>
  <c r="CG212" i="5"/>
  <c r="CH212" i="5"/>
  <c r="CG196" i="5"/>
  <c r="CH196" i="5"/>
  <c r="CH178" i="5"/>
  <c r="CG178" i="5"/>
  <c r="CG160" i="5"/>
  <c r="CH160" i="5"/>
  <c r="CG144" i="5"/>
  <c r="CH144" i="5"/>
  <c r="CG114" i="5"/>
  <c r="CH114" i="5"/>
  <c r="CG100" i="5"/>
  <c r="CH100" i="5"/>
  <c r="CH70" i="5"/>
  <c r="CG70" i="5"/>
  <c r="CG56" i="5"/>
  <c r="CH56" i="5"/>
  <c r="CG40" i="5"/>
  <c r="CH40" i="5"/>
  <c r="CG26" i="5"/>
  <c r="CH26" i="5"/>
  <c r="CG46" i="5"/>
  <c r="CH46" i="5"/>
  <c r="CG45" i="5"/>
  <c r="CH45" i="5"/>
  <c r="CG182" i="5"/>
  <c r="CH182" i="5"/>
  <c r="CG58" i="5"/>
  <c r="CH58" i="5"/>
  <c r="CG199" i="5"/>
  <c r="CH199" i="5"/>
  <c r="CG131" i="5"/>
  <c r="CH131" i="5"/>
  <c r="CG117" i="5"/>
  <c r="CH117" i="5"/>
  <c r="CG87" i="5"/>
  <c r="CH87" i="5"/>
  <c r="CG29" i="5"/>
  <c r="CH29" i="5"/>
  <c r="CG214" i="5"/>
  <c r="CH214" i="5"/>
  <c r="CG180" i="5"/>
  <c r="CH180" i="5"/>
  <c r="CG130" i="5"/>
  <c r="CH130" i="5"/>
  <c r="CG28" i="5"/>
  <c r="CH28" i="5"/>
  <c r="CG213" i="5"/>
  <c r="CH213" i="5"/>
  <c r="CG179" i="5"/>
  <c r="CH179" i="5"/>
  <c r="CG145" i="5"/>
  <c r="CH145" i="5"/>
  <c r="CG101" i="5"/>
  <c r="CH101" i="5"/>
  <c r="CH71" i="5"/>
  <c r="CG71" i="5"/>
  <c r="CG41" i="5"/>
  <c r="CH41" i="5"/>
  <c r="CG27" i="5"/>
  <c r="CH27" i="5"/>
  <c r="CG229" i="5"/>
  <c r="CH229" i="5"/>
  <c r="CH211" i="5"/>
  <c r="CG211" i="5"/>
  <c r="CG195" i="5"/>
  <c r="CH195" i="5"/>
  <c r="CG177" i="5"/>
  <c r="CH177" i="5"/>
  <c r="CG159" i="5"/>
  <c r="CH159" i="5"/>
  <c r="CG143" i="5"/>
  <c r="CH143" i="5"/>
  <c r="CG113" i="5"/>
  <c r="CH113" i="5"/>
  <c r="CG99" i="5"/>
  <c r="CH99" i="5"/>
  <c r="CG69" i="5"/>
  <c r="CH69" i="5"/>
  <c r="CG55" i="5"/>
  <c r="CH55" i="5"/>
  <c r="CH25" i="5"/>
  <c r="CG25" i="5"/>
  <c r="CG11" i="5"/>
  <c r="CH11" i="5"/>
  <c r="CG166" i="5"/>
  <c r="CH166" i="5"/>
  <c r="CG74" i="5"/>
  <c r="CH74" i="5"/>
  <c r="CG73" i="5"/>
  <c r="CH73" i="5"/>
  <c r="CG210" i="5"/>
  <c r="CH210" i="5"/>
  <c r="CG158" i="5"/>
  <c r="CH158" i="5"/>
  <c r="CG24" i="5"/>
  <c r="CH24" i="5"/>
  <c r="CG227" i="5"/>
  <c r="CH227" i="5"/>
  <c r="CG209" i="5"/>
  <c r="CH209" i="5"/>
  <c r="CG193" i="5"/>
  <c r="CH193" i="5"/>
  <c r="CG175" i="5"/>
  <c r="CH175" i="5"/>
  <c r="CG157" i="5"/>
  <c r="CH157" i="5"/>
  <c r="CG141" i="5"/>
  <c r="CH141" i="5"/>
  <c r="CG127" i="5"/>
  <c r="CH127" i="5"/>
  <c r="CH97" i="5"/>
  <c r="CG97" i="5"/>
  <c r="CG83" i="5"/>
  <c r="CH83" i="5"/>
  <c r="CG67" i="5"/>
  <c r="CH67" i="5"/>
  <c r="CH53" i="5"/>
  <c r="CG53" i="5"/>
  <c r="CG23" i="5"/>
  <c r="CH23" i="5"/>
  <c r="CG9" i="5"/>
  <c r="CH9" i="5"/>
  <c r="CG134" i="5"/>
  <c r="CH134" i="5"/>
  <c r="CG162" i="5"/>
  <c r="CH162" i="5"/>
  <c r="CG54" i="5"/>
  <c r="CH54" i="5"/>
  <c r="CG226" i="5"/>
  <c r="CH226" i="5"/>
  <c r="CG208" i="5"/>
  <c r="CH208" i="5"/>
  <c r="CG192" i="5"/>
  <c r="CH192" i="5"/>
  <c r="CH174" i="5"/>
  <c r="CG174" i="5"/>
  <c r="CG156" i="5"/>
  <c r="CH156" i="5"/>
  <c r="CG140" i="5"/>
  <c r="CH140" i="5"/>
  <c r="CG126" i="5"/>
  <c r="CH126" i="5"/>
  <c r="CG96" i="5"/>
  <c r="CH96" i="5"/>
  <c r="CG82" i="5"/>
  <c r="CH82" i="5"/>
  <c r="CH52" i="5"/>
  <c r="CG52" i="5"/>
  <c r="CG38" i="5"/>
  <c r="CH38" i="5"/>
  <c r="CG22" i="5"/>
  <c r="CH22" i="5"/>
  <c r="CH8" i="5"/>
  <c r="CG8" i="5"/>
  <c r="CG148" i="5"/>
  <c r="CH148" i="5"/>
  <c r="CG217" i="5"/>
  <c r="CH217" i="5"/>
  <c r="CG15" i="5"/>
  <c r="CH15" i="5"/>
  <c r="CG216" i="5"/>
  <c r="CH216" i="5"/>
  <c r="CG132" i="5"/>
  <c r="CH132" i="5"/>
  <c r="CG118" i="5"/>
  <c r="CH118" i="5"/>
  <c r="CG181" i="5"/>
  <c r="CH181" i="5"/>
  <c r="CH43" i="5"/>
  <c r="CG43" i="5"/>
  <c r="CG42" i="5"/>
  <c r="CH42" i="5"/>
  <c r="CG228" i="5"/>
  <c r="CH228" i="5"/>
  <c r="CG194" i="5"/>
  <c r="CH194" i="5"/>
  <c r="CG176" i="5"/>
  <c r="CH176" i="5"/>
  <c r="CH142" i="5"/>
  <c r="CG142" i="5"/>
  <c r="CG128" i="5"/>
  <c r="CH128" i="5"/>
  <c r="CG112" i="5"/>
  <c r="CH112" i="5"/>
  <c r="CG98" i="5"/>
  <c r="CH98" i="5"/>
  <c r="CG68" i="5"/>
  <c r="CH68" i="5"/>
  <c r="CG10" i="5"/>
  <c r="CH10" i="5"/>
  <c r="CG225" i="5"/>
  <c r="CH225" i="5"/>
  <c r="CG207" i="5"/>
  <c r="CH207" i="5"/>
  <c r="CG191" i="5"/>
  <c r="CH191" i="5"/>
  <c r="CG173" i="5"/>
  <c r="CH173" i="5"/>
  <c r="CG155" i="5"/>
  <c r="CH155" i="5"/>
  <c r="CG139" i="5"/>
  <c r="CH139" i="5"/>
  <c r="CH125" i="5"/>
  <c r="CG125" i="5"/>
  <c r="CG95" i="5"/>
  <c r="CH95" i="5"/>
  <c r="CG81" i="5"/>
  <c r="CH81" i="5"/>
  <c r="CG51" i="5"/>
  <c r="CH51" i="5"/>
  <c r="CG37" i="5"/>
  <c r="CH37" i="5"/>
  <c r="CG90" i="5"/>
  <c r="CH90" i="5"/>
  <c r="CG164" i="5"/>
  <c r="CH164" i="5"/>
  <c r="CG232" i="5"/>
  <c r="CH232" i="5"/>
  <c r="CG224" i="5"/>
  <c r="CH224" i="5"/>
  <c r="CG206" i="5"/>
  <c r="CH206" i="5"/>
  <c r="CG190" i="5"/>
  <c r="CH190" i="5"/>
  <c r="CG172" i="5"/>
  <c r="CH172" i="5"/>
  <c r="CG154" i="5"/>
  <c r="CH154" i="5"/>
  <c r="CH124" i="5"/>
  <c r="CG124" i="5"/>
  <c r="CG110" i="5"/>
  <c r="CH110" i="5"/>
  <c r="CG94" i="5"/>
  <c r="CH94" i="5"/>
  <c r="CG80" i="5"/>
  <c r="CH80" i="5"/>
  <c r="CG50" i="5"/>
  <c r="CH50" i="5"/>
  <c r="CG36" i="5"/>
  <c r="CH36" i="5"/>
  <c r="CH133" i="5"/>
  <c r="CG133" i="5"/>
  <c r="CG86" i="5"/>
  <c r="CH86" i="5"/>
  <c r="CG223" i="5"/>
  <c r="CH223" i="5"/>
  <c r="CH205" i="5"/>
  <c r="CG205" i="5"/>
  <c r="CH189" i="5"/>
  <c r="CG189" i="5"/>
  <c r="CG171" i="5"/>
  <c r="CH171" i="5"/>
  <c r="CG153" i="5"/>
  <c r="CH153" i="5"/>
  <c r="CG123" i="5"/>
  <c r="CH123" i="5"/>
  <c r="CG109" i="5"/>
  <c r="CH109" i="5"/>
  <c r="CH79" i="5"/>
  <c r="CG79" i="5"/>
  <c r="CG65" i="5"/>
  <c r="CH65" i="5"/>
  <c r="CG49" i="5"/>
  <c r="CH49" i="5"/>
  <c r="CH35" i="5"/>
  <c r="CG35" i="5"/>
  <c r="CG222" i="5"/>
  <c r="CH222" i="5"/>
  <c r="CG204" i="5"/>
  <c r="CH204" i="5"/>
  <c r="CG188" i="5"/>
  <c r="CH188" i="5"/>
  <c r="CH170" i="5"/>
  <c r="CG170" i="5"/>
  <c r="CH152" i="5"/>
  <c r="CG152" i="5"/>
  <c r="CG122" i="5"/>
  <c r="CH122" i="5"/>
  <c r="CG108" i="5"/>
  <c r="CH108" i="5"/>
  <c r="CG78" i="5"/>
  <c r="CH78" i="5"/>
  <c r="CG64" i="5"/>
  <c r="CH64" i="5"/>
  <c r="CH34" i="5"/>
  <c r="CG34" i="5"/>
  <c r="CG20" i="5"/>
  <c r="CH20" i="5"/>
  <c r="CH89" i="5"/>
  <c r="CG89" i="5"/>
  <c r="CG104" i="5"/>
  <c r="CH104" i="5"/>
  <c r="CH88" i="5"/>
  <c r="CG88" i="5"/>
  <c r="CG184" i="5"/>
  <c r="CH184" i="5"/>
  <c r="CH16" i="5"/>
  <c r="CG16" i="5"/>
  <c r="CH183" i="5"/>
  <c r="CG183" i="5"/>
  <c r="CG14" i="5"/>
  <c r="CH14" i="5"/>
  <c r="CG72" i="5"/>
  <c r="CH72" i="5"/>
  <c r="CG221" i="5"/>
  <c r="CH221" i="5"/>
  <c r="CG203" i="5"/>
  <c r="CH203" i="5"/>
  <c r="CG187" i="5"/>
  <c r="CH187" i="5"/>
  <c r="CG169" i="5"/>
  <c r="CH169" i="5"/>
  <c r="CH151" i="5"/>
  <c r="CG151" i="5"/>
  <c r="CG137" i="5"/>
  <c r="CH137" i="5"/>
  <c r="CG121" i="5"/>
  <c r="CH121" i="5"/>
  <c r="CH107" i="5"/>
  <c r="CG107" i="5"/>
  <c r="CG77" i="5"/>
  <c r="CH77" i="5"/>
  <c r="CG63" i="5"/>
  <c r="CH63" i="5"/>
  <c r="CG33" i="5"/>
  <c r="CH33" i="5"/>
  <c r="CG19" i="5"/>
  <c r="CH19" i="5"/>
  <c r="CG6" i="5"/>
  <c r="CH6" i="5"/>
  <c r="CG220" i="5"/>
  <c r="CH220" i="5"/>
  <c r="CG202" i="5"/>
  <c r="CH202" i="5"/>
  <c r="CG186" i="5"/>
  <c r="CH186" i="5"/>
  <c r="CG168" i="5"/>
  <c r="CH168" i="5"/>
  <c r="CG150" i="5"/>
  <c r="CH150" i="5"/>
  <c r="CG136" i="5"/>
  <c r="CH136" i="5"/>
  <c r="CH106" i="5"/>
  <c r="CG106" i="5"/>
  <c r="CG92" i="5"/>
  <c r="CH92" i="5"/>
  <c r="CG76" i="5"/>
  <c r="CH76" i="5"/>
  <c r="CG62" i="5"/>
  <c r="CH62" i="5"/>
  <c r="CG32" i="5"/>
  <c r="CH32" i="5"/>
  <c r="CG18" i="5"/>
  <c r="CH18" i="5"/>
  <c r="CG5" i="5"/>
  <c r="CH5" i="5"/>
  <c r="CG219" i="5"/>
  <c r="CH219" i="5"/>
  <c r="CG185" i="5"/>
  <c r="CH185" i="5"/>
  <c r="CG167" i="5"/>
  <c r="CH167" i="5"/>
  <c r="CG149" i="5"/>
  <c r="CH149" i="5"/>
  <c r="CG135" i="5"/>
  <c r="CH135" i="5"/>
  <c r="CG105" i="5"/>
  <c r="CH105" i="5"/>
  <c r="CG91" i="5"/>
  <c r="CH91" i="5"/>
  <c r="CH61" i="5"/>
  <c r="CG61" i="5"/>
  <c r="CG47" i="5"/>
  <c r="CH47" i="5"/>
  <c r="CG31" i="5"/>
  <c r="CH31" i="5"/>
  <c r="CH17" i="5"/>
  <c r="CG17" i="5"/>
  <c r="CG4" i="5"/>
  <c r="CH4" i="5"/>
  <c r="CG3" i="5"/>
  <c r="CH3" i="5"/>
  <c r="CC62" i="5"/>
  <c r="CD62" i="5"/>
  <c r="CC53" i="5"/>
  <c r="CD53" i="5"/>
  <c r="CC98" i="5"/>
  <c r="CD98" i="5"/>
  <c r="CC89" i="5"/>
  <c r="CD89" i="5"/>
  <c r="CC26" i="5"/>
  <c r="CD26" i="5"/>
  <c r="CD125" i="5"/>
  <c r="CC125" i="5"/>
  <c r="CD215" i="5"/>
  <c r="CC215" i="5"/>
  <c r="CC35" i="5"/>
  <c r="CD35" i="5"/>
  <c r="CD161" i="5"/>
  <c r="CC161" i="5"/>
  <c r="CD206" i="5"/>
  <c r="CC206" i="5"/>
  <c r="CD170" i="5"/>
  <c r="CC170" i="5"/>
  <c r="CD134" i="5"/>
  <c r="CC134" i="5"/>
  <c r="CC71" i="5"/>
  <c r="CD71" i="5"/>
  <c r="CC107" i="5"/>
  <c r="CD107" i="5"/>
  <c r="CD224" i="5"/>
  <c r="CC224" i="5"/>
  <c r="CD188" i="5"/>
  <c r="CC188" i="5"/>
  <c r="CC44" i="5"/>
  <c r="CD44" i="5"/>
  <c r="CC8" i="5"/>
  <c r="CD8" i="5"/>
  <c r="CC80" i="5"/>
  <c r="CD80" i="5"/>
  <c r="CC17" i="5"/>
  <c r="CD17" i="5"/>
  <c r="CC116" i="5"/>
  <c r="CD116" i="5"/>
  <c r="CC211" i="5"/>
  <c r="CD211" i="5"/>
  <c r="CC172" i="5"/>
  <c r="CD172" i="5"/>
  <c r="CC150" i="5"/>
  <c r="CD150" i="5"/>
  <c r="CC139" i="5"/>
  <c r="CD139" i="5"/>
  <c r="CC95" i="5"/>
  <c r="CD95" i="5"/>
  <c r="CC73" i="5"/>
  <c r="CD73" i="5"/>
  <c r="CD61" i="5"/>
  <c r="CC61" i="5"/>
  <c r="CC14" i="5"/>
  <c r="CD14" i="5"/>
  <c r="CC231" i="5"/>
  <c r="CD231" i="5"/>
  <c r="CC221" i="5"/>
  <c r="CD221" i="5"/>
  <c r="CC230" i="5"/>
  <c r="CD230" i="5"/>
  <c r="CC157" i="5"/>
  <c r="CD157" i="5"/>
  <c r="CC104" i="5"/>
  <c r="CD104" i="5"/>
  <c r="CC82" i="5"/>
  <c r="CD82" i="5"/>
  <c r="CC70" i="5"/>
  <c r="CD70" i="5"/>
  <c r="CC23" i="5"/>
  <c r="CD23" i="5"/>
  <c r="CC94" i="5"/>
  <c r="CD94" i="5"/>
  <c r="CC72" i="5"/>
  <c r="CD72" i="5"/>
  <c r="CC60" i="5"/>
  <c r="CD60" i="5"/>
  <c r="CC13" i="5"/>
  <c r="CD13" i="5"/>
  <c r="CC37" i="5"/>
  <c r="CD37" i="5"/>
  <c r="CC103" i="5"/>
  <c r="CD103" i="5"/>
  <c r="CC81" i="5"/>
  <c r="CD81" i="5"/>
  <c r="CC69" i="5"/>
  <c r="CD69" i="5"/>
  <c r="CC22" i="5"/>
  <c r="CD22" i="5"/>
  <c r="CC58" i="5"/>
  <c r="CD58" i="5"/>
  <c r="CC36" i="5"/>
  <c r="CD36" i="5"/>
  <c r="CC24" i="5"/>
  <c r="CD24" i="5"/>
  <c r="CC190" i="5"/>
  <c r="CD190" i="5"/>
  <c r="CC189" i="5"/>
  <c r="CD189" i="5"/>
  <c r="CC169" i="5"/>
  <c r="CD169" i="5"/>
  <c r="CC127" i="5"/>
  <c r="CD127" i="5"/>
  <c r="CC218" i="5"/>
  <c r="CC199" i="5"/>
  <c r="CD199" i="5"/>
  <c r="CC168" i="5"/>
  <c r="CD168" i="5"/>
  <c r="CC126" i="5"/>
  <c r="CD126" i="5"/>
  <c r="CD115" i="5"/>
  <c r="CC115" i="5"/>
  <c r="CC68" i="5"/>
  <c r="CD68" i="5"/>
  <c r="CC46" i="5"/>
  <c r="CD46" i="5"/>
  <c r="CC34" i="5"/>
  <c r="CD34" i="5"/>
  <c r="CC148" i="5"/>
  <c r="CD148" i="5"/>
  <c r="CC118" i="5"/>
  <c r="CD118" i="5"/>
  <c r="CC180" i="5"/>
  <c r="CD180" i="5"/>
  <c r="CC158" i="5"/>
  <c r="CD158" i="5"/>
  <c r="CC117" i="5"/>
  <c r="CD117" i="5"/>
  <c r="CC227" i="5"/>
  <c r="CC208" i="5"/>
  <c r="CC198" i="5"/>
  <c r="CD198" i="5"/>
  <c r="CD178" i="5"/>
  <c r="CC178" i="5"/>
  <c r="CC167" i="5"/>
  <c r="CD167" i="5"/>
  <c r="CC114" i="5"/>
  <c r="CD114" i="5"/>
  <c r="CC67" i="5"/>
  <c r="CD67" i="5"/>
  <c r="CC45" i="5"/>
  <c r="CD45" i="5"/>
  <c r="CC33" i="5"/>
  <c r="CD33" i="5"/>
  <c r="CC229" i="5"/>
  <c r="CD229" i="5"/>
  <c r="CC181" i="5"/>
  <c r="CD181" i="5"/>
  <c r="CC159" i="5"/>
  <c r="CD159" i="5"/>
  <c r="CC106" i="5"/>
  <c r="CD106" i="5"/>
  <c r="CC59" i="5"/>
  <c r="CD59" i="5"/>
  <c r="CD25" i="5"/>
  <c r="CC25" i="5"/>
  <c r="CC105" i="5"/>
  <c r="CD105" i="5"/>
  <c r="CC217" i="5"/>
  <c r="CC197" i="5"/>
  <c r="CC177" i="5"/>
  <c r="CD177" i="5"/>
  <c r="CC166" i="5"/>
  <c r="CD166" i="5"/>
  <c r="CC136" i="5"/>
  <c r="CD136" i="5"/>
  <c r="CC113" i="5"/>
  <c r="CD113" i="5"/>
  <c r="CC91" i="5"/>
  <c r="CD91" i="5"/>
  <c r="CD79" i="5"/>
  <c r="CC79" i="5"/>
  <c r="CC32" i="5"/>
  <c r="CD32" i="5"/>
  <c r="CD223" i="5"/>
  <c r="CD232" i="5"/>
  <c r="CC187" i="5"/>
  <c r="CD187" i="5"/>
  <c r="CC176" i="5"/>
  <c r="CD176" i="5"/>
  <c r="CC135" i="5"/>
  <c r="CD135" i="5"/>
  <c r="CC112" i="5"/>
  <c r="CD112" i="5"/>
  <c r="CC90" i="5"/>
  <c r="CD90" i="5"/>
  <c r="CC78" i="5"/>
  <c r="CD78" i="5"/>
  <c r="CC31" i="5"/>
  <c r="CD31" i="5"/>
  <c r="CC220" i="5"/>
  <c r="CD220" i="5"/>
  <c r="CC171" i="5"/>
  <c r="CD171" i="5"/>
  <c r="CD160" i="5"/>
  <c r="CC160" i="5"/>
  <c r="CC149" i="5"/>
  <c r="CD149" i="5"/>
  <c r="CC216" i="5"/>
  <c r="CD216" i="5"/>
  <c r="CC186" i="5"/>
  <c r="CD186" i="5"/>
  <c r="CC175" i="5"/>
  <c r="CD175" i="5"/>
  <c r="CC145" i="5"/>
  <c r="CD145" i="5"/>
  <c r="CC124" i="5"/>
  <c r="CD124" i="5"/>
  <c r="CC77" i="5"/>
  <c r="CD77" i="5"/>
  <c r="CC55" i="5"/>
  <c r="CD55" i="5"/>
  <c r="CD43" i="5"/>
  <c r="CC43" i="5"/>
  <c r="CC207" i="5"/>
  <c r="CD207" i="5"/>
  <c r="CC225" i="5"/>
  <c r="CD225" i="5"/>
  <c r="CD196" i="5"/>
  <c r="CC196" i="5"/>
  <c r="CC185" i="5"/>
  <c r="CD185" i="5"/>
  <c r="CC144" i="5"/>
  <c r="CD144" i="5"/>
  <c r="CC123" i="5"/>
  <c r="CD123" i="5"/>
  <c r="CC76" i="5"/>
  <c r="CD76" i="5"/>
  <c r="CC54" i="5"/>
  <c r="CD54" i="5"/>
  <c r="CC42" i="5"/>
  <c r="CD42" i="5"/>
  <c r="CC9" i="5"/>
  <c r="CD9" i="5"/>
  <c r="CC195" i="5"/>
  <c r="CD195" i="5"/>
  <c r="CC184" i="5"/>
  <c r="CD184" i="5"/>
  <c r="CC154" i="5"/>
  <c r="CD154" i="5"/>
  <c r="CC143" i="5"/>
  <c r="CC122" i="5"/>
  <c r="CD122" i="5"/>
  <c r="CC100" i="5"/>
  <c r="CD100" i="5"/>
  <c r="CC88" i="5"/>
  <c r="CD88" i="5"/>
  <c r="CC41" i="5"/>
  <c r="CD41" i="5"/>
  <c r="CC19" i="5"/>
  <c r="CD19" i="5"/>
  <c r="CD205" i="5"/>
  <c r="CC194" i="5"/>
  <c r="CD194" i="5"/>
  <c r="CC164" i="5"/>
  <c r="CD164" i="5"/>
  <c r="CC153" i="5"/>
  <c r="CD153" i="5"/>
  <c r="CD133" i="5"/>
  <c r="CC133" i="5"/>
  <c r="CC121" i="5"/>
  <c r="CD121" i="5"/>
  <c r="CC99" i="5"/>
  <c r="CD99" i="5"/>
  <c r="CC87" i="5"/>
  <c r="CD87" i="5"/>
  <c r="CC40" i="5"/>
  <c r="CD40" i="5"/>
  <c r="CC18" i="5"/>
  <c r="CD18" i="5"/>
  <c r="CC193" i="5"/>
  <c r="CD193" i="5"/>
  <c r="CC163" i="5"/>
  <c r="CD163" i="5"/>
  <c r="CC152" i="5"/>
  <c r="CC132" i="5"/>
  <c r="CD132" i="5"/>
  <c r="CC86" i="5"/>
  <c r="CD86" i="5"/>
  <c r="CC64" i="5"/>
  <c r="CD64" i="5"/>
  <c r="CC52" i="5"/>
  <c r="CD52" i="5"/>
  <c r="CD7" i="5"/>
  <c r="CC7" i="5"/>
  <c r="CC204" i="5"/>
  <c r="CD204" i="5"/>
  <c r="CC162" i="5"/>
  <c r="CD162" i="5"/>
  <c r="CC142" i="5"/>
  <c r="CD142" i="5"/>
  <c r="CC131" i="5"/>
  <c r="CD131" i="5"/>
  <c r="CC85" i="5"/>
  <c r="CD85" i="5"/>
  <c r="CC63" i="5"/>
  <c r="CD63" i="5"/>
  <c r="CC51" i="5"/>
  <c r="CD51" i="5"/>
  <c r="CC6" i="5"/>
  <c r="CD6" i="5"/>
  <c r="CC213" i="5"/>
  <c r="CD213" i="5"/>
  <c r="CC203" i="5"/>
  <c r="CD203" i="5"/>
  <c r="CC141" i="5"/>
  <c r="CD141" i="5"/>
  <c r="CC130" i="5"/>
  <c r="CD130" i="5"/>
  <c r="CC109" i="5"/>
  <c r="CD109" i="5"/>
  <c r="CD97" i="5"/>
  <c r="CC97" i="5"/>
  <c r="CC50" i="5"/>
  <c r="CD50" i="5"/>
  <c r="CC28" i="5"/>
  <c r="CD28" i="5"/>
  <c r="CC16" i="5"/>
  <c r="CD16" i="5"/>
  <c r="CC5" i="5"/>
  <c r="CD5" i="5"/>
  <c r="CC222" i="5"/>
  <c r="CD222" i="5"/>
  <c r="CC212" i="5"/>
  <c r="CD212" i="5"/>
  <c r="CC202" i="5"/>
  <c r="CD202" i="5"/>
  <c r="CD151" i="5"/>
  <c r="CC151" i="5"/>
  <c r="CC140" i="5"/>
  <c r="CD140" i="5"/>
  <c r="CC108" i="5"/>
  <c r="CD108" i="5"/>
  <c r="CC96" i="5"/>
  <c r="CD96" i="5"/>
  <c r="CC49" i="5"/>
  <c r="CD49" i="5"/>
  <c r="CC27" i="5"/>
  <c r="CD27" i="5"/>
  <c r="CC15" i="5"/>
  <c r="CD15" i="5"/>
  <c r="CC4" i="5"/>
  <c r="CD4" i="5"/>
  <c r="CD128" i="5"/>
  <c r="CD119" i="5"/>
  <c r="CD110" i="5"/>
  <c r="CD101" i="5"/>
  <c r="CD92" i="5"/>
  <c r="CD83" i="5"/>
  <c r="CD74" i="5"/>
  <c r="CD65" i="5"/>
  <c r="CD56" i="5"/>
  <c r="CD47" i="5"/>
  <c r="CD38" i="5"/>
  <c r="CD29" i="5"/>
  <c r="CD20" i="5"/>
  <c r="CD11" i="5"/>
  <c r="CD3" i="5"/>
  <c r="CC3" i="5"/>
  <c r="BZ215" i="5"/>
  <c r="BY215" i="5"/>
  <c r="BY78" i="5"/>
  <c r="BZ78" i="5"/>
  <c r="BY77" i="5"/>
  <c r="BZ77" i="5"/>
  <c r="BY226" i="5"/>
  <c r="BZ226" i="5"/>
  <c r="BY188" i="5"/>
  <c r="BZ188" i="5"/>
  <c r="BY176" i="5"/>
  <c r="BZ176" i="5"/>
  <c r="BY163" i="5"/>
  <c r="BZ163" i="5"/>
  <c r="BY125" i="5"/>
  <c r="BZ125" i="5"/>
  <c r="BY114" i="5"/>
  <c r="BZ114" i="5"/>
  <c r="BZ101" i="5"/>
  <c r="BY101" i="5"/>
  <c r="BY76" i="5"/>
  <c r="BZ76" i="5"/>
  <c r="BY63" i="5"/>
  <c r="BZ63" i="5"/>
  <c r="BY51" i="5"/>
  <c r="BZ51" i="5"/>
  <c r="BZ38" i="5"/>
  <c r="BY38" i="5"/>
  <c r="BY13" i="5"/>
  <c r="BZ13" i="5"/>
  <c r="BY140" i="5"/>
  <c r="BZ140" i="5"/>
  <c r="BY14" i="5"/>
  <c r="BZ14" i="5"/>
  <c r="BY225" i="5"/>
  <c r="BZ225" i="5"/>
  <c r="BY213" i="5"/>
  <c r="BZ213" i="5"/>
  <c r="BY200" i="5"/>
  <c r="BZ200" i="5"/>
  <c r="BZ175" i="5"/>
  <c r="BY175" i="5"/>
  <c r="BY162" i="5"/>
  <c r="BZ162" i="5"/>
  <c r="BY113" i="5"/>
  <c r="BZ113" i="5"/>
  <c r="BY100" i="5"/>
  <c r="BZ100" i="5"/>
  <c r="BZ62" i="5"/>
  <c r="BY62" i="5"/>
  <c r="BY50" i="5"/>
  <c r="BZ50" i="5"/>
  <c r="BY37" i="5"/>
  <c r="BZ37" i="5"/>
  <c r="BY207" i="5"/>
  <c r="BZ207" i="5"/>
  <c r="BY45" i="5"/>
  <c r="BZ45" i="5"/>
  <c r="BY230" i="5"/>
  <c r="BZ230" i="5"/>
  <c r="BY153" i="5"/>
  <c r="BZ153" i="5"/>
  <c r="BY91" i="5"/>
  <c r="BZ91" i="5"/>
  <c r="BZ191" i="5"/>
  <c r="BY191" i="5"/>
  <c r="BZ128" i="5"/>
  <c r="BY128" i="5"/>
  <c r="BY90" i="5"/>
  <c r="BZ90" i="5"/>
  <c r="BY15" i="5"/>
  <c r="BZ15" i="5"/>
  <c r="BZ164" i="5"/>
  <c r="BY164" i="5"/>
  <c r="BY224" i="5"/>
  <c r="BZ224" i="5"/>
  <c r="BY212" i="5"/>
  <c r="BZ212" i="5"/>
  <c r="BY199" i="5"/>
  <c r="BZ199" i="5"/>
  <c r="BY174" i="5"/>
  <c r="BZ174" i="5"/>
  <c r="BY161" i="5"/>
  <c r="BZ161" i="5"/>
  <c r="BY150" i="5"/>
  <c r="BZ150" i="5"/>
  <c r="BZ137" i="5"/>
  <c r="BY137" i="5"/>
  <c r="BY112" i="5"/>
  <c r="BZ112" i="5"/>
  <c r="BY99" i="5"/>
  <c r="BZ99" i="5"/>
  <c r="BY49" i="5"/>
  <c r="BZ49" i="5"/>
  <c r="BY36" i="5"/>
  <c r="BZ36" i="5"/>
  <c r="BY40" i="5"/>
  <c r="BZ40" i="5"/>
  <c r="BY64" i="5"/>
  <c r="BZ64" i="5"/>
  <c r="BY211" i="5"/>
  <c r="BZ211" i="5"/>
  <c r="BY198" i="5"/>
  <c r="BZ198" i="5"/>
  <c r="BZ173" i="5"/>
  <c r="BY173" i="5"/>
  <c r="BY149" i="5"/>
  <c r="BZ149" i="5"/>
  <c r="BY136" i="5"/>
  <c r="BZ136" i="5"/>
  <c r="BZ98" i="5"/>
  <c r="BY98" i="5"/>
  <c r="BY87" i="5"/>
  <c r="BZ87" i="5"/>
  <c r="BY74" i="5"/>
  <c r="BZ74" i="5"/>
  <c r="BZ35" i="5"/>
  <c r="BY35" i="5"/>
  <c r="BY24" i="5"/>
  <c r="BZ24" i="5"/>
  <c r="BZ11" i="5"/>
  <c r="BY11" i="5"/>
  <c r="BY222" i="5"/>
  <c r="BZ222" i="5"/>
  <c r="BY203" i="5"/>
  <c r="BZ203" i="5"/>
  <c r="BY104" i="5"/>
  <c r="BZ104" i="5"/>
  <c r="BY28" i="5"/>
  <c r="BZ28" i="5"/>
  <c r="BZ202" i="5"/>
  <c r="BY202" i="5"/>
  <c r="BY141" i="5"/>
  <c r="BZ141" i="5"/>
  <c r="BY103" i="5"/>
  <c r="BZ103" i="5"/>
  <c r="BY190" i="5"/>
  <c r="BZ190" i="5"/>
  <c r="BY127" i="5"/>
  <c r="BZ127" i="5"/>
  <c r="BY26" i="5"/>
  <c r="BZ26" i="5"/>
  <c r="BY189" i="5"/>
  <c r="BZ189" i="5"/>
  <c r="BY210" i="5"/>
  <c r="BZ210" i="5"/>
  <c r="BZ197" i="5"/>
  <c r="BY197" i="5"/>
  <c r="BY172" i="5"/>
  <c r="BZ172" i="5"/>
  <c r="BZ148" i="5"/>
  <c r="BY148" i="5"/>
  <c r="BY135" i="5"/>
  <c r="BZ135" i="5"/>
  <c r="BY86" i="5"/>
  <c r="BZ86" i="5"/>
  <c r="BY73" i="5"/>
  <c r="BZ73" i="5"/>
  <c r="BY23" i="5"/>
  <c r="BZ23" i="5"/>
  <c r="BY10" i="5"/>
  <c r="BZ10" i="5"/>
  <c r="BY59" i="5"/>
  <c r="BZ59" i="5"/>
  <c r="BY41" i="5"/>
  <c r="BZ41" i="5"/>
  <c r="BY229" i="5"/>
  <c r="BZ229" i="5"/>
  <c r="BZ152" i="5"/>
  <c r="BY152" i="5"/>
  <c r="BY27" i="5"/>
  <c r="BZ27" i="5"/>
  <c r="BY228" i="5"/>
  <c r="BZ228" i="5"/>
  <c r="BY89" i="5"/>
  <c r="BZ89" i="5"/>
  <c r="BZ227" i="5"/>
  <c r="BY227" i="5"/>
  <c r="BY177" i="5"/>
  <c r="BZ177" i="5"/>
  <c r="BY126" i="5"/>
  <c r="BZ126" i="5"/>
  <c r="BZ209" i="5"/>
  <c r="BY209" i="5"/>
  <c r="BY186" i="5"/>
  <c r="BZ186" i="5"/>
  <c r="BY171" i="5"/>
  <c r="BZ171" i="5"/>
  <c r="BZ134" i="5"/>
  <c r="BY134" i="5"/>
  <c r="BY123" i="5"/>
  <c r="BZ123" i="5"/>
  <c r="BY110" i="5"/>
  <c r="BZ110" i="5"/>
  <c r="BY85" i="5"/>
  <c r="BZ85" i="5"/>
  <c r="BY72" i="5"/>
  <c r="BZ72" i="5"/>
  <c r="BZ47" i="5"/>
  <c r="BY47" i="5"/>
  <c r="BY22" i="5"/>
  <c r="BZ22" i="5"/>
  <c r="BY9" i="5"/>
  <c r="BZ9" i="5"/>
  <c r="BZ65" i="5"/>
  <c r="BY65" i="5"/>
  <c r="BZ139" i="5"/>
  <c r="BY139" i="5"/>
  <c r="BY208" i="5"/>
  <c r="BZ208" i="5"/>
  <c r="BY185" i="5"/>
  <c r="BZ185" i="5"/>
  <c r="BY170" i="5"/>
  <c r="BZ170" i="5"/>
  <c r="BY122" i="5"/>
  <c r="BZ122" i="5"/>
  <c r="BY109" i="5"/>
  <c r="BZ109" i="5"/>
  <c r="BY71" i="5"/>
  <c r="BZ71" i="5"/>
  <c r="BY60" i="5"/>
  <c r="BZ60" i="5"/>
  <c r="BY46" i="5"/>
  <c r="BZ46" i="5"/>
  <c r="BZ8" i="5"/>
  <c r="BY8" i="5"/>
  <c r="BY33" i="5"/>
  <c r="BZ33" i="5"/>
  <c r="BY184" i="5"/>
  <c r="BZ184" i="5"/>
  <c r="BZ146" i="5"/>
  <c r="BY146" i="5"/>
  <c r="BY108" i="5"/>
  <c r="BZ108" i="5"/>
  <c r="BY221" i="5"/>
  <c r="BZ221" i="5"/>
  <c r="BY183" i="5"/>
  <c r="BZ183" i="5"/>
  <c r="BY158" i="5"/>
  <c r="BZ158" i="5"/>
  <c r="BY145" i="5"/>
  <c r="BZ145" i="5"/>
  <c r="BY107" i="5"/>
  <c r="BZ107" i="5"/>
  <c r="BZ83" i="5"/>
  <c r="BY83" i="5"/>
  <c r="BY58" i="5"/>
  <c r="BZ58" i="5"/>
  <c r="BZ44" i="5"/>
  <c r="BY44" i="5"/>
  <c r="BY195" i="5"/>
  <c r="BZ195" i="5"/>
  <c r="BZ182" i="5"/>
  <c r="BY182" i="5"/>
  <c r="BY144" i="5"/>
  <c r="BZ144" i="5"/>
  <c r="BY82" i="5"/>
  <c r="BZ82" i="5"/>
  <c r="BY57" i="5"/>
  <c r="BZ57" i="5"/>
  <c r="BY32" i="5"/>
  <c r="BZ32" i="5"/>
  <c r="BY143" i="5"/>
  <c r="BZ143" i="5"/>
  <c r="BZ119" i="5"/>
  <c r="BY119" i="5"/>
  <c r="BY81" i="5"/>
  <c r="BZ81" i="5"/>
  <c r="BY31" i="5"/>
  <c r="BZ31" i="5"/>
  <c r="BY18" i="5"/>
  <c r="BZ18" i="5"/>
  <c r="BZ218" i="5"/>
  <c r="BY218" i="5"/>
  <c r="BY180" i="5"/>
  <c r="BZ180" i="5"/>
  <c r="BZ17" i="5"/>
  <c r="BY17" i="5"/>
  <c r="BZ232" i="5"/>
  <c r="BY232" i="5"/>
  <c r="BY217" i="5"/>
  <c r="BZ217" i="5"/>
  <c r="BZ179" i="5"/>
  <c r="BY179" i="5"/>
  <c r="BY167" i="5"/>
  <c r="BZ167" i="5"/>
  <c r="BZ155" i="5"/>
  <c r="BY155" i="5"/>
  <c r="BY130" i="5"/>
  <c r="BZ130" i="5"/>
  <c r="BY117" i="5"/>
  <c r="BZ117" i="5"/>
  <c r="BY68" i="5"/>
  <c r="BZ68" i="5"/>
  <c r="BY54" i="5"/>
  <c r="BZ54" i="5"/>
  <c r="BY5" i="5"/>
  <c r="BZ5" i="5"/>
  <c r="BY159" i="5"/>
  <c r="BZ159" i="5"/>
  <c r="BY121" i="5"/>
  <c r="BZ121" i="5"/>
  <c r="BY206" i="5"/>
  <c r="BZ206" i="5"/>
  <c r="BY96" i="5"/>
  <c r="BZ96" i="5"/>
  <c r="BZ20" i="5"/>
  <c r="BY20" i="5"/>
  <c r="BY220" i="5"/>
  <c r="BZ220" i="5"/>
  <c r="BY157" i="5"/>
  <c r="BZ157" i="5"/>
  <c r="BY95" i="5"/>
  <c r="BZ95" i="5"/>
  <c r="BY19" i="5"/>
  <c r="BZ19" i="5"/>
  <c r="BY219" i="5"/>
  <c r="BZ219" i="5"/>
  <c r="BY194" i="5"/>
  <c r="BZ194" i="5"/>
  <c r="BY181" i="5"/>
  <c r="BZ181" i="5"/>
  <c r="BY132" i="5"/>
  <c r="BZ132" i="5"/>
  <c r="BY94" i="5"/>
  <c r="BZ94" i="5"/>
  <c r="BZ56" i="5"/>
  <c r="BY56" i="5"/>
  <c r="BY193" i="5"/>
  <c r="BZ193" i="5"/>
  <c r="BY168" i="5"/>
  <c r="BZ168" i="5"/>
  <c r="BY131" i="5"/>
  <c r="BZ131" i="5"/>
  <c r="BY118" i="5"/>
  <c r="BZ118" i="5"/>
  <c r="BZ80" i="5"/>
  <c r="BY80" i="5"/>
  <c r="BY69" i="5"/>
  <c r="BZ69" i="5"/>
  <c r="BY55" i="5"/>
  <c r="BZ55" i="5"/>
  <c r="BY6" i="5"/>
  <c r="BZ6" i="5"/>
  <c r="BY231" i="5"/>
  <c r="BZ231" i="5"/>
  <c r="BY216" i="5"/>
  <c r="BZ216" i="5"/>
  <c r="BY204" i="5"/>
  <c r="BZ204" i="5"/>
  <c r="BY166" i="5"/>
  <c r="BZ166" i="5"/>
  <c r="BY154" i="5"/>
  <c r="BZ154" i="5"/>
  <c r="BZ116" i="5"/>
  <c r="BY116" i="5"/>
  <c r="BY105" i="5"/>
  <c r="BZ105" i="5"/>
  <c r="BZ92" i="5"/>
  <c r="BY92" i="5"/>
  <c r="BY67" i="5"/>
  <c r="BZ67" i="5"/>
  <c r="BY53" i="5"/>
  <c r="BZ53" i="5"/>
  <c r="BY42" i="5"/>
  <c r="BZ42" i="5"/>
  <c r="BZ29" i="5"/>
  <c r="BY29" i="5"/>
  <c r="BY4" i="5"/>
  <c r="BZ4" i="5"/>
  <c r="BZ156" i="5"/>
  <c r="BZ147" i="5"/>
  <c r="BZ138" i="5"/>
  <c r="BZ129" i="5"/>
  <c r="BZ120" i="5"/>
  <c r="BZ111" i="5"/>
  <c r="BZ102" i="5"/>
  <c r="BZ93" i="5"/>
  <c r="BZ84" i="5"/>
  <c r="BZ75" i="5"/>
  <c r="BZ66" i="5"/>
  <c r="BZ48" i="5"/>
  <c r="BZ39" i="5"/>
  <c r="BZ30" i="5"/>
  <c r="BZ21" i="5"/>
  <c r="BZ12" i="5"/>
  <c r="BZ3" i="5"/>
  <c r="BY3" i="5"/>
  <c r="BU173" i="5"/>
  <c r="BV173" i="5"/>
  <c r="BU186" i="5"/>
  <c r="BV186" i="5"/>
  <c r="BV228" i="5"/>
  <c r="BU228" i="5"/>
  <c r="BU198" i="5"/>
  <c r="BV198" i="5"/>
  <c r="BV183" i="5"/>
  <c r="BU183" i="5"/>
  <c r="BU167" i="5"/>
  <c r="BV167" i="5"/>
  <c r="BV152" i="5"/>
  <c r="BU152" i="5"/>
  <c r="BU137" i="5"/>
  <c r="BV137" i="5"/>
  <c r="BV124" i="5"/>
  <c r="BU124" i="5"/>
  <c r="BU99" i="5"/>
  <c r="BV99" i="5"/>
  <c r="BU86" i="5"/>
  <c r="BV86" i="5"/>
  <c r="BU74" i="5"/>
  <c r="BV74" i="5"/>
  <c r="BU60" i="5"/>
  <c r="BV60" i="5"/>
  <c r="BU47" i="5"/>
  <c r="BV47" i="5"/>
  <c r="BU64" i="5"/>
  <c r="BV64" i="5"/>
  <c r="BV197" i="5"/>
  <c r="BU197" i="5"/>
  <c r="BU123" i="5"/>
  <c r="BV123" i="5"/>
  <c r="BU85" i="5"/>
  <c r="BV85" i="5"/>
  <c r="BU73" i="5"/>
  <c r="BV73" i="5"/>
  <c r="BU59" i="5"/>
  <c r="BV59" i="5"/>
  <c r="BU46" i="5"/>
  <c r="BV46" i="5"/>
  <c r="BU23" i="5"/>
  <c r="BV23" i="5"/>
  <c r="BU157" i="5"/>
  <c r="BV157" i="5"/>
  <c r="BU104" i="5"/>
  <c r="BV104" i="5"/>
  <c r="BU174" i="5"/>
  <c r="BV174" i="5"/>
  <c r="BU92" i="5"/>
  <c r="BV92" i="5"/>
  <c r="BV16" i="5"/>
  <c r="BU16" i="5"/>
  <c r="BV143" i="5"/>
  <c r="BU143" i="5"/>
  <c r="BU5" i="5"/>
  <c r="BV5" i="5"/>
  <c r="BV215" i="5"/>
  <c r="BU215" i="5"/>
  <c r="BU127" i="5"/>
  <c r="BV127" i="5"/>
  <c r="BU77" i="5"/>
  <c r="BV77" i="5"/>
  <c r="BU214" i="5"/>
  <c r="BV214" i="5"/>
  <c r="BU49" i="5"/>
  <c r="BV49" i="5"/>
  <c r="BU145" i="5"/>
  <c r="BV145" i="5"/>
  <c r="BU28" i="5"/>
  <c r="BV28" i="5"/>
  <c r="BU190" i="5"/>
  <c r="BV190" i="5"/>
  <c r="BU27" i="5"/>
  <c r="BV27" i="5"/>
  <c r="BU189" i="5"/>
  <c r="BV189" i="5"/>
  <c r="BV188" i="5"/>
  <c r="BU188" i="5"/>
  <c r="BU4" i="5"/>
  <c r="BV4" i="5"/>
  <c r="BU187" i="5"/>
  <c r="BV187" i="5"/>
  <c r="BV115" i="5"/>
  <c r="BU115" i="5"/>
  <c r="BV25" i="5"/>
  <c r="BU25" i="5"/>
  <c r="BU155" i="5"/>
  <c r="BV155" i="5"/>
  <c r="BU14" i="5"/>
  <c r="BV14" i="5"/>
  <c r="BU230" i="5"/>
  <c r="BV230" i="5"/>
  <c r="BU13" i="5"/>
  <c r="BV13" i="5"/>
  <c r="BU199" i="5"/>
  <c r="BV199" i="5"/>
  <c r="BU112" i="5"/>
  <c r="BV112" i="5"/>
  <c r="BV34" i="5"/>
  <c r="BU34" i="5"/>
  <c r="BU136" i="5"/>
  <c r="BV136" i="5"/>
  <c r="BU196" i="5"/>
  <c r="BV196" i="5"/>
  <c r="BU165" i="5"/>
  <c r="BV165" i="5"/>
  <c r="BU135" i="5"/>
  <c r="BV135" i="5"/>
  <c r="BU72" i="5"/>
  <c r="BV72" i="5"/>
  <c r="BU45" i="5"/>
  <c r="BV45" i="5"/>
  <c r="BU225" i="5"/>
  <c r="BV225" i="5"/>
  <c r="BU195" i="5"/>
  <c r="BV195" i="5"/>
  <c r="BU180" i="5"/>
  <c r="BV180" i="5"/>
  <c r="BU164" i="5"/>
  <c r="BV164" i="5"/>
  <c r="BU149" i="5"/>
  <c r="BV149" i="5"/>
  <c r="BV134" i="5"/>
  <c r="BU134" i="5"/>
  <c r="BU121" i="5"/>
  <c r="BV121" i="5"/>
  <c r="BV97" i="5"/>
  <c r="BU97" i="5"/>
  <c r="BU191" i="5"/>
  <c r="BV191" i="5"/>
  <c r="BU217" i="5"/>
  <c r="BV217" i="5"/>
  <c r="BV52" i="5"/>
  <c r="BU52" i="5"/>
  <c r="BU216" i="5"/>
  <c r="BV216" i="5"/>
  <c r="BU51" i="5"/>
  <c r="BV51" i="5"/>
  <c r="BU172" i="5"/>
  <c r="BV172" i="5"/>
  <c r="BU50" i="5"/>
  <c r="BV50" i="5"/>
  <c r="BU171" i="5"/>
  <c r="BV171" i="5"/>
  <c r="BU63" i="5"/>
  <c r="BV63" i="5"/>
  <c r="BU231" i="5"/>
  <c r="BV231" i="5"/>
  <c r="BU140" i="5"/>
  <c r="BV140" i="5"/>
  <c r="BU200" i="5"/>
  <c r="BV200" i="5"/>
  <c r="BU154" i="5"/>
  <c r="BV154" i="5"/>
  <c r="BU139" i="5"/>
  <c r="BV139" i="5"/>
  <c r="BU101" i="5"/>
  <c r="BV101" i="5"/>
  <c r="BU211" i="5"/>
  <c r="BV211" i="5"/>
  <c r="BU168" i="5"/>
  <c r="BV168" i="5"/>
  <c r="BU100" i="5"/>
  <c r="BV100" i="5"/>
  <c r="BV151" i="5"/>
  <c r="BU151" i="5"/>
  <c r="BU226" i="5"/>
  <c r="BV226" i="5"/>
  <c r="BU181" i="5"/>
  <c r="BV181" i="5"/>
  <c r="BU150" i="5"/>
  <c r="BV150" i="5"/>
  <c r="BU122" i="5"/>
  <c r="BV122" i="5"/>
  <c r="BU58" i="5"/>
  <c r="BV58" i="5"/>
  <c r="BU22" i="5"/>
  <c r="BV22" i="5"/>
  <c r="BV224" i="5"/>
  <c r="BU224" i="5"/>
  <c r="BU209" i="5"/>
  <c r="BV209" i="5"/>
  <c r="BU194" i="5"/>
  <c r="BV194" i="5"/>
  <c r="BU163" i="5"/>
  <c r="BV163" i="5"/>
  <c r="BU148" i="5"/>
  <c r="BV148" i="5"/>
  <c r="BV133" i="5"/>
  <c r="BU133" i="5"/>
  <c r="BU110" i="5"/>
  <c r="BV110" i="5"/>
  <c r="BU96" i="5"/>
  <c r="BV96" i="5"/>
  <c r="BU32" i="5"/>
  <c r="BV32" i="5"/>
  <c r="BU10" i="5"/>
  <c r="BV10" i="5"/>
  <c r="BU218" i="5"/>
  <c r="BV218" i="5"/>
  <c r="BU202" i="5"/>
  <c r="BV202" i="5"/>
  <c r="BU103" i="5"/>
  <c r="BV103" i="5"/>
  <c r="BU128" i="5"/>
  <c r="BV128" i="5"/>
  <c r="BU78" i="5"/>
  <c r="BV78" i="5"/>
  <c r="BU65" i="5"/>
  <c r="BV65" i="5"/>
  <c r="BV142" i="5"/>
  <c r="BU142" i="5"/>
  <c r="BU37" i="5"/>
  <c r="BV37" i="5"/>
  <c r="BU232" i="5"/>
  <c r="BV232" i="5"/>
  <c r="BU213" i="5"/>
  <c r="BV213" i="5"/>
  <c r="BU185" i="5"/>
  <c r="BV185" i="5"/>
  <c r="BU229" i="5"/>
  <c r="BV229" i="5"/>
  <c r="BU153" i="5"/>
  <c r="BV153" i="5"/>
  <c r="BU87" i="5"/>
  <c r="BV87" i="5"/>
  <c r="BU182" i="5"/>
  <c r="BV182" i="5"/>
  <c r="BU208" i="5"/>
  <c r="BV208" i="5"/>
  <c r="BU193" i="5"/>
  <c r="BV193" i="5"/>
  <c r="BU162" i="5"/>
  <c r="BV162" i="5"/>
  <c r="BU109" i="5"/>
  <c r="BV109" i="5"/>
  <c r="BV70" i="5"/>
  <c r="BU70" i="5"/>
  <c r="BU31" i="5"/>
  <c r="BV31" i="5"/>
  <c r="BU222" i="5"/>
  <c r="BV222" i="5"/>
  <c r="BU207" i="5"/>
  <c r="BV207" i="5"/>
  <c r="BV161" i="5"/>
  <c r="BU161" i="5"/>
  <c r="BU131" i="5"/>
  <c r="BV131" i="5"/>
  <c r="BU108" i="5"/>
  <c r="BV108" i="5"/>
  <c r="BU94" i="5"/>
  <c r="BV94" i="5"/>
  <c r="BU83" i="5"/>
  <c r="BV83" i="5"/>
  <c r="BU69" i="5"/>
  <c r="BV69" i="5"/>
  <c r="BU56" i="5"/>
  <c r="BV56" i="5"/>
  <c r="BU42" i="5"/>
  <c r="BV42" i="5"/>
  <c r="BU20" i="5"/>
  <c r="BV20" i="5"/>
  <c r="BU203" i="5"/>
  <c r="BV203" i="5"/>
  <c r="BU175" i="5"/>
  <c r="BV175" i="5"/>
  <c r="BU117" i="5"/>
  <c r="BV117" i="5"/>
  <c r="BU144" i="5"/>
  <c r="BV144" i="5"/>
  <c r="BV79" i="5"/>
  <c r="BU79" i="5"/>
  <c r="BU91" i="5"/>
  <c r="BV91" i="5"/>
  <c r="BU38" i="5"/>
  <c r="BV38" i="5"/>
  <c r="BU141" i="5"/>
  <c r="BV141" i="5"/>
  <c r="BU126" i="5"/>
  <c r="BV126" i="5"/>
  <c r="BU36" i="5"/>
  <c r="BV36" i="5"/>
  <c r="BV170" i="5"/>
  <c r="BU170" i="5"/>
  <c r="BU114" i="5"/>
  <c r="BV114" i="5"/>
  <c r="BU212" i="5"/>
  <c r="BV212" i="5"/>
  <c r="BV169" i="5"/>
  <c r="BU169" i="5"/>
  <c r="BU113" i="5"/>
  <c r="BV113" i="5"/>
  <c r="BV88" i="5"/>
  <c r="BU88" i="5"/>
  <c r="BU184" i="5"/>
  <c r="BV184" i="5"/>
  <c r="BU138" i="5"/>
  <c r="BV138" i="5"/>
  <c r="BV61" i="5"/>
  <c r="BU61" i="5"/>
  <c r="BU227" i="5"/>
  <c r="BV227" i="5"/>
  <c r="BU166" i="5"/>
  <c r="BV166" i="5"/>
  <c r="BV223" i="5"/>
  <c r="BU223" i="5"/>
  <c r="BU132" i="5"/>
  <c r="BV132" i="5"/>
  <c r="BU95" i="5"/>
  <c r="BV95" i="5"/>
  <c r="BV43" i="5"/>
  <c r="BU43" i="5"/>
  <c r="BU9" i="5"/>
  <c r="BV9" i="5"/>
  <c r="BU221" i="5"/>
  <c r="BV221" i="5"/>
  <c r="BV206" i="5"/>
  <c r="BU206" i="5"/>
  <c r="BV178" i="5"/>
  <c r="BU178" i="5"/>
  <c r="BV160" i="5"/>
  <c r="BU160" i="5"/>
  <c r="BU130" i="5"/>
  <c r="BV130" i="5"/>
  <c r="BU107" i="5"/>
  <c r="BV107" i="5"/>
  <c r="BU82" i="5"/>
  <c r="BV82" i="5"/>
  <c r="BU68" i="5"/>
  <c r="BV68" i="5"/>
  <c r="BU55" i="5"/>
  <c r="BV55" i="5"/>
  <c r="BU41" i="5"/>
  <c r="BV41" i="5"/>
  <c r="BU19" i="5"/>
  <c r="BV19" i="5"/>
  <c r="BU90" i="5"/>
  <c r="BV90" i="5"/>
  <c r="BU76" i="5"/>
  <c r="BV76" i="5"/>
  <c r="BU220" i="5"/>
  <c r="BV220" i="5"/>
  <c r="BU205" i="5"/>
  <c r="BV205" i="5"/>
  <c r="BU177" i="5"/>
  <c r="BV177" i="5"/>
  <c r="BU159" i="5"/>
  <c r="BV159" i="5"/>
  <c r="BU119" i="5"/>
  <c r="BV119" i="5"/>
  <c r="BV106" i="5"/>
  <c r="BU106" i="5"/>
  <c r="BU81" i="5"/>
  <c r="BV81" i="5"/>
  <c r="BU67" i="5"/>
  <c r="BV67" i="5"/>
  <c r="BU54" i="5"/>
  <c r="BV54" i="5"/>
  <c r="BU40" i="5"/>
  <c r="BV40" i="5"/>
  <c r="BU18" i="5"/>
  <c r="BV18" i="5"/>
  <c r="BV7" i="5"/>
  <c r="BU7" i="5"/>
  <c r="BU219" i="5"/>
  <c r="BV219" i="5"/>
  <c r="BU204" i="5"/>
  <c r="BV204" i="5"/>
  <c r="BU176" i="5"/>
  <c r="BV176" i="5"/>
  <c r="BU158" i="5"/>
  <c r="BV158" i="5"/>
  <c r="BU146" i="5"/>
  <c r="BV146" i="5"/>
  <c r="BU118" i="5"/>
  <c r="BV118" i="5"/>
  <c r="BU105" i="5"/>
  <c r="BV105" i="5"/>
  <c r="BU29" i="5"/>
  <c r="BV29" i="5"/>
  <c r="BV11" i="5"/>
  <c r="BV98" i="5"/>
  <c r="BV89" i="5"/>
  <c r="BV80" i="5"/>
  <c r="BV71" i="5"/>
  <c r="BV62" i="5"/>
  <c r="BV53" i="5"/>
  <c r="BV44" i="5"/>
  <c r="BV35" i="5"/>
  <c r="BV26" i="5"/>
  <c r="BV17" i="5"/>
  <c r="BV8" i="5"/>
  <c r="BU3" i="5"/>
  <c r="BV3" i="5"/>
  <c r="BQ152" i="5"/>
  <c r="BR152" i="5"/>
  <c r="BQ224" i="5"/>
  <c r="BR224" i="5"/>
  <c r="BQ188" i="5"/>
  <c r="BR188" i="5"/>
  <c r="BQ125" i="5"/>
  <c r="BR125" i="5"/>
  <c r="BQ197" i="5"/>
  <c r="BR197" i="5"/>
  <c r="BQ170" i="5"/>
  <c r="BR170" i="5"/>
  <c r="BQ161" i="5"/>
  <c r="BR161" i="5"/>
  <c r="BQ206" i="5"/>
  <c r="BR206" i="5"/>
  <c r="BQ134" i="5"/>
  <c r="BR134" i="5"/>
  <c r="BQ215" i="5"/>
  <c r="BR215" i="5"/>
  <c r="BQ143" i="5"/>
  <c r="BR143" i="5"/>
  <c r="BQ179" i="5"/>
  <c r="BR179" i="5"/>
  <c r="BQ139" i="5"/>
  <c r="BR139" i="5"/>
  <c r="BR118" i="5"/>
  <c r="BQ118" i="5"/>
  <c r="BQ106" i="5"/>
  <c r="BR106" i="5"/>
  <c r="BQ95" i="5"/>
  <c r="BR95" i="5"/>
  <c r="BQ71" i="5"/>
  <c r="BR71" i="5"/>
  <c r="BR37" i="5"/>
  <c r="BQ37" i="5"/>
  <c r="BQ25" i="5"/>
  <c r="BR25" i="5"/>
  <c r="BQ14" i="5"/>
  <c r="BR14" i="5"/>
  <c r="BQ149" i="5"/>
  <c r="BR149" i="5"/>
  <c r="BQ128" i="5"/>
  <c r="BR128" i="5"/>
  <c r="BQ116" i="5"/>
  <c r="BR116" i="5"/>
  <c r="BR82" i="5"/>
  <c r="BQ82" i="5"/>
  <c r="BQ70" i="5"/>
  <c r="BR70" i="5"/>
  <c r="BQ59" i="5"/>
  <c r="BR59" i="5"/>
  <c r="BQ35" i="5"/>
  <c r="BR35" i="5"/>
  <c r="BQ220" i="5"/>
  <c r="BR220" i="5"/>
  <c r="BQ190" i="5"/>
  <c r="BR190" i="5"/>
  <c r="BR169" i="5"/>
  <c r="BQ148" i="5"/>
  <c r="BR148" i="5"/>
  <c r="BR127" i="5"/>
  <c r="BQ127" i="5"/>
  <c r="BQ81" i="5"/>
  <c r="BR81" i="5"/>
  <c r="BQ58" i="5"/>
  <c r="BR58" i="5"/>
  <c r="BQ47" i="5"/>
  <c r="BR47" i="5"/>
  <c r="BQ126" i="5"/>
  <c r="BR126" i="5"/>
  <c r="BQ115" i="5"/>
  <c r="BR115" i="5"/>
  <c r="BQ104" i="5"/>
  <c r="BR104" i="5"/>
  <c r="BQ80" i="5"/>
  <c r="BR80" i="5"/>
  <c r="BR46" i="5"/>
  <c r="BQ46" i="5"/>
  <c r="BQ34" i="5"/>
  <c r="BR34" i="5"/>
  <c r="BQ23" i="5"/>
  <c r="BR23" i="5"/>
  <c r="BQ229" i="5"/>
  <c r="BR229" i="5"/>
  <c r="BQ199" i="5"/>
  <c r="BR199" i="5"/>
  <c r="BR178" i="5"/>
  <c r="BQ158" i="5"/>
  <c r="BR158" i="5"/>
  <c r="BQ137" i="5"/>
  <c r="BR137" i="5"/>
  <c r="BQ103" i="5"/>
  <c r="BR103" i="5"/>
  <c r="BQ92" i="5"/>
  <c r="BR92" i="5"/>
  <c r="BQ45" i="5"/>
  <c r="BR45" i="5"/>
  <c r="BQ22" i="5"/>
  <c r="BR22" i="5"/>
  <c r="BQ11" i="5"/>
  <c r="BR11" i="5"/>
  <c r="BQ157" i="5"/>
  <c r="BR157" i="5"/>
  <c r="BR136" i="5"/>
  <c r="BQ136" i="5"/>
  <c r="BR91" i="5"/>
  <c r="BQ91" i="5"/>
  <c r="BQ79" i="5"/>
  <c r="BR79" i="5"/>
  <c r="BQ68" i="5"/>
  <c r="BR68" i="5"/>
  <c r="BQ44" i="5"/>
  <c r="BR44" i="5"/>
  <c r="BR10" i="5"/>
  <c r="BQ10" i="5"/>
  <c r="BQ173" i="5"/>
  <c r="BR173" i="5"/>
  <c r="BQ202" i="5"/>
  <c r="BR202" i="5"/>
  <c r="BQ140" i="5"/>
  <c r="BR140" i="5"/>
  <c r="BQ72" i="5"/>
  <c r="BR72" i="5"/>
  <c r="BQ182" i="5"/>
  <c r="BR182" i="5"/>
  <c r="BQ181" i="5"/>
  <c r="BR181" i="5"/>
  <c r="BQ117" i="5"/>
  <c r="BR117" i="5"/>
  <c r="BQ83" i="5"/>
  <c r="BR83" i="5"/>
  <c r="BQ209" i="5"/>
  <c r="BR209" i="5"/>
  <c r="BQ208" i="5"/>
  <c r="BR208" i="5"/>
  <c r="BQ135" i="5"/>
  <c r="BR135" i="5"/>
  <c r="BQ124" i="5"/>
  <c r="BR124" i="5"/>
  <c r="BQ90" i="5"/>
  <c r="BR90" i="5"/>
  <c r="BQ67" i="5"/>
  <c r="BR67" i="5"/>
  <c r="BQ56" i="5"/>
  <c r="BR56" i="5"/>
  <c r="BQ9" i="5"/>
  <c r="BR9" i="5"/>
  <c r="BQ218" i="5"/>
  <c r="BR218" i="5"/>
  <c r="BQ207" i="5"/>
  <c r="BR207" i="5"/>
  <c r="BQ167" i="5"/>
  <c r="BR167" i="5"/>
  <c r="BQ146" i="5"/>
  <c r="BR146" i="5"/>
  <c r="BQ113" i="5"/>
  <c r="BR113" i="5"/>
  <c r="BQ89" i="5"/>
  <c r="BR89" i="5"/>
  <c r="BR55" i="5"/>
  <c r="BQ55" i="5"/>
  <c r="BQ43" i="5"/>
  <c r="BR43" i="5"/>
  <c r="BQ32" i="5"/>
  <c r="BR32" i="5"/>
  <c r="BQ8" i="5"/>
  <c r="BR8" i="5"/>
  <c r="BQ112" i="5"/>
  <c r="BR112" i="5"/>
  <c r="BQ101" i="5"/>
  <c r="BR101" i="5"/>
  <c r="BQ54" i="5"/>
  <c r="BR54" i="5"/>
  <c r="BQ31" i="5"/>
  <c r="BR31" i="5"/>
  <c r="BQ20" i="5"/>
  <c r="BR20" i="5"/>
  <c r="BQ61" i="5"/>
  <c r="BR61" i="5"/>
  <c r="BQ172" i="5"/>
  <c r="BR172" i="5"/>
  <c r="BQ227" i="5"/>
  <c r="BR227" i="5"/>
  <c r="BQ216" i="5"/>
  <c r="BR216" i="5"/>
  <c r="BQ203" i="5"/>
  <c r="BR203" i="5"/>
  <c r="BQ212" i="5"/>
  <c r="BR212" i="5"/>
  <c r="BQ171" i="5"/>
  <c r="BR171" i="5"/>
  <c r="BQ211" i="5"/>
  <c r="BR211" i="5"/>
  <c r="BQ160" i="5"/>
  <c r="BR160" i="5"/>
  <c r="BQ36" i="5"/>
  <c r="BR36" i="5"/>
  <c r="BQ180" i="5"/>
  <c r="BR180" i="5"/>
  <c r="BQ230" i="5"/>
  <c r="BR230" i="5"/>
  <c r="BQ200" i="5"/>
  <c r="BR200" i="5"/>
  <c r="BQ176" i="5"/>
  <c r="BR176" i="5"/>
  <c r="BR165" i="5"/>
  <c r="BQ144" i="5"/>
  <c r="BR144" i="5"/>
  <c r="BQ133" i="5"/>
  <c r="BR133" i="5"/>
  <c r="BR100" i="5"/>
  <c r="BQ100" i="5"/>
  <c r="BQ88" i="5"/>
  <c r="BR88" i="5"/>
  <c r="BQ77" i="5"/>
  <c r="BR77" i="5"/>
  <c r="BQ53" i="5"/>
  <c r="BR53" i="5"/>
  <c r="BQ19" i="5"/>
  <c r="BR19" i="5"/>
  <c r="BQ7" i="5"/>
  <c r="BR7" i="5"/>
  <c r="BQ226" i="5"/>
  <c r="BR226" i="5"/>
  <c r="BR205" i="5"/>
  <c r="BQ175" i="5"/>
  <c r="BR175" i="5"/>
  <c r="BQ155" i="5"/>
  <c r="BR155" i="5"/>
  <c r="BQ122" i="5"/>
  <c r="BR122" i="5"/>
  <c r="BQ99" i="5"/>
  <c r="BR99" i="5"/>
  <c r="BQ76" i="5"/>
  <c r="BR76" i="5"/>
  <c r="BQ65" i="5"/>
  <c r="BR65" i="5"/>
  <c r="BQ18" i="5"/>
  <c r="BR18" i="5"/>
  <c r="BQ162" i="5"/>
  <c r="BR162" i="5"/>
  <c r="BQ26" i="5"/>
  <c r="BR26" i="5"/>
  <c r="BQ49" i="5"/>
  <c r="BR49" i="5"/>
  <c r="BQ94" i="5"/>
  <c r="BR94" i="5"/>
  <c r="BQ13" i="5"/>
  <c r="BR13" i="5"/>
  <c r="BQ221" i="5"/>
  <c r="BR221" i="5"/>
  <c r="BQ191" i="5"/>
  <c r="BR191" i="5"/>
  <c r="BQ189" i="5"/>
  <c r="BR189" i="5"/>
  <c r="BQ198" i="5"/>
  <c r="BR198" i="5"/>
  <c r="BQ217" i="5"/>
  <c r="BR217" i="5"/>
  <c r="BQ166" i="5"/>
  <c r="BR166" i="5"/>
  <c r="BQ145" i="5"/>
  <c r="BR145" i="5"/>
  <c r="BQ225" i="5"/>
  <c r="BR225" i="5"/>
  <c r="BQ121" i="5"/>
  <c r="BR121" i="5"/>
  <c r="BQ98" i="5"/>
  <c r="BR98" i="5"/>
  <c r="BR64" i="5"/>
  <c r="BQ64" i="5"/>
  <c r="BQ52" i="5"/>
  <c r="BR52" i="5"/>
  <c r="BQ41" i="5"/>
  <c r="BR41" i="5"/>
  <c r="BQ17" i="5"/>
  <c r="BR17" i="5"/>
  <c r="BQ185" i="5"/>
  <c r="BR185" i="5"/>
  <c r="BR154" i="5"/>
  <c r="BQ154" i="5"/>
  <c r="BR214" i="5"/>
  <c r="BQ184" i="5"/>
  <c r="BR184" i="5"/>
  <c r="BQ153" i="5"/>
  <c r="BR153" i="5"/>
  <c r="BQ142" i="5"/>
  <c r="BR142" i="5"/>
  <c r="BQ110" i="5"/>
  <c r="BR110" i="5"/>
  <c r="BQ63" i="5"/>
  <c r="BR63" i="5"/>
  <c r="BQ40" i="5"/>
  <c r="BR40" i="5"/>
  <c r="BQ29" i="5"/>
  <c r="BR29" i="5"/>
  <c r="BR73" i="5"/>
  <c r="BQ73" i="5"/>
  <c r="BQ194" i="5"/>
  <c r="BR194" i="5"/>
  <c r="BR183" i="5"/>
  <c r="BQ164" i="5"/>
  <c r="BR164" i="5"/>
  <c r="BQ131" i="5"/>
  <c r="BR131" i="5"/>
  <c r="BR109" i="5"/>
  <c r="BQ109" i="5"/>
  <c r="BQ97" i="5"/>
  <c r="BR97" i="5"/>
  <c r="BQ86" i="5"/>
  <c r="BR86" i="5"/>
  <c r="BQ62" i="5"/>
  <c r="BR62" i="5"/>
  <c r="BR28" i="5"/>
  <c r="BQ28" i="5"/>
  <c r="BQ16" i="5"/>
  <c r="BR16" i="5"/>
  <c r="BQ5" i="5"/>
  <c r="BR5" i="5"/>
  <c r="BQ151" i="5"/>
  <c r="BR151" i="5"/>
  <c r="BQ107" i="5"/>
  <c r="BR107" i="5"/>
  <c r="BQ50" i="5"/>
  <c r="BR50" i="5"/>
  <c r="BQ119" i="5"/>
  <c r="BR119" i="5"/>
  <c r="BQ38" i="5"/>
  <c r="BR38" i="5"/>
  <c r="BR223" i="5"/>
  <c r="BQ193" i="5"/>
  <c r="BR193" i="5"/>
  <c r="BR163" i="5"/>
  <c r="BQ163" i="5"/>
  <c r="BQ130" i="5"/>
  <c r="BR130" i="5"/>
  <c r="BQ108" i="5"/>
  <c r="BR108" i="5"/>
  <c r="BQ85" i="5"/>
  <c r="BR85" i="5"/>
  <c r="BQ74" i="5"/>
  <c r="BR74" i="5"/>
  <c r="BQ27" i="5"/>
  <c r="BR27" i="5"/>
  <c r="BQ4" i="5"/>
  <c r="BR4" i="5"/>
  <c r="BQ3" i="5"/>
  <c r="BM96" i="5"/>
  <c r="BN96" i="5"/>
  <c r="BM72" i="5"/>
  <c r="BN72" i="5"/>
  <c r="BM152" i="5"/>
  <c r="BN152" i="5"/>
  <c r="BM95" i="5"/>
  <c r="BN95" i="5"/>
  <c r="BN71" i="5"/>
  <c r="BM71" i="5"/>
  <c r="BM14" i="5"/>
  <c r="BN14" i="5"/>
  <c r="BM231" i="5"/>
  <c r="BN231" i="5"/>
  <c r="BM213" i="5"/>
  <c r="BN213" i="5"/>
  <c r="BM200" i="5"/>
  <c r="BN200" i="5"/>
  <c r="BM175" i="5"/>
  <c r="BN175" i="5"/>
  <c r="BN164" i="5"/>
  <c r="BM164" i="5"/>
  <c r="BM141" i="5"/>
  <c r="BN141" i="5"/>
  <c r="BM117" i="5"/>
  <c r="BN117" i="5"/>
  <c r="BM94" i="5"/>
  <c r="BN94" i="5"/>
  <c r="BN83" i="5"/>
  <c r="BM83" i="5"/>
  <c r="BM60" i="5"/>
  <c r="BN60" i="5"/>
  <c r="BM36" i="5"/>
  <c r="BN36" i="5"/>
  <c r="BM13" i="5"/>
  <c r="BN13" i="5"/>
  <c r="BM230" i="5"/>
  <c r="BN230" i="5"/>
  <c r="BM212" i="5"/>
  <c r="BN212" i="5"/>
  <c r="BM199" i="5"/>
  <c r="BN199" i="5"/>
  <c r="BM163" i="5"/>
  <c r="BN163" i="5"/>
  <c r="BM140" i="5"/>
  <c r="BN140" i="5"/>
  <c r="BM116" i="5"/>
  <c r="BN116" i="5"/>
  <c r="BM82" i="5"/>
  <c r="BN82" i="5"/>
  <c r="BM59" i="5"/>
  <c r="BN59" i="5"/>
  <c r="BN35" i="5"/>
  <c r="BM35" i="5"/>
  <c r="BM229" i="5"/>
  <c r="BN229" i="5"/>
  <c r="BM211" i="5"/>
  <c r="BN211" i="5"/>
  <c r="BM198" i="5"/>
  <c r="BN198" i="5"/>
  <c r="BM162" i="5"/>
  <c r="BN162" i="5"/>
  <c r="BM139" i="5"/>
  <c r="BN139" i="5"/>
  <c r="BN128" i="5"/>
  <c r="BM128" i="5"/>
  <c r="BM105" i="5"/>
  <c r="BN105" i="5"/>
  <c r="BM81" i="5"/>
  <c r="BN81" i="5"/>
  <c r="BM58" i="5"/>
  <c r="BN58" i="5"/>
  <c r="BN47" i="5"/>
  <c r="BM47" i="5"/>
  <c r="BM24" i="5"/>
  <c r="BN24" i="5"/>
  <c r="BM49" i="5"/>
  <c r="BN49" i="5"/>
  <c r="BM190" i="5"/>
  <c r="BN190" i="5"/>
  <c r="BM26" i="5"/>
  <c r="BN26" i="5"/>
  <c r="BM15" i="5"/>
  <c r="BN15" i="5"/>
  <c r="BN188" i="5"/>
  <c r="BM188" i="5"/>
  <c r="BM161" i="5"/>
  <c r="BN161" i="5"/>
  <c r="BM46" i="5"/>
  <c r="BN46" i="5"/>
  <c r="BN92" i="5"/>
  <c r="BM92" i="5"/>
  <c r="BM69" i="5"/>
  <c r="BN69" i="5"/>
  <c r="BM185" i="5"/>
  <c r="BN185" i="5"/>
  <c r="BM10" i="5"/>
  <c r="BN10" i="5"/>
  <c r="BM207" i="5"/>
  <c r="BN207" i="5"/>
  <c r="BM171" i="5"/>
  <c r="BN171" i="5"/>
  <c r="BM148" i="5"/>
  <c r="BN148" i="5"/>
  <c r="BM114" i="5"/>
  <c r="BN114" i="5"/>
  <c r="BM90" i="5"/>
  <c r="BN90" i="5"/>
  <c r="BN56" i="5"/>
  <c r="BM56" i="5"/>
  <c r="BN224" i="5"/>
  <c r="BM224" i="5"/>
  <c r="BN170" i="5"/>
  <c r="BM170" i="5"/>
  <c r="BN89" i="5"/>
  <c r="BM89" i="5"/>
  <c r="BM223" i="5"/>
  <c r="BN223" i="5"/>
  <c r="BM159" i="5"/>
  <c r="BN159" i="5"/>
  <c r="BM222" i="5"/>
  <c r="BN222" i="5"/>
  <c r="BM100" i="5"/>
  <c r="BN100" i="5"/>
  <c r="BN53" i="5"/>
  <c r="BM53" i="5"/>
  <c r="BM19" i="5"/>
  <c r="BN19" i="5"/>
  <c r="BM73" i="5"/>
  <c r="BN73" i="5"/>
  <c r="BM153" i="5"/>
  <c r="BN153" i="5"/>
  <c r="BN119" i="5"/>
  <c r="BM119" i="5"/>
  <c r="BM214" i="5"/>
  <c r="BN214" i="5"/>
  <c r="BM37" i="5"/>
  <c r="BN37" i="5"/>
  <c r="BM197" i="5"/>
  <c r="BN197" i="5"/>
  <c r="BM127" i="5"/>
  <c r="BN127" i="5"/>
  <c r="BN227" i="5"/>
  <c r="BM227" i="5"/>
  <c r="BM186" i="5"/>
  <c r="BN186" i="5"/>
  <c r="BM103" i="5"/>
  <c r="BN103" i="5"/>
  <c r="BM22" i="5"/>
  <c r="BN22" i="5"/>
  <c r="BM208" i="5"/>
  <c r="BN208" i="5"/>
  <c r="BN125" i="5"/>
  <c r="BM125" i="5"/>
  <c r="BM68" i="5"/>
  <c r="BN68" i="5"/>
  <c r="BM9" i="5"/>
  <c r="BN9" i="5"/>
  <c r="BN206" i="5"/>
  <c r="BM206" i="5"/>
  <c r="BM113" i="5"/>
  <c r="BN113" i="5"/>
  <c r="BM55" i="5"/>
  <c r="BN55" i="5"/>
  <c r="BM135" i="5"/>
  <c r="BN135" i="5"/>
  <c r="BM31" i="5"/>
  <c r="BN31" i="5"/>
  <c r="BM50" i="5"/>
  <c r="BN50" i="5"/>
  <c r="BM215" i="5"/>
  <c r="BN215" i="5"/>
  <c r="BM177" i="5"/>
  <c r="BN177" i="5"/>
  <c r="BN38" i="5"/>
  <c r="BM38" i="5"/>
  <c r="BM232" i="5"/>
  <c r="BN232" i="5"/>
  <c r="BM210" i="5"/>
  <c r="BN210" i="5"/>
  <c r="BM80" i="5"/>
  <c r="BN80" i="5"/>
  <c r="BM173" i="5"/>
  <c r="BN173" i="5"/>
  <c r="BM126" i="5"/>
  <c r="BN126" i="5"/>
  <c r="BM45" i="5"/>
  <c r="BN45" i="5"/>
  <c r="BM226" i="5"/>
  <c r="BN226" i="5"/>
  <c r="BM149" i="5"/>
  <c r="BN149" i="5"/>
  <c r="BM44" i="5"/>
  <c r="BN44" i="5"/>
  <c r="BM225" i="5"/>
  <c r="BN225" i="5"/>
  <c r="BM136" i="5"/>
  <c r="BN136" i="5"/>
  <c r="BM32" i="5"/>
  <c r="BN32" i="5"/>
  <c r="BM195" i="5"/>
  <c r="BN195" i="5"/>
  <c r="BN182" i="5"/>
  <c r="BM182" i="5"/>
  <c r="BM112" i="5"/>
  <c r="BN112" i="5"/>
  <c r="BN101" i="5"/>
  <c r="BM101" i="5"/>
  <c r="BM78" i="5"/>
  <c r="BN78" i="5"/>
  <c r="BN20" i="5"/>
  <c r="BM20" i="5"/>
  <c r="BM194" i="5"/>
  <c r="BN194" i="5"/>
  <c r="BM158" i="5"/>
  <c r="BN158" i="5"/>
  <c r="BM134" i="5"/>
  <c r="BN134" i="5"/>
  <c r="BM221" i="5"/>
  <c r="BN221" i="5"/>
  <c r="BM193" i="5"/>
  <c r="BN193" i="5"/>
  <c r="BM180" i="5"/>
  <c r="BN180" i="5"/>
  <c r="BM157" i="5"/>
  <c r="BN157" i="5"/>
  <c r="BM146" i="5"/>
  <c r="BN146" i="5"/>
  <c r="BM123" i="5"/>
  <c r="BN123" i="5"/>
  <c r="BM99" i="5"/>
  <c r="BN99" i="5"/>
  <c r="BN65" i="5"/>
  <c r="BM65" i="5"/>
  <c r="BM42" i="5"/>
  <c r="BN42" i="5"/>
  <c r="BM18" i="5"/>
  <c r="BN18" i="5"/>
  <c r="BM220" i="5"/>
  <c r="BN220" i="5"/>
  <c r="BM17" i="5"/>
  <c r="BN17" i="5"/>
  <c r="BM219" i="5"/>
  <c r="BN219" i="5"/>
  <c r="BM204" i="5"/>
  <c r="BN204" i="5"/>
  <c r="BM168" i="5"/>
  <c r="BN168" i="5"/>
  <c r="BM144" i="5"/>
  <c r="BN144" i="5"/>
  <c r="BM121" i="5"/>
  <c r="BN121" i="5"/>
  <c r="BN110" i="5"/>
  <c r="BM110" i="5"/>
  <c r="BM87" i="5"/>
  <c r="BN87" i="5"/>
  <c r="BM63" i="5"/>
  <c r="BN63" i="5"/>
  <c r="BM40" i="5"/>
  <c r="BN40" i="5"/>
  <c r="BN29" i="5"/>
  <c r="BM29" i="5"/>
  <c r="BM6" i="5"/>
  <c r="BN6" i="5"/>
  <c r="BN216" i="5"/>
  <c r="BM216" i="5"/>
  <c r="BM131" i="5"/>
  <c r="BN131" i="5"/>
  <c r="BM118" i="5"/>
  <c r="BN118" i="5"/>
  <c r="BM154" i="5"/>
  <c r="BN154" i="5"/>
  <c r="BN107" i="5"/>
  <c r="BM107" i="5"/>
  <c r="BM189" i="5"/>
  <c r="BN189" i="5"/>
  <c r="BM130" i="5"/>
  <c r="BN130" i="5"/>
  <c r="BM176" i="5"/>
  <c r="BN176" i="5"/>
  <c r="BM228" i="5"/>
  <c r="BN228" i="5"/>
  <c r="BM104" i="5"/>
  <c r="BN104" i="5"/>
  <c r="BM23" i="5"/>
  <c r="BN23" i="5"/>
  <c r="BM209" i="5"/>
  <c r="BN209" i="5"/>
  <c r="BM150" i="5"/>
  <c r="BN150" i="5"/>
  <c r="BN11" i="5"/>
  <c r="BM11" i="5"/>
  <c r="BM172" i="5"/>
  <c r="BN172" i="5"/>
  <c r="BM91" i="5"/>
  <c r="BN91" i="5"/>
  <c r="BM184" i="5"/>
  <c r="BN184" i="5"/>
  <c r="BN137" i="5"/>
  <c r="BM137" i="5"/>
  <c r="BM67" i="5"/>
  <c r="BN67" i="5"/>
  <c r="BM33" i="5"/>
  <c r="BN33" i="5"/>
  <c r="BN183" i="5"/>
  <c r="BM183" i="5"/>
  <c r="BN8" i="5"/>
  <c r="BM8" i="5"/>
  <c r="BM54" i="5"/>
  <c r="BN54" i="5"/>
  <c r="BM181" i="5"/>
  <c r="BN181" i="5"/>
  <c r="BM77" i="5"/>
  <c r="BN77" i="5"/>
  <c r="BM76" i="5"/>
  <c r="BN76" i="5"/>
  <c r="BM179" i="5"/>
  <c r="BN179" i="5"/>
  <c r="BM145" i="5"/>
  <c r="BN145" i="5"/>
  <c r="BM122" i="5"/>
  <c r="BN122" i="5"/>
  <c r="BM98" i="5"/>
  <c r="BN98" i="5"/>
  <c r="BM64" i="5"/>
  <c r="BN64" i="5"/>
  <c r="BM41" i="5"/>
  <c r="BN41" i="5"/>
  <c r="BN218" i="5"/>
  <c r="BM218" i="5"/>
  <c r="BM203" i="5"/>
  <c r="BN203" i="5"/>
  <c r="BM167" i="5"/>
  <c r="BN167" i="5"/>
  <c r="BM143" i="5"/>
  <c r="BN143" i="5"/>
  <c r="BM109" i="5"/>
  <c r="BN109" i="5"/>
  <c r="BM86" i="5"/>
  <c r="BN86" i="5"/>
  <c r="BM62" i="5"/>
  <c r="BN62" i="5"/>
  <c r="BM28" i="5"/>
  <c r="BN28" i="5"/>
  <c r="BM5" i="5"/>
  <c r="BN5" i="5"/>
  <c r="BM217" i="5"/>
  <c r="BN217" i="5"/>
  <c r="BM202" i="5"/>
  <c r="BN202" i="5"/>
  <c r="BN191" i="5"/>
  <c r="BM191" i="5"/>
  <c r="BM166" i="5"/>
  <c r="BN166" i="5"/>
  <c r="BN155" i="5"/>
  <c r="BM155" i="5"/>
  <c r="BM132" i="5"/>
  <c r="BN132" i="5"/>
  <c r="BM108" i="5"/>
  <c r="BN108" i="5"/>
  <c r="BM85" i="5"/>
  <c r="BN85" i="5"/>
  <c r="BN74" i="5"/>
  <c r="BM74" i="5"/>
  <c r="BM51" i="5"/>
  <c r="BN51" i="5"/>
  <c r="BM27" i="5"/>
  <c r="BN27" i="5"/>
  <c r="BM4" i="5"/>
  <c r="BN4" i="5"/>
  <c r="BN3" i="5"/>
  <c r="BM3" i="5"/>
  <c r="BJ215" i="5"/>
  <c r="BI215" i="5"/>
  <c r="BI152" i="5"/>
  <c r="BJ152" i="5"/>
  <c r="BJ188" i="5"/>
  <c r="BI188" i="5"/>
  <c r="BI8" i="5"/>
  <c r="BJ8" i="5"/>
  <c r="BI116" i="5"/>
  <c r="BJ116" i="5"/>
  <c r="BJ224" i="5"/>
  <c r="BI224" i="5"/>
  <c r="BI134" i="5"/>
  <c r="BJ134" i="5"/>
  <c r="BI17" i="5"/>
  <c r="BJ17" i="5"/>
  <c r="BI80" i="5"/>
  <c r="BJ80" i="5"/>
  <c r="BI71" i="5"/>
  <c r="BJ71" i="5"/>
  <c r="BI44" i="5"/>
  <c r="BJ44" i="5"/>
  <c r="BJ161" i="5"/>
  <c r="BI161" i="5"/>
  <c r="BJ170" i="5"/>
  <c r="BI170" i="5"/>
  <c r="BI107" i="5"/>
  <c r="BJ107" i="5"/>
  <c r="BI209" i="5"/>
  <c r="BJ209" i="5"/>
  <c r="BI159" i="5"/>
  <c r="BI126" i="5"/>
  <c r="BJ126" i="5"/>
  <c r="BI89" i="5"/>
  <c r="BJ89" i="5"/>
  <c r="BI76" i="5"/>
  <c r="BJ76" i="5"/>
  <c r="BI65" i="5"/>
  <c r="BJ65" i="5"/>
  <c r="BI53" i="5"/>
  <c r="BJ53" i="5"/>
  <c r="BI211" i="5"/>
  <c r="BJ211" i="5"/>
  <c r="BI162" i="5"/>
  <c r="BJ162" i="5"/>
  <c r="BI200" i="5"/>
  <c r="BJ200" i="5"/>
  <c r="BI190" i="5"/>
  <c r="BI180" i="5"/>
  <c r="BJ180" i="5"/>
  <c r="BI160" i="5"/>
  <c r="BJ160" i="5"/>
  <c r="BI149" i="5"/>
  <c r="BJ149" i="5"/>
  <c r="BJ115" i="5"/>
  <c r="BI115" i="5"/>
  <c r="BI90" i="5"/>
  <c r="BJ90" i="5"/>
  <c r="BI77" i="5"/>
  <c r="BJ77" i="5"/>
  <c r="BI54" i="5"/>
  <c r="BJ54" i="5"/>
  <c r="BJ43" i="5"/>
  <c r="BI43" i="5"/>
  <c r="BI137" i="5"/>
  <c r="BJ137" i="5"/>
  <c r="BI125" i="5"/>
  <c r="BJ125" i="5"/>
  <c r="BI113" i="5"/>
  <c r="BJ113" i="5"/>
  <c r="BI64" i="5"/>
  <c r="BJ64" i="5"/>
  <c r="BI13" i="5"/>
  <c r="BJ13" i="5"/>
  <c r="BI226" i="5"/>
  <c r="BI217" i="5"/>
  <c r="BI198" i="5"/>
  <c r="BJ198" i="5"/>
  <c r="BI168" i="5"/>
  <c r="BI158" i="5"/>
  <c r="BJ158" i="5"/>
  <c r="BI136" i="5"/>
  <c r="BI112" i="5"/>
  <c r="BJ112" i="5"/>
  <c r="BI101" i="5"/>
  <c r="BJ101" i="5"/>
  <c r="BI88" i="5"/>
  <c r="BJ88" i="5"/>
  <c r="BI63" i="5"/>
  <c r="BJ63" i="5"/>
  <c r="BI52" i="5"/>
  <c r="BJ52" i="5"/>
  <c r="BI177" i="5"/>
  <c r="BI167" i="5"/>
  <c r="BJ167" i="5"/>
  <c r="BI135" i="5"/>
  <c r="BJ135" i="5"/>
  <c r="BI123" i="5"/>
  <c r="BJ123" i="5"/>
  <c r="BI99" i="5"/>
  <c r="BJ99" i="5"/>
  <c r="BI86" i="5"/>
  <c r="BJ86" i="5"/>
  <c r="BI22" i="5"/>
  <c r="BJ22" i="5"/>
  <c r="BI207" i="5"/>
  <c r="BJ207" i="5"/>
  <c r="BI178" i="5"/>
  <c r="BJ178" i="5"/>
  <c r="BI166" i="5"/>
  <c r="BJ166" i="5"/>
  <c r="BI146" i="5"/>
  <c r="BJ146" i="5"/>
  <c r="BI122" i="5"/>
  <c r="BJ122" i="5"/>
  <c r="BI98" i="5"/>
  <c r="BJ98" i="5"/>
  <c r="BI85" i="5"/>
  <c r="BJ85" i="5"/>
  <c r="BI74" i="5"/>
  <c r="BJ74" i="5"/>
  <c r="BJ61" i="5"/>
  <c r="BI61" i="5"/>
  <c r="BI31" i="5"/>
  <c r="BJ31" i="5"/>
  <c r="BI218" i="5"/>
  <c r="BJ218" i="5"/>
  <c r="BI157" i="5"/>
  <c r="BJ157" i="5"/>
  <c r="BI124" i="5"/>
  <c r="BJ124" i="5"/>
  <c r="BI100" i="5"/>
  <c r="BJ100" i="5"/>
  <c r="BI87" i="5"/>
  <c r="BJ87" i="5"/>
  <c r="BI62" i="5"/>
  <c r="BJ62" i="5"/>
  <c r="BI51" i="5"/>
  <c r="BJ51" i="5"/>
  <c r="BI225" i="5"/>
  <c r="BJ225" i="5"/>
  <c r="BI216" i="5"/>
  <c r="BJ216" i="5"/>
  <c r="BJ187" i="5"/>
  <c r="BI187" i="5"/>
  <c r="BJ196" i="5"/>
  <c r="BI186" i="5"/>
  <c r="BI176" i="5"/>
  <c r="BJ176" i="5"/>
  <c r="BI121" i="5"/>
  <c r="BJ121" i="5"/>
  <c r="BI73" i="5"/>
  <c r="BJ73" i="5"/>
  <c r="BI60" i="5"/>
  <c r="BJ60" i="5"/>
  <c r="BI40" i="5"/>
  <c r="BJ40" i="5"/>
  <c r="BI11" i="5"/>
  <c r="BJ11" i="5"/>
  <c r="BJ205" i="5"/>
  <c r="BI175" i="5"/>
  <c r="BJ175" i="5"/>
  <c r="BJ133" i="5"/>
  <c r="BI133" i="5"/>
  <c r="BI110" i="5"/>
  <c r="BJ110" i="5"/>
  <c r="BJ97" i="5"/>
  <c r="BI97" i="5"/>
  <c r="BI72" i="5"/>
  <c r="BJ72" i="5"/>
  <c r="BI49" i="5"/>
  <c r="BJ49" i="5"/>
  <c r="BI10" i="5"/>
  <c r="BJ10" i="5"/>
  <c r="BI155" i="5"/>
  <c r="BJ155" i="5"/>
  <c r="BI144" i="5"/>
  <c r="BJ144" i="5"/>
  <c r="BI132" i="5"/>
  <c r="BJ132" i="5"/>
  <c r="BI109" i="5"/>
  <c r="BJ109" i="5"/>
  <c r="BI96" i="5"/>
  <c r="BJ96" i="5"/>
  <c r="BI9" i="5"/>
  <c r="BJ9" i="5"/>
  <c r="BI184" i="5"/>
  <c r="BJ184" i="5"/>
  <c r="BI143" i="5"/>
  <c r="BJ143" i="5"/>
  <c r="BI131" i="5"/>
  <c r="BJ131" i="5"/>
  <c r="BI108" i="5"/>
  <c r="BJ108" i="5"/>
  <c r="BI95" i="5"/>
  <c r="BJ95" i="5"/>
  <c r="BI20" i="5"/>
  <c r="BJ20" i="5"/>
  <c r="BI164" i="5"/>
  <c r="BJ164" i="5"/>
  <c r="BI130" i="5"/>
  <c r="BJ130" i="5"/>
  <c r="BI94" i="5"/>
  <c r="BJ94" i="5"/>
  <c r="BI83" i="5"/>
  <c r="BJ83" i="5"/>
  <c r="BI70" i="5"/>
  <c r="BJ70" i="5"/>
  <c r="BI58" i="5"/>
  <c r="BJ58" i="5"/>
  <c r="BI29" i="5"/>
  <c r="BJ29" i="5"/>
  <c r="BI19" i="5"/>
  <c r="BJ19" i="5"/>
  <c r="BI194" i="5"/>
  <c r="BJ194" i="5"/>
  <c r="BI193" i="5"/>
  <c r="BJ193" i="5"/>
  <c r="BI153" i="5"/>
  <c r="BJ153" i="5"/>
  <c r="BI142" i="5"/>
  <c r="BJ142" i="5"/>
  <c r="BI119" i="5"/>
  <c r="BJ119" i="5"/>
  <c r="BI82" i="5"/>
  <c r="BJ82" i="5"/>
  <c r="BI69" i="5"/>
  <c r="BJ69" i="5"/>
  <c r="BI38" i="5"/>
  <c r="BJ38" i="5"/>
  <c r="BI28" i="5"/>
  <c r="BJ28" i="5"/>
  <c r="BI18" i="5"/>
  <c r="BJ18" i="5"/>
  <c r="BJ7" i="5"/>
  <c r="BI7" i="5"/>
  <c r="BI212" i="5"/>
  <c r="BJ212" i="5"/>
  <c r="BI173" i="5"/>
  <c r="BJ173" i="5"/>
  <c r="BI141" i="5"/>
  <c r="BJ141" i="5"/>
  <c r="BI118" i="5"/>
  <c r="BI106" i="5"/>
  <c r="BJ106" i="5"/>
  <c r="BI81" i="5"/>
  <c r="BJ81" i="5"/>
  <c r="BI68" i="5"/>
  <c r="BJ68" i="5"/>
  <c r="BI47" i="5"/>
  <c r="BJ47" i="5"/>
  <c r="BI37" i="5"/>
  <c r="BJ37" i="5"/>
  <c r="BI27" i="5"/>
  <c r="BJ27" i="5"/>
  <c r="BI227" i="5"/>
  <c r="BJ227" i="5"/>
  <c r="BI189" i="5"/>
  <c r="BJ189" i="5"/>
  <c r="BJ169" i="5"/>
  <c r="BI169" i="5"/>
  <c r="BI195" i="5"/>
  <c r="BI185" i="5"/>
  <c r="BJ185" i="5"/>
  <c r="BI204" i="5"/>
  <c r="BI231" i="5"/>
  <c r="BI222" i="5"/>
  <c r="BI213" i="5"/>
  <c r="BI140" i="5"/>
  <c r="BJ140" i="5"/>
  <c r="BI105" i="5"/>
  <c r="BJ105" i="5"/>
  <c r="BI67" i="5"/>
  <c r="BJ67" i="5"/>
  <c r="BI46" i="5"/>
  <c r="BJ46" i="5"/>
  <c r="BI36" i="5"/>
  <c r="BJ36" i="5"/>
  <c r="BI26" i="5"/>
  <c r="BJ26" i="5"/>
  <c r="BI229" i="5"/>
  <c r="BJ229" i="5"/>
  <c r="BI45" i="5"/>
  <c r="BJ45" i="5"/>
  <c r="BI35" i="5"/>
  <c r="BJ35" i="5"/>
  <c r="BI203" i="5"/>
  <c r="BJ203" i="5"/>
  <c r="BI220" i="5"/>
  <c r="BJ220" i="5"/>
  <c r="BJ210" i="5"/>
  <c r="BI182" i="5"/>
  <c r="BJ182" i="5"/>
  <c r="BJ151" i="5"/>
  <c r="BI151" i="5"/>
  <c r="BI139" i="5"/>
  <c r="BJ139" i="5"/>
  <c r="BI117" i="5"/>
  <c r="BJ117" i="5"/>
  <c r="BI104" i="5"/>
  <c r="BJ104" i="5"/>
  <c r="BI16" i="5"/>
  <c r="BJ16" i="5"/>
  <c r="BI181" i="5"/>
  <c r="BI171" i="5"/>
  <c r="BJ171" i="5"/>
  <c r="BI150" i="5"/>
  <c r="BI128" i="5"/>
  <c r="BJ128" i="5"/>
  <c r="BI103" i="5"/>
  <c r="BJ103" i="5"/>
  <c r="BI92" i="5"/>
  <c r="BJ92" i="5"/>
  <c r="BJ79" i="5"/>
  <c r="BI79" i="5"/>
  <c r="BI56" i="5"/>
  <c r="BJ56" i="5"/>
  <c r="BJ25" i="5"/>
  <c r="BI25" i="5"/>
  <c r="BI15" i="5"/>
  <c r="BJ15" i="5"/>
  <c r="BI148" i="5"/>
  <c r="BJ148" i="5"/>
  <c r="BI114" i="5"/>
  <c r="BJ114" i="5"/>
  <c r="BI202" i="5"/>
  <c r="BJ202" i="5"/>
  <c r="BI191" i="5"/>
  <c r="BJ191" i="5"/>
  <c r="BI91" i="5"/>
  <c r="BJ91" i="5"/>
  <c r="BI78" i="5"/>
  <c r="BJ78" i="5"/>
  <c r="BI55" i="5"/>
  <c r="BJ55" i="5"/>
  <c r="BI34" i="5"/>
  <c r="BJ34" i="5"/>
  <c r="BI4" i="5"/>
  <c r="BJ4" i="5"/>
  <c r="BJ6" i="5"/>
  <c r="BJ5" i="5"/>
  <c r="BI3" i="5"/>
  <c r="BJ3" i="5"/>
  <c r="BE195" i="5"/>
  <c r="BF195" i="5"/>
  <c r="BE113" i="5"/>
  <c r="BF113" i="5"/>
  <c r="BE68" i="5"/>
  <c r="BF68" i="5"/>
  <c r="BE176" i="5"/>
  <c r="BF176" i="5"/>
  <c r="BE51" i="5"/>
  <c r="BF51" i="5"/>
  <c r="BE175" i="5"/>
  <c r="BF175" i="5"/>
  <c r="BE97" i="5"/>
  <c r="BF97" i="5"/>
  <c r="BE50" i="5"/>
  <c r="BF50" i="5"/>
  <c r="BF192" i="5"/>
  <c r="BE192" i="5"/>
  <c r="BF156" i="5"/>
  <c r="BE156" i="5"/>
  <c r="BE140" i="5"/>
  <c r="BF140" i="5"/>
  <c r="BE96" i="5"/>
  <c r="BF96" i="5"/>
  <c r="BE33" i="5"/>
  <c r="BF33" i="5"/>
  <c r="BE209" i="5"/>
  <c r="BF209" i="5"/>
  <c r="BE155" i="5"/>
  <c r="BF155" i="5"/>
  <c r="BE16" i="5"/>
  <c r="BF16" i="5"/>
  <c r="BE208" i="5"/>
  <c r="BF208" i="5"/>
  <c r="BE154" i="5"/>
  <c r="BF154" i="5"/>
  <c r="BE108" i="5"/>
  <c r="BF108" i="5"/>
  <c r="BE63" i="5"/>
  <c r="BF63" i="5"/>
  <c r="BE15" i="5"/>
  <c r="BF15" i="5"/>
  <c r="BE189" i="5"/>
  <c r="BF189" i="5"/>
  <c r="BE153" i="5"/>
  <c r="BF153" i="5"/>
  <c r="BF93" i="5"/>
  <c r="BE93" i="5"/>
  <c r="BF30" i="5"/>
  <c r="BE30" i="5"/>
  <c r="BE29" i="5"/>
  <c r="BF29" i="5"/>
  <c r="BE169" i="5"/>
  <c r="BF169" i="5"/>
  <c r="BE28" i="5"/>
  <c r="BF28" i="5"/>
  <c r="BF12" i="5"/>
  <c r="BE12" i="5"/>
  <c r="BE222" i="5"/>
  <c r="BF222" i="5"/>
  <c r="BE204" i="5"/>
  <c r="BF204" i="5"/>
  <c r="BE186" i="5"/>
  <c r="BF186" i="5"/>
  <c r="BE168" i="5"/>
  <c r="BF168" i="5"/>
  <c r="BE150" i="5"/>
  <c r="BF150" i="5"/>
  <c r="BF120" i="5"/>
  <c r="BE120" i="5"/>
  <c r="BE106" i="5"/>
  <c r="BF106" i="5"/>
  <c r="BE90" i="5"/>
  <c r="BF90" i="5"/>
  <c r="BE76" i="5"/>
  <c r="BF76" i="5"/>
  <c r="BE60" i="5"/>
  <c r="BF60" i="5"/>
  <c r="BE27" i="5"/>
  <c r="BF27" i="5"/>
  <c r="BE11" i="5"/>
  <c r="BF11" i="5"/>
  <c r="BE221" i="5"/>
  <c r="BF221" i="5"/>
  <c r="BE203" i="5"/>
  <c r="BF203" i="5"/>
  <c r="BE185" i="5"/>
  <c r="BF185" i="5"/>
  <c r="BE167" i="5"/>
  <c r="BF167" i="5"/>
  <c r="BE149" i="5"/>
  <c r="BF149" i="5"/>
  <c r="BE119" i="5"/>
  <c r="BF119" i="5"/>
  <c r="BE105" i="5"/>
  <c r="BF105" i="5"/>
  <c r="BF75" i="5"/>
  <c r="BE75" i="5"/>
  <c r="BE59" i="5"/>
  <c r="BF59" i="5"/>
  <c r="BE43" i="5"/>
  <c r="BF43" i="5"/>
  <c r="BE10" i="5"/>
  <c r="BF10" i="5"/>
  <c r="BE213" i="5"/>
  <c r="BF213" i="5"/>
  <c r="BE159" i="5"/>
  <c r="BF159" i="5"/>
  <c r="BE230" i="5"/>
  <c r="BF230" i="5"/>
  <c r="BE194" i="5"/>
  <c r="BF194" i="5"/>
  <c r="BE142" i="5"/>
  <c r="BF142" i="5"/>
  <c r="BE112" i="5"/>
  <c r="BF112" i="5"/>
  <c r="BE18" i="5"/>
  <c r="BF18" i="5"/>
  <c r="BE211" i="5"/>
  <c r="BF211" i="5"/>
  <c r="BE157" i="5"/>
  <c r="BF157" i="5"/>
  <c r="BF111" i="5"/>
  <c r="BE111" i="5"/>
  <c r="BF228" i="5"/>
  <c r="BE228" i="5"/>
  <c r="BE174" i="5"/>
  <c r="BF174" i="5"/>
  <c r="BE110" i="5"/>
  <c r="BF110" i="5"/>
  <c r="BE65" i="5"/>
  <c r="BF65" i="5"/>
  <c r="BE49" i="5"/>
  <c r="BF49" i="5"/>
  <c r="BE227" i="5"/>
  <c r="BF227" i="5"/>
  <c r="BE191" i="5"/>
  <c r="BF191" i="5"/>
  <c r="BE173" i="5"/>
  <c r="BF173" i="5"/>
  <c r="BE139" i="5"/>
  <c r="BF139" i="5"/>
  <c r="BE109" i="5"/>
  <c r="BF109" i="5"/>
  <c r="BE95" i="5"/>
  <c r="BF95" i="5"/>
  <c r="BE64" i="5"/>
  <c r="BF64" i="5"/>
  <c r="BF48" i="5"/>
  <c r="BE48" i="5"/>
  <c r="BE32" i="5"/>
  <c r="BF32" i="5"/>
  <c r="BE226" i="5"/>
  <c r="BF226" i="5"/>
  <c r="BE190" i="5"/>
  <c r="BF190" i="5"/>
  <c r="BE172" i="5"/>
  <c r="BF172" i="5"/>
  <c r="BF138" i="5"/>
  <c r="BE138" i="5"/>
  <c r="BE124" i="5"/>
  <c r="BF124" i="5"/>
  <c r="BE94" i="5"/>
  <c r="BF94" i="5"/>
  <c r="BE47" i="5"/>
  <c r="BF47" i="5"/>
  <c r="BE31" i="5"/>
  <c r="BF31" i="5"/>
  <c r="BE225" i="5"/>
  <c r="BF225" i="5"/>
  <c r="BE207" i="5"/>
  <c r="BF207" i="5"/>
  <c r="BE171" i="5"/>
  <c r="BF171" i="5"/>
  <c r="BE137" i="5"/>
  <c r="BF137" i="5"/>
  <c r="BE123" i="5"/>
  <c r="BF123" i="5"/>
  <c r="BE79" i="5"/>
  <c r="BF79" i="5"/>
  <c r="BE46" i="5"/>
  <c r="BF46" i="5"/>
  <c r="BE14" i="5"/>
  <c r="BF14" i="5"/>
  <c r="BF224" i="5"/>
  <c r="BE224" i="5"/>
  <c r="BF206" i="5"/>
  <c r="BE206" i="5"/>
  <c r="BF188" i="5"/>
  <c r="BE188" i="5"/>
  <c r="BE170" i="5"/>
  <c r="BF170" i="5"/>
  <c r="BF152" i="5"/>
  <c r="BE152" i="5"/>
  <c r="BE136" i="5"/>
  <c r="BF136" i="5"/>
  <c r="BE122" i="5"/>
  <c r="BF122" i="5"/>
  <c r="BE92" i="5"/>
  <c r="BF92" i="5"/>
  <c r="BE78" i="5"/>
  <c r="BF78" i="5"/>
  <c r="BE45" i="5"/>
  <c r="BF45" i="5"/>
  <c r="BE13" i="5"/>
  <c r="BF13" i="5"/>
  <c r="BE223" i="5"/>
  <c r="BF223" i="5"/>
  <c r="BE205" i="5"/>
  <c r="BF205" i="5"/>
  <c r="BE187" i="5"/>
  <c r="BF187" i="5"/>
  <c r="BE151" i="5"/>
  <c r="BF151" i="5"/>
  <c r="BE135" i="5"/>
  <c r="BF135" i="5"/>
  <c r="BE121" i="5"/>
  <c r="BF121" i="5"/>
  <c r="BE91" i="5"/>
  <c r="BF91" i="5"/>
  <c r="BE77" i="5"/>
  <c r="BF77" i="5"/>
  <c r="BE61" i="5"/>
  <c r="BF61" i="5"/>
  <c r="BE220" i="5"/>
  <c r="BF220" i="5"/>
  <c r="BE202" i="5"/>
  <c r="BF202" i="5"/>
  <c r="BE184" i="5"/>
  <c r="BF184" i="5"/>
  <c r="BE166" i="5"/>
  <c r="BF166" i="5"/>
  <c r="BE148" i="5"/>
  <c r="BF148" i="5"/>
  <c r="BE118" i="5"/>
  <c r="BF118" i="5"/>
  <c r="BE104" i="5"/>
  <c r="BF104" i="5"/>
  <c r="BE74" i="5"/>
  <c r="BF74" i="5"/>
  <c r="BE58" i="5"/>
  <c r="BF58" i="5"/>
  <c r="BE42" i="5"/>
  <c r="BF42" i="5"/>
  <c r="BE9" i="5"/>
  <c r="BF9" i="5"/>
  <c r="BE219" i="5"/>
  <c r="BF219" i="5"/>
  <c r="BF201" i="5"/>
  <c r="BE201" i="5"/>
  <c r="BF183" i="5"/>
  <c r="BE183" i="5"/>
  <c r="BF165" i="5"/>
  <c r="BE165" i="5"/>
  <c r="BF147" i="5"/>
  <c r="BE147" i="5"/>
  <c r="BE133" i="5"/>
  <c r="BF133" i="5"/>
  <c r="BE117" i="5"/>
  <c r="BF117" i="5"/>
  <c r="BE103" i="5"/>
  <c r="BF103" i="5"/>
  <c r="BE73" i="5"/>
  <c r="BF73" i="5"/>
  <c r="BF57" i="5"/>
  <c r="BE57" i="5"/>
  <c r="BE41" i="5"/>
  <c r="BF41" i="5"/>
  <c r="BE25" i="5"/>
  <c r="BF25" i="5"/>
  <c r="BE218" i="5"/>
  <c r="BF218" i="5"/>
  <c r="BE200" i="5"/>
  <c r="BF200" i="5"/>
  <c r="BE182" i="5"/>
  <c r="BF182" i="5"/>
  <c r="BE164" i="5"/>
  <c r="BF164" i="5"/>
  <c r="BE146" i="5"/>
  <c r="BF146" i="5"/>
  <c r="BE132" i="5"/>
  <c r="BF132" i="5"/>
  <c r="BF102" i="5"/>
  <c r="BE102" i="5"/>
  <c r="BE88" i="5"/>
  <c r="BF88" i="5"/>
  <c r="BE72" i="5"/>
  <c r="BF72" i="5"/>
  <c r="BE56" i="5"/>
  <c r="BF56" i="5"/>
  <c r="BE40" i="5"/>
  <c r="BF40" i="5"/>
  <c r="BE24" i="5"/>
  <c r="BF24" i="5"/>
  <c r="BE177" i="5"/>
  <c r="BF177" i="5"/>
  <c r="BE83" i="5"/>
  <c r="BF83" i="5"/>
  <c r="BE52" i="5"/>
  <c r="BF52" i="5"/>
  <c r="BE212" i="5"/>
  <c r="BF212" i="5"/>
  <c r="BE126" i="5"/>
  <c r="BF126" i="5"/>
  <c r="BE67" i="5"/>
  <c r="BF67" i="5"/>
  <c r="BE229" i="5"/>
  <c r="BF229" i="5"/>
  <c r="BE141" i="5"/>
  <c r="BF141" i="5"/>
  <c r="BE81" i="5"/>
  <c r="BF81" i="5"/>
  <c r="BE34" i="5"/>
  <c r="BF34" i="5"/>
  <c r="BF210" i="5"/>
  <c r="BE210" i="5"/>
  <c r="BE217" i="5"/>
  <c r="BF217" i="5"/>
  <c r="BE199" i="5"/>
  <c r="BF199" i="5"/>
  <c r="BE181" i="5"/>
  <c r="BF181" i="5"/>
  <c r="BE163" i="5"/>
  <c r="BF163" i="5"/>
  <c r="BE145" i="5"/>
  <c r="BF145" i="5"/>
  <c r="BE131" i="5"/>
  <c r="BF131" i="5"/>
  <c r="BE101" i="5"/>
  <c r="BF101" i="5"/>
  <c r="BE87" i="5"/>
  <c r="BF87" i="5"/>
  <c r="BE55" i="5"/>
  <c r="BF55" i="5"/>
  <c r="BF39" i="5"/>
  <c r="BE39" i="5"/>
  <c r="BE23" i="5"/>
  <c r="BF23" i="5"/>
  <c r="BE7" i="5"/>
  <c r="BF7" i="5"/>
  <c r="BE231" i="5"/>
  <c r="BF231" i="5"/>
  <c r="BE127" i="5"/>
  <c r="BF127" i="5"/>
  <c r="BE19" i="5"/>
  <c r="BF19" i="5"/>
  <c r="BE158" i="5"/>
  <c r="BF158" i="5"/>
  <c r="BE82" i="5"/>
  <c r="BF82" i="5"/>
  <c r="BE193" i="5"/>
  <c r="BF193" i="5"/>
  <c r="BF66" i="5"/>
  <c r="BE66" i="5"/>
  <c r="BE216" i="5"/>
  <c r="BF216" i="5"/>
  <c r="BE198" i="5"/>
  <c r="BF198" i="5"/>
  <c r="BE180" i="5"/>
  <c r="BF180" i="5"/>
  <c r="BE162" i="5"/>
  <c r="BF162" i="5"/>
  <c r="BE144" i="5"/>
  <c r="BF144" i="5"/>
  <c r="BE130" i="5"/>
  <c r="BF130" i="5"/>
  <c r="BE100" i="5"/>
  <c r="BF100" i="5"/>
  <c r="BE86" i="5"/>
  <c r="BF86" i="5"/>
  <c r="BE54" i="5"/>
  <c r="BF54" i="5"/>
  <c r="BE38" i="5"/>
  <c r="BF38" i="5"/>
  <c r="BE22" i="5"/>
  <c r="BF22" i="5"/>
  <c r="BE6" i="5"/>
  <c r="BF6" i="5"/>
  <c r="BF215" i="5"/>
  <c r="BE215" i="5"/>
  <c r="BF197" i="5"/>
  <c r="BE197" i="5"/>
  <c r="BF179" i="5"/>
  <c r="BE179" i="5"/>
  <c r="BF161" i="5"/>
  <c r="BE161" i="5"/>
  <c r="BE129" i="5"/>
  <c r="BF129" i="5"/>
  <c r="BE115" i="5"/>
  <c r="BF115" i="5"/>
  <c r="BE99" i="5"/>
  <c r="BF99" i="5"/>
  <c r="BE85" i="5"/>
  <c r="BF85" i="5"/>
  <c r="BE70" i="5"/>
  <c r="BF70" i="5"/>
  <c r="BE37" i="5"/>
  <c r="BF37" i="5"/>
  <c r="BF21" i="5"/>
  <c r="BE21" i="5"/>
  <c r="BE5" i="5"/>
  <c r="BF5" i="5"/>
  <c r="BE232" i="5"/>
  <c r="BF232" i="5"/>
  <c r="BE214" i="5"/>
  <c r="BF214" i="5"/>
  <c r="BE196" i="5"/>
  <c r="BF196" i="5"/>
  <c r="BE178" i="5"/>
  <c r="BF178" i="5"/>
  <c r="BE160" i="5"/>
  <c r="BF160" i="5"/>
  <c r="BE128" i="5"/>
  <c r="BF128" i="5"/>
  <c r="BE114" i="5"/>
  <c r="BF114" i="5"/>
  <c r="BF84" i="5"/>
  <c r="BE84" i="5"/>
  <c r="BE69" i="5"/>
  <c r="BF69" i="5"/>
  <c r="BE36" i="5"/>
  <c r="BF36" i="5"/>
  <c r="BE20" i="5"/>
  <c r="BF20" i="5"/>
  <c r="BE4" i="5"/>
  <c r="BF4" i="5"/>
  <c r="BF71" i="5"/>
  <c r="BF62" i="5"/>
  <c r="BF53" i="5"/>
  <c r="BF44" i="5"/>
  <c r="BF35" i="5"/>
  <c r="BF26" i="5"/>
  <c r="BF17" i="5"/>
  <c r="BF8" i="5"/>
  <c r="BE3" i="5"/>
  <c r="BF3" i="5"/>
  <c r="AY4" i="5"/>
  <c r="AZ4" i="5" s="1"/>
  <c r="AY5" i="5"/>
  <c r="AZ5" i="5" s="1"/>
  <c r="AY6" i="5"/>
  <c r="AZ6" i="5" s="1"/>
  <c r="AY7" i="5"/>
  <c r="AZ7" i="5" s="1"/>
  <c r="AY8" i="5"/>
  <c r="AZ8" i="5"/>
  <c r="BA8" i="5" s="1"/>
  <c r="AY9" i="5"/>
  <c r="AZ9" i="5" s="1"/>
  <c r="AY10" i="5"/>
  <c r="AZ10" i="5" s="1"/>
  <c r="AY11" i="5"/>
  <c r="AZ11" i="5" s="1"/>
  <c r="AY12" i="5"/>
  <c r="AZ12" i="5" s="1"/>
  <c r="AY13" i="5"/>
  <c r="AZ13" i="5" s="1"/>
  <c r="AY14" i="5"/>
  <c r="AZ14" i="5" s="1"/>
  <c r="AY15" i="5"/>
  <c r="AZ15" i="5" s="1"/>
  <c r="AY16" i="5"/>
  <c r="AZ16" i="5" s="1"/>
  <c r="AY17" i="5"/>
  <c r="AZ17" i="5"/>
  <c r="BA17" i="5" s="1"/>
  <c r="AY18" i="5"/>
  <c r="AZ18" i="5" s="1"/>
  <c r="AY19" i="5"/>
  <c r="AZ19" i="5" s="1"/>
  <c r="AY20" i="5"/>
  <c r="AZ20" i="5" s="1"/>
  <c r="AY21" i="5"/>
  <c r="AZ21" i="5" s="1"/>
  <c r="AY22" i="5"/>
  <c r="AZ22" i="5" s="1"/>
  <c r="AY23" i="5"/>
  <c r="AZ23" i="5" s="1"/>
  <c r="AY24" i="5"/>
  <c r="AZ24" i="5" s="1"/>
  <c r="AY25" i="5"/>
  <c r="AZ25" i="5" s="1"/>
  <c r="AY26" i="5"/>
  <c r="AZ26" i="5"/>
  <c r="BA26" i="5" s="1"/>
  <c r="AY27" i="5"/>
  <c r="AZ27" i="5" s="1"/>
  <c r="AY28" i="5"/>
  <c r="AZ28" i="5" s="1"/>
  <c r="AY29" i="5"/>
  <c r="AZ29" i="5" s="1"/>
  <c r="AY30" i="5"/>
  <c r="AZ30" i="5" s="1"/>
  <c r="AY31" i="5"/>
  <c r="AZ31" i="5" s="1"/>
  <c r="AY32" i="5"/>
  <c r="AZ32" i="5" s="1"/>
  <c r="AY33" i="5"/>
  <c r="AZ33" i="5" s="1"/>
  <c r="AY34" i="5"/>
  <c r="AZ34" i="5" s="1"/>
  <c r="AY35" i="5"/>
  <c r="AZ35" i="5"/>
  <c r="BA35" i="5" s="1"/>
  <c r="AY36" i="5"/>
  <c r="AZ36" i="5" s="1"/>
  <c r="AY37" i="5"/>
  <c r="AZ37" i="5" s="1"/>
  <c r="AY38" i="5"/>
  <c r="AZ38" i="5" s="1"/>
  <c r="AY39" i="5"/>
  <c r="AZ39" i="5" s="1"/>
  <c r="AY40" i="5"/>
  <c r="AZ40" i="5" s="1"/>
  <c r="AY41" i="5"/>
  <c r="AZ41" i="5" s="1"/>
  <c r="AY42" i="5"/>
  <c r="AZ42" i="5" s="1"/>
  <c r="AY43" i="5"/>
  <c r="AZ43" i="5" s="1"/>
  <c r="AY44" i="5"/>
  <c r="AZ44" i="5"/>
  <c r="BA44" i="5" s="1"/>
  <c r="AY45" i="5"/>
  <c r="AZ45" i="5" s="1"/>
  <c r="AY46" i="5"/>
  <c r="AZ46" i="5" s="1"/>
  <c r="AY47" i="5"/>
  <c r="AZ47" i="5" s="1"/>
  <c r="AY48" i="5"/>
  <c r="AZ48" i="5" s="1"/>
  <c r="AY49" i="5"/>
  <c r="AZ49" i="5" s="1"/>
  <c r="AY50" i="5"/>
  <c r="AZ50" i="5" s="1"/>
  <c r="AY51" i="5"/>
  <c r="AZ51" i="5" s="1"/>
  <c r="AY52" i="5"/>
  <c r="AZ52" i="5" s="1"/>
  <c r="AY53" i="5"/>
  <c r="AZ53" i="5"/>
  <c r="BA53" i="5" s="1"/>
  <c r="AY54" i="5"/>
  <c r="AZ54" i="5" s="1"/>
  <c r="AY55" i="5"/>
  <c r="AZ55" i="5" s="1"/>
  <c r="AY56" i="5"/>
  <c r="AZ56" i="5" s="1"/>
  <c r="AY57" i="5"/>
  <c r="AZ57" i="5" s="1"/>
  <c r="AY58" i="5"/>
  <c r="AZ58" i="5" s="1"/>
  <c r="AY59" i="5"/>
  <c r="AZ59" i="5" s="1"/>
  <c r="AY60" i="5"/>
  <c r="AZ60" i="5" s="1"/>
  <c r="AY61" i="5"/>
  <c r="AZ61" i="5" s="1"/>
  <c r="AY62" i="5"/>
  <c r="AZ62" i="5"/>
  <c r="BA62" i="5" s="1"/>
  <c r="AY63" i="5"/>
  <c r="AZ63" i="5" s="1"/>
  <c r="AY64" i="5"/>
  <c r="AZ64" i="5" s="1"/>
  <c r="AY65" i="5"/>
  <c r="AZ65" i="5" s="1"/>
  <c r="AY66" i="5"/>
  <c r="AZ66" i="5" s="1"/>
  <c r="AY67" i="5"/>
  <c r="AZ67" i="5" s="1"/>
  <c r="AY68" i="5"/>
  <c r="AZ68" i="5" s="1"/>
  <c r="AY69" i="5"/>
  <c r="AZ69" i="5" s="1"/>
  <c r="AY70" i="5"/>
  <c r="AZ70" i="5" s="1"/>
  <c r="AY71" i="5"/>
  <c r="AZ71" i="5"/>
  <c r="BA71" i="5" s="1"/>
  <c r="AY72" i="5"/>
  <c r="AZ72" i="5" s="1"/>
  <c r="AY73" i="5"/>
  <c r="AZ73" i="5" s="1"/>
  <c r="AY74" i="5"/>
  <c r="AZ74" i="5" s="1"/>
  <c r="AY75" i="5"/>
  <c r="AZ75" i="5" s="1"/>
  <c r="AY76" i="5"/>
  <c r="AZ76" i="5" s="1"/>
  <c r="AY77" i="5"/>
  <c r="AZ77" i="5" s="1"/>
  <c r="AY78" i="5"/>
  <c r="AZ78" i="5" s="1"/>
  <c r="AY79" i="5"/>
  <c r="AZ79" i="5" s="1"/>
  <c r="AY80" i="5"/>
  <c r="AZ80" i="5" s="1"/>
  <c r="AY81" i="5"/>
  <c r="AZ81" i="5" s="1"/>
  <c r="AY82" i="5"/>
  <c r="AZ82" i="5" s="1"/>
  <c r="AY83" i="5"/>
  <c r="AZ83" i="5" s="1"/>
  <c r="AY84" i="5"/>
  <c r="AZ84" i="5" s="1"/>
  <c r="AY85" i="5"/>
  <c r="AZ85" i="5" s="1"/>
  <c r="AY86" i="5"/>
  <c r="AZ86" i="5" s="1"/>
  <c r="AY87" i="5"/>
  <c r="AZ87" i="5" s="1"/>
  <c r="AY88" i="5"/>
  <c r="AZ88" i="5" s="1"/>
  <c r="AY89" i="5"/>
  <c r="AZ89" i="5"/>
  <c r="BA89" i="5" s="1"/>
  <c r="AY90" i="5"/>
  <c r="AZ90" i="5" s="1"/>
  <c r="AY91" i="5"/>
  <c r="AZ91" i="5" s="1"/>
  <c r="AY92" i="5"/>
  <c r="AZ92" i="5" s="1"/>
  <c r="AY93" i="5"/>
  <c r="AZ93" i="5" s="1"/>
  <c r="AY94" i="5"/>
  <c r="AZ94" i="5" s="1"/>
  <c r="AY95" i="5"/>
  <c r="AZ95" i="5" s="1"/>
  <c r="AY96" i="5"/>
  <c r="AZ96" i="5" s="1"/>
  <c r="AY97" i="5"/>
  <c r="AZ97" i="5" s="1"/>
  <c r="AY98" i="5"/>
  <c r="AZ98" i="5"/>
  <c r="BA98" i="5" s="1"/>
  <c r="AY99" i="5"/>
  <c r="AZ99" i="5" s="1"/>
  <c r="AY100" i="5"/>
  <c r="AZ100" i="5" s="1"/>
  <c r="AY101" i="5"/>
  <c r="AZ101" i="5" s="1"/>
  <c r="AY102" i="5"/>
  <c r="AZ102" i="5" s="1"/>
  <c r="AY103" i="5"/>
  <c r="AZ103" i="5" s="1"/>
  <c r="AY104" i="5"/>
  <c r="AZ104" i="5" s="1"/>
  <c r="AY105" i="5"/>
  <c r="AZ105" i="5" s="1"/>
  <c r="AY106" i="5"/>
  <c r="AZ106" i="5" s="1"/>
  <c r="AY107" i="5"/>
  <c r="AZ107" i="5"/>
  <c r="BA107" i="5" s="1"/>
  <c r="AY108" i="5"/>
  <c r="AZ108" i="5" s="1"/>
  <c r="AY109" i="5"/>
  <c r="AZ109" i="5" s="1"/>
  <c r="AY110" i="5"/>
  <c r="AZ110" i="5" s="1"/>
  <c r="AY111" i="5"/>
  <c r="AZ111" i="5" s="1"/>
  <c r="AY112" i="5"/>
  <c r="AZ112" i="5" s="1"/>
  <c r="AY113" i="5"/>
  <c r="AZ113" i="5" s="1"/>
  <c r="AY114" i="5"/>
  <c r="AZ114" i="5" s="1"/>
  <c r="AY115" i="5"/>
  <c r="AZ115" i="5" s="1"/>
  <c r="AY116" i="5"/>
  <c r="AZ116" i="5"/>
  <c r="BA116" i="5" s="1"/>
  <c r="AY117" i="5"/>
  <c r="AZ117" i="5" s="1"/>
  <c r="AY118" i="5"/>
  <c r="AZ118" i="5" s="1"/>
  <c r="AY119" i="5"/>
  <c r="AZ119" i="5" s="1"/>
  <c r="AY120" i="5"/>
  <c r="AZ120" i="5" s="1"/>
  <c r="AY121" i="5"/>
  <c r="AZ121" i="5" s="1"/>
  <c r="AY122" i="5"/>
  <c r="AZ122" i="5" s="1"/>
  <c r="AY123" i="5"/>
  <c r="AZ123" i="5" s="1"/>
  <c r="AY124" i="5"/>
  <c r="AZ124" i="5" s="1"/>
  <c r="AY125" i="5"/>
  <c r="AZ125" i="5"/>
  <c r="BA125" i="5" s="1"/>
  <c r="AY126" i="5"/>
  <c r="AZ126" i="5" s="1"/>
  <c r="AY127" i="5"/>
  <c r="AZ127" i="5" s="1"/>
  <c r="AY128" i="5"/>
  <c r="AZ128" i="5" s="1"/>
  <c r="AY129" i="5"/>
  <c r="AZ129" i="5" s="1"/>
  <c r="AY130" i="5"/>
  <c r="AZ130" i="5" s="1"/>
  <c r="AY131" i="5"/>
  <c r="AZ131" i="5" s="1"/>
  <c r="AY132" i="5"/>
  <c r="AZ132" i="5" s="1"/>
  <c r="AY133" i="5"/>
  <c r="AZ133" i="5" s="1"/>
  <c r="AY134" i="5"/>
  <c r="AZ134" i="5"/>
  <c r="BA134" i="5" s="1"/>
  <c r="AY135" i="5"/>
  <c r="AZ135" i="5" s="1"/>
  <c r="AY136" i="5"/>
  <c r="AZ136" i="5" s="1"/>
  <c r="AY137" i="5"/>
  <c r="AZ137" i="5" s="1"/>
  <c r="AY138" i="5"/>
  <c r="AZ138" i="5" s="1"/>
  <c r="AY139" i="5"/>
  <c r="AZ139" i="5" s="1"/>
  <c r="AY140" i="5"/>
  <c r="AZ140" i="5" s="1"/>
  <c r="AY141" i="5"/>
  <c r="AZ141" i="5" s="1"/>
  <c r="AY142" i="5"/>
  <c r="AZ142" i="5" s="1"/>
  <c r="AY143" i="5"/>
  <c r="AZ143" i="5"/>
  <c r="BA143" i="5" s="1"/>
  <c r="AY144" i="5"/>
  <c r="AZ144" i="5" s="1"/>
  <c r="AY145" i="5"/>
  <c r="AZ145" i="5" s="1"/>
  <c r="AY146" i="5"/>
  <c r="AZ146" i="5" s="1"/>
  <c r="AY147" i="5"/>
  <c r="AZ147" i="5" s="1"/>
  <c r="AY148" i="5"/>
  <c r="AZ148" i="5" s="1"/>
  <c r="AY149" i="5"/>
  <c r="AZ149" i="5" s="1"/>
  <c r="AY150" i="5"/>
  <c r="AZ150" i="5" s="1"/>
  <c r="AY151" i="5"/>
  <c r="AZ151" i="5" s="1"/>
  <c r="AY152" i="5"/>
  <c r="AZ152" i="5"/>
  <c r="BA152" i="5" s="1"/>
  <c r="AY153" i="5"/>
  <c r="AZ153" i="5" s="1"/>
  <c r="AY154" i="5"/>
  <c r="AZ154" i="5" s="1"/>
  <c r="AY155" i="5"/>
  <c r="AZ155" i="5" s="1"/>
  <c r="AY156" i="5"/>
  <c r="AZ156" i="5" s="1"/>
  <c r="AY157" i="5"/>
  <c r="AZ157" i="5" s="1"/>
  <c r="AY158" i="5"/>
  <c r="AZ158" i="5" s="1"/>
  <c r="AY159" i="5"/>
  <c r="AZ159" i="5" s="1"/>
  <c r="AY160" i="5"/>
  <c r="AZ160" i="5" s="1"/>
  <c r="AY161" i="5"/>
  <c r="AZ161" i="5"/>
  <c r="BA161" i="5" s="1"/>
  <c r="AY162" i="5"/>
  <c r="AZ162" i="5" s="1"/>
  <c r="AY163" i="5"/>
  <c r="AZ163" i="5" s="1"/>
  <c r="AY164" i="5"/>
  <c r="AZ164" i="5" s="1"/>
  <c r="AY165" i="5"/>
  <c r="AZ165" i="5" s="1"/>
  <c r="AY166" i="5"/>
  <c r="AZ166" i="5" s="1"/>
  <c r="AY167" i="5"/>
  <c r="AZ167" i="5" s="1"/>
  <c r="AY168" i="5"/>
  <c r="AZ168" i="5" s="1"/>
  <c r="AY169" i="5"/>
  <c r="AZ169" i="5" s="1"/>
  <c r="AY170" i="5"/>
  <c r="AZ170" i="5"/>
  <c r="BB170" i="5" s="1"/>
  <c r="BA170" i="5"/>
  <c r="AY171" i="5"/>
  <c r="AZ171" i="5" s="1"/>
  <c r="AY172" i="5"/>
  <c r="AZ172" i="5" s="1"/>
  <c r="AY173" i="5"/>
  <c r="AZ173" i="5" s="1"/>
  <c r="AY174" i="5"/>
  <c r="AZ174" i="5" s="1"/>
  <c r="AY175" i="5"/>
  <c r="AZ175" i="5" s="1"/>
  <c r="AY176" i="5"/>
  <c r="AZ176" i="5" s="1"/>
  <c r="AY177" i="5"/>
  <c r="AZ177" i="5" s="1"/>
  <c r="AY178" i="5"/>
  <c r="AZ178" i="5" s="1"/>
  <c r="AY179" i="5"/>
  <c r="AZ179" i="5"/>
  <c r="BB179" i="5" s="1"/>
  <c r="BA179" i="5"/>
  <c r="AY180" i="5"/>
  <c r="AZ180" i="5" s="1"/>
  <c r="AY181" i="5"/>
  <c r="AZ181" i="5" s="1"/>
  <c r="AY182" i="5"/>
  <c r="AZ182" i="5" s="1"/>
  <c r="AY183" i="5"/>
  <c r="AZ183" i="5" s="1"/>
  <c r="AY184" i="5"/>
  <c r="AZ184" i="5" s="1"/>
  <c r="AY185" i="5"/>
  <c r="AZ185" i="5" s="1"/>
  <c r="AY186" i="5"/>
  <c r="AZ186" i="5" s="1"/>
  <c r="AY187" i="5"/>
  <c r="AZ187" i="5" s="1"/>
  <c r="AY188" i="5"/>
  <c r="AZ188" i="5"/>
  <c r="BB188" i="5" s="1"/>
  <c r="BA188" i="5"/>
  <c r="AY189" i="5"/>
  <c r="AZ189" i="5" s="1"/>
  <c r="AY190" i="5"/>
  <c r="AZ190" i="5" s="1"/>
  <c r="AY191" i="5"/>
  <c r="AZ191" i="5" s="1"/>
  <c r="AY192" i="5"/>
  <c r="AZ192" i="5" s="1"/>
  <c r="AY193" i="5"/>
  <c r="AZ193" i="5" s="1"/>
  <c r="AY194" i="5"/>
  <c r="AZ194" i="5" s="1"/>
  <c r="AY195" i="5"/>
  <c r="AZ195" i="5" s="1"/>
  <c r="AY196" i="5"/>
  <c r="AZ196" i="5" s="1"/>
  <c r="AY197" i="5"/>
  <c r="AZ197" i="5"/>
  <c r="BB197" i="5" s="1"/>
  <c r="BA197" i="5"/>
  <c r="AY198" i="5"/>
  <c r="AZ198" i="5" s="1"/>
  <c r="AY199" i="5"/>
  <c r="AZ199" i="5" s="1"/>
  <c r="AY200" i="5"/>
  <c r="AZ200" i="5" s="1"/>
  <c r="AY201" i="5"/>
  <c r="AZ201" i="5" s="1"/>
  <c r="AY202" i="5"/>
  <c r="AZ202" i="5" s="1"/>
  <c r="AY203" i="5"/>
  <c r="AZ203" i="5" s="1"/>
  <c r="AY204" i="5"/>
  <c r="AZ204" i="5" s="1"/>
  <c r="AY205" i="5"/>
  <c r="AZ205" i="5" s="1"/>
  <c r="AY206" i="5"/>
  <c r="AZ206" i="5"/>
  <c r="BB206" i="5" s="1"/>
  <c r="BA206" i="5"/>
  <c r="AY207" i="5"/>
  <c r="AZ207" i="5" s="1"/>
  <c r="AY208" i="5"/>
  <c r="AZ208" i="5" s="1"/>
  <c r="AY209" i="5"/>
  <c r="AZ209" i="5" s="1"/>
  <c r="AY210" i="5"/>
  <c r="AZ210" i="5" s="1"/>
  <c r="AY211" i="5"/>
  <c r="AZ211" i="5" s="1"/>
  <c r="AY212" i="5"/>
  <c r="AZ212" i="5" s="1"/>
  <c r="AY213" i="5"/>
  <c r="AZ213" i="5" s="1"/>
  <c r="AY214" i="5"/>
  <c r="AZ214" i="5" s="1"/>
  <c r="AY215" i="5"/>
  <c r="AZ215" i="5" s="1"/>
  <c r="AY216" i="5"/>
  <c r="AZ216" i="5" s="1"/>
  <c r="AY217" i="5"/>
  <c r="AZ217" i="5" s="1"/>
  <c r="AY218" i="5"/>
  <c r="AZ218" i="5" s="1"/>
  <c r="AY219" i="5"/>
  <c r="AZ219" i="5" s="1"/>
  <c r="AY220" i="5"/>
  <c r="AZ220" i="5" s="1"/>
  <c r="AY221" i="5"/>
  <c r="AZ221" i="5" s="1"/>
  <c r="AY222" i="5"/>
  <c r="AZ222" i="5" s="1"/>
  <c r="AY223" i="5"/>
  <c r="AZ223" i="5" s="1"/>
  <c r="AY224" i="5"/>
  <c r="AZ224" i="5" s="1"/>
  <c r="AY225" i="5"/>
  <c r="AZ225" i="5" s="1"/>
  <c r="AY226" i="5"/>
  <c r="AZ226" i="5" s="1"/>
  <c r="AY227" i="5"/>
  <c r="AZ227" i="5" s="1"/>
  <c r="AY228" i="5"/>
  <c r="AZ228" i="5" s="1"/>
  <c r="AY229" i="5"/>
  <c r="AZ229" i="5" s="1"/>
  <c r="AY230" i="5"/>
  <c r="AZ230" i="5" s="1"/>
  <c r="AY231" i="5"/>
  <c r="AZ231" i="5" s="1"/>
  <c r="AY232" i="5"/>
  <c r="AZ232" i="5" s="1"/>
  <c r="AY3" i="5"/>
  <c r="AU4" i="5"/>
  <c r="AV4" i="5" s="1"/>
  <c r="AU5" i="5"/>
  <c r="AV5" i="5" s="1"/>
  <c r="AU6" i="5"/>
  <c r="AV6" i="5" s="1"/>
  <c r="AU7" i="5"/>
  <c r="AV7" i="5" s="1"/>
  <c r="AU8" i="5"/>
  <c r="AV8" i="5" s="1"/>
  <c r="AU9" i="5"/>
  <c r="AV9" i="5" s="1"/>
  <c r="AU10" i="5"/>
  <c r="AV10" i="5" s="1"/>
  <c r="AU11" i="5"/>
  <c r="AV11" i="5" s="1"/>
  <c r="AU12" i="5"/>
  <c r="AV12" i="5"/>
  <c r="AW12" i="5"/>
  <c r="AX12" i="5"/>
  <c r="AU13" i="5"/>
  <c r="AV13" i="5" s="1"/>
  <c r="AU14" i="5"/>
  <c r="AV14" i="5" s="1"/>
  <c r="AU15" i="5"/>
  <c r="AV15" i="5" s="1"/>
  <c r="AU16" i="5"/>
  <c r="AV16" i="5" s="1"/>
  <c r="AU17" i="5"/>
  <c r="AV17" i="5" s="1"/>
  <c r="AU18" i="5"/>
  <c r="AV18" i="5"/>
  <c r="AX18" i="5" s="1"/>
  <c r="AW18" i="5"/>
  <c r="AU19" i="5"/>
  <c r="AV19" i="5" s="1"/>
  <c r="AU20" i="5"/>
  <c r="AV20" i="5" s="1"/>
  <c r="AU21" i="5"/>
  <c r="AV21" i="5"/>
  <c r="AW21" i="5"/>
  <c r="AX21" i="5"/>
  <c r="AU22" i="5"/>
  <c r="AV22" i="5" s="1"/>
  <c r="AU23" i="5"/>
  <c r="AV23" i="5" s="1"/>
  <c r="AU24" i="5"/>
  <c r="AV24" i="5" s="1"/>
  <c r="AU25" i="5"/>
  <c r="AV25" i="5" s="1"/>
  <c r="AU26" i="5"/>
  <c r="AV26" i="5"/>
  <c r="AU27" i="5"/>
  <c r="AV27" i="5" s="1"/>
  <c r="AU28" i="5"/>
  <c r="AV28" i="5" s="1"/>
  <c r="AU29" i="5"/>
  <c r="AV29" i="5" s="1"/>
  <c r="AU30" i="5"/>
  <c r="AV30" i="5"/>
  <c r="AW30" i="5"/>
  <c r="AX30" i="5"/>
  <c r="AU31" i="5"/>
  <c r="AV31" i="5" s="1"/>
  <c r="AU32" i="5"/>
  <c r="AV32" i="5" s="1"/>
  <c r="AU33" i="5"/>
  <c r="AV33" i="5" s="1"/>
  <c r="AU34" i="5"/>
  <c r="AV34" i="5" s="1"/>
  <c r="AU35" i="5"/>
  <c r="AV35" i="5" s="1"/>
  <c r="AU36" i="5"/>
  <c r="AV36" i="5" s="1"/>
  <c r="AU37" i="5"/>
  <c r="AV37" i="5" s="1"/>
  <c r="AU38" i="5"/>
  <c r="AV38" i="5" s="1"/>
  <c r="AU39" i="5"/>
  <c r="AV39" i="5"/>
  <c r="AW39" i="5"/>
  <c r="AX39" i="5"/>
  <c r="AU40" i="5"/>
  <c r="AV40" i="5" s="1"/>
  <c r="AU41" i="5"/>
  <c r="AV41" i="5" s="1"/>
  <c r="AU42" i="5"/>
  <c r="AV42" i="5" s="1"/>
  <c r="AU43" i="5"/>
  <c r="AV43" i="5" s="1"/>
  <c r="AW43" i="5" s="1"/>
  <c r="AX43" i="5"/>
  <c r="AU44" i="5"/>
  <c r="AV44" i="5" s="1"/>
  <c r="AU45" i="5"/>
  <c r="AV45" i="5" s="1"/>
  <c r="AU46" i="5"/>
  <c r="AV46" i="5" s="1"/>
  <c r="AU47" i="5"/>
  <c r="AV47" i="5" s="1"/>
  <c r="AU48" i="5"/>
  <c r="AV48" i="5"/>
  <c r="AW48" i="5"/>
  <c r="AX48" i="5"/>
  <c r="AU49" i="5"/>
  <c r="AV49" i="5" s="1"/>
  <c r="AU50" i="5"/>
  <c r="AV50" i="5" s="1"/>
  <c r="AU51" i="5"/>
  <c r="AV51" i="5" s="1"/>
  <c r="AU52" i="5"/>
  <c r="AV52" i="5" s="1"/>
  <c r="AW52" i="5" s="1"/>
  <c r="AU53" i="5"/>
  <c r="AV53" i="5" s="1"/>
  <c r="AU54" i="5"/>
  <c r="AV54" i="5" s="1"/>
  <c r="AU55" i="5"/>
  <c r="AV55" i="5" s="1"/>
  <c r="AU56" i="5"/>
  <c r="AV56" i="5" s="1"/>
  <c r="AU57" i="5"/>
  <c r="AV57" i="5"/>
  <c r="AW57" i="5"/>
  <c r="AX57" i="5"/>
  <c r="AU58" i="5"/>
  <c r="AV58" i="5" s="1"/>
  <c r="AU59" i="5"/>
  <c r="AV59" i="5" s="1"/>
  <c r="AU60" i="5"/>
  <c r="AV60" i="5" s="1"/>
  <c r="AU61" i="5"/>
  <c r="AV61" i="5" s="1"/>
  <c r="AW61" i="5" s="1"/>
  <c r="AX61" i="5"/>
  <c r="AU62" i="5"/>
  <c r="AV62" i="5" s="1"/>
  <c r="AU63" i="5"/>
  <c r="AV63" i="5" s="1"/>
  <c r="AU64" i="5"/>
  <c r="AV64" i="5" s="1"/>
  <c r="AU65" i="5"/>
  <c r="AV65" i="5" s="1"/>
  <c r="AU66" i="5"/>
  <c r="AV66" i="5"/>
  <c r="AW66" i="5"/>
  <c r="AX66" i="5"/>
  <c r="AU67" i="5"/>
  <c r="AV67" i="5" s="1"/>
  <c r="AU68" i="5"/>
  <c r="AV68" i="5" s="1"/>
  <c r="AU69" i="5"/>
  <c r="AV69" i="5" s="1"/>
  <c r="AU70" i="5"/>
  <c r="AV70" i="5" s="1"/>
  <c r="AW70" i="5" s="1"/>
  <c r="AU71" i="5"/>
  <c r="AV71" i="5" s="1"/>
  <c r="AU72" i="5"/>
  <c r="AV72" i="5" s="1"/>
  <c r="AU73" i="5"/>
  <c r="AV73" i="5" s="1"/>
  <c r="AU74" i="5"/>
  <c r="AV74" i="5" s="1"/>
  <c r="AU75" i="5"/>
  <c r="AV75" i="5"/>
  <c r="AW75" i="5" s="1"/>
  <c r="AU76" i="5"/>
  <c r="AV76" i="5" s="1"/>
  <c r="AU77" i="5"/>
  <c r="AV77" i="5" s="1"/>
  <c r="AU78" i="5"/>
  <c r="AV78" i="5" s="1"/>
  <c r="AU79" i="5"/>
  <c r="AV79" i="5" s="1"/>
  <c r="AW79" i="5" s="1"/>
  <c r="AU80" i="5"/>
  <c r="AV80" i="5"/>
  <c r="AU81" i="5"/>
  <c r="AV81" i="5" s="1"/>
  <c r="AU82" i="5"/>
  <c r="AV82" i="5" s="1"/>
  <c r="AU83" i="5"/>
  <c r="AV83" i="5" s="1"/>
  <c r="AU84" i="5"/>
  <c r="AV84" i="5"/>
  <c r="AW84" i="5"/>
  <c r="AX84" i="5"/>
  <c r="AU85" i="5"/>
  <c r="AV85" i="5" s="1"/>
  <c r="AU86" i="5"/>
  <c r="AV86" i="5" s="1"/>
  <c r="AU87" i="5"/>
  <c r="AV87" i="5" s="1"/>
  <c r="AU88" i="5"/>
  <c r="AV88" i="5" s="1"/>
  <c r="AW88" i="5" s="1"/>
  <c r="AU89" i="5"/>
  <c r="AV89" i="5"/>
  <c r="AU90" i="5"/>
  <c r="AV90" i="5" s="1"/>
  <c r="AU91" i="5"/>
  <c r="AV91" i="5" s="1"/>
  <c r="AU92" i="5"/>
  <c r="AV92" i="5" s="1"/>
  <c r="AU93" i="5"/>
  <c r="AV93" i="5"/>
  <c r="AW93" i="5" s="1"/>
  <c r="AU94" i="5"/>
  <c r="AV94" i="5" s="1"/>
  <c r="AU95" i="5"/>
  <c r="AV95" i="5" s="1"/>
  <c r="AU96" i="5"/>
  <c r="AV96" i="5" s="1"/>
  <c r="AU97" i="5"/>
  <c r="AV97" i="5" s="1"/>
  <c r="AW97" i="5" s="1"/>
  <c r="AX97" i="5"/>
  <c r="AU98" i="5"/>
  <c r="AV98" i="5" s="1"/>
  <c r="AU99" i="5"/>
  <c r="AV99" i="5" s="1"/>
  <c r="AU100" i="5"/>
  <c r="AV100" i="5" s="1"/>
  <c r="AU101" i="5"/>
  <c r="AV101" i="5" s="1"/>
  <c r="AU102" i="5"/>
  <c r="AV102" i="5"/>
  <c r="AW102" i="5"/>
  <c r="AX102" i="5"/>
  <c r="AU103" i="5"/>
  <c r="AV103" i="5" s="1"/>
  <c r="AU104" i="5"/>
  <c r="AV104" i="5" s="1"/>
  <c r="AU105" i="5"/>
  <c r="AV105" i="5" s="1"/>
  <c r="AU106" i="5"/>
  <c r="AV106" i="5" s="1"/>
  <c r="AW106" i="5" s="1"/>
  <c r="AU107" i="5"/>
  <c r="AV107" i="5"/>
  <c r="AX107" i="5" s="1"/>
  <c r="AW107" i="5"/>
  <c r="AU108" i="5"/>
  <c r="AV108" i="5" s="1"/>
  <c r="AU109" i="5"/>
  <c r="AV109" i="5" s="1"/>
  <c r="AU110" i="5"/>
  <c r="AV110" i="5" s="1"/>
  <c r="AU111" i="5"/>
  <c r="AV111" i="5"/>
  <c r="AW111" i="5"/>
  <c r="AX111" i="5"/>
  <c r="AU112" i="5"/>
  <c r="AV112" i="5" s="1"/>
  <c r="AU113" i="5"/>
  <c r="AV113" i="5" s="1"/>
  <c r="AU114" i="5"/>
  <c r="AV114" i="5" s="1"/>
  <c r="AU115" i="5"/>
  <c r="AV115" i="5" s="1"/>
  <c r="AW115" i="5" s="1"/>
  <c r="AU116" i="5"/>
  <c r="AV116" i="5" s="1"/>
  <c r="AU117" i="5"/>
  <c r="AV117" i="5" s="1"/>
  <c r="AU118" i="5"/>
  <c r="AV118" i="5" s="1"/>
  <c r="AU119" i="5"/>
  <c r="AV119" i="5" s="1"/>
  <c r="AU120" i="5"/>
  <c r="AV120" i="5"/>
  <c r="AW120" i="5"/>
  <c r="AX120" i="5"/>
  <c r="AU121" i="5"/>
  <c r="AV121" i="5" s="1"/>
  <c r="AU122" i="5"/>
  <c r="AV122" i="5" s="1"/>
  <c r="AU123" i="5"/>
  <c r="AV123" i="5" s="1"/>
  <c r="AU124" i="5"/>
  <c r="AV124" i="5" s="1"/>
  <c r="AW124" i="5" s="1"/>
  <c r="AX124" i="5"/>
  <c r="AU125" i="5"/>
  <c r="AV125" i="5"/>
  <c r="AX125" i="5" s="1"/>
  <c r="AU126" i="5"/>
  <c r="AV126" i="5" s="1"/>
  <c r="AU127" i="5"/>
  <c r="AV127" i="5" s="1"/>
  <c r="AU128" i="5"/>
  <c r="AV128" i="5" s="1"/>
  <c r="AU129" i="5"/>
  <c r="AV129" i="5"/>
  <c r="AW129" i="5"/>
  <c r="AX129" i="5"/>
  <c r="AU130" i="5"/>
  <c r="AV130" i="5" s="1"/>
  <c r="AU131" i="5"/>
  <c r="AV131" i="5" s="1"/>
  <c r="AU132" i="5"/>
  <c r="AV132" i="5" s="1"/>
  <c r="AU133" i="5"/>
  <c r="AV133" i="5" s="1"/>
  <c r="AW133" i="5" s="1"/>
  <c r="AX133" i="5"/>
  <c r="AU134" i="5"/>
  <c r="AV134" i="5" s="1"/>
  <c r="AU135" i="5"/>
  <c r="AV135" i="5" s="1"/>
  <c r="AU136" i="5"/>
  <c r="AV136" i="5" s="1"/>
  <c r="AU137" i="5"/>
  <c r="AV137" i="5" s="1"/>
  <c r="AU138" i="5"/>
  <c r="AV138" i="5"/>
  <c r="AW138" i="5" s="1"/>
  <c r="AX138" i="5"/>
  <c r="AU139" i="5"/>
  <c r="AV139" i="5" s="1"/>
  <c r="AU140" i="5"/>
  <c r="AV140" i="5" s="1"/>
  <c r="AU141" i="5"/>
  <c r="AV141" i="5" s="1"/>
  <c r="AU142" i="5"/>
  <c r="AV142" i="5" s="1"/>
  <c r="AW142" i="5" s="1"/>
  <c r="AX142" i="5"/>
  <c r="AU143" i="5"/>
  <c r="AV143" i="5" s="1"/>
  <c r="AU144" i="5"/>
  <c r="AV144" i="5" s="1"/>
  <c r="AU145" i="5"/>
  <c r="AV145" i="5" s="1"/>
  <c r="AU146" i="5"/>
  <c r="AV146" i="5" s="1"/>
  <c r="AU147" i="5"/>
  <c r="AV147" i="5"/>
  <c r="AW147" i="5" s="1"/>
  <c r="AX147" i="5"/>
  <c r="AU148" i="5"/>
  <c r="AV148" i="5" s="1"/>
  <c r="AU149" i="5"/>
  <c r="AV149" i="5" s="1"/>
  <c r="AU150" i="5"/>
  <c r="AV150" i="5" s="1"/>
  <c r="AU151" i="5"/>
  <c r="AV151" i="5" s="1"/>
  <c r="AW151" i="5" s="1"/>
  <c r="AX151" i="5"/>
  <c r="AU152" i="5"/>
  <c r="AV152" i="5" s="1"/>
  <c r="AU153" i="5"/>
  <c r="AV153" i="5" s="1"/>
  <c r="AU154" i="5"/>
  <c r="AV154" i="5" s="1"/>
  <c r="AU155" i="5"/>
  <c r="AV155" i="5" s="1"/>
  <c r="AU156" i="5"/>
  <c r="AV156" i="5"/>
  <c r="AW156" i="5"/>
  <c r="AX156" i="5"/>
  <c r="AU157" i="5"/>
  <c r="AV157" i="5" s="1"/>
  <c r="AU158" i="5"/>
  <c r="AV158" i="5" s="1"/>
  <c r="AU159" i="5"/>
  <c r="AV159" i="5" s="1"/>
  <c r="AU160" i="5"/>
  <c r="AV160" i="5" s="1"/>
  <c r="AW160" i="5" s="1"/>
  <c r="AU161" i="5"/>
  <c r="AV161" i="5"/>
  <c r="AX161" i="5" s="1"/>
  <c r="AW161" i="5"/>
  <c r="AU162" i="5"/>
  <c r="AV162" i="5" s="1"/>
  <c r="AU163" i="5"/>
  <c r="AV163" i="5" s="1"/>
  <c r="AX163" i="5" s="1"/>
  <c r="AW163" i="5"/>
  <c r="AU164" i="5"/>
  <c r="AV164" i="5" s="1"/>
  <c r="AU165" i="5"/>
  <c r="AV165" i="5"/>
  <c r="AW165" i="5"/>
  <c r="AX165" i="5"/>
  <c r="AU166" i="5"/>
  <c r="AV166" i="5" s="1"/>
  <c r="AU167" i="5"/>
  <c r="AV167" i="5" s="1"/>
  <c r="AU168" i="5"/>
  <c r="AV168" i="5" s="1"/>
  <c r="AU169" i="5"/>
  <c r="AV169" i="5" s="1"/>
  <c r="AW169" i="5" s="1"/>
  <c r="AX169" i="5"/>
  <c r="AU170" i="5"/>
  <c r="AV170" i="5" s="1"/>
  <c r="AU171" i="5"/>
  <c r="AV171" i="5" s="1"/>
  <c r="AU172" i="5"/>
  <c r="AU173" i="5"/>
  <c r="AV173" i="5" s="1"/>
  <c r="AU174" i="5"/>
  <c r="AV174" i="5"/>
  <c r="AW174" i="5" s="1"/>
  <c r="AU175" i="5"/>
  <c r="AV175" i="5" s="1"/>
  <c r="AU176" i="5"/>
  <c r="AV176" i="5" s="1"/>
  <c r="AU177" i="5"/>
  <c r="AV177" i="5" s="1"/>
  <c r="AU178" i="5"/>
  <c r="AV178" i="5" s="1"/>
  <c r="AW178" i="5" s="1"/>
  <c r="AX178" i="5"/>
  <c r="AU179" i="5"/>
  <c r="AV179" i="5"/>
  <c r="AX179" i="5" s="1"/>
  <c r="AU180" i="5"/>
  <c r="AV180" i="5" s="1"/>
  <c r="AU181" i="5"/>
  <c r="AV181" i="5" s="1"/>
  <c r="AX181" i="5" s="1"/>
  <c r="AW181" i="5"/>
  <c r="AU182" i="5"/>
  <c r="AV182" i="5" s="1"/>
  <c r="AU183" i="5"/>
  <c r="AV183" i="5"/>
  <c r="AW183" i="5"/>
  <c r="AX183" i="5"/>
  <c r="AU184" i="5"/>
  <c r="AV184" i="5" s="1"/>
  <c r="AU185" i="5"/>
  <c r="AV185" i="5" s="1"/>
  <c r="AU186" i="5"/>
  <c r="AV186" i="5" s="1"/>
  <c r="AU187" i="5"/>
  <c r="AV187" i="5" s="1"/>
  <c r="AW187" i="5" s="1"/>
  <c r="AX187" i="5"/>
  <c r="AU188" i="5"/>
  <c r="AV188" i="5" s="1"/>
  <c r="AU189" i="5"/>
  <c r="AV189" i="5" s="1"/>
  <c r="AU190" i="5"/>
  <c r="AV190" i="5" s="1"/>
  <c r="AX190" i="5" s="1"/>
  <c r="AU191" i="5"/>
  <c r="AV191" i="5" s="1"/>
  <c r="AU192" i="5"/>
  <c r="AV192" i="5"/>
  <c r="AX192" i="5" s="1"/>
  <c r="AW192" i="5"/>
  <c r="AU193" i="5"/>
  <c r="AV193" i="5" s="1"/>
  <c r="AU194" i="5"/>
  <c r="AV194" i="5" s="1"/>
  <c r="AU195" i="5"/>
  <c r="AV195" i="5" s="1"/>
  <c r="AU196" i="5"/>
  <c r="AV196" i="5" s="1"/>
  <c r="AW196" i="5" s="1"/>
  <c r="AX196" i="5"/>
  <c r="AU197" i="5"/>
  <c r="AV197" i="5"/>
  <c r="AX197" i="5" s="1"/>
  <c r="AW197" i="5"/>
  <c r="AU198" i="5"/>
  <c r="AV198" i="5" s="1"/>
  <c r="AU199" i="5"/>
  <c r="AV199" i="5" s="1"/>
  <c r="AX199" i="5" s="1"/>
  <c r="AW199" i="5"/>
  <c r="AU200" i="5"/>
  <c r="AV200" i="5" s="1"/>
  <c r="AU201" i="5"/>
  <c r="AV201" i="5"/>
  <c r="AW201" i="5"/>
  <c r="AX201" i="5"/>
  <c r="AU202" i="5"/>
  <c r="AV202" i="5" s="1"/>
  <c r="AU203" i="5"/>
  <c r="AV203" i="5" s="1"/>
  <c r="AU204" i="5"/>
  <c r="AV204" i="5" s="1"/>
  <c r="AX204" i="5" s="1"/>
  <c r="AU205" i="5"/>
  <c r="AV205" i="5" s="1"/>
  <c r="AW205" i="5" s="1"/>
  <c r="AU206" i="5"/>
  <c r="AV206" i="5" s="1"/>
  <c r="AU207" i="5"/>
  <c r="AV207" i="5" s="1"/>
  <c r="AX207" i="5" s="1"/>
  <c r="AW207" i="5"/>
  <c r="AU208" i="5"/>
  <c r="AV208" i="5" s="1"/>
  <c r="AX208" i="5" s="1"/>
  <c r="AW208" i="5"/>
  <c r="AU209" i="5"/>
  <c r="AV209" i="5" s="1"/>
  <c r="AU210" i="5"/>
  <c r="AV210" i="5"/>
  <c r="AW210" i="5"/>
  <c r="AX210" i="5"/>
  <c r="AU211" i="5"/>
  <c r="AV211" i="5" s="1"/>
  <c r="AU212" i="5"/>
  <c r="AV212" i="5" s="1"/>
  <c r="AU213" i="5"/>
  <c r="AV213" i="5" s="1"/>
  <c r="AX213" i="5" s="1"/>
  <c r="AU214" i="5"/>
  <c r="AV214" i="5" s="1"/>
  <c r="AW214" i="5" s="1"/>
  <c r="AU215" i="5"/>
  <c r="AV215" i="5" s="1"/>
  <c r="AU216" i="5"/>
  <c r="AV216" i="5" s="1"/>
  <c r="AX216" i="5" s="1"/>
  <c r="AW216" i="5"/>
  <c r="AU217" i="5"/>
  <c r="AV217" i="5" s="1"/>
  <c r="AX217" i="5" s="1"/>
  <c r="AW217" i="5"/>
  <c r="AU218" i="5"/>
  <c r="AV218" i="5" s="1"/>
  <c r="AU219" i="5"/>
  <c r="AV219" i="5"/>
  <c r="AW219" i="5"/>
  <c r="AX219" i="5"/>
  <c r="AU220" i="5"/>
  <c r="AV220" i="5" s="1"/>
  <c r="AU221" i="5"/>
  <c r="AV221" i="5" s="1"/>
  <c r="AU222" i="5"/>
  <c r="AV222" i="5" s="1"/>
  <c r="AX222" i="5" s="1"/>
  <c r="AU223" i="5"/>
  <c r="AV223" i="5" s="1"/>
  <c r="AW223" i="5" s="1"/>
  <c r="AU224" i="5"/>
  <c r="AV224" i="5" s="1"/>
  <c r="AU225" i="5"/>
  <c r="AV225" i="5" s="1"/>
  <c r="AX225" i="5" s="1"/>
  <c r="AW225" i="5"/>
  <c r="AU226" i="5"/>
  <c r="AV226" i="5" s="1"/>
  <c r="AX226" i="5" s="1"/>
  <c r="AW226" i="5"/>
  <c r="AU227" i="5"/>
  <c r="AV227" i="5" s="1"/>
  <c r="AU228" i="5"/>
  <c r="AV228" i="5"/>
  <c r="AW228" i="5"/>
  <c r="AX228" i="5"/>
  <c r="AU229" i="5"/>
  <c r="AV229" i="5" s="1"/>
  <c r="AX229" i="5" s="1"/>
  <c r="AU230" i="5"/>
  <c r="AV230" i="5" s="1"/>
  <c r="AX230" i="5" s="1"/>
  <c r="AU231" i="5"/>
  <c r="AU232" i="5"/>
  <c r="AV232" i="5" s="1"/>
  <c r="AW232" i="5" s="1"/>
  <c r="AU3" i="5"/>
  <c r="AQ4" i="5"/>
  <c r="AR4" i="5" s="1"/>
  <c r="AQ5" i="5"/>
  <c r="AR5" i="5"/>
  <c r="AS5" i="5" s="1"/>
  <c r="AQ6" i="5"/>
  <c r="AR6" i="5"/>
  <c r="AS6" i="5"/>
  <c r="AT6" i="5"/>
  <c r="AQ7" i="5"/>
  <c r="AR7" i="5" s="1"/>
  <c r="AQ8" i="5"/>
  <c r="AR8" i="5"/>
  <c r="AS8" i="5" s="1"/>
  <c r="AQ9" i="5"/>
  <c r="AR9" i="5" s="1"/>
  <c r="AQ10" i="5"/>
  <c r="AR10" i="5" s="1"/>
  <c r="AQ11" i="5"/>
  <c r="AR11" i="5"/>
  <c r="AQ12" i="5"/>
  <c r="AR12" i="5" s="1"/>
  <c r="AQ13" i="5"/>
  <c r="AR13" i="5" s="1"/>
  <c r="AQ14" i="5"/>
  <c r="AR14" i="5" s="1"/>
  <c r="AQ15" i="5"/>
  <c r="AR15" i="5" s="1"/>
  <c r="AS15" i="5" s="1"/>
  <c r="AT15" i="5"/>
  <c r="AQ16" i="5"/>
  <c r="AR16" i="5" s="1"/>
  <c r="AQ17" i="5"/>
  <c r="AR17" i="5"/>
  <c r="AS17" i="5" s="1"/>
  <c r="AQ18" i="5"/>
  <c r="AR18" i="5" s="1"/>
  <c r="AQ19" i="5"/>
  <c r="AR19" i="5" s="1"/>
  <c r="AQ20" i="5"/>
  <c r="AR20" i="5"/>
  <c r="AQ21" i="5"/>
  <c r="AR21" i="5" s="1"/>
  <c r="AQ22" i="5"/>
  <c r="AR22" i="5" s="1"/>
  <c r="AQ23" i="5"/>
  <c r="AR23" i="5" s="1"/>
  <c r="AQ24" i="5"/>
  <c r="AR24" i="5" s="1"/>
  <c r="AS24" i="5" s="1"/>
  <c r="AQ25" i="5"/>
  <c r="AR25" i="5" s="1"/>
  <c r="AQ26" i="5"/>
  <c r="AR26" i="5"/>
  <c r="AS26" i="5" s="1"/>
  <c r="AQ27" i="5"/>
  <c r="AR27" i="5" s="1"/>
  <c r="AQ28" i="5"/>
  <c r="AR28" i="5" s="1"/>
  <c r="AQ29" i="5"/>
  <c r="AR29" i="5"/>
  <c r="AQ30" i="5"/>
  <c r="AR30" i="5" s="1"/>
  <c r="AQ31" i="5"/>
  <c r="AR31" i="5" s="1"/>
  <c r="AQ32" i="5"/>
  <c r="AR32" i="5" s="1"/>
  <c r="AQ33" i="5"/>
  <c r="AR33" i="5" s="1"/>
  <c r="AS33" i="5" s="1"/>
  <c r="AT33" i="5"/>
  <c r="AQ34" i="5"/>
  <c r="AR34" i="5" s="1"/>
  <c r="AQ35" i="5"/>
  <c r="AR35" i="5"/>
  <c r="AS35" i="5" s="1"/>
  <c r="AQ36" i="5"/>
  <c r="AR36" i="5" s="1"/>
  <c r="AQ37" i="5"/>
  <c r="AR37" i="5" s="1"/>
  <c r="AQ38" i="5"/>
  <c r="AR38" i="5"/>
  <c r="AQ39" i="5"/>
  <c r="AR39" i="5" s="1"/>
  <c r="AQ40" i="5"/>
  <c r="AR40" i="5" s="1"/>
  <c r="AQ41" i="5"/>
  <c r="AR41" i="5" s="1"/>
  <c r="AQ42" i="5"/>
  <c r="AR42" i="5" s="1"/>
  <c r="AS42" i="5" s="1"/>
  <c r="AT42" i="5"/>
  <c r="AQ43" i="5"/>
  <c r="AR43" i="5" s="1"/>
  <c r="AQ44" i="5"/>
  <c r="AR44" i="5"/>
  <c r="AS44" i="5" s="1"/>
  <c r="AQ45" i="5"/>
  <c r="AR45" i="5" s="1"/>
  <c r="AQ46" i="5"/>
  <c r="AR46" i="5" s="1"/>
  <c r="AQ47" i="5"/>
  <c r="AR47" i="5"/>
  <c r="AQ48" i="5"/>
  <c r="AR48" i="5" s="1"/>
  <c r="AQ49" i="5"/>
  <c r="AR49" i="5" s="1"/>
  <c r="AQ50" i="5"/>
  <c r="AR50" i="5" s="1"/>
  <c r="AQ51" i="5"/>
  <c r="AR51" i="5" s="1"/>
  <c r="AS51" i="5" s="1"/>
  <c r="AQ52" i="5"/>
  <c r="AR52" i="5" s="1"/>
  <c r="AQ53" i="5"/>
  <c r="AR53" i="5"/>
  <c r="AS53" i="5" s="1"/>
  <c r="AQ54" i="5"/>
  <c r="AR54" i="5" s="1"/>
  <c r="AQ55" i="5"/>
  <c r="AR55" i="5" s="1"/>
  <c r="AQ56" i="5"/>
  <c r="AR56" i="5"/>
  <c r="AQ57" i="5"/>
  <c r="AR57" i="5" s="1"/>
  <c r="AQ58" i="5"/>
  <c r="AR58" i="5" s="1"/>
  <c r="AQ59" i="5"/>
  <c r="AR59" i="5" s="1"/>
  <c r="AQ60" i="5"/>
  <c r="AR60" i="5" s="1"/>
  <c r="AS60" i="5" s="1"/>
  <c r="AT60" i="5"/>
  <c r="AQ61" i="5"/>
  <c r="AR61" i="5" s="1"/>
  <c r="AQ62" i="5"/>
  <c r="AR62" i="5"/>
  <c r="AS62" i="5" s="1"/>
  <c r="AQ63" i="5"/>
  <c r="AR63" i="5" s="1"/>
  <c r="AQ64" i="5"/>
  <c r="AR64" i="5" s="1"/>
  <c r="AQ65" i="5"/>
  <c r="AR65" i="5"/>
  <c r="AQ66" i="5"/>
  <c r="AR66" i="5" s="1"/>
  <c r="AQ67" i="5"/>
  <c r="AR67" i="5" s="1"/>
  <c r="AQ68" i="5"/>
  <c r="AR68" i="5" s="1"/>
  <c r="AQ69" i="5"/>
  <c r="AR69" i="5" s="1"/>
  <c r="AS69" i="5" s="1"/>
  <c r="AT69" i="5"/>
  <c r="AQ70" i="5"/>
  <c r="AR70" i="5" s="1"/>
  <c r="AQ71" i="5"/>
  <c r="AR71" i="5"/>
  <c r="AS71" i="5" s="1"/>
  <c r="AQ72" i="5"/>
  <c r="AR72" i="5" s="1"/>
  <c r="AQ73" i="5"/>
  <c r="AR73" i="5" s="1"/>
  <c r="AQ74" i="5"/>
  <c r="AR74" i="5"/>
  <c r="AQ75" i="5"/>
  <c r="AR75" i="5" s="1"/>
  <c r="AQ76" i="5"/>
  <c r="AR76" i="5" s="1"/>
  <c r="AQ77" i="5"/>
  <c r="AR77" i="5" s="1"/>
  <c r="AQ78" i="5"/>
  <c r="AR78" i="5" s="1"/>
  <c r="AS78" i="5" s="1"/>
  <c r="AQ79" i="5"/>
  <c r="AR79" i="5" s="1"/>
  <c r="AQ80" i="5"/>
  <c r="AR80" i="5"/>
  <c r="AS80" i="5" s="1"/>
  <c r="AQ81" i="5"/>
  <c r="AR81" i="5" s="1"/>
  <c r="AQ82" i="5"/>
  <c r="AR82" i="5" s="1"/>
  <c r="AQ83" i="5"/>
  <c r="AR83" i="5"/>
  <c r="AQ84" i="5"/>
  <c r="AR84" i="5" s="1"/>
  <c r="AQ85" i="5"/>
  <c r="AR85" i="5" s="1"/>
  <c r="AQ86" i="5"/>
  <c r="AR86" i="5" s="1"/>
  <c r="AQ87" i="5"/>
  <c r="AR87" i="5" s="1"/>
  <c r="AS87" i="5" s="1"/>
  <c r="AT87" i="5"/>
  <c r="AQ88" i="5"/>
  <c r="AR88" i="5" s="1"/>
  <c r="AQ89" i="5"/>
  <c r="AR89" i="5"/>
  <c r="AS89" i="5" s="1"/>
  <c r="AQ90" i="5"/>
  <c r="AR90" i="5" s="1"/>
  <c r="AQ91" i="5"/>
  <c r="AR91" i="5" s="1"/>
  <c r="AQ92" i="5"/>
  <c r="AR92" i="5"/>
  <c r="AQ93" i="5"/>
  <c r="AR93" i="5" s="1"/>
  <c r="AQ94" i="5"/>
  <c r="AR94" i="5" s="1"/>
  <c r="AQ95" i="5"/>
  <c r="AR95" i="5" s="1"/>
  <c r="AQ96" i="5"/>
  <c r="AR96" i="5" s="1"/>
  <c r="AS96" i="5" s="1"/>
  <c r="AT96" i="5"/>
  <c r="AQ97" i="5"/>
  <c r="AR97" i="5" s="1"/>
  <c r="AQ98" i="5"/>
  <c r="AR98" i="5"/>
  <c r="AT98" i="5" s="1"/>
  <c r="AS98" i="5"/>
  <c r="AQ99" i="5"/>
  <c r="AR99" i="5" s="1"/>
  <c r="AQ100" i="5"/>
  <c r="AR100" i="5" s="1"/>
  <c r="AQ101" i="5"/>
  <c r="AR101" i="5"/>
  <c r="AQ102" i="5"/>
  <c r="AR102" i="5" s="1"/>
  <c r="AQ103" i="5"/>
  <c r="AR103" i="5" s="1"/>
  <c r="AQ104" i="5"/>
  <c r="AR104" i="5" s="1"/>
  <c r="AQ105" i="5"/>
  <c r="AR105" i="5" s="1"/>
  <c r="AS105" i="5" s="1"/>
  <c r="AT105" i="5"/>
  <c r="AQ106" i="5"/>
  <c r="AR106" i="5" s="1"/>
  <c r="AQ107" i="5"/>
  <c r="AR107" i="5"/>
  <c r="AT107" i="5" s="1"/>
  <c r="AS107" i="5"/>
  <c r="AQ108" i="5"/>
  <c r="AR108" i="5" s="1"/>
  <c r="AQ109" i="5"/>
  <c r="AR109" i="5" s="1"/>
  <c r="AQ110" i="5"/>
  <c r="AR110" i="5"/>
  <c r="AQ111" i="5"/>
  <c r="AR111" i="5" s="1"/>
  <c r="AQ112" i="5"/>
  <c r="AR112" i="5" s="1"/>
  <c r="AQ113" i="5"/>
  <c r="AR113" i="5" s="1"/>
  <c r="AQ114" i="5"/>
  <c r="AR114" i="5" s="1"/>
  <c r="AS114" i="5" s="1"/>
  <c r="AT114" i="5"/>
  <c r="AQ115" i="5"/>
  <c r="AR115" i="5" s="1"/>
  <c r="AQ116" i="5"/>
  <c r="AR116" i="5"/>
  <c r="AT116" i="5" s="1"/>
  <c r="AS116" i="5"/>
  <c r="AQ117" i="5"/>
  <c r="AR117" i="5" s="1"/>
  <c r="AQ118" i="5"/>
  <c r="AR118" i="5" s="1"/>
  <c r="AQ119" i="5"/>
  <c r="AR119" i="5"/>
  <c r="AQ120" i="5"/>
  <c r="AR120" i="5" s="1"/>
  <c r="AQ121" i="5"/>
  <c r="AR121" i="5" s="1"/>
  <c r="AQ122" i="5"/>
  <c r="AR122" i="5" s="1"/>
  <c r="AQ123" i="5"/>
  <c r="AR123" i="5" s="1"/>
  <c r="AS123" i="5" s="1"/>
  <c r="AT123" i="5"/>
  <c r="AQ124" i="5"/>
  <c r="AR124" i="5" s="1"/>
  <c r="AQ125" i="5"/>
  <c r="AR125" i="5"/>
  <c r="AT125" i="5" s="1"/>
  <c r="AS125" i="5"/>
  <c r="AQ126" i="5"/>
  <c r="AR126" i="5" s="1"/>
  <c r="AQ127" i="5"/>
  <c r="AR127" i="5" s="1"/>
  <c r="AQ128" i="5"/>
  <c r="AR128" i="5"/>
  <c r="AQ129" i="5"/>
  <c r="AR129" i="5" s="1"/>
  <c r="AQ130" i="5"/>
  <c r="AR130" i="5" s="1"/>
  <c r="AQ131" i="5"/>
  <c r="AR131" i="5" s="1"/>
  <c r="AQ132" i="5"/>
  <c r="AR132" i="5" s="1"/>
  <c r="AS132" i="5" s="1"/>
  <c r="AT132" i="5"/>
  <c r="AQ133" i="5"/>
  <c r="AR133" i="5" s="1"/>
  <c r="AQ134" i="5"/>
  <c r="AR134" i="5"/>
  <c r="AT134" i="5" s="1"/>
  <c r="AS134" i="5"/>
  <c r="AQ135" i="5"/>
  <c r="AR135" i="5" s="1"/>
  <c r="AQ136" i="5"/>
  <c r="AR136" i="5" s="1"/>
  <c r="AQ137" i="5"/>
  <c r="AR137" i="5"/>
  <c r="AQ138" i="5"/>
  <c r="AR138" i="5" s="1"/>
  <c r="AQ139" i="5"/>
  <c r="AR139" i="5" s="1"/>
  <c r="AQ140" i="5"/>
  <c r="AR140" i="5" s="1"/>
  <c r="AQ141" i="5"/>
  <c r="AR141" i="5" s="1"/>
  <c r="AS141" i="5" s="1"/>
  <c r="AT141" i="5"/>
  <c r="AQ142" i="5"/>
  <c r="AR142" i="5" s="1"/>
  <c r="AQ143" i="5"/>
  <c r="AR143" i="5"/>
  <c r="AT143" i="5" s="1"/>
  <c r="AS143" i="5"/>
  <c r="AQ144" i="5"/>
  <c r="AR144" i="5" s="1"/>
  <c r="AQ145" i="5"/>
  <c r="AR145" i="5" s="1"/>
  <c r="AQ146" i="5"/>
  <c r="AR146" i="5"/>
  <c r="AQ147" i="5"/>
  <c r="AR147" i="5" s="1"/>
  <c r="AQ148" i="5"/>
  <c r="AR148" i="5" s="1"/>
  <c r="AQ149" i="5"/>
  <c r="AR149" i="5" s="1"/>
  <c r="AQ150" i="5"/>
  <c r="AR150" i="5" s="1"/>
  <c r="AS150" i="5" s="1"/>
  <c r="AQ151" i="5"/>
  <c r="AR151" i="5" s="1"/>
  <c r="AQ152" i="5"/>
  <c r="AR152" i="5"/>
  <c r="AT152" i="5" s="1"/>
  <c r="AS152" i="5"/>
  <c r="AQ153" i="5"/>
  <c r="AR153" i="5" s="1"/>
  <c r="AQ154" i="5"/>
  <c r="AR154" i="5" s="1"/>
  <c r="AQ155" i="5"/>
  <c r="AR155" i="5"/>
  <c r="AQ156" i="5"/>
  <c r="AR156" i="5" s="1"/>
  <c r="AQ157" i="5"/>
  <c r="AR157" i="5" s="1"/>
  <c r="AQ158" i="5"/>
  <c r="AR158" i="5" s="1"/>
  <c r="AQ159" i="5"/>
  <c r="AR159" i="5" s="1"/>
  <c r="AS159" i="5" s="1"/>
  <c r="AQ160" i="5"/>
  <c r="AR160" i="5" s="1"/>
  <c r="AQ161" i="5"/>
  <c r="AR161" i="5"/>
  <c r="AT161" i="5" s="1"/>
  <c r="AS161" i="5"/>
  <c r="AQ162" i="5"/>
  <c r="AR162" i="5" s="1"/>
  <c r="AQ163" i="5"/>
  <c r="AR163" i="5" s="1"/>
  <c r="AQ164" i="5"/>
  <c r="AR164" i="5"/>
  <c r="AT164" i="5" s="1"/>
  <c r="AS164" i="5"/>
  <c r="AQ165" i="5"/>
  <c r="AR165" i="5" s="1"/>
  <c r="AQ166" i="5"/>
  <c r="AR166" i="5" s="1"/>
  <c r="AQ167" i="5"/>
  <c r="AR167" i="5" s="1"/>
  <c r="AQ168" i="5"/>
  <c r="AR168" i="5" s="1"/>
  <c r="AS168" i="5" s="1"/>
  <c r="AT168" i="5"/>
  <c r="AQ169" i="5"/>
  <c r="AR169" i="5" s="1"/>
  <c r="AT169" i="5" s="1"/>
  <c r="AQ170" i="5"/>
  <c r="AR170" i="5"/>
  <c r="AT170" i="5" s="1"/>
  <c r="AS170" i="5"/>
  <c r="AQ171" i="5"/>
  <c r="AR171" i="5" s="1"/>
  <c r="AQ172" i="5"/>
  <c r="AR172" i="5" s="1"/>
  <c r="AQ173" i="5"/>
  <c r="AR173" i="5"/>
  <c r="AT173" i="5" s="1"/>
  <c r="AS173" i="5"/>
  <c r="AQ174" i="5"/>
  <c r="AR174" i="5" s="1"/>
  <c r="AQ175" i="5"/>
  <c r="AR175" i="5" s="1"/>
  <c r="AQ176" i="5"/>
  <c r="AR176" i="5" s="1"/>
  <c r="AQ177" i="5"/>
  <c r="AR177" i="5" s="1"/>
  <c r="AS177" i="5" s="1"/>
  <c r="AQ178" i="5"/>
  <c r="AR178" i="5" s="1"/>
  <c r="AT178" i="5" s="1"/>
  <c r="AS178" i="5"/>
  <c r="AQ179" i="5"/>
  <c r="AR179" i="5"/>
  <c r="AT179" i="5" s="1"/>
  <c r="AS179" i="5"/>
  <c r="AQ180" i="5"/>
  <c r="AR180" i="5" s="1"/>
  <c r="AQ181" i="5"/>
  <c r="AR181" i="5" s="1"/>
  <c r="AQ182" i="5"/>
  <c r="AR182" i="5"/>
  <c r="AT182" i="5" s="1"/>
  <c r="AQ183" i="5"/>
  <c r="AR183" i="5" s="1"/>
  <c r="AQ184" i="5"/>
  <c r="AR184" i="5" s="1"/>
  <c r="AQ185" i="5"/>
  <c r="AR185" i="5" s="1"/>
  <c r="AQ186" i="5"/>
  <c r="AR186" i="5" s="1"/>
  <c r="AS186" i="5" s="1"/>
  <c r="AT186" i="5"/>
  <c r="AQ187" i="5"/>
  <c r="AR187" i="5" s="1"/>
  <c r="AT187" i="5" s="1"/>
  <c r="AQ188" i="5"/>
  <c r="AR188" i="5"/>
  <c r="AT188" i="5" s="1"/>
  <c r="AS188" i="5"/>
  <c r="AQ189" i="5"/>
  <c r="AR189" i="5" s="1"/>
  <c r="AQ190" i="5"/>
  <c r="AR190" i="5" s="1"/>
  <c r="AQ191" i="5"/>
  <c r="AR191" i="5"/>
  <c r="AT191" i="5" s="1"/>
  <c r="AQ192" i="5"/>
  <c r="AR192" i="5" s="1"/>
  <c r="AQ193" i="5"/>
  <c r="AR193" i="5" s="1"/>
  <c r="AQ194" i="5"/>
  <c r="AR194" i="5" s="1"/>
  <c r="AQ195" i="5"/>
  <c r="AR195" i="5" s="1"/>
  <c r="AS195" i="5" s="1"/>
  <c r="AT195" i="5"/>
  <c r="AQ196" i="5"/>
  <c r="AR196" i="5" s="1"/>
  <c r="AT196" i="5" s="1"/>
  <c r="AS196" i="5"/>
  <c r="AQ197" i="5"/>
  <c r="AR197" i="5"/>
  <c r="AT197" i="5" s="1"/>
  <c r="AS197" i="5"/>
  <c r="AQ198" i="5"/>
  <c r="AR198" i="5" s="1"/>
  <c r="AQ199" i="5"/>
  <c r="AQ200" i="5"/>
  <c r="AR200" i="5"/>
  <c r="AT200" i="5" s="1"/>
  <c r="AQ201" i="5"/>
  <c r="AR201" i="5" s="1"/>
  <c r="AQ202" i="5"/>
  <c r="AR202" i="5" s="1"/>
  <c r="AQ203" i="5"/>
  <c r="AR203" i="5" s="1"/>
  <c r="AQ204" i="5"/>
  <c r="AR204" i="5" s="1"/>
  <c r="AS204" i="5" s="1"/>
  <c r="AQ205" i="5"/>
  <c r="AR205" i="5" s="1"/>
  <c r="AT205" i="5" s="1"/>
  <c r="AS205" i="5"/>
  <c r="AQ206" i="5"/>
  <c r="AR206" i="5"/>
  <c r="AT206" i="5" s="1"/>
  <c r="AS206" i="5"/>
  <c r="AQ207" i="5"/>
  <c r="AR207" i="5" s="1"/>
  <c r="AQ208" i="5"/>
  <c r="AR208" i="5" s="1"/>
  <c r="AQ209" i="5"/>
  <c r="AR209" i="5"/>
  <c r="AT209" i="5" s="1"/>
  <c r="AS209" i="5"/>
  <c r="AQ210" i="5"/>
  <c r="AR210" i="5" s="1"/>
  <c r="AQ211" i="5"/>
  <c r="AR211" i="5" s="1"/>
  <c r="AQ212" i="5"/>
  <c r="AR212" i="5" s="1"/>
  <c r="AQ213" i="5"/>
  <c r="AR213" i="5" s="1"/>
  <c r="AS213" i="5" s="1"/>
  <c r="AT213" i="5"/>
  <c r="AQ214" i="5"/>
  <c r="AR214" i="5" s="1"/>
  <c r="AT214" i="5" s="1"/>
  <c r="AS214" i="5"/>
  <c r="AQ215" i="5"/>
  <c r="AR215" i="5"/>
  <c r="AT215" i="5" s="1"/>
  <c r="AS215" i="5"/>
  <c r="AQ216" i="5"/>
  <c r="AR216" i="5" s="1"/>
  <c r="AQ217" i="5"/>
  <c r="AQ218" i="5"/>
  <c r="AR218" i="5"/>
  <c r="AT218" i="5" s="1"/>
  <c r="AS218" i="5"/>
  <c r="AQ219" i="5"/>
  <c r="AR219" i="5" s="1"/>
  <c r="AQ220" i="5"/>
  <c r="AR220" i="5" s="1"/>
  <c r="AQ221" i="5"/>
  <c r="AR221" i="5" s="1"/>
  <c r="AQ222" i="5"/>
  <c r="AR222" i="5" s="1"/>
  <c r="AS222" i="5" s="1"/>
  <c r="AQ223" i="5"/>
  <c r="AR223" i="5" s="1"/>
  <c r="AT223" i="5" s="1"/>
  <c r="AQ224" i="5"/>
  <c r="AR224" i="5"/>
  <c r="AT224" i="5" s="1"/>
  <c r="AS224" i="5"/>
  <c r="AQ225" i="5"/>
  <c r="AR225" i="5" s="1"/>
  <c r="AQ226" i="5"/>
  <c r="AR226" i="5" s="1"/>
  <c r="AT226" i="5" s="1"/>
  <c r="AS226" i="5"/>
  <c r="AQ227" i="5"/>
  <c r="AR227" i="5" s="1"/>
  <c r="AQ228" i="5"/>
  <c r="AR228" i="5" s="1"/>
  <c r="AQ229" i="5"/>
  <c r="AR229" i="5" s="1"/>
  <c r="AQ230" i="5"/>
  <c r="AR230" i="5" s="1"/>
  <c r="AQ231" i="5"/>
  <c r="AR231" i="5" s="1"/>
  <c r="AT231" i="5" s="1"/>
  <c r="AS231" i="5"/>
  <c r="AQ232" i="5"/>
  <c r="AR232" i="5" s="1"/>
  <c r="AT232" i="5" s="1"/>
  <c r="AS232" i="5"/>
  <c r="AM4" i="5"/>
  <c r="AN4" i="5" s="1"/>
  <c r="AO4" i="5" s="1"/>
  <c r="AM5" i="5"/>
  <c r="AN5" i="5"/>
  <c r="AP5" i="5" s="1"/>
  <c r="AM6" i="5"/>
  <c r="AN6" i="5"/>
  <c r="AO6" i="5" s="1"/>
  <c r="AM7" i="5"/>
  <c r="AN7" i="5" s="1"/>
  <c r="AM8" i="5"/>
  <c r="AN8" i="5"/>
  <c r="AM9" i="5"/>
  <c r="AN9" i="5"/>
  <c r="AP9" i="5" s="1"/>
  <c r="AM10" i="5"/>
  <c r="AN10" i="5" s="1"/>
  <c r="AM11" i="5"/>
  <c r="AN11" i="5" s="1"/>
  <c r="AM12" i="5"/>
  <c r="AN12" i="5" s="1"/>
  <c r="AO12" i="5" s="1"/>
  <c r="AP12" i="5"/>
  <c r="AM13" i="5"/>
  <c r="AN13" i="5" s="1"/>
  <c r="AO13" i="5" s="1"/>
  <c r="AM14" i="5"/>
  <c r="AN14" i="5"/>
  <c r="AP14" i="5" s="1"/>
  <c r="AM15" i="5"/>
  <c r="AN15" i="5"/>
  <c r="AP15" i="5" s="1"/>
  <c r="AO15" i="5"/>
  <c r="AM16" i="5"/>
  <c r="AN16" i="5" s="1"/>
  <c r="AM17" i="5"/>
  <c r="AN17" i="5"/>
  <c r="AM18" i="5"/>
  <c r="AN18" i="5"/>
  <c r="AO18" i="5" s="1"/>
  <c r="AM19" i="5"/>
  <c r="AN19" i="5" s="1"/>
  <c r="AM20" i="5"/>
  <c r="AN20" i="5" s="1"/>
  <c r="AM21" i="5"/>
  <c r="AN21" i="5" s="1"/>
  <c r="AO21" i="5" s="1"/>
  <c r="AP21" i="5"/>
  <c r="AM22" i="5"/>
  <c r="AN22" i="5" s="1"/>
  <c r="AO22" i="5" s="1"/>
  <c r="AM23" i="5"/>
  <c r="AN23" i="5"/>
  <c r="AP23" i="5" s="1"/>
  <c r="AM24" i="5"/>
  <c r="AN24" i="5"/>
  <c r="AP24" i="5" s="1"/>
  <c r="AO24" i="5"/>
  <c r="AM25" i="5"/>
  <c r="AN25" i="5" s="1"/>
  <c r="AM26" i="5"/>
  <c r="AN26" i="5"/>
  <c r="AP26" i="5" s="1"/>
  <c r="AM27" i="5"/>
  <c r="AN27" i="5"/>
  <c r="AO27" i="5" s="1"/>
  <c r="AP27" i="5"/>
  <c r="AM28" i="5"/>
  <c r="AM29" i="5"/>
  <c r="AN29" i="5" s="1"/>
  <c r="AM30" i="5"/>
  <c r="AN30" i="5" s="1"/>
  <c r="AO30" i="5" s="1"/>
  <c r="AP30" i="5"/>
  <c r="AM31" i="5"/>
  <c r="AN31" i="5" s="1"/>
  <c r="AO31" i="5" s="1"/>
  <c r="AM32" i="5"/>
  <c r="AN32" i="5"/>
  <c r="AP32" i="5" s="1"/>
  <c r="AM33" i="5"/>
  <c r="AN33" i="5"/>
  <c r="AP33" i="5" s="1"/>
  <c r="AO33" i="5"/>
  <c r="AM34" i="5"/>
  <c r="AN34" i="5" s="1"/>
  <c r="AM35" i="5"/>
  <c r="AN35" i="5"/>
  <c r="AP35" i="5" s="1"/>
  <c r="AO35" i="5"/>
  <c r="AM36" i="5"/>
  <c r="AN36" i="5"/>
  <c r="AO36" i="5" s="1"/>
  <c r="AM37" i="5"/>
  <c r="AN37" i="5" s="1"/>
  <c r="AM38" i="5"/>
  <c r="AN38" i="5" s="1"/>
  <c r="AM39" i="5"/>
  <c r="AN39" i="5" s="1"/>
  <c r="AO39" i="5" s="1"/>
  <c r="AM40" i="5"/>
  <c r="AN40" i="5" s="1"/>
  <c r="AO40" i="5" s="1"/>
  <c r="AM41" i="5"/>
  <c r="AN41" i="5"/>
  <c r="AP41" i="5" s="1"/>
  <c r="AM42" i="5"/>
  <c r="AN42" i="5" s="1"/>
  <c r="AP42" i="5" s="1"/>
  <c r="AM43" i="5"/>
  <c r="AN43" i="5" s="1"/>
  <c r="AM44" i="5"/>
  <c r="AN44" i="5"/>
  <c r="AP44" i="5" s="1"/>
  <c r="AO44" i="5"/>
  <c r="AM45" i="5"/>
  <c r="AN45" i="5"/>
  <c r="AO45" i="5" s="1"/>
  <c r="AM46" i="5"/>
  <c r="AN46" i="5" s="1"/>
  <c r="AM47" i="5"/>
  <c r="AN47" i="5" s="1"/>
  <c r="AM48" i="5"/>
  <c r="AN48" i="5" s="1"/>
  <c r="AM49" i="5"/>
  <c r="AN49" i="5" s="1"/>
  <c r="AO49" i="5" s="1"/>
  <c r="AM50" i="5"/>
  <c r="AN50" i="5"/>
  <c r="AP50" i="5" s="1"/>
  <c r="AM51" i="5"/>
  <c r="AN51" i="5" s="1"/>
  <c r="AP51" i="5" s="1"/>
  <c r="AM52" i="5"/>
  <c r="AN52" i="5" s="1"/>
  <c r="AP52" i="5" s="1"/>
  <c r="AO52" i="5"/>
  <c r="AM53" i="5"/>
  <c r="AN53" i="5"/>
  <c r="AP53" i="5" s="1"/>
  <c r="AM54" i="5"/>
  <c r="AN54" i="5"/>
  <c r="AO54" i="5"/>
  <c r="AP54" i="5"/>
  <c r="AM55" i="5"/>
  <c r="AN55" i="5" s="1"/>
  <c r="AP55" i="5" s="1"/>
  <c r="AM56" i="5"/>
  <c r="AN56" i="5" s="1"/>
  <c r="AM57" i="5"/>
  <c r="AN57" i="5" s="1"/>
  <c r="AO57" i="5" s="1"/>
  <c r="AM58" i="5"/>
  <c r="AN58" i="5" s="1"/>
  <c r="AO58" i="5" s="1"/>
  <c r="AP58" i="5"/>
  <c r="AM59" i="5"/>
  <c r="AN59" i="5"/>
  <c r="AP59" i="5" s="1"/>
  <c r="AO59" i="5"/>
  <c r="AM60" i="5"/>
  <c r="AN60" i="5" s="1"/>
  <c r="AP60" i="5" s="1"/>
  <c r="AO60" i="5"/>
  <c r="AM61" i="5"/>
  <c r="AN61" i="5" s="1"/>
  <c r="AP61" i="5" s="1"/>
  <c r="AO61" i="5"/>
  <c r="AM62" i="5"/>
  <c r="AN62" i="5"/>
  <c r="AP62" i="5" s="1"/>
  <c r="AO62" i="5"/>
  <c r="AM63" i="5"/>
  <c r="AN63" i="5"/>
  <c r="AO63" i="5"/>
  <c r="AP63" i="5"/>
  <c r="AM64" i="5"/>
  <c r="AN64" i="5" s="1"/>
  <c r="AP64" i="5" s="1"/>
  <c r="AM65" i="5"/>
  <c r="AN65" i="5" s="1"/>
  <c r="AM66" i="5"/>
  <c r="AN66" i="5" s="1"/>
  <c r="AO66" i="5" s="1"/>
  <c r="AP66" i="5"/>
  <c r="AM67" i="5"/>
  <c r="AN67" i="5" s="1"/>
  <c r="AO67" i="5" s="1"/>
  <c r="AM68" i="5"/>
  <c r="AN68" i="5" s="1"/>
  <c r="AM69" i="5"/>
  <c r="AN69" i="5" s="1"/>
  <c r="AP69" i="5" s="1"/>
  <c r="AO69" i="5"/>
  <c r="AM70" i="5"/>
  <c r="AN70" i="5" s="1"/>
  <c r="AP70" i="5" s="1"/>
  <c r="AO70" i="5"/>
  <c r="AM71" i="5"/>
  <c r="AN71" i="5"/>
  <c r="AP71" i="5" s="1"/>
  <c r="AO71" i="5"/>
  <c r="AM72" i="5"/>
  <c r="AN72" i="5"/>
  <c r="AO72" i="5"/>
  <c r="AP72" i="5"/>
  <c r="AM73" i="5"/>
  <c r="AN73" i="5" s="1"/>
  <c r="AP73" i="5" s="1"/>
  <c r="AO73" i="5"/>
  <c r="AM74" i="5"/>
  <c r="AN74" i="5" s="1"/>
  <c r="AM75" i="5"/>
  <c r="AN75" i="5" s="1"/>
  <c r="AP75" i="5" s="1"/>
  <c r="AO75" i="5"/>
  <c r="AM76" i="5"/>
  <c r="AN76" i="5" s="1"/>
  <c r="AO76" i="5" s="1"/>
  <c r="AP76" i="5"/>
  <c r="AM77" i="5"/>
  <c r="AN77" i="5"/>
  <c r="AP77" i="5" s="1"/>
  <c r="AO77" i="5"/>
  <c r="AM78" i="5"/>
  <c r="AN78" i="5" s="1"/>
  <c r="AP78" i="5" s="1"/>
  <c r="AM79" i="5"/>
  <c r="AN79" i="5" s="1"/>
  <c r="AP79" i="5" s="1"/>
  <c r="AM80" i="5"/>
  <c r="AN80" i="5"/>
  <c r="AP80" i="5" s="1"/>
  <c r="AO80" i="5"/>
  <c r="AM81" i="5"/>
  <c r="AN81" i="5"/>
  <c r="AP81" i="5" s="1"/>
  <c r="AO81" i="5"/>
  <c r="AM82" i="5"/>
  <c r="AN82" i="5" s="1"/>
  <c r="AP82" i="5" s="1"/>
  <c r="AM83" i="5"/>
  <c r="AN83" i="5" s="1"/>
  <c r="AM84" i="5"/>
  <c r="AN84" i="5" s="1"/>
  <c r="AO84" i="5"/>
  <c r="AP84" i="5"/>
  <c r="AM85" i="5"/>
  <c r="AN85" i="5" s="1"/>
  <c r="AO85" i="5" s="1"/>
  <c r="AM86" i="5"/>
  <c r="AN86" i="5" s="1"/>
  <c r="AM87" i="5"/>
  <c r="AN87" i="5" s="1"/>
  <c r="AP87" i="5" s="1"/>
  <c r="AO87" i="5"/>
  <c r="AM88" i="5"/>
  <c r="AN88" i="5" s="1"/>
  <c r="AP88" i="5" s="1"/>
  <c r="AM89" i="5"/>
  <c r="AN89" i="5"/>
  <c r="AP89" i="5" s="1"/>
  <c r="AM90" i="5"/>
  <c r="AN90" i="5"/>
  <c r="AO90" i="5"/>
  <c r="AP90" i="5"/>
  <c r="AM91" i="5"/>
  <c r="AN91" i="5" s="1"/>
  <c r="AP91" i="5" s="1"/>
  <c r="AO91" i="5"/>
  <c r="AM92" i="5"/>
  <c r="AN92" i="5" s="1"/>
  <c r="AM93" i="5"/>
  <c r="AN93" i="5" s="1"/>
  <c r="AO93" i="5" s="1"/>
  <c r="AM94" i="5"/>
  <c r="AN94" i="5" s="1"/>
  <c r="AO94" i="5" s="1"/>
  <c r="AM95" i="5"/>
  <c r="AN95" i="5"/>
  <c r="AP95" i="5" s="1"/>
  <c r="AM96" i="5"/>
  <c r="AN96" i="5" s="1"/>
  <c r="AP96" i="5" s="1"/>
  <c r="AO96" i="5"/>
  <c r="AM97" i="5"/>
  <c r="AN97" i="5" s="1"/>
  <c r="AP97" i="5" s="1"/>
  <c r="AO97" i="5"/>
  <c r="AM98" i="5"/>
  <c r="AN98" i="5"/>
  <c r="AP98" i="5" s="1"/>
  <c r="AO98" i="5"/>
  <c r="AM99" i="5"/>
  <c r="AN99" i="5"/>
  <c r="AO99" i="5"/>
  <c r="AM100" i="5"/>
  <c r="AN100" i="5" s="1"/>
  <c r="AP100" i="5" s="1"/>
  <c r="AM101" i="5"/>
  <c r="AN101" i="5" s="1"/>
  <c r="AM102" i="5"/>
  <c r="AN102" i="5" s="1"/>
  <c r="AO102" i="5"/>
  <c r="AP102" i="5"/>
  <c r="AM103" i="5"/>
  <c r="AN103" i="5" s="1"/>
  <c r="AO103" i="5" s="1"/>
  <c r="AP103" i="5"/>
  <c r="AM104" i="5"/>
  <c r="AN104" i="5" s="1"/>
  <c r="AM105" i="5"/>
  <c r="AM106" i="5"/>
  <c r="AN106" i="5" s="1"/>
  <c r="AP106" i="5" s="1"/>
  <c r="AO106" i="5"/>
  <c r="AM107" i="5"/>
  <c r="AN107" i="5"/>
  <c r="AP107" i="5" s="1"/>
  <c r="AM108" i="5"/>
  <c r="AN108" i="5"/>
  <c r="AO108" i="5"/>
  <c r="AP108" i="5"/>
  <c r="AM109" i="5"/>
  <c r="AN109" i="5" s="1"/>
  <c r="AP109" i="5" s="1"/>
  <c r="AO109" i="5"/>
  <c r="AM110" i="5"/>
  <c r="AN110" i="5" s="1"/>
  <c r="AP110" i="5" s="1"/>
  <c r="AO110" i="5"/>
  <c r="AM111" i="5"/>
  <c r="AN111" i="5" s="1"/>
  <c r="AM112" i="5"/>
  <c r="AN112" i="5" s="1"/>
  <c r="AO112" i="5" s="1"/>
  <c r="AP112" i="5"/>
  <c r="AM113" i="5"/>
  <c r="AN113" i="5"/>
  <c r="AP113" i="5" s="1"/>
  <c r="AO113" i="5"/>
  <c r="AM114" i="5"/>
  <c r="AN114" i="5" s="1"/>
  <c r="AP114" i="5" s="1"/>
  <c r="AM115" i="5"/>
  <c r="AN115" i="5" s="1"/>
  <c r="AP115" i="5" s="1"/>
  <c r="AM116" i="5"/>
  <c r="AN116" i="5" s="1"/>
  <c r="AM117" i="5"/>
  <c r="AN117" i="5"/>
  <c r="AO117" i="5"/>
  <c r="AP117" i="5"/>
  <c r="AM118" i="5"/>
  <c r="AM119" i="5"/>
  <c r="AN119" i="5" s="1"/>
  <c r="AP119" i="5" s="1"/>
  <c r="AM120" i="5"/>
  <c r="AN120" i="5" s="1"/>
  <c r="AO120" i="5"/>
  <c r="AP120" i="5"/>
  <c r="AM121" i="5"/>
  <c r="AN121" i="5" s="1"/>
  <c r="AO121" i="5" s="1"/>
  <c r="AM122" i="5"/>
  <c r="AN122" i="5" s="1"/>
  <c r="AM123" i="5"/>
  <c r="AN123" i="5" s="1"/>
  <c r="AP123" i="5" s="1"/>
  <c r="AO123" i="5"/>
  <c r="AM124" i="5"/>
  <c r="AN124" i="5" s="1"/>
  <c r="AP124" i="5" s="1"/>
  <c r="AM125" i="5"/>
  <c r="AN125" i="5"/>
  <c r="AP125" i="5" s="1"/>
  <c r="AM126" i="5"/>
  <c r="AN126" i="5"/>
  <c r="AP126" i="5"/>
  <c r="AM127" i="5"/>
  <c r="AM128" i="5"/>
  <c r="AN128" i="5" s="1"/>
  <c r="AP128" i="5" s="1"/>
  <c r="AM129" i="5"/>
  <c r="AN129" i="5" s="1"/>
  <c r="AO129" i="5" s="1"/>
  <c r="AM130" i="5"/>
  <c r="AN130" i="5" s="1"/>
  <c r="AO130" i="5" s="1"/>
  <c r="AP130" i="5"/>
  <c r="AM131" i="5"/>
  <c r="AN131" i="5" s="1"/>
  <c r="AM132" i="5"/>
  <c r="AN132" i="5" s="1"/>
  <c r="AP132" i="5" s="1"/>
  <c r="AM133" i="5"/>
  <c r="AN133" i="5" s="1"/>
  <c r="AP133" i="5" s="1"/>
  <c r="AM134" i="5"/>
  <c r="AN134" i="5"/>
  <c r="AP134" i="5" s="1"/>
  <c r="AO134" i="5"/>
  <c r="AM135" i="5"/>
  <c r="AN135" i="5"/>
  <c r="AO135" i="5" s="1"/>
  <c r="AM136" i="5"/>
  <c r="AN136" i="5" s="1"/>
  <c r="AP136" i="5" s="1"/>
  <c r="AO136" i="5"/>
  <c r="AM137" i="5"/>
  <c r="AN137" i="5" s="1"/>
  <c r="AP137" i="5" s="1"/>
  <c r="AM138" i="5"/>
  <c r="AN138" i="5" s="1"/>
  <c r="AP138" i="5" s="1"/>
  <c r="AM139" i="5"/>
  <c r="AM140" i="5"/>
  <c r="AN140" i="5" s="1"/>
  <c r="AM141" i="5"/>
  <c r="AM142" i="5"/>
  <c r="AN142" i="5" s="1"/>
  <c r="AP142" i="5" s="1"/>
  <c r="AO142" i="5"/>
  <c r="AM143" i="5"/>
  <c r="AN143" i="5"/>
  <c r="AP143" i="5" s="1"/>
  <c r="AM144" i="5"/>
  <c r="AN144" i="5"/>
  <c r="AO144" i="5" s="1"/>
  <c r="AP144" i="5"/>
  <c r="AM145" i="5"/>
  <c r="AN145" i="5" s="1"/>
  <c r="AP145" i="5" s="1"/>
  <c r="AO145" i="5"/>
  <c r="AM146" i="5"/>
  <c r="AN146" i="5" s="1"/>
  <c r="AP146" i="5" s="1"/>
  <c r="AM147" i="5"/>
  <c r="AN147" i="5" s="1"/>
  <c r="AM148" i="5"/>
  <c r="AN148" i="5" s="1"/>
  <c r="AO148" i="5"/>
  <c r="AP148" i="5"/>
  <c r="AM149" i="5"/>
  <c r="AN149" i="5" s="1"/>
  <c r="AM150" i="5"/>
  <c r="AN150" i="5" s="1"/>
  <c r="AP150" i="5" s="1"/>
  <c r="AO150" i="5"/>
  <c r="AM151" i="5"/>
  <c r="AN151" i="5" s="1"/>
  <c r="AP151" i="5" s="1"/>
  <c r="AM152" i="5"/>
  <c r="AN152" i="5" s="1"/>
  <c r="AM153" i="5"/>
  <c r="AN153" i="5" s="1"/>
  <c r="AM154" i="5"/>
  <c r="AM155" i="5"/>
  <c r="AN155" i="5" s="1"/>
  <c r="AP155" i="5" s="1"/>
  <c r="AO155" i="5"/>
  <c r="AM156" i="5"/>
  <c r="AN156" i="5" s="1"/>
  <c r="AO156" i="5" s="1"/>
  <c r="AM157" i="5"/>
  <c r="AN157" i="5" s="1"/>
  <c r="AO157" i="5" s="1"/>
  <c r="AM158" i="5"/>
  <c r="AN158" i="5"/>
  <c r="AP158" i="5" s="1"/>
  <c r="AM159" i="5"/>
  <c r="AN159" i="5" s="1"/>
  <c r="AP159" i="5" s="1"/>
  <c r="AO159" i="5"/>
  <c r="AM160" i="5"/>
  <c r="AN160" i="5" s="1"/>
  <c r="AP160" i="5" s="1"/>
  <c r="AO160" i="5"/>
  <c r="AM161" i="5"/>
  <c r="AN161" i="5"/>
  <c r="AP161" i="5" s="1"/>
  <c r="AO161" i="5"/>
  <c r="AM162" i="5"/>
  <c r="AN162" i="5"/>
  <c r="AP162" i="5" s="1"/>
  <c r="AO162" i="5"/>
  <c r="AM163" i="5"/>
  <c r="AN163" i="5" s="1"/>
  <c r="AP163" i="5" s="1"/>
  <c r="AM164" i="5"/>
  <c r="AN164" i="5" s="1"/>
  <c r="AP164" i="5" s="1"/>
  <c r="AM165" i="5"/>
  <c r="AN165" i="5" s="1"/>
  <c r="AP165" i="5" s="1"/>
  <c r="AO165" i="5"/>
  <c r="AM166" i="5"/>
  <c r="AN166" i="5" s="1"/>
  <c r="AP166" i="5" s="1"/>
  <c r="AO166" i="5"/>
  <c r="AM167" i="5"/>
  <c r="AN167" i="5" s="1"/>
  <c r="AM168" i="5"/>
  <c r="AN168" i="5" s="1"/>
  <c r="AP168" i="5" s="1"/>
  <c r="AO168" i="5"/>
  <c r="AM169" i="5"/>
  <c r="AN169" i="5" s="1"/>
  <c r="AP169" i="5" s="1"/>
  <c r="AO169" i="5"/>
  <c r="AM170" i="5"/>
  <c r="AN170" i="5"/>
  <c r="AP170" i="5" s="1"/>
  <c r="AM171" i="5"/>
  <c r="AN171" i="5" s="1"/>
  <c r="AM172" i="5"/>
  <c r="AN172" i="5" s="1"/>
  <c r="AP172" i="5" s="1"/>
  <c r="AO172" i="5"/>
  <c r="AM173" i="5"/>
  <c r="AN173" i="5" s="1"/>
  <c r="AP173" i="5" s="1"/>
  <c r="AM174" i="5"/>
  <c r="AN174" i="5" s="1"/>
  <c r="AM175" i="5"/>
  <c r="AN175" i="5" s="1"/>
  <c r="AO175" i="5"/>
  <c r="AP175" i="5"/>
  <c r="AM176" i="5"/>
  <c r="AN176" i="5" s="1"/>
  <c r="AM177" i="5"/>
  <c r="AM178" i="5"/>
  <c r="AN178" i="5" s="1"/>
  <c r="AP178" i="5" s="1"/>
  <c r="AO178" i="5"/>
  <c r="AM179" i="5"/>
  <c r="AN179" i="5" s="1"/>
  <c r="AM180" i="5"/>
  <c r="AN180" i="5" s="1"/>
  <c r="AM181" i="5"/>
  <c r="AN181" i="5" s="1"/>
  <c r="AP181" i="5" s="1"/>
  <c r="AO181" i="5"/>
  <c r="AM182" i="5"/>
  <c r="AN182" i="5" s="1"/>
  <c r="AP182" i="5" s="1"/>
  <c r="AO182" i="5"/>
  <c r="AM183" i="5"/>
  <c r="AN183" i="5" s="1"/>
  <c r="AO183" i="5" s="1"/>
  <c r="AM184" i="5"/>
  <c r="AN184" i="5" s="1"/>
  <c r="AO184" i="5" s="1"/>
  <c r="AM185" i="5"/>
  <c r="AN185" i="5"/>
  <c r="AP185" i="5" s="1"/>
  <c r="AM186" i="5"/>
  <c r="AN186" i="5" s="1"/>
  <c r="AP186" i="5" s="1"/>
  <c r="AO186" i="5"/>
  <c r="AM187" i="5"/>
  <c r="AN187" i="5" s="1"/>
  <c r="AP187" i="5" s="1"/>
  <c r="AO187" i="5"/>
  <c r="AM188" i="5"/>
  <c r="AN188" i="5"/>
  <c r="AP188" i="5" s="1"/>
  <c r="AO188" i="5"/>
  <c r="AM189" i="5"/>
  <c r="AN189" i="5" s="1"/>
  <c r="AM190" i="5"/>
  <c r="AM191" i="5"/>
  <c r="AN191" i="5" s="1"/>
  <c r="AP191" i="5" s="1"/>
  <c r="AM192" i="5"/>
  <c r="AN192" i="5" s="1"/>
  <c r="AO192" i="5"/>
  <c r="AM193" i="5"/>
  <c r="AN193" i="5" s="1"/>
  <c r="AP193" i="5" s="1"/>
  <c r="AO193" i="5"/>
  <c r="AM194" i="5"/>
  <c r="AN194" i="5" s="1"/>
  <c r="AM195" i="5"/>
  <c r="AM196" i="5"/>
  <c r="AN196" i="5" s="1"/>
  <c r="AP196" i="5" s="1"/>
  <c r="AO196" i="5"/>
  <c r="AM197" i="5"/>
  <c r="AN197" i="5"/>
  <c r="AP197" i="5" s="1"/>
  <c r="AO197" i="5"/>
  <c r="AM198" i="5"/>
  <c r="AN198" i="5" s="1"/>
  <c r="AM199" i="5"/>
  <c r="AN199" i="5" s="1"/>
  <c r="AP199" i="5" s="1"/>
  <c r="AO199" i="5"/>
  <c r="AM200" i="5"/>
  <c r="AN200" i="5" s="1"/>
  <c r="AP200" i="5" s="1"/>
  <c r="AM201" i="5"/>
  <c r="AN201" i="5" s="1"/>
  <c r="AM202" i="5"/>
  <c r="AN202" i="5" s="1"/>
  <c r="AO202" i="5"/>
  <c r="AP202" i="5"/>
  <c r="AM203" i="5"/>
  <c r="AN203" i="5" s="1"/>
  <c r="AM204" i="5"/>
  <c r="AM205" i="5"/>
  <c r="AN205" i="5" s="1"/>
  <c r="AP205" i="5" s="1"/>
  <c r="AO205" i="5"/>
  <c r="AM206" i="5"/>
  <c r="AN206" i="5" s="1"/>
  <c r="AM207" i="5"/>
  <c r="AN207" i="5" s="1"/>
  <c r="AM208" i="5"/>
  <c r="AN208" i="5" s="1"/>
  <c r="AP208" i="5" s="1"/>
  <c r="AO208" i="5"/>
  <c r="AM209" i="5"/>
  <c r="AN209" i="5" s="1"/>
  <c r="AP209" i="5" s="1"/>
  <c r="AO209" i="5"/>
  <c r="AM210" i="5"/>
  <c r="AN210" i="5" s="1"/>
  <c r="AO210" i="5" s="1"/>
  <c r="AM211" i="5"/>
  <c r="AN211" i="5" s="1"/>
  <c r="AO211" i="5" s="1"/>
  <c r="AM212" i="5"/>
  <c r="AN212" i="5"/>
  <c r="AP212" i="5" s="1"/>
  <c r="AM213" i="5"/>
  <c r="AN213" i="5" s="1"/>
  <c r="AP213" i="5" s="1"/>
  <c r="AO213" i="5"/>
  <c r="AM214" i="5"/>
  <c r="AN214" i="5" s="1"/>
  <c r="AP214" i="5" s="1"/>
  <c r="AO214" i="5"/>
  <c r="AM215" i="5"/>
  <c r="AN215" i="5"/>
  <c r="AP215" i="5" s="1"/>
  <c r="AO215" i="5"/>
  <c r="AM216" i="5"/>
  <c r="AN216" i="5" s="1"/>
  <c r="AM217" i="5"/>
  <c r="AN217" i="5" s="1"/>
  <c r="AP217" i="5" s="1"/>
  <c r="AO217" i="5"/>
  <c r="AM218" i="5"/>
  <c r="AN218" i="5" s="1"/>
  <c r="AP218" i="5" s="1"/>
  <c r="AM219" i="5"/>
  <c r="AN219" i="5" s="1"/>
  <c r="AP219" i="5" s="1"/>
  <c r="AO219" i="5"/>
  <c r="AM220" i="5"/>
  <c r="AN220" i="5" s="1"/>
  <c r="AP220" i="5" s="1"/>
  <c r="AO220" i="5"/>
  <c r="AM221" i="5"/>
  <c r="AN221" i="5" s="1"/>
  <c r="AM222" i="5"/>
  <c r="AM223" i="5"/>
  <c r="AN223" i="5" s="1"/>
  <c r="AP223" i="5" s="1"/>
  <c r="AO223" i="5"/>
  <c r="AM224" i="5"/>
  <c r="AN224" i="5"/>
  <c r="AP224" i="5" s="1"/>
  <c r="AO224" i="5"/>
  <c r="AM225" i="5"/>
  <c r="AN225" i="5" s="1"/>
  <c r="AM226" i="5"/>
  <c r="AN226" i="5" s="1"/>
  <c r="AP226" i="5" s="1"/>
  <c r="AO226" i="5"/>
  <c r="AM227" i="5"/>
  <c r="AN227" i="5" s="1"/>
  <c r="AP227" i="5" s="1"/>
  <c r="AM228" i="5"/>
  <c r="AN228" i="5" s="1"/>
  <c r="AM229" i="5"/>
  <c r="AN229" i="5" s="1"/>
  <c r="AO229" i="5"/>
  <c r="AP229" i="5"/>
  <c r="AM230" i="5"/>
  <c r="AN230" i="5" s="1"/>
  <c r="AM231" i="5"/>
  <c r="AN231" i="5" s="1"/>
  <c r="AP231" i="5" s="1"/>
  <c r="AM232" i="5"/>
  <c r="AN232" i="5" s="1"/>
  <c r="AP232" i="5" s="1"/>
  <c r="AO232" i="5"/>
  <c r="AQ3" i="5"/>
  <c r="AM3" i="5"/>
  <c r="AN3" i="5" s="1"/>
  <c r="AI4" i="5"/>
  <c r="AJ4" i="5" s="1"/>
  <c r="AI5" i="5"/>
  <c r="AJ5" i="5"/>
  <c r="AK5" i="5" s="1"/>
  <c r="AI6" i="5"/>
  <c r="AJ6" i="5"/>
  <c r="AK6" i="5" s="1"/>
  <c r="AL6" i="5"/>
  <c r="AI7" i="5"/>
  <c r="AJ7" i="5" s="1"/>
  <c r="AK7" i="5" s="1"/>
  <c r="AI8" i="5"/>
  <c r="AJ8" i="5"/>
  <c r="AI9" i="5"/>
  <c r="AJ9" i="5" s="1"/>
  <c r="AI10" i="5"/>
  <c r="AJ10" i="5" s="1"/>
  <c r="AK10" i="5" s="1"/>
  <c r="AI11" i="5"/>
  <c r="AJ11" i="5"/>
  <c r="AI12" i="5"/>
  <c r="AJ12" i="5"/>
  <c r="AK12" i="5" s="1"/>
  <c r="AI13" i="5"/>
  <c r="AJ13" i="5" s="1"/>
  <c r="AI14" i="5"/>
  <c r="AJ14" i="5"/>
  <c r="AK14" i="5" s="1"/>
  <c r="AI15" i="5"/>
  <c r="AJ15" i="5"/>
  <c r="AK15" i="5" s="1"/>
  <c r="AI16" i="5"/>
  <c r="AJ16" i="5" s="1"/>
  <c r="AK16" i="5" s="1"/>
  <c r="AL16" i="5"/>
  <c r="AI17" i="5"/>
  <c r="AJ17" i="5"/>
  <c r="AI18" i="5"/>
  <c r="AJ18" i="5" s="1"/>
  <c r="AI19" i="5"/>
  <c r="AJ19" i="5" s="1"/>
  <c r="AK19" i="5"/>
  <c r="AL19" i="5"/>
  <c r="AI20" i="5"/>
  <c r="AJ20" i="5"/>
  <c r="AI21" i="5"/>
  <c r="AJ21" i="5"/>
  <c r="AK21" i="5"/>
  <c r="AL21" i="5"/>
  <c r="AI22" i="5"/>
  <c r="AJ22" i="5" s="1"/>
  <c r="AI23" i="5"/>
  <c r="AJ23" i="5"/>
  <c r="AK23" i="5" s="1"/>
  <c r="AI24" i="5"/>
  <c r="AJ24" i="5"/>
  <c r="AK24" i="5" s="1"/>
  <c r="AL24" i="5"/>
  <c r="AI25" i="5"/>
  <c r="AJ25" i="5" s="1"/>
  <c r="AL25" i="5" s="1"/>
  <c r="AK25" i="5"/>
  <c r="AI26" i="5"/>
  <c r="AJ26" i="5" s="1"/>
  <c r="AI27" i="5"/>
  <c r="AJ27" i="5" s="1"/>
  <c r="AI28" i="5"/>
  <c r="AJ28" i="5" s="1"/>
  <c r="AL28" i="5" s="1"/>
  <c r="AK28" i="5"/>
  <c r="AI29" i="5"/>
  <c r="AJ29" i="5"/>
  <c r="AI30" i="5"/>
  <c r="AJ30" i="5" s="1"/>
  <c r="AI31" i="5"/>
  <c r="AJ31" i="5" s="1"/>
  <c r="AI32" i="5"/>
  <c r="AJ32" i="5"/>
  <c r="AK32" i="5" s="1"/>
  <c r="AI33" i="5"/>
  <c r="AJ33" i="5"/>
  <c r="AK33" i="5" s="1"/>
  <c r="AI34" i="5"/>
  <c r="AJ34" i="5" s="1"/>
  <c r="AK34" i="5" s="1"/>
  <c r="AL34" i="5"/>
  <c r="AI35" i="5"/>
  <c r="AJ35" i="5"/>
  <c r="AI36" i="5"/>
  <c r="AJ36" i="5" s="1"/>
  <c r="AI37" i="5"/>
  <c r="AJ37" i="5" s="1"/>
  <c r="AK37" i="5"/>
  <c r="AL37" i="5"/>
  <c r="AI38" i="5"/>
  <c r="AJ38" i="5"/>
  <c r="AI39" i="5"/>
  <c r="AJ39" i="5" s="1"/>
  <c r="AI40" i="5"/>
  <c r="AJ40" i="5" s="1"/>
  <c r="AI41" i="5"/>
  <c r="AJ41" i="5"/>
  <c r="AK41" i="5" s="1"/>
  <c r="AI42" i="5"/>
  <c r="AJ42" i="5" s="1"/>
  <c r="AI43" i="5"/>
  <c r="AJ43" i="5" s="1"/>
  <c r="AL43" i="5" s="1"/>
  <c r="AK43" i="5"/>
  <c r="AI44" i="5"/>
  <c r="AJ44" i="5" s="1"/>
  <c r="AI45" i="5"/>
  <c r="AJ45" i="5" s="1"/>
  <c r="AI46" i="5"/>
  <c r="AJ46" i="5" s="1"/>
  <c r="AK46" i="5"/>
  <c r="AL46" i="5"/>
  <c r="AI47" i="5"/>
  <c r="AJ47" i="5"/>
  <c r="AI48" i="5"/>
  <c r="AJ48" i="5" s="1"/>
  <c r="AI49" i="5"/>
  <c r="AJ49" i="5" s="1"/>
  <c r="AI50" i="5"/>
  <c r="AJ50" i="5"/>
  <c r="AK50" i="5" s="1"/>
  <c r="AI51" i="5"/>
  <c r="AJ51" i="5"/>
  <c r="AK51" i="5" s="1"/>
  <c r="AI52" i="5"/>
  <c r="AJ52" i="5" s="1"/>
  <c r="AK52" i="5" s="1"/>
  <c r="AL52" i="5"/>
  <c r="AI53" i="5"/>
  <c r="AJ53" i="5"/>
  <c r="AI54" i="5"/>
  <c r="AJ54" i="5" s="1"/>
  <c r="AI55" i="5"/>
  <c r="AJ55" i="5" s="1"/>
  <c r="AK55" i="5"/>
  <c r="AL55" i="5"/>
  <c r="AI56" i="5"/>
  <c r="AJ56" i="5"/>
  <c r="AI57" i="5"/>
  <c r="AJ57" i="5"/>
  <c r="AK57" i="5" s="1"/>
  <c r="AL57" i="5"/>
  <c r="AI58" i="5"/>
  <c r="AJ58" i="5" s="1"/>
  <c r="AI59" i="5"/>
  <c r="AJ59" i="5"/>
  <c r="AK59" i="5" s="1"/>
  <c r="AI60" i="5"/>
  <c r="AJ60" i="5" s="1"/>
  <c r="AI61" i="5"/>
  <c r="AJ61" i="5" s="1"/>
  <c r="AK61" i="5"/>
  <c r="AL61" i="5"/>
  <c r="AI62" i="5"/>
  <c r="AJ62" i="5"/>
  <c r="AI63" i="5"/>
  <c r="AJ63" i="5" s="1"/>
  <c r="AI64" i="5"/>
  <c r="AJ64" i="5" s="1"/>
  <c r="AL64" i="5" s="1"/>
  <c r="AK64" i="5"/>
  <c r="AI65" i="5"/>
  <c r="AJ65" i="5"/>
  <c r="AI66" i="5"/>
  <c r="AJ66" i="5" s="1"/>
  <c r="AI67" i="5"/>
  <c r="AJ67" i="5" s="1"/>
  <c r="AI68" i="5"/>
  <c r="AJ68" i="5"/>
  <c r="AL68" i="5" s="1"/>
  <c r="AK68" i="5"/>
  <c r="AI69" i="5"/>
  <c r="AJ69" i="5"/>
  <c r="AK69" i="5" s="1"/>
  <c r="AI70" i="5"/>
  <c r="AJ70" i="5" s="1"/>
  <c r="AL70" i="5" s="1"/>
  <c r="AK70" i="5"/>
  <c r="AI71" i="5"/>
  <c r="AJ71" i="5" s="1"/>
  <c r="AI72" i="5"/>
  <c r="AJ72" i="5" s="1"/>
  <c r="AI73" i="5"/>
  <c r="AJ73" i="5" s="1"/>
  <c r="AK73" i="5"/>
  <c r="AL73" i="5"/>
  <c r="AI74" i="5"/>
  <c r="AJ74" i="5"/>
  <c r="AI75" i="5"/>
  <c r="AJ75" i="5" s="1"/>
  <c r="AI76" i="5"/>
  <c r="AJ76" i="5" s="1"/>
  <c r="AI77" i="5"/>
  <c r="AJ77" i="5" s="1"/>
  <c r="AL77" i="5" s="1"/>
  <c r="AI78" i="5"/>
  <c r="AJ78" i="5"/>
  <c r="AK78" i="5" s="1"/>
  <c r="AI79" i="5"/>
  <c r="AJ79" i="5" s="1"/>
  <c r="AK79" i="5" s="1"/>
  <c r="AI80" i="5"/>
  <c r="AJ80" i="5"/>
  <c r="AI81" i="5"/>
  <c r="AJ81" i="5" s="1"/>
  <c r="AI82" i="5"/>
  <c r="AJ82" i="5" s="1"/>
  <c r="AK82" i="5" s="1"/>
  <c r="AI83" i="5"/>
  <c r="AJ83" i="5"/>
  <c r="AI84" i="5"/>
  <c r="AJ84" i="5"/>
  <c r="AL84" i="5" s="1"/>
  <c r="AK84" i="5"/>
  <c r="AI85" i="5"/>
  <c r="AJ85" i="5" s="1"/>
  <c r="AI86" i="5"/>
  <c r="AJ86" i="5"/>
  <c r="AL86" i="5" s="1"/>
  <c r="AK86" i="5"/>
  <c r="AI87" i="5"/>
  <c r="AJ87" i="5"/>
  <c r="AK87" i="5"/>
  <c r="AL87" i="5"/>
  <c r="AI88" i="5"/>
  <c r="AJ88" i="5" s="1"/>
  <c r="AL88" i="5" s="1"/>
  <c r="AK88" i="5"/>
  <c r="AI89" i="5"/>
  <c r="AJ89" i="5" s="1"/>
  <c r="AI90" i="5"/>
  <c r="AJ90" i="5" s="1"/>
  <c r="AI91" i="5"/>
  <c r="AJ91" i="5" s="1"/>
  <c r="AK91" i="5"/>
  <c r="AL91" i="5"/>
  <c r="AI92" i="5"/>
  <c r="AJ92" i="5"/>
  <c r="AI93" i="5"/>
  <c r="AJ93" i="5" s="1"/>
  <c r="AI94" i="5"/>
  <c r="AJ94" i="5" s="1"/>
  <c r="AI95" i="5"/>
  <c r="AJ95" i="5"/>
  <c r="AL95" i="5" s="1"/>
  <c r="AK95" i="5"/>
  <c r="AI96" i="5"/>
  <c r="AJ96" i="5" s="1"/>
  <c r="AI97" i="5"/>
  <c r="AJ97" i="5" s="1"/>
  <c r="AK97" i="5"/>
  <c r="AL97" i="5"/>
  <c r="AI98" i="5"/>
  <c r="AJ98" i="5" s="1"/>
  <c r="AI99" i="5"/>
  <c r="AJ99" i="5" s="1"/>
  <c r="AI100" i="5"/>
  <c r="AJ100" i="5" s="1"/>
  <c r="AK100" i="5" s="1"/>
  <c r="AL100" i="5"/>
  <c r="AI101" i="5"/>
  <c r="AJ101" i="5" s="1"/>
  <c r="AI102" i="5"/>
  <c r="AJ102" i="5"/>
  <c r="AK102" i="5" s="1"/>
  <c r="AI103" i="5"/>
  <c r="AJ103" i="5" s="1"/>
  <c r="AI104" i="5"/>
  <c r="AJ104" i="5"/>
  <c r="AL104" i="5" s="1"/>
  <c r="AK104" i="5"/>
  <c r="AI105" i="5"/>
  <c r="AJ105" i="5"/>
  <c r="AL105" i="5" s="1"/>
  <c r="AK105" i="5"/>
  <c r="AI106" i="5"/>
  <c r="AJ106" i="5" s="1"/>
  <c r="AL106" i="5" s="1"/>
  <c r="AK106" i="5"/>
  <c r="AI107" i="5"/>
  <c r="AJ107" i="5" s="1"/>
  <c r="AI108" i="5"/>
  <c r="AJ108" i="5" s="1"/>
  <c r="AI109" i="5"/>
  <c r="AJ109" i="5" s="1"/>
  <c r="AL109" i="5" s="1"/>
  <c r="AK109" i="5"/>
  <c r="AI110" i="5"/>
  <c r="AJ110" i="5" s="1"/>
  <c r="AI111" i="5"/>
  <c r="AJ111" i="5"/>
  <c r="AK111" i="5"/>
  <c r="AL111" i="5"/>
  <c r="AI112" i="5"/>
  <c r="AJ112" i="5" s="1"/>
  <c r="AI113" i="5"/>
  <c r="AJ113" i="5"/>
  <c r="AL113" i="5" s="1"/>
  <c r="AK113" i="5"/>
  <c r="AI114" i="5"/>
  <c r="AJ114" i="5"/>
  <c r="AK114" i="5" s="1"/>
  <c r="AI115" i="5"/>
  <c r="AJ115" i="5" s="1"/>
  <c r="AL115" i="5" s="1"/>
  <c r="AK115" i="5"/>
  <c r="AI116" i="5"/>
  <c r="AJ116" i="5" s="1"/>
  <c r="AI117" i="5"/>
  <c r="AJ117" i="5" s="1"/>
  <c r="AI118" i="5"/>
  <c r="AJ118" i="5" s="1"/>
  <c r="AK118" i="5"/>
  <c r="AL118" i="5"/>
  <c r="AI119" i="5"/>
  <c r="AJ119" i="5" s="1"/>
  <c r="AI120" i="5"/>
  <c r="AJ120" i="5" s="1"/>
  <c r="AI121" i="5"/>
  <c r="AJ121" i="5" s="1"/>
  <c r="AI122" i="5"/>
  <c r="AJ122" i="5"/>
  <c r="AL122" i="5" s="1"/>
  <c r="AK122" i="5"/>
  <c r="AI123" i="5"/>
  <c r="AJ123" i="5" s="1"/>
  <c r="AI124" i="5"/>
  <c r="AJ124" i="5" s="1"/>
  <c r="AK124" i="5"/>
  <c r="AL124" i="5"/>
  <c r="AI125" i="5"/>
  <c r="AJ125" i="5" s="1"/>
  <c r="AI126" i="5"/>
  <c r="AJ126" i="5" s="1"/>
  <c r="AI127" i="5"/>
  <c r="AJ127" i="5" s="1"/>
  <c r="AL127" i="5" s="1"/>
  <c r="AK127" i="5"/>
  <c r="AI128" i="5"/>
  <c r="AJ128" i="5"/>
  <c r="AL128" i="5" s="1"/>
  <c r="AK128" i="5"/>
  <c r="AI129" i="5"/>
  <c r="AJ129" i="5"/>
  <c r="AK129" i="5" s="1"/>
  <c r="AI130" i="5"/>
  <c r="AJ130" i="5" s="1"/>
  <c r="AI131" i="5"/>
  <c r="AJ131" i="5"/>
  <c r="AL131" i="5" s="1"/>
  <c r="AK131" i="5"/>
  <c r="AI132" i="5"/>
  <c r="AJ132" i="5" s="1"/>
  <c r="AI133" i="5"/>
  <c r="AJ133" i="5" s="1"/>
  <c r="AL133" i="5" s="1"/>
  <c r="AK133" i="5"/>
  <c r="AI134" i="5"/>
  <c r="AJ134" i="5"/>
  <c r="AL134" i="5" s="1"/>
  <c r="AK134" i="5"/>
  <c r="AI135" i="5"/>
  <c r="AJ135" i="5" s="1"/>
  <c r="AI136" i="5"/>
  <c r="AJ136" i="5" s="1"/>
  <c r="AK136" i="5" s="1"/>
  <c r="AI137" i="5"/>
  <c r="AJ137" i="5"/>
  <c r="AL137" i="5" s="1"/>
  <c r="AK137" i="5"/>
  <c r="AI138" i="5"/>
  <c r="AJ138" i="5"/>
  <c r="AK138" i="5" s="1"/>
  <c r="AL138" i="5"/>
  <c r="AI139" i="5"/>
  <c r="AJ139" i="5" s="1"/>
  <c r="AI140" i="5"/>
  <c r="AJ140" i="5"/>
  <c r="AL140" i="5" s="1"/>
  <c r="AK140" i="5"/>
  <c r="AI141" i="5"/>
  <c r="AJ141" i="5" s="1"/>
  <c r="AI142" i="5"/>
  <c r="AJ142" i="5" s="1"/>
  <c r="AK142" i="5" s="1"/>
  <c r="AI143" i="5"/>
  <c r="AJ143" i="5"/>
  <c r="AL143" i="5" s="1"/>
  <c r="AK143" i="5"/>
  <c r="AI144" i="5"/>
  <c r="AJ144" i="5" s="1"/>
  <c r="AK144" i="5" s="1"/>
  <c r="AL144" i="5"/>
  <c r="AI145" i="5"/>
  <c r="AJ145" i="5" s="1"/>
  <c r="AK145" i="5"/>
  <c r="AL145" i="5"/>
  <c r="AI146" i="5"/>
  <c r="AJ146" i="5"/>
  <c r="AL146" i="5" s="1"/>
  <c r="AI147" i="5"/>
  <c r="AJ147" i="5" s="1"/>
  <c r="AI148" i="5"/>
  <c r="AJ148" i="5" s="1"/>
  <c r="AI149" i="5"/>
  <c r="AJ149" i="5"/>
  <c r="AL149" i="5" s="1"/>
  <c r="AK149" i="5"/>
  <c r="AI150" i="5"/>
  <c r="AJ150" i="5"/>
  <c r="AK150" i="5"/>
  <c r="AL150" i="5"/>
  <c r="AI151" i="5"/>
  <c r="AJ151" i="5" s="1"/>
  <c r="AK151" i="5"/>
  <c r="AL151" i="5"/>
  <c r="AI152" i="5"/>
  <c r="AJ152" i="5"/>
  <c r="AL152" i="5" s="1"/>
  <c r="AI153" i="5"/>
  <c r="AJ153" i="5" s="1"/>
  <c r="AK153" i="5" s="1"/>
  <c r="AI154" i="5"/>
  <c r="AJ154" i="5" s="1"/>
  <c r="AK154" i="5" s="1"/>
  <c r="AL154" i="5"/>
  <c r="AI155" i="5"/>
  <c r="AJ155" i="5"/>
  <c r="AL155" i="5" s="1"/>
  <c r="AK155" i="5"/>
  <c r="AI156" i="5"/>
  <c r="AJ156" i="5"/>
  <c r="AK156" i="5"/>
  <c r="AL156" i="5"/>
  <c r="AI157" i="5"/>
  <c r="AJ157" i="5" s="1"/>
  <c r="AI158" i="5"/>
  <c r="AJ158" i="5"/>
  <c r="AL158" i="5" s="1"/>
  <c r="AI159" i="5"/>
  <c r="AJ159" i="5" s="1"/>
  <c r="AI160" i="5"/>
  <c r="AJ160" i="5" s="1"/>
  <c r="AK160" i="5" s="1"/>
  <c r="AL160" i="5"/>
  <c r="AI161" i="5"/>
  <c r="AJ161" i="5"/>
  <c r="AL161" i="5" s="1"/>
  <c r="AK161" i="5"/>
  <c r="AI162" i="5"/>
  <c r="AJ162" i="5" s="1"/>
  <c r="AK162" i="5" s="1"/>
  <c r="AL162" i="5"/>
  <c r="AI163" i="5"/>
  <c r="AJ163" i="5" s="1"/>
  <c r="AK163" i="5"/>
  <c r="AL163" i="5"/>
  <c r="AI164" i="5"/>
  <c r="AJ164" i="5"/>
  <c r="AL164" i="5" s="1"/>
  <c r="AI165" i="5"/>
  <c r="AJ165" i="5" s="1"/>
  <c r="AI166" i="5"/>
  <c r="AJ166" i="5" s="1"/>
  <c r="AI167" i="5"/>
  <c r="AJ167" i="5"/>
  <c r="AL167" i="5" s="1"/>
  <c r="AI168" i="5"/>
  <c r="AJ168" i="5" s="1"/>
  <c r="AI169" i="5"/>
  <c r="AJ169" i="5" s="1"/>
  <c r="AK169" i="5"/>
  <c r="AL169" i="5"/>
  <c r="AI170" i="5"/>
  <c r="AJ170" i="5"/>
  <c r="AL170" i="5" s="1"/>
  <c r="AI171" i="5"/>
  <c r="AJ171" i="5" s="1"/>
  <c r="AK171" i="5" s="1"/>
  <c r="AI172" i="5"/>
  <c r="AJ172" i="5" s="1"/>
  <c r="AK172" i="5" s="1"/>
  <c r="AL172" i="5"/>
  <c r="AI173" i="5"/>
  <c r="AJ173" i="5"/>
  <c r="AL173" i="5" s="1"/>
  <c r="AI174" i="5"/>
  <c r="AJ174" i="5" s="1"/>
  <c r="AI175" i="5"/>
  <c r="AJ175" i="5" s="1"/>
  <c r="AI176" i="5"/>
  <c r="AJ176" i="5"/>
  <c r="AL176" i="5" s="1"/>
  <c r="AK176" i="5"/>
  <c r="AI177" i="5"/>
  <c r="AJ177" i="5" s="1"/>
  <c r="AI178" i="5"/>
  <c r="AJ178" i="5" s="1"/>
  <c r="AK178" i="5" s="1"/>
  <c r="AL178" i="5"/>
  <c r="AI179" i="5"/>
  <c r="AJ179" i="5"/>
  <c r="AL179" i="5" s="1"/>
  <c r="AI180" i="5"/>
  <c r="AJ180" i="5" s="1"/>
  <c r="AK180" i="5" s="1"/>
  <c r="AI181" i="5"/>
  <c r="AJ181" i="5" s="1"/>
  <c r="AK181" i="5"/>
  <c r="AL181" i="5"/>
  <c r="AI182" i="5"/>
  <c r="AJ182" i="5" s="1"/>
  <c r="AI183" i="5"/>
  <c r="AJ183" i="5" s="1"/>
  <c r="AI184" i="5"/>
  <c r="AJ184" i="5" s="1"/>
  <c r="AI185" i="5"/>
  <c r="AJ185" i="5"/>
  <c r="AL185" i="5" s="1"/>
  <c r="AI186" i="5"/>
  <c r="AJ186" i="5" s="1"/>
  <c r="AI187" i="5"/>
  <c r="AJ187" i="5" s="1"/>
  <c r="AK187" i="5"/>
  <c r="AL187" i="5"/>
  <c r="AI188" i="5"/>
  <c r="AJ188" i="5" s="1"/>
  <c r="AI189" i="5"/>
  <c r="AJ189" i="5" s="1"/>
  <c r="AK189" i="5" s="1"/>
  <c r="AI190" i="5"/>
  <c r="AJ190" i="5" s="1"/>
  <c r="AK190" i="5" s="1"/>
  <c r="AI191" i="5"/>
  <c r="AJ191" i="5"/>
  <c r="AL191" i="5" s="1"/>
  <c r="AI192" i="5"/>
  <c r="AJ192" i="5" s="1"/>
  <c r="AI193" i="5"/>
  <c r="AJ193" i="5" s="1"/>
  <c r="AI194" i="5"/>
  <c r="AJ194" i="5"/>
  <c r="AL194" i="5" s="1"/>
  <c r="AK194" i="5"/>
  <c r="AI195" i="5"/>
  <c r="AJ195" i="5"/>
  <c r="AL195" i="5" s="1"/>
  <c r="AK195" i="5"/>
  <c r="AI196" i="5"/>
  <c r="AJ196" i="5" s="1"/>
  <c r="AK196" i="5" s="1"/>
  <c r="AI197" i="5"/>
  <c r="AJ197" i="5"/>
  <c r="AL197" i="5" s="1"/>
  <c r="AI198" i="5"/>
  <c r="AJ198" i="5" s="1"/>
  <c r="AK198" i="5" s="1"/>
  <c r="AI199" i="5"/>
  <c r="AJ199" i="5" s="1"/>
  <c r="AK199" i="5" s="1"/>
  <c r="AL199" i="5"/>
  <c r="AI200" i="5"/>
  <c r="AJ200" i="5"/>
  <c r="AL200" i="5" s="1"/>
  <c r="AK200" i="5"/>
  <c r="AI201" i="5"/>
  <c r="AJ201" i="5"/>
  <c r="AL201" i="5" s="1"/>
  <c r="AK201" i="5"/>
  <c r="AI202" i="5"/>
  <c r="AJ202" i="5" s="1"/>
  <c r="AI203" i="5"/>
  <c r="AJ203" i="5"/>
  <c r="AL203" i="5" s="1"/>
  <c r="AI204" i="5"/>
  <c r="AJ204" i="5" s="1"/>
  <c r="AI205" i="5"/>
  <c r="AJ205" i="5" s="1"/>
  <c r="AK205" i="5" s="1"/>
  <c r="AL205" i="5"/>
  <c r="AI206" i="5"/>
  <c r="AJ206" i="5"/>
  <c r="AL206" i="5" s="1"/>
  <c r="AK206" i="5"/>
  <c r="AI207" i="5"/>
  <c r="AJ207" i="5" s="1"/>
  <c r="AK207" i="5" s="1"/>
  <c r="AL207" i="5"/>
  <c r="AI208" i="5"/>
  <c r="AJ208" i="5" s="1"/>
  <c r="AK208" i="5" s="1"/>
  <c r="AL208" i="5"/>
  <c r="AI209" i="5"/>
  <c r="AJ209" i="5"/>
  <c r="AL209" i="5" s="1"/>
  <c r="AI210" i="5"/>
  <c r="AJ210" i="5" s="1"/>
  <c r="AI211" i="5"/>
  <c r="AJ211" i="5" s="1"/>
  <c r="AI212" i="5"/>
  <c r="AJ212" i="5"/>
  <c r="AL212" i="5" s="1"/>
  <c r="AK212" i="5"/>
  <c r="AI213" i="5"/>
  <c r="AJ213" i="5"/>
  <c r="AK213" i="5"/>
  <c r="AL213" i="5"/>
  <c r="AI214" i="5"/>
  <c r="AJ214" i="5" s="1"/>
  <c r="AK214" i="5" s="1"/>
  <c r="AL214" i="5"/>
  <c r="AI215" i="5"/>
  <c r="AJ215" i="5"/>
  <c r="AL215" i="5" s="1"/>
  <c r="AI216" i="5"/>
  <c r="AJ216" i="5" s="1"/>
  <c r="AK216" i="5" s="1"/>
  <c r="AI217" i="5"/>
  <c r="AJ217" i="5" s="1"/>
  <c r="AK217" i="5" s="1"/>
  <c r="AI218" i="5"/>
  <c r="AJ218" i="5"/>
  <c r="AL218" i="5" s="1"/>
  <c r="AK218" i="5"/>
  <c r="AI219" i="5"/>
  <c r="AJ219" i="5"/>
  <c r="AK219" i="5"/>
  <c r="AL219" i="5"/>
  <c r="AI220" i="5"/>
  <c r="AJ220" i="5" s="1"/>
  <c r="AI221" i="5"/>
  <c r="AJ221" i="5"/>
  <c r="AL221" i="5" s="1"/>
  <c r="AI222" i="5"/>
  <c r="AJ222" i="5" s="1"/>
  <c r="AI223" i="5"/>
  <c r="AJ223" i="5" s="1"/>
  <c r="AK223" i="5" s="1"/>
  <c r="AI224" i="5"/>
  <c r="AJ224" i="5"/>
  <c r="AL224" i="5" s="1"/>
  <c r="AK224" i="5"/>
  <c r="AI225" i="5"/>
  <c r="AJ225" i="5" s="1"/>
  <c r="AK225" i="5" s="1"/>
  <c r="AL225" i="5"/>
  <c r="AI226" i="5"/>
  <c r="AJ226" i="5" s="1"/>
  <c r="AK226" i="5"/>
  <c r="AL226" i="5"/>
  <c r="AI227" i="5"/>
  <c r="AJ227" i="5"/>
  <c r="AL227" i="5" s="1"/>
  <c r="AI228" i="5"/>
  <c r="AJ228" i="5" s="1"/>
  <c r="AI229" i="5"/>
  <c r="AJ229" i="5" s="1"/>
  <c r="AI230" i="5"/>
  <c r="AJ230" i="5"/>
  <c r="AL230" i="5" s="1"/>
  <c r="AK230" i="5"/>
  <c r="AI231" i="5"/>
  <c r="AJ231" i="5" s="1"/>
  <c r="AI232" i="5"/>
  <c r="AJ232" i="5" s="1"/>
  <c r="AK232" i="5"/>
  <c r="AL232" i="5"/>
  <c r="AI3" i="5"/>
  <c r="AJ3" i="5" s="1"/>
  <c r="AK3" i="5" s="1"/>
  <c r="AG3" i="5"/>
  <c r="AE4" i="5"/>
  <c r="AF4" i="5" s="1"/>
  <c r="AE5" i="5"/>
  <c r="AF5" i="5" s="1"/>
  <c r="AE6" i="5"/>
  <c r="AF6" i="5"/>
  <c r="AH6" i="5" s="1"/>
  <c r="AG6" i="5"/>
  <c r="AE7" i="5"/>
  <c r="AF7" i="5" s="1"/>
  <c r="AE8" i="5"/>
  <c r="AF8" i="5" s="1"/>
  <c r="AE9" i="5"/>
  <c r="AF9" i="5" s="1"/>
  <c r="AE10" i="5"/>
  <c r="AF10" i="5" s="1"/>
  <c r="AE11" i="5"/>
  <c r="AF11" i="5" s="1"/>
  <c r="AE12" i="5"/>
  <c r="AF12" i="5"/>
  <c r="AG12" i="5" s="1"/>
  <c r="AE13" i="5"/>
  <c r="AF13" i="5" s="1"/>
  <c r="AE14" i="5"/>
  <c r="AF14" i="5" s="1"/>
  <c r="AE15" i="5"/>
  <c r="AF15" i="5"/>
  <c r="AH15" i="5" s="1"/>
  <c r="AG15" i="5"/>
  <c r="AE16" i="5"/>
  <c r="AF16" i="5" s="1"/>
  <c r="AE17" i="5"/>
  <c r="AF17" i="5" s="1"/>
  <c r="AE18" i="5"/>
  <c r="AF18" i="5" s="1"/>
  <c r="AE19" i="5"/>
  <c r="AF19" i="5" s="1"/>
  <c r="AE20" i="5"/>
  <c r="AF20" i="5" s="1"/>
  <c r="AE21" i="5"/>
  <c r="AF21" i="5"/>
  <c r="AG21" i="5" s="1"/>
  <c r="AE22" i="5"/>
  <c r="AF22" i="5" s="1"/>
  <c r="AE23" i="5"/>
  <c r="AF23" i="5" s="1"/>
  <c r="AE24" i="5"/>
  <c r="AF24" i="5"/>
  <c r="AH24" i="5" s="1"/>
  <c r="AG24" i="5"/>
  <c r="AE25" i="5"/>
  <c r="AF25" i="5" s="1"/>
  <c r="AE26" i="5"/>
  <c r="AF26" i="5" s="1"/>
  <c r="AE27" i="5"/>
  <c r="AF27" i="5" s="1"/>
  <c r="AE28" i="5"/>
  <c r="AF28" i="5" s="1"/>
  <c r="AE29" i="5"/>
  <c r="AF29" i="5" s="1"/>
  <c r="AE30" i="5"/>
  <c r="AF30" i="5"/>
  <c r="AG30" i="5" s="1"/>
  <c r="AE31" i="5"/>
  <c r="AF31" i="5" s="1"/>
  <c r="AE32" i="5"/>
  <c r="AF32" i="5" s="1"/>
  <c r="AE33" i="5"/>
  <c r="AF33" i="5"/>
  <c r="AH33" i="5" s="1"/>
  <c r="AG33" i="5"/>
  <c r="AE34" i="5"/>
  <c r="AF34" i="5" s="1"/>
  <c r="AE35" i="5"/>
  <c r="AF35" i="5" s="1"/>
  <c r="AE36" i="5"/>
  <c r="AF36" i="5" s="1"/>
  <c r="AE37" i="5"/>
  <c r="AF37" i="5" s="1"/>
  <c r="AE38" i="5"/>
  <c r="AF38" i="5" s="1"/>
  <c r="AE39" i="5"/>
  <c r="AF39" i="5"/>
  <c r="AG39" i="5" s="1"/>
  <c r="AE40" i="5"/>
  <c r="AF40" i="5" s="1"/>
  <c r="AE41" i="5"/>
  <c r="AF41" i="5" s="1"/>
  <c r="AE42" i="5"/>
  <c r="AF42" i="5"/>
  <c r="AH42" i="5" s="1"/>
  <c r="AG42" i="5"/>
  <c r="AE43" i="5"/>
  <c r="AF43" i="5" s="1"/>
  <c r="AE44" i="5"/>
  <c r="AF44" i="5" s="1"/>
  <c r="AE45" i="5"/>
  <c r="AF45" i="5" s="1"/>
  <c r="AE46" i="5"/>
  <c r="AF46" i="5" s="1"/>
  <c r="AE47" i="5"/>
  <c r="AF47" i="5" s="1"/>
  <c r="AE48" i="5"/>
  <c r="AF48" i="5"/>
  <c r="AG48" i="5" s="1"/>
  <c r="AE49" i="5"/>
  <c r="AF49" i="5" s="1"/>
  <c r="AE50" i="5"/>
  <c r="AF50" i="5" s="1"/>
  <c r="AE51" i="5"/>
  <c r="AF51" i="5"/>
  <c r="AH51" i="5" s="1"/>
  <c r="AG51" i="5"/>
  <c r="AE52" i="5"/>
  <c r="AF52" i="5" s="1"/>
  <c r="AE53" i="5"/>
  <c r="AF53" i="5" s="1"/>
  <c r="AE54" i="5"/>
  <c r="AF54" i="5" s="1"/>
  <c r="AE55" i="5"/>
  <c r="AF55" i="5" s="1"/>
  <c r="AE56" i="5"/>
  <c r="AF56" i="5" s="1"/>
  <c r="AE57" i="5"/>
  <c r="AF57" i="5"/>
  <c r="AG57" i="5" s="1"/>
  <c r="AE58" i="5"/>
  <c r="AF58" i="5" s="1"/>
  <c r="AE59" i="5"/>
  <c r="AF59" i="5" s="1"/>
  <c r="AE60" i="5"/>
  <c r="AF60" i="5"/>
  <c r="AH60" i="5" s="1"/>
  <c r="AG60" i="5"/>
  <c r="AE61" i="5"/>
  <c r="AF61" i="5" s="1"/>
  <c r="AE62" i="5"/>
  <c r="AF62" i="5" s="1"/>
  <c r="AE63" i="5"/>
  <c r="AF63" i="5" s="1"/>
  <c r="AE64" i="5"/>
  <c r="AF64" i="5" s="1"/>
  <c r="AE65" i="5"/>
  <c r="AF65" i="5" s="1"/>
  <c r="AE66" i="5"/>
  <c r="AF66" i="5"/>
  <c r="AG66" i="5" s="1"/>
  <c r="AE67" i="5"/>
  <c r="AF67" i="5" s="1"/>
  <c r="AE68" i="5"/>
  <c r="AF68" i="5" s="1"/>
  <c r="AE69" i="5"/>
  <c r="AF69" i="5"/>
  <c r="AH69" i="5" s="1"/>
  <c r="AG69" i="5"/>
  <c r="AE70" i="5"/>
  <c r="AF70" i="5" s="1"/>
  <c r="AE71" i="5"/>
  <c r="AF71" i="5" s="1"/>
  <c r="AE72" i="5"/>
  <c r="AF72" i="5" s="1"/>
  <c r="AE73" i="5"/>
  <c r="AF73" i="5" s="1"/>
  <c r="AE74" i="5"/>
  <c r="AF74" i="5" s="1"/>
  <c r="AE75" i="5"/>
  <c r="AF75" i="5"/>
  <c r="AG75" i="5" s="1"/>
  <c r="AE76" i="5"/>
  <c r="AF76" i="5" s="1"/>
  <c r="AE77" i="5"/>
  <c r="AF77" i="5" s="1"/>
  <c r="AE78" i="5"/>
  <c r="AF78" i="5"/>
  <c r="AH78" i="5" s="1"/>
  <c r="AG78" i="5"/>
  <c r="AE79" i="5"/>
  <c r="AF79" i="5" s="1"/>
  <c r="AE80" i="5"/>
  <c r="AF80" i="5" s="1"/>
  <c r="AE81" i="5"/>
  <c r="AF81" i="5" s="1"/>
  <c r="AE82" i="5"/>
  <c r="AF82" i="5" s="1"/>
  <c r="AE83" i="5"/>
  <c r="AF83" i="5" s="1"/>
  <c r="AE84" i="5"/>
  <c r="AF84" i="5"/>
  <c r="AG84" i="5" s="1"/>
  <c r="AE85" i="5"/>
  <c r="AF85" i="5" s="1"/>
  <c r="AE86" i="5"/>
  <c r="AF86" i="5" s="1"/>
  <c r="AE87" i="5"/>
  <c r="AF87" i="5"/>
  <c r="AH87" i="5" s="1"/>
  <c r="AG87" i="5"/>
  <c r="AE88" i="5"/>
  <c r="AF88" i="5" s="1"/>
  <c r="AE89" i="5"/>
  <c r="AF89" i="5" s="1"/>
  <c r="AE90" i="5"/>
  <c r="AF90" i="5" s="1"/>
  <c r="AE91" i="5"/>
  <c r="AF91" i="5" s="1"/>
  <c r="AE92" i="5"/>
  <c r="AF92" i="5" s="1"/>
  <c r="AE93" i="5"/>
  <c r="AF93" i="5"/>
  <c r="AG93" i="5" s="1"/>
  <c r="AE94" i="5"/>
  <c r="AF94" i="5" s="1"/>
  <c r="AE95" i="5"/>
  <c r="AF95" i="5" s="1"/>
  <c r="AE96" i="5"/>
  <c r="AF96" i="5"/>
  <c r="AH96" i="5" s="1"/>
  <c r="AG96" i="5"/>
  <c r="AE97" i="5"/>
  <c r="AF97" i="5" s="1"/>
  <c r="AE98" i="5"/>
  <c r="AF98" i="5" s="1"/>
  <c r="AE99" i="5"/>
  <c r="AF99" i="5" s="1"/>
  <c r="AE100" i="5"/>
  <c r="AF100" i="5" s="1"/>
  <c r="AE101" i="5"/>
  <c r="AF101" i="5" s="1"/>
  <c r="AE102" i="5"/>
  <c r="AF102" i="5"/>
  <c r="AG102" i="5" s="1"/>
  <c r="AE103" i="5"/>
  <c r="AF103" i="5" s="1"/>
  <c r="AE104" i="5"/>
  <c r="AF104" i="5" s="1"/>
  <c r="AE105" i="5"/>
  <c r="AF105" i="5"/>
  <c r="AH105" i="5" s="1"/>
  <c r="AG105" i="5"/>
  <c r="AE106" i="5"/>
  <c r="AF106" i="5" s="1"/>
  <c r="AE107" i="5"/>
  <c r="AF107" i="5" s="1"/>
  <c r="AE108" i="5"/>
  <c r="AF108" i="5" s="1"/>
  <c r="AE109" i="5"/>
  <c r="AF109" i="5" s="1"/>
  <c r="AE110" i="5"/>
  <c r="AF110" i="5" s="1"/>
  <c r="AE111" i="5"/>
  <c r="AF111" i="5"/>
  <c r="AG111" i="5" s="1"/>
  <c r="AE112" i="5"/>
  <c r="AF112" i="5" s="1"/>
  <c r="AE113" i="5"/>
  <c r="AF113" i="5" s="1"/>
  <c r="AE114" i="5"/>
  <c r="AF114" i="5"/>
  <c r="AH114" i="5" s="1"/>
  <c r="AG114" i="5"/>
  <c r="AE115" i="5"/>
  <c r="AF115" i="5" s="1"/>
  <c r="AE116" i="5"/>
  <c r="AF116" i="5" s="1"/>
  <c r="AE117" i="5"/>
  <c r="AF117" i="5" s="1"/>
  <c r="AE118" i="5"/>
  <c r="AF118" i="5" s="1"/>
  <c r="AE119" i="5"/>
  <c r="AF119" i="5" s="1"/>
  <c r="AE120" i="5"/>
  <c r="AF120" i="5"/>
  <c r="AG120" i="5" s="1"/>
  <c r="AE121" i="5"/>
  <c r="AF121" i="5" s="1"/>
  <c r="AE122" i="5"/>
  <c r="AF122" i="5" s="1"/>
  <c r="AE123" i="5"/>
  <c r="AF123" i="5"/>
  <c r="AH123" i="5" s="1"/>
  <c r="AG123" i="5"/>
  <c r="AE124" i="5"/>
  <c r="AF124" i="5" s="1"/>
  <c r="AE125" i="5"/>
  <c r="AF125" i="5" s="1"/>
  <c r="AE126" i="5"/>
  <c r="AF126" i="5" s="1"/>
  <c r="AE127" i="5"/>
  <c r="AF127" i="5" s="1"/>
  <c r="AE128" i="5"/>
  <c r="AF128" i="5" s="1"/>
  <c r="AE129" i="5"/>
  <c r="AF129" i="5"/>
  <c r="AG129" i="5" s="1"/>
  <c r="AE130" i="5"/>
  <c r="AF130" i="5" s="1"/>
  <c r="AE131" i="5"/>
  <c r="AF131" i="5" s="1"/>
  <c r="AE132" i="5"/>
  <c r="AF132" i="5"/>
  <c r="AH132" i="5" s="1"/>
  <c r="AG132" i="5"/>
  <c r="AE133" i="5"/>
  <c r="AF133" i="5" s="1"/>
  <c r="AE134" i="5"/>
  <c r="AF134" i="5" s="1"/>
  <c r="AE135" i="5"/>
  <c r="AF135" i="5" s="1"/>
  <c r="AE136" i="5"/>
  <c r="AF136" i="5" s="1"/>
  <c r="AE137" i="5"/>
  <c r="AF137" i="5" s="1"/>
  <c r="AE138" i="5"/>
  <c r="AF138" i="5" s="1"/>
  <c r="AE139" i="5"/>
  <c r="AF139" i="5" s="1"/>
  <c r="AE140" i="5"/>
  <c r="AF140" i="5" s="1"/>
  <c r="AE141" i="5"/>
  <c r="AF141" i="5"/>
  <c r="AH141" i="5" s="1"/>
  <c r="AG141" i="5"/>
  <c r="AE142" i="5"/>
  <c r="AF142" i="5" s="1"/>
  <c r="AE143" i="5"/>
  <c r="AF143" i="5" s="1"/>
  <c r="AE144" i="5"/>
  <c r="AF144" i="5" s="1"/>
  <c r="AE145" i="5"/>
  <c r="AF145" i="5" s="1"/>
  <c r="AE146" i="5"/>
  <c r="AF146" i="5" s="1"/>
  <c r="AE147" i="5"/>
  <c r="AF147" i="5"/>
  <c r="AG147" i="5" s="1"/>
  <c r="AE148" i="5"/>
  <c r="AF148" i="5" s="1"/>
  <c r="AE149" i="5"/>
  <c r="AF149" i="5" s="1"/>
  <c r="AE150" i="5"/>
  <c r="AF150" i="5"/>
  <c r="AH150" i="5" s="1"/>
  <c r="AG150" i="5"/>
  <c r="AE151" i="5"/>
  <c r="AF151" i="5" s="1"/>
  <c r="AE152" i="5"/>
  <c r="AF152" i="5" s="1"/>
  <c r="AE153" i="5"/>
  <c r="AF153" i="5" s="1"/>
  <c r="AE154" i="5"/>
  <c r="AF154" i="5" s="1"/>
  <c r="AE155" i="5"/>
  <c r="AF155" i="5" s="1"/>
  <c r="AE156" i="5"/>
  <c r="AF156" i="5"/>
  <c r="AG156" i="5" s="1"/>
  <c r="AE157" i="5"/>
  <c r="AF157" i="5" s="1"/>
  <c r="AE158" i="5"/>
  <c r="AF158" i="5" s="1"/>
  <c r="AE159" i="5"/>
  <c r="AF159" i="5"/>
  <c r="AH159" i="5" s="1"/>
  <c r="AG159" i="5"/>
  <c r="AE160" i="5"/>
  <c r="AF160" i="5" s="1"/>
  <c r="AE161" i="5"/>
  <c r="AF161" i="5" s="1"/>
  <c r="AE162" i="5"/>
  <c r="AF162" i="5" s="1"/>
  <c r="AE163" i="5"/>
  <c r="AF163" i="5" s="1"/>
  <c r="AE164" i="5"/>
  <c r="AF164" i="5" s="1"/>
  <c r="AE165" i="5"/>
  <c r="AF165" i="5" s="1"/>
  <c r="AE166" i="5"/>
  <c r="AF166" i="5" s="1"/>
  <c r="AE167" i="5"/>
  <c r="AF167" i="5" s="1"/>
  <c r="AE168" i="5"/>
  <c r="AF168" i="5"/>
  <c r="AH168" i="5" s="1"/>
  <c r="AG168" i="5"/>
  <c r="AE169" i="5"/>
  <c r="AF169" i="5" s="1"/>
  <c r="AE170" i="5"/>
  <c r="AF170" i="5" s="1"/>
  <c r="AE171" i="5"/>
  <c r="AF171" i="5" s="1"/>
  <c r="AE172" i="5"/>
  <c r="AF172" i="5" s="1"/>
  <c r="AE173" i="5"/>
  <c r="AF173" i="5" s="1"/>
  <c r="AE174" i="5"/>
  <c r="AF174" i="5" s="1"/>
  <c r="AE175" i="5"/>
  <c r="AF175" i="5" s="1"/>
  <c r="AE176" i="5"/>
  <c r="AF176" i="5" s="1"/>
  <c r="AE177" i="5"/>
  <c r="AF177" i="5"/>
  <c r="AH177" i="5" s="1"/>
  <c r="AG177" i="5"/>
  <c r="AE178" i="5"/>
  <c r="AF178" i="5" s="1"/>
  <c r="AE179" i="5"/>
  <c r="AF179" i="5" s="1"/>
  <c r="AE180" i="5"/>
  <c r="AF180" i="5" s="1"/>
  <c r="AE181" i="5"/>
  <c r="AF181" i="5" s="1"/>
  <c r="AE182" i="5"/>
  <c r="AF182" i="5" s="1"/>
  <c r="AE183" i="5"/>
  <c r="AF183" i="5"/>
  <c r="AG183" i="5" s="1"/>
  <c r="AE184" i="5"/>
  <c r="AF184" i="5" s="1"/>
  <c r="AE185" i="5"/>
  <c r="AF185" i="5" s="1"/>
  <c r="AE186" i="5"/>
  <c r="AF186" i="5"/>
  <c r="AH186" i="5" s="1"/>
  <c r="AG186" i="5"/>
  <c r="AE187" i="5"/>
  <c r="AF187" i="5" s="1"/>
  <c r="AE188" i="5"/>
  <c r="AF188" i="5" s="1"/>
  <c r="AE189" i="5"/>
  <c r="AF189" i="5" s="1"/>
  <c r="AE190" i="5"/>
  <c r="AF190" i="5" s="1"/>
  <c r="AE191" i="5"/>
  <c r="AF191" i="5" s="1"/>
  <c r="AE192" i="5"/>
  <c r="AF192" i="5"/>
  <c r="AH192" i="5" s="1"/>
  <c r="AG192" i="5"/>
  <c r="AE193" i="5"/>
  <c r="AF193" i="5" s="1"/>
  <c r="AE194" i="5"/>
  <c r="AF194" i="5" s="1"/>
  <c r="AE195" i="5"/>
  <c r="AF195" i="5"/>
  <c r="AH195" i="5" s="1"/>
  <c r="AG195" i="5"/>
  <c r="AE196" i="5"/>
  <c r="AF196" i="5" s="1"/>
  <c r="AE197" i="5"/>
  <c r="AF197" i="5" s="1"/>
  <c r="AE198" i="5"/>
  <c r="AF198" i="5" s="1"/>
  <c r="AE199" i="5"/>
  <c r="AF199" i="5" s="1"/>
  <c r="AE200" i="5"/>
  <c r="AF200" i="5" s="1"/>
  <c r="AE201" i="5"/>
  <c r="AF201" i="5"/>
  <c r="AH201" i="5" s="1"/>
  <c r="AG201" i="5"/>
  <c r="AE202" i="5"/>
  <c r="AF202" i="5" s="1"/>
  <c r="AE203" i="5"/>
  <c r="AF203" i="5" s="1"/>
  <c r="AE204" i="5"/>
  <c r="AF204" i="5"/>
  <c r="AH204" i="5" s="1"/>
  <c r="AG204" i="5"/>
  <c r="AE205" i="5"/>
  <c r="AF205" i="5" s="1"/>
  <c r="AE206" i="5"/>
  <c r="AF206" i="5" s="1"/>
  <c r="AE207" i="5"/>
  <c r="AF207" i="5" s="1"/>
  <c r="AE208" i="5"/>
  <c r="AF208" i="5" s="1"/>
  <c r="AE209" i="5"/>
  <c r="AF209" i="5" s="1"/>
  <c r="AE210" i="5"/>
  <c r="AF210" i="5"/>
  <c r="AH210" i="5" s="1"/>
  <c r="AG210" i="5"/>
  <c r="AE211" i="5"/>
  <c r="AF211" i="5" s="1"/>
  <c r="AE212" i="5"/>
  <c r="AF212" i="5" s="1"/>
  <c r="AE213" i="5"/>
  <c r="AF213" i="5"/>
  <c r="AH213" i="5" s="1"/>
  <c r="AG213" i="5"/>
  <c r="AE214" i="5"/>
  <c r="AF214" i="5" s="1"/>
  <c r="AE215" i="5"/>
  <c r="AF215" i="5" s="1"/>
  <c r="AE216" i="5"/>
  <c r="AF216" i="5" s="1"/>
  <c r="AE217" i="5"/>
  <c r="AF217" i="5" s="1"/>
  <c r="AE218" i="5"/>
  <c r="AF218" i="5" s="1"/>
  <c r="AE219" i="5"/>
  <c r="AF219" i="5" s="1"/>
  <c r="AE220" i="5"/>
  <c r="AF220" i="5" s="1"/>
  <c r="AE221" i="5"/>
  <c r="AF221" i="5" s="1"/>
  <c r="AE222" i="5"/>
  <c r="AF222" i="5"/>
  <c r="AH222" i="5" s="1"/>
  <c r="AG222" i="5"/>
  <c r="AE223" i="5"/>
  <c r="AF223" i="5" s="1"/>
  <c r="AE224" i="5"/>
  <c r="AF224" i="5" s="1"/>
  <c r="AE225" i="5"/>
  <c r="AF225" i="5" s="1"/>
  <c r="AE226" i="5"/>
  <c r="AF226" i="5" s="1"/>
  <c r="AE227" i="5"/>
  <c r="AF227" i="5" s="1"/>
  <c r="AE228" i="5"/>
  <c r="AF228" i="5" s="1"/>
  <c r="AE229" i="5"/>
  <c r="AF229" i="5" s="1"/>
  <c r="AE230" i="5"/>
  <c r="AF230" i="5" s="1"/>
  <c r="AE231" i="5"/>
  <c r="AF231" i="5"/>
  <c r="AH231" i="5" s="1"/>
  <c r="AG231" i="5"/>
  <c r="AE232" i="5"/>
  <c r="AF232" i="5" s="1"/>
  <c r="AE3" i="5"/>
  <c r="AF3" i="5" s="1"/>
  <c r="AU4" i="7"/>
  <c r="AV4" i="7" s="1"/>
  <c r="AU5" i="7"/>
  <c r="AV5" i="7"/>
  <c r="AX5" i="7" s="1"/>
  <c r="AW5" i="7"/>
  <c r="AU6" i="7"/>
  <c r="AV6" i="7"/>
  <c r="AW6" i="7" s="1"/>
  <c r="AU7" i="7"/>
  <c r="AV7" i="7"/>
  <c r="AW7" i="7" s="1"/>
  <c r="AX7" i="7"/>
  <c r="AU8" i="7"/>
  <c r="AV8" i="7" s="1"/>
  <c r="AU9" i="7"/>
  <c r="AV9" i="7"/>
  <c r="AW9" i="7" s="1"/>
  <c r="AU10" i="7"/>
  <c r="AV10" i="7" s="1"/>
  <c r="AU11" i="7"/>
  <c r="AV11" i="7"/>
  <c r="AW11" i="7" s="1"/>
  <c r="AU12" i="7"/>
  <c r="AV12" i="7"/>
  <c r="AX12" i="7" s="1"/>
  <c r="AW12" i="7"/>
  <c r="AU13" i="7"/>
  <c r="AV13" i="7" s="1"/>
  <c r="AU14" i="7"/>
  <c r="AV14" i="7"/>
  <c r="AX14" i="7" s="1"/>
  <c r="AW14" i="7"/>
  <c r="AU15" i="7"/>
  <c r="AV15" i="7" s="1"/>
  <c r="AU16" i="7"/>
  <c r="AV16" i="7"/>
  <c r="AW16" i="7" s="1"/>
  <c r="AX16" i="7"/>
  <c r="AU17" i="7"/>
  <c r="AV17" i="7" s="1"/>
  <c r="AU18" i="7"/>
  <c r="AV18" i="7"/>
  <c r="AW18" i="7" s="1"/>
  <c r="AU19" i="7"/>
  <c r="AV19" i="7" s="1"/>
  <c r="AU20" i="7"/>
  <c r="AV20" i="7"/>
  <c r="AW20" i="7" s="1"/>
  <c r="AU21" i="7"/>
  <c r="AV21" i="7"/>
  <c r="AX21" i="7" s="1"/>
  <c r="AW21" i="7"/>
  <c r="AU22" i="7"/>
  <c r="AV22" i="7" s="1"/>
  <c r="AU23" i="7"/>
  <c r="AV23" i="7" s="1"/>
  <c r="AU24" i="7"/>
  <c r="AV24" i="7" s="1"/>
  <c r="AU25" i="7"/>
  <c r="AV25" i="7"/>
  <c r="AW25" i="7" s="1"/>
  <c r="AX25" i="7"/>
  <c r="AU26" i="7"/>
  <c r="AV26" i="7" s="1"/>
  <c r="AU27" i="7"/>
  <c r="AV27" i="7"/>
  <c r="AX27" i="7" s="1"/>
  <c r="AW27" i="7"/>
  <c r="AU28" i="7"/>
  <c r="AV28" i="7" s="1"/>
  <c r="AU29" i="7"/>
  <c r="AV29" i="7"/>
  <c r="AW29" i="7" s="1"/>
  <c r="AU30" i="7"/>
  <c r="AV30" i="7"/>
  <c r="AX30" i="7" s="1"/>
  <c r="AW30" i="7"/>
  <c r="AU31" i="7"/>
  <c r="AV31" i="7" s="1"/>
  <c r="AU32" i="7"/>
  <c r="AV32" i="7" s="1"/>
  <c r="AU33" i="7"/>
  <c r="AV33" i="7" s="1"/>
  <c r="AU34" i="7"/>
  <c r="AV34" i="7"/>
  <c r="AW34" i="7" s="1"/>
  <c r="AX34" i="7"/>
  <c r="AU35" i="7"/>
  <c r="AV35" i="7" s="1"/>
  <c r="AU36" i="7"/>
  <c r="AV36" i="7"/>
  <c r="AX36" i="7" s="1"/>
  <c r="AW36" i="7"/>
  <c r="AU37" i="7"/>
  <c r="AV37" i="7" s="1"/>
  <c r="AU38" i="7"/>
  <c r="AV38" i="7"/>
  <c r="AW38" i="7" s="1"/>
  <c r="AU39" i="7"/>
  <c r="AV39" i="7"/>
  <c r="AX39" i="7" s="1"/>
  <c r="AW39" i="7"/>
  <c r="AU40" i="7"/>
  <c r="AV40" i="7" s="1"/>
  <c r="AU41" i="7"/>
  <c r="AV41" i="7" s="1"/>
  <c r="AU42" i="7"/>
  <c r="AV42" i="7" s="1"/>
  <c r="AU43" i="7"/>
  <c r="AV43" i="7"/>
  <c r="AW43" i="7" s="1"/>
  <c r="AX43" i="7"/>
  <c r="AU44" i="7"/>
  <c r="AV44" i="7" s="1"/>
  <c r="AU45" i="7"/>
  <c r="AV45" i="7"/>
  <c r="AX45" i="7" s="1"/>
  <c r="AW45" i="7"/>
  <c r="AU46" i="7"/>
  <c r="AV46" i="7" s="1"/>
  <c r="AU47" i="7"/>
  <c r="AV47" i="7"/>
  <c r="AW47" i="7" s="1"/>
  <c r="AU48" i="7"/>
  <c r="AV48" i="7"/>
  <c r="AX48" i="7" s="1"/>
  <c r="AW48" i="7"/>
  <c r="AU49" i="7"/>
  <c r="AV49" i="7" s="1"/>
  <c r="AU50" i="7"/>
  <c r="AV50" i="7" s="1"/>
  <c r="AU51" i="7"/>
  <c r="AV51" i="7" s="1"/>
  <c r="AU52" i="7"/>
  <c r="AV52" i="7"/>
  <c r="AW52" i="7" s="1"/>
  <c r="AX52" i="7"/>
  <c r="AU53" i="7"/>
  <c r="AV53" i="7" s="1"/>
  <c r="AU54" i="7"/>
  <c r="AV54" i="7" s="1"/>
  <c r="AU55" i="7"/>
  <c r="AV55" i="7" s="1"/>
  <c r="AU56" i="7"/>
  <c r="AV56" i="7" s="1"/>
  <c r="AU57" i="7"/>
  <c r="AV57" i="7"/>
  <c r="AX57" i="7" s="1"/>
  <c r="AW57" i="7"/>
  <c r="AU58" i="7"/>
  <c r="AV58" i="7" s="1"/>
  <c r="AU59" i="7"/>
  <c r="AV59" i="7" s="1"/>
  <c r="AU60" i="7"/>
  <c r="AV60" i="7" s="1"/>
  <c r="AU61" i="7"/>
  <c r="AV61" i="7" s="1"/>
  <c r="AU62" i="7"/>
  <c r="AV62" i="7" s="1"/>
  <c r="AU63" i="7"/>
  <c r="AV63" i="7" s="1"/>
  <c r="AU64" i="7"/>
  <c r="AV64" i="7" s="1"/>
  <c r="AU65" i="7"/>
  <c r="AV65" i="7" s="1"/>
  <c r="AU66" i="7"/>
  <c r="AV66" i="7" s="1"/>
  <c r="AU67" i="7"/>
  <c r="AV67" i="7" s="1"/>
  <c r="AU68" i="7"/>
  <c r="AV68" i="7" s="1"/>
  <c r="AU69" i="7"/>
  <c r="AV69" i="7" s="1"/>
  <c r="AU70" i="7"/>
  <c r="AV70" i="7" s="1"/>
  <c r="AU71" i="7"/>
  <c r="AV71" i="7" s="1"/>
  <c r="AU72" i="7"/>
  <c r="AV72" i="7" s="1"/>
  <c r="AU73" i="7"/>
  <c r="AV73" i="7" s="1"/>
  <c r="AU74" i="7"/>
  <c r="AV74" i="7" s="1"/>
  <c r="AU75" i="7"/>
  <c r="AV75" i="7" s="1"/>
  <c r="AU76" i="7"/>
  <c r="AV76" i="7" s="1"/>
  <c r="AU77" i="7"/>
  <c r="AV77" i="7" s="1"/>
  <c r="AU78" i="7"/>
  <c r="AV78" i="7" s="1"/>
  <c r="AU79" i="7"/>
  <c r="AV79" i="7" s="1"/>
  <c r="AU80" i="7"/>
  <c r="AV80" i="7" s="1"/>
  <c r="AU81" i="7"/>
  <c r="AV81" i="7" s="1"/>
  <c r="AU82" i="7"/>
  <c r="AV82" i="7" s="1"/>
  <c r="AU83" i="7"/>
  <c r="AV83" i="7" s="1"/>
  <c r="AU84" i="7"/>
  <c r="AV84" i="7" s="1"/>
  <c r="AU85" i="7"/>
  <c r="AV85" i="7" s="1"/>
  <c r="AU86" i="7"/>
  <c r="AV86" i="7" s="1"/>
  <c r="AU87" i="7"/>
  <c r="AV87" i="7" s="1"/>
  <c r="AU88" i="7"/>
  <c r="AV88" i="7" s="1"/>
  <c r="AU89" i="7"/>
  <c r="AV89" i="7" s="1"/>
  <c r="AU90" i="7"/>
  <c r="AV90" i="7" s="1"/>
  <c r="AU91" i="7"/>
  <c r="AV91" i="7" s="1"/>
  <c r="AU92" i="7"/>
  <c r="AV92" i="7" s="1"/>
  <c r="AU93" i="7"/>
  <c r="AV93" i="7" s="1"/>
  <c r="AU94" i="7"/>
  <c r="AV94" i="7" s="1"/>
  <c r="AU95" i="7"/>
  <c r="AV95" i="7" s="1"/>
  <c r="AU96" i="7"/>
  <c r="AV96" i="7" s="1"/>
  <c r="AU97" i="7"/>
  <c r="AV97" i="7" s="1"/>
  <c r="AU98" i="7"/>
  <c r="AV98" i="7" s="1"/>
  <c r="AU99" i="7"/>
  <c r="AV99" i="7" s="1"/>
  <c r="AU100" i="7"/>
  <c r="AV100" i="7" s="1"/>
  <c r="AU101" i="7"/>
  <c r="AV101" i="7" s="1"/>
  <c r="AU102" i="7"/>
  <c r="AV102" i="7" s="1"/>
  <c r="AU103" i="7"/>
  <c r="AV103" i="7" s="1"/>
  <c r="AU104" i="7"/>
  <c r="AV104" i="7" s="1"/>
  <c r="AU105" i="7"/>
  <c r="AV105" i="7" s="1"/>
  <c r="AU106" i="7"/>
  <c r="AV106" i="7" s="1"/>
  <c r="AU107" i="7"/>
  <c r="AV107" i="7" s="1"/>
  <c r="AU108" i="7"/>
  <c r="AV108" i="7" s="1"/>
  <c r="AU109" i="7"/>
  <c r="AV109" i="7" s="1"/>
  <c r="AU110" i="7"/>
  <c r="AV110" i="7" s="1"/>
  <c r="AU111" i="7"/>
  <c r="AV111" i="7" s="1"/>
  <c r="AU112" i="7"/>
  <c r="AV112" i="7" s="1"/>
  <c r="AU113" i="7"/>
  <c r="AV113" i="7" s="1"/>
  <c r="AU114" i="7"/>
  <c r="AV114" i="7" s="1"/>
  <c r="AU115" i="7"/>
  <c r="AV115" i="7" s="1"/>
  <c r="AU116" i="7"/>
  <c r="AV116" i="7" s="1"/>
  <c r="AU117" i="7"/>
  <c r="AV117" i="7" s="1"/>
  <c r="AU118" i="7"/>
  <c r="AV118" i="7" s="1"/>
  <c r="AU119" i="7"/>
  <c r="AV119" i="7" s="1"/>
  <c r="AU120" i="7"/>
  <c r="AV120" i="7" s="1"/>
  <c r="AU121" i="7"/>
  <c r="AV121" i="7" s="1"/>
  <c r="AU122" i="7"/>
  <c r="AV122" i="7" s="1"/>
  <c r="AU123" i="7"/>
  <c r="AV123" i="7" s="1"/>
  <c r="AU124" i="7"/>
  <c r="AV124" i="7" s="1"/>
  <c r="AU125" i="7"/>
  <c r="AV125" i="7" s="1"/>
  <c r="AU126" i="7"/>
  <c r="AV126" i="7" s="1"/>
  <c r="AU127" i="7"/>
  <c r="AV127" i="7" s="1"/>
  <c r="AU128" i="7"/>
  <c r="AV128" i="7" s="1"/>
  <c r="AU129" i="7"/>
  <c r="AV129" i="7" s="1"/>
  <c r="AU130" i="7"/>
  <c r="AV130" i="7" s="1"/>
  <c r="AU131" i="7"/>
  <c r="AV131" i="7" s="1"/>
  <c r="AU132" i="7"/>
  <c r="AV132" i="7" s="1"/>
  <c r="AU133" i="7"/>
  <c r="AV133" i="7" s="1"/>
  <c r="AU134" i="7"/>
  <c r="AV134" i="7" s="1"/>
  <c r="AU135" i="7"/>
  <c r="AV135" i="7" s="1"/>
  <c r="AU136" i="7"/>
  <c r="AV136" i="7" s="1"/>
  <c r="AU137" i="7"/>
  <c r="AV137" i="7" s="1"/>
  <c r="AU138" i="7"/>
  <c r="AV138" i="7" s="1"/>
  <c r="AU139" i="7"/>
  <c r="AV139" i="7" s="1"/>
  <c r="AU140" i="7"/>
  <c r="AV140" i="7" s="1"/>
  <c r="AU141" i="7"/>
  <c r="AV141" i="7" s="1"/>
  <c r="AU142" i="7"/>
  <c r="AV142" i="7" s="1"/>
  <c r="AU143" i="7"/>
  <c r="AV143" i="7" s="1"/>
  <c r="AU144" i="7"/>
  <c r="AV144" i="7" s="1"/>
  <c r="AU145" i="7"/>
  <c r="AV145" i="7" s="1"/>
  <c r="AU146" i="7"/>
  <c r="AV146" i="7" s="1"/>
  <c r="AU147" i="7"/>
  <c r="AV147" i="7" s="1"/>
  <c r="AU148" i="7"/>
  <c r="AV148" i="7" s="1"/>
  <c r="AU149" i="7"/>
  <c r="AV149" i="7" s="1"/>
  <c r="AU150" i="7"/>
  <c r="AV150" i="7" s="1"/>
  <c r="AU151" i="7"/>
  <c r="AV151" i="7" s="1"/>
  <c r="AU152" i="7"/>
  <c r="AV152" i="7" s="1"/>
  <c r="AU153" i="7"/>
  <c r="AV153" i="7" s="1"/>
  <c r="AU154" i="7"/>
  <c r="AV154" i="7" s="1"/>
  <c r="AU155" i="7"/>
  <c r="AV155" i="7" s="1"/>
  <c r="AU156" i="7"/>
  <c r="AV156" i="7" s="1"/>
  <c r="AU157" i="7"/>
  <c r="AV157" i="7" s="1"/>
  <c r="AU158" i="7"/>
  <c r="AV158" i="7" s="1"/>
  <c r="AU159" i="7"/>
  <c r="AV159" i="7" s="1"/>
  <c r="AU160" i="7"/>
  <c r="AV160" i="7" s="1"/>
  <c r="AU161" i="7"/>
  <c r="AV161" i="7" s="1"/>
  <c r="AU162" i="7"/>
  <c r="AV162" i="7" s="1"/>
  <c r="AU163" i="7"/>
  <c r="AV163" i="7" s="1"/>
  <c r="AU164" i="7"/>
  <c r="AV164" i="7" s="1"/>
  <c r="AU165" i="7"/>
  <c r="AV165" i="7" s="1"/>
  <c r="AU166" i="7"/>
  <c r="AV166" i="7" s="1"/>
  <c r="AU167" i="7"/>
  <c r="AV167" i="7" s="1"/>
  <c r="AU168" i="7"/>
  <c r="AV168" i="7" s="1"/>
  <c r="AU169" i="7"/>
  <c r="AV169" i="7" s="1"/>
  <c r="AU170" i="7"/>
  <c r="AV170" i="7" s="1"/>
  <c r="AU171" i="7"/>
  <c r="AV171" i="7" s="1"/>
  <c r="AU172" i="7"/>
  <c r="AV172" i="7" s="1"/>
  <c r="AU173" i="7"/>
  <c r="AV173" i="7" s="1"/>
  <c r="AU174" i="7"/>
  <c r="AV174" i="7" s="1"/>
  <c r="AU175" i="7"/>
  <c r="AV175" i="7" s="1"/>
  <c r="AU176" i="7"/>
  <c r="AV176" i="7" s="1"/>
  <c r="AU177" i="7"/>
  <c r="AV177" i="7" s="1"/>
  <c r="AU178" i="7"/>
  <c r="AV178" i="7" s="1"/>
  <c r="AU179" i="7"/>
  <c r="AV179" i="7" s="1"/>
  <c r="AU180" i="7"/>
  <c r="AV180" i="7" s="1"/>
  <c r="AU181" i="7"/>
  <c r="AV181" i="7" s="1"/>
  <c r="AU182" i="7"/>
  <c r="AV182" i="7" s="1"/>
  <c r="AU183" i="7"/>
  <c r="AV183" i="7" s="1"/>
  <c r="AU184" i="7"/>
  <c r="AV184" i="7" s="1"/>
  <c r="AU185" i="7"/>
  <c r="AV185" i="7" s="1"/>
  <c r="AU186" i="7"/>
  <c r="AV186" i="7" s="1"/>
  <c r="AU187" i="7"/>
  <c r="AV187" i="7" s="1"/>
  <c r="AU188" i="7"/>
  <c r="AV188" i="7" s="1"/>
  <c r="AU189" i="7"/>
  <c r="AV189" i="7" s="1"/>
  <c r="AU190" i="7"/>
  <c r="AV190" i="7" s="1"/>
  <c r="AU191" i="7"/>
  <c r="AV191" i="7" s="1"/>
  <c r="AU192" i="7"/>
  <c r="AV192" i="7" s="1"/>
  <c r="AU193" i="7"/>
  <c r="AV193" i="7" s="1"/>
  <c r="AU194" i="7"/>
  <c r="AV194" i="7" s="1"/>
  <c r="AU195" i="7"/>
  <c r="AV195" i="7" s="1"/>
  <c r="AU196" i="7"/>
  <c r="AV196" i="7" s="1"/>
  <c r="AU197" i="7"/>
  <c r="AV197" i="7" s="1"/>
  <c r="AU198" i="7"/>
  <c r="AV198" i="7" s="1"/>
  <c r="AU199" i="7"/>
  <c r="AV199" i="7" s="1"/>
  <c r="AU200" i="7"/>
  <c r="AV200" i="7" s="1"/>
  <c r="AU201" i="7"/>
  <c r="AV201" i="7" s="1"/>
  <c r="AU202" i="7"/>
  <c r="AV202" i="7" s="1"/>
  <c r="AU203" i="7"/>
  <c r="AV203" i="7" s="1"/>
  <c r="AU204" i="7"/>
  <c r="AV204" i="7" s="1"/>
  <c r="AU205" i="7"/>
  <c r="AV205" i="7" s="1"/>
  <c r="AU206" i="7"/>
  <c r="AV206" i="7" s="1"/>
  <c r="AU207" i="7"/>
  <c r="AV207" i="7" s="1"/>
  <c r="AU208" i="7"/>
  <c r="AV208" i="7" s="1"/>
  <c r="AU209" i="7"/>
  <c r="AV209" i="7" s="1"/>
  <c r="AU210" i="7"/>
  <c r="AV210" i="7" s="1"/>
  <c r="AU211" i="7"/>
  <c r="AV211" i="7" s="1"/>
  <c r="AU212" i="7"/>
  <c r="AV212" i="7" s="1"/>
  <c r="AU213" i="7"/>
  <c r="AV213" i="7" s="1"/>
  <c r="AU214" i="7"/>
  <c r="AV214" i="7" s="1"/>
  <c r="AU215" i="7"/>
  <c r="AV215" i="7" s="1"/>
  <c r="AU216" i="7"/>
  <c r="AV216" i="7" s="1"/>
  <c r="AU217" i="7"/>
  <c r="AV217" i="7" s="1"/>
  <c r="AU218" i="7"/>
  <c r="AV218" i="7" s="1"/>
  <c r="AU219" i="7"/>
  <c r="AV219" i="7" s="1"/>
  <c r="AU220" i="7"/>
  <c r="AV220" i="7" s="1"/>
  <c r="AU221" i="7"/>
  <c r="AV221" i="7" s="1"/>
  <c r="AU222" i="7"/>
  <c r="AV222" i="7" s="1"/>
  <c r="AU223" i="7"/>
  <c r="AV223" i="7" s="1"/>
  <c r="AU224" i="7"/>
  <c r="AV224" i="7" s="1"/>
  <c r="AU225" i="7"/>
  <c r="AV225" i="7" s="1"/>
  <c r="AU226" i="7"/>
  <c r="AV226" i="7" s="1"/>
  <c r="AU227" i="7"/>
  <c r="AV227" i="7" s="1"/>
  <c r="AU228" i="7"/>
  <c r="AV228" i="7" s="1"/>
  <c r="AU229" i="7"/>
  <c r="AV229" i="7" s="1"/>
  <c r="AU230" i="7"/>
  <c r="AV230" i="7" s="1"/>
  <c r="AU231" i="7"/>
  <c r="AV231" i="7" s="1"/>
  <c r="AU232" i="7"/>
  <c r="AV232" i="7" s="1"/>
  <c r="AU3" i="7"/>
  <c r="AQ4" i="7"/>
  <c r="AR4" i="7" s="1"/>
  <c r="AQ5" i="7"/>
  <c r="AR5" i="7" s="1"/>
  <c r="AQ6" i="7"/>
  <c r="AR6" i="7" s="1"/>
  <c r="AQ7" i="7"/>
  <c r="AR7" i="7"/>
  <c r="AS7" i="7" s="1"/>
  <c r="AT7" i="7"/>
  <c r="AQ8" i="7"/>
  <c r="AR8" i="7" s="1"/>
  <c r="AQ9" i="7"/>
  <c r="AR9" i="7" s="1"/>
  <c r="AQ10" i="7"/>
  <c r="AR10" i="7" s="1"/>
  <c r="AQ11" i="7"/>
  <c r="AR11" i="7" s="1"/>
  <c r="AQ12" i="7"/>
  <c r="AR12" i="7"/>
  <c r="AT12" i="7" s="1"/>
  <c r="AS12" i="7"/>
  <c r="AQ13" i="7"/>
  <c r="AR13" i="7" s="1"/>
  <c r="AQ14" i="7"/>
  <c r="AR14" i="7" s="1"/>
  <c r="AQ15" i="7"/>
  <c r="AR15" i="7" s="1"/>
  <c r="AQ16" i="7"/>
  <c r="AR16" i="7"/>
  <c r="AS16" i="7" s="1"/>
  <c r="AT16" i="7"/>
  <c r="AQ17" i="7"/>
  <c r="AR17" i="7" s="1"/>
  <c r="AQ18" i="7"/>
  <c r="AR18" i="7" s="1"/>
  <c r="AQ19" i="7"/>
  <c r="AR19" i="7" s="1"/>
  <c r="AQ20" i="7"/>
  <c r="AR20" i="7" s="1"/>
  <c r="AQ21" i="7"/>
  <c r="AR21" i="7"/>
  <c r="AT21" i="7" s="1"/>
  <c r="AS21" i="7"/>
  <c r="AQ22" i="7"/>
  <c r="AR22" i="7" s="1"/>
  <c r="AQ23" i="7"/>
  <c r="AR23" i="7" s="1"/>
  <c r="AQ24" i="7"/>
  <c r="AR24" i="7" s="1"/>
  <c r="AQ25" i="7"/>
  <c r="AR25" i="7"/>
  <c r="AS25" i="7" s="1"/>
  <c r="AT25" i="7"/>
  <c r="AQ26" i="7"/>
  <c r="AR26" i="7" s="1"/>
  <c r="AQ27" i="7"/>
  <c r="AR27" i="7" s="1"/>
  <c r="AQ28" i="7"/>
  <c r="AR28" i="7" s="1"/>
  <c r="AQ29" i="7"/>
  <c r="AR29" i="7" s="1"/>
  <c r="AQ30" i="7"/>
  <c r="AR30" i="7"/>
  <c r="AT30" i="7" s="1"/>
  <c r="AS30" i="7"/>
  <c r="AQ31" i="7"/>
  <c r="AR31" i="7" s="1"/>
  <c r="AQ32" i="7"/>
  <c r="AR32" i="7" s="1"/>
  <c r="AQ33" i="7"/>
  <c r="AR33" i="7" s="1"/>
  <c r="AQ34" i="7"/>
  <c r="AR34" i="7" s="1"/>
  <c r="AQ35" i="7"/>
  <c r="AR35" i="7" s="1"/>
  <c r="AQ36" i="7"/>
  <c r="AR36" i="7" s="1"/>
  <c r="AQ37" i="7"/>
  <c r="AR37" i="7" s="1"/>
  <c r="AQ38" i="7"/>
  <c r="AR38" i="7" s="1"/>
  <c r="AQ39" i="7"/>
  <c r="AR39" i="7"/>
  <c r="AT39" i="7" s="1"/>
  <c r="AS39" i="7"/>
  <c r="AQ40" i="7"/>
  <c r="AR40" i="7" s="1"/>
  <c r="AQ41" i="7"/>
  <c r="AR41" i="7" s="1"/>
  <c r="AQ42" i="7"/>
  <c r="AR42" i="7" s="1"/>
  <c r="AQ43" i="7"/>
  <c r="AR43" i="7"/>
  <c r="AS43" i="7" s="1"/>
  <c r="AT43" i="7"/>
  <c r="AQ44" i="7"/>
  <c r="AR44" i="7" s="1"/>
  <c r="AQ45" i="7"/>
  <c r="AR45" i="7" s="1"/>
  <c r="AQ46" i="7"/>
  <c r="AR46" i="7" s="1"/>
  <c r="AQ47" i="7"/>
  <c r="AR47" i="7" s="1"/>
  <c r="AQ48" i="7"/>
  <c r="AR48" i="7"/>
  <c r="AT48" i="7" s="1"/>
  <c r="AS48" i="7"/>
  <c r="AQ49" i="7"/>
  <c r="AR49" i="7" s="1"/>
  <c r="AQ50" i="7"/>
  <c r="AR50" i="7" s="1"/>
  <c r="AQ51" i="7"/>
  <c r="AR51" i="7" s="1"/>
  <c r="AQ52" i="7"/>
  <c r="AR52" i="7"/>
  <c r="AS52" i="7" s="1"/>
  <c r="AT52" i="7"/>
  <c r="AQ53" i="7"/>
  <c r="AR53" i="7" s="1"/>
  <c r="AQ54" i="7"/>
  <c r="AR54" i="7" s="1"/>
  <c r="AQ55" i="7"/>
  <c r="AR55" i="7" s="1"/>
  <c r="AQ56" i="7"/>
  <c r="AR56" i="7" s="1"/>
  <c r="AQ57" i="7"/>
  <c r="AR57" i="7"/>
  <c r="AT57" i="7" s="1"/>
  <c r="AS57" i="7"/>
  <c r="AQ58" i="7"/>
  <c r="AR58" i="7" s="1"/>
  <c r="AQ59" i="7"/>
  <c r="AR59" i="7" s="1"/>
  <c r="AQ60" i="7"/>
  <c r="AR60" i="7" s="1"/>
  <c r="AQ61" i="7"/>
  <c r="AR61" i="7"/>
  <c r="AS61" i="7" s="1"/>
  <c r="AT61" i="7"/>
  <c r="AQ62" i="7"/>
  <c r="AR62" i="7" s="1"/>
  <c r="AQ63" i="7"/>
  <c r="AR63" i="7" s="1"/>
  <c r="AQ64" i="7"/>
  <c r="AR64" i="7" s="1"/>
  <c r="AQ65" i="7"/>
  <c r="AR65" i="7" s="1"/>
  <c r="AQ66" i="7"/>
  <c r="AR66" i="7"/>
  <c r="AT66" i="7" s="1"/>
  <c r="AS66" i="7"/>
  <c r="AQ67" i="7"/>
  <c r="AR67" i="7" s="1"/>
  <c r="AQ68" i="7"/>
  <c r="AR68" i="7" s="1"/>
  <c r="AQ69" i="7"/>
  <c r="AR69" i="7" s="1"/>
  <c r="AQ70" i="7"/>
  <c r="AR70" i="7"/>
  <c r="AS70" i="7" s="1"/>
  <c r="AT70" i="7"/>
  <c r="AQ71" i="7"/>
  <c r="AR71" i="7" s="1"/>
  <c r="AQ72" i="7"/>
  <c r="AR72" i="7" s="1"/>
  <c r="AQ73" i="7"/>
  <c r="AR73" i="7" s="1"/>
  <c r="AQ74" i="7"/>
  <c r="AR74" i="7" s="1"/>
  <c r="AQ75" i="7"/>
  <c r="AR75" i="7"/>
  <c r="AT75" i="7" s="1"/>
  <c r="AS75" i="7"/>
  <c r="AQ76" i="7"/>
  <c r="AR76" i="7" s="1"/>
  <c r="AQ77" i="7"/>
  <c r="AR77" i="7" s="1"/>
  <c r="AQ78" i="7"/>
  <c r="AR78" i="7" s="1"/>
  <c r="AQ79" i="7"/>
  <c r="AR79" i="7"/>
  <c r="AS79" i="7" s="1"/>
  <c r="AT79" i="7"/>
  <c r="AQ80" i="7"/>
  <c r="AR80" i="7" s="1"/>
  <c r="AQ81" i="7"/>
  <c r="AR81" i="7" s="1"/>
  <c r="AQ82" i="7"/>
  <c r="AR82" i="7" s="1"/>
  <c r="AQ83" i="7"/>
  <c r="AR83" i="7" s="1"/>
  <c r="AQ84" i="7"/>
  <c r="AR84" i="7"/>
  <c r="AT84" i="7" s="1"/>
  <c r="AS84" i="7"/>
  <c r="AQ85" i="7"/>
  <c r="AR85" i="7" s="1"/>
  <c r="AQ86" i="7"/>
  <c r="AR86" i="7" s="1"/>
  <c r="AQ87" i="7"/>
  <c r="AR87" i="7" s="1"/>
  <c r="AQ88" i="7"/>
  <c r="AR88" i="7"/>
  <c r="AS88" i="7" s="1"/>
  <c r="AT88" i="7"/>
  <c r="AQ89" i="7"/>
  <c r="AR89" i="7" s="1"/>
  <c r="AQ90" i="7"/>
  <c r="AR90" i="7" s="1"/>
  <c r="AQ91" i="7"/>
  <c r="AR91" i="7" s="1"/>
  <c r="AQ92" i="7"/>
  <c r="AR92" i="7" s="1"/>
  <c r="AQ93" i="7"/>
  <c r="AR93" i="7"/>
  <c r="AT93" i="7" s="1"/>
  <c r="AS93" i="7"/>
  <c r="AQ94" i="7"/>
  <c r="AR94" i="7" s="1"/>
  <c r="AQ95" i="7"/>
  <c r="AR95" i="7" s="1"/>
  <c r="AQ96" i="7"/>
  <c r="AR96" i="7" s="1"/>
  <c r="AQ97" i="7"/>
  <c r="AR97" i="7"/>
  <c r="AS97" i="7" s="1"/>
  <c r="AT97" i="7"/>
  <c r="AQ98" i="7"/>
  <c r="AR98" i="7" s="1"/>
  <c r="AQ99" i="7"/>
  <c r="AR99" i="7" s="1"/>
  <c r="AQ100" i="7"/>
  <c r="AR100" i="7" s="1"/>
  <c r="AQ101" i="7"/>
  <c r="AR101" i="7" s="1"/>
  <c r="AQ102" i="7"/>
  <c r="AR102" i="7"/>
  <c r="AT102" i="7" s="1"/>
  <c r="AS102" i="7"/>
  <c r="AQ103" i="7"/>
  <c r="AR103" i="7" s="1"/>
  <c r="AQ104" i="7"/>
  <c r="AR104" i="7" s="1"/>
  <c r="AQ105" i="7"/>
  <c r="AR105" i="7" s="1"/>
  <c r="AQ106" i="7"/>
  <c r="AR106" i="7"/>
  <c r="AS106" i="7" s="1"/>
  <c r="AT106" i="7"/>
  <c r="AQ107" i="7"/>
  <c r="AR107" i="7" s="1"/>
  <c r="AQ108" i="7"/>
  <c r="AR108" i="7" s="1"/>
  <c r="AQ109" i="7"/>
  <c r="AR109" i="7" s="1"/>
  <c r="AQ110" i="7"/>
  <c r="AR110" i="7" s="1"/>
  <c r="AQ111" i="7"/>
  <c r="AR111" i="7"/>
  <c r="AT111" i="7" s="1"/>
  <c r="AS111" i="7"/>
  <c r="AQ112" i="7"/>
  <c r="AR112" i="7" s="1"/>
  <c r="AQ113" i="7"/>
  <c r="AR113" i="7" s="1"/>
  <c r="AQ114" i="7"/>
  <c r="AR114" i="7" s="1"/>
  <c r="AQ115" i="7"/>
  <c r="AR115" i="7"/>
  <c r="AS115" i="7" s="1"/>
  <c r="AT115" i="7"/>
  <c r="AQ116" i="7"/>
  <c r="AR116" i="7" s="1"/>
  <c r="AQ117" i="7"/>
  <c r="AR117" i="7" s="1"/>
  <c r="AQ118" i="7"/>
  <c r="AR118" i="7" s="1"/>
  <c r="AQ119" i="7"/>
  <c r="AR119" i="7" s="1"/>
  <c r="AQ120" i="7"/>
  <c r="AR120" i="7"/>
  <c r="AT120" i="7" s="1"/>
  <c r="AS120" i="7"/>
  <c r="AQ121" i="7"/>
  <c r="AR121" i="7" s="1"/>
  <c r="AQ122" i="7"/>
  <c r="AR122" i="7" s="1"/>
  <c r="AQ123" i="7"/>
  <c r="AR123" i="7" s="1"/>
  <c r="AQ124" i="7"/>
  <c r="AR124" i="7"/>
  <c r="AS124" i="7" s="1"/>
  <c r="AT124" i="7"/>
  <c r="AQ125" i="7"/>
  <c r="AR125" i="7" s="1"/>
  <c r="AQ126" i="7"/>
  <c r="AR126" i="7" s="1"/>
  <c r="AQ127" i="7"/>
  <c r="AR127" i="7" s="1"/>
  <c r="AQ128" i="7"/>
  <c r="AR128" i="7" s="1"/>
  <c r="AQ129" i="7"/>
  <c r="AR129" i="7"/>
  <c r="AT129" i="7" s="1"/>
  <c r="AS129" i="7"/>
  <c r="AQ130" i="7"/>
  <c r="AR130" i="7" s="1"/>
  <c r="AQ131" i="7"/>
  <c r="AR131" i="7" s="1"/>
  <c r="AQ132" i="7"/>
  <c r="AR132" i="7" s="1"/>
  <c r="AQ133" i="7"/>
  <c r="AR133" i="7"/>
  <c r="AS133" i="7" s="1"/>
  <c r="AT133" i="7"/>
  <c r="AQ134" i="7"/>
  <c r="AR134" i="7" s="1"/>
  <c r="AQ135" i="7"/>
  <c r="AR135" i="7" s="1"/>
  <c r="AQ136" i="7"/>
  <c r="AR136" i="7" s="1"/>
  <c r="AQ137" i="7"/>
  <c r="AR137" i="7" s="1"/>
  <c r="AQ138" i="7"/>
  <c r="AR138" i="7"/>
  <c r="AT138" i="7" s="1"/>
  <c r="AS138" i="7"/>
  <c r="AQ139" i="7"/>
  <c r="AR139" i="7" s="1"/>
  <c r="AQ140" i="7"/>
  <c r="AR140" i="7" s="1"/>
  <c r="AQ141" i="7"/>
  <c r="AR141" i="7" s="1"/>
  <c r="AQ142" i="7"/>
  <c r="AR142" i="7"/>
  <c r="AS142" i="7" s="1"/>
  <c r="AT142" i="7"/>
  <c r="AQ143" i="7"/>
  <c r="AR143" i="7" s="1"/>
  <c r="AQ144" i="7"/>
  <c r="AR144" i="7" s="1"/>
  <c r="AQ145" i="7"/>
  <c r="AR145" i="7" s="1"/>
  <c r="AQ146" i="7"/>
  <c r="AR146" i="7" s="1"/>
  <c r="AQ147" i="7"/>
  <c r="AR147" i="7"/>
  <c r="AT147" i="7" s="1"/>
  <c r="AS147" i="7"/>
  <c r="AQ148" i="7"/>
  <c r="AR148" i="7" s="1"/>
  <c r="AQ149" i="7"/>
  <c r="AR149" i="7" s="1"/>
  <c r="AQ150" i="7"/>
  <c r="AR150" i="7" s="1"/>
  <c r="AQ151" i="7"/>
  <c r="AR151" i="7"/>
  <c r="AS151" i="7" s="1"/>
  <c r="AT151" i="7"/>
  <c r="AQ152" i="7"/>
  <c r="AR152" i="7" s="1"/>
  <c r="AQ153" i="7"/>
  <c r="AR153" i="7" s="1"/>
  <c r="AQ154" i="7"/>
  <c r="AR154" i="7" s="1"/>
  <c r="AQ155" i="7"/>
  <c r="AR155" i="7" s="1"/>
  <c r="AQ156" i="7"/>
  <c r="AR156" i="7"/>
  <c r="AT156" i="7" s="1"/>
  <c r="AS156" i="7"/>
  <c r="AQ157" i="7"/>
  <c r="AR157" i="7" s="1"/>
  <c r="AQ158" i="7"/>
  <c r="AR158" i="7" s="1"/>
  <c r="AQ159" i="7"/>
  <c r="AR159" i="7" s="1"/>
  <c r="AQ160" i="7"/>
  <c r="AR160" i="7"/>
  <c r="AS160" i="7" s="1"/>
  <c r="AT160" i="7"/>
  <c r="AQ161" i="7"/>
  <c r="AR161" i="7" s="1"/>
  <c r="AQ162" i="7"/>
  <c r="AR162" i="7" s="1"/>
  <c r="AQ163" i="7"/>
  <c r="AR163" i="7" s="1"/>
  <c r="AQ164" i="7"/>
  <c r="AR164" i="7" s="1"/>
  <c r="AQ165" i="7"/>
  <c r="AR165" i="7"/>
  <c r="AT165" i="7" s="1"/>
  <c r="AS165" i="7"/>
  <c r="AQ166" i="7"/>
  <c r="AR166" i="7" s="1"/>
  <c r="AQ167" i="7"/>
  <c r="AR167" i="7" s="1"/>
  <c r="AQ168" i="7"/>
  <c r="AR168" i="7" s="1"/>
  <c r="AQ169" i="7"/>
  <c r="AR169" i="7"/>
  <c r="AS169" i="7" s="1"/>
  <c r="AT169" i="7"/>
  <c r="AQ170" i="7"/>
  <c r="AR170" i="7" s="1"/>
  <c r="AQ171" i="7"/>
  <c r="AR171" i="7" s="1"/>
  <c r="AQ172" i="7"/>
  <c r="AR172" i="7" s="1"/>
  <c r="AQ173" i="7"/>
  <c r="AR173" i="7" s="1"/>
  <c r="AQ174" i="7"/>
  <c r="AR174" i="7"/>
  <c r="AT174" i="7" s="1"/>
  <c r="AS174" i="7"/>
  <c r="AQ175" i="7"/>
  <c r="AR175" i="7" s="1"/>
  <c r="AQ176" i="7"/>
  <c r="AR176" i="7" s="1"/>
  <c r="AQ177" i="7"/>
  <c r="AR177" i="7" s="1"/>
  <c r="AQ178" i="7"/>
  <c r="AR178" i="7"/>
  <c r="AS178" i="7" s="1"/>
  <c r="AT178" i="7"/>
  <c r="AQ179" i="7"/>
  <c r="AR179" i="7" s="1"/>
  <c r="AQ180" i="7"/>
  <c r="AR180" i="7" s="1"/>
  <c r="AQ181" i="7"/>
  <c r="AR181" i="7" s="1"/>
  <c r="AQ182" i="7"/>
  <c r="AR182" i="7" s="1"/>
  <c r="AQ183" i="7"/>
  <c r="AR183" i="7"/>
  <c r="AT183" i="7" s="1"/>
  <c r="AS183" i="7"/>
  <c r="AQ184" i="7"/>
  <c r="AR184" i="7" s="1"/>
  <c r="AQ185" i="7"/>
  <c r="AR185" i="7" s="1"/>
  <c r="AQ186" i="7"/>
  <c r="AR186" i="7" s="1"/>
  <c r="AQ187" i="7"/>
  <c r="AR187" i="7"/>
  <c r="AS187" i="7"/>
  <c r="AT187" i="7"/>
  <c r="AQ188" i="7"/>
  <c r="AR188" i="7" s="1"/>
  <c r="AQ189" i="7"/>
  <c r="AR189" i="7" s="1"/>
  <c r="AQ190" i="7"/>
  <c r="AR190" i="7" s="1"/>
  <c r="AQ191" i="7"/>
  <c r="AR191" i="7" s="1"/>
  <c r="AQ192" i="7"/>
  <c r="AR192" i="7"/>
  <c r="AT192" i="7" s="1"/>
  <c r="AS192" i="7"/>
  <c r="AQ193" i="7"/>
  <c r="AR193" i="7" s="1"/>
  <c r="AQ194" i="7"/>
  <c r="AR194" i="7" s="1"/>
  <c r="AQ195" i="7"/>
  <c r="AR195" i="7" s="1"/>
  <c r="AQ196" i="7"/>
  <c r="AR196" i="7"/>
  <c r="AS196" i="7"/>
  <c r="AT196" i="7"/>
  <c r="AQ197" i="7"/>
  <c r="AR197" i="7" s="1"/>
  <c r="AQ198" i="7"/>
  <c r="AR198" i="7" s="1"/>
  <c r="AQ199" i="7"/>
  <c r="AR199" i="7" s="1"/>
  <c r="AQ200" i="7"/>
  <c r="AR200" i="7" s="1"/>
  <c r="AQ201" i="7"/>
  <c r="AR201" i="7"/>
  <c r="AT201" i="7" s="1"/>
  <c r="AS201" i="7"/>
  <c r="AQ202" i="7"/>
  <c r="AR202" i="7" s="1"/>
  <c r="AQ203" i="7"/>
  <c r="AR203" i="7" s="1"/>
  <c r="AQ204" i="7"/>
  <c r="AR204" i="7" s="1"/>
  <c r="AQ205" i="7"/>
  <c r="AR205" i="7"/>
  <c r="AS205" i="7"/>
  <c r="AT205" i="7"/>
  <c r="AQ206" i="7"/>
  <c r="AR206" i="7" s="1"/>
  <c r="AQ207" i="7"/>
  <c r="AR207" i="7" s="1"/>
  <c r="AQ208" i="7"/>
  <c r="AR208" i="7" s="1"/>
  <c r="AQ209" i="7"/>
  <c r="AR209" i="7" s="1"/>
  <c r="AQ210" i="7"/>
  <c r="AR210" i="7"/>
  <c r="AT210" i="7" s="1"/>
  <c r="AS210" i="7"/>
  <c r="AQ211" i="7"/>
  <c r="AR211" i="7" s="1"/>
  <c r="AQ212" i="7"/>
  <c r="AR212" i="7" s="1"/>
  <c r="AQ213" i="7"/>
  <c r="AR213" i="7" s="1"/>
  <c r="AQ214" i="7"/>
  <c r="AR214" i="7"/>
  <c r="AS214" i="7"/>
  <c r="AT214" i="7"/>
  <c r="AQ215" i="7"/>
  <c r="AR215" i="7" s="1"/>
  <c r="AQ216" i="7"/>
  <c r="AR216" i="7" s="1"/>
  <c r="AQ217" i="7"/>
  <c r="AR217" i="7" s="1"/>
  <c r="AQ218" i="7"/>
  <c r="AR218" i="7" s="1"/>
  <c r="AQ219" i="7"/>
  <c r="AR219" i="7" s="1"/>
  <c r="AQ220" i="7"/>
  <c r="AR220" i="7" s="1"/>
  <c r="AQ221" i="7"/>
  <c r="AR221" i="7" s="1"/>
  <c r="AQ222" i="7"/>
  <c r="AR222" i="7" s="1"/>
  <c r="AQ223" i="7"/>
  <c r="AR223" i="7"/>
  <c r="AS223" i="7"/>
  <c r="AT223" i="7"/>
  <c r="AQ224" i="7"/>
  <c r="AR224" i="7" s="1"/>
  <c r="AQ225" i="7"/>
  <c r="AR225" i="7" s="1"/>
  <c r="AQ226" i="7"/>
  <c r="AR226" i="7" s="1"/>
  <c r="AQ227" i="7"/>
  <c r="AR227" i="7" s="1"/>
  <c r="AQ228" i="7"/>
  <c r="AR228" i="7" s="1"/>
  <c r="AQ229" i="7"/>
  <c r="AR229" i="7" s="1"/>
  <c r="AQ230" i="7"/>
  <c r="AR230" i="7" s="1"/>
  <c r="AQ231" i="7"/>
  <c r="AR231" i="7" s="1"/>
  <c r="AQ232" i="7"/>
  <c r="AR232" i="7" s="1"/>
  <c r="AQ3" i="7"/>
  <c r="AM4" i="7"/>
  <c r="AN4" i="7" s="1"/>
  <c r="AM5" i="7"/>
  <c r="AN5" i="7" s="1"/>
  <c r="AM6" i="7"/>
  <c r="AN6" i="7"/>
  <c r="AO6" i="7" s="1"/>
  <c r="AM7" i="7"/>
  <c r="AN7" i="7"/>
  <c r="AO7" i="7"/>
  <c r="AP7" i="7"/>
  <c r="AM8" i="7"/>
  <c r="AN8" i="7" s="1"/>
  <c r="AM9" i="7"/>
  <c r="AN9" i="7" s="1"/>
  <c r="AM10" i="7"/>
  <c r="AN10" i="7" s="1"/>
  <c r="AM11" i="7"/>
  <c r="AN11" i="7" s="1"/>
  <c r="AM12" i="7"/>
  <c r="AN12" i="7"/>
  <c r="AP12" i="7" s="1"/>
  <c r="AO12" i="7"/>
  <c r="AM13" i="7"/>
  <c r="AN13" i="7" s="1"/>
  <c r="AM14" i="7"/>
  <c r="AN14" i="7" s="1"/>
  <c r="AM15" i="7"/>
  <c r="AN15" i="7" s="1"/>
  <c r="AM16" i="7"/>
  <c r="AN16" i="7"/>
  <c r="AO16" i="7"/>
  <c r="AP16" i="7"/>
  <c r="AM17" i="7"/>
  <c r="AN17" i="7" s="1"/>
  <c r="AM18" i="7"/>
  <c r="AN18" i="7" s="1"/>
  <c r="AM19" i="7"/>
  <c r="AN19" i="7" s="1"/>
  <c r="AM20" i="7"/>
  <c r="AN20" i="7" s="1"/>
  <c r="AM21" i="7"/>
  <c r="AN21" i="7" s="1"/>
  <c r="AM22" i="7"/>
  <c r="AN22" i="7" s="1"/>
  <c r="AM23" i="7"/>
  <c r="AN23" i="7" s="1"/>
  <c r="AM24" i="7"/>
  <c r="AN24" i="7"/>
  <c r="AP24" i="7" s="1"/>
  <c r="AO24" i="7"/>
  <c r="AM25" i="7"/>
  <c r="AN25" i="7"/>
  <c r="AO25" i="7"/>
  <c r="AP25" i="7"/>
  <c r="AM26" i="7"/>
  <c r="AN26" i="7" s="1"/>
  <c r="AM27" i="7"/>
  <c r="AN27" i="7" s="1"/>
  <c r="AM28" i="7"/>
  <c r="AN28" i="7" s="1"/>
  <c r="AM29" i="7"/>
  <c r="AN29" i="7" s="1"/>
  <c r="AO29" i="7" s="1"/>
  <c r="AM30" i="7"/>
  <c r="AN30" i="7" s="1"/>
  <c r="AM31" i="7"/>
  <c r="AN31" i="7" s="1"/>
  <c r="AM32" i="7"/>
  <c r="AN32" i="7" s="1"/>
  <c r="AM33" i="7"/>
  <c r="AN33" i="7" s="1"/>
  <c r="AM34" i="7"/>
  <c r="AN34" i="7"/>
  <c r="AO34" i="7"/>
  <c r="AP34" i="7"/>
  <c r="AM35" i="7"/>
  <c r="AN35" i="7" s="1"/>
  <c r="AM36" i="7"/>
  <c r="AN36" i="7" s="1"/>
  <c r="AM37" i="7"/>
  <c r="AN37" i="7" s="1"/>
  <c r="AM38" i="7"/>
  <c r="AN38" i="7" s="1"/>
  <c r="AM39" i="7"/>
  <c r="AN39" i="7"/>
  <c r="AP39" i="7" s="1"/>
  <c r="AM40" i="7"/>
  <c r="AN40" i="7" s="1"/>
  <c r="AM41" i="7"/>
  <c r="AN41" i="7" s="1"/>
  <c r="AM42" i="7"/>
  <c r="AN42" i="7" s="1"/>
  <c r="AM43" i="7"/>
  <c r="AN43" i="7"/>
  <c r="AO43" i="7"/>
  <c r="AP43" i="7"/>
  <c r="AM44" i="7"/>
  <c r="AN44" i="7" s="1"/>
  <c r="AM45" i="7"/>
  <c r="AN45" i="7" s="1"/>
  <c r="AM46" i="7"/>
  <c r="AN46" i="7" s="1"/>
  <c r="AM47" i="7"/>
  <c r="AN47" i="7" s="1"/>
  <c r="AM48" i="7"/>
  <c r="AN48" i="7" s="1"/>
  <c r="AM49" i="7"/>
  <c r="AN49" i="7" s="1"/>
  <c r="AM50" i="7"/>
  <c r="AN50" i="7" s="1"/>
  <c r="AM51" i="7"/>
  <c r="AN51" i="7" s="1"/>
  <c r="AM52" i="7"/>
  <c r="AN52" i="7"/>
  <c r="AO52" i="7"/>
  <c r="AP52" i="7"/>
  <c r="AM53" i="7"/>
  <c r="AN53" i="7" s="1"/>
  <c r="AM54" i="7"/>
  <c r="AN54" i="7" s="1"/>
  <c r="AM55" i="7"/>
  <c r="AN55" i="7" s="1"/>
  <c r="AM56" i="7"/>
  <c r="AN56" i="7" s="1"/>
  <c r="AM57" i="7"/>
  <c r="AN57" i="7" s="1"/>
  <c r="AM58" i="7"/>
  <c r="AN58" i="7" s="1"/>
  <c r="AM59" i="7"/>
  <c r="AN59" i="7" s="1"/>
  <c r="AM60" i="7"/>
  <c r="AN60" i="7" s="1"/>
  <c r="AM61" i="7"/>
  <c r="AN61" i="7"/>
  <c r="AO61" i="7"/>
  <c r="AP61" i="7"/>
  <c r="AM62" i="7"/>
  <c r="AN62" i="7" s="1"/>
  <c r="AM63" i="7"/>
  <c r="AN63" i="7" s="1"/>
  <c r="AM64" i="7"/>
  <c r="AN64" i="7" s="1"/>
  <c r="AM65" i="7"/>
  <c r="AN65" i="7" s="1"/>
  <c r="AM66" i="7"/>
  <c r="AN66" i="7" s="1"/>
  <c r="AM67" i="7"/>
  <c r="AN67" i="7" s="1"/>
  <c r="AM68" i="7"/>
  <c r="AN68" i="7" s="1"/>
  <c r="AM69" i="7"/>
  <c r="AN69" i="7" s="1"/>
  <c r="AM70" i="7"/>
  <c r="AN70" i="7"/>
  <c r="AO70" i="7"/>
  <c r="AP70" i="7"/>
  <c r="AM71" i="7"/>
  <c r="AN71" i="7" s="1"/>
  <c r="AM72" i="7"/>
  <c r="AN72" i="7" s="1"/>
  <c r="AM73" i="7"/>
  <c r="AN73" i="7" s="1"/>
  <c r="AM74" i="7"/>
  <c r="AN74" i="7" s="1"/>
  <c r="AM75" i="7"/>
  <c r="AN75" i="7" s="1"/>
  <c r="AM76" i="7"/>
  <c r="AN76" i="7" s="1"/>
  <c r="AM77" i="7"/>
  <c r="AN77" i="7" s="1"/>
  <c r="AM78" i="7"/>
  <c r="AN78" i="7" s="1"/>
  <c r="AM79" i="7"/>
  <c r="AN79" i="7"/>
  <c r="AO79" i="7"/>
  <c r="AP79" i="7"/>
  <c r="AM80" i="7"/>
  <c r="AN80" i="7" s="1"/>
  <c r="AM81" i="7"/>
  <c r="AN81" i="7" s="1"/>
  <c r="AM82" i="7"/>
  <c r="AN82" i="7" s="1"/>
  <c r="AM83" i="7"/>
  <c r="AN83" i="7" s="1"/>
  <c r="AM84" i="7"/>
  <c r="AN84" i="7" s="1"/>
  <c r="AM85" i="7"/>
  <c r="AN85" i="7" s="1"/>
  <c r="AM86" i="7"/>
  <c r="AN86" i="7" s="1"/>
  <c r="AM87" i="7"/>
  <c r="AN87" i="7" s="1"/>
  <c r="AM88" i="7"/>
  <c r="AN88" i="7"/>
  <c r="AO88" i="7"/>
  <c r="AP88" i="7"/>
  <c r="AM89" i="7"/>
  <c r="AN89" i="7" s="1"/>
  <c r="AM90" i="7"/>
  <c r="AN90" i="7" s="1"/>
  <c r="AM91" i="7"/>
  <c r="AN91" i="7" s="1"/>
  <c r="AM92" i="7"/>
  <c r="AN92" i="7" s="1"/>
  <c r="AM93" i="7"/>
  <c r="AN93" i="7" s="1"/>
  <c r="AM94" i="7"/>
  <c r="AN94" i="7" s="1"/>
  <c r="AM95" i="7"/>
  <c r="AN95" i="7" s="1"/>
  <c r="AM96" i="7"/>
  <c r="AN96" i="7" s="1"/>
  <c r="AM97" i="7"/>
  <c r="AN97" i="7"/>
  <c r="AO97" i="7"/>
  <c r="AP97" i="7"/>
  <c r="AM98" i="7"/>
  <c r="AN98" i="7" s="1"/>
  <c r="AM99" i="7"/>
  <c r="AN99" i="7" s="1"/>
  <c r="AM100" i="7"/>
  <c r="AN100" i="7" s="1"/>
  <c r="AM101" i="7"/>
  <c r="AN101" i="7" s="1"/>
  <c r="AM102" i="7"/>
  <c r="AN102" i="7"/>
  <c r="AP102" i="7" s="1"/>
  <c r="AO102" i="7"/>
  <c r="AM103" i="7"/>
  <c r="AN103" i="7" s="1"/>
  <c r="AM104" i="7"/>
  <c r="AN104" i="7" s="1"/>
  <c r="AM105" i="7"/>
  <c r="AN105" i="7" s="1"/>
  <c r="AM106" i="7"/>
  <c r="AN106" i="7"/>
  <c r="AO106" i="7"/>
  <c r="AP106" i="7"/>
  <c r="AM107" i="7"/>
  <c r="AN107" i="7" s="1"/>
  <c r="AM108" i="7"/>
  <c r="AN108" i="7" s="1"/>
  <c r="AM109" i="7"/>
  <c r="AN109" i="7" s="1"/>
  <c r="AM110" i="7"/>
  <c r="AN110" i="7" s="1"/>
  <c r="AM111" i="7"/>
  <c r="AN111" i="7" s="1"/>
  <c r="AM112" i="7"/>
  <c r="AN112" i="7" s="1"/>
  <c r="AM113" i="7"/>
  <c r="AN113" i="7" s="1"/>
  <c r="AM114" i="7"/>
  <c r="AN114" i="7" s="1"/>
  <c r="AM115" i="7"/>
  <c r="AN115" i="7"/>
  <c r="AO115" i="7"/>
  <c r="AP115" i="7"/>
  <c r="AM116" i="7"/>
  <c r="AN116" i="7" s="1"/>
  <c r="AM117" i="7"/>
  <c r="AN117" i="7" s="1"/>
  <c r="AM118" i="7"/>
  <c r="AN118" i="7" s="1"/>
  <c r="AM119" i="7"/>
  <c r="AN119" i="7" s="1"/>
  <c r="AM120" i="7"/>
  <c r="AN120" i="7" s="1"/>
  <c r="AM121" i="7"/>
  <c r="AN121" i="7" s="1"/>
  <c r="AM122" i="7"/>
  <c r="AN122" i="7" s="1"/>
  <c r="AM123" i="7"/>
  <c r="AN123" i="7" s="1"/>
  <c r="AM124" i="7"/>
  <c r="AN124" i="7"/>
  <c r="AO124" i="7"/>
  <c r="AP124" i="7"/>
  <c r="AM125" i="7"/>
  <c r="AN125" i="7" s="1"/>
  <c r="AM126" i="7"/>
  <c r="AN126" i="7" s="1"/>
  <c r="AM127" i="7"/>
  <c r="AN127" i="7" s="1"/>
  <c r="AM128" i="7"/>
  <c r="AN128" i="7" s="1"/>
  <c r="AM129" i="7"/>
  <c r="AN129" i="7" s="1"/>
  <c r="AM130" i="7"/>
  <c r="AN130" i="7" s="1"/>
  <c r="AM131" i="7"/>
  <c r="AN131" i="7" s="1"/>
  <c r="AM132" i="7"/>
  <c r="AN132" i="7" s="1"/>
  <c r="AM133" i="7"/>
  <c r="AN133" i="7"/>
  <c r="AO133" i="7"/>
  <c r="AP133" i="7"/>
  <c r="AM134" i="7"/>
  <c r="AN134" i="7" s="1"/>
  <c r="AM135" i="7"/>
  <c r="AN135" i="7" s="1"/>
  <c r="AM136" i="7"/>
  <c r="AN136" i="7" s="1"/>
  <c r="AM137" i="7"/>
  <c r="AN137" i="7" s="1"/>
  <c r="AM138" i="7"/>
  <c r="AN138" i="7" s="1"/>
  <c r="AM139" i="7"/>
  <c r="AN139" i="7" s="1"/>
  <c r="AM140" i="7"/>
  <c r="AN140" i="7" s="1"/>
  <c r="AM141" i="7"/>
  <c r="AN141" i="7" s="1"/>
  <c r="AM142" i="7"/>
  <c r="AN142" i="7"/>
  <c r="AO142" i="7"/>
  <c r="AP142" i="7"/>
  <c r="AM143" i="7"/>
  <c r="AN143" i="7" s="1"/>
  <c r="AM144" i="7"/>
  <c r="AN144" i="7" s="1"/>
  <c r="AM145" i="7"/>
  <c r="AN145" i="7" s="1"/>
  <c r="AM146" i="7"/>
  <c r="AN146" i="7" s="1"/>
  <c r="AM147" i="7"/>
  <c r="AN147" i="7" s="1"/>
  <c r="AM148" i="7"/>
  <c r="AN148" i="7" s="1"/>
  <c r="AM149" i="7"/>
  <c r="AN149" i="7" s="1"/>
  <c r="AM150" i="7"/>
  <c r="AN150" i="7" s="1"/>
  <c r="AM151" i="7"/>
  <c r="AN151" i="7"/>
  <c r="AO151" i="7"/>
  <c r="AP151" i="7"/>
  <c r="AM152" i="7"/>
  <c r="AN152" i="7" s="1"/>
  <c r="AM153" i="7"/>
  <c r="AN153" i="7" s="1"/>
  <c r="AM154" i="7"/>
  <c r="AN154" i="7" s="1"/>
  <c r="AM155" i="7"/>
  <c r="AN155" i="7" s="1"/>
  <c r="AM156" i="7"/>
  <c r="AN156" i="7" s="1"/>
  <c r="AM157" i="7"/>
  <c r="AN157" i="7" s="1"/>
  <c r="AM158" i="7"/>
  <c r="AN158" i="7" s="1"/>
  <c r="AM159" i="7"/>
  <c r="AN159" i="7" s="1"/>
  <c r="AM160" i="7"/>
  <c r="AN160" i="7"/>
  <c r="AO160" i="7"/>
  <c r="AP160" i="7"/>
  <c r="AM161" i="7"/>
  <c r="AN161" i="7" s="1"/>
  <c r="AM162" i="7"/>
  <c r="AN162" i="7" s="1"/>
  <c r="AM163" i="7"/>
  <c r="AN163" i="7" s="1"/>
  <c r="AM164" i="7"/>
  <c r="AN164" i="7" s="1"/>
  <c r="AM165" i="7"/>
  <c r="AN165" i="7" s="1"/>
  <c r="AM166" i="7"/>
  <c r="AN166" i="7" s="1"/>
  <c r="AM167" i="7"/>
  <c r="AN167" i="7" s="1"/>
  <c r="AM168" i="7"/>
  <c r="AN168" i="7" s="1"/>
  <c r="AM169" i="7"/>
  <c r="AN169" i="7"/>
  <c r="AO169" i="7"/>
  <c r="AP169" i="7"/>
  <c r="AM170" i="7"/>
  <c r="AN170" i="7" s="1"/>
  <c r="AM171" i="7"/>
  <c r="AN171" i="7" s="1"/>
  <c r="AM172" i="7"/>
  <c r="AN172" i="7" s="1"/>
  <c r="AM173" i="7"/>
  <c r="AN173" i="7" s="1"/>
  <c r="AM174" i="7"/>
  <c r="AN174" i="7" s="1"/>
  <c r="AM175" i="7"/>
  <c r="AN175" i="7" s="1"/>
  <c r="AM176" i="7"/>
  <c r="AN176" i="7" s="1"/>
  <c r="AM177" i="7"/>
  <c r="AN177" i="7" s="1"/>
  <c r="AM178" i="7"/>
  <c r="AN178" i="7"/>
  <c r="AO178" i="7"/>
  <c r="AP178" i="7"/>
  <c r="AM179" i="7"/>
  <c r="AN179" i="7" s="1"/>
  <c r="AM180" i="7"/>
  <c r="AN180" i="7" s="1"/>
  <c r="AM181" i="7"/>
  <c r="AN181" i="7" s="1"/>
  <c r="AM182" i="7"/>
  <c r="AN182" i="7" s="1"/>
  <c r="AM183" i="7"/>
  <c r="AN183" i="7" s="1"/>
  <c r="AM184" i="7"/>
  <c r="AN184" i="7" s="1"/>
  <c r="AM185" i="7"/>
  <c r="AN185" i="7" s="1"/>
  <c r="AM186" i="7"/>
  <c r="AN186" i="7" s="1"/>
  <c r="AM187" i="7"/>
  <c r="AN187" i="7" s="1"/>
  <c r="AO187" i="7" s="1"/>
  <c r="AM188" i="7"/>
  <c r="AN188" i="7" s="1"/>
  <c r="AM189" i="7"/>
  <c r="AN189" i="7" s="1"/>
  <c r="AM190" i="7"/>
  <c r="AN190" i="7" s="1"/>
  <c r="AM191" i="7"/>
  <c r="AN191" i="7" s="1"/>
  <c r="AM192" i="7"/>
  <c r="AN192" i="7"/>
  <c r="AP192" i="7" s="1"/>
  <c r="AM193" i="7"/>
  <c r="AN193" i="7" s="1"/>
  <c r="AM194" i="7"/>
  <c r="AN194" i="7" s="1"/>
  <c r="AM195" i="7"/>
  <c r="AN195" i="7" s="1"/>
  <c r="AM196" i="7"/>
  <c r="AN196" i="7"/>
  <c r="AO196" i="7"/>
  <c r="AP196" i="7"/>
  <c r="AM197" i="7"/>
  <c r="AN197" i="7" s="1"/>
  <c r="AM198" i="7"/>
  <c r="AN198" i="7" s="1"/>
  <c r="AM199" i="7"/>
  <c r="AN199" i="7" s="1"/>
  <c r="AM200" i="7"/>
  <c r="AN200" i="7" s="1"/>
  <c r="AM201" i="7"/>
  <c r="AN201" i="7"/>
  <c r="AP201" i="7" s="1"/>
  <c r="AM202" i="7"/>
  <c r="AN202" i="7" s="1"/>
  <c r="AM203" i="7"/>
  <c r="AN203" i="7" s="1"/>
  <c r="AM204" i="7"/>
  <c r="AN204" i="7" s="1"/>
  <c r="AM205" i="7"/>
  <c r="AN205" i="7" s="1"/>
  <c r="AP205" i="7" s="1"/>
  <c r="AO205" i="7"/>
  <c r="AM206" i="7"/>
  <c r="AN206" i="7" s="1"/>
  <c r="AP206" i="7" s="1"/>
  <c r="AM207" i="7"/>
  <c r="AN207" i="7" s="1"/>
  <c r="AM208" i="7"/>
  <c r="AN208" i="7" s="1"/>
  <c r="AM209" i="7"/>
  <c r="AN209" i="7" s="1"/>
  <c r="AM210" i="7"/>
  <c r="AN210" i="7" s="1"/>
  <c r="AM211" i="7"/>
  <c r="AN211" i="7" s="1"/>
  <c r="AM212" i="7"/>
  <c r="AN212" i="7" s="1"/>
  <c r="AM213" i="7"/>
  <c r="AN213" i="7" s="1"/>
  <c r="AM214" i="7"/>
  <c r="AN214" i="7"/>
  <c r="AO214" i="7" s="1"/>
  <c r="AP214" i="7"/>
  <c r="AM215" i="7"/>
  <c r="AN215" i="7" s="1"/>
  <c r="AP215" i="7" s="1"/>
  <c r="AO215" i="7"/>
  <c r="AM216" i="7"/>
  <c r="AN216" i="7" s="1"/>
  <c r="AM217" i="7"/>
  <c r="AN217" i="7" s="1"/>
  <c r="AM218" i="7"/>
  <c r="AN218" i="7" s="1"/>
  <c r="AO218" i="7" s="1"/>
  <c r="AP218" i="7"/>
  <c r="AM219" i="7"/>
  <c r="AN219" i="7" s="1"/>
  <c r="AM220" i="7"/>
  <c r="AN220" i="7" s="1"/>
  <c r="AM221" i="7"/>
  <c r="AN221" i="7" s="1"/>
  <c r="AM222" i="7"/>
  <c r="AN222" i="7" s="1"/>
  <c r="AM223" i="7"/>
  <c r="AN223" i="7"/>
  <c r="AO223" i="7" s="1"/>
  <c r="AP223" i="7"/>
  <c r="AM224" i="7"/>
  <c r="AN224" i="7" s="1"/>
  <c r="AP224" i="7" s="1"/>
  <c r="AO224" i="7"/>
  <c r="AM225" i="7"/>
  <c r="AN225" i="7" s="1"/>
  <c r="AM226" i="7"/>
  <c r="AN226" i="7" s="1"/>
  <c r="AM227" i="7"/>
  <c r="AN227" i="7" s="1"/>
  <c r="AO227" i="7" s="1"/>
  <c r="AP227" i="7"/>
  <c r="AM228" i="7"/>
  <c r="AN228" i="7"/>
  <c r="AP228" i="7" s="1"/>
  <c r="AO228" i="7"/>
  <c r="AM229" i="7"/>
  <c r="AN229" i="7" s="1"/>
  <c r="AM230" i="7"/>
  <c r="AN230" i="7" s="1"/>
  <c r="AM231" i="7"/>
  <c r="AN231" i="7" s="1"/>
  <c r="AM232" i="7"/>
  <c r="AN232" i="7"/>
  <c r="AO232" i="7"/>
  <c r="AP232" i="7"/>
  <c r="AM3" i="7"/>
  <c r="AI4" i="7"/>
  <c r="AJ4" i="7" s="1"/>
  <c r="AI5" i="7"/>
  <c r="AJ5" i="7" s="1"/>
  <c r="AI6" i="7"/>
  <c r="AJ6" i="7" s="1"/>
  <c r="AI7" i="7"/>
  <c r="AJ7" i="7" s="1"/>
  <c r="AI8" i="7"/>
  <c r="AJ8" i="7" s="1"/>
  <c r="AI9" i="7"/>
  <c r="AJ9" i="7" s="1"/>
  <c r="AI10" i="7"/>
  <c r="AJ10" i="7" s="1"/>
  <c r="AI11" i="7"/>
  <c r="AJ11" i="7" s="1"/>
  <c r="AI12" i="7"/>
  <c r="AJ12" i="7"/>
  <c r="AL12" i="7" s="1"/>
  <c r="AK12" i="7"/>
  <c r="AI13" i="7"/>
  <c r="AJ13" i="7" s="1"/>
  <c r="AI14" i="7"/>
  <c r="AJ14" i="7" s="1"/>
  <c r="AI15" i="7"/>
  <c r="AJ15" i="7" s="1"/>
  <c r="AI16" i="7"/>
  <c r="AJ16" i="7" s="1"/>
  <c r="AI17" i="7"/>
  <c r="AJ17" i="7" s="1"/>
  <c r="AI18" i="7"/>
  <c r="AJ18" i="7" s="1"/>
  <c r="AI19" i="7"/>
  <c r="AJ19" i="7" s="1"/>
  <c r="AI20" i="7"/>
  <c r="AJ20" i="7" s="1"/>
  <c r="AI21" i="7"/>
  <c r="AJ21" i="7"/>
  <c r="AL21" i="7" s="1"/>
  <c r="AK21" i="7"/>
  <c r="AI22" i="7"/>
  <c r="AJ22" i="7" s="1"/>
  <c r="AI23" i="7"/>
  <c r="AJ23" i="7" s="1"/>
  <c r="AI24" i="7"/>
  <c r="AJ24" i="7" s="1"/>
  <c r="AI25" i="7"/>
  <c r="AJ25" i="7" s="1"/>
  <c r="AI26" i="7"/>
  <c r="AJ26" i="7" s="1"/>
  <c r="AI27" i="7"/>
  <c r="AJ27" i="7" s="1"/>
  <c r="AI28" i="7"/>
  <c r="AJ28" i="7" s="1"/>
  <c r="AI29" i="7"/>
  <c r="AJ29" i="7" s="1"/>
  <c r="AI30" i="7"/>
  <c r="AJ30" i="7"/>
  <c r="AL30" i="7" s="1"/>
  <c r="AK30" i="7"/>
  <c r="AI31" i="7"/>
  <c r="AJ31" i="7" s="1"/>
  <c r="AI32" i="7"/>
  <c r="AJ32" i="7" s="1"/>
  <c r="AI33" i="7"/>
  <c r="AJ33" i="7" s="1"/>
  <c r="AI34" i="7"/>
  <c r="AJ34" i="7" s="1"/>
  <c r="AI35" i="7"/>
  <c r="AJ35" i="7" s="1"/>
  <c r="AI36" i="7"/>
  <c r="AJ36" i="7" s="1"/>
  <c r="AI37" i="7"/>
  <c r="AJ37" i="7" s="1"/>
  <c r="AI38" i="7"/>
  <c r="AJ38" i="7" s="1"/>
  <c r="AI39" i="7"/>
  <c r="AJ39" i="7"/>
  <c r="AL39" i="7" s="1"/>
  <c r="AK39" i="7"/>
  <c r="AI40" i="7"/>
  <c r="AJ40" i="7" s="1"/>
  <c r="AI41" i="7"/>
  <c r="AJ41" i="7" s="1"/>
  <c r="AI42" i="7"/>
  <c r="AJ42" i="7" s="1"/>
  <c r="AI43" i="7"/>
  <c r="AJ43" i="7" s="1"/>
  <c r="AI44" i="7"/>
  <c r="AJ44" i="7" s="1"/>
  <c r="AI45" i="7"/>
  <c r="AJ45" i="7" s="1"/>
  <c r="AI46" i="7"/>
  <c r="AJ46" i="7" s="1"/>
  <c r="AI47" i="7"/>
  <c r="AJ47" i="7" s="1"/>
  <c r="AI48" i="7"/>
  <c r="AJ48" i="7"/>
  <c r="AL48" i="7" s="1"/>
  <c r="AK48" i="7"/>
  <c r="AI49" i="7"/>
  <c r="AJ49" i="7" s="1"/>
  <c r="AI50" i="7"/>
  <c r="AJ50" i="7" s="1"/>
  <c r="AI51" i="7"/>
  <c r="AJ51" i="7" s="1"/>
  <c r="AI52" i="7"/>
  <c r="AJ52" i="7" s="1"/>
  <c r="AI53" i="7"/>
  <c r="AJ53" i="7" s="1"/>
  <c r="AI54" i="7"/>
  <c r="AJ54" i="7" s="1"/>
  <c r="AI55" i="7"/>
  <c r="AJ55" i="7" s="1"/>
  <c r="AI56" i="7"/>
  <c r="AJ56" i="7" s="1"/>
  <c r="AI57" i="7"/>
  <c r="AJ57" i="7"/>
  <c r="AL57" i="7" s="1"/>
  <c r="AK57" i="7"/>
  <c r="AI58" i="7"/>
  <c r="AJ58" i="7" s="1"/>
  <c r="AI59" i="7"/>
  <c r="AJ59" i="7" s="1"/>
  <c r="AI60" i="7"/>
  <c r="AJ60" i="7" s="1"/>
  <c r="AI61" i="7"/>
  <c r="AJ61" i="7" s="1"/>
  <c r="AI62" i="7"/>
  <c r="AJ62" i="7" s="1"/>
  <c r="AI63" i="7"/>
  <c r="AJ63" i="7" s="1"/>
  <c r="AI64" i="7"/>
  <c r="AJ64" i="7" s="1"/>
  <c r="AI65" i="7"/>
  <c r="AJ65" i="7" s="1"/>
  <c r="AI66" i="7"/>
  <c r="AJ66" i="7"/>
  <c r="AL66" i="7" s="1"/>
  <c r="AK66" i="7"/>
  <c r="AI67" i="7"/>
  <c r="AJ67" i="7" s="1"/>
  <c r="AI68" i="7"/>
  <c r="AJ68" i="7" s="1"/>
  <c r="AI69" i="7"/>
  <c r="AJ69" i="7" s="1"/>
  <c r="AI70" i="7"/>
  <c r="AJ70" i="7" s="1"/>
  <c r="AI71" i="7"/>
  <c r="AJ71" i="7" s="1"/>
  <c r="AI72" i="7"/>
  <c r="AJ72" i="7" s="1"/>
  <c r="AI73" i="7"/>
  <c r="AJ73" i="7" s="1"/>
  <c r="AI74" i="7"/>
  <c r="AJ74" i="7" s="1"/>
  <c r="AI75" i="7"/>
  <c r="AJ75" i="7"/>
  <c r="AL75" i="7" s="1"/>
  <c r="AK75" i="7"/>
  <c r="AI76" i="7"/>
  <c r="AJ76" i="7" s="1"/>
  <c r="AI77" i="7"/>
  <c r="AJ77" i="7" s="1"/>
  <c r="AI78" i="7"/>
  <c r="AJ78" i="7" s="1"/>
  <c r="AI79" i="7"/>
  <c r="AJ79" i="7" s="1"/>
  <c r="AI80" i="7"/>
  <c r="AJ80" i="7" s="1"/>
  <c r="AI81" i="7"/>
  <c r="AJ81" i="7" s="1"/>
  <c r="AI82" i="7"/>
  <c r="AJ82" i="7" s="1"/>
  <c r="AI83" i="7"/>
  <c r="AJ83" i="7" s="1"/>
  <c r="AI84" i="7"/>
  <c r="AJ84" i="7"/>
  <c r="AL84" i="7" s="1"/>
  <c r="AK84" i="7"/>
  <c r="AI85" i="7"/>
  <c r="AJ85" i="7" s="1"/>
  <c r="AI86" i="7"/>
  <c r="AJ86" i="7" s="1"/>
  <c r="AI87" i="7"/>
  <c r="AJ87" i="7" s="1"/>
  <c r="AI88" i="7"/>
  <c r="AJ88" i="7" s="1"/>
  <c r="AI89" i="7"/>
  <c r="AJ89" i="7" s="1"/>
  <c r="AI90" i="7"/>
  <c r="AJ90" i="7" s="1"/>
  <c r="AI91" i="7"/>
  <c r="AJ91" i="7" s="1"/>
  <c r="AI92" i="7"/>
  <c r="AJ92" i="7" s="1"/>
  <c r="AI93" i="7"/>
  <c r="AJ93" i="7"/>
  <c r="AL93" i="7" s="1"/>
  <c r="AK93" i="7"/>
  <c r="AI94" i="7"/>
  <c r="AJ94" i="7" s="1"/>
  <c r="AI95" i="7"/>
  <c r="AJ95" i="7" s="1"/>
  <c r="AI96" i="7"/>
  <c r="AJ96" i="7" s="1"/>
  <c r="AI97" i="7"/>
  <c r="AJ97" i="7" s="1"/>
  <c r="AI98" i="7"/>
  <c r="AJ98" i="7" s="1"/>
  <c r="AI99" i="7"/>
  <c r="AJ99" i="7" s="1"/>
  <c r="AI100" i="7"/>
  <c r="AJ100" i="7" s="1"/>
  <c r="AI101" i="7"/>
  <c r="AJ101" i="7" s="1"/>
  <c r="AI102" i="7"/>
  <c r="AJ102" i="7"/>
  <c r="AL102" i="7" s="1"/>
  <c r="AK102" i="7"/>
  <c r="AI103" i="7"/>
  <c r="AJ103" i="7" s="1"/>
  <c r="AI104" i="7"/>
  <c r="AJ104" i="7" s="1"/>
  <c r="AI105" i="7"/>
  <c r="AJ105" i="7" s="1"/>
  <c r="AI106" i="7"/>
  <c r="AJ106" i="7" s="1"/>
  <c r="AI107" i="7"/>
  <c r="AJ107" i="7" s="1"/>
  <c r="AI108" i="7"/>
  <c r="AJ108" i="7" s="1"/>
  <c r="AI109" i="7"/>
  <c r="AJ109" i="7" s="1"/>
  <c r="AI110" i="7"/>
  <c r="AJ110" i="7" s="1"/>
  <c r="AI111" i="7"/>
  <c r="AJ111" i="7"/>
  <c r="AL111" i="7" s="1"/>
  <c r="AK111" i="7"/>
  <c r="AI112" i="7"/>
  <c r="AJ112" i="7" s="1"/>
  <c r="AI113" i="7"/>
  <c r="AJ113" i="7" s="1"/>
  <c r="AI114" i="7"/>
  <c r="AJ114" i="7" s="1"/>
  <c r="AI115" i="7"/>
  <c r="AJ115" i="7" s="1"/>
  <c r="AI116" i="7"/>
  <c r="AJ116" i="7" s="1"/>
  <c r="AI117" i="7"/>
  <c r="AJ117" i="7" s="1"/>
  <c r="AI118" i="7"/>
  <c r="AJ118" i="7" s="1"/>
  <c r="AI119" i="7"/>
  <c r="AJ119" i="7" s="1"/>
  <c r="AI120" i="7"/>
  <c r="AJ120" i="7"/>
  <c r="AL120" i="7" s="1"/>
  <c r="AK120" i="7"/>
  <c r="AI121" i="7"/>
  <c r="AJ121" i="7" s="1"/>
  <c r="AI122" i="7"/>
  <c r="AJ122" i="7" s="1"/>
  <c r="AI123" i="7"/>
  <c r="AJ123" i="7" s="1"/>
  <c r="AI124" i="7"/>
  <c r="AJ124" i="7" s="1"/>
  <c r="AI125" i="7"/>
  <c r="AJ125" i="7" s="1"/>
  <c r="AI126" i="7"/>
  <c r="AJ126" i="7" s="1"/>
  <c r="AI127" i="7"/>
  <c r="AJ127" i="7" s="1"/>
  <c r="AI128" i="7"/>
  <c r="AJ128" i="7" s="1"/>
  <c r="AI129" i="7"/>
  <c r="AJ129" i="7"/>
  <c r="AL129" i="7" s="1"/>
  <c r="AK129" i="7"/>
  <c r="AI130" i="7"/>
  <c r="AJ130" i="7" s="1"/>
  <c r="AI131" i="7"/>
  <c r="AJ131" i="7" s="1"/>
  <c r="AI132" i="7"/>
  <c r="AJ132" i="7" s="1"/>
  <c r="AI133" i="7"/>
  <c r="AJ133" i="7" s="1"/>
  <c r="AI134" i="7"/>
  <c r="AJ134" i="7" s="1"/>
  <c r="AI135" i="7"/>
  <c r="AJ135" i="7" s="1"/>
  <c r="AI136" i="7"/>
  <c r="AJ136" i="7" s="1"/>
  <c r="AI137" i="7"/>
  <c r="AJ137" i="7" s="1"/>
  <c r="AI138" i="7"/>
  <c r="AJ138" i="7"/>
  <c r="AL138" i="7" s="1"/>
  <c r="AK138" i="7"/>
  <c r="AI139" i="7"/>
  <c r="AJ139" i="7" s="1"/>
  <c r="AI140" i="7"/>
  <c r="AJ140" i="7" s="1"/>
  <c r="AI141" i="7"/>
  <c r="AJ141" i="7" s="1"/>
  <c r="AI142" i="7"/>
  <c r="AJ142" i="7" s="1"/>
  <c r="AI143" i="7"/>
  <c r="AJ143" i="7" s="1"/>
  <c r="AI144" i="7"/>
  <c r="AJ144" i="7" s="1"/>
  <c r="AI145" i="7"/>
  <c r="AJ145" i="7" s="1"/>
  <c r="AI146" i="7"/>
  <c r="AJ146" i="7" s="1"/>
  <c r="AI147" i="7"/>
  <c r="AJ147" i="7"/>
  <c r="AL147" i="7" s="1"/>
  <c r="AK147" i="7"/>
  <c r="AI148" i="7"/>
  <c r="AJ148" i="7" s="1"/>
  <c r="AI149" i="7"/>
  <c r="AJ149" i="7" s="1"/>
  <c r="AI150" i="7"/>
  <c r="AJ150" i="7" s="1"/>
  <c r="AI151" i="7"/>
  <c r="AJ151" i="7" s="1"/>
  <c r="AI152" i="7"/>
  <c r="AJ152" i="7" s="1"/>
  <c r="AI153" i="7"/>
  <c r="AJ153" i="7" s="1"/>
  <c r="AI154" i="7"/>
  <c r="AJ154" i="7" s="1"/>
  <c r="AI155" i="7"/>
  <c r="AJ155" i="7" s="1"/>
  <c r="AI156" i="7"/>
  <c r="AJ156" i="7"/>
  <c r="AL156" i="7" s="1"/>
  <c r="AK156" i="7"/>
  <c r="AI157" i="7"/>
  <c r="AJ157" i="7" s="1"/>
  <c r="AI158" i="7"/>
  <c r="AJ158" i="7" s="1"/>
  <c r="AI159" i="7"/>
  <c r="AJ159" i="7" s="1"/>
  <c r="AI160" i="7"/>
  <c r="AJ160" i="7" s="1"/>
  <c r="AI161" i="7"/>
  <c r="AJ161" i="7" s="1"/>
  <c r="AI162" i="7"/>
  <c r="AJ162" i="7" s="1"/>
  <c r="AI163" i="7"/>
  <c r="AJ163" i="7" s="1"/>
  <c r="AI164" i="7"/>
  <c r="AJ164" i="7" s="1"/>
  <c r="AI165" i="7"/>
  <c r="AJ165" i="7"/>
  <c r="AL165" i="7" s="1"/>
  <c r="AK165" i="7"/>
  <c r="AI166" i="7"/>
  <c r="AJ166" i="7" s="1"/>
  <c r="AI167" i="7"/>
  <c r="AJ167" i="7" s="1"/>
  <c r="AI168" i="7"/>
  <c r="AJ168" i="7" s="1"/>
  <c r="AI169" i="7"/>
  <c r="AJ169" i="7" s="1"/>
  <c r="AI170" i="7"/>
  <c r="AJ170" i="7" s="1"/>
  <c r="AI171" i="7"/>
  <c r="AJ171" i="7" s="1"/>
  <c r="AI172" i="7"/>
  <c r="AJ172" i="7" s="1"/>
  <c r="AI173" i="7"/>
  <c r="AJ173" i="7" s="1"/>
  <c r="AI174" i="7"/>
  <c r="AJ174" i="7"/>
  <c r="AL174" i="7" s="1"/>
  <c r="AK174" i="7"/>
  <c r="AI175" i="7"/>
  <c r="AJ175" i="7" s="1"/>
  <c r="AI176" i="7"/>
  <c r="AJ176" i="7" s="1"/>
  <c r="AI177" i="7"/>
  <c r="AJ177" i="7" s="1"/>
  <c r="AI178" i="7"/>
  <c r="AJ178" i="7" s="1"/>
  <c r="AI179" i="7"/>
  <c r="AJ179" i="7" s="1"/>
  <c r="AI180" i="7"/>
  <c r="AJ180" i="7" s="1"/>
  <c r="AI181" i="7"/>
  <c r="AJ181" i="7" s="1"/>
  <c r="AI182" i="7"/>
  <c r="AJ182" i="7" s="1"/>
  <c r="AI183" i="7"/>
  <c r="AJ183" i="7"/>
  <c r="AL183" i="7" s="1"/>
  <c r="AK183" i="7"/>
  <c r="AI184" i="7"/>
  <c r="AJ184" i="7" s="1"/>
  <c r="AI185" i="7"/>
  <c r="AJ185" i="7" s="1"/>
  <c r="AI186" i="7"/>
  <c r="AJ186" i="7" s="1"/>
  <c r="AI187" i="7"/>
  <c r="AJ187" i="7" s="1"/>
  <c r="AI188" i="7"/>
  <c r="AJ188" i="7" s="1"/>
  <c r="AI189" i="7"/>
  <c r="AJ189" i="7" s="1"/>
  <c r="AI190" i="7"/>
  <c r="AJ190" i="7" s="1"/>
  <c r="AI191" i="7"/>
  <c r="AJ191" i="7" s="1"/>
  <c r="AI192" i="7"/>
  <c r="AJ192" i="7"/>
  <c r="AL192" i="7" s="1"/>
  <c r="AK192" i="7"/>
  <c r="AI193" i="7"/>
  <c r="AJ193" i="7" s="1"/>
  <c r="AI194" i="7"/>
  <c r="AJ194" i="7" s="1"/>
  <c r="AI195" i="7"/>
  <c r="AJ195" i="7" s="1"/>
  <c r="AI196" i="7"/>
  <c r="AJ196" i="7" s="1"/>
  <c r="AI197" i="7"/>
  <c r="AJ197" i="7" s="1"/>
  <c r="AI198" i="7"/>
  <c r="AJ198" i="7" s="1"/>
  <c r="AI199" i="7"/>
  <c r="AJ199" i="7" s="1"/>
  <c r="AI200" i="7"/>
  <c r="AJ200" i="7" s="1"/>
  <c r="AI201" i="7"/>
  <c r="AJ201" i="7"/>
  <c r="AL201" i="7" s="1"/>
  <c r="AK201" i="7"/>
  <c r="AI202" i="7"/>
  <c r="AJ202" i="7" s="1"/>
  <c r="AI203" i="7"/>
  <c r="AJ203" i="7" s="1"/>
  <c r="AI204" i="7"/>
  <c r="AJ204" i="7" s="1"/>
  <c r="AI205" i="7"/>
  <c r="AJ205" i="7" s="1"/>
  <c r="AI206" i="7"/>
  <c r="AJ206" i="7" s="1"/>
  <c r="AI207" i="7"/>
  <c r="AJ207" i="7" s="1"/>
  <c r="AI208" i="7"/>
  <c r="AJ208" i="7" s="1"/>
  <c r="AI209" i="7"/>
  <c r="AJ209" i="7" s="1"/>
  <c r="AI210" i="7"/>
  <c r="AJ210" i="7" s="1"/>
  <c r="AI211" i="7"/>
  <c r="AJ211" i="7" s="1"/>
  <c r="AI212" i="7"/>
  <c r="AJ212" i="7" s="1"/>
  <c r="AI213" i="7"/>
  <c r="AJ213" i="7" s="1"/>
  <c r="AI214" i="7"/>
  <c r="AJ214" i="7" s="1"/>
  <c r="AI215" i="7"/>
  <c r="AJ215" i="7" s="1"/>
  <c r="AI216" i="7"/>
  <c r="AJ216" i="7" s="1"/>
  <c r="AI217" i="7"/>
  <c r="AJ217" i="7" s="1"/>
  <c r="AI218" i="7"/>
  <c r="AJ218" i="7" s="1"/>
  <c r="AI219" i="7"/>
  <c r="AJ219" i="7" s="1"/>
  <c r="AI220" i="7"/>
  <c r="AJ220" i="7" s="1"/>
  <c r="AI221" i="7"/>
  <c r="AJ221" i="7" s="1"/>
  <c r="AI222" i="7"/>
  <c r="AJ222" i="7" s="1"/>
  <c r="AI223" i="7"/>
  <c r="AJ223" i="7" s="1"/>
  <c r="AI224" i="7"/>
  <c r="AJ224" i="7" s="1"/>
  <c r="AI225" i="7"/>
  <c r="AJ225" i="7" s="1"/>
  <c r="AI226" i="7"/>
  <c r="AJ226" i="7" s="1"/>
  <c r="AI227" i="7"/>
  <c r="AJ227" i="7" s="1"/>
  <c r="AI228" i="7"/>
  <c r="AJ228" i="7" s="1"/>
  <c r="AI229" i="7"/>
  <c r="AJ229" i="7" s="1"/>
  <c r="AI230" i="7"/>
  <c r="AJ230" i="7" s="1"/>
  <c r="AI231" i="7"/>
  <c r="AJ231" i="7" s="1"/>
  <c r="AI232" i="7"/>
  <c r="AJ232" i="7" s="1"/>
  <c r="AI3" i="7"/>
  <c r="AE4" i="7"/>
  <c r="AF4" i="7" s="1"/>
  <c r="AE5" i="7"/>
  <c r="AF5" i="7" s="1"/>
  <c r="AE6" i="7"/>
  <c r="AF6" i="7"/>
  <c r="AG6" i="7" s="1"/>
  <c r="AE7" i="7"/>
  <c r="AF7" i="7"/>
  <c r="AH7" i="7" s="1"/>
  <c r="AG7" i="7"/>
  <c r="AE8" i="7"/>
  <c r="AF8" i="7"/>
  <c r="AG8" i="7" s="1"/>
  <c r="AE9" i="7"/>
  <c r="AF9" i="7" s="1"/>
  <c r="AE10" i="7"/>
  <c r="AF10" i="7" s="1"/>
  <c r="AE11" i="7"/>
  <c r="AF11" i="7"/>
  <c r="AG11" i="7" s="1"/>
  <c r="AH11" i="7"/>
  <c r="AE12" i="7"/>
  <c r="AF12" i="7" s="1"/>
  <c r="AE13" i="7"/>
  <c r="AF13" i="7" s="1"/>
  <c r="AE14" i="7"/>
  <c r="AF14" i="7" s="1"/>
  <c r="AE15" i="7"/>
  <c r="AF15" i="7"/>
  <c r="AG15" i="7" s="1"/>
  <c r="AE16" i="7"/>
  <c r="AF16" i="7"/>
  <c r="AH16" i="7" s="1"/>
  <c r="AG16" i="7"/>
  <c r="AE17" i="7"/>
  <c r="AF17" i="7"/>
  <c r="AG17" i="7" s="1"/>
  <c r="AE18" i="7"/>
  <c r="AF18" i="7" s="1"/>
  <c r="AE19" i="7"/>
  <c r="AF19" i="7" s="1"/>
  <c r="AE20" i="7"/>
  <c r="AF20" i="7"/>
  <c r="AG20" i="7" s="1"/>
  <c r="AH20" i="7"/>
  <c r="AE21" i="7"/>
  <c r="AF21" i="7" s="1"/>
  <c r="AE22" i="7"/>
  <c r="AF22" i="7" s="1"/>
  <c r="AE23" i="7"/>
  <c r="AF23" i="7" s="1"/>
  <c r="AE24" i="7"/>
  <c r="AF24" i="7"/>
  <c r="AG24" i="7" s="1"/>
  <c r="AE25" i="7"/>
  <c r="AF25" i="7"/>
  <c r="AH25" i="7" s="1"/>
  <c r="AG25" i="7"/>
  <c r="AE26" i="7"/>
  <c r="AF26" i="7"/>
  <c r="AG26" i="7" s="1"/>
  <c r="AE27" i="7"/>
  <c r="AF27" i="7" s="1"/>
  <c r="AE28" i="7"/>
  <c r="AF28" i="7" s="1"/>
  <c r="AE29" i="7"/>
  <c r="AF29" i="7"/>
  <c r="AG29" i="7" s="1"/>
  <c r="AH29" i="7"/>
  <c r="AE30" i="7"/>
  <c r="AF30" i="7" s="1"/>
  <c r="AE31" i="7"/>
  <c r="AF31" i="7" s="1"/>
  <c r="AE32" i="7"/>
  <c r="AF32" i="7" s="1"/>
  <c r="AE33" i="7"/>
  <c r="AF33" i="7"/>
  <c r="AG33" i="7" s="1"/>
  <c r="AE34" i="7"/>
  <c r="AF34" i="7"/>
  <c r="AH34" i="7" s="1"/>
  <c r="AG34" i="7"/>
  <c r="AE35" i="7"/>
  <c r="AF35" i="7"/>
  <c r="AG35" i="7" s="1"/>
  <c r="AE36" i="7"/>
  <c r="AF36" i="7" s="1"/>
  <c r="AE37" i="7"/>
  <c r="AF37" i="7" s="1"/>
  <c r="AE38" i="7"/>
  <c r="AF38" i="7"/>
  <c r="AG38" i="7" s="1"/>
  <c r="AH38" i="7"/>
  <c r="AE39" i="7"/>
  <c r="AF39" i="7" s="1"/>
  <c r="AG39" i="7" s="1"/>
  <c r="AE40" i="7"/>
  <c r="AF40" i="7" s="1"/>
  <c r="AE41" i="7"/>
  <c r="AF41" i="7" s="1"/>
  <c r="AE42" i="7"/>
  <c r="AF42" i="7"/>
  <c r="AG42" i="7" s="1"/>
  <c r="AE43" i="7"/>
  <c r="AF43" i="7"/>
  <c r="AH43" i="7" s="1"/>
  <c r="AG43" i="7"/>
  <c r="AE44" i="7"/>
  <c r="AF44" i="7"/>
  <c r="AG44" i="7" s="1"/>
  <c r="AE45" i="7"/>
  <c r="AF45" i="7" s="1"/>
  <c r="AE46" i="7"/>
  <c r="AF46" i="7" s="1"/>
  <c r="AE47" i="7"/>
  <c r="AF47" i="7"/>
  <c r="AG47" i="7"/>
  <c r="AH47" i="7"/>
  <c r="AE48" i="7"/>
  <c r="AF48" i="7" s="1"/>
  <c r="AE49" i="7"/>
  <c r="AF49" i="7" s="1"/>
  <c r="AE50" i="7"/>
  <c r="AF50" i="7" s="1"/>
  <c r="AE51" i="7"/>
  <c r="AF51" i="7"/>
  <c r="AG51" i="7" s="1"/>
  <c r="AE52" i="7"/>
  <c r="AF52" i="7"/>
  <c r="AH52" i="7" s="1"/>
  <c r="AG52" i="7"/>
  <c r="AE53" i="7"/>
  <c r="AF53" i="7"/>
  <c r="AG53" i="7" s="1"/>
  <c r="AE54" i="7"/>
  <c r="AF54" i="7" s="1"/>
  <c r="AE55" i="7"/>
  <c r="AF55" i="7" s="1"/>
  <c r="AE56" i="7"/>
  <c r="AF56" i="7"/>
  <c r="AG56" i="7"/>
  <c r="AH56" i="7"/>
  <c r="AE57" i="7"/>
  <c r="AF57" i="7" s="1"/>
  <c r="AE58" i="7"/>
  <c r="AF58" i="7" s="1"/>
  <c r="AE59" i="7"/>
  <c r="AF59" i="7" s="1"/>
  <c r="AE60" i="7"/>
  <c r="AF60" i="7"/>
  <c r="AG60" i="7" s="1"/>
  <c r="AE61" i="7"/>
  <c r="AF61" i="7"/>
  <c r="AH61" i="7" s="1"/>
  <c r="AG61" i="7"/>
  <c r="AE62" i="7"/>
  <c r="AF62" i="7"/>
  <c r="AG62" i="7" s="1"/>
  <c r="AE63" i="7"/>
  <c r="AF63" i="7" s="1"/>
  <c r="AE64" i="7"/>
  <c r="AF64" i="7" s="1"/>
  <c r="AE65" i="7"/>
  <c r="AF65" i="7" s="1"/>
  <c r="AE66" i="7"/>
  <c r="AF66" i="7" s="1"/>
  <c r="AE67" i="7"/>
  <c r="AF67" i="7" s="1"/>
  <c r="AE68" i="7"/>
  <c r="AF68" i="7" s="1"/>
  <c r="AE69" i="7"/>
  <c r="AF69" i="7"/>
  <c r="AG69" i="7" s="1"/>
  <c r="AE70" i="7"/>
  <c r="AF70" i="7"/>
  <c r="AH70" i="7" s="1"/>
  <c r="AG70" i="7"/>
  <c r="AE71" i="7"/>
  <c r="AF71" i="7"/>
  <c r="AG71" i="7" s="1"/>
  <c r="AE72" i="7"/>
  <c r="AF72" i="7" s="1"/>
  <c r="AE73" i="7"/>
  <c r="AF73" i="7" s="1"/>
  <c r="AE74" i="7"/>
  <c r="AF74" i="7" s="1"/>
  <c r="AE75" i="7"/>
  <c r="AF75" i="7" s="1"/>
  <c r="AE76" i="7"/>
  <c r="AF76" i="7" s="1"/>
  <c r="AE77" i="7"/>
  <c r="AF77" i="7" s="1"/>
  <c r="AE78" i="7"/>
  <c r="AF78" i="7"/>
  <c r="AG78" i="7" s="1"/>
  <c r="AE79" i="7"/>
  <c r="AF79" i="7"/>
  <c r="AH79" i="7" s="1"/>
  <c r="AG79" i="7"/>
  <c r="AE80" i="7"/>
  <c r="AF80" i="7"/>
  <c r="AG80" i="7" s="1"/>
  <c r="AE81" i="7"/>
  <c r="AF81" i="7" s="1"/>
  <c r="AE82" i="7"/>
  <c r="AF82" i="7" s="1"/>
  <c r="AE83" i="7"/>
  <c r="AF83" i="7" s="1"/>
  <c r="AE84" i="7"/>
  <c r="AF84" i="7" s="1"/>
  <c r="AE85" i="7"/>
  <c r="AF85" i="7" s="1"/>
  <c r="AE86" i="7"/>
  <c r="AF86" i="7" s="1"/>
  <c r="AE87" i="7"/>
  <c r="AF87" i="7"/>
  <c r="AG87" i="7" s="1"/>
  <c r="AE88" i="7"/>
  <c r="AF88" i="7"/>
  <c r="AH88" i="7" s="1"/>
  <c r="AG88" i="7"/>
  <c r="AE89" i="7"/>
  <c r="AF89" i="7"/>
  <c r="AG89" i="7" s="1"/>
  <c r="AE90" i="7"/>
  <c r="AF90" i="7" s="1"/>
  <c r="AE91" i="7"/>
  <c r="AF91" i="7" s="1"/>
  <c r="AE92" i="7"/>
  <c r="AF92" i="7" s="1"/>
  <c r="AE93" i="7"/>
  <c r="AF93" i="7" s="1"/>
  <c r="AE94" i="7"/>
  <c r="AF94" i="7" s="1"/>
  <c r="AE95" i="7"/>
  <c r="AF95" i="7" s="1"/>
  <c r="AE96" i="7"/>
  <c r="AF96" i="7"/>
  <c r="AG96" i="7" s="1"/>
  <c r="AE97" i="7"/>
  <c r="AF97" i="7"/>
  <c r="AH97" i="7" s="1"/>
  <c r="AG97" i="7"/>
  <c r="AE98" i="7"/>
  <c r="AF98" i="7"/>
  <c r="AG98" i="7" s="1"/>
  <c r="AE99" i="7"/>
  <c r="AF99" i="7" s="1"/>
  <c r="AE100" i="7"/>
  <c r="AF100" i="7" s="1"/>
  <c r="AE101" i="7"/>
  <c r="AF101" i="7" s="1"/>
  <c r="AE102" i="7"/>
  <c r="AF102" i="7" s="1"/>
  <c r="AE103" i="7"/>
  <c r="AF103" i="7" s="1"/>
  <c r="AE104" i="7"/>
  <c r="AF104" i="7" s="1"/>
  <c r="AE105" i="7"/>
  <c r="AF105" i="7"/>
  <c r="AG105" i="7" s="1"/>
  <c r="AE106" i="7"/>
  <c r="AF106" i="7"/>
  <c r="AH106" i="7" s="1"/>
  <c r="AG106" i="7"/>
  <c r="AE107" i="7"/>
  <c r="AF107" i="7"/>
  <c r="AG107" i="7" s="1"/>
  <c r="AE108" i="7"/>
  <c r="AF108" i="7" s="1"/>
  <c r="AE109" i="7"/>
  <c r="AF109" i="7" s="1"/>
  <c r="AE110" i="7"/>
  <c r="AF110" i="7" s="1"/>
  <c r="AE111" i="7"/>
  <c r="AF111" i="7" s="1"/>
  <c r="AE112" i="7"/>
  <c r="AF112" i="7" s="1"/>
  <c r="AE113" i="7"/>
  <c r="AF113" i="7" s="1"/>
  <c r="AE114" i="7"/>
  <c r="AF114" i="7"/>
  <c r="AG114" i="7" s="1"/>
  <c r="AE115" i="7"/>
  <c r="AF115" i="7"/>
  <c r="AH115" i="7" s="1"/>
  <c r="AG115" i="7"/>
  <c r="AE116" i="7"/>
  <c r="AF116" i="7"/>
  <c r="AG116" i="7" s="1"/>
  <c r="AE117" i="7"/>
  <c r="AF117" i="7" s="1"/>
  <c r="AE118" i="7"/>
  <c r="AF118" i="7" s="1"/>
  <c r="AE119" i="7"/>
  <c r="AF119" i="7" s="1"/>
  <c r="AE120" i="7"/>
  <c r="AF120" i="7" s="1"/>
  <c r="AE121" i="7"/>
  <c r="AF121" i="7" s="1"/>
  <c r="AE122" i="7"/>
  <c r="AF122" i="7" s="1"/>
  <c r="AE123" i="7"/>
  <c r="AF123" i="7"/>
  <c r="AG123" i="7" s="1"/>
  <c r="AE124" i="7"/>
  <c r="AF124" i="7"/>
  <c r="AH124" i="7" s="1"/>
  <c r="AG124" i="7"/>
  <c r="AE125" i="7"/>
  <c r="AF125" i="7"/>
  <c r="AG125" i="7" s="1"/>
  <c r="AE126" i="7"/>
  <c r="AF126" i="7" s="1"/>
  <c r="AE127" i="7"/>
  <c r="AF127" i="7" s="1"/>
  <c r="AE128" i="7"/>
  <c r="AF128" i="7" s="1"/>
  <c r="AE129" i="7"/>
  <c r="AF129" i="7" s="1"/>
  <c r="AE130" i="7"/>
  <c r="AF130" i="7" s="1"/>
  <c r="AE131" i="7"/>
  <c r="AF131" i="7" s="1"/>
  <c r="AE132" i="7"/>
  <c r="AF132" i="7"/>
  <c r="AH132" i="7" s="1"/>
  <c r="AG132" i="7"/>
  <c r="AE133" i="7"/>
  <c r="AF133" i="7"/>
  <c r="AH133" i="7" s="1"/>
  <c r="AG133" i="7"/>
  <c r="AE134" i="7"/>
  <c r="AF134" i="7"/>
  <c r="AE135" i="7"/>
  <c r="AF135" i="7" s="1"/>
  <c r="AE136" i="7"/>
  <c r="AF136" i="7" s="1"/>
  <c r="AE137" i="7"/>
  <c r="AF137" i="7" s="1"/>
  <c r="AE138" i="7"/>
  <c r="AF138" i="7" s="1"/>
  <c r="AG138" i="7" s="1"/>
  <c r="AH138" i="7"/>
  <c r="AE139" i="7"/>
  <c r="AF139" i="7" s="1"/>
  <c r="AE140" i="7"/>
  <c r="AF140" i="7" s="1"/>
  <c r="AE141" i="7"/>
  <c r="AF141" i="7"/>
  <c r="AH141" i="7" s="1"/>
  <c r="AG141" i="7"/>
  <c r="AE142" i="7"/>
  <c r="AF142" i="7"/>
  <c r="AH142" i="7" s="1"/>
  <c r="AG142" i="7"/>
  <c r="AE143" i="7"/>
  <c r="AF143" i="7"/>
  <c r="AE144" i="7"/>
  <c r="AF144" i="7" s="1"/>
  <c r="AE145" i="7"/>
  <c r="AF145" i="7" s="1"/>
  <c r="AE146" i="7"/>
  <c r="AF146" i="7" s="1"/>
  <c r="AE147" i="7"/>
  <c r="AF147" i="7" s="1"/>
  <c r="AG147" i="7" s="1"/>
  <c r="AH147" i="7"/>
  <c r="AE148" i="7"/>
  <c r="AF148" i="7" s="1"/>
  <c r="AE149" i="7"/>
  <c r="AF149" i="7" s="1"/>
  <c r="AE150" i="7"/>
  <c r="AF150" i="7"/>
  <c r="AH150" i="7" s="1"/>
  <c r="AG150" i="7"/>
  <c r="AE151" i="7"/>
  <c r="AF151" i="7"/>
  <c r="AH151" i="7" s="1"/>
  <c r="AG151" i="7"/>
  <c r="AE152" i="7"/>
  <c r="AF152" i="7"/>
  <c r="AE153" i="7"/>
  <c r="AF153" i="7" s="1"/>
  <c r="AE154" i="7"/>
  <c r="AF154" i="7" s="1"/>
  <c r="AE155" i="7"/>
  <c r="AF155" i="7" s="1"/>
  <c r="AE156" i="7"/>
  <c r="AF156" i="7" s="1"/>
  <c r="AG156" i="7" s="1"/>
  <c r="AH156" i="7"/>
  <c r="AE157" i="7"/>
  <c r="AF157" i="7" s="1"/>
  <c r="AE158" i="7"/>
  <c r="AF158" i="7" s="1"/>
  <c r="AE159" i="7"/>
  <c r="AF159" i="7"/>
  <c r="AH159" i="7" s="1"/>
  <c r="AG159" i="7"/>
  <c r="AE160" i="7"/>
  <c r="AF160" i="7"/>
  <c r="AH160" i="7" s="1"/>
  <c r="AG160" i="7"/>
  <c r="AE161" i="7"/>
  <c r="AF161" i="7"/>
  <c r="AE162" i="7"/>
  <c r="AF162" i="7" s="1"/>
  <c r="AE163" i="7"/>
  <c r="AF163" i="7" s="1"/>
  <c r="AE164" i="7"/>
  <c r="AF164" i="7" s="1"/>
  <c r="AE165" i="7"/>
  <c r="AF165" i="7" s="1"/>
  <c r="AG165" i="7" s="1"/>
  <c r="AH165" i="7"/>
  <c r="AE166" i="7"/>
  <c r="AF166" i="7" s="1"/>
  <c r="AE167" i="7"/>
  <c r="AF167" i="7" s="1"/>
  <c r="AE168" i="7"/>
  <c r="AF168" i="7"/>
  <c r="AH168" i="7" s="1"/>
  <c r="AG168" i="7"/>
  <c r="AE169" i="7"/>
  <c r="AF169" i="7"/>
  <c r="AH169" i="7" s="1"/>
  <c r="AG169" i="7"/>
  <c r="AE170" i="7"/>
  <c r="AF170" i="7"/>
  <c r="AE171" i="7"/>
  <c r="AF171" i="7" s="1"/>
  <c r="AE172" i="7"/>
  <c r="AF172" i="7" s="1"/>
  <c r="AE173" i="7"/>
  <c r="AF173" i="7" s="1"/>
  <c r="AE174" i="7"/>
  <c r="AF174" i="7" s="1"/>
  <c r="AG174" i="7" s="1"/>
  <c r="AH174" i="7"/>
  <c r="AE175" i="7"/>
  <c r="AF175" i="7" s="1"/>
  <c r="AE176" i="7"/>
  <c r="AF176" i="7" s="1"/>
  <c r="AE177" i="7"/>
  <c r="AF177" i="7"/>
  <c r="AH177" i="7" s="1"/>
  <c r="AG177" i="7"/>
  <c r="AE178" i="7"/>
  <c r="AF178" i="7"/>
  <c r="AH178" i="7" s="1"/>
  <c r="AG178" i="7"/>
  <c r="AE179" i="7"/>
  <c r="AF179" i="7"/>
  <c r="AH179" i="7" s="1"/>
  <c r="AG179" i="7"/>
  <c r="AE180" i="7"/>
  <c r="AF180" i="7" s="1"/>
  <c r="AE181" i="7"/>
  <c r="AF181" i="7" s="1"/>
  <c r="AE182" i="7"/>
  <c r="AF182" i="7" s="1"/>
  <c r="AE183" i="7"/>
  <c r="AF183" i="7" s="1"/>
  <c r="AG183" i="7" s="1"/>
  <c r="AE184" i="7"/>
  <c r="AF184" i="7" s="1"/>
  <c r="AE185" i="7"/>
  <c r="AF185" i="7" s="1"/>
  <c r="AE186" i="7"/>
  <c r="AF186" i="7"/>
  <c r="AH186" i="7" s="1"/>
  <c r="AG186" i="7"/>
  <c r="AE187" i="7"/>
  <c r="AF187" i="7"/>
  <c r="AH187" i="7" s="1"/>
  <c r="AG187" i="7"/>
  <c r="AE188" i="7"/>
  <c r="AF188" i="7"/>
  <c r="AH188" i="7" s="1"/>
  <c r="AG188" i="7"/>
  <c r="AE189" i="7"/>
  <c r="AF189" i="7" s="1"/>
  <c r="AE190" i="7"/>
  <c r="AF190" i="7" s="1"/>
  <c r="AE191" i="7"/>
  <c r="AF191" i="7" s="1"/>
  <c r="AE192" i="7"/>
  <c r="AF192" i="7" s="1"/>
  <c r="AG192" i="7" s="1"/>
  <c r="AH192" i="7"/>
  <c r="AE193" i="7"/>
  <c r="AF193" i="7" s="1"/>
  <c r="AE194" i="7"/>
  <c r="AF194" i="7" s="1"/>
  <c r="AE195" i="7"/>
  <c r="AF195" i="7"/>
  <c r="AH195" i="7" s="1"/>
  <c r="AG195" i="7"/>
  <c r="AE196" i="7"/>
  <c r="AF196" i="7"/>
  <c r="AH196" i="7" s="1"/>
  <c r="AG196" i="7"/>
  <c r="AE197" i="7"/>
  <c r="AF197" i="7"/>
  <c r="AH197" i="7" s="1"/>
  <c r="AE198" i="7"/>
  <c r="AF198" i="7" s="1"/>
  <c r="AE199" i="7"/>
  <c r="AF199" i="7" s="1"/>
  <c r="AE200" i="7"/>
  <c r="AF200" i="7" s="1"/>
  <c r="AE201" i="7"/>
  <c r="AF201" i="7" s="1"/>
  <c r="AG201" i="7" s="1"/>
  <c r="AH201" i="7"/>
  <c r="AE202" i="7"/>
  <c r="AF202" i="7" s="1"/>
  <c r="AE203" i="7"/>
  <c r="AF203" i="7" s="1"/>
  <c r="AE204" i="7"/>
  <c r="AF204" i="7"/>
  <c r="AH204" i="7" s="1"/>
  <c r="AG204" i="7"/>
  <c r="AE205" i="7"/>
  <c r="AF205" i="7"/>
  <c r="AH205" i="7" s="1"/>
  <c r="AG205" i="7"/>
  <c r="AE206" i="7"/>
  <c r="AF206" i="7"/>
  <c r="AH206" i="7" s="1"/>
  <c r="AE207" i="7"/>
  <c r="AF207" i="7" s="1"/>
  <c r="AE208" i="7"/>
  <c r="AF208" i="7" s="1"/>
  <c r="AE209" i="7"/>
  <c r="AF209" i="7" s="1"/>
  <c r="AE210" i="7"/>
  <c r="AF210" i="7" s="1"/>
  <c r="AG210" i="7" s="1"/>
  <c r="AH210" i="7"/>
  <c r="AE211" i="7"/>
  <c r="AF211" i="7" s="1"/>
  <c r="AE212" i="7"/>
  <c r="AF212" i="7" s="1"/>
  <c r="AE213" i="7"/>
  <c r="AF213" i="7"/>
  <c r="AH213" i="7" s="1"/>
  <c r="AG213" i="7"/>
  <c r="AE214" i="7"/>
  <c r="AF214" i="7"/>
  <c r="AH214" i="7" s="1"/>
  <c r="AG214" i="7"/>
  <c r="AE215" i="7"/>
  <c r="AF215" i="7"/>
  <c r="AH215" i="7" s="1"/>
  <c r="AE216" i="7"/>
  <c r="AF216" i="7" s="1"/>
  <c r="AE217" i="7"/>
  <c r="AF217" i="7" s="1"/>
  <c r="AE218" i="7"/>
  <c r="AF218" i="7" s="1"/>
  <c r="AE219" i="7"/>
  <c r="AF219" i="7" s="1"/>
  <c r="AG219" i="7" s="1"/>
  <c r="AE220" i="7"/>
  <c r="AF220" i="7" s="1"/>
  <c r="AE221" i="7"/>
  <c r="AF221" i="7" s="1"/>
  <c r="AE222" i="7"/>
  <c r="AF222" i="7" s="1"/>
  <c r="AE223" i="7"/>
  <c r="AF223" i="7"/>
  <c r="AH223" i="7" s="1"/>
  <c r="AG223" i="7"/>
  <c r="AE224" i="7"/>
  <c r="AF224" i="7"/>
  <c r="AH224" i="7" s="1"/>
  <c r="AG224" i="7"/>
  <c r="AE225" i="7"/>
  <c r="AF225" i="7" s="1"/>
  <c r="AE226" i="7"/>
  <c r="AF226" i="7" s="1"/>
  <c r="AE227" i="7"/>
  <c r="AF227" i="7" s="1"/>
  <c r="AE228" i="7"/>
  <c r="AF228" i="7" s="1"/>
  <c r="AG228" i="7" s="1"/>
  <c r="AH228" i="7"/>
  <c r="AE229" i="7"/>
  <c r="AF229" i="7" s="1"/>
  <c r="AE230" i="7"/>
  <c r="AF230" i="7" s="1"/>
  <c r="AE231" i="7"/>
  <c r="AF231" i="7" s="1"/>
  <c r="AE232" i="7"/>
  <c r="AF232" i="7"/>
  <c r="AH232" i="7" s="1"/>
  <c r="AG232" i="7"/>
  <c r="AE3" i="7"/>
  <c r="AA4" i="7"/>
  <c r="AB4" i="7" s="1"/>
  <c r="AA5" i="7"/>
  <c r="AB5" i="7" s="1"/>
  <c r="AA6" i="7"/>
  <c r="AB6" i="7"/>
  <c r="AC6" i="7"/>
  <c r="AD6" i="7"/>
  <c r="AA7" i="7"/>
  <c r="AB7" i="7" s="1"/>
  <c r="AC7" i="7" s="1"/>
  <c r="AD7" i="7"/>
  <c r="AA8" i="7"/>
  <c r="AB8" i="7" s="1"/>
  <c r="AA9" i="7"/>
  <c r="AB9" i="7" s="1"/>
  <c r="AA10" i="7"/>
  <c r="AB10" i="7" s="1"/>
  <c r="AC10" i="7" s="1"/>
  <c r="AD10" i="7"/>
  <c r="AA11" i="7"/>
  <c r="AB11" i="7" s="1"/>
  <c r="AA12" i="7"/>
  <c r="AB12" i="7"/>
  <c r="AD12" i="7" s="1"/>
  <c r="AA13" i="7"/>
  <c r="AB13" i="7" s="1"/>
  <c r="AA14" i="7"/>
  <c r="AB14" i="7" s="1"/>
  <c r="AA15" i="7"/>
  <c r="AB15" i="7"/>
  <c r="AC15" i="7"/>
  <c r="AD15" i="7"/>
  <c r="AA16" i="7"/>
  <c r="AB16" i="7" s="1"/>
  <c r="AC16" i="7" s="1"/>
  <c r="AD16" i="7"/>
  <c r="AA17" i="7"/>
  <c r="AB17" i="7" s="1"/>
  <c r="AA18" i="7"/>
  <c r="AB18" i="7" s="1"/>
  <c r="AA19" i="7"/>
  <c r="AB19" i="7" s="1"/>
  <c r="AA20" i="7"/>
  <c r="AB20" i="7"/>
  <c r="AA21" i="7"/>
  <c r="AB21" i="7"/>
  <c r="AD21" i="7" s="1"/>
  <c r="AA22" i="7"/>
  <c r="AB22" i="7" s="1"/>
  <c r="AA23" i="7"/>
  <c r="AB23" i="7" s="1"/>
  <c r="AA24" i="7"/>
  <c r="AB24" i="7"/>
  <c r="AC24" i="7"/>
  <c r="AD24" i="7"/>
  <c r="AA25" i="7"/>
  <c r="AB25" i="7" s="1"/>
  <c r="AC25" i="7" s="1"/>
  <c r="AD25" i="7"/>
  <c r="AA26" i="7"/>
  <c r="AB26" i="7" s="1"/>
  <c r="AA27" i="7"/>
  <c r="AB27" i="7" s="1"/>
  <c r="AA28" i="7"/>
  <c r="AB28" i="7" s="1"/>
  <c r="AA29" i="7"/>
  <c r="AB29" i="7" s="1"/>
  <c r="AA30" i="7"/>
  <c r="AB30" i="7"/>
  <c r="AD30" i="7" s="1"/>
  <c r="AA31" i="7"/>
  <c r="AB31" i="7" s="1"/>
  <c r="AA32" i="7"/>
  <c r="AB32" i="7" s="1"/>
  <c r="AA33" i="7"/>
  <c r="AB33" i="7"/>
  <c r="AC33" i="7"/>
  <c r="AD33" i="7"/>
  <c r="AA34" i="7"/>
  <c r="AB34" i="7" s="1"/>
  <c r="AC34" i="7" s="1"/>
  <c r="AA35" i="7"/>
  <c r="AB35" i="7" s="1"/>
  <c r="AA36" i="7"/>
  <c r="AB36" i="7" s="1"/>
  <c r="AA37" i="7"/>
  <c r="AB37" i="7" s="1"/>
  <c r="AA38" i="7"/>
  <c r="AB38" i="7" s="1"/>
  <c r="AA39" i="7"/>
  <c r="AB39" i="7"/>
  <c r="AD39" i="7" s="1"/>
  <c r="AC39" i="7"/>
  <c r="AA40" i="7"/>
  <c r="AB40" i="7" s="1"/>
  <c r="AA41" i="7"/>
  <c r="AB41" i="7" s="1"/>
  <c r="AA42" i="7"/>
  <c r="AB42" i="7"/>
  <c r="AC42" i="7"/>
  <c r="AD42" i="7"/>
  <c r="AA43" i="7"/>
  <c r="AB43" i="7" s="1"/>
  <c r="AC43" i="7" s="1"/>
  <c r="AA44" i="7"/>
  <c r="AB44" i="7" s="1"/>
  <c r="AA45" i="7"/>
  <c r="AB45" i="7" s="1"/>
  <c r="AA46" i="7"/>
  <c r="AB46" i="7" s="1"/>
  <c r="AA47" i="7"/>
  <c r="AB47" i="7"/>
  <c r="AA48" i="7"/>
  <c r="AB48" i="7"/>
  <c r="AD48" i="7" s="1"/>
  <c r="AC48" i="7"/>
  <c r="AA49" i="7"/>
  <c r="AB49" i="7" s="1"/>
  <c r="AA50" i="7"/>
  <c r="AB50" i="7" s="1"/>
  <c r="AA51" i="7"/>
  <c r="AB51" i="7"/>
  <c r="AC51" i="7"/>
  <c r="AD51" i="7"/>
  <c r="AA52" i="7"/>
  <c r="AB52" i="7" s="1"/>
  <c r="AC52" i="7" s="1"/>
  <c r="AA53" i="7"/>
  <c r="AB53" i="7" s="1"/>
  <c r="AA54" i="7"/>
  <c r="AB54" i="7" s="1"/>
  <c r="AA55" i="7"/>
  <c r="AB55" i="7" s="1"/>
  <c r="AA56" i="7"/>
  <c r="AB56" i="7" s="1"/>
  <c r="AA57" i="7"/>
  <c r="AB57" i="7"/>
  <c r="AD57" i="7" s="1"/>
  <c r="AC57" i="7"/>
  <c r="AA58" i="7"/>
  <c r="AB58" i="7" s="1"/>
  <c r="AA59" i="7"/>
  <c r="AB59" i="7" s="1"/>
  <c r="AA60" i="7"/>
  <c r="AB60" i="7"/>
  <c r="AC60" i="7"/>
  <c r="AD60" i="7"/>
  <c r="AA61" i="7"/>
  <c r="AB61" i="7" s="1"/>
  <c r="AC61" i="7" s="1"/>
  <c r="AD61" i="7"/>
  <c r="AA62" i="7"/>
  <c r="AB62" i="7" s="1"/>
  <c r="AA63" i="7"/>
  <c r="AB63" i="7" s="1"/>
  <c r="AA64" i="7"/>
  <c r="AB64" i="7" s="1"/>
  <c r="AA65" i="7"/>
  <c r="AB65" i="7"/>
  <c r="AA66" i="7"/>
  <c r="AB66" i="7"/>
  <c r="AD66" i="7" s="1"/>
  <c r="AC66" i="7"/>
  <c r="AA67" i="7"/>
  <c r="AB67" i="7" s="1"/>
  <c r="AA68" i="7"/>
  <c r="AB68" i="7" s="1"/>
  <c r="AA69" i="7"/>
  <c r="AB69" i="7"/>
  <c r="AC69" i="7"/>
  <c r="AD69" i="7"/>
  <c r="AA70" i="7"/>
  <c r="AB70" i="7" s="1"/>
  <c r="AC70" i="7" s="1"/>
  <c r="AA71" i="7"/>
  <c r="AB71" i="7" s="1"/>
  <c r="AA72" i="7"/>
  <c r="AB72" i="7" s="1"/>
  <c r="AA73" i="7"/>
  <c r="AB73" i="7" s="1"/>
  <c r="AA74" i="7"/>
  <c r="AB74" i="7"/>
  <c r="AA75" i="7"/>
  <c r="AB75" i="7"/>
  <c r="AD75" i="7" s="1"/>
  <c r="AC75" i="7"/>
  <c r="AA76" i="7"/>
  <c r="AB76" i="7" s="1"/>
  <c r="AA77" i="7"/>
  <c r="AB77" i="7" s="1"/>
  <c r="AA78" i="7"/>
  <c r="AB78" i="7"/>
  <c r="AC78" i="7"/>
  <c r="AD78" i="7"/>
  <c r="AA79" i="7"/>
  <c r="AB79" i="7" s="1"/>
  <c r="AC79" i="7" s="1"/>
  <c r="AD79" i="7"/>
  <c r="AA80" i="7"/>
  <c r="AB80" i="7" s="1"/>
  <c r="AA81" i="7"/>
  <c r="AB81" i="7" s="1"/>
  <c r="AA82" i="7"/>
  <c r="AB82" i="7" s="1"/>
  <c r="AA83" i="7"/>
  <c r="AB83" i="7" s="1"/>
  <c r="AA84" i="7"/>
  <c r="AB84" i="7"/>
  <c r="AD84" i="7" s="1"/>
  <c r="AA85" i="7"/>
  <c r="AB85" i="7" s="1"/>
  <c r="AA86" i="7"/>
  <c r="AB86" i="7" s="1"/>
  <c r="AA87" i="7"/>
  <c r="AB87" i="7"/>
  <c r="AC87" i="7"/>
  <c r="AD87" i="7"/>
  <c r="AA88" i="7"/>
  <c r="AB88" i="7" s="1"/>
  <c r="AC88" i="7" s="1"/>
  <c r="AD88" i="7"/>
  <c r="AA89" i="7"/>
  <c r="AB89" i="7" s="1"/>
  <c r="AA90" i="7"/>
  <c r="AB90" i="7" s="1"/>
  <c r="AA91" i="7"/>
  <c r="AB91" i="7" s="1"/>
  <c r="AA92" i="7"/>
  <c r="AB92" i="7" s="1"/>
  <c r="AA93" i="7"/>
  <c r="AB93" i="7"/>
  <c r="AD93" i="7" s="1"/>
  <c r="AC93" i="7"/>
  <c r="AA94" i="7"/>
  <c r="AB94" i="7" s="1"/>
  <c r="AA95" i="7"/>
  <c r="AB95" i="7" s="1"/>
  <c r="AA96" i="7"/>
  <c r="AB96" i="7"/>
  <c r="AC96" i="7"/>
  <c r="AD96" i="7"/>
  <c r="AA97" i="7"/>
  <c r="AB97" i="7" s="1"/>
  <c r="AC97" i="7" s="1"/>
  <c r="AD97" i="7"/>
  <c r="AA98" i="7"/>
  <c r="AB98" i="7" s="1"/>
  <c r="AA99" i="7"/>
  <c r="AB99" i="7" s="1"/>
  <c r="AA100" i="7"/>
  <c r="AB100" i="7" s="1"/>
  <c r="AA101" i="7"/>
  <c r="AB101" i="7" s="1"/>
  <c r="AA102" i="7"/>
  <c r="AB102" i="7"/>
  <c r="AD102" i="7" s="1"/>
  <c r="AC102" i="7"/>
  <c r="AA103" i="7"/>
  <c r="AB103" i="7" s="1"/>
  <c r="AA104" i="7"/>
  <c r="AB104" i="7" s="1"/>
  <c r="AA105" i="7"/>
  <c r="AB105" i="7"/>
  <c r="AC105" i="7"/>
  <c r="AD105" i="7"/>
  <c r="AA106" i="7"/>
  <c r="AB106" i="7" s="1"/>
  <c r="AC106" i="7" s="1"/>
  <c r="AA107" i="7"/>
  <c r="AB107" i="7" s="1"/>
  <c r="AA108" i="7"/>
  <c r="AB108" i="7" s="1"/>
  <c r="AA109" i="7"/>
  <c r="AB109" i="7" s="1"/>
  <c r="AA110" i="7"/>
  <c r="AB110" i="7" s="1"/>
  <c r="AA111" i="7"/>
  <c r="AB111" i="7"/>
  <c r="AD111" i="7" s="1"/>
  <c r="AA112" i="7"/>
  <c r="AB112" i="7" s="1"/>
  <c r="AA113" i="7"/>
  <c r="AB113" i="7" s="1"/>
  <c r="AA114" i="7"/>
  <c r="AB114" i="7"/>
  <c r="AC114" i="7"/>
  <c r="AD114" i="7"/>
  <c r="AA115" i="7"/>
  <c r="AB115" i="7" s="1"/>
  <c r="AC115" i="7"/>
  <c r="AD115" i="7"/>
  <c r="AA116" i="7"/>
  <c r="AB116" i="7" s="1"/>
  <c r="AA117" i="7"/>
  <c r="AB117" i="7" s="1"/>
  <c r="AA118" i="7"/>
  <c r="AB118" i="7" s="1"/>
  <c r="AA119" i="7"/>
  <c r="AB119" i="7" s="1"/>
  <c r="AA120" i="7"/>
  <c r="AB120" i="7" s="1"/>
  <c r="AA121" i="7"/>
  <c r="AB121" i="7" s="1"/>
  <c r="AA122" i="7"/>
  <c r="AB122" i="7" s="1"/>
  <c r="AA123" i="7"/>
  <c r="AB123" i="7"/>
  <c r="AC123" i="7"/>
  <c r="AD123" i="7"/>
  <c r="AA124" i="7"/>
  <c r="AB124" i="7" s="1"/>
  <c r="AC124" i="7"/>
  <c r="AD124" i="7"/>
  <c r="AA125" i="7"/>
  <c r="AB125" i="7" s="1"/>
  <c r="AA126" i="7"/>
  <c r="AB126" i="7" s="1"/>
  <c r="AA127" i="7"/>
  <c r="AB127" i="7" s="1"/>
  <c r="AC127" i="7" s="1"/>
  <c r="AD127" i="7"/>
  <c r="AA128" i="7"/>
  <c r="AB128" i="7" s="1"/>
  <c r="AA129" i="7"/>
  <c r="AB129" i="7" s="1"/>
  <c r="AA130" i="7"/>
  <c r="AB130" i="7" s="1"/>
  <c r="AA131" i="7"/>
  <c r="AB131" i="7" s="1"/>
  <c r="AA132" i="7"/>
  <c r="AB132" i="7"/>
  <c r="AD132" i="7" s="1"/>
  <c r="AC132" i="7"/>
  <c r="AA133" i="7"/>
  <c r="AB133" i="7" s="1"/>
  <c r="AC133" i="7" s="1"/>
  <c r="AA134" i="7"/>
  <c r="AB134" i="7" s="1"/>
  <c r="AA135" i="7"/>
  <c r="AB135" i="7" s="1"/>
  <c r="AA136" i="7"/>
  <c r="AB136" i="7" s="1"/>
  <c r="AC136" i="7" s="1"/>
  <c r="AD136" i="7"/>
  <c r="AA137" i="7"/>
  <c r="AB137" i="7" s="1"/>
  <c r="AA138" i="7"/>
  <c r="AB138" i="7" s="1"/>
  <c r="AA139" i="7"/>
  <c r="AB139" i="7" s="1"/>
  <c r="AA140" i="7"/>
  <c r="AB140" i="7" s="1"/>
  <c r="AA141" i="7"/>
  <c r="AB141" i="7"/>
  <c r="AC141" i="7" s="1"/>
  <c r="AA142" i="7"/>
  <c r="AB142" i="7" s="1"/>
  <c r="AC142" i="7" s="1"/>
  <c r="AD142" i="7"/>
  <c r="AA143" i="7"/>
  <c r="AB143" i="7" s="1"/>
  <c r="AA144" i="7"/>
  <c r="AB144" i="7" s="1"/>
  <c r="AA145" i="7"/>
  <c r="AB145" i="7" s="1"/>
  <c r="AC145" i="7" s="1"/>
  <c r="AD145" i="7"/>
  <c r="AA146" i="7"/>
  <c r="AB146" i="7"/>
  <c r="AD146" i="7" s="1"/>
  <c r="AC146" i="7"/>
  <c r="AA147" i="7"/>
  <c r="AB147" i="7" s="1"/>
  <c r="AA148" i="7"/>
  <c r="AB148" i="7" s="1"/>
  <c r="AA149" i="7"/>
  <c r="AB149" i="7" s="1"/>
  <c r="AA150" i="7"/>
  <c r="AB150" i="7"/>
  <c r="AC150" i="7"/>
  <c r="AD150" i="7"/>
  <c r="AA151" i="7"/>
  <c r="AB151" i="7" s="1"/>
  <c r="AC151" i="7"/>
  <c r="AD151" i="7"/>
  <c r="AA152" i="7"/>
  <c r="AB152" i="7" s="1"/>
  <c r="AA153" i="7"/>
  <c r="AB153" i="7" s="1"/>
  <c r="AA154" i="7"/>
  <c r="AB154" i="7" s="1"/>
  <c r="AC154" i="7" s="1"/>
  <c r="AD154" i="7"/>
  <c r="AA155" i="7"/>
  <c r="AB155" i="7" s="1"/>
  <c r="AA156" i="7"/>
  <c r="AB156" i="7" s="1"/>
  <c r="AA157" i="7"/>
  <c r="AB157" i="7" s="1"/>
  <c r="AA158" i="7"/>
  <c r="AB158" i="7" s="1"/>
  <c r="AA159" i="7"/>
  <c r="AB159" i="7"/>
  <c r="AC159" i="7"/>
  <c r="AD159" i="7"/>
  <c r="AA160" i="7"/>
  <c r="AB160" i="7" s="1"/>
  <c r="AC160" i="7" s="1"/>
  <c r="AA161" i="7"/>
  <c r="AB161" i="7" s="1"/>
  <c r="AA162" i="7"/>
  <c r="AB162" i="7" s="1"/>
  <c r="AA163" i="7"/>
  <c r="AB163" i="7" s="1"/>
  <c r="AC163" i="7" s="1"/>
  <c r="AD163" i="7"/>
  <c r="AA164" i="7"/>
  <c r="AB164" i="7" s="1"/>
  <c r="AA165" i="7"/>
  <c r="AB165" i="7" s="1"/>
  <c r="AA166" i="7"/>
  <c r="AB166" i="7" s="1"/>
  <c r="AA167" i="7"/>
  <c r="AB167" i="7" s="1"/>
  <c r="AA168" i="7"/>
  <c r="AB168" i="7"/>
  <c r="AC168" i="7" s="1"/>
  <c r="AD168" i="7"/>
  <c r="AA169" i="7"/>
  <c r="AB169" i="7" s="1"/>
  <c r="AC169" i="7"/>
  <c r="AD169" i="7"/>
  <c r="AA170" i="7"/>
  <c r="AB170" i="7" s="1"/>
  <c r="AA171" i="7"/>
  <c r="AB171" i="7" s="1"/>
  <c r="AA172" i="7"/>
  <c r="AB172" i="7" s="1"/>
  <c r="AC172" i="7" s="1"/>
  <c r="AD172" i="7"/>
  <c r="AA173" i="7"/>
  <c r="AB173" i="7" s="1"/>
  <c r="AA174" i="7"/>
  <c r="AB174" i="7" s="1"/>
  <c r="AA175" i="7"/>
  <c r="AB175" i="7" s="1"/>
  <c r="AA176" i="7"/>
  <c r="AB176" i="7" s="1"/>
  <c r="AA177" i="7"/>
  <c r="AB177" i="7"/>
  <c r="AC177" i="7"/>
  <c r="AD177" i="7"/>
  <c r="AA178" i="7"/>
  <c r="AB178" i="7" s="1"/>
  <c r="AC178" i="7" s="1"/>
  <c r="AD178" i="7"/>
  <c r="AA179" i="7"/>
  <c r="AB179" i="7" s="1"/>
  <c r="AA180" i="7"/>
  <c r="AB180" i="7" s="1"/>
  <c r="AA181" i="7"/>
  <c r="AB181" i="7" s="1"/>
  <c r="AC181" i="7" s="1"/>
  <c r="AA182" i="7"/>
  <c r="AB182" i="7" s="1"/>
  <c r="AA183" i="7"/>
  <c r="AB183" i="7"/>
  <c r="AD183" i="7" s="1"/>
  <c r="AA184" i="7"/>
  <c r="AB184" i="7" s="1"/>
  <c r="AA185" i="7"/>
  <c r="AB185" i="7" s="1"/>
  <c r="AA186" i="7"/>
  <c r="AB186" i="7"/>
  <c r="AC186" i="7"/>
  <c r="AD186" i="7"/>
  <c r="AA187" i="7"/>
  <c r="AB187" i="7" s="1"/>
  <c r="AC187" i="7"/>
  <c r="AD187" i="7"/>
  <c r="AA188" i="7"/>
  <c r="AB188" i="7" s="1"/>
  <c r="AA189" i="7"/>
  <c r="AB189" i="7" s="1"/>
  <c r="AA190" i="7"/>
  <c r="AB190" i="7" s="1"/>
  <c r="AC190" i="7" s="1"/>
  <c r="AA191" i="7"/>
  <c r="AB191" i="7" s="1"/>
  <c r="AA192" i="7"/>
  <c r="AB192" i="7" s="1"/>
  <c r="AA193" i="7"/>
  <c r="AB193" i="7" s="1"/>
  <c r="AA194" i="7"/>
  <c r="AB194" i="7" s="1"/>
  <c r="AA195" i="7"/>
  <c r="AB195" i="7"/>
  <c r="AC195" i="7"/>
  <c r="AD195" i="7"/>
  <c r="AA196" i="7"/>
  <c r="AB196" i="7" s="1"/>
  <c r="AC196" i="7" s="1"/>
  <c r="AD196" i="7"/>
  <c r="AA197" i="7"/>
  <c r="AB197" i="7" s="1"/>
  <c r="AA198" i="7"/>
  <c r="AB198" i="7" s="1"/>
  <c r="AA199" i="7"/>
  <c r="AB199" i="7" s="1"/>
  <c r="AC199" i="7" s="1"/>
  <c r="AD199" i="7"/>
  <c r="AA200" i="7"/>
  <c r="AB200" i="7" s="1"/>
  <c r="AA201" i="7"/>
  <c r="AB201" i="7"/>
  <c r="AD201" i="7" s="1"/>
  <c r="AC201" i="7"/>
  <c r="AA202" i="7"/>
  <c r="AB202" i="7" s="1"/>
  <c r="AA203" i="7"/>
  <c r="AB203" i="7" s="1"/>
  <c r="AA204" i="7"/>
  <c r="AB204" i="7"/>
  <c r="AC204" i="7"/>
  <c r="AD204" i="7"/>
  <c r="AA205" i="7"/>
  <c r="AB205" i="7" s="1"/>
  <c r="AC205" i="7" s="1"/>
  <c r="AD205" i="7"/>
  <c r="AA206" i="7"/>
  <c r="AB206" i="7" s="1"/>
  <c r="AA207" i="7"/>
  <c r="AB207" i="7" s="1"/>
  <c r="AA208" i="7"/>
  <c r="AB208" i="7" s="1"/>
  <c r="AC208" i="7" s="1"/>
  <c r="AA209" i="7"/>
  <c r="AB209" i="7"/>
  <c r="AD209" i="7" s="1"/>
  <c r="AA210" i="7"/>
  <c r="AB210" i="7" s="1"/>
  <c r="AA211" i="7"/>
  <c r="AB211" i="7" s="1"/>
  <c r="AA212" i="7"/>
  <c r="AB212" i="7" s="1"/>
  <c r="AA213" i="7"/>
  <c r="AB213" i="7"/>
  <c r="AC213" i="7"/>
  <c r="AD213" i="7"/>
  <c r="AA214" i="7"/>
  <c r="AB214" i="7" s="1"/>
  <c r="AC214" i="7" s="1"/>
  <c r="AA215" i="7"/>
  <c r="AB215" i="7" s="1"/>
  <c r="AA216" i="7"/>
  <c r="AB216" i="7" s="1"/>
  <c r="AA217" i="7"/>
  <c r="AB217" i="7" s="1"/>
  <c r="AC217" i="7" s="1"/>
  <c r="AD217" i="7"/>
  <c r="AA218" i="7"/>
  <c r="AB218" i="7" s="1"/>
  <c r="AA219" i="7"/>
  <c r="AB219" i="7" s="1"/>
  <c r="AA220" i="7"/>
  <c r="AB220" i="7" s="1"/>
  <c r="AA221" i="7"/>
  <c r="AB221" i="7" s="1"/>
  <c r="AA222" i="7"/>
  <c r="AB222" i="7"/>
  <c r="AC222" i="7"/>
  <c r="AD222" i="7"/>
  <c r="AA223" i="7"/>
  <c r="AB223" i="7" s="1"/>
  <c r="AC223" i="7" s="1"/>
  <c r="AA224" i="7"/>
  <c r="AB224" i="7" s="1"/>
  <c r="AA225" i="7"/>
  <c r="AB225" i="7" s="1"/>
  <c r="AA226" i="7"/>
  <c r="AB226" i="7" s="1"/>
  <c r="AC226" i="7" s="1"/>
  <c r="AD226" i="7"/>
  <c r="AA227" i="7"/>
  <c r="AB227" i="7"/>
  <c r="AD227" i="7" s="1"/>
  <c r="AC227" i="7"/>
  <c r="AA228" i="7"/>
  <c r="AB228" i="7"/>
  <c r="AD228" i="7" s="1"/>
  <c r="AC228" i="7"/>
  <c r="AA229" i="7"/>
  <c r="AB229" i="7" s="1"/>
  <c r="AA230" i="7"/>
  <c r="AB230" i="7" s="1"/>
  <c r="AA231" i="7"/>
  <c r="AB231" i="7"/>
  <c r="AC231" i="7"/>
  <c r="AD231" i="7"/>
  <c r="AA232" i="7"/>
  <c r="AB232" i="7" s="1"/>
  <c r="AC232" i="7" s="1"/>
  <c r="AA3" i="7"/>
  <c r="W4" i="7"/>
  <c r="X4" i="7" s="1"/>
  <c r="W5" i="7"/>
  <c r="X5" i="7" s="1"/>
  <c r="W6" i="7"/>
  <c r="X6" i="7" s="1"/>
  <c r="W7" i="7"/>
  <c r="X7" i="7"/>
  <c r="Y7" i="7"/>
  <c r="Z7" i="7"/>
  <c r="W8" i="7"/>
  <c r="X8" i="7" s="1"/>
  <c r="W9" i="7"/>
  <c r="X9" i="7" s="1"/>
  <c r="W10" i="7"/>
  <c r="X10" i="7" s="1"/>
  <c r="W11" i="7"/>
  <c r="X11" i="7" s="1"/>
  <c r="W12" i="7"/>
  <c r="X12" i="7"/>
  <c r="Z12" i="7" s="1"/>
  <c r="Y12" i="7"/>
  <c r="W13" i="7"/>
  <c r="X13" i="7" s="1"/>
  <c r="W14" i="7"/>
  <c r="X14" i="7" s="1"/>
  <c r="W15" i="7"/>
  <c r="X15" i="7" s="1"/>
  <c r="W16" i="7"/>
  <c r="X16" i="7"/>
  <c r="Y16" i="7"/>
  <c r="Z16" i="7"/>
  <c r="W17" i="7"/>
  <c r="X17" i="7" s="1"/>
  <c r="W18" i="7"/>
  <c r="X18" i="7" s="1"/>
  <c r="W19" i="7"/>
  <c r="X19" i="7" s="1"/>
  <c r="W20" i="7"/>
  <c r="X20" i="7" s="1"/>
  <c r="W21" i="7"/>
  <c r="X21" i="7"/>
  <c r="Z21" i="7" s="1"/>
  <c r="Y21" i="7"/>
  <c r="W22" i="7"/>
  <c r="X22" i="7" s="1"/>
  <c r="W23" i="7"/>
  <c r="X23" i="7" s="1"/>
  <c r="W24" i="7"/>
  <c r="X24" i="7" s="1"/>
  <c r="W25" i="7"/>
  <c r="X25" i="7"/>
  <c r="Y25" i="7"/>
  <c r="Z25" i="7"/>
  <c r="W26" i="7"/>
  <c r="X26" i="7" s="1"/>
  <c r="W27" i="7"/>
  <c r="X27" i="7" s="1"/>
  <c r="W28" i="7"/>
  <c r="X28" i="7" s="1"/>
  <c r="W29" i="7"/>
  <c r="X29" i="7" s="1"/>
  <c r="W30" i="7"/>
  <c r="X30" i="7"/>
  <c r="Z30" i="7" s="1"/>
  <c r="Y30" i="7"/>
  <c r="W31" i="7"/>
  <c r="X31" i="7" s="1"/>
  <c r="W32" i="7"/>
  <c r="X32" i="7" s="1"/>
  <c r="W33" i="7"/>
  <c r="X33" i="7" s="1"/>
  <c r="W34" i="7"/>
  <c r="X34" i="7"/>
  <c r="Y34" i="7"/>
  <c r="Z34" i="7"/>
  <c r="W35" i="7"/>
  <c r="X35" i="7" s="1"/>
  <c r="W36" i="7"/>
  <c r="X36" i="7" s="1"/>
  <c r="W37" i="7"/>
  <c r="X37" i="7" s="1"/>
  <c r="W38" i="7"/>
  <c r="X38" i="7" s="1"/>
  <c r="W39" i="7"/>
  <c r="X39" i="7"/>
  <c r="Z39" i="7" s="1"/>
  <c r="Y39" i="7"/>
  <c r="W40" i="7"/>
  <c r="X40" i="7" s="1"/>
  <c r="W41" i="7"/>
  <c r="X41" i="7" s="1"/>
  <c r="W42" i="7"/>
  <c r="X42" i="7" s="1"/>
  <c r="W43" i="7"/>
  <c r="X43" i="7"/>
  <c r="Y43" i="7"/>
  <c r="Z43" i="7"/>
  <c r="W44" i="7"/>
  <c r="X44" i="7" s="1"/>
  <c r="W45" i="7"/>
  <c r="X45" i="7" s="1"/>
  <c r="W46" i="7"/>
  <c r="X46" i="7" s="1"/>
  <c r="W47" i="7"/>
  <c r="X47" i="7" s="1"/>
  <c r="W48" i="7"/>
  <c r="X48" i="7"/>
  <c r="Z48" i="7" s="1"/>
  <c r="Y48" i="7"/>
  <c r="W49" i="7"/>
  <c r="X49" i="7" s="1"/>
  <c r="W50" i="7"/>
  <c r="X50" i="7" s="1"/>
  <c r="W51" i="7"/>
  <c r="X51" i="7" s="1"/>
  <c r="W52" i="7"/>
  <c r="X52" i="7"/>
  <c r="Y52" i="7"/>
  <c r="Z52" i="7"/>
  <c r="W53" i="7"/>
  <c r="X53" i="7" s="1"/>
  <c r="W54" i="7"/>
  <c r="X54" i="7" s="1"/>
  <c r="W55" i="7"/>
  <c r="X55" i="7" s="1"/>
  <c r="W56" i="7"/>
  <c r="X56" i="7" s="1"/>
  <c r="W57" i="7"/>
  <c r="X57" i="7"/>
  <c r="Z57" i="7" s="1"/>
  <c r="Y57" i="7"/>
  <c r="W58" i="7"/>
  <c r="X58" i="7" s="1"/>
  <c r="W59" i="7"/>
  <c r="X59" i="7" s="1"/>
  <c r="W60" i="7"/>
  <c r="X60" i="7" s="1"/>
  <c r="W61" i="7"/>
  <c r="X61" i="7"/>
  <c r="Y61" i="7"/>
  <c r="Z61" i="7"/>
  <c r="W62" i="7"/>
  <c r="X62" i="7" s="1"/>
  <c r="W63" i="7"/>
  <c r="X63" i="7" s="1"/>
  <c r="W64" i="7"/>
  <c r="X64" i="7" s="1"/>
  <c r="W65" i="7"/>
  <c r="X65" i="7" s="1"/>
  <c r="W66" i="7"/>
  <c r="X66" i="7"/>
  <c r="Z66" i="7" s="1"/>
  <c r="Y66" i="7"/>
  <c r="W67" i="7"/>
  <c r="X67" i="7" s="1"/>
  <c r="W68" i="7"/>
  <c r="X68" i="7" s="1"/>
  <c r="W69" i="7"/>
  <c r="X69" i="7" s="1"/>
  <c r="W70" i="7"/>
  <c r="X70" i="7"/>
  <c r="Y70" i="7"/>
  <c r="Z70" i="7"/>
  <c r="W71" i="7"/>
  <c r="X71" i="7" s="1"/>
  <c r="W72" i="7"/>
  <c r="X72" i="7" s="1"/>
  <c r="W73" i="7"/>
  <c r="X73" i="7" s="1"/>
  <c r="W74" i="7"/>
  <c r="X74" i="7" s="1"/>
  <c r="W75" i="7"/>
  <c r="X75" i="7"/>
  <c r="Z75" i="7" s="1"/>
  <c r="Y75" i="7"/>
  <c r="W76" i="7"/>
  <c r="X76" i="7" s="1"/>
  <c r="W77" i="7"/>
  <c r="X77" i="7" s="1"/>
  <c r="W78" i="7"/>
  <c r="X78" i="7" s="1"/>
  <c r="W79" i="7"/>
  <c r="X79" i="7" s="1"/>
  <c r="W80" i="7"/>
  <c r="X80" i="7" s="1"/>
  <c r="W81" i="7"/>
  <c r="X81" i="7" s="1"/>
  <c r="W82" i="7"/>
  <c r="X82" i="7" s="1"/>
  <c r="W83" i="7"/>
  <c r="X83" i="7" s="1"/>
  <c r="W84" i="7"/>
  <c r="X84" i="7"/>
  <c r="Z84" i="7" s="1"/>
  <c r="Y84" i="7"/>
  <c r="W85" i="7"/>
  <c r="X85" i="7" s="1"/>
  <c r="W86" i="7"/>
  <c r="X86" i="7" s="1"/>
  <c r="W87" i="7"/>
  <c r="X87" i="7" s="1"/>
  <c r="W88" i="7"/>
  <c r="X88" i="7" s="1"/>
  <c r="W89" i="7"/>
  <c r="X89" i="7" s="1"/>
  <c r="W90" i="7"/>
  <c r="X90" i="7" s="1"/>
  <c r="W91" i="7"/>
  <c r="X91" i="7" s="1"/>
  <c r="W92" i="7"/>
  <c r="X92" i="7" s="1"/>
  <c r="W93" i="7"/>
  <c r="X93" i="7"/>
  <c r="Z93" i="7" s="1"/>
  <c r="Y93" i="7"/>
  <c r="W94" i="7"/>
  <c r="X94" i="7" s="1"/>
  <c r="W95" i="7"/>
  <c r="X95" i="7" s="1"/>
  <c r="W96" i="7"/>
  <c r="X96" i="7" s="1"/>
  <c r="W97" i="7"/>
  <c r="X97" i="7" s="1"/>
  <c r="W98" i="7"/>
  <c r="X98" i="7" s="1"/>
  <c r="W99" i="7"/>
  <c r="X99" i="7" s="1"/>
  <c r="W100" i="7"/>
  <c r="X100" i="7" s="1"/>
  <c r="W101" i="7"/>
  <c r="X101" i="7" s="1"/>
  <c r="W102" i="7"/>
  <c r="X102" i="7"/>
  <c r="Z102" i="7" s="1"/>
  <c r="Y102" i="7"/>
  <c r="W103" i="7"/>
  <c r="X103" i="7" s="1"/>
  <c r="W104" i="7"/>
  <c r="X104" i="7" s="1"/>
  <c r="W105" i="7"/>
  <c r="X105" i="7" s="1"/>
  <c r="W106" i="7"/>
  <c r="X106" i="7" s="1"/>
  <c r="W107" i="7"/>
  <c r="X107" i="7" s="1"/>
  <c r="W108" i="7"/>
  <c r="X108" i="7" s="1"/>
  <c r="W109" i="7"/>
  <c r="X109" i="7" s="1"/>
  <c r="W110" i="7"/>
  <c r="X110" i="7" s="1"/>
  <c r="W111" i="7"/>
  <c r="X111" i="7"/>
  <c r="Z111" i="7" s="1"/>
  <c r="Y111" i="7"/>
  <c r="W112" i="7"/>
  <c r="X112" i="7" s="1"/>
  <c r="W113" i="7"/>
  <c r="X113" i="7" s="1"/>
  <c r="W114" i="7"/>
  <c r="X114" i="7" s="1"/>
  <c r="W115" i="7"/>
  <c r="X115" i="7" s="1"/>
  <c r="W116" i="7"/>
  <c r="X116" i="7" s="1"/>
  <c r="W117" i="7"/>
  <c r="X117" i="7" s="1"/>
  <c r="W118" i="7"/>
  <c r="X118" i="7" s="1"/>
  <c r="W119" i="7"/>
  <c r="X119" i="7" s="1"/>
  <c r="W120" i="7"/>
  <c r="X120" i="7"/>
  <c r="Z120" i="7" s="1"/>
  <c r="Y120" i="7"/>
  <c r="W121" i="7"/>
  <c r="X121" i="7" s="1"/>
  <c r="W122" i="7"/>
  <c r="X122" i="7" s="1"/>
  <c r="W123" i="7"/>
  <c r="X123" i="7" s="1"/>
  <c r="W124" i="7"/>
  <c r="X124" i="7" s="1"/>
  <c r="W125" i="7"/>
  <c r="X125" i="7" s="1"/>
  <c r="W126" i="7"/>
  <c r="X126" i="7" s="1"/>
  <c r="W127" i="7"/>
  <c r="X127" i="7" s="1"/>
  <c r="W128" i="7"/>
  <c r="X128" i="7" s="1"/>
  <c r="W129" i="7"/>
  <c r="X129" i="7"/>
  <c r="Z129" i="7" s="1"/>
  <c r="Y129" i="7"/>
  <c r="W130" i="7"/>
  <c r="X130" i="7" s="1"/>
  <c r="W131" i="7"/>
  <c r="X131" i="7" s="1"/>
  <c r="W132" i="7"/>
  <c r="X132" i="7" s="1"/>
  <c r="W133" i="7"/>
  <c r="X133" i="7" s="1"/>
  <c r="W134" i="7"/>
  <c r="X134" i="7" s="1"/>
  <c r="W135" i="7"/>
  <c r="X135" i="7" s="1"/>
  <c r="W136" i="7"/>
  <c r="X136" i="7" s="1"/>
  <c r="W137" i="7"/>
  <c r="X137" i="7" s="1"/>
  <c r="W138" i="7"/>
  <c r="X138" i="7" s="1"/>
  <c r="W139" i="7"/>
  <c r="X139" i="7" s="1"/>
  <c r="W140" i="7"/>
  <c r="X140" i="7" s="1"/>
  <c r="W141" i="7"/>
  <c r="X141" i="7" s="1"/>
  <c r="W142" i="7"/>
  <c r="X142" i="7" s="1"/>
  <c r="W143" i="7"/>
  <c r="X143" i="7" s="1"/>
  <c r="W144" i="7"/>
  <c r="X144" i="7" s="1"/>
  <c r="W145" i="7"/>
  <c r="X145" i="7" s="1"/>
  <c r="W146" i="7"/>
  <c r="X146" i="7" s="1"/>
  <c r="W147" i="7"/>
  <c r="X147" i="7"/>
  <c r="Z147" i="7" s="1"/>
  <c r="Y147" i="7"/>
  <c r="W148" i="7"/>
  <c r="X148" i="7" s="1"/>
  <c r="W149" i="7"/>
  <c r="X149" i="7" s="1"/>
  <c r="W150" i="7"/>
  <c r="X150" i="7" s="1"/>
  <c r="W151" i="7"/>
  <c r="X151" i="7" s="1"/>
  <c r="W152" i="7"/>
  <c r="X152" i="7" s="1"/>
  <c r="W153" i="7"/>
  <c r="X153" i="7" s="1"/>
  <c r="W154" i="7"/>
  <c r="X154" i="7" s="1"/>
  <c r="W155" i="7"/>
  <c r="X155" i="7" s="1"/>
  <c r="W156" i="7"/>
  <c r="X156" i="7"/>
  <c r="Z156" i="7" s="1"/>
  <c r="Y156" i="7"/>
  <c r="W157" i="7"/>
  <c r="X157" i="7" s="1"/>
  <c r="W158" i="7"/>
  <c r="X158" i="7" s="1"/>
  <c r="W159" i="7"/>
  <c r="X159" i="7" s="1"/>
  <c r="W160" i="7"/>
  <c r="X160" i="7" s="1"/>
  <c r="W161" i="7"/>
  <c r="X161" i="7" s="1"/>
  <c r="W162" i="7"/>
  <c r="X162" i="7" s="1"/>
  <c r="W163" i="7"/>
  <c r="X163" i="7" s="1"/>
  <c r="W164" i="7"/>
  <c r="X164" i="7" s="1"/>
  <c r="W165" i="7"/>
  <c r="X165" i="7" s="1"/>
  <c r="W166" i="7"/>
  <c r="X166" i="7" s="1"/>
  <c r="W167" i="7"/>
  <c r="X167" i="7" s="1"/>
  <c r="W168" i="7"/>
  <c r="X168" i="7" s="1"/>
  <c r="W169" i="7"/>
  <c r="X169" i="7" s="1"/>
  <c r="W170" i="7"/>
  <c r="X170" i="7" s="1"/>
  <c r="W171" i="7"/>
  <c r="X171" i="7" s="1"/>
  <c r="W172" i="7"/>
  <c r="X172" i="7" s="1"/>
  <c r="W173" i="7"/>
  <c r="X173" i="7" s="1"/>
  <c r="W174" i="7"/>
  <c r="X174" i="7"/>
  <c r="Z174" i="7" s="1"/>
  <c r="Y174" i="7"/>
  <c r="W175" i="7"/>
  <c r="X175" i="7" s="1"/>
  <c r="W176" i="7"/>
  <c r="X176" i="7" s="1"/>
  <c r="W177" i="7"/>
  <c r="X177" i="7" s="1"/>
  <c r="W178" i="7"/>
  <c r="X178" i="7" s="1"/>
  <c r="W179" i="7"/>
  <c r="X179" i="7" s="1"/>
  <c r="W180" i="7"/>
  <c r="X180" i="7" s="1"/>
  <c r="W181" i="7"/>
  <c r="X181" i="7" s="1"/>
  <c r="W182" i="7"/>
  <c r="X182" i="7" s="1"/>
  <c r="W183" i="7"/>
  <c r="X183" i="7"/>
  <c r="Z183" i="7" s="1"/>
  <c r="Y183" i="7"/>
  <c r="W184" i="7"/>
  <c r="X184" i="7" s="1"/>
  <c r="W185" i="7"/>
  <c r="X185" i="7" s="1"/>
  <c r="W186" i="7"/>
  <c r="X186" i="7" s="1"/>
  <c r="W187" i="7"/>
  <c r="X187" i="7" s="1"/>
  <c r="W188" i="7"/>
  <c r="X188" i="7" s="1"/>
  <c r="W189" i="7"/>
  <c r="X189" i="7" s="1"/>
  <c r="W190" i="7"/>
  <c r="X190" i="7" s="1"/>
  <c r="W191" i="7"/>
  <c r="X191" i="7" s="1"/>
  <c r="W192" i="7"/>
  <c r="X192" i="7"/>
  <c r="Z192" i="7" s="1"/>
  <c r="Y192" i="7"/>
  <c r="W193" i="7"/>
  <c r="X193" i="7" s="1"/>
  <c r="W194" i="7"/>
  <c r="X194" i="7" s="1"/>
  <c r="W195" i="7"/>
  <c r="X195" i="7" s="1"/>
  <c r="W196" i="7"/>
  <c r="X196" i="7" s="1"/>
  <c r="W197" i="7"/>
  <c r="X197" i="7" s="1"/>
  <c r="W198" i="7"/>
  <c r="X198" i="7" s="1"/>
  <c r="W199" i="7"/>
  <c r="X199" i="7" s="1"/>
  <c r="W200" i="7"/>
  <c r="X200" i="7" s="1"/>
  <c r="W201" i="7"/>
  <c r="X201" i="7"/>
  <c r="Z201" i="7" s="1"/>
  <c r="Y201" i="7"/>
  <c r="W202" i="7"/>
  <c r="X202" i="7" s="1"/>
  <c r="W203" i="7"/>
  <c r="X203" i="7" s="1"/>
  <c r="W204" i="7"/>
  <c r="X204" i="7" s="1"/>
  <c r="W205" i="7"/>
  <c r="X205" i="7" s="1"/>
  <c r="W206" i="7"/>
  <c r="X206" i="7" s="1"/>
  <c r="W207" i="7"/>
  <c r="X207" i="7" s="1"/>
  <c r="W208" i="7"/>
  <c r="X208" i="7" s="1"/>
  <c r="W209" i="7"/>
  <c r="X209" i="7" s="1"/>
  <c r="W210" i="7"/>
  <c r="X210" i="7" s="1"/>
  <c r="W211" i="7"/>
  <c r="X211" i="7" s="1"/>
  <c r="W212" i="7"/>
  <c r="X212" i="7" s="1"/>
  <c r="W213" i="7"/>
  <c r="X213" i="7" s="1"/>
  <c r="W214" i="7"/>
  <c r="X214" i="7" s="1"/>
  <c r="W215" i="7"/>
  <c r="X215" i="7" s="1"/>
  <c r="W216" i="7"/>
  <c r="X216" i="7" s="1"/>
  <c r="W217" i="7"/>
  <c r="X217" i="7" s="1"/>
  <c r="W218" i="7"/>
  <c r="X218" i="7" s="1"/>
  <c r="W219" i="7"/>
  <c r="X219" i="7" s="1"/>
  <c r="W220" i="7"/>
  <c r="X220" i="7" s="1"/>
  <c r="W221" i="7"/>
  <c r="X221" i="7" s="1"/>
  <c r="W222" i="7"/>
  <c r="X222" i="7" s="1"/>
  <c r="W223" i="7"/>
  <c r="X223" i="7" s="1"/>
  <c r="W224" i="7"/>
  <c r="X224" i="7" s="1"/>
  <c r="W225" i="7"/>
  <c r="X225" i="7" s="1"/>
  <c r="W226" i="7"/>
  <c r="X226" i="7" s="1"/>
  <c r="W227" i="7"/>
  <c r="X227" i="7" s="1"/>
  <c r="W228" i="7"/>
  <c r="X228" i="7" s="1"/>
  <c r="W229" i="7"/>
  <c r="X229" i="7" s="1"/>
  <c r="W230" i="7"/>
  <c r="X230" i="7" s="1"/>
  <c r="W231" i="7"/>
  <c r="X231" i="7" s="1"/>
  <c r="W232" i="7"/>
  <c r="X232" i="7" s="1"/>
  <c r="W3" i="7"/>
  <c r="S4" i="7"/>
  <c r="T4" i="7" s="1"/>
  <c r="S5" i="7"/>
  <c r="T5" i="7" s="1"/>
  <c r="S6" i="7"/>
  <c r="T6" i="7"/>
  <c r="U6" i="7"/>
  <c r="V6" i="7"/>
  <c r="S7" i="7"/>
  <c r="T7" i="7" s="1"/>
  <c r="S8" i="7"/>
  <c r="T8" i="7"/>
  <c r="U8" i="7" s="1"/>
  <c r="S9" i="7"/>
  <c r="T9" i="7"/>
  <c r="V9" i="7" s="1"/>
  <c r="U9" i="7"/>
  <c r="S10" i="7"/>
  <c r="T10" i="7"/>
  <c r="U10" i="7" s="1"/>
  <c r="V10" i="7"/>
  <c r="S11" i="7"/>
  <c r="T11" i="7"/>
  <c r="U11" i="7" s="1"/>
  <c r="S12" i="7"/>
  <c r="T12" i="7"/>
  <c r="U12" i="7" s="1"/>
  <c r="V12" i="7"/>
  <c r="S13" i="7"/>
  <c r="T13" i="7" s="1"/>
  <c r="S14" i="7"/>
  <c r="T14" i="7" s="1"/>
  <c r="S15" i="7"/>
  <c r="T15" i="7"/>
  <c r="U15" i="7"/>
  <c r="V15" i="7"/>
  <c r="S16" i="7"/>
  <c r="T16" i="7" s="1"/>
  <c r="S17" i="7"/>
  <c r="T17" i="7"/>
  <c r="U17" i="7" s="1"/>
  <c r="S18" i="7"/>
  <c r="T18" i="7"/>
  <c r="V18" i="7" s="1"/>
  <c r="U18" i="7"/>
  <c r="S19" i="7"/>
  <c r="T19" i="7"/>
  <c r="U19" i="7" s="1"/>
  <c r="V19" i="7"/>
  <c r="S20" i="7"/>
  <c r="T20" i="7"/>
  <c r="U20" i="7" s="1"/>
  <c r="S21" i="7"/>
  <c r="T21" i="7" s="1"/>
  <c r="S22" i="7"/>
  <c r="T22" i="7" s="1"/>
  <c r="S23" i="7"/>
  <c r="T23" i="7" s="1"/>
  <c r="S24" i="7"/>
  <c r="T24" i="7"/>
  <c r="U24" i="7"/>
  <c r="V24" i="7"/>
  <c r="S25" i="7"/>
  <c r="T25" i="7" s="1"/>
  <c r="S26" i="7"/>
  <c r="T26" i="7"/>
  <c r="U26" i="7" s="1"/>
  <c r="S27" i="7"/>
  <c r="T27" i="7"/>
  <c r="V27" i="7" s="1"/>
  <c r="U27" i="7"/>
  <c r="S28" i="7"/>
  <c r="T28" i="7"/>
  <c r="U28" i="7" s="1"/>
  <c r="V28" i="7"/>
  <c r="S29" i="7"/>
  <c r="T29" i="7"/>
  <c r="U29" i="7" s="1"/>
  <c r="S30" i="7"/>
  <c r="T30" i="7"/>
  <c r="U30" i="7"/>
  <c r="V30" i="7"/>
  <c r="S31" i="7"/>
  <c r="T31" i="7" s="1"/>
  <c r="S32" i="7"/>
  <c r="T32" i="7" s="1"/>
  <c r="S33" i="7"/>
  <c r="T33" i="7"/>
  <c r="U33" i="7"/>
  <c r="V33" i="7"/>
  <c r="S34" i="7"/>
  <c r="T34" i="7" s="1"/>
  <c r="S35" i="7"/>
  <c r="T35" i="7"/>
  <c r="U35" i="7" s="1"/>
  <c r="S36" i="7"/>
  <c r="T36" i="7"/>
  <c r="V36" i="7" s="1"/>
  <c r="U36" i="7"/>
  <c r="S37" i="7"/>
  <c r="T37" i="7"/>
  <c r="U37" i="7" s="1"/>
  <c r="V37" i="7"/>
  <c r="S38" i="7"/>
  <c r="T38" i="7"/>
  <c r="U38" i="7" s="1"/>
  <c r="S39" i="7"/>
  <c r="T39" i="7" s="1"/>
  <c r="S40" i="7"/>
  <c r="T40" i="7" s="1"/>
  <c r="S41" i="7"/>
  <c r="T41" i="7" s="1"/>
  <c r="S42" i="7"/>
  <c r="T42" i="7"/>
  <c r="U42" i="7"/>
  <c r="V42" i="7"/>
  <c r="S43" i="7"/>
  <c r="T43" i="7" s="1"/>
  <c r="S44" i="7"/>
  <c r="T44" i="7"/>
  <c r="U44" i="7" s="1"/>
  <c r="S45" i="7"/>
  <c r="T45" i="7"/>
  <c r="V45" i="7" s="1"/>
  <c r="U45" i="7"/>
  <c r="S46" i="7"/>
  <c r="T46" i="7"/>
  <c r="U46" i="7" s="1"/>
  <c r="V46" i="7"/>
  <c r="S47" i="7"/>
  <c r="T47" i="7"/>
  <c r="U47" i="7" s="1"/>
  <c r="S48" i="7"/>
  <c r="T48" i="7" s="1"/>
  <c r="S49" i="7"/>
  <c r="T49" i="7" s="1"/>
  <c r="S50" i="7"/>
  <c r="T50" i="7" s="1"/>
  <c r="S51" i="7"/>
  <c r="T51" i="7"/>
  <c r="U51" i="7"/>
  <c r="V51" i="7"/>
  <c r="S52" i="7"/>
  <c r="T52" i="7" s="1"/>
  <c r="S53" i="7"/>
  <c r="T53" i="7"/>
  <c r="U53" i="7" s="1"/>
  <c r="S54" i="7"/>
  <c r="T54" i="7"/>
  <c r="V54" i="7" s="1"/>
  <c r="U54" i="7"/>
  <c r="S55" i="7"/>
  <c r="T55" i="7"/>
  <c r="U55" i="7" s="1"/>
  <c r="V55" i="7"/>
  <c r="S56" i="7"/>
  <c r="T56" i="7"/>
  <c r="U56" i="7" s="1"/>
  <c r="S57" i="7"/>
  <c r="T57" i="7" s="1"/>
  <c r="S58" i="7"/>
  <c r="T58" i="7" s="1"/>
  <c r="S59" i="7"/>
  <c r="T59" i="7" s="1"/>
  <c r="S60" i="7"/>
  <c r="T60" i="7"/>
  <c r="U60" i="7"/>
  <c r="V60" i="7"/>
  <c r="S61" i="7"/>
  <c r="T61" i="7" s="1"/>
  <c r="S62" i="7"/>
  <c r="T62" i="7"/>
  <c r="U62" i="7" s="1"/>
  <c r="S63" i="7"/>
  <c r="T63" i="7"/>
  <c r="V63" i="7" s="1"/>
  <c r="U63" i="7"/>
  <c r="S64" i="7"/>
  <c r="T64" i="7"/>
  <c r="U64" i="7" s="1"/>
  <c r="V64" i="7"/>
  <c r="S65" i="7"/>
  <c r="T65" i="7"/>
  <c r="U65" i="7" s="1"/>
  <c r="S66" i="7"/>
  <c r="T66" i="7" s="1"/>
  <c r="S67" i="7"/>
  <c r="T67" i="7" s="1"/>
  <c r="S68" i="7"/>
  <c r="T68" i="7" s="1"/>
  <c r="S69" i="7"/>
  <c r="T69" i="7"/>
  <c r="U69" i="7"/>
  <c r="V69" i="7"/>
  <c r="S70" i="7"/>
  <c r="T70" i="7" s="1"/>
  <c r="S71" i="7"/>
  <c r="T71" i="7"/>
  <c r="U71" i="7" s="1"/>
  <c r="S72" i="7"/>
  <c r="T72" i="7"/>
  <c r="V72" i="7" s="1"/>
  <c r="U72" i="7"/>
  <c r="S73" i="7"/>
  <c r="T73" i="7"/>
  <c r="U73" i="7" s="1"/>
  <c r="V73" i="7"/>
  <c r="S74" i="7"/>
  <c r="T74" i="7"/>
  <c r="U74" i="7" s="1"/>
  <c r="S75" i="7"/>
  <c r="T75" i="7" s="1"/>
  <c r="S76" i="7"/>
  <c r="T76" i="7" s="1"/>
  <c r="S77" i="7"/>
  <c r="T77" i="7" s="1"/>
  <c r="S78" i="7"/>
  <c r="T78" i="7"/>
  <c r="U78" i="7"/>
  <c r="V78" i="7"/>
  <c r="S79" i="7"/>
  <c r="T79" i="7" s="1"/>
  <c r="S80" i="7"/>
  <c r="T80" i="7"/>
  <c r="U80" i="7" s="1"/>
  <c r="S81" i="7"/>
  <c r="T81" i="7"/>
  <c r="V81" i="7" s="1"/>
  <c r="U81" i="7"/>
  <c r="S82" i="7"/>
  <c r="T82" i="7"/>
  <c r="U82" i="7" s="1"/>
  <c r="V82" i="7"/>
  <c r="S83" i="7"/>
  <c r="T83" i="7"/>
  <c r="U83" i="7" s="1"/>
  <c r="S84" i="7"/>
  <c r="T84" i="7" s="1"/>
  <c r="S85" i="7"/>
  <c r="T85" i="7" s="1"/>
  <c r="S86" i="7"/>
  <c r="T86" i="7" s="1"/>
  <c r="S87" i="7"/>
  <c r="T87" i="7"/>
  <c r="U87" i="7"/>
  <c r="V87" i="7"/>
  <c r="S88" i="7"/>
  <c r="T88" i="7" s="1"/>
  <c r="S89" i="7"/>
  <c r="T89" i="7"/>
  <c r="U89" i="7" s="1"/>
  <c r="S90" i="7"/>
  <c r="T90" i="7"/>
  <c r="V90" i="7" s="1"/>
  <c r="U90" i="7"/>
  <c r="S91" i="7"/>
  <c r="T91" i="7"/>
  <c r="U91" i="7" s="1"/>
  <c r="V91" i="7"/>
  <c r="S92" i="7"/>
  <c r="T92" i="7"/>
  <c r="U92" i="7" s="1"/>
  <c r="S93" i="7"/>
  <c r="T93" i="7" s="1"/>
  <c r="S94" i="7"/>
  <c r="T94" i="7" s="1"/>
  <c r="S95" i="7"/>
  <c r="T95" i="7" s="1"/>
  <c r="S96" i="7"/>
  <c r="T96" i="7"/>
  <c r="U96" i="7"/>
  <c r="V96" i="7"/>
  <c r="S97" i="7"/>
  <c r="T97" i="7" s="1"/>
  <c r="S98" i="7"/>
  <c r="T98" i="7"/>
  <c r="V98" i="7" s="1"/>
  <c r="U98" i="7"/>
  <c r="S99" i="7"/>
  <c r="T99" i="7"/>
  <c r="V99" i="7" s="1"/>
  <c r="U99" i="7"/>
  <c r="S100" i="7"/>
  <c r="T100" i="7"/>
  <c r="U100" i="7" s="1"/>
  <c r="V100" i="7"/>
  <c r="S101" i="7"/>
  <c r="T101" i="7"/>
  <c r="V101" i="7" s="1"/>
  <c r="U101" i="7"/>
  <c r="S102" i="7"/>
  <c r="T102" i="7" s="1"/>
  <c r="S103" i="7"/>
  <c r="T103" i="7" s="1"/>
  <c r="S104" i="7"/>
  <c r="T104" i="7" s="1"/>
  <c r="S105" i="7"/>
  <c r="T105" i="7"/>
  <c r="U105" i="7"/>
  <c r="V105" i="7"/>
  <c r="S106" i="7"/>
  <c r="T106" i="7" s="1"/>
  <c r="S107" i="7"/>
  <c r="T107" i="7"/>
  <c r="V107" i="7" s="1"/>
  <c r="U107" i="7"/>
  <c r="S108" i="7"/>
  <c r="T108" i="7"/>
  <c r="V108" i="7" s="1"/>
  <c r="U108" i="7"/>
  <c r="S109" i="7"/>
  <c r="T109" i="7"/>
  <c r="U109" i="7" s="1"/>
  <c r="V109" i="7"/>
  <c r="S110" i="7"/>
  <c r="T110" i="7"/>
  <c r="V110" i="7" s="1"/>
  <c r="U110" i="7"/>
  <c r="S111" i="7"/>
  <c r="T111" i="7" s="1"/>
  <c r="S112" i="7"/>
  <c r="T112" i="7" s="1"/>
  <c r="S113" i="7"/>
  <c r="T113" i="7" s="1"/>
  <c r="S114" i="7"/>
  <c r="T114" i="7"/>
  <c r="U114" i="7"/>
  <c r="V114" i="7"/>
  <c r="S115" i="7"/>
  <c r="T115" i="7" s="1"/>
  <c r="S116" i="7"/>
  <c r="T116" i="7"/>
  <c r="V116" i="7" s="1"/>
  <c r="U116" i="7"/>
  <c r="S117" i="7"/>
  <c r="T117" i="7"/>
  <c r="V117" i="7" s="1"/>
  <c r="U117" i="7"/>
  <c r="S118" i="7"/>
  <c r="T118" i="7"/>
  <c r="U118" i="7"/>
  <c r="V118" i="7"/>
  <c r="S119" i="7"/>
  <c r="T119" i="7"/>
  <c r="V119" i="7" s="1"/>
  <c r="U119" i="7"/>
  <c r="S120" i="7"/>
  <c r="T120" i="7" s="1"/>
  <c r="S121" i="7"/>
  <c r="T121" i="7" s="1"/>
  <c r="S122" i="7"/>
  <c r="T122" i="7" s="1"/>
  <c r="S123" i="7"/>
  <c r="T123" i="7"/>
  <c r="U123" i="7"/>
  <c r="V123" i="7"/>
  <c r="S124" i="7"/>
  <c r="T124" i="7" s="1"/>
  <c r="S125" i="7"/>
  <c r="T125" i="7"/>
  <c r="V125" i="7" s="1"/>
  <c r="U125" i="7"/>
  <c r="S126" i="7"/>
  <c r="T126" i="7" s="1"/>
  <c r="S127" i="7"/>
  <c r="T127" i="7"/>
  <c r="U127" i="7"/>
  <c r="V127" i="7"/>
  <c r="S128" i="7"/>
  <c r="T128" i="7"/>
  <c r="V128" i="7" s="1"/>
  <c r="U128" i="7"/>
  <c r="S129" i="7"/>
  <c r="T129" i="7" s="1"/>
  <c r="S130" i="7"/>
  <c r="T130" i="7" s="1"/>
  <c r="S131" i="7"/>
  <c r="T131" i="7" s="1"/>
  <c r="S132" i="7"/>
  <c r="T132" i="7"/>
  <c r="U132" i="7"/>
  <c r="V132" i="7"/>
  <c r="S133" i="7"/>
  <c r="T133" i="7" s="1"/>
  <c r="S134" i="7"/>
  <c r="T134" i="7"/>
  <c r="V134" i="7" s="1"/>
  <c r="U134" i="7"/>
  <c r="S135" i="7"/>
  <c r="T135" i="7" s="1"/>
  <c r="S136" i="7"/>
  <c r="T136" i="7"/>
  <c r="U136" i="7"/>
  <c r="V136" i="7"/>
  <c r="S137" i="7"/>
  <c r="T137" i="7"/>
  <c r="V137" i="7" s="1"/>
  <c r="U137" i="7"/>
  <c r="S138" i="7"/>
  <c r="T138" i="7" s="1"/>
  <c r="S139" i="7"/>
  <c r="T139" i="7" s="1"/>
  <c r="S140" i="7"/>
  <c r="T140" i="7" s="1"/>
  <c r="S141" i="7"/>
  <c r="T141" i="7"/>
  <c r="U141" i="7"/>
  <c r="V141" i="7"/>
  <c r="S142" i="7"/>
  <c r="T142" i="7" s="1"/>
  <c r="S143" i="7"/>
  <c r="T143" i="7"/>
  <c r="V143" i="7" s="1"/>
  <c r="U143" i="7"/>
  <c r="S144" i="7"/>
  <c r="T144" i="7" s="1"/>
  <c r="S145" i="7"/>
  <c r="T145" i="7"/>
  <c r="U145" i="7"/>
  <c r="V145" i="7"/>
  <c r="S146" i="7"/>
  <c r="T146" i="7"/>
  <c r="V146" i="7" s="1"/>
  <c r="U146" i="7"/>
  <c r="S147" i="7"/>
  <c r="T147" i="7" s="1"/>
  <c r="S148" i="7"/>
  <c r="T148" i="7" s="1"/>
  <c r="S149" i="7"/>
  <c r="T149" i="7" s="1"/>
  <c r="S150" i="7"/>
  <c r="T150" i="7"/>
  <c r="U150" i="7"/>
  <c r="V150" i="7"/>
  <c r="S151" i="7"/>
  <c r="T151" i="7" s="1"/>
  <c r="S152" i="7"/>
  <c r="T152" i="7"/>
  <c r="V152" i="7" s="1"/>
  <c r="U152" i="7"/>
  <c r="S153" i="7"/>
  <c r="T153" i="7" s="1"/>
  <c r="S154" i="7"/>
  <c r="T154" i="7"/>
  <c r="U154" i="7"/>
  <c r="V154" i="7"/>
  <c r="S155" i="7"/>
  <c r="T155" i="7" s="1"/>
  <c r="V155" i="7" s="1"/>
  <c r="U155" i="7"/>
  <c r="S156" i="7"/>
  <c r="T156" i="7" s="1"/>
  <c r="S157" i="7"/>
  <c r="T157" i="7" s="1"/>
  <c r="S158" i="7"/>
  <c r="T158" i="7" s="1"/>
  <c r="S159" i="7"/>
  <c r="T159" i="7"/>
  <c r="U159" i="7"/>
  <c r="V159" i="7"/>
  <c r="S160" i="7"/>
  <c r="T160" i="7" s="1"/>
  <c r="S161" i="7"/>
  <c r="T161" i="7"/>
  <c r="V161" i="7" s="1"/>
  <c r="U161" i="7"/>
  <c r="S162" i="7"/>
  <c r="T162" i="7" s="1"/>
  <c r="S163" i="7"/>
  <c r="T163" i="7"/>
  <c r="U163" i="7"/>
  <c r="V163" i="7"/>
  <c r="S164" i="7"/>
  <c r="T164" i="7"/>
  <c r="V164" i="7" s="1"/>
  <c r="U164" i="7"/>
  <c r="S165" i="7"/>
  <c r="T165" i="7" s="1"/>
  <c r="S166" i="7"/>
  <c r="T166" i="7" s="1"/>
  <c r="S167" i="7"/>
  <c r="T167" i="7" s="1"/>
  <c r="S168" i="7"/>
  <c r="T168" i="7" s="1"/>
  <c r="S169" i="7"/>
  <c r="T169" i="7" s="1"/>
  <c r="S170" i="7"/>
  <c r="T170" i="7"/>
  <c r="V170" i="7" s="1"/>
  <c r="U170" i="7"/>
  <c r="S171" i="7"/>
  <c r="T171" i="7" s="1"/>
  <c r="S172" i="7"/>
  <c r="T172" i="7"/>
  <c r="U172" i="7"/>
  <c r="V172" i="7"/>
  <c r="S173" i="7"/>
  <c r="T173" i="7" s="1"/>
  <c r="V173" i="7" s="1"/>
  <c r="S174" i="7"/>
  <c r="T174" i="7" s="1"/>
  <c r="S175" i="7"/>
  <c r="T175" i="7" s="1"/>
  <c r="S176" i="7"/>
  <c r="T176" i="7" s="1"/>
  <c r="S177" i="7"/>
  <c r="T177" i="7"/>
  <c r="U177" i="7"/>
  <c r="V177" i="7"/>
  <c r="S178" i="7"/>
  <c r="T178" i="7" s="1"/>
  <c r="S179" i="7"/>
  <c r="T179" i="7"/>
  <c r="V179" i="7" s="1"/>
  <c r="U179" i="7"/>
  <c r="S180" i="7"/>
  <c r="T180" i="7" s="1"/>
  <c r="S181" i="7"/>
  <c r="T181" i="7"/>
  <c r="U181" i="7"/>
  <c r="V181" i="7"/>
  <c r="S182" i="7"/>
  <c r="T182" i="7" s="1"/>
  <c r="V182" i="7" s="1"/>
  <c r="S183" i="7"/>
  <c r="T183" i="7" s="1"/>
  <c r="S184" i="7"/>
  <c r="T184" i="7" s="1"/>
  <c r="S185" i="7"/>
  <c r="T185" i="7" s="1"/>
  <c r="S186" i="7"/>
  <c r="T186" i="7" s="1"/>
  <c r="U186" i="7" s="1"/>
  <c r="V186" i="7"/>
  <c r="S187" i="7"/>
  <c r="T187" i="7" s="1"/>
  <c r="S188" i="7"/>
  <c r="T188" i="7"/>
  <c r="V188" i="7" s="1"/>
  <c r="U188" i="7"/>
  <c r="S189" i="7"/>
  <c r="T189" i="7" s="1"/>
  <c r="S190" i="7"/>
  <c r="T190" i="7"/>
  <c r="U190" i="7"/>
  <c r="V190" i="7"/>
  <c r="S191" i="7"/>
  <c r="T191" i="7"/>
  <c r="V191" i="7" s="1"/>
  <c r="U191" i="7"/>
  <c r="S192" i="7"/>
  <c r="T192" i="7" s="1"/>
  <c r="S193" i="7"/>
  <c r="T193" i="7" s="1"/>
  <c r="S194" i="7"/>
  <c r="T194" i="7" s="1"/>
  <c r="S195" i="7"/>
  <c r="T195" i="7"/>
  <c r="U195" i="7"/>
  <c r="V195" i="7"/>
  <c r="S196" i="7"/>
  <c r="T196" i="7" s="1"/>
  <c r="S197" i="7"/>
  <c r="T197" i="7"/>
  <c r="V197" i="7" s="1"/>
  <c r="U197" i="7"/>
  <c r="S198" i="7"/>
  <c r="T198" i="7" s="1"/>
  <c r="S199" i="7"/>
  <c r="T199" i="7" s="1"/>
  <c r="S200" i="7"/>
  <c r="T200" i="7"/>
  <c r="V200" i="7" s="1"/>
  <c r="S201" i="7"/>
  <c r="T201" i="7" s="1"/>
  <c r="S202" i="7"/>
  <c r="T202" i="7" s="1"/>
  <c r="S203" i="7"/>
  <c r="T203" i="7" s="1"/>
  <c r="S204" i="7"/>
  <c r="S205" i="7"/>
  <c r="T205" i="7" s="1"/>
  <c r="S206" i="7"/>
  <c r="T206" i="7"/>
  <c r="V206" i="7" s="1"/>
  <c r="U206" i="7"/>
  <c r="S207" i="7"/>
  <c r="T207" i="7" s="1"/>
  <c r="S208" i="7"/>
  <c r="T208" i="7" s="1"/>
  <c r="S209" i="7"/>
  <c r="T209" i="7"/>
  <c r="V209" i="7" s="1"/>
  <c r="S210" i="7"/>
  <c r="T210" i="7" s="1"/>
  <c r="S211" i="7"/>
  <c r="T211" i="7" s="1"/>
  <c r="S212" i="7"/>
  <c r="T212" i="7" s="1"/>
  <c r="S213" i="7"/>
  <c r="T213" i="7" s="1"/>
  <c r="U213" i="7" s="1"/>
  <c r="V213" i="7"/>
  <c r="S214" i="7"/>
  <c r="T214" i="7" s="1"/>
  <c r="S215" i="7"/>
  <c r="T215" i="7"/>
  <c r="V215" i="7" s="1"/>
  <c r="U215" i="7"/>
  <c r="S216" i="7"/>
  <c r="T216" i="7" s="1"/>
  <c r="S217" i="7"/>
  <c r="T217" i="7" s="1"/>
  <c r="S218" i="7"/>
  <c r="T218" i="7"/>
  <c r="V218" i="7" s="1"/>
  <c r="S219" i="7"/>
  <c r="T219" i="7" s="1"/>
  <c r="S220" i="7"/>
  <c r="T220" i="7" s="1"/>
  <c r="S221" i="7"/>
  <c r="T221" i="7" s="1"/>
  <c r="S222" i="7"/>
  <c r="T222" i="7" s="1"/>
  <c r="U222" i="7" s="1"/>
  <c r="S223" i="7"/>
  <c r="T223" i="7" s="1"/>
  <c r="S224" i="7"/>
  <c r="T224" i="7"/>
  <c r="V224" i="7" s="1"/>
  <c r="U224" i="7"/>
  <c r="S225" i="7"/>
  <c r="T225" i="7" s="1"/>
  <c r="S226" i="7"/>
  <c r="T226" i="7" s="1"/>
  <c r="S227" i="7"/>
  <c r="T227" i="7"/>
  <c r="V227" i="7" s="1"/>
  <c r="U227" i="7"/>
  <c r="S228" i="7"/>
  <c r="T228" i="7" s="1"/>
  <c r="S229" i="7"/>
  <c r="T229" i="7" s="1"/>
  <c r="S230" i="7"/>
  <c r="T230" i="7" s="1"/>
  <c r="S231" i="7"/>
  <c r="T231" i="7" s="1"/>
  <c r="U231" i="7" s="1"/>
  <c r="V231" i="7"/>
  <c r="S232" i="7"/>
  <c r="T232" i="7" s="1"/>
  <c r="S3" i="7"/>
  <c r="O4" i="7"/>
  <c r="P4" i="7" s="1"/>
  <c r="O5" i="7"/>
  <c r="P5" i="7" s="1"/>
  <c r="O6" i="7"/>
  <c r="P6" i="7"/>
  <c r="Q6" i="7"/>
  <c r="R6" i="7"/>
  <c r="O7" i="7"/>
  <c r="P7" i="7" s="1"/>
  <c r="O8" i="7"/>
  <c r="P8" i="7" s="1"/>
  <c r="O9" i="7"/>
  <c r="P9" i="7" s="1"/>
  <c r="O10" i="7"/>
  <c r="P10" i="7" s="1"/>
  <c r="O11" i="7"/>
  <c r="P11" i="7"/>
  <c r="Q11" i="7" s="1"/>
  <c r="O12" i="7"/>
  <c r="P12" i="7" s="1"/>
  <c r="O13" i="7"/>
  <c r="P13" i="7" s="1"/>
  <c r="O14" i="7"/>
  <c r="P14" i="7" s="1"/>
  <c r="O15" i="7"/>
  <c r="P15" i="7" s="1"/>
  <c r="O16" i="7"/>
  <c r="P16" i="7" s="1"/>
  <c r="O17" i="7"/>
  <c r="P17" i="7"/>
  <c r="Q17" i="7" s="1"/>
  <c r="O18" i="7"/>
  <c r="P18" i="7" s="1"/>
  <c r="O19" i="7"/>
  <c r="P19" i="7" s="1"/>
  <c r="O20" i="7"/>
  <c r="P20" i="7"/>
  <c r="Q20" i="7" s="1"/>
  <c r="O21" i="7"/>
  <c r="P21" i="7" s="1"/>
  <c r="O22" i="7"/>
  <c r="P22" i="7" s="1"/>
  <c r="O23" i="7"/>
  <c r="P23" i="7" s="1"/>
  <c r="O24" i="7"/>
  <c r="P24" i="7" s="1"/>
  <c r="O25" i="7"/>
  <c r="P25" i="7" s="1"/>
  <c r="O26" i="7"/>
  <c r="P26" i="7"/>
  <c r="Q26" i="7" s="1"/>
  <c r="O27" i="7"/>
  <c r="P27" i="7" s="1"/>
  <c r="O28" i="7"/>
  <c r="P28" i="7" s="1"/>
  <c r="O29" i="7"/>
  <c r="P29" i="7"/>
  <c r="Q29" i="7" s="1"/>
  <c r="O30" i="7"/>
  <c r="P30" i="7" s="1"/>
  <c r="O31" i="7"/>
  <c r="P31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P38" i="7"/>
  <c r="Q38" i="7" s="1"/>
  <c r="O39" i="7"/>
  <c r="P39" i="7" s="1"/>
  <c r="O40" i="7"/>
  <c r="P40" i="7" s="1"/>
  <c r="O41" i="7"/>
  <c r="P41" i="7" s="1"/>
  <c r="O42" i="7"/>
  <c r="P42" i="7" s="1"/>
  <c r="O43" i="7"/>
  <c r="P43" i="7" s="1"/>
  <c r="O44" i="7"/>
  <c r="P44" i="7" s="1"/>
  <c r="O45" i="7"/>
  <c r="P45" i="7" s="1"/>
  <c r="O46" i="7"/>
  <c r="P46" i="7" s="1"/>
  <c r="O47" i="7"/>
  <c r="P47" i="7"/>
  <c r="Q47" i="7" s="1"/>
  <c r="O48" i="7"/>
  <c r="P48" i="7" s="1"/>
  <c r="O49" i="7"/>
  <c r="P49" i="7" s="1"/>
  <c r="O50" i="7"/>
  <c r="P50" i="7" s="1"/>
  <c r="O51" i="7"/>
  <c r="P51" i="7" s="1"/>
  <c r="O52" i="7"/>
  <c r="P52" i="7" s="1"/>
  <c r="O53" i="7"/>
  <c r="P53" i="7" s="1"/>
  <c r="O54" i="7"/>
  <c r="P54" i="7" s="1"/>
  <c r="O55" i="7"/>
  <c r="P55" i="7" s="1"/>
  <c r="O56" i="7"/>
  <c r="P56" i="7"/>
  <c r="Q56" i="7" s="1"/>
  <c r="O57" i="7"/>
  <c r="P57" i="7" s="1"/>
  <c r="O58" i="7"/>
  <c r="P58" i="7" s="1"/>
  <c r="O59" i="7"/>
  <c r="P59" i="7" s="1"/>
  <c r="O60" i="7"/>
  <c r="P60" i="7" s="1"/>
  <c r="O61" i="7"/>
  <c r="P61" i="7" s="1"/>
  <c r="O62" i="7"/>
  <c r="P62" i="7" s="1"/>
  <c r="O63" i="7"/>
  <c r="P63" i="7" s="1"/>
  <c r="O64" i="7"/>
  <c r="P64" i="7" s="1"/>
  <c r="O65" i="7"/>
  <c r="P65" i="7"/>
  <c r="Q65" i="7" s="1"/>
  <c r="O66" i="7"/>
  <c r="P66" i="7" s="1"/>
  <c r="O67" i="7"/>
  <c r="P67" i="7" s="1"/>
  <c r="O68" i="7"/>
  <c r="P68" i="7" s="1"/>
  <c r="O69" i="7"/>
  <c r="P69" i="7" s="1"/>
  <c r="O70" i="7"/>
  <c r="P70" i="7" s="1"/>
  <c r="O71" i="7"/>
  <c r="P71" i="7" s="1"/>
  <c r="O72" i="7"/>
  <c r="P72" i="7" s="1"/>
  <c r="O73" i="7"/>
  <c r="P73" i="7" s="1"/>
  <c r="O74" i="7"/>
  <c r="P74" i="7"/>
  <c r="Q74" i="7" s="1"/>
  <c r="O75" i="7"/>
  <c r="P75" i="7" s="1"/>
  <c r="O76" i="7"/>
  <c r="P76" i="7" s="1"/>
  <c r="O77" i="7"/>
  <c r="P77" i="7" s="1"/>
  <c r="O78" i="7"/>
  <c r="P78" i="7" s="1"/>
  <c r="O79" i="7"/>
  <c r="P79" i="7" s="1"/>
  <c r="O80" i="7"/>
  <c r="P80" i="7" s="1"/>
  <c r="O81" i="7"/>
  <c r="P81" i="7" s="1"/>
  <c r="O82" i="7"/>
  <c r="P82" i="7" s="1"/>
  <c r="O83" i="7"/>
  <c r="P83" i="7"/>
  <c r="Q83" i="7" s="1"/>
  <c r="O84" i="7"/>
  <c r="P84" i="7" s="1"/>
  <c r="O85" i="7"/>
  <c r="P85" i="7" s="1"/>
  <c r="O86" i="7"/>
  <c r="P86" i="7" s="1"/>
  <c r="O87" i="7"/>
  <c r="P87" i="7" s="1"/>
  <c r="O88" i="7"/>
  <c r="P88" i="7" s="1"/>
  <c r="O89" i="7"/>
  <c r="P89" i="7" s="1"/>
  <c r="O90" i="7"/>
  <c r="P90" i="7" s="1"/>
  <c r="O91" i="7"/>
  <c r="P91" i="7" s="1"/>
  <c r="O92" i="7"/>
  <c r="P92" i="7"/>
  <c r="O93" i="7"/>
  <c r="P93" i="7" s="1"/>
  <c r="O94" i="7"/>
  <c r="P94" i="7" s="1"/>
  <c r="O95" i="7"/>
  <c r="P95" i="7" s="1"/>
  <c r="O96" i="7"/>
  <c r="P96" i="7" s="1"/>
  <c r="O97" i="7"/>
  <c r="P97" i="7" s="1"/>
  <c r="O98" i="7"/>
  <c r="P98" i="7" s="1"/>
  <c r="O99" i="7"/>
  <c r="P99" i="7" s="1"/>
  <c r="O100" i="7"/>
  <c r="P100" i="7" s="1"/>
  <c r="O101" i="7"/>
  <c r="P101" i="7"/>
  <c r="Q101" i="7" s="1"/>
  <c r="O102" i="7"/>
  <c r="P102" i="7" s="1"/>
  <c r="O103" i="7"/>
  <c r="P103" i="7" s="1"/>
  <c r="O104" i="7"/>
  <c r="P104" i="7" s="1"/>
  <c r="O105" i="7"/>
  <c r="P105" i="7" s="1"/>
  <c r="O106" i="7"/>
  <c r="P106" i="7" s="1"/>
  <c r="O107" i="7"/>
  <c r="P107" i="7" s="1"/>
  <c r="O108" i="7"/>
  <c r="P108" i="7" s="1"/>
  <c r="O109" i="7"/>
  <c r="P109" i="7" s="1"/>
  <c r="O110" i="7"/>
  <c r="P110" i="7"/>
  <c r="Q110" i="7" s="1"/>
  <c r="O111" i="7"/>
  <c r="P111" i="7" s="1"/>
  <c r="O112" i="7"/>
  <c r="P112" i="7" s="1"/>
  <c r="O113" i="7"/>
  <c r="P113" i="7" s="1"/>
  <c r="O114" i="7"/>
  <c r="P114" i="7" s="1"/>
  <c r="O115" i="7"/>
  <c r="P115" i="7" s="1"/>
  <c r="O116" i="7"/>
  <c r="P116" i="7" s="1"/>
  <c r="O117" i="7"/>
  <c r="P117" i="7" s="1"/>
  <c r="O118" i="7"/>
  <c r="P118" i="7" s="1"/>
  <c r="O119" i="7"/>
  <c r="P119" i="7"/>
  <c r="R119" i="7" s="1"/>
  <c r="Q119" i="7"/>
  <c r="O120" i="7"/>
  <c r="P120" i="7" s="1"/>
  <c r="O121" i="7"/>
  <c r="P121" i="7" s="1"/>
  <c r="O122" i="7"/>
  <c r="P122" i="7" s="1"/>
  <c r="O123" i="7"/>
  <c r="P123" i="7" s="1"/>
  <c r="O124" i="7"/>
  <c r="P124" i="7" s="1"/>
  <c r="O125" i="7"/>
  <c r="P125" i="7" s="1"/>
  <c r="O126" i="7"/>
  <c r="P126" i="7" s="1"/>
  <c r="O127" i="7"/>
  <c r="P127" i="7" s="1"/>
  <c r="O128" i="7"/>
  <c r="P128" i="7"/>
  <c r="R128" i="7" s="1"/>
  <c r="Q128" i="7"/>
  <c r="O129" i="7"/>
  <c r="P129" i="7" s="1"/>
  <c r="O130" i="7"/>
  <c r="P130" i="7" s="1"/>
  <c r="O131" i="7"/>
  <c r="P131" i="7" s="1"/>
  <c r="O132" i="7"/>
  <c r="P132" i="7" s="1"/>
  <c r="O133" i="7"/>
  <c r="P133" i="7" s="1"/>
  <c r="O134" i="7"/>
  <c r="P134" i="7" s="1"/>
  <c r="O135" i="7"/>
  <c r="P135" i="7" s="1"/>
  <c r="O136" i="7"/>
  <c r="P136" i="7" s="1"/>
  <c r="O137" i="7"/>
  <c r="P137" i="7" s="1"/>
  <c r="R137" i="7" s="1"/>
  <c r="Q137" i="7"/>
  <c r="O138" i="7"/>
  <c r="P138" i="7" s="1"/>
  <c r="O139" i="7"/>
  <c r="P139" i="7" s="1"/>
  <c r="O140" i="7"/>
  <c r="P140" i="7" s="1"/>
  <c r="O141" i="7"/>
  <c r="P141" i="7" s="1"/>
  <c r="O142" i="7"/>
  <c r="P142" i="7" s="1"/>
  <c r="O143" i="7"/>
  <c r="P143" i="7" s="1"/>
  <c r="O144" i="7"/>
  <c r="P144" i="7" s="1"/>
  <c r="O145" i="7"/>
  <c r="P145" i="7" s="1"/>
  <c r="O146" i="7"/>
  <c r="P146" i="7"/>
  <c r="R146" i="7" s="1"/>
  <c r="Q146" i="7"/>
  <c r="O147" i="7"/>
  <c r="P147" i="7" s="1"/>
  <c r="O148" i="7"/>
  <c r="P148" i="7" s="1"/>
  <c r="O149" i="7"/>
  <c r="P149" i="7" s="1"/>
  <c r="O150" i="7"/>
  <c r="P150" i="7" s="1"/>
  <c r="O151" i="7"/>
  <c r="P151" i="7" s="1"/>
  <c r="O152" i="7"/>
  <c r="P152" i="7" s="1"/>
  <c r="O153" i="7"/>
  <c r="P153" i="7" s="1"/>
  <c r="O154" i="7"/>
  <c r="P154" i="7" s="1"/>
  <c r="O155" i="7"/>
  <c r="P155" i="7" s="1"/>
  <c r="R155" i="7" s="1"/>
  <c r="Q155" i="7"/>
  <c r="O156" i="7"/>
  <c r="P156" i="7" s="1"/>
  <c r="O157" i="7"/>
  <c r="P157" i="7" s="1"/>
  <c r="O158" i="7"/>
  <c r="P158" i="7" s="1"/>
  <c r="O159" i="7"/>
  <c r="P159" i="7" s="1"/>
  <c r="O160" i="7"/>
  <c r="P160" i="7" s="1"/>
  <c r="O161" i="7"/>
  <c r="P161" i="7" s="1"/>
  <c r="O162" i="7"/>
  <c r="P162" i="7" s="1"/>
  <c r="O163" i="7"/>
  <c r="P163" i="7" s="1"/>
  <c r="O164" i="7"/>
  <c r="P164" i="7" s="1"/>
  <c r="R164" i="7" s="1"/>
  <c r="Q164" i="7"/>
  <c r="O165" i="7"/>
  <c r="P165" i="7" s="1"/>
  <c r="O166" i="7"/>
  <c r="P166" i="7" s="1"/>
  <c r="O167" i="7"/>
  <c r="P167" i="7" s="1"/>
  <c r="O168" i="7"/>
  <c r="P168" i="7" s="1"/>
  <c r="O169" i="7"/>
  <c r="P169" i="7" s="1"/>
  <c r="O170" i="7"/>
  <c r="P170" i="7" s="1"/>
  <c r="O171" i="7"/>
  <c r="P171" i="7" s="1"/>
  <c r="O172" i="7"/>
  <c r="P172" i="7" s="1"/>
  <c r="O173" i="7"/>
  <c r="P173" i="7" s="1"/>
  <c r="R173" i="7" s="1"/>
  <c r="Q173" i="7"/>
  <c r="O174" i="7"/>
  <c r="P174" i="7" s="1"/>
  <c r="O175" i="7"/>
  <c r="P175" i="7" s="1"/>
  <c r="O176" i="7"/>
  <c r="P176" i="7" s="1"/>
  <c r="O177" i="7"/>
  <c r="P177" i="7" s="1"/>
  <c r="O178" i="7"/>
  <c r="P178" i="7" s="1"/>
  <c r="O179" i="7"/>
  <c r="P179" i="7" s="1"/>
  <c r="O180" i="7"/>
  <c r="P180" i="7" s="1"/>
  <c r="O181" i="7"/>
  <c r="P181" i="7" s="1"/>
  <c r="O182" i="7"/>
  <c r="P182" i="7" s="1"/>
  <c r="R182" i="7" s="1"/>
  <c r="Q182" i="7"/>
  <c r="O183" i="7"/>
  <c r="P183" i="7" s="1"/>
  <c r="O184" i="7"/>
  <c r="P184" i="7" s="1"/>
  <c r="O185" i="7"/>
  <c r="P185" i="7" s="1"/>
  <c r="O186" i="7"/>
  <c r="P186" i="7" s="1"/>
  <c r="O187" i="7"/>
  <c r="P187" i="7" s="1"/>
  <c r="O188" i="7"/>
  <c r="P188" i="7" s="1"/>
  <c r="O189" i="7"/>
  <c r="P189" i="7" s="1"/>
  <c r="O190" i="7"/>
  <c r="P190" i="7" s="1"/>
  <c r="O191" i="7"/>
  <c r="P191" i="7" s="1"/>
  <c r="R191" i="7" s="1"/>
  <c r="O192" i="7"/>
  <c r="P192" i="7" s="1"/>
  <c r="O193" i="7"/>
  <c r="P193" i="7" s="1"/>
  <c r="O194" i="7"/>
  <c r="P194" i="7" s="1"/>
  <c r="O195" i="7"/>
  <c r="P195" i="7" s="1"/>
  <c r="O196" i="7"/>
  <c r="P196" i="7" s="1"/>
  <c r="O197" i="7"/>
  <c r="P197" i="7" s="1"/>
  <c r="O198" i="7"/>
  <c r="P198" i="7" s="1"/>
  <c r="O199" i="7"/>
  <c r="P199" i="7" s="1"/>
  <c r="O200" i="7"/>
  <c r="P200" i="7" s="1"/>
  <c r="R200" i="7" s="1"/>
  <c r="O201" i="7"/>
  <c r="P201" i="7" s="1"/>
  <c r="O202" i="7"/>
  <c r="P202" i="7" s="1"/>
  <c r="O203" i="7"/>
  <c r="P203" i="7" s="1"/>
  <c r="O204" i="7"/>
  <c r="P204" i="7" s="1"/>
  <c r="O205" i="7"/>
  <c r="P205" i="7" s="1"/>
  <c r="O206" i="7"/>
  <c r="P206" i="7" s="1"/>
  <c r="O207" i="7"/>
  <c r="P207" i="7" s="1"/>
  <c r="O208" i="7"/>
  <c r="P208" i="7" s="1"/>
  <c r="O209" i="7"/>
  <c r="P209" i="7" s="1"/>
  <c r="R209" i="7" s="1"/>
  <c r="O210" i="7"/>
  <c r="P210" i="7" s="1"/>
  <c r="O211" i="7"/>
  <c r="P211" i="7" s="1"/>
  <c r="O212" i="7"/>
  <c r="P212" i="7" s="1"/>
  <c r="O213" i="7"/>
  <c r="P213" i="7" s="1"/>
  <c r="O214" i="7"/>
  <c r="P214" i="7" s="1"/>
  <c r="O215" i="7"/>
  <c r="P215" i="7" s="1"/>
  <c r="O216" i="7"/>
  <c r="P216" i="7" s="1"/>
  <c r="O217" i="7"/>
  <c r="P217" i="7" s="1"/>
  <c r="O218" i="7"/>
  <c r="P218" i="7" s="1"/>
  <c r="R218" i="7" s="1"/>
  <c r="O219" i="7"/>
  <c r="P219" i="7" s="1"/>
  <c r="O220" i="7"/>
  <c r="P220" i="7" s="1"/>
  <c r="O221" i="7"/>
  <c r="P221" i="7" s="1"/>
  <c r="O222" i="7"/>
  <c r="P222" i="7" s="1"/>
  <c r="Q222" i="7" s="1"/>
  <c r="O223" i="7"/>
  <c r="P223" i="7" s="1"/>
  <c r="O224" i="7"/>
  <c r="P224" i="7" s="1"/>
  <c r="O225" i="7"/>
  <c r="P225" i="7" s="1"/>
  <c r="O226" i="7"/>
  <c r="P226" i="7" s="1"/>
  <c r="O227" i="7"/>
  <c r="P227" i="7"/>
  <c r="R227" i="7" s="1"/>
  <c r="Q227" i="7"/>
  <c r="O228" i="7"/>
  <c r="P228" i="7" s="1"/>
  <c r="O229" i="7"/>
  <c r="P229" i="7" s="1"/>
  <c r="O230" i="7"/>
  <c r="P230" i="7" s="1"/>
  <c r="O231" i="7"/>
  <c r="P231" i="7" s="1"/>
  <c r="Q231" i="7" s="1"/>
  <c r="R231" i="7"/>
  <c r="O232" i="7"/>
  <c r="P232" i="7" s="1"/>
  <c r="O3" i="7"/>
  <c r="K4" i="7"/>
  <c r="L4" i="7" s="1"/>
  <c r="K5" i="7"/>
  <c r="L5" i="7"/>
  <c r="M5" i="7" s="1"/>
  <c r="K6" i="7"/>
  <c r="L6" i="7" s="1"/>
  <c r="M6" i="7" s="1"/>
  <c r="K7" i="7"/>
  <c r="L7" i="7" s="1"/>
  <c r="K8" i="7"/>
  <c r="L8" i="7"/>
  <c r="K9" i="7"/>
  <c r="L9" i="7" s="1"/>
  <c r="K10" i="7"/>
  <c r="L10" i="7" s="1"/>
  <c r="M10" i="7" s="1"/>
  <c r="K11" i="7"/>
  <c r="L11" i="7"/>
  <c r="K12" i="7"/>
  <c r="L12" i="7"/>
  <c r="M12" i="7" s="1"/>
  <c r="N12" i="7"/>
  <c r="K13" i="7"/>
  <c r="L13" i="7" s="1"/>
  <c r="K14" i="7"/>
  <c r="L14" i="7"/>
  <c r="M14" i="7" s="1"/>
  <c r="K15" i="7"/>
  <c r="L15" i="7"/>
  <c r="M15" i="7" s="1"/>
  <c r="N15" i="7"/>
  <c r="K16" i="7"/>
  <c r="L16" i="7" s="1"/>
  <c r="K17" i="7"/>
  <c r="L17" i="7"/>
  <c r="K18" i="7"/>
  <c r="L18" i="7" s="1"/>
  <c r="K19" i="7"/>
  <c r="L19" i="7" s="1"/>
  <c r="K20" i="7"/>
  <c r="L20" i="7"/>
  <c r="K21" i="7"/>
  <c r="L21" i="7"/>
  <c r="M21" i="7" s="1"/>
  <c r="N21" i="7"/>
  <c r="K22" i="7"/>
  <c r="L22" i="7" s="1"/>
  <c r="K23" i="7"/>
  <c r="L23" i="7"/>
  <c r="M23" i="7" s="1"/>
  <c r="K24" i="7"/>
  <c r="L24" i="7"/>
  <c r="M24" i="7" s="1"/>
  <c r="N24" i="7"/>
  <c r="K25" i="7"/>
  <c r="L25" i="7" s="1"/>
  <c r="K26" i="7"/>
  <c r="L26" i="7"/>
  <c r="K27" i="7"/>
  <c r="L27" i="7" s="1"/>
  <c r="K28" i="7"/>
  <c r="L28" i="7" s="1"/>
  <c r="K29" i="7"/>
  <c r="L29" i="7"/>
  <c r="K30" i="7"/>
  <c r="L30" i="7"/>
  <c r="M30" i="7" s="1"/>
  <c r="N30" i="7"/>
  <c r="K31" i="7"/>
  <c r="L31" i="7" s="1"/>
  <c r="K32" i="7"/>
  <c r="L32" i="7"/>
  <c r="M32" i="7" s="1"/>
  <c r="K33" i="7"/>
  <c r="L33" i="7"/>
  <c r="M33" i="7" s="1"/>
  <c r="N33" i="7"/>
  <c r="K34" i="7"/>
  <c r="L34" i="7" s="1"/>
  <c r="K35" i="7"/>
  <c r="L35" i="7"/>
  <c r="K36" i="7"/>
  <c r="L36" i="7" s="1"/>
  <c r="K37" i="7"/>
  <c r="L37" i="7" s="1"/>
  <c r="K38" i="7"/>
  <c r="L38" i="7"/>
  <c r="K39" i="7"/>
  <c r="L39" i="7"/>
  <c r="M39" i="7" s="1"/>
  <c r="N39" i="7"/>
  <c r="K40" i="7"/>
  <c r="L40" i="7" s="1"/>
  <c r="K41" i="7"/>
  <c r="L41" i="7"/>
  <c r="M41" i="7" s="1"/>
  <c r="K42" i="7"/>
  <c r="L42" i="7"/>
  <c r="M42" i="7" s="1"/>
  <c r="N42" i="7"/>
  <c r="K43" i="7"/>
  <c r="L43" i="7" s="1"/>
  <c r="K44" i="7"/>
  <c r="L44" i="7"/>
  <c r="K45" i="7"/>
  <c r="L45" i="7" s="1"/>
  <c r="K46" i="7"/>
  <c r="L46" i="7" s="1"/>
  <c r="K47" i="7"/>
  <c r="L47" i="7"/>
  <c r="K48" i="7"/>
  <c r="L48" i="7"/>
  <c r="M48" i="7" s="1"/>
  <c r="N48" i="7"/>
  <c r="K49" i="7"/>
  <c r="L49" i="7" s="1"/>
  <c r="K50" i="7"/>
  <c r="L50" i="7"/>
  <c r="M50" i="7" s="1"/>
  <c r="K51" i="7"/>
  <c r="L51" i="7"/>
  <c r="M51" i="7" s="1"/>
  <c r="N51" i="7"/>
  <c r="K52" i="7"/>
  <c r="L52" i="7" s="1"/>
  <c r="K53" i="7"/>
  <c r="L53" i="7"/>
  <c r="K54" i="7"/>
  <c r="L54" i="7" s="1"/>
  <c r="K55" i="7"/>
  <c r="L55" i="7" s="1"/>
  <c r="K56" i="7"/>
  <c r="L56" i="7"/>
  <c r="K57" i="7"/>
  <c r="L57" i="7"/>
  <c r="M57" i="7" s="1"/>
  <c r="N57" i="7"/>
  <c r="K58" i="7"/>
  <c r="L58" i="7" s="1"/>
  <c r="K59" i="7"/>
  <c r="L59" i="7"/>
  <c r="M59" i="7" s="1"/>
  <c r="K60" i="7"/>
  <c r="L60" i="7"/>
  <c r="M60" i="7" s="1"/>
  <c r="N60" i="7"/>
  <c r="K61" i="7"/>
  <c r="L61" i="7" s="1"/>
  <c r="K62" i="7"/>
  <c r="L62" i="7"/>
  <c r="K63" i="7"/>
  <c r="L63" i="7" s="1"/>
  <c r="K64" i="7"/>
  <c r="L64" i="7" s="1"/>
  <c r="K65" i="7"/>
  <c r="L65" i="7"/>
  <c r="K66" i="7"/>
  <c r="L66" i="7"/>
  <c r="M66" i="7" s="1"/>
  <c r="N66" i="7"/>
  <c r="K67" i="7"/>
  <c r="L67" i="7" s="1"/>
  <c r="K68" i="7"/>
  <c r="L68" i="7"/>
  <c r="M68" i="7" s="1"/>
  <c r="K69" i="7"/>
  <c r="L69" i="7"/>
  <c r="M69" i="7" s="1"/>
  <c r="N69" i="7"/>
  <c r="K70" i="7"/>
  <c r="L70" i="7" s="1"/>
  <c r="K71" i="7"/>
  <c r="L71" i="7"/>
  <c r="K72" i="7"/>
  <c r="L72" i="7" s="1"/>
  <c r="K73" i="7"/>
  <c r="L73" i="7" s="1"/>
  <c r="K74" i="7"/>
  <c r="L74" i="7"/>
  <c r="K75" i="7"/>
  <c r="L75" i="7"/>
  <c r="M75" i="7" s="1"/>
  <c r="N75" i="7"/>
  <c r="K76" i="7"/>
  <c r="L76" i="7" s="1"/>
  <c r="K77" i="7"/>
  <c r="L77" i="7"/>
  <c r="M77" i="7" s="1"/>
  <c r="K78" i="7"/>
  <c r="L78" i="7"/>
  <c r="M78" i="7" s="1"/>
  <c r="N78" i="7"/>
  <c r="K79" i="7"/>
  <c r="L79" i="7" s="1"/>
  <c r="K80" i="7"/>
  <c r="L80" i="7"/>
  <c r="K81" i="7"/>
  <c r="L81" i="7" s="1"/>
  <c r="K82" i="7"/>
  <c r="L82" i="7" s="1"/>
  <c r="K83" i="7"/>
  <c r="L83" i="7"/>
  <c r="K84" i="7"/>
  <c r="L84" i="7"/>
  <c r="M84" i="7" s="1"/>
  <c r="N84" i="7"/>
  <c r="K85" i="7"/>
  <c r="L85" i="7" s="1"/>
  <c r="K86" i="7"/>
  <c r="L86" i="7"/>
  <c r="M86" i="7" s="1"/>
  <c r="K87" i="7"/>
  <c r="L87" i="7"/>
  <c r="M87" i="7" s="1"/>
  <c r="N87" i="7"/>
  <c r="K88" i="7"/>
  <c r="L88" i="7" s="1"/>
  <c r="K89" i="7"/>
  <c r="L89" i="7"/>
  <c r="K90" i="7"/>
  <c r="L90" i="7" s="1"/>
  <c r="K91" i="7"/>
  <c r="L91" i="7" s="1"/>
  <c r="K92" i="7"/>
  <c r="L92" i="7"/>
  <c r="K93" i="7"/>
  <c r="L93" i="7"/>
  <c r="M93" i="7" s="1"/>
  <c r="N93" i="7"/>
  <c r="K94" i="7"/>
  <c r="L94" i="7" s="1"/>
  <c r="K95" i="7"/>
  <c r="L95" i="7"/>
  <c r="M95" i="7" s="1"/>
  <c r="K96" i="7"/>
  <c r="L96" i="7"/>
  <c r="M96" i="7" s="1"/>
  <c r="N96" i="7"/>
  <c r="K97" i="7"/>
  <c r="L97" i="7" s="1"/>
  <c r="K98" i="7"/>
  <c r="L98" i="7"/>
  <c r="K99" i="7"/>
  <c r="L99" i="7" s="1"/>
  <c r="K100" i="7"/>
  <c r="L100" i="7" s="1"/>
  <c r="K101" i="7"/>
  <c r="L101" i="7"/>
  <c r="K102" i="7"/>
  <c r="L102" i="7"/>
  <c r="M102" i="7" s="1"/>
  <c r="N102" i="7"/>
  <c r="K103" i="7"/>
  <c r="L103" i="7" s="1"/>
  <c r="K104" i="7"/>
  <c r="L104" i="7"/>
  <c r="M104" i="7" s="1"/>
  <c r="K105" i="7"/>
  <c r="L105" i="7"/>
  <c r="M105" i="7" s="1"/>
  <c r="N105" i="7"/>
  <c r="K106" i="7"/>
  <c r="L106" i="7" s="1"/>
  <c r="K107" i="7"/>
  <c r="L107" i="7"/>
  <c r="K108" i="7"/>
  <c r="L108" i="7" s="1"/>
  <c r="K109" i="7"/>
  <c r="L109" i="7" s="1"/>
  <c r="M109" i="7" s="1"/>
  <c r="N109" i="7"/>
  <c r="K110" i="7"/>
  <c r="L110" i="7"/>
  <c r="K111" i="7"/>
  <c r="L111" i="7"/>
  <c r="M111" i="7" s="1"/>
  <c r="N111" i="7"/>
  <c r="K112" i="7"/>
  <c r="L112" i="7" s="1"/>
  <c r="K113" i="7"/>
  <c r="L113" i="7"/>
  <c r="M113" i="7" s="1"/>
  <c r="K114" i="7"/>
  <c r="L114" i="7"/>
  <c r="M114" i="7" s="1"/>
  <c r="K115" i="7"/>
  <c r="L115" i="7" s="1"/>
  <c r="K116" i="7"/>
  <c r="L116" i="7"/>
  <c r="K117" i="7"/>
  <c r="L117" i="7" s="1"/>
  <c r="K118" i="7"/>
  <c r="L118" i="7" s="1"/>
  <c r="M118" i="7" s="1"/>
  <c r="N118" i="7"/>
  <c r="K119" i="7"/>
  <c r="L119" i="7"/>
  <c r="K120" i="7"/>
  <c r="L120" i="7"/>
  <c r="M120" i="7"/>
  <c r="N120" i="7"/>
  <c r="K121" i="7"/>
  <c r="L121" i="7" s="1"/>
  <c r="K122" i="7"/>
  <c r="L122" i="7"/>
  <c r="M122" i="7" s="1"/>
  <c r="K123" i="7"/>
  <c r="L123" i="7"/>
  <c r="M123" i="7" s="1"/>
  <c r="K124" i="7"/>
  <c r="L124" i="7" s="1"/>
  <c r="K125" i="7"/>
  <c r="L125" i="7"/>
  <c r="K126" i="7"/>
  <c r="L126" i="7" s="1"/>
  <c r="K127" i="7"/>
  <c r="L127" i="7" s="1"/>
  <c r="M127" i="7" s="1"/>
  <c r="N127" i="7"/>
  <c r="K128" i="7"/>
  <c r="L128" i="7"/>
  <c r="K129" i="7"/>
  <c r="L129" i="7"/>
  <c r="M129" i="7"/>
  <c r="N129" i="7"/>
  <c r="K130" i="7"/>
  <c r="L130" i="7" s="1"/>
  <c r="K131" i="7"/>
  <c r="L131" i="7"/>
  <c r="M131" i="7" s="1"/>
  <c r="K132" i="7"/>
  <c r="L132" i="7"/>
  <c r="M132" i="7" s="1"/>
  <c r="K133" i="7"/>
  <c r="L133" i="7" s="1"/>
  <c r="K134" i="7"/>
  <c r="L134" i="7"/>
  <c r="K135" i="7"/>
  <c r="L135" i="7" s="1"/>
  <c r="K136" i="7"/>
  <c r="L136" i="7" s="1"/>
  <c r="M136" i="7" s="1"/>
  <c r="N136" i="7"/>
  <c r="K137" i="7"/>
  <c r="L137" i="7"/>
  <c r="K138" i="7"/>
  <c r="L138" i="7"/>
  <c r="M138" i="7"/>
  <c r="N138" i="7"/>
  <c r="K139" i="7"/>
  <c r="L139" i="7" s="1"/>
  <c r="K140" i="7"/>
  <c r="L140" i="7"/>
  <c r="M140" i="7" s="1"/>
  <c r="K141" i="7"/>
  <c r="L141" i="7"/>
  <c r="M141" i="7" s="1"/>
  <c r="K142" i="7"/>
  <c r="L142" i="7" s="1"/>
  <c r="K143" i="7"/>
  <c r="L143" i="7"/>
  <c r="K144" i="7"/>
  <c r="L144" i="7" s="1"/>
  <c r="K145" i="7"/>
  <c r="L145" i="7" s="1"/>
  <c r="M145" i="7" s="1"/>
  <c r="N145" i="7"/>
  <c r="K146" i="7"/>
  <c r="L146" i="7"/>
  <c r="N146" i="7" s="1"/>
  <c r="M146" i="7"/>
  <c r="K147" i="7"/>
  <c r="L147" i="7"/>
  <c r="M147" i="7"/>
  <c r="N147" i="7"/>
  <c r="K148" i="7"/>
  <c r="L148" i="7" s="1"/>
  <c r="K149" i="7"/>
  <c r="L149" i="7"/>
  <c r="M149" i="7" s="1"/>
  <c r="K150" i="7"/>
  <c r="L150" i="7"/>
  <c r="M150" i="7" s="1"/>
  <c r="N150" i="7"/>
  <c r="K151" i="7"/>
  <c r="L151" i="7" s="1"/>
  <c r="K152" i="7"/>
  <c r="L152" i="7"/>
  <c r="N152" i="7" s="1"/>
  <c r="K153" i="7"/>
  <c r="L153" i="7" s="1"/>
  <c r="K154" i="7"/>
  <c r="L154" i="7" s="1"/>
  <c r="M154" i="7" s="1"/>
  <c r="N154" i="7"/>
  <c r="K155" i="7"/>
  <c r="L155" i="7"/>
  <c r="N155" i="7" s="1"/>
  <c r="M155" i="7"/>
  <c r="K156" i="7"/>
  <c r="L156" i="7"/>
  <c r="M156" i="7"/>
  <c r="N156" i="7"/>
  <c r="K157" i="7"/>
  <c r="L157" i="7" s="1"/>
  <c r="K158" i="7"/>
  <c r="L158" i="7"/>
  <c r="N158" i="7" s="1"/>
  <c r="M158" i="7"/>
  <c r="K159" i="7"/>
  <c r="L159" i="7"/>
  <c r="M159" i="7" s="1"/>
  <c r="N159" i="7"/>
  <c r="K160" i="7"/>
  <c r="L160" i="7" s="1"/>
  <c r="K161" i="7"/>
  <c r="L161" i="7"/>
  <c r="N161" i="7" s="1"/>
  <c r="M161" i="7"/>
  <c r="K162" i="7"/>
  <c r="L162" i="7" s="1"/>
  <c r="K163" i="7"/>
  <c r="L163" i="7" s="1"/>
  <c r="M163" i="7" s="1"/>
  <c r="N163" i="7"/>
  <c r="K164" i="7"/>
  <c r="L164" i="7"/>
  <c r="N164" i="7" s="1"/>
  <c r="M164" i="7"/>
  <c r="K165" i="7"/>
  <c r="L165" i="7"/>
  <c r="M165" i="7"/>
  <c r="N165" i="7"/>
  <c r="K166" i="7"/>
  <c r="L166" i="7" s="1"/>
  <c r="K167" i="7"/>
  <c r="L167" i="7"/>
  <c r="N167" i="7" s="1"/>
  <c r="M167" i="7"/>
  <c r="K168" i="7"/>
  <c r="L168" i="7"/>
  <c r="M168" i="7"/>
  <c r="N168" i="7"/>
  <c r="K169" i="7"/>
  <c r="L169" i="7" s="1"/>
  <c r="K170" i="7"/>
  <c r="L170" i="7"/>
  <c r="N170" i="7" s="1"/>
  <c r="K171" i="7"/>
  <c r="L171" i="7" s="1"/>
  <c r="K172" i="7"/>
  <c r="L172" i="7" s="1"/>
  <c r="M172" i="7" s="1"/>
  <c r="N172" i="7"/>
  <c r="K173" i="7"/>
  <c r="L173" i="7" s="1"/>
  <c r="K174" i="7"/>
  <c r="L174" i="7"/>
  <c r="M174" i="7"/>
  <c r="N174" i="7"/>
  <c r="K175" i="7"/>
  <c r="L175" i="7" s="1"/>
  <c r="K176" i="7"/>
  <c r="L176" i="7"/>
  <c r="N176" i="7" s="1"/>
  <c r="M176" i="7"/>
  <c r="K177" i="7"/>
  <c r="L177" i="7"/>
  <c r="M177" i="7"/>
  <c r="N177" i="7"/>
  <c r="K178" i="7"/>
  <c r="L178" i="7" s="1"/>
  <c r="K179" i="7"/>
  <c r="L179" i="7"/>
  <c r="N179" i="7" s="1"/>
  <c r="M179" i="7"/>
  <c r="K180" i="7"/>
  <c r="L180" i="7" s="1"/>
  <c r="K181" i="7"/>
  <c r="L181" i="7" s="1"/>
  <c r="M181" i="7" s="1"/>
  <c r="N181" i="7"/>
  <c r="K182" i="7"/>
  <c r="L182" i="7" s="1"/>
  <c r="K183" i="7"/>
  <c r="L183" i="7"/>
  <c r="M183" i="7"/>
  <c r="N183" i="7"/>
  <c r="K184" i="7"/>
  <c r="L184" i="7" s="1"/>
  <c r="K185" i="7"/>
  <c r="L185" i="7"/>
  <c r="N185" i="7" s="1"/>
  <c r="M185" i="7"/>
  <c r="K186" i="7"/>
  <c r="L186" i="7"/>
  <c r="M186" i="7"/>
  <c r="N186" i="7"/>
  <c r="K187" i="7"/>
  <c r="L187" i="7" s="1"/>
  <c r="K188" i="7"/>
  <c r="L188" i="7"/>
  <c r="N188" i="7" s="1"/>
  <c r="M188" i="7"/>
  <c r="K189" i="7"/>
  <c r="L189" i="7" s="1"/>
  <c r="K190" i="7"/>
  <c r="L190" i="7" s="1"/>
  <c r="M190" i="7" s="1"/>
  <c r="N190" i="7"/>
  <c r="K191" i="7"/>
  <c r="L191" i="7" s="1"/>
  <c r="K192" i="7"/>
  <c r="L192" i="7"/>
  <c r="M192" i="7"/>
  <c r="N192" i="7"/>
  <c r="K193" i="7"/>
  <c r="L193" i="7" s="1"/>
  <c r="K194" i="7"/>
  <c r="L194" i="7"/>
  <c r="N194" i="7" s="1"/>
  <c r="M194" i="7"/>
  <c r="K195" i="7"/>
  <c r="L195" i="7"/>
  <c r="M195" i="7"/>
  <c r="N195" i="7"/>
  <c r="K196" i="7"/>
  <c r="L196" i="7" s="1"/>
  <c r="K197" i="7"/>
  <c r="L197" i="7"/>
  <c r="N197" i="7" s="1"/>
  <c r="K198" i="7"/>
  <c r="L198" i="7" s="1"/>
  <c r="K199" i="7"/>
  <c r="L199" i="7" s="1"/>
  <c r="M199" i="7" s="1"/>
  <c r="N199" i="7"/>
  <c r="K200" i="7"/>
  <c r="L200" i="7"/>
  <c r="N200" i="7" s="1"/>
  <c r="K201" i="7"/>
  <c r="L201" i="7"/>
  <c r="M201" i="7"/>
  <c r="N201" i="7"/>
  <c r="K202" i="7"/>
  <c r="L202" i="7" s="1"/>
  <c r="K203" i="7"/>
  <c r="L203" i="7"/>
  <c r="N203" i="7" s="1"/>
  <c r="M203" i="7"/>
  <c r="K204" i="7"/>
  <c r="L204" i="7"/>
  <c r="M204" i="7"/>
  <c r="N204" i="7"/>
  <c r="K205" i="7"/>
  <c r="L205" i="7" s="1"/>
  <c r="K206" i="7"/>
  <c r="L206" i="7" s="1"/>
  <c r="K207" i="7"/>
  <c r="L207" i="7" s="1"/>
  <c r="K208" i="7"/>
  <c r="L208" i="7" s="1"/>
  <c r="M208" i="7" s="1"/>
  <c r="N208" i="7"/>
  <c r="K209" i="7"/>
  <c r="L209" i="7" s="1"/>
  <c r="K210" i="7"/>
  <c r="L210" i="7"/>
  <c r="M210" i="7"/>
  <c r="N210" i="7"/>
  <c r="K211" i="7"/>
  <c r="L211" i="7" s="1"/>
  <c r="K212" i="7"/>
  <c r="L212" i="7"/>
  <c r="N212" i="7" s="1"/>
  <c r="M212" i="7"/>
  <c r="K213" i="7"/>
  <c r="L213" i="7"/>
  <c r="N213" i="7" s="1"/>
  <c r="M213" i="7"/>
  <c r="K214" i="7"/>
  <c r="L214" i="7" s="1"/>
  <c r="K215" i="7"/>
  <c r="L215" i="7"/>
  <c r="N215" i="7" s="1"/>
  <c r="M215" i="7"/>
  <c r="K216" i="7"/>
  <c r="L216" i="7" s="1"/>
  <c r="K217" i="7"/>
  <c r="L217" i="7" s="1"/>
  <c r="M217" i="7" s="1"/>
  <c r="K218" i="7"/>
  <c r="L218" i="7" s="1"/>
  <c r="K219" i="7"/>
  <c r="L219" i="7"/>
  <c r="M219" i="7"/>
  <c r="N219" i="7"/>
  <c r="K220" i="7"/>
  <c r="L220" i="7" s="1"/>
  <c r="K221" i="7"/>
  <c r="L221" i="7" s="1"/>
  <c r="K222" i="7"/>
  <c r="L222" i="7"/>
  <c r="M222" i="7"/>
  <c r="N222" i="7"/>
  <c r="K223" i="7"/>
  <c r="L223" i="7" s="1"/>
  <c r="K224" i="7"/>
  <c r="L224" i="7" s="1"/>
  <c r="K225" i="7"/>
  <c r="L225" i="7" s="1"/>
  <c r="K226" i="7"/>
  <c r="L226" i="7" s="1"/>
  <c r="M226" i="7" s="1"/>
  <c r="K227" i="7"/>
  <c r="L227" i="7" s="1"/>
  <c r="K228" i="7"/>
  <c r="L228" i="7"/>
  <c r="M228" i="7"/>
  <c r="N228" i="7"/>
  <c r="K229" i="7"/>
  <c r="L229" i="7" s="1"/>
  <c r="K230" i="7"/>
  <c r="L230" i="7" s="1"/>
  <c r="K231" i="7"/>
  <c r="L231" i="7"/>
  <c r="M231" i="7"/>
  <c r="N231" i="7"/>
  <c r="K232" i="7"/>
  <c r="L232" i="7" s="1"/>
  <c r="K3" i="7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/>
  <c r="G84" i="7"/>
  <c r="H84" i="7" s="1"/>
  <c r="G85" i="7"/>
  <c r="H85" i="7" s="1"/>
  <c r="G86" i="7"/>
  <c r="H86" i="7" s="1"/>
  <c r="G87" i="7"/>
  <c r="H87" i="7" s="1"/>
  <c r="G88" i="7"/>
  <c r="H88" i="7" s="1"/>
  <c r="G89" i="7"/>
  <c r="H89" i="7" s="1"/>
  <c r="G90" i="7"/>
  <c r="H90" i="7" s="1"/>
  <c r="G91" i="7"/>
  <c r="H91" i="7" s="1"/>
  <c r="G92" i="7"/>
  <c r="H92" i="7"/>
  <c r="G93" i="7"/>
  <c r="H93" i="7" s="1"/>
  <c r="G94" i="7"/>
  <c r="H94" i="7" s="1"/>
  <c r="G95" i="7"/>
  <c r="H95" i="7" s="1"/>
  <c r="G96" i="7"/>
  <c r="H96" i="7" s="1"/>
  <c r="G97" i="7"/>
  <c r="H97" i="7" s="1"/>
  <c r="G98" i="7"/>
  <c r="H98" i="7" s="1"/>
  <c r="G99" i="7"/>
  <c r="H99" i="7" s="1"/>
  <c r="G100" i="7"/>
  <c r="H100" i="7" s="1"/>
  <c r="G101" i="7"/>
  <c r="H101" i="7"/>
  <c r="G102" i="7"/>
  <c r="H102" i="7" s="1"/>
  <c r="G103" i="7"/>
  <c r="H103" i="7" s="1"/>
  <c r="G104" i="7"/>
  <c r="H104" i="7" s="1"/>
  <c r="G105" i="7"/>
  <c r="H105" i="7" s="1"/>
  <c r="G106" i="7"/>
  <c r="H106" i="7" s="1"/>
  <c r="G107" i="7"/>
  <c r="H107" i="7" s="1"/>
  <c r="G108" i="7"/>
  <c r="H108" i="7" s="1"/>
  <c r="G109" i="7"/>
  <c r="H109" i="7" s="1"/>
  <c r="G110" i="7"/>
  <c r="H110" i="7"/>
  <c r="G111" i="7"/>
  <c r="H111" i="7" s="1"/>
  <c r="G112" i="7"/>
  <c r="H112" i="7" s="1"/>
  <c r="G113" i="7"/>
  <c r="H113" i="7" s="1"/>
  <c r="G114" i="7"/>
  <c r="H114" i="7" s="1"/>
  <c r="G115" i="7"/>
  <c r="H115" i="7" s="1"/>
  <c r="G116" i="7"/>
  <c r="H116" i="7" s="1"/>
  <c r="G117" i="7"/>
  <c r="H117" i="7" s="1"/>
  <c r="G118" i="7"/>
  <c r="H118" i="7" s="1"/>
  <c r="G119" i="7"/>
  <c r="H119" i="7" s="1"/>
  <c r="G120" i="7"/>
  <c r="H120" i="7" s="1"/>
  <c r="G121" i="7"/>
  <c r="H121" i="7" s="1"/>
  <c r="G122" i="7"/>
  <c r="H122" i="7" s="1"/>
  <c r="G123" i="7"/>
  <c r="H123" i="7" s="1"/>
  <c r="G124" i="7"/>
  <c r="H124" i="7" s="1"/>
  <c r="G125" i="7"/>
  <c r="H125" i="7" s="1"/>
  <c r="G126" i="7"/>
  <c r="H126" i="7" s="1"/>
  <c r="G127" i="7"/>
  <c r="H127" i="7" s="1"/>
  <c r="G128" i="7"/>
  <c r="H128" i="7" s="1"/>
  <c r="G129" i="7"/>
  <c r="H129" i="7" s="1"/>
  <c r="G130" i="7"/>
  <c r="H130" i="7" s="1"/>
  <c r="G131" i="7"/>
  <c r="H131" i="7" s="1"/>
  <c r="G132" i="7"/>
  <c r="H132" i="7" s="1"/>
  <c r="G133" i="7"/>
  <c r="H133" i="7" s="1"/>
  <c r="G134" i="7"/>
  <c r="H134" i="7" s="1"/>
  <c r="G135" i="7"/>
  <c r="H135" i="7" s="1"/>
  <c r="G136" i="7"/>
  <c r="H136" i="7" s="1"/>
  <c r="G137" i="7"/>
  <c r="H137" i="7" s="1"/>
  <c r="G138" i="7"/>
  <c r="H138" i="7" s="1"/>
  <c r="G139" i="7"/>
  <c r="H139" i="7" s="1"/>
  <c r="G140" i="7"/>
  <c r="H140" i="7" s="1"/>
  <c r="G141" i="7"/>
  <c r="H141" i="7" s="1"/>
  <c r="G142" i="7"/>
  <c r="H142" i="7" s="1"/>
  <c r="G143" i="7"/>
  <c r="H143" i="7" s="1"/>
  <c r="G144" i="7"/>
  <c r="H144" i="7" s="1"/>
  <c r="G145" i="7"/>
  <c r="H145" i="7" s="1"/>
  <c r="G146" i="7"/>
  <c r="H146" i="7" s="1"/>
  <c r="G147" i="7"/>
  <c r="H147" i="7" s="1"/>
  <c r="G148" i="7"/>
  <c r="H148" i="7" s="1"/>
  <c r="G149" i="7"/>
  <c r="H149" i="7" s="1"/>
  <c r="G150" i="7"/>
  <c r="H150" i="7" s="1"/>
  <c r="G151" i="7"/>
  <c r="H151" i="7" s="1"/>
  <c r="G152" i="7"/>
  <c r="H152" i="7" s="1"/>
  <c r="G153" i="7"/>
  <c r="H153" i="7" s="1"/>
  <c r="G154" i="7"/>
  <c r="H154" i="7" s="1"/>
  <c r="G155" i="7"/>
  <c r="H155" i="7" s="1"/>
  <c r="G156" i="7"/>
  <c r="H156" i="7" s="1"/>
  <c r="G157" i="7"/>
  <c r="H157" i="7" s="1"/>
  <c r="G158" i="7"/>
  <c r="H158" i="7" s="1"/>
  <c r="G159" i="7"/>
  <c r="H159" i="7" s="1"/>
  <c r="G160" i="7"/>
  <c r="H160" i="7" s="1"/>
  <c r="G161" i="7"/>
  <c r="H161" i="7" s="1"/>
  <c r="G162" i="7"/>
  <c r="H162" i="7" s="1"/>
  <c r="G163" i="7"/>
  <c r="H163" i="7" s="1"/>
  <c r="G164" i="7"/>
  <c r="H164" i="7" s="1"/>
  <c r="G165" i="7"/>
  <c r="H165" i="7" s="1"/>
  <c r="G166" i="7"/>
  <c r="H166" i="7" s="1"/>
  <c r="G167" i="7"/>
  <c r="H167" i="7" s="1"/>
  <c r="G168" i="7"/>
  <c r="H168" i="7" s="1"/>
  <c r="G169" i="7"/>
  <c r="H169" i="7" s="1"/>
  <c r="G170" i="7"/>
  <c r="H170" i="7" s="1"/>
  <c r="G171" i="7"/>
  <c r="H171" i="7" s="1"/>
  <c r="G172" i="7"/>
  <c r="H172" i="7" s="1"/>
  <c r="G173" i="7"/>
  <c r="H173" i="7" s="1"/>
  <c r="G174" i="7"/>
  <c r="H174" i="7" s="1"/>
  <c r="G175" i="7"/>
  <c r="H175" i="7" s="1"/>
  <c r="G176" i="7"/>
  <c r="H176" i="7" s="1"/>
  <c r="G177" i="7"/>
  <c r="H177" i="7" s="1"/>
  <c r="G178" i="7"/>
  <c r="H178" i="7" s="1"/>
  <c r="G179" i="7"/>
  <c r="H179" i="7" s="1"/>
  <c r="G180" i="7"/>
  <c r="H180" i="7" s="1"/>
  <c r="G181" i="7"/>
  <c r="H181" i="7" s="1"/>
  <c r="G182" i="7"/>
  <c r="H182" i="7" s="1"/>
  <c r="G183" i="7"/>
  <c r="H183" i="7" s="1"/>
  <c r="G184" i="7"/>
  <c r="H184" i="7" s="1"/>
  <c r="G185" i="7"/>
  <c r="H185" i="7" s="1"/>
  <c r="G186" i="7"/>
  <c r="H186" i="7" s="1"/>
  <c r="G187" i="7"/>
  <c r="H187" i="7" s="1"/>
  <c r="G188" i="7"/>
  <c r="H188" i="7" s="1"/>
  <c r="G189" i="7"/>
  <c r="H189" i="7" s="1"/>
  <c r="G190" i="7"/>
  <c r="H190" i="7" s="1"/>
  <c r="G191" i="7"/>
  <c r="H191" i="7" s="1"/>
  <c r="G192" i="7"/>
  <c r="H192" i="7" s="1"/>
  <c r="G193" i="7"/>
  <c r="H193" i="7" s="1"/>
  <c r="G194" i="7"/>
  <c r="H194" i="7" s="1"/>
  <c r="G195" i="7"/>
  <c r="H195" i="7" s="1"/>
  <c r="G196" i="7"/>
  <c r="H196" i="7" s="1"/>
  <c r="G197" i="7"/>
  <c r="H197" i="7" s="1"/>
  <c r="G198" i="7"/>
  <c r="H198" i="7" s="1"/>
  <c r="G199" i="7"/>
  <c r="H199" i="7" s="1"/>
  <c r="G200" i="7"/>
  <c r="H200" i="7" s="1"/>
  <c r="G201" i="7"/>
  <c r="H201" i="7" s="1"/>
  <c r="G202" i="7"/>
  <c r="H202" i="7" s="1"/>
  <c r="G203" i="7"/>
  <c r="H203" i="7" s="1"/>
  <c r="G204" i="7"/>
  <c r="H204" i="7" s="1"/>
  <c r="G205" i="7"/>
  <c r="H205" i="7" s="1"/>
  <c r="G206" i="7"/>
  <c r="H206" i="7" s="1"/>
  <c r="G207" i="7"/>
  <c r="G208" i="7"/>
  <c r="H208" i="7" s="1"/>
  <c r="G209" i="7"/>
  <c r="G210" i="7"/>
  <c r="H210" i="7" s="1"/>
  <c r="G211" i="7"/>
  <c r="H211" i="7" s="1"/>
  <c r="G212" i="7"/>
  <c r="H212" i="7" s="1"/>
  <c r="G213" i="7"/>
  <c r="H213" i="7" s="1"/>
  <c r="G214" i="7"/>
  <c r="H214" i="7" s="1"/>
  <c r="G215" i="7"/>
  <c r="H215" i="7" s="1"/>
  <c r="G216" i="7"/>
  <c r="H216" i="7" s="1"/>
  <c r="G217" i="7"/>
  <c r="H217" i="7" s="1"/>
  <c r="G218" i="7"/>
  <c r="H218" i="7" s="1"/>
  <c r="G219" i="7"/>
  <c r="H219" i="7" s="1"/>
  <c r="G220" i="7"/>
  <c r="H220" i="7" s="1"/>
  <c r="G221" i="7"/>
  <c r="H221" i="7" s="1"/>
  <c r="G222" i="7"/>
  <c r="H222" i="7" s="1"/>
  <c r="G223" i="7"/>
  <c r="H223" i="7" s="1"/>
  <c r="G224" i="7"/>
  <c r="H224" i="7" s="1"/>
  <c r="G225" i="7"/>
  <c r="H225" i="7" s="1"/>
  <c r="G226" i="7"/>
  <c r="H226" i="7" s="1"/>
  <c r="G227" i="7"/>
  <c r="H227" i="7" s="1"/>
  <c r="G228" i="7"/>
  <c r="H228" i="7" s="1"/>
  <c r="G229" i="7"/>
  <c r="H229" i="7" s="1"/>
  <c r="G230" i="7"/>
  <c r="H230" i="7" s="1"/>
  <c r="G231" i="7"/>
  <c r="H231" i="7" s="1"/>
  <c r="G232" i="7"/>
  <c r="H232" i="7" s="1"/>
  <c r="G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3" i="7"/>
  <c r="AU196" i="6"/>
  <c r="AV196" i="6" s="1"/>
  <c r="AU197" i="6"/>
  <c r="AV197" i="6" s="1"/>
  <c r="AU198" i="6"/>
  <c r="AV198" i="6"/>
  <c r="AW198" i="6" s="1"/>
  <c r="AX198" i="6"/>
  <c r="AU199" i="6"/>
  <c r="AV199" i="6" s="1"/>
  <c r="AU200" i="6"/>
  <c r="AV200" i="6" s="1"/>
  <c r="AU201" i="6"/>
  <c r="AV201" i="6" s="1"/>
  <c r="AU202" i="6"/>
  <c r="AV202" i="6" s="1"/>
  <c r="AU203" i="6"/>
  <c r="AV203" i="6"/>
  <c r="AW203" i="6" s="1"/>
  <c r="AU204" i="6"/>
  <c r="AV204" i="6"/>
  <c r="AW204" i="6"/>
  <c r="AX204" i="6"/>
  <c r="AU205" i="6"/>
  <c r="AV205" i="6" s="1"/>
  <c r="AU206" i="6"/>
  <c r="AV206" i="6" s="1"/>
  <c r="AU207" i="6"/>
  <c r="AV207" i="6" s="1"/>
  <c r="AU208" i="6"/>
  <c r="AV208" i="6" s="1"/>
  <c r="AU209" i="6"/>
  <c r="AV209" i="6" s="1"/>
  <c r="AU210" i="6"/>
  <c r="AV210" i="6" s="1"/>
  <c r="AU211" i="6"/>
  <c r="AV211" i="6" s="1"/>
  <c r="AU212" i="6"/>
  <c r="AV212" i="6"/>
  <c r="AX212" i="6" s="1"/>
  <c r="AW212" i="6"/>
  <c r="AU213" i="6"/>
  <c r="AV213" i="6" s="1"/>
  <c r="AU214" i="6"/>
  <c r="AV214" i="6" s="1"/>
  <c r="AU215" i="6"/>
  <c r="AV215" i="6" s="1"/>
  <c r="AU216" i="6"/>
  <c r="AV216" i="6" s="1"/>
  <c r="AU217" i="6"/>
  <c r="AV217" i="6" s="1"/>
  <c r="AU218" i="6"/>
  <c r="AV218" i="6" s="1"/>
  <c r="AU219" i="6"/>
  <c r="AV219" i="6" s="1"/>
  <c r="AU220" i="6"/>
  <c r="AV220" i="6" s="1"/>
  <c r="AU221" i="6"/>
  <c r="AV221" i="6" s="1"/>
  <c r="AU222" i="6"/>
  <c r="AV222" i="6"/>
  <c r="AW222" i="6"/>
  <c r="AX222" i="6"/>
  <c r="AU223" i="6"/>
  <c r="AV223" i="6" s="1"/>
  <c r="AU224" i="6"/>
  <c r="AV224" i="6" s="1"/>
  <c r="AU225" i="6"/>
  <c r="AV225" i="6" s="1"/>
  <c r="AU226" i="6"/>
  <c r="AV226" i="6" s="1"/>
  <c r="AU227" i="6"/>
  <c r="AV227" i="6" s="1"/>
  <c r="AU228" i="6"/>
  <c r="AV228" i="6" s="1"/>
  <c r="AU229" i="6"/>
  <c r="AV229" i="6" s="1"/>
  <c r="AU195" i="6"/>
  <c r="AQ196" i="6"/>
  <c r="AR196" i="6" s="1"/>
  <c r="AQ197" i="6"/>
  <c r="AR197" i="6" s="1"/>
  <c r="AQ198" i="6"/>
  <c r="AR198" i="6" s="1"/>
  <c r="AQ199" i="6"/>
  <c r="AR199" i="6" s="1"/>
  <c r="AQ200" i="6"/>
  <c r="AR200" i="6" s="1"/>
  <c r="AQ201" i="6"/>
  <c r="AR201" i="6" s="1"/>
  <c r="AQ202" i="6"/>
  <c r="AR202" i="6" s="1"/>
  <c r="AQ203" i="6"/>
  <c r="AR203" i="6" s="1"/>
  <c r="AQ204" i="6"/>
  <c r="AR204" i="6"/>
  <c r="AS204" i="6" s="1"/>
  <c r="AQ205" i="6"/>
  <c r="AR205" i="6" s="1"/>
  <c r="AQ206" i="6"/>
  <c r="AR206" i="6" s="1"/>
  <c r="AQ207" i="6"/>
  <c r="AR207" i="6" s="1"/>
  <c r="AQ208" i="6"/>
  <c r="AR208" i="6" s="1"/>
  <c r="AQ209" i="6"/>
  <c r="AR209" i="6" s="1"/>
  <c r="AQ210" i="6"/>
  <c r="AR210" i="6" s="1"/>
  <c r="AQ211" i="6"/>
  <c r="AR211" i="6" s="1"/>
  <c r="AQ212" i="6"/>
  <c r="AR212" i="6" s="1"/>
  <c r="AQ213" i="6"/>
  <c r="AR213" i="6" s="1"/>
  <c r="AQ214" i="6"/>
  <c r="AR214" i="6" s="1"/>
  <c r="AQ215" i="6"/>
  <c r="AR215" i="6" s="1"/>
  <c r="AQ216" i="6"/>
  <c r="AR216" i="6" s="1"/>
  <c r="AQ217" i="6"/>
  <c r="AR217" i="6" s="1"/>
  <c r="AQ218" i="6"/>
  <c r="AR218" i="6" s="1"/>
  <c r="AQ219" i="6"/>
  <c r="AR219" i="6" s="1"/>
  <c r="AQ220" i="6"/>
  <c r="AR220" i="6" s="1"/>
  <c r="AQ221" i="6"/>
  <c r="AR221" i="6" s="1"/>
  <c r="AQ222" i="6"/>
  <c r="AR222" i="6" s="1"/>
  <c r="AQ223" i="6"/>
  <c r="AR223" i="6" s="1"/>
  <c r="AQ224" i="6"/>
  <c r="AR224" i="6" s="1"/>
  <c r="AQ225" i="6"/>
  <c r="AR225" i="6" s="1"/>
  <c r="AQ226" i="6"/>
  <c r="AR226" i="6" s="1"/>
  <c r="AQ227" i="6"/>
  <c r="AR227" i="6" s="1"/>
  <c r="AQ228" i="6"/>
  <c r="AR228" i="6" s="1"/>
  <c r="AQ229" i="6"/>
  <c r="AR229" i="6" s="1"/>
  <c r="AQ195" i="6"/>
  <c r="AM196" i="6"/>
  <c r="AN196" i="6" s="1"/>
  <c r="AM197" i="6"/>
  <c r="AN197" i="6" s="1"/>
  <c r="AM198" i="6"/>
  <c r="AN198" i="6"/>
  <c r="AP198" i="6" s="1"/>
  <c r="AO198" i="6"/>
  <c r="AM199" i="6"/>
  <c r="AN199" i="6" s="1"/>
  <c r="AM200" i="6"/>
  <c r="AN200" i="6" s="1"/>
  <c r="AM201" i="6"/>
  <c r="AN201" i="6" s="1"/>
  <c r="AM202" i="6"/>
  <c r="AN202" i="6" s="1"/>
  <c r="AM203" i="6"/>
  <c r="AN203" i="6" s="1"/>
  <c r="AM204" i="6"/>
  <c r="AN204" i="6"/>
  <c r="AO204" i="6" s="1"/>
  <c r="AM205" i="6"/>
  <c r="AN205" i="6" s="1"/>
  <c r="AM206" i="6"/>
  <c r="AN206" i="6" s="1"/>
  <c r="AM207" i="6"/>
  <c r="AN207" i="6"/>
  <c r="AP207" i="6" s="1"/>
  <c r="AO207" i="6"/>
  <c r="AM208" i="6"/>
  <c r="AN208" i="6" s="1"/>
  <c r="AM209" i="6"/>
  <c r="AN209" i="6" s="1"/>
  <c r="AM210" i="6"/>
  <c r="AN210" i="6" s="1"/>
  <c r="AM211" i="6"/>
  <c r="AN211" i="6" s="1"/>
  <c r="AM212" i="6"/>
  <c r="AN212" i="6" s="1"/>
  <c r="AM213" i="6"/>
  <c r="AN213" i="6"/>
  <c r="AO213" i="6" s="1"/>
  <c r="AM214" i="6"/>
  <c r="AN214" i="6" s="1"/>
  <c r="AM215" i="6"/>
  <c r="AN215" i="6" s="1"/>
  <c r="AM216" i="6"/>
  <c r="AN216" i="6" s="1"/>
  <c r="AM217" i="6"/>
  <c r="AN217" i="6" s="1"/>
  <c r="AM218" i="6"/>
  <c r="AN218" i="6" s="1"/>
  <c r="AM219" i="6"/>
  <c r="AN219" i="6" s="1"/>
  <c r="AM220" i="6"/>
  <c r="AN220" i="6" s="1"/>
  <c r="AM221" i="6"/>
  <c r="AN221" i="6" s="1"/>
  <c r="AM222" i="6"/>
  <c r="AN222" i="6" s="1"/>
  <c r="AM223" i="6"/>
  <c r="AN223" i="6" s="1"/>
  <c r="AM224" i="6"/>
  <c r="AN224" i="6" s="1"/>
  <c r="AM225" i="6"/>
  <c r="AN225" i="6" s="1"/>
  <c r="AM226" i="6"/>
  <c r="AN226" i="6" s="1"/>
  <c r="AM227" i="6"/>
  <c r="AN227" i="6" s="1"/>
  <c r="AM228" i="6"/>
  <c r="AN228" i="6" s="1"/>
  <c r="AM229" i="6"/>
  <c r="AN229" i="6" s="1"/>
  <c r="AM195" i="6"/>
  <c r="AI196" i="6"/>
  <c r="AJ196" i="6" s="1"/>
  <c r="AI197" i="6"/>
  <c r="AJ197" i="6" s="1"/>
  <c r="AI198" i="6"/>
  <c r="AJ198" i="6" s="1"/>
  <c r="AI199" i="6"/>
  <c r="AJ199" i="6" s="1"/>
  <c r="AI200" i="6"/>
  <c r="AJ200" i="6" s="1"/>
  <c r="AI201" i="6"/>
  <c r="AJ201" i="6" s="1"/>
  <c r="AI202" i="6"/>
  <c r="AJ202" i="6" s="1"/>
  <c r="AI203" i="6"/>
  <c r="AJ203" i="6" s="1"/>
  <c r="AI204" i="6"/>
  <c r="AJ204" i="6"/>
  <c r="AK204" i="6"/>
  <c r="AL204" i="6"/>
  <c r="AI205" i="6"/>
  <c r="AJ205" i="6" s="1"/>
  <c r="AI206" i="6"/>
  <c r="AJ206" i="6" s="1"/>
  <c r="AI207" i="6"/>
  <c r="AJ207" i="6" s="1"/>
  <c r="AI208" i="6"/>
  <c r="AJ208" i="6" s="1"/>
  <c r="AI209" i="6"/>
  <c r="AJ209" i="6" s="1"/>
  <c r="AI210" i="6"/>
  <c r="AJ210" i="6" s="1"/>
  <c r="AI211" i="6"/>
  <c r="AJ211" i="6" s="1"/>
  <c r="AI212" i="6"/>
  <c r="AJ212" i="6" s="1"/>
  <c r="AI213" i="6"/>
  <c r="AJ213" i="6" s="1"/>
  <c r="AI214" i="6"/>
  <c r="AJ214" i="6" s="1"/>
  <c r="AI215" i="6"/>
  <c r="AJ215" i="6" s="1"/>
  <c r="AI216" i="6"/>
  <c r="AJ216" i="6" s="1"/>
  <c r="AI217" i="6"/>
  <c r="AJ217" i="6" s="1"/>
  <c r="AI218" i="6"/>
  <c r="AJ218" i="6" s="1"/>
  <c r="AI219" i="6"/>
  <c r="AJ219" i="6" s="1"/>
  <c r="AI220" i="6"/>
  <c r="AJ220" i="6" s="1"/>
  <c r="AI221" i="6"/>
  <c r="AJ221" i="6" s="1"/>
  <c r="AI222" i="6"/>
  <c r="AJ222" i="6" s="1"/>
  <c r="AI223" i="6"/>
  <c r="AJ223" i="6" s="1"/>
  <c r="AI224" i="6"/>
  <c r="AJ224" i="6" s="1"/>
  <c r="AI225" i="6"/>
  <c r="AJ225" i="6" s="1"/>
  <c r="AI226" i="6"/>
  <c r="AJ226" i="6" s="1"/>
  <c r="AI227" i="6"/>
  <c r="AJ227" i="6" s="1"/>
  <c r="AI228" i="6"/>
  <c r="AJ228" i="6" s="1"/>
  <c r="AI229" i="6"/>
  <c r="AJ229" i="6" s="1"/>
  <c r="AI195" i="6"/>
  <c r="AE196" i="6"/>
  <c r="AF196" i="6" s="1"/>
  <c r="AE197" i="6"/>
  <c r="AF197" i="6" s="1"/>
  <c r="AE198" i="6"/>
  <c r="AF198" i="6" s="1"/>
  <c r="AE199" i="6"/>
  <c r="AF199" i="6" s="1"/>
  <c r="AE200" i="6"/>
  <c r="AF200" i="6" s="1"/>
  <c r="AE201" i="6"/>
  <c r="AF201" i="6" s="1"/>
  <c r="AE202" i="6"/>
  <c r="AF202" i="6" s="1"/>
  <c r="AE203" i="6"/>
  <c r="AF203" i="6" s="1"/>
  <c r="AE204" i="6"/>
  <c r="AF204" i="6"/>
  <c r="AG204" i="6"/>
  <c r="AH204" i="6"/>
  <c r="AE205" i="6"/>
  <c r="AF205" i="6" s="1"/>
  <c r="AE206" i="6"/>
  <c r="AF206" i="6" s="1"/>
  <c r="AE207" i="6"/>
  <c r="AF207" i="6" s="1"/>
  <c r="AE208" i="6"/>
  <c r="AF208" i="6" s="1"/>
  <c r="AE209" i="6"/>
  <c r="AF209" i="6" s="1"/>
  <c r="AE210" i="6"/>
  <c r="AF210" i="6" s="1"/>
  <c r="AE211" i="6"/>
  <c r="AF211" i="6" s="1"/>
  <c r="AE212" i="6"/>
  <c r="AF212" i="6" s="1"/>
  <c r="AE213" i="6"/>
  <c r="AF213" i="6" s="1"/>
  <c r="AE214" i="6"/>
  <c r="AF214" i="6" s="1"/>
  <c r="AE215" i="6"/>
  <c r="AF215" i="6" s="1"/>
  <c r="AE216" i="6"/>
  <c r="AF216" i="6" s="1"/>
  <c r="AE217" i="6"/>
  <c r="AF217" i="6" s="1"/>
  <c r="AE218" i="6"/>
  <c r="AF218" i="6" s="1"/>
  <c r="AE219" i="6"/>
  <c r="AF219" i="6" s="1"/>
  <c r="AE220" i="6"/>
  <c r="AF220" i="6" s="1"/>
  <c r="AE221" i="6"/>
  <c r="AF221" i="6" s="1"/>
  <c r="AE222" i="6"/>
  <c r="AF222" i="6" s="1"/>
  <c r="AE223" i="6"/>
  <c r="AF223" i="6" s="1"/>
  <c r="AE224" i="6"/>
  <c r="AF224" i="6" s="1"/>
  <c r="AE225" i="6"/>
  <c r="AF225" i="6" s="1"/>
  <c r="AE226" i="6"/>
  <c r="AF226" i="6" s="1"/>
  <c r="AE227" i="6"/>
  <c r="AF227" i="6" s="1"/>
  <c r="AE228" i="6"/>
  <c r="AF228" i="6" s="1"/>
  <c r="AE229" i="6"/>
  <c r="AF229" i="6" s="1"/>
  <c r="AE195" i="6"/>
  <c r="AA196" i="6"/>
  <c r="AB196" i="6" s="1"/>
  <c r="AA197" i="6"/>
  <c r="AB197" i="6" s="1"/>
  <c r="AA198" i="6"/>
  <c r="AB198" i="6" s="1"/>
  <c r="AA199" i="6"/>
  <c r="AB199" i="6" s="1"/>
  <c r="AA200" i="6"/>
  <c r="AB200" i="6" s="1"/>
  <c r="AA201" i="6"/>
  <c r="AB201" i="6" s="1"/>
  <c r="AA202" i="6"/>
  <c r="AB202" i="6" s="1"/>
  <c r="AA203" i="6"/>
  <c r="AB203" i="6"/>
  <c r="AD203" i="6" s="1"/>
  <c r="AC203" i="6"/>
  <c r="AA204" i="6"/>
  <c r="AB204" i="6"/>
  <c r="AD204" i="6" s="1"/>
  <c r="AC204" i="6"/>
  <c r="AA205" i="6"/>
  <c r="AB205" i="6" s="1"/>
  <c r="AA206" i="6"/>
  <c r="AB206" i="6" s="1"/>
  <c r="AA207" i="6"/>
  <c r="AB207" i="6" s="1"/>
  <c r="AA208" i="6"/>
  <c r="AB208" i="6" s="1"/>
  <c r="AA209" i="6"/>
  <c r="AB209" i="6" s="1"/>
  <c r="AA210" i="6"/>
  <c r="AB210" i="6" s="1"/>
  <c r="AA211" i="6"/>
  <c r="AB211" i="6" s="1"/>
  <c r="AA212" i="6"/>
  <c r="AB212" i="6"/>
  <c r="AD212" i="6" s="1"/>
  <c r="AC212" i="6"/>
  <c r="AA213" i="6"/>
  <c r="AB213" i="6" s="1"/>
  <c r="AA214" i="6"/>
  <c r="AB214" i="6" s="1"/>
  <c r="AA215" i="6"/>
  <c r="AB215" i="6" s="1"/>
  <c r="AA216" i="6"/>
  <c r="AB216" i="6" s="1"/>
  <c r="AA217" i="6"/>
  <c r="AB217" i="6" s="1"/>
  <c r="AA218" i="6"/>
  <c r="AB218" i="6" s="1"/>
  <c r="AA219" i="6"/>
  <c r="AB219" i="6" s="1"/>
  <c r="AA220" i="6"/>
  <c r="AB220" i="6" s="1"/>
  <c r="AA221" i="6"/>
  <c r="AB221" i="6" s="1"/>
  <c r="AA222" i="6"/>
  <c r="AB222" i="6"/>
  <c r="AD222" i="6" s="1"/>
  <c r="AC222" i="6"/>
  <c r="AA223" i="6"/>
  <c r="AB223" i="6" s="1"/>
  <c r="AA224" i="6"/>
  <c r="AB224" i="6" s="1"/>
  <c r="AA225" i="6"/>
  <c r="AB225" i="6" s="1"/>
  <c r="AA226" i="6"/>
  <c r="AB226" i="6" s="1"/>
  <c r="AA227" i="6"/>
  <c r="AB227" i="6" s="1"/>
  <c r="AA228" i="6"/>
  <c r="AB228" i="6" s="1"/>
  <c r="AA229" i="6"/>
  <c r="AB229" i="6" s="1"/>
  <c r="AA195" i="6"/>
  <c r="W196" i="6"/>
  <c r="X196" i="6" s="1"/>
  <c r="W197" i="6"/>
  <c r="X197" i="6" s="1"/>
  <c r="W198" i="6"/>
  <c r="X198" i="6" s="1"/>
  <c r="W199" i="6"/>
  <c r="X199" i="6" s="1"/>
  <c r="W200" i="6"/>
  <c r="X200" i="6"/>
  <c r="Y200" i="6" s="1"/>
  <c r="W201" i="6"/>
  <c r="X201" i="6" s="1"/>
  <c r="W202" i="6"/>
  <c r="X202" i="6" s="1"/>
  <c r="W203" i="6"/>
  <c r="X203" i="6" s="1"/>
  <c r="W204" i="6"/>
  <c r="X204" i="6" s="1"/>
  <c r="W205" i="6"/>
  <c r="X205" i="6" s="1"/>
  <c r="W206" i="6"/>
  <c r="X206" i="6" s="1"/>
  <c r="W207" i="6"/>
  <c r="X207" i="6" s="1"/>
  <c r="W208" i="6"/>
  <c r="X208" i="6" s="1"/>
  <c r="W209" i="6"/>
  <c r="X209" i="6" s="1"/>
  <c r="W210" i="6"/>
  <c r="X210" i="6" s="1"/>
  <c r="W211" i="6"/>
  <c r="X211" i="6" s="1"/>
  <c r="W212" i="6"/>
  <c r="X212" i="6" s="1"/>
  <c r="W213" i="6"/>
  <c r="X213" i="6" s="1"/>
  <c r="W214" i="6"/>
  <c r="X214" i="6" s="1"/>
  <c r="W215" i="6"/>
  <c r="X215" i="6" s="1"/>
  <c r="W216" i="6"/>
  <c r="X216" i="6" s="1"/>
  <c r="W217" i="6"/>
  <c r="X217" i="6" s="1"/>
  <c r="W218" i="6"/>
  <c r="X218" i="6" s="1"/>
  <c r="W219" i="6"/>
  <c r="X219" i="6" s="1"/>
  <c r="W220" i="6"/>
  <c r="X220" i="6" s="1"/>
  <c r="W221" i="6"/>
  <c r="X221" i="6" s="1"/>
  <c r="W222" i="6"/>
  <c r="X222" i="6" s="1"/>
  <c r="W223" i="6"/>
  <c r="X223" i="6" s="1"/>
  <c r="W224" i="6"/>
  <c r="X224" i="6" s="1"/>
  <c r="W225" i="6"/>
  <c r="X225" i="6" s="1"/>
  <c r="W226" i="6"/>
  <c r="X226" i="6" s="1"/>
  <c r="W227" i="6"/>
  <c r="X227" i="6" s="1"/>
  <c r="W228" i="6"/>
  <c r="X228" i="6" s="1"/>
  <c r="W229" i="6"/>
  <c r="X229" i="6" s="1"/>
  <c r="W195" i="6"/>
  <c r="S196" i="6"/>
  <c r="T196" i="6" s="1"/>
  <c r="S197" i="6"/>
  <c r="T197" i="6" s="1"/>
  <c r="S198" i="6"/>
  <c r="T198" i="6" s="1"/>
  <c r="S199" i="6"/>
  <c r="T199" i="6" s="1"/>
  <c r="S200" i="6"/>
  <c r="T200" i="6" s="1"/>
  <c r="S201" i="6"/>
  <c r="T201" i="6" s="1"/>
  <c r="S202" i="6"/>
  <c r="T202" i="6" s="1"/>
  <c r="S203" i="6"/>
  <c r="T203" i="6" s="1"/>
  <c r="S204" i="6"/>
  <c r="T204" i="6"/>
  <c r="V204" i="6" s="1"/>
  <c r="U204" i="6"/>
  <c r="S205" i="6"/>
  <c r="T205" i="6" s="1"/>
  <c r="S206" i="6"/>
  <c r="T206" i="6" s="1"/>
  <c r="S207" i="6"/>
  <c r="T207" i="6" s="1"/>
  <c r="S208" i="6"/>
  <c r="T208" i="6" s="1"/>
  <c r="S209" i="6"/>
  <c r="T209" i="6" s="1"/>
  <c r="S210" i="6"/>
  <c r="T210" i="6" s="1"/>
  <c r="S211" i="6"/>
  <c r="T211" i="6" s="1"/>
  <c r="S212" i="6"/>
  <c r="T212" i="6" s="1"/>
  <c r="S213" i="6"/>
  <c r="T213" i="6" s="1"/>
  <c r="S214" i="6"/>
  <c r="T214" i="6" s="1"/>
  <c r="S215" i="6"/>
  <c r="T215" i="6" s="1"/>
  <c r="S216" i="6"/>
  <c r="T216" i="6" s="1"/>
  <c r="S217" i="6"/>
  <c r="T217" i="6" s="1"/>
  <c r="S218" i="6"/>
  <c r="T218" i="6" s="1"/>
  <c r="S219" i="6"/>
  <c r="T219" i="6" s="1"/>
  <c r="S220" i="6"/>
  <c r="T220" i="6" s="1"/>
  <c r="S221" i="6"/>
  <c r="T221" i="6" s="1"/>
  <c r="S222" i="6"/>
  <c r="T222" i="6" s="1"/>
  <c r="S223" i="6"/>
  <c r="T223" i="6" s="1"/>
  <c r="S224" i="6"/>
  <c r="T224" i="6" s="1"/>
  <c r="S225" i="6"/>
  <c r="T225" i="6" s="1"/>
  <c r="S226" i="6"/>
  <c r="T226" i="6" s="1"/>
  <c r="S227" i="6"/>
  <c r="T227" i="6" s="1"/>
  <c r="S228" i="6"/>
  <c r="T228" i="6" s="1"/>
  <c r="S229" i="6"/>
  <c r="T229" i="6" s="1"/>
  <c r="S195" i="6"/>
  <c r="O196" i="6"/>
  <c r="P196" i="6" s="1"/>
  <c r="O197" i="6"/>
  <c r="P197" i="6" s="1"/>
  <c r="O198" i="6"/>
  <c r="P198" i="6" s="1"/>
  <c r="O199" i="6"/>
  <c r="P199" i="6" s="1"/>
  <c r="O200" i="6"/>
  <c r="P200" i="6"/>
  <c r="Q200" i="6" s="1"/>
  <c r="O201" i="6"/>
  <c r="P201" i="6" s="1"/>
  <c r="O202" i="6"/>
  <c r="P202" i="6" s="1"/>
  <c r="O203" i="6"/>
  <c r="P203" i="6" s="1"/>
  <c r="O204" i="6"/>
  <c r="P204" i="6"/>
  <c r="Q204" i="6"/>
  <c r="R204" i="6"/>
  <c r="O205" i="6"/>
  <c r="P205" i="6" s="1"/>
  <c r="O206" i="6"/>
  <c r="P206" i="6" s="1"/>
  <c r="O207" i="6"/>
  <c r="P207" i="6" s="1"/>
  <c r="O208" i="6"/>
  <c r="P208" i="6" s="1"/>
  <c r="O209" i="6"/>
  <c r="P209" i="6"/>
  <c r="R209" i="6" s="1"/>
  <c r="Q209" i="6"/>
  <c r="O210" i="6"/>
  <c r="P210" i="6" s="1"/>
  <c r="O211" i="6"/>
  <c r="P211" i="6" s="1"/>
  <c r="O212" i="6"/>
  <c r="P212" i="6" s="1"/>
  <c r="O213" i="6"/>
  <c r="P213" i="6"/>
  <c r="Q213" i="6"/>
  <c r="R213" i="6"/>
  <c r="O214" i="6"/>
  <c r="P214" i="6" s="1"/>
  <c r="O215" i="6"/>
  <c r="P215" i="6" s="1"/>
  <c r="O216" i="6"/>
  <c r="P216" i="6" s="1"/>
  <c r="O217" i="6"/>
  <c r="P217" i="6" s="1"/>
  <c r="O218" i="6"/>
  <c r="P218" i="6" s="1"/>
  <c r="O219" i="6"/>
  <c r="P219" i="6" s="1"/>
  <c r="O220" i="6"/>
  <c r="P220" i="6" s="1"/>
  <c r="O221" i="6"/>
  <c r="P221" i="6" s="1"/>
  <c r="O222" i="6"/>
  <c r="P222" i="6" s="1"/>
  <c r="O223" i="6"/>
  <c r="P223" i="6" s="1"/>
  <c r="O224" i="6"/>
  <c r="P224" i="6" s="1"/>
  <c r="O225" i="6"/>
  <c r="P225" i="6" s="1"/>
  <c r="O226" i="6"/>
  <c r="P226" i="6" s="1"/>
  <c r="O227" i="6"/>
  <c r="P227" i="6" s="1"/>
  <c r="O228" i="6"/>
  <c r="P228" i="6" s="1"/>
  <c r="O229" i="6"/>
  <c r="P229" i="6" s="1"/>
  <c r="O195" i="6"/>
  <c r="K196" i="6"/>
  <c r="L196" i="6" s="1"/>
  <c r="K197" i="6"/>
  <c r="L197" i="6" s="1"/>
  <c r="K198" i="6"/>
  <c r="L198" i="6" s="1"/>
  <c r="K199" i="6"/>
  <c r="L199" i="6" s="1"/>
  <c r="K200" i="6"/>
  <c r="L200" i="6" s="1"/>
  <c r="K201" i="6"/>
  <c r="L201" i="6" s="1"/>
  <c r="K202" i="6"/>
  <c r="L202" i="6" s="1"/>
  <c r="K203" i="6"/>
  <c r="L203" i="6" s="1"/>
  <c r="K204" i="6"/>
  <c r="L204" i="6" s="1"/>
  <c r="K205" i="6"/>
  <c r="L205" i="6" s="1"/>
  <c r="K206" i="6"/>
  <c r="L206" i="6" s="1"/>
  <c r="K207" i="6"/>
  <c r="L207" i="6" s="1"/>
  <c r="K208" i="6"/>
  <c r="L208" i="6" s="1"/>
  <c r="K209" i="6"/>
  <c r="L209" i="6" s="1"/>
  <c r="K210" i="6"/>
  <c r="L210" i="6" s="1"/>
  <c r="K211" i="6"/>
  <c r="L211" i="6" s="1"/>
  <c r="K212" i="6"/>
  <c r="L212" i="6" s="1"/>
  <c r="K213" i="6"/>
  <c r="L213" i="6" s="1"/>
  <c r="K214" i="6"/>
  <c r="L214" i="6" s="1"/>
  <c r="K215" i="6"/>
  <c r="L215" i="6" s="1"/>
  <c r="K216" i="6"/>
  <c r="L216" i="6" s="1"/>
  <c r="K217" i="6"/>
  <c r="L217" i="6" s="1"/>
  <c r="K218" i="6"/>
  <c r="L218" i="6" s="1"/>
  <c r="K219" i="6"/>
  <c r="L219" i="6" s="1"/>
  <c r="K220" i="6"/>
  <c r="L220" i="6" s="1"/>
  <c r="K221" i="6"/>
  <c r="L221" i="6" s="1"/>
  <c r="K222" i="6"/>
  <c r="L222" i="6" s="1"/>
  <c r="K223" i="6"/>
  <c r="L223" i="6" s="1"/>
  <c r="K224" i="6"/>
  <c r="L224" i="6" s="1"/>
  <c r="K225" i="6"/>
  <c r="L225" i="6" s="1"/>
  <c r="K226" i="6"/>
  <c r="L226" i="6" s="1"/>
  <c r="K227" i="6"/>
  <c r="L227" i="6" s="1"/>
  <c r="K228" i="6"/>
  <c r="L228" i="6" s="1"/>
  <c r="K229" i="6"/>
  <c r="L229" i="6" s="1"/>
  <c r="K195" i="6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 s="1"/>
  <c r="G216" i="6"/>
  <c r="H216" i="6" s="1"/>
  <c r="G217" i="6"/>
  <c r="H217" i="6" s="1"/>
  <c r="G218" i="6"/>
  <c r="H218" i="6" s="1"/>
  <c r="G219" i="6"/>
  <c r="H219" i="6" s="1"/>
  <c r="G220" i="6"/>
  <c r="H220" i="6" s="1"/>
  <c r="G221" i="6"/>
  <c r="H221" i="6" s="1"/>
  <c r="G222" i="6"/>
  <c r="H222" i="6" s="1"/>
  <c r="G223" i="6"/>
  <c r="H223" i="6" s="1"/>
  <c r="G224" i="6"/>
  <c r="H224" i="6" s="1"/>
  <c r="G225" i="6"/>
  <c r="H225" i="6" s="1"/>
  <c r="G226" i="6"/>
  <c r="H226" i="6" s="1"/>
  <c r="G227" i="6"/>
  <c r="H227" i="6" s="1"/>
  <c r="G228" i="6"/>
  <c r="H228" i="6" s="1"/>
  <c r="G229" i="6"/>
  <c r="H229" i="6" s="1"/>
  <c r="G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195" i="6"/>
  <c r="AA4" i="5"/>
  <c r="AB4" i="5" s="1"/>
  <c r="AA5" i="5"/>
  <c r="AB5" i="5" s="1"/>
  <c r="AA6" i="5"/>
  <c r="AB6" i="5"/>
  <c r="AC6" i="5" s="1"/>
  <c r="AA7" i="5"/>
  <c r="AB7" i="5" s="1"/>
  <c r="AA8" i="5"/>
  <c r="AB8" i="5" s="1"/>
  <c r="AA9" i="5"/>
  <c r="AB9" i="5" s="1"/>
  <c r="AA10" i="5"/>
  <c r="AB10" i="5" s="1"/>
  <c r="AC10" i="5" s="1"/>
  <c r="AD10" i="5"/>
  <c r="AA11" i="5"/>
  <c r="AB11" i="5" s="1"/>
  <c r="AA12" i="5"/>
  <c r="AB12" i="5"/>
  <c r="AC12" i="5"/>
  <c r="AD12" i="5"/>
  <c r="AA13" i="5"/>
  <c r="AB13" i="5" s="1"/>
  <c r="AA14" i="5"/>
  <c r="AB14" i="5" s="1"/>
  <c r="AA15" i="5"/>
  <c r="AB15" i="5"/>
  <c r="AC15" i="5" s="1"/>
  <c r="AA16" i="5"/>
  <c r="AB16" i="5" s="1"/>
  <c r="AA17" i="5"/>
  <c r="AB17" i="5" s="1"/>
  <c r="AA18" i="5"/>
  <c r="AB18" i="5" s="1"/>
  <c r="AA19" i="5"/>
  <c r="AB19" i="5" s="1"/>
  <c r="AA20" i="5"/>
  <c r="AB20" i="5" s="1"/>
  <c r="AA21" i="5"/>
  <c r="AB21" i="5"/>
  <c r="AC21" i="5"/>
  <c r="AD21" i="5"/>
  <c r="AA22" i="5"/>
  <c r="AB22" i="5" s="1"/>
  <c r="AA23" i="5"/>
  <c r="AB23" i="5" s="1"/>
  <c r="AA24" i="5"/>
  <c r="AB24" i="5"/>
  <c r="AC24" i="5" s="1"/>
  <c r="AA25" i="5"/>
  <c r="AB25" i="5" s="1"/>
  <c r="AA26" i="5"/>
  <c r="AB26" i="5" s="1"/>
  <c r="AA27" i="5"/>
  <c r="AB27" i="5" s="1"/>
  <c r="AA28" i="5"/>
  <c r="AB28" i="5" s="1"/>
  <c r="AC28" i="5" s="1"/>
  <c r="AD28" i="5"/>
  <c r="AA29" i="5"/>
  <c r="AB29" i="5" s="1"/>
  <c r="AA30" i="5"/>
  <c r="AB30" i="5"/>
  <c r="AC30" i="5"/>
  <c r="AD30" i="5"/>
  <c r="AA31" i="5"/>
  <c r="AB31" i="5" s="1"/>
  <c r="AA32" i="5"/>
  <c r="AB32" i="5" s="1"/>
  <c r="AA33" i="5"/>
  <c r="AB33" i="5"/>
  <c r="AA34" i="5"/>
  <c r="AB34" i="5" s="1"/>
  <c r="AA35" i="5"/>
  <c r="AB35" i="5"/>
  <c r="AA36" i="5"/>
  <c r="AB36" i="5" s="1"/>
  <c r="AA37" i="5"/>
  <c r="AB37" i="5" s="1"/>
  <c r="AC37" i="5" s="1"/>
  <c r="AD37" i="5"/>
  <c r="AA38" i="5"/>
  <c r="AB38" i="5" s="1"/>
  <c r="AA39" i="5"/>
  <c r="AB39" i="5"/>
  <c r="AC39" i="5"/>
  <c r="AD39" i="5"/>
  <c r="AA40" i="5"/>
  <c r="AB40" i="5" s="1"/>
  <c r="AA41" i="5"/>
  <c r="AB41" i="5" s="1"/>
  <c r="AA42" i="5"/>
  <c r="AB42" i="5"/>
  <c r="AA43" i="5"/>
  <c r="AB43" i="5" s="1"/>
  <c r="AA44" i="5"/>
  <c r="AB44" i="5"/>
  <c r="AA45" i="5"/>
  <c r="AB45" i="5" s="1"/>
  <c r="AA46" i="5"/>
  <c r="AB46" i="5" s="1"/>
  <c r="AC46" i="5" s="1"/>
  <c r="AD46" i="5"/>
  <c r="AA47" i="5"/>
  <c r="AB47" i="5" s="1"/>
  <c r="AA48" i="5"/>
  <c r="AB48" i="5"/>
  <c r="AC48" i="5"/>
  <c r="AD48" i="5"/>
  <c r="AA49" i="5"/>
  <c r="AB49" i="5" s="1"/>
  <c r="AA50" i="5"/>
  <c r="AB50" i="5" s="1"/>
  <c r="AA51" i="5"/>
  <c r="AB51" i="5"/>
  <c r="AA52" i="5"/>
  <c r="AB52" i="5" s="1"/>
  <c r="AA53" i="5"/>
  <c r="AB53" i="5"/>
  <c r="AA54" i="5"/>
  <c r="AB54" i="5" s="1"/>
  <c r="AA55" i="5"/>
  <c r="AB55" i="5" s="1"/>
  <c r="AC55" i="5" s="1"/>
  <c r="AD55" i="5"/>
  <c r="AA56" i="5"/>
  <c r="AB56" i="5" s="1"/>
  <c r="AA57" i="5"/>
  <c r="AB57" i="5"/>
  <c r="AC57" i="5"/>
  <c r="AD57" i="5"/>
  <c r="AA58" i="5"/>
  <c r="AB58" i="5" s="1"/>
  <c r="AA59" i="5"/>
  <c r="AB59" i="5" s="1"/>
  <c r="AA60" i="5"/>
  <c r="AB60" i="5"/>
  <c r="AA61" i="5"/>
  <c r="AB61" i="5" s="1"/>
  <c r="AA62" i="5"/>
  <c r="AB62" i="5"/>
  <c r="AA63" i="5"/>
  <c r="AB63" i="5" s="1"/>
  <c r="AA64" i="5"/>
  <c r="AB64" i="5" s="1"/>
  <c r="AC64" i="5" s="1"/>
  <c r="AD64" i="5"/>
  <c r="AA65" i="5"/>
  <c r="AB65" i="5" s="1"/>
  <c r="AA66" i="5"/>
  <c r="AB66" i="5"/>
  <c r="AC66" i="5"/>
  <c r="AD66" i="5"/>
  <c r="AA67" i="5"/>
  <c r="AB67" i="5" s="1"/>
  <c r="AA68" i="5"/>
  <c r="AB68" i="5" s="1"/>
  <c r="AA69" i="5"/>
  <c r="AB69" i="5"/>
  <c r="AA70" i="5"/>
  <c r="AB70" i="5" s="1"/>
  <c r="AA71" i="5"/>
  <c r="AB71" i="5"/>
  <c r="AA72" i="5"/>
  <c r="AB72" i="5" s="1"/>
  <c r="AA73" i="5"/>
  <c r="AB73" i="5" s="1"/>
  <c r="AC73" i="5" s="1"/>
  <c r="AD73" i="5"/>
  <c r="AA74" i="5"/>
  <c r="AB74" i="5" s="1"/>
  <c r="AA75" i="5"/>
  <c r="AB75" i="5"/>
  <c r="AC75" i="5"/>
  <c r="AD75" i="5"/>
  <c r="AA76" i="5"/>
  <c r="AB76" i="5" s="1"/>
  <c r="AA77" i="5"/>
  <c r="AB77" i="5" s="1"/>
  <c r="AA78" i="5"/>
  <c r="AB78" i="5"/>
  <c r="AA79" i="5"/>
  <c r="AB79" i="5" s="1"/>
  <c r="AA80" i="5"/>
  <c r="AB80" i="5" s="1"/>
  <c r="AA81" i="5"/>
  <c r="AB81" i="5" s="1"/>
  <c r="AA82" i="5"/>
  <c r="AB82" i="5" s="1"/>
  <c r="AC82" i="5" s="1"/>
  <c r="AD82" i="5"/>
  <c r="AA83" i="5"/>
  <c r="AB83" i="5" s="1"/>
  <c r="AA84" i="5"/>
  <c r="AB84" i="5"/>
  <c r="AC84" i="5"/>
  <c r="AD84" i="5"/>
  <c r="AA85" i="5"/>
  <c r="AB85" i="5" s="1"/>
  <c r="AA86" i="5"/>
  <c r="AB86" i="5" s="1"/>
  <c r="AA87" i="5"/>
  <c r="AB87" i="5"/>
  <c r="AA88" i="5"/>
  <c r="AB88" i="5" s="1"/>
  <c r="AA89" i="5"/>
  <c r="AB89" i="5"/>
  <c r="AA90" i="5"/>
  <c r="AB90" i="5" s="1"/>
  <c r="AA91" i="5"/>
  <c r="AB91" i="5" s="1"/>
  <c r="AC91" i="5" s="1"/>
  <c r="AD91" i="5"/>
  <c r="AA92" i="5"/>
  <c r="AB92" i="5" s="1"/>
  <c r="AA93" i="5"/>
  <c r="AB93" i="5"/>
  <c r="AC93" i="5"/>
  <c r="AD93" i="5"/>
  <c r="AA94" i="5"/>
  <c r="AB94" i="5" s="1"/>
  <c r="AA95" i="5"/>
  <c r="AB95" i="5" s="1"/>
  <c r="AA96" i="5"/>
  <c r="AB96" i="5"/>
  <c r="AA97" i="5"/>
  <c r="AB97" i="5" s="1"/>
  <c r="AA98" i="5"/>
  <c r="AB98" i="5"/>
  <c r="AA99" i="5"/>
  <c r="AB99" i="5" s="1"/>
  <c r="AA100" i="5"/>
  <c r="AB100" i="5" s="1"/>
  <c r="AC100" i="5" s="1"/>
  <c r="AD100" i="5"/>
  <c r="AA101" i="5"/>
  <c r="AB101" i="5" s="1"/>
  <c r="AA102" i="5"/>
  <c r="AB102" i="5"/>
  <c r="AC102" i="5"/>
  <c r="AD102" i="5"/>
  <c r="AA103" i="5"/>
  <c r="AB103" i="5" s="1"/>
  <c r="AA104" i="5"/>
  <c r="AB104" i="5" s="1"/>
  <c r="AA105" i="5"/>
  <c r="AB105" i="5"/>
  <c r="AA106" i="5"/>
  <c r="AB106" i="5" s="1"/>
  <c r="AA107" i="5"/>
  <c r="AB107" i="5" s="1"/>
  <c r="AA108" i="5"/>
  <c r="AB108" i="5" s="1"/>
  <c r="AA109" i="5"/>
  <c r="AB109" i="5" s="1"/>
  <c r="AC109" i="5" s="1"/>
  <c r="AD109" i="5"/>
  <c r="AA110" i="5"/>
  <c r="AB110" i="5" s="1"/>
  <c r="AA111" i="5"/>
  <c r="AB111" i="5"/>
  <c r="AC111" i="5"/>
  <c r="AD111" i="5"/>
  <c r="AA112" i="5"/>
  <c r="AB112" i="5" s="1"/>
  <c r="AA113" i="5"/>
  <c r="AB113" i="5" s="1"/>
  <c r="AA114" i="5"/>
  <c r="AB114" i="5"/>
  <c r="AA115" i="5"/>
  <c r="AB115" i="5" s="1"/>
  <c r="AA116" i="5"/>
  <c r="AB116" i="5" s="1"/>
  <c r="AA117" i="5"/>
  <c r="AB117" i="5" s="1"/>
  <c r="AA118" i="5"/>
  <c r="AB118" i="5" s="1"/>
  <c r="AC118" i="5" s="1"/>
  <c r="AD118" i="5"/>
  <c r="AA119" i="5"/>
  <c r="AB119" i="5" s="1"/>
  <c r="AA120" i="5"/>
  <c r="AB120" i="5"/>
  <c r="AC120" i="5"/>
  <c r="AD120" i="5"/>
  <c r="AA121" i="5"/>
  <c r="AB121" i="5" s="1"/>
  <c r="AA122" i="5"/>
  <c r="AB122" i="5" s="1"/>
  <c r="AA123" i="5"/>
  <c r="AB123" i="5"/>
  <c r="AA124" i="5"/>
  <c r="AB124" i="5" s="1"/>
  <c r="AA125" i="5"/>
  <c r="AB125" i="5" s="1"/>
  <c r="AA126" i="5"/>
  <c r="AB126" i="5" s="1"/>
  <c r="AA127" i="5"/>
  <c r="AB127" i="5" s="1"/>
  <c r="AC127" i="5" s="1"/>
  <c r="AD127" i="5"/>
  <c r="AA128" i="5"/>
  <c r="AB128" i="5" s="1"/>
  <c r="AA129" i="5"/>
  <c r="AB129" i="5"/>
  <c r="AC129" i="5"/>
  <c r="AD129" i="5"/>
  <c r="AA130" i="5"/>
  <c r="AB130" i="5" s="1"/>
  <c r="AA131" i="5"/>
  <c r="AB131" i="5" s="1"/>
  <c r="AA132" i="5"/>
  <c r="AB132" i="5"/>
  <c r="AA133" i="5"/>
  <c r="AB133" i="5" s="1"/>
  <c r="AA134" i="5"/>
  <c r="AB134" i="5" s="1"/>
  <c r="AA135" i="5"/>
  <c r="AB135" i="5" s="1"/>
  <c r="AA136" i="5"/>
  <c r="AB136" i="5" s="1"/>
  <c r="AC136" i="5" s="1"/>
  <c r="AD136" i="5"/>
  <c r="AA137" i="5"/>
  <c r="AB137" i="5" s="1"/>
  <c r="AA138" i="5"/>
  <c r="AB138" i="5"/>
  <c r="AC138" i="5"/>
  <c r="AD138" i="5"/>
  <c r="AA139" i="5"/>
  <c r="AB139" i="5" s="1"/>
  <c r="AA140" i="5"/>
  <c r="AB140" i="5" s="1"/>
  <c r="AA141" i="5"/>
  <c r="AB141" i="5"/>
  <c r="AA142" i="5"/>
  <c r="AB142" i="5" s="1"/>
  <c r="AA143" i="5"/>
  <c r="AB143" i="5"/>
  <c r="AA144" i="5"/>
  <c r="AB144" i="5" s="1"/>
  <c r="AA145" i="5"/>
  <c r="AB145" i="5" s="1"/>
  <c r="AC145" i="5" s="1"/>
  <c r="AD145" i="5"/>
  <c r="AA146" i="5"/>
  <c r="AB146" i="5" s="1"/>
  <c r="AA147" i="5"/>
  <c r="AB147" i="5"/>
  <c r="AC147" i="5" s="1"/>
  <c r="AD147" i="5"/>
  <c r="AA148" i="5"/>
  <c r="AB148" i="5" s="1"/>
  <c r="AA149" i="5"/>
  <c r="AB149" i="5" s="1"/>
  <c r="AA150" i="5"/>
  <c r="AB150" i="5"/>
  <c r="AA151" i="5"/>
  <c r="AB151" i="5" s="1"/>
  <c r="AC151" i="5" s="1"/>
  <c r="AD151" i="5"/>
  <c r="AA152" i="5"/>
  <c r="AB152" i="5" s="1"/>
  <c r="AA153" i="5"/>
  <c r="AB153" i="5" s="1"/>
  <c r="AA154" i="5"/>
  <c r="AB154" i="5" s="1"/>
  <c r="AC154" i="5" s="1"/>
  <c r="AD154" i="5"/>
  <c r="AA155" i="5"/>
  <c r="AB155" i="5" s="1"/>
  <c r="AA156" i="5"/>
  <c r="AB156" i="5"/>
  <c r="AC156" i="5"/>
  <c r="AD156" i="5"/>
  <c r="AA157" i="5"/>
  <c r="AB157" i="5" s="1"/>
  <c r="AA158" i="5"/>
  <c r="AB158" i="5" s="1"/>
  <c r="AA159" i="5"/>
  <c r="AB159" i="5"/>
  <c r="AA160" i="5"/>
  <c r="AB160" i="5" s="1"/>
  <c r="AC160" i="5" s="1"/>
  <c r="AD160" i="5"/>
  <c r="AA161" i="5"/>
  <c r="AB161" i="5" s="1"/>
  <c r="AA162" i="5"/>
  <c r="AB162" i="5" s="1"/>
  <c r="AA163" i="5"/>
  <c r="AB163" i="5" s="1"/>
  <c r="AC163" i="5" s="1"/>
  <c r="AD163" i="5"/>
  <c r="AA164" i="5"/>
  <c r="AB164" i="5" s="1"/>
  <c r="AA165" i="5"/>
  <c r="AB165" i="5"/>
  <c r="AD165" i="5" s="1"/>
  <c r="AC165" i="5"/>
  <c r="AA166" i="5"/>
  <c r="AB166" i="5" s="1"/>
  <c r="AA167" i="5"/>
  <c r="AB167" i="5" s="1"/>
  <c r="AA168" i="5"/>
  <c r="AB168" i="5"/>
  <c r="AD168" i="5" s="1"/>
  <c r="AC168" i="5"/>
  <c r="AA169" i="5"/>
  <c r="AB169" i="5" s="1"/>
  <c r="AC169" i="5" s="1"/>
  <c r="AD169" i="5"/>
  <c r="AA170" i="5"/>
  <c r="AB170" i="5" s="1"/>
  <c r="AA171" i="5"/>
  <c r="AB171" i="5" s="1"/>
  <c r="AA172" i="5"/>
  <c r="AB172" i="5" s="1"/>
  <c r="AC172" i="5" s="1"/>
  <c r="AA173" i="5"/>
  <c r="AB173" i="5" s="1"/>
  <c r="AA174" i="5"/>
  <c r="AB174" i="5"/>
  <c r="AC174" i="5"/>
  <c r="AD174" i="5"/>
  <c r="AA175" i="5"/>
  <c r="AB175" i="5" s="1"/>
  <c r="AD175" i="5" s="1"/>
  <c r="AC175" i="5"/>
  <c r="AA176" i="5"/>
  <c r="AB176" i="5" s="1"/>
  <c r="AA177" i="5"/>
  <c r="AB177" i="5"/>
  <c r="AD177" i="5" s="1"/>
  <c r="AC177" i="5"/>
  <c r="AA178" i="5"/>
  <c r="AB178" i="5" s="1"/>
  <c r="AC178" i="5" s="1"/>
  <c r="AD178" i="5"/>
  <c r="AA179" i="5"/>
  <c r="AB179" i="5" s="1"/>
  <c r="AA180" i="5"/>
  <c r="AB180" i="5" s="1"/>
  <c r="AA181" i="5"/>
  <c r="AB181" i="5" s="1"/>
  <c r="AC181" i="5" s="1"/>
  <c r="AA182" i="5"/>
  <c r="AB182" i="5" s="1"/>
  <c r="AA183" i="5"/>
  <c r="AB183" i="5"/>
  <c r="AC183" i="5"/>
  <c r="AD183" i="5"/>
  <c r="AA184" i="5"/>
  <c r="AB184" i="5" s="1"/>
  <c r="AD184" i="5" s="1"/>
  <c r="AC184" i="5"/>
  <c r="AA185" i="5"/>
  <c r="AB185" i="5" s="1"/>
  <c r="AA186" i="5"/>
  <c r="AB186" i="5"/>
  <c r="AD186" i="5" s="1"/>
  <c r="AC186" i="5"/>
  <c r="AA187" i="5"/>
  <c r="AB187" i="5" s="1"/>
  <c r="AC187" i="5" s="1"/>
  <c r="AD187" i="5"/>
  <c r="AA188" i="5"/>
  <c r="AB188" i="5" s="1"/>
  <c r="AA189" i="5"/>
  <c r="AB189" i="5" s="1"/>
  <c r="AA190" i="5"/>
  <c r="AB190" i="5" s="1"/>
  <c r="AC190" i="5" s="1"/>
  <c r="AA191" i="5"/>
  <c r="AB191" i="5" s="1"/>
  <c r="AA192" i="5"/>
  <c r="AB192" i="5"/>
  <c r="AC192" i="5"/>
  <c r="AD192" i="5"/>
  <c r="AA193" i="5"/>
  <c r="AB193" i="5" s="1"/>
  <c r="AD193" i="5" s="1"/>
  <c r="AC193" i="5"/>
  <c r="AA194" i="5"/>
  <c r="AB194" i="5" s="1"/>
  <c r="AA195" i="5"/>
  <c r="AB195" i="5"/>
  <c r="AD195" i="5" s="1"/>
  <c r="AC195" i="5"/>
  <c r="AA196" i="5"/>
  <c r="AB196" i="5" s="1"/>
  <c r="AC196" i="5" s="1"/>
  <c r="AD196" i="5"/>
  <c r="AA197" i="5"/>
  <c r="AB197" i="5" s="1"/>
  <c r="AA198" i="5"/>
  <c r="AB198" i="5" s="1"/>
  <c r="AA199" i="5"/>
  <c r="AB199" i="5" s="1"/>
  <c r="AC199" i="5" s="1"/>
  <c r="AA200" i="5"/>
  <c r="AB200" i="5" s="1"/>
  <c r="AA201" i="5"/>
  <c r="AB201" i="5"/>
  <c r="AC201" i="5"/>
  <c r="AD201" i="5"/>
  <c r="AA202" i="5"/>
  <c r="AB202" i="5" s="1"/>
  <c r="AD202" i="5" s="1"/>
  <c r="AC202" i="5"/>
  <c r="AA203" i="5"/>
  <c r="AB203" i="5" s="1"/>
  <c r="AA204" i="5"/>
  <c r="AB204" i="5"/>
  <c r="AD204" i="5" s="1"/>
  <c r="AC204" i="5"/>
  <c r="AA205" i="5"/>
  <c r="AB205" i="5" s="1"/>
  <c r="AC205" i="5" s="1"/>
  <c r="AD205" i="5"/>
  <c r="AA206" i="5"/>
  <c r="AB206" i="5" s="1"/>
  <c r="AA207" i="5"/>
  <c r="AB207" i="5" s="1"/>
  <c r="AA208" i="5"/>
  <c r="AB208" i="5" s="1"/>
  <c r="AC208" i="5" s="1"/>
  <c r="AA209" i="5"/>
  <c r="AB209" i="5" s="1"/>
  <c r="AA210" i="5"/>
  <c r="AB210" i="5"/>
  <c r="AC210" i="5"/>
  <c r="AD210" i="5"/>
  <c r="AA211" i="5"/>
  <c r="AB211" i="5" s="1"/>
  <c r="AD211" i="5" s="1"/>
  <c r="AC211" i="5"/>
  <c r="AA212" i="5"/>
  <c r="AB212" i="5" s="1"/>
  <c r="AA213" i="5"/>
  <c r="AB213" i="5"/>
  <c r="AD213" i="5" s="1"/>
  <c r="AC213" i="5"/>
  <c r="AA214" i="5"/>
  <c r="AB214" i="5" s="1"/>
  <c r="AC214" i="5" s="1"/>
  <c r="AD214" i="5"/>
  <c r="AA215" i="5"/>
  <c r="AB215" i="5" s="1"/>
  <c r="AA216" i="5"/>
  <c r="AB216" i="5" s="1"/>
  <c r="AA217" i="5"/>
  <c r="AB217" i="5" s="1"/>
  <c r="AC217" i="5" s="1"/>
  <c r="AA218" i="5"/>
  <c r="AB218" i="5" s="1"/>
  <c r="AA219" i="5"/>
  <c r="AB219" i="5"/>
  <c r="AC219" i="5"/>
  <c r="AD219" i="5"/>
  <c r="AA220" i="5"/>
  <c r="AB220" i="5" s="1"/>
  <c r="AD220" i="5" s="1"/>
  <c r="AC220" i="5"/>
  <c r="AA221" i="5"/>
  <c r="AB221" i="5" s="1"/>
  <c r="AA222" i="5"/>
  <c r="AB222" i="5"/>
  <c r="AD222" i="5" s="1"/>
  <c r="AC222" i="5"/>
  <c r="AA223" i="5"/>
  <c r="AB223" i="5" s="1"/>
  <c r="AC223" i="5" s="1"/>
  <c r="AD223" i="5"/>
  <c r="AA224" i="5"/>
  <c r="AB224" i="5" s="1"/>
  <c r="AA225" i="5"/>
  <c r="AB225" i="5" s="1"/>
  <c r="AA226" i="5"/>
  <c r="AB226" i="5" s="1"/>
  <c r="AC226" i="5" s="1"/>
  <c r="AA227" i="5"/>
  <c r="AB227" i="5" s="1"/>
  <c r="AA228" i="5"/>
  <c r="AB228" i="5"/>
  <c r="AC228" i="5"/>
  <c r="AD228" i="5"/>
  <c r="AA229" i="5"/>
  <c r="AB229" i="5" s="1"/>
  <c r="AD229" i="5" s="1"/>
  <c r="AC229" i="5"/>
  <c r="AA230" i="5"/>
  <c r="AB230" i="5" s="1"/>
  <c r="AA231" i="5"/>
  <c r="AB231" i="5"/>
  <c r="AD231" i="5" s="1"/>
  <c r="AC231" i="5"/>
  <c r="AA232" i="5"/>
  <c r="AB232" i="5" s="1"/>
  <c r="AC232" i="5" s="1"/>
  <c r="AD232" i="5"/>
  <c r="AA3" i="5"/>
  <c r="W4" i="5"/>
  <c r="X4" i="5" s="1"/>
  <c r="W5" i="5"/>
  <c r="X5" i="5" s="1"/>
  <c r="W6" i="5"/>
  <c r="X6" i="5"/>
  <c r="Y6" i="5"/>
  <c r="Z6" i="5"/>
  <c r="W7" i="5"/>
  <c r="X7" i="5" s="1"/>
  <c r="W8" i="5"/>
  <c r="X8" i="5"/>
  <c r="Y8" i="5" s="1"/>
  <c r="W9" i="5"/>
  <c r="X9" i="5" s="1"/>
  <c r="W10" i="5"/>
  <c r="X10" i="5" s="1"/>
  <c r="W11" i="5"/>
  <c r="X11" i="5" s="1"/>
  <c r="W12" i="5"/>
  <c r="X12" i="5"/>
  <c r="Y12" i="5"/>
  <c r="Z12" i="5"/>
  <c r="W13" i="5"/>
  <c r="X13" i="5" s="1"/>
  <c r="W14" i="5"/>
  <c r="X14" i="5" s="1"/>
  <c r="W15" i="5"/>
  <c r="X15" i="5"/>
  <c r="Y15" i="5"/>
  <c r="Z15" i="5"/>
  <c r="W16" i="5"/>
  <c r="X16" i="5" s="1"/>
  <c r="W17" i="5"/>
  <c r="X17" i="5"/>
  <c r="Y17" i="5" s="1"/>
  <c r="W18" i="5"/>
  <c r="X18" i="5" s="1"/>
  <c r="W19" i="5"/>
  <c r="X19" i="5" s="1"/>
  <c r="W20" i="5"/>
  <c r="X20" i="5" s="1"/>
  <c r="W21" i="5"/>
  <c r="X21" i="5"/>
  <c r="Y21" i="5"/>
  <c r="Z21" i="5"/>
  <c r="W22" i="5"/>
  <c r="X22" i="5" s="1"/>
  <c r="W23" i="5"/>
  <c r="X23" i="5" s="1"/>
  <c r="W24" i="5"/>
  <c r="X24" i="5" s="1"/>
  <c r="W25" i="5"/>
  <c r="X25" i="5" s="1"/>
  <c r="W26" i="5"/>
  <c r="X26" i="5"/>
  <c r="Y26" i="5" s="1"/>
  <c r="W27" i="5"/>
  <c r="X27" i="5" s="1"/>
  <c r="W28" i="5"/>
  <c r="X28" i="5" s="1"/>
  <c r="W29" i="5"/>
  <c r="X29" i="5" s="1"/>
  <c r="W30" i="5"/>
  <c r="X30" i="5"/>
  <c r="Y30" i="5"/>
  <c r="Z30" i="5"/>
  <c r="W31" i="5"/>
  <c r="X31" i="5" s="1"/>
  <c r="W32" i="5"/>
  <c r="X32" i="5" s="1"/>
  <c r="W33" i="5"/>
  <c r="X33" i="5" s="1"/>
  <c r="W34" i="5"/>
  <c r="X34" i="5" s="1"/>
  <c r="W35" i="5"/>
  <c r="X35" i="5"/>
  <c r="Y35" i="5" s="1"/>
  <c r="W36" i="5"/>
  <c r="X36" i="5" s="1"/>
  <c r="W37" i="5"/>
  <c r="X37" i="5" s="1"/>
  <c r="W38" i="5"/>
  <c r="X38" i="5" s="1"/>
  <c r="W39" i="5"/>
  <c r="X39" i="5"/>
  <c r="Y39" i="5"/>
  <c r="Z39" i="5"/>
  <c r="W40" i="5"/>
  <c r="X40" i="5" s="1"/>
  <c r="W41" i="5"/>
  <c r="X41" i="5" s="1"/>
  <c r="W42" i="5"/>
  <c r="X42" i="5" s="1"/>
  <c r="W43" i="5"/>
  <c r="X43" i="5" s="1"/>
  <c r="W44" i="5"/>
  <c r="X44" i="5"/>
  <c r="Y44" i="5" s="1"/>
  <c r="W45" i="5"/>
  <c r="X45" i="5" s="1"/>
  <c r="W46" i="5"/>
  <c r="X46" i="5" s="1"/>
  <c r="W47" i="5"/>
  <c r="X47" i="5" s="1"/>
  <c r="W48" i="5"/>
  <c r="X48" i="5"/>
  <c r="Y48" i="5"/>
  <c r="Z48" i="5"/>
  <c r="W49" i="5"/>
  <c r="X49" i="5" s="1"/>
  <c r="W50" i="5"/>
  <c r="X50" i="5" s="1"/>
  <c r="W51" i="5"/>
  <c r="X51" i="5" s="1"/>
  <c r="W52" i="5"/>
  <c r="X52" i="5" s="1"/>
  <c r="W53" i="5"/>
  <c r="X53" i="5"/>
  <c r="Y53" i="5" s="1"/>
  <c r="W54" i="5"/>
  <c r="X54" i="5" s="1"/>
  <c r="W55" i="5"/>
  <c r="X55" i="5" s="1"/>
  <c r="W56" i="5"/>
  <c r="X56" i="5" s="1"/>
  <c r="W57" i="5"/>
  <c r="X57" i="5"/>
  <c r="Y57" i="5"/>
  <c r="Z57" i="5"/>
  <c r="W58" i="5"/>
  <c r="X58" i="5" s="1"/>
  <c r="W59" i="5"/>
  <c r="X59" i="5" s="1"/>
  <c r="W60" i="5"/>
  <c r="X60" i="5" s="1"/>
  <c r="W61" i="5"/>
  <c r="X61" i="5" s="1"/>
  <c r="W62" i="5"/>
  <c r="X62" i="5"/>
  <c r="Y62" i="5" s="1"/>
  <c r="W63" i="5"/>
  <c r="X63" i="5" s="1"/>
  <c r="W64" i="5"/>
  <c r="X64" i="5" s="1"/>
  <c r="W65" i="5"/>
  <c r="X65" i="5" s="1"/>
  <c r="W66" i="5"/>
  <c r="X66" i="5"/>
  <c r="Y66" i="5"/>
  <c r="Z66" i="5"/>
  <c r="W67" i="5"/>
  <c r="X67" i="5" s="1"/>
  <c r="W68" i="5"/>
  <c r="X68" i="5" s="1"/>
  <c r="W69" i="5"/>
  <c r="X69" i="5" s="1"/>
  <c r="W70" i="5"/>
  <c r="X70" i="5" s="1"/>
  <c r="W71" i="5"/>
  <c r="X71" i="5"/>
  <c r="Y71" i="5" s="1"/>
  <c r="W72" i="5"/>
  <c r="X72" i="5" s="1"/>
  <c r="W73" i="5"/>
  <c r="X73" i="5" s="1"/>
  <c r="W74" i="5"/>
  <c r="X74" i="5" s="1"/>
  <c r="W75" i="5"/>
  <c r="X75" i="5"/>
  <c r="Y75" i="5"/>
  <c r="Z75" i="5"/>
  <c r="W76" i="5"/>
  <c r="X76" i="5" s="1"/>
  <c r="W77" i="5"/>
  <c r="X77" i="5" s="1"/>
  <c r="W78" i="5"/>
  <c r="X78" i="5" s="1"/>
  <c r="W79" i="5"/>
  <c r="X79" i="5" s="1"/>
  <c r="W80" i="5"/>
  <c r="X80" i="5"/>
  <c r="Y80" i="5" s="1"/>
  <c r="W81" i="5"/>
  <c r="X81" i="5" s="1"/>
  <c r="W82" i="5"/>
  <c r="X82" i="5" s="1"/>
  <c r="W83" i="5"/>
  <c r="X83" i="5" s="1"/>
  <c r="W84" i="5"/>
  <c r="X84" i="5"/>
  <c r="Y84" i="5"/>
  <c r="Z84" i="5"/>
  <c r="W85" i="5"/>
  <c r="X85" i="5" s="1"/>
  <c r="W86" i="5"/>
  <c r="X86" i="5" s="1"/>
  <c r="W87" i="5"/>
  <c r="X87" i="5" s="1"/>
  <c r="W88" i="5"/>
  <c r="X88" i="5" s="1"/>
  <c r="W89" i="5"/>
  <c r="X89" i="5"/>
  <c r="Y89" i="5" s="1"/>
  <c r="W90" i="5"/>
  <c r="X90" i="5" s="1"/>
  <c r="W91" i="5"/>
  <c r="X91" i="5" s="1"/>
  <c r="W92" i="5"/>
  <c r="X92" i="5" s="1"/>
  <c r="W93" i="5"/>
  <c r="X93" i="5"/>
  <c r="Y93" i="5"/>
  <c r="Z93" i="5"/>
  <c r="W94" i="5"/>
  <c r="X94" i="5" s="1"/>
  <c r="W95" i="5"/>
  <c r="X95" i="5" s="1"/>
  <c r="W96" i="5"/>
  <c r="X96" i="5" s="1"/>
  <c r="W97" i="5"/>
  <c r="X97" i="5" s="1"/>
  <c r="W98" i="5"/>
  <c r="X98" i="5"/>
  <c r="Y98" i="5" s="1"/>
  <c r="W99" i="5"/>
  <c r="X99" i="5" s="1"/>
  <c r="W100" i="5"/>
  <c r="X100" i="5" s="1"/>
  <c r="W101" i="5"/>
  <c r="X101" i="5" s="1"/>
  <c r="W102" i="5"/>
  <c r="X102" i="5"/>
  <c r="Y102" i="5"/>
  <c r="Z102" i="5"/>
  <c r="W103" i="5"/>
  <c r="X103" i="5" s="1"/>
  <c r="W104" i="5"/>
  <c r="X104" i="5" s="1"/>
  <c r="W105" i="5"/>
  <c r="X105" i="5" s="1"/>
  <c r="W106" i="5"/>
  <c r="X106" i="5" s="1"/>
  <c r="W107" i="5"/>
  <c r="X107" i="5" s="1"/>
  <c r="W108" i="5"/>
  <c r="X108" i="5" s="1"/>
  <c r="W109" i="5"/>
  <c r="X109" i="5" s="1"/>
  <c r="W110" i="5"/>
  <c r="X110" i="5" s="1"/>
  <c r="W111" i="5"/>
  <c r="X111" i="5"/>
  <c r="Y111" i="5"/>
  <c r="Z111" i="5"/>
  <c r="W112" i="5"/>
  <c r="X112" i="5" s="1"/>
  <c r="W113" i="5"/>
  <c r="X113" i="5" s="1"/>
  <c r="W114" i="5"/>
  <c r="X114" i="5" s="1"/>
  <c r="W115" i="5"/>
  <c r="X115" i="5" s="1"/>
  <c r="W116" i="5"/>
  <c r="X116" i="5"/>
  <c r="Y116" i="5" s="1"/>
  <c r="W117" i="5"/>
  <c r="X117" i="5" s="1"/>
  <c r="W118" i="5"/>
  <c r="X118" i="5" s="1"/>
  <c r="W119" i="5"/>
  <c r="X119" i="5" s="1"/>
  <c r="W120" i="5"/>
  <c r="X120" i="5"/>
  <c r="Y120" i="5"/>
  <c r="Z120" i="5"/>
  <c r="W121" i="5"/>
  <c r="X121" i="5" s="1"/>
  <c r="W122" i="5"/>
  <c r="X122" i="5" s="1"/>
  <c r="W123" i="5"/>
  <c r="X123" i="5" s="1"/>
  <c r="W124" i="5"/>
  <c r="X124" i="5" s="1"/>
  <c r="W125" i="5"/>
  <c r="X125" i="5"/>
  <c r="Y125" i="5" s="1"/>
  <c r="W126" i="5"/>
  <c r="X126" i="5" s="1"/>
  <c r="W127" i="5"/>
  <c r="X127" i="5" s="1"/>
  <c r="W128" i="5"/>
  <c r="X128" i="5" s="1"/>
  <c r="W129" i="5"/>
  <c r="X129" i="5"/>
  <c r="Y129" i="5"/>
  <c r="Z129" i="5"/>
  <c r="W130" i="5"/>
  <c r="X130" i="5" s="1"/>
  <c r="W131" i="5"/>
  <c r="X131" i="5" s="1"/>
  <c r="W132" i="5"/>
  <c r="X132" i="5" s="1"/>
  <c r="W133" i="5"/>
  <c r="X133" i="5" s="1"/>
  <c r="W134" i="5"/>
  <c r="X134" i="5" s="1"/>
  <c r="W135" i="5"/>
  <c r="X135" i="5" s="1"/>
  <c r="W136" i="5"/>
  <c r="X136" i="5" s="1"/>
  <c r="W137" i="5"/>
  <c r="X137" i="5" s="1"/>
  <c r="W138" i="5"/>
  <c r="X138" i="5"/>
  <c r="Y138" i="5"/>
  <c r="Z138" i="5"/>
  <c r="W139" i="5"/>
  <c r="X139" i="5" s="1"/>
  <c r="W140" i="5"/>
  <c r="X140" i="5" s="1"/>
  <c r="W141" i="5"/>
  <c r="X141" i="5" s="1"/>
  <c r="W142" i="5"/>
  <c r="X142" i="5" s="1"/>
  <c r="W143" i="5"/>
  <c r="X143" i="5" s="1"/>
  <c r="W144" i="5"/>
  <c r="X144" i="5" s="1"/>
  <c r="W145" i="5"/>
  <c r="X145" i="5" s="1"/>
  <c r="W146" i="5"/>
  <c r="X146" i="5" s="1"/>
  <c r="W147" i="5"/>
  <c r="X147" i="5"/>
  <c r="Y147" i="5"/>
  <c r="Z147" i="5"/>
  <c r="W148" i="5"/>
  <c r="X148" i="5" s="1"/>
  <c r="W149" i="5"/>
  <c r="X149" i="5" s="1"/>
  <c r="W150" i="5"/>
  <c r="X150" i="5" s="1"/>
  <c r="W151" i="5"/>
  <c r="X151" i="5" s="1"/>
  <c r="W152" i="5"/>
  <c r="X152" i="5" s="1"/>
  <c r="W153" i="5"/>
  <c r="X153" i="5" s="1"/>
  <c r="W154" i="5"/>
  <c r="X154" i="5" s="1"/>
  <c r="W155" i="5"/>
  <c r="X155" i="5" s="1"/>
  <c r="W156" i="5"/>
  <c r="X156" i="5"/>
  <c r="Y156" i="5"/>
  <c r="Z156" i="5"/>
  <c r="W157" i="5"/>
  <c r="X157" i="5" s="1"/>
  <c r="W158" i="5"/>
  <c r="X158" i="5" s="1"/>
  <c r="W159" i="5"/>
  <c r="X159" i="5" s="1"/>
  <c r="W160" i="5"/>
  <c r="X160" i="5" s="1"/>
  <c r="W161" i="5"/>
  <c r="X161" i="5"/>
  <c r="Z161" i="5" s="1"/>
  <c r="Y161" i="5"/>
  <c r="W162" i="5"/>
  <c r="X162" i="5" s="1"/>
  <c r="W163" i="5"/>
  <c r="X163" i="5" s="1"/>
  <c r="W164" i="5"/>
  <c r="X164" i="5" s="1"/>
  <c r="W165" i="5"/>
  <c r="X165" i="5"/>
  <c r="Y165" i="5"/>
  <c r="Z165" i="5"/>
  <c r="W166" i="5"/>
  <c r="X166" i="5" s="1"/>
  <c r="W167" i="5"/>
  <c r="X167" i="5" s="1"/>
  <c r="W168" i="5"/>
  <c r="X168" i="5" s="1"/>
  <c r="W169" i="5"/>
  <c r="X169" i="5" s="1"/>
  <c r="W170" i="5"/>
  <c r="X170" i="5" s="1"/>
  <c r="W171" i="5"/>
  <c r="X171" i="5" s="1"/>
  <c r="W172" i="5"/>
  <c r="X172" i="5" s="1"/>
  <c r="W173" i="5"/>
  <c r="X173" i="5" s="1"/>
  <c r="W174" i="5"/>
  <c r="X174" i="5"/>
  <c r="Y174" i="5"/>
  <c r="Z174" i="5"/>
  <c r="W175" i="5"/>
  <c r="X175" i="5" s="1"/>
  <c r="W176" i="5"/>
  <c r="X176" i="5" s="1"/>
  <c r="W177" i="5"/>
  <c r="X177" i="5" s="1"/>
  <c r="W178" i="5"/>
  <c r="X178" i="5" s="1"/>
  <c r="W179" i="5"/>
  <c r="X179" i="5" s="1"/>
  <c r="W180" i="5"/>
  <c r="X180" i="5" s="1"/>
  <c r="W181" i="5"/>
  <c r="X181" i="5" s="1"/>
  <c r="W182" i="5"/>
  <c r="X182" i="5" s="1"/>
  <c r="W183" i="5"/>
  <c r="X183" i="5"/>
  <c r="Y183" i="5"/>
  <c r="Z183" i="5"/>
  <c r="W184" i="5"/>
  <c r="X184" i="5" s="1"/>
  <c r="W185" i="5"/>
  <c r="X185" i="5" s="1"/>
  <c r="W186" i="5"/>
  <c r="X186" i="5" s="1"/>
  <c r="W187" i="5"/>
  <c r="X187" i="5" s="1"/>
  <c r="W188" i="5"/>
  <c r="X188" i="5" s="1"/>
  <c r="W189" i="5"/>
  <c r="X189" i="5" s="1"/>
  <c r="W190" i="5"/>
  <c r="X190" i="5" s="1"/>
  <c r="W191" i="5"/>
  <c r="X191" i="5" s="1"/>
  <c r="W192" i="5"/>
  <c r="X192" i="5"/>
  <c r="Y192" i="5"/>
  <c r="Z192" i="5"/>
  <c r="W193" i="5"/>
  <c r="X193" i="5" s="1"/>
  <c r="W194" i="5"/>
  <c r="X194" i="5" s="1"/>
  <c r="W195" i="5"/>
  <c r="X195" i="5" s="1"/>
  <c r="W196" i="5"/>
  <c r="X196" i="5" s="1"/>
  <c r="W197" i="5"/>
  <c r="X197" i="5" s="1"/>
  <c r="W198" i="5"/>
  <c r="X198" i="5" s="1"/>
  <c r="W199" i="5"/>
  <c r="X199" i="5" s="1"/>
  <c r="W200" i="5"/>
  <c r="X200" i="5" s="1"/>
  <c r="W201" i="5"/>
  <c r="X201" i="5"/>
  <c r="Y201" i="5"/>
  <c r="Z201" i="5"/>
  <c r="W202" i="5"/>
  <c r="X202" i="5" s="1"/>
  <c r="W203" i="5"/>
  <c r="X203" i="5" s="1"/>
  <c r="W204" i="5"/>
  <c r="X204" i="5" s="1"/>
  <c r="W205" i="5"/>
  <c r="X205" i="5" s="1"/>
  <c r="W206" i="5"/>
  <c r="X206" i="5" s="1"/>
  <c r="W207" i="5"/>
  <c r="X207" i="5" s="1"/>
  <c r="W208" i="5"/>
  <c r="X208" i="5" s="1"/>
  <c r="W209" i="5"/>
  <c r="X209" i="5" s="1"/>
  <c r="W210" i="5"/>
  <c r="X210" i="5"/>
  <c r="Y210" i="5"/>
  <c r="Z210" i="5"/>
  <c r="W211" i="5"/>
  <c r="X211" i="5" s="1"/>
  <c r="W212" i="5"/>
  <c r="X212" i="5" s="1"/>
  <c r="W213" i="5"/>
  <c r="X213" i="5" s="1"/>
  <c r="W214" i="5"/>
  <c r="X214" i="5" s="1"/>
  <c r="W215" i="5"/>
  <c r="X215" i="5" s="1"/>
  <c r="W216" i="5"/>
  <c r="X216" i="5" s="1"/>
  <c r="W217" i="5"/>
  <c r="X217" i="5" s="1"/>
  <c r="W218" i="5"/>
  <c r="X218" i="5" s="1"/>
  <c r="W219" i="5"/>
  <c r="X219" i="5"/>
  <c r="Y219" i="5"/>
  <c r="Z219" i="5"/>
  <c r="W220" i="5"/>
  <c r="X220" i="5" s="1"/>
  <c r="W221" i="5"/>
  <c r="X221" i="5" s="1"/>
  <c r="W222" i="5"/>
  <c r="X222" i="5" s="1"/>
  <c r="W223" i="5"/>
  <c r="X223" i="5" s="1"/>
  <c r="W224" i="5"/>
  <c r="X224" i="5" s="1"/>
  <c r="W225" i="5"/>
  <c r="X225" i="5" s="1"/>
  <c r="W226" i="5"/>
  <c r="X226" i="5" s="1"/>
  <c r="W227" i="5"/>
  <c r="X227" i="5" s="1"/>
  <c r="W228" i="5"/>
  <c r="X228" i="5"/>
  <c r="Y228" i="5"/>
  <c r="Z228" i="5"/>
  <c r="W229" i="5"/>
  <c r="X229" i="5" s="1"/>
  <c r="W230" i="5"/>
  <c r="X230" i="5" s="1"/>
  <c r="W231" i="5"/>
  <c r="X231" i="5" s="1"/>
  <c r="W232" i="5"/>
  <c r="X232" i="5" s="1"/>
  <c r="W3" i="5"/>
  <c r="S4" i="5"/>
  <c r="T4" i="5" s="1"/>
  <c r="S5" i="5"/>
  <c r="T5" i="5" s="1"/>
  <c r="S6" i="5"/>
  <c r="T6" i="5" s="1"/>
  <c r="S7" i="5"/>
  <c r="T7" i="5"/>
  <c r="U7" i="5"/>
  <c r="V7" i="5"/>
  <c r="S8" i="5"/>
  <c r="T8" i="5"/>
  <c r="U8" i="5" s="1"/>
  <c r="S9" i="5"/>
  <c r="T9" i="5" s="1"/>
  <c r="S10" i="5"/>
  <c r="T10" i="5" s="1"/>
  <c r="S11" i="5"/>
  <c r="T11" i="5" s="1"/>
  <c r="S12" i="5"/>
  <c r="T12" i="5"/>
  <c r="U12" i="5" s="1"/>
  <c r="V12" i="5"/>
  <c r="S13" i="5"/>
  <c r="T13" i="5" s="1"/>
  <c r="S14" i="5"/>
  <c r="T14" i="5" s="1"/>
  <c r="S15" i="5"/>
  <c r="T15" i="5" s="1"/>
  <c r="S16" i="5"/>
  <c r="T16" i="5"/>
  <c r="U16" i="5"/>
  <c r="V16" i="5"/>
  <c r="S17" i="5"/>
  <c r="T17" i="5"/>
  <c r="U17" i="5" s="1"/>
  <c r="S18" i="5"/>
  <c r="T18" i="5" s="1"/>
  <c r="S19" i="5"/>
  <c r="T19" i="5" s="1"/>
  <c r="S20" i="5"/>
  <c r="T20" i="5" s="1"/>
  <c r="S21" i="5"/>
  <c r="T21" i="5"/>
  <c r="U21" i="5" s="1"/>
  <c r="V21" i="5"/>
  <c r="S22" i="5"/>
  <c r="T22" i="5" s="1"/>
  <c r="S23" i="5"/>
  <c r="T23" i="5" s="1"/>
  <c r="S24" i="5"/>
  <c r="T24" i="5" s="1"/>
  <c r="S25" i="5"/>
  <c r="T25" i="5"/>
  <c r="U25" i="5"/>
  <c r="V25" i="5"/>
  <c r="S26" i="5"/>
  <c r="T26" i="5"/>
  <c r="U26" i="5" s="1"/>
  <c r="S27" i="5"/>
  <c r="T27" i="5" s="1"/>
  <c r="S28" i="5"/>
  <c r="T28" i="5" s="1"/>
  <c r="S29" i="5"/>
  <c r="T29" i="5" s="1"/>
  <c r="S30" i="5"/>
  <c r="T30" i="5"/>
  <c r="U30" i="5" s="1"/>
  <c r="V30" i="5"/>
  <c r="S31" i="5"/>
  <c r="T31" i="5" s="1"/>
  <c r="S32" i="5"/>
  <c r="T32" i="5" s="1"/>
  <c r="S33" i="5"/>
  <c r="T33" i="5" s="1"/>
  <c r="S34" i="5"/>
  <c r="T34" i="5"/>
  <c r="U34" i="5"/>
  <c r="V34" i="5"/>
  <c r="S35" i="5"/>
  <c r="T35" i="5"/>
  <c r="U35" i="5" s="1"/>
  <c r="S36" i="5"/>
  <c r="T36" i="5" s="1"/>
  <c r="S37" i="5"/>
  <c r="T37" i="5" s="1"/>
  <c r="S38" i="5"/>
  <c r="T38" i="5" s="1"/>
  <c r="S39" i="5"/>
  <c r="T39" i="5"/>
  <c r="U39" i="5" s="1"/>
  <c r="V39" i="5"/>
  <c r="S40" i="5"/>
  <c r="T40" i="5" s="1"/>
  <c r="S41" i="5"/>
  <c r="T41" i="5" s="1"/>
  <c r="S42" i="5"/>
  <c r="T42" i="5" s="1"/>
  <c r="S43" i="5"/>
  <c r="T43" i="5"/>
  <c r="U43" i="5"/>
  <c r="V43" i="5"/>
  <c r="S44" i="5"/>
  <c r="T44" i="5"/>
  <c r="U44" i="5" s="1"/>
  <c r="S45" i="5"/>
  <c r="T45" i="5" s="1"/>
  <c r="S46" i="5"/>
  <c r="T46" i="5" s="1"/>
  <c r="S47" i="5"/>
  <c r="T47" i="5" s="1"/>
  <c r="S48" i="5"/>
  <c r="T48" i="5"/>
  <c r="U48" i="5" s="1"/>
  <c r="V48" i="5"/>
  <c r="S49" i="5"/>
  <c r="T49" i="5" s="1"/>
  <c r="S50" i="5"/>
  <c r="T50" i="5" s="1"/>
  <c r="S51" i="5"/>
  <c r="T51" i="5" s="1"/>
  <c r="S52" i="5"/>
  <c r="T52" i="5"/>
  <c r="U52" i="5"/>
  <c r="V52" i="5"/>
  <c r="S53" i="5"/>
  <c r="T53" i="5"/>
  <c r="U53" i="5" s="1"/>
  <c r="S54" i="5"/>
  <c r="T54" i="5" s="1"/>
  <c r="S55" i="5"/>
  <c r="T55" i="5" s="1"/>
  <c r="S56" i="5"/>
  <c r="T56" i="5" s="1"/>
  <c r="S57" i="5"/>
  <c r="T57" i="5"/>
  <c r="U57" i="5" s="1"/>
  <c r="V57" i="5"/>
  <c r="S58" i="5"/>
  <c r="T58" i="5" s="1"/>
  <c r="S59" i="5"/>
  <c r="T59" i="5" s="1"/>
  <c r="S60" i="5"/>
  <c r="T60" i="5" s="1"/>
  <c r="S61" i="5"/>
  <c r="T61" i="5"/>
  <c r="U61" i="5"/>
  <c r="V61" i="5"/>
  <c r="S62" i="5"/>
  <c r="T62" i="5"/>
  <c r="U62" i="5" s="1"/>
  <c r="S63" i="5"/>
  <c r="T63" i="5" s="1"/>
  <c r="S64" i="5"/>
  <c r="T64" i="5" s="1"/>
  <c r="S65" i="5"/>
  <c r="T65" i="5" s="1"/>
  <c r="S66" i="5"/>
  <c r="T66" i="5"/>
  <c r="U66" i="5" s="1"/>
  <c r="V66" i="5"/>
  <c r="S67" i="5"/>
  <c r="T67" i="5" s="1"/>
  <c r="S68" i="5"/>
  <c r="T68" i="5" s="1"/>
  <c r="S69" i="5"/>
  <c r="T69" i="5" s="1"/>
  <c r="S70" i="5"/>
  <c r="T70" i="5"/>
  <c r="U70" i="5"/>
  <c r="V70" i="5"/>
  <c r="S71" i="5"/>
  <c r="T71" i="5"/>
  <c r="U71" i="5" s="1"/>
  <c r="S72" i="5"/>
  <c r="T72" i="5" s="1"/>
  <c r="S73" i="5"/>
  <c r="T73" i="5" s="1"/>
  <c r="S74" i="5"/>
  <c r="T74" i="5" s="1"/>
  <c r="S75" i="5"/>
  <c r="T75" i="5"/>
  <c r="U75" i="5" s="1"/>
  <c r="V75" i="5"/>
  <c r="S76" i="5"/>
  <c r="T76" i="5" s="1"/>
  <c r="S77" i="5"/>
  <c r="T77" i="5" s="1"/>
  <c r="S78" i="5"/>
  <c r="T78" i="5" s="1"/>
  <c r="S79" i="5"/>
  <c r="T79" i="5"/>
  <c r="U79" i="5"/>
  <c r="V79" i="5"/>
  <c r="S80" i="5"/>
  <c r="T80" i="5"/>
  <c r="U80" i="5" s="1"/>
  <c r="S81" i="5"/>
  <c r="T81" i="5" s="1"/>
  <c r="S82" i="5"/>
  <c r="T82" i="5" s="1"/>
  <c r="S83" i="5"/>
  <c r="T83" i="5" s="1"/>
  <c r="S84" i="5"/>
  <c r="T84" i="5"/>
  <c r="U84" i="5" s="1"/>
  <c r="V84" i="5"/>
  <c r="S85" i="5"/>
  <c r="T85" i="5" s="1"/>
  <c r="S86" i="5"/>
  <c r="T86" i="5" s="1"/>
  <c r="S87" i="5"/>
  <c r="T87" i="5" s="1"/>
  <c r="S88" i="5"/>
  <c r="T88" i="5"/>
  <c r="U88" i="5"/>
  <c r="V88" i="5"/>
  <c r="S89" i="5"/>
  <c r="T89" i="5"/>
  <c r="U89" i="5" s="1"/>
  <c r="S90" i="5"/>
  <c r="T90" i="5" s="1"/>
  <c r="S91" i="5"/>
  <c r="T91" i="5" s="1"/>
  <c r="S92" i="5"/>
  <c r="T92" i="5" s="1"/>
  <c r="S93" i="5"/>
  <c r="T93" i="5"/>
  <c r="U93" i="5" s="1"/>
  <c r="V93" i="5"/>
  <c r="S94" i="5"/>
  <c r="T94" i="5" s="1"/>
  <c r="S95" i="5"/>
  <c r="T95" i="5" s="1"/>
  <c r="S96" i="5"/>
  <c r="T96" i="5" s="1"/>
  <c r="S97" i="5"/>
  <c r="T97" i="5"/>
  <c r="U97" i="5"/>
  <c r="V97" i="5"/>
  <c r="S98" i="5"/>
  <c r="T98" i="5"/>
  <c r="U98" i="5" s="1"/>
  <c r="S99" i="5"/>
  <c r="T99" i="5" s="1"/>
  <c r="S100" i="5"/>
  <c r="T100" i="5" s="1"/>
  <c r="S101" i="5"/>
  <c r="T101" i="5" s="1"/>
  <c r="S102" i="5"/>
  <c r="T102" i="5"/>
  <c r="U102" i="5" s="1"/>
  <c r="V102" i="5"/>
  <c r="S103" i="5"/>
  <c r="T103" i="5" s="1"/>
  <c r="S104" i="5"/>
  <c r="T104" i="5" s="1"/>
  <c r="S105" i="5"/>
  <c r="T105" i="5" s="1"/>
  <c r="S106" i="5"/>
  <c r="T106" i="5"/>
  <c r="U106" i="5"/>
  <c r="V106" i="5"/>
  <c r="S107" i="5"/>
  <c r="T107" i="5"/>
  <c r="U107" i="5" s="1"/>
  <c r="S108" i="5"/>
  <c r="T108" i="5" s="1"/>
  <c r="S109" i="5"/>
  <c r="T109" i="5" s="1"/>
  <c r="S110" i="5"/>
  <c r="T110" i="5" s="1"/>
  <c r="S111" i="5"/>
  <c r="T111" i="5"/>
  <c r="U111" i="5" s="1"/>
  <c r="V111" i="5"/>
  <c r="S112" i="5"/>
  <c r="T112" i="5" s="1"/>
  <c r="S113" i="5"/>
  <c r="T113" i="5" s="1"/>
  <c r="S114" i="5"/>
  <c r="T114" i="5" s="1"/>
  <c r="S115" i="5"/>
  <c r="T115" i="5"/>
  <c r="U115" i="5"/>
  <c r="V115" i="5"/>
  <c r="S116" i="5"/>
  <c r="T116" i="5"/>
  <c r="V116" i="5" s="1"/>
  <c r="U116" i="5"/>
  <c r="S117" i="5"/>
  <c r="T117" i="5" s="1"/>
  <c r="S118" i="5"/>
  <c r="T118" i="5" s="1"/>
  <c r="S119" i="5"/>
  <c r="T119" i="5" s="1"/>
  <c r="S120" i="5"/>
  <c r="T120" i="5"/>
  <c r="U120" i="5" s="1"/>
  <c r="V120" i="5"/>
  <c r="S121" i="5"/>
  <c r="T121" i="5" s="1"/>
  <c r="S122" i="5"/>
  <c r="T122" i="5" s="1"/>
  <c r="S123" i="5"/>
  <c r="T123" i="5" s="1"/>
  <c r="S124" i="5"/>
  <c r="T124" i="5"/>
  <c r="U124" i="5"/>
  <c r="V124" i="5"/>
  <c r="S125" i="5"/>
  <c r="T125" i="5"/>
  <c r="V125" i="5" s="1"/>
  <c r="U125" i="5"/>
  <c r="S126" i="5"/>
  <c r="T126" i="5" s="1"/>
  <c r="S127" i="5"/>
  <c r="T127" i="5" s="1"/>
  <c r="S128" i="5"/>
  <c r="T128" i="5" s="1"/>
  <c r="S129" i="5"/>
  <c r="T129" i="5"/>
  <c r="U129" i="5" s="1"/>
  <c r="V129" i="5"/>
  <c r="S130" i="5"/>
  <c r="T130" i="5" s="1"/>
  <c r="S131" i="5"/>
  <c r="T131" i="5" s="1"/>
  <c r="S132" i="5"/>
  <c r="T132" i="5" s="1"/>
  <c r="S133" i="5"/>
  <c r="T133" i="5"/>
  <c r="U133" i="5"/>
  <c r="V133" i="5"/>
  <c r="S134" i="5"/>
  <c r="T134" i="5"/>
  <c r="V134" i="5" s="1"/>
  <c r="U134" i="5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/>
  <c r="U142" i="5"/>
  <c r="V142" i="5"/>
  <c r="S143" i="5"/>
  <c r="T143" i="5"/>
  <c r="V143" i="5" s="1"/>
  <c r="U143" i="5"/>
  <c r="S144" i="5"/>
  <c r="T144" i="5" s="1"/>
  <c r="S145" i="5"/>
  <c r="T145" i="5" s="1"/>
  <c r="S146" i="5"/>
  <c r="T146" i="5" s="1"/>
  <c r="S147" i="5"/>
  <c r="T147" i="5" s="1"/>
  <c r="S148" i="5"/>
  <c r="T148" i="5" s="1"/>
  <c r="S149" i="5"/>
  <c r="T149" i="5" s="1"/>
  <c r="S150" i="5"/>
  <c r="T150" i="5" s="1"/>
  <c r="S151" i="5"/>
  <c r="T151" i="5"/>
  <c r="U151" i="5"/>
  <c r="V151" i="5"/>
  <c r="S152" i="5"/>
  <c r="T152" i="5" s="1"/>
  <c r="S153" i="5"/>
  <c r="T153" i="5" s="1"/>
  <c r="S154" i="5"/>
  <c r="T154" i="5" s="1"/>
  <c r="S155" i="5"/>
  <c r="T155" i="5" s="1"/>
  <c r="S156" i="5"/>
  <c r="T156" i="5" s="1"/>
  <c r="S157" i="5"/>
  <c r="T157" i="5" s="1"/>
  <c r="S158" i="5"/>
  <c r="T158" i="5" s="1"/>
  <c r="S159" i="5"/>
  <c r="T159" i="5" s="1"/>
  <c r="S160" i="5"/>
  <c r="T160" i="5"/>
  <c r="U160" i="5"/>
  <c r="V160" i="5"/>
  <c r="S161" i="5"/>
  <c r="T161" i="5" s="1"/>
  <c r="S162" i="5"/>
  <c r="T162" i="5" s="1"/>
  <c r="S163" i="5"/>
  <c r="T163" i="5" s="1"/>
  <c r="S164" i="5"/>
  <c r="T164" i="5" s="1"/>
  <c r="S165" i="5"/>
  <c r="T165" i="5" s="1"/>
  <c r="S166" i="5"/>
  <c r="T166" i="5" s="1"/>
  <c r="S167" i="5"/>
  <c r="T167" i="5" s="1"/>
  <c r="S168" i="5"/>
  <c r="T168" i="5" s="1"/>
  <c r="S169" i="5"/>
  <c r="T169" i="5"/>
  <c r="U169" i="5"/>
  <c r="V169" i="5"/>
  <c r="S170" i="5"/>
  <c r="T170" i="5" s="1"/>
  <c r="S171" i="5"/>
  <c r="T171" i="5" s="1"/>
  <c r="S172" i="5"/>
  <c r="T172" i="5" s="1"/>
  <c r="S173" i="5"/>
  <c r="T173" i="5" s="1"/>
  <c r="S174" i="5"/>
  <c r="T174" i="5" s="1"/>
  <c r="S175" i="5"/>
  <c r="T175" i="5" s="1"/>
  <c r="S176" i="5"/>
  <c r="T176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83" i="5"/>
  <c r="T183" i="5"/>
  <c r="U183" i="5"/>
  <c r="V183" i="5"/>
  <c r="S184" i="5"/>
  <c r="T184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T190" i="5" s="1"/>
  <c r="S191" i="5"/>
  <c r="T191" i="5" s="1"/>
  <c r="S192" i="5"/>
  <c r="T192" i="5"/>
  <c r="U192" i="5"/>
  <c r="V192" i="5"/>
  <c r="S193" i="5"/>
  <c r="T193" i="5" s="1"/>
  <c r="S194" i="5"/>
  <c r="T194" i="5" s="1"/>
  <c r="S195" i="5"/>
  <c r="T195" i="5" s="1"/>
  <c r="S196" i="5"/>
  <c r="T196" i="5"/>
  <c r="U196" i="5"/>
  <c r="V196" i="5"/>
  <c r="S197" i="5"/>
  <c r="T197" i="5"/>
  <c r="V197" i="5" s="1"/>
  <c r="U197" i="5"/>
  <c r="S198" i="5"/>
  <c r="T198" i="5" s="1"/>
  <c r="S199" i="5"/>
  <c r="T199" i="5" s="1"/>
  <c r="S200" i="5"/>
  <c r="T200" i="5" s="1"/>
  <c r="S201" i="5"/>
  <c r="T201" i="5"/>
  <c r="U201" i="5"/>
  <c r="V201" i="5"/>
  <c r="S202" i="5"/>
  <c r="T202" i="5" s="1"/>
  <c r="S203" i="5"/>
  <c r="T203" i="5" s="1"/>
  <c r="S204" i="5"/>
  <c r="T204" i="5" s="1"/>
  <c r="S205" i="5"/>
  <c r="T205" i="5" s="1"/>
  <c r="S206" i="5"/>
  <c r="T206" i="5"/>
  <c r="V206" i="5" s="1"/>
  <c r="U206" i="5"/>
  <c r="S207" i="5"/>
  <c r="T207" i="5" s="1"/>
  <c r="S208" i="5"/>
  <c r="T208" i="5" s="1"/>
  <c r="S209" i="5"/>
  <c r="T209" i="5" s="1"/>
  <c r="S210" i="5"/>
  <c r="T210" i="5" s="1"/>
  <c r="S211" i="5"/>
  <c r="T211" i="5" s="1"/>
  <c r="S212" i="5"/>
  <c r="T212" i="5" s="1"/>
  <c r="S213" i="5"/>
  <c r="T213" i="5" s="1"/>
  <c r="S214" i="5"/>
  <c r="T214" i="5" s="1"/>
  <c r="S215" i="5"/>
  <c r="T215" i="5" s="1"/>
  <c r="S216" i="5"/>
  <c r="T216" i="5" s="1"/>
  <c r="S217" i="5"/>
  <c r="T217" i="5" s="1"/>
  <c r="S218" i="5"/>
  <c r="T218" i="5" s="1"/>
  <c r="S219" i="5"/>
  <c r="T219" i="5" s="1"/>
  <c r="S220" i="5"/>
  <c r="T220" i="5" s="1"/>
  <c r="S221" i="5"/>
  <c r="T221" i="5" s="1"/>
  <c r="S222" i="5"/>
  <c r="T222" i="5" s="1"/>
  <c r="S223" i="5"/>
  <c r="T223" i="5" s="1"/>
  <c r="S224" i="5"/>
  <c r="T224" i="5" s="1"/>
  <c r="S225" i="5"/>
  <c r="T225" i="5" s="1"/>
  <c r="S226" i="5"/>
  <c r="T226" i="5" s="1"/>
  <c r="S227" i="5"/>
  <c r="T227" i="5" s="1"/>
  <c r="S228" i="5"/>
  <c r="T228" i="5" s="1"/>
  <c r="S229" i="5"/>
  <c r="T229" i="5" s="1"/>
  <c r="S230" i="5"/>
  <c r="T230" i="5" s="1"/>
  <c r="S231" i="5"/>
  <c r="T231" i="5" s="1"/>
  <c r="S232" i="5"/>
  <c r="T232" i="5" s="1"/>
  <c r="S3" i="5"/>
  <c r="O4" i="5"/>
  <c r="P4" i="5" s="1"/>
  <c r="O5" i="5"/>
  <c r="P5" i="5"/>
  <c r="Q5" i="5" s="1"/>
  <c r="O6" i="5"/>
  <c r="P6" i="5" s="1"/>
  <c r="O7" i="5"/>
  <c r="P7" i="5" s="1"/>
  <c r="O8" i="5"/>
  <c r="P8" i="5"/>
  <c r="Q8" i="5" s="1"/>
  <c r="O9" i="5"/>
  <c r="P9" i="5" s="1"/>
  <c r="O10" i="5"/>
  <c r="P10" i="5" s="1"/>
  <c r="O11" i="5"/>
  <c r="P11" i="5" s="1"/>
  <c r="O12" i="5"/>
  <c r="P12" i="5" s="1"/>
  <c r="O13" i="5"/>
  <c r="P13" i="5" s="1"/>
  <c r="O14" i="5"/>
  <c r="P14" i="5"/>
  <c r="Q14" i="5" s="1"/>
  <c r="O15" i="5"/>
  <c r="P15" i="5" s="1"/>
  <c r="O16" i="5"/>
  <c r="P16" i="5" s="1"/>
  <c r="O17" i="5"/>
  <c r="P17" i="5"/>
  <c r="Q17" i="5" s="1"/>
  <c r="O18" i="5"/>
  <c r="P18" i="5" s="1"/>
  <c r="O19" i="5"/>
  <c r="P19" i="5" s="1"/>
  <c r="O20" i="5"/>
  <c r="P20" i="5" s="1"/>
  <c r="O21" i="5"/>
  <c r="P21" i="5" s="1"/>
  <c r="O22" i="5"/>
  <c r="P22" i="5" s="1"/>
  <c r="O23" i="5"/>
  <c r="P23" i="5" s="1"/>
  <c r="O24" i="5"/>
  <c r="P24" i="5" s="1"/>
  <c r="O25" i="5"/>
  <c r="P25" i="5" s="1"/>
  <c r="O26" i="5"/>
  <c r="P26" i="5"/>
  <c r="Q26" i="5" s="1"/>
  <c r="O27" i="5"/>
  <c r="P27" i="5" s="1"/>
  <c r="O28" i="5"/>
  <c r="P28" i="5" s="1"/>
  <c r="O29" i="5"/>
  <c r="P29" i="5" s="1"/>
  <c r="O30" i="5"/>
  <c r="P30" i="5" s="1"/>
  <c r="O31" i="5"/>
  <c r="P31" i="5" s="1"/>
  <c r="O32" i="5"/>
  <c r="P32" i="5" s="1"/>
  <c r="O33" i="5"/>
  <c r="P33" i="5" s="1"/>
  <c r="O34" i="5"/>
  <c r="P34" i="5" s="1"/>
  <c r="O35" i="5"/>
  <c r="P35" i="5"/>
  <c r="Q35" i="5" s="1"/>
  <c r="O36" i="5"/>
  <c r="P36" i="5" s="1"/>
  <c r="O37" i="5"/>
  <c r="P37" i="5" s="1"/>
  <c r="O38" i="5"/>
  <c r="P38" i="5" s="1"/>
  <c r="O39" i="5"/>
  <c r="P39" i="5" s="1"/>
  <c r="O40" i="5"/>
  <c r="P40" i="5" s="1"/>
  <c r="O41" i="5"/>
  <c r="P41" i="5" s="1"/>
  <c r="O42" i="5"/>
  <c r="P42" i="5" s="1"/>
  <c r="O43" i="5"/>
  <c r="P43" i="5" s="1"/>
  <c r="O44" i="5"/>
  <c r="P44" i="5"/>
  <c r="Q44" i="5" s="1"/>
  <c r="O45" i="5"/>
  <c r="P45" i="5" s="1"/>
  <c r="O46" i="5"/>
  <c r="P46" i="5" s="1"/>
  <c r="O47" i="5"/>
  <c r="P47" i="5" s="1"/>
  <c r="O48" i="5"/>
  <c r="P48" i="5" s="1"/>
  <c r="O49" i="5"/>
  <c r="P49" i="5" s="1"/>
  <c r="O50" i="5"/>
  <c r="P50" i="5" s="1"/>
  <c r="O51" i="5"/>
  <c r="P51" i="5" s="1"/>
  <c r="O52" i="5"/>
  <c r="P52" i="5" s="1"/>
  <c r="O53" i="5"/>
  <c r="P53" i="5"/>
  <c r="Q53" i="5" s="1"/>
  <c r="O54" i="5"/>
  <c r="P54" i="5" s="1"/>
  <c r="O55" i="5"/>
  <c r="P55" i="5" s="1"/>
  <c r="O56" i="5"/>
  <c r="P56" i="5" s="1"/>
  <c r="O57" i="5"/>
  <c r="P57" i="5" s="1"/>
  <c r="O58" i="5"/>
  <c r="P58" i="5" s="1"/>
  <c r="O59" i="5"/>
  <c r="P59" i="5" s="1"/>
  <c r="O60" i="5"/>
  <c r="P60" i="5" s="1"/>
  <c r="O61" i="5"/>
  <c r="P61" i="5" s="1"/>
  <c r="O62" i="5"/>
  <c r="P62" i="5"/>
  <c r="Q62" i="5" s="1"/>
  <c r="O63" i="5"/>
  <c r="P63" i="5" s="1"/>
  <c r="O64" i="5"/>
  <c r="P64" i="5" s="1"/>
  <c r="O65" i="5"/>
  <c r="P65" i="5" s="1"/>
  <c r="O66" i="5"/>
  <c r="P66" i="5" s="1"/>
  <c r="O67" i="5"/>
  <c r="P67" i="5" s="1"/>
  <c r="O68" i="5"/>
  <c r="P68" i="5" s="1"/>
  <c r="O69" i="5"/>
  <c r="P69" i="5" s="1"/>
  <c r="O70" i="5"/>
  <c r="P70" i="5" s="1"/>
  <c r="O71" i="5"/>
  <c r="P71" i="5"/>
  <c r="Q71" i="5" s="1"/>
  <c r="O72" i="5"/>
  <c r="P72" i="5" s="1"/>
  <c r="O73" i="5"/>
  <c r="P73" i="5" s="1"/>
  <c r="O74" i="5"/>
  <c r="P74" i="5" s="1"/>
  <c r="O75" i="5"/>
  <c r="P75" i="5" s="1"/>
  <c r="O76" i="5"/>
  <c r="P76" i="5" s="1"/>
  <c r="O77" i="5"/>
  <c r="P77" i="5" s="1"/>
  <c r="O78" i="5"/>
  <c r="P78" i="5" s="1"/>
  <c r="O79" i="5"/>
  <c r="P79" i="5" s="1"/>
  <c r="O80" i="5"/>
  <c r="P80" i="5"/>
  <c r="Q80" i="5" s="1"/>
  <c r="O81" i="5"/>
  <c r="P81" i="5" s="1"/>
  <c r="O82" i="5"/>
  <c r="P82" i="5" s="1"/>
  <c r="O83" i="5"/>
  <c r="P83" i="5" s="1"/>
  <c r="O84" i="5"/>
  <c r="P84" i="5" s="1"/>
  <c r="O85" i="5"/>
  <c r="P85" i="5" s="1"/>
  <c r="O86" i="5"/>
  <c r="P86" i="5" s="1"/>
  <c r="O87" i="5"/>
  <c r="P87" i="5" s="1"/>
  <c r="O88" i="5"/>
  <c r="P88" i="5" s="1"/>
  <c r="O89" i="5"/>
  <c r="P89" i="5"/>
  <c r="Q89" i="5" s="1"/>
  <c r="O90" i="5"/>
  <c r="P90" i="5" s="1"/>
  <c r="O91" i="5"/>
  <c r="P91" i="5" s="1"/>
  <c r="O92" i="5"/>
  <c r="P92" i="5" s="1"/>
  <c r="O93" i="5"/>
  <c r="P93" i="5" s="1"/>
  <c r="O94" i="5"/>
  <c r="P94" i="5" s="1"/>
  <c r="O95" i="5"/>
  <c r="P95" i="5" s="1"/>
  <c r="O96" i="5"/>
  <c r="P96" i="5" s="1"/>
  <c r="O97" i="5"/>
  <c r="P97" i="5" s="1"/>
  <c r="O98" i="5"/>
  <c r="P98" i="5"/>
  <c r="Q98" i="5" s="1"/>
  <c r="O99" i="5"/>
  <c r="P99" i="5" s="1"/>
  <c r="O100" i="5"/>
  <c r="P100" i="5" s="1"/>
  <c r="O101" i="5"/>
  <c r="P101" i="5" s="1"/>
  <c r="O102" i="5"/>
  <c r="P102" i="5" s="1"/>
  <c r="O103" i="5"/>
  <c r="P103" i="5" s="1"/>
  <c r="O104" i="5"/>
  <c r="P104" i="5" s="1"/>
  <c r="O105" i="5"/>
  <c r="P105" i="5" s="1"/>
  <c r="O106" i="5"/>
  <c r="P106" i="5" s="1"/>
  <c r="O107" i="5"/>
  <c r="P107" i="5"/>
  <c r="Q107" i="5" s="1"/>
  <c r="O108" i="5"/>
  <c r="P108" i="5" s="1"/>
  <c r="O109" i="5"/>
  <c r="P109" i="5" s="1"/>
  <c r="O110" i="5"/>
  <c r="P110" i="5" s="1"/>
  <c r="O111" i="5"/>
  <c r="P111" i="5" s="1"/>
  <c r="O112" i="5"/>
  <c r="P112" i="5" s="1"/>
  <c r="O113" i="5"/>
  <c r="P113" i="5" s="1"/>
  <c r="O114" i="5"/>
  <c r="P114" i="5" s="1"/>
  <c r="O115" i="5"/>
  <c r="P115" i="5" s="1"/>
  <c r="O116" i="5"/>
  <c r="P116" i="5"/>
  <c r="Q116" i="5" s="1"/>
  <c r="O117" i="5"/>
  <c r="P117" i="5" s="1"/>
  <c r="O118" i="5"/>
  <c r="P118" i="5" s="1"/>
  <c r="O119" i="5"/>
  <c r="P119" i="5" s="1"/>
  <c r="O120" i="5"/>
  <c r="P120" i="5" s="1"/>
  <c r="O121" i="5"/>
  <c r="P121" i="5" s="1"/>
  <c r="O122" i="5"/>
  <c r="P122" i="5" s="1"/>
  <c r="O123" i="5"/>
  <c r="P123" i="5" s="1"/>
  <c r="O124" i="5"/>
  <c r="P124" i="5" s="1"/>
  <c r="O125" i="5"/>
  <c r="P125" i="5"/>
  <c r="Q125" i="5" s="1"/>
  <c r="O126" i="5"/>
  <c r="P126" i="5" s="1"/>
  <c r="O127" i="5"/>
  <c r="P127" i="5" s="1"/>
  <c r="O128" i="5"/>
  <c r="P128" i="5" s="1"/>
  <c r="O129" i="5"/>
  <c r="P129" i="5" s="1"/>
  <c r="O130" i="5"/>
  <c r="P130" i="5" s="1"/>
  <c r="O131" i="5"/>
  <c r="P131" i="5" s="1"/>
  <c r="O132" i="5"/>
  <c r="P132" i="5" s="1"/>
  <c r="O133" i="5"/>
  <c r="P133" i="5" s="1"/>
  <c r="O134" i="5"/>
  <c r="P134" i="5" s="1"/>
  <c r="O135" i="5"/>
  <c r="P135" i="5" s="1"/>
  <c r="O136" i="5"/>
  <c r="P136" i="5" s="1"/>
  <c r="O137" i="5"/>
  <c r="P137" i="5" s="1"/>
  <c r="O138" i="5"/>
  <c r="P138" i="5" s="1"/>
  <c r="O139" i="5"/>
  <c r="P139" i="5" s="1"/>
  <c r="O140" i="5"/>
  <c r="P140" i="5" s="1"/>
  <c r="O141" i="5"/>
  <c r="P141" i="5" s="1"/>
  <c r="O142" i="5"/>
  <c r="P142" i="5" s="1"/>
  <c r="O143" i="5"/>
  <c r="P143" i="5" s="1"/>
  <c r="O144" i="5"/>
  <c r="P144" i="5" s="1"/>
  <c r="O145" i="5"/>
  <c r="P145" i="5" s="1"/>
  <c r="O146" i="5"/>
  <c r="P146" i="5" s="1"/>
  <c r="O147" i="5"/>
  <c r="P147" i="5" s="1"/>
  <c r="O148" i="5"/>
  <c r="P148" i="5" s="1"/>
  <c r="O149" i="5"/>
  <c r="P149" i="5" s="1"/>
  <c r="O150" i="5"/>
  <c r="P150" i="5" s="1"/>
  <c r="O151" i="5"/>
  <c r="P151" i="5" s="1"/>
  <c r="O152" i="5"/>
  <c r="P152" i="5" s="1"/>
  <c r="O153" i="5"/>
  <c r="P153" i="5" s="1"/>
  <c r="O154" i="5"/>
  <c r="P154" i="5" s="1"/>
  <c r="O155" i="5"/>
  <c r="P155" i="5" s="1"/>
  <c r="O156" i="5"/>
  <c r="P156" i="5" s="1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O169" i="5"/>
  <c r="P169" i="5" s="1"/>
  <c r="O170" i="5"/>
  <c r="P170" i="5" s="1"/>
  <c r="O171" i="5"/>
  <c r="P171" i="5" s="1"/>
  <c r="O172" i="5"/>
  <c r="P172" i="5" s="1"/>
  <c r="O173" i="5"/>
  <c r="P173" i="5" s="1"/>
  <c r="O174" i="5"/>
  <c r="P174" i="5" s="1"/>
  <c r="O175" i="5"/>
  <c r="P175" i="5" s="1"/>
  <c r="O176" i="5"/>
  <c r="P176" i="5" s="1"/>
  <c r="O177" i="5"/>
  <c r="P177" i="5" s="1"/>
  <c r="O178" i="5"/>
  <c r="P178" i="5" s="1"/>
  <c r="O179" i="5"/>
  <c r="P179" i="5" s="1"/>
  <c r="O180" i="5"/>
  <c r="P180" i="5" s="1"/>
  <c r="O181" i="5"/>
  <c r="P181" i="5" s="1"/>
  <c r="O182" i="5"/>
  <c r="P182" i="5" s="1"/>
  <c r="O183" i="5"/>
  <c r="P183" i="5" s="1"/>
  <c r="O184" i="5"/>
  <c r="P184" i="5" s="1"/>
  <c r="O185" i="5"/>
  <c r="P185" i="5" s="1"/>
  <c r="O186" i="5"/>
  <c r="P186" i="5" s="1"/>
  <c r="O187" i="5"/>
  <c r="P187" i="5" s="1"/>
  <c r="O188" i="5"/>
  <c r="P188" i="5" s="1"/>
  <c r="O189" i="5"/>
  <c r="P189" i="5" s="1"/>
  <c r="O190" i="5"/>
  <c r="P190" i="5" s="1"/>
  <c r="O191" i="5"/>
  <c r="P191" i="5" s="1"/>
  <c r="O192" i="5"/>
  <c r="P192" i="5" s="1"/>
  <c r="O193" i="5"/>
  <c r="P193" i="5" s="1"/>
  <c r="O194" i="5"/>
  <c r="P194" i="5" s="1"/>
  <c r="O195" i="5"/>
  <c r="P195" i="5" s="1"/>
  <c r="O196" i="5"/>
  <c r="P196" i="5" s="1"/>
  <c r="O197" i="5"/>
  <c r="P197" i="5" s="1"/>
  <c r="O198" i="5"/>
  <c r="P198" i="5" s="1"/>
  <c r="O199" i="5"/>
  <c r="P199" i="5" s="1"/>
  <c r="O200" i="5"/>
  <c r="P200" i="5" s="1"/>
  <c r="O201" i="5"/>
  <c r="P201" i="5" s="1"/>
  <c r="O202" i="5"/>
  <c r="P202" i="5" s="1"/>
  <c r="O203" i="5"/>
  <c r="P203" i="5" s="1"/>
  <c r="O204" i="5"/>
  <c r="P204" i="5" s="1"/>
  <c r="O205" i="5"/>
  <c r="P205" i="5" s="1"/>
  <c r="O206" i="5"/>
  <c r="P206" i="5" s="1"/>
  <c r="O207" i="5"/>
  <c r="P207" i="5" s="1"/>
  <c r="O208" i="5"/>
  <c r="P208" i="5" s="1"/>
  <c r="O209" i="5"/>
  <c r="P209" i="5" s="1"/>
  <c r="O210" i="5"/>
  <c r="P210" i="5" s="1"/>
  <c r="O211" i="5"/>
  <c r="P211" i="5" s="1"/>
  <c r="O212" i="5"/>
  <c r="P212" i="5" s="1"/>
  <c r="O213" i="5"/>
  <c r="P213" i="5" s="1"/>
  <c r="O214" i="5"/>
  <c r="P214" i="5" s="1"/>
  <c r="O215" i="5"/>
  <c r="P215" i="5" s="1"/>
  <c r="O216" i="5"/>
  <c r="P216" i="5" s="1"/>
  <c r="O217" i="5"/>
  <c r="P217" i="5" s="1"/>
  <c r="O218" i="5"/>
  <c r="P218" i="5" s="1"/>
  <c r="O219" i="5"/>
  <c r="P219" i="5" s="1"/>
  <c r="O220" i="5"/>
  <c r="P220" i="5" s="1"/>
  <c r="O221" i="5"/>
  <c r="P221" i="5" s="1"/>
  <c r="O222" i="5"/>
  <c r="P222" i="5" s="1"/>
  <c r="O223" i="5"/>
  <c r="P223" i="5" s="1"/>
  <c r="O224" i="5"/>
  <c r="P224" i="5" s="1"/>
  <c r="O225" i="5"/>
  <c r="P225" i="5" s="1"/>
  <c r="O226" i="5"/>
  <c r="P226" i="5" s="1"/>
  <c r="O227" i="5"/>
  <c r="P227" i="5" s="1"/>
  <c r="O228" i="5"/>
  <c r="P228" i="5" s="1"/>
  <c r="O229" i="5"/>
  <c r="P229" i="5" s="1"/>
  <c r="O230" i="5"/>
  <c r="P230" i="5" s="1"/>
  <c r="O231" i="5"/>
  <c r="P231" i="5" s="1"/>
  <c r="O232" i="5"/>
  <c r="P232" i="5" s="1"/>
  <c r="O3" i="5"/>
  <c r="K4" i="5"/>
  <c r="L4" i="5" s="1"/>
  <c r="K5" i="5"/>
  <c r="L5" i="5" s="1"/>
  <c r="K6" i="5"/>
  <c r="L6" i="5"/>
  <c r="M6" i="5" s="1"/>
  <c r="K7" i="5"/>
  <c r="L7" i="5" s="1"/>
  <c r="K8" i="5"/>
  <c r="L8" i="5"/>
  <c r="M8" i="5" s="1"/>
  <c r="K9" i="5"/>
  <c r="L9" i="5" s="1"/>
  <c r="K10" i="5"/>
  <c r="L10" i="5" s="1"/>
  <c r="K11" i="5"/>
  <c r="L11" i="5" s="1"/>
  <c r="K12" i="5"/>
  <c r="L12" i="5"/>
  <c r="M12" i="5"/>
  <c r="N12" i="5"/>
  <c r="K13" i="5"/>
  <c r="L13" i="5" s="1"/>
  <c r="K14" i="5"/>
  <c r="L14" i="5" s="1"/>
  <c r="K15" i="5"/>
  <c r="L15" i="5" s="1"/>
  <c r="K16" i="5"/>
  <c r="L16" i="5" s="1"/>
  <c r="K17" i="5"/>
  <c r="L17" i="5"/>
  <c r="M17" i="5" s="1"/>
  <c r="K18" i="5"/>
  <c r="L18" i="5" s="1"/>
  <c r="K19" i="5"/>
  <c r="L19" i="5" s="1"/>
  <c r="K20" i="5"/>
  <c r="L20" i="5" s="1"/>
  <c r="K21" i="5"/>
  <c r="L21" i="5"/>
  <c r="M21" i="5"/>
  <c r="N21" i="5"/>
  <c r="K22" i="5"/>
  <c r="L22" i="5" s="1"/>
  <c r="K23" i="5"/>
  <c r="L23" i="5" s="1"/>
  <c r="K24" i="5"/>
  <c r="L24" i="5"/>
  <c r="N24" i="5" s="1"/>
  <c r="M24" i="5"/>
  <c r="K25" i="5"/>
  <c r="L25" i="5" s="1"/>
  <c r="K26" i="5"/>
  <c r="L26" i="5"/>
  <c r="M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L32" i="5" s="1"/>
  <c r="K33" i="5"/>
  <c r="L33" i="5" s="1"/>
  <c r="K34" i="5"/>
  <c r="L34" i="5" s="1"/>
  <c r="K35" i="5"/>
  <c r="L35" i="5"/>
  <c r="M35" i="5" s="1"/>
  <c r="K36" i="5"/>
  <c r="L36" i="5" s="1"/>
  <c r="K37" i="5"/>
  <c r="L37" i="5" s="1"/>
  <c r="K38" i="5"/>
  <c r="L38" i="5" s="1"/>
  <c r="K39" i="5"/>
  <c r="L39" i="5" s="1"/>
  <c r="K40" i="5"/>
  <c r="L40" i="5" s="1"/>
  <c r="K41" i="5"/>
  <c r="L41" i="5" s="1"/>
  <c r="K42" i="5"/>
  <c r="L42" i="5" s="1"/>
  <c r="K43" i="5"/>
  <c r="L43" i="5" s="1"/>
  <c r="K44" i="5"/>
  <c r="L44" i="5"/>
  <c r="M44" i="5" s="1"/>
  <c r="K45" i="5"/>
  <c r="L45" i="5" s="1"/>
  <c r="K46" i="5"/>
  <c r="L46" i="5" s="1"/>
  <c r="K47" i="5"/>
  <c r="L47" i="5" s="1"/>
  <c r="K48" i="5"/>
  <c r="L48" i="5" s="1"/>
  <c r="K49" i="5"/>
  <c r="L49" i="5" s="1"/>
  <c r="K50" i="5"/>
  <c r="L50" i="5" s="1"/>
  <c r="K51" i="5"/>
  <c r="L51" i="5" s="1"/>
  <c r="K52" i="5"/>
  <c r="L52" i="5" s="1"/>
  <c r="K53" i="5"/>
  <c r="L53" i="5"/>
  <c r="M53" i="5" s="1"/>
  <c r="K54" i="5"/>
  <c r="L54" i="5" s="1"/>
  <c r="K55" i="5"/>
  <c r="L55" i="5" s="1"/>
  <c r="K56" i="5"/>
  <c r="L56" i="5" s="1"/>
  <c r="K57" i="5"/>
  <c r="L57" i="5" s="1"/>
  <c r="K58" i="5"/>
  <c r="L58" i="5" s="1"/>
  <c r="K59" i="5"/>
  <c r="L59" i="5" s="1"/>
  <c r="K60" i="5"/>
  <c r="L60" i="5" s="1"/>
  <c r="K61" i="5"/>
  <c r="L61" i="5" s="1"/>
  <c r="K62" i="5"/>
  <c r="L62" i="5"/>
  <c r="M62" i="5" s="1"/>
  <c r="K63" i="5"/>
  <c r="L63" i="5" s="1"/>
  <c r="K64" i="5"/>
  <c r="L64" i="5" s="1"/>
  <c r="K65" i="5"/>
  <c r="L65" i="5" s="1"/>
  <c r="K66" i="5"/>
  <c r="L66" i="5" s="1"/>
  <c r="K67" i="5"/>
  <c r="L67" i="5" s="1"/>
  <c r="K68" i="5"/>
  <c r="L68" i="5" s="1"/>
  <c r="K69" i="5"/>
  <c r="L69" i="5" s="1"/>
  <c r="K70" i="5"/>
  <c r="L70" i="5" s="1"/>
  <c r="K71" i="5"/>
  <c r="L71" i="5"/>
  <c r="M71" i="5" s="1"/>
  <c r="K72" i="5"/>
  <c r="L72" i="5" s="1"/>
  <c r="K73" i="5"/>
  <c r="L73" i="5" s="1"/>
  <c r="K74" i="5"/>
  <c r="L74" i="5" s="1"/>
  <c r="K75" i="5"/>
  <c r="L75" i="5" s="1"/>
  <c r="K76" i="5"/>
  <c r="L76" i="5" s="1"/>
  <c r="K77" i="5"/>
  <c r="L77" i="5" s="1"/>
  <c r="K78" i="5"/>
  <c r="L78" i="5" s="1"/>
  <c r="K79" i="5"/>
  <c r="L79" i="5" s="1"/>
  <c r="K80" i="5"/>
  <c r="L80" i="5"/>
  <c r="M80" i="5" s="1"/>
  <c r="K81" i="5"/>
  <c r="L81" i="5" s="1"/>
  <c r="K82" i="5"/>
  <c r="L82" i="5" s="1"/>
  <c r="K83" i="5"/>
  <c r="L83" i="5" s="1"/>
  <c r="K84" i="5"/>
  <c r="L84" i="5" s="1"/>
  <c r="K85" i="5"/>
  <c r="L85" i="5" s="1"/>
  <c r="K86" i="5"/>
  <c r="L86" i="5" s="1"/>
  <c r="K87" i="5"/>
  <c r="L87" i="5" s="1"/>
  <c r="K88" i="5"/>
  <c r="L88" i="5" s="1"/>
  <c r="K89" i="5"/>
  <c r="L89" i="5"/>
  <c r="M89" i="5" s="1"/>
  <c r="K90" i="5"/>
  <c r="L90" i="5" s="1"/>
  <c r="K91" i="5"/>
  <c r="L91" i="5" s="1"/>
  <c r="K92" i="5"/>
  <c r="L92" i="5" s="1"/>
  <c r="K93" i="5"/>
  <c r="L93" i="5" s="1"/>
  <c r="K94" i="5"/>
  <c r="L94" i="5" s="1"/>
  <c r="K95" i="5"/>
  <c r="L95" i="5" s="1"/>
  <c r="K96" i="5"/>
  <c r="L96" i="5" s="1"/>
  <c r="K97" i="5"/>
  <c r="L97" i="5" s="1"/>
  <c r="K98" i="5"/>
  <c r="L98" i="5"/>
  <c r="M98" i="5" s="1"/>
  <c r="K99" i="5"/>
  <c r="L99" i="5" s="1"/>
  <c r="K100" i="5"/>
  <c r="L100" i="5" s="1"/>
  <c r="K101" i="5"/>
  <c r="L101" i="5" s="1"/>
  <c r="K102" i="5"/>
  <c r="L102" i="5" s="1"/>
  <c r="K103" i="5"/>
  <c r="L103" i="5" s="1"/>
  <c r="K104" i="5"/>
  <c r="L104" i="5" s="1"/>
  <c r="K105" i="5"/>
  <c r="L105" i="5" s="1"/>
  <c r="K106" i="5"/>
  <c r="L106" i="5" s="1"/>
  <c r="K107" i="5"/>
  <c r="L107" i="5"/>
  <c r="M107" i="5" s="1"/>
  <c r="K108" i="5"/>
  <c r="L108" i="5" s="1"/>
  <c r="K109" i="5"/>
  <c r="L109" i="5" s="1"/>
  <c r="K110" i="5"/>
  <c r="L110" i="5" s="1"/>
  <c r="K111" i="5"/>
  <c r="L111" i="5" s="1"/>
  <c r="K112" i="5"/>
  <c r="L112" i="5" s="1"/>
  <c r="K113" i="5"/>
  <c r="L113" i="5" s="1"/>
  <c r="K114" i="5"/>
  <c r="L114" i="5" s="1"/>
  <c r="K115" i="5"/>
  <c r="L115" i="5" s="1"/>
  <c r="K116" i="5"/>
  <c r="L116" i="5"/>
  <c r="M116" i="5" s="1"/>
  <c r="K117" i="5"/>
  <c r="L117" i="5" s="1"/>
  <c r="K118" i="5"/>
  <c r="L118" i="5" s="1"/>
  <c r="K119" i="5"/>
  <c r="L119" i="5" s="1"/>
  <c r="K120" i="5"/>
  <c r="L120" i="5" s="1"/>
  <c r="K121" i="5"/>
  <c r="L121" i="5" s="1"/>
  <c r="K122" i="5"/>
  <c r="L122" i="5" s="1"/>
  <c r="K123" i="5"/>
  <c r="L123" i="5" s="1"/>
  <c r="K124" i="5"/>
  <c r="L124" i="5" s="1"/>
  <c r="K125" i="5"/>
  <c r="L125" i="5"/>
  <c r="N125" i="5" s="1"/>
  <c r="M125" i="5"/>
  <c r="K126" i="5"/>
  <c r="L126" i="5" s="1"/>
  <c r="K127" i="5"/>
  <c r="L127" i="5" s="1"/>
  <c r="K128" i="5"/>
  <c r="L128" i="5" s="1"/>
  <c r="K129" i="5"/>
  <c r="L129" i="5" s="1"/>
  <c r="K130" i="5"/>
  <c r="L130" i="5" s="1"/>
  <c r="K131" i="5"/>
  <c r="L131" i="5" s="1"/>
  <c r="K132" i="5"/>
  <c r="L132" i="5" s="1"/>
  <c r="K133" i="5"/>
  <c r="L133" i="5" s="1"/>
  <c r="K134" i="5"/>
  <c r="L134" i="5"/>
  <c r="N134" i="5" s="1"/>
  <c r="M134" i="5"/>
  <c r="K135" i="5"/>
  <c r="L135" i="5" s="1"/>
  <c r="K136" i="5"/>
  <c r="L136" i="5" s="1"/>
  <c r="K137" i="5"/>
  <c r="L137" i="5" s="1"/>
  <c r="K138" i="5"/>
  <c r="L138" i="5" s="1"/>
  <c r="K139" i="5"/>
  <c r="L139" i="5" s="1"/>
  <c r="K140" i="5"/>
  <c r="L140" i="5" s="1"/>
  <c r="K141" i="5"/>
  <c r="L141" i="5" s="1"/>
  <c r="K142" i="5"/>
  <c r="L142" i="5" s="1"/>
  <c r="K143" i="5"/>
  <c r="L143" i="5"/>
  <c r="N143" i="5" s="1"/>
  <c r="M143" i="5"/>
  <c r="K144" i="5"/>
  <c r="L144" i="5" s="1"/>
  <c r="K145" i="5"/>
  <c r="L145" i="5" s="1"/>
  <c r="K146" i="5"/>
  <c r="L146" i="5" s="1"/>
  <c r="K147" i="5"/>
  <c r="L147" i="5" s="1"/>
  <c r="K148" i="5"/>
  <c r="L148" i="5" s="1"/>
  <c r="K149" i="5"/>
  <c r="L149" i="5" s="1"/>
  <c r="K150" i="5"/>
  <c r="L150" i="5" s="1"/>
  <c r="K151" i="5"/>
  <c r="L151" i="5" s="1"/>
  <c r="K152" i="5"/>
  <c r="L152" i="5"/>
  <c r="N152" i="5" s="1"/>
  <c r="M152" i="5"/>
  <c r="K153" i="5"/>
  <c r="L153" i="5" s="1"/>
  <c r="K154" i="5"/>
  <c r="L154" i="5" s="1"/>
  <c r="K155" i="5"/>
  <c r="L155" i="5" s="1"/>
  <c r="K156" i="5"/>
  <c r="L156" i="5" s="1"/>
  <c r="K157" i="5"/>
  <c r="L157" i="5" s="1"/>
  <c r="K158" i="5"/>
  <c r="L158" i="5" s="1"/>
  <c r="K159" i="5"/>
  <c r="L159" i="5" s="1"/>
  <c r="K160" i="5"/>
  <c r="L160" i="5" s="1"/>
  <c r="K161" i="5"/>
  <c r="L161" i="5"/>
  <c r="N161" i="5" s="1"/>
  <c r="M161" i="5"/>
  <c r="K162" i="5"/>
  <c r="L162" i="5" s="1"/>
  <c r="K163" i="5"/>
  <c r="L163" i="5" s="1"/>
  <c r="K164" i="5"/>
  <c r="L164" i="5" s="1"/>
  <c r="K165" i="5"/>
  <c r="L165" i="5" s="1"/>
  <c r="K166" i="5"/>
  <c r="L166" i="5" s="1"/>
  <c r="K167" i="5"/>
  <c r="L167" i="5" s="1"/>
  <c r="K168" i="5"/>
  <c r="L168" i="5" s="1"/>
  <c r="K169" i="5"/>
  <c r="L169" i="5" s="1"/>
  <c r="K170" i="5"/>
  <c r="L170" i="5"/>
  <c r="N170" i="5" s="1"/>
  <c r="M170" i="5"/>
  <c r="K171" i="5"/>
  <c r="L171" i="5" s="1"/>
  <c r="K172" i="5"/>
  <c r="L172" i="5" s="1"/>
  <c r="K173" i="5"/>
  <c r="L173" i="5" s="1"/>
  <c r="K174" i="5"/>
  <c r="L174" i="5" s="1"/>
  <c r="K175" i="5"/>
  <c r="L175" i="5" s="1"/>
  <c r="K176" i="5"/>
  <c r="L176" i="5" s="1"/>
  <c r="K177" i="5"/>
  <c r="L177" i="5" s="1"/>
  <c r="K178" i="5"/>
  <c r="L178" i="5" s="1"/>
  <c r="K179" i="5"/>
  <c r="L179" i="5"/>
  <c r="N179" i="5" s="1"/>
  <c r="M179" i="5"/>
  <c r="K180" i="5"/>
  <c r="L180" i="5" s="1"/>
  <c r="K181" i="5"/>
  <c r="L181" i="5" s="1"/>
  <c r="K182" i="5"/>
  <c r="L182" i="5" s="1"/>
  <c r="K183" i="5"/>
  <c r="L183" i="5" s="1"/>
  <c r="K184" i="5"/>
  <c r="L184" i="5" s="1"/>
  <c r="K185" i="5"/>
  <c r="L185" i="5" s="1"/>
  <c r="K186" i="5"/>
  <c r="L186" i="5" s="1"/>
  <c r="K187" i="5"/>
  <c r="L187" i="5" s="1"/>
  <c r="K188" i="5"/>
  <c r="L188" i="5" s="1"/>
  <c r="K189" i="5"/>
  <c r="L189" i="5" s="1"/>
  <c r="K190" i="5"/>
  <c r="L190" i="5" s="1"/>
  <c r="K191" i="5"/>
  <c r="L191" i="5" s="1"/>
  <c r="K192" i="5"/>
  <c r="L192" i="5" s="1"/>
  <c r="K193" i="5"/>
  <c r="L193" i="5" s="1"/>
  <c r="K194" i="5"/>
  <c r="L194" i="5" s="1"/>
  <c r="K195" i="5"/>
  <c r="L195" i="5" s="1"/>
  <c r="K196" i="5"/>
  <c r="L196" i="5" s="1"/>
  <c r="K197" i="5"/>
  <c r="L197" i="5"/>
  <c r="N197" i="5" s="1"/>
  <c r="M197" i="5"/>
  <c r="K198" i="5"/>
  <c r="L198" i="5" s="1"/>
  <c r="K199" i="5"/>
  <c r="L199" i="5" s="1"/>
  <c r="K200" i="5"/>
  <c r="L200" i="5" s="1"/>
  <c r="K201" i="5"/>
  <c r="L201" i="5" s="1"/>
  <c r="K202" i="5"/>
  <c r="L202" i="5" s="1"/>
  <c r="K203" i="5"/>
  <c r="L203" i="5" s="1"/>
  <c r="K204" i="5"/>
  <c r="L204" i="5" s="1"/>
  <c r="K205" i="5"/>
  <c r="L205" i="5" s="1"/>
  <c r="K206" i="5"/>
  <c r="L206" i="5" s="1"/>
  <c r="K207" i="5"/>
  <c r="L207" i="5" s="1"/>
  <c r="K208" i="5"/>
  <c r="L208" i="5" s="1"/>
  <c r="K209" i="5"/>
  <c r="L209" i="5" s="1"/>
  <c r="K210" i="5"/>
  <c r="L210" i="5" s="1"/>
  <c r="K211" i="5"/>
  <c r="L211" i="5" s="1"/>
  <c r="K212" i="5"/>
  <c r="L212" i="5" s="1"/>
  <c r="K213" i="5"/>
  <c r="L213" i="5" s="1"/>
  <c r="K214" i="5"/>
  <c r="L214" i="5" s="1"/>
  <c r="K215" i="5"/>
  <c r="L215" i="5" s="1"/>
  <c r="K216" i="5"/>
  <c r="L216" i="5" s="1"/>
  <c r="K217" i="5"/>
  <c r="L217" i="5" s="1"/>
  <c r="K218" i="5"/>
  <c r="L218" i="5" s="1"/>
  <c r="K219" i="5"/>
  <c r="L219" i="5" s="1"/>
  <c r="K220" i="5"/>
  <c r="L220" i="5" s="1"/>
  <c r="K221" i="5"/>
  <c r="L221" i="5" s="1"/>
  <c r="K222" i="5"/>
  <c r="L222" i="5" s="1"/>
  <c r="K223" i="5"/>
  <c r="L223" i="5" s="1"/>
  <c r="K224" i="5"/>
  <c r="L224" i="5" s="1"/>
  <c r="K225" i="5"/>
  <c r="L225" i="5" s="1"/>
  <c r="K226" i="5"/>
  <c r="L226" i="5" s="1"/>
  <c r="K227" i="5"/>
  <c r="L227" i="5" s="1"/>
  <c r="K228" i="5"/>
  <c r="L228" i="5" s="1"/>
  <c r="K229" i="5"/>
  <c r="L229" i="5" s="1"/>
  <c r="K230" i="5"/>
  <c r="L230" i="5" s="1"/>
  <c r="K231" i="5"/>
  <c r="L231" i="5" s="1"/>
  <c r="K232" i="5"/>
  <c r="L232" i="5" s="1"/>
  <c r="K3" i="5"/>
  <c r="H233" i="5"/>
  <c r="G233" i="5"/>
  <c r="C23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3" i="5"/>
  <c r="BA226" i="5" l="1"/>
  <c r="BB226" i="5"/>
  <c r="BA208" i="5"/>
  <c r="BB208" i="5"/>
  <c r="BA194" i="5"/>
  <c r="BB194" i="5"/>
  <c r="BA164" i="5"/>
  <c r="BB164" i="5"/>
  <c r="BA148" i="5"/>
  <c r="BB148" i="5"/>
  <c r="BA132" i="5"/>
  <c r="BB132" i="5"/>
  <c r="BA99" i="5"/>
  <c r="BB99" i="5"/>
  <c r="BA83" i="5"/>
  <c r="BB83" i="5"/>
  <c r="BB66" i="5"/>
  <c r="BA66" i="5"/>
  <c r="BA50" i="5"/>
  <c r="BB50" i="5"/>
  <c r="BA34" i="5"/>
  <c r="BB34" i="5"/>
  <c r="BA225" i="5"/>
  <c r="BB225" i="5"/>
  <c r="BA207" i="5"/>
  <c r="BB207" i="5"/>
  <c r="BA193" i="5"/>
  <c r="BB193" i="5"/>
  <c r="BA163" i="5"/>
  <c r="BB163" i="5"/>
  <c r="BB147" i="5"/>
  <c r="BA147" i="5"/>
  <c r="BA131" i="5"/>
  <c r="BB131" i="5"/>
  <c r="BA115" i="5"/>
  <c r="BB115" i="5"/>
  <c r="BA82" i="5"/>
  <c r="BB82" i="5"/>
  <c r="BA65" i="5"/>
  <c r="BB65" i="5"/>
  <c r="BA49" i="5"/>
  <c r="BB49" i="5"/>
  <c r="BA33" i="5"/>
  <c r="BB33" i="5"/>
  <c r="BA133" i="5"/>
  <c r="BB133" i="5"/>
  <c r="BA224" i="5"/>
  <c r="BB224" i="5"/>
  <c r="BB192" i="5"/>
  <c r="BA192" i="5"/>
  <c r="BA178" i="5"/>
  <c r="BB178" i="5"/>
  <c r="BA162" i="5"/>
  <c r="BB162" i="5"/>
  <c r="BA146" i="5"/>
  <c r="BB146" i="5"/>
  <c r="BA130" i="5"/>
  <c r="BB130" i="5"/>
  <c r="BA114" i="5"/>
  <c r="BB114" i="5"/>
  <c r="BA81" i="5"/>
  <c r="BB81" i="5"/>
  <c r="BA64" i="5"/>
  <c r="BB64" i="5"/>
  <c r="BB48" i="5"/>
  <c r="BA48" i="5"/>
  <c r="BA32" i="5"/>
  <c r="BB32" i="5"/>
  <c r="BA16" i="5"/>
  <c r="BB16" i="5"/>
  <c r="BA149" i="5"/>
  <c r="BB149" i="5"/>
  <c r="BA191" i="5"/>
  <c r="BB191" i="5"/>
  <c r="BB129" i="5"/>
  <c r="BA129" i="5"/>
  <c r="BA63" i="5"/>
  <c r="BB63" i="5"/>
  <c r="BA15" i="5"/>
  <c r="BB15" i="5"/>
  <c r="BA195" i="5"/>
  <c r="BB195" i="5"/>
  <c r="BA228" i="5"/>
  <c r="BB228" i="5"/>
  <c r="BA166" i="5"/>
  <c r="BB166" i="5"/>
  <c r="BA52" i="5"/>
  <c r="BB52" i="5"/>
  <c r="BA227" i="5"/>
  <c r="BB227" i="5"/>
  <c r="BA223" i="5"/>
  <c r="BB223" i="5"/>
  <c r="BA177" i="5"/>
  <c r="BB177" i="5"/>
  <c r="BA145" i="5"/>
  <c r="BB145" i="5"/>
  <c r="BA113" i="5"/>
  <c r="BB113" i="5"/>
  <c r="BA97" i="5"/>
  <c r="BB97" i="5"/>
  <c r="BA80" i="5"/>
  <c r="BB80" i="5"/>
  <c r="BA31" i="5"/>
  <c r="BB31" i="5"/>
  <c r="BA222" i="5"/>
  <c r="BB222" i="5"/>
  <c r="BA190" i="5"/>
  <c r="BB190" i="5"/>
  <c r="BA176" i="5"/>
  <c r="BB176" i="5"/>
  <c r="BA144" i="5"/>
  <c r="BB144" i="5"/>
  <c r="BA128" i="5"/>
  <c r="BB128" i="5"/>
  <c r="BA112" i="5"/>
  <c r="BB112" i="5"/>
  <c r="BA96" i="5"/>
  <c r="BB96" i="5"/>
  <c r="BA79" i="5"/>
  <c r="BB79" i="5"/>
  <c r="BA46" i="5"/>
  <c r="BB46" i="5"/>
  <c r="BA14" i="5"/>
  <c r="BB14" i="5"/>
  <c r="BA221" i="5"/>
  <c r="BB221" i="5"/>
  <c r="BA205" i="5"/>
  <c r="BB205" i="5"/>
  <c r="BA189" i="5"/>
  <c r="BB189" i="5"/>
  <c r="BA175" i="5"/>
  <c r="BB175" i="5"/>
  <c r="BA160" i="5"/>
  <c r="BB160" i="5"/>
  <c r="BA127" i="5"/>
  <c r="BB127" i="5"/>
  <c r="BB111" i="5"/>
  <c r="BA111" i="5"/>
  <c r="BA95" i="5"/>
  <c r="BB95" i="5"/>
  <c r="BA78" i="5"/>
  <c r="BB78" i="5"/>
  <c r="BA45" i="5"/>
  <c r="BB45" i="5"/>
  <c r="BA29" i="5"/>
  <c r="BB29" i="5"/>
  <c r="BA13" i="5"/>
  <c r="BB13" i="5"/>
  <c r="BA220" i="5"/>
  <c r="BB220" i="5"/>
  <c r="BA204" i="5"/>
  <c r="BB204" i="5"/>
  <c r="BB174" i="5"/>
  <c r="BA174" i="5"/>
  <c r="BA159" i="5"/>
  <c r="BB159" i="5"/>
  <c r="BA126" i="5"/>
  <c r="BB126" i="5"/>
  <c r="BA110" i="5"/>
  <c r="BB110" i="5"/>
  <c r="BA94" i="5"/>
  <c r="BB94" i="5"/>
  <c r="BA77" i="5"/>
  <c r="BB77" i="5"/>
  <c r="BA61" i="5"/>
  <c r="BB61" i="5"/>
  <c r="BA28" i="5"/>
  <c r="BB28" i="5"/>
  <c r="BB12" i="5"/>
  <c r="BA12" i="5"/>
  <c r="BA101" i="5"/>
  <c r="BB101" i="5"/>
  <c r="BA100" i="5"/>
  <c r="BB100" i="5"/>
  <c r="BA47" i="5"/>
  <c r="BB47" i="5"/>
  <c r="BB30" i="5"/>
  <c r="BA30" i="5"/>
  <c r="BB219" i="5"/>
  <c r="BA219" i="5"/>
  <c r="BA203" i="5"/>
  <c r="BB203" i="5"/>
  <c r="BA173" i="5"/>
  <c r="BB173" i="5"/>
  <c r="BA158" i="5"/>
  <c r="BB158" i="5"/>
  <c r="BA142" i="5"/>
  <c r="BB142" i="5"/>
  <c r="BA109" i="5"/>
  <c r="BB109" i="5"/>
  <c r="BB93" i="5"/>
  <c r="BA93" i="5"/>
  <c r="BA76" i="5"/>
  <c r="BB76" i="5"/>
  <c r="BA60" i="5"/>
  <c r="BB60" i="5"/>
  <c r="BA27" i="5"/>
  <c r="BB27" i="5"/>
  <c r="BA11" i="5"/>
  <c r="BB11" i="5"/>
  <c r="BB165" i="5"/>
  <c r="BA165" i="5"/>
  <c r="BA218" i="5"/>
  <c r="BB218" i="5"/>
  <c r="BA202" i="5"/>
  <c r="BB202" i="5"/>
  <c r="BA172" i="5"/>
  <c r="BB172" i="5"/>
  <c r="BA157" i="5"/>
  <c r="BB157" i="5"/>
  <c r="BA141" i="5"/>
  <c r="BB141" i="5"/>
  <c r="BA108" i="5"/>
  <c r="BB108" i="5"/>
  <c r="BA92" i="5"/>
  <c r="BB92" i="5"/>
  <c r="BB75" i="5"/>
  <c r="BA75" i="5"/>
  <c r="BA43" i="5"/>
  <c r="BB43" i="5"/>
  <c r="BA10" i="5"/>
  <c r="BB10" i="5"/>
  <c r="BA117" i="5"/>
  <c r="BB117" i="5"/>
  <c r="BA59" i="5"/>
  <c r="BB59" i="5"/>
  <c r="BA217" i="5"/>
  <c r="BB217" i="5"/>
  <c r="BB201" i="5"/>
  <c r="BA201" i="5"/>
  <c r="BA187" i="5"/>
  <c r="BB187" i="5"/>
  <c r="BA171" i="5"/>
  <c r="BB171" i="5"/>
  <c r="BB156" i="5"/>
  <c r="BA156" i="5"/>
  <c r="BA140" i="5"/>
  <c r="BB140" i="5"/>
  <c r="BA124" i="5"/>
  <c r="BB124" i="5"/>
  <c r="BA91" i="5"/>
  <c r="BB91" i="5"/>
  <c r="BA74" i="5"/>
  <c r="BB74" i="5"/>
  <c r="BA58" i="5"/>
  <c r="BB58" i="5"/>
  <c r="BA42" i="5"/>
  <c r="BB42" i="5"/>
  <c r="BA9" i="5"/>
  <c r="BB9" i="5"/>
  <c r="BA216" i="5"/>
  <c r="BB216" i="5"/>
  <c r="BA200" i="5"/>
  <c r="BB200" i="5"/>
  <c r="BA186" i="5"/>
  <c r="BB186" i="5"/>
  <c r="BA155" i="5"/>
  <c r="BB155" i="5"/>
  <c r="BA139" i="5"/>
  <c r="BB139" i="5"/>
  <c r="BA123" i="5"/>
  <c r="BB123" i="5"/>
  <c r="BA90" i="5"/>
  <c r="BB90" i="5"/>
  <c r="BA73" i="5"/>
  <c r="BB73" i="5"/>
  <c r="BB57" i="5"/>
  <c r="BA57" i="5"/>
  <c r="BA41" i="5"/>
  <c r="BB41" i="5"/>
  <c r="BA25" i="5"/>
  <c r="BB25" i="5"/>
  <c r="BA185" i="5"/>
  <c r="BB185" i="5"/>
  <c r="BA24" i="5"/>
  <c r="BB24" i="5"/>
  <c r="BA85" i="5"/>
  <c r="BB85" i="5"/>
  <c r="BA67" i="5"/>
  <c r="BB67" i="5"/>
  <c r="BB210" i="5"/>
  <c r="BA210" i="5"/>
  <c r="BA51" i="5"/>
  <c r="BB51" i="5"/>
  <c r="BB215" i="5"/>
  <c r="BA215" i="5"/>
  <c r="BA199" i="5"/>
  <c r="BB199" i="5"/>
  <c r="BA154" i="5"/>
  <c r="BB154" i="5"/>
  <c r="BB138" i="5"/>
  <c r="BA138" i="5"/>
  <c r="BA122" i="5"/>
  <c r="BB122" i="5"/>
  <c r="BA106" i="5"/>
  <c r="BB106" i="5"/>
  <c r="BA72" i="5"/>
  <c r="BB72" i="5"/>
  <c r="BA56" i="5"/>
  <c r="BB56" i="5"/>
  <c r="BA232" i="5"/>
  <c r="BB232" i="5"/>
  <c r="BA214" i="5"/>
  <c r="BB214" i="5"/>
  <c r="BA198" i="5"/>
  <c r="BB198" i="5"/>
  <c r="BA184" i="5"/>
  <c r="BB184" i="5"/>
  <c r="BA153" i="5"/>
  <c r="BB153" i="5"/>
  <c r="BA137" i="5"/>
  <c r="BB137" i="5"/>
  <c r="BA121" i="5"/>
  <c r="BB121" i="5"/>
  <c r="BA105" i="5"/>
  <c r="BB105" i="5"/>
  <c r="BA55" i="5"/>
  <c r="BB55" i="5"/>
  <c r="BB39" i="5"/>
  <c r="BA39" i="5"/>
  <c r="BA23" i="5"/>
  <c r="BB23" i="5"/>
  <c r="BA7" i="5"/>
  <c r="BB7" i="5"/>
  <c r="BA231" i="5"/>
  <c r="BB231" i="5"/>
  <c r="BA213" i="5"/>
  <c r="BB213" i="5"/>
  <c r="BB183" i="5"/>
  <c r="BA183" i="5"/>
  <c r="BA169" i="5"/>
  <c r="BB169" i="5"/>
  <c r="BA136" i="5"/>
  <c r="BB136" i="5"/>
  <c r="BB120" i="5"/>
  <c r="BA120" i="5"/>
  <c r="BA104" i="5"/>
  <c r="BB104" i="5"/>
  <c r="BA88" i="5"/>
  <c r="BB88" i="5"/>
  <c r="BA54" i="5"/>
  <c r="BB54" i="5"/>
  <c r="BA38" i="5"/>
  <c r="BB38" i="5"/>
  <c r="BA22" i="5"/>
  <c r="BB22" i="5"/>
  <c r="BA6" i="5"/>
  <c r="BB6" i="5"/>
  <c r="BA68" i="5"/>
  <c r="BB68" i="5"/>
  <c r="BB84" i="5"/>
  <c r="BA84" i="5"/>
  <c r="BA212" i="5"/>
  <c r="BB212" i="5"/>
  <c r="BA135" i="5"/>
  <c r="BB135" i="5"/>
  <c r="BA37" i="5"/>
  <c r="BB37" i="5"/>
  <c r="BB21" i="5"/>
  <c r="BA21" i="5"/>
  <c r="BA196" i="5"/>
  <c r="BB196" i="5"/>
  <c r="BA180" i="5"/>
  <c r="BB180" i="5"/>
  <c r="BA150" i="5"/>
  <c r="BB150" i="5"/>
  <c r="BA19" i="5"/>
  <c r="BB19" i="5"/>
  <c r="BA209" i="5"/>
  <c r="BB209" i="5"/>
  <c r="BA18" i="5"/>
  <c r="BB18" i="5"/>
  <c r="BA40" i="5"/>
  <c r="BB40" i="5"/>
  <c r="BA230" i="5"/>
  <c r="BB230" i="5"/>
  <c r="BA182" i="5"/>
  <c r="BB182" i="5"/>
  <c r="BA168" i="5"/>
  <c r="BB168" i="5"/>
  <c r="BA119" i="5"/>
  <c r="BB119" i="5"/>
  <c r="BA103" i="5"/>
  <c r="BB103" i="5"/>
  <c r="BA87" i="5"/>
  <c r="BB87" i="5"/>
  <c r="BA70" i="5"/>
  <c r="BB70" i="5"/>
  <c r="BA5" i="5"/>
  <c r="BB5" i="5"/>
  <c r="BA229" i="5"/>
  <c r="BB229" i="5"/>
  <c r="BA211" i="5"/>
  <c r="BB211" i="5"/>
  <c r="BA181" i="5"/>
  <c r="BB181" i="5"/>
  <c r="BA167" i="5"/>
  <c r="BB167" i="5"/>
  <c r="BA151" i="5"/>
  <c r="BB151" i="5"/>
  <c r="BA118" i="5"/>
  <c r="BB118" i="5"/>
  <c r="BB102" i="5"/>
  <c r="BA102" i="5"/>
  <c r="BA86" i="5"/>
  <c r="BB86" i="5"/>
  <c r="BA69" i="5"/>
  <c r="BB69" i="5"/>
  <c r="BA36" i="5"/>
  <c r="BB36" i="5"/>
  <c r="BA20" i="5"/>
  <c r="BB20" i="5"/>
  <c r="BA4" i="5"/>
  <c r="BB4" i="5"/>
  <c r="BB161" i="5"/>
  <c r="BB152" i="5"/>
  <c r="BB143" i="5"/>
  <c r="BB134" i="5"/>
  <c r="BB125" i="5"/>
  <c r="BB116" i="5"/>
  <c r="BB107" i="5"/>
  <c r="BB98" i="5"/>
  <c r="BB89" i="5"/>
  <c r="BB71" i="5"/>
  <c r="BB62" i="5"/>
  <c r="BB53" i="5"/>
  <c r="BB44" i="5"/>
  <c r="BB35" i="5"/>
  <c r="BB26" i="5"/>
  <c r="BB17" i="5"/>
  <c r="BB8" i="5"/>
  <c r="AX170" i="5"/>
  <c r="AW170" i="5"/>
  <c r="AX206" i="5"/>
  <c r="AW206" i="5"/>
  <c r="AW53" i="5"/>
  <c r="AX53" i="5"/>
  <c r="AW17" i="5"/>
  <c r="AX17" i="5"/>
  <c r="AX143" i="5"/>
  <c r="AW143" i="5"/>
  <c r="AX215" i="5"/>
  <c r="AW215" i="5"/>
  <c r="AW62" i="5"/>
  <c r="AX62" i="5"/>
  <c r="AX224" i="5"/>
  <c r="AW224" i="5"/>
  <c r="AX188" i="5"/>
  <c r="AW188" i="5"/>
  <c r="AX152" i="5"/>
  <c r="AW152" i="5"/>
  <c r="AW35" i="5"/>
  <c r="AX35" i="5"/>
  <c r="AX116" i="5"/>
  <c r="AW116" i="5"/>
  <c r="AW8" i="5"/>
  <c r="AX8" i="5"/>
  <c r="AW71" i="5"/>
  <c r="AX71" i="5"/>
  <c r="AX98" i="5"/>
  <c r="AW98" i="5"/>
  <c r="AW44" i="5"/>
  <c r="AX44" i="5"/>
  <c r="AX134" i="5"/>
  <c r="AW134" i="5"/>
  <c r="AW162" i="5"/>
  <c r="AX162" i="5"/>
  <c r="AW191" i="5"/>
  <c r="AX191" i="5"/>
  <c r="AW150" i="5"/>
  <c r="AX150" i="5"/>
  <c r="AW117" i="5"/>
  <c r="AX117" i="5"/>
  <c r="AW96" i="5"/>
  <c r="AX96" i="5"/>
  <c r="AW73" i="5"/>
  <c r="AX73" i="5"/>
  <c r="AW49" i="5"/>
  <c r="AX49" i="5"/>
  <c r="AW14" i="5"/>
  <c r="AX14" i="5"/>
  <c r="AW190" i="5"/>
  <c r="AW180" i="5"/>
  <c r="AX180" i="5"/>
  <c r="AX160" i="5"/>
  <c r="AW149" i="5"/>
  <c r="AX149" i="5"/>
  <c r="AW128" i="5"/>
  <c r="AX128" i="5"/>
  <c r="AX106" i="5"/>
  <c r="AW95" i="5"/>
  <c r="AX95" i="5"/>
  <c r="AW72" i="5"/>
  <c r="AX72" i="5"/>
  <c r="AW38" i="5"/>
  <c r="AX38" i="5"/>
  <c r="AX25" i="5"/>
  <c r="AW25" i="5"/>
  <c r="AW13" i="5"/>
  <c r="AX13" i="5"/>
  <c r="AW227" i="5"/>
  <c r="AX227" i="5"/>
  <c r="AW218" i="5"/>
  <c r="AX218" i="5"/>
  <c r="AW209" i="5"/>
  <c r="AX209" i="5"/>
  <c r="AW200" i="5"/>
  <c r="AX200" i="5"/>
  <c r="AW179" i="5"/>
  <c r="AW148" i="5"/>
  <c r="AX148" i="5"/>
  <c r="AW127" i="5"/>
  <c r="AX127" i="5"/>
  <c r="AW94" i="5"/>
  <c r="AX94" i="5"/>
  <c r="AW60" i="5"/>
  <c r="AX60" i="5"/>
  <c r="AW37" i="5"/>
  <c r="AX37" i="5"/>
  <c r="AW24" i="5"/>
  <c r="AX24" i="5"/>
  <c r="AW74" i="5"/>
  <c r="AX74" i="5"/>
  <c r="AW189" i="5"/>
  <c r="AX189" i="5"/>
  <c r="AW159" i="5"/>
  <c r="AX159" i="5"/>
  <c r="AW126" i="5"/>
  <c r="AX126" i="5"/>
  <c r="AW105" i="5"/>
  <c r="AX105" i="5"/>
  <c r="AX93" i="5"/>
  <c r="AW83" i="5"/>
  <c r="AX83" i="5"/>
  <c r="AW59" i="5"/>
  <c r="AX59" i="5"/>
  <c r="AW36" i="5"/>
  <c r="AX36" i="5"/>
  <c r="AW23" i="5"/>
  <c r="AX23" i="5"/>
  <c r="AW158" i="5"/>
  <c r="AX158" i="5"/>
  <c r="AW137" i="5"/>
  <c r="AX137" i="5"/>
  <c r="AW125" i="5"/>
  <c r="AX115" i="5"/>
  <c r="AW104" i="5"/>
  <c r="AX104" i="5"/>
  <c r="AW82" i="5"/>
  <c r="AX82" i="5"/>
  <c r="AX70" i="5"/>
  <c r="AW58" i="5"/>
  <c r="AX58" i="5"/>
  <c r="AW22" i="5"/>
  <c r="AX22" i="5"/>
  <c r="AW140" i="5"/>
  <c r="AX140" i="5"/>
  <c r="AW119" i="5"/>
  <c r="AX119" i="5"/>
  <c r="AW171" i="5"/>
  <c r="AX171" i="5"/>
  <c r="AW50" i="5"/>
  <c r="AX50" i="5"/>
  <c r="AW103" i="5"/>
  <c r="AX103" i="5"/>
  <c r="AW47" i="5"/>
  <c r="AX47" i="5"/>
  <c r="AW167" i="5"/>
  <c r="AX167" i="5"/>
  <c r="AW135" i="5"/>
  <c r="AX135" i="5"/>
  <c r="AW114" i="5"/>
  <c r="AX114" i="5"/>
  <c r="AW80" i="5"/>
  <c r="AX80" i="5"/>
  <c r="AW69" i="5"/>
  <c r="AX69" i="5"/>
  <c r="AW46" i="5"/>
  <c r="AX46" i="5"/>
  <c r="AX34" i="5"/>
  <c r="AW34" i="5"/>
  <c r="AW11" i="5"/>
  <c r="AX11" i="5"/>
  <c r="AW177" i="5"/>
  <c r="AX177" i="5"/>
  <c r="AW166" i="5"/>
  <c r="AX166" i="5"/>
  <c r="AW146" i="5"/>
  <c r="AX146" i="5"/>
  <c r="AW113" i="5"/>
  <c r="AX113" i="5"/>
  <c r="AW92" i="5"/>
  <c r="AX92" i="5"/>
  <c r="AW68" i="5"/>
  <c r="AX68" i="5"/>
  <c r="AW45" i="5"/>
  <c r="AX45" i="5"/>
  <c r="AW33" i="5"/>
  <c r="AX33" i="5"/>
  <c r="AW10" i="5"/>
  <c r="AX10" i="5"/>
  <c r="AW211" i="5"/>
  <c r="AX211" i="5"/>
  <c r="AW63" i="5"/>
  <c r="AX63" i="5"/>
  <c r="AX232" i="5"/>
  <c r="AW176" i="5"/>
  <c r="AX176" i="5"/>
  <c r="AW145" i="5"/>
  <c r="AX145" i="5"/>
  <c r="AW112" i="5"/>
  <c r="AX112" i="5"/>
  <c r="AW91" i="5"/>
  <c r="AX91" i="5"/>
  <c r="AX79" i="5"/>
  <c r="AW67" i="5"/>
  <c r="AX67" i="5"/>
  <c r="AW32" i="5"/>
  <c r="AX32" i="5"/>
  <c r="AW9" i="5"/>
  <c r="AX9" i="5"/>
  <c r="AW108" i="5"/>
  <c r="AX108" i="5"/>
  <c r="AW51" i="5"/>
  <c r="AX51" i="5"/>
  <c r="AW168" i="5"/>
  <c r="AX168" i="5"/>
  <c r="AW186" i="5"/>
  <c r="AX186" i="5"/>
  <c r="AW123" i="5"/>
  <c r="AX123" i="5"/>
  <c r="AW90" i="5"/>
  <c r="AX90" i="5"/>
  <c r="AW56" i="5"/>
  <c r="AX56" i="5"/>
  <c r="AW31" i="5"/>
  <c r="AX31" i="5"/>
  <c r="AW20" i="5"/>
  <c r="AX20" i="5"/>
  <c r="AW141" i="5"/>
  <c r="AX141" i="5"/>
  <c r="AW86" i="5"/>
  <c r="AX86" i="5"/>
  <c r="AW28" i="5"/>
  <c r="AX28" i="5"/>
  <c r="AW27" i="5"/>
  <c r="AX27" i="5"/>
  <c r="AW118" i="5"/>
  <c r="AX118" i="5"/>
  <c r="AW26" i="5"/>
  <c r="AX26" i="5"/>
  <c r="AW175" i="5"/>
  <c r="AX175" i="5"/>
  <c r="AW144" i="5"/>
  <c r="AX144" i="5"/>
  <c r="AX223" i="5"/>
  <c r="AX214" i="5"/>
  <c r="AX205" i="5"/>
  <c r="AW185" i="5"/>
  <c r="AX185" i="5"/>
  <c r="AX174" i="5"/>
  <c r="AW155" i="5"/>
  <c r="AX155" i="5"/>
  <c r="AW122" i="5"/>
  <c r="AX122" i="5"/>
  <c r="AW101" i="5"/>
  <c r="AX101" i="5"/>
  <c r="AW89" i="5"/>
  <c r="AX89" i="5"/>
  <c r="AW78" i="5"/>
  <c r="AX78" i="5"/>
  <c r="AW55" i="5"/>
  <c r="AX55" i="5"/>
  <c r="AW19" i="5"/>
  <c r="AX19" i="5"/>
  <c r="AW220" i="5"/>
  <c r="AX220" i="5"/>
  <c r="AW139" i="5"/>
  <c r="AX139" i="5"/>
  <c r="AW15" i="5"/>
  <c r="AX15" i="5"/>
  <c r="AV231" i="5"/>
  <c r="AW195" i="5"/>
  <c r="AX195" i="5"/>
  <c r="AW184" i="5"/>
  <c r="AX184" i="5"/>
  <c r="AW154" i="5"/>
  <c r="AX154" i="5"/>
  <c r="AW121" i="5"/>
  <c r="AX121" i="5"/>
  <c r="AW100" i="5"/>
  <c r="AX100" i="5"/>
  <c r="AW77" i="5"/>
  <c r="AX77" i="5"/>
  <c r="AW54" i="5"/>
  <c r="AX54" i="5"/>
  <c r="AW7" i="5"/>
  <c r="AX7" i="5"/>
  <c r="AW198" i="5"/>
  <c r="AX198" i="5"/>
  <c r="AW230" i="5"/>
  <c r="AW222" i="5"/>
  <c r="AW213" i="5"/>
  <c r="AW204" i="5"/>
  <c r="AW194" i="5"/>
  <c r="AX194" i="5"/>
  <c r="AW164" i="5"/>
  <c r="AX164" i="5"/>
  <c r="AW153" i="5"/>
  <c r="AX153" i="5"/>
  <c r="AW132" i="5"/>
  <c r="AX132" i="5"/>
  <c r="AW99" i="5"/>
  <c r="AX99" i="5"/>
  <c r="AX88" i="5"/>
  <c r="AW76" i="5"/>
  <c r="AX76" i="5"/>
  <c r="AW42" i="5"/>
  <c r="AX42" i="5"/>
  <c r="AW6" i="5"/>
  <c r="AX6" i="5"/>
  <c r="AW202" i="5"/>
  <c r="AX202" i="5"/>
  <c r="AW193" i="5"/>
  <c r="AX193" i="5"/>
  <c r="AW131" i="5"/>
  <c r="AX131" i="5"/>
  <c r="AW110" i="5"/>
  <c r="AX110" i="5"/>
  <c r="AX75" i="5"/>
  <c r="AW65" i="5"/>
  <c r="AX65" i="5"/>
  <c r="AW41" i="5"/>
  <c r="AX41" i="5"/>
  <c r="AW5" i="5"/>
  <c r="AX5" i="5"/>
  <c r="AW182" i="5"/>
  <c r="AX182" i="5"/>
  <c r="AW85" i="5"/>
  <c r="AX85" i="5"/>
  <c r="AX16" i="5"/>
  <c r="AW16" i="5"/>
  <c r="AW157" i="5"/>
  <c r="AX157" i="5"/>
  <c r="AW136" i="5"/>
  <c r="AX136" i="5"/>
  <c r="AW81" i="5"/>
  <c r="AX81" i="5"/>
  <c r="AW229" i="5"/>
  <c r="AW221" i="5"/>
  <c r="AX221" i="5"/>
  <c r="AW212" i="5"/>
  <c r="AX212" i="5"/>
  <c r="AW203" i="5"/>
  <c r="AX203" i="5"/>
  <c r="AW173" i="5"/>
  <c r="AX173" i="5"/>
  <c r="AW130" i="5"/>
  <c r="AX130" i="5"/>
  <c r="AW109" i="5"/>
  <c r="AX109" i="5"/>
  <c r="AW87" i="5"/>
  <c r="AX87" i="5"/>
  <c r="AW64" i="5"/>
  <c r="AX64" i="5"/>
  <c r="AX52" i="5"/>
  <c r="AW40" i="5"/>
  <c r="AX40" i="5"/>
  <c r="AW29" i="5"/>
  <c r="AX29" i="5"/>
  <c r="AW4" i="5"/>
  <c r="AX4" i="5"/>
  <c r="AV172" i="5"/>
  <c r="AZ3" i="5"/>
  <c r="AT227" i="5"/>
  <c r="AS227" i="5"/>
  <c r="AS95" i="5"/>
  <c r="AT95" i="5"/>
  <c r="AS221" i="5"/>
  <c r="AT221" i="5"/>
  <c r="AS211" i="5"/>
  <c r="AT211" i="5"/>
  <c r="AS200" i="5"/>
  <c r="AS169" i="5"/>
  <c r="AS158" i="5"/>
  <c r="AT158" i="5"/>
  <c r="AS145" i="5"/>
  <c r="AT145" i="5"/>
  <c r="AS133" i="5"/>
  <c r="AT133" i="5"/>
  <c r="AS120" i="5"/>
  <c r="AT120" i="5"/>
  <c r="AS82" i="5"/>
  <c r="AT82" i="5"/>
  <c r="AS55" i="5"/>
  <c r="AT55" i="5"/>
  <c r="AS28" i="5"/>
  <c r="AT28" i="5"/>
  <c r="AS219" i="5"/>
  <c r="AT219" i="5"/>
  <c r="AS228" i="5"/>
  <c r="AT228" i="5"/>
  <c r="AS155" i="5"/>
  <c r="AT155" i="5"/>
  <c r="AS131" i="5"/>
  <c r="AT131" i="5"/>
  <c r="AS118" i="5"/>
  <c r="AT118" i="5"/>
  <c r="AS106" i="5"/>
  <c r="AT106" i="5"/>
  <c r="AS93" i="5"/>
  <c r="AT93" i="5"/>
  <c r="AS66" i="5"/>
  <c r="AT66" i="5"/>
  <c r="AS39" i="5"/>
  <c r="AT39" i="5"/>
  <c r="AS12" i="5"/>
  <c r="AT12" i="5"/>
  <c r="AS198" i="5"/>
  <c r="AT198" i="5"/>
  <c r="AS167" i="5"/>
  <c r="AT167" i="5"/>
  <c r="AS130" i="5"/>
  <c r="AT130" i="5"/>
  <c r="AS117" i="5"/>
  <c r="AT117" i="5"/>
  <c r="AS92" i="5"/>
  <c r="AT92" i="5"/>
  <c r="AS79" i="5"/>
  <c r="AT79" i="5"/>
  <c r="AS65" i="5"/>
  <c r="AT65" i="5"/>
  <c r="AS52" i="5"/>
  <c r="AT52" i="5"/>
  <c r="AS38" i="5"/>
  <c r="AT38" i="5"/>
  <c r="AS25" i="5"/>
  <c r="AT25" i="5"/>
  <c r="AS11" i="5"/>
  <c r="AT11" i="5"/>
  <c r="AS210" i="5"/>
  <c r="AT210" i="5"/>
  <c r="AS190" i="5"/>
  <c r="AT190" i="5"/>
  <c r="AS119" i="5"/>
  <c r="AT119" i="5"/>
  <c r="AS14" i="5"/>
  <c r="AT14" i="5"/>
  <c r="AS189" i="5"/>
  <c r="AT189" i="5"/>
  <c r="AS156" i="5"/>
  <c r="AT156" i="5"/>
  <c r="AS94" i="5"/>
  <c r="AT94" i="5"/>
  <c r="AS67" i="5"/>
  <c r="AT67" i="5"/>
  <c r="AS40" i="5"/>
  <c r="AT40" i="5"/>
  <c r="AS13" i="5"/>
  <c r="AT13" i="5"/>
  <c r="AS208" i="5"/>
  <c r="AT208" i="5"/>
  <c r="AT177" i="5"/>
  <c r="AS166" i="5"/>
  <c r="AT166" i="5"/>
  <c r="AS154" i="5"/>
  <c r="AT154" i="5"/>
  <c r="AS142" i="5"/>
  <c r="AT142" i="5"/>
  <c r="AS129" i="5"/>
  <c r="AT129" i="5"/>
  <c r="AT78" i="5"/>
  <c r="AT51" i="5"/>
  <c r="AT24" i="5"/>
  <c r="AS41" i="5"/>
  <c r="AT41" i="5"/>
  <c r="AS220" i="5"/>
  <c r="AT220" i="5"/>
  <c r="AS229" i="5"/>
  <c r="AT229" i="5"/>
  <c r="AS176" i="5"/>
  <c r="AT176" i="5"/>
  <c r="AS103" i="5"/>
  <c r="AT103" i="5"/>
  <c r="AS90" i="5"/>
  <c r="AT90" i="5"/>
  <c r="AS77" i="5"/>
  <c r="AT77" i="5"/>
  <c r="AS9" i="5"/>
  <c r="AT9" i="5"/>
  <c r="AS175" i="5"/>
  <c r="AT175" i="5"/>
  <c r="AS140" i="5"/>
  <c r="AT140" i="5"/>
  <c r="AS127" i="5"/>
  <c r="AT127" i="5"/>
  <c r="AS115" i="5"/>
  <c r="AT115" i="5"/>
  <c r="AS102" i="5"/>
  <c r="AT102" i="5"/>
  <c r="AS76" i="5"/>
  <c r="AT76" i="5"/>
  <c r="AS49" i="5"/>
  <c r="AT49" i="5"/>
  <c r="AS22" i="5"/>
  <c r="AT22" i="5"/>
  <c r="AS225" i="5"/>
  <c r="AT225" i="5"/>
  <c r="AS139" i="5"/>
  <c r="AT139" i="5"/>
  <c r="AS126" i="5"/>
  <c r="AT126" i="5"/>
  <c r="AS101" i="5"/>
  <c r="AT101" i="5"/>
  <c r="AS75" i="5"/>
  <c r="AT75" i="5"/>
  <c r="AS48" i="5"/>
  <c r="AT48" i="5"/>
  <c r="AS185" i="5"/>
  <c r="AT185" i="5"/>
  <c r="AS163" i="5"/>
  <c r="AT163" i="5"/>
  <c r="AS151" i="5"/>
  <c r="AT151" i="5"/>
  <c r="AS138" i="5"/>
  <c r="AT138" i="5"/>
  <c r="AS88" i="5"/>
  <c r="AT88" i="5"/>
  <c r="AS74" i="5"/>
  <c r="AT74" i="5"/>
  <c r="AS61" i="5"/>
  <c r="AT61" i="5"/>
  <c r="AS47" i="5"/>
  <c r="AT47" i="5"/>
  <c r="AS34" i="5"/>
  <c r="AT34" i="5"/>
  <c r="AS20" i="5"/>
  <c r="AT20" i="5"/>
  <c r="AS7" i="5"/>
  <c r="AT7" i="5"/>
  <c r="AS184" i="5"/>
  <c r="AT184" i="5"/>
  <c r="AS162" i="5"/>
  <c r="AT162" i="5"/>
  <c r="AT150" i="5"/>
  <c r="AS137" i="5"/>
  <c r="AT137" i="5"/>
  <c r="AS113" i="5"/>
  <c r="AT113" i="5"/>
  <c r="AS100" i="5"/>
  <c r="AT100" i="5"/>
  <c r="AS157" i="5"/>
  <c r="AT157" i="5"/>
  <c r="AS27" i="5"/>
  <c r="AT27" i="5"/>
  <c r="AS207" i="5"/>
  <c r="AT207" i="5"/>
  <c r="AS187" i="5"/>
  <c r="AS165" i="5"/>
  <c r="AT165" i="5"/>
  <c r="AS153" i="5"/>
  <c r="AT153" i="5"/>
  <c r="AS128" i="5"/>
  <c r="AT128" i="5"/>
  <c r="AS91" i="5"/>
  <c r="AT91" i="5"/>
  <c r="AS64" i="5"/>
  <c r="AT64" i="5"/>
  <c r="AS10" i="5"/>
  <c r="AT10" i="5"/>
  <c r="AS50" i="5"/>
  <c r="AT50" i="5"/>
  <c r="AS174" i="5"/>
  <c r="AT174" i="5"/>
  <c r="AS21" i="5"/>
  <c r="AT21" i="5"/>
  <c r="AT204" i="5"/>
  <c r="AS183" i="5"/>
  <c r="AT183" i="5"/>
  <c r="AS112" i="5"/>
  <c r="AT112" i="5"/>
  <c r="AS99" i="5"/>
  <c r="AT99" i="5"/>
  <c r="AS73" i="5"/>
  <c r="AT73" i="5"/>
  <c r="AS46" i="5"/>
  <c r="AT46" i="5"/>
  <c r="AS19" i="5"/>
  <c r="AT19" i="5"/>
  <c r="AS223" i="5"/>
  <c r="AS194" i="5"/>
  <c r="AT194" i="5"/>
  <c r="AS182" i="5"/>
  <c r="AS172" i="5"/>
  <c r="AT172" i="5"/>
  <c r="AS149" i="5"/>
  <c r="AT149" i="5"/>
  <c r="AS136" i="5"/>
  <c r="AT136" i="5"/>
  <c r="AS124" i="5"/>
  <c r="AT124" i="5"/>
  <c r="AS111" i="5"/>
  <c r="AT111" i="5"/>
  <c r="AS86" i="5"/>
  <c r="AT86" i="5"/>
  <c r="AS72" i="5"/>
  <c r="AT72" i="5"/>
  <c r="AS59" i="5"/>
  <c r="AT59" i="5"/>
  <c r="AS45" i="5"/>
  <c r="AT45" i="5"/>
  <c r="AS32" i="5"/>
  <c r="AT32" i="5"/>
  <c r="AS18" i="5"/>
  <c r="AT18" i="5"/>
  <c r="AS230" i="5"/>
  <c r="AT230" i="5"/>
  <c r="AS54" i="5"/>
  <c r="AT54" i="5"/>
  <c r="AS63" i="5"/>
  <c r="AT63" i="5"/>
  <c r="AS193" i="5"/>
  <c r="AT193" i="5"/>
  <c r="AS171" i="5"/>
  <c r="AT171" i="5"/>
  <c r="AS148" i="5"/>
  <c r="AT148" i="5"/>
  <c r="AS135" i="5"/>
  <c r="AT135" i="5"/>
  <c r="AS110" i="5"/>
  <c r="AT110" i="5"/>
  <c r="AS85" i="5"/>
  <c r="AT85" i="5"/>
  <c r="AS58" i="5"/>
  <c r="AT58" i="5"/>
  <c r="AS31" i="5"/>
  <c r="AT31" i="5"/>
  <c r="AS68" i="5"/>
  <c r="AT68" i="5"/>
  <c r="AS23" i="5"/>
  <c r="AT23" i="5"/>
  <c r="AS216" i="5"/>
  <c r="AT216" i="5"/>
  <c r="AT222" i="5"/>
  <c r="AS203" i="5"/>
  <c r="AT203" i="5"/>
  <c r="AS192" i="5"/>
  <c r="AT192" i="5"/>
  <c r="AS160" i="5"/>
  <c r="AT160" i="5"/>
  <c r="AS147" i="5"/>
  <c r="AT147" i="5"/>
  <c r="AS84" i="5"/>
  <c r="AT84" i="5"/>
  <c r="AS57" i="5"/>
  <c r="AT57" i="5"/>
  <c r="AS30" i="5"/>
  <c r="AT30" i="5"/>
  <c r="AS144" i="5"/>
  <c r="AT144" i="5"/>
  <c r="AS37" i="5"/>
  <c r="AT37" i="5"/>
  <c r="AS36" i="5"/>
  <c r="AT36" i="5"/>
  <c r="AS202" i="5"/>
  <c r="AT202" i="5"/>
  <c r="AS191" i="5"/>
  <c r="AS181" i="5"/>
  <c r="AT181" i="5"/>
  <c r="AT159" i="5"/>
  <c r="AS146" i="5"/>
  <c r="AT146" i="5"/>
  <c r="AS122" i="5"/>
  <c r="AT122" i="5"/>
  <c r="AS109" i="5"/>
  <c r="AT109" i="5"/>
  <c r="AS97" i="5"/>
  <c r="AT97" i="5"/>
  <c r="AS83" i="5"/>
  <c r="AT83" i="5"/>
  <c r="AS70" i="5"/>
  <c r="AT70" i="5"/>
  <c r="AS56" i="5"/>
  <c r="AT56" i="5"/>
  <c r="AS43" i="5"/>
  <c r="AT43" i="5"/>
  <c r="AS29" i="5"/>
  <c r="AT29" i="5"/>
  <c r="AS16" i="5"/>
  <c r="AT16" i="5"/>
  <c r="AS81" i="5"/>
  <c r="AT81" i="5"/>
  <c r="AS104" i="5"/>
  <c r="AT104" i="5"/>
  <c r="AS212" i="5"/>
  <c r="AT212" i="5"/>
  <c r="AS201" i="5"/>
  <c r="AT201" i="5"/>
  <c r="AS180" i="5"/>
  <c r="AT180" i="5"/>
  <c r="AS121" i="5"/>
  <c r="AT121" i="5"/>
  <c r="AS108" i="5"/>
  <c r="AT108" i="5"/>
  <c r="AS4" i="5"/>
  <c r="AT4" i="5"/>
  <c r="AR217" i="5"/>
  <c r="AR199" i="5"/>
  <c r="AT5" i="5"/>
  <c r="AT89" i="5"/>
  <c r="AT80" i="5"/>
  <c r="AT71" i="5"/>
  <c r="AT62" i="5"/>
  <c r="AT53" i="5"/>
  <c r="AT44" i="5"/>
  <c r="AT35" i="5"/>
  <c r="AT26" i="5"/>
  <c r="AT17" i="5"/>
  <c r="AT8" i="5"/>
  <c r="AP221" i="5"/>
  <c r="AO221" i="5"/>
  <c r="AP176" i="5"/>
  <c r="AO176" i="5"/>
  <c r="AP198" i="5"/>
  <c r="AO198" i="5"/>
  <c r="AP131" i="5"/>
  <c r="AO131" i="5"/>
  <c r="AP179" i="5"/>
  <c r="AO179" i="5"/>
  <c r="AP189" i="5"/>
  <c r="AO189" i="5"/>
  <c r="AP167" i="5"/>
  <c r="AO167" i="5"/>
  <c r="AP230" i="5"/>
  <c r="AO230" i="5"/>
  <c r="AO153" i="5"/>
  <c r="AP153" i="5"/>
  <c r="AP152" i="5"/>
  <c r="AO152" i="5"/>
  <c r="AO207" i="5"/>
  <c r="AP207" i="5"/>
  <c r="AP140" i="5"/>
  <c r="AO140" i="5"/>
  <c r="AP206" i="5"/>
  <c r="AO206" i="5"/>
  <c r="AO180" i="5"/>
  <c r="AP180" i="5"/>
  <c r="AP86" i="5"/>
  <c r="AO86" i="5"/>
  <c r="AP68" i="5"/>
  <c r="AO68" i="5"/>
  <c r="AP104" i="5"/>
  <c r="AO104" i="5"/>
  <c r="AP122" i="5"/>
  <c r="AO122" i="5"/>
  <c r="AP216" i="5"/>
  <c r="AO216" i="5"/>
  <c r="AP194" i="5"/>
  <c r="AO194" i="5"/>
  <c r="AP171" i="5"/>
  <c r="AO171" i="5"/>
  <c r="AP149" i="5"/>
  <c r="AO149" i="5"/>
  <c r="AP116" i="5"/>
  <c r="AO116" i="5"/>
  <c r="AO225" i="5"/>
  <c r="AP225" i="5"/>
  <c r="AP203" i="5"/>
  <c r="AO203" i="5"/>
  <c r="AO37" i="5"/>
  <c r="AP37" i="5"/>
  <c r="AO29" i="5"/>
  <c r="AP29" i="5"/>
  <c r="AN195" i="5"/>
  <c r="AN141" i="5"/>
  <c r="AP45" i="5"/>
  <c r="AP36" i="5"/>
  <c r="AN28" i="5"/>
  <c r="AO20" i="5"/>
  <c r="AP20" i="5"/>
  <c r="AO11" i="5"/>
  <c r="AP11" i="5"/>
  <c r="AN127" i="5"/>
  <c r="AO46" i="5"/>
  <c r="AP46" i="5"/>
  <c r="AP201" i="5"/>
  <c r="AP174" i="5"/>
  <c r="AN154" i="5"/>
  <c r="AP147" i="5"/>
  <c r="AO126" i="5"/>
  <c r="AO119" i="5"/>
  <c r="AO83" i="5"/>
  <c r="AP83" i="5"/>
  <c r="AO19" i="5"/>
  <c r="AP19" i="5"/>
  <c r="AO10" i="5"/>
  <c r="AP10" i="5"/>
  <c r="AN222" i="5"/>
  <c r="AP228" i="5"/>
  <c r="AO228" i="5"/>
  <c r="AO201" i="5"/>
  <c r="AO174" i="5"/>
  <c r="AO147" i="5"/>
  <c r="AO133" i="5"/>
  <c r="AN105" i="5"/>
  <c r="AO82" i="5"/>
  <c r="AO53" i="5"/>
  <c r="AP18" i="5"/>
  <c r="AP111" i="5"/>
  <c r="AO9" i="5"/>
  <c r="AO227" i="5"/>
  <c r="AO200" i="5"/>
  <c r="AO173" i="5"/>
  <c r="AO146" i="5"/>
  <c r="AO132" i="5"/>
  <c r="AO125" i="5"/>
  <c r="AN118" i="5"/>
  <c r="AO111" i="5"/>
  <c r="AO89" i="5"/>
  <c r="AP67" i="5"/>
  <c r="AO26" i="5"/>
  <c r="AO43" i="5"/>
  <c r="AP43" i="5"/>
  <c r="AO34" i="5"/>
  <c r="AP34" i="5"/>
  <c r="AO212" i="5"/>
  <c r="AP192" i="5"/>
  <c r="AO185" i="5"/>
  <c r="AO158" i="5"/>
  <c r="AO138" i="5"/>
  <c r="AO124" i="5"/>
  <c r="AO95" i="5"/>
  <c r="AO88" i="5"/>
  <c r="AO51" i="5"/>
  <c r="AO42" i="5"/>
  <c r="AO25" i="5"/>
  <c r="AP25" i="5"/>
  <c r="AO16" i="5"/>
  <c r="AP16" i="5"/>
  <c r="AO7" i="5"/>
  <c r="AP7" i="5"/>
  <c r="AO151" i="5"/>
  <c r="AO137" i="5"/>
  <c r="AO65" i="5"/>
  <c r="AP65" i="5"/>
  <c r="AO50" i="5"/>
  <c r="AO41" i="5"/>
  <c r="AO92" i="5"/>
  <c r="AP92" i="5"/>
  <c r="AO48" i="5"/>
  <c r="AO47" i="5"/>
  <c r="AP47" i="5"/>
  <c r="AO74" i="5"/>
  <c r="AP74" i="5"/>
  <c r="AO218" i="5"/>
  <c r="AP211" i="5"/>
  <c r="AO191" i="5"/>
  <c r="AP184" i="5"/>
  <c r="AO164" i="5"/>
  <c r="AP157" i="5"/>
  <c r="AP94" i="5"/>
  <c r="AO64" i="5"/>
  <c r="AP57" i="5"/>
  <c r="AO32" i="5"/>
  <c r="AO5" i="5"/>
  <c r="AO231" i="5"/>
  <c r="AP129" i="5"/>
  <c r="AO101" i="5"/>
  <c r="AP101" i="5"/>
  <c r="AO79" i="5"/>
  <c r="AO23" i="5"/>
  <c r="AO14" i="5"/>
  <c r="AO17" i="5"/>
  <c r="AP17" i="5"/>
  <c r="AN204" i="5"/>
  <c r="AN177" i="5"/>
  <c r="AO170" i="5"/>
  <c r="AO163" i="5"/>
  <c r="AO143" i="5"/>
  <c r="AO115" i="5"/>
  <c r="AO100" i="5"/>
  <c r="AP93" i="5"/>
  <c r="AP49" i="5"/>
  <c r="AP40" i="5"/>
  <c r="AO38" i="5"/>
  <c r="AP38" i="5"/>
  <c r="AO8" i="5"/>
  <c r="AP8" i="5"/>
  <c r="AP210" i="5"/>
  <c r="AN190" i="5"/>
  <c r="AP183" i="5"/>
  <c r="AP156" i="5"/>
  <c r="AP135" i="5"/>
  <c r="AO78" i="5"/>
  <c r="AO56" i="5"/>
  <c r="AP56" i="5"/>
  <c r="AP31" i="5"/>
  <c r="AP4" i="5"/>
  <c r="AN139" i="5"/>
  <c r="AO128" i="5"/>
  <c r="AP121" i="5"/>
  <c r="AO114" i="5"/>
  <c r="AO107" i="5"/>
  <c r="AP99" i="5"/>
  <c r="AP85" i="5"/>
  <c r="AO55" i="5"/>
  <c r="AP48" i="5"/>
  <c r="AP39" i="5"/>
  <c r="AP22" i="5"/>
  <c r="AP13" i="5"/>
  <c r="AP6" i="5"/>
  <c r="AV3" i="5"/>
  <c r="AW3" i="5" s="1"/>
  <c r="AR3" i="5"/>
  <c r="BB3" i="5"/>
  <c r="BA3" i="5"/>
  <c r="AT3" i="5"/>
  <c r="AS3" i="5"/>
  <c r="AO3" i="5"/>
  <c r="AP3" i="5"/>
  <c r="AK159" i="5"/>
  <c r="AL159" i="5"/>
  <c r="AK168" i="5"/>
  <c r="AL168" i="5"/>
  <c r="AK93" i="5"/>
  <c r="AL93" i="5"/>
  <c r="AK123" i="5"/>
  <c r="AL123" i="5"/>
  <c r="AK42" i="5"/>
  <c r="AL42" i="5"/>
  <c r="AL188" i="5"/>
  <c r="AK188" i="5"/>
  <c r="AK177" i="5"/>
  <c r="AL177" i="5"/>
  <c r="AK141" i="5"/>
  <c r="AL141" i="5"/>
  <c r="AK132" i="5"/>
  <c r="AL132" i="5"/>
  <c r="AK71" i="5"/>
  <c r="AL71" i="5"/>
  <c r="AL30" i="5"/>
  <c r="AK30" i="5"/>
  <c r="AK165" i="5"/>
  <c r="AL165" i="5"/>
  <c r="AL210" i="5"/>
  <c r="AK210" i="5"/>
  <c r="AK186" i="5"/>
  <c r="AL186" i="5"/>
  <c r="AK120" i="5"/>
  <c r="AL120" i="5"/>
  <c r="AK60" i="5"/>
  <c r="AL60" i="5"/>
  <c r="AL174" i="5"/>
  <c r="AK174" i="5"/>
  <c r="AL119" i="5"/>
  <c r="AK119" i="5"/>
  <c r="AL110" i="5"/>
  <c r="AK110" i="5"/>
  <c r="AK89" i="5"/>
  <c r="AL89" i="5"/>
  <c r="AK147" i="5"/>
  <c r="AL147" i="5"/>
  <c r="AK222" i="5"/>
  <c r="AL222" i="5"/>
  <c r="AK98" i="5"/>
  <c r="AL98" i="5"/>
  <c r="AK48" i="5"/>
  <c r="AL48" i="5"/>
  <c r="AK26" i="5"/>
  <c r="AL26" i="5"/>
  <c r="AL231" i="5"/>
  <c r="AK231" i="5"/>
  <c r="AL204" i="5"/>
  <c r="AK204" i="5"/>
  <c r="AK183" i="5"/>
  <c r="AL183" i="5"/>
  <c r="AK101" i="5"/>
  <c r="AL101" i="5"/>
  <c r="AL182" i="5"/>
  <c r="AK182" i="5"/>
  <c r="AK107" i="5"/>
  <c r="AL107" i="5"/>
  <c r="AK39" i="5"/>
  <c r="AL39" i="5"/>
  <c r="AL116" i="5"/>
  <c r="AK116" i="5"/>
  <c r="AL66" i="5"/>
  <c r="AK66" i="5"/>
  <c r="AK44" i="5"/>
  <c r="AL44" i="5"/>
  <c r="AK96" i="5"/>
  <c r="AL96" i="5"/>
  <c r="AK75" i="5"/>
  <c r="AL75" i="5"/>
  <c r="AK228" i="5"/>
  <c r="AL228" i="5"/>
  <c r="AK192" i="5"/>
  <c r="AL192" i="5"/>
  <c r="AL125" i="5"/>
  <c r="AK125" i="5"/>
  <c r="AL102" i="5"/>
  <c r="AK35" i="5"/>
  <c r="AL35" i="5"/>
  <c r="AK20" i="5"/>
  <c r="AL20" i="5"/>
  <c r="AL216" i="5"/>
  <c r="AK197" i="5"/>
  <c r="AK191" i="5"/>
  <c r="AK185" i="5"/>
  <c r="AL135" i="5"/>
  <c r="AK135" i="5"/>
  <c r="AK81" i="5"/>
  <c r="AL81" i="5"/>
  <c r="AK58" i="5"/>
  <c r="AL58" i="5"/>
  <c r="AK229" i="5"/>
  <c r="AL229" i="5"/>
  <c r="AK80" i="5"/>
  <c r="AL80" i="5"/>
  <c r="AL27" i="5"/>
  <c r="AK27" i="5"/>
  <c r="AK11" i="5"/>
  <c r="AL11" i="5"/>
  <c r="AK215" i="5"/>
  <c r="AK209" i="5"/>
  <c r="AK203" i="5"/>
  <c r="AL153" i="5"/>
  <c r="AK65" i="5"/>
  <c r="AL65" i="5"/>
  <c r="AK166" i="5"/>
  <c r="AL166" i="5"/>
  <c r="AL196" i="5"/>
  <c r="AL190" i="5"/>
  <c r="AK121" i="5"/>
  <c r="AL121" i="5"/>
  <c r="AL114" i="5"/>
  <c r="AK108" i="5"/>
  <c r="AL108" i="5"/>
  <c r="AK94" i="5"/>
  <c r="AL94" i="5"/>
  <c r="AL79" i="5"/>
  <c r="AL72" i="5"/>
  <c r="AK72" i="5"/>
  <c r="AK49" i="5"/>
  <c r="AL49" i="5"/>
  <c r="AL10" i="5"/>
  <c r="AK184" i="5"/>
  <c r="AL184" i="5"/>
  <c r="AK227" i="5"/>
  <c r="AK221" i="5"/>
  <c r="AL171" i="5"/>
  <c r="AK152" i="5"/>
  <c r="AK146" i="5"/>
  <c r="AL33" i="5"/>
  <c r="AL18" i="5"/>
  <c r="AK18" i="5"/>
  <c r="AK56" i="5"/>
  <c r="AL56" i="5"/>
  <c r="AK17" i="5"/>
  <c r="AL17" i="5"/>
  <c r="AL189" i="5"/>
  <c r="AK170" i="5"/>
  <c r="AK164" i="5"/>
  <c r="AK158" i="5"/>
  <c r="AL78" i="5"/>
  <c r="AK40" i="5"/>
  <c r="AL40" i="5"/>
  <c r="AL9" i="5"/>
  <c r="AK9" i="5"/>
  <c r="AK139" i="5"/>
  <c r="AL139" i="5"/>
  <c r="AK126" i="5"/>
  <c r="AL126" i="5"/>
  <c r="AK157" i="5"/>
  <c r="AL157" i="5"/>
  <c r="AK77" i="5"/>
  <c r="AL69" i="5"/>
  <c r="AK31" i="5"/>
  <c r="AL31" i="5"/>
  <c r="AL15" i="5"/>
  <c r="AL7" i="5"/>
  <c r="AK99" i="5"/>
  <c r="AL99" i="5"/>
  <c r="AK92" i="5"/>
  <c r="AL92" i="5"/>
  <c r="AK85" i="5"/>
  <c r="AL85" i="5"/>
  <c r="AK220" i="5"/>
  <c r="AL220" i="5"/>
  <c r="AK8" i="5"/>
  <c r="AL8" i="5"/>
  <c r="AL54" i="5"/>
  <c r="AK54" i="5"/>
  <c r="AK22" i="5"/>
  <c r="AL22" i="5"/>
  <c r="AK202" i="5"/>
  <c r="AL202" i="5"/>
  <c r="AL63" i="5"/>
  <c r="AK63" i="5"/>
  <c r="AK193" i="5"/>
  <c r="AL193" i="5"/>
  <c r="AK90" i="5"/>
  <c r="AL90" i="5"/>
  <c r="AK83" i="5"/>
  <c r="AL83" i="5"/>
  <c r="AL45" i="5"/>
  <c r="AK45" i="5"/>
  <c r="AK47" i="5"/>
  <c r="AL47" i="5"/>
  <c r="AK175" i="5"/>
  <c r="AL175" i="5"/>
  <c r="AK53" i="5"/>
  <c r="AL53" i="5"/>
  <c r="AK38" i="5"/>
  <c r="AL38" i="5"/>
  <c r="AL180" i="5"/>
  <c r="AK130" i="5"/>
  <c r="AL130" i="5"/>
  <c r="AL117" i="5"/>
  <c r="AK117" i="5"/>
  <c r="AK29" i="5"/>
  <c r="AL29" i="5"/>
  <c r="AK13" i="5"/>
  <c r="AL13" i="5"/>
  <c r="AK62" i="5"/>
  <c r="AL62" i="5"/>
  <c r="AL223" i="5"/>
  <c r="AL217" i="5"/>
  <c r="AL82" i="5"/>
  <c r="AK67" i="5"/>
  <c r="AL67" i="5"/>
  <c r="AL12" i="5"/>
  <c r="AK148" i="5"/>
  <c r="AL148" i="5"/>
  <c r="AK112" i="5"/>
  <c r="AL112" i="5"/>
  <c r="AK76" i="5"/>
  <c r="AL76" i="5"/>
  <c r="AK211" i="5"/>
  <c r="AL211" i="5"/>
  <c r="AL142" i="5"/>
  <c r="AL136" i="5"/>
  <c r="AL129" i="5"/>
  <c r="AL198" i="5"/>
  <c r="AK179" i="5"/>
  <c r="AK173" i="5"/>
  <c r="AK167" i="5"/>
  <c r="AK103" i="5"/>
  <c r="AL103" i="5"/>
  <c r="AK74" i="5"/>
  <c r="AL74" i="5"/>
  <c r="AL51" i="5"/>
  <c r="AL36" i="5"/>
  <c r="AK36" i="5"/>
  <c r="AK4" i="5"/>
  <c r="AL4" i="5"/>
  <c r="AL59" i="5"/>
  <c r="AL50" i="5"/>
  <c r="AL41" i="5"/>
  <c r="AL32" i="5"/>
  <c r="AL23" i="5"/>
  <c r="AL14" i="5"/>
  <c r="AL5" i="5"/>
  <c r="AL3" i="5"/>
  <c r="AH232" i="5"/>
  <c r="AG232" i="5"/>
  <c r="AG218" i="5"/>
  <c r="AH218" i="5"/>
  <c r="AG165" i="5"/>
  <c r="AH165" i="5"/>
  <c r="AG56" i="5"/>
  <c r="AH56" i="5"/>
  <c r="AH217" i="5"/>
  <c r="AG217" i="5"/>
  <c r="AH178" i="5"/>
  <c r="AG178" i="5"/>
  <c r="AG164" i="5"/>
  <c r="AH164" i="5"/>
  <c r="AG136" i="5"/>
  <c r="AH136" i="5"/>
  <c r="AH109" i="5"/>
  <c r="AG109" i="5"/>
  <c r="AH82" i="5"/>
  <c r="AG82" i="5"/>
  <c r="AG55" i="5"/>
  <c r="AH55" i="5"/>
  <c r="AH28" i="5"/>
  <c r="AG28" i="5"/>
  <c r="AG167" i="5"/>
  <c r="AH167" i="5"/>
  <c r="AH205" i="5"/>
  <c r="AG205" i="5"/>
  <c r="AH193" i="5"/>
  <c r="AG193" i="5"/>
  <c r="AG29" i="5"/>
  <c r="AH29" i="5"/>
  <c r="AH216" i="5"/>
  <c r="AG216" i="5"/>
  <c r="AG163" i="5"/>
  <c r="AH163" i="5"/>
  <c r="AG135" i="5"/>
  <c r="AH135" i="5"/>
  <c r="AG122" i="5"/>
  <c r="AH122" i="5"/>
  <c r="AG108" i="5"/>
  <c r="AH108" i="5"/>
  <c r="AG95" i="5"/>
  <c r="AH95" i="5"/>
  <c r="AG81" i="5"/>
  <c r="AH81" i="5"/>
  <c r="AG68" i="5"/>
  <c r="AH68" i="5"/>
  <c r="AG54" i="5"/>
  <c r="AH54" i="5"/>
  <c r="AG41" i="5"/>
  <c r="AH41" i="5"/>
  <c r="AG27" i="5"/>
  <c r="AH27" i="5"/>
  <c r="AG14" i="5"/>
  <c r="AH14" i="5"/>
  <c r="AG83" i="5"/>
  <c r="AH83" i="5"/>
  <c r="AG215" i="5"/>
  <c r="AH215" i="5"/>
  <c r="AG203" i="5"/>
  <c r="AH203" i="5"/>
  <c r="AG191" i="5"/>
  <c r="AH191" i="5"/>
  <c r="AG162" i="5"/>
  <c r="AH162" i="5"/>
  <c r="AG149" i="5"/>
  <c r="AH149" i="5"/>
  <c r="AG134" i="5"/>
  <c r="AH134" i="5"/>
  <c r="AG121" i="5"/>
  <c r="AH121" i="5"/>
  <c r="AH107" i="5"/>
  <c r="AG107" i="5"/>
  <c r="AG94" i="5"/>
  <c r="AH94" i="5"/>
  <c r="AH80" i="5"/>
  <c r="AG80" i="5"/>
  <c r="AG67" i="5"/>
  <c r="AH67" i="5"/>
  <c r="AH53" i="5"/>
  <c r="AG53" i="5"/>
  <c r="AG40" i="5"/>
  <c r="AH40" i="5"/>
  <c r="AG26" i="5"/>
  <c r="AH26" i="5"/>
  <c r="AG13" i="5"/>
  <c r="AH13" i="5"/>
  <c r="AG220" i="5"/>
  <c r="AH220" i="5"/>
  <c r="AG194" i="5"/>
  <c r="AH194" i="5"/>
  <c r="AH152" i="5"/>
  <c r="AG152" i="5"/>
  <c r="AG124" i="5"/>
  <c r="AH124" i="5"/>
  <c r="AH16" i="5"/>
  <c r="AG16" i="5"/>
  <c r="AG219" i="5"/>
  <c r="AH219" i="5"/>
  <c r="AG110" i="5"/>
  <c r="AH110" i="5"/>
  <c r="AG179" i="5"/>
  <c r="AH179" i="5"/>
  <c r="AH214" i="5"/>
  <c r="AG214" i="5"/>
  <c r="AG190" i="5"/>
  <c r="AH190" i="5"/>
  <c r="AG148" i="5"/>
  <c r="AH148" i="5"/>
  <c r="AH133" i="5"/>
  <c r="AG133" i="5"/>
  <c r="AH79" i="5"/>
  <c r="AG79" i="5"/>
  <c r="AG52" i="5"/>
  <c r="AH52" i="5"/>
  <c r="AG229" i="5"/>
  <c r="AH229" i="5"/>
  <c r="AG189" i="5"/>
  <c r="AH189" i="5"/>
  <c r="AG176" i="5"/>
  <c r="AH176" i="5"/>
  <c r="AH160" i="5"/>
  <c r="AG160" i="5"/>
  <c r="AG206" i="5"/>
  <c r="AH206" i="5"/>
  <c r="AG181" i="5"/>
  <c r="AH181" i="5"/>
  <c r="AG139" i="5"/>
  <c r="AH139" i="5"/>
  <c r="AH43" i="5"/>
  <c r="AG43" i="5"/>
  <c r="AG137" i="5"/>
  <c r="AH137" i="5"/>
  <c r="AG230" i="5"/>
  <c r="AH230" i="5"/>
  <c r="AG202" i="5"/>
  <c r="AH202" i="5"/>
  <c r="AG161" i="5"/>
  <c r="AH161" i="5"/>
  <c r="AH106" i="5"/>
  <c r="AG106" i="5"/>
  <c r="AH25" i="5"/>
  <c r="AG25" i="5"/>
  <c r="AG228" i="5"/>
  <c r="AH228" i="5"/>
  <c r="AG188" i="5"/>
  <c r="AH188" i="5"/>
  <c r="AG175" i="5"/>
  <c r="AH175" i="5"/>
  <c r="AG119" i="5"/>
  <c r="AH119" i="5"/>
  <c r="AG92" i="5"/>
  <c r="AH92" i="5"/>
  <c r="AG65" i="5"/>
  <c r="AH65" i="5"/>
  <c r="AG38" i="5"/>
  <c r="AH38" i="5"/>
  <c r="AG11" i="5"/>
  <c r="AH11" i="5"/>
  <c r="AG227" i="5"/>
  <c r="AH227" i="5"/>
  <c r="AH187" i="5"/>
  <c r="AG187" i="5"/>
  <c r="AG174" i="5"/>
  <c r="AH174" i="5"/>
  <c r="AG146" i="5"/>
  <c r="AH146" i="5"/>
  <c r="AG118" i="5"/>
  <c r="AH118" i="5"/>
  <c r="AH91" i="5"/>
  <c r="AG91" i="5"/>
  <c r="AG64" i="5"/>
  <c r="AH64" i="5"/>
  <c r="AH37" i="5"/>
  <c r="AG37" i="5"/>
  <c r="AG10" i="5"/>
  <c r="AH10" i="5"/>
  <c r="AG138" i="5"/>
  <c r="AH138" i="5"/>
  <c r="AG226" i="5"/>
  <c r="AH226" i="5"/>
  <c r="AG212" i="5"/>
  <c r="AH212" i="5"/>
  <c r="AG200" i="5"/>
  <c r="AH200" i="5"/>
  <c r="AG173" i="5"/>
  <c r="AH173" i="5"/>
  <c r="AG145" i="5"/>
  <c r="AH145" i="5"/>
  <c r="AG131" i="5"/>
  <c r="AH131" i="5"/>
  <c r="AG117" i="5"/>
  <c r="AH117" i="5"/>
  <c r="AG104" i="5"/>
  <c r="AH104" i="5"/>
  <c r="AG90" i="5"/>
  <c r="AH90" i="5"/>
  <c r="AG77" i="5"/>
  <c r="AH77" i="5"/>
  <c r="AG63" i="5"/>
  <c r="AH63" i="5"/>
  <c r="AG50" i="5"/>
  <c r="AH50" i="5"/>
  <c r="AG36" i="5"/>
  <c r="AH36" i="5"/>
  <c r="AG23" i="5"/>
  <c r="AH23" i="5"/>
  <c r="AG9" i="5"/>
  <c r="AH9" i="5"/>
  <c r="AH225" i="5"/>
  <c r="AG225" i="5"/>
  <c r="AH211" i="5"/>
  <c r="AG211" i="5"/>
  <c r="AG199" i="5"/>
  <c r="AH199" i="5"/>
  <c r="AH172" i="5"/>
  <c r="AG172" i="5"/>
  <c r="AG158" i="5"/>
  <c r="AH158" i="5"/>
  <c r="AG144" i="5"/>
  <c r="AH144" i="5"/>
  <c r="AG130" i="5"/>
  <c r="AH130" i="5"/>
  <c r="AG116" i="5"/>
  <c r="AH116" i="5"/>
  <c r="AG103" i="5"/>
  <c r="AH103" i="5"/>
  <c r="AG89" i="5"/>
  <c r="AH89" i="5"/>
  <c r="AG76" i="5"/>
  <c r="AH76" i="5"/>
  <c r="AG62" i="5"/>
  <c r="AH62" i="5"/>
  <c r="AG49" i="5"/>
  <c r="AH49" i="5"/>
  <c r="AH35" i="5"/>
  <c r="AG35" i="5"/>
  <c r="AG22" i="5"/>
  <c r="AH22" i="5"/>
  <c r="AH8" i="5"/>
  <c r="AG8" i="5"/>
  <c r="AH151" i="5"/>
  <c r="AG151" i="5"/>
  <c r="AG224" i="5"/>
  <c r="AH224" i="5"/>
  <c r="AG198" i="5"/>
  <c r="AH198" i="5"/>
  <c r="AG171" i="5"/>
  <c r="AH171" i="5"/>
  <c r="AG157" i="5"/>
  <c r="AH157" i="5"/>
  <c r="AG143" i="5"/>
  <c r="AH143" i="5"/>
  <c r="AH115" i="5"/>
  <c r="AG115" i="5"/>
  <c r="AH88" i="5"/>
  <c r="AG88" i="5"/>
  <c r="AH61" i="5"/>
  <c r="AG61" i="5"/>
  <c r="AH34" i="5"/>
  <c r="AG34" i="5"/>
  <c r="AH7" i="5"/>
  <c r="AG7" i="5"/>
  <c r="AG223" i="5"/>
  <c r="AH223" i="5"/>
  <c r="AG197" i="5"/>
  <c r="AH197" i="5"/>
  <c r="AG185" i="5"/>
  <c r="AH185" i="5"/>
  <c r="AH170" i="5"/>
  <c r="AG170" i="5"/>
  <c r="AH142" i="5"/>
  <c r="AG142" i="5"/>
  <c r="AH180" i="5"/>
  <c r="AG180" i="5"/>
  <c r="AH97" i="5"/>
  <c r="AG97" i="5"/>
  <c r="AG196" i="5"/>
  <c r="AH196" i="5"/>
  <c r="AG184" i="5"/>
  <c r="AH184" i="5"/>
  <c r="AH169" i="5"/>
  <c r="AG169" i="5"/>
  <c r="AG128" i="5"/>
  <c r="AH128" i="5"/>
  <c r="AG101" i="5"/>
  <c r="AH101" i="5"/>
  <c r="AG74" i="5"/>
  <c r="AH74" i="5"/>
  <c r="AG47" i="5"/>
  <c r="AH47" i="5"/>
  <c r="AG20" i="5"/>
  <c r="AH20" i="5"/>
  <c r="AG209" i="5"/>
  <c r="AH209" i="5"/>
  <c r="AG155" i="5"/>
  <c r="AH155" i="5"/>
  <c r="AG127" i="5"/>
  <c r="AH127" i="5"/>
  <c r="AG100" i="5"/>
  <c r="AH100" i="5"/>
  <c r="AG73" i="5"/>
  <c r="AH73" i="5"/>
  <c r="AH46" i="5"/>
  <c r="AG46" i="5"/>
  <c r="AH19" i="5"/>
  <c r="AG19" i="5"/>
  <c r="AH70" i="5"/>
  <c r="AG70" i="5"/>
  <c r="AG208" i="5"/>
  <c r="AH208" i="5"/>
  <c r="AG154" i="5"/>
  <c r="AH154" i="5"/>
  <c r="AG126" i="5"/>
  <c r="AH126" i="5"/>
  <c r="AG113" i="5"/>
  <c r="AH113" i="5"/>
  <c r="AG99" i="5"/>
  <c r="AH99" i="5"/>
  <c r="AG86" i="5"/>
  <c r="AH86" i="5"/>
  <c r="AG72" i="5"/>
  <c r="AH72" i="5"/>
  <c r="AG59" i="5"/>
  <c r="AH59" i="5"/>
  <c r="AG45" i="5"/>
  <c r="AH45" i="5"/>
  <c r="AG32" i="5"/>
  <c r="AH32" i="5"/>
  <c r="AG18" i="5"/>
  <c r="AH18" i="5"/>
  <c r="AG5" i="5"/>
  <c r="AH5" i="5"/>
  <c r="AG166" i="5"/>
  <c r="AH166" i="5"/>
  <c r="AG221" i="5"/>
  <c r="AH221" i="5"/>
  <c r="AG207" i="5"/>
  <c r="AH207" i="5"/>
  <c r="AG182" i="5"/>
  <c r="AH182" i="5"/>
  <c r="AG153" i="5"/>
  <c r="AH153" i="5"/>
  <c r="AG140" i="5"/>
  <c r="AH140" i="5"/>
  <c r="AH125" i="5"/>
  <c r="AG125" i="5"/>
  <c r="AG112" i="5"/>
  <c r="AH112" i="5"/>
  <c r="AG98" i="5"/>
  <c r="AH98" i="5"/>
  <c r="AG85" i="5"/>
  <c r="AH85" i="5"/>
  <c r="AG71" i="5"/>
  <c r="AH71" i="5"/>
  <c r="AG58" i="5"/>
  <c r="AH58" i="5"/>
  <c r="AG44" i="5"/>
  <c r="AH44" i="5"/>
  <c r="AG31" i="5"/>
  <c r="AH31" i="5"/>
  <c r="AG17" i="5"/>
  <c r="AH17" i="5"/>
  <c r="AG4" i="5"/>
  <c r="AH4" i="5"/>
  <c r="AH183" i="5"/>
  <c r="AH156" i="5"/>
  <c r="AH147" i="5"/>
  <c r="AH129" i="5"/>
  <c r="AH120" i="5"/>
  <c r="AH111" i="5"/>
  <c r="AH102" i="5"/>
  <c r="AH93" i="5"/>
  <c r="AH84" i="5"/>
  <c r="AH75" i="5"/>
  <c r="AH66" i="5"/>
  <c r="AH57" i="5"/>
  <c r="AH48" i="5"/>
  <c r="AH39" i="5"/>
  <c r="AH30" i="5"/>
  <c r="AH21" i="5"/>
  <c r="AH12" i="5"/>
  <c r="AH3" i="5"/>
  <c r="AX231" i="7"/>
  <c r="AW231" i="7"/>
  <c r="AW213" i="7"/>
  <c r="AX213" i="7"/>
  <c r="AW195" i="7"/>
  <c r="AX195" i="7"/>
  <c r="AX177" i="7"/>
  <c r="AW177" i="7"/>
  <c r="AW159" i="7"/>
  <c r="AX159" i="7"/>
  <c r="AW141" i="7"/>
  <c r="AX141" i="7"/>
  <c r="AW123" i="7"/>
  <c r="AX123" i="7"/>
  <c r="AW105" i="7"/>
  <c r="AX105" i="7"/>
  <c r="AW87" i="7"/>
  <c r="AX87" i="7"/>
  <c r="AW69" i="7"/>
  <c r="AX69" i="7"/>
  <c r="AW53" i="7"/>
  <c r="AX53" i="7"/>
  <c r="AW33" i="7"/>
  <c r="AX33" i="7"/>
  <c r="AW22" i="7"/>
  <c r="AX22" i="7"/>
  <c r="AW230" i="7"/>
  <c r="AX230" i="7"/>
  <c r="AW212" i="7"/>
  <c r="AX212" i="7"/>
  <c r="AW194" i="7"/>
  <c r="AX194" i="7"/>
  <c r="AW176" i="7"/>
  <c r="AX176" i="7"/>
  <c r="AW158" i="7"/>
  <c r="AX158" i="7"/>
  <c r="AW140" i="7"/>
  <c r="AX140" i="7"/>
  <c r="AW122" i="7"/>
  <c r="AX122" i="7"/>
  <c r="AW104" i="7"/>
  <c r="AX104" i="7"/>
  <c r="AW86" i="7"/>
  <c r="AX86" i="7"/>
  <c r="AW68" i="7"/>
  <c r="AX68" i="7"/>
  <c r="AW32" i="7"/>
  <c r="AX32" i="7"/>
  <c r="AW211" i="7"/>
  <c r="AX211" i="7"/>
  <c r="AW157" i="7"/>
  <c r="AX157" i="7"/>
  <c r="AW121" i="7"/>
  <c r="AX121" i="7"/>
  <c r="AW85" i="7"/>
  <c r="AX85" i="7"/>
  <c r="AW42" i="7"/>
  <c r="AX42" i="7"/>
  <c r="AW228" i="7"/>
  <c r="AX228" i="7"/>
  <c r="AW210" i="7"/>
  <c r="AX210" i="7"/>
  <c r="AW192" i="7"/>
  <c r="AX192" i="7"/>
  <c r="AW174" i="7"/>
  <c r="AX174" i="7"/>
  <c r="AW156" i="7"/>
  <c r="AX156" i="7"/>
  <c r="AW138" i="7"/>
  <c r="AX138" i="7"/>
  <c r="AW120" i="7"/>
  <c r="AX120" i="7"/>
  <c r="AW102" i="7"/>
  <c r="AX102" i="7"/>
  <c r="AW84" i="7"/>
  <c r="AX84" i="7"/>
  <c r="AW66" i="7"/>
  <c r="AX66" i="7"/>
  <c r="AW41" i="7"/>
  <c r="AX41" i="7"/>
  <c r="AW229" i="7"/>
  <c r="AX229" i="7"/>
  <c r="AW193" i="7"/>
  <c r="AX193" i="7"/>
  <c r="AW139" i="7"/>
  <c r="AX139" i="7"/>
  <c r="AW103" i="7"/>
  <c r="AX103" i="7"/>
  <c r="AW67" i="7"/>
  <c r="AX67" i="7"/>
  <c r="AW31" i="7"/>
  <c r="AX31" i="7"/>
  <c r="AW227" i="7"/>
  <c r="AX227" i="7"/>
  <c r="AW209" i="7"/>
  <c r="AX209" i="7"/>
  <c r="AW191" i="7"/>
  <c r="AX191" i="7"/>
  <c r="AW173" i="7"/>
  <c r="AX173" i="7"/>
  <c r="AW155" i="7"/>
  <c r="AX155" i="7"/>
  <c r="AW137" i="7"/>
  <c r="AX137" i="7"/>
  <c r="AW119" i="7"/>
  <c r="AX119" i="7"/>
  <c r="AW101" i="7"/>
  <c r="AX101" i="7"/>
  <c r="AW83" i="7"/>
  <c r="AX83" i="7"/>
  <c r="AW65" i="7"/>
  <c r="AX65" i="7"/>
  <c r="AW51" i="7"/>
  <c r="AX51" i="7"/>
  <c r="AW40" i="7"/>
  <c r="AX40" i="7"/>
  <c r="AW175" i="7"/>
  <c r="AX175" i="7"/>
  <c r="AX226" i="7"/>
  <c r="AW226" i="7"/>
  <c r="AW208" i="7"/>
  <c r="AX208" i="7"/>
  <c r="AW190" i="7"/>
  <c r="AX190" i="7"/>
  <c r="AX172" i="7"/>
  <c r="AW172" i="7"/>
  <c r="AW154" i="7"/>
  <c r="AX154" i="7"/>
  <c r="AW136" i="7"/>
  <c r="AX136" i="7"/>
  <c r="AW118" i="7"/>
  <c r="AX118" i="7"/>
  <c r="AW100" i="7"/>
  <c r="AX100" i="7"/>
  <c r="AW82" i="7"/>
  <c r="AX82" i="7"/>
  <c r="AW64" i="7"/>
  <c r="AX64" i="7"/>
  <c r="AW50" i="7"/>
  <c r="AX50" i="7"/>
  <c r="AW10" i="7"/>
  <c r="AX10" i="7"/>
  <c r="AW49" i="7"/>
  <c r="AX49" i="7"/>
  <c r="AX206" i="7"/>
  <c r="AW206" i="7"/>
  <c r="AX170" i="7"/>
  <c r="AW170" i="7"/>
  <c r="AX152" i="7"/>
  <c r="AW152" i="7"/>
  <c r="AX134" i="7"/>
  <c r="AW134" i="7"/>
  <c r="AW116" i="7"/>
  <c r="AX116" i="7"/>
  <c r="AW98" i="7"/>
  <c r="AX98" i="7"/>
  <c r="AW80" i="7"/>
  <c r="AX80" i="7"/>
  <c r="AW62" i="7"/>
  <c r="AX62" i="7"/>
  <c r="AW223" i="7"/>
  <c r="AX223" i="7"/>
  <c r="AW205" i="7"/>
  <c r="AX205" i="7"/>
  <c r="AW187" i="7"/>
  <c r="AX187" i="7"/>
  <c r="AW169" i="7"/>
  <c r="AX169" i="7"/>
  <c r="AW151" i="7"/>
  <c r="AX151" i="7"/>
  <c r="AW133" i="7"/>
  <c r="AX133" i="7"/>
  <c r="AW115" i="7"/>
  <c r="AX115" i="7"/>
  <c r="AW97" i="7"/>
  <c r="AX97" i="7"/>
  <c r="AW79" i="7"/>
  <c r="AX79" i="7"/>
  <c r="AW61" i="7"/>
  <c r="AX61" i="7"/>
  <c r="AW28" i="7"/>
  <c r="AX28" i="7"/>
  <c r="AX8" i="7"/>
  <c r="AW8" i="7"/>
  <c r="AW63" i="7"/>
  <c r="AX63" i="7"/>
  <c r="AW224" i="7"/>
  <c r="AX224" i="7"/>
  <c r="AX188" i="7"/>
  <c r="AW188" i="7"/>
  <c r="AW222" i="7"/>
  <c r="AX222" i="7"/>
  <c r="AW204" i="7"/>
  <c r="AX204" i="7"/>
  <c r="AW186" i="7"/>
  <c r="AX186" i="7"/>
  <c r="AW168" i="7"/>
  <c r="AX168" i="7"/>
  <c r="AW150" i="7"/>
  <c r="AX150" i="7"/>
  <c r="AW132" i="7"/>
  <c r="AX132" i="7"/>
  <c r="AW114" i="7"/>
  <c r="AX114" i="7"/>
  <c r="AW96" i="7"/>
  <c r="AX96" i="7"/>
  <c r="AW78" i="7"/>
  <c r="AX78" i="7"/>
  <c r="AW60" i="7"/>
  <c r="AX60" i="7"/>
  <c r="AW17" i="7"/>
  <c r="AX17" i="7"/>
  <c r="AW189" i="7"/>
  <c r="AX189" i="7"/>
  <c r="AW153" i="7"/>
  <c r="AX153" i="7"/>
  <c r="AW117" i="7"/>
  <c r="AX117" i="7"/>
  <c r="AW81" i="7"/>
  <c r="AX81" i="7"/>
  <c r="AW19" i="7"/>
  <c r="AX19" i="7"/>
  <c r="AW166" i="7"/>
  <c r="AX166" i="7"/>
  <c r="AW219" i="7"/>
  <c r="AX219" i="7"/>
  <c r="AW201" i="7"/>
  <c r="AX201" i="7"/>
  <c r="AW183" i="7"/>
  <c r="AX183" i="7"/>
  <c r="AW165" i="7"/>
  <c r="AX165" i="7"/>
  <c r="AW129" i="7"/>
  <c r="AX129" i="7"/>
  <c r="AW111" i="7"/>
  <c r="AX111" i="7"/>
  <c r="AW93" i="7"/>
  <c r="AX93" i="7"/>
  <c r="AW75" i="7"/>
  <c r="AX75" i="7"/>
  <c r="AW46" i="7"/>
  <c r="AX46" i="7"/>
  <c r="AW218" i="7"/>
  <c r="AX218" i="7"/>
  <c r="AW200" i="7"/>
  <c r="AX200" i="7"/>
  <c r="AW182" i="7"/>
  <c r="AX182" i="7"/>
  <c r="AW164" i="7"/>
  <c r="AX164" i="7"/>
  <c r="AW146" i="7"/>
  <c r="AX146" i="7"/>
  <c r="AW128" i="7"/>
  <c r="AX128" i="7"/>
  <c r="AW110" i="7"/>
  <c r="AX110" i="7"/>
  <c r="AW92" i="7"/>
  <c r="AX92" i="7"/>
  <c r="AW74" i="7"/>
  <c r="AX74" i="7"/>
  <c r="AW15" i="7"/>
  <c r="AX15" i="7"/>
  <c r="AW171" i="7"/>
  <c r="AX171" i="7"/>
  <c r="AW99" i="7"/>
  <c r="AX99" i="7"/>
  <c r="AW149" i="7"/>
  <c r="AX149" i="7"/>
  <c r="AW220" i="7"/>
  <c r="AX220" i="7"/>
  <c r="AW184" i="7"/>
  <c r="AX184" i="7"/>
  <c r="AW130" i="7"/>
  <c r="AX130" i="7"/>
  <c r="AW112" i="7"/>
  <c r="AX112" i="7"/>
  <c r="AW94" i="7"/>
  <c r="AX94" i="7"/>
  <c r="AW76" i="7"/>
  <c r="AX76" i="7"/>
  <c r="AW58" i="7"/>
  <c r="AX58" i="7"/>
  <c r="AW217" i="7"/>
  <c r="AX217" i="7"/>
  <c r="AW199" i="7"/>
  <c r="AX199" i="7"/>
  <c r="AW181" i="7"/>
  <c r="AX181" i="7"/>
  <c r="AW163" i="7"/>
  <c r="AX163" i="7"/>
  <c r="AX145" i="7"/>
  <c r="AW145" i="7"/>
  <c r="AW127" i="7"/>
  <c r="AX127" i="7"/>
  <c r="AW109" i="7"/>
  <c r="AX109" i="7"/>
  <c r="AW91" i="7"/>
  <c r="AX91" i="7"/>
  <c r="AW73" i="7"/>
  <c r="AX73" i="7"/>
  <c r="AW35" i="7"/>
  <c r="AX35" i="7"/>
  <c r="AW225" i="7"/>
  <c r="AX225" i="7"/>
  <c r="AW203" i="7"/>
  <c r="AX203" i="7"/>
  <c r="AW167" i="7"/>
  <c r="AX167" i="7"/>
  <c r="AW95" i="7"/>
  <c r="AX95" i="7"/>
  <c r="AW59" i="7"/>
  <c r="AX59" i="7"/>
  <c r="AW202" i="7"/>
  <c r="AX202" i="7"/>
  <c r="AW148" i="7"/>
  <c r="AX148" i="7"/>
  <c r="AW26" i="7"/>
  <c r="AX26" i="7"/>
  <c r="AW216" i="7"/>
  <c r="AX216" i="7"/>
  <c r="AW198" i="7"/>
  <c r="AX198" i="7"/>
  <c r="AW180" i="7"/>
  <c r="AX180" i="7"/>
  <c r="AW162" i="7"/>
  <c r="AX162" i="7"/>
  <c r="AW144" i="7"/>
  <c r="AX144" i="7"/>
  <c r="AW126" i="7"/>
  <c r="AX126" i="7"/>
  <c r="AW108" i="7"/>
  <c r="AX108" i="7"/>
  <c r="AW90" i="7"/>
  <c r="AX90" i="7"/>
  <c r="AW72" i="7"/>
  <c r="AX72" i="7"/>
  <c r="AW56" i="7"/>
  <c r="AX56" i="7"/>
  <c r="AX215" i="7"/>
  <c r="AW215" i="7"/>
  <c r="AW197" i="7"/>
  <c r="AX197" i="7"/>
  <c r="AW179" i="7"/>
  <c r="AX179" i="7"/>
  <c r="AX161" i="7"/>
  <c r="AW161" i="7"/>
  <c r="AX143" i="7"/>
  <c r="AW143" i="7"/>
  <c r="AX125" i="7"/>
  <c r="AW125" i="7"/>
  <c r="AW107" i="7"/>
  <c r="AX107" i="7"/>
  <c r="AW89" i="7"/>
  <c r="AX89" i="7"/>
  <c r="AW71" i="7"/>
  <c r="AX71" i="7"/>
  <c r="AW55" i="7"/>
  <c r="AX55" i="7"/>
  <c r="AW44" i="7"/>
  <c r="AX44" i="7"/>
  <c r="AW24" i="7"/>
  <c r="AX24" i="7"/>
  <c r="AW207" i="7"/>
  <c r="AX207" i="7"/>
  <c r="AW135" i="7"/>
  <c r="AX135" i="7"/>
  <c r="AW221" i="7"/>
  <c r="AX221" i="7"/>
  <c r="AW185" i="7"/>
  <c r="AX185" i="7"/>
  <c r="AW131" i="7"/>
  <c r="AX131" i="7"/>
  <c r="AW113" i="7"/>
  <c r="AX113" i="7"/>
  <c r="AW77" i="7"/>
  <c r="AX77" i="7"/>
  <c r="AW37" i="7"/>
  <c r="AX37" i="7"/>
  <c r="AW147" i="7"/>
  <c r="AX147" i="7"/>
  <c r="AW232" i="7"/>
  <c r="AX232" i="7"/>
  <c r="AW214" i="7"/>
  <c r="AX214" i="7"/>
  <c r="AW196" i="7"/>
  <c r="AX196" i="7"/>
  <c r="AW178" i="7"/>
  <c r="AX178" i="7"/>
  <c r="AW160" i="7"/>
  <c r="AX160" i="7"/>
  <c r="AW142" i="7"/>
  <c r="AX142" i="7"/>
  <c r="AW124" i="7"/>
  <c r="AX124" i="7"/>
  <c r="AW106" i="7"/>
  <c r="AX106" i="7"/>
  <c r="AW88" i="7"/>
  <c r="AX88" i="7"/>
  <c r="AW70" i="7"/>
  <c r="AX70" i="7"/>
  <c r="AW54" i="7"/>
  <c r="AX54" i="7"/>
  <c r="AW23" i="7"/>
  <c r="AX23" i="7"/>
  <c r="AW13" i="7"/>
  <c r="AX13" i="7"/>
  <c r="AW4" i="7"/>
  <c r="AX4" i="7"/>
  <c r="AX47" i="7"/>
  <c r="AX38" i="7"/>
  <c r="AX29" i="7"/>
  <c r="AX20" i="7"/>
  <c r="AX11" i="7"/>
  <c r="AX6" i="7"/>
  <c r="AX18" i="7"/>
  <c r="AX9" i="7"/>
  <c r="AS167" i="7"/>
  <c r="AT167" i="7"/>
  <c r="AS200" i="7"/>
  <c r="AT200" i="7"/>
  <c r="AS176" i="7"/>
  <c r="AT176" i="7"/>
  <c r="AT164" i="7"/>
  <c r="AS164" i="7"/>
  <c r="AS126" i="7"/>
  <c r="AT126" i="7"/>
  <c r="AS114" i="7"/>
  <c r="AT114" i="7"/>
  <c r="AS76" i="7"/>
  <c r="AT76" i="7"/>
  <c r="AS64" i="7"/>
  <c r="AT64" i="7"/>
  <c r="AS105" i="7"/>
  <c r="AT105" i="7"/>
  <c r="AS67" i="7"/>
  <c r="AT67" i="7"/>
  <c r="AT29" i="7"/>
  <c r="AS29" i="7"/>
  <c r="AS227" i="7"/>
  <c r="AT227" i="7"/>
  <c r="AS202" i="7"/>
  <c r="AT202" i="7"/>
  <c r="AT116" i="7"/>
  <c r="AS116" i="7"/>
  <c r="AS104" i="7"/>
  <c r="AT104" i="7"/>
  <c r="AT92" i="7"/>
  <c r="AS92" i="7"/>
  <c r="AS28" i="7"/>
  <c r="AT28" i="7"/>
  <c r="AS78" i="7"/>
  <c r="AT78" i="7"/>
  <c r="AS26" i="7"/>
  <c r="AT26" i="7"/>
  <c r="AS212" i="7"/>
  <c r="AT212" i="7"/>
  <c r="AS211" i="7"/>
  <c r="AT211" i="7"/>
  <c r="AS199" i="7"/>
  <c r="AT199" i="7"/>
  <c r="AS175" i="7"/>
  <c r="AT175" i="7"/>
  <c r="AT125" i="7"/>
  <c r="AS125" i="7"/>
  <c r="AS198" i="7"/>
  <c r="AT198" i="7"/>
  <c r="AS150" i="7"/>
  <c r="AT150" i="7"/>
  <c r="AS100" i="7"/>
  <c r="AT100" i="7"/>
  <c r="AS62" i="7"/>
  <c r="AT62" i="7"/>
  <c r="AS50" i="7"/>
  <c r="AT50" i="7"/>
  <c r="AT197" i="7"/>
  <c r="AS197" i="7"/>
  <c r="AT161" i="7"/>
  <c r="AS161" i="7"/>
  <c r="AS149" i="7"/>
  <c r="AT149" i="7"/>
  <c r="AT137" i="7"/>
  <c r="AS137" i="7"/>
  <c r="AS99" i="7"/>
  <c r="AT99" i="7"/>
  <c r="AS87" i="7"/>
  <c r="AT87" i="7"/>
  <c r="AS49" i="7"/>
  <c r="AT49" i="7"/>
  <c r="AS37" i="7"/>
  <c r="AT37" i="7"/>
  <c r="AS23" i="7"/>
  <c r="AT23" i="7"/>
  <c r="AT11" i="7"/>
  <c r="AS11" i="7"/>
  <c r="AT179" i="7"/>
  <c r="AS179" i="7"/>
  <c r="AS117" i="7"/>
  <c r="AT117" i="7"/>
  <c r="AS226" i="7"/>
  <c r="AT226" i="7"/>
  <c r="AS141" i="7"/>
  <c r="AT141" i="7"/>
  <c r="AS91" i="7"/>
  <c r="AT91" i="7"/>
  <c r="AS15" i="7"/>
  <c r="AT15" i="7"/>
  <c r="AS140" i="7"/>
  <c r="AT140" i="7"/>
  <c r="AS40" i="7"/>
  <c r="AT40" i="7"/>
  <c r="AT224" i="7"/>
  <c r="AS224" i="7"/>
  <c r="AS139" i="7"/>
  <c r="AT139" i="7"/>
  <c r="AT101" i="7"/>
  <c r="AS101" i="7"/>
  <c r="AT38" i="7"/>
  <c r="AS38" i="7"/>
  <c r="AS222" i="7"/>
  <c r="AT222" i="7"/>
  <c r="AS209" i="7"/>
  <c r="AT209" i="7"/>
  <c r="AS186" i="7"/>
  <c r="AT186" i="7"/>
  <c r="AS148" i="7"/>
  <c r="AT148" i="7"/>
  <c r="AS136" i="7"/>
  <c r="AT136" i="7"/>
  <c r="AT98" i="7"/>
  <c r="AS98" i="7"/>
  <c r="AS86" i="7"/>
  <c r="AT86" i="7"/>
  <c r="AT74" i="7"/>
  <c r="AS74" i="7"/>
  <c r="AS36" i="7"/>
  <c r="AT36" i="7"/>
  <c r="AS22" i="7"/>
  <c r="AT22" i="7"/>
  <c r="AS10" i="7"/>
  <c r="AT10" i="7"/>
  <c r="AT155" i="7"/>
  <c r="AS155" i="7"/>
  <c r="AT191" i="7"/>
  <c r="AS191" i="7"/>
  <c r="AS166" i="7"/>
  <c r="AT166" i="7"/>
  <c r="AS154" i="7"/>
  <c r="AT154" i="7"/>
  <c r="AS42" i="7"/>
  <c r="AT42" i="7"/>
  <c r="AS103" i="7"/>
  <c r="AT103" i="7"/>
  <c r="AS27" i="7"/>
  <c r="AT27" i="7"/>
  <c r="AS225" i="7"/>
  <c r="AT225" i="7"/>
  <c r="AS189" i="7"/>
  <c r="AT189" i="7"/>
  <c r="AT152" i="7"/>
  <c r="AS152" i="7"/>
  <c r="AT128" i="7"/>
  <c r="AS128" i="7"/>
  <c r="AS90" i="7"/>
  <c r="AT90" i="7"/>
  <c r="AS14" i="7"/>
  <c r="AT14" i="7"/>
  <c r="AT188" i="7"/>
  <c r="AS188" i="7"/>
  <c r="AS177" i="7"/>
  <c r="AT177" i="7"/>
  <c r="AS127" i="7"/>
  <c r="AT127" i="7"/>
  <c r="AS13" i="7"/>
  <c r="AT13" i="7"/>
  <c r="AS163" i="7"/>
  <c r="AT163" i="7"/>
  <c r="AS113" i="7"/>
  <c r="AT113" i="7"/>
  <c r="AS162" i="7"/>
  <c r="AT162" i="7"/>
  <c r="AS112" i="7"/>
  <c r="AT112" i="7"/>
  <c r="AS24" i="7"/>
  <c r="AT24" i="7"/>
  <c r="AS221" i="7"/>
  <c r="AT221" i="7"/>
  <c r="AS208" i="7"/>
  <c r="AT208" i="7"/>
  <c r="AS185" i="7"/>
  <c r="AT185" i="7"/>
  <c r="AT173" i="7"/>
  <c r="AS173" i="7"/>
  <c r="AS135" i="7"/>
  <c r="AT135" i="7"/>
  <c r="AS123" i="7"/>
  <c r="AT123" i="7"/>
  <c r="AS85" i="7"/>
  <c r="AT85" i="7"/>
  <c r="AS73" i="7"/>
  <c r="AT73" i="7"/>
  <c r="AT35" i="7"/>
  <c r="AS35" i="7"/>
  <c r="AS9" i="7"/>
  <c r="AT9" i="7"/>
  <c r="AS54" i="7"/>
  <c r="AT54" i="7"/>
  <c r="AS213" i="7"/>
  <c r="AT213" i="7"/>
  <c r="AS51" i="7"/>
  <c r="AT51" i="7"/>
  <c r="AS220" i="7"/>
  <c r="AT220" i="7"/>
  <c r="AS207" i="7"/>
  <c r="AT207" i="7"/>
  <c r="AS184" i="7"/>
  <c r="AT184" i="7"/>
  <c r="AS172" i="7"/>
  <c r="AT172" i="7"/>
  <c r="AT134" i="7"/>
  <c r="AS134" i="7"/>
  <c r="AS122" i="7"/>
  <c r="AT122" i="7"/>
  <c r="AT110" i="7"/>
  <c r="AS110" i="7"/>
  <c r="AS72" i="7"/>
  <c r="AT72" i="7"/>
  <c r="AS60" i="7"/>
  <c r="AT60" i="7"/>
  <c r="AT34" i="7"/>
  <c r="AS34" i="7"/>
  <c r="AT8" i="7"/>
  <c r="AS8" i="7"/>
  <c r="AS153" i="7"/>
  <c r="AT153" i="7"/>
  <c r="AS77" i="7"/>
  <c r="AT77" i="7"/>
  <c r="AS219" i="7"/>
  <c r="AT219" i="7"/>
  <c r="AT206" i="7"/>
  <c r="AS206" i="7"/>
  <c r="AS171" i="7"/>
  <c r="AT171" i="7"/>
  <c r="AS159" i="7"/>
  <c r="AT159" i="7"/>
  <c r="AS121" i="7"/>
  <c r="AT121" i="7"/>
  <c r="AS109" i="7"/>
  <c r="AT109" i="7"/>
  <c r="AT71" i="7"/>
  <c r="AS71" i="7"/>
  <c r="AS59" i="7"/>
  <c r="AT59" i="7"/>
  <c r="AS33" i="7"/>
  <c r="AT33" i="7"/>
  <c r="AT53" i="7"/>
  <c r="AS53" i="7"/>
  <c r="AS63" i="7"/>
  <c r="AT63" i="7"/>
  <c r="AT47" i="7"/>
  <c r="AS47" i="7"/>
  <c r="AS218" i="7"/>
  <c r="AT218" i="7"/>
  <c r="AS195" i="7"/>
  <c r="AT195" i="7"/>
  <c r="AT170" i="7"/>
  <c r="AS170" i="7"/>
  <c r="AS158" i="7"/>
  <c r="AT158" i="7"/>
  <c r="AT146" i="7"/>
  <c r="AS146" i="7"/>
  <c r="AS108" i="7"/>
  <c r="AT108" i="7"/>
  <c r="AS96" i="7"/>
  <c r="AT96" i="7"/>
  <c r="AS58" i="7"/>
  <c r="AT58" i="7"/>
  <c r="AS46" i="7"/>
  <c r="AT46" i="7"/>
  <c r="AS32" i="7"/>
  <c r="AT32" i="7"/>
  <c r="AS20" i="7"/>
  <c r="AT20" i="7"/>
  <c r="AS89" i="7"/>
  <c r="AT89" i="7"/>
  <c r="AS232" i="7"/>
  <c r="AT232" i="7"/>
  <c r="AS217" i="7"/>
  <c r="AT217" i="7"/>
  <c r="AS194" i="7"/>
  <c r="AT194" i="7"/>
  <c r="AS157" i="7"/>
  <c r="AT157" i="7"/>
  <c r="AS145" i="7"/>
  <c r="AT145" i="7"/>
  <c r="AT107" i="7"/>
  <c r="AS107" i="7"/>
  <c r="AS95" i="7"/>
  <c r="AT95" i="7"/>
  <c r="AT83" i="7"/>
  <c r="AS83" i="7"/>
  <c r="AS45" i="7"/>
  <c r="AT45" i="7"/>
  <c r="AS19" i="7"/>
  <c r="AT19" i="7"/>
  <c r="AS228" i="7"/>
  <c r="AT228" i="7"/>
  <c r="AS41" i="7"/>
  <c r="AT41" i="7"/>
  <c r="AS31" i="7"/>
  <c r="AT31" i="7"/>
  <c r="AS231" i="7"/>
  <c r="AT231" i="7"/>
  <c r="AS216" i="7"/>
  <c r="AT216" i="7"/>
  <c r="AS193" i="7"/>
  <c r="AT193" i="7"/>
  <c r="AS182" i="7"/>
  <c r="AT182" i="7"/>
  <c r="AS144" i="7"/>
  <c r="AT144" i="7"/>
  <c r="AS132" i="7"/>
  <c r="AT132" i="7"/>
  <c r="AS94" i="7"/>
  <c r="AT94" i="7"/>
  <c r="AS82" i="7"/>
  <c r="AT82" i="7"/>
  <c r="AS44" i="7"/>
  <c r="AT44" i="7"/>
  <c r="AS18" i="7"/>
  <c r="AT18" i="7"/>
  <c r="AS6" i="7"/>
  <c r="AT6" i="7"/>
  <c r="AS55" i="7"/>
  <c r="AT55" i="7"/>
  <c r="AS190" i="7"/>
  <c r="AT190" i="7"/>
  <c r="AS230" i="7"/>
  <c r="AT230" i="7"/>
  <c r="AT215" i="7"/>
  <c r="AS215" i="7"/>
  <c r="AS181" i="7"/>
  <c r="AT181" i="7"/>
  <c r="AT143" i="7"/>
  <c r="AS143" i="7"/>
  <c r="AS131" i="7"/>
  <c r="AT131" i="7"/>
  <c r="AT119" i="7"/>
  <c r="AS119" i="7"/>
  <c r="AS81" i="7"/>
  <c r="AT81" i="7"/>
  <c r="AS69" i="7"/>
  <c r="AT69" i="7"/>
  <c r="AT17" i="7"/>
  <c r="AS17" i="7"/>
  <c r="AS5" i="7"/>
  <c r="AT5" i="7"/>
  <c r="AS203" i="7"/>
  <c r="AT203" i="7"/>
  <c r="AT65" i="7"/>
  <c r="AS65" i="7"/>
  <c r="AS229" i="7"/>
  <c r="AT229" i="7"/>
  <c r="AS204" i="7"/>
  <c r="AT204" i="7"/>
  <c r="AS180" i="7"/>
  <c r="AT180" i="7"/>
  <c r="AS168" i="7"/>
  <c r="AT168" i="7"/>
  <c r="AS130" i="7"/>
  <c r="AT130" i="7"/>
  <c r="AS118" i="7"/>
  <c r="AT118" i="7"/>
  <c r="AS80" i="7"/>
  <c r="AT80" i="7"/>
  <c r="AS68" i="7"/>
  <c r="AT68" i="7"/>
  <c r="AT56" i="7"/>
  <c r="AS56" i="7"/>
  <c r="AS4" i="7"/>
  <c r="AT4" i="7"/>
  <c r="AP174" i="7"/>
  <c r="AO174" i="7"/>
  <c r="AP93" i="7"/>
  <c r="AO93" i="7"/>
  <c r="AP66" i="7"/>
  <c r="AO66" i="7"/>
  <c r="AP75" i="7"/>
  <c r="AO75" i="7"/>
  <c r="AP210" i="7"/>
  <c r="AO210" i="7"/>
  <c r="AP48" i="7"/>
  <c r="AO48" i="7"/>
  <c r="AP183" i="7"/>
  <c r="AO183" i="7"/>
  <c r="AP21" i="7"/>
  <c r="AO21" i="7"/>
  <c r="AP165" i="7"/>
  <c r="AO165" i="7"/>
  <c r="AP138" i="7"/>
  <c r="AO138" i="7"/>
  <c r="AP111" i="7"/>
  <c r="AO111" i="7"/>
  <c r="AP129" i="7"/>
  <c r="AO129" i="7"/>
  <c r="AP219" i="7"/>
  <c r="AO219" i="7"/>
  <c r="AP84" i="7"/>
  <c r="AO84" i="7"/>
  <c r="AP57" i="7"/>
  <c r="AO57" i="7"/>
  <c r="AP156" i="7"/>
  <c r="AO156" i="7"/>
  <c r="AP30" i="7"/>
  <c r="AO30" i="7"/>
  <c r="AP120" i="7"/>
  <c r="AO120" i="7"/>
  <c r="AP147" i="7"/>
  <c r="AO147" i="7"/>
  <c r="AO231" i="7"/>
  <c r="AP231" i="7"/>
  <c r="AO220" i="7"/>
  <c r="AP220" i="7"/>
  <c r="AO198" i="7"/>
  <c r="AP198" i="7"/>
  <c r="AO163" i="7"/>
  <c r="AP163" i="7"/>
  <c r="AO140" i="7"/>
  <c r="AP140" i="7"/>
  <c r="AO116" i="7"/>
  <c r="AP116" i="7"/>
  <c r="AO82" i="7"/>
  <c r="AP82" i="7"/>
  <c r="AO59" i="7"/>
  <c r="AP59" i="7"/>
  <c r="AO35" i="7"/>
  <c r="AP35" i="7"/>
  <c r="AO15" i="7"/>
  <c r="AP15" i="7"/>
  <c r="AO206" i="7"/>
  <c r="AO171" i="7"/>
  <c r="AP171" i="7"/>
  <c r="AO148" i="7"/>
  <c r="AP148" i="7"/>
  <c r="AP137" i="7"/>
  <c r="AO137" i="7"/>
  <c r="AO114" i="7"/>
  <c r="AP114" i="7"/>
  <c r="AO90" i="7"/>
  <c r="AP90" i="7"/>
  <c r="AO67" i="7"/>
  <c r="AP67" i="7"/>
  <c r="AP56" i="7"/>
  <c r="AO56" i="7"/>
  <c r="AO33" i="7"/>
  <c r="AP33" i="7"/>
  <c r="AO23" i="7"/>
  <c r="AP23" i="7"/>
  <c r="AP125" i="7"/>
  <c r="AO125" i="7"/>
  <c r="AO91" i="7"/>
  <c r="AP91" i="7"/>
  <c r="AO68" i="7"/>
  <c r="AP68" i="7"/>
  <c r="AO217" i="7"/>
  <c r="AP217" i="7"/>
  <c r="AO32" i="7"/>
  <c r="AP32" i="7"/>
  <c r="AO22" i="7"/>
  <c r="AP22" i="7"/>
  <c r="AO195" i="7"/>
  <c r="AP195" i="7"/>
  <c r="AO170" i="7"/>
  <c r="AP170" i="7"/>
  <c r="AO136" i="7"/>
  <c r="AP136" i="7"/>
  <c r="AO113" i="7"/>
  <c r="AP113" i="7"/>
  <c r="AP89" i="7"/>
  <c r="AO89" i="7"/>
  <c r="AO55" i="7"/>
  <c r="AP55" i="7"/>
  <c r="AP11" i="7"/>
  <c r="AO11" i="7"/>
  <c r="AO216" i="7"/>
  <c r="AP216" i="7"/>
  <c r="AO194" i="7"/>
  <c r="AP194" i="7"/>
  <c r="AP182" i="7"/>
  <c r="AO182" i="7"/>
  <c r="AO159" i="7"/>
  <c r="AP159" i="7"/>
  <c r="AO135" i="7"/>
  <c r="AP135" i="7"/>
  <c r="AO112" i="7"/>
  <c r="AP112" i="7"/>
  <c r="AP101" i="7"/>
  <c r="AO101" i="7"/>
  <c r="AO78" i="7"/>
  <c r="AP78" i="7"/>
  <c r="AO54" i="7"/>
  <c r="AP54" i="7"/>
  <c r="AO31" i="7"/>
  <c r="AP31" i="7"/>
  <c r="AO10" i="7"/>
  <c r="AP10" i="7"/>
  <c r="AO229" i="7"/>
  <c r="AP229" i="7"/>
  <c r="AO46" i="7"/>
  <c r="AP46" i="7"/>
  <c r="AO134" i="7"/>
  <c r="AP134" i="7"/>
  <c r="AO100" i="7"/>
  <c r="AP100" i="7"/>
  <c r="AO77" i="7"/>
  <c r="AP77" i="7"/>
  <c r="AO53" i="7"/>
  <c r="AP53" i="7"/>
  <c r="AO9" i="7"/>
  <c r="AP9" i="7"/>
  <c r="AO44" i="7"/>
  <c r="AP44" i="7"/>
  <c r="AO226" i="7"/>
  <c r="AP226" i="7"/>
  <c r="AO193" i="7"/>
  <c r="AP193" i="7"/>
  <c r="AO181" i="7"/>
  <c r="AP181" i="7"/>
  <c r="AO158" i="7"/>
  <c r="AP158" i="7"/>
  <c r="AO225" i="7"/>
  <c r="AP225" i="7"/>
  <c r="AO192" i="7"/>
  <c r="AO180" i="7"/>
  <c r="AP180" i="7"/>
  <c r="AO157" i="7"/>
  <c r="AP157" i="7"/>
  <c r="AP146" i="7"/>
  <c r="AO146" i="7"/>
  <c r="AO123" i="7"/>
  <c r="AP123" i="7"/>
  <c r="AO99" i="7"/>
  <c r="AP99" i="7"/>
  <c r="AO76" i="7"/>
  <c r="AP76" i="7"/>
  <c r="AP65" i="7"/>
  <c r="AO65" i="7"/>
  <c r="AO42" i="7"/>
  <c r="AP42" i="7"/>
  <c r="AO8" i="7"/>
  <c r="AP8" i="7"/>
  <c r="AP179" i="7"/>
  <c r="AO179" i="7"/>
  <c r="AO145" i="7"/>
  <c r="AP145" i="7"/>
  <c r="AO122" i="7"/>
  <c r="AP122" i="7"/>
  <c r="AO98" i="7"/>
  <c r="AP98" i="7"/>
  <c r="AO64" i="7"/>
  <c r="AP64" i="7"/>
  <c r="AP20" i="7"/>
  <c r="AO20" i="7"/>
  <c r="AO184" i="7"/>
  <c r="AP184" i="7"/>
  <c r="AP173" i="7"/>
  <c r="AO173" i="7"/>
  <c r="AO150" i="7"/>
  <c r="AP150" i="7"/>
  <c r="AO103" i="7"/>
  <c r="AP103" i="7"/>
  <c r="AP92" i="7"/>
  <c r="AO92" i="7"/>
  <c r="AO204" i="7"/>
  <c r="AP204" i="7"/>
  <c r="AO41" i="7"/>
  <c r="AP41" i="7"/>
  <c r="AO203" i="7"/>
  <c r="AP203" i="7"/>
  <c r="AO168" i="7"/>
  <c r="AP168" i="7"/>
  <c r="AO144" i="7"/>
  <c r="AP144" i="7"/>
  <c r="AO121" i="7"/>
  <c r="AP121" i="7"/>
  <c r="AP110" i="7"/>
  <c r="AO110" i="7"/>
  <c r="AO87" i="7"/>
  <c r="AP87" i="7"/>
  <c r="AO63" i="7"/>
  <c r="AP63" i="7"/>
  <c r="AO40" i="7"/>
  <c r="AP40" i="7"/>
  <c r="AP29" i="7"/>
  <c r="AO19" i="7"/>
  <c r="AP19" i="7"/>
  <c r="AP161" i="7"/>
  <c r="AO161" i="7"/>
  <c r="AO127" i="7"/>
  <c r="AP127" i="7"/>
  <c r="AO104" i="7"/>
  <c r="AP104" i="7"/>
  <c r="AO45" i="7"/>
  <c r="AP45" i="7"/>
  <c r="AO172" i="7"/>
  <c r="AP172" i="7"/>
  <c r="AP143" i="7"/>
  <c r="AO143" i="7"/>
  <c r="AO86" i="7"/>
  <c r="AP86" i="7"/>
  <c r="AO62" i="7"/>
  <c r="AP62" i="7"/>
  <c r="AO39" i="7"/>
  <c r="AO18" i="7"/>
  <c r="AP18" i="7"/>
  <c r="AO109" i="7"/>
  <c r="AP109" i="7"/>
  <c r="AO201" i="7"/>
  <c r="AO190" i="7"/>
  <c r="AP190" i="7"/>
  <c r="AO166" i="7"/>
  <c r="AP166" i="7"/>
  <c r="AP155" i="7"/>
  <c r="AO155" i="7"/>
  <c r="AO132" i="7"/>
  <c r="AP132" i="7"/>
  <c r="AO108" i="7"/>
  <c r="AP108" i="7"/>
  <c r="AO85" i="7"/>
  <c r="AP85" i="7"/>
  <c r="AP74" i="7"/>
  <c r="AO74" i="7"/>
  <c r="AO51" i="7"/>
  <c r="AP51" i="7"/>
  <c r="AO28" i="7"/>
  <c r="AP28" i="7"/>
  <c r="AO17" i="7"/>
  <c r="AP17" i="7"/>
  <c r="AO58" i="7"/>
  <c r="AP58" i="7"/>
  <c r="AP209" i="7"/>
  <c r="AO209" i="7"/>
  <c r="AP107" i="7"/>
  <c r="AO107" i="7"/>
  <c r="AO73" i="7"/>
  <c r="AP73" i="7"/>
  <c r="AO50" i="7"/>
  <c r="AP50" i="7"/>
  <c r="AO27" i="7"/>
  <c r="AP27" i="7"/>
  <c r="AO230" i="7"/>
  <c r="AP230" i="7"/>
  <c r="AP47" i="7"/>
  <c r="AO47" i="7"/>
  <c r="AO185" i="7"/>
  <c r="AP185" i="7"/>
  <c r="AO69" i="7"/>
  <c r="AP69" i="7"/>
  <c r="AO188" i="7"/>
  <c r="AP188" i="7"/>
  <c r="AO177" i="7"/>
  <c r="AP177" i="7"/>
  <c r="AO153" i="7"/>
  <c r="AP153" i="7"/>
  <c r="AO130" i="7"/>
  <c r="AP130" i="7"/>
  <c r="AP119" i="7"/>
  <c r="AO119" i="7"/>
  <c r="AO96" i="7"/>
  <c r="AP96" i="7"/>
  <c r="AO72" i="7"/>
  <c r="AP72" i="7"/>
  <c r="AO49" i="7"/>
  <c r="AP49" i="7"/>
  <c r="AP38" i="7"/>
  <c r="AO38" i="7"/>
  <c r="AO26" i="7"/>
  <c r="AP26" i="7"/>
  <c r="AP197" i="7"/>
  <c r="AO197" i="7"/>
  <c r="AO186" i="7"/>
  <c r="AP186" i="7"/>
  <c r="AO162" i="7"/>
  <c r="AP162" i="7"/>
  <c r="AO139" i="7"/>
  <c r="AP139" i="7"/>
  <c r="AP128" i="7"/>
  <c r="AO128" i="7"/>
  <c r="AO105" i="7"/>
  <c r="AP105" i="7"/>
  <c r="AO81" i="7"/>
  <c r="AP81" i="7"/>
  <c r="AO14" i="7"/>
  <c r="AP14" i="7"/>
  <c r="AO211" i="7"/>
  <c r="AP211" i="7"/>
  <c r="AP200" i="7"/>
  <c r="AO200" i="7"/>
  <c r="AP187" i="7"/>
  <c r="AO176" i="7"/>
  <c r="AP176" i="7"/>
  <c r="AO80" i="7"/>
  <c r="AP80" i="7"/>
  <c r="AO13" i="7"/>
  <c r="AP13" i="7"/>
  <c r="AO208" i="7"/>
  <c r="AP208" i="7"/>
  <c r="AO126" i="7"/>
  <c r="AP126" i="7"/>
  <c r="AO207" i="7"/>
  <c r="AP207" i="7"/>
  <c r="AO149" i="7"/>
  <c r="AP149" i="7"/>
  <c r="AO202" i="7"/>
  <c r="AP202" i="7"/>
  <c r="AP191" i="7"/>
  <c r="AO191" i="7"/>
  <c r="AO167" i="7"/>
  <c r="AP167" i="7"/>
  <c r="AO213" i="7"/>
  <c r="AP213" i="7"/>
  <c r="AO189" i="7"/>
  <c r="AP189" i="7"/>
  <c r="AO154" i="7"/>
  <c r="AP154" i="7"/>
  <c r="AO131" i="7"/>
  <c r="AP131" i="7"/>
  <c r="AO212" i="7"/>
  <c r="AP212" i="7"/>
  <c r="AO222" i="7"/>
  <c r="AP222" i="7"/>
  <c r="AO152" i="7"/>
  <c r="AP152" i="7"/>
  <c r="AO118" i="7"/>
  <c r="AP118" i="7"/>
  <c r="AO95" i="7"/>
  <c r="AP95" i="7"/>
  <c r="AP71" i="7"/>
  <c r="AO71" i="7"/>
  <c r="AO37" i="7"/>
  <c r="AP37" i="7"/>
  <c r="AO5" i="7"/>
  <c r="AP5" i="7"/>
  <c r="AO221" i="7"/>
  <c r="AP221" i="7"/>
  <c r="AO199" i="7"/>
  <c r="AP199" i="7"/>
  <c r="AO175" i="7"/>
  <c r="AP175" i="7"/>
  <c r="AP164" i="7"/>
  <c r="AO164" i="7"/>
  <c r="AO141" i="7"/>
  <c r="AP141" i="7"/>
  <c r="AO117" i="7"/>
  <c r="AP117" i="7"/>
  <c r="AO94" i="7"/>
  <c r="AP94" i="7"/>
  <c r="AP83" i="7"/>
  <c r="AO83" i="7"/>
  <c r="AO60" i="7"/>
  <c r="AP60" i="7"/>
  <c r="AO36" i="7"/>
  <c r="AP36" i="7"/>
  <c r="AO4" i="7"/>
  <c r="AP4" i="7"/>
  <c r="AP6" i="7"/>
  <c r="AL211" i="7"/>
  <c r="AK211" i="7"/>
  <c r="AK181" i="7"/>
  <c r="AL181" i="7"/>
  <c r="AL151" i="7"/>
  <c r="AK151" i="7"/>
  <c r="AK121" i="7"/>
  <c r="AL121" i="7"/>
  <c r="AK33" i="7"/>
  <c r="AL33" i="7"/>
  <c r="AK228" i="7"/>
  <c r="AL228" i="7"/>
  <c r="AK210" i="7"/>
  <c r="AL210" i="7"/>
  <c r="AK194" i="7"/>
  <c r="AL194" i="7"/>
  <c r="AK180" i="7"/>
  <c r="AL180" i="7"/>
  <c r="AK150" i="7"/>
  <c r="AL150" i="7"/>
  <c r="AL106" i="7"/>
  <c r="AK106" i="7"/>
  <c r="AK76" i="7"/>
  <c r="AL76" i="7"/>
  <c r="AK18" i="7"/>
  <c r="AL18" i="7"/>
  <c r="AK227" i="7"/>
  <c r="AL227" i="7"/>
  <c r="AL193" i="7"/>
  <c r="AK193" i="7"/>
  <c r="AK91" i="7"/>
  <c r="AL91" i="7"/>
  <c r="AK47" i="7"/>
  <c r="AL47" i="7"/>
  <c r="AK31" i="7"/>
  <c r="AL31" i="7"/>
  <c r="AK208" i="7"/>
  <c r="AL208" i="7"/>
  <c r="AK164" i="7"/>
  <c r="AL164" i="7"/>
  <c r="AL134" i="7"/>
  <c r="AK134" i="7"/>
  <c r="AK60" i="7"/>
  <c r="AL60" i="7"/>
  <c r="AK46" i="7"/>
  <c r="AL46" i="7"/>
  <c r="AL16" i="7"/>
  <c r="AK16" i="7"/>
  <c r="AK225" i="7"/>
  <c r="AL225" i="7"/>
  <c r="AK207" i="7"/>
  <c r="AL207" i="7"/>
  <c r="AK177" i="7"/>
  <c r="AL177" i="7"/>
  <c r="AK163" i="7"/>
  <c r="AL163" i="7"/>
  <c r="AK133" i="7"/>
  <c r="AL133" i="7"/>
  <c r="AK119" i="7"/>
  <c r="AL119" i="7"/>
  <c r="AK103" i="7"/>
  <c r="AL103" i="7"/>
  <c r="AL89" i="7"/>
  <c r="AK89" i="7"/>
  <c r="AK59" i="7"/>
  <c r="AL59" i="7"/>
  <c r="AK45" i="7"/>
  <c r="AL45" i="7"/>
  <c r="AK15" i="7"/>
  <c r="AL15" i="7"/>
  <c r="AL229" i="7"/>
  <c r="AK229" i="7"/>
  <c r="AK195" i="7"/>
  <c r="AL195" i="7"/>
  <c r="AK137" i="7"/>
  <c r="AL137" i="7"/>
  <c r="AL107" i="7"/>
  <c r="AK107" i="7"/>
  <c r="AK77" i="7"/>
  <c r="AL77" i="7"/>
  <c r="AK63" i="7"/>
  <c r="AL63" i="7"/>
  <c r="AK19" i="7"/>
  <c r="AL19" i="7"/>
  <c r="AK136" i="7"/>
  <c r="AL136" i="7"/>
  <c r="AK92" i="7"/>
  <c r="AL92" i="7"/>
  <c r="AL62" i="7"/>
  <c r="AK62" i="7"/>
  <c r="AK32" i="7"/>
  <c r="AL32" i="7"/>
  <c r="AK209" i="7"/>
  <c r="AL209" i="7"/>
  <c r="AL179" i="7"/>
  <c r="AK179" i="7"/>
  <c r="AK149" i="7"/>
  <c r="AL149" i="7"/>
  <c r="AK135" i="7"/>
  <c r="AL135" i="7"/>
  <c r="AK105" i="7"/>
  <c r="AL105" i="7"/>
  <c r="AL61" i="7"/>
  <c r="AK61" i="7"/>
  <c r="AK17" i="7"/>
  <c r="AL17" i="7"/>
  <c r="AK226" i="7"/>
  <c r="AL226" i="7"/>
  <c r="AK178" i="7"/>
  <c r="AL178" i="7"/>
  <c r="AL148" i="7"/>
  <c r="AK148" i="7"/>
  <c r="AK104" i="7"/>
  <c r="AL104" i="7"/>
  <c r="AK90" i="7"/>
  <c r="AL90" i="7"/>
  <c r="AL224" i="7"/>
  <c r="AK224" i="7"/>
  <c r="AL206" i="7"/>
  <c r="AK206" i="7"/>
  <c r="AK176" i="7"/>
  <c r="AL176" i="7"/>
  <c r="AK162" i="7"/>
  <c r="AL162" i="7"/>
  <c r="AK132" i="7"/>
  <c r="AL132" i="7"/>
  <c r="AK118" i="7"/>
  <c r="AL118" i="7"/>
  <c r="AL88" i="7"/>
  <c r="AK88" i="7"/>
  <c r="AK74" i="7"/>
  <c r="AL74" i="7"/>
  <c r="AK58" i="7"/>
  <c r="AL58" i="7"/>
  <c r="AL44" i="7"/>
  <c r="AK44" i="7"/>
  <c r="AK14" i="7"/>
  <c r="AL14" i="7"/>
  <c r="AK86" i="7"/>
  <c r="AL86" i="7"/>
  <c r="AL26" i="7"/>
  <c r="AK26" i="7"/>
  <c r="AK219" i="7"/>
  <c r="AL219" i="7"/>
  <c r="AL187" i="7"/>
  <c r="AK187" i="7"/>
  <c r="AK173" i="7"/>
  <c r="AL173" i="7"/>
  <c r="AL157" i="7"/>
  <c r="AK157" i="7"/>
  <c r="AL143" i="7"/>
  <c r="AK143" i="7"/>
  <c r="AK113" i="7"/>
  <c r="AL113" i="7"/>
  <c r="AK99" i="7"/>
  <c r="AL99" i="7"/>
  <c r="AK69" i="7"/>
  <c r="AL69" i="7"/>
  <c r="AK55" i="7"/>
  <c r="AL55" i="7"/>
  <c r="AL25" i="7"/>
  <c r="AK25" i="7"/>
  <c r="AK11" i="7"/>
  <c r="AL11" i="7"/>
  <c r="AK204" i="7"/>
  <c r="AL204" i="7"/>
  <c r="AK101" i="7"/>
  <c r="AL101" i="7"/>
  <c r="AK100" i="7"/>
  <c r="AL100" i="7"/>
  <c r="AL98" i="7"/>
  <c r="AK98" i="7"/>
  <c r="AK222" i="7"/>
  <c r="AL222" i="7"/>
  <c r="AL115" i="7"/>
  <c r="AK115" i="7"/>
  <c r="AK114" i="7"/>
  <c r="AL114" i="7"/>
  <c r="AK10" i="7"/>
  <c r="AL10" i="7"/>
  <c r="AK217" i="7"/>
  <c r="AL217" i="7"/>
  <c r="AK185" i="7"/>
  <c r="AL185" i="7"/>
  <c r="AK171" i="7"/>
  <c r="AL171" i="7"/>
  <c r="AK141" i="7"/>
  <c r="AL141" i="7"/>
  <c r="AK127" i="7"/>
  <c r="AL127" i="7"/>
  <c r="AL97" i="7"/>
  <c r="AK97" i="7"/>
  <c r="AK83" i="7"/>
  <c r="AL83" i="7"/>
  <c r="AK67" i="7"/>
  <c r="AL67" i="7"/>
  <c r="AL53" i="7"/>
  <c r="AK53" i="7"/>
  <c r="AK23" i="7"/>
  <c r="AL23" i="7"/>
  <c r="AK9" i="7"/>
  <c r="AL9" i="7"/>
  <c r="AL223" i="7"/>
  <c r="AK223" i="7"/>
  <c r="AL205" i="7"/>
  <c r="AK205" i="7"/>
  <c r="AL175" i="7"/>
  <c r="AK175" i="7"/>
  <c r="AK131" i="7"/>
  <c r="AL131" i="7"/>
  <c r="AK87" i="7"/>
  <c r="AL87" i="7"/>
  <c r="AK73" i="7"/>
  <c r="AL73" i="7"/>
  <c r="AL43" i="7"/>
  <c r="AK43" i="7"/>
  <c r="AK13" i="7"/>
  <c r="AL13" i="7"/>
  <c r="AK190" i="7"/>
  <c r="AL190" i="7"/>
  <c r="AK160" i="7"/>
  <c r="AL160" i="7"/>
  <c r="AK146" i="7"/>
  <c r="AL146" i="7"/>
  <c r="AL116" i="7"/>
  <c r="AK116" i="7"/>
  <c r="AK42" i="7"/>
  <c r="AL42" i="7"/>
  <c r="AK221" i="7"/>
  <c r="AL221" i="7"/>
  <c r="AK203" i="7"/>
  <c r="AL203" i="7"/>
  <c r="AK189" i="7"/>
  <c r="AL189" i="7"/>
  <c r="AK159" i="7"/>
  <c r="AL159" i="7"/>
  <c r="AK145" i="7"/>
  <c r="AL145" i="7"/>
  <c r="AL220" i="7"/>
  <c r="AK220" i="7"/>
  <c r="AL188" i="7"/>
  <c r="AK188" i="7"/>
  <c r="AK158" i="7"/>
  <c r="AL158" i="7"/>
  <c r="AK144" i="7"/>
  <c r="AL144" i="7"/>
  <c r="AK56" i="7"/>
  <c r="AL56" i="7"/>
  <c r="AK218" i="7"/>
  <c r="AL218" i="7"/>
  <c r="AK186" i="7"/>
  <c r="AL186" i="7"/>
  <c r="AK172" i="7"/>
  <c r="AL172" i="7"/>
  <c r="AK142" i="7"/>
  <c r="AL142" i="7"/>
  <c r="AK128" i="7"/>
  <c r="AL128" i="7"/>
  <c r="AK112" i="7"/>
  <c r="AL112" i="7"/>
  <c r="AK24" i="7"/>
  <c r="AL24" i="7"/>
  <c r="AK216" i="7"/>
  <c r="AL216" i="7"/>
  <c r="AK200" i="7"/>
  <c r="AL200" i="7"/>
  <c r="AL184" i="7"/>
  <c r="AK184" i="7"/>
  <c r="AL170" i="7"/>
  <c r="AK170" i="7"/>
  <c r="AK140" i="7"/>
  <c r="AL140" i="7"/>
  <c r="AK126" i="7"/>
  <c r="AL126" i="7"/>
  <c r="AK96" i="7"/>
  <c r="AL96" i="7"/>
  <c r="AK82" i="7"/>
  <c r="AL82" i="7"/>
  <c r="AL52" i="7"/>
  <c r="AK52" i="7"/>
  <c r="AK38" i="7"/>
  <c r="AL38" i="7"/>
  <c r="AK22" i="7"/>
  <c r="AL22" i="7"/>
  <c r="AL8" i="7"/>
  <c r="AK8" i="7"/>
  <c r="AK191" i="7"/>
  <c r="AL191" i="7"/>
  <c r="AL161" i="7"/>
  <c r="AK161" i="7"/>
  <c r="AK117" i="7"/>
  <c r="AL117" i="7"/>
  <c r="AK29" i="7"/>
  <c r="AL29" i="7"/>
  <c r="AK28" i="7"/>
  <c r="AL28" i="7"/>
  <c r="AK27" i="7"/>
  <c r="AL27" i="7"/>
  <c r="AL202" i="7"/>
  <c r="AK202" i="7"/>
  <c r="AL169" i="7"/>
  <c r="AK169" i="7"/>
  <c r="AK37" i="7"/>
  <c r="AL37" i="7"/>
  <c r="AK72" i="7"/>
  <c r="AL72" i="7"/>
  <c r="AK41" i="7"/>
  <c r="AL41" i="7"/>
  <c r="AK54" i="7"/>
  <c r="AL54" i="7"/>
  <c r="AK85" i="7"/>
  <c r="AL85" i="7"/>
  <c r="AL70" i="7"/>
  <c r="AK70" i="7"/>
  <c r="AK199" i="7"/>
  <c r="AL199" i="7"/>
  <c r="AK155" i="7"/>
  <c r="AL155" i="7"/>
  <c r="AL125" i="7"/>
  <c r="AK125" i="7"/>
  <c r="AK95" i="7"/>
  <c r="AL95" i="7"/>
  <c r="AK81" i="7"/>
  <c r="AL81" i="7"/>
  <c r="AL7" i="7"/>
  <c r="AK7" i="7"/>
  <c r="AK154" i="7"/>
  <c r="AL154" i="7"/>
  <c r="AK94" i="7"/>
  <c r="AL94" i="7"/>
  <c r="AK231" i="7"/>
  <c r="AL231" i="7"/>
  <c r="AK213" i="7"/>
  <c r="AL213" i="7"/>
  <c r="AL197" i="7"/>
  <c r="AK197" i="7"/>
  <c r="AK167" i="7"/>
  <c r="AL167" i="7"/>
  <c r="AK153" i="7"/>
  <c r="AL153" i="7"/>
  <c r="AK123" i="7"/>
  <c r="AL123" i="7"/>
  <c r="AK109" i="7"/>
  <c r="AL109" i="7"/>
  <c r="AL79" i="7"/>
  <c r="AK79" i="7"/>
  <c r="AK65" i="7"/>
  <c r="AL65" i="7"/>
  <c r="AK49" i="7"/>
  <c r="AL49" i="7"/>
  <c r="AL35" i="7"/>
  <c r="AK35" i="7"/>
  <c r="AK5" i="7"/>
  <c r="AL5" i="7"/>
  <c r="AK130" i="7"/>
  <c r="AL130" i="7"/>
  <c r="AL71" i="7"/>
  <c r="AK71" i="7"/>
  <c r="AK40" i="7"/>
  <c r="AL40" i="7"/>
  <c r="AK68" i="7"/>
  <c r="AL68" i="7"/>
  <c r="AL215" i="7"/>
  <c r="AK215" i="7"/>
  <c r="AL139" i="7"/>
  <c r="AK139" i="7"/>
  <c r="AK51" i="7"/>
  <c r="AL51" i="7"/>
  <c r="AL232" i="7"/>
  <c r="AK232" i="7"/>
  <c r="AL214" i="7"/>
  <c r="AK214" i="7"/>
  <c r="AK198" i="7"/>
  <c r="AL198" i="7"/>
  <c r="AK168" i="7"/>
  <c r="AL168" i="7"/>
  <c r="AL124" i="7"/>
  <c r="AK124" i="7"/>
  <c r="AK110" i="7"/>
  <c r="AL110" i="7"/>
  <c r="AL80" i="7"/>
  <c r="AK80" i="7"/>
  <c r="AK50" i="7"/>
  <c r="AL50" i="7"/>
  <c r="AK36" i="7"/>
  <c r="AL36" i="7"/>
  <c r="AK6" i="7"/>
  <c r="AL6" i="7"/>
  <c r="AK230" i="7"/>
  <c r="AL230" i="7"/>
  <c r="AK212" i="7"/>
  <c r="AL212" i="7"/>
  <c r="AK196" i="7"/>
  <c r="AL196" i="7"/>
  <c r="AK182" i="7"/>
  <c r="AL182" i="7"/>
  <c r="AL166" i="7"/>
  <c r="AK166" i="7"/>
  <c r="AL152" i="7"/>
  <c r="AK152" i="7"/>
  <c r="AK122" i="7"/>
  <c r="AL122" i="7"/>
  <c r="AK108" i="7"/>
  <c r="AL108" i="7"/>
  <c r="AK78" i="7"/>
  <c r="AL78" i="7"/>
  <c r="AK64" i="7"/>
  <c r="AL64" i="7"/>
  <c r="AL34" i="7"/>
  <c r="AK34" i="7"/>
  <c r="AK20" i="7"/>
  <c r="AL20" i="7"/>
  <c r="AK4" i="7"/>
  <c r="AL4" i="7"/>
  <c r="AG194" i="7"/>
  <c r="AH194" i="7"/>
  <c r="AH183" i="7"/>
  <c r="AG173" i="7"/>
  <c r="AH173" i="7"/>
  <c r="AG161" i="7"/>
  <c r="AH161" i="7"/>
  <c r="AG130" i="7"/>
  <c r="AH130" i="7"/>
  <c r="AG92" i="7"/>
  <c r="AH92" i="7"/>
  <c r="AG68" i="7"/>
  <c r="AH68" i="7"/>
  <c r="AH46" i="7"/>
  <c r="AG46" i="7"/>
  <c r="AG129" i="7"/>
  <c r="AH129" i="7"/>
  <c r="AG91" i="7"/>
  <c r="AH91" i="7"/>
  <c r="AG67" i="7"/>
  <c r="AH67" i="7"/>
  <c r="AG140" i="7"/>
  <c r="AH140" i="7"/>
  <c r="AH66" i="7"/>
  <c r="AG66" i="7"/>
  <c r="AG220" i="7"/>
  <c r="AH220" i="7"/>
  <c r="AG199" i="7"/>
  <c r="AH199" i="7"/>
  <c r="AG113" i="7"/>
  <c r="AH113" i="7"/>
  <c r="AG32" i="7"/>
  <c r="AH32" i="7"/>
  <c r="AH10" i="7"/>
  <c r="AG10" i="7"/>
  <c r="AH219" i="7"/>
  <c r="AG209" i="7"/>
  <c r="AH209" i="7"/>
  <c r="AG198" i="7"/>
  <c r="AH198" i="7"/>
  <c r="AG158" i="7"/>
  <c r="AH158" i="7"/>
  <c r="AG135" i="7"/>
  <c r="AH135" i="7"/>
  <c r="AG112" i="7"/>
  <c r="AH112" i="7"/>
  <c r="AG74" i="7"/>
  <c r="AH74" i="7"/>
  <c r="AG31" i="7"/>
  <c r="AH31" i="7"/>
  <c r="AG9" i="7"/>
  <c r="AH9" i="7"/>
  <c r="AH172" i="7"/>
  <c r="AG172" i="7"/>
  <c r="AG182" i="7"/>
  <c r="AH182" i="7"/>
  <c r="AG128" i="7"/>
  <c r="AH128" i="7"/>
  <c r="AG90" i="7"/>
  <c r="AH90" i="7"/>
  <c r="AH55" i="7"/>
  <c r="AG55" i="7"/>
  <c r="AH12" i="7"/>
  <c r="AG12" i="7"/>
  <c r="AG212" i="7"/>
  <c r="AH212" i="7"/>
  <c r="AG191" i="7"/>
  <c r="AH191" i="7"/>
  <c r="AG126" i="7"/>
  <c r="AH126" i="7"/>
  <c r="AH102" i="7"/>
  <c r="AG102" i="7"/>
  <c r="AH64" i="7"/>
  <c r="AG64" i="7"/>
  <c r="AH190" i="7"/>
  <c r="AG190" i="7"/>
  <c r="AG149" i="7"/>
  <c r="AH149" i="7"/>
  <c r="AG101" i="7"/>
  <c r="AH101" i="7"/>
  <c r="AG77" i="7"/>
  <c r="AH77" i="7"/>
  <c r="AG63" i="7"/>
  <c r="AH63" i="7"/>
  <c r="AG221" i="7"/>
  <c r="AH221" i="7"/>
  <c r="AG200" i="7"/>
  <c r="AH200" i="7"/>
  <c r="AG189" i="7"/>
  <c r="AH189" i="7"/>
  <c r="AG148" i="7"/>
  <c r="AH148" i="7"/>
  <c r="AG137" i="7"/>
  <c r="AH137" i="7"/>
  <c r="AH100" i="7"/>
  <c r="AG100" i="7"/>
  <c r="AH21" i="7"/>
  <c r="AG21" i="7"/>
  <c r="AH136" i="7"/>
  <c r="AG136" i="7"/>
  <c r="AG99" i="7"/>
  <c r="AH99" i="7"/>
  <c r="AH75" i="7"/>
  <c r="AG75" i="7"/>
  <c r="AG231" i="7"/>
  <c r="AH231" i="7"/>
  <c r="AH208" i="7"/>
  <c r="AG208" i="7"/>
  <c r="AG197" i="7"/>
  <c r="AG157" i="7"/>
  <c r="AH157" i="7"/>
  <c r="AG146" i="7"/>
  <c r="AH146" i="7"/>
  <c r="AG134" i="7"/>
  <c r="AH134" i="7"/>
  <c r="AH111" i="7"/>
  <c r="AG111" i="7"/>
  <c r="AH73" i="7"/>
  <c r="AG73" i="7"/>
  <c r="AG41" i="7"/>
  <c r="AH41" i="7"/>
  <c r="AH30" i="7"/>
  <c r="AG30" i="7"/>
  <c r="AG22" i="7"/>
  <c r="AH22" i="7"/>
  <c r="AG76" i="7"/>
  <c r="AH76" i="7"/>
  <c r="AG230" i="7"/>
  <c r="AH230" i="7"/>
  <c r="AG218" i="7"/>
  <c r="AH218" i="7"/>
  <c r="AG207" i="7"/>
  <c r="AH207" i="7"/>
  <c r="AH145" i="7"/>
  <c r="AG145" i="7"/>
  <c r="AG110" i="7"/>
  <c r="AH110" i="7"/>
  <c r="AG86" i="7"/>
  <c r="AH86" i="7"/>
  <c r="AG72" i="7"/>
  <c r="AH72" i="7"/>
  <c r="AG40" i="7"/>
  <c r="AH40" i="7"/>
  <c r="AH19" i="7"/>
  <c r="AG19" i="7"/>
  <c r="AG14" i="7"/>
  <c r="AH14" i="7"/>
  <c r="AG203" i="7"/>
  <c r="AH203" i="7"/>
  <c r="AG171" i="7"/>
  <c r="AH171" i="7"/>
  <c r="AG104" i="7"/>
  <c r="AH104" i="7"/>
  <c r="AG13" i="7"/>
  <c r="AH13" i="7"/>
  <c r="AG181" i="7"/>
  <c r="AH181" i="7"/>
  <c r="AG170" i="7"/>
  <c r="AH170" i="7"/>
  <c r="AG139" i="7"/>
  <c r="AH139" i="7"/>
  <c r="AG54" i="7"/>
  <c r="AH54" i="7"/>
  <c r="AG180" i="7"/>
  <c r="AH180" i="7"/>
  <c r="AG23" i="7"/>
  <c r="AH23" i="7"/>
  <c r="AG229" i="7"/>
  <c r="AH229" i="7"/>
  <c r="AG217" i="7"/>
  <c r="AH217" i="7"/>
  <c r="AG206" i="7"/>
  <c r="AG167" i="7"/>
  <c r="AH167" i="7"/>
  <c r="AG144" i="7"/>
  <c r="AH144" i="7"/>
  <c r="AG109" i="7"/>
  <c r="AH109" i="7"/>
  <c r="AG85" i="7"/>
  <c r="AH85" i="7"/>
  <c r="AG50" i="7"/>
  <c r="AH50" i="7"/>
  <c r="AH39" i="7"/>
  <c r="AG18" i="7"/>
  <c r="AH18" i="7"/>
  <c r="AG202" i="7"/>
  <c r="AH202" i="7"/>
  <c r="AG216" i="7"/>
  <c r="AH216" i="7"/>
  <c r="AG166" i="7"/>
  <c r="AH166" i="7"/>
  <c r="AH155" i="7"/>
  <c r="AG155" i="7"/>
  <c r="AG143" i="7"/>
  <c r="AH143" i="7"/>
  <c r="AG122" i="7"/>
  <c r="AH122" i="7"/>
  <c r="AG108" i="7"/>
  <c r="AH108" i="7"/>
  <c r="AH84" i="7"/>
  <c r="AG84" i="7"/>
  <c r="AG49" i="7"/>
  <c r="AH49" i="7"/>
  <c r="AH127" i="7"/>
  <c r="AG127" i="7"/>
  <c r="AG215" i="7"/>
  <c r="AH154" i="7"/>
  <c r="AG154" i="7"/>
  <c r="AG121" i="7"/>
  <c r="AH121" i="7"/>
  <c r="AG83" i="7"/>
  <c r="AH83" i="7"/>
  <c r="AG59" i="7"/>
  <c r="AH59" i="7"/>
  <c r="AH48" i="7"/>
  <c r="AG48" i="7"/>
  <c r="AH28" i="7"/>
  <c r="AG28" i="7"/>
  <c r="AG227" i="7"/>
  <c r="AH227" i="7"/>
  <c r="AG176" i="7"/>
  <c r="AH176" i="7"/>
  <c r="AG153" i="7"/>
  <c r="AH153" i="7"/>
  <c r="AH120" i="7"/>
  <c r="AG120" i="7"/>
  <c r="AH82" i="7"/>
  <c r="AG82" i="7"/>
  <c r="AG58" i="7"/>
  <c r="AH58" i="7"/>
  <c r="AG27" i="7"/>
  <c r="AH27" i="7"/>
  <c r="AG193" i="7"/>
  <c r="AH193" i="7"/>
  <c r="AG103" i="7"/>
  <c r="AH103" i="7"/>
  <c r="AG222" i="7"/>
  <c r="AH222" i="7"/>
  <c r="AH226" i="7"/>
  <c r="AG226" i="7"/>
  <c r="AG175" i="7"/>
  <c r="AH175" i="7"/>
  <c r="AG164" i="7"/>
  <c r="AH164" i="7"/>
  <c r="AG152" i="7"/>
  <c r="AH152" i="7"/>
  <c r="AG119" i="7"/>
  <c r="AH119" i="7"/>
  <c r="AG95" i="7"/>
  <c r="AH95" i="7"/>
  <c r="AG81" i="7"/>
  <c r="AH81" i="7"/>
  <c r="AH57" i="7"/>
  <c r="AG57" i="7"/>
  <c r="AG45" i="7"/>
  <c r="AH45" i="7"/>
  <c r="AG211" i="7"/>
  <c r="AH211" i="7"/>
  <c r="AG225" i="7"/>
  <c r="AH225" i="7"/>
  <c r="AG185" i="7"/>
  <c r="AH185" i="7"/>
  <c r="AH163" i="7"/>
  <c r="AG163" i="7"/>
  <c r="AH118" i="7"/>
  <c r="AG118" i="7"/>
  <c r="AG94" i="7"/>
  <c r="AH94" i="7"/>
  <c r="AH37" i="7"/>
  <c r="AG37" i="7"/>
  <c r="AG5" i="7"/>
  <c r="AH5" i="7"/>
  <c r="AG65" i="7"/>
  <c r="AH65" i="7"/>
  <c r="AG184" i="7"/>
  <c r="AH184" i="7"/>
  <c r="AG162" i="7"/>
  <c r="AH162" i="7"/>
  <c r="AG131" i="7"/>
  <c r="AH131" i="7"/>
  <c r="AG117" i="7"/>
  <c r="AH117" i="7"/>
  <c r="AH93" i="7"/>
  <c r="AG93" i="7"/>
  <c r="AG36" i="7"/>
  <c r="AH36" i="7"/>
  <c r="AG4" i="7"/>
  <c r="AH4" i="7"/>
  <c r="AH123" i="7"/>
  <c r="AH114" i="7"/>
  <c r="AH105" i="7"/>
  <c r="AH96" i="7"/>
  <c r="AH87" i="7"/>
  <c r="AH78" i="7"/>
  <c r="AH69" i="7"/>
  <c r="AH60" i="7"/>
  <c r="AH51" i="7"/>
  <c r="AH42" i="7"/>
  <c r="AH33" i="7"/>
  <c r="AH24" i="7"/>
  <c r="AH15" i="7"/>
  <c r="AH6" i="7"/>
  <c r="AH125" i="7"/>
  <c r="AH116" i="7"/>
  <c r="AH107" i="7"/>
  <c r="AH98" i="7"/>
  <c r="AH89" i="7"/>
  <c r="AH80" i="7"/>
  <c r="AH71" i="7"/>
  <c r="AH62" i="7"/>
  <c r="AH53" i="7"/>
  <c r="AH44" i="7"/>
  <c r="AH35" i="7"/>
  <c r="AH26" i="7"/>
  <c r="AH17" i="7"/>
  <c r="AH8" i="7"/>
  <c r="AD218" i="7"/>
  <c r="AC218" i="7"/>
  <c r="AD138" i="7"/>
  <c r="AC138" i="7"/>
  <c r="AC92" i="7"/>
  <c r="AD92" i="7"/>
  <c r="AC56" i="7"/>
  <c r="AD56" i="7"/>
  <c r="AD182" i="7"/>
  <c r="AC182" i="7"/>
  <c r="AD147" i="7"/>
  <c r="AC147" i="7"/>
  <c r="AD137" i="7"/>
  <c r="AC137" i="7"/>
  <c r="AC101" i="7"/>
  <c r="AD101" i="7"/>
  <c r="AC11" i="7"/>
  <c r="AD11" i="7"/>
  <c r="AD200" i="7"/>
  <c r="AC200" i="7"/>
  <c r="AD210" i="7"/>
  <c r="AC210" i="7"/>
  <c r="AD165" i="7"/>
  <c r="AC165" i="7"/>
  <c r="AD129" i="7"/>
  <c r="AC129" i="7"/>
  <c r="AC29" i="7"/>
  <c r="AD29" i="7"/>
  <c r="AD155" i="7"/>
  <c r="AC155" i="7"/>
  <c r="AC119" i="7"/>
  <c r="AD119" i="7"/>
  <c r="AD164" i="7"/>
  <c r="AC164" i="7"/>
  <c r="AD128" i="7"/>
  <c r="AC128" i="7"/>
  <c r="AD156" i="7"/>
  <c r="AC156" i="7"/>
  <c r="AC110" i="7"/>
  <c r="AD110" i="7"/>
  <c r="AD120" i="7"/>
  <c r="AC120" i="7"/>
  <c r="AC83" i="7"/>
  <c r="AD83" i="7"/>
  <c r="AD192" i="7"/>
  <c r="AC192" i="7"/>
  <c r="AD191" i="7"/>
  <c r="AC191" i="7"/>
  <c r="AD174" i="7"/>
  <c r="AC174" i="7"/>
  <c r="AD219" i="7"/>
  <c r="AC219" i="7"/>
  <c r="AD173" i="7"/>
  <c r="AC173" i="7"/>
  <c r="AC38" i="7"/>
  <c r="AD38" i="7"/>
  <c r="AD197" i="7"/>
  <c r="AC197" i="7"/>
  <c r="AC189" i="7"/>
  <c r="AD189" i="7"/>
  <c r="AD89" i="7"/>
  <c r="AC89" i="7"/>
  <c r="AD8" i="7"/>
  <c r="AC8" i="7"/>
  <c r="AC230" i="7"/>
  <c r="AD230" i="7"/>
  <c r="AD53" i="7"/>
  <c r="AC53" i="7"/>
  <c r="AC157" i="7"/>
  <c r="AD157" i="7"/>
  <c r="AC149" i="7"/>
  <c r="AD149" i="7"/>
  <c r="AC104" i="7"/>
  <c r="AD104" i="7"/>
  <c r="AC63" i="7"/>
  <c r="AD63" i="7"/>
  <c r="AD52" i="7"/>
  <c r="AC23" i="7"/>
  <c r="AD23" i="7"/>
  <c r="AC12" i="7"/>
  <c r="AC152" i="7"/>
  <c r="AD152" i="7"/>
  <c r="AC144" i="7"/>
  <c r="AD144" i="7"/>
  <c r="AC27" i="7"/>
  <c r="AD27" i="7"/>
  <c r="AC166" i="7"/>
  <c r="AD166" i="7"/>
  <c r="AC158" i="7"/>
  <c r="AD158" i="7"/>
  <c r="AC94" i="7"/>
  <c r="AD94" i="7"/>
  <c r="AC74" i="7"/>
  <c r="AD74" i="7"/>
  <c r="AD64" i="7"/>
  <c r="AC64" i="7"/>
  <c r="AC13" i="7"/>
  <c r="AD13" i="7"/>
  <c r="AC225" i="7"/>
  <c r="AD225" i="7"/>
  <c r="AD208" i="7"/>
  <c r="AC148" i="7"/>
  <c r="AD148" i="7"/>
  <c r="AC140" i="7"/>
  <c r="AD140" i="7"/>
  <c r="AC103" i="7"/>
  <c r="AD103" i="7"/>
  <c r="AC73" i="7"/>
  <c r="AD73" i="7"/>
  <c r="AC62" i="7"/>
  <c r="AD62" i="7"/>
  <c r="AC22" i="7"/>
  <c r="AD22" i="7"/>
  <c r="AC68" i="7"/>
  <c r="AD68" i="7"/>
  <c r="AD232" i="7"/>
  <c r="AD224" i="7"/>
  <c r="AC224" i="7"/>
  <c r="AC216" i="7"/>
  <c r="AD216" i="7"/>
  <c r="AC139" i="7"/>
  <c r="AD139" i="7"/>
  <c r="AC131" i="7"/>
  <c r="AD131" i="7"/>
  <c r="AC113" i="7"/>
  <c r="AD113" i="7"/>
  <c r="AC72" i="7"/>
  <c r="AD72" i="7"/>
  <c r="AC32" i="7"/>
  <c r="AD32" i="7"/>
  <c r="AC21" i="7"/>
  <c r="AC109" i="7"/>
  <c r="AD109" i="7"/>
  <c r="AD223" i="7"/>
  <c r="AC215" i="7"/>
  <c r="AD215" i="7"/>
  <c r="AD207" i="7"/>
  <c r="AC207" i="7"/>
  <c r="AD190" i="7"/>
  <c r="AC130" i="7"/>
  <c r="AD130" i="7"/>
  <c r="AC122" i="7"/>
  <c r="AD122" i="7"/>
  <c r="AC112" i="7"/>
  <c r="AD112" i="7"/>
  <c r="AD82" i="7"/>
  <c r="AC82" i="7"/>
  <c r="AD71" i="7"/>
  <c r="AC71" i="7"/>
  <c r="AC31" i="7"/>
  <c r="AD31" i="7"/>
  <c r="AC49" i="7"/>
  <c r="AD49" i="7"/>
  <c r="AC9" i="7"/>
  <c r="AD9" i="7"/>
  <c r="AD214" i="7"/>
  <c r="AC206" i="7"/>
  <c r="AD206" i="7"/>
  <c r="AC198" i="7"/>
  <c r="AD198" i="7"/>
  <c r="AD181" i="7"/>
  <c r="AC121" i="7"/>
  <c r="AD121" i="7"/>
  <c r="AC111" i="7"/>
  <c r="AC81" i="7"/>
  <c r="AD81" i="7"/>
  <c r="AD70" i="7"/>
  <c r="AC41" i="7"/>
  <c r="AD41" i="7"/>
  <c r="AC30" i="7"/>
  <c r="AD160" i="7"/>
  <c r="AD118" i="7"/>
  <c r="AC118" i="7"/>
  <c r="AC108" i="7"/>
  <c r="AD108" i="7"/>
  <c r="AD220" i="7"/>
  <c r="AC220" i="7"/>
  <c r="AC212" i="7"/>
  <c r="AD212" i="7"/>
  <c r="AD143" i="7"/>
  <c r="AC143" i="7"/>
  <c r="AC135" i="7"/>
  <c r="AD135" i="7"/>
  <c r="AC117" i="7"/>
  <c r="AD117" i="7"/>
  <c r="AD107" i="7"/>
  <c r="AC107" i="7"/>
  <c r="AC67" i="7"/>
  <c r="AD67" i="7"/>
  <c r="AC47" i="7"/>
  <c r="AD47" i="7"/>
  <c r="AD37" i="7"/>
  <c r="AC37" i="7"/>
  <c r="AC26" i="7"/>
  <c r="AD26" i="7"/>
  <c r="AC80" i="7"/>
  <c r="AD80" i="7"/>
  <c r="AD179" i="7"/>
  <c r="AC179" i="7"/>
  <c r="AC171" i="7"/>
  <c r="AD171" i="7"/>
  <c r="AD19" i="7"/>
  <c r="AC19" i="7"/>
  <c r="AD161" i="7"/>
  <c r="AC161" i="7"/>
  <c r="AC153" i="7"/>
  <c r="AD153" i="7"/>
  <c r="AC134" i="7"/>
  <c r="AD134" i="7"/>
  <c r="AC126" i="7"/>
  <c r="AD126" i="7"/>
  <c r="AC116" i="7"/>
  <c r="AD116" i="7"/>
  <c r="AD106" i="7"/>
  <c r="AC77" i="7"/>
  <c r="AD77" i="7"/>
  <c r="AC36" i="7"/>
  <c r="AD36" i="7"/>
  <c r="AC90" i="7"/>
  <c r="AD90" i="7"/>
  <c r="AC99" i="7"/>
  <c r="AD99" i="7"/>
  <c r="AC59" i="7"/>
  <c r="AD59" i="7"/>
  <c r="AC18" i="7"/>
  <c r="AD18" i="7"/>
  <c r="AC211" i="7"/>
  <c r="AD211" i="7"/>
  <c r="AC203" i="7"/>
  <c r="AD203" i="7"/>
  <c r="AC202" i="7"/>
  <c r="AD202" i="7"/>
  <c r="AC194" i="7"/>
  <c r="AD194" i="7"/>
  <c r="AD133" i="7"/>
  <c r="AD125" i="7"/>
  <c r="AC125" i="7"/>
  <c r="AC76" i="7"/>
  <c r="AD76" i="7"/>
  <c r="AD46" i="7"/>
  <c r="AC46" i="7"/>
  <c r="AD35" i="7"/>
  <c r="AC35" i="7"/>
  <c r="AC91" i="7"/>
  <c r="AD91" i="7"/>
  <c r="AC40" i="7"/>
  <c r="AD40" i="7"/>
  <c r="AC20" i="7"/>
  <c r="AD20" i="7"/>
  <c r="AD100" i="7"/>
  <c r="AC100" i="7"/>
  <c r="AC58" i="7"/>
  <c r="AD58" i="7"/>
  <c r="AD193" i="7"/>
  <c r="AC193" i="7"/>
  <c r="AC185" i="7"/>
  <c r="AD185" i="7"/>
  <c r="AC86" i="7"/>
  <c r="AD86" i="7"/>
  <c r="AC45" i="7"/>
  <c r="AD45" i="7"/>
  <c r="AD34" i="7"/>
  <c r="AC188" i="7"/>
  <c r="AD188" i="7"/>
  <c r="AC180" i="7"/>
  <c r="AD180" i="7"/>
  <c r="AC50" i="7"/>
  <c r="AD50" i="7"/>
  <c r="AC170" i="7"/>
  <c r="AD170" i="7"/>
  <c r="AC162" i="7"/>
  <c r="AD162" i="7"/>
  <c r="AC98" i="7"/>
  <c r="AD98" i="7"/>
  <c r="AD28" i="7"/>
  <c r="AC28" i="7"/>
  <c r="AC229" i="7"/>
  <c r="AD229" i="7"/>
  <c r="AC221" i="7"/>
  <c r="AD221" i="7"/>
  <c r="AC184" i="7"/>
  <c r="AD184" i="7"/>
  <c r="AC176" i="7"/>
  <c r="AD176" i="7"/>
  <c r="AD141" i="7"/>
  <c r="AC85" i="7"/>
  <c r="AD85" i="7"/>
  <c r="AC65" i="7"/>
  <c r="AD65" i="7"/>
  <c r="AD55" i="7"/>
  <c r="AC55" i="7"/>
  <c r="AC44" i="7"/>
  <c r="AD44" i="7"/>
  <c r="AC5" i="7"/>
  <c r="AD5" i="7"/>
  <c r="AD17" i="7"/>
  <c r="AC17" i="7"/>
  <c r="AC209" i="7"/>
  <c r="AC183" i="7"/>
  <c r="AC175" i="7"/>
  <c r="AD175" i="7"/>
  <c r="AC167" i="7"/>
  <c r="AD167" i="7"/>
  <c r="AC95" i="7"/>
  <c r="AD95" i="7"/>
  <c r="AC84" i="7"/>
  <c r="AC54" i="7"/>
  <c r="AD54" i="7"/>
  <c r="AD43" i="7"/>
  <c r="AC14" i="7"/>
  <c r="AD14" i="7"/>
  <c r="AC4" i="7"/>
  <c r="AD4" i="7"/>
  <c r="Y85" i="7"/>
  <c r="Z85" i="7"/>
  <c r="Y227" i="7"/>
  <c r="Z227" i="7"/>
  <c r="Y209" i="7"/>
  <c r="Z209" i="7"/>
  <c r="Y193" i="7"/>
  <c r="Z193" i="7"/>
  <c r="Y179" i="7"/>
  <c r="Z179" i="7"/>
  <c r="Y163" i="7"/>
  <c r="Z163" i="7"/>
  <c r="Y131" i="7"/>
  <c r="Z131" i="7"/>
  <c r="Y117" i="7"/>
  <c r="Z117" i="7"/>
  <c r="Y87" i="7"/>
  <c r="Z87" i="7"/>
  <c r="Y73" i="7"/>
  <c r="Z73" i="7"/>
  <c r="Y50" i="7"/>
  <c r="Z50" i="7"/>
  <c r="Z26" i="7"/>
  <c r="Y26" i="7"/>
  <c r="Y100" i="7"/>
  <c r="Z100" i="7"/>
  <c r="Z223" i="7"/>
  <c r="Y223" i="7"/>
  <c r="Z205" i="7"/>
  <c r="Y205" i="7"/>
  <c r="Y191" i="7"/>
  <c r="Z191" i="7"/>
  <c r="Y175" i="7"/>
  <c r="Z175" i="7"/>
  <c r="Y159" i="7"/>
  <c r="Z159" i="7"/>
  <c r="Y145" i="7"/>
  <c r="Z145" i="7"/>
  <c r="Y113" i="7"/>
  <c r="Z113" i="7"/>
  <c r="Y99" i="7"/>
  <c r="Z99" i="7"/>
  <c r="Y59" i="7"/>
  <c r="Z59" i="7"/>
  <c r="Y35" i="7"/>
  <c r="Z35" i="7"/>
  <c r="Y222" i="7"/>
  <c r="Z222" i="7"/>
  <c r="Y204" i="7"/>
  <c r="Z204" i="7"/>
  <c r="Y190" i="7"/>
  <c r="Z190" i="7"/>
  <c r="Y158" i="7"/>
  <c r="Z158" i="7"/>
  <c r="Y144" i="7"/>
  <c r="Z144" i="7"/>
  <c r="Y128" i="7"/>
  <c r="Z128" i="7"/>
  <c r="Y112" i="7"/>
  <c r="Z112" i="7"/>
  <c r="Z98" i="7"/>
  <c r="Y98" i="7"/>
  <c r="Y58" i="7"/>
  <c r="Z58" i="7"/>
  <c r="Y47" i="7"/>
  <c r="Z47" i="7"/>
  <c r="Y24" i="7"/>
  <c r="Z24" i="7"/>
  <c r="Y208" i="7"/>
  <c r="Z208" i="7"/>
  <c r="Y72" i="7"/>
  <c r="Z72" i="7"/>
  <c r="Y203" i="7"/>
  <c r="Z203" i="7"/>
  <c r="Y46" i="7"/>
  <c r="Z46" i="7"/>
  <c r="Y220" i="7"/>
  <c r="Z220" i="7"/>
  <c r="Y202" i="7"/>
  <c r="Z202" i="7"/>
  <c r="Z188" i="7"/>
  <c r="Y188" i="7"/>
  <c r="Y142" i="7"/>
  <c r="Z142" i="7"/>
  <c r="Y126" i="7"/>
  <c r="Z126" i="7"/>
  <c r="Y96" i="7"/>
  <c r="Z96" i="7"/>
  <c r="Y82" i="7"/>
  <c r="Z82" i="7"/>
  <c r="Y69" i="7"/>
  <c r="Z69" i="7"/>
  <c r="Y45" i="7"/>
  <c r="Z45" i="7"/>
  <c r="Y22" i="7"/>
  <c r="Z22" i="7"/>
  <c r="Y11" i="7"/>
  <c r="Z11" i="7"/>
  <c r="Y162" i="7"/>
  <c r="Z162" i="7"/>
  <c r="Y37" i="7"/>
  <c r="Z37" i="7"/>
  <c r="Y36" i="7"/>
  <c r="Z36" i="7"/>
  <c r="Y143" i="7"/>
  <c r="Z143" i="7"/>
  <c r="Y219" i="7"/>
  <c r="Z219" i="7"/>
  <c r="Y187" i="7"/>
  <c r="Z187" i="7"/>
  <c r="Y173" i="7"/>
  <c r="Z173" i="7"/>
  <c r="Y141" i="7"/>
  <c r="Z141" i="7"/>
  <c r="Y125" i="7"/>
  <c r="Z125" i="7"/>
  <c r="Y95" i="7"/>
  <c r="Z95" i="7"/>
  <c r="Y81" i="7"/>
  <c r="Z81" i="7"/>
  <c r="Y68" i="7"/>
  <c r="Z68" i="7"/>
  <c r="Z44" i="7"/>
  <c r="Y44" i="7"/>
  <c r="Y10" i="7"/>
  <c r="Z10" i="7"/>
  <c r="Y226" i="7"/>
  <c r="Z226" i="7"/>
  <c r="Y38" i="7"/>
  <c r="Z38" i="7"/>
  <c r="Y161" i="7"/>
  <c r="Z161" i="7"/>
  <c r="Y60" i="7"/>
  <c r="Z60" i="7"/>
  <c r="Y218" i="7"/>
  <c r="Z218" i="7"/>
  <c r="Y186" i="7"/>
  <c r="Z186" i="7"/>
  <c r="Y172" i="7"/>
  <c r="Z172" i="7"/>
  <c r="Y140" i="7"/>
  <c r="Z140" i="7"/>
  <c r="Z124" i="7"/>
  <c r="Y124" i="7"/>
  <c r="Y110" i="7"/>
  <c r="Z110" i="7"/>
  <c r="Y94" i="7"/>
  <c r="Z94" i="7"/>
  <c r="Z80" i="7"/>
  <c r="Y80" i="7"/>
  <c r="Y67" i="7"/>
  <c r="Z67" i="7"/>
  <c r="Y56" i="7"/>
  <c r="Z56" i="7"/>
  <c r="Y33" i="7"/>
  <c r="Z33" i="7"/>
  <c r="Y9" i="7"/>
  <c r="Z9" i="7"/>
  <c r="Y130" i="7"/>
  <c r="Z130" i="7"/>
  <c r="Y15" i="7"/>
  <c r="Z15" i="7"/>
  <c r="Y207" i="7"/>
  <c r="Z207" i="7"/>
  <c r="Y101" i="7"/>
  <c r="Z101" i="7"/>
  <c r="Y14" i="7"/>
  <c r="Z14" i="7"/>
  <c r="Y224" i="7"/>
  <c r="Z224" i="7"/>
  <c r="Z206" i="7"/>
  <c r="Y206" i="7"/>
  <c r="Y13" i="7"/>
  <c r="Z13" i="7"/>
  <c r="Y189" i="7"/>
  <c r="Z189" i="7"/>
  <c r="Y127" i="7"/>
  <c r="Z127" i="7"/>
  <c r="Z97" i="7"/>
  <c r="Y97" i="7"/>
  <c r="Y23" i="7"/>
  <c r="Z23" i="7"/>
  <c r="Y217" i="7"/>
  <c r="Z217" i="7"/>
  <c r="Y185" i="7"/>
  <c r="Z185" i="7"/>
  <c r="Y171" i="7"/>
  <c r="Z171" i="7"/>
  <c r="Y155" i="7"/>
  <c r="Z155" i="7"/>
  <c r="Y139" i="7"/>
  <c r="Z139" i="7"/>
  <c r="Y123" i="7"/>
  <c r="Z123" i="7"/>
  <c r="Y109" i="7"/>
  <c r="Z109" i="7"/>
  <c r="Z79" i="7"/>
  <c r="Y79" i="7"/>
  <c r="Y55" i="7"/>
  <c r="Z55" i="7"/>
  <c r="Y32" i="7"/>
  <c r="Z32" i="7"/>
  <c r="Z8" i="7"/>
  <c r="Y8" i="7"/>
  <c r="Z116" i="7"/>
  <c r="Y116" i="7"/>
  <c r="Y177" i="7"/>
  <c r="Z177" i="7"/>
  <c r="Y71" i="7"/>
  <c r="Z71" i="7"/>
  <c r="Y221" i="7"/>
  <c r="Z221" i="7"/>
  <c r="Y157" i="7"/>
  <c r="Z157" i="7"/>
  <c r="Y83" i="7"/>
  <c r="Z83" i="7"/>
  <c r="Y216" i="7"/>
  <c r="Z216" i="7"/>
  <c r="Y200" i="7"/>
  <c r="Z200" i="7"/>
  <c r="Y184" i="7"/>
  <c r="Z184" i="7"/>
  <c r="Z170" i="7"/>
  <c r="Y170" i="7"/>
  <c r="Y154" i="7"/>
  <c r="Z154" i="7"/>
  <c r="Y138" i="7"/>
  <c r="Z138" i="7"/>
  <c r="Y122" i="7"/>
  <c r="Z122" i="7"/>
  <c r="Y108" i="7"/>
  <c r="Z108" i="7"/>
  <c r="Y78" i="7"/>
  <c r="Z78" i="7"/>
  <c r="Y54" i="7"/>
  <c r="Z54" i="7"/>
  <c r="Y31" i="7"/>
  <c r="Z31" i="7"/>
  <c r="Y20" i="7"/>
  <c r="Z20" i="7"/>
  <c r="Z178" i="7"/>
  <c r="Y178" i="7"/>
  <c r="Z215" i="7"/>
  <c r="Y215" i="7"/>
  <c r="Y49" i="7"/>
  <c r="Z49" i="7"/>
  <c r="Y225" i="7"/>
  <c r="Z225" i="7"/>
  <c r="Y115" i="7"/>
  <c r="Z115" i="7"/>
  <c r="Y199" i="7"/>
  <c r="Z199" i="7"/>
  <c r="Z169" i="7"/>
  <c r="Y169" i="7"/>
  <c r="Y153" i="7"/>
  <c r="Z153" i="7"/>
  <c r="Y137" i="7"/>
  <c r="Z137" i="7"/>
  <c r="Y121" i="7"/>
  <c r="Z121" i="7"/>
  <c r="Y107" i="7"/>
  <c r="Z107" i="7"/>
  <c r="Y77" i="7"/>
  <c r="Z77" i="7"/>
  <c r="Y53" i="7"/>
  <c r="Z53" i="7"/>
  <c r="Y19" i="7"/>
  <c r="Z19" i="7"/>
  <c r="Y232" i="7"/>
  <c r="Z232" i="7"/>
  <c r="Y214" i="7"/>
  <c r="Z214" i="7"/>
  <c r="Y198" i="7"/>
  <c r="Z198" i="7"/>
  <c r="Y168" i="7"/>
  <c r="Z168" i="7"/>
  <c r="Z152" i="7"/>
  <c r="Y152" i="7"/>
  <c r="Y136" i="7"/>
  <c r="Z136" i="7"/>
  <c r="Y106" i="7"/>
  <c r="Z106" i="7"/>
  <c r="Y92" i="7"/>
  <c r="Z92" i="7"/>
  <c r="Y76" i="7"/>
  <c r="Z76" i="7"/>
  <c r="Y65" i="7"/>
  <c r="Z65" i="7"/>
  <c r="Y42" i="7"/>
  <c r="Z42" i="7"/>
  <c r="Y18" i="7"/>
  <c r="Z18" i="7"/>
  <c r="Y146" i="7"/>
  <c r="Z146" i="7"/>
  <c r="Y231" i="7"/>
  <c r="Z231" i="7"/>
  <c r="Y213" i="7"/>
  <c r="Z213" i="7"/>
  <c r="Y197" i="7"/>
  <c r="Z197" i="7"/>
  <c r="Y167" i="7"/>
  <c r="Z167" i="7"/>
  <c r="Y151" i="7"/>
  <c r="Z151" i="7"/>
  <c r="Y135" i="7"/>
  <c r="Z135" i="7"/>
  <c r="Y105" i="7"/>
  <c r="Z105" i="7"/>
  <c r="Y91" i="7"/>
  <c r="Z91" i="7"/>
  <c r="Y64" i="7"/>
  <c r="Z64" i="7"/>
  <c r="Y41" i="7"/>
  <c r="Z41" i="7"/>
  <c r="Y17" i="7"/>
  <c r="Z17" i="7"/>
  <c r="Y160" i="7"/>
  <c r="Z160" i="7"/>
  <c r="Y230" i="7"/>
  <c r="Z230" i="7"/>
  <c r="Y212" i="7"/>
  <c r="Z212" i="7"/>
  <c r="Z196" i="7"/>
  <c r="Y196" i="7"/>
  <c r="Y182" i="7"/>
  <c r="Z182" i="7"/>
  <c r="Y166" i="7"/>
  <c r="Z166" i="7"/>
  <c r="Y150" i="7"/>
  <c r="Z150" i="7"/>
  <c r="Z134" i="7"/>
  <c r="Y134" i="7"/>
  <c r="Y104" i="7"/>
  <c r="Z104" i="7"/>
  <c r="Y90" i="7"/>
  <c r="Z90" i="7"/>
  <c r="Y63" i="7"/>
  <c r="Z63" i="7"/>
  <c r="Y40" i="7"/>
  <c r="Z40" i="7"/>
  <c r="Y29" i="7"/>
  <c r="Z29" i="7"/>
  <c r="Y6" i="7"/>
  <c r="Z6" i="7"/>
  <c r="Y114" i="7"/>
  <c r="Z114" i="7"/>
  <c r="Y229" i="7"/>
  <c r="Z229" i="7"/>
  <c r="Y211" i="7"/>
  <c r="Z211" i="7"/>
  <c r="Y195" i="7"/>
  <c r="Z195" i="7"/>
  <c r="Y181" i="7"/>
  <c r="Z181" i="7"/>
  <c r="Y165" i="7"/>
  <c r="Z165" i="7"/>
  <c r="Y149" i="7"/>
  <c r="Z149" i="7"/>
  <c r="Z133" i="7"/>
  <c r="Y133" i="7"/>
  <c r="Y119" i="7"/>
  <c r="Z119" i="7"/>
  <c r="Y103" i="7"/>
  <c r="Z103" i="7"/>
  <c r="Y89" i="7"/>
  <c r="Z89" i="7"/>
  <c r="Z62" i="7"/>
  <c r="Y62" i="7"/>
  <c r="Y28" i="7"/>
  <c r="Z28" i="7"/>
  <c r="Y5" i="7"/>
  <c r="Z5" i="7"/>
  <c r="Y86" i="7"/>
  <c r="Z86" i="7"/>
  <c r="Y176" i="7"/>
  <c r="Z176" i="7"/>
  <c r="Y228" i="7"/>
  <c r="Z228" i="7"/>
  <c r="Y210" i="7"/>
  <c r="Z210" i="7"/>
  <c r="Y194" i="7"/>
  <c r="Z194" i="7"/>
  <c r="Y180" i="7"/>
  <c r="Z180" i="7"/>
  <c r="Y164" i="7"/>
  <c r="Z164" i="7"/>
  <c r="Y148" i="7"/>
  <c r="Z148" i="7"/>
  <c r="Y132" i="7"/>
  <c r="Z132" i="7"/>
  <c r="Y118" i="7"/>
  <c r="Z118" i="7"/>
  <c r="Z88" i="7"/>
  <c r="Y88" i="7"/>
  <c r="Y74" i="7"/>
  <c r="Z74" i="7"/>
  <c r="Y51" i="7"/>
  <c r="Z51" i="7"/>
  <c r="Y27" i="7"/>
  <c r="Z27" i="7"/>
  <c r="Y4" i="7"/>
  <c r="Z4" i="7"/>
  <c r="U189" i="7"/>
  <c r="V189" i="7"/>
  <c r="U219" i="7"/>
  <c r="V219" i="7"/>
  <c r="V208" i="7"/>
  <c r="U208" i="7"/>
  <c r="U230" i="7"/>
  <c r="V230" i="7"/>
  <c r="U187" i="7"/>
  <c r="V187" i="7"/>
  <c r="U167" i="7"/>
  <c r="V167" i="7"/>
  <c r="U106" i="7"/>
  <c r="V106" i="7"/>
  <c r="U193" i="7"/>
  <c r="V193" i="7"/>
  <c r="U183" i="7"/>
  <c r="V183" i="7"/>
  <c r="U174" i="7"/>
  <c r="V174" i="7"/>
  <c r="U129" i="7"/>
  <c r="V129" i="7"/>
  <c r="U121" i="7"/>
  <c r="V121" i="7"/>
  <c r="U205" i="7"/>
  <c r="V205" i="7"/>
  <c r="U185" i="7"/>
  <c r="V185" i="7"/>
  <c r="U176" i="7"/>
  <c r="V176" i="7"/>
  <c r="U156" i="7"/>
  <c r="V156" i="7"/>
  <c r="U147" i="7"/>
  <c r="V147" i="7"/>
  <c r="U139" i="7"/>
  <c r="V139" i="7"/>
  <c r="U131" i="7"/>
  <c r="V131" i="7"/>
  <c r="U194" i="7"/>
  <c r="V194" i="7"/>
  <c r="U184" i="7"/>
  <c r="V184" i="7"/>
  <c r="U175" i="7"/>
  <c r="V175" i="7"/>
  <c r="U138" i="7"/>
  <c r="V138" i="7"/>
  <c r="U130" i="7"/>
  <c r="V130" i="7"/>
  <c r="U122" i="7"/>
  <c r="V122" i="7"/>
  <c r="U226" i="7"/>
  <c r="V226" i="7"/>
  <c r="V203" i="7"/>
  <c r="U203" i="7"/>
  <c r="U192" i="7"/>
  <c r="V192" i="7"/>
  <c r="U182" i="7"/>
  <c r="U173" i="7"/>
  <c r="U120" i="7"/>
  <c r="V120" i="7"/>
  <c r="U97" i="7"/>
  <c r="V97" i="7"/>
  <c r="U88" i="7"/>
  <c r="V88" i="7"/>
  <c r="U79" i="7"/>
  <c r="V79" i="7"/>
  <c r="U70" i="7"/>
  <c r="V70" i="7"/>
  <c r="U61" i="7"/>
  <c r="V61" i="7"/>
  <c r="U52" i="7"/>
  <c r="V52" i="7"/>
  <c r="U43" i="7"/>
  <c r="V43" i="7"/>
  <c r="U34" i="7"/>
  <c r="V34" i="7"/>
  <c r="U115" i="7"/>
  <c r="V115" i="7"/>
  <c r="U216" i="7"/>
  <c r="V216" i="7"/>
  <c r="U225" i="7"/>
  <c r="V225" i="7"/>
  <c r="U202" i="7"/>
  <c r="V202" i="7"/>
  <c r="U113" i="7"/>
  <c r="V113" i="7"/>
  <c r="U112" i="7"/>
  <c r="V112" i="7"/>
  <c r="U200" i="7"/>
  <c r="U111" i="7"/>
  <c r="V111" i="7"/>
  <c r="U104" i="7"/>
  <c r="V104" i="7"/>
  <c r="U25" i="7"/>
  <c r="V25" i="7"/>
  <c r="U16" i="7"/>
  <c r="V16" i="7"/>
  <c r="U201" i="7"/>
  <c r="V201" i="7"/>
  <c r="U212" i="7"/>
  <c r="V212" i="7"/>
  <c r="U162" i="7"/>
  <c r="V162" i="7"/>
  <c r="U153" i="7"/>
  <c r="V153" i="7"/>
  <c r="U103" i="7"/>
  <c r="V103" i="7"/>
  <c r="U221" i="7"/>
  <c r="V221" i="7"/>
  <c r="U229" i="7"/>
  <c r="V229" i="7"/>
  <c r="U166" i="7"/>
  <c r="V166" i="7"/>
  <c r="U158" i="7"/>
  <c r="V158" i="7"/>
  <c r="U149" i="7"/>
  <c r="V149" i="7"/>
  <c r="U228" i="7"/>
  <c r="V228" i="7"/>
  <c r="U217" i="7"/>
  <c r="V217" i="7"/>
  <c r="U165" i="7"/>
  <c r="V165" i="7"/>
  <c r="U157" i="7"/>
  <c r="V157" i="7"/>
  <c r="U148" i="7"/>
  <c r="V148" i="7"/>
  <c r="U140" i="7"/>
  <c r="V140" i="7"/>
  <c r="U223" i="7"/>
  <c r="V223" i="7"/>
  <c r="U211" i="7"/>
  <c r="V211" i="7"/>
  <c r="U144" i="7"/>
  <c r="V144" i="7"/>
  <c r="U102" i="7"/>
  <c r="V102" i="7"/>
  <c r="U95" i="7"/>
  <c r="V95" i="7"/>
  <c r="U86" i="7"/>
  <c r="V86" i="7"/>
  <c r="U77" i="7"/>
  <c r="V77" i="7"/>
  <c r="U68" i="7"/>
  <c r="V68" i="7"/>
  <c r="U59" i="7"/>
  <c r="V59" i="7"/>
  <c r="U50" i="7"/>
  <c r="V50" i="7"/>
  <c r="U41" i="7"/>
  <c r="V41" i="7"/>
  <c r="U32" i="7"/>
  <c r="V32" i="7"/>
  <c r="U7" i="7"/>
  <c r="V7" i="7"/>
  <c r="V222" i="7"/>
  <c r="U210" i="7"/>
  <c r="V210" i="7"/>
  <c r="V199" i="7"/>
  <c r="U199" i="7"/>
  <c r="U180" i="7"/>
  <c r="V180" i="7"/>
  <c r="U171" i="7"/>
  <c r="V171" i="7"/>
  <c r="U135" i="7"/>
  <c r="V135" i="7"/>
  <c r="U94" i="7"/>
  <c r="V94" i="7"/>
  <c r="U85" i="7"/>
  <c r="V85" i="7"/>
  <c r="U76" i="7"/>
  <c r="V76" i="7"/>
  <c r="U67" i="7"/>
  <c r="V67" i="7"/>
  <c r="U58" i="7"/>
  <c r="V58" i="7"/>
  <c r="U49" i="7"/>
  <c r="V49" i="7"/>
  <c r="U40" i="7"/>
  <c r="V40" i="7"/>
  <c r="U31" i="7"/>
  <c r="V31" i="7"/>
  <c r="U214" i="7"/>
  <c r="V214" i="7"/>
  <c r="U209" i="7"/>
  <c r="U198" i="7"/>
  <c r="V198" i="7"/>
  <c r="U126" i="7"/>
  <c r="V126" i="7"/>
  <c r="U93" i="7"/>
  <c r="V93" i="7"/>
  <c r="U84" i="7"/>
  <c r="V84" i="7"/>
  <c r="U75" i="7"/>
  <c r="V75" i="7"/>
  <c r="U66" i="7"/>
  <c r="V66" i="7"/>
  <c r="U57" i="7"/>
  <c r="V57" i="7"/>
  <c r="U48" i="7"/>
  <c r="V48" i="7"/>
  <c r="U39" i="7"/>
  <c r="V39" i="7"/>
  <c r="U160" i="7"/>
  <c r="V160" i="7"/>
  <c r="U151" i="7"/>
  <c r="V151" i="7"/>
  <c r="U23" i="7"/>
  <c r="V23" i="7"/>
  <c r="U14" i="7"/>
  <c r="V14" i="7"/>
  <c r="U232" i="7"/>
  <c r="V232" i="7"/>
  <c r="U220" i="7"/>
  <c r="V220" i="7"/>
  <c r="U142" i="7"/>
  <c r="V142" i="7"/>
  <c r="U22" i="7"/>
  <c r="V22" i="7"/>
  <c r="U13" i="7"/>
  <c r="V13" i="7"/>
  <c r="U169" i="7"/>
  <c r="V169" i="7"/>
  <c r="U133" i="7"/>
  <c r="V133" i="7"/>
  <c r="U21" i="7"/>
  <c r="V21" i="7"/>
  <c r="U5" i="7"/>
  <c r="V5" i="7"/>
  <c r="U178" i="7"/>
  <c r="V178" i="7"/>
  <c r="U218" i="7"/>
  <c r="U207" i="7"/>
  <c r="V207" i="7"/>
  <c r="U196" i="7"/>
  <c r="V196" i="7"/>
  <c r="U168" i="7"/>
  <c r="V168" i="7"/>
  <c r="U124" i="7"/>
  <c r="V124" i="7"/>
  <c r="U4" i="7"/>
  <c r="V4" i="7"/>
  <c r="T204" i="7"/>
  <c r="V92" i="7"/>
  <c r="V83" i="7"/>
  <c r="V74" i="7"/>
  <c r="V65" i="7"/>
  <c r="V56" i="7"/>
  <c r="V47" i="7"/>
  <c r="V38" i="7"/>
  <c r="V29" i="7"/>
  <c r="V20" i="7"/>
  <c r="V11" i="7"/>
  <c r="V89" i="7"/>
  <c r="V80" i="7"/>
  <c r="V71" i="7"/>
  <c r="V62" i="7"/>
  <c r="V53" i="7"/>
  <c r="V44" i="7"/>
  <c r="V35" i="7"/>
  <c r="V26" i="7"/>
  <c r="V17" i="7"/>
  <c r="V8" i="7"/>
  <c r="Q157" i="7"/>
  <c r="R157" i="7"/>
  <c r="Q181" i="7"/>
  <c r="R181" i="7"/>
  <c r="R224" i="7"/>
  <c r="Q224" i="7"/>
  <c r="Q192" i="7"/>
  <c r="R192" i="7"/>
  <c r="Q176" i="7"/>
  <c r="R176" i="7"/>
  <c r="R222" i="7"/>
  <c r="Q207" i="7"/>
  <c r="R207" i="7"/>
  <c r="Q174" i="7"/>
  <c r="R174" i="7"/>
  <c r="Q158" i="7"/>
  <c r="R158" i="7"/>
  <c r="Q143" i="7"/>
  <c r="R143" i="7"/>
  <c r="Q112" i="7"/>
  <c r="R112" i="7"/>
  <c r="R96" i="7"/>
  <c r="Q96" i="7"/>
  <c r="R80" i="7"/>
  <c r="Q80" i="7"/>
  <c r="Q64" i="7"/>
  <c r="R64" i="7"/>
  <c r="Q31" i="7"/>
  <c r="R31" i="7"/>
  <c r="Q142" i="7"/>
  <c r="R142" i="7"/>
  <c r="Q63" i="7"/>
  <c r="R63" i="7"/>
  <c r="R221" i="7"/>
  <c r="Q221" i="7"/>
  <c r="Q140" i="7"/>
  <c r="R140" i="7"/>
  <c r="Q124" i="7"/>
  <c r="R124" i="7"/>
  <c r="Q109" i="7"/>
  <c r="R109" i="7"/>
  <c r="Q92" i="7"/>
  <c r="R92" i="7"/>
  <c r="Q76" i="7"/>
  <c r="R76" i="7"/>
  <c r="R60" i="7"/>
  <c r="Q60" i="7"/>
  <c r="R44" i="7"/>
  <c r="Q44" i="7"/>
  <c r="Q28" i="7"/>
  <c r="R28" i="7"/>
  <c r="Q13" i="7"/>
  <c r="R13" i="7"/>
  <c r="Q79" i="7"/>
  <c r="R79" i="7"/>
  <c r="Q232" i="7"/>
  <c r="R232" i="7"/>
  <c r="Q218" i="7"/>
  <c r="Q202" i="7"/>
  <c r="R202" i="7"/>
  <c r="R186" i="7"/>
  <c r="Q186" i="7"/>
  <c r="R170" i="7"/>
  <c r="Q170" i="7"/>
  <c r="Q154" i="7"/>
  <c r="R154" i="7"/>
  <c r="Q138" i="7"/>
  <c r="R138" i="7"/>
  <c r="R123" i="7"/>
  <c r="Q123" i="7"/>
  <c r="Q108" i="7"/>
  <c r="R108" i="7"/>
  <c r="Q75" i="7"/>
  <c r="R75" i="7"/>
  <c r="Q59" i="7"/>
  <c r="R59" i="7"/>
  <c r="Q43" i="7"/>
  <c r="R43" i="7"/>
  <c r="Q27" i="7"/>
  <c r="R27" i="7"/>
  <c r="Q12" i="7"/>
  <c r="R12" i="7"/>
  <c r="Q169" i="7"/>
  <c r="R169" i="7"/>
  <c r="Q153" i="7"/>
  <c r="R153" i="7"/>
  <c r="Q122" i="7"/>
  <c r="R122" i="7"/>
  <c r="Q107" i="7"/>
  <c r="R107" i="7"/>
  <c r="Q91" i="7"/>
  <c r="R91" i="7"/>
  <c r="Q58" i="7"/>
  <c r="R58" i="7"/>
  <c r="R42" i="7"/>
  <c r="Q42" i="7"/>
  <c r="Q187" i="7"/>
  <c r="R187" i="7"/>
  <c r="Q171" i="7"/>
  <c r="R171" i="7"/>
  <c r="Q139" i="7"/>
  <c r="R139" i="7"/>
  <c r="Q201" i="7"/>
  <c r="R201" i="7"/>
  <c r="Q185" i="7"/>
  <c r="R185" i="7"/>
  <c r="Q217" i="7"/>
  <c r="R217" i="7"/>
  <c r="Q200" i="7"/>
  <c r="Q184" i="7"/>
  <c r="R184" i="7"/>
  <c r="R168" i="7"/>
  <c r="Q168" i="7"/>
  <c r="R152" i="7"/>
  <c r="Q152" i="7"/>
  <c r="Q121" i="7"/>
  <c r="R121" i="7"/>
  <c r="Q106" i="7"/>
  <c r="R106" i="7"/>
  <c r="Q90" i="7"/>
  <c r="R90" i="7"/>
  <c r="Q57" i="7"/>
  <c r="R57" i="7"/>
  <c r="Q41" i="7"/>
  <c r="R41" i="7"/>
  <c r="Q205" i="7"/>
  <c r="R205" i="7"/>
  <c r="Q189" i="7"/>
  <c r="R189" i="7"/>
  <c r="Q156" i="7"/>
  <c r="R156" i="7"/>
  <c r="R141" i="7"/>
  <c r="Q141" i="7"/>
  <c r="Q94" i="7"/>
  <c r="R94" i="7"/>
  <c r="R78" i="7"/>
  <c r="Q78" i="7"/>
  <c r="R62" i="7"/>
  <c r="Q62" i="7"/>
  <c r="Q46" i="7"/>
  <c r="R46" i="7"/>
  <c r="Q15" i="7"/>
  <c r="R15" i="7"/>
  <c r="R204" i="7"/>
  <c r="Q204" i="7"/>
  <c r="Q188" i="7"/>
  <c r="R188" i="7"/>
  <c r="Q172" i="7"/>
  <c r="R172" i="7"/>
  <c r="Q125" i="7"/>
  <c r="R125" i="7"/>
  <c r="Q93" i="7"/>
  <c r="R93" i="7"/>
  <c r="Q77" i="7"/>
  <c r="R77" i="7"/>
  <c r="Q61" i="7"/>
  <c r="R61" i="7"/>
  <c r="Q45" i="7"/>
  <c r="R45" i="7"/>
  <c r="Q14" i="7"/>
  <c r="R14" i="7"/>
  <c r="Q203" i="7"/>
  <c r="R203" i="7"/>
  <c r="R230" i="7"/>
  <c r="Q230" i="7"/>
  <c r="Q216" i="7"/>
  <c r="R216" i="7"/>
  <c r="Q183" i="7"/>
  <c r="R183" i="7"/>
  <c r="Q151" i="7"/>
  <c r="R151" i="7"/>
  <c r="Q136" i="7"/>
  <c r="R136" i="7"/>
  <c r="Q120" i="7"/>
  <c r="R120" i="7"/>
  <c r="R105" i="7"/>
  <c r="Q105" i="7"/>
  <c r="Q89" i="7"/>
  <c r="R89" i="7"/>
  <c r="Q73" i="7"/>
  <c r="R73" i="7"/>
  <c r="Q40" i="7"/>
  <c r="R40" i="7"/>
  <c r="Q25" i="7"/>
  <c r="R25" i="7"/>
  <c r="Q10" i="7"/>
  <c r="R10" i="7"/>
  <c r="R206" i="7"/>
  <c r="Q206" i="7"/>
  <c r="Q220" i="7"/>
  <c r="R220" i="7"/>
  <c r="Q219" i="7"/>
  <c r="R219" i="7"/>
  <c r="Q167" i="7"/>
  <c r="R167" i="7"/>
  <c r="Q229" i="7"/>
  <c r="R229" i="7"/>
  <c r="R215" i="7"/>
  <c r="Q215" i="7"/>
  <c r="Q199" i="7"/>
  <c r="R199" i="7"/>
  <c r="Q166" i="7"/>
  <c r="R166" i="7"/>
  <c r="R150" i="7"/>
  <c r="Q150" i="7"/>
  <c r="Q135" i="7"/>
  <c r="R135" i="7"/>
  <c r="Q104" i="7"/>
  <c r="R104" i="7"/>
  <c r="Q88" i="7"/>
  <c r="R88" i="7"/>
  <c r="Q72" i="7"/>
  <c r="R72" i="7"/>
  <c r="Q39" i="7"/>
  <c r="R39" i="7"/>
  <c r="R24" i="7"/>
  <c r="Q24" i="7"/>
  <c r="Q9" i="7"/>
  <c r="R9" i="7"/>
  <c r="Q111" i="7"/>
  <c r="R111" i="7"/>
  <c r="Q214" i="7"/>
  <c r="R214" i="7"/>
  <c r="Q198" i="7"/>
  <c r="R198" i="7"/>
  <c r="Q165" i="7"/>
  <c r="R165" i="7"/>
  <c r="Q149" i="7"/>
  <c r="R149" i="7"/>
  <c r="R134" i="7"/>
  <c r="Q134" i="7"/>
  <c r="Q103" i="7"/>
  <c r="R103" i="7"/>
  <c r="R87" i="7"/>
  <c r="Q87" i="7"/>
  <c r="Q71" i="7"/>
  <c r="R71" i="7"/>
  <c r="Q55" i="7"/>
  <c r="R55" i="7"/>
  <c r="Q23" i="7"/>
  <c r="R23" i="7"/>
  <c r="Q8" i="7"/>
  <c r="R8" i="7"/>
  <c r="Q133" i="7"/>
  <c r="R133" i="7"/>
  <c r="Q102" i="7"/>
  <c r="R102" i="7"/>
  <c r="Q86" i="7"/>
  <c r="R86" i="7"/>
  <c r="Q70" i="7"/>
  <c r="R70" i="7"/>
  <c r="Q54" i="7"/>
  <c r="R54" i="7"/>
  <c r="Q22" i="7"/>
  <c r="R22" i="7"/>
  <c r="Q7" i="7"/>
  <c r="R7" i="7"/>
  <c r="Q190" i="7"/>
  <c r="R190" i="7"/>
  <c r="Q16" i="7"/>
  <c r="R16" i="7"/>
  <c r="Q196" i="7"/>
  <c r="R196" i="7"/>
  <c r="Q180" i="7"/>
  <c r="R180" i="7"/>
  <c r="Q147" i="7"/>
  <c r="R147" i="7"/>
  <c r="Q132" i="7"/>
  <c r="R132" i="7"/>
  <c r="Q118" i="7"/>
  <c r="R118" i="7"/>
  <c r="Q85" i="7"/>
  <c r="R85" i="7"/>
  <c r="R69" i="7"/>
  <c r="Q69" i="7"/>
  <c r="Q53" i="7"/>
  <c r="R53" i="7"/>
  <c r="Q37" i="7"/>
  <c r="R37" i="7"/>
  <c r="Q21" i="7"/>
  <c r="R21" i="7"/>
  <c r="Q127" i="7"/>
  <c r="R127" i="7"/>
  <c r="Q228" i="7"/>
  <c r="R228" i="7"/>
  <c r="R213" i="7"/>
  <c r="Q213" i="7"/>
  <c r="R197" i="7"/>
  <c r="Q197" i="7"/>
  <c r="Q148" i="7"/>
  <c r="R148" i="7"/>
  <c r="R212" i="7"/>
  <c r="Q212" i="7"/>
  <c r="Q211" i="7"/>
  <c r="R211" i="7"/>
  <c r="R195" i="7"/>
  <c r="Q195" i="7"/>
  <c r="R179" i="7"/>
  <c r="Q179" i="7"/>
  <c r="Q163" i="7"/>
  <c r="R163" i="7"/>
  <c r="Q131" i="7"/>
  <c r="R131" i="7"/>
  <c r="Q117" i="7"/>
  <c r="R117" i="7"/>
  <c r="Q84" i="7"/>
  <c r="R84" i="7"/>
  <c r="Q68" i="7"/>
  <c r="R68" i="7"/>
  <c r="Q52" i="7"/>
  <c r="R52" i="7"/>
  <c r="Q36" i="7"/>
  <c r="R36" i="7"/>
  <c r="Q178" i="7"/>
  <c r="R178" i="7"/>
  <c r="Q162" i="7"/>
  <c r="R162" i="7"/>
  <c r="Q130" i="7"/>
  <c r="R130" i="7"/>
  <c r="R116" i="7"/>
  <c r="Q116" i="7"/>
  <c r="Q100" i="7"/>
  <c r="R100" i="7"/>
  <c r="Q67" i="7"/>
  <c r="R67" i="7"/>
  <c r="R51" i="7"/>
  <c r="Q51" i="7"/>
  <c r="Q35" i="7"/>
  <c r="R35" i="7"/>
  <c r="Q30" i="7"/>
  <c r="R30" i="7"/>
  <c r="Q226" i="7"/>
  <c r="R226" i="7"/>
  <c r="Q210" i="7"/>
  <c r="R210" i="7"/>
  <c r="Q194" i="7"/>
  <c r="R194" i="7"/>
  <c r="R225" i="7"/>
  <c r="Q225" i="7"/>
  <c r="Q209" i="7"/>
  <c r="Q193" i="7"/>
  <c r="R193" i="7"/>
  <c r="Q177" i="7"/>
  <c r="R177" i="7"/>
  <c r="R161" i="7"/>
  <c r="Q161" i="7"/>
  <c r="Q129" i="7"/>
  <c r="R129" i="7"/>
  <c r="Q115" i="7"/>
  <c r="R115" i="7"/>
  <c r="Q99" i="7"/>
  <c r="R99" i="7"/>
  <c r="Q66" i="7"/>
  <c r="R66" i="7"/>
  <c r="Q50" i="7"/>
  <c r="R50" i="7"/>
  <c r="Q34" i="7"/>
  <c r="R34" i="7"/>
  <c r="Q19" i="7"/>
  <c r="R19" i="7"/>
  <c r="Q160" i="7"/>
  <c r="R160" i="7"/>
  <c r="Q145" i="7"/>
  <c r="R145" i="7"/>
  <c r="Q114" i="7"/>
  <c r="R114" i="7"/>
  <c r="R98" i="7"/>
  <c r="Q98" i="7"/>
  <c r="Q82" i="7"/>
  <c r="R82" i="7"/>
  <c r="Q49" i="7"/>
  <c r="R49" i="7"/>
  <c r="R33" i="7"/>
  <c r="Q33" i="7"/>
  <c r="Q18" i="7"/>
  <c r="R18" i="7"/>
  <c r="Q5" i="7"/>
  <c r="R5" i="7"/>
  <c r="Q95" i="7"/>
  <c r="R95" i="7"/>
  <c r="Q126" i="7"/>
  <c r="R126" i="7"/>
  <c r="Q223" i="7"/>
  <c r="R223" i="7"/>
  <c r="Q208" i="7"/>
  <c r="R208" i="7"/>
  <c r="Q191" i="7"/>
  <c r="Q175" i="7"/>
  <c r="R175" i="7"/>
  <c r="Q159" i="7"/>
  <c r="R159" i="7"/>
  <c r="Q144" i="7"/>
  <c r="R144" i="7"/>
  <c r="Q113" i="7"/>
  <c r="R113" i="7"/>
  <c r="Q97" i="7"/>
  <c r="R97" i="7"/>
  <c r="Q81" i="7"/>
  <c r="R81" i="7"/>
  <c r="Q48" i="7"/>
  <c r="R48" i="7"/>
  <c r="Q32" i="7"/>
  <c r="R32" i="7"/>
  <c r="Q4" i="7"/>
  <c r="R4" i="7"/>
  <c r="R110" i="7"/>
  <c r="R101" i="7"/>
  <c r="R83" i="7"/>
  <c r="R74" i="7"/>
  <c r="R65" i="7"/>
  <c r="R56" i="7"/>
  <c r="R47" i="7"/>
  <c r="R38" i="7"/>
  <c r="R29" i="7"/>
  <c r="R20" i="7"/>
  <c r="R11" i="7"/>
  <c r="R26" i="7"/>
  <c r="R17" i="7"/>
  <c r="N191" i="7"/>
  <c r="M191" i="7"/>
  <c r="N224" i="7"/>
  <c r="M224" i="7"/>
  <c r="N173" i="7"/>
  <c r="M173" i="7"/>
  <c r="N209" i="7"/>
  <c r="M209" i="7"/>
  <c r="N227" i="7"/>
  <c r="M227" i="7"/>
  <c r="N206" i="7"/>
  <c r="M206" i="7"/>
  <c r="N182" i="7"/>
  <c r="M182" i="7"/>
  <c r="N218" i="7"/>
  <c r="M218" i="7"/>
  <c r="M53" i="7"/>
  <c r="N53" i="7"/>
  <c r="M225" i="7"/>
  <c r="N225" i="7"/>
  <c r="N217" i="7"/>
  <c r="M202" i="7"/>
  <c r="N202" i="7"/>
  <c r="M187" i="7"/>
  <c r="N187" i="7"/>
  <c r="N180" i="7"/>
  <c r="M180" i="7"/>
  <c r="N54" i="7"/>
  <c r="M54" i="7"/>
  <c r="M94" i="7"/>
  <c r="N94" i="7"/>
  <c r="N64" i="7"/>
  <c r="M64" i="7"/>
  <c r="M62" i="7"/>
  <c r="N62" i="7"/>
  <c r="M178" i="7"/>
  <c r="N178" i="7"/>
  <c r="M171" i="7"/>
  <c r="N171" i="7"/>
  <c r="M139" i="7"/>
  <c r="N139" i="7"/>
  <c r="M130" i="7"/>
  <c r="N130" i="7"/>
  <c r="M121" i="7"/>
  <c r="N121" i="7"/>
  <c r="M112" i="7"/>
  <c r="N112" i="7"/>
  <c r="N72" i="7"/>
  <c r="M72" i="7"/>
  <c r="M200" i="7"/>
  <c r="M170" i="7"/>
  <c r="M92" i="7"/>
  <c r="N92" i="7"/>
  <c r="M82" i="7"/>
  <c r="N82" i="7"/>
  <c r="M71" i="7"/>
  <c r="N71" i="7"/>
  <c r="M61" i="7"/>
  <c r="N61" i="7"/>
  <c r="M31" i="7"/>
  <c r="N31" i="7"/>
  <c r="M11" i="7"/>
  <c r="N11" i="7"/>
  <c r="M157" i="7"/>
  <c r="N157" i="7"/>
  <c r="M216" i="7"/>
  <c r="N216" i="7"/>
  <c r="M214" i="7"/>
  <c r="N214" i="7"/>
  <c r="M207" i="7"/>
  <c r="N207" i="7"/>
  <c r="N81" i="7"/>
  <c r="M81" i="7"/>
  <c r="M230" i="7"/>
  <c r="N230" i="7"/>
  <c r="M101" i="7"/>
  <c r="N101" i="7"/>
  <c r="M91" i="7"/>
  <c r="N91" i="7"/>
  <c r="M80" i="7"/>
  <c r="N80" i="7"/>
  <c r="M70" i="7"/>
  <c r="N70" i="7"/>
  <c r="M40" i="7"/>
  <c r="N40" i="7"/>
  <c r="M20" i="7"/>
  <c r="N20" i="7"/>
  <c r="N10" i="7"/>
  <c r="M43" i="7"/>
  <c r="N43" i="7"/>
  <c r="M148" i="7"/>
  <c r="N148" i="7"/>
  <c r="M22" i="7"/>
  <c r="N22" i="7"/>
  <c r="M89" i="7"/>
  <c r="N89" i="7"/>
  <c r="M79" i="7"/>
  <c r="N79" i="7"/>
  <c r="M19" i="7"/>
  <c r="N19" i="7"/>
  <c r="M205" i="7"/>
  <c r="N205" i="7"/>
  <c r="M198" i="7"/>
  <c r="N198" i="7"/>
  <c r="N99" i="7"/>
  <c r="M99" i="7"/>
  <c r="N18" i="7"/>
  <c r="M18" i="7"/>
  <c r="M8" i="7"/>
  <c r="N8" i="7"/>
  <c r="M229" i="7"/>
  <c r="N229" i="7"/>
  <c r="N162" i="7"/>
  <c r="M162" i="7"/>
  <c r="M110" i="7"/>
  <c r="N110" i="7"/>
  <c r="M119" i="7"/>
  <c r="N119" i="7"/>
  <c r="M9" i="7"/>
  <c r="N9" i="7"/>
  <c r="M197" i="7"/>
  <c r="M153" i="7"/>
  <c r="N153" i="7"/>
  <c r="M98" i="7"/>
  <c r="N98" i="7"/>
  <c r="M88" i="7"/>
  <c r="N88" i="7"/>
  <c r="M58" i="7"/>
  <c r="N58" i="7"/>
  <c r="M38" i="7"/>
  <c r="N38" i="7"/>
  <c r="M28" i="7"/>
  <c r="N28" i="7"/>
  <c r="M17" i="7"/>
  <c r="N17" i="7"/>
  <c r="M103" i="7"/>
  <c r="N103" i="7"/>
  <c r="M83" i="7"/>
  <c r="N83" i="7"/>
  <c r="M73" i="7"/>
  <c r="N73" i="7"/>
  <c r="M52" i="7"/>
  <c r="N52" i="7"/>
  <c r="M220" i="7"/>
  <c r="N220" i="7"/>
  <c r="M160" i="7"/>
  <c r="N160" i="7"/>
  <c r="M152" i="7"/>
  <c r="N108" i="7"/>
  <c r="M108" i="7"/>
  <c r="N27" i="7"/>
  <c r="M27" i="7"/>
  <c r="M7" i="7"/>
  <c r="N7" i="7"/>
  <c r="M175" i="7"/>
  <c r="N175" i="7"/>
  <c r="M144" i="7"/>
  <c r="N144" i="7"/>
  <c r="M135" i="7"/>
  <c r="N135" i="7"/>
  <c r="M126" i="7"/>
  <c r="N126" i="7"/>
  <c r="M117" i="7"/>
  <c r="N117" i="7"/>
  <c r="M107" i="7"/>
  <c r="N107" i="7"/>
  <c r="M97" i="7"/>
  <c r="N97" i="7"/>
  <c r="M67" i="7"/>
  <c r="N67" i="7"/>
  <c r="M47" i="7"/>
  <c r="N47" i="7"/>
  <c r="N37" i="7"/>
  <c r="M37" i="7"/>
  <c r="M26" i="7"/>
  <c r="N26" i="7"/>
  <c r="M16" i="7"/>
  <c r="N16" i="7"/>
  <c r="N6" i="7"/>
  <c r="M74" i="7"/>
  <c r="N74" i="7"/>
  <c r="M169" i="7"/>
  <c r="N169" i="7"/>
  <c r="N90" i="7"/>
  <c r="M90" i="7"/>
  <c r="M221" i="7"/>
  <c r="N221" i="7"/>
  <c r="M128" i="7"/>
  <c r="N128" i="7"/>
  <c r="M49" i="7"/>
  <c r="N49" i="7"/>
  <c r="M29" i="7"/>
  <c r="N29" i="7"/>
  <c r="M211" i="7"/>
  <c r="N211" i="7"/>
  <c r="M196" i="7"/>
  <c r="N196" i="7"/>
  <c r="M189" i="7"/>
  <c r="N189" i="7"/>
  <c r="M143" i="7"/>
  <c r="N143" i="7"/>
  <c r="M134" i="7"/>
  <c r="N134" i="7"/>
  <c r="M125" i="7"/>
  <c r="N125" i="7"/>
  <c r="M116" i="7"/>
  <c r="N116" i="7"/>
  <c r="N36" i="7"/>
  <c r="M36" i="7"/>
  <c r="M232" i="7"/>
  <c r="N232" i="7"/>
  <c r="N63" i="7"/>
  <c r="M63" i="7"/>
  <c r="M223" i="7"/>
  <c r="N223" i="7"/>
  <c r="M151" i="7"/>
  <c r="N151" i="7"/>
  <c r="M106" i="7"/>
  <c r="N106" i="7"/>
  <c r="M76" i="7"/>
  <c r="N76" i="7"/>
  <c r="M56" i="7"/>
  <c r="N56" i="7"/>
  <c r="M46" i="7"/>
  <c r="N46" i="7"/>
  <c r="M35" i="7"/>
  <c r="N35" i="7"/>
  <c r="M25" i="7"/>
  <c r="N25" i="7"/>
  <c r="M13" i="7"/>
  <c r="N13" i="7"/>
  <c r="M184" i="7"/>
  <c r="N184" i="7"/>
  <c r="M100" i="7"/>
  <c r="N100" i="7"/>
  <c r="N226" i="7"/>
  <c r="M166" i="7"/>
  <c r="N166" i="7"/>
  <c r="M142" i="7"/>
  <c r="N142" i="7"/>
  <c r="M133" i="7"/>
  <c r="N133" i="7"/>
  <c r="M124" i="7"/>
  <c r="N124" i="7"/>
  <c r="M115" i="7"/>
  <c r="N115" i="7"/>
  <c r="N45" i="7"/>
  <c r="M45" i="7"/>
  <c r="M193" i="7"/>
  <c r="N193" i="7"/>
  <c r="M137" i="7"/>
  <c r="N137" i="7"/>
  <c r="N141" i="7"/>
  <c r="N132" i="7"/>
  <c r="N123" i="7"/>
  <c r="N114" i="7"/>
  <c r="M85" i="7"/>
  <c r="N85" i="7"/>
  <c r="M65" i="7"/>
  <c r="N65" i="7"/>
  <c r="M55" i="7"/>
  <c r="N55" i="7"/>
  <c r="M44" i="7"/>
  <c r="N44" i="7"/>
  <c r="M34" i="7"/>
  <c r="N34" i="7"/>
  <c r="M4" i="7"/>
  <c r="N4" i="7"/>
  <c r="N149" i="7"/>
  <c r="N140" i="7"/>
  <c r="N131" i="7"/>
  <c r="N122" i="7"/>
  <c r="N113" i="7"/>
  <c r="N104" i="7"/>
  <c r="N95" i="7"/>
  <c r="N86" i="7"/>
  <c r="N77" i="7"/>
  <c r="N68" i="7"/>
  <c r="N59" i="7"/>
  <c r="N50" i="7"/>
  <c r="N41" i="7"/>
  <c r="N32" i="7"/>
  <c r="N23" i="7"/>
  <c r="N14" i="7"/>
  <c r="N5" i="7"/>
  <c r="H207" i="7"/>
  <c r="H209" i="7"/>
  <c r="AX207" i="6"/>
  <c r="AW207" i="6"/>
  <c r="AW206" i="6"/>
  <c r="AX206" i="6"/>
  <c r="AW205" i="6"/>
  <c r="AX205" i="6"/>
  <c r="AW219" i="6"/>
  <c r="AX219" i="6"/>
  <c r="AW221" i="6"/>
  <c r="AX221" i="6"/>
  <c r="AW218" i="6"/>
  <c r="AX218" i="6"/>
  <c r="AW209" i="6"/>
  <c r="AX209" i="6"/>
  <c r="AX220" i="6"/>
  <c r="AW220" i="6"/>
  <c r="AW217" i="6"/>
  <c r="AX217" i="6"/>
  <c r="AX216" i="6"/>
  <c r="AW216" i="6"/>
  <c r="AW215" i="6"/>
  <c r="AX215" i="6"/>
  <c r="AW229" i="6"/>
  <c r="AX229" i="6"/>
  <c r="AW214" i="6"/>
  <c r="AX214" i="6"/>
  <c r="AX202" i="6"/>
  <c r="AW202" i="6"/>
  <c r="AW228" i="6"/>
  <c r="AX228" i="6"/>
  <c r="AW213" i="6"/>
  <c r="AX213" i="6"/>
  <c r="AW201" i="6"/>
  <c r="AX201" i="6"/>
  <c r="AX227" i="6"/>
  <c r="AW227" i="6"/>
  <c r="AW200" i="6"/>
  <c r="AX200" i="6"/>
  <c r="AW226" i="6"/>
  <c r="AX226" i="6"/>
  <c r="AW199" i="6"/>
  <c r="AX199" i="6"/>
  <c r="AW225" i="6"/>
  <c r="AX225" i="6"/>
  <c r="AW224" i="6"/>
  <c r="AX224" i="6"/>
  <c r="AX211" i="6"/>
  <c r="AW211" i="6"/>
  <c r="AW210" i="6"/>
  <c r="AX210" i="6"/>
  <c r="AW223" i="6"/>
  <c r="AX223" i="6"/>
  <c r="AW197" i="6"/>
  <c r="AX197" i="6"/>
  <c r="AW208" i="6"/>
  <c r="AX208" i="6"/>
  <c r="AW196" i="6"/>
  <c r="AX196" i="6"/>
  <c r="AX203" i="6"/>
  <c r="AS205" i="6"/>
  <c r="AT205" i="6"/>
  <c r="AS221" i="6"/>
  <c r="AT221" i="6"/>
  <c r="AS203" i="6"/>
  <c r="AT203" i="6"/>
  <c r="AS202" i="6"/>
  <c r="AT202" i="6"/>
  <c r="AS212" i="6"/>
  <c r="AT212" i="6"/>
  <c r="AS229" i="6"/>
  <c r="AT229" i="6"/>
  <c r="AS209" i="6"/>
  <c r="AT209" i="6"/>
  <c r="AS226" i="6"/>
  <c r="AT226" i="6"/>
  <c r="AT208" i="6"/>
  <c r="AS208" i="6"/>
  <c r="AS223" i="6"/>
  <c r="AT223" i="6"/>
  <c r="AS211" i="6"/>
  <c r="AT211" i="6"/>
  <c r="AS210" i="6"/>
  <c r="AT210" i="6"/>
  <c r="AS225" i="6"/>
  <c r="AT225" i="6"/>
  <c r="AS207" i="6"/>
  <c r="AT207" i="6"/>
  <c r="AS222" i="6"/>
  <c r="AT222" i="6"/>
  <c r="AS228" i="6"/>
  <c r="AT228" i="6"/>
  <c r="AS227" i="6"/>
  <c r="AT227" i="6"/>
  <c r="AS224" i="6"/>
  <c r="AT224" i="6"/>
  <c r="AS206" i="6"/>
  <c r="AT206" i="6"/>
  <c r="AS219" i="6"/>
  <c r="AT219" i="6"/>
  <c r="AT218" i="6"/>
  <c r="AS218" i="6"/>
  <c r="AT200" i="6"/>
  <c r="AS200" i="6"/>
  <c r="AS216" i="6"/>
  <c r="AT216" i="6"/>
  <c r="AT199" i="6"/>
  <c r="AS199" i="6"/>
  <c r="AS215" i="6"/>
  <c r="AT215" i="6"/>
  <c r="AS198" i="6"/>
  <c r="AT198" i="6"/>
  <c r="AS220" i="6"/>
  <c r="AT220" i="6"/>
  <c r="AS201" i="6"/>
  <c r="AT201" i="6"/>
  <c r="AS217" i="6"/>
  <c r="AT217" i="6"/>
  <c r="AS214" i="6"/>
  <c r="AT214" i="6"/>
  <c r="AS197" i="6"/>
  <c r="AT197" i="6"/>
  <c r="AS213" i="6"/>
  <c r="AT213" i="6"/>
  <c r="AS196" i="6"/>
  <c r="AT196" i="6"/>
  <c r="AT204" i="6"/>
  <c r="AO224" i="6"/>
  <c r="AP224" i="6"/>
  <c r="AP208" i="6"/>
  <c r="AO208" i="6"/>
  <c r="AO223" i="6"/>
  <c r="AP223" i="6"/>
  <c r="AP222" i="6"/>
  <c r="AO222" i="6"/>
  <c r="AO221" i="6"/>
  <c r="AP221" i="6"/>
  <c r="AO205" i="6"/>
  <c r="AP205" i="6"/>
  <c r="AO219" i="6"/>
  <c r="AP219" i="6"/>
  <c r="AP218" i="6"/>
  <c r="AO218" i="6"/>
  <c r="AO225" i="6"/>
  <c r="AP225" i="6"/>
  <c r="AO206" i="6"/>
  <c r="AP206" i="6"/>
  <c r="AP220" i="6"/>
  <c r="AO220" i="6"/>
  <c r="AP217" i="6"/>
  <c r="AO217" i="6"/>
  <c r="AO203" i="6"/>
  <c r="AP203" i="6"/>
  <c r="AO216" i="6"/>
  <c r="AP216" i="6"/>
  <c r="AP202" i="6"/>
  <c r="AO202" i="6"/>
  <c r="AO215" i="6"/>
  <c r="AP215" i="6"/>
  <c r="AO214" i="6"/>
  <c r="AP214" i="6"/>
  <c r="AO229" i="6"/>
  <c r="AP229" i="6"/>
  <c r="AO212" i="6"/>
  <c r="AP212" i="6"/>
  <c r="AP211" i="6"/>
  <c r="AO211" i="6"/>
  <c r="AO227" i="6"/>
  <c r="AP227" i="6"/>
  <c r="AO210" i="6"/>
  <c r="AP210" i="6"/>
  <c r="AO197" i="6"/>
  <c r="AP197" i="6"/>
  <c r="AO201" i="6"/>
  <c r="AP201" i="6"/>
  <c r="AP200" i="6"/>
  <c r="AO200" i="6"/>
  <c r="AP199" i="6"/>
  <c r="AO199" i="6"/>
  <c r="AO228" i="6"/>
  <c r="AP228" i="6"/>
  <c r="AP226" i="6"/>
  <c r="AO226" i="6"/>
  <c r="AO209" i="6"/>
  <c r="AP209" i="6"/>
  <c r="AO196" i="6"/>
  <c r="AP196" i="6"/>
  <c r="AP213" i="6"/>
  <c r="AP204" i="6"/>
  <c r="AK228" i="6"/>
  <c r="AL228" i="6"/>
  <c r="AK210" i="6"/>
  <c r="AL210" i="6"/>
  <c r="AK207" i="6"/>
  <c r="AL207" i="6"/>
  <c r="AK224" i="6"/>
  <c r="AL224" i="6"/>
  <c r="AK206" i="6"/>
  <c r="AL206" i="6"/>
  <c r="AL217" i="6"/>
  <c r="AK217" i="6"/>
  <c r="AK223" i="6"/>
  <c r="AL223" i="6"/>
  <c r="AK205" i="6"/>
  <c r="AL205" i="6"/>
  <c r="AK226" i="6"/>
  <c r="AL226" i="6"/>
  <c r="AL222" i="6"/>
  <c r="AK222" i="6"/>
  <c r="AL218" i="6"/>
  <c r="AK218" i="6"/>
  <c r="AK209" i="6"/>
  <c r="AL209" i="6"/>
  <c r="AK221" i="6"/>
  <c r="AL221" i="6"/>
  <c r="AL227" i="6"/>
  <c r="AK227" i="6"/>
  <c r="AL208" i="6"/>
  <c r="AK208" i="6"/>
  <c r="AK225" i="6"/>
  <c r="AL225" i="6"/>
  <c r="AK220" i="6"/>
  <c r="AL220" i="6"/>
  <c r="AK219" i="6"/>
  <c r="AL219" i="6"/>
  <c r="AK214" i="6"/>
  <c r="AL214" i="6"/>
  <c r="AL213" i="6"/>
  <c r="AK213" i="6"/>
  <c r="AK212" i="6"/>
  <c r="AL212" i="6"/>
  <c r="AK197" i="6"/>
  <c r="AL197" i="6"/>
  <c r="AK203" i="6"/>
  <c r="AL203" i="6"/>
  <c r="AK202" i="6"/>
  <c r="AL202" i="6"/>
  <c r="AK216" i="6"/>
  <c r="AL216" i="6"/>
  <c r="AK201" i="6"/>
  <c r="AL201" i="6"/>
  <c r="AK215" i="6"/>
  <c r="AL215" i="6"/>
  <c r="AK200" i="6"/>
  <c r="AL200" i="6"/>
  <c r="AL199" i="6"/>
  <c r="AK199" i="6"/>
  <c r="AK198" i="6"/>
  <c r="AL198" i="6"/>
  <c r="AK229" i="6"/>
  <c r="AL229" i="6"/>
  <c r="AK211" i="6"/>
  <c r="AL211" i="6"/>
  <c r="AK196" i="6"/>
  <c r="AL196" i="6"/>
  <c r="AH228" i="6"/>
  <c r="AG228" i="6"/>
  <c r="AG226" i="6"/>
  <c r="AH226" i="6"/>
  <c r="AH208" i="6"/>
  <c r="AG208" i="6"/>
  <c r="AG225" i="6"/>
  <c r="AH225" i="6"/>
  <c r="AG207" i="6"/>
  <c r="AH207" i="6"/>
  <c r="AG224" i="6"/>
  <c r="AH224" i="6"/>
  <c r="AG206" i="6"/>
  <c r="AH206" i="6"/>
  <c r="AH223" i="6"/>
  <c r="AG223" i="6"/>
  <c r="AG205" i="6"/>
  <c r="AH205" i="6"/>
  <c r="AG209" i="6"/>
  <c r="AH209" i="6"/>
  <c r="AH222" i="6"/>
  <c r="AG222" i="6"/>
  <c r="AH218" i="6"/>
  <c r="AG218" i="6"/>
  <c r="AG210" i="6"/>
  <c r="AH210" i="6"/>
  <c r="AG221" i="6"/>
  <c r="AH221" i="6"/>
  <c r="AH217" i="6"/>
  <c r="AG217" i="6"/>
  <c r="AH227" i="6"/>
  <c r="AG227" i="6"/>
  <c r="AG220" i="6"/>
  <c r="AH220" i="6"/>
  <c r="AG219" i="6"/>
  <c r="AH219" i="6"/>
  <c r="AG216" i="6"/>
  <c r="AH216" i="6"/>
  <c r="AG212" i="6"/>
  <c r="AH212" i="6"/>
  <c r="AG197" i="6"/>
  <c r="AH197" i="6"/>
  <c r="AG203" i="6"/>
  <c r="AH203" i="6"/>
  <c r="AG202" i="6"/>
  <c r="AH202" i="6"/>
  <c r="AG201" i="6"/>
  <c r="AH201" i="6"/>
  <c r="AG215" i="6"/>
  <c r="AH215" i="6"/>
  <c r="AG200" i="6"/>
  <c r="AH200" i="6"/>
  <c r="AG214" i="6"/>
  <c r="AH214" i="6"/>
  <c r="AH199" i="6"/>
  <c r="AG199" i="6"/>
  <c r="AH213" i="6"/>
  <c r="AG213" i="6"/>
  <c r="AG198" i="6"/>
  <c r="AH198" i="6"/>
  <c r="AG229" i="6"/>
  <c r="AH229" i="6"/>
  <c r="AG211" i="6"/>
  <c r="AH211" i="6"/>
  <c r="AG196" i="6"/>
  <c r="AH196" i="6"/>
  <c r="AC223" i="6"/>
  <c r="AD223" i="6"/>
  <c r="AD209" i="6"/>
  <c r="AC209" i="6"/>
  <c r="AC206" i="6"/>
  <c r="AD206" i="6"/>
  <c r="AC221" i="6"/>
  <c r="AD221" i="6"/>
  <c r="AC205" i="6"/>
  <c r="AD205" i="6"/>
  <c r="AC220" i="6"/>
  <c r="AD220" i="6"/>
  <c r="AC219" i="6"/>
  <c r="AD219" i="6"/>
  <c r="AC218" i="6"/>
  <c r="AD218" i="6"/>
  <c r="AC217" i="6"/>
  <c r="AD217" i="6"/>
  <c r="AC215" i="6"/>
  <c r="AD215" i="6"/>
  <c r="AC214" i="6"/>
  <c r="AD214" i="6"/>
  <c r="AC202" i="6"/>
  <c r="AD202" i="6"/>
  <c r="AC229" i="6"/>
  <c r="AD229" i="6"/>
  <c r="AC201" i="6"/>
  <c r="AD201" i="6"/>
  <c r="AC207" i="6"/>
  <c r="AD207" i="6"/>
  <c r="AC216" i="6"/>
  <c r="AD216" i="6"/>
  <c r="AC228" i="6"/>
  <c r="AD228" i="6"/>
  <c r="AD200" i="6"/>
  <c r="AC200" i="6"/>
  <c r="AD208" i="6"/>
  <c r="AC208" i="6"/>
  <c r="AC213" i="6"/>
  <c r="AD213" i="6"/>
  <c r="AD227" i="6"/>
  <c r="AC227" i="6"/>
  <c r="AC199" i="6"/>
  <c r="AD199" i="6"/>
  <c r="AC226" i="6"/>
  <c r="AD226" i="6"/>
  <c r="AC198" i="6"/>
  <c r="AD198" i="6"/>
  <c r="AC225" i="6"/>
  <c r="AD225" i="6"/>
  <c r="AC211" i="6"/>
  <c r="AD211" i="6"/>
  <c r="AC197" i="6"/>
  <c r="AD197" i="6"/>
  <c r="AC224" i="6"/>
  <c r="AD224" i="6"/>
  <c r="AC210" i="6"/>
  <c r="AD210" i="6"/>
  <c r="AC196" i="6"/>
  <c r="AD196" i="6"/>
  <c r="Y212" i="6"/>
  <c r="Z212" i="6"/>
  <c r="Y203" i="6"/>
  <c r="Z203" i="6"/>
  <c r="Y228" i="6"/>
  <c r="Z228" i="6"/>
  <c r="Y209" i="6"/>
  <c r="Z209" i="6"/>
  <c r="Y226" i="6"/>
  <c r="Z226" i="6"/>
  <c r="Y208" i="6"/>
  <c r="Z208" i="6"/>
  <c r="Y210" i="6"/>
  <c r="Z210" i="6"/>
  <c r="Y225" i="6"/>
  <c r="Z225" i="6"/>
  <c r="Y207" i="6"/>
  <c r="Z207" i="6"/>
  <c r="Y224" i="6"/>
  <c r="Z224" i="6"/>
  <c r="Y206" i="6"/>
  <c r="Z206" i="6"/>
  <c r="Y221" i="6"/>
  <c r="Z221" i="6"/>
  <c r="Y202" i="6"/>
  <c r="Z202" i="6"/>
  <c r="Y229" i="6"/>
  <c r="Z229" i="6"/>
  <c r="Y223" i="6"/>
  <c r="Z223" i="6"/>
  <c r="Y205" i="6"/>
  <c r="Z205" i="6"/>
  <c r="Y211" i="6"/>
  <c r="Z211" i="6"/>
  <c r="Z227" i="6"/>
  <c r="Y227" i="6"/>
  <c r="Z222" i="6"/>
  <c r="Y222" i="6"/>
  <c r="Z204" i="6"/>
  <c r="Y204" i="6"/>
  <c r="Y219" i="6"/>
  <c r="Z219" i="6"/>
  <c r="Z218" i="6"/>
  <c r="Y218" i="6"/>
  <c r="Y217" i="6"/>
  <c r="Z217" i="6"/>
  <c r="Y199" i="6"/>
  <c r="Z199" i="6"/>
  <c r="Y215" i="6"/>
  <c r="Z215" i="6"/>
  <c r="Y214" i="6"/>
  <c r="Z214" i="6"/>
  <c r="Y197" i="6"/>
  <c r="Z197" i="6"/>
  <c r="Y220" i="6"/>
  <c r="Z220" i="6"/>
  <c r="Y201" i="6"/>
  <c r="Z201" i="6"/>
  <c r="Y216" i="6"/>
  <c r="Z216" i="6"/>
  <c r="Y198" i="6"/>
  <c r="Z198" i="6"/>
  <c r="Z213" i="6"/>
  <c r="Y213" i="6"/>
  <c r="Y196" i="6"/>
  <c r="Z196" i="6"/>
  <c r="Z200" i="6"/>
  <c r="U229" i="6"/>
  <c r="V229" i="6"/>
  <c r="U210" i="6"/>
  <c r="V210" i="6"/>
  <c r="U227" i="6"/>
  <c r="V227" i="6"/>
  <c r="U209" i="6"/>
  <c r="V209" i="6"/>
  <c r="U226" i="6"/>
  <c r="V226" i="6"/>
  <c r="V208" i="6"/>
  <c r="U208" i="6"/>
  <c r="U225" i="6"/>
  <c r="V225" i="6"/>
  <c r="U207" i="6"/>
  <c r="V207" i="6"/>
  <c r="U224" i="6"/>
  <c r="V224" i="6"/>
  <c r="U206" i="6"/>
  <c r="V206" i="6"/>
  <c r="U223" i="6"/>
  <c r="V223" i="6"/>
  <c r="U205" i="6"/>
  <c r="V205" i="6"/>
  <c r="U222" i="6"/>
  <c r="V222" i="6"/>
  <c r="U211" i="6"/>
  <c r="V211" i="6"/>
  <c r="U221" i="6"/>
  <c r="V221" i="6"/>
  <c r="U228" i="6"/>
  <c r="V228" i="6"/>
  <c r="U220" i="6"/>
  <c r="V220" i="6"/>
  <c r="U202" i="6"/>
  <c r="V202" i="6"/>
  <c r="V217" i="6"/>
  <c r="U217" i="6"/>
  <c r="U201" i="6"/>
  <c r="V201" i="6"/>
  <c r="U219" i="6"/>
  <c r="V219" i="6"/>
  <c r="V218" i="6"/>
  <c r="U218" i="6"/>
  <c r="V200" i="6"/>
  <c r="U200" i="6"/>
  <c r="V199" i="6"/>
  <c r="U199" i="6"/>
  <c r="U214" i="6"/>
  <c r="V214" i="6"/>
  <c r="U198" i="6"/>
  <c r="V198" i="6"/>
  <c r="U213" i="6"/>
  <c r="V213" i="6"/>
  <c r="U197" i="6"/>
  <c r="V197" i="6"/>
  <c r="U203" i="6"/>
  <c r="V203" i="6"/>
  <c r="U216" i="6"/>
  <c r="V216" i="6"/>
  <c r="U215" i="6"/>
  <c r="V215" i="6"/>
  <c r="U212" i="6"/>
  <c r="V212" i="6"/>
  <c r="U196" i="6"/>
  <c r="V196" i="6"/>
  <c r="Q222" i="6"/>
  <c r="R222" i="6"/>
  <c r="Q208" i="6"/>
  <c r="R208" i="6"/>
  <c r="Q207" i="6"/>
  <c r="R207" i="6"/>
  <c r="Q206" i="6"/>
  <c r="R206" i="6"/>
  <c r="R218" i="6"/>
  <c r="Q218" i="6"/>
  <c r="Q205" i="6"/>
  <c r="R205" i="6"/>
  <c r="Q217" i="6"/>
  <c r="R217" i="6"/>
  <c r="Q216" i="6"/>
  <c r="R216" i="6"/>
  <c r="Q221" i="6"/>
  <c r="R221" i="6"/>
  <c r="Q220" i="6"/>
  <c r="R220" i="6"/>
  <c r="Q215" i="6"/>
  <c r="R215" i="6"/>
  <c r="Q219" i="6"/>
  <c r="R219" i="6"/>
  <c r="Q214" i="6"/>
  <c r="R214" i="6"/>
  <c r="Q228" i="6"/>
  <c r="R228" i="6"/>
  <c r="R227" i="6"/>
  <c r="Q227" i="6"/>
  <c r="Q211" i="6"/>
  <c r="R211" i="6"/>
  <c r="Q225" i="6"/>
  <c r="R225" i="6"/>
  <c r="Q210" i="6"/>
  <c r="R210" i="6"/>
  <c r="Q198" i="6"/>
  <c r="R198" i="6"/>
  <c r="Q212" i="6"/>
  <c r="R212" i="6"/>
  <c r="Q226" i="6"/>
  <c r="R226" i="6"/>
  <c r="Q224" i="6"/>
  <c r="R224" i="6"/>
  <c r="Q197" i="6"/>
  <c r="R197" i="6"/>
  <c r="Q203" i="6"/>
  <c r="R203" i="6"/>
  <c r="Q202" i="6"/>
  <c r="R202" i="6"/>
  <c r="Q229" i="6"/>
  <c r="R229" i="6"/>
  <c r="Q201" i="6"/>
  <c r="R201" i="6"/>
  <c r="Q199" i="6"/>
  <c r="R199" i="6"/>
  <c r="Q223" i="6"/>
  <c r="R223" i="6"/>
  <c r="Q196" i="6"/>
  <c r="R196" i="6"/>
  <c r="R200" i="6"/>
  <c r="M223" i="6"/>
  <c r="N223" i="6"/>
  <c r="M204" i="6"/>
  <c r="N204" i="6"/>
  <c r="M203" i="6"/>
  <c r="N203" i="6"/>
  <c r="M202" i="6"/>
  <c r="N202" i="6"/>
  <c r="M219" i="6"/>
  <c r="N219" i="6"/>
  <c r="M213" i="6"/>
  <c r="N213" i="6"/>
  <c r="N227" i="6"/>
  <c r="M227" i="6"/>
  <c r="M209" i="6"/>
  <c r="N209" i="6"/>
  <c r="M205" i="6"/>
  <c r="N205" i="6"/>
  <c r="M212" i="6"/>
  <c r="N212" i="6"/>
  <c r="M229" i="6"/>
  <c r="N229" i="6"/>
  <c r="M228" i="6"/>
  <c r="N228" i="6"/>
  <c r="M226" i="6"/>
  <c r="N226" i="6"/>
  <c r="M208" i="6"/>
  <c r="N208" i="6"/>
  <c r="M210" i="6"/>
  <c r="N210" i="6"/>
  <c r="M225" i="6"/>
  <c r="N225" i="6"/>
  <c r="M207" i="6"/>
  <c r="N207" i="6"/>
  <c r="M211" i="6"/>
  <c r="N211" i="6"/>
  <c r="M224" i="6"/>
  <c r="N224" i="6"/>
  <c r="M206" i="6"/>
  <c r="N206" i="6"/>
  <c r="M222" i="6"/>
  <c r="N222" i="6"/>
  <c r="M221" i="6"/>
  <c r="N221" i="6"/>
  <c r="M220" i="6"/>
  <c r="N220" i="6"/>
  <c r="M201" i="6"/>
  <c r="N201" i="6"/>
  <c r="N218" i="6"/>
  <c r="M218" i="6"/>
  <c r="M200" i="6"/>
  <c r="N200" i="6"/>
  <c r="M217" i="6"/>
  <c r="N217" i="6"/>
  <c r="M199" i="6"/>
  <c r="N199" i="6"/>
  <c r="M216" i="6"/>
  <c r="N216" i="6"/>
  <c r="M198" i="6"/>
  <c r="N198" i="6"/>
  <c r="M215" i="6"/>
  <c r="N215" i="6"/>
  <c r="M197" i="6"/>
  <c r="N197" i="6"/>
  <c r="M214" i="6"/>
  <c r="N214" i="6"/>
  <c r="M196" i="6"/>
  <c r="N196" i="6"/>
  <c r="AC161" i="5"/>
  <c r="AD161" i="5"/>
  <c r="AC26" i="5"/>
  <c r="AD26" i="5"/>
  <c r="AC179" i="5"/>
  <c r="AD179" i="5"/>
  <c r="AC188" i="5"/>
  <c r="AD188" i="5"/>
  <c r="AC197" i="5"/>
  <c r="AD197" i="5"/>
  <c r="AC116" i="5"/>
  <c r="AD116" i="5"/>
  <c r="AC80" i="5"/>
  <c r="AD80" i="5"/>
  <c r="AC134" i="5"/>
  <c r="AD134" i="5"/>
  <c r="AC170" i="5"/>
  <c r="AD170" i="5"/>
  <c r="AC125" i="5"/>
  <c r="AD125" i="5"/>
  <c r="AC206" i="5"/>
  <c r="AD206" i="5"/>
  <c r="AC8" i="5"/>
  <c r="AD8" i="5"/>
  <c r="AC107" i="5"/>
  <c r="AD107" i="5"/>
  <c r="AC215" i="5"/>
  <c r="AD215" i="5"/>
  <c r="AC224" i="5"/>
  <c r="AD224" i="5"/>
  <c r="AC152" i="5"/>
  <c r="AD152" i="5"/>
  <c r="AC17" i="5"/>
  <c r="AD17" i="5"/>
  <c r="AC191" i="5"/>
  <c r="AD191" i="5"/>
  <c r="AC182" i="5"/>
  <c r="AD182" i="5"/>
  <c r="AC173" i="5"/>
  <c r="AD173" i="5"/>
  <c r="AC153" i="5"/>
  <c r="AD153" i="5"/>
  <c r="AD226" i="5"/>
  <c r="AD217" i="5"/>
  <c r="AD208" i="5"/>
  <c r="AD199" i="5"/>
  <c r="AD190" i="5"/>
  <c r="AD181" i="5"/>
  <c r="AD172" i="5"/>
  <c r="AC142" i="5"/>
  <c r="AD142" i="5"/>
  <c r="AC131" i="5"/>
  <c r="AD131" i="5"/>
  <c r="AC110" i="5"/>
  <c r="AD110" i="5"/>
  <c r="AC99" i="5"/>
  <c r="AD99" i="5"/>
  <c r="AC88" i="5"/>
  <c r="AD88" i="5"/>
  <c r="AC77" i="5"/>
  <c r="AD77" i="5"/>
  <c r="AC56" i="5"/>
  <c r="AD56" i="5"/>
  <c r="AC45" i="5"/>
  <c r="AD45" i="5"/>
  <c r="AC34" i="5"/>
  <c r="AD34" i="5"/>
  <c r="AC23" i="5"/>
  <c r="AD23" i="5"/>
  <c r="AC112" i="5"/>
  <c r="AD112" i="5"/>
  <c r="AC155" i="5"/>
  <c r="AD155" i="5"/>
  <c r="AC47" i="5"/>
  <c r="AD47" i="5"/>
  <c r="AC164" i="5"/>
  <c r="AD164" i="5"/>
  <c r="AC132" i="5"/>
  <c r="AD132" i="5"/>
  <c r="AC35" i="5"/>
  <c r="AD35" i="5"/>
  <c r="AC11" i="5"/>
  <c r="AD11" i="5"/>
  <c r="AC200" i="5"/>
  <c r="AD200" i="5"/>
  <c r="AC33" i="5"/>
  <c r="AD33" i="5"/>
  <c r="AC108" i="5"/>
  <c r="AD108" i="5"/>
  <c r="AC97" i="5"/>
  <c r="AD97" i="5"/>
  <c r="AC86" i="5"/>
  <c r="AD86" i="5"/>
  <c r="AC65" i="5"/>
  <c r="AD65" i="5"/>
  <c r="AC54" i="5"/>
  <c r="AD54" i="5"/>
  <c r="AC43" i="5"/>
  <c r="AD43" i="5"/>
  <c r="AC209" i="5"/>
  <c r="AD209" i="5"/>
  <c r="AC162" i="5"/>
  <c r="AD162" i="5"/>
  <c r="AC180" i="5"/>
  <c r="AD180" i="5"/>
  <c r="AC171" i="5"/>
  <c r="AD171" i="5"/>
  <c r="AC140" i="5"/>
  <c r="AD140" i="5"/>
  <c r="AC119" i="5"/>
  <c r="AD119" i="5"/>
  <c r="AC32" i="5"/>
  <c r="AD32" i="5"/>
  <c r="AC227" i="5"/>
  <c r="AD227" i="5"/>
  <c r="AC141" i="5"/>
  <c r="AD141" i="5"/>
  <c r="AC9" i="5"/>
  <c r="AD9" i="5"/>
  <c r="AC130" i="5"/>
  <c r="AD130" i="5"/>
  <c r="AC98" i="5"/>
  <c r="AD98" i="5"/>
  <c r="AC87" i="5"/>
  <c r="AD87" i="5"/>
  <c r="AC76" i="5"/>
  <c r="AD76" i="5"/>
  <c r="AC44" i="5"/>
  <c r="AD44" i="5"/>
  <c r="AC159" i="5"/>
  <c r="AD159" i="5"/>
  <c r="AC149" i="5"/>
  <c r="AD149" i="5"/>
  <c r="AC128" i="5"/>
  <c r="AD128" i="5"/>
  <c r="AC117" i="5"/>
  <c r="AD117" i="5"/>
  <c r="AC106" i="5"/>
  <c r="AD106" i="5"/>
  <c r="AC95" i="5"/>
  <c r="AD95" i="5"/>
  <c r="AC74" i="5"/>
  <c r="AD74" i="5"/>
  <c r="AC63" i="5"/>
  <c r="AD63" i="5"/>
  <c r="AC52" i="5"/>
  <c r="AD52" i="5"/>
  <c r="AC41" i="5"/>
  <c r="AD41" i="5"/>
  <c r="AC20" i="5"/>
  <c r="AD20" i="5"/>
  <c r="AC58" i="5"/>
  <c r="AD58" i="5"/>
  <c r="AC68" i="5"/>
  <c r="AD68" i="5"/>
  <c r="AC207" i="5"/>
  <c r="AD207" i="5"/>
  <c r="AC123" i="5"/>
  <c r="AD123" i="5"/>
  <c r="AC69" i="5"/>
  <c r="AD69" i="5"/>
  <c r="AC14" i="5"/>
  <c r="AD14" i="5"/>
  <c r="AC133" i="5"/>
  <c r="AD133" i="5"/>
  <c r="AC90" i="5"/>
  <c r="AD90" i="5"/>
  <c r="AC13" i="5"/>
  <c r="AD13" i="5"/>
  <c r="AC143" i="5"/>
  <c r="AD143" i="5"/>
  <c r="AC121" i="5"/>
  <c r="AD121" i="5"/>
  <c r="AC78" i="5"/>
  <c r="AD78" i="5"/>
  <c r="AC150" i="5"/>
  <c r="AD150" i="5"/>
  <c r="AC96" i="5"/>
  <c r="AD96" i="5"/>
  <c r="AC85" i="5"/>
  <c r="AD85" i="5"/>
  <c r="AC53" i="5"/>
  <c r="AD53" i="5"/>
  <c r="AC31" i="5"/>
  <c r="AD31" i="5"/>
  <c r="AC148" i="5"/>
  <c r="AD148" i="5"/>
  <c r="AC105" i="5"/>
  <c r="AD105" i="5"/>
  <c r="AC94" i="5"/>
  <c r="AD94" i="5"/>
  <c r="AC158" i="5"/>
  <c r="AD158" i="5"/>
  <c r="AC18" i="5"/>
  <c r="AD18" i="5"/>
  <c r="AC7" i="5"/>
  <c r="AD7" i="5"/>
  <c r="AC79" i="5"/>
  <c r="AD79" i="5"/>
  <c r="AC25" i="5"/>
  <c r="AD25" i="5"/>
  <c r="AC225" i="5"/>
  <c r="AD225" i="5"/>
  <c r="AC42" i="5"/>
  <c r="AD42" i="5"/>
  <c r="AC157" i="5"/>
  <c r="AD157" i="5"/>
  <c r="AC137" i="5"/>
  <c r="AD137" i="5"/>
  <c r="AC126" i="5"/>
  <c r="AD126" i="5"/>
  <c r="AC115" i="5"/>
  <c r="AD115" i="5"/>
  <c r="AC104" i="5"/>
  <c r="AD104" i="5"/>
  <c r="AC83" i="5"/>
  <c r="AD83" i="5"/>
  <c r="AC72" i="5"/>
  <c r="AD72" i="5"/>
  <c r="AC61" i="5"/>
  <c r="AD61" i="5"/>
  <c r="AC50" i="5"/>
  <c r="AD50" i="5"/>
  <c r="AC29" i="5"/>
  <c r="AD29" i="5"/>
  <c r="AC101" i="5"/>
  <c r="AD101" i="5"/>
  <c r="AC216" i="5"/>
  <c r="AD216" i="5"/>
  <c r="AC144" i="5"/>
  <c r="AD144" i="5"/>
  <c r="AC122" i="5"/>
  <c r="AD122" i="5"/>
  <c r="AC36" i="5"/>
  <c r="AD36" i="5"/>
  <c r="AC89" i="5"/>
  <c r="AD89" i="5"/>
  <c r="AC67" i="5"/>
  <c r="AD67" i="5"/>
  <c r="AC198" i="5"/>
  <c r="AD198" i="5"/>
  <c r="AC62" i="5"/>
  <c r="AD62" i="5"/>
  <c r="AC51" i="5"/>
  <c r="AD51" i="5"/>
  <c r="AD19" i="5"/>
  <c r="AC19" i="5"/>
  <c r="AC230" i="5"/>
  <c r="AD230" i="5"/>
  <c r="AC221" i="5"/>
  <c r="AD221" i="5"/>
  <c r="AC212" i="5"/>
  <c r="AD212" i="5"/>
  <c r="AC203" i="5"/>
  <c r="AD203" i="5"/>
  <c r="AC194" i="5"/>
  <c r="AD194" i="5"/>
  <c r="AC185" i="5"/>
  <c r="AD185" i="5"/>
  <c r="AC176" i="5"/>
  <c r="AD176" i="5"/>
  <c r="AC167" i="5"/>
  <c r="AD167" i="5"/>
  <c r="AC114" i="5"/>
  <c r="AD114" i="5"/>
  <c r="AC103" i="5"/>
  <c r="AD103" i="5"/>
  <c r="AC71" i="5"/>
  <c r="AD71" i="5"/>
  <c r="AC60" i="5"/>
  <c r="AD60" i="5"/>
  <c r="AC49" i="5"/>
  <c r="AD49" i="5"/>
  <c r="AC166" i="5"/>
  <c r="AD166" i="5"/>
  <c r="AC16" i="5"/>
  <c r="AD16" i="5"/>
  <c r="AC5" i="5"/>
  <c r="AD5" i="5"/>
  <c r="AC218" i="5"/>
  <c r="AD218" i="5"/>
  <c r="AC22" i="5"/>
  <c r="AD22" i="5"/>
  <c r="AC189" i="5"/>
  <c r="AD189" i="5"/>
  <c r="AC139" i="5"/>
  <c r="AD139" i="5"/>
  <c r="AC40" i="5"/>
  <c r="AD40" i="5"/>
  <c r="AC146" i="5"/>
  <c r="AD146" i="5"/>
  <c r="AC135" i="5"/>
  <c r="AD135" i="5"/>
  <c r="AC124" i="5"/>
  <c r="AD124" i="5"/>
  <c r="AC113" i="5"/>
  <c r="AD113" i="5"/>
  <c r="AC92" i="5"/>
  <c r="AD92" i="5"/>
  <c r="AC81" i="5"/>
  <c r="AD81" i="5"/>
  <c r="AC70" i="5"/>
  <c r="AD70" i="5"/>
  <c r="AC59" i="5"/>
  <c r="AD59" i="5"/>
  <c r="AC38" i="5"/>
  <c r="AD38" i="5"/>
  <c r="AC27" i="5"/>
  <c r="AD27" i="5"/>
  <c r="AC4" i="5"/>
  <c r="AD4" i="5"/>
  <c r="AD24" i="5"/>
  <c r="AD15" i="5"/>
  <c r="AD6" i="5"/>
  <c r="Y25" i="5"/>
  <c r="Z25" i="5"/>
  <c r="Y176" i="5"/>
  <c r="Z176" i="5"/>
  <c r="Y24" i="5"/>
  <c r="Z24" i="5"/>
  <c r="Y229" i="5"/>
  <c r="Z229" i="5"/>
  <c r="Y202" i="5"/>
  <c r="Z202" i="5"/>
  <c r="Y190" i="5"/>
  <c r="Z190" i="5"/>
  <c r="Y175" i="5"/>
  <c r="Z175" i="5"/>
  <c r="Y85" i="5"/>
  <c r="Z85" i="5"/>
  <c r="Y74" i="5"/>
  <c r="Z74" i="5"/>
  <c r="Y61" i="5"/>
  <c r="Z61" i="5"/>
  <c r="Y36" i="5"/>
  <c r="Z36" i="5"/>
  <c r="Y23" i="5"/>
  <c r="Z23" i="5"/>
  <c r="Y216" i="5"/>
  <c r="Z216" i="5"/>
  <c r="Y189" i="5"/>
  <c r="Z189" i="5"/>
  <c r="Y162" i="5"/>
  <c r="Z162" i="5"/>
  <c r="Y149" i="5"/>
  <c r="Z149" i="5"/>
  <c r="Y137" i="5"/>
  <c r="Z137" i="5"/>
  <c r="Y123" i="5"/>
  <c r="Z123" i="5"/>
  <c r="Y73" i="5"/>
  <c r="Z73" i="5"/>
  <c r="Y60" i="5"/>
  <c r="Z60" i="5"/>
  <c r="Y22" i="5"/>
  <c r="Z22" i="5"/>
  <c r="Z215" i="5"/>
  <c r="Y215" i="5"/>
  <c r="Z188" i="5"/>
  <c r="Y188" i="5"/>
  <c r="Y148" i="5"/>
  <c r="Z148" i="5"/>
  <c r="Y136" i="5"/>
  <c r="Z136" i="5"/>
  <c r="Y122" i="5"/>
  <c r="Z122" i="5"/>
  <c r="Y97" i="5"/>
  <c r="Z97" i="5"/>
  <c r="Y72" i="5"/>
  <c r="Z72" i="5"/>
  <c r="Y59" i="5"/>
  <c r="Z59" i="5"/>
  <c r="Z152" i="5"/>
  <c r="Y152" i="5"/>
  <c r="Y218" i="5"/>
  <c r="Z218" i="5"/>
  <c r="Y37" i="5"/>
  <c r="Z37" i="5"/>
  <c r="Y121" i="5"/>
  <c r="Z121" i="5"/>
  <c r="Y110" i="5"/>
  <c r="Z110" i="5"/>
  <c r="Y96" i="5"/>
  <c r="Z96" i="5"/>
  <c r="Y213" i="5"/>
  <c r="Z213" i="5"/>
  <c r="Y186" i="5"/>
  <c r="Z186" i="5"/>
  <c r="Y134" i="5"/>
  <c r="Z134" i="5"/>
  <c r="Y109" i="5"/>
  <c r="Z109" i="5"/>
  <c r="Y95" i="5"/>
  <c r="Z95" i="5"/>
  <c r="Y46" i="5"/>
  <c r="Z46" i="5"/>
  <c r="Y33" i="5"/>
  <c r="Z33" i="5"/>
  <c r="Y11" i="5"/>
  <c r="Z11" i="5"/>
  <c r="Y177" i="5"/>
  <c r="Z177" i="5"/>
  <c r="Y38" i="5"/>
  <c r="Z38" i="5"/>
  <c r="Y203" i="5"/>
  <c r="Z203" i="5"/>
  <c r="Y99" i="5"/>
  <c r="Z99" i="5"/>
  <c r="Y217" i="5"/>
  <c r="Z217" i="5"/>
  <c r="Z187" i="5"/>
  <c r="Y187" i="5"/>
  <c r="Y135" i="5"/>
  <c r="Z135" i="5"/>
  <c r="Y58" i="5"/>
  <c r="Z58" i="5"/>
  <c r="Y34" i="5"/>
  <c r="Z34" i="5"/>
  <c r="Y227" i="5"/>
  <c r="Z227" i="5"/>
  <c r="Y212" i="5"/>
  <c r="Z212" i="5"/>
  <c r="Y200" i="5"/>
  <c r="Z200" i="5"/>
  <c r="Y173" i="5"/>
  <c r="Z173" i="5"/>
  <c r="Y160" i="5"/>
  <c r="Z160" i="5"/>
  <c r="Y133" i="5"/>
  <c r="Z133" i="5"/>
  <c r="Y108" i="5"/>
  <c r="Z108" i="5"/>
  <c r="Y94" i="5"/>
  <c r="Z94" i="5"/>
  <c r="Y83" i="5"/>
  <c r="Z83" i="5"/>
  <c r="Y70" i="5"/>
  <c r="Z70" i="5"/>
  <c r="Y32" i="5"/>
  <c r="Z32" i="5"/>
  <c r="Y10" i="5"/>
  <c r="Z10" i="5"/>
  <c r="Y164" i="5"/>
  <c r="Z164" i="5"/>
  <c r="Y150" i="5"/>
  <c r="Z150" i="5"/>
  <c r="Y214" i="5"/>
  <c r="Z214" i="5"/>
  <c r="Y47" i="5"/>
  <c r="Z47" i="5"/>
  <c r="Y185" i="5"/>
  <c r="Z185" i="5"/>
  <c r="Y45" i="5"/>
  <c r="Z45" i="5"/>
  <c r="Y226" i="5"/>
  <c r="Z226" i="5"/>
  <c r="Y211" i="5"/>
  <c r="Z211" i="5"/>
  <c r="Y199" i="5"/>
  <c r="Z199" i="5"/>
  <c r="Y184" i="5"/>
  <c r="Z184" i="5"/>
  <c r="Y172" i="5"/>
  <c r="Z172" i="5"/>
  <c r="Y159" i="5"/>
  <c r="Z159" i="5"/>
  <c r="Y132" i="5"/>
  <c r="Z132" i="5"/>
  <c r="Y107" i="5"/>
  <c r="Z107" i="5"/>
  <c r="Y82" i="5"/>
  <c r="Z82" i="5"/>
  <c r="Y69" i="5"/>
  <c r="Z69" i="5"/>
  <c r="Y31" i="5"/>
  <c r="Z31" i="5"/>
  <c r="Y20" i="5"/>
  <c r="Z20" i="5"/>
  <c r="Y9" i="5"/>
  <c r="Z9" i="5"/>
  <c r="Y100" i="5"/>
  <c r="Z100" i="5"/>
  <c r="Y87" i="5"/>
  <c r="Z87" i="5"/>
  <c r="Y204" i="5"/>
  <c r="Z204" i="5"/>
  <c r="Y14" i="5"/>
  <c r="Z14" i="5"/>
  <c r="Y191" i="5"/>
  <c r="Z191" i="5"/>
  <c r="Y86" i="5"/>
  <c r="Z86" i="5"/>
  <c r="Y124" i="5"/>
  <c r="Z124" i="5"/>
  <c r="Y198" i="5"/>
  <c r="Z198" i="5"/>
  <c r="Y158" i="5"/>
  <c r="Z158" i="5"/>
  <c r="Y131" i="5"/>
  <c r="Z131" i="5"/>
  <c r="Z197" i="5"/>
  <c r="Y197" i="5"/>
  <c r="Y157" i="5"/>
  <c r="Z157" i="5"/>
  <c r="Y130" i="5"/>
  <c r="Z130" i="5"/>
  <c r="Y105" i="5"/>
  <c r="Z105" i="5"/>
  <c r="Y67" i="5"/>
  <c r="Z67" i="5"/>
  <c r="Y56" i="5"/>
  <c r="Z56" i="5"/>
  <c r="Y43" i="5"/>
  <c r="Z43" i="5"/>
  <c r="Z223" i="5"/>
  <c r="Y223" i="5"/>
  <c r="Y196" i="5"/>
  <c r="Z196" i="5"/>
  <c r="Y169" i="5"/>
  <c r="Z169" i="5"/>
  <c r="Y144" i="5"/>
  <c r="Z144" i="5"/>
  <c r="Y118" i="5"/>
  <c r="Z118" i="5"/>
  <c r="Y104" i="5"/>
  <c r="Z104" i="5"/>
  <c r="Y55" i="5"/>
  <c r="Z55" i="5"/>
  <c r="Y42" i="5"/>
  <c r="Z42" i="5"/>
  <c r="Y7" i="5"/>
  <c r="Z7" i="5"/>
  <c r="Y231" i="5"/>
  <c r="Z231" i="5"/>
  <c r="Y112" i="5"/>
  <c r="Z112" i="5"/>
  <c r="Y49" i="5"/>
  <c r="Z49" i="5"/>
  <c r="Y230" i="5"/>
  <c r="Z230" i="5"/>
  <c r="Z151" i="5"/>
  <c r="Y151" i="5"/>
  <c r="Y13" i="5"/>
  <c r="Z13" i="5"/>
  <c r="Y163" i="5"/>
  <c r="Z163" i="5"/>
  <c r="Y225" i="5"/>
  <c r="Z225" i="5"/>
  <c r="Y171" i="5"/>
  <c r="Z171" i="5"/>
  <c r="Y146" i="5"/>
  <c r="Z146" i="5"/>
  <c r="Y106" i="5"/>
  <c r="Z106" i="5"/>
  <c r="Y81" i="5"/>
  <c r="Z81" i="5"/>
  <c r="Y68" i="5"/>
  <c r="Z68" i="5"/>
  <c r="Y19" i="5"/>
  <c r="Z19" i="5"/>
  <c r="Z224" i="5"/>
  <c r="Y224" i="5"/>
  <c r="Z170" i="5"/>
  <c r="Y170" i="5"/>
  <c r="Y145" i="5"/>
  <c r="Z145" i="5"/>
  <c r="Y119" i="5"/>
  <c r="Z119" i="5"/>
  <c r="Y18" i="5"/>
  <c r="Z18" i="5"/>
  <c r="Y222" i="5"/>
  <c r="Z222" i="5"/>
  <c r="Y195" i="5"/>
  <c r="Z195" i="5"/>
  <c r="Y168" i="5"/>
  <c r="Z168" i="5"/>
  <c r="Y143" i="5"/>
  <c r="Z143" i="5"/>
  <c r="Y117" i="5"/>
  <c r="Z117" i="5"/>
  <c r="Y103" i="5"/>
  <c r="Z103" i="5"/>
  <c r="Y92" i="5"/>
  <c r="Z92" i="5"/>
  <c r="Y79" i="5"/>
  <c r="Z79" i="5"/>
  <c r="Y54" i="5"/>
  <c r="Z54" i="5"/>
  <c r="Y41" i="5"/>
  <c r="Z41" i="5"/>
  <c r="Y221" i="5"/>
  <c r="Z221" i="5"/>
  <c r="Y194" i="5"/>
  <c r="Z194" i="5"/>
  <c r="Y182" i="5"/>
  <c r="Z182" i="5"/>
  <c r="Y167" i="5"/>
  <c r="Z167" i="5"/>
  <c r="Y142" i="5"/>
  <c r="Z142" i="5"/>
  <c r="Y91" i="5"/>
  <c r="Z91" i="5"/>
  <c r="Y78" i="5"/>
  <c r="Z78" i="5"/>
  <c r="Y40" i="5"/>
  <c r="Z40" i="5"/>
  <c r="Y29" i="5"/>
  <c r="Z29" i="5"/>
  <c r="Y16" i="5"/>
  <c r="Z16" i="5"/>
  <c r="Y209" i="5"/>
  <c r="Z209" i="5"/>
  <c r="Y220" i="5"/>
  <c r="Z220" i="5"/>
  <c r="Y208" i="5"/>
  <c r="Z208" i="5"/>
  <c r="Y193" i="5"/>
  <c r="Z193" i="5"/>
  <c r="Y181" i="5"/>
  <c r="Z181" i="5"/>
  <c r="Y166" i="5"/>
  <c r="Z166" i="5"/>
  <c r="Y141" i="5"/>
  <c r="Z141" i="5"/>
  <c r="Y90" i="5"/>
  <c r="Z90" i="5"/>
  <c r="Y77" i="5"/>
  <c r="Z77" i="5"/>
  <c r="Y28" i="5"/>
  <c r="Z28" i="5"/>
  <c r="Y207" i="5"/>
  <c r="Z207" i="5"/>
  <c r="Y180" i="5"/>
  <c r="Z180" i="5"/>
  <c r="Y155" i="5"/>
  <c r="Z155" i="5"/>
  <c r="Y140" i="5"/>
  <c r="Z140" i="5"/>
  <c r="Y128" i="5"/>
  <c r="Z128" i="5"/>
  <c r="Y115" i="5"/>
  <c r="Z115" i="5"/>
  <c r="Y76" i="5"/>
  <c r="Z76" i="5"/>
  <c r="Y65" i="5"/>
  <c r="Z65" i="5"/>
  <c r="Y52" i="5"/>
  <c r="Z52" i="5"/>
  <c r="Y27" i="5"/>
  <c r="Z27" i="5"/>
  <c r="Z206" i="5"/>
  <c r="Y206" i="5"/>
  <c r="Z179" i="5"/>
  <c r="Y179" i="5"/>
  <c r="Y154" i="5"/>
  <c r="Z154" i="5"/>
  <c r="Y139" i="5"/>
  <c r="Z139" i="5"/>
  <c r="Y127" i="5"/>
  <c r="Z127" i="5"/>
  <c r="Y114" i="5"/>
  <c r="Z114" i="5"/>
  <c r="Y64" i="5"/>
  <c r="Z64" i="5"/>
  <c r="Y51" i="5"/>
  <c r="Z51" i="5"/>
  <c r="Y5" i="5"/>
  <c r="Z5" i="5"/>
  <c r="Z232" i="5"/>
  <c r="Y232" i="5"/>
  <c r="Z205" i="5"/>
  <c r="Y205" i="5"/>
  <c r="Y178" i="5"/>
  <c r="Z178" i="5"/>
  <c r="Y153" i="5"/>
  <c r="Z153" i="5"/>
  <c r="Y126" i="5"/>
  <c r="Z126" i="5"/>
  <c r="Y113" i="5"/>
  <c r="Z113" i="5"/>
  <c r="Y101" i="5"/>
  <c r="Z101" i="5"/>
  <c r="Y88" i="5"/>
  <c r="Z88" i="5"/>
  <c r="Y63" i="5"/>
  <c r="Z63" i="5"/>
  <c r="Y50" i="5"/>
  <c r="Z50" i="5"/>
  <c r="Y4" i="5"/>
  <c r="Z4" i="5"/>
  <c r="Z125" i="5"/>
  <c r="Z116" i="5"/>
  <c r="Z98" i="5"/>
  <c r="Z89" i="5"/>
  <c r="Z80" i="5"/>
  <c r="Z71" i="5"/>
  <c r="Z62" i="5"/>
  <c r="Z53" i="5"/>
  <c r="Z44" i="5"/>
  <c r="Z35" i="5"/>
  <c r="Z26" i="5"/>
  <c r="Z17" i="5"/>
  <c r="Z8" i="5"/>
  <c r="U132" i="5"/>
  <c r="V132" i="5"/>
  <c r="U68" i="5"/>
  <c r="V68" i="5"/>
  <c r="U131" i="5"/>
  <c r="V131" i="5"/>
  <c r="U153" i="5"/>
  <c r="V153" i="5"/>
  <c r="V56" i="5"/>
  <c r="U56" i="5"/>
  <c r="U203" i="5"/>
  <c r="V203" i="5"/>
  <c r="V119" i="5"/>
  <c r="U119" i="5"/>
  <c r="U108" i="5"/>
  <c r="V108" i="5"/>
  <c r="U76" i="5"/>
  <c r="V76" i="5"/>
  <c r="U54" i="5"/>
  <c r="V54" i="5"/>
  <c r="U22" i="5"/>
  <c r="V22" i="5"/>
  <c r="V218" i="5"/>
  <c r="U218" i="5"/>
  <c r="U202" i="5"/>
  <c r="V202" i="5"/>
  <c r="U180" i="5"/>
  <c r="V180" i="5"/>
  <c r="U165" i="5"/>
  <c r="V165" i="5"/>
  <c r="U140" i="5"/>
  <c r="V140" i="5"/>
  <c r="U118" i="5"/>
  <c r="V118" i="5"/>
  <c r="U87" i="5"/>
  <c r="V87" i="5"/>
  <c r="V65" i="5"/>
  <c r="U65" i="5"/>
  <c r="U33" i="5"/>
  <c r="V33" i="5"/>
  <c r="V11" i="5"/>
  <c r="U11" i="5"/>
  <c r="V224" i="5"/>
  <c r="U224" i="5"/>
  <c r="U69" i="5"/>
  <c r="V69" i="5"/>
  <c r="U99" i="5"/>
  <c r="V99" i="5"/>
  <c r="U194" i="5"/>
  <c r="V194" i="5"/>
  <c r="U55" i="5"/>
  <c r="V55" i="5"/>
  <c r="U166" i="5"/>
  <c r="V166" i="5"/>
  <c r="V164" i="5"/>
  <c r="U164" i="5"/>
  <c r="U117" i="5"/>
  <c r="V117" i="5"/>
  <c r="U64" i="5"/>
  <c r="V64" i="5"/>
  <c r="U32" i="5"/>
  <c r="V32" i="5"/>
  <c r="U10" i="5"/>
  <c r="V10" i="5"/>
  <c r="U216" i="5"/>
  <c r="V216" i="5"/>
  <c r="U178" i="5"/>
  <c r="V178" i="5"/>
  <c r="U163" i="5"/>
  <c r="V163" i="5"/>
  <c r="V138" i="5"/>
  <c r="U138" i="5"/>
  <c r="U127" i="5"/>
  <c r="V127" i="5"/>
  <c r="U85" i="5"/>
  <c r="V85" i="5"/>
  <c r="U63" i="5"/>
  <c r="V63" i="5"/>
  <c r="U31" i="5"/>
  <c r="V31" i="5"/>
  <c r="U9" i="5"/>
  <c r="V9" i="5"/>
  <c r="U222" i="5"/>
  <c r="V222" i="5"/>
  <c r="U45" i="5"/>
  <c r="V45" i="5"/>
  <c r="U182" i="5"/>
  <c r="V182" i="5"/>
  <c r="U23" i="5"/>
  <c r="V23" i="5"/>
  <c r="U141" i="5"/>
  <c r="V141" i="5"/>
  <c r="U217" i="5"/>
  <c r="V217" i="5"/>
  <c r="U128" i="5"/>
  <c r="V128" i="5"/>
  <c r="V215" i="5"/>
  <c r="U215" i="5"/>
  <c r="U177" i="5"/>
  <c r="V177" i="5"/>
  <c r="U162" i="5"/>
  <c r="V162" i="5"/>
  <c r="U150" i="5"/>
  <c r="V150" i="5"/>
  <c r="V137" i="5"/>
  <c r="U137" i="5"/>
  <c r="U96" i="5"/>
  <c r="V96" i="5"/>
  <c r="V74" i="5"/>
  <c r="U74" i="5"/>
  <c r="U42" i="5"/>
  <c r="V42" i="5"/>
  <c r="V20" i="5"/>
  <c r="U20" i="5"/>
  <c r="V101" i="5"/>
  <c r="U101" i="5"/>
  <c r="V47" i="5"/>
  <c r="U47" i="5"/>
  <c r="U223" i="5"/>
  <c r="V223" i="5"/>
  <c r="U46" i="5"/>
  <c r="V46" i="5"/>
  <c r="U168" i="5"/>
  <c r="V168" i="5"/>
  <c r="U220" i="5"/>
  <c r="V220" i="5"/>
  <c r="V152" i="5"/>
  <c r="U152" i="5"/>
  <c r="U139" i="5"/>
  <c r="V139" i="5"/>
  <c r="U86" i="5"/>
  <c r="V86" i="5"/>
  <c r="U126" i="5"/>
  <c r="V126" i="5"/>
  <c r="V232" i="5"/>
  <c r="U232" i="5"/>
  <c r="U214" i="5"/>
  <c r="V214" i="5"/>
  <c r="V191" i="5"/>
  <c r="U191" i="5"/>
  <c r="U176" i="5"/>
  <c r="V176" i="5"/>
  <c r="V161" i="5"/>
  <c r="U161" i="5"/>
  <c r="U149" i="5"/>
  <c r="V149" i="5"/>
  <c r="U136" i="5"/>
  <c r="V136" i="5"/>
  <c r="U95" i="5"/>
  <c r="V95" i="5"/>
  <c r="U73" i="5"/>
  <c r="V73" i="5"/>
  <c r="U41" i="5"/>
  <c r="V41" i="5"/>
  <c r="U19" i="5"/>
  <c r="V19" i="5"/>
  <c r="U231" i="5"/>
  <c r="V231" i="5"/>
  <c r="U213" i="5"/>
  <c r="V213" i="5"/>
  <c r="V200" i="5"/>
  <c r="U200" i="5"/>
  <c r="U190" i="5"/>
  <c r="V190" i="5"/>
  <c r="U175" i="5"/>
  <c r="V175" i="5"/>
  <c r="U148" i="5"/>
  <c r="V148" i="5"/>
  <c r="U135" i="5"/>
  <c r="V135" i="5"/>
  <c r="U94" i="5"/>
  <c r="V94" i="5"/>
  <c r="U72" i="5"/>
  <c r="V72" i="5"/>
  <c r="U40" i="5"/>
  <c r="V40" i="5"/>
  <c r="U18" i="5"/>
  <c r="V18" i="5"/>
  <c r="U14" i="5"/>
  <c r="V14" i="5"/>
  <c r="U67" i="5"/>
  <c r="V67" i="5"/>
  <c r="U195" i="5"/>
  <c r="V195" i="5"/>
  <c r="U78" i="5"/>
  <c r="V78" i="5"/>
  <c r="U77" i="5"/>
  <c r="V77" i="5"/>
  <c r="U219" i="5"/>
  <c r="V219" i="5"/>
  <c r="U230" i="5"/>
  <c r="V230" i="5"/>
  <c r="U212" i="5"/>
  <c r="V212" i="5"/>
  <c r="U199" i="5"/>
  <c r="V199" i="5"/>
  <c r="U189" i="5"/>
  <c r="V189" i="5"/>
  <c r="U174" i="5"/>
  <c r="V174" i="5"/>
  <c r="V147" i="5"/>
  <c r="U147" i="5"/>
  <c r="U105" i="5"/>
  <c r="V105" i="5"/>
  <c r="V83" i="5"/>
  <c r="U83" i="5"/>
  <c r="U51" i="5"/>
  <c r="V51" i="5"/>
  <c r="V29" i="5"/>
  <c r="U29" i="5"/>
  <c r="U121" i="5"/>
  <c r="V121" i="5"/>
  <c r="V110" i="5"/>
  <c r="U110" i="5"/>
  <c r="U204" i="5"/>
  <c r="V204" i="5"/>
  <c r="V179" i="5"/>
  <c r="U179" i="5"/>
  <c r="U156" i="5"/>
  <c r="V156" i="5"/>
  <c r="U122" i="5"/>
  <c r="V122" i="5"/>
  <c r="V155" i="5"/>
  <c r="U155" i="5"/>
  <c r="U13" i="5"/>
  <c r="V13" i="5"/>
  <c r="U221" i="5"/>
  <c r="V221" i="5"/>
  <c r="U24" i="5"/>
  <c r="V24" i="5"/>
  <c r="U167" i="5"/>
  <c r="V167" i="5"/>
  <c r="U109" i="5"/>
  <c r="V109" i="5"/>
  <c r="U181" i="5"/>
  <c r="V181" i="5"/>
  <c r="U229" i="5"/>
  <c r="V229" i="5"/>
  <c r="U211" i="5"/>
  <c r="V211" i="5"/>
  <c r="V188" i="5"/>
  <c r="U188" i="5"/>
  <c r="V146" i="5"/>
  <c r="U146" i="5"/>
  <c r="V187" i="5"/>
  <c r="U187" i="5"/>
  <c r="U145" i="5"/>
  <c r="V145" i="5"/>
  <c r="U103" i="5"/>
  <c r="V103" i="5"/>
  <c r="U27" i="5"/>
  <c r="V27" i="5"/>
  <c r="U209" i="5"/>
  <c r="V209" i="5"/>
  <c r="U159" i="5"/>
  <c r="V159" i="5"/>
  <c r="V92" i="5"/>
  <c r="U92" i="5"/>
  <c r="U226" i="5"/>
  <c r="V226" i="5"/>
  <c r="V170" i="5"/>
  <c r="U170" i="5"/>
  <c r="U91" i="5"/>
  <c r="V91" i="5"/>
  <c r="U37" i="5"/>
  <c r="V37" i="5"/>
  <c r="U5" i="5"/>
  <c r="V5" i="5"/>
  <c r="U15" i="5"/>
  <c r="V15" i="5"/>
  <c r="U100" i="5"/>
  <c r="V100" i="5"/>
  <c r="U154" i="5"/>
  <c r="V154" i="5"/>
  <c r="U205" i="5"/>
  <c r="V205" i="5"/>
  <c r="U130" i="5"/>
  <c r="V130" i="5"/>
  <c r="U193" i="5"/>
  <c r="V193" i="5"/>
  <c r="U198" i="5"/>
  <c r="V198" i="5"/>
  <c r="U173" i="5"/>
  <c r="V173" i="5"/>
  <c r="U104" i="5"/>
  <c r="V104" i="5"/>
  <c r="U82" i="5"/>
  <c r="V82" i="5"/>
  <c r="U50" i="5"/>
  <c r="V50" i="5"/>
  <c r="U28" i="5"/>
  <c r="V28" i="5"/>
  <c r="V228" i="5"/>
  <c r="U228" i="5"/>
  <c r="U210" i="5"/>
  <c r="V210" i="5"/>
  <c r="U172" i="5"/>
  <c r="V172" i="5"/>
  <c r="U81" i="5"/>
  <c r="V81" i="5"/>
  <c r="U49" i="5"/>
  <c r="V49" i="5"/>
  <c r="U227" i="5"/>
  <c r="V227" i="5"/>
  <c r="U186" i="5"/>
  <c r="V186" i="5"/>
  <c r="U171" i="5"/>
  <c r="V171" i="5"/>
  <c r="U144" i="5"/>
  <c r="V144" i="5"/>
  <c r="U114" i="5"/>
  <c r="V114" i="5"/>
  <c r="U60" i="5"/>
  <c r="V60" i="5"/>
  <c r="V38" i="5"/>
  <c r="U38" i="5"/>
  <c r="U6" i="5"/>
  <c r="V6" i="5"/>
  <c r="U208" i="5"/>
  <c r="V208" i="5"/>
  <c r="U185" i="5"/>
  <c r="V185" i="5"/>
  <c r="U158" i="5"/>
  <c r="V158" i="5"/>
  <c r="U113" i="5"/>
  <c r="V113" i="5"/>
  <c r="U59" i="5"/>
  <c r="V59" i="5"/>
  <c r="U225" i="5"/>
  <c r="V225" i="5"/>
  <c r="U207" i="5"/>
  <c r="V207" i="5"/>
  <c r="U184" i="5"/>
  <c r="V184" i="5"/>
  <c r="U157" i="5"/>
  <c r="V157" i="5"/>
  <c r="U123" i="5"/>
  <c r="V123" i="5"/>
  <c r="U112" i="5"/>
  <c r="V112" i="5"/>
  <c r="U90" i="5"/>
  <c r="V90" i="5"/>
  <c r="U58" i="5"/>
  <c r="V58" i="5"/>
  <c r="U36" i="5"/>
  <c r="V36" i="5"/>
  <c r="U4" i="5"/>
  <c r="V4" i="5"/>
  <c r="V107" i="5"/>
  <c r="V98" i="5"/>
  <c r="V89" i="5"/>
  <c r="V80" i="5"/>
  <c r="V71" i="5"/>
  <c r="V62" i="5"/>
  <c r="V53" i="5"/>
  <c r="V44" i="5"/>
  <c r="V35" i="5"/>
  <c r="V26" i="5"/>
  <c r="V17" i="5"/>
  <c r="V8" i="5"/>
  <c r="Q203" i="5"/>
  <c r="R203" i="5"/>
  <c r="Q82" i="5"/>
  <c r="R82" i="5"/>
  <c r="Q34" i="5"/>
  <c r="R34" i="5"/>
  <c r="Q184" i="5"/>
  <c r="R184" i="5"/>
  <c r="Q33" i="5"/>
  <c r="R33" i="5"/>
  <c r="R219" i="5"/>
  <c r="Q219" i="5"/>
  <c r="R183" i="5"/>
  <c r="Q183" i="5"/>
  <c r="R165" i="5"/>
  <c r="Q165" i="5"/>
  <c r="R129" i="5"/>
  <c r="Q129" i="5"/>
  <c r="Q64" i="5"/>
  <c r="R64" i="5"/>
  <c r="R48" i="5"/>
  <c r="Q48" i="5"/>
  <c r="Q32" i="5"/>
  <c r="R32" i="5"/>
  <c r="Q16" i="5"/>
  <c r="R16" i="5"/>
  <c r="Q218" i="5"/>
  <c r="R218" i="5"/>
  <c r="Q200" i="5"/>
  <c r="R200" i="5"/>
  <c r="Q182" i="5"/>
  <c r="R182" i="5"/>
  <c r="Q164" i="5"/>
  <c r="R164" i="5"/>
  <c r="Q146" i="5"/>
  <c r="R146" i="5"/>
  <c r="Q128" i="5"/>
  <c r="R128" i="5"/>
  <c r="Q112" i="5"/>
  <c r="R112" i="5"/>
  <c r="Q96" i="5"/>
  <c r="R96" i="5"/>
  <c r="Q63" i="5"/>
  <c r="R63" i="5"/>
  <c r="Q47" i="5"/>
  <c r="R47" i="5"/>
  <c r="Q31" i="5"/>
  <c r="R31" i="5"/>
  <c r="Q15" i="5"/>
  <c r="R15" i="5"/>
  <c r="Q131" i="5"/>
  <c r="R131" i="5"/>
  <c r="Q130" i="5"/>
  <c r="R130" i="5"/>
  <c r="Q217" i="5"/>
  <c r="R217" i="5"/>
  <c r="Q181" i="5"/>
  <c r="R181" i="5"/>
  <c r="Q163" i="5"/>
  <c r="R163" i="5"/>
  <c r="Q145" i="5"/>
  <c r="R145" i="5"/>
  <c r="R111" i="5"/>
  <c r="Q111" i="5"/>
  <c r="Q46" i="5"/>
  <c r="R46" i="5"/>
  <c r="R30" i="5"/>
  <c r="Q30" i="5"/>
  <c r="Q167" i="5"/>
  <c r="R167" i="5"/>
  <c r="Q220" i="5"/>
  <c r="R220" i="5"/>
  <c r="Q201" i="5"/>
  <c r="R201" i="5"/>
  <c r="Q216" i="5"/>
  <c r="R216" i="5"/>
  <c r="Q180" i="5"/>
  <c r="R180" i="5"/>
  <c r="Q144" i="5"/>
  <c r="R144" i="5"/>
  <c r="Q126" i="5"/>
  <c r="R126" i="5"/>
  <c r="Q94" i="5"/>
  <c r="R94" i="5"/>
  <c r="Q78" i="5"/>
  <c r="R78" i="5"/>
  <c r="Q45" i="5"/>
  <c r="R45" i="5"/>
  <c r="Q29" i="5"/>
  <c r="R29" i="5"/>
  <c r="R66" i="5"/>
  <c r="Q66" i="5"/>
  <c r="Q65" i="5"/>
  <c r="R65" i="5"/>
  <c r="R147" i="5"/>
  <c r="Q147" i="5"/>
  <c r="Q79" i="5"/>
  <c r="R79" i="5"/>
  <c r="Q185" i="5"/>
  <c r="R185" i="5"/>
  <c r="Q115" i="5"/>
  <c r="R115" i="5"/>
  <c r="Q50" i="5"/>
  <c r="R50" i="5"/>
  <c r="Q202" i="5"/>
  <c r="R202" i="5"/>
  <c r="Q166" i="5"/>
  <c r="R166" i="5"/>
  <c r="Q114" i="5"/>
  <c r="R114" i="5"/>
  <c r="Q81" i="5"/>
  <c r="R81" i="5"/>
  <c r="Q113" i="5"/>
  <c r="R113" i="5"/>
  <c r="Q199" i="5"/>
  <c r="R199" i="5"/>
  <c r="Q95" i="5"/>
  <c r="R95" i="5"/>
  <c r="Q198" i="5"/>
  <c r="R198" i="5"/>
  <c r="Q110" i="5"/>
  <c r="R110" i="5"/>
  <c r="R197" i="5"/>
  <c r="Q197" i="5"/>
  <c r="R179" i="5"/>
  <c r="Q179" i="5"/>
  <c r="R161" i="5"/>
  <c r="Q161" i="5"/>
  <c r="Q143" i="5"/>
  <c r="R143" i="5"/>
  <c r="Q109" i="5"/>
  <c r="R109" i="5"/>
  <c r="R93" i="5"/>
  <c r="Q93" i="5"/>
  <c r="Q77" i="5"/>
  <c r="R77" i="5"/>
  <c r="Q61" i="5"/>
  <c r="R61" i="5"/>
  <c r="Q28" i="5"/>
  <c r="R28" i="5"/>
  <c r="Q13" i="5"/>
  <c r="R13" i="5"/>
  <c r="Q232" i="5"/>
  <c r="R232" i="5"/>
  <c r="Q214" i="5"/>
  <c r="R214" i="5"/>
  <c r="Q196" i="5"/>
  <c r="R196" i="5"/>
  <c r="Q178" i="5"/>
  <c r="R178" i="5"/>
  <c r="Q160" i="5"/>
  <c r="R160" i="5"/>
  <c r="Q142" i="5"/>
  <c r="R142" i="5"/>
  <c r="Q108" i="5"/>
  <c r="R108" i="5"/>
  <c r="Q92" i="5"/>
  <c r="R92" i="5"/>
  <c r="Q76" i="5"/>
  <c r="R76" i="5"/>
  <c r="Q60" i="5"/>
  <c r="R60" i="5"/>
  <c r="Q27" i="5"/>
  <c r="R27" i="5"/>
  <c r="R12" i="5"/>
  <c r="Q12" i="5"/>
  <c r="Q221" i="5"/>
  <c r="R221" i="5"/>
  <c r="Q149" i="5"/>
  <c r="R149" i="5"/>
  <c r="Q148" i="5"/>
  <c r="R148" i="5"/>
  <c r="Q49" i="5"/>
  <c r="R49" i="5"/>
  <c r="Q97" i="5"/>
  <c r="R97" i="5"/>
  <c r="Q127" i="5"/>
  <c r="R127" i="5"/>
  <c r="Q162" i="5"/>
  <c r="R162" i="5"/>
  <c r="R215" i="5"/>
  <c r="Q215" i="5"/>
  <c r="Q231" i="5"/>
  <c r="R231" i="5"/>
  <c r="Q213" i="5"/>
  <c r="R213" i="5"/>
  <c r="Q195" i="5"/>
  <c r="R195" i="5"/>
  <c r="Q177" i="5"/>
  <c r="R177" i="5"/>
  <c r="Q159" i="5"/>
  <c r="R159" i="5"/>
  <c r="Q141" i="5"/>
  <c r="R141" i="5"/>
  <c r="Q124" i="5"/>
  <c r="R124" i="5"/>
  <c r="Q91" i="5"/>
  <c r="R91" i="5"/>
  <c r="R75" i="5"/>
  <c r="Q75" i="5"/>
  <c r="Q59" i="5"/>
  <c r="R59" i="5"/>
  <c r="Q43" i="5"/>
  <c r="R43" i="5"/>
  <c r="Q11" i="5"/>
  <c r="R11" i="5"/>
  <c r="Q230" i="5"/>
  <c r="R230" i="5"/>
  <c r="Q212" i="5"/>
  <c r="R212" i="5"/>
  <c r="Q194" i="5"/>
  <c r="R194" i="5"/>
  <c r="Q176" i="5"/>
  <c r="R176" i="5"/>
  <c r="Q158" i="5"/>
  <c r="R158" i="5"/>
  <c r="Q140" i="5"/>
  <c r="R140" i="5"/>
  <c r="Q123" i="5"/>
  <c r="R123" i="5"/>
  <c r="Q90" i="5"/>
  <c r="R90" i="5"/>
  <c r="Q74" i="5"/>
  <c r="R74" i="5"/>
  <c r="Q58" i="5"/>
  <c r="R58" i="5"/>
  <c r="Q42" i="5"/>
  <c r="R42" i="5"/>
  <c r="Q10" i="5"/>
  <c r="R10" i="5"/>
  <c r="Q73" i="5"/>
  <c r="R73" i="5"/>
  <c r="Q211" i="5"/>
  <c r="R211" i="5"/>
  <c r="Q157" i="5"/>
  <c r="R157" i="5"/>
  <c r="Q122" i="5"/>
  <c r="R122" i="5"/>
  <c r="Q25" i="5"/>
  <c r="R25" i="5"/>
  <c r="R192" i="5"/>
  <c r="Q192" i="5"/>
  <c r="R138" i="5"/>
  <c r="Q138" i="5"/>
  <c r="Q72" i="5"/>
  <c r="R72" i="5"/>
  <c r="Q24" i="5"/>
  <c r="R24" i="5"/>
  <c r="Q191" i="5"/>
  <c r="R191" i="5"/>
  <c r="Q155" i="5"/>
  <c r="R155" i="5"/>
  <c r="Q104" i="5"/>
  <c r="R104" i="5"/>
  <c r="Q23" i="5"/>
  <c r="R23" i="5"/>
  <c r="Q189" i="5"/>
  <c r="R189" i="5"/>
  <c r="Q193" i="5"/>
  <c r="R193" i="5"/>
  <c r="Q139" i="5"/>
  <c r="R139" i="5"/>
  <c r="Q106" i="5"/>
  <c r="R106" i="5"/>
  <c r="Q41" i="5"/>
  <c r="R41" i="5"/>
  <c r="Q228" i="5"/>
  <c r="R228" i="5"/>
  <c r="R174" i="5"/>
  <c r="Q174" i="5"/>
  <c r="Q121" i="5"/>
  <c r="R121" i="5"/>
  <c r="Q56" i="5"/>
  <c r="R56" i="5"/>
  <c r="Q40" i="5"/>
  <c r="R40" i="5"/>
  <c r="Q209" i="5"/>
  <c r="R209" i="5"/>
  <c r="Q173" i="5"/>
  <c r="R173" i="5"/>
  <c r="R120" i="5"/>
  <c r="Q120" i="5"/>
  <c r="Q88" i="5"/>
  <c r="R88" i="5"/>
  <c r="R39" i="5"/>
  <c r="Q39" i="5"/>
  <c r="Q208" i="5"/>
  <c r="R208" i="5"/>
  <c r="Q154" i="5"/>
  <c r="R154" i="5"/>
  <c r="Q103" i="5"/>
  <c r="R103" i="5"/>
  <c r="Q22" i="5"/>
  <c r="R22" i="5"/>
  <c r="Q171" i="5"/>
  <c r="R171" i="5"/>
  <c r="Q118" i="5"/>
  <c r="R118" i="5"/>
  <c r="R21" i="5"/>
  <c r="Q21" i="5"/>
  <c r="R188" i="5"/>
  <c r="Q188" i="5"/>
  <c r="Q36" i="5"/>
  <c r="R36" i="5"/>
  <c r="Q223" i="5"/>
  <c r="R223" i="5"/>
  <c r="Q187" i="5"/>
  <c r="R187" i="5"/>
  <c r="Q169" i="5"/>
  <c r="R169" i="5"/>
  <c r="Q151" i="5"/>
  <c r="R151" i="5"/>
  <c r="Q133" i="5"/>
  <c r="R133" i="5"/>
  <c r="Q100" i="5"/>
  <c r="R100" i="5"/>
  <c r="Q68" i="5"/>
  <c r="R68" i="5"/>
  <c r="Q19" i="5"/>
  <c r="R19" i="5"/>
  <c r="Q229" i="5"/>
  <c r="R229" i="5"/>
  <c r="Q175" i="5"/>
  <c r="R175" i="5"/>
  <c r="R57" i="5"/>
  <c r="Q57" i="5"/>
  <c r="Q9" i="5"/>
  <c r="R9" i="5"/>
  <c r="R210" i="5"/>
  <c r="Q210" i="5"/>
  <c r="R156" i="5"/>
  <c r="Q156" i="5"/>
  <c r="Q105" i="5"/>
  <c r="R105" i="5"/>
  <c r="Q227" i="5"/>
  <c r="R227" i="5"/>
  <c r="Q137" i="5"/>
  <c r="R137" i="5"/>
  <c r="Q55" i="5"/>
  <c r="R55" i="5"/>
  <c r="Q226" i="5"/>
  <c r="R226" i="5"/>
  <c r="Q190" i="5"/>
  <c r="R190" i="5"/>
  <c r="Q172" i="5"/>
  <c r="R172" i="5"/>
  <c r="Q136" i="5"/>
  <c r="R136" i="5"/>
  <c r="Q119" i="5"/>
  <c r="R119" i="5"/>
  <c r="Q87" i="5"/>
  <c r="R87" i="5"/>
  <c r="Q54" i="5"/>
  <c r="R54" i="5"/>
  <c r="Q38" i="5"/>
  <c r="R38" i="5"/>
  <c r="Q7" i="5"/>
  <c r="R7" i="5"/>
  <c r="Q225" i="5"/>
  <c r="R225" i="5"/>
  <c r="Q207" i="5"/>
  <c r="R207" i="5"/>
  <c r="Q153" i="5"/>
  <c r="R153" i="5"/>
  <c r="Q135" i="5"/>
  <c r="R135" i="5"/>
  <c r="R102" i="5"/>
  <c r="Q102" i="5"/>
  <c r="Q86" i="5"/>
  <c r="R86" i="5"/>
  <c r="Q70" i="5"/>
  <c r="R70" i="5"/>
  <c r="Q37" i="5"/>
  <c r="R37" i="5"/>
  <c r="Q6" i="5"/>
  <c r="R6" i="5"/>
  <c r="R224" i="5"/>
  <c r="Q224" i="5"/>
  <c r="R206" i="5"/>
  <c r="Q206" i="5"/>
  <c r="R170" i="5"/>
  <c r="Q170" i="5"/>
  <c r="R152" i="5"/>
  <c r="Q152" i="5"/>
  <c r="Q134" i="5"/>
  <c r="R134" i="5"/>
  <c r="Q117" i="5"/>
  <c r="R117" i="5"/>
  <c r="Q101" i="5"/>
  <c r="R101" i="5"/>
  <c r="Q85" i="5"/>
  <c r="R85" i="5"/>
  <c r="Q69" i="5"/>
  <c r="R69" i="5"/>
  <c r="Q20" i="5"/>
  <c r="R20" i="5"/>
  <c r="Q205" i="5"/>
  <c r="R205" i="5"/>
  <c r="R84" i="5"/>
  <c r="Q84" i="5"/>
  <c r="Q52" i="5"/>
  <c r="R52" i="5"/>
  <c r="Q222" i="5"/>
  <c r="R222" i="5"/>
  <c r="Q204" i="5"/>
  <c r="R204" i="5"/>
  <c r="Q186" i="5"/>
  <c r="R186" i="5"/>
  <c r="Q168" i="5"/>
  <c r="R168" i="5"/>
  <c r="Q150" i="5"/>
  <c r="R150" i="5"/>
  <c r="Q132" i="5"/>
  <c r="R132" i="5"/>
  <c r="Q99" i="5"/>
  <c r="R99" i="5"/>
  <c r="Q83" i="5"/>
  <c r="R83" i="5"/>
  <c r="Q67" i="5"/>
  <c r="R67" i="5"/>
  <c r="Q51" i="5"/>
  <c r="R51" i="5"/>
  <c r="Q18" i="5"/>
  <c r="R18" i="5"/>
  <c r="Q4" i="5"/>
  <c r="R4" i="5"/>
  <c r="R14" i="5"/>
  <c r="R5" i="5"/>
  <c r="R125" i="5"/>
  <c r="R116" i="5"/>
  <c r="R107" i="5"/>
  <c r="R98" i="5"/>
  <c r="R89" i="5"/>
  <c r="R80" i="5"/>
  <c r="R71" i="5"/>
  <c r="R62" i="5"/>
  <c r="R53" i="5"/>
  <c r="R44" i="5"/>
  <c r="R35" i="5"/>
  <c r="R26" i="5"/>
  <c r="R17" i="5"/>
  <c r="R8" i="5"/>
  <c r="M68" i="5"/>
  <c r="N68" i="5"/>
  <c r="M225" i="5"/>
  <c r="N225" i="5"/>
  <c r="M51" i="5"/>
  <c r="N51" i="5"/>
  <c r="N206" i="5"/>
  <c r="M206" i="5"/>
  <c r="M190" i="5"/>
  <c r="N190" i="5"/>
  <c r="N174" i="5"/>
  <c r="M174" i="5"/>
  <c r="M82" i="5"/>
  <c r="N82" i="5"/>
  <c r="N66" i="5"/>
  <c r="M66" i="5"/>
  <c r="M50" i="5"/>
  <c r="N50" i="5"/>
  <c r="M34" i="5"/>
  <c r="N34" i="5"/>
  <c r="M223" i="5"/>
  <c r="N223" i="5"/>
  <c r="M205" i="5"/>
  <c r="N205" i="5"/>
  <c r="M189" i="5"/>
  <c r="N189" i="5"/>
  <c r="M173" i="5"/>
  <c r="N173" i="5"/>
  <c r="M159" i="5"/>
  <c r="N159" i="5"/>
  <c r="N129" i="5"/>
  <c r="M129" i="5"/>
  <c r="M114" i="5"/>
  <c r="N114" i="5"/>
  <c r="M81" i="5"/>
  <c r="N81" i="5"/>
  <c r="M65" i="5"/>
  <c r="N65" i="5"/>
  <c r="M49" i="5"/>
  <c r="N49" i="5"/>
  <c r="M33" i="5"/>
  <c r="N33" i="5"/>
  <c r="M222" i="5"/>
  <c r="N222" i="5"/>
  <c r="M204" i="5"/>
  <c r="N204" i="5"/>
  <c r="M188" i="5"/>
  <c r="N188" i="5"/>
  <c r="M172" i="5"/>
  <c r="N172" i="5"/>
  <c r="M158" i="5"/>
  <c r="N158" i="5"/>
  <c r="M128" i="5"/>
  <c r="N128" i="5"/>
  <c r="M113" i="5"/>
  <c r="N113" i="5"/>
  <c r="M97" i="5"/>
  <c r="N97" i="5"/>
  <c r="M217" i="5"/>
  <c r="N217" i="5"/>
  <c r="M199" i="5"/>
  <c r="N199" i="5"/>
  <c r="N183" i="5"/>
  <c r="M183" i="5"/>
  <c r="M169" i="5"/>
  <c r="N169" i="5"/>
  <c r="M153" i="5"/>
  <c r="N153" i="5"/>
  <c r="M139" i="5"/>
  <c r="N139" i="5"/>
  <c r="M108" i="5"/>
  <c r="N108" i="5"/>
  <c r="M92" i="5"/>
  <c r="N92" i="5"/>
  <c r="M76" i="5"/>
  <c r="N76" i="5"/>
  <c r="M60" i="5"/>
  <c r="N60" i="5"/>
  <c r="M27" i="5"/>
  <c r="N27" i="5"/>
  <c r="M16" i="5"/>
  <c r="N16" i="5"/>
  <c r="M100" i="5"/>
  <c r="N100" i="5"/>
  <c r="M145" i="5"/>
  <c r="N145" i="5"/>
  <c r="M83" i="5"/>
  <c r="N83" i="5"/>
  <c r="N224" i="5"/>
  <c r="M224" i="5"/>
  <c r="M115" i="5"/>
  <c r="N115" i="5"/>
  <c r="M216" i="5"/>
  <c r="N216" i="5"/>
  <c r="M168" i="5"/>
  <c r="N168" i="5"/>
  <c r="M124" i="5"/>
  <c r="N124" i="5"/>
  <c r="M91" i="5"/>
  <c r="N91" i="5"/>
  <c r="M43" i="5"/>
  <c r="N43" i="5"/>
  <c r="N215" i="5"/>
  <c r="M215" i="5"/>
  <c r="M137" i="5"/>
  <c r="N137" i="5"/>
  <c r="M42" i="5"/>
  <c r="N42" i="5"/>
  <c r="N57" i="5"/>
  <c r="M57" i="5"/>
  <c r="M151" i="5"/>
  <c r="N151" i="5"/>
  <c r="M230" i="5"/>
  <c r="N230" i="5"/>
  <c r="M212" i="5"/>
  <c r="N212" i="5"/>
  <c r="M196" i="5"/>
  <c r="N196" i="5"/>
  <c r="M164" i="5"/>
  <c r="N164" i="5"/>
  <c r="M150" i="5"/>
  <c r="N150" i="5"/>
  <c r="N120" i="5"/>
  <c r="M120" i="5"/>
  <c r="M104" i="5"/>
  <c r="N104" i="5"/>
  <c r="M88" i="5"/>
  <c r="N88" i="5"/>
  <c r="M55" i="5"/>
  <c r="N55" i="5"/>
  <c r="N39" i="5"/>
  <c r="M39" i="5"/>
  <c r="N84" i="5"/>
  <c r="M84" i="5"/>
  <c r="M207" i="5"/>
  <c r="N207" i="5"/>
  <c r="M67" i="5"/>
  <c r="N67" i="5"/>
  <c r="M160" i="5"/>
  <c r="N160" i="5"/>
  <c r="N138" i="5"/>
  <c r="M138" i="5"/>
  <c r="M59" i="5"/>
  <c r="N59" i="5"/>
  <c r="M181" i="5"/>
  <c r="N181" i="5"/>
  <c r="M58" i="5"/>
  <c r="N58" i="5"/>
  <c r="M232" i="5"/>
  <c r="N232" i="5"/>
  <c r="M180" i="5"/>
  <c r="N180" i="5"/>
  <c r="M41" i="5"/>
  <c r="N41" i="5"/>
  <c r="M40" i="5"/>
  <c r="N40" i="5"/>
  <c r="M229" i="5"/>
  <c r="N229" i="5"/>
  <c r="M195" i="5"/>
  <c r="N195" i="5"/>
  <c r="M149" i="5"/>
  <c r="N149" i="5"/>
  <c r="M119" i="5"/>
  <c r="N119" i="5"/>
  <c r="M103" i="5"/>
  <c r="N103" i="5"/>
  <c r="M87" i="5"/>
  <c r="N87" i="5"/>
  <c r="M54" i="5"/>
  <c r="N54" i="5"/>
  <c r="M38" i="5"/>
  <c r="N38" i="5"/>
  <c r="M52" i="5"/>
  <c r="N52" i="5"/>
  <c r="M191" i="5"/>
  <c r="N191" i="5"/>
  <c r="M99" i="5"/>
  <c r="N99" i="5"/>
  <c r="M130" i="5"/>
  <c r="N130" i="5"/>
  <c r="M182" i="5"/>
  <c r="N182" i="5"/>
  <c r="M167" i="5"/>
  <c r="N167" i="5"/>
  <c r="M90" i="5"/>
  <c r="N90" i="5"/>
  <c r="M14" i="5"/>
  <c r="N14" i="5"/>
  <c r="M214" i="5"/>
  <c r="N214" i="5"/>
  <c r="M166" i="5"/>
  <c r="N166" i="5"/>
  <c r="M136" i="5"/>
  <c r="N136" i="5"/>
  <c r="M122" i="5"/>
  <c r="N122" i="5"/>
  <c r="M106" i="5"/>
  <c r="N106" i="5"/>
  <c r="M73" i="5"/>
  <c r="N73" i="5"/>
  <c r="M25" i="5"/>
  <c r="N25" i="5"/>
  <c r="M213" i="5"/>
  <c r="N213" i="5"/>
  <c r="M135" i="5"/>
  <c r="N135" i="5"/>
  <c r="M105" i="5"/>
  <c r="N105" i="5"/>
  <c r="M72" i="5"/>
  <c r="N72" i="5"/>
  <c r="M211" i="5"/>
  <c r="N211" i="5"/>
  <c r="M228" i="5"/>
  <c r="N228" i="5"/>
  <c r="M194" i="5"/>
  <c r="N194" i="5"/>
  <c r="M178" i="5"/>
  <c r="N178" i="5"/>
  <c r="M162" i="5"/>
  <c r="N162" i="5"/>
  <c r="M148" i="5"/>
  <c r="N148" i="5"/>
  <c r="M118" i="5"/>
  <c r="N118" i="5"/>
  <c r="N102" i="5"/>
  <c r="M102" i="5"/>
  <c r="M86" i="5"/>
  <c r="N86" i="5"/>
  <c r="M70" i="5"/>
  <c r="N70" i="5"/>
  <c r="M37" i="5"/>
  <c r="N37" i="5"/>
  <c r="M23" i="5"/>
  <c r="N23" i="5"/>
  <c r="N192" i="5"/>
  <c r="M192" i="5"/>
  <c r="M175" i="5"/>
  <c r="N175" i="5"/>
  <c r="M131" i="5"/>
  <c r="N131" i="5"/>
  <c r="M9" i="5"/>
  <c r="N9" i="5"/>
  <c r="M144" i="5"/>
  <c r="N144" i="5"/>
  <c r="M198" i="5"/>
  <c r="N198" i="5"/>
  <c r="N75" i="5"/>
  <c r="M75" i="5"/>
  <c r="M15" i="5"/>
  <c r="N15" i="5"/>
  <c r="M123" i="5"/>
  <c r="N123" i="5"/>
  <c r="M74" i="5"/>
  <c r="N74" i="5"/>
  <c r="M13" i="5"/>
  <c r="N13" i="5"/>
  <c r="M231" i="5"/>
  <c r="N231" i="5"/>
  <c r="N165" i="5"/>
  <c r="M165" i="5"/>
  <c r="M121" i="5"/>
  <c r="N121" i="5"/>
  <c r="M56" i="5"/>
  <c r="N56" i="5"/>
  <c r="M163" i="5"/>
  <c r="N163" i="5"/>
  <c r="N210" i="5"/>
  <c r="M210" i="5"/>
  <c r="M227" i="5"/>
  <c r="N227" i="5"/>
  <c r="M209" i="5"/>
  <c r="N209" i="5"/>
  <c r="M193" i="5"/>
  <c r="N193" i="5"/>
  <c r="M177" i="5"/>
  <c r="N177" i="5"/>
  <c r="N147" i="5"/>
  <c r="M147" i="5"/>
  <c r="M133" i="5"/>
  <c r="N133" i="5"/>
  <c r="M117" i="5"/>
  <c r="N117" i="5"/>
  <c r="M101" i="5"/>
  <c r="N101" i="5"/>
  <c r="M85" i="5"/>
  <c r="N85" i="5"/>
  <c r="M69" i="5"/>
  <c r="N69" i="5"/>
  <c r="M36" i="5"/>
  <c r="N36" i="5"/>
  <c r="M22" i="5"/>
  <c r="N22" i="5"/>
  <c r="M11" i="5"/>
  <c r="N11" i="5"/>
  <c r="M10" i="5"/>
  <c r="N10" i="5"/>
  <c r="M226" i="5"/>
  <c r="N226" i="5"/>
  <c r="M132" i="5"/>
  <c r="N132" i="5"/>
  <c r="M176" i="5"/>
  <c r="N176" i="5"/>
  <c r="M146" i="5"/>
  <c r="N146" i="5"/>
  <c r="M208" i="5"/>
  <c r="N208" i="5"/>
  <c r="M64" i="5"/>
  <c r="N64" i="5"/>
  <c r="N48" i="5"/>
  <c r="M48" i="5"/>
  <c r="M32" i="5"/>
  <c r="N32" i="5"/>
  <c r="M20" i="5"/>
  <c r="N20" i="5"/>
  <c r="M7" i="5"/>
  <c r="N7" i="5"/>
  <c r="M221" i="5"/>
  <c r="N221" i="5"/>
  <c r="M203" i="5"/>
  <c r="N203" i="5"/>
  <c r="M187" i="5"/>
  <c r="N187" i="5"/>
  <c r="M171" i="5"/>
  <c r="N171" i="5"/>
  <c r="M157" i="5"/>
  <c r="N157" i="5"/>
  <c r="M127" i="5"/>
  <c r="N127" i="5"/>
  <c r="M112" i="5"/>
  <c r="N112" i="5"/>
  <c r="M96" i="5"/>
  <c r="N96" i="5"/>
  <c r="M63" i="5"/>
  <c r="N63" i="5"/>
  <c r="M47" i="5"/>
  <c r="N47" i="5"/>
  <c r="M31" i="5"/>
  <c r="N31" i="5"/>
  <c r="M19" i="5"/>
  <c r="N19" i="5"/>
  <c r="M220" i="5"/>
  <c r="N220" i="5"/>
  <c r="M202" i="5"/>
  <c r="N202" i="5"/>
  <c r="M186" i="5"/>
  <c r="N186" i="5"/>
  <c r="N156" i="5"/>
  <c r="M156" i="5"/>
  <c r="M142" i="5"/>
  <c r="N142" i="5"/>
  <c r="M126" i="5"/>
  <c r="N126" i="5"/>
  <c r="N111" i="5"/>
  <c r="M111" i="5"/>
  <c r="M95" i="5"/>
  <c r="N95" i="5"/>
  <c r="M79" i="5"/>
  <c r="N79" i="5"/>
  <c r="M46" i="5"/>
  <c r="N46" i="5"/>
  <c r="N30" i="5"/>
  <c r="M30" i="5"/>
  <c r="M18" i="5"/>
  <c r="N18" i="5"/>
  <c r="M219" i="5"/>
  <c r="N219" i="5"/>
  <c r="N201" i="5"/>
  <c r="M201" i="5"/>
  <c r="M185" i="5"/>
  <c r="N185" i="5"/>
  <c r="M155" i="5"/>
  <c r="N155" i="5"/>
  <c r="M141" i="5"/>
  <c r="N141" i="5"/>
  <c r="M110" i="5"/>
  <c r="N110" i="5"/>
  <c r="M94" i="5"/>
  <c r="N94" i="5"/>
  <c r="M78" i="5"/>
  <c r="N78" i="5"/>
  <c r="M45" i="5"/>
  <c r="N45" i="5"/>
  <c r="M29" i="5"/>
  <c r="N29" i="5"/>
  <c r="M5" i="5"/>
  <c r="N5" i="5"/>
  <c r="M218" i="5"/>
  <c r="N218" i="5"/>
  <c r="M200" i="5"/>
  <c r="N200" i="5"/>
  <c r="M184" i="5"/>
  <c r="N184" i="5"/>
  <c r="M154" i="5"/>
  <c r="N154" i="5"/>
  <c r="M140" i="5"/>
  <c r="N140" i="5"/>
  <c r="M109" i="5"/>
  <c r="N109" i="5"/>
  <c r="N93" i="5"/>
  <c r="M93" i="5"/>
  <c r="M77" i="5"/>
  <c r="N77" i="5"/>
  <c r="M61" i="5"/>
  <c r="N61" i="5"/>
  <c r="M28" i="5"/>
  <c r="N28" i="5"/>
  <c r="M4" i="5"/>
  <c r="N4" i="5"/>
  <c r="N6" i="5"/>
  <c r="N116" i="5"/>
  <c r="N107" i="5"/>
  <c r="N98" i="5"/>
  <c r="N89" i="5"/>
  <c r="N80" i="5"/>
  <c r="N71" i="5"/>
  <c r="N62" i="5"/>
  <c r="N53" i="5"/>
  <c r="N44" i="5"/>
  <c r="N35" i="5"/>
  <c r="N26" i="5"/>
  <c r="N17" i="5"/>
  <c r="N8" i="5"/>
  <c r="AB3" i="5"/>
  <c r="H4" i="5"/>
  <c r="AU4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U129" i="6"/>
  <c r="AU130" i="6"/>
  <c r="AU131" i="6"/>
  <c r="AU132" i="6"/>
  <c r="AU133" i="6"/>
  <c r="AU134" i="6"/>
  <c r="AU135" i="6"/>
  <c r="AU136" i="6"/>
  <c r="AU137" i="6"/>
  <c r="AU138" i="6"/>
  <c r="AU139" i="6"/>
  <c r="AU140" i="6"/>
  <c r="AU141" i="6"/>
  <c r="AU142" i="6"/>
  <c r="AU143" i="6"/>
  <c r="AU144" i="6"/>
  <c r="AU145" i="6"/>
  <c r="AU146" i="6"/>
  <c r="AU147" i="6"/>
  <c r="AU148" i="6"/>
  <c r="AU149" i="6"/>
  <c r="AU150" i="6"/>
  <c r="AU151" i="6"/>
  <c r="AU152" i="6"/>
  <c r="AU153" i="6"/>
  <c r="AU154" i="6"/>
  <c r="AU155" i="6"/>
  <c r="AU156" i="6"/>
  <c r="AU157" i="6"/>
  <c r="AU158" i="6"/>
  <c r="AU159" i="6"/>
  <c r="AU160" i="6"/>
  <c r="AU161" i="6"/>
  <c r="AU162" i="6"/>
  <c r="AU163" i="6"/>
  <c r="AU164" i="6"/>
  <c r="AU165" i="6"/>
  <c r="AU166" i="6"/>
  <c r="AU167" i="6"/>
  <c r="AU168" i="6"/>
  <c r="AU169" i="6"/>
  <c r="AU170" i="6"/>
  <c r="AU171" i="6"/>
  <c r="AU172" i="6"/>
  <c r="AU173" i="6"/>
  <c r="AU174" i="6"/>
  <c r="AU175" i="6"/>
  <c r="AU176" i="6"/>
  <c r="AU177" i="6"/>
  <c r="AU178" i="6"/>
  <c r="AU179" i="6"/>
  <c r="AU180" i="6"/>
  <c r="AU181" i="6"/>
  <c r="AU182" i="6"/>
  <c r="AU183" i="6"/>
  <c r="AU184" i="6"/>
  <c r="AU185" i="6"/>
  <c r="AU186" i="6"/>
  <c r="AU187" i="6"/>
  <c r="AU188" i="6"/>
  <c r="AU189" i="6"/>
  <c r="AU190" i="6"/>
  <c r="AU191" i="6"/>
  <c r="AU192" i="6"/>
  <c r="AU193" i="6"/>
  <c r="AU194" i="6"/>
  <c r="AU3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3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M129" i="6"/>
  <c r="AM130" i="6"/>
  <c r="AM131" i="6"/>
  <c r="AM132" i="6"/>
  <c r="AM133" i="6"/>
  <c r="AM134" i="6"/>
  <c r="AM135" i="6"/>
  <c r="AM136" i="6"/>
  <c r="AM137" i="6"/>
  <c r="AM138" i="6"/>
  <c r="AM139" i="6"/>
  <c r="AM140" i="6"/>
  <c r="AM141" i="6"/>
  <c r="AM142" i="6"/>
  <c r="AM143" i="6"/>
  <c r="AM144" i="6"/>
  <c r="AM145" i="6"/>
  <c r="AM146" i="6"/>
  <c r="AM147" i="6"/>
  <c r="AM148" i="6"/>
  <c r="AM149" i="6"/>
  <c r="AM150" i="6"/>
  <c r="AM151" i="6"/>
  <c r="AM152" i="6"/>
  <c r="AM153" i="6"/>
  <c r="AM154" i="6"/>
  <c r="AM155" i="6"/>
  <c r="AM156" i="6"/>
  <c r="AM157" i="6"/>
  <c r="AM158" i="6"/>
  <c r="AM159" i="6"/>
  <c r="AM160" i="6"/>
  <c r="AM161" i="6"/>
  <c r="AM162" i="6"/>
  <c r="AM163" i="6"/>
  <c r="AM164" i="6"/>
  <c r="AM165" i="6"/>
  <c r="AM166" i="6"/>
  <c r="AM167" i="6"/>
  <c r="AM168" i="6"/>
  <c r="AM169" i="6"/>
  <c r="AM170" i="6"/>
  <c r="AM171" i="6"/>
  <c r="AM172" i="6"/>
  <c r="AM173" i="6"/>
  <c r="AM174" i="6"/>
  <c r="AM175" i="6"/>
  <c r="AM176" i="6"/>
  <c r="AM177" i="6"/>
  <c r="AM178" i="6"/>
  <c r="AM179" i="6"/>
  <c r="AM180" i="6"/>
  <c r="AM181" i="6"/>
  <c r="AM182" i="6"/>
  <c r="AM183" i="6"/>
  <c r="AM184" i="6"/>
  <c r="AM185" i="6"/>
  <c r="AM186" i="6"/>
  <c r="AM187" i="6"/>
  <c r="AM188" i="6"/>
  <c r="AM189" i="6"/>
  <c r="AM190" i="6"/>
  <c r="AM191" i="6"/>
  <c r="AM192" i="6"/>
  <c r="AM193" i="6"/>
  <c r="AM194" i="6"/>
  <c r="AM3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3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3" i="6"/>
  <c r="AX231" i="5" l="1"/>
  <c r="AW231" i="5"/>
  <c r="AX172" i="5"/>
  <c r="AW172" i="5"/>
  <c r="AX3" i="5"/>
  <c r="AT217" i="5"/>
  <c r="AS217" i="5"/>
  <c r="AS199" i="5"/>
  <c r="AT199" i="5"/>
  <c r="AO28" i="5"/>
  <c r="AP28" i="5"/>
  <c r="AP154" i="5"/>
  <c r="AO154" i="5"/>
  <c r="AP141" i="5"/>
  <c r="AO141" i="5"/>
  <c r="AP204" i="5"/>
  <c r="AO204" i="5"/>
  <c r="AP105" i="5"/>
  <c r="AO105" i="5"/>
  <c r="AP222" i="5"/>
  <c r="AO222" i="5"/>
  <c r="AP190" i="5"/>
  <c r="AO190" i="5"/>
  <c r="AP127" i="5"/>
  <c r="AO127" i="5"/>
  <c r="AP195" i="5"/>
  <c r="AO195" i="5"/>
  <c r="AP118" i="5"/>
  <c r="AO118" i="5"/>
  <c r="AO139" i="5"/>
  <c r="AP139" i="5"/>
  <c r="AP177" i="5"/>
  <c r="AO177" i="5"/>
  <c r="U204" i="7"/>
  <c r="V204" i="7"/>
  <c r="H232" i="5" l="1"/>
  <c r="H231" i="5"/>
  <c r="X3" i="5"/>
  <c r="D229" i="7" l="1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S192" i="6"/>
  <c r="O192" i="6"/>
  <c r="K192" i="6"/>
  <c r="G192" i="6"/>
  <c r="D192" i="6"/>
  <c r="C192" i="6"/>
  <c r="S191" i="6"/>
  <c r="O191" i="6"/>
  <c r="K191" i="6"/>
  <c r="G191" i="6"/>
  <c r="D191" i="6"/>
  <c r="C191" i="6"/>
  <c r="S190" i="6"/>
  <c r="O190" i="6"/>
  <c r="K190" i="6"/>
  <c r="G190" i="6"/>
  <c r="D190" i="6"/>
  <c r="C190" i="6"/>
  <c r="S189" i="6"/>
  <c r="O189" i="6"/>
  <c r="K189" i="6"/>
  <c r="G189" i="6"/>
  <c r="D189" i="6"/>
  <c r="C189" i="6"/>
  <c r="D188" i="6"/>
  <c r="D187" i="6"/>
  <c r="D186" i="6"/>
  <c r="S185" i="6"/>
  <c r="O185" i="6"/>
  <c r="K185" i="6"/>
  <c r="G185" i="6"/>
  <c r="D185" i="6"/>
  <c r="C185" i="6"/>
  <c r="D184" i="6"/>
  <c r="S183" i="6"/>
  <c r="O183" i="6"/>
  <c r="K183" i="6"/>
  <c r="G183" i="6"/>
  <c r="D183" i="6"/>
  <c r="C183" i="6"/>
  <c r="D182" i="6"/>
  <c r="S181" i="6"/>
  <c r="O181" i="6"/>
  <c r="K181" i="6"/>
  <c r="G181" i="6"/>
  <c r="D181" i="6"/>
  <c r="C181" i="6"/>
  <c r="D180" i="6"/>
  <c r="D179" i="6"/>
  <c r="D178" i="6"/>
  <c r="D177" i="6"/>
  <c r="D176" i="6"/>
  <c r="D175" i="6"/>
  <c r="S174" i="6"/>
  <c r="O174" i="6"/>
  <c r="K174" i="6"/>
  <c r="G174" i="6"/>
  <c r="D174" i="6"/>
  <c r="C174" i="6"/>
  <c r="D173" i="6"/>
  <c r="S172" i="6"/>
  <c r="O172" i="6"/>
  <c r="K172" i="6"/>
  <c r="G172" i="6"/>
  <c r="D172" i="6"/>
  <c r="C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S151" i="6"/>
  <c r="O151" i="6"/>
  <c r="K151" i="6"/>
  <c r="G151" i="6"/>
  <c r="D151" i="6"/>
  <c r="C151" i="6"/>
  <c r="D150" i="6"/>
  <c r="D149" i="6"/>
  <c r="D148" i="6"/>
  <c r="D147" i="6"/>
  <c r="S146" i="6"/>
  <c r="O146" i="6"/>
  <c r="K146" i="6"/>
  <c r="G146" i="6"/>
  <c r="D146" i="6"/>
  <c r="C146" i="6"/>
  <c r="D145" i="6"/>
  <c r="D144" i="6"/>
  <c r="D143" i="6"/>
  <c r="D142" i="6"/>
  <c r="S141" i="6"/>
  <c r="O141" i="6"/>
  <c r="K141" i="6"/>
  <c r="G141" i="6"/>
  <c r="D141" i="6"/>
  <c r="C141" i="6"/>
  <c r="S140" i="6"/>
  <c r="O140" i="6"/>
  <c r="K140" i="6"/>
  <c r="G140" i="6"/>
  <c r="D140" i="6"/>
  <c r="C140" i="6"/>
  <c r="D139" i="6"/>
  <c r="D138" i="6"/>
  <c r="D137" i="6"/>
  <c r="D136" i="6"/>
  <c r="D135" i="6"/>
  <c r="D134" i="6"/>
  <c r="D133" i="6"/>
  <c r="D132" i="6"/>
  <c r="S131" i="6"/>
  <c r="O131" i="6"/>
  <c r="K131" i="6"/>
  <c r="G131" i="6"/>
  <c r="D131" i="6"/>
  <c r="C131" i="6"/>
  <c r="D130" i="6"/>
  <c r="D129" i="6"/>
  <c r="D128" i="6"/>
  <c r="D127" i="6"/>
  <c r="S126" i="6"/>
  <c r="O126" i="6"/>
  <c r="K126" i="6"/>
  <c r="G126" i="6"/>
  <c r="D126" i="6"/>
  <c r="C126" i="6"/>
  <c r="S125" i="6"/>
  <c r="O125" i="6"/>
  <c r="K125" i="6"/>
  <c r="G125" i="6"/>
  <c r="D125" i="6"/>
  <c r="C125" i="6"/>
  <c r="S124" i="6"/>
  <c r="O124" i="6"/>
  <c r="K124" i="6"/>
  <c r="G124" i="6"/>
  <c r="D124" i="6"/>
  <c r="C124" i="6"/>
  <c r="S123" i="6"/>
  <c r="O123" i="6"/>
  <c r="K123" i="6"/>
  <c r="G123" i="6"/>
  <c r="D123" i="6"/>
  <c r="C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S109" i="6"/>
  <c r="O109" i="6"/>
  <c r="K109" i="6"/>
  <c r="G109" i="6"/>
  <c r="D109" i="6"/>
  <c r="C109" i="6"/>
  <c r="D108" i="6"/>
  <c r="D107" i="6"/>
  <c r="D106" i="6"/>
  <c r="D105" i="6"/>
  <c r="S104" i="6"/>
  <c r="O104" i="6"/>
  <c r="K104" i="6"/>
  <c r="G104" i="6"/>
  <c r="D104" i="6"/>
  <c r="C104" i="6"/>
  <c r="S103" i="6"/>
  <c r="O103" i="6"/>
  <c r="K103" i="6"/>
  <c r="G103" i="6"/>
  <c r="D103" i="6"/>
  <c r="C103" i="6"/>
  <c r="D102" i="6"/>
  <c r="D101" i="6"/>
  <c r="S100" i="6"/>
  <c r="O100" i="6"/>
  <c r="K100" i="6"/>
  <c r="G100" i="6"/>
  <c r="D100" i="6"/>
  <c r="C100" i="6"/>
  <c r="D99" i="6"/>
  <c r="S98" i="6"/>
  <c r="O98" i="6"/>
  <c r="K98" i="6"/>
  <c r="G98" i="6"/>
  <c r="D98" i="6"/>
  <c r="C98" i="6"/>
  <c r="D97" i="6"/>
  <c r="D96" i="6"/>
  <c r="D95" i="6"/>
  <c r="S94" i="6"/>
  <c r="O94" i="6"/>
  <c r="K94" i="6"/>
  <c r="G94" i="6"/>
  <c r="D94" i="6"/>
  <c r="C94" i="6"/>
  <c r="D93" i="6"/>
  <c r="D92" i="6"/>
  <c r="S91" i="6"/>
  <c r="O91" i="6"/>
  <c r="K91" i="6"/>
  <c r="G91" i="6"/>
  <c r="D91" i="6"/>
  <c r="C91" i="6"/>
  <c r="S90" i="6"/>
  <c r="O90" i="6"/>
  <c r="K90" i="6"/>
  <c r="G90" i="6"/>
  <c r="D90" i="6"/>
  <c r="C90" i="6"/>
  <c r="D89" i="6"/>
  <c r="D88" i="6"/>
  <c r="D87" i="6"/>
  <c r="D86" i="6"/>
  <c r="D85" i="6"/>
  <c r="D84" i="6"/>
  <c r="D83" i="6"/>
  <c r="D82" i="6"/>
  <c r="D81" i="6"/>
  <c r="D80" i="6"/>
  <c r="D79" i="6"/>
  <c r="S78" i="6"/>
  <c r="O78" i="6"/>
  <c r="K78" i="6"/>
  <c r="G78" i="6"/>
  <c r="D78" i="6"/>
  <c r="C78" i="6"/>
  <c r="D77" i="6"/>
  <c r="D76" i="6"/>
  <c r="D75" i="6"/>
  <c r="D74" i="6"/>
  <c r="D73" i="6"/>
  <c r="D72" i="6"/>
  <c r="D71" i="6"/>
  <c r="S70" i="6"/>
  <c r="O70" i="6"/>
  <c r="K70" i="6"/>
  <c r="G70" i="6"/>
  <c r="D70" i="6"/>
  <c r="C70" i="6"/>
  <c r="D69" i="6"/>
  <c r="D68" i="6"/>
  <c r="D67" i="6"/>
  <c r="S66" i="6"/>
  <c r="O66" i="6"/>
  <c r="K66" i="6"/>
  <c r="G66" i="6"/>
  <c r="D66" i="6"/>
  <c r="C66" i="6"/>
  <c r="S65" i="6"/>
  <c r="O65" i="6"/>
  <c r="K65" i="6"/>
  <c r="G65" i="6"/>
  <c r="D65" i="6"/>
  <c r="C65" i="6"/>
  <c r="D64" i="6"/>
  <c r="D63" i="6"/>
  <c r="S62" i="6"/>
  <c r="O62" i="6"/>
  <c r="K62" i="6"/>
  <c r="G62" i="6"/>
  <c r="D62" i="6"/>
  <c r="C62" i="6"/>
  <c r="D61" i="6"/>
  <c r="D60" i="6"/>
  <c r="S59" i="6"/>
  <c r="O59" i="6"/>
  <c r="K59" i="6"/>
  <c r="G59" i="6"/>
  <c r="D59" i="6"/>
  <c r="C59" i="6"/>
  <c r="D58" i="6"/>
  <c r="D57" i="6"/>
  <c r="D56" i="6"/>
  <c r="D55" i="6"/>
  <c r="S54" i="6"/>
  <c r="O54" i="6"/>
  <c r="K54" i="6"/>
  <c r="G54" i="6"/>
  <c r="D54" i="6"/>
  <c r="C54" i="6"/>
  <c r="S53" i="6"/>
  <c r="O53" i="6"/>
  <c r="K53" i="6"/>
  <c r="G53" i="6"/>
  <c r="D53" i="6"/>
  <c r="C53" i="6"/>
  <c r="S52" i="6"/>
  <c r="O52" i="6"/>
  <c r="K52" i="6"/>
  <c r="G52" i="6"/>
  <c r="D52" i="6"/>
  <c r="C52" i="6"/>
  <c r="S51" i="6"/>
  <c r="O51" i="6"/>
  <c r="K51" i="6"/>
  <c r="G51" i="6"/>
  <c r="D51" i="6"/>
  <c r="C51" i="6"/>
  <c r="S50" i="6"/>
  <c r="O50" i="6"/>
  <c r="K50" i="6"/>
  <c r="G50" i="6"/>
  <c r="D50" i="6"/>
  <c r="C50" i="6"/>
  <c r="S49" i="6"/>
  <c r="O49" i="6"/>
  <c r="K49" i="6"/>
  <c r="G49" i="6"/>
  <c r="D49" i="6"/>
  <c r="C49" i="6"/>
  <c r="S48" i="6"/>
  <c r="O48" i="6"/>
  <c r="K48" i="6"/>
  <c r="G48" i="6"/>
  <c r="D48" i="6"/>
  <c r="C48" i="6"/>
  <c r="S47" i="6"/>
  <c r="O47" i="6"/>
  <c r="K47" i="6"/>
  <c r="G47" i="6"/>
  <c r="D47" i="6"/>
  <c r="C47" i="6"/>
  <c r="D46" i="6"/>
  <c r="D45" i="6"/>
  <c r="D44" i="6"/>
  <c r="S43" i="6"/>
  <c r="O43" i="6"/>
  <c r="K43" i="6"/>
  <c r="G43" i="6"/>
  <c r="D43" i="6"/>
  <c r="C43" i="6"/>
  <c r="S42" i="6"/>
  <c r="O42" i="6"/>
  <c r="K42" i="6"/>
  <c r="G42" i="6"/>
  <c r="D42" i="6"/>
  <c r="C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S28" i="6"/>
  <c r="O28" i="6"/>
  <c r="K28" i="6"/>
  <c r="G28" i="6"/>
  <c r="D28" i="6"/>
  <c r="C28" i="6"/>
  <c r="S27" i="6"/>
  <c r="O27" i="6"/>
  <c r="K27" i="6"/>
  <c r="G27" i="6"/>
  <c r="D27" i="6"/>
  <c r="C27" i="6"/>
  <c r="D26" i="6"/>
  <c r="D25" i="6"/>
  <c r="D24" i="6"/>
  <c r="D23" i="6"/>
  <c r="D22" i="6"/>
  <c r="S21" i="6"/>
  <c r="O21" i="6"/>
  <c r="K21" i="6"/>
  <c r="G21" i="6"/>
  <c r="D21" i="6"/>
  <c r="C21" i="6"/>
  <c r="S20" i="6"/>
  <c r="O20" i="6"/>
  <c r="K20" i="6"/>
  <c r="G20" i="6"/>
  <c r="D20" i="6"/>
  <c r="C20" i="6"/>
  <c r="D19" i="6"/>
  <c r="D18" i="6"/>
  <c r="D17" i="6"/>
  <c r="D16" i="6"/>
  <c r="D15" i="6"/>
  <c r="D14" i="6"/>
  <c r="S13" i="6"/>
  <c r="O13" i="6"/>
  <c r="K13" i="6"/>
  <c r="G13" i="6"/>
  <c r="D13" i="6"/>
  <c r="C13" i="6"/>
  <c r="D12" i="6"/>
  <c r="S11" i="6"/>
  <c r="O11" i="6"/>
  <c r="K11" i="6"/>
  <c r="G11" i="6"/>
  <c r="D11" i="6"/>
  <c r="C11" i="6"/>
  <c r="D10" i="6"/>
  <c r="D9" i="6"/>
  <c r="D8" i="6"/>
  <c r="D7" i="6"/>
  <c r="D6" i="6"/>
  <c r="D5" i="6"/>
  <c r="D4" i="6"/>
  <c r="D3" i="6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H91" i="5" l="1"/>
  <c r="X140" i="6"/>
  <c r="Z140" i="6" s="1"/>
  <c r="X104" i="6"/>
  <c r="Z104" i="6" s="1"/>
  <c r="AB185" i="6"/>
  <c r="AC185" i="6" s="1"/>
  <c r="AB131" i="6"/>
  <c r="AC131" i="6" s="1"/>
  <c r="AB94" i="6"/>
  <c r="AC94" i="6" s="1"/>
  <c r="H50" i="6"/>
  <c r="H131" i="6"/>
  <c r="H53" i="6"/>
  <c r="X131" i="6"/>
  <c r="Y131" i="6" s="1"/>
  <c r="X185" i="6"/>
  <c r="Z185" i="6" s="1"/>
  <c r="AB104" i="6"/>
  <c r="AD104" i="6" s="1"/>
  <c r="AB140" i="6"/>
  <c r="AD140" i="6" s="1"/>
  <c r="H28" i="6"/>
  <c r="AB42" i="6"/>
  <c r="AJ20" i="6"/>
  <c r="AJ146" i="6"/>
  <c r="AK146" i="6" s="1"/>
  <c r="AV59" i="6"/>
  <c r="AV131" i="6"/>
  <c r="AV185" i="6"/>
  <c r="AF52" i="6"/>
  <c r="AH52" i="6" s="1"/>
  <c r="AF70" i="6"/>
  <c r="AH70" i="6" s="1"/>
  <c r="H11" i="6"/>
  <c r="AJ42" i="6"/>
  <c r="AK42" i="6" s="1"/>
  <c r="H189" i="6"/>
  <c r="X151" i="6"/>
  <c r="AF21" i="6"/>
  <c r="X172" i="6"/>
  <c r="L42" i="6"/>
  <c r="N42" i="6" s="1"/>
  <c r="L123" i="6"/>
  <c r="M123" i="6" s="1"/>
  <c r="L189" i="6"/>
  <c r="N189" i="6" s="1"/>
  <c r="AB181" i="6"/>
  <c r="AF43" i="6"/>
  <c r="AB146" i="6"/>
  <c r="H52" i="6"/>
  <c r="X52" i="6"/>
  <c r="X70" i="6"/>
  <c r="X124" i="6"/>
  <c r="P109" i="6"/>
  <c r="X91" i="6"/>
  <c r="AB100" i="6"/>
  <c r="AF141" i="6"/>
  <c r="AJ21" i="6"/>
  <c r="AJ183" i="6"/>
  <c r="AN28" i="6"/>
  <c r="AN100" i="6"/>
  <c r="AN172" i="6"/>
  <c r="AN190" i="6"/>
  <c r="AR53" i="6"/>
  <c r="AR125" i="6"/>
  <c r="AF125" i="6"/>
  <c r="AJ94" i="6"/>
  <c r="AN11" i="6"/>
  <c r="AN47" i="6"/>
  <c r="AN65" i="6"/>
  <c r="AB50" i="6"/>
  <c r="AF104" i="6"/>
  <c r="AF140" i="6"/>
  <c r="AF109" i="6"/>
  <c r="AJ78" i="6"/>
  <c r="X189" i="6"/>
  <c r="AB195" i="6"/>
  <c r="AF181" i="6"/>
  <c r="AB126" i="6"/>
  <c r="AF151" i="6"/>
  <c r="AV51" i="6"/>
  <c r="AV123" i="6"/>
  <c r="AV141" i="6"/>
  <c r="AV195" i="6"/>
  <c r="AJ13" i="6"/>
  <c r="AJ49" i="6"/>
  <c r="AR27" i="6"/>
  <c r="AR189" i="6"/>
  <c r="AV52" i="6"/>
  <c r="AV70" i="6"/>
  <c r="AV124" i="6"/>
  <c r="AF131" i="6"/>
  <c r="AF185" i="6"/>
  <c r="AJ50" i="6"/>
  <c r="AJ104" i="6"/>
  <c r="AJ140" i="6"/>
  <c r="AF100" i="6"/>
  <c r="AF190" i="6"/>
  <c r="AF50" i="6"/>
  <c r="AF51" i="6"/>
  <c r="AF103" i="6"/>
  <c r="AF174" i="6"/>
  <c r="H43" i="5"/>
  <c r="H21" i="5"/>
  <c r="H191" i="5"/>
  <c r="H62" i="5"/>
  <c r="H103" i="5"/>
  <c r="AB13" i="6"/>
  <c r="AB49" i="6"/>
  <c r="X53" i="6"/>
  <c r="X54" i="6"/>
  <c r="X90" i="6"/>
  <c r="X123" i="6"/>
  <c r="X174" i="6"/>
  <c r="X190" i="6"/>
  <c r="X141" i="6"/>
  <c r="X191" i="6"/>
  <c r="AB52" i="6"/>
  <c r="AN21" i="6"/>
  <c r="X20" i="6"/>
  <c r="X109" i="6"/>
  <c r="X125" i="6"/>
  <c r="X192" i="6"/>
  <c r="AB53" i="6"/>
  <c r="X21" i="6"/>
  <c r="X126" i="6"/>
  <c r="AB54" i="6"/>
  <c r="AB191" i="6"/>
  <c r="X94" i="6"/>
  <c r="AB192" i="6"/>
  <c r="AF54" i="6"/>
  <c r="AF191" i="6"/>
  <c r="X59" i="6"/>
  <c r="X42" i="6"/>
  <c r="X78" i="6"/>
  <c r="X146" i="6"/>
  <c r="X195" i="6"/>
  <c r="X43" i="6"/>
  <c r="AF126" i="6"/>
  <c r="X28" i="6"/>
  <c r="X183" i="6"/>
  <c r="AB43" i="6"/>
  <c r="AB78" i="6"/>
  <c r="X65" i="6"/>
  <c r="AB62" i="6"/>
  <c r="AF94" i="6"/>
  <c r="AB59" i="6"/>
  <c r="AF59" i="6"/>
  <c r="X48" i="6"/>
  <c r="X66" i="6"/>
  <c r="AB27" i="6"/>
  <c r="X27" i="6"/>
  <c r="X11" i="6"/>
  <c r="X47" i="6"/>
  <c r="X13" i="6"/>
  <c r="X49" i="6"/>
  <c r="X103" i="6"/>
  <c r="AB28" i="6"/>
  <c r="AB98" i="6"/>
  <c r="X62" i="6"/>
  <c r="X50" i="6"/>
  <c r="AB11" i="6"/>
  <c r="AB47" i="6"/>
  <c r="AB65" i="6"/>
  <c r="X98" i="6"/>
  <c r="X51" i="6"/>
  <c r="AB70" i="6"/>
  <c r="AB103" i="6"/>
  <c r="AB151" i="6"/>
  <c r="AF42" i="6"/>
  <c r="AF124" i="6"/>
  <c r="AF189" i="6"/>
  <c r="AJ48" i="6"/>
  <c r="AJ66" i="6"/>
  <c r="AJ174" i="6"/>
  <c r="AJ192" i="6"/>
  <c r="AN91" i="6"/>
  <c r="AN109" i="6"/>
  <c r="AN181" i="6"/>
  <c r="AR62" i="6"/>
  <c r="AR98" i="6"/>
  <c r="AV50" i="6"/>
  <c r="AV104" i="6"/>
  <c r="AV140" i="6"/>
  <c r="AJ103" i="6"/>
  <c r="AN20" i="6"/>
  <c r="AN146" i="6"/>
  <c r="AN183" i="6"/>
  <c r="AR28" i="6"/>
  <c r="AR100" i="6"/>
  <c r="AR172" i="6"/>
  <c r="AR190" i="6"/>
  <c r="AF27" i="6"/>
  <c r="AF62" i="6"/>
  <c r="AF78" i="6"/>
  <c r="AF192" i="6"/>
  <c r="AJ51" i="6"/>
  <c r="AJ123" i="6"/>
  <c r="AJ141" i="6"/>
  <c r="AJ195" i="6"/>
  <c r="AN94" i="6"/>
  <c r="AR11" i="6"/>
  <c r="AR47" i="6"/>
  <c r="AR65" i="6"/>
  <c r="AR191" i="6"/>
  <c r="AV53" i="6"/>
  <c r="AV125" i="6"/>
  <c r="AB20" i="6"/>
  <c r="AB90" i="6"/>
  <c r="AF28" i="6"/>
  <c r="AJ52" i="6"/>
  <c r="AJ70" i="6"/>
  <c r="AJ124" i="6"/>
  <c r="AN59" i="6"/>
  <c r="AN131" i="6"/>
  <c r="AN185" i="6"/>
  <c r="AR48" i="6"/>
  <c r="AR66" i="6"/>
  <c r="AR174" i="6"/>
  <c r="AR192" i="6"/>
  <c r="AV54" i="6"/>
  <c r="AV90" i="6"/>
  <c r="AV126" i="6"/>
  <c r="X100" i="6"/>
  <c r="X181" i="6"/>
  <c r="AB21" i="6"/>
  <c r="AB91" i="6"/>
  <c r="AB123" i="6"/>
  <c r="AB172" i="6"/>
  <c r="AF11" i="6"/>
  <c r="AF47" i="6"/>
  <c r="AJ53" i="6"/>
  <c r="AJ125" i="6"/>
  <c r="AN42" i="6"/>
  <c r="AN78" i="6"/>
  <c r="AR13" i="6"/>
  <c r="AR49" i="6"/>
  <c r="AR103" i="6"/>
  <c r="AV91" i="6"/>
  <c r="AV109" i="6"/>
  <c r="AV181" i="6"/>
  <c r="AB124" i="6"/>
  <c r="AB189" i="6"/>
  <c r="AF48" i="6"/>
  <c r="AF65" i="6"/>
  <c r="AF146" i="6"/>
  <c r="AJ54" i="6"/>
  <c r="AJ90" i="6"/>
  <c r="AJ126" i="6"/>
  <c r="AN43" i="6"/>
  <c r="AN151" i="6"/>
  <c r="AR50" i="6"/>
  <c r="AR104" i="6"/>
  <c r="AR140" i="6"/>
  <c r="AV20" i="6"/>
  <c r="AV146" i="6"/>
  <c r="AB109" i="6"/>
  <c r="AB125" i="6"/>
  <c r="AB141" i="6"/>
  <c r="AB174" i="6"/>
  <c r="AB190" i="6"/>
  <c r="AF13" i="6"/>
  <c r="AF49" i="6"/>
  <c r="AF66" i="6"/>
  <c r="AF98" i="6"/>
  <c r="AF195" i="6"/>
  <c r="AJ91" i="6"/>
  <c r="AJ109" i="6"/>
  <c r="AJ181" i="6"/>
  <c r="AN62" i="6"/>
  <c r="AN98" i="6"/>
  <c r="AR51" i="6"/>
  <c r="AR123" i="6"/>
  <c r="AR141" i="6"/>
  <c r="AR195" i="6"/>
  <c r="AV21" i="6"/>
  <c r="AV183" i="6"/>
  <c r="AN27" i="6"/>
  <c r="AN189" i="6"/>
  <c r="AR52" i="6"/>
  <c r="AR70" i="6"/>
  <c r="AR124" i="6"/>
  <c r="AV94" i="6"/>
  <c r="AN191" i="6"/>
  <c r="AR54" i="6"/>
  <c r="AR90" i="6"/>
  <c r="AR126" i="6"/>
  <c r="AV42" i="6"/>
  <c r="AV78" i="6"/>
  <c r="AF53" i="6"/>
  <c r="AF183" i="6"/>
  <c r="AJ59" i="6"/>
  <c r="AJ131" i="6"/>
  <c r="AJ185" i="6"/>
  <c r="AN48" i="6"/>
  <c r="AN66" i="6"/>
  <c r="AN174" i="6"/>
  <c r="AN192" i="6"/>
  <c r="AR91" i="6"/>
  <c r="AR109" i="6"/>
  <c r="AR181" i="6"/>
  <c r="AV43" i="6"/>
  <c r="AV151" i="6"/>
  <c r="AN13" i="6"/>
  <c r="AN49" i="6"/>
  <c r="AN103" i="6"/>
  <c r="AR20" i="6"/>
  <c r="AR146" i="6"/>
  <c r="AV62" i="6"/>
  <c r="AV98" i="6"/>
  <c r="AJ43" i="6"/>
  <c r="AJ151" i="6"/>
  <c r="AN50" i="6"/>
  <c r="AN104" i="6"/>
  <c r="AN140" i="6"/>
  <c r="AR21" i="6"/>
  <c r="AR183" i="6"/>
  <c r="AV27" i="6"/>
  <c r="AV189" i="6"/>
  <c r="AB48" i="6"/>
  <c r="AB66" i="6"/>
  <c r="AF20" i="6"/>
  <c r="AJ62" i="6"/>
  <c r="AJ98" i="6"/>
  <c r="AN51" i="6"/>
  <c r="AN123" i="6"/>
  <c r="AN141" i="6"/>
  <c r="AN195" i="6"/>
  <c r="AR94" i="6"/>
  <c r="AV28" i="6"/>
  <c r="AV100" i="6"/>
  <c r="AV172" i="6"/>
  <c r="AV190" i="6"/>
  <c r="AJ27" i="6"/>
  <c r="AJ189" i="6"/>
  <c r="AN52" i="6"/>
  <c r="AN70" i="6"/>
  <c r="AN124" i="6"/>
  <c r="AR59" i="6"/>
  <c r="AR131" i="6"/>
  <c r="AR185" i="6"/>
  <c r="AV11" i="6"/>
  <c r="AV47" i="6"/>
  <c r="AV65" i="6"/>
  <c r="AV191" i="6"/>
  <c r="AF90" i="6"/>
  <c r="AJ28" i="6"/>
  <c r="AJ100" i="6"/>
  <c r="AJ172" i="6"/>
  <c r="AJ190" i="6"/>
  <c r="AN53" i="6"/>
  <c r="AN125" i="6"/>
  <c r="AR42" i="6"/>
  <c r="AR78" i="6"/>
  <c r="AV48" i="6"/>
  <c r="AV66" i="6"/>
  <c r="AV174" i="6"/>
  <c r="AV192" i="6"/>
  <c r="AB51" i="6"/>
  <c r="AB183" i="6"/>
  <c r="AF91" i="6"/>
  <c r="AF123" i="6"/>
  <c r="AF172" i="6"/>
  <c r="AJ11" i="6"/>
  <c r="AJ47" i="6"/>
  <c r="AJ65" i="6"/>
  <c r="AJ191" i="6"/>
  <c r="AN54" i="6"/>
  <c r="AN90" i="6"/>
  <c r="AN126" i="6"/>
  <c r="AR43" i="6"/>
  <c r="AR151" i="6"/>
  <c r="AV13" i="6"/>
  <c r="AV49" i="6"/>
  <c r="AV103" i="6"/>
  <c r="T20" i="6"/>
  <c r="T47" i="6"/>
  <c r="T50" i="6"/>
  <c r="T59" i="6"/>
  <c r="T62" i="6"/>
  <c r="T65" i="6"/>
  <c r="T104" i="6"/>
  <c r="T125" i="6"/>
  <c r="T21" i="6"/>
  <c r="T42" i="6"/>
  <c r="T48" i="6"/>
  <c r="T51" i="6"/>
  <c r="T66" i="6"/>
  <c r="T11" i="6"/>
  <c r="T146" i="6"/>
  <c r="T185" i="6"/>
  <c r="T191" i="6"/>
  <c r="T78" i="6"/>
  <c r="T90" i="6"/>
  <c r="T123" i="6"/>
  <c r="T141" i="6"/>
  <c r="T174" i="6"/>
  <c r="T183" i="6"/>
  <c r="T189" i="6"/>
  <c r="T192" i="6"/>
  <c r="T13" i="6"/>
  <c r="T28" i="6"/>
  <c r="T43" i="6"/>
  <c r="T52" i="6"/>
  <c r="T70" i="6"/>
  <c r="T94" i="6"/>
  <c r="T100" i="6"/>
  <c r="T103" i="6"/>
  <c r="T124" i="6"/>
  <c r="T151" i="6"/>
  <c r="P125" i="6"/>
  <c r="P43" i="6"/>
  <c r="P49" i="6"/>
  <c r="P140" i="6"/>
  <c r="T140" i="6"/>
  <c r="P100" i="6"/>
  <c r="P11" i="6"/>
  <c r="P62" i="6"/>
  <c r="P141" i="6"/>
  <c r="T91" i="6"/>
  <c r="P21" i="6"/>
  <c r="P27" i="6"/>
  <c r="T109" i="6"/>
  <c r="P183" i="6"/>
  <c r="P42" i="6"/>
  <c r="P48" i="6"/>
  <c r="P51" i="6"/>
  <c r="P54" i="6"/>
  <c r="T98" i="6"/>
  <c r="P28" i="6"/>
  <c r="P181" i="6"/>
  <c r="T181" i="6"/>
  <c r="T27" i="6"/>
  <c r="P126" i="6"/>
  <c r="P172" i="6"/>
  <c r="P195" i="6"/>
  <c r="P13" i="6"/>
  <c r="P190" i="6"/>
  <c r="T190" i="6"/>
  <c r="P185" i="6"/>
  <c r="P20" i="6"/>
  <c r="T49" i="6"/>
  <c r="P70" i="6"/>
  <c r="P191" i="6"/>
  <c r="P151" i="6"/>
  <c r="P174" i="6"/>
  <c r="P47" i="6"/>
  <c r="T53" i="6"/>
  <c r="P103" i="6"/>
  <c r="P146" i="6"/>
  <c r="L90" i="6"/>
  <c r="N90" i="6" s="1"/>
  <c r="L125" i="6"/>
  <c r="N125" i="6" s="1"/>
  <c r="L151" i="6"/>
  <c r="M151" i="6" s="1"/>
  <c r="L65" i="6"/>
  <c r="M65" i="6" s="1"/>
  <c r="L100" i="6"/>
  <c r="N100" i="6" s="1"/>
  <c r="L140" i="6"/>
  <c r="N140" i="6" s="1"/>
  <c r="L66" i="6"/>
  <c r="N66" i="6" s="1"/>
  <c r="L195" i="6"/>
  <c r="M195" i="6" s="1"/>
  <c r="L91" i="6"/>
  <c r="M91" i="6" s="1"/>
  <c r="L109" i="6"/>
  <c r="M109" i="6" s="1"/>
  <c r="L146" i="6"/>
  <c r="N146" i="6" s="1"/>
  <c r="L11" i="6"/>
  <c r="L43" i="6"/>
  <c r="L98" i="6"/>
  <c r="N98" i="6" s="1"/>
  <c r="L78" i="6"/>
  <c r="L172" i="6"/>
  <c r="M172" i="6" s="1"/>
  <c r="L70" i="6"/>
  <c r="M70" i="6" s="1"/>
  <c r="L141" i="6"/>
  <c r="L103" i="6"/>
  <c r="N103" i="6" s="1"/>
  <c r="L49" i="6"/>
  <c r="M49" i="6" s="1"/>
  <c r="L52" i="6"/>
  <c r="N52" i="6" s="1"/>
  <c r="L181" i="6"/>
  <c r="N181" i="6" s="1"/>
  <c r="P91" i="6"/>
  <c r="L21" i="6"/>
  <c r="M21" i="6" s="1"/>
  <c r="L27" i="6"/>
  <c r="L47" i="6"/>
  <c r="L50" i="6"/>
  <c r="N50" i="6" s="1"/>
  <c r="L53" i="6"/>
  <c r="L124" i="6"/>
  <c r="L190" i="6"/>
  <c r="L59" i="6"/>
  <c r="P124" i="6"/>
  <c r="L174" i="6"/>
  <c r="L185" i="6"/>
  <c r="M185" i="6" s="1"/>
  <c r="L48" i="6"/>
  <c r="L51" i="6"/>
  <c r="L54" i="6"/>
  <c r="N54" i="6" s="1"/>
  <c r="H192" i="6"/>
  <c r="H104" i="6"/>
  <c r="H126" i="6"/>
  <c r="H94" i="6"/>
  <c r="H190" i="6"/>
  <c r="H65" i="6"/>
  <c r="L131" i="6"/>
  <c r="N131" i="6" s="1"/>
  <c r="H21" i="6"/>
  <c r="H66" i="6"/>
  <c r="H42" i="6"/>
  <c r="H185" i="6"/>
  <c r="H48" i="6"/>
  <c r="H78" i="6"/>
  <c r="L94" i="6"/>
  <c r="N94" i="6" s="1"/>
  <c r="H43" i="6"/>
  <c r="H59" i="6"/>
  <c r="H62" i="6"/>
  <c r="H183" i="6"/>
  <c r="H191" i="6"/>
  <c r="H13" i="6"/>
  <c r="H27" i="6"/>
  <c r="H49" i="6"/>
  <c r="H90" i="6"/>
  <c r="H109" i="6"/>
  <c r="H181" i="6"/>
  <c r="H123" i="6"/>
  <c r="H151" i="6"/>
  <c r="H174" i="6"/>
  <c r="H172" i="6"/>
  <c r="H91" i="6"/>
  <c r="H20" i="6"/>
  <c r="P66" i="6"/>
  <c r="L13" i="6"/>
  <c r="P59" i="6"/>
  <c r="L62" i="6"/>
  <c r="P78" i="6"/>
  <c r="H98" i="6"/>
  <c r="H100" i="6"/>
  <c r="H47" i="6"/>
  <c r="H51" i="6"/>
  <c r="P52" i="6"/>
  <c r="L28" i="6"/>
  <c r="L20" i="6"/>
  <c r="H54" i="6"/>
  <c r="P104" i="6"/>
  <c r="L104" i="6"/>
  <c r="P65" i="6"/>
  <c r="T131" i="6"/>
  <c r="P131" i="6"/>
  <c r="P90" i="6"/>
  <c r="P50" i="6"/>
  <c r="T54" i="6"/>
  <c r="H70" i="6"/>
  <c r="P94" i="6"/>
  <c r="H103" i="6"/>
  <c r="T126" i="6"/>
  <c r="H125" i="6"/>
  <c r="T195" i="6"/>
  <c r="H140" i="6"/>
  <c r="P189" i="6"/>
  <c r="P53" i="6"/>
  <c r="H124" i="6"/>
  <c r="L126" i="6"/>
  <c r="T172" i="6"/>
  <c r="P98" i="6"/>
  <c r="P192" i="6"/>
  <c r="P123" i="6"/>
  <c r="H141" i="6"/>
  <c r="H146" i="6"/>
  <c r="L191" i="6"/>
  <c r="H195" i="6"/>
  <c r="L183" i="6"/>
  <c r="L192" i="6"/>
  <c r="H65" i="5"/>
  <c r="H59" i="5"/>
  <c r="H140" i="5"/>
  <c r="H172" i="5"/>
  <c r="H98" i="5"/>
  <c r="H211" i="5"/>
  <c r="H52" i="5"/>
  <c r="H70" i="5"/>
  <c r="H20" i="5"/>
  <c r="H174" i="5"/>
  <c r="H51" i="5"/>
  <c r="H50" i="5"/>
  <c r="H78" i="5"/>
  <c r="H109" i="5"/>
  <c r="H200" i="5"/>
  <c r="H190" i="5"/>
  <c r="H42" i="5"/>
  <c r="H13" i="5"/>
  <c r="H49" i="5"/>
  <c r="H11" i="5"/>
  <c r="H185" i="5"/>
  <c r="H90" i="5"/>
  <c r="H100" i="5"/>
  <c r="H27" i="5"/>
  <c r="H94" i="5"/>
  <c r="H197" i="5"/>
  <c r="H195" i="5"/>
  <c r="H181" i="5"/>
  <c r="H54" i="5"/>
  <c r="H151" i="5"/>
  <c r="H28" i="5"/>
  <c r="H192" i="5"/>
  <c r="H126" i="5"/>
  <c r="H48" i="5"/>
  <c r="H66" i="5"/>
  <c r="H104" i="5"/>
  <c r="H124" i="5"/>
  <c r="H53" i="5"/>
  <c r="H131" i="5"/>
  <c r="H141" i="5"/>
  <c r="H47" i="5"/>
  <c r="H125" i="5"/>
  <c r="H196" i="5"/>
  <c r="H146" i="5"/>
  <c r="H123" i="5"/>
  <c r="H225" i="5"/>
  <c r="H183" i="5"/>
  <c r="H189" i="5"/>
  <c r="H216" i="5"/>
  <c r="H201" i="5"/>
  <c r="H228" i="5"/>
  <c r="H230" i="5" l="1"/>
  <c r="AD185" i="6"/>
  <c r="AL42" i="6"/>
  <c r="M189" i="6"/>
  <c r="AC140" i="6"/>
  <c r="AC104" i="6"/>
  <c r="AD131" i="6"/>
  <c r="Y140" i="6"/>
  <c r="Y104" i="6"/>
  <c r="M98" i="6"/>
  <c r="M42" i="6"/>
  <c r="Z131" i="6"/>
  <c r="AL146" i="6"/>
  <c r="AD94" i="6"/>
  <c r="AG52" i="6"/>
  <c r="N78" i="6"/>
  <c r="M78" i="6"/>
  <c r="AL20" i="6"/>
  <c r="AK20" i="6"/>
  <c r="AD42" i="6"/>
  <c r="AC42" i="6"/>
  <c r="AG70" i="6"/>
  <c r="AX185" i="6"/>
  <c r="M90" i="6"/>
  <c r="M100" i="6"/>
  <c r="M66" i="6"/>
  <c r="Y185" i="6"/>
  <c r="N195" i="6"/>
  <c r="N109" i="6"/>
  <c r="M125" i="6"/>
  <c r="M181" i="6"/>
  <c r="N123" i="6"/>
  <c r="AX59" i="6"/>
  <c r="AX190" i="6"/>
  <c r="AW190" i="6"/>
  <c r="R191" i="6"/>
  <c r="Q191" i="6"/>
  <c r="V47" i="6"/>
  <c r="U47" i="6"/>
  <c r="AX172" i="6"/>
  <c r="AW172" i="6"/>
  <c r="AC190" i="6"/>
  <c r="AD190" i="6"/>
  <c r="AT13" i="6"/>
  <c r="AS13" i="6"/>
  <c r="AL141" i="6"/>
  <c r="AK141" i="6"/>
  <c r="AD62" i="6"/>
  <c r="AC62" i="6"/>
  <c r="Z90" i="6"/>
  <c r="Y90" i="6"/>
  <c r="AX70" i="6"/>
  <c r="AW70" i="6"/>
  <c r="R50" i="6"/>
  <c r="Q50" i="6"/>
  <c r="R65" i="6"/>
  <c r="Q65" i="6"/>
  <c r="M140" i="6"/>
  <c r="Q190" i="6"/>
  <c r="R190" i="6"/>
  <c r="V103" i="6"/>
  <c r="U103" i="6"/>
  <c r="AP192" i="6"/>
  <c r="AO192" i="6"/>
  <c r="AP191" i="6"/>
  <c r="AO191" i="6"/>
  <c r="AD174" i="6"/>
  <c r="AC174" i="6"/>
  <c r="AX91" i="6"/>
  <c r="AW91" i="6"/>
  <c r="AL125" i="6"/>
  <c r="AK125" i="6"/>
  <c r="AH11" i="6"/>
  <c r="AG11" i="6"/>
  <c r="AT192" i="6"/>
  <c r="AS192" i="6"/>
  <c r="AD90" i="6"/>
  <c r="AC90" i="6"/>
  <c r="AL123" i="6"/>
  <c r="AK123" i="6"/>
  <c r="AS100" i="6"/>
  <c r="AT100" i="6"/>
  <c r="AX50" i="6"/>
  <c r="AW50" i="6"/>
  <c r="AP181" i="6"/>
  <c r="AO181" i="6"/>
  <c r="Z49" i="6"/>
  <c r="Y49" i="6"/>
  <c r="AH191" i="6"/>
  <c r="AG191" i="6"/>
  <c r="Z192" i="6"/>
  <c r="Y192" i="6"/>
  <c r="AX52" i="6"/>
  <c r="AW52" i="6"/>
  <c r="AG140" i="6"/>
  <c r="AH140" i="6"/>
  <c r="Z151" i="6"/>
  <c r="Y151" i="6"/>
  <c r="V183" i="6"/>
  <c r="U183" i="6"/>
  <c r="U50" i="6"/>
  <c r="V50" i="6"/>
  <c r="AC124" i="6"/>
  <c r="AD124" i="6"/>
  <c r="AP131" i="6"/>
  <c r="AO131" i="6"/>
  <c r="AW125" i="6"/>
  <c r="AX125" i="6"/>
  <c r="AW123" i="6"/>
  <c r="AX123" i="6"/>
  <c r="AC126" i="6"/>
  <c r="AD126" i="6"/>
  <c r="AT125" i="6"/>
  <c r="AS125" i="6"/>
  <c r="M54" i="6"/>
  <c r="R47" i="6"/>
  <c r="Q47" i="6"/>
  <c r="V109" i="6"/>
  <c r="U109" i="6"/>
  <c r="V125" i="6"/>
  <c r="U125" i="6"/>
  <c r="AX103" i="6"/>
  <c r="AW103" i="6"/>
  <c r="AW78" i="6"/>
  <c r="AX78" i="6"/>
  <c r="AX109" i="6"/>
  <c r="AW109" i="6"/>
  <c r="AT11" i="6"/>
  <c r="AS11" i="6"/>
  <c r="AH27" i="6"/>
  <c r="AG27" i="6"/>
  <c r="Z50" i="6"/>
  <c r="Y50" i="6"/>
  <c r="Z42" i="6"/>
  <c r="Y42" i="6"/>
  <c r="AD52" i="6"/>
  <c r="AC52" i="6"/>
  <c r="AD146" i="6"/>
  <c r="AC146" i="6"/>
  <c r="AH21" i="6"/>
  <c r="AG21" i="6"/>
  <c r="Q189" i="6"/>
  <c r="R189" i="6"/>
  <c r="R78" i="6"/>
  <c r="Q78" i="6"/>
  <c r="R146" i="6"/>
  <c r="Q146" i="6"/>
  <c r="R13" i="6"/>
  <c r="Q13" i="6"/>
  <c r="V98" i="6"/>
  <c r="U98" i="6"/>
  <c r="Q62" i="6"/>
  <c r="R62" i="6"/>
  <c r="R49" i="6"/>
  <c r="Q49" i="6"/>
  <c r="V100" i="6"/>
  <c r="U100" i="6"/>
  <c r="V174" i="6"/>
  <c r="U174" i="6"/>
  <c r="V11" i="6"/>
  <c r="U11" i="6"/>
  <c r="AX66" i="6"/>
  <c r="AW66" i="6"/>
  <c r="AK100" i="6"/>
  <c r="AL100" i="6"/>
  <c r="AX65" i="6"/>
  <c r="AW65" i="6"/>
  <c r="AX189" i="6"/>
  <c r="AW189" i="6"/>
  <c r="AX43" i="6"/>
  <c r="AW43" i="6"/>
  <c r="AO174" i="6"/>
  <c r="AP174" i="6"/>
  <c r="AX42" i="6"/>
  <c r="AW42" i="6"/>
  <c r="AX21" i="6"/>
  <c r="AW21" i="6"/>
  <c r="AC141" i="6"/>
  <c r="AD141" i="6"/>
  <c r="Y100" i="6"/>
  <c r="Z100" i="6"/>
  <c r="AT174" i="6"/>
  <c r="AS174" i="6"/>
  <c r="AL66" i="6"/>
  <c r="AK66" i="6"/>
  <c r="AD151" i="6"/>
  <c r="AC151" i="6"/>
  <c r="Z98" i="6"/>
  <c r="Y98" i="6"/>
  <c r="Z183" i="6"/>
  <c r="Y183" i="6"/>
  <c r="AH54" i="6"/>
  <c r="AG54" i="6"/>
  <c r="Z54" i="6"/>
  <c r="Y54" i="6"/>
  <c r="AW59" i="6"/>
  <c r="AH174" i="6"/>
  <c r="AG174" i="6"/>
  <c r="AH185" i="6"/>
  <c r="AG185" i="6"/>
  <c r="Z51" i="6"/>
  <c r="Y51" i="6"/>
  <c r="Q185" i="6"/>
  <c r="R185" i="6"/>
  <c r="R27" i="6"/>
  <c r="Q27" i="6"/>
  <c r="AX49" i="6"/>
  <c r="AW49" i="6"/>
  <c r="AX48" i="6"/>
  <c r="AW48" i="6"/>
  <c r="AX47" i="6"/>
  <c r="AW47" i="6"/>
  <c r="AD125" i="6"/>
  <c r="AC125" i="6"/>
  <c r="AX53" i="6"/>
  <c r="AW53" i="6"/>
  <c r="Y62" i="6"/>
  <c r="Z62" i="6"/>
  <c r="Z43" i="6"/>
  <c r="Y43" i="6"/>
  <c r="Y21" i="6"/>
  <c r="Z21" i="6"/>
  <c r="Y191" i="6"/>
  <c r="Z191" i="6"/>
  <c r="AH103" i="6"/>
  <c r="AG103" i="6"/>
  <c r="AH131" i="6"/>
  <c r="AG131" i="6"/>
  <c r="AW51" i="6"/>
  <c r="AX51" i="6"/>
  <c r="AG104" i="6"/>
  <c r="AH104" i="6"/>
  <c r="AK94" i="6"/>
  <c r="AL94" i="6"/>
  <c r="AT53" i="6"/>
  <c r="AS53" i="6"/>
  <c r="AL183" i="6"/>
  <c r="AK183" i="6"/>
  <c r="V124" i="6"/>
  <c r="U124" i="6"/>
  <c r="AT94" i="6"/>
  <c r="AS94" i="6"/>
  <c r="AP50" i="6"/>
  <c r="AO50" i="6"/>
  <c r="AL91" i="6"/>
  <c r="AK91" i="6"/>
  <c r="AH47" i="6"/>
  <c r="AG47" i="6"/>
  <c r="V172" i="6"/>
  <c r="U172" i="6"/>
  <c r="V13" i="6"/>
  <c r="U13" i="6"/>
  <c r="AL59" i="6"/>
  <c r="AK59" i="6"/>
  <c r="AP59" i="6"/>
  <c r="AO59" i="6"/>
  <c r="AL48" i="6"/>
  <c r="AK48" i="6"/>
  <c r="Z13" i="6"/>
  <c r="Y13" i="6"/>
  <c r="Q103" i="6"/>
  <c r="R103" i="6"/>
  <c r="R195" i="6"/>
  <c r="Q195" i="6"/>
  <c r="R11" i="6"/>
  <c r="Q11" i="6"/>
  <c r="Q43" i="6"/>
  <c r="R43" i="6"/>
  <c r="U94" i="6"/>
  <c r="V94" i="6"/>
  <c r="V191" i="6"/>
  <c r="U191" i="6"/>
  <c r="AL65" i="6"/>
  <c r="AK65" i="6"/>
  <c r="AX100" i="6"/>
  <c r="AW100" i="6"/>
  <c r="AH20" i="6"/>
  <c r="AG20" i="6"/>
  <c r="AD109" i="6"/>
  <c r="AC109" i="6"/>
  <c r="AT140" i="6"/>
  <c r="AS140" i="6"/>
  <c r="AP43" i="6"/>
  <c r="AO43" i="6"/>
  <c r="AD172" i="6"/>
  <c r="AC172" i="6"/>
  <c r="AP20" i="6"/>
  <c r="AO20" i="6"/>
  <c r="AD191" i="6"/>
  <c r="AC191" i="6"/>
  <c r="Y125" i="6"/>
  <c r="Z125" i="6"/>
  <c r="Z141" i="6"/>
  <c r="Y141" i="6"/>
  <c r="AH51" i="6"/>
  <c r="AG51" i="6"/>
  <c r="AL78" i="6"/>
  <c r="AK78" i="6"/>
  <c r="AD50" i="6"/>
  <c r="AC50" i="6"/>
  <c r="AW131" i="6"/>
  <c r="Z91" i="6"/>
  <c r="Y91" i="6"/>
  <c r="R98" i="6"/>
  <c r="Q98" i="6"/>
  <c r="AP28" i="6"/>
  <c r="AO28" i="6"/>
  <c r="U28" i="6"/>
  <c r="V28" i="6"/>
  <c r="Q94" i="6"/>
  <c r="R94" i="6"/>
  <c r="AD183" i="6"/>
  <c r="AC183" i="6"/>
  <c r="AP103" i="6"/>
  <c r="AO103" i="6"/>
  <c r="Q66" i="6"/>
  <c r="R66" i="6"/>
  <c r="R172" i="6"/>
  <c r="Q172" i="6"/>
  <c r="Q21" i="6"/>
  <c r="R21" i="6"/>
  <c r="Q100" i="6"/>
  <c r="R100" i="6"/>
  <c r="V104" i="6"/>
  <c r="U104" i="6"/>
  <c r="AX13" i="6"/>
  <c r="AW13" i="6"/>
  <c r="AL47" i="6"/>
  <c r="AK47" i="6"/>
  <c r="AX11" i="6"/>
  <c r="AW11" i="6"/>
  <c r="AP124" i="6"/>
  <c r="AO124" i="6"/>
  <c r="AL27" i="6"/>
  <c r="AK27" i="6"/>
  <c r="AT124" i="6"/>
  <c r="AS124" i="6"/>
  <c r="AP27" i="6"/>
  <c r="AO27" i="6"/>
  <c r="AT195" i="6"/>
  <c r="AS195" i="6"/>
  <c r="AP98" i="6"/>
  <c r="AO98" i="6"/>
  <c r="AH195" i="6"/>
  <c r="AG195" i="6"/>
  <c r="AH146" i="6"/>
  <c r="AG146" i="6"/>
  <c r="AL53" i="6"/>
  <c r="AK53" i="6"/>
  <c r="AD20" i="6"/>
  <c r="AC20" i="6"/>
  <c r="AL51" i="6"/>
  <c r="AK51" i="6"/>
  <c r="AT28" i="6"/>
  <c r="AS28" i="6"/>
  <c r="AP109" i="6"/>
  <c r="AO109" i="6"/>
  <c r="AD103" i="6"/>
  <c r="AC103" i="6"/>
  <c r="AD65" i="6"/>
  <c r="AC65" i="6"/>
  <c r="Z28" i="6"/>
  <c r="Y28" i="6"/>
  <c r="Y109" i="6"/>
  <c r="Z109" i="6"/>
  <c r="AH141" i="6"/>
  <c r="AG141" i="6"/>
  <c r="Q59" i="6"/>
  <c r="R59" i="6"/>
  <c r="V90" i="6"/>
  <c r="U90" i="6"/>
  <c r="U185" i="6"/>
  <c r="V185" i="6"/>
  <c r="V66" i="6"/>
  <c r="U66" i="6"/>
  <c r="AP126" i="6"/>
  <c r="AO126" i="6"/>
  <c r="AP125" i="6"/>
  <c r="AO125" i="6"/>
  <c r="AL28" i="6"/>
  <c r="AK28" i="6"/>
  <c r="AP195" i="6"/>
  <c r="AO195" i="6"/>
  <c r="AL98" i="6"/>
  <c r="AK98" i="6"/>
  <c r="AT21" i="6"/>
  <c r="AS21" i="6"/>
  <c r="AL151" i="6"/>
  <c r="AK151" i="6"/>
  <c r="AT146" i="6"/>
  <c r="AS146" i="6"/>
  <c r="AO49" i="6"/>
  <c r="AP49" i="6"/>
  <c r="AT104" i="6"/>
  <c r="AS104" i="6"/>
  <c r="AD123" i="6"/>
  <c r="AC123" i="6"/>
  <c r="AP91" i="6"/>
  <c r="AO91" i="6"/>
  <c r="AD70" i="6"/>
  <c r="AC70" i="6"/>
  <c r="AD47" i="6"/>
  <c r="AC47" i="6"/>
  <c r="AC98" i="6"/>
  <c r="AD98" i="6"/>
  <c r="Y65" i="6"/>
  <c r="Z65" i="6"/>
  <c r="AT189" i="6"/>
  <c r="AS189" i="6"/>
  <c r="AL49" i="6"/>
  <c r="AK49" i="6"/>
  <c r="AH181" i="6"/>
  <c r="AG181" i="6"/>
  <c r="R104" i="6"/>
  <c r="Q104" i="6"/>
  <c r="U53" i="6"/>
  <c r="V53" i="6"/>
  <c r="Q126" i="6"/>
  <c r="R126" i="6"/>
  <c r="V181" i="6"/>
  <c r="U181" i="6"/>
  <c r="AK11" i="6"/>
  <c r="AL11" i="6"/>
  <c r="AT185" i="6"/>
  <c r="AS185" i="6"/>
  <c r="AT181" i="6"/>
  <c r="AS181" i="6"/>
  <c r="AP62" i="6"/>
  <c r="AO62" i="6"/>
  <c r="AL103" i="6"/>
  <c r="AK103" i="6"/>
  <c r="AH189" i="6"/>
  <c r="AG189" i="6"/>
  <c r="Z47" i="6"/>
  <c r="Y47" i="6"/>
  <c r="Z66" i="6"/>
  <c r="Y66" i="6"/>
  <c r="AC192" i="6"/>
  <c r="AD192" i="6"/>
  <c r="AC54" i="6"/>
  <c r="AD54" i="6"/>
  <c r="AL140" i="6"/>
  <c r="AK140" i="6"/>
  <c r="AH151" i="6"/>
  <c r="AG151" i="6"/>
  <c r="Z124" i="6"/>
  <c r="Y124" i="6"/>
  <c r="AG43" i="6"/>
  <c r="AH43" i="6"/>
  <c r="AL13" i="6"/>
  <c r="AK13" i="6"/>
  <c r="AP190" i="6"/>
  <c r="AO190" i="6"/>
  <c r="AL131" i="6"/>
  <c r="AK131" i="6"/>
  <c r="V195" i="6"/>
  <c r="U195" i="6"/>
  <c r="V126" i="6"/>
  <c r="U126" i="6"/>
  <c r="U54" i="6"/>
  <c r="V54" i="6"/>
  <c r="Q90" i="6"/>
  <c r="R90" i="6"/>
  <c r="Q54" i="6"/>
  <c r="R54" i="6"/>
  <c r="U70" i="6"/>
  <c r="V70" i="6"/>
  <c r="V141" i="6"/>
  <c r="U141" i="6"/>
  <c r="V51" i="6"/>
  <c r="U51" i="6"/>
  <c r="V20" i="6"/>
  <c r="U20" i="6"/>
  <c r="AP90" i="6"/>
  <c r="AO90" i="6"/>
  <c r="AP70" i="6"/>
  <c r="AO70" i="6"/>
  <c r="AX28" i="6"/>
  <c r="AW28" i="6"/>
  <c r="AL62" i="6"/>
  <c r="AK62" i="6"/>
  <c r="AP13" i="6"/>
  <c r="AO13" i="6"/>
  <c r="AP66" i="6"/>
  <c r="AO66" i="6"/>
  <c r="AT70" i="6"/>
  <c r="AS70" i="6"/>
  <c r="AT141" i="6"/>
  <c r="AS141" i="6"/>
  <c r="AD91" i="6"/>
  <c r="AC91" i="6"/>
  <c r="AT66" i="6"/>
  <c r="AS66" i="6"/>
  <c r="AT191" i="6"/>
  <c r="AS191" i="6"/>
  <c r="AP94" i="6"/>
  <c r="AO94" i="6"/>
  <c r="AC11" i="6"/>
  <c r="AD11" i="6"/>
  <c r="AD28" i="6"/>
  <c r="AC28" i="6"/>
  <c r="Z11" i="6"/>
  <c r="Y11" i="6"/>
  <c r="Y48" i="6"/>
  <c r="Z48" i="6"/>
  <c r="Z53" i="6"/>
  <c r="Y53" i="6"/>
  <c r="Q123" i="6"/>
  <c r="R123" i="6"/>
  <c r="R51" i="6"/>
  <c r="Q51" i="6"/>
  <c r="U91" i="6"/>
  <c r="V91" i="6"/>
  <c r="Q125" i="6"/>
  <c r="R125" i="6"/>
  <c r="V151" i="6"/>
  <c r="U151" i="6"/>
  <c r="V78" i="6"/>
  <c r="U78" i="6"/>
  <c r="V48" i="6"/>
  <c r="U48" i="6"/>
  <c r="AC51" i="6"/>
  <c r="AD51" i="6"/>
  <c r="AP52" i="6"/>
  <c r="AO52" i="6"/>
  <c r="AO141" i="6"/>
  <c r="AP141" i="6"/>
  <c r="AO48" i="6"/>
  <c r="AP48" i="6"/>
  <c r="AH183" i="6"/>
  <c r="AG183" i="6"/>
  <c r="AT52" i="6"/>
  <c r="AS52" i="6"/>
  <c r="AT123" i="6"/>
  <c r="AS123" i="6"/>
  <c r="AX146" i="6"/>
  <c r="AW146" i="6"/>
  <c r="AT50" i="6"/>
  <c r="AS50" i="6"/>
  <c r="AH65" i="6"/>
  <c r="AG65" i="6"/>
  <c r="AP78" i="6"/>
  <c r="AO78" i="6"/>
  <c r="AT48" i="6"/>
  <c r="AS48" i="6"/>
  <c r="AP183" i="6"/>
  <c r="AO183" i="6"/>
  <c r="Z27" i="6"/>
  <c r="Y27" i="6"/>
  <c r="Y20" i="6"/>
  <c r="Z20" i="6"/>
  <c r="AW185" i="6"/>
  <c r="AL104" i="6"/>
  <c r="AK104" i="6"/>
  <c r="AD195" i="6"/>
  <c r="AC195" i="6"/>
  <c r="AP172" i="6"/>
  <c r="AO172" i="6"/>
  <c r="Q109" i="6"/>
  <c r="R109" i="6"/>
  <c r="R192" i="6"/>
  <c r="Q192" i="6"/>
  <c r="R52" i="6"/>
  <c r="Q52" i="6"/>
  <c r="R174" i="6"/>
  <c r="Q174" i="6"/>
  <c r="Q70" i="6"/>
  <c r="R70" i="6"/>
  <c r="V190" i="6"/>
  <c r="U190" i="6"/>
  <c r="R181" i="6"/>
  <c r="Q181" i="6"/>
  <c r="Q48" i="6"/>
  <c r="R48" i="6"/>
  <c r="V42" i="6"/>
  <c r="U42" i="6"/>
  <c r="AT151" i="6"/>
  <c r="AS151" i="6"/>
  <c r="AP54" i="6"/>
  <c r="AO54" i="6"/>
  <c r="AH172" i="6"/>
  <c r="AG172" i="6"/>
  <c r="AP53" i="6"/>
  <c r="AO53" i="6"/>
  <c r="AS131" i="6"/>
  <c r="AT131" i="6"/>
  <c r="AP123" i="6"/>
  <c r="AO123" i="6"/>
  <c r="AL43" i="6"/>
  <c r="AK43" i="6"/>
  <c r="AT126" i="6"/>
  <c r="AS126" i="6"/>
  <c r="AH98" i="6"/>
  <c r="AG98" i="6"/>
  <c r="AG48" i="6"/>
  <c r="AH48" i="6"/>
  <c r="AX126" i="6"/>
  <c r="AW126" i="6"/>
  <c r="AG192" i="6"/>
  <c r="AH192" i="6"/>
  <c r="AH124" i="6"/>
  <c r="AG124" i="6"/>
  <c r="Y195" i="6"/>
  <c r="Z195" i="6"/>
  <c r="AH50" i="6"/>
  <c r="AG50" i="6"/>
  <c r="AP65" i="6"/>
  <c r="AO65" i="6"/>
  <c r="Z70" i="6"/>
  <c r="Y70" i="6"/>
  <c r="AD181" i="6"/>
  <c r="AC181" i="6"/>
  <c r="V49" i="6"/>
  <c r="U49" i="6"/>
  <c r="V27" i="6"/>
  <c r="U27" i="6"/>
  <c r="U140" i="6"/>
  <c r="V140" i="6"/>
  <c r="AX27" i="6"/>
  <c r="AW27" i="6"/>
  <c r="AT109" i="6"/>
  <c r="AS109" i="6"/>
  <c r="AW183" i="6"/>
  <c r="AX183" i="6"/>
  <c r="AP42" i="6"/>
  <c r="AO42" i="6"/>
  <c r="AH28" i="6"/>
  <c r="AG28" i="6"/>
  <c r="AT98" i="6"/>
  <c r="AS98" i="6"/>
  <c r="AH190" i="6"/>
  <c r="AG190" i="6"/>
  <c r="AP47" i="6"/>
  <c r="AO47" i="6"/>
  <c r="AH125" i="6"/>
  <c r="AG125" i="6"/>
  <c r="AD100" i="6"/>
  <c r="AC100" i="6"/>
  <c r="Z52" i="6"/>
  <c r="Y52" i="6"/>
  <c r="Z172" i="6"/>
  <c r="Y172" i="6"/>
  <c r="R124" i="6"/>
  <c r="Q124" i="6"/>
  <c r="R151" i="6"/>
  <c r="Q151" i="6"/>
  <c r="AL50" i="6"/>
  <c r="AK50" i="6"/>
  <c r="AL21" i="6"/>
  <c r="AK21" i="6"/>
  <c r="Q42" i="6"/>
  <c r="R42" i="6"/>
  <c r="AH123" i="6"/>
  <c r="AG123" i="6"/>
  <c r="AP140" i="6"/>
  <c r="AO140" i="6"/>
  <c r="AT91" i="6"/>
  <c r="AS91" i="6"/>
  <c r="AT90" i="6"/>
  <c r="AS90" i="6"/>
  <c r="AX94" i="6"/>
  <c r="AW94" i="6"/>
  <c r="AH66" i="6"/>
  <c r="AG66" i="6"/>
  <c r="AL126" i="6"/>
  <c r="AK126" i="6"/>
  <c r="AD21" i="6"/>
  <c r="AC21" i="6"/>
  <c r="AX90" i="6"/>
  <c r="AW90" i="6"/>
  <c r="AL124" i="6"/>
  <c r="AK124" i="6"/>
  <c r="AH59" i="6"/>
  <c r="AG59" i="6"/>
  <c r="R53" i="6"/>
  <c r="Q53" i="6"/>
  <c r="R91" i="6"/>
  <c r="Q91" i="6"/>
  <c r="Q28" i="6"/>
  <c r="R28" i="6"/>
  <c r="Q183" i="6"/>
  <c r="R183" i="6"/>
  <c r="V52" i="6"/>
  <c r="U52" i="6"/>
  <c r="V65" i="6"/>
  <c r="U65" i="6"/>
  <c r="AX192" i="6"/>
  <c r="AW192" i="6"/>
  <c r="AX191" i="6"/>
  <c r="AW191" i="6"/>
  <c r="AD66" i="6"/>
  <c r="AC66" i="6"/>
  <c r="AT20" i="6"/>
  <c r="AS20" i="6"/>
  <c r="AT51" i="6"/>
  <c r="AS51" i="6"/>
  <c r="AL181" i="6"/>
  <c r="AK181" i="6"/>
  <c r="AH49" i="6"/>
  <c r="AG49" i="6"/>
  <c r="AT103" i="6"/>
  <c r="AS103" i="6"/>
  <c r="AT62" i="6"/>
  <c r="AS62" i="6"/>
  <c r="AL192" i="6"/>
  <c r="AK192" i="6"/>
  <c r="AD59" i="6"/>
  <c r="AC59" i="6"/>
  <c r="AD78" i="6"/>
  <c r="AC78" i="6"/>
  <c r="Z146" i="6"/>
  <c r="Y146" i="6"/>
  <c r="AH100" i="6"/>
  <c r="AG100" i="6"/>
  <c r="AX195" i="6"/>
  <c r="AW195" i="6"/>
  <c r="Z189" i="6"/>
  <c r="Y189" i="6"/>
  <c r="AP11" i="6"/>
  <c r="AO11" i="6"/>
  <c r="AP100" i="6"/>
  <c r="AO100" i="6"/>
  <c r="V123" i="6"/>
  <c r="U123" i="6"/>
  <c r="V146" i="6"/>
  <c r="U146" i="6"/>
  <c r="V62" i="6"/>
  <c r="U62" i="6"/>
  <c r="AH91" i="6"/>
  <c r="AG91" i="6"/>
  <c r="AX174" i="6"/>
  <c r="AW174" i="6"/>
  <c r="AS78" i="6"/>
  <c r="AT78" i="6"/>
  <c r="AH90" i="6"/>
  <c r="AG90" i="6"/>
  <c r="AT59" i="6"/>
  <c r="AS59" i="6"/>
  <c r="AK189" i="6"/>
  <c r="AL189" i="6"/>
  <c r="AP51" i="6"/>
  <c r="AO51" i="6"/>
  <c r="AD48" i="6"/>
  <c r="AC48" i="6"/>
  <c r="AP104" i="6"/>
  <c r="AO104" i="6"/>
  <c r="AX98" i="6"/>
  <c r="AW98" i="6"/>
  <c r="AX151" i="6"/>
  <c r="AW151" i="6"/>
  <c r="AL185" i="6"/>
  <c r="AK185" i="6"/>
  <c r="AT54" i="6"/>
  <c r="AS54" i="6"/>
  <c r="AP189" i="6"/>
  <c r="AO189" i="6"/>
  <c r="AL90" i="6"/>
  <c r="AK90" i="6"/>
  <c r="AD189" i="6"/>
  <c r="AC189" i="6"/>
  <c r="AX181" i="6"/>
  <c r="AW181" i="6"/>
  <c r="AX54" i="6"/>
  <c r="AW54" i="6"/>
  <c r="AP185" i="6"/>
  <c r="AO185" i="6"/>
  <c r="AT190" i="6"/>
  <c r="AS190" i="6"/>
  <c r="AX140" i="6"/>
  <c r="AW140" i="6"/>
  <c r="AL174" i="6"/>
  <c r="AK174" i="6"/>
  <c r="AG42" i="6"/>
  <c r="AH42" i="6"/>
  <c r="Y59" i="6"/>
  <c r="Z59" i="6"/>
  <c r="AD53" i="6"/>
  <c r="AC53" i="6"/>
  <c r="Y190" i="6"/>
  <c r="Z190" i="6"/>
  <c r="AD49" i="6"/>
  <c r="AC49" i="6"/>
  <c r="AX131" i="6"/>
  <c r="AH109" i="6"/>
  <c r="AG109" i="6"/>
  <c r="R131" i="6"/>
  <c r="Q131" i="6"/>
  <c r="Q20" i="6"/>
  <c r="R20" i="6"/>
  <c r="R140" i="6"/>
  <c r="Q140" i="6"/>
  <c r="V43" i="6"/>
  <c r="U43" i="6"/>
  <c r="V192" i="6"/>
  <c r="U192" i="6"/>
  <c r="U21" i="6"/>
  <c r="V21" i="6"/>
  <c r="U59" i="6"/>
  <c r="V59" i="6"/>
  <c r="AK191" i="6"/>
  <c r="AL191" i="6"/>
  <c r="AL190" i="6"/>
  <c r="AK190" i="6"/>
  <c r="AT183" i="6"/>
  <c r="AS183" i="6"/>
  <c r="AG53" i="6"/>
  <c r="AH53" i="6"/>
  <c r="AH13" i="6"/>
  <c r="AG13" i="6"/>
  <c r="AL70" i="6"/>
  <c r="AK70" i="6"/>
  <c r="AT65" i="6"/>
  <c r="AS65" i="6"/>
  <c r="AL195" i="6"/>
  <c r="AK195" i="6"/>
  <c r="AH78" i="6"/>
  <c r="AG78" i="6"/>
  <c r="AT172" i="6"/>
  <c r="AS172" i="6"/>
  <c r="AP146" i="6"/>
  <c r="AO146" i="6"/>
  <c r="AD27" i="6"/>
  <c r="AC27" i="6"/>
  <c r="AH94" i="6"/>
  <c r="AG94" i="6"/>
  <c r="AD43" i="6"/>
  <c r="AC43" i="6"/>
  <c r="AH126" i="6"/>
  <c r="AG126" i="6"/>
  <c r="Z94" i="6"/>
  <c r="Y94" i="6"/>
  <c r="Z126" i="6"/>
  <c r="Y126" i="6"/>
  <c r="Z174" i="6"/>
  <c r="Y174" i="6"/>
  <c r="AX124" i="6"/>
  <c r="AW124" i="6"/>
  <c r="AT27" i="6"/>
  <c r="AS27" i="6"/>
  <c r="V131" i="6"/>
  <c r="U131" i="6"/>
  <c r="Q141" i="6"/>
  <c r="R141" i="6"/>
  <c r="V189" i="6"/>
  <c r="U189" i="6"/>
  <c r="AT43" i="6"/>
  <c r="AS43" i="6"/>
  <c r="AT42" i="6"/>
  <c r="AS42" i="6"/>
  <c r="AL172" i="6"/>
  <c r="AK172" i="6"/>
  <c r="AX62" i="6"/>
  <c r="AW62" i="6"/>
  <c r="AK109" i="6"/>
  <c r="AL109" i="6"/>
  <c r="AW20" i="6"/>
  <c r="AX20" i="6"/>
  <c r="AP151" i="6"/>
  <c r="AO151" i="6"/>
  <c r="AL54" i="6"/>
  <c r="AK54" i="6"/>
  <c r="AT49" i="6"/>
  <c r="AS49" i="6"/>
  <c r="Z181" i="6"/>
  <c r="Y181" i="6"/>
  <c r="AL52" i="6"/>
  <c r="AK52" i="6"/>
  <c r="AT47" i="6"/>
  <c r="AS47" i="6"/>
  <c r="AH62" i="6"/>
  <c r="AG62" i="6"/>
  <c r="AX104" i="6"/>
  <c r="AW104" i="6"/>
  <c r="Z103" i="6"/>
  <c r="Y103" i="6"/>
  <c r="Y78" i="6"/>
  <c r="Z78" i="6"/>
  <c r="AP21" i="6"/>
  <c r="AO21" i="6"/>
  <c r="Z123" i="6"/>
  <c r="Y123" i="6"/>
  <c r="AD13" i="6"/>
  <c r="AC13" i="6"/>
  <c r="AX141" i="6"/>
  <c r="AW141" i="6"/>
  <c r="M190" i="6"/>
  <c r="N91" i="6"/>
  <c r="N172" i="6"/>
  <c r="N65" i="6"/>
  <c r="N70" i="6"/>
  <c r="M50" i="6"/>
  <c r="N151" i="6"/>
  <c r="M11" i="6"/>
  <c r="M103" i="6"/>
  <c r="M146" i="6"/>
  <c r="N190" i="6"/>
  <c r="M53" i="6"/>
  <c r="N11" i="6"/>
  <c r="M124" i="6"/>
  <c r="M141" i="6"/>
  <c r="M43" i="6"/>
  <c r="N141" i="6"/>
  <c r="N43" i="6"/>
  <c r="N49" i="6"/>
  <c r="N53" i="6"/>
  <c r="N124" i="6"/>
  <c r="N185" i="6"/>
  <c r="M48" i="6"/>
  <c r="M174" i="6"/>
  <c r="M51" i="6"/>
  <c r="N174" i="6"/>
  <c r="N21" i="6"/>
  <c r="N47" i="6"/>
  <c r="N51" i="6"/>
  <c r="N59" i="6"/>
  <c r="N27" i="6"/>
  <c r="M131" i="6"/>
  <c r="N48" i="6"/>
  <c r="M59" i="6"/>
  <c r="M27" i="6"/>
  <c r="M52" i="6"/>
  <c r="M47" i="6"/>
  <c r="M94" i="6"/>
  <c r="N20" i="6"/>
  <c r="M20" i="6"/>
  <c r="N28" i="6"/>
  <c r="M28" i="6"/>
  <c r="N62" i="6"/>
  <c r="M62" i="6"/>
  <c r="N191" i="6"/>
  <c r="M191" i="6"/>
  <c r="N192" i="6"/>
  <c r="M192" i="6"/>
  <c r="N104" i="6"/>
  <c r="M104" i="6"/>
  <c r="M126" i="6"/>
  <c r="N126" i="6"/>
  <c r="N13" i="6"/>
  <c r="M13" i="6"/>
  <c r="N183" i="6"/>
  <c r="M183" i="6"/>
  <c r="O194" i="6" l="1"/>
  <c r="C194" i="6"/>
  <c r="S194" i="6"/>
  <c r="K194" i="6"/>
  <c r="G194" i="6"/>
  <c r="S120" i="6"/>
  <c r="C120" i="6"/>
  <c r="O120" i="6"/>
  <c r="K120" i="6"/>
  <c r="G120" i="6"/>
  <c r="S56" i="6"/>
  <c r="K56" i="6"/>
  <c r="G56" i="6"/>
  <c r="C56" i="6"/>
  <c r="O56" i="6"/>
  <c r="S9" i="6"/>
  <c r="O9" i="6"/>
  <c r="K9" i="6"/>
  <c r="C9" i="6"/>
  <c r="G9" i="6"/>
  <c r="H212" i="5"/>
  <c r="G83" i="6"/>
  <c r="C83" i="6"/>
  <c r="S83" i="6"/>
  <c r="K83" i="6"/>
  <c r="O83" i="6"/>
  <c r="G26" i="6"/>
  <c r="C26" i="6"/>
  <c r="O26" i="6"/>
  <c r="K26" i="6"/>
  <c r="S26" i="6"/>
  <c r="G118" i="6"/>
  <c r="C118" i="6"/>
  <c r="S118" i="6"/>
  <c r="O118" i="6"/>
  <c r="K118" i="6"/>
  <c r="S89" i="6"/>
  <c r="O89" i="6"/>
  <c r="G89" i="6"/>
  <c r="C89" i="6"/>
  <c r="K89" i="6"/>
  <c r="S4" i="6"/>
  <c r="O4" i="6"/>
  <c r="C4" i="6"/>
  <c r="K4" i="6"/>
  <c r="G4" i="6"/>
  <c r="K149" i="6"/>
  <c r="S149" i="6"/>
  <c r="G149" i="6"/>
  <c r="O149" i="6"/>
  <c r="C149" i="6"/>
  <c r="O82" i="6"/>
  <c r="K82" i="6"/>
  <c r="S82" i="6"/>
  <c r="G82" i="6"/>
  <c r="C82" i="6"/>
  <c r="O145" i="6"/>
  <c r="S145" i="6"/>
  <c r="K145" i="6"/>
  <c r="C145" i="6"/>
  <c r="G145" i="6"/>
  <c r="C133" i="6"/>
  <c r="S133" i="6"/>
  <c r="O133" i="6"/>
  <c r="K133" i="6"/>
  <c r="G133" i="6"/>
  <c r="K110" i="6"/>
  <c r="G110" i="6"/>
  <c r="C110" i="6"/>
  <c r="O110" i="6"/>
  <c r="S110" i="6"/>
  <c r="C130" i="6"/>
  <c r="O130" i="6"/>
  <c r="K130" i="6"/>
  <c r="S130" i="6"/>
  <c r="G130" i="6"/>
  <c r="K135" i="6"/>
  <c r="C135" i="6"/>
  <c r="G135" i="6"/>
  <c r="S135" i="6"/>
  <c r="O135" i="6"/>
  <c r="S93" i="6"/>
  <c r="K93" i="6"/>
  <c r="G93" i="6"/>
  <c r="O93" i="6"/>
  <c r="C93" i="6"/>
  <c r="S107" i="6"/>
  <c r="O107" i="6"/>
  <c r="K107" i="6"/>
  <c r="G107" i="6"/>
  <c r="C107" i="6"/>
  <c r="H217" i="5"/>
  <c r="C106" i="6"/>
  <c r="G106" i="6"/>
  <c r="S106" i="6"/>
  <c r="O106" i="6"/>
  <c r="K106" i="6"/>
  <c r="S32" i="6"/>
  <c r="O32" i="6"/>
  <c r="K32" i="6"/>
  <c r="G32" i="6"/>
  <c r="C32" i="6"/>
  <c r="H224" i="5"/>
  <c r="S180" i="6"/>
  <c r="G180" i="6"/>
  <c r="O180" i="6"/>
  <c r="K180" i="6"/>
  <c r="C180" i="6"/>
  <c r="S6" i="6"/>
  <c r="O6" i="6"/>
  <c r="C6" i="6"/>
  <c r="K6" i="6"/>
  <c r="G6" i="6"/>
  <c r="O79" i="6"/>
  <c r="K79" i="6"/>
  <c r="G79" i="6"/>
  <c r="S79" i="6"/>
  <c r="C79" i="6"/>
  <c r="S158" i="6"/>
  <c r="O158" i="6"/>
  <c r="AJ158" i="6"/>
  <c r="G158" i="6"/>
  <c r="C158" i="6"/>
  <c r="K158" i="6"/>
  <c r="K144" i="6"/>
  <c r="S144" i="6"/>
  <c r="O144" i="6"/>
  <c r="C144" i="6"/>
  <c r="G144" i="6"/>
  <c r="O168" i="6"/>
  <c r="K168" i="6"/>
  <c r="C168" i="6"/>
  <c r="S168" i="6"/>
  <c r="G168" i="6"/>
  <c r="C142" i="6"/>
  <c r="S142" i="6"/>
  <c r="O142" i="6"/>
  <c r="K142" i="6"/>
  <c r="G142" i="6"/>
  <c r="O63" i="6"/>
  <c r="K63" i="6"/>
  <c r="G63" i="6"/>
  <c r="C63" i="6"/>
  <c r="S63" i="6"/>
  <c r="G111" i="6"/>
  <c r="S111" i="6"/>
  <c r="O111" i="6"/>
  <c r="C111" i="6"/>
  <c r="K111" i="6"/>
  <c r="O97" i="6"/>
  <c r="K97" i="6"/>
  <c r="C97" i="6"/>
  <c r="S97" i="6"/>
  <c r="G97" i="6"/>
  <c r="S148" i="6"/>
  <c r="C148" i="6"/>
  <c r="O148" i="6"/>
  <c r="K148" i="6"/>
  <c r="G148" i="6"/>
  <c r="K92" i="6"/>
  <c r="O92" i="6"/>
  <c r="G92" i="6"/>
  <c r="C92" i="6"/>
  <c r="S92" i="6"/>
  <c r="G72" i="6"/>
  <c r="C72" i="6"/>
  <c r="S72" i="6"/>
  <c r="O72" i="6"/>
  <c r="K72" i="6"/>
  <c r="G58" i="6"/>
  <c r="C58" i="6"/>
  <c r="K58" i="6"/>
  <c r="S58" i="6"/>
  <c r="O58" i="6"/>
  <c r="S60" i="6"/>
  <c r="O60" i="6"/>
  <c r="K60" i="6"/>
  <c r="G60" i="6"/>
  <c r="C60" i="6"/>
  <c r="G33" i="6"/>
  <c r="S33" i="6"/>
  <c r="K33" i="6"/>
  <c r="C33" i="6"/>
  <c r="O33" i="6"/>
  <c r="O184" i="6"/>
  <c r="S184" i="6"/>
  <c r="K184" i="6"/>
  <c r="G184" i="6"/>
  <c r="C184" i="6"/>
  <c r="O7" i="6"/>
  <c r="C7" i="6"/>
  <c r="S7" i="6"/>
  <c r="G7" i="6"/>
  <c r="K7" i="6"/>
  <c r="O85" i="6"/>
  <c r="K85" i="6"/>
  <c r="C85" i="6"/>
  <c r="G85" i="6"/>
  <c r="S85" i="6"/>
  <c r="K15" i="6"/>
  <c r="C15" i="6"/>
  <c r="G15" i="6"/>
  <c r="S15" i="6"/>
  <c r="O15" i="6"/>
  <c r="O34" i="6"/>
  <c r="K34" i="6"/>
  <c r="G34" i="6"/>
  <c r="C34" i="6"/>
  <c r="S34" i="6"/>
  <c r="O22" i="6"/>
  <c r="K22" i="6"/>
  <c r="C22" i="6"/>
  <c r="G22" i="6"/>
  <c r="S22" i="6"/>
  <c r="X22" i="6" s="1"/>
  <c r="K116" i="6"/>
  <c r="G116" i="6"/>
  <c r="C116" i="6"/>
  <c r="S116" i="6"/>
  <c r="O116" i="6"/>
  <c r="C5" i="6"/>
  <c r="K5" i="6"/>
  <c r="G5" i="6"/>
  <c r="S5" i="6"/>
  <c r="O5" i="6"/>
  <c r="C117" i="6"/>
  <c r="O117" i="6"/>
  <c r="K117" i="6"/>
  <c r="G117" i="6"/>
  <c r="S117" i="6"/>
  <c r="O25" i="6"/>
  <c r="K25" i="6"/>
  <c r="C25" i="6"/>
  <c r="G25" i="6"/>
  <c r="S25" i="6"/>
  <c r="O40" i="6"/>
  <c r="S40" i="6"/>
  <c r="K40" i="6"/>
  <c r="G40" i="6"/>
  <c r="C40" i="6"/>
  <c r="C46" i="6"/>
  <c r="S46" i="6"/>
  <c r="O46" i="6"/>
  <c r="G46" i="6"/>
  <c r="K46" i="6"/>
  <c r="C84" i="6"/>
  <c r="S84" i="6"/>
  <c r="O84" i="6"/>
  <c r="K84" i="6"/>
  <c r="G84" i="6"/>
  <c r="K18" i="6"/>
  <c r="C18" i="6"/>
  <c r="O18" i="6"/>
  <c r="S18" i="6"/>
  <c r="G18" i="6"/>
  <c r="K113" i="6"/>
  <c r="G113" i="6"/>
  <c r="C113" i="6"/>
  <c r="S113" i="6"/>
  <c r="O113" i="6"/>
  <c r="C188" i="6"/>
  <c r="S188" i="6"/>
  <c r="G188" i="6"/>
  <c r="K188" i="6"/>
  <c r="O188" i="6"/>
  <c r="O132" i="6"/>
  <c r="G132" i="6"/>
  <c r="C132" i="6"/>
  <c r="S132" i="6"/>
  <c r="K132" i="6"/>
  <c r="S3" i="6"/>
  <c r="O3" i="6"/>
  <c r="C3" i="6"/>
  <c r="K3" i="6"/>
  <c r="G3" i="6"/>
  <c r="C69" i="6"/>
  <c r="O69" i="6"/>
  <c r="K69" i="6"/>
  <c r="S69" i="6"/>
  <c r="G69" i="6"/>
  <c r="S114" i="6"/>
  <c r="G114" i="6"/>
  <c r="K114" i="6"/>
  <c r="O114" i="6"/>
  <c r="C114" i="6"/>
  <c r="S75" i="6"/>
  <c r="C75" i="6"/>
  <c r="O75" i="6"/>
  <c r="K75" i="6"/>
  <c r="G75" i="6"/>
  <c r="G57" i="6"/>
  <c r="C57" i="6"/>
  <c r="S57" i="6"/>
  <c r="K57" i="6"/>
  <c r="O57" i="6"/>
  <c r="O37" i="6"/>
  <c r="K37" i="6"/>
  <c r="G37" i="6"/>
  <c r="S37" i="6"/>
  <c r="C37" i="6"/>
  <c r="C14" i="6"/>
  <c r="S14" i="6"/>
  <c r="O14" i="6"/>
  <c r="G14" i="6"/>
  <c r="K14" i="6"/>
  <c r="G31" i="6"/>
  <c r="C31" i="6"/>
  <c r="S31" i="6"/>
  <c r="O31" i="6"/>
  <c r="K31" i="6"/>
  <c r="O16" i="6"/>
  <c r="G16" i="6"/>
  <c r="K16" i="6"/>
  <c r="C16" i="6"/>
  <c r="S16" i="6"/>
  <c r="O73" i="6"/>
  <c r="K73" i="6"/>
  <c r="G73" i="6"/>
  <c r="C73" i="6"/>
  <c r="S73" i="6"/>
  <c r="O178" i="6"/>
  <c r="K178" i="6"/>
  <c r="G178" i="6"/>
  <c r="C178" i="6"/>
  <c r="S178" i="6"/>
  <c r="O143" i="6"/>
  <c r="S143" i="6"/>
  <c r="K143" i="6"/>
  <c r="C143" i="6"/>
  <c r="G143" i="6"/>
  <c r="C8" i="6"/>
  <c r="K8" i="6"/>
  <c r="S8" i="6"/>
  <c r="O8" i="6"/>
  <c r="G8" i="6"/>
  <c r="S115" i="6"/>
  <c r="G115" i="6"/>
  <c r="C115" i="6"/>
  <c r="K115" i="6"/>
  <c r="O115" i="6"/>
  <c r="C159" i="6"/>
  <c r="O159" i="6"/>
  <c r="K159" i="6"/>
  <c r="G159" i="6"/>
  <c r="S159" i="6"/>
  <c r="G182" i="6"/>
  <c r="K182" i="6"/>
  <c r="C182" i="6"/>
  <c r="O182" i="6"/>
  <c r="S182" i="6"/>
  <c r="K153" i="6"/>
  <c r="S153" i="6"/>
  <c r="G153" i="6"/>
  <c r="C153" i="6"/>
  <c r="O153" i="6"/>
  <c r="S119" i="6"/>
  <c r="C119" i="6"/>
  <c r="K119" i="6"/>
  <c r="O119" i="6"/>
  <c r="G119" i="6"/>
  <c r="K150" i="6"/>
  <c r="G150" i="6"/>
  <c r="S150" i="6"/>
  <c r="O150" i="6"/>
  <c r="C150" i="6"/>
  <c r="K35" i="6"/>
  <c r="S35" i="6"/>
  <c r="O35" i="6"/>
  <c r="G35" i="6"/>
  <c r="C35" i="6"/>
  <c r="S55" i="6"/>
  <c r="O55" i="6"/>
  <c r="K55" i="6"/>
  <c r="G55" i="6"/>
  <c r="C55" i="6"/>
  <c r="C160" i="6"/>
  <c r="S160" i="6"/>
  <c r="K160" i="6"/>
  <c r="O160" i="6"/>
  <c r="G160" i="6"/>
  <c r="O64" i="6"/>
  <c r="K64" i="6"/>
  <c r="S64" i="6"/>
  <c r="G64" i="6"/>
  <c r="C64" i="6"/>
  <c r="S96" i="6"/>
  <c r="C96" i="6"/>
  <c r="O96" i="6"/>
  <c r="K96" i="6"/>
  <c r="G96" i="6"/>
  <c r="C121" i="6"/>
  <c r="K121" i="6"/>
  <c r="S121" i="6"/>
  <c r="O121" i="6"/>
  <c r="G121" i="6"/>
  <c r="G154" i="6"/>
  <c r="C154" i="6"/>
  <c r="K154" i="6"/>
  <c r="S154" i="6"/>
  <c r="O154" i="6"/>
  <c r="K24" i="6"/>
  <c r="C24" i="6"/>
  <c r="G24" i="6"/>
  <c r="S24" i="6"/>
  <c r="O24" i="6"/>
  <c r="G167" i="6"/>
  <c r="O167" i="6"/>
  <c r="S167" i="6"/>
  <c r="C167" i="6"/>
  <c r="K167" i="6"/>
  <c r="S177" i="6"/>
  <c r="O177" i="6"/>
  <c r="K177" i="6"/>
  <c r="G177" i="6"/>
  <c r="C177" i="6"/>
  <c r="O155" i="6"/>
  <c r="S155" i="6"/>
  <c r="K155" i="6"/>
  <c r="G155" i="6"/>
  <c r="C155" i="6"/>
  <c r="K156" i="6"/>
  <c r="G156" i="6"/>
  <c r="S156" i="6"/>
  <c r="C156" i="6"/>
  <c r="O156" i="6"/>
  <c r="S187" i="6"/>
  <c r="G187" i="6"/>
  <c r="C187" i="6"/>
  <c r="O187" i="6"/>
  <c r="K187" i="6"/>
  <c r="C138" i="6"/>
  <c r="G138" i="6"/>
  <c r="S138" i="6"/>
  <c r="O138" i="6"/>
  <c r="K138" i="6"/>
  <c r="O186" i="6"/>
  <c r="K186" i="6"/>
  <c r="G186" i="6"/>
  <c r="S186" i="6"/>
  <c r="C186" i="6"/>
  <c r="K86" i="6"/>
  <c r="S86" i="6"/>
  <c r="O86" i="6"/>
  <c r="G86" i="6"/>
  <c r="C86" i="6"/>
  <c r="O67" i="6"/>
  <c r="K67" i="6"/>
  <c r="S67" i="6"/>
  <c r="C67" i="6"/>
  <c r="G67" i="6"/>
  <c r="K68" i="6"/>
  <c r="S68" i="6"/>
  <c r="C68" i="6"/>
  <c r="G68" i="6"/>
  <c r="O68" i="6"/>
  <c r="C161" i="6"/>
  <c r="O161" i="6"/>
  <c r="K161" i="6"/>
  <c r="S161" i="6"/>
  <c r="G161" i="6"/>
  <c r="G128" i="6"/>
  <c r="C128" i="6"/>
  <c r="S128" i="6"/>
  <c r="O128" i="6"/>
  <c r="K128" i="6"/>
  <c r="S39" i="6"/>
  <c r="O39" i="6"/>
  <c r="K39" i="6"/>
  <c r="G39" i="6"/>
  <c r="C39" i="6"/>
  <c r="K81" i="6"/>
  <c r="C81" i="6"/>
  <c r="O81" i="6"/>
  <c r="S81" i="6"/>
  <c r="G81" i="6"/>
  <c r="C23" i="6"/>
  <c r="O23" i="6"/>
  <c r="K23" i="6"/>
  <c r="S23" i="6"/>
  <c r="G23" i="6"/>
  <c r="S122" i="6"/>
  <c r="O122" i="6"/>
  <c r="K122" i="6"/>
  <c r="C122" i="6"/>
  <c r="G122" i="6"/>
  <c r="C147" i="6"/>
  <c r="K147" i="6"/>
  <c r="O147" i="6"/>
  <c r="S147" i="6"/>
  <c r="G147" i="6"/>
  <c r="S99" i="6"/>
  <c r="G99" i="6"/>
  <c r="O99" i="6"/>
  <c r="K99" i="6"/>
  <c r="C99" i="6"/>
  <c r="K12" i="6"/>
  <c r="S12" i="6"/>
  <c r="O12" i="6"/>
  <c r="C12" i="6"/>
  <c r="G12" i="6"/>
  <c r="S162" i="6"/>
  <c r="C162" i="6"/>
  <c r="K162" i="6"/>
  <c r="G162" i="6"/>
  <c r="O162" i="6"/>
  <c r="O30" i="6"/>
  <c r="K30" i="6"/>
  <c r="G30" i="6"/>
  <c r="C30" i="6"/>
  <c r="S30" i="6"/>
  <c r="O10" i="6"/>
  <c r="C10" i="6"/>
  <c r="G10" i="6"/>
  <c r="K10" i="6"/>
  <c r="S10" i="6"/>
  <c r="C127" i="6"/>
  <c r="O127" i="6"/>
  <c r="K127" i="6"/>
  <c r="G127" i="6"/>
  <c r="S127" i="6"/>
  <c r="S29" i="6"/>
  <c r="O29" i="6"/>
  <c r="G29" i="6"/>
  <c r="C29" i="6"/>
  <c r="K29" i="6"/>
  <c r="C176" i="6"/>
  <c r="G176" i="6"/>
  <c r="S176" i="6"/>
  <c r="O176" i="6"/>
  <c r="K176" i="6"/>
  <c r="G80" i="6"/>
  <c r="K80" i="6"/>
  <c r="O80" i="6"/>
  <c r="C80" i="6"/>
  <c r="S80" i="6"/>
  <c r="O164" i="6"/>
  <c r="S164" i="6"/>
  <c r="C164" i="6"/>
  <c r="K164" i="6"/>
  <c r="G164" i="6"/>
  <c r="G139" i="6"/>
  <c r="S139" i="6"/>
  <c r="O139" i="6"/>
  <c r="C139" i="6"/>
  <c r="K139" i="6"/>
  <c r="C137" i="6"/>
  <c r="S137" i="6"/>
  <c r="G137" i="6"/>
  <c r="O137" i="6"/>
  <c r="K137" i="6"/>
  <c r="K17" i="6"/>
  <c r="S17" i="6"/>
  <c r="O17" i="6"/>
  <c r="G17" i="6"/>
  <c r="C17" i="6"/>
  <c r="O134" i="6"/>
  <c r="K134" i="6"/>
  <c r="C134" i="6"/>
  <c r="S134" i="6"/>
  <c r="H134" i="5"/>
  <c r="G134" i="6"/>
  <c r="K163" i="6"/>
  <c r="S163" i="6"/>
  <c r="O163" i="6"/>
  <c r="G163" i="6"/>
  <c r="C163" i="6"/>
  <c r="K45" i="6"/>
  <c r="G45" i="6"/>
  <c r="C45" i="6"/>
  <c r="S45" i="6"/>
  <c r="O45" i="6"/>
  <c r="K44" i="6"/>
  <c r="S44" i="6"/>
  <c r="O44" i="6"/>
  <c r="G44" i="6"/>
  <c r="C44" i="6"/>
  <c r="C129" i="6"/>
  <c r="S129" i="6"/>
  <c r="K129" i="6"/>
  <c r="G129" i="6"/>
  <c r="O129" i="6"/>
  <c r="K74" i="6"/>
  <c r="O74" i="6"/>
  <c r="G74" i="6"/>
  <c r="C74" i="6"/>
  <c r="S74" i="6"/>
  <c r="C169" i="6"/>
  <c r="O169" i="6"/>
  <c r="K169" i="6"/>
  <c r="G169" i="6"/>
  <c r="S169" i="6"/>
  <c r="O166" i="6"/>
  <c r="S166" i="6"/>
  <c r="G166" i="6"/>
  <c r="K166" i="6"/>
  <c r="C166" i="6"/>
  <c r="H166" i="5"/>
  <c r="C95" i="6"/>
  <c r="S95" i="6"/>
  <c r="K95" i="6"/>
  <c r="G95" i="6"/>
  <c r="O95" i="6"/>
  <c r="S76" i="6"/>
  <c r="C76" i="6"/>
  <c r="O76" i="6"/>
  <c r="K76" i="6"/>
  <c r="G76" i="6"/>
  <c r="K105" i="6"/>
  <c r="O105" i="6"/>
  <c r="S105" i="6"/>
  <c r="C105" i="6"/>
  <c r="G105" i="6"/>
  <c r="G77" i="6"/>
  <c r="C77" i="6"/>
  <c r="K77" i="6"/>
  <c r="S77" i="6"/>
  <c r="O77" i="6"/>
  <c r="C87" i="6"/>
  <c r="S87" i="6"/>
  <c r="O87" i="6"/>
  <c r="K87" i="6"/>
  <c r="G87" i="6"/>
  <c r="O61" i="6"/>
  <c r="K61" i="6"/>
  <c r="G61" i="6"/>
  <c r="S61" i="6"/>
  <c r="C61" i="6"/>
  <c r="S88" i="6"/>
  <c r="C88" i="6"/>
  <c r="K88" i="6"/>
  <c r="O88" i="6"/>
  <c r="G88" i="6"/>
  <c r="O101" i="6"/>
  <c r="G101" i="6"/>
  <c r="K101" i="6"/>
  <c r="C101" i="6"/>
  <c r="S101" i="6"/>
  <c r="O152" i="6"/>
  <c r="C152" i="6"/>
  <c r="G152" i="6"/>
  <c r="K152" i="6"/>
  <c r="S152" i="6"/>
  <c r="O170" i="6"/>
  <c r="C170" i="6"/>
  <c r="K170" i="6"/>
  <c r="G170" i="6"/>
  <c r="S170" i="6"/>
  <c r="K179" i="6"/>
  <c r="G179" i="6"/>
  <c r="S179" i="6"/>
  <c r="C179" i="6"/>
  <c r="O179" i="6"/>
  <c r="S102" i="6"/>
  <c r="O102" i="6"/>
  <c r="C102" i="6"/>
  <c r="H102" i="5"/>
  <c r="G102" i="6"/>
  <c r="K102" i="6"/>
  <c r="K112" i="6"/>
  <c r="G112" i="6"/>
  <c r="C112" i="6"/>
  <c r="S112" i="6"/>
  <c r="O112" i="6"/>
  <c r="C193" i="6"/>
  <c r="S193" i="6"/>
  <c r="O193" i="6"/>
  <c r="K193" i="6"/>
  <c r="G193" i="6"/>
  <c r="G41" i="6"/>
  <c r="C41" i="6"/>
  <c r="O41" i="6"/>
  <c r="S41" i="6"/>
  <c r="K41" i="6"/>
  <c r="S108" i="6"/>
  <c r="G108" i="6"/>
  <c r="C108" i="6"/>
  <c r="K108" i="6"/>
  <c r="O108" i="6"/>
  <c r="O175" i="6"/>
  <c r="C175" i="6"/>
  <c r="G175" i="6"/>
  <c r="S175" i="6"/>
  <c r="K175" i="6"/>
  <c r="C173" i="6"/>
  <c r="G173" i="6"/>
  <c r="S173" i="6"/>
  <c r="O173" i="6"/>
  <c r="K173" i="6"/>
  <c r="O157" i="6"/>
  <c r="K157" i="6"/>
  <c r="C157" i="6"/>
  <c r="G157" i="6"/>
  <c r="S157" i="6"/>
  <c r="G38" i="6"/>
  <c r="K38" i="6"/>
  <c r="S38" i="6"/>
  <c r="O38" i="6"/>
  <c r="C38" i="6"/>
  <c r="O36" i="6"/>
  <c r="K36" i="6"/>
  <c r="G36" i="6"/>
  <c r="C36" i="6"/>
  <c r="S36" i="6"/>
  <c r="O136" i="6"/>
  <c r="K136" i="6"/>
  <c r="C136" i="6"/>
  <c r="G136" i="6"/>
  <c r="S136" i="6"/>
  <c r="S171" i="6"/>
  <c r="O171" i="6"/>
  <c r="G171" i="6"/>
  <c r="K171" i="6"/>
  <c r="C171" i="6"/>
  <c r="K165" i="6"/>
  <c r="O165" i="6"/>
  <c r="G165" i="6"/>
  <c r="C165" i="6"/>
  <c r="S165" i="6"/>
  <c r="K71" i="6"/>
  <c r="S71" i="6"/>
  <c r="O71" i="6"/>
  <c r="C71" i="6"/>
  <c r="G71" i="6"/>
  <c r="C19" i="6"/>
  <c r="G19" i="6"/>
  <c r="S19" i="6"/>
  <c r="K19" i="6"/>
  <c r="O19" i="6"/>
  <c r="T157" i="6" l="1"/>
  <c r="H93" i="6"/>
  <c r="T150" i="6"/>
  <c r="T77" i="6"/>
  <c r="AB19" i="6"/>
  <c r="AF136" i="6"/>
  <c r="AG136" i="6" s="1"/>
  <c r="X29" i="6"/>
  <c r="Z29" i="6" s="1"/>
  <c r="AR128" i="6"/>
  <c r="AF33" i="6"/>
  <c r="AV93" i="6"/>
  <c r="AV105" i="6"/>
  <c r="P23" i="6"/>
  <c r="Q23" i="6" s="1"/>
  <c r="AB3" i="6"/>
  <c r="AD3" i="6" s="1"/>
  <c r="AV84" i="6"/>
  <c r="X31" i="6"/>
  <c r="AV33" i="6"/>
  <c r="AJ120" i="6"/>
  <c r="AL120" i="6" s="1"/>
  <c r="AB101" i="6"/>
  <c r="AC101" i="6" s="1"/>
  <c r="L68" i="6"/>
  <c r="H186" i="6"/>
  <c r="P177" i="6"/>
  <c r="L85" i="6"/>
  <c r="AB92" i="6"/>
  <c r="AD92" i="6" s="1"/>
  <c r="AN23" i="6"/>
  <c r="P144" i="6"/>
  <c r="AN149" i="6"/>
  <c r="AO149" i="6" s="1"/>
  <c r="L113" i="6"/>
  <c r="T82" i="6"/>
  <c r="AF119" i="6"/>
  <c r="AH119" i="6" s="1"/>
  <c r="AN170" i="6"/>
  <c r="AP170" i="6" s="1"/>
  <c r="AJ127" i="6"/>
  <c r="AL127" i="6" s="1"/>
  <c r="H23" i="6"/>
  <c r="H156" i="6"/>
  <c r="AJ176" i="6"/>
  <c r="AL176" i="6" s="1"/>
  <c r="P162" i="6"/>
  <c r="AN167" i="6"/>
  <c r="AP167" i="6" s="1"/>
  <c r="L35" i="6"/>
  <c r="AN188" i="6"/>
  <c r="AP188" i="6" s="1"/>
  <c r="AN4" i="6"/>
  <c r="AV171" i="6"/>
  <c r="AF108" i="6"/>
  <c r="AH108" i="6" s="1"/>
  <c r="X159" i="6"/>
  <c r="AN38" i="6"/>
  <c r="AO38" i="6" s="1"/>
  <c r="P108" i="6"/>
  <c r="R108" i="6" s="1"/>
  <c r="AJ143" i="6"/>
  <c r="AJ144" i="6"/>
  <c r="AB89" i="6"/>
  <c r="AC89" i="6" s="1"/>
  <c r="H179" i="6"/>
  <c r="P95" i="6"/>
  <c r="AV176" i="6"/>
  <c r="AF81" i="6"/>
  <c r="AF73" i="6"/>
  <c r="AG73" i="6" s="1"/>
  <c r="AF188" i="6"/>
  <c r="AF105" i="6"/>
  <c r="AH105" i="6" s="1"/>
  <c r="L34" i="6"/>
  <c r="M34" i="6" s="1"/>
  <c r="P83" i="6"/>
  <c r="X39" i="6"/>
  <c r="P38" i="6"/>
  <c r="Q38" i="6" s="1"/>
  <c r="AN35" i="6"/>
  <c r="T81" i="6"/>
  <c r="T93" i="6"/>
  <c r="U93" i="6" s="1"/>
  <c r="AF149" i="6"/>
  <c r="T169" i="6"/>
  <c r="U169" i="6" s="1"/>
  <c r="AV24" i="6"/>
  <c r="P31" i="6"/>
  <c r="Q31" i="6" s="1"/>
  <c r="AV57" i="6"/>
  <c r="AR173" i="6"/>
  <c r="AB129" i="6"/>
  <c r="AB128" i="6"/>
  <c r="AN15" i="6"/>
  <c r="AO15" i="6" s="1"/>
  <c r="AB106" i="6"/>
  <c r="AC106" i="6" s="1"/>
  <c r="T88" i="6"/>
  <c r="U88" i="6" s="1"/>
  <c r="X165" i="6"/>
  <c r="T17" i="6"/>
  <c r="V17" i="6" s="1"/>
  <c r="AJ86" i="6"/>
  <c r="AK86" i="6" s="1"/>
  <c r="P92" i="6"/>
  <c r="AJ177" i="6"/>
  <c r="AF175" i="6"/>
  <c r="AG175" i="6" s="1"/>
  <c r="T164" i="6"/>
  <c r="U164" i="6" s="1"/>
  <c r="AN162" i="6"/>
  <c r="AP162" i="6" s="1"/>
  <c r="T96" i="6"/>
  <c r="V96" i="6" s="1"/>
  <c r="AV55" i="6"/>
  <c r="P171" i="6"/>
  <c r="H157" i="5"/>
  <c r="AV152" i="6"/>
  <c r="AR134" i="6"/>
  <c r="X134" i="6"/>
  <c r="Z134" i="6" s="1"/>
  <c r="H99" i="5"/>
  <c r="H73" i="6"/>
  <c r="AJ37" i="6"/>
  <c r="AL37" i="6" s="1"/>
  <c r="AJ75" i="6"/>
  <c r="T15" i="6"/>
  <c r="U15" i="6" s="1"/>
  <c r="L26" i="6"/>
  <c r="L96" i="6"/>
  <c r="T173" i="6"/>
  <c r="AJ175" i="6"/>
  <c r="AK175" i="6" s="1"/>
  <c r="X41" i="6"/>
  <c r="P102" i="6"/>
  <c r="H77" i="6"/>
  <c r="AB80" i="6"/>
  <c r="AC80" i="6" s="1"/>
  <c r="AF34" i="6"/>
  <c r="AB71" i="6"/>
  <c r="AD71" i="6" s="1"/>
  <c r="L95" i="6"/>
  <c r="L45" i="6"/>
  <c r="H69" i="6"/>
  <c r="L84" i="6"/>
  <c r="AJ32" i="6"/>
  <c r="AK32" i="6" s="1"/>
  <c r="H165" i="6"/>
  <c r="AR157" i="6"/>
  <c r="H198" i="5"/>
  <c r="AF44" i="6"/>
  <c r="AN45" i="6"/>
  <c r="T67" i="6"/>
  <c r="T187" i="6"/>
  <c r="AF24" i="6"/>
  <c r="AG24" i="6" s="1"/>
  <c r="AF8" i="6"/>
  <c r="AF69" i="6"/>
  <c r="AR187" i="6"/>
  <c r="L150" i="6"/>
  <c r="M150" i="6" s="1"/>
  <c r="H37" i="5"/>
  <c r="H132" i="5"/>
  <c r="AR18" i="6"/>
  <c r="X184" i="6"/>
  <c r="T60" i="6"/>
  <c r="V60" i="6" s="1"/>
  <c r="H58" i="5"/>
  <c r="AR83" i="6"/>
  <c r="P41" i="6"/>
  <c r="X193" i="6"/>
  <c r="Z193" i="6" s="1"/>
  <c r="AN29" i="6"/>
  <c r="T55" i="6"/>
  <c r="V55" i="6" s="1"/>
  <c r="AJ3" i="6"/>
  <c r="AL3" i="6" s="1"/>
  <c r="AB33" i="6"/>
  <c r="H41" i="6"/>
  <c r="T112" i="6"/>
  <c r="AF87" i="6"/>
  <c r="AH87" i="6" s="1"/>
  <c r="H18" i="6"/>
  <c r="AJ116" i="6"/>
  <c r="AK116" i="6" s="1"/>
  <c r="AN184" i="6"/>
  <c r="L58" i="6"/>
  <c r="X72" i="6"/>
  <c r="T130" i="6"/>
  <c r="H207" i="5"/>
  <c r="X35" i="6"/>
  <c r="T68" i="6"/>
  <c r="AN108" i="6"/>
  <c r="AP108" i="6" s="1"/>
  <c r="AN193" i="6"/>
  <c r="H12" i="5"/>
  <c r="AN159" i="6"/>
  <c r="AF148" i="6"/>
  <c r="AG148" i="6" s="1"/>
  <c r="X142" i="6"/>
  <c r="Z142" i="6" s="1"/>
  <c r="AJ79" i="6"/>
  <c r="AK79" i="6" s="1"/>
  <c r="AR106" i="6"/>
  <c r="H63" i="6"/>
  <c r="X117" i="6"/>
  <c r="H116" i="5"/>
  <c r="L36" i="6"/>
  <c r="N36" i="6" s="1"/>
  <c r="T38" i="6"/>
  <c r="U38" i="6" s="1"/>
  <c r="T102" i="6"/>
  <c r="X45" i="6"/>
  <c r="Y45" i="6" s="1"/>
  <c r="AB29" i="6"/>
  <c r="L55" i="6"/>
  <c r="M55" i="6" s="1"/>
  <c r="AR138" i="6"/>
  <c r="AV180" i="6"/>
  <c r="P143" i="6"/>
  <c r="Q143" i="6" s="1"/>
  <c r="AN19" i="6"/>
  <c r="AO19" i="6" s="1"/>
  <c r="AV108" i="6"/>
  <c r="P129" i="6"/>
  <c r="Q129" i="6" s="1"/>
  <c r="AJ134" i="6"/>
  <c r="AK134" i="6" s="1"/>
  <c r="AF99" i="6"/>
  <c r="AG99" i="6" s="1"/>
  <c r="X69" i="6"/>
  <c r="Y69" i="6" s="1"/>
  <c r="X18" i="6"/>
  <c r="Y18" i="6" s="1"/>
  <c r="P18" i="6"/>
  <c r="R18" i="6" s="1"/>
  <c r="T85" i="6"/>
  <c r="U85" i="6" s="1"/>
  <c r="H33" i="5"/>
  <c r="AN72" i="6"/>
  <c r="P63" i="6"/>
  <c r="H173" i="5"/>
  <c r="H175" i="5"/>
  <c r="H101" i="5"/>
  <c r="X10" i="6"/>
  <c r="Y10" i="6" s="1"/>
  <c r="AN156" i="6"/>
  <c r="AO156" i="6" s="1"/>
  <c r="AN115" i="6"/>
  <c r="AN69" i="6"/>
  <c r="AP69" i="6" s="1"/>
  <c r="AN3" i="7"/>
  <c r="AO3" i="7" s="1"/>
  <c r="AN132" i="6"/>
  <c r="AO132" i="6" s="1"/>
  <c r="AF97" i="6"/>
  <c r="AG97" i="6" s="1"/>
  <c r="X130" i="6"/>
  <c r="P6" i="6"/>
  <c r="AV120" i="6"/>
  <c r="AN113" i="6"/>
  <c r="AO113" i="6" s="1"/>
  <c r="X135" i="6"/>
  <c r="Y135" i="6" s="1"/>
  <c r="L83" i="6"/>
  <c r="H182" i="6"/>
  <c r="T25" i="6"/>
  <c r="U25" i="6" s="1"/>
  <c r="AJ36" i="6"/>
  <c r="AK36" i="6" s="1"/>
  <c r="AV101" i="6"/>
  <c r="AB95" i="6"/>
  <c r="L17" i="6"/>
  <c r="N17" i="6" s="1"/>
  <c r="L139" i="6"/>
  <c r="M139" i="6" s="1"/>
  <c r="X127" i="6"/>
  <c r="Y127" i="6" s="1"/>
  <c r="AJ67" i="6"/>
  <c r="AK67" i="6" s="1"/>
  <c r="AR55" i="6"/>
  <c r="H153" i="5"/>
  <c r="X178" i="6"/>
  <c r="Z178" i="6" s="1"/>
  <c r="AB57" i="6"/>
  <c r="P111" i="6"/>
  <c r="AB26" i="6"/>
  <c r="AV155" i="6"/>
  <c r="L22" i="6"/>
  <c r="AN12" i="6"/>
  <c r="AV150" i="6"/>
  <c r="T3" i="7"/>
  <c r="U3" i="7" s="1"/>
  <c r="H223" i="5"/>
  <c r="AV22" i="6"/>
  <c r="AR60" i="6"/>
  <c r="AJ92" i="6"/>
  <c r="AL92" i="6" s="1"/>
  <c r="H105" i="6"/>
  <c r="H134" i="6"/>
  <c r="AV165" i="6"/>
  <c r="H55" i="5"/>
  <c r="AB31" i="6"/>
  <c r="L79" i="6"/>
  <c r="AR145" i="6"/>
  <c r="AB142" i="6"/>
  <c r="AC142" i="6" s="1"/>
  <c r="L136" i="6"/>
  <c r="M136" i="6" s="1"/>
  <c r="H152" i="6"/>
  <c r="AF74" i="6"/>
  <c r="AH74" i="6" s="1"/>
  <c r="X137" i="6"/>
  <c r="Y137" i="6" s="1"/>
  <c r="T176" i="6"/>
  <c r="V176" i="6" s="1"/>
  <c r="H127" i="6"/>
  <c r="AJ119" i="6"/>
  <c r="AL119" i="6" s="1"/>
  <c r="AJ132" i="6"/>
  <c r="AL132" i="6" s="1"/>
  <c r="AB46" i="6"/>
  <c r="AD46" i="6" s="1"/>
  <c r="AV46" i="6"/>
  <c r="AJ111" i="6"/>
  <c r="AN76" i="6"/>
  <c r="AB152" i="6"/>
  <c r="AC152" i="6" s="1"/>
  <c r="AB76" i="6"/>
  <c r="H74" i="6"/>
  <c r="AB182" i="6"/>
  <c r="AD182" i="6" s="1"/>
  <c r="AF58" i="6"/>
  <c r="H135" i="5"/>
  <c r="AB164" i="6"/>
  <c r="AC164" i="6" s="1"/>
  <c r="AR93" i="6"/>
  <c r="H99" i="6"/>
  <c r="AR147" i="6"/>
  <c r="AV73" i="6"/>
  <c r="AR14" i="6"/>
  <c r="AB184" i="6"/>
  <c r="T33" i="6"/>
  <c r="T144" i="6"/>
  <c r="U144" i="6" s="1"/>
  <c r="AR127" i="6"/>
  <c r="H128" i="6"/>
  <c r="AV154" i="6"/>
  <c r="P160" i="6"/>
  <c r="Q160" i="6" s="1"/>
  <c r="T153" i="6"/>
  <c r="U153" i="6" s="1"/>
  <c r="X115" i="6"/>
  <c r="Z115" i="6" s="1"/>
  <c r="P178" i="6"/>
  <c r="Q178" i="6" s="1"/>
  <c r="H57" i="5"/>
  <c r="AJ18" i="6"/>
  <c r="AK18" i="6" s="1"/>
  <c r="AJ22" i="6"/>
  <c r="AL22" i="6" s="1"/>
  <c r="AB7" i="6"/>
  <c r="AC7" i="6" s="1"/>
  <c r="L148" i="6"/>
  <c r="H79" i="6"/>
  <c r="P107" i="6"/>
  <c r="H221" i="5"/>
  <c r="AF38" i="6"/>
  <c r="H41" i="5"/>
  <c r="AF112" i="6"/>
  <c r="AH112" i="6" s="1"/>
  <c r="L112" i="6"/>
  <c r="H179" i="5"/>
  <c r="AF152" i="6"/>
  <c r="AH152" i="6" s="1"/>
  <c r="AN77" i="6"/>
  <c r="P132" i="6"/>
  <c r="AN85" i="6"/>
  <c r="AN6" i="6"/>
  <c r="H44" i="6"/>
  <c r="H64" i="5"/>
  <c r="AV159" i="6"/>
  <c r="AF3" i="7"/>
  <c r="AH3" i="7" s="1"/>
  <c r="L175" i="6"/>
  <c r="N175" i="6" s="1"/>
  <c r="L152" i="6"/>
  <c r="N152" i="6" s="1"/>
  <c r="AN163" i="6"/>
  <c r="X139" i="6"/>
  <c r="Z139" i="6" s="1"/>
  <c r="AN128" i="6"/>
  <c r="AP128" i="6" s="1"/>
  <c r="H68" i="5"/>
  <c r="AF86" i="6"/>
  <c r="AH86" i="6" s="1"/>
  <c r="H187" i="6"/>
  <c r="AJ35" i="6"/>
  <c r="AL35" i="6" s="1"/>
  <c r="P7" i="6"/>
  <c r="L60" i="6"/>
  <c r="AN9" i="6"/>
  <c r="H150" i="6"/>
  <c r="AR153" i="6"/>
  <c r="AV31" i="6"/>
  <c r="P57" i="6"/>
  <c r="R57" i="6" s="1"/>
  <c r="AR40" i="6"/>
  <c r="AN5" i="6"/>
  <c r="H22" i="5"/>
  <c r="AJ82" i="6"/>
  <c r="AL82" i="6" s="1"/>
  <c r="P81" i="6"/>
  <c r="R81" i="6" s="1"/>
  <c r="L114" i="6"/>
  <c r="AB117" i="6"/>
  <c r="P8" i="6"/>
  <c r="Q8" i="6" s="1"/>
  <c r="AN73" i="6"/>
  <c r="AB55" i="6"/>
  <c r="AC55" i="6" s="1"/>
  <c r="P46" i="6"/>
  <c r="Q46" i="6" s="1"/>
  <c r="AV148" i="6"/>
  <c r="L173" i="6"/>
  <c r="N173" i="6" s="1"/>
  <c r="AF171" i="6"/>
  <c r="AR139" i="6"/>
  <c r="H80" i="6"/>
  <c r="H19" i="6"/>
  <c r="H165" i="5"/>
  <c r="AV102" i="6"/>
  <c r="AV169" i="6"/>
  <c r="H169" i="6"/>
  <c r="AB163" i="6"/>
  <c r="AC163" i="6" s="1"/>
  <c r="L182" i="6"/>
  <c r="L159" i="6"/>
  <c r="M159" i="6" s="1"/>
  <c r="P16" i="6"/>
  <c r="AN34" i="6"/>
  <c r="AP34" i="6" s="1"/>
  <c r="H148" i="5"/>
  <c r="H111" i="5"/>
  <c r="AF111" i="6"/>
  <c r="AH111" i="6" s="1"/>
  <c r="AB79" i="6"/>
  <c r="L82" i="6"/>
  <c r="N82" i="6" s="1"/>
  <c r="X101" i="6"/>
  <c r="Z101" i="6" s="1"/>
  <c r="AJ19" i="6"/>
  <c r="AL19" i="6" s="1"/>
  <c r="X179" i="6"/>
  <c r="Y179" i="6" s="1"/>
  <c r="AN80" i="6"/>
  <c r="AO80" i="6" s="1"/>
  <c r="AV19" i="6"/>
  <c r="AB157" i="6"/>
  <c r="AC157" i="6" s="1"/>
  <c r="AJ61" i="6"/>
  <c r="AK61" i="6" s="1"/>
  <c r="T87" i="6"/>
  <c r="AN166" i="6"/>
  <c r="AO166" i="6" s="1"/>
  <c r="AN139" i="6"/>
  <c r="AO139" i="6" s="1"/>
  <c r="H164" i="6"/>
  <c r="H29" i="6"/>
  <c r="AF156" i="6"/>
  <c r="AG156" i="6" s="1"/>
  <c r="AB167" i="6"/>
  <c r="AD167" i="6" s="1"/>
  <c r="H35" i="5"/>
  <c r="AR182" i="6"/>
  <c r="H73" i="5"/>
  <c r="X37" i="6"/>
  <c r="L3" i="5"/>
  <c r="T3" i="6"/>
  <c r="U3" i="6" s="1"/>
  <c r="L25" i="6"/>
  <c r="N25" i="6" s="1"/>
  <c r="H5" i="5"/>
  <c r="L72" i="6"/>
  <c r="N72" i="6" s="1"/>
  <c r="AJ148" i="6"/>
  <c r="AL148" i="6" s="1"/>
  <c r="AB168" i="6"/>
  <c r="AD168" i="6" s="1"/>
  <c r="AB32" i="6"/>
  <c r="L135" i="6"/>
  <c r="AR130" i="6"/>
  <c r="T133" i="6"/>
  <c r="V133" i="6" s="1"/>
  <c r="X120" i="6"/>
  <c r="AV193" i="6"/>
  <c r="L88" i="6"/>
  <c r="N88" i="6" s="1"/>
  <c r="AN87" i="6"/>
  <c r="L129" i="6"/>
  <c r="N129" i="6" s="1"/>
  <c r="AR137" i="6"/>
  <c r="L12" i="6"/>
  <c r="N12" i="6" s="1"/>
  <c r="T23" i="6"/>
  <c r="U23" i="6" s="1"/>
  <c r="AJ155" i="6"/>
  <c r="AL155" i="6" s="1"/>
  <c r="H115" i="5"/>
  <c r="AN178" i="6"/>
  <c r="P188" i="6"/>
  <c r="R188" i="6" s="1"/>
  <c r="T40" i="6"/>
  <c r="V40" i="6" s="1"/>
  <c r="AR117" i="6"/>
  <c r="AJ5" i="6"/>
  <c r="AR116" i="6"/>
  <c r="AR22" i="6"/>
  <c r="H72" i="5"/>
  <c r="X148" i="6"/>
  <c r="X93" i="6"/>
  <c r="Z93" i="6" s="1"/>
  <c r="AR110" i="6"/>
  <c r="T89" i="6"/>
  <c r="AF26" i="6"/>
  <c r="T194" i="6"/>
  <c r="U194" i="6" s="1"/>
  <c r="AR38" i="6"/>
  <c r="H19" i="5"/>
  <c r="AR136" i="6"/>
  <c r="X77" i="6"/>
  <c r="AV45" i="6"/>
  <c r="L163" i="6"/>
  <c r="AV17" i="6"/>
  <c r="AJ121" i="6"/>
  <c r="AK121" i="6" s="1"/>
  <c r="T16" i="6"/>
  <c r="U16" i="6" s="1"/>
  <c r="AB113" i="6"/>
  <c r="AC113" i="6" s="1"/>
  <c r="AJ25" i="6"/>
  <c r="AK25" i="6" s="1"/>
  <c r="H6" i="5"/>
  <c r="H107" i="6"/>
  <c r="T135" i="6"/>
  <c r="V135" i="6" s="1"/>
  <c r="AR135" i="6"/>
  <c r="X82" i="6"/>
  <c r="Y82" i="6" s="1"/>
  <c r="P118" i="6"/>
  <c r="P9" i="6"/>
  <c r="AR120" i="6"/>
  <c r="L194" i="6"/>
  <c r="AV194" i="6"/>
  <c r="P74" i="6"/>
  <c r="R74" i="6" s="1"/>
  <c r="X36" i="6"/>
  <c r="Z36" i="6" s="1"/>
  <c r="AR61" i="6"/>
  <c r="X38" i="6"/>
  <c r="Z38" i="6" s="1"/>
  <c r="AN41" i="6"/>
  <c r="AJ101" i="6"/>
  <c r="H169" i="5"/>
  <c r="AR129" i="6"/>
  <c r="H80" i="5"/>
  <c r="H147" i="5"/>
  <c r="AJ23" i="6"/>
  <c r="AL23" i="6" s="1"/>
  <c r="AJ81" i="6"/>
  <c r="AL81" i="6" s="1"/>
  <c r="T182" i="6"/>
  <c r="P14" i="6"/>
  <c r="Q14" i="6" s="1"/>
  <c r="AB3" i="7"/>
  <c r="AC3" i="7" s="1"/>
  <c r="H3" i="7"/>
  <c r="AN84" i="6"/>
  <c r="AR25" i="6"/>
  <c r="P5" i="6"/>
  <c r="L33" i="6"/>
  <c r="M33" i="6" s="1"/>
  <c r="L97" i="6"/>
  <c r="L142" i="6"/>
  <c r="M142" i="6" s="1"/>
  <c r="AF133" i="6"/>
  <c r="H96" i="6"/>
  <c r="AR150" i="6"/>
  <c r="T57" i="6"/>
  <c r="V57" i="6" s="1"/>
  <c r="H22" i="6"/>
  <c r="AN194" i="6"/>
  <c r="AJ165" i="6"/>
  <c r="AK165" i="6" s="1"/>
  <c r="X108" i="6"/>
  <c r="Z108" i="6" s="1"/>
  <c r="P170" i="6"/>
  <c r="R170" i="6" s="1"/>
  <c r="T152" i="6"/>
  <c r="V152" i="6" s="1"/>
  <c r="AV74" i="6"/>
  <c r="AV122" i="6"/>
  <c r="AV71" i="6"/>
  <c r="P136" i="6"/>
  <c r="R136" i="6" s="1"/>
  <c r="H95" i="5"/>
  <c r="AF166" i="6"/>
  <c r="AG166" i="6" s="1"/>
  <c r="X166" i="6"/>
  <c r="Y166" i="6" s="1"/>
  <c r="AJ17" i="6"/>
  <c r="AL17" i="6" s="1"/>
  <c r="H139" i="5"/>
  <c r="AF29" i="6"/>
  <c r="AH29" i="6" s="1"/>
  <c r="L30" i="6"/>
  <c r="N30" i="6" s="1"/>
  <c r="AB12" i="6"/>
  <c r="AD12" i="6" s="1"/>
  <c r="AF186" i="6"/>
  <c r="AH186" i="6" s="1"/>
  <c r="T186" i="6"/>
  <c r="U186" i="6" s="1"/>
  <c r="AF155" i="6"/>
  <c r="AH155" i="6" s="1"/>
  <c r="AB24" i="6"/>
  <c r="AD24" i="6" s="1"/>
  <c r="H154" i="6"/>
  <c r="P35" i="6"/>
  <c r="AR143" i="6"/>
  <c r="P73" i="6"/>
  <c r="Q73" i="6" s="1"/>
  <c r="AJ117" i="6"/>
  <c r="AK117" i="6" s="1"/>
  <c r="AR58" i="6"/>
  <c r="AF92" i="6"/>
  <c r="T106" i="6"/>
  <c r="U106" i="6" s="1"/>
  <c r="AR118" i="6"/>
  <c r="AJ9" i="6"/>
  <c r="L120" i="6"/>
  <c r="H194" i="5"/>
  <c r="AR41" i="6"/>
  <c r="AN129" i="6"/>
  <c r="AV30" i="6"/>
  <c r="AV12" i="6"/>
  <c r="L165" i="6"/>
  <c r="N165" i="6" s="1"/>
  <c r="AB193" i="6"/>
  <c r="AD193" i="6" s="1"/>
  <c r="AJ112" i="6"/>
  <c r="AK112" i="6" s="1"/>
  <c r="AB175" i="6"/>
  <c r="AR171" i="6"/>
  <c r="AJ170" i="6"/>
  <c r="AK170" i="6" s="1"/>
  <c r="X162" i="6"/>
  <c r="Y162" i="6" s="1"/>
  <c r="AJ39" i="6"/>
  <c r="AK39" i="6" s="1"/>
  <c r="AJ171" i="6"/>
  <c r="AL171" i="6" s="1"/>
  <c r="H171" i="5"/>
  <c r="H36" i="5"/>
  <c r="P175" i="6"/>
  <c r="R175" i="6" s="1"/>
  <c r="T45" i="6"/>
  <c r="V45" i="6" s="1"/>
  <c r="AR102" i="6"/>
  <c r="AB87" i="6"/>
  <c r="AD87" i="6" s="1"/>
  <c r="H76" i="5"/>
  <c r="AB147" i="6"/>
  <c r="AC147" i="6" s="1"/>
  <c r="T19" i="6"/>
  <c r="U19" i="6" s="1"/>
  <c r="H71" i="6"/>
  <c r="AB165" i="6"/>
  <c r="AD165" i="6" s="1"/>
  <c r="AF173" i="6"/>
  <c r="AG173" i="6" s="1"/>
  <c r="P101" i="6"/>
  <c r="R101" i="6" s="1"/>
  <c r="AV76" i="6"/>
  <c r="H208" i="5"/>
  <c r="AJ136" i="6"/>
  <c r="AL136" i="6" s="1"/>
  <c r="AR175" i="6"/>
  <c r="T193" i="6"/>
  <c r="V193" i="6" s="1"/>
  <c r="AF102" i="6"/>
  <c r="AG102" i="6" s="1"/>
  <c r="AV179" i="6"/>
  <c r="L101" i="6"/>
  <c r="N101" i="6" s="1"/>
  <c r="AR88" i="6"/>
  <c r="AB61" i="6"/>
  <c r="AD61" i="6" s="1"/>
  <c r="L61" i="6"/>
  <c r="M61" i="6" s="1"/>
  <c r="AJ77" i="6"/>
  <c r="AL77" i="6" s="1"/>
  <c r="X44" i="6"/>
  <c r="Z44" i="6" s="1"/>
  <c r="X171" i="6"/>
  <c r="Y171" i="6" s="1"/>
  <c r="AN36" i="6"/>
  <c r="AO36" i="6" s="1"/>
  <c r="AF95" i="6"/>
  <c r="AJ137" i="6"/>
  <c r="AB137" i="6"/>
  <c r="AD137" i="6" s="1"/>
  <c r="H29" i="5"/>
  <c r="AV77" i="6"/>
  <c r="AJ45" i="6"/>
  <c r="AF134" i="6"/>
  <c r="AG134" i="6" s="1"/>
  <c r="L10" i="6"/>
  <c r="M10" i="6" s="1"/>
  <c r="H12" i="6"/>
  <c r="P86" i="6"/>
  <c r="Q86" i="6" s="1"/>
  <c r="AN71" i="6"/>
  <c r="AO71" i="6" s="1"/>
  <c r="AV157" i="6"/>
  <c r="H108" i="6"/>
  <c r="AJ102" i="6"/>
  <c r="AL102" i="6" s="1"/>
  <c r="L170" i="6"/>
  <c r="M170" i="6" s="1"/>
  <c r="X88" i="6"/>
  <c r="Y88" i="6" s="1"/>
  <c r="H166" i="6"/>
  <c r="AF162" i="6"/>
  <c r="AH162" i="6" s="1"/>
  <c r="AB170" i="6"/>
  <c r="AD170" i="6" s="1"/>
  <c r="AR101" i="6"/>
  <c r="AJ88" i="6"/>
  <c r="AL88" i="6" s="1"/>
  <c r="L76" i="6"/>
  <c r="M76" i="6" s="1"/>
  <c r="AB169" i="6"/>
  <c r="AC169" i="6" s="1"/>
  <c r="AV44" i="6"/>
  <c r="H44" i="5"/>
  <c r="AF163" i="6"/>
  <c r="AH163" i="6" s="1"/>
  <c r="H137" i="6"/>
  <c r="AF80" i="6"/>
  <c r="AG80" i="6" s="1"/>
  <c r="AB176" i="6"/>
  <c r="AC176" i="6" s="1"/>
  <c r="AR152" i="6"/>
  <c r="T179" i="6"/>
  <c r="V179" i="6" s="1"/>
  <c r="AJ105" i="6"/>
  <c r="AF169" i="6"/>
  <c r="AH169" i="6" s="1"/>
  <c r="AR164" i="6"/>
  <c r="AV170" i="6"/>
  <c r="L87" i="6"/>
  <c r="L77" i="6"/>
  <c r="M77" i="6" s="1"/>
  <c r="T105" i="6"/>
  <c r="U105" i="6" s="1"/>
  <c r="AB17" i="6"/>
  <c r="AC17" i="6" s="1"/>
  <c r="AV80" i="6"/>
  <c r="P71" i="6"/>
  <c r="Q71" i="6" s="1"/>
  <c r="AR160" i="6"/>
  <c r="AF154" i="6"/>
  <c r="AR35" i="6"/>
  <c r="T129" i="6"/>
  <c r="L134" i="6"/>
  <c r="M134" i="6" s="1"/>
  <c r="H139" i="6"/>
  <c r="L176" i="6"/>
  <c r="M176" i="6" s="1"/>
  <c r="AR10" i="6"/>
  <c r="AJ99" i="6"/>
  <c r="AK99" i="6" s="1"/>
  <c r="P147" i="6"/>
  <c r="Q147" i="6" s="1"/>
  <c r="P122" i="6"/>
  <c r="Q122" i="6" s="1"/>
  <c r="H81" i="5"/>
  <c r="H68" i="6"/>
  <c r="AR86" i="6"/>
  <c r="X138" i="6"/>
  <c r="Z138" i="6" s="1"/>
  <c r="L187" i="6"/>
  <c r="N187" i="6" s="1"/>
  <c r="AJ24" i="6"/>
  <c r="AL24" i="6" s="1"/>
  <c r="P24" i="6"/>
  <c r="R24" i="6" s="1"/>
  <c r="H102" i="6"/>
  <c r="AJ179" i="6"/>
  <c r="AK179" i="6" s="1"/>
  <c r="H77" i="5"/>
  <c r="T76" i="6"/>
  <c r="U76" i="6" s="1"/>
  <c r="AN95" i="6"/>
  <c r="AO95" i="6" s="1"/>
  <c r="AR45" i="6"/>
  <c r="P17" i="6"/>
  <c r="AV137" i="6"/>
  <c r="AN164" i="6"/>
  <c r="AP164" i="6" s="1"/>
  <c r="T30" i="6"/>
  <c r="U30" i="6" s="1"/>
  <c r="AV162" i="6"/>
  <c r="L39" i="6"/>
  <c r="N39" i="6" s="1"/>
  <c r="AF128" i="6"/>
  <c r="H155" i="6"/>
  <c r="AB154" i="6"/>
  <c r="AC154" i="6" s="1"/>
  <c r="P121" i="6"/>
  <c r="R121" i="6" s="1"/>
  <c r="AN55" i="6"/>
  <c r="AP55" i="6" s="1"/>
  <c r="H35" i="6"/>
  <c r="P119" i="6"/>
  <c r="Q119" i="6" s="1"/>
  <c r="AB178" i="6"/>
  <c r="AC178" i="6" s="1"/>
  <c r="AR68" i="6"/>
  <c r="L138" i="6"/>
  <c r="N138" i="6" s="1"/>
  <c r="H155" i="5"/>
  <c r="AR154" i="6"/>
  <c r="AN64" i="6"/>
  <c r="AO64" i="6" s="1"/>
  <c r="AR84" i="6"/>
  <c r="AN17" i="6"/>
  <c r="P39" i="6"/>
  <c r="Q39" i="6" s="1"/>
  <c r="AV67" i="6"/>
  <c r="AN186" i="6"/>
  <c r="AP186" i="6" s="1"/>
  <c r="L156" i="6"/>
  <c r="M156" i="6" s="1"/>
  <c r="AF55" i="6"/>
  <c r="AH55" i="6" s="1"/>
  <c r="H105" i="5"/>
  <c r="P105" i="6"/>
  <c r="R105" i="6" s="1"/>
  <c r="AV95" i="6"/>
  <c r="X95" i="6"/>
  <c r="Y95" i="6" s="1"/>
  <c r="AN74" i="6"/>
  <c r="AP74" i="6" s="1"/>
  <c r="AN44" i="6"/>
  <c r="AO44" i="6" s="1"/>
  <c r="T44" i="6"/>
  <c r="V44" i="6" s="1"/>
  <c r="T137" i="6"/>
  <c r="U137" i="6" s="1"/>
  <c r="AF139" i="6"/>
  <c r="AG139" i="6" s="1"/>
  <c r="P164" i="6"/>
  <c r="R164" i="6" s="1"/>
  <c r="X80" i="6"/>
  <c r="Z80" i="6" s="1"/>
  <c r="P127" i="6"/>
  <c r="R127" i="6" s="1"/>
  <c r="AF30" i="6"/>
  <c r="AG30" i="6" s="1"/>
  <c r="L162" i="6"/>
  <c r="M162" i="6" s="1"/>
  <c r="AJ147" i="6"/>
  <c r="AK147" i="6" s="1"/>
  <c r="AJ122" i="6"/>
  <c r="AB81" i="6"/>
  <c r="AC81" i="6" s="1"/>
  <c r="AV39" i="6"/>
  <c r="L128" i="6"/>
  <c r="M128" i="6" s="1"/>
  <c r="AV161" i="6"/>
  <c r="AB67" i="6"/>
  <c r="AC67" i="6" s="1"/>
  <c r="X86" i="6"/>
  <c r="Z86" i="6" s="1"/>
  <c r="H222" i="5"/>
  <c r="H167" i="5"/>
  <c r="X160" i="6"/>
  <c r="Y160" i="6" s="1"/>
  <c r="AR119" i="6"/>
  <c r="AF159" i="6"/>
  <c r="AG159" i="6" s="1"/>
  <c r="H8" i="6"/>
  <c r="AB143" i="6"/>
  <c r="AC143" i="6" s="1"/>
  <c r="AJ178" i="6"/>
  <c r="AN16" i="6"/>
  <c r="AO16" i="6" s="1"/>
  <c r="L155" i="6"/>
  <c r="M155" i="6" s="1"/>
  <c r="H177" i="5"/>
  <c r="T177" i="6"/>
  <c r="V177" i="6" s="1"/>
  <c r="AR167" i="6"/>
  <c r="AN121" i="6"/>
  <c r="AP121" i="6" s="1"/>
  <c r="H64" i="6"/>
  <c r="H160" i="5"/>
  <c r="AV119" i="6"/>
  <c r="AV153" i="6"/>
  <c r="X153" i="6"/>
  <c r="Y153" i="6" s="1"/>
  <c r="P159" i="6"/>
  <c r="Q159" i="6" s="1"/>
  <c r="T115" i="6"/>
  <c r="V115" i="6" s="1"/>
  <c r="H16" i="5"/>
  <c r="L132" i="6"/>
  <c r="M132" i="6" s="1"/>
  <c r="X188" i="6"/>
  <c r="Y188" i="6" s="1"/>
  <c r="H39" i="5"/>
  <c r="AV128" i="6"/>
  <c r="AX128" i="6" s="1"/>
  <c r="AR8" i="6"/>
  <c r="L15" i="6"/>
  <c r="M15" i="6" s="1"/>
  <c r="T128" i="6"/>
  <c r="U128" i="6" s="1"/>
  <c r="AF138" i="6"/>
  <c r="AG138" i="6" s="1"/>
  <c r="X155" i="6"/>
  <c r="Y155" i="6" s="1"/>
  <c r="AB121" i="6"/>
  <c r="AD121" i="6" s="1"/>
  <c r="X64" i="6"/>
  <c r="Z64" i="6" s="1"/>
  <c r="AF160" i="6"/>
  <c r="AG160" i="6" s="1"/>
  <c r="X55" i="6"/>
  <c r="Z55" i="6" s="1"/>
  <c r="AB35" i="6"/>
  <c r="AC35" i="6" s="1"/>
  <c r="AF150" i="6"/>
  <c r="AG150" i="6" s="1"/>
  <c r="H210" i="5"/>
  <c r="P153" i="6"/>
  <c r="Q153" i="6" s="1"/>
  <c r="T12" i="6"/>
  <c r="U12" i="6" s="1"/>
  <c r="AV99" i="6"/>
  <c r="X122" i="6"/>
  <c r="Y122" i="6" s="1"/>
  <c r="H23" i="5"/>
  <c r="AN161" i="6"/>
  <c r="AP161" i="6" s="1"/>
  <c r="AB161" i="6"/>
  <c r="AC161" i="6" s="1"/>
  <c r="X68" i="6"/>
  <c r="Z68" i="6" s="1"/>
  <c r="AN187" i="6"/>
  <c r="AT187" i="6" s="1"/>
  <c r="AR96" i="6"/>
  <c r="P64" i="6"/>
  <c r="R64" i="6" s="1"/>
  <c r="H55" i="6"/>
  <c r="AN150" i="6"/>
  <c r="AP150" i="6" s="1"/>
  <c r="H119" i="5"/>
  <c r="L8" i="6"/>
  <c r="M8" i="6" s="1"/>
  <c r="H178" i="5"/>
  <c r="L37" i="6"/>
  <c r="N37" i="6" s="1"/>
  <c r="L3" i="6"/>
  <c r="N3" i="6" s="1"/>
  <c r="P99" i="6"/>
  <c r="H67" i="6"/>
  <c r="H186" i="5"/>
  <c r="AV138" i="6"/>
  <c r="AB177" i="6"/>
  <c r="AC177" i="6" s="1"/>
  <c r="P154" i="6"/>
  <c r="Q154" i="6" s="1"/>
  <c r="T143" i="6"/>
  <c r="L3" i="7"/>
  <c r="M3" i="7" s="1"/>
  <c r="AJ113" i="6"/>
  <c r="AL113" i="6" s="1"/>
  <c r="T84" i="6"/>
  <c r="V84" i="6" s="1"/>
  <c r="AJ40" i="6"/>
  <c r="AL40" i="6" s="1"/>
  <c r="AV111" i="6"/>
  <c r="AR81" i="6"/>
  <c r="L161" i="6"/>
  <c r="AN138" i="6"/>
  <c r="AS138" i="6" s="1"/>
  <c r="AB187" i="6"/>
  <c r="AV156" i="6"/>
  <c r="T155" i="6"/>
  <c r="U155" i="6" s="1"/>
  <c r="AV177" i="6"/>
  <c r="AR24" i="6"/>
  <c r="AF96" i="6"/>
  <c r="AH96" i="6" s="1"/>
  <c r="L160" i="6"/>
  <c r="N160" i="6" s="1"/>
  <c r="AJ153" i="6"/>
  <c r="AL153" i="6" s="1"/>
  <c r="X180" i="6"/>
  <c r="Z180" i="6" s="1"/>
  <c r="AV188" i="6"/>
  <c r="T5" i="6"/>
  <c r="V5" i="6" s="1"/>
  <c r="H85" i="5"/>
  <c r="AJ7" i="6"/>
  <c r="H110" i="5"/>
  <c r="AN133" i="6"/>
  <c r="AV83" i="6"/>
  <c r="H56" i="6"/>
  <c r="AN31" i="6"/>
  <c r="AO31" i="6" s="1"/>
  <c r="H31" i="6"/>
  <c r="H75" i="6"/>
  <c r="AB75" i="6"/>
  <c r="AC75" i="6" s="1"/>
  <c r="AR114" i="6"/>
  <c r="T188" i="6"/>
  <c r="U188" i="6" s="1"/>
  <c r="T117" i="6"/>
  <c r="U117" i="6" s="1"/>
  <c r="H205" i="5"/>
  <c r="X34" i="6"/>
  <c r="Y34" i="6" s="1"/>
  <c r="AJ15" i="6"/>
  <c r="AK15" i="6" s="1"/>
  <c r="X7" i="6"/>
  <c r="Y7" i="6" s="1"/>
  <c r="AR184" i="6"/>
  <c r="X60" i="6"/>
  <c r="X97" i="6"/>
  <c r="Y97" i="6" s="1"/>
  <c r="P142" i="6"/>
  <c r="AR142" i="6"/>
  <c r="AV158" i="6"/>
  <c r="AV79" i="6"/>
  <c r="AV6" i="6"/>
  <c r="H180" i="5"/>
  <c r="H213" i="5"/>
  <c r="P145" i="6"/>
  <c r="R145" i="6" s="1"/>
  <c r="AN89" i="6"/>
  <c r="L118" i="6"/>
  <c r="M118" i="6" s="1"/>
  <c r="T56" i="6"/>
  <c r="U56" i="6" s="1"/>
  <c r="AB107" i="6"/>
  <c r="AR188" i="6"/>
  <c r="AJ33" i="6"/>
  <c r="AL33" i="6" s="1"/>
  <c r="X158" i="6"/>
  <c r="L32" i="6"/>
  <c r="M32" i="6" s="1"/>
  <c r="X32" i="6"/>
  <c r="Z32" i="6" s="1"/>
  <c r="AB110" i="6"/>
  <c r="H110" i="6"/>
  <c r="AR82" i="6"/>
  <c r="X149" i="6"/>
  <c r="Z149" i="6" s="1"/>
  <c r="AN33" i="6"/>
  <c r="AO33" i="6" s="1"/>
  <c r="P69" i="6"/>
  <c r="Q69" i="6" s="1"/>
  <c r="L5" i="6"/>
  <c r="N5" i="6" s="1"/>
  <c r="P22" i="6"/>
  <c r="R22" i="6" s="1"/>
  <c r="H7" i="6"/>
  <c r="AJ60" i="6"/>
  <c r="AK60" i="6" s="1"/>
  <c r="AJ58" i="6"/>
  <c r="AL58" i="6" s="1"/>
  <c r="AB148" i="6"/>
  <c r="AC148" i="6" s="1"/>
  <c r="X144" i="6"/>
  <c r="Z144" i="6" s="1"/>
  <c r="AF158" i="6"/>
  <c r="AG158" i="6" s="1"/>
  <c r="AR32" i="6"/>
  <c r="T145" i="6"/>
  <c r="AF89" i="6"/>
  <c r="AG89" i="6" s="1"/>
  <c r="T118" i="6"/>
  <c r="AB56" i="6"/>
  <c r="AC56" i="6" s="1"/>
  <c r="H37" i="6"/>
  <c r="H57" i="6"/>
  <c r="AV75" i="6"/>
  <c r="AV132" i="6"/>
  <c r="L188" i="6"/>
  <c r="M188" i="6" s="1"/>
  <c r="T113" i="6"/>
  <c r="U113" i="6" s="1"/>
  <c r="AB84" i="6"/>
  <c r="AD84" i="6" s="1"/>
  <c r="AR46" i="6"/>
  <c r="P40" i="6"/>
  <c r="R40" i="6" s="1"/>
  <c r="AF5" i="6"/>
  <c r="AH5" i="6" s="1"/>
  <c r="H34" i="6"/>
  <c r="AB15" i="6"/>
  <c r="AD15" i="6" s="1"/>
  <c r="AB85" i="6"/>
  <c r="AC85" i="6" s="1"/>
  <c r="T58" i="6"/>
  <c r="V58" i="6" s="1"/>
  <c r="AJ72" i="6"/>
  <c r="AL72" i="6" s="1"/>
  <c r="AV92" i="6"/>
  <c r="T148" i="6"/>
  <c r="V148" i="6" s="1"/>
  <c r="X63" i="6"/>
  <c r="Y63" i="6" s="1"/>
  <c r="AN63" i="6"/>
  <c r="AO63" i="6" s="1"/>
  <c r="L6" i="6"/>
  <c r="N6" i="6" s="1"/>
  <c r="H203" i="5"/>
  <c r="H32" i="5"/>
  <c r="AF93" i="6"/>
  <c r="P93" i="6"/>
  <c r="R93" i="6" s="1"/>
  <c r="AJ130" i="6"/>
  <c r="AB133" i="6"/>
  <c r="AC133" i="6" s="1"/>
  <c r="AF82" i="6"/>
  <c r="AH82" i="6" s="1"/>
  <c r="H89" i="6"/>
  <c r="H26" i="6"/>
  <c r="H83" i="5"/>
  <c r="AB194" i="6"/>
  <c r="AC194" i="6" s="1"/>
  <c r="H194" i="6"/>
  <c r="AF22" i="6"/>
  <c r="AH22" i="6" s="1"/>
  <c r="AV15" i="6"/>
  <c r="AB58" i="6"/>
  <c r="AD58" i="6" s="1"/>
  <c r="H97" i="5"/>
  <c r="L89" i="6"/>
  <c r="AR26" i="6"/>
  <c r="H58" i="6"/>
  <c r="X79" i="6"/>
  <c r="Z79" i="6" s="1"/>
  <c r="AV130" i="6"/>
  <c r="H145" i="5"/>
  <c r="AF4" i="6"/>
  <c r="AG4" i="6" s="1"/>
  <c r="T83" i="6"/>
  <c r="U83" i="6" s="1"/>
  <c r="AB83" i="6"/>
  <c r="AC83" i="6" s="1"/>
  <c r="L149" i="6"/>
  <c r="M149" i="6" s="1"/>
  <c r="AF9" i="6"/>
  <c r="AG9" i="6" s="1"/>
  <c r="AV56" i="6"/>
  <c r="P115" i="6"/>
  <c r="R115" i="6" s="1"/>
  <c r="AN143" i="6"/>
  <c r="AO143" i="6" s="1"/>
  <c r="L73" i="6"/>
  <c r="N73" i="6" s="1"/>
  <c r="AV16" i="6"/>
  <c r="L16" i="6"/>
  <c r="X14" i="6"/>
  <c r="Z14" i="6" s="1"/>
  <c r="AB114" i="6"/>
  <c r="AC114" i="6" s="1"/>
  <c r="H69" i="5"/>
  <c r="H188" i="5"/>
  <c r="H46" i="5"/>
  <c r="AV40" i="6"/>
  <c r="P116" i="6"/>
  <c r="Q116" i="6" s="1"/>
  <c r="AJ34" i="6"/>
  <c r="AL34" i="6" s="1"/>
  <c r="T92" i="6"/>
  <c r="H144" i="6"/>
  <c r="H158" i="5"/>
  <c r="H79" i="5"/>
  <c r="T180" i="6"/>
  <c r="V180" i="6" s="1"/>
  <c r="AB135" i="6"/>
  <c r="AC135" i="6" s="1"/>
  <c r="AV149" i="6"/>
  <c r="T111" i="6"/>
  <c r="AF142" i="6"/>
  <c r="P158" i="6"/>
  <c r="Q158" i="6" s="1"/>
  <c r="AN79" i="6"/>
  <c r="AO79" i="6" s="1"/>
  <c r="AN106" i="6"/>
  <c r="L107" i="6"/>
  <c r="X26" i="6"/>
  <c r="H83" i="6"/>
  <c r="AR144" i="6"/>
  <c r="AR180" i="6"/>
  <c r="X106" i="6"/>
  <c r="Z106" i="6" s="1"/>
  <c r="AF145" i="6"/>
  <c r="AB118" i="6"/>
  <c r="AC118" i="6" s="1"/>
  <c r="AN26" i="6"/>
  <c r="AP26" i="6" s="1"/>
  <c r="H120" i="5"/>
  <c r="L178" i="6"/>
  <c r="AJ73" i="6"/>
  <c r="AK73" i="6" s="1"/>
  <c r="AJ31" i="6"/>
  <c r="AL31" i="6" s="1"/>
  <c r="AN14" i="6"/>
  <c r="AJ57" i="6"/>
  <c r="AK57" i="6" s="1"/>
  <c r="P75" i="6"/>
  <c r="R75" i="6" s="1"/>
  <c r="AJ114" i="6"/>
  <c r="AV69" i="6"/>
  <c r="H3" i="6"/>
  <c r="X132" i="6"/>
  <c r="Z132" i="6" s="1"/>
  <c r="AV113" i="6"/>
  <c r="T46" i="6"/>
  <c r="V46" i="6" s="1"/>
  <c r="AB40" i="6"/>
  <c r="AD40" i="6" s="1"/>
  <c r="L117" i="6"/>
  <c r="M117" i="6" s="1"/>
  <c r="AN116" i="6"/>
  <c r="AP116" i="6" s="1"/>
  <c r="H15" i="6"/>
  <c r="L184" i="6"/>
  <c r="N184" i="6" s="1"/>
  <c r="P33" i="6"/>
  <c r="AR97" i="6"/>
  <c r="AR168" i="6"/>
  <c r="H158" i="6"/>
  <c r="AB6" i="6"/>
  <c r="AC6" i="6" s="1"/>
  <c r="AJ180" i="6"/>
  <c r="AK180" i="6" s="1"/>
  <c r="L180" i="6"/>
  <c r="N180" i="6" s="1"/>
  <c r="H106" i="6"/>
  <c r="AN107" i="6"/>
  <c r="AV107" i="6"/>
  <c r="AJ135" i="6"/>
  <c r="AK135" i="6" s="1"/>
  <c r="H130" i="5"/>
  <c r="H130" i="6"/>
  <c r="T110" i="6"/>
  <c r="V110" i="6" s="1"/>
  <c r="H149" i="6"/>
  <c r="L4" i="6"/>
  <c r="N4" i="6" s="1"/>
  <c r="X4" i="6"/>
  <c r="Z4" i="6" s="1"/>
  <c r="X9" i="6"/>
  <c r="Y9" i="6" s="1"/>
  <c r="AR56" i="6"/>
  <c r="H93" i="5"/>
  <c r="AF110" i="6"/>
  <c r="AV82" i="6"/>
  <c r="AV89" i="6"/>
  <c r="Q171" i="6"/>
  <c r="R171" i="6"/>
  <c r="AF165" i="6"/>
  <c r="H136" i="6"/>
  <c r="X19" i="6"/>
  <c r="AB36" i="6"/>
  <c r="AJ157" i="6"/>
  <c r="P157" i="6"/>
  <c r="AJ173" i="6"/>
  <c r="AB112" i="6"/>
  <c r="L179" i="6"/>
  <c r="AB38" i="6"/>
  <c r="AF157" i="6"/>
  <c r="X173" i="6"/>
  <c r="T108" i="6"/>
  <c r="T41" i="6"/>
  <c r="AR193" i="6"/>
  <c r="H193" i="6"/>
  <c r="AN179" i="6"/>
  <c r="P152" i="6"/>
  <c r="AF101" i="6"/>
  <c r="H61" i="5"/>
  <c r="AR76" i="6"/>
  <c r="L44" i="6"/>
  <c r="P163" i="6"/>
  <c r="AB134" i="6"/>
  <c r="AV139" i="6"/>
  <c r="AF164" i="6"/>
  <c r="X176" i="6"/>
  <c r="AJ29" i="6"/>
  <c r="L29" i="6"/>
  <c r="AN127" i="6"/>
  <c r="AT127" i="6" s="1"/>
  <c r="H30" i="6"/>
  <c r="AR162" i="6"/>
  <c r="H209" i="5"/>
  <c r="AF12" i="6"/>
  <c r="L99" i="6"/>
  <c r="AV147" i="6"/>
  <c r="H122" i="6"/>
  <c r="AB23" i="6"/>
  <c r="AN81" i="6"/>
  <c r="H81" i="6"/>
  <c r="X67" i="6"/>
  <c r="AN86" i="6"/>
  <c r="X186" i="6"/>
  <c r="L186" i="6"/>
  <c r="T138" i="6"/>
  <c r="AN155" i="6"/>
  <c r="AF167" i="6"/>
  <c r="L154" i="6"/>
  <c r="H226" i="5"/>
  <c r="X96" i="6"/>
  <c r="AJ55" i="6"/>
  <c r="P150" i="6"/>
  <c r="L119" i="6"/>
  <c r="H119" i="6"/>
  <c r="H153" i="6"/>
  <c r="P182" i="6"/>
  <c r="AR115" i="6"/>
  <c r="AV143" i="6"/>
  <c r="X73" i="6"/>
  <c r="T73" i="6"/>
  <c r="AH136" i="6"/>
  <c r="M36" i="6"/>
  <c r="L38" i="6"/>
  <c r="AD19" i="6"/>
  <c r="AC19" i="6"/>
  <c r="AR19" i="6"/>
  <c r="AR165" i="6"/>
  <c r="AV36" i="6"/>
  <c r="H38" i="5"/>
  <c r="AN175" i="6"/>
  <c r="AT175" i="6" s="1"/>
  <c r="AB41" i="6"/>
  <c r="M152" i="6"/>
  <c r="P88" i="6"/>
  <c r="AV61" i="6"/>
  <c r="AR87" i="6"/>
  <c r="H87" i="6"/>
  <c r="AR77" i="6"/>
  <c r="AR105" i="6"/>
  <c r="AF76" i="6"/>
  <c r="X76" i="6"/>
  <c r="T95" i="6"/>
  <c r="AV129" i="6"/>
  <c r="H17" i="6"/>
  <c r="AB139" i="6"/>
  <c r="AJ164" i="6"/>
  <c r="P80" i="6"/>
  <c r="T162" i="6"/>
  <c r="R122" i="6"/>
  <c r="AC128" i="6"/>
  <c r="AD128" i="6"/>
  <c r="X161" i="6"/>
  <c r="AJ68" i="6"/>
  <c r="P67" i="6"/>
  <c r="H154" i="5"/>
  <c r="P96" i="6"/>
  <c r="T160" i="6"/>
  <c r="X150" i="6"/>
  <c r="T119" i="6"/>
  <c r="AJ8" i="6"/>
  <c r="AR73" i="6"/>
  <c r="AW73" i="6" s="1"/>
  <c r="L14" i="6"/>
  <c r="AV38" i="6"/>
  <c r="L157" i="6"/>
  <c r="AB173" i="6"/>
  <c r="Q175" i="6"/>
  <c r="AJ108" i="6"/>
  <c r="AJ193" i="6"/>
  <c r="X112" i="6"/>
  <c r="X152" i="6"/>
  <c r="L105" i="6"/>
  <c r="AB166" i="6"/>
  <c r="X169" i="6"/>
  <c r="X74" i="6"/>
  <c r="AN134" i="6"/>
  <c r="T139" i="6"/>
  <c r="L164" i="6"/>
  <c r="T29" i="6"/>
  <c r="AN30" i="6"/>
  <c r="AJ12" i="6"/>
  <c r="H128" i="5"/>
  <c r="P186" i="6"/>
  <c r="AJ187" i="6"/>
  <c r="X167" i="6"/>
  <c r="AN160" i="6"/>
  <c r="AJ150" i="6"/>
  <c r="AN182" i="6"/>
  <c r="AT182" i="6" s="1"/>
  <c r="X8" i="6"/>
  <c r="AF37" i="6"/>
  <c r="AR69" i="6"/>
  <c r="M113" i="6"/>
  <c r="N113" i="6"/>
  <c r="T165" i="6"/>
  <c r="P193" i="6"/>
  <c r="Z179" i="6"/>
  <c r="X61" i="6"/>
  <c r="AG87" i="6"/>
  <c r="AF45" i="6"/>
  <c r="AV29" i="6"/>
  <c r="X99" i="6"/>
  <c r="AF147" i="6"/>
  <c r="AJ128" i="6"/>
  <c r="X187" i="6"/>
  <c r="AJ156" i="6"/>
  <c r="T167" i="6"/>
  <c r="H24" i="5"/>
  <c r="AR121" i="6"/>
  <c r="P55" i="6"/>
  <c r="AF35" i="6"/>
  <c r="X119" i="6"/>
  <c r="L153" i="6"/>
  <c r="AF115" i="6"/>
  <c r="AR57" i="6"/>
  <c r="AR75" i="6"/>
  <c r="P179" i="6"/>
  <c r="H101" i="6"/>
  <c r="AP77" i="6"/>
  <c r="AO77" i="6"/>
  <c r="N95" i="6"/>
  <c r="M95" i="6"/>
  <c r="Z166" i="6"/>
  <c r="Y139" i="6"/>
  <c r="Y29" i="6"/>
  <c r="V67" i="6"/>
  <c r="U67" i="6"/>
  <c r="AB156" i="6"/>
  <c r="Q177" i="6"/>
  <c r="R177" i="6"/>
  <c r="N35" i="6"/>
  <c r="M35" i="6"/>
  <c r="X182" i="6"/>
  <c r="N182" i="6"/>
  <c r="M182" i="6"/>
  <c r="AB115" i="6"/>
  <c r="T178" i="6"/>
  <c r="H16" i="6"/>
  <c r="H31" i="5"/>
  <c r="AV14" i="6"/>
  <c r="AN75" i="6"/>
  <c r="AB108" i="6"/>
  <c r="AF41" i="6"/>
  <c r="H193" i="5"/>
  <c r="U102" i="6"/>
  <c r="V102" i="6"/>
  <c r="AR179" i="6"/>
  <c r="AJ87" i="6"/>
  <c r="T166" i="6"/>
  <c r="AV163" i="6"/>
  <c r="P134" i="6"/>
  <c r="U17" i="6"/>
  <c r="H17" i="5"/>
  <c r="P137" i="6"/>
  <c r="AJ139" i="6"/>
  <c r="N139" i="6"/>
  <c r="V164" i="6"/>
  <c r="H176" i="6"/>
  <c r="P10" i="6"/>
  <c r="AF10" i="6"/>
  <c r="AB162" i="6"/>
  <c r="AN99" i="6"/>
  <c r="L147" i="6"/>
  <c r="T122" i="6"/>
  <c r="AF23" i="6"/>
  <c r="AH81" i="6"/>
  <c r="AG81" i="6"/>
  <c r="AN39" i="6"/>
  <c r="P161" i="6"/>
  <c r="AV68" i="6"/>
  <c r="AB138" i="6"/>
  <c r="H156" i="5"/>
  <c r="AJ167" i="6"/>
  <c r="AN24" i="6"/>
  <c r="X154" i="6"/>
  <c r="H121" i="6"/>
  <c r="AV64" i="6"/>
  <c r="AB160" i="6"/>
  <c r="AB119" i="6"/>
  <c r="AJ182" i="6"/>
  <c r="N159" i="6"/>
  <c r="H159" i="5"/>
  <c r="R8" i="6"/>
  <c r="AV178" i="6"/>
  <c r="AF16" i="6"/>
  <c r="H18" i="5"/>
  <c r="L40" i="6"/>
  <c r="AH171" i="6"/>
  <c r="AG171" i="6"/>
  <c r="H36" i="6"/>
  <c r="X175" i="6"/>
  <c r="AF61" i="6"/>
  <c r="AV87" i="6"/>
  <c r="AV166" i="6"/>
  <c r="L169" i="6"/>
  <c r="L74" i="6"/>
  <c r="H45" i="5"/>
  <c r="H163" i="6"/>
  <c r="T134" i="6"/>
  <c r="P29" i="6"/>
  <c r="AV127" i="6"/>
  <c r="H10" i="5"/>
  <c r="P30" i="6"/>
  <c r="AV23" i="6"/>
  <c r="P128" i="6"/>
  <c r="T161" i="6"/>
  <c r="H86" i="6"/>
  <c r="H86" i="5"/>
  <c r="T156" i="6"/>
  <c r="AV167" i="6"/>
  <c r="T24" i="6"/>
  <c r="AF121" i="6"/>
  <c r="H96" i="5"/>
  <c r="AF64" i="6"/>
  <c r="AN119" i="6"/>
  <c r="AF182" i="6"/>
  <c r="AR159" i="6"/>
  <c r="AW159" i="6" s="1"/>
  <c r="H8" i="5"/>
  <c r="H229" i="5"/>
  <c r="AR178" i="6"/>
  <c r="T31" i="6"/>
  <c r="AF31" i="6"/>
  <c r="T14" i="6"/>
  <c r="AB37" i="6"/>
  <c r="T114" i="6"/>
  <c r="H3" i="5"/>
  <c r="AK136" i="6"/>
  <c r="AH99" i="6"/>
  <c r="AF39" i="6"/>
  <c r="U96" i="6"/>
  <c r="U55" i="6"/>
  <c r="AL178" i="6"/>
  <c r="AK178" i="6"/>
  <c r="U193" i="6"/>
  <c r="AK77" i="6"/>
  <c r="AR71" i="6"/>
  <c r="T71" i="6"/>
  <c r="P165" i="6"/>
  <c r="X136" i="6"/>
  <c r="AN136" i="6"/>
  <c r="AS136" i="6" s="1"/>
  <c r="H157" i="6"/>
  <c r="AV175" i="6"/>
  <c r="T175" i="6"/>
  <c r="AV41" i="6"/>
  <c r="AN112" i="6"/>
  <c r="AF170" i="6"/>
  <c r="T101" i="6"/>
  <c r="H88" i="6"/>
  <c r="AN61" i="6"/>
  <c r="P61" i="6"/>
  <c r="AB77" i="6"/>
  <c r="AJ95" i="6"/>
  <c r="AR166" i="6"/>
  <c r="H74" i="5"/>
  <c r="AF129" i="6"/>
  <c r="H45" i="6"/>
  <c r="T163" i="6"/>
  <c r="AV134" i="6"/>
  <c r="L137" i="6"/>
  <c r="AT139" i="6"/>
  <c r="AS139" i="6"/>
  <c r="H164" i="5"/>
  <c r="AR80" i="6"/>
  <c r="L80" i="6"/>
  <c r="AR29" i="6"/>
  <c r="AB10" i="6"/>
  <c r="H147" i="6"/>
  <c r="AN122" i="6"/>
  <c r="AF161" i="6"/>
  <c r="H161" i="5"/>
  <c r="L67" i="6"/>
  <c r="AJ186" i="6"/>
  <c r="P187" i="6"/>
  <c r="H187" i="5"/>
  <c r="U177" i="6"/>
  <c r="X24" i="6"/>
  <c r="AB96" i="6"/>
  <c r="AJ64" i="6"/>
  <c r="AB8" i="6"/>
  <c r="L143" i="6"/>
  <c r="H178" i="6"/>
  <c r="AO73" i="6"/>
  <c r="AP73" i="6"/>
  <c r="AR16" i="6"/>
  <c r="AR37" i="6"/>
  <c r="AF57" i="6"/>
  <c r="X75" i="6"/>
  <c r="AG69" i="6"/>
  <c r="AH69" i="6"/>
  <c r="AF132" i="6"/>
  <c r="U157" i="6"/>
  <c r="V157" i="6"/>
  <c r="AP19" i="6"/>
  <c r="L71" i="6"/>
  <c r="X71" i="6"/>
  <c r="L171" i="6"/>
  <c r="AB136" i="6"/>
  <c r="T36" i="6"/>
  <c r="P173" i="6"/>
  <c r="H112" i="6"/>
  <c r="L102" i="6"/>
  <c r="X102" i="6"/>
  <c r="AF179" i="6"/>
  <c r="AJ152" i="6"/>
  <c r="T61" i="6"/>
  <c r="H87" i="5"/>
  <c r="AR169" i="6"/>
  <c r="T74" i="6"/>
  <c r="AB45" i="6"/>
  <c r="X17" i="6"/>
  <c r="AC137" i="6"/>
  <c r="P139" i="6"/>
  <c r="AN176" i="6"/>
  <c r="AJ10" i="6"/>
  <c r="H219" i="5"/>
  <c r="L122" i="6"/>
  <c r="H122" i="5"/>
  <c r="AR23" i="6"/>
  <c r="AV81" i="6"/>
  <c r="H161" i="6"/>
  <c r="P156" i="6"/>
  <c r="AN177" i="6"/>
  <c r="AN96" i="6"/>
  <c r="AB64" i="6"/>
  <c r="AJ160" i="6"/>
  <c r="T35" i="6"/>
  <c r="H150" i="5"/>
  <c r="AV182" i="6"/>
  <c r="L115" i="6"/>
  <c r="H143" i="6"/>
  <c r="AF178" i="6"/>
  <c r="X16" i="6"/>
  <c r="AR31" i="6"/>
  <c r="L31" i="6"/>
  <c r="AN57" i="6"/>
  <c r="L57" i="6"/>
  <c r="AF75" i="6"/>
  <c r="AF114" i="6"/>
  <c r="P114" i="6"/>
  <c r="T69" i="6"/>
  <c r="AV3" i="6"/>
  <c r="AH175" i="6"/>
  <c r="AV112" i="6"/>
  <c r="X170" i="6"/>
  <c r="AN152" i="6"/>
  <c r="M88" i="6"/>
  <c r="U77" i="6"/>
  <c r="V77" i="6"/>
  <c r="AG105" i="6"/>
  <c r="AP76" i="6"/>
  <c r="AO76" i="6"/>
  <c r="P169" i="6"/>
  <c r="Q74" i="6"/>
  <c r="AD129" i="6"/>
  <c r="AC129" i="6"/>
  <c r="M45" i="6"/>
  <c r="N45" i="6"/>
  <c r="AK45" i="6"/>
  <c r="AL45" i="6"/>
  <c r="AP139" i="6"/>
  <c r="H176" i="5"/>
  <c r="AB99" i="6"/>
  <c r="AN147" i="6"/>
  <c r="L23" i="6"/>
  <c r="X81" i="6"/>
  <c r="AG86" i="6"/>
  <c r="R86" i="6"/>
  <c r="L24" i="6"/>
  <c r="AV121" i="6"/>
  <c r="M96" i="6"/>
  <c r="N96" i="6"/>
  <c r="AR64" i="6"/>
  <c r="AN153" i="6"/>
  <c r="H182" i="5"/>
  <c r="T159" i="6"/>
  <c r="AV115" i="6"/>
  <c r="AV8" i="6"/>
  <c r="X143" i="6"/>
  <c r="AF14" i="6"/>
  <c r="Z165" i="6"/>
  <c r="Y165" i="6"/>
  <c r="AD175" i="6"/>
  <c r="AC175" i="6"/>
  <c r="AJ41" i="6"/>
  <c r="AB102" i="6"/>
  <c r="H170" i="5"/>
  <c r="AK101" i="6"/>
  <c r="AL101" i="6"/>
  <c r="AF88" i="6"/>
  <c r="AB88" i="6"/>
  <c r="V87" i="6"/>
  <c r="U87" i="6"/>
  <c r="AB105" i="6"/>
  <c r="H199" i="5"/>
  <c r="AC95" i="6"/>
  <c r="AD95" i="6"/>
  <c r="H95" i="6"/>
  <c r="T80" i="6"/>
  <c r="AD80" i="6"/>
  <c r="H10" i="6"/>
  <c r="Q162" i="6"/>
  <c r="R162" i="6"/>
  <c r="X147" i="6"/>
  <c r="T39" i="6"/>
  <c r="AR67" i="6"/>
  <c r="AB86" i="6"/>
  <c r="AR186" i="6"/>
  <c r="H214" i="5"/>
  <c r="P155" i="6"/>
  <c r="AF177" i="6"/>
  <c r="P167" i="6"/>
  <c r="L167" i="6"/>
  <c r="H24" i="6"/>
  <c r="T154" i="6"/>
  <c r="AV96" i="6"/>
  <c r="L64" i="6"/>
  <c r="AV160" i="6"/>
  <c r="AB150" i="6"/>
  <c r="R143" i="6"/>
  <c r="AP178" i="6"/>
  <c r="AO178" i="6"/>
  <c r="Y31" i="6"/>
  <c r="Z31" i="6"/>
  <c r="AC31" i="6"/>
  <c r="AD31" i="6"/>
  <c r="AK37" i="6"/>
  <c r="Q57" i="6"/>
  <c r="AD57" i="6"/>
  <c r="AC57" i="6"/>
  <c r="AK3" i="6"/>
  <c r="Z18" i="6"/>
  <c r="Q18" i="6"/>
  <c r="AC46" i="6"/>
  <c r="U40" i="6"/>
  <c r="H40" i="5"/>
  <c r="AB5" i="6"/>
  <c r="T171" i="6"/>
  <c r="AN173" i="6"/>
  <c r="AK102" i="6"/>
  <c r="AO87" i="6"/>
  <c r="AP87" i="6"/>
  <c r="AF77" i="6"/>
  <c r="X105" i="6"/>
  <c r="AJ169" i="6"/>
  <c r="X129" i="6"/>
  <c r="AR44" i="6"/>
  <c r="AR17" i="6"/>
  <c r="AN137" i="6"/>
  <c r="AF137" i="6"/>
  <c r="X164" i="6"/>
  <c r="AJ80" i="6"/>
  <c r="AF127" i="6"/>
  <c r="H127" i="5"/>
  <c r="AN10" i="6"/>
  <c r="AB30" i="6"/>
  <c r="AG162" i="6"/>
  <c r="AR12" i="6"/>
  <c r="AR99" i="6"/>
  <c r="H39" i="6"/>
  <c r="AJ161" i="6"/>
  <c r="AH138" i="6"/>
  <c r="H177" i="6"/>
  <c r="AR177" i="6"/>
  <c r="AH160" i="6"/>
  <c r="AJ115" i="6"/>
  <c r="Y14" i="6"/>
  <c r="X57" i="6"/>
  <c r="T132" i="6"/>
  <c r="AF36" i="6"/>
  <c r="AV136" i="6"/>
  <c r="V173" i="6"/>
  <c r="U173" i="6"/>
  <c r="M112" i="6"/>
  <c r="N112" i="6"/>
  <c r="H76" i="6"/>
  <c r="V169" i="6"/>
  <c r="AJ74" i="6"/>
  <c r="AJ129" i="6"/>
  <c r="AD176" i="6"/>
  <c r="AF122" i="6"/>
  <c r="H202" i="5"/>
  <c r="V68" i="6"/>
  <c r="U68" i="6"/>
  <c r="L86" i="6"/>
  <c r="AB186" i="6"/>
  <c r="H138" i="5"/>
  <c r="X156" i="6"/>
  <c r="L177" i="6"/>
  <c r="AC24" i="6"/>
  <c r="Z35" i="6"/>
  <c r="Y35" i="6"/>
  <c r="AF153" i="6"/>
  <c r="AO115" i="6"/>
  <c r="AP115" i="6"/>
  <c r="N8" i="6"/>
  <c r="H143" i="5"/>
  <c r="AB16" i="6"/>
  <c r="AV37" i="6"/>
  <c r="AK75" i="6"/>
  <c r="AL75" i="6"/>
  <c r="AB69" i="6"/>
  <c r="M3" i="6"/>
  <c r="AH188" i="6"/>
  <c r="AG188" i="6"/>
  <c r="T18" i="6"/>
  <c r="L108" i="6"/>
  <c r="H71" i="5"/>
  <c r="AN171" i="6"/>
  <c r="H136" i="5"/>
  <c r="H173" i="6"/>
  <c r="AL175" i="6"/>
  <c r="AR108" i="6"/>
  <c r="AR112" i="6"/>
  <c r="AN102" i="6"/>
  <c r="AO170" i="6"/>
  <c r="H170" i="6"/>
  <c r="H152" i="5"/>
  <c r="AV88" i="6"/>
  <c r="H61" i="6"/>
  <c r="R95" i="6"/>
  <c r="Q95" i="6"/>
  <c r="P166" i="6"/>
  <c r="AN169" i="6"/>
  <c r="AG169" i="6"/>
  <c r="AR74" i="6"/>
  <c r="AJ44" i="6"/>
  <c r="AJ163" i="6"/>
  <c r="AF17" i="6"/>
  <c r="P176" i="6"/>
  <c r="AB127" i="6"/>
  <c r="X30" i="6"/>
  <c r="H162" i="6"/>
  <c r="X12" i="6"/>
  <c r="AB122" i="6"/>
  <c r="AO23" i="6"/>
  <c r="AP23" i="6"/>
  <c r="L81" i="6"/>
  <c r="AB39" i="6"/>
  <c r="X128" i="6"/>
  <c r="H67" i="5"/>
  <c r="AL86" i="6"/>
  <c r="AJ138" i="6"/>
  <c r="AF187" i="6"/>
  <c r="AR156" i="6"/>
  <c r="AB155" i="6"/>
  <c r="L121" i="6"/>
  <c r="T64" i="6"/>
  <c r="AD55" i="6"/>
  <c r="AP35" i="6"/>
  <c r="AB153" i="6"/>
  <c r="AJ159" i="6"/>
  <c r="Y115" i="6"/>
  <c r="T8" i="6"/>
  <c r="AB73" i="6"/>
  <c r="V16" i="6"/>
  <c r="P37" i="6"/>
  <c r="L75" i="6"/>
  <c r="N114" i="6"/>
  <c r="M114" i="6"/>
  <c r="P3" i="6"/>
  <c r="AL18" i="6"/>
  <c r="P19" i="6"/>
  <c r="AL165" i="6"/>
  <c r="N136" i="6"/>
  <c r="Q136" i="6"/>
  <c r="V38" i="6"/>
  <c r="H227" i="5"/>
  <c r="AJ38" i="6"/>
  <c r="X157" i="6"/>
  <c r="H175" i="6"/>
  <c r="L193" i="6"/>
  <c r="AF193" i="6"/>
  <c r="T170" i="6"/>
  <c r="N87" i="6"/>
  <c r="M87" i="6"/>
  <c r="X87" i="6"/>
  <c r="AJ76" i="6"/>
  <c r="AR95" i="6"/>
  <c r="AJ166" i="6"/>
  <c r="H129" i="6"/>
  <c r="X163" i="6"/>
  <c r="AD29" i="6"/>
  <c r="AC29" i="6"/>
  <c r="T10" i="6"/>
  <c r="AJ30" i="6"/>
  <c r="H162" i="5"/>
  <c r="AR122" i="6"/>
  <c r="AR39" i="6"/>
  <c r="N161" i="6"/>
  <c r="M161" i="6"/>
  <c r="AN68" i="6"/>
  <c r="AS68" i="6" s="1"/>
  <c r="AF67" i="6"/>
  <c r="AV186" i="6"/>
  <c r="AN154" i="6"/>
  <c r="V150" i="6"/>
  <c r="U150" i="6"/>
  <c r="Y159" i="6"/>
  <c r="Z159" i="6"/>
  <c r="AB159" i="6"/>
  <c r="AH73" i="6"/>
  <c r="AJ16" i="6"/>
  <c r="AJ14" i="6"/>
  <c r="Y37" i="6"/>
  <c r="Z37" i="6"/>
  <c r="T37" i="6"/>
  <c r="AF116" i="6"/>
  <c r="R38" i="6"/>
  <c r="H220" i="5"/>
  <c r="AN157" i="6"/>
  <c r="AG112" i="6"/>
  <c r="AN165" i="6"/>
  <c r="AB171" i="6"/>
  <c r="P36" i="6"/>
  <c r="AF19" i="6"/>
  <c r="L19" i="6"/>
  <c r="H171" i="6"/>
  <c r="T136" i="6"/>
  <c r="AR36" i="6"/>
  <c r="AV173" i="6"/>
  <c r="H108" i="5"/>
  <c r="L41" i="6"/>
  <c r="H112" i="5"/>
  <c r="AB179" i="6"/>
  <c r="AR170" i="6"/>
  <c r="AT170" i="6" s="1"/>
  <c r="H88" i="5"/>
  <c r="P87" i="6"/>
  <c r="P77" i="6"/>
  <c r="AN105" i="6"/>
  <c r="P76" i="6"/>
  <c r="L166" i="6"/>
  <c r="H129" i="5"/>
  <c r="AB44" i="6"/>
  <c r="AR163" i="6"/>
  <c r="H163" i="5"/>
  <c r="AV164" i="6"/>
  <c r="AF176" i="6"/>
  <c r="L127" i="6"/>
  <c r="T127" i="6"/>
  <c r="AV10" i="6"/>
  <c r="H30" i="5"/>
  <c r="AJ162" i="6"/>
  <c r="P12" i="6"/>
  <c r="T99" i="6"/>
  <c r="T147" i="6"/>
  <c r="X23" i="6"/>
  <c r="H204" i="5"/>
  <c r="AR161" i="6"/>
  <c r="AX161" i="6" s="1"/>
  <c r="N68" i="6"/>
  <c r="M68" i="6"/>
  <c r="P68" i="6"/>
  <c r="AN67" i="6"/>
  <c r="AV86" i="6"/>
  <c r="P138" i="6"/>
  <c r="H138" i="6"/>
  <c r="AV187" i="6"/>
  <c r="AR155" i="6"/>
  <c r="X177" i="6"/>
  <c r="H167" i="6"/>
  <c r="AJ154" i="6"/>
  <c r="T121" i="6"/>
  <c r="AJ96" i="6"/>
  <c r="H160" i="6"/>
  <c r="AV35" i="6"/>
  <c r="H218" i="5"/>
  <c r="H159" i="6"/>
  <c r="H115" i="6"/>
  <c r="AN8" i="6"/>
  <c r="AF143" i="6"/>
  <c r="H14" i="5"/>
  <c r="AB14" i="6"/>
  <c r="AJ71" i="6"/>
  <c r="H38" i="6"/>
  <c r="AF71" i="6"/>
  <c r="P112" i="6"/>
  <c r="AN101" i="6"/>
  <c r="AN88" i="6"/>
  <c r="AD76" i="6"/>
  <c r="AC76" i="6"/>
  <c r="AP166" i="6"/>
  <c r="AB74" i="6"/>
  <c r="AP129" i="6"/>
  <c r="P44" i="6"/>
  <c r="P45" i="6"/>
  <c r="AP163" i="6"/>
  <c r="AO163" i="6"/>
  <c r="H137" i="5"/>
  <c r="AR176" i="6"/>
  <c r="AR30" i="6"/>
  <c r="Z162" i="6"/>
  <c r="AP12" i="6"/>
  <c r="AO12" i="6"/>
  <c r="AL39" i="6"/>
  <c r="Z39" i="6"/>
  <c r="Y39" i="6"/>
  <c r="AF68" i="6"/>
  <c r="AB68" i="6"/>
  <c r="T86" i="6"/>
  <c r="AK177" i="6"/>
  <c r="AL177" i="6"/>
  <c r="X121" i="6"/>
  <c r="H121" i="5"/>
  <c r="AP159" i="6"/>
  <c r="AO159" i="6"/>
  <c r="AK143" i="6"/>
  <c r="AL143" i="6"/>
  <c r="R178" i="6"/>
  <c r="R14" i="6"/>
  <c r="X114" i="6"/>
  <c r="AP113" i="6"/>
  <c r="AN37" i="6"/>
  <c r="H114" i="5"/>
  <c r="P3" i="5"/>
  <c r="AF3" i="6"/>
  <c r="AN18" i="6"/>
  <c r="H84" i="5"/>
  <c r="AV25" i="6"/>
  <c r="H25" i="6"/>
  <c r="AR15" i="6"/>
  <c r="AF7" i="6"/>
  <c r="AN7" i="6"/>
  <c r="AB60" i="6"/>
  <c r="AR72" i="6"/>
  <c r="AN92" i="6"/>
  <c r="P97" i="6"/>
  <c r="AJ142" i="6"/>
  <c r="AL158" i="6"/>
  <c r="AK158" i="6"/>
  <c r="AN158" i="6"/>
  <c r="T6" i="6"/>
  <c r="AN32" i="6"/>
  <c r="AJ106" i="6"/>
  <c r="AR107" i="6"/>
  <c r="AV135" i="6"/>
  <c r="AN110" i="6"/>
  <c r="AS110" i="6" s="1"/>
  <c r="L133" i="6"/>
  <c r="X133" i="6"/>
  <c r="H118" i="6"/>
  <c r="X83" i="6"/>
  <c r="AB9" i="6"/>
  <c r="P120" i="6"/>
  <c r="H14" i="6"/>
  <c r="T75" i="6"/>
  <c r="H114" i="6"/>
  <c r="L69" i="6"/>
  <c r="AJ69" i="6"/>
  <c r="AR3" i="7"/>
  <c r="X3" i="7"/>
  <c r="AB132" i="6"/>
  <c r="AB18" i="6"/>
  <c r="AF46" i="6"/>
  <c r="AN117" i="6"/>
  <c r="U5" i="6"/>
  <c r="AV116" i="6"/>
  <c r="AV34" i="6"/>
  <c r="AR34" i="6"/>
  <c r="X85" i="6"/>
  <c r="AK7" i="6"/>
  <c r="AL7" i="6"/>
  <c r="AF184" i="6"/>
  <c r="X33" i="6"/>
  <c r="P60" i="6"/>
  <c r="P58" i="6"/>
  <c r="AB72" i="6"/>
  <c r="X92" i="6"/>
  <c r="H92" i="5"/>
  <c r="AN148" i="6"/>
  <c r="AV97" i="6"/>
  <c r="X111" i="6"/>
  <c r="L144" i="6"/>
  <c r="H144" i="5"/>
  <c r="T158" i="6"/>
  <c r="P79" i="6"/>
  <c r="P180" i="6"/>
  <c r="AV106" i="6"/>
  <c r="AB93" i="6"/>
  <c r="AF135" i="6"/>
  <c r="X110" i="6"/>
  <c r="H145" i="6"/>
  <c r="P82" i="6"/>
  <c r="H149" i="5"/>
  <c r="AJ149" i="6"/>
  <c r="AV4" i="6"/>
  <c r="H89" i="5"/>
  <c r="P26" i="6"/>
  <c r="AJ194" i="6"/>
  <c r="AH33" i="6"/>
  <c r="AG33" i="6"/>
  <c r="Y60" i="6"/>
  <c r="Z60" i="6"/>
  <c r="AR111" i="6"/>
  <c r="AJ63" i="6"/>
  <c r="P168" i="6"/>
  <c r="AN180" i="6"/>
  <c r="H106" i="5"/>
  <c r="AN135" i="6"/>
  <c r="AR149" i="6"/>
  <c r="AP89" i="6"/>
  <c r="AO89" i="6"/>
  <c r="N118" i="6"/>
  <c r="T26" i="6"/>
  <c r="H9" i="5"/>
  <c r="T120" i="6"/>
  <c r="AV3" i="7"/>
  <c r="AR3" i="6"/>
  <c r="H132" i="6"/>
  <c r="H113" i="5"/>
  <c r="P84" i="6"/>
  <c r="AJ46" i="6"/>
  <c r="H40" i="6"/>
  <c r="X25" i="6"/>
  <c r="P25" i="6"/>
  <c r="AF117" i="6"/>
  <c r="X5" i="6"/>
  <c r="P34" i="6"/>
  <c r="N85" i="6"/>
  <c r="M85" i="6"/>
  <c r="P85" i="6"/>
  <c r="AV184" i="6"/>
  <c r="AR33" i="6"/>
  <c r="AF60" i="6"/>
  <c r="AN60" i="6"/>
  <c r="H72" i="6"/>
  <c r="AH148" i="6"/>
  <c r="P148" i="6"/>
  <c r="T97" i="6"/>
  <c r="AV63" i="6"/>
  <c r="T142" i="6"/>
  <c r="AV142" i="6"/>
  <c r="AN144" i="6"/>
  <c r="H32" i="6"/>
  <c r="T32" i="6"/>
  <c r="AD106" i="6"/>
  <c r="L93" i="6"/>
  <c r="P135" i="6"/>
  <c r="P130" i="6"/>
  <c r="AJ133" i="6"/>
  <c r="H133" i="6"/>
  <c r="H82" i="5"/>
  <c r="AJ4" i="6"/>
  <c r="AJ118" i="6"/>
  <c r="AP9" i="6"/>
  <c r="AO9" i="6"/>
  <c r="AB120" i="6"/>
  <c r="AJ3" i="7"/>
  <c r="X3" i="6"/>
  <c r="AF25" i="6"/>
  <c r="AR5" i="6"/>
  <c r="AS5" i="6" s="1"/>
  <c r="AV85" i="6"/>
  <c r="H7" i="5"/>
  <c r="AV60" i="6"/>
  <c r="AV58" i="6"/>
  <c r="P72" i="6"/>
  <c r="H92" i="6"/>
  <c r="AN142" i="6"/>
  <c r="V144" i="6"/>
  <c r="X6" i="6"/>
  <c r="Y32" i="6"/>
  <c r="AN93" i="6"/>
  <c r="AT93" i="6" s="1"/>
  <c r="Z135" i="6"/>
  <c r="AC110" i="6"/>
  <c r="AD110" i="6"/>
  <c r="AV133" i="6"/>
  <c r="U82" i="6"/>
  <c r="V82" i="6"/>
  <c r="P4" i="6"/>
  <c r="AR89" i="6"/>
  <c r="AS89" i="6" s="1"/>
  <c r="AJ56" i="6"/>
  <c r="L56" i="6"/>
  <c r="H117" i="6"/>
  <c r="H116" i="6"/>
  <c r="AK22" i="6"/>
  <c r="T34" i="6"/>
  <c r="X15" i="6"/>
  <c r="P184" i="6"/>
  <c r="AP33" i="6"/>
  <c r="AK92" i="6"/>
  <c r="AJ97" i="6"/>
  <c r="AF63" i="6"/>
  <c r="AB63" i="6"/>
  <c r="AF144" i="6"/>
  <c r="AB158" i="6"/>
  <c r="T79" i="6"/>
  <c r="AF180" i="6"/>
  <c r="AD32" i="6"/>
  <c r="AC32" i="6"/>
  <c r="AV32" i="6"/>
  <c r="AF130" i="6"/>
  <c r="AR133" i="6"/>
  <c r="X145" i="6"/>
  <c r="P149" i="6"/>
  <c r="AB4" i="6"/>
  <c r="P89" i="6"/>
  <c r="AF118" i="6"/>
  <c r="AV26" i="6"/>
  <c r="P194" i="6"/>
  <c r="P113" i="6"/>
  <c r="L18" i="6"/>
  <c r="AV18" i="6"/>
  <c r="H5" i="6"/>
  <c r="AR148" i="6"/>
  <c r="H142" i="5"/>
  <c r="AF168" i="6"/>
  <c r="L106" i="6"/>
  <c r="T107" i="6"/>
  <c r="AB130" i="6"/>
  <c r="V145" i="6"/>
  <c r="U145" i="6"/>
  <c r="H82" i="6"/>
  <c r="AB82" i="6"/>
  <c r="X89" i="6"/>
  <c r="U118" i="6"/>
  <c r="V118" i="6"/>
  <c r="AJ26" i="6"/>
  <c r="AJ83" i="6"/>
  <c r="AR9" i="6"/>
  <c r="AD56" i="6"/>
  <c r="H120" i="6"/>
  <c r="X194" i="6"/>
  <c r="Q111" i="6"/>
  <c r="R111" i="6"/>
  <c r="R144" i="6"/>
  <c r="Q144" i="6"/>
  <c r="AH93" i="6"/>
  <c r="AG93" i="6"/>
  <c r="Q93" i="6"/>
  <c r="AL130" i="6"/>
  <c r="AK130" i="6"/>
  <c r="AD133" i="6"/>
  <c r="AD194" i="6"/>
  <c r="AN46" i="6"/>
  <c r="X40" i="6"/>
  <c r="AN25" i="6"/>
  <c r="AD117" i="6"/>
  <c r="AC117" i="6"/>
  <c r="AP5" i="6"/>
  <c r="AO5" i="6"/>
  <c r="AG22" i="6"/>
  <c r="N34" i="6"/>
  <c r="AF15" i="6"/>
  <c r="L92" i="6"/>
  <c r="T63" i="6"/>
  <c r="AN168" i="6"/>
  <c r="AJ168" i="6"/>
  <c r="AK144" i="6"/>
  <c r="AL144" i="6"/>
  <c r="AR79" i="6"/>
  <c r="AF6" i="6"/>
  <c r="AB180" i="6"/>
  <c r="AF106" i="6"/>
  <c r="H107" i="5"/>
  <c r="L130" i="6"/>
  <c r="AN130" i="6"/>
  <c r="AJ110" i="6"/>
  <c r="L110" i="6"/>
  <c r="AB149" i="6"/>
  <c r="H4" i="6"/>
  <c r="N89" i="6"/>
  <c r="M89" i="6"/>
  <c r="AF83" i="6"/>
  <c r="H9" i="6"/>
  <c r="H56" i="5"/>
  <c r="AF120" i="6"/>
  <c r="AJ188" i="6"/>
  <c r="X113" i="6"/>
  <c r="AF84" i="6"/>
  <c r="X46" i="6"/>
  <c r="H25" i="5"/>
  <c r="T116" i="6"/>
  <c r="L116" i="6"/>
  <c r="Z22" i="6"/>
  <c r="Y22" i="6"/>
  <c r="AB22" i="6"/>
  <c r="N15" i="6"/>
  <c r="AF85" i="6"/>
  <c r="AD7" i="6"/>
  <c r="H184" i="5"/>
  <c r="AC184" i="6"/>
  <c r="AD184" i="6"/>
  <c r="AG58" i="6"/>
  <c r="AH58" i="6"/>
  <c r="AR92" i="6"/>
  <c r="L168" i="6"/>
  <c r="AR158" i="6"/>
  <c r="Y79" i="6"/>
  <c r="X107" i="6"/>
  <c r="AN82" i="6"/>
  <c r="AV118" i="6"/>
  <c r="H26" i="5"/>
  <c r="L9" i="6"/>
  <c r="P56" i="6"/>
  <c r="AN120" i="6"/>
  <c r="AW120" i="6" s="1"/>
  <c r="AN114" i="6"/>
  <c r="T3" i="5"/>
  <c r="AR132" i="6"/>
  <c r="H188" i="6"/>
  <c r="AF113" i="6"/>
  <c r="H117" i="5"/>
  <c r="AV117" i="6"/>
  <c r="AN22" i="6"/>
  <c r="AT22" i="6" s="1"/>
  <c r="T22" i="6"/>
  <c r="H15" i="5"/>
  <c r="AR85" i="6"/>
  <c r="T7" i="6"/>
  <c r="AN58" i="6"/>
  <c r="AF72" i="6"/>
  <c r="H148" i="6"/>
  <c r="H111" i="6"/>
  <c r="AB111" i="6"/>
  <c r="AR63" i="6"/>
  <c r="H168" i="5"/>
  <c r="AV168" i="6"/>
  <c r="AB144" i="6"/>
  <c r="AF79" i="6"/>
  <c r="AR6" i="6"/>
  <c r="P106" i="6"/>
  <c r="AF107" i="6"/>
  <c r="AV110" i="6"/>
  <c r="P110" i="6"/>
  <c r="AV145" i="6"/>
  <c r="N149" i="6"/>
  <c r="AR4" i="6"/>
  <c r="AJ89" i="6"/>
  <c r="X118" i="6"/>
  <c r="AF56" i="6"/>
  <c r="X56" i="6"/>
  <c r="AF194" i="6"/>
  <c r="AP85" i="6"/>
  <c r="AO85" i="6"/>
  <c r="Z184" i="6"/>
  <c r="Y184" i="6"/>
  <c r="AP72" i="6"/>
  <c r="AO72" i="6"/>
  <c r="Z148" i="6"/>
  <c r="Y148" i="6"/>
  <c r="X168" i="6"/>
  <c r="T168" i="6"/>
  <c r="AL79" i="6"/>
  <c r="R6" i="6"/>
  <c r="Q6" i="6"/>
  <c r="AP6" i="6"/>
  <c r="AO6" i="6"/>
  <c r="AL32" i="6"/>
  <c r="AK82" i="6"/>
  <c r="AP4" i="6"/>
  <c r="AO4" i="6"/>
  <c r="AJ84" i="6"/>
  <c r="AV5" i="6"/>
  <c r="N22" i="6"/>
  <c r="M22" i="6"/>
  <c r="AJ184" i="6"/>
  <c r="H33" i="6"/>
  <c r="H60" i="5"/>
  <c r="AN111" i="6"/>
  <c r="AB145" i="6"/>
  <c r="AN145" i="6"/>
  <c r="T4" i="6"/>
  <c r="AD89" i="6"/>
  <c r="AN83" i="6"/>
  <c r="AS83" i="6" s="1"/>
  <c r="T9" i="6"/>
  <c r="AR194" i="6"/>
  <c r="L46" i="6"/>
  <c r="H46" i="6"/>
  <c r="AL25" i="6"/>
  <c r="X116" i="6"/>
  <c r="AB34" i="6"/>
  <c r="AP15" i="6"/>
  <c r="AJ85" i="6"/>
  <c r="H184" i="6"/>
  <c r="T72" i="6"/>
  <c r="AC92" i="6"/>
  <c r="AH92" i="6"/>
  <c r="AG92" i="6"/>
  <c r="AN97" i="6"/>
  <c r="U111" i="6"/>
  <c r="V111" i="6"/>
  <c r="L63" i="6"/>
  <c r="AJ6" i="6"/>
  <c r="M107" i="6"/>
  <c r="N107" i="6"/>
  <c r="AJ107" i="6"/>
  <c r="P133" i="6"/>
  <c r="AV9" i="6"/>
  <c r="V194" i="6"/>
  <c r="H34" i="5"/>
  <c r="AH34" i="6"/>
  <c r="AG34" i="6"/>
  <c r="R7" i="6"/>
  <c r="Q7" i="6"/>
  <c r="AR7" i="6"/>
  <c r="X58" i="6"/>
  <c r="H206" i="5"/>
  <c r="N97" i="6"/>
  <c r="M97" i="6"/>
  <c r="AD142" i="6"/>
  <c r="H142" i="6"/>
  <c r="H6" i="6"/>
  <c r="Y106" i="6"/>
  <c r="AN56" i="6"/>
  <c r="N194" i="6"/>
  <c r="M194" i="6"/>
  <c r="L111" i="6"/>
  <c r="AG149" i="6"/>
  <c r="AH149" i="6"/>
  <c r="M4" i="6"/>
  <c r="AN118" i="6"/>
  <c r="AS118" i="6" s="1"/>
  <c r="Z9" i="6"/>
  <c r="H75" i="5"/>
  <c r="AV114" i="6"/>
  <c r="AN3" i="6"/>
  <c r="P3" i="7"/>
  <c r="AB188" i="6"/>
  <c r="H113" i="6"/>
  <c r="AR113" i="6"/>
  <c r="AF18" i="6"/>
  <c r="X84" i="6"/>
  <c r="AF40" i="6"/>
  <c r="AB25" i="6"/>
  <c r="P15" i="6"/>
  <c r="H85" i="6"/>
  <c r="L7" i="6"/>
  <c r="H60" i="6"/>
  <c r="M58" i="6"/>
  <c r="N58" i="6"/>
  <c r="AV72" i="6"/>
  <c r="AB97" i="6"/>
  <c r="H97" i="6"/>
  <c r="H63" i="5"/>
  <c r="AV144" i="6"/>
  <c r="L158" i="6"/>
  <c r="N79" i="6"/>
  <c r="M79" i="6"/>
  <c r="H180" i="6"/>
  <c r="AF32" i="6"/>
  <c r="L145" i="6"/>
  <c r="AJ145" i="6"/>
  <c r="T149" i="6"/>
  <c r="AC26" i="6"/>
  <c r="AD26" i="6"/>
  <c r="H215" i="5"/>
  <c r="AP194" i="6"/>
  <c r="AO194" i="6"/>
  <c r="H84" i="6"/>
  <c r="AN40" i="6"/>
  <c r="P117" i="6"/>
  <c r="AL117" i="6"/>
  <c r="AB116" i="6"/>
  <c r="AV7" i="6"/>
  <c r="T184" i="6"/>
  <c r="N60" i="6"/>
  <c r="M60" i="6"/>
  <c r="Y72" i="6"/>
  <c r="Z72" i="6"/>
  <c r="Q92" i="6"/>
  <c r="R92" i="6"/>
  <c r="N148" i="6"/>
  <c r="M148" i="6"/>
  <c r="AH97" i="6"/>
  <c r="Q63" i="6"/>
  <c r="R63" i="6"/>
  <c r="N142" i="6"/>
  <c r="H168" i="6"/>
  <c r="AD79" i="6"/>
  <c r="AC79" i="6"/>
  <c r="P32" i="6"/>
  <c r="Q107" i="6"/>
  <c r="R107" i="6"/>
  <c r="AJ93" i="6"/>
  <c r="H135" i="6"/>
  <c r="AG133" i="6"/>
  <c r="AH133" i="6"/>
  <c r="H133" i="5"/>
  <c r="H118" i="5"/>
  <c r="N26" i="6"/>
  <c r="M26" i="6"/>
  <c r="Z63" i="6" l="1"/>
  <c r="AD154" i="6"/>
  <c r="Q75" i="6"/>
  <c r="Z160" i="6"/>
  <c r="R154" i="6"/>
  <c r="AK35" i="6"/>
  <c r="V155" i="6"/>
  <c r="AK58" i="6"/>
  <c r="AS32" i="6"/>
  <c r="AC40" i="6"/>
  <c r="AL57" i="6"/>
  <c r="AG96" i="6"/>
  <c r="Q127" i="6"/>
  <c r="V76" i="6"/>
  <c r="Y138" i="6"/>
  <c r="AH89" i="6"/>
  <c r="N10" i="6"/>
  <c r="AP44" i="6"/>
  <c r="AD113" i="6"/>
  <c r="U148" i="6"/>
  <c r="N132" i="6"/>
  <c r="R159" i="6"/>
  <c r="AO186" i="6"/>
  <c r="Q101" i="6"/>
  <c r="Q22" i="6"/>
  <c r="AO161" i="6"/>
  <c r="V3" i="6"/>
  <c r="AS81" i="6"/>
  <c r="M160" i="6"/>
  <c r="Y64" i="6"/>
  <c r="N33" i="6"/>
  <c r="N61" i="6"/>
  <c r="AS160" i="6"/>
  <c r="AP63" i="6"/>
  <c r="M173" i="6"/>
  <c r="V186" i="6"/>
  <c r="U46" i="6"/>
  <c r="N76" i="6"/>
  <c r="AO187" i="6"/>
  <c r="AK33" i="6"/>
  <c r="Y180" i="6"/>
  <c r="AP187" i="6"/>
  <c r="AT168" i="6"/>
  <c r="N32" i="6"/>
  <c r="U180" i="6"/>
  <c r="Z188" i="6"/>
  <c r="AC87" i="6"/>
  <c r="Z95" i="6"/>
  <c r="M101" i="6"/>
  <c r="AC170" i="6"/>
  <c r="Z155" i="6"/>
  <c r="V3" i="5"/>
  <c r="U3" i="5"/>
  <c r="AD3" i="5"/>
  <c r="AC3" i="5"/>
  <c r="Z3" i="5"/>
  <c r="R3" i="5"/>
  <c r="Y3" i="5"/>
  <c r="Q3" i="5"/>
  <c r="V83" i="6"/>
  <c r="AD6" i="6"/>
  <c r="AP16" i="6"/>
  <c r="R73" i="6"/>
  <c r="AK88" i="6"/>
  <c r="AH134" i="6"/>
  <c r="AW56" i="6"/>
  <c r="AS25" i="6"/>
  <c r="Z127" i="6"/>
  <c r="R31" i="6"/>
  <c r="AW30" i="6"/>
  <c r="AH80" i="6"/>
  <c r="U152" i="6"/>
  <c r="AO26" i="6"/>
  <c r="AK40" i="6"/>
  <c r="AS97" i="6"/>
  <c r="AS117" i="6"/>
  <c r="AO116" i="6"/>
  <c r="AO69" i="6"/>
  <c r="AH102" i="6"/>
  <c r="R129" i="6"/>
  <c r="AK119" i="6"/>
  <c r="AG108" i="6"/>
  <c r="Z82" i="6"/>
  <c r="N117" i="6"/>
  <c r="N77" i="6"/>
  <c r="AD3" i="7"/>
  <c r="M30" i="6"/>
  <c r="AT18" i="6"/>
  <c r="AD35" i="6"/>
  <c r="Z137" i="6"/>
  <c r="Z10" i="6"/>
  <c r="V128" i="6"/>
  <c r="N170" i="6"/>
  <c r="V23" i="6"/>
  <c r="AL15" i="6"/>
  <c r="Y86" i="6"/>
  <c r="AG74" i="6"/>
  <c r="Z34" i="6"/>
  <c r="Q64" i="6"/>
  <c r="M72" i="6"/>
  <c r="AG186" i="6"/>
  <c r="AD163" i="6"/>
  <c r="AT76" i="6"/>
  <c r="Q81" i="6"/>
  <c r="U57" i="6"/>
  <c r="M73" i="6"/>
  <c r="Y68" i="6"/>
  <c r="AS143" i="6"/>
  <c r="R39" i="6"/>
  <c r="AT84" i="6"/>
  <c r="M37" i="6"/>
  <c r="V188" i="6"/>
  <c r="AT164" i="6"/>
  <c r="Y80" i="6"/>
  <c r="Q164" i="6"/>
  <c r="AG29" i="6"/>
  <c r="U110" i="6"/>
  <c r="AD169" i="6"/>
  <c r="AK171" i="6"/>
  <c r="AX77" i="6"/>
  <c r="AW188" i="6"/>
  <c r="AT120" i="6"/>
  <c r="AX84" i="6"/>
  <c r="AT116" i="6"/>
  <c r="AT35" i="6"/>
  <c r="AT128" i="6"/>
  <c r="AX69" i="6"/>
  <c r="AS188" i="6"/>
  <c r="Z158" i="6"/>
  <c r="Y158" i="6"/>
  <c r="Y26" i="6"/>
  <c r="Z26" i="6"/>
  <c r="V81" i="6"/>
  <c r="U81" i="6"/>
  <c r="M120" i="6"/>
  <c r="N120" i="6"/>
  <c r="AO41" i="6"/>
  <c r="AP41" i="6"/>
  <c r="R9" i="6"/>
  <c r="Q9" i="6"/>
  <c r="R132" i="6"/>
  <c r="Q132" i="6"/>
  <c r="AX138" i="6"/>
  <c r="Q108" i="6"/>
  <c r="R33" i="6"/>
  <c r="Q33" i="6"/>
  <c r="AL9" i="6"/>
  <c r="AK9" i="6"/>
  <c r="Q5" i="6"/>
  <c r="R5" i="6"/>
  <c r="Q118" i="6"/>
  <c r="R118" i="6"/>
  <c r="AS38" i="6"/>
  <c r="AD157" i="6"/>
  <c r="U92" i="6"/>
  <c r="V92" i="6"/>
  <c r="M16" i="6"/>
  <c r="N16" i="6"/>
  <c r="AW84" i="6"/>
  <c r="AO162" i="6"/>
  <c r="Q105" i="6"/>
  <c r="N178" i="6"/>
  <c r="M178" i="6"/>
  <c r="AH139" i="6"/>
  <c r="AS55" i="6"/>
  <c r="AD187" i="6"/>
  <c r="AC187" i="6"/>
  <c r="M5" i="6"/>
  <c r="AG82" i="6"/>
  <c r="Y132" i="6"/>
  <c r="AK153" i="6"/>
  <c r="AP138" i="6"/>
  <c r="AP71" i="6"/>
  <c r="V153" i="6"/>
  <c r="M175" i="6"/>
  <c r="R160" i="6"/>
  <c r="V106" i="6"/>
  <c r="AO138" i="6"/>
  <c r="AW74" i="6"/>
  <c r="AK19" i="6"/>
  <c r="AH150" i="6"/>
  <c r="AO121" i="6"/>
  <c r="M12" i="6"/>
  <c r="AW180" i="6"/>
  <c r="U176" i="6"/>
  <c r="U179" i="6"/>
  <c r="AO35" i="6"/>
  <c r="AP132" i="6"/>
  <c r="AW45" i="6"/>
  <c r="AO34" i="6"/>
  <c r="M82" i="6"/>
  <c r="AD135" i="6"/>
  <c r="V85" i="6"/>
  <c r="V117" i="6"/>
  <c r="AD164" i="6"/>
  <c r="AS35" i="6"/>
  <c r="Y193" i="6"/>
  <c r="AS84" i="6"/>
  <c r="AH156" i="6"/>
  <c r="AK127" i="6"/>
  <c r="AL179" i="6"/>
  <c r="AO17" i="6"/>
  <c r="AP17" i="6"/>
  <c r="AK105" i="6"/>
  <c r="AL105" i="6"/>
  <c r="AL137" i="6"/>
  <c r="AK137" i="6"/>
  <c r="AG26" i="6"/>
  <c r="AH26" i="6"/>
  <c r="N83" i="6"/>
  <c r="M83" i="6"/>
  <c r="Y117" i="6"/>
  <c r="Z117" i="6"/>
  <c r="V112" i="6"/>
  <c r="U112" i="6"/>
  <c r="AP29" i="6"/>
  <c r="AO29" i="6"/>
  <c r="AH8" i="6"/>
  <c r="AG8" i="6"/>
  <c r="AP133" i="6"/>
  <c r="AO133" i="6"/>
  <c r="R17" i="6"/>
  <c r="Q17" i="6"/>
  <c r="Y130" i="6"/>
  <c r="Z130" i="6"/>
  <c r="AC33" i="6"/>
  <c r="AD33" i="6"/>
  <c r="V15" i="6"/>
  <c r="U135" i="6"/>
  <c r="AH145" i="6"/>
  <c r="AG145" i="6"/>
  <c r="AH128" i="6"/>
  <c r="AG128" i="6"/>
  <c r="N163" i="6"/>
  <c r="M163" i="6"/>
  <c r="AO84" i="6"/>
  <c r="AP84" i="6"/>
  <c r="Y120" i="6"/>
  <c r="Z120" i="6"/>
  <c r="U89" i="6"/>
  <c r="V89" i="6"/>
  <c r="AH38" i="6"/>
  <c r="AG38" i="6"/>
  <c r="R99" i="6"/>
  <c r="Q99" i="6"/>
  <c r="AK122" i="6"/>
  <c r="AL122" i="6"/>
  <c r="AL5" i="6"/>
  <c r="AK5" i="6"/>
  <c r="V33" i="6"/>
  <c r="U33" i="6"/>
  <c r="U187" i="6"/>
  <c r="V187" i="6"/>
  <c r="R116" i="6"/>
  <c r="U58" i="6"/>
  <c r="AG154" i="6"/>
  <c r="AH154" i="6"/>
  <c r="N84" i="6"/>
  <c r="M84" i="6"/>
  <c r="AD118" i="6"/>
  <c r="V105" i="6"/>
  <c r="AL114" i="6"/>
  <c r="AK114" i="6"/>
  <c r="AG142" i="6"/>
  <c r="AH142" i="6"/>
  <c r="V182" i="6"/>
  <c r="U182" i="6"/>
  <c r="Z77" i="6"/>
  <c r="Y77" i="6"/>
  <c r="M135" i="6"/>
  <c r="N135" i="6"/>
  <c r="Q16" i="6"/>
  <c r="R16" i="6"/>
  <c r="AK111" i="6"/>
  <c r="AL111" i="6"/>
  <c r="U130" i="6"/>
  <c r="V130" i="6"/>
  <c r="R41" i="6"/>
  <c r="Q41" i="6"/>
  <c r="AG44" i="6"/>
  <c r="AH44" i="6"/>
  <c r="Y41" i="6"/>
  <c r="Z41" i="6"/>
  <c r="AS116" i="6"/>
  <c r="AX132" i="6"/>
  <c r="AP38" i="6"/>
  <c r="AD17" i="6"/>
  <c r="AT138" i="6"/>
  <c r="M180" i="6"/>
  <c r="AL60" i="6"/>
  <c r="Q145" i="6"/>
  <c r="V88" i="6"/>
  <c r="Q170" i="6"/>
  <c r="AT41" i="6"/>
  <c r="AD148" i="6"/>
  <c r="M25" i="6"/>
  <c r="AL67" i="6"/>
  <c r="AD152" i="6"/>
  <c r="U143" i="6"/>
  <c r="V143" i="6"/>
  <c r="AP45" i="6"/>
  <c r="AO45" i="6"/>
  <c r="R102" i="6"/>
  <c r="Q102" i="6"/>
  <c r="Q83" i="6"/>
  <c r="R83" i="6"/>
  <c r="Z88" i="6"/>
  <c r="AS87" i="6"/>
  <c r="AT87" i="6"/>
  <c r="AP149" i="6"/>
  <c r="M6" i="6"/>
  <c r="Y108" i="6"/>
  <c r="AH110" i="6"/>
  <c r="AG110" i="6"/>
  <c r="V129" i="6"/>
  <c r="U129" i="6"/>
  <c r="R35" i="6"/>
  <c r="Q35" i="6"/>
  <c r="AP107" i="6"/>
  <c r="AO107" i="6"/>
  <c r="Q142" i="6"/>
  <c r="R142" i="6"/>
  <c r="Y93" i="6"/>
  <c r="AS4" i="6"/>
  <c r="V93" i="6"/>
  <c r="AW171" i="6"/>
  <c r="N150" i="6"/>
  <c r="AK113" i="6"/>
  <c r="AK17" i="6"/>
  <c r="AX71" i="6"/>
  <c r="R46" i="6"/>
  <c r="Q188" i="6"/>
  <c r="AT45" i="6"/>
  <c r="AH95" i="6"/>
  <c r="AG95" i="6"/>
  <c r="AD107" i="6"/>
  <c r="AC107" i="6"/>
  <c r="AW40" i="6"/>
  <c r="AP79" i="6"/>
  <c r="Y38" i="6"/>
  <c r="AH24" i="6"/>
  <c r="AT58" i="6"/>
  <c r="Y142" i="6"/>
  <c r="AW12" i="6"/>
  <c r="AO128" i="6"/>
  <c r="AX129" i="6"/>
  <c r="AS193" i="6"/>
  <c r="AW55" i="6"/>
  <c r="AX79" i="6"/>
  <c r="AX113" i="6"/>
  <c r="AW130" i="6"/>
  <c r="Y149" i="6"/>
  <c r="Z171" i="6"/>
  <c r="AX137" i="6"/>
  <c r="AL180" i="6"/>
  <c r="AT154" i="6"/>
  <c r="Q115" i="6"/>
  <c r="AT55" i="6"/>
  <c r="AO188" i="6"/>
  <c r="AX44" i="6"/>
  <c r="AT73" i="6"/>
  <c r="U60" i="6"/>
  <c r="AT60" i="6"/>
  <c r="AS153" i="6"/>
  <c r="Z69" i="6"/>
  <c r="AL135" i="6"/>
  <c r="M184" i="6"/>
  <c r="R158" i="6"/>
  <c r="AX194" i="6"/>
  <c r="AS82" i="6"/>
  <c r="AC58" i="6"/>
  <c r="AT188" i="6"/>
  <c r="AX188" i="6"/>
  <c r="R23" i="6"/>
  <c r="V12" i="6"/>
  <c r="M17" i="6"/>
  <c r="AS129" i="6"/>
  <c r="AT135" i="6"/>
  <c r="AH158" i="6"/>
  <c r="AT33" i="6"/>
  <c r="V56" i="6"/>
  <c r="Z97" i="6"/>
  <c r="N55" i="6"/>
  <c r="AC71" i="6"/>
  <c r="Z153" i="6"/>
  <c r="Y44" i="6"/>
  <c r="AH30" i="6"/>
  <c r="V25" i="6"/>
  <c r="AX15" i="6"/>
  <c r="Q24" i="6"/>
  <c r="U133" i="6"/>
  <c r="AH9" i="6"/>
  <c r="AO129" i="6"/>
  <c r="U45" i="6"/>
  <c r="AS86" i="6"/>
  <c r="AL170" i="6"/>
  <c r="AS106" i="6"/>
  <c r="AT184" i="6"/>
  <c r="AW138" i="6"/>
  <c r="AW157" i="6"/>
  <c r="AT134" i="6"/>
  <c r="AW149" i="6"/>
  <c r="AT38" i="6"/>
  <c r="AS147" i="6"/>
  <c r="AX16" i="6"/>
  <c r="AP184" i="6"/>
  <c r="AT144" i="6"/>
  <c r="AO184" i="6"/>
  <c r="AW150" i="6"/>
  <c r="AP106" i="6"/>
  <c r="AO106" i="6"/>
  <c r="AO167" i="6"/>
  <c r="AS184" i="6"/>
  <c r="AL121" i="6"/>
  <c r="AT167" i="6"/>
  <c r="AT106" i="6"/>
  <c r="AO150" i="6"/>
  <c r="AO108" i="6"/>
  <c r="AT193" i="6"/>
  <c r="AK148" i="6"/>
  <c r="AP80" i="6"/>
  <c r="AP156" i="6"/>
  <c r="AK176" i="6"/>
  <c r="AO193" i="6"/>
  <c r="AK155" i="6"/>
  <c r="AK120" i="6"/>
  <c r="AP193" i="6"/>
  <c r="AX156" i="6"/>
  <c r="AK23" i="6"/>
  <c r="AL116" i="6"/>
  <c r="AL61" i="6"/>
  <c r="AK81" i="6"/>
  <c r="AL134" i="6"/>
  <c r="AL73" i="6"/>
  <c r="AL36" i="6"/>
  <c r="AK72" i="6"/>
  <c r="AK132" i="6"/>
  <c r="AK24" i="6"/>
  <c r="AC121" i="6"/>
  <c r="AG111" i="6"/>
  <c r="AG119" i="6"/>
  <c r="AG152" i="6"/>
  <c r="Y178" i="6"/>
  <c r="Z45" i="6"/>
  <c r="AD83" i="6"/>
  <c r="AD177" i="6"/>
  <c r="AC12" i="6"/>
  <c r="Y4" i="6"/>
  <c r="AC182" i="6"/>
  <c r="AC165" i="6"/>
  <c r="AC167" i="6"/>
  <c r="Y134" i="6"/>
  <c r="Z122" i="6"/>
  <c r="AC168" i="6"/>
  <c r="Z7" i="6"/>
  <c r="AD101" i="6"/>
  <c r="AC61" i="6"/>
  <c r="AC3" i="6"/>
  <c r="AT160" i="6"/>
  <c r="AL112" i="6"/>
  <c r="AT26" i="6"/>
  <c r="AD178" i="6"/>
  <c r="AT81" i="6"/>
  <c r="AX45" i="6"/>
  <c r="AW134" i="6"/>
  <c r="AX155" i="6"/>
  <c r="AP143" i="6"/>
  <c r="N188" i="6"/>
  <c r="AS96" i="6"/>
  <c r="AW89" i="6"/>
  <c r="AX73" i="6"/>
  <c r="AX150" i="6"/>
  <c r="AL99" i="6"/>
  <c r="U84" i="6"/>
  <c r="AT32" i="6"/>
  <c r="AK34" i="6"/>
  <c r="AS26" i="6"/>
  <c r="AS164" i="6"/>
  <c r="R153" i="6"/>
  <c r="AS187" i="6"/>
  <c r="AS167" i="6"/>
  <c r="V137" i="6"/>
  <c r="AP64" i="6"/>
  <c r="M165" i="6"/>
  <c r="AX89" i="6"/>
  <c r="AH159" i="6"/>
  <c r="AH4" i="6"/>
  <c r="Y144" i="6"/>
  <c r="AG163" i="6"/>
  <c r="AW57" i="6"/>
  <c r="N155" i="6"/>
  <c r="AX29" i="6"/>
  <c r="AL147" i="6"/>
  <c r="N176" i="6"/>
  <c r="AK31" i="6"/>
  <c r="AW177" i="6"/>
  <c r="AO74" i="6"/>
  <c r="AT19" i="6"/>
  <c r="AX55" i="6"/>
  <c r="AX31" i="6"/>
  <c r="AX24" i="6"/>
  <c r="AS14" i="6"/>
  <c r="AT143" i="6"/>
  <c r="AX80" i="6"/>
  <c r="AS175" i="6"/>
  <c r="V3" i="7"/>
  <c r="AW111" i="6"/>
  <c r="AC15" i="6"/>
  <c r="N162" i="6"/>
  <c r="AT4" i="6"/>
  <c r="AX193" i="6"/>
  <c r="AW80" i="6"/>
  <c r="AG5" i="6"/>
  <c r="AS135" i="6"/>
  <c r="AT129" i="6"/>
  <c r="AX75" i="6"/>
  <c r="N3" i="7"/>
  <c r="AP3" i="7"/>
  <c r="AG3" i="7"/>
  <c r="AS60" i="6"/>
  <c r="AW128" i="6"/>
  <c r="AC84" i="6"/>
  <c r="AD143" i="6"/>
  <c r="AD75" i="6"/>
  <c r="AW179" i="6"/>
  <c r="AW76" i="6"/>
  <c r="AS41" i="6"/>
  <c r="AT97" i="6"/>
  <c r="AW169" i="6"/>
  <c r="AS144" i="6"/>
  <c r="AT14" i="6"/>
  <c r="AX159" i="6"/>
  <c r="AG155" i="6"/>
  <c r="U44" i="6"/>
  <c r="AP95" i="6"/>
  <c r="AT83" i="6"/>
  <c r="AS24" i="6"/>
  <c r="M138" i="6"/>
  <c r="AH166" i="6"/>
  <c r="M3" i="5"/>
  <c r="AT153" i="6"/>
  <c r="AW71" i="6"/>
  <c r="AT24" i="6"/>
  <c r="AD161" i="6"/>
  <c r="AX99" i="6"/>
  <c r="AD67" i="6"/>
  <c r="AH173" i="6"/>
  <c r="Y36" i="6"/>
  <c r="AD114" i="6"/>
  <c r="Y55" i="6"/>
  <c r="U115" i="6"/>
  <c r="Q40" i="6"/>
  <c r="AG55" i="6"/>
  <c r="N156" i="6"/>
  <c r="Q121" i="6"/>
  <c r="AS45" i="6"/>
  <c r="AW95" i="6"/>
  <c r="AX30" i="6"/>
  <c r="AT61" i="6"/>
  <c r="AX76" i="6"/>
  <c r="M187" i="6"/>
  <c r="AW154" i="6"/>
  <c r="AP36" i="6"/>
  <c r="AT117" i="6"/>
  <c r="AX154" i="6"/>
  <c r="AP31" i="6"/>
  <c r="R147" i="6"/>
  <c r="R71" i="6"/>
  <c r="AW24" i="6"/>
  <c r="AP14" i="6"/>
  <c r="AS128" i="6"/>
  <c r="AX117" i="6"/>
  <c r="M129" i="6"/>
  <c r="AT5" i="6"/>
  <c r="AT7" i="6"/>
  <c r="AS134" i="6"/>
  <c r="AW69" i="6"/>
  <c r="AS22" i="6"/>
  <c r="AX171" i="6"/>
  <c r="AS76" i="6"/>
  <c r="M39" i="6"/>
  <c r="AW129" i="6"/>
  <c r="AX180" i="6"/>
  <c r="N3" i="5"/>
  <c r="AW33" i="6"/>
  <c r="AS180" i="6"/>
  <c r="AT180" i="6"/>
  <c r="AT89" i="6"/>
  <c r="AW121" i="6"/>
  <c r="R69" i="6"/>
  <c r="Y101" i="6"/>
  <c r="AO55" i="6"/>
  <c r="N134" i="6"/>
  <c r="AX130" i="6"/>
  <c r="AW44" i="6"/>
  <c r="AT119" i="6"/>
  <c r="AO164" i="6"/>
  <c r="AW16" i="6"/>
  <c r="AS19" i="6"/>
  <c r="N128" i="6"/>
  <c r="AT136" i="6"/>
  <c r="AT147" i="6"/>
  <c r="AS150" i="6"/>
  <c r="AX162" i="6"/>
  <c r="AX19" i="6"/>
  <c r="AW19" i="6"/>
  <c r="AX40" i="6"/>
  <c r="AS130" i="6"/>
  <c r="AT130" i="6"/>
  <c r="AX177" i="6"/>
  <c r="V113" i="6"/>
  <c r="V30" i="6"/>
  <c r="AS93" i="6"/>
  <c r="AX82" i="6"/>
  <c r="AX22" i="6"/>
  <c r="AX12" i="6"/>
  <c r="AO14" i="6"/>
  <c r="AD85" i="6"/>
  <c r="AX149" i="6"/>
  <c r="AW22" i="6"/>
  <c r="AX176" i="6"/>
  <c r="AW93" i="6"/>
  <c r="AW158" i="6"/>
  <c r="AW3" i="7"/>
  <c r="AW15" i="6"/>
  <c r="AW60" i="6"/>
  <c r="AW99" i="6"/>
  <c r="AW67" i="6"/>
  <c r="AT82" i="6"/>
  <c r="AS73" i="6"/>
  <c r="AW119" i="6"/>
  <c r="AW75" i="6"/>
  <c r="R119" i="6"/>
  <c r="AX119" i="6"/>
  <c r="V19" i="6"/>
  <c r="AD81" i="6"/>
  <c r="AT150" i="6"/>
  <c r="AW162" i="6"/>
  <c r="AC193" i="6"/>
  <c r="AW193" i="6"/>
  <c r="AD147" i="6"/>
  <c r="AW39" i="6"/>
  <c r="AT9" i="6"/>
  <c r="AS9" i="6"/>
  <c r="AT148" i="6"/>
  <c r="AS148" i="6"/>
  <c r="R194" i="6"/>
  <c r="Q194" i="6"/>
  <c r="Q89" i="6"/>
  <c r="R89" i="6"/>
  <c r="V32" i="6"/>
  <c r="U32" i="6"/>
  <c r="AG60" i="6"/>
  <c r="AH60" i="6"/>
  <c r="AG117" i="6"/>
  <c r="AH117" i="6"/>
  <c r="Y110" i="6"/>
  <c r="Z110" i="6"/>
  <c r="AT107" i="6"/>
  <c r="AS107" i="6"/>
  <c r="AP88" i="6"/>
  <c r="AO88" i="6"/>
  <c r="AW187" i="6"/>
  <c r="AX187" i="6"/>
  <c r="AL162" i="6"/>
  <c r="AK162" i="6"/>
  <c r="AP105" i="6"/>
  <c r="AO105" i="6"/>
  <c r="M121" i="6"/>
  <c r="N121" i="6"/>
  <c r="Z128" i="6"/>
  <c r="Y128" i="6"/>
  <c r="AT169" i="6"/>
  <c r="AO169" i="6"/>
  <c r="AP169" i="6"/>
  <c r="AG177" i="6"/>
  <c r="AH177" i="6"/>
  <c r="Z81" i="6"/>
  <c r="Y81" i="6"/>
  <c r="AK160" i="6"/>
  <c r="AL160" i="6"/>
  <c r="AH179" i="6"/>
  <c r="AG179" i="6"/>
  <c r="N137" i="6"/>
  <c r="M137" i="6"/>
  <c r="AL95" i="6"/>
  <c r="AK95" i="6"/>
  <c r="AW23" i="6"/>
  <c r="AX23" i="6"/>
  <c r="AD138" i="6"/>
  <c r="AC138" i="6"/>
  <c r="AW176" i="6"/>
  <c r="AL156" i="6"/>
  <c r="AK156" i="6"/>
  <c r="Z61" i="6"/>
  <c r="Y61" i="6"/>
  <c r="AT157" i="6"/>
  <c r="Z8" i="6"/>
  <c r="Y8" i="6"/>
  <c r="V95" i="6"/>
  <c r="U95" i="6"/>
  <c r="AP155" i="6"/>
  <c r="AO155" i="6"/>
  <c r="M44" i="6"/>
  <c r="N44" i="6"/>
  <c r="AL157" i="6"/>
  <c r="AK157" i="6"/>
  <c r="Y19" i="6"/>
  <c r="Z19" i="6"/>
  <c r="AG56" i="6"/>
  <c r="AH56" i="6"/>
  <c r="N9" i="6"/>
  <c r="M9" i="6"/>
  <c r="AG120" i="6"/>
  <c r="AH120" i="6"/>
  <c r="AL168" i="6"/>
  <c r="AK168" i="6"/>
  <c r="AC4" i="6"/>
  <c r="AD4" i="6"/>
  <c r="Z15" i="6"/>
  <c r="Y15" i="6"/>
  <c r="Q25" i="6"/>
  <c r="R25" i="6"/>
  <c r="AX158" i="6"/>
  <c r="AL142" i="6"/>
  <c r="AK142" i="6"/>
  <c r="AS7" i="6"/>
  <c r="AO7" i="6"/>
  <c r="AP7" i="6"/>
  <c r="AP18" i="6"/>
  <c r="AO18" i="6"/>
  <c r="Y121" i="6"/>
  <c r="Z121" i="6"/>
  <c r="AP101" i="6"/>
  <c r="AO101" i="6"/>
  <c r="AO8" i="6"/>
  <c r="AP8" i="6"/>
  <c r="AS122" i="6"/>
  <c r="AT122" i="6"/>
  <c r="Y87" i="6"/>
  <c r="Z87" i="6"/>
  <c r="AH193" i="6"/>
  <c r="AG193" i="6"/>
  <c r="Q19" i="6"/>
  <c r="R19" i="6"/>
  <c r="R3" i="6"/>
  <c r="Q3" i="6"/>
  <c r="AK159" i="6"/>
  <c r="AL159" i="6"/>
  <c r="AC39" i="6"/>
  <c r="AD39" i="6"/>
  <c r="R166" i="6"/>
  <c r="Q166" i="6"/>
  <c r="AX88" i="6"/>
  <c r="AW88" i="6"/>
  <c r="U18" i="6"/>
  <c r="V18" i="6"/>
  <c r="AK80" i="6"/>
  <c r="AL80" i="6"/>
  <c r="Q155" i="6"/>
  <c r="R155" i="6"/>
  <c r="Y147" i="6"/>
  <c r="Z147" i="6"/>
  <c r="AH14" i="6"/>
  <c r="AG14" i="6"/>
  <c r="AP153" i="6"/>
  <c r="AO153" i="6"/>
  <c r="AX182" i="6"/>
  <c r="AW182" i="6"/>
  <c r="Y102" i="6"/>
  <c r="Z102" i="6"/>
  <c r="AX153" i="6"/>
  <c r="AP112" i="6"/>
  <c r="AO112" i="6"/>
  <c r="AG121" i="6"/>
  <c r="AH121" i="6"/>
  <c r="M74" i="6"/>
  <c r="N74" i="6"/>
  <c r="Z187" i="6"/>
  <c r="Y187" i="6"/>
  <c r="AG37" i="6"/>
  <c r="AH37" i="6"/>
  <c r="N164" i="6"/>
  <c r="M164" i="6"/>
  <c r="M14" i="6"/>
  <c r="N14" i="6"/>
  <c r="V119" i="6"/>
  <c r="U119" i="6"/>
  <c r="U73" i="6"/>
  <c r="V73" i="6"/>
  <c r="AS127" i="6"/>
  <c r="AP127" i="6"/>
  <c r="AO127" i="6"/>
  <c r="AH101" i="6"/>
  <c r="AG101" i="6"/>
  <c r="AD38" i="6"/>
  <c r="AC38" i="6"/>
  <c r="AP168" i="6"/>
  <c r="AO168" i="6"/>
  <c r="Q149" i="6"/>
  <c r="R149" i="6"/>
  <c r="AW32" i="6"/>
  <c r="AX32" i="6"/>
  <c r="V34" i="6"/>
  <c r="U34" i="6"/>
  <c r="AW142" i="6"/>
  <c r="AP142" i="6"/>
  <c r="AO142" i="6"/>
  <c r="AL133" i="6"/>
  <c r="AK133" i="6"/>
  <c r="AX142" i="6"/>
  <c r="Y25" i="6"/>
  <c r="Z25" i="6"/>
  <c r="Z92" i="6"/>
  <c r="Y92" i="6"/>
  <c r="AX116" i="6"/>
  <c r="AW116" i="6"/>
  <c r="AD132" i="6"/>
  <c r="AC132" i="6"/>
  <c r="AH7" i="6"/>
  <c r="AG7" i="6"/>
  <c r="AS176" i="6"/>
  <c r="AT176" i="6"/>
  <c r="R45" i="6"/>
  <c r="Q45" i="6"/>
  <c r="AT163" i="6"/>
  <c r="AS163" i="6"/>
  <c r="R77" i="6"/>
  <c r="Q77" i="6"/>
  <c r="N41" i="6"/>
  <c r="M41" i="6"/>
  <c r="AO165" i="6"/>
  <c r="AP165" i="6"/>
  <c r="AK16" i="6"/>
  <c r="AL16" i="6"/>
  <c r="N193" i="6"/>
  <c r="M193" i="6"/>
  <c r="AK129" i="6"/>
  <c r="AL129" i="6"/>
  <c r="AO173" i="6"/>
  <c r="AP173" i="6"/>
  <c r="AC64" i="6"/>
  <c r="AD64" i="6"/>
  <c r="N102" i="6"/>
  <c r="M102" i="6"/>
  <c r="Y75" i="6"/>
  <c r="Z75" i="6"/>
  <c r="AW153" i="6"/>
  <c r="Q165" i="6"/>
  <c r="R165" i="6"/>
  <c r="AX57" i="6"/>
  <c r="AX95" i="6"/>
  <c r="V114" i="6"/>
  <c r="U114" i="6"/>
  <c r="AS159" i="6"/>
  <c r="AT159" i="6"/>
  <c r="N169" i="6"/>
  <c r="M169" i="6"/>
  <c r="AL182" i="6"/>
  <c r="AK182" i="6"/>
  <c r="AG23" i="6"/>
  <c r="AH23" i="6"/>
  <c r="AG115" i="6"/>
  <c r="AH115" i="6"/>
  <c r="R193" i="6"/>
  <c r="Q193" i="6"/>
  <c r="AL12" i="6"/>
  <c r="AK12" i="6"/>
  <c r="V139" i="6"/>
  <c r="U139" i="6"/>
  <c r="M105" i="6"/>
  <c r="N105" i="6"/>
  <c r="Y76" i="6"/>
  <c r="Z76" i="6"/>
  <c r="AS165" i="6"/>
  <c r="AT165" i="6"/>
  <c r="Z73" i="6"/>
  <c r="Y73" i="6"/>
  <c r="N29" i="6"/>
  <c r="M29" i="6"/>
  <c r="Q152" i="6"/>
  <c r="R152" i="6"/>
  <c r="AH165" i="6"/>
  <c r="AG165" i="6"/>
  <c r="Z56" i="6"/>
  <c r="Y56" i="6"/>
  <c r="U4" i="6"/>
  <c r="V4" i="6"/>
  <c r="AW145" i="6"/>
  <c r="AX145" i="6"/>
  <c r="AX63" i="6"/>
  <c r="AS63" i="6"/>
  <c r="AT63" i="6"/>
  <c r="AC63" i="6"/>
  <c r="AD63" i="6"/>
  <c r="U142" i="6"/>
  <c r="V142" i="6"/>
  <c r="AX184" i="6"/>
  <c r="AW184" i="6"/>
  <c r="AT3" i="6"/>
  <c r="AS3" i="6"/>
  <c r="Q26" i="6"/>
  <c r="R26" i="6"/>
  <c r="AG135" i="6"/>
  <c r="AH135" i="6"/>
  <c r="R79" i="6"/>
  <c r="Q79" i="6"/>
  <c r="Y3" i="7"/>
  <c r="Z3" i="7"/>
  <c r="Q44" i="6"/>
  <c r="R44" i="6"/>
  <c r="R138" i="6"/>
  <c r="Q138" i="6"/>
  <c r="AW10" i="6"/>
  <c r="AX10" i="6"/>
  <c r="AS18" i="6"/>
  <c r="AW108" i="6"/>
  <c r="AT108" i="6"/>
  <c r="AS108" i="6"/>
  <c r="AW136" i="6"/>
  <c r="AX136" i="6"/>
  <c r="Y164" i="6"/>
  <c r="Z164" i="6"/>
  <c r="AL169" i="6"/>
  <c r="AK169" i="6"/>
  <c r="AX160" i="6"/>
  <c r="AW160" i="6"/>
  <c r="M23" i="6"/>
  <c r="N23" i="6"/>
  <c r="AP96" i="6"/>
  <c r="AO96" i="6"/>
  <c r="AK64" i="6"/>
  <c r="AL64" i="6"/>
  <c r="U71" i="6"/>
  <c r="V71" i="6"/>
  <c r="AW166" i="6"/>
  <c r="AX166" i="6"/>
  <c r="AD160" i="6"/>
  <c r="AC160" i="6"/>
  <c r="V122" i="6"/>
  <c r="U122" i="6"/>
  <c r="AW14" i="6"/>
  <c r="AX14" i="6"/>
  <c r="AC156" i="6"/>
  <c r="AD156" i="6"/>
  <c r="AW101" i="6"/>
  <c r="V165" i="6"/>
  <c r="U165" i="6"/>
  <c r="AP160" i="6"/>
  <c r="AO160" i="6"/>
  <c r="AK108" i="6"/>
  <c r="AL108" i="6"/>
  <c r="Z150" i="6"/>
  <c r="Y150" i="6"/>
  <c r="AH76" i="6"/>
  <c r="AG76" i="6"/>
  <c r="AK29" i="6"/>
  <c r="AL29" i="6"/>
  <c r="U184" i="6"/>
  <c r="V184" i="6"/>
  <c r="AL184" i="6"/>
  <c r="AK184" i="6"/>
  <c r="AP82" i="6"/>
  <c r="AO82" i="6"/>
  <c r="N92" i="6"/>
  <c r="M92" i="6"/>
  <c r="AH15" i="6"/>
  <c r="AG15" i="6"/>
  <c r="AD130" i="6"/>
  <c r="AC130" i="6"/>
  <c r="AH63" i="6"/>
  <c r="AG63" i="6"/>
  <c r="AW82" i="6"/>
  <c r="AO93" i="6"/>
  <c r="AP93" i="6"/>
  <c r="AH25" i="6"/>
  <c r="AG25" i="6"/>
  <c r="Z3" i="6"/>
  <c r="Y3" i="6"/>
  <c r="R130" i="6"/>
  <c r="Q130" i="6"/>
  <c r="AW63" i="6"/>
  <c r="AL46" i="6"/>
  <c r="AK46" i="6"/>
  <c r="AC93" i="6"/>
  <c r="AD93" i="6"/>
  <c r="AC72" i="6"/>
  <c r="AD72" i="6"/>
  <c r="AT3" i="7"/>
  <c r="AS3" i="7"/>
  <c r="AL106" i="6"/>
  <c r="AK106" i="6"/>
  <c r="AG3" i="6"/>
  <c r="AH3" i="6"/>
  <c r="AK96" i="6"/>
  <c r="AL96" i="6"/>
  <c r="U127" i="6"/>
  <c r="V127" i="6"/>
  <c r="Q87" i="6"/>
  <c r="R87" i="6"/>
  <c r="AC159" i="6"/>
  <c r="AD159" i="6"/>
  <c r="AG17" i="6"/>
  <c r="AH17" i="6"/>
  <c r="AC5" i="6"/>
  <c r="AD5" i="6"/>
  <c r="AD88" i="6"/>
  <c r="AC88" i="6"/>
  <c r="M31" i="6"/>
  <c r="N31" i="6"/>
  <c r="AO176" i="6"/>
  <c r="AP176" i="6"/>
  <c r="AC96" i="6"/>
  <c r="AD96" i="6"/>
  <c r="AG161" i="6"/>
  <c r="AH161" i="6"/>
  <c r="AD77" i="6"/>
  <c r="AC77" i="6"/>
  <c r="AW41" i="6"/>
  <c r="AX41" i="6"/>
  <c r="AS71" i="6"/>
  <c r="AT71" i="6"/>
  <c r="AH182" i="6"/>
  <c r="AG182" i="6"/>
  <c r="V24" i="6"/>
  <c r="U24" i="6"/>
  <c r="Y175" i="6"/>
  <c r="Z175" i="6"/>
  <c r="AX64" i="6"/>
  <c r="AW64" i="6"/>
  <c r="N153" i="6"/>
  <c r="M153" i="6"/>
  <c r="AT121" i="6"/>
  <c r="AS121" i="6"/>
  <c r="AX101" i="6"/>
  <c r="R186" i="6"/>
  <c r="Q186" i="6"/>
  <c r="AW137" i="6"/>
  <c r="AS105" i="6"/>
  <c r="AT105" i="6"/>
  <c r="AX143" i="6"/>
  <c r="AW143" i="6"/>
  <c r="AK55" i="6"/>
  <c r="AL55" i="6"/>
  <c r="AO81" i="6"/>
  <c r="AP81" i="6"/>
  <c r="Z176" i="6"/>
  <c r="Y176" i="6"/>
  <c r="N179" i="6"/>
  <c r="M179" i="6"/>
  <c r="Y107" i="6"/>
  <c r="Z107" i="6"/>
  <c r="AS113" i="6"/>
  <c r="AT113" i="6"/>
  <c r="AS158" i="6"/>
  <c r="AT158" i="6"/>
  <c r="N158" i="6"/>
  <c r="M158" i="6"/>
  <c r="AX7" i="6"/>
  <c r="AW7" i="6"/>
  <c r="AT25" i="6"/>
  <c r="N46" i="6"/>
  <c r="M46" i="6"/>
  <c r="AX144" i="6"/>
  <c r="AW144" i="6"/>
  <c r="AT56" i="6"/>
  <c r="AS168" i="6"/>
  <c r="AS194" i="6"/>
  <c r="AT194" i="6"/>
  <c r="AD111" i="6"/>
  <c r="AC111" i="6"/>
  <c r="U7" i="6"/>
  <c r="V7" i="6"/>
  <c r="M168" i="6"/>
  <c r="N168" i="6"/>
  <c r="AH106" i="6"/>
  <c r="AG106" i="6"/>
  <c r="V63" i="6"/>
  <c r="U63" i="6"/>
  <c r="AK83" i="6"/>
  <c r="AL83" i="6"/>
  <c r="Y145" i="6"/>
  <c r="Z145" i="6"/>
  <c r="AK3" i="7"/>
  <c r="AL3" i="7"/>
  <c r="R135" i="6"/>
  <c r="Q135" i="6"/>
  <c r="R85" i="6"/>
  <c r="Q85" i="6"/>
  <c r="Q84" i="6"/>
  <c r="R84" i="6"/>
  <c r="R168" i="6"/>
  <c r="Q168" i="6"/>
  <c r="AL194" i="6"/>
  <c r="AK194" i="6"/>
  <c r="V158" i="6"/>
  <c r="U158" i="6"/>
  <c r="Q58" i="6"/>
  <c r="R58" i="6"/>
  <c r="AL69" i="6"/>
  <c r="AK69" i="6"/>
  <c r="AO32" i="6"/>
  <c r="AP32" i="6"/>
  <c r="R97" i="6"/>
  <c r="Q97" i="6"/>
  <c r="AS15" i="6"/>
  <c r="AT15" i="6"/>
  <c r="AC14" i="6"/>
  <c r="AD14" i="6"/>
  <c r="N127" i="6"/>
  <c r="M127" i="6"/>
  <c r="AD44" i="6"/>
  <c r="AC44" i="6"/>
  <c r="AW113" i="6"/>
  <c r="AX186" i="6"/>
  <c r="AW186" i="6"/>
  <c r="M81" i="6"/>
  <c r="N81" i="6"/>
  <c r="AH36" i="6"/>
  <c r="AG36" i="6"/>
  <c r="AL115" i="6"/>
  <c r="AK115" i="6"/>
  <c r="AH137" i="6"/>
  <c r="AG137" i="6"/>
  <c r="N64" i="6"/>
  <c r="M64" i="6"/>
  <c r="AG88" i="6"/>
  <c r="AH88" i="6"/>
  <c r="AS31" i="6"/>
  <c r="AT31" i="6"/>
  <c r="AX81" i="6"/>
  <c r="AW81" i="6"/>
  <c r="AD45" i="6"/>
  <c r="AC45" i="6"/>
  <c r="AH57" i="6"/>
  <c r="AG57" i="6"/>
  <c r="V175" i="6"/>
  <c r="U175" i="6"/>
  <c r="AS119" i="6"/>
  <c r="AO119" i="6"/>
  <c r="AP119" i="6"/>
  <c r="AS40" i="6"/>
  <c r="M147" i="6"/>
  <c r="N147" i="6"/>
  <c r="AD115" i="6"/>
  <c r="AC115" i="6"/>
  <c r="AX134" i="6"/>
  <c r="Y74" i="6"/>
  <c r="Z74" i="6"/>
  <c r="R80" i="6"/>
  <c r="Q80" i="6"/>
  <c r="U138" i="6"/>
  <c r="V138" i="6"/>
  <c r="AC23" i="6"/>
  <c r="AD23" i="6"/>
  <c r="AD112" i="6"/>
  <c r="AC112" i="6"/>
  <c r="Q106" i="6"/>
  <c r="R106" i="6"/>
  <c r="AP25" i="6"/>
  <c r="AO25" i="6"/>
  <c r="AL97" i="6"/>
  <c r="AK97" i="6"/>
  <c r="AX133" i="6"/>
  <c r="AW133" i="6"/>
  <c r="Z6" i="6"/>
  <c r="Y6" i="6"/>
  <c r="AX85" i="6"/>
  <c r="AW85" i="6"/>
  <c r="V97" i="6"/>
  <c r="U97" i="6"/>
  <c r="AS142" i="6"/>
  <c r="M69" i="6"/>
  <c r="N69" i="6"/>
  <c r="R112" i="6"/>
  <c r="Q112" i="6"/>
  <c r="Y23" i="6"/>
  <c r="Z23" i="6"/>
  <c r="AT101" i="6"/>
  <c r="AD153" i="6"/>
  <c r="AC153" i="6"/>
  <c r="Y30" i="6"/>
  <c r="Z30" i="6"/>
  <c r="AT137" i="6"/>
  <c r="AO137" i="6"/>
  <c r="AP137" i="6"/>
  <c r="AW96" i="6"/>
  <c r="AX96" i="6"/>
  <c r="AK41" i="6"/>
  <c r="AL41" i="6"/>
  <c r="N24" i="6"/>
  <c r="M24" i="6"/>
  <c r="AO152" i="6"/>
  <c r="AP152" i="6"/>
  <c r="AT23" i="6"/>
  <c r="AS23" i="6"/>
  <c r="V36" i="6"/>
  <c r="U36" i="6"/>
  <c r="AS37" i="6"/>
  <c r="N143" i="6"/>
  <c r="M143" i="6"/>
  <c r="AD10" i="6"/>
  <c r="AC10" i="6"/>
  <c r="AW175" i="6"/>
  <c r="AX175" i="6"/>
  <c r="AG39" i="6"/>
  <c r="AH39" i="6"/>
  <c r="AC37" i="6"/>
  <c r="AD37" i="6"/>
  <c r="AX167" i="6"/>
  <c r="AW167" i="6"/>
  <c r="AX67" i="6"/>
  <c r="AT40" i="6"/>
  <c r="AG16" i="6"/>
  <c r="AH16" i="6"/>
  <c r="AO99" i="6"/>
  <c r="AP99" i="6"/>
  <c r="Y119" i="6"/>
  <c r="Z119" i="6"/>
  <c r="Y167" i="6"/>
  <c r="Z167" i="6"/>
  <c r="Z169" i="6"/>
  <c r="Y169" i="6"/>
  <c r="AK164" i="6"/>
  <c r="AL164" i="6"/>
  <c r="AW77" i="6"/>
  <c r="AT77" i="6"/>
  <c r="AS77" i="6"/>
  <c r="AH164" i="6"/>
  <c r="AG164" i="6"/>
  <c r="AD36" i="6"/>
  <c r="AC36" i="6"/>
  <c r="R110" i="6"/>
  <c r="Q110" i="6"/>
  <c r="AS85" i="6"/>
  <c r="AT85" i="6"/>
  <c r="AP114" i="6"/>
  <c r="AO114" i="6"/>
  <c r="AD149" i="6"/>
  <c r="AC149" i="6"/>
  <c r="AT133" i="6"/>
  <c r="AS133" i="6"/>
  <c r="M93" i="6"/>
  <c r="N93" i="6"/>
  <c r="U120" i="6"/>
  <c r="V120" i="6"/>
  <c r="V26" i="6"/>
  <c r="U26" i="6"/>
  <c r="AT142" i="6"/>
  <c r="AX4" i="6"/>
  <c r="AW4" i="6"/>
  <c r="M144" i="6"/>
  <c r="N144" i="6"/>
  <c r="Q60" i="6"/>
  <c r="R60" i="6"/>
  <c r="AP117" i="6"/>
  <c r="AO117" i="6"/>
  <c r="AT30" i="6"/>
  <c r="AS30" i="6"/>
  <c r="AH71" i="6"/>
  <c r="AG71" i="6"/>
  <c r="U121" i="6"/>
  <c r="V121" i="6"/>
  <c r="AG176" i="6"/>
  <c r="AH176" i="6"/>
  <c r="AX173" i="6"/>
  <c r="AW173" i="6"/>
  <c r="M19" i="6"/>
  <c r="N19" i="6"/>
  <c r="AS101" i="6"/>
  <c r="M75" i="6"/>
  <c r="N75" i="6"/>
  <c r="AS170" i="6"/>
  <c r="AT99" i="6"/>
  <c r="AS99" i="6"/>
  <c r="AS17" i="6"/>
  <c r="AT17" i="6"/>
  <c r="V171" i="6"/>
  <c r="U171" i="6"/>
  <c r="U39" i="6"/>
  <c r="V39" i="6"/>
  <c r="AW132" i="6"/>
  <c r="Z16" i="6"/>
  <c r="Y16" i="6"/>
  <c r="Q61" i="6"/>
  <c r="R61" i="6"/>
  <c r="AX39" i="6"/>
  <c r="U14" i="6"/>
  <c r="V14" i="6"/>
  <c r="AD119" i="6"/>
  <c r="AC119" i="6"/>
  <c r="AH41" i="6"/>
  <c r="AG41" i="6"/>
  <c r="Q179" i="6"/>
  <c r="R179" i="6"/>
  <c r="AH45" i="6"/>
  <c r="AG45" i="6"/>
  <c r="AW152" i="6"/>
  <c r="AD166" i="6"/>
  <c r="AC166" i="6"/>
  <c r="AC173" i="6"/>
  <c r="AD173" i="6"/>
  <c r="Z96" i="6"/>
  <c r="Y96" i="6"/>
  <c r="AP179" i="6"/>
  <c r="AO179" i="6"/>
  <c r="R148" i="6"/>
  <c r="Q148" i="6"/>
  <c r="AL149" i="6"/>
  <c r="AK149" i="6"/>
  <c r="Y33" i="6"/>
  <c r="Z33" i="6"/>
  <c r="Y83" i="6"/>
  <c r="Z83" i="6"/>
  <c r="AC74" i="6"/>
  <c r="AD74" i="6"/>
  <c r="AW86" i="6"/>
  <c r="AX86" i="6"/>
  <c r="AH19" i="6"/>
  <c r="AG19" i="6"/>
  <c r="AC73" i="6"/>
  <c r="AD73" i="6"/>
  <c r="AC122" i="6"/>
  <c r="AD122" i="6"/>
  <c r="AD127" i="6"/>
  <c r="AC127" i="6"/>
  <c r="AX37" i="6"/>
  <c r="AW37" i="6"/>
  <c r="AC186" i="6"/>
  <c r="AD186" i="6"/>
  <c r="AT12" i="6"/>
  <c r="AS12" i="6"/>
  <c r="Z143" i="6"/>
  <c r="Y143" i="6"/>
  <c r="AX3" i="6"/>
  <c r="AW3" i="6"/>
  <c r="AG178" i="6"/>
  <c r="AH178" i="6"/>
  <c r="V61" i="6"/>
  <c r="U61" i="6"/>
  <c r="AG132" i="6"/>
  <c r="AH132" i="6"/>
  <c r="AC8" i="6"/>
  <c r="AD8" i="6"/>
  <c r="AX121" i="6"/>
  <c r="V163" i="6"/>
  <c r="U163" i="6"/>
  <c r="AP61" i="6"/>
  <c r="AO61" i="6"/>
  <c r="AH31" i="6"/>
  <c r="AG31" i="6"/>
  <c r="N40" i="6"/>
  <c r="M40" i="6"/>
  <c r="AX178" i="6"/>
  <c r="AD108" i="6"/>
  <c r="AC108" i="6"/>
  <c r="AW29" i="6"/>
  <c r="AX152" i="6"/>
  <c r="AW31" i="6"/>
  <c r="M157" i="6"/>
  <c r="N157" i="6"/>
  <c r="AW155" i="6"/>
  <c r="AD139" i="6"/>
  <c r="AC139" i="6"/>
  <c r="AT115" i="6"/>
  <c r="AS115" i="6"/>
  <c r="N186" i="6"/>
  <c r="M186" i="6"/>
  <c r="AX139" i="6"/>
  <c r="AW139" i="6"/>
  <c r="Y40" i="6"/>
  <c r="Z40" i="6"/>
  <c r="AT46" i="6"/>
  <c r="AO46" i="6"/>
  <c r="AP46" i="6"/>
  <c r="AL26" i="6"/>
  <c r="AK26" i="6"/>
  <c r="U107" i="6"/>
  <c r="V107" i="6"/>
  <c r="R34" i="6"/>
  <c r="Q34" i="6"/>
  <c r="V75" i="6"/>
  <c r="U75" i="6"/>
  <c r="Y133" i="6"/>
  <c r="Z133" i="6"/>
  <c r="AP92" i="6"/>
  <c r="AO92" i="6"/>
  <c r="Y114" i="6"/>
  <c r="Z114" i="6"/>
  <c r="V86" i="6"/>
  <c r="U86" i="6"/>
  <c r="AT39" i="6"/>
  <c r="AS39" i="6"/>
  <c r="AK166" i="6"/>
  <c r="AL166" i="6"/>
  <c r="V170" i="6"/>
  <c r="U170" i="6"/>
  <c r="Z157" i="6"/>
  <c r="Y157" i="6"/>
  <c r="V64" i="6"/>
  <c r="U64" i="6"/>
  <c r="AD155" i="6"/>
  <c r="AC155" i="6"/>
  <c r="AL163" i="6"/>
  <c r="AK163" i="6"/>
  <c r="N86" i="6"/>
  <c r="M86" i="6"/>
  <c r="AK74" i="6"/>
  <c r="AL74" i="6"/>
  <c r="V132" i="6"/>
  <c r="U132" i="6"/>
  <c r="Z105" i="6"/>
  <c r="Y105" i="6"/>
  <c r="Y170" i="6"/>
  <c r="Z170" i="6"/>
  <c r="N122" i="6"/>
  <c r="M122" i="6"/>
  <c r="AD136" i="6"/>
  <c r="AC136" i="6"/>
  <c r="Q187" i="6"/>
  <c r="R187" i="6"/>
  <c r="AS29" i="6"/>
  <c r="AT29" i="6"/>
  <c r="AS46" i="6"/>
  <c r="U31" i="6"/>
  <c r="V31" i="6"/>
  <c r="U134" i="6"/>
  <c r="V134" i="6"/>
  <c r="Z154" i="6"/>
  <c r="Y154" i="6"/>
  <c r="AX68" i="6"/>
  <c r="AC162" i="6"/>
  <c r="AD162" i="6"/>
  <c r="AK139" i="6"/>
  <c r="AL139" i="6"/>
  <c r="AX74" i="6"/>
  <c r="AT152" i="6"/>
  <c r="AS182" i="6"/>
  <c r="AP182" i="6"/>
  <c r="AO182" i="6"/>
  <c r="Z152" i="6"/>
  <c r="Y152" i="6"/>
  <c r="AX38" i="6"/>
  <c r="AW38" i="6"/>
  <c r="V160" i="6"/>
  <c r="U160" i="6"/>
  <c r="Z186" i="6"/>
  <c r="Y186" i="6"/>
  <c r="AX147" i="6"/>
  <c r="AW147" i="6"/>
  <c r="AG113" i="6"/>
  <c r="AH113" i="6"/>
  <c r="AG85" i="6"/>
  <c r="AH85" i="6"/>
  <c r="Z46" i="6"/>
  <c r="Y46" i="6"/>
  <c r="Y116" i="6"/>
  <c r="Z116" i="6"/>
  <c r="U22" i="6"/>
  <c r="V22" i="6"/>
  <c r="AG83" i="6"/>
  <c r="AH83" i="6"/>
  <c r="AT118" i="6"/>
  <c r="AG130" i="6"/>
  <c r="AH130" i="6"/>
  <c r="AH180" i="6"/>
  <c r="AG180" i="6"/>
  <c r="AL63" i="6"/>
  <c r="AK63" i="6"/>
  <c r="Q82" i="6"/>
  <c r="R82" i="6"/>
  <c r="AH184" i="6"/>
  <c r="AG184" i="6"/>
  <c r="N133" i="6"/>
  <c r="M133" i="6"/>
  <c r="AT37" i="6"/>
  <c r="AO37" i="6"/>
  <c r="AP37" i="6"/>
  <c r="AX169" i="6"/>
  <c r="AL154" i="6"/>
  <c r="AK154" i="6"/>
  <c r="AO67" i="6"/>
  <c r="AP67" i="6"/>
  <c r="U37" i="6"/>
  <c r="V37" i="6"/>
  <c r="AS95" i="6"/>
  <c r="AT95" i="6"/>
  <c r="AX170" i="6"/>
  <c r="AK38" i="6"/>
  <c r="AL38" i="6"/>
  <c r="AO171" i="6"/>
  <c r="AP171" i="6"/>
  <c r="AS177" i="6"/>
  <c r="AT177" i="6"/>
  <c r="AK161" i="6"/>
  <c r="AL161" i="6"/>
  <c r="AG77" i="6"/>
  <c r="AH77" i="6"/>
  <c r="V80" i="6"/>
  <c r="U80" i="6"/>
  <c r="AX122" i="6"/>
  <c r="V69" i="6"/>
  <c r="U69" i="6"/>
  <c r="U74" i="6"/>
  <c r="V74" i="6"/>
  <c r="M171" i="6"/>
  <c r="N171" i="6"/>
  <c r="V161" i="6"/>
  <c r="U161" i="6"/>
  <c r="Q30" i="6"/>
  <c r="R30" i="6"/>
  <c r="AP24" i="6"/>
  <c r="AO24" i="6"/>
  <c r="Q137" i="6"/>
  <c r="R137" i="6"/>
  <c r="AT68" i="6"/>
  <c r="AW105" i="6"/>
  <c r="AS152" i="6"/>
  <c r="AO30" i="6"/>
  <c r="AP30" i="6"/>
  <c r="AW61" i="6"/>
  <c r="AX61" i="6"/>
  <c r="N154" i="6"/>
  <c r="M154" i="6"/>
  <c r="AT86" i="6"/>
  <c r="AO86" i="6"/>
  <c r="AP86" i="6"/>
  <c r="M99" i="6"/>
  <c r="N99" i="6"/>
  <c r="AX9" i="6"/>
  <c r="AW9" i="6"/>
  <c r="Q3" i="7"/>
  <c r="R3" i="7"/>
  <c r="Y58" i="6"/>
  <c r="Z58" i="6"/>
  <c r="AX111" i="6"/>
  <c r="AP111" i="6"/>
  <c r="AO111" i="6"/>
  <c r="AP40" i="6"/>
  <c r="AO40" i="6"/>
  <c r="AP3" i="6"/>
  <c r="AO3" i="6"/>
  <c r="AP145" i="6"/>
  <c r="AO145" i="6"/>
  <c r="AW107" i="6"/>
  <c r="AW194" i="6"/>
  <c r="AS145" i="6"/>
  <c r="AK6" i="6"/>
  <c r="AL6" i="6"/>
  <c r="AX83" i="6"/>
  <c r="AO83" i="6"/>
  <c r="AP83" i="6"/>
  <c r="AC145" i="6"/>
  <c r="AD145" i="6"/>
  <c r="AX56" i="6"/>
  <c r="AO22" i="6"/>
  <c r="AP22" i="6"/>
  <c r="AG84" i="6"/>
  <c r="AH84" i="6"/>
  <c r="AD180" i="6"/>
  <c r="AC180" i="6"/>
  <c r="AX148" i="6"/>
  <c r="AX92" i="6"/>
  <c r="N56" i="6"/>
  <c r="M56" i="6"/>
  <c r="AC120" i="6"/>
  <c r="AD120" i="6"/>
  <c r="AS111" i="6"/>
  <c r="AT111" i="6"/>
  <c r="AW106" i="6"/>
  <c r="AX106" i="6"/>
  <c r="AT110" i="6"/>
  <c r="AP110" i="6"/>
  <c r="AO110" i="6"/>
  <c r="AT72" i="6"/>
  <c r="AS72" i="6"/>
  <c r="AD68" i="6"/>
  <c r="AC68" i="6"/>
  <c r="U147" i="6"/>
  <c r="V147" i="6"/>
  <c r="AX164" i="6"/>
  <c r="AW164" i="6"/>
  <c r="AK30" i="6"/>
  <c r="AL30" i="6"/>
  <c r="AW170" i="6"/>
  <c r="Q37" i="6"/>
  <c r="R37" i="6"/>
  <c r="R176" i="6"/>
  <c r="Q176" i="6"/>
  <c r="AL44" i="6"/>
  <c r="AK44" i="6"/>
  <c r="AT96" i="6"/>
  <c r="AS173" i="6"/>
  <c r="AW122" i="6"/>
  <c r="AS137" i="6"/>
  <c r="Q114" i="6"/>
  <c r="R114" i="6"/>
  <c r="AX3" i="7"/>
  <c r="U101" i="6"/>
  <c r="V101" i="6"/>
  <c r="Q161" i="6"/>
  <c r="R161" i="6"/>
  <c r="AL87" i="6"/>
  <c r="AK87" i="6"/>
  <c r="AP75" i="6"/>
  <c r="AO75" i="6"/>
  <c r="AT75" i="6"/>
  <c r="AS75" i="6"/>
  <c r="AH147" i="6"/>
  <c r="AG147" i="6"/>
  <c r="AX105" i="6"/>
  <c r="AX108" i="6"/>
  <c r="AP134" i="6"/>
  <c r="AO134" i="6"/>
  <c r="AK8" i="6"/>
  <c r="AL8" i="6"/>
  <c r="Q96" i="6"/>
  <c r="R96" i="6"/>
  <c r="AC41" i="6"/>
  <c r="AD41" i="6"/>
  <c r="AX157" i="6"/>
  <c r="Q182" i="6"/>
  <c r="R182" i="6"/>
  <c r="Y67" i="6"/>
  <c r="Z67" i="6"/>
  <c r="AT171" i="6"/>
  <c r="N145" i="6"/>
  <c r="M145" i="6"/>
  <c r="Z168" i="6"/>
  <c r="Y168" i="6"/>
  <c r="AD97" i="6"/>
  <c r="AC97" i="6"/>
  <c r="AW114" i="6"/>
  <c r="AX114" i="6"/>
  <c r="AX107" i="6"/>
  <c r="AT145" i="6"/>
  <c r="AT6" i="6"/>
  <c r="AS6" i="6"/>
  <c r="AC22" i="6"/>
  <c r="AD22" i="6"/>
  <c r="N110" i="6"/>
  <c r="M110" i="6"/>
  <c r="AH6" i="6"/>
  <c r="AG6" i="6"/>
  <c r="AW148" i="6"/>
  <c r="Y194" i="6"/>
  <c r="Z194" i="6"/>
  <c r="Z89" i="6"/>
  <c r="Y89" i="6"/>
  <c r="AL56" i="6"/>
  <c r="AK56" i="6"/>
  <c r="Q4" i="6"/>
  <c r="R4" i="6"/>
  <c r="AX120" i="6"/>
  <c r="AL118" i="6"/>
  <c r="AK118" i="6"/>
  <c r="AP180" i="6"/>
  <c r="AO180" i="6"/>
  <c r="AG46" i="6"/>
  <c r="AH46" i="6"/>
  <c r="V6" i="6"/>
  <c r="U6" i="6"/>
  <c r="AG68" i="6"/>
  <c r="AH68" i="6"/>
  <c r="Q68" i="6"/>
  <c r="R68" i="6"/>
  <c r="M166" i="6"/>
  <c r="N166" i="6"/>
  <c r="AD179" i="6"/>
  <c r="AC179" i="6"/>
  <c r="Q36" i="6"/>
  <c r="R36" i="6"/>
  <c r="AG67" i="6"/>
  <c r="AH67" i="6"/>
  <c r="AT156" i="6"/>
  <c r="AS156" i="6"/>
  <c r="AP102" i="6"/>
  <c r="AO102" i="6"/>
  <c r="AT173" i="6"/>
  <c r="AW46" i="6"/>
  <c r="AT186" i="6"/>
  <c r="AS186" i="6"/>
  <c r="AW8" i="6"/>
  <c r="AX8" i="6"/>
  <c r="AW17" i="6"/>
  <c r="AG114" i="6"/>
  <c r="AH114" i="6"/>
  <c r="AT8" i="6"/>
  <c r="Q139" i="6"/>
  <c r="R139" i="6"/>
  <c r="AS169" i="6"/>
  <c r="Z71" i="6"/>
  <c r="Y71" i="6"/>
  <c r="N80" i="6"/>
  <c r="M80" i="6"/>
  <c r="AG129" i="6"/>
  <c r="AH129" i="6"/>
  <c r="AX179" i="6"/>
  <c r="AW165" i="6"/>
  <c r="V156" i="6"/>
  <c r="U156" i="6"/>
  <c r="R128" i="6"/>
  <c r="Q128" i="6"/>
  <c r="Y182" i="6"/>
  <c r="Z182" i="6"/>
  <c r="AW68" i="6"/>
  <c r="AT102" i="6"/>
  <c r="AT57" i="6"/>
  <c r="AS57" i="6"/>
  <c r="U167" i="6"/>
  <c r="V167" i="6"/>
  <c r="Z99" i="6"/>
  <c r="Y99" i="6"/>
  <c r="AS69" i="6"/>
  <c r="AT69" i="6"/>
  <c r="U162" i="6"/>
  <c r="V162" i="6"/>
  <c r="R88" i="6"/>
  <c r="Q88" i="6"/>
  <c r="AH12" i="6"/>
  <c r="AG12" i="6"/>
  <c r="AD134" i="6"/>
  <c r="AC134" i="6"/>
  <c r="U41" i="6"/>
  <c r="V41" i="6"/>
  <c r="AS171" i="6"/>
  <c r="AX33" i="6"/>
  <c r="Q133" i="6"/>
  <c r="R133" i="6"/>
  <c r="AO97" i="6"/>
  <c r="AP97" i="6"/>
  <c r="Y118" i="6"/>
  <c r="Z118" i="6"/>
  <c r="AL110" i="6"/>
  <c r="AK110" i="6"/>
  <c r="M106" i="6"/>
  <c r="N106" i="6"/>
  <c r="AX18" i="6"/>
  <c r="AW18" i="6"/>
  <c r="V79" i="6"/>
  <c r="U79" i="6"/>
  <c r="AS33" i="6"/>
  <c r="AW6" i="6"/>
  <c r="Y111" i="6"/>
  <c r="Z111" i="6"/>
  <c r="AC60" i="6"/>
  <c r="AD60" i="6"/>
  <c r="V99" i="6"/>
  <c r="U99" i="6"/>
  <c r="AG116" i="6"/>
  <c r="AH116" i="6"/>
  <c r="AL14" i="6"/>
  <c r="AK14" i="6"/>
  <c r="AP68" i="6"/>
  <c r="AO68" i="6"/>
  <c r="AK76" i="6"/>
  <c r="AL76" i="6"/>
  <c r="AG187" i="6"/>
  <c r="AH187" i="6"/>
  <c r="AX112" i="6"/>
  <c r="AS112" i="6"/>
  <c r="AT112" i="6"/>
  <c r="AD16" i="6"/>
  <c r="AC16" i="6"/>
  <c r="AH122" i="6"/>
  <c r="AG122" i="6"/>
  <c r="AT44" i="6"/>
  <c r="AS44" i="6"/>
  <c r="AX46" i="6"/>
  <c r="AC150" i="6"/>
  <c r="AD150" i="6"/>
  <c r="U154" i="6"/>
  <c r="V154" i="6"/>
  <c r="AD86" i="6"/>
  <c r="AC86" i="6"/>
  <c r="AC102" i="6"/>
  <c r="AD102" i="6"/>
  <c r="AX17" i="6"/>
  <c r="AH75" i="6"/>
  <c r="AG75" i="6"/>
  <c r="AS8" i="6"/>
  <c r="N71" i="6"/>
  <c r="M71" i="6"/>
  <c r="AO122" i="6"/>
  <c r="AP122" i="6"/>
  <c r="AS80" i="6"/>
  <c r="AT80" i="6"/>
  <c r="AS88" i="6"/>
  <c r="AX165" i="6"/>
  <c r="AX127" i="6"/>
  <c r="AW127" i="6"/>
  <c r="AL167" i="6"/>
  <c r="AK167" i="6"/>
  <c r="AH10" i="6"/>
  <c r="AG10" i="6"/>
  <c r="V166" i="6"/>
  <c r="U166" i="6"/>
  <c r="AS102" i="6"/>
  <c r="AG35" i="6"/>
  <c r="AH35" i="6"/>
  <c r="AS114" i="6"/>
  <c r="V29" i="6"/>
  <c r="U29" i="6"/>
  <c r="R67" i="6"/>
  <c r="Q67" i="6"/>
  <c r="AH18" i="6"/>
  <c r="AG18" i="6"/>
  <c r="V149" i="6"/>
  <c r="U149" i="6"/>
  <c r="AX72" i="6"/>
  <c r="AW72" i="6"/>
  <c r="AP118" i="6"/>
  <c r="AO118" i="6"/>
  <c r="N63" i="6"/>
  <c r="M63" i="6"/>
  <c r="M7" i="6"/>
  <c r="N7" i="6"/>
  <c r="AC25" i="6"/>
  <c r="AD25" i="6"/>
  <c r="AS56" i="6"/>
  <c r="AO56" i="6"/>
  <c r="AP56" i="6"/>
  <c r="AL89" i="6"/>
  <c r="AK89" i="6"/>
  <c r="AH107" i="6"/>
  <c r="AG107" i="6"/>
  <c r="AH72" i="6"/>
  <c r="AG72" i="6"/>
  <c r="AS120" i="6"/>
  <c r="AO120" i="6"/>
  <c r="AP120" i="6"/>
  <c r="AX118" i="6"/>
  <c r="AW118" i="6"/>
  <c r="AP130" i="6"/>
  <c r="AO130" i="6"/>
  <c r="AS79" i="6"/>
  <c r="AT79" i="6"/>
  <c r="AH168" i="6"/>
  <c r="AG168" i="6"/>
  <c r="M18" i="6"/>
  <c r="N18" i="6"/>
  <c r="AW26" i="6"/>
  <c r="AX26" i="6"/>
  <c r="Q184" i="6"/>
  <c r="R184" i="6"/>
  <c r="AL4" i="6"/>
  <c r="AK4" i="6"/>
  <c r="AP135" i="6"/>
  <c r="AO135" i="6"/>
  <c r="AX6" i="6"/>
  <c r="AX97" i="6"/>
  <c r="AW97" i="6"/>
  <c r="Z85" i="6"/>
  <c r="Y85" i="6"/>
  <c r="AX135" i="6"/>
  <c r="AW135" i="6"/>
  <c r="AO158" i="6"/>
  <c r="AP158" i="6"/>
  <c r="Z177" i="6"/>
  <c r="Y177" i="6"/>
  <c r="Q12" i="6"/>
  <c r="R12" i="6"/>
  <c r="AD171" i="6"/>
  <c r="AC171" i="6"/>
  <c r="U10" i="6"/>
  <c r="V10" i="6"/>
  <c r="N177" i="6"/>
  <c r="M177" i="6"/>
  <c r="AC30" i="6"/>
  <c r="AD30" i="6"/>
  <c r="AX115" i="6"/>
  <c r="AW115" i="6"/>
  <c r="AS64" i="6"/>
  <c r="AT64" i="6"/>
  <c r="AO147" i="6"/>
  <c r="AP147" i="6"/>
  <c r="Q169" i="6"/>
  <c r="R169" i="6"/>
  <c r="M57" i="6"/>
  <c r="N57" i="6"/>
  <c r="U35" i="6"/>
  <c r="V35" i="6"/>
  <c r="AP177" i="6"/>
  <c r="AO177" i="6"/>
  <c r="AK186" i="6"/>
  <c r="AL186" i="6"/>
  <c r="AT88" i="6"/>
  <c r="R29" i="6"/>
  <c r="Q29" i="6"/>
  <c r="AX87" i="6"/>
  <c r="AW87" i="6"/>
  <c r="Q10" i="6"/>
  <c r="R10" i="6"/>
  <c r="Q134" i="6"/>
  <c r="R134" i="6"/>
  <c r="AW102" i="6"/>
  <c r="AT114" i="6"/>
  <c r="AK150" i="6"/>
  <c r="AL150" i="6"/>
  <c r="AL187" i="6"/>
  <c r="AK187" i="6"/>
  <c r="Y112" i="6"/>
  <c r="Z112" i="6"/>
  <c r="AL68" i="6"/>
  <c r="AK68" i="6"/>
  <c r="AX36" i="6"/>
  <c r="AW36" i="6"/>
  <c r="AS162" i="6"/>
  <c r="AT162" i="6"/>
  <c r="V108" i="6"/>
  <c r="U108" i="6"/>
  <c r="AX110" i="6"/>
  <c r="AW110" i="6"/>
  <c r="AG40" i="6"/>
  <c r="AH40" i="6"/>
  <c r="AH194" i="6"/>
  <c r="AG194" i="6"/>
  <c r="AH79" i="6"/>
  <c r="AG79" i="6"/>
  <c r="AS58" i="6"/>
  <c r="AO58" i="6"/>
  <c r="AP58" i="6"/>
  <c r="AT132" i="6"/>
  <c r="AS132" i="6"/>
  <c r="R56" i="6"/>
  <c r="Q56" i="6"/>
  <c r="AW92" i="6"/>
  <c r="AS92" i="6"/>
  <c r="AT92" i="6"/>
  <c r="Y113" i="6"/>
  <c r="Z113" i="6"/>
  <c r="M130" i="6"/>
  <c r="N130" i="6"/>
  <c r="Q113" i="6"/>
  <c r="R113" i="6"/>
  <c r="AD158" i="6"/>
  <c r="AC158" i="6"/>
  <c r="R72" i="6"/>
  <c r="Q72" i="6"/>
  <c r="AX25" i="6"/>
  <c r="AW25" i="6"/>
  <c r="AL71" i="6"/>
  <c r="AK71" i="6"/>
  <c r="AX35" i="6"/>
  <c r="AW35" i="6"/>
  <c r="Z163" i="6"/>
  <c r="Y163" i="6"/>
  <c r="U8" i="6"/>
  <c r="V8" i="6"/>
  <c r="AK138" i="6"/>
  <c r="AL138" i="6"/>
  <c r="Y12" i="6"/>
  <c r="Z12" i="6"/>
  <c r="AS74" i="6"/>
  <c r="AT74" i="6"/>
  <c r="AH153" i="6"/>
  <c r="AG153" i="6"/>
  <c r="Z156" i="6"/>
  <c r="Y156" i="6"/>
  <c r="AP10" i="6"/>
  <c r="AO10" i="6"/>
  <c r="Y129" i="6"/>
  <c r="Z129" i="6"/>
  <c r="N167" i="6"/>
  <c r="M167" i="6"/>
  <c r="AS67" i="6"/>
  <c r="AT67" i="6"/>
  <c r="AW112" i="6"/>
  <c r="AO57" i="6"/>
  <c r="AP57" i="6"/>
  <c r="M115" i="6"/>
  <c r="N115" i="6"/>
  <c r="AL152" i="6"/>
  <c r="AK152" i="6"/>
  <c r="Y24" i="6"/>
  <c r="Z24" i="6"/>
  <c r="AH170" i="6"/>
  <c r="AG170" i="6"/>
  <c r="AW178" i="6"/>
  <c r="AS178" i="6"/>
  <c r="AT178" i="6"/>
  <c r="AG64" i="6"/>
  <c r="AH64" i="6"/>
  <c r="AG61" i="6"/>
  <c r="AH61" i="6"/>
  <c r="AP39" i="6"/>
  <c r="AO39" i="6"/>
  <c r="R55" i="6"/>
  <c r="Q55" i="6"/>
  <c r="AX102" i="6"/>
  <c r="AK193" i="6"/>
  <c r="AL193" i="6"/>
  <c r="Z161" i="6"/>
  <c r="Y161" i="6"/>
  <c r="AT10" i="6"/>
  <c r="AP175" i="6"/>
  <c r="AO175" i="6"/>
  <c r="M119" i="6"/>
  <c r="N119" i="6"/>
  <c r="AG167" i="6"/>
  <c r="AH167" i="6"/>
  <c r="R163" i="6"/>
  <c r="Q163" i="6"/>
  <c r="AC34" i="6"/>
  <c r="AD34" i="6"/>
  <c r="U9" i="6"/>
  <c r="V9" i="6"/>
  <c r="N111" i="6"/>
  <c r="M111" i="6"/>
  <c r="M116" i="6"/>
  <c r="N116" i="6"/>
  <c r="AT155" i="6"/>
  <c r="AS155" i="6"/>
  <c r="AS36" i="6"/>
  <c r="AT36" i="6"/>
  <c r="AO157" i="6"/>
  <c r="AP157" i="6"/>
  <c r="AS154" i="6"/>
  <c r="AP154" i="6"/>
  <c r="AO154" i="6"/>
  <c r="AC69" i="6"/>
  <c r="AD69" i="6"/>
  <c r="Z57" i="6"/>
  <c r="Y57" i="6"/>
  <c r="Q167" i="6"/>
  <c r="R167" i="6"/>
  <c r="V159" i="6"/>
  <c r="U159" i="6"/>
  <c r="R156" i="6"/>
  <c r="Q156" i="6"/>
  <c r="Q173" i="6"/>
  <c r="R173" i="6"/>
  <c r="AS16" i="6"/>
  <c r="AT16" i="6"/>
  <c r="AP136" i="6"/>
  <c r="AO136" i="6"/>
  <c r="AW163" i="6"/>
  <c r="AX163" i="6"/>
  <c r="AT179" i="6"/>
  <c r="AS179" i="6"/>
  <c r="AS10" i="6"/>
  <c r="N38" i="6"/>
  <c r="M38" i="6"/>
  <c r="Y173" i="6"/>
  <c r="Z173" i="6"/>
  <c r="AL173" i="6"/>
  <c r="AK173" i="6"/>
  <c r="AX5" i="6"/>
  <c r="AW5" i="6"/>
  <c r="AW168" i="6"/>
  <c r="AX168" i="6"/>
  <c r="AK85" i="6"/>
  <c r="AL85" i="6"/>
  <c r="R117" i="6"/>
  <c r="Q117" i="6"/>
  <c r="AK107" i="6"/>
  <c r="AL107" i="6"/>
  <c r="V72" i="6"/>
  <c r="U72" i="6"/>
  <c r="AL84" i="6"/>
  <c r="AK84" i="6"/>
  <c r="AD188" i="6"/>
  <c r="AC188" i="6"/>
  <c r="R32" i="6"/>
  <c r="Q32" i="6"/>
  <c r="AL145" i="6"/>
  <c r="AK145" i="6"/>
  <c r="AH32" i="6"/>
  <c r="AG32" i="6"/>
  <c r="V168" i="6"/>
  <c r="U168" i="6"/>
  <c r="AD116" i="6"/>
  <c r="AC116" i="6"/>
  <c r="Q15" i="6"/>
  <c r="R15" i="6"/>
  <c r="AC82" i="6"/>
  <c r="AD82" i="6"/>
  <c r="AG118" i="6"/>
  <c r="AH118" i="6"/>
  <c r="AO144" i="6"/>
  <c r="AP144" i="6"/>
  <c r="AS34" i="6"/>
  <c r="AT34" i="6"/>
  <c r="AD18" i="6"/>
  <c r="AC18" i="6"/>
  <c r="Q120" i="6"/>
  <c r="R120" i="6"/>
  <c r="AL93" i="6"/>
  <c r="AK93" i="6"/>
  <c r="Z84" i="6"/>
  <c r="Y84" i="6"/>
  <c r="AD144" i="6"/>
  <c r="AC144" i="6"/>
  <c r="AW117" i="6"/>
  <c r="AX93" i="6"/>
  <c r="U116" i="6"/>
  <c r="V116" i="6"/>
  <c r="AK188" i="6"/>
  <c r="AL188" i="6"/>
  <c r="AH144" i="6"/>
  <c r="AG144" i="6"/>
  <c r="AX58" i="6"/>
  <c r="AW58" i="6"/>
  <c r="AX60" i="6"/>
  <c r="AP60" i="6"/>
  <c r="AO60" i="6"/>
  <c r="Z5" i="6"/>
  <c r="Y5" i="6"/>
  <c r="AT149" i="6"/>
  <c r="AS149" i="6"/>
  <c r="AW79" i="6"/>
  <c r="AW83" i="6"/>
  <c r="Q180" i="6"/>
  <c r="R180" i="6"/>
  <c r="AO148" i="6"/>
  <c r="AP148" i="6"/>
  <c r="AW34" i="6"/>
  <c r="AX34" i="6"/>
  <c r="AD9" i="6"/>
  <c r="AC9" i="6"/>
  <c r="AH143" i="6"/>
  <c r="AG143" i="6"/>
  <c r="AT161" i="6"/>
  <c r="AS161" i="6"/>
  <c r="Q76" i="6"/>
  <c r="R76" i="6"/>
  <c r="V136" i="6"/>
  <c r="U136" i="6"/>
  <c r="M108" i="6"/>
  <c r="N108" i="6"/>
  <c r="AH127" i="6"/>
  <c r="AG127" i="6"/>
  <c r="AD105" i="6"/>
  <c r="AC105" i="6"/>
  <c r="AW156" i="6"/>
  <c r="AD99" i="6"/>
  <c r="AC99" i="6"/>
  <c r="AL10" i="6"/>
  <c r="AK10" i="6"/>
  <c r="Y17" i="6"/>
  <c r="Z17" i="6"/>
  <c r="M67" i="6"/>
  <c r="N67" i="6"/>
  <c r="AS166" i="6"/>
  <c r="AT166" i="6"/>
  <c r="Y136" i="6"/>
  <c r="Z136" i="6"/>
  <c r="AW161" i="6"/>
  <c r="AS61" i="6"/>
  <c r="V178" i="6"/>
  <c r="U178" i="6"/>
  <c r="AL128" i="6"/>
  <c r="AK128" i="6"/>
  <c r="AS157" i="6"/>
  <c r="R150" i="6"/>
  <c r="Q150" i="6"/>
  <c r="AH157" i="6"/>
  <c r="AG157" i="6"/>
  <c r="R157" i="6"/>
  <c r="Q157" i="6"/>
</calcChain>
</file>

<file path=xl/sharedStrings.xml><?xml version="1.0" encoding="utf-8"?>
<sst xmlns="http://schemas.openxmlformats.org/spreadsheetml/2006/main" count="960" uniqueCount="284">
  <si>
    <t>ACEITE PARA FREIR FRITO MAC BIDON 10 LT (2 BIDONES POR CAJA)</t>
  </si>
  <si>
    <t>ACEITE PARA FREIR FRITO RICO BIDON 10 LT (2 BIDONES POR CAJA)</t>
  </si>
  <si>
    <t>ACEITE VEGETAL GENERICO 900 CC (12 UNIDADES POR CAJA)</t>
  </si>
  <si>
    <t xml:space="preserve">ACEITE DE OLIVA MEDITERRANEO BIDON 5 LITROS	</t>
  </si>
  <si>
    <t>QUESO CABRA PAHUILMO BARRA 3.2 KG</t>
  </si>
  <si>
    <t>TOCINO LAMINADO SUGARDALE CAJA 6,8 KG APP</t>
  </si>
  <si>
    <t>QUESO CHEDDAR LAMINADO MILKAUT BARRA 2,73 KG (4 BARRAS POR CAJA)</t>
  </si>
  <si>
    <t>HUEVOS BLANCOS EXTRA (180 UNIDADES POR CAJA)</t>
  </si>
  <si>
    <t>MANTEQUILLA TONADITA CON SAL 250 GR (12 UNIDADES POR CAJA)</t>
  </si>
  <si>
    <t>QUESO MOZZARELLA MOLFINO BARRA 3,5 KG (6 UNIDADES POR CAJA)</t>
  </si>
  <si>
    <t>QUESO CHEDDAR LAMINADO VEGANO QUILLAYES 200 GR ( 12 UNIDADES POR CAJA)</t>
  </si>
  <si>
    <t>ACEITE PARA FREIR MARAVILLA LAGRIMAS DE SOL 5 LTS. (4 BIDONES POR CAJA)</t>
  </si>
  <si>
    <t>ACEITE DE OLIVA SECRETO DEL FRAILE BIDON 5 LITROS</t>
  </si>
  <si>
    <t>ACEITE DE OLIVA SECRETO DEL FRAILE 1 LT (12 UNIDADES POR CAJA)</t>
  </si>
  <si>
    <t>ACEITE DE OLIVA SECRETO DEL FRAILE 500 ML (10 UNIDADES POR CAJA)</t>
  </si>
  <si>
    <t>ACEITE DE OLIVA SECRETO DEL FRAILE BIDON 3 LITROS</t>
  </si>
  <si>
    <t>ACEITE PARA FREIR MAXI FRITS 10 LTS (2 BIDONES POR CAJA)</t>
  </si>
  <si>
    <t>ACEITE PARA FREIR VEGETAL NATURALAGRO BIDON 10 LTS (2 BIDONES POR CAJA)</t>
  </si>
  <si>
    <t>ACEITE DE OLIVA MEDITERRANEO 250 ML (20 UNIDADES POR CAJA)</t>
  </si>
  <si>
    <t>ACEITE DE OLIVA MEDITERRANEO 500 ML (10 UNIDADES POR CAJA)</t>
  </si>
  <si>
    <t>ACEITE DE OLIVA MEDITERRANEO 1000 ML (12 UNIDADES POR CAJA)</t>
  </si>
  <si>
    <t>ACEITE PARA FREIR MARAVITA BIDON 5 LTS (4 BIDONES POR CAJA)</t>
  </si>
  <si>
    <t>QUESO AHUMADO TRADICION SANTA ROSA 100 GR (10 UNIDADES POR CAJA)</t>
  </si>
  <si>
    <t>QUESO AHUMADO FOREST PIEZA 1,1 KG APP</t>
  </si>
  <si>
    <t>QUESO AHUMADO SANTA ROSA 200 GR (10 UNIDADES POR CAJA)</t>
  </si>
  <si>
    <t>QUESO AHUMADO PERE ANDRE PIEZA 1,1 KG APP</t>
  </si>
  <si>
    <t>QUESO AZUL SANTA ROSA PIEZA 2,6 KG APP</t>
  </si>
  <si>
    <t>QUESO AZUL SANTA FE PIEZA 2 KG APP</t>
  </si>
  <si>
    <t>QUESO AZUL GRAND BLU SANTA ROSA 100 GR (12 UNIDADES POR CAJA)</t>
  </si>
  <si>
    <t>QUESO AZUL SAINT AGUR PIEZA 2,3 KG APP</t>
  </si>
  <si>
    <t>QUESO AZUL SAINT AGUR CUÑA 125 GR (7 UNIDADES POR CAJA)</t>
  </si>
  <si>
    <t>COCA-COLA ORIGINAL BOTELLA PACK 1,5 LTS (6 UNIDADES POR PACK)</t>
  </si>
  <si>
    <t>COCA-COLA SIN AZUCAR PACK BOTELLA 1,5 LTS (6 UNIDADES POR PACK)</t>
  </si>
  <si>
    <t>QUESO BRIE SANTA ROSA PIEZA 1 KG APP</t>
  </si>
  <si>
    <t>QUESO BRIE PETIT ILE DE FRANCE 125 GR (12 UNIDADES POR CAJA)</t>
  </si>
  <si>
    <t>QUESO MINI BRIE ILE DE FRANCE PACK 5 UNIDADES DE 25 GR C/U (12 PACK POR CAJA)</t>
  </si>
  <si>
    <t>QUESO BRIE PETIT SANTA ROSA 125 GR (8 UNIDADES POR CAJA)</t>
  </si>
  <si>
    <t>QUESO BRIE LAMINADO ILE DE FRANCE 150 GR (8 UNIDADES POR CAJA)</t>
  </si>
  <si>
    <t>QUESO BRIE AU BLEU ILE DE FRANCE 125 GR (12 UNIDADES POR CAJA)</t>
  </si>
  <si>
    <t>QUESO BRIE COEUR DE LION PIEZA 3 KG APP</t>
  </si>
  <si>
    <t>QUESO BRIE ILE DE FRANCE PIEZA 3 KG APP</t>
  </si>
  <si>
    <t>QUESO BRIE QUILLAYES 100 GRS (10 UNIDADES POR CAJA)</t>
  </si>
  <si>
    <t>QUESO CAMEMBERT QUILLAYES 100 GRS (10 UNIDADES POR CAJA)</t>
  </si>
  <si>
    <t>QUESO DE CABRA CHUPALLA PIEZA 4.7 KG APP</t>
  </si>
  <si>
    <t>QUESO DE CABRA TRADICIONAL SANTA ROSA TROZO 200 GR (10 UNIDADES POR CAJA)</t>
  </si>
  <si>
    <t>QUESO DE CABRA ROCINANTE PIEZA 3 KG APP</t>
  </si>
  <si>
    <t>QUESO DE OVEJA PECORINO ROMANO FERRRARI 200 GR (14 UNIDADES POR CAJA)</t>
  </si>
  <si>
    <t>QUESO DE CABRA TRADICIONAL SANTA ROSA BARRA 2,2 KG APP</t>
  </si>
  <si>
    <t>QUESO DE CABRA CIBOULETTE TROZO SANTA ROSA 200 GR (10 UNIDADES POR CAJA)</t>
  </si>
  <si>
    <t>QUESO DE CABRA CABRA ACEITUNA SANTA ROSA 200 GR (10 UNIDADES POR CAJA)</t>
  </si>
  <si>
    <t>QUESO DE CABRA PREMIUM SANTA ROSA 200 GR (10 UNIDADES POR CAJA)</t>
  </si>
  <si>
    <t>QUESO DE CABRA FRESCO CHEVRE ILE DE FRANCE 110 GR (12 UNIDADES POR CAJA)</t>
  </si>
  <si>
    <t>QUESO CABRA GARCIA BAQUERO CUÑA 150 GR (8 UNIDADES POR CAJA)</t>
  </si>
  <si>
    <t>QUESO DE CABRA CREMOSO CHAVROUX ILE DE FRANCE 150 GR (6 UNIDADES POR CAJA)</t>
  </si>
  <si>
    <t>QUESO CAMEMBERT PETIT ILE DE FRANCE 125 GR (12 UNIDADES POR CAJA)</t>
  </si>
  <si>
    <t>QUESO CAMEMBERT CREMAMBERT SANTA ROSA 125 GR (8 UNIDADES POR CAJA)</t>
  </si>
  <si>
    <t>QUESO CAMEMBERT ILE DE FRANCE 250 GR (6 UNIDADES POR CAJA)</t>
  </si>
  <si>
    <t>JAMON ACARAMELADO SUPER CERDO PIEZA 3,6 KG APP</t>
  </si>
  <si>
    <t>JAMON SANDWICH PF BARRA 3,2 KG APP</t>
  </si>
  <si>
    <t>TOCINO AHUMADO PREMIUM LAMINADO SUGARDALE 6,8 KG APP.</t>
  </si>
  <si>
    <t>JAMON SERRANO LAMINADO EXTRA PULIDO 500 GR (8 UNIDADES POR CAJA)</t>
  </si>
  <si>
    <t>SALAME LAMINADO LA PREFERIDA 1,6 KG (2 UNIDADES POR CAJA)</t>
  </si>
  <si>
    <t>JAMON PIERNA ACARAMELADO PF PIEZA 2,5 KG APP</t>
  </si>
  <si>
    <t>JAMON SANDWICH SAN JORGE BARRA 3,5 KG APP</t>
  </si>
  <si>
    <t>PEPPERONI ULTRA DELGADO SUGARDALE BOLSA 5,68 KG</t>
  </si>
  <si>
    <t>TOCINO LAMINADO 500 GRS. LA PREFERIDA (4 UNIDADES POR CAJA)</t>
  </si>
  <si>
    <t>PEPPERONI 500 GRS. PF (4 CILINDOS POR CAJA)</t>
  </si>
  <si>
    <t>PANCETA AHUMADA PF 1 KG. (2 UNIDADES POR CAJA)</t>
  </si>
  <si>
    <t>SALAME AHUMADO PF PIEZA 1 KG</t>
  </si>
  <si>
    <t>SALAME ITALIANO PF PIEZA 1 KG</t>
  </si>
  <si>
    <t>PEPPERONI ULTRA DELGADO SUGARDALE BOLSA 1 KG (6 BOLSAS POR CAJA)</t>
  </si>
  <si>
    <t>QUESO CHEDDAR LAMINADO SCHREIBER BARRA 2,27 KG (4 UNIDADES POR CAJA)</t>
  </si>
  <si>
    <t>QUESO CHEDDAR SANTA ROSA SALSA 1 KG (8 UNIDADES POR CAJA)</t>
  </si>
  <si>
    <t>QUESO CHEDDAR LAMINADO ADLER 144 GR (20 UNIDADES POR CAJA)</t>
  </si>
  <si>
    <t>QUESO CHEDDAR SANTA ROSA BLOCK 19,5 KG APP</t>
  </si>
  <si>
    <t>QUESO CHEDDAR SANTA ROSA TROZO 200 GR (10 UNIDADES POR CAJA)</t>
  </si>
  <si>
    <t>QUESO CHEDDAR LAMINADO SUCEDANEO QUILLAYES BARRA 2,27 Kg. (4 BARRAS POR CAJA)</t>
  </si>
  <si>
    <t>QUESO CHEDDAR KRAFT BARRA 2,27 KG. (4 UNIDADES POR CAJA)</t>
  </si>
  <si>
    <t>QUESO CHEDDAR LAMINADO TONADITA BARRA 1,92 KG. (2 BARRAS POR CAJA)</t>
  </si>
  <si>
    <t>ACEITUNA NEGRA EN RODAJAS ALISUR 935 GR (10 BOLSAS POR CAJA)</t>
  </si>
  <si>
    <t>CHAMPIÑON ENTERO BUHO TARRO 400 GRS. (24 TARROS POR CAJA)</t>
  </si>
  <si>
    <t>TOMATE ITALIANO PELADO ENTERO DI MATTEO 2,5 KG (6 TARROS POR CAJA)</t>
  </si>
  <si>
    <t>QUESO CREMA MILKAUT BALDE 3,6 KG</t>
  </si>
  <si>
    <t>QUESO CREMA RENY PICOT BARRA 1,36 KG (10 UNIDADES POR CAJA)</t>
  </si>
  <si>
    <t>QUESO CREMA SCHREIBER BARRA 1,36 KG (10 UNIDADES POR CAJA)</t>
  </si>
  <si>
    <t>QUESO CREMA GREEN BAY BARRA 1.36 KILOS (10 BARRAS POR CAJA)</t>
  </si>
  <si>
    <t>QUESO CREMA HERITAGE 227 GR (36 UNIDADES POR CAJA)</t>
  </si>
  <si>
    <t>QUESO CREMA POTE LIGHT SANTA ROSA 150 GR (12 UNIDADES POR CAJA)</t>
  </si>
  <si>
    <t>QUESO CREMA POTE SANTA ROSA 150 GR (12 UNIDADES POR CAJA)</t>
  </si>
  <si>
    <t>QUESO CREMA BEGA BARRA 2 KG (6 UNIDADES POR CAJA)</t>
  </si>
  <si>
    <t>QUESO CREMA SANTA ROSA 200 GR (36 UNIDADES POR CAJA)</t>
  </si>
  <si>
    <t>QUESO CREMA CAPRICE DES DIEUX 125 GR ( 8 UNIDADES POR CAJA)</t>
  </si>
  <si>
    <t>QUESO CREMA RAFULCO BARRA 1,36 KG (12 BARRAS POR CAJA)</t>
  </si>
  <si>
    <t>QUESO CREMA GRAN D BARRA 1,36 KG. (10 BARRAS POR CAJA)</t>
  </si>
  <si>
    <t>QUESO CREMA SUCEDANEO KROL BARRA 1,36 KG. (10 UNIDADES POR CAJA)</t>
  </si>
  <si>
    <t>QUESO CREMA KRAFT BARRA 2,27 KG. (4 UNIDADES POR CAJA)</t>
  </si>
  <si>
    <t>QUESO CREMA CREMATTO MILKAUT BOLSA 3.5 KG</t>
  </si>
  <si>
    <t>QUESO EDAM BOLA SANTA ROSA PIEZA 1 KG APP</t>
  </si>
  <si>
    <t>QUESO EDAM BOLA TROZADO SANTA ROSA 200 GR (10 UNIDADES POR CAJA)</t>
  </si>
  <si>
    <t>QUESO EMMENTAL TROZO ILE DE FRANCE 200 GR (10 UNIDADES POR CAJA)</t>
  </si>
  <si>
    <t>QUESO EMMENTAL PERE ANDRE 200 GR (9 UNIDADES POR CAJA)</t>
  </si>
  <si>
    <t>QUESO PARA EMPANADAS BLOQUE 15.3 KG APP</t>
  </si>
  <si>
    <t>QUESO GAUDA LAMINADO HUILCO 500 GR (24 UNIDADES POR CAJA)</t>
  </si>
  <si>
    <t>QUESO GAUDA LA VAQUITA GRANULADO 1 KG (10 BOLSAS POR CAJA)</t>
  </si>
  <si>
    <t>QUESO GAUDA MOLFINO BARRA 3,5 KG (6 BARRAS POR CAJA)</t>
  </si>
  <si>
    <t>QUESO RANCO T10 COLUN PIEZA 9,5 KG APP</t>
  </si>
  <si>
    <t>QUESO RANCO COLUN BARRA 2,3 KG APP (2 BARRAS POR CAJA)</t>
  </si>
  <si>
    <t>QUESO GAUDA SUCEDANEO GUDENA BARRA 3,5 KG (4 BARRAS POR CAJA)</t>
  </si>
  <si>
    <t>QUESO DESPUNTE BOLSA DE 8 KG APP</t>
  </si>
  <si>
    <t>QUESO RANCO T15 COLUN PIEZA 15 KG APP</t>
  </si>
  <si>
    <t>QUESO GAUDA LAMINADO OSORNO 500 GR (24 UNIDADES POR CAJA)</t>
  </si>
  <si>
    <t>QUESO GAUDA LAMINADO HACIENDA 500 GR (20 UNIDADES POR CAJA)</t>
  </si>
  <si>
    <t>QUESO RANCO COLUN LAMINADO 5 KG</t>
  </si>
  <si>
    <t>MANTEQUILLA RAFULCO 250 GRS (28 UNIDADES POR CAJA)</t>
  </si>
  <si>
    <t>QUESO GRUYERE TROZADO SANTA ROSA 200 GR (10 UNIDADES POR CAJA)</t>
  </si>
  <si>
    <t>QUESO GRUYERE SANTA ROSA PIEZA 12,6 KG APP</t>
  </si>
  <si>
    <t>QUESO GRUYERE PERE ANDRE TROZADO 200 GR (9 UNIDADES POR CAJA)</t>
  </si>
  <si>
    <t>QUESO GRUYERE HOLANDES PERE ANDRE PIEZA 12,6 KG APP</t>
  </si>
  <si>
    <t>HUEVOS BLANCOS PRIMERA (180 UNIDADES POR CAJA)</t>
  </si>
  <si>
    <t>QUESO IBERICO TRES LECHES GARCIA BAQUERO PIEZA 3,4 KG APP</t>
  </si>
  <si>
    <t>QUESO IBERICO TRES LECHES CURADO GARCIA BAQUERO CUÑA 150 GR (8 Un POR CAJA)</t>
  </si>
  <si>
    <t>QUESO IBERICO TRES LECHES SEMICURADO GARCIA BAQUERO CUÑA 150 GR (8 Un POR CAJA)</t>
  </si>
  <si>
    <t>QUESO IBERICO TRES LECHES ROCINANTE PIEZA 3,3 KG</t>
  </si>
  <si>
    <t>QUESO IBERICO TRES LECHES ROCINANTE CUÑA 200 GR (12 UNIDADES POR CAJA)</t>
  </si>
  <si>
    <t xml:space="preserve">PANKO BLANCO BOLSA 1 KG (10 BOLSAS POR CAJA) </t>
  </si>
  <si>
    <t>ALGA NORI GREEN JAPOFOOD BOLSA 100 HOJAS (10 BOLSAS POR CAJA)</t>
  </si>
  <si>
    <t>SALSA SOYA KIKOMAN BALDE 19 LTS</t>
  </si>
  <si>
    <t>ALGA NORI GOLD JAPOFOOD BOLSA 100 HOJAS (10 BOLSAS POR CAJA)</t>
  </si>
  <si>
    <t>ALGA NORI GREEN JAPOFOOD BOLSA 100 HOJAS (40 BOLSAS POR CAJA)</t>
  </si>
  <si>
    <t>ALGA NORI BLUE BOLSA 100 HOJAS (10 BOLSAS POR CAJA)</t>
  </si>
  <si>
    <t>LECHE ENTERA COLUN 1 LT (12 UNIDADES POR CAJA)</t>
  </si>
  <si>
    <t>CREMA PARA BATIR COLUN 1 LT (12 UNIDADES POR CAJA)</t>
  </si>
  <si>
    <t>LECHE DESCREMADA SIN LACTOSA COLUN 1 LT (12 UNIDADES POR CAJA)</t>
  </si>
  <si>
    <t>LECHE ENTERA SIN LACTOSA COLUN 1 LT (12 UNIDADES POR CAJA)</t>
  </si>
  <si>
    <t>LECHE SEMIDESCREMADA SIN LACTOSA COLUN 1 LT (12 UNIDADES POR CAJA)</t>
  </si>
  <si>
    <t>LECHE DESCREMADA COLUN 1 LT (12 UNIDADES POR CAJA)</t>
  </si>
  <si>
    <t>LECHE SEMIDESCREMADA COLUN 1 LT (12 UNIDADES POR CAJA)</t>
  </si>
  <si>
    <t>LECHE ENTERA SURLAT 1 LT (12 UNIDADES POR CAJA)</t>
  </si>
  <si>
    <t>CREMA DE LECHE SURLAT 1 LT (12 UNIDADES POR CAJA)</t>
  </si>
  <si>
    <t>CREMA PARA BATIR COLUN SIN LACTOSA 1 LT (12 UNIDADES POR CAJA)</t>
  </si>
  <si>
    <t>CREMA ACIDA SACHET QUILLAYES 200 ML (10 UNIDADES POR CAJA)</t>
  </si>
  <si>
    <t>QUESO MANCHEGO GRAN MAESTRO CUÑA GARCIA BAQUERO 150 GR (8 UNIDADES POR CAJA)</t>
  </si>
  <si>
    <t>QUESO MANCHEGO SEMICURADO GARCIA BAQUERO PIEZA 3 KG APP</t>
  </si>
  <si>
    <t>QUESO MANCHEGO MAESE MIGUEL PIEZA 3 KG APP</t>
  </si>
  <si>
    <t>MANJAR COLUN PORTION 20 GR (120 UNIDADES POR CAJA)</t>
  </si>
  <si>
    <t>QUESO MANTECOSO RIO CRUCES PIEZA 9,5 KG APP</t>
  </si>
  <si>
    <t>QUESO MANTECOSO PRADERAS DE OSORNO PIEZA 10.25 KG APP</t>
  </si>
  <si>
    <t>QUESO MANTECOSO PARCELAS DE VALDIVIA PIEZA 9.5 KG APP</t>
  </si>
  <si>
    <t>QUESO MANTECOSO KUMEY BOLITA 1 KG (8 UNIDADES POR CAJA)</t>
  </si>
  <si>
    <t>QUESO CHANCO KUMEY PIEZA 9,5 KG APP</t>
  </si>
  <si>
    <t>QUESO MANTECOSO LAMINADO MATTHEI 500 GR (22 UNIDADES POR CAJA)</t>
  </si>
  <si>
    <t>QUESO MANTECOSO LAMINADO MATTHEI 250 GR (40 UNIDADES POR CAJA)</t>
  </si>
  <si>
    <t>QUESO MANTECOSO MATTHEI PIEZA 6 KG</t>
  </si>
  <si>
    <t>QUESO MANTECOSO QUILACOYA BOLITA 0,9 KG APP (6 UNIDADES POR CAJA)</t>
  </si>
  <si>
    <t>QUESO MANTECOSO QUILACOYA PIEZA 9,5 KG APP</t>
  </si>
  <si>
    <t>QUESO MANTECOSO TROZADO MATTHEI 500 GR (22 UNIDADES POR CAJA)</t>
  </si>
  <si>
    <t>QUESO MANTECOSO TROZADO MATTHEI 250 GR (40 UNIDADES POR CAJA)</t>
  </si>
  <si>
    <t xml:space="preserve">QUESO MANTECOSO LAMINADO HACIENDA 500 GR (20 UNIDADES POR CAJA)	</t>
  </si>
  <si>
    <t>QUESO MANTECOSO BARRA QUILLAYES 3.2 KG APP (6 BARRAS POR CAJA)</t>
  </si>
  <si>
    <t>QUESO MANTECOSO MATTHEI 1 KG APP (6 UNIDADES POR CAJA)</t>
  </si>
  <si>
    <t>QUESO CHANCO BARRA QUILLAYES 3.2 KG APP (6 BARRAS POR CAJA)</t>
  </si>
  <si>
    <t>QUESO GAUDA NOAL BARRA 3.6 KG APP (4 BARRAS POR CAJA)</t>
  </si>
  <si>
    <t>MANTEQUILLA PORTION COLUN 10 GR (200 UNIDADES POR CAJA)</t>
  </si>
  <si>
    <t>MANTEQUILLA KUMEY 250 GR (20 UNIDADES POR CAJA)</t>
  </si>
  <si>
    <t>MANTEQUILLA KUMEY 125 GR (36 UNIDADES POR CAJA)</t>
  </si>
  <si>
    <t>MANTEQUILLA PROFESIONAL ELLE Y VIRE PLANCHA 1 KG (2 PLANCHAS POR CAJA)</t>
  </si>
  <si>
    <t>MANTEQUILLA COLUN 250 GR (40 UNIDADES POR CAJA)</t>
  </si>
  <si>
    <t>MANTEQUILLA FUTALEUFU 200 GR (30 UNIDADES POR CAJA)</t>
  </si>
  <si>
    <t>MANTEQUILLA COLUN SIN SAL 250 GR (40 UNIDADES POR CAJA)</t>
  </si>
  <si>
    <t>QUESO MOZZARELLA GRANULADO LA VAQUITA BOLSA 1 KG. (10 BOLSAS POR CAJA)</t>
  </si>
  <si>
    <t>QUESO PROVOLETA SANTA ROSA PIEZA 3,8 KG</t>
  </si>
  <si>
    <t>QUESO PROVOLONE SANTA ROSA PIEZA 8,7 KG APP</t>
  </si>
  <si>
    <t>QUESO PROVOLETA TROZO SANTA ROSA 150 GR (10 UNIDADES POR CAJA)</t>
  </si>
  <si>
    <t>QUESO PROVOLETA SANTA ROSA BANDEJA 130 GR X 2 (10 UNIDADES POR CAJA)</t>
  </si>
  <si>
    <t>QUESO REGGIANITO NEGRO SANTA ROSA PIEZA 7 KG APP</t>
  </si>
  <si>
    <t>QUESO REGGIANITO BLANCO SANTA ROSA PIEZA 7 KG APP</t>
  </si>
  <si>
    <t>QUESO REGGIANITO PAULINA PIEZA 7,2 KG APP</t>
  </si>
  <si>
    <t>QUESO REGGIANITO RALLADO LA VAQUITA 1 KG (5 BOLSAS POR CAJA)</t>
  </si>
  <si>
    <t>QUESO REGGIANITO RALLADO SANTA ROSA 1 KG (6 BOLSAS POR CAJA)</t>
  </si>
  <si>
    <t>QUESO REGGIANITO BLANCO SANTA ROSA CUÑA 145 GR (10 UNIDADES POR CAJA)</t>
  </si>
  <si>
    <t>QUESO GRANA PADANO FERRARI CUÑA 1 KG (6 UNIDADES POR CAJA)</t>
  </si>
  <si>
    <t>QUESO GRANA PADANO FERRARI CUÑA 200 GR (14 UNIDADES POR CAJA)</t>
  </si>
  <si>
    <t>QUESO PARMEGIANO REGGIANO FERRARI CUÑA 200 GR (14 UNIDADES POR CAJA)</t>
  </si>
  <si>
    <t>QUESO PARMESANO LA VAQUITA PIEZA 7 KG APP</t>
  </si>
  <si>
    <t>QUESO PARMESANO LITUANO PIEZA 4,5 APP</t>
  </si>
  <si>
    <t>QUESO RICOTTA QUILLAYES 1 KG (5 UNIDADES POR CAJA)</t>
  </si>
  <si>
    <t>QUESO ROQUEFORT PAPILLON CUÑA 100 GR (12 UNIDADES POR CAJA)</t>
  </si>
  <si>
    <t>QUESO ROQUEFORT ILE DE FRANCE PIEZA 1,3 KG APP</t>
  </si>
  <si>
    <t>QUESO ROQUEFORT ILE DE FRANCE 100 GR (12 UNIDADES POR CAJA)</t>
  </si>
  <si>
    <t>QUESO ROQUEFORT PAPILLON PIEZA 1,3 KG APP</t>
  </si>
  <si>
    <t>TRIPLE CONCENTRADO DE TOMATE CAROZZI BOLSA 3 KG (6 UNIDADES POR CAJA)</t>
  </si>
  <si>
    <t>SALSA BARBECUE CAROZZI BOLSA 1 KILO (10 BOLSAS POR CAJA)</t>
  </si>
  <si>
    <t>TABLA DE QUESO GARCIA BAQUERO 150 GR (14 X CAJA)</t>
  </si>
  <si>
    <t>TABLA DE QUESOS CLASICOS SANTA ROSA 565 GR (6 UNIDADES POR CAJA)</t>
  </si>
  <si>
    <t>TABLA DE QUESOS CAMPESTRE TIERRAS DE CHILE SANTA ROSA 500 GR (6 Un POR CAJA)</t>
  </si>
  <si>
    <t>TABLA DE QUESO TRADICION SANTA ROSA 470 GR (6 UNIDADES POR CAJA)</t>
  </si>
  <si>
    <t>TABLA DE QUESO TENTACION SANTA ROSA 250 GRS. (6 UNIDADES POR CAJA)</t>
  </si>
  <si>
    <t>TABLA DE QUESO GRAN RESERVAS SANTA ROSA (6 UNIDADES POR CAJA)</t>
  </si>
  <si>
    <t>TABLA DE QUESO DE CABRA TIERRAS DE CHILE SANTA ROSA (6 UNIDADES POR CAJA)</t>
  </si>
  <si>
    <t>TABLA DE QUESO DEGUSTACION SANTA ROSA 200 GR (6 UNIDADES POR CAJA)</t>
  </si>
  <si>
    <t>PEPINO DULCE BY MARIA 990 GR. (9 UNIDADES POR CAJA)</t>
  </si>
  <si>
    <t>PEPINO DULCE CORTE AMERICANO BY MARIA 990 GR. (9 UNIDADES POR CAJA)</t>
  </si>
  <si>
    <t>KETCHUP CLASICO BY MARIA 1000GR. (9 UNIDADES POR CAJA)</t>
  </si>
  <si>
    <t>MOSTAZA DULCE BY MARIA 950 GR. (9 UNIDADES POR CAJA)</t>
  </si>
  <si>
    <t>JUGO DE TOMATE BY MARIA 1000 ML. (9 UNIDADES POR CAJA)</t>
  </si>
  <si>
    <t>CEBOLLA MORADA BY MARIA 990 GR. (9 UNIDADES POR CAJA)</t>
  </si>
  <si>
    <t>AJI VERDE BY MARIA 990 GR. (9 UNIDADES POR CAJA)</t>
  </si>
  <si>
    <t>CEBOLLA MORADA BY MARIA 430 GR. (12 UNIDADES POR CAJA)</t>
  </si>
  <si>
    <t>KETCHUP CLASICO BY MARIA 350GR. (12 UNIDADES POR CAJA)</t>
  </si>
  <si>
    <t>MOSTAZA TRIPLE CRUNCH BY MARIA 420 GR. (12 UNIDADES POR CAJA)</t>
  </si>
  <si>
    <t>PEPINO DULCE CORTE AMERICANO BY MARIA 430 GR. (12 UNIDADES POR CAJA)</t>
  </si>
  <si>
    <t>QUESO MOZZARELLA VEGANO MAMMA MOZZA BARRA 2,5 KG (5 BARRAS POR CAJA)</t>
  </si>
  <si>
    <t>QUESO CHEDDAR VEGANO MAMMA BURGER BARRA 2,5 KG (5 BARRAS POR CAJA)</t>
  </si>
  <si>
    <t>QUESO MOZZARELLA VEGANO MAMMA PIZZA BARRA 2,5 KG (5 BARRAS POR CAJA)</t>
  </si>
  <si>
    <t>HAMBURGUESA VACUNO KING KONG 185 GR (40 UNIDADES POR CAJA)</t>
  </si>
  <si>
    <t>VIENESAS SAN JORGE 1 KG (8 PACKS POR CAJA)</t>
  </si>
  <si>
    <t>PALMITOS ENTEROS BUHO 800 GR (12 UNIDADES POR CAJA)</t>
  </si>
  <si>
    <t>PALMITOS RODAJAS BUHO 800 GR (12 UNIDADES POR CAJA)</t>
  </si>
  <si>
    <t>YOGHURT NATURAL COLUN BOLSA 1 KG (18 BOLSAS POR CAJA)</t>
  </si>
  <si>
    <t>SAL DE MESA DOÑA EULALIA 1 KG (10 UNIDADES POR CAJA)</t>
  </si>
  <si>
    <t>PAPAS FRITAS 10MM STAR FRITES BOLSA 2 KG (5 BOLSAS POR CAJA)</t>
  </si>
  <si>
    <t>ACEITE PARA FREIR MAXI FRITS 10 LTS (PALLET 36 CAJAS 2 BIDONES POR CAJA)</t>
  </si>
  <si>
    <t>TOMATE ITALIANO PELADO ENTERO LA ROSINA 2,5 KG (PALLET 64, 6 TARROS POR CAJA)</t>
  </si>
  <si>
    <t>QUESO CREMA RENY PICOT BARRA 1,36 KG (PALLET 50 CAJAS,10 BARRAS POR CAJA)</t>
  </si>
  <si>
    <t>LECHE ENTERA COLUN 1 LT (Pallet 50 Cajas, 12 UNIDADES POR CAJA)</t>
  </si>
  <si>
    <t>QUESO MOZZARELLA MOLFINO BARRA 3,5 KG (PALLET 50 CAJAS, 6 BARRAS POR CAJA)</t>
  </si>
  <si>
    <t>AZUCAR BLANCA 100 KG (PALLET 100 MANGAS, 10 UNIDADES POR CAJA)</t>
  </si>
  <si>
    <t>CONSUMO</t>
  </si>
  <si>
    <t>PRONOSTICO</t>
  </si>
  <si>
    <t>ICS</t>
  </si>
  <si>
    <t>ICI</t>
  </si>
  <si>
    <t>SEMANA 1</t>
  </si>
  <si>
    <t>SEMANA 2</t>
  </si>
  <si>
    <t>SEMANA 3</t>
  </si>
  <si>
    <t>SEMANA 4</t>
  </si>
  <si>
    <t>SEMANA 5</t>
  </si>
  <si>
    <t>MES 1</t>
  </si>
  <si>
    <t>MES 2</t>
  </si>
  <si>
    <t>MES 3</t>
  </si>
  <si>
    <t>MES 4</t>
  </si>
  <si>
    <t>MES 5</t>
  </si>
  <si>
    <t>MES 6</t>
  </si>
  <si>
    <t>MES 7</t>
  </si>
  <si>
    <t>31-06-2025</t>
  </si>
  <si>
    <t>MES 8</t>
  </si>
  <si>
    <t>MES 9</t>
  </si>
  <si>
    <t>MES 10</t>
  </si>
  <si>
    <t>MES 12</t>
  </si>
  <si>
    <t>MES 11</t>
  </si>
  <si>
    <t>31-06-2026</t>
  </si>
  <si>
    <t>AZUCAR BLANCA LA TERESINA 1 KG (10 UNIDADES POR CAJA)</t>
  </si>
  <si>
    <t>CHOCLITOS COCTEL BUHO 425 GR (24UNIDADES POR CAJA)</t>
  </si>
  <si>
    <t>SEMANA 6</t>
  </si>
  <si>
    <t>QUESO CHEDDAR TONADITA SALSA 1 KG (4 UNIDADES POR CAJA)</t>
  </si>
  <si>
    <t>SEMANA 7</t>
  </si>
  <si>
    <t>ACEITE DE OLIVA MEDITERRANEO BIDON 5 LITROS</t>
  </si>
  <si>
    <t>QUESO DESPUNTE BLOCK DE 10 KG APP</t>
  </si>
  <si>
    <t>ALGA NORI GOLD JAPOFOOD BOLSA 100 HOJAS (60 BOLSAS POR CAJA)</t>
  </si>
  <si>
    <t>QUESO MANTECOSO QUILACOYA PIEZA 9,5 KG APP (2 UNIDADES POR CAJA)</t>
  </si>
  <si>
    <t>CHOCLITOS COCTEL BUHO 425 GR (24 UNIDADES POR CAJA)</t>
  </si>
  <si>
    <t>YOGHURT CHIRIMOYA SIN LACTOSA COLUN BOLSA 900 GR (18 BOLSAS POR CAJA)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</si>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</sst>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4" fontId="0" fillId="0" borderId="4" xfId="0" applyNumberFormat="1" applyBorder="1"/>
    <xf numFmtId="0" fontId="0" fillId="0" borderId="3" xfId="0" applyBorder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\OneDrive\Desktop\BBDD\Consolidacion%20BBDD\BBDD.xlsx" TargetMode="External"/><Relationship Id="rId1" Type="http://schemas.openxmlformats.org/officeDocument/2006/relationships/externalLinkPath" Target="file:///C:\Users\jose\OneDrive\Desktop\BBDD\Consolidacion%20BBDD\BBD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 1"/>
    </sheetNames>
    <sheetDataSet>
      <sheetData sheetId="0">
        <row r="1">
          <cell r="K1" t="str">
            <v>IDProducto</v>
          </cell>
          <cell r="M1" t="str">
            <v>Cantidad</v>
          </cell>
          <cell r="R1" t="str">
            <v>Fecha Entero</v>
          </cell>
          <cell r="S1" t="str">
            <v>ID Entero</v>
          </cell>
        </row>
        <row r="2">
          <cell r="K2" t="str">
            <v>226025</v>
          </cell>
          <cell r="M2">
            <v>4</v>
          </cell>
          <cell r="R2">
            <v>45659</v>
          </cell>
          <cell r="S2">
            <v>226025</v>
          </cell>
        </row>
        <row r="3">
          <cell r="K3" t="str">
            <v>220003</v>
          </cell>
          <cell r="M3">
            <v>1</v>
          </cell>
          <cell r="R3">
            <v>45659</v>
          </cell>
          <cell r="S3">
            <v>220003</v>
          </cell>
        </row>
        <row r="4">
          <cell r="K4" t="str">
            <v>201004</v>
          </cell>
          <cell r="M4">
            <v>1</v>
          </cell>
          <cell r="R4">
            <v>45660</v>
          </cell>
          <cell r="S4">
            <v>201004</v>
          </cell>
        </row>
        <row r="5">
          <cell r="K5" t="str">
            <v>201009</v>
          </cell>
          <cell r="M5">
            <v>1</v>
          </cell>
          <cell r="R5">
            <v>45660</v>
          </cell>
          <cell r="S5">
            <v>201009</v>
          </cell>
        </row>
        <row r="6">
          <cell r="K6" t="str">
            <v>201003</v>
          </cell>
          <cell r="M6">
            <v>1</v>
          </cell>
          <cell r="R6">
            <v>45660</v>
          </cell>
          <cell r="S6">
            <v>201003</v>
          </cell>
        </row>
        <row r="7">
          <cell r="K7" t="str">
            <v>226001</v>
          </cell>
          <cell r="M7">
            <v>1</v>
          </cell>
          <cell r="R7">
            <v>45660</v>
          </cell>
          <cell r="S7">
            <v>226001</v>
          </cell>
        </row>
        <row r="8">
          <cell r="K8" t="str">
            <v>217018</v>
          </cell>
          <cell r="M8">
            <v>1</v>
          </cell>
          <cell r="R8">
            <v>45660</v>
          </cell>
          <cell r="S8">
            <v>217018</v>
          </cell>
        </row>
        <row r="9">
          <cell r="K9" t="str">
            <v>220003</v>
          </cell>
          <cell r="M9">
            <v>1</v>
          </cell>
          <cell r="R9">
            <v>45663</v>
          </cell>
          <cell r="S9">
            <v>220003</v>
          </cell>
        </row>
        <row r="10">
          <cell r="K10" t="str">
            <v>226026</v>
          </cell>
          <cell r="M10">
            <v>1</v>
          </cell>
          <cell r="R10">
            <v>45663</v>
          </cell>
          <cell r="S10">
            <v>226026</v>
          </cell>
        </row>
        <row r="11">
          <cell r="K11" t="str">
            <v>220003</v>
          </cell>
          <cell r="M11">
            <v>1</v>
          </cell>
          <cell r="R11">
            <v>45663</v>
          </cell>
          <cell r="S11">
            <v>220003</v>
          </cell>
        </row>
        <row r="12">
          <cell r="K12" t="str">
            <v>220003</v>
          </cell>
          <cell r="M12">
            <v>1</v>
          </cell>
          <cell r="R12">
            <v>45663</v>
          </cell>
          <cell r="S12">
            <v>220003</v>
          </cell>
        </row>
        <row r="13">
          <cell r="K13" t="str">
            <v>228001</v>
          </cell>
          <cell r="M13">
            <v>1</v>
          </cell>
          <cell r="R13">
            <v>45663</v>
          </cell>
          <cell r="S13">
            <v>228001</v>
          </cell>
        </row>
        <row r="14">
          <cell r="K14" t="str">
            <v>209016</v>
          </cell>
          <cell r="M14">
            <v>1</v>
          </cell>
          <cell r="R14">
            <v>45663</v>
          </cell>
          <cell r="S14">
            <v>209016</v>
          </cell>
        </row>
        <row r="15">
          <cell r="K15" t="str">
            <v>226024</v>
          </cell>
          <cell r="M15">
            <v>1</v>
          </cell>
          <cell r="R15">
            <v>45664</v>
          </cell>
          <cell r="S15">
            <v>226024</v>
          </cell>
        </row>
        <row r="16">
          <cell r="K16" t="str">
            <v>201003</v>
          </cell>
          <cell r="M16">
            <v>2</v>
          </cell>
          <cell r="R16">
            <v>45664</v>
          </cell>
          <cell r="S16">
            <v>201003</v>
          </cell>
        </row>
        <row r="17">
          <cell r="K17" t="str">
            <v>220003</v>
          </cell>
          <cell r="M17">
            <v>1</v>
          </cell>
          <cell r="R17">
            <v>45664</v>
          </cell>
          <cell r="S17">
            <v>220003</v>
          </cell>
        </row>
        <row r="18">
          <cell r="K18" t="str">
            <v>226001</v>
          </cell>
          <cell r="M18">
            <v>1</v>
          </cell>
          <cell r="R18">
            <v>45664</v>
          </cell>
          <cell r="S18">
            <v>226001</v>
          </cell>
        </row>
        <row r="19">
          <cell r="K19" t="str">
            <v>231012</v>
          </cell>
          <cell r="M19">
            <v>1</v>
          </cell>
          <cell r="R19">
            <v>45664</v>
          </cell>
          <cell r="S19">
            <v>231012</v>
          </cell>
        </row>
        <row r="20">
          <cell r="K20" t="str">
            <v>213024</v>
          </cell>
          <cell r="M20">
            <v>1</v>
          </cell>
          <cell r="R20">
            <v>45665</v>
          </cell>
          <cell r="S20">
            <v>213024</v>
          </cell>
        </row>
        <row r="21">
          <cell r="K21" t="str">
            <v>201003</v>
          </cell>
          <cell r="M21">
            <v>1</v>
          </cell>
          <cell r="R21">
            <v>45665</v>
          </cell>
          <cell r="S21">
            <v>201003</v>
          </cell>
        </row>
        <row r="22">
          <cell r="K22" t="str">
            <v>201011</v>
          </cell>
          <cell r="M22">
            <v>36</v>
          </cell>
          <cell r="R22">
            <v>45665</v>
          </cell>
          <cell r="S22">
            <v>201011</v>
          </cell>
        </row>
        <row r="23">
          <cell r="K23" t="str">
            <v>217018</v>
          </cell>
          <cell r="M23">
            <v>1</v>
          </cell>
          <cell r="R23">
            <v>45665</v>
          </cell>
          <cell r="S23">
            <v>217018</v>
          </cell>
        </row>
        <row r="24">
          <cell r="K24" t="str">
            <v>226001</v>
          </cell>
          <cell r="M24">
            <v>2</v>
          </cell>
          <cell r="R24">
            <v>45665</v>
          </cell>
          <cell r="S24">
            <v>226001</v>
          </cell>
        </row>
        <row r="25">
          <cell r="K25" t="str">
            <v>227002</v>
          </cell>
          <cell r="M25">
            <v>1</v>
          </cell>
          <cell r="R25">
            <v>45665</v>
          </cell>
          <cell r="S25">
            <v>227002</v>
          </cell>
        </row>
        <row r="26">
          <cell r="K26" t="str">
            <v>241001</v>
          </cell>
          <cell r="M26">
            <v>1</v>
          </cell>
          <cell r="R26">
            <v>45665</v>
          </cell>
          <cell r="S26">
            <v>241001</v>
          </cell>
        </row>
        <row r="27">
          <cell r="K27" t="str">
            <v>220002</v>
          </cell>
          <cell r="M27">
            <v>1</v>
          </cell>
          <cell r="R27">
            <v>45666</v>
          </cell>
          <cell r="S27">
            <v>220002</v>
          </cell>
        </row>
        <row r="28">
          <cell r="K28" t="str">
            <v>201003</v>
          </cell>
          <cell r="M28">
            <v>1</v>
          </cell>
          <cell r="R28">
            <v>45666</v>
          </cell>
          <cell r="S28">
            <v>201003</v>
          </cell>
        </row>
        <row r="29">
          <cell r="K29" t="str">
            <v>213022</v>
          </cell>
          <cell r="M29">
            <v>1</v>
          </cell>
          <cell r="R29">
            <v>45667</v>
          </cell>
          <cell r="S29">
            <v>213022</v>
          </cell>
        </row>
        <row r="30">
          <cell r="K30" t="str">
            <v>220002</v>
          </cell>
          <cell r="M30">
            <v>1</v>
          </cell>
          <cell r="R30">
            <v>45670</v>
          </cell>
          <cell r="S30">
            <v>220002</v>
          </cell>
        </row>
        <row r="31">
          <cell r="K31" t="str">
            <v>212035</v>
          </cell>
          <cell r="M31">
            <v>4</v>
          </cell>
          <cell r="R31">
            <v>45670</v>
          </cell>
          <cell r="S31">
            <v>212035</v>
          </cell>
        </row>
        <row r="32">
          <cell r="K32" t="str">
            <v>220002</v>
          </cell>
          <cell r="M32">
            <v>1</v>
          </cell>
          <cell r="R32">
            <v>45670</v>
          </cell>
          <cell r="S32">
            <v>220002</v>
          </cell>
        </row>
        <row r="33">
          <cell r="K33" t="str">
            <v>220002</v>
          </cell>
          <cell r="M33">
            <v>1</v>
          </cell>
          <cell r="R33">
            <v>45670</v>
          </cell>
          <cell r="S33">
            <v>220002</v>
          </cell>
        </row>
        <row r="34">
          <cell r="K34" t="str">
            <v>226001</v>
          </cell>
          <cell r="M34">
            <v>1</v>
          </cell>
          <cell r="R34">
            <v>45670</v>
          </cell>
          <cell r="S34">
            <v>226001</v>
          </cell>
        </row>
        <row r="35">
          <cell r="K35" t="str">
            <v>220002</v>
          </cell>
          <cell r="M35">
            <v>1</v>
          </cell>
          <cell r="R35">
            <v>45670</v>
          </cell>
          <cell r="S35">
            <v>220002</v>
          </cell>
        </row>
        <row r="36">
          <cell r="K36" t="str">
            <v>227013</v>
          </cell>
          <cell r="M36">
            <v>1</v>
          </cell>
          <cell r="R36">
            <v>45670</v>
          </cell>
          <cell r="S36">
            <v>227013</v>
          </cell>
        </row>
        <row r="37">
          <cell r="K37" t="str">
            <v>226025</v>
          </cell>
          <cell r="M37">
            <v>1</v>
          </cell>
          <cell r="R37">
            <v>45670</v>
          </cell>
          <cell r="S37">
            <v>226025</v>
          </cell>
        </row>
        <row r="38">
          <cell r="K38" t="str">
            <v>226025</v>
          </cell>
          <cell r="M38">
            <v>1</v>
          </cell>
          <cell r="R38">
            <v>45670</v>
          </cell>
          <cell r="S38">
            <v>226025</v>
          </cell>
        </row>
        <row r="39">
          <cell r="K39" t="str">
            <v>220002</v>
          </cell>
          <cell r="M39">
            <v>1</v>
          </cell>
          <cell r="R39">
            <v>45670</v>
          </cell>
          <cell r="S39">
            <v>220002</v>
          </cell>
        </row>
        <row r="40">
          <cell r="K40" t="str">
            <v>228001</v>
          </cell>
          <cell r="M40">
            <v>1</v>
          </cell>
          <cell r="R40">
            <v>45671</v>
          </cell>
          <cell r="S40">
            <v>228001</v>
          </cell>
        </row>
        <row r="41">
          <cell r="K41" t="str">
            <v>212035</v>
          </cell>
          <cell r="M41">
            <v>1</v>
          </cell>
          <cell r="R41">
            <v>45671</v>
          </cell>
          <cell r="S41">
            <v>212035</v>
          </cell>
        </row>
        <row r="42">
          <cell r="K42" t="str">
            <v>201003</v>
          </cell>
          <cell r="M42">
            <v>6</v>
          </cell>
          <cell r="R42">
            <v>45671</v>
          </cell>
          <cell r="S42">
            <v>201003</v>
          </cell>
        </row>
        <row r="43">
          <cell r="K43" t="str">
            <v>220002</v>
          </cell>
          <cell r="M43">
            <v>1</v>
          </cell>
          <cell r="R43">
            <v>45668</v>
          </cell>
          <cell r="S43">
            <v>220002</v>
          </cell>
        </row>
        <row r="44">
          <cell r="K44" t="str">
            <v>220003</v>
          </cell>
          <cell r="M44">
            <v>1</v>
          </cell>
          <cell r="R44">
            <v>45668</v>
          </cell>
          <cell r="S44">
            <v>220003</v>
          </cell>
        </row>
        <row r="45">
          <cell r="K45" t="str">
            <v>201004</v>
          </cell>
          <cell r="M45">
            <v>1</v>
          </cell>
          <cell r="R45">
            <v>45672</v>
          </cell>
          <cell r="S45">
            <v>201004</v>
          </cell>
        </row>
        <row r="46">
          <cell r="K46" t="str">
            <v>212035</v>
          </cell>
          <cell r="M46">
            <v>2</v>
          </cell>
          <cell r="R46">
            <v>45673</v>
          </cell>
          <cell r="S46">
            <v>212035</v>
          </cell>
        </row>
        <row r="47">
          <cell r="K47" t="str">
            <v>227013</v>
          </cell>
          <cell r="M47">
            <v>1</v>
          </cell>
          <cell r="R47">
            <v>45673</v>
          </cell>
          <cell r="S47">
            <v>227013</v>
          </cell>
        </row>
        <row r="48">
          <cell r="K48" t="str">
            <v>226025</v>
          </cell>
          <cell r="M48">
            <v>4</v>
          </cell>
          <cell r="R48">
            <v>45673</v>
          </cell>
          <cell r="S48">
            <v>226025</v>
          </cell>
        </row>
        <row r="49">
          <cell r="K49" t="str">
            <v>212035</v>
          </cell>
          <cell r="M49">
            <v>1</v>
          </cell>
          <cell r="R49">
            <v>45674</v>
          </cell>
          <cell r="S49">
            <v>212035</v>
          </cell>
        </row>
        <row r="50">
          <cell r="K50" t="str">
            <v>229001</v>
          </cell>
          <cell r="M50">
            <v>1</v>
          </cell>
          <cell r="R50">
            <v>45677</v>
          </cell>
          <cell r="S50">
            <v>229001</v>
          </cell>
        </row>
        <row r="51">
          <cell r="K51" t="str">
            <v>201003</v>
          </cell>
          <cell r="M51">
            <v>2</v>
          </cell>
          <cell r="R51">
            <v>45677</v>
          </cell>
          <cell r="S51">
            <v>201003</v>
          </cell>
        </row>
        <row r="52">
          <cell r="K52" t="str">
            <v>226001</v>
          </cell>
          <cell r="M52">
            <v>1</v>
          </cell>
          <cell r="R52">
            <v>45677</v>
          </cell>
          <cell r="S52">
            <v>226001</v>
          </cell>
        </row>
        <row r="53">
          <cell r="K53" t="str">
            <v>223002</v>
          </cell>
          <cell r="M53">
            <v>3</v>
          </cell>
          <cell r="R53">
            <v>45678</v>
          </cell>
          <cell r="S53">
            <v>223002</v>
          </cell>
        </row>
        <row r="54">
          <cell r="K54" t="str">
            <v>228001</v>
          </cell>
          <cell r="M54">
            <v>1</v>
          </cell>
          <cell r="R54">
            <v>45678</v>
          </cell>
          <cell r="S54">
            <v>228001</v>
          </cell>
        </row>
        <row r="55">
          <cell r="K55" t="str">
            <v>209016</v>
          </cell>
          <cell r="M55">
            <v>1</v>
          </cell>
          <cell r="R55">
            <v>45678</v>
          </cell>
          <cell r="S55">
            <v>209016</v>
          </cell>
        </row>
        <row r="56">
          <cell r="K56" t="str">
            <v>226001</v>
          </cell>
          <cell r="M56">
            <v>2</v>
          </cell>
          <cell r="R56">
            <v>45679</v>
          </cell>
          <cell r="S56">
            <v>226001</v>
          </cell>
        </row>
        <row r="57">
          <cell r="K57" t="str">
            <v>227002</v>
          </cell>
          <cell r="M57">
            <v>1</v>
          </cell>
          <cell r="R57">
            <v>45679</v>
          </cell>
          <cell r="S57">
            <v>227002</v>
          </cell>
        </row>
        <row r="58">
          <cell r="K58" t="str">
            <v>226001</v>
          </cell>
          <cell r="M58">
            <v>1</v>
          </cell>
          <cell r="R58">
            <v>45681</v>
          </cell>
          <cell r="S58">
            <v>226001</v>
          </cell>
        </row>
        <row r="59">
          <cell r="K59" t="str">
            <v>218003</v>
          </cell>
          <cell r="M59">
            <v>1</v>
          </cell>
          <cell r="R59">
            <v>45681</v>
          </cell>
          <cell r="S59">
            <v>218003</v>
          </cell>
        </row>
        <row r="60">
          <cell r="K60" t="str">
            <v>203004</v>
          </cell>
          <cell r="M60">
            <v>1</v>
          </cell>
          <cell r="R60">
            <v>45681</v>
          </cell>
          <cell r="S60">
            <v>203004</v>
          </cell>
        </row>
        <row r="61">
          <cell r="K61" t="str">
            <v>207002</v>
          </cell>
          <cell r="M61">
            <v>2</v>
          </cell>
          <cell r="R61">
            <v>45681</v>
          </cell>
          <cell r="S61">
            <v>207002</v>
          </cell>
        </row>
        <row r="62">
          <cell r="K62" t="str">
            <v>213002</v>
          </cell>
          <cell r="M62">
            <v>5</v>
          </cell>
          <cell r="R62">
            <v>45684</v>
          </cell>
          <cell r="S62">
            <v>213002</v>
          </cell>
        </row>
        <row r="63">
          <cell r="K63" t="str">
            <v>226025</v>
          </cell>
          <cell r="M63">
            <v>2</v>
          </cell>
          <cell r="R63">
            <v>45685</v>
          </cell>
          <cell r="S63">
            <v>226025</v>
          </cell>
        </row>
        <row r="64">
          <cell r="K64" t="str">
            <v>217019</v>
          </cell>
          <cell r="M64">
            <v>2</v>
          </cell>
          <cell r="R64">
            <v>45685</v>
          </cell>
          <cell r="S64">
            <v>217019</v>
          </cell>
        </row>
        <row r="65">
          <cell r="K65" t="str">
            <v>201003</v>
          </cell>
          <cell r="M65">
            <v>2</v>
          </cell>
          <cell r="R65">
            <v>45686</v>
          </cell>
          <cell r="S65">
            <v>201003</v>
          </cell>
        </row>
        <row r="66">
          <cell r="K66" t="str">
            <v>226025</v>
          </cell>
          <cell r="M66">
            <v>1</v>
          </cell>
          <cell r="R66">
            <v>45686</v>
          </cell>
          <cell r="S66">
            <v>226025</v>
          </cell>
        </row>
        <row r="67">
          <cell r="K67" t="str">
            <v>201003</v>
          </cell>
          <cell r="M67">
            <v>2</v>
          </cell>
          <cell r="R67">
            <v>45686</v>
          </cell>
          <cell r="S67">
            <v>201003</v>
          </cell>
        </row>
        <row r="68">
          <cell r="K68" t="str">
            <v>229003</v>
          </cell>
          <cell r="M68">
            <v>1</v>
          </cell>
          <cell r="R68">
            <v>45687</v>
          </cell>
          <cell r="S68">
            <v>229003</v>
          </cell>
        </row>
        <row r="69">
          <cell r="K69" t="str">
            <v>201003</v>
          </cell>
          <cell r="M69">
            <v>1</v>
          </cell>
          <cell r="R69">
            <v>45687</v>
          </cell>
          <cell r="S69">
            <v>201003</v>
          </cell>
        </row>
        <row r="70">
          <cell r="K70" t="str">
            <v>226001</v>
          </cell>
          <cell r="M70">
            <v>1</v>
          </cell>
          <cell r="R70">
            <v>45687</v>
          </cell>
          <cell r="S70">
            <v>226001</v>
          </cell>
        </row>
        <row r="71">
          <cell r="K71" t="str">
            <v>227002</v>
          </cell>
          <cell r="M71">
            <v>1</v>
          </cell>
          <cell r="R71">
            <v>45687</v>
          </cell>
          <cell r="S71">
            <v>227002</v>
          </cell>
        </row>
        <row r="72">
          <cell r="K72" t="str">
            <v>212035</v>
          </cell>
          <cell r="M72">
            <v>2</v>
          </cell>
          <cell r="R72">
            <v>45688</v>
          </cell>
          <cell r="S72">
            <v>212035</v>
          </cell>
        </row>
        <row r="73">
          <cell r="K73" t="str">
            <v>228001</v>
          </cell>
          <cell r="M73">
            <v>1</v>
          </cell>
          <cell r="R73">
            <v>45688</v>
          </cell>
          <cell r="S73">
            <v>228001</v>
          </cell>
        </row>
        <row r="74">
          <cell r="K74" t="str">
            <v>209012</v>
          </cell>
          <cell r="M74">
            <v>1</v>
          </cell>
          <cell r="R74">
            <v>45688</v>
          </cell>
          <cell r="S74">
            <v>209012</v>
          </cell>
        </row>
        <row r="75">
          <cell r="K75" t="str">
            <v>228001</v>
          </cell>
          <cell r="M75">
            <v>1</v>
          </cell>
          <cell r="R75">
            <v>45688</v>
          </cell>
          <cell r="S75">
            <v>228001</v>
          </cell>
        </row>
        <row r="76">
          <cell r="K76" t="str">
            <v>217018</v>
          </cell>
          <cell r="M76">
            <v>1</v>
          </cell>
          <cell r="R76">
            <v>45691</v>
          </cell>
          <cell r="S76">
            <v>217018</v>
          </cell>
        </row>
        <row r="77">
          <cell r="K77" t="str">
            <v>223002</v>
          </cell>
          <cell r="M77">
            <v>1</v>
          </cell>
          <cell r="R77">
            <v>45691</v>
          </cell>
          <cell r="S77">
            <v>223002</v>
          </cell>
        </row>
        <row r="78">
          <cell r="K78" t="str">
            <v>201009</v>
          </cell>
          <cell r="M78">
            <v>1</v>
          </cell>
          <cell r="R78">
            <v>45691</v>
          </cell>
          <cell r="S78">
            <v>201009</v>
          </cell>
        </row>
        <row r="79">
          <cell r="K79" t="str">
            <v>226025</v>
          </cell>
          <cell r="M79">
            <v>3</v>
          </cell>
          <cell r="R79">
            <v>45692</v>
          </cell>
          <cell r="S79">
            <v>226025</v>
          </cell>
        </row>
        <row r="80">
          <cell r="K80" t="str">
            <v>207017</v>
          </cell>
          <cell r="M80">
            <v>1</v>
          </cell>
          <cell r="R80">
            <v>45692</v>
          </cell>
          <cell r="S80">
            <v>207017</v>
          </cell>
        </row>
        <row r="81">
          <cell r="K81" t="str">
            <v>226025</v>
          </cell>
          <cell r="M81">
            <v>1</v>
          </cell>
          <cell r="R81">
            <v>45692</v>
          </cell>
          <cell r="S81">
            <v>226025</v>
          </cell>
        </row>
        <row r="82">
          <cell r="K82" t="str">
            <v>223001</v>
          </cell>
          <cell r="M82">
            <v>2</v>
          </cell>
          <cell r="R82">
            <v>45692</v>
          </cell>
          <cell r="S82">
            <v>223001</v>
          </cell>
        </row>
        <row r="83">
          <cell r="K83" t="str">
            <v>201003</v>
          </cell>
          <cell r="M83">
            <v>1</v>
          </cell>
          <cell r="R83">
            <v>45692</v>
          </cell>
          <cell r="S83">
            <v>201003</v>
          </cell>
        </row>
        <row r="84">
          <cell r="K84" t="str">
            <v>226026</v>
          </cell>
          <cell r="M84">
            <v>1</v>
          </cell>
          <cell r="R84">
            <v>45692</v>
          </cell>
          <cell r="S84">
            <v>226026</v>
          </cell>
        </row>
        <row r="85">
          <cell r="K85" t="str">
            <v>217011</v>
          </cell>
          <cell r="M85">
            <v>1</v>
          </cell>
          <cell r="R85">
            <v>45692</v>
          </cell>
          <cell r="S85">
            <v>217011</v>
          </cell>
        </row>
        <row r="86">
          <cell r="K86" t="str">
            <v>226001</v>
          </cell>
          <cell r="M86">
            <v>1</v>
          </cell>
          <cell r="R86">
            <v>45692</v>
          </cell>
          <cell r="S86">
            <v>226001</v>
          </cell>
        </row>
        <row r="87">
          <cell r="K87" t="str">
            <v>226001</v>
          </cell>
          <cell r="M87">
            <v>1</v>
          </cell>
          <cell r="R87">
            <v>45693</v>
          </cell>
          <cell r="S87">
            <v>226001</v>
          </cell>
        </row>
        <row r="88">
          <cell r="K88" t="str">
            <v>226025</v>
          </cell>
          <cell r="M88">
            <v>1</v>
          </cell>
          <cell r="R88">
            <v>45693</v>
          </cell>
          <cell r="S88">
            <v>226025</v>
          </cell>
        </row>
        <row r="89">
          <cell r="K89" t="str">
            <v>223001</v>
          </cell>
          <cell r="M89">
            <v>3</v>
          </cell>
          <cell r="R89">
            <v>45693</v>
          </cell>
          <cell r="S89">
            <v>223001</v>
          </cell>
        </row>
        <row r="90">
          <cell r="K90" t="str">
            <v>227013</v>
          </cell>
          <cell r="M90">
            <v>1</v>
          </cell>
          <cell r="R90">
            <v>45694</v>
          </cell>
          <cell r="S90">
            <v>227013</v>
          </cell>
        </row>
        <row r="91">
          <cell r="K91" t="str">
            <v>231012</v>
          </cell>
          <cell r="M91">
            <v>1</v>
          </cell>
          <cell r="R91">
            <v>45694</v>
          </cell>
          <cell r="S91">
            <v>231012</v>
          </cell>
        </row>
        <row r="92">
          <cell r="K92" t="str">
            <v>226001</v>
          </cell>
          <cell r="M92">
            <v>1</v>
          </cell>
          <cell r="R92">
            <v>45694</v>
          </cell>
          <cell r="S92">
            <v>226001</v>
          </cell>
        </row>
        <row r="93">
          <cell r="K93" t="str">
            <v>223002</v>
          </cell>
          <cell r="M93">
            <v>3</v>
          </cell>
          <cell r="R93">
            <v>45695</v>
          </cell>
          <cell r="S93">
            <v>223002</v>
          </cell>
        </row>
        <row r="94">
          <cell r="K94" t="str">
            <v>201003</v>
          </cell>
          <cell r="M94">
            <v>2</v>
          </cell>
          <cell r="R94">
            <v>45698</v>
          </cell>
          <cell r="S94">
            <v>201003</v>
          </cell>
        </row>
        <row r="95">
          <cell r="K95" t="str">
            <v>226001</v>
          </cell>
          <cell r="M95">
            <v>1</v>
          </cell>
          <cell r="R95">
            <v>45698</v>
          </cell>
          <cell r="S95">
            <v>226001</v>
          </cell>
        </row>
        <row r="96">
          <cell r="K96" t="str">
            <v>206005</v>
          </cell>
          <cell r="M96">
            <v>1</v>
          </cell>
          <cell r="R96">
            <v>45699</v>
          </cell>
          <cell r="S96">
            <v>206005</v>
          </cell>
        </row>
        <row r="97">
          <cell r="K97" t="str">
            <v>226001</v>
          </cell>
          <cell r="M97">
            <v>1</v>
          </cell>
          <cell r="R97">
            <v>45699</v>
          </cell>
          <cell r="S97">
            <v>226001</v>
          </cell>
        </row>
        <row r="98">
          <cell r="K98" t="str">
            <v>209004</v>
          </cell>
          <cell r="M98">
            <v>1</v>
          </cell>
          <cell r="R98">
            <v>45699</v>
          </cell>
          <cell r="S98">
            <v>209004</v>
          </cell>
        </row>
        <row r="99">
          <cell r="K99" t="str">
            <v>228001</v>
          </cell>
          <cell r="M99">
            <v>1</v>
          </cell>
          <cell r="R99">
            <v>45699</v>
          </cell>
          <cell r="S99">
            <v>228001</v>
          </cell>
        </row>
        <row r="100">
          <cell r="K100" t="str">
            <v>210001</v>
          </cell>
          <cell r="M100">
            <v>1</v>
          </cell>
          <cell r="R100">
            <v>45699</v>
          </cell>
          <cell r="S100">
            <v>210001</v>
          </cell>
        </row>
        <row r="101">
          <cell r="K101" t="str">
            <v>226001</v>
          </cell>
          <cell r="M101">
            <v>1</v>
          </cell>
          <cell r="R101">
            <v>45700</v>
          </cell>
          <cell r="S101">
            <v>226001</v>
          </cell>
        </row>
        <row r="102">
          <cell r="K102" t="str">
            <v>206006</v>
          </cell>
          <cell r="M102">
            <v>1</v>
          </cell>
          <cell r="R102">
            <v>45700</v>
          </cell>
          <cell r="S102">
            <v>206006</v>
          </cell>
        </row>
        <row r="103">
          <cell r="K103" t="str">
            <v>206005</v>
          </cell>
          <cell r="M103">
            <v>1</v>
          </cell>
          <cell r="R103">
            <v>45700</v>
          </cell>
          <cell r="S103">
            <v>206005</v>
          </cell>
        </row>
        <row r="104">
          <cell r="K104" t="str">
            <v>218003</v>
          </cell>
          <cell r="M104">
            <v>1</v>
          </cell>
          <cell r="R104">
            <v>45700</v>
          </cell>
          <cell r="S104">
            <v>218003</v>
          </cell>
        </row>
        <row r="105">
          <cell r="K105" t="str">
            <v>226025</v>
          </cell>
          <cell r="M105">
            <v>1</v>
          </cell>
          <cell r="R105">
            <v>45700</v>
          </cell>
          <cell r="S105">
            <v>226025</v>
          </cell>
        </row>
        <row r="106">
          <cell r="K106" t="str">
            <v>207002</v>
          </cell>
          <cell r="M106">
            <v>2</v>
          </cell>
          <cell r="R106">
            <v>45700</v>
          </cell>
          <cell r="S106">
            <v>207002</v>
          </cell>
        </row>
        <row r="107">
          <cell r="K107" t="str">
            <v>227002</v>
          </cell>
          <cell r="M107">
            <v>1</v>
          </cell>
          <cell r="R107">
            <v>45700</v>
          </cell>
          <cell r="S107">
            <v>227002</v>
          </cell>
        </row>
        <row r="108">
          <cell r="K108" t="str">
            <v>212035</v>
          </cell>
          <cell r="M108">
            <v>2</v>
          </cell>
          <cell r="R108">
            <v>45701</v>
          </cell>
          <cell r="S108">
            <v>212035</v>
          </cell>
        </row>
        <row r="109">
          <cell r="K109" t="str">
            <v>223002</v>
          </cell>
          <cell r="M109">
            <v>7</v>
          </cell>
          <cell r="R109">
            <v>45701</v>
          </cell>
          <cell r="S109">
            <v>223002</v>
          </cell>
        </row>
        <row r="110">
          <cell r="K110" t="str">
            <v>231012</v>
          </cell>
          <cell r="M110">
            <v>1</v>
          </cell>
          <cell r="R110">
            <v>45702</v>
          </cell>
          <cell r="S110">
            <v>231012</v>
          </cell>
        </row>
        <row r="111">
          <cell r="K111" t="str">
            <v>213002</v>
          </cell>
          <cell r="M111">
            <v>1</v>
          </cell>
          <cell r="R111">
            <v>45702</v>
          </cell>
          <cell r="S111">
            <v>213002</v>
          </cell>
        </row>
        <row r="112">
          <cell r="K112" t="str">
            <v>213002</v>
          </cell>
          <cell r="M112">
            <v>7</v>
          </cell>
          <cell r="R112">
            <v>45705</v>
          </cell>
          <cell r="S112">
            <v>213002</v>
          </cell>
        </row>
        <row r="113">
          <cell r="K113" t="str">
            <v>212035</v>
          </cell>
          <cell r="M113">
            <v>2</v>
          </cell>
          <cell r="R113">
            <v>45705</v>
          </cell>
          <cell r="S113">
            <v>212035</v>
          </cell>
        </row>
        <row r="114">
          <cell r="K114" t="str">
            <v>213002</v>
          </cell>
          <cell r="M114">
            <v>8</v>
          </cell>
          <cell r="R114">
            <v>45705</v>
          </cell>
          <cell r="S114">
            <v>213002</v>
          </cell>
        </row>
        <row r="115">
          <cell r="K115" t="str">
            <v>223017</v>
          </cell>
          <cell r="M115">
            <v>1</v>
          </cell>
          <cell r="R115">
            <v>45705</v>
          </cell>
          <cell r="S115">
            <v>223017</v>
          </cell>
        </row>
        <row r="116">
          <cell r="K116" t="str">
            <v>224002</v>
          </cell>
          <cell r="M116">
            <v>2</v>
          </cell>
          <cell r="R116">
            <v>45705</v>
          </cell>
          <cell r="S116">
            <v>224002</v>
          </cell>
        </row>
        <row r="117">
          <cell r="K117" t="str">
            <v>201003</v>
          </cell>
          <cell r="M117">
            <v>1</v>
          </cell>
          <cell r="R117">
            <v>45705</v>
          </cell>
          <cell r="S117">
            <v>201003</v>
          </cell>
        </row>
        <row r="118">
          <cell r="K118" t="str">
            <v>209021</v>
          </cell>
          <cell r="M118">
            <v>1</v>
          </cell>
          <cell r="R118">
            <v>45705</v>
          </cell>
          <cell r="S118">
            <v>209021</v>
          </cell>
        </row>
        <row r="119">
          <cell r="K119" t="str">
            <v>201009</v>
          </cell>
          <cell r="M119">
            <v>1</v>
          </cell>
          <cell r="R119">
            <v>45707</v>
          </cell>
          <cell r="S119">
            <v>201009</v>
          </cell>
        </row>
        <row r="120">
          <cell r="K120" t="str">
            <v>209016</v>
          </cell>
          <cell r="M120">
            <v>1</v>
          </cell>
          <cell r="R120">
            <v>45707</v>
          </cell>
          <cell r="S120">
            <v>209016</v>
          </cell>
        </row>
        <row r="121">
          <cell r="K121" t="str">
            <v>209016</v>
          </cell>
          <cell r="M121">
            <v>1</v>
          </cell>
          <cell r="R121">
            <v>45707</v>
          </cell>
          <cell r="S121">
            <v>209016</v>
          </cell>
        </row>
        <row r="122">
          <cell r="K122" t="str">
            <v>228001</v>
          </cell>
          <cell r="M122">
            <v>1</v>
          </cell>
          <cell r="R122">
            <v>45708</v>
          </cell>
          <cell r="S122">
            <v>228001</v>
          </cell>
        </row>
        <row r="123">
          <cell r="K123" t="str">
            <v>207002</v>
          </cell>
          <cell r="M123">
            <v>1</v>
          </cell>
          <cell r="R123">
            <v>45708</v>
          </cell>
          <cell r="S123">
            <v>207002</v>
          </cell>
        </row>
        <row r="124">
          <cell r="K124" t="str">
            <v>226001</v>
          </cell>
          <cell r="M124">
            <v>2</v>
          </cell>
          <cell r="R124">
            <v>45708</v>
          </cell>
          <cell r="S124">
            <v>226001</v>
          </cell>
        </row>
        <row r="125">
          <cell r="K125" t="str">
            <v>226001</v>
          </cell>
          <cell r="M125">
            <v>1</v>
          </cell>
          <cell r="R125">
            <v>45708</v>
          </cell>
          <cell r="S125">
            <v>226001</v>
          </cell>
        </row>
        <row r="126">
          <cell r="K126" t="str">
            <v>227013</v>
          </cell>
          <cell r="M126">
            <v>1</v>
          </cell>
          <cell r="R126">
            <v>45709</v>
          </cell>
          <cell r="S126">
            <v>227013</v>
          </cell>
        </row>
        <row r="127">
          <cell r="K127" t="str">
            <v>201009</v>
          </cell>
          <cell r="M127">
            <v>1</v>
          </cell>
          <cell r="R127">
            <v>45709</v>
          </cell>
          <cell r="S127">
            <v>201009</v>
          </cell>
        </row>
        <row r="128">
          <cell r="K128" t="str">
            <v>213002</v>
          </cell>
          <cell r="M128">
            <v>1</v>
          </cell>
          <cell r="R128">
            <v>45709</v>
          </cell>
          <cell r="S128">
            <v>213002</v>
          </cell>
        </row>
        <row r="129">
          <cell r="K129" t="str">
            <v>210001</v>
          </cell>
          <cell r="M129">
            <v>1</v>
          </cell>
          <cell r="R129">
            <v>45712</v>
          </cell>
          <cell r="S129">
            <v>210001</v>
          </cell>
        </row>
        <row r="130">
          <cell r="K130" t="str">
            <v>223002</v>
          </cell>
          <cell r="M130">
            <v>5</v>
          </cell>
          <cell r="R130">
            <v>45712</v>
          </cell>
          <cell r="S130">
            <v>223002</v>
          </cell>
        </row>
        <row r="131">
          <cell r="K131" t="str">
            <v>210014</v>
          </cell>
          <cell r="M131">
            <v>1</v>
          </cell>
          <cell r="R131">
            <v>45713</v>
          </cell>
          <cell r="S131">
            <v>210014</v>
          </cell>
        </row>
        <row r="132">
          <cell r="K132" t="str">
            <v>212035</v>
          </cell>
          <cell r="M132">
            <v>3</v>
          </cell>
          <cell r="R132">
            <v>45714</v>
          </cell>
          <cell r="S132">
            <v>212035</v>
          </cell>
        </row>
        <row r="133">
          <cell r="K133" t="str">
            <v>212002</v>
          </cell>
          <cell r="M133">
            <v>1</v>
          </cell>
          <cell r="R133">
            <v>45714</v>
          </cell>
          <cell r="S133">
            <v>212002</v>
          </cell>
        </row>
        <row r="134">
          <cell r="K134" t="str">
            <v>228017</v>
          </cell>
          <cell r="M134">
            <v>2</v>
          </cell>
          <cell r="R134">
            <v>45714</v>
          </cell>
          <cell r="S134">
            <v>228017</v>
          </cell>
        </row>
        <row r="135">
          <cell r="K135" t="str">
            <v>227001</v>
          </cell>
          <cell r="M135">
            <v>2</v>
          </cell>
          <cell r="R135">
            <v>45714</v>
          </cell>
          <cell r="S135">
            <v>227001</v>
          </cell>
        </row>
        <row r="136">
          <cell r="K136" t="str">
            <v>227001</v>
          </cell>
          <cell r="M136">
            <v>3</v>
          </cell>
          <cell r="R136">
            <v>45714</v>
          </cell>
          <cell r="S136">
            <v>227001</v>
          </cell>
        </row>
        <row r="137">
          <cell r="K137" t="str">
            <v>227002</v>
          </cell>
          <cell r="M137">
            <v>2</v>
          </cell>
          <cell r="R137">
            <v>45715</v>
          </cell>
          <cell r="S137">
            <v>227002</v>
          </cell>
        </row>
        <row r="138">
          <cell r="K138" t="str">
            <v>227012</v>
          </cell>
          <cell r="M138">
            <v>1</v>
          </cell>
          <cell r="R138">
            <v>45715</v>
          </cell>
          <cell r="S138">
            <v>227012</v>
          </cell>
        </row>
        <row r="139">
          <cell r="K139" t="str">
            <v>227013</v>
          </cell>
          <cell r="M139">
            <v>1</v>
          </cell>
          <cell r="R139">
            <v>45715</v>
          </cell>
          <cell r="S139">
            <v>227013</v>
          </cell>
        </row>
        <row r="140">
          <cell r="K140" t="str">
            <v>226001</v>
          </cell>
          <cell r="M140">
            <v>2</v>
          </cell>
          <cell r="R140">
            <v>45715</v>
          </cell>
          <cell r="S140">
            <v>226001</v>
          </cell>
        </row>
        <row r="141">
          <cell r="K141" t="str">
            <v>227002</v>
          </cell>
          <cell r="M141">
            <v>1</v>
          </cell>
          <cell r="R141">
            <v>45715</v>
          </cell>
          <cell r="S141">
            <v>227002</v>
          </cell>
        </row>
        <row r="142">
          <cell r="K142" t="str">
            <v>213002</v>
          </cell>
          <cell r="M142">
            <v>1</v>
          </cell>
          <cell r="R142">
            <v>45716</v>
          </cell>
          <cell r="S142">
            <v>213002</v>
          </cell>
        </row>
        <row r="143">
          <cell r="K143" t="str">
            <v>217011</v>
          </cell>
          <cell r="M143">
            <v>1</v>
          </cell>
          <cell r="R143">
            <v>45717</v>
          </cell>
          <cell r="S143">
            <v>217011</v>
          </cell>
        </row>
        <row r="144">
          <cell r="K144" t="str">
            <v>226025</v>
          </cell>
          <cell r="M144">
            <v>1</v>
          </cell>
          <cell r="R144">
            <v>45717</v>
          </cell>
          <cell r="S144">
            <v>226025</v>
          </cell>
        </row>
        <row r="145">
          <cell r="K145" t="str">
            <v>207002</v>
          </cell>
          <cell r="M145">
            <v>1</v>
          </cell>
          <cell r="R145">
            <v>45719</v>
          </cell>
          <cell r="S145">
            <v>207002</v>
          </cell>
        </row>
        <row r="146">
          <cell r="K146" t="str">
            <v>227010</v>
          </cell>
          <cell r="M146">
            <v>1</v>
          </cell>
          <cell r="R146">
            <v>45720</v>
          </cell>
          <cell r="S146">
            <v>227010</v>
          </cell>
        </row>
        <row r="147">
          <cell r="K147" t="str">
            <v>201003</v>
          </cell>
          <cell r="M147">
            <v>1</v>
          </cell>
          <cell r="R147">
            <v>45720</v>
          </cell>
          <cell r="S147">
            <v>201003</v>
          </cell>
        </row>
        <row r="148">
          <cell r="K148" t="str">
            <v>227012</v>
          </cell>
          <cell r="M148">
            <v>1</v>
          </cell>
          <cell r="R148">
            <v>45720</v>
          </cell>
          <cell r="S148">
            <v>227012</v>
          </cell>
        </row>
        <row r="149">
          <cell r="K149" t="str">
            <v>209004</v>
          </cell>
          <cell r="M149">
            <v>1</v>
          </cell>
          <cell r="R149">
            <v>45720</v>
          </cell>
          <cell r="S149">
            <v>209004</v>
          </cell>
        </row>
        <row r="150">
          <cell r="K150" t="str">
            <v>226001</v>
          </cell>
          <cell r="M150">
            <v>1</v>
          </cell>
          <cell r="R150">
            <v>45720</v>
          </cell>
          <cell r="S150">
            <v>226001</v>
          </cell>
        </row>
        <row r="151">
          <cell r="K151" t="str">
            <v>227002</v>
          </cell>
          <cell r="M151">
            <v>1</v>
          </cell>
          <cell r="R151">
            <v>45720</v>
          </cell>
          <cell r="S151">
            <v>227002</v>
          </cell>
        </row>
        <row r="152">
          <cell r="K152" t="str">
            <v>203003</v>
          </cell>
          <cell r="M152">
            <v>1</v>
          </cell>
          <cell r="R152">
            <v>45721</v>
          </cell>
          <cell r="S152">
            <v>203003</v>
          </cell>
        </row>
        <row r="153">
          <cell r="K153" t="str">
            <v>201011</v>
          </cell>
          <cell r="M153">
            <v>1</v>
          </cell>
          <cell r="R153">
            <v>45721</v>
          </cell>
          <cell r="S153">
            <v>201011</v>
          </cell>
        </row>
        <row r="154">
          <cell r="K154" t="str">
            <v>207002</v>
          </cell>
          <cell r="M154">
            <v>1</v>
          </cell>
          <cell r="R154">
            <v>45721</v>
          </cell>
          <cell r="S154">
            <v>207002</v>
          </cell>
        </row>
        <row r="155">
          <cell r="K155" t="str">
            <v>207002</v>
          </cell>
          <cell r="M155">
            <v>1</v>
          </cell>
          <cell r="R155">
            <v>45720</v>
          </cell>
          <cell r="S155">
            <v>207002</v>
          </cell>
        </row>
        <row r="156">
          <cell r="K156" t="str">
            <v>226001</v>
          </cell>
          <cell r="M156">
            <v>1</v>
          </cell>
          <cell r="R156">
            <v>45720</v>
          </cell>
          <cell r="S156">
            <v>226001</v>
          </cell>
        </row>
        <row r="157">
          <cell r="K157" t="str">
            <v>217011</v>
          </cell>
          <cell r="M157">
            <v>1</v>
          </cell>
          <cell r="R157">
            <v>45721</v>
          </cell>
          <cell r="S157">
            <v>217011</v>
          </cell>
        </row>
        <row r="158">
          <cell r="K158" t="str">
            <v>226026</v>
          </cell>
          <cell r="M158">
            <v>1</v>
          </cell>
          <cell r="R158">
            <v>45721</v>
          </cell>
          <cell r="S158">
            <v>226026</v>
          </cell>
        </row>
        <row r="159">
          <cell r="K159" t="str">
            <v>201003</v>
          </cell>
          <cell r="M159">
            <v>5</v>
          </cell>
          <cell r="R159">
            <v>45721</v>
          </cell>
          <cell r="S159">
            <v>201003</v>
          </cell>
        </row>
        <row r="160">
          <cell r="K160" t="str">
            <v>223001</v>
          </cell>
          <cell r="M160">
            <v>1</v>
          </cell>
          <cell r="R160">
            <v>45721</v>
          </cell>
          <cell r="S160">
            <v>223001</v>
          </cell>
        </row>
        <row r="161">
          <cell r="K161" t="str">
            <v>207002</v>
          </cell>
          <cell r="M161">
            <v>1</v>
          </cell>
          <cell r="R161">
            <v>45721</v>
          </cell>
          <cell r="S161">
            <v>207002</v>
          </cell>
        </row>
        <row r="162">
          <cell r="K162" t="str">
            <v>226026</v>
          </cell>
          <cell r="M162">
            <v>2</v>
          </cell>
          <cell r="R162">
            <v>45722</v>
          </cell>
          <cell r="S162">
            <v>226026</v>
          </cell>
        </row>
        <row r="163">
          <cell r="K163" t="str">
            <v>226001</v>
          </cell>
          <cell r="M163">
            <v>1</v>
          </cell>
          <cell r="R163">
            <v>45722</v>
          </cell>
          <cell r="S163">
            <v>226001</v>
          </cell>
        </row>
        <row r="164">
          <cell r="K164" t="str">
            <v>241001</v>
          </cell>
          <cell r="M164">
            <v>1</v>
          </cell>
          <cell r="R164">
            <v>45722</v>
          </cell>
          <cell r="S164">
            <v>241001</v>
          </cell>
        </row>
        <row r="165">
          <cell r="K165" t="str">
            <v>228017</v>
          </cell>
          <cell r="M165">
            <v>1</v>
          </cell>
          <cell r="R165">
            <v>45723</v>
          </cell>
          <cell r="S165">
            <v>228017</v>
          </cell>
        </row>
        <row r="166">
          <cell r="K166" t="str">
            <v>213002</v>
          </cell>
          <cell r="M166">
            <v>2</v>
          </cell>
          <cell r="R166">
            <v>45723</v>
          </cell>
          <cell r="S166">
            <v>213002</v>
          </cell>
        </row>
        <row r="167">
          <cell r="K167" t="str">
            <v>206005</v>
          </cell>
          <cell r="M167">
            <v>1</v>
          </cell>
          <cell r="R167">
            <v>45723</v>
          </cell>
          <cell r="S167">
            <v>206005</v>
          </cell>
        </row>
        <row r="168">
          <cell r="K168" t="str">
            <v>201004</v>
          </cell>
          <cell r="M168">
            <v>1</v>
          </cell>
          <cell r="R168">
            <v>45726</v>
          </cell>
          <cell r="S168">
            <v>201004</v>
          </cell>
        </row>
        <row r="169">
          <cell r="K169" t="str">
            <v>201003</v>
          </cell>
          <cell r="M169">
            <v>1</v>
          </cell>
          <cell r="R169">
            <v>45726</v>
          </cell>
          <cell r="S169">
            <v>201003</v>
          </cell>
        </row>
        <row r="170">
          <cell r="K170" t="str">
            <v>201002</v>
          </cell>
          <cell r="M170">
            <v>2</v>
          </cell>
          <cell r="R170">
            <v>45726</v>
          </cell>
          <cell r="S170">
            <v>201002</v>
          </cell>
        </row>
        <row r="171">
          <cell r="K171" t="str">
            <v>226001</v>
          </cell>
          <cell r="M171">
            <v>1</v>
          </cell>
          <cell r="R171">
            <v>45727</v>
          </cell>
          <cell r="S171">
            <v>226001</v>
          </cell>
        </row>
        <row r="172">
          <cell r="K172" t="str">
            <v>207002</v>
          </cell>
          <cell r="M172">
            <v>2</v>
          </cell>
          <cell r="R172">
            <v>45727</v>
          </cell>
          <cell r="S172">
            <v>207002</v>
          </cell>
        </row>
        <row r="173">
          <cell r="K173" t="str">
            <v>226001</v>
          </cell>
          <cell r="M173">
            <v>1</v>
          </cell>
          <cell r="R173">
            <v>45727</v>
          </cell>
          <cell r="S173">
            <v>226001</v>
          </cell>
        </row>
        <row r="174">
          <cell r="K174" t="str">
            <v>201011</v>
          </cell>
          <cell r="M174">
            <v>7</v>
          </cell>
          <cell r="R174">
            <v>45728</v>
          </cell>
          <cell r="S174">
            <v>201011</v>
          </cell>
        </row>
        <row r="175">
          <cell r="K175" t="str">
            <v>226001</v>
          </cell>
          <cell r="M175">
            <v>1</v>
          </cell>
          <cell r="R175">
            <v>45729</v>
          </cell>
          <cell r="S175">
            <v>226001</v>
          </cell>
        </row>
        <row r="176">
          <cell r="K176" t="str">
            <v>229003</v>
          </cell>
          <cell r="M176">
            <v>1</v>
          </cell>
          <cell r="R176">
            <v>45729</v>
          </cell>
          <cell r="S176">
            <v>229003</v>
          </cell>
        </row>
        <row r="177">
          <cell r="K177" t="str">
            <v>226001</v>
          </cell>
          <cell r="M177">
            <v>1</v>
          </cell>
          <cell r="R177">
            <v>45729</v>
          </cell>
          <cell r="S177">
            <v>226001</v>
          </cell>
        </row>
        <row r="178">
          <cell r="K178" t="str">
            <v>207002</v>
          </cell>
          <cell r="M178">
            <v>1</v>
          </cell>
          <cell r="R178">
            <v>45729</v>
          </cell>
          <cell r="S178">
            <v>207002</v>
          </cell>
        </row>
        <row r="179">
          <cell r="K179" t="str">
            <v>226001</v>
          </cell>
          <cell r="M179">
            <v>1</v>
          </cell>
          <cell r="R179">
            <v>45729</v>
          </cell>
          <cell r="S179">
            <v>226001</v>
          </cell>
        </row>
        <row r="180">
          <cell r="K180" t="str">
            <v>227002</v>
          </cell>
          <cell r="M180">
            <v>1</v>
          </cell>
          <cell r="R180">
            <v>45729</v>
          </cell>
          <cell r="S180">
            <v>227002</v>
          </cell>
        </row>
        <row r="181">
          <cell r="K181" t="str">
            <v>201005</v>
          </cell>
          <cell r="M181">
            <v>1</v>
          </cell>
          <cell r="R181">
            <v>45729</v>
          </cell>
          <cell r="S181">
            <v>201005</v>
          </cell>
        </row>
        <row r="182">
          <cell r="K182" t="str">
            <v>226024</v>
          </cell>
          <cell r="M182">
            <v>1</v>
          </cell>
          <cell r="R182">
            <v>45730</v>
          </cell>
          <cell r="S182">
            <v>226024</v>
          </cell>
        </row>
        <row r="183">
          <cell r="K183" t="str">
            <v>217011</v>
          </cell>
          <cell r="M183">
            <v>1</v>
          </cell>
          <cell r="R183">
            <v>45732</v>
          </cell>
          <cell r="S183">
            <v>217011</v>
          </cell>
        </row>
        <row r="184">
          <cell r="K184" t="str">
            <v>217011</v>
          </cell>
          <cell r="M184">
            <v>1</v>
          </cell>
          <cell r="R184">
            <v>45733</v>
          </cell>
          <cell r="S184">
            <v>217011</v>
          </cell>
        </row>
        <row r="185">
          <cell r="K185" t="str">
            <v>201009</v>
          </cell>
          <cell r="M185">
            <v>3</v>
          </cell>
          <cell r="R185">
            <v>45730</v>
          </cell>
          <cell r="S185">
            <v>201009</v>
          </cell>
        </row>
        <row r="186">
          <cell r="K186" t="str">
            <v>228001</v>
          </cell>
          <cell r="M186">
            <v>1</v>
          </cell>
          <cell r="R186">
            <v>45734</v>
          </cell>
          <cell r="S186">
            <v>228001</v>
          </cell>
        </row>
        <row r="187">
          <cell r="K187" t="str">
            <v>206002</v>
          </cell>
          <cell r="M187">
            <v>1</v>
          </cell>
          <cell r="R187">
            <v>45735</v>
          </cell>
          <cell r="S187">
            <v>206002</v>
          </cell>
        </row>
        <row r="188">
          <cell r="K188" t="str">
            <v>202001</v>
          </cell>
          <cell r="M188">
            <v>1</v>
          </cell>
          <cell r="R188">
            <v>45735</v>
          </cell>
          <cell r="S188">
            <v>202001</v>
          </cell>
        </row>
        <row r="189">
          <cell r="K189" t="str">
            <v>231008</v>
          </cell>
          <cell r="M189">
            <v>1</v>
          </cell>
          <cell r="R189">
            <v>45735</v>
          </cell>
          <cell r="S189">
            <v>231008</v>
          </cell>
        </row>
        <row r="190">
          <cell r="K190" t="str">
            <v>229004</v>
          </cell>
          <cell r="M190">
            <v>1</v>
          </cell>
          <cell r="R190">
            <v>45735</v>
          </cell>
          <cell r="S190">
            <v>229004</v>
          </cell>
        </row>
        <row r="191">
          <cell r="K191" t="str">
            <v>224001</v>
          </cell>
          <cell r="M191">
            <v>1</v>
          </cell>
          <cell r="R191">
            <v>45735</v>
          </cell>
          <cell r="S191">
            <v>224001</v>
          </cell>
        </row>
        <row r="192">
          <cell r="K192" t="str">
            <v>226001</v>
          </cell>
          <cell r="M192">
            <v>2</v>
          </cell>
          <cell r="R192">
            <v>45735</v>
          </cell>
          <cell r="S192">
            <v>226001</v>
          </cell>
        </row>
        <row r="193">
          <cell r="K193" t="str">
            <v>228017</v>
          </cell>
          <cell r="M193">
            <v>1</v>
          </cell>
          <cell r="R193">
            <v>45735</v>
          </cell>
          <cell r="S193">
            <v>228017</v>
          </cell>
        </row>
        <row r="194">
          <cell r="K194" t="str">
            <v>231012</v>
          </cell>
          <cell r="M194">
            <v>1</v>
          </cell>
          <cell r="R194">
            <v>45735</v>
          </cell>
          <cell r="S194">
            <v>231012</v>
          </cell>
        </row>
        <row r="195">
          <cell r="K195" t="str">
            <v>212035</v>
          </cell>
          <cell r="M195">
            <v>1</v>
          </cell>
          <cell r="R195">
            <v>45735</v>
          </cell>
          <cell r="S195">
            <v>212035</v>
          </cell>
        </row>
        <row r="196">
          <cell r="K196" t="str">
            <v>201003</v>
          </cell>
          <cell r="M196">
            <v>5</v>
          </cell>
          <cell r="R196">
            <v>45736</v>
          </cell>
          <cell r="S196">
            <v>201003</v>
          </cell>
        </row>
        <row r="197">
          <cell r="K197" t="str">
            <v>226001</v>
          </cell>
          <cell r="M197">
            <v>1</v>
          </cell>
          <cell r="R197">
            <v>45736</v>
          </cell>
          <cell r="S197">
            <v>226001</v>
          </cell>
        </row>
        <row r="198">
          <cell r="K198" t="str">
            <v>227002</v>
          </cell>
          <cell r="M198">
            <v>1</v>
          </cell>
          <cell r="R198">
            <v>45736</v>
          </cell>
          <cell r="S198">
            <v>227002</v>
          </cell>
        </row>
        <row r="199">
          <cell r="K199" t="str">
            <v>231012</v>
          </cell>
          <cell r="M199">
            <v>1</v>
          </cell>
          <cell r="R199">
            <v>45736</v>
          </cell>
          <cell r="S199">
            <v>231012</v>
          </cell>
        </row>
        <row r="200">
          <cell r="K200" t="str">
            <v>226024</v>
          </cell>
          <cell r="M200">
            <v>1</v>
          </cell>
          <cell r="R200">
            <v>45736</v>
          </cell>
          <cell r="S200">
            <v>226024</v>
          </cell>
        </row>
        <row r="201">
          <cell r="K201" t="str">
            <v>210014</v>
          </cell>
          <cell r="M201">
            <v>1</v>
          </cell>
          <cell r="R201">
            <v>45736</v>
          </cell>
          <cell r="S201">
            <v>210014</v>
          </cell>
        </row>
        <row r="202">
          <cell r="K202" t="str">
            <v>201009</v>
          </cell>
          <cell r="M202">
            <v>1</v>
          </cell>
          <cell r="R202">
            <v>45736</v>
          </cell>
          <cell r="S202">
            <v>201009</v>
          </cell>
        </row>
        <row r="203">
          <cell r="K203" t="str">
            <v>208001</v>
          </cell>
          <cell r="M203">
            <v>1</v>
          </cell>
          <cell r="R203">
            <v>45737</v>
          </cell>
          <cell r="S203">
            <v>208001</v>
          </cell>
        </row>
        <row r="204">
          <cell r="K204" t="str">
            <v>218001</v>
          </cell>
          <cell r="M204">
            <v>1</v>
          </cell>
          <cell r="R204">
            <v>45737</v>
          </cell>
          <cell r="S204">
            <v>218001</v>
          </cell>
        </row>
        <row r="205">
          <cell r="K205" t="str">
            <v>203004</v>
          </cell>
          <cell r="M205">
            <v>1</v>
          </cell>
          <cell r="R205">
            <v>45737</v>
          </cell>
          <cell r="S205">
            <v>203004</v>
          </cell>
        </row>
        <row r="206">
          <cell r="K206" t="str">
            <v>224001</v>
          </cell>
          <cell r="M206">
            <v>1</v>
          </cell>
          <cell r="R206">
            <v>45737</v>
          </cell>
          <cell r="S206">
            <v>224001</v>
          </cell>
        </row>
        <row r="207">
          <cell r="K207" t="str">
            <v>226027</v>
          </cell>
          <cell r="M207">
            <v>1</v>
          </cell>
          <cell r="R207">
            <v>45737</v>
          </cell>
          <cell r="S207">
            <v>226027</v>
          </cell>
        </row>
        <row r="208">
          <cell r="K208" t="str">
            <v>213018</v>
          </cell>
          <cell r="M208">
            <v>1</v>
          </cell>
          <cell r="R208">
            <v>45737</v>
          </cell>
          <cell r="S208">
            <v>213018</v>
          </cell>
        </row>
        <row r="209">
          <cell r="K209" t="str">
            <v>226001</v>
          </cell>
          <cell r="M209">
            <v>1</v>
          </cell>
          <cell r="R209">
            <v>45737</v>
          </cell>
          <cell r="S209">
            <v>226001</v>
          </cell>
        </row>
        <row r="210">
          <cell r="K210" t="str">
            <v>227002</v>
          </cell>
          <cell r="M210">
            <v>1</v>
          </cell>
          <cell r="R210">
            <v>45737</v>
          </cell>
          <cell r="S210">
            <v>227002</v>
          </cell>
        </row>
        <row r="211">
          <cell r="K211" t="str">
            <v>226024</v>
          </cell>
          <cell r="M211">
            <v>1</v>
          </cell>
          <cell r="R211">
            <v>45737</v>
          </cell>
          <cell r="S211">
            <v>226024</v>
          </cell>
        </row>
        <row r="212">
          <cell r="K212" t="str">
            <v>226025</v>
          </cell>
          <cell r="M212">
            <v>1</v>
          </cell>
          <cell r="R212">
            <v>45740</v>
          </cell>
          <cell r="S212">
            <v>226025</v>
          </cell>
        </row>
        <row r="213">
          <cell r="K213" t="str">
            <v>228017</v>
          </cell>
          <cell r="M213">
            <v>1</v>
          </cell>
          <cell r="R213">
            <v>45740</v>
          </cell>
          <cell r="S213">
            <v>228017</v>
          </cell>
        </row>
        <row r="214">
          <cell r="K214" t="str">
            <v>201003</v>
          </cell>
          <cell r="M214">
            <v>1</v>
          </cell>
          <cell r="R214">
            <v>45740</v>
          </cell>
          <cell r="S214">
            <v>201003</v>
          </cell>
        </row>
        <row r="215">
          <cell r="K215" t="str">
            <v>226001</v>
          </cell>
          <cell r="M215">
            <v>1</v>
          </cell>
          <cell r="R215">
            <v>45741</v>
          </cell>
          <cell r="S215">
            <v>226001</v>
          </cell>
        </row>
        <row r="216">
          <cell r="K216" t="str">
            <v>226025</v>
          </cell>
          <cell r="M216">
            <v>1</v>
          </cell>
          <cell r="R216">
            <v>45741</v>
          </cell>
          <cell r="S216">
            <v>226025</v>
          </cell>
        </row>
        <row r="217">
          <cell r="K217" t="str">
            <v>226022</v>
          </cell>
          <cell r="M217">
            <v>1</v>
          </cell>
          <cell r="R217">
            <v>45741</v>
          </cell>
          <cell r="S217">
            <v>226022</v>
          </cell>
        </row>
        <row r="218">
          <cell r="K218" t="str">
            <v>209004</v>
          </cell>
          <cell r="M218">
            <v>1</v>
          </cell>
          <cell r="R218">
            <v>45741</v>
          </cell>
          <cell r="S218">
            <v>209004</v>
          </cell>
        </row>
        <row r="219">
          <cell r="K219" t="str">
            <v>231012</v>
          </cell>
          <cell r="M219">
            <v>1</v>
          </cell>
          <cell r="R219">
            <v>45741</v>
          </cell>
          <cell r="S219">
            <v>231012</v>
          </cell>
        </row>
        <row r="220">
          <cell r="K220" t="str">
            <v>226025</v>
          </cell>
          <cell r="M220">
            <v>1</v>
          </cell>
          <cell r="R220">
            <v>45741</v>
          </cell>
          <cell r="S220">
            <v>226025</v>
          </cell>
        </row>
        <row r="221">
          <cell r="K221" t="str">
            <v>227002</v>
          </cell>
          <cell r="M221">
            <v>1</v>
          </cell>
          <cell r="R221">
            <v>45742</v>
          </cell>
          <cell r="S221">
            <v>227002</v>
          </cell>
        </row>
        <row r="222">
          <cell r="K222" t="str">
            <v>226025</v>
          </cell>
          <cell r="M222">
            <v>1</v>
          </cell>
          <cell r="R222">
            <v>45742</v>
          </cell>
          <cell r="S222">
            <v>226025</v>
          </cell>
        </row>
        <row r="223">
          <cell r="K223" t="str">
            <v>223002</v>
          </cell>
          <cell r="M223">
            <v>5</v>
          </cell>
          <cell r="R223">
            <v>45743</v>
          </cell>
          <cell r="S223">
            <v>223002</v>
          </cell>
        </row>
        <row r="224">
          <cell r="K224" t="str">
            <v>217011</v>
          </cell>
          <cell r="M224">
            <v>1</v>
          </cell>
          <cell r="R224">
            <v>45747</v>
          </cell>
          <cell r="S224">
            <v>217011</v>
          </cell>
        </row>
        <row r="225">
          <cell r="K225" t="str">
            <v>226025</v>
          </cell>
          <cell r="M225">
            <v>1</v>
          </cell>
          <cell r="R225">
            <v>45747</v>
          </cell>
          <cell r="S225">
            <v>226025</v>
          </cell>
        </row>
        <row r="226">
          <cell r="K226" t="str">
            <v>229001</v>
          </cell>
          <cell r="M226">
            <v>1</v>
          </cell>
          <cell r="R226">
            <v>45747</v>
          </cell>
          <cell r="S226">
            <v>229001</v>
          </cell>
        </row>
        <row r="227">
          <cell r="K227" t="str">
            <v>226001</v>
          </cell>
          <cell r="M227">
            <v>2</v>
          </cell>
          <cell r="R227">
            <v>45747</v>
          </cell>
          <cell r="S227">
            <v>226001</v>
          </cell>
        </row>
        <row r="228">
          <cell r="K228" t="str">
            <v>201003</v>
          </cell>
          <cell r="M228">
            <v>2</v>
          </cell>
          <cell r="R228">
            <v>45747</v>
          </cell>
          <cell r="S228">
            <v>201003</v>
          </cell>
        </row>
        <row r="229">
          <cell r="K229" t="str">
            <v>226001</v>
          </cell>
          <cell r="M229">
            <v>1</v>
          </cell>
          <cell r="R229">
            <v>45747</v>
          </cell>
          <cell r="S229">
            <v>226001</v>
          </cell>
        </row>
        <row r="230">
          <cell r="K230" t="str">
            <v>207002</v>
          </cell>
          <cell r="M230">
            <v>2</v>
          </cell>
          <cell r="R230">
            <v>45747</v>
          </cell>
          <cell r="S230">
            <v>207002</v>
          </cell>
        </row>
        <row r="231">
          <cell r="K231" t="str">
            <v>226001</v>
          </cell>
          <cell r="M231">
            <v>1</v>
          </cell>
          <cell r="R231">
            <v>45747</v>
          </cell>
          <cell r="S231">
            <v>226001</v>
          </cell>
        </row>
        <row r="232">
          <cell r="K232" t="str">
            <v>226025</v>
          </cell>
          <cell r="M232">
            <v>1</v>
          </cell>
          <cell r="R232">
            <v>45747</v>
          </cell>
          <cell r="S232">
            <v>226025</v>
          </cell>
        </row>
        <row r="233">
          <cell r="K233" t="str">
            <v>231001</v>
          </cell>
          <cell r="M233">
            <v>1</v>
          </cell>
          <cell r="R233">
            <v>45747</v>
          </cell>
          <cell r="S233">
            <v>231001</v>
          </cell>
        </row>
        <row r="234">
          <cell r="K234" t="str">
            <v>210001</v>
          </cell>
          <cell r="M234">
            <v>1</v>
          </cell>
          <cell r="R234">
            <v>45748</v>
          </cell>
          <cell r="S234">
            <v>210001</v>
          </cell>
        </row>
        <row r="235">
          <cell r="K235" t="str">
            <v>201004</v>
          </cell>
          <cell r="M235">
            <v>1</v>
          </cell>
          <cell r="R235">
            <v>45748</v>
          </cell>
          <cell r="S235">
            <v>201004</v>
          </cell>
        </row>
        <row r="236">
          <cell r="K236" t="str">
            <v>201003</v>
          </cell>
          <cell r="M236">
            <v>3</v>
          </cell>
          <cell r="R236">
            <v>45748</v>
          </cell>
          <cell r="S236">
            <v>201003</v>
          </cell>
        </row>
        <row r="237">
          <cell r="K237" t="str">
            <v>231012</v>
          </cell>
          <cell r="M237">
            <v>1</v>
          </cell>
          <cell r="R237">
            <v>45748</v>
          </cell>
          <cell r="S237">
            <v>231012</v>
          </cell>
        </row>
        <row r="238">
          <cell r="K238" t="str">
            <v>226004</v>
          </cell>
          <cell r="M238">
            <v>1</v>
          </cell>
          <cell r="R238">
            <v>45748</v>
          </cell>
          <cell r="S238">
            <v>226004</v>
          </cell>
        </row>
        <row r="239">
          <cell r="K239" t="str">
            <v>226001</v>
          </cell>
          <cell r="M239">
            <v>1</v>
          </cell>
          <cell r="R239">
            <v>45748</v>
          </cell>
          <cell r="S239">
            <v>226001</v>
          </cell>
        </row>
        <row r="240">
          <cell r="K240" t="str">
            <v>226004</v>
          </cell>
          <cell r="M240">
            <v>1</v>
          </cell>
          <cell r="R240">
            <v>45748</v>
          </cell>
          <cell r="S240">
            <v>226004</v>
          </cell>
        </row>
        <row r="241">
          <cell r="K241" t="str">
            <v>209004</v>
          </cell>
          <cell r="M241">
            <v>1</v>
          </cell>
          <cell r="R241">
            <v>45748</v>
          </cell>
          <cell r="S241">
            <v>209004</v>
          </cell>
        </row>
        <row r="242">
          <cell r="K242" t="str">
            <v>226026</v>
          </cell>
          <cell r="M242">
            <v>12</v>
          </cell>
          <cell r="R242">
            <v>45748</v>
          </cell>
          <cell r="S242">
            <v>226026</v>
          </cell>
        </row>
        <row r="243">
          <cell r="K243" t="str">
            <v>228017</v>
          </cell>
          <cell r="M243">
            <v>2</v>
          </cell>
          <cell r="R243">
            <v>45749</v>
          </cell>
          <cell r="S243">
            <v>228017</v>
          </cell>
        </row>
        <row r="244">
          <cell r="K244" t="str">
            <v>226025</v>
          </cell>
          <cell r="M244">
            <v>2</v>
          </cell>
          <cell r="R244">
            <v>45749</v>
          </cell>
          <cell r="S244">
            <v>226025</v>
          </cell>
        </row>
        <row r="245">
          <cell r="K245" t="str">
            <v>227012</v>
          </cell>
          <cell r="M245">
            <v>1</v>
          </cell>
          <cell r="R245">
            <v>45749</v>
          </cell>
          <cell r="S245">
            <v>227012</v>
          </cell>
        </row>
        <row r="246">
          <cell r="K246" t="str">
            <v>227002</v>
          </cell>
          <cell r="M246">
            <v>1</v>
          </cell>
          <cell r="R246">
            <v>45749</v>
          </cell>
          <cell r="S246">
            <v>227002</v>
          </cell>
        </row>
        <row r="247">
          <cell r="K247" t="str">
            <v>203004</v>
          </cell>
          <cell r="M247">
            <v>1</v>
          </cell>
          <cell r="R247">
            <v>45750</v>
          </cell>
          <cell r="S247">
            <v>203004</v>
          </cell>
        </row>
        <row r="248">
          <cell r="K248" t="str">
            <v>226025</v>
          </cell>
          <cell r="M248">
            <v>1</v>
          </cell>
          <cell r="R248">
            <v>45750</v>
          </cell>
          <cell r="S248">
            <v>226025</v>
          </cell>
        </row>
        <row r="249">
          <cell r="K249" t="str">
            <v>223002</v>
          </cell>
          <cell r="M249">
            <v>1</v>
          </cell>
          <cell r="R249">
            <v>45750</v>
          </cell>
          <cell r="S249">
            <v>223002</v>
          </cell>
        </row>
        <row r="250">
          <cell r="K250" t="str">
            <v>201003</v>
          </cell>
          <cell r="M250">
            <v>1</v>
          </cell>
          <cell r="R250">
            <v>45754</v>
          </cell>
          <cell r="S250">
            <v>201003</v>
          </cell>
        </row>
        <row r="251">
          <cell r="K251" t="str">
            <v>208001</v>
          </cell>
          <cell r="M251">
            <v>1</v>
          </cell>
          <cell r="R251">
            <v>45754</v>
          </cell>
          <cell r="S251">
            <v>208001</v>
          </cell>
        </row>
        <row r="252">
          <cell r="K252" t="str">
            <v>203001</v>
          </cell>
          <cell r="M252">
            <v>1</v>
          </cell>
          <cell r="R252">
            <v>45754</v>
          </cell>
          <cell r="S252">
            <v>203001</v>
          </cell>
        </row>
        <row r="253">
          <cell r="K253" t="str">
            <v>217011</v>
          </cell>
          <cell r="M253">
            <v>1</v>
          </cell>
          <cell r="R253">
            <v>45754</v>
          </cell>
          <cell r="S253">
            <v>217011</v>
          </cell>
        </row>
        <row r="254">
          <cell r="K254" t="str">
            <v>229001</v>
          </cell>
          <cell r="M254">
            <v>1</v>
          </cell>
          <cell r="R254">
            <v>45754</v>
          </cell>
          <cell r="S254">
            <v>229001</v>
          </cell>
        </row>
        <row r="255">
          <cell r="K255" t="str">
            <v>201011</v>
          </cell>
          <cell r="M255">
            <v>36</v>
          </cell>
          <cell r="R255">
            <v>45754</v>
          </cell>
          <cell r="S255">
            <v>201011</v>
          </cell>
        </row>
        <row r="256">
          <cell r="K256" t="str">
            <v>226001</v>
          </cell>
          <cell r="M256">
            <v>1</v>
          </cell>
          <cell r="R256">
            <v>45754</v>
          </cell>
          <cell r="S256">
            <v>226001</v>
          </cell>
        </row>
        <row r="257">
          <cell r="K257" t="str">
            <v>227002</v>
          </cell>
          <cell r="M257">
            <v>1</v>
          </cell>
          <cell r="R257">
            <v>45754</v>
          </cell>
          <cell r="S257">
            <v>227002</v>
          </cell>
        </row>
        <row r="258">
          <cell r="K258" t="str">
            <v>226001</v>
          </cell>
          <cell r="M258">
            <v>2</v>
          </cell>
          <cell r="R258">
            <v>45754</v>
          </cell>
          <cell r="S258">
            <v>226001</v>
          </cell>
        </row>
        <row r="259">
          <cell r="K259" t="str">
            <v>201011</v>
          </cell>
          <cell r="M259">
            <v>36</v>
          </cell>
          <cell r="R259">
            <v>45755</v>
          </cell>
          <cell r="S259">
            <v>201011</v>
          </cell>
        </row>
        <row r="260">
          <cell r="K260" t="str">
            <v>226025</v>
          </cell>
          <cell r="M260">
            <v>3</v>
          </cell>
          <cell r="R260">
            <v>45756</v>
          </cell>
          <cell r="S260">
            <v>226025</v>
          </cell>
        </row>
        <row r="261">
          <cell r="K261" t="str">
            <v>220003</v>
          </cell>
          <cell r="M261">
            <v>1</v>
          </cell>
          <cell r="R261">
            <v>45756</v>
          </cell>
          <cell r="S261">
            <v>220003</v>
          </cell>
        </row>
        <row r="262">
          <cell r="K262" t="str">
            <v>226001</v>
          </cell>
          <cell r="M262">
            <v>2</v>
          </cell>
          <cell r="R262">
            <v>45756</v>
          </cell>
          <cell r="S262">
            <v>226001</v>
          </cell>
        </row>
        <row r="263">
          <cell r="K263" t="str">
            <v>226025</v>
          </cell>
          <cell r="M263">
            <v>1</v>
          </cell>
          <cell r="R263">
            <v>45756</v>
          </cell>
          <cell r="S263">
            <v>226025</v>
          </cell>
        </row>
        <row r="264">
          <cell r="K264" t="str">
            <v>213018</v>
          </cell>
          <cell r="M264">
            <v>1</v>
          </cell>
          <cell r="R264">
            <v>45756</v>
          </cell>
          <cell r="S264">
            <v>213018</v>
          </cell>
        </row>
        <row r="265">
          <cell r="K265" t="str">
            <v>210003</v>
          </cell>
          <cell r="M265">
            <v>1</v>
          </cell>
          <cell r="R265">
            <v>45756</v>
          </cell>
          <cell r="S265">
            <v>210003</v>
          </cell>
        </row>
        <row r="266">
          <cell r="K266" t="str">
            <v>209016</v>
          </cell>
          <cell r="M266">
            <v>1</v>
          </cell>
          <cell r="R266">
            <v>45756</v>
          </cell>
          <cell r="S266">
            <v>209016</v>
          </cell>
        </row>
        <row r="267">
          <cell r="K267" t="str">
            <v>226023</v>
          </cell>
          <cell r="M267">
            <v>1</v>
          </cell>
          <cell r="R267">
            <v>45756</v>
          </cell>
          <cell r="S267">
            <v>226023</v>
          </cell>
        </row>
        <row r="268">
          <cell r="K268" t="str">
            <v>227010</v>
          </cell>
          <cell r="M268">
            <v>2</v>
          </cell>
          <cell r="R268">
            <v>45757</v>
          </cell>
          <cell r="S268">
            <v>227010</v>
          </cell>
        </row>
        <row r="269">
          <cell r="K269" t="str">
            <v>224001</v>
          </cell>
          <cell r="M269">
            <v>1</v>
          </cell>
          <cell r="R269">
            <v>45757</v>
          </cell>
          <cell r="S269">
            <v>224001</v>
          </cell>
        </row>
        <row r="270">
          <cell r="K270" t="str">
            <v>231012</v>
          </cell>
          <cell r="M270">
            <v>1</v>
          </cell>
          <cell r="R270">
            <v>45757</v>
          </cell>
          <cell r="S270">
            <v>231012</v>
          </cell>
        </row>
        <row r="271">
          <cell r="K271" t="str">
            <v>228017</v>
          </cell>
          <cell r="M271">
            <v>1</v>
          </cell>
          <cell r="R271">
            <v>45757</v>
          </cell>
          <cell r="S271">
            <v>228017</v>
          </cell>
        </row>
        <row r="272">
          <cell r="K272" t="str">
            <v>226025</v>
          </cell>
          <cell r="M272">
            <v>1</v>
          </cell>
          <cell r="R272">
            <v>45757</v>
          </cell>
          <cell r="S272">
            <v>226025</v>
          </cell>
        </row>
        <row r="273">
          <cell r="K273" t="str">
            <v>227002</v>
          </cell>
          <cell r="M273">
            <v>1</v>
          </cell>
          <cell r="R273">
            <v>45757</v>
          </cell>
          <cell r="S273">
            <v>227002</v>
          </cell>
        </row>
        <row r="274">
          <cell r="K274" t="str">
            <v>226025</v>
          </cell>
          <cell r="M274">
            <v>1</v>
          </cell>
          <cell r="R274">
            <v>45757</v>
          </cell>
          <cell r="S274">
            <v>226025</v>
          </cell>
        </row>
        <row r="275">
          <cell r="K275" t="str">
            <v>213002</v>
          </cell>
          <cell r="M275">
            <v>3</v>
          </cell>
          <cell r="R275">
            <v>45761</v>
          </cell>
          <cell r="S275">
            <v>213002</v>
          </cell>
        </row>
        <row r="276">
          <cell r="K276" t="str">
            <v>226001</v>
          </cell>
          <cell r="M276">
            <v>1</v>
          </cell>
          <cell r="R276">
            <v>45761</v>
          </cell>
          <cell r="S276">
            <v>226001</v>
          </cell>
        </row>
        <row r="277">
          <cell r="K277" t="str">
            <v>226025</v>
          </cell>
          <cell r="M277">
            <v>2</v>
          </cell>
          <cell r="R277">
            <v>45761</v>
          </cell>
          <cell r="S277">
            <v>226025</v>
          </cell>
        </row>
        <row r="278">
          <cell r="K278" t="str">
            <v>223001</v>
          </cell>
          <cell r="M278">
            <v>9</v>
          </cell>
          <cell r="R278">
            <v>45761</v>
          </cell>
          <cell r="S278">
            <v>223001</v>
          </cell>
        </row>
        <row r="279">
          <cell r="K279" t="str">
            <v>229001</v>
          </cell>
          <cell r="M279">
            <v>2</v>
          </cell>
          <cell r="R279">
            <v>45762</v>
          </cell>
          <cell r="S279">
            <v>229001</v>
          </cell>
        </row>
        <row r="280">
          <cell r="K280" t="str">
            <v>201022</v>
          </cell>
          <cell r="M280">
            <v>2</v>
          </cell>
          <cell r="R280">
            <v>45762</v>
          </cell>
          <cell r="S280">
            <v>201022</v>
          </cell>
        </row>
        <row r="281">
          <cell r="K281" t="str">
            <v>228001</v>
          </cell>
          <cell r="M281">
            <v>1</v>
          </cell>
          <cell r="R281">
            <v>45762</v>
          </cell>
          <cell r="S281">
            <v>228001</v>
          </cell>
        </row>
        <row r="282">
          <cell r="K282" t="str">
            <v>209016</v>
          </cell>
          <cell r="M282">
            <v>1</v>
          </cell>
          <cell r="R282">
            <v>45762</v>
          </cell>
          <cell r="S282">
            <v>209016</v>
          </cell>
        </row>
        <row r="283">
          <cell r="K283" t="str">
            <v>226025</v>
          </cell>
          <cell r="M283">
            <v>2</v>
          </cell>
          <cell r="R283">
            <v>45763</v>
          </cell>
          <cell r="S283">
            <v>226025</v>
          </cell>
        </row>
        <row r="284">
          <cell r="K284" t="str">
            <v>207002</v>
          </cell>
          <cell r="M284">
            <v>1</v>
          </cell>
          <cell r="R284">
            <v>45763</v>
          </cell>
          <cell r="S284">
            <v>207002</v>
          </cell>
        </row>
        <row r="285">
          <cell r="K285" t="str">
            <v>226001</v>
          </cell>
          <cell r="M285">
            <v>1</v>
          </cell>
          <cell r="R285">
            <v>45763</v>
          </cell>
          <cell r="S285">
            <v>226001</v>
          </cell>
        </row>
        <row r="286">
          <cell r="K286" t="str">
            <v>207002</v>
          </cell>
          <cell r="M286">
            <v>1</v>
          </cell>
          <cell r="R286">
            <v>45763</v>
          </cell>
          <cell r="S286">
            <v>207002</v>
          </cell>
        </row>
        <row r="287">
          <cell r="K287" t="str">
            <v>207017</v>
          </cell>
          <cell r="M287">
            <v>1</v>
          </cell>
          <cell r="R287">
            <v>45764</v>
          </cell>
          <cell r="S287">
            <v>207017</v>
          </cell>
        </row>
        <row r="288">
          <cell r="K288" t="str">
            <v>231012</v>
          </cell>
          <cell r="M288">
            <v>1</v>
          </cell>
          <cell r="R288">
            <v>45764</v>
          </cell>
          <cell r="S288">
            <v>231012</v>
          </cell>
        </row>
        <row r="289">
          <cell r="K289" t="str">
            <v>226025</v>
          </cell>
          <cell r="M289">
            <v>1</v>
          </cell>
          <cell r="R289">
            <v>45764</v>
          </cell>
          <cell r="S289">
            <v>226025</v>
          </cell>
        </row>
        <row r="290">
          <cell r="K290" t="str">
            <v>226001</v>
          </cell>
          <cell r="M290">
            <v>1</v>
          </cell>
          <cell r="R290">
            <v>45764</v>
          </cell>
          <cell r="S290">
            <v>226001</v>
          </cell>
        </row>
        <row r="291">
          <cell r="K291" t="str">
            <v>220003</v>
          </cell>
          <cell r="M291">
            <v>1</v>
          </cell>
          <cell r="R291">
            <v>45765</v>
          </cell>
          <cell r="S291">
            <v>220003</v>
          </cell>
        </row>
        <row r="292">
          <cell r="K292" t="str">
            <v>231012</v>
          </cell>
          <cell r="M292">
            <v>2</v>
          </cell>
          <cell r="R292">
            <v>45768</v>
          </cell>
          <cell r="S292">
            <v>231012</v>
          </cell>
        </row>
        <row r="293">
          <cell r="K293" t="str">
            <v>217011</v>
          </cell>
          <cell r="M293">
            <v>1</v>
          </cell>
          <cell r="R293">
            <v>45768</v>
          </cell>
          <cell r="S293">
            <v>217011</v>
          </cell>
        </row>
        <row r="294">
          <cell r="K294" t="str">
            <v>226001</v>
          </cell>
          <cell r="M294">
            <v>1</v>
          </cell>
          <cell r="R294">
            <v>45768</v>
          </cell>
          <cell r="S294">
            <v>226001</v>
          </cell>
        </row>
        <row r="295">
          <cell r="K295" t="str">
            <v>226025</v>
          </cell>
          <cell r="M295">
            <v>1</v>
          </cell>
          <cell r="R295">
            <v>45768</v>
          </cell>
          <cell r="S295">
            <v>226025</v>
          </cell>
        </row>
        <row r="296">
          <cell r="K296" t="str">
            <v>201011</v>
          </cell>
          <cell r="M296">
            <v>5</v>
          </cell>
          <cell r="R296">
            <v>45769</v>
          </cell>
          <cell r="S296">
            <v>201011</v>
          </cell>
        </row>
        <row r="297">
          <cell r="K297" t="str">
            <v>226001</v>
          </cell>
          <cell r="M297">
            <v>4</v>
          </cell>
          <cell r="R297">
            <v>45769</v>
          </cell>
          <cell r="S297">
            <v>226001</v>
          </cell>
        </row>
        <row r="298">
          <cell r="K298" t="str">
            <v>201003</v>
          </cell>
          <cell r="M298">
            <v>1</v>
          </cell>
          <cell r="R298">
            <v>45770</v>
          </cell>
          <cell r="S298">
            <v>201003</v>
          </cell>
        </row>
        <row r="299">
          <cell r="K299" t="str">
            <v>226009</v>
          </cell>
          <cell r="M299">
            <v>1</v>
          </cell>
          <cell r="R299">
            <v>45771</v>
          </cell>
          <cell r="S299">
            <v>226009</v>
          </cell>
        </row>
        <row r="300">
          <cell r="K300" t="str">
            <v>227002</v>
          </cell>
          <cell r="M300">
            <v>1</v>
          </cell>
          <cell r="R300">
            <v>45771</v>
          </cell>
          <cell r="S300">
            <v>227002</v>
          </cell>
        </row>
        <row r="301">
          <cell r="K301" t="str">
            <v>223005</v>
          </cell>
          <cell r="M301">
            <v>2</v>
          </cell>
          <cell r="R301">
            <v>45771</v>
          </cell>
          <cell r="S301">
            <v>223005</v>
          </cell>
        </row>
        <row r="302">
          <cell r="K302" t="str">
            <v>224002</v>
          </cell>
          <cell r="M302">
            <v>1</v>
          </cell>
          <cell r="R302">
            <v>45771</v>
          </cell>
          <cell r="S302">
            <v>224002</v>
          </cell>
        </row>
        <row r="303">
          <cell r="K303" t="str">
            <v>206002</v>
          </cell>
          <cell r="M303">
            <v>1</v>
          </cell>
          <cell r="R303">
            <v>45771</v>
          </cell>
          <cell r="S303">
            <v>206002</v>
          </cell>
        </row>
        <row r="304">
          <cell r="K304" t="str">
            <v>203003</v>
          </cell>
          <cell r="M304">
            <v>1</v>
          </cell>
          <cell r="R304">
            <v>45771</v>
          </cell>
          <cell r="S304">
            <v>203003</v>
          </cell>
        </row>
        <row r="305">
          <cell r="K305" t="str">
            <v>212035</v>
          </cell>
          <cell r="M305">
            <v>1</v>
          </cell>
          <cell r="R305">
            <v>45771</v>
          </cell>
          <cell r="S305">
            <v>212035</v>
          </cell>
        </row>
        <row r="306">
          <cell r="K306" t="str">
            <v>213002</v>
          </cell>
          <cell r="M306">
            <v>1</v>
          </cell>
          <cell r="R306">
            <v>45771</v>
          </cell>
          <cell r="S306">
            <v>213002</v>
          </cell>
        </row>
        <row r="307">
          <cell r="K307" t="str">
            <v>226001</v>
          </cell>
          <cell r="M307">
            <v>1</v>
          </cell>
          <cell r="R307">
            <v>45771</v>
          </cell>
          <cell r="S307">
            <v>226001</v>
          </cell>
        </row>
        <row r="308">
          <cell r="K308" t="str">
            <v>207002</v>
          </cell>
          <cell r="M308">
            <v>1</v>
          </cell>
          <cell r="R308">
            <v>45771</v>
          </cell>
          <cell r="S308">
            <v>207002</v>
          </cell>
        </row>
        <row r="309">
          <cell r="K309" t="str">
            <v>227002</v>
          </cell>
          <cell r="M309">
            <v>1</v>
          </cell>
          <cell r="R309">
            <v>45771</v>
          </cell>
          <cell r="S309">
            <v>227002</v>
          </cell>
        </row>
        <row r="310">
          <cell r="K310" t="str">
            <v>213002</v>
          </cell>
          <cell r="M310">
            <v>1</v>
          </cell>
          <cell r="R310">
            <v>45772</v>
          </cell>
          <cell r="S310">
            <v>213002</v>
          </cell>
        </row>
        <row r="311">
          <cell r="K311" t="str">
            <v>201002</v>
          </cell>
          <cell r="M311">
            <v>1</v>
          </cell>
          <cell r="R311">
            <v>45772</v>
          </cell>
          <cell r="S311">
            <v>201002</v>
          </cell>
        </row>
        <row r="312">
          <cell r="K312" t="str">
            <v>227001</v>
          </cell>
          <cell r="M312">
            <v>1</v>
          </cell>
          <cell r="R312">
            <v>45775</v>
          </cell>
          <cell r="S312">
            <v>227001</v>
          </cell>
        </row>
        <row r="313">
          <cell r="K313" t="str">
            <v>201009</v>
          </cell>
          <cell r="M313">
            <v>1</v>
          </cell>
          <cell r="R313">
            <v>45775</v>
          </cell>
          <cell r="S313">
            <v>201009</v>
          </cell>
        </row>
        <row r="314">
          <cell r="K314" t="str">
            <v>223001</v>
          </cell>
          <cell r="M314">
            <v>1</v>
          </cell>
          <cell r="R314">
            <v>45775</v>
          </cell>
          <cell r="S314">
            <v>223001</v>
          </cell>
        </row>
        <row r="315">
          <cell r="K315" t="str">
            <v>226001</v>
          </cell>
          <cell r="M315">
            <v>1</v>
          </cell>
          <cell r="R315">
            <v>45775</v>
          </cell>
          <cell r="S315">
            <v>226001</v>
          </cell>
        </row>
        <row r="316">
          <cell r="K316" t="str">
            <v>226025</v>
          </cell>
          <cell r="M316">
            <v>2</v>
          </cell>
          <cell r="R316">
            <v>45776</v>
          </cell>
          <cell r="S316">
            <v>226025</v>
          </cell>
        </row>
        <row r="317">
          <cell r="K317" t="str">
            <v>223001</v>
          </cell>
          <cell r="M317">
            <v>1</v>
          </cell>
          <cell r="R317">
            <v>45776</v>
          </cell>
          <cell r="S317">
            <v>223001</v>
          </cell>
        </row>
        <row r="318">
          <cell r="K318" t="str">
            <v>226001</v>
          </cell>
          <cell r="M318">
            <v>1</v>
          </cell>
          <cell r="R318">
            <v>45779</v>
          </cell>
          <cell r="S318">
            <v>226001</v>
          </cell>
        </row>
        <row r="319">
          <cell r="K319" t="str">
            <v>228001</v>
          </cell>
          <cell r="M319">
            <v>1</v>
          </cell>
          <cell r="R319">
            <v>45779</v>
          </cell>
          <cell r="S319">
            <v>228001</v>
          </cell>
        </row>
        <row r="320">
          <cell r="K320" t="str">
            <v>212035</v>
          </cell>
          <cell r="M320">
            <v>2</v>
          </cell>
          <cell r="R320">
            <v>45779</v>
          </cell>
          <cell r="S320">
            <v>212035</v>
          </cell>
        </row>
        <row r="321">
          <cell r="K321" t="str">
            <v>226001</v>
          </cell>
          <cell r="M321">
            <v>1</v>
          </cell>
          <cell r="R321">
            <v>45782</v>
          </cell>
          <cell r="S321">
            <v>226001</v>
          </cell>
        </row>
        <row r="322">
          <cell r="K322" t="str">
            <v>227001</v>
          </cell>
          <cell r="M322">
            <v>1</v>
          </cell>
          <cell r="R322">
            <v>45782</v>
          </cell>
          <cell r="S322">
            <v>227001</v>
          </cell>
        </row>
        <row r="323">
          <cell r="K323" t="str">
            <v>223002</v>
          </cell>
          <cell r="M323">
            <v>1</v>
          </cell>
          <cell r="R323">
            <v>45782</v>
          </cell>
          <cell r="S323">
            <v>223002</v>
          </cell>
        </row>
        <row r="324">
          <cell r="K324" t="str">
            <v>223002</v>
          </cell>
          <cell r="M324">
            <v>4</v>
          </cell>
          <cell r="R324">
            <v>45782</v>
          </cell>
          <cell r="S324">
            <v>223002</v>
          </cell>
        </row>
        <row r="325">
          <cell r="K325" t="str">
            <v>201003</v>
          </cell>
          <cell r="M325">
            <v>1</v>
          </cell>
          <cell r="R325">
            <v>45782</v>
          </cell>
          <cell r="S325">
            <v>201003</v>
          </cell>
        </row>
        <row r="326">
          <cell r="K326" t="str">
            <v>226001</v>
          </cell>
          <cell r="M326">
            <v>1</v>
          </cell>
          <cell r="R326">
            <v>45782</v>
          </cell>
          <cell r="S326">
            <v>226001</v>
          </cell>
        </row>
        <row r="327">
          <cell r="K327" t="str">
            <v>241001</v>
          </cell>
          <cell r="M327">
            <v>1</v>
          </cell>
          <cell r="R327">
            <v>45782</v>
          </cell>
          <cell r="S327">
            <v>241001</v>
          </cell>
        </row>
        <row r="328">
          <cell r="K328" t="str">
            <v>226025</v>
          </cell>
          <cell r="M328">
            <v>1</v>
          </cell>
          <cell r="R328">
            <v>45782</v>
          </cell>
          <cell r="S328">
            <v>226025</v>
          </cell>
        </row>
        <row r="329">
          <cell r="K329" t="str">
            <v>201009</v>
          </cell>
          <cell r="M329">
            <v>1</v>
          </cell>
          <cell r="R329">
            <v>45783</v>
          </cell>
          <cell r="S329">
            <v>201009</v>
          </cell>
        </row>
        <row r="330">
          <cell r="K330" t="str">
            <v>226022</v>
          </cell>
          <cell r="M330">
            <v>1</v>
          </cell>
          <cell r="R330">
            <v>45783</v>
          </cell>
          <cell r="S330">
            <v>226022</v>
          </cell>
        </row>
        <row r="331">
          <cell r="K331" t="str">
            <v>213002</v>
          </cell>
          <cell r="M331">
            <v>2</v>
          </cell>
          <cell r="R331">
            <v>45783</v>
          </cell>
          <cell r="S331">
            <v>213002</v>
          </cell>
        </row>
        <row r="332">
          <cell r="K332" t="str">
            <v>217011</v>
          </cell>
          <cell r="M332">
            <v>1</v>
          </cell>
          <cell r="R332">
            <v>45784</v>
          </cell>
          <cell r="S332">
            <v>217011</v>
          </cell>
        </row>
        <row r="333">
          <cell r="K333" t="str">
            <v>203006</v>
          </cell>
          <cell r="M333">
            <v>1</v>
          </cell>
          <cell r="R333">
            <v>45784</v>
          </cell>
          <cell r="S333">
            <v>203006</v>
          </cell>
        </row>
        <row r="334">
          <cell r="K334" t="str">
            <v>203004</v>
          </cell>
          <cell r="M334">
            <v>1</v>
          </cell>
          <cell r="R334">
            <v>45784</v>
          </cell>
          <cell r="S334">
            <v>203004</v>
          </cell>
        </row>
        <row r="335">
          <cell r="K335" t="str">
            <v>223001</v>
          </cell>
          <cell r="M335">
            <v>1</v>
          </cell>
          <cell r="R335">
            <v>45784</v>
          </cell>
          <cell r="S335">
            <v>223001</v>
          </cell>
        </row>
        <row r="336">
          <cell r="K336" t="str">
            <v>201002</v>
          </cell>
          <cell r="M336">
            <v>1</v>
          </cell>
          <cell r="R336">
            <v>45785</v>
          </cell>
          <cell r="S336">
            <v>201002</v>
          </cell>
        </row>
        <row r="337">
          <cell r="K337" t="str">
            <v>261003</v>
          </cell>
          <cell r="M337">
            <v>1</v>
          </cell>
          <cell r="R337">
            <v>45785</v>
          </cell>
          <cell r="S337">
            <v>261003</v>
          </cell>
        </row>
        <row r="338">
          <cell r="K338" t="str">
            <v>226025</v>
          </cell>
          <cell r="M338">
            <v>1</v>
          </cell>
          <cell r="R338">
            <v>45785</v>
          </cell>
          <cell r="S338">
            <v>226025</v>
          </cell>
        </row>
        <row r="339">
          <cell r="K339" t="str">
            <v>227010</v>
          </cell>
          <cell r="M339">
            <v>1</v>
          </cell>
          <cell r="R339">
            <v>45785</v>
          </cell>
          <cell r="S339">
            <v>227010</v>
          </cell>
        </row>
        <row r="340">
          <cell r="K340" t="str">
            <v>226001</v>
          </cell>
          <cell r="M340">
            <v>1</v>
          </cell>
          <cell r="R340">
            <v>45786</v>
          </cell>
          <cell r="S340">
            <v>226001</v>
          </cell>
        </row>
        <row r="341">
          <cell r="K341" t="str">
            <v>213018</v>
          </cell>
          <cell r="M341">
            <v>1</v>
          </cell>
          <cell r="R341">
            <v>45786</v>
          </cell>
          <cell r="S341">
            <v>213018</v>
          </cell>
        </row>
        <row r="342">
          <cell r="K342" t="str">
            <v>227002</v>
          </cell>
          <cell r="M342">
            <v>1</v>
          </cell>
          <cell r="R342">
            <v>45786</v>
          </cell>
          <cell r="S342">
            <v>227002</v>
          </cell>
        </row>
        <row r="343">
          <cell r="K343" t="str">
            <v>213003</v>
          </cell>
          <cell r="M343">
            <v>2</v>
          </cell>
          <cell r="R343">
            <v>45786</v>
          </cell>
          <cell r="S343">
            <v>213003</v>
          </cell>
        </row>
        <row r="344">
          <cell r="K344" t="str">
            <v>223001</v>
          </cell>
          <cell r="M344">
            <v>2</v>
          </cell>
          <cell r="R344">
            <v>45789</v>
          </cell>
          <cell r="S344">
            <v>223001</v>
          </cell>
        </row>
        <row r="345">
          <cell r="K345" t="str">
            <v>201011</v>
          </cell>
          <cell r="M345">
            <v>7</v>
          </cell>
          <cell r="R345">
            <v>45790</v>
          </cell>
          <cell r="S345">
            <v>201011</v>
          </cell>
        </row>
        <row r="346">
          <cell r="K346" t="str">
            <v>226001</v>
          </cell>
          <cell r="M346">
            <v>2</v>
          </cell>
          <cell r="R346">
            <v>45791</v>
          </cell>
          <cell r="S346">
            <v>226001</v>
          </cell>
        </row>
        <row r="347">
          <cell r="K347" t="str">
            <v>226025</v>
          </cell>
          <cell r="M347">
            <v>1</v>
          </cell>
          <cell r="R347">
            <v>45791</v>
          </cell>
          <cell r="S347">
            <v>226025</v>
          </cell>
        </row>
        <row r="348">
          <cell r="K348" t="str">
            <v>227002</v>
          </cell>
          <cell r="M348">
            <v>1</v>
          </cell>
          <cell r="R348">
            <v>45791</v>
          </cell>
          <cell r="S348">
            <v>227002</v>
          </cell>
        </row>
        <row r="349">
          <cell r="K349" t="str">
            <v>213002</v>
          </cell>
          <cell r="M349">
            <v>2</v>
          </cell>
          <cell r="R349">
            <v>45791</v>
          </cell>
          <cell r="S349">
            <v>213002</v>
          </cell>
        </row>
        <row r="350">
          <cell r="K350" t="str">
            <v>226025</v>
          </cell>
          <cell r="M350">
            <v>1</v>
          </cell>
          <cell r="R350">
            <v>45791</v>
          </cell>
          <cell r="S350">
            <v>226025</v>
          </cell>
        </row>
        <row r="351">
          <cell r="K351" t="str">
            <v>226001</v>
          </cell>
          <cell r="M351">
            <v>1</v>
          </cell>
          <cell r="R351">
            <v>45791</v>
          </cell>
          <cell r="S351">
            <v>226001</v>
          </cell>
        </row>
        <row r="352">
          <cell r="K352" t="str">
            <v>226001</v>
          </cell>
          <cell r="M352">
            <v>1</v>
          </cell>
          <cell r="R352">
            <v>45791</v>
          </cell>
          <cell r="S352">
            <v>226001</v>
          </cell>
        </row>
        <row r="353">
          <cell r="K353" t="str">
            <v>207002</v>
          </cell>
          <cell r="M353">
            <v>1</v>
          </cell>
          <cell r="R353">
            <v>45791</v>
          </cell>
          <cell r="S353">
            <v>207002</v>
          </cell>
        </row>
        <row r="354">
          <cell r="K354" t="str">
            <v>226025</v>
          </cell>
          <cell r="M354">
            <v>4</v>
          </cell>
          <cell r="R354">
            <v>45791</v>
          </cell>
          <cell r="S354">
            <v>226025</v>
          </cell>
        </row>
        <row r="355">
          <cell r="K355" t="str">
            <v>209016</v>
          </cell>
          <cell r="M355">
            <v>1</v>
          </cell>
          <cell r="R355">
            <v>45792</v>
          </cell>
          <cell r="S355">
            <v>209016</v>
          </cell>
        </row>
        <row r="356">
          <cell r="K356" t="str">
            <v>228001</v>
          </cell>
          <cell r="M356">
            <v>1</v>
          </cell>
          <cell r="R356">
            <v>45792</v>
          </cell>
          <cell r="S356">
            <v>228001</v>
          </cell>
        </row>
        <row r="357">
          <cell r="K357" t="str">
            <v>217011</v>
          </cell>
          <cell r="M357">
            <v>1</v>
          </cell>
          <cell r="R357">
            <v>45792</v>
          </cell>
          <cell r="S357">
            <v>217011</v>
          </cell>
        </row>
        <row r="358">
          <cell r="K358" t="str">
            <v>226001</v>
          </cell>
          <cell r="M358">
            <v>1</v>
          </cell>
          <cell r="R358">
            <v>45792</v>
          </cell>
          <cell r="S358">
            <v>226001</v>
          </cell>
        </row>
        <row r="359">
          <cell r="K359" t="str">
            <v>226001</v>
          </cell>
          <cell r="M359">
            <v>2</v>
          </cell>
          <cell r="R359">
            <v>45792</v>
          </cell>
          <cell r="S359">
            <v>226001</v>
          </cell>
        </row>
        <row r="360">
          <cell r="K360" t="str">
            <v>231012</v>
          </cell>
          <cell r="M360">
            <v>1</v>
          </cell>
          <cell r="R360">
            <v>45793</v>
          </cell>
          <cell r="S360">
            <v>231012</v>
          </cell>
        </row>
        <row r="361">
          <cell r="K361" t="str">
            <v>201009</v>
          </cell>
          <cell r="M361">
            <v>1</v>
          </cell>
          <cell r="R361">
            <v>45796</v>
          </cell>
          <cell r="S361">
            <v>201009</v>
          </cell>
        </row>
        <row r="362">
          <cell r="K362" t="str">
            <v>226001</v>
          </cell>
          <cell r="M362">
            <v>1</v>
          </cell>
          <cell r="R362">
            <v>45793</v>
          </cell>
          <cell r="S362">
            <v>226001</v>
          </cell>
        </row>
        <row r="363">
          <cell r="K363" t="str">
            <v>207002</v>
          </cell>
          <cell r="M363">
            <v>2</v>
          </cell>
          <cell r="R363">
            <v>45793</v>
          </cell>
          <cell r="S363">
            <v>207002</v>
          </cell>
        </row>
        <row r="364">
          <cell r="K364" t="str">
            <v>226001</v>
          </cell>
          <cell r="M364">
            <v>1</v>
          </cell>
          <cell r="R364">
            <v>45796</v>
          </cell>
          <cell r="S364">
            <v>226001</v>
          </cell>
        </row>
        <row r="365">
          <cell r="K365" t="str">
            <v>206005</v>
          </cell>
          <cell r="M365">
            <v>1</v>
          </cell>
          <cell r="R365">
            <v>45797</v>
          </cell>
          <cell r="S365">
            <v>206005</v>
          </cell>
        </row>
        <row r="366">
          <cell r="K366" t="str">
            <v>223001</v>
          </cell>
          <cell r="M366">
            <v>2</v>
          </cell>
          <cell r="R366">
            <v>45799</v>
          </cell>
          <cell r="S366">
            <v>223001</v>
          </cell>
        </row>
        <row r="367">
          <cell r="K367" t="str">
            <v>241001</v>
          </cell>
          <cell r="M367">
            <v>2</v>
          </cell>
          <cell r="R367">
            <v>45799</v>
          </cell>
          <cell r="S367">
            <v>241001</v>
          </cell>
        </row>
        <row r="368">
          <cell r="K368" t="str">
            <v>226001</v>
          </cell>
          <cell r="M368">
            <v>1</v>
          </cell>
          <cell r="R368">
            <v>45799</v>
          </cell>
          <cell r="S368">
            <v>226001</v>
          </cell>
        </row>
        <row r="369">
          <cell r="K369" t="str">
            <v>213003</v>
          </cell>
          <cell r="M369">
            <v>1</v>
          </cell>
          <cell r="R369">
            <v>45800</v>
          </cell>
          <cell r="S369">
            <v>213003</v>
          </cell>
        </row>
        <row r="370">
          <cell r="K370" t="str">
            <v>226001</v>
          </cell>
          <cell r="M370">
            <v>2</v>
          </cell>
          <cell r="R370">
            <v>45800</v>
          </cell>
          <cell r="S370">
            <v>226001</v>
          </cell>
        </row>
        <row r="371">
          <cell r="K371" t="str">
            <v>207002</v>
          </cell>
          <cell r="M371">
            <v>2</v>
          </cell>
          <cell r="R371">
            <v>45800</v>
          </cell>
          <cell r="S371">
            <v>207002</v>
          </cell>
        </row>
        <row r="372">
          <cell r="K372" t="str">
            <v>226025</v>
          </cell>
          <cell r="M372">
            <v>1</v>
          </cell>
          <cell r="R372">
            <v>45800</v>
          </cell>
          <cell r="S372">
            <v>226025</v>
          </cell>
        </row>
        <row r="373">
          <cell r="K373" t="str">
            <v>226001</v>
          </cell>
          <cell r="M373">
            <v>2</v>
          </cell>
          <cell r="R373">
            <v>45800</v>
          </cell>
          <cell r="S373">
            <v>226001</v>
          </cell>
        </row>
        <row r="374">
          <cell r="K374" t="str">
            <v>209012</v>
          </cell>
          <cell r="M374">
            <v>1</v>
          </cell>
          <cell r="R374">
            <v>45803</v>
          </cell>
          <cell r="S374">
            <v>209012</v>
          </cell>
        </row>
        <row r="375">
          <cell r="K375" t="str">
            <v>206002</v>
          </cell>
          <cell r="M375">
            <v>1</v>
          </cell>
          <cell r="R375">
            <v>45803</v>
          </cell>
          <cell r="S375">
            <v>206002</v>
          </cell>
        </row>
        <row r="376">
          <cell r="K376" t="str">
            <v>203003</v>
          </cell>
          <cell r="M376">
            <v>1</v>
          </cell>
          <cell r="R376">
            <v>45803</v>
          </cell>
          <cell r="S376">
            <v>203003</v>
          </cell>
        </row>
        <row r="377">
          <cell r="K377" t="str">
            <v>231006</v>
          </cell>
          <cell r="M377">
            <v>1</v>
          </cell>
          <cell r="R377">
            <v>45803</v>
          </cell>
          <cell r="S377">
            <v>231006</v>
          </cell>
        </row>
        <row r="378">
          <cell r="K378" t="str">
            <v>226004</v>
          </cell>
          <cell r="M378">
            <v>1</v>
          </cell>
          <cell r="R378">
            <v>45803</v>
          </cell>
          <cell r="S378">
            <v>226004</v>
          </cell>
        </row>
        <row r="379">
          <cell r="K379" t="str">
            <v>231012</v>
          </cell>
          <cell r="M379">
            <v>1</v>
          </cell>
          <cell r="R379">
            <v>45803</v>
          </cell>
          <cell r="S379">
            <v>231012</v>
          </cell>
        </row>
        <row r="380">
          <cell r="K380" t="str">
            <v>217011</v>
          </cell>
          <cell r="M380">
            <v>1</v>
          </cell>
          <cell r="R380">
            <v>45803</v>
          </cell>
          <cell r="S380">
            <v>217011</v>
          </cell>
        </row>
        <row r="381">
          <cell r="K381" t="str">
            <v>229001</v>
          </cell>
          <cell r="M381">
            <v>1</v>
          </cell>
          <cell r="R381">
            <v>45803</v>
          </cell>
          <cell r="S381">
            <v>229001</v>
          </cell>
        </row>
        <row r="382">
          <cell r="K382" t="str">
            <v>223002</v>
          </cell>
          <cell r="M382">
            <v>1</v>
          </cell>
          <cell r="R382">
            <v>45803</v>
          </cell>
          <cell r="S382">
            <v>223002</v>
          </cell>
        </row>
        <row r="383">
          <cell r="K383" t="str">
            <v>227014</v>
          </cell>
          <cell r="M383">
            <v>1</v>
          </cell>
          <cell r="R383">
            <v>45803</v>
          </cell>
          <cell r="S383">
            <v>227014</v>
          </cell>
        </row>
        <row r="384">
          <cell r="K384" t="str">
            <v>226025</v>
          </cell>
          <cell r="M384">
            <v>5</v>
          </cell>
          <cell r="R384">
            <v>45804</v>
          </cell>
          <cell r="S384">
            <v>226025</v>
          </cell>
        </row>
        <row r="385">
          <cell r="K385" t="str">
            <v>223001</v>
          </cell>
          <cell r="M385">
            <v>2</v>
          </cell>
          <cell r="R385">
            <v>45804</v>
          </cell>
          <cell r="S385">
            <v>223001</v>
          </cell>
        </row>
        <row r="386">
          <cell r="K386" t="str">
            <v>226001</v>
          </cell>
          <cell r="M386">
            <v>2</v>
          </cell>
          <cell r="R386">
            <v>45804</v>
          </cell>
          <cell r="S386">
            <v>226001</v>
          </cell>
        </row>
        <row r="387">
          <cell r="K387" t="str">
            <v>213002</v>
          </cell>
          <cell r="M387">
            <v>6</v>
          </cell>
          <cell r="R387">
            <v>45805</v>
          </cell>
          <cell r="S387">
            <v>213002</v>
          </cell>
        </row>
        <row r="388">
          <cell r="K388" t="str">
            <v>226001</v>
          </cell>
          <cell r="M388">
            <v>3</v>
          </cell>
          <cell r="R388">
            <v>45805</v>
          </cell>
          <cell r="S388">
            <v>226001</v>
          </cell>
        </row>
        <row r="389">
          <cell r="K389" t="str">
            <v>226001</v>
          </cell>
          <cell r="M389">
            <v>1</v>
          </cell>
          <cell r="R389">
            <v>45805</v>
          </cell>
          <cell r="S389">
            <v>226001</v>
          </cell>
        </row>
        <row r="390">
          <cell r="K390" t="str">
            <v>227002</v>
          </cell>
          <cell r="M390">
            <v>1</v>
          </cell>
          <cell r="R390">
            <v>45805</v>
          </cell>
          <cell r="S390">
            <v>227002</v>
          </cell>
        </row>
        <row r="391">
          <cell r="K391" t="str">
            <v>223001</v>
          </cell>
          <cell r="M391">
            <v>2</v>
          </cell>
          <cell r="R391">
            <v>45806</v>
          </cell>
          <cell r="S391">
            <v>223001</v>
          </cell>
        </row>
        <row r="392">
          <cell r="K392" t="str">
            <v>201009</v>
          </cell>
          <cell r="M392">
            <v>2</v>
          </cell>
          <cell r="R392">
            <v>45806</v>
          </cell>
          <cell r="S392">
            <v>201009</v>
          </cell>
        </row>
        <row r="393">
          <cell r="K393" t="str">
            <v>201011</v>
          </cell>
          <cell r="M393">
            <v>2</v>
          </cell>
          <cell r="R393">
            <v>45806</v>
          </cell>
          <cell r="S393">
            <v>201011</v>
          </cell>
        </row>
        <row r="394">
          <cell r="K394" t="str">
            <v>236003</v>
          </cell>
          <cell r="M394">
            <v>1</v>
          </cell>
          <cell r="R394">
            <v>45807</v>
          </cell>
          <cell r="S394">
            <v>236003</v>
          </cell>
        </row>
        <row r="395">
          <cell r="K395" t="str">
            <v>209001</v>
          </cell>
          <cell r="M395">
            <v>1</v>
          </cell>
          <cell r="R395">
            <v>45807</v>
          </cell>
          <cell r="S395">
            <v>209001</v>
          </cell>
        </row>
        <row r="396">
          <cell r="K396" t="str">
            <v>226001</v>
          </cell>
          <cell r="M396">
            <v>1</v>
          </cell>
          <cell r="R396">
            <v>45806</v>
          </cell>
          <cell r="S396">
            <v>226001</v>
          </cell>
        </row>
        <row r="397">
          <cell r="K397" t="str">
            <v>226001</v>
          </cell>
          <cell r="M397">
            <v>1</v>
          </cell>
          <cell r="R397">
            <v>45806</v>
          </cell>
          <cell r="S397">
            <v>226001</v>
          </cell>
        </row>
        <row r="398">
          <cell r="K398" t="str">
            <v>261003</v>
          </cell>
          <cell r="M398">
            <v>1</v>
          </cell>
          <cell r="R398">
            <v>45807</v>
          </cell>
          <cell r="S398">
            <v>261003</v>
          </cell>
        </row>
        <row r="399">
          <cell r="K399" t="str">
            <v>201009</v>
          </cell>
          <cell r="M399">
            <v>1</v>
          </cell>
          <cell r="R399">
            <v>45810</v>
          </cell>
          <cell r="S399">
            <v>201009</v>
          </cell>
        </row>
        <row r="400">
          <cell r="K400" t="str">
            <v>226001</v>
          </cell>
          <cell r="M400">
            <v>1</v>
          </cell>
          <cell r="R400">
            <v>45810</v>
          </cell>
          <cell r="S400">
            <v>226001</v>
          </cell>
        </row>
        <row r="401">
          <cell r="K401" t="str">
            <v>226022</v>
          </cell>
          <cell r="M401">
            <v>1</v>
          </cell>
          <cell r="R401">
            <v>45810</v>
          </cell>
          <cell r="S401">
            <v>226022</v>
          </cell>
        </row>
        <row r="402">
          <cell r="K402" t="str">
            <v>203003</v>
          </cell>
          <cell r="M402">
            <v>1</v>
          </cell>
          <cell r="R402">
            <v>45810</v>
          </cell>
          <cell r="S402">
            <v>203003</v>
          </cell>
        </row>
        <row r="403">
          <cell r="K403" t="str">
            <v>241001</v>
          </cell>
          <cell r="M403">
            <v>1</v>
          </cell>
          <cell r="R403">
            <v>45810</v>
          </cell>
          <cell r="S403">
            <v>241001</v>
          </cell>
        </row>
        <row r="404">
          <cell r="K404" t="str">
            <v>226025</v>
          </cell>
          <cell r="M404">
            <v>1</v>
          </cell>
          <cell r="R404">
            <v>45810</v>
          </cell>
          <cell r="S404">
            <v>226025</v>
          </cell>
        </row>
        <row r="405">
          <cell r="K405" t="str">
            <v>223001</v>
          </cell>
          <cell r="M405">
            <v>1</v>
          </cell>
          <cell r="R405">
            <v>45811</v>
          </cell>
          <cell r="S405">
            <v>223001</v>
          </cell>
        </row>
        <row r="406">
          <cell r="K406" t="str">
            <v>227012</v>
          </cell>
          <cell r="M406">
            <v>1</v>
          </cell>
          <cell r="R406">
            <v>45811</v>
          </cell>
          <cell r="S406">
            <v>227012</v>
          </cell>
        </row>
        <row r="407">
          <cell r="K407" t="str">
            <v>223001</v>
          </cell>
          <cell r="M407">
            <v>4</v>
          </cell>
          <cell r="R407">
            <v>45811</v>
          </cell>
          <cell r="S407">
            <v>223001</v>
          </cell>
        </row>
        <row r="408">
          <cell r="K408" t="str">
            <v>226001</v>
          </cell>
          <cell r="M408">
            <v>1</v>
          </cell>
          <cell r="R408">
            <v>45811</v>
          </cell>
          <cell r="S408">
            <v>226001</v>
          </cell>
        </row>
        <row r="409">
          <cell r="K409" t="str">
            <v>226001</v>
          </cell>
          <cell r="M409">
            <v>1</v>
          </cell>
          <cell r="R409">
            <v>45810</v>
          </cell>
          <cell r="S409">
            <v>226001</v>
          </cell>
        </row>
        <row r="410">
          <cell r="K410" t="str">
            <v>226025</v>
          </cell>
          <cell r="M410">
            <v>1</v>
          </cell>
          <cell r="R410">
            <v>45810</v>
          </cell>
          <cell r="S410">
            <v>226025</v>
          </cell>
        </row>
        <row r="411">
          <cell r="K411" t="str">
            <v>228001</v>
          </cell>
          <cell r="M411">
            <v>1</v>
          </cell>
          <cell r="R411">
            <v>45812</v>
          </cell>
          <cell r="S411">
            <v>228001</v>
          </cell>
        </row>
        <row r="412">
          <cell r="K412" t="str">
            <v>201003</v>
          </cell>
          <cell r="M412">
            <v>2</v>
          </cell>
          <cell r="R412">
            <v>45812</v>
          </cell>
          <cell r="S412">
            <v>201003</v>
          </cell>
        </row>
        <row r="413">
          <cell r="K413" t="str">
            <v>241001</v>
          </cell>
          <cell r="M413">
            <v>1</v>
          </cell>
          <cell r="R413">
            <v>45812</v>
          </cell>
          <cell r="S413">
            <v>241001</v>
          </cell>
        </row>
        <row r="414">
          <cell r="K414" t="str">
            <v>226025</v>
          </cell>
          <cell r="M414">
            <v>2</v>
          </cell>
          <cell r="R414">
            <v>45812</v>
          </cell>
          <cell r="S414">
            <v>226025</v>
          </cell>
        </row>
        <row r="415">
          <cell r="K415" t="str">
            <v>201003</v>
          </cell>
          <cell r="M415">
            <v>4</v>
          </cell>
          <cell r="R415">
            <v>45812</v>
          </cell>
          <cell r="S415">
            <v>201003</v>
          </cell>
        </row>
        <row r="416">
          <cell r="K416" t="str">
            <v>223001</v>
          </cell>
          <cell r="M416">
            <v>1</v>
          </cell>
          <cell r="R416">
            <v>45812</v>
          </cell>
          <cell r="S416">
            <v>223001</v>
          </cell>
        </row>
        <row r="417">
          <cell r="K417" t="str">
            <v>223001</v>
          </cell>
          <cell r="M417">
            <v>1</v>
          </cell>
          <cell r="R417">
            <v>45813</v>
          </cell>
          <cell r="S417">
            <v>223001</v>
          </cell>
        </row>
        <row r="418">
          <cell r="K418" t="str">
            <v>223001</v>
          </cell>
          <cell r="M418">
            <v>1</v>
          </cell>
          <cell r="R418">
            <v>45813</v>
          </cell>
          <cell r="S418">
            <v>223001</v>
          </cell>
        </row>
        <row r="419">
          <cell r="K419" t="str">
            <v>231010</v>
          </cell>
          <cell r="M419">
            <v>1</v>
          </cell>
          <cell r="R419">
            <v>45813</v>
          </cell>
          <cell r="S419">
            <v>231010</v>
          </cell>
        </row>
        <row r="420">
          <cell r="K420" t="str">
            <v>217011</v>
          </cell>
          <cell r="M420">
            <v>1</v>
          </cell>
          <cell r="R420">
            <v>45813</v>
          </cell>
          <cell r="S420">
            <v>217011</v>
          </cell>
        </row>
        <row r="421">
          <cell r="K421" t="str">
            <v>226004</v>
          </cell>
          <cell r="M421">
            <v>1</v>
          </cell>
          <cell r="R421">
            <v>45813</v>
          </cell>
          <cell r="S421">
            <v>226004</v>
          </cell>
        </row>
        <row r="422">
          <cell r="K422" t="str">
            <v>210001</v>
          </cell>
          <cell r="M422">
            <v>1</v>
          </cell>
          <cell r="R422">
            <v>45813</v>
          </cell>
          <cell r="S422">
            <v>210001</v>
          </cell>
        </row>
        <row r="423">
          <cell r="K423" t="str">
            <v>228001</v>
          </cell>
          <cell r="M423">
            <v>1</v>
          </cell>
          <cell r="R423">
            <v>45814</v>
          </cell>
          <cell r="S423">
            <v>228001</v>
          </cell>
        </row>
        <row r="424">
          <cell r="K424" t="str">
            <v>209016</v>
          </cell>
          <cell r="M424">
            <v>1</v>
          </cell>
          <cell r="R424">
            <v>45814</v>
          </cell>
          <cell r="S424">
            <v>209016</v>
          </cell>
        </row>
        <row r="425">
          <cell r="K425" t="str">
            <v>201003</v>
          </cell>
          <cell r="M425">
            <v>4</v>
          </cell>
          <cell r="R425">
            <v>45817</v>
          </cell>
          <cell r="S425">
            <v>201003</v>
          </cell>
        </row>
        <row r="426">
          <cell r="K426" t="str">
            <v>226004</v>
          </cell>
          <cell r="M426">
            <v>1</v>
          </cell>
          <cell r="R426">
            <v>45817</v>
          </cell>
          <cell r="S426">
            <v>226004</v>
          </cell>
        </row>
        <row r="427">
          <cell r="K427" t="str">
            <v>226003</v>
          </cell>
          <cell r="M427">
            <v>1</v>
          </cell>
          <cell r="R427">
            <v>45817</v>
          </cell>
          <cell r="S427">
            <v>226003</v>
          </cell>
        </row>
        <row r="428">
          <cell r="K428" t="str">
            <v>223001</v>
          </cell>
          <cell r="M428">
            <v>2</v>
          </cell>
          <cell r="R428">
            <v>45817</v>
          </cell>
          <cell r="S428">
            <v>223001</v>
          </cell>
        </row>
        <row r="429">
          <cell r="K429" t="str">
            <v>223004</v>
          </cell>
          <cell r="M429">
            <v>2</v>
          </cell>
          <cell r="R429">
            <v>45817</v>
          </cell>
          <cell r="S429">
            <v>223004</v>
          </cell>
        </row>
        <row r="430">
          <cell r="K430" t="str">
            <v>226025</v>
          </cell>
          <cell r="M430">
            <v>1</v>
          </cell>
          <cell r="R430">
            <v>45817</v>
          </cell>
          <cell r="S430">
            <v>226025</v>
          </cell>
        </row>
        <row r="431">
          <cell r="K431" t="str">
            <v>226009</v>
          </cell>
          <cell r="M431">
            <v>1</v>
          </cell>
          <cell r="R431">
            <v>45817</v>
          </cell>
          <cell r="S431">
            <v>226009</v>
          </cell>
        </row>
        <row r="432">
          <cell r="K432" t="str">
            <v>227002</v>
          </cell>
          <cell r="M432">
            <v>1</v>
          </cell>
          <cell r="R432">
            <v>45817</v>
          </cell>
          <cell r="S432">
            <v>227002</v>
          </cell>
        </row>
        <row r="433">
          <cell r="K433" t="str">
            <v>213030</v>
          </cell>
          <cell r="M433">
            <v>1</v>
          </cell>
          <cell r="R433">
            <v>45817</v>
          </cell>
          <cell r="S433">
            <v>213030</v>
          </cell>
        </row>
        <row r="434">
          <cell r="K434" t="str">
            <v>226025</v>
          </cell>
          <cell r="M434">
            <v>3</v>
          </cell>
          <cell r="R434">
            <v>45818</v>
          </cell>
          <cell r="S434">
            <v>226025</v>
          </cell>
        </row>
        <row r="435">
          <cell r="K435" t="str">
            <v>226001</v>
          </cell>
          <cell r="M435">
            <v>1</v>
          </cell>
          <cell r="R435">
            <v>45817</v>
          </cell>
          <cell r="S435">
            <v>226001</v>
          </cell>
        </row>
        <row r="436">
          <cell r="K436" t="str">
            <v>226025</v>
          </cell>
          <cell r="M436">
            <v>1</v>
          </cell>
          <cell r="R436">
            <v>45817</v>
          </cell>
          <cell r="S436">
            <v>226025</v>
          </cell>
        </row>
        <row r="437">
          <cell r="K437" t="str">
            <v>227002</v>
          </cell>
          <cell r="M437">
            <v>1</v>
          </cell>
          <cell r="R437">
            <v>45817</v>
          </cell>
          <cell r="S437">
            <v>227002</v>
          </cell>
        </row>
        <row r="438">
          <cell r="K438" t="str">
            <v>231008</v>
          </cell>
          <cell r="M438">
            <v>1</v>
          </cell>
          <cell r="R438">
            <v>45819</v>
          </cell>
          <cell r="S438">
            <v>231008</v>
          </cell>
        </row>
        <row r="439">
          <cell r="K439" t="str">
            <v>226001</v>
          </cell>
          <cell r="M439">
            <v>1</v>
          </cell>
          <cell r="R439">
            <v>45817</v>
          </cell>
          <cell r="S439">
            <v>226001</v>
          </cell>
        </row>
        <row r="440">
          <cell r="K440" t="str">
            <v>201004</v>
          </cell>
          <cell r="M440">
            <v>1</v>
          </cell>
          <cell r="R440">
            <v>45820</v>
          </cell>
          <cell r="S440">
            <v>201004</v>
          </cell>
        </row>
        <row r="441">
          <cell r="K441" t="str">
            <v>226001</v>
          </cell>
          <cell r="M441">
            <v>1</v>
          </cell>
          <cell r="R441">
            <v>45821</v>
          </cell>
          <cell r="S441">
            <v>226001</v>
          </cell>
        </row>
        <row r="442">
          <cell r="K442" t="str">
            <v>226027</v>
          </cell>
          <cell r="M442">
            <v>1</v>
          </cell>
          <cell r="R442">
            <v>45821</v>
          </cell>
          <cell r="S442">
            <v>226027</v>
          </cell>
        </row>
        <row r="443">
          <cell r="K443" t="str">
            <v>201004</v>
          </cell>
          <cell r="M443">
            <v>2</v>
          </cell>
          <cell r="R443">
            <v>45821</v>
          </cell>
          <cell r="S443">
            <v>201004</v>
          </cell>
        </row>
        <row r="444">
          <cell r="K444" t="str">
            <v>201011</v>
          </cell>
          <cell r="M444">
            <v>36</v>
          </cell>
          <cell r="R444">
            <v>45820</v>
          </cell>
          <cell r="S444">
            <v>201011</v>
          </cell>
        </row>
        <row r="445">
          <cell r="K445" t="str">
            <v>226025</v>
          </cell>
          <cell r="M445">
            <v>1</v>
          </cell>
          <cell r="R445">
            <v>45821</v>
          </cell>
          <cell r="S445">
            <v>226025</v>
          </cell>
        </row>
        <row r="446">
          <cell r="K446" t="str">
            <v>213003</v>
          </cell>
          <cell r="M446">
            <v>1</v>
          </cell>
          <cell r="R446">
            <v>45821</v>
          </cell>
          <cell r="S446">
            <v>213003</v>
          </cell>
        </row>
        <row r="447">
          <cell r="K447" t="str">
            <v>231010</v>
          </cell>
          <cell r="M447">
            <v>1</v>
          </cell>
          <cell r="R447">
            <v>45821</v>
          </cell>
          <cell r="S447">
            <v>231010</v>
          </cell>
        </row>
        <row r="448">
          <cell r="K448" t="str">
            <v>226001</v>
          </cell>
          <cell r="M448">
            <v>1</v>
          </cell>
          <cell r="R448">
            <v>45821</v>
          </cell>
          <cell r="S448">
            <v>226001</v>
          </cell>
        </row>
        <row r="449">
          <cell r="K449" t="str">
            <v>271002</v>
          </cell>
          <cell r="M449">
            <v>1</v>
          </cell>
          <cell r="R449">
            <v>45824</v>
          </cell>
          <cell r="S449">
            <v>271002</v>
          </cell>
        </row>
        <row r="450">
          <cell r="K450" t="str">
            <v>209016</v>
          </cell>
          <cell r="M450">
            <v>1</v>
          </cell>
          <cell r="R450">
            <v>45824</v>
          </cell>
          <cell r="S450">
            <v>209016</v>
          </cell>
        </row>
        <row r="451">
          <cell r="K451" t="str">
            <v>209006</v>
          </cell>
          <cell r="M451">
            <v>1</v>
          </cell>
          <cell r="R451">
            <v>45824</v>
          </cell>
          <cell r="S451">
            <v>209006</v>
          </cell>
        </row>
        <row r="452">
          <cell r="K452" t="str">
            <v>226023</v>
          </cell>
          <cell r="M452">
            <v>1</v>
          </cell>
          <cell r="R452">
            <v>45824</v>
          </cell>
          <cell r="S452">
            <v>226023</v>
          </cell>
        </row>
        <row r="453">
          <cell r="K453" t="str">
            <v>223001</v>
          </cell>
          <cell r="M453">
            <v>1</v>
          </cell>
          <cell r="R453">
            <v>45824</v>
          </cell>
          <cell r="S453">
            <v>223001</v>
          </cell>
        </row>
        <row r="454">
          <cell r="K454" t="str">
            <v>223001</v>
          </cell>
          <cell r="M454">
            <v>2</v>
          </cell>
          <cell r="R454">
            <v>45824</v>
          </cell>
          <cell r="S454">
            <v>223001</v>
          </cell>
        </row>
        <row r="455">
          <cell r="K455" t="str">
            <v>226001</v>
          </cell>
          <cell r="M455">
            <v>1</v>
          </cell>
          <cell r="R455">
            <v>45824</v>
          </cell>
          <cell r="S455">
            <v>226001</v>
          </cell>
        </row>
        <row r="456">
          <cell r="K456" t="str">
            <v>227002</v>
          </cell>
          <cell r="M456">
            <v>1</v>
          </cell>
          <cell r="R456">
            <v>45825</v>
          </cell>
          <cell r="S456">
            <v>227002</v>
          </cell>
        </row>
        <row r="457">
          <cell r="K457" t="str">
            <v>227010</v>
          </cell>
          <cell r="M457">
            <v>1</v>
          </cell>
          <cell r="R457">
            <v>45825</v>
          </cell>
          <cell r="S457">
            <v>227010</v>
          </cell>
        </row>
        <row r="458">
          <cell r="K458" t="str">
            <v>227001</v>
          </cell>
          <cell r="M458">
            <v>1</v>
          </cell>
          <cell r="R458">
            <v>45825</v>
          </cell>
          <cell r="S458">
            <v>227001</v>
          </cell>
        </row>
        <row r="459">
          <cell r="K459" t="str">
            <v>201003</v>
          </cell>
          <cell r="M459">
            <v>3</v>
          </cell>
          <cell r="R459">
            <v>45826</v>
          </cell>
          <cell r="S459">
            <v>201003</v>
          </cell>
        </row>
        <row r="460">
          <cell r="K460" t="str">
            <v>231012</v>
          </cell>
          <cell r="M460">
            <v>1</v>
          </cell>
          <cell r="R460">
            <v>45826</v>
          </cell>
          <cell r="S460">
            <v>231012</v>
          </cell>
        </row>
        <row r="461">
          <cell r="K461" t="str">
            <v>226001</v>
          </cell>
          <cell r="M461">
            <v>1</v>
          </cell>
          <cell r="R461">
            <v>45826</v>
          </cell>
          <cell r="S461">
            <v>226001</v>
          </cell>
        </row>
        <row r="462">
          <cell r="K462" t="str">
            <v>227002</v>
          </cell>
          <cell r="M462">
            <v>1</v>
          </cell>
          <cell r="R462">
            <v>45826</v>
          </cell>
          <cell r="S462">
            <v>227002</v>
          </cell>
        </row>
        <row r="463">
          <cell r="K463" t="str">
            <v>207002</v>
          </cell>
          <cell r="M463">
            <v>2</v>
          </cell>
          <cell r="R463">
            <v>45826</v>
          </cell>
          <cell r="S463">
            <v>207002</v>
          </cell>
        </row>
        <row r="464">
          <cell r="K464" t="str">
            <v>226001</v>
          </cell>
          <cell r="M464">
            <v>2</v>
          </cell>
          <cell r="R464">
            <v>45826</v>
          </cell>
          <cell r="S464">
            <v>226001</v>
          </cell>
        </row>
        <row r="465">
          <cell r="K465" t="str">
            <v>231012</v>
          </cell>
          <cell r="M465">
            <v>1</v>
          </cell>
          <cell r="R465">
            <v>45826</v>
          </cell>
          <cell r="S465">
            <v>231012</v>
          </cell>
        </row>
        <row r="466">
          <cell r="K466" t="str">
            <v>227001</v>
          </cell>
          <cell r="M466">
            <v>1</v>
          </cell>
          <cell r="R466">
            <v>45827</v>
          </cell>
          <cell r="S466">
            <v>227001</v>
          </cell>
        </row>
        <row r="467">
          <cell r="K467" t="str">
            <v>228001</v>
          </cell>
          <cell r="M467">
            <v>1</v>
          </cell>
          <cell r="R467">
            <v>45827</v>
          </cell>
          <cell r="S467">
            <v>228001</v>
          </cell>
        </row>
        <row r="468">
          <cell r="K468" t="str">
            <v>209012</v>
          </cell>
          <cell r="M468">
            <v>1</v>
          </cell>
          <cell r="R468">
            <v>45827</v>
          </cell>
          <cell r="S468">
            <v>209012</v>
          </cell>
        </row>
        <row r="469">
          <cell r="K469" t="str">
            <v>223001</v>
          </cell>
          <cell r="M469">
            <v>3</v>
          </cell>
          <cell r="R469">
            <v>45831</v>
          </cell>
          <cell r="S469">
            <v>223001</v>
          </cell>
        </row>
        <row r="470">
          <cell r="K470" t="str">
            <v>223001</v>
          </cell>
          <cell r="M470">
            <v>2</v>
          </cell>
          <cell r="R470">
            <v>45831</v>
          </cell>
          <cell r="S470">
            <v>223001</v>
          </cell>
        </row>
        <row r="471">
          <cell r="K471" t="str">
            <v>201003</v>
          </cell>
          <cell r="M471">
            <v>1</v>
          </cell>
          <cell r="R471">
            <v>45831</v>
          </cell>
          <cell r="S471">
            <v>201003</v>
          </cell>
        </row>
        <row r="472">
          <cell r="K472" t="str">
            <v>226025</v>
          </cell>
          <cell r="M472">
            <v>1</v>
          </cell>
          <cell r="R472">
            <v>45831</v>
          </cell>
          <cell r="S472">
            <v>226025</v>
          </cell>
        </row>
        <row r="473">
          <cell r="K473" t="str">
            <v>226025</v>
          </cell>
          <cell r="M473">
            <v>3</v>
          </cell>
          <cell r="R473">
            <v>45832</v>
          </cell>
          <cell r="S473">
            <v>226025</v>
          </cell>
        </row>
        <row r="474">
          <cell r="K474" t="str">
            <v>223001</v>
          </cell>
          <cell r="M474">
            <v>3</v>
          </cell>
          <cell r="R474">
            <v>45832</v>
          </cell>
          <cell r="S474">
            <v>223001</v>
          </cell>
        </row>
        <row r="475">
          <cell r="K475" t="str">
            <v>226001</v>
          </cell>
          <cell r="M475">
            <v>1</v>
          </cell>
          <cell r="R475">
            <v>45832</v>
          </cell>
          <cell r="S475">
            <v>226001</v>
          </cell>
        </row>
        <row r="476">
          <cell r="K476" t="str">
            <v>201011</v>
          </cell>
          <cell r="M476">
            <v>7</v>
          </cell>
          <cell r="R476">
            <v>45832</v>
          </cell>
          <cell r="S476">
            <v>201011</v>
          </cell>
        </row>
        <row r="477">
          <cell r="K477" t="str">
            <v>231012</v>
          </cell>
          <cell r="M477">
            <v>1</v>
          </cell>
          <cell r="R477">
            <v>45833</v>
          </cell>
          <cell r="S477">
            <v>231012</v>
          </cell>
        </row>
        <row r="478">
          <cell r="K478" t="str">
            <v>226001</v>
          </cell>
          <cell r="M478">
            <v>3</v>
          </cell>
          <cell r="R478">
            <v>45833</v>
          </cell>
          <cell r="S478">
            <v>226001</v>
          </cell>
        </row>
        <row r="479">
          <cell r="K479" t="str">
            <v>226025</v>
          </cell>
          <cell r="M479">
            <v>2</v>
          </cell>
          <cell r="R479">
            <v>45833</v>
          </cell>
          <cell r="S479">
            <v>226025</v>
          </cell>
        </row>
        <row r="480">
          <cell r="K480" t="str">
            <v>213018</v>
          </cell>
          <cell r="M480">
            <v>1</v>
          </cell>
          <cell r="R480">
            <v>45833</v>
          </cell>
          <cell r="S480">
            <v>213018</v>
          </cell>
        </row>
        <row r="481">
          <cell r="K481" t="str">
            <v>207002</v>
          </cell>
          <cell r="M481">
            <v>3</v>
          </cell>
          <cell r="R481">
            <v>45833</v>
          </cell>
          <cell r="S481">
            <v>207002</v>
          </cell>
        </row>
        <row r="482">
          <cell r="K482" t="str">
            <v>201011</v>
          </cell>
          <cell r="M482">
            <v>2</v>
          </cell>
          <cell r="R482">
            <v>45834</v>
          </cell>
          <cell r="S482">
            <v>201011</v>
          </cell>
        </row>
        <row r="483">
          <cell r="K483" t="str">
            <v>201004</v>
          </cell>
          <cell r="M483">
            <v>1</v>
          </cell>
          <cell r="R483">
            <v>45834</v>
          </cell>
          <cell r="S483">
            <v>201004</v>
          </cell>
        </row>
        <row r="484">
          <cell r="K484" t="str">
            <v>223001</v>
          </cell>
          <cell r="M484">
            <v>1</v>
          </cell>
          <cell r="R484">
            <v>45834</v>
          </cell>
          <cell r="S484">
            <v>223001</v>
          </cell>
        </row>
        <row r="485">
          <cell r="K485" t="str">
            <v>226001</v>
          </cell>
          <cell r="M485">
            <v>2</v>
          </cell>
          <cell r="R485">
            <v>45834</v>
          </cell>
          <cell r="S485">
            <v>226001</v>
          </cell>
        </row>
        <row r="486">
          <cell r="K486" t="str">
            <v>213003</v>
          </cell>
          <cell r="M486">
            <v>1</v>
          </cell>
          <cell r="R486">
            <v>45834</v>
          </cell>
          <cell r="S486">
            <v>213003</v>
          </cell>
        </row>
        <row r="487">
          <cell r="K487" t="str">
            <v>227002</v>
          </cell>
          <cell r="M487">
            <v>1</v>
          </cell>
          <cell r="R487">
            <v>45835</v>
          </cell>
          <cell r="S487">
            <v>227002</v>
          </cell>
        </row>
        <row r="488">
          <cell r="K488" t="str">
            <v>228001</v>
          </cell>
          <cell r="M488">
            <v>1</v>
          </cell>
          <cell r="R488">
            <v>45838</v>
          </cell>
          <cell r="S488">
            <v>228001</v>
          </cell>
        </row>
        <row r="489">
          <cell r="K489" t="str">
            <v>209016</v>
          </cell>
          <cell r="M489">
            <v>1</v>
          </cell>
          <cell r="R489">
            <v>45838</v>
          </cell>
          <cell r="S489">
            <v>209016</v>
          </cell>
        </row>
        <row r="490">
          <cell r="K490" t="str">
            <v>225001</v>
          </cell>
          <cell r="M490">
            <v>1</v>
          </cell>
          <cell r="R490">
            <v>45838</v>
          </cell>
          <cell r="S490">
            <v>225001</v>
          </cell>
        </row>
        <row r="491">
          <cell r="K491" t="str">
            <v>229003</v>
          </cell>
          <cell r="M491">
            <v>1</v>
          </cell>
          <cell r="R491">
            <v>45838</v>
          </cell>
          <cell r="S491">
            <v>229003</v>
          </cell>
        </row>
        <row r="492">
          <cell r="K492" t="str">
            <v>201011</v>
          </cell>
          <cell r="M492">
            <v>4</v>
          </cell>
          <cell r="R492">
            <v>45839</v>
          </cell>
          <cell r="S492">
            <v>201011</v>
          </cell>
        </row>
        <row r="493">
          <cell r="K493" t="str">
            <v>226025</v>
          </cell>
          <cell r="M493">
            <v>1</v>
          </cell>
          <cell r="R493">
            <v>45839</v>
          </cell>
          <cell r="S493">
            <v>226025</v>
          </cell>
        </row>
        <row r="494">
          <cell r="K494" t="str">
            <v>201009</v>
          </cell>
          <cell r="M494">
            <v>2</v>
          </cell>
          <cell r="R494">
            <v>45839</v>
          </cell>
          <cell r="S494">
            <v>201009</v>
          </cell>
        </row>
        <row r="495">
          <cell r="K495" t="str">
            <v>209001</v>
          </cell>
          <cell r="M495">
            <v>2</v>
          </cell>
          <cell r="R495">
            <v>45839</v>
          </cell>
          <cell r="S495">
            <v>209001</v>
          </cell>
        </row>
        <row r="496">
          <cell r="K496" t="str">
            <v>207017</v>
          </cell>
          <cell r="M496">
            <v>4</v>
          </cell>
          <cell r="R496">
            <v>45839</v>
          </cell>
          <cell r="S496">
            <v>207017</v>
          </cell>
        </row>
        <row r="497">
          <cell r="K497" t="str">
            <v>217018</v>
          </cell>
          <cell r="M497">
            <v>4</v>
          </cell>
          <cell r="R497">
            <v>45839</v>
          </cell>
          <cell r="S497">
            <v>217018</v>
          </cell>
        </row>
        <row r="498">
          <cell r="K498" t="str">
            <v>226001</v>
          </cell>
          <cell r="M498">
            <v>1</v>
          </cell>
          <cell r="R498">
            <v>45839</v>
          </cell>
          <cell r="S498">
            <v>226001</v>
          </cell>
        </row>
        <row r="499">
          <cell r="K499" t="str">
            <v>226001</v>
          </cell>
          <cell r="M499">
            <v>1</v>
          </cell>
          <cell r="R499">
            <v>45839</v>
          </cell>
          <cell r="S499">
            <v>226001</v>
          </cell>
        </row>
        <row r="500">
          <cell r="K500" t="str">
            <v>226025</v>
          </cell>
          <cell r="M500">
            <v>1</v>
          </cell>
          <cell r="R500">
            <v>45839</v>
          </cell>
          <cell r="S500">
            <v>226025</v>
          </cell>
        </row>
        <row r="501">
          <cell r="K501" t="str">
            <v>217018</v>
          </cell>
          <cell r="M501">
            <v>1</v>
          </cell>
          <cell r="R501">
            <v>45840</v>
          </cell>
          <cell r="S501">
            <v>217018</v>
          </cell>
        </row>
        <row r="502">
          <cell r="K502" t="str">
            <v>226025</v>
          </cell>
          <cell r="M502">
            <v>1</v>
          </cell>
          <cell r="R502">
            <v>45840</v>
          </cell>
          <cell r="S502">
            <v>226025</v>
          </cell>
        </row>
        <row r="503">
          <cell r="K503" t="str">
            <v>227002</v>
          </cell>
          <cell r="M503">
            <v>1</v>
          </cell>
          <cell r="R503">
            <v>45840</v>
          </cell>
          <cell r="S503">
            <v>227002</v>
          </cell>
        </row>
        <row r="504">
          <cell r="K504" t="str">
            <v>231012</v>
          </cell>
          <cell r="M504">
            <v>1</v>
          </cell>
          <cell r="R504">
            <v>45840</v>
          </cell>
          <cell r="S504">
            <v>231012</v>
          </cell>
        </row>
        <row r="505">
          <cell r="K505" t="str">
            <v>207002</v>
          </cell>
          <cell r="M505">
            <v>1</v>
          </cell>
          <cell r="R505">
            <v>45840</v>
          </cell>
          <cell r="S505">
            <v>207002</v>
          </cell>
        </row>
        <row r="506">
          <cell r="K506" t="str">
            <v>201011</v>
          </cell>
          <cell r="M506">
            <v>1</v>
          </cell>
          <cell r="R506">
            <v>45841</v>
          </cell>
          <cell r="S506">
            <v>201011</v>
          </cell>
        </row>
        <row r="507">
          <cell r="K507" t="str">
            <v>231012</v>
          </cell>
          <cell r="M507">
            <v>1</v>
          </cell>
          <cell r="R507">
            <v>45841</v>
          </cell>
          <cell r="S507">
            <v>231012</v>
          </cell>
        </row>
        <row r="508">
          <cell r="K508" t="str">
            <v>226001</v>
          </cell>
          <cell r="M508">
            <v>2</v>
          </cell>
          <cell r="R508">
            <v>45841</v>
          </cell>
          <cell r="S508">
            <v>226001</v>
          </cell>
        </row>
        <row r="509">
          <cell r="K509" t="str">
            <v>226003</v>
          </cell>
          <cell r="M509">
            <v>1</v>
          </cell>
          <cell r="R509">
            <v>45841</v>
          </cell>
          <cell r="S509">
            <v>226003</v>
          </cell>
        </row>
        <row r="510">
          <cell r="K510" t="str">
            <v>226024</v>
          </cell>
          <cell r="M510">
            <v>1</v>
          </cell>
          <cell r="R510">
            <v>45841</v>
          </cell>
          <cell r="S510">
            <v>226024</v>
          </cell>
        </row>
        <row r="511">
          <cell r="K511" t="str">
            <v>226001</v>
          </cell>
          <cell r="M511">
            <v>1</v>
          </cell>
          <cell r="R511">
            <v>45841</v>
          </cell>
          <cell r="S511">
            <v>226001</v>
          </cell>
        </row>
        <row r="512">
          <cell r="K512" t="str">
            <v>227002</v>
          </cell>
          <cell r="M512">
            <v>1</v>
          </cell>
          <cell r="R512">
            <v>45841</v>
          </cell>
          <cell r="S512">
            <v>227002</v>
          </cell>
        </row>
        <row r="513">
          <cell r="K513" t="str">
            <v>226001</v>
          </cell>
          <cell r="M513">
            <v>1</v>
          </cell>
          <cell r="R513">
            <v>45842</v>
          </cell>
          <cell r="S513">
            <v>226001</v>
          </cell>
        </row>
        <row r="514">
          <cell r="K514" t="str">
            <v>220002</v>
          </cell>
          <cell r="M514">
            <v>1</v>
          </cell>
          <cell r="R514">
            <v>45845</v>
          </cell>
          <cell r="S514">
            <v>220002</v>
          </cell>
        </row>
        <row r="515">
          <cell r="K515" t="str">
            <v>227014</v>
          </cell>
          <cell r="M515">
            <v>1</v>
          </cell>
          <cell r="R515">
            <v>45845</v>
          </cell>
          <cell r="S515">
            <v>227014</v>
          </cell>
        </row>
        <row r="516">
          <cell r="K516" t="str">
            <v>201003</v>
          </cell>
          <cell r="M516">
            <v>1</v>
          </cell>
          <cell r="R516">
            <v>45845</v>
          </cell>
          <cell r="S516">
            <v>201003</v>
          </cell>
        </row>
        <row r="517">
          <cell r="K517" t="str">
            <v>227014</v>
          </cell>
          <cell r="M517">
            <v>1</v>
          </cell>
          <cell r="R517">
            <v>45845</v>
          </cell>
          <cell r="S517">
            <v>227014</v>
          </cell>
        </row>
        <row r="518">
          <cell r="K518" t="str">
            <v>226001</v>
          </cell>
          <cell r="M518">
            <v>1</v>
          </cell>
          <cell r="R518">
            <v>45845</v>
          </cell>
          <cell r="S518">
            <v>226001</v>
          </cell>
        </row>
        <row r="519">
          <cell r="K519" t="str">
            <v>201022</v>
          </cell>
          <cell r="M519">
            <v>1</v>
          </cell>
          <cell r="R519">
            <v>45845</v>
          </cell>
          <cell r="S519">
            <v>201022</v>
          </cell>
        </row>
        <row r="520">
          <cell r="K520" t="str">
            <v>217022</v>
          </cell>
          <cell r="M520">
            <v>1</v>
          </cell>
          <cell r="R520">
            <v>45845</v>
          </cell>
          <cell r="S520">
            <v>217022</v>
          </cell>
        </row>
        <row r="521">
          <cell r="K521" t="str">
            <v>220002</v>
          </cell>
          <cell r="M521">
            <v>1</v>
          </cell>
          <cell r="R521">
            <v>45845</v>
          </cell>
          <cell r="S521">
            <v>220002</v>
          </cell>
        </row>
        <row r="522">
          <cell r="K522" t="str">
            <v>231012</v>
          </cell>
          <cell r="M522">
            <v>2</v>
          </cell>
          <cell r="R522">
            <v>45845</v>
          </cell>
          <cell r="S522">
            <v>231012</v>
          </cell>
        </row>
        <row r="523">
          <cell r="K523" t="str">
            <v>203001</v>
          </cell>
          <cell r="M523">
            <v>1</v>
          </cell>
          <cell r="R523">
            <v>45845</v>
          </cell>
          <cell r="S523">
            <v>203001</v>
          </cell>
        </row>
        <row r="524">
          <cell r="K524" t="str">
            <v>226001</v>
          </cell>
          <cell r="M524">
            <v>5</v>
          </cell>
          <cell r="R524">
            <v>45845</v>
          </cell>
          <cell r="S524">
            <v>226001</v>
          </cell>
        </row>
        <row r="525">
          <cell r="K525" t="str">
            <v>201003</v>
          </cell>
          <cell r="M525">
            <v>1</v>
          </cell>
          <cell r="R525">
            <v>45847</v>
          </cell>
          <cell r="S525">
            <v>201003</v>
          </cell>
        </row>
        <row r="526">
          <cell r="K526" t="str">
            <v>226001</v>
          </cell>
          <cell r="M526">
            <v>1</v>
          </cell>
          <cell r="R526">
            <v>45847</v>
          </cell>
          <cell r="S526">
            <v>226001</v>
          </cell>
        </row>
        <row r="527">
          <cell r="K527" t="str">
            <v>241001</v>
          </cell>
          <cell r="M527">
            <v>1</v>
          </cell>
          <cell r="R527">
            <v>45847</v>
          </cell>
          <cell r="S527">
            <v>241001</v>
          </cell>
        </row>
        <row r="528">
          <cell r="K528" t="str">
            <v>226001</v>
          </cell>
          <cell r="M528">
            <v>1</v>
          </cell>
          <cell r="R528">
            <v>45847</v>
          </cell>
          <cell r="S528">
            <v>226001</v>
          </cell>
        </row>
        <row r="529">
          <cell r="K529" t="str">
            <v>226001</v>
          </cell>
          <cell r="M529">
            <v>1</v>
          </cell>
          <cell r="R529">
            <v>45847</v>
          </cell>
          <cell r="S529">
            <v>226001</v>
          </cell>
        </row>
        <row r="530">
          <cell r="K530" t="str">
            <v>226004</v>
          </cell>
          <cell r="M530">
            <v>1</v>
          </cell>
          <cell r="R530">
            <v>45847</v>
          </cell>
          <cell r="S530">
            <v>226004</v>
          </cell>
        </row>
        <row r="531">
          <cell r="K531" t="str">
            <v>209016</v>
          </cell>
          <cell r="M531">
            <v>1</v>
          </cell>
          <cell r="R531">
            <v>45847</v>
          </cell>
          <cell r="S531">
            <v>209016</v>
          </cell>
        </row>
        <row r="532">
          <cell r="K532" t="str">
            <v>223001</v>
          </cell>
          <cell r="M532">
            <v>1</v>
          </cell>
          <cell r="R532">
            <v>45847</v>
          </cell>
          <cell r="S532">
            <v>223001</v>
          </cell>
        </row>
        <row r="533">
          <cell r="K533" t="str">
            <v>227002</v>
          </cell>
          <cell r="M533">
            <v>1</v>
          </cell>
          <cell r="R533">
            <v>45847</v>
          </cell>
          <cell r="S533">
            <v>227002</v>
          </cell>
        </row>
        <row r="534">
          <cell r="K534" t="str">
            <v>217022</v>
          </cell>
          <cell r="M534">
            <v>1</v>
          </cell>
          <cell r="R534">
            <v>45848</v>
          </cell>
          <cell r="S534">
            <v>217022</v>
          </cell>
        </row>
        <row r="535">
          <cell r="K535" t="str">
            <v>226001</v>
          </cell>
          <cell r="M535">
            <v>1</v>
          </cell>
          <cell r="R535">
            <v>45848</v>
          </cell>
          <cell r="S535">
            <v>226001</v>
          </cell>
        </row>
        <row r="536">
          <cell r="K536" t="str">
            <v>227014</v>
          </cell>
          <cell r="M536">
            <v>1</v>
          </cell>
          <cell r="R536">
            <v>45848</v>
          </cell>
          <cell r="S536">
            <v>227014</v>
          </cell>
        </row>
        <row r="537">
          <cell r="K537" t="str">
            <v>217011</v>
          </cell>
          <cell r="M537">
            <v>1</v>
          </cell>
          <cell r="R537">
            <v>45848</v>
          </cell>
          <cell r="S537">
            <v>217011</v>
          </cell>
        </row>
        <row r="538">
          <cell r="K538" t="str">
            <v>226024</v>
          </cell>
          <cell r="M538">
            <v>1</v>
          </cell>
          <cell r="R538">
            <v>45849</v>
          </cell>
          <cell r="S538">
            <v>226024</v>
          </cell>
        </row>
        <row r="539">
          <cell r="K539" t="str">
            <v>225001</v>
          </cell>
          <cell r="M539">
            <v>1</v>
          </cell>
          <cell r="R539">
            <v>45849</v>
          </cell>
          <cell r="S539">
            <v>225001</v>
          </cell>
        </row>
        <row r="540">
          <cell r="K540" t="str">
            <v>201003</v>
          </cell>
          <cell r="M540">
            <v>1</v>
          </cell>
          <cell r="R540">
            <v>45852</v>
          </cell>
          <cell r="S540">
            <v>201003</v>
          </cell>
        </row>
        <row r="541">
          <cell r="K541" t="str">
            <v>226027</v>
          </cell>
          <cell r="M541">
            <v>1</v>
          </cell>
          <cell r="R541">
            <v>45852</v>
          </cell>
          <cell r="S541">
            <v>226027</v>
          </cell>
        </row>
        <row r="542">
          <cell r="K542" t="str">
            <v>226001</v>
          </cell>
          <cell r="M542">
            <v>2</v>
          </cell>
          <cell r="R542">
            <v>45849</v>
          </cell>
          <cell r="S542">
            <v>226001</v>
          </cell>
        </row>
        <row r="543">
          <cell r="K543" t="str">
            <v>226025</v>
          </cell>
          <cell r="M543">
            <v>2</v>
          </cell>
          <cell r="R543">
            <v>45849</v>
          </cell>
          <cell r="S543">
            <v>226025</v>
          </cell>
        </row>
        <row r="544">
          <cell r="K544" t="str">
            <v>201003</v>
          </cell>
          <cell r="M544">
            <v>2</v>
          </cell>
          <cell r="R544">
            <v>45853</v>
          </cell>
          <cell r="S544">
            <v>201003</v>
          </cell>
        </row>
        <row r="545">
          <cell r="K545" t="str">
            <v>220002</v>
          </cell>
          <cell r="M545">
            <v>1</v>
          </cell>
          <cell r="R545">
            <v>45853</v>
          </cell>
          <cell r="S545">
            <v>220002</v>
          </cell>
        </row>
        <row r="546">
          <cell r="K546" t="str">
            <v>206005</v>
          </cell>
          <cell r="M546">
            <v>2</v>
          </cell>
          <cell r="R546">
            <v>45853</v>
          </cell>
          <cell r="S546">
            <v>206005</v>
          </cell>
        </row>
        <row r="547">
          <cell r="K547" t="str">
            <v>226004</v>
          </cell>
          <cell r="M547">
            <v>1</v>
          </cell>
          <cell r="R547">
            <v>45853</v>
          </cell>
          <cell r="S547">
            <v>226004</v>
          </cell>
        </row>
        <row r="548">
          <cell r="K548" t="str">
            <v>206006</v>
          </cell>
          <cell r="M548">
            <v>1</v>
          </cell>
          <cell r="R548">
            <v>45853</v>
          </cell>
          <cell r="S548">
            <v>206006</v>
          </cell>
        </row>
        <row r="549">
          <cell r="K549" t="str">
            <v>208001</v>
          </cell>
          <cell r="M549">
            <v>1</v>
          </cell>
          <cell r="R549">
            <v>45853</v>
          </cell>
          <cell r="S549">
            <v>208001</v>
          </cell>
        </row>
        <row r="550">
          <cell r="K550" t="str">
            <v>218003</v>
          </cell>
          <cell r="M550">
            <v>1</v>
          </cell>
          <cell r="R550">
            <v>45853</v>
          </cell>
          <cell r="S550">
            <v>218003</v>
          </cell>
        </row>
        <row r="551">
          <cell r="K551" t="str">
            <v>213003</v>
          </cell>
          <cell r="M551">
            <v>1</v>
          </cell>
          <cell r="R551">
            <v>45853</v>
          </cell>
          <cell r="S551">
            <v>213003</v>
          </cell>
        </row>
        <row r="552">
          <cell r="K552" t="str">
            <v>222001</v>
          </cell>
          <cell r="M552">
            <v>1</v>
          </cell>
          <cell r="R552">
            <v>45853</v>
          </cell>
          <cell r="S552">
            <v>222001</v>
          </cell>
        </row>
        <row r="553">
          <cell r="K553" t="str">
            <v>206002</v>
          </cell>
          <cell r="M553">
            <v>1</v>
          </cell>
          <cell r="R553">
            <v>45855</v>
          </cell>
          <cell r="S553">
            <v>206002</v>
          </cell>
        </row>
        <row r="554">
          <cell r="K554" t="str">
            <v>231008</v>
          </cell>
          <cell r="M554">
            <v>1</v>
          </cell>
          <cell r="R554">
            <v>45855</v>
          </cell>
          <cell r="S554">
            <v>231008</v>
          </cell>
        </row>
        <row r="555">
          <cell r="K555" t="str">
            <v>202001</v>
          </cell>
          <cell r="M555">
            <v>1</v>
          </cell>
          <cell r="R555">
            <v>45855</v>
          </cell>
          <cell r="S555">
            <v>202001</v>
          </cell>
        </row>
        <row r="556">
          <cell r="K556" t="str">
            <v>229004</v>
          </cell>
          <cell r="M556">
            <v>1</v>
          </cell>
          <cell r="R556">
            <v>45855</v>
          </cell>
          <cell r="S556">
            <v>229004</v>
          </cell>
        </row>
        <row r="557">
          <cell r="K557" t="str">
            <v>224001</v>
          </cell>
          <cell r="M557">
            <v>1</v>
          </cell>
          <cell r="R557">
            <v>45855</v>
          </cell>
          <cell r="S557">
            <v>224001</v>
          </cell>
        </row>
        <row r="558">
          <cell r="K558" t="str">
            <v>214002</v>
          </cell>
          <cell r="M558">
            <v>1</v>
          </cell>
          <cell r="R558">
            <v>45855</v>
          </cell>
          <cell r="S558">
            <v>214002</v>
          </cell>
        </row>
        <row r="559">
          <cell r="K559" t="str">
            <v>226001</v>
          </cell>
          <cell r="M559">
            <v>1</v>
          </cell>
          <cell r="R559">
            <v>45855</v>
          </cell>
          <cell r="S559">
            <v>226001</v>
          </cell>
        </row>
        <row r="560">
          <cell r="K560" t="str">
            <v>229001</v>
          </cell>
          <cell r="M560">
            <v>1</v>
          </cell>
          <cell r="R560">
            <v>45855</v>
          </cell>
          <cell r="S560">
            <v>229001</v>
          </cell>
        </row>
        <row r="561">
          <cell r="K561" t="str">
            <v>203003</v>
          </cell>
          <cell r="M561">
            <v>1</v>
          </cell>
          <cell r="R561">
            <v>45855</v>
          </cell>
          <cell r="S561">
            <v>203003</v>
          </cell>
        </row>
        <row r="562">
          <cell r="K562" t="str">
            <v>207002</v>
          </cell>
          <cell r="M562">
            <v>1</v>
          </cell>
          <cell r="R562">
            <v>45855</v>
          </cell>
          <cell r="S562">
            <v>207002</v>
          </cell>
        </row>
        <row r="563">
          <cell r="K563" t="str">
            <v>226001</v>
          </cell>
          <cell r="M563">
            <v>1</v>
          </cell>
          <cell r="R563">
            <v>45855</v>
          </cell>
          <cell r="S563">
            <v>226001</v>
          </cell>
        </row>
        <row r="564">
          <cell r="K564" t="str">
            <v>220002</v>
          </cell>
          <cell r="M564">
            <v>1</v>
          </cell>
          <cell r="R564">
            <v>45855</v>
          </cell>
          <cell r="S564">
            <v>220002</v>
          </cell>
        </row>
        <row r="565">
          <cell r="K565" t="str">
            <v>217011</v>
          </cell>
          <cell r="M565">
            <v>1</v>
          </cell>
          <cell r="R565">
            <v>45855</v>
          </cell>
          <cell r="S565">
            <v>217011</v>
          </cell>
        </row>
        <row r="566">
          <cell r="K566" t="str">
            <v>226001</v>
          </cell>
          <cell r="M566">
            <v>2</v>
          </cell>
          <cell r="R566">
            <v>45855</v>
          </cell>
          <cell r="S566">
            <v>226001</v>
          </cell>
        </row>
        <row r="567">
          <cell r="K567" t="str">
            <v>220002</v>
          </cell>
          <cell r="M567">
            <v>1</v>
          </cell>
          <cell r="R567">
            <v>45859</v>
          </cell>
          <cell r="S567">
            <v>220002</v>
          </cell>
        </row>
        <row r="568">
          <cell r="K568" t="str">
            <v>220002</v>
          </cell>
          <cell r="M568">
            <v>2</v>
          </cell>
          <cell r="R568">
            <v>45859</v>
          </cell>
          <cell r="S568">
            <v>220002</v>
          </cell>
        </row>
        <row r="569">
          <cell r="K569" t="str">
            <v>226001</v>
          </cell>
          <cell r="M569">
            <v>1</v>
          </cell>
          <cell r="R569">
            <v>45859</v>
          </cell>
          <cell r="S569">
            <v>226001</v>
          </cell>
        </row>
        <row r="570">
          <cell r="K570" t="str">
            <v>220002</v>
          </cell>
          <cell r="M570">
            <v>1</v>
          </cell>
          <cell r="R570">
            <v>45859</v>
          </cell>
          <cell r="S570">
            <v>220002</v>
          </cell>
        </row>
        <row r="571">
          <cell r="K571" t="str">
            <v>203003</v>
          </cell>
          <cell r="M571">
            <v>1</v>
          </cell>
          <cell r="R571">
            <v>45859</v>
          </cell>
          <cell r="S571">
            <v>203003</v>
          </cell>
        </row>
        <row r="572">
          <cell r="K572" t="str">
            <v>231012</v>
          </cell>
          <cell r="M572">
            <v>1</v>
          </cell>
          <cell r="R572">
            <v>45859</v>
          </cell>
          <cell r="S572">
            <v>231012</v>
          </cell>
        </row>
        <row r="573">
          <cell r="K573" t="str">
            <v>226025</v>
          </cell>
          <cell r="M573">
            <v>3</v>
          </cell>
          <cell r="R573">
            <v>45859</v>
          </cell>
          <cell r="S573">
            <v>226025</v>
          </cell>
        </row>
        <row r="574">
          <cell r="K574" t="str">
            <v>227010</v>
          </cell>
          <cell r="M574">
            <v>1</v>
          </cell>
          <cell r="R574">
            <v>45859</v>
          </cell>
          <cell r="S574">
            <v>227010</v>
          </cell>
        </row>
        <row r="575">
          <cell r="K575" t="str">
            <v>228001</v>
          </cell>
          <cell r="M575">
            <v>1</v>
          </cell>
          <cell r="R575">
            <v>45859</v>
          </cell>
          <cell r="S575">
            <v>228001</v>
          </cell>
        </row>
        <row r="576">
          <cell r="K576" t="str">
            <v>228001</v>
          </cell>
          <cell r="M576">
            <v>1</v>
          </cell>
          <cell r="R576">
            <v>45859</v>
          </cell>
          <cell r="S576">
            <v>228001</v>
          </cell>
        </row>
        <row r="577">
          <cell r="K577" t="str">
            <v>209016</v>
          </cell>
          <cell r="M577">
            <v>1</v>
          </cell>
          <cell r="R577">
            <v>45859</v>
          </cell>
          <cell r="S577">
            <v>209016</v>
          </cell>
        </row>
        <row r="578">
          <cell r="K578" t="str">
            <v>206005</v>
          </cell>
          <cell r="M578">
            <v>1</v>
          </cell>
          <cell r="R578">
            <v>45860</v>
          </cell>
          <cell r="S578">
            <v>206005</v>
          </cell>
        </row>
        <row r="579">
          <cell r="K579" t="str">
            <v>201009</v>
          </cell>
          <cell r="M579">
            <v>1</v>
          </cell>
          <cell r="R579">
            <v>45860</v>
          </cell>
          <cell r="S579">
            <v>201009</v>
          </cell>
        </row>
        <row r="580">
          <cell r="K580" t="str">
            <v>227002</v>
          </cell>
          <cell r="M580">
            <v>1</v>
          </cell>
          <cell r="R580">
            <v>45860</v>
          </cell>
          <cell r="S580">
            <v>227002</v>
          </cell>
        </row>
        <row r="581">
          <cell r="K581" t="str">
            <v>201005</v>
          </cell>
          <cell r="M581">
            <v>1</v>
          </cell>
          <cell r="R581">
            <v>45860</v>
          </cell>
          <cell r="S581">
            <v>201005</v>
          </cell>
        </row>
        <row r="582">
          <cell r="K582" t="str">
            <v>220002</v>
          </cell>
          <cell r="M582">
            <v>1</v>
          </cell>
          <cell r="R582">
            <v>45860</v>
          </cell>
          <cell r="S582">
            <v>220002</v>
          </cell>
        </row>
        <row r="583">
          <cell r="K583" t="str">
            <v>201011</v>
          </cell>
          <cell r="M583">
            <v>3</v>
          </cell>
          <cell r="R583">
            <v>45860</v>
          </cell>
          <cell r="S583">
            <v>201011</v>
          </cell>
        </row>
        <row r="584">
          <cell r="K584" t="str">
            <v>209012</v>
          </cell>
          <cell r="M584">
            <v>1</v>
          </cell>
          <cell r="R584">
            <v>45861</v>
          </cell>
          <cell r="S584">
            <v>209012</v>
          </cell>
        </row>
        <row r="585">
          <cell r="K585" t="str">
            <v>226001</v>
          </cell>
          <cell r="M585">
            <v>1</v>
          </cell>
          <cell r="R585">
            <v>45861</v>
          </cell>
          <cell r="S585">
            <v>226001</v>
          </cell>
        </row>
        <row r="586">
          <cell r="K586" t="str">
            <v>226001</v>
          </cell>
          <cell r="M586">
            <v>1</v>
          </cell>
          <cell r="R586">
            <v>45861</v>
          </cell>
          <cell r="S586">
            <v>226001</v>
          </cell>
        </row>
        <row r="587">
          <cell r="K587" t="str">
            <v>222003</v>
          </cell>
          <cell r="M587">
            <v>1</v>
          </cell>
          <cell r="R587">
            <v>45862</v>
          </cell>
          <cell r="S587">
            <v>222003</v>
          </cell>
        </row>
        <row r="588">
          <cell r="K588" t="str">
            <v>228001</v>
          </cell>
          <cell r="M588">
            <v>1</v>
          </cell>
          <cell r="R588">
            <v>45862</v>
          </cell>
          <cell r="S588">
            <v>228001</v>
          </cell>
        </row>
        <row r="589">
          <cell r="K589" t="str">
            <v>213002</v>
          </cell>
          <cell r="M589">
            <v>1</v>
          </cell>
          <cell r="R589">
            <v>45862</v>
          </cell>
          <cell r="S589">
            <v>213002</v>
          </cell>
        </row>
        <row r="590">
          <cell r="K590" t="str">
            <v>209004</v>
          </cell>
          <cell r="M590">
            <v>1</v>
          </cell>
          <cell r="R590">
            <v>45862</v>
          </cell>
          <cell r="S590">
            <v>209004</v>
          </cell>
        </row>
        <row r="591">
          <cell r="K591" t="str">
            <v>201003</v>
          </cell>
          <cell r="M591">
            <v>1</v>
          </cell>
          <cell r="R591">
            <v>45862</v>
          </cell>
          <cell r="S591">
            <v>201003</v>
          </cell>
        </row>
        <row r="592">
          <cell r="K592" t="str">
            <v>226025</v>
          </cell>
          <cell r="M592">
            <v>1</v>
          </cell>
          <cell r="R592">
            <v>45863</v>
          </cell>
          <cell r="S592">
            <v>226025</v>
          </cell>
        </row>
        <row r="593">
          <cell r="K593" t="str">
            <v>220002</v>
          </cell>
          <cell r="M593">
            <v>1</v>
          </cell>
          <cell r="R593">
            <v>45865</v>
          </cell>
          <cell r="S593">
            <v>220002</v>
          </cell>
        </row>
        <row r="594">
          <cell r="K594" t="str">
            <v>223001</v>
          </cell>
          <cell r="M594">
            <v>1</v>
          </cell>
          <cell r="R594">
            <v>45865</v>
          </cell>
          <cell r="S594">
            <v>223001</v>
          </cell>
        </row>
        <row r="595">
          <cell r="K595" t="str">
            <v>226025</v>
          </cell>
          <cell r="M595">
            <v>2</v>
          </cell>
          <cell r="R595">
            <v>45866</v>
          </cell>
          <cell r="S595">
            <v>226025</v>
          </cell>
        </row>
        <row r="596">
          <cell r="K596" t="str">
            <v>223002</v>
          </cell>
          <cell r="M596">
            <v>1</v>
          </cell>
          <cell r="R596">
            <v>45866</v>
          </cell>
          <cell r="S596">
            <v>223002</v>
          </cell>
        </row>
        <row r="597">
          <cell r="K597" t="str">
            <v>231012</v>
          </cell>
          <cell r="M597">
            <v>2</v>
          </cell>
          <cell r="R597">
            <v>45866</v>
          </cell>
          <cell r="S597">
            <v>231012</v>
          </cell>
        </row>
        <row r="598">
          <cell r="K598" t="str">
            <v>220002</v>
          </cell>
          <cell r="M598">
            <v>1</v>
          </cell>
          <cell r="R598">
            <v>45866</v>
          </cell>
          <cell r="S598">
            <v>220002</v>
          </cell>
        </row>
        <row r="599">
          <cell r="K599" t="str">
            <v>203003</v>
          </cell>
          <cell r="M599">
            <v>1</v>
          </cell>
          <cell r="R599">
            <v>45866</v>
          </cell>
          <cell r="S599">
            <v>203003</v>
          </cell>
        </row>
        <row r="600">
          <cell r="K600" t="str">
            <v>217022</v>
          </cell>
          <cell r="M600">
            <v>1</v>
          </cell>
          <cell r="R600">
            <v>45866</v>
          </cell>
          <cell r="S600">
            <v>217022</v>
          </cell>
        </row>
        <row r="601">
          <cell r="K601" t="str">
            <v>212035</v>
          </cell>
          <cell r="M601">
            <v>1</v>
          </cell>
          <cell r="R601">
            <v>45866</v>
          </cell>
          <cell r="S601">
            <v>212035</v>
          </cell>
        </row>
        <row r="602">
          <cell r="K602" t="str">
            <v>229001</v>
          </cell>
          <cell r="M602">
            <v>1</v>
          </cell>
          <cell r="R602">
            <v>45866</v>
          </cell>
          <cell r="S602">
            <v>229001</v>
          </cell>
        </row>
        <row r="603">
          <cell r="K603" t="str">
            <v>220002</v>
          </cell>
          <cell r="M603">
            <v>1</v>
          </cell>
          <cell r="R603">
            <v>45866</v>
          </cell>
          <cell r="S603">
            <v>220002</v>
          </cell>
        </row>
        <row r="604">
          <cell r="K604" t="str">
            <v>226001</v>
          </cell>
          <cell r="M604">
            <v>1</v>
          </cell>
          <cell r="R604">
            <v>45866</v>
          </cell>
          <cell r="S604">
            <v>226001</v>
          </cell>
        </row>
        <row r="605">
          <cell r="K605" t="str">
            <v>240006</v>
          </cell>
          <cell r="M605">
            <v>1</v>
          </cell>
          <cell r="R605">
            <v>45866</v>
          </cell>
          <cell r="S605">
            <v>240006</v>
          </cell>
        </row>
        <row r="606">
          <cell r="K606" t="str">
            <v>201009</v>
          </cell>
          <cell r="M606">
            <v>3</v>
          </cell>
          <cell r="R606">
            <v>45866</v>
          </cell>
          <cell r="S606">
            <v>201009</v>
          </cell>
        </row>
        <row r="607">
          <cell r="K607" t="str">
            <v>226001</v>
          </cell>
          <cell r="M607">
            <v>1</v>
          </cell>
          <cell r="R607">
            <v>45866</v>
          </cell>
          <cell r="S607">
            <v>226001</v>
          </cell>
        </row>
        <row r="608">
          <cell r="K608" t="str">
            <v>226025</v>
          </cell>
          <cell r="M608">
            <v>1</v>
          </cell>
          <cell r="R608">
            <v>45866</v>
          </cell>
          <cell r="S608">
            <v>226025</v>
          </cell>
        </row>
        <row r="609">
          <cell r="K609" t="str">
            <v>220002</v>
          </cell>
          <cell r="M609">
            <v>2</v>
          </cell>
          <cell r="R609">
            <v>45867</v>
          </cell>
          <cell r="S609">
            <v>220002</v>
          </cell>
        </row>
        <row r="610">
          <cell r="K610" t="str">
            <v>223001</v>
          </cell>
          <cell r="M610">
            <v>1</v>
          </cell>
          <cell r="R610">
            <v>45867</v>
          </cell>
          <cell r="S610">
            <v>223001</v>
          </cell>
        </row>
        <row r="611">
          <cell r="K611" t="str">
            <v>226001</v>
          </cell>
          <cell r="M611">
            <v>2</v>
          </cell>
          <cell r="R611">
            <v>45866</v>
          </cell>
          <cell r="S611">
            <v>226001</v>
          </cell>
        </row>
        <row r="612">
          <cell r="K612" t="str">
            <v>220002</v>
          </cell>
          <cell r="M612">
            <v>1</v>
          </cell>
          <cell r="R612">
            <v>45867</v>
          </cell>
          <cell r="S612">
            <v>220002</v>
          </cell>
        </row>
        <row r="613">
          <cell r="K613" t="str">
            <v>220002</v>
          </cell>
          <cell r="M613">
            <v>1</v>
          </cell>
          <cell r="R613">
            <v>45867</v>
          </cell>
          <cell r="S613">
            <v>220002</v>
          </cell>
        </row>
        <row r="614">
          <cell r="K614" t="str">
            <v>220002</v>
          </cell>
          <cell r="M614">
            <v>3</v>
          </cell>
          <cell r="R614">
            <v>45867</v>
          </cell>
          <cell r="S614">
            <v>220002</v>
          </cell>
        </row>
        <row r="615">
          <cell r="K615" t="str">
            <v>226001</v>
          </cell>
          <cell r="M615">
            <v>2</v>
          </cell>
          <cell r="R615">
            <v>45868</v>
          </cell>
          <cell r="S615">
            <v>226001</v>
          </cell>
        </row>
        <row r="616">
          <cell r="K616" t="str">
            <v>227002</v>
          </cell>
          <cell r="M616">
            <v>1</v>
          </cell>
          <cell r="R616">
            <v>45868</v>
          </cell>
          <cell r="S616">
            <v>227002</v>
          </cell>
        </row>
        <row r="617">
          <cell r="K617" t="str">
            <v>220002</v>
          </cell>
          <cell r="M617">
            <v>1</v>
          </cell>
          <cell r="R617">
            <v>45869</v>
          </cell>
          <cell r="S617">
            <v>220002</v>
          </cell>
        </row>
        <row r="618">
          <cell r="K618" t="str">
            <v>226025</v>
          </cell>
          <cell r="M618">
            <v>1</v>
          </cell>
          <cell r="R618">
            <v>45869</v>
          </cell>
          <cell r="S618">
            <v>226025</v>
          </cell>
        </row>
        <row r="619">
          <cell r="K619" t="str">
            <v>227002</v>
          </cell>
          <cell r="M619">
            <v>1</v>
          </cell>
          <cell r="R619">
            <v>45869</v>
          </cell>
          <cell r="S619">
            <v>227002</v>
          </cell>
        </row>
        <row r="620">
          <cell r="K620" t="str">
            <v>229003</v>
          </cell>
          <cell r="M620">
            <v>1</v>
          </cell>
          <cell r="R620">
            <v>45870</v>
          </cell>
          <cell r="S620">
            <v>229003</v>
          </cell>
        </row>
        <row r="621">
          <cell r="K621" t="str">
            <v>220002</v>
          </cell>
          <cell r="M621">
            <v>1</v>
          </cell>
          <cell r="R621">
            <v>45870</v>
          </cell>
          <cell r="S621">
            <v>220002</v>
          </cell>
        </row>
        <row r="622">
          <cell r="K622" t="str">
            <v>220002</v>
          </cell>
          <cell r="M622">
            <v>1</v>
          </cell>
          <cell r="R622">
            <v>45873</v>
          </cell>
          <cell r="S622">
            <v>220002</v>
          </cell>
        </row>
        <row r="623">
          <cell r="K623" t="str">
            <v>227014</v>
          </cell>
          <cell r="M623">
            <v>1</v>
          </cell>
          <cell r="R623">
            <v>45873</v>
          </cell>
          <cell r="S623">
            <v>227014</v>
          </cell>
        </row>
        <row r="624">
          <cell r="K624" t="str">
            <v>217022</v>
          </cell>
          <cell r="M624">
            <v>1</v>
          </cell>
          <cell r="R624">
            <v>45873</v>
          </cell>
          <cell r="S624">
            <v>217022</v>
          </cell>
        </row>
        <row r="625">
          <cell r="K625" t="str">
            <v>226023</v>
          </cell>
          <cell r="M625">
            <v>1</v>
          </cell>
          <cell r="R625">
            <v>45873</v>
          </cell>
          <cell r="S625">
            <v>226023</v>
          </cell>
        </row>
        <row r="626">
          <cell r="K626" t="str">
            <v>227014</v>
          </cell>
          <cell r="M626">
            <v>1</v>
          </cell>
          <cell r="R626">
            <v>45873</v>
          </cell>
          <cell r="S626">
            <v>227014</v>
          </cell>
        </row>
        <row r="627">
          <cell r="K627" t="str">
            <v>231010</v>
          </cell>
          <cell r="M627">
            <v>1</v>
          </cell>
          <cell r="R627">
            <v>45873</v>
          </cell>
          <cell r="S627">
            <v>231010</v>
          </cell>
        </row>
        <row r="628">
          <cell r="K628" t="str">
            <v>228001</v>
          </cell>
          <cell r="M628">
            <v>1</v>
          </cell>
          <cell r="R628">
            <v>45873</v>
          </cell>
          <cell r="S628">
            <v>228001</v>
          </cell>
        </row>
        <row r="629">
          <cell r="K629" t="str">
            <v>209016</v>
          </cell>
          <cell r="M629">
            <v>1</v>
          </cell>
          <cell r="R629">
            <v>45873</v>
          </cell>
          <cell r="S629">
            <v>209016</v>
          </cell>
        </row>
        <row r="630">
          <cell r="K630" t="str">
            <v>220002</v>
          </cell>
          <cell r="M630">
            <v>1</v>
          </cell>
          <cell r="R630">
            <v>45873</v>
          </cell>
          <cell r="S630">
            <v>220002</v>
          </cell>
        </row>
        <row r="631">
          <cell r="K631" t="str">
            <v>220002</v>
          </cell>
          <cell r="M631">
            <v>1</v>
          </cell>
          <cell r="R631">
            <v>45873</v>
          </cell>
          <cell r="S631">
            <v>220002</v>
          </cell>
        </row>
        <row r="632">
          <cell r="K632" t="str">
            <v>217022</v>
          </cell>
          <cell r="M632">
            <v>1</v>
          </cell>
          <cell r="R632">
            <v>45873</v>
          </cell>
          <cell r="S632">
            <v>217022</v>
          </cell>
        </row>
        <row r="633">
          <cell r="K633" t="str">
            <v>217022</v>
          </cell>
          <cell r="M633">
            <v>1</v>
          </cell>
          <cell r="R633">
            <v>45873</v>
          </cell>
          <cell r="S633">
            <v>217022</v>
          </cell>
        </row>
        <row r="634">
          <cell r="K634" t="str">
            <v>220002</v>
          </cell>
          <cell r="M634">
            <v>1</v>
          </cell>
          <cell r="R634">
            <v>45873</v>
          </cell>
          <cell r="S634">
            <v>220002</v>
          </cell>
        </row>
        <row r="635">
          <cell r="K635" t="str">
            <v>226001</v>
          </cell>
          <cell r="M635">
            <v>1</v>
          </cell>
          <cell r="R635">
            <v>45873</v>
          </cell>
          <cell r="S635">
            <v>226001</v>
          </cell>
        </row>
        <row r="636">
          <cell r="K636" t="str">
            <v>220002</v>
          </cell>
          <cell r="M636">
            <v>1</v>
          </cell>
          <cell r="R636">
            <v>45874</v>
          </cell>
          <cell r="S636">
            <v>220002</v>
          </cell>
        </row>
        <row r="637">
          <cell r="K637" t="str">
            <v>213003</v>
          </cell>
          <cell r="M637">
            <v>1</v>
          </cell>
          <cell r="R637">
            <v>45872</v>
          </cell>
          <cell r="S637">
            <v>213003</v>
          </cell>
        </row>
        <row r="638">
          <cell r="K638" t="str">
            <v>222001</v>
          </cell>
          <cell r="M638">
            <v>1</v>
          </cell>
          <cell r="R638">
            <v>45872</v>
          </cell>
          <cell r="S638">
            <v>222001</v>
          </cell>
        </row>
        <row r="639">
          <cell r="K639" t="str">
            <v>223001</v>
          </cell>
          <cell r="M639">
            <v>1</v>
          </cell>
          <cell r="R639">
            <v>45874</v>
          </cell>
          <cell r="S639">
            <v>223001</v>
          </cell>
        </row>
        <row r="640">
          <cell r="K640" t="str">
            <v>220002</v>
          </cell>
          <cell r="M640">
            <v>1</v>
          </cell>
          <cell r="R640">
            <v>45874</v>
          </cell>
          <cell r="S640">
            <v>220002</v>
          </cell>
        </row>
        <row r="641">
          <cell r="K641" t="str">
            <v>201003</v>
          </cell>
          <cell r="M641">
            <v>1</v>
          </cell>
          <cell r="R641">
            <v>45874</v>
          </cell>
          <cell r="S641">
            <v>201003</v>
          </cell>
        </row>
        <row r="642">
          <cell r="K642" t="str">
            <v>201004</v>
          </cell>
          <cell r="M642">
            <v>1</v>
          </cell>
          <cell r="R642">
            <v>45874</v>
          </cell>
          <cell r="S642">
            <v>201004</v>
          </cell>
        </row>
        <row r="643">
          <cell r="K643" t="str">
            <v>220002</v>
          </cell>
          <cell r="M643">
            <v>1</v>
          </cell>
          <cell r="R643">
            <v>45874</v>
          </cell>
          <cell r="S643">
            <v>220002</v>
          </cell>
        </row>
        <row r="644">
          <cell r="K644" t="str">
            <v>212035</v>
          </cell>
          <cell r="M644">
            <v>1</v>
          </cell>
          <cell r="R644">
            <v>45875</v>
          </cell>
          <cell r="S644">
            <v>212035</v>
          </cell>
        </row>
        <row r="645">
          <cell r="K645" t="str">
            <v>226025</v>
          </cell>
          <cell r="M645">
            <v>3</v>
          </cell>
          <cell r="R645">
            <v>45875</v>
          </cell>
          <cell r="S645">
            <v>226025</v>
          </cell>
        </row>
        <row r="646">
          <cell r="K646" t="str">
            <v>226001</v>
          </cell>
          <cell r="M646">
            <v>3</v>
          </cell>
          <cell r="R646">
            <v>45875</v>
          </cell>
          <cell r="S646">
            <v>226001</v>
          </cell>
        </row>
        <row r="647">
          <cell r="K647" t="str">
            <v>226001</v>
          </cell>
          <cell r="M647">
            <v>1</v>
          </cell>
          <cell r="R647">
            <v>45875</v>
          </cell>
          <cell r="S647">
            <v>226001</v>
          </cell>
        </row>
        <row r="648">
          <cell r="K648" t="str">
            <v>226025</v>
          </cell>
          <cell r="M648">
            <v>2</v>
          </cell>
          <cell r="R648">
            <v>45875</v>
          </cell>
          <cell r="S648">
            <v>226025</v>
          </cell>
        </row>
        <row r="649">
          <cell r="K649" t="str">
            <v>227002</v>
          </cell>
          <cell r="M649">
            <v>1</v>
          </cell>
          <cell r="R649">
            <v>45875</v>
          </cell>
          <cell r="S649">
            <v>227002</v>
          </cell>
        </row>
        <row r="650">
          <cell r="K650" t="str">
            <v>226004</v>
          </cell>
          <cell r="M650">
            <v>1</v>
          </cell>
          <cell r="R650">
            <v>45876</v>
          </cell>
          <cell r="S650">
            <v>226004</v>
          </cell>
        </row>
        <row r="651">
          <cell r="K651" t="str">
            <v>201004</v>
          </cell>
          <cell r="M651">
            <v>1</v>
          </cell>
          <cell r="R651">
            <v>45876</v>
          </cell>
          <cell r="S651">
            <v>201004</v>
          </cell>
        </row>
        <row r="652">
          <cell r="K652" t="str">
            <v>201003</v>
          </cell>
          <cell r="M652">
            <v>4</v>
          </cell>
          <cell r="R652">
            <v>45876</v>
          </cell>
          <cell r="S652">
            <v>201003</v>
          </cell>
        </row>
        <row r="653">
          <cell r="K653" t="str">
            <v>212035</v>
          </cell>
          <cell r="M653">
            <v>1</v>
          </cell>
          <cell r="R653">
            <v>45876</v>
          </cell>
          <cell r="S653">
            <v>212035</v>
          </cell>
        </row>
        <row r="654">
          <cell r="K654" t="str">
            <v>212035</v>
          </cell>
          <cell r="M654">
            <v>1</v>
          </cell>
          <cell r="R654">
            <v>45876</v>
          </cell>
          <cell r="S654">
            <v>212035</v>
          </cell>
        </row>
        <row r="655">
          <cell r="K655" t="str">
            <v>231010</v>
          </cell>
          <cell r="M655">
            <v>1</v>
          </cell>
          <cell r="R655">
            <v>45876</v>
          </cell>
          <cell r="S655">
            <v>231010</v>
          </cell>
        </row>
        <row r="656">
          <cell r="K656" t="str">
            <v>226001</v>
          </cell>
          <cell r="M656">
            <v>1</v>
          </cell>
          <cell r="R656">
            <v>45876</v>
          </cell>
          <cell r="S656">
            <v>226001</v>
          </cell>
        </row>
        <row r="657">
          <cell r="K657" t="str">
            <v>226001</v>
          </cell>
          <cell r="M657">
            <v>1</v>
          </cell>
          <cell r="R657">
            <v>45877</v>
          </cell>
          <cell r="S657">
            <v>226001</v>
          </cell>
        </row>
        <row r="658">
          <cell r="K658" t="str">
            <v>207002</v>
          </cell>
          <cell r="M658">
            <v>1</v>
          </cell>
          <cell r="R658">
            <v>45877</v>
          </cell>
          <cell r="S658">
            <v>207002</v>
          </cell>
        </row>
        <row r="659">
          <cell r="K659" t="str">
            <v>229003</v>
          </cell>
          <cell r="M659">
            <v>1</v>
          </cell>
          <cell r="R659">
            <v>45877</v>
          </cell>
          <cell r="S659">
            <v>229003</v>
          </cell>
        </row>
        <row r="660">
          <cell r="K660" t="str">
            <v>209017</v>
          </cell>
          <cell r="M660">
            <v>1</v>
          </cell>
          <cell r="R660">
            <v>45877</v>
          </cell>
          <cell r="S660">
            <v>209017</v>
          </cell>
        </row>
        <row r="661">
          <cell r="K661" t="str">
            <v>227001</v>
          </cell>
          <cell r="M661">
            <v>1</v>
          </cell>
          <cell r="R661">
            <v>45877</v>
          </cell>
          <cell r="S661">
            <v>227001</v>
          </cell>
        </row>
        <row r="662">
          <cell r="K662" t="str">
            <v>225001</v>
          </cell>
          <cell r="M662">
            <v>1</v>
          </cell>
          <cell r="R662">
            <v>45877</v>
          </cell>
          <cell r="S662">
            <v>225001</v>
          </cell>
        </row>
        <row r="663">
          <cell r="K663" t="str">
            <v>227014</v>
          </cell>
          <cell r="M663">
            <v>1</v>
          </cell>
          <cell r="R663">
            <v>45877</v>
          </cell>
          <cell r="S663">
            <v>227014</v>
          </cell>
        </row>
        <row r="664">
          <cell r="K664" t="str">
            <v>220002</v>
          </cell>
          <cell r="M664">
            <v>1</v>
          </cell>
          <cell r="R664">
            <v>45880</v>
          </cell>
          <cell r="S664">
            <v>220002</v>
          </cell>
        </row>
        <row r="665">
          <cell r="K665" t="str">
            <v>226001</v>
          </cell>
          <cell r="M665">
            <v>1</v>
          </cell>
          <cell r="R665">
            <v>45880</v>
          </cell>
          <cell r="S665">
            <v>226001</v>
          </cell>
        </row>
        <row r="666">
          <cell r="K666" t="str">
            <v>220002</v>
          </cell>
          <cell r="M666">
            <v>1</v>
          </cell>
          <cell r="R666">
            <v>45880</v>
          </cell>
          <cell r="S666">
            <v>220002</v>
          </cell>
        </row>
        <row r="667">
          <cell r="K667" t="str">
            <v>226025</v>
          </cell>
          <cell r="M667">
            <v>3</v>
          </cell>
          <cell r="R667">
            <v>45880</v>
          </cell>
          <cell r="S667">
            <v>226025</v>
          </cell>
        </row>
        <row r="668">
          <cell r="K668" t="str">
            <v>223001</v>
          </cell>
          <cell r="M668">
            <v>1</v>
          </cell>
          <cell r="R668">
            <v>45880</v>
          </cell>
          <cell r="S668">
            <v>223001</v>
          </cell>
        </row>
        <row r="669">
          <cell r="K669" t="str">
            <v>220002</v>
          </cell>
          <cell r="M669">
            <v>1</v>
          </cell>
          <cell r="R669">
            <v>45880</v>
          </cell>
          <cell r="S669">
            <v>220002</v>
          </cell>
        </row>
        <row r="670">
          <cell r="K670" t="str">
            <v>217018</v>
          </cell>
          <cell r="M670">
            <v>7</v>
          </cell>
          <cell r="R670">
            <v>45880</v>
          </cell>
          <cell r="S670">
            <v>217018</v>
          </cell>
        </row>
        <row r="671">
          <cell r="K671" t="str">
            <v>226024</v>
          </cell>
          <cell r="M671">
            <v>1</v>
          </cell>
          <cell r="R671">
            <v>45880</v>
          </cell>
          <cell r="S671">
            <v>226024</v>
          </cell>
        </row>
        <row r="672">
          <cell r="K672" t="str">
            <v>220002</v>
          </cell>
          <cell r="M672">
            <v>1</v>
          </cell>
          <cell r="R672">
            <v>45881</v>
          </cell>
          <cell r="S672">
            <v>220002</v>
          </cell>
        </row>
        <row r="673">
          <cell r="K673" t="str">
            <v>220002</v>
          </cell>
          <cell r="M673">
            <v>2</v>
          </cell>
          <cell r="R673">
            <v>45881</v>
          </cell>
          <cell r="S673">
            <v>220002</v>
          </cell>
        </row>
        <row r="674">
          <cell r="K674" t="str">
            <v>220002</v>
          </cell>
          <cell r="M674">
            <v>1</v>
          </cell>
          <cell r="R674">
            <v>45882</v>
          </cell>
          <cell r="S674">
            <v>220002</v>
          </cell>
        </row>
        <row r="675">
          <cell r="K675" t="str">
            <v>226025</v>
          </cell>
          <cell r="M675">
            <v>1</v>
          </cell>
          <cell r="R675">
            <v>45882</v>
          </cell>
          <cell r="S675">
            <v>226025</v>
          </cell>
        </row>
        <row r="676">
          <cell r="K676" t="str">
            <v>201003</v>
          </cell>
          <cell r="M676">
            <v>1</v>
          </cell>
          <cell r="R676">
            <v>45882</v>
          </cell>
          <cell r="S676">
            <v>201003</v>
          </cell>
        </row>
        <row r="677">
          <cell r="K677" t="str">
            <v>226001</v>
          </cell>
          <cell r="M677">
            <v>2</v>
          </cell>
          <cell r="R677">
            <v>45882</v>
          </cell>
          <cell r="S677">
            <v>226001</v>
          </cell>
        </row>
        <row r="678">
          <cell r="K678" t="str">
            <v>207002</v>
          </cell>
          <cell r="M678">
            <v>3</v>
          </cell>
          <cell r="R678">
            <v>45882</v>
          </cell>
          <cell r="S678">
            <v>207002</v>
          </cell>
        </row>
        <row r="679">
          <cell r="K679" t="str">
            <v>210002</v>
          </cell>
          <cell r="M679">
            <v>1</v>
          </cell>
          <cell r="R679">
            <v>45883</v>
          </cell>
          <cell r="S679">
            <v>210002</v>
          </cell>
        </row>
        <row r="680">
          <cell r="K680" t="str">
            <v>226001</v>
          </cell>
          <cell r="M680">
            <v>2</v>
          </cell>
          <cell r="R680">
            <v>45884</v>
          </cell>
          <cell r="S680">
            <v>226001</v>
          </cell>
        </row>
        <row r="681">
          <cell r="K681" t="str">
            <v>226023</v>
          </cell>
          <cell r="M681">
            <v>2</v>
          </cell>
          <cell r="R681">
            <v>45887</v>
          </cell>
          <cell r="S681">
            <v>226023</v>
          </cell>
        </row>
        <row r="682">
          <cell r="K682" t="str">
            <v>226022</v>
          </cell>
          <cell r="M682">
            <v>1</v>
          </cell>
          <cell r="R682">
            <v>45887</v>
          </cell>
          <cell r="S682">
            <v>226022</v>
          </cell>
        </row>
        <row r="683">
          <cell r="K683" t="str">
            <v>226023</v>
          </cell>
          <cell r="M683">
            <v>1</v>
          </cell>
          <cell r="R683">
            <v>45887</v>
          </cell>
          <cell r="S683">
            <v>226023</v>
          </cell>
        </row>
        <row r="684">
          <cell r="K684" t="str">
            <v>226022</v>
          </cell>
          <cell r="M684">
            <v>1</v>
          </cell>
          <cell r="R684">
            <v>45887</v>
          </cell>
          <cell r="S684">
            <v>226022</v>
          </cell>
        </row>
        <row r="685">
          <cell r="K685" t="str">
            <v>226028</v>
          </cell>
          <cell r="M685">
            <v>1</v>
          </cell>
          <cell r="R685">
            <v>45887</v>
          </cell>
          <cell r="S685">
            <v>226028</v>
          </cell>
        </row>
        <row r="686">
          <cell r="K686" t="str">
            <v>201003</v>
          </cell>
          <cell r="M686">
            <v>1</v>
          </cell>
          <cell r="R686">
            <v>45887</v>
          </cell>
          <cell r="S686">
            <v>201003</v>
          </cell>
        </row>
        <row r="687">
          <cell r="K687" t="str">
            <v>226027</v>
          </cell>
          <cell r="M687">
            <v>1</v>
          </cell>
          <cell r="R687">
            <v>45887</v>
          </cell>
          <cell r="S687">
            <v>226027</v>
          </cell>
        </row>
        <row r="688">
          <cell r="K688" t="str">
            <v>223002</v>
          </cell>
          <cell r="M688">
            <v>2</v>
          </cell>
          <cell r="R688">
            <v>45887</v>
          </cell>
          <cell r="S688">
            <v>223002</v>
          </cell>
        </row>
        <row r="689">
          <cell r="K689" t="str">
            <v>217011</v>
          </cell>
          <cell r="M689">
            <v>10</v>
          </cell>
          <cell r="R689">
            <v>45887</v>
          </cell>
          <cell r="S689">
            <v>217011</v>
          </cell>
        </row>
        <row r="690">
          <cell r="K690" t="str">
            <v>226004</v>
          </cell>
          <cell r="M690">
            <v>1</v>
          </cell>
          <cell r="R690">
            <v>45887</v>
          </cell>
          <cell r="S690">
            <v>226004</v>
          </cell>
        </row>
        <row r="691">
          <cell r="K691" t="str">
            <v>226028</v>
          </cell>
          <cell r="M691">
            <v>1</v>
          </cell>
          <cell r="R691">
            <v>45887</v>
          </cell>
          <cell r="S691">
            <v>226028</v>
          </cell>
        </row>
        <row r="692">
          <cell r="K692" t="str">
            <v>201002</v>
          </cell>
          <cell r="M692">
            <v>5</v>
          </cell>
          <cell r="R692">
            <v>45887</v>
          </cell>
          <cell r="S692">
            <v>201002</v>
          </cell>
        </row>
        <row r="693">
          <cell r="K693" t="str">
            <v>220002</v>
          </cell>
          <cell r="M693">
            <v>2</v>
          </cell>
          <cell r="R693">
            <v>45887</v>
          </cell>
          <cell r="S693">
            <v>220002</v>
          </cell>
        </row>
        <row r="694">
          <cell r="K694" t="str">
            <v>226027</v>
          </cell>
          <cell r="M694">
            <v>1</v>
          </cell>
          <cell r="R694">
            <v>45887</v>
          </cell>
          <cell r="S694">
            <v>226027</v>
          </cell>
        </row>
        <row r="695">
          <cell r="K695" t="str">
            <v>218001</v>
          </cell>
          <cell r="M695">
            <v>1</v>
          </cell>
          <cell r="R695">
            <v>45887</v>
          </cell>
          <cell r="S695">
            <v>218001</v>
          </cell>
        </row>
        <row r="696">
          <cell r="K696" t="str">
            <v>220002</v>
          </cell>
          <cell r="M696">
            <v>1</v>
          </cell>
          <cell r="R696">
            <v>45888</v>
          </cell>
          <cell r="S696">
            <v>220002</v>
          </cell>
        </row>
        <row r="697">
          <cell r="K697" t="str">
            <v>220002</v>
          </cell>
          <cell r="M697">
            <v>1</v>
          </cell>
          <cell r="R697">
            <v>45888</v>
          </cell>
          <cell r="S697">
            <v>220002</v>
          </cell>
        </row>
        <row r="698">
          <cell r="K698" t="str">
            <v>212035</v>
          </cell>
          <cell r="M698">
            <v>1</v>
          </cell>
          <cell r="R698">
            <v>45888</v>
          </cell>
          <cell r="S698">
            <v>212035</v>
          </cell>
        </row>
        <row r="699">
          <cell r="K699" t="str">
            <v>220002</v>
          </cell>
          <cell r="M699">
            <v>1</v>
          </cell>
          <cell r="R699">
            <v>45888</v>
          </cell>
          <cell r="S699">
            <v>220002</v>
          </cell>
        </row>
        <row r="700">
          <cell r="K700" t="str">
            <v>201003</v>
          </cell>
          <cell r="M700">
            <v>1</v>
          </cell>
          <cell r="R700">
            <v>45888</v>
          </cell>
          <cell r="S700">
            <v>201003</v>
          </cell>
        </row>
        <row r="701">
          <cell r="K701" t="str">
            <v>226001</v>
          </cell>
          <cell r="M701">
            <v>1</v>
          </cell>
          <cell r="R701">
            <v>45887</v>
          </cell>
          <cell r="S701">
            <v>226001</v>
          </cell>
        </row>
        <row r="702">
          <cell r="K702" t="str">
            <v>213003</v>
          </cell>
          <cell r="M702">
            <v>1</v>
          </cell>
          <cell r="R702">
            <v>45887</v>
          </cell>
          <cell r="S702">
            <v>213003</v>
          </cell>
        </row>
        <row r="703">
          <cell r="K703" t="str">
            <v>201003</v>
          </cell>
          <cell r="M703">
            <v>2</v>
          </cell>
          <cell r="R703">
            <v>45888</v>
          </cell>
          <cell r="S703">
            <v>201003</v>
          </cell>
        </row>
        <row r="704">
          <cell r="K704" t="str">
            <v>240005</v>
          </cell>
          <cell r="M704">
            <v>1</v>
          </cell>
          <cell r="R704">
            <v>45888</v>
          </cell>
          <cell r="S704">
            <v>240005</v>
          </cell>
        </row>
        <row r="705">
          <cell r="K705" t="str">
            <v>228001</v>
          </cell>
          <cell r="M705">
            <v>1</v>
          </cell>
          <cell r="R705">
            <v>45888</v>
          </cell>
          <cell r="S705">
            <v>228001</v>
          </cell>
        </row>
        <row r="706">
          <cell r="K706" t="str">
            <v>220002</v>
          </cell>
          <cell r="M706">
            <v>1</v>
          </cell>
          <cell r="R706">
            <v>45888</v>
          </cell>
          <cell r="S706">
            <v>220002</v>
          </cell>
        </row>
        <row r="707">
          <cell r="K707" t="str">
            <v>231010</v>
          </cell>
          <cell r="M707">
            <v>1</v>
          </cell>
          <cell r="R707">
            <v>45888</v>
          </cell>
          <cell r="S707">
            <v>231010</v>
          </cell>
        </row>
        <row r="708">
          <cell r="K708" t="str">
            <v>231012</v>
          </cell>
          <cell r="M708">
            <v>2</v>
          </cell>
          <cell r="R708">
            <v>45888</v>
          </cell>
          <cell r="S708">
            <v>231012</v>
          </cell>
        </row>
        <row r="709">
          <cell r="K709" t="str">
            <v>203003</v>
          </cell>
          <cell r="M709">
            <v>1</v>
          </cell>
          <cell r="R709">
            <v>45888</v>
          </cell>
          <cell r="S709">
            <v>203003</v>
          </cell>
        </row>
        <row r="710">
          <cell r="K710" t="str">
            <v>218001</v>
          </cell>
          <cell r="M710">
            <v>1</v>
          </cell>
          <cell r="R710">
            <v>45888</v>
          </cell>
          <cell r="S710">
            <v>218001</v>
          </cell>
        </row>
        <row r="711">
          <cell r="K711" t="str">
            <v>201003</v>
          </cell>
          <cell r="M711">
            <v>1</v>
          </cell>
          <cell r="R711">
            <v>45888</v>
          </cell>
          <cell r="S711">
            <v>201003</v>
          </cell>
        </row>
        <row r="712">
          <cell r="K712" t="str">
            <v>212002</v>
          </cell>
          <cell r="M712">
            <v>1</v>
          </cell>
          <cell r="R712">
            <v>45888</v>
          </cell>
          <cell r="S712">
            <v>212002</v>
          </cell>
        </row>
        <row r="713">
          <cell r="K713" t="str">
            <v>220002</v>
          </cell>
          <cell r="M713">
            <v>2</v>
          </cell>
          <cell r="R713">
            <v>45889</v>
          </cell>
          <cell r="S713">
            <v>220002</v>
          </cell>
        </row>
        <row r="714">
          <cell r="K714" t="str">
            <v>228001</v>
          </cell>
          <cell r="M714">
            <v>1</v>
          </cell>
          <cell r="R714">
            <v>45889</v>
          </cell>
          <cell r="S714">
            <v>228001</v>
          </cell>
        </row>
        <row r="715">
          <cell r="K715" t="str">
            <v>226001</v>
          </cell>
          <cell r="M715">
            <v>1</v>
          </cell>
          <cell r="R715">
            <v>45889</v>
          </cell>
          <cell r="S715">
            <v>226001</v>
          </cell>
        </row>
        <row r="716">
          <cell r="K716" t="str">
            <v>226025</v>
          </cell>
          <cell r="M716">
            <v>2</v>
          </cell>
          <cell r="R716">
            <v>45889</v>
          </cell>
          <cell r="S716">
            <v>226025</v>
          </cell>
        </row>
        <row r="717">
          <cell r="K717" t="str">
            <v>226001</v>
          </cell>
          <cell r="M717">
            <v>1</v>
          </cell>
          <cell r="R717">
            <v>45889</v>
          </cell>
          <cell r="S717">
            <v>226001</v>
          </cell>
        </row>
        <row r="718">
          <cell r="K718" t="str">
            <v>213018</v>
          </cell>
          <cell r="M718">
            <v>1</v>
          </cell>
          <cell r="R718">
            <v>45889</v>
          </cell>
          <cell r="S718">
            <v>213018</v>
          </cell>
        </row>
        <row r="719">
          <cell r="K719" t="str">
            <v>207002</v>
          </cell>
          <cell r="M719">
            <v>2</v>
          </cell>
          <cell r="R719">
            <v>45889</v>
          </cell>
          <cell r="S719">
            <v>207002</v>
          </cell>
        </row>
        <row r="720">
          <cell r="K720" t="str">
            <v>217018</v>
          </cell>
          <cell r="M720">
            <v>5</v>
          </cell>
          <cell r="R720">
            <v>45890</v>
          </cell>
          <cell r="S720">
            <v>217018</v>
          </cell>
        </row>
        <row r="721">
          <cell r="K721" t="str">
            <v>226025</v>
          </cell>
          <cell r="M721">
            <v>2</v>
          </cell>
          <cell r="R721">
            <v>45890</v>
          </cell>
          <cell r="S721">
            <v>226025</v>
          </cell>
        </row>
        <row r="722">
          <cell r="K722" t="str">
            <v>201003</v>
          </cell>
          <cell r="M722">
            <v>1</v>
          </cell>
          <cell r="R722">
            <v>45890</v>
          </cell>
          <cell r="S722">
            <v>201003</v>
          </cell>
        </row>
        <row r="723">
          <cell r="K723" t="str">
            <v>227002</v>
          </cell>
          <cell r="M723">
            <v>1</v>
          </cell>
          <cell r="R723">
            <v>45890</v>
          </cell>
          <cell r="S723">
            <v>227002</v>
          </cell>
        </row>
        <row r="724">
          <cell r="K724" t="str">
            <v>203001</v>
          </cell>
          <cell r="M724">
            <v>1</v>
          </cell>
          <cell r="R724">
            <v>45891</v>
          </cell>
          <cell r="S724">
            <v>203001</v>
          </cell>
        </row>
        <row r="725">
          <cell r="K725" t="str">
            <v>231012</v>
          </cell>
          <cell r="M725">
            <v>1</v>
          </cell>
          <cell r="R725">
            <v>45894</v>
          </cell>
          <cell r="S725">
            <v>231012</v>
          </cell>
        </row>
        <row r="726">
          <cell r="K726" t="str">
            <v>226004</v>
          </cell>
          <cell r="M726">
            <v>1</v>
          </cell>
          <cell r="R726">
            <v>45894</v>
          </cell>
          <cell r="S726">
            <v>226004</v>
          </cell>
        </row>
        <row r="727">
          <cell r="K727" t="str">
            <v>218001</v>
          </cell>
          <cell r="M727">
            <v>1</v>
          </cell>
          <cell r="R727">
            <v>45894</v>
          </cell>
          <cell r="S727">
            <v>218001</v>
          </cell>
        </row>
        <row r="728">
          <cell r="K728" t="str">
            <v>203004</v>
          </cell>
          <cell r="M728">
            <v>1</v>
          </cell>
          <cell r="R728">
            <v>45894</v>
          </cell>
          <cell r="S728">
            <v>203004</v>
          </cell>
        </row>
        <row r="729">
          <cell r="K729" t="str">
            <v>229001</v>
          </cell>
          <cell r="M729">
            <v>3</v>
          </cell>
          <cell r="R729">
            <v>45894</v>
          </cell>
          <cell r="S729">
            <v>229001</v>
          </cell>
        </row>
        <row r="730">
          <cell r="K730" t="str">
            <v>212035</v>
          </cell>
          <cell r="M730">
            <v>1</v>
          </cell>
          <cell r="R730">
            <v>45894</v>
          </cell>
          <cell r="S730">
            <v>212035</v>
          </cell>
        </row>
        <row r="731">
          <cell r="K731" t="str">
            <v>228001</v>
          </cell>
          <cell r="M731">
            <v>1</v>
          </cell>
          <cell r="R731">
            <v>45894</v>
          </cell>
          <cell r="S731">
            <v>228001</v>
          </cell>
        </row>
        <row r="732">
          <cell r="K732" t="str">
            <v>201021</v>
          </cell>
          <cell r="M732">
            <v>1</v>
          </cell>
          <cell r="R732">
            <v>45894</v>
          </cell>
          <cell r="S732">
            <v>201021</v>
          </cell>
        </row>
        <row r="733">
          <cell r="K733" t="str">
            <v>201011</v>
          </cell>
          <cell r="M733">
            <v>1</v>
          </cell>
          <cell r="R733">
            <v>45894</v>
          </cell>
          <cell r="S733">
            <v>201011</v>
          </cell>
        </row>
        <row r="734">
          <cell r="K734" t="str">
            <v>220002</v>
          </cell>
          <cell r="M734">
            <v>1</v>
          </cell>
          <cell r="R734">
            <v>45894</v>
          </cell>
          <cell r="S734">
            <v>220002</v>
          </cell>
        </row>
        <row r="735">
          <cell r="K735" t="str">
            <v>213006</v>
          </cell>
          <cell r="M735">
            <v>1</v>
          </cell>
          <cell r="R735">
            <v>45894</v>
          </cell>
          <cell r="S735">
            <v>213006</v>
          </cell>
        </row>
        <row r="736">
          <cell r="K736" t="str">
            <v>223002</v>
          </cell>
          <cell r="M736">
            <v>1</v>
          </cell>
          <cell r="R736">
            <v>45894</v>
          </cell>
          <cell r="S736">
            <v>223002</v>
          </cell>
        </row>
        <row r="737">
          <cell r="K737" t="str">
            <v>228001</v>
          </cell>
          <cell r="M737">
            <v>1</v>
          </cell>
          <cell r="R737">
            <v>45895</v>
          </cell>
          <cell r="S737">
            <v>228001</v>
          </cell>
        </row>
        <row r="738">
          <cell r="K738" t="str">
            <v>201003</v>
          </cell>
          <cell r="M738">
            <v>1</v>
          </cell>
          <cell r="R738">
            <v>45895</v>
          </cell>
          <cell r="S738">
            <v>201003</v>
          </cell>
        </row>
        <row r="739">
          <cell r="K739" t="str">
            <v>226025</v>
          </cell>
          <cell r="M739">
            <v>3</v>
          </cell>
          <cell r="R739">
            <v>45895</v>
          </cell>
          <cell r="S739">
            <v>226025</v>
          </cell>
        </row>
        <row r="740">
          <cell r="K740" t="str">
            <v>220002</v>
          </cell>
          <cell r="M740">
            <v>2</v>
          </cell>
          <cell r="R740">
            <v>45895</v>
          </cell>
          <cell r="S740">
            <v>220002</v>
          </cell>
        </row>
        <row r="741">
          <cell r="K741" t="str">
            <v>220002</v>
          </cell>
          <cell r="M741">
            <v>2</v>
          </cell>
          <cell r="R741">
            <v>45896</v>
          </cell>
          <cell r="S741">
            <v>220002</v>
          </cell>
        </row>
        <row r="742">
          <cell r="K742" t="str">
            <v>220002</v>
          </cell>
          <cell r="M742">
            <v>1</v>
          </cell>
          <cell r="R742">
            <v>45896</v>
          </cell>
          <cell r="S742">
            <v>220002</v>
          </cell>
        </row>
        <row r="743">
          <cell r="K743" t="str">
            <v>217022</v>
          </cell>
          <cell r="M743">
            <v>1</v>
          </cell>
          <cell r="R743">
            <v>45896</v>
          </cell>
          <cell r="S743">
            <v>217022</v>
          </cell>
        </row>
        <row r="744">
          <cell r="K744" t="str">
            <v>220002</v>
          </cell>
          <cell r="M744">
            <v>1</v>
          </cell>
          <cell r="R744">
            <v>45896</v>
          </cell>
          <cell r="S744">
            <v>220002</v>
          </cell>
        </row>
        <row r="745">
          <cell r="K745" t="str">
            <v>210013</v>
          </cell>
          <cell r="M745">
            <v>1</v>
          </cell>
          <cell r="R745">
            <v>45896</v>
          </cell>
          <cell r="S745">
            <v>210013</v>
          </cell>
        </row>
        <row r="746">
          <cell r="K746" t="str">
            <v>226001</v>
          </cell>
          <cell r="M746">
            <v>1</v>
          </cell>
          <cell r="R746">
            <v>45896</v>
          </cell>
          <cell r="S746">
            <v>226001</v>
          </cell>
        </row>
        <row r="747">
          <cell r="K747" t="str">
            <v>201009</v>
          </cell>
          <cell r="M747">
            <v>1</v>
          </cell>
          <cell r="R747">
            <v>45897</v>
          </cell>
          <cell r="S747">
            <v>201009</v>
          </cell>
        </row>
        <row r="748">
          <cell r="K748" t="str">
            <v>209004</v>
          </cell>
          <cell r="M748">
            <v>1</v>
          </cell>
          <cell r="R748">
            <v>45897</v>
          </cell>
          <cell r="S748">
            <v>209004</v>
          </cell>
        </row>
        <row r="749">
          <cell r="K749" t="str">
            <v>226004</v>
          </cell>
          <cell r="M749">
            <v>1</v>
          </cell>
          <cell r="R749">
            <v>45897</v>
          </cell>
          <cell r="S749">
            <v>226004</v>
          </cell>
        </row>
        <row r="750">
          <cell r="K750" t="str">
            <v>217011</v>
          </cell>
          <cell r="M750">
            <v>1</v>
          </cell>
          <cell r="R750">
            <v>45897</v>
          </cell>
          <cell r="S750">
            <v>217011</v>
          </cell>
        </row>
        <row r="751">
          <cell r="K751" t="str">
            <v>226001</v>
          </cell>
          <cell r="M751">
            <v>2</v>
          </cell>
          <cell r="R751">
            <v>45897</v>
          </cell>
          <cell r="S751">
            <v>226001</v>
          </cell>
        </row>
        <row r="752">
          <cell r="K752" t="str">
            <v>226001</v>
          </cell>
          <cell r="M752">
            <v>1</v>
          </cell>
          <cell r="R752">
            <v>45897</v>
          </cell>
          <cell r="S752">
            <v>226001</v>
          </cell>
        </row>
        <row r="753">
          <cell r="K753" t="str">
            <v>220002</v>
          </cell>
          <cell r="M753">
            <v>1</v>
          </cell>
          <cell r="R753">
            <v>45898</v>
          </cell>
          <cell r="S753">
            <v>220002</v>
          </cell>
        </row>
        <row r="754">
          <cell r="K754" t="str">
            <v>220002</v>
          </cell>
          <cell r="M754">
            <v>1</v>
          </cell>
          <cell r="R754">
            <v>45898</v>
          </cell>
          <cell r="S754">
            <v>220002</v>
          </cell>
        </row>
        <row r="755">
          <cell r="K755" t="str">
            <v>217011</v>
          </cell>
          <cell r="M755">
            <v>1</v>
          </cell>
          <cell r="R755">
            <v>45898</v>
          </cell>
          <cell r="S755">
            <v>217011</v>
          </cell>
        </row>
        <row r="756">
          <cell r="K756" t="str">
            <v>217011</v>
          </cell>
          <cell r="M756">
            <v>1</v>
          </cell>
          <cell r="R756">
            <v>45898</v>
          </cell>
          <cell r="S756">
            <v>217011</v>
          </cell>
        </row>
        <row r="757">
          <cell r="K757" t="str">
            <v>217011</v>
          </cell>
          <cell r="M757">
            <v>1</v>
          </cell>
          <cell r="R757">
            <v>45901</v>
          </cell>
          <cell r="S757">
            <v>217011</v>
          </cell>
        </row>
        <row r="758">
          <cell r="K758" t="str">
            <v>201003</v>
          </cell>
          <cell r="M758">
            <v>1</v>
          </cell>
          <cell r="R758">
            <v>45901</v>
          </cell>
          <cell r="S758">
            <v>201003</v>
          </cell>
        </row>
        <row r="759">
          <cell r="K759" t="str">
            <v>226001</v>
          </cell>
          <cell r="M759">
            <v>1</v>
          </cell>
          <cell r="R759">
            <v>45901</v>
          </cell>
          <cell r="S759">
            <v>226001</v>
          </cell>
        </row>
        <row r="760">
          <cell r="K760" t="str">
            <v>217011</v>
          </cell>
          <cell r="M760">
            <v>3</v>
          </cell>
          <cell r="R760">
            <v>45901</v>
          </cell>
          <cell r="S760">
            <v>217011</v>
          </cell>
        </row>
        <row r="761">
          <cell r="K761" t="str">
            <v>209002</v>
          </cell>
          <cell r="M761">
            <v>1</v>
          </cell>
          <cell r="R761">
            <v>45901</v>
          </cell>
          <cell r="S761">
            <v>209002</v>
          </cell>
        </row>
        <row r="762">
          <cell r="K762" t="str">
            <v>226001</v>
          </cell>
          <cell r="M762">
            <v>5</v>
          </cell>
          <cell r="R762">
            <v>45901</v>
          </cell>
          <cell r="S762">
            <v>226001</v>
          </cell>
        </row>
        <row r="763">
          <cell r="K763" t="str">
            <v>226001</v>
          </cell>
          <cell r="M763">
            <v>1</v>
          </cell>
          <cell r="R763">
            <v>45902</v>
          </cell>
          <cell r="S763">
            <v>226001</v>
          </cell>
        </row>
        <row r="764">
          <cell r="K764" t="str">
            <v>220002</v>
          </cell>
          <cell r="M764">
            <v>1</v>
          </cell>
          <cell r="R764">
            <v>45902</v>
          </cell>
          <cell r="S764">
            <v>220002</v>
          </cell>
        </row>
        <row r="765">
          <cell r="K765" t="str">
            <v>271002</v>
          </cell>
          <cell r="M765">
            <v>3</v>
          </cell>
          <cell r="R765">
            <v>45902</v>
          </cell>
          <cell r="S765">
            <v>271002</v>
          </cell>
        </row>
        <row r="766">
          <cell r="K766" t="str">
            <v>209017</v>
          </cell>
          <cell r="M766">
            <v>1</v>
          </cell>
          <cell r="R766">
            <v>45902</v>
          </cell>
          <cell r="S766">
            <v>209017</v>
          </cell>
        </row>
        <row r="767">
          <cell r="K767" t="str">
            <v>217011</v>
          </cell>
          <cell r="M767">
            <v>3</v>
          </cell>
          <cell r="R767">
            <v>45902</v>
          </cell>
          <cell r="S767">
            <v>217011</v>
          </cell>
        </row>
        <row r="768">
          <cell r="K768" t="str">
            <v>220002</v>
          </cell>
          <cell r="M768">
            <v>1</v>
          </cell>
          <cell r="R768">
            <v>45903</v>
          </cell>
          <cell r="S768">
            <v>220002</v>
          </cell>
        </row>
        <row r="769">
          <cell r="K769" t="str">
            <v>217011</v>
          </cell>
          <cell r="M769">
            <v>1</v>
          </cell>
          <cell r="R769">
            <v>45903</v>
          </cell>
          <cell r="S769">
            <v>217011</v>
          </cell>
        </row>
        <row r="770">
          <cell r="K770" t="str">
            <v>217011</v>
          </cell>
          <cell r="M770">
            <v>1</v>
          </cell>
          <cell r="R770">
            <v>45903</v>
          </cell>
          <cell r="S770">
            <v>217011</v>
          </cell>
        </row>
        <row r="771">
          <cell r="K771" t="str">
            <v>227010</v>
          </cell>
          <cell r="M771">
            <v>1</v>
          </cell>
          <cell r="R771">
            <v>45903</v>
          </cell>
          <cell r="S771">
            <v>227010</v>
          </cell>
        </row>
        <row r="772">
          <cell r="K772" t="str">
            <v>220002</v>
          </cell>
          <cell r="M772">
            <v>2</v>
          </cell>
          <cell r="R772">
            <v>45903</v>
          </cell>
          <cell r="S772">
            <v>220002</v>
          </cell>
        </row>
        <row r="773">
          <cell r="K773" t="str">
            <v>226025</v>
          </cell>
          <cell r="M773">
            <v>2</v>
          </cell>
          <cell r="R773">
            <v>45903</v>
          </cell>
          <cell r="S773">
            <v>226025</v>
          </cell>
        </row>
        <row r="774">
          <cell r="K774" t="str">
            <v>201004</v>
          </cell>
          <cell r="M774">
            <v>1</v>
          </cell>
          <cell r="R774">
            <v>45903</v>
          </cell>
          <cell r="S774">
            <v>201004</v>
          </cell>
        </row>
        <row r="775">
          <cell r="K775" t="str">
            <v>223001</v>
          </cell>
          <cell r="M775">
            <v>1</v>
          </cell>
          <cell r="R775">
            <v>45903</v>
          </cell>
          <cell r="S775">
            <v>223001</v>
          </cell>
        </row>
        <row r="776">
          <cell r="K776" t="str">
            <v>237001</v>
          </cell>
          <cell r="M776">
            <v>3</v>
          </cell>
          <cell r="R776">
            <v>45903</v>
          </cell>
          <cell r="S776">
            <v>237001</v>
          </cell>
        </row>
        <row r="777">
          <cell r="K777" t="str">
            <v>226001</v>
          </cell>
          <cell r="M777">
            <v>2</v>
          </cell>
          <cell r="R777">
            <v>45903</v>
          </cell>
          <cell r="S777">
            <v>226001</v>
          </cell>
        </row>
        <row r="778">
          <cell r="K778" t="str">
            <v>207002</v>
          </cell>
          <cell r="M778">
            <v>2</v>
          </cell>
          <cell r="R778">
            <v>45903</v>
          </cell>
          <cell r="S778">
            <v>207002</v>
          </cell>
        </row>
        <row r="779">
          <cell r="K779" t="str">
            <v>226025</v>
          </cell>
          <cell r="M779">
            <v>2</v>
          </cell>
          <cell r="R779">
            <v>45903</v>
          </cell>
          <cell r="S779">
            <v>226025</v>
          </cell>
        </row>
        <row r="780">
          <cell r="K780" t="str">
            <v>213006</v>
          </cell>
          <cell r="M780">
            <v>2</v>
          </cell>
          <cell r="R780">
            <v>45904</v>
          </cell>
          <cell r="S780">
            <v>213006</v>
          </cell>
        </row>
        <row r="781">
          <cell r="K781" t="str">
            <v>227014</v>
          </cell>
          <cell r="M781">
            <v>1</v>
          </cell>
          <cell r="R781">
            <v>45904</v>
          </cell>
          <cell r="S781">
            <v>227014</v>
          </cell>
        </row>
        <row r="782">
          <cell r="K782" t="str">
            <v>223002</v>
          </cell>
          <cell r="M782">
            <v>1</v>
          </cell>
          <cell r="R782">
            <v>45904</v>
          </cell>
          <cell r="S782">
            <v>223002</v>
          </cell>
        </row>
        <row r="783">
          <cell r="K783" t="str">
            <v>209016</v>
          </cell>
          <cell r="M783">
            <v>1</v>
          </cell>
          <cell r="R783">
            <v>45904</v>
          </cell>
          <cell r="S783">
            <v>209016</v>
          </cell>
        </row>
        <row r="784">
          <cell r="K784" t="str">
            <v>228001</v>
          </cell>
          <cell r="M784">
            <v>1</v>
          </cell>
          <cell r="R784">
            <v>45904</v>
          </cell>
          <cell r="S784">
            <v>228001</v>
          </cell>
        </row>
        <row r="785">
          <cell r="K785" t="str">
            <v>226001</v>
          </cell>
          <cell r="M785">
            <v>2</v>
          </cell>
          <cell r="R785">
            <v>45904</v>
          </cell>
          <cell r="S785">
            <v>226001</v>
          </cell>
        </row>
        <row r="786">
          <cell r="K786" t="str">
            <v>223001</v>
          </cell>
          <cell r="M786">
            <v>1</v>
          </cell>
          <cell r="R786">
            <v>45904</v>
          </cell>
          <cell r="S786">
            <v>223001</v>
          </cell>
        </row>
        <row r="787">
          <cell r="K787" t="str">
            <v>217011</v>
          </cell>
          <cell r="M787">
            <v>1</v>
          </cell>
          <cell r="R787">
            <v>45904</v>
          </cell>
          <cell r="S787">
            <v>217011</v>
          </cell>
        </row>
        <row r="788">
          <cell r="K788" t="str">
            <v>223002</v>
          </cell>
          <cell r="M788">
            <v>1</v>
          </cell>
          <cell r="R788">
            <v>45905</v>
          </cell>
          <cell r="S788">
            <v>223002</v>
          </cell>
        </row>
        <row r="789">
          <cell r="K789" t="str">
            <v>223001</v>
          </cell>
          <cell r="M789">
            <v>1</v>
          </cell>
          <cell r="R789">
            <v>45905</v>
          </cell>
          <cell r="S789">
            <v>223001</v>
          </cell>
        </row>
        <row r="790">
          <cell r="K790" t="str">
            <v>220002</v>
          </cell>
          <cell r="M790">
            <v>1</v>
          </cell>
          <cell r="R790">
            <v>45905</v>
          </cell>
          <cell r="S790">
            <v>220002</v>
          </cell>
        </row>
        <row r="791">
          <cell r="K791" t="str">
            <v>226001</v>
          </cell>
          <cell r="M791">
            <v>1</v>
          </cell>
          <cell r="R791">
            <v>45905</v>
          </cell>
          <cell r="S791">
            <v>226001</v>
          </cell>
        </row>
        <row r="792">
          <cell r="K792" t="str">
            <v>217011</v>
          </cell>
          <cell r="M792">
            <v>1</v>
          </cell>
          <cell r="R792">
            <v>45905</v>
          </cell>
          <cell r="S792">
            <v>217011</v>
          </cell>
        </row>
        <row r="793">
          <cell r="K793" t="str">
            <v>229003</v>
          </cell>
          <cell r="M793">
            <v>1</v>
          </cell>
          <cell r="R793">
            <v>45905</v>
          </cell>
          <cell r="S793">
            <v>229003</v>
          </cell>
        </row>
        <row r="794">
          <cell r="K794" t="str">
            <v>220002</v>
          </cell>
          <cell r="M794">
            <v>1</v>
          </cell>
          <cell r="R794">
            <v>45908</v>
          </cell>
          <cell r="S794">
            <v>220002</v>
          </cell>
        </row>
        <row r="795">
          <cell r="K795" t="str">
            <v>220002</v>
          </cell>
          <cell r="M795">
            <v>1</v>
          </cell>
          <cell r="R795">
            <v>45908</v>
          </cell>
          <cell r="S795">
            <v>220002</v>
          </cell>
        </row>
        <row r="796">
          <cell r="K796" t="str">
            <v>220002</v>
          </cell>
          <cell r="M796">
            <v>2</v>
          </cell>
          <cell r="R796">
            <v>45908</v>
          </cell>
          <cell r="S796">
            <v>220002</v>
          </cell>
        </row>
        <row r="797">
          <cell r="K797" t="str">
            <v>220002</v>
          </cell>
          <cell r="M797">
            <v>1</v>
          </cell>
          <cell r="R797">
            <v>45908</v>
          </cell>
          <cell r="S797">
            <v>220002</v>
          </cell>
        </row>
        <row r="798">
          <cell r="K798" t="str">
            <v>226001</v>
          </cell>
          <cell r="M798">
            <v>1</v>
          </cell>
          <cell r="R798">
            <v>45908</v>
          </cell>
          <cell r="S798">
            <v>226001</v>
          </cell>
        </row>
        <row r="799">
          <cell r="K799" t="str">
            <v>201011</v>
          </cell>
          <cell r="M799">
            <v>36</v>
          </cell>
          <cell r="R799">
            <v>45905</v>
          </cell>
          <cell r="S799">
            <v>201011</v>
          </cell>
        </row>
        <row r="800">
          <cell r="K800" t="str">
            <v>213005</v>
          </cell>
          <cell r="M800">
            <v>1</v>
          </cell>
          <cell r="R800">
            <v>45907</v>
          </cell>
          <cell r="S800">
            <v>213005</v>
          </cell>
        </row>
        <row r="801">
          <cell r="K801" t="str">
            <v>220002</v>
          </cell>
          <cell r="M801">
            <v>1</v>
          </cell>
          <cell r="R801">
            <v>45908</v>
          </cell>
          <cell r="S801">
            <v>220002</v>
          </cell>
        </row>
        <row r="802">
          <cell r="K802" t="str">
            <v>220002</v>
          </cell>
          <cell r="M802">
            <v>1</v>
          </cell>
          <cell r="R802">
            <v>45908</v>
          </cell>
          <cell r="S802">
            <v>220002</v>
          </cell>
        </row>
        <row r="803">
          <cell r="K803" t="str">
            <v>217011</v>
          </cell>
          <cell r="M803">
            <v>1</v>
          </cell>
          <cell r="R803">
            <v>45908</v>
          </cell>
          <cell r="S803">
            <v>217011</v>
          </cell>
        </row>
        <row r="804">
          <cell r="K804" t="str">
            <v>220002</v>
          </cell>
          <cell r="M804">
            <v>1</v>
          </cell>
          <cell r="R804">
            <v>45908</v>
          </cell>
          <cell r="S804">
            <v>220002</v>
          </cell>
        </row>
        <row r="805">
          <cell r="K805" t="str">
            <v>227014</v>
          </cell>
          <cell r="M805">
            <v>1</v>
          </cell>
          <cell r="R805">
            <v>45908</v>
          </cell>
          <cell r="S805">
            <v>227014</v>
          </cell>
        </row>
        <row r="806">
          <cell r="K806" t="str">
            <v>226025</v>
          </cell>
          <cell r="M806">
            <v>1</v>
          </cell>
          <cell r="R806">
            <v>45909</v>
          </cell>
          <cell r="S806">
            <v>226025</v>
          </cell>
        </row>
        <row r="807">
          <cell r="K807" t="str">
            <v>226025</v>
          </cell>
          <cell r="M807">
            <v>5</v>
          </cell>
          <cell r="R807">
            <v>45909</v>
          </cell>
          <cell r="S807">
            <v>226025</v>
          </cell>
        </row>
        <row r="808">
          <cell r="K808" t="str">
            <v>217011</v>
          </cell>
          <cell r="M808">
            <v>1</v>
          </cell>
          <cell r="R808">
            <v>45909</v>
          </cell>
          <cell r="S808">
            <v>217011</v>
          </cell>
        </row>
        <row r="809">
          <cell r="K809" t="str">
            <v>226001</v>
          </cell>
          <cell r="M809">
            <v>1</v>
          </cell>
          <cell r="R809">
            <v>45909</v>
          </cell>
          <cell r="S809">
            <v>226001</v>
          </cell>
        </row>
        <row r="810">
          <cell r="K810" t="str">
            <v>201003</v>
          </cell>
          <cell r="M810">
            <v>1</v>
          </cell>
          <cell r="R810">
            <v>45909</v>
          </cell>
          <cell r="S810">
            <v>201003</v>
          </cell>
        </row>
        <row r="811">
          <cell r="K811" t="str">
            <v>220002</v>
          </cell>
          <cell r="M811">
            <v>1</v>
          </cell>
          <cell r="R811">
            <v>45909</v>
          </cell>
          <cell r="S811">
            <v>220002</v>
          </cell>
        </row>
        <row r="812">
          <cell r="K812" t="str">
            <v>237001</v>
          </cell>
          <cell r="M812">
            <v>1</v>
          </cell>
          <cell r="R812">
            <v>45909</v>
          </cell>
          <cell r="S812">
            <v>237001</v>
          </cell>
        </row>
        <row r="813">
          <cell r="K813" t="str">
            <v>217011</v>
          </cell>
          <cell r="M813">
            <v>1</v>
          </cell>
          <cell r="R813">
            <v>45909</v>
          </cell>
          <cell r="S813">
            <v>217011</v>
          </cell>
        </row>
        <row r="814">
          <cell r="K814" t="str">
            <v>220002</v>
          </cell>
          <cell r="M814">
            <v>1</v>
          </cell>
          <cell r="R814">
            <v>45910</v>
          </cell>
          <cell r="S814">
            <v>220002</v>
          </cell>
        </row>
        <row r="815">
          <cell r="K815" t="str">
            <v>220002</v>
          </cell>
          <cell r="M815">
            <v>1</v>
          </cell>
          <cell r="R815">
            <v>45910</v>
          </cell>
          <cell r="S815">
            <v>220002</v>
          </cell>
        </row>
        <row r="816">
          <cell r="K816" t="str">
            <v>226024</v>
          </cell>
          <cell r="M816">
            <v>1</v>
          </cell>
          <cell r="R816">
            <v>45910</v>
          </cell>
          <cell r="S816">
            <v>226024</v>
          </cell>
        </row>
        <row r="817">
          <cell r="K817" t="str">
            <v>217011</v>
          </cell>
          <cell r="M817">
            <v>2</v>
          </cell>
          <cell r="R817">
            <v>45910</v>
          </cell>
          <cell r="S817">
            <v>217011</v>
          </cell>
        </row>
        <row r="818">
          <cell r="K818" t="str">
            <v>226001</v>
          </cell>
          <cell r="M818">
            <v>2</v>
          </cell>
          <cell r="R818">
            <v>45908</v>
          </cell>
          <cell r="S818">
            <v>226001</v>
          </cell>
        </row>
        <row r="819">
          <cell r="K819" t="str">
            <v>226001</v>
          </cell>
          <cell r="M819">
            <v>2</v>
          </cell>
          <cell r="R819">
            <v>45910</v>
          </cell>
          <cell r="S819">
            <v>226001</v>
          </cell>
        </row>
        <row r="820">
          <cell r="K820" t="str">
            <v>226025</v>
          </cell>
          <cell r="M820">
            <v>3</v>
          </cell>
          <cell r="R820">
            <v>45910</v>
          </cell>
          <cell r="S820">
            <v>226025</v>
          </cell>
        </row>
        <row r="821">
          <cell r="K821" t="str">
            <v>227002</v>
          </cell>
          <cell r="M821">
            <v>1</v>
          </cell>
          <cell r="R821">
            <v>45910</v>
          </cell>
          <cell r="S821">
            <v>227002</v>
          </cell>
        </row>
        <row r="822">
          <cell r="K822" t="str">
            <v>217011</v>
          </cell>
          <cell r="M822">
            <v>1</v>
          </cell>
          <cell r="R822">
            <v>45910</v>
          </cell>
          <cell r="S822">
            <v>217011</v>
          </cell>
        </row>
        <row r="823">
          <cell r="K823" t="str">
            <v>217011</v>
          </cell>
          <cell r="M823">
            <v>1</v>
          </cell>
          <cell r="R823">
            <v>45911</v>
          </cell>
          <cell r="S823">
            <v>217011</v>
          </cell>
        </row>
        <row r="824">
          <cell r="K824" t="str">
            <v>220002</v>
          </cell>
          <cell r="M824">
            <v>2</v>
          </cell>
          <cell r="R824">
            <v>45911</v>
          </cell>
          <cell r="S824">
            <v>220002</v>
          </cell>
        </row>
        <row r="825">
          <cell r="K825" t="str">
            <v>229003</v>
          </cell>
          <cell r="M825">
            <v>1</v>
          </cell>
          <cell r="R825">
            <v>45911</v>
          </cell>
          <cell r="S825">
            <v>229003</v>
          </cell>
        </row>
        <row r="826">
          <cell r="K826" t="str">
            <v>218001</v>
          </cell>
          <cell r="M826">
            <v>1</v>
          </cell>
          <cell r="R826">
            <v>45911</v>
          </cell>
          <cell r="S826">
            <v>218001</v>
          </cell>
        </row>
        <row r="827">
          <cell r="K827" t="str">
            <v>207002</v>
          </cell>
          <cell r="M827">
            <v>1</v>
          </cell>
          <cell r="R827">
            <v>45911</v>
          </cell>
          <cell r="S827">
            <v>207002</v>
          </cell>
        </row>
        <row r="828">
          <cell r="K828" t="str">
            <v>217011</v>
          </cell>
          <cell r="M828">
            <v>1</v>
          </cell>
          <cell r="R828">
            <v>45911</v>
          </cell>
          <cell r="S828">
            <v>217011</v>
          </cell>
        </row>
        <row r="829">
          <cell r="K829" t="str">
            <v>220002</v>
          </cell>
          <cell r="M829">
            <v>1</v>
          </cell>
          <cell r="R829">
            <v>45911</v>
          </cell>
          <cell r="S829">
            <v>220002</v>
          </cell>
        </row>
        <row r="830">
          <cell r="K830" t="str">
            <v>227010</v>
          </cell>
          <cell r="M830">
            <v>1</v>
          </cell>
          <cell r="R830">
            <v>45911</v>
          </cell>
          <cell r="S830">
            <v>227010</v>
          </cell>
        </row>
        <row r="831">
          <cell r="K831" t="str">
            <v>228001</v>
          </cell>
          <cell r="M831">
            <v>1</v>
          </cell>
          <cell r="R831">
            <v>45911</v>
          </cell>
          <cell r="S831">
            <v>228001</v>
          </cell>
        </row>
        <row r="832">
          <cell r="K832" t="str">
            <v>231012</v>
          </cell>
          <cell r="M832">
            <v>1</v>
          </cell>
          <cell r="R832">
            <v>45911</v>
          </cell>
          <cell r="S832">
            <v>231012</v>
          </cell>
        </row>
        <row r="833">
          <cell r="K833" t="str">
            <v>220002</v>
          </cell>
          <cell r="M833">
            <v>1</v>
          </cell>
          <cell r="R833">
            <v>45912</v>
          </cell>
          <cell r="S833">
            <v>220002</v>
          </cell>
        </row>
        <row r="834">
          <cell r="K834" t="str">
            <v>220002</v>
          </cell>
          <cell r="M834">
            <v>1</v>
          </cell>
          <cell r="R834">
            <v>45912</v>
          </cell>
          <cell r="S834">
            <v>220002</v>
          </cell>
        </row>
        <row r="835">
          <cell r="K835" t="str">
            <v>226025</v>
          </cell>
          <cell r="M835">
            <v>2</v>
          </cell>
          <cell r="R835">
            <v>45912</v>
          </cell>
          <cell r="S835">
            <v>226025</v>
          </cell>
        </row>
        <row r="836">
          <cell r="K836" t="str">
            <v>217011</v>
          </cell>
          <cell r="M836">
            <v>1</v>
          </cell>
          <cell r="R836">
            <v>45912</v>
          </cell>
          <cell r="S836">
            <v>217011</v>
          </cell>
        </row>
        <row r="837">
          <cell r="K837" t="str">
            <v>223002</v>
          </cell>
          <cell r="M837">
            <v>1</v>
          </cell>
          <cell r="R837">
            <v>45912</v>
          </cell>
          <cell r="S837">
            <v>223002</v>
          </cell>
        </row>
        <row r="838">
          <cell r="K838" t="str">
            <v>226001</v>
          </cell>
          <cell r="M838">
            <v>1</v>
          </cell>
          <cell r="R838">
            <v>45912</v>
          </cell>
          <cell r="S838">
            <v>226001</v>
          </cell>
        </row>
        <row r="839">
          <cell r="K839" t="str">
            <v>220002</v>
          </cell>
          <cell r="M839">
            <v>1</v>
          </cell>
          <cell r="R839">
            <v>45912</v>
          </cell>
          <cell r="S839">
            <v>220002</v>
          </cell>
        </row>
        <row r="840">
          <cell r="K840" t="str">
            <v>209012</v>
          </cell>
          <cell r="M840">
            <v>1</v>
          </cell>
          <cell r="R840">
            <v>45915</v>
          </cell>
          <cell r="S840">
            <v>209012</v>
          </cell>
        </row>
        <row r="841">
          <cell r="K841" t="str">
            <v>217011</v>
          </cell>
          <cell r="M841">
            <v>1</v>
          </cell>
          <cell r="R841">
            <v>45915</v>
          </cell>
          <cell r="S841">
            <v>217011</v>
          </cell>
        </row>
        <row r="842">
          <cell r="K842" t="str">
            <v>226023</v>
          </cell>
          <cell r="M842">
            <v>1</v>
          </cell>
          <cell r="R842">
            <v>45915</v>
          </cell>
          <cell r="S842">
            <v>226023</v>
          </cell>
        </row>
        <row r="843">
          <cell r="K843" t="str">
            <v>206005</v>
          </cell>
          <cell r="M843">
            <v>2</v>
          </cell>
          <cell r="R843">
            <v>45915</v>
          </cell>
          <cell r="S843">
            <v>206005</v>
          </cell>
        </row>
        <row r="844">
          <cell r="K844" t="str">
            <v>226001</v>
          </cell>
          <cell r="M844">
            <v>1</v>
          </cell>
          <cell r="R844">
            <v>45915</v>
          </cell>
          <cell r="S844">
            <v>226001</v>
          </cell>
        </row>
        <row r="845">
          <cell r="K845" t="str">
            <v>226025</v>
          </cell>
          <cell r="M845">
            <v>1</v>
          </cell>
          <cell r="R845">
            <v>45915</v>
          </cell>
          <cell r="S845">
            <v>226025</v>
          </cell>
        </row>
        <row r="846">
          <cell r="K846" t="str">
            <v>217011</v>
          </cell>
          <cell r="M846">
            <v>1</v>
          </cell>
          <cell r="R846">
            <v>45916</v>
          </cell>
          <cell r="S846">
            <v>217011</v>
          </cell>
        </row>
        <row r="847">
          <cell r="K847" t="str">
            <v>237001</v>
          </cell>
          <cell r="M847">
            <v>1</v>
          </cell>
          <cell r="R847">
            <v>45916</v>
          </cell>
          <cell r="S847">
            <v>237001</v>
          </cell>
        </row>
        <row r="848">
          <cell r="K848" t="str">
            <v>226001</v>
          </cell>
          <cell r="M848">
            <v>2</v>
          </cell>
          <cell r="R848">
            <v>45916</v>
          </cell>
          <cell r="S848">
            <v>226001</v>
          </cell>
        </row>
        <row r="849">
          <cell r="K849" t="str">
            <v>201011</v>
          </cell>
          <cell r="M849">
            <v>72</v>
          </cell>
          <cell r="R849">
            <v>45917</v>
          </cell>
          <cell r="S849">
            <v>201011</v>
          </cell>
        </row>
        <row r="850">
          <cell r="K850" t="str">
            <v>227014</v>
          </cell>
          <cell r="M850">
            <v>1</v>
          </cell>
          <cell r="R850">
            <v>45922</v>
          </cell>
          <cell r="S850">
            <v>227014</v>
          </cell>
        </row>
        <row r="851">
          <cell r="K851" t="str">
            <v>213006</v>
          </cell>
          <cell r="M851">
            <v>1</v>
          </cell>
          <cell r="R851">
            <v>45922</v>
          </cell>
          <cell r="S851">
            <v>213006</v>
          </cell>
        </row>
        <row r="852">
          <cell r="K852" t="str">
            <v>223001</v>
          </cell>
          <cell r="M852">
            <v>1</v>
          </cell>
          <cell r="R852">
            <v>45922</v>
          </cell>
          <cell r="S852">
            <v>223001</v>
          </cell>
        </row>
        <row r="853">
          <cell r="K853" t="str">
            <v>223017</v>
          </cell>
          <cell r="M853">
            <v>1</v>
          </cell>
          <cell r="R853">
            <v>45922</v>
          </cell>
          <cell r="S853">
            <v>223017</v>
          </cell>
        </row>
        <row r="854">
          <cell r="K854" t="str">
            <v>226025</v>
          </cell>
          <cell r="M854">
            <v>3</v>
          </cell>
          <cell r="R854">
            <v>45922</v>
          </cell>
          <cell r="S854">
            <v>226025</v>
          </cell>
        </row>
        <row r="855">
          <cell r="K855" t="str">
            <v>220003</v>
          </cell>
          <cell r="M855">
            <v>1</v>
          </cell>
          <cell r="R855">
            <v>45922</v>
          </cell>
          <cell r="S855">
            <v>220003</v>
          </cell>
        </row>
        <row r="856">
          <cell r="K856" t="str">
            <v>220002</v>
          </cell>
          <cell r="M856">
            <v>1</v>
          </cell>
          <cell r="R856">
            <v>45922</v>
          </cell>
          <cell r="S856">
            <v>220002</v>
          </cell>
        </row>
        <row r="857">
          <cell r="K857" t="str">
            <v>231012</v>
          </cell>
          <cell r="M857">
            <v>1</v>
          </cell>
          <cell r="R857">
            <v>45922</v>
          </cell>
          <cell r="S857">
            <v>231012</v>
          </cell>
        </row>
        <row r="858">
          <cell r="K858" t="str">
            <v>223002</v>
          </cell>
          <cell r="M858">
            <v>1</v>
          </cell>
          <cell r="R858">
            <v>45922</v>
          </cell>
          <cell r="S858">
            <v>223002</v>
          </cell>
        </row>
        <row r="859">
          <cell r="K859" t="str">
            <v>220002</v>
          </cell>
          <cell r="M859">
            <v>2</v>
          </cell>
          <cell r="R859">
            <v>45922</v>
          </cell>
          <cell r="S859">
            <v>220002</v>
          </cell>
        </row>
        <row r="860">
          <cell r="K860" t="str">
            <v>261004</v>
          </cell>
          <cell r="M860">
            <v>1</v>
          </cell>
          <cell r="R860">
            <v>45922</v>
          </cell>
          <cell r="S860">
            <v>261004</v>
          </cell>
        </row>
        <row r="861">
          <cell r="K861" t="str">
            <v>222004</v>
          </cell>
          <cell r="M861">
            <v>1</v>
          </cell>
          <cell r="R861">
            <v>45922</v>
          </cell>
          <cell r="S861">
            <v>222004</v>
          </cell>
        </row>
        <row r="862">
          <cell r="K862" t="str">
            <v>209016</v>
          </cell>
          <cell r="M862">
            <v>1</v>
          </cell>
          <cell r="R862">
            <v>45922</v>
          </cell>
          <cell r="S862">
            <v>209016</v>
          </cell>
        </row>
        <row r="863">
          <cell r="K863" t="str">
            <v>228001</v>
          </cell>
          <cell r="M863">
            <v>1</v>
          </cell>
          <cell r="R863">
            <v>45922</v>
          </cell>
          <cell r="S863">
            <v>228001</v>
          </cell>
        </row>
        <row r="864">
          <cell r="K864" t="str">
            <v>217011</v>
          </cell>
          <cell r="M864">
            <v>2</v>
          </cell>
          <cell r="R864">
            <v>45922</v>
          </cell>
          <cell r="S864">
            <v>217011</v>
          </cell>
        </row>
        <row r="865">
          <cell r="K865" t="str">
            <v>201009</v>
          </cell>
          <cell r="M865">
            <v>1</v>
          </cell>
          <cell r="R865">
            <v>45922</v>
          </cell>
          <cell r="S865">
            <v>201009</v>
          </cell>
        </row>
        <row r="866">
          <cell r="K866" t="str">
            <v>212035</v>
          </cell>
          <cell r="M866">
            <v>1</v>
          </cell>
          <cell r="R866">
            <v>45923</v>
          </cell>
          <cell r="S866">
            <v>212035</v>
          </cell>
        </row>
        <row r="867">
          <cell r="K867" t="str">
            <v>213006</v>
          </cell>
          <cell r="M867">
            <v>2</v>
          </cell>
          <cell r="R867">
            <v>45923</v>
          </cell>
          <cell r="S867">
            <v>213006</v>
          </cell>
        </row>
        <row r="868">
          <cell r="K868" t="str">
            <v>227014</v>
          </cell>
          <cell r="M868">
            <v>1</v>
          </cell>
          <cell r="R868">
            <v>45923</v>
          </cell>
          <cell r="S868">
            <v>227014</v>
          </cell>
        </row>
        <row r="869">
          <cell r="K869" t="str">
            <v>220002</v>
          </cell>
          <cell r="M869">
            <v>1</v>
          </cell>
          <cell r="R869">
            <v>45923</v>
          </cell>
          <cell r="S869">
            <v>220002</v>
          </cell>
        </row>
        <row r="870">
          <cell r="K870" t="str">
            <v>226025</v>
          </cell>
          <cell r="M870">
            <v>2</v>
          </cell>
          <cell r="R870">
            <v>45923</v>
          </cell>
          <cell r="S870">
            <v>226025</v>
          </cell>
        </row>
        <row r="871">
          <cell r="K871" t="str">
            <v>231012</v>
          </cell>
          <cell r="M871">
            <v>1</v>
          </cell>
          <cell r="R871">
            <v>45923</v>
          </cell>
          <cell r="S871">
            <v>231012</v>
          </cell>
        </row>
        <row r="872">
          <cell r="K872" t="str">
            <v>201003</v>
          </cell>
          <cell r="M872">
            <v>1</v>
          </cell>
          <cell r="R872">
            <v>45923</v>
          </cell>
          <cell r="S872">
            <v>201003</v>
          </cell>
        </row>
        <row r="873">
          <cell r="K873" t="str">
            <v>226004</v>
          </cell>
          <cell r="M873">
            <v>1</v>
          </cell>
          <cell r="R873">
            <v>45924</v>
          </cell>
          <cell r="S873">
            <v>226004</v>
          </cell>
        </row>
        <row r="874">
          <cell r="K874" t="str">
            <v>203003</v>
          </cell>
          <cell r="M874">
            <v>1</v>
          </cell>
          <cell r="R874">
            <v>45924</v>
          </cell>
          <cell r="S874">
            <v>203003</v>
          </cell>
        </row>
        <row r="875">
          <cell r="K875" t="str">
            <v>227002</v>
          </cell>
          <cell r="M875">
            <v>1</v>
          </cell>
          <cell r="R875">
            <v>45924</v>
          </cell>
          <cell r="S875">
            <v>227002</v>
          </cell>
        </row>
        <row r="876">
          <cell r="K876" t="str">
            <v>226001</v>
          </cell>
          <cell r="M876">
            <v>2</v>
          </cell>
          <cell r="R876">
            <v>45924</v>
          </cell>
          <cell r="S876">
            <v>226001</v>
          </cell>
        </row>
        <row r="877">
          <cell r="K877" t="str">
            <v>207002</v>
          </cell>
          <cell r="M877">
            <v>2</v>
          </cell>
          <cell r="R877">
            <v>45924</v>
          </cell>
          <cell r="S877">
            <v>207002</v>
          </cell>
        </row>
        <row r="878">
          <cell r="K878" t="str">
            <v>226025</v>
          </cell>
          <cell r="M878">
            <v>2</v>
          </cell>
          <cell r="R878">
            <v>45924</v>
          </cell>
          <cell r="S878">
            <v>226025</v>
          </cell>
        </row>
        <row r="879">
          <cell r="K879" t="str">
            <v>226001</v>
          </cell>
          <cell r="M879">
            <v>1</v>
          </cell>
          <cell r="R879">
            <v>45924</v>
          </cell>
          <cell r="S879">
            <v>226001</v>
          </cell>
        </row>
        <row r="880">
          <cell r="K880" t="str">
            <v>231012</v>
          </cell>
          <cell r="M880">
            <v>1</v>
          </cell>
          <cell r="R880">
            <v>45924</v>
          </cell>
          <cell r="S880">
            <v>231012</v>
          </cell>
        </row>
        <row r="881">
          <cell r="K881" t="str">
            <v>227002</v>
          </cell>
          <cell r="M881">
            <v>1</v>
          </cell>
          <cell r="R881">
            <v>45924</v>
          </cell>
          <cell r="S881">
            <v>227002</v>
          </cell>
        </row>
        <row r="882">
          <cell r="K882" t="str">
            <v>209002</v>
          </cell>
          <cell r="M882">
            <v>1</v>
          </cell>
          <cell r="R882">
            <v>45924</v>
          </cell>
          <cell r="S882">
            <v>209002</v>
          </cell>
        </row>
        <row r="883">
          <cell r="K883" t="str">
            <v>217011</v>
          </cell>
          <cell r="M883">
            <v>1</v>
          </cell>
          <cell r="R883">
            <v>45924</v>
          </cell>
          <cell r="S883">
            <v>217011</v>
          </cell>
        </row>
        <row r="884">
          <cell r="K884" t="str">
            <v>201003</v>
          </cell>
          <cell r="M884">
            <v>1</v>
          </cell>
          <cell r="R884">
            <v>45925</v>
          </cell>
          <cell r="S884">
            <v>201003</v>
          </cell>
        </row>
        <row r="885">
          <cell r="K885" t="str">
            <v>223006</v>
          </cell>
          <cell r="M885">
            <v>2</v>
          </cell>
          <cell r="R885">
            <v>45925</v>
          </cell>
          <cell r="S885">
            <v>223006</v>
          </cell>
        </row>
        <row r="886">
          <cell r="K886" t="str">
            <v>223001</v>
          </cell>
          <cell r="M886">
            <v>1</v>
          </cell>
          <cell r="R886">
            <v>45925</v>
          </cell>
          <cell r="S886">
            <v>223001</v>
          </cell>
        </row>
        <row r="887">
          <cell r="K887" t="str">
            <v>226001</v>
          </cell>
          <cell r="M887">
            <v>1</v>
          </cell>
          <cell r="R887">
            <v>45925</v>
          </cell>
          <cell r="S887">
            <v>226001</v>
          </cell>
        </row>
        <row r="888">
          <cell r="K888" t="str">
            <v>201003</v>
          </cell>
          <cell r="M888">
            <v>1</v>
          </cell>
          <cell r="R888">
            <v>45925</v>
          </cell>
          <cell r="S888">
            <v>201003</v>
          </cell>
        </row>
        <row r="889">
          <cell r="K889" t="str">
            <v>226001</v>
          </cell>
          <cell r="M889">
            <v>1</v>
          </cell>
          <cell r="R889">
            <v>45925</v>
          </cell>
          <cell r="S889">
            <v>226001</v>
          </cell>
        </row>
        <row r="890">
          <cell r="K890" t="str">
            <v>226024</v>
          </cell>
          <cell r="M890">
            <v>1</v>
          </cell>
          <cell r="R890">
            <v>45926</v>
          </cell>
          <cell r="S890">
            <v>226024</v>
          </cell>
        </row>
        <row r="891">
          <cell r="K891" t="str">
            <v>220002</v>
          </cell>
          <cell r="M891">
            <v>1</v>
          </cell>
          <cell r="R891">
            <v>45926</v>
          </cell>
          <cell r="S891">
            <v>220002</v>
          </cell>
        </row>
        <row r="892">
          <cell r="K892" t="str">
            <v>217011</v>
          </cell>
          <cell r="M892">
            <v>1</v>
          </cell>
          <cell r="R892">
            <v>45929</v>
          </cell>
          <cell r="S892">
            <v>217011</v>
          </cell>
        </row>
        <row r="893">
          <cell r="K893" t="str">
            <v>217011</v>
          </cell>
          <cell r="M893">
            <v>1</v>
          </cell>
          <cell r="R893">
            <v>45929</v>
          </cell>
          <cell r="S893">
            <v>217011</v>
          </cell>
        </row>
        <row r="894">
          <cell r="K894" t="str">
            <v>235004</v>
          </cell>
          <cell r="M894">
            <v>1</v>
          </cell>
          <cell r="R894">
            <v>45929</v>
          </cell>
          <cell r="S894">
            <v>235004</v>
          </cell>
        </row>
        <row r="895">
          <cell r="K895" t="str">
            <v>226025</v>
          </cell>
          <cell r="M895">
            <v>1</v>
          </cell>
          <cell r="R895">
            <v>45929</v>
          </cell>
          <cell r="S895">
            <v>226025</v>
          </cell>
        </row>
        <row r="896">
          <cell r="K896" t="str">
            <v>226001</v>
          </cell>
          <cell r="M896">
            <v>1</v>
          </cell>
          <cell r="R896">
            <v>45929</v>
          </cell>
          <cell r="S896">
            <v>226001</v>
          </cell>
        </row>
        <row r="897">
          <cell r="K897" t="str">
            <v>212035</v>
          </cell>
          <cell r="M897">
            <v>2</v>
          </cell>
          <cell r="R897">
            <v>45929</v>
          </cell>
          <cell r="S897">
            <v>212035</v>
          </cell>
        </row>
        <row r="898">
          <cell r="K898" t="str">
            <v>220002</v>
          </cell>
          <cell r="M898">
            <v>2</v>
          </cell>
          <cell r="R898">
            <v>45929</v>
          </cell>
          <cell r="S898">
            <v>220002</v>
          </cell>
        </row>
        <row r="899">
          <cell r="K899" t="str">
            <v>226022</v>
          </cell>
          <cell r="M899">
            <v>1</v>
          </cell>
          <cell r="R899">
            <v>45929</v>
          </cell>
          <cell r="S899">
            <v>226022</v>
          </cell>
        </row>
        <row r="900">
          <cell r="K900" t="str">
            <v>220003</v>
          </cell>
          <cell r="M900">
            <v>1</v>
          </cell>
          <cell r="R900">
            <v>45929</v>
          </cell>
          <cell r="S900">
            <v>220003</v>
          </cell>
        </row>
        <row r="901">
          <cell r="K901" t="str">
            <v>220002</v>
          </cell>
          <cell r="M901">
            <v>1</v>
          </cell>
          <cell r="R901">
            <v>45929</v>
          </cell>
          <cell r="S901">
            <v>220002</v>
          </cell>
        </row>
        <row r="902">
          <cell r="K902" t="str">
            <v>201011</v>
          </cell>
          <cell r="M902">
            <v>7</v>
          </cell>
          <cell r="R902">
            <v>45929</v>
          </cell>
          <cell r="S902">
            <v>201011</v>
          </cell>
        </row>
        <row r="903">
          <cell r="K903" t="str">
            <v>213005</v>
          </cell>
          <cell r="M903">
            <v>1</v>
          </cell>
          <cell r="R903">
            <v>45929</v>
          </cell>
          <cell r="S903">
            <v>213005</v>
          </cell>
        </row>
        <row r="904">
          <cell r="K904" t="str">
            <v>226025</v>
          </cell>
          <cell r="M904">
            <v>3</v>
          </cell>
          <cell r="R904">
            <v>45930</v>
          </cell>
          <cell r="S904">
            <v>226025</v>
          </cell>
        </row>
        <row r="905">
          <cell r="K905" t="str">
            <v>226001</v>
          </cell>
          <cell r="M905">
            <v>2</v>
          </cell>
          <cell r="R905">
            <v>45930</v>
          </cell>
          <cell r="S905">
            <v>226001</v>
          </cell>
        </row>
        <row r="906">
          <cell r="K906" t="str">
            <v>217011</v>
          </cell>
          <cell r="M906">
            <v>1</v>
          </cell>
          <cell r="R906">
            <v>45931</v>
          </cell>
          <cell r="S906">
            <v>217011</v>
          </cell>
        </row>
        <row r="907">
          <cell r="K907" t="str">
            <v>228001</v>
          </cell>
          <cell r="M907">
            <v>1</v>
          </cell>
          <cell r="R907">
            <v>45931</v>
          </cell>
          <cell r="S907">
            <v>228001</v>
          </cell>
        </row>
        <row r="908">
          <cell r="K908" t="str">
            <v>226004</v>
          </cell>
          <cell r="M908">
            <v>1</v>
          </cell>
          <cell r="R908">
            <v>45931</v>
          </cell>
          <cell r="S908">
            <v>226004</v>
          </cell>
        </row>
        <row r="909">
          <cell r="K909" t="str">
            <v>217011</v>
          </cell>
          <cell r="M909">
            <v>1</v>
          </cell>
          <cell r="R909">
            <v>45932</v>
          </cell>
          <cell r="S909">
            <v>217011</v>
          </cell>
        </row>
        <row r="910">
          <cell r="K910" t="str">
            <v>231010</v>
          </cell>
          <cell r="M910">
            <v>1</v>
          </cell>
          <cell r="R910">
            <v>45932</v>
          </cell>
          <cell r="S910">
            <v>231010</v>
          </cell>
        </row>
        <row r="911">
          <cell r="K911" t="str">
            <v>231010</v>
          </cell>
          <cell r="M911">
            <v>1</v>
          </cell>
          <cell r="R911">
            <v>45932</v>
          </cell>
          <cell r="S911">
            <v>231010</v>
          </cell>
        </row>
        <row r="912">
          <cell r="K912" t="str">
            <v>226001</v>
          </cell>
          <cell r="M912">
            <v>1</v>
          </cell>
          <cell r="R912">
            <v>45932</v>
          </cell>
          <cell r="S912">
            <v>226001</v>
          </cell>
        </row>
        <row r="913">
          <cell r="K913" t="str">
            <v>222003</v>
          </cell>
          <cell r="M913">
            <v>1</v>
          </cell>
          <cell r="R913">
            <v>45933</v>
          </cell>
          <cell r="S913">
            <v>222003</v>
          </cell>
        </row>
        <row r="914">
          <cell r="K914" t="str">
            <v>220003</v>
          </cell>
          <cell r="M914">
            <v>1</v>
          </cell>
          <cell r="R914">
            <v>45933</v>
          </cell>
          <cell r="S914">
            <v>220003</v>
          </cell>
        </row>
        <row r="915">
          <cell r="K915" t="str">
            <v>220002</v>
          </cell>
          <cell r="M915">
            <v>2</v>
          </cell>
          <cell r="R915">
            <v>45933</v>
          </cell>
          <cell r="S915">
            <v>220002</v>
          </cell>
        </row>
        <row r="916">
          <cell r="K916" t="str">
            <v>226025</v>
          </cell>
          <cell r="M916">
            <v>2</v>
          </cell>
          <cell r="R916">
            <v>45933</v>
          </cell>
          <cell r="S916">
            <v>226025</v>
          </cell>
        </row>
        <row r="917">
          <cell r="K917" t="str">
            <v>217011</v>
          </cell>
          <cell r="M917">
            <v>2</v>
          </cell>
          <cell r="R917">
            <v>45936</v>
          </cell>
          <cell r="S917">
            <v>217011</v>
          </cell>
        </row>
        <row r="918">
          <cell r="K918" t="str">
            <v>220002</v>
          </cell>
          <cell r="M918">
            <v>1</v>
          </cell>
          <cell r="R918">
            <v>45936</v>
          </cell>
          <cell r="S918">
            <v>220002</v>
          </cell>
        </row>
        <row r="919">
          <cell r="K919" t="str">
            <v>201003</v>
          </cell>
          <cell r="M919">
            <v>1</v>
          </cell>
          <cell r="R919">
            <v>45936</v>
          </cell>
          <cell r="S919">
            <v>201003</v>
          </cell>
        </row>
        <row r="920">
          <cell r="K920" t="str">
            <v>226001</v>
          </cell>
          <cell r="M920">
            <v>1</v>
          </cell>
          <cell r="R920">
            <v>45936</v>
          </cell>
          <cell r="S920">
            <v>226001</v>
          </cell>
        </row>
        <row r="921">
          <cell r="K921" t="str">
            <v>206005</v>
          </cell>
          <cell r="M921">
            <v>2</v>
          </cell>
          <cell r="R921">
            <v>45936</v>
          </cell>
          <cell r="S921">
            <v>206005</v>
          </cell>
        </row>
        <row r="922">
          <cell r="K922" t="str">
            <v>223002</v>
          </cell>
          <cell r="M922">
            <v>2</v>
          </cell>
          <cell r="R922">
            <v>45936</v>
          </cell>
          <cell r="S922">
            <v>223002</v>
          </cell>
        </row>
        <row r="923">
          <cell r="K923" t="str">
            <v>223006</v>
          </cell>
          <cell r="M923">
            <v>2</v>
          </cell>
          <cell r="R923">
            <v>45936</v>
          </cell>
          <cell r="S923">
            <v>223006</v>
          </cell>
        </row>
        <row r="924">
          <cell r="K924" t="str">
            <v>223001</v>
          </cell>
          <cell r="M924">
            <v>1</v>
          </cell>
          <cell r="R924">
            <v>45936</v>
          </cell>
          <cell r="S924">
            <v>223001</v>
          </cell>
        </row>
        <row r="925">
          <cell r="K925" t="str">
            <v>228001</v>
          </cell>
          <cell r="M925">
            <v>1</v>
          </cell>
          <cell r="R925">
            <v>45936</v>
          </cell>
          <cell r="S925">
            <v>228001</v>
          </cell>
        </row>
        <row r="926">
          <cell r="K926" t="str">
            <v>209016</v>
          </cell>
          <cell r="M926">
            <v>1</v>
          </cell>
          <cell r="R926">
            <v>45936</v>
          </cell>
          <cell r="S926">
            <v>209016</v>
          </cell>
        </row>
        <row r="927">
          <cell r="K927" t="str">
            <v>226001</v>
          </cell>
          <cell r="M927">
            <v>2</v>
          </cell>
          <cell r="R927">
            <v>45936</v>
          </cell>
          <cell r="S927">
            <v>226001</v>
          </cell>
        </row>
        <row r="928">
          <cell r="K928" t="str">
            <v>227002</v>
          </cell>
          <cell r="M928">
            <v>1</v>
          </cell>
          <cell r="R928">
            <v>45936</v>
          </cell>
          <cell r="S928">
            <v>227002</v>
          </cell>
        </row>
        <row r="929">
          <cell r="K929" t="str">
            <v>226001</v>
          </cell>
          <cell r="M929">
            <v>1</v>
          </cell>
          <cell r="R929">
            <v>45936</v>
          </cell>
          <cell r="S929">
            <v>226001</v>
          </cell>
        </row>
        <row r="930">
          <cell r="K930" t="str">
            <v>226025</v>
          </cell>
          <cell r="M930">
            <v>3</v>
          </cell>
          <cell r="R930">
            <v>45937</v>
          </cell>
          <cell r="S930">
            <v>226025</v>
          </cell>
        </row>
        <row r="931">
          <cell r="K931" t="str">
            <v>201003</v>
          </cell>
          <cell r="M931">
            <v>1</v>
          </cell>
          <cell r="R931">
            <v>45937</v>
          </cell>
          <cell r="S931">
            <v>201003</v>
          </cell>
        </row>
        <row r="932">
          <cell r="K932" t="str">
            <v>223017</v>
          </cell>
          <cell r="M932">
            <v>1</v>
          </cell>
          <cell r="R932">
            <v>45937</v>
          </cell>
          <cell r="S932">
            <v>223017</v>
          </cell>
        </row>
        <row r="933">
          <cell r="K933" t="str">
            <v>226028</v>
          </cell>
          <cell r="M933">
            <v>1</v>
          </cell>
          <cell r="R933">
            <v>45937</v>
          </cell>
          <cell r="S933">
            <v>226028</v>
          </cell>
        </row>
        <row r="934">
          <cell r="K934" t="str">
            <v>201003</v>
          </cell>
          <cell r="M934">
            <v>1</v>
          </cell>
          <cell r="R934">
            <v>45938</v>
          </cell>
          <cell r="S934">
            <v>201003</v>
          </cell>
        </row>
        <row r="935">
          <cell r="K935" t="str">
            <v>203004</v>
          </cell>
          <cell r="M935">
            <v>1</v>
          </cell>
          <cell r="R935">
            <v>45938</v>
          </cell>
          <cell r="S935">
            <v>203004</v>
          </cell>
        </row>
        <row r="936">
          <cell r="K936" t="str">
            <v>226001</v>
          </cell>
          <cell r="M936">
            <v>1</v>
          </cell>
          <cell r="R936">
            <v>45938</v>
          </cell>
          <cell r="S936">
            <v>226001</v>
          </cell>
        </row>
        <row r="937">
          <cell r="K937" t="str">
            <v>207002</v>
          </cell>
          <cell r="M937">
            <v>2</v>
          </cell>
          <cell r="R937">
            <v>45938</v>
          </cell>
          <cell r="S937">
            <v>207002</v>
          </cell>
        </row>
        <row r="938">
          <cell r="K938" t="str">
            <v>226025</v>
          </cell>
          <cell r="M938">
            <v>1</v>
          </cell>
          <cell r="R938">
            <v>45938</v>
          </cell>
          <cell r="S938">
            <v>226025</v>
          </cell>
        </row>
        <row r="939">
          <cell r="K939" t="str">
            <v>227002</v>
          </cell>
          <cell r="M939">
            <v>1</v>
          </cell>
          <cell r="R939">
            <v>45938</v>
          </cell>
          <cell r="S939">
            <v>227002</v>
          </cell>
        </row>
        <row r="940">
          <cell r="K940" t="str">
            <v>223001</v>
          </cell>
          <cell r="M940">
            <v>1</v>
          </cell>
          <cell r="R940">
            <v>45938</v>
          </cell>
          <cell r="S940">
            <v>223001</v>
          </cell>
        </row>
        <row r="941">
          <cell r="K941" t="str">
            <v>226001</v>
          </cell>
          <cell r="M941">
            <v>1</v>
          </cell>
          <cell r="R941">
            <v>45938</v>
          </cell>
          <cell r="S941">
            <v>226001</v>
          </cell>
        </row>
        <row r="942">
          <cell r="K942" t="str">
            <v>220002</v>
          </cell>
          <cell r="M942">
            <v>2</v>
          </cell>
          <cell r="R942">
            <v>45938</v>
          </cell>
          <cell r="S942">
            <v>220002</v>
          </cell>
        </row>
        <row r="943">
          <cell r="K943" t="str">
            <v>220002</v>
          </cell>
          <cell r="M943">
            <v>3</v>
          </cell>
          <cell r="R943">
            <v>45938</v>
          </cell>
          <cell r="S943">
            <v>220002</v>
          </cell>
        </row>
        <row r="944">
          <cell r="K944" t="str">
            <v>226025</v>
          </cell>
          <cell r="M944">
            <v>4</v>
          </cell>
          <cell r="R944">
            <v>45938</v>
          </cell>
          <cell r="S944">
            <v>226025</v>
          </cell>
        </row>
        <row r="945">
          <cell r="K945" t="str">
            <v>209001</v>
          </cell>
          <cell r="M945">
            <v>3</v>
          </cell>
          <cell r="R945">
            <v>45938</v>
          </cell>
          <cell r="S945">
            <v>209001</v>
          </cell>
        </row>
        <row r="946">
          <cell r="K946" t="str">
            <v>228001</v>
          </cell>
          <cell r="M946">
            <v>1</v>
          </cell>
          <cell r="R946">
            <v>45939</v>
          </cell>
          <cell r="S946">
            <v>228001</v>
          </cell>
        </row>
        <row r="947">
          <cell r="K947" t="str">
            <v>217011</v>
          </cell>
          <cell r="M947">
            <v>1</v>
          </cell>
          <cell r="R947">
            <v>45939</v>
          </cell>
          <cell r="S947">
            <v>217011</v>
          </cell>
        </row>
        <row r="948">
          <cell r="K948" t="str">
            <v>226001</v>
          </cell>
          <cell r="M948">
            <v>1</v>
          </cell>
          <cell r="R948">
            <v>45939</v>
          </cell>
          <cell r="S948">
            <v>226001</v>
          </cell>
        </row>
        <row r="949">
          <cell r="K949" t="str">
            <v>226001</v>
          </cell>
          <cell r="M949">
            <v>1</v>
          </cell>
          <cell r="R949">
            <v>45939</v>
          </cell>
          <cell r="S949">
            <v>226001</v>
          </cell>
        </row>
        <row r="950">
          <cell r="K950" t="str">
            <v>212035</v>
          </cell>
          <cell r="M950">
            <v>1</v>
          </cell>
          <cell r="R950">
            <v>45939</v>
          </cell>
          <cell r="S950">
            <v>212035</v>
          </cell>
        </row>
        <row r="951">
          <cell r="K951" t="str">
            <v>226025</v>
          </cell>
          <cell r="M951">
            <v>2</v>
          </cell>
          <cell r="R951">
            <v>45940</v>
          </cell>
          <cell r="S951">
            <v>226025</v>
          </cell>
        </row>
        <row r="952">
          <cell r="K952" t="str">
            <v>220003</v>
          </cell>
          <cell r="M952">
            <v>1</v>
          </cell>
          <cell r="R952">
            <v>45940</v>
          </cell>
          <cell r="S952">
            <v>220003</v>
          </cell>
        </row>
        <row r="953">
          <cell r="K953" t="str">
            <v>227014</v>
          </cell>
          <cell r="M953">
            <v>1</v>
          </cell>
          <cell r="R953">
            <v>45943</v>
          </cell>
          <cell r="S953">
            <v>227014</v>
          </cell>
        </row>
        <row r="954">
          <cell r="K954" t="str">
            <v>226001</v>
          </cell>
          <cell r="M954">
            <v>1</v>
          </cell>
          <cell r="R954">
            <v>45943</v>
          </cell>
          <cell r="S954">
            <v>226001</v>
          </cell>
        </row>
        <row r="955">
          <cell r="K955" t="str">
            <v>226025</v>
          </cell>
          <cell r="M955">
            <v>1</v>
          </cell>
          <cell r="R955">
            <v>45944</v>
          </cell>
          <cell r="S955">
            <v>226025</v>
          </cell>
        </row>
        <row r="956">
          <cell r="K956" t="str">
            <v>220003</v>
          </cell>
          <cell r="M956">
            <v>1</v>
          </cell>
          <cell r="R956">
            <v>45944</v>
          </cell>
          <cell r="S956">
            <v>220003</v>
          </cell>
        </row>
        <row r="957">
          <cell r="K957" t="str">
            <v>220002</v>
          </cell>
          <cell r="M957">
            <v>2</v>
          </cell>
          <cell r="R957">
            <v>45945</v>
          </cell>
          <cell r="S957">
            <v>220002</v>
          </cell>
        </row>
        <row r="958">
          <cell r="K958" t="str">
            <v>201009</v>
          </cell>
          <cell r="M958">
            <v>1</v>
          </cell>
          <cell r="R958">
            <v>45945</v>
          </cell>
          <cell r="S958">
            <v>201009</v>
          </cell>
        </row>
        <row r="959">
          <cell r="K959" t="str">
            <v>228001</v>
          </cell>
          <cell r="M959">
            <v>1</v>
          </cell>
          <cell r="R959">
            <v>45945</v>
          </cell>
          <cell r="S959">
            <v>228001</v>
          </cell>
        </row>
        <row r="960">
          <cell r="K960" t="str">
            <v>212002</v>
          </cell>
          <cell r="M960">
            <v>1</v>
          </cell>
          <cell r="R960">
            <v>45945</v>
          </cell>
          <cell r="S960">
            <v>212002</v>
          </cell>
        </row>
        <row r="961">
          <cell r="K961" t="str">
            <v>209017</v>
          </cell>
          <cell r="M961">
            <v>1</v>
          </cell>
          <cell r="R961">
            <v>45945</v>
          </cell>
          <cell r="S961">
            <v>209017</v>
          </cell>
        </row>
        <row r="962">
          <cell r="K962" t="str">
            <v>209016</v>
          </cell>
          <cell r="M962">
            <v>1</v>
          </cell>
          <cell r="R962">
            <v>45945</v>
          </cell>
          <cell r="S962">
            <v>209016</v>
          </cell>
        </row>
        <row r="963">
          <cell r="K963" t="str">
            <v>209002</v>
          </cell>
          <cell r="M963">
            <v>1</v>
          </cell>
          <cell r="R963">
            <v>45945</v>
          </cell>
          <cell r="S963">
            <v>209002</v>
          </cell>
        </row>
        <row r="964">
          <cell r="K964" t="str">
            <v>213006</v>
          </cell>
          <cell r="M964">
            <v>2</v>
          </cell>
          <cell r="R964">
            <v>45945</v>
          </cell>
          <cell r="S964">
            <v>213006</v>
          </cell>
        </row>
        <row r="965">
          <cell r="K965" t="str">
            <v>227014</v>
          </cell>
          <cell r="M965">
            <v>1</v>
          </cell>
          <cell r="R965">
            <v>45945</v>
          </cell>
          <cell r="S965">
            <v>227014</v>
          </cell>
        </row>
        <row r="966">
          <cell r="K966" t="str">
            <v>223002</v>
          </cell>
          <cell r="M966">
            <v>2</v>
          </cell>
          <cell r="R966">
            <v>45945</v>
          </cell>
          <cell r="S966">
            <v>223002</v>
          </cell>
        </row>
        <row r="967">
          <cell r="K967" t="str">
            <v>227014</v>
          </cell>
          <cell r="M967">
            <v>1</v>
          </cell>
          <cell r="R967">
            <v>45945</v>
          </cell>
          <cell r="S967">
            <v>227014</v>
          </cell>
        </row>
        <row r="968">
          <cell r="K968" t="str">
            <v>226001</v>
          </cell>
          <cell r="M968">
            <v>1</v>
          </cell>
          <cell r="R968">
            <v>45946</v>
          </cell>
          <cell r="S968">
            <v>226001</v>
          </cell>
        </row>
        <row r="969">
          <cell r="K969" t="str">
            <v>217011</v>
          </cell>
          <cell r="M969">
            <v>3</v>
          </cell>
          <cell r="R969">
            <v>45946</v>
          </cell>
          <cell r="S969">
            <v>217011</v>
          </cell>
        </row>
        <row r="970">
          <cell r="K970" t="str">
            <v>226024</v>
          </cell>
          <cell r="M970">
            <v>1</v>
          </cell>
          <cell r="R970">
            <v>45946</v>
          </cell>
          <cell r="S970">
            <v>226024</v>
          </cell>
        </row>
        <row r="971">
          <cell r="K971" t="str">
            <v>217011</v>
          </cell>
          <cell r="M971">
            <v>1</v>
          </cell>
          <cell r="R971">
            <v>45946</v>
          </cell>
          <cell r="S971">
            <v>217011</v>
          </cell>
        </row>
        <row r="972">
          <cell r="K972" t="str">
            <v>226001</v>
          </cell>
          <cell r="M972">
            <v>2</v>
          </cell>
          <cell r="R972">
            <v>45944</v>
          </cell>
          <cell r="S972">
            <v>226001</v>
          </cell>
        </row>
        <row r="973">
          <cell r="K973" t="str">
            <v>220003</v>
          </cell>
          <cell r="M973">
            <v>1</v>
          </cell>
          <cell r="R973">
            <v>45946</v>
          </cell>
          <cell r="S973">
            <v>220003</v>
          </cell>
        </row>
        <row r="974">
          <cell r="K974" t="str">
            <v>227012</v>
          </cell>
          <cell r="M974">
            <v>1</v>
          </cell>
          <cell r="R974">
            <v>45946</v>
          </cell>
          <cell r="S974">
            <v>227012</v>
          </cell>
        </row>
        <row r="975">
          <cell r="K975" t="str">
            <v>226009</v>
          </cell>
          <cell r="M975">
            <v>1</v>
          </cell>
          <cell r="R975">
            <v>45946</v>
          </cell>
          <cell r="S975">
            <v>226009</v>
          </cell>
        </row>
        <row r="976">
          <cell r="K976" t="str">
            <v>220002</v>
          </cell>
          <cell r="M976">
            <v>3</v>
          </cell>
          <cell r="R976">
            <v>45946</v>
          </cell>
          <cell r="S976">
            <v>220002</v>
          </cell>
        </row>
        <row r="977">
          <cell r="K977" t="str">
            <v>227014</v>
          </cell>
          <cell r="M977">
            <v>1</v>
          </cell>
          <cell r="R977">
            <v>45946</v>
          </cell>
          <cell r="S977">
            <v>227014</v>
          </cell>
        </row>
        <row r="978">
          <cell r="K978" t="str">
            <v>213005</v>
          </cell>
          <cell r="M978">
            <v>1</v>
          </cell>
          <cell r="R978">
            <v>45946</v>
          </cell>
          <cell r="S978">
            <v>213005</v>
          </cell>
        </row>
        <row r="979">
          <cell r="K979" t="str">
            <v>220002</v>
          </cell>
          <cell r="M979">
            <v>5</v>
          </cell>
          <cell r="R979">
            <v>45947</v>
          </cell>
          <cell r="S979">
            <v>220002</v>
          </cell>
        </row>
        <row r="980">
          <cell r="K980" t="str">
            <v>261004</v>
          </cell>
          <cell r="M980">
            <v>1</v>
          </cell>
          <cell r="R980">
            <v>45947</v>
          </cell>
          <cell r="S980">
            <v>261004</v>
          </cell>
        </row>
        <row r="981">
          <cell r="K981" t="str">
            <v>220002</v>
          </cell>
          <cell r="M981">
            <v>1</v>
          </cell>
          <cell r="R981">
            <v>45947</v>
          </cell>
          <cell r="S981">
            <v>220002</v>
          </cell>
        </row>
        <row r="982">
          <cell r="K982" t="str">
            <v>226001</v>
          </cell>
          <cell r="M982">
            <v>1</v>
          </cell>
          <cell r="R982">
            <v>45947</v>
          </cell>
          <cell r="S982">
            <v>226001</v>
          </cell>
        </row>
        <row r="983">
          <cell r="K983" t="str">
            <v>226025</v>
          </cell>
          <cell r="M983">
            <v>2</v>
          </cell>
          <cell r="R983">
            <v>45947</v>
          </cell>
          <cell r="S983">
            <v>226025</v>
          </cell>
        </row>
        <row r="984">
          <cell r="K984" t="str">
            <v>226001</v>
          </cell>
          <cell r="M984">
            <v>2</v>
          </cell>
          <cell r="R984">
            <v>45947</v>
          </cell>
          <cell r="S984">
            <v>226001</v>
          </cell>
        </row>
        <row r="985">
          <cell r="K985" t="str">
            <v>201021</v>
          </cell>
          <cell r="M985">
            <v>1</v>
          </cell>
          <cell r="R985">
            <v>45947</v>
          </cell>
          <cell r="S985">
            <v>201021</v>
          </cell>
        </row>
        <row r="986">
          <cell r="K986" t="str">
            <v>203001</v>
          </cell>
          <cell r="M986">
            <v>1</v>
          </cell>
          <cell r="R986">
            <v>45950</v>
          </cell>
          <cell r="S986">
            <v>203001</v>
          </cell>
        </row>
        <row r="987">
          <cell r="K987" t="str">
            <v>228001</v>
          </cell>
          <cell r="M987">
            <v>1</v>
          </cell>
          <cell r="R987">
            <v>45950</v>
          </cell>
          <cell r="S987">
            <v>228001</v>
          </cell>
        </row>
        <row r="988">
          <cell r="K988" t="str">
            <v>220002</v>
          </cell>
          <cell r="M988">
            <v>1</v>
          </cell>
          <cell r="R988">
            <v>45950</v>
          </cell>
          <cell r="S988">
            <v>220002</v>
          </cell>
        </row>
        <row r="989">
          <cell r="K989" t="str">
            <v>226001</v>
          </cell>
          <cell r="M989">
            <v>1</v>
          </cell>
          <cell r="R989">
            <v>45950</v>
          </cell>
          <cell r="S989">
            <v>226001</v>
          </cell>
        </row>
        <row r="990">
          <cell r="K990" t="str">
            <v>220003</v>
          </cell>
          <cell r="M990">
            <v>1</v>
          </cell>
          <cell r="R990">
            <v>45950</v>
          </cell>
          <cell r="S990">
            <v>220003</v>
          </cell>
        </row>
        <row r="991">
          <cell r="K991" t="str">
            <v>220002</v>
          </cell>
          <cell r="M991">
            <v>2</v>
          </cell>
          <cell r="R991">
            <v>45950</v>
          </cell>
          <cell r="S991">
            <v>220002</v>
          </cell>
        </row>
        <row r="992">
          <cell r="K992" t="str">
            <v>220002</v>
          </cell>
          <cell r="M992">
            <v>1</v>
          </cell>
          <cell r="R992">
            <v>45950</v>
          </cell>
          <cell r="S992">
            <v>220002</v>
          </cell>
        </row>
        <row r="993">
          <cell r="K993" t="str">
            <v>220002</v>
          </cell>
          <cell r="M993">
            <v>1</v>
          </cell>
          <cell r="R993">
            <v>45950</v>
          </cell>
          <cell r="S993">
            <v>220002</v>
          </cell>
        </row>
        <row r="994">
          <cell r="K994" t="str">
            <v>261003</v>
          </cell>
          <cell r="M994">
            <v>1</v>
          </cell>
          <cell r="R994">
            <v>45950</v>
          </cell>
          <cell r="S994">
            <v>261003</v>
          </cell>
        </row>
        <row r="995">
          <cell r="K995" t="str">
            <v>231012</v>
          </cell>
          <cell r="M995">
            <v>1</v>
          </cell>
          <cell r="R995">
            <v>45950</v>
          </cell>
          <cell r="S995">
            <v>231012</v>
          </cell>
        </row>
        <row r="996">
          <cell r="K996" t="str">
            <v>206006</v>
          </cell>
          <cell r="M996">
            <v>1</v>
          </cell>
          <cell r="R996">
            <v>45950</v>
          </cell>
          <cell r="S996">
            <v>206006</v>
          </cell>
        </row>
        <row r="997">
          <cell r="K997" t="str">
            <v>223001</v>
          </cell>
          <cell r="M997">
            <v>1</v>
          </cell>
          <cell r="R997">
            <v>45950</v>
          </cell>
          <cell r="S997">
            <v>223001</v>
          </cell>
        </row>
        <row r="998">
          <cell r="K998" t="str">
            <v>226001</v>
          </cell>
          <cell r="M998">
            <v>1</v>
          </cell>
          <cell r="R998">
            <v>45950</v>
          </cell>
          <cell r="S998">
            <v>226001</v>
          </cell>
        </row>
        <row r="999">
          <cell r="K999" t="str">
            <v>201003</v>
          </cell>
          <cell r="M999">
            <v>1</v>
          </cell>
          <cell r="R999">
            <v>45950</v>
          </cell>
          <cell r="S999">
            <v>201003</v>
          </cell>
        </row>
        <row r="1000">
          <cell r="K1000" t="str">
            <v>203001</v>
          </cell>
          <cell r="M1000">
            <v>1</v>
          </cell>
          <cell r="R1000">
            <v>45950</v>
          </cell>
          <cell r="S1000">
            <v>203001</v>
          </cell>
        </row>
        <row r="1001">
          <cell r="K1001" t="str">
            <v>220003</v>
          </cell>
          <cell r="M1001">
            <v>2</v>
          </cell>
          <cell r="R1001">
            <v>45951</v>
          </cell>
          <cell r="S1001">
            <v>220003</v>
          </cell>
        </row>
        <row r="1002">
          <cell r="K1002" t="str">
            <v>213002</v>
          </cell>
          <cell r="M1002">
            <v>1</v>
          </cell>
          <cell r="R1002">
            <v>45951</v>
          </cell>
          <cell r="S1002">
            <v>213002</v>
          </cell>
        </row>
        <row r="1003">
          <cell r="K1003" t="str">
            <v>201004</v>
          </cell>
          <cell r="M1003">
            <v>1</v>
          </cell>
          <cell r="R1003">
            <v>45951</v>
          </cell>
          <cell r="S1003">
            <v>201004</v>
          </cell>
        </row>
        <row r="1004">
          <cell r="K1004" t="str">
            <v>226001</v>
          </cell>
          <cell r="M1004">
            <v>1</v>
          </cell>
          <cell r="R1004">
            <v>45951</v>
          </cell>
          <cell r="S1004">
            <v>226001</v>
          </cell>
        </row>
        <row r="1005">
          <cell r="K1005" t="str">
            <v>220003</v>
          </cell>
          <cell r="M1005">
            <v>1</v>
          </cell>
          <cell r="R1005">
            <v>45951</v>
          </cell>
          <cell r="S1005">
            <v>220003</v>
          </cell>
        </row>
        <row r="1006">
          <cell r="K1006" t="str">
            <v>220002</v>
          </cell>
          <cell r="M1006">
            <v>1</v>
          </cell>
          <cell r="R1006">
            <v>45951</v>
          </cell>
          <cell r="S1006">
            <v>220002</v>
          </cell>
        </row>
        <row r="1007">
          <cell r="K1007" t="str">
            <v>227001</v>
          </cell>
          <cell r="M1007">
            <v>1</v>
          </cell>
          <cell r="R1007">
            <v>45952</v>
          </cell>
          <cell r="S1007">
            <v>227001</v>
          </cell>
        </row>
        <row r="1008">
          <cell r="K1008" t="str">
            <v>217011</v>
          </cell>
          <cell r="M1008">
            <v>1</v>
          </cell>
          <cell r="R1008">
            <v>45952</v>
          </cell>
          <cell r="S1008">
            <v>217011</v>
          </cell>
        </row>
        <row r="1009">
          <cell r="K1009" t="str">
            <v>220002</v>
          </cell>
          <cell r="M1009">
            <v>1</v>
          </cell>
          <cell r="R1009">
            <v>45952</v>
          </cell>
          <cell r="S1009">
            <v>220002</v>
          </cell>
        </row>
        <row r="1010">
          <cell r="K1010" t="str">
            <v>223001</v>
          </cell>
          <cell r="M1010">
            <v>1</v>
          </cell>
          <cell r="R1010">
            <v>45952</v>
          </cell>
          <cell r="S1010">
            <v>223001</v>
          </cell>
        </row>
        <row r="1011">
          <cell r="K1011" t="str">
            <v>223002</v>
          </cell>
          <cell r="M1011">
            <v>2</v>
          </cell>
          <cell r="R1011">
            <v>45952</v>
          </cell>
          <cell r="S1011">
            <v>223002</v>
          </cell>
        </row>
        <row r="1012">
          <cell r="K1012" t="str">
            <v>226001</v>
          </cell>
          <cell r="M1012">
            <v>2</v>
          </cell>
          <cell r="R1012">
            <v>45952</v>
          </cell>
          <cell r="S1012">
            <v>226001</v>
          </cell>
        </row>
        <row r="1013">
          <cell r="K1013" t="str">
            <v>207002</v>
          </cell>
          <cell r="M1013">
            <v>2</v>
          </cell>
          <cell r="R1013">
            <v>45952</v>
          </cell>
          <cell r="S1013">
            <v>207002</v>
          </cell>
        </row>
        <row r="1014">
          <cell r="K1014" t="str">
            <v>226025</v>
          </cell>
          <cell r="M1014">
            <v>1</v>
          </cell>
          <cell r="R1014">
            <v>45952</v>
          </cell>
          <cell r="S1014">
            <v>226025</v>
          </cell>
        </row>
        <row r="1015">
          <cell r="K1015" t="str">
            <v>227002</v>
          </cell>
          <cell r="M1015">
            <v>1</v>
          </cell>
          <cell r="R1015">
            <v>45952</v>
          </cell>
          <cell r="S1015">
            <v>227002</v>
          </cell>
        </row>
        <row r="1016">
          <cell r="K1016" t="str">
            <v>217011</v>
          </cell>
          <cell r="M1016">
            <v>2</v>
          </cell>
          <cell r="R1016">
            <v>45953</v>
          </cell>
          <cell r="S1016">
            <v>217011</v>
          </cell>
        </row>
        <row r="1017">
          <cell r="K1017" t="str">
            <v>226001</v>
          </cell>
          <cell r="M1017">
            <v>2</v>
          </cell>
          <cell r="R1017">
            <v>45953</v>
          </cell>
          <cell r="S1017">
            <v>226001</v>
          </cell>
        </row>
        <row r="1018">
          <cell r="K1018" t="str">
            <v>217018</v>
          </cell>
          <cell r="M1018">
            <v>1</v>
          </cell>
          <cell r="R1018">
            <v>45953</v>
          </cell>
          <cell r="S1018">
            <v>217018</v>
          </cell>
        </row>
        <row r="1019">
          <cell r="K1019" t="str">
            <v>210013</v>
          </cell>
          <cell r="M1019">
            <v>1</v>
          </cell>
          <cell r="R1019">
            <v>45953</v>
          </cell>
          <cell r="S1019">
            <v>210013</v>
          </cell>
        </row>
        <row r="1020">
          <cell r="K1020" t="str">
            <v>210003</v>
          </cell>
          <cell r="M1020">
            <v>1</v>
          </cell>
          <cell r="R1020">
            <v>45953</v>
          </cell>
          <cell r="S1020">
            <v>210003</v>
          </cell>
        </row>
        <row r="1021">
          <cell r="K1021" t="str">
            <v>231012</v>
          </cell>
          <cell r="M1021">
            <v>6</v>
          </cell>
          <cell r="R1021">
            <v>45953</v>
          </cell>
          <cell r="S1021">
            <v>231012</v>
          </cell>
        </row>
        <row r="1022">
          <cell r="K1022" t="str">
            <v>201004</v>
          </cell>
          <cell r="M1022">
            <v>1</v>
          </cell>
          <cell r="R1022">
            <v>45953</v>
          </cell>
          <cell r="S1022">
            <v>201004</v>
          </cell>
        </row>
        <row r="1023">
          <cell r="K1023" t="str">
            <v>220002</v>
          </cell>
          <cell r="M1023">
            <v>1</v>
          </cell>
          <cell r="R1023">
            <v>45953</v>
          </cell>
          <cell r="S1023">
            <v>220002</v>
          </cell>
        </row>
        <row r="1024">
          <cell r="K1024" t="str">
            <v>226001</v>
          </cell>
          <cell r="M1024">
            <v>1</v>
          </cell>
          <cell r="R1024">
            <v>45953</v>
          </cell>
          <cell r="S1024">
            <v>226001</v>
          </cell>
        </row>
        <row r="1025">
          <cell r="K1025" t="str">
            <v>226025</v>
          </cell>
          <cell r="M1025">
            <v>1</v>
          </cell>
          <cell r="R1025">
            <v>45954</v>
          </cell>
          <cell r="S1025">
            <v>226025</v>
          </cell>
        </row>
        <row r="1026">
          <cell r="K1026" t="str">
            <v>210014</v>
          </cell>
          <cell r="M1026">
            <v>1</v>
          </cell>
          <cell r="R1026">
            <v>45954</v>
          </cell>
          <cell r="S1026">
            <v>210014</v>
          </cell>
        </row>
        <row r="1027">
          <cell r="K1027" t="str">
            <v>207017</v>
          </cell>
          <cell r="M1027">
            <v>1</v>
          </cell>
          <cell r="R1027">
            <v>45954</v>
          </cell>
          <cell r="S1027">
            <v>207017</v>
          </cell>
        </row>
        <row r="1028">
          <cell r="K1028" t="str">
            <v>217011</v>
          </cell>
          <cell r="M1028">
            <v>1</v>
          </cell>
          <cell r="R1028">
            <v>45954</v>
          </cell>
          <cell r="S1028">
            <v>217011</v>
          </cell>
        </row>
        <row r="1029">
          <cell r="K1029" t="str">
            <v>222004</v>
          </cell>
          <cell r="M1029">
            <v>1</v>
          </cell>
          <cell r="R1029">
            <v>45954</v>
          </cell>
          <cell r="S1029">
            <v>222004</v>
          </cell>
        </row>
        <row r="1030">
          <cell r="K1030" t="str">
            <v>226024</v>
          </cell>
          <cell r="M1030">
            <v>1</v>
          </cell>
          <cell r="R1030">
            <v>45954</v>
          </cell>
          <cell r="S1030">
            <v>226024</v>
          </cell>
        </row>
        <row r="1031">
          <cell r="K1031" t="str">
            <v>220002</v>
          </cell>
          <cell r="M1031">
            <v>1</v>
          </cell>
          <cell r="R1031">
            <v>45954</v>
          </cell>
          <cell r="S1031">
            <v>220002</v>
          </cell>
        </row>
        <row r="1032">
          <cell r="K1032" t="str">
            <v>201004</v>
          </cell>
          <cell r="M1032">
            <v>1</v>
          </cell>
          <cell r="R1032">
            <v>45957</v>
          </cell>
          <cell r="S1032">
            <v>201004</v>
          </cell>
        </row>
        <row r="1033">
          <cell r="K1033" t="str">
            <v>220002</v>
          </cell>
          <cell r="M1033">
            <v>2</v>
          </cell>
          <cell r="R1033">
            <v>45957</v>
          </cell>
          <cell r="S1033">
            <v>220002</v>
          </cell>
        </row>
        <row r="1034">
          <cell r="K1034" t="str">
            <v>220002</v>
          </cell>
          <cell r="M1034">
            <v>2</v>
          </cell>
          <cell r="R1034">
            <v>45957</v>
          </cell>
          <cell r="S1034">
            <v>220002</v>
          </cell>
        </row>
        <row r="1035">
          <cell r="K1035" t="str">
            <v>225001</v>
          </cell>
          <cell r="M1035">
            <v>1</v>
          </cell>
          <cell r="R1035">
            <v>45957</v>
          </cell>
          <cell r="S1035">
            <v>225001</v>
          </cell>
        </row>
        <row r="1036">
          <cell r="K1036" t="str">
            <v>227001</v>
          </cell>
          <cell r="M1036">
            <v>1</v>
          </cell>
          <cell r="R1036">
            <v>45957</v>
          </cell>
          <cell r="S1036">
            <v>227001</v>
          </cell>
        </row>
        <row r="1037">
          <cell r="K1037" t="str">
            <v>203004</v>
          </cell>
          <cell r="M1037">
            <v>1</v>
          </cell>
          <cell r="R1037">
            <v>45957</v>
          </cell>
          <cell r="S1037">
            <v>203004</v>
          </cell>
        </row>
        <row r="1038">
          <cell r="K1038" t="str">
            <v>226025</v>
          </cell>
          <cell r="M1038">
            <v>1</v>
          </cell>
          <cell r="R1038">
            <v>45957</v>
          </cell>
          <cell r="S1038">
            <v>226025</v>
          </cell>
        </row>
        <row r="1039">
          <cell r="K1039" t="str">
            <v>206002</v>
          </cell>
          <cell r="M1039">
            <v>1</v>
          </cell>
          <cell r="R1039">
            <v>45957</v>
          </cell>
          <cell r="S1039">
            <v>206002</v>
          </cell>
        </row>
        <row r="1040">
          <cell r="K1040" t="str">
            <v>208001</v>
          </cell>
          <cell r="M1040">
            <v>1</v>
          </cell>
          <cell r="R1040">
            <v>45957</v>
          </cell>
          <cell r="S1040">
            <v>208001</v>
          </cell>
        </row>
        <row r="1041">
          <cell r="K1041" t="str">
            <v>214002</v>
          </cell>
          <cell r="M1041">
            <v>1</v>
          </cell>
          <cell r="R1041">
            <v>45957</v>
          </cell>
          <cell r="S1041">
            <v>214002</v>
          </cell>
        </row>
        <row r="1042">
          <cell r="K1042" t="str">
            <v>217011</v>
          </cell>
          <cell r="M1042">
            <v>1</v>
          </cell>
          <cell r="R1042">
            <v>45957</v>
          </cell>
          <cell r="S1042">
            <v>217011</v>
          </cell>
        </row>
        <row r="1043">
          <cell r="K1043" t="str">
            <v>228001</v>
          </cell>
          <cell r="M1043">
            <v>1</v>
          </cell>
          <cell r="R1043">
            <v>45957</v>
          </cell>
          <cell r="S1043">
            <v>228001</v>
          </cell>
        </row>
        <row r="1044">
          <cell r="K1044" t="str">
            <v>226001</v>
          </cell>
          <cell r="M1044">
            <v>2</v>
          </cell>
          <cell r="R1044">
            <v>45957</v>
          </cell>
          <cell r="S1044">
            <v>226001</v>
          </cell>
        </row>
        <row r="1045">
          <cell r="K1045" t="str">
            <v>227014</v>
          </cell>
          <cell r="M1045">
            <v>1</v>
          </cell>
          <cell r="R1045">
            <v>45957</v>
          </cell>
          <cell r="S1045">
            <v>227014</v>
          </cell>
        </row>
        <row r="1046">
          <cell r="K1046" t="str">
            <v>231012</v>
          </cell>
          <cell r="M1046">
            <v>1</v>
          </cell>
          <cell r="R1046">
            <v>45958</v>
          </cell>
          <cell r="S1046">
            <v>231012</v>
          </cell>
        </row>
        <row r="1047">
          <cell r="K1047" t="str">
            <v>220002</v>
          </cell>
          <cell r="M1047">
            <v>1</v>
          </cell>
          <cell r="R1047">
            <v>45958</v>
          </cell>
          <cell r="S1047">
            <v>220002</v>
          </cell>
        </row>
        <row r="1048">
          <cell r="K1048" t="str">
            <v>220002</v>
          </cell>
          <cell r="M1048">
            <v>2</v>
          </cell>
          <cell r="R1048">
            <v>45958</v>
          </cell>
          <cell r="S1048">
            <v>220002</v>
          </cell>
        </row>
        <row r="1049">
          <cell r="K1049" t="str">
            <v>228001</v>
          </cell>
          <cell r="M1049">
            <v>1</v>
          </cell>
          <cell r="R1049">
            <v>45958</v>
          </cell>
          <cell r="S1049">
            <v>228001</v>
          </cell>
        </row>
        <row r="1050">
          <cell r="K1050" t="str">
            <v>209016</v>
          </cell>
          <cell r="M1050">
            <v>1</v>
          </cell>
          <cell r="R1050">
            <v>45958</v>
          </cell>
          <cell r="S1050">
            <v>209016</v>
          </cell>
        </row>
        <row r="1051">
          <cell r="K1051" t="str">
            <v>209004</v>
          </cell>
          <cell r="M1051">
            <v>1</v>
          </cell>
          <cell r="R1051">
            <v>45958</v>
          </cell>
          <cell r="S1051">
            <v>209004</v>
          </cell>
        </row>
        <row r="1052">
          <cell r="K1052" t="str">
            <v>220002</v>
          </cell>
          <cell r="M1052">
            <v>1</v>
          </cell>
          <cell r="R1052">
            <v>45958</v>
          </cell>
          <cell r="S1052">
            <v>220002</v>
          </cell>
        </row>
        <row r="1053">
          <cell r="K1053" t="str">
            <v>207017</v>
          </cell>
          <cell r="M1053">
            <v>1</v>
          </cell>
          <cell r="R1053">
            <v>45958</v>
          </cell>
          <cell r="S1053">
            <v>207017</v>
          </cell>
        </row>
        <row r="1054">
          <cell r="K1054" t="str">
            <v>201003</v>
          </cell>
          <cell r="M1054">
            <v>1</v>
          </cell>
          <cell r="R1054">
            <v>45958</v>
          </cell>
          <cell r="S1054">
            <v>201003</v>
          </cell>
        </row>
        <row r="1055">
          <cell r="K1055" t="str">
            <v>226001</v>
          </cell>
          <cell r="M1055">
            <v>1</v>
          </cell>
          <cell r="R1055">
            <v>45959</v>
          </cell>
          <cell r="S1055">
            <v>226001</v>
          </cell>
        </row>
        <row r="1056">
          <cell r="K1056" t="str">
            <v>201003</v>
          </cell>
          <cell r="M1056">
            <v>2</v>
          </cell>
          <cell r="R1056">
            <v>45959</v>
          </cell>
          <cell r="S1056">
            <v>201003</v>
          </cell>
        </row>
        <row r="1057">
          <cell r="K1057" t="str">
            <v>226025</v>
          </cell>
          <cell r="M1057">
            <v>2</v>
          </cell>
          <cell r="R1057">
            <v>45959</v>
          </cell>
          <cell r="S1057">
            <v>226025</v>
          </cell>
        </row>
        <row r="1058">
          <cell r="K1058" t="str">
            <v>226001</v>
          </cell>
          <cell r="M1058">
            <v>1</v>
          </cell>
          <cell r="R1058">
            <v>45959</v>
          </cell>
          <cell r="S1058">
            <v>226001</v>
          </cell>
        </row>
        <row r="1059">
          <cell r="K1059" t="str">
            <v>201003</v>
          </cell>
          <cell r="M1059">
            <v>1</v>
          </cell>
          <cell r="R1059">
            <v>45959</v>
          </cell>
          <cell r="S1059">
            <v>201003</v>
          </cell>
        </row>
        <row r="1060">
          <cell r="K1060" t="str">
            <v>226001</v>
          </cell>
          <cell r="M1060">
            <v>1</v>
          </cell>
          <cell r="R1060">
            <v>45959</v>
          </cell>
          <cell r="S1060">
            <v>226001</v>
          </cell>
        </row>
        <row r="1061">
          <cell r="K1061" t="str">
            <v>226025</v>
          </cell>
          <cell r="M1061">
            <v>1</v>
          </cell>
          <cell r="R1061">
            <v>45959</v>
          </cell>
          <cell r="S1061">
            <v>226025</v>
          </cell>
        </row>
        <row r="1062">
          <cell r="K1062" t="str">
            <v>220003</v>
          </cell>
          <cell r="M1062">
            <v>1</v>
          </cell>
          <cell r="R1062">
            <v>45959</v>
          </cell>
          <cell r="S1062">
            <v>220003</v>
          </cell>
        </row>
        <row r="1063">
          <cell r="K1063" t="str">
            <v>220002</v>
          </cell>
          <cell r="M1063">
            <v>1</v>
          </cell>
          <cell r="R1063">
            <v>45959</v>
          </cell>
          <cell r="S1063">
            <v>220002</v>
          </cell>
        </row>
        <row r="1064">
          <cell r="K1064" t="str">
            <v>201009</v>
          </cell>
          <cell r="M1064">
            <v>2</v>
          </cell>
          <cell r="R1064">
            <v>45960</v>
          </cell>
          <cell r="S1064">
            <v>201009</v>
          </cell>
        </row>
        <row r="1065">
          <cell r="K1065" t="str">
            <v>201004</v>
          </cell>
          <cell r="M1065">
            <v>1</v>
          </cell>
          <cell r="R1065">
            <v>45960</v>
          </cell>
          <cell r="S1065">
            <v>201004</v>
          </cell>
        </row>
        <row r="1066">
          <cell r="K1066" t="str">
            <v>226025</v>
          </cell>
          <cell r="M1066">
            <v>2</v>
          </cell>
          <cell r="R1066">
            <v>45960</v>
          </cell>
          <cell r="S1066">
            <v>226025</v>
          </cell>
        </row>
        <row r="1067">
          <cell r="K1067" t="str">
            <v>220002</v>
          </cell>
          <cell r="M1067">
            <v>1</v>
          </cell>
          <cell r="R1067">
            <v>45960</v>
          </cell>
          <cell r="S1067">
            <v>220002</v>
          </cell>
        </row>
        <row r="1068">
          <cell r="K1068" t="str">
            <v>220002</v>
          </cell>
          <cell r="M1068">
            <v>1</v>
          </cell>
          <cell r="R1068">
            <v>45960</v>
          </cell>
          <cell r="S1068">
            <v>220002</v>
          </cell>
        </row>
        <row r="1069">
          <cell r="K1069" t="str">
            <v>217011</v>
          </cell>
          <cell r="M1069">
            <v>1</v>
          </cell>
          <cell r="R1069">
            <v>45964</v>
          </cell>
          <cell r="S1069">
            <v>217011</v>
          </cell>
        </row>
        <row r="1070">
          <cell r="K1070" t="str">
            <v>220002</v>
          </cell>
          <cell r="M1070">
            <v>1</v>
          </cell>
          <cell r="R1070">
            <v>45964</v>
          </cell>
          <cell r="S1070">
            <v>220002</v>
          </cell>
        </row>
        <row r="1071">
          <cell r="K1071" t="str">
            <v>217011</v>
          </cell>
          <cell r="M1071">
            <v>1</v>
          </cell>
          <cell r="R1071">
            <v>45964</v>
          </cell>
          <cell r="S1071">
            <v>217011</v>
          </cell>
        </row>
        <row r="1072">
          <cell r="K1072" t="str">
            <v>220002</v>
          </cell>
          <cell r="M1072">
            <v>1</v>
          </cell>
          <cell r="R1072">
            <v>45964</v>
          </cell>
          <cell r="S1072">
            <v>220002</v>
          </cell>
        </row>
        <row r="1073">
          <cell r="K1073" t="str">
            <v>213002</v>
          </cell>
          <cell r="M1073">
            <v>3</v>
          </cell>
          <cell r="R1073">
            <v>45964</v>
          </cell>
          <cell r="S1073">
            <v>213002</v>
          </cell>
        </row>
        <row r="1074">
          <cell r="K1074" t="str">
            <v>220002</v>
          </cell>
          <cell r="M1074">
            <v>1</v>
          </cell>
          <cell r="R1074">
            <v>45964</v>
          </cell>
          <cell r="S1074">
            <v>220002</v>
          </cell>
        </row>
        <row r="1075">
          <cell r="K1075" t="str">
            <v>220002</v>
          </cell>
          <cell r="M1075">
            <v>1</v>
          </cell>
          <cell r="R1075">
            <v>45964</v>
          </cell>
          <cell r="S1075">
            <v>220002</v>
          </cell>
        </row>
        <row r="1076">
          <cell r="K1076" t="str">
            <v>223005</v>
          </cell>
          <cell r="M1076">
            <v>1</v>
          </cell>
          <cell r="R1076">
            <v>45964</v>
          </cell>
          <cell r="S1076">
            <v>223005</v>
          </cell>
        </row>
        <row r="1077">
          <cell r="K1077" t="str">
            <v>220002</v>
          </cell>
          <cell r="M1077">
            <v>1</v>
          </cell>
          <cell r="R1077">
            <v>45964</v>
          </cell>
          <cell r="S1077">
            <v>220002</v>
          </cell>
        </row>
        <row r="1078">
          <cell r="K1078" t="str">
            <v>220002</v>
          </cell>
          <cell r="M1078">
            <v>2</v>
          </cell>
          <cell r="R1078">
            <v>45964</v>
          </cell>
          <cell r="S1078">
            <v>220002</v>
          </cell>
        </row>
        <row r="1079">
          <cell r="K1079" t="str">
            <v>201004</v>
          </cell>
          <cell r="M1079">
            <v>1</v>
          </cell>
          <cell r="R1079">
            <v>45964</v>
          </cell>
          <cell r="S1079">
            <v>201004</v>
          </cell>
        </row>
        <row r="1080">
          <cell r="K1080" t="str">
            <v>226025</v>
          </cell>
          <cell r="M1080">
            <v>4</v>
          </cell>
          <cell r="R1080">
            <v>45964</v>
          </cell>
          <cell r="S1080">
            <v>226025</v>
          </cell>
        </row>
        <row r="1081">
          <cell r="K1081" t="str">
            <v>220002</v>
          </cell>
          <cell r="M1081">
            <v>1</v>
          </cell>
          <cell r="R1081">
            <v>45964</v>
          </cell>
          <cell r="S1081">
            <v>220002</v>
          </cell>
        </row>
        <row r="1082">
          <cell r="K1082" t="str">
            <v>203003</v>
          </cell>
          <cell r="M1082">
            <v>1</v>
          </cell>
          <cell r="R1082">
            <v>45964</v>
          </cell>
          <cell r="S1082">
            <v>203003</v>
          </cell>
        </row>
        <row r="1083">
          <cell r="K1083" t="str">
            <v>226027</v>
          </cell>
          <cell r="M1083">
            <v>1</v>
          </cell>
          <cell r="R1083">
            <v>45964</v>
          </cell>
          <cell r="S1083">
            <v>226027</v>
          </cell>
        </row>
        <row r="1084">
          <cell r="K1084" t="str">
            <v>229003</v>
          </cell>
          <cell r="M1084">
            <v>1</v>
          </cell>
          <cell r="R1084">
            <v>45964</v>
          </cell>
          <cell r="S1084">
            <v>229003</v>
          </cell>
        </row>
        <row r="1085">
          <cell r="K1085" t="str">
            <v>220002</v>
          </cell>
          <cell r="M1085">
            <v>1</v>
          </cell>
          <cell r="R1085">
            <v>45964</v>
          </cell>
          <cell r="S1085">
            <v>220002</v>
          </cell>
        </row>
        <row r="1086">
          <cell r="K1086" t="str">
            <v>226001</v>
          </cell>
          <cell r="M1086">
            <v>1</v>
          </cell>
          <cell r="R1086">
            <v>45964</v>
          </cell>
          <cell r="S1086">
            <v>226001</v>
          </cell>
        </row>
        <row r="1087">
          <cell r="K1087" t="str">
            <v>220002</v>
          </cell>
          <cell r="M1087">
            <v>2</v>
          </cell>
          <cell r="R1087">
            <v>45965</v>
          </cell>
          <cell r="S1087">
            <v>220002</v>
          </cell>
        </row>
        <row r="1088">
          <cell r="K1088" t="str">
            <v>221001</v>
          </cell>
          <cell r="M1088">
            <v>1</v>
          </cell>
          <cell r="R1088">
            <v>45965</v>
          </cell>
          <cell r="S1088">
            <v>221001</v>
          </cell>
        </row>
        <row r="1089">
          <cell r="K1089" t="str">
            <v>220002</v>
          </cell>
          <cell r="M1089">
            <v>1</v>
          </cell>
          <cell r="R1089">
            <v>45965</v>
          </cell>
          <cell r="S1089">
            <v>220002</v>
          </cell>
        </row>
        <row r="1090">
          <cell r="K1090" t="str">
            <v>220002</v>
          </cell>
          <cell r="M1090">
            <v>1</v>
          </cell>
          <cell r="R1090">
            <v>45965</v>
          </cell>
          <cell r="S1090">
            <v>220002</v>
          </cell>
        </row>
        <row r="1091">
          <cell r="K1091" t="str">
            <v>231012</v>
          </cell>
          <cell r="M1091">
            <v>2</v>
          </cell>
          <cell r="R1091">
            <v>45965</v>
          </cell>
          <cell r="S1091">
            <v>231012</v>
          </cell>
        </row>
        <row r="1092">
          <cell r="K1092" t="str">
            <v>229004</v>
          </cell>
          <cell r="M1092">
            <v>1</v>
          </cell>
          <cell r="R1092">
            <v>45965</v>
          </cell>
          <cell r="S1092">
            <v>229004</v>
          </cell>
        </row>
        <row r="1093">
          <cell r="K1093" t="str">
            <v>217011</v>
          </cell>
          <cell r="M1093">
            <v>1</v>
          </cell>
          <cell r="R1093">
            <v>45965</v>
          </cell>
          <cell r="S1093">
            <v>217011</v>
          </cell>
        </row>
        <row r="1094">
          <cell r="K1094" t="str">
            <v>201003</v>
          </cell>
          <cell r="M1094">
            <v>1</v>
          </cell>
          <cell r="R1094">
            <v>45965</v>
          </cell>
          <cell r="S1094">
            <v>201003</v>
          </cell>
        </row>
        <row r="1095">
          <cell r="K1095" t="str">
            <v>217011</v>
          </cell>
          <cell r="M1095">
            <v>1</v>
          </cell>
          <cell r="R1095">
            <v>45965</v>
          </cell>
          <cell r="S1095">
            <v>217011</v>
          </cell>
        </row>
        <row r="1096">
          <cell r="K1096" t="str">
            <v>227014</v>
          </cell>
          <cell r="M1096">
            <v>1</v>
          </cell>
          <cell r="R1096">
            <v>45966</v>
          </cell>
          <cell r="S1096">
            <v>227014</v>
          </cell>
        </row>
        <row r="1097">
          <cell r="K1097" t="str">
            <v>220002</v>
          </cell>
          <cell r="M1097">
            <v>1</v>
          </cell>
          <cell r="R1097">
            <v>45966</v>
          </cell>
          <cell r="S1097">
            <v>220002</v>
          </cell>
        </row>
        <row r="1098">
          <cell r="K1098" t="str">
            <v>220002</v>
          </cell>
          <cell r="M1098">
            <v>1</v>
          </cell>
          <cell r="R1098">
            <v>45966</v>
          </cell>
          <cell r="S1098">
            <v>220002</v>
          </cell>
        </row>
        <row r="1099">
          <cell r="K1099" t="str">
            <v>209012</v>
          </cell>
          <cell r="M1099">
            <v>1</v>
          </cell>
          <cell r="R1099">
            <v>45966</v>
          </cell>
          <cell r="S1099">
            <v>209012</v>
          </cell>
        </row>
        <row r="1100">
          <cell r="K1100" t="str">
            <v>210014</v>
          </cell>
          <cell r="M1100">
            <v>1</v>
          </cell>
          <cell r="R1100">
            <v>45966</v>
          </cell>
          <cell r="S1100">
            <v>210014</v>
          </cell>
        </row>
        <row r="1101">
          <cell r="K1101" t="str">
            <v>201003</v>
          </cell>
          <cell r="M1101">
            <v>1</v>
          </cell>
          <cell r="R1101">
            <v>45966</v>
          </cell>
          <cell r="S1101">
            <v>201003</v>
          </cell>
        </row>
        <row r="1102">
          <cell r="K1102" t="str">
            <v>223002</v>
          </cell>
          <cell r="M1102">
            <v>2</v>
          </cell>
          <cell r="R1102">
            <v>45966</v>
          </cell>
          <cell r="S1102">
            <v>223002</v>
          </cell>
        </row>
        <row r="1103">
          <cell r="K1103" t="str">
            <v>226001</v>
          </cell>
          <cell r="M1103">
            <v>1</v>
          </cell>
          <cell r="R1103">
            <v>45966</v>
          </cell>
          <cell r="S1103">
            <v>226001</v>
          </cell>
        </row>
        <row r="1104">
          <cell r="K1104" t="str">
            <v>207002</v>
          </cell>
          <cell r="M1104">
            <v>1</v>
          </cell>
          <cell r="R1104">
            <v>45966</v>
          </cell>
          <cell r="S1104">
            <v>207002</v>
          </cell>
        </row>
        <row r="1105">
          <cell r="K1105" t="str">
            <v>226025</v>
          </cell>
          <cell r="M1105">
            <v>1</v>
          </cell>
          <cell r="R1105">
            <v>45966</v>
          </cell>
          <cell r="S1105">
            <v>226025</v>
          </cell>
        </row>
        <row r="1106">
          <cell r="K1106" t="str">
            <v>227002</v>
          </cell>
          <cell r="M1106">
            <v>1</v>
          </cell>
          <cell r="R1106">
            <v>45966</v>
          </cell>
          <cell r="S1106">
            <v>227002</v>
          </cell>
        </row>
        <row r="1107">
          <cell r="K1107" t="str">
            <v>203001</v>
          </cell>
          <cell r="M1107">
            <v>2</v>
          </cell>
          <cell r="R1107">
            <v>45966</v>
          </cell>
          <cell r="S1107">
            <v>203001</v>
          </cell>
        </row>
        <row r="1108">
          <cell r="K1108" t="str">
            <v>202001</v>
          </cell>
          <cell r="M1108">
            <v>1</v>
          </cell>
          <cell r="R1108">
            <v>45966</v>
          </cell>
          <cell r="S1108">
            <v>202001</v>
          </cell>
        </row>
        <row r="1109">
          <cell r="K1109" t="str">
            <v>220002</v>
          </cell>
          <cell r="M1109">
            <v>1</v>
          </cell>
          <cell r="R1109">
            <v>45966</v>
          </cell>
          <cell r="S1109">
            <v>220002</v>
          </cell>
        </row>
        <row r="1110">
          <cell r="K1110" t="str">
            <v>226001</v>
          </cell>
          <cell r="M1110">
            <v>1</v>
          </cell>
          <cell r="R1110">
            <v>45967</v>
          </cell>
          <cell r="S1110">
            <v>226001</v>
          </cell>
        </row>
        <row r="1111">
          <cell r="K1111" t="str">
            <v>226025</v>
          </cell>
          <cell r="M1111">
            <v>1</v>
          </cell>
          <cell r="R1111">
            <v>45967</v>
          </cell>
          <cell r="S1111">
            <v>226025</v>
          </cell>
        </row>
        <row r="1112">
          <cell r="K1112" t="str">
            <v>227010</v>
          </cell>
          <cell r="M1112">
            <v>1</v>
          </cell>
          <cell r="R1112">
            <v>45967</v>
          </cell>
          <cell r="S1112">
            <v>227010</v>
          </cell>
        </row>
        <row r="1113">
          <cell r="K1113" t="str">
            <v>226025</v>
          </cell>
          <cell r="M1113">
            <v>2</v>
          </cell>
          <cell r="R1113">
            <v>45967</v>
          </cell>
          <cell r="S1113">
            <v>226025</v>
          </cell>
        </row>
        <row r="1114">
          <cell r="K1114" t="str">
            <v>220002</v>
          </cell>
          <cell r="M1114">
            <v>2</v>
          </cell>
          <cell r="R1114">
            <v>45967</v>
          </cell>
          <cell r="S1114">
            <v>220002</v>
          </cell>
        </row>
        <row r="1115">
          <cell r="K1115" t="str">
            <v>220002</v>
          </cell>
          <cell r="M1115">
            <v>1</v>
          </cell>
          <cell r="R1115">
            <v>45968</v>
          </cell>
          <cell r="S1115">
            <v>220002</v>
          </cell>
        </row>
        <row r="1116">
          <cell r="K1116" t="str">
            <v>220002</v>
          </cell>
          <cell r="M1116">
            <v>1</v>
          </cell>
          <cell r="R1116">
            <v>45968</v>
          </cell>
          <cell r="S1116">
            <v>220002</v>
          </cell>
        </row>
        <row r="1117">
          <cell r="K1117" t="str">
            <v>226025</v>
          </cell>
          <cell r="M1117">
            <v>1</v>
          </cell>
          <cell r="R1117">
            <v>45968</v>
          </cell>
          <cell r="S1117">
            <v>226025</v>
          </cell>
        </row>
        <row r="1118">
          <cell r="K1118" t="str">
            <v>217011</v>
          </cell>
          <cell r="M1118">
            <v>1</v>
          </cell>
          <cell r="R1118">
            <v>45968</v>
          </cell>
          <cell r="S1118">
            <v>217011</v>
          </cell>
        </row>
        <row r="1119">
          <cell r="K1119" t="str">
            <v>212035</v>
          </cell>
          <cell r="M1119">
            <v>1</v>
          </cell>
          <cell r="R1119">
            <v>45968</v>
          </cell>
          <cell r="S1119">
            <v>212035</v>
          </cell>
        </row>
        <row r="1120">
          <cell r="K1120" t="str">
            <v>201003</v>
          </cell>
          <cell r="M1120">
            <v>1</v>
          </cell>
          <cell r="R1120">
            <v>45968</v>
          </cell>
          <cell r="S1120">
            <v>201003</v>
          </cell>
        </row>
        <row r="1121">
          <cell r="K1121" t="str">
            <v>201009</v>
          </cell>
          <cell r="M1121">
            <v>3</v>
          </cell>
          <cell r="R1121">
            <v>45968</v>
          </cell>
          <cell r="S1121">
            <v>201009</v>
          </cell>
        </row>
        <row r="1122">
          <cell r="K1122" t="str">
            <v>261004</v>
          </cell>
          <cell r="M1122">
            <v>1</v>
          </cell>
          <cell r="R1122">
            <v>45968</v>
          </cell>
          <cell r="S1122">
            <v>261004</v>
          </cell>
        </row>
        <row r="1123">
          <cell r="K1123" t="str">
            <v>220002</v>
          </cell>
          <cell r="M1123">
            <v>1</v>
          </cell>
          <cell r="R1123">
            <v>45968</v>
          </cell>
          <cell r="S1123">
            <v>220002</v>
          </cell>
        </row>
        <row r="1124">
          <cell r="K1124" t="str">
            <v>220002</v>
          </cell>
          <cell r="M1124">
            <v>1</v>
          </cell>
          <cell r="R1124">
            <v>45968</v>
          </cell>
          <cell r="S1124">
            <v>220002</v>
          </cell>
        </row>
        <row r="1125">
          <cell r="K1125" t="str">
            <v>220002</v>
          </cell>
          <cell r="M1125">
            <v>1</v>
          </cell>
          <cell r="R1125">
            <v>45968</v>
          </cell>
          <cell r="S1125">
            <v>220002</v>
          </cell>
        </row>
        <row r="1126">
          <cell r="K1126" t="str">
            <v>220002</v>
          </cell>
          <cell r="M1126">
            <v>1</v>
          </cell>
          <cell r="R1126">
            <v>45968</v>
          </cell>
          <cell r="S1126">
            <v>220002</v>
          </cell>
        </row>
        <row r="1127">
          <cell r="K1127" t="str">
            <v>226001</v>
          </cell>
          <cell r="M1127">
            <v>1</v>
          </cell>
          <cell r="R1127">
            <v>45968</v>
          </cell>
          <cell r="S1127">
            <v>226001</v>
          </cell>
        </row>
        <row r="1128">
          <cell r="K1128" t="str">
            <v>217023</v>
          </cell>
          <cell r="M1128">
            <v>2</v>
          </cell>
          <cell r="R1128">
            <v>45968</v>
          </cell>
          <cell r="S1128">
            <v>217023</v>
          </cell>
        </row>
        <row r="1129">
          <cell r="K1129" t="str">
            <v>220002</v>
          </cell>
          <cell r="M1129">
            <v>1</v>
          </cell>
          <cell r="R1129">
            <v>45968</v>
          </cell>
          <cell r="S1129">
            <v>220002</v>
          </cell>
        </row>
        <row r="1130">
          <cell r="K1130" t="str">
            <v>220002</v>
          </cell>
          <cell r="M1130">
            <v>1</v>
          </cell>
          <cell r="R1130">
            <v>45971</v>
          </cell>
          <cell r="S1130">
            <v>220002</v>
          </cell>
        </row>
        <row r="1131">
          <cell r="K1131" t="str">
            <v>226001</v>
          </cell>
          <cell r="M1131">
            <v>1</v>
          </cell>
          <cell r="R1131">
            <v>45971</v>
          </cell>
          <cell r="S1131">
            <v>226001</v>
          </cell>
        </row>
        <row r="1132">
          <cell r="K1132" t="str">
            <v>226001</v>
          </cell>
          <cell r="M1132">
            <v>1</v>
          </cell>
          <cell r="R1132">
            <v>45971</v>
          </cell>
          <cell r="S1132">
            <v>226001</v>
          </cell>
        </row>
        <row r="1133">
          <cell r="K1133" t="str">
            <v>226025</v>
          </cell>
          <cell r="M1133">
            <v>1</v>
          </cell>
          <cell r="R1133">
            <v>45971</v>
          </cell>
          <cell r="S1133">
            <v>226025</v>
          </cell>
        </row>
        <row r="1134">
          <cell r="K1134" t="str">
            <v>227014</v>
          </cell>
          <cell r="M1134">
            <v>1</v>
          </cell>
          <cell r="R1134">
            <v>45971</v>
          </cell>
          <cell r="S1134">
            <v>227014</v>
          </cell>
        </row>
        <row r="1135">
          <cell r="K1135" t="str">
            <v>213005</v>
          </cell>
          <cell r="M1135">
            <v>1</v>
          </cell>
          <cell r="R1135">
            <v>45971</v>
          </cell>
          <cell r="S1135">
            <v>213005</v>
          </cell>
        </row>
        <row r="1136">
          <cell r="K1136" t="str">
            <v>220002</v>
          </cell>
          <cell r="M1136">
            <v>2</v>
          </cell>
          <cell r="R1136">
            <v>45972</v>
          </cell>
          <cell r="S1136">
            <v>220002</v>
          </cell>
        </row>
        <row r="1137">
          <cell r="K1137" t="str">
            <v>220002</v>
          </cell>
          <cell r="M1137">
            <v>1</v>
          </cell>
          <cell r="R1137">
            <v>45972</v>
          </cell>
          <cell r="S1137">
            <v>220002</v>
          </cell>
        </row>
        <row r="1138">
          <cell r="K1138" t="str">
            <v>220002</v>
          </cell>
          <cell r="M1138">
            <v>1</v>
          </cell>
          <cell r="R1138">
            <v>45972</v>
          </cell>
          <cell r="S1138">
            <v>220002</v>
          </cell>
        </row>
        <row r="1139">
          <cell r="K1139" t="str">
            <v>220002</v>
          </cell>
          <cell r="M1139">
            <v>1</v>
          </cell>
          <cell r="R1139">
            <v>45972</v>
          </cell>
          <cell r="S1139">
            <v>220002</v>
          </cell>
        </row>
        <row r="1140">
          <cell r="K1140" t="str">
            <v>220003</v>
          </cell>
          <cell r="M1140">
            <v>1</v>
          </cell>
          <cell r="R1140">
            <v>45972</v>
          </cell>
          <cell r="S1140">
            <v>220003</v>
          </cell>
        </row>
        <row r="1141">
          <cell r="K1141" t="str">
            <v>220003</v>
          </cell>
          <cell r="M1141">
            <v>1</v>
          </cell>
          <cell r="R1141">
            <v>45972</v>
          </cell>
          <cell r="S1141">
            <v>220003</v>
          </cell>
        </row>
        <row r="1142">
          <cell r="K1142" t="str">
            <v>220002</v>
          </cell>
          <cell r="M1142">
            <v>2</v>
          </cell>
          <cell r="R1142">
            <v>45972</v>
          </cell>
          <cell r="S1142">
            <v>220002</v>
          </cell>
        </row>
        <row r="1143">
          <cell r="K1143" t="str">
            <v>226025</v>
          </cell>
          <cell r="M1143">
            <v>2</v>
          </cell>
          <cell r="R1143">
            <v>45972</v>
          </cell>
          <cell r="S1143">
            <v>226025</v>
          </cell>
        </row>
        <row r="1144">
          <cell r="K1144" t="str">
            <v>201011</v>
          </cell>
          <cell r="M1144">
            <v>6</v>
          </cell>
          <cell r="R1144">
            <v>45972</v>
          </cell>
          <cell r="S1144">
            <v>201011</v>
          </cell>
        </row>
        <row r="1145">
          <cell r="K1145" t="str">
            <v>201009</v>
          </cell>
          <cell r="M1145">
            <v>4</v>
          </cell>
          <cell r="R1145">
            <v>45972</v>
          </cell>
          <cell r="S1145">
            <v>201009</v>
          </cell>
        </row>
        <row r="1146">
          <cell r="K1146" t="str">
            <v>210002</v>
          </cell>
          <cell r="M1146">
            <v>1</v>
          </cell>
          <cell r="R1146">
            <v>45972</v>
          </cell>
          <cell r="S1146">
            <v>210002</v>
          </cell>
        </row>
        <row r="1147">
          <cell r="K1147" t="str">
            <v>226001</v>
          </cell>
          <cell r="M1147">
            <v>2</v>
          </cell>
          <cell r="R1147">
            <v>45973</v>
          </cell>
          <cell r="S1147">
            <v>226001</v>
          </cell>
        </row>
        <row r="1148">
          <cell r="K1148" t="str">
            <v>226025</v>
          </cell>
          <cell r="M1148">
            <v>2</v>
          </cell>
          <cell r="R1148">
            <v>45973</v>
          </cell>
          <cell r="S1148">
            <v>226025</v>
          </cell>
        </row>
        <row r="1149">
          <cell r="K1149" t="str">
            <v>227001</v>
          </cell>
          <cell r="M1149">
            <v>1</v>
          </cell>
          <cell r="R1149">
            <v>45973</v>
          </cell>
          <cell r="S1149">
            <v>227001</v>
          </cell>
        </row>
        <row r="1150">
          <cell r="K1150" t="str">
            <v>201003</v>
          </cell>
          <cell r="M1150">
            <v>6</v>
          </cell>
          <cell r="R1150">
            <v>45973</v>
          </cell>
          <cell r="S1150">
            <v>201003</v>
          </cell>
        </row>
        <row r="1151">
          <cell r="K1151" t="str">
            <v>203003</v>
          </cell>
          <cell r="M1151">
            <v>1</v>
          </cell>
          <cell r="R1151">
            <v>45973</v>
          </cell>
          <cell r="S1151">
            <v>203003</v>
          </cell>
        </row>
        <row r="1152">
          <cell r="K1152" t="str">
            <v>228001</v>
          </cell>
          <cell r="M1152">
            <v>1</v>
          </cell>
          <cell r="R1152">
            <v>45973</v>
          </cell>
          <cell r="S1152">
            <v>228001</v>
          </cell>
        </row>
        <row r="1153">
          <cell r="K1153" t="str">
            <v>209016</v>
          </cell>
          <cell r="M1153">
            <v>1</v>
          </cell>
          <cell r="R1153">
            <v>45973</v>
          </cell>
          <cell r="S1153">
            <v>209016</v>
          </cell>
        </row>
        <row r="1154">
          <cell r="K1154" t="str">
            <v>226025</v>
          </cell>
          <cell r="M1154">
            <v>2</v>
          </cell>
          <cell r="R1154">
            <v>45973</v>
          </cell>
          <cell r="S1154">
            <v>226025</v>
          </cell>
        </row>
        <row r="1155">
          <cell r="K1155" t="str">
            <v>226001</v>
          </cell>
          <cell r="M1155">
            <v>1</v>
          </cell>
          <cell r="R1155">
            <v>45973</v>
          </cell>
          <cell r="S1155">
            <v>226001</v>
          </cell>
        </row>
        <row r="1156">
          <cell r="K1156" t="str">
            <v>220003</v>
          </cell>
          <cell r="M1156">
            <v>1</v>
          </cell>
          <cell r="R1156">
            <v>45974</v>
          </cell>
          <cell r="S1156">
            <v>220003</v>
          </cell>
        </row>
        <row r="1157">
          <cell r="K1157" t="str">
            <v>231012</v>
          </cell>
          <cell r="M1157">
            <v>1</v>
          </cell>
          <cell r="R1157">
            <v>45974</v>
          </cell>
          <cell r="S1157">
            <v>231012</v>
          </cell>
        </row>
        <row r="1158">
          <cell r="K1158" t="str">
            <v>220003</v>
          </cell>
          <cell r="M1158">
            <v>1</v>
          </cell>
          <cell r="R1158">
            <v>45974</v>
          </cell>
          <cell r="S1158">
            <v>220003</v>
          </cell>
        </row>
        <row r="1159">
          <cell r="K1159" t="str">
            <v>220002</v>
          </cell>
          <cell r="M1159">
            <v>1</v>
          </cell>
          <cell r="R1159">
            <v>45974</v>
          </cell>
          <cell r="S1159">
            <v>220002</v>
          </cell>
        </row>
        <row r="1160">
          <cell r="K1160" t="str">
            <v>220002</v>
          </cell>
          <cell r="M1160">
            <v>1</v>
          </cell>
          <cell r="R1160">
            <v>45975</v>
          </cell>
          <cell r="S1160">
            <v>220002</v>
          </cell>
        </row>
        <row r="1161">
          <cell r="K1161" t="str">
            <v>227014</v>
          </cell>
          <cell r="M1161">
            <v>1</v>
          </cell>
          <cell r="R1161">
            <v>45975</v>
          </cell>
          <cell r="S1161">
            <v>227014</v>
          </cell>
        </row>
        <row r="1162">
          <cell r="K1162" t="str">
            <v>223004</v>
          </cell>
          <cell r="M1162">
            <v>1</v>
          </cell>
          <cell r="R1162">
            <v>45975</v>
          </cell>
          <cell r="S1162">
            <v>223004</v>
          </cell>
        </row>
        <row r="1163">
          <cell r="K1163" t="str">
            <v>220002</v>
          </cell>
          <cell r="M1163">
            <v>1</v>
          </cell>
          <cell r="R1163">
            <v>45978</v>
          </cell>
          <cell r="S1163">
            <v>220002</v>
          </cell>
        </row>
        <row r="1164">
          <cell r="K1164" t="str">
            <v>222004</v>
          </cell>
          <cell r="M1164">
            <v>1</v>
          </cell>
          <cell r="R1164">
            <v>45978</v>
          </cell>
          <cell r="S1164">
            <v>222004</v>
          </cell>
        </row>
        <row r="1165">
          <cell r="K1165" t="str">
            <v>201003</v>
          </cell>
          <cell r="M1165">
            <v>1</v>
          </cell>
          <cell r="R1165">
            <v>45978</v>
          </cell>
          <cell r="S1165">
            <v>201003</v>
          </cell>
        </row>
        <row r="1166">
          <cell r="K1166" t="str">
            <v>208001</v>
          </cell>
          <cell r="M1166">
            <v>1</v>
          </cell>
          <cell r="R1166">
            <v>45978</v>
          </cell>
          <cell r="S1166">
            <v>208001</v>
          </cell>
        </row>
        <row r="1167">
          <cell r="K1167" t="str">
            <v>220002</v>
          </cell>
          <cell r="M1167">
            <v>14</v>
          </cell>
          <cell r="R1167">
            <v>45978</v>
          </cell>
          <cell r="S1167">
            <v>220002</v>
          </cell>
        </row>
        <row r="1168">
          <cell r="K1168" t="str">
            <v>212035</v>
          </cell>
          <cell r="M1168">
            <v>2</v>
          </cell>
          <cell r="R1168">
            <v>45978</v>
          </cell>
          <cell r="S1168">
            <v>212035</v>
          </cell>
        </row>
        <row r="1169">
          <cell r="K1169" t="str">
            <v>220002</v>
          </cell>
          <cell r="M1169">
            <v>1</v>
          </cell>
          <cell r="R1169">
            <v>45978</v>
          </cell>
          <cell r="S1169">
            <v>220002</v>
          </cell>
        </row>
        <row r="1170">
          <cell r="K1170" t="str">
            <v>220002</v>
          </cell>
          <cell r="M1170">
            <v>2</v>
          </cell>
          <cell r="R1170">
            <v>45978</v>
          </cell>
          <cell r="S1170">
            <v>220002</v>
          </cell>
        </row>
        <row r="1171">
          <cell r="K1171" t="str">
            <v>226001</v>
          </cell>
          <cell r="M1171">
            <v>1</v>
          </cell>
          <cell r="R1171">
            <v>45978</v>
          </cell>
          <cell r="S1171">
            <v>226001</v>
          </cell>
        </row>
        <row r="1172">
          <cell r="K1172" t="str">
            <v>220002</v>
          </cell>
          <cell r="M1172">
            <v>2</v>
          </cell>
          <cell r="R1172">
            <v>45978</v>
          </cell>
          <cell r="S1172">
            <v>220002</v>
          </cell>
        </row>
        <row r="1173">
          <cell r="K1173" t="str">
            <v>220003</v>
          </cell>
          <cell r="M1173">
            <v>1</v>
          </cell>
          <cell r="R1173">
            <v>45978</v>
          </cell>
          <cell r="S1173">
            <v>220003</v>
          </cell>
        </row>
        <row r="1174">
          <cell r="K1174" t="str">
            <v>223001</v>
          </cell>
          <cell r="M1174">
            <v>2</v>
          </cell>
          <cell r="R1174">
            <v>45978</v>
          </cell>
          <cell r="S1174">
            <v>223001</v>
          </cell>
        </row>
        <row r="1175">
          <cell r="K1175" t="str">
            <v>220002</v>
          </cell>
          <cell r="M1175">
            <v>1</v>
          </cell>
          <cell r="R1175">
            <v>45978</v>
          </cell>
          <cell r="S1175">
            <v>220002</v>
          </cell>
        </row>
        <row r="1176">
          <cell r="K1176" t="str">
            <v>212035</v>
          </cell>
          <cell r="M1176">
            <v>1</v>
          </cell>
          <cell r="R1176">
            <v>45979</v>
          </cell>
          <cell r="S1176">
            <v>212035</v>
          </cell>
        </row>
        <row r="1177">
          <cell r="K1177" t="str">
            <v>226025</v>
          </cell>
          <cell r="M1177">
            <v>1</v>
          </cell>
          <cell r="R1177">
            <v>45979</v>
          </cell>
          <cell r="S1177">
            <v>226025</v>
          </cell>
        </row>
        <row r="1178">
          <cell r="K1178" t="str">
            <v>209012</v>
          </cell>
          <cell r="M1178">
            <v>1</v>
          </cell>
          <cell r="R1178">
            <v>45979</v>
          </cell>
          <cell r="S1178">
            <v>209012</v>
          </cell>
        </row>
        <row r="1179">
          <cell r="K1179" t="str">
            <v>224001</v>
          </cell>
          <cell r="M1179">
            <v>1</v>
          </cell>
          <cell r="R1179">
            <v>45980</v>
          </cell>
          <cell r="S1179">
            <v>224001</v>
          </cell>
        </row>
        <row r="1180">
          <cell r="K1180" t="str">
            <v>226027</v>
          </cell>
          <cell r="M1180">
            <v>1</v>
          </cell>
          <cell r="R1180">
            <v>45980</v>
          </cell>
          <cell r="S1180">
            <v>226027</v>
          </cell>
        </row>
        <row r="1181">
          <cell r="K1181" t="str">
            <v>227014</v>
          </cell>
          <cell r="M1181">
            <v>1</v>
          </cell>
          <cell r="R1181">
            <v>45980</v>
          </cell>
          <cell r="S1181">
            <v>227014</v>
          </cell>
        </row>
        <row r="1182">
          <cell r="K1182" t="str">
            <v>220002</v>
          </cell>
          <cell r="M1182">
            <v>2</v>
          </cell>
          <cell r="R1182">
            <v>45980</v>
          </cell>
          <cell r="S1182">
            <v>220002</v>
          </cell>
        </row>
        <row r="1183">
          <cell r="K1183" t="str">
            <v>220002</v>
          </cell>
          <cell r="M1183">
            <v>12</v>
          </cell>
          <cell r="R1183">
            <v>45980</v>
          </cell>
          <cell r="S1183">
            <v>220002</v>
          </cell>
        </row>
        <row r="1184">
          <cell r="K1184" t="str">
            <v>223002</v>
          </cell>
          <cell r="M1184">
            <v>1</v>
          </cell>
          <cell r="R1184">
            <v>45980</v>
          </cell>
          <cell r="S1184">
            <v>223002</v>
          </cell>
        </row>
        <row r="1185">
          <cell r="K1185" t="str">
            <v>226001</v>
          </cell>
          <cell r="M1185">
            <v>2</v>
          </cell>
          <cell r="R1185">
            <v>45980</v>
          </cell>
          <cell r="S1185">
            <v>226001</v>
          </cell>
        </row>
        <row r="1186">
          <cell r="K1186" t="str">
            <v>207002</v>
          </cell>
          <cell r="M1186">
            <v>2</v>
          </cell>
          <cell r="R1186">
            <v>45980</v>
          </cell>
          <cell r="S1186">
            <v>207002</v>
          </cell>
        </row>
        <row r="1187">
          <cell r="K1187" t="str">
            <v>226025</v>
          </cell>
          <cell r="M1187">
            <v>1</v>
          </cell>
          <cell r="R1187">
            <v>45980</v>
          </cell>
          <cell r="S1187">
            <v>226025</v>
          </cell>
        </row>
        <row r="1188">
          <cell r="K1188" t="str">
            <v>227002</v>
          </cell>
          <cell r="M1188">
            <v>1</v>
          </cell>
          <cell r="R1188">
            <v>45980</v>
          </cell>
          <cell r="S1188">
            <v>227002</v>
          </cell>
        </row>
        <row r="1189">
          <cell r="K1189" t="str">
            <v>220003</v>
          </cell>
          <cell r="M1189">
            <v>1</v>
          </cell>
          <cell r="R1189">
            <v>45980</v>
          </cell>
          <cell r="S1189">
            <v>220003</v>
          </cell>
        </row>
        <row r="1190">
          <cell r="K1190" t="str">
            <v>226026</v>
          </cell>
          <cell r="M1190">
            <v>2</v>
          </cell>
          <cell r="R1190">
            <v>45980</v>
          </cell>
          <cell r="S1190">
            <v>226026</v>
          </cell>
        </row>
        <row r="1191">
          <cell r="K1191" t="str">
            <v>220002</v>
          </cell>
          <cell r="M1191">
            <v>1</v>
          </cell>
          <cell r="R1191">
            <v>45980</v>
          </cell>
          <cell r="S1191">
            <v>220002</v>
          </cell>
        </row>
        <row r="1192">
          <cell r="K1192" t="str">
            <v>226001</v>
          </cell>
          <cell r="M1192">
            <v>3</v>
          </cell>
          <cell r="R1192">
            <v>45980</v>
          </cell>
          <cell r="S1192">
            <v>226001</v>
          </cell>
        </row>
        <row r="1193">
          <cell r="K1193" t="str">
            <v>226025</v>
          </cell>
          <cell r="M1193">
            <v>1</v>
          </cell>
          <cell r="R1193">
            <v>45981</v>
          </cell>
          <cell r="S1193">
            <v>226025</v>
          </cell>
        </row>
        <row r="1194">
          <cell r="K1194" t="str">
            <v>220002</v>
          </cell>
          <cell r="M1194">
            <v>1</v>
          </cell>
          <cell r="R1194">
            <v>45982</v>
          </cell>
          <cell r="S1194">
            <v>220002</v>
          </cell>
        </row>
        <row r="1195">
          <cell r="K1195" t="str">
            <v>231012</v>
          </cell>
          <cell r="M1195">
            <v>1</v>
          </cell>
          <cell r="R1195">
            <v>45982</v>
          </cell>
          <cell r="S1195">
            <v>231012</v>
          </cell>
        </row>
        <row r="1196">
          <cell r="K1196" t="str">
            <v>217011</v>
          </cell>
          <cell r="M1196">
            <v>1</v>
          </cell>
          <cell r="R1196">
            <v>45982</v>
          </cell>
          <cell r="S1196">
            <v>217011</v>
          </cell>
        </row>
        <row r="1197">
          <cell r="K1197" t="str">
            <v>226026</v>
          </cell>
          <cell r="M1197">
            <v>1</v>
          </cell>
          <cell r="R1197">
            <v>45982</v>
          </cell>
          <cell r="S1197">
            <v>226026</v>
          </cell>
        </row>
        <row r="1198">
          <cell r="K1198" t="str">
            <v>220002</v>
          </cell>
          <cell r="M1198">
            <v>1</v>
          </cell>
          <cell r="R1198">
            <v>45985</v>
          </cell>
          <cell r="S1198">
            <v>220002</v>
          </cell>
        </row>
        <row r="1199">
          <cell r="K1199" t="str">
            <v>217023</v>
          </cell>
          <cell r="M1199">
            <v>1</v>
          </cell>
          <cell r="R1199">
            <v>45985</v>
          </cell>
          <cell r="S1199">
            <v>217023</v>
          </cell>
        </row>
        <row r="1200">
          <cell r="K1200" t="str">
            <v>220002</v>
          </cell>
          <cell r="M1200">
            <v>1</v>
          </cell>
          <cell r="R1200">
            <v>45985</v>
          </cell>
          <cell r="S1200">
            <v>220002</v>
          </cell>
        </row>
        <row r="1201">
          <cell r="K1201" t="str">
            <v>201003</v>
          </cell>
          <cell r="M1201">
            <v>1</v>
          </cell>
          <cell r="R1201">
            <v>45985</v>
          </cell>
          <cell r="S1201">
            <v>201003</v>
          </cell>
        </row>
        <row r="1202">
          <cell r="K1202" t="str">
            <v>201009</v>
          </cell>
          <cell r="M1202">
            <v>1</v>
          </cell>
          <cell r="R1202">
            <v>45985</v>
          </cell>
          <cell r="S1202">
            <v>201009</v>
          </cell>
        </row>
        <row r="1203">
          <cell r="K1203" t="str">
            <v>226025</v>
          </cell>
          <cell r="M1203">
            <v>2</v>
          </cell>
          <cell r="R1203">
            <v>45985</v>
          </cell>
          <cell r="S1203">
            <v>226025</v>
          </cell>
        </row>
        <row r="1204">
          <cell r="K1204" t="str">
            <v>223002</v>
          </cell>
          <cell r="M1204">
            <v>2</v>
          </cell>
          <cell r="R1204">
            <v>45985</v>
          </cell>
          <cell r="S1204">
            <v>223002</v>
          </cell>
        </row>
        <row r="1205">
          <cell r="K1205" t="str">
            <v>201024</v>
          </cell>
          <cell r="M1205">
            <v>1</v>
          </cell>
          <cell r="R1205">
            <v>45985</v>
          </cell>
          <cell r="S1205">
            <v>201024</v>
          </cell>
        </row>
        <row r="1206">
          <cell r="K1206" t="str">
            <v>220002</v>
          </cell>
          <cell r="M1206">
            <v>12</v>
          </cell>
          <cell r="R1206">
            <v>45985</v>
          </cell>
          <cell r="S1206">
            <v>220002</v>
          </cell>
        </row>
        <row r="1207">
          <cell r="K1207" t="str">
            <v>229004</v>
          </cell>
          <cell r="M1207">
            <v>1</v>
          </cell>
          <cell r="R1207">
            <v>45985</v>
          </cell>
          <cell r="S1207">
            <v>229004</v>
          </cell>
        </row>
        <row r="1208">
          <cell r="K1208" t="str">
            <v>201009</v>
          </cell>
          <cell r="M1208">
            <v>1</v>
          </cell>
          <cell r="R1208">
            <v>45985</v>
          </cell>
          <cell r="S1208">
            <v>201009</v>
          </cell>
        </row>
        <row r="1209">
          <cell r="K1209" t="str">
            <v>220002</v>
          </cell>
          <cell r="M1209">
            <v>1</v>
          </cell>
          <cell r="R1209">
            <v>45985</v>
          </cell>
          <cell r="S1209">
            <v>220002</v>
          </cell>
        </row>
        <row r="1210">
          <cell r="K1210" t="str">
            <v>213030</v>
          </cell>
          <cell r="M1210">
            <v>1</v>
          </cell>
          <cell r="R1210">
            <v>45985</v>
          </cell>
          <cell r="S1210">
            <v>213030</v>
          </cell>
        </row>
        <row r="1211">
          <cell r="K1211" t="str">
            <v>209001</v>
          </cell>
          <cell r="M1211">
            <v>1</v>
          </cell>
          <cell r="R1211">
            <v>45986</v>
          </cell>
          <cell r="S1211">
            <v>209001</v>
          </cell>
        </row>
        <row r="1212">
          <cell r="K1212" t="str">
            <v>223001</v>
          </cell>
          <cell r="M1212">
            <v>1</v>
          </cell>
          <cell r="R1212">
            <v>45986</v>
          </cell>
          <cell r="S1212">
            <v>223001</v>
          </cell>
        </row>
        <row r="1213">
          <cell r="K1213" t="str">
            <v>212035</v>
          </cell>
          <cell r="M1213">
            <v>1</v>
          </cell>
          <cell r="R1213">
            <v>45986</v>
          </cell>
          <cell r="S1213">
            <v>212035</v>
          </cell>
        </row>
        <row r="1214">
          <cell r="K1214" t="str">
            <v>228001</v>
          </cell>
          <cell r="M1214">
            <v>1</v>
          </cell>
          <cell r="R1214">
            <v>45986</v>
          </cell>
          <cell r="S1214">
            <v>228001</v>
          </cell>
        </row>
        <row r="1215">
          <cell r="K1215" t="str">
            <v>201024</v>
          </cell>
          <cell r="M1215">
            <v>2</v>
          </cell>
          <cell r="R1215">
            <v>45986</v>
          </cell>
          <cell r="S1215">
            <v>201024</v>
          </cell>
        </row>
        <row r="1216">
          <cell r="K1216" t="str">
            <v>217022</v>
          </cell>
          <cell r="M1216">
            <v>1</v>
          </cell>
          <cell r="R1216">
            <v>45986</v>
          </cell>
          <cell r="S1216">
            <v>217022</v>
          </cell>
        </row>
        <row r="1217">
          <cell r="K1217" t="str">
            <v>223004</v>
          </cell>
          <cell r="M1217">
            <v>2</v>
          </cell>
          <cell r="R1217">
            <v>45986</v>
          </cell>
          <cell r="S1217">
            <v>223004</v>
          </cell>
        </row>
        <row r="1218">
          <cell r="K1218" t="str">
            <v>223004</v>
          </cell>
          <cell r="M1218">
            <v>2</v>
          </cell>
          <cell r="R1218">
            <v>45986</v>
          </cell>
          <cell r="S1218">
            <v>223004</v>
          </cell>
        </row>
        <row r="1219">
          <cell r="K1219" t="str">
            <v>226001</v>
          </cell>
          <cell r="M1219">
            <v>1</v>
          </cell>
          <cell r="R1219">
            <v>45986</v>
          </cell>
          <cell r="S1219">
            <v>226001</v>
          </cell>
        </row>
        <row r="1220">
          <cell r="K1220" t="str">
            <v>226001</v>
          </cell>
          <cell r="M1220">
            <v>2</v>
          </cell>
          <cell r="R1220">
            <v>45987</v>
          </cell>
          <cell r="S1220">
            <v>226001</v>
          </cell>
        </row>
        <row r="1221">
          <cell r="K1221" t="str">
            <v>207002</v>
          </cell>
          <cell r="M1221">
            <v>2</v>
          </cell>
          <cell r="R1221">
            <v>45987</v>
          </cell>
          <cell r="S1221">
            <v>207002</v>
          </cell>
        </row>
        <row r="1222">
          <cell r="K1222" t="str">
            <v>220002</v>
          </cell>
          <cell r="M1222">
            <v>16</v>
          </cell>
          <cell r="R1222">
            <v>45987</v>
          </cell>
          <cell r="S1222">
            <v>220002</v>
          </cell>
        </row>
        <row r="1223">
          <cell r="K1223" t="str">
            <v>213030</v>
          </cell>
          <cell r="M1223">
            <v>1</v>
          </cell>
          <cell r="R1223">
            <v>45987</v>
          </cell>
          <cell r="S1223">
            <v>213030</v>
          </cell>
        </row>
        <row r="1224">
          <cell r="K1224" t="str">
            <v>228001</v>
          </cell>
          <cell r="M1224">
            <v>1</v>
          </cell>
          <cell r="R1224">
            <v>45987</v>
          </cell>
          <cell r="S1224">
            <v>228001</v>
          </cell>
        </row>
        <row r="1225">
          <cell r="K1225" t="str">
            <v>201024</v>
          </cell>
          <cell r="M1225">
            <v>1</v>
          </cell>
          <cell r="R1225">
            <v>45987</v>
          </cell>
          <cell r="S1225">
            <v>201024</v>
          </cell>
        </row>
        <row r="1226">
          <cell r="K1226" t="str">
            <v>220003</v>
          </cell>
          <cell r="M1226">
            <v>1</v>
          </cell>
          <cell r="R1226">
            <v>45985</v>
          </cell>
          <cell r="S1226">
            <v>220003</v>
          </cell>
        </row>
        <row r="1227">
          <cell r="K1227" t="str">
            <v>217023</v>
          </cell>
          <cell r="M1227">
            <v>1</v>
          </cell>
          <cell r="R1227">
            <v>45988</v>
          </cell>
          <cell r="S1227">
            <v>217023</v>
          </cell>
        </row>
        <row r="1228">
          <cell r="K1228" t="str">
            <v>223001</v>
          </cell>
          <cell r="M1228">
            <v>3</v>
          </cell>
          <cell r="R1228">
            <v>45988</v>
          </cell>
          <cell r="S1228">
            <v>223001</v>
          </cell>
        </row>
        <row r="1229">
          <cell r="K1229" t="str">
            <v>228001</v>
          </cell>
          <cell r="M1229">
            <v>1</v>
          </cell>
          <cell r="R1229">
            <v>45988</v>
          </cell>
          <cell r="S1229">
            <v>228001</v>
          </cell>
        </row>
        <row r="1230">
          <cell r="K1230" t="str">
            <v>212035</v>
          </cell>
          <cell r="M1230">
            <v>1</v>
          </cell>
          <cell r="R1230">
            <v>45988</v>
          </cell>
          <cell r="S1230">
            <v>212035</v>
          </cell>
        </row>
        <row r="1231">
          <cell r="K1231" t="str">
            <v>228001</v>
          </cell>
          <cell r="M1231">
            <v>2</v>
          </cell>
          <cell r="R1231">
            <v>45988</v>
          </cell>
          <cell r="S1231">
            <v>228001</v>
          </cell>
        </row>
        <row r="1232">
          <cell r="K1232" t="str">
            <v>226001</v>
          </cell>
          <cell r="M1232">
            <v>1</v>
          </cell>
          <cell r="R1232">
            <v>45988</v>
          </cell>
          <cell r="S1232">
            <v>226001</v>
          </cell>
        </row>
        <row r="1233">
          <cell r="K1233" t="str">
            <v>226025</v>
          </cell>
          <cell r="M1233">
            <v>1</v>
          </cell>
          <cell r="R1233">
            <v>45988</v>
          </cell>
          <cell r="S1233">
            <v>226025</v>
          </cell>
        </row>
        <row r="1234">
          <cell r="K1234" t="str">
            <v>217011</v>
          </cell>
          <cell r="M1234">
            <v>1</v>
          </cell>
          <cell r="R1234">
            <v>45989</v>
          </cell>
          <cell r="S1234">
            <v>217011</v>
          </cell>
        </row>
        <row r="1235">
          <cell r="K1235" t="str">
            <v>220003</v>
          </cell>
          <cell r="M1235">
            <v>2</v>
          </cell>
          <cell r="R1235">
            <v>45989</v>
          </cell>
          <cell r="S1235">
            <v>220003</v>
          </cell>
        </row>
        <row r="1236">
          <cell r="K1236" t="str">
            <v>241001</v>
          </cell>
          <cell r="M1236">
            <v>3</v>
          </cell>
          <cell r="R1236">
            <v>45989</v>
          </cell>
          <cell r="S1236">
            <v>241001</v>
          </cell>
        </row>
        <row r="1237">
          <cell r="K1237" t="str">
            <v>201024</v>
          </cell>
          <cell r="M1237">
            <v>1</v>
          </cell>
          <cell r="R1237">
            <v>45989</v>
          </cell>
          <cell r="S1237">
            <v>201024</v>
          </cell>
        </row>
        <row r="1238">
          <cell r="K1238" t="str">
            <v>220002</v>
          </cell>
          <cell r="M1238">
            <v>1</v>
          </cell>
          <cell r="R1238">
            <v>45989</v>
          </cell>
          <cell r="S1238">
            <v>220002</v>
          </cell>
        </row>
        <row r="1239">
          <cell r="K1239" t="str">
            <v>217023</v>
          </cell>
          <cell r="M1239">
            <v>1</v>
          </cell>
          <cell r="R1239">
            <v>45989</v>
          </cell>
          <cell r="S1239">
            <v>217023</v>
          </cell>
        </row>
        <row r="1240">
          <cell r="K1240" t="str">
            <v>220002</v>
          </cell>
          <cell r="M1240">
            <v>1</v>
          </cell>
          <cell r="R1240">
            <v>45989</v>
          </cell>
          <cell r="S1240">
            <v>220002</v>
          </cell>
        </row>
        <row r="1241">
          <cell r="K1241" t="str">
            <v>220002</v>
          </cell>
          <cell r="M1241">
            <v>2</v>
          </cell>
          <cell r="R1241">
            <v>45989</v>
          </cell>
          <cell r="S1241">
            <v>220002</v>
          </cell>
        </row>
        <row r="1242">
          <cell r="K1242" t="str">
            <v>226025</v>
          </cell>
          <cell r="M1242">
            <v>2</v>
          </cell>
          <cell r="R1242">
            <v>45989</v>
          </cell>
          <cell r="S1242">
            <v>226025</v>
          </cell>
        </row>
        <row r="1243">
          <cell r="K1243" t="str">
            <v>201004</v>
          </cell>
          <cell r="M1243">
            <v>1</v>
          </cell>
          <cell r="R1243">
            <v>45989</v>
          </cell>
          <cell r="S1243">
            <v>201004</v>
          </cell>
        </row>
        <row r="1244">
          <cell r="K1244" t="str">
            <v>226025</v>
          </cell>
          <cell r="M1244">
            <v>1</v>
          </cell>
          <cell r="R1244">
            <v>45989</v>
          </cell>
          <cell r="S1244">
            <v>226025</v>
          </cell>
        </row>
        <row r="1245">
          <cell r="K1245" t="str">
            <v>220002</v>
          </cell>
          <cell r="M1245">
            <v>26</v>
          </cell>
          <cell r="R1245">
            <v>45989</v>
          </cell>
          <cell r="S1245">
            <v>220002</v>
          </cell>
        </row>
        <row r="1246">
          <cell r="K1246" t="str">
            <v>220003</v>
          </cell>
          <cell r="M1246">
            <v>1</v>
          </cell>
          <cell r="R1246">
            <v>45989</v>
          </cell>
          <cell r="S1246">
            <v>220003</v>
          </cell>
        </row>
        <row r="1247">
          <cell r="K1247" t="str">
            <v>209001</v>
          </cell>
          <cell r="M1247">
            <v>1</v>
          </cell>
          <cell r="R1247">
            <v>45989</v>
          </cell>
          <cell r="S1247">
            <v>209001</v>
          </cell>
        </row>
        <row r="1248">
          <cell r="K1248" t="str">
            <v>203001</v>
          </cell>
          <cell r="M1248">
            <v>1</v>
          </cell>
          <cell r="R1248">
            <v>45989</v>
          </cell>
          <cell r="S1248">
            <v>203001</v>
          </cell>
        </row>
        <row r="1249">
          <cell r="K1249" t="str">
            <v>261004</v>
          </cell>
          <cell r="M1249">
            <v>1</v>
          </cell>
          <cell r="R1249">
            <v>45989</v>
          </cell>
          <cell r="S1249">
            <v>261004</v>
          </cell>
        </row>
        <row r="1250">
          <cell r="K1250" t="str">
            <v>217011</v>
          </cell>
          <cell r="M1250">
            <v>1</v>
          </cell>
          <cell r="R1250">
            <v>45989</v>
          </cell>
          <cell r="S1250">
            <v>217011</v>
          </cell>
        </row>
        <row r="1251">
          <cell r="K1251" t="str">
            <v>220002</v>
          </cell>
          <cell r="M1251">
            <v>1</v>
          </cell>
          <cell r="R1251">
            <v>45992</v>
          </cell>
          <cell r="S1251">
            <v>220002</v>
          </cell>
        </row>
        <row r="1252">
          <cell r="K1252" t="str">
            <v>203003</v>
          </cell>
          <cell r="M1252">
            <v>1</v>
          </cell>
          <cell r="R1252">
            <v>45992</v>
          </cell>
          <cell r="S1252">
            <v>203003</v>
          </cell>
        </row>
        <row r="1253">
          <cell r="K1253" t="str">
            <v>220002</v>
          </cell>
          <cell r="M1253">
            <v>2</v>
          </cell>
          <cell r="R1253">
            <v>45992</v>
          </cell>
          <cell r="S1253">
            <v>220002</v>
          </cell>
        </row>
        <row r="1254">
          <cell r="K1254" t="str">
            <v>222004</v>
          </cell>
          <cell r="M1254">
            <v>1</v>
          </cell>
          <cell r="R1254">
            <v>45992</v>
          </cell>
          <cell r="S1254">
            <v>222004</v>
          </cell>
        </row>
        <row r="1255">
          <cell r="K1255" t="str">
            <v>220002</v>
          </cell>
          <cell r="M1255">
            <v>1</v>
          </cell>
          <cell r="R1255">
            <v>45992</v>
          </cell>
          <cell r="S1255">
            <v>220002</v>
          </cell>
        </row>
        <row r="1256">
          <cell r="K1256" t="str">
            <v>226025</v>
          </cell>
          <cell r="M1256">
            <v>4</v>
          </cell>
          <cell r="R1256">
            <v>45992</v>
          </cell>
          <cell r="S1256">
            <v>226025</v>
          </cell>
        </row>
        <row r="1257">
          <cell r="K1257" t="str">
            <v>226004</v>
          </cell>
          <cell r="M1257">
            <v>1</v>
          </cell>
          <cell r="R1257">
            <v>45992</v>
          </cell>
          <cell r="S1257">
            <v>226004</v>
          </cell>
        </row>
        <row r="1258">
          <cell r="K1258" t="str">
            <v>220002</v>
          </cell>
          <cell r="M1258">
            <v>1</v>
          </cell>
          <cell r="R1258">
            <v>45992</v>
          </cell>
          <cell r="S1258">
            <v>220002</v>
          </cell>
        </row>
        <row r="1259">
          <cell r="K1259" t="str">
            <v>201027</v>
          </cell>
          <cell r="M1259">
            <v>1</v>
          </cell>
          <cell r="R1259">
            <v>45992</v>
          </cell>
          <cell r="S1259">
            <v>201027</v>
          </cell>
        </row>
        <row r="1260">
          <cell r="K1260" t="str">
            <v>226001</v>
          </cell>
          <cell r="M1260">
            <v>1</v>
          </cell>
          <cell r="R1260">
            <v>45992</v>
          </cell>
          <cell r="S1260">
            <v>226001</v>
          </cell>
        </row>
        <row r="1261">
          <cell r="K1261" t="str">
            <v>207002</v>
          </cell>
          <cell r="M1261">
            <v>1</v>
          </cell>
          <cell r="R1261">
            <v>45992</v>
          </cell>
          <cell r="S1261">
            <v>207002</v>
          </cell>
        </row>
        <row r="1262">
          <cell r="K1262" t="str">
            <v>226025</v>
          </cell>
          <cell r="M1262">
            <v>1</v>
          </cell>
          <cell r="R1262">
            <v>45992</v>
          </cell>
          <cell r="S1262">
            <v>226025</v>
          </cell>
        </row>
        <row r="1263">
          <cell r="K1263" t="str">
            <v>227002</v>
          </cell>
          <cell r="M1263">
            <v>1</v>
          </cell>
          <cell r="R1263">
            <v>45992</v>
          </cell>
          <cell r="S1263">
            <v>227002</v>
          </cell>
        </row>
        <row r="1264">
          <cell r="K1264" t="str">
            <v>241001</v>
          </cell>
          <cell r="M1264">
            <v>1</v>
          </cell>
          <cell r="R1264">
            <v>45992</v>
          </cell>
          <cell r="S1264">
            <v>241001</v>
          </cell>
        </row>
        <row r="1265">
          <cell r="K1265" t="str">
            <v>226001</v>
          </cell>
          <cell r="M1265">
            <v>1</v>
          </cell>
          <cell r="R1265">
            <v>45993</v>
          </cell>
          <cell r="S1265">
            <v>226001</v>
          </cell>
        </row>
        <row r="1266">
          <cell r="K1266" t="str">
            <v>220003</v>
          </cell>
          <cell r="M1266">
            <v>1</v>
          </cell>
          <cell r="R1266">
            <v>45993</v>
          </cell>
          <cell r="S1266">
            <v>220003</v>
          </cell>
        </row>
        <row r="1267">
          <cell r="K1267" t="str">
            <v>220002</v>
          </cell>
          <cell r="M1267">
            <v>1</v>
          </cell>
          <cell r="R1267">
            <v>45993</v>
          </cell>
          <cell r="S1267">
            <v>220002</v>
          </cell>
        </row>
        <row r="1268">
          <cell r="K1268" t="str">
            <v>223004</v>
          </cell>
          <cell r="M1268">
            <v>2</v>
          </cell>
          <cell r="R1268">
            <v>45993</v>
          </cell>
          <cell r="S1268">
            <v>223004</v>
          </cell>
        </row>
        <row r="1269">
          <cell r="K1269" t="str">
            <v>217023</v>
          </cell>
          <cell r="M1269">
            <v>1</v>
          </cell>
          <cell r="R1269">
            <v>45993</v>
          </cell>
          <cell r="S1269">
            <v>217023</v>
          </cell>
        </row>
        <row r="1270">
          <cell r="K1270" t="str">
            <v>271002</v>
          </cell>
          <cell r="M1270">
            <v>1</v>
          </cell>
          <cell r="R1270">
            <v>45993</v>
          </cell>
          <cell r="S1270">
            <v>271002</v>
          </cell>
        </row>
        <row r="1271">
          <cell r="K1271" t="str">
            <v>241001</v>
          </cell>
          <cell r="M1271">
            <v>1</v>
          </cell>
          <cell r="R1271">
            <v>45993</v>
          </cell>
          <cell r="S1271">
            <v>241001</v>
          </cell>
        </row>
        <row r="1272">
          <cell r="K1272" t="str">
            <v>220002</v>
          </cell>
          <cell r="M1272">
            <v>1</v>
          </cell>
          <cell r="R1272">
            <v>45994</v>
          </cell>
          <cell r="S1272">
            <v>220002</v>
          </cell>
        </row>
        <row r="1273">
          <cell r="K1273" t="str">
            <v>220002</v>
          </cell>
          <cell r="M1273">
            <v>1</v>
          </cell>
          <cell r="R1273">
            <v>45994</v>
          </cell>
          <cell r="S1273">
            <v>220002</v>
          </cell>
        </row>
        <row r="1274">
          <cell r="K1274" t="str">
            <v>226024</v>
          </cell>
          <cell r="M1274">
            <v>1</v>
          </cell>
          <cell r="R1274">
            <v>45994</v>
          </cell>
          <cell r="S1274">
            <v>226024</v>
          </cell>
        </row>
        <row r="1275">
          <cell r="K1275" t="str">
            <v>210015</v>
          </cell>
          <cell r="M1275">
            <v>1</v>
          </cell>
          <cell r="R1275">
            <v>45994</v>
          </cell>
          <cell r="S1275">
            <v>210015</v>
          </cell>
        </row>
        <row r="1276">
          <cell r="K1276" t="str">
            <v>212035</v>
          </cell>
          <cell r="M1276">
            <v>1</v>
          </cell>
          <cell r="R1276">
            <v>45994</v>
          </cell>
          <cell r="S1276">
            <v>212035</v>
          </cell>
        </row>
        <row r="1277">
          <cell r="K1277" t="str">
            <v>220002</v>
          </cell>
          <cell r="M1277">
            <v>1</v>
          </cell>
          <cell r="R1277">
            <v>45994</v>
          </cell>
          <cell r="S1277">
            <v>220002</v>
          </cell>
        </row>
        <row r="1278">
          <cell r="K1278" t="str">
            <v>220002</v>
          </cell>
          <cell r="M1278">
            <v>1</v>
          </cell>
          <cell r="R1278">
            <v>45994</v>
          </cell>
          <cell r="S1278">
            <v>220002</v>
          </cell>
        </row>
        <row r="1279">
          <cell r="K1279" t="str">
            <v>217023</v>
          </cell>
          <cell r="M1279">
            <v>1</v>
          </cell>
          <cell r="R1279">
            <v>45994</v>
          </cell>
          <cell r="S1279">
            <v>217023</v>
          </cell>
        </row>
        <row r="1280">
          <cell r="K1280" t="str">
            <v>220002</v>
          </cell>
          <cell r="M1280">
            <v>1</v>
          </cell>
          <cell r="R1280">
            <v>45994</v>
          </cell>
          <cell r="S1280">
            <v>220002</v>
          </cell>
        </row>
        <row r="1281">
          <cell r="K1281" t="str">
            <v>217011</v>
          </cell>
          <cell r="M1281">
            <v>1</v>
          </cell>
          <cell r="R1281">
            <v>45994</v>
          </cell>
          <cell r="S1281">
            <v>217011</v>
          </cell>
        </row>
        <row r="1282">
          <cell r="K1282" t="str">
            <v>220002</v>
          </cell>
          <cell r="M1282">
            <v>1</v>
          </cell>
          <cell r="R1282">
            <v>45994</v>
          </cell>
          <cell r="S1282">
            <v>220002</v>
          </cell>
        </row>
        <row r="1283">
          <cell r="K1283" t="str">
            <v>223004</v>
          </cell>
          <cell r="M1283">
            <v>1</v>
          </cell>
          <cell r="R1283">
            <v>45994</v>
          </cell>
          <cell r="S1283">
            <v>223004</v>
          </cell>
        </row>
        <row r="1284">
          <cell r="K1284" t="str">
            <v>217023</v>
          </cell>
          <cell r="M1284">
            <v>1</v>
          </cell>
          <cell r="R1284">
            <v>45994</v>
          </cell>
          <cell r="S1284">
            <v>217023</v>
          </cell>
        </row>
        <row r="1285">
          <cell r="K1285" t="str">
            <v>222005</v>
          </cell>
          <cell r="M1285">
            <v>1</v>
          </cell>
          <cell r="R1285">
            <v>45995</v>
          </cell>
          <cell r="S1285">
            <v>222005</v>
          </cell>
        </row>
        <row r="1286">
          <cell r="K1286" t="str">
            <v>210015</v>
          </cell>
          <cell r="M1286">
            <v>1</v>
          </cell>
          <cell r="R1286">
            <v>45995</v>
          </cell>
          <cell r="S1286">
            <v>210015</v>
          </cell>
        </row>
        <row r="1287">
          <cell r="K1287" t="str">
            <v>220002</v>
          </cell>
          <cell r="M1287">
            <v>1</v>
          </cell>
          <cell r="R1287">
            <v>45995</v>
          </cell>
          <cell r="S1287">
            <v>220002</v>
          </cell>
        </row>
        <row r="1288">
          <cell r="K1288" t="str">
            <v>220002</v>
          </cell>
          <cell r="M1288">
            <v>1</v>
          </cell>
          <cell r="R1288">
            <v>45995</v>
          </cell>
          <cell r="S1288">
            <v>220002</v>
          </cell>
        </row>
        <row r="1289">
          <cell r="K1289" t="str">
            <v>201024</v>
          </cell>
          <cell r="M1289">
            <v>3</v>
          </cell>
          <cell r="R1289">
            <v>45996</v>
          </cell>
          <cell r="S1289">
            <v>201024</v>
          </cell>
        </row>
        <row r="1290">
          <cell r="K1290" t="str">
            <v>201009</v>
          </cell>
          <cell r="M1290">
            <v>3</v>
          </cell>
          <cell r="R1290">
            <v>45996</v>
          </cell>
          <cell r="S1290">
            <v>201009</v>
          </cell>
        </row>
        <row r="1291">
          <cell r="K1291" t="str">
            <v>226001</v>
          </cell>
          <cell r="M1291">
            <v>1</v>
          </cell>
          <cell r="R1291">
            <v>45996</v>
          </cell>
          <cell r="S1291">
            <v>226001</v>
          </cell>
        </row>
        <row r="1292">
          <cell r="K1292" t="str">
            <v>226001</v>
          </cell>
          <cell r="M1292">
            <v>2</v>
          </cell>
          <cell r="R1292">
            <v>45999</v>
          </cell>
          <cell r="S1292">
            <v>226001</v>
          </cell>
        </row>
        <row r="1293">
          <cell r="K1293" t="str">
            <v>226025</v>
          </cell>
          <cell r="M1293">
            <v>1</v>
          </cell>
          <cell r="R1293">
            <v>45999</v>
          </cell>
          <cell r="S1293">
            <v>226025</v>
          </cell>
        </row>
        <row r="1294">
          <cell r="K1294" t="str">
            <v>201026</v>
          </cell>
          <cell r="M1294">
            <v>1</v>
          </cell>
          <cell r="R1294">
            <v>45996</v>
          </cell>
          <cell r="S1294">
            <v>201026</v>
          </cell>
        </row>
        <row r="1295">
          <cell r="K1295" t="str">
            <v>227002</v>
          </cell>
          <cell r="M1295">
            <v>1</v>
          </cell>
          <cell r="R1295">
            <v>45996</v>
          </cell>
          <cell r="S1295">
            <v>227002</v>
          </cell>
        </row>
        <row r="1296">
          <cell r="K1296" t="str">
            <v>220003</v>
          </cell>
          <cell r="M1296">
            <v>1</v>
          </cell>
          <cell r="R1296">
            <v>46000</v>
          </cell>
          <cell r="S1296">
            <v>220003</v>
          </cell>
        </row>
        <row r="1297">
          <cell r="K1297" t="str">
            <v>227014</v>
          </cell>
          <cell r="M1297">
            <v>1</v>
          </cell>
          <cell r="R1297">
            <v>46000</v>
          </cell>
          <cell r="S1297">
            <v>227014</v>
          </cell>
        </row>
        <row r="1298">
          <cell r="K1298" t="str">
            <v>220002</v>
          </cell>
          <cell r="M1298">
            <v>1</v>
          </cell>
          <cell r="R1298">
            <v>46000</v>
          </cell>
          <cell r="S1298">
            <v>220002</v>
          </cell>
        </row>
        <row r="1299">
          <cell r="K1299" t="str">
            <v>220002</v>
          </cell>
          <cell r="M1299">
            <v>1</v>
          </cell>
          <cell r="R1299">
            <v>46000</v>
          </cell>
          <cell r="S1299">
            <v>220002</v>
          </cell>
        </row>
        <row r="1300">
          <cell r="K1300" t="str">
            <v>220002</v>
          </cell>
          <cell r="M1300">
            <v>1</v>
          </cell>
          <cell r="R1300">
            <v>46000</v>
          </cell>
          <cell r="S1300">
            <v>220002</v>
          </cell>
        </row>
        <row r="1301">
          <cell r="K1301" t="str">
            <v>220002</v>
          </cell>
          <cell r="M1301">
            <v>2</v>
          </cell>
          <cell r="R1301">
            <v>46000</v>
          </cell>
          <cell r="S1301">
            <v>220002</v>
          </cell>
        </row>
        <row r="1302">
          <cell r="K1302" t="str">
            <v>217023</v>
          </cell>
          <cell r="M1302">
            <v>1</v>
          </cell>
          <cell r="R1302">
            <v>46000</v>
          </cell>
          <cell r="S1302">
            <v>217023</v>
          </cell>
        </row>
        <row r="1303">
          <cell r="K1303" t="str">
            <v>209001</v>
          </cell>
          <cell r="M1303">
            <v>1</v>
          </cell>
          <cell r="R1303">
            <v>46000</v>
          </cell>
          <cell r="S1303">
            <v>209001</v>
          </cell>
        </row>
        <row r="1304">
          <cell r="K1304" t="str">
            <v>217011</v>
          </cell>
          <cell r="M1304">
            <v>1</v>
          </cell>
          <cell r="R1304">
            <v>46000</v>
          </cell>
          <cell r="S1304">
            <v>217011</v>
          </cell>
        </row>
        <row r="1305">
          <cell r="K1305" t="str">
            <v>208002</v>
          </cell>
          <cell r="M1305">
            <v>1</v>
          </cell>
          <cell r="R1305">
            <v>46000</v>
          </cell>
          <cell r="S1305">
            <v>208002</v>
          </cell>
        </row>
        <row r="1306">
          <cell r="K1306" t="str">
            <v>209006</v>
          </cell>
          <cell r="M1306">
            <v>1</v>
          </cell>
          <cell r="R1306">
            <v>46000</v>
          </cell>
          <cell r="S1306">
            <v>209006</v>
          </cell>
        </row>
        <row r="1307">
          <cell r="K1307" t="str">
            <v>209004</v>
          </cell>
          <cell r="M1307">
            <v>1</v>
          </cell>
          <cell r="R1307">
            <v>46000</v>
          </cell>
          <cell r="S1307">
            <v>209004</v>
          </cell>
        </row>
        <row r="1308">
          <cell r="K1308" t="str">
            <v>220002</v>
          </cell>
          <cell r="M1308">
            <v>1</v>
          </cell>
          <cell r="R1308">
            <v>46000</v>
          </cell>
          <cell r="S1308">
            <v>220002</v>
          </cell>
        </row>
        <row r="1309">
          <cell r="K1309" t="str">
            <v>220003</v>
          </cell>
          <cell r="M1309">
            <v>2</v>
          </cell>
          <cell r="R1309">
            <v>46000</v>
          </cell>
          <cell r="S1309">
            <v>220003</v>
          </cell>
        </row>
        <row r="1310">
          <cell r="K1310" t="str">
            <v>220002</v>
          </cell>
          <cell r="M1310">
            <v>1</v>
          </cell>
          <cell r="R1310">
            <v>46000</v>
          </cell>
          <cell r="S1310">
            <v>220002</v>
          </cell>
        </row>
        <row r="1311">
          <cell r="K1311" t="str">
            <v>220003</v>
          </cell>
          <cell r="M1311">
            <v>9</v>
          </cell>
          <cell r="R1311">
            <v>46000</v>
          </cell>
          <cell r="S1311">
            <v>220003</v>
          </cell>
        </row>
        <row r="1312">
          <cell r="K1312" t="str">
            <v>220002</v>
          </cell>
          <cell r="M1312">
            <v>1</v>
          </cell>
          <cell r="R1312">
            <v>46001</v>
          </cell>
          <cell r="S1312">
            <v>220002</v>
          </cell>
        </row>
        <row r="1313">
          <cell r="K1313" t="str">
            <v>220002</v>
          </cell>
          <cell r="M1313">
            <v>1</v>
          </cell>
          <cell r="R1313">
            <v>46001</v>
          </cell>
          <cell r="S1313">
            <v>220002</v>
          </cell>
        </row>
        <row r="1314">
          <cell r="K1314" t="str">
            <v>226024</v>
          </cell>
          <cell r="M1314">
            <v>1</v>
          </cell>
          <cell r="R1314">
            <v>46001</v>
          </cell>
          <cell r="S1314">
            <v>226024</v>
          </cell>
        </row>
        <row r="1315">
          <cell r="K1315" t="str">
            <v>220002</v>
          </cell>
          <cell r="M1315">
            <v>5</v>
          </cell>
          <cell r="R1315">
            <v>46001</v>
          </cell>
          <cell r="S1315">
            <v>220002</v>
          </cell>
        </row>
        <row r="1316">
          <cell r="K1316" t="str">
            <v>213002</v>
          </cell>
          <cell r="M1316">
            <v>1</v>
          </cell>
          <cell r="R1316">
            <v>46001</v>
          </cell>
          <cell r="S1316">
            <v>213002</v>
          </cell>
        </row>
        <row r="1317">
          <cell r="K1317" t="str">
            <v>223004</v>
          </cell>
          <cell r="M1317">
            <v>1</v>
          </cell>
          <cell r="R1317">
            <v>46001</v>
          </cell>
          <cell r="S1317">
            <v>223004</v>
          </cell>
        </row>
        <row r="1318">
          <cell r="K1318" t="str">
            <v>220002</v>
          </cell>
          <cell r="M1318">
            <v>1</v>
          </cell>
          <cell r="R1318">
            <v>46001</v>
          </cell>
          <cell r="S1318">
            <v>220002</v>
          </cell>
        </row>
        <row r="1319">
          <cell r="K1319" t="str">
            <v>220002</v>
          </cell>
          <cell r="M1319">
            <v>1</v>
          </cell>
          <cell r="R1319">
            <v>46001</v>
          </cell>
          <cell r="S1319">
            <v>220002</v>
          </cell>
        </row>
        <row r="1320">
          <cell r="K1320" t="str">
            <v>226001</v>
          </cell>
          <cell r="M1320">
            <v>1</v>
          </cell>
          <cell r="R1320">
            <v>46001</v>
          </cell>
          <cell r="S1320">
            <v>226001</v>
          </cell>
        </row>
        <row r="1321">
          <cell r="K1321" t="str">
            <v>220002</v>
          </cell>
          <cell r="M1321">
            <v>2</v>
          </cell>
          <cell r="R1321">
            <v>46001</v>
          </cell>
          <cell r="S1321">
            <v>220002</v>
          </cell>
        </row>
        <row r="1322">
          <cell r="K1322" t="str">
            <v>220002</v>
          </cell>
          <cell r="M1322">
            <v>1</v>
          </cell>
          <cell r="R1322">
            <v>46002</v>
          </cell>
          <cell r="S1322">
            <v>220002</v>
          </cell>
        </row>
        <row r="1323">
          <cell r="K1323" t="str">
            <v>220002</v>
          </cell>
          <cell r="M1323">
            <v>1</v>
          </cell>
          <cell r="R1323">
            <v>46002</v>
          </cell>
          <cell r="S1323">
            <v>220002</v>
          </cell>
        </row>
        <row r="1324">
          <cell r="K1324" t="str">
            <v>217011</v>
          </cell>
          <cell r="M1324">
            <v>1</v>
          </cell>
          <cell r="R1324">
            <v>46002</v>
          </cell>
          <cell r="S1324">
            <v>217011</v>
          </cell>
        </row>
        <row r="1325">
          <cell r="K1325" t="str">
            <v>220002</v>
          </cell>
          <cell r="M1325">
            <v>1</v>
          </cell>
          <cell r="R1325">
            <v>46002</v>
          </cell>
          <cell r="S1325">
            <v>220002</v>
          </cell>
        </row>
        <row r="1326">
          <cell r="K1326" t="str">
            <v>226001</v>
          </cell>
          <cell r="M1326">
            <v>1</v>
          </cell>
          <cell r="R1326">
            <v>46003</v>
          </cell>
          <cell r="S1326">
            <v>226001</v>
          </cell>
        </row>
        <row r="1327">
          <cell r="K1327" t="str">
            <v>210015</v>
          </cell>
          <cell r="M1327">
            <v>1</v>
          </cell>
          <cell r="R1327">
            <v>46003</v>
          </cell>
          <cell r="S1327">
            <v>210015</v>
          </cell>
        </row>
        <row r="1328">
          <cell r="K1328" t="str">
            <v>220002</v>
          </cell>
          <cell r="M1328">
            <v>1</v>
          </cell>
          <cell r="R1328">
            <v>46003</v>
          </cell>
          <cell r="S1328">
            <v>220002</v>
          </cell>
        </row>
        <row r="1329">
          <cell r="K1329" t="str">
            <v>220002</v>
          </cell>
          <cell r="M1329">
            <v>1</v>
          </cell>
          <cell r="R1329">
            <v>46003</v>
          </cell>
          <cell r="S1329">
            <v>220002</v>
          </cell>
        </row>
        <row r="1330">
          <cell r="K1330" t="str">
            <v>220002</v>
          </cell>
          <cell r="M1330">
            <v>1</v>
          </cell>
          <cell r="R1330">
            <v>46003</v>
          </cell>
          <cell r="S1330">
            <v>220002</v>
          </cell>
        </row>
        <row r="1331">
          <cell r="K1331" t="str">
            <v>226025</v>
          </cell>
          <cell r="M1331">
            <v>2</v>
          </cell>
          <cell r="R1331">
            <v>46003</v>
          </cell>
          <cell r="S1331">
            <v>226025</v>
          </cell>
        </row>
        <row r="1332">
          <cell r="K1332" t="str">
            <v>227014</v>
          </cell>
          <cell r="M1332">
            <v>1</v>
          </cell>
          <cell r="R1332">
            <v>46006</v>
          </cell>
          <cell r="S1332">
            <v>227014</v>
          </cell>
        </row>
        <row r="1333">
          <cell r="K1333" t="str">
            <v>229001</v>
          </cell>
          <cell r="M1333">
            <v>1</v>
          </cell>
          <cell r="R1333">
            <v>46006</v>
          </cell>
          <cell r="S1333">
            <v>229001</v>
          </cell>
        </row>
        <row r="1334">
          <cell r="K1334" t="str">
            <v>201009</v>
          </cell>
          <cell r="M1334">
            <v>1</v>
          </cell>
          <cell r="R1334">
            <v>46006</v>
          </cell>
          <cell r="S1334">
            <v>201009</v>
          </cell>
        </row>
        <row r="1335">
          <cell r="K1335" t="str">
            <v>227001</v>
          </cell>
          <cell r="M1335">
            <v>1</v>
          </cell>
          <cell r="R1335">
            <v>46006</v>
          </cell>
          <cell r="S1335">
            <v>227001</v>
          </cell>
        </row>
        <row r="1336">
          <cell r="K1336" t="str">
            <v>212035</v>
          </cell>
          <cell r="M1336">
            <v>1</v>
          </cell>
          <cell r="R1336">
            <v>46006</v>
          </cell>
          <cell r="S1336">
            <v>212035</v>
          </cell>
        </row>
        <row r="1337">
          <cell r="K1337" t="str">
            <v>226004</v>
          </cell>
          <cell r="M1337">
            <v>1</v>
          </cell>
          <cell r="R1337">
            <v>46006</v>
          </cell>
          <cell r="S1337">
            <v>226004</v>
          </cell>
        </row>
        <row r="1338">
          <cell r="K1338" t="str">
            <v>223002</v>
          </cell>
          <cell r="M1338">
            <v>2</v>
          </cell>
          <cell r="R1338">
            <v>46006</v>
          </cell>
          <cell r="S1338">
            <v>223002</v>
          </cell>
        </row>
        <row r="1339">
          <cell r="K1339" t="str">
            <v>201011</v>
          </cell>
          <cell r="M1339">
            <v>7</v>
          </cell>
          <cell r="R1339">
            <v>46006</v>
          </cell>
          <cell r="S1339">
            <v>201011</v>
          </cell>
        </row>
        <row r="1340">
          <cell r="K1340" t="str">
            <v>226025</v>
          </cell>
          <cell r="M1340">
            <v>1</v>
          </cell>
          <cell r="R1340">
            <v>46006</v>
          </cell>
          <cell r="S1340">
            <v>226025</v>
          </cell>
        </row>
        <row r="1341">
          <cell r="K1341" t="str">
            <v>210015</v>
          </cell>
          <cell r="M1341">
            <v>1</v>
          </cell>
          <cell r="R1341">
            <v>46006</v>
          </cell>
          <cell r="S1341">
            <v>210015</v>
          </cell>
        </row>
        <row r="1342">
          <cell r="K1342" t="str">
            <v>209016</v>
          </cell>
          <cell r="M1342">
            <v>1</v>
          </cell>
          <cell r="R1342">
            <v>46006</v>
          </cell>
          <cell r="S1342">
            <v>209016</v>
          </cell>
        </row>
        <row r="1343">
          <cell r="K1343" t="str">
            <v>226001</v>
          </cell>
          <cell r="M1343">
            <v>1</v>
          </cell>
          <cell r="R1343">
            <v>46006</v>
          </cell>
          <cell r="S1343">
            <v>226001</v>
          </cell>
        </row>
        <row r="1344">
          <cell r="K1344" t="str">
            <v>226001</v>
          </cell>
          <cell r="M1344">
            <v>2</v>
          </cell>
          <cell r="R1344">
            <v>46006</v>
          </cell>
          <cell r="S1344">
            <v>226001</v>
          </cell>
        </row>
        <row r="1345">
          <cell r="K1345" t="str">
            <v>226025</v>
          </cell>
          <cell r="M1345">
            <v>3</v>
          </cell>
          <cell r="R1345">
            <v>46006</v>
          </cell>
          <cell r="S1345">
            <v>226025</v>
          </cell>
        </row>
        <row r="1346">
          <cell r="K1346" t="str">
            <v>207002</v>
          </cell>
          <cell r="M1346">
            <v>3</v>
          </cell>
          <cell r="R1346">
            <v>46006</v>
          </cell>
          <cell r="S1346">
            <v>207002</v>
          </cell>
        </row>
        <row r="1347">
          <cell r="K1347" t="str">
            <v>207017</v>
          </cell>
          <cell r="M1347">
            <v>1</v>
          </cell>
          <cell r="R1347">
            <v>46007</v>
          </cell>
          <cell r="S1347">
            <v>207017</v>
          </cell>
        </row>
        <row r="1348">
          <cell r="K1348" t="str">
            <v>227012</v>
          </cell>
          <cell r="M1348">
            <v>1</v>
          </cell>
          <cell r="R1348">
            <v>46007</v>
          </cell>
          <cell r="S1348">
            <v>227012</v>
          </cell>
        </row>
        <row r="1349">
          <cell r="K1349" t="str">
            <v>209004</v>
          </cell>
          <cell r="M1349">
            <v>1</v>
          </cell>
          <cell r="R1349">
            <v>46007</v>
          </cell>
          <cell r="S1349">
            <v>209004</v>
          </cell>
        </row>
        <row r="1350">
          <cell r="K1350" t="str">
            <v>227014</v>
          </cell>
          <cell r="M1350">
            <v>1</v>
          </cell>
          <cell r="R1350">
            <v>46007</v>
          </cell>
          <cell r="S1350">
            <v>227014</v>
          </cell>
        </row>
        <row r="1351">
          <cell r="K1351" t="str">
            <v>227014</v>
          </cell>
          <cell r="M1351">
            <v>1</v>
          </cell>
          <cell r="R1351">
            <v>46007</v>
          </cell>
          <cell r="S1351">
            <v>227014</v>
          </cell>
        </row>
        <row r="1352">
          <cell r="K1352" t="str">
            <v>223002</v>
          </cell>
          <cell r="M1352">
            <v>1</v>
          </cell>
          <cell r="R1352">
            <v>46007</v>
          </cell>
          <cell r="S1352">
            <v>223002</v>
          </cell>
        </row>
        <row r="1353">
          <cell r="K1353" t="str">
            <v>213022</v>
          </cell>
          <cell r="M1353">
            <v>1</v>
          </cell>
          <cell r="R1353">
            <v>46007</v>
          </cell>
          <cell r="S1353">
            <v>213022</v>
          </cell>
        </row>
        <row r="1354">
          <cell r="K1354" t="str">
            <v>217023</v>
          </cell>
          <cell r="M1354">
            <v>1</v>
          </cell>
          <cell r="R1354">
            <v>46008</v>
          </cell>
          <cell r="S1354">
            <v>217023</v>
          </cell>
        </row>
        <row r="1355">
          <cell r="K1355" t="str">
            <v>241001</v>
          </cell>
          <cell r="M1355">
            <v>100</v>
          </cell>
          <cell r="R1355">
            <v>46008</v>
          </cell>
          <cell r="S1355">
            <v>241001</v>
          </cell>
        </row>
        <row r="1356">
          <cell r="K1356" t="str">
            <v>271002</v>
          </cell>
          <cell r="M1356">
            <v>1</v>
          </cell>
          <cell r="R1356">
            <v>46008</v>
          </cell>
          <cell r="S1356">
            <v>271002</v>
          </cell>
        </row>
        <row r="1357">
          <cell r="K1357" t="str">
            <v>227002</v>
          </cell>
          <cell r="M1357">
            <v>1</v>
          </cell>
          <cell r="R1357">
            <v>46008</v>
          </cell>
          <cell r="S1357">
            <v>227002</v>
          </cell>
        </row>
        <row r="1358">
          <cell r="K1358" t="str">
            <v>201009</v>
          </cell>
          <cell r="M1358">
            <v>2</v>
          </cell>
          <cell r="R1358">
            <v>46009</v>
          </cell>
          <cell r="S1358">
            <v>201009</v>
          </cell>
        </row>
        <row r="1359">
          <cell r="K1359" t="str">
            <v>231012</v>
          </cell>
          <cell r="M1359">
            <v>1</v>
          </cell>
          <cell r="R1359">
            <v>46009</v>
          </cell>
          <cell r="S1359">
            <v>231012</v>
          </cell>
        </row>
        <row r="1360">
          <cell r="K1360" t="str">
            <v>261004</v>
          </cell>
          <cell r="M1360">
            <v>1</v>
          </cell>
          <cell r="R1360">
            <v>46009</v>
          </cell>
          <cell r="S1360">
            <v>261004</v>
          </cell>
        </row>
        <row r="1361">
          <cell r="K1361" t="str">
            <v>212035</v>
          </cell>
          <cell r="M1361">
            <v>1</v>
          </cell>
          <cell r="R1361">
            <v>46009</v>
          </cell>
          <cell r="S1361">
            <v>212035</v>
          </cell>
        </row>
        <row r="1362">
          <cell r="K1362" t="str">
            <v>228001</v>
          </cell>
          <cell r="M1362">
            <v>1</v>
          </cell>
          <cell r="R1362">
            <v>46009</v>
          </cell>
          <cell r="S1362">
            <v>228001</v>
          </cell>
        </row>
        <row r="1363">
          <cell r="K1363" t="str">
            <v>212035</v>
          </cell>
          <cell r="M1363">
            <v>1</v>
          </cell>
          <cell r="R1363">
            <v>46009</v>
          </cell>
          <cell r="S1363">
            <v>212035</v>
          </cell>
        </row>
        <row r="1364">
          <cell r="K1364" t="str">
            <v>209001</v>
          </cell>
          <cell r="M1364">
            <v>1</v>
          </cell>
          <cell r="R1364">
            <v>46009</v>
          </cell>
          <cell r="S1364">
            <v>209001</v>
          </cell>
        </row>
        <row r="1365">
          <cell r="K1365" t="str">
            <v>201009</v>
          </cell>
          <cell r="M1365">
            <v>1</v>
          </cell>
          <cell r="R1365">
            <v>46009</v>
          </cell>
          <cell r="S1365">
            <v>201009</v>
          </cell>
        </row>
        <row r="1366">
          <cell r="K1366" t="str">
            <v>212035</v>
          </cell>
          <cell r="M1366">
            <v>1</v>
          </cell>
          <cell r="R1366">
            <v>46009</v>
          </cell>
          <cell r="S1366">
            <v>212035</v>
          </cell>
        </row>
        <row r="1367">
          <cell r="K1367" t="str">
            <v>217011</v>
          </cell>
          <cell r="M1367">
            <v>1</v>
          </cell>
          <cell r="R1367">
            <v>46009</v>
          </cell>
          <cell r="S1367">
            <v>217011</v>
          </cell>
        </row>
        <row r="1368">
          <cell r="K1368" t="str">
            <v>223003</v>
          </cell>
          <cell r="M1368">
            <v>3</v>
          </cell>
          <cell r="R1368">
            <v>46009</v>
          </cell>
          <cell r="S1368">
            <v>223003</v>
          </cell>
        </row>
        <row r="1369">
          <cell r="K1369" t="str">
            <v>217023</v>
          </cell>
          <cell r="M1369">
            <v>1</v>
          </cell>
          <cell r="R1369">
            <v>46009</v>
          </cell>
          <cell r="S1369">
            <v>217023</v>
          </cell>
        </row>
        <row r="1370">
          <cell r="K1370" t="str">
            <v>210014</v>
          </cell>
          <cell r="M1370">
            <v>1</v>
          </cell>
          <cell r="R1370">
            <v>46009</v>
          </cell>
          <cell r="S1370">
            <v>210014</v>
          </cell>
        </row>
        <row r="1371">
          <cell r="K1371" t="str">
            <v>226001</v>
          </cell>
          <cell r="M1371">
            <v>1</v>
          </cell>
          <cell r="R1371">
            <v>46009</v>
          </cell>
          <cell r="S1371">
            <v>226001</v>
          </cell>
        </row>
        <row r="1372">
          <cell r="K1372" t="str">
            <v>207017</v>
          </cell>
          <cell r="M1372">
            <v>1</v>
          </cell>
          <cell r="R1372">
            <v>46009</v>
          </cell>
          <cell r="S1372">
            <v>207017</v>
          </cell>
        </row>
        <row r="1373">
          <cell r="K1373" t="str">
            <v>226001</v>
          </cell>
          <cell r="M1373">
            <v>2</v>
          </cell>
          <cell r="R1373">
            <v>46009</v>
          </cell>
          <cell r="S1373">
            <v>226001</v>
          </cell>
        </row>
        <row r="1374">
          <cell r="K1374" t="str">
            <v>226025</v>
          </cell>
          <cell r="M1374">
            <v>2</v>
          </cell>
          <cell r="R1374">
            <v>46009</v>
          </cell>
          <cell r="S1374">
            <v>226025</v>
          </cell>
        </row>
        <row r="1375">
          <cell r="K1375" t="str">
            <v>226001</v>
          </cell>
          <cell r="M1375">
            <v>1</v>
          </cell>
          <cell r="R1375">
            <v>46009</v>
          </cell>
          <cell r="S1375">
            <v>226001</v>
          </cell>
        </row>
        <row r="1376">
          <cell r="K1376" t="str">
            <v>226025</v>
          </cell>
          <cell r="M1376">
            <v>1</v>
          </cell>
          <cell r="R1376">
            <v>46010</v>
          </cell>
          <cell r="S1376">
            <v>226025</v>
          </cell>
        </row>
        <row r="1377">
          <cell r="K1377" t="str">
            <v>212035</v>
          </cell>
          <cell r="M1377">
            <v>1</v>
          </cell>
          <cell r="R1377">
            <v>46010</v>
          </cell>
          <cell r="S1377">
            <v>212035</v>
          </cell>
        </row>
        <row r="1378">
          <cell r="K1378" t="str">
            <v>226025</v>
          </cell>
          <cell r="M1378">
            <v>1</v>
          </cell>
          <cell r="R1378">
            <v>46013</v>
          </cell>
          <cell r="S1378">
            <v>226025</v>
          </cell>
        </row>
        <row r="1379">
          <cell r="K1379" t="str">
            <v>226025</v>
          </cell>
          <cell r="M1379">
            <v>2</v>
          </cell>
          <cell r="R1379">
            <v>46013</v>
          </cell>
          <cell r="S1379">
            <v>226025</v>
          </cell>
        </row>
        <row r="1380">
          <cell r="K1380" t="str">
            <v>220002</v>
          </cell>
          <cell r="M1380">
            <v>1</v>
          </cell>
          <cell r="R1380">
            <v>46013</v>
          </cell>
          <cell r="S1380">
            <v>220002</v>
          </cell>
        </row>
        <row r="1381">
          <cell r="K1381" t="str">
            <v>203003</v>
          </cell>
          <cell r="M1381">
            <v>1</v>
          </cell>
          <cell r="R1381">
            <v>46013</v>
          </cell>
          <cell r="S1381">
            <v>203003</v>
          </cell>
        </row>
        <row r="1382">
          <cell r="K1382" t="str">
            <v>209012</v>
          </cell>
          <cell r="M1382">
            <v>1</v>
          </cell>
          <cell r="R1382">
            <v>46013</v>
          </cell>
          <cell r="S1382">
            <v>209012</v>
          </cell>
        </row>
        <row r="1383">
          <cell r="K1383" t="str">
            <v>226001</v>
          </cell>
          <cell r="M1383">
            <v>2</v>
          </cell>
          <cell r="R1383">
            <v>46013</v>
          </cell>
          <cell r="S1383">
            <v>226001</v>
          </cell>
        </row>
        <row r="1384">
          <cell r="K1384" t="str">
            <v>217011</v>
          </cell>
          <cell r="M1384">
            <v>1</v>
          </cell>
          <cell r="R1384">
            <v>46013</v>
          </cell>
          <cell r="S1384">
            <v>217011</v>
          </cell>
        </row>
        <row r="1385">
          <cell r="K1385" t="str">
            <v>226025</v>
          </cell>
          <cell r="M1385">
            <v>2</v>
          </cell>
          <cell r="R1385">
            <v>46013</v>
          </cell>
          <cell r="S1385">
            <v>226025</v>
          </cell>
        </row>
        <row r="1386">
          <cell r="K1386" t="str">
            <v>213002</v>
          </cell>
          <cell r="M1386">
            <v>1</v>
          </cell>
          <cell r="R1386">
            <v>46013</v>
          </cell>
          <cell r="S1386">
            <v>213002</v>
          </cell>
        </row>
        <row r="1387">
          <cell r="K1387" t="str">
            <v>227001</v>
          </cell>
          <cell r="M1387">
            <v>1</v>
          </cell>
          <cell r="R1387">
            <v>46013</v>
          </cell>
          <cell r="S1387">
            <v>227001</v>
          </cell>
        </row>
        <row r="1388">
          <cell r="K1388" t="str">
            <v>226022</v>
          </cell>
          <cell r="M1388">
            <v>1</v>
          </cell>
          <cell r="R1388">
            <v>46014</v>
          </cell>
          <cell r="S1388">
            <v>226022</v>
          </cell>
        </row>
        <row r="1389">
          <cell r="K1389" t="str">
            <v>220002</v>
          </cell>
          <cell r="M1389">
            <v>1</v>
          </cell>
          <cell r="R1389">
            <v>46014</v>
          </cell>
          <cell r="S1389">
            <v>220002</v>
          </cell>
        </row>
        <row r="1390">
          <cell r="K1390" t="str">
            <v>203001</v>
          </cell>
          <cell r="M1390">
            <v>1</v>
          </cell>
          <cell r="R1390">
            <v>46015</v>
          </cell>
          <cell r="S1390">
            <v>203001</v>
          </cell>
        </row>
        <row r="1391">
          <cell r="K1391" t="str">
            <v>217011</v>
          </cell>
          <cell r="M1391">
            <v>1</v>
          </cell>
          <cell r="R1391">
            <v>46015</v>
          </cell>
          <cell r="S1391">
            <v>217011</v>
          </cell>
        </row>
        <row r="1392">
          <cell r="K1392" t="str">
            <v>220002</v>
          </cell>
          <cell r="M1392">
            <v>2</v>
          </cell>
          <cell r="R1392">
            <v>46015</v>
          </cell>
          <cell r="S1392">
            <v>220002</v>
          </cell>
        </row>
        <row r="1393">
          <cell r="K1393" t="str">
            <v>201005</v>
          </cell>
          <cell r="M1393">
            <v>1</v>
          </cell>
          <cell r="R1393">
            <v>46015</v>
          </cell>
          <cell r="S1393">
            <v>201005</v>
          </cell>
        </row>
        <row r="1394">
          <cell r="K1394" t="str">
            <v>231012</v>
          </cell>
          <cell r="M1394">
            <v>1</v>
          </cell>
          <cell r="R1394">
            <v>46015</v>
          </cell>
          <cell r="S1394">
            <v>231012</v>
          </cell>
        </row>
        <row r="1395">
          <cell r="K1395" t="str">
            <v>227012</v>
          </cell>
          <cell r="M1395">
            <v>1</v>
          </cell>
          <cell r="R1395">
            <v>46015</v>
          </cell>
          <cell r="S1395">
            <v>227012</v>
          </cell>
        </row>
        <row r="1396">
          <cell r="K1396" t="str">
            <v>223002</v>
          </cell>
          <cell r="M1396">
            <v>1</v>
          </cell>
          <cell r="R1396">
            <v>46015</v>
          </cell>
          <cell r="S1396">
            <v>223002</v>
          </cell>
        </row>
        <row r="1397">
          <cell r="K1397" t="str">
            <v>213022</v>
          </cell>
          <cell r="M1397">
            <v>1</v>
          </cell>
          <cell r="R1397">
            <v>46015</v>
          </cell>
          <cell r="S1397">
            <v>213022</v>
          </cell>
        </row>
        <row r="1398">
          <cell r="K1398" t="str">
            <v>220002</v>
          </cell>
          <cell r="M1398">
            <v>1</v>
          </cell>
          <cell r="R1398">
            <v>46015</v>
          </cell>
          <cell r="S1398">
            <v>220002</v>
          </cell>
        </row>
        <row r="1399">
          <cell r="K1399" t="str">
            <v>228001</v>
          </cell>
          <cell r="M1399">
            <v>1</v>
          </cell>
          <cell r="R1399">
            <v>46015</v>
          </cell>
          <cell r="S1399">
            <v>228001</v>
          </cell>
        </row>
        <row r="1400">
          <cell r="K1400" t="str">
            <v>228001</v>
          </cell>
          <cell r="M1400">
            <v>1</v>
          </cell>
          <cell r="R1400">
            <v>46015</v>
          </cell>
          <cell r="S1400">
            <v>228001</v>
          </cell>
        </row>
        <row r="1401">
          <cell r="K1401" t="str">
            <v>226025</v>
          </cell>
          <cell r="M1401">
            <v>1</v>
          </cell>
          <cell r="R1401">
            <v>46016</v>
          </cell>
          <cell r="S1401">
            <v>226025</v>
          </cell>
        </row>
        <row r="1402">
          <cell r="K1402" t="str">
            <v>220002</v>
          </cell>
          <cell r="M1402">
            <v>1</v>
          </cell>
          <cell r="R1402">
            <v>46017</v>
          </cell>
          <cell r="S1402">
            <v>220002</v>
          </cell>
        </row>
        <row r="1403">
          <cell r="K1403" t="str">
            <v>217024</v>
          </cell>
          <cell r="M1403">
            <v>1</v>
          </cell>
          <cell r="R1403">
            <v>46017</v>
          </cell>
          <cell r="S1403">
            <v>217024</v>
          </cell>
        </row>
        <row r="1404">
          <cell r="K1404" t="str">
            <v>220002</v>
          </cell>
          <cell r="M1404">
            <v>1</v>
          </cell>
          <cell r="R1404">
            <v>46017</v>
          </cell>
          <cell r="S1404">
            <v>220002</v>
          </cell>
        </row>
        <row r="1405">
          <cell r="K1405" t="str">
            <v>226025</v>
          </cell>
          <cell r="M1405">
            <v>1</v>
          </cell>
          <cell r="R1405">
            <v>46017</v>
          </cell>
          <cell r="S1405">
            <v>226025</v>
          </cell>
        </row>
        <row r="1406">
          <cell r="K1406" t="str">
            <v>201009</v>
          </cell>
          <cell r="M1406">
            <v>1</v>
          </cell>
          <cell r="R1406">
            <v>46017</v>
          </cell>
          <cell r="S1406">
            <v>201009</v>
          </cell>
        </row>
        <row r="1407">
          <cell r="K1407" t="str">
            <v>220002</v>
          </cell>
          <cell r="M1407">
            <v>1</v>
          </cell>
          <cell r="R1407">
            <v>46017</v>
          </cell>
          <cell r="S1407">
            <v>220002</v>
          </cell>
        </row>
        <row r="1408">
          <cell r="K1408" t="str">
            <v>220002</v>
          </cell>
          <cell r="M1408">
            <v>2</v>
          </cell>
          <cell r="R1408">
            <v>46020</v>
          </cell>
          <cell r="S1408">
            <v>220002</v>
          </cell>
        </row>
        <row r="1409">
          <cell r="K1409" t="str">
            <v>223007</v>
          </cell>
          <cell r="M1409">
            <v>3</v>
          </cell>
          <cell r="R1409">
            <v>46020</v>
          </cell>
          <cell r="S1409">
            <v>223007</v>
          </cell>
        </row>
        <row r="1410">
          <cell r="K1410" t="str">
            <v>220002</v>
          </cell>
          <cell r="M1410">
            <v>1</v>
          </cell>
          <cell r="R1410">
            <v>46020</v>
          </cell>
          <cell r="S1410">
            <v>220002</v>
          </cell>
        </row>
        <row r="1411">
          <cell r="K1411" t="str">
            <v>217024</v>
          </cell>
          <cell r="M1411">
            <v>1</v>
          </cell>
          <cell r="R1411">
            <v>46020</v>
          </cell>
          <cell r="S1411">
            <v>217024</v>
          </cell>
        </row>
        <row r="1412">
          <cell r="K1412" t="str">
            <v>220002</v>
          </cell>
          <cell r="M1412">
            <v>1</v>
          </cell>
          <cell r="R1412">
            <v>46020</v>
          </cell>
          <cell r="S1412">
            <v>220002</v>
          </cell>
        </row>
        <row r="1413">
          <cell r="K1413" t="str">
            <v>209016</v>
          </cell>
          <cell r="M1413">
            <v>1</v>
          </cell>
          <cell r="R1413">
            <v>46020</v>
          </cell>
          <cell r="S1413">
            <v>209016</v>
          </cell>
        </row>
        <row r="1414">
          <cell r="K1414" t="str">
            <v>228001</v>
          </cell>
          <cell r="M1414">
            <v>1</v>
          </cell>
          <cell r="R1414">
            <v>46020</v>
          </cell>
          <cell r="S1414">
            <v>228001</v>
          </cell>
        </row>
        <row r="1415">
          <cell r="K1415" t="str">
            <v>226025</v>
          </cell>
          <cell r="M1415">
            <v>3</v>
          </cell>
          <cell r="R1415">
            <v>46020</v>
          </cell>
          <cell r="S1415">
            <v>226025</v>
          </cell>
        </row>
        <row r="1416">
          <cell r="K1416" t="str">
            <v>201009</v>
          </cell>
          <cell r="M1416">
            <v>1</v>
          </cell>
          <cell r="R1416">
            <v>46020</v>
          </cell>
          <cell r="S1416">
            <v>201009</v>
          </cell>
        </row>
        <row r="1417">
          <cell r="K1417" t="str">
            <v>220002</v>
          </cell>
          <cell r="M1417">
            <v>1</v>
          </cell>
          <cell r="R1417">
            <v>46020</v>
          </cell>
          <cell r="S1417">
            <v>220002</v>
          </cell>
        </row>
        <row r="1418">
          <cell r="K1418" t="str">
            <v>220002</v>
          </cell>
          <cell r="M1418">
            <v>1</v>
          </cell>
          <cell r="R1418">
            <v>46020</v>
          </cell>
          <cell r="S1418">
            <v>220002</v>
          </cell>
        </row>
        <row r="1419">
          <cell r="K1419" t="str">
            <v>226001</v>
          </cell>
          <cell r="M1419">
            <v>2</v>
          </cell>
          <cell r="R1419">
            <v>46020</v>
          </cell>
          <cell r="S1419">
            <v>226001</v>
          </cell>
        </row>
        <row r="1420">
          <cell r="K1420" t="str">
            <v>220002</v>
          </cell>
          <cell r="M1420">
            <v>1</v>
          </cell>
          <cell r="R1420">
            <v>46020</v>
          </cell>
          <cell r="S1420">
            <v>220002</v>
          </cell>
        </row>
        <row r="1421">
          <cell r="K1421" t="str">
            <v>217011</v>
          </cell>
          <cell r="M1421">
            <v>1</v>
          </cell>
          <cell r="R1421">
            <v>46021</v>
          </cell>
          <cell r="S1421">
            <v>217011</v>
          </cell>
        </row>
        <row r="1422">
          <cell r="K1422" t="str">
            <v>226001</v>
          </cell>
          <cell r="M1422">
            <v>1</v>
          </cell>
          <cell r="R1422">
            <v>46022</v>
          </cell>
          <cell r="S1422">
            <v>226001</v>
          </cell>
        </row>
        <row r="1423">
          <cell r="K1423" t="str">
            <v>201009</v>
          </cell>
          <cell r="M1423">
            <v>1</v>
          </cell>
          <cell r="R1423">
            <v>46024</v>
          </cell>
          <cell r="S1423">
            <v>201009</v>
          </cell>
        </row>
        <row r="1424">
          <cell r="K1424" t="str">
            <v>227014</v>
          </cell>
          <cell r="M1424">
            <v>1</v>
          </cell>
          <cell r="R1424">
            <v>46024</v>
          </cell>
          <cell r="S1424">
            <v>227014</v>
          </cell>
        </row>
        <row r="1425">
          <cell r="K1425" t="str">
            <v>210014</v>
          </cell>
          <cell r="M1425">
            <v>5</v>
          </cell>
          <cell r="R1425">
            <v>46024</v>
          </cell>
          <cell r="S1425">
            <v>210014</v>
          </cell>
        </row>
        <row r="1426">
          <cell r="K1426" t="str">
            <v>207002</v>
          </cell>
          <cell r="M1426">
            <v>1</v>
          </cell>
          <cell r="R1426">
            <v>46024</v>
          </cell>
          <cell r="S1426">
            <v>207002</v>
          </cell>
        </row>
        <row r="1427">
          <cell r="K1427" t="str">
            <v>218001</v>
          </cell>
          <cell r="M1427">
            <v>1</v>
          </cell>
          <cell r="R1427">
            <v>46024</v>
          </cell>
          <cell r="S1427">
            <v>218001</v>
          </cell>
        </row>
        <row r="1428">
          <cell r="K1428" t="str">
            <v>223001</v>
          </cell>
          <cell r="M1428">
            <v>1</v>
          </cell>
          <cell r="R1428">
            <v>46024</v>
          </cell>
          <cell r="S1428">
            <v>223001</v>
          </cell>
        </row>
        <row r="1429">
          <cell r="K1429" t="str">
            <v>220002</v>
          </cell>
          <cell r="M1429">
            <v>1</v>
          </cell>
          <cell r="R1429">
            <v>46024</v>
          </cell>
          <cell r="S1429">
            <v>220002</v>
          </cell>
        </row>
        <row r="1430">
          <cell r="K1430" t="str">
            <v>217011</v>
          </cell>
          <cell r="M1430">
            <v>1</v>
          </cell>
          <cell r="R1430">
            <v>46027</v>
          </cell>
          <cell r="S1430">
            <v>217011</v>
          </cell>
        </row>
        <row r="1431">
          <cell r="K1431" t="str">
            <v>223007</v>
          </cell>
          <cell r="M1431">
            <v>1</v>
          </cell>
          <cell r="R1431">
            <v>46027</v>
          </cell>
          <cell r="S1431">
            <v>223007</v>
          </cell>
        </row>
        <row r="1432">
          <cell r="K1432" t="str">
            <v>227002</v>
          </cell>
          <cell r="M1432">
            <v>2</v>
          </cell>
          <cell r="R1432">
            <v>46027</v>
          </cell>
          <cell r="S1432">
            <v>227002</v>
          </cell>
        </row>
        <row r="1433">
          <cell r="K1433" t="str">
            <v>209016</v>
          </cell>
          <cell r="M1433">
            <v>1</v>
          </cell>
          <cell r="R1433">
            <v>46027</v>
          </cell>
          <cell r="S1433">
            <v>209016</v>
          </cell>
        </row>
        <row r="1434">
          <cell r="K1434" t="str">
            <v>223004</v>
          </cell>
          <cell r="M1434">
            <v>4</v>
          </cell>
          <cell r="R1434">
            <v>46027</v>
          </cell>
          <cell r="S1434">
            <v>223004</v>
          </cell>
        </row>
        <row r="1435">
          <cell r="K1435" t="str">
            <v>207017</v>
          </cell>
          <cell r="M1435">
            <v>1</v>
          </cell>
          <cell r="R1435">
            <v>46027</v>
          </cell>
          <cell r="S1435">
            <v>207017</v>
          </cell>
        </row>
        <row r="1436">
          <cell r="K1436" t="str">
            <v>220002</v>
          </cell>
          <cell r="M1436">
            <v>1</v>
          </cell>
          <cell r="R1436">
            <v>46027</v>
          </cell>
          <cell r="S1436">
            <v>220002</v>
          </cell>
        </row>
        <row r="1437">
          <cell r="K1437" t="str">
            <v>220002</v>
          </cell>
          <cell r="M1437">
            <v>1</v>
          </cell>
          <cell r="R1437">
            <v>46027</v>
          </cell>
          <cell r="S1437">
            <v>220002</v>
          </cell>
        </row>
        <row r="1438">
          <cell r="K1438" t="str">
            <v>226001</v>
          </cell>
          <cell r="M1438">
            <v>1</v>
          </cell>
          <cell r="R1438">
            <v>46024</v>
          </cell>
          <cell r="S1438">
            <v>226001</v>
          </cell>
        </row>
        <row r="1439">
          <cell r="K1439" t="str">
            <v>226009</v>
          </cell>
          <cell r="M1439">
            <v>1</v>
          </cell>
          <cell r="R1439">
            <v>46024</v>
          </cell>
          <cell r="S1439">
            <v>226009</v>
          </cell>
        </row>
        <row r="1440">
          <cell r="K1440" t="str">
            <v>226025</v>
          </cell>
          <cell r="M1440">
            <v>1</v>
          </cell>
          <cell r="R1440">
            <v>46024</v>
          </cell>
          <cell r="S1440">
            <v>226025</v>
          </cell>
        </row>
        <row r="1441">
          <cell r="K1441" t="str">
            <v>207002</v>
          </cell>
          <cell r="M1441">
            <v>2</v>
          </cell>
          <cell r="R1441">
            <v>46024</v>
          </cell>
          <cell r="S1441">
            <v>207002</v>
          </cell>
        </row>
        <row r="1442">
          <cell r="K1442" t="str">
            <v>226001</v>
          </cell>
          <cell r="M1442">
            <v>1</v>
          </cell>
          <cell r="R1442">
            <v>46027</v>
          </cell>
          <cell r="S1442">
            <v>226001</v>
          </cell>
        </row>
        <row r="1443">
          <cell r="K1443" t="str">
            <v>220002</v>
          </cell>
          <cell r="M1443">
            <v>1</v>
          </cell>
          <cell r="R1443">
            <v>46027</v>
          </cell>
          <cell r="S1443">
            <v>220002</v>
          </cell>
        </row>
        <row r="1444">
          <cell r="K1444" t="str">
            <v>223007</v>
          </cell>
          <cell r="M1444">
            <v>6</v>
          </cell>
          <cell r="R1444">
            <v>46027</v>
          </cell>
          <cell r="S1444">
            <v>223007</v>
          </cell>
        </row>
        <row r="1445">
          <cell r="K1445" t="str">
            <v>231012</v>
          </cell>
          <cell r="M1445">
            <v>1</v>
          </cell>
          <cell r="R1445">
            <v>46027</v>
          </cell>
          <cell r="S1445">
            <v>231012</v>
          </cell>
        </row>
        <row r="1446">
          <cell r="K1446" t="str">
            <v>228001</v>
          </cell>
          <cell r="M1446">
            <v>3</v>
          </cell>
          <cell r="R1446">
            <v>46027</v>
          </cell>
          <cell r="S1446">
            <v>228001</v>
          </cell>
        </row>
        <row r="1447">
          <cell r="K1447" t="str">
            <v>226001</v>
          </cell>
          <cell r="M1447">
            <v>1</v>
          </cell>
          <cell r="R1447">
            <v>46028</v>
          </cell>
          <cell r="S1447">
            <v>226001</v>
          </cell>
        </row>
        <row r="1448">
          <cell r="K1448" t="str">
            <v>201027</v>
          </cell>
          <cell r="M1448">
            <v>1</v>
          </cell>
          <cell r="R1448">
            <v>46028</v>
          </cell>
          <cell r="S1448">
            <v>201027</v>
          </cell>
        </row>
        <row r="1449">
          <cell r="K1449" t="str">
            <v>220002</v>
          </cell>
          <cell r="M1449">
            <v>1</v>
          </cell>
          <cell r="R1449">
            <v>46028</v>
          </cell>
          <cell r="S1449">
            <v>220002</v>
          </cell>
        </row>
        <row r="1450">
          <cell r="K1450" t="str">
            <v>201024</v>
          </cell>
          <cell r="M1450">
            <v>1</v>
          </cell>
          <cell r="R1450">
            <v>46028</v>
          </cell>
          <cell r="S1450">
            <v>201024</v>
          </cell>
        </row>
        <row r="1451">
          <cell r="K1451" t="str">
            <v>220002</v>
          </cell>
          <cell r="M1451">
            <v>1</v>
          </cell>
          <cell r="R1451">
            <v>46028</v>
          </cell>
          <cell r="S1451">
            <v>220002</v>
          </cell>
        </row>
        <row r="1452">
          <cell r="K1452" t="str">
            <v>220002</v>
          </cell>
          <cell r="M1452">
            <v>1</v>
          </cell>
          <cell r="R1452">
            <v>46028</v>
          </cell>
          <cell r="S1452">
            <v>220002</v>
          </cell>
        </row>
        <row r="1453">
          <cell r="K1453" t="str">
            <v>220002</v>
          </cell>
          <cell r="M1453">
            <v>1</v>
          </cell>
          <cell r="R1453">
            <v>46028</v>
          </cell>
          <cell r="S1453">
            <v>220002</v>
          </cell>
        </row>
        <row r="1454">
          <cell r="K1454" t="str">
            <v>217023</v>
          </cell>
          <cell r="M1454">
            <v>1</v>
          </cell>
          <cell r="R1454">
            <v>46028</v>
          </cell>
          <cell r="S1454">
            <v>217023</v>
          </cell>
        </row>
        <row r="1455">
          <cell r="K1455" t="str">
            <v>201027</v>
          </cell>
          <cell r="M1455">
            <v>1</v>
          </cell>
          <cell r="R1455">
            <v>46028</v>
          </cell>
          <cell r="S1455">
            <v>201027</v>
          </cell>
        </row>
        <row r="1456">
          <cell r="K1456" t="str">
            <v>220002</v>
          </cell>
          <cell r="M1456">
            <v>1</v>
          </cell>
          <cell r="R1456">
            <v>46029</v>
          </cell>
          <cell r="S1456">
            <v>220002</v>
          </cell>
        </row>
        <row r="1457">
          <cell r="K1457" t="str">
            <v>212035</v>
          </cell>
          <cell r="M1457">
            <v>1</v>
          </cell>
          <cell r="R1457">
            <v>46029</v>
          </cell>
          <cell r="S1457">
            <v>212035</v>
          </cell>
        </row>
        <row r="1458">
          <cell r="K1458" t="str">
            <v>227008</v>
          </cell>
          <cell r="M1458">
            <v>1</v>
          </cell>
          <cell r="R1458">
            <v>46029</v>
          </cell>
          <cell r="S1458">
            <v>227008</v>
          </cell>
        </row>
        <row r="1459">
          <cell r="K1459" t="str">
            <v>226025</v>
          </cell>
          <cell r="M1459">
            <v>2</v>
          </cell>
          <cell r="R1459">
            <v>46029</v>
          </cell>
          <cell r="S1459">
            <v>226025</v>
          </cell>
        </row>
        <row r="1460">
          <cell r="K1460" t="str">
            <v>201011</v>
          </cell>
          <cell r="M1460">
            <v>1</v>
          </cell>
          <cell r="R1460">
            <v>46029</v>
          </cell>
          <cell r="S1460">
            <v>201011</v>
          </cell>
        </row>
        <row r="1461">
          <cell r="K1461" t="str">
            <v>201001</v>
          </cell>
          <cell r="M1461">
            <v>1</v>
          </cell>
          <cell r="R1461">
            <v>46029</v>
          </cell>
          <cell r="S1461">
            <v>201001</v>
          </cell>
        </row>
        <row r="1462">
          <cell r="K1462" t="str">
            <v>231010</v>
          </cell>
          <cell r="M1462">
            <v>1</v>
          </cell>
          <cell r="R1462">
            <v>46030</v>
          </cell>
          <cell r="S1462">
            <v>231010</v>
          </cell>
        </row>
        <row r="1463">
          <cell r="K1463" t="str">
            <v>220002</v>
          </cell>
          <cell r="M1463">
            <v>1</v>
          </cell>
          <cell r="R1463">
            <v>46030</v>
          </cell>
          <cell r="S1463">
            <v>220002</v>
          </cell>
        </row>
        <row r="1464">
          <cell r="K1464" t="str">
            <v>223002</v>
          </cell>
          <cell r="M1464">
            <v>2</v>
          </cell>
          <cell r="R1464">
            <v>46030</v>
          </cell>
          <cell r="S1464">
            <v>223002</v>
          </cell>
        </row>
        <row r="1465">
          <cell r="K1465" t="str">
            <v>220002</v>
          </cell>
          <cell r="M1465">
            <v>1</v>
          </cell>
          <cell r="R1465">
            <v>46030</v>
          </cell>
          <cell r="S1465">
            <v>220002</v>
          </cell>
        </row>
        <row r="1466">
          <cell r="K1466" t="str">
            <v>220002</v>
          </cell>
          <cell r="M1466">
            <v>1</v>
          </cell>
          <cell r="R1466">
            <v>46030</v>
          </cell>
          <cell r="S1466">
            <v>220002</v>
          </cell>
        </row>
        <row r="1467">
          <cell r="K1467" t="str">
            <v>220002</v>
          </cell>
          <cell r="M1467">
            <v>2</v>
          </cell>
          <cell r="R1467">
            <v>46030</v>
          </cell>
          <cell r="S1467">
            <v>220002</v>
          </cell>
        </row>
        <row r="1468">
          <cell r="K1468" t="str">
            <v>201001</v>
          </cell>
          <cell r="M1468">
            <v>1</v>
          </cell>
          <cell r="R1468">
            <v>46030</v>
          </cell>
          <cell r="S1468">
            <v>201001</v>
          </cell>
        </row>
        <row r="1469">
          <cell r="K1469" t="str">
            <v>217022</v>
          </cell>
          <cell r="M1469">
            <v>1</v>
          </cell>
          <cell r="R1469">
            <v>46030</v>
          </cell>
          <cell r="S1469">
            <v>217022</v>
          </cell>
        </row>
        <row r="1470">
          <cell r="K1470" t="str">
            <v>213022</v>
          </cell>
          <cell r="M1470">
            <v>1</v>
          </cell>
          <cell r="R1470">
            <v>46030</v>
          </cell>
          <cell r="S1470">
            <v>213022</v>
          </cell>
        </row>
        <row r="1471">
          <cell r="K1471" t="str">
            <v>201024</v>
          </cell>
          <cell r="M1471">
            <v>1</v>
          </cell>
          <cell r="R1471">
            <v>46030</v>
          </cell>
          <cell r="S1471">
            <v>201024</v>
          </cell>
        </row>
        <row r="1472">
          <cell r="K1472" t="str">
            <v>217011</v>
          </cell>
          <cell r="M1472">
            <v>1</v>
          </cell>
          <cell r="R1472">
            <v>46030</v>
          </cell>
          <cell r="S1472">
            <v>217011</v>
          </cell>
        </row>
        <row r="1473">
          <cell r="K1473" t="str">
            <v>209011</v>
          </cell>
          <cell r="M1473">
            <v>1</v>
          </cell>
          <cell r="R1473">
            <v>46031</v>
          </cell>
          <cell r="S1473">
            <v>209011</v>
          </cell>
        </row>
        <row r="1474">
          <cell r="K1474" t="str">
            <v>220002</v>
          </cell>
          <cell r="M1474">
            <v>1</v>
          </cell>
          <cell r="R1474">
            <v>46031</v>
          </cell>
          <cell r="S1474">
            <v>220002</v>
          </cell>
        </row>
        <row r="1475">
          <cell r="K1475" t="str">
            <v>220002</v>
          </cell>
          <cell r="M1475">
            <v>1</v>
          </cell>
          <cell r="R1475">
            <v>46031</v>
          </cell>
          <cell r="S1475">
            <v>220002</v>
          </cell>
        </row>
        <row r="1476">
          <cell r="K1476" t="str">
            <v>217011</v>
          </cell>
          <cell r="M1476">
            <v>1</v>
          </cell>
          <cell r="R1476">
            <v>46031</v>
          </cell>
          <cell r="S1476">
            <v>217011</v>
          </cell>
        </row>
        <row r="1477">
          <cell r="K1477" t="str">
            <v>217011</v>
          </cell>
          <cell r="M1477">
            <v>1</v>
          </cell>
          <cell r="R1477">
            <v>46031</v>
          </cell>
          <cell r="S1477">
            <v>217011</v>
          </cell>
        </row>
        <row r="1478">
          <cell r="K1478" t="str">
            <v>226025</v>
          </cell>
          <cell r="M1478">
            <v>2</v>
          </cell>
          <cell r="R1478">
            <v>46031</v>
          </cell>
          <cell r="S1478">
            <v>226025</v>
          </cell>
        </row>
        <row r="1479">
          <cell r="K1479" t="str">
            <v>229001</v>
          </cell>
          <cell r="M1479">
            <v>1</v>
          </cell>
          <cell r="R1479">
            <v>46031</v>
          </cell>
          <cell r="S1479">
            <v>229001</v>
          </cell>
        </row>
        <row r="1480">
          <cell r="K1480" t="str">
            <v>229001</v>
          </cell>
          <cell r="M1480">
            <v>1</v>
          </cell>
          <cell r="R1480">
            <v>46031</v>
          </cell>
          <cell r="S1480">
            <v>229001</v>
          </cell>
        </row>
        <row r="1481">
          <cell r="K1481" t="str">
            <v>201011</v>
          </cell>
          <cell r="M1481">
            <v>36</v>
          </cell>
          <cell r="R1481">
            <v>46031</v>
          </cell>
          <cell r="S1481">
            <v>201011</v>
          </cell>
        </row>
        <row r="1482">
          <cell r="K1482" t="str">
            <v>261004</v>
          </cell>
          <cell r="M1482">
            <v>1</v>
          </cell>
          <cell r="R1482">
            <v>46034</v>
          </cell>
          <cell r="S1482">
            <v>261004</v>
          </cell>
        </row>
        <row r="1483">
          <cell r="K1483" t="str">
            <v>226023</v>
          </cell>
          <cell r="M1483">
            <v>1</v>
          </cell>
          <cell r="R1483">
            <v>46034</v>
          </cell>
          <cell r="S1483">
            <v>226023</v>
          </cell>
        </row>
        <row r="1484">
          <cell r="K1484" t="str">
            <v>223001</v>
          </cell>
          <cell r="M1484">
            <v>2</v>
          </cell>
          <cell r="R1484">
            <v>46034</v>
          </cell>
          <cell r="S1484">
            <v>223001</v>
          </cell>
        </row>
        <row r="1485">
          <cell r="K1485" t="str">
            <v>228001</v>
          </cell>
          <cell r="M1485">
            <v>1</v>
          </cell>
          <cell r="R1485">
            <v>46034</v>
          </cell>
          <cell r="S1485">
            <v>228001</v>
          </cell>
        </row>
        <row r="1486">
          <cell r="K1486" t="str">
            <v>217011</v>
          </cell>
          <cell r="M1486">
            <v>2</v>
          </cell>
          <cell r="R1486">
            <v>46034</v>
          </cell>
          <cell r="S1486">
            <v>217011</v>
          </cell>
        </row>
        <row r="1487">
          <cell r="K1487" t="str">
            <v>217011</v>
          </cell>
          <cell r="M1487">
            <v>2</v>
          </cell>
          <cell r="R1487">
            <v>46034</v>
          </cell>
          <cell r="S1487">
            <v>217011</v>
          </cell>
        </row>
        <row r="1488">
          <cell r="K1488" t="str">
            <v>217018</v>
          </cell>
          <cell r="M1488">
            <v>1</v>
          </cell>
          <cell r="R1488">
            <v>46034</v>
          </cell>
          <cell r="S1488">
            <v>217018</v>
          </cell>
        </row>
        <row r="1489">
          <cell r="K1489" t="str">
            <v>209002</v>
          </cell>
          <cell r="M1489">
            <v>1</v>
          </cell>
          <cell r="R1489">
            <v>46034</v>
          </cell>
          <cell r="S1489">
            <v>209002</v>
          </cell>
        </row>
        <row r="1490">
          <cell r="K1490" t="str">
            <v>217023</v>
          </cell>
          <cell r="M1490">
            <v>1</v>
          </cell>
          <cell r="R1490">
            <v>46034</v>
          </cell>
          <cell r="S1490">
            <v>217023</v>
          </cell>
        </row>
        <row r="1491">
          <cell r="K1491" t="str">
            <v>231012</v>
          </cell>
          <cell r="M1491">
            <v>1</v>
          </cell>
          <cell r="R1491">
            <v>46034</v>
          </cell>
          <cell r="S1491">
            <v>231012</v>
          </cell>
        </row>
        <row r="1492">
          <cell r="K1492" t="str">
            <v>226001</v>
          </cell>
          <cell r="M1492">
            <v>1</v>
          </cell>
          <cell r="R1492">
            <v>46034</v>
          </cell>
          <cell r="S1492">
            <v>226001</v>
          </cell>
        </row>
        <row r="1493">
          <cell r="K1493" t="str">
            <v>226001</v>
          </cell>
          <cell r="M1493">
            <v>1</v>
          </cell>
          <cell r="R1493">
            <v>46034</v>
          </cell>
          <cell r="S1493">
            <v>226001</v>
          </cell>
        </row>
        <row r="1494">
          <cell r="K1494" t="str">
            <v>209016</v>
          </cell>
          <cell r="M1494">
            <v>1</v>
          </cell>
          <cell r="R1494">
            <v>46035</v>
          </cell>
          <cell r="S1494">
            <v>209016</v>
          </cell>
        </row>
        <row r="1495">
          <cell r="K1495" t="str">
            <v>228001</v>
          </cell>
          <cell r="M1495">
            <v>6</v>
          </cell>
          <cell r="R1495">
            <v>46035</v>
          </cell>
          <cell r="S1495">
            <v>228001</v>
          </cell>
        </row>
        <row r="1496">
          <cell r="K1496" t="str">
            <v>228001</v>
          </cell>
          <cell r="M1496">
            <v>6</v>
          </cell>
          <cell r="R1496">
            <v>46035</v>
          </cell>
          <cell r="S1496">
            <v>228001</v>
          </cell>
        </row>
        <row r="1497">
          <cell r="K1497" t="str">
            <v>209004</v>
          </cell>
          <cell r="M1497">
            <v>1</v>
          </cell>
          <cell r="R1497">
            <v>46035</v>
          </cell>
          <cell r="S1497">
            <v>209004</v>
          </cell>
        </row>
        <row r="1498">
          <cell r="K1498" t="str">
            <v>201009</v>
          </cell>
          <cell r="M1498">
            <v>1</v>
          </cell>
          <cell r="R1498">
            <v>46035</v>
          </cell>
          <cell r="S1498">
            <v>201009</v>
          </cell>
        </row>
        <row r="1499">
          <cell r="K1499" t="str">
            <v>201009</v>
          </cell>
          <cell r="M1499">
            <v>1</v>
          </cell>
          <cell r="R1499">
            <v>46035</v>
          </cell>
          <cell r="S1499">
            <v>201009</v>
          </cell>
        </row>
        <row r="1500">
          <cell r="K1500" t="str">
            <v>223001</v>
          </cell>
          <cell r="M1500">
            <v>1</v>
          </cell>
          <cell r="R1500">
            <v>46035</v>
          </cell>
          <cell r="S1500">
            <v>223001</v>
          </cell>
        </row>
        <row r="1501">
          <cell r="K1501" t="str">
            <v>228001</v>
          </cell>
          <cell r="M1501">
            <v>1</v>
          </cell>
          <cell r="R1501">
            <v>46035</v>
          </cell>
          <cell r="S1501">
            <v>228001</v>
          </cell>
        </row>
        <row r="1502">
          <cell r="K1502" t="str">
            <v>226001</v>
          </cell>
          <cell r="M1502">
            <v>1</v>
          </cell>
          <cell r="R1502">
            <v>46035</v>
          </cell>
          <cell r="S1502">
            <v>226001</v>
          </cell>
        </row>
        <row r="1503">
          <cell r="K1503" t="str">
            <v>201009</v>
          </cell>
          <cell r="M1503">
            <v>2</v>
          </cell>
          <cell r="R1503">
            <v>46035</v>
          </cell>
          <cell r="S1503">
            <v>201009</v>
          </cell>
        </row>
        <row r="1504">
          <cell r="K1504" t="str">
            <v>223001</v>
          </cell>
          <cell r="M1504">
            <v>1</v>
          </cell>
          <cell r="R1504">
            <v>46035</v>
          </cell>
          <cell r="S1504">
            <v>223001</v>
          </cell>
        </row>
        <row r="1505">
          <cell r="K1505" t="str">
            <v>201009</v>
          </cell>
          <cell r="M1505">
            <v>1</v>
          </cell>
          <cell r="R1505">
            <v>46036</v>
          </cell>
          <cell r="S1505">
            <v>201009</v>
          </cell>
        </row>
        <row r="1506">
          <cell r="K1506" t="str">
            <v>231010</v>
          </cell>
          <cell r="M1506">
            <v>1</v>
          </cell>
          <cell r="R1506">
            <v>46036</v>
          </cell>
          <cell r="S1506">
            <v>231010</v>
          </cell>
        </row>
        <row r="1507">
          <cell r="K1507" t="str">
            <v>227001</v>
          </cell>
          <cell r="M1507">
            <v>1</v>
          </cell>
          <cell r="R1507">
            <v>46036</v>
          </cell>
          <cell r="S1507">
            <v>227001</v>
          </cell>
        </row>
        <row r="1508">
          <cell r="K1508" t="str">
            <v>206002</v>
          </cell>
          <cell r="M1508">
            <v>2</v>
          </cell>
          <cell r="R1508">
            <v>46036</v>
          </cell>
          <cell r="S1508">
            <v>206002</v>
          </cell>
        </row>
        <row r="1509">
          <cell r="K1509" t="str">
            <v>208001</v>
          </cell>
          <cell r="M1509">
            <v>1</v>
          </cell>
          <cell r="R1509">
            <v>46036</v>
          </cell>
          <cell r="S1509">
            <v>208001</v>
          </cell>
        </row>
        <row r="1510">
          <cell r="K1510" t="str">
            <v>229001</v>
          </cell>
          <cell r="M1510">
            <v>1</v>
          </cell>
          <cell r="R1510">
            <v>46036</v>
          </cell>
          <cell r="S1510">
            <v>229001</v>
          </cell>
        </row>
        <row r="1511">
          <cell r="K1511" t="str">
            <v>226001</v>
          </cell>
          <cell r="M1511">
            <v>1</v>
          </cell>
          <cell r="R1511">
            <v>46036</v>
          </cell>
          <cell r="S1511">
            <v>226001</v>
          </cell>
        </row>
        <row r="1512">
          <cell r="K1512" t="str">
            <v>226025</v>
          </cell>
          <cell r="M1512">
            <v>1</v>
          </cell>
          <cell r="R1512">
            <v>46036</v>
          </cell>
          <cell r="S1512">
            <v>226025</v>
          </cell>
        </row>
        <row r="1513">
          <cell r="K1513" t="str">
            <v>207002</v>
          </cell>
          <cell r="M1513">
            <v>2</v>
          </cell>
          <cell r="R1513">
            <v>46036</v>
          </cell>
          <cell r="S1513">
            <v>207002</v>
          </cell>
        </row>
        <row r="1514">
          <cell r="K1514" t="str">
            <v>220002</v>
          </cell>
          <cell r="M1514">
            <v>1</v>
          </cell>
          <cell r="R1514">
            <v>46036</v>
          </cell>
          <cell r="S1514">
            <v>220002</v>
          </cell>
        </row>
        <row r="1515">
          <cell r="K1515" t="str">
            <v>220002</v>
          </cell>
          <cell r="M1515">
            <v>3</v>
          </cell>
          <cell r="R1515">
            <v>46037</v>
          </cell>
          <cell r="S1515">
            <v>220002</v>
          </cell>
        </row>
        <row r="1516">
          <cell r="K1516" t="str">
            <v>217011</v>
          </cell>
          <cell r="M1516">
            <v>1</v>
          </cell>
          <cell r="R1516">
            <v>46037</v>
          </cell>
          <cell r="S1516">
            <v>217011</v>
          </cell>
        </row>
        <row r="1517">
          <cell r="K1517" t="str">
            <v>220002</v>
          </cell>
          <cell r="M1517">
            <v>1</v>
          </cell>
          <cell r="R1517">
            <v>46037</v>
          </cell>
          <cell r="S1517">
            <v>220002</v>
          </cell>
        </row>
        <row r="1518">
          <cell r="K1518" t="str">
            <v>220002</v>
          </cell>
          <cell r="M1518">
            <v>1</v>
          </cell>
          <cell r="R1518">
            <v>46038</v>
          </cell>
          <cell r="S1518">
            <v>220002</v>
          </cell>
        </row>
        <row r="1519">
          <cell r="K1519" t="str">
            <v>220002</v>
          </cell>
          <cell r="M1519">
            <v>1</v>
          </cell>
          <cell r="R1519">
            <v>46038</v>
          </cell>
          <cell r="S1519">
            <v>220002</v>
          </cell>
        </row>
        <row r="1520">
          <cell r="K1520" t="str">
            <v>220002</v>
          </cell>
          <cell r="M1520">
            <v>3</v>
          </cell>
          <cell r="R1520">
            <v>46038</v>
          </cell>
          <cell r="S1520">
            <v>220002</v>
          </cell>
        </row>
        <row r="1521">
          <cell r="K1521" t="str">
            <v>210001</v>
          </cell>
          <cell r="M1521">
            <v>1</v>
          </cell>
          <cell r="R1521">
            <v>46038</v>
          </cell>
          <cell r="S1521">
            <v>210001</v>
          </cell>
        </row>
        <row r="1522">
          <cell r="K1522" t="str">
            <v>217011</v>
          </cell>
          <cell r="M1522">
            <v>1</v>
          </cell>
          <cell r="R1522">
            <v>46038</v>
          </cell>
          <cell r="S1522">
            <v>217011</v>
          </cell>
        </row>
        <row r="1523">
          <cell r="K1523" t="str">
            <v>217023</v>
          </cell>
          <cell r="M1523">
            <v>1</v>
          </cell>
          <cell r="R1523">
            <v>46038</v>
          </cell>
          <cell r="S1523">
            <v>217023</v>
          </cell>
        </row>
        <row r="1524">
          <cell r="K1524" t="str">
            <v>217022</v>
          </cell>
          <cell r="M1524">
            <v>1</v>
          </cell>
          <cell r="R1524">
            <v>46039</v>
          </cell>
          <cell r="S1524">
            <v>217022</v>
          </cell>
        </row>
        <row r="1525">
          <cell r="K1525" t="str">
            <v>209016</v>
          </cell>
          <cell r="M1525">
            <v>1</v>
          </cell>
          <cell r="R1525">
            <v>46041</v>
          </cell>
          <cell r="S1525">
            <v>209016</v>
          </cell>
        </row>
        <row r="1526">
          <cell r="K1526" t="str">
            <v>220002</v>
          </cell>
          <cell r="M1526">
            <v>3</v>
          </cell>
          <cell r="R1526">
            <v>46041</v>
          </cell>
          <cell r="S1526">
            <v>220002</v>
          </cell>
        </row>
        <row r="1527">
          <cell r="K1527" t="str">
            <v>220002</v>
          </cell>
          <cell r="M1527">
            <v>1</v>
          </cell>
          <cell r="R1527">
            <v>46042</v>
          </cell>
          <cell r="S1527">
            <v>220002</v>
          </cell>
        </row>
        <row r="1528">
          <cell r="K1528" t="str">
            <v>217023</v>
          </cell>
          <cell r="M1528">
            <v>1</v>
          </cell>
          <cell r="R1528">
            <v>46042</v>
          </cell>
          <cell r="S1528">
            <v>217023</v>
          </cell>
        </row>
        <row r="1529">
          <cell r="K1529" t="str">
            <v>213002</v>
          </cell>
          <cell r="M1529">
            <v>1</v>
          </cell>
          <cell r="R1529">
            <v>46042</v>
          </cell>
          <cell r="S1529">
            <v>213002</v>
          </cell>
        </row>
        <row r="1530">
          <cell r="K1530" t="str">
            <v>209001</v>
          </cell>
          <cell r="M1530">
            <v>1</v>
          </cell>
          <cell r="R1530">
            <v>46042</v>
          </cell>
          <cell r="S1530">
            <v>209001</v>
          </cell>
        </row>
        <row r="1531">
          <cell r="K1531" t="str">
            <v>220002</v>
          </cell>
          <cell r="M1531">
            <v>1</v>
          </cell>
          <cell r="R1531">
            <v>46042</v>
          </cell>
          <cell r="S1531">
            <v>220002</v>
          </cell>
        </row>
        <row r="1532">
          <cell r="K1532" t="str">
            <v>220002</v>
          </cell>
          <cell r="M1532">
            <v>1</v>
          </cell>
          <cell r="R1532">
            <v>46042</v>
          </cell>
          <cell r="S1532">
            <v>220002</v>
          </cell>
        </row>
        <row r="1533">
          <cell r="K1533" t="str">
            <v>220002</v>
          </cell>
          <cell r="M1533">
            <v>1</v>
          </cell>
          <cell r="R1533">
            <v>46042</v>
          </cell>
          <cell r="S1533">
            <v>220002</v>
          </cell>
        </row>
        <row r="1534">
          <cell r="K1534" t="str">
            <v>228001</v>
          </cell>
          <cell r="M1534">
            <v>1</v>
          </cell>
          <cell r="R1534">
            <v>46042</v>
          </cell>
          <cell r="S1534">
            <v>228001</v>
          </cell>
        </row>
        <row r="1535">
          <cell r="K1535" t="str">
            <v>220002</v>
          </cell>
          <cell r="M1535">
            <v>1</v>
          </cell>
          <cell r="R1535">
            <v>46042</v>
          </cell>
          <cell r="S1535">
            <v>220002</v>
          </cell>
        </row>
        <row r="1536">
          <cell r="K1536" t="str">
            <v>227001</v>
          </cell>
          <cell r="M1536">
            <v>1</v>
          </cell>
          <cell r="R1536">
            <v>46042</v>
          </cell>
          <cell r="S1536">
            <v>227001</v>
          </cell>
        </row>
        <row r="1537">
          <cell r="K1537" t="str">
            <v>228001</v>
          </cell>
          <cell r="M1537">
            <v>1</v>
          </cell>
          <cell r="R1537">
            <v>46042</v>
          </cell>
          <cell r="S1537">
            <v>228001</v>
          </cell>
        </row>
        <row r="1538">
          <cell r="K1538" t="str">
            <v>220002</v>
          </cell>
          <cell r="M1538">
            <v>2</v>
          </cell>
          <cell r="R1538">
            <v>46042</v>
          </cell>
          <cell r="S1538">
            <v>220002</v>
          </cell>
        </row>
        <row r="1539">
          <cell r="K1539" t="str">
            <v>231012</v>
          </cell>
          <cell r="M1539">
            <v>1</v>
          </cell>
          <cell r="R1539">
            <v>46042</v>
          </cell>
          <cell r="S1539">
            <v>231012</v>
          </cell>
        </row>
        <row r="1540">
          <cell r="K1540" t="str">
            <v>220002</v>
          </cell>
          <cell r="M1540">
            <v>1</v>
          </cell>
          <cell r="R1540">
            <v>46042</v>
          </cell>
          <cell r="S1540">
            <v>220002</v>
          </cell>
        </row>
        <row r="1541">
          <cell r="K1541" t="str">
            <v>220002</v>
          </cell>
          <cell r="M1541">
            <v>3</v>
          </cell>
          <cell r="R1541">
            <v>46042</v>
          </cell>
          <cell r="S1541">
            <v>220002</v>
          </cell>
        </row>
        <row r="1542">
          <cell r="K1542" t="str">
            <v>231012</v>
          </cell>
          <cell r="M1542">
            <v>1</v>
          </cell>
          <cell r="R1542">
            <v>46042</v>
          </cell>
          <cell r="S1542">
            <v>231012</v>
          </cell>
        </row>
        <row r="1543">
          <cell r="K1543" t="str">
            <v>220002</v>
          </cell>
          <cell r="M1543">
            <v>1</v>
          </cell>
          <cell r="R1543">
            <v>46042</v>
          </cell>
          <cell r="S1543">
            <v>220002</v>
          </cell>
        </row>
        <row r="1544">
          <cell r="K1544" t="str">
            <v>220002</v>
          </cell>
          <cell r="M1544">
            <v>2</v>
          </cell>
          <cell r="R1544">
            <v>46042</v>
          </cell>
          <cell r="S1544">
            <v>220002</v>
          </cell>
        </row>
        <row r="1545">
          <cell r="K1545" t="str">
            <v>201009</v>
          </cell>
          <cell r="M1545">
            <v>1</v>
          </cell>
          <cell r="R1545">
            <v>46042</v>
          </cell>
          <cell r="S1545">
            <v>201009</v>
          </cell>
        </row>
        <row r="1546">
          <cell r="K1546" t="str">
            <v>220002</v>
          </cell>
          <cell r="M1546">
            <v>1</v>
          </cell>
          <cell r="R1546">
            <v>46042</v>
          </cell>
          <cell r="S1546">
            <v>220002</v>
          </cell>
        </row>
        <row r="1547">
          <cell r="K1547" t="str">
            <v>220002</v>
          </cell>
          <cell r="M1547">
            <v>2</v>
          </cell>
          <cell r="R1547">
            <v>46042</v>
          </cell>
          <cell r="S1547">
            <v>220002</v>
          </cell>
        </row>
        <row r="1548">
          <cell r="K1548" t="str">
            <v>220002</v>
          </cell>
          <cell r="M1548">
            <v>5</v>
          </cell>
          <cell r="R1548">
            <v>46042</v>
          </cell>
          <cell r="S1548">
            <v>220002</v>
          </cell>
        </row>
        <row r="1549">
          <cell r="K1549" t="str">
            <v>206002</v>
          </cell>
          <cell r="M1549">
            <v>1</v>
          </cell>
          <cell r="R1549">
            <v>46042</v>
          </cell>
          <cell r="S1549">
            <v>206002</v>
          </cell>
        </row>
        <row r="1550">
          <cell r="K1550" t="str">
            <v>224001</v>
          </cell>
          <cell r="M1550">
            <v>1</v>
          </cell>
          <cell r="R1550">
            <v>46042</v>
          </cell>
          <cell r="S1550">
            <v>224001</v>
          </cell>
        </row>
        <row r="1551">
          <cell r="K1551" t="str">
            <v>220002</v>
          </cell>
          <cell r="M1551">
            <v>2</v>
          </cell>
          <cell r="R1551">
            <v>46043</v>
          </cell>
          <cell r="S1551">
            <v>220002</v>
          </cell>
        </row>
        <row r="1552">
          <cell r="K1552" t="str">
            <v>226025</v>
          </cell>
          <cell r="M1552">
            <v>2</v>
          </cell>
          <cell r="R1552">
            <v>46043</v>
          </cell>
          <cell r="S1552">
            <v>226025</v>
          </cell>
        </row>
        <row r="1553">
          <cell r="K1553" t="str">
            <v>217023</v>
          </cell>
          <cell r="M1553">
            <v>1</v>
          </cell>
          <cell r="R1553">
            <v>46043</v>
          </cell>
          <cell r="S1553">
            <v>217023</v>
          </cell>
        </row>
        <row r="1554">
          <cell r="K1554" t="str">
            <v>223002</v>
          </cell>
          <cell r="M1554">
            <v>1</v>
          </cell>
          <cell r="R1554">
            <v>46044</v>
          </cell>
          <cell r="S1554">
            <v>223002</v>
          </cell>
        </row>
        <row r="1555">
          <cell r="K1555" t="str">
            <v>217023</v>
          </cell>
          <cell r="M1555">
            <v>1</v>
          </cell>
          <cell r="R1555">
            <v>46044</v>
          </cell>
          <cell r="S1555">
            <v>217023</v>
          </cell>
        </row>
        <row r="1556">
          <cell r="K1556" t="str">
            <v>231012</v>
          </cell>
          <cell r="M1556">
            <v>1</v>
          </cell>
          <cell r="R1556">
            <v>46044</v>
          </cell>
          <cell r="S1556">
            <v>231012</v>
          </cell>
        </row>
        <row r="1557">
          <cell r="K1557" t="str">
            <v>217011</v>
          </cell>
          <cell r="M1557">
            <v>1</v>
          </cell>
          <cell r="R1557">
            <v>46044</v>
          </cell>
          <cell r="S1557">
            <v>217011</v>
          </cell>
        </row>
        <row r="1558">
          <cell r="K1558" t="str">
            <v>226001</v>
          </cell>
          <cell r="M1558">
            <v>1</v>
          </cell>
          <cell r="R1558">
            <v>46043</v>
          </cell>
          <cell r="S1558">
            <v>226001</v>
          </cell>
        </row>
        <row r="1559">
          <cell r="K1559" t="str">
            <v>209016</v>
          </cell>
          <cell r="M1559">
            <v>1</v>
          </cell>
          <cell r="R1559">
            <v>46044</v>
          </cell>
          <cell r="S1559">
            <v>209016</v>
          </cell>
        </row>
        <row r="1560">
          <cell r="K1560" t="str">
            <v>217011</v>
          </cell>
          <cell r="M1560">
            <v>1</v>
          </cell>
          <cell r="R1560">
            <v>46045</v>
          </cell>
          <cell r="S1560">
            <v>217011</v>
          </cell>
        </row>
        <row r="1561">
          <cell r="K1561" t="str">
            <v>231012</v>
          </cell>
          <cell r="M1561">
            <v>1</v>
          </cell>
          <cell r="R1561">
            <v>46045</v>
          </cell>
          <cell r="S1561">
            <v>231012</v>
          </cell>
        </row>
        <row r="1562">
          <cell r="K1562" t="str">
            <v>220002</v>
          </cell>
          <cell r="M1562">
            <v>1</v>
          </cell>
          <cell r="R1562">
            <v>46045</v>
          </cell>
          <cell r="S1562">
            <v>220002</v>
          </cell>
        </row>
        <row r="1563">
          <cell r="K1563" t="str">
            <v>231012</v>
          </cell>
          <cell r="M1563">
            <v>2</v>
          </cell>
          <cell r="R1563">
            <v>46045</v>
          </cell>
          <cell r="S1563">
            <v>231012</v>
          </cell>
        </row>
        <row r="1564">
          <cell r="K1564" t="str">
            <v>229001</v>
          </cell>
          <cell r="M1564">
            <v>1</v>
          </cell>
          <cell r="R1564">
            <v>46048</v>
          </cell>
          <cell r="S1564">
            <v>229001</v>
          </cell>
        </row>
        <row r="1565">
          <cell r="K1565" t="str">
            <v>226025</v>
          </cell>
          <cell r="M1565">
            <v>1</v>
          </cell>
          <cell r="R1565">
            <v>46048</v>
          </cell>
          <cell r="S1565">
            <v>226025</v>
          </cell>
        </row>
        <row r="1566">
          <cell r="K1566" t="str">
            <v>220002</v>
          </cell>
          <cell r="M1566">
            <v>1</v>
          </cell>
          <cell r="R1566">
            <v>46048</v>
          </cell>
          <cell r="S1566">
            <v>220002</v>
          </cell>
        </row>
        <row r="1567">
          <cell r="K1567" t="str">
            <v>220002</v>
          </cell>
          <cell r="M1567">
            <v>1</v>
          </cell>
          <cell r="R1567">
            <v>46048</v>
          </cell>
          <cell r="S1567">
            <v>220002</v>
          </cell>
        </row>
        <row r="1568">
          <cell r="K1568" t="str">
            <v>209017</v>
          </cell>
          <cell r="M1568">
            <v>1</v>
          </cell>
          <cell r="R1568">
            <v>46048</v>
          </cell>
          <cell r="S1568">
            <v>209017</v>
          </cell>
        </row>
        <row r="1569">
          <cell r="K1569" t="str">
            <v>220002</v>
          </cell>
          <cell r="M1569">
            <v>1</v>
          </cell>
          <cell r="R1569">
            <v>46048</v>
          </cell>
          <cell r="S1569">
            <v>220002</v>
          </cell>
        </row>
        <row r="1570">
          <cell r="K1570" t="str">
            <v>231012</v>
          </cell>
          <cell r="M1570">
            <v>1</v>
          </cell>
          <cell r="R1570">
            <v>46049</v>
          </cell>
          <cell r="S1570">
            <v>231012</v>
          </cell>
        </row>
        <row r="1571">
          <cell r="K1571" t="str">
            <v>228001</v>
          </cell>
          <cell r="M1571">
            <v>1</v>
          </cell>
          <cell r="R1571">
            <v>46049</v>
          </cell>
          <cell r="S1571">
            <v>228001</v>
          </cell>
        </row>
        <row r="1572">
          <cell r="K1572" t="str">
            <v>220002</v>
          </cell>
          <cell r="M1572">
            <v>1</v>
          </cell>
          <cell r="R1572">
            <v>46049</v>
          </cell>
          <cell r="S1572">
            <v>220002</v>
          </cell>
        </row>
        <row r="1573">
          <cell r="K1573" t="str">
            <v>227012</v>
          </cell>
          <cell r="M1573">
            <v>1</v>
          </cell>
          <cell r="R1573">
            <v>46050</v>
          </cell>
          <cell r="S1573">
            <v>227012</v>
          </cell>
        </row>
        <row r="1574">
          <cell r="K1574" t="str">
            <v>226025</v>
          </cell>
          <cell r="M1574">
            <v>1</v>
          </cell>
          <cell r="R1574">
            <v>46050</v>
          </cell>
          <cell r="S1574">
            <v>226025</v>
          </cell>
        </row>
        <row r="1575">
          <cell r="K1575" t="str">
            <v>227001</v>
          </cell>
          <cell r="M1575">
            <v>1</v>
          </cell>
          <cell r="R1575">
            <v>46051</v>
          </cell>
          <cell r="S1575">
            <v>227001</v>
          </cell>
        </row>
        <row r="1576">
          <cell r="K1576" t="str">
            <v>201024</v>
          </cell>
          <cell r="M1576">
            <v>2</v>
          </cell>
          <cell r="R1576">
            <v>46051</v>
          </cell>
          <cell r="S1576">
            <v>201024</v>
          </cell>
        </row>
        <row r="1577">
          <cell r="K1577" t="str">
            <v>217023</v>
          </cell>
          <cell r="M1577">
            <v>1</v>
          </cell>
          <cell r="R1577">
            <v>46051</v>
          </cell>
          <cell r="S1577">
            <v>217023</v>
          </cell>
        </row>
        <row r="1578">
          <cell r="K1578" t="str">
            <v>228001</v>
          </cell>
          <cell r="M1578">
            <v>1</v>
          </cell>
          <cell r="R1578">
            <v>46052</v>
          </cell>
          <cell r="S1578">
            <v>228001</v>
          </cell>
        </row>
        <row r="1579">
          <cell r="K1579" t="str">
            <v>227010</v>
          </cell>
          <cell r="M1579">
            <v>1</v>
          </cell>
          <cell r="R1579">
            <v>46052</v>
          </cell>
          <cell r="S1579">
            <v>227010</v>
          </cell>
        </row>
        <row r="1580">
          <cell r="K1580" t="str">
            <v>228001</v>
          </cell>
          <cell r="M1580">
            <v>1</v>
          </cell>
          <cell r="R1580">
            <v>46052</v>
          </cell>
          <cell r="S1580">
            <v>228001</v>
          </cell>
        </row>
        <row r="1581">
          <cell r="K1581" t="str">
            <v>231012</v>
          </cell>
          <cell r="M1581">
            <v>2</v>
          </cell>
          <cell r="R1581">
            <v>46055</v>
          </cell>
          <cell r="S1581">
            <v>231012</v>
          </cell>
        </row>
        <row r="1582">
          <cell r="K1582" t="str">
            <v>226004</v>
          </cell>
          <cell r="M1582">
            <v>1</v>
          </cell>
          <cell r="R1582">
            <v>46055</v>
          </cell>
          <cell r="S1582">
            <v>226004</v>
          </cell>
        </row>
        <row r="1583">
          <cell r="K1583" t="str">
            <v>209002</v>
          </cell>
          <cell r="M1583">
            <v>1</v>
          </cell>
          <cell r="R1583">
            <v>46055</v>
          </cell>
          <cell r="S1583">
            <v>209002</v>
          </cell>
        </row>
        <row r="1584">
          <cell r="K1584" t="str">
            <v>209004</v>
          </cell>
          <cell r="M1584">
            <v>1</v>
          </cell>
          <cell r="R1584">
            <v>46055</v>
          </cell>
          <cell r="S1584">
            <v>209004</v>
          </cell>
        </row>
        <row r="1585">
          <cell r="K1585" t="str">
            <v>217023</v>
          </cell>
          <cell r="M1585">
            <v>1</v>
          </cell>
          <cell r="R1585">
            <v>46055</v>
          </cell>
          <cell r="S1585">
            <v>217023</v>
          </cell>
        </row>
        <row r="1586">
          <cell r="K1586" t="str">
            <v>220002</v>
          </cell>
          <cell r="M1586">
            <v>2</v>
          </cell>
          <cell r="R1586">
            <v>46055</v>
          </cell>
          <cell r="S1586">
            <v>220002</v>
          </cell>
        </row>
        <row r="1587">
          <cell r="K1587" t="str">
            <v>217023</v>
          </cell>
          <cell r="M1587">
            <v>1</v>
          </cell>
          <cell r="R1587">
            <v>46055</v>
          </cell>
          <cell r="S1587">
            <v>217023</v>
          </cell>
        </row>
        <row r="1588">
          <cell r="K1588" t="str">
            <v>220002</v>
          </cell>
          <cell r="M1588">
            <v>1</v>
          </cell>
          <cell r="R1588">
            <v>46055</v>
          </cell>
          <cell r="S1588">
            <v>220002</v>
          </cell>
        </row>
        <row r="1589">
          <cell r="K1589" t="str">
            <v>217022</v>
          </cell>
          <cell r="M1589">
            <v>3</v>
          </cell>
          <cell r="R1589">
            <v>46055</v>
          </cell>
          <cell r="S1589">
            <v>217022</v>
          </cell>
        </row>
        <row r="1590">
          <cell r="K1590" t="str">
            <v>217011</v>
          </cell>
          <cell r="M1590">
            <v>1</v>
          </cell>
          <cell r="R1590">
            <v>46055</v>
          </cell>
          <cell r="S1590">
            <v>217011</v>
          </cell>
        </row>
        <row r="1591">
          <cell r="K1591" t="str">
            <v>226022</v>
          </cell>
          <cell r="M1591">
            <v>1</v>
          </cell>
          <cell r="R1591">
            <v>46055</v>
          </cell>
          <cell r="S1591">
            <v>226022</v>
          </cell>
        </row>
        <row r="1592">
          <cell r="K1592" t="str">
            <v>226001</v>
          </cell>
          <cell r="M1592">
            <v>1</v>
          </cell>
          <cell r="R1592">
            <v>46056</v>
          </cell>
          <cell r="S1592">
            <v>226001</v>
          </cell>
        </row>
        <row r="1593">
          <cell r="K1593" t="str">
            <v>220002</v>
          </cell>
          <cell r="M1593">
            <v>1</v>
          </cell>
          <cell r="R1593">
            <v>46056</v>
          </cell>
          <cell r="S1593">
            <v>220002</v>
          </cell>
        </row>
        <row r="1594">
          <cell r="K1594" t="str">
            <v>226025</v>
          </cell>
          <cell r="M1594">
            <v>2</v>
          </cell>
          <cell r="R1594">
            <v>46056</v>
          </cell>
          <cell r="S1594">
            <v>226025</v>
          </cell>
        </row>
        <row r="1595">
          <cell r="K1595" t="str">
            <v>226001</v>
          </cell>
          <cell r="M1595">
            <v>2</v>
          </cell>
          <cell r="R1595">
            <v>46055</v>
          </cell>
          <cell r="S1595">
            <v>226001</v>
          </cell>
        </row>
        <row r="1596">
          <cell r="K1596" t="str">
            <v>226025</v>
          </cell>
          <cell r="M1596">
            <v>2</v>
          </cell>
          <cell r="R1596">
            <v>46055</v>
          </cell>
          <cell r="S1596">
            <v>226025</v>
          </cell>
        </row>
        <row r="1597">
          <cell r="K1597" t="str">
            <v>227002</v>
          </cell>
          <cell r="M1597">
            <v>1</v>
          </cell>
          <cell r="R1597">
            <v>46055</v>
          </cell>
          <cell r="S1597">
            <v>227002</v>
          </cell>
        </row>
        <row r="1598">
          <cell r="K1598" t="str">
            <v>231012</v>
          </cell>
          <cell r="M1598">
            <v>1</v>
          </cell>
          <cell r="R1598">
            <v>46056</v>
          </cell>
          <cell r="S1598">
            <v>231012</v>
          </cell>
        </row>
        <row r="1599">
          <cell r="K1599" t="str">
            <v>209016</v>
          </cell>
          <cell r="M1599">
            <v>1</v>
          </cell>
          <cell r="R1599">
            <v>46057</v>
          </cell>
          <cell r="S1599">
            <v>209016</v>
          </cell>
        </row>
        <row r="1600">
          <cell r="K1600" t="str">
            <v>209012</v>
          </cell>
          <cell r="M1600">
            <v>1</v>
          </cell>
          <cell r="R1600">
            <v>46057</v>
          </cell>
          <cell r="S1600">
            <v>209012</v>
          </cell>
        </row>
        <row r="1601">
          <cell r="K1601" t="str">
            <v>212035</v>
          </cell>
          <cell r="M1601">
            <v>2</v>
          </cell>
          <cell r="R1601">
            <v>46057</v>
          </cell>
          <cell r="S1601">
            <v>212035</v>
          </cell>
        </row>
        <row r="1602">
          <cell r="K1602" t="str">
            <v>220002</v>
          </cell>
          <cell r="M1602">
            <v>1</v>
          </cell>
          <cell r="R1602">
            <v>46057</v>
          </cell>
          <cell r="S1602">
            <v>220002</v>
          </cell>
        </row>
        <row r="1603">
          <cell r="K1603" t="str">
            <v>227002</v>
          </cell>
          <cell r="M1603">
            <v>1</v>
          </cell>
          <cell r="R1603">
            <v>46057</v>
          </cell>
          <cell r="S1603">
            <v>227002</v>
          </cell>
        </row>
        <row r="1604">
          <cell r="K1604" t="str">
            <v>231012</v>
          </cell>
          <cell r="M1604">
            <v>1</v>
          </cell>
          <cell r="R1604">
            <v>46057</v>
          </cell>
          <cell r="S1604">
            <v>231012</v>
          </cell>
        </row>
        <row r="1605">
          <cell r="K1605" t="str">
            <v>201009</v>
          </cell>
          <cell r="M1605">
            <v>7</v>
          </cell>
          <cell r="R1605">
            <v>46057</v>
          </cell>
          <cell r="S1605">
            <v>201009</v>
          </cell>
        </row>
        <row r="1606">
          <cell r="K1606" t="str">
            <v>231012</v>
          </cell>
          <cell r="M1606">
            <v>1</v>
          </cell>
          <cell r="R1606">
            <v>46057</v>
          </cell>
          <cell r="S1606">
            <v>231012</v>
          </cell>
        </row>
        <row r="1607">
          <cell r="K1607" t="str">
            <v>220002</v>
          </cell>
          <cell r="M1607">
            <v>2</v>
          </cell>
          <cell r="R1607">
            <v>46057</v>
          </cell>
          <cell r="S1607">
            <v>220002</v>
          </cell>
        </row>
        <row r="1608">
          <cell r="K1608" t="str">
            <v>220002</v>
          </cell>
          <cell r="M1608">
            <v>1</v>
          </cell>
          <cell r="R1608">
            <v>46057</v>
          </cell>
          <cell r="S1608">
            <v>220002</v>
          </cell>
        </row>
        <row r="1609">
          <cell r="K1609" t="str">
            <v>201011</v>
          </cell>
          <cell r="M1609">
            <v>1</v>
          </cell>
          <cell r="R1609">
            <v>46058</v>
          </cell>
          <cell r="S1609">
            <v>201011</v>
          </cell>
        </row>
        <row r="1610">
          <cell r="K1610" t="str">
            <v>226003</v>
          </cell>
          <cell r="M1610">
            <v>1</v>
          </cell>
          <cell r="R1610">
            <v>46058</v>
          </cell>
          <cell r="S1610">
            <v>226003</v>
          </cell>
        </row>
        <row r="1611">
          <cell r="K1611" t="str">
            <v>220002</v>
          </cell>
          <cell r="M1611">
            <v>1</v>
          </cell>
          <cell r="R1611">
            <v>46058</v>
          </cell>
          <cell r="S1611">
            <v>220002</v>
          </cell>
        </row>
        <row r="1612">
          <cell r="K1612" t="str">
            <v>228001</v>
          </cell>
          <cell r="M1612">
            <v>1</v>
          </cell>
          <cell r="R1612">
            <v>46058</v>
          </cell>
          <cell r="S1612">
            <v>228001</v>
          </cell>
        </row>
        <row r="1613">
          <cell r="K1613" t="str">
            <v>217011</v>
          </cell>
          <cell r="M1613">
            <v>2</v>
          </cell>
          <cell r="R1613">
            <v>46058</v>
          </cell>
          <cell r="S1613">
            <v>217011</v>
          </cell>
        </row>
        <row r="1614">
          <cell r="K1614" t="str">
            <v>209001</v>
          </cell>
          <cell r="M1614">
            <v>1</v>
          </cell>
          <cell r="R1614">
            <v>46058</v>
          </cell>
          <cell r="S1614">
            <v>209001</v>
          </cell>
        </row>
        <row r="1615">
          <cell r="K1615" t="str">
            <v>234001</v>
          </cell>
          <cell r="M1615">
            <v>1</v>
          </cell>
          <cell r="R1615">
            <v>46059</v>
          </cell>
          <cell r="S1615">
            <v>234001</v>
          </cell>
        </row>
        <row r="1616">
          <cell r="K1616" t="str">
            <v>217011</v>
          </cell>
          <cell r="M1616">
            <v>2</v>
          </cell>
          <cell r="R1616">
            <v>46059</v>
          </cell>
          <cell r="S1616">
            <v>217011</v>
          </cell>
        </row>
        <row r="1617">
          <cell r="K1617" t="str">
            <v>201011</v>
          </cell>
          <cell r="M1617">
            <v>1</v>
          </cell>
          <cell r="R1617">
            <v>46059</v>
          </cell>
          <cell r="S1617">
            <v>201011</v>
          </cell>
        </row>
        <row r="1618">
          <cell r="K1618" t="str">
            <v>220002</v>
          </cell>
          <cell r="M1618">
            <v>1</v>
          </cell>
          <cell r="R1618">
            <v>46059</v>
          </cell>
          <cell r="S1618">
            <v>220002</v>
          </cell>
        </row>
        <row r="1619">
          <cell r="K1619" t="str">
            <v>201024</v>
          </cell>
          <cell r="M1619">
            <v>1</v>
          </cell>
          <cell r="R1619">
            <v>46059</v>
          </cell>
          <cell r="S1619">
            <v>201024</v>
          </cell>
        </row>
        <row r="1620">
          <cell r="K1620" t="str">
            <v>226004</v>
          </cell>
          <cell r="M1620">
            <v>1</v>
          </cell>
          <cell r="R1620">
            <v>46062</v>
          </cell>
          <cell r="S1620">
            <v>226004</v>
          </cell>
        </row>
        <row r="1621">
          <cell r="K1621" t="str">
            <v>215001</v>
          </cell>
          <cell r="M1621">
            <v>1</v>
          </cell>
          <cell r="R1621">
            <v>46062</v>
          </cell>
          <cell r="S1621">
            <v>215001</v>
          </cell>
        </row>
        <row r="1622">
          <cell r="K1622" t="str">
            <v>206005</v>
          </cell>
          <cell r="M1622">
            <v>1</v>
          </cell>
          <cell r="R1622">
            <v>46062</v>
          </cell>
          <cell r="S1622">
            <v>206005</v>
          </cell>
        </row>
        <row r="1623">
          <cell r="K1623" t="str">
            <v>206006</v>
          </cell>
          <cell r="M1623">
            <v>1</v>
          </cell>
          <cell r="R1623">
            <v>46062</v>
          </cell>
          <cell r="S1623">
            <v>206006</v>
          </cell>
        </row>
        <row r="1624">
          <cell r="K1624" t="str">
            <v>208001</v>
          </cell>
          <cell r="M1624">
            <v>1</v>
          </cell>
          <cell r="R1624">
            <v>46062</v>
          </cell>
          <cell r="S1624">
            <v>208001</v>
          </cell>
        </row>
        <row r="1625">
          <cell r="K1625" t="str">
            <v>227002</v>
          </cell>
          <cell r="M1625">
            <v>1</v>
          </cell>
          <cell r="R1625">
            <v>46062</v>
          </cell>
          <cell r="S1625">
            <v>227002</v>
          </cell>
        </row>
        <row r="1626">
          <cell r="K1626" t="str">
            <v>223007</v>
          </cell>
          <cell r="M1626">
            <v>3</v>
          </cell>
          <cell r="R1626">
            <v>46062</v>
          </cell>
          <cell r="S1626">
            <v>223007</v>
          </cell>
        </row>
        <row r="1627">
          <cell r="K1627" t="str">
            <v>227001</v>
          </cell>
          <cell r="M1627">
            <v>1</v>
          </cell>
          <cell r="R1627">
            <v>46062</v>
          </cell>
          <cell r="S1627">
            <v>227001</v>
          </cell>
        </row>
        <row r="1628">
          <cell r="K1628" t="str">
            <v>201024</v>
          </cell>
          <cell r="M1628">
            <v>1</v>
          </cell>
          <cell r="R1628">
            <v>46062</v>
          </cell>
          <cell r="S1628">
            <v>201024</v>
          </cell>
        </row>
        <row r="1629">
          <cell r="K1629" t="str">
            <v>226001</v>
          </cell>
          <cell r="M1629">
            <v>2</v>
          </cell>
          <cell r="R1629">
            <v>46062</v>
          </cell>
          <cell r="S1629">
            <v>226001</v>
          </cell>
        </row>
        <row r="1630">
          <cell r="K1630" t="str">
            <v>209012</v>
          </cell>
          <cell r="M1630">
            <v>1</v>
          </cell>
          <cell r="R1630">
            <v>46062</v>
          </cell>
          <cell r="S1630">
            <v>209012</v>
          </cell>
        </row>
        <row r="1631">
          <cell r="K1631" t="str">
            <v>227014</v>
          </cell>
          <cell r="M1631">
            <v>1</v>
          </cell>
          <cell r="R1631">
            <v>46062</v>
          </cell>
          <cell r="S1631">
            <v>227014</v>
          </cell>
        </row>
        <row r="1632">
          <cell r="K1632" t="str">
            <v>226025</v>
          </cell>
          <cell r="M1632">
            <v>1</v>
          </cell>
          <cell r="R1632">
            <v>46062</v>
          </cell>
          <cell r="S1632">
            <v>226025</v>
          </cell>
        </row>
        <row r="1633">
          <cell r="K1633" t="str">
            <v>223001</v>
          </cell>
          <cell r="M1633">
            <v>50</v>
          </cell>
          <cell r="R1633">
            <v>46063</v>
          </cell>
          <cell r="S1633">
            <v>223001</v>
          </cell>
        </row>
        <row r="1634">
          <cell r="K1634" t="str">
            <v>226001</v>
          </cell>
          <cell r="M1634">
            <v>1</v>
          </cell>
          <cell r="R1634">
            <v>46063</v>
          </cell>
          <cell r="S1634">
            <v>226001</v>
          </cell>
        </row>
        <row r="1635">
          <cell r="K1635" t="str">
            <v>226001</v>
          </cell>
          <cell r="M1635">
            <v>2</v>
          </cell>
          <cell r="R1635">
            <v>46063</v>
          </cell>
          <cell r="S1635">
            <v>226001</v>
          </cell>
        </row>
        <row r="1636">
          <cell r="K1636" t="str">
            <v>226025</v>
          </cell>
          <cell r="M1636">
            <v>1</v>
          </cell>
          <cell r="R1636">
            <v>46063</v>
          </cell>
          <cell r="S1636">
            <v>226025</v>
          </cell>
        </row>
        <row r="1637">
          <cell r="K1637" t="str">
            <v>207002</v>
          </cell>
          <cell r="M1637">
            <v>2</v>
          </cell>
          <cell r="R1637">
            <v>46063</v>
          </cell>
          <cell r="S1637">
            <v>207002</v>
          </cell>
        </row>
        <row r="1638">
          <cell r="K1638" t="str">
            <v>226001</v>
          </cell>
          <cell r="M1638">
            <v>1</v>
          </cell>
          <cell r="R1638">
            <v>46064</v>
          </cell>
          <cell r="S1638">
            <v>226001</v>
          </cell>
        </row>
        <row r="1639">
          <cell r="K1639" t="str">
            <v>201024</v>
          </cell>
          <cell r="M1639">
            <v>2</v>
          </cell>
          <cell r="R1639">
            <v>46065</v>
          </cell>
          <cell r="S1639">
            <v>201024</v>
          </cell>
        </row>
        <row r="1640">
          <cell r="K1640" t="str">
            <v>227001</v>
          </cell>
          <cell r="M1640">
            <v>1</v>
          </cell>
          <cell r="R1640">
            <v>46065</v>
          </cell>
          <cell r="S1640">
            <v>227001</v>
          </cell>
        </row>
        <row r="1641">
          <cell r="K1641" t="str">
            <v>220002</v>
          </cell>
          <cell r="M1641">
            <v>2</v>
          </cell>
          <cell r="R1641">
            <v>46065</v>
          </cell>
          <cell r="S1641">
            <v>220002</v>
          </cell>
        </row>
        <row r="1642">
          <cell r="K1642" t="str">
            <v>227001</v>
          </cell>
          <cell r="M1642">
            <v>1</v>
          </cell>
          <cell r="R1642">
            <v>46065</v>
          </cell>
          <cell r="S1642">
            <v>227001</v>
          </cell>
        </row>
        <row r="1643">
          <cell r="K1643" t="str">
            <v>228001</v>
          </cell>
          <cell r="M1643">
            <v>1</v>
          </cell>
          <cell r="R1643">
            <v>46065</v>
          </cell>
          <cell r="S1643">
            <v>228001</v>
          </cell>
        </row>
        <row r="1644">
          <cell r="K1644" t="str">
            <v>212035</v>
          </cell>
          <cell r="M1644">
            <v>1</v>
          </cell>
          <cell r="R1644">
            <v>46065</v>
          </cell>
          <cell r="S1644">
            <v>212035</v>
          </cell>
        </row>
        <row r="1645">
          <cell r="K1645" t="str">
            <v>228001</v>
          </cell>
          <cell r="M1645">
            <v>1</v>
          </cell>
          <cell r="R1645">
            <v>46065</v>
          </cell>
          <cell r="S1645">
            <v>228001</v>
          </cell>
        </row>
        <row r="1646">
          <cell r="K1646" t="str">
            <v>201024</v>
          </cell>
          <cell r="M1646">
            <v>1</v>
          </cell>
          <cell r="R1646">
            <v>46065</v>
          </cell>
          <cell r="S1646">
            <v>201024</v>
          </cell>
        </row>
        <row r="1647">
          <cell r="K1647" t="str">
            <v>217011</v>
          </cell>
          <cell r="M1647">
            <v>1</v>
          </cell>
          <cell r="R1647">
            <v>46065</v>
          </cell>
          <cell r="S1647">
            <v>217011</v>
          </cell>
        </row>
        <row r="1648">
          <cell r="K1648" t="str">
            <v>217011</v>
          </cell>
          <cell r="M1648">
            <v>1</v>
          </cell>
          <cell r="R1648">
            <v>46066</v>
          </cell>
          <cell r="S1648">
            <v>217011</v>
          </cell>
        </row>
        <row r="1649">
          <cell r="K1649" t="str">
            <v>201011</v>
          </cell>
          <cell r="M1649">
            <v>1</v>
          </cell>
          <cell r="R1649">
            <v>46066</v>
          </cell>
          <cell r="S1649">
            <v>201011</v>
          </cell>
        </row>
        <row r="1650">
          <cell r="K1650" t="str">
            <v>209006</v>
          </cell>
          <cell r="M1650">
            <v>1</v>
          </cell>
          <cell r="R1650">
            <v>46066</v>
          </cell>
          <cell r="S1650">
            <v>209006</v>
          </cell>
        </row>
        <row r="1651">
          <cell r="K1651" t="str">
            <v>207002</v>
          </cell>
          <cell r="M1651">
            <v>2</v>
          </cell>
          <cell r="R1651">
            <v>45672</v>
          </cell>
          <cell r="S1651">
            <v>207002</v>
          </cell>
        </row>
        <row r="1652">
          <cell r="K1652" t="str">
            <v>213002</v>
          </cell>
          <cell r="M1652">
            <v>1</v>
          </cell>
          <cell r="R1652">
            <v>45729</v>
          </cell>
          <cell r="S1652">
            <v>213002</v>
          </cell>
        </row>
        <row r="1653">
          <cell r="K1653" t="str">
            <v>213002</v>
          </cell>
          <cell r="M1653">
            <v>1</v>
          </cell>
          <cell r="R1653">
            <v>45751</v>
          </cell>
          <cell r="S1653">
            <v>213002</v>
          </cell>
        </row>
        <row r="1654">
          <cell r="K1654" t="str">
            <v>226001</v>
          </cell>
          <cell r="M1654">
            <v>4</v>
          </cell>
          <cell r="R1654">
            <v>45783</v>
          </cell>
          <cell r="S1654">
            <v>226001</v>
          </cell>
        </row>
        <row r="1655">
          <cell r="K1655" t="str">
            <v>201011</v>
          </cell>
          <cell r="M1655">
            <v>1</v>
          </cell>
          <cell r="R1655">
            <v>45789</v>
          </cell>
          <cell r="S1655">
            <v>201011</v>
          </cell>
        </row>
        <row r="1656">
          <cell r="K1656" t="str">
            <v>226025</v>
          </cell>
          <cell r="M1656">
            <v>2</v>
          </cell>
          <cell r="R1656">
            <v>45846</v>
          </cell>
          <cell r="S1656">
            <v>226025</v>
          </cell>
        </row>
        <row r="1657">
          <cell r="K1657" t="str">
            <v>212035</v>
          </cell>
          <cell r="M1657">
            <v>3</v>
          </cell>
          <cell r="R1657">
            <v>45847</v>
          </cell>
          <cell r="S1657">
            <v>212035</v>
          </cell>
        </row>
        <row r="1658">
          <cell r="K1658" t="str">
            <v>227002</v>
          </cell>
          <cell r="M1658">
            <v>1</v>
          </cell>
          <cell r="R1658">
            <v>45903</v>
          </cell>
          <cell r="S1658">
            <v>227002</v>
          </cell>
        </row>
        <row r="1659">
          <cell r="K1659" t="str">
            <v>226026</v>
          </cell>
          <cell r="M1659">
            <v>2</v>
          </cell>
          <cell r="R1659">
            <v>45904</v>
          </cell>
          <cell r="S1659">
            <v>226026</v>
          </cell>
        </row>
        <row r="1660">
          <cell r="K1660" t="str">
            <v>226001</v>
          </cell>
          <cell r="M1660">
            <v>3</v>
          </cell>
          <cell r="R1660">
            <v>45910</v>
          </cell>
          <cell r="S1660">
            <v>226001</v>
          </cell>
        </row>
        <row r="1661">
          <cell r="K1661" t="str">
            <v>220002</v>
          </cell>
          <cell r="M1661">
            <v>2</v>
          </cell>
          <cell r="R1661">
            <v>45923</v>
          </cell>
          <cell r="S1661">
            <v>220002</v>
          </cell>
        </row>
        <row r="1662">
          <cell r="K1662" t="str">
            <v>201004</v>
          </cell>
          <cell r="M1662">
            <v>1</v>
          </cell>
          <cell r="R1662">
            <v>45966</v>
          </cell>
          <cell r="S1662">
            <v>201004</v>
          </cell>
        </row>
        <row r="1663">
          <cell r="K1663" t="str">
            <v>226025</v>
          </cell>
          <cell r="M1663">
            <v>1</v>
          </cell>
          <cell r="R1663">
            <v>46017</v>
          </cell>
          <cell r="S1663">
            <v>226025</v>
          </cell>
        </row>
        <row r="1664">
          <cell r="K1664" t="str">
            <v>226031</v>
          </cell>
          <cell r="M1664">
            <v>1</v>
          </cell>
          <cell r="R1664">
            <v>46017</v>
          </cell>
          <cell r="S1664">
            <v>226031</v>
          </cell>
        </row>
        <row r="1665">
          <cell r="K1665" t="str">
            <v>209016</v>
          </cell>
          <cell r="M1665">
            <v>1</v>
          </cell>
          <cell r="R1665">
            <v>46041</v>
          </cell>
          <cell r="S1665">
            <v>209016</v>
          </cell>
        </row>
        <row r="1666">
          <cell r="K1666" t="str">
            <v>228001</v>
          </cell>
          <cell r="M1666">
            <v>1</v>
          </cell>
          <cell r="R1666">
            <v>46041</v>
          </cell>
          <cell r="S1666">
            <v>228001</v>
          </cell>
        </row>
        <row r="1667">
          <cell r="K1667" t="str">
            <v>212035</v>
          </cell>
          <cell r="M1667">
            <v>1</v>
          </cell>
          <cell r="R1667">
            <v>46041</v>
          </cell>
          <cell r="S1667">
            <v>212035</v>
          </cell>
        </row>
        <row r="1668">
          <cell r="K1668" t="str">
            <v>341001</v>
          </cell>
          <cell r="M1668">
            <v>2</v>
          </cell>
          <cell r="R1668">
            <v>46043</v>
          </cell>
          <cell r="S1668">
            <v>341001</v>
          </cell>
        </row>
        <row r="1669">
          <cell r="K1669" t="str">
            <v>201027</v>
          </cell>
          <cell r="M1669">
            <v>2</v>
          </cell>
          <cell r="R1669">
            <v>46063</v>
          </cell>
          <cell r="S1669">
            <v>201027</v>
          </cell>
        </row>
        <row r="1670">
          <cell r="K1670" t="str">
            <v>217018</v>
          </cell>
          <cell r="M1670">
            <v>1</v>
          </cell>
          <cell r="R1670">
            <v>46066</v>
          </cell>
          <cell r="S1670">
            <v>217018</v>
          </cell>
        </row>
        <row r="1671">
          <cell r="K1671" t="str">
            <v>223002</v>
          </cell>
          <cell r="M1671">
            <v>3</v>
          </cell>
          <cell r="R1671">
            <v>45658</v>
          </cell>
          <cell r="S1671">
            <v>223002</v>
          </cell>
        </row>
        <row r="1672">
          <cell r="K1672" t="str">
            <v>223001</v>
          </cell>
          <cell r="M1672">
            <v>2</v>
          </cell>
          <cell r="R1672">
            <v>45658</v>
          </cell>
          <cell r="S1672">
            <v>223001</v>
          </cell>
        </row>
        <row r="1673">
          <cell r="K1673" t="str">
            <v>203003</v>
          </cell>
          <cell r="M1673">
            <v>1</v>
          </cell>
          <cell r="R1673">
            <v>45658</v>
          </cell>
          <cell r="S1673">
            <v>203003</v>
          </cell>
        </row>
        <row r="1674">
          <cell r="K1674" t="str">
            <v>223001</v>
          </cell>
          <cell r="M1674">
            <v>1</v>
          </cell>
          <cell r="R1674">
            <v>45658</v>
          </cell>
          <cell r="S1674">
            <v>223001</v>
          </cell>
        </row>
        <row r="1675">
          <cell r="K1675" t="str">
            <v>223002</v>
          </cell>
          <cell r="M1675">
            <v>2</v>
          </cell>
          <cell r="R1675">
            <v>45658</v>
          </cell>
          <cell r="S1675">
            <v>223002</v>
          </cell>
        </row>
        <row r="1676">
          <cell r="K1676" t="str">
            <v>210013</v>
          </cell>
          <cell r="M1676">
            <v>1</v>
          </cell>
          <cell r="R1676">
            <v>45658</v>
          </cell>
          <cell r="S1676">
            <v>210013</v>
          </cell>
        </row>
        <row r="1677">
          <cell r="K1677" t="str">
            <v>227002</v>
          </cell>
          <cell r="M1677">
            <v>1</v>
          </cell>
          <cell r="R1677">
            <v>45658</v>
          </cell>
          <cell r="S1677">
            <v>227002</v>
          </cell>
        </row>
        <row r="1678">
          <cell r="K1678" t="str">
            <v>203001</v>
          </cell>
          <cell r="M1678">
            <v>2</v>
          </cell>
          <cell r="R1678">
            <v>45658</v>
          </cell>
          <cell r="S1678">
            <v>203001</v>
          </cell>
        </row>
        <row r="1679">
          <cell r="K1679" t="str">
            <v>228001</v>
          </cell>
          <cell r="M1679">
            <v>1</v>
          </cell>
          <cell r="R1679">
            <v>45658</v>
          </cell>
          <cell r="S1679">
            <v>228001</v>
          </cell>
        </row>
        <row r="1680">
          <cell r="K1680" t="str">
            <v>231012</v>
          </cell>
          <cell r="M1680">
            <v>6</v>
          </cell>
          <cell r="R1680">
            <v>45658</v>
          </cell>
          <cell r="S1680">
            <v>231012</v>
          </cell>
        </row>
        <row r="1681">
          <cell r="K1681" t="str">
            <v>201002</v>
          </cell>
          <cell r="M1681">
            <v>1</v>
          </cell>
          <cell r="R1681">
            <v>45658</v>
          </cell>
          <cell r="S1681">
            <v>201002</v>
          </cell>
        </row>
        <row r="1682">
          <cell r="K1682" t="str">
            <v>223002</v>
          </cell>
          <cell r="M1682">
            <v>2</v>
          </cell>
          <cell r="R1682">
            <v>45658</v>
          </cell>
          <cell r="S1682">
            <v>223002</v>
          </cell>
        </row>
        <row r="1683">
          <cell r="K1683" t="str">
            <v>223001</v>
          </cell>
          <cell r="M1683">
            <v>3</v>
          </cell>
          <cell r="R1683">
            <v>45658</v>
          </cell>
          <cell r="S1683">
            <v>223001</v>
          </cell>
        </row>
        <row r="1684">
          <cell r="K1684" t="str">
            <v>227012</v>
          </cell>
          <cell r="M1684">
            <v>1</v>
          </cell>
          <cell r="R1684">
            <v>45658</v>
          </cell>
          <cell r="S1684">
            <v>227012</v>
          </cell>
        </row>
        <row r="1685">
          <cell r="K1685" t="str">
            <v>209022</v>
          </cell>
          <cell r="M1685">
            <v>6</v>
          </cell>
          <cell r="R1685">
            <v>45658</v>
          </cell>
          <cell r="S1685">
            <v>209022</v>
          </cell>
        </row>
        <row r="1686">
          <cell r="K1686" t="str">
            <v>203003</v>
          </cell>
          <cell r="M1686">
            <v>1</v>
          </cell>
          <cell r="R1686">
            <v>45659</v>
          </cell>
          <cell r="S1686">
            <v>203003</v>
          </cell>
        </row>
        <row r="1687">
          <cell r="K1687" t="str">
            <v>203003</v>
          </cell>
          <cell r="M1687">
            <v>1</v>
          </cell>
          <cell r="R1687">
            <v>45659</v>
          </cell>
          <cell r="S1687">
            <v>203003</v>
          </cell>
        </row>
        <row r="1688">
          <cell r="K1688" t="str">
            <v>227002</v>
          </cell>
          <cell r="M1688">
            <v>1</v>
          </cell>
          <cell r="R1688">
            <v>45659</v>
          </cell>
          <cell r="S1688">
            <v>227002</v>
          </cell>
        </row>
        <row r="1689">
          <cell r="K1689" t="str">
            <v>227012</v>
          </cell>
          <cell r="M1689">
            <v>1</v>
          </cell>
          <cell r="R1689">
            <v>45659</v>
          </cell>
          <cell r="S1689">
            <v>227012</v>
          </cell>
        </row>
        <row r="1690">
          <cell r="K1690" t="str">
            <v>231012</v>
          </cell>
          <cell r="M1690">
            <v>6</v>
          </cell>
          <cell r="R1690">
            <v>45659</v>
          </cell>
          <cell r="S1690">
            <v>231012</v>
          </cell>
        </row>
        <row r="1691">
          <cell r="K1691" t="str">
            <v>234001</v>
          </cell>
          <cell r="M1691">
            <v>1</v>
          </cell>
          <cell r="R1691">
            <v>45659</v>
          </cell>
          <cell r="S1691">
            <v>234001</v>
          </cell>
        </row>
        <row r="1692">
          <cell r="K1692" t="str">
            <v>201002</v>
          </cell>
          <cell r="M1692">
            <v>1</v>
          </cell>
          <cell r="R1692">
            <v>45659</v>
          </cell>
          <cell r="S1692">
            <v>201002</v>
          </cell>
        </row>
        <row r="1693">
          <cell r="K1693" t="str">
            <v>241001</v>
          </cell>
          <cell r="M1693">
            <v>4</v>
          </cell>
          <cell r="R1693">
            <v>45659</v>
          </cell>
          <cell r="S1693">
            <v>241001</v>
          </cell>
        </row>
        <row r="1694">
          <cell r="K1694" t="str">
            <v>210013</v>
          </cell>
          <cell r="M1694">
            <v>1</v>
          </cell>
          <cell r="R1694">
            <v>45659</v>
          </cell>
          <cell r="S1694">
            <v>210013</v>
          </cell>
        </row>
        <row r="1695">
          <cell r="K1695" t="str">
            <v>212026</v>
          </cell>
          <cell r="M1695">
            <v>1</v>
          </cell>
          <cell r="R1695">
            <v>45659</v>
          </cell>
          <cell r="S1695">
            <v>212026</v>
          </cell>
        </row>
        <row r="1696">
          <cell r="K1696" t="str">
            <v>210013</v>
          </cell>
          <cell r="M1696">
            <v>3</v>
          </cell>
          <cell r="R1696">
            <v>45659</v>
          </cell>
          <cell r="S1696">
            <v>210013</v>
          </cell>
        </row>
        <row r="1697">
          <cell r="K1697" t="str">
            <v>223002</v>
          </cell>
          <cell r="M1697">
            <v>2</v>
          </cell>
          <cell r="R1697">
            <v>45659</v>
          </cell>
          <cell r="S1697">
            <v>223002</v>
          </cell>
        </row>
        <row r="1698">
          <cell r="K1698" t="str">
            <v>227002</v>
          </cell>
          <cell r="M1698">
            <v>1</v>
          </cell>
          <cell r="R1698">
            <v>45659</v>
          </cell>
          <cell r="S1698">
            <v>227002</v>
          </cell>
        </row>
        <row r="1699">
          <cell r="K1699" t="str">
            <v>210003</v>
          </cell>
          <cell r="M1699">
            <v>1</v>
          </cell>
          <cell r="R1699">
            <v>45659</v>
          </cell>
          <cell r="S1699">
            <v>210003</v>
          </cell>
        </row>
        <row r="1700">
          <cell r="K1700" t="str">
            <v>201002</v>
          </cell>
          <cell r="M1700">
            <v>3</v>
          </cell>
          <cell r="R1700">
            <v>45659</v>
          </cell>
          <cell r="S1700">
            <v>201002</v>
          </cell>
        </row>
        <row r="1701">
          <cell r="K1701" t="str">
            <v>213002</v>
          </cell>
          <cell r="M1701">
            <v>2</v>
          </cell>
          <cell r="R1701">
            <v>45659</v>
          </cell>
          <cell r="S1701">
            <v>213002</v>
          </cell>
        </row>
        <row r="1702">
          <cell r="K1702" t="str">
            <v>241001</v>
          </cell>
          <cell r="M1702">
            <v>1</v>
          </cell>
          <cell r="R1702">
            <v>45659</v>
          </cell>
          <cell r="S1702">
            <v>241001</v>
          </cell>
        </row>
        <row r="1703">
          <cell r="K1703" t="str">
            <v>226001</v>
          </cell>
          <cell r="M1703">
            <v>6</v>
          </cell>
          <cell r="R1703">
            <v>45659</v>
          </cell>
          <cell r="S1703">
            <v>226001</v>
          </cell>
        </row>
        <row r="1704">
          <cell r="K1704" t="str">
            <v>223002</v>
          </cell>
          <cell r="M1704">
            <v>2</v>
          </cell>
          <cell r="R1704">
            <v>45659</v>
          </cell>
          <cell r="S1704">
            <v>223002</v>
          </cell>
        </row>
        <row r="1705">
          <cell r="K1705" t="str">
            <v>227010</v>
          </cell>
          <cell r="M1705">
            <v>1</v>
          </cell>
          <cell r="R1705">
            <v>45659</v>
          </cell>
          <cell r="S1705">
            <v>227010</v>
          </cell>
        </row>
        <row r="1706">
          <cell r="K1706" t="str">
            <v>228001</v>
          </cell>
          <cell r="M1706">
            <v>10</v>
          </cell>
          <cell r="R1706">
            <v>45659</v>
          </cell>
          <cell r="S1706">
            <v>228001</v>
          </cell>
        </row>
        <row r="1707">
          <cell r="K1707" t="str">
            <v>201011</v>
          </cell>
          <cell r="M1707">
            <v>1</v>
          </cell>
          <cell r="R1707">
            <v>45659</v>
          </cell>
          <cell r="S1707">
            <v>201011</v>
          </cell>
        </row>
        <row r="1708">
          <cell r="K1708" t="str">
            <v>201011</v>
          </cell>
          <cell r="M1708">
            <v>37</v>
          </cell>
          <cell r="R1708">
            <v>45659</v>
          </cell>
          <cell r="S1708">
            <v>201011</v>
          </cell>
        </row>
        <row r="1709">
          <cell r="K1709" t="str">
            <v>209004</v>
          </cell>
          <cell r="M1709">
            <v>1</v>
          </cell>
          <cell r="R1709">
            <v>45659</v>
          </cell>
          <cell r="S1709">
            <v>209004</v>
          </cell>
        </row>
        <row r="1710">
          <cell r="K1710" t="str">
            <v>203001</v>
          </cell>
          <cell r="M1710">
            <v>2</v>
          </cell>
          <cell r="R1710">
            <v>45659</v>
          </cell>
          <cell r="S1710">
            <v>203001</v>
          </cell>
        </row>
        <row r="1711">
          <cell r="K1711" t="str">
            <v>201011</v>
          </cell>
          <cell r="M1711">
            <v>1</v>
          </cell>
          <cell r="R1711">
            <v>45659</v>
          </cell>
          <cell r="S1711">
            <v>201011</v>
          </cell>
        </row>
        <row r="1712">
          <cell r="K1712" t="str">
            <v>203001</v>
          </cell>
          <cell r="M1712">
            <v>1</v>
          </cell>
          <cell r="R1712">
            <v>45659</v>
          </cell>
          <cell r="S1712">
            <v>203001</v>
          </cell>
        </row>
        <row r="1713">
          <cell r="K1713" t="str">
            <v>213003</v>
          </cell>
          <cell r="M1713">
            <v>1</v>
          </cell>
          <cell r="R1713">
            <v>45659</v>
          </cell>
          <cell r="S1713">
            <v>213003</v>
          </cell>
        </row>
        <row r="1714">
          <cell r="K1714" t="str">
            <v>213002</v>
          </cell>
          <cell r="M1714">
            <v>3</v>
          </cell>
          <cell r="R1714">
            <v>45659</v>
          </cell>
          <cell r="S1714">
            <v>213002</v>
          </cell>
        </row>
        <row r="1715">
          <cell r="K1715" t="str">
            <v>213003</v>
          </cell>
          <cell r="M1715">
            <v>1</v>
          </cell>
          <cell r="R1715">
            <v>45659</v>
          </cell>
          <cell r="S1715">
            <v>213003</v>
          </cell>
        </row>
        <row r="1716">
          <cell r="K1716" t="str">
            <v>213003</v>
          </cell>
          <cell r="M1716">
            <v>1</v>
          </cell>
          <cell r="R1716">
            <v>45659</v>
          </cell>
          <cell r="S1716">
            <v>213003</v>
          </cell>
        </row>
        <row r="1717">
          <cell r="K1717" t="str">
            <v>228001</v>
          </cell>
          <cell r="M1717">
            <v>1</v>
          </cell>
          <cell r="R1717">
            <v>45659</v>
          </cell>
          <cell r="S1717">
            <v>228001</v>
          </cell>
        </row>
        <row r="1718">
          <cell r="K1718" t="str">
            <v>201003</v>
          </cell>
          <cell r="M1718">
            <v>1</v>
          </cell>
          <cell r="R1718">
            <v>45659</v>
          </cell>
          <cell r="S1718">
            <v>201003</v>
          </cell>
        </row>
        <row r="1719">
          <cell r="K1719" t="str">
            <v>228001</v>
          </cell>
          <cell r="M1719">
            <v>2</v>
          </cell>
          <cell r="R1719">
            <v>45659</v>
          </cell>
          <cell r="S1719">
            <v>228001</v>
          </cell>
        </row>
        <row r="1720">
          <cell r="K1720" t="str">
            <v>213003</v>
          </cell>
          <cell r="M1720">
            <v>2</v>
          </cell>
          <cell r="R1720">
            <v>45659</v>
          </cell>
          <cell r="S1720">
            <v>213003</v>
          </cell>
        </row>
        <row r="1721">
          <cell r="K1721" t="str">
            <v>231004</v>
          </cell>
          <cell r="M1721">
            <v>1</v>
          </cell>
          <cell r="R1721">
            <v>45659</v>
          </cell>
          <cell r="S1721">
            <v>231004</v>
          </cell>
        </row>
        <row r="1722">
          <cell r="K1722" t="str">
            <v>213024</v>
          </cell>
          <cell r="M1722">
            <v>1</v>
          </cell>
          <cell r="R1722">
            <v>45659</v>
          </cell>
          <cell r="S1722">
            <v>213024</v>
          </cell>
        </row>
        <row r="1723">
          <cell r="K1723" t="str">
            <v>213003</v>
          </cell>
          <cell r="M1723">
            <v>2</v>
          </cell>
          <cell r="R1723">
            <v>45660</v>
          </cell>
          <cell r="S1723">
            <v>213003</v>
          </cell>
        </row>
        <row r="1724">
          <cell r="K1724" t="str">
            <v>201011</v>
          </cell>
          <cell r="M1724">
            <v>3</v>
          </cell>
          <cell r="R1724">
            <v>45660</v>
          </cell>
          <cell r="S1724">
            <v>201011</v>
          </cell>
        </row>
        <row r="1725">
          <cell r="K1725" t="str">
            <v>226026</v>
          </cell>
          <cell r="M1725">
            <v>3</v>
          </cell>
          <cell r="R1725">
            <v>45660</v>
          </cell>
          <cell r="S1725">
            <v>226026</v>
          </cell>
        </row>
        <row r="1726">
          <cell r="K1726" t="str">
            <v>226026</v>
          </cell>
          <cell r="M1726">
            <v>23</v>
          </cell>
          <cell r="R1726">
            <v>45660</v>
          </cell>
          <cell r="S1726">
            <v>226026</v>
          </cell>
        </row>
        <row r="1727">
          <cell r="K1727" t="str">
            <v>209012</v>
          </cell>
          <cell r="M1727">
            <v>1</v>
          </cell>
          <cell r="R1727">
            <v>45660</v>
          </cell>
          <cell r="S1727">
            <v>209012</v>
          </cell>
        </row>
        <row r="1728">
          <cell r="K1728" t="str">
            <v>209004</v>
          </cell>
          <cell r="M1728">
            <v>3</v>
          </cell>
          <cell r="R1728">
            <v>45660</v>
          </cell>
          <cell r="S1728">
            <v>209004</v>
          </cell>
        </row>
        <row r="1729">
          <cell r="K1729" t="str">
            <v>226026</v>
          </cell>
          <cell r="M1729">
            <v>1</v>
          </cell>
          <cell r="R1729">
            <v>45660</v>
          </cell>
          <cell r="S1729">
            <v>226026</v>
          </cell>
        </row>
        <row r="1730">
          <cell r="K1730" t="str">
            <v>201011</v>
          </cell>
          <cell r="M1730">
            <v>36</v>
          </cell>
          <cell r="R1730">
            <v>45660</v>
          </cell>
          <cell r="S1730">
            <v>201011</v>
          </cell>
        </row>
        <row r="1731">
          <cell r="K1731" t="str">
            <v>213003</v>
          </cell>
          <cell r="M1731">
            <v>1</v>
          </cell>
          <cell r="R1731">
            <v>45660</v>
          </cell>
          <cell r="S1731">
            <v>213003</v>
          </cell>
        </row>
        <row r="1732">
          <cell r="K1732" t="str">
            <v>227012</v>
          </cell>
          <cell r="M1732">
            <v>1</v>
          </cell>
          <cell r="R1732">
            <v>45660</v>
          </cell>
          <cell r="S1732">
            <v>227012</v>
          </cell>
        </row>
        <row r="1733">
          <cell r="K1733" t="str">
            <v>223002</v>
          </cell>
          <cell r="M1733">
            <v>1</v>
          </cell>
          <cell r="R1733">
            <v>45660</v>
          </cell>
          <cell r="S1733">
            <v>223002</v>
          </cell>
        </row>
        <row r="1734">
          <cell r="K1734" t="str">
            <v>228001</v>
          </cell>
          <cell r="M1734">
            <v>2</v>
          </cell>
          <cell r="R1734">
            <v>45660</v>
          </cell>
          <cell r="S1734">
            <v>228001</v>
          </cell>
        </row>
        <row r="1735">
          <cell r="K1735" t="str">
            <v>228001</v>
          </cell>
          <cell r="M1735">
            <v>3</v>
          </cell>
          <cell r="R1735">
            <v>45660</v>
          </cell>
          <cell r="S1735">
            <v>228001</v>
          </cell>
        </row>
        <row r="1736">
          <cell r="K1736" t="str">
            <v>201011</v>
          </cell>
          <cell r="M1736">
            <v>2</v>
          </cell>
          <cell r="R1736">
            <v>45660</v>
          </cell>
          <cell r="S1736">
            <v>201011</v>
          </cell>
        </row>
        <row r="1737">
          <cell r="K1737" t="str">
            <v>212026</v>
          </cell>
          <cell r="M1737">
            <v>1</v>
          </cell>
          <cell r="R1737">
            <v>45660</v>
          </cell>
          <cell r="S1737">
            <v>212026</v>
          </cell>
        </row>
        <row r="1738">
          <cell r="K1738" t="str">
            <v>203001</v>
          </cell>
          <cell r="M1738">
            <v>1</v>
          </cell>
          <cell r="R1738">
            <v>45660</v>
          </cell>
          <cell r="S1738">
            <v>203001</v>
          </cell>
        </row>
        <row r="1739">
          <cell r="K1739" t="str">
            <v>207017</v>
          </cell>
          <cell r="M1739">
            <v>1</v>
          </cell>
          <cell r="R1739">
            <v>45660</v>
          </cell>
          <cell r="S1739">
            <v>207017</v>
          </cell>
        </row>
        <row r="1740">
          <cell r="K1740" t="str">
            <v>210001</v>
          </cell>
          <cell r="M1740">
            <v>1</v>
          </cell>
          <cell r="R1740">
            <v>45660</v>
          </cell>
          <cell r="S1740">
            <v>210001</v>
          </cell>
        </row>
        <row r="1741">
          <cell r="K1741" t="str">
            <v>210003</v>
          </cell>
          <cell r="M1741">
            <v>1</v>
          </cell>
          <cell r="R1741">
            <v>45660</v>
          </cell>
          <cell r="S1741">
            <v>210003</v>
          </cell>
        </row>
        <row r="1742">
          <cell r="K1742" t="str">
            <v>210013</v>
          </cell>
          <cell r="M1742">
            <v>12</v>
          </cell>
          <cell r="R1742">
            <v>45660</v>
          </cell>
          <cell r="S1742">
            <v>210013</v>
          </cell>
        </row>
        <row r="1743">
          <cell r="K1743" t="str">
            <v>210010</v>
          </cell>
          <cell r="M1743">
            <v>1</v>
          </cell>
          <cell r="R1743">
            <v>45660</v>
          </cell>
          <cell r="S1743">
            <v>210010</v>
          </cell>
        </row>
        <row r="1744">
          <cell r="K1744" t="str">
            <v>210014</v>
          </cell>
          <cell r="M1744">
            <v>4</v>
          </cell>
          <cell r="R1744">
            <v>45660</v>
          </cell>
          <cell r="S1744">
            <v>210014</v>
          </cell>
        </row>
        <row r="1745">
          <cell r="K1745" t="str">
            <v>210010</v>
          </cell>
          <cell r="M1745">
            <v>1</v>
          </cell>
          <cell r="R1745">
            <v>45660</v>
          </cell>
          <cell r="S1745">
            <v>210010</v>
          </cell>
        </row>
        <row r="1746">
          <cell r="K1746" t="str">
            <v>201022</v>
          </cell>
          <cell r="M1746">
            <v>10</v>
          </cell>
          <cell r="R1746">
            <v>45660</v>
          </cell>
          <cell r="S1746">
            <v>201022</v>
          </cell>
        </row>
        <row r="1747">
          <cell r="K1747" t="str">
            <v>227010</v>
          </cell>
          <cell r="M1747">
            <v>3</v>
          </cell>
          <cell r="R1747">
            <v>45660</v>
          </cell>
          <cell r="S1747">
            <v>227010</v>
          </cell>
        </row>
        <row r="1748">
          <cell r="K1748" t="str">
            <v>201002</v>
          </cell>
          <cell r="M1748">
            <v>1</v>
          </cell>
          <cell r="R1748">
            <v>45660</v>
          </cell>
          <cell r="S1748">
            <v>201002</v>
          </cell>
        </row>
        <row r="1749">
          <cell r="K1749" t="str">
            <v>201011</v>
          </cell>
          <cell r="M1749">
            <v>6</v>
          </cell>
          <cell r="R1749">
            <v>45660</v>
          </cell>
          <cell r="S1749">
            <v>201011</v>
          </cell>
        </row>
        <row r="1750">
          <cell r="K1750" t="str">
            <v>213002</v>
          </cell>
          <cell r="M1750">
            <v>1</v>
          </cell>
          <cell r="R1750">
            <v>45660</v>
          </cell>
          <cell r="S1750">
            <v>213002</v>
          </cell>
        </row>
        <row r="1751">
          <cell r="K1751" t="str">
            <v>201011</v>
          </cell>
          <cell r="M1751">
            <v>6</v>
          </cell>
          <cell r="R1751">
            <v>45660</v>
          </cell>
          <cell r="S1751">
            <v>201011</v>
          </cell>
        </row>
        <row r="1752">
          <cell r="K1752" t="str">
            <v>213003</v>
          </cell>
          <cell r="M1752">
            <v>3</v>
          </cell>
          <cell r="R1752">
            <v>45660</v>
          </cell>
          <cell r="S1752">
            <v>213003</v>
          </cell>
        </row>
        <row r="1753">
          <cell r="K1753" t="str">
            <v>213024</v>
          </cell>
          <cell r="M1753">
            <v>4</v>
          </cell>
          <cell r="R1753">
            <v>45660</v>
          </cell>
          <cell r="S1753">
            <v>213024</v>
          </cell>
        </row>
        <row r="1754">
          <cell r="K1754" t="str">
            <v>220003</v>
          </cell>
          <cell r="M1754">
            <v>10</v>
          </cell>
          <cell r="R1754">
            <v>45660</v>
          </cell>
          <cell r="S1754">
            <v>220003</v>
          </cell>
        </row>
        <row r="1755">
          <cell r="K1755" t="str">
            <v>234001</v>
          </cell>
          <cell r="M1755">
            <v>2</v>
          </cell>
          <cell r="R1755">
            <v>45660</v>
          </cell>
          <cell r="S1755">
            <v>234001</v>
          </cell>
        </row>
        <row r="1756">
          <cell r="K1756" t="str">
            <v>213002</v>
          </cell>
          <cell r="M1756">
            <v>8</v>
          </cell>
          <cell r="R1756">
            <v>45660</v>
          </cell>
          <cell r="S1756">
            <v>213002</v>
          </cell>
        </row>
        <row r="1757">
          <cell r="K1757" t="str">
            <v>203001</v>
          </cell>
          <cell r="M1757">
            <v>4</v>
          </cell>
          <cell r="R1757">
            <v>45660</v>
          </cell>
          <cell r="S1757">
            <v>203001</v>
          </cell>
        </row>
        <row r="1758">
          <cell r="K1758" t="str">
            <v>213003</v>
          </cell>
          <cell r="M1758">
            <v>2</v>
          </cell>
          <cell r="R1758">
            <v>45660</v>
          </cell>
          <cell r="S1758">
            <v>213003</v>
          </cell>
        </row>
        <row r="1759">
          <cell r="K1759" t="str">
            <v>217002</v>
          </cell>
          <cell r="M1759">
            <v>1</v>
          </cell>
          <cell r="R1759">
            <v>45660</v>
          </cell>
          <cell r="S1759">
            <v>217002</v>
          </cell>
        </row>
        <row r="1760">
          <cell r="K1760" t="str">
            <v>231012</v>
          </cell>
          <cell r="M1760">
            <v>1</v>
          </cell>
          <cell r="R1760">
            <v>45660</v>
          </cell>
          <cell r="S1760">
            <v>231012</v>
          </cell>
        </row>
        <row r="1761">
          <cell r="K1761" t="str">
            <v>226001</v>
          </cell>
          <cell r="M1761">
            <v>1</v>
          </cell>
          <cell r="R1761">
            <v>45660</v>
          </cell>
          <cell r="S1761">
            <v>226001</v>
          </cell>
        </row>
        <row r="1762">
          <cell r="K1762" t="str">
            <v>213005</v>
          </cell>
          <cell r="M1762">
            <v>1</v>
          </cell>
          <cell r="R1762">
            <v>45660</v>
          </cell>
          <cell r="S1762">
            <v>213005</v>
          </cell>
        </row>
        <row r="1763">
          <cell r="K1763" t="str">
            <v>201011</v>
          </cell>
          <cell r="M1763">
            <v>3</v>
          </cell>
          <cell r="R1763">
            <v>45660</v>
          </cell>
          <cell r="S1763">
            <v>201011</v>
          </cell>
        </row>
        <row r="1764">
          <cell r="K1764" t="str">
            <v>226001</v>
          </cell>
          <cell r="M1764">
            <v>1</v>
          </cell>
          <cell r="R1764">
            <v>45660</v>
          </cell>
          <cell r="S1764">
            <v>226001</v>
          </cell>
        </row>
        <row r="1765">
          <cell r="K1765" t="str">
            <v>210002</v>
          </cell>
          <cell r="M1765">
            <v>1</v>
          </cell>
          <cell r="R1765">
            <v>45660</v>
          </cell>
          <cell r="S1765">
            <v>210002</v>
          </cell>
        </row>
        <row r="1766">
          <cell r="K1766" t="str">
            <v>213024</v>
          </cell>
          <cell r="M1766">
            <v>1</v>
          </cell>
          <cell r="R1766">
            <v>45660</v>
          </cell>
          <cell r="S1766">
            <v>213024</v>
          </cell>
        </row>
        <row r="1767">
          <cell r="K1767" t="str">
            <v>226026</v>
          </cell>
          <cell r="M1767">
            <v>2</v>
          </cell>
          <cell r="R1767">
            <v>45660</v>
          </cell>
          <cell r="S1767">
            <v>226026</v>
          </cell>
        </row>
        <row r="1768">
          <cell r="K1768" t="str">
            <v>228001</v>
          </cell>
          <cell r="M1768">
            <v>1</v>
          </cell>
          <cell r="R1768">
            <v>45660</v>
          </cell>
          <cell r="S1768">
            <v>228001</v>
          </cell>
        </row>
        <row r="1769">
          <cell r="K1769" t="str">
            <v>213003</v>
          </cell>
          <cell r="M1769">
            <v>3</v>
          </cell>
          <cell r="R1769">
            <v>45660</v>
          </cell>
          <cell r="S1769">
            <v>213003</v>
          </cell>
        </row>
        <row r="1770">
          <cell r="K1770" t="str">
            <v>222001</v>
          </cell>
          <cell r="M1770">
            <v>1</v>
          </cell>
          <cell r="R1770">
            <v>45660</v>
          </cell>
          <cell r="S1770">
            <v>222001</v>
          </cell>
        </row>
        <row r="1771">
          <cell r="K1771" t="str">
            <v>241001</v>
          </cell>
          <cell r="M1771">
            <v>1</v>
          </cell>
          <cell r="R1771">
            <v>45660</v>
          </cell>
          <cell r="S1771">
            <v>241001</v>
          </cell>
        </row>
        <row r="1772">
          <cell r="K1772" t="str">
            <v>271002</v>
          </cell>
          <cell r="M1772">
            <v>1</v>
          </cell>
          <cell r="R1772">
            <v>45660</v>
          </cell>
          <cell r="S1772">
            <v>271002</v>
          </cell>
        </row>
        <row r="1773">
          <cell r="K1773" t="str">
            <v>228001</v>
          </cell>
          <cell r="M1773">
            <v>4</v>
          </cell>
          <cell r="R1773">
            <v>45660</v>
          </cell>
          <cell r="S1773">
            <v>228001</v>
          </cell>
        </row>
        <row r="1774">
          <cell r="K1774" t="str">
            <v>203001</v>
          </cell>
          <cell r="M1774">
            <v>1</v>
          </cell>
          <cell r="R1774">
            <v>45660</v>
          </cell>
          <cell r="S1774">
            <v>203001</v>
          </cell>
        </row>
        <row r="1775">
          <cell r="K1775" t="str">
            <v>201003</v>
          </cell>
          <cell r="M1775">
            <v>1</v>
          </cell>
          <cell r="R1775">
            <v>45660</v>
          </cell>
          <cell r="S1775">
            <v>201003</v>
          </cell>
        </row>
        <row r="1776">
          <cell r="K1776" t="str">
            <v>201011</v>
          </cell>
          <cell r="M1776">
            <v>1</v>
          </cell>
          <cell r="R1776">
            <v>45660</v>
          </cell>
          <cell r="S1776">
            <v>201011</v>
          </cell>
        </row>
        <row r="1777">
          <cell r="K1777" t="str">
            <v>217018</v>
          </cell>
          <cell r="M1777">
            <v>1</v>
          </cell>
          <cell r="R1777">
            <v>45660</v>
          </cell>
          <cell r="S1777">
            <v>217018</v>
          </cell>
        </row>
        <row r="1778">
          <cell r="K1778" t="str">
            <v>213003</v>
          </cell>
          <cell r="M1778">
            <v>3</v>
          </cell>
          <cell r="R1778">
            <v>45660</v>
          </cell>
          <cell r="S1778">
            <v>213003</v>
          </cell>
        </row>
        <row r="1779">
          <cell r="K1779" t="str">
            <v>207017</v>
          </cell>
          <cell r="M1779">
            <v>3</v>
          </cell>
          <cell r="R1779">
            <v>45660</v>
          </cell>
          <cell r="S1779">
            <v>207017</v>
          </cell>
        </row>
        <row r="1780">
          <cell r="K1780" t="str">
            <v>203001</v>
          </cell>
          <cell r="M1780">
            <v>2</v>
          </cell>
          <cell r="R1780">
            <v>45660</v>
          </cell>
          <cell r="S1780">
            <v>203001</v>
          </cell>
        </row>
        <row r="1781">
          <cell r="K1781" t="str">
            <v>231012</v>
          </cell>
          <cell r="M1781">
            <v>10</v>
          </cell>
          <cell r="R1781">
            <v>45660</v>
          </cell>
          <cell r="S1781">
            <v>231012</v>
          </cell>
        </row>
        <row r="1782">
          <cell r="K1782" t="str">
            <v>217018</v>
          </cell>
          <cell r="M1782">
            <v>1</v>
          </cell>
          <cell r="R1782">
            <v>45660</v>
          </cell>
          <cell r="S1782">
            <v>217018</v>
          </cell>
        </row>
        <row r="1783">
          <cell r="K1783" t="str">
            <v>213003</v>
          </cell>
          <cell r="M1783">
            <v>3</v>
          </cell>
          <cell r="R1783">
            <v>45660</v>
          </cell>
          <cell r="S1783">
            <v>213003</v>
          </cell>
        </row>
        <row r="1784">
          <cell r="K1784" t="str">
            <v>222004</v>
          </cell>
          <cell r="M1784">
            <v>2</v>
          </cell>
          <cell r="R1784">
            <v>45660</v>
          </cell>
          <cell r="S1784">
            <v>222004</v>
          </cell>
        </row>
        <row r="1785">
          <cell r="K1785" t="str">
            <v>222001</v>
          </cell>
          <cell r="M1785">
            <v>1</v>
          </cell>
          <cell r="R1785">
            <v>45660</v>
          </cell>
          <cell r="S1785">
            <v>222001</v>
          </cell>
        </row>
        <row r="1786">
          <cell r="K1786" t="str">
            <v>222038</v>
          </cell>
          <cell r="M1786">
            <v>1</v>
          </cell>
          <cell r="R1786">
            <v>45660</v>
          </cell>
          <cell r="S1786">
            <v>222038</v>
          </cell>
        </row>
        <row r="1787">
          <cell r="K1787" t="str">
            <v>222003</v>
          </cell>
          <cell r="M1787">
            <v>2</v>
          </cell>
          <cell r="R1787">
            <v>45660</v>
          </cell>
          <cell r="S1787">
            <v>222003</v>
          </cell>
        </row>
        <row r="1788">
          <cell r="K1788" t="str">
            <v>231012</v>
          </cell>
          <cell r="M1788">
            <v>1</v>
          </cell>
          <cell r="R1788">
            <v>45660</v>
          </cell>
          <cell r="S1788">
            <v>231012</v>
          </cell>
        </row>
        <row r="1789">
          <cell r="K1789" t="str">
            <v>217002</v>
          </cell>
          <cell r="M1789">
            <v>1</v>
          </cell>
          <cell r="R1789">
            <v>45660</v>
          </cell>
          <cell r="S1789">
            <v>217002</v>
          </cell>
        </row>
        <row r="1790">
          <cell r="K1790" t="str">
            <v>213003</v>
          </cell>
          <cell r="M1790">
            <v>2</v>
          </cell>
          <cell r="R1790">
            <v>45661</v>
          </cell>
          <cell r="S1790">
            <v>213003</v>
          </cell>
        </row>
        <row r="1791">
          <cell r="K1791" t="str">
            <v>222001</v>
          </cell>
          <cell r="M1791">
            <v>2</v>
          </cell>
          <cell r="R1791">
            <v>45661</v>
          </cell>
          <cell r="S1791">
            <v>222001</v>
          </cell>
        </row>
        <row r="1792">
          <cell r="K1792" t="str">
            <v>241001</v>
          </cell>
          <cell r="M1792">
            <v>4</v>
          </cell>
          <cell r="R1792">
            <v>45661</v>
          </cell>
          <cell r="S1792">
            <v>241001</v>
          </cell>
        </row>
        <row r="1793">
          <cell r="K1793" t="str">
            <v>212019</v>
          </cell>
          <cell r="M1793">
            <v>1</v>
          </cell>
          <cell r="R1793">
            <v>45661</v>
          </cell>
          <cell r="S1793">
            <v>212019</v>
          </cell>
        </row>
        <row r="1794">
          <cell r="K1794" t="str">
            <v>226001</v>
          </cell>
          <cell r="M1794">
            <v>2</v>
          </cell>
          <cell r="R1794">
            <v>45661</v>
          </cell>
          <cell r="S1794">
            <v>226001</v>
          </cell>
        </row>
        <row r="1795">
          <cell r="K1795" t="str">
            <v>213024</v>
          </cell>
          <cell r="M1795">
            <v>1</v>
          </cell>
          <cell r="R1795">
            <v>45663</v>
          </cell>
          <cell r="S1795">
            <v>213024</v>
          </cell>
        </row>
        <row r="1796">
          <cell r="K1796" t="str">
            <v>228001</v>
          </cell>
          <cell r="M1796">
            <v>15</v>
          </cell>
          <cell r="R1796">
            <v>45662</v>
          </cell>
          <cell r="S1796">
            <v>228001</v>
          </cell>
        </row>
        <row r="1797">
          <cell r="K1797" t="str">
            <v>201011</v>
          </cell>
          <cell r="M1797">
            <v>3</v>
          </cell>
          <cell r="R1797">
            <v>45663</v>
          </cell>
          <cell r="S1797">
            <v>201011</v>
          </cell>
        </row>
        <row r="1798">
          <cell r="K1798" t="str">
            <v>201022</v>
          </cell>
          <cell r="M1798">
            <v>2</v>
          </cell>
          <cell r="R1798">
            <v>45663</v>
          </cell>
          <cell r="S1798">
            <v>201022</v>
          </cell>
        </row>
        <row r="1799">
          <cell r="K1799" t="str">
            <v>222001</v>
          </cell>
          <cell r="M1799">
            <v>1</v>
          </cell>
          <cell r="R1799">
            <v>45663</v>
          </cell>
          <cell r="S1799">
            <v>222001</v>
          </cell>
        </row>
        <row r="1800">
          <cell r="K1800" t="str">
            <v>201011</v>
          </cell>
          <cell r="M1800">
            <v>2</v>
          </cell>
          <cell r="R1800">
            <v>45663</v>
          </cell>
          <cell r="S1800">
            <v>201011</v>
          </cell>
        </row>
        <row r="1801">
          <cell r="K1801" t="str">
            <v>231012</v>
          </cell>
          <cell r="M1801">
            <v>1</v>
          </cell>
          <cell r="R1801">
            <v>45663</v>
          </cell>
          <cell r="S1801">
            <v>231012</v>
          </cell>
        </row>
        <row r="1802">
          <cell r="K1802" t="str">
            <v>237001</v>
          </cell>
          <cell r="M1802">
            <v>1</v>
          </cell>
          <cell r="R1802">
            <v>45663</v>
          </cell>
          <cell r="S1802">
            <v>237001</v>
          </cell>
        </row>
        <row r="1803">
          <cell r="K1803" t="str">
            <v>228001</v>
          </cell>
          <cell r="M1803">
            <v>1</v>
          </cell>
          <cell r="R1803">
            <v>45663</v>
          </cell>
          <cell r="S1803">
            <v>228001</v>
          </cell>
        </row>
        <row r="1804">
          <cell r="K1804" t="str">
            <v>228001</v>
          </cell>
          <cell r="M1804">
            <v>1</v>
          </cell>
          <cell r="R1804">
            <v>45663</v>
          </cell>
          <cell r="S1804">
            <v>228001</v>
          </cell>
        </row>
        <row r="1805">
          <cell r="K1805" t="str">
            <v>201004</v>
          </cell>
          <cell r="M1805">
            <v>1</v>
          </cell>
          <cell r="R1805">
            <v>45663</v>
          </cell>
          <cell r="S1805">
            <v>201004</v>
          </cell>
        </row>
        <row r="1806">
          <cell r="K1806" t="str">
            <v>201005</v>
          </cell>
          <cell r="M1806">
            <v>1</v>
          </cell>
          <cell r="R1806">
            <v>45663</v>
          </cell>
          <cell r="S1806">
            <v>201005</v>
          </cell>
        </row>
        <row r="1807">
          <cell r="K1807" t="str">
            <v>220003</v>
          </cell>
          <cell r="M1807">
            <v>2</v>
          </cell>
          <cell r="R1807">
            <v>45663</v>
          </cell>
          <cell r="S1807">
            <v>220003</v>
          </cell>
        </row>
        <row r="1808">
          <cell r="K1808" t="str">
            <v>203001</v>
          </cell>
          <cell r="M1808">
            <v>1</v>
          </cell>
          <cell r="R1808">
            <v>45663</v>
          </cell>
          <cell r="S1808">
            <v>203001</v>
          </cell>
        </row>
        <row r="1809">
          <cell r="K1809" t="str">
            <v>213002</v>
          </cell>
          <cell r="M1809">
            <v>6</v>
          </cell>
          <cell r="R1809">
            <v>45663</v>
          </cell>
          <cell r="S1809">
            <v>213002</v>
          </cell>
        </row>
        <row r="1810">
          <cell r="K1810" t="str">
            <v>203001</v>
          </cell>
          <cell r="M1810">
            <v>1</v>
          </cell>
          <cell r="R1810">
            <v>45663</v>
          </cell>
          <cell r="S1810">
            <v>203001</v>
          </cell>
        </row>
        <row r="1811">
          <cell r="K1811" t="str">
            <v>231012</v>
          </cell>
          <cell r="M1811">
            <v>1</v>
          </cell>
          <cell r="R1811">
            <v>45663</v>
          </cell>
          <cell r="S1811">
            <v>231012</v>
          </cell>
        </row>
        <row r="1812">
          <cell r="K1812" t="str">
            <v>213024</v>
          </cell>
          <cell r="M1812">
            <v>12</v>
          </cell>
          <cell r="R1812">
            <v>45663</v>
          </cell>
          <cell r="S1812">
            <v>213024</v>
          </cell>
        </row>
        <row r="1813">
          <cell r="K1813" t="str">
            <v>209004</v>
          </cell>
          <cell r="M1813">
            <v>1</v>
          </cell>
          <cell r="R1813">
            <v>45663</v>
          </cell>
          <cell r="S1813">
            <v>209004</v>
          </cell>
        </row>
        <row r="1814">
          <cell r="K1814" t="str">
            <v>231012</v>
          </cell>
          <cell r="M1814">
            <v>1</v>
          </cell>
          <cell r="R1814">
            <v>45663</v>
          </cell>
          <cell r="S1814">
            <v>231012</v>
          </cell>
        </row>
        <row r="1815">
          <cell r="K1815" t="str">
            <v>223002</v>
          </cell>
          <cell r="M1815">
            <v>2</v>
          </cell>
          <cell r="R1815">
            <v>45663</v>
          </cell>
          <cell r="S1815">
            <v>223002</v>
          </cell>
        </row>
        <row r="1816">
          <cell r="K1816" t="str">
            <v>226001</v>
          </cell>
          <cell r="M1816">
            <v>2</v>
          </cell>
          <cell r="R1816">
            <v>45663</v>
          </cell>
          <cell r="S1816">
            <v>226001</v>
          </cell>
        </row>
        <row r="1817">
          <cell r="K1817" t="str">
            <v>226001</v>
          </cell>
          <cell r="M1817">
            <v>2</v>
          </cell>
          <cell r="R1817">
            <v>45663</v>
          </cell>
          <cell r="S1817">
            <v>226001</v>
          </cell>
        </row>
        <row r="1818">
          <cell r="K1818" t="str">
            <v>213003</v>
          </cell>
          <cell r="M1818">
            <v>80</v>
          </cell>
          <cell r="R1818">
            <v>45663</v>
          </cell>
          <cell r="S1818">
            <v>213003</v>
          </cell>
        </row>
        <row r="1819">
          <cell r="K1819" t="str">
            <v>228001</v>
          </cell>
          <cell r="M1819">
            <v>8</v>
          </cell>
          <cell r="R1819">
            <v>45663</v>
          </cell>
          <cell r="S1819">
            <v>228001</v>
          </cell>
        </row>
        <row r="1820">
          <cell r="K1820" t="str">
            <v>231012</v>
          </cell>
          <cell r="M1820">
            <v>20</v>
          </cell>
          <cell r="R1820">
            <v>45663</v>
          </cell>
          <cell r="S1820">
            <v>231012</v>
          </cell>
        </row>
        <row r="1821">
          <cell r="K1821" t="str">
            <v>213003</v>
          </cell>
          <cell r="M1821">
            <v>1</v>
          </cell>
          <cell r="R1821">
            <v>45663</v>
          </cell>
          <cell r="S1821">
            <v>213003</v>
          </cell>
        </row>
        <row r="1822">
          <cell r="K1822" t="str">
            <v>210013</v>
          </cell>
          <cell r="M1822">
            <v>1</v>
          </cell>
          <cell r="R1822">
            <v>45663</v>
          </cell>
          <cell r="S1822">
            <v>210013</v>
          </cell>
        </row>
        <row r="1823">
          <cell r="K1823" t="str">
            <v>205004</v>
          </cell>
          <cell r="M1823">
            <v>1</v>
          </cell>
          <cell r="R1823">
            <v>45663</v>
          </cell>
          <cell r="S1823">
            <v>205004</v>
          </cell>
        </row>
        <row r="1824">
          <cell r="K1824" t="str">
            <v>201011</v>
          </cell>
          <cell r="M1824">
            <v>2</v>
          </cell>
          <cell r="R1824">
            <v>45663</v>
          </cell>
          <cell r="S1824">
            <v>201011</v>
          </cell>
        </row>
        <row r="1825">
          <cell r="K1825" t="str">
            <v>201011</v>
          </cell>
          <cell r="M1825">
            <v>6</v>
          </cell>
          <cell r="R1825">
            <v>45663</v>
          </cell>
          <cell r="S1825">
            <v>201011</v>
          </cell>
        </row>
        <row r="1826">
          <cell r="K1826" t="str">
            <v>213002</v>
          </cell>
          <cell r="M1826">
            <v>2</v>
          </cell>
          <cell r="R1826">
            <v>45663</v>
          </cell>
          <cell r="S1826">
            <v>213002</v>
          </cell>
        </row>
        <row r="1827">
          <cell r="K1827" t="str">
            <v>228001</v>
          </cell>
          <cell r="M1827">
            <v>6</v>
          </cell>
          <cell r="R1827">
            <v>45663</v>
          </cell>
          <cell r="S1827">
            <v>228001</v>
          </cell>
        </row>
        <row r="1828">
          <cell r="K1828" t="str">
            <v>207017</v>
          </cell>
          <cell r="M1828">
            <v>2</v>
          </cell>
          <cell r="R1828">
            <v>45663</v>
          </cell>
          <cell r="S1828">
            <v>207017</v>
          </cell>
        </row>
        <row r="1829">
          <cell r="K1829" t="str">
            <v>212026</v>
          </cell>
          <cell r="M1829">
            <v>1</v>
          </cell>
          <cell r="R1829">
            <v>45663</v>
          </cell>
          <cell r="S1829">
            <v>212026</v>
          </cell>
        </row>
        <row r="1830">
          <cell r="K1830" t="str">
            <v>227012</v>
          </cell>
          <cell r="M1830">
            <v>1</v>
          </cell>
          <cell r="R1830">
            <v>45663</v>
          </cell>
          <cell r="S1830">
            <v>227012</v>
          </cell>
        </row>
        <row r="1831">
          <cell r="K1831" t="str">
            <v>228001</v>
          </cell>
          <cell r="M1831">
            <v>11</v>
          </cell>
          <cell r="R1831">
            <v>45663</v>
          </cell>
          <cell r="S1831">
            <v>228001</v>
          </cell>
        </row>
        <row r="1832">
          <cell r="K1832" t="str">
            <v>217018</v>
          </cell>
          <cell r="M1832">
            <v>2</v>
          </cell>
          <cell r="R1832">
            <v>45663</v>
          </cell>
          <cell r="S1832">
            <v>217018</v>
          </cell>
        </row>
        <row r="1833">
          <cell r="K1833" t="str">
            <v>228001</v>
          </cell>
          <cell r="M1833">
            <v>2</v>
          </cell>
          <cell r="R1833">
            <v>45663</v>
          </cell>
          <cell r="S1833">
            <v>228001</v>
          </cell>
        </row>
        <row r="1834">
          <cell r="K1834" t="str">
            <v>231012</v>
          </cell>
          <cell r="M1834">
            <v>1</v>
          </cell>
          <cell r="R1834">
            <v>45663</v>
          </cell>
          <cell r="S1834">
            <v>231012</v>
          </cell>
        </row>
        <row r="1835">
          <cell r="K1835" t="str">
            <v>207017</v>
          </cell>
          <cell r="M1835">
            <v>1</v>
          </cell>
          <cell r="R1835">
            <v>45663</v>
          </cell>
          <cell r="S1835">
            <v>207017</v>
          </cell>
        </row>
        <row r="1836">
          <cell r="K1836" t="str">
            <v>212026</v>
          </cell>
          <cell r="M1836">
            <v>1</v>
          </cell>
          <cell r="R1836">
            <v>45663</v>
          </cell>
          <cell r="S1836">
            <v>212026</v>
          </cell>
        </row>
        <row r="1837">
          <cell r="K1837" t="str">
            <v>227012</v>
          </cell>
          <cell r="M1837">
            <v>1</v>
          </cell>
          <cell r="R1837">
            <v>45663</v>
          </cell>
          <cell r="S1837">
            <v>227012</v>
          </cell>
        </row>
        <row r="1838">
          <cell r="K1838" t="str">
            <v>228001</v>
          </cell>
          <cell r="M1838">
            <v>2</v>
          </cell>
          <cell r="R1838">
            <v>45663</v>
          </cell>
          <cell r="S1838">
            <v>228001</v>
          </cell>
        </row>
        <row r="1839">
          <cell r="K1839" t="str">
            <v>213024</v>
          </cell>
          <cell r="M1839">
            <v>1</v>
          </cell>
          <cell r="R1839">
            <v>45663</v>
          </cell>
          <cell r="S1839">
            <v>213024</v>
          </cell>
        </row>
        <row r="1840">
          <cell r="K1840" t="str">
            <v>231012</v>
          </cell>
          <cell r="M1840">
            <v>1</v>
          </cell>
          <cell r="R1840">
            <v>45663</v>
          </cell>
          <cell r="S1840">
            <v>231012</v>
          </cell>
        </row>
        <row r="1841">
          <cell r="K1841" t="str">
            <v>227012</v>
          </cell>
          <cell r="M1841">
            <v>2</v>
          </cell>
          <cell r="R1841">
            <v>45663</v>
          </cell>
          <cell r="S1841">
            <v>227012</v>
          </cell>
        </row>
        <row r="1842">
          <cell r="K1842" t="str">
            <v>228001</v>
          </cell>
          <cell r="M1842">
            <v>3</v>
          </cell>
          <cell r="R1842">
            <v>45663</v>
          </cell>
          <cell r="S1842">
            <v>228001</v>
          </cell>
        </row>
        <row r="1843">
          <cell r="K1843" t="str">
            <v>222007</v>
          </cell>
          <cell r="M1843">
            <v>1</v>
          </cell>
          <cell r="R1843">
            <v>45663</v>
          </cell>
          <cell r="S1843">
            <v>222007</v>
          </cell>
        </row>
        <row r="1844">
          <cell r="K1844" t="str">
            <v>229004</v>
          </cell>
          <cell r="M1844">
            <v>5</v>
          </cell>
          <cell r="R1844">
            <v>45663</v>
          </cell>
          <cell r="S1844">
            <v>229004</v>
          </cell>
        </row>
        <row r="1845">
          <cell r="K1845" t="str">
            <v>210014</v>
          </cell>
          <cell r="M1845">
            <v>1</v>
          </cell>
          <cell r="R1845">
            <v>45663</v>
          </cell>
          <cell r="S1845">
            <v>210014</v>
          </cell>
        </row>
        <row r="1846">
          <cell r="K1846" t="str">
            <v>226001</v>
          </cell>
          <cell r="M1846">
            <v>4</v>
          </cell>
          <cell r="R1846">
            <v>45663</v>
          </cell>
          <cell r="S1846">
            <v>226001</v>
          </cell>
        </row>
        <row r="1847">
          <cell r="K1847" t="str">
            <v>213024</v>
          </cell>
          <cell r="M1847">
            <v>1</v>
          </cell>
          <cell r="R1847">
            <v>45663</v>
          </cell>
          <cell r="S1847">
            <v>213024</v>
          </cell>
        </row>
        <row r="1848">
          <cell r="K1848" t="str">
            <v>213002</v>
          </cell>
          <cell r="M1848">
            <v>4</v>
          </cell>
          <cell r="R1848">
            <v>45663</v>
          </cell>
          <cell r="S1848">
            <v>213002</v>
          </cell>
        </row>
        <row r="1849">
          <cell r="K1849" t="str">
            <v>201011</v>
          </cell>
          <cell r="M1849">
            <v>5</v>
          </cell>
          <cell r="R1849">
            <v>45663</v>
          </cell>
          <cell r="S1849">
            <v>201011</v>
          </cell>
        </row>
        <row r="1850">
          <cell r="K1850" t="str">
            <v>213003</v>
          </cell>
          <cell r="M1850">
            <v>4</v>
          </cell>
          <cell r="R1850">
            <v>45663</v>
          </cell>
          <cell r="S1850">
            <v>213003</v>
          </cell>
        </row>
        <row r="1851">
          <cell r="K1851" t="str">
            <v>213003</v>
          </cell>
          <cell r="M1851">
            <v>1</v>
          </cell>
          <cell r="R1851">
            <v>45663</v>
          </cell>
          <cell r="S1851">
            <v>213003</v>
          </cell>
        </row>
        <row r="1852">
          <cell r="K1852" t="str">
            <v>213003</v>
          </cell>
          <cell r="M1852">
            <v>1</v>
          </cell>
          <cell r="R1852">
            <v>45663</v>
          </cell>
          <cell r="S1852">
            <v>213003</v>
          </cell>
        </row>
        <row r="1853">
          <cell r="K1853" t="str">
            <v>209004</v>
          </cell>
          <cell r="M1853">
            <v>1</v>
          </cell>
          <cell r="R1853">
            <v>45663</v>
          </cell>
          <cell r="S1853">
            <v>209004</v>
          </cell>
        </row>
        <row r="1854">
          <cell r="K1854" t="str">
            <v>231012</v>
          </cell>
          <cell r="M1854">
            <v>1</v>
          </cell>
          <cell r="R1854">
            <v>45663</v>
          </cell>
          <cell r="S1854">
            <v>231012</v>
          </cell>
        </row>
        <row r="1855">
          <cell r="K1855" t="str">
            <v>213003</v>
          </cell>
          <cell r="M1855">
            <v>4</v>
          </cell>
          <cell r="R1855">
            <v>45663</v>
          </cell>
          <cell r="S1855">
            <v>213003</v>
          </cell>
        </row>
        <row r="1856">
          <cell r="K1856" t="str">
            <v>203004</v>
          </cell>
          <cell r="M1856">
            <v>1</v>
          </cell>
          <cell r="R1856">
            <v>45663</v>
          </cell>
          <cell r="S1856">
            <v>203004</v>
          </cell>
        </row>
        <row r="1857">
          <cell r="K1857" t="str">
            <v>206005</v>
          </cell>
          <cell r="M1857">
            <v>1</v>
          </cell>
          <cell r="R1857">
            <v>45663</v>
          </cell>
          <cell r="S1857">
            <v>206005</v>
          </cell>
        </row>
        <row r="1858">
          <cell r="K1858" t="str">
            <v>206002</v>
          </cell>
          <cell r="M1858">
            <v>1</v>
          </cell>
          <cell r="R1858">
            <v>45663</v>
          </cell>
          <cell r="S1858">
            <v>206002</v>
          </cell>
        </row>
        <row r="1859">
          <cell r="K1859" t="str">
            <v>208001</v>
          </cell>
          <cell r="M1859">
            <v>1</v>
          </cell>
          <cell r="R1859">
            <v>45663</v>
          </cell>
          <cell r="S1859">
            <v>208001</v>
          </cell>
        </row>
        <row r="1860">
          <cell r="K1860" t="str">
            <v>213008</v>
          </cell>
          <cell r="M1860">
            <v>1</v>
          </cell>
          <cell r="R1860">
            <v>45663</v>
          </cell>
          <cell r="S1860">
            <v>213008</v>
          </cell>
        </row>
        <row r="1861">
          <cell r="K1861" t="str">
            <v>218001</v>
          </cell>
          <cell r="M1861">
            <v>1</v>
          </cell>
          <cell r="R1861">
            <v>45663</v>
          </cell>
          <cell r="S1861">
            <v>218001</v>
          </cell>
        </row>
        <row r="1862">
          <cell r="K1862" t="str">
            <v>206006</v>
          </cell>
          <cell r="M1862">
            <v>1</v>
          </cell>
          <cell r="R1862">
            <v>45663</v>
          </cell>
          <cell r="S1862">
            <v>206006</v>
          </cell>
        </row>
        <row r="1863">
          <cell r="K1863" t="str">
            <v>218003</v>
          </cell>
          <cell r="M1863">
            <v>1</v>
          </cell>
          <cell r="R1863">
            <v>45663</v>
          </cell>
          <cell r="S1863">
            <v>218003</v>
          </cell>
        </row>
        <row r="1864">
          <cell r="K1864" t="str">
            <v>206002</v>
          </cell>
          <cell r="M1864">
            <v>1</v>
          </cell>
          <cell r="R1864">
            <v>45663</v>
          </cell>
          <cell r="S1864">
            <v>206002</v>
          </cell>
        </row>
        <row r="1865">
          <cell r="K1865" t="str">
            <v>208001</v>
          </cell>
          <cell r="M1865">
            <v>1</v>
          </cell>
          <cell r="R1865">
            <v>45663</v>
          </cell>
          <cell r="S1865">
            <v>208001</v>
          </cell>
        </row>
        <row r="1866">
          <cell r="K1866" t="str">
            <v>218001</v>
          </cell>
          <cell r="M1866">
            <v>1</v>
          </cell>
          <cell r="R1866">
            <v>45663</v>
          </cell>
          <cell r="S1866">
            <v>218001</v>
          </cell>
        </row>
        <row r="1867">
          <cell r="K1867" t="str">
            <v>201011</v>
          </cell>
          <cell r="M1867">
            <v>2</v>
          </cell>
          <cell r="R1867">
            <v>45663</v>
          </cell>
          <cell r="S1867">
            <v>201011</v>
          </cell>
        </row>
        <row r="1868">
          <cell r="K1868" t="str">
            <v>213002</v>
          </cell>
          <cell r="M1868">
            <v>5</v>
          </cell>
          <cell r="R1868">
            <v>45663</v>
          </cell>
          <cell r="S1868">
            <v>213002</v>
          </cell>
        </row>
        <row r="1869">
          <cell r="K1869" t="str">
            <v>231012</v>
          </cell>
          <cell r="M1869">
            <v>1</v>
          </cell>
          <cell r="R1869">
            <v>45663</v>
          </cell>
          <cell r="S1869">
            <v>231012</v>
          </cell>
        </row>
        <row r="1870">
          <cell r="K1870" t="str">
            <v>201011</v>
          </cell>
          <cell r="M1870">
            <v>36</v>
          </cell>
          <cell r="R1870">
            <v>45663</v>
          </cell>
          <cell r="S1870">
            <v>201011</v>
          </cell>
        </row>
        <row r="1871">
          <cell r="K1871" t="str">
            <v>213002</v>
          </cell>
          <cell r="M1871">
            <v>12</v>
          </cell>
          <cell r="R1871">
            <v>45664</v>
          </cell>
          <cell r="S1871">
            <v>213002</v>
          </cell>
        </row>
        <row r="1872">
          <cell r="K1872" t="str">
            <v>229001</v>
          </cell>
          <cell r="M1872">
            <v>1</v>
          </cell>
          <cell r="R1872">
            <v>45664</v>
          </cell>
          <cell r="S1872">
            <v>229001</v>
          </cell>
        </row>
        <row r="1873">
          <cell r="K1873" t="str">
            <v>226001</v>
          </cell>
          <cell r="M1873">
            <v>2</v>
          </cell>
          <cell r="R1873">
            <v>45664</v>
          </cell>
          <cell r="S1873">
            <v>226001</v>
          </cell>
        </row>
        <row r="1874">
          <cell r="K1874" t="str">
            <v>210014</v>
          </cell>
          <cell r="M1874">
            <v>4</v>
          </cell>
          <cell r="R1874">
            <v>45664</v>
          </cell>
          <cell r="S1874">
            <v>210014</v>
          </cell>
        </row>
        <row r="1875">
          <cell r="K1875" t="str">
            <v>226027</v>
          </cell>
          <cell r="M1875">
            <v>1</v>
          </cell>
          <cell r="R1875">
            <v>45664</v>
          </cell>
          <cell r="S1875">
            <v>226027</v>
          </cell>
        </row>
        <row r="1876">
          <cell r="K1876" t="str">
            <v>226022</v>
          </cell>
          <cell r="M1876">
            <v>2</v>
          </cell>
          <cell r="R1876">
            <v>45664</v>
          </cell>
          <cell r="S1876">
            <v>226022</v>
          </cell>
        </row>
        <row r="1877">
          <cell r="K1877" t="str">
            <v>210010</v>
          </cell>
          <cell r="M1877">
            <v>2</v>
          </cell>
          <cell r="R1877">
            <v>45664</v>
          </cell>
          <cell r="S1877">
            <v>210010</v>
          </cell>
        </row>
        <row r="1878">
          <cell r="K1878" t="str">
            <v>226027</v>
          </cell>
          <cell r="M1878">
            <v>1</v>
          </cell>
          <cell r="R1878">
            <v>45664</v>
          </cell>
          <cell r="S1878">
            <v>226027</v>
          </cell>
        </row>
        <row r="1879">
          <cell r="K1879" t="str">
            <v>201011</v>
          </cell>
          <cell r="M1879">
            <v>3</v>
          </cell>
          <cell r="R1879">
            <v>45664</v>
          </cell>
          <cell r="S1879">
            <v>201011</v>
          </cell>
        </row>
        <row r="1880">
          <cell r="K1880" t="str">
            <v>213002</v>
          </cell>
          <cell r="M1880">
            <v>2</v>
          </cell>
          <cell r="R1880">
            <v>45664</v>
          </cell>
          <cell r="S1880">
            <v>213002</v>
          </cell>
        </row>
        <row r="1881">
          <cell r="K1881" t="str">
            <v>201002</v>
          </cell>
          <cell r="M1881">
            <v>2</v>
          </cell>
          <cell r="R1881">
            <v>45664</v>
          </cell>
          <cell r="S1881">
            <v>201002</v>
          </cell>
        </row>
        <row r="1882">
          <cell r="K1882" t="str">
            <v>201011</v>
          </cell>
          <cell r="M1882">
            <v>4</v>
          </cell>
          <cell r="R1882">
            <v>45664</v>
          </cell>
          <cell r="S1882">
            <v>201011</v>
          </cell>
        </row>
        <row r="1883">
          <cell r="K1883" t="str">
            <v>210001</v>
          </cell>
          <cell r="M1883">
            <v>15</v>
          </cell>
          <cell r="R1883">
            <v>45664</v>
          </cell>
          <cell r="S1883">
            <v>210001</v>
          </cell>
        </row>
        <row r="1884">
          <cell r="K1884" t="str">
            <v>210003</v>
          </cell>
          <cell r="M1884">
            <v>2</v>
          </cell>
          <cell r="R1884">
            <v>45664</v>
          </cell>
          <cell r="S1884">
            <v>210003</v>
          </cell>
        </row>
        <row r="1885">
          <cell r="K1885" t="str">
            <v>210003</v>
          </cell>
          <cell r="M1885">
            <v>2</v>
          </cell>
          <cell r="R1885">
            <v>45664</v>
          </cell>
          <cell r="S1885">
            <v>210003</v>
          </cell>
        </row>
        <row r="1886">
          <cell r="K1886" t="str">
            <v>203001</v>
          </cell>
          <cell r="M1886">
            <v>1</v>
          </cell>
          <cell r="R1886">
            <v>45664</v>
          </cell>
          <cell r="S1886">
            <v>203001</v>
          </cell>
        </row>
        <row r="1887">
          <cell r="K1887" t="str">
            <v>220002</v>
          </cell>
          <cell r="M1887">
            <v>2</v>
          </cell>
          <cell r="R1887">
            <v>45664</v>
          </cell>
          <cell r="S1887">
            <v>220002</v>
          </cell>
        </row>
        <row r="1888">
          <cell r="K1888" t="str">
            <v>201011</v>
          </cell>
          <cell r="M1888">
            <v>5</v>
          </cell>
          <cell r="R1888">
            <v>45664</v>
          </cell>
          <cell r="S1888">
            <v>201011</v>
          </cell>
        </row>
        <row r="1889">
          <cell r="K1889" t="str">
            <v>201011</v>
          </cell>
          <cell r="M1889">
            <v>2</v>
          </cell>
          <cell r="R1889">
            <v>45664</v>
          </cell>
          <cell r="S1889">
            <v>201011</v>
          </cell>
        </row>
        <row r="1890">
          <cell r="K1890" t="str">
            <v>210014</v>
          </cell>
          <cell r="M1890">
            <v>2</v>
          </cell>
          <cell r="R1890">
            <v>45664</v>
          </cell>
          <cell r="S1890">
            <v>210014</v>
          </cell>
        </row>
        <row r="1891">
          <cell r="K1891" t="str">
            <v>203001</v>
          </cell>
          <cell r="M1891">
            <v>4</v>
          </cell>
          <cell r="R1891">
            <v>45664</v>
          </cell>
          <cell r="S1891">
            <v>203001</v>
          </cell>
        </row>
        <row r="1892">
          <cell r="K1892" t="str">
            <v>231012</v>
          </cell>
          <cell r="M1892">
            <v>2</v>
          </cell>
          <cell r="R1892">
            <v>45664</v>
          </cell>
          <cell r="S1892">
            <v>231012</v>
          </cell>
        </row>
        <row r="1893">
          <cell r="K1893" t="str">
            <v>201002</v>
          </cell>
          <cell r="M1893">
            <v>1</v>
          </cell>
          <cell r="R1893">
            <v>45664</v>
          </cell>
          <cell r="S1893">
            <v>201002</v>
          </cell>
        </row>
        <row r="1894">
          <cell r="K1894" t="str">
            <v>223001</v>
          </cell>
          <cell r="M1894">
            <v>15</v>
          </cell>
          <cell r="R1894">
            <v>45664</v>
          </cell>
          <cell r="S1894">
            <v>223001</v>
          </cell>
        </row>
        <row r="1895">
          <cell r="K1895" t="str">
            <v>223002</v>
          </cell>
          <cell r="M1895">
            <v>3</v>
          </cell>
          <cell r="R1895">
            <v>45664</v>
          </cell>
          <cell r="S1895">
            <v>223002</v>
          </cell>
        </row>
        <row r="1896">
          <cell r="K1896" t="str">
            <v>227012</v>
          </cell>
          <cell r="M1896">
            <v>1</v>
          </cell>
          <cell r="R1896">
            <v>45664</v>
          </cell>
          <cell r="S1896">
            <v>227012</v>
          </cell>
        </row>
        <row r="1897">
          <cell r="K1897" t="str">
            <v>209022</v>
          </cell>
          <cell r="M1897">
            <v>4</v>
          </cell>
          <cell r="R1897">
            <v>45664</v>
          </cell>
          <cell r="S1897">
            <v>209022</v>
          </cell>
        </row>
        <row r="1898">
          <cell r="K1898" t="str">
            <v>228017</v>
          </cell>
          <cell r="M1898">
            <v>2</v>
          </cell>
          <cell r="R1898">
            <v>45664</v>
          </cell>
          <cell r="S1898">
            <v>228017</v>
          </cell>
        </row>
        <row r="1899">
          <cell r="K1899" t="str">
            <v>231012</v>
          </cell>
          <cell r="M1899">
            <v>1</v>
          </cell>
          <cell r="R1899">
            <v>45664</v>
          </cell>
          <cell r="S1899">
            <v>231012</v>
          </cell>
        </row>
        <row r="1900">
          <cell r="K1900" t="str">
            <v>201011</v>
          </cell>
          <cell r="M1900">
            <v>1</v>
          </cell>
          <cell r="R1900">
            <v>45664</v>
          </cell>
          <cell r="S1900">
            <v>201011</v>
          </cell>
        </row>
        <row r="1901">
          <cell r="K1901" t="str">
            <v>223001</v>
          </cell>
          <cell r="M1901">
            <v>3</v>
          </cell>
          <cell r="R1901">
            <v>45664</v>
          </cell>
          <cell r="S1901">
            <v>223001</v>
          </cell>
        </row>
        <row r="1902">
          <cell r="K1902" t="str">
            <v>201002</v>
          </cell>
          <cell r="M1902">
            <v>1</v>
          </cell>
          <cell r="R1902">
            <v>45664</v>
          </cell>
          <cell r="S1902">
            <v>201002</v>
          </cell>
        </row>
        <row r="1903">
          <cell r="K1903" t="str">
            <v>201011</v>
          </cell>
          <cell r="M1903">
            <v>7</v>
          </cell>
          <cell r="R1903">
            <v>45664</v>
          </cell>
          <cell r="S1903">
            <v>201011</v>
          </cell>
        </row>
        <row r="1904">
          <cell r="K1904" t="str">
            <v>210013</v>
          </cell>
          <cell r="M1904">
            <v>1</v>
          </cell>
          <cell r="R1904">
            <v>45664</v>
          </cell>
          <cell r="S1904">
            <v>210013</v>
          </cell>
        </row>
        <row r="1905">
          <cell r="K1905" t="str">
            <v>203001</v>
          </cell>
          <cell r="M1905">
            <v>1</v>
          </cell>
          <cell r="R1905">
            <v>45665</v>
          </cell>
          <cell r="S1905">
            <v>203001</v>
          </cell>
        </row>
        <row r="1906">
          <cell r="K1906" t="str">
            <v>229004</v>
          </cell>
          <cell r="M1906">
            <v>1</v>
          </cell>
          <cell r="R1906">
            <v>45664</v>
          </cell>
          <cell r="S1906">
            <v>229004</v>
          </cell>
        </row>
        <row r="1907">
          <cell r="K1907" t="str">
            <v>210001</v>
          </cell>
          <cell r="M1907">
            <v>1</v>
          </cell>
          <cell r="R1907">
            <v>45665</v>
          </cell>
          <cell r="S1907">
            <v>210001</v>
          </cell>
        </row>
        <row r="1908">
          <cell r="K1908" t="str">
            <v>213024</v>
          </cell>
          <cell r="M1908">
            <v>10</v>
          </cell>
          <cell r="R1908">
            <v>45665</v>
          </cell>
          <cell r="S1908">
            <v>213024</v>
          </cell>
        </row>
        <row r="1909">
          <cell r="K1909" t="str">
            <v>222007</v>
          </cell>
          <cell r="M1909">
            <v>6</v>
          </cell>
          <cell r="R1909">
            <v>45665</v>
          </cell>
          <cell r="S1909">
            <v>222007</v>
          </cell>
        </row>
        <row r="1910">
          <cell r="K1910" t="str">
            <v>213002</v>
          </cell>
          <cell r="M1910">
            <v>10</v>
          </cell>
          <cell r="R1910">
            <v>45665</v>
          </cell>
          <cell r="S1910">
            <v>213002</v>
          </cell>
        </row>
        <row r="1911">
          <cell r="K1911" t="str">
            <v>231012</v>
          </cell>
          <cell r="M1911">
            <v>6</v>
          </cell>
          <cell r="R1911">
            <v>45665</v>
          </cell>
          <cell r="S1911">
            <v>231012</v>
          </cell>
        </row>
        <row r="1912">
          <cell r="K1912" t="str">
            <v>213018</v>
          </cell>
          <cell r="M1912">
            <v>1</v>
          </cell>
          <cell r="R1912">
            <v>45665</v>
          </cell>
          <cell r="S1912">
            <v>213018</v>
          </cell>
        </row>
        <row r="1913">
          <cell r="K1913" t="str">
            <v>201003</v>
          </cell>
          <cell r="M1913">
            <v>1</v>
          </cell>
          <cell r="R1913">
            <v>45665</v>
          </cell>
          <cell r="S1913">
            <v>201003</v>
          </cell>
        </row>
        <row r="1914">
          <cell r="K1914" t="str">
            <v>201002</v>
          </cell>
          <cell r="M1914">
            <v>1</v>
          </cell>
          <cell r="R1914">
            <v>45665</v>
          </cell>
          <cell r="S1914">
            <v>201002</v>
          </cell>
        </row>
        <row r="1915">
          <cell r="K1915" t="str">
            <v>226001</v>
          </cell>
          <cell r="M1915">
            <v>3</v>
          </cell>
          <cell r="R1915">
            <v>45665</v>
          </cell>
          <cell r="S1915">
            <v>226001</v>
          </cell>
        </row>
        <row r="1916">
          <cell r="K1916" t="str">
            <v>206006</v>
          </cell>
          <cell r="M1916">
            <v>1</v>
          </cell>
          <cell r="R1916">
            <v>45665</v>
          </cell>
          <cell r="S1916">
            <v>206006</v>
          </cell>
        </row>
        <row r="1917">
          <cell r="K1917" t="str">
            <v>208001</v>
          </cell>
          <cell r="M1917">
            <v>1</v>
          </cell>
          <cell r="R1917">
            <v>45665</v>
          </cell>
          <cell r="S1917">
            <v>208001</v>
          </cell>
        </row>
        <row r="1918">
          <cell r="K1918" t="str">
            <v>206002</v>
          </cell>
          <cell r="M1918">
            <v>1</v>
          </cell>
          <cell r="R1918">
            <v>45665</v>
          </cell>
          <cell r="S1918">
            <v>206002</v>
          </cell>
        </row>
        <row r="1919">
          <cell r="K1919" t="str">
            <v>231004</v>
          </cell>
          <cell r="M1919">
            <v>1</v>
          </cell>
          <cell r="R1919">
            <v>45665</v>
          </cell>
          <cell r="S1919">
            <v>231004</v>
          </cell>
        </row>
        <row r="1920">
          <cell r="K1920" t="str">
            <v>227001</v>
          </cell>
          <cell r="M1920">
            <v>2</v>
          </cell>
          <cell r="R1920">
            <v>45665</v>
          </cell>
          <cell r="S1920">
            <v>227001</v>
          </cell>
        </row>
        <row r="1921">
          <cell r="K1921" t="str">
            <v>223002</v>
          </cell>
          <cell r="M1921">
            <v>1</v>
          </cell>
          <cell r="R1921">
            <v>45665</v>
          </cell>
          <cell r="S1921">
            <v>223002</v>
          </cell>
        </row>
        <row r="1922">
          <cell r="K1922" t="str">
            <v>223001</v>
          </cell>
          <cell r="M1922">
            <v>1</v>
          </cell>
          <cell r="R1922">
            <v>45665</v>
          </cell>
          <cell r="S1922">
            <v>223001</v>
          </cell>
        </row>
        <row r="1923">
          <cell r="K1923" t="str">
            <v>226025</v>
          </cell>
          <cell r="M1923">
            <v>12</v>
          </cell>
          <cell r="R1923">
            <v>45665</v>
          </cell>
          <cell r="S1923">
            <v>226025</v>
          </cell>
        </row>
        <row r="1924">
          <cell r="K1924" t="str">
            <v>201011</v>
          </cell>
          <cell r="M1924">
            <v>36</v>
          </cell>
          <cell r="R1924">
            <v>45665</v>
          </cell>
          <cell r="S1924">
            <v>201011</v>
          </cell>
        </row>
        <row r="1925">
          <cell r="K1925" t="str">
            <v>201004</v>
          </cell>
          <cell r="M1925">
            <v>4</v>
          </cell>
          <cell r="R1925">
            <v>45665</v>
          </cell>
          <cell r="S1925">
            <v>201004</v>
          </cell>
        </row>
        <row r="1926">
          <cell r="K1926" t="str">
            <v>201005</v>
          </cell>
          <cell r="M1926">
            <v>4</v>
          </cell>
          <cell r="R1926">
            <v>45665</v>
          </cell>
          <cell r="S1926">
            <v>201005</v>
          </cell>
        </row>
        <row r="1927">
          <cell r="K1927" t="str">
            <v>201009</v>
          </cell>
          <cell r="M1927">
            <v>16</v>
          </cell>
          <cell r="R1927">
            <v>45665</v>
          </cell>
          <cell r="S1927">
            <v>201009</v>
          </cell>
        </row>
        <row r="1928">
          <cell r="K1928" t="str">
            <v>201003</v>
          </cell>
          <cell r="M1928">
            <v>16</v>
          </cell>
          <cell r="R1928">
            <v>45665</v>
          </cell>
          <cell r="S1928">
            <v>201003</v>
          </cell>
        </row>
        <row r="1929">
          <cell r="K1929" t="str">
            <v>201011</v>
          </cell>
          <cell r="M1929">
            <v>6</v>
          </cell>
          <cell r="R1929">
            <v>45665</v>
          </cell>
          <cell r="S1929">
            <v>201011</v>
          </cell>
        </row>
        <row r="1930">
          <cell r="K1930" t="str">
            <v>207017</v>
          </cell>
          <cell r="M1930">
            <v>1</v>
          </cell>
          <cell r="R1930">
            <v>45665</v>
          </cell>
          <cell r="S1930">
            <v>207017</v>
          </cell>
        </row>
        <row r="1931">
          <cell r="K1931" t="str">
            <v>209006</v>
          </cell>
          <cell r="M1931">
            <v>1</v>
          </cell>
          <cell r="R1931">
            <v>45665</v>
          </cell>
          <cell r="S1931">
            <v>209006</v>
          </cell>
        </row>
        <row r="1932">
          <cell r="K1932" t="str">
            <v>226028</v>
          </cell>
          <cell r="M1932">
            <v>1</v>
          </cell>
          <cell r="R1932">
            <v>45665</v>
          </cell>
          <cell r="S1932">
            <v>226028</v>
          </cell>
        </row>
        <row r="1933">
          <cell r="K1933" t="str">
            <v>231012</v>
          </cell>
          <cell r="M1933">
            <v>1</v>
          </cell>
          <cell r="R1933">
            <v>45665</v>
          </cell>
          <cell r="S1933">
            <v>231012</v>
          </cell>
        </row>
        <row r="1934">
          <cell r="K1934" t="str">
            <v>222005</v>
          </cell>
          <cell r="M1934">
            <v>1</v>
          </cell>
          <cell r="R1934">
            <v>45665</v>
          </cell>
          <cell r="S1934">
            <v>222005</v>
          </cell>
        </row>
        <row r="1935">
          <cell r="K1935" t="str">
            <v>222001</v>
          </cell>
          <cell r="M1935">
            <v>2</v>
          </cell>
          <cell r="R1935">
            <v>45665</v>
          </cell>
          <cell r="S1935">
            <v>222001</v>
          </cell>
        </row>
        <row r="1936">
          <cell r="K1936" t="str">
            <v>209006</v>
          </cell>
          <cell r="M1936">
            <v>1</v>
          </cell>
          <cell r="R1936">
            <v>45665</v>
          </cell>
          <cell r="S1936">
            <v>209006</v>
          </cell>
        </row>
        <row r="1937">
          <cell r="K1937" t="str">
            <v>207017</v>
          </cell>
          <cell r="M1937">
            <v>1</v>
          </cell>
          <cell r="R1937">
            <v>45665</v>
          </cell>
          <cell r="S1937">
            <v>207017</v>
          </cell>
        </row>
        <row r="1938">
          <cell r="K1938" t="str">
            <v>226028</v>
          </cell>
          <cell r="M1938">
            <v>1</v>
          </cell>
          <cell r="R1938">
            <v>45665</v>
          </cell>
          <cell r="S1938">
            <v>226028</v>
          </cell>
        </row>
        <row r="1939">
          <cell r="K1939" t="str">
            <v>213002</v>
          </cell>
          <cell r="M1939">
            <v>5</v>
          </cell>
          <cell r="R1939">
            <v>45665</v>
          </cell>
          <cell r="S1939">
            <v>213002</v>
          </cell>
        </row>
        <row r="1940">
          <cell r="K1940" t="str">
            <v>212035</v>
          </cell>
          <cell r="M1940">
            <v>3</v>
          </cell>
          <cell r="R1940">
            <v>45665</v>
          </cell>
          <cell r="S1940">
            <v>212035</v>
          </cell>
        </row>
        <row r="1941">
          <cell r="K1941" t="str">
            <v>213003</v>
          </cell>
          <cell r="M1941">
            <v>3</v>
          </cell>
          <cell r="R1941">
            <v>45665</v>
          </cell>
          <cell r="S1941">
            <v>213003</v>
          </cell>
        </row>
        <row r="1942">
          <cell r="K1942" t="str">
            <v>222001</v>
          </cell>
          <cell r="M1942">
            <v>3</v>
          </cell>
          <cell r="R1942">
            <v>45665</v>
          </cell>
          <cell r="S1942">
            <v>222001</v>
          </cell>
        </row>
        <row r="1943">
          <cell r="K1943" t="str">
            <v>241001</v>
          </cell>
          <cell r="M1943">
            <v>3</v>
          </cell>
          <cell r="R1943">
            <v>45665</v>
          </cell>
          <cell r="S1943">
            <v>241001</v>
          </cell>
        </row>
        <row r="1944">
          <cell r="K1944" t="str">
            <v>212019</v>
          </cell>
          <cell r="M1944">
            <v>1</v>
          </cell>
          <cell r="R1944">
            <v>45665</v>
          </cell>
          <cell r="S1944">
            <v>212019</v>
          </cell>
        </row>
        <row r="1945">
          <cell r="K1945" t="str">
            <v>213003</v>
          </cell>
          <cell r="M1945">
            <v>3</v>
          </cell>
          <cell r="R1945">
            <v>45665</v>
          </cell>
          <cell r="S1945">
            <v>213003</v>
          </cell>
        </row>
        <row r="1946">
          <cell r="K1946" t="str">
            <v>222001</v>
          </cell>
          <cell r="M1946">
            <v>2</v>
          </cell>
          <cell r="R1946">
            <v>45665</v>
          </cell>
          <cell r="S1946">
            <v>222001</v>
          </cell>
        </row>
        <row r="1947">
          <cell r="K1947" t="str">
            <v>241001</v>
          </cell>
          <cell r="M1947">
            <v>1</v>
          </cell>
          <cell r="R1947">
            <v>45665</v>
          </cell>
          <cell r="S1947">
            <v>241001</v>
          </cell>
        </row>
        <row r="1948">
          <cell r="K1948" t="str">
            <v>201011</v>
          </cell>
          <cell r="M1948">
            <v>2</v>
          </cell>
          <cell r="R1948">
            <v>45665</v>
          </cell>
          <cell r="S1948">
            <v>201011</v>
          </cell>
        </row>
        <row r="1949">
          <cell r="K1949" t="str">
            <v>213003</v>
          </cell>
          <cell r="M1949">
            <v>3</v>
          </cell>
          <cell r="R1949">
            <v>45665</v>
          </cell>
          <cell r="S1949">
            <v>213003</v>
          </cell>
        </row>
        <row r="1950">
          <cell r="K1950" t="str">
            <v>228001</v>
          </cell>
          <cell r="M1950">
            <v>1</v>
          </cell>
          <cell r="R1950">
            <v>45665</v>
          </cell>
          <cell r="S1950">
            <v>228001</v>
          </cell>
        </row>
        <row r="1951">
          <cell r="K1951" t="str">
            <v>241001</v>
          </cell>
          <cell r="M1951">
            <v>6</v>
          </cell>
          <cell r="R1951">
            <v>45665</v>
          </cell>
          <cell r="S1951">
            <v>241001</v>
          </cell>
        </row>
        <row r="1952">
          <cell r="K1952" t="str">
            <v>223001</v>
          </cell>
          <cell r="M1952">
            <v>2</v>
          </cell>
          <cell r="R1952">
            <v>45665</v>
          </cell>
          <cell r="S1952">
            <v>223001</v>
          </cell>
        </row>
        <row r="1953">
          <cell r="K1953" t="str">
            <v>203003</v>
          </cell>
          <cell r="M1953">
            <v>1</v>
          </cell>
          <cell r="R1953">
            <v>45665</v>
          </cell>
          <cell r="S1953">
            <v>203003</v>
          </cell>
        </row>
        <row r="1954">
          <cell r="K1954" t="str">
            <v>213002</v>
          </cell>
          <cell r="M1954">
            <v>10</v>
          </cell>
          <cell r="R1954">
            <v>45665</v>
          </cell>
          <cell r="S1954">
            <v>213002</v>
          </cell>
        </row>
        <row r="1955">
          <cell r="K1955" t="str">
            <v>228017</v>
          </cell>
          <cell r="M1955">
            <v>7</v>
          </cell>
          <cell r="R1955">
            <v>45665</v>
          </cell>
          <cell r="S1955">
            <v>228017</v>
          </cell>
        </row>
        <row r="1956">
          <cell r="K1956" t="str">
            <v>226026</v>
          </cell>
          <cell r="M1956">
            <v>2</v>
          </cell>
          <cell r="R1956">
            <v>45665</v>
          </cell>
          <cell r="S1956">
            <v>226026</v>
          </cell>
        </row>
        <row r="1957">
          <cell r="K1957" t="str">
            <v>213005</v>
          </cell>
          <cell r="M1957">
            <v>1</v>
          </cell>
          <cell r="R1957">
            <v>45665</v>
          </cell>
          <cell r="S1957">
            <v>213005</v>
          </cell>
        </row>
        <row r="1958">
          <cell r="K1958" t="str">
            <v>231012</v>
          </cell>
          <cell r="M1958">
            <v>1</v>
          </cell>
          <cell r="R1958">
            <v>45665</v>
          </cell>
          <cell r="S1958">
            <v>231012</v>
          </cell>
        </row>
        <row r="1959">
          <cell r="K1959" t="str">
            <v>212035</v>
          </cell>
          <cell r="M1959">
            <v>1</v>
          </cell>
          <cell r="R1959">
            <v>45665</v>
          </cell>
          <cell r="S1959">
            <v>212035</v>
          </cell>
        </row>
        <row r="1960">
          <cell r="K1960" t="str">
            <v>207017</v>
          </cell>
          <cell r="M1960">
            <v>1</v>
          </cell>
          <cell r="R1960">
            <v>45665</v>
          </cell>
          <cell r="S1960">
            <v>207017</v>
          </cell>
        </row>
        <row r="1961">
          <cell r="K1961" t="str">
            <v>210013</v>
          </cell>
          <cell r="M1961">
            <v>1</v>
          </cell>
          <cell r="R1961">
            <v>45665</v>
          </cell>
          <cell r="S1961">
            <v>210013</v>
          </cell>
        </row>
        <row r="1962">
          <cell r="K1962" t="str">
            <v>245004</v>
          </cell>
          <cell r="M1962">
            <v>1</v>
          </cell>
          <cell r="R1962">
            <v>45666</v>
          </cell>
          <cell r="S1962">
            <v>245004</v>
          </cell>
        </row>
        <row r="1963">
          <cell r="K1963" t="str">
            <v>217018</v>
          </cell>
          <cell r="M1963">
            <v>1</v>
          </cell>
          <cell r="R1963">
            <v>45666</v>
          </cell>
          <cell r="S1963">
            <v>217018</v>
          </cell>
        </row>
        <row r="1964">
          <cell r="K1964" t="str">
            <v>218001</v>
          </cell>
          <cell r="M1964">
            <v>1</v>
          </cell>
          <cell r="R1964">
            <v>45666</v>
          </cell>
          <cell r="S1964">
            <v>218001</v>
          </cell>
        </row>
        <row r="1965">
          <cell r="K1965" t="str">
            <v>203004</v>
          </cell>
          <cell r="M1965">
            <v>1</v>
          </cell>
          <cell r="R1965">
            <v>45666</v>
          </cell>
          <cell r="S1965">
            <v>203004</v>
          </cell>
        </row>
        <row r="1966">
          <cell r="K1966" t="str">
            <v>203003</v>
          </cell>
          <cell r="M1966">
            <v>3</v>
          </cell>
          <cell r="R1966">
            <v>45666</v>
          </cell>
          <cell r="S1966">
            <v>203003</v>
          </cell>
        </row>
        <row r="1967">
          <cell r="K1967" t="str">
            <v>220002</v>
          </cell>
          <cell r="M1967">
            <v>1</v>
          </cell>
          <cell r="R1967">
            <v>45666</v>
          </cell>
          <cell r="S1967">
            <v>220002</v>
          </cell>
        </row>
        <row r="1968">
          <cell r="K1968" t="str">
            <v>217018</v>
          </cell>
          <cell r="M1968">
            <v>1</v>
          </cell>
          <cell r="R1968">
            <v>45666</v>
          </cell>
          <cell r="S1968">
            <v>217018</v>
          </cell>
        </row>
        <row r="1969">
          <cell r="K1969" t="str">
            <v>223002</v>
          </cell>
          <cell r="M1969">
            <v>2</v>
          </cell>
          <cell r="R1969">
            <v>45666</v>
          </cell>
          <cell r="S1969">
            <v>223002</v>
          </cell>
        </row>
        <row r="1970">
          <cell r="K1970" t="str">
            <v>231012</v>
          </cell>
          <cell r="M1970">
            <v>10</v>
          </cell>
          <cell r="R1970">
            <v>45666</v>
          </cell>
          <cell r="S1970">
            <v>231012</v>
          </cell>
        </row>
        <row r="1971">
          <cell r="K1971" t="str">
            <v>228017</v>
          </cell>
          <cell r="M1971">
            <v>4</v>
          </cell>
          <cell r="R1971">
            <v>45666</v>
          </cell>
          <cell r="S1971">
            <v>228017</v>
          </cell>
        </row>
        <row r="1972">
          <cell r="K1972" t="str">
            <v>213003</v>
          </cell>
          <cell r="M1972">
            <v>1</v>
          </cell>
          <cell r="R1972">
            <v>45666</v>
          </cell>
          <cell r="S1972">
            <v>213003</v>
          </cell>
        </row>
        <row r="1973">
          <cell r="K1973" t="str">
            <v>227002</v>
          </cell>
          <cell r="M1973">
            <v>1</v>
          </cell>
          <cell r="R1973">
            <v>45666</v>
          </cell>
          <cell r="S1973">
            <v>227002</v>
          </cell>
        </row>
        <row r="1974">
          <cell r="K1974" t="str">
            <v>231012</v>
          </cell>
          <cell r="M1974">
            <v>1</v>
          </cell>
          <cell r="R1974">
            <v>45666</v>
          </cell>
          <cell r="S1974">
            <v>231012</v>
          </cell>
        </row>
        <row r="1975">
          <cell r="K1975" t="str">
            <v>208001</v>
          </cell>
          <cell r="M1975">
            <v>3</v>
          </cell>
          <cell r="R1975">
            <v>45666</v>
          </cell>
          <cell r="S1975">
            <v>208001</v>
          </cell>
        </row>
        <row r="1976">
          <cell r="K1976" t="str">
            <v>210014</v>
          </cell>
          <cell r="M1976">
            <v>3</v>
          </cell>
          <cell r="R1976">
            <v>45666</v>
          </cell>
          <cell r="S1976">
            <v>210014</v>
          </cell>
        </row>
        <row r="1977">
          <cell r="K1977" t="str">
            <v>201011</v>
          </cell>
          <cell r="M1977">
            <v>2</v>
          </cell>
          <cell r="R1977">
            <v>45666</v>
          </cell>
          <cell r="S1977">
            <v>201011</v>
          </cell>
        </row>
        <row r="1978">
          <cell r="K1978" t="str">
            <v>236001</v>
          </cell>
          <cell r="M1978">
            <v>1</v>
          </cell>
          <cell r="R1978">
            <v>45666</v>
          </cell>
          <cell r="S1978">
            <v>236001</v>
          </cell>
        </row>
        <row r="1979">
          <cell r="K1979" t="str">
            <v>213002</v>
          </cell>
          <cell r="M1979">
            <v>6</v>
          </cell>
          <cell r="R1979">
            <v>45666</v>
          </cell>
          <cell r="S1979">
            <v>213002</v>
          </cell>
        </row>
        <row r="1980">
          <cell r="K1980" t="str">
            <v>220003</v>
          </cell>
          <cell r="M1980">
            <v>1</v>
          </cell>
          <cell r="R1980">
            <v>45666</v>
          </cell>
          <cell r="S1980">
            <v>220003</v>
          </cell>
        </row>
        <row r="1981">
          <cell r="K1981" t="str">
            <v>213024</v>
          </cell>
          <cell r="M1981">
            <v>4</v>
          </cell>
          <cell r="R1981">
            <v>45666</v>
          </cell>
          <cell r="S1981">
            <v>213024</v>
          </cell>
        </row>
        <row r="1982">
          <cell r="K1982" t="str">
            <v>226001</v>
          </cell>
          <cell r="M1982">
            <v>1</v>
          </cell>
          <cell r="R1982">
            <v>45666</v>
          </cell>
          <cell r="S1982">
            <v>226001</v>
          </cell>
        </row>
        <row r="1983">
          <cell r="K1983" t="str">
            <v>203001</v>
          </cell>
          <cell r="M1983">
            <v>3</v>
          </cell>
          <cell r="R1983">
            <v>45666</v>
          </cell>
          <cell r="S1983">
            <v>203001</v>
          </cell>
        </row>
        <row r="1984">
          <cell r="K1984" t="str">
            <v>231012</v>
          </cell>
          <cell r="M1984">
            <v>2</v>
          </cell>
          <cell r="R1984">
            <v>45666</v>
          </cell>
          <cell r="S1984">
            <v>231012</v>
          </cell>
        </row>
        <row r="1985">
          <cell r="K1985" t="str">
            <v>226001</v>
          </cell>
          <cell r="M1985">
            <v>1</v>
          </cell>
          <cell r="R1985">
            <v>45666</v>
          </cell>
          <cell r="S1985">
            <v>226001</v>
          </cell>
        </row>
        <row r="1986">
          <cell r="K1986" t="str">
            <v>203003</v>
          </cell>
          <cell r="M1986">
            <v>3</v>
          </cell>
          <cell r="R1986">
            <v>45666</v>
          </cell>
          <cell r="S1986">
            <v>203003</v>
          </cell>
        </row>
        <row r="1987">
          <cell r="K1987" t="str">
            <v>231012</v>
          </cell>
          <cell r="M1987">
            <v>2</v>
          </cell>
          <cell r="R1987">
            <v>45666</v>
          </cell>
          <cell r="S1987">
            <v>231012</v>
          </cell>
        </row>
        <row r="1988">
          <cell r="K1988" t="str">
            <v>201002</v>
          </cell>
          <cell r="M1988">
            <v>1</v>
          </cell>
          <cell r="R1988">
            <v>45666</v>
          </cell>
          <cell r="S1988">
            <v>201002</v>
          </cell>
        </row>
        <row r="1989">
          <cell r="K1989" t="str">
            <v>213024</v>
          </cell>
          <cell r="M1989">
            <v>1</v>
          </cell>
          <cell r="R1989">
            <v>45666</v>
          </cell>
          <cell r="S1989">
            <v>213024</v>
          </cell>
        </row>
        <row r="1990">
          <cell r="K1990" t="str">
            <v>210014</v>
          </cell>
          <cell r="M1990">
            <v>1</v>
          </cell>
          <cell r="R1990">
            <v>45667</v>
          </cell>
          <cell r="S1990">
            <v>210014</v>
          </cell>
        </row>
        <row r="1991">
          <cell r="K1991" t="str">
            <v>201022</v>
          </cell>
          <cell r="M1991">
            <v>2</v>
          </cell>
          <cell r="R1991">
            <v>45666</v>
          </cell>
          <cell r="S1991">
            <v>201022</v>
          </cell>
        </row>
        <row r="1992">
          <cell r="K1992" t="str">
            <v>210003</v>
          </cell>
          <cell r="M1992">
            <v>1</v>
          </cell>
          <cell r="R1992">
            <v>45666</v>
          </cell>
          <cell r="S1992">
            <v>210003</v>
          </cell>
        </row>
        <row r="1993">
          <cell r="K1993" t="str">
            <v>201002</v>
          </cell>
          <cell r="M1993">
            <v>2</v>
          </cell>
          <cell r="R1993">
            <v>45666</v>
          </cell>
          <cell r="S1993">
            <v>201002</v>
          </cell>
        </row>
        <row r="1994">
          <cell r="K1994" t="str">
            <v>223002</v>
          </cell>
          <cell r="M1994">
            <v>2</v>
          </cell>
          <cell r="R1994">
            <v>45666</v>
          </cell>
          <cell r="S1994">
            <v>223002</v>
          </cell>
        </row>
        <row r="1995">
          <cell r="K1995" t="str">
            <v>228017</v>
          </cell>
          <cell r="M1995">
            <v>4</v>
          </cell>
          <cell r="R1995">
            <v>45667</v>
          </cell>
          <cell r="S1995">
            <v>228017</v>
          </cell>
        </row>
        <row r="1996">
          <cell r="K1996" t="str">
            <v>213024</v>
          </cell>
          <cell r="M1996">
            <v>2</v>
          </cell>
          <cell r="R1996">
            <v>45667</v>
          </cell>
          <cell r="S1996">
            <v>213024</v>
          </cell>
        </row>
        <row r="1997">
          <cell r="K1997" t="str">
            <v>222001</v>
          </cell>
          <cell r="M1997">
            <v>1</v>
          </cell>
          <cell r="R1997">
            <v>45666</v>
          </cell>
          <cell r="S1997">
            <v>222001</v>
          </cell>
        </row>
        <row r="1998">
          <cell r="K1998" t="str">
            <v>203003</v>
          </cell>
          <cell r="M1998">
            <v>1</v>
          </cell>
          <cell r="R1998">
            <v>45666</v>
          </cell>
          <cell r="S1998">
            <v>203003</v>
          </cell>
        </row>
        <row r="1999">
          <cell r="K1999" t="str">
            <v>227002</v>
          </cell>
          <cell r="M1999">
            <v>1</v>
          </cell>
          <cell r="R1999">
            <v>45666</v>
          </cell>
          <cell r="S1999">
            <v>227002</v>
          </cell>
        </row>
        <row r="2000">
          <cell r="K2000" t="str">
            <v>213024</v>
          </cell>
          <cell r="M2000">
            <v>2</v>
          </cell>
          <cell r="R2000">
            <v>45666</v>
          </cell>
          <cell r="S2000">
            <v>213024</v>
          </cell>
        </row>
        <row r="2001">
          <cell r="K2001" t="str">
            <v>217019</v>
          </cell>
          <cell r="M2001">
            <v>30</v>
          </cell>
          <cell r="R2001">
            <v>45667</v>
          </cell>
          <cell r="S2001">
            <v>217019</v>
          </cell>
        </row>
        <row r="2002">
          <cell r="K2002" t="str">
            <v>228001</v>
          </cell>
          <cell r="M2002">
            <v>14</v>
          </cell>
          <cell r="R2002">
            <v>45667</v>
          </cell>
          <cell r="S2002">
            <v>228001</v>
          </cell>
        </row>
        <row r="2003">
          <cell r="K2003" t="str">
            <v>229004</v>
          </cell>
          <cell r="M2003">
            <v>2</v>
          </cell>
          <cell r="R2003">
            <v>45667</v>
          </cell>
          <cell r="S2003">
            <v>229004</v>
          </cell>
        </row>
        <row r="2004">
          <cell r="K2004" t="str">
            <v>217019</v>
          </cell>
          <cell r="M2004">
            <v>3</v>
          </cell>
          <cell r="R2004">
            <v>45667</v>
          </cell>
          <cell r="S2004">
            <v>217019</v>
          </cell>
        </row>
        <row r="2005">
          <cell r="K2005" t="str">
            <v>226001</v>
          </cell>
          <cell r="M2005">
            <v>2</v>
          </cell>
          <cell r="R2005">
            <v>45667</v>
          </cell>
          <cell r="S2005">
            <v>226001</v>
          </cell>
        </row>
        <row r="2006">
          <cell r="K2006" t="str">
            <v>209004</v>
          </cell>
          <cell r="M2006">
            <v>2</v>
          </cell>
          <cell r="R2006">
            <v>45667</v>
          </cell>
          <cell r="S2006">
            <v>209004</v>
          </cell>
        </row>
        <row r="2007">
          <cell r="K2007" t="str">
            <v>201003</v>
          </cell>
          <cell r="M2007">
            <v>2</v>
          </cell>
          <cell r="R2007">
            <v>45667</v>
          </cell>
          <cell r="S2007">
            <v>201003</v>
          </cell>
        </row>
        <row r="2008">
          <cell r="K2008" t="str">
            <v>228001</v>
          </cell>
          <cell r="M2008">
            <v>8</v>
          </cell>
          <cell r="R2008">
            <v>45667</v>
          </cell>
          <cell r="S2008">
            <v>228001</v>
          </cell>
        </row>
        <row r="2009">
          <cell r="K2009" t="str">
            <v>213022</v>
          </cell>
          <cell r="M2009">
            <v>2</v>
          </cell>
          <cell r="R2009">
            <v>45667</v>
          </cell>
          <cell r="S2009">
            <v>213022</v>
          </cell>
        </row>
        <row r="2010">
          <cell r="K2010" t="str">
            <v>226025</v>
          </cell>
          <cell r="M2010">
            <v>1</v>
          </cell>
          <cell r="R2010">
            <v>45667</v>
          </cell>
          <cell r="S2010">
            <v>226025</v>
          </cell>
        </row>
        <row r="2011">
          <cell r="K2011" t="str">
            <v>217002</v>
          </cell>
          <cell r="M2011">
            <v>1</v>
          </cell>
          <cell r="R2011">
            <v>45667</v>
          </cell>
          <cell r="S2011">
            <v>217002</v>
          </cell>
        </row>
        <row r="2012">
          <cell r="K2012" t="str">
            <v>213022</v>
          </cell>
          <cell r="M2012">
            <v>1</v>
          </cell>
          <cell r="R2012">
            <v>45667</v>
          </cell>
          <cell r="S2012">
            <v>213022</v>
          </cell>
        </row>
        <row r="2013">
          <cell r="K2013" t="str">
            <v>231012</v>
          </cell>
          <cell r="M2013">
            <v>1</v>
          </cell>
          <cell r="R2013">
            <v>45667</v>
          </cell>
          <cell r="S2013">
            <v>231012</v>
          </cell>
        </row>
        <row r="2014">
          <cell r="K2014" t="str">
            <v>237001</v>
          </cell>
          <cell r="M2014">
            <v>1</v>
          </cell>
          <cell r="R2014">
            <v>45667</v>
          </cell>
          <cell r="S2014">
            <v>237001</v>
          </cell>
        </row>
        <row r="2015">
          <cell r="K2015" t="str">
            <v>201011</v>
          </cell>
          <cell r="M2015">
            <v>2</v>
          </cell>
          <cell r="R2015">
            <v>45667</v>
          </cell>
          <cell r="S2015">
            <v>201011</v>
          </cell>
        </row>
        <row r="2016">
          <cell r="K2016" t="str">
            <v>228001</v>
          </cell>
          <cell r="M2016">
            <v>2</v>
          </cell>
          <cell r="R2016">
            <v>45667</v>
          </cell>
          <cell r="S2016">
            <v>228001</v>
          </cell>
        </row>
        <row r="2017">
          <cell r="K2017" t="str">
            <v>210014</v>
          </cell>
          <cell r="M2017">
            <v>1</v>
          </cell>
          <cell r="R2017">
            <v>45667</v>
          </cell>
          <cell r="S2017">
            <v>210014</v>
          </cell>
        </row>
        <row r="2018">
          <cell r="K2018" t="str">
            <v>213022</v>
          </cell>
          <cell r="M2018">
            <v>1</v>
          </cell>
          <cell r="R2018">
            <v>45667</v>
          </cell>
          <cell r="S2018">
            <v>213022</v>
          </cell>
        </row>
        <row r="2019">
          <cell r="K2019" t="str">
            <v>227001</v>
          </cell>
          <cell r="M2019">
            <v>2</v>
          </cell>
          <cell r="R2019">
            <v>45667</v>
          </cell>
          <cell r="S2019">
            <v>227001</v>
          </cell>
        </row>
        <row r="2020">
          <cell r="K2020" t="str">
            <v>217011</v>
          </cell>
          <cell r="M2020">
            <v>1</v>
          </cell>
          <cell r="R2020">
            <v>45667</v>
          </cell>
          <cell r="S2020">
            <v>217011</v>
          </cell>
        </row>
        <row r="2021">
          <cell r="K2021" t="str">
            <v>201004</v>
          </cell>
          <cell r="M2021">
            <v>1</v>
          </cell>
          <cell r="R2021">
            <v>45667</v>
          </cell>
          <cell r="S2021">
            <v>201004</v>
          </cell>
        </row>
        <row r="2022">
          <cell r="K2022" t="str">
            <v>201005</v>
          </cell>
          <cell r="M2022">
            <v>2</v>
          </cell>
          <cell r="R2022">
            <v>45667</v>
          </cell>
          <cell r="S2022">
            <v>201005</v>
          </cell>
        </row>
        <row r="2023">
          <cell r="K2023" t="str">
            <v>237001</v>
          </cell>
          <cell r="M2023">
            <v>1</v>
          </cell>
          <cell r="R2023">
            <v>45667</v>
          </cell>
          <cell r="S2023">
            <v>237001</v>
          </cell>
        </row>
        <row r="2024">
          <cell r="K2024" t="str">
            <v>228001</v>
          </cell>
          <cell r="M2024">
            <v>4</v>
          </cell>
          <cell r="R2024">
            <v>45667</v>
          </cell>
          <cell r="S2024">
            <v>228001</v>
          </cell>
        </row>
        <row r="2025">
          <cell r="K2025" t="str">
            <v>213022</v>
          </cell>
          <cell r="M2025">
            <v>3</v>
          </cell>
          <cell r="R2025">
            <v>45667</v>
          </cell>
          <cell r="S2025">
            <v>213022</v>
          </cell>
        </row>
        <row r="2026">
          <cell r="K2026" t="str">
            <v>222001</v>
          </cell>
          <cell r="M2026">
            <v>1</v>
          </cell>
          <cell r="R2026">
            <v>45667</v>
          </cell>
          <cell r="S2026">
            <v>222001</v>
          </cell>
        </row>
        <row r="2027">
          <cell r="K2027" t="str">
            <v>222004</v>
          </cell>
          <cell r="M2027">
            <v>2</v>
          </cell>
          <cell r="R2027">
            <v>45667</v>
          </cell>
          <cell r="S2027">
            <v>222004</v>
          </cell>
        </row>
        <row r="2028">
          <cell r="K2028" t="str">
            <v>222003</v>
          </cell>
          <cell r="M2028">
            <v>1</v>
          </cell>
          <cell r="R2028">
            <v>45667</v>
          </cell>
          <cell r="S2028">
            <v>222003</v>
          </cell>
        </row>
        <row r="2029">
          <cell r="K2029" t="str">
            <v>201011</v>
          </cell>
          <cell r="M2029">
            <v>3</v>
          </cell>
          <cell r="R2029">
            <v>45667</v>
          </cell>
          <cell r="S2029">
            <v>201011</v>
          </cell>
        </row>
        <row r="2030">
          <cell r="K2030" t="str">
            <v>213022</v>
          </cell>
          <cell r="M2030">
            <v>2</v>
          </cell>
          <cell r="R2030">
            <v>45667</v>
          </cell>
          <cell r="S2030">
            <v>213022</v>
          </cell>
        </row>
        <row r="2031">
          <cell r="K2031" t="str">
            <v>222001</v>
          </cell>
          <cell r="M2031">
            <v>2</v>
          </cell>
          <cell r="R2031">
            <v>45667</v>
          </cell>
          <cell r="S2031">
            <v>222001</v>
          </cell>
        </row>
        <row r="2032">
          <cell r="K2032" t="str">
            <v>241001</v>
          </cell>
          <cell r="M2032">
            <v>3</v>
          </cell>
          <cell r="R2032">
            <v>45667</v>
          </cell>
          <cell r="S2032">
            <v>241001</v>
          </cell>
        </row>
        <row r="2033">
          <cell r="K2033" t="str">
            <v>228001</v>
          </cell>
          <cell r="M2033">
            <v>1</v>
          </cell>
          <cell r="R2033">
            <v>45667</v>
          </cell>
          <cell r="S2033">
            <v>228001</v>
          </cell>
        </row>
        <row r="2034">
          <cell r="K2034" t="str">
            <v>226022</v>
          </cell>
          <cell r="M2034">
            <v>1</v>
          </cell>
          <cell r="R2034">
            <v>45667</v>
          </cell>
          <cell r="S2034">
            <v>226022</v>
          </cell>
        </row>
        <row r="2035">
          <cell r="K2035" t="str">
            <v>226001</v>
          </cell>
          <cell r="M2035">
            <v>2</v>
          </cell>
          <cell r="R2035">
            <v>45667</v>
          </cell>
          <cell r="S2035">
            <v>226001</v>
          </cell>
        </row>
        <row r="2036">
          <cell r="K2036" t="str">
            <v>226025</v>
          </cell>
          <cell r="M2036">
            <v>1</v>
          </cell>
          <cell r="R2036">
            <v>45667</v>
          </cell>
          <cell r="S2036">
            <v>226025</v>
          </cell>
        </row>
        <row r="2037">
          <cell r="K2037" t="str">
            <v>228001</v>
          </cell>
          <cell r="M2037">
            <v>12</v>
          </cell>
          <cell r="R2037">
            <v>45667</v>
          </cell>
          <cell r="S2037">
            <v>228001</v>
          </cell>
        </row>
        <row r="2038">
          <cell r="K2038" t="str">
            <v>229001</v>
          </cell>
          <cell r="M2038">
            <v>2</v>
          </cell>
          <cell r="R2038">
            <v>45667</v>
          </cell>
          <cell r="S2038">
            <v>229001</v>
          </cell>
        </row>
        <row r="2039">
          <cell r="K2039" t="str">
            <v>203003</v>
          </cell>
          <cell r="M2039">
            <v>1</v>
          </cell>
          <cell r="R2039">
            <v>45667</v>
          </cell>
          <cell r="S2039">
            <v>203003</v>
          </cell>
        </row>
        <row r="2040">
          <cell r="K2040" t="str">
            <v>226026</v>
          </cell>
          <cell r="M2040">
            <v>1</v>
          </cell>
          <cell r="R2040">
            <v>45667</v>
          </cell>
          <cell r="S2040">
            <v>226026</v>
          </cell>
        </row>
        <row r="2041">
          <cell r="K2041" t="str">
            <v>231012</v>
          </cell>
          <cell r="M2041">
            <v>1</v>
          </cell>
          <cell r="R2041">
            <v>45667</v>
          </cell>
          <cell r="S2041">
            <v>231012</v>
          </cell>
        </row>
        <row r="2042">
          <cell r="K2042" t="str">
            <v>229001</v>
          </cell>
          <cell r="M2042">
            <v>3</v>
          </cell>
          <cell r="R2042">
            <v>45667</v>
          </cell>
          <cell r="S2042">
            <v>229001</v>
          </cell>
        </row>
        <row r="2043">
          <cell r="K2043" t="str">
            <v>226026</v>
          </cell>
          <cell r="M2043">
            <v>1</v>
          </cell>
          <cell r="R2043">
            <v>45667</v>
          </cell>
          <cell r="S2043">
            <v>226026</v>
          </cell>
        </row>
        <row r="2044">
          <cell r="K2044" t="str">
            <v>228001</v>
          </cell>
          <cell r="M2044">
            <v>1</v>
          </cell>
          <cell r="R2044">
            <v>45669</v>
          </cell>
          <cell r="S2044">
            <v>228001</v>
          </cell>
        </row>
        <row r="2045">
          <cell r="K2045" t="str">
            <v>231012</v>
          </cell>
          <cell r="M2045">
            <v>6</v>
          </cell>
          <cell r="R2045">
            <v>45669</v>
          </cell>
          <cell r="S2045">
            <v>231012</v>
          </cell>
        </row>
        <row r="2046">
          <cell r="K2046" t="str">
            <v>223002</v>
          </cell>
          <cell r="M2046">
            <v>3</v>
          </cell>
          <cell r="R2046">
            <v>45669</v>
          </cell>
          <cell r="S2046">
            <v>223002</v>
          </cell>
        </row>
        <row r="2047">
          <cell r="K2047" t="str">
            <v>223001</v>
          </cell>
          <cell r="M2047">
            <v>15</v>
          </cell>
          <cell r="R2047">
            <v>45669</v>
          </cell>
          <cell r="S2047">
            <v>223001</v>
          </cell>
        </row>
        <row r="2048">
          <cell r="K2048" t="str">
            <v>227012</v>
          </cell>
          <cell r="M2048">
            <v>1</v>
          </cell>
          <cell r="R2048">
            <v>45669</v>
          </cell>
          <cell r="S2048">
            <v>227012</v>
          </cell>
        </row>
        <row r="2049">
          <cell r="K2049" t="str">
            <v>212035</v>
          </cell>
          <cell r="M2049">
            <v>1</v>
          </cell>
          <cell r="R2049">
            <v>45669</v>
          </cell>
          <cell r="S2049">
            <v>212035</v>
          </cell>
        </row>
        <row r="2050">
          <cell r="K2050" t="str">
            <v>213022</v>
          </cell>
          <cell r="M2050">
            <v>1</v>
          </cell>
          <cell r="R2050">
            <v>45668</v>
          </cell>
          <cell r="S2050">
            <v>213022</v>
          </cell>
        </row>
        <row r="2051">
          <cell r="K2051" t="str">
            <v>201011</v>
          </cell>
          <cell r="M2051">
            <v>10</v>
          </cell>
          <cell r="R2051">
            <v>45668</v>
          </cell>
          <cell r="S2051">
            <v>201011</v>
          </cell>
        </row>
        <row r="2052">
          <cell r="K2052" t="str">
            <v>223002</v>
          </cell>
          <cell r="M2052">
            <v>1</v>
          </cell>
          <cell r="R2052">
            <v>45669</v>
          </cell>
          <cell r="S2052">
            <v>223002</v>
          </cell>
        </row>
        <row r="2053">
          <cell r="K2053" t="str">
            <v>222001</v>
          </cell>
          <cell r="M2053">
            <v>1</v>
          </cell>
          <cell r="R2053">
            <v>45669</v>
          </cell>
          <cell r="S2053">
            <v>222001</v>
          </cell>
        </row>
        <row r="2054">
          <cell r="K2054" t="str">
            <v>234001</v>
          </cell>
          <cell r="M2054">
            <v>1</v>
          </cell>
          <cell r="R2054">
            <v>45669</v>
          </cell>
          <cell r="S2054">
            <v>234001</v>
          </cell>
        </row>
        <row r="2055">
          <cell r="K2055" t="str">
            <v>228001</v>
          </cell>
          <cell r="M2055">
            <v>1</v>
          </cell>
          <cell r="R2055">
            <v>45670</v>
          </cell>
          <cell r="S2055">
            <v>228001</v>
          </cell>
        </row>
        <row r="2056">
          <cell r="K2056" t="str">
            <v>217011</v>
          </cell>
          <cell r="M2056">
            <v>2</v>
          </cell>
          <cell r="R2056">
            <v>45670</v>
          </cell>
          <cell r="S2056">
            <v>217011</v>
          </cell>
        </row>
        <row r="2057">
          <cell r="K2057" t="str">
            <v>201003</v>
          </cell>
          <cell r="M2057">
            <v>4</v>
          </cell>
          <cell r="R2057">
            <v>45670</v>
          </cell>
          <cell r="S2057">
            <v>201003</v>
          </cell>
        </row>
        <row r="2058">
          <cell r="K2058" t="str">
            <v>213024</v>
          </cell>
          <cell r="M2058">
            <v>2</v>
          </cell>
          <cell r="R2058">
            <v>45670</v>
          </cell>
          <cell r="S2058">
            <v>213024</v>
          </cell>
        </row>
        <row r="2059">
          <cell r="K2059" t="str">
            <v>201002</v>
          </cell>
          <cell r="M2059">
            <v>1</v>
          </cell>
          <cell r="R2059">
            <v>45670</v>
          </cell>
          <cell r="S2059">
            <v>201002</v>
          </cell>
        </row>
        <row r="2060">
          <cell r="K2060" t="str">
            <v>231012</v>
          </cell>
          <cell r="M2060">
            <v>1</v>
          </cell>
          <cell r="R2060">
            <v>45670</v>
          </cell>
          <cell r="S2060">
            <v>231012</v>
          </cell>
        </row>
        <row r="2061">
          <cell r="K2061" t="str">
            <v>213022</v>
          </cell>
          <cell r="M2061">
            <v>1</v>
          </cell>
          <cell r="R2061">
            <v>45670</v>
          </cell>
          <cell r="S2061">
            <v>213022</v>
          </cell>
        </row>
        <row r="2062">
          <cell r="K2062" t="str">
            <v>212019</v>
          </cell>
          <cell r="M2062">
            <v>1</v>
          </cell>
          <cell r="R2062">
            <v>45670</v>
          </cell>
          <cell r="S2062">
            <v>212019</v>
          </cell>
        </row>
        <row r="2063">
          <cell r="K2063" t="str">
            <v>201011</v>
          </cell>
          <cell r="M2063">
            <v>2</v>
          </cell>
          <cell r="R2063">
            <v>45670</v>
          </cell>
          <cell r="S2063">
            <v>201011</v>
          </cell>
        </row>
        <row r="2064">
          <cell r="K2064" t="str">
            <v>203003</v>
          </cell>
          <cell r="M2064">
            <v>1</v>
          </cell>
          <cell r="R2064">
            <v>45670</v>
          </cell>
          <cell r="S2064">
            <v>203003</v>
          </cell>
        </row>
        <row r="2065">
          <cell r="K2065" t="str">
            <v>226001</v>
          </cell>
          <cell r="M2065">
            <v>2</v>
          </cell>
          <cell r="R2065">
            <v>45670</v>
          </cell>
          <cell r="S2065">
            <v>226001</v>
          </cell>
        </row>
        <row r="2066">
          <cell r="K2066" t="str">
            <v>213022</v>
          </cell>
          <cell r="M2066">
            <v>3</v>
          </cell>
          <cell r="R2066">
            <v>45670</v>
          </cell>
          <cell r="S2066">
            <v>213022</v>
          </cell>
        </row>
        <row r="2067">
          <cell r="K2067" t="str">
            <v>228001</v>
          </cell>
          <cell r="M2067">
            <v>6</v>
          </cell>
          <cell r="R2067">
            <v>45670</v>
          </cell>
          <cell r="S2067">
            <v>228001</v>
          </cell>
        </row>
        <row r="2068">
          <cell r="K2068" t="str">
            <v>207017</v>
          </cell>
          <cell r="M2068">
            <v>2</v>
          </cell>
          <cell r="R2068">
            <v>45670</v>
          </cell>
          <cell r="S2068">
            <v>207017</v>
          </cell>
        </row>
        <row r="2069">
          <cell r="K2069" t="str">
            <v>203001</v>
          </cell>
          <cell r="M2069">
            <v>1</v>
          </cell>
          <cell r="R2069">
            <v>45670</v>
          </cell>
          <cell r="S2069">
            <v>203001</v>
          </cell>
        </row>
        <row r="2070">
          <cell r="K2070" t="str">
            <v>226001</v>
          </cell>
          <cell r="M2070">
            <v>6</v>
          </cell>
          <cell r="R2070">
            <v>45670</v>
          </cell>
          <cell r="S2070">
            <v>226001</v>
          </cell>
        </row>
        <row r="2071">
          <cell r="K2071" t="str">
            <v>228001</v>
          </cell>
          <cell r="M2071">
            <v>2</v>
          </cell>
          <cell r="R2071">
            <v>45670</v>
          </cell>
          <cell r="S2071">
            <v>228001</v>
          </cell>
        </row>
        <row r="2072">
          <cell r="K2072" t="str">
            <v>201003</v>
          </cell>
          <cell r="M2072">
            <v>1</v>
          </cell>
          <cell r="R2072">
            <v>45670</v>
          </cell>
          <cell r="S2072">
            <v>201003</v>
          </cell>
        </row>
        <row r="2073">
          <cell r="K2073" t="str">
            <v>231012</v>
          </cell>
          <cell r="M2073">
            <v>1</v>
          </cell>
          <cell r="R2073">
            <v>45670</v>
          </cell>
          <cell r="S2073">
            <v>231012</v>
          </cell>
        </row>
        <row r="2074">
          <cell r="K2074" t="str">
            <v>203001</v>
          </cell>
          <cell r="M2074">
            <v>1</v>
          </cell>
          <cell r="R2074">
            <v>45670</v>
          </cell>
          <cell r="S2074">
            <v>203001</v>
          </cell>
        </row>
        <row r="2075">
          <cell r="K2075" t="str">
            <v>203003</v>
          </cell>
          <cell r="M2075">
            <v>5</v>
          </cell>
          <cell r="R2075">
            <v>45670</v>
          </cell>
          <cell r="S2075">
            <v>203003</v>
          </cell>
        </row>
        <row r="2076">
          <cell r="K2076" t="str">
            <v>217018</v>
          </cell>
          <cell r="M2076">
            <v>1</v>
          </cell>
          <cell r="R2076">
            <v>45670</v>
          </cell>
          <cell r="S2076">
            <v>217018</v>
          </cell>
        </row>
        <row r="2077">
          <cell r="K2077" t="str">
            <v>220002</v>
          </cell>
          <cell r="M2077">
            <v>5</v>
          </cell>
          <cell r="R2077">
            <v>45670</v>
          </cell>
          <cell r="S2077">
            <v>220002</v>
          </cell>
        </row>
        <row r="2078">
          <cell r="K2078" t="str">
            <v>209004</v>
          </cell>
          <cell r="M2078">
            <v>1</v>
          </cell>
          <cell r="R2078">
            <v>45670</v>
          </cell>
          <cell r="S2078">
            <v>209004</v>
          </cell>
        </row>
        <row r="2079">
          <cell r="K2079" t="str">
            <v>228001</v>
          </cell>
          <cell r="M2079">
            <v>3</v>
          </cell>
          <cell r="R2079">
            <v>45670</v>
          </cell>
          <cell r="S2079">
            <v>228001</v>
          </cell>
        </row>
        <row r="2080">
          <cell r="K2080" t="str">
            <v>207017</v>
          </cell>
          <cell r="M2080">
            <v>1</v>
          </cell>
          <cell r="R2080">
            <v>45670</v>
          </cell>
          <cell r="S2080">
            <v>207017</v>
          </cell>
        </row>
        <row r="2081">
          <cell r="K2081" t="str">
            <v>203001</v>
          </cell>
          <cell r="M2081">
            <v>4</v>
          </cell>
          <cell r="R2081">
            <v>45670</v>
          </cell>
          <cell r="S2081">
            <v>203001</v>
          </cell>
        </row>
        <row r="2082">
          <cell r="K2082" t="str">
            <v>203001</v>
          </cell>
          <cell r="M2082">
            <v>4</v>
          </cell>
          <cell r="R2082">
            <v>45670</v>
          </cell>
          <cell r="S2082">
            <v>203001</v>
          </cell>
        </row>
        <row r="2083">
          <cell r="K2083" t="str">
            <v>212030</v>
          </cell>
          <cell r="M2083">
            <v>1</v>
          </cell>
          <cell r="R2083">
            <v>45670</v>
          </cell>
          <cell r="S2083">
            <v>212030</v>
          </cell>
        </row>
        <row r="2084">
          <cell r="K2084" t="str">
            <v>209004</v>
          </cell>
          <cell r="M2084">
            <v>1</v>
          </cell>
          <cell r="R2084">
            <v>45670</v>
          </cell>
          <cell r="S2084">
            <v>209004</v>
          </cell>
        </row>
        <row r="2085">
          <cell r="K2085" t="str">
            <v>226026</v>
          </cell>
          <cell r="M2085">
            <v>1</v>
          </cell>
          <cell r="R2085">
            <v>45670</v>
          </cell>
          <cell r="S2085">
            <v>226026</v>
          </cell>
        </row>
        <row r="2086">
          <cell r="K2086" t="str">
            <v>209004</v>
          </cell>
          <cell r="M2086">
            <v>1</v>
          </cell>
          <cell r="R2086">
            <v>45670</v>
          </cell>
          <cell r="S2086">
            <v>209004</v>
          </cell>
        </row>
        <row r="2087">
          <cell r="K2087" t="str">
            <v>213022</v>
          </cell>
          <cell r="M2087">
            <v>4</v>
          </cell>
          <cell r="R2087">
            <v>45670</v>
          </cell>
          <cell r="S2087">
            <v>213022</v>
          </cell>
        </row>
        <row r="2088">
          <cell r="K2088" t="str">
            <v>223001</v>
          </cell>
          <cell r="M2088">
            <v>3</v>
          </cell>
          <cell r="R2088">
            <v>45670</v>
          </cell>
          <cell r="S2088">
            <v>223001</v>
          </cell>
        </row>
        <row r="2089">
          <cell r="K2089" t="str">
            <v>227002</v>
          </cell>
          <cell r="M2089">
            <v>1</v>
          </cell>
          <cell r="R2089">
            <v>45670</v>
          </cell>
          <cell r="S2089">
            <v>227002</v>
          </cell>
        </row>
        <row r="2090">
          <cell r="K2090" t="str">
            <v>213022</v>
          </cell>
          <cell r="M2090">
            <v>1</v>
          </cell>
          <cell r="R2090">
            <v>45670</v>
          </cell>
          <cell r="S2090">
            <v>213022</v>
          </cell>
        </row>
        <row r="2091">
          <cell r="K2091" t="str">
            <v>201011</v>
          </cell>
          <cell r="M2091">
            <v>5</v>
          </cell>
          <cell r="R2091">
            <v>45670</v>
          </cell>
          <cell r="S2091">
            <v>201011</v>
          </cell>
        </row>
        <row r="2092">
          <cell r="K2092" t="str">
            <v>213024</v>
          </cell>
          <cell r="M2092">
            <v>1</v>
          </cell>
          <cell r="R2092">
            <v>45670</v>
          </cell>
          <cell r="S2092">
            <v>213024</v>
          </cell>
        </row>
        <row r="2093">
          <cell r="K2093" t="str">
            <v>222001</v>
          </cell>
          <cell r="M2093">
            <v>1</v>
          </cell>
          <cell r="R2093">
            <v>45670</v>
          </cell>
          <cell r="S2093">
            <v>222001</v>
          </cell>
        </row>
        <row r="2094">
          <cell r="K2094" t="str">
            <v>209004</v>
          </cell>
          <cell r="M2094">
            <v>1</v>
          </cell>
          <cell r="R2094">
            <v>45670</v>
          </cell>
          <cell r="S2094">
            <v>209004</v>
          </cell>
        </row>
        <row r="2095">
          <cell r="K2095" t="str">
            <v>222001</v>
          </cell>
          <cell r="M2095">
            <v>1</v>
          </cell>
          <cell r="R2095">
            <v>45670</v>
          </cell>
          <cell r="S2095">
            <v>222001</v>
          </cell>
        </row>
        <row r="2096">
          <cell r="K2096" t="str">
            <v>217018</v>
          </cell>
          <cell r="M2096">
            <v>1</v>
          </cell>
          <cell r="R2096">
            <v>45671</v>
          </cell>
          <cell r="S2096">
            <v>217018</v>
          </cell>
        </row>
        <row r="2097">
          <cell r="K2097" t="str">
            <v>207017</v>
          </cell>
          <cell r="M2097">
            <v>1</v>
          </cell>
          <cell r="R2097">
            <v>45671</v>
          </cell>
          <cell r="S2097">
            <v>207017</v>
          </cell>
        </row>
        <row r="2098">
          <cell r="K2098" t="str">
            <v>229001</v>
          </cell>
          <cell r="M2098">
            <v>2</v>
          </cell>
          <cell r="R2098">
            <v>45671</v>
          </cell>
          <cell r="S2098">
            <v>229001</v>
          </cell>
        </row>
        <row r="2099">
          <cell r="K2099" t="str">
            <v>237001</v>
          </cell>
          <cell r="M2099">
            <v>1</v>
          </cell>
          <cell r="R2099">
            <v>45671</v>
          </cell>
          <cell r="S2099">
            <v>237001</v>
          </cell>
        </row>
        <row r="2100">
          <cell r="K2100" t="str">
            <v>223002</v>
          </cell>
          <cell r="M2100">
            <v>2</v>
          </cell>
          <cell r="R2100">
            <v>45671</v>
          </cell>
          <cell r="S2100">
            <v>223002</v>
          </cell>
        </row>
        <row r="2101">
          <cell r="K2101" t="str">
            <v>228001</v>
          </cell>
          <cell r="M2101">
            <v>3</v>
          </cell>
          <cell r="R2101">
            <v>45671</v>
          </cell>
          <cell r="S2101">
            <v>228001</v>
          </cell>
        </row>
        <row r="2102">
          <cell r="K2102" t="str">
            <v>201011</v>
          </cell>
          <cell r="M2102">
            <v>10</v>
          </cell>
          <cell r="R2102">
            <v>45671</v>
          </cell>
          <cell r="S2102">
            <v>201011</v>
          </cell>
        </row>
        <row r="2103">
          <cell r="K2103" t="str">
            <v>201009</v>
          </cell>
          <cell r="M2103">
            <v>1</v>
          </cell>
          <cell r="R2103">
            <v>45671</v>
          </cell>
          <cell r="S2103">
            <v>201009</v>
          </cell>
        </row>
        <row r="2104">
          <cell r="K2104" t="str">
            <v>201005</v>
          </cell>
          <cell r="M2104">
            <v>1</v>
          </cell>
          <cell r="R2104">
            <v>45671</v>
          </cell>
          <cell r="S2104">
            <v>201005</v>
          </cell>
        </row>
        <row r="2105">
          <cell r="K2105" t="str">
            <v>228001</v>
          </cell>
          <cell r="M2105">
            <v>12</v>
          </cell>
          <cell r="R2105">
            <v>45671</v>
          </cell>
          <cell r="S2105">
            <v>228001</v>
          </cell>
        </row>
        <row r="2106">
          <cell r="K2106" t="str">
            <v>223001</v>
          </cell>
          <cell r="M2106">
            <v>3</v>
          </cell>
          <cell r="R2106">
            <v>45671</v>
          </cell>
          <cell r="S2106">
            <v>223001</v>
          </cell>
        </row>
        <row r="2107">
          <cell r="K2107" t="str">
            <v>223002</v>
          </cell>
          <cell r="M2107">
            <v>2</v>
          </cell>
          <cell r="R2107">
            <v>45671</v>
          </cell>
          <cell r="S2107">
            <v>223002</v>
          </cell>
        </row>
        <row r="2108">
          <cell r="K2108" t="str">
            <v>231012</v>
          </cell>
          <cell r="M2108">
            <v>16</v>
          </cell>
          <cell r="R2108">
            <v>45671</v>
          </cell>
          <cell r="S2108">
            <v>231012</v>
          </cell>
        </row>
        <row r="2109">
          <cell r="K2109" t="str">
            <v>213022</v>
          </cell>
          <cell r="M2109">
            <v>1</v>
          </cell>
          <cell r="R2109">
            <v>45671</v>
          </cell>
          <cell r="S2109">
            <v>213022</v>
          </cell>
        </row>
        <row r="2110">
          <cell r="K2110" t="str">
            <v>226001</v>
          </cell>
          <cell r="M2110">
            <v>2</v>
          </cell>
          <cell r="R2110">
            <v>45671</v>
          </cell>
          <cell r="S2110">
            <v>226001</v>
          </cell>
        </row>
        <row r="2111">
          <cell r="K2111" t="str">
            <v>203004</v>
          </cell>
          <cell r="M2111">
            <v>1</v>
          </cell>
          <cell r="R2111">
            <v>45671</v>
          </cell>
          <cell r="S2111">
            <v>203004</v>
          </cell>
        </row>
        <row r="2112">
          <cell r="K2112" t="str">
            <v>208001</v>
          </cell>
          <cell r="M2112">
            <v>1</v>
          </cell>
          <cell r="R2112">
            <v>45671</v>
          </cell>
          <cell r="S2112">
            <v>208001</v>
          </cell>
        </row>
        <row r="2113">
          <cell r="K2113" t="str">
            <v>201011</v>
          </cell>
          <cell r="M2113">
            <v>1</v>
          </cell>
          <cell r="R2113">
            <v>45671</v>
          </cell>
          <cell r="S2113">
            <v>201011</v>
          </cell>
        </row>
        <row r="2114">
          <cell r="K2114" t="str">
            <v>201002</v>
          </cell>
          <cell r="M2114">
            <v>1</v>
          </cell>
          <cell r="R2114">
            <v>45671</v>
          </cell>
          <cell r="S2114">
            <v>201002</v>
          </cell>
        </row>
        <row r="2115">
          <cell r="K2115" t="str">
            <v>201002</v>
          </cell>
          <cell r="M2115">
            <v>2</v>
          </cell>
          <cell r="R2115">
            <v>45671</v>
          </cell>
          <cell r="S2115">
            <v>201002</v>
          </cell>
        </row>
        <row r="2116">
          <cell r="K2116" t="str">
            <v>228001</v>
          </cell>
          <cell r="M2116">
            <v>1</v>
          </cell>
          <cell r="R2116">
            <v>45671</v>
          </cell>
          <cell r="S2116">
            <v>228001</v>
          </cell>
        </row>
        <row r="2117">
          <cell r="K2117" t="str">
            <v>241001</v>
          </cell>
          <cell r="M2117">
            <v>6</v>
          </cell>
          <cell r="R2117">
            <v>45671</v>
          </cell>
          <cell r="S2117">
            <v>241001</v>
          </cell>
        </row>
        <row r="2118">
          <cell r="K2118" t="str">
            <v>209004</v>
          </cell>
          <cell r="M2118">
            <v>1</v>
          </cell>
          <cell r="R2118">
            <v>45671</v>
          </cell>
          <cell r="S2118">
            <v>209004</v>
          </cell>
        </row>
        <row r="2119">
          <cell r="K2119" t="str">
            <v>201011</v>
          </cell>
          <cell r="M2119">
            <v>6</v>
          </cell>
          <cell r="R2119">
            <v>45671</v>
          </cell>
          <cell r="S2119">
            <v>201011</v>
          </cell>
        </row>
        <row r="2120">
          <cell r="K2120" t="str">
            <v>218001</v>
          </cell>
          <cell r="M2120">
            <v>1</v>
          </cell>
          <cell r="R2120">
            <v>45671</v>
          </cell>
          <cell r="S2120">
            <v>218001</v>
          </cell>
        </row>
        <row r="2121">
          <cell r="K2121" t="str">
            <v>203006</v>
          </cell>
          <cell r="M2121">
            <v>1</v>
          </cell>
          <cell r="R2121">
            <v>45671</v>
          </cell>
          <cell r="S2121">
            <v>203006</v>
          </cell>
        </row>
        <row r="2122">
          <cell r="K2122" t="str">
            <v>206002</v>
          </cell>
          <cell r="M2122">
            <v>1</v>
          </cell>
          <cell r="R2122">
            <v>45671</v>
          </cell>
          <cell r="S2122">
            <v>206002</v>
          </cell>
        </row>
        <row r="2123">
          <cell r="K2123" t="str">
            <v>208001</v>
          </cell>
          <cell r="M2123">
            <v>1</v>
          </cell>
          <cell r="R2123">
            <v>45671</v>
          </cell>
          <cell r="S2123">
            <v>208001</v>
          </cell>
        </row>
        <row r="2124">
          <cell r="K2124" t="str">
            <v>203003</v>
          </cell>
          <cell r="M2124">
            <v>3</v>
          </cell>
          <cell r="R2124">
            <v>45671</v>
          </cell>
          <cell r="S2124">
            <v>203003</v>
          </cell>
        </row>
        <row r="2125">
          <cell r="K2125" t="str">
            <v>203001</v>
          </cell>
          <cell r="M2125">
            <v>2</v>
          </cell>
          <cell r="R2125">
            <v>45671</v>
          </cell>
          <cell r="S2125">
            <v>203001</v>
          </cell>
        </row>
        <row r="2126">
          <cell r="K2126" t="str">
            <v>201005</v>
          </cell>
          <cell r="M2126">
            <v>6</v>
          </cell>
          <cell r="R2126">
            <v>45671</v>
          </cell>
          <cell r="S2126">
            <v>201005</v>
          </cell>
        </row>
        <row r="2127">
          <cell r="K2127" t="str">
            <v>213002</v>
          </cell>
          <cell r="M2127">
            <v>3</v>
          </cell>
          <cell r="R2127">
            <v>45671</v>
          </cell>
          <cell r="S2127">
            <v>213002</v>
          </cell>
        </row>
        <row r="2128">
          <cell r="K2128" t="str">
            <v>210014</v>
          </cell>
          <cell r="M2128">
            <v>2</v>
          </cell>
          <cell r="R2128">
            <v>45671</v>
          </cell>
          <cell r="S2128">
            <v>210014</v>
          </cell>
        </row>
        <row r="2129">
          <cell r="K2129" t="str">
            <v>210010</v>
          </cell>
          <cell r="M2129">
            <v>2</v>
          </cell>
          <cell r="R2129">
            <v>45671</v>
          </cell>
          <cell r="S2129">
            <v>210010</v>
          </cell>
        </row>
        <row r="2130">
          <cell r="K2130" t="str">
            <v>226028</v>
          </cell>
          <cell r="M2130">
            <v>1</v>
          </cell>
          <cell r="R2130">
            <v>45671</v>
          </cell>
          <cell r="S2130">
            <v>226028</v>
          </cell>
        </row>
        <row r="2131">
          <cell r="K2131" t="str">
            <v>228001</v>
          </cell>
          <cell r="M2131">
            <v>1</v>
          </cell>
          <cell r="R2131">
            <v>45671</v>
          </cell>
          <cell r="S2131">
            <v>228001</v>
          </cell>
        </row>
        <row r="2132">
          <cell r="K2132" t="str">
            <v>228001</v>
          </cell>
          <cell r="M2132">
            <v>12</v>
          </cell>
          <cell r="R2132">
            <v>45671</v>
          </cell>
          <cell r="S2132">
            <v>228001</v>
          </cell>
        </row>
        <row r="2133">
          <cell r="K2133" t="str">
            <v>201011</v>
          </cell>
          <cell r="M2133">
            <v>36</v>
          </cell>
          <cell r="R2133">
            <v>45671</v>
          </cell>
          <cell r="S2133">
            <v>201011</v>
          </cell>
        </row>
        <row r="2134">
          <cell r="K2134" t="str">
            <v>213002</v>
          </cell>
          <cell r="M2134">
            <v>8</v>
          </cell>
          <cell r="R2134">
            <v>45671</v>
          </cell>
          <cell r="S2134">
            <v>213002</v>
          </cell>
        </row>
        <row r="2135">
          <cell r="K2135" t="str">
            <v>203001</v>
          </cell>
          <cell r="M2135">
            <v>1</v>
          </cell>
          <cell r="R2135">
            <v>45671</v>
          </cell>
          <cell r="S2135">
            <v>203001</v>
          </cell>
        </row>
        <row r="2136">
          <cell r="K2136" t="str">
            <v>213002</v>
          </cell>
          <cell r="M2136">
            <v>6</v>
          </cell>
          <cell r="R2136">
            <v>45671</v>
          </cell>
          <cell r="S2136">
            <v>213002</v>
          </cell>
        </row>
        <row r="2137">
          <cell r="K2137" t="str">
            <v>213022</v>
          </cell>
          <cell r="M2137">
            <v>1</v>
          </cell>
          <cell r="R2137">
            <v>45671</v>
          </cell>
          <cell r="S2137">
            <v>213022</v>
          </cell>
        </row>
        <row r="2138">
          <cell r="K2138" t="str">
            <v>201011</v>
          </cell>
          <cell r="M2138">
            <v>3</v>
          </cell>
          <cell r="R2138">
            <v>45671</v>
          </cell>
          <cell r="S2138">
            <v>201011</v>
          </cell>
        </row>
        <row r="2139">
          <cell r="K2139" t="str">
            <v>203001</v>
          </cell>
          <cell r="M2139">
            <v>4</v>
          </cell>
          <cell r="R2139">
            <v>45671</v>
          </cell>
          <cell r="S2139">
            <v>203001</v>
          </cell>
        </row>
        <row r="2140">
          <cell r="K2140" t="str">
            <v>231012</v>
          </cell>
          <cell r="M2140">
            <v>2</v>
          </cell>
          <cell r="R2140">
            <v>45671</v>
          </cell>
          <cell r="S2140">
            <v>231012</v>
          </cell>
        </row>
        <row r="2141">
          <cell r="K2141" t="str">
            <v>207017</v>
          </cell>
          <cell r="M2141">
            <v>1</v>
          </cell>
          <cell r="R2141">
            <v>45671</v>
          </cell>
          <cell r="S2141">
            <v>207017</v>
          </cell>
        </row>
        <row r="2142">
          <cell r="K2142" t="str">
            <v>212035</v>
          </cell>
          <cell r="M2142">
            <v>3</v>
          </cell>
          <cell r="R2142">
            <v>45671</v>
          </cell>
          <cell r="S2142">
            <v>212035</v>
          </cell>
        </row>
        <row r="2143">
          <cell r="K2143" t="str">
            <v>231012</v>
          </cell>
          <cell r="M2143">
            <v>1</v>
          </cell>
          <cell r="R2143">
            <v>45671</v>
          </cell>
          <cell r="S2143">
            <v>231012</v>
          </cell>
        </row>
        <row r="2144">
          <cell r="K2144" t="str">
            <v>213022</v>
          </cell>
          <cell r="M2144">
            <v>6</v>
          </cell>
          <cell r="R2144">
            <v>45671</v>
          </cell>
          <cell r="S2144">
            <v>213022</v>
          </cell>
        </row>
        <row r="2145">
          <cell r="K2145" t="str">
            <v>213022</v>
          </cell>
          <cell r="M2145">
            <v>3</v>
          </cell>
          <cell r="R2145">
            <v>45671</v>
          </cell>
          <cell r="S2145">
            <v>213022</v>
          </cell>
        </row>
        <row r="2146">
          <cell r="K2146" t="str">
            <v>217018</v>
          </cell>
          <cell r="M2146">
            <v>3</v>
          </cell>
          <cell r="R2146">
            <v>45672</v>
          </cell>
          <cell r="S2146">
            <v>217018</v>
          </cell>
        </row>
        <row r="2147">
          <cell r="K2147" t="str">
            <v>222001</v>
          </cell>
          <cell r="M2147">
            <v>2</v>
          </cell>
          <cell r="R2147">
            <v>45672</v>
          </cell>
          <cell r="S2147">
            <v>222001</v>
          </cell>
        </row>
        <row r="2148">
          <cell r="K2148" t="str">
            <v>201011</v>
          </cell>
          <cell r="M2148">
            <v>3</v>
          </cell>
          <cell r="R2148">
            <v>45671</v>
          </cell>
          <cell r="S2148">
            <v>201011</v>
          </cell>
        </row>
        <row r="2149">
          <cell r="K2149" t="str">
            <v>201022</v>
          </cell>
          <cell r="M2149">
            <v>2</v>
          </cell>
          <cell r="R2149">
            <v>45671</v>
          </cell>
          <cell r="S2149">
            <v>201022</v>
          </cell>
        </row>
        <row r="2150">
          <cell r="K2150" t="str">
            <v>201011</v>
          </cell>
          <cell r="M2150">
            <v>1</v>
          </cell>
          <cell r="R2150">
            <v>45671</v>
          </cell>
          <cell r="S2150">
            <v>201011</v>
          </cell>
        </row>
        <row r="2151">
          <cell r="K2151" t="str">
            <v>231012</v>
          </cell>
          <cell r="M2151">
            <v>1</v>
          </cell>
          <cell r="R2151">
            <v>45671</v>
          </cell>
          <cell r="S2151">
            <v>231012</v>
          </cell>
        </row>
        <row r="2152">
          <cell r="K2152" t="str">
            <v>213002</v>
          </cell>
          <cell r="M2152">
            <v>4</v>
          </cell>
          <cell r="R2152">
            <v>45671</v>
          </cell>
          <cell r="S2152">
            <v>213002</v>
          </cell>
        </row>
        <row r="2153">
          <cell r="K2153" t="str">
            <v>229001</v>
          </cell>
          <cell r="M2153">
            <v>1</v>
          </cell>
          <cell r="R2153">
            <v>45672</v>
          </cell>
          <cell r="S2153">
            <v>229001</v>
          </cell>
        </row>
        <row r="2154">
          <cell r="K2154" t="str">
            <v>209001</v>
          </cell>
          <cell r="M2154">
            <v>2</v>
          </cell>
          <cell r="R2154">
            <v>45672</v>
          </cell>
          <cell r="S2154">
            <v>209001</v>
          </cell>
        </row>
        <row r="2155">
          <cell r="K2155" t="str">
            <v>231012</v>
          </cell>
          <cell r="M2155">
            <v>1</v>
          </cell>
          <cell r="R2155">
            <v>45672</v>
          </cell>
          <cell r="S2155">
            <v>231012</v>
          </cell>
        </row>
        <row r="2156">
          <cell r="K2156" t="str">
            <v>228001</v>
          </cell>
          <cell r="M2156">
            <v>2</v>
          </cell>
          <cell r="R2156">
            <v>45672</v>
          </cell>
          <cell r="S2156">
            <v>228001</v>
          </cell>
        </row>
        <row r="2157">
          <cell r="K2157" t="str">
            <v>234001</v>
          </cell>
          <cell r="M2157">
            <v>1</v>
          </cell>
          <cell r="R2157">
            <v>45672</v>
          </cell>
          <cell r="S2157">
            <v>234001</v>
          </cell>
        </row>
        <row r="2158">
          <cell r="K2158" t="str">
            <v>210001</v>
          </cell>
          <cell r="M2158">
            <v>1</v>
          </cell>
          <cell r="R2158">
            <v>45672</v>
          </cell>
          <cell r="S2158">
            <v>210001</v>
          </cell>
        </row>
        <row r="2159">
          <cell r="K2159" t="str">
            <v>203003</v>
          </cell>
          <cell r="M2159">
            <v>1</v>
          </cell>
          <cell r="R2159">
            <v>45672</v>
          </cell>
          <cell r="S2159">
            <v>203003</v>
          </cell>
        </row>
        <row r="2160">
          <cell r="K2160" t="str">
            <v>226001</v>
          </cell>
          <cell r="M2160">
            <v>3</v>
          </cell>
          <cell r="R2160">
            <v>45672</v>
          </cell>
          <cell r="S2160">
            <v>226001</v>
          </cell>
        </row>
        <row r="2161">
          <cell r="K2161" t="str">
            <v>213002</v>
          </cell>
          <cell r="M2161">
            <v>2</v>
          </cell>
          <cell r="R2161">
            <v>45672</v>
          </cell>
          <cell r="S2161">
            <v>213002</v>
          </cell>
        </row>
        <row r="2162">
          <cell r="K2162" t="str">
            <v>203001</v>
          </cell>
          <cell r="M2162">
            <v>1</v>
          </cell>
          <cell r="R2162">
            <v>45672</v>
          </cell>
          <cell r="S2162">
            <v>203001</v>
          </cell>
        </row>
        <row r="2163">
          <cell r="K2163" t="str">
            <v>227001</v>
          </cell>
          <cell r="M2163">
            <v>2</v>
          </cell>
          <cell r="R2163">
            <v>45672</v>
          </cell>
          <cell r="S2163">
            <v>227001</v>
          </cell>
        </row>
        <row r="2164">
          <cell r="K2164" t="str">
            <v>223001</v>
          </cell>
          <cell r="M2164">
            <v>1</v>
          </cell>
          <cell r="R2164">
            <v>45672</v>
          </cell>
          <cell r="S2164">
            <v>223001</v>
          </cell>
        </row>
        <row r="2165">
          <cell r="K2165" t="str">
            <v>229001</v>
          </cell>
          <cell r="M2165">
            <v>1</v>
          </cell>
          <cell r="R2165">
            <v>45672</v>
          </cell>
          <cell r="S2165">
            <v>229001</v>
          </cell>
        </row>
        <row r="2166">
          <cell r="K2166" t="str">
            <v>222001</v>
          </cell>
          <cell r="M2166">
            <v>1</v>
          </cell>
          <cell r="R2166">
            <v>45673</v>
          </cell>
          <cell r="S2166">
            <v>222001</v>
          </cell>
        </row>
        <row r="2167">
          <cell r="K2167" t="str">
            <v>212035</v>
          </cell>
          <cell r="M2167">
            <v>1</v>
          </cell>
          <cell r="R2167">
            <v>45673</v>
          </cell>
          <cell r="S2167">
            <v>212035</v>
          </cell>
        </row>
        <row r="2168">
          <cell r="K2168" t="str">
            <v>222007</v>
          </cell>
          <cell r="M2168">
            <v>2</v>
          </cell>
          <cell r="R2168">
            <v>45672</v>
          </cell>
          <cell r="S2168">
            <v>222007</v>
          </cell>
        </row>
        <row r="2169">
          <cell r="K2169" t="str">
            <v>223001</v>
          </cell>
          <cell r="M2169">
            <v>75</v>
          </cell>
          <cell r="R2169">
            <v>45673</v>
          </cell>
          <cell r="S2169">
            <v>223001</v>
          </cell>
        </row>
        <row r="2170">
          <cell r="K2170" t="str">
            <v>223004</v>
          </cell>
          <cell r="M2170">
            <v>38</v>
          </cell>
          <cell r="R2170">
            <v>45673</v>
          </cell>
          <cell r="S2170">
            <v>223004</v>
          </cell>
        </row>
        <row r="2171">
          <cell r="K2171" t="str">
            <v>223005</v>
          </cell>
          <cell r="M2171">
            <v>38</v>
          </cell>
          <cell r="R2171">
            <v>45673</v>
          </cell>
          <cell r="S2171">
            <v>223005</v>
          </cell>
        </row>
        <row r="2172">
          <cell r="K2172" t="str">
            <v>226001</v>
          </cell>
          <cell r="M2172">
            <v>2</v>
          </cell>
          <cell r="R2172">
            <v>45673</v>
          </cell>
          <cell r="S2172">
            <v>226001</v>
          </cell>
        </row>
        <row r="2173">
          <cell r="K2173" t="str">
            <v>201002</v>
          </cell>
          <cell r="M2173">
            <v>6</v>
          </cell>
          <cell r="R2173">
            <v>45673</v>
          </cell>
          <cell r="S2173">
            <v>201002</v>
          </cell>
        </row>
        <row r="2174">
          <cell r="K2174" t="str">
            <v>201002</v>
          </cell>
          <cell r="M2174">
            <v>10</v>
          </cell>
          <cell r="R2174">
            <v>45673</v>
          </cell>
          <cell r="S2174">
            <v>201002</v>
          </cell>
        </row>
        <row r="2175">
          <cell r="K2175" t="str">
            <v>213024</v>
          </cell>
          <cell r="M2175">
            <v>4</v>
          </cell>
          <cell r="R2175">
            <v>45673</v>
          </cell>
          <cell r="S2175">
            <v>213024</v>
          </cell>
        </row>
        <row r="2176">
          <cell r="K2176" t="str">
            <v>201011</v>
          </cell>
          <cell r="M2176">
            <v>6</v>
          </cell>
          <cell r="R2176">
            <v>45673</v>
          </cell>
          <cell r="S2176">
            <v>201011</v>
          </cell>
        </row>
        <row r="2177">
          <cell r="K2177" t="str">
            <v>213002</v>
          </cell>
          <cell r="M2177">
            <v>6</v>
          </cell>
          <cell r="R2177">
            <v>45673</v>
          </cell>
          <cell r="S2177">
            <v>213002</v>
          </cell>
        </row>
        <row r="2178">
          <cell r="K2178" t="str">
            <v>201011</v>
          </cell>
          <cell r="M2178">
            <v>6</v>
          </cell>
          <cell r="R2178">
            <v>45673</v>
          </cell>
          <cell r="S2178">
            <v>201011</v>
          </cell>
        </row>
        <row r="2179">
          <cell r="K2179" t="str">
            <v>237001</v>
          </cell>
          <cell r="M2179">
            <v>2</v>
          </cell>
          <cell r="R2179">
            <v>45673</v>
          </cell>
          <cell r="S2179">
            <v>237001</v>
          </cell>
        </row>
        <row r="2180">
          <cell r="K2180" t="str">
            <v>201011</v>
          </cell>
          <cell r="M2180">
            <v>5</v>
          </cell>
          <cell r="R2180">
            <v>45673</v>
          </cell>
          <cell r="S2180">
            <v>201011</v>
          </cell>
        </row>
        <row r="2181">
          <cell r="K2181" t="str">
            <v>222001</v>
          </cell>
          <cell r="M2181">
            <v>1</v>
          </cell>
          <cell r="R2181">
            <v>45673</v>
          </cell>
          <cell r="S2181">
            <v>222001</v>
          </cell>
        </row>
        <row r="2182">
          <cell r="K2182" t="str">
            <v>201003</v>
          </cell>
          <cell r="M2182">
            <v>6</v>
          </cell>
          <cell r="R2182">
            <v>45673</v>
          </cell>
          <cell r="S2182">
            <v>201003</v>
          </cell>
        </row>
        <row r="2183">
          <cell r="K2183" t="str">
            <v>218001</v>
          </cell>
          <cell r="M2183">
            <v>1</v>
          </cell>
          <cell r="R2183">
            <v>45673</v>
          </cell>
          <cell r="S2183">
            <v>218001</v>
          </cell>
        </row>
        <row r="2184">
          <cell r="K2184" t="str">
            <v>226025</v>
          </cell>
          <cell r="M2184">
            <v>1</v>
          </cell>
          <cell r="R2184">
            <v>45673</v>
          </cell>
          <cell r="S2184">
            <v>226025</v>
          </cell>
        </row>
        <row r="2185">
          <cell r="K2185" t="str">
            <v>223002</v>
          </cell>
          <cell r="M2185">
            <v>2</v>
          </cell>
          <cell r="R2185">
            <v>45673</v>
          </cell>
          <cell r="S2185">
            <v>223002</v>
          </cell>
        </row>
        <row r="2186">
          <cell r="K2186" t="str">
            <v>210002</v>
          </cell>
          <cell r="M2186">
            <v>9</v>
          </cell>
          <cell r="R2186">
            <v>45674</v>
          </cell>
          <cell r="S2186">
            <v>210002</v>
          </cell>
        </row>
        <row r="2187">
          <cell r="K2187" t="str">
            <v>210002</v>
          </cell>
          <cell r="M2187">
            <v>11</v>
          </cell>
          <cell r="R2187">
            <v>45674</v>
          </cell>
          <cell r="S2187">
            <v>210002</v>
          </cell>
        </row>
        <row r="2188">
          <cell r="K2188" t="str">
            <v>213024</v>
          </cell>
          <cell r="M2188">
            <v>1</v>
          </cell>
          <cell r="R2188">
            <v>45673</v>
          </cell>
          <cell r="S2188">
            <v>213024</v>
          </cell>
        </row>
        <row r="2189">
          <cell r="K2189" t="str">
            <v>217019</v>
          </cell>
          <cell r="M2189">
            <v>18</v>
          </cell>
          <cell r="R2189">
            <v>45673</v>
          </cell>
          <cell r="S2189">
            <v>217019</v>
          </cell>
        </row>
        <row r="2190">
          <cell r="K2190" t="str">
            <v>228001</v>
          </cell>
          <cell r="M2190">
            <v>3</v>
          </cell>
          <cell r="R2190">
            <v>45673</v>
          </cell>
          <cell r="S2190">
            <v>228001</v>
          </cell>
        </row>
        <row r="2191">
          <cell r="K2191" t="str">
            <v>201011</v>
          </cell>
          <cell r="M2191">
            <v>18</v>
          </cell>
          <cell r="R2191">
            <v>45674</v>
          </cell>
          <cell r="S2191">
            <v>201011</v>
          </cell>
        </row>
        <row r="2192">
          <cell r="K2192" t="str">
            <v>201003</v>
          </cell>
          <cell r="M2192">
            <v>3</v>
          </cell>
          <cell r="R2192">
            <v>45674</v>
          </cell>
          <cell r="S2192">
            <v>201003</v>
          </cell>
        </row>
        <row r="2193">
          <cell r="K2193" t="str">
            <v>228001</v>
          </cell>
          <cell r="M2193">
            <v>2</v>
          </cell>
          <cell r="R2193">
            <v>45674</v>
          </cell>
          <cell r="S2193">
            <v>228001</v>
          </cell>
        </row>
        <row r="2194">
          <cell r="K2194" t="str">
            <v>213005</v>
          </cell>
          <cell r="M2194">
            <v>1</v>
          </cell>
          <cell r="R2194">
            <v>45674</v>
          </cell>
          <cell r="S2194">
            <v>213005</v>
          </cell>
        </row>
        <row r="2195">
          <cell r="K2195" t="str">
            <v>201011</v>
          </cell>
          <cell r="M2195">
            <v>3</v>
          </cell>
          <cell r="R2195">
            <v>45674</v>
          </cell>
          <cell r="S2195">
            <v>201011</v>
          </cell>
        </row>
        <row r="2196">
          <cell r="K2196" t="str">
            <v>212002</v>
          </cell>
          <cell r="M2196">
            <v>1</v>
          </cell>
          <cell r="R2196">
            <v>45674</v>
          </cell>
          <cell r="S2196">
            <v>212002</v>
          </cell>
        </row>
        <row r="2197">
          <cell r="K2197" t="str">
            <v>212002</v>
          </cell>
          <cell r="M2197">
            <v>1</v>
          </cell>
          <cell r="R2197">
            <v>45674</v>
          </cell>
          <cell r="S2197">
            <v>212002</v>
          </cell>
        </row>
        <row r="2198">
          <cell r="K2198" t="str">
            <v>241001</v>
          </cell>
          <cell r="M2198">
            <v>10</v>
          </cell>
          <cell r="R2198">
            <v>45674</v>
          </cell>
          <cell r="S2198">
            <v>241001</v>
          </cell>
        </row>
        <row r="2199">
          <cell r="K2199" t="str">
            <v>226001</v>
          </cell>
          <cell r="M2199">
            <v>3</v>
          </cell>
          <cell r="R2199">
            <v>45674</v>
          </cell>
          <cell r="S2199">
            <v>226001</v>
          </cell>
        </row>
        <row r="2200">
          <cell r="K2200" t="str">
            <v>223002</v>
          </cell>
          <cell r="M2200">
            <v>2</v>
          </cell>
          <cell r="R2200">
            <v>45674</v>
          </cell>
          <cell r="S2200">
            <v>223002</v>
          </cell>
        </row>
        <row r="2201">
          <cell r="K2201" t="str">
            <v>210010</v>
          </cell>
          <cell r="M2201">
            <v>2</v>
          </cell>
          <cell r="R2201">
            <v>45674</v>
          </cell>
          <cell r="S2201">
            <v>210010</v>
          </cell>
        </row>
        <row r="2202">
          <cell r="K2202" t="str">
            <v>231012</v>
          </cell>
          <cell r="M2202">
            <v>1</v>
          </cell>
          <cell r="R2202">
            <v>45674</v>
          </cell>
          <cell r="S2202">
            <v>231012</v>
          </cell>
        </row>
        <row r="2203">
          <cell r="K2203" t="str">
            <v>222001</v>
          </cell>
          <cell r="M2203">
            <v>1</v>
          </cell>
          <cell r="R2203">
            <v>45674</v>
          </cell>
          <cell r="S2203">
            <v>222001</v>
          </cell>
        </row>
        <row r="2204">
          <cell r="K2204" t="str">
            <v>223002</v>
          </cell>
          <cell r="M2204">
            <v>1</v>
          </cell>
          <cell r="R2204">
            <v>45674</v>
          </cell>
          <cell r="S2204">
            <v>223002</v>
          </cell>
        </row>
        <row r="2205">
          <cell r="K2205" t="str">
            <v>223017</v>
          </cell>
          <cell r="M2205">
            <v>1</v>
          </cell>
          <cell r="R2205">
            <v>45674</v>
          </cell>
          <cell r="S2205">
            <v>223017</v>
          </cell>
        </row>
        <row r="2206">
          <cell r="K2206" t="str">
            <v>213022</v>
          </cell>
          <cell r="M2206">
            <v>2</v>
          </cell>
          <cell r="R2206">
            <v>45674</v>
          </cell>
          <cell r="S2206">
            <v>213022</v>
          </cell>
        </row>
        <row r="2207">
          <cell r="K2207" t="str">
            <v>222001</v>
          </cell>
          <cell r="M2207">
            <v>1</v>
          </cell>
          <cell r="R2207">
            <v>45674</v>
          </cell>
          <cell r="S2207">
            <v>222001</v>
          </cell>
        </row>
        <row r="2208">
          <cell r="K2208" t="str">
            <v>213022</v>
          </cell>
          <cell r="M2208">
            <v>1</v>
          </cell>
          <cell r="R2208">
            <v>45674</v>
          </cell>
          <cell r="S2208">
            <v>213022</v>
          </cell>
        </row>
        <row r="2209">
          <cell r="K2209" t="str">
            <v>213022</v>
          </cell>
          <cell r="M2209">
            <v>1</v>
          </cell>
          <cell r="R2209">
            <v>45674</v>
          </cell>
          <cell r="S2209">
            <v>213022</v>
          </cell>
        </row>
        <row r="2210">
          <cell r="K2210" t="str">
            <v>210001</v>
          </cell>
          <cell r="M2210">
            <v>1</v>
          </cell>
          <cell r="R2210">
            <v>45674</v>
          </cell>
          <cell r="S2210">
            <v>210001</v>
          </cell>
        </row>
        <row r="2211">
          <cell r="K2211" t="str">
            <v>213022</v>
          </cell>
          <cell r="M2211">
            <v>2</v>
          </cell>
          <cell r="R2211">
            <v>45674</v>
          </cell>
          <cell r="S2211">
            <v>213022</v>
          </cell>
        </row>
        <row r="2212">
          <cell r="K2212" t="str">
            <v>222001</v>
          </cell>
          <cell r="M2212">
            <v>2</v>
          </cell>
          <cell r="R2212">
            <v>45674</v>
          </cell>
          <cell r="S2212">
            <v>222001</v>
          </cell>
        </row>
        <row r="2213">
          <cell r="K2213" t="str">
            <v>241001</v>
          </cell>
          <cell r="M2213">
            <v>4</v>
          </cell>
          <cell r="R2213">
            <v>45674</v>
          </cell>
          <cell r="S2213">
            <v>241001</v>
          </cell>
        </row>
        <row r="2214">
          <cell r="K2214" t="str">
            <v>212019</v>
          </cell>
          <cell r="M2214">
            <v>1</v>
          </cell>
          <cell r="R2214">
            <v>45674</v>
          </cell>
          <cell r="S2214">
            <v>212019</v>
          </cell>
        </row>
        <row r="2215">
          <cell r="K2215" t="str">
            <v>222038</v>
          </cell>
          <cell r="M2215">
            <v>4</v>
          </cell>
          <cell r="R2215">
            <v>45674</v>
          </cell>
          <cell r="S2215">
            <v>222038</v>
          </cell>
        </row>
        <row r="2216">
          <cell r="K2216" t="str">
            <v>217002</v>
          </cell>
          <cell r="M2216">
            <v>1</v>
          </cell>
          <cell r="R2216">
            <v>45674</v>
          </cell>
          <cell r="S2216">
            <v>217002</v>
          </cell>
        </row>
        <row r="2217">
          <cell r="K2217" t="str">
            <v>217011</v>
          </cell>
          <cell r="M2217">
            <v>2</v>
          </cell>
          <cell r="R2217">
            <v>45674</v>
          </cell>
          <cell r="S2217">
            <v>217011</v>
          </cell>
        </row>
        <row r="2218">
          <cell r="K2218" t="str">
            <v>201004</v>
          </cell>
          <cell r="M2218">
            <v>1</v>
          </cell>
          <cell r="R2218">
            <v>45674</v>
          </cell>
          <cell r="S2218">
            <v>201004</v>
          </cell>
        </row>
        <row r="2219">
          <cell r="K2219" t="str">
            <v>201003</v>
          </cell>
          <cell r="M2219">
            <v>4</v>
          </cell>
          <cell r="R2219">
            <v>45674</v>
          </cell>
          <cell r="S2219">
            <v>201003</v>
          </cell>
        </row>
        <row r="2220">
          <cell r="K2220" t="str">
            <v>226001</v>
          </cell>
          <cell r="M2220">
            <v>1</v>
          </cell>
          <cell r="R2220">
            <v>45674</v>
          </cell>
          <cell r="S2220">
            <v>226001</v>
          </cell>
        </row>
        <row r="2221">
          <cell r="K2221" t="str">
            <v>231012</v>
          </cell>
          <cell r="M2221">
            <v>2</v>
          </cell>
          <cell r="R2221">
            <v>45674</v>
          </cell>
          <cell r="S2221">
            <v>231012</v>
          </cell>
        </row>
        <row r="2222">
          <cell r="K2222" t="str">
            <v>226025</v>
          </cell>
          <cell r="M2222">
            <v>1</v>
          </cell>
          <cell r="R2222">
            <v>45674</v>
          </cell>
          <cell r="S2222">
            <v>226025</v>
          </cell>
        </row>
        <row r="2223">
          <cell r="K2223" t="str">
            <v>217018</v>
          </cell>
          <cell r="M2223">
            <v>1</v>
          </cell>
          <cell r="R2223">
            <v>45674</v>
          </cell>
          <cell r="S2223">
            <v>217018</v>
          </cell>
        </row>
        <row r="2224">
          <cell r="K2224" t="str">
            <v>213022</v>
          </cell>
          <cell r="M2224">
            <v>3</v>
          </cell>
          <cell r="R2224">
            <v>45674</v>
          </cell>
          <cell r="S2224">
            <v>213022</v>
          </cell>
        </row>
        <row r="2225">
          <cell r="K2225" t="str">
            <v>222001</v>
          </cell>
          <cell r="M2225">
            <v>1</v>
          </cell>
          <cell r="R2225">
            <v>45674</v>
          </cell>
          <cell r="S2225">
            <v>222001</v>
          </cell>
        </row>
        <row r="2226">
          <cell r="K2226" t="str">
            <v>222004</v>
          </cell>
          <cell r="M2226">
            <v>2</v>
          </cell>
          <cell r="R2226">
            <v>45674</v>
          </cell>
          <cell r="S2226">
            <v>222004</v>
          </cell>
        </row>
        <row r="2227">
          <cell r="K2227" t="str">
            <v>222003</v>
          </cell>
          <cell r="M2227">
            <v>2</v>
          </cell>
          <cell r="R2227">
            <v>45674</v>
          </cell>
          <cell r="S2227">
            <v>222003</v>
          </cell>
        </row>
        <row r="2228">
          <cell r="K2228" t="str">
            <v>222038</v>
          </cell>
          <cell r="M2228">
            <v>1</v>
          </cell>
          <cell r="R2228">
            <v>45674</v>
          </cell>
          <cell r="S2228">
            <v>222038</v>
          </cell>
        </row>
        <row r="2229">
          <cell r="K2229" t="str">
            <v>241001</v>
          </cell>
          <cell r="M2229">
            <v>1</v>
          </cell>
          <cell r="R2229">
            <v>45674</v>
          </cell>
          <cell r="S2229">
            <v>241001</v>
          </cell>
        </row>
        <row r="2230">
          <cell r="K2230" t="str">
            <v>228001</v>
          </cell>
          <cell r="M2230">
            <v>1</v>
          </cell>
          <cell r="R2230">
            <v>45674</v>
          </cell>
          <cell r="S2230">
            <v>228001</v>
          </cell>
        </row>
        <row r="2231">
          <cell r="K2231" t="str">
            <v>217011</v>
          </cell>
          <cell r="M2231">
            <v>2</v>
          </cell>
          <cell r="R2231">
            <v>45674</v>
          </cell>
          <cell r="S2231">
            <v>217011</v>
          </cell>
        </row>
        <row r="2232">
          <cell r="K2232" t="str">
            <v>201003</v>
          </cell>
          <cell r="M2232">
            <v>3</v>
          </cell>
          <cell r="R2232">
            <v>45674</v>
          </cell>
          <cell r="S2232">
            <v>201003</v>
          </cell>
        </row>
        <row r="2233">
          <cell r="K2233" t="str">
            <v>241001</v>
          </cell>
          <cell r="M2233">
            <v>1</v>
          </cell>
          <cell r="R2233">
            <v>45674</v>
          </cell>
          <cell r="S2233">
            <v>241001</v>
          </cell>
        </row>
        <row r="2234">
          <cell r="K2234" t="str">
            <v>226001</v>
          </cell>
          <cell r="M2234">
            <v>5</v>
          </cell>
          <cell r="R2234">
            <v>45674</v>
          </cell>
          <cell r="S2234">
            <v>226001</v>
          </cell>
        </row>
        <row r="2235">
          <cell r="K2235" t="str">
            <v>213022</v>
          </cell>
          <cell r="M2235">
            <v>2</v>
          </cell>
          <cell r="R2235">
            <v>45674</v>
          </cell>
          <cell r="S2235">
            <v>213022</v>
          </cell>
        </row>
        <row r="2236">
          <cell r="K2236" t="str">
            <v>222001</v>
          </cell>
          <cell r="M2236">
            <v>2</v>
          </cell>
          <cell r="R2236">
            <v>45674</v>
          </cell>
          <cell r="S2236">
            <v>222001</v>
          </cell>
        </row>
        <row r="2237">
          <cell r="K2237" t="str">
            <v>201011</v>
          </cell>
          <cell r="M2237">
            <v>3</v>
          </cell>
          <cell r="R2237">
            <v>45674</v>
          </cell>
          <cell r="S2237">
            <v>201011</v>
          </cell>
        </row>
        <row r="2238">
          <cell r="K2238" t="str">
            <v>210001</v>
          </cell>
          <cell r="M2238">
            <v>1</v>
          </cell>
          <cell r="R2238">
            <v>45674</v>
          </cell>
          <cell r="S2238">
            <v>210001</v>
          </cell>
        </row>
        <row r="2239">
          <cell r="K2239" t="str">
            <v>217019</v>
          </cell>
          <cell r="M2239">
            <v>1</v>
          </cell>
          <cell r="R2239">
            <v>45674</v>
          </cell>
          <cell r="S2239">
            <v>217019</v>
          </cell>
        </row>
        <row r="2240">
          <cell r="K2240" t="str">
            <v>241001</v>
          </cell>
          <cell r="M2240">
            <v>2</v>
          </cell>
          <cell r="R2240">
            <v>45674</v>
          </cell>
          <cell r="S2240">
            <v>241001</v>
          </cell>
        </row>
        <row r="2241">
          <cell r="K2241" t="str">
            <v>213022</v>
          </cell>
          <cell r="M2241">
            <v>2</v>
          </cell>
          <cell r="R2241">
            <v>45674</v>
          </cell>
          <cell r="S2241">
            <v>213022</v>
          </cell>
        </row>
        <row r="2242">
          <cell r="K2242" t="str">
            <v>201011</v>
          </cell>
          <cell r="M2242">
            <v>3</v>
          </cell>
          <cell r="R2242">
            <v>45674</v>
          </cell>
          <cell r="S2242">
            <v>201011</v>
          </cell>
        </row>
        <row r="2243">
          <cell r="K2243" t="str">
            <v>237001</v>
          </cell>
          <cell r="M2243">
            <v>2</v>
          </cell>
          <cell r="R2243">
            <v>45674</v>
          </cell>
          <cell r="S2243">
            <v>237001</v>
          </cell>
        </row>
        <row r="2244">
          <cell r="K2244" t="str">
            <v>201004</v>
          </cell>
          <cell r="M2244">
            <v>1</v>
          </cell>
          <cell r="R2244">
            <v>45674</v>
          </cell>
          <cell r="S2244">
            <v>201004</v>
          </cell>
        </row>
        <row r="2245">
          <cell r="K2245" t="str">
            <v>231012</v>
          </cell>
          <cell r="M2245">
            <v>6</v>
          </cell>
          <cell r="R2245">
            <v>45674</v>
          </cell>
          <cell r="S2245">
            <v>231012</v>
          </cell>
        </row>
        <row r="2246">
          <cell r="K2246" t="str">
            <v>213002</v>
          </cell>
          <cell r="M2246">
            <v>6</v>
          </cell>
          <cell r="R2246">
            <v>45674</v>
          </cell>
          <cell r="S2246">
            <v>213002</v>
          </cell>
        </row>
        <row r="2247">
          <cell r="K2247" t="str">
            <v>217002</v>
          </cell>
          <cell r="M2247">
            <v>1</v>
          </cell>
          <cell r="R2247">
            <v>45674</v>
          </cell>
          <cell r="S2247">
            <v>217002</v>
          </cell>
        </row>
        <row r="2248">
          <cell r="K2248" t="str">
            <v>226026</v>
          </cell>
          <cell r="M2248">
            <v>1</v>
          </cell>
          <cell r="R2248">
            <v>45674</v>
          </cell>
          <cell r="S2248">
            <v>226026</v>
          </cell>
        </row>
        <row r="2249">
          <cell r="K2249" t="str">
            <v>228001</v>
          </cell>
          <cell r="M2249">
            <v>10</v>
          </cell>
          <cell r="R2249">
            <v>45674</v>
          </cell>
          <cell r="S2249">
            <v>228001</v>
          </cell>
        </row>
        <row r="2250">
          <cell r="K2250" t="str">
            <v>226001</v>
          </cell>
          <cell r="M2250">
            <v>1</v>
          </cell>
          <cell r="R2250">
            <v>45674</v>
          </cell>
          <cell r="S2250">
            <v>226001</v>
          </cell>
        </row>
        <row r="2251">
          <cell r="K2251" t="str">
            <v>213024</v>
          </cell>
          <cell r="M2251">
            <v>1</v>
          </cell>
          <cell r="R2251">
            <v>45674</v>
          </cell>
          <cell r="S2251">
            <v>213024</v>
          </cell>
        </row>
        <row r="2252">
          <cell r="K2252" t="str">
            <v>201011</v>
          </cell>
          <cell r="M2252">
            <v>2</v>
          </cell>
          <cell r="R2252">
            <v>45676</v>
          </cell>
          <cell r="S2252">
            <v>201011</v>
          </cell>
        </row>
        <row r="2253">
          <cell r="K2253" t="str">
            <v>213024</v>
          </cell>
          <cell r="M2253">
            <v>1</v>
          </cell>
          <cell r="R2253">
            <v>45676</v>
          </cell>
          <cell r="S2253">
            <v>213024</v>
          </cell>
        </row>
        <row r="2254">
          <cell r="K2254" t="str">
            <v>241001</v>
          </cell>
          <cell r="M2254">
            <v>1</v>
          </cell>
          <cell r="R2254">
            <v>45674</v>
          </cell>
          <cell r="S2254">
            <v>241001</v>
          </cell>
        </row>
        <row r="2255">
          <cell r="K2255" t="str">
            <v>228001</v>
          </cell>
          <cell r="M2255">
            <v>1</v>
          </cell>
          <cell r="R2255">
            <v>45676</v>
          </cell>
          <cell r="S2255">
            <v>228001</v>
          </cell>
        </row>
        <row r="2256">
          <cell r="K2256" t="str">
            <v>231012</v>
          </cell>
          <cell r="M2256">
            <v>6</v>
          </cell>
          <cell r="R2256">
            <v>45676</v>
          </cell>
          <cell r="S2256">
            <v>231012</v>
          </cell>
        </row>
        <row r="2257">
          <cell r="K2257" t="str">
            <v>223002</v>
          </cell>
          <cell r="M2257">
            <v>1</v>
          </cell>
          <cell r="R2257">
            <v>45676</v>
          </cell>
          <cell r="S2257">
            <v>223002</v>
          </cell>
        </row>
        <row r="2258">
          <cell r="K2258" t="str">
            <v>223001</v>
          </cell>
          <cell r="M2258">
            <v>10</v>
          </cell>
          <cell r="R2258">
            <v>45676</v>
          </cell>
          <cell r="S2258">
            <v>223001</v>
          </cell>
        </row>
        <row r="2259">
          <cell r="K2259" t="str">
            <v>209022</v>
          </cell>
          <cell r="M2259">
            <v>5</v>
          </cell>
          <cell r="R2259">
            <v>45676</v>
          </cell>
          <cell r="S2259">
            <v>209022</v>
          </cell>
        </row>
        <row r="2260">
          <cell r="K2260" t="str">
            <v>217002</v>
          </cell>
          <cell r="M2260">
            <v>1</v>
          </cell>
          <cell r="R2260">
            <v>45676</v>
          </cell>
          <cell r="S2260">
            <v>217002</v>
          </cell>
        </row>
        <row r="2261">
          <cell r="K2261" t="str">
            <v>201011</v>
          </cell>
          <cell r="M2261">
            <v>6</v>
          </cell>
          <cell r="R2261">
            <v>45676</v>
          </cell>
          <cell r="S2261">
            <v>201011</v>
          </cell>
        </row>
        <row r="2262">
          <cell r="K2262" t="str">
            <v>222001</v>
          </cell>
          <cell r="M2262">
            <v>1</v>
          </cell>
          <cell r="R2262">
            <v>45676</v>
          </cell>
          <cell r="S2262">
            <v>222001</v>
          </cell>
        </row>
        <row r="2263">
          <cell r="K2263" t="str">
            <v>241001</v>
          </cell>
          <cell r="M2263">
            <v>4</v>
          </cell>
          <cell r="R2263">
            <v>45677</v>
          </cell>
          <cell r="S2263">
            <v>241001</v>
          </cell>
        </row>
        <row r="2264">
          <cell r="K2264" t="str">
            <v>213022</v>
          </cell>
          <cell r="M2264">
            <v>1</v>
          </cell>
          <cell r="R2264">
            <v>45677</v>
          </cell>
          <cell r="S2264">
            <v>213022</v>
          </cell>
        </row>
        <row r="2265">
          <cell r="K2265" t="str">
            <v>228001</v>
          </cell>
          <cell r="M2265">
            <v>13</v>
          </cell>
          <cell r="R2265">
            <v>45677</v>
          </cell>
          <cell r="S2265">
            <v>228001</v>
          </cell>
        </row>
        <row r="2266">
          <cell r="K2266" t="str">
            <v>210013</v>
          </cell>
          <cell r="M2266">
            <v>2</v>
          </cell>
          <cell r="R2266">
            <v>45677</v>
          </cell>
          <cell r="S2266">
            <v>210013</v>
          </cell>
        </row>
        <row r="2267">
          <cell r="K2267" t="str">
            <v>217018</v>
          </cell>
          <cell r="M2267">
            <v>1</v>
          </cell>
          <cell r="R2267">
            <v>45677</v>
          </cell>
          <cell r="S2267">
            <v>217018</v>
          </cell>
        </row>
        <row r="2268">
          <cell r="K2268" t="str">
            <v>212035</v>
          </cell>
          <cell r="M2268">
            <v>10</v>
          </cell>
          <cell r="R2268">
            <v>45677</v>
          </cell>
          <cell r="S2268">
            <v>212035</v>
          </cell>
        </row>
        <row r="2269">
          <cell r="K2269" t="str">
            <v>203003</v>
          </cell>
          <cell r="M2269">
            <v>5</v>
          </cell>
          <cell r="R2269">
            <v>45677</v>
          </cell>
          <cell r="S2269">
            <v>203003</v>
          </cell>
        </row>
        <row r="2270">
          <cell r="K2270" t="str">
            <v>217018</v>
          </cell>
          <cell r="M2270">
            <v>1</v>
          </cell>
          <cell r="R2270">
            <v>45677</v>
          </cell>
          <cell r="S2270">
            <v>217018</v>
          </cell>
        </row>
        <row r="2271">
          <cell r="K2271" t="str">
            <v>210003</v>
          </cell>
          <cell r="M2271">
            <v>1</v>
          </cell>
          <cell r="R2271">
            <v>45677</v>
          </cell>
          <cell r="S2271">
            <v>210003</v>
          </cell>
        </row>
        <row r="2272">
          <cell r="K2272" t="str">
            <v>213002</v>
          </cell>
          <cell r="M2272">
            <v>1</v>
          </cell>
          <cell r="R2272">
            <v>45677</v>
          </cell>
          <cell r="S2272">
            <v>213002</v>
          </cell>
        </row>
        <row r="2273">
          <cell r="K2273" t="str">
            <v>206002</v>
          </cell>
          <cell r="M2273">
            <v>1</v>
          </cell>
          <cell r="R2273">
            <v>45677</v>
          </cell>
          <cell r="S2273">
            <v>206002</v>
          </cell>
        </row>
        <row r="2274">
          <cell r="K2274" t="str">
            <v>208001</v>
          </cell>
          <cell r="M2274">
            <v>1</v>
          </cell>
          <cell r="R2274">
            <v>45677</v>
          </cell>
          <cell r="S2274">
            <v>208001</v>
          </cell>
        </row>
        <row r="2275">
          <cell r="K2275" t="str">
            <v>210001</v>
          </cell>
          <cell r="M2275">
            <v>1</v>
          </cell>
          <cell r="R2275">
            <v>45677</v>
          </cell>
          <cell r="S2275">
            <v>210001</v>
          </cell>
        </row>
        <row r="2276">
          <cell r="K2276" t="str">
            <v>203003</v>
          </cell>
          <cell r="M2276">
            <v>1</v>
          </cell>
          <cell r="R2276">
            <v>45677</v>
          </cell>
          <cell r="S2276">
            <v>203003</v>
          </cell>
        </row>
        <row r="2277">
          <cell r="K2277" t="str">
            <v>231012</v>
          </cell>
          <cell r="M2277">
            <v>1</v>
          </cell>
          <cell r="R2277">
            <v>45677</v>
          </cell>
          <cell r="S2277">
            <v>231012</v>
          </cell>
        </row>
        <row r="2278">
          <cell r="K2278" t="str">
            <v>228017</v>
          </cell>
          <cell r="M2278">
            <v>1</v>
          </cell>
          <cell r="R2278">
            <v>45677</v>
          </cell>
          <cell r="S2278">
            <v>228017</v>
          </cell>
        </row>
        <row r="2279">
          <cell r="K2279" t="str">
            <v>229004</v>
          </cell>
          <cell r="M2279">
            <v>2</v>
          </cell>
          <cell r="R2279">
            <v>45677</v>
          </cell>
          <cell r="S2279">
            <v>229004</v>
          </cell>
        </row>
        <row r="2280">
          <cell r="K2280" t="str">
            <v>201011</v>
          </cell>
          <cell r="M2280">
            <v>4</v>
          </cell>
          <cell r="R2280">
            <v>45677</v>
          </cell>
          <cell r="S2280">
            <v>201011</v>
          </cell>
        </row>
        <row r="2281">
          <cell r="K2281" t="str">
            <v>231004</v>
          </cell>
          <cell r="M2281">
            <v>1</v>
          </cell>
          <cell r="R2281">
            <v>45677</v>
          </cell>
          <cell r="S2281">
            <v>231004</v>
          </cell>
        </row>
        <row r="2282">
          <cell r="K2282" t="str">
            <v>228001</v>
          </cell>
          <cell r="M2282">
            <v>4</v>
          </cell>
          <cell r="R2282">
            <v>45677</v>
          </cell>
          <cell r="S2282">
            <v>228001</v>
          </cell>
        </row>
        <row r="2283">
          <cell r="K2283" t="str">
            <v>207017</v>
          </cell>
          <cell r="M2283">
            <v>1</v>
          </cell>
          <cell r="R2283">
            <v>45677</v>
          </cell>
          <cell r="S2283">
            <v>207017</v>
          </cell>
        </row>
        <row r="2284">
          <cell r="K2284" t="str">
            <v>203001</v>
          </cell>
          <cell r="M2284">
            <v>1</v>
          </cell>
          <cell r="R2284">
            <v>45677</v>
          </cell>
          <cell r="S2284">
            <v>203001</v>
          </cell>
        </row>
        <row r="2285">
          <cell r="K2285" t="str">
            <v>231012</v>
          </cell>
          <cell r="M2285">
            <v>1</v>
          </cell>
          <cell r="R2285">
            <v>45677</v>
          </cell>
          <cell r="S2285">
            <v>231012</v>
          </cell>
        </row>
        <row r="2286">
          <cell r="K2286" t="str">
            <v>212002</v>
          </cell>
          <cell r="M2286">
            <v>1</v>
          </cell>
          <cell r="R2286">
            <v>45677</v>
          </cell>
          <cell r="S2286">
            <v>212002</v>
          </cell>
        </row>
        <row r="2287">
          <cell r="K2287" t="str">
            <v>209004</v>
          </cell>
          <cell r="M2287">
            <v>1</v>
          </cell>
          <cell r="R2287">
            <v>45677</v>
          </cell>
          <cell r="S2287">
            <v>209004</v>
          </cell>
        </row>
        <row r="2288">
          <cell r="K2288" t="str">
            <v>213022</v>
          </cell>
          <cell r="M2288">
            <v>3</v>
          </cell>
          <cell r="R2288">
            <v>45677</v>
          </cell>
          <cell r="S2288">
            <v>213022</v>
          </cell>
        </row>
        <row r="2289">
          <cell r="K2289" t="str">
            <v>228001</v>
          </cell>
          <cell r="M2289">
            <v>2</v>
          </cell>
          <cell r="R2289">
            <v>45677</v>
          </cell>
          <cell r="S2289">
            <v>228001</v>
          </cell>
        </row>
        <row r="2290">
          <cell r="K2290" t="str">
            <v>207017</v>
          </cell>
          <cell r="M2290">
            <v>2</v>
          </cell>
          <cell r="R2290">
            <v>45677</v>
          </cell>
          <cell r="S2290">
            <v>207017</v>
          </cell>
        </row>
        <row r="2291">
          <cell r="K2291" t="str">
            <v>231012</v>
          </cell>
          <cell r="M2291">
            <v>1</v>
          </cell>
          <cell r="R2291">
            <v>45677</v>
          </cell>
          <cell r="S2291">
            <v>231012</v>
          </cell>
        </row>
        <row r="2292">
          <cell r="K2292" t="str">
            <v>209004</v>
          </cell>
          <cell r="M2292">
            <v>1</v>
          </cell>
          <cell r="R2292">
            <v>45677</v>
          </cell>
          <cell r="S2292">
            <v>209004</v>
          </cell>
        </row>
        <row r="2293">
          <cell r="K2293" t="str">
            <v>228001</v>
          </cell>
          <cell r="M2293">
            <v>1</v>
          </cell>
          <cell r="R2293">
            <v>45677</v>
          </cell>
          <cell r="S2293">
            <v>228001</v>
          </cell>
        </row>
        <row r="2294">
          <cell r="K2294" t="str">
            <v>223001</v>
          </cell>
          <cell r="M2294">
            <v>2</v>
          </cell>
          <cell r="R2294">
            <v>45677</v>
          </cell>
          <cell r="S2294">
            <v>223001</v>
          </cell>
        </row>
        <row r="2295">
          <cell r="K2295" t="str">
            <v>223002</v>
          </cell>
          <cell r="M2295">
            <v>2</v>
          </cell>
          <cell r="R2295">
            <v>45677</v>
          </cell>
          <cell r="S2295">
            <v>223002</v>
          </cell>
        </row>
        <row r="2296">
          <cell r="K2296" t="str">
            <v>228001</v>
          </cell>
          <cell r="M2296">
            <v>10</v>
          </cell>
          <cell r="R2296">
            <v>45677</v>
          </cell>
          <cell r="S2296">
            <v>228001</v>
          </cell>
        </row>
        <row r="2297">
          <cell r="K2297" t="str">
            <v>201011</v>
          </cell>
          <cell r="M2297">
            <v>5</v>
          </cell>
          <cell r="R2297">
            <v>45677</v>
          </cell>
          <cell r="S2297">
            <v>201011</v>
          </cell>
        </row>
        <row r="2298">
          <cell r="K2298" t="str">
            <v>213024</v>
          </cell>
          <cell r="M2298">
            <v>2</v>
          </cell>
          <cell r="R2298">
            <v>45677</v>
          </cell>
          <cell r="S2298">
            <v>213024</v>
          </cell>
        </row>
        <row r="2299">
          <cell r="K2299" t="str">
            <v>217018</v>
          </cell>
          <cell r="M2299">
            <v>8</v>
          </cell>
          <cell r="R2299">
            <v>45677</v>
          </cell>
          <cell r="S2299">
            <v>217018</v>
          </cell>
        </row>
        <row r="2300">
          <cell r="K2300" t="str">
            <v>228001</v>
          </cell>
          <cell r="M2300">
            <v>1</v>
          </cell>
          <cell r="R2300">
            <v>45677</v>
          </cell>
          <cell r="S2300">
            <v>228001</v>
          </cell>
        </row>
        <row r="2301">
          <cell r="K2301" t="str">
            <v>218001</v>
          </cell>
          <cell r="M2301">
            <v>1</v>
          </cell>
          <cell r="R2301">
            <v>45677</v>
          </cell>
          <cell r="S2301">
            <v>218001</v>
          </cell>
        </row>
        <row r="2302">
          <cell r="K2302" t="str">
            <v>203001</v>
          </cell>
          <cell r="M2302">
            <v>1</v>
          </cell>
          <cell r="R2302">
            <v>45677</v>
          </cell>
          <cell r="S2302">
            <v>203001</v>
          </cell>
        </row>
        <row r="2303">
          <cell r="K2303" t="str">
            <v>228001</v>
          </cell>
          <cell r="M2303">
            <v>2</v>
          </cell>
          <cell r="R2303">
            <v>45677</v>
          </cell>
          <cell r="S2303">
            <v>228001</v>
          </cell>
        </row>
        <row r="2304">
          <cell r="K2304" t="str">
            <v>212002</v>
          </cell>
          <cell r="M2304">
            <v>1</v>
          </cell>
          <cell r="R2304">
            <v>45677</v>
          </cell>
          <cell r="S2304">
            <v>212002</v>
          </cell>
        </row>
        <row r="2305">
          <cell r="K2305" t="str">
            <v>207017</v>
          </cell>
          <cell r="M2305">
            <v>1</v>
          </cell>
          <cell r="R2305">
            <v>45677</v>
          </cell>
          <cell r="S2305">
            <v>207017</v>
          </cell>
        </row>
        <row r="2306">
          <cell r="K2306" t="str">
            <v>206002</v>
          </cell>
          <cell r="M2306">
            <v>1</v>
          </cell>
          <cell r="R2306">
            <v>45677</v>
          </cell>
          <cell r="S2306">
            <v>206002</v>
          </cell>
        </row>
        <row r="2307">
          <cell r="K2307" t="str">
            <v>208001</v>
          </cell>
          <cell r="M2307">
            <v>1</v>
          </cell>
          <cell r="R2307">
            <v>45677</v>
          </cell>
          <cell r="S2307">
            <v>208001</v>
          </cell>
        </row>
        <row r="2308">
          <cell r="K2308" t="str">
            <v>210004</v>
          </cell>
          <cell r="M2308">
            <v>1</v>
          </cell>
          <cell r="R2308">
            <v>45677</v>
          </cell>
          <cell r="S2308">
            <v>210004</v>
          </cell>
        </row>
        <row r="2309">
          <cell r="K2309" t="str">
            <v>218001</v>
          </cell>
          <cell r="M2309">
            <v>1</v>
          </cell>
          <cell r="R2309">
            <v>45677</v>
          </cell>
          <cell r="S2309">
            <v>218001</v>
          </cell>
        </row>
        <row r="2310">
          <cell r="K2310" t="str">
            <v>222007</v>
          </cell>
          <cell r="M2310">
            <v>10</v>
          </cell>
          <cell r="R2310">
            <v>45677</v>
          </cell>
          <cell r="S2310">
            <v>222007</v>
          </cell>
        </row>
        <row r="2311">
          <cell r="K2311" t="str">
            <v>212035</v>
          </cell>
          <cell r="M2311">
            <v>3</v>
          </cell>
          <cell r="R2311">
            <v>45677</v>
          </cell>
          <cell r="S2311">
            <v>212035</v>
          </cell>
        </row>
        <row r="2312">
          <cell r="K2312" t="str">
            <v>203001</v>
          </cell>
          <cell r="M2312">
            <v>1</v>
          </cell>
          <cell r="R2312">
            <v>45677</v>
          </cell>
          <cell r="S2312">
            <v>203001</v>
          </cell>
        </row>
        <row r="2313">
          <cell r="K2313" t="str">
            <v>231012</v>
          </cell>
          <cell r="M2313">
            <v>1</v>
          </cell>
          <cell r="R2313">
            <v>45677</v>
          </cell>
          <cell r="S2313">
            <v>231012</v>
          </cell>
        </row>
        <row r="2314">
          <cell r="K2314" t="str">
            <v>218003</v>
          </cell>
          <cell r="M2314">
            <v>1</v>
          </cell>
          <cell r="R2314">
            <v>45677</v>
          </cell>
          <cell r="S2314">
            <v>218003</v>
          </cell>
        </row>
        <row r="2315">
          <cell r="K2315" t="str">
            <v>206002</v>
          </cell>
          <cell r="M2315">
            <v>1</v>
          </cell>
          <cell r="R2315">
            <v>45677</v>
          </cell>
          <cell r="S2315">
            <v>206002</v>
          </cell>
        </row>
        <row r="2316">
          <cell r="K2316" t="str">
            <v>218001</v>
          </cell>
          <cell r="M2316">
            <v>1</v>
          </cell>
          <cell r="R2316">
            <v>45677</v>
          </cell>
          <cell r="S2316">
            <v>218001</v>
          </cell>
        </row>
        <row r="2317">
          <cell r="K2317" t="str">
            <v>201011</v>
          </cell>
          <cell r="M2317">
            <v>2</v>
          </cell>
          <cell r="R2317">
            <v>45677</v>
          </cell>
          <cell r="S2317">
            <v>201011</v>
          </cell>
        </row>
        <row r="2318">
          <cell r="K2318" t="str">
            <v>201002</v>
          </cell>
          <cell r="M2318">
            <v>5</v>
          </cell>
          <cell r="R2318">
            <v>45677</v>
          </cell>
          <cell r="S2318">
            <v>201002</v>
          </cell>
        </row>
        <row r="2319">
          <cell r="K2319" t="str">
            <v>213002</v>
          </cell>
          <cell r="M2319">
            <v>5</v>
          </cell>
          <cell r="R2319">
            <v>45677</v>
          </cell>
          <cell r="S2319">
            <v>213002</v>
          </cell>
        </row>
        <row r="2320">
          <cell r="K2320" t="str">
            <v>201011</v>
          </cell>
          <cell r="M2320">
            <v>1</v>
          </cell>
          <cell r="R2320">
            <v>45677</v>
          </cell>
          <cell r="S2320">
            <v>201011</v>
          </cell>
        </row>
        <row r="2321">
          <cell r="K2321" t="str">
            <v>203003</v>
          </cell>
          <cell r="M2321">
            <v>2</v>
          </cell>
          <cell r="R2321">
            <v>45677</v>
          </cell>
          <cell r="S2321">
            <v>203003</v>
          </cell>
        </row>
        <row r="2322">
          <cell r="K2322" t="str">
            <v>209004</v>
          </cell>
          <cell r="M2322">
            <v>3</v>
          </cell>
          <cell r="R2322">
            <v>45677</v>
          </cell>
          <cell r="S2322">
            <v>209004</v>
          </cell>
        </row>
        <row r="2323">
          <cell r="K2323" t="str">
            <v>217002</v>
          </cell>
          <cell r="M2323">
            <v>1</v>
          </cell>
          <cell r="R2323">
            <v>45677</v>
          </cell>
          <cell r="S2323">
            <v>217002</v>
          </cell>
        </row>
        <row r="2324">
          <cell r="K2324" t="str">
            <v>213002</v>
          </cell>
          <cell r="M2324">
            <v>6</v>
          </cell>
          <cell r="R2324">
            <v>45677</v>
          </cell>
          <cell r="S2324">
            <v>213002</v>
          </cell>
        </row>
        <row r="2325">
          <cell r="K2325" t="str">
            <v>228001</v>
          </cell>
          <cell r="M2325">
            <v>1</v>
          </cell>
          <cell r="R2325">
            <v>45677</v>
          </cell>
          <cell r="S2325">
            <v>228001</v>
          </cell>
        </row>
        <row r="2326">
          <cell r="K2326" t="str">
            <v>213022</v>
          </cell>
          <cell r="M2326">
            <v>2</v>
          </cell>
          <cell r="R2326">
            <v>45677</v>
          </cell>
          <cell r="S2326">
            <v>213022</v>
          </cell>
        </row>
        <row r="2327">
          <cell r="K2327" t="str">
            <v>222001</v>
          </cell>
          <cell r="M2327">
            <v>2</v>
          </cell>
          <cell r="R2327">
            <v>45677</v>
          </cell>
          <cell r="S2327">
            <v>222001</v>
          </cell>
        </row>
        <row r="2328">
          <cell r="K2328" t="str">
            <v>241001</v>
          </cell>
          <cell r="M2328">
            <v>3</v>
          </cell>
          <cell r="R2328">
            <v>45677</v>
          </cell>
          <cell r="S2328">
            <v>241001</v>
          </cell>
        </row>
        <row r="2329">
          <cell r="K2329" t="str">
            <v>217018</v>
          </cell>
          <cell r="M2329">
            <v>3</v>
          </cell>
          <cell r="R2329">
            <v>45677</v>
          </cell>
          <cell r="S2329">
            <v>217018</v>
          </cell>
        </row>
        <row r="2330">
          <cell r="K2330" t="str">
            <v>231012</v>
          </cell>
          <cell r="M2330">
            <v>10</v>
          </cell>
          <cell r="R2330">
            <v>45677</v>
          </cell>
          <cell r="S2330">
            <v>231012</v>
          </cell>
        </row>
        <row r="2331">
          <cell r="K2331" t="str">
            <v>226026</v>
          </cell>
          <cell r="M2331">
            <v>2</v>
          </cell>
          <cell r="R2331">
            <v>45677</v>
          </cell>
          <cell r="S2331">
            <v>226026</v>
          </cell>
        </row>
        <row r="2332">
          <cell r="K2332" t="str">
            <v>210013</v>
          </cell>
          <cell r="M2332">
            <v>1</v>
          </cell>
          <cell r="R2332">
            <v>45677</v>
          </cell>
          <cell r="S2332">
            <v>210013</v>
          </cell>
        </row>
        <row r="2333">
          <cell r="K2333" t="str">
            <v>203004</v>
          </cell>
          <cell r="M2333">
            <v>1</v>
          </cell>
          <cell r="R2333">
            <v>45677</v>
          </cell>
          <cell r="S2333">
            <v>203004</v>
          </cell>
        </row>
        <row r="2334">
          <cell r="K2334" t="str">
            <v>231012</v>
          </cell>
          <cell r="M2334">
            <v>1</v>
          </cell>
          <cell r="R2334">
            <v>45677</v>
          </cell>
          <cell r="S2334">
            <v>231012</v>
          </cell>
        </row>
        <row r="2335">
          <cell r="K2335" t="str">
            <v>226026</v>
          </cell>
          <cell r="M2335">
            <v>15</v>
          </cell>
          <cell r="R2335">
            <v>45677</v>
          </cell>
          <cell r="S2335">
            <v>226026</v>
          </cell>
        </row>
        <row r="2336">
          <cell r="K2336" t="str">
            <v>231012</v>
          </cell>
          <cell r="M2336">
            <v>10</v>
          </cell>
          <cell r="R2336">
            <v>45677</v>
          </cell>
          <cell r="S2336">
            <v>231012</v>
          </cell>
        </row>
        <row r="2337">
          <cell r="K2337" t="str">
            <v>210003</v>
          </cell>
          <cell r="M2337">
            <v>1</v>
          </cell>
          <cell r="R2337">
            <v>45677</v>
          </cell>
          <cell r="S2337">
            <v>210003</v>
          </cell>
        </row>
        <row r="2338">
          <cell r="K2338" t="str">
            <v>201011</v>
          </cell>
          <cell r="M2338">
            <v>3</v>
          </cell>
          <cell r="R2338">
            <v>45677</v>
          </cell>
          <cell r="S2338">
            <v>201011</v>
          </cell>
        </row>
        <row r="2339">
          <cell r="K2339" t="str">
            <v>213022</v>
          </cell>
          <cell r="M2339">
            <v>4</v>
          </cell>
          <cell r="R2339">
            <v>45677</v>
          </cell>
          <cell r="S2339">
            <v>213022</v>
          </cell>
        </row>
        <row r="2340">
          <cell r="K2340" t="str">
            <v>213022</v>
          </cell>
          <cell r="M2340">
            <v>3</v>
          </cell>
          <cell r="R2340">
            <v>45677</v>
          </cell>
          <cell r="S2340">
            <v>213022</v>
          </cell>
        </row>
        <row r="2341">
          <cell r="K2341" t="str">
            <v>229001</v>
          </cell>
          <cell r="M2341">
            <v>1</v>
          </cell>
          <cell r="R2341">
            <v>45677</v>
          </cell>
          <cell r="S2341">
            <v>229001</v>
          </cell>
        </row>
        <row r="2342">
          <cell r="K2342" t="str">
            <v>226001</v>
          </cell>
          <cell r="M2342">
            <v>1</v>
          </cell>
          <cell r="R2342">
            <v>45677</v>
          </cell>
          <cell r="S2342">
            <v>226001</v>
          </cell>
        </row>
        <row r="2343">
          <cell r="K2343" t="str">
            <v>226003</v>
          </cell>
          <cell r="M2343">
            <v>1</v>
          </cell>
          <cell r="R2343">
            <v>45677</v>
          </cell>
          <cell r="S2343">
            <v>226003</v>
          </cell>
        </row>
        <row r="2344">
          <cell r="K2344" t="str">
            <v>226001</v>
          </cell>
          <cell r="M2344">
            <v>1</v>
          </cell>
          <cell r="R2344">
            <v>45677</v>
          </cell>
          <cell r="S2344">
            <v>226001</v>
          </cell>
        </row>
        <row r="2345">
          <cell r="K2345" t="str">
            <v>226001</v>
          </cell>
          <cell r="M2345">
            <v>1</v>
          </cell>
          <cell r="R2345">
            <v>45678</v>
          </cell>
          <cell r="S2345">
            <v>226001</v>
          </cell>
        </row>
        <row r="2346">
          <cell r="K2346" t="str">
            <v>209001</v>
          </cell>
          <cell r="M2346">
            <v>1</v>
          </cell>
          <cell r="R2346">
            <v>45678</v>
          </cell>
          <cell r="S2346">
            <v>209001</v>
          </cell>
        </row>
        <row r="2347">
          <cell r="K2347" t="str">
            <v>209004</v>
          </cell>
          <cell r="M2347">
            <v>1</v>
          </cell>
          <cell r="R2347">
            <v>45678</v>
          </cell>
          <cell r="S2347">
            <v>209004</v>
          </cell>
        </row>
        <row r="2348">
          <cell r="K2348" t="str">
            <v>212019</v>
          </cell>
          <cell r="M2348">
            <v>1</v>
          </cell>
          <cell r="R2348">
            <v>45678</v>
          </cell>
          <cell r="S2348">
            <v>212019</v>
          </cell>
        </row>
        <row r="2349">
          <cell r="K2349" t="str">
            <v>201011</v>
          </cell>
          <cell r="M2349">
            <v>1</v>
          </cell>
          <cell r="R2349">
            <v>45678</v>
          </cell>
          <cell r="S2349">
            <v>201011</v>
          </cell>
        </row>
        <row r="2350">
          <cell r="K2350" t="str">
            <v>231012</v>
          </cell>
          <cell r="M2350">
            <v>1</v>
          </cell>
          <cell r="R2350">
            <v>45678</v>
          </cell>
          <cell r="S2350">
            <v>231012</v>
          </cell>
        </row>
        <row r="2351">
          <cell r="K2351" t="str">
            <v>228001</v>
          </cell>
          <cell r="M2351">
            <v>1</v>
          </cell>
          <cell r="R2351">
            <v>45678</v>
          </cell>
          <cell r="S2351">
            <v>228001</v>
          </cell>
        </row>
        <row r="2352">
          <cell r="K2352" t="str">
            <v>227001</v>
          </cell>
          <cell r="M2352">
            <v>2</v>
          </cell>
          <cell r="R2352">
            <v>45678</v>
          </cell>
          <cell r="S2352">
            <v>227001</v>
          </cell>
        </row>
        <row r="2353">
          <cell r="K2353" t="str">
            <v>226001</v>
          </cell>
          <cell r="M2353">
            <v>8</v>
          </cell>
          <cell r="R2353">
            <v>45678</v>
          </cell>
          <cell r="S2353">
            <v>226001</v>
          </cell>
        </row>
        <row r="2354">
          <cell r="K2354" t="str">
            <v>222001</v>
          </cell>
          <cell r="M2354">
            <v>6</v>
          </cell>
          <cell r="R2354">
            <v>45678</v>
          </cell>
          <cell r="S2354">
            <v>222001</v>
          </cell>
        </row>
        <row r="2355">
          <cell r="K2355" t="str">
            <v>229004</v>
          </cell>
          <cell r="M2355">
            <v>1</v>
          </cell>
          <cell r="R2355">
            <v>45678</v>
          </cell>
          <cell r="S2355">
            <v>229004</v>
          </cell>
        </row>
        <row r="2356">
          <cell r="K2356" t="str">
            <v>229004</v>
          </cell>
          <cell r="M2356">
            <v>1</v>
          </cell>
          <cell r="R2356">
            <v>45678</v>
          </cell>
          <cell r="S2356">
            <v>229004</v>
          </cell>
        </row>
        <row r="2357">
          <cell r="K2357" t="str">
            <v>229004</v>
          </cell>
          <cell r="M2357">
            <v>2</v>
          </cell>
          <cell r="R2357">
            <v>45678</v>
          </cell>
          <cell r="S2357">
            <v>229004</v>
          </cell>
        </row>
        <row r="2358">
          <cell r="K2358" t="str">
            <v>201022</v>
          </cell>
          <cell r="M2358">
            <v>3</v>
          </cell>
          <cell r="R2358">
            <v>45678</v>
          </cell>
          <cell r="S2358">
            <v>201022</v>
          </cell>
        </row>
        <row r="2359">
          <cell r="K2359" t="str">
            <v>201011</v>
          </cell>
          <cell r="M2359">
            <v>3</v>
          </cell>
          <cell r="R2359">
            <v>45678</v>
          </cell>
          <cell r="S2359">
            <v>201011</v>
          </cell>
        </row>
        <row r="2360">
          <cell r="K2360" t="str">
            <v>209001</v>
          </cell>
          <cell r="M2360">
            <v>1</v>
          </cell>
          <cell r="R2360">
            <v>45678</v>
          </cell>
          <cell r="S2360">
            <v>209001</v>
          </cell>
        </row>
        <row r="2361">
          <cell r="K2361" t="str">
            <v>223002</v>
          </cell>
          <cell r="M2361">
            <v>2</v>
          </cell>
          <cell r="R2361">
            <v>45678</v>
          </cell>
          <cell r="S2361">
            <v>223002</v>
          </cell>
        </row>
        <row r="2362">
          <cell r="K2362" t="str">
            <v>223001</v>
          </cell>
          <cell r="M2362">
            <v>1</v>
          </cell>
          <cell r="R2362">
            <v>45678</v>
          </cell>
          <cell r="S2362">
            <v>223001</v>
          </cell>
        </row>
        <row r="2363">
          <cell r="K2363" t="str">
            <v>201011</v>
          </cell>
          <cell r="M2363">
            <v>3</v>
          </cell>
          <cell r="R2363">
            <v>45678</v>
          </cell>
          <cell r="S2363">
            <v>201011</v>
          </cell>
        </row>
        <row r="2364">
          <cell r="K2364" t="str">
            <v>213002</v>
          </cell>
          <cell r="M2364">
            <v>3</v>
          </cell>
          <cell r="R2364">
            <v>45678</v>
          </cell>
          <cell r="S2364">
            <v>213002</v>
          </cell>
        </row>
        <row r="2365">
          <cell r="K2365" t="str">
            <v>222001</v>
          </cell>
          <cell r="M2365">
            <v>1</v>
          </cell>
          <cell r="R2365">
            <v>45678</v>
          </cell>
          <cell r="S2365">
            <v>222001</v>
          </cell>
        </row>
        <row r="2366">
          <cell r="K2366" t="str">
            <v>210001</v>
          </cell>
          <cell r="M2366">
            <v>2</v>
          </cell>
          <cell r="R2366">
            <v>45678</v>
          </cell>
          <cell r="S2366">
            <v>210001</v>
          </cell>
        </row>
        <row r="2367">
          <cell r="K2367" t="str">
            <v>203001</v>
          </cell>
          <cell r="M2367">
            <v>1</v>
          </cell>
          <cell r="R2367">
            <v>45678</v>
          </cell>
          <cell r="S2367">
            <v>203001</v>
          </cell>
        </row>
        <row r="2368">
          <cell r="K2368" t="str">
            <v>217002</v>
          </cell>
          <cell r="M2368">
            <v>1</v>
          </cell>
          <cell r="R2368">
            <v>45678</v>
          </cell>
          <cell r="S2368">
            <v>217002</v>
          </cell>
        </row>
        <row r="2369">
          <cell r="K2369" t="str">
            <v>241001</v>
          </cell>
          <cell r="M2369">
            <v>2</v>
          </cell>
          <cell r="R2369">
            <v>45678</v>
          </cell>
          <cell r="S2369">
            <v>241001</v>
          </cell>
        </row>
        <row r="2370">
          <cell r="K2370" t="str">
            <v>210001</v>
          </cell>
          <cell r="M2370">
            <v>2</v>
          </cell>
          <cell r="R2370">
            <v>45678</v>
          </cell>
          <cell r="S2370">
            <v>210001</v>
          </cell>
        </row>
        <row r="2371">
          <cell r="K2371" t="str">
            <v>203001</v>
          </cell>
          <cell r="M2371">
            <v>1</v>
          </cell>
          <cell r="R2371">
            <v>45678</v>
          </cell>
          <cell r="S2371">
            <v>203001</v>
          </cell>
        </row>
        <row r="2372">
          <cell r="K2372" t="str">
            <v>217002</v>
          </cell>
          <cell r="M2372">
            <v>1</v>
          </cell>
          <cell r="R2372">
            <v>45678</v>
          </cell>
          <cell r="S2372">
            <v>217002</v>
          </cell>
        </row>
        <row r="2373">
          <cell r="K2373" t="str">
            <v>241001</v>
          </cell>
          <cell r="M2373">
            <v>4</v>
          </cell>
          <cell r="R2373">
            <v>45678</v>
          </cell>
          <cell r="S2373">
            <v>241001</v>
          </cell>
        </row>
        <row r="2374">
          <cell r="K2374" t="str">
            <v>210001</v>
          </cell>
          <cell r="M2374">
            <v>2</v>
          </cell>
          <cell r="R2374">
            <v>45678</v>
          </cell>
          <cell r="S2374">
            <v>210001</v>
          </cell>
        </row>
        <row r="2375">
          <cell r="K2375" t="str">
            <v>203001</v>
          </cell>
          <cell r="M2375">
            <v>1</v>
          </cell>
          <cell r="R2375">
            <v>45678</v>
          </cell>
          <cell r="S2375">
            <v>203001</v>
          </cell>
        </row>
        <row r="2376">
          <cell r="K2376" t="str">
            <v>217002</v>
          </cell>
          <cell r="M2376">
            <v>1</v>
          </cell>
          <cell r="R2376">
            <v>45678</v>
          </cell>
          <cell r="S2376">
            <v>217002</v>
          </cell>
        </row>
        <row r="2377">
          <cell r="K2377" t="str">
            <v>241001</v>
          </cell>
          <cell r="M2377">
            <v>4</v>
          </cell>
          <cell r="R2377">
            <v>45678</v>
          </cell>
          <cell r="S2377">
            <v>241001</v>
          </cell>
        </row>
        <row r="2378">
          <cell r="K2378" t="str">
            <v>223001</v>
          </cell>
          <cell r="M2378">
            <v>16</v>
          </cell>
          <cell r="R2378">
            <v>45678</v>
          </cell>
          <cell r="S2378">
            <v>223001</v>
          </cell>
        </row>
        <row r="2379">
          <cell r="K2379" t="str">
            <v>241001</v>
          </cell>
          <cell r="M2379">
            <v>6</v>
          </cell>
          <cell r="R2379">
            <v>45678</v>
          </cell>
          <cell r="S2379">
            <v>241001</v>
          </cell>
        </row>
        <row r="2380">
          <cell r="K2380" t="str">
            <v>201011</v>
          </cell>
          <cell r="M2380">
            <v>3</v>
          </cell>
          <cell r="R2380">
            <v>45678</v>
          </cell>
          <cell r="S2380">
            <v>201011</v>
          </cell>
        </row>
        <row r="2381">
          <cell r="K2381" t="str">
            <v>241001</v>
          </cell>
          <cell r="M2381">
            <v>2</v>
          </cell>
          <cell r="R2381">
            <v>45678</v>
          </cell>
          <cell r="S2381">
            <v>241001</v>
          </cell>
        </row>
        <row r="2382">
          <cell r="K2382" t="str">
            <v>226001</v>
          </cell>
          <cell r="M2382">
            <v>1</v>
          </cell>
          <cell r="R2382">
            <v>45678</v>
          </cell>
          <cell r="S2382">
            <v>226001</v>
          </cell>
        </row>
        <row r="2383">
          <cell r="K2383" t="str">
            <v>213002</v>
          </cell>
          <cell r="M2383">
            <v>2</v>
          </cell>
          <cell r="R2383">
            <v>45679</v>
          </cell>
          <cell r="S2383">
            <v>213002</v>
          </cell>
        </row>
        <row r="2384">
          <cell r="K2384" t="str">
            <v>241001</v>
          </cell>
          <cell r="M2384">
            <v>1</v>
          </cell>
          <cell r="R2384">
            <v>45679</v>
          </cell>
          <cell r="S2384">
            <v>241001</v>
          </cell>
        </row>
        <row r="2385">
          <cell r="K2385" t="str">
            <v>213022</v>
          </cell>
          <cell r="M2385">
            <v>1</v>
          </cell>
          <cell r="R2385">
            <v>45679</v>
          </cell>
          <cell r="S2385">
            <v>213022</v>
          </cell>
        </row>
        <row r="2386">
          <cell r="K2386" t="str">
            <v>210010</v>
          </cell>
          <cell r="M2386">
            <v>1</v>
          </cell>
          <cell r="R2386">
            <v>45679</v>
          </cell>
          <cell r="S2386">
            <v>210010</v>
          </cell>
        </row>
        <row r="2387">
          <cell r="K2387" t="str">
            <v>207017</v>
          </cell>
          <cell r="M2387">
            <v>1</v>
          </cell>
          <cell r="R2387">
            <v>45679</v>
          </cell>
          <cell r="S2387">
            <v>207017</v>
          </cell>
        </row>
        <row r="2388">
          <cell r="K2388" t="str">
            <v>201011</v>
          </cell>
          <cell r="M2388">
            <v>7</v>
          </cell>
          <cell r="R2388">
            <v>45679</v>
          </cell>
          <cell r="S2388">
            <v>201011</v>
          </cell>
        </row>
        <row r="2389">
          <cell r="K2389" t="str">
            <v>223001</v>
          </cell>
          <cell r="M2389">
            <v>40</v>
          </cell>
          <cell r="R2389">
            <v>45679</v>
          </cell>
          <cell r="S2389">
            <v>223001</v>
          </cell>
        </row>
        <row r="2390">
          <cell r="K2390" t="str">
            <v>213022</v>
          </cell>
          <cell r="M2390">
            <v>4</v>
          </cell>
          <cell r="R2390">
            <v>45679</v>
          </cell>
          <cell r="S2390">
            <v>213022</v>
          </cell>
        </row>
        <row r="2391">
          <cell r="K2391" t="str">
            <v>201011</v>
          </cell>
          <cell r="M2391">
            <v>36</v>
          </cell>
          <cell r="R2391">
            <v>45679</v>
          </cell>
          <cell r="S2391">
            <v>201011</v>
          </cell>
        </row>
        <row r="2392">
          <cell r="K2392" t="str">
            <v>201011</v>
          </cell>
          <cell r="M2392">
            <v>4</v>
          </cell>
          <cell r="R2392">
            <v>45679</v>
          </cell>
          <cell r="S2392">
            <v>201011</v>
          </cell>
        </row>
        <row r="2393">
          <cell r="K2393" t="str">
            <v>227002</v>
          </cell>
          <cell r="M2393">
            <v>1</v>
          </cell>
          <cell r="R2393">
            <v>45679</v>
          </cell>
          <cell r="S2393">
            <v>227002</v>
          </cell>
        </row>
        <row r="2394">
          <cell r="K2394" t="str">
            <v>223002</v>
          </cell>
          <cell r="M2394">
            <v>1</v>
          </cell>
          <cell r="R2394">
            <v>45679</v>
          </cell>
          <cell r="S2394">
            <v>223002</v>
          </cell>
        </row>
        <row r="2395">
          <cell r="K2395" t="str">
            <v>201011</v>
          </cell>
          <cell r="M2395">
            <v>1</v>
          </cell>
          <cell r="R2395">
            <v>45679</v>
          </cell>
          <cell r="S2395">
            <v>201011</v>
          </cell>
        </row>
        <row r="2396">
          <cell r="K2396" t="str">
            <v>226028</v>
          </cell>
          <cell r="M2396">
            <v>2</v>
          </cell>
          <cell r="R2396">
            <v>45679</v>
          </cell>
          <cell r="S2396">
            <v>226028</v>
          </cell>
        </row>
        <row r="2397">
          <cell r="K2397" t="str">
            <v>223002</v>
          </cell>
          <cell r="M2397">
            <v>3</v>
          </cell>
          <cell r="R2397">
            <v>45679</v>
          </cell>
          <cell r="S2397">
            <v>223002</v>
          </cell>
        </row>
        <row r="2398">
          <cell r="K2398" t="str">
            <v>217011</v>
          </cell>
          <cell r="M2398">
            <v>1</v>
          </cell>
          <cell r="R2398">
            <v>45679</v>
          </cell>
          <cell r="S2398">
            <v>217011</v>
          </cell>
        </row>
        <row r="2399">
          <cell r="K2399" t="str">
            <v>231012</v>
          </cell>
          <cell r="M2399">
            <v>1</v>
          </cell>
          <cell r="R2399">
            <v>45680</v>
          </cell>
          <cell r="S2399">
            <v>231012</v>
          </cell>
        </row>
        <row r="2400">
          <cell r="K2400" t="str">
            <v>210014</v>
          </cell>
          <cell r="M2400">
            <v>1</v>
          </cell>
          <cell r="R2400">
            <v>45680</v>
          </cell>
          <cell r="S2400">
            <v>210014</v>
          </cell>
        </row>
        <row r="2401">
          <cell r="K2401" t="str">
            <v>213022</v>
          </cell>
          <cell r="M2401">
            <v>2</v>
          </cell>
          <cell r="R2401">
            <v>45680</v>
          </cell>
          <cell r="S2401">
            <v>213022</v>
          </cell>
        </row>
        <row r="2402">
          <cell r="K2402" t="str">
            <v>201011</v>
          </cell>
          <cell r="M2402">
            <v>6</v>
          </cell>
          <cell r="R2402">
            <v>45680</v>
          </cell>
          <cell r="S2402">
            <v>201011</v>
          </cell>
        </row>
        <row r="2403">
          <cell r="K2403" t="str">
            <v>222001</v>
          </cell>
          <cell r="M2403">
            <v>1</v>
          </cell>
          <cell r="R2403">
            <v>45680</v>
          </cell>
          <cell r="S2403">
            <v>222001</v>
          </cell>
        </row>
        <row r="2404">
          <cell r="K2404" t="str">
            <v>213022</v>
          </cell>
          <cell r="M2404">
            <v>4</v>
          </cell>
          <cell r="R2404">
            <v>45680</v>
          </cell>
          <cell r="S2404">
            <v>213022</v>
          </cell>
        </row>
        <row r="2405">
          <cell r="K2405" t="str">
            <v>222001</v>
          </cell>
          <cell r="M2405">
            <v>1</v>
          </cell>
          <cell r="R2405">
            <v>45680</v>
          </cell>
          <cell r="S2405">
            <v>222001</v>
          </cell>
        </row>
        <row r="2406">
          <cell r="K2406" t="str">
            <v>222004</v>
          </cell>
          <cell r="M2406">
            <v>2</v>
          </cell>
          <cell r="R2406">
            <v>45680</v>
          </cell>
          <cell r="S2406">
            <v>222004</v>
          </cell>
        </row>
        <row r="2407">
          <cell r="K2407" t="str">
            <v>222003</v>
          </cell>
          <cell r="M2407">
            <v>2</v>
          </cell>
          <cell r="R2407">
            <v>45680</v>
          </cell>
          <cell r="S2407">
            <v>222003</v>
          </cell>
        </row>
        <row r="2408">
          <cell r="K2408" t="str">
            <v>222038</v>
          </cell>
          <cell r="M2408">
            <v>1</v>
          </cell>
          <cell r="R2408">
            <v>45680</v>
          </cell>
          <cell r="S2408">
            <v>222038</v>
          </cell>
        </row>
        <row r="2409">
          <cell r="K2409" t="str">
            <v>241001</v>
          </cell>
          <cell r="M2409">
            <v>2</v>
          </cell>
          <cell r="R2409">
            <v>45680</v>
          </cell>
          <cell r="S2409">
            <v>241001</v>
          </cell>
        </row>
        <row r="2410">
          <cell r="K2410" t="str">
            <v>201005</v>
          </cell>
          <cell r="M2410">
            <v>1</v>
          </cell>
          <cell r="R2410">
            <v>45680</v>
          </cell>
          <cell r="S2410">
            <v>201005</v>
          </cell>
        </row>
        <row r="2411">
          <cell r="K2411" t="str">
            <v>231006</v>
          </cell>
          <cell r="M2411">
            <v>1</v>
          </cell>
          <cell r="R2411">
            <v>45680</v>
          </cell>
          <cell r="S2411">
            <v>231006</v>
          </cell>
        </row>
        <row r="2412">
          <cell r="K2412" t="str">
            <v>226001</v>
          </cell>
          <cell r="M2412">
            <v>7</v>
          </cell>
          <cell r="R2412">
            <v>45680</v>
          </cell>
          <cell r="S2412">
            <v>226001</v>
          </cell>
        </row>
        <row r="2413">
          <cell r="K2413" t="str">
            <v>213024</v>
          </cell>
          <cell r="M2413">
            <v>4</v>
          </cell>
          <cell r="R2413">
            <v>45680</v>
          </cell>
          <cell r="S2413">
            <v>213024</v>
          </cell>
        </row>
        <row r="2414">
          <cell r="K2414" t="str">
            <v>228001</v>
          </cell>
          <cell r="M2414">
            <v>5</v>
          </cell>
          <cell r="R2414">
            <v>45680</v>
          </cell>
          <cell r="S2414">
            <v>228001</v>
          </cell>
        </row>
        <row r="2415">
          <cell r="K2415" t="str">
            <v>228001</v>
          </cell>
          <cell r="M2415">
            <v>6</v>
          </cell>
          <cell r="R2415">
            <v>45680</v>
          </cell>
          <cell r="S2415">
            <v>228001</v>
          </cell>
        </row>
        <row r="2416">
          <cell r="K2416" t="str">
            <v>231012</v>
          </cell>
          <cell r="M2416">
            <v>8</v>
          </cell>
          <cell r="R2416">
            <v>45680</v>
          </cell>
          <cell r="S2416">
            <v>231012</v>
          </cell>
        </row>
        <row r="2417">
          <cell r="K2417" t="str">
            <v>213022</v>
          </cell>
          <cell r="M2417">
            <v>1</v>
          </cell>
          <cell r="R2417">
            <v>45680</v>
          </cell>
          <cell r="S2417">
            <v>213022</v>
          </cell>
        </row>
        <row r="2418">
          <cell r="K2418" t="str">
            <v>213005</v>
          </cell>
          <cell r="M2418">
            <v>1</v>
          </cell>
          <cell r="R2418">
            <v>45680</v>
          </cell>
          <cell r="S2418">
            <v>213005</v>
          </cell>
        </row>
        <row r="2419">
          <cell r="K2419" t="str">
            <v>228001</v>
          </cell>
          <cell r="M2419">
            <v>5</v>
          </cell>
          <cell r="R2419">
            <v>45680</v>
          </cell>
          <cell r="S2419">
            <v>228001</v>
          </cell>
        </row>
        <row r="2420">
          <cell r="K2420" t="str">
            <v>201011</v>
          </cell>
          <cell r="M2420">
            <v>1</v>
          </cell>
          <cell r="R2420">
            <v>45680</v>
          </cell>
          <cell r="S2420">
            <v>201011</v>
          </cell>
        </row>
        <row r="2421">
          <cell r="K2421" t="str">
            <v>223002</v>
          </cell>
          <cell r="M2421">
            <v>6</v>
          </cell>
          <cell r="R2421">
            <v>45680</v>
          </cell>
          <cell r="S2421">
            <v>223002</v>
          </cell>
        </row>
        <row r="2422">
          <cell r="K2422" t="str">
            <v>229001</v>
          </cell>
          <cell r="M2422">
            <v>1</v>
          </cell>
          <cell r="R2422">
            <v>45680</v>
          </cell>
          <cell r="S2422">
            <v>229001</v>
          </cell>
        </row>
        <row r="2423">
          <cell r="K2423" t="str">
            <v>231012</v>
          </cell>
          <cell r="M2423">
            <v>1</v>
          </cell>
          <cell r="R2423">
            <v>45680</v>
          </cell>
          <cell r="S2423">
            <v>231012</v>
          </cell>
        </row>
        <row r="2424">
          <cell r="K2424" t="str">
            <v>226026</v>
          </cell>
          <cell r="M2424">
            <v>1</v>
          </cell>
          <cell r="R2424">
            <v>45680</v>
          </cell>
          <cell r="S2424">
            <v>226026</v>
          </cell>
        </row>
        <row r="2425">
          <cell r="K2425" t="str">
            <v>227013</v>
          </cell>
          <cell r="M2425">
            <v>1</v>
          </cell>
          <cell r="R2425">
            <v>45680</v>
          </cell>
          <cell r="S2425">
            <v>227013</v>
          </cell>
        </row>
        <row r="2426">
          <cell r="K2426" t="str">
            <v>213003</v>
          </cell>
          <cell r="M2426">
            <v>119</v>
          </cell>
          <cell r="R2426">
            <v>45680</v>
          </cell>
          <cell r="S2426">
            <v>213003</v>
          </cell>
        </row>
        <row r="2427">
          <cell r="K2427" t="str">
            <v>223002</v>
          </cell>
          <cell r="M2427">
            <v>2</v>
          </cell>
          <cell r="R2427">
            <v>45680</v>
          </cell>
          <cell r="S2427">
            <v>223002</v>
          </cell>
        </row>
        <row r="2428">
          <cell r="K2428" t="str">
            <v>227002</v>
          </cell>
          <cell r="M2428">
            <v>1</v>
          </cell>
          <cell r="R2428">
            <v>45680</v>
          </cell>
          <cell r="S2428">
            <v>227002</v>
          </cell>
        </row>
        <row r="2429">
          <cell r="K2429" t="str">
            <v>213024</v>
          </cell>
          <cell r="M2429">
            <v>1</v>
          </cell>
          <cell r="R2429">
            <v>45680</v>
          </cell>
          <cell r="S2429">
            <v>213024</v>
          </cell>
        </row>
        <row r="2430">
          <cell r="K2430" t="str">
            <v>201002</v>
          </cell>
          <cell r="M2430">
            <v>1</v>
          </cell>
          <cell r="R2430">
            <v>45680</v>
          </cell>
          <cell r="S2430">
            <v>201002</v>
          </cell>
        </row>
        <row r="2431">
          <cell r="K2431" t="str">
            <v>201011</v>
          </cell>
          <cell r="M2431">
            <v>1</v>
          </cell>
          <cell r="R2431">
            <v>45680</v>
          </cell>
          <cell r="S2431">
            <v>201011</v>
          </cell>
        </row>
        <row r="2432">
          <cell r="K2432" t="str">
            <v>223001</v>
          </cell>
          <cell r="M2432">
            <v>2</v>
          </cell>
          <cell r="R2432">
            <v>45680</v>
          </cell>
          <cell r="S2432">
            <v>223001</v>
          </cell>
        </row>
        <row r="2433">
          <cell r="K2433" t="str">
            <v>201011</v>
          </cell>
          <cell r="M2433">
            <v>36</v>
          </cell>
          <cell r="R2433">
            <v>45680</v>
          </cell>
          <cell r="S2433">
            <v>201011</v>
          </cell>
        </row>
        <row r="2434">
          <cell r="K2434" t="str">
            <v>223002</v>
          </cell>
          <cell r="M2434">
            <v>5</v>
          </cell>
          <cell r="R2434">
            <v>45680</v>
          </cell>
          <cell r="S2434">
            <v>223002</v>
          </cell>
        </row>
        <row r="2435">
          <cell r="K2435" t="str">
            <v>213024</v>
          </cell>
          <cell r="M2435">
            <v>1</v>
          </cell>
          <cell r="R2435">
            <v>45680</v>
          </cell>
          <cell r="S2435">
            <v>213024</v>
          </cell>
        </row>
        <row r="2436">
          <cell r="K2436" t="str">
            <v>213022</v>
          </cell>
          <cell r="M2436">
            <v>2</v>
          </cell>
          <cell r="R2436">
            <v>45680</v>
          </cell>
          <cell r="S2436">
            <v>213022</v>
          </cell>
        </row>
        <row r="2437">
          <cell r="K2437" t="str">
            <v>227002</v>
          </cell>
          <cell r="M2437">
            <v>1</v>
          </cell>
          <cell r="R2437">
            <v>45680</v>
          </cell>
          <cell r="S2437">
            <v>227002</v>
          </cell>
        </row>
        <row r="2438">
          <cell r="K2438" t="str">
            <v>217002</v>
          </cell>
          <cell r="M2438">
            <v>1</v>
          </cell>
          <cell r="R2438">
            <v>45680</v>
          </cell>
          <cell r="S2438">
            <v>217002</v>
          </cell>
        </row>
        <row r="2439">
          <cell r="K2439" t="str">
            <v>201004</v>
          </cell>
          <cell r="M2439">
            <v>1</v>
          </cell>
          <cell r="R2439">
            <v>45680</v>
          </cell>
          <cell r="S2439">
            <v>201004</v>
          </cell>
        </row>
        <row r="2440">
          <cell r="K2440" t="str">
            <v>229004</v>
          </cell>
          <cell r="M2440">
            <v>1</v>
          </cell>
          <cell r="R2440">
            <v>45680</v>
          </cell>
          <cell r="S2440">
            <v>229004</v>
          </cell>
        </row>
        <row r="2441">
          <cell r="K2441" t="str">
            <v>231012</v>
          </cell>
          <cell r="M2441">
            <v>1</v>
          </cell>
          <cell r="R2441">
            <v>45680</v>
          </cell>
          <cell r="S2441">
            <v>231012</v>
          </cell>
        </row>
        <row r="2442">
          <cell r="K2442" t="str">
            <v>212002</v>
          </cell>
          <cell r="M2442">
            <v>1</v>
          </cell>
          <cell r="R2442">
            <v>45680</v>
          </cell>
          <cell r="S2442">
            <v>212002</v>
          </cell>
        </row>
        <row r="2443">
          <cell r="K2443" t="str">
            <v>213024</v>
          </cell>
          <cell r="M2443">
            <v>1</v>
          </cell>
          <cell r="R2443">
            <v>45680</v>
          </cell>
          <cell r="S2443">
            <v>213024</v>
          </cell>
        </row>
        <row r="2444">
          <cell r="K2444" t="str">
            <v>209001</v>
          </cell>
          <cell r="M2444">
            <v>1</v>
          </cell>
          <cell r="R2444">
            <v>45680</v>
          </cell>
          <cell r="S2444">
            <v>209001</v>
          </cell>
        </row>
        <row r="2445">
          <cell r="K2445" t="str">
            <v>201011</v>
          </cell>
          <cell r="M2445">
            <v>4</v>
          </cell>
          <cell r="R2445">
            <v>45680</v>
          </cell>
          <cell r="S2445">
            <v>201011</v>
          </cell>
        </row>
        <row r="2446">
          <cell r="K2446" t="str">
            <v>228001</v>
          </cell>
          <cell r="M2446">
            <v>3</v>
          </cell>
          <cell r="R2446">
            <v>45680</v>
          </cell>
          <cell r="S2446">
            <v>228001</v>
          </cell>
        </row>
        <row r="2447">
          <cell r="K2447" t="str">
            <v>231012</v>
          </cell>
          <cell r="M2447">
            <v>1</v>
          </cell>
          <cell r="R2447">
            <v>45680</v>
          </cell>
          <cell r="S2447">
            <v>231012</v>
          </cell>
        </row>
        <row r="2448">
          <cell r="K2448" t="str">
            <v>210004</v>
          </cell>
          <cell r="M2448">
            <v>1</v>
          </cell>
          <cell r="R2448">
            <v>45680</v>
          </cell>
          <cell r="S2448">
            <v>210004</v>
          </cell>
        </row>
        <row r="2449">
          <cell r="K2449" t="str">
            <v>213022</v>
          </cell>
          <cell r="M2449">
            <v>1</v>
          </cell>
          <cell r="R2449">
            <v>45681</v>
          </cell>
          <cell r="S2449">
            <v>213022</v>
          </cell>
        </row>
        <row r="2450">
          <cell r="K2450" t="str">
            <v>222001</v>
          </cell>
          <cell r="M2450">
            <v>2</v>
          </cell>
          <cell r="R2450">
            <v>45681</v>
          </cell>
          <cell r="S2450">
            <v>222001</v>
          </cell>
        </row>
        <row r="2451">
          <cell r="K2451" t="str">
            <v>222038</v>
          </cell>
          <cell r="M2451">
            <v>4</v>
          </cell>
          <cell r="R2451">
            <v>45681</v>
          </cell>
          <cell r="S2451">
            <v>222038</v>
          </cell>
        </row>
        <row r="2452">
          <cell r="K2452" t="str">
            <v>201009</v>
          </cell>
          <cell r="M2452">
            <v>8</v>
          </cell>
          <cell r="R2452">
            <v>45681</v>
          </cell>
          <cell r="S2452">
            <v>201009</v>
          </cell>
        </row>
        <row r="2453">
          <cell r="K2453" t="str">
            <v>213022</v>
          </cell>
          <cell r="M2453">
            <v>4</v>
          </cell>
          <cell r="R2453">
            <v>45681</v>
          </cell>
          <cell r="S2453">
            <v>213022</v>
          </cell>
        </row>
        <row r="2454">
          <cell r="K2454" t="str">
            <v>222001</v>
          </cell>
          <cell r="M2454">
            <v>2</v>
          </cell>
          <cell r="R2454">
            <v>45681</v>
          </cell>
          <cell r="S2454">
            <v>222001</v>
          </cell>
        </row>
        <row r="2455">
          <cell r="K2455" t="str">
            <v>213022</v>
          </cell>
          <cell r="M2455">
            <v>1</v>
          </cell>
          <cell r="R2455">
            <v>45681</v>
          </cell>
          <cell r="S2455">
            <v>213022</v>
          </cell>
        </row>
        <row r="2456">
          <cell r="K2456" t="str">
            <v>210013</v>
          </cell>
          <cell r="M2456">
            <v>1</v>
          </cell>
          <cell r="R2456">
            <v>45681</v>
          </cell>
          <cell r="S2456">
            <v>210013</v>
          </cell>
        </row>
        <row r="2457">
          <cell r="K2457" t="str">
            <v>201011</v>
          </cell>
          <cell r="M2457">
            <v>3</v>
          </cell>
          <cell r="R2457">
            <v>45681</v>
          </cell>
          <cell r="S2457">
            <v>201011</v>
          </cell>
        </row>
        <row r="2458">
          <cell r="K2458" t="str">
            <v>226027</v>
          </cell>
          <cell r="M2458">
            <v>2</v>
          </cell>
          <cell r="R2458">
            <v>45681</v>
          </cell>
          <cell r="S2458">
            <v>226027</v>
          </cell>
        </row>
        <row r="2459">
          <cell r="K2459" t="str">
            <v>223001</v>
          </cell>
          <cell r="M2459">
            <v>113</v>
          </cell>
          <cell r="R2459">
            <v>45681</v>
          </cell>
          <cell r="S2459">
            <v>223001</v>
          </cell>
        </row>
        <row r="2460">
          <cell r="K2460" t="str">
            <v>228001</v>
          </cell>
          <cell r="M2460">
            <v>10</v>
          </cell>
          <cell r="R2460">
            <v>45681</v>
          </cell>
          <cell r="S2460">
            <v>228001</v>
          </cell>
        </row>
        <row r="2461">
          <cell r="K2461" t="str">
            <v>203001</v>
          </cell>
          <cell r="M2461">
            <v>5</v>
          </cell>
          <cell r="R2461">
            <v>45681</v>
          </cell>
          <cell r="S2461">
            <v>203001</v>
          </cell>
        </row>
        <row r="2462">
          <cell r="K2462" t="str">
            <v>213022</v>
          </cell>
          <cell r="M2462">
            <v>4</v>
          </cell>
          <cell r="R2462">
            <v>45681</v>
          </cell>
          <cell r="S2462">
            <v>213022</v>
          </cell>
        </row>
        <row r="2463">
          <cell r="K2463" t="str">
            <v>213002</v>
          </cell>
          <cell r="M2463">
            <v>1</v>
          </cell>
          <cell r="R2463">
            <v>45683</v>
          </cell>
          <cell r="S2463">
            <v>213002</v>
          </cell>
        </row>
        <row r="2464">
          <cell r="K2464" t="str">
            <v>203001</v>
          </cell>
          <cell r="M2464">
            <v>2</v>
          </cell>
          <cell r="R2464">
            <v>45683</v>
          </cell>
          <cell r="S2464">
            <v>203001</v>
          </cell>
        </row>
        <row r="2465">
          <cell r="K2465" t="str">
            <v>231012</v>
          </cell>
          <cell r="M2465">
            <v>8</v>
          </cell>
          <cell r="R2465">
            <v>45683</v>
          </cell>
          <cell r="S2465">
            <v>231012</v>
          </cell>
        </row>
        <row r="2466">
          <cell r="K2466" t="str">
            <v>223002</v>
          </cell>
          <cell r="M2466">
            <v>1</v>
          </cell>
          <cell r="R2466">
            <v>45683</v>
          </cell>
          <cell r="S2466">
            <v>223002</v>
          </cell>
        </row>
        <row r="2467">
          <cell r="K2467" t="str">
            <v>223001</v>
          </cell>
          <cell r="M2467">
            <v>10</v>
          </cell>
          <cell r="R2467">
            <v>45683</v>
          </cell>
          <cell r="S2467">
            <v>223001</v>
          </cell>
        </row>
        <row r="2468">
          <cell r="K2468" t="str">
            <v>227012</v>
          </cell>
          <cell r="M2468">
            <v>1</v>
          </cell>
          <cell r="R2468">
            <v>45683</v>
          </cell>
          <cell r="S2468">
            <v>227012</v>
          </cell>
        </row>
        <row r="2469">
          <cell r="K2469" t="str">
            <v>213002</v>
          </cell>
          <cell r="M2469">
            <v>10</v>
          </cell>
          <cell r="R2469">
            <v>45684</v>
          </cell>
          <cell r="S2469">
            <v>213002</v>
          </cell>
        </row>
        <row r="2470">
          <cell r="K2470" t="str">
            <v>201011</v>
          </cell>
          <cell r="M2470">
            <v>1</v>
          </cell>
          <cell r="R2470">
            <v>45684</v>
          </cell>
          <cell r="S2470">
            <v>201011</v>
          </cell>
        </row>
        <row r="2471">
          <cell r="K2471" t="str">
            <v>209001</v>
          </cell>
          <cell r="M2471">
            <v>2</v>
          </cell>
          <cell r="R2471">
            <v>45684</v>
          </cell>
          <cell r="S2471">
            <v>209001</v>
          </cell>
        </row>
        <row r="2472">
          <cell r="K2472" t="str">
            <v>210014</v>
          </cell>
          <cell r="M2472">
            <v>1</v>
          </cell>
          <cell r="R2472">
            <v>45684</v>
          </cell>
          <cell r="S2472">
            <v>210014</v>
          </cell>
        </row>
        <row r="2473">
          <cell r="K2473" t="str">
            <v>228001</v>
          </cell>
          <cell r="M2473">
            <v>5</v>
          </cell>
          <cell r="R2473">
            <v>45684</v>
          </cell>
          <cell r="S2473">
            <v>228001</v>
          </cell>
        </row>
        <row r="2474">
          <cell r="K2474" t="str">
            <v>241001</v>
          </cell>
          <cell r="M2474">
            <v>6</v>
          </cell>
          <cell r="R2474">
            <v>45684</v>
          </cell>
          <cell r="S2474">
            <v>241001</v>
          </cell>
        </row>
        <row r="2475">
          <cell r="K2475" t="str">
            <v>222001</v>
          </cell>
          <cell r="M2475">
            <v>1</v>
          </cell>
          <cell r="R2475">
            <v>45684</v>
          </cell>
          <cell r="S2475">
            <v>222001</v>
          </cell>
        </row>
        <row r="2476">
          <cell r="K2476" t="str">
            <v>209001</v>
          </cell>
          <cell r="M2476">
            <v>1</v>
          </cell>
          <cell r="R2476">
            <v>45684</v>
          </cell>
          <cell r="S2476">
            <v>209001</v>
          </cell>
        </row>
        <row r="2477">
          <cell r="K2477" t="str">
            <v>223002</v>
          </cell>
          <cell r="M2477">
            <v>2</v>
          </cell>
          <cell r="R2477">
            <v>45684</v>
          </cell>
          <cell r="S2477">
            <v>223002</v>
          </cell>
        </row>
        <row r="2478">
          <cell r="K2478" t="str">
            <v>227001</v>
          </cell>
          <cell r="M2478">
            <v>2</v>
          </cell>
          <cell r="R2478">
            <v>45684</v>
          </cell>
          <cell r="S2478">
            <v>227001</v>
          </cell>
        </row>
        <row r="2479">
          <cell r="K2479" t="str">
            <v>213024</v>
          </cell>
          <cell r="M2479">
            <v>2</v>
          </cell>
          <cell r="R2479">
            <v>45684</v>
          </cell>
          <cell r="S2479">
            <v>213024</v>
          </cell>
        </row>
        <row r="2480">
          <cell r="K2480" t="str">
            <v>213002</v>
          </cell>
          <cell r="M2480">
            <v>6</v>
          </cell>
          <cell r="R2480">
            <v>45684</v>
          </cell>
          <cell r="S2480">
            <v>213002</v>
          </cell>
        </row>
        <row r="2481">
          <cell r="K2481" t="str">
            <v>231012</v>
          </cell>
          <cell r="M2481">
            <v>1</v>
          </cell>
          <cell r="R2481">
            <v>45684</v>
          </cell>
          <cell r="S2481">
            <v>231012</v>
          </cell>
        </row>
        <row r="2482">
          <cell r="K2482" t="str">
            <v>201011</v>
          </cell>
          <cell r="M2482">
            <v>2</v>
          </cell>
          <cell r="R2482">
            <v>45684</v>
          </cell>
          <cell r="S2482">
            <v>201011</v>
          </cell>
        </row>
        <row r="2483">
          <cell r="K2483" t="str">
            <v>203003</v>
          </cell>
          <cell r="M2483">
            <v>2</v>
          </cell>
          <cell r="R2483">
            <v>45684</v>
          </cell>
          <cell r="S2483">
            <v>203003</v>
          </cell>
        </row>
        <row r="2484">
          <cell r="K2484" t="str">
            <v>231012</v>
          </cell>
          <cell r="M2484">
            <v>1</v>
          </cell>
          <cell r="R2484">
            <v>45684</v>
          </cell>
          <cell r="S2484">
            <v>231012</v>
          </cell>
        </row>
        <row r="2485">
          <cell r="K2485" t="str">
            <v>203003</v>
          </cell>
          <cell r="M2485">
            <v>5</v>
          </cell>
          <cell r="R2485">
            <v>45684</v>
          </cell>
          <cell r="S2485">
            <v>203003</v>
          </cell>
        </row>
        <row r="2486">
          <cell r="K2486" t="str">
            <v>213024</v>
          </cell>
          <cell r="M2486">
            <v>1</v>
          </cell>
          <cell r="R2486">
            <v>45684</v>
          </cell>
          <cell r="S2486">
            <v>213024</v>
          </cell>
        </row>
        <row r="2487">
          <cell r="K2487" t="str">
            <v>217018</v>
          </cell>
          <cell r="M2487">
            <v>2</v>
          </cell>
          <cell r="R2487">
            <v>45684</v>
          </cell>
          <cell r="S2487">
            <v>217018</v>
          </cell>
        </row>
        <row r="2488">
          <cell r="K2488" t="str">
            <v>231004</v>
          </cell>
          <cell r="M2488">
            <v>1</v>
          </cell>
          <cell r="R2488">
            <v>45684</v>
          </cell>
          <cell r="S2488">
            <v>231004</v>
          </cell>
        </row>
        <row r="2489">
          <cell r="K2489" t="str">
            <v>231012</v>
          </cell>
          <cell r="M2489">
            <v>1</v>
          </cell>
          <cell r="R2489">
            <v>45684</v>
          </cell>
          <cell r="S2489">
            <v>231012</v>
          </cell>
        </row>
        <row r="2490">
          <cell r="K2490" t="str">
            <v>201011</v>
          </cell>
          <cell r="M2490">
            <v>6</v>
          </cell>
          <cell r="R2490">
            <v>45684</v>
          </cell>
          <cell r="S2490">
            <v>201011</v>
          </cell>
        </row>
        <row r="2491">
          <cell r="K2491" t="str">
            <v>228001</v>
          </cell>
          <cell r="M2491">
            <v>6</v>
          </cell>
          <cell r="R2491">
            <v>45684</v>
          </cell>
          <cell r="S2491">
            <v>228001</v>
          </cell>
        </row>
        <row r="2492">
          <cell r="K2492" t="str">
            <v>207017</v>
          </cell>
          <cell r="M2492">
            <v>1</v>
          </cell>
          <cell r="R2492">
            <v>45684</v>
          </cell>
          <cell r="S2492">
            <v>207017</v>
          </cell>
        </row>
        <row r="2493">
          <cell r="K2493" t="str">
            <v>228001</v>
          </cell>
          <cell r="M2493">
            <v>1</v>
          </cell>
          <cell r="R2493">
            <v>45684</v>
          </cell>
          <cell r="S2493">
            <v>228001</v>
          </cell>
        </row>
        <row r="2494">
          <cell r="K2494" t="str">
            <v>228001</v>
          </cell>
          <cell r="M2494">
            <v>3</v>
          </cell>
          <cell r="R2494">
            <v>45684</v>
          </cell>
          <cell r="S2494">
            <v>228001</v>
          </cell>
        </row>
        <row r="2495">
          <cell r="K2495" t="str">
            <v>231012</v>
          </cell>
          <cell r="M2495">
            <v>1</v>
          </cell>
          <cell r="R2495">
            <v>45684</v>
          </cell>
          <cell r="S2495">
            <v>231012</v>
          </cell>
        </row>
        <row r="2496">
          <cell r="K2496" t="str">
            <v>209004</v>
          </cell>
          <cell r="M2496">
            <v>1</v>
          </cell>
          <cell r="R2496">
            <v>45684</v>
          </cell>
          <cell r="S2496">
            <v>209004</v>
          </cell>
        </row>
        <row r="2497">
          <cell r="K2497" t="str">
            <v>207017</v>
          </cell>
          <cell r="M2497">
            <v>1</v>
          </cell>
          <cell r="R2497">
            <v>45684</v>
          </cell>
          <cell r="S2497">
            <v>207017</v>
          </cell>
        </row>
        <row r="2498">
          <cell r="K2498" t="str">
            <v>223001</v>
          </cell>
          <cell r="M2498">
            <v>3</v>
          </cell>
          <cell r="R2498">
            <v>45684</v>
          </cell>
          <cell r="S2498">
            <v>223001</v>
          </cell>
        </row>
        <row r="2499">
          <cell r="K2499" t="str">
            <v>223002</v>
          </cell>
          <cell r="M2499">
            <v>3</v>
          </cell>
          <cell r="R2499">
            <v>45684</v>
          </cell>
          <cell r="S2499">
            <v>223002</v>
          </cell>
        </row>
        <row r="2500">
          <cell r="K2500" t="str">
            <v>229004</v>
          </cell>
          <cell r="M2500">
            <v>4</v>
          </cell>
          <cell r="R2500">
            <v>45684</v>
          </cell>
          <cell r="S2500">
            <v>229004</v>
          </cell>
        </row>
        <row r="2501">
          <cell r="K2501" t="str">
            <v>213022</v>
          </cell>
          <cell r="M2501">
            <v>3</v>
          </cell>
          <cell r="R2501">
            <v>45684</v>
          </cell>
          <cell r="S2501">
            <v>213022</v>
          </cell>
        </row>
        <row r="2502">
          <cell r="K2502" t="str">
            <v>228001</v>
          </cell>
          <cell r="M2502">
            <v>15</v>
          </cell>
          <cell r="R2502">
            <v>45684</v>
          </cell>
          <cell r="S2502">
            <v>228001</v>
          </cell>
        </row>
        <row r="2503">
          <cell r="K2503" t="str">
            <v>213002</v>
          </cell>
          <cell r="M2503">
            <v>5</v>
          </cell>
          <cell r="R2503">
            <v>45684</v>
          </cell>
          <cell r="S2503">
            <v>213002</v>
          </cell>
        </row>
        <row r="2504">
          <cell r="K2504" t="str">
            <v>228001</v>
          </cell>
          <cell r="M2504">
            <v>3</v>
          </cell>
          <cell r="R2504">
            <v>45684</v>
          </cell>
          <cell r="S2504">
            <v>228001</v>
          </cell>
        </row>
        <row r="2505">
          <cell r="K2505" t="str">
            <v>212002</v>
          </cell>
          <cell r="M2505">
            <v>1</v>
          </cell>
          <cell r="R2505">
            <v>45684</v>
          </cell>
          <cell r="S2505">
            <v>212002</v>
          </cell>
        </row>
        <row r="2506">
          <cell r="K2506" t="str">
            <v>209004</v>
          </cell>
          <cell r="M2506">
            <v>1</v>
          </cell>
          <cell r="R2506">
            <v>45684</v>
          </cell>
          <cell r="S2506">
            <v>209004</v>
          </cell>
        </row>
        <row r="2507">
          <cell r="K2507" t="str">
            <v>201011</v>
          </cell>
          <cell r="M2507">
            <v>1</v>
          </cell>
          <cell r="R2507">
            <v>45684</v>
          </cell>
          <cell r="S2507">
            <v>201011</v>
          </cell>
        </row>
        <row r="2508">
          <cell r="K2508" t="str">
            <v>201009</v>
          </cell>
          <cell r="M2508">
            <v>1</v>
          </cell>
          <cell r="R2508">
            <v>45684</v>
          </cell>
          <cell r="S2508">
            <v>201009</v>
          </cell>
        </row>
        <row r="2509">
          <cell r="K2509" t="str">
            <v>210001</v>
          </cell>
          <cell r="M2509">
            <v>1</v>
          </cell>
          <cell r="R2509">
            <v>45684</v>
          </cell>
          <cell r="S2509">
            <v>210001</v>
          </cell>
        </row>
        <row r="2510">
          <cell r="K2510" t="str">
            <v>210003</v>
          </cell>
          <cell r="M2510">
            <v>1</v>
          </cell>
          <cell r="R2510">
            <v>45684</v>
          </cell>
          <cell r="S2510">
            <v>210003</v>
          </cell>
        </row>
        <row r="2511">
          <cell r="K2511" t="str">
            <v>231012</v>
          </cell>
          <cell r="M2511">
            <v>1</v>
          </cell>
          <cell r="R2511">
            <v>45684</v>
          </cell>
          <cell r="S2511">
            <v>231012</v>
          </cell>
        </row>
        <row r="2512">
          <cell r="K2512" t="str">
            <v>201011</v>
          </cell>
          <cell r="M2512">
            <v>1</v>
          </cell>
          <cell r="R2512">
            <v>45684</v>
          </cell>
          <cell r="S2512">
            <v>201011</v>
          </cell>
        </row>
        <row r="2513">
          <cell r="K2513" t="str">
            <v>228001</v>
          </cell>
          <cell r="M2513">
            <v>1</v>
          </cell>
          <cell r="R2513">
            <v>45684</v>
          </cell>
          <cell r="S2513">
            <v>228001</v>
          </cell>
        </row>
        <row r="2514">
          <cell r="K2514" t="str">
            <v>213002</v>
          </cell>
          <cell r="M2514">
            <v>6</v>
          </cell>
          <cell r="R2514">
            <v>45684</v>
          </cell>
          <cell r="S2514">
            <v>213002</v>
          </cell>
        </row>
        <row r="2515">
          <cell r="K2515" t="str">
            <v>228001</v>
          </cell>
          <cell r="M2515">
            <v>1</v>
          </cell>
          <cell r="R2515">
            <v>45684</v>
          </cell>
          <cell r="S2515">
            <v>228001</v>
          </cell>
        </row>
        <row r="2516">
          <cell r="K2516" t="str">
            <v>210014</v>
          </cell>
          <cell r="M2516">
            <v>3</v>
          </cell>
          <cell r="R2516">
            <v>45684</v>
          </cell>
          <cell r="S2516">
            <v>210014</v>
          </cell>
        </row>
        <row r="2517">
          <cell r="K2517" t="str">
            <v>213022</v>
          </cell>
          <cell r="M2517">
            <v>2</v>
          </cell>
          <cell r="R2517">
            <v>45684</v>
          </cell>
          <cell r="S2517">
            <v>213022</v>
          </cell>
        </row>
        <row r="2518">
          <cell r="K2518" t="str">
            <v>222001</v>
          </cell>
          <cell r="M2518">
            <v>2</v>
          </cell>
          <cell r="R2518">
            <v>45684</v>
          </cell>
          <cell r="S2518">
            <v>222001</v>
          </cell>
        </row>
        <row r="2519">
          <cell r="K2519" t="str">
            <v>241001</v>
          </cell>
          <cell r="M2519">
            <v>1</v>
          </cell>
          <cell r="R2519">
            <v>45684</v>
          </cell>
          <cell r="S2519">
            <v>241001</v>
          </cell>
        </row>
        <row r="2520">
          <cell r="K2520" t="str">
            <v>228001</v>
          </cell>
          <cell r="M2520">
            <v>14</v>
          </cell>
          <cell r="R2520">
            <v>45684</v>
          </cell>
          <cell r="S2520">
            <v>228001</v>
          </cell>
        </row>
        <row r="2521">
          <cell r="K2521" t="str">
            <v>217011</v>
          </cell>
          <cell r="M2521">
            <v>2</v>
          </cell>
          <cell r="R2521">
            <v>45684</v>
          </cell>
          <cell r="S2521">
            <v>217011</v>
          </cell>
        </row>
        <row r="2522">
          <cell r="K2522" t="str">
            <v>226026</v>
          </cell>
          <cell r="M2522">
            <v>2</v>
          </cell>
          <cell r="R2522">
            <v>45684</v>
          </cell>
          <cell r="S2522">
            <v>226026</v>
          </cell>
        </row>
        <row r="2523">
          <cell r="K2523" t="str">
            <v>201004</v>
          </cell>
          <cell r="M2523">
            <v>1</v>
          </cell>
          <cell r="R2523">
            <v>45684</v>
          </cell>
          <cell r="S2523">
            <v>201004</v>
          </cell>
        </row>
        <row r="2524">
          <cell r="K2524" t="str">
            <v>201005</v>
          </cell>
          <cell r="M2524">
            <v>2</v>
          </cell>
          <cell r="R2524">
            <v>45684</v>
          </cell>
          <cell r="S2524">
            <v>201005</v>
          </cell>
        </row>
        <row r="2525">
          <cell r="K2525" t="str">
            <v>217018</v>
          </cell>
          <cell r="M2525">
            <v>1</v>
          </cell>
          <cell r="R2525">
            <v>45684</v>
          </cell>
          <cell r="S2525">
            <v>217018</v>
          </cell>
        </row>
        <row r="2526">
          <cell r="K2526" t="str">
            <v>213022</v>
          </cell>
          <cell r="M2526">
            <v>3</v>
          </cell>
          <cell r="R2526">
            <v>45684</v>
          </cell>
          <cell r="S2526">
            <v>213022</v>
          </cell>
        </row>
        <row r="2527">
          <cell r="K2527" t="str">
            <v>213022</v>
          </cell>
          <cell r="M2527">
            <v>1</v>
          </cell>
          <cell r="R2527">
            <v>45684</v>
          </cell>
          <cell r="S2527">
            <v>213022</v>
          </cell>
        </row>
        <row r="2528">
          <cell r="K2528" t="str">
            <v>213022</v>
          </cell>
          <cell r="M2528">
            <v>1</v>
          </cell>
          <cell r="R2528">
            <v>45684</v>
          </cell>
          <cell r="S2528">
            <v>213022</v>
          </cell>
        </row>
        <row r="2529">
          <cell r="K2529" t="str">
            <v>213022</v>
          </cell>
          <cell r="M2529">
            <v>8</v>
          </cell>
          <cell r="R2529">
            <v>45684</v>
          </cell>
          <cell r="S2529">
            <v>213022</v>
          </cell>
        </row>
        <row r="2530">
          <cell r="K2530" t="str">
            <v>213022</v>
          </cell>
          <cell r="M2530">
            <v>3</v>
          </cell>
          <cell r="R2530">
            <v>45684</v>
          </cell>
          <cell r="S2530">
            <v>213022</v>
          </cell>
        </row>
        <row r="2531">
          <cell r="K2531" t="str">
            <v>213002</v>
          </cell>
          <cell r="M2531">
            <v>3</v>
          </cell>
          <cell r="R2531">
            <v>45684</v>
          </cell>
          <cell r="S2531">
            <v>213002</v>
          </cell>
        </row>
        <row r="2532">
          <cell r="K2532" t="str">
            <v>217019</v>
          </cell>
          <cell r="M2532">
            <v>1</v>
          </cell>
          <cell r="R2532">
            <v>45684</v>
          </cell>
          <cell r="S2532">
            <v>217019</v>
          </cell>
        </row>
        <row r="2533">
          <cell r="K2533" t="str">
            <v>228001</v>
          </cell>
          <cell r="M2533">
            <v>1</v>
          </cell>
          <cell r="R2533">
            <v>45684</v>
          </cell>
          <cell r="S2533">
            <v>228001</v>
          </cell>
        </row>
        <row r="2534">
          <cell r="K2534" t="str">
            <v>217011</v>
          </cell>
          <cell r="M2534">
            <v>2</v>
          </cell>
          <cell r="R2534">
            <v>45684</v>
          </cell>
          <cell r="S2534">
            <v>217011</v>
          </cell>
        </row>
        <row r="2535">
          <cell r="K2535" t="str">
            <v>201003</v>
          </cell>
          <cell r="M2535">
            <v>4</v>
          </cell>
          <cell r="R2535">
            <v>45684</v>
          </cell>
          <cell r="S2535">
            <v>201003</v>
          </cell>
        </row>
        <row r="2536">
          <cell r="K2536" t="str">
            <v>241001</v>
          </cell>
          <cell r="M2536">
            <v>2</v>
          </cell>
          <cell r="R2536">
            <v>45684</v>
          </cell>
          <cell r="S2536">
            <v>241001</v>
          </cell>
        </row>
        <row r="2537">
          <cell r="K2537" t="str">
            <v>231012</v>
          </cell>
          <cell r="M2537">
            <v>1</v>
          </cell>
          <cell r="R2537">
            <v>45684</v>
          </cell>
          <cell r="S2537">
            <v>231012</v>
          </cell>
        </row>
        <row r="2538">
          <cell r="K2538" t="str">
            <v>201011</v>
          </cell>
          <cell r="M2538">
            <v>10</v>
          </cell>
          <cell r="R2538">
            <v>45684</v>
          </cell>
          <cell r="S2538">
            <v>201011</v>
          </cell>
        </row>
        <row r="2539">
          <cell r="K2539" t="str">
            <v>226022</v>
          </cell>
          <cell r="M2539">
            <v>1</v>
          </cell>
          <cell r="R2539">
            <v>45684</v>
          </cell>
          <cell r="S2539">
            <v>226022</v>
          </cell>
        </row>
        <row r="2540">
          <cell r="K2540" t="str">
            <v>226001</v>
          </cell>
          <cell r="M2540">
            <v>1</v>
          </cell>
          <cell r="R2540">
            <v>45684</v>
          </cell>
          <cell r="S2540">
            <v>226001</v>
          </cell>
        </row>
        <row r="2541">
          <cell r="K2541" t="str">
            <v>217018</v>
          </cell>
          <cell r="M2541">
            <v>3</v>
          </cell>
          <cell r="R2541">
            <v>45684</v>
          </cell>
          <cell r="S2541">
            <v>217018</v>
          </cell>
        </row>
        <row r="2542">
          <cell r="K2542" t="str">
            <v>226026</v>
          </cell>
          <cell r="M2542">
            <v>1</v>
          </cell>
          <cell r="R2542">
            <v>45684</v>
          </cell>
          <cell r="S2542">
            <v>226026</v>
          </cell>
        </row>
        <row r="2543">
          <cell r="K2543" t="str">
            <v>231012</v>
          </cell>
          <cell r="M2543">
            <v>1</v>
          </cell>
          <cell r="R2543">
            <v>45684</v>
          </cell>
          <cell r="S2543">
            <v>231012</v>
          </cell>
        </row>
        <row r="2544">
          <cell r="K2544" t="str">
            <v>209004</v>
          </cell>
          <cell r="M2544">
            <v>1</v>
          </cell>
          <cell r="R2544">
            <v>45684</v>
          </cell>
          <cell r="S2544">
            <v>209004</v>
          </cell>
        </row>
        <row r="2545">
          <cell r="K2545" t="str">
            <v>223002</v>
          </cell>
          <cell r="M2545">
            <v>1</v>
          </cell>
          <cell r="R2545">
            <v>45684</v>
          </cell>
          <cell r="S2545">
            <v>223002</v>
          </cell>
        </row>
        <row r="2546">
          <cell r="K2546" t="str">
            <v>223001</v>
          </cell>
          <cell r="M2546">
            <v>1</v>
          </cell>
          <cell r="R2546">
            <v>45684</v>
          </cell>
          <cell r="S2546">
            <v>223001</v>
          </cell>
        </row>
        <row r="2547">
          <cell r="K2547" t="str">
            <v>201011</v>
          </cell>
          <cell r="M2547">
            <v>6</v>
          </cell>
          <cell r="R2547">
            <v>45684</v>
          </cell>
          <cell r="S2547">
            <v>201011</v>
          </cell>
        </row>
        <row r="2548">
          <cell r="K2548" t="str">
            <v>217018</v>
          </cell>
          <cell r="M2548">
            <v>3</v>
          </cell>
          <cell r="R2548">
            <v>45684</v>
          </cell>
          <cell r="S2548">
            <v>217018</v>
          </cell>
        </row>
        <row r="2549">
          <cell r="K2549" t="str">
            <v>241001</v>
          </cell>
          <cell r="M2549">
            <v>4</v>
          </cell>
          <cell r="R2549">
            <v>45684</v>
          </cell>
          <cell r="S2549">
            <v>241001</v>
          </cell>
        </row>
        <row r="2550">
          <cell r="K2550" t="str">
            <v>213022</v>
          </cell>
          <cell r="M2550">
            <v>1</v>
          </cell>
          <cell r="R2550">
            <v>45684</v>
          </cell>
          <cell r="S2550">
            <v>213022</v>
          </cell>
        </row>
        <row r="2551">
          <cell r="K2551" t="str">
            <v>227002</v>
          </cell>
          <cell r="M2551">
            <v>2</v>
          </cell>
          <cell r="R2551">
            <v>45685</v>
          </cell>
          <cell r="S2551">
            <v>227002</v>
          </cell>
        </row>
        <row r="2552">
          <cell r="K2552" t="str">
            <v>210013</v>
          </cell>
          <cell r="M2552">
            <v>3</v>
          </cell>
          <cell r="R2552">
            <v>45685</v>
          </cell>
          <cell r="S2552">
            <v>210013</v>
          </cell>
        </row>
        <row r="2553">
          <cell r="K2553" t="str">
            <v>201011</v>
          </cell>
          <cell r="M2553">
            <v>36</v>
          </cell>
          <cell r="R2553">
            <v>45685</v>
          </cell>
          <cell r="S2553">
            <v>201011</v>
          </cell>
        </row>
        <row r="2554">
          <cell r="K2554" t="str">
            <v>203001</v>
          </cell>
          <cell r="M2554">
            <v>4</v>
          </cell>
          <cell r="R2554">
            <v>45685</v>
          </cell>
          <cell r="S2554">
            <v>203001</v>
          </cell>
        </row>
        <row r="2555">
          <cell r="K2555" t="str">
            <v>213024</v>
          </cell>
          <cell r="M2555">
            <v>2</v>
          </cell>
          <cell r="R2555">
            <v>45685</v>
          </cell>
          <cell r="S2555">
            <v>213024</v>
          </cell>
        </row>
        <row r="2556">
          <cell r="K2556" t="str">
            <v>229001</v>
          </cell>
          <cell r="M2556">
            <v>3</v>
          </cell>
          <cell r="R2556">
            <v>45685</v>
          </cell>
          <cell r="S2556">
            <v>229001</v>
          </cell>
        </row>
        <row r="2557">
          <cell r="K2557" t="str">
            <v>226024</v>
          </cell>
          <cell r="M2557">
            <v>1</v>
          </cell>
          <cell r="R2557">
            <v>45685</v>
          </cell>
          <cell r="S2557">
            <v>226024</v>
          </cell>
        </row>
        <row r="2558">
          <cell r="K2558" t="str">
            <v>217018</v>
          </cell>
          <cell r="M2558">
            <v>1</v>
          </cell>
          <cell r="R2558">
            <v>45685</v>
          </cell>
          <cell r="S2558">
            <v>217018</v>
          </cell>
        </row>
        <row r="2559">
          <cell r="K2559" t="str">
            <v>213022</v>
          </cell>
          <cell r="M2559">
            <v>8</v>
          </cell>
          <cell r="R2559">
            <v>45685</v>
          </cell>
          <cell r="S2559">
            <v>213022</v>
          </cell>
        </row>
        <row r="2560">
          <cell r="K2560" t="str">
            <v>201011</v>
          </cell>
          <cell r="M2560">
            <v>10</v>
          </cell>
          <cell r="R2560">
            <v>45685</v>
          </cell>
          <cell r="S2560">
            <v>201011</v>
          </cell>
        </row>
        <row r="2561">
          <cell r="K2561" t="str">
            <v>201002</v>
          </cell>
          <cell r="M2561">
            <v>2</v>
          </cell>
          <cell r="R2561">
            <v>45685</v>
          </cell>
          <cell r="S2561">
            <v>201002</v>
          </cell>
        </row>
        <row r="2562">
          <cell r="K2562" t="str">
            <v>207017</v>
          </cell>
          <cell r="M2562">
            <v>1</v>
          </cell>
          <cell r="R2562">
            <v>45685</v>
          </cell>
          <cell r="S2562">
            <v>207017</v>
          </cell>
        </row>
        <row r="2563">
          <cell r="K2563" t="str">
            <v>201003</v>
          </cell>
          <cell r="M2563">
            <v>2</v>
          </cell>
          <cell r="R2563">
            <v>45685</v>
          </cell>
          <cell r="S2563">
            <v>201003</v>
          </cell>
        </row>
        <row r="2564">
          <cell r="K2564" t="str">
            <v>201011</v>
          </cell>
          <cell r="M2564">
            <v>6</v>
          </cell>
          <cell r="R2564">
            <v>45685</v>
          </cell>
          <cell r="S2564">
            <v>201011</v>
          </cell>
        </row>
        <row r="2565">
          <cell r="K2565" t="str">
            <v>212035</v>
          </cell>
          <cell r="M2565">
            <v>2</v>
          </cell>
          <cell r="R2565">
            <v>45685</v>
          </cell>
          <cell r="S2565">
            <v>212035</v>
          </cell>
        </row>
        <row r="2566">
          <cell r="K2566" t="str">
            <v>210014</v>
          </cell>
          <cell r="M2566">
            <v>2</v>
          </cell>
          <cell r="R2566">
            <v>45685</v>
          </cell>
          <cell r="S2566">
            <v>210014</v>
          </cell>
        </row>
        <row r="2567">
          <cell r="K2567" t="str">
            <v>212035</v>
          </cell>
          <cell r="M2567">
            <v>3</v>
          </cell>
          <cell r="R2567">
            <v>45685</v>
          </cell>
          <cell r="S2567">
            <v>212035</v>
          </cell>
        </row>
        <row r="2568">
          <cell r="K2568" t="str">
            <v>231012</v>
          </cell>
          <cell r="M2568">
            <v>1</v>
          </cell>
          <cell r="R2568">
            <v>45685</v>
          </cell>
          <cell r="S2568">
            <v>231012</v>
          </cell>
        </row>
        <row r="2569">
          <cell r="K2569" t="str">
            <v>212035</v>
          </cell>
          <cell r="M2569">
            <v>2</v>
          </cell>
          <cell r="R2569">
            <v>45686</v>
          </cell>
          <cell r="S2569">
            <v>212035</v>
          </cell>
        </row>
        <row r="2570">
          <cell r="K2570" t="str">
            <v>201011</v>
          </cell>
          <cell r="M2570">
            <v>2</v>
          </cell>
          <cell r="R2570">
            <v>45685</v>
          </cell>
          <cell r="S2570">
            <v>201011</v>
          </cell>
        </row>
        <row r="2571">
          <cell r="K2571" t="str">
            <v>203001</v>
          </cell>
          <cell r="M2571">
            <v>1</v>
          </cell>
          <cell r="R2571">
            <v>45686</v>
          </cell>
          <cell r="S2571">
            <v>203001</v>
          </cell>
        </row>
        <row r="2572">
          <cell r="K2572" t="str">
            <v>228001</v>
          </cell>
          <cell r="M2572">
            <v>1</v>
          </cell>
          <cell r="R2572">
            <v>45686</v>
          </cell>
          <cell r="S2572">
            <v>228001</v>
          </cell>
        </row>
        <row r="2573">
          <cell r="K2573" t="str">
            <v>201011</v>
          </cell>
          <cell r="M2573">
            <v>6</v>
          </cell>
          <cell r="R2573">
            <v>45686</v>
          </cell>
          <cell r="S2573">
            <v>201011</v>
          </cell>
        </row>
        <row r="2574">
          <cell r="K2574" t="str">
            <v>226025</v>
          </cell>
          <cell r="M2574">
            <v>1</v>
          </cell>
          <cell r="R2574">
            <v>45686</v>
          </cell>
          <cell r="S2574">
            <v>226025</v>
          </cell>
        </row>
        <row r="2575">
          <cell r="K2575" t="str">
            <v>217018</v>
          </cell>
          <cell r="M2575">
            <v>2</v>
          </cell>
          <cell r="R2575">
            <v>45686</v>
          </cell>
          <cell r="S2575">
            <v>217018</v>
          </cell>
        </row>
        <row r="2576">
          <cell r="K2576" t="str">
            <v>226001</v>
          </cell>
          <cell r="M2576">
            <v>2</v>
          </cell>
          <cell r="R2576">
            <v>45686</v>
          </cell>
          <cell r="S2576">
            <v>226001</v>
          </cell>
        </row>
        <row r="2577">
          <cell r="K2577" t="str">
            <v>241001</v>
          </cell>
          <cell r="M2577">
            <v>4</v>
          </cell>
          <cell r="R2577">
            <v>45686</v>
          </cell>
          <cell r="S2577">
            <v>241001</v>
          </cell>
        </row>
        <row r="2578">
          <cell r="K2578" t="str">
            <v>201011</v>
          </cell>
          <cell r="M2578">
            <v>36</v>
          </cell>
          <cell r="R2578">
            <v>45686</v>
          </cell>
          <cell r="S2578">
            <v>201011</v>
          </cell>
        </row>
        <row r="2579">
          <cell r="K2579" t="str">
            <v>229004</v>
          </cell>
          <cell r="M2579">
            <v>4</v>
          </cell>
          <cell r="R2579">
            <v>45686</v>
          </cell>
          <cell r="S2579">
            <v>229004</v>
          </cell>
        </row>
        <row r="2580">
          <cell r="K2580" t="str">
            <v>228001</v>
          </cell>
          <cell r="M2580">
            <v>1</v>
          </cell>
          <cell r="R2580">
            <v>45686</v>
          </cell>
          <cell r="S2580">
            <v>228001</v>
          </cell>
        </row>
        <row r="2581">
          <cell r="K2581" t="str">
            <v>213002</v>
          </cell>
          <cell r="M2581">
            <v>1</v>
          </cell>
          <cell r="R2581">
            <v>45686</v>
          </cell>
          <cell r="S2581">
            <v>213002</v>
          </cell>
        </row>
        <row r="2582">
          <cell r="K2582" t="str">
            <v>203001</v>
          </cell>
          <cell r="M2582">
            <v>2</v>
          </cell>
          <cell r="R2582">
            <v>45686</v>
          </cell>
          <cell r="S2582">
            <v>203001</v>
          </cell>
        </row>
        <row r="2583">
          <cell r="K2583" t="str">
            <v>228001</v>
          </cell>
          <cell r="M2583">
            <v>4</v>
          </cell>
          <cell r="R2583">
            <v>45686</v>
          </cell>
          <cell r="S2583">
            <v>228001</v>
          </cell>
        </row>
        <row r="2584">
          <cell r="K2584" t="str">
            <v>226001</v>
          </cell>
          <cell r="M2584">
            <v>2</v>
          </cell>
          <cell r="R2584">
            <v>45686</v>
          </cell>
          <cell r="S2584">
            <v>226001</v>
          </cell>
        </row>
        <row r="2585">
          <cell r="K2585" t="str">
            <v>227002</v>
          </cell>
          <cell r="M2585">
            <v>1</v>
          </cell>
          <cell r="R2585">
            <v>45686</v>
          </cell>
          <cell r="S2585">
            <v>227002</v>
          </cell>
        </row>
        <row r="2586">
          <cell r="K2586" t="str">
            <v>203001</v>
          </cell>
          <cell r="M2586">
            <v>4</v>
          </cell>
          <cell r="R2586">
            <v>45686</v>
          </cell>
          <cell r="S2586">
            <v>203001</v>
          </cell>
        </row>
        <row r="2587">
          <cell r="K2587" t="str">
            <v>217019</v>
          </cell>
          <cell r="M2587">
            <v>1</v>
          </cell>
          <cell r="R2587">
            <v>45686</v>
          </cell>
          <cell r="S2587">
            <v>217019</v>
          </cell>
        </row>
        <row r="2588">
          <cell r="K2588" t="str">
            <v>203001</v>
          </cell>
          <cell r="M2588">
            <v>4</v>
          </cell>
          <cell r="R2588">
            <v>45686</v>
          </cell>
          <cell r="S2588">
            <v>203001</v>
          </cell>
        </row>
        <row r="2589">
          <cell r="K2589" t="str">
            <v>201011</v>
          </cell>
          <cell r="M2589">
            <v>1</v>
          </cell>
          <cell r="R2589">
            <v>45686</v>
          </cell>
          <cell r="S2589">
            <v>201011</v>
          </cell>
        </row>
        <row r="2590">
          <cell r="K2590" t="str">
            <v>206002</v>
          </cell>
          <cell r="M2590">
            <v>1</v>
          </cell>
          <cell r="R2590">
            <v>45686</v>
          </cell>
          <cell r="S2590">
            <v>206002</v>
          </cell>
        </row>
        <row r="2591">
          <cell r="K2591" t="str">
            <v>208001</v>
          </cell>
          <cell r="M2591">
            <v>1</v>
          </cell>
          <cell r="R2591">
            <v>45686</v>
          </cell>
          <cell r="S2591">
            <v>208001</v>
          </cell>
        </row>
        <row r="2592">
          <cell r="K2592" t="str">
            <v>206006</v>
          </cell>
          <cell r="M2592">
            <v>1</v>
          </cell>
          <cell r="R2592">
            <v>45686</v>
          </cell>
          <cell r="S2592">
            <v>206006</v>
          </cell>
        </row>
        <row r="2593">
          <cell r="K2593" t="str">
            <v>226025</v>
          </cell>
          <cell r="M2593">
            <v>1</v>
          </cell>
          <cell r="R2593">
            <v>45686</v>
          </cell>
          <cell r="S2593">
            <v>226025</v>
          </cell>
        </row>
        <row r="2594">
          <cell r="K2594" t="str">
            <v>209022</v>
          </cell>
          <cell r="M2594">
            <v>10</v>
          </cell>
          <cell r="R2594">
            <v>45686</v>
          </cell>
          <cell r="S2594">
            <v>209022</v>
          </cell>
        </row>
        <row r="2595">
          <cell r="K2595" t="str">
            <v>223002</v>
          </cell>
          <cell r="M2595">
            <v>6</v>
          </cell>
          <cell r="R2595">
            <v>45687</v>
          </cell>
          <cell r="S2595">
            <v>223002</v>
          </cell>
        </row>
        <row r="2596">
          <cell r="K2596" t="str">
            <v>213024</v>
          </cell>
          <cell r="M2596">
            <v>15</v>
          </cell>
          <cell r="R2596">
            <v>45687</v>
          </cell>
          <cell r="S2596">
            <v>213024</v>
          </cell>
        </row>
        <row r="2597">
          <cell r="K2597" t="str">
            <v>226025</v>
          </cell>
          <cell r="M2597">
            <v>5</v>
          </cell>
          <cell r="R2597">
            <v>45687</v>
          </cell>
          <cell r="S2597">
            <v>226025</v>
          </cell>
        </row>
        <row r="2598">
          <cell r="K2598" t="str">
            <v>223004</v>
          </cell>
          <cell r="M2598">
            <v>30</v>
          </cell>
          <cell r="R2598">
            <v>45687</v>
          </cell>
          <cell r="S2598">
            <v>223004</v>
          </cell>
        </row>
        <row r="2599">
          <cell r="K2599" t="str">
            <v>223003</v>
          </cell>
          <cell r="M2599">
            <v>30</v>
          </cell>
          <cell r="R2599">
            <v>45687</v>
          </cell>
          <cell r="S2599">
            <v>223003</v>
          </cell>
        </row>
        <row r="2600">
          <cell r="K2600" t="str">
            <v>201011</v>
          </cell>
          <cell r="M2600">
            <v>5</v>
          </cell>
          <cell r="R2600">
            <v>45687</v>
          </cell>
          <cell r="S2600">
            <v>201011</v>
          </cell>
        </row>
        <row r="2601">
          <cell r="K2601" t="str">
            <v>213024</v>
          </cell>
          <cell r="M2601">
            <v>4</v>
          </cell>
          <cell r="R2601">
            <v>45687</v>
          </cell>
          <cell r="S2601">
            <v>213024</v>
          </cell>
        </row>
        <row r="2602">
          <cell r="K2602" t="str">
            <v>213022</v>
          </cell>
          <cell r="M2602">
            <v>1</v>
          </cell>
          <cell r="R2602">
            <v>45687</v>
          </cell>
          <cell r="S2602">
            <v>213022</v>
          </cell>
        </row>
        <row r="2603">
          <cell r="K2603" t="str">
            <v>217019</v>
          </cell>
          <cell r="M2603">
            <v>5</v>
          </cell>
          <cell r="R2603">
            <v>45687</v>
          </cell>
          <cell r="S2603">
            <v>217019</v>
          </cell>
        </row>
        <row r="2604">
          <cell r="K2604" t="str">
            <v>217019</v>
          </cell>
          <cell r="M2604">
            <v>2</v>
          </cell>
          <cell r="R2604">
            <v>45687</v>
          </cell>
          <cell r="S2604">
            <v>217019</v>
          </cell>
        </row>
        <row r="2605">
          <cell r="K2605" t="str">
            <v>217019</v>
          </cell>
          <cell r="M2605">
            <v>15</v>
          </cell>
          <cell r="R2605">
            <v>45687</v>
          </cell>
          <cell r="S2605">
            <v>217019</v>
          </cell>
        </row>
        <row r="2606">
          <cell r="K2606" t="str">
            <v>213024</v>
          </cell>
          <cell r="M2606">
            <v>1</v>
          </cell>
          <cell r="R2606">
            <v>45687</v>
          </cell>
          <cell r="S2606">
            <v>213024</v>
          </cell>
        </row>
        <row r="2607">
          <cell r="K2607" t="str">
            <v>222001</v>
          </cell>
          <cell r="M2607">
            <v>1</v>
          </cell>
          <cell r="R2607">
            <v>45687</v>
          </cell>
          <cell r="S2607">
            <v>222001</v>
          </cell>
        </row>
        <row r="2608">
          <cell r="K2608" t="str">
            <v>213022</v>
          </cell>
          <cell r="M2608">
            <v>1</v>
          </cell>
          <cell r="R2608">
            <v>45687</v>
          </cell>
          <cell r="S2608">
            <v>213022</v>
          </cell>
        </row>
        <row r="2609">
          <cell r="K2609" t="str">
            <v>213003</v>
          </cell>
          <cell r="M2609">
            <v>74</v>
          </cell>
          <cell r="R2609">
            <v>45687</v>
          </cell>
          <cell r="S2609">
            <v>213003</v>
          </cell>
        </row>
        <row r="2610">
          <cell r="K2610" t="str">
            <v>213022</v>
          </cell>
          <cell r="M2610">
            <v>1</v>
          </cell>
          <cell r="R2610">
            <v>45687</v>
          </cell>
          <cell r="S2610">
            <v>213022</v>
          </cell>
        </row>
        <row r="2611">
          <cell r="K2611" t="str">
            <v>222030</v>
          </cell>
          <cell r="M2611">
            <v>8</v>
          </cell>
          <cell r="R2611">
            <v>45687</v>
          </cell>
          <cell r="S2611">
            <v>222030</v>
          </cell>
        </row>
        <row r="2612">
          <cell r="K2612" t="str">
            <v>226001</v>
          </cell>
          <cell r="M2612">
            <v>5</v>
          </cell>
          <cell r="R2612">
            <v>45687</v>
          </cell>
          <cell r="S2612">
            <v>226001</v>
          </cell>
        </row>
        <row r="2613">
          <cell r="K2613" t="str">
            <v>201022</v>
          </cell>
          <cell r="M2613">
            <v>1</v>
          </cell>
          <cell r="R2613">
            <v>45687</v>
          </cell>
          <cell r="S2613">
            <v>201022</v>
          </cell>
        </row>
        <row r="2614">
          <cell r="K2614" t="str">
            <v>223002</v>
          </cell>
          <cell r="M2614">
            <v>1</v>
          </cell>
          <cell r="R2614">
            <v>45687</v>
          </cell>
          <cell r="S2614">
            <v>223002</v>
          </cell>
        </row>
        <row r="2615">
          <cell r="K2615" t="str">
            <v>223001</v>
          </cell>
          <cell r="M2615">
            <v>1</v>
          </cell>
          <cell r="R2615">
            <v>45687</v>
          </cell>
          <cell r="S2615">
            <v>223001</v>
          </cell>
        </row>
        <row r="2616">
          <cell r="K2616" t="str">
            <v>227001</v>
          </cell>
          <cell r="M2616">
            <v>1</v>
          </cell>
          <cell r="R2616">
            <v>45687</v>
          </cell>
          <cell r="S2616">
            <v>227001</v>
          </cell>
        </row>
        <row r="2617">
          <cell r="K2617" t="str">
            <v>223002</v>
          </cell>
          <cell r="M2617">
            <v>4</v>
          </cell>
          <cell r="R2617">
            <v>45687</v>
          </cell>
          <cell r="S2617">
            <v>223002</v>
          </cell>
        </row>
        <row r="2618">
          <cell r="K2618" t="str">
            <v>223001</v>
          </cell>
          <cell r="M2618">
            <v>4</v>
          </cell>
          <cell r="R2618">
            <v>45687</v>
          </cell>
          <cell r="S2618">
            <v>223001</v>
          </cell>
        </row>
        <row r="2619">
          <cell r="K2619" t="str">
            <v>222001</v>
          </cell>
          <cell r="M2619">
            <v>1</v>
          </cell>
          <cell r="R2619">
            <v>45687</v>
          </cell>
          <cell r="S2619">
            <v>222001</v>
          </cell>
        </row>
        <row r="2620">
          <cell r="K2620" t="str">
            <v>201022</v>
          </cell>
          <cell r="M2620">
            <v>2</v>
          </cell>
          <cell r="R2620">
            <v>45687</v>
          </cell>
          <cell r="S2620">
            <v>201022</v>
          </cell>
        </row>
        <row r="2621">
          <cell r="K2621" t="str">
            <v>223002</v>
          </cell>
          <cell r="M2621">
            <v>3</v>
          </cell>
          <cell r="R2621">
            <v>45687</v>
          </cell>
          <cell r="S2621">
            <v>223002</v>
          </cell>
        </row>
        <row r="2622">
          <cell r="K2622" t="str">
            <v>217002</v>
          </cell>
          <cell r="M2622">
            <v>1</v>
          </cell>
          <cell r="R2622">
            <v>45687</v>
          </cell>
          <cell r="S2622">
            <v>217002</v>
          </cell>
        </row>
        <row r="2623">
          <cell r="K2623" t="str">
            <v>226025</v>
          </cell>
          <cell r="M2623">
            <v>1</v>
          </cell>
          <cell r="R2623">
            <v>45687</v>
          </cell>
          <cell r="S2623">
            <v>226025</v>
          </cell>
        </row>
        <row r="2624">
          <cell r="K2624" t="str">
            <v>213022</v>
          </cell>
          <cell r="M2624">
            <v>1</v>
          </cell>
          <cell r="R2624">
            <v>45687</v>
          </cell>
          <cell r="S2624">
            <v>213022</v>
          </cell>
        </row>
        <row r="2625">
          <cell r="K2625" t="str">
            <v>217002</v>
          </cell>
          <cell r="M2625">
            <v>1</v>
          </cell>
          <cell r="R2625">
            <v>45687</v>
          </cell>
          <cell r="S2625">
            <v>217002</v>
          </cell>
        </row>
        <row r="2626">
          <cell r="K2626" t="str">
            <v>210010</v>
          </cell>
          <cell r="M2626">
            <v>2</v>
          </cell>
          <cell r="R2626">
            <v>45687</v>
          </cell>
          <cell r="S2626">
            <v>210010</v>
          </cell>
        </row>
        <row r="2627">
          <cell r="K2627" t="str">
            <v>213022</v>
          </cell>
          <cell r="M2627">
            <v>2</v>
          </cell>
          <cell r="R2627">
            <v>45687</v>
          </cell>
          <cell r="S2627">
            <v>213022</v>
          </cell>
        </row>
        <row r="2628">
          <cell r="K2628" t="str">
            <v>222001</v>
          </cell>
          <cell r="M2628">
            <v>1</v>
          </cell>
          <cell r="R2628">
            <v>45687</v>
          </cell>
          <cell r="S2628">
            <v>222001</v>
          </cell>
        </row>
        <row r="2629">
          <cell r="K2629" t="str">
            <v>222004</v>
          </cell>
          <cell r="M2629">
            <v>1</v>
          </cell>
          <cell r="R2629">
            <v>45687</v>
          </cell>
          <cell r="S2629">
            <v>222004</v>
          </cell>
        </row>
        <row r="2630">
          <cell r="K2630" t="str">
            <v>222003</v>
          </cell>
          <cell r="M2630">
            <v>1</v>
          </cell>
          <cell r="R2630">
            <v>45687</v>
          </cell>
          <cell r="S2630">
            <v>222003</v>
          </cell>
        </row>
        <row r="2631">
          <cell r="K2631" t="str">
            <v>201011</v>
          </cell>
          <cell r="M2631">
            <v>3</v>
          </cell>
          <cell r="R2631">
            <v>45687</v>
          </cell>
          <cell r="S2631">
            <v>201011</v>
          </cell>
        </row>
        <row r="2632">
          <cell r="K2632" t="str">
            <v>213003</v>
          </cell>
          <cell r="M2632">
            <v>2</v>
          </cell>
          <cell r="R2632">
            <v>45687</v>
          </cell>
          <cell r="S2632">
            <v>213003</v>
          </cell>
        </row>
        <row r="2633">
          <cell r="K2633" t="str">
            <v>201011</v>
          </cell>
          <cell r="M2633">
            <v>3</v>
          </cell>
          <cell r="R2633">
            <v>45687</v>
          </cell>
          <cell r="S2633">
            <v>201011</v>
          </cell>
        </row>
        <row r="2634">
          <cell r="K2634" t="str">
            <v>201011</v>
          </cell>
          <cell r="M2634">
            <v>36</v>
          </cell>
          <cell r="R2634">
            <v>45687</v>
          </cell>
          <cell r="S2634">
            <v>201011</v>
          </cell>
        </row>
        <row r="2635">
          <cell r="K2635" t="str">
            <v>213002</v>
          </cell>
          <cell r="M2635">
            <v>1</v>
          </cell>
          <cell r="R2635">
            <v>45687</v>
          </cell>
          <cell r="S2635">
            <v>213002</v>
          </cell>
        </row>
        <row r="2636">
          <cell r="K2636" t="str">
            <v>231012</v>
          </cell>
          <cell r="M2636">
            <v>3</v>
          </cell>
          <cell r="R2636">
            <v>45687</v>
          </cell>
          <cell r="S2636">
            <v>231012</v>
          </cell>
        </row>
        <row r="2637">
          <cell r="K2637" t="str">
            <v>213018</v>
          </cell>
          <cell r="M2637">
            <v>1</v>
          </cell>
          <cell r="R2637">
            <v>45687</v>
          </cell>
          <cell r="S2637">
            <v>213018</v>
          </cell>
        </row>
        <row r="2638">
          <cell r="K2638" t="str">
            <v>228001</v>
          </cell>
          <cell r="M2638">
            <v>8</v>
          </cell>
          <cell r="R2638">
            <v>45687</v>
          </cell>
          <cell r="S2638">
            <v>228001</v>
          </cell>
        </row>
        <row r="2639">
          <cell r="K2639" t="str">
            <v>222001</v>
          </cell>
          <cell r="M2639">
            <v>2</v>
          </cell>
          <cell r="R2639">
            <v>45687</v>
          </cell>
          <cell r="S2639">
            <v>222001</v>
          </cell>
        </row>
        <row r="2640">
          <cell r="K2640" t="str">
            <v>213003</v>
          </cell>
          <cell r="M2640">
            <v>3</v>
          </cell>
          <cell r="R2640">
            <v>45687</v>
          </cell>
          <cell r="S2640">
            <v>213003</v>
          </cell>
        </row>
        <row r="2641">
          <cell r="K2641" t="str">
            <v>224002</v>
          </cell>
          <cell r="M2641">
            <v>3</v>
          </cell>
          <cell r="R2641">
            <v>45687</v>
          </cell>
          <cell r="S2641">
            <v>224002</v>
          </cell>
        </row>
        <row r="2642">
          <cell r="K2642" t="str">
            <v>221001</v>
          </cell>
          <cell r="M2642">
            <v>3</v>
          </cell>
          <cell r="R2642">
            <v>45687</v>
          </cell>
          <cell r="S2642">
            <v>221001</v>
          </cell>
        </row>
        <row r="2643">
          <cell r="K2643" t="str">
            <v>218002</v>
          </cell>
          <cell r="M2643">
            <v>1</v>
          </cell>
          <cell r="R2643">
            <v>45687</v>
          </cell>
          <cell r="S2643">
            <v>218002</v>
          </cell>
        </row>
        <row r="2644">
          <cell r="K2644" t="str">
            <v>228001</v>
          </cell>
          <cell r="M2644">
            <v>2</v>
          </cell>
          <cell r="R2644">
            <v>45687</v>
          </cell>
          <cell r="S2644">
            <v>228001</v>
          </cell>
        </row>
        <row r="2645">
          <cell r="K2645" t="str">
            <v>210001</v>
          </cell>
          <cell r="M2645">
            <v>1</v>
          </cell>
          <cell r="R2645">
            <v>45687</v>
          </cell>
          <cell r="S2645">
            <v>210001</v>
          </cell>
        </row>
        <row r="2646">
          <cell r="K2646" t="str">
            <v>241001</v>
          </cell>
          <cell r="M2646">
            <v>2</v>
          </cell>
          <cell r="R2646">
            <v>45687</v>
          </cell>
          <cell r="S2646">
            <v>241001</v>
          </cell>
        </row>
        <row r="2647">
          <cell r="K2647" t="str">
            <v>201004</v>
          </cell>
          <cell r="M2647">
            <v>2</v>
          </cell>
          <cell r="R2647">
            <v>45687</v>
          </cell>
          <cell r="S2647">
            <v>201004</v>
          </cell>
        </row>
        <row r="2648">
          <cell r="K2648" t="str">
            <v>217018</v>
          </cell>
          <cell r="M2648">
            <v>1</v>
          </cell>
          <cell r="R2648">
            <v>45687</v>
          </cell>
          <cell r="S2648">
            <v>217018</v>
          </cell>
        </row>
        <row r="2649">
          <cell r="K2649" t="str">
            <v>210013</v>
          </cell>
          <cell r="M2649">
            <v>1</v>
          </cell>
          <cell r="R2649">
            <v>45687</v>
          </cell>
          <cell r="S2649">
            <v>210013</v>
          </cell>
        </row>
        <row r="2650">
          <cell r="K2650" t="str">
            <v>213024</v>
          </cell>
          <cell r="M2650">
            <v>2</v>
          </cell>
          <cell r="R2650">
            <v>45687</v>
          </cell>
          <cell r="S2650">
            <v>213024</v>
          </cell>
        </row>
        <row r="2651">
          <cell r="K2651" t="str">
            <v>206004</v>
          </cell>
          <cell r="M2651">
            <v>1</v>
          </cell>
          <cell r="R2651">
            <v>45688</v>
          </cell>
          <cell r="S2651">
            <v>206004</v>
          </cell>
        </row>
        <row r="2652">
          <cell r="K2652" t="str">
            <v>203001</v>
          </cell>
          <cell r="M2652">
            <v>8</v>
          </cell>
          <cell r="R2652">
            <v>45688</v>
          </cell>
          <cell r="S2652">
            <v>203001</v>
          </cell>
        </row>
        <row r="2653">
          <cell r="K2653" t="str">
            <v>231012</v>
          </cell>
          <cell r="M2653">
            <v>2</v>
          </cell>
          <cell r="R2653">
            <v>45688</v>
          </cell>
          <cell r="S2653">
            <v>231012</v>
          </cell>
        </row>
        <row r="2654">
          <cell r="K2654" t="str">
            <v>226026</v>
          </cell>
          <cell r="M2654">
            <v>3</v>
          </cell>
          <cell r="R2654">
            <v>45688</v>
          </cell>
          <cell r="S2654">
            <v>226026</v>
          </cell>
        </row>
        <row r="2655">
          <cell r="K2655" t="str">
            <v>226026</v>
          </cell>
          <cell r="M2655">
            <v>1</v>
          </cell>
          <cell r="R2655">
            <v>45688</v>
          </cell>
          <cell r="S2655">
            <v>226026</v>
          </cell>
        </row>
        <row r="2656">
          <cell r="K2656" t="str">
            <v>226026</v>
          </cell>
          <cell r="M2656">
            <v>2</v>
          </cell>
          <cell r="R2656">
            <v>45688</v>
          </cell>
          <cell r="S2656">
            <v>226026</v>
          </cell>
        </row>
        <row r="2657">
          <cell r="K2657" t="str">
            <v>201011</v>
          </cell>
          <cell r="M2657">
            <v>3</v>
          </cell>
          <cell r="R2657">
            <v>45688</v>
          </cell>
          <cell r="S2657">
            <v>201011</v>
          </cell>
        </row>
        <row r="2658">
          <cell r="K2658" t="str">
            <v>241001</v>
          </cell>
          <cell r="M2658">
            <v>8</v>
          </cell>
          <cell r="R2658">
            <v>45688</v>
          </cell>
          <cell r="S2658">
            <v>241001</v>
          </cell>
        </row>
        <row r="2659">
          <cell r="K2659" t="str">
            <v>223001</v>
          </cell>
          <cell r="M2659">
            <v>2</v>
          </cell>
          <cell r="R2659">
            <v>45688</v>
          </cell>
          <cell r="S2659">
            <v>223001</v>
          </cell>
        </row>
        <row r="2660">
          <cell r="K2660" t="str">
            <v>271002</v>
          </cell>
          <cell r="M2660">
            <v>1</v>
          </cell>
          <cell r="R2660">
            <v>45688</v>
          </cell>
          <cell r="S2660">
            <v>271002</v>
          </cell>
        </row>
        <row r="2661">
          <cell r="K2661" t="str">
            <v>235004</v>
          </cell>
          <cell r="M2661">
            <v>1</v>
          </cell>
          <cell r="R2661">
            <v>45688</v>
          </cell>
          <cell r="S2661">
            <v>235004</v>
          </cell>
        </row>
        <row r="2662">
          <cell r="K2662" t="str">
            <v>201011</v>
          </cell>
          <cell r="M2662">
            <v>2</v>
          </cell>
          <cell r="R2662">
            <v>45688</v>
          </cell>
          <cell r="S2662">
            <v>201011</v>
          </cell>
        </row>
        <row r="2663">
          <cell r="K2663" t="str">
            <v>229001</v>
          </cell>
          <cell r="M2663">
            <v>1</v>
          </cell>
          <cell r="R2663">
            <v>45688</v>
          </cell>
          <cell r="S2663">
            <v>229001</v>
          </cell>
        </row>
        <row r="2664">
          <cell r="K2664" t="str">
            <v>223002</v>
          </cell>
          <cell r="M2664">
            <v>4</v>
          </cell>
          <cell r="R2664">
            <v>45688</v>
          </cell>
          <cell r="S2664">
            <v>223002</v>
          </cell>
        </row>
        <row r="2665">
          <cell r="K2665" t="str">
            <v>223001</v>
          </cell>
          <cell r="M2665">
            <v>4</v>
          </cell>
          <cell r="R2665">
            <v>45688</v>
          </cell>
          <cell r="S2665">
            <v>223001</v>
          </cell>
        </row>
        <row r="2666">
          <cell r="K2666" t="str">
            <v>222001</v>
          </cell>
          <cell r="M2666">
            <v>1</v>
          </cell>
          <cell r="R2666">
            <v>45688</v>
          </cell>
          <cell r="S2666">
            <v>222001</v>
          </cell>
        </row>
        <row r="2667">
          <cell r="K2667" t="str">
            <v>201002</v>
          </cell>
          <cell r="M2667">
            <v>1</v>
          </cell>
          <cell r="R2667">
            <v>45688</v>
          </cell>
          <cell r="S2667">
            <v>201002</v>
          </cell>
        </row>
        <row r="2668">
          <cell r="K2668" t="str">
            <v>229004</v>
          </cell>
          <cell r="M2668">
            <v>3</v>
          </cell>
          <cell r="R2668">
            <v>45688</v>
          </cell>
          <cell r="S2668">
            <v>229004</v>
          </cell>
        </row>
        <row r="2669">
          <cell r="K2669" t="str">
            <v>201011</v>
          </cell>
          <cell r="M2669">
            <v>36</v>
          </cell>
          <cell r="R2669">
            <v>45688</v>
          </cell>
          <cell r="S2669">
            <v>201011</v>
          </cell>
        </row>
        <row r="2670">
          <cell r="K2670" t="str">
            <v>210001</v>
          </cell>
          <cell r="M2670">
            <v>5</v>
          </cell>
          <cell r="R2670">
            <v>45688</v>
          </cell>
          <cell r="S2670">
            <v>210001</v>
          </cell>
        </row>
        <row r="2671">
          <cell r="K2671" t="str">
            <v>201011</v>
          </cell>
          <cell r="M2671">
            <v>10</v>
          </cell>
          <cell r="R2671">
            <v>45688</v>
          </cell>
          <cell r="S2671">
            <v>201011</v>
          </cell>
        </row>
        <row r="2672">
          <cell r="K2672" t="str">
            <v>228001</v>
          </cell>
          <cell r="M2672">
            <v>1</v>
          </cell>
          <cell r="R2672">
            <v>45688</v>
          </cell>
          <cell r="S2672">
            <v>228001</v>
          </cell>
        </row>
        <row r="2673">
          <cell r="K2673" t="str">
            <v>234001</v>
          </cell>
          <cell r="M2673">
            <v>1</v>
          </cell>
          <cell r="R2673">
            <v>45691</v>
          </cell>
          <cell r="S2673">
            <v>234001</v>
          </cell>
        </row>
        <row r="2674">
          <cell r="K2674" t="str">
            <v>231012</v>
          </cell>
          <cell r="M2674">
            <v>14</v>
          </cell>
          <cell r="R2674">
            <v>45691</v>
          </cell>
          <cell r="S2674">
            <v>231012</v>
          </cell>
        </row>
        <row r="2675">
          <cell r="K2675" t="str">
            <v>222005</v>
          </cell>
          <cell r="M2675">
            <v>1</v>
          </cell>
          <cell r="R2675">
            <v>45691</v>
          </cell>
          <cell r="S2675">
            <v>222005</v>
          </cell>
        </row>
        <row r="2676">
          <cell r="K2676" t="str">
            <v>226024</v>
          </cell>
          <cell r="M2676">
            <v>1</v>
          </cell>
          <cell r="R2676">
            <v>45691</v>
          </cell>
          <cell r="S2676">
            <v>226024</v>
          </cell>
        </row>
        <row r="2677">
          <cell r="K2677" t="str">
            <v>239006</v>
          </cell>
          <cell r="M2677">
            <v>1</v>
          </cell>
          <cell r="R2677">
            <v>45691</v>
          </cell>
          <cell r="S2677">
            <v>239006</v>
          </cell>
        </row>
        <row r="2678">
          <cell r="K2678" t="str">
            <v>222001</v>
          </cell>
          <cell r="M2678">
            <v>1</v>
          </cell>
          <cell r="R2678">
            <v>45690</v>
          </cell>
          <cell r="S2678">
            <v>222001</v>
          </cell>
        </row>
        <row r="2679">
          <cell r="K2679" t="str">
            <v>210013</v>
          </cell>
          <cell r="M2679">
            <v>1</v>
          </cell>
          <cell r="R2679">
            <v>45690</v>
          </cell>
          <cell r="S2679">
            <v>210013</v>
          </cell>
        </row>
        <row r="2680">
          <cell r="K2680" t="str">
            <v>227002</v>
          </cell>
          <cell r="M2680">
            <v>1</v>
          </cell>
          <cell r="R2680">
            <v>45690</v>
          </cell>
          <cell r="S2680">
            <v>227002</v>
          </cell>
        </row>
        <row r="2681">
          <cell r="K2681" t="str">
            <v>209001</v>
          </cell>
          <cell r="M2681">
            <v>1</v>
          </cell>
          <cell r="R2681">
            <v>45690</v>
          </cell>
          <cell r="S2681">
            <v>209001</v>
          </cell>
        </row>
        <row r="2682">
          <cell r="K2682" t="str">
            <v>223002</v>
          </cell>
          <cell r="M2682">
            <v>1</v>
          </cell>
          <cell r="R2682">
            <v>45690</v>
          </cell>
          <cell r="S2682">
            <v>223002</v>
          </cell>
        </row>
        <row r="2683">
          <cell r="K2683" t="str">
            <v>201011</v>
          </cell>
          <cell r="M2683">
            <v>4</v>
          </cell>
          <cell r="R2683">
            <v>45690</v>
          </cell>
          <cell r="S2683">
            <v>201011</v>
          </cell>
        </row>
        <row r="2684">
          <cell r="K2684" t="str">
            <v>222001</v>
          </cell>
          <cell r="M2684">
            <v>1</v>
          </cell>
          <cell r="R2684">
            <v>45690</v>
          </cell>
          <cell r="S2684">
            <v>222001</v>
          </cell>
        </row>
        <row r="2685">
          <cell r="K2685" t="str">
            <v>213003</v>
          </cell>
          <cell r="M2685">
            <v>1</v>
          </cell>
          <cell r="R2685">
            <v>45689</v>
          </cell>
          <cell r="S2685">
            <v>213003</v>
          </cell>
        </row>
        <row r="2686">
          <cell r="K2686" t="str">
            <v>213003</v>
          </cell>
          <cell r="M2686">
            <v>1</v>
          </cell>
          <cell r="R2686">
            <v>45689</v>
          </cell>
          <cell r="S2686">
            <v>213003</v>
          </cell>
        </row>
        <row r="2687">
          <cell r="K2687" t="str">
            <v>201011</v>
          </cell>
          <cell r="M2687">
            <v>3</v>
          </cell>
          <cell r="R2687">
            <v>45689</v>
          </cell>
          <cell r="S2687">
            <v>201011</v>
          </cell>
        </row>
        <row r="2688">
          <cell r="K2688" t="str">
            <v>201011</v>
          </cell>
          <cell r="M2688">
            <v>4</v>
          </cell>
          <cell r="R2688">
            <v>45690</v>
          </cell>
          <cell r="S2688">
            <v>201011</v>
          </cell>
        </row>
        <row r="2689">
          <cell r="K2689" t="str">
            <v>212035</v>
          </cell>
          <cell r="M2689">
            <v>1</v>
          </cell>
          <cell r="R2689">
            <v>45690</v>
          </cell>
          <cell r="S2689">
            <v>212035</v>
          </cell>
        </row>
        <row r="2690">
          <cell r="K2690" t="str">
            <v>201011</v>
          </cell>
          <cell r="M2690">
            <v>6</v>
          </cell>
          <cell r="R2690">
            <v>45691</v>
          </cell>
          <cell r="S2690">
            <v>201011</v>
          </cell>
        </row>
        <row r="2691">
          <cell r="K2691" t="str">
            <v>203001</v>
          </cell>
          <cell r="M2691">
            <v>1</v>
          </cell>
          <cell r="R2691">
            <v>45691</v>
          </cell>
          <cell r="S2691">
            <v>203001</v>
          </cell>
        </row>
        <row r="2692">
          <cell r="K2692" t="str">
            <v>231012</v>
          </cell>
          <cell r="M2692">
            <v>6</v>
          </cell>
          <cell r="R2692">
            <v>45691</v>
          </cell>
          <cell r="S2692">
            <v>231012</v>
          </cell>
        </row>
        <row r="2693">
          <cell r="K2693" t="str">
            <v>201011</v>
          </cell>
          <cell r="M2693">
            <v>1</v>
          </cell>
          <cell r="R2693">
            <v>45691</v>
          </cell>
          <cell r="S2693">
            <v>201011</v>
          </cell>
        </row>
        <row r="2694">
          <cell r="K2694" t="str">
            <v>223002</v>
          </cell>
          <cell r="M2694">
            <v>2</v>
          </cell>
          <cell r="R2694">
            <v>45691</v>
          </cell>
          <cell r="S2694">
            <v>223002</v>
          </cell>
        </row>
        <row r="2695">
          <cell r="K2695" t="str">
            <v>223001</v>
          </cell>
          <cell r="M2695">
            <v>12</v>
          </cell>
          <cell r="R2695">
            <v>45691</v>
          </cell>
          <cell r="S2695">
            <v>223001</v>
          </cell>
        </row>
        <row r="2696">
          <cell r="K2696" t="str">
            <v>227012</v>
          </cell>
          <cell r="M2696">
            <v>1</v>
          </cell>
          <cell r="R2696">
            <v>45691</v>
          </cell>
          <cell r="S2696">
            <v>227012</v>
          </cell>
        </row>
        <row r="2697">
          <cell r="K2697" t="str">
            <v>227012</v>
          </cell>
          <cell r="M2697">
            <v>1</v>
          </cell>
          <cell r="R2697">
            <v>45691</v>
          </cell>
          <cell r="S2697">
            <v>227012</v>
          </cell>
        </row>
        <row r="2698">
          <cell r="K2698" t="str">
            <v>223002</v>
          </cell>
          <cell r="M2698">
            <v>2</v>
          </cell>
          <cell r="R2698">
            <v>45691</v>
          </cell>
          <cell r="S2698">
            <v>223002</v>
          </cell>
        </row>
        <row r="2699">
          <cell r="K2699" t="str">
            <v>227012</v>
          </cell>
          <cell r="M2699">
            <v>2</v>
          </cell>
          <cell r="R2699">
            <v>45691</v>
          </cell>
          <cell r="S2699">
            <v>227012</v>
          </cell>
        </row>
        <row r="2700">
          <cell r="K2700" t="str">
            <v>210013</v>
          </cell>
          <cell r="M2700">
            <v>1</v>
          </cell>
          <cell r="R2700">
            <v>45691</v>
          </cell>
          <cell r="S2700">
            <v>210013</v>
          </cell>
        </row>
        <row r="2701">
          <cell r="K2701" t="str">
            <v>203003</v>
          </cell>
          <cell r="M2701">
            <v>1</v>
          </cell>
          <cell r="R2701">
            <v>45691</v>
          </cell>
          <cell r="S2701">
            <v>203003</v>
          </cell>
        </row>
        <row r="2702">
          <cell r="K2702" t="str">
            <v>209001</v>
          </cell>
          <cell r="M2702">
            <v>1</v>
          </cell>
          <cell r="R2702">
            <v>45691</v>
          </cell>
          <cell r="S2702">
            <v>209001</v>
          </cell>
        </row>
        <row r="2703">
          <cell r="K2703" t="str">
            <v>223001</v>
          </cell>
          <cell r="M2703">
            <v>1</v>
          </cell>
          <cell r="R2703">
            <v>45691</v>
          </cell>
          <cell r="S2703">
            <v>223001</v>
          </cell>
        </row>
        <row r="2704">
          <cell r="K2704" t="str">
            <v>227002</v>
          </cell>
          <cell r="M2704">
            <v>1</v>
          </cell>
          <cell r="R2704">
            <v>45691</v>
          </cell>
          <cell r="S2704">
            <v>227002</v>
          </cell>
        </row>
        <row r="2705">
          <cell r="K2705" t="str">
            <v>201011</v>
          </cell>
          <cell r="M2705">
            <v>1</v>
          </cell>
          <cell r="R2705">
            <v>45691</v>
          </cell>
          <cell r="S2705">
            <v>201011</v>
          </cell>
        </row>
        <row r="2706">
          <cell r="K2706" t="str">
            <v>223001</v>
          </cell>
          <cell r="M2706">
            <v>2</v>
          </cell>
          <cell r="R2706">
            <v>45691</v>
          </cell>
          <cell r="S2706">
            <v>223001</v>
          </cell>
        </row>
        <row r="2707">
          <cell r="K2707" t="str">
            <v>226001</v>
          </cell>
          <cell r="M2707">
            <v>2</v>
          </cell>
          <cell r="R2707">
            <v>45691</v>
          </cell>
          <cell r="S2707">
            <v>226001</v>
          </cell>
        </row>
        <row r="2708">
          <cell r="K2708" t="str">
            <v>201011</v>
          </cell>
          <cell r="M2708">
            <v>3</v>
          </cell>
          <cell r="R2708">
            <v>45691</v>
          </cell>
          <cell r="S2708">
            <v>201011</v>
          </cell>
        </row>
        <row r="2709">
          <cell r="K2709" t="str">
            <v>224002</v>
          </cell>
          <cell r="M2709">
            <v>3</v>
          </cell>
          <cell r="R2709">
            <v>45691</v>
          </cell>
          <cell r="S2709">
            <v>224002</v>
          </cell>
        </row>
        <row r="2710">
          <cell r="K2710" t="str">
            <v>221001</v>
          </cell>
          <cell r="M2710">
            <v>3</v>
          </cell>
          <cell r="R2710">
            <v>45691</v>
          </cell>
          <cell r="S2710">
            <v>221001</v>
          </cell>
        </row>
        <row r="2711">
          <cell r="K2711" t="str">
            <v>218002</v>
          </cell>
          <cell r="M2711">
            <v>1</v>
          </cell>
          <cell r="R2711">
            <v>45691</v>
          </cell>
          <cell r="S2711">
            <v>218002</v>
          </cell>
        </row>
        <row r="2712">
          <cell r="K2712" t="str">
            <v>228001</v>
          </cell>
          <cell r="M2712">
            <v>3</v>
          </cell>
          <cell r="R2712">
            <v>45691</v>
          </cell>
          <cell r="S2712">
            <v>228001</v>
          </cell>
        </row>
        <row r="2713">
          <cell r="K2713" t="str">
            <v>207017</v>
          </cell>
          <cell r="M2713">
            <v>1</v>
          </cell>
          <cell r="R2713">
            <v>45691</v>
          </cell>
          <cell r="S2713">
            <v>207017</v>
          </cell>
        </row>
        <row r="2714">
          <cell r="K2714" t="str">
            <v>228001</v>
          </cell>
          <cell r="M2714">
            <v>4</v>
          </cell>
          <cell r="R2714">
            <v>45691</v>
          </cell>
          <cell r="S2714">
            <v>228001</v>
          </cell>
        </row>
        <row r="2715">
          <cell r="K2715" t="str">
            <v>209004</v>
          </cell>
          <cell r="M2715">
            <v>1</v>
          </cell>
          <cell r="R2715">
            <v>45691</v>
          </cell>
          <cell r="S2715">
            <v>209004</v>
          </cell>
        </row>
        <row r="2716">
          <cell r="K2716" t="str">
            <v>212002</v>
          </cell>
          <cell r="M2716">
            <v>1</v>
          </cell>
          <cell r="R2716">
            <v>45691</v>
          </cell>
          <cell r="S2716">
            <v>212002</v>
          </cell>
        </row>
        <row r="2717">
          <cell r="K2717" t="str">
            <v>228001</v>
          </cell>
          <cell r="M2717">
            <v>1</v>
          </cell>
          <cell r="R2717">
            <v>45691</v>
          </cell>
          <cell r="S2717">
            <v>228001</v>
          </cell>
        </row>
        <row r="2718">
          <cell r="K2718" t="str">
            <v>217002</v>
          </cell>
          <cell r="M2718">
            <v>1</v>
          </cell>
          <cell r="R2718">
            <v>45691</v>
          </cell>
          <cell r="S2718">
            <v>217002</v>
          </cell>
        </row>
        <row r="2719">
          <cell r="K2719" t="str">
            <v>201011</v>
          </cell>
          <cell r="M2719">
            <v>2</v>
          </cell>
          <cell r="R2719">
            <v>45691</v>
          </cell>
          <cell r="S2719">
            <v>201011</v>
          </cell>
        </row>
        <row r="2720">
          <cell r="K2720" t="str">
            <v>206005</v>
          </cell>
          <cell r="M2720">
            <v>1</v>
          </cell>
          <cell r="R2720">
            <v>45691</v>
          </cell>
          <cell r="S2720">
            <v>206005</v>
          </cell>
        </row>
        <row r="2721">
          <cell r="K2721" t="str">
            <v>218003</v>
          </cell>
          <cell r="M2721">
            <v>1</v>
          </cell>
          <cell r="R2721">
            <v>45691</v>
          </cell>
          <cell r="S2721">
            <v>218003</v>
          </cell>
        </row>
        <row r="2722">
          <cell r="K2722" t="str">
            <v>206002</v>
          </cell>
          <cell r="M2722">
            <v>1</v>
          </cell>
          <cell r="R2722">
            <v>45691</v>
          </cell>
          <cell r="S2722">
            <v>206002</v>
          </cell>
        </row>
        <row r="2723">
          <cell r="K2723" t="str">
            <v>208001</v>
          </cell>
          <cell r="M2723">
            <v>1</v>
          </cell>
          <cell r="R2723">
            <v>45691</v>
          </cell>
          <cell r="S2723">
            <v>208001</v>
          </cell>
        </row>
        <row r="2724">
          <cell r="K2724" t="str">
            <v>203004</v>
          </cell>
          <cell r="M2724">
            <v>1</v>
          </cell>
          <cell r="R2724">
            <v>45691</v>
          </cell>
          <cell r="S2724">
            <v>203004</v>
          </cell>
        </row>
        <row r="2725">
          <cell r="K2725" t="str">
            <v>218001</v>
          </cell>
          <cell r="M2725">
            <v>1</v>
          </cell>
          <cell r="R2725">
            <v>45691</v>
          </cell>
          <cell r="S2725">
            <v>218001</v>
          </cell>
        </row>
        <row r="2726">
          <cell r="K2726" t="str">
            <v>206005</v>
          </cell>
          <cell r="M2726">
            <v>1</v>
          </cell>
          <cell r="R2726">
            <v>45691</v>
          </cell>
          <cell r="S2726">
            <v>206005</v>
          </cell>
        </row>
        <row r="2727">
          <cell r="K2727" t="str">
            <v>206002</v>
          </cell>
          <cell r="M2727">
            <v>1</v>
          </cell>
          <cell r="R2727">
            <v>45691</v>
          </cell>
          <cell r="S2727">
            <v>206002</v>
          </cell>
        </row>
        <row r="2728">
          <cell r="K2728" t="str">
            <v>208001</v>
          </cell>
          <cell r="M2728">
            <v>1</v>
          </cell>
          <cell r="R2728">
            <v>45691</v>
          </cell>
          <cell r="S2728">
            <v>208001</v>
          </cell>
        </row>
        <row r="2729">
          <cell r="K2729" t="str">
            <v>218001</v>
          </cell>
          <cell r="M2729">
            <v>1</v>
          </cell>
          <cell r="R2729">
            <v>45691</v>
          </cell>
          <cell r="S2729">
            <v>218001</v>
          </cell>
        </row>
        <row r="2730">
          <cell r="K2730" t="str">
            <v>218001</v>
          </cell>
          <cell r="M2730">
            <v>2</v>
          </cell>
          <cell r="R2730">
            <v>45691</v>
          </cell>
          <cell r="S2730">
            <v>218001</v>
          </cell>
        </row>
        <row r="2731">
          <cell r="K2731" t="str">
            <v>201002</v>
          </cell>
          <cell r="M2731">
            <v>5</v>
          </cell>
          <cell r="R2731">
            <v>45691</v>
          </cell>
          <cell r="S2731">
            <v>201002</v>
          </cell>
        </row>
        <row r="2732">
          <cell r="K2732" t="str">
            <v>228001</v>
          </cell>
          <cell r="M2732">
            <v>1</v>
          </cell>
          <cell r="R2732">
            <v>45691</v>
          </cell>
          <cell r="S2732">
            <v>228001</v>
          </cell>
        </row>
        <row r="2733">
          <cell r="K2733" t="str">
            <v>218001</v>
          </cell>
          <cell r="M2733">
            <v>1</v>
          </cell>
          <cell r="R2733">
            <v>45691</v>
          </cell>
          <cell r="S2733">
            <v>218001</v>
          </cell>
        </row>
        <row r="2734">
          <cell r="K2734" t="str">
            <v>218001</v>
          </cell>
          <cell r="M2734">
            <v>1</v>
          </cell>
          <cell r="R2734">
            <v>45691</v>
          </cell>
          <cell r="S2734">
            <v>218001</v>
          </cell>
        </row>
        <row r="2735">
          <cell r="K2735" t="str">
            <v>223001</v>
          </cell>
          <cell r="M2735">
            <v>3</v>
          </cell>
          <cell r="R2735">
            <v>45691</v>
          </cell>
          <cell r="S2735">
            <v>223001</v>
          </cell>
        </row>
        <row r="2736">
          <cell r="K2736" t="str">
            <v>201011</v>
          </cell>
          <cell r="M2736">
            <v>7</v>
          </cell>
          <cell r="R2736">
            <v>45691</v>
          </cell>
          <cell r="S2736">
            <v>201011</v>
          </cell>
        </row>
        <row r="2737">
          <cell r="K2737" t="str">
            <v>210001</v>
          </cell>
          <cell r="M2737">
            <v>1</v>
          </cell>
          <cell r="R2737">
            <v>45691</v>
          </cell>
          <cell r="S2737">
            <v>210001</v>
          </cell>
        </row>
        <row r="2738">
          <cell r="K2738" t="str">
            <v>201011</v>
          </cell>
          <cell r="M2738">
            <v>6</v>
          </cell>
          <cell r="R2738">
            <v>45691</v>
          </cell>
          <cell r="S2738">
            <v>201011</v>
          </cell>
        </row>
        <row r="2739">
          <cell r="K2739" t="str">
            <v>210014</v>
          </cell>
          <cell r="M2739">
            <v>4</v>
          </cell>
          <cell r="R2739">
            <v>45691</v>
          </cell>
          <cell r="S2739">
            <v>210014</v>
          </cell>
        </row>
        <row r="2740">
          <cell r="K2740" t="str">
            <v>201002</v>
          </cell>
          <cell r="M2740">
            <v>1</v>
          </cell>
          <cell r="R2740">
            <v>45691</v>
          </cell>
          <cell r="S2740">
            <v>201002</v>
          </cell>
        </row>
        <row r="2741">
          <cell r="K2741" t="str">
            <v>226027</v>
          </cell>
          <cell r="M2741">
            <v>1</v>
          </cell>
          <cell r="R2741">
            <v>45691</v>
          </cell>
          <cell r="S2741">
            <v>226027</v>
          </cell>
        </row>
        <row r="2742">
          <cell r="K2742" t="str">
            <v>226023</v>
          </cell>
          <cell r="M2742">
            <v>2</v>
          </cell>
          <cell r="R2742">
            <v>45691</v>
          </cell>
          <cell r="S2742">
            <v>226023</v>
          </cell>
        </row>
        <row r="2743">
          <cell r="K2743" t="str">
            <v>226026</v>
          </cell>
          <cell r="M2743">
            <v>2</v>
          </cell>
          <cell r="R2743">
            <v>45691</v>
          </cell>
          <cell r="S2743">
            <v>226026</v>
          </cell>
        </row>
        <row r="2744">
          <cell r="K2744" t="str">
            <v>212035</v>
          </cell>
          <cell r="M2744">
            <v>1</v>
          </cell>
          <cell r="R2744">
            <v>45691</v>
          </cell>
          <cell r="S2744">
            <v>212035</v>
          </cell>
        </row>
        <row r="2745">
          <cell r="K2745" t="str">
            <v>207017</v>
          </cell>
          <cell r="M2745">
            <v>1</v>
          </cell>
          <cell r="R2745">
            <v>45691</v>
          </cell>
          <cell r="S2745">
            <v>207017</v>
          </cell>
        </row>
        <row r="2746">
          <cell r="K2746" t="str">
            <v>228001</v>
          </cell>
          <cell r="M2746">
            <v>1</v>
          </cell>
          <cell r="R2746">
            <v>45691</v>
          </cell>
          <cell r="S2746">
            <v>228001</v>
          </cell>
        </row>
        <row r="2747">
          <cell r="K2747" t="str">
            <v>217011</v>
          </cell>
          <cell r="M2747">
            <v>4</v>
          </cell>
          <cell r="R2747">
            <v>45691</v>
          </cell>
          <cell r="S2747">
            <v>217011</v>
          </cell>
        </row>
        <row r="2748">
          <cell r="K2748" t="str">
            <v>201003</v>
          </cell>
          <cell r="M2748">
            <v>5</v>
          </cell>
          <cell r="R2748">
            <v>45691</v>
          </cell>
          <cell r="S2748">
            <v>201003</v>
          </cell>
        </row>
        <row r="2749">
          <cell r="K2749" t="str">
            <v>241001</v>
          </cell>
          <cell r="M2749">
            <v>1</v>
          </cell>
          <cell r="R2749">
            <v>45691</v>
          </cell>
          <cell r="S2749">
            <v>241001</v>
          </cell>
        </row>
        <row r="2750">
          <cell r="K2750" t="str">
            <v>222005</v>
          </cell>
          <cell r="M2750">
            <v>1</v>
          </cell>
          <cell r="R2750">
            <v>45691</v>
          </cell>
          <cell r="S2750">
            <v>222005</v>
          </cell>
        </row>
        <row r="2751">
          <cell r="K2751" t="str">
            <v>226025</v>
          </cell>
          <cell r="M2751">
            <v>2</v>
          </cell>
          <cell r="R2751">
            <v>45691</v>
          </cell>
          <cell r="S2751">
            <v>226025</v>
          </cell>
        </row>
        <row r="2752">
          <cell r="K2752" t="str">
            <v>217018</v>
          </cell>
          <cell r="M2752">
            <v>1</v>
          </cell>
          <cell r="R2752">
            <v>45691</v>
          </cell>
          <cell r="S2752">
            <v>217018</v>
          </cell>
        </row>
        <row r="2753">
          <cell r="K2753" t="str">
            <v>217018</v>
          </cell>
          <cell r="M2753">
            <v>2</v>
          </cell>
          <cell r="R2753">
            <v>45691</v>
          </cell>
          <cell r="S2753">
            <v>217018</v>
          </cell>
        </row>
        <row r="2754">
          <cell r="K2754" t="str">
            <v>201011</v>
          </cell>
          <cell r="M2754">
            <v>2</v>
          </cell>
          <cell r="R2754">
            <v>45691</v>
          </cell>
          <cell r="S2754">
            <v>201011</v>
          </cell>
        </row>
        <row r="2755">
          <cell r="K2755" t="str">
            <v>226001</v>
          </cell>
          <cell r="M2755">
            <v>1</v>
          </cell>
          <cell r="R2755">
            <v>45691</v>
          </cell>
          <cell r="S2755">
            <v>226001</v>
          </cell>
        </row>
        <row r="2756">
          <cell r="K2756" t="str">
            <v>228001</v>
          </cell>
          <cell r="M2756">
            <v>3</v>
          </cell>
          <cell r="R2756">
            <v>45691</v>
          </cell>
          <cell r="S2756">
            <v>228001</v>
          </cell>
        </row>
        <row r="2757">
          <cell r="K2757" t="str">
            <v>231012</v>
          </cell>
          <cell r="M2757">
            <v>1</v>
          </cell>
          <cell r="R2757">
            <v>45691</v>
          </cell>
          <cell r="S2757">
            <v>231012</v>
          </cell>
        </row>
        <row r="2758">
          <cell r="K2758" t="str">
            <v>207017</v>
          </cell>
          <cell r="M2758">
            <v>1</v>
          </cell>
          <cell r="R2758">
            <v>45691</v>
          </cell>
          <cell r="S2758">
            <v>207017</v>
          </cell>
        </row>
        <row r="2759">
          <cell r="K2759" t="str">
            <v>212002</v>
          </cell>
          <cell r="M2759">
            <v>1</v>
          </cell>
          <cell r="R2759">
            <v>45691</v>
          </cell>
          <cell r="S2759">
            <v>212002</v>
          </cell>
        </row>
        <row r="2760">
          <cell r="K2760" t="str">
            <v>203003</v>
          </cell>
          <cell r="M2760">
            <v>6</v>
          </cell>
          <cell r="R2760">
            <v>45692</v>
          </cell>
          <cell r="S2760">
            <v>203003</v>
          </cell>
        </row>
        <row r="2761">
          <cell r="K2761" t="str">
            <v>217018</v>
          </cell>
          <cell r="M2761">
            <v>1</v>
          </cell>
          <cell r="R2761">
            <v>45692</v>
          </cell>
          <cell r="S2761">
            <v>217018</v>
          </cell>
        </row>
        <row r="2762">
          <cell r="K2762" t="str">
            <v>201011</v>
          </cell>
          <cell r="M2762">
            <v>36</v>
          </cell>
          <cell r="R2762">
            <v>45692</v>
          </cell>
          <cell r="S2762">
            <v>201011</v>
          </cell>
        </row>
        <row r="2763">
          <cell r="K2763" t="str">
            <v>241001</v>
          </cell>
          <cell r="M2763">
            <v>2</v>
          </cell>
          <cell r="R2763">
            <v>45692</v>
          </cell>
          <cell r="S2763">
            <v>241001</v>
          </cell>
        </row>
        <row r="2764">
          <cell r="K2764" t="str">
            <v>213002</v>
          </cell>
          <cell r="M2764">
            <v>8</v>
          </cell>
          <cell r="R2764">
            <v>45692</v>
          </cell>
          <cell r="S2764">
            <v>213002</v>
          </cell>
        </row>
        <row r="2765">
          <cell r="K2765" t="str">
            <v>228001</v>
          </cell>
          <cell r="M2765">
            <v>4</v>
          </cell>
          <cell r="R2765">
            <v>45692</v>
          </cell>
          <cell r="S2765">
            <v>228001</v>
          </cell>
        </row>
        <row r="2766">
          <cell r="K2766" t="str">
            <v>213002</v>
          </cell>
          <cell r="M2766">
            <v>2</v>
          </cell>
          <cell r="R2766">
            <v>45692</v>
          </cell>
          <cell r="S2766">
            <v>213002</v>
          </cell>
        </row>
        <row r="2767">
          <cell r="K2767" t="str">
            <v>241001</v>
          </cell>
          <cell r="M2767">
            <v>1</v>
          </cell>
          <cell r="R2767">
            <v>45692</v>
          </cell>
          <cell r="S2767">
            <v>241001</v>
          </cell>
        </row>
        <row r="2768">
          <cell r="K2768" t="str">
            <v>213002</v>
          </cell>
          <cell r="M2768">
            <v>6</v>
          </cell>
          <cell r="R2768">
            <v>45692</v>
          </cell>
          <cell r="S2768">
            <v>213002</v>
          </cell>
        </row>
        <row r="2769">
          <cell r="K2769" t="str">
            <v>228001</v>
          </cell>
          <cell r="M2769">
            <v>4</v>
          </cell>
          <cell r="R2769">
            <v>45692</v>
          </cell>
          <cell r="S2769">
            <v>228001</v>
          </cell>
        </row>
        <row r="2770">
          <cell r="K2770" t="str">
            <v>217018</v>
          </cell>
          <cell r="M2770">
            <v>2</v>
          </cell>
          <cell r="R2770">
            <v>45692</v>
          </cell>
          <cell r="S2770">
            <v>217018</v>
          </cell>
        </row>
        <row r="2771">
          <cell r="K2771" t="str">
            <v>210001</v>
          </cell>
          <cell r="M2771">
            <v>2</v>
          </cell>
          <cell r="R2771">
            <v>45692</v>
          </cell>
          <cell r="S2771">
            <v>210001</v>
          </cell>
        </row>
        <row r="2772">
          <cell r="K2772" t="str">
            <v>228001</v>
          </cell>
          <cell r="M2772">
            <v>4</v>
          </cell>
          <cell r="R2772">
            <v>45692</v>
          </cell>
          <cell r="S2772">
            <v>228001</v>
          </cell>
        </row>
        <row r="2773">
          <cell r="K2773" t="str">
            <v>201002</v>
          </cell>
          <cell r="M2773">
            <v>2</v>
          </cell>
          <cell r="R2773">
            <v>45692</v>
          </cell>
          <cell r="S2773">
            <v>201002</v>
          </cell>
        </row>
        <row r="2774">
          <cell r="K2774" t="str">
            <v>226001</v>
          </cell>
          <cell r="M2774">
            <v>1</v>
          </cell>
          <cell r="R2774">
            <v>45692</v>
          </cell>
          <cell r="S2774">
            <v>226001</v>
          </cell>
        </row>
        <row r="2775">
          <cell r="K2775" t="str">
            <v>241001</v>
          </cell>
          <cell r="M2775">
            <v>1</v>
          </cell>
          <cell r="R2775">
            <v>45692</v>
          </cell>
          <cell r="S2775">
            <v>241001</v>
          </cell>
        </row>
        <row r="2776">
          <cell r="K2776" t="str">
            <v>201011</v>
          </cell>
          <cell r="M2776">
            <v>8</v>
          </cell>
          <cell r="R2776">
            <v>45692</v>
          </cell>
          <cell r="S2776">
            <v>201011</v>
          </cell>
        </row>
        <row r="2777">
          <cell r="K2777" t="str">
            <v>203001</v>
          </cell>
          <cell r="M2777">
            <v>1</v>
          </cell>
          <cell r="R2777">
            <v>45692</v>
          </cell>
          <cell r="S2777">
            <v>203001</v>
          </cell>
        </row>
        <row r="2778">
          <cell r="K2778" t="str">
            <v>227001</v>
          </cell>
          <cell r="M2778">
            <v>3</v>
          </cell>
          <cell r="R2778">
            <v>45692</v>
          </cell>
          <cell r="S2778">
            <v>227001</v>
          </cell>
        </row>
        <row r="2779">
          <cell r="K2779" t="str">
            <v>213002</v>
          </cell>
          <cell r="M2779">
            <v>6</v>
          </cell>
          <cell r="R2779">
            <v>45692</v>
          </cell>
          <cell r="S2779">
            <v>213002</v>
          </cell>
        </row>
        <row r="2780">
          <cell r="K2780" t="str">
            <v>210001</v>
          </cell>
          <cell r="M2780">
            <v>1</v>
          </cell>
          <cell r="R2780">
            <v>45692</v>
          </cell>
          <cell r="S2780">
            <v>210001</v>
          </cell>
        </row>
        <row r="2781">
          <cell r="K2781" t="str">
            <v>228001</v>
          </cell>
          <cell r="M2781">
            <v>4</v>
          </cell>
          <cell r="R2781">
            <v>45692</v>
          </cell>
          <cell r="S2781">
            <v>228001</v>
          </cell>
        </row>
        <row r="2782">
          <cell r="K2782" t="str">
            <v>228001</v>
          </cell>
          <cell r="M2782">
            <v>10</v>
          </cell>
          <cell r="R2782">
            <v>45692</v>
          </cell>
          <cell r="S2782">
            <v>228001</v>
          </cell>
        </row>
        <row r="2783">
          <cell r="K2783" t="str">
            <v>209016</v>
          </cell>
          <cell r="M2783">
            <v>3</v>
          </cell>
          <cell r="R2783">
            <v>45692</v>
          </cell>
          <cell r="S2783">
            <v>209016</v>
          </cell>
        </row>
        <row r="2784">
          <cell r="K2784" t="str">
            <v>228001</v>
          </cell>
          <cell r="M2784">
            <v>15</v>
          </cell>
          <cell r="R2784">
            <v>45692</v>
          </cell>
          <cell r="S2784">
            <v>228001</v>
          </cell>
        </row>
        <row r="2785">
          <cell r="K2785" t="str">
            <v>231012</v>
          </cell>
          <cell r="M2785">
            <v>15</v>
          </cell>
          <cell r="R2785">
            <v>45692</v>
          </cell>
          <cell r="S2785">
            <v>231012</v>
          </cell>
        </row>
        <row r="2786">
          <cell r="K2786" t="str">
            <v>213024</v>
          </cell>
          <cell r="M2786">
            <v>2</v>
          </cell>
          <cell r="R2786">
            <v>45692</v>
          </cell>
          <cell r="S2786">
            <v>213024</v>
          </cell>
        </row>
        <row r="2787">
          <cell r="K2787" t="str">
            <v>213002</v>
          </cell>
          <cell r="M2787">
            <v>9</v>
          </cell>
          <cell r="R2787">
            <v>45693</v>
          </cell>
          <cell r="S2787">
            <v>213002</v>
          </cell>
        </row>
        <row r="2788">
          <cell r="K2788" t="str">
            <v>201011</v>
          </cell>
          <cell r="M2788">
            <v>3</v>
          </cell>
          <cell r="R2788">
            <v>45693</v>
          </cell>
          <cell r="S2788">
            <v>201011</v>
          </cell>
        </row>
        <row r="2789">
          <cell r="K2789" t="str">
            <v>210010</v>
          </cell>
          <cell r="M2789">
            <v>2</v>
          </cell>
          <cell r="R2789">
            <v>45693</v>
          </cell>
          <cell r="S2789">
            <v>210010</v>
          </cell>
        </row>
        <row r="2790">
          <cell r="K2790" t="str">
            <v>212035</v>
          </cell>
          <cell r="M2790">
            <v>3</v>
          </cell>
          <cell r="R2790">
            <v>45693</v>
          </cell>
          <cell r="S2790">
            <v>212035</v>
          </cell>
        </row>
        <row r="2791">
          <cell r="K2791" t="str">
            <v>231004</v>
          </cell>
          <cell r="M2791">
            <v>1</v>
          </cell>
          <cell r="R2791">
            <v>45693</v>
          </cell>
          <cell r="S2791">
            <v>231004</v>
          </cell>
        </row>
        <row r="2792">
          <cell r="K2792" t="str">
            <v>209012</v>
          </cell>
          <cell r="M2792">
            <v>1</v>
          </cell>
          <cell r="R2792">
            <v>45693</v>
          </cell>
          <cell r="S2792">
            <v>209012</v>
          </cell>
        </row>
        <row r="2793">
          <cell r="K2793" t="str">
            <v>228001</v>
          </cell>
          <cell r="M2793">
            <v>4</v>
          </cell>
          <cell r="R2793">
            <v>45693</v>
          </cell>
          <cell r="S2793">
            <v>228001</v>
          </cell>
        </row>
        <row r="2794">
          <cell r="K2794" t="str">
            <v>201011</v>
          </cell>
          <cell r="M2794">
            <v>3</v>
          </cell>
          <cell r="R2794">
            <v>45693</v>
          </cell>
          <cell r="S2794">
            <v>201011</v>
          </cell>
        </row>
        <row r="2795">
          <cell r="K2795" t="str">
            <v>201002</v>
          </cell>
          <cell r="M2795">
            <v>2</v>
          </cell>
          <cell r="R2795">
            <v>45693</v>
          </cell>
          <cell r="S2795">
            <v>201002</v>
          </cell>
        </row>
        <row r="2796">
          <cell r="K2796" t="str">
            <v>231012</v>
          </cell>
          <cell r="M2796">
            <v>1</v>
          </cell>
          <cell r="R2796">
            <v>45693</v>
          </cell>
          <cell r="S2796">
            <v>231012</v>
          </cell>
        </row>
        <row r="2797">
          <cell r="K2797" t="str">
            <v>209004</v>
          </cell>
          <cell r="M2797">
            <v>3</v>
          </cell>
          <cell r="R2797">
            <v>45693</v>
          </cell>
          <cell r="S2797">
            <v>209004</v>
          </cell>
        </row>
        <row r="2798">
          <cell r="K2798" t="str">
            <v>226001</v>
          </cell>
          <cell r="M2798">
            <v>4</v>
          </cell>
          <cell r="R2798">
            <v>45693</v>
          </cell>
          <cell r="S2798">
            <v>226001</v>
          </cell>
        </row>
        <row r="2799">
          <cell r="K2799" t="str">
            <v>213002</v>
          </cell>
          <cell r="M2799">
            <v>1</v>
          </cell>
          <cell r="R2799">
            <v>45693</v>
          </cell>
          <cell r="S2799">
            <v>213002</v>
          </cell>
        </row>
        <row r="2800">
          <cell r="K2800" t="str">
            <v>213024</v>
          </cell>
          <cell r="M2800">
            <v>1</v>
          </cell>
          <cell r="R2800">
            <v>45693</v>
          </cell>
          <cell r="S2800">
            <v>213024</v>
          </cell>
        </row>
        <row r="2801">
          <cell r="K2801" t="str">
            <v>241001</v>
          </cell>
          <cell r="M2801">
            <v>5</v>
          </cell>
          <cell r="R2801">
            <v>45693</v>
          </cell>
          <cell r="S2801">
            <v>241001</v>
          </cell>
        </row>
        <row r="2802">
          <cell r="K2802" t="str">
            <v>201009</v>
          </cell>
          <cell r="M2802">
            <v>1</v>
          </cell>
          <cell r="R2802">
            <v>45693</v>
          </cell>
          <cell r="S2802">
            <v>201009</v>
          </cell>
        </row>
        <row r="2803">
          <cell r="K2803" t="str">
            <v>201011</v>
          </cell>
          <cell r="M2803">
            <v>1</v>
          </cell>
          <cell r="R2803">
            <v>45693</v>
          </cell>
          <cell r="S2803">
            <v>201011</v>
          </cell>
        </row>
        <row r="2804">
          <cell r="K2804" t="str">
            <v>213002</v>
          </cell>
          <cell r="M2804">
            <v>1</v>
          </cell>
          <cell r="R2804">
            <v>45693</v>
          </cell>
          <cell r="S2804">
            <v>213002</v>
          </cell>
        </row>
        <row r="2805">
          <cell r="K2805" t="str">
            <v>201011</v>
          </cell>
          <cell r="M2805">
            <v>3</v>
          </cell>
          <cell r="R2805">
            <v>45693</v>
          </cell>
          <cell r="S2805">
            <v>201011</v>
          </cell>
        </row>
        <row r="2806">
          <cell r="K2806" t="str">
            <v>213002</v>
          </cell>
          <cell r="M2806">
            <v>6</v>
          </cell>
          <cell r="R2806">
            <v>45693</v>
          </cell>
          <cell r="S2806">
            <v>213002</v>
          </cell>
        </row>
        <row r="2807">
          <cell r="K2807" t="str">
            <v>207017</v>
          </cell>
          <cell r="M2807">
            <v>1</v>
          </cell>
          <cell r="R2807">
            <v>45693</v>
          </cell>
          <cell r="S2807">
            <v>207017</v>
          </cell>
        </row>
        <row r="2808">
          <cell r="K2808" t="str">
            <v>231012</v>
          </cell>
          <cell r="M2808">
            <v>2</v>
          </cell>
          <cell r="R2808">
            <v>45693</v>
          </cell>
          <cell r="S2808">
            <v>231012</v>
          </cell>
        </row>
        <row r="2809">
          <cell r="K2809" t="str">
            <v>201002</v>
          </cell>
          <cell r="M2809">
            <v>20</v>
          </cell>
          <cell r="R2809">
            <v>45693</v>
          </cell>
          <cell r="S2809">
            <v>201002</v>
          </cell>
        </row>
        <row r="2810">
          <cell r="K2810" t="str">
            <v>201003</v>
          </cell>
          <cell r="M2810">
            <v>5</v>
          </cell>
          <cell r="R2810">
            <v>45693</v>
          </cell>
          <cell r="S2810">
            <v>201003</v>
          </cell>
        </row>
        <row r="2811">
          <cell r="K2811" t="str">
            <v>241001</v>
          </cell>
          <cell r="M2811">
            <v>13</v>
          </cell>
          <cell r="R2811">
            <v>45693</v>
          </cell>
          <cell r="S2811">
            <v>241001</v>
          </cell>
        </row>
        <row r="2812">
          <cell r="K2812" t="str">
            <v>209001</v>
          </cell>
          <cell r="M2812">
            <v>2</v>
          </cell>
          <cell r="R2812">
            <v>45693</v>
          </cell>
          <cell r="S2812">
            <v>209001</v>
          </cell>
        </row>
        <row r="2813">
          <cell r="K2813" t="str">
            <v>209006</v>
          </cell>
          <cell r="M2813">
            <v>1</v>
          </cell>
          <cell r="R2813">
            <v>45693</v>
          </cell>
          <cell r="S2813">
            <v>209006</v>
          </cell>
        </row>
        <row r="2814">
          <cell r="K2814" t="str">
            <v>217002</v>
          </cell>
          <cell r="M2814">
            <v>3</v>
          </cell>
          <cell r="R2814">
            <v>45693</v>
          </cell>
          <cell r="S2814">
            <v>217002</v>
          </cell>
        </row>
        <row r="2815">
          <cell r="K2815" t="str">
            <v>210013</v>
          </cell>
          <cell r="M2815">
            <v>4</v>
          </cell>
          <cell r="R2815">
            <v>45693</v>
          </cell>
          <cell r="S2815">
            <v>210013</v>
          </cell>
        </row>
        <row r="2816">
          <cell r="K2816" t="str">
            <v>241001</v>
          </cell>
          <cell r="M2816">
            <v>7</v>
          </cell>
          <cell r="R2816">
            <v>45693</v>
          </cell>
          <cell r="S2816">
            <v>241001</v>
          </cell>
        </row>
        <row r="2817">
          <cell r="K2817" t="str">
            <v>201002</v>
          </cell>
          <cell r="M2817">
            <v>1</v>
          </cell>
          <cell r="R2817">
            <v>45693</v>
          </cell>
          <cell r="S2817">
            <v>201002</v>
          </cell>
        </row>
        <row r="2818">
          <cell r="K2818" t="str">
            <v>201011</v>
          </cell>
          <cell r="M2818">
            <v>3</v>
          </cell>
          <cell r="R2818">
            <v>45693</v>
          </cell>
          <cell r="S2818">
            <v>201011</v>
          </cell>
        </row>
        <row r="2819">
          <cell r="K2819" t="str">
            <v>210002</v>
          </cell>
          <cell r="M2819">
            <v>1</v>
          </cell>
          <cell r="R2819">
            <v>45693</v>
          </cell>
          <cell r="S2819">
            <v>210002</v>
          </cell>
        </row>
        <row r="2820">
          <cell r="K2820" t="str">
            <v>231012</v>
          </cell>
          <cell r="M2820">
            <v>1</v>
          </cell>
          <cell r="R2820">
            <v>45693</v>
          </cell>
          <cell r="S2820">
            <v>231012</v>
          </cell>
        </row>
        <row r="2821">
          <cell r="K2821" t="str">
            <v>241001</v>
          </cell>
          <cell r="M2821">
            <v>1</v>
          </cell>
          <cell r="R2821">
            <v>45693</v>
          </cell>
          <cell r="S2821">
            <v>241001</v>
          </cell>
        </row>
        <row r="2822">
          <cell r="K2822" t="str">
            <v>201011</v>
          </cell>
          <cell r="M2822">
            <v>2</v>
          </cell>
          <cell r="R2822">
            <v>45693</v>
          </cell>
          <cell r="S2822">
            <v>201011</v>
          </cell>
        </row>
        <row r="2823">
          <cell r="K2823" t="str">
            <v>228001</v>
          </cell>
          <cell r="M2823">
            <v>4</v>
          </cell>
          <cell r="R2823">
            <v>45694</v>
          </cell>
          <cell r="S2823">
            <v>228001</v>
          </cell>
        </row>
        <row r="2824">
          <cell r="K2824" t="str">
            <v>228001</v>
          </cell>
          <cell r="M2824">
            <v>5</v>
          </cell>
          <cell r="R2824">
            <v>45694</v>
          </cell>
          <cell r="S2824">
            <v>228001</v>
          </cell>
        </row>
        <row r="2825">
          <cell r="K2825" t="str">
            <v>212035</v>
          </cell>
          <cell r="M2825">
            <v>4</v>
          </cell>
          <cell r="R2825">
            <v>45694</v>
          </cell>
          <cell r="S2825">
            <v>212035</v>
          </cell>
        </row>
        <row r="2826">
          <cell r="K2826" t="str">
            <v>213002</v>
          </cell>
          <cell r="M2826">
            <v>3</v>
          </cell>
          <cell r="R2826">
            <v>45694</v>
          </cell>
          <cell r="S2826">
            <v>213002</v>
          </cell>
        </row>
        <row r="2827">
          <cell r="K2827" t="str">
            <v>226001</v>
          </cell>
          <cell r="M2827">
            <v>2</v>
          </cell>
          <cell r="R2827">
            <v>45694</v>
          </cell>
          <cell r="S2827">
            <v>226001</v>
          </cell>
        </row>
        <row r="2828">
          <cell r="K2828" t="str">
            <v>223002</v>
          </cell>
          <cell r="M2828">
            <v>2</v>
          </cell>
          <cell r="R2828">
            <v>45694</v>
          </cell>
          <cell r="S2828">
            <v>223002</v>
          </cell>
        </row>
        <row r="2829">
          <cell r="K2829" t="str">
            <v>201011</v>
          </cell>
          <cell r="M2829">
            <v>1</v>
          </cell>
          <cell r="R2829">
            <v>45694</v>
          </cell>
          <cell r="S2829">
            <v>201011</v>
          </cell>
        </row>
        <row r="2830">
          <cell r="K2830" t="str">
            <v>231012</v>
          </cell>
          <cell r="M2830">
            <v>10</v>
          </cell>
          <cell r="R2830">
            <v>45694</v>
          </cell>
          <cell r="S2830">
            <v>231012</v>
          </cell>
        </row>
        <row r="2831">
          <cell r="K2831" t="str">
            <v>205004</v>
          </cell>
          <cell r="M2831">
            <v>1</v>
          </cell>
          <cell r="R2831">
            <v>45694</v>
          </cell>
          <cell r="S2831">
            <v>205004</v>
          </cell>
        </row>
        <row r="2832">
          <cell r="K2832" t="str">
            <v>201011</v>
          </cell>
          <cell r="M2832">
            <v>2</v>
          </cell>
          <cell r="R2832">
            <v>45694</v>
          </cell>
          <cell r="S2832">
            <v>201011</v>
          </cell>
        </row>
        <row r="2833">
          <cell r="K2833" t="str">
            <v>231012</v>
          </cell>
          <cell r="M2833">
            <v>1</v>
          </cell>
          <cell r="R2833">
            <v>45694</v>
          </cell>
          <cell r="S2833">
            <v>231012</v>
          </cell>
        </row>
        <row r="2834">
          <cell r="K2834" t="str">
            <v>213002</v>
          </cell>
          <cell r="M2834">
            <v>3</v>
          </cell>
          <cell r="R2834">
            <v>45694</v>
          </cell>
          <cell r="S2834">
            <v>213002</v>
          </cell>
        </row>
        <row r="2835">
          <cell r="K2835" t="str">
            <v>227013</v>
          </cell>
          <cell r="M2835">
            <v>1</v>
          </cell>
          <cell r="R2835">
            <v>45694</v>
          </cell>
          <cell r="S2835">
            <v>227013</v>
          </cell>
        </row>
        <row r="2836">
          <cell r="K2836" t="str">
            <v>217002</v>
          </cell>
          <cell r="M2836">
            <v>1</v>
          </cell>
          <cell r="R2836">
            <v>45694</v>
          </cell>
          <cell r="S2836">
            <v>217002</v>
          </cell>
        </row>
        <row r="2837">
          <cell r="K2837" t="str">
            <v>217011</v>
          </cell>
          <cell r="M2837">
            <v>2</v>
          </cell>
          <cell r="R2837">
            <v>45694</v>
          </cell>
          <cell r="S2837">
            <v>217011</v>
          </cell>
        </row>
        <row r="2838">
          <cell r="K2838" t="str">
            <v>231012</v>
          </cell>
          <cell r="M2838">
            <v>1</v>
          </cell>
          <cell r="R2838">
            <v>45694</v>
          </cell>
          <cell r="S2838">
            <v>231012</v>
          </cell>
        </row>
        <row r="2839">
          <cell r="K2839" t="str">
            <v>226001</v>
          </cell>
          <cell r="M2839">
            <v>1</v>
          </cell>
          <cell r="R2839">
            <v>45694</v>
          </cell>
          <cell r="S2839">
            <v>226001</v>
          </cell>
        </row>
        <row r="2840">
          <cell r="K2840" t="str">
            <v>223002</v>
          </cell>
          <cell r="M2840">
            <v>1</v>
          </cell>
          <cell r="R2840">
            <v>45694</v>
          </cell>
          <cell r="S2840">
            <v>223002</v>
          </cell>
        </row>
        <row r="2841">
          <cell r="K2841" t="str">
            <v>227001</v>
          </cell>
          <cell r="M2841">
            <v>2</v>
          </cell>
          <cell r="R2841">
            <v>45694</v>
          </cell>
          <cell r="S2841">
            <v>227001</v>
          </cell>
        </row>
        <row r="2842">
          <cell r="K2842" t="str">
            <v>213002</v>
          </cell>
          <cell r="M2842">
            <v>4</v>
          </cell>
          <cell r="R2842">
            <v>45694</v>
          </cell>
          <cell r="S2842">
            <v>213002</v>
          </cell>
        </row>
        <row r="2843">
          <cell r="K2843" t="str">
            <v>206006</v>
          </cell>
          <cell r="M2843">
            <v>1</v>
          </cell>
          <cell r="R2843">
            <v>45694</v>
          </cell>
          <cell r="S2843">
            <v>206006</v>
          </cell>
        </row>
        <row r="2844">
          <cell r="K2844" t="str">
            <v>206006</v>
          </cell>
          <cell r="M2844">
            <v>1</v>
          </cell>
          <cell r="R2844">
            <v>45694</v>
          </cell>
          <cell r="S2844">
            <v>206006</v>
          </cell>
        </row>
        <row r="2845">
          <cell r="K2845" t="str">
            <v>203004</v>
          </cell>
          <cell r="M2845">
            <v>1</v>
          </cell>
          <cell r="R2845">
            <v>45694</v>
          </cell>
          <cell r="S2845">
            <v>203004</v>
          </cell>
        </row>
        <row r="2846">
          <cell r="K2846" t="str">
            <v>213002</v>
          </cell>
          <cell r="M2846">
            <v>12</v>
          </cell>
          <cell r="R2846">
            <v>45694</v>
          </cell>
          <cell r="S2846">
            <v>213002</v>
          </cell>
        </row>
        <row r="2847">
          <cell r="K2847" t="str">
            <v>213002</v>
          </cell>
          <cell r="M2847">
            <v>2</v>
          </cell>
          <cell r="R2847">
            <v>45694</v>
          </cell>
          <cell r="S2847">
            <v>213002</v>
          </cell>
        </row>
        <row r="2848">
          <cell r="K2848" t="str">
            <v>213024</v>
          </cell>
          <cell r="M2848">
            <v>1</v>
          </cell>
          <cell r="R2848">
            <v>45694</v>
          </cell>
          <cell r="S2848">
            <v>213024</v>
          </cell>
        </row>
        <row r="2849">
          <cell r="K2849" t="str">
            <v>213024</v>
          </cell>
          <cell r="M2849">
            <v>4</v>
          </cell>
          <cell r="R2849">
            <v>45694</v>
          </cell>
          <cell r="S2849">
            <v>213024</v>
          </cell>
        </row>
        <row r="2850">
          <cell r="K2850" t="str">
            <v>213024</v>
          </cell>
          <cell r="M2850">
            <v>1</v>
          </cell>
          <cell r="R2850">
            <v>45694</v>
          </cell>
          <cell r="S2850">
            <v>213024</v>
          </cell>
        </row>
        <row r="2851">
          <cell r="K2851" t="str">
            <v>222001</v>
          </cell>
          <cell r="M2851">
            <v>1</v>
          </cell>
          <cell r="R2851">
            <v>45694</v>
          </cell>
          <cell r="S2851">
            <v>222001</v>
          </cell>
        </row>
        <row r="2852">
          <cell r="K2852" t="str">
            <v>201011</v>
          </cell>
          <cell r="M2852">
            <v>5</v>
          </cell>
          <cell r="R2852">
            <v>45694</v>
          </cell>
          <cell r="S2852">
            <v>201011</v>
          </cell>
        </row>
        <row r="2853">
          <cell r="K2853" t="str">
            <v>203001</v>
          </cell>
          <cell r="M2853">
            <v>3</v>
          </cell>
          <cell r="R2853">
            <v>45694</v>
          </cell>
          <cell r="S2853">
            <v>203001</v>
          </cell>
        </row>
        <row r="2854">
          <cell r="K2854" t="str">
            <v>213002</v>
          </cell>
          <cell r="M2854">
            <v>4</v>
          </cell>
          <cell r="R2854">
            <v>45694</v>
          </cell>
          <cell r="S2854">
            <v>213002</v>
          </cell>
        </row>
        <row r="2855">
          <cell r="K2855" t="str">
            <v>217019</v>
          </cell>
          <cell r="M2855">
            <v>1</v>
          </cell>
          <cell r="R2855">
            <v>45694</v>
          </cell>
          <cell r="S2855">
            <v>217019</v>
          </cell>
        </row>
        <row r="2856">
          <cell r="K2856" t="str">
            <v>226001</v>
          </cell>
          <cell r="M2856">
            <v>5</v>
          </cell>
          <cell r="R2856">
            <v>45694</v>
          </cell>
          <cell r="S2856">
            <v>226001</v>
          </cell>
        </row>
        <row r="2857">
          <cell r="K2857" t="str">
            <v>241001</v>
          </cell>
          <cell r="M2857">
            <v>3</v>
          </cell>
          <cell r="R2857">
            <v>45695</v>
          </cell>
          <cell r="S2857">
            <v>241001</v>
          </cell>
        </row>
        <row r="2858">
          <cell r="K2858" t="str">
            <v>222001</v>
          </cell>
          <cell r="M2858">
            <v>2</v>
          </cell>
          <cell r="R2858">
            <v>45695</v>
          </cell>
          <cell r="S2858">
            <v>222001</v>
          </cell>
        </row>
        <row r="2859">
          <cell r="K2859" t="str">
            <v>223001</v>
          </cell>
          <cell r="M2859">
            <v>2</v>
          </cell>
          <cell r="R2859">
            <v>45695</v>
          </cell>
          <cell r="S2859">
            <v>223001</v>
          </cell>
        </row>
        <row r="2860">
          <cell r="K2860" t="str">
            <v>223017</v>
          </cell>
          <cell r="M2860">
            <v>2</v>
          </cell>
          <cell r="R2860">
            <v>45695</v>
          </cell>
          <cell r="S2860">
            <v>223017</v>
          </cell>
        </row>
        <row r="2861">
          <cell r="K2861" t="str">
            <v>209001</v>
          </cell>
          <cell r="M2861">
            <v>1</v>
          </cell>
          <cell r="R2861">
            <v>45695</v>
          </cell>
          <cell r="S2861">
            <v>209001</v>
          </cell>
        </row>
        <row r="2862">
          <cell r="K2862" t="str">
            <v>228001</v>
          </cell>
          <cell r="M2862">
            <v>4</v>
          </cell>
          <cell r="R2862">
            <v>45695</v>
          </cell>
          <cell r="S2862">
            <v>228001</v>
          </cell>
        </row>
        <row r="2863">
          <cell r="K2863" t="str">
            <v>241001</v>
          </cell>
          <cell r="M2863">
            <v>4</v>
          </cell>
          <cell r="R2863">
            <v>45695</v>
          </cell>
          <cell r="S2863">
            <v>241001</v>
          </cell>
        </row>
        <row r="2864">
          <cell r="K2864" t="str">
            <v>226001</v>
          </cell>
          <cell r="M2864">
            <v>2</v>
          </cell>
          <cell r="R2864">
            <v>45695</v>
          </cell>
          <cell r="S2864">
            <v>226001</v>
          </cell>
        </row>
        <row r="2865">
          <cell r="K2865" t="str">
            <v>223002</v>
          </cell>
          <cell r="M2865">
            <v>7</v>
          </cell>
          <cell r="R2865">
            <v>45695</v>
          </cell>
          <cell r="S2865">
            <v>223002</v>
          </cell>
        </row>
        <row r="2866">
          <cell r="K2866" t="str">
            <v>206006</v>
          </cell>
          <cell r="M2866">
            <v>1</v>
          </cell>
          <cell r="R2866">
            <v>45695</v>
          </cell>
          <cell r="S2866">
            <v>206006</v>
          </cell>
        </row>
        <row r="2867">
          <cell r="K2867" t="str">
            <v>206002</v>
          </cell>
          <cell r="M2867">
            <v>1</v>
          </cell>
          <cell r="R2867">
            <v>45695</v>
          </cell>
          <cell r="S2867">
            <v>206002</v>
          </cell>
        </row>
        <row r="2868">
          <cell r="K2868" t="str">
            <v>208001</v>
          </cell>
          <cell r="M2868">
            <v>1</v>
          </cell>
          <cell r="R2868">
            <v>45695</v>
          </cell>
          <cell r="S2868">
            <v>208001</v>
          </cell>
        </row>
        <row r="2869">
          <cell r="K2869" t="str">
            <v>224001</v>
          </cell>
          <cell r="M2869">
            <v>1</v>
          </cell>
          <cell r="R2869">
            <v>45695</v>
          </cell>
          <cell r="S2869">
            <v>224001</v>
          </cell>
        </row>
        <row r="2870">
          <cell r="K2870" t="str">
            <v>207014</v>
          </cell>
          <cell r="M2870">
            <v>1</v>
          </cell>
          <cell r="R2870">
            <v>45695</v>
          </cell>
          <cell r="S2870">
            <v>207014</v>
          </cell>
        </row>
        <row r="2871">
          <cell r="K2871" t="str">
            <v>203001</v>
          </cell>
          <cell r="M2871">
            <v>4</v>
          </cell>
          <cell r="R2871">
            <v>45695</v>
          </cell>
          <cell r="S2871">
            <v>203001</v>
          </cell>
        </row>
        <row r="2872">
          <cell r="K2872" t="str">
            <v>210001</v>
          </cell>
          <cell r="M2872">
            <v>10</v>
          </cell>
          <cell r="R2872">
            <v>45695</v>
          </cell>
          <cell r="S2872">
            <v>210001</v>
          </cell>
        </row>
        <row r="2873">
          <cell r="K2873" t="str">
            <v>201003</v>
          </cell>
          <cell r="M2873">
            <v>2</v>
          </cell>
          <cell r="R2873">
            <v>45695</v>
          </cell>
          <cell r="S2873">
            <v>201003</v>
          </cell>
        </row>
        <row r="2874">
          <cell r="K2874" t="str">
            <v>201003</v>
          </cell>
          <cell r="M2874">
            <v>1</v>
          </cell>
          <cell r="R2874">
            <v>45695</v>
          </cell>
          <cell r="S2874">
            <v>201003</v>
          </cell>
        </row>
        <row r="2875">
          <cell r="K2875" t="str">
            <v>201011</v>
          </cell>
          <cell r="M2875">
            <v>1</v>
          </cell>
          <cell r="R2875">
            <v>45695</v>
          </cell>
          <cell r="S2875">
            <v>201011</v>
          </cell>
        </row>
        <row r="2876">
          <cell r="K2876" t="str">
            <v>217019</v>
          </cell>
          <cell r="M2876">
            <v>25</v>
          </cell>
          <cell r="R2876">
            <v>45695</v>
          </cell>
          <cell r="S2876">
            <v>217019</v>
          </cell>
        </row>
        <row r="2877">
          <cell r="K2877" t="str">
            <v>210003</v>
          </cell>
          <cell r="M2877">
            <v>1</v>
          </cell>
          <cell r="R2877">
            <v>45695</v>
          </cell>
          <cell r="S2877">
            <v>210003</v>
          </cell>
        </row>
        <row r="2878">
          <cell r="K2878" t="str">
            <v>227001</v>
          </cell>
          <cell r="M2878">
            <v>2</v>
          </cell>
          <cell r="R2878">
            <v>45695</v>
          </cell>
          <cell r="S2878">
            <v>227001</v>
          </cell>
        </row>
        <row r="2879">
          <cell r="K2879" t="str">
            <v>223001</v>
          </cell>
          <cell r="M2879">
            <v>1</v>
          </cell>
          <cell r="R2879">
            <v>45695</v>
          </cell>
          <cell r="S2879">
            <v>223001</v>
          </cell>
        </row>
        <row r="2880">
          <cell r="K2880" t="str">
            <v>223002</v>
          </cell>
          <cell r="M2880">
            <v>1</v>
          </cell>
          <cell r="R2880">
            <v>45695</v>
          </cell>
          <cell r="S2880">
            <v>223002</v>
          </cell>
        </row>
        <row r="2881">
          <cell r="K2881" t="str">
            <v>201011</v>
          </cell>
          <cell r="M2881">
            <v>50</v>
          </cell>
          <cell r="R2881">
            <v>45695</v>
          </cell>
          <cell r="S2881">
            <v>201011</v>
          </cell>
        </row>
        <row r="2882">
          <cell r="K2882" t="str">
            <v>210001</v>
          </cell>
          <cell r="M2882">
            <v>5</v>
          </cell>
          <cell r="R2882">
            <v>45695</v>
          </cell>
          <cell r="S2882">
            <v>210001</v>
          </cell>
        </row>
        <row r="2883">
          <cell r="K2883" t="str">
            <v>213002</v>
          </cell>
          <cell r="M2883">
            <v>8</v>
          </cell>
          <cell r="R2883">
            <v>45695</v>
          </cell>
          <cell r="S2883">
            <v>213002</v>
          </cell>
        </row>
        <row r="2884">
          <cell r="K2884" t="str">
            <v>217002</v>
          </cell>
          <cell r="M2884">
            <v>1</v>
          </cell>
          <cell r="R2884">
            <v>45697</v>
          </cell>
          <cell r="S2884">
            <v>217002</v>
          </cell>
        </row>
        <row r="2885">
          <cell r="K2885" t="str">
            <v>214002</v>
          </cell>
          <cell r="M2885">
            <v>1</v>
          </cell>
          <cell r="R2885">
            <v>45697</v>
          </cell>
          <cell r="S2885">
            <v>214002</v>
          </cell>
        </row>
        <row r="2886">
          <cell r="K2886" t="str">
            <v>226001</v>
          </cell>
          <cell r="M2886">
            <v>1</v>
          </cell>
          <cell r="R2886">
            <v>45697</v>
          </cell>
          <cell r="S2886">
            <v>226001</v>
          </cell>
        </row>
        <row r="2887">
          <cell r="K2887" t="str">
            <v>203004</v>
          </cell>
          <cell r="M2887">
            <v>1</v>
          </cell>
          <cell r="R2887">
            <v>45697</v>
          </cell>
          <cell r="S2887">
            <v>203004</v>
          </cell>
        </row>
        <row r="2888">
          <cell r="K2888" t="str">
            <v>213024</v>
          </cell>
          <cell r="M2888">
            <v>3</v>
          </cell>
          <cell r="R2888">
            <v>45697</v>
          </cell>
          <cell r="S2888">
            <v>213024</v>
          </cell>
        </row>
        <row r="2889">
          <cell r="K2889" t="str">
            <v>201011</v>
          </cell>
          <cell r="M2889">
            <v>8</v>
          </cell>
          <cell r="R2889">
            <v>45697</v>
          </cell>
          <cell r="S2889">
            <v>201011</v>
          </cell>
        </row>
        <row r="2890">
          <cell r="K2890" t="str">
            <v>222001</v>
          </cell>
          <cell r="M2890">
            <v>1</v>
          </cell>
          <cell r="R2890">
            <v>45697</v>
          </cell>
          <cell r="S2890">
            <v>222001</v>
          </cell>
        </row>
        <row r="2891">
          <cell r="K2891" t="str">
            <v>222007</v>
          </cell>
          <cell r="M2891">
            <v>1</v>
          </cell>
          <cell r="R2891">
            <v>45697</v>
          </cell>
          <cell r="S2891">
            <v>222007</v>
          </cell>
        </row>
        <row r="2892">
          <cell r="K2892" t="str">
            <v>203001</v>
          </cell>
          <cell r="M2892">
            <v>1</v>
          </cell>
          <cell r="R2892">
            <v>45697</v>
          </cell>
          <cell r="S2892">
            <v>203001</v>
          </cell>
        </row>
        <row r="2893">
          <cell r="K2893" t="str">
            <v>203001</v>
          </cell>
          <cell r="M2893">
            <v>2</v>
          </cell>
          <cell r="R2893">
            <v>45697</v>
          </cell>
          <cell r="S2893">
            <v>203001</v>
          </cell>
        </row>
        <row r="2894">
          <cell r="K2894" t="str">
            <v>228001</v>
          </cell>
          <cell r="M2894">
            <v>1</v>
          </cell>
          <cell r="R2894">
            <v>45697</v>
          </cell>
          <cell r="S2894">
            <v>228001</v>
          </cell>
        </row>
        <row r="2895">
          <cell r="K2895" t="str">
            <v>231012</v>
          </cell>
          <cell r="M2895">
            <v>6</v>
          </cell>
          <cell r="R2895">
            <v>45697</v>
          </cell>
          <cell r="S2895">
            <v>231012</v>
          </cell>
        </row>
        <row r="2896">
          <cell r="K2896" t="str">
            <v>223002</v>
          </cell>
          <cell r="M2896">
            <v>1</v>
          </cell>
          <cell r="R2896">
            <v>45697</v>
          </cell>
          <cell r="S2896">
            <v>223002</v>
          </cell>
        </row>
        <row r="2897">
          <cell r="K2897" t="str">
            <v>223001</v>
          </cell>
          <cell r="M2897">
            <v>10</v>
          </cell>
          <cell r="R2897">
            <v>45697</v>
          </cell>
          <cell r="S2897">
            <v>223001</v>
          </cell>
        </row>
        <row r="2898">
          <cell r="K2898" t="str">
            <v>227012</v>
          </cell>
          <cell r="M2898">
            <v>1</v>
          </cell>
          <cell r="R2898">
            <v>45697</v>
          </cell>
          <cell r="S2898">
            <v>227012</v>
          </cell>
        </row>
        <row r="2899">
          <cell r="K2899" t="str">
            <v>209022</v>
          </cell>
          <cell r="M2899">
            <v>6</v>
          </cell>
          <cell r="R2899">
            <v>45697</v>
          </cell>
          <cell r="S2899">
            <v>209022</v>
          </cell>
        </row>
        <row r="2900">
          <cell r="K2900" t="str">
            <v>213024</v>
          </cell>
          <cell r="M2900">
            <v>1</v>
          </cell>
          <cell r="R2900">
            <v>45697</v>
          </cell>
          <cell r="S2900">
            <v>213024</v>
          </cell>
        </row>
        <row r="2901">
          <cell r="K2901" t="str">
            <v>201011</v>
          </cell>
          <cell r="M2901">
            <v>2</v>
          </cell>
          <cell r="R2901">
            <v>45697</v>
          </cell>
          <cell r="S2901">
            <v>201011</v>
          </cell>
        </row>
        <row r="2902">
          <cell r="K2902" t="str">
            <v>201011</v>
          </cell>
          <cell r="M2902">
            <v>6</v>
          </cell>
          <cell r="R2902">
            <v>45697</v>
          </cell>
          <cell r="S2902">
            <v>201011</v>
          </cell>
        </row>
        <row r="2903">
          <cell r="K2903" t="str">
            <v>201011</v>
          </cell>
          <cell r="M2903">
            <v>3</v>
          </cell>
          <cell r="R2903">
            <v>45698</v>
          </cell>
          <cell r="S2903">
            <v>201011</v>
          </cell>
        </row>
        <row r="2904">
          <cell r="K2904" t="str">
            <v>213024</v>
          </cell>
          <cell r="M2904">
            <v>1</v>
          </cell>
          <cell r="R2904">
            <v>45698</v>
          </cell>
          <cell r="S2904">
            <v>213024</v>
          </cell>
        </row>
        <row r="2905">
          <cell r="K2905" t="str">
            <v>226001</v>
          </cell>
          <cell r="M2905">
            <v>1</v>
          </cell>
          <cell r="R2905">
            <v>45698</v>
          </cell>
          <cell r="S2905">
            <v>226001</v>
          </cell>
        </row>
        <row r="2906">
          <cell r="K2906" t="str">
            <v>209001</v>
          </cell>
          <cell r="M2906">
            <v>2</v>
          </cell>
          <cell r="R2906">
            <v>45698</v>
          </cell>
          <cell r="S2906">
            <v>209001</v>
          </cell>
        </row>
        <row r="2907">
          <cell r="K2907" t="str">
            <v>209004</v>
          </cell>
          <cell r="M2907">
            <v>1</v>
          </cell>
          <cell r="R2907">
            <v>45698</v>
          </cell>
          <cell r="S2907">
            <v>209004</v>
          </cell>
        </row>
        <row r="2908">
          <cell r="K2908" t="str">
            <v>201011</v>
          </cell>
          <cell r="M2908">
            <v>3</v>
          </cell>
          <cell r="R2908">
            <v>45698</v>
          </cell>
          <cell r="S2908">
            <v>201011</v>
          </cell>
        </row>
        <row r="2909">
          <cell r="K2909" t="str">
            <v>223001</v>
          </cell>
          <cell r="M2909">
            <v>2</v>
          </cell>
          <cell r="R2909">
            <v>45698</v>
          </cell>
          <cell r="S2909">
            <v>223001</v>
          </cell>
        </row>
        <row r="2910">
          <cell r="K2910" t="str">
            <v>217018</v>
          </cell>
          <cell r="M2910">
            <v>1</v>
          </cell>
          <cell r="R2910">
            <v>45698</v>
          </cell>
          <cell r="S2910">
            <v>217018</v>
          </cell>
        </row>
        <row r="2911">
          <cell r="K2911" t="str">
            <v>201011</v>
          </cell>
          <cell r="M2911">
            <v>2</v>
          </cell>
          <cell r="R2911">
            <v>45698</v>
          </cell>
          <cell r="S2911">
            <v>201011</v>
          </cell>
        </row>
        <row r="2912">
          <cell r="K2912" t="str">
            <v>201011</v>
          </cell>
          <cell r="M2912">
            <v>36</v>
          </cell>
          <cell r="R2912">
            <v>45698</v>
          </cell>
          <cell r="S2912">
            <v>201011</v>
          </cell>
        </row>
        <row r="2913">
          <cell r="K2913" t="str">
            <v>228001</v>
          </cell>
          <cell r="M2913">
            <v>3</v>
          </cell>
          <cell r="R2913">
            <v>45698</v>
          </cell>
          <cell r="S2913">
            <v>228001</v>
          </cell>
        </row>
        <row r="2914">
          <cell r="K2914" t="str">
            <v>222007</v>
          </cell>
          <cell r="M2914">
            <v>1</v>
          </cell>
          <cell r="R2914">
            <v>45698</v>
          </cell>
          <cell r="S2914">
            <v>222007</v>
          </cell>
        </row>
        <row r="2915">
          <cell r="K2915" t="str">
            <v>229004</v>
          </cell>
          <cell r="M2915">
            <v>4</v>
          </cell>
          <cell r="R2915">
            <v>45698</v>
          </cell>
          <cell r="S2915">
            <v>229004</v>
          </cell>
        </row>
        <row r="2916">
          <cell r="K2916" t="str">
            <v>231012</v>
          </cell>
          <cell r="M2916">
            <v>1</v>
          </cell>
          <cell r="R2916">
            <v>45698</v>
          </cell>
          <cell r="S2916">
            <v>231012</v>
          </cell>
        </row>
        <row r="2917">
          <cell r="K2917" t="str">
            <v>201003</v>
          </cell>
          <cell r="M2917">
            <v>1</v>
          </cell>
          <cell r="R2917">
            <v>45698</v>
          </cell>
          <cell r="S2917">
            <v>201003</v>
          </cell>
        </row>
        <row r="2918">
          <cell r="K2918" t="str">
            <v>207017</v>
          </cell>
          <cell r="M2918">
            <v>1</v>
          </cell>
          <cell r="R2918">
            <v>45698</v>
          </cell>
          <cell r="S2918">
            <v>207017</v>
          </cell>
        </row>
        <row r="2919">
          <cell r="K2919" t="str">
            <v>201003</v>
          </cell>
          <cell r="M2919">
            <v>6</v>
          </cell>
          <cell r="R2919">
            <v>45698</v>
          </cell>
          <cell r="S2919">
            <v>201003</v>
          </cell>
        </row>
        <row r="2920">
          <cell r="K2920" t="str">
            <v>207017</v>
          </cell>
          <cell r="M2920">
            <v>2</v>
          </cell>
          <cell r="R2920">
            <v>45698</v>
          </cell>
          <cell r="S2920">
            <v>207017</v>
          </cell>
        </row>
        <row r="2921">
          <cell r="K2921" t="str">
            <v>209004</v>
          </cell>
          <cell r="M2921">
            <v>1</v>
          </cell>
          <cell r="R2921">
            <v>45698</v>
          </cell>
          <cell r="S2921">
            <v>209004</v>
          </cell>
        </row>
        <row r="2922">
          <cell r="K2922" t="str">
            <v>212002</v>
          </cell>
          <cell r="M2922">
            <v>1</v>
          </cell>
          <cell r="R2922">
            <v>45698</v>
          </cell>
          <cell r="S2922">
            <v>212002</v>
          </cell>
        </row>
        <row r="2923">
          <cell r="K2923" t="str">
            <v>203001</v>
          </cell>
          <cell r="M2923">
            <v>1</v>
          </cell>
          <cell r="R2923">
            <v>45698</v>
          </cell>
          <cell r="S2923">
            <v>203001</v>
          </cell>
        </row>
        <row r="2924">
          <cell r="K2924" t="str">
            <v>207017</v>
          </cell>
          <cell r="M2924">
            <v>1</v>
          </cell>
          <cell r="R2924">
            <v>45698</v>
          </cell>
          <cell r="S2924">
            <v>207017</v>
          </cell>
        </row>
        <row r="2925">
          <cell r="K2925" t="str">
            <v>209004</v>
          </cell>
          <cell r="M2925">
            <v>1</v>
          </cell>
          <cell r="R2925">
            <v>45698</v>
          </cell>
          <cell r="S2925">
            <v>209004</v>
          </cell>
        </row>
        <row r="2926">
          <cell r="K2926" t="str">
            <v>213024</v>
          </cell>
          <cell r="M2926">
            <v>5</v>
          </cell>
          <cell r="R2926">
            <v>45698</v>
          </cell>
          <cell r="S2926">
            <v>213024</v>
          </cell>
        </row>
        <row r="2927">
          <cell r="K2927" t="str">
            <v>231012</v>
          </cell>
          <cell r="M2927">
            <v>6</v>
          </cell>
          <cell r="R2927">
            <v>45698</v>
          </cell>
          <cell r="S2927">
            <v>231012</v>
          </cell>
        </row>
        <row r="2928">
          <cell r="K2928" t="str">
            <v>203001</v>
          </cell>
          <cell r="M2928">
            <v>1</v>
          </cell>
          <cell r="R2928">
            <v>45698</v>
          </cell>
          <cell r="S2928">
            <v>203001</v>
          </cell>
        </row>
        <row r="2929">
          <cell r="K2929" t="str">
            <v>201011</v>
          </cell>
          <cell r="M2929">
            <v>10</v>
          </cell>
          <cell r="R2929">
            <v>45698</v>
          </cell>
          <cell r="S2929">
            <v>201011</v>
          </cell>
        </row>
        <row r="2930">
          <cell r="K2930" t="str">
            <v>201002</v>
          </cell>
          <cell r="M2930">
            <v>1</v>
          </cell>
          <cell r="R2930">
            <v>45698</v>
          </cell>
          <cell r="S2930">
            <v>201002</v>
          </cell>
        </row>
        <row r="2931">
          <cell r="K2931" t="str">
            <v>201011</v>
          </cell>
          <cell r="M2931">
            <v>1</v>
          </cell>
          <cell r="R2931">
            <v>45698</v>
          </cell>
          <cell r="S2931">
            <v>201011</v>
          </cell>
        </row>
        <row r="2932">
          <cell r="K2932" t="str">
            <v>227002</v>
          </cell>
          <cell r="M2932">
            <v>1</v>
          </cell>
          <cell r="R2932">
            <v>45698</v>
          </cell>
          <cell r="S2932">
            <v>227002</v>
          </cell>
        </row>
        <row r="2933">
          <cell r="K2933" t="str">
            <v>223001</v>
          </cell>
          <cell r="M2933">
            <v>2</v>
          </cell>
          <cell r="R2933">
            <v>45698</v>
          </cell>
          <cell r="S2933">
            <v>223001</v>
          </cell>
        </row>
        <row r="2934">
          <cell r="K2934" t="str">
            <v>229001</v>
          </cell>
          <cell r="M2934">
            <v>2</v>
          </cell>
          <cell r="R2934">
            <v>45698</v>
          </cell>
          <cell r="S2934">
            <v>229001</v>
          </cell>
        </row>
        <row r="2935">
          <cell r="K2935" t="str">
            <v>231012</v>
          </cell>
          <cell r="M2935">
            <v>2</v>
          </cell>
          <cell r="R2935">
            <v>45698</v>
          </cell>
          <cell r="S2935">
            <v>231012</v>
          </cell>
        </row>
        <row r="2936">
          <cell r="K2936" t="str">
            <v>209012</v>
          </cell>
          <cell r="M2936">
            <v>1</v>
          </cell>
          <cell r="R2936">
            <v>45698</v>
          </cell>
          <cell r="S2936">
            <v>209012</v>
          </cell>
        </row>
        <row r="2937">
          <cell r="K2937" t="str">
            <v>222001</v>
          </cell>
          <cell r="M2937">
            <v>3</v>
          </cell>
          <cell r="R2937">
            <v>45698</v>
          </cell>
          <cell r="S2937">
            <v>222001</v>
          </cell>
        </row>
        <row r="2938">
          <cell r="K2938" t="str">
            <v>217002</v>
          </cell>
          <cell r="M2938">
            <v>1</v>
          </cell>
          <cell r="R2938">
            <v>45698</v>
          </cell>
          <cell r="S2938">
            <v>217002</v>
          </cell>
        </row>
        <row r="2939">
          <cell r="K2939" t="str">
            <v>226025</v>
          </cell>
          <cell r="M2939">
            <v>1</v>
          </cell>
          <cell r="R2939">
            <v>45698</v>
          </cell>
          <cell r="S2939">
            <v>226025</v>
          </cell>
        </row>
        <row r="2940">
          <cell r="K2940" t="str">
            <v>217018</v>
          </cell>
          <cell r="M2940">
            <v>2</v>
          </cell>
          <cell r="R2940">
            <v>45698</v>
          </cell>
          <cell r="S2940">
            <v>217018</v>
          </cell>
        </row>
        <row r="2941">
          <cell r="K2941" t="str">
            <v>226026</v>
          </cell>
          <cell r="M2941">
            <v>2</v>
          </cell>
          <cell r="R2941">
            <v>45698</v>
          </cell>
          <cell r="S2941">
            <v>226026</v>
          </cell>
        </row>
        <row r="2942">
          <cell r="K2942" t="str">
            <v>212035</v>
          </cell>
          <cell r="M2942">
            <v>1</v>
          </cell>
          <cell r="R2942">
            <v>45698</v>
          </cell>
          <cell r="S2942">
            <v>212035</v>
          </cell>
        </row>
        <row r="2943">
          <cell r="K2943" t="str">
            <v>210001</v>
          </cell>
          <cell r="M2943">
            <v>1</v>
          </cell>
          <cell r="R2943">
            <v>45698</v>
          </cell>
          <cell r="S2943">
            <v>210001</v>
          </cell>
        </row>
        <row r="2944">
          <cell r="K2944" t="str">
            <v>231012</v>
          </cell>
          <cell r="M2944">
            <v>1</v>
          </cell>
          <cell r="R2944">
            <v>45698</v>
          </cell>
          <cell r="S2944">
            <v>231012</v>
          </cell>
        </row>
        <row r="2945">
          <cell r="K2945" t="str">
            <v>201004</v>
          </cell>
          <cell r="M2945">
            <v>2</v>
          </cell>
          <cell r="R2945">
            <v>45698</v>
          </cell>
          <cell r="S2945">
            <v>201004</v>
          </cell>
        </row>
        <row r="2946">
          <cell r="K2946" t="str">
            <v>201005</v>
          </cell>
          <cell r="M2946">
            <v>2</v>
          </cell>
          <cell r="R2946">
            <v>45698</v>
          </cell>
          <cell r="S2946">
            <v>201005</v>
          </cell>
        </row>
        <row r="2947">
          <cell r="K2947" t="str">
            <v>201003</v>
          </cell>
          <cell r="M2947">
            <v>2</v>
          </cell>
          <cell r="R2947">
            <v>45698</v>
          </cell>
          <cell r="S2947">
            <v>201003</v>
          </cell>
        </row>
        <row r="2948">
          <cell r="K2948" t="str">
            <v>217002</v>
          </cell>
          <cell r="M2948">
            <v>1</v>
          </cell>
          <cell r="R2948">
            <v>45698</v>
          </cell>
          <cell r="S2948">
            <v>217002</v>
          </cell>
        </row>
        <row r="2949">
          <cell r="K2949" t="str">
            <v>201011</v>
          </cell>
          <cell r="M2949">
            <v>2</v>
          </cell>
          <cell r="R2949">
            <v>45699</v>
          </cell>
          <cell r="S2949">
            <v>201011</v>
          </cell>
        </row>
        <row r="2950">
          <cell r="K2950" t="str">
            <v>201011</v>
          </cell>
          <cell r="M2950">
            <v>6</v>
          </cell>
          <cell r="R2950">
            <v>45699</v>
          </cell>
          <cell r="S2950">
            <v>201011</v>
          </cell>
        </row>
        <row r="2951">
          <cell r="K2951" t="str">
            <v>229001</v>
          </cell>
          <cell r="M2951">
            <v>1</v>
          </cell>
          <cell r="R2951">
            <v>45699</v>
          </cell>
          <cell r="S2951">
            <v>229001</v>
          </cell>
        </row>
        <row r="2952">
          <cell r="K2952" t="str">
            <v>207017</v>
          </cell>
          <cell r="M2952">
            <v>1</v>
          </cell>
          <cell r="R2952">
            <v>45699</v>
          </cell>
          <cell r="S2952">
            <v>207017</v>
          </cell>
        </row>
        <row r="2953">
          <cell r="K2953" t="str">
            <v>231012</v>
          </cell>
          <cell r="M2953">
            <v>1</v>
          </cell>
          <cell r="R2953">
            <v>45699</v>
          </cell>
          <cell r="S2953">
            <v>231012</v>
          </cell>
        </row>
        <row r="2954">
          <cell r="K2954" t="str">
            <v>209004</v>
          </cell>
          <cell r="M2954">
            <v>3</v>
          </cell>
          <cell r="R2954">
            <v>45699</v>
          </cell>
          <cell r="S2954">
            <v>209004</v>
          </cell>
        </row>
        <row r="2955">
          <cell r="K2955" t="str">
            <v>210013</v>
          </cell>
          <cell r="M2955">
            <v>2</v>
          </cell>
          <cell r="R2955">
            <v>45699</v>
          </cell>
          <cell r="S2955">
            <v>210013</v>
          </cell>
        </row>
        <row r="2956">
          <cell r="K2956" t="str">
            <v>226001</v>
          </cell>
          <cell r="M2956">
            <v>3</v>
          </cell>
          <cell r="R2956">
            <v>45699</v>
          </cell>
          <cell r="S2956">
            <v>226001</v>
          </cell>
        </row>
        <row r="2957">
          <cell r="K2957" t="str">
            <v>231012</v>
          </cell>
          <cell r="M2957">
            <v>1</v>
          </cell>
          <cell r="R2957">
            <v>45699</v>
          </cell>
          <cell r="S2957">
            <v>231012</v>
          </cell>
        </row>
        <row r="2958">
          <cell r="K2958" t="str">
            <v>201011</v>
          </cell>
          <cell r="M2958">
            <v>10</v>
          </cell>
          <cell r="R2958">
            <v>45699</v>
          </cell>
          <cell r="S2958">
            <v>201011</v>
          </cell>
        </row>
        <row r="2959">
          <cell r="K2959" t="str">
            <v>201011</v>
          </cell>
          <cell r="M2959">
            <v>6</v>
          </cell>
          <cell r="R2959">
            <v>45699</v>
          </cell>
          <cell r="S2959">
            <v>201011</v>
          </cell>
        </row>
        <row r="2960">
          <cell r="K2960" t="str">
            <v>228001</v>
          </cell>
          <cell r="M2960">
            <v>1</v>
          </cell>
          <cell r="R2960">
            <v>45699</v>
          </cell>
          <cell r="S2960">
            <v>228001</v>
          </cell>
        </row>
        <row r="2961">
          <cell r="K2961" t="str">
            <v>228001</v>
          </cell>
          <cell r="M2961">
            <v>2</v>
          </cell>
          <cell r="R2961">
            <v>45699</v>
          </cell>
          <cell r="S2961">
            <v>228001</v>
          </cell>
        </row>
        <row r="2962">
          <cell r="K2962" t="str">
            <v>228001</v>
          </cell>
          <cell r="M2962">
            <v>3</v>
          </cell>
          <cell r="R2962">
            <v>45699</v>
          </cell>
          <cell r="S2962">
            <v>228001</v>
          </cell>
        </row>
        <row r="2963">
          <cell r="K2963" t="str">
            <v>228001</v>
          </cell>
          <cell r="M2963">
            <v>3</v>
          </cell>
          <cell r="R2963">
            <v>45699</v>
          </cell>
          <cell r="S2963">
            <v>228001</v>
          </cell>
        </row>
        <row r="2964">
          <cell r="K2964" t="str">
            <v>213002</v>
          </cell>
          <cell r="M2964">
            <v>6</v>
          </cell>
          <cell r="R2964">
            <v>45699</v>
          </cell>
          <cell r="S2964">
            <v>213002</v>
          </cell>
        </row>
        <row r="2965">
          <cell r="K2965" t="str">
            <v>223002</v>
          </cell>
          <cell r="M2965">
            <v>6</v>
          </cell>
          <cell r="R2965">
            <v>45699</v>
          </cell>
          <cell r="S2965">
            <v>223002</v>
          </cell>
        </row>
        <row r="2966">
          <cell r="K2966" t="str">
            <v>213024</v>
          </cell>
          <cell r="M2966">
            <v>1</v>
          </cell>
          <cell r="R2966">
            <v>45699</v>
          </cell>
          <cell r="S2966">
            <v>213024</v>
          </cell>
        </row>
        <row r="2967">
          <cell r="K2967" t="str">
            <v>222001</v>
          </cell>
          <cell r="M2967">
            <v>1</v>
          </cell>
          <cell r="R2967">
            <v>45699</v>
          </cell>
          <cell r="S2967">
            <v>222001</v>
          </cell>
        </row>
        <row r="2968">
          <cell r="K2968" t="str">
            <v>228001</v>
          </cell>
          <cell r="M2968">
            <v>8</v>
          </cell>
          <cell r="R2968">
            <v>45699</v>
          </cell>
          <cell r="S2968">
            <v>228001</v>
          </cell>
        </row>
        <row r="2969">
          <cell r="K2969" t="str">
            <v>231012</v>
          </cell>
          <cell r="M2969">
            <v>20</v>
          </cell>
          <cell r="R2969">
            <v>45699</v>
          </cell>
          <cell r="S2969">
            <v>231012</v>
          </cell>
        </row>
        <row r="2970">
          <cell r="K2970" t="str">
            <v>209001</v>
          </cell>
          <cell r="M2970">
            <v>1</v>
          </cell>
          <cell r="R2970">
            <v>45699</v>
          </cell>
          <cell r="S2970">
            <v>209001</v>
          </cell>
        </row>
        <row r="2971">
          <cell r="K2971" t="str">
            <v>222001</v>
          </cell>
          <cell r="M2971">
            <v>1</v>
          </cell>
          <cell r="R2971">
            <v>45699</v>
          </cell>
          <cell r="S2971">
            <v>222001</v>
          </cell>
        </row>
        <row r="2972">
          <cell r="K2972" t="str">
            <v>213002</v>
          </cell>
          <cell r="M2972">
            <v>7</v>
          </cell>
          <cell r="R2972">
            <v>45699</v>
          </cell>
          <cell r="S2972">
            <v>213002</v>
          </cell>
        </row>
        <row r="2973">
          <cell r="K2973" t="str">
            <v>213002</v>
          </cell>
          <cell r="M2973">
            <v>1</v>
          </cell>
          <cell r="R2973">
            <v>45699</v>
          </cell>
          <cell r="S2973">
            <v>213002</v>
          </cell>
        </row>
        <row r="2974">
          <cell r="K2974" t="str">
            <v>213002</v>
          </cell>
          <cell r="M2974">
            <v>1</v>
          </cell>
          <cell r="R2974">
            <v>45699</v>
          </cell>
          <cell r="S2974">
            <v>213002</v>
          </cell>
        </row>
        <row r="2975">
          <cell r="K2975" t="str">
            <v>203003</v>
          </cell>
          <cell r="M2975">
            <v>1</v>
          </cell>
          <cell r="R2975">
            <v>45699</v>
          </cell>
          <cell r="S2975">
            <v>203003</v>
          </cell>
        </row>
        <row r="2976">
          <cell r="K2976" t="str">
            <v>210014</v>
          </cell>
          <cell r="M2976">
            <v>4</v>
          </cell>
          <cell r="R2976">
            <v>45699</v>
          </cell>
          <cell r="S2976">
            <v>210014</v>
          </cell>
        </row>
        <row r="2977">
          <cell r="K2977" t="str">
            <v>210010</v>
          </cell>
          <cell r="M2977">
            <v>2</v>
          </cell>
          <cell r="R2977">
            <v>45699</v>
          </cell>
          <cell r="S2977">
            <v>210010</v>
          </cell>
        </row>
        <row r="2978">
          <cell r="K2978" t="str">
            <v>213002</v>
          </cell>
          <cell r="M2978">
            <v>90</v>
          </cell>
          <cell r="R2978">
            <v>45699</v>
          </cell>
          <cell r="S2978">
            <v>213002</v>
          </cell>
        </row>
        <row r="2979">
          <cell r="K2979" t="str">
            <v>213002</v>
          </cell>
          <cell r="M2979">
            <v>35</v>
          </cell>
          <cell r="R2979">
            <v>45699</v>
          </cell>
          <cell r="S2979">
            <v>213002</v>
          </cell>
        </row>
        <row r="2980">
          <cell r="K2980" t="str">
            <v>213024</v>
          </cell>
          <cell r="M2980">
            <v>2</v>
          </cell>
          <cell r="R2980">
            <v>45699</v>
          </cell>
          <cell r="S2980">
            <v>213024</v>
          </cell>
        </row>
        <row r="2981">
          <cell r="K2981" t="str">
            <v>228001</v>
          </cell>
          <cell r="M2981">
            <v>2</v>
          </cell>
          <cell r="R2981">
            <v>45699</v>
          </cell>
          <cell r="S2981">
            <v>228001</v>
          </cell>
        </row>
        <row r="2982">
          <cell r="K2982" t="str">
            <v>213002</v>
          </cell>
          <cell r="M2982">
            <v>1</v>
          </cell>
          <cell r="R2982">
            <v>45699</v>
          </cell>
          <cell r="S2982">
            <v>213002</v>
          </cell>
        </row>
        <row r="2983">
          <cell r="K2983" t="str">
            <v>203003</v>
          </cell>
          <cell r="M2983">
            <v>3</v>
          </cell>
          <cell r="R2983">
            <v>45699</v>
          </cell>
          <cell r="S2983">
            <v>203003</v>
          </cell>
        </row>
        <row r="2984">
          <cell r="K2984" t="str">
            <v>201011</v>
          </cell>
          <cell r="M2984">
            <v>2</v>
          </cell>
          <cell r="R2984">
            <v>45699</v>
          </cell>
          <cell r="S2984">
            <v>201011</v>
          </cell>
        </row>
        <row r="2985">
          <cell r="K2985" t="str">
            <v>222001</v>
          </cell>
          <cell r="M2985">
            <v>1</v>
          </cell>
          <cell r="R2985">
            <v>45699</v>
          </cell>
          <cell r="S2985">
            <v>222001</v>
          </cell>
        </row>
        <row r="2986">
          <cell r="K2986" t="str">
            <v>201011</v>
          </cell>
          <cell r="M2986">
            <v>3</v>
          </cell>
          <cell r="R2986">
            <v>45699</v>
          </cell>
          <cell r="S2986">
            <v>201011</v>
          </cell>
        </row>
        <row r="2987">
          <cell r="K2987" t="str">
            <v>209001</v>
          </cell>
          <cell r="M2987">
            <v>1</v>
          </cell>
          <cell r="R2987">
            <v>45699</v>
          </cell>
          <cell r="S2987">
            <v>209001</v>
          </cell>
        </row>
        <row r="2988">
          <cell r="K2988" t="str">
            <v>210010</v>
          </cell>
          <cell r="M2988">
            <v>2</v>
          </cell>
          <cell r="R2988">
            <v>45700</v>
          </cell>
          <cell r="S2988">
            <v>210010</v>
          </cell>
        </row>
        <row r="2989">
          <cell r="K2989" t="str">
            <v>228001</v>
          </cell>
          <cell r="M2989">
            <v>15</v>
          </cell>
          <cell r="R2989">
            <v>45700</v>
          </cell>
          <cell r="S2989">
            <v>228001</v>
          </cell>
        </row>
        <row r="2990">
          <cell r="K2990" t="str">
            <v>231012</v>
          </cell>
          <cell r="M2990">
            <v>2</v>
          </cell>
          <cell r="R2990">
            <v>45700</v>
          </cell>
          <cell r="S2990">
            <v>231012</v>
          </cell>
        </row>
        <row r="2991">
          <cell r="K2991" t="str">
            <v>209004</v>
          </cell>
          <cell r="M2991">
            <v>1</v>
          </cell>
          <cell r="R2991">
            <v>45700</v>
          </cell>
          <cell r="S2991">
            <v>209004</v>
          </cell>
        </row>
        <row r="2992">
          <cell r="K2992" t="str">
            <v>217019</v>
          </cell>
          <cell r="M2992">
            <v>5</v>
          </cell>
          <cell r="R2992">
            <v>45700</v>
          </cell>
          <cell r="S2992">
            <v>217019</v>
          </cell>
        </row>
        <row r="2993">
          <cell r="K2993" t="str">
            <v>213024</v>
          </cell>
          <cell r="M2993">
            <v>4</v>
          </cell>
          <cell r="R2993">
            <v>45700</v>
          </cell>
          <cell r="S2993">
            <v>213024</v>
          </cell>
        </row>
        <row r="2994">
          <cell r="K2994" t="str">
            <v>228001</v>
          </cell>
          <cell r="M2994">
            <v>5</v>
          </cell>
          <cell r="R2994">
            <v>45700</v>
          </cell>
          <cell r="S2994">
            <v>228001</v>
          </cell>
        </row>
        <row r="2995">
          <cell r="K2995" t="str">
            <v>234001</v>
          </cell>
          <cell r="M2995">
            <v>1</v>
          </cell>
          <cell r="R2995">
            <v>45700</v>
          </cell>
          <cell r="S2995">
            <v>234001</v>
          </cell>
        </row>
        <row r="2996">
          <cell r="K2996" t="str">
            <v>231006</v>
          </cell>
          <cell r="M2996">
            <v>1</v>
          </cell>
          <cell r="R2996">
            <v>45700</v>
          </cell>
          <cell r="S2996">
            <v>231006</v>
          </cell>
        </row>
        <row r="2997">
          <cell r="K2997" t="str">
            <v>222001</v>
          </cell>
          <cell r="M2997">
            <v>1</v>
          </cell>
          <cell r="R2997">
            <v>45700</v>
          </cell>
          <cell r="S2997">
            <v>222001</v>
          </cell>
        </row>
        <row r="2998">
          <cell r="K2998" t="str">
            <v>203003</v>
          </cell>
          <cell r="M2998">
            <v>5</v>
          </cell>
          <cell r="R2998">
            <v>45700</v>
          </cell>
          <cell r="S2998">
            <v>203003</v>
          </cell>
        </row>
        <row r="2999">
          <cell r="K2999" t="str">
            <v>210001</v>
          </cell>
          <cell r="M2999">
            <v>1</v>
          </cell>
          <cell r="R2999">
            <v>45700</v>
          </cell>
          <cell r="S2999">
            <v>210001</v>
          </cell>
        </row>
        <row r="3000">
          <cell r="K3000" t="str">
            <v>213024</v>
          </cell>
          <cell r="M3000">
            <v>1</v>
          </cell>
          <cell r="R3000">
            <v>45700</v>
          </cell>
          <cell r="S3000">
            <v>213024</v>
          </cell>
        </row>
        <row r="3001">
          <cell r="K3001" t="str">
            <v>201011</v>
          </cell>
          <cell r="M3001">
            <v>1</v>
          </cell>
          <cell r="R3001">
            <v>45700</v>
          </cell>
          <cell r="S3001">
            <v>201011</v>
          </cell>
        </row>
        <row r="3002">
          <cell r="K3002" t="str">
            <v>210001</v>
          </cell>
          <cell r="M3002">
            <v>2</v>
          </cell>
          <cell r="R3002">
            <v>45700</v>
          </cell>
          <cell r="S3002">
            <v>210001</v>
          </cell>
        </row>
        <row r="3003">
          <cell r="K3003" t="str">
            <v>218001</v>
          </cell>
          <cell r="M3003">
            <v>1</v>
          </cell>
          <cell r="R3003">
            <v>45700</v>
          </cell>
          <cell r="S3003">
            <v>218001</v>
          </cell>
        </row>
        <row r="3004">
          <cell r="K3004" t="str">
            <v>203004</v>
          </cell>
          <cell r="M3004">
            <v>1</v>
          </cell>
          <cell r="R3004">
            <v>45700</v>
          </cell>
          <cell r="S3004">
            <v>203004</v>
          </cell>
        </row>
        <row r="3005">
          <cell r="K3005" t="str">
            <v>203001</v>
          </cell>
          <cell r="M3005">
            <v>1</v>
          </cell>
          <cell r="R3005">
            <v>45700</v>
          </cell>
          <cell r="S3005">
            <v>203001</v>
          </cell>
        </row>
        <row r="3006">
          <cell r="K3006" t="str">
            <v>201011</v>
          </cell>
          <cell r="M3006">
            <v>36</v>
          </cell>
          <cell r="R3006">
            <v>45700</v>
          </cell>
          <cell r="S3006">
            <v>201011</v>
          </cell>
        </row>
        <row r="3007">
          <cell r="K3007" t="str">
            <v>229004</v>
          </cell>
          <cell r="M3007">
            <v>3</v>
          </cell>
          <cell r="R3007">
            <v>45700</v>
          </cell>
          <cell r="S3007">
            <v>229004</v>
          </cell>
        </row>
        <row r="3008">
          <cell r="K3008" t="str">
            <v>213002</v>
          </cell>
          <cell r="M3008">
            <v>5</v>
          </cell>
          <cell r="R3008">
            <v>45700</v>
          </cell>
          <cell r="S3008">
            <v>213002</v>
          </cell>
        </row>
        <row r="3009">
          <cell r="K3009" t="str">
            <v>222005</v>
          </cell>
          <cell r="M3009">
            <v>1</v>
          </cell>
          <cell r="R3009">
            <v>45700</v>
          </cell>
          <cell r="S3009">
            <v>222005</v>
          </cell>
        </row>
        <row r="3010">
          <cell r="K3010" t="str">
            <v>203001</v>
          </cell>
          <cell r="M3010">
            <v>4</v>
          </cell>
          <cell r="R3010">
            <v>45700</v>
          </cell>
          <cell r="S3010">
            <v>203001</v>
          </cell>
        </row>
        <row r="3011">
          <cell r="K3011" t="str">
            <v>201003</v>
          </cell>
          <cell r="M3011">
            <v>12</v>
          </cell>
          <cell r="R3011">
            <v>45700</v>
          </cell>
          <cell r="S3011">
            <v>201003</v>
          </cell>
        </row>
        <row r="3012">
          <cell r="K3012" t="str">
            <v>231012</v>
          </cell>
          <cell r="M3012">
            <v>1</v>
          </cell>
          <cell r="R3012">
            <v>45700</v>
          </cell>
          <cell r="S3012">
            <v>231012</v>
          </cell>
        </row>
        <row r="3013">
          <cell r="K3013" t="str">
            <v>213024</v>
          </cell>
          <cell r="M3013">
            <v>2</v>
          </cell>
          <cell r="R3013">
            <v>45700</v>
          </cell>
          <cell r="S3013">
            <v>213024</v>
          </cell>
        </row>
        <row r="3014">
          <cell r="K3014" t="str">
            <v>217018</v>
          </cell>
          <cell r="M3014">
            <v>2</v>
          </cell>
          <cell r="R3014">
            <v>45700</v>
          </cell>
          <cell r="S3014">
            <v>217018</v>
          </cell>
        </row>
        <row r="3015">
          <cell r="K3015" t="str">
            <v>213024</v>
          </cell>
          <cell r="M3015">
            <v>3</v>
          </cell>
          <cell r="R3015">
            <v>45700</v>
          </cell>
          <cell r="S3015">
            <v>213024</v>
          </cell>
        </row>
        <row r="3016">
          <cell r="K3016" t="str">
            <v>231012</v>
          </cell>
          <cell r="M3016">
            <v>1</v>
          </cell>
          <cell r="R3016">
            <v>45700</v>
          </cell>
          <cell r="S3016">
            <v>231012</v>
          </cell>
        </row>
        <row r="3017">
          <cell r="K3017" t="str">
            <v>226004</v>
          </cell>
          <cell r="M3017">
            <v>1</v>
          </cell>
          <cell r="R3017">
            <v>45700</v>
          </cell>
          <cell r="S3017">
            <v>226004</v>
          </cell>
        </row>
        <row r="3018">
          <cell r="K3018" t="str">
            <v>210001</v>
          </cell>
          <cell r="M3018">
            <v>1</v>
          </cell>
          <cell r="R3018">
            <v>45700</v>
          </cell>
          <cell r="S3018">
            <v>210001</v>
          </cell>
        </row>
        <row r="3019">
          <cell r="K3019" t="str">
            <v>210003</v>
          </cell>
          <cell r="M3019">
            <v>1</v>
          </cell>
          <cell r="R3019">
            <v>45700</v>
          </cell>
          <cell r="S3019">
            <v>210003</v>
          </cell>
        </row>
        <row r="3020">
          <cell r="K3020" t="str">
            <v>228001</v>
          </cell>
          <cell r="M3020">
            <v>2</v>
          </cell>
          <cell r="R3020">
            <v>45701</v>
          </cell>
          <cell r="S3020">
            <v>228001</v>
          </cell>
        </row>
        <row r="3021">
          <cell r="K3021" t="str">
            <v>201011</v>
          </cell>
          <cell r="M3021">
            <v>6</v>
          </cell>
          <cell r="R3021">
            <v>45700</v>
          </cell>
          <cell r="S3021">
            <v>201011</v>
          </cell>
        </row>
        <row r="3022">
          <cell r="K3022" t="str">
            <v>201011</v>
          </cell>
          <cell r="M3022">
            <v>36</v>
          </cell>
          <cell r="R3022">
            <v>45701</v>
          </cell>
          <cell r="S3022">
            <v>201011</v>
          </cell>
        </row>
        <row r="3023">
          <cell r="K3023" t="str">
            <v>201011</v>
          </cell>
          <cell r="M3023">
            <v>6</v>
          </cell>
          <cell r="R3023">
            <v>45701</v>
          </cell>
          <cell r="S3023">
            <v>201011</v>
          </cell>
        </row>
        <row r="3024">
          <cell r="K3024" t="str">
            <v>201011</v>
          </cell>
          <cell r="M3024">
            <v>1</v>
          </cell>
          <cell r="R3024">
            <v>45701</v>
          </cell>
          <cell r="S3024">
            <v>201011</v>
          </cell>
        </row>
        <row r="3025">
          <cell r="K3025" t="str">
            <v>201011</v>
          </cell>
          <cell r="M3025">
            <v>3</v>
          </cell>
          <cell r="R3025">
            <v>45701</v>
          </cell>
          <cell r="S3025">
            <v>201011</v>
          </cell>
        </row>
        <row r="3026">
          <cell r="K3026" t="str">
            <v>203003</v>
          </cell>
          <cell r="M3026">
            <v>2</v>
          </cell>
          <cell r="R3026">
            <v>45701</v>
          </cell>
          <cell r="S3026">
            <v>203003</v>
          </cell>
        </row>
        <row r="3027">
          <cell r="K3027" t="str">
            <v>217019</v>
          </cell>
          <cell r="M3027">
            <v>20</v>
          </cell>
          <cell r="R3027">
            <v>45701</v>
          </cell>
          <cell r="S3027">
            <v>217019</v>
          </cell>
        </row>
        <row r="3028">
          <cell r="K3028" t="str">
            <v>231012</v>
          </cell>
          <cell r="M3028">
            <v>2</v>
          </cell>
          <cell r="R3028">
            <v>45701</v>
          </cell>
          <cell r="S3028">
            <v>231012</v>
          </cell>
        </row>
        <row r="3029">
          <cell r="K3029" t="str">
            <v>203003</v>
          </cell>
          <cell r="M3029">
            <v>4</v>
          </cell>
          <cell r="R3029">
            <v>45701</v>
          </cell>
          <cell r="S3029">
            <v>203003</v>
          </cell>
        </row>
        <row r="3030">
          <cell r="K3030" t="str">
            <v>226001</v>
          </cell>
          <cell r="M3030">
            <v>2</v>
          </cell>
          <cell r="R3030">
            <v>45701</v>
          </cell>
          <cell r="S3030">
            <v>226001</v>
          </cell>
        </row>
        <row r="3031">
          <cell r="K3031" t="str">
            <v>209004</v>
          </cell>
          <cell r="M3031">
            <v>1</v>
          </cell>
          <cell r="R3031">
            <v>45701</v>
          </cell>
          <cell r="S3031">
            <v>209004</v>
          </cell>
        </row>
        <row r="3032">
          <cell r="K3032" t="str">
            <v>227001</v>
          </cell>
          <cell r="M3032">
            <v>1</v>
          </cell>
          <cell r="R3032">
            <v>45701</v>
          </cell>
          <cell r="S3032">
            <v>227001</v>
          </cell>
        </row>
        <row r="3033">
          <cell r="K3033" t="str">
            <v>223002</v>
          </cell>
          <cell r="M3033">
            <v>1</v>
          </cell>
          <cell r="R3033">
            <v>45701</v>
          </cell>
          <cell r="S3033">
            <v>223002</v>
          </cell>
        </row>
        <row r="3034">
          <cell r="K3034" t="str">
            <v>223001</v>
          </cell>
          <cell r="M3034">
            <v>1</v>
          </cell>
          <cell r="R3034">
            <v>45701</v>
          </cell>
          <cell r="S3034">
            <v>223001</v>
          </cell>
        </row>
        <row r="3035">
          <cell r="K3035" t="str">
            <v>223001</v>
          </cell>
          <cell r="M3035">
            <v>3</v>
          </cell>
          <cell r="R3035">
            <v>45701</v>
          </cell>
          <cell r="S3035">
            <v>223001</v>
          </cell>
        </row>
        <row r="3036">
          <cell r="K3036" t="str">
            <v>223002</v>
          </cell>
          <cell r="M3036">
            <v>3</v>
          </cell>
          <cell r="R3036">
            <v>45701</v>
          </cell>
          <cell r="S3036">
            <v>223002</v>
          </cell>
        </row>
        <row r="3037">
          <cell r="K3037" t="str">
            <v>213002</v>
          </cell>
          <cell r="M3037">
            <v>5</v>
          </cell>
          <cell r="R3037">
            <v>45701</v>
          </cell>
          <cell r="S3037">
            <v>213002</v>
          </cell>
        </row>
        <row r="3038">
          <cell r="K3038" t="str">
            <v>213002</v>
          </cell>
          <cell r="M3038">
            <v>3</v>
          </cell>
          <cell r="R3038">
            <v>45701</v>
          </cell>
          <cell r="S3038">
            <v>213002</v>
          </cell>
        </row>
        <row r="3039">
          <cell r="K3039" t="str">
            <v>228001</v>
          </cell>
          <cell r="M3039">
            <v>3</v>
          </cell>
          <cell r="R3039">
            <v>45701</v>
          </cell>
          <cell r="S3039">
            <v>228001</v>
          </cell>
        </row>
        <row r="3040">
          <cell r="K3040" t="str">
            <v>201011</v>
          </cell>
          <cell r="M3040">
            <v>4</v>
          </cell>
          <cell r="R3040">
            <v>45701</v>
          </cell>
          <cell r="S3040">
            <v>201011</v>
          </cell>
        </row>
        <row r="3041">
          <cell r="K3041" t="str">
            <v>213002</v>
          </cell>
          <cell r="M3041">
            <v>2</v>
          </cell>
          <cell r="R3041">
            <v>45701</v>
          </cell>
          <cell r="S3041">
            <v>213002</v>
          </cell>
        </row>
        <row r="3042">
          <cell r="K3042" t="str">
            <v>226001</v>
          </cell>
          <cell r="M3042">
            <v>5</v>
          </cell>
          <cell r="R3042">
            <v>45701</v>
          </cell>
          <cell r="S3042">
            <v>226001</v>
          </cell>
        </row>
        <row r="3043">
          <cell r="K3043" t="str">
            <v>222001</v>
          </cell>
          <cell r="M3043">
            <v>4</v>
          </cell>
          <cell r="R3043">
            <v>45701</v>
          </cell>
          <cell r="S3043">
            <v>222001</v>
          </cell>
        </row>
        <row r="3044">
          <cell r="K3044" t="str">
            <v>222007</v>
          </cell>
          <cell r="M3044">
            <v>2</v>
          </cell>
          <cell r="R3044">
            <v>45701</v>
          </cell>
          <cell r="S3044">
            <v>222007</v>
          </cell>
        </row>
        <row r="3045">
          <cell r="K3045" t="str">
            <v>201009</v>
          </cell>
          <cell r="M3045">
            <v>4</v>
          </cell>
          <cell r="R3045">
            <v>45701</v>
          </cell>
          <cell r="S3045">
            <v>201009</v>
          </cell>
        </row>
        <row r="3046">
          <cell r="K3046" t="str">
            <v>210001</v>
          </cell>
          <cell r="M3046">
            <v>1</v>
          </cell>
          <cell r="R3046">
            <v>45702</v>
          </cell>
          <cell r="S3046">
            <v>210001</v>
          </cell>
        </row>
        <row r="3047">
          <cell r="K3047" t="str">
            <v>223002</v>
          </cell>
          <cell r="M3047">
            <v>6</v>
          </cell>
          <cell r="R3047">
            <v>45702</v>
          </cell>
          <cell r="S3047">
            <v>223002</v>
          </cell>
        </row>
        <row r="3048">
          <cell r="K3048" t="str">
            <v>201011</v>
          </cell>
          <cell r="M3048">
            <v>2</v>
          </cell>
          <cell r="R3048">
            <v>45701</v>
          </cell>
          <cell r="S3048">
            <v>201011</v>
          </cell>
        </row>
        <row r="3049">
          <cell r="K3049" t="str">
            <v>209001</v>
          </cell>
          <cell r="M3049">
            <v>1</v>
          </cell>
          <cell r="R3049">
            <v>45701</v>
          </cell>
          <cell r="S3049">
            <v>209001</v>
          </cell>
        </row>
        <row r="3050">
          <cell r="K3050" t="str">
            <v>223002</v>
          </cell>
          <cell r="M3050">
            <v>2</v>
          </cell>
          <cell r="R3050">
            <v>45701</v>
          </cell>
          <cell r="S3050">
            <v>223002</v>
          </cell>
        </row>
        <row r="3051">
          <cell r="K3051" t="str">
            <v>223001</v>
          </cell>
          <cell r="M3051">
            <v>3</v>
          </cell>
          <cell r="R3051">
            <v>45701</v>
          </cell>
          <cell r="S3051">
            <v>223001</v>
          </cell>
        </row>
        <row r="3052">
          <cell r="K3052" t="str">
            <v>213002</v>
          </cell>
          <cell r="M3052">
            <v>20</v>
          </cell>
          <cell r="R3052">
            <v>45702</v>
          </cell>
          <cell r="S3052">
            <v>213002</v>
          </cell>
        </row>
        <row r="3053">
          <cell r="K3053" t="str">
            <v>228001</v>
          </cell>
          <cell r="M3053">
            <v>15</v>
          </cell>
          <cell r="R3053">
            <v>45701</v>
          </cell>
          <cell r="S3053">
            <v>228001</v>
          </cell>
        </row>
        <row r="3054">
          <cell r="K3054" t="str">
            <v>210014</v>
          </cell>
          <cell r="M3054">
            <v>2</v>
          </cell>
          <cell r="R3054">
            <v>45701</v>
          </cell>
          <cell r="S3054">
            <v>210014</v>
          </cell>
        </row>
        <row r="3055">
          <cell r="K3055" t="str">
            <v>217002</v>
          </cell>
          <cell r="M3055">
            <v>1</v>
          </cell>
          <cell r="R3055">
            <v>45701</v>
          </cell>
          <cell r="S3055">
            <v>217002</v>
          </cell>
        </row>
        <row r="3056">
          <cell r="K3056" t="str">
            <v>217011</v>
          </cell>
          <cell r="M3056">
            <v>2</v>
          </cell>
          <cell r="R3056">
            <v>45701</v>
          </cell>
          <cell r="S3056">
            <v>217011</v>
          </cell>
        </row>
        <row r="3057">
          <cell r="K3057" t="str">
            <v>227002</v>
          </cell>
          <cell r="M3057">
            <v>1</v>
          </cell>
          <cell r="R3057">
            <v>45701</v>
          </cell>
          <cell r="S3057">
            <v>227002</v>
          </cell>
        </row>
        <row r="3058">
          <cell r="K3058" t="str">
            <v>231012</v>
          </cell>
          <cell r="M3058">
            <v>3</v>
          </cell>
          <cell r="R3058">
            <v>45701</v>
          </cell>
          <cell r="S3058">
            <v>231012</v>
          </cell>
        </row>
        <row r="3059">
          <cell r="K3059" t="str">
            <v>213002</v>
          </cell>
          <cell r="M3059">
            <v>8</v>
          </cell>
          <cell r="R3059">
            <v>45701</v>
          </cell>
          <cell r="S3059">
            <v>213002</v>
          </cell>
        </row>
        <row r="3060">
          <cell r="K3060" t="str">
            <v>228001</v>
          </cell>
          <cell r="M3060">
            <v>8</v>
          </cell>
          <cell r="R3060">
            <v>45702</v>
          </cell>
          <cell r="S3060">
            <v>228001</v>
          </cell>
        </row>
        <row r="3061">
          <cell r="K3061" t="str">
            <v>228001</v>
          </cell>
          <cell r="M3061">
            <v>1</v>
          </cell>
          <cell r="R3061">
            <v>45702</v>
          </cell>
          <cell r="S3061">
            <v>228001</v>
          </cell>
        </row>
        <row r="3062">
          <cell r="K3062" t="str">
            <v>209012</v>
          </cell>
          <cell r="M3062">
            <v>1</v>
          </cell>
          <cell r="R3062">
            <v>45702</v>
          </cell>
          <cell r="S3062">
            <v>209012</v>
          </cell>
        </row>
        <row r="3063">
          <cell r="K3063" t="str">
            <v>212002</v>
          </cell>
          <cell r="M3063">
            <v>1</v>
          </cell>
          <cell r="R3063">
            <v>45702</v>
          </cell>
          <cell r="S3063">
            <v>212002</v>
          </cell>
        </row>
        <row r="3064">
          <cell r="K3064" t="str">
            <v>223001</v>
          </cell>
          <cell r="M3064">
            <v>1</v>
          </cell>
          <cell r="R3064">
            <v>45702</v>
          </cell>
          <cell r="S3064">
            <v>223001</v>
          </cell>
        </row>
        <row r="3065">
          <cell r="K3065" t="str">
            <v>223002</v>
          </cell>
          <cell r="M3065">
            <v>1</v>
          </cell>
          <cell r="R3065">
            <v>45702</v>
          </cell>
          <cell r="S3065">
            <v>223002</v>
          </cell>
        </row>
        <row r="3066">
          <cell r="K3066" t="str">
            <v>226001</v>
          </cell>
          <cell r="M3066">
            <v>2</v>
          </cell>
          <cell r="R3066">
            <v>45702</v>
          </cell>
          <cell r="S3066">
            <v>226001</v>
          </cell>
        </row>
        <row r="3067">
          <cell r="K3067" t="str">
            <v>210001</v>
          </cell>
          <cell r="M3067">
            <v>1</v>
          </cell>
          <cell r="R3067">
            <v>45702</v>
          </cell>
          <cell r="S3067">
            <v>210001</v>
          </cell>
        </row>
        <row r="3068">
          <cell r="K3068" t="str">
            <v>203001</v>
          </cell>
          <cell r="M3068">
            <v>1</v>
          </cell>
          <cell r="R3068">
            <v>45702</v>
          </cell>
          <cell r="S3068">
            <v>203001</v>
          </cell>
        </row>
        <row r="3069">
          <cell r="K3069" t="str">
            <v>210001</v>
          </cell>
          <cell r="M3069">
            <v>2</v>
          </cell>
          <cell r="R3069">
            <v>45702</v>
          </cell>
          <cell r="S3069">
            <v>210001</v>
          </cell>
        </row>
        <row r="3070">
          <cell r="K3070" t="str">
            <v>203001</v>
          </cell>
          <cell r="M3070">
            <v>1</v>
          </cell>
          <cell r="R3070">
            <v>45702</v>
          </cell>
          <cell r="S3070">
            <v>203001</v>
          </cell>
        </row>
        <row r="3071">
          <cell r="K3071" t="str">
            <v>210001</v>
          </cell>
          <cell r="M3071">
            <v>2</v>
          </cell>
          <cell r="R3071">
            <v>45702</v>
          </cell>
          <cell r="S3071">
            <v>210001</v>
          </cell>
        </row>
        <row r="3072">
          <cell r="K3072" t="str">
            <v>203001</v>
          </cell>
          <cell r="M3072">
            <v>2</v>
          </cell>
          <cell r="R3072">
            <v>45702</v>
          </cell>
          <cell r="S3072">
            <v>203001</v>
          </cell>
        </row>
        <row r="3073">
          <cell r="K3073" t="str">
            <v>212035</v>
          </cell>
          <cell r="M3073">
            <v>4</v>
          </cell>
          <cell r="R3073">
            <v>45702</v>
          </cell>
          <cell r="S3073">
            <v>212035</v>
          </cell>
        </row>
        <row r="3074">
          <cell r="K3074" t="str">
            <v>231004</v>
          </cell>
          <cell r="M3074">
            <v>1</v>
          </cell>
          <cell r="R3074">
            <v>45702</v>
          </cell>
          <cell r="S3074">
            <v>231004</v>
          </cell>
        </row>
        <row r="3075">
          <cell r="K3075" t="str">
            <v>201011</v>
          </cell>
          <cell r="M3075">
            <v>6</v>
          </cell>
          <cell r="R3075">
            <v>45702</v>
          </cell>
          <cell r="S3075">
            <v>201011</v>
          </cell>
        </row>
        <row r="3076">
          <cell r="K3076" t="str">
            <v>226001</v>
          </cell>
          <cell r="M3076">
            <v>1</v>
          </cell>
          <cell r="R3076">
            <v>45702</v>
          </cell>
          <cell r="S3076">
            <v>226001</v>
          </cell>
        </row>
        <row r="3077">
          <cell r="K3077" t="str">
            <v>213002</v>
          </cell>
          <cell r="M3077">
            <v>3</v>
          </cell>
          <cell r="R3077">
            <v>45702</v>
          </cell>
          <cell r="S3077">
            <v>213002</v>
          </cell>
        </row>
        <row r="3078">
          <cell r="K3078" t="str">
            <v>213002</v>
          </cell>
          <cell r="M3078">
            <v>1</v>
          </cell>
          <cell r="R3078">
            <v>45702</v>
          </cell>
          <cell r="S3078">
            <v>213002</v>
          </cell>
        </row>
        <row r="3079">
          <cell r="K3079" t="str">
            <v>228001</v>
          </cell>
          <cell r="M3079">
            <v>2</v>
          </cell>
          <cell r="R3079">
            <v>45705</v>
          </cell>
          <cell r="S3079">
            <v>228001</v>
          </cell>
        </row>
        <row r="3080">
          <cell r="K3080" t="str">
            <v>213024</v>
          </cell>
          <cell r="M3080">
            <v>4</v>
          </cell>
          <cell r="R3080">
            <v>45702</v>
          </cell>
          <cell r="S3080">
            <v>213024</v>
          </cell>
        </row>
        <row r="3081">
          <cell r="K3081" t="str">
            <v>201011</v>
          </cell>
          <cell r="M3081">
            <v>2</v>
          </cell>
          <cell r="R3081">
            <v>45702</v>
          </cell>
          <cell r="S3081">
            <v>201011</v>
          </cell>
        </row>
        <row r="3082">
          <cell r="K3082" t="str">
            <v>201011</v>
          </cell>
          <cell r="M3082">
            <v>2</v>
          </cell>
          <cell r="R3082">
            <v>45704</v>
          </cell>
          <cell r="S3082">
            <v>201011</v>
          </cell>
        </row>
        <row r="3083">
          <cell r="K3083" t="str">
            <v>203003</v>
          </cell>
          <cell r="M3083">
            <v>2</v>
          </cell>
          <cell r="R3083">
            <v>45704</v>
          </cell>
          <cell r="S3083">
            <v>203003</v>
          </cell>
        </row>
        <row r="3084">
          <cell r="K3084" t="str">
            <v>203001</v>
          </cell>
          <cell r="M3084">
            <v>4</v>
          </cell>
          <cell r="R3084">
            <v>45704</v>
          </cell>
          <cell r="S3084">
            <v>203001</v>
          </cell>
        </row>
        <row r="3085">
          <cell r="K3085" t="str">
            <v>231012</v>
          </cell>
          <cell r="M3085">
            <v>3</v>
          </cell>
          <cell r="R3085">
            <v>45704</v>
          </cell>
          <cell r="S3085">
            <v>231012</v>
          </cell>
        </row>
        <row r="3086">
          <cell r="K3086" t="str">
            <v>201011</v>
          </cell>
          <cell r="M3086">
            <v>1</v>
          </cell>
          <cell r="R3086">
            <v>45704</v>
          </cell>
          <cell r="S3086">
            <v>201011</v>
          </cell>
        </row>
        <row r="3087">
          <cell r="K3087" t="str">
            <v>223001</v>
          </cell>
          <cell r="M3087">
            <v>5</v>
          </cell>
          <cell r="R3087">
            <v>45704</v>
          </cell>
          <cell r="S3087">
            <v>223001</v>
          </cell>
        </row>
        <row r="3088">
          <cell r="K3088" t="str">
            <v>227012</v>
          </cell>
          <cell r="M3088">
            <v>1</v>
          </cell>
          <cell r="R3088">
            <v>45704</v>
          </cell>
          <cell r="S3088">
            <v>227012</v>
          </cell>
        </row>
        <row r="3089">
          <cell r="K3089" t="str">
            <v>218001</v>
          </cell>
          <cell r="M3089">
            <v>1</v>
          </cell>
          <cell r="R3089">
            <v>45704</v>
          </cell>
          <cell r="S3089">
            <v>218001</v>
          </cell>
        </row>
        <row r="3090">
          <cell r="K3090" t="str">
            <v>201011</v>
          </cell>
          <cell r="M3090">
            <v>4</v>
          </cell>
          <cell r="R3090">
            <v>45704</v>
          </cell>
          <cell r="S3090">
            <v>201011</v>
          </cell>
        </row>
        <row r="3091">
          <cell r="K3091" t="str">
            <v>213002</v>
          </cell>
          <cell r="M3091">
            <v>1</v>
          </cell>
          <cell r="R3091">
            <v>45704</v>
          </cell>
          <cell r="S3091">
            <v>213002</v>
          </cell>
        </row>
        <row r="3092">
          <cell r="K3092" t="str">
            <v>201011</v>
          </cell>
          <cell r="M3092">
            <v>10</v>
          </cell>
          <cell r="R3092">
            <v>45705</v>
          </cell>
          <cell r="S3092">
            <v>201011</v>
          </cell>
        </row>
        <row r="3093">
          <cell r="K3093" t="str">
            <v>201011</v>
          </cell>
          <cell r="M3093">
            <v>6</v>
          </cell>
          <cell r="R3093">
            <v>45705</v>
          </cell>
          <cell r="S3093">
            <v>201011</v>
          </cell>
        </row>
        <row r="3094">
          <cell r="K3094" t="str">
            <v>203003</v>
          </cell>
          <cell r="M3094">
            <v>1</v>
          </cell>
          <cell r="R3094">
            <v>45705</v>
          </cell>
          <cell r="S3094">
            <v>203003</v>
          </cell>
        </row>
        <row r="3095">
          <cell r="K3095" t="str">
            <v>213002</v>
          </cell>
          <cell r="M3095">
            <v>1</v>
          </cell>
          <cell r="R3095">
            <v>45705</v>
          </cell>
          <cell r="S3095">
            <v>213002</v>
          </cell>
        </row>
        <row r="3096">
          <cell r="K3096" t="str">
            <v>222001</v>
          </cell>
          <cell r="M3096">
            <v>1</v>
          </cell>
          <cell r="R3096">
            <v>45705</v>
          </cell>
          <cell r="S3096">
            <v>222001</v>
          </cell>
        </row>
        <row r="3097">
          <cell r="K3097" t="str">
            <v>209004</v>
          </cell>
          <cell r="M3097">
            <v>1</v>
          </cell>
          <cell r="R3097">
            <v>45705</v>
          </cell>
          <cell r="S3097">
            <v>209004</v>
          </cell>
        </row>
        <row r="3098">
          <cell r="K3098" t="str">
            <v>228001</v>
          </cell>
          <cell r="M3098">
            <v>5</v>
          </cell>
          <cell r="R3098">
            <v>45705</v>
          </cell>
          <cell r="S3098">
            <v>228001</v>
          </cell>
        </row>
        <row r="3099">
          <cell r="K3099" t="str">
            <v>213002</v>
          </cell>
          <cell r="M3099">
            <v>3</v>
          </cell>
          <cell r="R3099">
            <v>45705</v>
          </cell>
          <cell r="S3099">
            <v>213002</v>
          </cell>
        </row>
        <row r="3100">
          <cell r="K3100" t="str">
            <v>209001</v>
          </cell>
          <cell r="M3100">
            <v>2</v>
          </cell>
          <cell r="R3100">
            <v>45705</v>
          </cell>
          <cell r="S3100">
            <v>209001</v>
          </cell>
        </row>
        <row r="3101">
          <cell r="K3101" t="str">
            <v>231012</v>
          </cell>
          <cell r="M3101">
            <v>1</v>
          </cell>
          <cell r="R3101">
            <v>45705</v>
          </cell>
          <cell r="S3101">
            <v>231012</v>
          </cell>
        </row>
        <row r="3102">
          <cell r="K3102" t="str">
            <v>228001</v>
          </cell>
          <cell r="M3102">
            <v>9</v>
          </cell>
          <cell r="R3102">
            <v>45705</v>
          </cell>
          <cell r="S3102">
            <v>228001</v>
          </cell>
        </row>
        <row r="3103">
          <cell r="K3103" t="str">
            <v>231012</v>
          </cell>
          <cell r="M3103">
            <v>20</v>
          </cell>
          <cell r="R3103">
            <v>45705</v>
          </cell>
          <cell r="S3103">
            <v>231012</v>
          </cell>
        </row>
        <row r="3104">
          <cell r="K3104" t="str">
            <v>213002</v>
          </cell>
          <cell r="M3104">
            <v>4</v>
          </cell>
          <cell r="R3104">
            <v>45705</v>
          </cell>
          <cell r="S3104">
            <v>213002</v>
          </cell>
        </row>
        <row r="3105">
          <cell r="K3105" t="str">
            <v>201011</v>
          </cell>
          <cell r="M3105">
            <v>2</v>
          </cell>
          <cell r="R3105">
            <v>45705</v>
          </cell>
          <cell r="S3105">
            <v>201011</v>
          </cell>
        </row>
        <row r="3106">
          <cell r="K3106" t="str">
            <v>229004</v>
          </cell>
          <cell r="M3106">
            <v>3</v>
          </cell>
          <cell r="R3106">
            <v>45705</v>
          </cell>
          <cell r="S3106">
            <v>229004</v>
          </cell>
        </row>
        <row r="3107">
          <cell r="K3107" t="str">
            <v>228001</v>
          </cell>
          <cell r="M3107">
            <v>2</v>
          </cell>
          <cell r="R3107">
            <v>45705</v>
          </cell>
          <cell r="S3107">
            <v>228001</v>
          </cell>
        </row>
        <row r="3108">
          <cell r="K3108" t="str">
            <v>231012</v>
          </cell>
          <cell r="M3108">
            <v>1</v>
          </cell>
          <cell r="R3108">
            <v>45705</v>
          </cell>
          <cell r="S3108">
            <v>231012</v>
          </cell>
        </row>
        <row r="3109">
          <cell r="K3109" t="str">
            <v>212002</v>
          </cell>
          <cell r="M3109">
            <v>1</v>
          </cell>
          <cell r="R3109">
            <v>45705</v>
          </cell>
          <cell r="S3109">
            <v>212002</v>
          </cell>
        </row>
        <row r="3110">
          <cell r="K3110" t="str">
            <v>201011</v>
          </cell>
          <cell r="M3110">
            <v>5</v>
          </cell>
          <cell r="R3110">
            <v>45705</v>
          </cell>
          <cell r="S3110">
            <v>201011</v>
          </cell>
        </row>
        <row r="3111">
          <cell r="K3111" t="str">
            <v>226026</v>
          </cell>
          <cell r="M3111">
            <v>4</v>
          </cell>
          <cell r="R3111">
            <v>45705</v>
          </cell>
          <cell r="S3111">
            <v>226026</v>
          </cell>
        </row>
        <row r="3112">
          <cell r="K3112" t="str">
            <v>226001</v>
          </cell>
          <cell r="M3112">
            <v>3</v>
          </cell>
          <cell r="R3112">
            <v>45705</v>
          </cell>
          <cell r="S3112">
            <v>226001</v>
          </cell>
        </row>
        <row r="3113">
          <cell r="K3113" t="str">
            <v>228001</v>
          </cell>
          <cell r="M3113">
            <v>2</v>
          </cell>
          <cell r="R3113">
            <v>45705</v>
          </cell>
          <cell r="S3113">
            <v>228001</v>
          </cell>
        </row>
        <row r="3114">
          <cell r="K3114" t="str">
            <v>228001</v>
          </cell>
          <cell r="M3114">
            <v>3</v>
          </cell>
          <cell r="R3114">
            <v>45705</v>
          </cell>
          <cell r="S3114">
            <v>228001</v>
          </cell>
        </row>
        <row r="3115">
          <cell r="K3115" t="str">
            <v>213002</v>
          </cell>
          <cell r="M3115">
            <v>10</v>
          </cell>
          <cell r="R3115">
            <v>45705</v>
          </cell>
          <cell r="S3115">
            <v>213002</v>
          </cell>
        </row>
        <row r="3116">
          <cell r="K3116" t="str">
            <v>231012</v>
          </cell>
          <cell r="M3116">
            <v>1</v>
          </cell>
          <cell r="R3116">
            <v>45705</v>
          </cell>
          <cell r="S3116">
            <v>231012</v>
          </cell>
        </row>
        <row r="3117">
          <cell r="K3117" t="str">
            <v>201003</v>
          </cell>
          <cell r="M3117">
            <v>1</v>
          </cell>
          <cell r="R3117">
            <v>45705</v>
          </cell>
          <cell r="S3117">
            <v>201003</v>
          </cell>
        </row>
        <row r="3118">
          <cell r="K3118" t="str">
            <v>212002</v>
          </cell>
          <cell r="M3118">
            <v>1</v>
          </cell>
          <cell r="R3118">
            <v>45705</v>
          </cell>
          <cell r="S3118">
            <v>212002</v>
          </cell>
        </row>
        <row r="3119">
          <cell r="K3119" t="str">
            <v>207002</v>
          </cell>
          <cell r="M3119">
            <v>1</v>
          </cell>
          <cell r="R3119">
            <v>45705</v>
          </cell>
          <cell r="S3119">
            <v>207002</v>
          </cell>
        </row>
        <row r="3120">
          <cell r="K3120" t="str">
            <v>212002</v>
          </cell>
          <cell r="M3120">
            <v>1</v>
          </cell>
          <cell r="R3120">
            <v>45705</v>
          </cell>
          <cell r="S3120">
            <v>212002</v>
          </cell>
        </row>
        <row r="3121">
          <cell r="K3121" t="str">
            <v>213002</v>
          </cell>
          <cell r="M3121">
            <v>20</v>
          </cell>
          <cell r="R3121">
            <v>45705</v>
          </cell>
          <cell r="S3121">
            <v>213002</v>
          </cell>
        </row>
        <row r="3122">
          <cell r="K3122" t="str">
            <v>217019</v>
          </cell>
          <cell r="M3122">
            <v>1</v>
          </cell>
          <cell r="R3122">
            <v>45705</v>
          </cell>
          <cell r="S3122">
            <v>217019</v>
          </cell>
        </row>
        <row r="3123">
          <cell r="K3123" t="str">
            <v>213002</v>
          </cell>
          <cell r="M3123">
            <v>4</v>
          </cell>
          <cell r="R3123">
            <v>45705</v>
          </cell>
          <cell r="S3123">
            <v>213002</v>
          </cell>
        </row>
        <row r="3124">
          <cell r="K3124" t="str">
            <v>228001</v>
          </cell>
          <cell r="M3124">
            <v>3</v>
          </cell>
          <cell r="R3124">
            <v>45705</v>
          </cell>
          <cell r="S3124">
            <v>228001</v>
          </cell>
        </row>
        <row r="3125">
          <cell r="K3125" t="str">
            <v>203001</v>
          </cell>
          <cell r="M3125">
            <v>1</v>
          </cell>
          <cell r="R3125">
            <v>45705</v>
          </cell>
          <cell r="S3125">
            <v>203001</v>
          </cell>
        </row>
        <row r="3126">
          <cell r="K3126" t="str">
            <v>227002</v>
          </cell>
          <cell r="M3126">
            <v>1</v>
          </cell>
          <cell r="R3126">
            <v>45705</v>
          </cell>
          <cell r="S3126">
            <v>227002</v>
          </cell>
        </row>
        <row r="3127">
          <cell r="K3127" t="str">
            <v>228001</v>
          </cell>
          <cell r="M3127">
            <v>15</v>
          </cell>
          <cell r="R3127">
            <v>45705</v>
          </cell>
          <cell r="S3127">
            <v>228001</v>
          </cell>
        </row>
        <row r="3128">
          <cell r="K3128" t="str">
            <v>231012</v>
          </cell>
          <cell r="M3128">
            <v>4</v>
          </cell>
          <cell r="R3128">
            <v>45705</v>
          </cell>
          <cell r="S3128">
            <v>231012</v>
          </cell>
        </row>
        <row r="3129">
          <cell r="K3129" t="str">
            <v>209016</v>
          </cell>
          <cell r="M3129">
            <v>2</v>
          </cell>
          <cell r="R3129">
            <v>45705</v>
          </cell>
          <cell r="S3129">
            <v>209016</v>
          </cell>
        </row>
        <row r="3130">
          <cell r="K3130" t="str">
            <v>228001</v>
          </cell>
          <cell r="M3130">
            <v>1</v>
          </cell>
          <cell r="R3130">
            <v>45705</v>
          </cell>
          <cell r="S3130">
            <v>228001</v>
          </cell>
        </row>
        <row r="3131">
          <cell r="K3131" t="str">
            <v>217018</v>
          </cell>
          <cell r="M3131">
            <v>1</v>
          </cell>
          <cell r="R3131">
            <v>45705</v>
          </cell>
          <cell r="S3131">
            <v>217018</v>
          </cell>
        </row>
        <row r="3132">
          <cell r="K3132" t="str">
            <v>203001</v>
          </cell>
          <cell r="M3132">
            <v>8</v>
          </cell>
          <cell r="R3132">
            <v>45705</v>
          </cell>
          <cell r="S3132">
            <v>203001</v>
          </cell>
        </row>
        <row r="3133">
          <cell r="K3133" t="str">
            <v>201011</v>
          </cell>
          <cell r="M3133">
            <v>2</v>
          </cell>
          <cell r="R3133">
            <v>45705</v>
          </cell>
          <cell r="S3133">
            <v>201011</v>
          </cell>
        </row>
        <row r="3134">
          <cell r="K3134" t="str">
            <v>203003</v>
          </cell>
          <cell r="M3134">
            <v>2</v>
          </cell>
          <cell r="R3134">
            <v>45705</v>
          </cell>
          <cell r="S3134">
            <v>203003</v>
          </cell>
        </row>
        <row r="3135">
          <cell r="K3135" t="str">
            <v>213002</v>
          </cell>
          <cell r="M3135">
            <v>10</v>
          </cell>
          <cell r="R3135">
            <v>45705</v>
          </cell>
          <cell r="S3135">
            <v>213002</v>
          </cell>
        </row>
        <row r="3136">
          <cell r="K3136" t="str">
            <v>231012</v>
          </cell>
          <cell r="M3136">
            <v>2</v>
          </cell>
          <cell r="R3136">
            <v>45705</v>
          </cell>
          <cell r="S3136">
            <v>231012</v>
          </cell>
        </row>
        <row r="3137">
          <cell r="K3137" t="str">
            <v>207002</v>
          </cell>
          <cell r="M3137">
            <v>1</v>
          </cell>
          <cell r="R3137">
            <v>45705</v>
          </cell>
          <cell r="S3137">
            <v>207002</v>
          </cell>
        </row>
        <row r="3138">
          <cell r="K3138" t="str">
            <v>226001</v>
          </cell>
          <cell r="M3138">
            <v>1</v>
          </cell>
          <cell r="R3138">
            <v>45705</v>
          </cell>
          <cell r="S3138">
            <v>226001</v>
          </cell>
        </row>
        <row r="3139">
          <cell r="K3139" t="str">
            <v>226025</v>
          </cell>
          <cell r="M3139">
            <v>1</v>
          </cell>
          <cell r="R3139">
            <v>45705</v>
          </cell>
          <cell r="S3139">
            <v>226025</v>
          </cell>
        </row>
        <row r="3140">
          <cell r="K3140" t="str">
            <v>217018</v>
          </cell>
          <cell r="M3140">
            <v>1</v>
          </cell>
          <cell r="R3140">
            <v>45705</v>
          </cell>
          <cell r="S3140">
            <v>217018</v>
          </cell>
        </row>
        <row r="3141">
          <cell r="K3141" t="str">
            <v>226001</v>
          </cell>
          <cell r="M3141">
            <v>1</v>
          </cell>
          <cell r="R3141">
            <v>45705</v>
          </cell>
          <cell r="S3141">
            <v>226001</v>
          </cell>
        </row>
        <row r="3142">
          <cell r="K3142" t="str">
            <v>212035</v>
          </cell>
          <cell r="M3142">
            <v>65</v>
          </cell>
          <cell r="R3142">
            <v>45705</v>
          </cell>
          <cell r="S3142">
            <v>212035</v>
          </cell>
        </row>
        <row r="3143">
          <cell r="K3143" t="str">
            <v>228001</v>
          </cell>
          <cell r="M3143">
            <v>1</v>
          </cell>
          <cell r="R3143">
            <v>45705</v>
          </cell>
          <cell r="S3143">
            <v>228001</v>
          </cell>
        </row>
        <row r="3144">
          <cell r="K3144" t="str">
            <v>222001</v>
          </cell>
          <cell r="M3144">
            <v>5</v>
          </cell>
          <cell r="R3144">
            <v>45705</v>
          </cell>
          <cell r="S3144">
            <v>222001</v>
          </cell>
        </row>
        <row r="3145">
          <cell r="K3145" t="str">
            <v>217018</v>
          </cell>
          <cell r="M3145">
            <v>2</v>
          </cell>
          <cell r="R3145">
            <v>45705</v>
          </cell>
          <cell r="S3145">
            <v>217018</v>
          </cell>
        </row>
        <row r="3146">
          <cell r="K3146" t="str">
            <v>208001</v>
          </cell>
          <cell r="M3146">
            <v>1</v>
          </cell>
          <cell r="R3146">
            <v>45705</v>
          </cell>
          <cell r="S3146">
            <v>208001</v>
          </cell>
        </row>
        <row r="3147">
          <cell r="K3147" t="str">
            <v>203004</v>
          </cell>
          <cell r="M3147">
            <v>1</v>
          </cell>
          <cell r="R3147">
            <v>45705</v>
          </cell>
          <cell r="S3147">
            <v>203004</v>
          </cell>
        </row>
        <row r="3148">
          <cell r="K3148" t="str">
            <v>218001</v>
          </cell>
          <cell r="M3148">
            <v>1</v>
          </cell>
          <cell r="R3148">
            <v>45705</v>
          </cell>
          <cell r="S3148">
            <v>218001</v>
          </cell>
        </row>
        <row r="3149">
          <cell r="K3149" t="str">
            <v>206002</v>
          </cell>
          <cell r="M3149">
            <v>1</v>
          </cell>
          <cell r="R3149">
            <v>45705</v>
          </cell>
          <cell r="S3149">
            <v>206002</v>
          </cell>
        </row>
        <row r="3150">
          <cell r="K3150" t="str">
            <v>208001</v>
          </cell>
          <cell r="M3150">
            <v>1</v>
          </cell>
          <cell r="R3150">
            <v>45705</v>
          </cell>
          <cell r="S3150">
            <v>208001</v>
          </cell>
        </row>
        <row r="3151">
          <cell r="K3151" t="str">
            <v>210004</v>
          </cell>
          <cell r="M3151">
            <v>1</v>
          </cell>
          <cell r="R3151">
            <v>45705</v>
          </cell>
          <cell r="S3151">
            <v>210004</v>
          </cell>
        </row>
        <row r="3152">
          <cell r="K3152" t="str">
            <v>203001</v>
          </cell>
          <cell r="M3152">
            <v>1</v>
          </cell>
          <cell r="R3152">
            <v>45705</v>
          </cell>
          <cell r="S3152">
            <v>203001</v>
          </cell>
        </row>
        <row r="3153">
          <cell r="K3153" t="str">
            <v>226001</v>
          </cell>
          <cell r="M3153">
            <v>1</v>
          </cell>
          <cell r="R3153">
            <v>45705</v>
          </cell>
          <cell r="S3153">
            <v>226001</v>
          </cell>
        </row>
        <row r="3154">
          <cell r="K3154" t="str">
            <v>210014</v>
          </cell>
          <cell r="M3154">
            <v>1</v>
          </cell>
          <cell r="R3154">
            <v>45705</v>
          </cell>
          <cell r="S3154">
            <v>210014</v>
          </cell>
        </row>
        <row r="3155">
          <cell r="K3155" t="str">
            <v>217002</v>
          </cell>
          <cell r="M3155">
            <v>1</v>
          </cell>
          <cell r="R3155">
            <v>45705</v>
          </cell>
          <cell r="S3155">
            <v>217002</v>
          </cell>
        </row>
        <row r="3156">
          <cell r="K3156" t="str">
            <v>201011</v>
          </cell>
          <cell r="M3156">
            <v>3</v>
          </cell>
          <cell r="R3156">
            <v>45705</v>
          </cell>
          <cell r="S3156">
            <v>201011</v>
          </cell>
        </row>
        <row r="3157">
          <cell r="K3157" t="str">
            <v>228001</v>
          </cell>
          <cell r="M3157">
            <v>1</v>
          </cell>
          <cell r="R3157">
            <v>45705</v>
          </cell>
          <cell r="S3157">
            <v>228001</v>
          </cell>
        </row>
        <row r="3158">
          <cell r="K3158" t="str">
            <v>217011</v>
          </cell>
          <cell r="M3158">
            <v>2</v>
          </cell>
          <cell r="R3158">
            <v>45705</v>
          </cell>
          <cell r="S3158">
            <v>217011</v>
          </cell>
        </row>
        <row r="3159">
          <cell r="K3159" t="str">
            <v>201003</v>
          </cell>
          <cell r="M3159">
            <v>4</v>
          </cell>
          <cell r="R3159">
            <v>45705</v>
          </cell>
          <cell r="S3159">
            <v>201003</v>
          </cell>
        </row>
        <row r="3160">
          <cell r="K3160" t="str">
            <v>241001</v>
          </cell>
          <cell r="M3160">
            <v>3</v>
          </cell>
          <cell r="R3160">
            <v>45705</v>
          </cell>
          <cell r="S3160">
            <v>241001</v>
          </cell>
        </row>
        <row r="3161">
          <cell r="K3161" t="str">
            <v>203003</v>
          </cell>
          <cell r="M3161">
            <v>1</v>
          </cell>
          <cell r="R3161">
            <v>45705</v>
          </cell>
          <cell r="S3161">
            <v>203003</v>
          </cell>
        </row>
        <row r="3162">
          <cell r="K3162" t="str">
            <v>210001</v>
          </cell>
          <cell r="M3162">
            <v>5</v>
          </cell>
          <cell r="R3162">
            <v>45705</v>
          </cell>
          <cell r="S3162">
            <v>210001</v>
          </cell>
        </row>
        <row r="3163">
          <cell r="K3163" t="str">
            <v>231012</v>
          </cell>
          <cell r="M3163">
            <v>4</v>
          </cell>
          <cell r="R3163">
            <v>45705</v>
          </cell>
          <cell r="S3163">
            <v>231012</v>
          </cell>
        </row>
        <row r="3164">
          <cell r="K3164" t="str">
            <v>209004</v>
          </cell>
          <cell r="M3164">
            <v>1</v>
          </cell>
          <cell r="R3164">
            <v>45706</v>
          </cell>
          <cell r="S3164">
            <v>209004</v>
          </cell>
        </row>
        <row r="3165">
          <cell r="K3165" t="str">
            <v>213002</v>
          </cell>
          <cell r="M3165">
            <v>2</v>
          </cell>
          <cell r="R3165">
            <v>45706</v>
          </cell>
          <cell r="S3165">
            <v>213002</v>
          </cell>
        </row>
        <row r="3166">
          <cell r="K3166" t="str">
            <v>212035</v>
          </cell>
          <cell r="M3166">
            <v>1</v>
          </cell>
          <cell r="R3166">
            <v>45706</v>
          </cell>
          <cell r="S3166">
            <v>212035</v>
          </cell>
        </row>
        <row r="3167">
          <cell r="K3167" t="str">
            <v>210001</v>
          </cell>
          <cell r="M3167">
            <v>1</v>
          </cell>
          <cell r="R3167">
            <v>45706</v>
          </cell>
          <cell r="S3167">
            <v>210001</v>
          </cell>
        </row>
        <row r="3168">
          <cell r="K3168" t="str">
            <v>213002</v>
          </cell>
          <cell r="M3168">
            <v>1</v>
          </cell>
          <cell r="R3168">
            <v>45705</v>
          </cell>
          <cell r="S3168">
            <v>213002</v>
          </cell>
        </row>
        <row r="3169">
          <cell r="K3169" t="str">
            <v>231012</v>
          </cell>
          <cell r="M3169">
            <v>2</v>
          </cell>
          <cell r="R3169">
            <v>45705</v>
          </cell>
          <cell r="S3169">
            <v>231012</v>
          </cell>
        </row>
        <row r="3170">
          <cell r="K3170" t="str">
            <v>226001</v>
          </cell>
          <cell r="M3170">
            <v>1</v>
          </cell>
          <cell r="R3170">
            <v>45705</v>
          </cell>
          <cell r="S3170">
            <v>226001</v>
          </cell>
        </row>
        <row r="3171">
          <cell r="K3171" t="str">
            <v>213002</v>
          </cell>
          <cell r="M3171">
            <v>2</v>
          </cell>
          <cell r="R3171">
            <v>45705</v>
          </cell>
          <cell r="S3171">
            <v>213002</v>
          </cell>
        </row>
        <row r="3172">
          <cell r="K3172" t="str">
            <v>226022</v>
          </cell>
          <cell r="M3172">
            <v>1</v>
          </cell>
          <cell r="R3172">
            <v>45705</v>
          </cell>
          <cell r="S3172">
            <v>226022</v>
          </cell>
        </row>
        <row r="3173">
          <cell r="K3173" t="str">
            <v>217002</v>
          </cell>
          <cell r="M3173">
            <v>1</v>
          </cell>
          <cell r="R3173">
            <v>45705</v>
          </cell>
          <cell r="S3173">
            <v>217002</v>
          </cell>
        </row>
        <row r="3174">
          <cell r="K3174" t="str">
            <v>206006</v>
          </cell>
          <cell r="M3174">
            <v>1</v>
          </cell>
          <cell r="R3174">
            <v>45706</v>
          </cell>
          <cell r="S3174">
            <v>206006</v>
          </cell>
        </row>
        <row r="3175">
          <cell r="K3175" t="str">
            <v>228001</v>
          </cell>
          <cell r="M3175">
            <v>2</v>
          </cell>
          <cell r="R3175">
            <v>45706</v>
          </cell>
          <cell r="S3175">
            <v>228001</v>
          </cell>
        </row>
        <row r="3176">
          <cell r="K3176" t="str">
            <v>207002</v>
          </cell>
          <cell r="M3176">
            <v>1</v>
          </cell>
          <cell r="R3176">
            <v>45706</v>
          </cell>
          <cell r="S3176">
            <v>207002</v>
          </cell>
        </row>
        <row r="3177">
          <cell r="K3177" t="str">
            <v>213002</v>
          </cell>
          <cell r="M3177">
            <v>2</v>
          </cell>
          <cell r="R3177">
            <v>45706</v>
          </cell>
          <cell r="S3177">
            <v>213002</v>
          </cell>
        </row>
        <row r="3178">
          <cell r="K3178" t="str">
            <v>237001</v>
          </cell>
          <cell r="M3178">
            <v>1</v>
          </cell>
          <cell r="R3178">
            <v>45706</v>
          </cell>
          <cell r="S3178">
            <v>237001</v>
          </cell>
        </row>
        <row r="3179">
          <cell r="K3179" t="str">
            <v>203001</v>
          </cell>
          <cell r="M3179">
            <v>4</v>
          </cell>
          <cell r="R3179">
            <v>45706</v>
          </cell>
          <cell r="S3179">
            <v>203001</v>
          </cell>
        </row>
        <row r="3180">
          <cell r="K3180" t="str">
            <v>201003</v>
          </cell>
          <cell r="M3180">
            <v>2</v>
          </cell>
          <cell r="R3180">
            <v>45706</v>
          </cell>
          <cell r="S3180">
            <v>201003</v>
          </cell>
        </row>
        <row r="3181">
          <cell r="K3181" t="str">
            <v>201011</v>
          </cell>
          <cell r="M3181">
            <v>5</v>
          </cell>
          <cell r="R3181">
            <v>45706</v>
          </cell>
          <cell r="S3181">
            <v>201011</v>
          </cell>
        </row>
        <row r="3182">
          <cell r="K3182" t="str">
            <v>223001</v>
          </cell>
          <cell r="M3182">
            <v>3</v>
          </cell>
          <cell r="R3182">
            <v>45706</v>
          </cell>
          <cell r="S3182">
            <v>223001</v>
          </cell>
        </row>
        <row r="3183">
          <cell r="K3183" t="str">
            <v>201011</v>
          </cell>
          <cell r="M3183">
            <v>7</v>
          </cell>
          <cell r="R3183">
            <v>45706</v>
          </cell>
          <cell r="S3183">
            <v>201011</v>
          </cell>
        </row>
        <row r="3184">
          <cell r="K3184" t="str">
            <v>207017</v>
          </cell>
          <cell r="M3184">
            <v>2</v>
          </cell>
          <cell r="R3184">
            <v>45706</v>
          </cell>
          <cell r="S3184">
            <v>207017</v>
          </cell>
        </row>
        <row r="3185">
          <cell r="K3185" t="str">
            <v>201004</v>
          </cell>
          <cell r="M3185">
            <v>5</v>
          </cell>
          <cell r="R3185">
            <v>45706</v>
          </cell>
          <cell r="S3185">
            <v>201004</v>
          </cell>
        </row>
        <row r="3186">
          <cell r="K3186" t="str">
            <v>201005</v>
          </cell>
          <cell r="M3186">
            <v>3</v>
          </cell>
          <cell r="R3186">
            <v>45706</v>
          </cell>
          <cell r="S3186">
            <v>201005</v>
          </cell>
        </row>
        <row r="3187">
          <cell r="K3187" t="str">
            <v>201009</v>
          </cell>
          <cell r="M3187">
            <v>12</v>
          </cell>
          <cell r="R3187">
            <v>45706</v>
          </cell>
          <cell r="S3187">
            <v>201009</v>
          </cell>
        </row>
        <row r="3188">
          <cell r="K3188" t="str">
            <v>201003</v>
          </cell>
          <cell r="M3188">
            <v>12</v>
          </cell>
          <cell r="R3188">
            <v>45706</v>
          </cell>
          <cell r="S3188">
            <v>201003</v>
          </cell>
        </row>
        <row r="3189">
          <cell r="K3189" t="str">
            <v>228001</v>
          </cell>
          <cell r="M3189">
            <v>2</v>
          </cell>
          <cell r="R3189">
            <v>45706</v>
          </cell>
          <cell r="S3189">
            <v>228001</v>
          </cell>
        </row>
        <row r="3190">
          <cell r="K3190" t="str">
            <v>201011</v>
          </cell>
          <cell r="M3190">
            <v>5</v>
          </cell>
          <cell r="R3190">
            <v>45707</v>
          </cell>
          <cell r="S3190">
            <v>201011</v>
          </cell>
        </row>
        <row r="3191">
          <cell r="K3191" t="str">
            <v>228001</v>
          </cell>
          <cell r="M3191">
            <v>3</v>
          </cell>
          <cell r="R3191">
            <v>45707</v>
          </cell>
          <cell r="S3191">
            <v>228001</v>
          </cell>
        </row>
        <row r="3192">
          <cell r="K3192" t="str">
            <v>207017</v>
          </cell>
          <cell r="M3192">
            <v>1</v>
          </cell>
          <cell r="R3192">
            <v>45707</v>
          </cell>
          <cell r="S3192">
            <v>207017</v>
          </cell>
        </row>
        <row r="3193">
          <cell r="K3193" t="str">
            <v>226001</v>
          </cell>
          <cell r="M3193">
            <v>2</v>
          </cell>
          <cell r="R3193">
            <v>45707</v>
          </cell>
          <cell r="S3193">
            <v>226001</v>
          </cell>
        </row>
        <row r="3194">
          <cell r="K3194" t="str">
            <v>237001</v>
          </cell>
          <cell r="M3194">
            <v>1</v>
          </cell>
          <cell r="R3194">
            <v>45707</v>
          </cell>
          <cell r="S3194">
            <v>237001</v>
          </cell>
        </row>
        <row r="3195">
          <cell r="K3195" t="str">
            <v>231012</v>
          </cell>
          <cell r="M3195">
            <v>1</v>
          </cell>
          <cell r="R3195">
            <v>45707</v>
          </cell>
          <cell r="S3195">
            <v>231012</v>
          </cell>
        </row>
        <row r="3196">
          <cell r="K3196" t="str">
            <v>203001</v>
          </cell>
          <cell r="M3196">
            <v>1</v>
          </cell>
          <cell r="R3196">
            <v>45707</v>
          </cell>
          <cell r="S3196">
            <v>203001</v>
          </cell>
        </row>
        <row r="3197">
          <cell r="K3197" t="str">
            <v>223002</v>
          </cell>
          <cell r="M3197">
            <v>1</v>
          </cell>
          <cell r="R3197">
            <v>45707</v>
          </cell>
          <cell r="S3197">
            <v>223002</v>
          </cell>
        </row>
        <row r="3198">
          <cell r="K3198" t="str">
            <v>231012</v>
          </cell>
          <cell r="M3198">
            <v>1</v>
          </cell>
          <cell r="R3198">
            <v>45707</v>
          </cell>
          <cell r="S3198">
            <v>231012</v>
          </cell>
        </row>
        <row r="3199">
          <cell r="K3199" t="str">
            <v>222001</v>
          </cell>
          <cell r="M3199">
            <v>1</v>
          </cell>
          <cell r="R3199">
            <v>45707</v>
          </cell>
          <cell r="S3199">
            <v>222001</v>
          </cell>
        </row>
        <row r="3200">
          <cell r="K3200" t="str">
            <v>213002</v>
          </cell>
          <cell r="M3200">
            <v>2</v>
          </cell>
          <cell r="R3200">
            <v>45707</v>
          </cell>
          <cell r="S3200">
            <v>213002</v>
          </cell>
        </row>
        <row r="3201">
          <cell r="K3201" t="str">
            <v>231012</v>
          </cell>
          <cell r="M3201">
            <v>1</v>
          </cell>
          <cell r="R3201">
            <v>45707</v>
          </cell>
          <cell r="S3201">
            <v>231012</v>
          </cell>
        </row>
        <row r="3202">
          <cell r="K3202" t="str">
            <v>227010</v>
          </cell>
          <cell r="M3202">
            <v>3</v>
          </cell>
          <cell r="R3202">
            <v>45707</v>
          </cell>
          <cell r="S3202">
            <v>227010</v>
          </cell>
        </row>
        <row r="3203">
          <cell r="K3203" t="str">
            <v>228001</v>
          </cell>
          <cell r="M3203">
            <v>3</v>
          </cell>
          <cell r="R3203">
            <v>45707</v>
          </cell>
          <cell r="S3203">
            <v>228001</v>
          </cell>
        </row>
        <row r="3204">
          <cell r="K3204" t="str">
            <v>217019</v>
          </cell>
          <cell r="M3204">
            <v>6</v>
          </cell>
          <cell r="R3204">
            <v>45707</v>
          </cell>
          <cell r="S3204">
            <v>217019</v>
          </cell>
        </row>
        <row r="3205">
          <cell r="K3205" t="str">
            <v>226001</v>
          </cell>
          <cell r="M3205">
            <v>7</v>
          </cell>
          <cell r="R3205">
            <v>45707</v>
          </cell>
          <cell r="S3205">
            <v>226001</v>
          </cell>
        </row>
        <row r="3206">
          <cell r="K3206" t="str">
            <v>229004</v>
          </cell>
          <cell r="M3206">
            <v>4</v>
          </cell>
          <cell r="R3206">
            <v>45707</v>
          </cell>
          <cell r="S3206">
            <v>229004</v>
          </cell>
        </row>
        <row r="3207">
          <cell r="K3207" t="str">
            <v>237001</v>
          </cell>
          <cell r="M3207">
            <v>1</v>
          </cell>
          <cell r="R3207">
            <v>45708</v>
          </cell>
          <cell r="S3207">
            <v>237001</v>
          </cell>
        </row>
        <row r="3208">
          <cell r="K3208" t="str">
            <v>231012</v>
          </cell>
          <cell r="M3208">
            <v>1</v>
          </cell>
          <cell r="R3208">
            <v>45708</v>
          </cell>
          <cell r="S3208">
            <v>231012</v>
          </cell>
        </row>
        <row r="3209">
          <cell r="K3209" t="str">
            <v>226024</v>
          </cell>
          <cell r="M3209">
            <v>1</v>
          </cell>
          <cell r="R3209">
            <v>45708</v>
          </cell>
          <cell r="S3209">
            <v>226024</v>
          </cell>
        </row>
        <row r="3210">
          <cell r="K3210" t="str">
            <v>217018</v>
          </cell>
          <cell r="M3210">
            <v>1</v>
          </cell>
          <cell r="R3210">
            <v>45708</v>
          </cell>
          <cell r="S3210">
            <v>217018</v>
          </cell>
        </row>
        <row r="3211">
          <cell r="K3211" t="str">
            <v>201011</v>
          </cell>
          <cell r="M3211">
            <v>2</v>
          </cell>
          <cell r="R3211">
            <v>45707</v>
          </cell>
          <cell r="S3211">
            <v>201011</v>
          </cell>
        </row>
        <row r="3212">
          <cell r="K3212" t="str">
            <v>209001</v>
          </cell>
          <cell r="M3212">
            <v>1</v>
          </cell>
          <cell r="R3212">
            <v>45707</v>
          </cell>
          <cell r="S3212">
            <v>209001</v>
          </cell>
        </row>
        <row r="3213">
          <cell r="K3213" t="str">
            <v>201011</v>
          </cell>
          <cell r="M3213">
            <v>6</v>
          </cell>
          <cell r="R3213">
            <v>45708</v>
          </cell>
          <cell r="S3213">
            <v>201011</v>
          </cell>
        </row>
        <row r="3214">
          <cell r="K3214" t="str">
            <v>213002</v>
          </cell>
          <cell r="M3214">
            <v>2</v>
          </cell>
          <cell r="R3214">
            <v>45708</v>
          </cell>
          <cell r="S3214">
            <v>213002</v>
          </cell>
        </row>
        <row r="3215">
          <cell r="K3215" t="str">
            <v>210001</v>
          </cell>
          <cell r="M3215">
            <v>1</v>
          </cell>
          <cell r="R3215">
            <v>45708</v>
          </cell>
          <cell r="S3215">
            <v>210001</v>
          </cell>
        </row>
        <row r="3216">
          <cell r="K3216" t="str">
            <v>210003</v>
          </cell>
          <cell r="M3216">
            <v>1</v>
          </cell>
          <cell r="R3216">
            <v>45708</v>
          </cell>
          <cell r="S3216">
            <v>210003</v>
          </cell>
        </row>
        <row r="3217">
          <cell r="K3217" t="str">
            <v>217018</v>
          </cell>
          <cell r="M3217">
            <v>1</v>
          </cell>
          <cell r="R3217">
            <v>45708</v>
          </cell>
          <cell r="S3217">
            <v>217018</v>
          </cell>
        </row>
        <row r="3218">
          <cell r="K3218" t="str">
            <v>212035</v>
          </cell>
          <cell r="M3218">
            <v>3</v>
          </cell>
          <cell r="R3218">
            <v>45708</v>
          </cell>
          <cell r="S3218">
            <v>212035</v>
          </cell>
        </row>
        <row r="3219">
          <cell r="K3219" t="str">
            <v>231004</v>
          </cell>
          <cell r="M3219">
            <v>1</v>
          </cell>
          <cell r="R3219">
            <v>45708</v>
          </cell>
          <cell r="S3219">
            <v>231004</v>
          </cell>
        </row>
        <row r="3220">
          <cell r="K3220" t="str">
            <v>201011</v>
          </cell>
          <cell r="M3220">
            <v>6</v>
          </cell>
          <cell r="R3220">
            <v>45708</v>
          </cell>
          <cell r="S3220">
            <v>201011</v>
          </cell>
        </row>
        <row r="3221">
          <cell r="K3221" t="str">
            <v>210013</v>
          </cell>
          <cell r="M3221">
            <v>3</v>
          </cell>
          <cell r="R3221">
            <v>45708</v>
          </cell>
          <cell r="S3221">
            <v>210013</v>
          </cell>
        </row>
        <row r="3222">
          <cell r="K3222" t="str">
            <v>222001</v>
          </cell>
          <cell r="M3222">
            <v>4</v>
          </cell>
          <cell r="R3222">
            <v>45708</v>
          </cell>
          <cell r="S3222">
            <v>222001</v>
          </cell>
        </row>
        <row r="3223">
          <cell r="K3223" t="str">
            <v>234001</v>
          </cell>
          <cell r="M3223">
            <v>2</v>
          </cell>
          <cell r="R3223">
            <v>45708</v>
          </cell>
          <cell r="S3223">
            <v>234001</v>
          </cell>
        </row>
        <row r="3224">
          <cell r="K3224" t="str">
            <v>223002</v>
          </cell>
          <cell r="M3224">
            <v>3</v>
          </cell>
          <cell r="R3224">
            <v>45708</v>
          </cell>
          <cell r="S3224">
            <v>223002</v>
          </cell>
        </row>
        <row r="3225">
          <cell r="K3225" t="str">
            <v>228001</v>
          </cell>
          <cell r="M3225">
            <v>8</v>
          </cell>
          <cell r="R3225">
            <v>45708</v>
          </cell>
          <cell r="S3225">
            <v>228001</v>
          </cell>
        </row>
        <row r="3226">
          <cell r="K3226" t="str">
            <v>217002</v>
          </cell>
          <cell r="M3226">
            <v>1</v>
          </cell>
          <cell r="R3226">
            <v>45708</v>
          </cell>
          <cell r="S3226">
            <v>217002</v>
          </cell>
        </row>
        <row r="3227">
          <cell r="K3227" t="str">
            <v>201004</v>
          </cell>
          <cell r="M3227">
            <v>1</v>
          </cell>
          <cell r="R3227">
            <v>45708</v>
          </cell>
          <cell r="S3227">
            <v>201004</v>
          </cell>
        </row>
        <row r="3228">
          <cell r="K3228" t="str">
            <v>201003</v>
          </cell>
          <cell r="M3228">
            <v>4</v>
          </cell>
          <cell r="R3228">
            <v>45708</v>
          </cell>
          <cell r="S3228">
            <v>201003</v>
          </cell>
        </row>
        <row r="3229">
          <cell r="K3229" t="str">
            <v>217002</v>
          </cell>
          <cell r="M3229">
            <v>1</v>
          </cell>
          <cell r="R3229">
            <v>45708</v>
          </cell>
          <cell r="S3229">
            <v>217002</v>
          </cell>
        </row>
        <row r="3230">
          <cell r="K3230" t="str">
            <v>227002</v>
          </cell>
          <cell r="M3230">
            <v>1</v>
          </cell>
          <cell r="R3230">
            <v>45708</v>
          </cell>
          <cell r="S3230">
            <v>227002</v>
          </cell>
        </row>
        <row r="3231">
          <cell r="K3231" t="str">
            <v>222005</v>
          </cell>
          <cell r="M3231">
            <v>4</v>
          </cell>
          <cell r="R3231">
            <v>45708</v>
          </cell>
          <cell r="S3231">
            <v>222005</v>
          </cell>
        </row>
        <row r="3232">
          <cell r="K3232" t="str">
            <v>231012</v>
          </cell>
          <cell r="M3232">
            <v>8</v>
          </cell>
          <cell r="R3232">
            <v>45708</v>
          </cell>
          <cell r="S3232">
            <v>231012</v>
          </cell>
        </row>
        <row r="3233">
          <cell r="K3233" t="str">
            <v>228001</v>
          </cell>
          <cell r="M3233">
            <v>1</v>
          </cell>
          <cell r="R3233">
            <v>45708</v>
          </cell>
          <cell r="S3233">
            <v>228001</v>
          </cell>
        </row>
        <row r="3234">
          <cell r="K3234" t="str">
            <v>227002</v>
          </cell>
          <cell r="M3234">
            <v>1</v>
          </cell>
          <cell r="R3234">
            <v>45709</v>
          </cell>
          <cell r="S3234">
            <v>227002</v>
          </cell>
        </row>
        <row r="3235">
          <cell r="K3235" t="str">
            <v>231012</v>
          </cell>
          <cell r="M3235">
            <v>4</v>
          </cell>
          <cell r="R3235">
            <v>45708</v>
          </cell>
          <cell r="S3235">
            <v>231012</v>
          </cell>
        </row>
        <row r="3236">
          <cell r="K3236" t="str">
            <v>210014</v>
          </cell>
          <cell r="M3236">
            <v>4</v>
          </cell>
          <cell r="R3236">
            <v>45708</v>
          </cell>
          <cell r="S3236">
            <v>210014</v>
          </cell>
        </row>
        <row r="3237">
          <cell r="K3237" t="str">
            <v>226027</v>
          </cell>
          <cell r="M3237">
            <v>1</v>
          </cell>
          <cell r="R3237">
            <v>45708</v>
          </cell>
          <cell r="S3237">
            <v>226027</v>
          </cell>
        </row>
        <row r="3238">
          <cell r="K3238" t="str">
            <v>227013</v>
          </cell>
          <cell r="M3238">
            <v>4</v>
          </cell>
          <cell r="R3238">
            <v>45708</v>
          </cell>
          <cell r="S3238">
            <v>227013</v>
          </cell>
        </row>
        <row r="3239">
          <cell r="K3239" t="str">
            <v>213002</v>
          </cell>
          <cell r="M3239">
            <v>8</v>
          </cell>
          <cell r="R3239">
            <v>45708</v>
          </cell>
          <cell r="S3239">
            <v>213002</v>
          </cell>
        </row>
        <row r="3240">
          <cell r="K3240" t="str">
            <v>231012</v>
          </cell>
          <cell r="M3240">
            <v>4</v>
          </cell>
          <cell r="R3240">
            <v>45708</v>
          </cell>
          <cell r="S3240">
            <v>231012</v>
          </cell>
        </row>
        <row r="3241">
          <cell r="K3241" t="str">
            <v>213002</v>
          </cell>
          <cell r="M3241">
            <v>30</v>
          </cell>
          <cell r="R3241">
            <v>45708</v>
          </cell>
          <cell r="S3241">
            <v>213002</v>
          </cell>
        </row>
        <row r="3242">
          <cell r="K3242" t="str">
            <v>222003</v>
          </cell>
          <cell r="M3242">
            <v>1</v>
          </cell>
          <cell r="R3242">
            <v>45708</v>
          </cell>
          <cell r="S3242">
            <v>222003</v>
          </cell>
        </row>
        <row r="3243">
          <cell r="K3243" t="str">
            <v>222004</v>
          </cell>
          <cell r="M3243">
            <v>1</v>
          </cell>
          <cell r="R3243">
            <v>45708</v>
          </cell>
          <cell r="S3243">
            <v>222004</v>
          </cell>
        </row>
        <row r="3244">
          <cell r="K3244" t="str">
            <v>222005</v>
          </cell>
          <cell r="M3244">
            <v>1</v>
          </cell>
          <cell r="R3244">
            <v>45708</v>
          </cell>
          <cell r="S3244">
            <v>222005</v>
          </cell>
        </row>
        <row r="3245">
          <cell r="K3245" t="str">
            <v>201011</v>
          </cell>
          <cell r="M3245">
            <v>3</v>
          </cell>
          <cell r="R3245">
            <v>45708</v>
          </cell>
          <cell r="S3245">
            <v>201011</v>
          </cell>
        </row>
        <row r="3246">
          <cell r="K3246" t="str">
            <v>222007</v>
          </cell>
          <cell r="M3246">
            <v>1</v>
          </cell>
          <cell r="R3246">
            <v>45708</v>
          </cell>
          <cell r="S3246">
            <v>222007</v>
          </cell>
        </row>
        <row r="3247">
          <cell r="K3247" t="str">
            <v>201011</v>
          </cell>
          <cell r="M3247">
            <v>3</v>
          </cell>
          <cell r="R3247">
            <v>45708</v>
          </cell>
          <cell r="S3247">
            <v>201011</v>
          </cell>
        </row>
        <row r="3248">
          <cell r="K3248" t="str">
            <v>213002</v>
          </cell>
          <cell r="M3248">
            <v>7</v>
          </cell>
          <cell r="R3248">
            <v>45708</v>
          </cell>
          <cell r="S3248">
            <v>213002</v>
          </cell>
        </row>
        <row r="3249">
          <cell r="K3249" t="str">
            <v>217018</v>
          </cell>
          <cell r="M3249">
            <v>3</v>
          </cell>
          <cell r="R3249">
            <v>45709</v>
          </cell>
          <cell r="S3249">
            <v>217018</v>
          </cell>
        </row>
        <row r="3250">
          <cell r="K3250" t="str">
            <v>213002</v>
          </cell>
          <cell r="M3250">
            <v>2</v>
          </cell>
          <cell r="R3250">
            <v>45709</v>
          </cell>
          <cell r="S3250">
            <v>213002</v>
          </cell>
        </row>
        <row r="3251">
          <cell r="K3251" t="str">
            <v>212035</v>
          </cell>
          <cell r="M3251">
            <v>4</v>
          </cell>
          <cell r="R3251">
            <v>45709</v>
          </cell>
          <cell r="S3251">
            <v>212035</v>
          </cell>
        </row>
        <row r="3252">
          <cell r="K3252" t="str">
            <v>209012</v>
          </cell>
          <cell r="M3252">
            <v>1</v>
          </cell>
          <cell r="R3252">
            <v>45709</v>
          </cell>
          <cell r="S3252">
            <v>209012</v>
          </cell>
        </row>
        <row r="3253">
          <cell r="K3253" t="str">
            <v>212035</v>
          </cell>
          <cell r="M3253">
            <v>1</v>
          </cell>
          <cell r="R3253">
            <v>45709</v>
          </cell>
          <cell r="S3253">
            <v>212035</v>
          </cell>
        </row>
        <row r="3254">
          <cell r="K3254" t="str">
            <v>203003</v>
          </cell>
          <cell r="M3254">
            <v>1</v>
          </cell>
          <cell r="R3254">
            <v>45709</v>
          </cell>
          <cell r="S3254">
            <v>203003</v>
          </cell>
        </row>
        <row r="3255">
          <cell r="K3255" t="str">
            <v>223002</v>
          </cell>
          <cell r="M3255">
            <v>6</v>
          </cell>
          <cell r="R3255">
            <v>45709</v>
          </cell>
          <cell r="S3255">
            <v>223002</v>
          </cell>
        </row>
        <row r="3256">
          <cell r="K3256" t="str">
            <v>222001</v>
          </cell>
          <cell r="M3256">
            <v>1</v>
          </cell>
          <cell r="R3256">
            <v>45709</v>
          </cell>
          <cell r="S3256">
            <v>222001</v>
          </cell>
        </row>
        <row r="3257">
          <cell r="K3257" t="str">
            <v>209004</v>
          </cell>
          <cell r="M3257">
            <v>1</v>
          </cell>
          <cell r="R3257">
            <v>45709</v>
          </cell>
          <cell r="S3257">
            <v>209004</v>
          </cell>
        </row>
        <row r="3258">
          <cell r="K3258" t="str">
            <v>221001</v>
          </cell>
          <cell r="M3258">
            <v>1</v>
          </cell>
          <cell r="R3258">
            <v>45709</v>
          </cell>
          <cell r="S3258">
            <v>221001</v>
          </cell>
        </row>
        <row r="3259">
          <cell r="K3259" t="str">
            <v>226024</v>
          </cell>
          <cell r="M3259">
            <v>1</v>
          </cell>
          <cell r="R3259">
            <v>45709</v>
          </cell>
          <cell r="S3259">
            <v>226024</v>
          </cell>
        </row>
        <row r="3260">
          <cell r="K3260" t="str">
            <v>201011</v>
          </cell>
          <cell r="M3260">
            <v>30</v>
          </cell>
          <cell r="R3260">
            <v>45709</v>
          </cell>
          <cell r="S3260">
            <v>201011</v>
          </cell>
        </row>
        <row r="3261">
          <cell r="K3261" t="str">
            <v>203003</v>
          </cell>
          <cell r="M3261">
            <v>5</v>
          </cell>
          <cell r="R3261">
            <v>45709</v>
          </cell>
          <cell r="S3261">
            <v>203003</v>
          </cell>
        </row>
        <row r="3262">
          <cell r="K3262" t="str">
            <v>217018</v>
          </cell>
          <cell r="M3262">
            <v>2</v>
          </cell>
          <cell r="R3262">
            <v>45709</v>
          </cell>
          <cell r="S3262">
            <v>217018</v>
          </cell>
        </row>
        <row r="3263">
          <cell r="K3263" t="str">
            <v>228001</v>
          </cell>
          <cell r="M3263">
            <v>4</v>
          </cell>
          <cell r="R3263">
            <v>45709</v>
          </cell>
          <cell r="S3263">
            <v>228001</v>
          </cell>
        </row>
        <row r="3264">
          <cell r="K3264" t="str">
            <v>217019</v>
          </cell>
          <cell r="M3264">
            <v>18</v>
          </cell>
          <cell r="R3264">
            <v>45709</v>
          </cell>
          <cell r="S3264">
            <v>217019</v>
          </cell>
        </row>
        <row r="3265">
          <cell r="K3265" t="str">
            <v>210001</v>
          </cell>
          <cell r="M3265">
            <v>2</v>
          </cell>
          <cell r="R3265">
            <v>45709</v>
          </cell>
          <cell r="S3265">
            <v>210001</v>
          </cell>
        </row>
        <row r="3266">
          <cell r="K3266" t="str">
            <v>234001</v>
          </cell>
          <cell r="M3266">
            <v>1</v>
          </cell>
          <cell r="R3266">
            <v>45709</v>
          </cell>
          <cell r="S3266">
            <v>234001</v>
          </cell>
        </row>
        <row r="3267">
          <cell r="K3267" t="str">
            <v>209012</v>
          </cell>
          <cell r="M3267">
            <v>1</v>
          </cell>
          <cell r="R3267">
            <v>45709</v>
          </cell>
          <cell r="S3267">
            <v>209012</v>
          </cell>
        </row>
        <row r="3268">
          <cell r="K3268" t="str">
            <v>206005</v>
          </cell>
          <cell r="M3268">
            <v>1</v>
          </cell>
          <cell r="R3268">
            <v>45709</v>
          </cell>
          <cell r="S3268">
            <v>206005</v>
          </cell>
        </row>
        <row r="3269">
          <cell r="K3269" t="str">
            <v>202001</v>
          </cell>
          <cell r="M3269">
            <v>1</v>
          </cell>
          <cell r="R3269">
            <v>45709</v>
          </cell>
          <cell r="S3269">
            <v>202001</v>
          </cell>
        </row>
        <row r="3270">
          <cell r="K3270" t="str">
            <v>201011</v>
          </cell>
          <cell r="M3270">
            <v>4</v>
          </cell>
          <cell r="R3270">
            <v>45709</v>
          </cell>
          <cell r="S3270">
            <v>201011</v>
          </cell>
        </row>
        <row r="3271">
          <cell r="K3271" t="str">
            <v>229003</v>
          </cell>
          <cell r="M3271">
            <v>1</v>
          </cell>
          <cell r="R3271">
            <v>45712</v>
          </cell>
          <cell r="S3271">
            <v>229003</v>
          </cell>
        </row>
        <row r="3272">
          <cell r="K3272" t="str">
            <v>201011</v>
          </cell>
          <cell r="M3272">
            <v>4</v>
          </cell>
          <cell r="R3272">
            <v>45710</v>
          </cell>
          <cell r="S3272">
            <v>201011</v>
          </cell>
        </row>
        <row r="3273">
          <cell r="K3273" t="str">
            <v>201011</v>
          </cell>
          <cell r="M3273">
            <v>2</v>
          </cell>
          <cell r="R3273">
            <v>45712</v>
          </cell>
          <cell r="S3273">
            <v>201011</v>
          </cell>
        </row>
        <row r="3274">
          <cell r="K3274" t="str">
            <v>201011</v>
          </cell>
          <cell r="M3274">
            <v>6</v>
          </cell>
          <cell r="R3274">
            <v>45712</v>
          </cell>
          <cell r="S3274">
            <v>201011</v>
          </cell>
        </row>
        <row r="3275">
          <cell r="K3275" t="str">
            <v>203003</v>
          </cell>
          <cell r="M3275">
            <v>1</v>
          </cell>
          <cell r="R3275">
            <v>45712</v>
          </cell>
          <cell r="S3275">
            <v>203003</v>
          </cell>
        </row>
        <row r="3276">
          <cell r="K3276" t="str">
            <v>229001</v>
          </cell>
          <cell r="M3276">
            <v>1</v>
          </cell>
          <cell r="R3276">
            <v>45712</v>
          </cell>
          <cell r="S3276">
            <v>229001</v>
          </cell>
        </row>
        <row r="3277">
          <cell r="K3277" t="str">
            <v>209001</v>
          </cell>
          <cell r="M3277">
            <v>1</v>
          </cell>
          <cell r="R3277">
            <v>45712</v>
          </cell>
          <cell r="S3277">
            <v>209001</v>
          </cell>
        </row>
        <row r="3278">
          <cell r="K3278" t="str">
            <v>213002</v>
          </cell>
          <cell r="M3278">
            <v>1</v>
          </cell>
          <cell r="R3278">
            <v>45712</v>
          </cell>
          <cell r="S3278">
            <v>213002</v>
          </cell>
        </row>
        <row r="3279">
          <cell r="K3279" t="str">
            <v>228001</v>
          </cell>
          <cell r="M3279">
            <v>1</v>
          </cell>
          <cell r="R3279">
            <v>45712</v>
          </cell>
          <cell r="S3279">
            <v>228001</v>
          </cell>
        </row>
        <row r="3280">
          <cell r="K3280" t="str">
            <v>231012</v>
          </cell>
          <cell r="M3280">
            <v>4</v>
          </cell>
          <cell r="R3280">
            <v>45712</v>
          </cell>
          <cell r="S3280">
            <v>231012</v>
          </cell>
        </row>
        <row r="3281">
          <cell r="K3281" t="str">
            <v>223002</v>
          </cell>
          <cell r="M3281">
            <v>2</v>
          </cell>
          <cell r="R3281">
            <v>45712</v>
          </cell>
          <cell r="S3281">
            <v>223002</v>
          </cell>
        </row>
        <row r="3282">
          <cell r="K3282" t="str">
            <v>223001</v>
          </cell>
          <cell r="M3282">
            <v>4</v>
          </cell>
          <cell r="R3282">
            <v>45712</v>
          </cell>
          <cell r="S3282">
            <v>223001</v>
          </cell>
        </row>
        <row r="3283">
          <cell r="K3283" t="str">
            <v>227012</v>
          </cell>
          <cell r="M3283">
            <v>1</v>
          </cell>
          <cell r="R3283">
            <v>45712</v>
          </cell>
          <cell r="S3283">
            <v>227012</v>
          </cell>
        </row>
        <row r="3284">
          <cell r="K3284" t="str">
            <v>209022</v>
          </cell>
          <cell r="M3284">
            <v>6</v>
          </cell>
          <cell r="R3284">
            <v>45712</v>
          </cell>
          <cell r="S3284">
            <v>209022</v>
          </cell>
        </row>
        <row r="3285">
          <cell r="K3285" t="str">
            <v>217018</v>
          </cell>
          <cell r="M3285">
            <v>1</v>
          </cell>
          <cell r="R3285">
            <v>45712</v>
          </cell>
          <cell r="S3285">
            <v>217018</v>
          </cell>
        </row>
        <row r="3286">
          <cell r="K3286" t="str">
            <v>231012</v>
          </cell>
          <cell r="M3286">
            <v>1</v>
          </cell>
          <cell r="R3286">
            <v>45712</v>
          </cell>
          <cell r="S3286">
            <v>231012</v>
          </cell>
        </row>
        <row r="3287">
          <cell r="K3287" t="str">
            <v>212002</v>
          </cell>
          <cell r="M3287">
            <v>1</v>
          </cell>
          <cell r="R3287">
            <v>45712</v>
          </cell>
          <cell r="S3287">
            <v>212002</v>
          </cell>
        </row>
        <row r="3288">
          <cell r="K3288" t="str">
            <v>213002</v>
          </cell>
          <cell r="M3288">
            <v>1</v>
          </cell>
          <cell r="R3288">
            <v>45712</v>
          </cell>
          <cell r="S3288">
            <v>213002</v>
          </cell>
        </row>
        <row r="3289">
          <cell r="K3289" t="str">
            <v>207017</v>
          </cell>
          <cell r="M3289">
            <v>1</v>
          </cell>
          <cell r="R3289">
            <v>45712</v>
          </cell>
          <cell r="S3289">
            <v>207017</v>
          </cell>
        </row>
        <row r="3290">
          <cell r="K3290" t="str">
            <v>231012</v>
          </cell>
          <cell r="M3290">
            <v>1</v>
          </cell>
          <cell r="R3290">
            <v>45712</v>
          </cell>
          <cell r="S3290">
            <v>231012</v>
          </cell>
        </row>
        <row r="3291">
          <cell r="K3291" t="str">
            <v>213002</v>
          </cell>
          <cell r="M3291">
            <v>5</v>
          </cell>
          <cell r="R3291">
            <v>45712</v>
          </cell>
          <cell r="S3291">
            <v>213002</v>
          </cell>
        </row>
        <row r="3292">
          <cell r="K3292" t="str">
            <v>201011</v>
          </cell>
          <cell r="M3292">
            <v>6</v>
          </cell>
          <cell r="R3292">
            <v>45712</v>
          </cell>
          <cell r="S3292">
            <v>201011</v>
          </cell>
        </row>
        <row r="3293">
          <cell r="K3293" t="str">
            <v>226001</v>
          </cell>
          <cell r="M3293">
            <v>4</v>
          </cell>
          <cell r="R3293">
            <v>45712</v>
          </cell>
          <cell r="S3293">
            <v>226001</v>
          </cell>
        </row>
        <row r="3294">
          <cell r="K3294" t="str">
            <v>210014</v>
          </cell>
          <cell r="M3294">
            <v>3</v>
          </cell>
          <cell r="R3294">
            <v>45712</v>
          </cell>
          <cell r="S3294">
            <v>210014</v>
          </cell>
        </row>
        <row r="3295">
          <cell r="K3295" t="str">
            <v>226022</v>
          </cell>
          <cell r="M3295">
            <v>3</v>
          </cell>
          <cell r="R3295">
            <v>45712</v>
          </cell>
          <cell r="S3295">
            <v>226022</v>
          </cell>
        </row>
        <row r="3296">
          <cell r="K3296" t="str">
            <v>213002</v>
          </cell>
          <cell r="M3296">
            <v>5</v>
          </cell>
          <cell r="R3296">
            <v>45712</v>
          </cell>
          <cell r="S3296">
            <v>213002</v>
          </cell>
        </row>
        <row r="3297">
          <cell r="K3297" t="str">
            <v>228001</v>
          </cell>
          <cell r="M3297">
            <v>3</v>
          </cell>
          <cell r="R3297">
            <v>45712</v>
          </cell>
          <cell r="S3297">
            <v>228001</v>
          </cell>
        </row>
        <row r="3298">
          <cell r="K3298" t="str">
            <v>228017</v>
          </cell>
          <cell r="M3298">
            <v>1</v>
          </cell>
          <cell r="R3298">
            <v>45712</v>
          </cell>
          <cell r="S3298">
            <v>228017</v>
          </cell>
        </row>
        <row r="3299">
          <cell r="K3299" t="str">
            <v>231012</v>
          </cell>
          <cell r="M3299">
            <v>1</v>
          </cell>
          <cell r="R3299">
            <v>45712</v>
          </cell>
          <cell r="S3299">
            <v>231012</v>
          </cell>
        </row>
        <row r="3300">
          <cell r="K3300" t="str">
            <v>203001</v>
          </cell>
          <cell r="M3300">
            <v>1</v>
          </cell>
          <cell r="R3300">
            <v>45712</v>
          </cell>
          <cell r="S3300">
            <v>203001</v>
          </cell>
        </row>
        <row r="3301">
          <cell r="K3301" t="str">
            <v>207017</v>
          </cell>
          <cell r="M3301">
            <v>1</v>
          </cell>
          <cell r="R3301">
            <v>45712</v>
          </cell>
          <cell r="S3301">
            <v>207017</v>
          </cell>
        </row>
        <row r="3302">
          <cell r="K3302" t="str">
            <v>206005</v>
          </cell>
          <cell r="M3302">
            <v>1</v>
          </cell>
          <cell r="R3302">
            <v>45712</v>
          </cell>
          <cell r="S3302">
            <v>206005</v>
          </cell>
        </row>
        <row r="3303">
          <cell r="K3303" t="str">
            <v>218003</v>
          </cell>
          <cell r="M3303">
            <v>1</v>
          </cell>
          <cell r="R3303">
            <v>45712</v>
          </cell>
          <cell r="S3303">
            <v>218003</v>
          </cell>
        </row>
        <row r="3304">
          <cell r="K3304" t="str">
            <v>201011</v>
          </cell>
          <cell r="M3304">
            <v>3</v>
          </cell>
          <cell r="R3304">
            <v>45712</v>
          </cell>
          <cell r="S3304">
            <v>201011</v>
          </cell>
        </row>
        <row r="3305">
          <cell r="K3305" t="str">
            <v>231012</v>
          </cell>
          <cell r="M3305">
            <v>2</v>
          </cell>
          <cell r="R3305">
            <v>45712</v>
          </cell>
          <cell r="S3305">
            <v>231012</v>
          </cell>
        </row>
        <row r="3306">
          <cell r="K3306" t="str">
            <v>207017</v>
          </cell>
          <cell r="M3306">
            <v>2</v>
          </cell>
          <cell r="R3306">
            <v>45712</v>
          </cell>
          <cell r="S3306">
            <v>207017</v>
          </cell>
        </row>
        <row r="3307">
          <cell r="K3307" t="str">
            <v>206002</v>
          </cell>
          <cell r="M3307">
            <v>1</v>
          </cell>
          <cell r="R3307">
            <v>45712</v>
          </cell>
          <cell r="S3307">
            <v>206002</v>
          </cell>
        </row>
        <row r="3308">
          <cell r="K3308" t="str">
            <v>208001</v>
          </cell>
          <cell r="M3308">
            <v>1</v>
          </cell>
          <cell r="R3308">
            <v>45712</v>
          </cell>
          <cell r="S3308">
            <v>208001</v>
          </cell>
        </row>
        <row r="3309">
          <cell r="K3309" t="str">
            <v>206005</v>
          </cell>
          <cell r="M3309">
            <v>1</v>
          </cell>
          <cell r="R3309">
            <v>45712</v>
          </cell>
          <cell r="S3309">
            <v>206005</v>
          </cell>
        </row>
        <row r="3310">
          <cell r="K3310" t="str">
            <v>201011</v>
          </cell>
          <cell r="M3310">
            <v>10</v>
          </cell>
          <cell r="R3310">
            <v>45712</v>
          </cell>
          <cell r="S3310">
            <v>201011</v>
          </cell>
        </row>
        <row r="3311">
          <cell r="K3311" t="str">
            <v>203001</v>
          </cell>
          <cell r="M3311">
            <v>4</v>
          </cell>
          <cell r="R3311">
            <v>45712</v>
          </cell>
          <cell r="S3311">
            <v>203001</v>
          </cell>
        </row>
        <row r="3312">
          <cell r="K3312" t="str">
            <v>203001</v>
          </cell>
          <cell r="M3312">
            <v>4</v>
          </cell>
          <cell r="R3312">
            <v>45712</v>
          </cell>
          <cell r="S3312">
            <v>203001</v>
          </cell>
        </row>
        <row r="3313">
          <cell r="K3313" t="str">
            <v>201011</v>
          </cell>
          <cell r="M3313">
            <v>4</v>
          </cell>
          <cell r="R3313">
            <v>45712</v>
          </cell>
          <cell r="S3313">
            <v>201011</v>
          </cell>
        </row>
        <row r="3314">
          <cell r="K3314" t="str">
            <v>231012</v>
          </cell>
          <cell r="M3314">
            <v>1</v>
          </cell>
          <cell r="R3314">
            <v>45712</v>
          </cell>
          <cell r="S3314">
            <v>231012</v>
          </cell>
        </row>
        <row r="3315">
          <cell r="K3315" t="str">
            <v>212002</v>
          </cell>
          <cell r="M3315">
            <v>1</v>
          </cell>
          <cell r="R3315">
            <v>45712</v>
          </cell>
          <cell r="S3315">
            <v>212002</v>
          </cell>
        </row>
        <row r="3316">
          <cell r="K3316" t="str">
            <v>207017</v>
          </cell>
          <cell r="M3316">
            <v>1</v>
          </cell>
          <cell r="R3316">
            <v>45712</v>
          </cell>
          <cell r="S3316">
            <v>207017</v>
          </cell>
        </row>
        <row r="3317">
          <cell r="K3317" t="str">
            <v>231012</v>
          </cell>
          <cell r="M3317">
            <v>1</v>
          </cell>
          <cell r="R3317">
            <v>45712</v>
          </cell>
          <cell r="S3317">
            <v>231012</v>
          </cell>
        </row>
        <row r="3318">
          <cell r="K3318" t="str">
            <v>203003</v>
          </cell>
          <cell r="M3318">
            <v>1</v>
          </cell>
          <cell r="R3318">
            <v>45712</v>
          </cell>
          <cell r="S3318">
            <v>203003</v>
          </cell>
        </row>
        <row r="3319">
          <cell r="K3319" t="str">
            <v>228017</v>
          </cell>
          <cell r="M3319">
            <v>1</v>
          </cell>
          <cell r="R3319">
            <v>45712</v>
          </cell>
          <cell r="S3319">
            <v>228017</v>
          </cell>
        </row>
        <row r="3320">
          <cell r="K3320" t="str">
            <v>217011</v>
          </cell>
          <cell r="M3320">
            <v>4</v>
          </cell>
          <cell r="R3320">
            <v>45712</v>
          </cell>
          <cell r="S3320">
            <v>217011</v>
          </cell>
        </row>
        <row r="3321">
          <cell r="K3321" t="str">
            <v>203003</v>
          </cell>
          <cell r="M3321">
            <v>3</v>
          </cell>
          <cell r="R3321">
            <v>45712</v>
          </cell>
          <cell r="S3321">
            <v>203003</v>
          </cell>
        </row>
        <row r="3322">
          <cell r="K3322" t="str">
            <v>231012</v>
          </cell>
          <cell r="M3322">
            <v>1</v>
          </cell>
          <cell r="R3322">
            <v>45712</v>
          </cell>
          <cell r="S3322">
            <v>231012</v>
          </cell>
        </row>
        <row r="3323">
          <cell r="K3323" t="str">
            <v>203001</v>
          </cell>
          <cell r="M3323">
            <v>1</v>
          </cell>
          <cell r="R3323">
            <v>45712</v>
          </cell>
          <cell r="S3323">
            <v>203001</v>
          </cell>
        </row>
        <row r="3324">
          <cell r="K3324" t="str">
            <v>209004</v>
          </cell>
          <cell r="M3324">
            <v>1</v>
          </cell>
          <cell r="R3324">
            <v>45712</v>
          </cell>
          <cell r="S3324">
            <v>209004</v>
          </cell>
        </row>
        <row r="3325">
          <cell r="K3325" t="str">
            <v>212035</v>
          </cell>
          <cell r="M3325">
            <v>1</v>
          </cell>
          <cell r="R3325">
            <v>45712</v>
          </cell>
          <cell r="S3325">
            <v>212035</v>
          </cell>
        </row>
        <row r="3326">
          <cell r="K3326" t="str">
            <v>226026</v>
          </cell>
          <cell r="M3326">
            <v>2</v>
          </cell>
          <cell r="R3326">
            <v>45712</v>
          </cell>
          <cell r="S3326">
            <v>226026</v>
          </cell>
        </row>
        <row r="3327">
          <cell r="K3327" t="str">
            <v>231012</v>
          </cell>
          <cell r="M3327">
            <v>1</v>
          </cell>
          <cell r="R3327">
            <v>45712</v>
          </cell>
          <cell r="S3327">
            <v>231012</v>
          </cell>
        </row>
        <row r="3328">
          <cell r="K3328" t="str">
            <v>223001</v>
          </cell>
          <cell r="M3328">
            <v>1</v>
          </cell>
          <cell r="R3328">
            <v>45712</v>
          </cell>
          <cell r="S3328">
            <v>223001</v>
          </cell>
        </row>
        <row r="3329">
          <cell r="K3329" t="str">
            <v>223002</v>
          </cell>
          <cell r="M3329">
            <v>2</v>
          </cell>
          <cell r="R3329">
            <v>45712</v>
          </cell>
          <cell r="S3329">
            <v>223002</v>
          </cell>
        </row>
        <row r="3330">
          <cell r="K3330" t="str">
            <v>201011</v>
          </cell>
          <cell r="M3330">
            <v>3</v>
          </cell>
          <cell r="R3330">
            <v>45712</v>
          </cell>
          <cell r="S3330">
            <v>201011</v>
          </cell>
        </row>
        <row r="3331">
          <cell r="K3331" t="str">
            <v>212035</v>
          </cell>
          <cell r="M3331">
            <v>2</v>
          </cell>
          <cell r="R3331">
            <v>45713</v>
          </cell>
          <cell r="S3331">
            <v>212035</v>
          </cell>
        </row>
        <row r="3332">
          <cell r="K3332" t="str">
            <v>223001</v>
          </cell>
          <cell r="M3332">
            <v>2</v>
          </cell>
          <cell r="R3332">
            <v>45713</v>
          </cell>
          <cell r="S3332">
            <v>223001</v>
          </cell>
        </row>
        <row r="3333">
          <cell r="K3333" t="str">
            <v>227001</v>
          </cell>
          <cell r="M3333">
            <v>7</v>
          </cell>
          <cell r="R3333">
            <v>45713</v>
          </cell>
          <cell r="S3333">
            <v>227001</v>
          </cell>
        </row>
        <row r="3334">
          <cell r="K3334" t="str">
            <v>201011</v>
          </cell>
          <cell r="M3334">
            <v>3</v>
          </cell>
          <cell r="R3334">
            <v>45713</v>
          </cell>
          <cell r="S3334">
            <v>201011</v>
          </cell>
        </row>
        <row r="3335">
          <cell r="K3335" t="str">
            <v>210013</v>
          </cell>
          <cell r="M3335">
            <v>1</v>
          </cell>
          <cell r="R3335">
            <v>45713</v>
          </cell>
          <cell r="S3335">
            <v>210013</v>
          </cell>
        </row>
        <row r="3336">
          <cell r="K3336" t="str">
            <v>228001</v>
          </cell>
          <cell r="M3336">
            <v>2</v>
          </cell>
          <cell r="R3336">
            <v>45713</v>
          </cell>
          <cell r="S3336">
            <v>228001</v>
          </cell>
        </row>
        <row r="3337">
          <cell r="K3337" t="str">
            <v>237001</v>
          </cell>
          <cell r="M3337">
            <v>1</v>
          </cell>
          <cell r="R3337">
            <v>45713</v>
          </cell>
          <cell r="S3337">
            <v>237001</v>
          </cell>
        </row>
        <row r="3338">
          <cell r="K3338" t="str">
            <v>217002</v>
          </cell>
          <cell r="M3338">
            <v>1</v>
          </cell>
          <cell r="R3338">
            <v>45713</v>
          </cell>
          <cell r="S3338">
            <v>217002</v>
          </cell>
        </row>
        <row r="3339">
          <cell r="K3339" t="str">
            <v>201011</v>
          </cell>
          <cell r="M3339">
            <v>1</v>
          </cell>
          <cell r="R3339">
            <v>45713</v>
          </cell>
          <cell r="S3339">
            <v>201011</v>
          </cell>
        </row>
        <row r="3340">
          <cell r="K3340" t="str">
            <v>226001</v>
          </cell>
          <cell r="M3340">
            <v>1</v>
          </cell>
          <cell r="R3340">
            <v>45713</v>
          </cell>
          <cell r="S3340">
            <v>226001</v>
          </cell>
        </row>
        <row r="3341">
          <cell r="K3341" t="str">
            <v>231008</v>
          </cell>
          <cell r="M3341">
            <v>1</v>
          </cell>
          <cell r="R3341">
            <v>45713</v>
          </cell>
          <cell r="S3341">
            <v>231008</v>
          </cell>
        </row>
        <row r="3342">
          <cell r="K3342" t="str">
            <v>214002</v>
          </cell>
          <cell r="M3342">
            <v>1</v>
          </cell>
          <cell r="R3342">
            <v>45713</v>
          </cell>
          <cell r="S3342">
            <v>214002</v>
          </cell>
        </row>
        <row r="3343">
          <cell r="K3343" t="str">
            <v>206002</v>
          </cell>
          <cell r="M3343">
            <v>1</v>
          </cell>
          <cell r="R3343">
            <v>45713</v>
          </cell>
          <cell r="S3343">
            <v>206002</v>
          </cell>
        </row>
        <row r="3344">
          <cell r="K3344" t="str">
            <v>201011</v>
          </cell>
          <cell r="M3344">
            <v>2</v>
          </cell>
          <cell r="R3344">
            <v>45713</v>
          </cell>
          <cell r="S3344">
            <v>201011</v>
          </cell>
        </row>
        <row r="3345">
          <cell r="K3345" t="str">
            <v>231012</v>
          </cell>
          <cell r="M3345">
            <v>1</v>
          </cell>
          <cell r="R3345">
            <v>45713</v>
          </cell>
          <cell r="S3345">
            <v>231012</v>
          </cell>
        </row>
        <row r="3346">
          <cell r="K3346" t="str">
            <v>222001</v>
          </cell>
          <cell r="M3346">
            <v>1</v>
          </cell>
          <cell r="R3346">
            <v>45713</v>
          </cell>
          <cell r="S3346">
            <v>222001</v>
          </cell>
        </row>
        <row r="3347">
          <cell r="K3347" t="str">
            <v>201011</v>
          </cell>
          <cell r="M3347">
            <v>4</v>
          </cell>
          <cell r="R3347">
            <v>45713</v>
          </cell>
          <cell r="S3347">
            <v>201011</v>
          </cell>
        </row>
        <row r="3348">
          <cell r="K3348" t="str">
            <v>213002</v>
          </cell>
          <cell r="M3348">
            <v>5</v>
          </cell>
          <cell r="R3348">
            <v>45713</v>
          </cell>
          <cell r="S3348">
            <v>213002</v>
          </cell>
        </row>
        <row r="3349">
          <cell r="K3349" t="str">
            <v>213002</v>
          </cell>
          <cell r="M3349">
            <v>10</v>
          </cell>
          <cell r="R3349">
            <v>45713</v>
          </cell>
          <cell r="S3349">
            <v>213002</v>
          </cell>
        </row>
        <row r="3350">
          <cell r="K3350" t="str">
            <v>228017</v>
          </cell>
          <cell r="M3350">
            <v>4</v>
          </cell>
          <cell r="R3350">
            <v>45713</v>
          </cell>
          <cell r="S3350">
            <v>228017</v>
          </cell>
        </row>
        <row r="3351">
          <cell r="K3351" t="str">
            <v>213002</v>
          </cell>
          <cell r="M3351">
            <v>6</v>
          </cell>
          <cell r="R3351">
            <v>45713</v>
          </cell>
          <cell r="S3351">
            <v>213002</v>
          </cell>
        </row>
        <row r="3352">
          <cell r="K3352" t="str">
            <v>212019</v>
          </cell>
          <cell r="M3352">
            <v>50</v>
          </cell>
          <cell r="R3352">
            <v>45713</v>
          </cell>
          <cell r="S3352">
            <v>212019</v>
          </cell>
        </row>
        <row r="3353">
          <cell r="K3353" t="str">
            <v>228017</v>
          </cell>
          <cell r="M3353">
            <v>3</v>
          </cell>
          <cell r="R3353">
            <v>45713</v>
          </cell>
          <cell r="S3353">
            <v>228017</v>
          </cell>
        </row>
        <row r="3354">
          <cell r="K3354" t="str">
            <v>213002</v>
          </cell>
          <cell r="M3354">
            <v>6</v>
          </cell>
          <cell r="R3354">
            <v>45713</v>
          </cell>
          <cell r="S3354">
            <v>213002</v>
          </cell>
        </row>
        <row r="3355">
          <cell r="K3355" t="str">
            <v>228017</v>
          </cell>
          <cell r="M3355">
            <v>3</v>
          </cell>
          <cell r="R3355">
            <v>45713</v>
          </cell>
          <cell r="S3355">
            <v>228017</v>
          </cell>
        </row>
        <row r="3356">
          <cell r="K3356" t="str">
            <v>226001</v>
          </cell>
          <cell r="M3356">
            <v>1</v>
          </cell>
          <cell r="R3356">
            <v>45713</v>
          </cell>
          <cell r="S3356">
            <v>226001</v>
          </cell>
        </row>
        <row r="3357">
          <cell r="K3357" t="str">
            <v>213002</v>
          </cell>
          <cell r="M3357">
            <v>2</v>
          </cell>
          <cell r="R3357">
            <v>45713</v>
          </cell>
          <cell r="S3357">
            <v>213002</v>
          </cell>
        </row>
        <row r="3358">
          <cell r="K3358" t="str">
            <v>226026</v>
          </cell>
          <cell r="M3358">
            <v>4</v>
          </cell>
          <cell r="R3358">
            <v>45713</v>
          </cell>
          <cell r="S3358">
            <v>226026</v>
          </cell>
        </row>
        <row r="3359">
          <cell r="K3359" t="str">
            <v>213002</v>
          </cell>
          <cell r="M3359">
            <v>2</v>
          </cell>
          <cell r="R3359">
            <v>45713</v>
          </cell>
          <cell r="S3359">
            <v>213002</v>
          </cell>
        </row>
        <row r="3360">
          <cell r="K3360" t="str">
            <v>209004</v>
          </cell>
          <cell r="M3360">
            <v>3</v>
          </cell>
          <cell r="R3360">
            <v>45713</v>
          </cell>
          <cell r="S3360">
            <v>209004</v>
          </cell>
        </row>
        <row r="3361">
          <cell r="K3361" t="str">
            <v>228001</v>
          </cell>
          <cell r="M3361">
            <v>2</v>
          </cell>
          <cell r="R3361">
            <v>45713</v>
          </cell>
          <cell r="S3361">
            <v>228001</v>
          </cell>
        </row>
        <row r="3362">
          <cell r="K3362" t="str">
            <v>213002</v>
          </cell>
          <cell r="M3362">
            <v>5</v>
          </cell>
          <cell r="R3362">
            <v>45713</v>
          </cell>
          <cell r="S3362">
            <v>213002</v>
          </cell>
        </row>
        <row r="3363">
          <cell r="K3363" t="str">
            <v>231012</v>
          </cell>
          <cell r="M3363">
            <v>1</v>
          </cell>
          <cell r="R3363">
            <v>45713</v>
          </cell>
          <cell r="S3363">
            <v>231012</v>
          </cell>
        </row>
        <row r="3364">
          <cell r="K3364" t="str">
            <v>213002</v>
          </cell>
          <cell r="M3364">
            <v>5</v>
          </cell>
          <cell r="R3364">
            <v>45714</v>
          </cell>
          <cell r="S3364">
            <v>213002</v>
          </cell>
        </row>
        <row r="3365">
          <cell r="K3365" t="str">
            <v>226001</v>
          </cell>
          <cell r="M3365">
            <v>2</v>
          </cell>
          <cell r="R3365">
            <v>45713</v>
          </cell>
          <cell r="S3365">
            <v>226001</v>
          </cell>
        </row>
        <row r="3366">
          <cell r="K3366" t="str">
            <v>227002</v>
          </cell>
          <cell r="M3366">
            <v>1</v>
          </cell>
          <cell r="R3366">
            <v>45713</v>
          </cell>
          <cell r="S3366">
            <v>227002</v>
          </cell>
        </row>
        <row r="3367">
          <cell r="K3367" t="str">
            <v>213002</v>
          </cell>
          <cell r="M3367">
            <v>8</v>
          </cell>
          <cell r="R3367">
            <v>45714</v>
          </cell>
          <cell r="S3367">
            <v>213002</v>
          </cell>
        </row>
        <row r="3368">
          <cell r="K3368" t="str">
            <v>226001</v>
          </cell>
          <cell r="M3368">
            <v>3</v>
          </cell>
          <cell r="R3368">
            <v>45714</v>
          </cell>
          <cell r="S3368">
            <v>226001</v>
          </cell>
        </row>
        <row r="3369">
          <cell r="K3369" t="str">
            <v>209004</v>
          </cell>
          <cell r="M3369">
            <v>2</v>
          </cell>
          <cell r="R3369">
            <v>45714</v>
          </cell>
          <cell r="S3369">
            <v>209004</v>
          </cell>
        </row>
        <row r="3370">
          <cell r="K3370" t="str">
            <v>231012</v>
          </cell>
          <cell r="M3370">
            <v>1</v>
          </cell>
          <cell r="R3370">
            <v>45714</v>
          </cell>
          <cell r="S3370">
            <v>231012</v>
          </cell>
        </row>
        <row r="3371">
          <cell r="K3371" t="str">
            <v>218001</v>
          </cell>
          <cell r="M3371">
            <v>1</v>
          </cell>
          <cell r="R3371">
            <v>45715</v>
          </cell>
          <cell r="S3371">
            <v>218001</v>
          </cell>
        </row>
        <row r="3372">
          <cell r="K3372" t="str">
            <v>217018</v>
          </cell>
          <cell r="M3372">
            <v>1</v>
          </cell>
          <cell r="R3372">
            <v>45715</v>
          </cell>
          <cell r="S3372">
            <v>217018</v>
          </cell>
        </row>
        <row r="3373">
          <cell r="K3373" t="str">
            <v>210004</v>
          </cell>
          <cell r="M3373">
            <v>1</v>
          </cell>
          <cell r="R3373">
            <v>45715</v>
          </cell>
          <cell r="S3373">
            <v>210004</v>
          </cell>
        </row>
        <row r="3374">
          <cell r="K3374" t="str">
            <v>212035</v>
          </cell>
          <cell r="M3374">
            <v>4</v>
          </cell>
          <cell r="R3374">
            <v>45715</v>
          </cell>
          <cell r="S3374">
            <v>212035</v>
          </cell>
        </row>
        <row r="3375">
          <cell r="K3375" t="str">
            <v>210014</v>
          </cell>
          <cell r="M3375">
            <v>3</v>
          </cell>
          <cell r="R3375">
            <v>45715</v>
          </cell>
          <cell r="S3375">
            <v>210014</v>
          </cell>
        </row>
        <row r="3376">
          <cell r="K3376" t="str">
            <v>213002</v>
          </cell>
          <cell r="M3376">
            <v>3</v>
          </cell>
          <cell r="R3376">
            <v>45715</v>
          </cell>
          <cell r="S3376">
            <v>213002</v>
          </cell>
        </row>
        <row r="3377">
          <cell r="K3377" t="str">
            <v>223002</v>
          </cell>
          <cell r="M3377">
            <v>5</v>
          </cell>
          <cell r="R3377">
            <v>45715</v>
          </cell>
          <cell r="S3377">
            <v>223002</v>
          </cell>
        </row>
        <row r="3378">
          <cell r="K3378" t="str">
            <v>213002</v>
          </cell>
          <cell r="M3378">
            <v>10</v>
          </cell>
          <cell r="R3378">
            <v>45715</v>
          </cell>
          <cell r="S3378">
            <v>213002</v>
          </cell>
        </row>
        <row r="3379">
          <cell r="K3379" t="str">
            <v>212035</v>
          </cell>
          <cell r="M3379">
            <v>1</v>
          </cell>
          <cell r="R3379">
            <v>45714</v>
          </cell>
          <cell r="S3379">
            <v>212035</v>
          </cell>
        </row>
        <row r="3380">
          <cell r="K3380" t="str">
            <v>223001</v>
          </cell>
          <cell r="M3380">
            <v>1</v>
          </cell>
          <cell r="R3380">
            <v>45715</v>
          </cell>
          <cell r="S3380">
            <v>223001</v>
          </cell>
        </row>
        <row r="3381">
          <cell r="K3381" t="str">
            <v>223002</v>
          </cell>
          <cell r="M3381">
            <v>1</v>
          </cell>
          <cell r="R3381">
            <v>45715</v>
          </cell>
          <cell r="S3381">
            <v>223002</v>
          </cell>
        </row>
        <row r="3382">
          <cell r="K3382" t="str">
            <v>212019</v>
          </cell>
          <cell r="M3382">
            <v>50</v>
          </cell>
          <cell r="R3382">
            <v>45715</v>
          </cell>
          <cell r="S3382">
            <v>212019</v>
          </cell>
        </row>
        <row r="3383">
          <cell r="K3383" t="str">
            <v>217019</v>
          </cell>
          <cell r="M3383">
            <v>24</v>
          </cell>
          <cell r="R3383">
            <v>45715</v>
          </cell>
          <cell r="S3383">
            <v>217019</v>
          </cell>
        </row>
        <row r="3384">
          <cell r="K3384" t="str">
            <v>228017</v>
          </cell>
          <cell r="M3384">
            <v>8</v>
          </cell>
          <cell r="R3384">
            <v>45715</v>
          </cell>
          <cell r="S3384">
            <v>228017</v>
          </cell>
        </row>
        <row r="3385">
          <cell r="K3385" t="str">
            <v>226001</v>
          </cell>
          <cell r="M3385">
            <v>2</v>
          </cell>
          <cell r="R3385">
            <v>45715</v>
          </cell>
          <cell r="S3385">
            <v>226001</v>
          </cell>
        </row>
        <row r="3386">
          <cell r="K3386" t="str">
            <v>213002</v>
          </cell>
          <cell r="M3386">
            <v>4</v>
          </cell>
          <cell r="R3386">
            <v>45715</v>
          </cell>
          <cell r="S3386">
            <v>213002</v>
          </cell>
        </row>
        <row r="3387">
          <cell r="K3387" t="str">
            <v>231012</v>
          </cell>
          <cell r="M3387">
            <v>2</v>
          </cell>
          <cell r="R3387">
            <v>45715</v>
          </cell>
          <cell r="S3387">
            <v>231012</v>
          </cell>
        </row>
        <row r="3388">
          <cell r="K3388" t="str">
            <v>226001</v>
          </cell>
          <cell r="M3388">
            <v>1</v>
          </cell>
          <cell r="R3388">
            <v>45715</v>
          </cell>
          <cell r="S3388">
            <v>226001</v>
          </cell>
        </row>
        <row r="3389">
          <cell r="K3389" t="str">
            <v>217018</v>
          </cell>
          <cell r="M3389">
            <v>2</v>
          </cell>
          <cell r="R3389">
            <v>45715</v>
          </cell>
          <cell r="S3389">
            <v>217018</v>
          </cell>
        </row>
        <row r="3390">
          <cell r="K3390" t="str">
            <v>231012</v>
          </cell>
          <cell r="M3390">
            <v>1</v>
          </cell>
          <cell r="R3390">
            <v>45715</v>
          </cell>
          <cell r="S3390">
            <v>231012</v>
          </cell>
        </row>
        <row r="3391">
          <cell r="K3391" t="str">
            <v>231012</v>
          </cell>
          <cell r="M3391">
            <v>1</v>
          </cell>
          <cell r="R3391">
            <v>45715</v>
          </cell>
          <cell r="S3391">
            <v>231012</v>
          </cell>
        </row>
        <row r="3392">
          <cell r="K3392" t="str">
            <v>222001</v>
          </cell>
          <cell r="M3392">
            <v>1</v>
          </cell>
          <cell r="R3392">
            <v>45715</v>
          </cell>
          <cell r="S3392">
            <v>222001</v>
          </cell>
        </row>
        <row r="3393">
          <cell r="K3393" t="str">
            <v>217018</v>
          </cell>
          <cell r="M3393">
            <v>1</v>
          </cell>
          <cell r="R3393">
            <v>45715</v>
          </cell>
          <cell r="S3393">
            <v>217018</v>
          </cell>
        </row>
        <row r="3394">
          <cell r="K3394" t="str">
            <v>228017</v>
          </cell>
          <cell r="M3394">
            <v>3</v>
          </cell>
          <cell r="R3394">
            <v>45715</v>
          </cell>
          <cell r="S3394">
            <v>228017</v>
          </cell>
        </row>
        <row r="3395">
          <cell r="K3395" t="str">
            <v>213002</v>
          </cell>
          <cell r="M3395">
            <v>6</v>
          </cell>
          <cell r="R3395">
            <v>45715</v>
          </cell>
          <cell r="S3395">
            <v>213002</v>
          </cell>
        </row>
        <row r="3396">
          <cell r="K3396" t="str">
            <v>231012</v>
          </cell>
          <cell r="M3396">
            <v>5</v>
          </cell>
          <cell r="R3396">
            <v>45715</v>
          </cell>
          <cell r="S3396">
            <v>231012</v>
          </cell>
        </row>
        <row r="3397">
          <cell r="K3397" t="str">
            <v>222001</v>
          </cell>
          <cell r="M3397">
            <v>4</v>
          </cell>
          <cell r="R3397">
            <v>45715</v>
          </cell>
          <cell r="S3397">
            <v>222001</v>
          </cell>
        </row>
        <row r="3398">
          <cell r="K3398" t="str">
            <v>226001</v>
          </cell>
          <cell r="M3398">
            <v>5</v>
          </cell>
          <cell r="R3398">
            <v>45715</v>
          </cell>
          <cell r="S3398">
            <v>226001</v>
          </cell>
        </row>
        <row r="3399">
          <cell r="K3399" t="str">
            <v>217002</v>
          </cell>
          <cell r="M3399">
            <v>1</v>
          </cell>
          <cell r="R3399">
            <v>45715</v>
          </cell>
          <cell r="S3399">
            <v>217002</v>
          </cell>
        </row>
        <row r="3400">
          <cell r="K3400" t="str">
            <v>217011</v>
          </cell>
          <cell r="M3400">
            <v>2</v>
          </cell>
          <cell r="R3400">
            <v>45715</v>
          </cell>
          <cell r="S3400">
            <v>217011</v>
          </cell>
        </row>
        <row r="3401">
          <cell r="K3401" t="str">
            <v>227002</v>
          </cell>
          <cell r="M3401">
            <v>1</v>
          </cell>
          <cell r="R3401">
            <v>45715</v>
          </cell>
          <cell r="S3401">
            <v>227002</v>
          </cell>
        </row>
        <row r="3402">
          <cell r="K3402" t="str">
            <v>201004</v>
          </cell>
          <cell r="M3402">
            <v>1</v>
          </cell>
          <cell r="R3402">
            <v>45715</v>
          </cell>
          <cell r="S3402">
            <v>201004</v>
          </cell>
        </row>
        <row r="3403">
          <cell r="K3403" t="str">
            <v>201003</v>
          </cell>
          <cell r="M3403">
            <v>4</v>
          </cell>
          <cell r="R3403">
            <v>45715</v>
          </cell>
          <cell r="S3403">
            <v>201003</v>
          </cell>
        </row>
        <row r="3404">
          <cell r="K3404" t="str">
            <v>228017</v>
          </cell>
          <cell r="M3404">
            <v>2</v>
          </cell>
          <cell r="R3404">
            <v>45715</v>
          </cell>
          <cell r="S3404">
            <v>228017</v>
          </cell>
        </row>
        <row r="3405">
          <cell r="K3405" t="str">
            <v>217002</v>
          </cell>
          <cell r="M3405">
            <v>1</v>
          </cell>
          <cell r="R3405">
            <v>45716</v>
          </cell>
          <cell r="S3405">
            <v>217002</v>
          </cell>
        </row>
        <row r="3406">
          <cell r="K3406" t="str">
            <v>217018</v>
          </cell>
          <cell r="M3406">
            <v>3</v>
          </cell>
          <cell r="R3406">
            <v>45715</v>
          </cell>
          <cell r="S3406">
            <v>217018</v>
          </cell>
        </row>
        <row r="3407">
          <cell r="K3407" t="str">
            <v>222001</v>
          </cell>
          <cell r="M3407">
            <v>1</v>
          </cell>
          <cell r="R3407">
            <v>45715</v>
          </cell>
          <cell r="S3407">
            <v>222001</v>
          </cell>
        </row>
        <row r="3408">
          <cell r="K3408" t="str">
            <v>223001</v>
          </cell>
          <cell r="M3408">
            <v>2</v>
          </cell>
          <cell r="R3408">
            <v>45715</v>
          </cell>
          <cell r="S3408">
            <v>223001</v>
          </cell>
        </row>
        <row r="3409">
          <cell r="K3409" t="str">
            <v>223002</v>
          </cell>
          <cell r="M3409">
            <v>2</v>
          </cell>
          <cell r="R3409">
            <v>45715</v>
          </cell>
          <cell r="S3409">
            <v>223002</v>
          </cell>
        </row>
        <row r="3410">
          <cell r="K3410" t="str">
            <v>201023</v>
          </cell>
          <cell r="M3410">
            <v>1</v>
          </cell>
          <cell r="R3410">
            <v>45715</v>
          </cell>
          <cell r="S3410">
            <v>201023</v>
          </cell>
        </row>
        <row r="3411">
          <cell r="K3411" t="str">
            <v>226003</v>
          </cell>
          <cell r="M3411">
            <v>1</v>
          </cell>
          <cell r="R3411">
            <v>45715</v>
          </cell>
          <cell r="S3411">
            <v>226003</v>
          </cell>
        </row>
        <row r="3412">
          <cell r="K3412" t="str">
            <v>226004</v>
          </cell>
          <cell r="M3412">
            <v>1</v>
          </cell>
          <cell r="R3412">
            <v>45715</v>
          </cell>
          <cell r="S3412">
            <v>226004</v>
          </cell>
        </row>
        <row r="3413">
          <cell r="K3413" t="str">
            <v>213002</v>
          </cell>
          <cell r="M3413">
            <v>8</v>
          </cell>
          <cell r="R3413">
            <v>45715</v>
          </cell>
          <cell r="S3413">
            <v>213002</v>
          </cell>
        </row>
        <row r="3414">
          <cell r="K3414" t="str">
            <v>217018</v>
          </cell>
          <cell r="M3414">
            <v>1</v>
          </cell>
          <cell r="R3414">
            <v>45715</v>
          </cell>
          <cell r="S3414">
            <v>217018</v>
          </cell>
        </row>
        <row r="3415">
          <cell r="K3415" t="str">
            <v>213002</v>
          </cell>
          <cell r="M3415">
            <v>20</v>
          </cell>
          <cell r="R3415">
            <v>45715</v>
          </cell>
          <cell r="S3415">
            <v>213002</v>
          </cell>
        </row>
        <row r="3416">
          <cell r="K3416" t="str">
            <v>223002</v>
          </cell>
          <cell r="M3416">
            <v>3</v>
          </cell>
          <cell r="R3416">
            <v>45715</v>
          </cell>
          <cell r="S3416">
            <v>223002</v>
          </cell>
        </row>
        <row r="3417">
          <cell r="K3417" t="str">
            <v>223001</v>
          </cell>
          <cell r="M3417">
            <v>2</v>
          </cell>
          <cell r="R3417">
            <v>45715</v>
          </cell>
          <cell r="S3417">
            <v>223001</v>
          </cell>
        </row>
        <row r="3418">
          <cell r="K3418" t="str">
            <v>212035</v>
          </cell>
          <cell r="M3418">
            <v>3</v>
          </cell>
          <cell r="R3418">
            <v>45715</v>
          </cell>
          <cell r="S3418">
            <v>212035</v>
          </cell>
        </row>
        <row r="3419">
          <cell r="K3419" t="str">
            <v>217002</v>
          </cell>
          <cell r="M3419">
            <v>1</v>
          </cell>
          <cell r="R3419">
            <v>45716</v>
          </cell>
          <cell r="S3419">
            <v>217002</v>
          </cell>
        </row>
        <row r="3420">
          <cell r="K3420" t="str">
            <v>231012</v>
          </cell>
          <cell r="M3420">
            <v>1</v>
          </cell>
          <cell r="R3420">
            <v>45716</v>
          </cell>
          <cell r="S3420">
            <v>231012</v>
          </cell>
        </row>
        <row r="3421">
          <cell r="K3421" t="str">
            <v>228017</v>
          </cell>
          <cell r="M3421">
            <v>1</v>
          </cell>
          <cell r="R3421">
            <v>45716</v>
          </cell>
          <cell r="S3421">
            <v>228017</v>
          </cell>
        </row>
        <row r="3422">
          <cell r="K3422" t="str">
            <v>212035</v>
          </cell>
          <cell r="M3422">
            <v>1</v>
          </cell>
          <cell r="R3422">
            <v>45716</v>
          </cell>
          <cell r="S3422">
            <v>212035</v>
          </cell>
        </row>
        <row r="3423">
          <cell r="K3423" t="str">
            <v>213002</v>
          </cell>
          <cell r="M3423">
            <v>3</v>
          </cell>
          <cell r="R3423">
            <v>45716</v>
          </cell>
          <cell r="S3423">
            <v>213002</v>
          </cell>
        </row>
        <row r="3424">
          <cell r="K3424" t="str">
            <v>231012</v>
          </cell>
          <cell r="M3424">
            <v>1</v>
          </cell>
          <cell r="R3424">
            <v>45716</v>
          </cell>
          <cell r="S3424">
            <v>231012</v>
          </cell>
        </row>
        <row r="3425">
          <cell r="K3425" t="str">
            <v>201011</v>
          </cell>
          <cell r="M3425">
            <v>1</v>
          </cell>
          <cell r="R3425">
            <v>45716</v>
          </cell>
          <cell r="S3425">
            <v>201011</v>
          </cell>
        </row>
        <row r="3426">
          <cell r="K3426" t="str">
            <v>229001</v>
          </cell>
          <cell r="M3426">
            <v>2</v>
          </cell>
          <cell r="R3426">
            <v>45716</v>
          </cell>
          <cell r="S3426">
            <v>229001</v>
          </cell>
        </row>
        <row r="3427">
          <cell r="K3427" t="str">
            <v>212019</v>
          </cell>
          <cell r="M3427">
            <v>60</v>
          </cell>
          <cell r="R3427">
            <v>45716</v>
          </cell>
          <cell r="S3427">
            <v>212019</v>
          </cell>
        </row>
        <row r="3428">
          <cell r="K3428" t="str">
            <v>201011</v>
          </cell>
          <cell r="M3428">
            <v>44</v>
          </cell>
          <cell r="R3428">
            <v>45716</v>
          </cell>
          <cell r="S3428">
            <v>201011</v>
          </cell>
        </row>
        <row r="3429">
          <cell r="K3429" t="str">
            <v>217011</v>
          </cell>
          <cell r="M3429">
            <v>1</v>
          </cell>
          <cell r="R3429">
            <v>45717</v>
          </cell>
          <cell r="S3429">
            <v>217011</v>
          </cell>
        </row>
        <row r="3430">
          <cell r="K3430" t="str">
            <v>228017</v>
          </cell>
          <cell r="M3430">
            <v>1</v>
          </cell>
          <cell r="R3430">
            <v>45718</v>
          </cell>
          <cell r="S3430">
            <v>228017</v>
          </cell>
        </row>
        <row r="3431">
          <cell r="K3431" t="str">
            <v>229001</v>
          </cell>
          <cell r="M3431">
            <v>1</v>
          </cell>
          <cell r="R3431">
            <v>45718</v>
          </cell>
          <cell r="S3431">
            <v>229001</v>
          </cell>
        </row>
        <row r="3432">
          <cell r="K3432" t="str">
            <v>203001</v>
          </cell>
          <cell r="M3432">
            <v>1</v>
          </cell>
          <cell r="R3432">
            <v>45718</v>
          </cell>
          <cell r="S3432">
            <v>203001</v>
          </cell>
        </row>
        <row r="3433">
          <cell r="K3433" t="str">
            <v>231012</v>
          </cell>
          <cell r="M3433">
            <v>1</v>
          </cell>
          <cell r="R3433">
            <v>45718</v>
          </cell>
          <cell r="S3433">
            <v>231012</v>
          </cell>
        </row>
        <row r="3434">
          <cell r="K3434" t="str">
            <v>201011</v>
          </cell>
          <cell r="M3434">
            <v>2</v>
          </cell>
          <cell r="R3434">
            <v>45718</v>
          </cell>
          <cell r="S3434">
            <v>201011</v>
          </cell>
        </row>
        <row r="3435">
          <cell r="K3435" t="str">
            <v>228017</v>
          </cell>
          <cell r="M3435">
            <v>8</v>
          </cell>
          <cell r="R3435">
            <v>45718</v>
          </cell>
          <cell r="S3435">
            <v>228017</v>
          </cell>
        </row>
        <row r="3436">
          <cell r="K3436" t="str">
            <v>229001</v>
          </cell>
          <cell r="M3436">
            <v>2</v>
          </cell>
          <cell r="R3436">
            <v>45719</v>
          </cell>
          <cell r="S3436">
            <v>229001</v>
          </cell>
        </row>
        <row r="3437">
          <cell r="K3437" t="str">
            <v>201011</v>
          </cell>
          <cell r="M3437">
            <v>1</v>
          </cell>
          <cell r="R3437">
            <v>45719</v>
          </cell>
          <cell r="S3437">
            <v>201011</v>
          </cell>
        </row>
        <row r="3438">
          <cell r="K3438" t="str">
            <v>201011</v>
          </cell>
          <cell r="M3438">
            <v>4</v>
          </cell>
          <cell r="R3438">
            <v>45718</v>
          </cell>
          <cell r="S3438">
            <v>201011</v>
          </cell>
        </row>
        <row r="3439">
          <cell r="K3439" t="str">
            <v>222001</v>
          </cell>
          <cell r="M3439">
            <v>1</v>
          </cell>
          <cell r="R3439">
            <v>45718</v>
          </cell>
          <cell r="S3439">
            <v>222001</v>
          </cell>
        </row>
        <row r="3440">
          <cell r="K3440" t="str">
            <v>203001</v>
          </cell>
          <cell r="M3440">
            <v>4</v>
          </cell>
          <cell r="R3440">
            <v>45718</v>
          </cell>
          <cell r="S3440">
            <v>203001</v>
          </cell>
        </row>
        <row r="3441">
          <cell r="K3441" t="str">
            <v>231012</v>
          </cell>
          <cell r="M3441">
            <v>6</v>
          </cell>
          <cell r="R3441">
            <v>45718</v>
          </cell>
          <cell r="S3441">
            <v>231012</v>
          </cell>
        </row>
        <row r="3442">
          <cell r="K3442" t="str">
            <v>223002</v>
          </cell>
          <cell r="M3442">
            <v>4</v>
          </cell>
          <cell r="R3442">
            <v>45718</v>
          </cell>
          <cell r="S3442">
            <v>223002</v>
          </cell>
        </row>
        <row r="3443">
          <cell r="K3443" t="str">
            <v>209022</v>
          </cell>
          <cell r="M3443">
            <v>3</v>
          </cell>
          <cell r="R3443">
            <v>45718</v>
          </cell>
          <cell r="S3443">
            <v>209022</v>
          </cell>
        </row>
        <row r="3444">
          <cell r="K3444" t="str">
            <v>223001</v>
          </cell>
          <cell r="M3444">
            <v>15</v>
          </cell>
          <cell r="R3444">
            <v>45718</v>
          </cell>
          <cell r="S3444">
            <v>223001</v>
          </cell>
        </row>
        <row r="3445">
          <cell r="K3445" t="str">
            <v>226001</v>
          </cell>
          <cell r="M3445">
            <v>2</v>
          </cell>
          <cell r="R3445">
            <v>45719</v>
          </cell>
          <cell r="S3445">
            <v>226001</v>
          </cell>
        </row>
        <row r="3446">
          <cell r="K3446" t="str">
            <v>210013</v>
          </cell>
          <cell r="M3446">
            <v>1</v>
          </cell>
          <cell r="R3446">
            <v>45719</v>
          </cell>
          <cell r="S3446">
            <v>210013</v>
          </cell>
        </row>
        <row r="3447">
          <cell r="K3447" t="str">
            <v>209001</v>
          </cell>
          <cell r="M3447">
            <v>1</v>
          </cell>
          <cell r="R3447">
            <v>45719</v>
          </cell>
          <cell r="S3447">
            <v>209001</v>
          </cell>
        </row>
        <row r="3448">
          <cell r="K3448" t="str">
            <v>227002</v>
          </cell>
          <cell r="M3448">
            <v>1</v>
          </cell>
          <cell r="R3448">
            <v>45719</v>
          </cell>
          <cell r="S3448">
            <v>227002</v>
          </cell>
        </row>
        <row r="3449">
          <cell r="K3449" t="str">
            <v>222001</v>
          </cell>
          <cell r="M3449">
            <v>1</v>
          </cell>
          <cell r="R3449">
            <v>45719</v>
          </cell>
          <cell r="S3449">
            <v>222001</v>
          </cell>
        </row>
        <row r="3450">
          <cell r="K3450" t="str">
            <v>223001</v>
          </cell>
          <cell r="M3450">
            <v>1</v>
          </cell>
          <cell r="R3450">
            <v>45719</v>
          </cell>
          <cell r="S3450">
            <v>223001</v>
          </cell>
        </row>
        <row r="3451">
          <cell r="K3451" t="str">
            <v>223002</v>
          </cell>
          <cell r="M3451">
            <v>2</v>
          </cell>
          <cell r="R3451">
            <v>45719</v>
          </cell>
          <cell r="S3451">
            <v>223002</v>
          </cell>
        </row>
        <row r="3452">
          <cell r="K3452" t="str">
            <v>231012</v>
          </cell>
          <cell r="M3452">
            <v>1</v>
          </cell>
          <cell r="R3452">
            <v>45719</v>
          </cell>
          <cell r="S3452">
            <v>231012</v>
          </cell>
        </row>
        <row r="3453">
          <cell r="K3453" t="str">
            <v>209001</v>
          </cell>
          <cell r="M3453">
            <v>1</v>
          </cell>
          <cell r="R3453">
            <v>45719</v>
          </cell>
          <cell r="S3453">
            <v>209001</v>
          </cell>
        </row>
        <row r="3454">
          <cell r="K3454" t="str">
            <v>228017</v>
          </cell>
          <cell r="M3454">
            <v>10</v>
          </cell>
          <cell r="R3454">
            <v>45719</v>
          </cell>
          <cell r="S3454">
            <v>228017</v>
          </cell>
        </row>
        <row r="3455">
          <cell r="K3455" t="str">
            <v>201011</v>
          </cell>
          <cell r="M3455">
            <v>1</v>
          </cell>
          <cell r="R3455">
            <v>45719</v>
          </cell>
          <cell r="S3455">
            <v>201011</v>
          </cell>
        </row>
        <row r="3456">
          <cell r="K3456" t="str">
            <v>201011</v>
          </cell>
          <cell r="M3456">
            <v>6</v>
          </cell>
          <cell r="R3456">
            <v>45719</v>
          </cell>
          <cell r="S3456">
            <v>201011</v>
          </cell>
        </row>
        <row r="3457">
          <cell r="K3457" t="str">
            <v>201011</v>
          </cell>
          <cell r="M3457">
            <v>6</v>
          </cell>
          <cell r="R3457">
            <v>45719</v>
          </cell>
          <cell r="S3457">
            <v>201011</v>
          </cell>
        </row>
        <row r="3458">
          <cell r="K3458" t="str">
            <v>201011</v>
          </cell>
          <cell r="M3458">
            <v>9</v>
          </cell>
          <cell r="R3458">
            <v>45719</v>
          </cell>
          <cell r="S3458">
            <v>201011</v>
          </cell>
        </row>
        <row r="3459">
          <cell r="K3459" t="str">
            <v>228017</v>
          </cell>
          <cell r="M3459">
            <v>4</v>
          </cell>
          <cell r="R3459">
            <v>45719</v>
          </cell>
          <cell r="S3459">
            <v>228017</v>
          </cell>
        </row>
        <row r="3460">
          <cell r="K3460" t="str">
            <v>217018</v>
          </cell>
          <cell r="M3460">
            <v>1</v>
          </cell>
          <cell r="R3460">
            <v>45719</v>
          </cell>
          <cell r="S3460">
            <v>217018</v>
          </cell>
        </row>
        <row r="3461">
          <cell r="K3461" t="str">
            <v>217018</v>
          </cell>
          <cell r="M3461">
            <v>1</v>
          </cell>
          <cell r="R3461">
            <v>45719</v>
          </cell>
          <cell r="S3461">
            <v>217018</v>
          </cell>
        </row>
        <row r="3462">
          <cell r="K3462" t="str">
            <v>229004</v>
          </cell>
          <cell r="M3462">
            <v>4</v>
          </cell>
          <cell r="R3462">
            <v>45719</v>
          </cell>
          <cell r="S3462">
            <v>229004</v>
          </cell>
        </row>
        <row r="3463">
          <cell r="K3463" t="str">
            <v>231012</v>
          </cell>
          <cell r="M3463">
            <v>1</v>
          </cell>
          <cell r="R3463">
            <v>45719</v>
          </cell>
          <cell r="S3463">
            <v>231012</v>
          </cell>
        </row>
        <row r="3464">
          <cell r="K3464" t="str">
            <v>207017</v>
          </cell>
          <cell r="M3464">
            <v>1</v>
          </cell>
          <cell r="R3464">
            <v>45719</v>
          </cell>
          <cell r="S3464">
            <v>207017</v>
          </cell>
        </row>
        <row r="3465">
          <cell r="K3465" t="str">
            <v>212002</v>
          </cell>
          <cell r="M3465">
            <v>1</v>
          </cell>
          <cell r="R3465">
            <v>45719</v>
          </cell>
          <cell r="S3465">
            <v>212002</v>
          </cell>
        </row>
        <row r="3466">
          <cell r="K3466" t="str">
            <v>228017</v>
          </cell>
          <cell r="M3466">
            <v>6</v>
          </cell>
          <cell r="R3466">
            <v>45719</v>
          </cell>
          <cell r="S3466">
            <v>228017</v>
          </cell>
        </row>
        <row r="3467">
          <cell r="K3467" t="str">
            <v>231012</v>
          </cell>
          <cell r="M3467">
            <v>1</v>
          </cell>
          <cell r="R3467">
            <v>45719</v>
          </cell>
          <cell r="S3467">
            <v>231012</v>
          </cell>
        </row>
        <row r="3468">
          <cell r="K3468" t="str">
            <v>203001</v>
          </cell>
          <cell r="M3468">
            <v>1</v>
          </cell>
          <cell r="R3468">
            <v>45719</v>
          </cell>
          <cell r="S3468">
            <v>203001</v>
          </cell>
        </row>
        <row r="3469">
          <cell r="K3469" t="str">
            <v>207017</v>
          </cell>
          <cell r="M3469">
            <v>1</v>
          </cell>
          <cell r="R3469">
            <v>45719</v>
          </cell>
          <cell r="S3469">
            <v>207017</v>
          </cell>
        </row>
        <row r="3470">
          <cell r="K3470" t="str">
            <v>212002</v>
          </cell>
          <cell r="M3470">
            <v>1</v>
          </cell>
          <cell r="R3470">
            <v>45719</v>
          </cell>
          <cell r="S3470">
            <v>212002</v>
          </cell>
        </row>
        <row r="3471">
          <cell r="K3471" t="str">
            <v>209004</v>
          </cell>
          <cell r="M3471">
            <v>1</v>
          </cell>
          <cell r="R3471">
            <v>45719</v>
          </cell>
          <cell r="S3471">
            <v>209004</v>
          </cell>
        </row>
        <row r="3472">
          <cell r="K3472" t="str">
            <v>228017</v>
          </cell>
          <cell r="M3472">
            <v>2</v>
          </cell>
          <cell r="R3472">
            <v>45719</v>
          </cell>
          <cell r="S3472">
            <v>228017</v>
          </cell>
        </row>
        <row r="3473">
          <cell r="K3473" t="str">
            <v>228017</v>
          </cell>
          <cell r="M3473">
            <v>6</v>
          </cell>
          <cell r="R3473">
            <v>45719</v>
          </cell>
          <cell r="S3473">
            <v>228017</v>
          </cell>
        </row>
        <row r="3474">
          <cell r="K3474" t="str">
            <v>231012</v>
          </cell>
          <cell r="M3474">
            <v>20</v>
          </cell>
          <cell r="R3474">
            <v>45719</v>
          </cell>
          <cell r="S3474">
            <v>231012</v>
          </cell>
        </row>
        <row r="3475">
          <cell r="K3475" t="str">
            <v>223002</v>
          </cell>
          <cell r="M3475">
            <v>1</v>
          </cell>
          <cell r="R3475">
            <v>45719</v>
          </cell>
          <cell r="S3475">
            <v>223002</v>
          </cell>
        </row>
        <row r="3476">
          <cell r="K3476" t="str">
            <v>234001</v>
          </cell>
          <cell r="M3476">
            <v>1</v>
          </cell>
          <cell r="R3476">
            <v>45719</v>
          </cell>
          <cell r="S3476">
            <v>234001</v>
          </cell>
        </row>
        <row r="3477">
          <cell r="K3477" t="str">
            <v>271002</v>
          </cell>
          <cell r="M3477">
            <v>2</v>
          </cell>
          <cell r="R3477">
            <v>45719</v>
          </cell>
          <cell r="S3477">
            <v>271002</v>
          </cell>
        </row>
        <row r="3478">
          <cell r="K3478" t="str">
            <v>209001</v>
          </cell>
          <cell r="M3478">
            <v>1</v>
          </cell>
          <cell r="R3478">
            <v>45719</v>
          </cell>
          <cell r="S3478">
            <v>209001</v>
          </cell>
        </row>
        <row r="3479">
          <cell r="K3479" t="str">
            <v>222001</v>
          </cell>
          <cell r="M3479">
            <v>1</v>
          </cell>
          <cell r="R3479">
            <v>45719</v>
          </cell>
          <cell r="S3479">
            <v>222001</v>
          </cell>
        </row>
        <row r="3480">
          <cell r="K3480" t="str">
            <v>213022</v>
          </cell>
          <cell r="M3480">
            <v>1</v>
          </cell>
          <cell r="R3480">
            <v>45719</v>
          </cell>
          <cell r="S3480">
            <v>213022</v>
          </cell>
        </row>
        <row r="3481">
          <cell r="K3481" t="str">
            <v>226001</v>
          </cell>
          <cell r="M3481">
            <v>2</v>
          </cell>
          <cell r="R3481">
            <v>45719</v>
          </cell>
          <cell r="S3481">
            <v>226001</v>
          </cell>
        </row>
        <row r="3482">
          <cell r="K3482" t="str">
            <v>223001</v>
          </cell>
          <cell r="M3482">
            <v>3</v>
          </cell>
          <cell r="R3482">
            <v>45719</v>
          </cell>
          <cell r="S3482">
            <v>223001</v>
          </cell>
        </row>
        <row r="3483">
          <cell r="K3483" t="str">
            <v>201011</v>
          </cell>
          <cell r="M3483">
            <v>1</v>
          </cell>
          <cell r="R3483">
            <v>45719</v>
          </cell>
          <cell r="S3483">
            <v>201011</v>
          </cell>
        </row>
        <row r="3484">
          <cell r="K3484" t="str">
            <v>209001</v>
          </cell>
          <cell r="M3484">
            <v>1</v>
          </cell>
          <cell r="R3484">
            <v>45719</v>
          </cell>
          <cell r="S3484">
            <v>209001</v>
          </cell>
        </row>
        <row r="3485">
          <cell r="K3485" t="str">
            <v>203003</v>
          </cell>
          <cell r="M3485">
            <v>1</v>
          </cell>
          <cell r="R3485">
            <v>45719</v>
          </cell>
          <cell r="S3485">
            <v>203003</v>
          </cell>
        </row>
        <row r="3486">
          <cell r="K3486" t="str">
            <v>210013</v>
          </cell>
          <cell r="M3486">
            <v>1</v>
          </cell>
          <cell r="R3486">
            <v>45719</v>
          </cell>
          <cell r="S3486">
            <v>210013</v>
          </cell>
        </row>
        <row r="3487">
          <cell r="K3487" t="str">
            <v>222001</v>
          </cell>
          <cell r="M3487">
            <v>1</v>
          </cell>
          <cell r="R3487">
            <v>45719</v>
          </cell>
          <cell r="S3487">
            <v>222001</v>
          </cell>
        </row>
        <row r="3488">
          <cell r="K3488" t="str">
            <v>210001</v>
          </cell>
          <cell r="M3488">
            <v>1</v>
          </cell>
          <cell r="R3488">
            <v>45719</v>
          </cell>
          <cell r="S3488">
            <v>210001</v>
          </cell>
        </row>
        <row r="3489">
          <cell r="K3489" t="str">
            <v>222005</v>
          </cell>
          <cell r="M3489">
            <v>1</v>
          </cell>
          <cell r="R3489">
            <v>45719</v>
          </cell>
          <cell r="S3489">
            <v>222005</v>
          </cell>
        </row>
        <row r="3490">
          <cell r="K3490" t="str">
            <v>229001</v>
          </cell>
          <cell r="M3490">
            <v>1</v>
          </cell>
          <cell r="R3490">
            <v>45719</v>
          </cell>
          <cell r="S3490">
            <v>229001</v>
          </cell>
        </row>
        <row r="3491">
          <cell r="K3491" t="str">
            <v>226027</v>
          </cell>
          <cell r="M3491">
            <v>2</v>
          </cell>
          <cell r="R3491">
            <v>45719</v>
          </cell>
          <cell r="S3491">
            <v>226027</v>
          </cell>
        </row>
        <row r="3492">
          <cell r="K3492" t="str">
            <v>201003</v>
          </cell>
          <cell r="M3492">
            <v>1</v>
          </cell>
          <cell r="R3492">
            <v>45720</v>
          </cell>
          <cell r="S3492">
            <v>201003</v>
          </cell>
        </row>
        <row r="3493">
          <cell r="K3493" t="str">
            <v>201011</v>
          </cell>
          <cell r="M3493">
            <v>1</v>
          </cell>
          <cell r="R3493">
            <v>45720</v>
          </cell>
          <cell r="S3493">
            <v>201011</v>
          </cell>
        </row>
        <row r="3494">
          <cell r="K3494" t="str">
            <v>223001</v>
          </cell>
          <cell r="M3494">
            <v>1</v>
          </cell>
          <cell r="R3494">
            <v>45720</v>
          </cell>
          <cell r="S3494">
            <v>223001</v>
          </cell>
        </row>
        <row r="3495">
          <cell r="K3495" t="str">
            <v>201011</v>
          </cell>
          <cell r="M3495">
            <v>6</v>
          </cell>
          <cell r="R3495">
            <v>45719</v>
          </cell>
          <cell r="S3495">
            <v>201011</v>
          </cell>
        </row>
        <row r="3496">
          <cell r="K3496" t="str">
            <v>217018</v>
          </cell>
          <cell r="M3496">
            <v>2</v>
          </cell>
          <cell r="R3496">
            <v>45719</v>
          </cell>
          <cell r="S3496">
            <v>217018</v>
          </cell>
        </row>
        <row r="3497">
          <cell r="K3497" t="str">
            <v>231012</v>
          </cell>
          <cell r="M3497">
            <v>1</v>
          </cell>
          <cell r="R3497">
            <v>45719</v>
          </cell>
          <cell r="S3497">
            <v>231012</v>
          </cell>
        </row>
        <row r="3498">
          <cell r="K3498" t="str">
            <v>226026</v>
          </cell>
          <cell r="M3498">
            <v>1</v>
          </cell>
          <cell r="R3498">
            <v>45719</v>
          </cell>
          <cell r="S3498">
            <v>226026</v>
          </cell>
        </row>
        <row r="3499">
          <cell r="K3499" t="str">
            <v>207017</v>
          </cell>
          <cell r="M3499">
            <v>1</v>
          </cell>
          <cell r="R3499">
            <v>45719</v>
          </cell>
          <cell r="S3499">
            <v>207017</v>
          </cell>
        </row>
        <row r="3500">
          <cell r="K3500" t="str">
            <v>227002</v>
          </cell>
          <cell r="M3500">
            <v>1</v>
          </cell>
          <cell r="R3500">
            <v>45719</v>
          </cell>
          <cell r="S3500">
            <v>227002</v>
          </cell>
        </row>
        <row r="3501">
          <cell r="K3501" t="str">
            <v>209004</v>
          </cell>
          <cell r="M3501">
            <v>1</v>
          </cell>
          <cell r="R3501">
            <v>45719</v>
          </cell>
          <cell r="S3501">
            <v>209004</v>
          </cell>
        </row>
        <row r="3502">
          <cell r="K3502" t="str">
            <v>226022</v>
          </cell>
          <cell r="M3502">
            <v>1</v>
          </cell>
          <cell r="R3502">
            <v>45719</v>
          </cell>
          <cell r="S3502">
            <v>226022</v>
          </cell>
        </row>
        <row r="3503">
          <cell r="K3503" t="str">
            <v>217002</v>
          </cell>
          <cell r="M3503">
            <v>1</v>
          </cell>
          <cell r="R3503">
            <v>45719</v>
          </cell>
          <cell r="S3503">
            <v>217002</v>
          </cell>
        </row>
        <row r="3504">
          <cell r="K3504" t="str">
            <v>228017</v>
          </cell>
          <cell r="M3504">
            <v>2</v>
          </cell>
          <cell r="R3504">
            <v>45719</v>
          </cell>
          <cell r="S3504">
            <v>228017</v>
          </cell>
        </row>
        <row r="3505">
          <cell r="K3505" t="str">
            <v>217011</v>
          </cell>
          <cell r="M3505">
            <v>2</v>
          </cell>
          <cell r="R3505">
            <v>45719</v>
          </cell>
          <cell r="S3505">
            <v>217011</v>
          </cell>
        </row>
        <row r="3506">
          <cell r="K3506" t="str">
            <v>203003</v>
          </cell>
          <cell r="M3506">
            <v>3</v>
          </cell>
          <cell r="R3506">
            <v>45719</v>
          </cell>
          <cell r="S3506">
            <v>203003</v>
          </cell>
        </row>
        <row r="3507">
          <cell r="K3507" t="str">
            <v>201011</v>
          </cell>
          <cell r="M3507">
            <v>1</v>
          </cell>
          <cell r="R3507">
            <v>45720</v>
          </cell>
          <cell r="S3507">
            <v>201011</v>
          </cell>
        </row>
        <row r="3508">
          <cell r="K3508" t="str">
            <v>229001</v>
          </cell>
          <cell r="M3508">
            <v>1</v>
          </cell>
          <cell r="R3508">
            <v>45720</v>
          </cell>
          <cell r="S3508">
            <v>229001</v>
          </cell>
        </row>
        <row r="3509">
          <cell r="K3509" t="str">
            <v>209004</v>
          </cell>
          <cell r="M3509">
            <v>2</v>
          </cell>
          <cell r="R3509">
            <v>45720</v>
          </cell>
          <cell r="S3509">
            <v>209004</v>
          </cell>
        </row>
        <row r="3510">
          <cell r="K3510" t="str">
            <v>226001</v>
          </cell>
          <cell r="M3510">
            <v>4</v>
          </cell>
          <cell r="R3510">
            <v>45720</v>
          </cell>
          <cell r="S3510">
            <v>226001</v>
          </cell>
        </row>
        <row r="3511">
          <cell r="K3511" t="str">
            <v>213002</v>
          </cell>
          <cell r="M3511">
            <v>3</v>
          </cell>
          <cell r="R3511">
            <v>45720</v>
          </cell>
          <cell r="S3511">
            <v>213002</v>
          </cell>
        </row>
        <row r="3512">
          <cell r="K3512" t="str">
            <v>226001</v>
          </cell>
          <cell r="M3512">
            <v>1</v>
          </cell>
          <cell r="R3512">
            <v>45720</v>
          </cell>
          <cell r="S3512">
            <v>226001</v>
          </cell>
        </row>
        <row r="3513">
          <cell r="K3513" t="str">
            <v>217002</v>
          </cell>
          <cell r="M3513">
            <v>1</v>
          </cell>
          <cell r="R3513">
            <v>45720</v>
          </cell>
          <cell r="S3513">
            <v>217002</v>
          </cell>
        </row>
        <row r="3514">
          <cell r="K3514" t="str">
            <v>203003</v>
          </cell>
          <cell r="M3514">
            <v>5</v>
          </cell>
          <cell r="R3514">
            <v>45720</v>
          </cell>
          <cell r="S3514">
            <v>203003</v>
          </cell>
        </row>
        <row r="3515">
          <cell r="K3515" t="str">
            <v>217018</v>
          </cell>
          <cell r="M3515">
            <v>1</v>
          </cell>
          <cell r="R3515">
            <v>45720</v>
          </cell>
          <cell r="S3515">
            <v>217018</v>
          </cell>
        </row>
        <row r="3516">
          <cell r="K3516" t="str">
            <v>201011</v>
          </cell>
          <cell r="M3516">
            <v>2</v>
          </cell>
          <cell r="R3516">
            <v>45720</v>
          </cell>
          <cell r="S3516">
            <v>201011</v>
          </cell>
        </row>
        <row r="3517">
          <cell r="K3517" t="str">
            <v>231012</v>
          </cell>
          <cell r="M3517">
            <v>1</v>
          </cell>
          <cell r="R3517">
            <v>45720</v>
          </cell>
          <cell r="S3517">
            <v>231012</v>
          </cell>
        </row>
        <row r="3518">
          <cell r="K3518" t="str">
            <v>207017</v>
          </cell>
          <cell r="M3518">
            <v>1</v>
          </cell>
          <cell r="R3518">
            <v>45720</v>
          </cell>
          <cell r="S3518">
            <v>207017</v>
          </cell>
        </row>
        <row r="3519">
          <cell r="K3519" t="str">
            <v>201011</v>
          </cell>
          <cell r="M3519">
            <v>5</v>
          </cell>
          <cell r="R3519">
            <v>45720</v>
          </cell>
          <cell r="S3519">
            <v>201011</v>
          </cell>
        </row>
        <row r="3520">
          <cell r="K3520" t="str">
            <v>210003</v>
          </cell>
          <cell r="M3520">
            <v>1</v>
          </cell>
          <cell r="R3520">
            <v>45720</v>
          </cell>
          <cell r="S3520">
            <v>210003</v>
          </cell>
        </row>
        <row r="3521">
          <cell r="K3521" t="str">
            <v>210001</v>
          </cell>
          <cell r="M3521">
            <v>1</v>
          </cell>
          <cell r="R3521">
            <v>45720</v>
          </cell>
          <cell r="S3521">
            <v>210001</v>
          </cell>
        </row>
        <row r="3522">
          <cell r="K3522" t="str">
            <v>201011</v>
          </cell>
          <cell r="M3522">
            <v>2</v>
          </cell>
          <cell r="R3522">
            <v>45720</v>
          </cell>
          <cell r="S3522">
            <v>201011</v>
          </cell>
        </row>
        <row r="3523">
          <cell r="K3523" t="str">
            <v>226001</v>
          </cell>
          <cell r="M3523">
            <v>1</v>
          </cell>
          <cell r="R3523">
            <v>45720</v>
          </cell>
          <cell r="S3523">
            <v>226001</v>
          </cell>
        </row>
        <row r="3524">
          <cell r="K3524" t="str">
            <v>201011</v>
          </cell>
          <cell r="M3524">
            <v>3</v>
          </cell>
          <cell r="R3524">
            <v>45720</v>
          </cell>
          <cell r="S3524">
            <v>201011</v>
          </cell>
        </row>
        <row r="3525">
          <cell r="K3525" t="str">
            <v>212035</v>
          </cell>
          <cell r="M3525">
            <v>2</v>
          </cell>
          <cell r="R3525">
            <v>45721</v>
          </cell>
          <cell r="S3525">
            <v>212035</v>
          </cell>
        </row>
        <row r="3526">
          <cell r="K3526" t="str">
            <v>210001</v>
          </cell>
          <cell r="M3526">
            <v>16</v>
          </cell>
          <cell r="R3526">
            <v>45720</v>
          </cell>
          <cell r="S3526">
            <v>210001</v>
          </cell>
        </row>
        <row r="3527">
          <cell r="K3527" t="str">
            <v>210010</v>
          </cell>
          <cell r="M3527">
            <v>1</v>
          </cell>
          <cell r="R3527">
            <v>45721</v>
          </cell>
          <cell r="S3527">
            <v>210010</v>
          </cell>
        </row>
        <row r="3528">
          <cell r="K3528" t="str">
            <v>228017</v>
          </cell>
          <cell r="M3528">
            <v>4</v>
          </cell>
          <cell r="R3528">
            <v>45721</v>
          </cell>
          <cell r="S3528">
            <v>228017</v>
          </cell>
        </row>
        <row r="3529">
          <cell r="K3529" t="str">
            <v>212035</v>
          </cell>
          <cell r="M3529">
            <v>3</v>
          </cell>
          <cell r="R3529">
            <v>45721</v>
          </cell>
          <cell r="S3529">
            <v>212035</v>
          </cell>
        </row>
        <row r="3530">
          <cell r="K3530" t="str">
            <v>226001</v>
          </cell>
          <cell r="M3530">
            <v>1</v>
          </cell>
          <cell r="R3530">
            <v>45721</v>
          </cell>
          <cell r="S3530">
            <v>226001</v>
          </cell>
        </row>
        <row r="3531">
          <cell r="K3531" t="str">
            <v>210001</v>
          </cell>
          <cell r="M3531">
            <v>1</v>
          </cell>
          <cell r="R3531">
            <v>45721</v>
          </cell>
          <cell r="S3531">
            <v>210001</v>
          </cell>
        </row>
        <row r="3532">
          <cell r="K3532" t="str">
            <v>231012</v>
          </cell>
          <cell r="M3532">
            <v>14</v>
          </cell>
          <cell r="R3532">
            <v>45721</v>
          </cell>
          <cell r="S3532">
            <v>231012</v>
          </cell>
        </row>
        <row r="3533">
          <cell r="K3533" t="str">
            <v>228017</v>
          </cell>
          <cell r="M3533">
            <v>7</v>
          </cell>
          <cell r="R3533">
            <v>45721</v>
          </cell>
          <cell r="S3533">
            <v>228017</v>
          </cell>
        </row>
        <row r="3534">
          <cell r="K3534" t="str">
            <v>205004</v>
          </cell>
          <cell r="M3534">
            <v>1</v>
          </cell>
          <cell r="R3534">
            <v>45721</v>
          </cell>
          <cell r="S3534">
            <v>205004</v>
          </cell>
        </row>
        <row r="3535">
          <cell r="K3535" t="str">
            <v>231012</v>
          </cell>
          <cell r="M3535">
            <v>2</v>
          </cell>
          <cell r="R3535">
            <v>45721</v>
          </cell>
          <cell r="S3535">
            <v>231012</v>
          </cell>
        </row>
        <row r="3536">
          <cell r="K3536" t="str">
            <v>206006</v>
          </cell>
          <cell r="M3536">
            <v>1</v>
          </cell>
          <cell r="R3536">
            <v>45721</v>
          </cell>
          <cell r="S3536">
            <v>206006</v>
          </cell>
        </row>
        <row r="3537">
          <cell r="K3537" t="str">
            <v>218003</v>
          </cell>
          <cell r="M3537">
            <v>1</v>
          </cell>
          <cell r="R3537">
            <v>45721</v>
          </cell>
          <cell r="S3537">
            <v>218003</v>
          </cell>
        </row>
        <row r="3538">
          <cell r="K3538" t="str">
            <v>218001</v>
          </cell>
          <cell r="M3538">
            <v>1</v>
          </cell>
          <cell r="R3538">
            <v>45721</v>
          </cell>
          <cell r="S3538">
            <v>218001</v>
          </cell>
        </row>
        <row r="3539">
          <cell r="K3539" t="str">
            <v>228017</v>
          </cell>
          <cell r="M3539">
            <v>2</v>
          </cell>
          <cell r="R3539">
            <v>45721</v>
          </cell>
          <cell r="S3539">
            <v>228017</v>
          </cell>
        </row>
        <row r="3540">
          <cell r="K3540" t="str">
            <v>206002</v>
          </cell>
          <cell r="M3540">
            <v>1</v>
          </cell>
          <cell r="R3540">
            <v>45721</v>
          </cell>
          <cell r="S3540">
            <v>206002</v>
          </cell>
        </row>
        <row r="3541">
          <cell r="K3541" t="str">
            <v>208001</v>
          </cell>
          <cell r="M3541">
            <v>1</v>
          </cell>
          <cell r="R3541">
            <v>45721</v>
          </cell>
          <cell r="S3541">
            <v>208001</v>
          </cell>
        </row>
        <row r="3542">
          <cell r="K3542" t="str">
            <v>218001</v>
          </cell>
          <cell r="M3542">
            <v>1</v>
          </cell>
          <cell r="R3542">
            <v>45721</v>
          </cell>
          <cell r="S3542">
            <v>218001</v>
          </cell>
        </row>
        <row r="3543">
          <cell r="K3543" t="str">
            <v>229004</v>
          </cell>
          <cell r="M3543">
            <v>1</v>
          </cell>
          <cell r="R3543">
            <v>45721</v>
          </cell>
          <cell r="S3543">
            <v>229004</v>
          </cell>
        </row>
        <row r="3544">
          <cell r="K3544" t="str">
            <v>228017</v>
          </cell>
          <cell r="M3544">
            <v>22</v>
          </cell>
          <cell r="R3544">
            <v>45721</v>
          </cell>
          <cell r="S3544">
            <v>228017</v>
          </cell>
        </row>
        <row r="3545">
          <cell r="K3545" t="str">
            <v>217019</v>
          </cell>
          <cell r="M3545">
            <v>8</v>
          </cell>
          <cell r="R3545">
            <v>45721</v>
          </cell>
          <cell r="S3545">
            <v>217019</v>
          </cell>
        </row>
        <row r="3546">
          <cell r="K3546" t="str">
            <v>203001</v>
          </cell>
          <cell r="M3546">
            <v>4</v>
          </cell>
          <cell r="R3546">
            <v>45721</v>
          </cell>
          <cell r="S3546">
            <v>203001</v>
          </cell>
        </row>
        <row r="3547">
          <cell r="K3547" t="str">
            <v>210004</v>
          </cell>
          <cell r="M3547">
            <v>1</v>
          </cell>
          <cell r="R3547">
            <v>45721</v>
          </cell>
          <cell r="S3547">
            <v>210004</v>
          </cell>
        </row>
        <row r="3548">
          <cell r="K3548" t="str">
            <v>210004</v>
          </cell>
          <cell r="M3548">
            <v>1</v>
          </cell>
          <cell r="R3548">
            <v>45721</v>
          </cell>
          <cell r="S3548">
            <v>210004</v>
          </cell>
        </row>
        <row r="3549">
          <cell r="K3549" t="str">
            <v>213018</v>
          </cell>
          <cell r="M3549">
            <v>1</v>
          </cell>
          <cell r="R3549">
            <v>45721</v>
          </cell>
          <cell r="S3549">
            <v>213018</v>
          </cell>
        </row>
        <row r="3550">
          <cell r="K3550" t="str">
            <v>209001</v>
          </cell>
          <cell r="M3550">
            <v>3</v>
          </cell>
          <cell r="R3550">
            <v>45721</v>
          </cell>
          <cell r="S3550">
            <v>209001</v>
          </cell>
        </row>
        <row r="3551">
          <cell r="K3551" t="str">
            <v>206002</v>
          </cell>
          <cell r="M3551">
            <v>1</v>
          </cell>
          <cell r="R3551">
            <v>45721</v>
          </cell>
          <cell r="S3551">
            <v>206002</v>
          </cell>
        </row>
        <row r="3552">
          <cell r="K3552" t="str">
            <v>208001</v>
          </cell>
          <cell r="M3552">
            <v>1</v>
          </cell>
          <cell r="R3552">
            <v>45721</v>
          </cell>
          <cell r="S3552">
            <v>208001</v>
          </cell>
        </row>
        <row r="3553">
          <cell r="K3553" t="str">
            <v>218003</v>
          </cell>
          <cell r="M3553">
            <v>1</v>
          </cell>
          <cell r="R3553">
            <v>45721</v>
          </cell>
          <cell r="S3553">
            <v>218003</v>
          </cell>
        </row>
        <row r="3554">
          <cell r="K3554" t="str">
            <v>203006</v>
          </cell>
          <cell r="M3554">
            <v>1</v>
          </cell>
          <cell r="R3554">
            <v>45721</v>
          </cell>
          <cell r="S3554">
            <v>203006</v>
          </cell>
        </row>
        <row r="3555">
          <cell r="K3555" t="str">
            <v>201011</v>
          </cell>
          <cell r="M3555">
            <v>5</v>
          </cell>
          <cell r="R3555">
            <v>45721</v>
          </cell>
          <cell r="S3555">
            <v>201011</v>
          </cell>
        </row>
        <row r="3556">
          <cell r="K3556" t="str">
            <v>201011</v>
          </cell>
          <cell r="M3556">
            <v>1</v>
          </cell>
          <cell r="R3556">
            <v>45721</v>
          </cell>
          <cell r="S3556">
            <v>201011</v>
          </cell>
        </row>
        <row r="3557">
          <cell r="K3557" t="str">
            <v>203003</v>
          </cell>
          <cell r="M3557">
            <v>1</v>
          </cell>
          <cell r="R3557">
            <v>45721</v>
          </cell>
          <cell r="S3557">
            <v>203003</v>
          </cell>
        </row>
        <row r="3558">
          <cell r="K3558" t="str">
            <v>201011</v>
          </cell>
          <cell r="M3558">
            <v>3</v>
          </cell>
          <cell r="R3558">
            <v>45721</v>
          </cell>
          <cell r="S3558">
            <v>201011</v>
          </cell>
        </row>
        <row r="3559">
          <cell r="K3559" t="str">
            <v>203006</v>
          </cell>
          <cell r="M3559">
            <v>2</v>
          </cell>
          <cell r="R3559">
            <v>45721</v>
          </cell>
          <cell r="S3559">
            <v>203006</v>
          </cell>
        </row>
        <row r="3560">
          <cell r="K3560" t="str">
            <v>203006</v>
          </cell>
          <cell r="M3560">
            <v>1</v>
          </cell>
          <cell r="R3560">
            <v>45721</v>
          </cell>
          <cell r="S3560">
            <v>203006</v>
          </cell>
        </row>
        <row r="3561">
          <cell r="K3561" t="str">
            <v>201011</v>
          </cell>
          <cell r="M3561">
            <v>72</v>
          </cell>
          <cell r="R3561">
            <v>45722</v>
          </cell>
          <cell r="S3561">
            <v>201011</v>
          </cell>
        </row>
        <row r="3562">
          <cell r="K3562" t="str">
            <v>222018</v>
          </cell>
          <cell r="M3562">
            <v>100</v>
          </cell>
          <cell r="R3562">
            <v>45722</v>
          </cell>
          <cell r="S3562">
            <v>222018</v>
          </cell>
        </row>
        <row r="3563">
          <cell r="K3563" t="str">
            <v>226001</v>
          </cell>
          <cell r="M3563">
            <v>2</v>
          </cell>
          <cell r="R3563">
            <v>45722</v>
          </cell>
          <cell r="S3563">
            <v>226001</v>
          </cell>
        </row>
        <row r="3564">
          <cell r="K3564" t="str">
            <v>227002</v>
          </cell>
          <cell r="M3564">
            <v>1</v>
          </cell>
          <cell r="R3564">
            <v>45722</v>
          </cell>
          <cell r="S3564">
            <v>227002</v>
          </cell>
        </row>
        <row r="3565">
          <cell r="K3565" t="str">
            <v>227002</v>
          </cell>
          <cell r="M3565">
            <v>2</v>
          </cell>
          <cell r="R3565">
            <v>45722</v>
          </cell>
          <cell r="S3565">
            <v>227002</v>
          </cell>
        </row>
        <row r="3566">
          <cell r="K3566" t="str">
            <v>202001</v>
          </cell>
          <cell r="M3566">
            <v>1</v>
          </cell>
          <cell r="R3566">
            <v>45722</v>
          </cell>
          <cell r="S3566">
            <v>202001</v>
          </cell>
        </row>
        <row r="3567">
          <cell r="K3567" t="str">
            <v>229004</v>
          </cell>
          <cell r="M3567">
            <v>4</v>
          </cell>
          <cell r="R3567">
            <v>45722</v>
          </cell>
          <cell r="S3567">
            <v>229004</v>
          </cell>
        </row>
        <row r="3568">
          <cell r="K3568" t="str">
            <v>229001</v>
          </cell>
          <cell r="M3568">
            <v>10</v>
          </cell>
          <cell r="R3568">
            <v>45722</v>
          </cell>
          <cell r="S3568">
            <v>229001</v>
          </cell>
        </row>
        <row r="3569">
          <cell r="K3569" t="str">
            <v>201011</v>
          </cell>
          <cell r="M3569">
            <v>1</v>
          </cell>
          <cell r="R3569">
            <v>45722</v>
          </cell>
          <cell r="S3569">
            <v>201011</v>
          </cell>
        </row>
        <row r="3570">
          <cell r="K3570" t="str">
            <v>223001</v>
          </cell>
          <cell r="M3570">
            <v>1</v>
          </cell>
          <cell r="R3570">
            <v>45722</v>
          </cell>
          <cell r="S3570">
            <v>223001</v>
          </cell>
        </row>
        <row r="3571">
          <cell r="K3571" t="str">
            <v>213018</v>
          </cell>
          <cell r="M3571">
            <v>1</v>
          </cell>
          <cell r="R3571">
            <v>45722</v>
          </cell>
          <cell r="S3571">
            <v>213018</v>
          </cell>
        </row>
        <row r="3572">
          <cell r="K3572" t="str">
            <v>201011</v>
          </cell>
          <cell r="M3572">
            <v>10</v>
          </cell>
          <cell r="R3572">
            <v>45722</v>
          </cell>
          <cell r="S3572">
            <v>201011</v>
          </cell>
        </row>
        <row r="3573">
          <cell r="K3573" t="str">
            <v>209001</v>
          </cell>
          <cell r="M3573">
            <v>2</v>
          </cell>
          <cell r="R3573">
            <v>45722</v>
          </cell>
          <cell r="S3573">
            <v>209001</v>
          </cell>
        </row>
        <row r="3574">
          <cell r="K3574" t="str">
            <v>205004</v>
          </cell>
          <cell r="M3574">
            <v>1</v>
          </cell>
          <cell r="R3574">
            <v>45722</v>
          </cell>
          <cell r="S3574">
            <v>205004</v>
          </cell>
        </row>
        <row r="3575">
          <cell r="K3575" t="str">
            <v>229001</v>
          </cell>
          <cell r="M3575">
            <v>1</v>
          </cell>
          <cell r="R3575">
            <v>45722</v>
          </cell>
          <cell r="S3575">
            <v>229001</v>
          </cell>
        </row>
        <row r="3576">
          <cell r="K3576" t="str">
            <v>223002</v>
          </cell>
          <cell r="M3576">
            <v>1</v>
          </cell>
          <cell r="R3576">
            <v>45722</v>
          </cell>
          <cell r="S3576">
            <v>223002</v>
          </cell>
        </row>
        <row r="3577">
          <cell r="K3577" t="str">
            <v>227002</v>
          </cell>
          <cell r="M3577">
            <v>1</v>
          </cell>
          <cell r="R3577">
            <v>45722</v>
          </cell>
          <cell r="S3577">
            <v>227002</v>
          </cell>
        </row>
        <row r="3578">
          <cell r="K3578" t="str">
            <v>227001</v>
          </cell>
          <cell r="M3578">
            <v>1</v>
          </cell>
          <cell r="R3578">
            <v>45722</v>
          </cell>
          <cell r="S3578">
            <v>227001</v>
          </cell>
        </row>
        <row r="3579">
          <cell r="K3579" t="str">
            <v>201011</v>
          </cell>
          <cell r="M3579">
            <v>1</v>
          </cell>
          <cell r="R3579">
            <v>45722</v>
          </cell>
          <cell r="S3579">
            <v>201011</v>
          </cell>
        </row>
        <row r="3580">
          <cell r="K3580" t="str">
            <v>226001</v>
          </cell>
          <cell r="M3580">
            <v>5</v>
          </cell>
          <cell r="R3580">
            <v>45722</v>
          </cell>
          <cell r="S3580">
            <v>226001</v>
          </cell>
        </row>
        <row r="3581">
          <cell r="K3581" t="str">
            <v>222001</v>
          </cell>
          <cell r="M3581">
            <v>1</v>
          </cell>
          <cell r="R3581">
            <v>45722</v>
          </cell>
          <cell r="S3581">
            <v>222001</v>
          </cell>
        </row>
        <row r="3582">
          <cell r="K3582" t="str">
            <v>222001</v>
          </cell>
          <cell r="M3582">
            <v>4</v>
          </cell>
          <cell r="R3582">
            <v>45722</v>
          </cell>
          <cell r="S3582">
            <v>222001</v>
          </cell>
        </row>
        <row r="3583">
          <cell r="K3583" t="str">
            <v>241001</v>
          </cell>
          <cell r="M3583">
            <v>5</v>
          </cell>
          <cell r="R3583">
            <v>45722</v>
          </cell>
          <cell r="S3583">
            <v>241001</v>
          </cell>
        </row>
        <row r="3584">
          <cell r="K3584" t="str">
            <v>201011</v>
          </cell>
          <cell r="M3584">
            <v>36</v>
          </cell>
          <cell r="R3584">
            <v>45722</v>
          </cell>
          <cell r="S3584">
            <v>201011</v>
          </cell>
        </row>
        <row r="3585">
          <cell r="K3585" t="str">
            <v>201011</v>
          </cell>
          <cell r="M3585">
            <v>3</v>
          </cell>
          <cell r="R3585">
            <v>45722</v>
          </cell>
          <cell r="S3585">
            <v>201011</v>
          </cell>
        </row>
        <row r="3586">
          <cell r="K3586" t="str">
            <v>201004</v>
          </cell>
          <cell r="M3586">
            <v>1</v>
          </cell>
          <cell r="R3586">
            <v>45722</v>
          </cell>
          <cell r="S3586">
            <v>201004</v>
          </cell>
        </row>
        <row r="3587">
          <cell r="K3587" t="str">
            <v>217002</v>
          </cell>
          <cell r="M3587">
            <v>1</v>
          </cell>
          <cell r="R3587">
            <v>45722</v>
          </cell>
          <cell r="S3587">
            <v>217002</v>
          </cell>
        </row>
        <row r="3588">
          <cell r="K3588" t="str">
            <v>223002</v>
          </cell>
          <cell r="M3588">
            <v>3</v>
          </cell>
          <cell r="R3588">
            <v>45722</v>
          </cell>
          <cell r="S3588">
            <v>223002</v>
          </cell>
        </row>
        <row r="3589">
          <cell r="K3589" t="str">
            <v>223001</v>
          </cell>
          <cell r="M3589">
            <v>3</v>
          </cell>
          <cell r="R3589">
            <v>45722</v>
          </cell>
          <cell r="S3589">
            <v>223001</v>
          </cell>
        </row>
        <row r="3590">
          <cell r="K3590" t="str">
            <v>241001</v>
          </cell>
          <cell r="M3590">
            <v>1</v>
          </cell>
          <cell r="R3590">
            <v>45722</v>
          </cell>
          <cell r="S3590">
            <v>241001</v>
          </cell>
        </row>
        <row r="3591">
          <cell r="K3591" t="str">
            <v>201011</v>
          </cell>
          <cell r="M3591">
            <v>1</v>
          </cell>
          <cell r="R3591">
            <v>45723</v>
          </cell>
          <cell r="S3591">
            <v>201011</v>
          </cell>
        </row>
        <row r="3592">
          <cell r="K3592" t="str">
            <v>228017</v>
          </cell>
          <cell r="M3592">
            <v>3</v>
          </cell>
          <cell r="R3592">
            <v>45722</v>
          </cell>
          <cell r="S3592">
            <v>228017</v>
          </cell>
        </row>
        <row r="3593">
          <cell r="K3593" t="str">
            <v>212002</v>
          </cell>
          <cell r="M3593">
            <v>1</v>
          </cell>
          <cell r="R3593">
            <v>45722</v>
          </cell>
          <cell r="S3593">
            <v>212002</v>
          </cell>
        </row>
        <row r="3594">
          <cell r="K3594" t="str">
            <v>207017</v>
          </cell>
          <cell r="M3594">
            <v>1</v>
          </cell>
          <cell r="R3594">
            <v>45722</v>
          </cell>
          <cell r="S3594">
            <v>207017</v>
          </cell>
        </row>
        <row r="3595">
          <cell r="K3595" t="str">
            <v>218001</v>
          </cell>
          <cell r="M3595">
            <v>1</v>
          </cell>
          <cell r="R3595">
            <v>45722</v>
          </cell>
          <cell r="S3595">
            <v>218001</v>
          </cell>
        </row>
        <row r="3596">
          <cell r="K3596" t="str">
            <v>241001</v>
          </cell>
          <cell r="M3596">
            <v>3</v>
          </cell>
          <cell r="R3596">
            <v>45722</v>
          </cell>
          <cell r="S3596">
            <v>241001</v>
          </cell>
        </row>
        <row r="3597">
          <cell r="K3597" t="str">
            <v>210014</v>
          </cell>
          <cell r="M3597">
            <v>1</v>
          </cell>
          <cell r="R3597">
            <v>45722</v>
          </cell>
          <cell r="S3597">
            <v>210014</v>
          </cell>
        </row>
        <row r="3598">
          <cell r="K3598" t="str">
            <v>201011</v>
          </cell>
          <cell r="M3598">
            <v>3</v>
          </cell>
          <cell r="R3598">
            <v>45722</v>
          </cell>
          <cell r="S3598">
            <v>201011</v>
          </cell>
        </row>
        <row r="3599">
          <cell r="K3599" t="str">
            <v>222003</v>
          </cell>
          <cell r="M3599">
            <v>2</v>
          </cell>
          <cell r="R3599">
            <v>45722</v>
          </cell>
          <cell r="S3599">
            <v>222003</v>
          </cell>
        </row>
        <row r="3600">
          <cell r="K3600" t="str">
            <v>222004</v>
          </cell>
          <cell r="M3600">
            <v>2</v>
          </cell>
          <cell r="R3600">
            <v>45722</v>
          </cell>
          <cell r="S3600">
            <v>222004</v>
          </cell>
        </row>
        <row r="3601">
          <cell r="K3601" t="str">
            <v>222001</v>
          </cell>
          <cell r="M3601">
            <v>1</v>
          </cell>
          <cell r="R3601">
            <v>45722</v>
          </cell>
          <cell r="S3601">
            <v>222001</v>
          </cell>
        </row>
        <row r="3602">
          <cell r="K3602" t="str">
            <v>201011</v>
          </cell>
          <cell r="M3602">
            <v>3</v>
          </cell>
          <cell r="R3602">
            <v>45722</v>
          </cell>
          <cell r="S3602">
            <v>201011</v>
          </cell>
        </row>
        <row r="3603">
          <cell r="K3603" t="str">
            <v>203003</v>
          </cell>
          <cell r="M3603">
            <v>1</v>
          </cell>
          <cell r="R3603">
            <v>45722</v>
          </cell>
          <cell r="S3603">
            <v>203003</v>
          </cell>
        </row>
        <row r="3604">
          <cell r="K3604" t="str">
            <v>241001</v>
          </cell>
          <cell r="M3604">
            <v>1</v>
          </cell>
          <cell r="R3604">
            <v>45722</v>
          </cell>
          <cell r="S3604">
            <v>241001</v>
          </cell>
        </row>
        <row r="3605">
          <cell r="K3605" t="str">
            <v>228017</v>
          </cell>
          <cell r="M3605">
            <v>2</v>
          </cell>
          <cell r="R3605">
            <v>45722</v>
          </cell>
          <cell r="S3605">
            <v>228017</v>
          </cell>
        </row>
        <row r="3606">
          <cell r="K3606" t="str">
            <v>226001</v>
          </cell>
          <cell r="M3606">
            <v>2</v>
          </cell>
          <cell r="R3606">
            <v>45723</v>
          </cell>
          <cell r="S3606">
            <v>226001</v>
          </cell>
        </row>
        <row r="3607">
          <cell r="K3607" t="str">
            <v>201011</v>
          </cell>
          <cell r="M3607">
            <v>1</v>
          </cell>
          <cell r="R3607">
            <v>45723</v>
          </cell>
          <cell r="S3607">
            <v>201011</v>
          </cell>
        </row>
        <row r="3608">
          <cell r="K3608" t="str">
            <v>241001</v>
          </cell>
          <cell r="M3608">
            <v>3</v>
          </cell>
          <cell r="R3608">
            <v>45723</v>
          </cell>
          <cell r="S3608">
            <v>241001</v>
          </cell>
        </row>
        <row r="3609">
          <cell r="K3609" t="str">
            <v>201011</v>
          </cell>
          <cell r="M3609">
            <v>3</v>
          </cell>
          <cell r="R3609">
            <v>45723</v>
          </cell>
          <cell r="S3609">
            <v>201011</v>
          </cell>
        </row>
        <row r="3610">
          <cell r="K3610" t="str">
            <v>213002</v>
          </cell>
          <cell r="M3610">
            <v>8</v>
          </cell>
          <cell r="R3610">
            <v>45723</v>
          </cell>
          <cell r="S3610">
            <v>213002</v>
          </cell>
        </row>
        <row r="3611">
          <cell r="K3611" t="str">
            <v>213002</v>
          </cell>
          <cell r="M3611">
            <v>5</v>
          </cell>
          <cell r="R3611">
            <v>45723</v>
          </cell>
          <cell r="S3611">
            <v>213002</v>
          </cell>
        </row>
        <row r="3612">
          <cell r="K3612" t="str">
            <v>213002</v>
          </cell>
          <cell r="M3612">
            <v>5</v>
          </cell>
          <cell r="R3612">
            <v>45723</v>
          </cell>
          <cell r="S3612">
            <v>213002</v>
          </cell>
        </row>
        <row r="3613">
          <cell r="K3613" t="str">
            <v>213002</v>
          </cell>
          <cell r="M3613">
            <v>1</v>
          </cell>
          <cell r="R3613">
            <v>45723</v>
          </cell>
          <cell r="S3613">
            <v>213002</v>
          </cell>
        </row>
        <row r="3614">
          <cell r="K3614" t="str">
            <v>228017</v>
          </cell>
          <cell r="M3614">
            <v>7</v>
          </cell>
          <cell r="R3614">
            <v>45723</v>
          </cell>
          <cell r="S3614">
            <v>228017</v>
          </cell>
        </row>
        <row r="3615">
          <cell r="K3615" t="str">
            <v>231012</v>
          </cell>
          <cell r="M3615">
            <v>18</v>
          </cell>
          <cell r="R3615">
            <v>45723</v>
          </cell>
          <cell r="S3615">
            <v>231012</v>
          </cell>
        </row>
        <row r="3616">
          <cell r="K3616" t="str">
            <v>210001</v>
          </cell>
          <cell r="M3616">
            <v>1</v>
          </cell>
          <cell r="R3616">
            <v>45723</v>
          </cell>
          <cell r="S3616">
            <v>210001</v>
          </cell>
        </row>
        <row r="3617">
          <cell r="K3617" t="str">
            <v>213002</v>
          </cell>
          <cell r="M3617">
            <v>0</v>
          </cell>
          <cell r="R3617">
            <v>45723</v>
          </cell>
          <cell r="S3617">
            <v>213002</v>
          </cell>
        </row>
        <row r="3618">
          <cell r="K3618" t="str">
            <v>241002</v>
          </cell>
          <cell r="M3618">
            <v>28</v>
          </cell>
          <cell r="R3618">
            <v>45723</v>
          </cell>
          <cell r="S3618">
            <v>241002</v>
          </cell>
        </row>
        <row r="3619">
          <cell r="K3619" t="str">
            <v>201011</v>
          </cell>
          <cell r="M3619">
            <v>6</v>
          </cell>
          <cell r="R3619">
            <v>45723</v>
          </cell>
          <cell r="S3619">
            <v>201011</v>
          </cell>
        </row>
        <row r="3620">
          <cell r="K3620" t="str">
            <v>213002</v>
          </cell>
          <cell r="M3620">
            <v>4</v>
          </cell>
          <cell r="R3620">
            <v>45723</v>
          </cell>
          <cell r="S3620">
            <v>213002</v>
          </cell>
        </row>
        <row r="3621">
          <cell r="K3621" t="str">
            <v>201011</v>
          </cell>
          <cell r="M3621">
            <v>36</v>
          </cell>
          <cell r="R3621">
            <v>45723</v>
          </cell>
          <cell r="S3621">
            <v>201011</v>
          </cell>
        </row>
        <row r="3622">
          <cell r="K3622" t="str">
            <v>213002</v>
          </cell>
          <cell r="M3622">
            <v>250</v>
          </cell>
          <cell r="R3622">
            <v>45723</v>
          </cell>
          <cell r="S3622">
            <v>213002</v>
          </cell>
        </row>
        <row r="3623">
          <cell r="K3623" t="str">
            <v>203001</v>
          </cell>
          <cell r="M3623">
            <v>8</v>
          </cell>
          <cell r="R3623">
            <v>45723</v>
          </cell>
          <cell r="S3623">
            <v>203001</v>
          </cell>
        </row>
        <row r="3624">
          <cell r="K3624" t="str">
            <v>213002</v>
          </cell>
          <cell r="M3624">
            <v>50</v>
          </cell>
          <cell r="R3624">
            <v>45723</v>
          </cell>
          <cell r="S3624">
            <v>213002</v>
          </cell>
        </row>
        <row r="3625">
          <cell r="K3625" t="str">
            <v>213002</v>
          </cell>
          <cell r="M3625">
            <v>5</v>
          </cell>
          <cell r="R3625">
            <v>45723</v>
          </cell>
          <cell r="S3625">
            <v>213002</v>
          </cell>
        </row>
        <row r="3626">
          <cell r="K3626" t="str">
            <v>213002</v>
          </cell>
          <cell r="M3626">
            <v>2</v>
          </cell>
          <cell r="R3626">
            <v>45723</v>
          </cell>
          <cell r="S3626">
            <v>213002</v>
          </cell>
        </row>
        <row r="3627">
          <cell r="K3627" t="str">
            <v>241001</v>
          </cell>
          <cell r="M3627">
            <v>3</v>
          </cell>
          <cell r="R3627">
            <v>45723</v>
          </cell>
          <cell r="S3627">
            <v>241001</v>
          </cell>
        </row>
        <row r="3628">
          <cell r="K3628" t="str">
            <v>213002</v>
          </cell>
          <cell r="M3628">
            <v>1</v>
          </cell>
          <cell r="R3628">
            <v>45723</v>
          </cell>
          <cell r="S3628">
            <v>213002</v>
          </cell>
        </row>
        <row r="3629">
          <cell r="K3629" t="str">
            <v>213002</v>
          </cell>
          <cell r="M3629">
            <v>31</v>
          </cell>
          <cell r="R3629">
            <v>45723</v>
          </cell>
          <cell r="S3629">
            <v>213002</v>
          </cell>
        </row>
        <row r="3630">
          <cell r="K3630" t="str">
            <v>201011</v>
          </cell>
          <cell r="M3630">
            <v>4</v>
          </cell>
          <cell r="R3630">
            <v>45723</v>
          </cell>
          <cell r="S3630">
            <v>201011</v>
          </cell>
        </row>
        <row r="3631">
          <cell r="K3631" t="str">
            <v>213002</v>
          </cell>
          <cell r="M3631">
            <v>5</v>
          </cell>
          <cell r="R3631">
            <v>45723</v>
          </cell>
          <cell r="S3631">
            <v>213002</v>
          </cell>
        </row>
        <row r="3632">
          <cell r="K3632" t="str">
            <v>201011</v>
          </cell>
          <cell r="M3632">
            <v>4</v>
          </cell>
          <cell r="R3632">
            <v>45723</v>
          </cell>
          <cell r="S3632">
            <v>201011</v>
          </cell>
        </row>
        <row r="3633">
          <cell r="K3633" t="str">
            <v>203003</v>
          </cell>
          <cell r="M3633">
            <v>1</v>
          </cell>
          <cell r="R3633">
            <v>45723</v>
          </cell>
          <cell r="S3633">
            <v>203003</v>
          </cell>
        </row>
        <row r="3634">
          <cell r="K3634" t="str">
            <v>231012</v>
          </cell>
          <cell r="M3634">
            <v>3</v>
          </cell>
          <cell r="R3634">
            <v>45723</v>
          </cell>
          <cell r="S3634">
            <v>231012</v>
          </cell>
        </row>
        <row r="3635">
          <cell r="K3635" t="str">
            <v>210013</v>
          </cell>
          <cell r="M3635">
            <v>1</v>
          </cell>
          <cell r="R3635">
            <v>45723</v>
          </cell>
          <cell r="S3635">
            <v>210013</v>
          </cell>
        </row>
        <row r="3636">
          <cell r="K3636" t="str">
            <v>213002</v>
          </cell>
          <cell r="M3636">
            <v>1</v>
          </cell>
          <cell r="R3636">
            <v>45723</v>
          </cell>
          <cell r="S3636">
            <v>213002</v>
          </cell>
        </row>
        <row r="3637">
          <cell r="K3637" t="str">
            <v>222001</v>
          </cell>
          <cell r="M3637">
            <v>1</v>
          </cell>
          <cell r="R3637">
            <v>45723</v>
          </cell>
          <cell r="S3637">
            <v>222001</v>
          </cell>
        </row>
        <row r="3638">
          <cell r="K3638" t="str">
            <v>227002</v>
          </cell>
          <cell r="M3638">
            <v>1</v>
          </cell>
          <cell r="R3638">
            <v>45723</v>
          </cell>
          <cell r="S3638">
            <v>227002</v>
          </cell>
        </row>
        <row r="3639">
          <cell r="K3639" t="str">
            <v>223001</v>
          </cell>
          <cell r="M3639">
            <v>1</v>
          </cell>
          <cell r="R3639">
            <v>45723</v>
          </cell>
          <cell r="S3639">
            <v>223001</v>
          </cell>
        </row>
        <row r="3640">
          <cell r="K3640" t="str">
            <v>210013</v>
          </cell>
          <cell r="M3640">
            <v>1</v>
          </cell>
          <cell r="R3640">
            <v>45723</v>
          </cell>
          <cell r="S3640">
            <v>210013</v>
          </cell>
        </row>
        <row r="3641">
          <cell r="K3641" t="str">
            <v>226001</v>
          </cell>
          <cell r="M3641">
            <v>1</v>
          </cell>
          <cell r="R3641">
            <v>45724</v>
          </cell>
          <cell r="S3641">
            <v>226001</v>
          </cell>
        </row>
        <row r="3642">
          <cell r="K3642" t="str">
            <v>226026</v>
          </cell>
          <cell r="M3642">
            <v>1</v>
          </cell>
          <cell r="R3642">
            <v>45724</v>
          </cell>
          <cell r="S3642">
            <v>226026</v>
          </cell>
        </row>
        <row r="3643">
          <cell r="K3643" t="str">
            <v>201011</v>
          </cell>
          <cell r="M3643">
            <v>10</v>
          </cell>
          <cell r="R3643">
            <v>45724</v>
          </cell>
          <cell r="S3643">
            <v>201011</v>
          </cell>
        </row>
        <row r="3644">
          <cell r="K3644" t="str">
            <v>223002</v>
          </cell>
          <cell r="M3644">
            <v>5</v>
          </cell>
          <cell r="R3644">
            <v>45723</v>
          </cell>
          <cell r="S3644">
            <v>223002</v>
          </cell>
        </row>
        <row r="3645">
          <cell r="K3645" t="str">
            <v>232001</v>
          </cell>
          <cell r="M3645">
            <v>2</v>
          </cell>
          <cell r="R3645">
            <v>45724</v>
          </cell>
          <cell r="S3645">
            <v>232001</v>
          </cell>
        </row>
        <row r="3646">
          <cell r="K3646" t="str">
            <v>208001</v>
          </cell>
          <cell r="M3646">
            <v>1</v>
          </cell>
          <cell r="R3646">
            <v>45725</v>
          </cell>
          <cell r="S3646">
            <v>208001</v>
          </cell>
        </row>
        <row r="3647">
          <cell r="K3647" t="str">
            <v>218001</v>
          </cell>
          <cell r="M3647">
            <v>1</v>
          </cell>
          <cell r="R3647">
            <v>45725</v>
          </cell>
          <cell r="S3647">
            <v>218001</v>
          </cell>
        </row>
        <row r="3648">
          <cell r="K3648" t="str">
            <v>222001</v>
          </cell>
          <cell r="M3648">
            <v>3</v>
          </cell>
          <cell r="R3648">
            <v>45724</v>
          </cell>
          <cell r="S3648">
            <v>222001</v>
          </cell>
        </row>
        <row r="3649">
          <cell r="K3649" t="str">
            <v>212035</v>
          </cell>
          <cell r="M3649">
            <v>3</v>
          </cell>
          <cell r="R3649">
            <v>45725</v>
          </cell>
          <cell r="S3649">
            <v>212035</v>
          </cell>
        </row>
        <row r="3650">
          <cell r="K3650" t="str">
            <v>201011</v>
          </cell>
          <cell r="M3650">
            <v>10</v>
          </cell>
          <cell r="R3650">
            <v>45724</v>
          </cell>
          <cell r="S3650">
            <v>201011</v>
          </cell>
        </row>
        <row r="3651">
          <cell r="K3651" t="str">
            <v>201005</v>
          </cell>
          <cell r="M3651">
            <v>2</v>
          </cell>
          <cell r="R3651">
            <v>45724</v>
          </cell>
          <cell r="S3651">
            <v>201005</v>
          </cell>
        </row>
        <row r="3652">
          <cell r="K3652" t="str">
            <v>222001</v>
          </cell>
          <cell r="M3652">
            <v>1</v>
          </cell>
          <cell r="R3652">
            <v>45724</v>
          </cell>
          <cell r="S3652">
            <v>222001</v>
          </cell>
        </row>
        <row r="3653">
          <cell r="K3653" t="str">
            <v>201009</v>
          </cell>
          <cell r="M3653">
            <v>5</v>
          </cell>
          <cell r="R3653">
            <v>45724</v>
          </cell>
          <cell r="S3653">
            <v>201009</v>
          </cell>
        </row>
        <row r="3654">
          <cell r="K3654" t="str">
            <v>203001</v>
          </cell>
          <cell r="M3654">
            <v>2</v>
          </cell>
          <cell r="R3654">
            <v>45725</v>
          </cell>
          <cell r="S3654">
            <v>203001</v>
          </cell>
        </row>
        <row r="3655">
          <cell r="K3655" t="str">
            <v>231012</v>
          </cell>
          <cell r="M3655">
            <v>8</v>
          </cell>
          <cell r="R3655">
            <v>45725</v>
          </cell>
          <cell r="S3655">
            <v>231012</v>
          </cell>
        </row>
        <row r="3656">
          <cell r="K3656" t="str">
            <v>201011</v>
          </cell>
          <cell r="M3656">
            <v>1</v>
          </cell>
          <cell r="R3656">
            <v>45725</v>
          </cell>
          <cell r="S3656">
            <v>201011</v>
          </cell>
        </row>
        <row r="3657">
          <cell r="K3657" t="str">
            <v>223002</v>
          </cell>
          <cell r="M3657">
            <v>2</v>
          </cell>
          <cell r="R3657">
            <v>45725</v>
          </cell>
          <cell r="S3657">
            <v>223002</v>
          </cell>
        </row>
        <row r="3658">
          <cell r="K3658" t="str">
            <v>223001</v>
          </cell>
          <cell r="M3658">
            <v>10</v>
          </cell>
          <cell r="R3658">
            <v>45725</v>
          </cell>
          <cell r="S3658">
            <v>223001</v>
          </cell>
        </row>
        <row r="3659">
          <cell r="K3659" t="str">
            <v>227012</v>
          </cell>
          <cell r="M3659">
            <v>1</v>
          </cell>
          <cell r="R3659">
            <v>45725</v>
          </cell>
          <cell r="S3659">
            <v>227012</v>
          </cell>
        </row>
        <row r="3660">
          <cell r="K3660" t="str">
            <v>209022</v>
          </cell>
          <cell r="M3660">
            <v>4</v>
          </cell>
          <cell r="R3660">
            <v>45725</v>
          </cell>
          <cell r="S3660">
            <v>209022</v>
          </cell>
        </row>
        <row r="3661">
          <cell r="K3661" t="str">
            <v>228017</v>
          </cell>
          <cell r="M3661">
            <v>1</v>
          </cell>
          <cell r="R3661">
            <v>45725</v>
          </cell>
          <cell r="S3661">
            <v>228017</v>
          </cell>
        </row>
        <row r="3662">
          <cell r="K3662" t="str">
            <v>201011</v>
          </cell>
          <cell r="M3662">
            <v>4</v>
          </cell>
          <cell r="R3662">
            <v>45725</v>
          </cell>
          <cell r="S3662">
            <v>201011</v>
          </cell>
        </row>
        <row r="3663">
          <cell r="K3663" t="str">
            <v>222001</v>
          </cell>
          <cell r="M3663">
            <v>1</v>
          </cell>
          <cell r="R3663">
            <v>45725</v>
          </cell>
          <cell r="S3663">
            <v>222001</v>
          </cell>
        </row>
        <row r="3664">
          <cell r="K3664" t="str">
            <v>223002</v>
          </cell>
          <cell r="M3664">
            <v>2</v>
          </cell>
          <cell r="R3664">
            <v>45726</v>
          </cell>
          <cell r="S3664">
            <v>223002</v>
          </cell>
        </row>
        <row r="3665">
          <cell r="K3665" t="str">
            <v>223001</v>
          </cell>
          <cell r="M3665">
            <v>2</v>
          </cell>
          <cell r="R3665">
            <v>45726</v>
          </cell>
          <cell r="S3665">
            <v>223001</v>
          </cell>
        </row>
        <row r="3666">
          <cell r="K3666" t="str">
            <v>201011</v>
          </cell>
          <cell r="M3666">
            <v>2</v>
          </cell>
          <cell r="R3666">
            <v>45726</v>
          </cell>
          <cell r="S3666">
            <v>201011</v>
          </cell>
        </row>
        <row r="3667">
          <cell r="K3667" t="str">
            <v>231012</v>
          </cell>
          <cell r="M3667">
            <v>1</v>
          </cell>
          <cell r="R3667">
            <v>45726</v>
          </cell>
          <cell r="S3667">
            <v>231012</v>
          </cell>
        </row>
        <row r="3668">
          <cell r="K3668" t="str">
            <v>210003</v>
          </cell>
          <cell r="M3668">
            <v>3</v>
          </cell>
          <cell r="R3668">
            <v>45726</v>
          </cell>
          <cell r="S3668">
            <v>210003</v>
          </cell>
        </row>
        <row r="3669">
          <cell r="K3669" t="str">
            <v>210002</v>
          </cell>
          <cell r="M3669">
            <v>6</v>
          </cell>
          <cell r="R3669">
            <v>45726</v>
          </cell>
          <cell r="S3669">
            <v>210002</v>
          </cell>
        </row>
        <row r="3670">
          <cell r="K3670" t="str">
            <v>209004</v>
          </cell>
          <cell r="M3670">
            <v>3</v>
          </cell>
          <cell r="R3670">
            <v>45726</v>
          </cell>
          <cell r="S3670">
            <v>209004</v>
          </cell>
        </row>
        <row r="3671">
          <cell r="K3671" t="str">
            <v>209001</v>
          </cell>
          <cell r="M3671">
            <v>2</v>
          </cell>
          <cell r="R3671">
            <v>45726</v>
          </cell>
          <cell r="S3671">
            <v>209001</v>
          </cell>
        </row>
        <row r="3672">
          <cell r="K3672" t="str">
            <v>231012</v>
          </cell>
          <cell r="M3672">
            <v>1</v>
          </cell>
          <cell r="R3672">
            <v>45726</v>
          </cell>
          <cell r="S3672">
            <v>231012</v>
          </cell>
        </row>
        <row r="3673">
          <cell r="K3673" t="str">
            <v>209004</v>
          </cell>
          <cell r="M3673">
            <v>1</v>
          </cell>
          <cell r="R3673">
            <v>45726</v>
          </cell>
          <cell r="S3673">
            <v>209004</v>
          </cell>
        </row>
        <row r="3674">
          <cell r="K3674" t="str">
            <v>201011</v>
          </cell>
          <cell r="M3674">
            <v>2</v>
          </cell>
          <cell r="R3674">
            <v>45726</v>
          </cell>
          <cell r="S3674">
            <v>201011</v>
          </cell>
        </row>
        <row r="3675">
          <cell r="K3675" t="str">
            <v>201011</v>
          </cell>
          <cell r="M3675">
            <v>6</v>
          </cell>
          <cell r="R3675">
            <v>45726</v>
          </cell>
          <cell r="S3675">
            <v>201011</v>
          </cell>
        </row>
        <row r="3676">
          <cell r="K3676" t="str">
            <v>201011</v>
          </cell>
          <cell r="M3676">
            <v>6</v>
          </cell>
          <cell r="R3676">
            <v>45726</v>
          </cell>
          <cell r="S3676">
            <v>201011</v>
          </cell>
        </row>
        <row r="3677">
          <cell r="K3677" t="str">
            <v>201011</v>
          </cell>
          <cell r="M3677">
            <v>5</v>
          </cell>
          <cell r="R3677">
            <v>45726</v>
          </cell>
          <cell r="S3677">
            <v>201011</v>
          </cell>
        </row>
        <row r="3678">
          <cell r="K3678" t="str">
            <v>203001</v>
          </cell>
          <cell r="M3678">
            <v>4</v>
          </cell>
          <cell r="R3678">
            <v>45726</v>
          </cell>
          <cell r="S3678">
            <v>203001</v>
          </cell>
        </row>
        <row r="3679">
          <cell r="K3679" t="str">
            <v>223002</v>
          </cell>
          <cell r="M3679">
            <v>6</v>
          </cell>
          <cell r="R3679">
            <v>45726</v>
          </cell>
          <cell r="S3679">
            <v>223002</v>
          </cell>
        </row>
        <row r="3680">
          <cell r="K3680" t="str">
            <v>210001</v>
          </cell>
          <cell r="M3680">
            <v>1</v>
          </cell>
          <cell r="R3680">
            <v>45726</v>
          </cell>
          <cell r="S3680">
            <v>210001</v>
          </cell>
        </row>
        <row r="3681">
          <cell r="K3681" t="str">
            <v>203001</v>
          </cell>
          <cell r="M3681">
            <v>1</v>
          </cell>
          <cell r="R3681">
            <v>45726</v>
          </cell>
          <cell r="S3681">
            <v>203001</v>
          </cell>
        </row>
        <row r="3682">
          <cell r="K3682" t="str">
            <v>218001</v>
          </cell>
          <cell r="M3682">
            <v>1</v>
          </cell>
          <cell r="R3682">
            <v>45726</v>
          </cell>
          <cell r="S3682">
            <v>218001</v>
          </cell>
        </row>
        <row r="3683">
          <cell r="K3683" t="str">
            <v>207017</v>
          </cell>
          <cell r="M3683">
            <v>1</v>
          </cell>
          <cell r="R3683">
            <v>45726</v>
          </cell>
          <cell r="S3683">
            <v>207017</v>
          </cell>
        </row>
        <row r="3684">
          <cell r="K3684" t="str">
            <v>209004</v>
          </cell>
          <cell r="M3684">
            <v>1</v>
          </cell>
          <cell r="R3684">
            <v>45726</v>
          </cell>
          <cell r="S3684">
            <v>209004</v>
          </cell>
        </row>
        <row r="3685">
          <cell r="K3685" t="str">
            <v>201011</v>
          </cell>
          <cell r="M3685">
            <v>1</v>
          </cell>
          <cell r="R3685">
            <v>45726</v>
          </cell>
          <cell r="S3685">
            <v>201011</v>
          </cell>
        </row>
        <row r="3686">
          <cell r="K3686" t="str">
            <v>203003</v>
          </cell>
          <cell r="M3686">
            <v>1</v>
          </cell>
          <cell r="R3686">
            <v>45726</v>
          </cell>
          <cell r="S3686">
            <v>203003</v>
          </cell>
        </row>
        <row r="3687">
          <cell r="K3687" t="str">
            <v>212002</v>
          </cell>
          <cell r="M3687">
            <v>1</v>
          </cell>
          <cell r="R3687">
            <v>45726</v>
          </cell>
          <cell r="S3687">
            <v>212002</v>
          </cell>
        </row>
        <row r="3688">
          <cell r="K3688" t="str">
            <v>231012</v>
          </cell>
          <cell r="M3688">
            <v>1</v>
          </cell>
          <cell r="R3688">
            <v>45726</v>
          </cell>
          <cell r="S3688">
            <v>231012</v>
          </cell>
        </row>
        <row r="3689">
          <cell r="K3689" t="str">
            <v>207017</v>
          </cell>
          <cell r="M3689">
            <v>1</v>
          </cell>
          <cell r="R3689">
            <v>45726</v>
          </cell>
          <cell r="S3689">
            <v>207017</v>
          </cell>
        </row>
        <row r="3690">
          <cell r="K3690" t="str">
            <v>209004</v>
          </cell>
          <cell r="M3690">
            <v>1</v>
          </cell>
          <cell r="R3690">
            <v>45726</v>
          </cell>
          <cell r="S3690">
            <v>209004</v>
          </cell>
        </row>
        <row r="3691">
          <cell r="K3691" t="str">
            <v>228017</v>
          </cell>
          <cell r="M3691">
            <v>24</v>
          </cell>
          <cell r="R3691">
            <v>45726</v>
          </cell>
          <cell r="S3691">
            <v>228017</v>
          </cell>
        </row>
        <row r="3692">
          <cell r="K3692" t="str">
            <v>223002</v>
          </cell>
          <cell r="M3692">
            <v>4</v>
          </cell>
          <cell r="R3692">
            <v>45726</v>
          </cell>
          <cell r="S3692">
            <v>223002</v>
          </cell>
        </row>
        <row r="3693">
          <cell r="K3693" t="str">
            <v>228017</v>
          </cell>
          <cell r="M3693">
            <v>3</v>
          </cell>
          <cell r="R3693">
            <v>45726</v>
          </cell>
          <cell r="S3693">
            <v>228017</v>
          </cell>
        </row>
        <row r="3694">
          <cell r="K3694" t="str">
            <v>203001</v>
          </cell>
          <cell r="M3694">
            <v>1</v>
          </cell>
          <cell r="R3694">
            <v>45726</v>
          </cell>
          <cell r="S3694">
            <v>203001</v>
          </cell>
        </row>
        <row r="3695">
          <cell r="K3695" t="str">
            <v>201002</v>
          </cell>
          <cell r="M3695">
            <v>1</v>
          </cell>
          <cell r="R3695">
            <v>45726</v>
          </cell>
          <cell r="S3695">
            <v>201002</v>
          </cell>
        </row>
        <row r="3696">
          <cell r="K3696" t="str">
            <v>231012</v>
          </cell>
          <cell r="M3696">
            <v>3</v>
          </cell>
          <cell r="R3696">
            <v>45726</v>
          </cell>
          <cell r="S3696">
            <v>231012</v>
          </cell>
        </row>
        <row r="3697">
          <cell r="K3697" t="str">
            <v>231012</v>
          </cell>
          <cell r="M3697">
            <v>1</v>
          </cell>
          <cell r="R3697">
            <v>45726</v>
          </cell>
          <cell r="S3697">
            <v>231012</v>
          </cell>
        </row>
        <row r="3698">
          <cell r="K3698" t="str">
            <v>201011</v>
          </cell>
          <cell r="M3698">
            <v>2</v>
          </cell>
          <cell r="R3698">
            <v>45726</v>
          </cell>
          <cell r="S3698">
            <v>201011</v>
          </cell>
        </row>
        <row r="3699">
          <cell r="K3699" t="str">
            <v>226026</v>
          </cell>
          <cell r="M3699">
            <v>1</v>
          </cell>
          <cell r="R3699">
            <v>45726</v>
          </cell>
          <cell r="S3699">
            <v>226026</v>
          </cell>
        </row>
        <row r="3700">
          <cell r="K3700" t="str">
            <v>209004</v>
          </cell>
          <cell r="M3700">
            <v>1</v>
          </cell>
          <cell r="R3700">
            <v>45726</v>
          </cell>
          <cell r="S3700">
            <v>209004</v>
          </cell>
        </row>
        <row r="3701">
          <cell r="K3701" t="str">
            <v>226022</v>
          </cell>
          <cell r="M3701">
            <v>1</v>
          </cell>
          <cell r="R3701">
            <v>45726</v>
          </cell>
          <cell r="S3701">
            <v>226022</v>
          </cell>
        </row>
        <row r="3702">
          <cell r="K3702" t="str">
            <v>210014</v>
          </cell>
          <cell r="M3702">
            <v>1</v>
          </cell>
          <cell r="R3702">
            <v>45726</v>
          </cell>
          <cell r="S3702">
            <v>210014</v>
          </cell>
        </row>
        <row r="3703">
          <cell r="K3703" t="str">
            <v>241001</v>
          </cell>
          <cell r="M3703">
            <v>5</v>
          </cell>
          <cell r="R3703">
            <v>45726</v>
          </cell>
          <cell r="S3703">
            <v>241001</v>
          </cell>
        </row>
        <row r="3704">
          <cell r="K3704" t="str">
            <v>201011</v>
          </cell>
          <cell r="M3704">
            <v>1</v>
          </cell>
          <cell r="R3704">
            <v>45726</v>
          </cell>
          <cell r="S3704">
            <v>201011</v>
          </cell>
        </row>
        <row r="3705">
          <cell r="K3705" t="str">
            <v>223001</v>
          </cell>
          <cell r="M3705">
            <v>3</v>
          </cell>
          <cell r="R3705">
            <v>45726</v>
          </cell>
          <cell r="S3705">
            <v>223001</v>
          </cell>
        </row>
        <row r="3706">
          <cell r="K3706" t="str">
            <v>227002</v>
          </cell>
          <cell r="M3706">
            <v>1</v>
          </cell>
          <cell r="R3706">
            <v>45726</v>
          </cell>
          <cell r="S3706">
            <v>227002</v>
          </cell>
        </row>
        <row r="3707">
          <cell r="K3707" t="str">
            <v>228017</v>
          </cell>
          <cell r="M3707">
            <v>6</v>
          </cell>
          <cell r="R3707">
            <v>45726</v>
          </cell>
          <cell r="S3707">
            <v>228017</v>
          </cell>
        </row>
        <row r="3708">
          <cell r="K3708" t="str">
            <v>218003</v>
          </cell>
          <cell r="M3708">
            <v>1</v>
          </cell>
          <cell r="R3708">
            <v>45726</v>
          </cell>
          <cell r="S3708">
            <v>218003</v>
          </cell>
        </row>
        <row r="3709">
          <cell r="K3709" t="str">
            <v>206002</v>
          </cell>
          <cell r="M3709">
            <v>1</v>
          </cell>
          <cell r="R3709">
            <v>45726</v>
          </cell>
          <cell r="S3709">
            <v>206002</v>
          </cell>
        </row>
        <row r="3710">
          <cell r="K3710" t="str">
            <v>208001</v>
          </cell>
          <cell r="M3710">
            <v>1</v>
          </cell>
          <cell r="R3710">
            <v>45726</v>
          </cell>
          <cell r="S3710">
            <v>208001</v>
          </cell>
        </row>
        <row r="3711">
          <cell r="K3711" t="str">
            <v>228017</v>
          </cell>
          <cell r="M3711">
            <v>1</v>
          </cell>
          <cell r="R3711">
            <v>45726</v>
          </cell>
          <cell r="S3711">
            <v>228017</v>
          </cell>
        </row>
        <row r="3712">
          <cell r="K3712" t="str">
            <v>201011</v>
          </cell>
          <cell r="M3712">
            <v>36</v>
          </cell>
          <cell r="R3712">
            <v>45726</v>
          </cell>
          <cell r="S3712">
            <v>201011</v>
          </cell>
        </row>
        <row r="3713">
          <cell r="K3713" t="str">
            <v>229004</v>
          </cell>
          <cell r="M3713">
            <v>3</v>
          </cell>
          <cell r="R3713">
            <v>45726</v>
          </cell>
          <cell r="S3713">
            <v>229004</v>
          </cell>
        </row>
        <row r="3714">
          <cell r="K3714" t="str">
            <v>231012</v>
          </cell>
          <cell r="M3714">
            <v>8</v>
          </cell>
          <cell r="R3714">
            <v>45726</v>
          </cell>
          <cell r="S3714">
            <v>231012</v>
          </cell>
        </row>
        <row r="3715">
          <cell r="K3715" t="str">
            <v>222005</v>
          </cell>
          <cell r="M3715">
            <v>1</v>
          </cell>
          <cell r="R3715">
            <v>45726</v>
          </cell>
          <cell r="S3715">
            <v>222005</v>
          </cell>
        </row>
        <row r="3716">
          <cell r="K3716" t="str">
            <v>229004</v>
          </cell>
          <cell r="M3716">
            <v>1</v>
          </cell>
          <cell r="R3716">
            <v>45726</v>
          </cell>
          <cell r="S3716">
            <v>229004</v>
          </cell>
        </row>
        <row r="3717">
          <cell r="K3717" t="str">
            <v>228017</v>
          </cell>
          <cell r="M3717">
            <v>15</v>
          </cell>
          <cell r="R3717">
            <v>45726</v>
          </cell>
          <cell r="S3717">
            <v>228017</v>
          </cell>
        </row>
        <row r="3718">
          <cell r="K3718" t="str">
            <v>228017</v>
          </cell>
          <cell r="M3718">
            <v>5</v>
          </cell>
          <cell r="R3718">
            <v>45726</v>
          </cell>
          <cell r="S3718">
            <v>228017</v>
          </cell>
        </row>
        <row r="3719">
          <cell r="K3719" t="str">
            <v>241001</v>
          </cell>
          <cell r="M3719">
            <v>5</v>
          </cell>
          <cell r="R3719">
            <v>45726</v>
          </cell>
          <cell r="S3719">
            <v>241001</v>
          </cell>
        </row>
        <row r="3720">
          <cell r="K3720" t="str">
            <v>217018</v>
          </cell>
          <cell r="M3720">
            <v>10</v>
          </cell>
          <cell r="R3720">
            <v>45727</v>
          </cell>
          <cell r="S3720">
            <v>217018</v>
          </cell>
        </row>
        <row r="3721">
          <cell r="K3721" t="str">
            <v>228017</v>
          </cell>
          <cell r="M3721">
            <v>6</v>
          </cell>
          <cell r="R3721">
            <v>45727</v>
          </cell>
          <cell r="S3721">
            <v>228017</v>
          </cell>
        </row>
        <row r="3722">
          <cell r="K3722" t="str">
            <v>217018</v>
          </cell>
          <cell r="M3722">
            <v>1</v>
          </cell>
          <cell r="R3722">
            <v>45727</v>
          </cell>
          <cell r="S3722">
            <v>217018</v>
          </cell>
        </row>
        <row r="3723">
          <cell r="K3723" t="str">
            <v>217018</v>
          </cell>
          <cell r="M3723">
            <v>1</v>
          </cell>
          <cell r="R3723">
            <v>45727</v>
          </cell>
          <cell r="S3723">
            <v>217018</v>
          </cell>
        </row>
        <row r="3724">
          <cell r="K3724" t="str">
            <v>201011</v>
          </cell>
          <cell r="M3724">
            <v>3</v>
          </cell>
          <cell r="R3724">
            <v>45727</v>
          </cell>
          <cell r="S3724">
            <v>201011</v>
          </cell>
        </row>
        <row r="3725">
          <cell r="K3725" t="str">
            <v>217018</v>
          </cell>
          <cell r="M3725">
            <v>1</v>
          </cell>
          <cell r="R3725">
            <v>45727</v>
          </cell>
          <cell r="S3725">
            <v>217018</v>
          </cell>
        </row>
        <row r="3726">
          <cell r="K3726" t="str">
            <v>201011</v>
          </cell>
          <cell r="M3726">
            <v>2</v>
          </cell>
          <cell r="R3726">
            <v>45727</v>
          </cell>
          <cell r="S3726">
            <v>201011</v>
          </cell>
        </row>
        <row r="3727">
          <cell r="K3727" t="str">
            <v>217018</v>
          </cell>
          <cell r="M3727">
            <v>1</v>
          </cell>
          <cell r="R3727">
            <v>45727</v>
          </cell>
          <cell r="S3727">
            <v>217018</v>
          </cell>
        </row>
        <row r="3728">
          <cell r="K3728" t="str">
            <v>228017</v>
          </cell>
          <cell r="M3728">
            <v>3</v>
          </cell>
          <cell r="R3728">
            <v>45727</v>
          </cell>
          <cell r="S3728">
            <v>228017</v>
          </cell>
        </row>
        <row r="3729">
          <cell r="K3729" t="str">
            <v>201011</v>
          </cell>
          <cell r="M3729">
            <v>1</v>
          </cell>
          <cell r="R3729">
            <v>45727</v>
          </cell>
          <cell r="S3729">
            <v>201011</v>
          </cell>
        </row>
        <row r="3730">
          <cell r="K3730" t="str">
            <v>201011</v>
          </cell>
          <cell r="M3730">
            <v>3</v>
          </cell>
          <cell r="R3730">
            <v>45727</v>
          </cell>
          <cell r="S3730">
            <v>201011</v>
          </cell>
        </row>
        <row r="3731">
          <cell r="K3731" t="str">
            <v>210003</v>
          </cell>
          <cell r="M3731">
            <v>1</v>
          </cell>
          <cell r="R3731">
            <v>45727</v>
          </cell>
          <cell r="S3731">
            <v>210003</v>
          </cell>
        </row>
        <row r="3732">
          <cell r="K3732" t="str">
            <v>201011</v>
          </cell>
          <cell r="M3732">
            <v>1</v>
          </cell>
          <cell r="R3732">
            <v>45727</v>
          </cell>
          <cell r="S3732">
            <v>201011</v>
          </cell>
        </row>
        <row r="3733">
          <cell r="K3733" t="str">
            <v>301001</v>
          </cell>
          <cell r="M3733">
            <v>1</v>
          </cell>
          <cell r="R3733">
            <v>45727</v>
          </cell>
          <cell r="S3733">
            <v>301001</v>
          </cell>
        </row>
        <row r="3734">
          <cell r="K3734" t="str">
            <v>223001</v>
          </cell>
          <cell r="M3734">
            <v>2</v>
          </cell>
          <cell r="R3734">
            <v>45727</v>
          </cell>
          <cell r="S3734">
            <v>223001</v>
          </cell>
        </row>
        <row r="3735">
          <cell r="K3735" t="str">
            <v>201003</v>
          </cell>
          <cell r="M3735">
            <v>1</v>
          </cell>
          <cell r="R3735">
            <v>45727</v>
          </cell>
          <cell r="S3735">
            <v>201003</v>
          </cell>
        </row>
        <row r="3736">
          <cell r="K3736" t="str">
            <v>212035</v>
          </cell>
          <cell r="M3736">
            <v>1</v>
          </cell>
          <cell r="R3736">
            <v>45727</v>
          </cell>
          <cell r="S3736">
            <v>212035</v>
          </cell>
        </row>
        <row r="3737">
          <cell r="K3737" t="str">
            <v>202001</v>
          </cell>
          <cell r="M3737">
            <v>5</v>
          </cell>
          <cell r="R3737">
            <v>45727</v>
          </cell>
          <cell r="S3737">
            <v>202001</v>
          </cell>
        </row>
        <row r="3738">
          <cell r="K3738" t="str">
            <v>226001</v>
          </cell>
          <cell r="M3738">
            <v>1</v>
          </cell>
          <cell r="R3738">
            <v>45727</v>
          </cell>
          <cell r="S3738">
            <v>226001</v>
          </cell>
        </row>
        <row r="3739">
          <cell r="K3739" t="str">
            <v>229001</v>
          </cell>
          <cell r="M3739">
            <v>7</v>
          </cell>
          <cell r="R3739">
            <v>45727</v>
          </cell>
          <cell r="S3739">
            <v>229001</v>
          </cell>
        </row>
        <row r="3740">
          <cell r="K3740" t="str">
            <v>229001</v>
          </cell>
          <cell r="M3740">
            <v>1</v>
          </cell>
          <cell r="R3740">
            <v>45727</v>
          </cell>
          <cell r="S3740">
            <v>229001</v>
          </cell>
        </row>
        <row r="3741">
          <cell r="K3741" t="str">
            <v>229001</v>
          </cell>
          <cell r="M3741">
            <v>1</v>
          </cell>
          <cell r="R3741">
            <v>45727</v>
          </cell>
          <cell r="S3741">
            <v>229001</v>
          </cell>
        </row>
        <row r="3742">
          <cell r="K3742" t="str">
            <v>212035</v>
          </cell>
          <cell r="M3742">
            <v>14</v>
          </cell>
          <cell r="R3742">
            <v>45727</v>
          </cell>
          <cell r="S3742">
            <v>212035</v>
          </cell>
        </row>
        <row r="3743">
          <cell r="K3743" t="str">
            <v>201011</v>
          </cell>
          <cell r="M3743">
            <v>6</v>
          </cell>
          <cell r="R3743">
            <v>45727</v>
          </cell>
          <cell r="S3743">
            <v>201011</v>
          </cell>
        </row>
        <row r="3744">
          <cell r="K3744" t="str">
            <v>222001</v>
          </cell>
          <cell r="M3744">
            <v>1</v>
          </cell>
          <cell r="R3744">
            <v>45727</v>
          </cell>
          <cell r="S3744">
            <v>222001</v>
          </cell>
        </row>
        <row r="3745">
          <cell r="K3745" t="str">
            <v>212035</v>
          </cell>
          <cell r="M3745">
            <v>1</v>
          </cell>
          <cell r="R3745">
            <v>45727</v>
          </cell>
          <cell r="S3745">
            <v>212035</v>
          </cell>
        </row>
        <row r="3746">
          <cell r="K3746" t="str">
            <v>212035</v>
          </cell>
          <cell r="M3746">
            <v>1</v>
          </cell>
          <cell r="R3746">
            <v>45727</v>
          </cell>
          <cell r="S3746">
            <v>212035</v>
          </cell>
        </row>
        <row r="3747">
          <cell r="K3747" t="str">
            <v>226001</v>
          </cell>
          <cell r="M3747">
            <v>2</v>
          </cell>
          <cell r="R3747">
            <v>45727</v>
          </cell>
          <cell r="S3747">
            <v>226001</v>
          </cell>
        </row>
        <row r="3748">
          <cell r="K3748" t="str">
            <v>201004</v>
          </cell>
          <cell r="M3748">
            <v>1</v>
          </cell>
          <cell r="R3748">
            <v>45727</v>
          </cell>
          <cell r="S3748">
            <v>201004</v>
          </cell>
        </row>
        <row r="3749">
          <cell r="K3749" t="str">
            <v>226001</v>
          </cell>
          <cell r="M3749">
            <v>10</v>
          </cell>
          <cell r="R3749">
            <v>45727</v>
          </cell>
          <cell r="S3749">
            <v>226001</v>
          </cell>
        </row>
        <row r="3750">
          <cell r="K3750" t="str">
            <v>228017</v>
          </cell>
          <cell r="M3750">
            <v>1</v>
          </cell>
          <cell r="R3750">
            <v>45727</v>
          </cell>
          <cell r="S3750">
            <v>228017</v>
          </cell>
        </row>
        <row r="3751">
          <cell r="K3751" t="str">
            <v>201011</v>
          </cell>
          <cell r="M3751">
            <v>8</v>
          </cell>
          <cell r="R3751">
            <v>45727</v>
          </cell>
          <cell r="S3751">
            <v>201011</v>
          </cell>
        </row>
        <row r="3752">
          <cell r="K3752" t="str">
            <v>228017</v>
          </cell>
          <cell r="M3752">
            <v>3</v>
          </cell>
          <cell r="R3752">
            <v>45728</v>
          </cell>
          <cell r="S3752">
            <v>228017</v>
          </cell>
        </row>
        <row r="3753">
          <cell r="K3753" t="str">
            <v>228017</v>
          </cell>
          <cell r="M3753">
            <v>3</v>
          </cell>
          <cell r="R3753">
            <v>45728</v>
          </cell>
          <cell r="S3753">
            <v>228017</v>
          </cell>
        </row>
        <row r="3754">
          <cell r="K3754" t="str">
            <v>222001</v>
          </cell>
          <cell r="M3754">
            <v>10</v>
          </cell>
          <cell r="R3754">
            <v>45728</v>
          </cell>
          <cell r="S3754">
            <v>222001</v>
          </cell>
        </row>
        <row r="3755">
          <cell r="K3755" t="str">
            <v>201011</v>
          </cell>
          <cell r="M3755">
            <v>10</v>
          </cell>
          <cell r="R3755">
            <v>45728</v>
          </cell>
          <cell r="S3755">
            <v>201011</v>
          </cell>
        </row>
        <row r="3756">
          <cell r="K3756" t="str">
            <v>223001</v>
          </cell>
          <cell r="M3756">
            <v>3</v>
          </cell>
          <cell r="R3756">
            <v>45728</v>
          </cell>
          <cell r="S3756">
            <v>223001</v>
          </cell>
        </row>
        <row r="3757">
          <cell r="K3757" t="str">
            <v>223002</v>
          </cell>
          <cell r="M3757">
            <v>3</v>
          </cell>
          <cell r="R3757">
            <v>45728</v>
          </cell>
          <cell r="S3757">
            <v>223002</v>
          </cell>
        </row>
        <row r="3758">
          <cell r="K3758" t="str">
            <v>222001</v>
          </cell>
          <cell r="M3758">
            <v>3</v>
          </cell>
          <cell r="R3758">
            <v>45728</v>
          </cell>
          <cell r="S3758">
            <v>222001</v>
          </cell>
        </row>
        <row r="3759">
          <cell r="K3759" t="str">
            <v>234001</v>
          </cell>
          <cell r="M3759">
            <v>2</v>
          </cell>
          <cell r="R3759">
            <v>45728</v>
          </cell>
          <cell r="S3759">
            <v>234001</v>
          </cell>
        </row>
        <row r="3760">
          <cell r="K3760" t="str">
            <v>241002</v>
          </cell>
          <cell r="M3760">
            <v>1</v>
          </cell>
          <cell r="R3760">
            <v>45728</v>
          </cell>
          <cell r="S3760">
            <v>241002</v>
          </cell>
        </row>
        <row r="3761">
          <cell r="K3761" t="str">
            <v>223002</v>
          </cell>
          <cell r="M3761">
            <v>1</v>
          </cell>
          <cell r="R3761">
            <v>45728</v>
          </cell>
          <cell r="S3761">
            <v>223002</v>
          </cell>
        </row>
        <row r="3762">
          <cell r="K3762" t="str">
            <v>210001</v>
          </cell>
          <cell r="M3762">
            <v>1</v>
          </cell>
          <cell r="R3762">
            <v>45728</v>
          </cell>
          <cell r="S3762">
            <v>210001</v>
          </cell>
        </row>
        <row r="3763">
          <cell r="K3763" t="str">
            <v>223002</v>
          </cell>
          <cell r="M3763">
            <v>1</v>
          </cell>
          <cell r="R3763">
            <v>45728</v>
          </cell>
          <cell r="S3763">
            <v>223002</v>
          </cell>
        </row>
        <row r="3764">
          <cell r="K3764" t="str">
            <v>226001</v>
          </cell>
          <cell r="M3764">
            <v>5</v>
          </cell>
          <cell r="R3764">
            <v>45728</v>
          </cell>
          <cell r="S3764">
            <v>226001</v>
          </cell>
        </row>
        <row r="3765">
          <cell r="K3765" t="str">
            <v>203001</v>
          </cell>
          <cell r="M3765">
            <v>1</v>
          </cell>
          <cell r="R3765">
            <v>45728</v>
          </cell>
          <cell r="S3765">
            <v>203001</v>
          </cell>
        </row>
        <row r="3766">
          <cell r="K3766" t="str">
            <v>201011</v>
          </cell>
          <cell r="M3766">
            <v>72</v>
          </cell>
          <cell r="R3766">
            <v>45728</v>
          </cell>
          <cell r="S3766">
            <v>201011</v>
          </cell>
        </row>
        <row r="3767">
          <cell r="K3767" t="str">
            <v>201011</v>
          </cell>
          <cell r="M3767">
            <v>1</v>
          </cell>
          <cell r="R3767">
            <v>45728</v>
          </cell>
          <cell r="S3767">
            <v>201011</v>
          </cell>
        </row>
        <row r="3768">
          <cell r="K3768" t="str">
            <v>223002</v>
          </cell>
          <cell r="M3768">
            <v>4</v>
          </cell>
          <cell r="R3768">
            <v>45728</v>
          </cell>
          <cell r="S3768">
            <v>223002</v>
          </cell>
        </row>
        <row r="3769">
          <cell r="K3769" t="str">
            <v>227013</v>
          </cell>
          <cell r="M3769">
            <v>1</v>
          </cell>
          <cell r="R3769">
            <v>45728</v>
          </cell>
          <cell r="S3769">
            <v>227013</v>
          </cell>
        </row>
        <row r="3770">
          <cell r="K3770" t="str">
            <v>203003</v>
          </cell>
          <cell r="M3770">
            <v>2</v>
          </cell>
          <cell r="R3770">
            <v>45728</v>
          </cell>
          <cell r="S3770">
            <v>203003</v>
          </cell>
        </row>
        <row r="3771">
          <cell r="K3771" t="str">
            <v>212035</v>
          </cell>
          <cell r="M3771">
            <v>2</v>
          </cell>
          <cell r="R3771">
            <v>45728</v>
          </cell>
          <cell r="S3771">
            <v>212035</v>
          </cell>
        </row>
        <row r="3772">
          <cell r="K3772" t="str">
            <v>231012</v>
          </cell>
          <cell r="M3772">
            <v>12</v>
          </cell>
          <cell r="R3772">
            <v>45728</v>
          </cell>
          <cell r="S3772">
            <v>231012</v>
          </cell>
        </row>
        <row r="3773">
          <cell r="K3773" t="str">
            <v>217018</v>
          </cell>
          <cell r="M3773">
            <v>1</v>
          </cell>
          <cell r="R3773">
            <v>45728</v>
          </cell>
          <cell r="S3773">
            <v>217018</v>
          </cell>
        </row>
        <row r="3774">
          <cell r="K3774" t="str">
            <v>228001</v>
          </cell>
          <cell r="M3774">
            <v>15</v>
          </cell>
          <cell r="R3774">
            <v>45729</v>
          </cell>
          <cell r="S3774">
            <v>228001</v>
          </cell>
        </row>
        <row r="3775">
          <cell r="K3775" t="str">
            <v>203001</v>
          </cell>
          <cell r="M3775">
            <v>2</v>
          </cell>
          <cell r="R3775">
            <v>45729</v>
          </cell>
          <cell r="S3775">
            <v>203001</v>
          </cell>
        </row>
        <row r="3776">
          <cell r="K3776" t="str">
            <v>227012</v>
          </cell>
          <cell r="M3776">
            <v>1</v>
          </cell>
          <cell r="R3776">
            <v>45729</v>
          </cell>
          <cell r="S3776">
            <v>227012</v>
          </cell>
        </row>
        <row r="3777">
          <cell r="K3777" t="str">
            <v>201011</v>
          </cell>
          <cell r="M3777">
            <v>1</v>
          </cell>
          <cell r="R3777">
            <v>45729</v>
          </cell>
          <cell r="S3777">
            <v>201011</v>
          </cell>
        </row>
        <row r="3778">
          <cell r="K3778" t="str">
            <v>201003</v>
          </cell>
          <cell r="M3778">
            <v>1</v>
          </cell>
          <cell r="R3778">
            <v>45729</v>
          </cell>
          <cell r="S3778">
            <v>201003</v>
          </cell>
        </row>
        <row r="3779">
          <cell r="K3779" t="str">
            <v>209012</v>
          </cell>
          <cell r="M3779">
            <v>1</v>
          </cell>
          <cell r="R3779">
            <v>45728</v>
          </cell>
          <cell r="S3779">
            <v>209012</v>
          </cell>
        </row>
        <row r="3780">
          <cell r="K3780" t="str">
            <v>209004</v>
          </cell>
          <cell r="M3780">
            <v>3</v>
          </cell>
          <cell r="R3780">
            <v>45729</v>
          </cell>
          <cell r="S3780">
            <v>209004</v>
          </cell>
        </row>
        <row r="3781">
          <cell r="K3781" t="str">
            <v>231004</v>
          </cell>
          <cell r="M3781">
            <v>1</v>
          </cell>
          <cell r="R3781">
            <v>45729</v>
          </cell>
          <cell r="S3781">
            <v>231004</v>
          </cell>
        </row>
        <row r="3782">
          <cell r="K3782" t="str">
            <v>207017</v>
          </cell>
          <cell r="M3782">
            <v>1</v>
          </cell>
          <cell r="R3782">
            <v>45729</v>
          </cell>
          <cell r="S3782">
            <v>207017</v>
          </cell>
        </row>
        <row r="3783">
          <cell r="K3783" t="str">
            <v>217002</v>
          </cell>
          <cell r="M3783">
            <v>1</v>
          </cell>
          <cell r="R3783">
            <v>45729</v>
          </cell>
          <cell r="S3783">
            <v>217002</v>
          </cell>
        </row>
        <row r="3784">
          <cell r="K3784" t="str">
            <v>207017</v>
          </cell>
          <cell r="M3784">
            <v>1</v>
          </cell>
          <cell r="R3784">
            <v>45729</v>
          </cell>
          <cell r="S3784">
            <v>207017</v>
          </cell>
        </row>
        <row r="3785">
          <cell r="K3785" t="str">
            <v>231012</v>
          </cell>
          <cell r="M3785">
            <v>1</v>
          </cell>
          <cell r="R3785">
            <v>45729</v>
          </cell>
          <cell r="S3785">
            <v>231012</v>
          </cell>
        </row>
        <row r="3786">
          <cell r="K3786" t="str">
            <v>201011</v>
          </cell>
          <cell r="M3786">
            <v>36</v>
          </cell>
          <cell r="R3786">
            <v>45729</v>
          </cell>
          <cell r="S3786">
            <v>201011</v>
          </cell>
        </row>
        <row r="3787">
          <cell r="K3787" t="str">
            <v>201011</v>
          </cell>
          <cell r="M3787">
            <v>2</v>
          </cell>
          <cell r="R3787">
            <v>45729</v>
          </cell>
          <cell r="S3787">
            <v>201011</v>
          </cell>
        </row>
        <row r="3788">
          <cell r="K3788" t="str">
            <v>228017</v>
          </cell>
          <cell r="M3788">
            <v>5</v>
          </cell>
          <cell r="R3788">
            <v>45729</v>
          </cell>
          <cell r="S3788">
            <v>228017</v>
          </cell>
        </row>
        <row r="3789">
          <cell r="K3789" t="str">
            <v>207017</v>
          </cell>
          <cell r="M3789">
            <v>1</v>
          </cell>
          <cell r="R3789">
            <v>45729</v>
          </cell>
          <cell r="S3789">
            <v>207017</v>
          </cell>
        </row>
        <row r="3790">
          <cell r="K3790" t="str">
            <v>209004</v>
          </cell>
          <cell r="M3790">
            <v>1</v>
          </cell>
          <cell r="R3790">
            <v>45729</v>
          </cell>
          <cell r="S3790">
            <v>209004</v>
          </cell>
        </row>
        <row r="3791">
          <cell r="K3791" t="str">
            <v>237001</v>
          </cell>
          <cell r="M3791">
            <v>1</v>
          </cell>
          <cell r="R3791">
            <v>45729</v>
          </cell>
          <cell r="S3791">
            <v>237001</v>
          </cell>
        </row>
        <row r="3792">
          <cell r="K3792" t="str">
            <v>231012</v>
          </cell>
          <cell r="M3792">
            <v>18</v>
          </cell>
          <cell r="R3792">
            <v>45729</v>
          </cell>
          <cell r="S3792">
            <v>231012</v>
          </cell>
        </row>
        <row r="3793">
          <cell r="K3793" t="str">
            <v>227012</v>
          </cell>
          <cell r="M3793">
            <v>1</v>
          </cell>
          <cell r="R3793">
            <v>45729</v>
          </cell>
          <cell r="S3793">
            <v>227012</v>
          </cell>
        </row>
        <row r="3794">
          <cell r="K3794" t="str">
            <v>201011</v>
          </cell>
          <cell r="M3794">
            <v>4</v>
          </cell>
          <cell r="R3794">
            <v>45729</v>
          </cell>
          <cell r="S3794">
            <v>201011</v>
          </cell>
        </row>
        <row r="3795">
          <cell r="K3795" t="str">
            <v>231012</v>
          </cell>
          <cell r="M3795">
            <v>1</v>
          </cell>
          <cell r="R3795">
            <v>45729</v>
          </cell>
          <cell r="S3795">
            <v>231012</v>
          </cell>
        </row>
        <row r="3796">
          <cell r="K3796" t="str">
            <v>227001</v>
          </cell>
          <cell r="M3796">
            <v>2</v>
          </cell>
          <cell r="R3796">
            <v>45729</v>
          </cell>
          <cell r="S3796">
            <v>227001</v>
          </cell>
        </row>
        <row r="3797">
          <cell r="K3797" t="str">
            <v>223001</v>
          </cell>
          <cell r="M3797">
            <v>1</v>
          </cell>
          <cell r="R3797">
            <v>45729</v>
          </cell>
          <cell r="S3797">
            <v>223001</v>
          </cell>
        </row>
        <row r="3798">
          <cell r="K3798" t="str">
            <v>201011</v>
          </cell>
          <cell r="M3798">
            <v>1</v>
          </cell>
          <cell r="R3798">
            <v>45729</v>
          </cell>
          <cell r="S3798">
            <v>201011</v>
          </cell>
        </row>
        <row r="3799">
          <cell r="K3799" t="str">
            <v>226001</v>
          </cell>
          <cell r="M3799">
            <v>6</v>
          </cell>
          <cell r="R3799">
            <v>45729</v>
          </cell>
          <cell r="S3799">
            <v>226001</v>
          </cell>
        </row>
        <row r="3800">
          <cell r="K3800" t="str">
            <v>217018</v>
          </cell>
          <cell r="M3800">
            <v>1</v>
          </cell>
          <cell r="R3800">
            <v>45729</v>
          </cell>
          <cell r="S3800">
            <v>217018</v>
          </cell>
        </row>
        <row r="3801">
          <cell r="K3801" t="str">
            <v>226026</v>
          </cell>
          <cell r="M3801">
            <v>1</v>
          </cell>
          <cell r="R3801">
            <v>45729</v>
          </cell>
          <cell r="S3801">
            <v>226026</v>
          </cell>
        </row>
        <row r="3802">
          <cell r="K3802" t="str">
            <v>207002</v>
          </cell>
          <cell r="M3802">
            <v>1</v>
          </cell>
          <cell r="R3802">
            <v>45729</v>
          </cell>
          <cell r="S3802">
            <v>207002</v>
          </cell>
        </row>
        <row r="3803">
          <cell r="K3803" t="str">
            <v>231012</v>
          </cell>
          <cell r="M3803">
            <v>1</v>
          </cell>
          <cell r="R3803">
            <v>45729</v>
          </cell>
          <cell r="S3803">
            <v>231012</v>
          </cell>
        </row>
        <row r="3804">
          <cell r="K3804" t="str">
            <v>213002</v>
          </cell>
          <cell r="M3804">
            <v>2</v>
          </cell>
          <cell r="R3804">
            <v>45729</v>
          </cell>
          <cell r="S3804">
            <v>213002</v>
          </cell>
        </row>
        <row r="3805">
          <cell r="K3805" t="str">
            <v>201011</v>
          </cell>
          <cell r="M3805">
            <v>3</v>
          </cell>
          <cell r="R3805">
            <v>45729</v>
          </cell>
          <cell r="S3805">
            <v>201011</v>
          </cell>
        </row>
        <row r="3806">
          <cell r="K3806" t="str">
            <v>229001</v>
          </cell>
          <cell r="M3806">
            <v>22</v>
          </cell>
          <cell r="R3806">
            <v>45729</v>
          </cell>
          <cell r="S3806">
            <v>229001</v>
          </cell>
        </row>
        <row r="3807">
          <cell r="K3807" t="str">
            <v>228001</v>
          </cell>
          <cell r="M3807">
            <v>5</v>
          </cell>
          <cell r="R3807">
            <v>45729</v>
          </cell>
          <cell r="S3807">
            <v>228001</v>
          </cell>
        </row>
        <row r="3808">
          <cell r="K3808" t="str">
            <v>201011</v>
          </cell>
          <cell r="M3808">
            <v>1</v>
          </cell>
          <cell r="R3808">
            <v>45729</v>
          </cell>
          <cell r="S3808">
            <v>201011</v>
          </cell>
        </row>
        <row r="3809">
          <cell r="K3809" t="str">
            <v>228017</v>
          </cell>
          <cell r="M3809">
            <v>2</v>
          </cell>
          <cell r="R3809">
            <v>45729</v>
          </cell>
          <cell r="S3809">
            <v>228017</v>
          </cell>
        </row>
        <row r="3810">
          <cell r="K3810" t="str">
            <v>201011</v>
          </cell>
          <cell r="M3810">
            <v>36</v>
          </cell>
          <cell r="R3810">
            <v>45729</v>
          </cell>
          <cell r="S3810">
            <v>201011</v>
          </cell>
        </row>
        <row r="3811">
          <cell r="K3811" t="str">
            <v>201003</v>
          </cell>
          <cell r="M3811">
            <v>6</v>
          </cell>
          <cell r="R3811">
            <v>45729</v>
          </cell>
          <cell r="S3811">
            <v>201003</v>
          </cell>
        </row>
        <row r="3812">
          <cell r="K3812" t="str">
            <v>223017</v>
          </cell>
          <cell r="M3812">
            <v>4</v>
          </cell>
          <cell r="R3812">
            <v>45729</v>
          </cell>
          <cell r="S3812">
            <v>223017</v>
          </cell>
        </row>
        <row r="3813">
          <cell r="K3813" t="str">
            <v>218001</v>
          </cell>
          <cell r="M3813">
            <v>1</v>
          </cell>
          <cell r="R3813">
            <v>45729</v>
          </cell>
          <cell r="S3813">
            <v>218001</v>
          </cell>
        </row>
        <row r="3814">
          <cell r="K3814" t="str">
            <v>203003</v>
          </cell>
          <cell r="M3814">
            <v>1</v>
          </cell>
          <cell r="R3814">
            <v>45729</v>
          </cell>
          <cell r="S3814">
            <v>203003</v>
          </cell>
        </row>
        <row r="3815">
          <cell r="K3815" t="str">
            <v>201011</v>
          </cell>
          <cell r="M3815">
            <v>1</v>
          </cell>
          <cell r="R3815">
            <v>45729</v>
          </cell>
          <cell r="S3815">
            <v>201011</v>
          </cell>
        </row>
        <row r="3816">
          <cell r="K3816" t="str">
            <v>223003</v>
          </cell>
          <cell r="M3816">
            <v>5</v>
          </cell>
          <cell r="R3816">
            <v>45729</v>
          </cell>
          <cell r="S3816">
            <v>223003</v>
          </cell>
        </row>
        <row r="3817">
          <cell r="K3817" t="str">
            <v>241001</v>
          </cell>
          <cell r="M3817">
            <v>5</v>
          </cell>
          <cell r="R3817">
            <v>45729</v>
          </cell>
          <cell r="S3817">
            <v>241001</v>
          </cell>
        </row>
        <row r="3818">
          <cell r="K3818" t="str">
            <v>217002</v>
          </cell>
          <cell r="M3818">
            <v>1</v>
          </cell>
          <cell r="R3818">
            <v>45729</v>
          </cell>
          <cell r="S3818">
            <v>217002</v>
          </cell>
        </row>
        <row r="3819">
          <cell r="K3819" t="str">
            <v>201003</v>
          </cell>
          <cell r="M3819">
            <v>4</v>
          </cell>
          <cell r="R3819">
            <v>45729</v>
          </cell>
          <cell r="S3819">
            <v>201003</v>
          </cell>
        </row>
        <row r="3820">
          <cell r="K3820" t="str">
            <v>201004</v>
          </cell>
          <cell r="M3820">
            <v>1</v>
          </cell>
          <cell r="R3820">
            <v>45729</v>
          </cell>
          <cell r="S3820">
            <v>201004</v>
          </cell>
        </row>
        <row r="3821">
          <cell r="K3821" t="str">
            <v>217011</v>
          </cell>
          <cell r="M3821">
            <v>2</v>
          </cell>
          <cell r="R3821">
            <v>45729</v>
          </cell>
          <cell r="S3821">
            <v>217011</v>
          </cell>
        </row>
        <row r="3822">
          <cell r="K3822" t="str">
            <v>217002</v>
          </cell>
          <cell r="M3822">
            <v>1</v>
          </cell>
          <cell r="R3822">
            <v>45729</v>
          </cell>
          <cell r="S3822">
            <v>217002</v>
          </cell>
        </row>
        <row r="3823">
          <cell r="K3823" t="str">
            <v>217002</v>
          </cell>
          <cell r="M3823">
            <v>1</v>
          </cell>
          <cell r="R3823">
            <v>45729</v>
          </cell>
          <cell r="S3823">
            <v>217002</v>
          </cell>
        </row>
        <row r="3824">
          <cell r="K3824" t="str">
            <v>226023</v>
          </cell>
          <cell r="M3824">
            <v>1</v>
          </cell>
          <cell r="R3824">
            <v>45729</v>
          </cell>
          <cell r="S3824">
            <v>226023</v>
          </cell>
        </row>
        <row r="3825">
          <cell r="K3825" t="str">
            <v>210010</v>
          </cell>
          <cell r="M3825">
            <v>2</v>
          </cell>
          <cell r="R3825">
            <v>45729</v>
          </cell>
          <cell r="S3825">
            <v>210010</v>
          </cell>
        </row>
        <row r="3826">
          <cell r="K3826" t="str">
            <v>228017</v>
          </cell>
          <cell r="M3826">
            <v>10</v>
          </cell>
          <cell r="R3826">
            <v>45729</v>
          </cell>
          <cell r="S3826">
            <v>228017</v>
          </cell>
        </row>
        <row r="3827">
          <cell r="K3827" t="str">
            <v>201011</v>
          </cell>
          <cell r="M3827">
            <v>3</v>
          </cell>
          <cell r="R3827">
            <v>45729</v>
          </cell>
          <cell r="S3827">
            <v>201011</v>
          </cell>
        </row>
        <row r="3828">
          <cell r="K3828" t="str">
            <v>222001</v>
          </cell>
          <cell r="M3828">
            <v>1</v>
          </cell>
          <cell r="R3828">
            <v>45729</v>
          </cell>
          <cell r="S3828">
            <v>222001</v>
          </cell>
        </row>
        <row r="3829">
          <cell r="K3829" t="str">
            <v>226026</v>
          </cell>
          <cell r="M3829">
            <v>1</v>
          </cell>
          <cell r="R3829">
            <v>45729</v>
          </cell>
          <cell r="S3829">
            <v>226026</v>
          </cell>
        </row>
        <row r="3830">
          <cell r="K3830" t="str">
            <v>201011</v>
          </cell>
          <cell r="M3830">
            <v>2</v>
          </cell>
          <cell r="R3830">
            <v>45729</v>
          </cell>
          <cell r="S3830">
            <v>201011</v>
          </cell>
        </row>
        <row r="3831">
          <cell r="K3831" t="str">
            <v>241001</v>
          </cell>
          <cell r="M3831">
            <v>3</v>
          </cell>
          <cell r="R3831">
            <v>45729</v>
          </cell>
          <cell r="S3831">
            <v>241001</v>
          </cell>
        </row>
        <row r="3832">
          <cell r="K3832" t="str">
            <v>212035</v>
          </cell>
          <cell r="M3832">
            <v>5</v>
          </cell>
          <cell r="R3832">
            <v>45729</v>
          </cell>
          <cell r="S3832">
            <v>212035</v>
          </cell>
        </row>
        <row r="3833">
          <cell r="K3833" t="str">
            <v>223002</v>
          </cell>
          <cell r="M3833">
            <v>2</v>
          </cell>
          <cell r="R3833">
            <v>45729</v>
          </cell>
          <cell r="S3833">
            <v>223002</v>
          </cell>
        </row>
        <row r="3834">
          <cell r="K3834" t="str">
            <v>222001</v>
          </cell>
          <cell r="M3834">
            <v>3</v>
          </cell>
          <cell r="R3834">
            <v>45729</v>
          </cell>
          <cell r="S3834">
            <v>222001</v>
          </cell>
        </row>
        <row r="3835">
          <cell r="K3835" t="str">
            <v>241001</v>
          </cell>
          <cell r="M3835">
            <v>3</v>
          </cell>
          <cell r="R3835">
            <v>45729</v>
          </cell>
          <cell r="S3835">
            <v>241001</v>
          </cell>
        </row>
        <row r="3836">
          <cell r="K3836" t="str">
            <v>210013</v>
          </cell>
          <cell r="M3836">
            <v>1</v>
          </cell>
          <cell r="R3836">
            <v>45730</v>
          </cell>
          <cell r="S3836">
            <v>210013</v>
          </cell>
        </row>
        <row r="3837">
          <cell r="K3837" t="str">
            <v>201011</v>
          </cell>
          <cell r="M3837">
            <v>2</v>
          </cell>
          <cell r="R3837">
            <v>45729</v>
          </cell>
          <cell r="S3837">
            <v>201011</v>
          </cell>
        </row>
        <row r="3838">
          <cell r="K3838" t="str">
            <v>217018</v>
          </cell>
          <cell r="M3838">
            <v>1</v>
          </cell>
          <cell r="R3838">
            <v>45729</v>
          </cell>
          <cell r="S3838">
            <v>217018</v>
          </cell>
        </row>
        <row r="3839">
          <cell r="K3839" t="str">
            <v>241001</v>
          </cell>
          <cell r="M3839">
            <v>4</v>
          </cell>
          <cell r="R3839">
            <v>45729</v>
          </cell>
          <cell r="S3839">
            <v>241001</v>
          </cell>
        </row>
        <row r="3840">
          <cell r="K3840" t="str">
            <v>223002</v>
          </cell>
          <cell r="M3840">
            <v>6</v>
          </cell>
          <cell r="R3840">
            <v>45730</v>
          </cell>
          <cell r="S3840">
            <v>223002</v>
          </cell>
        </row>
        <row r="3841">
          <cell r="K3841" t="str">
            <v>210013</v>
          </cell>
          <cell r="M3841">
            <v>16</v>
          </cell>
          <cell r="R3841">
            <v>45729</v>
          </cell>
          <cell r="S3841">
            <v>210013</v>
          </cell>
        </row>
        <row r="3842">
          <cell r="K3842" t="str">
            <v>217002</v>
          </cell>
          <cell r="M3842">
            <v>1</v>
          </cell>
          <cell r="R3842">
            <v>45730</v>
          </cell>
          <cell r="S3842">
            <v>217002</v>
          </cell>
        </row>
        <row r="3843">
          <cell r="K3843" t="str">
            <v>217018</v>
          </cell>
          <cell r="M3843">
            <v>1</v>
          </cell>
          <cell r="R3843">
            <v>45729</v>
          </cell>
          <cell r="S3843">
            <v>217018</v>
          </cell>
        </row>
        <row r="3844">
          <cell r="K3844" t="str">
            <v>241001</v>
          </cell>
          <cell r="M3844">
            <v>4</v>
          </cell>
          <cell r="R3844">
            <v>45729</v>
          </cell>
          <cell r="S3844">
            <v>241001</v>
          </cell>
        </row>
        <row r="3845">
          <cell r="K3845" t="str">
            <v>201011</v>
          </cell>
          <cell r="M3845">
            <v>6</v>
          </cell>
          <cell r="R3845">
            <v>45730</v>
          </cell>
          <cell r="S3845">
            <v>201011</v>
          </cell>
        </row>
        <row r="3846">
          <cell r="K3846" t="str">
            <v>201011</v>
          </cell>
          <cell r="M3846">
            <v>3</v>
          </cell>
          <cell r="R3846">
            <v>45732</v>
          </cell>
          <cell r="S3846">
            <v>201011</v>
          </cell>
        </row>
        <row r="3847">
          <cell r="K3847" t="str">
            <v>222001</v>
          </cell>
          <cell r="M3847">
            <v>1</v>
          </cell>
          <cell r="R3847">
            <v>45732</v>
          </cell>
          <cell r="S3847">
            <v>222001</v>
          </cell>
        </row>
        <row r="3848">
          <cell r="K3848" t="str">
            <v>203003</v>
          </cell>
          <cell r="M3848">
            <v>1</v>
          </cell>
          <cell r="R3848">
            <v>45732</v>
          </cell>
          <cell r="S3848">
            <v>203003</v>
          </cell>
        </row>
        <row r="3849">
          <cell r="K3849" t="str">
            <v>228017</v>
          </cell>
          <cell r="M3849">
            <v>8</v>
          </cell>
          <cell r="R3849">
            <v>45732</v>
          </cell>
          <cell r="S3849">
            <v>228017</v>
          </cell>
        </row>
        <row r="3850">
          <cell r="K3850" t="str">
            <v>203001</v>
          </cell>
          <cell r="M3850">
            <v>2</v>
          </cell>
          <cell r="R3850">
            <v>45732</v>
          </cell>
          <cell r="S3850">
            <v>203001</v>
          </cell>
        </row>
        <row r="3851">
          <cell r="K3851" t="str">
            <v>231012</v>
          </cell>
          <cell r="M3851">
            <v>6</v>
          </cell>
          <cell r="R3851">
            <v>45732</v>
          </cell>
          <cell r="S3851">
            <v>231012</v>
          </cell>
        </row>
        <row r="3852">
          <cell r="K3852" t="str">
            <v>201011</v>
          </cell>
          <cell r="M3852">
            <v>1</v>
          </cell>
          <cell r="R3852">
            <v>45732</v>
          </cell>
          <cell r="S3852">
            <v>201011</v>
          </cell>
        </row>
        <row r="3853">
          <cell r="K3853" t="str">
            <v>223001</v>
          </cell>
          <cell r="M3853">
            <v>10</v>
          </cell>
          <cell r="R3853">
            <v>45732</v>
          </cell>
          <cell r="S3853">
            <v>223001</v>
          </cell>
        </row>
        <row r="3854">
          <cell r="K3854" t="str">
            <v>227012</v>
          </cell>
          <cell r="M3854">
            <v>1</v>
          </cell>
          <cell r="R3854">
            <v>45732</v>
          </cell>
          <cell r="S3854">
            <v>227012</v>
          </cell>
        </row>
        <row r="3855">
          <cell r="K3855" t="str">
            <v>209022</v>
          </cell>
          <cell r="M3855">
            <v>6</v>
          </cell>
          <cell r="R3855">
            <v>45732</v>
          </cell>
          <cell r="S3855">
            <v>209022</v>
          </cell>
        </row>
        <row r="3856">
          <cell r="K3856" t="str">
            <v>223001</v>
          </cell>
          <cell r="M3856">
            <v>6</v>
          </cell>
          <cell r="R3856">
            <v>45733</v>
          </cell>
          <cell r="S3856">
            <v>223001</v>
          </cell>
        </row>
        <row r="3857">
          <cell r="K3857" t="str">
            <v>223002</v>
          </cell>
          <cell r="M3857">
            <v>2</v>
          </cell>
          <cell r="R3857">
            <v>45733</v>
          </cell>
          <cell r="S3857">
            <v>223002</v>
          </cell>
        </row>
        <row r="3858">
          <cell r="K3858" t="str">
            <v>271002</v>
          </cell>
          <cell r="M3858">
            <v>1</v>
          </cell>
          <cell r="R3858">
            <v>45733</v>
          </cell>
          <cell r="S3858">
            <v>271002</v>
          </cell>
        </row>
        <row r="3859">
          <cell r="K3859" t="str">
            <v>227012</v>
          </cell>
          <cell r="M3859">
            <v>1</v>
          </cell>
          <cell r="R3859">
            <v>45733</v>
          </cell>
          <cell r="S3859">
            <v>227012</v>
          </cell>
        </row>
        <row r="3860">
          <cell r="K3860" t="str">
            <v>209001</v>
          </cell>
          <cell r="M3860">
            <v>1</v>
          </cell>
          <cell r="R3860">
            <v>45733</v>
          </cell>
          <cell r="S3860">
            <v>209001</v>
          </cell>
        </row>
        <row r="3861">
          <cell r="K3861" t="str">
            <v>228017</v>
          </cell>
          <cell r="M3861">
            <v>14</v>
          </cell>
          <cell r="R3861">
            <v>45733</v>
          </cell>
          <cell r="S3861">
            <v>228017</v>
          </cell>
        </row>
        <row r="3862">
          <cell r="K3862" t="str">
            <v>226023</v>
          </cell>
          <cell r="M3862">
            <v>1</v>
          </cell>
          <cell r="R3862">
            <v>45733</v>
          </cell>
          <cell r="S3862">
            <v>226023</v>
          </cell>
        </row>
        <row r="3863">
          <cell r="K3863" t="str">
            <v>209001</v>
          </cell>
          <cell r="M3863">
            <v>1</v>
          </cell>
          <cell r="R3863">
            <v>45733</v>
          </cell>
          <cell r="S3863">
            <v>209001</v>
          </cell>
        </row>
        <row r="3864">
          <cell r="K3864" t="str">
            <v>201002</v>
          </cell>
          <cell r="M3864">
            <v>1</v>
          </cell>
          <cell r="R3864">
            <v>45733</v>
          </cell>
          <cell r="S3864">
            <v>201002</v>
          </cell>
        </row>
        <row r="3865">
          <cell r="K3865" t="str">
            <v>207017</v>
          </cell>
          <cell r="M3865">
            <v>3</v>
          </cell>
          <cell r="R3865">
            <v>45733</v>
          </cell>
          <cell r="S3865">
            <v>207017</v>
          </cell>
        </row>
        <row r="3866">
          <cell r="K3866" t="str">
            <v>217018</v>
          </cell>
          <cell r="M3866">
            <v>1</v>
          </cell>
          <cell r="R3866">
            <v>45733</v>
          </cell>
          <cell r="S3866">
            <v>217018</v>
          </cell>
        </row>
        <row r="3867">
          <cell r="K3867" t="str">
            <v>228001</v>
          </cell>
          <cell r="M3867">
            <v>6</v>
          </cell>
          <cell r="R3867">
            <v>45733</v>
          </cell>
          <cell r="S3867">
            <v>228001</v>
          </cell>
        </row>
        <row r="3868">
          <cell r="K3868" t="str">
            <v>201011</v>
          </cell>
          <cell r="M3868">
            <v>1</v>
          </cell>
          <cell r="R3868">
            <v>45733</v>
          </cell>
          <cell r="S3868">
            <v>201011</v>
          </cell>
        </row>
        <row r="3869">
          <cell r="K3869" t="str">
            <v>201011</v>
          </cell>
          <cell r="M3869">
            <v>1</v>
          </cell>
          <cell r="R3869">
            <v>45733</v>
          </cell>
          <cell r="S3869">
            <v>201011</v>
          </cell>
        </row>
        <row r="3870">
          <cell r="K3870" t="str">
            <v>222001</v>
          </cell>
          <cell r="M3870">
            <v>1</v>
          </cell>
          <cell r="R3870">
            <v>45733</v>
          </cell>
          <cell r="S3870">
            <v>222001</v>
          </cell>
        </row>
        <row r="3871">
          <cell r="K3871" t="str">
            <v>223002</v>
          </cell>
          <cell r="M3871">
            <v>2</v>
          </cell>
          <cell r="R3871">
            <v>45733</v>
          </cell>
          <cell r="S3871">
            <v>223002</v>
          </cell>
        </row>
        <row r="3872">
          <cell r="K3872" t="str">
            <v>227012</v>
          </cell>
          <cell r="M3872">
            <v>1</v>
          </cell>
          <cell r="R3872">
            <v>45733</v>
          </cell>
          <cell r="S3872">
            <v>227012</v>
          </cell>
        </row>
        <row r="3873">
          <cell r="K3873" t="str">
            <v>203003</v>
          </cell>
          <cell r="M3873">
            <v>6</v>
          </cell>
          <cell r="R3873">
            <v>45733</v>
          </cell>
          <cell r="S3873">
            <v>203003</v>
          </cell>
        </row>
        <row r="3874">
          <cell r="K3874" t="str">
            <v>229004</v>
          </cell>
          <cell r="M3874">
            <v>4</v>
          </cell>
          <cell r="R3874">
            <v>45733</v>
          </cell>
          <cell r="S3874">
            <v>229004</v>
          </cell>
        </row>
        <row r="3875">
          <cell r="K3875" t="str">
            <v>227001</v>
          </cell>
          <cell r="M3875">
            <v>5</v>
          </cell>
          <cell r="R3875">
            <v>45733</v>
          </cell>
          <cell r="S3875">
            <v>227001</v>
          </cell>
        </row>
        <row r="3876">
          <cell r="K3876" t="str">
            <v>221001</v>
          </cell>
          <cell r="M3876">
            <v>2</v>
          </cell>
          <cell r="R3876">
            <v>45733</v>
          </cell>
          <cell r="S3876">
            <v>221001</v>
          </cell>
        </row>
        <row r="3877">
          <cell r="K3877" t="str">
            <v>228001</v>
          </cell>
          <cell r="M3877">
            <v>4</v>
          </cell>
          <cell r="R3877">
            <v>45733</v>
          </cell>
          <cell r="S3877">
            <v>228001</v>
          </cell>
        </row>
        <row r="3878">
          <cell r="K3878" t="str">
            <v>201011</v>
          </cell>
          <cell r="M3878">
            <v>6</v>
          </cell>
          <cell r="R3878">
            <v>45733</v>
          </cell>
          <cell r="S3878">
            <v>201011</v>
          </cell>
        </row>
        <row r="3879">
          <cell r="K3879" t="str">
            <v>217011</v>
          </cell>
          <cell r="M3879">
            <v>20</v>
          </cell>
          <cell r="R3879">
            <v>45733</v>
          </cell>
          <cell r="S3879">
            <v>217011</v>
          </cell>
        </row>
        <row r="3880">
          <cell r="K3880" t="str">
            <v>223001</v>
          </cell>
          <cell r="M3880">
            <v>8</v>
          </cell>
          <cell r="R3880">
            <v>45733</v>
          </cell>
          <cell r="S3880">
            <v>223001</v>
          </cell>
        </row>
        <row r="3881">
          <cell r="K3881" t="str">
            <v>231012</v>
          </cell>
          <cell r="M3881">
            <v>1</v>
          </cell>
          <cell r="R3881">
            <v>45733</v>
          </cell>
          <cell r="S3881">
            <v>231012</v>
          </cell>
        </row>
        <row r="3882">
          <cell r="K3882" t="str">
            <v>227001</v>
          </cell>
          <cell r="M3882">
            <v>2</v>
          </cell>
          <cell r="R3882">
            <v>45733</v>
          </cell>
          <cell r="S3882">
            <v>227001</v>
          </cell>
        </row>
        <row r="3883">
          <cell r="K3883" t="str">
            <v>207002</v>
          </cell>
          <cell r="M3883">
            <v>1</v>
          </cell>
          <cell r="R3883">
            <v>45733</v>
          </cell>
          <cell r="S3883">
            <v>207002</v>
          </cell>
        </row>
        <row r="3884">
          <cell r="K3884" t="str">
            <v>201011</v>
          </cell>
          <cell r="M3884">
            <v>2</v>
          </cell>
          <cell r="R3884">
            <v>45733</v>
          </cell>
          <cell r="S3884">
            <v>201011</v>
          </cell>
        </row>
        <row r="3885">
          <cell r="K3885" t="str">
            <v>206002</v>
          </cell>
          <cell r="M3885">
            <v>1</v>
          </cell>
          <cell r="R3885">
            <v>45733</v>
          </cell>
          <cell r="S3885">
            <v>206002</v>
          </cell>
        </row>
        <row r="3886">
          <cell r="K3886" t="str">
            <v>208001</v>
          </cell>
          <cell r="M3886">
            <v>1</v>
          </cell>
          <cell r="R3886">
            <v>45733</v>
          </cell>
          <cell r="S3886">
            <v>208001</v>
          </cell>
        </row>
        <row r="3887">
          <cell r="K3887" t="str">
            <v>218001</v>
          </cell>
          <cell r="M3887">
            <v>1</v>
          </cell>
          <cell r="R3887">
            <v>45733</v>
          </cell>
          <cell r="S3887">
            <v>218001</v>
          </cell>
        </row>
        <row r="3888">
          <cell r="K3888" t="str">
            <v>206005</v>
          </cell>
          <cell r="M3888">
            <v>1</v>
          </cell>
          <cell r="R3888">
            <v>45733</v>
          </cell>
          <cell r="S3888">
            <v>206005</v>
          </cell>
        </row>
        <row r="3889">
          <cell r="K3889" t="str">
            <v>208001</v>
          </cell>
          <cell r="M3889">
            <v>2</v>
          </cell>
          <cell r="R3889">
            <v>45733</v>
          </cell>
          <cell r="S3889">
            <v>208001</v>
          </cell>
        </row>
        <row r="3890">
          <cell r="K3890" t="str">
            <v>203004</v>
          </cell>
          <cell r="M3890">
            <v>1</v>
          </cell>
          <cell r="R3890">
            <v>45733</v>
          </cell>
          <cell r="S3890">
            <v>203004</v>
          </cell>
        </row>
        <row r="3891">
          <cell r="K3891" t="str">
            <v>218001</v>
          </cell>
          <cell r="M3891">
            <v>1</v>
          </cell>
          <cell r="R3891">
            <v>45733</v>
          </cell>
          <cell r="S3891">
            <v>218001</v>
          </cell>
        </row>
        <row r="3892">
          <cell r="K3892" t="str">
            <v>231012</v>
          </cell>
          <cell r="M3892">
            <v>1</v>
          </cell>
          <cell r="R3892">
            <v>45733</v>
          </cell>
          <cell r="S3892">
            <v>231012</v>
          </cell>
        </row>
        <row r="3893">
          <cell r="K3893" t="str">
            <v>231012</v>
          </cell>
          <cell r="M3893">
            <v>3</v>
          </cell>
          <cell r="R3893">
            <v>45733</v>
          </cell>
          <cell r="S3893">
            <v>231012</v>
          </cell>
        </row>
        <row r="3894">
          <cell r="K3894" t="str">
            <v>203003</v>
          </cell>
          <cell r="M3894">
            <v>1</v>
          </cell>
          <cell r="R3894">
            <v>45733</v>
          </cell>
          <cell r="S3894">
            <v>203003</v>
          </cell>
        </row>
        <row r="3895">
          <cell r="K3895" t="str">
            <v>207002</v>
          </cell>
          <cell r="M3895">
            <v>1</v>
          </cell>
          <cell r="R3895">
            <v>45733</v>
          </cell>
          <cell r="S3895">
            <v>207002</v>
          </cell>
        </row>
        <row r="3896">
          <cell r="K3896" t="str">
            <v>207002</v>
          </cell>
          <cell r="M3896">
            <v>1</v>
          </cell>
          <cell r="R3896">
            <v>45733</v>
          </cell>
          <cell r="S3896">
            <v>207002</v>
          </cell>
        </row>
        <row r="3897">
          <cell r="K3897" t="str">
            <v>201011</v>
          </cell>
          <cell r="M3897">
            <v>6</v>
          </cell>
          <cell r="R3897">
            <v>45733</v>
          </cell>
          <cell r="S3897">
            <v>201011</v>
          </cell>
        </row>
        <row r="3898">
          <cell r="K3898" t="str">
            <v>201004</v>
          </cell>
          <cell r="M3898">
            <v>1</v>
          </cell>
          <cell r="R3898">
            <v>45733</v>
          </cell>
          <cell r="S3898">
            <v>201004</v>
          </cell>
        </row>
        <row r="3899">
          <cell r="K3899" t="str">
            <v>201009</v>
          </cell>
          <cell r="M3899">
            <v>3</v>
          </cell>
          <cell r="R3899">
            <v>45733</v>
          </cell>
          <cell r="S3899">
            <v>201009</v>
          </cell>
        </row>
        <row r="3900">
          <cell r="K3900" t="str">
            <v>237001</v>
          </cell>
          <cell r="M3900">
            <v>1</v>
          </cell>
          <cell r="R3900">
            <v>45733</v>
          </cell>
          <cell r="S3900">
            <v>237001</v>
          </cell>
        </row>
        <row r="3901">
          <cell r="K3901" t="str">
            <v>201005</v>
          </cell>
          <cell r="M3901">
            <v>2</v>
          </cell>
          <cell r="R3901">
            <v>45733</v>
          </cell>
          <cell r="S3901">
            <v>201005</v>
          </cell>
        </row>
        <row r="3902">
          <cell r="K3902" t="str">
            <v>201003</v>
          </cell>
          <cell r="M3902">
            <v>3</v>
          </cell>
          <cell r="R3902">
            <v>45733</v>
          </cell>
          <cell r="S3902">
            <v>201003</v>
          </cell>
        </row>
        <row r="3903">
          <cell r="K3903" t="str">
            <v>237001</v>
          </cell>
          <cell r="M3903">
            <v>1</v>
          </cell>
          <cell r="R3903">
            <v>45733</v>
          </cell>
          <cell r="S3903">
            <v>237001</v>
          </cell>
        </row>
        <row r="3904">
          <cell r="K3904" t="str">
            <v>201005</v>
          </cell>
          <cell r="M3904">
            <v>2</v>
          </cell>
          <cell r="R3904">
            <v>45733</v>
          </cell>
          <cell r="S3904">
            <v>201005</v>
          </cell>
        </row>
        <row r="3905">
          <cell r="K3905" t="str">
            <v>201002</v>
          </cell>
          <cell r="M3905">
            <v>4</v>
          </cell>
          <cell r="R3905">
            <v>45733</v>
          </cell>
          <cell r="S3905">
            <v>201002</v>
          </cell>
        </row>
        <row r="3906">
          <cell r="K3906" t="str">
            <v>217018</v>
          </cell>
          <cell r="M3906">
            <v>3</v>
          </cell>
          <cell r="R3906">
            <v>45733</v>
          </cell>
          <cell r="S3906">
            <v>217018</v>
          </cell>
        </row>
        <row r="3907">
          <cell r="K3907" t="str">
            <v>201011</v>
          </cell>
          <cell r="M3907">
            <v>3</v>
          </cell>
          <cell r="R3907">
            <v>45733</v>
          </cell>
          <cell r="S3907">
            <v>201011</v>
          </cell>
        </row>
        <row r="3908">
          <cell r="K3908" t="str">
            <v>203003</v>
          </cell>
          <cell r="M3908">
            <v>1</v>
          </cell>
          <cell r="R3908">
            <v>45733</v>
          </cell>
          <cell r="S3908">
            <v>203003</v>
          </cell>
        </row>
        <row r="3909">
          <cell r="K3909" t="str">
            <v>201011</v>
          </cell>
          <cell r="M3909">
            <v>2</v>
          </cell>
          <cell r="R3909">
            <v>45733</v>
          </cell>
          <cell r="S3909">
            <v>201011</v>
          </cell>
        </row>
        <row r="3910">
          <cell r="K3910" t="str">
            <v>231012</v>
          </cell>
          <cell r="M3910">
            <v>1</v>
          </cell>
          <cell r="R3910">
            <v>45733</v>
          </cell>
          <cell r="S3910">
            <v>231012</v>
          </cell>
        </row>
        <row r="3911">
          <cell r="K3911" t="str">
            <v>217011</v>
          </cell>
          <cell r="M3911">
            <v>1</v>
          </cell>
          <cell r="R3911">
            <v>45733</v>
          </cell>
          <cell r="S3911">
            <v>217011</v>
          </cell>
        </row>
        <row r="3912">
          <cell r="K3912" t="str">
            <v>241001</v>
          </cell>
          <cell r="M3912">
            <v>1</v>
          </cell>
          <cell r="R3912">
            <v>45733</v>
          </cell>
          <cell r="S3912">
            <v>241001</v>
          </cell>
        </row>
        <row r="3913">
          <cell r="K3913" t="str">
            <v>228001</v>
          </cell>
          <cell r="M3913">
            <v>1</v>
          </cell>
          <cell r="R3913">
            <v>45733</v>
          </cell>
          <cell r="S3913">
            <v>228001</v>
          </cell>
        </row>
        <row r="3914">
          <cell r="K3914" t="str">
            <v>212035</v>
          </cell>
          <cell r="M3914">
            <v>1</v>
          </cell>
          <cell r="R3914">
            <v>45733</v>
          </cell>
          <cell r="S3914">
            <v>212035</v>
          </cell>
        </row>
        <row r="3915">
          <cell r="K3915" t="str">
            <v>226026</v>
          </cell>
          <cell r="M3915">
            <v>1</v>
          </cell>
          <cell r="R3915">
            <v>45733</v>
          </cell>
          <cell r="S3915">
            <v>226026</v>
          </cell>
        </row>
        <row r="3916">
          <cell r="K3916" t="str">
            <v>231012</v>
          </cell>
          <cell r="M3916">
            <v>1</v>
          </cell>
          <cell r="R3916">
            <v>45733</v>
          </cell>
          <cell r="S3916">
            <v>231012</v>
          </cell>
        </row>
        <row r="3917">
          <cell r="K3917" t="str">
            <v>231012</v>
          </cell>
          <cell r="M3917">
            <v>2</v>
          </cell>
          <cell r="R3917">
            <v>45733</v>
          </cell>
          <cell r="S3917">
            <v>231012</v>
          </cell>
        </row>
        <row r="3918">
          <cell r="K3918" t="str">
            <v>201011</v>
          </cell>
          <cell r="M3918">
            <v>10</v>
          </cell>
          <cell r="R3918">
            <v>45734</v>
          </cell>
          <cell r="S3918">
            <v>201011</v>
          </cell>
        </row>
        <row r="3919">
          <cell r="K3919" t="str">
            <v>241001</v>
          </cell>
          <cell r="M3919">
            <v>2</v>
          </cell>
          <cell r="R3919">
            <v>45734</v>
          </cell>
          <cell r="S3919">
            <v>241001</v>
          </cell>
        </row>
        <row r="3920">
          <cell r="K3920" t="str">
            <v>228001</v>
          </cell>
          <cell r="M3920">
            <v>5</v>
          </cell>
          <cell r="R3920">
            <v>45734</v>
          </cell>
          <cell r="S3920">
            <v>228001</v>
          </cell>
        </row>
        <row r="3921">
          <cell r="K3921" t="str">
            <v>228001</v>
          </cell>
          <cell r="M3921">
            <v>1</v>
          </cell>
          <cell r="R3921">
            <v>45734</v>
          </cell>
          <cell r="S3921">
            <v>228001</v>
          </cell>
        </row>
        <row r="3922">
          <cell r="K3922" t="str">
            <v>228001</v>
          </cell>
          <cell r="M3922">
            <v>5</v>
          </cell>
          <cell r="R3922">
            <v>45734</v>
          </cell>
          <cell r="S3922">
            <v>228001</v>
          </cell>
        </row>
        <row r="3923">
          <cell r="K3923" t="str">
            <v>201011</v>
          </cell>
          <cell r="M3923">
            <v>4</v>
          </cell>
          <cell r="R3923">
            <v>45734</v>
          </cell>
          <cell r="S3923">
            <v>201011</v>
          </cell>
        </row>
        <row r="3924">
          <cell r="K3924" t="str">
            <v>222005</v>
          </cell>
          <cell r="M3924">
            <v>1</v>
          </cell>
          <cell r="R3924">
            <v>45734</v>
          </cell>
          <cell r="S3924">
            <v>222005</v>
          </cell>
        </row>
        <row r="3925">
          <cell r="K3925" t="str">
            <v>201011</v>
          </cell>
          <cell r="M3925">
            <v>5</v>
          </cell>
          <cell r="R3925">
            <v>45734</v>
          </cell>
          <cell r="S3925">
            <v>201011</v>
          </cell>
        </row>
        <row r="3926">
          <cell r="K3926" t="str">
            <v>201011</v>
          </cell>
          <cell r="M3926">
            <v>1</v>
          </cell>
          <cell r="R3926">
            <v>45734</v>
          </cell>
          <cell r="S3926">
            <v>201011</v>
          </cell>
        </row>
        <row r="3927">
          <cell r="K3927" t="str">
            <v>210013</v>
          </cell>
          <cell r="M3927">
            <v>1</v>
          </cell>
          <cell r="R3927">
            <v>45734</v>
          </cell>
          <cell r="S3927">
            <v>210013</v>
          </cell>
        </row>
        <row r="3928">
          <cell r="K3928" t="str">
            <v>201002</v>
          </cell>
          <cell r="M3928">
            <v>4</v>
          </cell>
          <cell r="R3928">
            <v>45734</v>
          </cell>
          <cell r="S3928">
            <v>201002</v>
          </cell>
        </row>
        <row r="3929">
          <cell r="K3929" t="str">
            <v>201011</v>
          </cell>
          <cell r="M3929">
            <v>2</v>
          </cell>
          <cell r="R3929">
            <v>45734</v>
          </cell>
          <cell r="S3929">
            <v>201011</v>
          </cell>
        </row>
        <row r="3930">
          <cell r="K3930" t="str">
            <v>24006</v>
          </cell>
          <cell r="M3930">
            <v>1</v>
          </cell>
          <cell r="R3930">
            <v>45734</v>
          </cell>
          <cell r="S3930">
            <v>24006</v>
          </cell>
        </row>
        <row r="3931">
          <cell r="K3931" t="str">
            <v>201011</v>
          </cell>
          <cell r="M3931">
            <v>36</v>
          </cell>
          <cell r="R3931">
            <v>45734</v>
          </cell>
          <cell r="S3931">
            <v>201011</v>
          </cell>
        </row>
        <row r="3932">
          <cell r="K3932" t="str">
            <v>203001</v>
          </cell>
          <cell r="M3932">
            <v>4</v>
          </cell>
          <cell r="R3932">
            <v>45734</v>
          </cell>
          <cell r="S3932">
            <v>203001</v>
          </cell>
        </row>
        <row r="3933">
          <cell r="K3933" t="str">
            <v>228017</v>
          </cell>
          <cell r="M3933">
            <v>15</v>
          </cell>
          <cell r="R3933">
            <v>45734</v>
          </cell>
          <cell r="S3933">
            <v>228017</v>
          </cell>
        </row>
        <row r="3934">
          <cell r="K3934" t="str">
            <v>226001</v>
          </cell>
          <cell r="M3934">
            <v>2</v>
          </cell>
          <cell r="R3934">
            <v>45734</v>
          </cell>
          <cell r="S3934">
            <v>226001</v>
          </cell>
        </row>
        <row r="3935">
          <cell r="K3935" t="str">
            <v>226001</v>
          </cell>
          <cell r="M3935">
            <v>1</v>
          </cell>
          <cell r="R3935">
            <v>45734</v>
          </cell>
          <cell r="S3935">
            <v>226001</v>
          </cell>
        </row>
        <row r="3936">
          <cell r="K3936" t="str">
            <v>203004</v>
          </cell>
          <cell r="M3936">
            <v>1</v>
          </cell>
          <cell r="R3936">
            <v>45734</v>
          </cell>
          <cell r="S3936">
            <v>203004</v>
          </cell>
        </row>
        <row r="3937">
          <cell r="K3937" t="str">
            <v>231008</v>
          </cell>
          <cell r="M3937">
            <v>1</v>
          </cell>
          <cell r="R3937">
            <v>45734</v>
          </cell>
          <cell r="S3937">
            <v>231008</v>
          </cell>
        </row>
        <row r="3938">
          <cell r="K3938" t="str">
            <v>231006</v>
          </cell>
          <cell r="M3938">
            <v>1</v>
          </cell>
          <cell r="R3938">
            <v>45734</v>
          </cell>
          <cell r="S3938">
            <v>231006</v>
          </cell>
        </row>
        <row r="3939">
          <cell r="K3939" t="str">
            <v>226001</v>
          </cell>
          <cell r="M3939">
            <v>2</v>
          </cell>
          <cell r="R3939">
            <v>45734</v>
          </cell>
          <cell r="S3939">
            <v>226001</v>
          </cell>
        </row>
        <row r="3940">
          <cell r="K3940" t="str">
            <v>210013</v>
          </cell>
          <cell r="M3940">
            <v>3</v>
          </cell>
          <cell r="R3940">
            <v>45734</v>
          </cell>
          <cell r="S3940">
            <v>210013</v>
          </cell>
        </row>
        <row r="3941">
          <cell r="K3941" t="str">
            <v>237001</v>
          </cell>
          <cell r="M3941">
            <v>1</v>
          </cell>
          <cell r="R3941">
            <v>45735</v>
          </cell>
          <cell r="S3941">
            <v>237001</v>
          </cell>
        </row>
        <row r="3942">
          <cell r="K3942" t="str">
            <v>201002</v>
          </cell>
          <cell r="M3942">
            <v>1</v>
          </cell>
          <cell r="R3942">
            <v>45734</v>
          </cell>
          <cell r="S3942">
            <v>201002</v>
          </cell>
        </row>
        <row r="3943">
          <cell r="K3943" t="str">
            <v>201011</v>
          </cell>
          <cell r="M3943">
            <v>2</v>
          </cell>
          <cell r="R3943">
            <v>45734</v>
          </cell>
          <cell r="S3943">
            <v>201011</v>
          </cell>
        </row>
        <row r="3944">
          <cell r="K3944" t="str">
            <v>241001</v>
          </cell>
          <cell r="M3944">
            <v>2</v>
          </cell>
          <cell r="R3944">
            <v>45734</v>
          </cell>
          <cell r="S3944">
            <v>241001</v>
          </cell>
        </row>
        <row r="3945">
          <cell r="K3945" t="str">
            <v>228017</v>
          </cell>
          <cell r="M3945">
            <v>8</v>
          </cell>
          <cell r="R3945">
            <v>45735</v>
          </cell>
          <cell r="S3945">
            <v>228017</v>
          </cell>
        </row>
        <row r="3946">
          <cell r="K3946" t="str">
            <v>217018</v>
          </cell>
          <cell r="M3946">
            <v>1</v>
          </cell>
          <cell r="R3946">
            <v>45735</v>
          </cell>
          <cell r="S3946">
            <v>217018</v>
          </cell>
        </row>
        <row r="3947">
          <cell r="K3947" t="str">
            <v>228017</v>
          </cell>
          <cell r="M3947">
            <v>24</v>
          </cell>
          <cell r="R3947">
            <v>45735</v>
          </cell>
          <cell r="S3947">
            <v>228017</v>
          </cell>
        </row>
        <row r="3948">
          <cell r="K3948" t="str">
            <v>226001</v>
          </cell>
          <cell r="M3948">
            <v>6</v>
          </cell>
          <cell r="R3948">
            <v>45735</v>
          </cell>
          <cell r="S3948">
            <v>226001</v>
          </cell>
        </row>
        <row r="3949">
          <cell r="K3949" t="str">
            <v>210013</v>
          </cell>
          <cell r="M3949">
            <v>2</v>
          </cell>
          <cell r="R3949">
            <v>45735</v>
          </cell>
          <cell r="S3949">
            <v>210013</v>
          </cell>
        </row>
        <row r="3950">
          <cell r="K3950" t="str">
            <v>217019</v>
          </cell>
          <cell r="M3950">
            <v>1</v>
          </cell>
          <cell r="R3950">
            <v>45735</v>
          </cell>
          <cell r="S3950">
            <v>217019</v>
          </cell>
        </row>
        <row r="3951">
          <cell r="K3951" t="str">
            <v>209004</v>
          </cell>
          <cell r="M3951">
            <v>1</v>
          </cell>
          <cell r="R3951">
            <v>45735</v>
          </cell>
          <cell r="S3951">
            <v>209004</v>
          </cell>
        </row>
        <row r="3952">
          <cell r="K3952" t="str">
            <v>202001</v>
          </cell>
          <cell r="M3952">
            <v>1</v>
          </cell>
          <cell r="R3952">
            <v>45735</v>
          </cell>
          <cell r="S3952">
            <v>202001</v>
          </cell>
        </row>
        <row r="3953">
          <cell r="K3953" t="str">
            <v>226001</v>
          </cell>
          <cell r="M3953">
            <v>1</v>
          </cell>
          <cell r="R3953">
            <v>45735</v>
          </cell>
          <cell r="S3953">
            <v>226001</v>
          </cell>
        </row>
        <row r="3954">
          <cell r="K3954" t="str">
            <v>210014</v>
          </cell>
          <cell r="M3954">
            <v>4</v>
          </cell>
          <cell r="R3954">
            <v>45735</v>
          </cell>
          <cell r="S3954">
            <v>210014</v>
          </cell>
        </row>
        <row r="3955">
          <cell r="K3955" t="str">
            <v>231012</v>
          </cell>
          <cell r="M3955">
            <v>1</v>
          </cell>
          <cell r="R3955">
            <v>45735</v>
          </cell>
          <cell r="S3955">
            <v>231012</v>
          </cell>
        </row>
        <row r="3956">
          <cell r="K3956" t="str">
            <v>271002</v>
          </cell>
          <cell r="M3956">
            <v>1</v>
          </cell>
          <cell r="R3956">
            <v>45735</v>
          </cell>
          <cell r="S3956">
            <v>271002</v>
          </cell>
        </row>
        <row r="3957">
          <cell r="K3957" t="str">
            <v>228017</v>
          </cell>
          <cell r="M3957">
            <v>14</v>
          </cell>
          <cell r="R3957">
            <v>45735</v>
          </cell>
          <cell r="S3957">
            <v>228017</v>
          </cell>
        </row>
        <row r="3958">
          <cell r="K3958" t="str">
            <v>241001</v>
          </cell>
          <cell r="M3958">
            <v>1</v>
          </cell>
          <cell r="R3958">
            <v>45735</v>
          </cell>
          <cell r="S3958">
            <v>241001</v>
          </cell>
        </row>
        <row r="3959">
          <cell r="K3959" t="str">
            <v>205004</v>
          </cell>
          <cell r="M3959">
            <v>1</v>
          </cell>
          <cell r="R3959">
            <v>45735</v>
          </cell>
          <cell r="S3959">
            <v>205004</v>
          </cell>
        </row>
        <row r="3960">
          <cell r="K3960" t="str">
            <v>234001</v>
          </cell>
          <cell r="M3960">
            <v>1</v>
          </cell>
          <cell r="R3960">
            <v>45735</v>
          </cell>
          <cell r="S3960">
            <v>234001</v>
          </cell>
        </row>
        <row r="3961">
          <cell r="K3961" t="str">
            <v>228017</v>
          </cell>
          <cell r="M3961">
            <v>3</v>
          </cell>
          <cell r="R3961">
            <v>45735</v>
          </cell>
          <cell r="S3961">
            <v>228017</v>
          </cell>
        </row>
        <row r="3962">
          <cell r="K3962" t="str">
            <v>231012</v>
          </cell>
          <cell r="M3962">
            <v>1</v>
          </cell>
          <cell r="R3962">
            <v>45735</v>
          </cell>
          <cell r="S3962">
            <v>231012</v>
          </cell>
        </row>
        <row r="3963">
          <cell r="K3963" t="str">
            <v>203001</v>
          </cell>
          <cell r="M3963">
            <v>4</v>
          </cell>
          <cell r="R3963">
            <v>45735</v>
          </cell>
          <cell r="S3963">
            <v>203001</v>
          </cell>
        </row>
        <row r="3964">
          <cell r="K3964" t="str">
            <v>203003</v>
          </cell>
          <cell r="M3964">
            <v>1</v>
          </cell>
          <cell r="R3964">
            <v>45735</v>
          </cell>
          <cell r="S3964">
            <v>203003</v>
          </cell>
        </row>
        <row r="3965">
          <cell r="K3965" t="str">
            <v>203003</v>
          </cell>
          <cell r="M3965">
            <v>1</v>
          </cell>
          <cell r="R3965">
            <v>45735</v>
          </cell>
          <cell r="S3965">
            <v>203003</v>
          </cell>
        </row>
        <row r="3966">
          <cell r="K3966" t="str">
            <v>201011</v>
          </cell>
          <cell r="M3966">
            <v>6</v>
          </cell>
          <cell r="R3966">
            <v>45735</v>
          </cell>
          <cell r="S3966">
            <v>201011</v>
          </cell>
        </row>
        <row r="3967">
          <cell r="K3967" t="str">
            <v>231012</v>
          </cell>
          <cell r="M3967">
            <v>1</v>
          </cell>
          <cell r="R3967">
            <v>45735</v>
          </cell>
          <cell r="S3967">
            <v>231012</v>
          </cell>
        </row>
        <row r="3968">
          <cell r="K3968" t="str">
            <v>231012</v>
          </cell>
          <cell r="M3968">
            <v>1</v>
          </cell>
          <cell r="R3968">
            <v>45735</v>
          </cell>
          <cell r="S3968">
            <v>231012</v>
          </cell>
        </row>
        <row r="3969">
          <cell r="K3969" t="str">
            <v>228001</v>
          </cell>
          <cell r="M3969">
            <v>15</v>
          </cell>
          <cell r="R3969">
            <v>45735</v>
          </cell>
          <cell r="S3969">
            <v>228001</v>
          </cell>
        </row>
        <row r="3970">
          <cell r="K3970" t="str">
            <v>209001</v>
          </cell>
          <cell r="M3970">
            <v>1</v>
          </cell>
          <cell r="R3970">
            <v>45736</v>
          </cell>
          <cell r="S3970">
            <v>209001</v>
          </cell>
        </row>
        <row r="3971">
          <cell r="K3971" t="str">
            <v>223002</v>
          </cell>
          <cell r="M3971">
            <v>2</v>
          </cell>
          <cell r="R3971">
            <v>45736</v>
          </cell>
          <cell r="S3971">
            <v>223002</v>
          </cell>
        </row>
        <row r="3972">
          <cell r="K3972" t="str">
            <v>223001</v>
          </cell>
          <cell r="M3972">
            <v>2</v>
          </cell>
          <cell r="R3972">
            <v>45736</v>
          </cell>
          <cell r="S3972">
            <v>223001</v>
          </cell>
        </row>
        <row r="3973">
          <cell r="K3973" t="str">
            <v>223002</v>
          </cell>
          <cell r="M3973">
            <v>6</v>
          </cell>
          <cell r="R3973">
            <v>45736</v>
          </cell>
          <cell r="S3973">
            <v>223002</v>
          </cell>
        </row>
        <row r="3974">
          <cell r="K3974" t="str">
            <v>207017</v>
          </cell>
          <cell r="M3974">
            <v>1</v>
          </cell>
          <cell r="R3974">
            <v>45736</v>
          </cell>
          <cell r="S3974">
            <v>207017</v>
          </cell>
        </row>
        <row r="3975">
          <cell r="K3975" t="str">
            <v>226001</v>
          </cell>
          <cell r="M3975">
            <v>10</v>
          </cell>
          <cell r="R3975">
            <v>45736</v>
          </cell>
          <cell r="S3975">
            <v>226001</v>
          </cell>
        </row>
        <row r="3976">
          <cell r="K3976" t="str">
            <v>237001</v>
          </cell>
          <cell r="M3976">
            <v>1</v>
          </cell>
          <cell r="R3976">
            <v>45736</v>
          </cell>
          <cell r="S3976">
            <v>237001</v>
          </cell>
        </row>
        <row r="3977">
          <cell r="K3977" t="str">
            <v>212035</v>
          </cell>
          <cell r="M3977">
            <v>4</v>
          </cell>
          <cell r="R3977">
            <v>45736</v>
          </cell>
          <cell r="S3977">
            <v>212035</v>
          </cell>
        </row>
        <row r="3978">
          <cell r="K3978" t="str">
            <v>201011</v>
          </cell>
          <cell r="M3978">
            <v>3</v>
          </cell>
          <cell r="R3978">
            <v>45736</v>
          </cell>
          <cell r="S3978">
            <v>201011</v>
          </cell>
        </row>
        <row r="3979">
          <cell r="K3979" t="str">
            <v>223002</v>
          </cell>
          <cell r="M3979">
            <v>1</v>
          </cell>
          <cell r="R3979">
            <v>45736</v>
          </cell>
          <cell r="S3979">
            <v>223002</v>
          </cell>
        </row>
        <row r="3980">
          <cell r="K3980" t="str">
            <v>227001</v>
          </cell>
          <cell r="M3980">
            <v>1</v>
          </cell>
          <cell r="R3980">
            <v>45736</v>
          </cell>
          <cell r="S3980">
            <v>227001</v>
          </cell>
        </row>
        <row r="3981">
          <cell r="K3981" t="str">
            <v>231012</v>
          </cell>
          <cell r="M3981">
            <v>1</v>
          </cell>
          <cell r="R3981">
            <v>45736</v>
          </cell>
          <cell r="S3981">
            <v>231012</v>
          </cell>
        </row>
        <row r="3982">
          <cell r="K3982" t="str">
            <v>240005</v>
          </cell>
          <cell r="M3982">
            <v>1</v>
          </cell>
          <cell r="R3982">
            <v>45736</v>
          </cell>
          <cell r="S3982">
            <v>240005</v>
          </cell>
        </row>
        <row r="3983">
          <cell r="K3983" t="str">
            <v>241001</v>
          </cell>
          <cell r="M3983">
            <v>1</v>
          </cell>
          <cell r="R3983">
            <v>45736</v>
          </cell>
          <cell r="S3983">
            <v>241001</v>
          </cell>
        </row>
        <row r="3984">
          <cell r="K3984" t="str">
            <v>271002</v>
          </cell>
          <cell r="M3984">
            <v>1</v>
          </cell>
          <cell r="R3984">
            <v>45736</v>
          </cell>
          <cell r="S3984">
            <v>271002</v>
          </cell>
        </row>
        <row r="3985">
          <cell r="K3985" t="str">
            <v>217002</v>
          </cell>
          <cell r="M3985">
            <v>8</v>
          </cell>
          <cell r="R3985">
            <v>45736</v>
          </cell>
          <cell r="S3985">
            <v>217002</v>
          </cell>
        </row>
        <row r="3986">
          <cell r="K3986" t="str">
            <v>201011</v>
          </cell>
          <cell r="M3986">
            <v>10</v>
          </cell>
          <cell r="R3986">
            <v>45736</v>
          </cell>
          <cell r="S3986">
            <v>201011</v>
          </cell>
        </row>
        <row r="3987">
          <cell r="K3987" t="str">
            <v>226026</v>
          </cell>
          <cell r="M3987">
            <v>2</v>
          </cell>
          <cell r="R3987">
            <v>45736</v>
          </cell>
          <cell r="S3987">
            <v>226026</v>
          </cell>
        </row>
        <row r="3988">
          <cell r="K3988" t="str">
            <v>236001</v>
          </cell>
          <cell r="M3988">
            <v>1</v>
          </cell>
          <cell r="R3988">
            <v>45736</v>
          </cell>
          <cell r="S3988">
            <v>236001</v>
          </cell>
        </row>
        <row r="3989">
          <cell r="K3989" t="str">
            <v>227001</v>
          </cell>
          <cell r="M3989">
            <v>4</v>
          </cell>
          <cell r="R3989">
            <v>45736</v>
          </cell>
          <cell r="S3989">
            <v>227001</v>
          </cell>
        </row>
        <row r="3990">
          <cell r="K3990" t="str">
            <v>229001</v>
          </cell>
          <cell r="M3990">
            <v>30</v>
          </cell>
          <cell r="R3990">
            <v>45736</v>
          </cell>
          <cell r="S3990">
            <v>229001</v>
          </cell>
        </row>
        <row r="3991">
          <cell r="K3991" t="str">
            <v>213030</v>
          </cell>
          <cell r="M3991">
            <v>6</v>
          </cell>
          <cell r="R3991">
            <v>45736</v>
          </cell>
          <cell r="S3991">
            <v>213030</v>
          </cell>
        </row>
        <row r="3992">
          <cell r="K3992" t="str">
            <v>201011</v>
          </cell>
          <cell r="M3992">
            <v>1</v>
          </cell>
          <cell r="R3992">
            <v>45736</v>
          </cell>
          <cell r="S3992">
            <v>201011</v>
          </cell>
        </row>
        <row r="3993">
          <cell r="K3993" t="str">
            <v>231012</v>
          </cell>
          <cell r="M3993">
            <v>1</v>
          </cell>
          <cell r="R3993">
            <v>45736</v>
          </cell>
          <cell r="S3993">
            <v>231012</v>
          </cell>
        </row>
        <row r="3994">
          <cell r="K3994" t="str">
            <v>203001</v>
          </cell>
          <cell r="M3994">
            <v>1</v>
          </cell>
          <cell r="R3994">
            <v>45736</v>
          </cell>
          <cell r="S3994">
            <v>203001</v>
          </cell>
        </row>
        <row r="3995">
          <cell r="K3995" t="str">
            <v>212002</v>
          </cell>
          <cell r="M3995">
            <v>1</v>
          </cell>
          <cell r="R3995">
            <v>45736</v>
          </cell>
          <cell r="S3995">
            <v>212002</v>
          </cell>
        </row>
        <row r="3996">
          <cell r="K3996" t="str">
            <v>228017</v>
          </cell>
          <cell r="M3996">
            <v>3</v>
          </cell>
          <cell r="R3996">
            <v>45736</v>
          </cell>
          <cell r="S3996">
            <v>228017</v>
          </cell>
        </row>
        <row r="3997">
          <cell r="K3997" t="str">
            <v>213018</v>
          </cell>
          <cell r="M3997">
            <v>1</v>
          </cell>
          <cell r="R3997">
            <v>45736</v>
          </cell>
          <cell r="S3997">
            <v>213018</v>
          </cell>
        </row>
        <row r="3998">
          <cell r="K3998" t="str">
            <v>213018</v>
          </cell>
          <cell r="M3998">
            <v>2</v>
          </cell>
          <cell r="R3998">
            <v>45736</v>
          </cell>
          <cell r="S3998">
            <v>213018</v>
          </cell>
        </row>
        <row r="3999">
          <cell r="K3999" t="str">
            <v>210003</v>
          </cell>
          <cell r="M3999">
            <v>1</v>
          </cell>
          <cell r="R3999">
            <v>45736</v>
          </cell>
          <cell r="S3999">
            <v>210003</v>
          </cell>
        </row>
        <row r="4000">
          <cell r="K4000" t="str">
            <v>203001</v>
          </cell>
          <cell r="M4000">
            <v>1</v>
          </cell>
          <cell r="R4000">
            <v>45736</v>
          </cell>
          <cell r="S4000">
            <v>203001</v>
          </cell>
        </row>
        <row r="4001">
          <cell r="K4001" t="str">
            <v>201002</v>
          </cell>
          <cell r="M4001">
            <v>2</v>
          </cell>
          <cell r="R4001">
            <v>45737</v>
          </cell>
          <cell r="S4001">
            <v>201002</v>
          </cell>
        </row>
        <row r="4002">
          <cell r="K4002" t="str">
            <v>201002</v>
          </cell>
          <cell r="M4002">
            <v>2</v>
          </cell>
          <cell r="R4002">
            <v>45737</v>
          </cell>
          <cell r="S4002">
            <v>201002</v>
          </cell>
        </row>
        <row r="4003">
          <cell r="K4003" t="str">
            <v>241001</v>
          </cell>
          <cell r="M4003">
            <v>5</v>
          </cell>
          <cell r="R4003">
            <v>45737</v>
          </cell>
          <cell r="S4003">
            <v>241001</v>
          </cell>
        </row>
        <row r="4004">
          <cell r="K4004" t="str">
            <v>222001</v>
          </cell>
          <cell r="M4004">
            <v>3</v>
          </cell>
          <cell r="R4004">
            <v>45737</v>
          </cell>
          <cell r="S4004">
            <v>222001</v>
          </cell>
        </row>
        <row r="4005">
          <cell r="K4005" t="str">
            <v>241001</v>
          </cell>
          <cell r="M4005">
            <v>4</v>
          </cell>
          <cell r="R4005">
            <v>45737</v>
          </cell>
          <cell r="S4005">
            <v>241001</v>
          </cell>
        </row>
        <row r="4006">
          <cell r="K4006" t="str">
            <v>222001</v>
          </cell>
          <cell r="M4006">
            <v>3</v>
          </cell>
          <cell r="R4006">
            <v>45737</v>
          </cell>
          <cell r="S4006">
            <v>222001</v>
          </cell>
        </row>
        <row r="4007">
          <cell r="K4007" t="str">
            <v>231012</v>
          </cell>
          <cell r="M4007">
            <v>1</v>
          </cell>
          <cell r="R4007">
            <v>45737</v>
          </cell>
          <cell r="S4007">
            <v>231012</v>
          </cell>
        </row>
        <row r="4008">
          <cell r="K4008" t="str">
            <v>227002</v>
          </cell>
          <cell r="M4008">
            <v>1</v>
          </cell>
          <cell r="R4008">
            <v>45736</v>
          </cell>
          <cell r="S4008">
            <v>227002</v>
          </cell>
        </row>
        <row r="4009">
          <cell r="K4009" t="str">
            <v>201011</v>
          </cell>
          <cell r="M4009">
            <v>1</v>
          </cell>
          <cell r="R4009">
            <v>45736</v>
          </cell>
          <cell r="S4009">
            <v>201011</v>
          </cell>
        </row>
        <row r="4010">
          <cell r="K4010" t="str">
            <v>201002</v>
          </cell>
          <cell r="M4010">
            <v>1</v>
          </cell>
          <cell r="R4010">
            <v>45736</v>
          </cell>
          <cell r="S4010">
            <v>201002</v>
          </cell>
        </row>
        <row r="4011">
          <cell r="K4011" t="str">
            <v>223002</v>
          </cell>
          <cell r="M4011">
            <v>1</v>
          </cell>
          <cell r="R4011">
            <v>45737</v>
          </cell>
          <cell r="S4011">
            <v>223002</v>
          </cell>
        </row>
        <row r="4012">
          <cell r="K4012" t="str">
            <v>227002</v>
          </cell>
          <cell r="M4012">
            <v>1</v>
          </cell>
          <cell r="R4012">
            <v>45737</v>
          </cell>
          <cell r="S4012">
            <v>227002</v>
          </cell>
        </row>
        <row r="4013">
          <cell r="K4013" t="str">
            <v>231012</v>
          </cell>
          <cell r="M4013">
            <v>5</v>
          </cell>
          <cell r="R4013">
            <v>45737</v>
          </cell>
          <cell r="S4013">
            <v>231012</v>
          </cell>
        </row>
        <row r="4014">
          <cell r="K4014" t="str">
            <v>213018</v>
          </cell>
          <cell r="M4014">
            <v>3</v>
          </cell>
          <cell r="R4014">
            <v>45736</v>
          </cell>
          <cell r="S4014">
            <v>213018</v>
          </cell>
        </row>
        <row r="4015">
          <cell r="K4015" t="str">
            <v>206002</v>
          </cell>
          <cell r="M4015">
            <v>1</v>
          </cell>
          <cell r="R4015">
            <v>45736</v>
          </cell>
          <cell r="S4015">
            <v>206002</v>
          </cell>
        </row>
        <row r="4016">
          <cell r="K4016" t="str">
            <v>201005</v>
          </cell>
          <cell r="M4016">
            <v>1</v>
          </cell>
          <cell r="R4016">
            <v>45737</v>
          </cell>
          <cell r="S4016">
            <v>201005</v>
          </cell>
        </row>
        <row r="4017">
          <cell r="K4017" t="str">
            <v>227002</v>
          </cell>
          <cell r="M4017">
            <v>1</v>
          </cell>
          <cell r="R4017">
            <v>45737</v>
          </cell>
          <cell r="S4017">
            <v>227002</v>
          </cell>
        </row>
        <row r="4018">
          <cell r="K4018" t="str">
            <v>201003</v>
          </cell>
          <cell r="M4018">
            <v>4</v>
          </cell>
          <cell r="R4018">
            <v>45737</v>
          </cell>
          <cell r="S4018">
            <v>201003</v>
          </cell>
        </row>
        <row r="4019">
          <cell r="K4019" t="str">
            <v>241001</v>
          </cell>
          <cell r="M4019">
            <v>3</v>
          </cell>
          <cell r="R4019">
            <v>45737</v>
          </cell>
          <cell r="S4019">
            <v>241001</v>
          </cell>
        </row>
        <row r="4020">
          <cell r="K4020" t="str">
            <v>241001</v>
          </cell>
          <cell r="M4020">
            <v>2</v>
          </cell>
          <cell r="R4020">
            <v>45737</v>
          </cell>
          <cell r="S4020">
            <v>241001</v>
          </cell>
        </row>
        <row r="4021">
          <cell r="K4021" t="str">
            <v>213017</v>
          </cell>
          <cell r="M4021">
            <v>2</v>
          </cell>
          <cell r="R4021">
            <v>45737</v>
          </cell>
          <cell r="S4021">
            <v>213017</v>
          </cell>
        </row>
        <row r="4022">
          <cell r="K4022" t="str">
            <v>213017</v>
          </cell>
          <cell r="M4022">
            <v>4</v>
          </cell>
          <cell r="R4022">
            <v>45737</v>
          </cell>
          <cell r="S4022">
            <v>213017</v>
          </cell>
        </row>
        <row r="4023">
          <cell r="K4023" t="str">
            <v>210003</v>
          </cell>
          <cell r="M4023">
            <v>1</v>
          </cell>
          <cell r="R4023">
            <v>45737</v>
          </cell>
          <cell r="S4023">
            <v>210003</v>
          </cell>
        </row>
        <row r="4024">
          <cell r="K4024" t="str">
            <v>213017</v>
          </cell>
          <cell r="M4024">
            <v>1</v>
          </cell>
          <cell r="R4024">
            <v>45737</v>
          </cell>
          <cell r="S4024">
            <v>213017</v>
          </cell>
        </row>
        <row r="4025">
          <cell r="K4025" t="str">
            <v>241002</v>
          </cell>
          <cell r="M4025">
            <v>3</v>
          </cell>
          <cell r="R4025">
            <v>45737</v>
          </cell>
          <cell r="S4025">
            <v>241002</v>
          </cell>
        </row>
        <row r="4026">
          <cell r="K4026" t="str">
            <v>213017</v>
          </cell>
          <cell r="M4026">
            <v>5</v>
          </cell>
          <cell r="R4026">
            <v>45737</v>
          </cell>
          <cell r="S4026">
            <v>213017</v>
          </cell>
        </row>
        <row r="4027">
          <cell r="K4027" t="str">
            <v>213017</v>
          </cell>
          <cell r="M4027">
            <v>3</v>
          </cell>
          <cell r="R4027">
            <v>45737</v>
          </cell>
          <cell r="S4027">
            <v>213017</v>
          </cell>
        </row>
        <row r="4028">
          <cell r="K4028" t="str">
            <v>201011</v>
          </cell>
          <cell r="M4028">
            <v>10</v>
          </cell>
          <cell r="R4028">
            <v>45737</v>
          </cell>
          <cell r="S4028">
            <v>201011</v>
          </cell>
        </row>
        <row r="4029">
          <cell r="K4029" t="str">
            <v>201011</v>
          </cell>
          <cell r="M4029">
            <v>10</v>
          </cell>
          <cell r="R4029">
            <v>45737</v>
          </cell>
          <cell r="S4029">
            <v>201011</v>
          </cell>
        </row>
        <row r="4030">
          <cell r="K4030" t="str">
            <v>213018</v>
          </cell>
          <cell r="M4030">
            <v>1</v>
          </cell>
          <cell r="R4030">
            <v>45737</v>
          </cell>
          <cell r="S4030">
            <v>213018</v>
          </cell>
        </row>
        <row r="4031">
          <cell r="K4031" t="str">
            <v>203003</v>
          </cell>
          <cell r="M4031">
            <v>3</v>
          </cell>
          <cell r="R4031">
            <v>45737</v>
          </cell>
          <cell r="S4031">
            <v>203003</v>
          </cell>
        </row>
        <row r="4032">
          <cell r="K4032" t="str">
            <v>210013</v>
          </cell>
          <cell r="M4032">
            <v>1</v>
          </cell>
          <cell r="R4032">
            <v>45737</v>
          </cell>
          <cell r="S4032">
            <v>210013</v>
          </cell>
        </row>
        <row r="4033">
          <cell r="K4033" t="str">
            <v>209006</v>
          </cell>
          <cell r="M4033">
            <v>1</v>
          </cell>
          <cell r="R4033">
            <v>45737</v>
          </cell>
          <cell r="S4033">
            <v>209006</v>
          </cell>
        </row>
        <row r="4034">
          <cell r="K4034" t="str">
            <v>241001</v>
          </cell>
          <cell r="M4034">
            <v>1</v>
          </cell>
          <cell r="R4034">
            <v>45737</v>
          </cell>
          <cell r="S4034">
            <v>241001</v>
          </cell>
        </row>
        <row r="4035">
          <cell r="K4035" t="str">
            <v>226001</v>
          </cell>
          <cell r="M4035">
            <v>6</v>
          </cell>
          <cell r="R4035">
            <v>45737</v>
          </cell>
          <cell r="S4035">
            <v>226001</v>
          </cell>
        </row>
        <row r="4036">
          <cell r="K4036" t="str">
            <v>223002</v>
          </cell>
          <cell r="M4036">
            <v>6</v>
          </cell>
          <cell r="R4036">
            <v>45737</v>
          </cell>
          <cell r="S4036">
            <v>223002</v>
          </cell>
        </row>
        <row r="4037">
          <cell r="K4037" t="str">
            <v>213017</v>
          </cell>
          <cell r="M4037">
            <v>1</v>
          </cell>
          <cell r="R4037">
            <v>45737</v>
          </cell>
          <cell r="S4037">
            <v>213017</v>
          </cell>
        </row>
        <row r="4038">
          <cell r="K4038" t="str">
            <v>223001</v>
          </cell>
          <cell r="M4038">
            <v>6</v>
          </cell>
          <cell r="R4038">
            <v>45737</v>
          </cell>
          <cell r="S4038">
            <v>223001</v>
          </cell>
        </row>
        <row r="4039">
          <cell r="K4039" t="str">
            <v>227002</v>
          </cell>
          <cell r="M4039">
            <v>1</v>
          </cell>
          <cell r="R4039">
            <v>45737</v>
          </cell>
          <cell r="S4039">
            <v>227002</v>
          </cell>
        </row>
        <row r="4040">
          <cell r="K4040" t="str">
            <v>203003</v>
          </cell>
          <cell r="M4040">
            <v>2</v>
          </cell>
          <cell r="R4040">
            <v>45737</v>
          </cell>
          <cell r="S4040">
            <v>203003</v>
          </cell>
        </row>
        <row r="4041">
          <cell r="K4041" t="str">
            <v>201002</v>
          </cell>
          <cell r="M4041">
            <v>1</v>
          </cell>
          <cell r="R4041">
            <v>45737</v>
          </cell>
          <cell r="S4041">
            <v>201002</v>
          </cell>
        </row>
        <row r="4042">
          <cell r="K4042" t="str">
            <v>228001</v>
          </cell>
          <cell r="M4042">
            <v>1</v>
          </cell>
          <cell r="R4042">
            <v>45737</v>
          </cell>
          <cell r="S4042">
            <v>228001</v>
          </cell>
        </row>
        <row r="4043">
          <cell r="K4043" t="str">
            <v>217018</v>
          </cell>
          <cell r="M4043">
            <v>1</v>
          </cell>
          <cell r="R4043">
            <v>45737</v>
          </cell>
          <cell r="S4043">
            <v>217018</v>
          </cell>
        </row>
        <row r="4044">
          <cell r="K4044" t="str">
            <v>223002</v>
          </cell>
          <cell r="M4044">
            <v>10</v>
          </cell>
          <cell r="R4044">
            <v>45737</v>
          </cell>
          <cell r="S4044">
            <v>223002</v>
          </cell>
        </row>
        <row r="4045">
          <cell r="K4045" t="str">
            <v>201002</v>
          </cell>
          <cell r="M4045">
            <v>10</v>
          </cell>
          <cell r="R4045">
            <v>45739</v>
          </cell>
          <cell r="S4045">
            <v>201002</v>
          </cell>
        </row>
        <row r="4046">
          <cell r="K4046" t="str">
            <v>228001</v>
          </cell>
          <cell r="M4046">
            <v>1</v>
          </cell>
          <cell r="R4046">
            <v>45739</v>
          </cell>
          <cell r="S4046">
            <v>228001</v>
          </cell>
        </row>
        <row r="4047">
          <cell r="K4047" t="str">
            <v>231012</v>
          </cell>
          <cell r="M4047">
            <v>4</v>
          </cell>
          <cell r="R4047">
            <v>45739</v>
          </cell>
          <cell r="S4047">
            <v>231012</v>
          </cell>
        </row>
        <row r="4048">
          <cell r="K4048" t="str">
            <v>223002</v>
          </cell>
          <cell r="M4048">
            <v>2</v>
          </cell>
          <cell r="R4048">
            <v>45739</v>
          </cell>
          <cell r="S4048">
            <v>223002</v>
          </cell>
        </row>
        <row r="4049">
          <cell r="K4049" t="str">
            <v>223001</v>
          </cell>
          <cell r="M4049">
            <v>10</v>
          </cell>
          <cell r="R4049">
            <v>45739</v>
          </cell>
          <cell r="S4049">
            <v>223001</v>
          </cell>
        </row>
        <row r="4050">
          <cell r="K4050" t="str">
            <v>227012</v>
          </cell>
          <cell r="M4050">
            <v>1</v>
          </cell>
          <cell r="R4050">
            <v>45739</v>
          </cell>
          <cell r="S4050">
            <v>227012</v>
          </cell>
        </row>
        <row r="4051">
          <cell r="K4051" t="str">
            <v>209022</v>
          </cell>
          <cell r="M4051">
            <v>4</v>
          </cell>
          <cell r="R4051">
            <v>45739</v>
          </cell>
          <cell r="S4051">
            <v>209022</v>
          </cell>
        </row>
        <row r="4052">
          <cell r="K4052" t="str">
            <v>201011</v>
          </cell>
          <cell r="M4052">
            <v>6</v>
          </cell>
          <cell r="R4052">
            <v>45739</v>
          </cell>
          <cell r="S4052">
            <v>201011</v>
          </cell>
        </row>
        <row r="4053">
          <cell r="K4053" t="str">
            <v>210013</v>
          </cell>
          <cell r="M4053">
            <v>16</v>
          </cell>
          <cell r="R4053">
            <v>45740</v>
          </cell>
          <cell r="S4053">
            <v>210013</v>
          </cell>
        </row>
        <row r="4054">
          <cell r="K4054" t="str">
            <v>201011</v>
          </cell>
          <cell r="M4054">
            <v>2</v>
          </cell>
          <cell r="R4054">
            <v>45739</v>
          </cell>
          <cell r="S4054">
            <v>201011</v>
          </cell>
        </row>
        <row r="4055">
          <cell r="K4055" t="str">
            <v>201002</v>
          </cell>
          <cell r="M4055">
            <v>1</v>
          </cell>
          <cell r="R4055">
            <v>45739</v>
          </cell>
          <cell r="S4055">
            <v>201002</v>
          </cell>
        </row>
        <row r="4056">
          <cell r="K4056" t="str">
            <v>223002</v>
          </cell>
          <cell r="M4056">
            <v>1</v>
          </cell>
          <cell r="R4056">
            <v>45739</v>
          </cell>
          <cell r="S4056">
            <v>223002</v>
          </cell>
        </row>
        <row r="4057">
          <cell r="K4057" t="str">
            <v>201011</v>
          </cell>
          <cell r="M4057">
            <v>4</v>
          </cell>
          <cell r="R4057">
            <v>45739</v>
          </cell>
          <cell r="S4057">
            <v>201011</v>
          </cell>
        </row>
        <row r="4058">
          <cell r="K4058" t="str">
            <v>227001</v>
          </cell>
          <cell r="M4058">
            <v>1</v>
          </cell>
          <cell r="R4058">
            <v>45740</v>
          </cell>
          <cell r="S4058">
            <v>227001</v>
          </cell>
        </row>
        <row r="4059">
          <cell r="K4059" t="str">
            <v>231012</v>
          </cell>
          <cell r="M4059">
            <v>1</v>
          </cell>
          <cell r="R4059">
            <v>45740</v>
          </cell>
          <cell r="S4059">
            <v>231012</v>
          </cell>
        </row>
        <row r="4060">
          <cell r="K4060" t="str">
            <v>209001</v>
          </cell>
          <cell r="M4060">
            <v>3</v>
          </cell>
          <cell r="R4060">
            <v>45740</v>
          </cell>
          <cell r="S4060">
            <v>209001</v>
          </cell>
        </row>
        <row r="4061">
          <cell r="K4061" t="str">
            <v>203001</v>
          </cell>
          <cell r="M4061">
            <v>1</v>
          </cell>
          <cell r="R4061">
            <v>45740</v>
          </cell>
          <cell r="S4061">
            <v>203001</v>
          </cell>
        </row>
        <row r="4062">
          <cell r="K4062" t="str">
            <v>231012</v>
          </cell>
          <cell r="M4062">
            <v>1</v>
          </cell>
          <cell r="R4062">
            <v>45740</v>
          </cell>
          <cell r="S4062">
            <v>231012</v>
          </cell>
        </row>
        <row r="4063">
          <cell r="K4063" t="str">
            <v>241001</v>
          </cell>
          <cell r="M4063">
            <v>3</v>
          </cell>
          <cell r="R4063">
            <v>45740</v>
          </cell>
          <cell r="S4063">
            <v>241001</v>
          </cell>
        </row>
        <row r="4064">
          <cell r="K4064" t="str">
            <v>217011</v>
          </cell>
          <cell r="M4064">
            <v>2</v>
          </cell>
          <cell r="R4064">
            <v>45740</v>
          </cell>
          <cell r="S4064">
            <v>217011</v>
          </cell>
        </row>
        <row r="4065">
          <cell r="K4065" t="str">
            <v>203003</v>
          </cell>
          <cell r="M4065">
            <v>2</v>
          </cell>
          <cell r="R4065">
            <v>45740</v>
          </cell>
          <cell r="S4065">
            <v>203003</v>
          </cell>
        </row>
        <row r="4066">
          <cell r="K4066" t="str">
            <v>241001</v>
          </cell>
          <cell r="M4066">
            <v>0</v>
          </cell>
          <cell r="R4066">
            <v>45740</v>
          </cell>
          <cell r="S4066">
            <v>241001</v>
          </cell>
        </row>
        <row r="4067">
          <cell r="K4067" t="str">
            <v>210002</v>
          </cell>
          <cell r="M4067">
            <v>2</v>
          </cell>
          <cell r="R4067">
            <v>45740</v>
          </cell>
          <cell r="S4067">
            <v>210002</v>
          </cell>
        </row>
        <row r="4068">
          <cell r="K4068" t="str">
            <v>201011</v>
          </cell>
          <cell r="M4068">
            <v>1</v>
          </cell>
          <cell r="R4068">
            <v>45740</v>
          </cell>
          <cell r="S4068">
            <v>201011</v>
          </cell>
        </row>
        <row r="4069">
          <cell r="K4069" t="str">
            <v>222001</v>
          </cell>
          <cell r="M4069">
            <v>1</v>
          </cell>
          <cell r="R4069">
            <v>45740</v>
          </cell>
          <cell r="S4069">
            <v>222001</v>
          </cell>
        </row>
        <row r="4070">
          <cell r="K4070" t="str">
            <v>226001</v>
          </cell>
          <cell r="M4070">
            <v>4</v>
          </cell>
          <cell r="R4070">
            <v>45740</v>
          </cell>
          <cell r="S4070">
            <v>226001</v>
          </cell>
        </row>
        <row r="4071">
          <cell r="K4071" t="str">
            <v>228017</v>
          </cell>
          <cell r="M4071">
            <v>5</v>
          </cell>
          <cell r="R4071">
            <v>45740</v>
          </cell>
          <cell r="S4071">
            <v>228017</v>
          </cell>
        </row>
        <row r="4072">
          <cell r="K4072" t="str">
            <v>228017</v>
          </cell>
          <cell r="M4072">
            <v>5</v>
          </cell>
          <cell r="R4072">
            <v>45740</v>
          </cell>
          <cell r="S4072">
            <v>228017</v>
          </cell>
        </row>
        <row r="4073">
          <cell r="K4073" t="str">
            <v>231012</v>
          </cell>
          <cell r="M4073">
            <v>1</v>
          </cell>
          <cell r="R4073">
            <v>45740</v>
          </cell>
          <cell r="S4073">
            <v>231012</v>
          </cell>
        </row>
        <row r="4074">
          <cell r="K4074" t="str">
            <v>203001</v>
          </cell>
          <cell r="M4074">
            <v>1</v>
          </cell>
          <cell r="R4074">
            <v>45740</v>
          </cell>
          <cell r="S4074">
            <v>203001</v>
          </cell>
        </row>
        <row r="4075">
          <cell r="K4075" t="str">
            <v>207017</v>
          </cell>
          <cell r="M4075">
            <v>1</v>
          </cell>
          <cell r="R4075">
            <v>45740</v>
          </cell>
          <cell r="S4075">
            <v>207017</v>
          </cell>
        </row>
        <row r="4076">
          <cell r="K4076" t="str">
            <v>201003</v>
          </cell>
          <cell r="M4076">
            <v>1</v>
          </cell>
          <cell r="R4076">
            <v>45740</v>
          </cell>
          <cell r="S4076">
            <v>201003</v>
          </cell>
        </row>
        <row r="4077">
          <cell r="K4077" t="str">
            <v>201003</v>
          </cell>
          <cell r="M4077">
            <v>1</v>
          </cell>
          <cell r="R4077">
            <v>45740</v>
          </cell>
          <cell r="S4077">
            <v>201003</v>
          </cell>
        </row>
        <row r="4078">
          <cell r="K4078" t="str">
            <v>231012</v>
          </cell>
          <cell r="M4078">
            <v>1</v>
          </cell>
          <cell r="R4078">
            <v>45740</v>
          </cell>
          <cell r="S4078">
            <v>231012</v>
          </cell>
        </row>
        <row r="4079">
          <cell r="K4079" t="str">
            <v>212002</v>
          </cell>
          <cell r="M4079">
            <v>1</v>
          </cell>
          <cell r="R4079">
            <v>45740</v>
          </cell>
          <cell r="S4079">
            <v>212002</v>
          </cell>
        </row>
        <row r="4080">
          <cell r="K4080" t="str">
            <v>209004</v>
          </cell>
          <cell r="M4080">
            <v>1</v>
          </cell>
          <cell r="R4080">
            <v>45740</v>
          </cell>
          <cell r="S4080">
            <v>209004</v>
          </cell>
        </row>
        <row r="4081">
          <cell r="K4081" t="str">
            <v>207017</v>
          </cell>
          <cell r="M4081">
            <v>2</v>
          </cell>
          <cell r="R4081">
            <v>45740</v>
          </cell>
          <cell r="S4081">
            <v>207017</v>
          </cell>
        </row>
        <row r="4082">
          <cell r="K4082" t="str">
            <v>231012</v>
          </cell>
          <cell r="M4082">
            <v>1</v>
          </cell>
          <cell r="R4082">
            <v>45740</v>
          </cell>
          <cell r="S4082">
            <v>231012</v>
          </cell>
        </row>
        <row r="4083">
          <cell r="K4083" t="str">
            <v>229004</v>
          </cell>
          <cell r="M4083">
            <v>4</v>
          </cell>
          <cell r="R4083">
            <v>45740</v>
          </cell>
          <cell r="S4083">
            <v>229004</v>
          </cell>
        </row>
        <row r="4084">
          <cell r="K4084" t="str">
            <v>209004</v>
          </cell>
          <cell r="M4084">
            <v>2</v>
          </cell>
          <cell r="R4084">
            <v>45740</v>
          </cell>
          <cell r="S4084">
            <v>209004</v>
          </cell>
        </row>
        <row r="4085">
          <cell r="K4085" t="str">
            <v>201011</v>
          </cell>
          <cell r="M4085">
            <v>6</v>
          </cell>
          <cell r="R4085">
            <v>45740</v>
          </cell>
          <cell r="S4085">
            <v>201011</v>
          </cell>
        </row>
        <row r="4086">
          <cell r="K4086" t="str">
            <v>228001</v>
          </cell>
          <cell r="M4086">
            <v>2</v>
          </cell>
          <cell r="R4086">
            <v>45740</v>
          </cell>
          <cell r="S4086">
            <v>228001</v>
          </cell>
        </row>
        <row r="4087">
          <cell r="K4087" t="str">
            <v>201011</v>
          </cell>
          <cell r="M4087">
            <v>3</v>
          </cell>
          <cell r="R4087">
            <v>45740</v>
          </cell>
          <cell r="S4087">
            <v>201011</v>
          </cell>
        </row>
        <row r="4088">
          <cell r="K4088" t="str">
            <v>223001</v>
          </cell>
          <cell r="M4088">
            <v>2</v>
          </cell>
          <cell r="R4088">
            <v>45740</v>
          </cell>
          <cell r="S4088">
            <v>223001</v>
          </cell>
        </row>
        <row r="4089">
          <cell r="K4089" t="str">
            <v>223002</v>
          </cell>
          <cell r="M4089">
            <v>2</v>
          </cell>
          <cell r="R4089">
            <v>45740</v>
          </cell>
          <cell r="S4089">
            <v>223002</v>
          </cell>
        </row>
        <row r="4090">
          <cell r="K4090" t="str">
            <v>222001</v>
          </cell>
          <cell r="M4090">
            <v>1</v>
          </cell>
          <cell r="R4090">
            <v>45740</v>
          </cell>
          <cell r="S4090">
            <v>222001</v>
          </cell>
        </row>
        <row r="4091">
          <cell r="K4091" t="str">
            <v>217019</v>
          </cell>
          <cell r="M4091">
            <v>11</v>
          </cell>
          <cell r="R4091">
            <v>45740</v>
          </cell>
          <cell r="S4091">
            <v>217019</v>
          </cell>
        </row>
        <row r="4092">
          <cell r="K4092" t="str">
            <v>209016</v>
          </cell>
          <cell r="M4092">
            <v>6</v>
          </cell>
          <cell r="R4092">
            <v>45740</v>
          </cell>
          <cell r="S4092">
            <v>209016</v>
          </cell>
        </row>
        <row r="4093">
          <cell r="K4093" t="str">
            <v>217019</v>
          </cell>
          <cell r="M4093">
            <v>3</v>
          </cell>
          <cell r="R4093">
            <v>45740</v>
          </cell>
          <cell r="S4093">
            <v>217019</v>
          </cell>
        </row>
        <row r="4094">
          <cell r="K4094" t="str">
            <v>206006</v>
          </cell>
          <cell r="M4094">
            <v>1</v>
          </cell>
          <cell r="R4094">
            <v>45740</v>
          </cell>
          <cell r="S4094">
            <v>206006</v>
          </cell>
        </row>
        <row r="4095">
          <cell r="K4095" t="str">
            <v>218003</v>
          </cell>
          <cell r="M4095">
            <v>1</v>
          </cell>
          <cell r="R4095">
            <v>45740</v>
          </cell>
          <cell r="S4095">
            <v>218003</v>
          </cell>
        </row>
        <row r="4096">
          <cell r="K4096" t="str">
            <v>206002</v>
          </cell>
          <cell r="M4096">
            <v>1</v>
          </cell>
          <cell r="R4096">
            <v>45740</v>
          </cell>
          <cell r="S4096">
            <v>206002</v>
          </cell>
        </row>
        <row r="4097">
          <cell r="K4097" t="str">
            <v>229004</v>
          </cell>
          <cell r="M4097">
            <v>1</v>
          </cell>
          <cell r="R4097">
            <v>45740</v>
          </cell>
          <cell r="S4097">
            <v>229004</v>
          </cell>
        </row>
        <row r="4098">
          <cell r="K4098" t="str">
            <v>212035</v>
          </cell>
          <cell r="M4098">
            <v>9</v>
          </cell>
          <cell r="R4098">
            <v>45740</v>
          </cell>
          <cell r="S4098">
            <v>212035</v>
          </cell>
        </row>
        <row r="4099">
          <cell r="K4099" t="str">
            <v>228001</v>
          </cell>
          <cell r="M4099">
            <v>1</v>
          </cell>
          <cell r="R4099">
            <v>45740</v>
          </cell>
          <cell r="S4099">
            <v>228001</v>
          </cell>
        </row>
        <row r="4100">
          <cell r="K4100" t="str">
            <v>206002</v>
          </cell>
          <cell r="M4100">
            <v>1</v>
          </cell>
          <cell r="R4100">
            <v>45740</v>
          </cell>
          <cell r="S4100">
            <v>206002</v>
          </cell>
        </row>
        <row r="4101">
          <cell r="K4101" t="str">
            <v>208001</v>
          </cell>
          <cell r="M4101">
            <v>1</v>
          </cell>
          <cell r="R4101">
            <v>45740</v>
          </cell>
          <cell r="S4101">
            <v>208001</v>
          </cell>
        </row>
        <row r="4102">
          <cell r="K4102" t="str">
            <v>203004</v>
          </cell>
          <cell r="M4102">
            <v>1</v>
          </cell>
          <cell r="R4102">
            <v>45740</v>
          </cell>
          <cell r="S4102">
            <v>203004</v>
          </cell>
        </row>
        <row r="4103">
          <cell r="K4103" t="str">
            <v>226001</v>
          </cell>
          <cell r="M4103">
            <v>1</v>
          </cell>
          <cell r="R4103">
            <v>45740</v>
          </cell>
          <cell r="S4103">
            <v>226001</v>
          </cell>
        </row>
        <row r="4104">
          <cell r="K4104" t="str">
            <v>226025</v>
          </cell>
          <cell r="M4104">
            <v>1</v>
          </cell>
          <cell r="R4104">
            <v>45740</v>
          </cell>
          <cell r="S4104">
            <v>226025</v>
          </cell>
        </row>
        <row r="4105">
          <cell r="K4105" t="str">
            <v>209016</v>
          </cell>
          <cell r="M4105">
            <v>1</v>
          </cell>
          <cell r="R4105">
            <v>45740</v>
          </cell>
          <cell r="S4105">
            <v>209016</v>
          </cell>
        </row>
        <row r="4106">
          <cell r="K4106" t="str">
            <v>201011</v>
          </cell>
          <cell r="M4106">
            <v>6</v>
          </cell>
          <cell r="R4106">
            <v>45740</v>
          </cell>
          <cell r="S4106">
            <v>201011</v>
          </cell>
        </row>
        <row r="4107">
          <cell r="K4107" t="str">
            <v>210010</v>
          </cell>
          <cell r="M4107">
            <v>1</v>
          </cell>
          <cell r="R4107">
            <v>45740</v>
          </cell>
          <cell r="S4107">
            <v>210010</v>
          </cell>
        </row>
        <row r="4108">
          <cell r="K4108" t="str">
            <v>222001</v>
          </cell>
          <cell r="M4108">
            <v>1</v>
          </cell>
          <cell r="R4108">
            <v>45740</v>
          </cell>
          <cell r="S4108">
            <v>222001</v>
          </cell>
        </row>
        <row r="4109">
          <cell r="K4109" t="str">
            <v>226001</v>
          </cell>
          <cell r="M4109">
            <v>2</v>
          </cell>
          <cell r="R4109">
            <v>45740</v>
          </cell>
          <cell r="S4109">
            <v>226001</v>
          </cell>
        </row>
        <row r="4110">
          <cell r="K4110" t="str">
            <v>201011</v>
          </cell>
          <cell r="M4110">
            <v>3</v>
          </cell>
          <cell r="R4110">
            <v>45740</v>
          </cell>
          <cell r="S4110">
            <v>201011</v>
          </cell>
        </row>
        <row r="4111">
          <cell r="K4111" t="str">
            <v>241001</v>
          </cell>
          <cell r="M4111">
            <v>5</v>
          </cell>
          <cell r="R4111">
            <v>45740</v>
          </cell>
          <cell r="S4111">
            <v>241001</v>
          </cell>
        </row>
        <row r="4112">
          <cell r="K4112" t="str">
            <v>210014</v>
          </cell>
          <cell r="M4112">
            <v>2</v>
          </cell>
          <cell r="R4112">
            <v>45741</v>
          </cell>
          <cell r="S4112">
            <v>210014</v>
          </cell>
        </row>
        <row r="4113">
          <cell r="K4113" t="str">
            <v>222003</v>
          </cell>
          <cell r="M4113">
            <v>1</v>
          </cell>
          <cell r="R4113">
            <v>45741</v>
          </cell>
          <cell r="S4113">
            <v>222003</v>
          </cell>
        </row>
        <row r="4114">
          <cell r="K4114" t="str">
            <v>222004</v>
          </cell>
          <cell r="M4114">
            <v>2</v>
          </cell>
          <cell r="R4114">
            <v>45741</v>
          </cell>
          <cell r="S4114">
            <v>222004</v>
          </cell>
        </row>
        <row r="4115">
          <cell r="K4115" t="str">
            <v>218001</v>
          </cell>
          <cell r="M4115">
            <v>4</v>
          </cell>
          <cell r="R4115">
            <v>45741</v>
          </cell>
          <cell r="S4115">
            <v>218001</v>
          </cell>
        </row>
        <row r="4116">
          <cell r="K4116" t="str">
            <v>217018</v>
          </cell>
          <cell r="M4116">
            <v>3</v>
          </cell>
          <cell r="R4116">
            <v>45741</v>
          </cell>
          <cell r="S4116">
            <v>217018</v>
          </cell>
        </row>
        <row r="4117">
          <cell r="K4117" t="str">
            <v>226025</v>
          </cell>
          <cell r="M4117">
            <v>3</v>
          </cell>
          <cell r="R4117">
            <v>45741</v>
          </cell>
          <cell r="S4117">
            <v>226025</v>
          </cell>
        </row>
        <row r="4118">
          <cell r="K4118" t="str">
            <v>222003</v>
          </cell>
          <cell r="M4118">
            <v>1</v>
          </cell>
          <cell r="R4118">
            <v>45741</v>
          </cell>
          <cell r="S4118">
            <v>222003</v>
          </cell>
        </row>
        <row r="4119">
          <cell r="K4119" t="str">
            <v>222003</v>
          </cell>
          <cell r="M4119">
            <v>1</v>
          </cell>
          <cell r="R4119">
            <v>45741</v>
          </cell>
          <cell r="S4119">
            <v>222003</v>
          </cell>
        </row>
        <row r="4120">
          <cell r="K4120" t="str">
            <v>222005</v>
          </cell>
          <cell r="M4120">
            <v>1</v>
          </cell>
          <cell r="R4120">
            <v>45741</v>
          </cell>
          <cell r="S4120">
            <v>222005</v>
          </cell>
        </row>
        <row r="4121">
          <cell r="K4121" t="str">
            <v>222030</v>
          </cell>
          <cell r="M4121">
            <v>8</v>
          </cell>
          <cell r="R4121">
            <v>45741</v>
          </cell>
          <cell r="S4121">
            <v>222030</v>
          </cell>
        </row>
        <row r="4122">
          <cell r="K4122" t="str">
            <v>241001</v>
          </cell>
          <cell r="M4122">
            <v>1</v>
          </cell>
          <cell r="R4122">
            <v>45741</v>
          </cell>
          <cell r="S4122">
            <v>241001</v>
          </cell>
        </row>
        <row r="4123">
          <cell r="K4123" t="str">
            <v>201011</v>
          </cell>
          <cell r="M4123">
            <v>1</v>
          </cell>
          <cell r="R4123">
            <v>45741</v>
          </cell>
          <cell r="S4123">
            <v>201011</v>
          </cell>
        </row>
        <row r="4124">
          <cell r="K4124" t="str">
            <v>222001</v>
          </cell>
          <cell r="M4124">
            <v>3</v>
          </cell>
          <cell r="R4124">
            <v>45741</v>
          </cell>
          <cell r="S4124">
            <v>222001</v>
          </cell>
        </row>
        <row r="4125">
          <cell r="K4125" t="str">
            <v>241001</v>
          </cell>
          <cell r="M4125">
            <v>4</v>
          </cell>
          <cell r="R4125">
            <v>45741</v>
          </cell>
          <cell r="S4125">
            <v>241001</v>
          </cell>
        </row>
        <row r="4126">
          <cell r="K4126" t="str">
            <v>212035</v>
          </cell>
          <cell r="M4126">
            <v>2</v>
          </cell>
          <cell r="R4126">
            <v>45741</v>
          </cell>
          <cell r="S4126">
            <v>212035</v>
          </cell>
        </row>
        <row r="4127">
          <cell r="K4127" t="str">
            <v>201011</v>
          </cell>
          <cell r="M4127">
            <v>36</v>
          </cell>
          <cell r="R4127">
            <v>45741</v>
          </cell>
          <cell r="S4127">
            <v>201011</v>
          </cell>
        </row>
        <row r="4128">
          <cell r="K4128" t="str">
            <v>241001</v>
          </cell>
          <cell r="M4128">
            <v>1</v>
          </cell>
          <cell r="R4128">
            <v>45741</v>
          </cell>
          <cell r="S4128">
            <v>241001</v>
          </cell>
        </row>
        <row r="4129">
          <cell r="K4129" t="str">
            <v>228001</v>
          </cell>
          <cell r="M4129">
            <v>15</v>
          </cell>
          <cell r="R4129">
            <v>45741</v>
          </cell>
          <cell r="S4129">
            <v>228001</v>
          </cell>
        </row>
        <row r="4130">
          <cell r="K4130" t="str">
            <v>231012</v>
          </cell>
          <cell r="M4130">
            <v>4</v>
          </cell>
          <cell r="R4130">
            <v>45741</v>
          </cell>
          <cell r="S4130">
            <v>231012</v>
          </cell>
        </row>
        <row r="4131">
          <cell r="K4131" t="str">
            <v>201022</v>
          </cell>
          <cell r="M4131">
            <v>3</v>
          </cell>
          <cell r="R4131">
            <v>45741</v>
          </cell>
          <cell r="S4131">
            <v>201022</v>
          </cell>
        </row>
        <row r="4132">
          <cell r="K4132" t="str">
            <v>228001</v>
          </cell>
          <cell r="M4132">
            <v>1</v>
          </cell>
          <cell r="R4132">
            <v>45741</v>
          </cell>
          <cell r="S4132">
            <v>228001</v>
          </cell>
        </row>
        <row r="4133">
          <cell r="K4133" t="str">
            <v>218001</v>
          </cell>
          <cell r="M4133">
            <v>1</v>
          </cell>
          <cell r="R4133">
            <v>45741</v>
          </cell>
          <cell r="S4133">
            <v>218001</v>
          </cell>
        </row>
        <row r="4134">
          <cell r="K4134" t="str">
            <v>217019</v>
          </cell>
          <cell r="M4134">
            <v>18</v>
          </cell>
          <cell r="R4134">
            <v>45741</v>
          </cell>
          <cell r="S4134">
            <v>217019</v>
          </cell>
        </row>
        <row r="4135">
          <cell r="K4135" t="str">
            <v>212035</v>
          </cell>
          <cell r="M4135">
            <v>1</v>
          </cell>
          <cell r="R4135">
            <v>45741</v>
          </cell>
          <cell r="S4135">
            <v>212035</v>
          </cell>
        </row>
        <row r="4136">
          <cell r="K4136" t="str">
            <v>201011</v>
          </cell>
          <cell r="M4136">
            <v>7</v>
          </cell>
          <cell r="R4136">
            <v>45741</v>
          </cell>
          <cell r="S4136">
            <v>201011</v>
          </cell>
        </row>
        <row r="4137">
          <cell r="K4137" t="str">
            <v>201011</v>
          </cell>
          <cell r="M4137">
            <v>4</v>
          </cell>
          <cell r="R4137">
            <v>45741</v>
          </cell>
          <cell r="S4137">
            <v>201011</v>
          </cell>
        </row>
        <row r="4138">
          <cell r="K4138" t="str">
            <v>231012</v>
          </cell>
          <cell r="M4138">
            <v>2</v>
          </cell>
          <cell r="R4138">
            <v>45741</v>
          </cell>
          <cell r="S4138">
            <v>231012</v>
          </cell>
        </row>
        <row r="4139">
          <cell r="K4139" t="str">
            <v>207017</v>
          </cell>
          <cell r="M4139">
            <v>3</v>
          </cell>
          <cell r="R4139">
            <v>45741</v>
          </cell>
          <cell r="S4139">
            <v>207017</v>
          </cell>
        </row>
        <row r="4140">
          <cell r="K4140" t="str">
            <v>203003</v>
          </cell>
          <cell r="M4140">
            <v>2</v>
          </cell>
          <cell r="R4140">
            <v>45741</v>
          </cell>
          <cell r="S4140">
            <v>203003</v>
          </cell>
        </row>
        <row r="4141">
          <cell r="K4141" t="str">
            <v>229001</v>
          </cell>
          <cell r="M4141">
            <v>1</v>
          </cell>
          <cell r="R4141">
            <v>45741</v>
          </cell>
          <cell r="S4141">
            <v>229001</v>
          </cell>
        </row>
        <row r="4142">
          <cell r="K4142" t="str">
            <v>213018</v>
          </cell>
          <cell r="M4142">
            <v>1</v>
          </cell>
          <cell r="R4142">
            <v>45741</v>
          </cell>
          <cell r="S4142">
            <v>213018</v>
          </cell>
        </row>
        <row r="4143">
          <cell r="K4143" t="str">
            <v>217018</v>
          </cell>
          <cell r="M4143">
            <v>2</v>
          </cell>
          <cell r="R4143">
            <v>45741</v>
          </cell>
          <cell r="S4143">
            <v>217018</v>
          </cell>
        </row>
        <row r="4144">
          <cell r="K4144" t="str">
            <v>210003</v>
          </cell>
          <cell r="M4144">
            <v>1</v>
          </cell>
          <cell r="R4144">
            <v>45741</v>
          </cell>
          <cell r="S4144">
            <v>210003</v>
          </cell>
        </row>
        <row r="4145">
          <cell r="K4145" t="str">
            <v>228017</v>
          </cell>
          <cell r="M4145">
            <v>4</v>
          </cell>
          <cell r="R4145">
            <v>45741</v>
          </cell>
          <cell r="S4145">
            <v>228017</v>
          </cell>
        </row>
        <row r="4146">
          <cell r="K4146" t="str">
            <v>231012</v>
          </cell>
          <cell r="M4146">
            <v>5</v>
          </cell>
          <cell r="R4146">
            <v>45741</v>
          </cell>
          <cell r="S4146">
            <v>231012</v>
          </cell>
        </row>
        <row r="4147">
          <cell r="K4147" t="str">
            <v>217018</v>
          </cell>
          <cell r="M4147">
            <v>1</v>
          </cell>
          <cell r="R4147">
            <v>45741</v>
          </cell>
          <cell r="S4147">
            <v>217018</v>
          </cell>
        </row>
        <row r="4148">
          <cell r="K4148" t="str">
            <v>229001</v>
          </cell>
          <cell r="M4148">
            <v>2</v>
          </cell>
          <cell r="R4148">
            <v>45742</v>
          </cell>
          <cell r="S4148">
            <v>229001</v>
          </cell>
        </row>
        <row r="4149">
          <cell r="K4149" t="str">
            <v>222001</v>
          </cell>
          <cell r="M4149">
            <v>1</v>
          </cell>
          <cell r="R4149">
            <v>45742</v>
          </cell>
          <cell r="S4149">
            <v>222001</v>
          </cell>
        </row>
        <row r="4150">
          <cell r="K4150" t="str">
            <v>201002</v>
          </cell>
          <cell r="M4150">
            <v>1</v>
          </cell>
          <cell r="R4150">
            <v>45742</v>
          </cell>
          <cell r="S4150">
            <v>201002</v>
          </cell>
        </row>
        <row r="4151">
          <cell r="K4151" t="str">
            <v>213018</v>
          </cell>
          <cell r="M4151">
            <v>7</v>
          </cell>
          <cell r="R4151">
            <v>45742</v>
          </cell>
          <cell r="S4151">
            <v>213018</v>
          </cell>
        </row>
        <row r="4152">
          <cell r="K4152" t="str">
            <v>226001</v>
          </cell>
          <cell r="M4152">
            <v>7</v>
          </cell>
          <cell r="R4152">
            <v>45742</v>
          </cell>
          <cell r="S4152">
            <v>226001</v>
          </cell>
        </row>
        <row r="4153">
          <cell r="K4153" t="str">
            <v>201011</v>
          </cell>
          <cell r="M4153">
            <v>1</v>
          </cell>
          <cell r="R4153">
            <v>45742</v>
          </cell>
          <cell r="S4153">
            <v>201011</v>
          </cell>
        </row>
        <row r="4154">
          <cell r="K4154" t="str">
            <v>228001</v>
          </cell>
          <cell r="M4154">
            <v>1</v>
          </cell>
          <cell r="R4154">
            <v>45742</v>
          </cell>
          <cell r="S4154">
            <v>228001</v>
          </cell>
        </row>
        <row r="4155">
          <cell r="K4155" t="str">
            <v>228017</v>
          </cell>
          <cell r="M4155">
            <v>4</v>
          </cell>
          <cell r="R4155">
            <v>45742</v>
          </cell>
          <cell r="S4155">
            <v>228017</v>
          </cell>
        </row>
        <row r="4156">
          <cell r="K4156" t="str">
            <v>212002</v>
          </cell>
          <cell r="M4156">
            <v>1</v>
          </cell>
          <cell r="R4156">
            <v>45742</v>
          </cell>
          <cell r="S4156">
            <v>212002</v>
          </cell>
        </row>
        <row r="4157">
          <cell r="K4157" t="str">
            <v>209004</v>
          </cell>
          <cell r="M4157">
            <v>1</v>
          </cell>
          <cell r="R4157">
            <v>45742</v>
          </cell>
          <cell r="S4157">
            <v>209004</v>
          </cell>
        </row>
        <row r="4158">
          <cell r="K4158" t="str">
            <v>207017</v>
          </cell>
          <cell r="M4158">
            <v>1</v>
          </cell>
          <cell r="R4158">
            <v>45742</v>
          </cell>
          <cell r="S4158">
            <v>207017</v>
          </cell>
        </row>
        <row r="4159">
          <cell r="K4159" t="str">
            <v>201003</v>
          </cell>
          <cell r="M4159">
            <v>2</v>
          </cell>
          <cell r="R4159">
            <v>45742</v>
          </cell>
          <cell r="S4159">
            <v>201003</v>
          </cell>
        </row>
        <row r="4160">
          <cell r="K4160" t="str">
            <v>227002</v>
          </cell>
          <cell r="M4160">
            <v>2</v>
          </cell>
          <cell r="R4160">
            <v>45742</v>
          </cell>
          <cell r="S4160">
            <v>227002</v>
          </cell>
        </row>
        <row r="4161">
          <cell r="K4161" t="str">
            <v>231012</v>
          </cell>
          <cell r="M4161">
            <v>1</v>
          </cell>
          <cell r="R4161">
            <v>45742</v>
          </cell>
          <cell r="S4161">
            <v>231012</v>
          </cell>
        </row>
        <row r="4162">
          <cell r="K4162" t="str">
            <v>217002</v>
          </cell>
          <cell r="M4162">
            <v>8</v>
          </cell>
          <cell r="R4162">
            <v>45742</v>
          </cell>
          <cell r="S4162">
            <v>217002</v>
          </cell>
        </row>
        <row r="4163">
          <cell r="K4163" t="str">
            <v>209016</v>
          </cell>
          <cell r="M4163">
            <v>1</v>
          </cell>
          <cell r="R4163">
            <v>45742</v>
          </cell>
          <cell r="S4163">
            <v>209016</v>
          </cell>
        </row>
        <row r="4164">
          <cell r="K4164" t="str">
            <v>209012</v>
          </cell>
          <cell r="M4164">
            <v>1</v>
          </cell>
          <cell r="R4164">
            <v>45742</v>
          </cell>
          <cell r="S4164">
            <v>209012</v>
          </cell>
        </row>
        <row r="4165">
          <cell r="K4165" t="str">
            <v>223002</v>
          </cell>
          <cell r="M4165">
            <v>1</v>
          </cell>
          <cell r="R4165">
            <v>45742</v>
          </cell>
          <cell r="S4165">
            <v>223002</v>
          </cell>
        </row>
        <row r="4166">
          <cell r="K4166" t="str">
            <v>223001</v>
          </cell>
          <cell r="M4166">
            <v>1</v>
          </cell>
          <cell r="R4166">
            <v>45742</v>
          </cell>
          <cell r="S4166">
            <v>223001</v>
          </cell>
        </row>
        <row r="4167">
          <cell r="K4167" t="str">
            <v>227001</v>
          </cell>
          <cell r="M4167">
            <v>2</v>
          </cell>
          <cell r="R4167">
            <v>45742</v>
          </cell>
          <cell r="S4167">
            <v>227001</v>
          </cell>
        </row>
        <row r="4168">
          <cell r="K4168" t="str">
            <v>240006</v>
          </cell>
          <cell r="M4168">
            <v>1</v>
          </cell>
          <cell r="R4168">
            <v>45742</v>
          </cell>
          <cell r="S4168">
            <v>240006</v>
          </cell>
        </row>
        <row r="4169">
          <cell r="K4169" t="str">
            <v>217018</v>
          </cell>
          <cell r="M4169">
            <v>1</v>
          </cell>
          <cell r="R4169">
            <v>45742</v>
          </cell>
          <cell r="S4169">
            <v>217018</v>
          </cell>
        </row>
        <row r="4170">
          <cell r="K4170" t="str">
            <v>226026</v>
          </cell>
          <cell r="M4170">
            <v>1</v>
          </cell>
          <cell r="R4170">
            <v>45742</v>
          </cell>
          <cell r="S4170">
            <v>226026</v>
          </cell>
        </row>
        <row r="4171">
          <cell r="K4171" t="str">
            <v>231012</v>
          </cell>
          <cell r="M4171">
            <v>1</v>
          </cell>
          <cell r="R4171">
            <v>45742</v>
          </cell>
          <cell r="S4171">
            <v>231012</v>
          </cell>
        </row>
        <row r="4172">
          <cell r="K4172" t="str">
            <v>201011</v>
          </cell>
          <cell r="M4172">
            <v>4</v>
          </cell>
          <cell r="R4172">
            <v>45742</v>
          </cell>
          <cell r="S4172">
            <v>201011</v>
          </cell>
        </row>
        <row r="4173">
          <cell r="K4173" t="str">
            <v>217018</v>
          </cell>
          <cell r="M4173">
            <v>1</v>
          </cell>
          <cell r="R4173">
            <v>45742</v>
          </cell>
          <cell r="S4173">
            <v>217018</v>
          </cell>
        </row>
        <row r="4174">
          <cell r="K4174" t="str">
            <v>229001</v>
          </cell>
          <cell r="M4174">
            <v>2</v>
          </cell>
          <cell r="R4174">
            <v>45742</v>
          </cell>
          <cell r="S4174">
            <v>229001</v>
          </cell>
        </row>
        <row r="4175">
          <cell r="K4175" t="str">
            <v>201011</v>
          </cell>
          <cell r="M4175">
            <v>6</v>
          </cell>
          <cell r="R4175">
            <v>45742</v>
          </cell>
          <cell r="S4175">
            <v>201011</v>
          </cell>
        </row>
        <row r="4176">
          <cell r="K4176" t="str">
            <v>223001</v>
          </cell>
          <cell r="M4176">
            <v>3</v>
          </cell>
          <cell r="R4176">
            <v>45742</v>
          </cell>
          <cell r="S4176">
            <v>223001</v>
          </cell>
        </row>
        <row r="4177">
          <cell r="K4177" t="str">
            <v>228017</v>
          </cell>
          <cell r="M4177">
            <v>3</v>
          </cell>
          <cell r="R4177">
            <v>45742</v>
          </cell>
          <cell r="S4177">
            <v>228017</v>
          </cell>
        </row>
        <row r="4178">
          <cell r="K4178" t="str">
            <v>209012</v>
          </cell>
          <cell r="M4178">
            <v>1</v>
          </cell>
          <cell r="R4178">
            <v>45742</v>
          </cell>
          <cell r="S4178">
            <v>209012</v>
          </cell>
        </row>
        <row r="4179">
          <cell r="K4179" t="str">
            <v>203001</v>
          </cell>
          <cell r="M4179">
            <v>1</v>
          </cell>
          <cell r="R4179">
            <v>45742</v>
          </cell>
          <cell r="S4179">
            <v>203001</v>
          </cell>
        </row>
        <row r="4180">
          <cell r="K4180" t="str">
            <v>201023</v>
          </cell>
          <cell r="M4180">
            <v>4</v>
          </cell>
          <cell r="R4180">
            <v>45742</v>
          </cell>
          <cell r="S4180">
            <v>201023</v>
          </cell>
        </row>
        <row r="4181">
          <cell r="K4181" t="str">
            <v>201011</v>
          </cell>
          <cell r="M4181">
            <v>3</v>
          </cell>
          <cell r="R4181">
            <v>45742</v>
          </cell>
          <cell r="S4181">
            <v>201011</v>
          </cell>
        </row>
        <row r="4182">
          <cell r="K4182" t="str">
            <v>226001</v>
          </cell>
          <cell r="M4182">
            <v>1</v>
          </cell>
          <cell r="R4182">
            <v>45742</v>
          </cell>
          <cell r="S4182">
            <v>226001</v>
          </cell>
        </row>
        <row r="4183">
          <cell r="K4183" t="str">
            <v>201011</v>
          </cell>
          <cell r="M4183">
            <v>1</v>
          </cell>
          <cell r="R4183">
            <v>45743</v>
          </cell>
          <cell r="S4183">
            <v>201011</v>
          </cell>
        </row>
        <row r="4184">
          <cell r="K4184" t="str">
            <v>222001</v>
          </cell>
          <cell r="M4184">
            <v>2</v>
          </cell>
          <cell r="R4184">
            <v>45743</v>
          </cell>
          <cell r="S4184">
            <v>222001</v>
          </cell>
        </row>
        <row r="4185">
          <cell r="K4185" t="str">
            <v>210004</v>
          </cell>
          <cell r="M4185">
            <v>1</v>
          </cell>
          <cell r="R4185">
            <v>45743</v>
          </cell>
          <cell r="S4185">
            <v>210004</v>
          </cell>
        </row>
        <row r="4186">
          <cell r="K4186" t="str">
            <v>222002</v>
          </cell>
          <cell r="M4186">
            <v>1</v>
          </cell>
          <cell r="R4186">
            <v>45743</v>
          </cell>
          <cell r="S4186">
            <v>222002</v>
          </cell>
        </row>
        <row r="4187">
          <cell r="K4187" t="str">
            <v>229003</v>
          </cell>
          <cell r="M4187">
            <v>2</v>
          </cell>
          <cell r="R4187">
            <v>45743</v>
          </cell>
          <cell r="S4187">
            <v>229003</v>
          </cell>
        </row>
        <row r="4188">
          <cell r="K4188" t="str">
            <v>201011</v>
          </cell>
          <cell r="M4188">
            <v>1</v>
          </cell>
          <cell r="R4188">
            <v>45743</v>
          </cell>
          <cell r="S4188">
            <v>201011</v>
          </cell>
        </row>
        <row r="4189">
          <cell r="K4189" t="str">
            <v>209004</v>
          </cell>
          <cell r="M4189">
            <v>1</v>
          </cell>
          <cell r="R4189">
            <v>45743</v>
          </cell>
          <cell r="S4189">
            <v>209004</v>
          </cell>
        </row>
        <row r="4190">
          <cell r="K4190" t="str">
            <v>203001</v>
          </cell>
          <cell r="M4190">
            <v>2</v>
          </cell>
          <cell r="R4190">
            <v>45742</v>
          </cell>
          <cell r="S4190">
            <v>203001</v>
          </cell>
        </row>
        <row r="4191">
          <cell r="K4191" t="str">
            <v>201011</v>
          </cell>
          <cell r="M4191">
            <v>2</v>
          </cell>
          <cell r="R4191">
            <v>45742</v>
          </cell>
          <cell r="S4191">
            <v>201011</v>
          </cell>
        </row>
        <row r="4192">
          <cell r="K4192" t="str">
            <v>222001</v>
          </cell>
          <cell r="M4192">
            <v>1</v>
          </cell>
          <cell r="R4192">
            <v>45742</v>
          </cell>
          <cell r="S4192">
            <v>222001</v>
          </cell>
        </row>
        <row r="4193">
          <cell r="K4193" t="str">
            <v>201011</v>
          </cell>
          <cell r="M4193">
            <v>5</v>
          </cell>
          <cell r="R4193">
            <v>45743</v>
          </cell>
          <cell r="S4193">
            <v>201011</v>
          </cell>
        </row>
        <row r="4194">
          <cell r="K4194" t="str">
            <v>209004</v>
          </cell>
          <cell r="M4194">
            <v>2</v>
          </cell>
          <cell r="R4194">
            <v>45743</v>
          </cell>
          <cell r="S4194">
            <v>209004</v>
          </cell>
        </row>
        <row r="4195">
          <cell r="K4195" t="str">
            <v>212035</v>
          </cell>
          <cell r="M4195">
            <v>3</v>
          </cell>
          <cell r="R4195">
            <v>45743</v>
          </cell>
          <cell r="S4195">
            <v>212035</v>
          </cell>
        </row>
        <row r="4196">
          <cell r="K4196" t="str">
            <v>231004</v>
          </cell>
          <cell r="M4196">
            <v>1</v>
          </cell>
          <cell r="R4196">
            <v>45743</v>
          </cell>
          <cell r="S4196">
            <v>231004</v>
          </cell>
        </row>
        <row r="4197">
          <cell r="K4197" t="str">
            <v>203001</v>
          </cell>
          <cell r="M4197">
            <v>1</v>
          </cell>
          <cell r="R4197">
            <v>45743</v>
          </cell>
          <cell r="S4197">
            <v>203001</v>
          </cell>
        </row>
        <row r="4198">
          <cell r="K4198" t="str">
            <v>228017</v>
          </cell>
          <cell r="M4198">
            <v>5</v>
          </cell>
          <cell r="R4198">
            <v>45743</v>
          </cell>
          <cell r="S4198">
            <v>228017</v>
          </cell>
        </row>
        <row r="4199">
          <cell r="K4199" t="str">
            <v>217018</v>
          </cell>
          <cell r="M4199">
            <v>1</v>
          </cell>
          <cell r="R4199">
            <v>45743</v>
          </cell>
          <cell r="S4199">
            <v>217018</v>
          </cell>
        </row>
        <row r="4200">
          <cell r="K4200" t="str">
            <v>212002</v>
          </cell>
          <cell r="M4200">
            <v>1</v>
          </cell>
          <cell r="R4200">
            <v>45743</v>
          </cell>
          <cell r="S4200">
            <v>212002</v>
          </cell>
        </row>
        <row r="4201">
          <cell r="K4201" t="str">
            <v>223002</v>
          </cell>
          <cell r="M4201">
            <v>6</v>
          </cell>
          <cell r="R4201">
            <v>45743</v>
          </cell>
          <cell r="S4201">
            <v>223002</v>
          </cell>
        </row>
        <row r="4202">
          <cell r="K4202" t="str">
            <v>201011</v>
          </cell>
          <cell r="M4202">
            <v>1</v>
          </cell>
          <cell r="R4202">
            <v>45743</v>
          </cell>
          <cell r="S4202">
            <v>201011</v>
          </cell>
        </row>
        <row r="4203">
          <cell r="K4203" t="str">
            <v>203003</v>
          </cell>
          <cell r="M4203">
            <v>1</v>
          </cell>
          <cell r="R4203">
            <v>45743</v>
          </cell>
          <cell r="S4203">
            <v>203003</v>
          </cell>
        </row>
        <row r="4204">
          <cell r="K4204" t="str">
            <v>207017</v>
          </cell>
          <cell r="M4204">
            <v>2</v>
          </cell>
          <cell r="R4204">
            <v>45743</v>
          </cell>
          <cell r="S4204">
            <v>207017</v>
          </cell>
        </row>
        <row r="4205">
          <cell r="K4205" t="str">
            <v>203003</v>
          </cell>
          <cell r="M4205">
            <v>3</v>
          </cell>
          <cell r="R4205">
            <v>45743</v>
          </cell>
          <cell r="S4205">
            <v>203003</v>
          </cell>
        </row>
        <row r="4206">
          <cell r="K4206" t="str">
            <v>201011</v>
          </cell>
          <cell r="M4206">
            <v>6</v>
          </cell>
          <cell r="R4206">
            <v>45743</v>
          </cell>
          <cell r="S4206">
            <v>201011</v>
          </cell>
        </row>
        <row r="4207">
          <cell r="K4207" t="str">
            <v>227012</v>
          </cell>
          <cell r="M4207">
            <v>1</v>
          </cell>
          <cell r="R4207">
            <v>45743</v>
          </cell>
          <cell r="S4207">
            <v>227012</v>
          </cell>
        </row>
        <row r="4208">
          <cell r="K4208" t="str">
            <v>223001</v>
          </cell>
          <cell r="M4208">
            <v>4</v>
          </cell>
          <cell r="R4208">
            <v>45743</v>
          </cell>
          <cell r="S4208">
            <v>223001</v>
          </cell>
        </row>
        <row r="4209">
          <cell r="K4209" t="str">
            <v>213030</v>
          </cell>
          <cell r="M4209">
            <v>6</v>
          </cell>
          <cell r="R4209">
            <v>45743</v>
          </cell>
          <cell r="S4209">
            <v>213030</v>
          </cell>
        </row>
        <row r="4210">
          <cell r="K4210" t="str">
            <v>213030</v>
          </cell>
          <cell r="M4210">
            <v>52</v>
          </cell>
          <cell r="R4210">
            <v>45743</v>
          </cell>
          <cell r="S4210">
            <v>213030</v>
          </cell>
        </row>
        <row r="4211">
          <cell r="K4211" t="str">
            <v>210014</v>
          </cell>
          <cell r="M4211">
            <v>2</v>
          </cell>
          <cell r="R4211">
            <v>45743</v>
          </cell>
          <cell r="S4211">
            <v>210014</v>
          </cell>
        </row>
        <row r="4212">
          <cell r="K4212" t="str">
            <v>210010</v>
          </cell>
          <cell r="M4212">
            <v>2</v>
          </cell>
          <cell r="R4212">
            <v>45743</v>
          </cell>
          <cell r="S4212">
            <v>210010</v>
          </cell>
        </row>
        <row r="4213">
          <cell r="K4213" t="str">
            <v>201011</v>
          </cell>
          <cell r="M4213">
            <v>2</v>
          </cell>
          <cell r="R4213">
            <v>45743</v>
          </cell>
          <cell r="S4213">
            <v>201011</v>
          </cell>
        </row>
        <row r="4214">
          <cell r="K4214" t="str">
            <v>201002</v>
          </cell>
          <cell r="M4214">
            <v>1</v>
          </cell>
          <cell r="R4214">
            <v>45743</v>
          </cell>
          <cell r="S4214">
            <v>201002</v>
          </cell>
        </row>
        <row r="4215">
          <cell r="K4215" t="str">
            <v>223002</v>
          </cell>
          <cell r="M4215">
            <v>2</v>
          </cell>
          <cell r="R4215">
            <v>45743</v>
          </cell>
          <cell r="S4215">
            <v>223002</v>
          </cell>
        </row>
        <row r="4216">
          <cell r="K4216" t="str">
            <v>223001</v>
          </cell>
          <cell r="M4216">
            <v>2</v>
          </cell>
          <cell r="R4216">
            <v>45743</v>
          </cell>
          <cell r="S4216">
            <v>223001</v>
          </cell>
        </row>
        <row r="4217">
          <cell r="K4217" t="str">
            <v>241001</v>
          </cell>
          <cell r="M4217">
            <v>2</v>
          </cell>
          <cell r="R4217">
            <v>45743</v>
          </cell>
          <cell r="S4217">
            <v>241001</v>
          </cell>
        </row>
        <row r="4218">
          <cell r="K4218" t="str">
            <v>213018</v>
          </cell>
          <cell r="M4218">
            <v>8</v>
          </cell>
          <cell r="R4218">
            <v>45743</v>
          </cell>
          <cell r="S4218">
            <v>213018</v>
          </cell>
        </row>
        <row r="4219">
          <cell r="K4219" t="str">
            <v>226001</v>
          </cell>
          <cell r="M4219">
            <v>2</v>
          </cell>
          <cell r="R4219">
            <v>45743</v>
          </cell>
          <cell r="S4219">
            <v>226001</v>
          </cell>
        </row>
        <row r="4220">
          <cell r="K4220" t="str">
            <v>226001</v>
          </cell>
          <cell r="M4220">
            <v>2</v>
          </cell>
          <cell r="R4220">
            <v>45743</v>
          </cell>
          <cell r="S4220">
            <v>226001</v>
          </cell>
        </row>
        <row r="4221">
          <cell r="K4221" t="str">
            <v>227012</v>
          </cell>
          <cell r="M4221">
            <v>1</v>
          </cell>
          <cell r="R4221">
            <v>45743</v>
          </cell>
          <cell r="S4221">
            <v>227012</v>
          </cell>
        </row>
        <row r="4222">
          <cell r="K4222" t="str">
            <v>222001</v>
          </cell>
          <cell r="M4222">
            <v>3</v>
          </cell>
          <cell r="R4222">
            <v>45743</v>
          </cell>
          <cell r="S4222">
            <v>222001</v>
          </cell>
        </row>
        <row r="4223">
          <cell r="K4223" t="str">
            <v>241001</v>
          </cell>
          <cell r="M4223">
            <v>3</v>
          </cell>
          <cell r="R4223">
            <v>45743</v>
          </cell>
          <cell r="S4223">
            <v>241001</v>
          </cell>
        </row>
        <row r="4224">
          <cell r="K4224" t="str">
            <v>231012</v>
          </cell>
          <cell r="M4224">
            <v>4</v>
          </cell>
          <cell r="R4224">
            <v>45744</v>
          </cell>
          <cell r="S4224">
            <v>231012</v>
          </cell>
        </row>
        <row r="4225">
          <cell r="K4225" t="str">
            <v>213030</v>
          </cell>
          <cell r="M4225">
            <v>6</v>
          </cell>
          <cell r="R4225">
            <v>45744</v>
          </cell>
          <cell r="S4225">
            <v>213030</v>
          </cell>
        </row>
        <row r="4226">
          <cell r="K4226" t="str">
            <v>217002</v>
          </cell>
          <cell r="M4226">
            <v>1</v>
          </cell>
          <cell r="R4226">
            <v>45744</v>
          </cell>
          <cell r="S4226">
            <v>217002</v>
          </cell>
        </row>
        <row r="4227">
          <cell r="K4227" t="str">
            <v>227002</v>
          </cell>
          <cell r="M4227">
            <v>1</v>
          </cell>
          <cell r="R4227">
            <v>45744</v>
          </cell>
          <cell r="S4227">
            <v>227002</v>
          </cell>
        </row>
        <row r="4228">
          <cell r="K4228" t="str">
            <v>217011</v>
          </cell>
          <cell r="M4228">
            <v>1</v>
          </cell>
          <cell r="R4228">
            <v>45744</v>
          </cell>
          <cell r="S4228">
            <v>217011</v>
          </cell>
        </row>
        <row r="4229">
          <cell r="K4229" t="str">
            <v>201022</v>
          </cell>
          <cell r="M4229">
            <v>1</v>
          </cell>
          <cell r="R4229">
            <v>45744</v>
          </cell>
          <cell r="S4229">
            <v>201022</v>
          </cell>
        </row>
        <row r="4230">
          <cell r="K4230" t="str">
            <v>232001</v>
          </cell>
          <cell r="M4230">
            <v>3</v>
          </cell>
          <cell r="R4230">
            <v>45744</v>
          </cell>
          <cell r="S4230">
            <v>232001</v>
          </cell>
        </row>
        <row r="4231">
          <cell r="K4231" t="str">
            <v>213030</v>
          </cell>
          <cell r="M4231">
            <v>1</v>
          </cell>
          <cell r="R4231">
            <v>45744</v>
          </cell>
          <cell r="S4231">
            <v>213030</v>
          </cell>
        </row>
        <row r="4232">
          <cell r="K4232" t="str">
            <v>241001</v>
          </cell>
          <cell r="M4232">
            <v>4</v>
          </cell>
          <cell r="R4232">
            <v>45744</v>
          </cell>
          <cell r="S4232">
            <v>241001</v>
          </cell>
        </row>
        <row r="4233">
          <cell r="K4233" t="str">
            <v>217018</v>
          </cell>
          <cell r="M4233">
            <v>1</v>
          </cell>
          <cell r="R4233">
            <v>45744</v>
          </cell>
          <cell r="S4233">
            <v>217018</v>
          </cell>
        </row>
        <row r="4234">
          <cell r="K4234" t="str">
            <v>213030</v>
          </cell>
          <cell r="M4234">
            <v>2</v>
          </cell>
          <cell r="R4234">
            <v>45744</v>
          </cell>
          <cell r="S4234">
            <v>213030</v>
          </cell>
        </row>
        <row r="4235">
          <cell r="K4235" t="str">
            <v>223002</v>
          </cell>
          <cell r="M4235">
            <v>1</v>
          </cell>
          <cell r="R4235">
            <v>45744</v>
          </cell>
          <cell r="S4235">
            <v>223002</v>
          </cell>
        </row>
        <row r="4236">
          <cell r="K4236" t="str">
            <v>223001</v>
          </cell>
          <cell r="M4236">
            <v>1</v>
          </cell>
          <cell r="R4236">
            <v>45744</v>
          </cell>
          <cell r="S4236">
            <v>223001</v>
          </cell>
        </row>
        <row r="4237">
          <cell r="K4237" t="str">
            <v>231012</v>
          </cell>
          <cell r="M4237">
            <v>1</v>
          </cell>
          <cell r="R4237">
            <v>45744</v>
          </cell>
          <cell r="S4237">
            <v>231012</v>
          </cell>
        </row>
        <row r="4238">
          <cell r="K4238" t="str">
            <v>241001</v>
          </cell>
          <cell r="M4238">
            <v>1</v>
          </cell>
          <cell r="R4238">
            <v>45744</v>
          </cell>
          <cell r="S4238">
            <v>241001</v>
          </cell>
        </row>
        <row r="4239">
          <cell r="K4239" t="str">
            <v>228017</v>
          </cell>
          <cell r="M4239">
            <v>24</v>
          </cell>
          <cell r="R4239">
            <v>45744</v>
          </cell>
          <cell r="S4239">
            <v>228017</v>
          </cell>
        </row>
        <row r="4240">
          <cell r="K4240" t="str">
            <v>201011</v>
          </cell>
          <cell r="M4240">
            <v>36</v>
          </cell>
          <cell r="R4240">
            <v>45744</v>
          </cell>
          <cell r="S4240">
            <v>201011</v>
          </cell>
        </row>
        <row r="4241">
          <cell r="K4241" t="str">
            <v>212002</v>
          </cell>
          <cell r="M4241">
            <v>1</v>
          </cell>
          <cell r="R4241">
            <v>45743</v>
          </cell>
          <cell r="S4241">
            <v>212002</v>
          </cell>
        </row>
        <row r="4242">
          <cell r="K4242" t="str">
            <v>226001</v>
          </cell>
          <cell r="M4242">
            <v>1</v>
          </cell>
          <cell r="R4242">
            <v>45744</v>
          </cell>
          <cell r="S4242">
            <v>226001</v>
          </cell>
        </row>
        <row r="4243">
          <cell r="K4243" t="str">
            <v>241001</v>
          </cell>
          <cell r="M4243">
            <v>3</v>
          </cell>
          <cell r="R4243">
            <v>45744</v>
          </cell>
          <cell r="S4243">
            <v>241001</v>
          </cell>
        </row>
        <row r="4244">
          <cell r="K4244" t="str">
            <v>217002</v>
          </cell>
          <cell r="M4244">
            <v>1</v>
          </cell>
          <cell r="R4244">
            <v>45744</v>
          </cell>
          <cell r="S4244">
            <v>217002</v>
          </cell>
        </row>
        <row r="4245">
          <cell r="K4245" t="str">
            <v>226022</v>
          </cell>
          <cell r="M4245">
            <v>1</v>
          </cell>
          <cell r="R4245">
            <v>45744</v>
          </cell>
          <cell r="S4245">
            <v>226022</v>
          </cell>
        </row>
        <row r="4246">
          <cell r="K4246" t="str">
            <v>241001</v>
          </cell>
          <cell r="M4246">
            <v>2</v>
          </cell>
          <cell r="R4246">
            <v>45744</v>
          </cell>
          <cell r="S4246">
            <v>241001</v>
          </cell>
        </row>
        <row r="4247">
          <cell r="K4247" t="str">
            <v>226001</v>
          </cell>
          <cell r="M4247">
            <v>1</v>
          </cell>
          <cell r="R4247">
            <v>45744</v>
          </cell>
          <cell r="S4247">
            <v>226001</v>
          </cell>
        </row>
        <row r="4248">
          <cell r="K4248" t="str">
            <v>203004</v>
          </cell>
          <cell r="M4248">
            <v>1</v>
          </cell>
          <cell r="R4248">
            <v>45744</v>
          </cell>
          <cell r="S4248">
            <v>203004</v>
          </cell>
        </row>
        <row r="4249">
          <cell r="K4249" t="str">
            <v>217002</v>
          </cell>
          <cell r="M4249">
            <v>1</v>
          </cell>
          <cell r="R4249">
            <v>45744</v>
          </cell>
          <cell r="S4249">
            <v>217002</v>
          </cell>
        </row>
        <row r="4250">
          <cell r="K4250" t="str">
            <v>222001</v>
          </cell>
          <cell r="M4250">
            <v>2</v>
          </cell>
          <cell r="R4250">
            <v>45744</v>
          </cell>
          <cell r="S4250">
            <v>222001</v>
          </cell>
        </row>
        <row r="4251">
          <cell r="K4251" t="str">
            <v>201011</v>
          </cell>
          <cell r="M4251">
            <v>2</v>
          </cell>
          <cell r="R4251">
            <v>45744</v>
          </cell>
          <cell r="S4251">
            <v>201011</v>
          </cell>
        </row>
        <row r="4252">
          <cell r="K4252" t="str">
            <v>213030</v>
          </cell>
          <cell r="M4252">
            <v>2</v>
          </cell>
          <cell r="R4252">
            <v>45744</v>
          </cell>
          <cell r="S4252">
            <v>213030</v>
          </cell>
        </row>
        <row r="4253">
          <cell r="K4253" t="str">
            <v>209006</v>
          </cell>
          <cell r="M4253">
            <v>1</v>
          </cell>
          <cell r="R4253">
            <v>45744</v>
          </cell>
          <cell r="S4253">
            <v>209006</v>
          </cell>
        </row>
        <row r="4254">
          <cell r="K4254" t="str">
            <v>209017</v>
          </cell>
          <cell r="M4254">
            <v>1</v>
          </cell>
          <cell r="R4254">
            <v>45744</v>
          </cell>
          <cell r="S4254">
            <v>209017</v>
          </cell>
        </row>
        <row r="4255">
          <cell r="K4255" t="str">
            <v>213030</v>
          </cell>
          <cell r="M4255">
            <v>5</v>
          </cell>
          <cell r="R4255">
            <v>45744</v>
          </cell>
          <cell r="S4255">
            <v>213030</v>
          </cell>
        </row>
        <row r="4256">
          <cell r="K4256" t="str">
            <v>213030</v>
          </cell>
          <cell r="M4256">
            <v>6</v>
          </cell>
          <cell r="R4256">
            <v>45744</v>
          </cell>
          <cell r="S4256">
            <v>213030</v>
          </cell>
        </row>
        <row r="4257">
          <cell r="K4257" t="str">
            <v>226025</v>
          </cell>
          <cell r="M4257">
            <v>1</v>
          </cell>
          <cell r="R4257">
            <v>45744</v>
          </cell>
          <cell r="S4257">
            <v>226025</v>
          </cell>
        </row>
        <row r="4258">
          <cell r="K4258" t="str">
            <v>217002</v>
          </cell>
          <cell r="M4258">
            <v>1</v>
          </cell>
          <cell r="R4258">
            <v>45744</v>
          </cell>
          <cell r="S4258">
            <v>217002</v>
          </cell>
        </row>
        <row r="4259">
          <cell r="K4259" t="str">
            <v>223004</v>
          </cell>
          <cell r="M4259">
            <v>5</v>
          </cell>
          <cell r="R4259">
            <v>45744</v>
          </cell>
          <cell r="S4259">
            <v>223004</v>
          </cell>
        </row>
        <row r="4260">
          <cell r="K4260" t="str">
            <v>213030</v>
          </cell>
          <cell r="M4260">
            <v>5</v>
          </cell>
          <cell r="R4260">
            <v>45744</v>
          </cell>
          <cell r="S4260">
            <v>213030</v>
          </cell>
        </row>
        <row r="4261">
          <cell r="K4261" t="str">
            <v>213030</v>
          </cell>
          <cell r="M4261">
            <v>12</v>
          </cell>
          <cell r="R4261">
            <v>45744</v>
          </cell>
          <cell r="S4261">
            <v>213030</v>
          </cell>
        </row>
        <row r="4262">
          <cell r="K4262" t="str">
            <v>203001</v>
          </cell>
          <cell r="M4262">
            <v>1</v>
          </cell>
          <cell r="R4262">
            <v>45744</v>
          </cell>
          <cell r="S4262">
            <v>203001</v>
          </cell>
        </row>
        <row r="4263">
          <cell r="K4263" t="str">
            <v>226001</v>
          </cell>
          <cell r="M4263">
            <v>3</v>
          </cell>
          <cell r="R4263">
            <v>45744</v>
          </cell>
          <cell r="S4263">
            <v>226001</v>
          </cell>
        </row>
        <row r="4264">
          <cell r="K4264" t="str">
            <v>228017</v>
          </cell>
          <cell r="M4264">
            <v>10</v>
          </cell>
          <cell r="R4264">
            <v>45744</v>
          </cell>
          <cell r="S4264">
            <v>228017</v>
          </cell>
        </row>
        <row r="4265">
          <cell r="K4265" t="str">
            <v>213030</v>
          </cell>
          <cell r="M4265">
            <v>1</v>
          </cell>
          <cell r="R4265">
            <v>45744</v>
          </cell>
          <cell r="S4265">
            <v>213030</v>
          </cell>
        </row>
        <row r="4266">
          <cell r="K4266" t="str">
            <v>223017</v>
          </cell>
          <cell r="M4266">
            <v>2</v>
          </cell>
          <cell r="R4266">
            <v>45744</v>
          </cell>
          <cell r="S4266">
            <v>223017</v>
          </cell>
        </row>
        <row r="4267">
          <cell r="K4267" t="str">
            <v>201011</v>
          </cell>
          <cell r="M4267">
            <v>36</v>
          </cell>
          <cell r="R4267">
            <v>45744</v>
          </cell>
          <cell r="S4267">
            <v>201011</v>
          </cell>
        </row>
        <row r="4268">
          <cell r="K4268" t="str">
            <v>213030</v>
          </cell>
          <cell r="M4268">
            <v>2</v>
          </cell>
          <cell r="R4268">
            <v>45744</v>
          </cell>
          <cell r="S4268">
            <v>213030</v>
          </cell>
        </row>
        <row r="4269">
          <cell r="K4269" t="str">
            <v>212002</v>
          </cell>
          <cell r="M4269">
            <v>1</v>
          </cell>
          <cell r="R4269">
            <v>45745</v>
          </cell>
          <cell r="S4269">
            <v>212002</v>
          </cell>
        </row>
        <row r="4270">
          <cell r="K4270" t="str">
            <v>203001</v>
          </cell>
          <cell r="M4270">
            <v>2</v>
          </cell>
          <cell r="R4270">
            <v>45746</v>
          </cell>
          <cell r="S4270">
            <v>203001</v>
          </cell>
        </row>
        <row r="4271">
          <cell r="K4271" t="str">
            <v>231012</v>
          </cell>
          <cell r="M4271">
            <v>4</v>
          </cell>
          <cell r="R4271">
            <v>45746</v>
          </cell>
          <cell r="S4271">
            <v>231012</v>
          </cell>
        </row>
        <row r="4272">
          <cell r="K4272" t="str">
            <v>201011</v>
          </cell>
          <cell r="M4272">
            <v>1</v>
          </cell>
          <cell r="R4272">
            <v>45746</v>
          </cell>
          <cell r="S4272">
            <v>201011</v>
          </cell>
        </row>
        <row r="4273">
          <cell r="K4273" t="str">
            <v>223002</v>
          </cell>
          <cell r="M4273">
            <v>1</v>
          </cell>
          <cell r="R4273">
            <v>45746</v>
          </cell>
          <cell r="S4273">
            <v>223002</v>
          </cell>
        </row>
        <row r="4274">
          <cell r="K4274" t="str">
            <v>223001</v>
          </cell>
          <cell r="M4274">
            <v>10</v>
          </cell>
          <cell r="R4274">
            <v>45746</v>
          </cell>
          <cell r="S4274">
            <v>223001</v>
          </cell>
        </row>
        <row r="4275">
          <cell r="K4275" t="str">
            <v>227012</v>
          </cell>
          <cell r="M4275">
            <v>1</v>
          </cell>
          <cell r="R4275">
            <v>45746</v>
          </cell>
          <cell r="S4275">
            <v>227012</v>
          </cell>
        </row>
        <row r="4276">
          <cell r="K4276" t="str">
            <v>209022</v>
          </cell>
          <cell r="M4276">
            <v>4</v>
          </cell>
          <cell r="R4276">
            <v>45746</v>
          </cell>
          <cell r="S4276">
            <v>209022</v>
          </cell>
        </row>
        <row r="4277">
          <cell r="K4277" t="str">
            <v>214002</v>
          </cell>
          <cell r="M4277">
            <v>1</v>
          </cell>
          <cell r="R4277">
            <v>45745</v>
          </cell>
          <cell r="S4277">
            <v>214002</v>
          </cell>
        </row>
        <row r="4278">
          <cell r="K4278" t="str">
            <v>226001</v>
          </cell>
          <cell r="M4278">
            <v>1</v>
          </cell>
          <cell r="R4278">
            <v>45745</v>
          </cell>
          <cell r="S4278">
            <v>226001</v>
          </cell>
        </row>
        <row r="4279">
          <cell r="K4279" t="str">
            <v>217002</v>
          </cell>
          <cell r="M4279">
            <v>1</v>
          </cell>
          <cell r="R4279">
            <v>45745</v>
          </cell>
          <cell r="S4279">
            <v>217002</v>
          </cell>
        </row>
        <row r="4280">
          <cell r="K4280" t="str">
            <v>201011</v>
          </cell>
          <cell r="M4280">
            <v>8</v>
          </cell>
          <cell r="R4280">
            <v>45746</v>
          </cell>
          <cell r="S4280">
            <v>201011</v>
          </cell>
        </row>
        <row r="4281">
          <cell r="K4281" t="str">
            <v>201011</v>
          </cell>
          <cell r="M4281">
            <v>6</v>
          </cell>
          <cell r="R4281">
            <v>45747</v>
          </cell>
          <cell r="S4281">
            <v>201011</v>
          </cell>
        </row>
        <row r="4282">
          <cell r="K4282" t="str">
            <v>201003</v>
          </cell>
          <cell r="M4282">
            <v>6</v>
          </cell>
          <cell r="R4282">
            <v>45747</v>
          </cell>
          <cell r="S4282">
            <v>201003</v>
          </cell>
        </row>
        <row r="4283">
          <cell r="K4283" t="str">
            <v>201011</v>
          </cell>
          <cell r="M4283">
            <v>3</v>
          </cell>
          <cell r="R4283">
            <v>45747</v>
          </cell>
          <cell r="S4283">
            <v>201011</v>
          </cell>
        </row>
        <row r="4284">
          <cell r="K4284" t="str">
            <v>203003</v>
          </cell>
          <cell r="M4284">
            <v>1</v>
          </cell>
          <cell r="R4284">
            <v>45747</v>
          </cell>
          <cell r="S4284">
            <v>203003</v>
          </cell>
        </row>
        <row r="4285">
          <cell r="K4285" t="str">
            <v>231012</v>
          </cell>
          <cell r="M4285">
            <v>1</v>
          </cell>
          <cell r="R4285">
            <v>45747</v>
          </cell>
          <cell r="S4285">
            <v>231012</v>
          </cell>
        </row>
        <row r="4286">
          <cell r="K4286" t="str">
            <v>229001</v>
          </cell>
          <cell r="M4286">
            <v>4</v>
          </cell>
          <cell r="R4286">
            <v>45747</v>
          </cell>
          <cell r="S4286">
            <v>229001</v>
          </cell>
        </row>
        <row r="4287">
          <cell r="K4287" t="str">
            <v>223001</v>
          </cell>
          <cell r="M4287">
            <v>1</v>
          </cell>
          <cell r="R4287">
            <v>45747</v>
          </cell>
          <cell r="S4287">
            <v>223001</v>
          </cell>
        </row>
        <row r="4288">
          <cell r="K4288" t="str">
            <v>201011</v>
          </cell>
          <cell r="M4288">
            <v>1</v>
          </cell>
          <cell r="R4288">
            <v>45747</v>
          </cell>
          <cell r="S4288">
            <v>201011</v>
          </cell>
        </row>
        <row r="4289">
          <cell r="K4289" t="str">
            <v>212035</v>
          </cell>
          <cell r="M4289">
            <v>2</v>
          </cell>
          <cell r="R4289">
            <v>45747</v>
          </cell>
          <cell r="S4289">
            <v>212035</v>
          </cell>
        </row>
        <row r="4290">
          <cell r="K4290" t="str">
            <v>220003</v>
          </cell>
          <cell r="M4290">
            <v>2</v>
          </cell>
          <cell r="R4290">
            <v>45747</v>
          </cell>
          <cell r="S4290">
            <v>220003</v>
          </cell>
        </row>
        <row r="4291">
          <cell r="K4291" t="str">
            <v>213018</v>
          </cell>
          <cell r="M4291">
            <v>4</v>
          </cell>
          <cell r="R4291">
            <v>45747</v>
          </cell>
          <cell r="S4291">
            <v>213018</v>
          </cell>
        </row>
        <row r="4292">
          <cell r="K4292" t="str">
            <v>217019</v>
          </cell>
          <cell r="M4292">
            <v>36</v>
          </cell>
          <cell r="R4292">
            <v>45747</v>
          </cell>
          <cell r="S4292">
            <v>217019</v>
          </cell>
        </row>
        <row r="4293">
          <cell r="K4293" t="str">
            <v>209016</v>
          </cell>
          <cell r="M4293">
            <v>7</v>
          </cell>
          <cell r="R4293">
            <v>45747</v>
          </cell>
          <cell r="S4293">
            <v>209016</v>
          </cell>
        </row>
        <row r="4294">
          <cell r="K4294" t="str">
            <v>201011</v>
          </cell>
          <cell r="M4294">
            <v>6</v>
          </cell>
          <cell r="R4294">
            <v>45747</v>
          </cell>
          <cell r="S4294">
            <v>201011</v>
          </cell>
        </row>
        <row r="4295">
          <cell r="K4295" t="str">
            <v>201011</v>
          </cell>
          <cell r="M4295">
            <v>7</v>
          </cell>
          <cell r="R4295">
            <v>45747</v>
          </cell>
          <cell r="S4295">
            <v>201011</v>
          </cell>
        </row>
        <row r="4296">
          <cell r="K4296" t="str">
            <v>212035</v>
          </cell>
          <cell r="M4296">
            <v>1</v>
          </cell>
          <cell r="R4296">
            <v>45747</v>
          </cell>
          <cell r="S4296">
            <v>212035</v>
          </cell>
        </row>
        <row r="4297">
          <cell r="K4297" t="str">
            <v>207017</v>
          </cell>
          <cell r="M4297">
            <v>2</v>
          </cell>
          <cell r="R4297">
            <v>45747</v>
          </cell>
          <cell r="S4297">
            <v>207017</v>
          </cell>
        </row>
        <row r="4298">
          <cell r="K4298" t="str">
            <v>231012</v>
          </cell>
          <cell r="M4298">
            <v>1</v>
          </cell>
          <cell r="R4298">
            <v>45747</v>
          </cell>
          <cell r="S4298">
            <v>231012</v>
          </cell>
        </row>
        <row r="4299">
          <cell r="K4299" t="str">
            <v>201003</v>
          </cell>
          <cell r="M4299">
            <v>2</v>
          </cell>
          <cell r="R4299">
            <v>45747</v>
          </cell>
          <cell r="S4299">
            <v>201003</v>
          </cell>
        </row>
        <row r="4300">
          <cell r="K4300" t="str">
            <v>212002</v>
          </cell>
          <cell r="M4300">
            <v>1</v>
          </cell>
          <cell r="R4300">
            <v>45747</v>
          </cell>
          <cell r="S4300">
            <v>212002</v>
          </cell>
        </row>
        <row r="4301">
          <cell r="K4301" t="str">
            <v>207017</v>
          </cell>
          <cell r="M4301">
            <v>1</v>
          </cell>
          <cell r="R4301">
            <v>45747</v>
          </cell>
          <cell r="S4301">
            <v>207017</v>
          </cell>
        </row>
        <row r="4302">
          <cell r="K4302" t="str">
            <v>231012</v>
          </cell>
          <cell r="M4302">
            <v>1</v>
          </cell>
          <cell r="R4302">
            <v>45747</v>
          </cell>
          <cell r="S4302">
            <v>231012</v>
          </cell>
        </row>
        <row r="4303">
          <cell r="K4303" t="str">
            <v>209004</v>
          </cell>
          <cell r="M4303">
            <v>1</v>
          </cell>
          <cell r="R4303">
            <v>45747</v>
          </cell>
          <cell r="S4303">
            <v>209004</v>
          </cell>
        </row>
        <row r="4304">
          <cell r="K4304" t="str">
            <v>212002</v>
          </cell>
          <cell r="M4304">
            <v>1</v>
          </cell>
          <cell r="R4304">
            <v>45747</v>
          </cell>
          <cell r="S4304">
            <v>212002</v>
          </cell>
        </row>
        <row r="4305">
          <cell r="K4305" t="str">
            <v>228017</v>
          </cell>
          <cell r="M4305">
            <v>5</v>
          </cell>
          <cell r="R4305">
            <v>45747</v>
          </cell>
          <cell r="S4305">
            <v>228017</v>
          </cell>
        </row>
        <row r="4306">
          <cell r="K4306" t="str">
            <v>228017</v>
          </cell>
          <cell r="M4306">
            <v>5</v>
          </cell>
          <cell r="R4306">
            <v>45747</v>
          </cell>
          <cell r="S4306">
            <v>228017</v>
          </cell>
        </row>
        <row r="4307">
          <cell r="K4307" t="str">
            <v>226001</v>
          </cell>
          <cell r="M4307">
            <v>3</v>
          </cell>
          <cell r="R4307">
            <v>45747</v>
          </cell>
          <cell r="S4307">
            <v>226001</v>
          </cell>
        </row>
        <row r="4308">
          <cell r="K4308" t="str">
            <v>217018</v>
          </cell>
          <cell r="M4308">
            <v>3</v>
          </cell>
          <cell r="R4308">
            <v>45747</v>
          </cell>
          <cell r="S4308">
            <v>217018</v>
          </cell>
        </row>
        <row r="4309">
          <cell r="K4309" t="str">
            <v>213030</v>
          </cell>
          <cell r="M4309">
            <v>4</v>
          </cell>
          <cell r="R4309">
            <v>45747</v>
          </cell>
          <cell r="S4309">
            <v>213030</v>
          </cell>
        </row>
        <row r="4310">
          <cell r="K4310" t="str">
            <v>213030</v>
          </cell>
          <cell r="M4310">
            <v>1</v>
          </cell>
          <cell r="R4310">
            <v>45747</v>
          </cell>
          <cell r="S4310">
            <v>213030</v>
          </cell>
        </row>
        <row r="4311">
          <cell r="K4311" t="str">
            <v>212019</v>
          </cell>
          <cell r="M4311">
            <v>2</v>
          </cell>
          <cell r="R4311">
            <v>45747</v>
          </cell>
          <cell r="S4311">
            <v>212019</v>
          </cell>
        </row>
        <row r="4312">
          <cell r="K4312" t="str">
            <v>223002</v>
          </cell>
          <cell r="M4312">
            <v>1</v>
          </cell>
          <cell r="R4312">
            <v>45747</v>
          </cell>
          <cell r="S4312">
            <v>223002</v>
          </cell>
        </row>
        <row r="4313">
          <cell r="K4313" t="str">
            <v>217002</v>
          </cell>
          <cell r="M4313">
            <v>1</v>
          </cell>
          <cell r="R4313">
            <v>45747</v>
          </cell>
          <cell r="S4313">
            <v>217002</v>
          </cell>
        </row>
        <row r="4314">
          <cell r="K4314" t="str">
            <v>213030</v>
          </cell>
          <cell r="M4314">
            <v>100</v>
          </cell>
          <cell r="R4314">
            <v>45747</v>
          </cell>
          <cell r="S4314">
            <v>213030</v>
          </cell>
        </row>
        <row r="4315">
          <cell r="K4315" t="str">
            <v>223001</v>
          </cell>
          <cell r="M4315">
            <v>10</v>
          </cell>
          <cell r="R4315">
            <v>45747</v>
          </cell>
          <cell r="S4315">
            <v>223001</v>
          </cell>
        </row>
        <row r="4316">
          <cell r="K4316" t="str">
            <v>227012</v>
          </cell>
          <cell r="M4316">
            <v>1</v>
          </cell>
          <cell r="R4316">
            <v>45747</v>
          </cell>
          <cell r="S4316">
            <v>227012</v>
          </cell>
        </row>
        <row r="4317">
          <cell r="K4317" t="str">
            <v>206005</v>
          </cell>
          <cell r="M4317">
            <v>1</v>
          </cell>
          <cell r="R4317">
            <v>45747</v>
          </cell>
          <cell r="S4317">
            <v>206005</v>
          </cell>
        </row>
        <row r="4318">
          <cell r="K4318" t="str">
            <v>203004</v>
          </cell>
          <cell r="M4318">
            <v>1</v>
          </cell>
          <cell r="R4318">
            <v>45747</v>
          </cell>
          <cell r="S4318">
            <v>203004</v>
          </cell>
        </row>
        <row r="4319">
          <cell r="K4319" t="str">
            <v>206005</v>
          </cell>
          <cell r="M4319">
            <v>1</v>
          </cell>
          <cell r="R4319">
            <v>45747</v>
          </cell>
          <cell r="S4319">
            <v>206005</v>
          </cell>
        </row>
        <row r="4320">
          <cell r="K4320" t="str">
            <v>223001</v>
          </cell>
          <cell r="M4320">
            <v>1</v>
          </cell>
          <cell r="R4320">
            <v>45747</v>
          </cell>
          <cell r="S4320">
            <v>223001</v>
          </cell>
        </row>
        <row r="4321">
          <cell r="K4321" t="str">
            <v>229004</v>
          </cell>
          <cell r="M4321">
            <v>1</v>
          </cell>
          <cell r="R4321">
            <v>45747</v>
          </cell>
          <cell r="S4321">
            <v>229004</v>
          </cell>
        </row>
        <row r="4322">
          <cell r="K4322" t="str">
            <v>201011</v>
          </cell>
          <cell r="M4322">
            <v>5</v>
          </cell>
          <cell r="R4322">
            <v>45747</v>
          </cell>
          <cell r="S4322">
            <v>201011</v>
          </cell>
        </row>
        <row r="4323">
          <cell r="K4323" t="str">
            <v>228017</v>
          </cell>
          <cell r="M4323">
            <v>10</v>
          </cell>
          <cell r="R4323">
            <v>45747</v>
          </cell>
          <cell r="S4323">
            <v>228017</v>
          </cell>
        </row>
        <row r="4324">
          <cell r="K4324" t="str">
            <v>228017</v>
          </cell>
          <cell r="M4324">
            <v>3</v>
          </cell>
          <cell r="R4324">
            <v>45747</v>
          </cell>
          <cell r="S4324">
            <v>228017</v>
          </cell>
        </row>
        <row r="4325">
          <cell r="K4325" t="str">
            <v>203001</v>
          </cell>
          <cell r="M4325">
            <v>4</v>
          </cell>
          <cell r="R4325">
            <v>45747</v>
          </cell>
          <cell r="S4325">
            <v>203001</v>
          </cell>
        </row>
        <row r="4326">
          <cell r="K4326" t="str">
            <v>210010</v>
          </cell>
          <cell r="M4326">
            <v>1</v>
          </cell>
          <cell r="R4326">
            <v>45747</v>
          </cell>
          <cell r="S4326">
            <v>210010</v>
          </cell>
        </row>
        <row r="4327">
          <cell r="K4327" t="str">
            <v>228001</v>
          </cell>
          <cell r="M4327">
            <v>1</v>
          </cell>
          <cell r="R4327">
            <v>45747</v>
          </cell>
          <cell r="S4327">
            <v>228001</v>
          </cell>
        </row>
        <row r="4328">
          <cell r="K4328" t="str">
            <v>201011</v>
          </cell>
          <cell r="M4328">
            <v>3</v>
          </cell>
          <cell r="R4328">
            <v>45747</v>
          </cell>
          <cell r="S4328">
            <v>201011</v>
          </cell>
        </row>
        <row r="4329">
          <cell r="K4329" t="str">
            <v>203003</v>
          </cell>
          <cell r="M4329">
            <v>1</v>
          </cell>
          <cell r="R4329">
            <v>45747</v>
          </cell>
          <cell r="S4329">
            <v>203003</v>
          </cell>
        </row>
        <row r="4330">
          <cell r="K4330" t="str">
            <v>207017</v>
          </cell>
          <cell r="M4330">
            <v>2</v>
          </cell>
          <cell r="R4330">
            <v>45747</v>
          </cell>
          <cell r="S4330">
            <v>207017</v>
          </cell>
        </row>
        <row r="4331">
          <cell r="K4331" t="str">
            <v>231012</v>
          </cell>
          <cell r="M4331">
            <v>2</v>
          </cell>
          <cell r="R4331">
            <v>45747</v>
          </cell>
          <cell r="S4331">
            <v>231012</v>
          </cell>
        </row>
        <row r="4332">
          <cell r="K4332" t="str">
            <v>201002</v>
          </cell>
          <cell r="M4332">
            <v>3</v>
          </cell>
          <cell r="R4332">
            <v>45747</v>
          </cell>
          <cell r="S4332">
            <v>201002</v>
          </cell>
        </row>
        <row r="4333">
          <cell r="K4333" t="str">
            <v>212019</v>
          </cell>
          <cell r="M4333">
            <v>2</v>
          </cell>
          <cell r="R4333">
            <v>45747</v>
          </cell>
          <cell r="S4333">
            <v>212019</v>
          </cell>
        </row>
        <row r="4334">
          <cell r="K4334" t="str">
            <v>226026</v>
          </cell>
          <cell r="M4334">
            <v>1</v>
          </cell>
          <cell r="R4334">
            <v>45747</v>
          </cell>
          <cell r="S4334">
            <v>226026</v>
          </cell>
        </row>
        <row r="4335">
          <cell r="K4335" t="str">
            <v>228017</v>
          </cell>
          <cell r="M4335">
            <v>1</v>
          </cell>
          <cell r="R4335">
            <v>45747</v>
          </cell>
          <cell r="S4335">
            <v>228017</v>
          </cell>
        </row>
        <row r="4336">
          <cell r="K4336" t="str">
            <v>220003</v>
          </cell>
          <cell r="M4336">
            <v>1</v>
          </cell>
          <cell r="R4336">
            <v>45747</v>
          </cell>
          <cell r="S4336">
            <v>220003</v>
          </cell>
        </row>
        <row r="4337">
          <cell r="K4337" t="str">
            <v>203003</v>
          </cell>
          <cell r="M4337">
            <v>2</v>
          </cell>
          <cell r="R4337">
            <v>45747</v>
          </cell>
          <cell r="S4337">
            <v>203003</v>
          </cell>
        </row>
        <row r="4338">
          <cell r="K4338" t="str">
            <v>222005</v>
          </cell>
          <cell r="M4338">
            <v>1</v>
          </cell>
          <cell r="R4338">
            <v>45747</v>
          </cell>
          <cell r="S4338">
            <v>222005</v>
          </cell>
        </row>
        <row r="4339">
          <cell r="K4339" t="str">
            <v>217020</v>
          </cell>
          <cell r="M4339">
            <v>2</v>
          </cell>
          <cell r="R4339">
            <v>45747</v>
          </cell>
          <cell r="S4339">
            <v>217020</v>
          </cell>
        </row>
        <row r="4340">
          <cell r="K4340" t="str">
            <v>241001</v>
          </cell>
          <cell r="M4340">
            <v>1</v>
          </cell>
          <cell r="R4340">
            <v>45747</v>
          </cell>
          <cell r="S4340">
            <v>241001</v>
          </cell>
        </row>
        <row r="4341">
          <cell r="K4341" t="str">
            <v>201003</v>
          </cell>
          <cell r="M4341">
            <v>4</v>
          </cell>
          <cell r="R4341">
            <v>45747</v>
          </cell>
          <cell r="S4341">
            <v>201003</v>
          </cell>
        </row>
        <row r="4342">
          <cell r="K4342" t="str">
            <v>228017</v>
          </cell>
          <cell r="M4342">
            <v>1</v>
          </cell>
          <cell r="R4342">
            <v>45747</v>
          </cell>
          <cell r="S4342">
            <v>228017</v>
          </cell>
        </row>
        <row r="4343">
          <cell r="K4343" t="str">
            <v>212035</v>
          </cell>
          <cell r="M4343">
            <v>65</v>
          </cell>
          <cell r="R4343">
            <v>45747</v>
          </cell>
          <cell r="S4343">
            <v>212035</v>
          </cell>
        </row>
        <row r="4344">
          <cell r="K4344" t="str">
            <v>231012</v>
          </cell>
          <cell r="M4344">
            <v>1</v>
          </cell>
          <cell r="R4344">
            <v>45747</v>
          </cell>
          <cell r="S4344">
            <v>231012</v>
          </cell>
        </row>
        <row r="4345">
          <cell r="K4345" t="str">
            <v>222001</v>
          </cell>
          <cell r="M4345">
            <v>2</v>
          </cell>
          <cell r="R4345">
            <v>45747</v>
          </cell>
          <cell r="S4345">
            <v>222001</v>
          </cell>
        </row>
        <row r="4346">
          <cell r="K4346" t="str">
            <v>241001</v>
          </cell>
          <cell r="M4346">
            <v>4</v>
          </cell>
          <cell r="R4346">
            <v>45747</v>
          </cell>
          <cell r="S4346">
            <v>241001</v>
          </cell>
        </row>
        <row r="4347">
          <cell r="K4347" t="str">
            <v>201011</v>
          </cell>
          <cell r="M4347">
            <v>4</v>
          </cell>
          <cell r="R4347">
            <v>45748</v>
          </cell>
          <cell r="S4347">
            <v>201011</v>
          </cell>
        </row>
        <row r="4348">
          <cell r="K4348" t="str">
            <v>213030</v>
          </cell>
          <cell r="M4348">
            <v>1</v>
          </cell>
          <cell r="R4348">
            <v>45748</v>
          </cell>
          <cell r="S4348">
            <v>213030</v>
          </cell>
        </row>
        <row r="4349">
          <cell r="K4349" t="str">
            <v>201011</v>
          </cell>
          <cell r="M4349">
            <v>1</v>
          </cell>
          <cell r="R4349">
            <v>45748</v>
          </cell>
          <cell r="S4349">
            <v>201011</v>
          </cell>
        </row>
        <row r="4350">
          <cell r="K4350" t="str">
            <v>213030</v>
          </cell>
          <cell r="M4350">
            <v>1</v>
          </cell>
          <cell r="R4350">
            <v>45748</v>
          </cell>
          <cell r="S4350">
            <v>213030</v>
          </cell>
        </row>
        <row r="4351">
          <cell r="K4351" t="str">
            <v>209001</v>
          </cell>
          <cell r="M4351">
            <v>1</v>
          </cell>
          <cell r="R4351">
            <v>45748</v>
          </cell>
          <cell r="S4351">
            <v>209001</v>
          </cell>
        </row>
        <row r="4352">
          <cell r="K4352" t="str">
            <v>223002</v>
          </cell>
          <cell r="M4352">
            <v>2</v>
          </cell>
          <cell r="R4352">
            <v>45748</v>
          </cell>
          <cell r="S4352">
            <v>223002</v>
          </cell>
        </row>
        <row r="4353">
          <cell r="K4353" t="str">
            <v>223001</v>
          </cell>
          <cell r="M4353">
            <v>1</v>
          </cell>
          <cell r="R4353">
            <v>45748</v>
          </cell>
          <cell r="S4353">
            <v>223001</v>
          </cell>
        </row>
        <row r="4354">
          <cell r="K4354" t="str">
            <v>222001</v>
          </cell>
          <cell r="M4354">
            <v>1</v>
          </cell>
          <cell r="R4354">
            <v>45748</v>
          </cell>
          <cell r="S4354">
            <v>222001</v>
          </cell>
        </row>
        <row r="4355">
          <cell r="K4355" t="str">
            <v>213030</v>
          </cell>
          <cell r="M4355">
            <v>1</v>
          </cell>
          <cell r="R4355">
            <v>45748</v>
          </cell>
          <cell r="S4355">
            <v>213030</v>
          </cell>
        </row>
        <row r="4356">
          <cell r="K4356" t="str">
            <v>210013</v>
          </cell>
          <cell r="M4356">
            <v>1</v>
          </cell>
          <cell r="R4356">
            <v>45748</v>
          </cell>
          <cell r="S4356">
            <v>210013</v>
          </cell>
        </row>
        <row r="4357">
          <cell r="K4357" t="str">
            <v>201022</v>
          </cell>
          <cell r="M4357">
            <v>2</v>
          </cell>
          <cell r="R4357">
            <v>45748</v>
          </cell>
          <cell r="S4357">
            <v>201022</v>
          </cell>
        </row>
        <row r="4358">
          <cell r="K4358" t="str">
            <v>201011</v>
          </cell>
          <cell r="M4358">
            <v>2</v>
          </cell>
          <cell r="R4358">
            <v>45748</v>
          </cell>
          <cell r="S4358">
            <v>201011</v>
          </cell>
        </row>
        <row r="4359">
          <cell r="K4359" t="str">
            <v>223001</v>
          </cell>
          <cell r="M4359">
            <v>3</v>
          </cell>
          <cell r="R4359">
            <v>45748</v>
          </cell>
          <cell r="S4359">
            <v>223001</v>
          </cell>
        </row>
        <row r="4360">
          <cell r="K4360" t="str">
            <v>241001</v>
          </cell>
          <cell r="M4360">
            <v>2</v>
          </cell>
          <cell r="R4360">
            <v>45748</v>
          </cell>
          <cell r="S4360">
            <v>241001</v>
          </cell>
        </row>
        <row r="4361">
          <cell r="K4361" t="str">
            <v>223002</v>
          </cell>
          <cell r="M4361">
            <v>1</v>
          </cell>
          <cell r="R4361">
            <v>45748</v>
          </cell>
          <cell r="S4361">
            <v>223002</v>
          </cell>
        </row>
        <row r="4362">
          <cell r="K4362" t="str">
            <v>223001</v>
          </cell>
          <cell r="M4362">
            <v>2</v>
          </cell>
          <cell r="R4362">
            <v>45748</v>
          </cell>
          <cell r="S4362">
            <v>223001</v>
          </cell>
        </row>
        <row r="4363">
          <cell r="K4363" t="str">
            <v>222001</v>
          </cell>
          <cell r="M4363">
            <v>1</v>
          </cell>
          <cell r="R4363">
            <v>45748</v>
          </cell>
          <cell r="S4363">
            <v>222001</v>
          </cell>
        </row>
        <row r="4364">
          <cell r="K4364" t="str">
            <v>210013</v>
          </cell>
          <cell r="M4364">
            <v>1</v>
          </cell>
          <cell r="R4364">
            <v>45748</v>
          </cell>
          <cell r="S4364">
            <v>210013</v>
          </cell>
        </row>
        <row r="4365">
          <cell r="K4365" t="str">
            <v>223001</v>
          </cell>
          <cell r="M4365">
            <v>3</v>
          </cell>
          <cell r="R4365">
            <v>45748</v>
          </cell>
          <cell r="S4365">
            <v>223001</v>
          </cell>
        </row>
        <row r="4366">
          <cell r="K4366" t="str">
            <v>203003</v>
          </cell>
          <cell r="M4366">
            <v>1</v>
          </cell>
          <cell r="R4366">
            <v>45748</v>
          </cell>
          <cell r="S4366">
            <v>203003</v>
          </cell>
        </row>
        <row r="4367">
          <cell r="K4367" t="str">
            <v>201011</v>
          </cell>
          <cell r="M4367">
            <v>2</v>
          </cell>
          <cell r="R4367">
            <v>45748</v>
          </cell>
          <cell r="S4367">
            <v>201011</v>
          </cell>
        </row>
        <row r="4368">
          <cell r="K4368" t="str">
            <v>209001</v>
          </cell>
          <cell r="M4368">
            <v>1</v>
          </cell>
          <cell r="R4368">
            <v>45748</v>
          </cell>
          <cell r="S4368">
            <v>209001</v>
          </cell>
        </row>
        <row r="4369">
          <cell r="K4369" t="str">
            <v>213030</v>
          </cell>
          <cell r="M4369">
            <v>6</v>
          </cell>
          <cell r="R4369">
            <v>45748</v>
          </cell>
          <cell r="S4369">
            <v>213030</v>
          </cell>
        </row>
        <row r="4370">
          <cell r="K4370" t="str">
            <v>213030</v>
          </cell>
          <cell r="M4370">
            <v>4</v>
          </cell>
          <cell r="R4370">
            <v>45748</v>
          </cell>
          <cell r="S4370">
            <v>213030</v>
          </cell>
        </row>
        <row r="4371">
          <cell r="K4371" t="str">
            <v>222001</v>
          </cell>
          <cell r="M4371">
            <v>1</v>
          </cell>
          <cell r="R4371">
            <v>45748</v>
          </cell>
          <cell r="S4371">
            <v>222001</v>
          </cell>
        </row>
        <row r="4372">
          <cell r="K4372" t="str">
            <v>205004</v>
          </cell>
          <cell r="M4372">
            <v>1</v>
          </cell>
          <cell r="R4372">
            <v>45748</v>
          </cell>
          <cell r="S4372">
            <v>205004</v>
          </cell>
        </row>
        <row r="4373">
          <cell r="K4373" t="str">
            <v>213030</v>
          </cell>
          <cell r="M4373">
            <v>32</v>
          </cell>
          <cell r="R4373">
            <v>45748</v>
          </cell>
          <cell r="S4373">
            <v>213030</v>
          </cell>
        </row>
        <row r="4374">
          <cell r="K4374" t="str">
            <v>212035</v>
          </cell>
          <cell r="M4374">
            <v>4</v>
          </cell>
          <cell r="R4374">
            <v>45748</v>
          </cell>
          <cell r="S4374">
            <v>212035</v>
          </cell>
        </row>
        <row r="4375">
          <cell r="K4375" t="str">
            <v>231004</v>
          </cell>
          <cell r="M4375">
            <v>1</v>
          </cell>
          <cell r="R4375">
            <v>45748</v>
          </cell>
          <cell r="S4375">
            <v>231004</v>
          </cell>
        </row>
        <row r="4376">
          <cell r="K4376" t="str">
            <v>201011</v>
          </cell>
          <cell r="M4376">
            <v>3</v>
          </cell>
          <cell r="R4376">
            <v>45748</v>
          </cell>
          <cell r="S4376">
            <v>201011</v>
          </cell>
        </row>
        <row r="4377">
          <cell r="K4377" t="str">
            <v>223001</v>
          </cell>
          <cell r="M4377">
            <v>1</v>
          </cell>
          <cell r="R4377">
            <v>45748</v>
          </cell>
          <cell r="S4377">
            <v>223001</v>
          </cell>
        </row>
        <row r="4378">
          <cell r="K4378" t="str">
            <v>240006</v>
          </cell>
          <cell r="M4378">
            <v>1</v>
          </cell>
          <cell r="R4378">
            <v>45748</v>
          </cell>
          <cell r="S4378">
            <v>240006</v>
          </cell>
        </row>
        <row r="4379">
          <cell r="K4379" t="str">
            <v>201022</v>
          </cell>
          <cell r="M4379">
            <v>2</v>
          </cell>
          <cell r="R4379">
            <v>45748</v>
          </cell>
          <cell r="S4379">
            <v>201022</v>
          </cell>
        </row>
        <row r="4380">
          <cell r="K4380" t="str">
            <v>226001</v>
          </cell>
          <cell r="M4380">
            <v>2</v>
          </cell>
          <cell r="R4380">
            <v>45748</v>
          </cell>
          <cell r="S4380">
            <v>226001</v>
          </cell>
        </row>
        <row r="4381">
          <cell r="K4381" t="str">
            <v>213017</v>
          </cell>
          <cell r="M4381">
            <v>6</v>
          </cell>
          <cell r="R4381">
            <v>45748</v>
          </cell>
          <cell r="S4381">
            <v>213017</v>
          </cell>
        </row>
        <row r="4382">
          <cell r="K4382" t="str">
            <v>201011</v>
          </cell>
          <cell r="M4382">
            <v>2</v>
          </cell>
          <cell r="R4382">
            <v>45748</v>
          </cell>
          <cell r="S4382">
            <v>201011</v>
          </cell>
        </row>
        <row r="4383">
          <cell r="K4383" t="str">
            <v>203001</v>
          </cell>
          <cell r="M4383">
            <v>4</v>
          </cell>
          <cell r="R4383">
            <v>45748</v>
          </cell>
          <cell r="S4383">
            <v>203001</v>
          </cell>
        </row>
        <row r="4384">
          <cell r="K4384" t="str">
            <v>217002</v>
          </cell>
          <cell r="M4384">
            <v>8</v>
          </cell>
          <cell r="R4384">
            <v>45748</v>
          </cell>
          <cell r="S4384">
            <v>217002</v>
          </cell>
        </row>
        <row r="4385">
          <cell r="K4385" t="str">
            <v>213017</v>
          </cell>
          <cell r="M4385">
            <v>20</v>
          </cell>
          <cell r="R4385">
            <v>45748</v>
          </cell>
          <cell r="S4385">
            <v>213017</v>
          </cell>
        </row>
        <row r="4386">
          <cell r="K4386" t="str">
            <v>213017</v>
          </cell>
          <cell r="M4386">
            <v>4</v>
          </cell>
          <cell r="R4386">
            <v>45748</v>
          </cell>
          <cell r="S4386">
            <v>213017</v>
          </cell>
        </row>
        <row r="4387">
          <cell r="K4387" t="str">
            <v>231012</v>
          </cell>
          <cell r="M4387">
            <v>1</v>
          </cell>
          <cell r="R4387">
            <v>45748</v>
          </cell>
          <cell r="S4387">
            <v>231012</v>
          </cell>
        </row>
        <row r="4388">
          <cell r="K4388" t="str">
            <v>213017</v>
          </cell>
          <cell r="M4388">
            <v>1</v>
          </cell>
          <cell r="R4388">
            <v>45748</v>
          </cell>
          <cell r="S4388">
            <v>213017</v>
          </cell>
        </row>
        <row r="4389">
          <cell r="K4389" t="str">
            <v>213017</v>
          </cell>
          <cell r="M4389">
            <v>3</v>
          </cell>
          <cell r="R4389">
            <v>45748</v>
          </cell>
          <cell r="S4389">
            <v>213017</v>
          </cell>
        </row>
        <row r="4390">
          <cell r="K4390" t="str">
            <v>206002</v>
          </cell>
          <cell r="M4390">
            <v>1</v>
          </cell>
          <cell r="R4390">
            <v>45749</v>
          </cell>
          <cell r="S4390">
            <v>206002</v>
          </cell>
        </row>
        <row r="4391">
          <cell r="K4391" t="str">
            <v>208001</v>
          </cell>
          <cell r="M4391">
            <v>1</v>
          </cell>
          <cell r="R4391">
            <v>45749</v>
          </cell>
          <cell r="S4391">
            <v>208001</v>
          </cell>
        </row>
        <row r="4392">
          <cell r="K4392" t="str">
            <v>201011</v>
          </cell>
          <cell r="M4392">
            <v>1</v>
          </cell>
          <cell r="R4392">
            <v>45748</v>
          </cell>
          <cell r="S4392">
            <v>201011</v>
          </cell>
        </row>
        <row r="4393">
          <cell r="K4393" t="str">
            <v>213017</v>
          </cell>
          <cell r="M4393">
            <v>4</v>
          </cell>
          <cell r="R4393">
            <v>45749</v>
          </cell>
          <cell r="S4393">
            <v>213017</v>
          </cell>
        </row>
        <row r="4394">
          <cell r="K4394" t="str">
            <v>223002</v>
          </cell>
          <cell r="M4394">
            <v>2</v>
          </cell>
          <cell r="R4394">
            <v>45748</v>
          </cell>
          <cell r="S4394">
            <v>223002</v>
          </cell>
        </row>
        <row r="4395">
          <cell r="K4395" t="str">
            <v>223001</v>
          </cell>
          <cell r="M4395">
            <v>1</v>
          </cell>
          <cell r="R4395">
            <v>45748</v>
          </cell>
          <cell r="S4395">
            <v>223001</v>
          </cell>
        </row>
        <row r="4396">
          <cell r="K4396" t="str">
            <v>228017</v>
          </cell>
          <cell r="M4396">
            <v>8</v>
          </cell>
          <cell r="R4396">
            <v>45749</v>
          </cell>
          <cell r="S4396">
            <v>228017</v>
          </cell>
        </row>
        <row r="4397">
          <cell r="K4397" t="str">
            <v>213030</v>
          </cell>
          <cell r="M4397">
            <v>1</v>
          </cell>
          <cell r="R4397">
            <v>45749</v>
          </cell>
          <cell r="S4397">
            <v>213030</v>
          </cell>
        </row>
        <row r="4398">
          <cell r="K4398" t="str">
            <v>210013</v>
          </cell>
          <cell r="M4398">
            <v>20</v>
          </cell>
          <cell r="R4398">
            <v>45749</v>
          </cell>
          <cell r="S4398">
            <v>210013</v>
          </cell>
        </row>
        <row r="4399">
          <cell r="K4399" t="str">
            <v>241002</v>
          </cell>
          <cell r="M4399">
            <v>3</v>
          </cell>
          <cell r="R4399">
            <v>45749</v>
          </cell>
          <cell r="S4399">
            <v>241002</v>
          </cell>
        </row>
        <row r="4400">
          <cell r="K4400" t="str">
            <v>228001</v>
          </cell>
          <cell r="M4400">
            <v>4</v>
          </cell>
          <cell r="R4400">
            <v>45749</v>
          </cell>
          <cell r="S4400">
            <v>228001</v>
          </cell>
        </row>
        <row r="4401">
          <cell r="K4401" t="str">
            <v>205004</v>
          </cell>
          <cell r="M4401">
            <v>1</v>
          </cell>
          <cell r="R4401">
            <v>45749</v>
          </cell>
          <cell r="S4401">
            <v>205004</v>
          </cell>
        </row>
        <row r="4402">
          <cell r="K4402" t="str">
            <v>229001</v>
          </cell>
          <cell r="M4402">
            <v>4</v>
          </cell>
          <cell r="R4402">
            <v>45749</v>
          </cell>
          <cell r="S4402">
            <v>229001</v>
          </cell>
        </row>
        <row r="4403">
          <cell r="K4403" t="str">
            <v>203003</v>
          </cell>
          <cell r="M4403">
            <v>3</v>
          </cell>
          <cell r="R4403">
            <v>45749</v>
          </cell>
          <cell r="S4403">
            <v>203003</v>
          </cell>
        </row>
        <row r="4404">
          <cell r="K4404" t="str">
            <v>226001</v>
          </cell>
          <cell r="M4404">
            <v>4</v>
          </cell>
          <cell r="R4404">
            <v>45749</v>
          </cell>
          <cell r="S4404">
            <v>226001</v>
          </cell>
        </row>
        <row r="4405">
          <cell r="K4405" t="str">
            <v>213017</v>
          </cell>
          <cell r="M4405">
            <v>2</v>
          </cell>
          <cell r="R4405">
            <v>45749</v>
          </cell>
          <cell r="S4405">
            <v>213017</v>
          </cell>
        </row>
        <row r="4406">
          <cell r="K4406" t="str">
            <v>209004</v>
          </cell>
          <cell r="M4406">
            <v>2</v>
          </cell>
          <cell r="R4406">
            <v>45749</v>
          </cell>
          <cell r="S4406">
            <v>209004</v>
          </cell>
        </row>
        <row r="4407">
          <cell r="K4407" t="str">
            <v>213030</v>
          </cell>
          <cell r="M4407">
            <v>1</v>
          </cell>
          <cell r="R4407">
            <v>45749</v>
          </cell>
          <cell r="S4407">
            <v>213030</v>
          </cell>
        </row>
        <row r="4408">
          <cell r="K4408" t="str">
            <v>226001</v>
          </cell>
          <cell r="M4408">
            <v>2</v>
          </cell>
          <cell r="R4408">
            <v>45749</v>
          </cell>
          <cell r="S4408">
            <v>226001</v>
          </cell>
        </row>
        <row r="4409">
          <cell r="K4409" t="str">
            <v>227002</v>
          </cell>
          <cell r="M4409">
            <v>1</v>
          </cell>
          <cell r="R4409">
            <v>45749</v>
          </cell>
          <cell r="S4409">
            <v>227002</v>
          </cell>
        </row>
        <row r="4410">
          <cell r="K4410" t="str">
            <v>213030</v>
          </cell>
          <cell r="M4410">
            <v>6</v>
          </cell>
          <cell r="R4410">
            <v>45749</v>
          </cell>
          <cell r="S4410">
            <v>213030</v>
          </cell>
        </row>
        <row r="4411">
          <cell r="K4411" t="str">
            <v>227001</v>
          </cell>
          <cell r="M4411">
            <v>2</v>
          </cell>
          <cell r="R4411">
            <v>45749</v>
          </cell>
          <cell r="S4411">
            <v>227001</v>
          </cell>
        </row>
        <row r="4412">
          <cell r="K4412" t="str">
            <v>241001</v>
          </cell>
          <cell r="M4412">
            <v>5</v>
          </cell>
          <cell r="R4412">
            <v>45749</v>
          </cell>
          <cell r="S4412">
            <v>241001</v>
          </cell>
        </row>
        <row r="4413">
          <cell r="K4413" t="str">
            <v>222002</v>
          </cell>
          <cell r="M4413">
            <v>4</v>
          </cell>
          <cell r="R4413">
            <v>45749</v>
          </cell>
          <cell r="S4413">
            <v>222002</v>
          </cell>
        </row>
        <row r="4414">
          <cell r="K4414" t="str">
            <v>213030</v>
          </cell>
          <cell r="M4414">
            <v>20</v>
          </cell>
          <cell r="R4414">
            <v>45749</v>
          </cell>
          <cell r="S4414">
            <v>213030</v>
          </cell>
        </row>
        <row r="4415">
          <cell r="K4415" t="str">
            <v>213030</v>
          </cell>
          <cell r="M4415">
            <v>9</v>
          </cell>
          <cell r="R4415">
            <v>45749</v>
          </cell>
          <cell r="S4415">
            <v>213030</v>
          </cell>
        </row>
        <row r="4416">
          <cell r="K4416" t="str">
            <v>213017</v>
          </cell>
          <cell r="M4416">
            <v>10</v>
          </cell>
          <cell r="R4416">
            <v>45749</v>
          </cell>
          <cell r="S4416">
            <v>213017</v>
          </cell>
        </row>
        <row r="4417">
          <cell r="K4417" t="str">
            <v>231012</v>
          </cell>
          <cell r="M4417">
            <v>1</v>
          </cell>
          <cell r="R4417">
            <v>45749</v>
          </cell>
          <cell r="S4417">
            <v>231012</v>
          </cell>
        </row>
        <row r="4418">
          <cell r="K4418" t="str">
            <v>207017</v>
          </cell>
          <cell r="M4418">
            <v>1</v>
          </cell>
          <cell r="R4418">
            <v>45749</v>
          </cell>
          <cell r="S4418">
            <v>207017</v>
          </cell>
        </row>
        <row r="4419">
          <cell r="K4419" t="str">
            <v>212002</v>
          </cell>
          <cell r="M4419">
            <v>1</v>
          </cell>
          <cell r="R4419">
            <v>45749</v>
          </cell>
          <cell r="S4419">
            <v>212002</v>
          </cell>
        </row>
        <row r="4420">
          <cell r="K4420" t="str">
            <v>228017</v>
          </cell>
          <cell r="M4420">
            <v>4</v>
          </cell>
          <cell r="R4420">
            <v>45749</v>
          </cell>
          <cell r="S4420">
            <v>228017</v>
          </cell>
        </row>
        <row r="4421">
          <cell r="K4421" t="str">
            <v>201011</v>
          </cell>
          <cell r="M4421">
            <v>7</v>
          </cell>
          <cell r="R4421">
            <v>45749</v>
          </cell>
          <cell r="S4421">
            <v>201011</v>
          </cell>
        </row>
        <row r="4422">
          <cell r="K4422" t="str">
            <v>213030</v>
          </cell>
          <cell r="M4422">
            <v>17</v>
          </cell>
          <cell r="R4422">
            <v>45749</v>
          </cell>
          <cell r="S4422">
            <v>213030</v>
          </cell>
        </row>
        <row r="4423">
          <cell r="K4423" t="str">
            <v>223001</v>
          </cell>
          <cell r="M4423">
            <v>1</v>
          </cell>
          <cell r="R4423">
            <v>45749</v>
          </cell>
          <cell r="S4423">
            <v>223001</v>
          </cell>
        </row>
        <row r="4424">
          <cell r="K4424" t="str">
            <v>223002</v>
          </cell>
          <cell r="M4424">
            <v>1</v>
          </cell>
          <cell r="R4424">
            <v>45749</v>
          </cell>
          <cell r="S4424">
            <v>223002</v>
          </cell>
        </row>
        <row r="4425">
          <cell r="K4425" t="str">
            <v>201011</v>
          </cell>
          <cell r="M4425">
            <v>1</v>
          </cell>
          <cell r="R4425">
            <v>45749</v>
          </cell>
          <cell r="S4425">
            <v>201011</v>
          </cell>
        </row>
        <row r="4426">
          <cell r="K4426" t="str">
            <v>209002</v>
          </cell>
          <cell r="M4426">
            <v>2</v>
          </cell>
          <cell r="R4426">
            <v>45749</v>
          </cell>
          <cell r="S4426">
            <v>209002</v>
          </cell>
        </row>
        <row r="4427">
          <cell r="K4427" t="str">
            <v>213017</v>
          </cell>
          <cell r="M4427">
            <v>4</v>
          </cell>
          <cell r="R4427">
            <v>45749</v>
          </cell>
          <cell r="S4427">
            <v>213017</v>
          </cell>
        </row>
        <row r="4428">
          <cell r="K4428" t="str">
            <v>228017</v>
          </cell>
          <cell r="M4428">
            <v>3</v>
          </cell>
          <cell r="R4428">
            <v>45750</v>
          </cell>
          <cell r="S4428">
            <v>228017</v>
          </cell>
        </row>
        <row r="4429">
          <cell r="K4429" t="str">
            <v>213017</v>
          </cell>
          <cell r="M4429">
            <v>1</v>
          </cell>
          <cell r="R4429">
            <v>45750</v>
          </cell>
          <cell r="S4429">
            <v>213017</v>
          </cell>
        </row>
        <row r="4430">
          <cell r="K4430" t="str">
            <v>201004</v>
          </cell>
          <cell r="M4430">
            <v>1</v>
          </cell>
          <cell r="R4430">
            <v>45750</v>
          </cell>
          <cell r="S4430">
            <v>201004</v>
          </cell>
        </row>
        <row r="4431">
          <cell r="K4431" t="str">
            <v>209017</v>
          </cell>
          <cell r="M4431">
            <v>1</v>
          </cell>
          <cell r="R4431">
            <v>45750</v>
          </cell>
          <cell r="S4431">
            <v>209017</v>
          </cell>
        </row>
        <row r="4432">
          <cell r="K4432" t="str">
            <v>209006</v>
          </cell>
          <cell r="M4432">
            <v>1</v>
          </cell>
          <cell r="R4432">
            <v>45750</v>
          </cell>
          <cell r="S4432">
            <v>209006</v>
          </cell>
        </row>
        <row r="4433">
          <cell r="K4433" t="str">
            <v>210001</v>
          </cell>
          <cell r="M4433">
            <v>2</v>
          </cell>
          <cell r="R4433">
            <v>45750</v>
          </cell>
          <cell r="S4433">
            <v>210001</v>
          </cell>
        </row>
        <row r="4434">
          <cell r="K4434" t="str">
            <v>228017</v>
          </cell>
          <cell r="M4434">
            <v>21</v>
          </cell>
          <cell r="R4434">
            <v>45750</v>
          </cell>
          <cell r="S4434">
            <v>228017</v>
          </cell>
        </row>
        <row r="4435">
          <cell r="K4435" t="str">
            <v>207002</v>
          </cell>
          <cell r="M4435">
            <v>1</v>
          </cell>
          <cell r="R4435">
            <v>45750</v>
          </cell>
          <cell r="S4435">
            <v>207002</v>
          </cell>
        </row>
        <row r="4436">
          <cell r="K4436" t="str">
            <v>201011</v>
          </cell>
          <cell r="M4436">
            <v>6</v>
          </cell>
          <cell r="R4436">
            <v>45750</v>
          </cell>
          <cell r="S4436">
            <v>201011</v>
          </cell>
        </row>
        <row r="4437">
          <cell r="K4437" t="str">
            <v>228001</v>
          </cell>
          <cell r="M4437">
            <v>15</v>
          </cell>
          <cell r="R4437">
            <v>45750</v>
          </cell>
          <cell r="S4437">
            <v>228001</v>
          </cell>
        </row>
        <row r="4438">
          <cell r="K4438" t="str">
            <v>209016</v>
          </cell>
          <cell r="M4438">
            <v>2</v>
          </cell>
          <cell r="R4438">
            <v>45750</v>
          </cell>
          <cell r="S4438">
            <v>209016</v>
          </cell>
        </row>
        <row r="4439">
          <cell r="K4439" t="str">
            <v>226001</v>
          </cell>
          <cell r="M4439">
            <v>2</v>
          </cell>
          <cell r="R4439">
            <v>45750</v>
          </cell>
          <cell r="S4439">
            <v>226001</v>
          </cell>
        </row>
        <row r="4440">
          <cell r="K4440" t="str">
            <v>226026</v>
          </cell>
          <cell r="M4440">
            <v>2</v>
          </cell>
          <cell r="R4440">
            <v>45750</v>
          </cell>
          <cell r="S4440">
            <v>226026</v>
          </cell>
        </row>
        <row r="4441">
          <cell r="K4441" t="str">
            <v>201005</v>
          </cell>
          <cell r="M4441">
            <v>1</v>
          </cell>
          <cell r="R4441">
            <v>45750</v>
          </cell>
          <cell r="S4441">
            <v>201005</v>
          </cell>
        </row>
        <row r="4442">
          <cell r="K4442" t="str">
            <v>213017</v>
          </cell>
          <cell r="M4442">
            <v>2</v>
          </cell>
          <cell r="R4442">
            <v>45750</v>
          </cell>
          <cell r="S4442">
            <v>213017</v>
          </cell>
        </row>
        <row r="4443">
          <cell r="K4443" t="str">
            <v>228017</v>
          </cell>
          <cell r="M4443">
            <v>1</v>
          </cell>
          <cell r="R4443">
            <v>45750</v>
          </cell>
          <cell r="S4443">
            <v>228017</v>
          </cell>
        </row>
        <row r="4444">
          <cell r="K4444" t="str">
            <v>213030</v>
          </cell>
          <cell r="M4444">
            <v>5</v>
          </cell>
          <cell r="R4444">
            <v>45750</v>
          </cell>
          <cell r="S4444">
            <v>213030</v>
          </cell>
        </row>
        <row r="4445">
          <cell r="K4445" t="str">
            <v>213017</v>
          </cell>
          <cell r="M4445">
            <v>1</v>
          </cell>
          <cell r="R4445">
            <v>45750</v>
          </cell>
          <cell r="S4445">
            <v>213017</v>
          </cell>
        </row>
        <row r="4446">
          <cell r="K4446" t="str">
            <v>228001</v>
          </cell>
          <cell r="M4446">
            <v>4</v>
          </cell>
          <cell r="R4446">
            <v>45750</v>
          </cell>
          <cell r="S4446">
            <v>228001</v>
          </cell>
        </row>
        <row r="4447">
          <cell r="K4447" t="str">
            <v>213017</v>
          </cell>
          <cell r="M4447">
            <v>1</v>
          </cell>
          <cell r="R4447">
            <v>45750</v>
          </cell>
          <cell r="S4447">
            <v>213017</v>
          </cell>
        </row>
        <row r="4448">
          <cell r="K4448" t="str">
            <v>210002</v>
          </cell>
          <cell r="M4448">
            <v>8</v>
          </cell>
          <cell r="R4448">
            <v>45750</v>
          </cell>
          <cell r="S4448">
            <v>210002</v>
          </cell>
        </row>
        <row r="4449">
          <cell r="K4449" t="str">
            <v>210014</v>
          </cell>
          <cell r="M4449">
            <v>12</v>
          </cell>
          <cell r="R4449">
            <v>45750</v>
          </cell>
          <cell r="S4449">
            <v>210014</v>
          </cell>
        </row>
        <row r="4450">
          <cell r="K4450" t="str">
            <v>222001</v>
          </cell>
          <cell r="M4450">
            <v>1</v>
          </cell>
          <cell r="R4450">
            <v>45750</v>
          </cell>
          <cell r="S4450">
            <v>222001</v>
          </cell>
        </row>
        <row r="4451">
          <cell r="K4451" t="str">
            <v>209001</v>
          </cell>
          <cell r="M4451">
            <v>3</v>
          </cell>
          <cell r="R4451">
            <v>45750</v>
          </cell>
          <cell r="S4451">
            <v>209001</v>
          </cell>
        </row>
        <row r="4452">
          <cell r="K4452" t="str">
            <v>226025</v>
          </cell>
          <cell r="M4452">
            <v>2</v>
          </cell>
          <cell r="R4452">
            <v>45750</v>
          </cell>
          <cell r="S4452">
            <v>226025</v>
          </cell>
        </row>
        <row r="4453">
          <cell r="K4453" t="str">
            <v>213017</v>
          </cell>
          <cell r="M4453">
            <v>3</v>
          </cell>
          <cell r="R4453">
            <v>45750</v>
          </cell>
          <cell r="S4453">
            <v>213017</v>
          </cell>
        </row>
        <row r="4454">
          <cell r="K4454" t="str">
            <v>223002</v>
          </cell>
          <cell r="M4454">
            <v>5</v>
          </cell>
          <cell r="R4454">
            <v>45750</v>
          </cell>
          <cell r="S4454">
            <v>223002</v>
          </cell>
        </row>
        <row r="4455">
          <cell r="K4455" t="str">
            <v>213017</v>
          </cell>
          <cell r="M4455">
            <v>4</v>
          </cell>
          <cell r="R4455">
            <v>45750</v>
          </cell>
          <cell r="S4455">
            <v>213017</v>
          </cell>
        </row>
        <row r="4456">
          <cell r="K4456" t="str">
            <v>222001</v>
          </cell>
          <cell r="M4456">
            <v>1</v>
          </cell>
          <cell r="R4456">
            <v>45750</v>
          </cell>
          <cell r="S4456">
            <v>222001</v>
          </cell>
        </row>
        <row r="4457">
          <cell r="K4457" t="str">
            <v>210002</v>
          </cell>
          <cell r="M4457">
            <v>1</v>
          </cell>
          <cell r="R4457">
            <v>45750</v>
          </cell>
          <cell r="S4457">
            <v>210002</v>
          </cell>
        </row>
        <row r="4458">
          <cell r="K4458" t="str">
            <v>227002</v>
          </cell>
          <cell r="M4458">
            <v>1</v>
          </cell>
          <cell r="R4458">
            <v>45750</v>
          </cell>
          <cell r="S4458">
            <v>227002</v>
          </cell>
        </row>
        <row r="4459">
          <cell r="K4459" t="str">
            <v>228017</v>
          </cell>
          <cell r="M4459">
            <v>2</v>
          </cell>
          <cell r="R4459">
            <v>45750</v>
          </cell>
          <cell r="S4459">
            <v>228017</v>
          </cell>
        </row>
        <row r="4460">
          <cell r="K4460" t="str">
            <v>210003</v>
          </cell>
          <cell r="M4460">
            <v>1</v>
          </cell>
          <cell r="R4460">
            <v>45750</v>
          </cell>
          <cell r="S4460">
            <v>210003</v>
          </cell>
        </row>
        <row r="4461">
          <cell r="K4461" t="str">
            <v>226025</v>
          </cell>
          <cell r="M4461">
            <v>1</v>
          </cell>
          <cell r="R4461">
            <v>45750</v>
          </cell>
          <cell r="S4461">
            <v>226025</v>
          </cell>
        </row>
        <row r="4462">
          <cell r="K4462" t="str">
            <v>237001</v>
          </cell>
          <cell r="M4462">
            <v>1</v>
          </cell>
          <cell r="R4462">
            <v>45750</v>
          </cell>
          <cell r="S4462">
            <v>237001</v>
          </cell>
        </row>
        <row r="4463">
          <cell r="K4463" t="str">
            <v>209001</v>
          </cell>
          <cell r="M4463">
            <v>3</v>
          </cell>
          <cell r="R4463">
            <v>45750</v>
          </cell>
          <cell r="S4463">
            <v>209001</v>
          </cell>
        </row>
        <row r="4464">
          <cell r="K4464" t="str">
            <v>226026</v>
          </cell>
          <cell r="M4464">
            <v>1</v>
          </cell>
          <cell r="R4464">
            <v>45750</v>
          </cell>
          <cell r="S4464">
            <v>226026</v>
          </cell>
        </row>
        <row r="4465">
          <cell r="K4465" t="str">
            <v>223002</v>
          </cell>
          <cell r="M4465">
            <v>4</v>
          </cell>
          <cell r="R4465">
            <v>45751</v>
          </cell>
          <cell r="S4465">
            <v>223002</v>
          </cell>
        </row>
        <row r="4466">
          <cell r="K4466" t="str">
            <v>226001</v>
          </cell>
          <cell r="M4466">
            <v>1</v>
          </cell>
          <cell r="R4466">
            <v>45751</v>
          </cell>
          <cell r="S4466">
            <v>226001</v>
          </cell>
        </row>
        <row r="4467">
          <cell r="K4467" t="str">
            <v>210014</v>
          </cell>
          <cell r="M4467">
            <v>1</v>
          </cell>
          <cell r="R4467">
            <v>45751</v>
          </cell>
          <cell r="S4467">
            <v>210014</v>
          </cell>
        </row>
        <row r="4468">
          <cell r="K4468" t="str">
            <v>223002</v>
          </cell>
          <cell r="M4468">
            <v>3</v>
          </cell>
          <cell r="R4468">
            <v>45751</v>
          </cell>
          <cell r="S4468">
            <v>223002</v>
          </cell>
        </row>
        <row r="4469">
          <cell r="K4469" t="str">
            <v>223001</v>
          </cell>
          <cell r="M4469">
            <v>3</v>
          </cell>
          <cell r="R4469">
            <v>45751</v>
          </cell>
          <cell r="S4469">
            <v>223001</v>
          </cell>
        </row>
        <row r="4470">
          <cell r="K4470" t="str">
            <v>222001</v>
          </cell>
          <cell r="M4470">
            <v>1</v>
          </cell>
          <cell r="R4470">
            <v>45751</v>
          </cell>
          <cell r="S4470">
            <v>222001</v>
          </cell>
        </row>
        <row r="4471">
          <cell r="K4471" t="str">
            <v>201022</v>
          </cell>
          <cell r="M4471">
            <v>2</v>
          </cell>
          <cell r="R4471">
            <v>45751</v>
          </cell>
          <cell r="S4471">
            <v>201022</v>
          </cell>
        </row>
        <row r="4472">
          <cell r="K4472" t="str">
            <v>226001</v>
          </cell>
          <cell r="M4472">
            <v>5</v>
          </cell>
          <cell r="R4472">
            <v>45751</v>
          </cell>
          <cell r="S4472">
            <v>226001</v>
          </cell>
        </row>
        <row r="4473">
          <cell r="K4473" t="str">
            <v>206005</v>
          </cell>
          <cell r="M4473">
            <v>2</v>
          </cell>
          <cell r="R4473">
            <v>45751</v>
          </cell>
          <cell r="S4473">
            <v>206005</v>
          </cell>
        </row>
        <row r="4474">
          <cell r="K4474" t="str">
            <v>213017</v>
          </cell>
          <cell r="M4474">
            <v>1</v>
          </cell>
          <cell r="R4474">
            <v>45751</v>
          </cell>
          <cell r="S4474">
            <v>213017</v>
          </cell>
        </row>
        <row r="4475">
          <cell r="K4475" t="str">
            <v>210003</v>
          </cell>
          <cell r="M4475">
            <v>1</v>
          </cell>
          <cell r="R4475">
            <v>45751</v>
          </cell>
          <cell r="S4475">
            <v>210003</v>
          </cell>
        </row>
        <row r="4476">
          <cell r="K4476" t="str">
            <v>213002</v>
          </cell>
          <cell r="M4476">
            <v>6</v>
          </cell>
          <cell r="R4476">
            <v>45751</v>
          </cell>
          <cell r="S4476">
            <v>213002</v>
          </cell>
        </row>
        <row r="4477">
          <cell r="K4477" t="str">
            <v>217002</v>
          </cell>
          <cell r="M4477">
            <v>1</v>
          </cell>
          <cell r="R4477">
            <v>45751</v>
          </cell>
          <cell r="S4477">
            <v>217002</v>
          </cell>
        </row>
        <row r="4478">
          <cell r="K4478" t="str">
            <v>217020</v>
          </cell>
          <cell r="M4478">
            <v>1</v>
          </cell>
          <cell r="R4478">
            <v>45751</v>
          </cell>
          <cell r="S4478">
            <v>217020</v>
          </cell>
        </row>
        <row r="4479">
          <cell r="K4479" t="str">
            <v>201004</v>
          </cell>
          <cell r="M4479">
            <v>1</v>
          </cell>
          <cell r="R4479">
            <v>45751</v>
          </cell>
          <cell r="S4479">
            <v>201004</v>
          </cell>
        </row>
        <row r="4480">
          <cell r="K4480" t="str">
            <v>213002</v>
          </cell>
          <cell r="M4480">
            <v>9</v>
          </cell>
          <cell r="R4480">
            <v>45751</v>
          </cell>
          <cell r="S4480">
            <v>213002</v>
          </cell>
        </row>
        <row r="4481">
          <cell r="K4481" t="str">
            <v>222001</v>
          </cell>
          <cell r="M4481">
            <v>3</v>
          </cell>
          <cell r="R4481">
            <v>45751</v>
          </cell>
          <cell r="S4481">
            <v>222001</v>
          </cell>
        </row>
        <row r="4482">
          <cell r="K4482" t="str">
            <v>241001</v>
          </cell>
          <cell r="M4482">
            <v>3</v>
          </cell>
          <cell r="R4482">
            <v>45751</v>
          </cell>
          <cell r="S4482">
            <v>241001</v>
          </cell>
        </row>
        <row r="4483">
          <cell r="K4483" t="str">
            <v>212019</v>
          </cell>
          <cell r="M4483">
            <v>1</v>
          </cell>
          <cell r="R4483">
            <v>45751</v>
          </cell>
          <cell r="S4483">
            <v>212019</v>
          </cell>
        </row>
        <row r="4484">
          <cell r="K4484" t="str">
            <v>241001</v>
          </cell>
          <cell r="M4484">
            <v>3</v>
          </cell>
          <cell r="R4484">
            <v>45751</v>
          </cell>
          <cell r="S4484">
            <v>241001</v>
          </cell>
        </row>
        <row r="4485">
          <cell r="K4485" t="str">
            <v>241001</v>
          </cell>
          <cell r="M4485">
            <v>3</v>
          </cell>
          <cell r="R4485">
            <v>45751</v>
          </cell>
          <cell r="S4485">
            <v>241001</v>
          </cell>
        </row>
        <row r="4486">
          <cell r="K4486" t="str">
            <v>213018</v>
          </cell>
          <cell r="M4486">
            <v>15</v>
          </cell>
          <cell r="R4486">
            <v>45751</v>
          </cell>
          <cell r="S4486">
            <v>213018</v>
          </cell>
        </row>
        <row r="4487">
          <cell r="K4487" t="str">
            <v>213017</v>
          </cell>
          <cell r="M4487">
            <v>3</v>
          </cell>
          <cell r="R4487">
            <v>45751</v>
          </cell>
          <cell r="S4487">
            <v>213017</v>
          </cell>
        </row>
        <row r="4488">
          <cell r="K4488" t="str">
            <v>229001</v>
          </cell>
          <cell r="M4488">
            <v>3</v>
          </cell>
          <cell r="R4488">
            <v>45751</v>
          </cell>
          <cell r="S4488">
            <v>229001</v>
          </cell>
        </row>
        <row r="4489">
          <cell r="K4489" t="str">
            <v>201004</v>
          </cell>
          <cell r="M4489">
            <v>2</v>
          </cell>
          <cell r="R4489">
            <v>45751</v>
          </cell>
          <cell r="S4489">
            <v>201004</v>
          </cell>
        </row>
        <row r="4490">
          <cell r="K4490" t="str">
            <v>201005</v>
          </cell>
          <cell r="M4490">
            <v>4</v>
          </cell>
          <cell r="R4490">
            <v>45751</v>
          </cell>
          <cell r="S4490">
            <v>201005</v>
          </cell>
        </row>
        <row r="4491">
          <cell r="K4491" t="str">
            <v>201009</v>
          </cell>
          <cell r="M4491">
            <v>14</v>
          </cell>
          <cell r="R4491">
            <v>45751</v>
          </cell>
          <cell r="S4491">
            <v>201009</v>
          </cell>
        </row>
        <row r="4492">
          <cell r="K4492" t="str">
            <v>201003</v>
          </cell>
          <cell r="M4492">
            <v>20</v>
          </cell>
          <cell r="R4492">
            <v>45751</v>
          </cell>
          <cell r="S4492">
            <v>201003</v>
          </cell>
        </row>
        <row r="4493">
          <cell r="K4493" t="str">
            <v>227001</v>
          </cell>
          <cell r="M4493">
            <v>1</v>
          </cell>
          <cell r="R4493">
            <v>45751</v>
          </cell>
          <cell r="S4493">
            <v>227001</v>
          </cell>
        </row>
        <row r="4494">
          <cell r="K4494" t="str">
            <v>227010</v>
          </cell>
          <cell r="M4494">
            <v>5</v>
          </cell>
          <cell r="R4494">
            <v>45751</v>
          </cell>
          <cell r="S4494">
            <v>227010</v>
          </cell>
        </row>
        <row r="4495">
          <cell r="K4495" t="str">
            <v>231012</v>
          </cell>
          <cell r="M4495">
            <v>2</v>
          </cell>
          <cell r="R4495">
            <v>45751</v>
          </cell>
          <cell r="S4495">
            <v>231012</v>
          </cell>
        </row>
        <row r="4496">
          <cell r="K4496" t="str">
            <v>226001</v>
          </cell>
          <cell r="M4496">
            <v>2</v>
          </cell>
          <cell r="R4496">
            <v>45751</v>
          </cell>
          <cell r="S4496">
            <v>226001</v>
          </cell>
        </row>
        <row r="4497">
          <cell r="K4497" t="str">
            <v>213030</v>
          </cell>
          <cell r="M4497">
            <v>12</v>
          </cell>
          <cell r="R4497">
            <v>45751</v>
          </cell>
          <cell r="S4497">
            <v>213030</v>
          </cell>
        </row>
        <row r="4498">
          <cell r="K4498" t="str">
            <v>203005</v>
          </cell>
          <cell r="M4498">
            <v>4</v>
          </cell>
          <cell r="R4498">
            <v>45751</v>
          </cell>
          <cell r="S4498">
            <v>203005</v>
          </cell>
        </row>
        <row r="4499">
          <cell r="K4499" t="str">
            <v>202002</v>
          </cell>
          <cell r="M4499">
            <v>8</v>
          </cell>
          <cell r="R4499">
            <v>45751</v>
          </cell>
          <cell r="S4499">
            <v>202002</v>
          </cell>
        </row>
        <row r="4500">
          <cell r="K4500" t="str">
            <v>218004</v>
          </cell>
          <cell r="M4500">
            <v>2</v>
          </cell>
          <cell r="R4500">
            <v>45751</v>
          </cell>
          <cell r="S4500">
            <v>218004</v>
          </cell>
        </row>
        <row r="4501">
          <cell r="K4501" t="str">
            <v>206001</v>
          </cell>
          <cell r="M4501">
            <v>8</v>
          </cell>
          <cell r="R4501">
            <v>45751</v>
          </cell>
          <cell r="S4501">
            <v>206001</v>
          </cell>
        </row>
        <row r="4502">
          <cell r="K4502" t="str">
            <v>213002</v>
          </cell>
          <cell r="M4502">
            <v>70</v>
          </cell>
          <cell r="R4502">
            <v>45751</v>
          </cell>
          <cell r="S4502">
            <v>213002</v>
          </cell>
        </row>
        <row r="4503">
          <cell r="K4503" t="str">
            <v>213030</v>
          </cell>
          <cell r="M4503">
            <v>13</v>
          </cell>
          <cell r="R4503">
            <v>45751</v>
          </cell>
          <cell r="S4503">
            <v>213030</v>
          </cell>
        </row>
        <row r="4504">
          <cell r="K4504" t="str">
            <v>228001</v>
          </cell>
          <cell r="M4504">
            <v>4</v>
          </cell>
          <cell r="R4504">
            <v>45751</v>
          </cell>
          <cell r="S4504">
            <v>228001</v>
          </cell>
        </row>
        <row r="4505">
          <cell r="K4505" t="str">
            <v>203004</v>
          </cell>
          <cell r="M4505">
            <v>1</v>
          </cell>
          <cell r="R4505">
            <v>45751</v>
          </cell>
          <cell r="S4505">
            <v>203004</v>
          </cell>
        </row>
        <row r="4506">
          <cell r="K4506" t="str">
            <v>231006</v>
          </cell>
          <cell r="M4506">
            <v>1</v>
          </cell>
          <cell r="R4506">
            <v>45751</v>
          </cell>
          <cell r="S4506">
            <v>231006</v>
          </cell>
        </row>
        <row r="4507">
          <cell r="K4507" t="str">
            <v>212035</v>
          </cell>
          <cell r="M4507">
            <v>1</v>
          </cell>
          <cell r="R4507">
            <v>45751</v>
          </cell>
          <cell r="S4507">
            <v>212035</v>
          </cell>
        </row>
        <row r="4508">
          <cell r="K4508" t="str">
            <v>227001</v>
          </cell>
          <cell r="M4508">
            <v>8</v>
          </cell>
          <cell r="R4508">
            <v>45751</v>
          </cell>
          <cell r="S4508">
            <v>227001</v>
          </cell>
        </row>
        <row r="4509">
          <cell r="K4509" t="str">
            <v>209012</v>
          </cell>
          <cell r="M4509">
            <v>1</v>
          </cell>
          <cell r="R4509">
            <v>45751</v>
          </cell>
          <cell r="S4509">
            <v>209012</v>
          </cell>
        </row>
        <row r="4510">
          <cell r="K4510" t="str">
            <v>228017</v>
          </cell>
          <cell r="M4510">
            <v>1</v>
          </cell>
          <cell r="R4510">
            <v>45751</v>
          </cell>
          <cell r="S4510">
            <v>228017</v>
          </cell>
        </row>
        <row r="4511">
          <cell r="K4511" t="str">
            <v>201011</v>
          </cell>
          <cell r="M4511">
            <v>2</v>
          </cell>
          <cell r="R4511">
            <v>45751</v>
          </cell>
          <cell r="S4511">
            <v>201011</v>
          </cell>
        </row>
        <row r="4512">
          <cell r="K4512" t="str">
            <v>201011</v>
          </cell>
          <cell r="M4512">
            <v>3</v>
          </cell>
          <cell r="R4512">
            <v>45751</v>
          </cell>
          <cell r="S4512">
            <v>201011</v>
          </cell>
        </row>
        <row r="4513">
          <cell r="K4513" t="str">
            <v>236004</v>
          </cell>
          <cell r="M4513">
            <v>1</v>
          </cell>
          <cell r="R4513">
            <v>45751</v>
          </cell>
          <cell r="S4513">
            <v>236004</v>
          </cell>
        </row>
        <row r="4514">
          <cell r="K4514" t="str">
            <v>213002</v>
          </cell>
          <cell r="M4514">
            <v>4</v>
          </cell>
          <cell r="R4514">
            <v>45751</v>
          </cell>
          <cell r="S4514">
            <v>213002</v>
          </cell>
        </row>
        <row r="4515">
          <cell r="K4515" t="str">
            <v>213002</v>
          </cell>
          <cell r="M4515">
            <v>3</v>
          </cell>
          <cell r="R4515">
            <v>45751</v>
          </cell>
          <cell r="S4515">
            <v>213002</v>
          </cell>
        </row>
        <row r="4516">
          <cell r="K4516" t="str">
            <v>217002</v>
          </cell>
          <cell r="M4516">
            <v>8</v>
          </cell>
          <cell r="R4516">
            <v>45753</v>
          </cell>
          <cell r="S4516">
            <v>217002</v>
          </cell>
        </row>
        <row r="4517">
          <cell r="K4517" t="str">
            <v>201011</v>
          </cell>
          <cell r="M4517">
            <v>36</v>
          </cell>
          <cell r="R4517">
            <v>45753</v>
          </cell>
          <cell r="S4517">
            <v>201011</v>
          </cell>
        </row>
        <row r="4518">
          <cell r="K4518" t="str">
            <v>201011</v>
          </cell>
          <cell r="M4518">
            <v>20</v>
          </cell>
          <cell r="R4518">
            <v>45751</v>
          </cell>
          <cell r="S4518">
            <v>201011</v>
          </cell>
        </row>
        <row r="4519">
          <cell r="K4519" t="str">
            <v>213017</v>
          </cell>
          <cell r="M4519">
            <v>3</v>
          </cell>
          <cell r="R4519">
            <v>45751</v>
          </cell>
          <cell r="S4519">
            <v>213017</v>
          </cell>
        </row>
        <row r="4520">
          <cell r="K4520" t="str">
            <v>201011</v>
          </cell>
          <cell r="M4520">
            <v>50</v>
          </cell>
          <cell r="R4520">
            <v>45751</v>
          </cell>
          <cell r="S4520">
            <v>201011</v>
          </cell>
        </row>
        <row r="4521">
          <cell r="K4521" t="str">
            <v>201011</v>
          </cell>
          <cell r="M4521">
            <v>4</v>
          </cell>
          <cell r="R4521">
            <v>45753</v>
          </cell>
          <cell r="S4521">
            <v>201011</v>
          </cell>
        </row>
        <row r="4522">
          <cell r="K4522" t="str">
            <v>231012</v>
          </cell>
          <cell r="M4522">
            <v>1</v>
          </cell>
          <cell r="R4522">
            <v>45753</v>
          </cell>
          <cell r="S4522">
            <v>231012</v>
          </cell>
        </row>
        <row r="4523">
          <cell r="K4523" t="str">
            <v>203003</v>
          </cell>
          <cell r="M4523">
            <v>1</v>
          </cell>
          <cell r="R4523">
            <v>45753</v>
          </cell>
          <cell r="S4523">
            <v>203003</v>
          </cell>
        </row>
        <row r="4524">
          <cell r="K4524" t="str">
            <v>209001</v>
          </cell>
          <cell r="M4524">
            <v>1</v>
          </cell>
          <cell r="R4524">
            <v>45753</v>
          </cell>
          <cell r="S4524">
            <v>209001</v>
          </cell>
        </row>
        <row r="4525">
          <cell r="K4525" t="str">
            <v>222001</v>
          </cell>
          <cell r="M4525">
            <v>1</v>
          </cell>
          <cell r="R4525">
            <v>45753</v>
          </cell>
          <cell r="S4525">
            <v>222001</v>
          </cell>
        </row>
        <row r="4526">
          <cell r="K4526" t="str">
            <v>223002</v>
          </cell>
          <cell r="M4526">
            <v>1</v>
          </cell>
          <cell r="R4526">
            <v>45753</v>
          </cell>
          <cell r="S4526">
            <v>223002</v>
          </cell>
        </row>
        <row r="4527">
          <cell r="K4527" t="str">
            <v>201011</v>
          </cell>
          <cell r="M4527">
            <v>6</v>
          </cell>
          <cell r="R4527">
            <v>45753</v>
          </cell>
          <cell r="S4527">
            <v>201011</v>
          </cell>
        </row>
        <row r="4528">
          <cell r="K4528" t="str">
            <v>223002</v>
          </cell>
          <cell r="M4528">
            <v>3</v>
          </cell>
          <cell r="R4528">
            <v>45754</v>
          </cell>
          <cell r="S4528">
            <v>223002</v>
          </cell>
        </row>
        <row r="4529">
          <cell r="K4529" t="str">
            <v>223001</v>
          </cell>
          <cell r="M4529">
            <v>3</v>
          </cell>
          <cell r="R4529">
            <v>45754</v>
          </cell>
          <cell r="S4529">
            <v>223001</v>
          </cell>
        </row>
        <row r="4530">
          <cell r="K4530" t="str">
            <v>201002</v>
          </cell>
          <cell r="M4530">
            <v>1</v>
          </cell>
          <cell r="R4530">
            <v>45754</v>
          </cell>
          <cell r="S4530">
            <v>201002</v>
          </cell>
        </row>
        <row r="4531">
          <cell r="K4531" t="str">
            <v>201011</v>
          </cell>
          <cell r="M4531">
            <v>2</v>
          </cell>
          <cell r="R4531">
            <v>45754</v>
          </cell>
          <cell r="S4531">
            <v>201011</v>
          </cell>
        </row>
        <row r="4532">
          <cell r="K4532" t="str">
            <v>228017</v>
          </cell>
          <cell r="M4532">
            <v>1</v>
          </cell>
          <cell r="R4532">
            <v>45754</v>
          </cell>
          <cell r="S4532">
            <v>228017</v>
          </cell>
        </row>
        <row r="4533">
          <cell r="K4533" t="str">
            <v>231012</v>
          </cell>
          <cell r="M4533">
            <v>6</v>
          </cell>
          <cell r="R4533">
            <v>45754</v>
          </cell>
          <cell r="S4533">
            <v>231012</v>
          </cell>
        </row>
        <row r="4534">
          <cell r="K4534" t="str">
            <v>223002</v>
          </cell>
          <cell r="M4534">
            <v>2</v>
          </cell>
          <cell r="R4534">
            <v>45754</v>
          </cell>
          <cell r="S4534">
            <v>223002</v>
          </cell>
        </row>
        <row r="4535">
          <cell r="K4535" t="str">
            <v>223001</v>
          </cell>
          <cell r="M4535">
            <v>10</v>
          </cell>
          <cell r="R4535">
            <v>45754</v>
          </cell>
          <cell r="S4535">
            <v>223001</v>
          </cell>
        </row>
        <row r="4536">
          <cell r="K4536" t="str">
            <v>227012</v>
          </cell>
          <cell r="M4536">
            <v>1</v>
          </cell>
          <cell r="R4536">
            <v>45754</v>
          </cell>
          <cell r="S4536">
            <v>227012</v>
          </cell>
        </row>
        <row r="4537">
          <cell r="K4537" t="str">
            <v>209022</v>
          </cell>
          <cell r="M4537">
            <v>10</v>
          </cell>
          <cell r="R4537">
            <v>45754</v>
          </cell>
          <cell r="S4537">
            <v>209022</v>
          </cell>
        </row>
        <row r="4538">
          <cell r="K4538" t="str">
            <v>213030</v>
          </cell>
          <cell r="M4538">
            <v>15</v>
          </cell>
          <cell r="R4538">
            <v>45754</v>
          </cell>
          <cell r="S4538">
            <v>213030</v>
          </cell>
        </row>
        <row r="4539">
          <cell r="K4539" t="str">
            <v>217019</v>
          </cell>
          <cell r="M4539">
            <v>36</v>
          </cell>
          <cell r="R4539">
            <v>45754</v>
          </cell>
          <cell r="S4539">
            <v>217019</v>
          </cell>
        </row>
        <row r="4540">
          <cell r="K4540" t="str">
            <v>209016</v>
          </cell>
          <cell r="M4540">
            <v>3</v>
          </cell>
          <cell r="R4540">
            <v>45754</v>
          </cell>
          <cell r="S4540">
            <v>209016</v>
          </cell>
        </row>
        <row r="4541">
          <cell r="K4541" t="str">
            <v>209001</v>
          </cell>
          <cell r="M4541">
            <v>2</v>
          </cell>
          <cell r="R4541">
            <v>45754</v>
          </cell>
          <cell r="S4541">
            <v>209001</v>
          </cell>
        </row>
        <row r="4542">
          <cell r="K4542" t="str">
            <v>220003</v>
          </cell>
          <cell r="M4542">
            <v>1</v>
          </cell>
          <cell r="R4542">
            <v>45754</v>
          </cell>
          <cell r="S4542">
            <v>220003</v>
          </cell>
        </row>
        <row r="4543">
          <cell r="K4543" t="str">
            <v>201011</v>
          </cell>
          <cell r="M4543">
            <v>2</v>
          </cell>
          <cell r="R4543">
            <v>45754</v>
          </cell>
          <cell r="S4543">
            <v>201011</v>
          </cell>
        </row>
        <row r="4544">
          <cell r="K4544" t="str">
            <v>201002</v>
          </cell>
          <cell r="M4544">
            <v>5</v>
          </cell>
          <cell r="R4544">
            <v>45754</v>
          </cell>
          <cell r="S4544">
            <v>201002</v>
          </cell>
        </row>
        <row r="4545">
          <cell r="K4545" t="str">
            <v>201011</v>
          </cell>
          <cell r="M4545">
            <v>2</v>
          </cell>
          <cell r="R4545">
            <v>45754</v>
          </cell>
          <cell r="S4545">
            <v>201011</v>
          </cell>
        </row>
        <row r="4546">
          <cell r="K4546" t="str">
            <v>228017</v>
          </cell>
          <cell r="M4546">
            <v>6</v>
          </cell>
          <cell r="R4546">
            <v>45754</v>
          </cell>
          <cell r="S4546">
            <v>228017</v>
          </cell>
        </row>
        <row r="4547">
          <cell r="K4547" t="str">
            <v>228017</v>
          </cell>
          <cell r="M4547">
            <v>14</v>
          </cell>
          <cell r="R4547">
            <v>45754</v>
          </cell>
          <cell r="S4547">
            <v>228017</v>
          </cell>
        </row>
        <row r="4548">
          <cell r="K4548" t="str">
            <v>231012</v>
          </cell>
          <cell r="M4548">
            <v>10</v>
          </cell>
          <cell r="R4548">
            <v>45754</v>
          </cell>
          <cell r="S4548">
            <v>231012</v>
          </cell>
        </row>
        <row r="4549">
          <cell r="K4549" t="str">
            <v>227012</v>
          </cell>
          <cell r="M4549">
            <v>1</v>
          </cell>
          <cell r="R4549">
            <v>45754</v>
          </cell>
          <cell r="S4549">
            <v>227012</v>
          </cell>
        </row>
        <row r="4550">
          <cell r="K4550" t="str">
            <v>223001</v>
          </cell>
          <cell r="M4550">
            <v>2</v>
          </cell>
          <cell r="R4550">
            <v>45754</v>
          </cell>
          <cell r="S4550">
            <v>223001</v>
          </cell>
        </row>
        <row r="4551">
          <cell r="K4551" t="str">
            <v>210001</v>
          </cell>
          <cell r="M4551">
            <v>1</v>
          </cell>
          <cell r="R4551">
            <v>45754</v>
          </cell>
          <cell r="S4551">
            <v>210001</v>
          </cell>
        </row>
        <row r="4552">
          <cell r="K4552" t="str">
            <v>234001</v>
          </cell>
          <cell r="M4552">
            <v>1</v>
          </cell>
          <cell r="R4552">
            <v>45754</v>
          </cell>
          <cell r="S4552">
            <v>234001</v>
          </cell>
        </row>
        <row r="4553">
          <cell r="K4553" t="str">
            <v>241001</v>
          </cell>
          <cell r="M4553">
            <v>4</v>
          </cell>
          <cell r="R4553">
            <v>45754</v>
          </cell>
          <cell r="S4553">
            <v>241001</v>
          </cell>
        </row>
        <row r="4554">
          <cell r="K4554" t="str">
            <v>201011</v>
          </cell>
          <cell r="M4554">
            <v>36</v>
          </cell>
          <cell r="R4554">
            <v>45754</v>
          </cell>
          <cell r="S4554">
            <v>201011</v>
          </cell>
        </row>
        <row r="4555">
          <cell r="K4555" t="str">
            <v>229004</v>
          </cell>
          <cell r="M4555">
            <v>6</v>
          </cell>
          <cell r="R4555">
            <v>45754</v>
          </cell>
          <cell r="S4555">
            <v>229004</v>
          </cell>
        </row>
        <row r="4556">
          <cell r="K4556" t="str">
            <v>222005</v>
          </cell>
          <cell r="M4556">
            <v>1</v>
          </cell>
          <cell r="R4556">
            <v>45754</v>
          </cell>
          <cell r="S4556">
            <v>222005</v>
          </cell>
        </row>
        <row r="4557">
          <cell r="K4557" t="str">
            <v>213018</v>
          </cell>
          <cell r="M4557">
            <v>1</v>
          </cell>
          <cell r="R4557">
            <v>45754</v>
          </cell>
          <cell r="S4557">
            <v>213018</v>
          </cell>
        </row>
        <row r="4558">
          <cell r="K4558" t="str">
            <v>228017</v>
          </cell>
          <cell r="M4558">
            <v>2</v>
          </cell>
          <cell r="R4558">
            <v>45754</v>
          </cell>
          <cell r="S4558">
            <v>228017</v>
          </cell>
        </row>
        <row r="4559">
          <cell r="K4559" t="str">
            <v>231012</v>
          </cell>
          <cell r="M4559">
            <v>3</v>
          </cell>
          <cell r="R4559">
            <v>45754</v>
          </cell>
          <cell r="S4559">
            <v>231012</v>
          </cell>
        </row>
        <row r="4560">
          <cell r="K4560" t="str">
            <v>223001</v>
          </cell>
          <cell r="M4560">
            <v>3</v>
          </cell>
          <cell r="R4560">
            <v>45754</v>
          </cell>
          <cell r="S4560">
            <v>223001</v>
          </cell>
        </row>
        <row r="4561">
          <cell r="K4561" t="str">
            <v>223002</v>
          </cell>
          <cell r="M4561">
            <v>2</v>
          </cell>
          <cell r="R4561">
            <v>45754</v>
          </cell>
          <cell r="S4561">
            <v>223002</v>
          </cell>
        </row>
        <row r="4562">
          <cell r="K4562" t="str">
            <v>201011</v>
          </cell>
          <cell r="M4562">
            <v>2</v>
          </cell>
          <cell r="R4562">
            <v>45754</v>
          </cell>
          <cell r="S4562">
            <v>201011</v>
          </cell>
        </row>
        <row r="4563">
          <cell r="K4563" t="str">
            <v>231012</v>
          </cell>
          <cell r="M4563">
            <v>4</v>
          </cell>
          <cell r="R4563">
            <v>45754</v>
          </cell>
          <cell r="S4563">
            <v>231012</v>
          </cell>
        </row>
        <row r="4564">
          <cell r="K4564" t="str">
            <v>228017</v>
          </cell>
          <cell r="M4564">
            <v>8</v>
          </cell>
          <cell r="R4564">
            <v>45754</v>
          </cell>
          <cell r="S4564">
            <v>228017</v>
          </cell>
        </row>
        <row r="4565">
          <cell r="K4565" t="str">
            <v>210001</v>
          </cell>
          <cell r="M4565">
            <v>1</v>
          </cell>
          <cell r="R4565">
            <v>45754</v>
          </cell>
          <cell r="S4565">
            <v>210001</v>
          </cell>
        </row>
        <row r="4566">
          <cell r="K4566" t="str">
            <v>228017</v>
          </cell>
          <cell r="M4566">
            <v>1</v>
          </cell>
          <cell r="R4566">
            <v>45754</v>
          </cell>
          <cell r="S4566">
            <v>228017</v>
          </cell>
        </row>
        <row r="4567">
          <cell r="K4567" t="str">
            <v>213018</v>
          </cell>
          <cell r="M4567">
            <v>1</v>
          </cell>
          <cell r="R4567">
            <v>45754</v>
          </cell>
          <cell r="S4567">
            <v>213018</v>
          </cell>
        </row>
        <row r="4568">
          <cell r="K4568" t="str">
            <v>207017</v>
          </cell>
          <cell r="M4568">
            <v>1</v>
          </cell>
          <cell r="R4568">
            <v>45754</v>
          </cell>
          <cell r="S4568">
            <v>207017</v>
          </cell>
        </row>
        <row r="4569">
          <cell r="K4569" t="str">
            <v>212002</v>
          </cell>
          <cell r="M4569">
            <v>1</v>
          </cell>
          <cell r="R4569">
            <v>45754</v>
          </cell>
          <cell r="S4569">
            <v>212002</v>
          </cell>
        </row>
        <row r="4570">
          <cell r="K4570" t="str">
            <v>209004</v>
          </cell>
          <cell r="M4570">
            <v>1</v>
          </cell>
          <cell r="R4570">
            <v>45754</v>
          </cell>
          <cell r="S4570">
            <v>209004</v>
          </cell>
        </row>
        <row r="4571">
          <cell r="K4571" t="str">
            <v>228017</v>
          </cell>
          <cell r="M4571">
            <v>5</v>
          </cell>
          <cell r="R4571">
            <v>45754</v>
          </cell>
          <cell r="S4571">
            <v>228017</v>
          </cell>
        </row>
        <row r="4572">
          <cell r="K4572" t="str">
            <v>228017</v>
          </cell>
          <cell r="M4572">
            <v>4</v>
          </cell>
          <cell r="R4572">
            <v>45754</v>
          </cell>
          <cell r="S4572">
            <v>228017</v>
          </cell>
        </row>
        <row r="4573">
          <cell r="K4573" t="str">
            <v>201003</v>
          </cell>
          <cell r="M4573">
            <v>1</v>
          </cell>
          <cell r="R4573">
            <v>45754</v>
          </cell>
          <cell r="S4573">
            <v>201003</v>
          </cell>
        </row>
        <row r="4574">
          <cell r="K4574" t="str">
            <v>231012</v>
          </cell>
          <cell r="M4574">
            <v>1</v>
          </cell>
          <cell r="R4574">
            <v>45754</v>
          </cell>
          <cell r="S4574">
            <v>231012</v>
          </cell>
        </row>
        <row r="4575">
          <cell r="K4575" t="str">
            <v>207017</v>
          </cell>
          <cell r="M4575">
            <v>1</v>
          </cell>
          <cell r="R4575">
            <v>45754</v>
          </cell>
          <cell r="S4575">
            <v>207017</v>
          </cell>
        </row>
        <row r="4576">
          <cell r="K4576" t="str">
            <v>226001</v>
          </cell>
          <cell r="M4576">
            <v>5</v>
          </cell>
          <cell r="R4576">
            <v>45754</v>
          </cell>
          <cell r="S4576">
            <v>226001</v>
          </cell>
        </row>
        <row r="4577">
          <cell r="K4577" t="str">
            <v>203001</v>
          </cell>
          <cell r="M4577">
            <v>4</v>
          </cell>
          <cell r="R4577">
            <v>45754</v>
          </cell>
          <cell r="S4577">
            <v>203001</v>
          </cell>
        </row>
        <row r="4578">
          <cell r="K4578" t="str">
            <v>213018</v>
          </cell>
          <cell r="M4578">
            <v>7</v>
          </cell>
          <cell r="R4578">
            <v>45754</v>
          </cell>
          <cell r="S4578">
            <v>213018</v>
          </cell>
        </row>
        <row r="4579">
          <cell r="K4579" t="str">
            <v>228017</v>
          </cell>
          <cell r="M4579">
            <v>3</v>
          </cell>
          <cell r="R4579">
            <v>45754</v>
          </cell>
          <cell r="S4579">
            <v>228017</v>
          </cell>
        </row>
        <row r="4580">
          <cell r="K4580" t="str">
            <v>201011</v>
          </cell>
          <cell r="M4580">
            <v>2</v>
          </cell>
          <cell r="R4580">
            <v>45754</v>
          </cell>
          <cell r="S4580">
            <v>201011</v>
          </cell>
        </row>
        <row r="4581">
          <cell r="K4581" t="str">
            <v>203003</v>
          </cell>
          <cell r="M4581">
            <v>1</v>
          </cell>
          <cell r="R4581">
            <v>45754</v>
          </cell>
          <cell r="S4581">
            <v>203003</v>
          </cell>
        </row>
        <row r="4582">
          <cell r="K4582" t="str">
            <v>231012</v>
          </cell>
          <cell r="M4582">
            <v>1</v>
          </cell>
          <cell r="R4582">
            <v>45754</v>
          </cell>
          <cell r="S4582">
            <v>231012</v>
          </cell>
        </row>
        <row r="4583">
          <cell r="K4583" t="str">
            <v>203001</v>
          </cell>
          <cell r="M4583">
            <v>4</v>
          </cell>
          <cell r="R4583">
            <v>45754</v>
          </cell>
          <cell r="S4583">
            <v>203001</v>
          </cell>
        </row>
        <row r="4584">
          <cell r="K4584" t="str">
            <v>203001</v>
          </cell>
          <cell r="M4584">
            <v>4</v>
          </cell>
          <cell r="R4584">
            <v>45754</v>
          </cell>
          <cell r="S4584">
            <v>203001</v>
          </cell>
        </row>
        <row r="4585">
          <cell r="K4585" t="str">
            <v>226001</v>
          </cell>
          <cell r="M4585">
            <v>2</v>
          </cell>
          <cell r="R4585">
            <v>45754</v>
          </cell>
          <cell r="S4585">
            <v>226001</v>
          </cell>
        </row>
        <row r="4586">
          <cell r="K4586" t="str">
            <v>229001</v>
          </cell>
          <cell r="M4586">
            <v>15</v>
          </cell>
          <cell r="R4586">
            <v>45754</v>
          </cell>
          <cell r="S4586">
            <v>229001</v>
          </cell>
        </row>
        <row r="4587">
          <cell r="K4587" t="str">
            <v>217002</v>
          </cell>
          <cell r="M4587">
            <v>1</v>
          </cell>
          <cell r="R4587">
            <v>45754</v>
          </cell>
          <cell r="S4587">
            <v>217002</v>
          </cell>
        </row>
        <row r="4588">
          <cell r="K4588" t="str">
            <v>231012</v>
          </cell>
          <cell r="M4588">
            <v>3</v>
          </cell>
          <cell r="R4588">
            <v>45754</v>
          </cell>
          <cell r="S4588">
            <v>231012</v>
          </cell>
        </row>
        <row r="4589">
          <cell r="K4589" t="str">
            <v>201011</v>
          </cell>
          <cell r="M4589">
            <v>2</v>
          </cell>
          <cell r="R4589">
            <v>45754</v>
          </cell>
          <cell r="S4589">
            <v>201011</v>
          </cell>
        </row>
        <row r="4590">
          <cell r="K4590" t="str">
            <v>203003</v>
          </cell>
          <cell r="M4590">
            <v>1</v>
          </cell>
          <cell r="R4590">
            <v>45754</v>
          </cell>
          <cell r="S4590">
            <v>203003</v>
          </cell>
        </row>
        <row r="4591">
          <cell r="K4591" t="str">
            <v>231012</v>
          </cell>
          <cell r="M4591">
            <v>1</v>
          </cell>
          <cell r="R4591">
            <v>45754</v>
          </cell>
          <cell r="S4591">
            <v>231012</v>
          </cell>
        </row>
        <row r="4592">
          <cell r="K4592" t="str">
            <v>203003</v>
          </cell>
          <cell r="M4592">
            <v>2</v>
          </cell>
          <cell r="R4592">
            <v>45754</v>
          </cell>
          <cell r="S4592">
            <v>203003</v>
          </cell>
        </row>
        <row r="4593">
          <cell r="K4593" t="str">
            <v>241001</v>
          </cell>
          <cell r="M4593">
            <v>1</v>
          </cell>
          <cell r="R4593">
            <v>45754</v>
          </cell>
          <cell r="S4593">
            <v>241001</v>
          </cell>
        </row>
        <row r="4594">
          <cell r="K4594" t="str">
            <v>223017</v>
          </cell>
          <cell r="M4594">
            <v>10</v>
          </cell>
          <cell r="R4594">
            <v>45754</v>
          </cell>
          <cell r="S4594">
            <v>223017</v>
          </cell>
        </row>
        <row r="4595">
          <cell r="K4595" t="str">
            <v>223002</v>
          </cell>
          <cell r="M4595">
            <v>10</v>
          </cell>
          <cell r="R4595">
            <v>45754</v>
          </cell>
          <cell r="S4595">
            <v>223002</v>
          </cell>
        </row>
        <row r="4596">
          <cell r="K4596" t="str">
            <v>223001</v>
          </cell>
          <cell r="M4596">
            <v>2</v>
          </cell>
          <cell r="R4596">
            <v>45754</v>
          </cell>
          <cell r="S4596">
            <v>223001</v>
          </cell>
        </row>
        <row r="4597">
          <cell r="K4597" t="str">
            <v>228017</v>
          </cell>
          <cell r="M4597">
            <v>1</v>
          </cell>
          <cell r="R4597">
            <v>45754</v>
          </cell>
          <cell r="S4597">
            <v>228017</v>
          </cell>
        </row>
        <row r="4598">
          <cell r="K4598" t="str">
            <v>201002</v>
          </cell>
          <cell r="M4598">
            <v>1</v>
          </cell>
          <cell r="R4598">
            <v>45754</v>
          </cell>
          <cell r="S4598">
            <v>201002</v>
          </cell>
        </row>
        <row r="4599">
          <cell r="K4599" t="str">
            <v>222001</v>
          </cell>
          <cell r="M4599">
            <v>3</v>
          </cell>
          <cell r="R4599">
            <v>45754</v>
          </cell>
          <cell r="S4599">
            <v>222001</v>
          </cell>
        </row>
        <row r="4600">
          <cell r="K4600" t="str">
            <v>241001</v>
          </cell>
          <cell r="M4600">
            <v>4</v>
          </cell>
          <cell r="R4600">
            <v>45754</v>
          </cell>
          <cell r="S4600">
            <v>241001</v>
          </cell>
        </row>
        <row r="4601">
          <cell r="K4601" t="str">
            <v>231012</v>
          </cell>
          <cell r="M4601">
            <v>1</v>
          </cell>
          <cell r="R4601">
            <v>45754</v>
          </cell>
          <cell r="S4601">
            <v>231012</v>
          </cell>
        </row>
        <row r="4602">
          <cell r="K4602" t="str">
            <v>231012</v>
          </cell>
          <cell r="M4602">
            <v>1</v>
          </cell>
          <cell r="R4602">
            <v>45754</v>
          </cell>
          <cell r="S4602">
            <v>231012</v>
          </cell>
        </row>
        <row r="4603">
          <cell r="K4603" t="str">
            <v>201011</v>
          </cell>
          <cell r="M4603">
            <v>3</v>
          </cell>
          <cell r="R4603">
            <v>45754</v>
          </cell>
          <cell r="S4603">
            <v>201011</v>
          </cell>
        </row>
        <row r="4604">
          <cell r="K4604" t="str">
            <v>222003</v>
          </cell>
          <cell r="M4604">
            <v>1</v>
          </cell>
          <cell r="R4604">
            <v>45754</v>
          </cell>
          <cell r="S4604">
            <v>222003</v>
          </cell>
        </row>
        <row r="4605">
          <cell r="K4605" t="str">
            <v>222004</v>
          </cell>
          <cell r="M4605">
            <v>1</v>
          </cell>
          <cell r="R4605">
            <v>45754</v>
          </cell>
          <cell r="S4605">
            <v>222004</v>
          </cell>
        </row>
        <row r="4606">
          <cell r="K4606" t="str">
            <v>222001</v>
          </cell>
          <cell r="M4606">
            <v>1</v>
          </cell>
          <cell r="R4606">
            <v>45754</v>
          </cell>
          <cell r="S4606">
            <v>222001</v>
          </cell>
        </row>
        <row r="4607">
          <cell r="K4607" t="str">
            <v>222005</v>
          </cell>
          <cell r="M4607">
            <v>1</v>
          </cell>
          <cell r="R4607">
            <v>45754</v>
          </cell>
          <cell r="S4607">
            <v>222005</v>
          </cell>
        </row>
        <row r="4608">
          <cell r="K4608" t="str">
            <v>231012</v>
          </cell>
          <cell r="M4608">
            <v>10</v>
          </cell>
          <cell r="R4608">
            <v>45754</v>
          </cell>
          <cell r="S4608">
            <v>231012</v>
          </cell>
        </row>
        <row r="4609">
          <cell r="K4609" t="str">
            <v>228017</v>
          </cell>
          <cell r="M4609">
            <v>2</v>
          </cell>
          <cell r="R4609">
            <v>45754</v>
          </cell>
          <cell r="S4609">
            <v>228017</v>
          </cell>
        </row>
        <row r="4610">
          <cell r="K4610" t="str">
            <v>201011</v>
          </cell>
          <cell r="M4610">
            <v>6</v>
          </cell>
          <cell r="R4610">
            <v>45754</v>
          </cell>
          <cell r="S4610">
            <v>201011</v>
          </cell>
        </row>
        <row r="4611">
          <cell r="K4611" t="str">
            <v>237001</v>
          </cell>
          <cell r="M4611">
            <v>1</v>
          </cell>
          <cell r="R4611">
            <v>45754</v>
          </cell>
          <cell r="S4611">
            <v>237001</v>
          </cell>
        </row>
        <row r="4612">
          <cell r="K4612" t="str">
            <v>201002</v>
          </cell>
          <cell r="M4612">
            <v>1</v>
          </cell>
          <cell r="R4612">
            <v>45754</v>
          </cell>
          <cell r="S4612">
            <v>201002</v>
          </cell>
        </row>
        <row r="4613">
          <cell r="K4613" t="str">
            <v>226022</v>
          </cell>
          <cell r="M4613">
            <v>2</v>
          </cell>
          <cell r="R4613">
            <v>45754</v>
          </cell>
          <cell r="S4613">
            <v>226022</v>
          </cell>
        </row>
        <row r="4614">
          <cell r="K4614" t="str">
            <v>226027</v>
          </cell>
          <cell r="M4614">
            <v>2</v>
          </cell>
          <cell r="R4614">
            <v>45754</v>
          </cell>
          <cell r="S4614">
            <v>226027</v>
          </cell>
        </row>
        <row r="4615">
          <cell r="K4615" t="str">
            <v>237001</v>
          </cell>
          <cell r="M4615">
            <v>1</v>
          </cell>
          <cell r="R4615">
            <v>45754</v>
          </cell>
          <cell r="S4615">
            <v>237001</v>
          </cell>
        </row>
        <row r="4616">
          <cell r="K4616" t="str">
            <v>223001</v>
          </cell>
          <cell r="M4616">
            <v>2</v>
          </cell>
          <cell r="R4616">
            <v>45754</v>
          </cell>
          <cell r="S4616">
            <v>223001</v>
          </cell>
        </row>
        <row r="4617">
          <cell r="K4617" t="str">
            <v>213018</v>
          </cell>
          <cell r="M4617">
            <v>1</v>
          </cell>
          <cell r="R4617">
            <v>45754</v>
          </cell>
          <cell r="S4617">
            <v>213018</v>
          </cell>
        </row>
        <row r="4618">
          <cell r="K4618" t="str">
            <v>228017</v>
          </cell>
          <cell r="M4618">
            <v>2</v>
          </cell>
          <cell r="R4618">
            <v>45754</v>
          </cell>
          <cell r="S4618">
            <v>228017</v>
          </cell>
        </row>
        <row r="4619">
          <cell r="K4619" t="str">
            <v>231012</v>
          </cell>
          <cell r="M4619">
            <v>10</v>
          </cell>
          <cell r="R4619">
            <v>45754</v>
          </cell>
          <cell r="S4619">
            <v>231012</v>
          </cell>
        </row>
        <row r="4620">
          <cell r="K4620" t="str">
            <v>201002</v>
          </cell>
          <cell r="M4620">
            <v>5</v>
          </cell>
          <cell r="R4620">
            <v>45754</v>
          </cell>
          <cell r="S4620">
            <v>201002</v>
          </cell>
        </row>
        <row r="4621">
          <cell r="K4621" t="str">
            <v>241001</v>
          </cell>
          <cell r="M4621">
            <v>10</v>
          </cell>
          <cell r="R4621">
            <v>45754</v>
          </cell>
          <cell r="S4621">
            <v>241001</v>
          </cell>
        </row>
        <row r="4622">
          <cell r="K4622" t="str">
            <v>241001</v>
          </cell>
          <cell r="M4622">
            <v>6</v>
          </cell>
          <cell r="R4622">
            <v>45755</v>
          </cell>
          <cell r="S4622">
            <v>241001</v>
          </cell>
        </row>
        <row r="4623">
          <cell r="K4623" t="str">
            <v>223017</v>
          </cell>
          <cell r="M4623">
            <v>10</v>
          </cell>
          <cell r="R4623">
            <v>45755</v>
          </cell>
          <cell r="S4623">
            <v>223017</v>
          </cell>
        </row>
        <row r="4624">
          <cell r="K4624" t="str">
            <v>228017</v>
          </cell>
          <cell r="M4624">
            <v>4</v>
          </cell>
          <cell r="R4624">
            <v>45755</v>
          </cell>
          <cell r="S4624">
            <v>228017</v>
          </cell>
        </row>
        <row r="4625">
          <cell r="K4625" t="str">
            <v>207017</v>
          </cell>
          <cell r="M4625">
            <v>2</v>
          </cell>
          <cell r="R4625">
            <v>45755</v>
          </cell>
          <cell r="S4625">
            <v>207017</v>
          </cell>
        </row>
        <row r="4626">
          <cell r="K4626" t="str">
            <v>231012</v>
          </cell>
          <cell r="M4626">
            <v>1</v>
          </cell>
          <cell r="R4626">
            <v>45755</v>
          </cell>
          <cell r="S4626">
            <v>231012</v>
          </cell>
        </row>
        <row r="4627">
          <cell r="K4627" t="str">
            <v>212035</v>
          </cell>
          <cell r="M4627">
            <v>3</v>
          </cell>
          <cell r="R4627">
            <v>45755</v>
          </cell>
          <cell r="S4627">
            <v>212035</v>
          </cell>
        </row>
        <row r="4628">
          <cell r="K4628" t="str">
            <v>231004</v>
          </cell>
          <cell r="M4628">
            <v>1</v>
          </cell>
          <cell r="R4628">
            <v>45755</v>
          </cell>
          <cell r="S4628">
            <v>231004</v>
          </cell>
        </row>
        <row r="4629">
          <cell r="K4629" t="str">
            <v>231012</v>
          </cell>
          <cell r="M4629">
            <v>1</v>
          </cell>
          <cell r="R4629">
            <v>45755</v>
          </cell>
          <cell r="S4629">
            <v>231012</v>
          </cell>
        </row>
        <row r="4630">
          <cell r="K4630" t="str">
            <v>201002</v>
          </cell>
          <cell r="M4630">
            <v>1</v>
          </cell>
          <cell r="R4630">
            <v>45755</v>
          </cell>
          <cell r="S4630">
            <v>201002</v>
          </cell>
        </row>
        <row r="4631">
          <cell r="K4631" t="str">
            <v>201011</v>
          </cell>
          <cell r="M4631">
            <v>5</v>
          </cell>
          <cell r="R4631">
            <v>45755</v>
          </cell>
          <cell r="S4631">
            <v>201011</v>
          </cell>
        </row>
        <row r="4632">
          <cell r="K4632" t="str">
            <v>209004</v>
          </cell>
          <cell r="M4632">
            <v>1</v>
          </cell>
          <cell r="R4632">
            <v>45755</v>
          </cell>
          <cell r="S4632">
            <v>209004</v>
          </cell>
        </row>
        <row r="4633">
          <cell r="K4633" t="str">
            <v>212035</v>
          </cell>
          <cell r="M4633">
            <v>2</v>
          </cell>
          <cell r="R4633">
            <v>45755</v>
          </cell>
          <cell r="S4633">
            <v>212035</v>
          </cell>
        </row>
        <row r="4634">
          <cell r="K4634" t="str">
            <v>213030</v>
          </cell>
          <cell r="M4634">
            <v>6</v>
          </cell>
          <cell r="R4634">
            <v>45755</v>
          </cell>
          <cell r="S4634">
            <v>213030</v>
          </cell>
        </row>
        <row r="4635">
          <cell r="K4635" t="str">
            <v>203003</v>
          </cell>
          <cell r="M4635">
            <v>1</v>
          </cell>
          <cell r="R4635">
            <v>45755</v>
          </cell>
          <cell r="S4635">
            <v>203003</v>
          </cell>
        </row>
        <row r="4636">
          <cell r="K4636" t="str">
            <v>229001</v>
          </cell>
          <cell r="M4636">
            <v>1</v>
          </cell>
          <cell r="R4636">
            <v>45755</v>
          </cell>
          <cell r="S4636">
            <v>229001</v>
          </cell>
        </row>
        <row r="4637">
          <cell r="K4637" t="str">
            <v>201011</v>
          </cell>
          <cell r="M4637">
            <v>8</v>
          </cell>
          <cell r="R4637">
            <v>45755</v>
          </cell>
          <cell r="S4637">
            <v>201011</v>
          </cell>
        </row>
        <row r="4638">
          <cell r="K4638" t="str">
            <v>201003</v>
          </cell>
          <cell r="M4638">
            <v>20</v>
          </cell>
          <cell r="R4638">
            <v>45755</v>
          </cell>
          <cell r="S4638">
            <v>201003</v>
          </cell>
        </row>
        <row r="4639">
          <cell r="K4639" t="str">
            <v>201011</v>
          </cell>
          <cell r="M4639">
            <v>6</v>
          </cell>
          <cell r="R4639">
            <v>45755</v>
          </cell>
          <cell r="S4639">
            <v>201011</v>
          </cell>
        </row>
        <row r="4640">
          <cell r="K4640" t="str">
            <v>226025</v>
          </cell>
          <cell r="M4640">
            <v>2</v>
          </cell>
          <cell r="R4640">
            <v>45755</v>
          </cell>
          <cell r="S4640">
            <v>226025</v>
          </cell>
        </row>
        <row r="4641">
          <cell r="K4641" t="str">
            <v>226001</v>
          </cell>
          <cell r="M4641">
            <v>2</v>
          </cell>
          <cell r="R4641">
            <v>45755</v>
          </cell>
          <cell r="S4641">
            <v>226001</v>
          </cell>
        </row>
        <row r="4642">
          <cell r="K4642" t="str">
            <v>203003</v>
          </cell>
          <cell r="M4642">
            <v>1</v>
          </cell>
          <cell r="R4642">
            <v>45755</v>
          </cell>
          <cell r="S4642">
            <v>203003</v>
          </cell>
        </row>
        <row r="4643">
          <cell r="K4643" t="str">
            <v>226003</v>
          </cell>
          <cell r="M4643">
            <v>1</v>
          </cell>
          <cell r="R4643">
            <v>45755</v>
          </cell>
          <cell r="S4643">
            <v>226003</v>
          </cell>
        </row>
        <row r="4644">
          <cell r="K4644" t="str">
            <v>207017</v>
          </cell>
          <cell r="M4644">
            <v>1</v>
          </cell>
          <cell r="R4644">
            <v>45755</v>
          </cell>
          <cell r="S4644">
            <v>207017</v>
          </cell>
        </row>
        <row r="4645">
          <cell r="K4645" t="str">
            <v>241001</v>
          </cell>
          <cell r="M4645">
            <v>3</v>
          </cell>
          <cell r="R4645">
            <v>45755</v>
          </cell>
          <cell r="S4645">
            <v>241001</v>
          </cell>
        </row>
        <row r="4646">
          <cell r="K4646" t="str">
            <v>201011</v>
          </cell>
          <cell r="M4646">
            <v>6</v>
          </cell>
          <cell r="R4646">
            <v>45755</v>
          </cell>
          <cell r="S4646">
            <v>201011</v>
          </cell>
        </row>
        <row r="4647">
          <cell r="K4647" t="str">
            <v>201011</v>
          </cell>
          <cell r="M4647">
            <v>3</v>
          </cell>
          <cell r="R4647">
            <v>45755</v>
          </cell>
          <cell r="S4647">
            <v>201011</v>
          </cell>
        </row>
        <row r="4648">
          <cell r="K4648" t="str">
            <v>201002</v>
          </cell>
          <cell r="M4648">
            <v>5</v>
          </cell>
          <cell r="R4648">
            <v>45755</v>
          </cell>
          <cell r="S4648">
            <v>201002</v>
          </cell>
        </row>
        <row r="4649">
          <cell r="K4649" t="str">
            <v>226001</v>
          </cell>
          <cell r="M4649">
            <v>6</v>
          </cell>
          <cell r="R4649">
            <v>45756</v>
          </cell>
          <cell r="S4649">
            <v>226001</v>
          </cell>
        </row>
        <row r="4650">
          <cell r="K4650" t="str">
            <v>226001</v>
          </cell>
          <cell r="M4650">
            <v>2</v>
          </cell>
          <cell r="R4650">
            <v>45756</v>
          </cell>
          <cell r="S4650">
            <v>226001</v>
          </cell>
        </row>
        <row r="4651">
          <cell r="K4651" t="str">
            <v>201011</v>
          </cell>
          <cell r="M4651">
            <v>36</v>
          </cell>
          <cell r="R4651">
            <v>45756</v>
          </cell>
          <cell r="S4651">
            <v>201011</v>
          </cell>
        </row>
        <row r="4652">
          <cell r="K4652" t="str">
            <v>213018</v>
          </cell>
          <cell r="M4652">
            <v>4</v>
          </cell>
          <cell r="R4652">
            <v>45756</v>
          </cell>
          <cell r="S4652">
            <v>213018</v>
          </cell>
        </row>
        <row r="4653">
          <cell r="K4653" t="str">
            <v>223002</v>
          </cell>
          <cell r="M4653">
            <v>1</v>
          </cell>
          <cell r="R4653">
            <v>45756</v>
          </cell>
          <cell r="S4653">
            <v>223002</v>
          </cell>
        </row>
        <row r="4654">
          <cell r="K4654" t="str">
            <v>227001</v>
          </cell>
          <cell r="M4654">
            <v>2</v>
          </cell>
          <cell r="R4654">
            <v>45756</v>
          </cell>
          <cell r="S4654">
            <v>227001</v>
          </cell>
        </row>
        <row r="4655">
          <cell r="K4655" t="str">
            <v>201011</v>
          </cell>
          <cell r="M4655">
            <v>1</v>
          </cell>
          <cell r="R4655">
            <v>45756</v>
          </cell>
          <cell r="S4655">
            <v>201011</v>
          </cell>
        </row>
        <row r="4656">
          <cell r="K4656" t="str">
            <v>229003</v>
          </cell>
          <cell r="M4656">
            <v>2</v>
          </cell>
          <cell r="R4656">
            <v>45756</v>
          </cell>
          <cell r="S4656">
            <v>229003</v>
          </cell>
        </row>
        <row r="4657">
          <cell r="K4657" t="str">
            <v>217002</v>
          </cell>
          <cell r="M4657">
            <v>8</v>
          </cell>
          <cell r="R4657">
            <v>45756</v>
          </cell>
          <cell r="S4657">
            <v>217002</v>
          </cell>
        </row>
        <row r="4658">
          <cell r="K4658" t="str">
            <v>222001</v>
          </cell>
          <cell r="M4658">
            <v>1</v>
          </cell>
          <cell r="R4658">
            <v>45756</v>
          </cell>
          <cell r="S4658">
            <v>222001</v>
          </cell>
        </row>
        <row r="4659">
          <cell r="K4659" t="str">
            <v>201002</v>
          </cell>
          <cell r="M4659">
            <v>5</v>
          </cell>
          <cell r="R4659">
            <v>45756</v>
          </cell>
          <cell r="S4659">
            <v>201002</v>
          </cell>
        </row>
        <row r="4660">
          <cell r="K4660" t="str">
            <v>210002</v>
          </cell>
          <cell r="M4660">
            <v>1</v>
          </cell>
          <cell r="R4660">
            <v>45757</v>
          </cell>
          <cell r="S4660">
            <v>210002</v>
          </cell>
        </row>
        <row r="4661">
          <cell r="K4661" t="str">
            <v>201011</v>
          </cell>
          <cell r="M4661">
            <v>36</v>
          </cell>
          <cell r="R4661">
            <v>45757</v>
          </cell>
          <cell r="S4661">
            <v>201011</v>
          </cell>
        </row>
        <row r="4662">
          <cell r="K4662" t="str">
            <v>227002</v>
          </cell>
          <cell r="M4662">
            <v>1</v>
          </cell>
          <cell r="R4662">
            <v>45757</v>
          </cell>
          <cell r="S4662">
            <v>227002</v>
          </cell>
        </row>
        <row r="4663">
          <cell r="K4663" t="str">
            <v>210001</v>
          </cell>
          <cell r="M4663">
            <v>2</v>
          </cell>
          <cell r="R4663">
            <v>45757</v>
          </cell>
          <cell r="S4663">
            <v>210001</v>
          </cell>
        </row>
        <row r="4664">
          <cell r="K4664" t="str">
            <v>201011</v>
          </cell>
          <cell r="M4664">
            <v>2</v>
          </cell>
          <cell r="R4664">
            <v>45757</v>
          </cell>
          <cell r="S4664">
            <v>201011</v>
          </cell>
        </row>
        <row r="4665">
          <cell r="K4665" t="str">
            <v>222001</v>
          </cell>
          <cell r="M4665">
            <v>1</v>
          </cell>
          <cell r="R4665">
            <v>45757</v>
          </cell>
          <cell r="S4665">
            <v>222001</v>
          </cell>
        </row>
        <row r="4666">
          <cell r="K4666" t="str">
            <v>231012</v>
          </cell>
          <cell r="M4666">
            <v>1</v>
          </cell>
          <cell r="R4666">
            <v>45757</v>
          </cell>
          <cell r="S4666">
            <v>231012</v>
          </cell>
        </row>
        <row r="4667">
          <cell r="K4667" t="str">
            <v>228001</v>
          </cell>
          <cell r="M4667">
            <v>1</v>
          </cell>
          <cell r="R4667">
            <v>45757</v>
          </cell>
          <cell r="S4667">
            <v>228001</v>
          </cell>
        </row>
        <row r="4668">
          <cell r="K4668" t="str">
            <v>228001</v>
          </cell>
          <cell r="M4668">
            <v>3</v>
          </cell>
          <cell r="R4668">
            <v>45757</v>
          </cell>
          <cell r="S4668">
            <v>228001</v>
          </cell>
        </row>
        <row r="4669">
          <cell r="K4669" t="str">
            <v>228017</v>
          </cell>
          <cell r="M4669">
            <v>4</v>
          </cell>
          <cell r="R4669">
            <v>45757</v>
          </cell>
          <cell r="S4669">
            <v>228017</v>
          </cell>
        </row>
        <row r="4670">
          <cell r="K4670" t="str">
            <v>231012</v>
          </cell>
          <cell r="M4670">
            <v>8</v>
          </cell>
          <cell r="R4670">
            <v>45757</v>
          </cell>
          <cell r="S4670">
            <v>231012</v>
          </cell>
        </row>
        <row r="4671">
          <cell r="K4671" t="str">
            <v>228001</v>
          </cell>
          <cell r="M4671">
            <v>1</v>
          </cell>
          <cell r="R4671">
            <v>45757</v>
          </cell>
          <cell r="S4671">
            <v>228001</v>
          </cell>
        </row>
        <row r="4672">
          <cell r="K4672" t="str">
            <v>213017</v>
          </cell>
          <cell r="M4672">
            <v>1</v>
          </cell>
          <cell r="R4672">
            <v>45757</v>
          </cell>
          <cell r="S4672">
            <v>213017</v>
          </cell>
        </row>
        <row r="4673">
          <cell r="K4673" t="str">
            <v>217018</v>
          </cell>
          <cell r="M4673">
            <v>2</v>
          </cell>
          <cell r="R4673">
            <v>45757</v>
          </cell>
          <cell r="S4673">
            <v>217018</v>
          </cell>
        </row>
        <row r="4674">
          <cell r="K4674" t="str">
            <v>231012</v>
          </cell>
          <cell r="M4674">
            <v>1</v>
          </cell>
          <cell r="R4674">
            <v>45757</v>
          </cell>
          <cell r="S4674">
            <v>231012</v>
          </cell>
        </row>
        <row r="4675">
          <cell r="K4675" t="str">
            <v>203003</v>
          </cell>
          <cell r="M4675">
            <v>2</v>
          </cell>
          <cell r="R4675">
            <v>45757</v>
          </cell>
          <cell r="S4675">
            <v>203003</v>
          </cell>
        </row>
        <row r="4676">
          <cell r="K4676" t="str">
            <v>217018</v>
          </cell>
          <cell r="M4676">
            <v>1</v>
          </cell>
          <cell r="R4676">
            <v>45757</v>
          </cell>
          <cell r="S4676">
            <v>217018</v>
          </cell>
        </row>
        <row r="4677">
          <cell r="K4677" t="str">
            <v>217018</v>
          </cell>
          <cell r="M4677">
            <v>1</v>
          </cell>
          <cell r="R4677">
            <v>45757</v>
          </cell>
          <cell r="S4677">
            <v>217018</v>
          </cell>
        </row>
        <row r="4678">
          <cell r="K4678" t="str">
            <v>217018</v>
          </cell>
          <cell r="M4678">
            <v>2</v>
          </cell>
          <cell r="R4678">
            <v>45757</v>
          </cell>
          <cell r="S4678">
            <v>217018</v>
          </cell>
        </row>
        <row r="4679">
          <cell r="K4679" t="str">
            <v>201009</v>
          </cell>
          <cell r="M4679">
            <v>2</v>
          </cell>
          <cell r="R4679">
            <v>45757</v>
          </cell>
          <cell r="S4679">
            <v>201009</v>
          </cell>
        </row>
        <row r="4680">
          <cell r="K4680" t="str">
            <v>223002</v>
          </cell>
          <cell r="M4680">
            <v>7</v>
          </cell>
          <cell r="R4680">
            <v>45757</v>
          </cell>
          <cell r="S4680">
            <v>223002</v>
          </cell>
        </row>
        <row r="4681">
          <cell r="K4681" t="str">
            <v>210010</v>
          </cell>
          <cell r="M4681">
            <v>1</v>
          </cell>
          <cell r="R4681">
            <v>45757</v>
          </cell>
          <cell r="S4681">
            <v>210010</v>
          </cell>
        </row>
        <row r="4682">
          <cell r="K4682" t="str">
            <v>210001</v>
          </cell>
          <cell r="M4682">
            <v>6</v>
          </cell>
          <cell r="R4682">
            <v>45757</v>
          </cell>
          <cell r="S4682">
            <v>210001</v>
          </cell>
        </row>
        <row r="4683">
          <cell r="K4683" t="str">
            <v>207017</v>
          </cell>
          <cell r="M4683">
            <v>1</v>
          </cell>
          <cell r="R4683">
            <v>45757</v>
          </cell>
          <cell r="S4683">
            <v>207017</v>
          </cell>
        </row>
        <row r="4684">
          <cell r="K4684" t="str">
            <v>229004</v>
          </cell>
          <cell r="M4684">
            <v>4</v>
          </cell>
          <cell r="R4684">
            <v>45757</v>
          </cell>
          <cell r="S4684">
            <v>229004</v>
          </cell>
        </row>
        <row r="4685">
          <cell r="K4685" t="str">
            <v>226001</v>
          </cell>
          <cell r="M4685">
            <v>1</v>
          </cell>
          <cell r="R4685">
            <v>45757</v>
          </cell>
          <cell r="S4685">
            <v>226001</v>
          </cell>
        </row>
        <row r="4686">
          <cell r="K4686" t="str">
            <v>203004</v>
          </cell>
          <cell r="M4686">
            <v>1</v>
          </cell>
          <cell r="R4686">
            <v>45757</v>
          </cell>
          <cell r="S4686">
            <v>203004</v>
          </cell>
        </row>
        <row r="4687">
          <cell r="K4687" t="str">
            <v>229003</v>
          </cell>
          <cell r="M4687">
            <v>1</v>
          </cell>
          <cell r="R4687">
            <v>45757</v>
          </cell>
          <cell r="S4687">
            <v>229003</v>
          </cell>
        </row>
        <row r="4688">
          <cell r="K4688" t="str">
            <v>218001</v>
          </cell>
          <cell r="M4688">
            <v>1</v>
          </cell>
          <cell r="R4688">
            <v>45757</v>
          </cell>
          <cell r="S4688">
            <v>218001</v>
          </cell>
        </row>
        <row r="4689">
          <cell r="K4689" t="str">
            <v>201011</v>
          </cell>
          <cell r="M4689">
            <v>10</v>
          </cell>
          <cell r="R4689">
            <v>45757</v>
          </cell>
          <cell r="S4689">
            <v>201011</v>
          </cell>
        </row>
        <row r="4690">
          <cell r="K4690" t="str">
            <v>201004</v>
          </cell>
          <cell r="M4690">
            <v>2</v>
          </cell>
          <cell r="R4690">
            <v>45757</v>
          </cell>
          <cell r="S4690">
            <v>201004</v>
          </cell>
        </row>
        <row r="4691">
          <cell r="K4691" t="str">
            <v>226001</v>
          </cell>
          <cell r="M4691">
            <v>1</v>
          </cell>
          <cell r="R4691">
            <v>45757</v>
          </cell>
          <cell r="S4691">
            <v>226001</v>
          </cell>
        </row>
        <row r="4692">
          <cell r="K4692" t="str">
            <v>217002</v>
          </cell>
          <cell r="M4692">
            <v>1</v>
          </cell>
          <cell r="R4692">
            <v>45757</v>
          </cell>
          <cell r="S4692">
            <v>217002</v>
          </cell>
        </row>
        <row r="4693">
          <cell r="K4693" t="str">
            <v>217020</v>
          </cell>
          <cell r="M4693">
            <v>1</v>
          </cell>
          <cell r="R4693">
            <v>45757</v>
          </cell>
          <cell r="S4693">
            <v>217020</v>
          </cell>
        </row>
        <row r="4694">
          <cell r="K4694" t="str">
            <v>201011</v>
          </cell>
          <cell r="M4694">
            <v>1</v>
          </cell>
          <cell r="R4694">
            <v>45757</v>
          </cell>
          <cell r="S4694">
            <v>201011</v>
          </cell>
        </row>
        <row r="4695">
          <cell r="K4695" t="str">
            <v>201011</v>
          </cell>
          <cell r="M4695">
            <v>2</v>
          </cell>
          <cell r="R4695">
            <v>45757</v>
          </cell>
          <cell r="S4695">
            <v>201011</v>
          </cell>
        </row>
        <row r="4696">
          <cell r="K4696" t="str">
            <v>217002</v>
          </cell>
          <cell r="M4696">
            <v>1</v>
          </cell>
          <cell r="R4696">
            <v>45757</v>
          </cell>
          <cell r="S4696">
            <v>217002</v>
          </cell>
        </row>
        <row r="4697">
          <cell r="K4697" t="str">
            <v>223001</v>
          </cell>
          <cell r="M4697">
            <v>2</v>
          </cell>
          <cell r="R4697">
            <v>45757</v>
          </cell>
          <cell r="S4697">
            <v>223001</v>
          </cell>
        </row>
        <row r="4698">
          <cell r="K4698" t="str">
            <v>201011</v>
          </cell>
          <cell r="M4698">
            <v>1</v>
          </cell>
          <cell r="R4698">
            <v>45757</v>
          </cell>
          <cell r="S4698">
            <v>201011</v>
          </cell>
        </row>
        <row r="4699">
          <cell r="K4699" t="str">
            <v>207017</v>
          </cell>
          <cell r="M4699">
            <v>1</v>
          </cell>
          <cell r="R4699">
            <v>45757</v>
          </cell>
          <cell r="S4699">
            <v>207017</v>
          </cell>
        </row>
        <row r="4700">
          <cell r="K4700" t="str">
            <v>212002</v>
          </cell>
          <cell r="M4700">
            <v>1</v>
          </cell>
          <cell r="R4700">
            <v>45757</v>
          </cell>
          <cell r="S4700">
            <v>212002</v>
          </cell>
        </row>
        <row r="4701">
          <cell r="K4701" t="str">
            <v>228017</v>
          </cell>
          <cell r="M4701">
            <v>4</v>
          </cell>
          <cell r="R4701">
            <v>45757</v>
          </cell>
          <cell r="S4701">
            <v>228017</v>
          </cell>
        </row>
        <row r="4702">
          <cell r="K4702" t="str">
            <v>226025</v>
          </cell>
          <cell r="M4702">
            <v>1</v>
          </cell>
          <cell r="R4702">
            <v>45757</v>
          </cell>
          <cell r="S4702">
            <v>226025</v>
          </cell>
        </row>
        <row r="4703">
          <cell r="K4703" t="str">
            <v>228017</v>
          </cell>
          <cell r="M4703">
            <v>10</v>
          </cell>
          <cell r="R4703">
            <v>45757</v>
          </cell>
          <cell r="S4703">
            <v>228017</v>
          </cell>
        </row>
        <row r="4704">
          <cell r="K4704" t="str">
            <v>223001</v>
          </cell>
          <cell r="M4704">
            <v>10</v>
          </cell>
          <cell r="R4704">
            <v>45757</v>
          </cell>
          <cell r="S4704">
            <v>223001</v>
          </cell>
        </row>
        <row r="4705">
          <cell r="K4705" t="str">
            <v>223002</v>
          </cell>
          <cell r="M4705">
            <v>3</v>
          </cell>
          <cell r="R4705">
            <v>45757</v>
          </cell>
          <cell r="S4705">
            <v>223002</v>
          </cell>
        </row>
        <row r="4706">
          <cell r="K4706" t="str">
            <v>201011</v>
          </cell>
          <cell r="M4706">
            <v>1</v>
          </cell>
          <cell r="R4706">
            <v>45757</v>
          </cell>
          <cell r="S4706">
            <v>201011</v>
          </cell>
        </row>
        <row r="4707">
          <cell r="K4707" t="str">
            <v>241001</v>
          </cell>
          <cell r="M4707">
            <v>2</v>
          </cell>
          <cell r="R4707">
            <v>45757</v>
          </cell>
          <cell r="S4707">
            <v>241001</v>
          </cell>
        </row>
        <row r="4708">
          <cell r="K4708" t="str">
            <v>227002</v>
          </cell>
          <cell r="M4708">
            <v>1</v>
          </cell>
          <cell r="R4708">
            <v>45757</v>
          </cell>
          <cell r="S4708">
            <v>227002</v>
          </cell>
        </row>
        <row r="4709">
          <cell r="K4709" t="str">
            <v>223002</v>
          </cell>
          <cell r="M4709">
            <v>6</v>
          </cell>
          <cell r="R4709">
            <v>45757</v>
          </cell>
          <cell r="S4709">
            <v>223002</v>
          </cell>
        </row>
        <row r="4710">
          <cell r="K4710" t="str">
            <v>222001</v>
          </cell>
          <cell r="M4710">
            <v>2</v>
          </cell>
          <cell r="R4710">
            <v>45757</v>
          </cell>
          <cell r="S4710">
            <v>222001</v>
          </cell>
        </row>
        <row r="4711">
          <cell r="K4711" t="str">
            <v>241001</v>
          </cell>
          <cell r="M4711">
            <v>3</v>
          </cell>
          <cell r="R4711">
            <v>45757</v>
          </cell>
          <cell r="S4711">
            <v>241001</v>
          </cell>
        </row>
        <row r="4712">
          <cell r="K4712" t="str">
            <v>212019</v>
          </cell>
          <cell r="M4712">
            <v>1</v>
          </cell>
          <cell r="R4712">
            <v>45757</v>
          </cell>
          <cell r="S4712">
            <v>212019</v>
          </cell>
        </row>
        <row r="4713">
          <cell r="K4713" t="str">
            <v>226001</v>
          </cell>
          <cell r="M4713">
            <v>5</v>
          </cell>
          <cell r="R4713">
            <v>45757</v>
          </cell>
          <cell r="S4713">
            <v>226001</v>
          </cell>
        </row>
        <row r="4714">
          <cell r="K4714" t="str">
            <v>241001</v>
          </cell>
          <cell r="M4714">
            <v>3</v>
          </cell>
          <cell r="R4714">
            <v>45757</v>
          </cell>
          <cell r="S4714">
            <v>241001</v>
          </cell>
        </row>
        <row r="4715">
          <cell r="K4715" t="str">
            <v>241001</v>
          </cell>
          <cell r="M4715">
            <v>3</v>
          </cell>
          <cell r="R4715">
            <v>45757</v>
          </cell>
          <cell r="S4715">
            <v>241001</v>
          </cell>
        </row>
        <row r="4716">
          <cell r="K4716" t="str">
            <v>217018</v>
          </cell>
          <cell r="M4716">
            <v>1</v>
          </cell>
          <cell r="R4716">
            <v>45757</v>
          </cell>
          <cell r="S4716">
            <v>217018</v>
          </cell>
        </row>
        <row r="4717">
          <cell r="K4717" t="str">
            <v>226001</v>
          </cell>
          <cell r="M4717">
            <v>1</v>
          </cell>
          <cell r="R4717">
            <v>45757</v>
          </cell>
          <cell r="S4717">
            <v>226001</v>
          </cell>
        </row>
        <row r="4718">
          <cell r="K4718" t="str">
            <v>217020</v>
          </cell>
          <cell r="M4718">
            <v>1</v>
          </cell>
          <cell r="R4718">
            <v>45757</v>
          </cell>
          <cell r="S4718">
            <v>217020</v>
          </cell>
        </row>
        <row r="4719">
          <cell r="K4719" t="str">
            <v>234001</v>
          </cell>
          <cell r="M4719">
            <v>1</v>
          </cell>
          <cell r="R4719">
            <v>45758</v>
          </cell>
          <cell r="S4719">
            <v>234001</v>
          </cell>
        </row>
        <row r="4720">
          <cell r="K4720" t="str">
            <v>231012</v>
          </cell>
          <cell r="M4720">
            <v>1</v>
          </cell>
          <cell r="R4720">
            <v>45758</v>
          </cell>
          <cell r="S4720">
            <v>231012</v>
          </cell>
        </row>
        <row r="4721">
          <cell r="K4721" t="str">
            <v>226026</v>
          </cell>
          <cell r="M4721">
            <v>1</v>
          </cell>
          <cell r="R4721">
            <v>45758</v>
          </cell>
          <cell r="S4721">
            <v>226026</v>
          </cell>
        </row>
        <row r="4722">
          <cell r="K4722" t="str">
            <v>217018</v>
          </cell>
          <cell r="M4722">
            <v>1</v>
          </cell>
          <cell r="R4722">
            <v>45758</v>
          </cell>
          <cell r="S4722">
            <v>217018</v>
          </cell>
        </row>
        <row r="4723">
          <cell r="K4723" t="str">
            <v>213002</v>
          </cell>
          <cell r="M4723">
            <v>40</v>
          </cell>
          <cell r="R4723">
            <v>45758</v>
          </cell>
          <cell r="S4723">
            <v>213002</v>
          </cell>
        </row>
        <row r="4724">
          <cell r="K4724" t="str">
            <v>213002</v>
          </cell>
          <cell r="M4724">
            <v>5</v>
          </cell>
          <cell r="R4724">
            <v>45758</v>
          </cell>
          <cell r="S4724">
            <v>213002</v>
          </cell>
        </row>
        <row r="4725">
          <cell r="K4725" t="str">
            <v>226025</v>
          </cell>
          <cell r="M4725">
            <v>2</v>
          </cell>
          <cell r="R4725">
            <v>45758</v>
          </cell>
          <cell r="S4725">
            <v>226025</v>
          </cell>
        </row>
        <row r="4726">
          <cell r="K4726" t="str">
            <v>213002</v>
          </cell>
          <cell r="M4726">
            <v>7</v>
          </cell>
          <cell r="R4726">
            <v>45758</v>
          </cell>
          <cell r="S4726">
            <v>213002</v>
          </cell>
        </row>
        <row r="4727">
          <cell r="K4727" t="str">
            <v>201011</v>
          </cell>
          <cell r="M4727">
            <v>10</v>
          </cell>
          <cell r="R4727">
            <v>45758</v>
          </cell>
          <cell r="S4727">
            <v>201011</v>
          </cell>
        </row>
        <row r="4728">
          <cell r="K4728" t="str">
            <v>213002</v>
          </cell>
          <cell r="M4728">
            <v>4</v>
          </cell>
          <cell r="R4728">
            <v>45758</v>
          </cell>
          <cell r="S4728">
            <v>213002</v>
          </cell>
        </row>
        <row r="4729">
          <cell r="K4729" t="str">
            <v>213002</v>
          </cell>
          <cell r="M4729">
            <v>30</v>
          </cell>
          <cell r="R4729">
            <v>45758</v>
          </cell>
          <cell r="S4729">
            <v>213002</v>
          </cell>
        </row>
        <row r="4730">
          <cell r="K4730" t="str">
            <v>229001</v>
          </cell>
          <cell r="M4730">
            <v>1</v>
          </cell>
          <cell r="R4730">
            <v>45758</v>
          </cell>
          <cell r="S4730">
            <v>229001</v>
          </cell>
        </row>
        <row r="4731">
          <cell r="K4731" t="str">
            <v>223001</v>
          </cell>
          <cell r="M4731">
            <v>5</v>
          </cell>
          <cell r="R4731">
            <v>45758</v>
          </cell>
          <cell r="S4731">
            <v>223001</v>
          </cell>
        </row>
        <row r="4732">
          <cell r="K4732" t="str">
            <v>223002</v>
          </cell>
          <cell r="M4732">
            <v>1</v>
          </cell>
          <cell r="R4732">
            <v>45758</v>
          </cell>
          <cell r="S4732">
            <v>223002</v>
          </cell>
        </row>
        <row r="4733">
          <cell r="K4733" t="str">
            <v>210013</v>
          </cell>
          <cell r="M4733">
            <v>4</v>
          </cell>
          <cell r="R4733">
            <v>45758</v>
          </cell>
          <cell r="S4733">
            <v>210013</v>
          </cell>
        </row>
        <row r="4734">
          <cell r="K4734" t="str">
            <v>213002</v>
          </cell>
          <cell r="M4734">
            <v>2</v>
          </cell>
          <cell r="R4734">
            <v>45758</v>
          </cell>
          <cell r="S4734">
            <v>213002</v>
          </cell>
        </row>
        <row r="4735">
          <cell r="K4735" t="str">
            <v>213002</v>
          </cell>
          <cell r="M4735">
            <v>2</v>
          </cell>
          <cell r="R4735">
            <v>45758</v>
          </cell>
          <cell r="S4735">
            <v>213002</v>
          </cell>
        </row>
        <row r="4736">
          <cell r="K4736" t="str">
            <v>213002</v>
          </cell>
          <cell r="M4736">
            <v>4</v>
          </cell>
          <cell r="R4736">
            <v>45758</v>
          </cell>
          <cell r="S4736">
            <v>213002</v>
          </cell>
        </row>
        <row r="4737">
          <cell r="K4737" t="str">
            <v>228001</v>
          </cell>
          <cell r="M4737">
            <v>15</v>
          </cell>
          <cell r="R4737">
            <v>45758</v>
          </cell>
          <cell r="S4737">
            <v>228001</v>
          </cell>
        </row>
        <row r="4738">
          <cell r="K4738" t="str">
            <v>218001</v>
          </cell>
          <cell r="M4738">
            <v>1</v>
          </cell>
          <cell r="R4738">
            <v>45758</v>
          </cell>
          <cell r="S4738">
            <v>218001</v>
          </cell>
        </row>
        <row r="4739">
          <cell r="K4739" t="str">
            <v>213002</v>
          </cell>
          <cell r="M4739">
            <v>4</v>
          </cell>
          <cell r="R4739">
            <v>45758</v>
          </cell>
          <cell r="S4739">
            <v>213002</v>
          </cell>
        </row>
        <row r="4740">
          <cell r="K4740" t="str">
            <v>271002</v>
          </cell>
          <cell r="M4740">
            <v>1</v>
          </cell>
          <cell r="R4740">
            <v>45758</v>
          </cell>
          <cell r="S4740">
            <v>271002</v>
          </cell>
        </row>
        <row r="4741">
          <cell r="K4741" t="str">
            <v>213002</v>
          </cell>
          <cell r="M4741">
            <v>6</v>
          </cell>
          <cell r="R4741">
            <v>45758</v>
          </cell>
          <cell r="S4741">
            <v>213002</v>
          </cell>
        </row>
        <row r="4742">
          <cell r="K4742" t="str">
            <v>213002</v>
          </cell>
          <cell r="M4742">
            <v>6</v>
          </cell>
          <cell r="R4742">
            <v>45758</v>
          </cell>
          <cell r="S4742">
            <v>213002</v>
          </cell>
        </row>
        <row r="4743">
          <cell r="K4743" t="str">
            <v>213002</v>
          </cell>
          <cell r="M4743">
            <v>2</v>
          </cell>
          <cell r="R4743">
            <v>45758</v>
          </cell>
          <cell r="S4743">
            <v>213002</v>
          </cell>
        </row>
        <row r="4744">
          <cell r="K4744" t="str">
            <v>213002</v>
          </cell>
          <cell r="M4744">
            <v>10</v>
          </cell>
          <cell r="R4744">
            <v>45758</v>
          </cell>
          <cell r="S4744">
            <v>213002</v>
          </cell>
        </row>
        <row r="4745">
          <cell r="K4745" t="str">
            <v>212019</v>
          </cell>
          <cell r="M4745">
            <v>147</v>
          </cell>
          <cell r="R4745">
            <v>45758</v>
          </cell>
          <cell r="S4745">
            <v>212019</v>
          </cell>
        </row>
        <row r="4746">
          <cell r="K4746" t="str">
            <v>241001</v>
          </cell>
          <cell r="M4746">
            <v>6</v>
          </cell>
          <cell r="R4746">
            <v>45758</v>
          </cell>
          <cell r="S4746">
            <v>241001</v>
          </cell>
        </row>
        <row r="4747">
          <cell r="K4747" t="str">
            <v>213002</v>
          </cell>
          <cell r="M4747">
            <v>2</v>
          </cell>
          <cell r="R4747">
            <v>45758</v>
          </cell>
          <cell r="S4747">
            <v>213002</v>
          </cell>
        </row>
        <row r="4748">
          <cell r="K4748" t="str">
            <v>213002</v>
          </cell>
          <cell r="M4748">
            <v>3</v>
          </cell>
          <cell r="R4748">
            <v>45759</v>
          </cell>
          <cell r="S4748">
            <v>213002</v>
          </cell>
        </row>
        <row r="4749">
          <cell r="K4749" t="str">
            <v>228017</v>
          </cell>
          <cell r="M4749">
            <v>8</v>
          </cell>
          <cell r="R4749">
            <v>45758</v>
          </cell>
          <cell r="S4749">
            <v>228017</v>
          </cell>
        </row>
        <row r="4750">
          <cell r="K4750" t="str">
            <v>213002</v>
          </cell>
          <cell r="M4750">
            <v>10</v>
          </cell>
          <cell r="R4750">
            <v>45759</v>
          </cell>
          <cell r="S4750">
            <v>213002</v>
          </cell>
        </row>
        <row r="4751">
          <cell r="K4751" t="str">
            <v>222002</v>
          </cell>
          <cell r="M4751">
            <v>1</v>
          </cell>
          <cell r="R4751">
            <v>45761</v>
          </cell>
          <cell r="S4751">
            <v>222002</v>
          </cell>
        </row>
        <row r="4752">
          <cell r="K4752" t="str">
            <v>201011</v>
          </cell>
          <cell r="M4752">
            <v>4</v>
          </cell>
          <cell r="R4752">
            <v>45760</v>
          </cell>
          <cell r="S4752">
            <v>201011</v>
          </cell>
        </row>
        <row r="4753">
          <cell r="K4753" t="str">
            <v>203001</v>
          </cell>
          <cell r="M4753">
            <v>4</v>
          </cell>
          <cell r="R4753">
            <v>45760</v>
          </cell>
          <cell r="S4753">
            <v>203001</v>
          </cell>
        </row>
        <row r="4754">
          <cell r="K4754" t="str">
            <v>228001</v>
          </cell>
          <cell r="M4754">
            <v>1</v>
          </cell>
          <cell r="R4754">
            <v>45760</v>
          </cell>
          <cell r="S4754">
            <v>228001</v>
          </cell>
        </row>
        <row r="4755">
          <cell r="K4755" t="str">
            <v>231012</v>
          </cell>
          <cell r="M4755">
            <v>4</v>
          </cell>
          <cell r="R4755">
            <v>45760</v>
          </cell>
          <cell r="S4755">
            <v>231012</v>
          </cell>
        </row>
        <row r="4756">
          <cell r="K4756" t="str">
            <v>201011</v>
          </cell>
          <cell r="M4756">
            <v>1</v>
          </cell>
          <cell r="R4756">
            <v>45760</v>
          </cell>
          <cell r="S4756">
            <v>201011</v>
          </cell>
        </row>
        <row r="4757">
          <cell r="K4757" t="str">
            <v>223002</v>
          </cell>
          <cell r="M4757">
            <v>3</v>
          </cell>
          <cell r="R4757">
            <v>45760</v>
          </cell>
          <cell r="S4757">
            <v>223002</v>
          </cell>
        </row>
        <row r="4758">
          <cell r="K4758" t="str">
            <v>223001</v>
          </cell>
          <cell r="M4758">
            <v>10</v>
          </cell>
          <cell r="R4758">
            <v>45760</v>
          </cell>
          <cell r="S4758">
            <v>223001</v>
          </cell>
        </row>
        <row r="4759">
          <cell r="K4759" t="str">
            <v>227012</v>
          </cell>
          <cell r="M4759">
            <v>1</v>
          </cell>
          <cell r="R4759">
            <v>45760</v>
          </cell>
          <cell r="S4759">
            <v>227012</v>
          </cell>
        </row>
        <row r="4760">
          <cell r="K4760" t="str">
            <v>209022</v>
          </cell>
          <cell r="M4760">
            <v>4</v>
          </cell>
          <cell r="R4760">
            <v>45760</v>
          </cell>
          <cell r="S4760">
            <v>209022</v>
          </cell>
        </row>
        <row r="4761">
          <cell r="K4761" t="str">
            <v>228017</v>
          </cell>
          <cell r="M4761">
            <v>8</v>
          </cell>
          <cell r="R4761">
            <v>45760</v>
          </cell>
          <cell r="S4761">
            <v>228017</v>
          </cell>
        </row>
        <row r="4762">
          <cell r="K4762" t="str">
            <v>222001</v>
          </cell>
          <cell r="M4762">
            <v>1</v>
          </cell>
          <cell r="R4762">
            <v>45760</v>
          </cell>
          <cell r="S4762">
            <v>222001</v>
          </cell>
        </row>
        <row r="4763">
          <cell r="K4763" t="str">
            <v>203003</v>
          </cell>
          <cell r="M4763">
            <v>1</v>
          </cell>
          <cell r="R4763">
            <v>45760</v>
          </cell>
          <cell r="S4763">
            <v>203003</v>
          </cell>
        </row>
        <row r="4764">
          <cell r="K4764" t="str">
            <v>241001</v>
          </cell>
          <cell r="M4764">
            <v>5</v>
          </cell>
          <cell r="R4764">
            <v>45760</v>
          </cell>
          <cell r="S4764">
            <v>241001</v>
          </cell>
        </row>
        <row r="4765">
          <cell r="K4765" t="str">
            <v>201011</v>
          </cell>
          <cell r="M4765">
            <v>4</v>
          </cell>
          <cell r="R4765">
            <v>45760</v>
          </cell>
          <cell r="S4765">
            <v>201011</v>
          </cell>
        </row>
        <row r="4766">
          <cell r="K4766" t="str">
            <v>231012</v>
          </cell>
          <cell r="M4766">
            <v>2</v>
          </cell>
          <cell r="R4766">
            <v>45760</v>
          </cell>
          <cell r="S4766">
            <v>231012</v>
          </cell>
        </row>
        <row r="4767">
          <cell r="K4767" t="str">
            <v>228017</v>
          </cell>
          <cell r="M4767">
            <v>5</v>
          </cell>
          <cell r="R4767">
            <v>45760</v>
          </cell>
          <cell r="S4767">
            <v>228017</v>
          </cell>
        </row>
        <row r="4768">
          <cell r="K4768" t="str">
            <v>203003</v>
          </cell>
          <cell r="M4768">
            <v>1</v>
          </cell>
          <cell r="R4768">
            <v>45760</v>
          </cell>
          <cell r="S4768">
            <v>203003</v>
          </cell>
        </row>
        <row r="4769">
          <cell r="K4769" t="str">
            <v>222001</v>
          </cell>
          <cell r="M4769">
            <v>1</v>
          </cell>
          <cell r="R4769">
            <v>45760</v>
          </cell>
          <cell r="S4769">
            <v>222001</v>
          </cell>
        </row>
        <row r="4770">
          <cell r="K4770" t="str">
            <v>241001</v>
          </cell>
          <cell r="M4770">
            <v>8</v>
          </cell>
          <cell r="R4770">
            <v>45760</v>
          </cell>
          <cell r="S4770">
            <v>241001</v>
          </cell>
        </row>
        <row r="4771">
          <cell r="K4771" t="str">
            <v>213002</v>
          </cell>
          <cell r="M4771">
            <v>1</v>
          </cell>
          <cell r="R4771">
            <v>45760</v>
          </cell>
          <cell r="S4771">
            <v>213002</v>
          </cell>
        </row>
        <row r="4772">
          <cell r="K4772" t="str">
            <v>228017</v>
          </cell>
          <cell r="M4772">
            <v>21</v>
          </cell>
          <cell r="R4772">
            <v>45761</v>
          </cell>
          <cell r="S4772">
            <v>228017</v>
          </cell>
        </row>
        <row r="4773">
          <cell r="K4773" t="str">
            <v>217019</v>
          </cell>
          <cell r="M4773">
            <v>32</v>
          </cell>
          <cell r="R4773">
            <v>45761</v>
          </cell>
          <cell r="S4773">
            <v>217019</v>
          </cell>
        </row>
        <row r="4774">
          <cell r="K4774" t="str">
            <v>222002</v>
          </cell>
          <cell r="M4774">
            <v>1</v>
          </cell>
          <cell r="R4774">
            <v>45761</v>
          </cell>
          <cell r="S4774">
            <v>222002</v>
          </cell>
        </row>
        <row r="4775">
          <cell r="K4775" t="str">
            <v>201002</v>
          </cell>
          <cell r="M4775">
            <v>1</v>
          </cell>
          <cell r="R4775">
            <v>45761</v>
          </cell>
          <cell r="S4775">
            <v>201002</v>
          </cell>
        </row>
        <row r="4776">
          <cell r="K4776" t="str">
            <v>213002</v>
          </cell>
          <cell r="M4776">
            <v>20</v>
          </cell>
          <cell r="R4776">
            <v>45761</v>
          </cell>
          <cell r="S4776">
            <v>213002</v>
          </cell>
        </row>
        <row r="4777">
          <cell r="K4777" t="str">
            <v>212002</v>
          </cell>
          <cell r="M4777">
            <v>6</v>
          </cell>
          <cell r="R4777">
            <v>45761</v>
          </cell>
          <cell r="S4777">
            <v>212002</v>
          </cell>
        </row>
        <row r="4778">
          <cell r="K4778" t="str">
            <v>213002</v>
          </cell>
          <cell r="M4778">
            <v>6</v>
          </cell>
          <cell r="R4778">
            <v>45761</v>
          </cell>
          <cell r="S4778">
            <v>213002</v>
          </cell>
        </row>
        <row r="4779">
          <cell r="K4779" t="str">
            <v>213002</v>
          </cell>
          <cell r="M4779">
            <v>2</v>
          </cell>
          <cell r="R4779">
            <v>45761</v>
          </cell>
          <cell r="S4779">
            <v>213002</v>
          </cell>
        </row>
        <row r="4780">
          <cell r="K4780" t="str">
            <v>228017</v>
          </cell>
          <cell r="M4780">
            <v>12</v>
          </cell>
          <cell r="R4780">
            <v>45761</v>
          </cell>
          <cell r="S4780">
            <v>228017</v>
          </cell>
        </row>
        <row r="4781">
          <cell r="K4781" t="str">
            <v>227012</v>
          </cell>
          <cell r="M4781">
            <v>1</v>
          </cell>
          <cell r="R4781">
            <v>45761</v>
          </cell>
          <cell r="S4781">
            <v>227012</v>
          </cell>
        </row>
        <row r="4782">
          <cell r="K4782" t="str">
            <v>234001</v>
          </cell>
          <cell r="M4782">
            <v>1</v>
          </cell>
          <cell r="R4782">
            <v>45761</v>
          </cell>
          <cell r="S4782">
            <v>234001</v>
          </cell>
        </row>
        <row r="4783">
          <cell r="K4783" t="str">
            <v>228001</v>
          </cell>
          <cell r="M4783">
            <v>4</v>
          </cell>
          <cell r="R4783">
            <v>45761</v>
          </cell>
          <cell r="S4783">
            <v>228001</v>
          </cell>
        </row>
        <row r="4784">
          <cell r="K4784" t="str">
            <v>223002</v>
          </cell>
          <cell r="M4784">
            <v>3</v>
          </cell>
          <cell r="R4784">
            <v>45761</v>
          </cell>
          <cell r="S4784">
            <v>223002</v>
          </cell>
        </row>
        <row r="4785">
          <cell r="K4785" t="str">
            <v>223001</v>
          </cell>
          <cell r="M4785">
            <v>3</v>
          </cell>
          <cell r="R4785">
            <v>45761</v>
          </cell>
          <cell r="S4785">
            <v>223001</v>
          </cell>
        </row>
        <row r="4786">
          <cell r="K4786" t="str">
            <v>226001</v>
          </cell>
          <cell r="M4786">
            <v>2</v>
          </cell>
          <cell r="R4786">
            <v>45761</v>
          </cell>
          <cell r="S4786">
            <v>226001</v>
          </cell>
        </row>
        <row r="4787">
          <cell r="K4787" t="str">
            <v>213002</v>
          </cell>
          <cell r="M4787">
            <v>2</v>
          </cell>
          <cell r="R4787">
            <v>45761</v>
          </cell>
          <cell r="S4787">
            <v>213002</v>
          </cell>
        </row>
        <row r="4788">
          <cell r="K4788" t="str">
            <v>213002</v>
          </cell>
          <cell r="M4788">
            <v>7</v>
          </cell>
          <cell r="R4788">
            <v>45761</v>
          </cell>
          <cell r="S4788">
            <v>213002</v>
          </cell>
        </row>
        <row r="4789">
          <cell r="K4789" t="str">
            <v>223002</v>
          </cell>
          <cell r="M4789">
            <v>2</v>
          </cell>
          <cell r="R4789">
            <v>45761</v>
          </cell>
          <cell r="S4789">
            <v>223002</v>
          </cell>
        </row>
        <row r="4790">
          <cell r="K4790" t="str">
            <v>213003</v>
          </cell>
          <cell r="M4790">
            <v>60</v>
          </cell>
          <cell r="R4790">
            <v>45761</v>
          </cell>
          <cell r="S4790">
            <v>213003</v>
          </cell>
        </row>
        <row r="4791">
          <cell r="K4791" t="str">
            <v>213003</v>
          </cell>
          <cell r="M4791">
            <v>3</v>
          </cell>
          <cell r="R4791">
            <v>45761</v>
          </cell>
          <cell r="S4791">
            <v>213003</v>
          </cell>
        </row>
        <row r="4792">
          <cell r="K4792" t="str">
            <v>213003</v>
          </cell>
          <cell r="M4792">
            <v>3</v>
          </cell>
          <cell r="R4792">
            <v>45761</v>
          </cell>
          <cell r="S4792">
            <v>213003</v>
          </cell>
        </row>
        <row r="4793">
          <cell r="K4793" t="str">
            <v>213003</v>
          </cell>
          <cell r="M4793">
            <v>8</v>
          </cell>
          <cell r="R4793">
            <v>45761</v>
          </cell>
          <cell r="S4793">
            <v>213003</v>
          </cell>
        </row>
        <row r="4794">
          <cell r="K4794" t="str">
            <v>213003</v>
          </cell>
          <cell r="M4794">
            <v>5</v>
          </cell>
          <cell r="R4794">
            <v>45761</v>
          </cell>
          <cell r="S4794">
            <v>213003</v>
          </cell>
        </row>
        <row r="4795">
          <cell r="K4795" t="str">
            <v>213003</v>
          </cell>
          <cell r="M4795">
            <v>5</v>
          </cell>
          <cell r="R4795">
            <v>45761</v>
          </cell>
          <cell r="S4795">
            <v>213003</v>
          </cell>
        </row>
        <row r="4796">
          <cell r="K4796" t="str">
            <v>213003</v>
          </cell>
          <cell r="M4796">
            <v>4</v>
          </cell>
          <cell r="R4796">
            <v>45761</v>
          </cell>
          <cell r="S4796">
            <v>213003</v>
          </cell>
        </row>
        <row r="4797">
          <cell r="K4797" t="str">
            <v>213003</v>
          </cell>
          <cell r="M4797">
            <v>15</v>
          </cell>
          <cell r="R4797">
            <v>45761</v>
          </cell>
          <cell r="S4797">
            <v>213003</v>
          </cell>
        </row>
        <row r="4798">
          <cell r="K4798" t="str">
            <v>213003</v>
          </cell>
          <cell r="M4798">
            <v>2</v>
          </cell>
          <cell r="R4798">
            <v>45761</v>
          </cell>
          <cell r="S4798">
            <v>213003</v>
          </cell>
        </row>
        <row r="4799">
          <cell r="K4799" t="str">
            <v>213003</v>
          </cell>
          <cell r="M4799">
            <v>2</v>
          </cell>
          <cell r="R4799">
            <v>45761</v>
          </cell>
          <cell r="S4799">
            <v>213003</v>
          </cell>
        </row>
        <row r="4800">
          <cell r="K4800" t="str">
            <v>213003</v>
          </cell>
          <cell r="M4800">
            <v>8</v>
          </cell>
          <cell r="R4800">
            <v>45761</v>
          </cell>
          <cell r="S4800">
            <v>213003</v>
          </cell>
        </row>
        <row r="4801">
          <cell r="K4801" t="str">
            <v>213003</v>
          </cell>
          <cell r="M4801">
            <v>4</v>
          </cell>
          <cell r="R4801">
            <v>45761</v>
          </cell>
          <cell r="S4801">
            <v>213003</v>
          </cell>
        </row>
        <row r="4802">
          <cell r="K4802" t="str">
            <v>222004</v>
          </cell>
          <cell r="M4802">
            <v>1</v>
          </cell>
          <cell r="R4802">
            <v>45761</v>
          </cell>
          <cell r="S4802">
            <v>222004</v>
          </cell>
        </row>
        <row r="4803">
          <cell r="K4803" t="str">
            <v>222003</v>
          </cell>
          <cell r="M4803">
            <v>1</v>
          </cell>
          <cell r="R4803">
            <v>45761</v>
          </cell>
          <cell r="S4803">
            <v>222003</v>
          </cell>
        </row>
        <row r="4804">
          <cell r="K4804" t="str">
            <v>222001</v>
          </cell>
          <cell r="M4804">
            <v>1</v>
          </cell>
          <cell r="R4804">
            <v>45761</v>
          </cell>
          <cell r="S4804">
            <v>222001</v>
          </cell>
        </row>
        <row r="4805">
          <cell r="K4805" t="str">
            <v>222002</v>
          </cell>
          <cell r="M4805">
            <v>1</v>
          </cell>
          <cell r="R4805">
            <v>45761</v>
          </cell>
          <cell r="S4805">
            <v>222002</v>
          </cell>
        </row>
        <row r="4806">
          <cell r="K4806" t="str">
            <v>213003</v>
          </cell>
          <cell r="M4806">
            <v>2</v>
          </cell>
          <cell r="R4806">
            <v>45761</v>
          </cell>
          <cell r="S4806">
            <v>213003</v>
          </cell>
        </row>
        <row r="4807">
          <cell r="K4807" t="str">
            <v>213003</v>
          </cell>
          <cell r="M4807">
            <v>2</v>
          </cell>
          <cell r="R4807">
            <v>45761</v>
          </cell>
          <cell r="S4807">
            <v>213003</v>
          </cell>
        </row>
        <row r="4808">
          <cell r="K4808" t="str">
            <v>213003</v>
          </cell>
          <cell r="M4808">
            <v>2</v>
          </cell>
          <cell r="R4808">
            <v>45761</v>
          </cell>
          <cell r="S4808">
            <v>213003</v>
          </cell>
        </row>
        <row r="4809">
          <cell r="K4809" t="str">
            <v>213003</v>
          </cell>
          <cell r="M4809">
            <v>1</v>
          </cell>
          <cell r="R4809">
            <v>45761</v>
          </cell>
          <cell r="S4809">
            <v>213003</v>
          </cell>
        </row>
        <row r="4810">
          <cell r="K4810" t="str">
            <v>213003</v>
          </cell>
          <cell r="M4810">
            <v>1</v>
          </cell>
          <cell r="R4810">
            <v>45761</v>
          </cell>
          <cell r="S4810">
            <v>213003</v>
          </cell>
        </row>
        <row r="4811">
          <cell r="K4811" t="str">
            <v>213003</v>
          </cell>
          <cell r="M4811">
            <v>1</v>
          </cell>
          <cell r="R4811">
            <v>45761</v>
          </cell>
          <cell r="S4811">
            <v>213003</v>
          </cell>
        </row>
        <row r="4812">
          <cell r="K4812" t="str">
            <v>213003</v>
          </cell>
          <cell r="M4812">
            <v>1</v>
          </cell>
          <cell r="R4812">
            <v>45761</v>
          </cell>
          <cell r="S4812">
            <v>213003</v>
          </cell>
        </row>
        <row r="4813">
          <cell r="K4813" t="str">
            <v>226001</v>
          </cell>
          <cell r="M4813">
            <v>7</v>
          </cell>
          <cell r="R4813">
            <v>45761</v>
          </cell>
          <cell r="S4813">
            <v>226001</v>
          </cell>
        </row>
        <row r="4814">
          <cell r="K4814" t="str">
            <v>213003</v>
          </cell>
          <cell r="M4814">
            <v>1</v>
          </cell>
          <cell r="R4814">
            <v>45761</v>
          </cell>
          <cell r="S4814">
            <v>213003</v>
          </cell>
        </row>
        <row r="4815">
          <cell r="K4815" t="str">
            <v>213003</v>
          </cell>
          <cell r="M4815">
            <v>1</v>
          </cell>
          <cell r="R4815">
            <v>45761</v>
          </cell>
          <cell r="S4815">
            <v>213003</v>
          </cell>
        </row>
        <row r="4816">
          <cell r="K4816" t="str">
            <v>209001</v>
          </cell>
          <cell r="M4816">
            <v>1</v>
          </cell>
          <cell r="R4816">
            <v>45761</v>
          </cell>
          <cell r="S4816">
            <v>209001</v>
          </cell>
        </row>
        <row r="4817">
          <cell r="K4817" t="str">
            <v>228017</v>
          </cell>
          <cell r="M4817">
            <v>6</v>
          </cell>
          <cell r="R4817">
            <v>45761</v>
          </cell>
          <cell r="S4817">
            <v>228017</v>
          </cell>
        </row>
        <row r="4818">
          <cell r="K4818" t="str">
            <v>228017</v>
          </cell>
          <cell r="M4818">
            <v>1</v>
          </cell>
          <cell r="R4818">
            <v>45761</v>
          </cell>
          <cell r="S4818">
            <v>228017</v>
          </cell>
        </row>
        <row r="4819">
          <cell r="K4819" t="str">
            <v>231012</v>
          </cell>
          <cell r="M4819">
            <v>1</v>
          </cell>
          <cell r="R4819">
            <v>45761</v>
          </cell>
          <cell r="S4819">
            <v>231012</v>
          </cell>
        </row>
        <row r="4820">
          <cell r="K4820" t="str">
            <v>201011</v>
          </cell>
          <cell r="M4820">
            <v>3</v>
          </cell>
          <cell r="R4820">
            <v>45761</v>
          </cell>
          <cell r="S4820">
            <v>201011</v>
          </cell>
        </row>
        <row r="4821">
          <cell r="K4821" t="str">
            <v>201011</v>
          </cell>
          <cell r="M4821">
            <v>1</v>
          </cell>
          <cell r="R4821">
            <v>45761</v>
          </cell>
          <cell r="S4821">
            <v>201011</v>
          </cell>
        </row>
        <row r="4822">
          <cell r="K4822" t="str">
            <v>228017</v>
          </cell>
          <cell r="M4822">
            <v>4</v>
          </cell>
          <cell r="R4822">
            <v>45761</v>
          </cell>
          <cell r="S4822">
            <v>228017</v>
          </cell>
        </row>
        <row r="4823">
          <cell r="K4823" t="str">
            <v>201003</v>
          </cell>
          <cell r="M4823">
            <v>2</v>
          </cell>
          <cell r="R4823">
            <v>45761</v>
          </cell>
          <cell r="S4823">
            <v>201003</v>
          </cell>
        </row>
        <row r="4824">
          <cell r="K4824" t="str">
            <v>207017</v>
          </cell>
          <cell r="M4824">
            <v>1</v>
          </cell>
          <cell r="R4824">
            <v>45761</v>
          </cell>
          <cell r="S4824">
            <v>207017</v>
          </cell>
        </row>
        <row r="4825">
          <cell r="K4825" t="str">
            <v>212002</v>
          </cell>
          <cell r="M4825">
            <v>1</v>
          </cell>
          <cell r="R4825">
            <v>45761</v>
          </cell>
          <cell r="S4825">
            <v>212002</v>
          </cell>
        </row>
        <row r="4826">
          <cell r="K4826" t="str">
            <v>213003</v>
          </cell>
          <cell r="M4826">
            <v>3</v>
          </cell>
          <cell r="R4826">
            <v>45761</v>
          </cell>
          <cell r="S4826">
            <v>213003</v>
          </cell>
        </row>
        <row r="4827">
          <cell r="K4827" t="str">
            <v>231012</v>
          </cell>
          <cell r="M4827">
            <v>1</v>
          </cell>
          <cell r="R4827">
            <v>45761</v>
          </cell>
          <cell r="S4827">
            <v>231012</v>
          </cell>
        </row>
        <row r="4828">
          <cell r="K4828" t="str">
            <v>201003</v>
          </cell>
          <cell r="M4828">
            <v>1</v>
          </cell>
          <cell r="R4828">
            <v>45761</v>
          </cell>
          <cell r="S4828">
            <v>201003</v>
          </cell>
        </row>
        <row r="4829">
          <cell r="K4829" t="str">
            <v>212002</v>
          </cell>
          <cell r="M4829">
            <v>1</v>
          </cell>
          <cell r="R4829">
            <v>45761</v>
          </cell>
          <cell r="S4829">
            <v>212002</v>
          </cell>
        </row>
        <row r="4830">
          <cell r="K4830" t="str">
            <v>209004</v>
          </cell>
          <cell r="M4830">
            <v>1</v>
          </cell>
          <cell r="R4830">
            <v>45761</v>
          </cell>
          <cell r="S4830">
            <v>209004</v>
          </cell>
        </row>
        <row r="4831">
          <cell r="K4831" t="str">
            <v>207017</v>
          </cell>
          <cell r="M4831">
            <v>1</v>
          </cell>
          <cell r="R4831">
            <v>45761</v>
          </cell>
          <cell r="S4831">
            <v>207017</v>
          </cell>
        </row>
        <row r="4832">
          <cell r="K4832" t="str">
            <v>203001</v>
          </cell>
          <cell r="M4832">
            <v>4</v>
          </cell>
          <cell r="R4832">
            <v>45761</v>
          </cell>
          <cell r="S4832">
            <v>203001</v>
          </cell>
        </row>
        <row r="4833">
          <cell r="K4833" t="str">
            <v>227002</v>
          </cell>
          <cell r="M4833">
            <v>2</v>
          </cell>
          <cell r="R4833">
            <v>45761</v>
          </cell>
          <cell r="S4833">
            <v>227002</v>
          </cell>
        </row>
        <row r="4834">
          <cell r="K4834" t="str">
            <v>213003</v>
          </cell>
          <cell r="M4834">
            <v>60</v>
          </cell>
          <cell r="R4834">
            <v>45761</v>
          </cell>
          <cell r="S4834">
            <v>213003</v>
          </cell>
        </row>
        <row r="4835">
          <cell r="K4835" t="str">
            <v>213003</v>
          </cell>
          <cell r="M4835">
            <v>1</v>
          </cell>
          <cell r="R4835">
            <v>45761</v>
          </cell>
          <cell r="S4835">
            <v>213003</v>
          </cell>
        </row>
        <row r="4836">
          <cell r="K4836" t="str">
            <v>213018</v>
          </cell>
          <cell r="M4836">
            <v>5</v>
          </cell>
          <cell r="R4836">
            <v>45761</v>
          </cell>
          <cell r="S4836">
            <v>213018</v>
          </cell>
        </row>
        <row r="4837">
          <cell r="K4837" t="str">
            <v>228001</v>
          </cell>
          <cell r="M4837">
            <v>2</v>
          </cell>
          <cell r="R4837">
            <v>45761</v>
          </cell>
          <cell r="S4837">
            <v>228001</v>
          </cell>
        </row>
        <row r="4838">
          <cell r="K4838" t="str">
            <v>222001</v>
          </cell>
          <cell r="M4838">
            <v>1</v>
          </cell>
          <cell r="R4838">
            <v>45761</v>
          </cell>
          <cell r="S4838">
            <v>222001</v>
          </cell>
        </row>
        <row r="4839">
          <cell r="K4839" t="str">
            <v>201011</v>
          </cell>
          <cell r="M4839">
            <v>6</v>
          </cell>
          <cell r="R4839">
            <v>45761</v>
          </cell>
          <cell r="S4839">
            <v>201011</v>
          </cell>
        </row>
        <row r="4840">
          <cell r="K4840" t="str">
            <v>226001</v>
          </cell>
          <cell r="M4840">
            <v>2</v>
          </cell>
          <cell r="R4840">
            <v>45761</v>
          </cell>
          <cell r="S4840">
            <v>226001</v>
          </cell>
        </row>
        <row r="4841">
          <cell r="K4841" t="str">
            <v>227002</v>
          </cell>
          <cell r="M4841">
            <v>1</v>
          </cell>
          <cell r="R4841">
            <v>45761</v>
          </cell>
          <cell r="S4841">
            <v>227002</v>
          </cell>
        </row>
        <row r="4842">
          <cell r="K4842" t="str">
            <v>223001</v>
          </cell>
          <cell r="M4842">
            <v>2</v>
          </cell>
          <cell r="R4842">
            <v>45761</v>
          </cell>
          <cell r="S4842">
            <v>223001</v>
          </cell>
        </row>
        <row r="4843">
          <cell r="K4843" t="str">
            <v>203003</v>
          </cell>
          <cell r="M4843">
            <v>1</v>
          </cell>
          <cell r="R4843">
            <v>45761</v>
          </cell>
          <cell r="S4843">
            <v>203003</v>
          </cell>
        </row>
        <row r="4844">
          <cell r="K4844" t="str">
            <v>227002</v>
          </cell>
          <cell r="M4844">
            <v>1</v>
          </cell>
          <cell r="R4844">
            <v>45761</v>
          </cell>
          <cell r="S4844">
            <v>227002</v>
          </cell>
        </row>
        <row r="4845">
          <cell r="K4845" t="str">
            <v>203001</v>
          </cell>
          <cell r="M4845">
            <v>4</v>
          </cell>
          <cell r="R4845">
            <v>45761</v>
          </cell>
          <cell r="S4845">
            <v>203001</v>
          </cell>
        </row>
        <row r="4846">
          <cell r="K4846" t="str">
            <v>213003</v>
          </cell>
          <cell r="M4846">
            <v>1</v>
          </cell>
          <cell r="R4846">
            <v>45761</v>
          </cell>
          <cell r="S4846">
            <v>213003</v>
          </cell>
        </row>
        <row r="4847">
          <cell r="K4847" t="str">
            <v>222002</v>
          </cell>
          <cell r="M4847">
            <v>1</v>
          </cell>
          <cell r="R4847">
            <v>45761</v>
          </cell>
          <cell r="S4847">
            <v>222002</v>
          </cell>
        </row>
        <row r="4848">
          <cell r="K4848" t="str">
            <v>222001</v>
          </cell>
          <cell r="M4848">
            <v>2</v>
          </cell>
          <cell r="R4848">
            <v>45761</v>
          </cell>
          <cell r="S4848">
            <v>222001</v>
          </cell>
        </row>
        <row r="4849">
          <cell r="K4849" t="str">
            <v>241001</v>
          </cell>
          <cell r="M4849">
            <v>3</v>
          </cell>
          <cell r="R4849">
            <v>45761</v>
          </cell>
          <cell r="S4849">
            <v>241001</v>
          </cell>
        </row>
        <row r="4850">
          <cell r="K4850" t="str">
            <v>212019</v>
          </cell>
          <cell r="M4850">
            <v>1</v>
          </cell>
          <cell r="R4850">
            <v>45761</v>
          </cell>
          <cell r="S4850">
            <v>212019</v>
          </cell>
        </row>
        <row r="4851">
          <cell r="K4851" t="str">
            <v>210014</v>
          </cell>
          <cell r="M4851">
            <v>2</v>
          </cell>
          <cell r="R4851">
            <v>45761</v>
          </cell>
          <cell r="S4851">
            <v>210014</v>
          </cell>
        </row>
        <row r="4852">
          <cell r="K4852" t="str">
            <v>226028</v>
          </cell>
          <cell r="M4852">
            <v>2</v>
          </cell>
          <cell r="R4852">
            <v>45761</v>
          </cell>
          <cell r="S4852">
            <v>226028</v>
          </cell>
        </row>
        <row r="4853">
          <cell r="K4853" t="str">
            <v>226023</v>
          </cell>
          <cell r="M4853">
            <v>1</v>
          </cell>
          <cell r="R4853">
            <v>45761</v>
          </cell>
          <cell r="S4853">
            <v>226023</v>
          </cell>
        </row>
        <row r="4854">
          <cell r="K4854" t="str">
            <v>223001</v>
          </cell>
          <cell r="M4854">
            <v>10</v>
          </cell>
          <cell r="R4854">
            <v>45761</v>
          </cell>
          <cell r="S4854">
            <v>223001</v>
          </cell>
        </row>
        <row r="4855">
          <cell r="K4855" t="str">
            <v>227012</v>
          </cell>
          <cell r="M4855">
            <v>3</v>
          </cell>
          <cell r="R4855">
            <v>45761</v>
          </cell>
          <cell r="S4855">
            <v>227012</v>
          </cell>
        </row>
        <row r="4856">
          <cell r="K4856" t="str">
            <v>201002</v>
          </cell>
          <cell r="M4856">
            <v>1</v>
          </cell>
          <cell r="R4856">
            <v>45761</v>
          </cell>
          <cell r="S4856">
            <v>201002</v>
          </cell>
        </row>
        <row r="4857">
          <cell r="K4857" t="str">
            <v>231012</v>
          </cell>
          <cell r="M4857">
            <v>4</v>
          </cell>
          <cell r="R4857">
            <v>45761</v>
          </cell>
          <cell r="S4857">
            <v>231012</v>
          </cell>
        </row>
        <row r="4858">
          <cell r="K4858" t="str">
            <v>201002</v>
          </cell>
          <cell r="M4858">
            <v>8</v>
          </cell>
          <cell r="R4858">
            <v>45761</v>
          </cell>
          <cell r="S4858">
            <v>201002</v>
          </cell>
        </row>
        <row r="4859">
          <cell r="K4859" t="str">
            <v>223001</v>
          </cell>
          <cell r="M4859">
            <v>2</v>
          </cell>
          <cell r="R4859">
            <v>45761</v>
          </cell>
          <cell r="S4859">
            <v>223001</v>
          </cell>
        </row>
        <row r="4860">
          <cell r="K4860" t="str">
            <v>223002</v>
          </cell>
          <cell r="M4860">
            <v>2</v>
          </cell>
          <cell r="R4860">
            <v>45761</v>
          </cell>
          <cell r="S4860">
            <v>223002</v>
          </cell>
        </row>
        <row r="4861">
          <cell r="K4861" t="str">
            <v>201011</v>
          </cell>
          <cell r="M4861">
            <v>2</v>
          </cell>
          <cell r="R4861">
            <v>45761</v>
          </cell>
          <cell r="S4861">
            <v>201011</v>
          </cell>
        </row>
        <row r="4862">
          <cell r="K4862" t="str">
            <v>241001</v>
          </cell>
          <cell r="M4862">
            <v>2</v>
          </cell>
          <cell r="R4862">
            <v>45761</v>
          </cell>
          <cell r="S4862">
            <v>241001</v>
          </cell>
        </row>
        <row r="4863">
          <cell r="K4863" t="str">
            <v>201002</v>
          </cell>
          <cell r="M4863">
            <v>1</v>
          </cell>
          <cell r="R4863">
            <v>45761</v>
          </cell>
          <cell r="S4863">
            <v>201002</v>
          </cell>
        </row>
        <row r="4864">
          <cell r="K4864" t="str">
            <v>213003</v>
          </cell>
          <cell r="M4864">
            <v>14</v>
          </cell>
          <cell r="R4864">
            <v>45761</v>
          </cell>
          <cell r="S4864">
            <v>213003</v>
          </cell>
        </row>
        <row r="4865">
          <cell r="K4865" t="str">
            <v>212035</v>
          </cell>
          <cell r="M4865">
            <v>2</v>
          </cell>
          <cell r="R4865">
            <v>45761</v>
          </cell>
          <cell r="S4865">
            <v>212035</v>
          </cell>
        </row>
        <row r="4866">
          <cell r="K4866" t="str">
            <v>223001</v>
          </cell>
          <cell r="M4866">
            <v>2</v>
          </cell>
          <cell r="R4866">
            <v>45761</v>
          </cell>
          <cell r="S4866">
            <v>223001</v>
          </cell>
        </row>
        <row r="4867">
          <cell r="K4867" t="str">
            <v>220003</v>
          </cell>
          <cell r="M4867">
            <v>1</v>
          </cell>
          <cell r="R4867">
            <v>45761</v>
          </cell>
          <cell r="S4867">
            <v>220003</v>
          </cell>
        </row>
        <row r="4868">
          <cell r="K4868" t="str">
            <v>201011</v>
          </cell>
          <cell r="M4868">
            <v>6</v>
          </cell>
          <cell r="R4868">
            <v>45761</v>
          </cell>
          <cell r="S4868">
            <v>201011</v>
          </cell>
        </row>
        <row r="4869">
          <cell r="K4869" t="str">
            <v>201002</v>
          </cell>
          <cell r="M4869">
            <v>10</v>
          </cell>
          <cell r="R4869">
            <v>45761</v>
          </cell>
          <cell r="S4869">
            <v>201002</v>
          </cell>
        </row>
        <row r="4870">
          <cell r="K4870" t="str">
            <v>241001</v>
          </cell>
          <cell r="M4870">
            <v>12</v>
          </cell>
          <cell r="R4870">
            <v>45761</v>
          </cell>
          <cell r="S4870">
            <v>241001</v>
          </cell>
        </row>
        <row r="4871">
          <cell r="K4871" t="str">
            <v>217018</v>
          </cell>
          <cell r="M4871">
            <v>1</v>
          </cell>
          <cell r="R4871">
            <v>45761</v>
          </cell>
          <cell r="S4871">
            <v>217018</v>
          </cell>
        </row>
        <row r="4872">
          <cell r="K4872" t="str">
            <v>213003</v>
          </cell>
          <cell r="M4872">
            <v>2</v>
          </cell>
          <cell r="R4872">
            <v>45761</v>
          </cell>
          <cell r="S4872">
            <v>213003</v>
          </cell>
        </row>
        <row r="4873">
          <cell r="K4873" t="str">
            <v>231012</v>
          </cell>
          <cell r="M4873">
            <v>2</v>
          </cell>
          <cell r="R4873">
            <v>45761</v>
          </cell>
          <cell r="S4873">
            <v>231012</v>
          </cell>
        </row>
        <row r="4874">
          <cell r="K4874" t="str">
            <v>209016</v>
          </cell>
          <cell r="M4874">
            <v>2</v>
          </cell>
          <cell r="R4874">
            <v>45761</v>
          </cell>
          <cell r="S4874">
            <v>209016</v>
          </cell>
        </row>
        <row r="4875">
          <cell r="K4875" t="str">
            <v>228017</v>
          </cell>
          <cell r="M4875">
            <v>2</v>
          </cell>
          <cell r="R4875">
            <v>45761</v>
          </cell>
          <cell r="S4875">
            <v>228017</v>
          </cell>
        </row>
        <row r="4876">
          <cell r="K4876" t="str">
            <v>217018</v>
          </cell>
          <cell r="M4876">
            <v>1</v>
          </cell>
          <cell r="R4876">
            <v>45761</v>
          </cell>
          <cell r="S4876">
            <v>217018</v>
          </cell>
        </row>
        <row r="4877">
          <cell r="K4877" t="str">
            <v>201011</v>
          </cell>
          <cell r="M4877">
            <v>4</v>
          </cell>
          <cell r="R4877">
            <v>45761</v>
          </cell>
          <cell r="S4877">
            <v>201011</v>
          </cell>
        </row>
        <row r="4878">
          <cell r="K4878" t="str">
            <v>210013</v>
          </cell>
          <cell r="M4878">
            <v>30</v>
          </cell>
          <cell r="R4878">
            <v>45761</v>
          </cell>
          <cell r="S4878">
            <v>210013</v>
          </cell>
        </row>
        <row r="4879">
          <cell r="K4879" t="str">
            <v>210010</v>
          </cell>
          <cell r="M4879">
            <v>1</v>
          </cell>
          <cell r="R4879">
            <v>45761</v>
          </cell>
          <cell r="S4879">
            <v>210010</v>
          </cell>
        </row>
        <row r="4880">
          <cell r="K4880" t="str">
            <v>217002</v>
          </cell>
          <cell r="M4880">
            <v>1</v>
          </cell>
          <cell r="R4880">
            <v>45761</v>
          </cell>
          <cell r="S4880">
            <v>217002</v>
          </cell>
        </row>
        <row r="4881">
          <cell r="K4881" t="str">
            <v>206005</v>
          </cell>
          <cell r="M4881">
            <v>1</v>
          </cell>
          <cell r="R4881">
            <v>45761</v>
          </cell>
          <cell r="S4881">
            <v>206005</v>
          </cell>
        </row>
        <row r="4882">
          <cell r="K4882" t="str">
            <v>212035</v>
          </cell>
          <cell r="M4882">
            <v>1</v>
          </cell>
          <cell r="R4882">
            <v>45761</v>
          </cell>
          <cell r="S4882">
            <v>212035</v>
          </cell>
        </row>
        <row r="4883">
          <cell r="K4883" t="str">
            <v>222002</v>
          </cell>
          <cell r="M4883">
            <v>28</v>
          </cell>
          <cell r="R4883">
            <v>45761</v>
          </cell>
          <cell r="S4883">
            <v>222002</v>
          </cell>
        </row>
        <row r="4884">
          <cell r="K4884" t="str">
            <v>201011</v>
          </cell>
          <cell r="M4884">
            <v>10</v>
          </cell>
          <cell r="R4884">
            <v>45761</v>
          </cell>
          <cell r="S4884">
            <v>201011</v>
          </cell>
        </row>
        <row r="4885">
          <cell r="K4885" t="str">
            <v>222001</v>
          </cell>
          <cell r="M4885">
            <v>1</v>
          </cell>
          <cell r="R4885">
            <v>45761</v>
          </cell>
          <cell r="S4885">
            <v>222001</v>
          </cell>
        </row>
        <row r="4886">
          <cell r="K4886" t="str">
            <v>209004</v>
          </cell>
          <cell r="M4886">
            <v>1</v>
          </cell>
          <cell r="R4886">
            <v>45761</v>
          </cell>
          <cell r="S4886">
            <v>209004</v>
          </cell>
        </row>
        <row r="4887">
          <cell r="K4887" t="str">
            <v>228001</v>
          </cell>
          <cell r="M4887">
            <v>1</v>
          </cell>
          <cell r="R4887">
            <v>45761</v>
          </cell>
          <cell r="S4887">
            <v>228001</v>
          </cell>
        </row>
        <row r="4888">
          <cell r="K4888" t="str">
            <v>241001</v>
          </cell>
          <cell r="M4888">
            <v>1</v>
          </cell>
          <cell r="R4888">
            <v>45761</v>
          </cell>
          <cell r="S4888">
            <v>241001</v>
          </cell>
        </row>
        <row r="4889">
          <cell r="K4889" t="str">
            <v>223001</v>
          </cell>
          <cell r="M4889">
            <v>1</v>
          </cell>
          <cell r="R4889">
            <v>45761</v>
          </cell>
          <cell r="S4889">
            <v>223001</v>
          </cell>
        </row>
        <row r="4890">
          <cell r="K4890" t="str">
            <v>217020</v>
          </cell>
          <cell r="M4890">
            <v>1</v>
          </cell>
          <cell r="R4890">
            <v>45761</v>
          </cell>
          <cell r="S4890">
            <v>217020</v>
          </cell>
        </row>
        <row r="4891">
          <cell r="K4891" t="str">
            <v>201011</v>
          </cell>
          <cell r="M4891">
            <v>3</v>
          </cell>
          <cell r="R4891">
            <v>45761</v>
          </cell>
          <cell r="S4891">
            <v>201011</v>
          </cell>
        </row>
        <row r="4892">
          <cell r="K4892" t="str">
            <v>226001</v>
          </cell>
          <cell r="M4892">
            <v>1</v>
          </cell>
          <cell r="R4892">
            <v>45761</v>
          </cell>
          <cell r="S4892">
            <v>226001</v>
          </cell>
        </row>
        <row r="4893">
          <cell r="K4893" t="str">
            <v>237001</v>
          </cell>
          <cell r="M4893">
            <v>2</v>
          </cell>
          <cell r="R4893">
            <v>45761</v>
          </cell>
          <cell r="S4893">
            <v>237001</v>
          </cell>
        </row>
        <row r="4894">
          <cell r="K4894" t="str">
            <v>201004</v>
          </cell>
          <cell r="M4894">
            <v>2</v>
          </cell>
          <cell r="R4894">
            <v>45761</v>
          </cell>
          <cell r="S4894">
            <v>201004</v>
          </cell>
        </row>
        <row r="4895">
          <cell r="K4895" t="str">
            <v>201004</v>
          </cell>
          <cell r="M4895">
            <v>1</v>
          </cell>
          <cell r="R4895">
            <v>45761</v>
          </cell>
          <cell r="S4895">
            <v>201004</v>
          </cell>
        </row>
        <row r="4896">
          <cell r="K4896" t="str">
            <v>228017</v>
          </cell>
          <cell r="M4896">
            <v>1</v>
          </cell>
          <cell r="R4896">
            <v>45761</v>
          </cell>
          <cell r="S4896">
            <v>228017</v>
          </cell>
        </row>
        <row r="4897">
          <cell r="K4897" t="str">
            <v>231012</v>
          </cell>
          <cell r="M4897">
            <v>1</v>
          </cell>
          <cell r="R4897">
            <v>45761</v>
          </cell>
          <cell r="S4897">
            <v>231012</v>
          </cell>
        </row>
        <row r="4898">
          <cell r="K4898" t="str">
            <v>201011</v>
          </cell>
          <cell r="M4898">
            <v>1</v>
          </cell>
          <cell r="R4898">
            <v>45762</v>
          </cell>
          <cell r="S4898">
            <v>201011</v>
          </cell>
        </row>
        <row r="4899">
          <cell r="K4899" t="str">
            <v>227012</v>
          </cell>
          <cell r="M4899">
            <v>1</v>
          </cell>
          <cell r="R4899">
            <v>45762</v>
          </cell>
          <cell r="S4899">
            <v>227012</v>
          </cell>
        </row>
        <row r="4900">
          <cell r="K4900" t="str">
            <v>223001</v>
          </cell>
          <cell r="M4900">
            <v>5</v>
          </cell>
          <cell r="R4900">
            <v>45762</v>
          </cell>
          <cell r="S4900">
            <v>223001</v>
          </cell>
        </row>
        <row r="4901">
          <cell r="K4901" t="str">
            <v>223002</v>
          </cell>
          <cell r="M4901">
            <v>1</v>
          </cell>
          <cell r="R4901">
            <v>45762</v>
          </cell>
          <cell r="S4901">
            <v>223002</v>
          </cell>
        </row>
        <row r="4902">
          <cell r="K4902" t="str">
            <v>210014</v>
          </cell>
          <cell r="M4902">
            <v>6</v>
          </cell>
          <cell r="R4902">
            <v>45762</v>
          </cell>
          <cell r="S4902">
            <v>210014</v>
          </cell>
        </row>
        <row r="4903">
          <cell r="K4903" t="str">
            <v>231012</v>
          </cell>
          <cell r="M4903">
            <v>1</v>
          </cell>
          <cell r="R4903">
            <v>45762</v>
          </cell>
          <cell r="S4903">
            <v>231012</v>
          </cell>
        </row>
        <row r="4904">
          <cell r="K4904" t="str">
            <v>229004</v>
          </cell>
          <cell r="M4904">
            <v>1</v>
          </cell>
          <cell r="R4904">
            <v>45762</v>
          </cell>
          <cell r="S4904">
            <v>229004</v>
          </cell>
        </row>
        <row r="4905">
          <cell r="K4905" t="str">
            <v>206006</v>
          </cell>
          <cell r="M4905">
            <v>1</v>
          </cell>
          <cell r="R4905">
            <v>45762</v>
          </cell>
          <cell r="S4905">
            <v>206006</v>
          </cell>
        </row>
        <row r="4906">
          <cell r="K4906" t="str">
            <v>206005</v>
          </cell>
          <cell r="M4906">
            <v>1</v>
          </cell>
          <cell r="R4906">
            <v>45762</v>
          </cell>
          <cell r="S4906">
            <v>206005</v>
          </cell>
        </row>
        <row r="4907">
          <cell r="K4907" t="str">
            <v>218003</v>
          </cell>
          <cell r="M4907">
            <v>1</v>
          </cell>
          <cell r="R4907">
            <v>45762</v>
          </cell>
          <cell r="S4907">
            <v>218003</v>
          </cell>
        </row>
        <row r="4908">
          <cell r="K4908" t="str">
            <v>206002</v>
          </cell>
          <cell r="M4908">
            <v>1</v>
          </cell>
          <cell r="R4908">
            <v>45762</v>
          </cell>
          <cell r="S4908">
            <v>206002</v>
          </cell>
        </row>
        <row r="4909">
          <cell r="K4909" t="str">
            <v>208001</v>
          </cell>
          <cell r="M4909">
            <v>1</v>
          </cell>
          <cell r="R4909">
            <v>45762</v>
          </cell>
          <cell r="S4909">
            <v>208001</v>
          </cell>
        </row>
        <row r="4910">
          <cell r="K4910" t="str">
            <v>210004</v>
          </cell>
          <cell r="M4910">
            <v>1</v>
          </cell>
          <cell r="R4910">
            <v>45762</v>
          </cell>
          <cell r="S4910">
            <v>210004</v>
          </cell>
        </row>
        <row r="4911">
          <cell r="K4911" t="str">
            <v>218001</v>
          </cell>
          <cell r="M4911">
            <v>1</v>
          </cell>
          <cell r="R4911">
            <v>45762</v>
          </cell>
          <cell r="S4911">
            <v>218001</v>
          </cell>
        </row>
        <row r="4912">
          <cell r="K4912" t="str">
            <v>206006</v>
          </cell>
          <cell r="M4912">
            <v>1</v>
          </cell>
          <cell r="R4912">
            <v>45762</v>
          </cell>
          <cell r="S4912">
            <v>206006</v>
          </cell>
        </row>
        <row r="4913">
          <cell r="K4913" t="str">
            <v>206002</v>
          </cell>
          <cell r="M4913">
            <v>1</v>
          </cell>
          <cell r="R4913">
            <v>45762</v>
          </cell>
          <cell r="S4913">
            <v>206002</v>
          </cell>
        </row>
        <row r="4914">
          <cell r="K4914" t="str">
            <v>218003</v>
          </cell>
          <cell r="M4914">
            <v>1</v>
          </cell>
          <cell r="R4914">
            <v>45762</v>
          </cell>
          <cell r="S4914">
            <v>218003</v>
          </cell>
        </row>
        <row r="4915">
          <cell r="K4915" t="str">
            <v>206005</v>
          </cell>
          <cell r="M4915">
            <v>1</v>
          </cell>
          <cell r="R4915">
            <v>45762</v>
          </cell>
          <cell r="S4915">
            <v>206005</v>
          </cell>
        </row>
        <row r="4916">
          <cell r="K4916" t="str">
            <v>218001</v>
          </cell>
          <cell r="M4916">
            <v>1</v>
          </cell>
          <cell r="R4916">
            <v>45762</v>
          </cell>
          <cell r="S4916">
            <v>218001</v>
          </cell>
        </row>
        <row r="4917">
          <cell r="K4917" t="str">
            <v>201011</v>
          </cell>
          <cell r="M4917">
            <v>1</v>
          </cell>
          <cell r="R4917">
            <v>45762</v>
          </cell>
          <cell r="S4917">
            <v>201011</v>
          </cell>
        </row>
        <row r="4918">
          <cell r="K4918" t="str">
            <v>203001</v>
          </cell>
          <cell r="M4918">
            <v>2</v>
          </cell>
          <cell r="R4918">
            <v>45762</v>
          </cell>
          <cell r="S4918">
            <v>203001</v>
          </cell>
        </row>
        <row r="4919">
          <cell r="K4919" t="str">
            <v>222001</v>
          </cell>
          <cell r="M4919">
            <v>1</v>
          </cell>
          <cell r="R4919">
            <v>45762</v>
          </cell>
          <cell r="S4919">
            <v>222001</v>
          </cell>
        </row>
        <row r="4920">
          <cell r="K4920" t="str">
            <v>241001</v>
          </cell>
          <cell r="M4920">
            <v>1</v>
          </cell>
          <cell r="R4920">
            <v>45762</v>
          </cell>
          <cell r="S4920">
            <v>241001</v>
          </cell>
        </row>
        <row r="4921">
          <cell r="K4921" t="str">
            <v>212035</v>
          </cell>
          <cell r="M4921">
            <v>4</v>
          </cell>
          <cell r="R4921">
            <v>45762</v>
          </cell>
          <cell r="S4921">
            <v>212035</v>
          </cell>
        </row>
        <row r="4922">
          <cell r="K4922" t="str">
            <v>231004</v>
          </cell>
          <cell r="M4922">
            <v>1</v>
          </cell>
          <cell r="R4922">
            <v>45762</v>
          </cell>
          <cell r="S4922">
            <v>231004</v>
          </cell>
        </row>
        <row r="4923">
          <cell r="K4923" t="str">
            <v>237001</v>
          </cell>
          <cell r="M4923">
            <v>1</v>
          </cell>
          <cell r="R4923">
            <v>45762</v>
          </cell>
          <cell r="S4923">
            <v>237001</v>
          </cell>
        </row>
        <row r="4924">
          <cell r="K4924" t="str">
            <v>201011</v>
          </cell>
          <cell r="M4924">
            <v>1</v>
          </cell>
          <cell r="R4924">
            <v>45762</v>
          </cell>
          <cell r="S4924">
            <v>201011</v>
          </cell>
        </row>
        <row r="4925">
          <cell r="K4925" t="str">
            <v>223001</v>
          </cell>
          <cell r="M4925">
            <v>1</v>
          </cell>
          <cell r="R4925">
            <v>45762</v>
          </cell>
          <cell r="S4925">
            <v>223001</v>
          </cell>
        </row>
        <row r="4926">
          <cell r="K4926" t="str">
            <v>223002</v>
          </cell>
          <cell r="M4926">
            <v>1</v>
          </cell>
          <cell r="R4926">
            <v>45762</v>
          </cell>
          <cell r="S4926">
            <v>223002</v>
          </cell>
        </row>
        <row r="4927">
          <cell r="K4927" t="str">
            <v>227002</v>
          </cell>
          <cell r="M4927">
            <v>1</v>
          </cell>
          <cell r="R4927">
            <v>45762</v>
          </cell>
          <cell r="S4927">
            <v>227002</v>
          </cell>
        </row>
        <row r="4928">
          <cell r="K4928" t="str">
            <v>227001</v>
          </cell>
          <cell r="M4928">
            <v>2</v>
          </cell>
          <cell r="R4928">
            <v>45762</v>
          </cell>
          <cell r="S4928">
            <v>227001</v>
          </cell>
        </row>
        <row r="4929">
          <cell r="K4929" t="str">
            <v>229001</v>
          </cell>
          <cell r="M4929">
            <v>1</v>
          </cell>
          <cell r="R4929">
            <v>45762</v>
          </cell>
          <cell r="S4929">
            <v>229001</v>
          </cell>
        </row>
        <row r="4930">
          <cell r="K4930" t="str">
            <v>212035</v>
          </cell>
          <cell r="M4930">
            <v>2</v>
          </cell>
          <cell r="R4930">
            <v>45762</v>
          </cell>
          <cell r="S4930">
            <v>212035</v>
          </cell>
        </row>
        <row r="4931">
          <cell r="K4931" t="str">
            <v>223001</v>
          </cell>
          <cell r="M4931">
            <v>2</v>
          </cell>
          <cell r="R4931">
            <v>45762</v>
          </cell>
          <cell r="S4931">
            <v>223001</v>
          </cell>
        </row>
        <row r="4932">
          <cell r="K4932" t="str">
            <v>229001</v>
          </cell>
          <cell r="M4932">
            <v>15</v>
          </cell>
          <cell r="R4932">
            <v>45762</v>
          </cell>
          <cell r="S4932">
            <v>229001</v>
          </cell>
        </row>
        <row r="4933">
          <cell r="K4933" t="str">
            <v>228001</v>
          </cell>
          <cell r="M4933">
            <v>3</v>
          </cell>
          <cell r="R4933">
            <v>45762</v>
          </cell>
          <cell r="S4933">
            <v>228001</v>
          </cell>
        </row>
        <row r="4934">
          <cell r="K4934" t="str">
            <v>213003</v>
          </cell>
          <cell r="M4934">
            <v>5</v>
          </cell>
          <cell r="R4934">
            <v>45762</v>
          </cell>
          <cell r="S4934">
            <v>213003</v>
          </cell>
        </row>
        <row r="4935">
          <cell r="K4935" t="str">
            <v>223001</v>
          </cell>
          <cell r="M4935">
            <v>3</v>
          </cell>
          <cell r="R4935">
            <v>45762</v>
          </cell>
          <cell r="S4935">
            <v>223001</v>
          </cell>
        </row>
        <row r="4936">
          <cell r="K4936" t="str">
            <v>201022</v>
          </cell>
          <cell r="M4936">
            <v>1</v>
          </cell>
          <cell r="R4936">
            <v>45762</v>
          </cell>
          <cell r="S4936">
            <v>201022</v>
          </cell>
        </row>
        <row r="4937">
          <cell r="K4937" t="str">
            <v>201011</v>
          </cell>
          <cell r="M4937">
            <v>10</v>
          </cell>
          <cell r="R4937">
            <v>45763</v>
          </cell>
          <cell r="S4937">
            <v>201011</v>
          </cell>
        </row>
        <row r="4938">
          <cell r="K4938" t="str">
            <v>228017</v>
          </cell>
          <cell r="M4938">
            <v>10</v>
          </cell>
          <cell r="R4938">
            <v>45763</v>
          </cell>
          <cell r="S4938">
            <v>228017</v>
          </cell>
        </row>
        <row r="4939">
          <cell r="K4939" t="str">
            <v>210014</v>
          </cell>
          <cell r="M4939">
            <v>1</v>
          </cell>
          <cell r="R4939">
            <v>45763</v>
          </cell>
          <cell r="S4939">
            <v>210014</v>
          </cell>
        </row>
        <row r="4940">
          <cell r="K4940" t="str">
            <v>213003</v>
          </cell>
          <cell r="M4940">
            <v>12</v>
          </cell>
          <cell r="R4940">
            <v>45763</v>
          </cell>
          <cell r="S4940">
            <v>213003</v>
          </cell>
        </row>
        <row r="4941">
          <cell r="K4941" t="str">
            <v>213003</v>
          </cell>
          <cell r="M4941">
            <v>3</v>
          </cell>
          <cell r="R4941">
            <v>45763</v>
          </cell>
          <cell r="S4941">
            <v>213003</v>
          </cell>
        </row>
        <row r="4942">
          <cell r="K4942" t="str">
            <v>228001</v>
          </cell>
          <cell r="M4942">
            <v>1</v>
          </cell>
          <cell r="R4942">
            <v>45763</v>
          </cell>
          <cell r="S4942">
            <v>228001</v>
          </cell>
        </row>
        <row r="4943">
          <cell r="K4943" t="str">
            <v>226001</v>
          </cell>
          <cell r="M4943">
            <v>1</v>
          </cell>
          <cell r="R4943">
            <v>45763</v>
          </cell>
          <cell r="S4943">
            <v>226001</v>
          </cell>
        </row>
        <row r="4944">
          <cell r="K4944" t="str">
            <v>226001</v>
          </cell>
          <cell r="M4944">
            <v>1</v>
          </cell>
          <cell r="R4944">
            <v>45763</v>
          </cell>
          <cell r="S4944">
            <v>226001</v>
          </cell>
        </row>
        <row r="4945">
          <cell r="K4945" t="str">
            <v>226001</v>
          </cell>
          <cell r="M4945">
            <v>4</v>
          </cell>
          <cell r="R4945">
            <v>45763</v>
          </cell>
          <cell r="S4945">
            <v>226001</v>
          </cell>
        </row>
        <row r="4946">
          <cell r="K4946" t="str">
            <v>231012</v>
          </cell>
          <cell r="M4946">
            <v>1</v>
          </cell>
          <cell r="R4946">
            <v>45763</v>
          </cell>
          <cell r="S4946">
            <v>231012</v>
          </cell>
        </row>
        <row r="4947">
          <cell r="K4947" t="str">
            <v>241001</v>
          </cell>
          <cell r="M4947">
            <v>2</v>
          </cell>
          <cell r="R4947">
            <v>45763</v>
          </cell>
          <cell r="S4947">
            <v>241001</v>
          </cell>
        </row>
        <row r="4948">
          <cell r="K4948" t="str">
            <v>203001</v>
          </cell>
          <cell r="M4948">
            <v>1</v>
          </cell>
          <cell r="R4948">
            <v>45763</v>
          </cell>
          <cell r="S4948">
            <v>203001</v>
          </cell>
        </row>
        <row r="4949">
          <cell r="K4949" t="str">
            <v>201011</v>
          </cell>
          <cell r="M4949">
            <v>5</v>
          </cell>
          <cell r="R4949">
            <v>45763</v>
          </cell>
          <cell r="S4949">
            <v>201011</v>
          </cell>
        </row>
        <row r="4950">
          <cell r="K4950" t="str">
            <v>217018</v>
          </cell>
          <cell r="M4950">
            <v>2</v>
          </cell>
          <cell r="R4950">
            <v>45763</v>
          </cell>
          <cell r="S4950">
            <v>217018</v>
          </cell>
        </row>
        <row r="4951">
          <cell r="K4951" t="str">
            <v>201011</v>
          </cell>
          <cell r="M4951">
            <v>4</v>
          </cell>
          <cell r="R4951">
            <v>45763</v>
          </cell>
          <cell r="S4951">
            <v>201011</v>
          </cell>
        </row>
        <row r="4952">
          <cell r="K4952" t="str">
            <v>201011</v>
          </cell>
          <cell r="M4952">
            <v>1</v>
          </cell>
          <cell r="R4952">
            <v>45763</v>
          </cell>
          <cell r="S4952">
            <v>201011</v>
          </cell>
        </row>
        <row r="4953">
          <cell r="K4953" t="str">
            <v>220003</v>
          </cell>
          <cell r="M4953">
            <v>1</v>
          </cell>
          <cell r="R4953">
            <v>45763</v>
          </cell>
          <cell r="S4953">
            <v>220003</v>
          </cell>
        </row>
        <row r="4954">
          <cell r="K4954" t="str">
            <v>228017</v>
          </cell>
          <cell r="M4954">
            <v>2</v>
          </cell>
          <cell r="R4954">
            <v>45763</v>
          </cell>
          <cell r="S4954">
            <v>228017</v>
          </cell>
        </row>
        <row r="4955">
          <cell r="K4955" t="str">
            <v>212035</v>
          </cell>
          <cell r="M4955">
            <v>15</v>
          </cell>
          <cell r="R4955">
            <v>45763</v>
          </cell>
          <cell r="S4955">
            <v>212035</v>
          </cell>
        </row>
        <row r="4956">
          <cell r="K4956" t="str">
            <v>226022</v>
          </cell>
          <cell r="M4956">
            <v>1</v>
          </cell>
          <cell r="R4956">
            <v>45763</v>
          </cell>
          <cell r="S4956">
            <v>226022</v>
          </cell>
        </row>
        <row r="4957">
          <cell r="K4957" t="str">
            <v>226001</v>
          </cell>
          <cell r="M4957">
            <v>1</v>
          </cell>
          <cell r="R4957">
            <v>45763</v>
          </cell>
          <cell r="S4957">
            <v>226001</v>
          </cell>
        </row>
        <row r="4958">
          <cell r="K4958" t="str">
            <v>207002</v>
          </cell>
          <cell r="M4958">
            <v>1</v>
          </cell>
          <cell r="R4958">
            <v>45763</v>
          </cell>
          <cell r="S4958">
            <v>207002</v>
          </cell>
        </row>
        <row r="4959">
          <cell r="K4959" t="str">
            <v>209001</v>
          </cell>
          <cell r="M4959">
            <v>4</v>
          </cell>
          <cell r="R4959">
            <v>45763</v>
          </cell>
          <cell r="S4959">
            <v>209001</v>
          </cell>
        </row>
        <row r="4960">
          <cell r="K4960" t="str">
            <v>210003</v>
          </cell>
          <cell r="M4960">
            <v>1</v>
          </cell>
          <cell r="R4960">
            <v>45763</v>
          </cell>
          <cell r="S4960">
            <v>210003</v>
          </cell>
        </row>
        <row r="4961">
          <cell r="K4961" t="str">
            <v>201011</v>
          </cell>
          <cell r="M4961">
            <v>15</v>
          </cell>
          <cell r="R4961">
            <v>45763</v>
          </cell>
          <cell r="S4961">
            <v>201011</v>
          </cell>
        </row>
        <row r="4962">
          <cell r="K4962" t="str">
            <v>201011</v>
          </cell>
          <cell r="M4962">
            <v>10</v>
          </cell>
          <cell r="R4962">
            <v>45763</v>
          </cell>
          <cell r="S4962">
            <v>201011</v>
          </cell>
        </row>
        <row r="4963">
          <cell r="K4963" t="str">
            <v>231012</v>
          </cell>
          <cell r="M4963">
            <v>1</v>
          </cell>
          <cell r="R4963">
            <v>45763</v>
          </cell>
          <cell r="S4963">
            <v>231012</v>
          </cell>
        </row>
        <row r="4964">
          <cell r="K4964" t="str">
            <v>209004</v>
          </cell>
          <cell r="M4964">
            <v>1</v>
          </cell>
          <cell r="R4964">
            <v>45763</v>
          </cell>
          <cell r="S4964">
            <v>209004</v>
          </cell>
        </row>
        <row r="4965">
          <cell r="K4965" t="str">
            <v>212002</v>
          </cell>
          <cell r="M4965">
            <v>1</v>
          </cell>
          <cell r="R4965">
            <v>45763</v>
          </cell>
          <cell r="S4965">
            <v>212002</v>
          </cell>
        </row>
        <row r="4966">
          <cell r="K4966" t="str">
            <v>201011</v>
          </cell>
          <cell r="M4966">
            <v>36</v>
          </cell>
          <cell r="R4966">
            <v>45763</v>
          </cell>
          <cell r="S4966">
            <v>201011</v>
          </cell>
        </row>
        <row r="4967">
          <cell r="K4967" t="str">
            <v>228017</v>
          </cell>
          <cell r="M4967">
            <v>4</v>
          </cell>
          <cell r="R4967">
            <v>45763</v>
          </cell>
          <cell r="S4967">
            <v>228017</v>
          </cell>
        </row>
        <row r="4968">
          <cell r="K4968" t="str">
            <v>222003</v>
          </cell>
          <cell r="M4968">
            <v>2</v>
          </cell>
          <cell r="R4968">
            <v>45764</v>
          </cell>
          <cell r="S4968">
            <v>222003</v>
          </cell>
        </row>
        <row r="4969">
          <cell r="K4969" t="str">
            <v>222004</v>
          </cell>
          <cell r="M4969">
            <v>2</v>
          </cell>
          <cell r="R4969">
            <v>45764</v>
          </cell>
          <cell r="S4969">
            <v>222004</v>
          </cell>
        </row>
        <row r="4970">
          <cell r="K4970" t="str">
            <v>229003</v>
          </cell>
          <cell r="M4970">
            <v>1</v>
          </cell>
          <cell r="R4970">
            <v>45764</v>
          </cell>
          <cell r="S4970">
            <v>229003</v>
          </cell>
        </row>
        <row r="4971">
          <cell r="K4971" t="str">
            <v>201011</v>
          </cell>
          <cell r="M4971">
            <v>2</v>
          </cell>
          <cell r="R4971">
            <v>45764</v>
          </cell>
          <cell r="S4971">
            <v>201011</v>
          </cell>
        </row>
        <row r="4972">
          <cell r="K4972" t="str">
            <v>209004</v>
          </cell>
          <cell r="M4972">
            <v>2</v>
          </cell>
          <cell r="R4972">
            <v>45764</v>
          </cell>
          <cell r="S4972">
            <v>209004</v>
          </cell>
        </row>
        <row r="4973">
          <cell r="K4973" t="str">
            <v>209004</v>
          </cell>
          <cell r="M4973">
            <v>2</v>
          </cell>
          <cell r="R4973">
            <v>45764</v>
          </cell>
          <cell r="S4973">
            <v>209004</v>
          </cell>
        </row>
        <row r="4974">
          <cell r="K4974" t="str">
            <v>227012</v>
          </cell>
          <cell r="M4974">
            <v>3</v>
          </cell>
          <cell r="R4974">
            <v>45764</v>
          </cell>
          <cell r="S4974">
            <v>227012</v>
          </cell>
        </row>
        <row r="4975">
          <cell r="K4975" t="str">
            <v>226001</v>
          </cell>
          <cell r="M4975">
            <v>1</v>
          </cell>
          <cell r="R4975">
            <v>45764</v>
          </cell>
          <cell r="S4975">
            <v>226001</v>
          </cell>
        </row>
        <row r="4976">
          <cell r="K4976" t="str">
            <v>228017</v>
          </cell>
          <cell r="M4976">
            <v>10</v>
          </cell>
          <cell r="R4976">
            <v>45764</v>
          </cell>
          <cell r="S4976">
            <v>228017</v>
          </cell>
        </row>
        <row r="4977">
          <cell r="K4977" t="str">
            <v>227012</v>
          </cell>
          <cell r="M4977">
            <v>1</v>
          </cell>
          <cell r="R4977">
            <v>45764</v>
          </cell>
          <cell r="S4977">
            <v>227012</v>
          </cell>
        </row>
        <row r="4978">
          <cell r="K4978" t="str">
            <v>223002</v>
          </cell>
          <cell r="M4978">
            <v>6</v>
          </cell>
          <cell r="R4978">
            <v>45764</v>
          </cell>
          <cell r="S4978">
            <v>223002</v>
          </cell>
        </row>
        <row r="4979">
          <cell r="K4979" t="str">
            <v>227012</v>
          </cell>
          <cell r="M4979">
            <v>2</v>
          </cell>
          <cell r="R4979">
            <v>45764</v>
          </cell>
          <cell r="S4979">
            <v>227012</v>
          </cell>
        </row>
        <row r="4980">
          <cell r="K4980" t="str">
            <v>210002</v>
          </cell>
          <cell r="M4980">
            <v>1</v>
          </cell>
          <cell r="R4980">
            <v>45764</v>
          </cell>
          <cell r="S4980">
            <v>210002</v>
          </cell>
        </row>
        <row r="4981">
          <cell r="K4981" t="str">
            <v>201011</v>
          </cell>
          <cell r="M4981">
            <v>4</v>
          </cell>
          <cell r="R4981">
            <v>45764</v>
          </cell>
          <cell r="S4981">
            <v>201011</v>
          </cell>
        </row>
        <row r="4982">
          <cell r="K4982" t="str">
            <v>203006</v>
          </cell>
          <cell r="M4982">
            <v>1</v>
          </cell>
          <cell r="R4982">
            <v>45764</v>
          </cell>
          <cell r="S4982">
            <v>203006</v>
          </cell>
        </row>
        <row r="4983">
          <cell r="K4983" t="str">
            <v>206006</v>
          </cell>
          <cell r="M4983">
            <v>1</v>
          </cell>
          <cell r="R4983">
            <v>45764</v>
          </cell>
          <cell r="S4983">
            <v>206006</v>
          </cell>
        </row>
        <row r="4984">
          <cell r="K4984" t="str">
            <v>208001</v>
          </cell>
          <cell r="M4984">
            <v>1</v>
          </cell>
          <cell r="R4984">
            <v>45764</v>
          </cell>
          <cell r="S4984">
            <v>208001</v>
          </cell>
        </row>
        <row r="4985">
          <cell r="K4985" t="str">
            <v>206002</v>
          </cell>
          <cell r="M4985">
            <v>1</v>
          </cell>
          <cell r="R4985">
            <v>45764</v>
          </cell>
          <cell r="S4985">
            <v>206002</v>
          </cell>
        </row>
        <row r="4986">
          <cell r="K4986" t="str">
            <v>223002</v>
          </cell>
          <cell r="M4986">
            <v>3</v>
          </cell>
          <cell r="R4986">
            <v>45764</v>
          </cell>
          <cell r="S4986">
            <v>223002</v>
          </cell>
        </row>
        <row r="4987">
          <cell r="K4987" t="str">
            <v>227012</v>
          </cell>
          <cell r="M4987">
            <v>2</v>
          </cell>
          <cell r="R4987">
            <v>45764</v>
          </cell>
          <cell r="S4987">
            <v>227012</v>
          </cell>
        </row>
        <row r="4988">
          <cell r="K4988" t="str">
            <v>202001</v>
          </cell>
          <cell r="M4988">
            <v>6</v>
          </cell>
          <cell r="R4988">
            <v>45764</v>
          </cell>
          <cell r="S4988">
            <v>202001</v>
          </cell>
        </row>
        <row r="4989">
          <cell r="K4989" t="str">
            <v>206002</v>
          </cell>
          <cell r="M4989">
            <v>3</v>
          </cell>
          <cell r="R4989">
            <v>45764</v>
          </cell>
          <cell r="S4989">
            <v>206002</v>
          </cell>
        </row>
        <row r="4990">
          <cell r="K4990" t="str">
            <v>207017</v>
          </cell>
          <cell r="M4990">
            <v>3</v>
          </cell>
          <cell r="R4990">
            <v>45764</v>
          </cell>
          <cell r="S4990">
            <v>207017</v>
          </cell>
        </row>
        <row r="4991">
          <cell r="K4991" t="str">
            <v>208001</v>
          </cell>
          <cell r="M4991">
            <v>4</v>
          </cell>
          <cell r="R4991">
            <v>45764</v>
          </cell>
          <cell r="S4991">
            <v>208001</v>
          </cell>
        </row>
        <row r="4992">
          <cell r="K4992" t="str">
            <v>213003</v>
          </cell>
          <cell r="M4992">
            <v>2</v>
          </cell>
          <cell r="R4992">
            <v>45764</v>
          </cell>
          <cell r="S4992">
            <v>213003</v>
          </cell>
        </row>
        <row r="4993">
          <cell r="K4993" t="str">
            <v>217002</v>
          </cell>
          <cell r="M4993">
            <v>3</v>
          </cell>
          <cell r="R4993">
            <v>45764</v>
          </cell>
          <cell r="S4993">
            <v>217002</v>
          </cell>
        </row>
        <row r="4994">
          <cell r="K4994" t="str">
            <v>226001</v>
          </cell>
          <cell r="M4994">
            <v>2</v>
          </cell>
          <cell r="R4994">
            <v>45764</v>
          </cell>
          <cell r="S4994">
            <v>226001</v>
          </cell>
        </row>
        <row r="4995">
          <cell r="K4995" t="str">
            <v>203001</v>
          </cell>
          <cell r="M4995">
            <v>2</v>
          </cell>
          <cell r="R4995">
            <v>45764</v>
          </cell>
          <cell r="S4995">
            <v>203001</v>
          </cell>
        </row>
        <row r="4996">
          <cell r="K4996" t="str">
            <v>226001</v>
          </cell>
          <cell r="M4996">
            <v>5</v>
          </cell>
          <cell r="R4996">
            <v>45764</v>
          </cell>
          <cell r="S4996">
            <v>226001</v>
          </cell>
        </row>
        <row r="4997">
          <cell r="K4997" t="str">
            <v>226001</v>
          </cell>
          <cell r="M4997">
            <v>1</v>
          </cell>
          <cell r="R4997">
            <v>45764</v>
          </cell>
          <cell r="S4997">
            <v>226001</v>
          </cell>
        </row>
        <row r="4998">
          <cell r="K4998" t="str">
            <v>217002</v>
          </cell>
          <cell r="M4998">
            <v>1</v>
          </cell>
          <cell r="R4998">
            <v>45764</v>
          </cell>
          <cell r="S4998">
            <v>217002</v>
          </cell>
        </row>
        <row r="4999">
          <cell r="K4999" t="str">
            <v>217020</v>
          </cell>
          <cell r="M4999">
            <v>1</v>
          </cell>
          <cell r="R4999">
            <v>45764</v>
          </cell>
          <cell r="S4999">
            <v>217020</v>
          </cell>
        </row>
        <row r="5000">
          <cell r="K5000" t="str">
            <v>228001</v>
          </cell>
          <cell r="M5000">
            <v>1</v>
          </cell>
          <cell r="R5000">
            <v>45764</v>
          </cell>
          <cell r="S5000">
            <v>228001</v>
          </cell>
        </row>
        <row r="5001">
          <cell r="K5001" t="str">
            <v>217002</v>
          </cell>
          <cell r="M5001">
            <v>1</v>
          </cell>
          <cell r="R5001">
            <v>45764</v>
          </cell>
          <cell r="S5001">
            <v>217002</v>
          </cell>
        </row>
        <row r="5002">
          <cell r="K5002" t="str">
            <v>226022</v>
          </cell>
          <cell r="M5002">
            <v>1</v>
          </cell>
          <cell r="R5002">
            <v>45764</v>
          </cell>
          <cell r="S5002">
            <v>226022</v>
          </cell>
        </row>
        <row r="5003">
          <cell r="K5003" t="str">
            <v>226025</v>
          </cell>
          <cell r="M5003">
            <v>1</v>
          </cell>
          <cell r="R5003">
            <v>45764</v>
          </cell>
          <cell r="S5003">
            <v>226025</v>
          </cell>
        </row>
        <row r="5004">
          <cell r="K5004" t="str">
            <v>207002</v>
          </cell>
          <cell r="M5004">
            <v>1</v>
          </cell>
          <cell r="R5004">
            <v>45764</v>
          </cell>
          <cell r="S5004">
            <v>207002</v>
          </cell>
        </row>
        <row r="5005">
          <cell r="K5005" t="str">
            <v>201011</v>
          </cell>
          <cell r="M5005">
            <v>3</v>
          </cell>
          <cell r="R5005">
            <v>45764</v>
          </cell>
          <cell r="S5005">
            <v>201011</v>
          </cell>
        </row>
        <row r="5006">
          <cell r="K5006" t="str">
            <v>207017</v>
          </cell>
          <cell r="M5006">
            <v>2</v>
          </cell>
          <cell r="R5006">
            <v>45764</v>
          </cell>
          <cell r="S5006">
            <v>207017</v>
          </cell>
        </row>
        <row r="5007">
          <cell r="K5007" t="str">
            <v>231012</v>
          </cell>
          <cell r="M5007">
            <v>2</v>
          </cell>
          <cell r="R5007">
            <v>45764</v>
          </cell>
          <cell r="S5007">
            <v>231012</v>
          </cell>
        </row>
        <row r="5008">
          <cell r="K5008" t="str">
            <v>241001</v>
          </cell>
          <cell r="M5008">
            <v>6</v>
          </cell>
          <cell r="R5008">
            <v>45764</v>
          </cell>
          <cell r="S5008">
            <v>241001</v>
          </cell>
        </row>
        <row r="5009">
          <cell r="K5009" t="str">
            <v>222002</v>
          </cell>
          <cell r="M5009">
            <v>2</v>
          </cell>
          <cell r="R5009">
            <v>45764</v>
          </cell>
          <cell r="S5009">
            <v>222002</v>
          </cell>
        </row>
        <row r="5010">
          <cell r="K5010" t="str">
            <v>201011</v>
          </cell>
          <cell r="M5010">
            <v>10</v>
          </cell>
          <cell r="R5010">
            <v>45764</v>
          </cell>
          <cell r="S5010">
            <v>201011</v>
          </cell>
        </row>
        <row r="5011">
          <cell r="K5011" t="str">
            <v>217002</v>
          </cell>
          <cell r="M5011">
            <v>7</v>
          </cell>
          <cell r="R5011">
            <v>45765</v>
          </cell>
          <cell r="S5011">
            <v>217002</v>
          </cell>
        </row>
        <row r="5012">
          <cell r="K5012" t="str">
            <v>237001</v>
          </cell>
          <cell r="M5012">
            <v>1</v>
          </cell>
          <cell r="R5012">
            <v>45765</v>
          </cell>
          <cell r="S5012">
            <v>237001</v>
          </cell>
        </row>
        <row r="5013">
          <cell r="K5013" t="str">
            <v>213003</v>
          </cell>
          <cell r="M5013">
            <v>2</v>
          </cell>
          <cell r="R5013">
            <v>45765</v>
          </cell>
          <cell r="S5013">
            <v>213003</v>
          </cell>
        </row>
        <row r="5014">
          <cell r="K5014" t="str">
            <v>231012</v>
          </cell>
          <cell r="M5014">
            <v>4</v>
          </cell>
          <cell r="R5014">
            <v>45765</v>
          </cell>
          <cell r="S5014">
            <v>231012</v>
          </cell>
        </row>
        <row r="5015">
          <cell r="K5015" t="str">
            <v>228017</v>
          </cell>
          <cell r="M5015">
            <v>7</v>
          </cell>
          <cell r="R5015">
            <v>45765</v>
          </cell>
          <cell r="S5015">
            <v>228017</v>
          </cell>
        </row>
        <row r="5016">
          <cell r="K5016" t="str">
            <v>228001</v>
          </cell>
          <cell r="M5016">
            <v>14</v>
          </cell>
          <cell r="R5016">
            <v>45765</v>
          </cell>
          <cell r="S5016">
            <v>228001</v>
          </cell>
        </row>
        <row r="5017">
          <cell r="K5017" t="str">
            <v>213003</v>
          </cell>
          <cell r="M5017">
            <v>1</v>
          </cell>
          <cell r="R5017">
            <v>45765</v>
          </cell>
          <cell r="S5017">
            <v>213003</v>
          </cell>
        </row>
        <row r="5018">
          <cell r="K5018" t="str">
            <v>201002</v>
          </cell>
          <cell r="M5018">
            <v>6</v>
          </cell>
          <cell r="R5018">
            <v>45765</v>
          </cell>
          <cell r="S5018">
            <v>201002</v>
          </cell>
        </row>
        <row r="5019">
          <cell r="K5019" t="str">
            <v>241001</v>
          </cell>
          <cell r="M5019">
            <v>5</v>
          </cell>
          <cell r="R5019">
            <v>45765</v>
          </cell>
          <cell r="S5019">
            <v>241001</v>
          </cell>
        </row>
        <row r="5020">
          <cell r="K5020" t="str">
            <v>201011</v>
          </cell>
          <cell r="M5020">
            <v>50</v>
          </cell>
          <cell r="R5020">
            <v>45766</v>
          </cell>
          <cell r="S5020">
            <v>201011</v>
          </cell>
        </row>
        <row r="5021">
          <cell r="K5021" t="str">
            <v>201011</v>
          </cell>
          <cell r="M5021">
            <v>2</v>
          </cell>
          <cell r="R5021">
            <v>45767</v>
          </cell>
          <cell r="S5021">
            <v>201011</v>
          </cell>
        </row>
        <row r="5022">
          <cell r="K5022" t="str">
            <v>241001</v>
          </cell>
          <cell r="M5022">
            <v>4</v>
          </cell>
          <cell r="R5022">
            <v>45767</v>
          </cell>
          <cell r="S5022">
            <v>241001</v>
          </cell>
        </row>
        <row r="5023">
          <cell r="K5023" t="str">
            <v>201011</v>
          </cell>
          <cell r="M5023">
            <v>6</v>
          </cell>
          <cell r="R5023">
            <v>45767</v>
          </cell>
          <cell r="S5023">
            <v>201011</v>
          </cell>
        </row>
        <row r="5024">
          <cell r="K5024" t="str">
            <v>201011</v>
          </cell>
          <cell r="M5024">
            <v>7</v>
          </cell>
          <cell r="R5024">
            <v>45768</v>
          </cell>
          <cell r="S5024">
            <v>201011</v>
          </cell>
        </row>
        <row r="5025">
          <cell r="K5025" t="str">
            <v>222001</v>
          </cell>
          <cell r="M5025">
            <v>1</v>
          </cell>
          <cell r="R5025">
            <v>45768</v>
          </cell>
          <cell r="S5025">
            <v>222001</v>
          </cell>
        </row>
        <row r="5026">
          <cell r="K5026" t="str">
            <v>241001</v>
          </cell>
          <cell r="M5026">
            <v>10</v>
          </cell>
          <cell r="R5026">
            <v>45768</v>
          </cell>
          <cell r="S5026">
            <v>241001</v>
          </cell>
        </row>
        <row r="5027">
          <cell r="K5027" t="str">
            <v>201011</v>
          </cell>
          <cell r="M5027">
            <v>3</v>
          </cell>
          <cell r="R5027">
            <v>45767</v>
          </cell>
          <cell r="S5027">
            <v>201011</v>
          </cell>
        </row>
        <row r="5028">
          <cell r="K5028" t="str">
            <v>241001</v>
          </cell>
          <cell r="M5028">
            <v>1</v>
          </cell>
          <cell r="R5028">
            <v>45767</v>
          </cell>
          <cell r="S5028">
            <v>241001</v>
          </cell>
        </row>
        <row r="5029">
          <cell r="K5029" t="str">
            <v>223002</v>
          </cell>
          <cell r="M5029">
            <v>1</v>
          </cell>
          <cell r="R5029">
            <v>45767</v>
          </cell>
          <cell r="S5029">
            <v>223002</v>
          </cell>
        </row>
        <row r="5030">
          <cell r="K5030" t="str">
            <v>223001</v>
          </cell>
          <cell r="M5030">
            <v>1</v>
          </cell>
          <cell r="R5030">
            <v>45767</v>
          </cell>
          <cell r="S5030">
            <v>223001</v>
          </cell>
        </row>
        <row r="5031">
          <cell r="K5031" t="str">
            <v>223001</v>
          </cell>
          <cell r="M5031">
            <v>5</v>
          </cell>
          <cell r="R5031">
            <v>45768</v>
          </cell>
          <cell r="S5031">
            <v>223001</v>
          </cell>
        </row>
        <row r="5032">
          <cell r="K5032" t="str">
            <v>223002</v>
          </cell>
          <cell r="M5032">
            <v>5</v>
          </cell>
          <cell r="R5032">
            <v>45768</v>
          </cell>
          <cell r="S5032">
            <v>223002</v>
          </cell>
        </row>
        <row r="5033">
          <cell r="K5033" t="str">
            <v>203001</v>
          </cell>
          <cell r="M5033">
            <v>2</v>
          </cell>
          <cell r="R5033">
            <v>45767</v>
          </cell>
          <cell r="S5033">
            <v>203001</v>
          </cell>
        </row>
        <row r="5034">
          <cell r="K5034" t="str">
            <v>228001</v>
          </cell>
          <cell r="M5034">
            <v>1</v>
          </cell>
          <cell r="R5034">
            <v>45767</v>
          </cell>
          <cell r="S5034">
            <v>228001</v>
          </cell>
        </row>
        <row r="5035">
          <cell r="K5035" t="str">
            <v>231012</v>
          </cell>
          <cell r="M5035">
            <v>5</v>
          </cell>
          <cell r="R5035">
            <v>45767</v>
          </cell>
          <cell r="S5035">
            <v>231012</v>
          </cell>
        </row>
        <row r="5036">
          <cell r="K5036" t="str">
            <v>201011</v>
          </cell>
          <cell r="M5036">
            <v>1</v>
          </cell>
          <cell r="R5036">
            <v>45767</v>
          </cell>
          <cell r="S5036">
            <v>201011</v>
          </cell>
        </row>
        <row r="5037">
          <cell r="K5037" t="str">
            <v>223002</v>
          </cell>
          <cell r="M5037">
            <v>2</v>
          </cell>
          <cell r="R5037">
            <v>45767</v>
          </cell>
          <cell r="S5037">
            <v>223002</v>
          </cell>
        </row>
        <row r="5038">
          <cell r="K5038" t="str">
            <v>223001</v>
          </cell>
          <cell r="M5038">
            <v>10</v>
          </cell>
          <cell r="R5038">
            <v>45767</v>
          </cell>
          <cell r="S5038">
            <v>223001</v>
          </cell>
        </row>
        <row r="5039">
          <cell r="K5039" t="str">
            <v>209022</v>
          </cell>
          <cell r="M5039">
            <v>6</v>
          </cell>
          <cell r="R5039">
            <v>45767</v>
          </cell>
          <cell r="S5039">
            <v>209022</v>
          </cell>
        </row>
        <row r="5040">
          <cell r="K5040" t="str">
            <v>217018</v>
          </cell>
          <cell r="M5040">
            <v>2</v>
          </cell>
          <cell r="R5040">
            <v>45767</v>
          </cell>
          <cell r="S5040">
            <v>217018</v>
          </cell>
        </row>
        <row r="5041">
          <cell r="K5041" t="str">
            <v>223001</v>
          </cell>
          <cell r="M5041">
            <v>5</v>
          </cell>
          <cell r="R5041">
            <v>45768</v>
          </cell>
          <cell r="S5041">
            <v>223001</v>
          </cell>
        </row>
        <row r="5042">
          <cell r="K5042" t="str">
            <v>203003</v>
          </cell>
          <cell r="M5042">
            <v>2</v>
          </cell>
          <cell r="R5042">
            <v>45768</v>
          </cell>
          <cell r="S5042">
            <v>203003</v>
          </cell>
        </row>
        <row r="5043">
          <cell r="K5043" t="str">
            <v>209004</v>
          </cell>
          <cell r="M5043">
            <v>1</v>
          </cell>
          <cell r="R5043">
            <v>45768</v>
          </cell>
          <cell r="S5043">
            <v>209004</v>
          </cell>
        </row>
        <row r="5044">
          <cell r="K5044" t="str">
            <v>209001</v>
          </cell>
          <cell r="M5044">
            <v>2</v>
          </cell>
          <cell r="R5044">
            <v>45768</v>
          </cell>
          <cell r="S5044">
            <v>209001</v>
          </cell>
        </row>
        <row r="5045">
          <cell r="K5045" t="str">
            <v>220003</v>
          </cell>
          <cell r="M5045">
            <v>1</v>
          </cell>
          <cell r="R5045">
            <v>45768</v>
          </cell>
          <cell r="S5045">
            <v>220003</v>
          </cell>
        </row>
        <row r="5046">
          <cell r="K5046" t="str">
            <v>229004</v>
          </cell>
          <cell r="M5046">
            <v>4</v>
          </cell>
          <cell r="R5046">
            <v>45768</v>
          </cell>
          <cell r="S5046">
            <v>229004</v>
          </cell>
        </row>
        <row r="5047">
          <cell r="K5047" t="str">
            <v>228001</v>
          </cell>
          <cell r="M5047">
            <v>5</v>
          </cell>
          <cell r="R5047">
            <v>45768</v>
          </cell>
          <cell r="S5047">
            <v>228001</v>
          </cell>
        </row>
        <row r="5048">
          <cell r="K5048" t="str">
            <v>217019</v>
          </cell>
          <cell r="M5048">
            <v>15</v>
          </cell>
          <cell r="R5048">
            <v>45768</v>
          </cell>
          <cell r="S5048">
            <v>217019</v>
          </cell>
        </row>
        <row r="5049">
          <cell r="K5049" t="str">
            <v>201011</v>
          </cell>
          <cell r="M5049">
            <v>1</v>
          </cell>
          <cell r="R5049">
            <v>45768</v>
          </cell>
          <cell r="S5049">
            <v>201011</v>
          </cell>
        </row>
        <row r="5050">
          <cell r="K5050" t="str">
            <v>228001</v>
          </cell>
          <cell r="M5050">
            <v>10</v>
          </cell>
          <cell r="R5050">
            <v>45768</v>
          </cell>
          <cell r="S5050">
            <v>228001</v>
          </cell>
        </row>
        <row r="5051">
          <cell r="K5051" t="str">
            <v>203001</v>
          </cell>
          <cell r="M5051">
            <v>4</v>
          </cell>
          <cell r="R5051">
            <v>45768</v>
          </cell>
          <cell r="S5051">
            <v>203001</v>
          </cell>
        </row>
        <row r="5052">
          <cell r="K5052" t="str">
            <v>201003</v>
          </cell>
          <cell r="M5052">
            <v>1</v>
          </cell>
          <cell r="R5052">
            <v>45768</v>
          </cell>
          <cell r="S5052">
            <v>201003</v>
          </cell>
        </row>
        <row r="5053">
          <cell r="K5053" t="str">
            <v>212002</v>
          </cell>
          <cell r="M5053">
            <v>1</v>
          </cell>
          <cell r="R5053">
            <v>45768</v>
          </cell>
          <cell r="S5053">
            <v>212002</v>
          </cell>
        </row>
        <row r="5054">
          <cell r="K5054" t="str">
            <v>207017</v>
          </cell>
          <cell r="M5054">
            <v>1</v>
          </cell>
          <cell r="R5054">
            <v>45768</v>
          </cell>
          <cell r="S5054">
            <v>207017</v>
          </cell>
        </row>
        <row r="5055">
          <cell r="K5055" t="str">
            <v>241001</v>
          </cell>
          <cell r="M5055">
            <v>1</v>
          </cell>
          <cell r="R5055">
            <v>45768</v>
          </cell>
          <cell r="S5055">
            <v>241001</v>
          </cell>
        </row>
        <row r="5056">
          <cell r="K5056" t="str">
            <v>201011</v>
          </cell>
          <cell r="M5056">
            <v>10</v>
          </cell>
          <cell r="R5056">
            <v>45768</v>
          </cell>
          <cell r="S5056">
            <v>201011</v>
          </cell>
        </row>
        <row r="5057">
          <cell r="K5057" t="str">
            <v>231012</v>
          </cell>
          <cell r="M5057">
            <v>1</v>
          </cell>
          <cell r="R5057">
            <v>45768</v>
          </cell>
          <cell r="S5057">
            <v>231012</v>
          </cell>
        </row>
        <row r="5058">
          <cell r="K5058" t="str">
            <v>228001</v>
          </cell>
          <cell r="M5058">
            <v>10</v>
          </cell>
          <cell r="R5058">
            <v>45768</v>
          </cell>
          <cell r="S5058">
            <v>228001</v>
          </cell>
        </row>
        <row r="5059">
          <cell r="K5059" t="str">
            <v>203001</v>
          </cell>
          <cell r="M5059">
            <v>4</v>
          </cell>
          <cell r="R5059">
            <v>45768</v>
          </cell>
          <cell r="S5059">
            <v>203001</v>
          </cell>
        </row>
        <row r="5060">
          <cell r="K5060" t="str">
            <v>207017</v>
          </cell>
          <cell r="M5060">
            <v>1</v>
          </cell>
          <cell r="R5060">
            <v>45768</v>
          </cell>
          <cell r="S5060">
            <v>207017</v>
          </cell>
        </row>
        <row r="5061">
          <cell r="K5061" t="str">
            <v>212002</v>
          </cell>
          <cell r="M5061">
            <v>1</v>
          </cell>
          <cell r="R5061">
            <v>45768</v>
          </cell>
          <cell r="S5061">
            <v>212002</v>
          </cell>
        </row>
        <row r="5062">
          <cell r="K5062" t="str">
            <v>209004</v>
          </cell>
          <cell r="M5062">
            <v>1</v>
          </cell>
          <cell r="R5062">
            <v>45768</v>
          </cell>
          <cell r="S5062">
            <v>209004</v>
          </cell>
        </row>
        <row r="5063">
          <cell r="K5063" t="str">
            <v>228001</v>
          </cell>
          <cell r="M5063">
            <v>2</v>
          </cell>
          <cell r="R5063">
            <v>45768</v>
          </cell>
          <cell r="S5063">
            <v>228001</v>
          </cell>
        </row>
        <row r="5064">
          <cell r="K5064" t="str">
            <v>228001</v>
          </cell>
          <cell r="M5064">
            <v>5</v>
          </cell>
          <cell r="R5064">
            <v>45768</v>
          </cell>
          <cell r="S5064">
            <v>228001</v>
          </cell>
        </row>
        <row r="5065">
          <cell r="K5065" t="str">
            <v>201011</v>
          </cell>
          <cell r="M5065">
            <v>2</v>
          </cell>
          <cell r="R5065">
            <v>45768</v>
          </cell>
          <cell r="S5065">
            <v>201011</v>
          </cell>
        </row>
        <row r="5066">
          <cell r="K5066" t="str">
            <v>228001</v>
          </cell>
          <cell r="M5066">
            <v>3</v>
          </cell>
          <cell r="R5066">
            <v>45768</v>
          </cell>
          <cell r="S5066">
            <v>228001</v>
          </cell>
        </row>
        <row r="5067">
          <cell r="K5067" t="str">
            <v>218001</v>
          </cell>
          <cell r="M5067">
            <v>4</v>
          </cell>
          <cell r="R5067">
            <v>45768</v>
          </cell>
          <cell r="S5067">
            <v>218001</v>
          </cell>
        </row>
        <row r="5068">
          <cell r="K5068" t="str">
            <v>231012</v>
          </cell>
          <cell r="M5068">
            <v>1</v>
          </cell>
          <cell r="R5068">
            <v>45768</v>
          </cell>
          <cell r="S5068">
            <v>231012</v>
          </cell>
        </row>
        <row r="5069">
          <cell r="K5069" t="str">
            <v>231012</v>
          </cell>
          <cell r="M5069">
            <v>1</v>
          </cell>
          <cell r="R5069">
            <v>45768</v>
          </cell>
          <cell r="S5069">
            <v>231012</v>
          </cell>
        </row>
        <row r="5070">
          <cell r="K5070" t="str">
            <v>241001</v>
          </cell>
          <cell r="M5070">
            <v>2</v>
          </cell>
          <cell r="R5070">
            <v>45768</v>
          </cell>
          <cell r="S5070">
            <v>241001</v>
          </cell>
        </row>
        <row r="5071">
          <cell r="K5071" t="str">
            <v>217020</v>
          </cell>
          <cell r="M5071">
            <v>1</v>
          </cell>
          <cell r="R5071">
            <v>45768</v>
          </cell>
          <cell r="S5071">
            <v>217020</v>
          </cell>
        </row>
        <row r="5072">
          <cell r="K5072" t="str">
            <v>203003</v>
          </cell>
          <cell r="M5072">
            <v>2</v>
          </cell>
          <cell r="R5072">
            <v>45768</v>
          </cell>
          <cell r="S5072">
            <v>203003</v>
          </cell>
        </row>
        <row r="5073">
          <cell r="K5073" t="str">
            <v>201003</v>
          </cell>
          <cell r="M5073">
            <v>4</v>
          </cell>
          <cell r="R5073">
            <v>45768</v>
          </cell>
          <cell r="S5073">
            <v>201003</v>
          </cell>
        </row>
        <row r="5074">
          <cell r="K5074" t="str">
            <v>222001</v>
          </cell>
          <cell r="M5074">
            <v>2</v>
          </cell>
          <cell r="R5074">
            <v>45768</v>
          </cell>
          <cell r="S5074">
            <v>222001</v>
          </cell>
        </row>
        <row r="5075">
          <cell r="K5075" t="str">
            <v>241001</v>
          </cell>
          <cell r="M5075">
            <v>4</v>
          </cell>
          <cell r="R5075">
            <v>45768</v>
          </cell>
          <cell r="S5075">
            <v>241001</v>
          </cell>
        </row>
        <row r="5076">
          <cell r="K5076" t="str">
            <v>212019</v>
          </cell>
          <cell r="M5076">
            <v>1</v>
          </cell>
          <cell r="R5076">
            <v>45768</v>
          </cell>
          <cell r="S5076">
            <v>212019</v>
          </cell>
        </row>
        <row r="5077">
          <cell r="K5077" t="str">
            <v>223001</v>
          </cell>
          <cell r="M5077">
            <v>10</v>
          </cell>
          <cell r="R5077">
            <v>45768</v>
          </cell>
          <cell r="S5077">
            <v>223001</v>
          </cell>
        </row>
        <row r="5078">
          <cell r="K5078" t="str">
            <v>227012</v>
          </cell>
          <cell r="M5078">
            <v>3</v>
          </cell>
          <cell r="R5078">
            <v>45768</v>
          </cell>
          <cell r="S5078">
            <v>227012</v>
          </cell>
        </row>
        <row r="5079">
          <cell r="K5079" t="str">
            <v>223001</v>
          </cell>
          <cell r="M5079">
            <v>6</v>
          </cell>
          <cell r="R5079">
            <v>45768</v>
          </cell>
          <cell r="S5079">
            <v>223001</v>
          </cell>
        </row>
        <row r="5080">
          <cell r="K5080" t="str">
            <v>201011</v>
          </cell>
          <cell r="M5080">
            <v>3</v>
          </cell>
          <cell r="R5080">
            <v>45768</v>
          </cell>
          <cell r="S5080">
            <v>201011</v>
          </cell>
        </row>
        <row r="5081">
          <cell r="K5081" t="str">
            <v>227012</v>
          </cell>
          <cell r="M5081">
            <v>1</v>
          </cell>
          <cell r="R5081">
            <v>45769</v>
          </cell>
          <cell r="S5081">
            <v>227012</v>
          </cell>
        </row>
        <row r="5082">
          <cell r="K5082" t="str">
            <v>223001</v>
          </cell>
          <cell r="M5082">
            <v>2</v>
          </cell>
          <cell r="R5082">
            <v>45769</v>
          </cell>
          <cell r="S5082">
            <v>223001</v>
          </cell>
        </row>
        <row r="5083">
          <cell r="K5083" t="str">
            <v>206005</v>
          </cell>
          <cell r="M5083">
            <v>1</v>
          </cell>
          <cell r="R5083">
            <v>45768</v>
          </cell>
          <cell r="S5083">
            <v>206005</v>
          </cell>
        </row>
        <row r="5084">
          <cell r="K5084" t="str">
            <v>218003</v>
          </cell>
          <cell r="M5084">
            <v>1</v>
          </cell>
          <cell r="R5084">
            <v>45768</v>
          </cell>
          <cell r="S5084">
            <v>218003</v>
          </cell>
        </row>
        <row r="5085">
          <cell r="K5085" t="str">
            <v>206002</v>
          </cell>
          <cell r="M5085">
            <v>1</v>
          </cell>
          <cell r="R5085">
            <v>45768</v>
          </cell>
          <cell r="S5085">
            <v>206002</v>
          </cell>
        </row>
        <row r="5086">
          <cell r="K5086" t="str">
            <v>203004</v>
          </cell>
          <cell r="M5086">
            <v>1</v>
          </cell>
          <cell r="R5086">
            <v>45768</v>
          </cell>
          <cell r="S5086">
            <v>203004</v>
          </cell>
        </row>
        <row r="5087">
          <cell r="K5087" t="str">
            <v>229004</v>
          </cell>
          <cell r="M5087">
            <v>1</v>
          </cell>
          <cell r="R5087">
            <v>45768</v>
          </cell>
          <cell r="S5087">
            <v>229004</v>
          </cell>
        </row>
        <row r="5088">
          <cell r="K5088" t="str">
            <v>222001</v>
          </cell>
          <cell r="M5088">
            <v>1</v>
          </cell>
          <cell r="R5088">
            <v>45768</v>
          </cell>
          <cell r="S5088">
            <v>222001</v>
          </cell>
        </row>
        <row r="5089">
          <cell r="K5089" t="str">
            <v>226001</v>
          </cell>
          <cell r="M5089">
            <v>2</v>
          </cell>
          <cell r="R5089">
            <v>45768</v>
          </cell>
          <cell r="S5089">
            <v>226001</v>
          </cell>
        </row>
        <row r="5090">
          <cell r="K5090" t="str">
            <v>203004</v>
          </cell>
          <cell r="M5090">
            <v>1</v>
          </cell>
          <cell r="R5090">
            <v>45768</v>
          </cell>
          <cell r="S5090">
            <v>203004</v>
          </cell>
        </row>
        <row r="5091">
          <cell r="K5091" t="str">
            <v>208001</v>
          </cell>
          <cell r="M5091">
            <v>1</v>
          </cell>
          <cell r="R5091">
            <v>45768</v>
          </cell>
          <cell r="S5091">
            <v>208001</v>
          </cell>
        </row>
        <row r="5092">
          <cell r="K5092" t="str">
            <v>210004</v>
          </cell>
          <cell r="M5092">
            <v>1</v>
          </cell>
          <cell r="R5092">
            <v>45768</v>
          </cell>
          <cell r="S5092">
            <v>210004</v>
          </cell>
        </row>
        <row r="5093">
          <cell r="K5093" t="str">
            <v>228001</v>
          </cell>
          <cell r="M5093">
            <v>1</v>
          </cell>
          <cell r="R5093">
            <v>45768</v>
          </cell>
          <cell r="S5093">
            <v>228001</v>
          </cell>
        </row>
        <row r="5094">
          <cell r="K5094" t="str">
            <v>201011</v>
          </cell>
          <cell r="M5094">
            <v>4</v>
          </cell>
          <cell r="R5094">
            <v>45768</v>
          </cell>
          <cell r="S5094">
            <v>201011</v>
          </cell>
        </row>
        <row r="5095">
          <cell r="K5095" t="str">
            <v>241001</v>
          </cell>
          <cell r="M5095">
            <v>12</v>
          </cell>
          <cell r="R5095">
            <v>45768</v>
          </cell>
          <cell r="S5095">
            <v>241001</v>
          </cell>
        </row>
        <row r="5096">
          <cell r="K5096" t="str">
            <v>201011</v>
          </cell>
          <cell r="M5096">
            <v>4</v>
          </cell>
          <cell r="R5096">
            <v>45769</v>
          </cell>
          <cell r="S5096">
            <v>201011</v>
          </cell>
        </row>
        <row r="5097">
          <cell r="K5097" t="str">
            <v>231012</v>
          </cell>
          <cell r="M5097">
            <v>4</v>
          </cell>
          <cell r="R5097">
            <v>45769</v>
          </cell>
          <cell r="S5097">
            <v>231012</v>
          </cell>
        </row>
        <row r="5098">
          <cell r="K5098" t="str">
            <v>212035</v>
          </cell>
          <cell r="M5098">
            <v>1</v>
          </cell>
          <cell r="R5098">
            <v>45769</v>
          </cell>
          <cell r="S5098">
            <v>212035</v>
          </cell>
        </row>
        <row r="5099">
          <cell r="K5099" t="str">
            <v>213002</v>
          </cell>
          <cell r="M5099">
            <v>12</v>
          </cell>
          <cell r="R5099">
            <v>45769</v>
          </cell>
          <cell r="S5099">
            <v>213002</v>
          </cell>
        </row>
        <row r="5100">
          <cell r="K5100" t="str">
            <v>213002</v>
          </cell>
          <cell r="M5100">
            <v>1</v>
          </cell>
          <cell r="R5100">
            <v>45769</v>
          </cell>
          <cell r="S5100">
            <v>213002</v>
          </cell>
        </row>
        <row r="5101">
          <cell r="K5101" t="str">
            <v>213002</v>
          </cell>
          <cell r="M5101">
            <v>13</v>
          </cell>
          <cell r="R5101">
            <v>45769</v>
          </cell>
          <cell r="S5101">
            <v>213002</v>
          </cell>
        </row>
        <row r="5102">
          <cell r="K5102" t="str">
            <v>213002</v>
          </cell>
          <cell r="M5102">
            <v>3</v>
          </cell>
          <cell r="R5102">
            <v>45769</v>
          </cell>
          <cell r="S5102">
            <v>213002</v>
          </cell>
        </row>
        <row r="5103">
          <cell r="K5103" t="str">
            <v>213002</v>
          </cell>
          <cell r="M5103">
            <v>4</v>
          </cell>
          <cell r="R5103">
            <v>45769</v>
          </cell>
          <cell r="S5103">
            <v>213002</v>
          </cell>
        </row>
        <row r="5104">
          <cell r="K5104" t="str">
            <v>213002</v>
          </cell>
          <cell r="M5104">
            <v>2</v>
          </cell>
          <cell r="R5104">
            <v>45769</v>
          </cell>
          <cell r="S5104">
            <v>213002</v>
          </cell>
        </row>
        <row r="5105">
          <cell r="K5105" t="str">
            <v>227001</v>
          </cell>
          <cell r="M5105">
            <v>5</v>
          </cell>
          <cell r="R5105">
            <v>45769</v>
          </cell>
          <cell r="S5105">
            <v>227001</v>
          </cell>
        </row>
        <row r="5106">
          <cell r="K5106" t="str">
            <v>213002</v>
          </cell>
          <cell r="M5106">
            <v>6</v>
          </cell>
          <cell r="R5106">
            <v>45769</v>
          </cell>
          <cell r="S5106">
            <v>213002</v>
          </cell>
        </row>
        <row r="5107">
          <cell r="K5107" t="str">
            <v>209004</v>
          </cell>
          <cell r="M5107">
            <v>1</v>
          </cell>
          <cell r="R5107">
            <v>45769</v>
          </cell>
          <cell r="S5107">
            <v>209004</v>
          </cell>
        </row>
        <row r="5108">
          <cell r="K5108" t="str">
            <v>203003</v>
          </cell>
          <cell r="M5108">
            <v>1</v>
          </cell>
          <cell r="R5108">
            <v>45769</v>
          </cell>
          <cell r="S5108">
            <v>203003</v>
          </cell>
        </row>
        <row r="5109">
          <cell r="K5109" t="str">
            <v>201011</v>
          </cell>
          <cell r="M5109">
            <v>4</v>
          </cell>
          <cell r="R5109">
            <v>45769</v>
          </cell>
          <cell r="S5109">
            <v>201011</v>
          </cell>
        </row>
        <row r="5110">
          <cell r="K5110" t="str">
            <v>213002</v>
          </cell>
          <cell r="M5110">
            <v>1</v>
          </cell>
          <cell r="R5110">
            <v>45769</v>
          </cell>
          <cell r="S5110">
            <v>213002</v>
          </cell>
        </row>
        <row r="5111">
          <cell r="K5111" t="str">
            <v>201011</v>
          </cell>
          <cell r="M5111">
            <v>2</v>
          </cell>
          <cell r="R5111">
            <v>45769</v>
          </cell>
          <cell r="S5111">
            <v>201011</v>
          </cell>
        </row>
        <row r="5112">
          <cell r="K5112" t="str">
            <v>226001</v>
          </cell>
          <cell r="M5112">
            <v>11</v>
          </cell>
          <cell r="R5112">
            <v>45769</v>
          </cell>
          <cell r="S5112">
            <v>226001</v>
          </cell>
        </row>
        <row r="5113">
          <cell r="K5113" t="str">
            <v>213002</v>
          </cell>
          <cell r="M5113">
            <v>3</v>
          </cell>
          <cell r="R5113">
            <v>45769</v>
          </cell>
          <cell r="S5113">
            <v>213002</v>
          </cell>
        </row>
        <row r="5114">
          <cell r="K5114" t="str">
            <v>201011</v>
          </cell>
          <cell r="M5114">
            <v>5</v>
          </cell>
          <cell r="R5114">
            <v>45769</v>
          </cell>
          <cell r="S5114">
            <v>201011</v>
          </cell>
        </row>
        <row r="5115">
          <cell r="K5115" t="str">
            <v>203001</v>
          </cell>
          <cell r="M5115">
            <v>1</v>
          </cell>
          <cell r="R5115">
            <v>45769</v>
          </cell>
          <cell r="S5115">
            <v>203001</v>
          </cell>
        </row>
        <row r="5116">
          <cell r="K5116" t="str">
            <v>213002</v>
          </cell>
          <cell r="M5116">
            <v>10</v>
          </cell>
          <cell r="R5116">
            <v>45769</v>
          </cell>
          <cell r="S5116">
            <v>213002</v>
          </cell>
        </row>
        <row r="5117">
          <cell r="K5117" t="str">
            <v>223002</v>
          </cell>
          <cell r="M5117">
            <v>3</v>
          </cell>
          <cell r="R5117">
            <v>45769</v>
          </cell>
          <cell r="S5117">
            <v>223002</v>
          </cell>
        </row>
        <row r="5118">
          <cell r="K5118" t="str">
            <v>229001</v>
          </cell>
          <cell r="M5118">
            <v>16</v>
          </cell>
          <cell r="R5118">
            <v>45769</v>
          </cell>
          <cell r="S5118">
            <v>229001</v>
          </cell>
        </row>
        <row r="5119">
          <cell r="K5119" t="str">
            <v>217018</v>
          </cell>
          <cell r="M5119">
            <v>1</v>
          </cell>
          <cell r="R5119">
            <v>45769</v>
          </cell>
          <cell r="S5119">
            <v>217018</v>
          </cell>
        </row>
        <row r="5120">
          <cell r="K5120" t="str">
            <v>213002</v>
          </cell>
          <cell r="M5120">
            <v>2</v>
          </cell>
          <cell r="R5120">
            <v>45769</v>
          </cell>
          <cell r="S5120">
            <v>213002</v>
          </cell>
        </row>
        <row r="5121">
          <cell r="K5121" t="str">
            <v>201022</v>
          </cell>
          <cell r="M5121">
            <v>2</v>
          </cell>
          <cell r="R5121">
            <v>45769</v>
          </cell>
          <cell r="S5121">
            <v>201022</v>
          </cell>
        </row>
        <row r="5122">
          <cell r="K5122" t="str">
            <v>223001</v>
          </cell>
          <cell r="M5122">
            <v>1</v>
          </cell>
          <cell r="R5122">
            <v>45769</v>
          </cell>
          <cell r="S5122">
            <v>223001</v>
          </cell>
        </row>
        <row r="5123">
          <cell r="K5123" t="str">
            <v>223002</v>
          </cell>
          <cell r="M5123">
            <v>1</v>
          </cell>
          <cell r="R5123">
            <v>45769</v>
          </cell>
          <cell r="S5123">
            <v>223002</v>
          </cell>
        </row>
        <row r="5124">
          <cell r="K5124" t="str">
            <v>227001</v>
          </cell>
          <cell r="M5124">
            <v>1</v>
          </cell>
          <cell r="R5124">
            <v>45769</v>
          </cell>
          <cell r="S5124">
            <v>227001</v>
          </cell>
        </row>
        <row r="5125">
          <cell r="K5125" t="str">
            <v>212035</v>
          </cell>
          <cell r="M5125">
            <v>4</v>
          </cell>
          <cell r="R5125">
            <v>45769</v>
          </cell>
          <cell r="S5125">
            <v>212035</v>
          </cell>
        </row>
        <row r="5126">
          <cell r="K5126" t="str">
            <v>212035</v>
          </cell>
          <cell r="M5126">
            <v>1</v>
          </cell>
          <cell r="R5126">
            <v>45770</v>
          </cell>
          <cell r="S5126">
            <v>212035</v>
          </cell>
        </row>
        <row r="5127">
          <cell r="K5127" t="str">
            <v>227012</v>
          </cell>
          <cell r="M5127">
            <v>2</v>
          </cell>
          <cell r="R5127">
            <v>45769</v>
          </cell>
          <cell r="S5127">
            <v>227012</v>
          </cell>
        </row>
        <row r="5128">
          <cell r="K5128" t="str">
            <v>227012</v>
          </cell>
          <cell r="M5128">
            <v>4</v>
          </cell>
          <cell r="R5128">
            <v>45769</v>
          </cell>
          <cell r="S5128">
            <v>227012</v>
          </cell>
        </row>
        <row r="5129">
          <cell r="K5129" t="str">
            <v>213002</v>
          </cell>
          <cell r="M5129">
            <v>5</v>
          </cell>
          <cell r="R5129">
            <v>45769</v>
          </cell>
          <cell r="S5129">
            <v>213002</v>
          </cell>
        </row>
        <row r="5130">
          <cell r="K5130" t="str">
            <v>201011</v>
          </cell>
          <cell r="M5130">
            <v>2</v>
          </cell>
          <cell r="R5130">
            <v>45769</v>
          </cell>
          <cell r="S5130">
            <v>201011</v>
          </cell>
        </row>
        <row r="5131">
          <cell r="K5131" t="str">
            <v>227012</v>
          </cell>
          <cell r="M5131">
            <v>1</v>
          </cell>
          <cell r="R5131">
            <v>45769</v>
          </cell>
          <cell r="S5131">
            <v>227012</v>
          </cell>
        </row>
        <row r="5132">
          <cell r="K5132" t="str">
            <v>213002</v>
          </cell>
          <cell r="M5132">
            <v>4</v>
          </cell>
          <cell r="R5132">
            <v>45770</v>
          </cell>
          <cell r="S5132">
            <v>213002</v>
          </cell>
        </row>
        <row r="5133">
          <cell r="K5133" t="str">
            <v>201011</v>
          </cell>
          <cell r="M5133">
            <v>20</v>
          </cell>
          <cell r="R5133">
            <v>45770</v>
          </cell>
          <cell r="S5133">
            <v>201011</v>
          </cell>
        </row>
        <row r="5134">
          <cell r="K5134" t="str">
            <v>213002</v>
          </cell>
          <cell r="M5134">
            <v>10</v>
          </cell>
          <cell r="R5134">
            <v>45769</v>
          </cell>
          <cell r="S5134">
            <v>213002</v>
          </cell>
        </row>
        <row r="5135">
          <cell r="K5135" t="str">
            <v>228001</v>
          </cell>
          <cell r="M5135">
            <v>5</v>
          </cell>
          <cell r="R5135">
            <v>45770</v>
          </cell>
          <cell r="S5135">
            <v>228001</v>
          </cell>
        </row>
        <row r="5136">
          <cell r="K5136" t="str">
            <v>231012</v>
          </cell>
          <cell r="M5136">
            <v>2</v>
          </cell>
          <cell r="R5136">
            <v>45770</v>
          </cell>
          <cell r="S5136">
            <v>231012</v>
          </cell>
        </row>
        <row r="5137">
          <cell r="K5137" t="str">
            <v>217018</v>
          </cell>
          <cell r="M5137">
            <v>2</v>
          </cell>
          <cell r="R5137">
            <v>45770</v>
          </cell>
          <cell r="S5137">
            <v>217018</v>
          </cell>
        </row>
        <row r="5138">
          <cell r="K5138" t="str">
            <v>201011</v>
          </cell>
          <cell r="M5138">
            <v>1</v>
          </cell>
          <cell r="R5138">
            <v>45770</v>
          </cell>
          <cell r="S5138">
            <v>201011</v>
          </cell>
        </row>
        <row r="5139">
          <cell r="K5139" t="str">
            <v>201011</v>
          </cell>
          <cell r="M5139">
            <v>2</v>
          </cell>
          <cell r="R5139">
            <v>45770</v>
          </cell>
          <cell r="S5139">
            <v>201011</v>
          </cell>
        </row>
        <row r="5140">
          <cell r="K5140" t="str">
            <v>201011</v>
          </cell>
          <cell r="M5140">
            <v>1</v>
          </cell>
          <cell r="R5140">
            <v>45770</v>
          </cell>
          <cell r="S5140">
            <v>201011</v>
          </cell>
        </row>
        <row r="5141">
          <cell r="K5141" t="str">
            <v>223001</v>
          </cell>
          <cell r="M5141">
            <v>2</v>
          </cell>
          <cell r="R5141">
            <v>45770</v>
          </cell>
          <cell r="S5141">
            <v>223001</v>
          </cell>
        </row>
        <row r="5142">
          <cell r="K5142" t="str">
            <v>203003</v>
          </cell>
          <cell r="M5142">
            <v>1</v>
          </cell>
          <cell r="R5142">
            <v>45770</v>
          </cell>
          <cell r="S5142">
            <v>203003</v>
          </cell>
        </row>
        <row r="5143">
          <cell r="K5143" t="str">
            <v>223001</v>
          </cell>
          <cell r="M5143">
            <v>3</v>
          </cell>
          <cell r="R5143">
            <v>45770</v>
          </cell>
          <cell r="S5143">
            <v>223001</v>
          </cell>
        </row>
        <row r="5144">
          <cell r="K5144" t="str">
            <v>226001</v>
          </cell>
          <cell r="M5144">
            <v>6</v>
          </cell>
          <cell r="R5144">
            <v>45770</v>
          </cell>
          <cell r="S5144">
            <v>226001</v>
          </cell>
        </row>
        <row r="5145">
          <cell r="K5145" t="str">
            <v>201005</v>
          </cell>
          <cell r="M5145">
            <v>1</v>
          </cell>
          <cell r="R5145">
            <v>45770</v>
          </cell>
          <cell r="S5145">
            <v>201005</v>
          </cell>
        </row>
        <row r="5146">
          <cell r="K5146" t="str">
            <v>203003</v>
          </cell>
          <cell r="M5146">
            <v>1</v>
          </cell>
          <cell r="R5146">
            <v>45770</v>
          </cell>
          <cell r="S5146">
            <v>203003</v>
          </cell>
        </row>
        <row r="5147">
          <cell r="K5147" t="str">
            <v>207002</v>
          </cell>
          <cell r="M5147">
            <v>1</v>
          </cell>
          <cell r="R5147">
            <v>45770</v>
          </cell>
          <cell r="S5147">
            <v>207002</v>
          </cell>
        </row>
        <row r="5148">
          <cell r="K5148" t="str">
            <v>201011</v>
          </cell>
          <cell r="M5148">
            <v>6</v>
          </cell>
          <cell r="R5148">
            <v>45770</v>
          </cell>
          <cell r="S5148">
            <v>201011</v>
          </cell>
        </row>
        <row r="5149">
          <cell r="K5149" t="str">
            <v>226004</v>
          </cell>
          <cell r="M5149">
            <v>1</v>
          </cell>
          <cell r="R5149">
            <v>45770</v>
          </cell>
          <cell r="S5149">
            <v>226004</v>
          </cell>
        </row>
        <row r="5150">
          <cell r="K5150" t="str">
            <v>217019</v>
          </cell>
          <cell r="M5150">
            <v>10</v>
          </cell>
          <cell r="R5150">
            <v>45770</v>
          </cell>
          <cell r="S5150">
            <v>217019</v>
          </cell>
        </row>
        <row r="5151">
          <cell r="K5151" t="str">
            <v>209012</v>
          </cell>
          <cell r="M5151">
            <v>1</v>
          </cell>
          <cell r="R5151">
            <v>45770</v>
          </cell>
          <cell r="S5151">
            <v>209012</v>
          </cell>
        </row>
        <row r="5152">
          <cell r="K5152" t="str">
            <v>209001</v>
          </cell>
          <cell r="M5152">
            <v>2</v>
          </cell>
          <cell r="R5152">
            <v>45770</v>
          </cell>
          <cell r="S5152">
            <v>209001</v>
          </cell>
        </row>
        <row r="5153">
          <cell r="K5153" t="str">
            <v>201011</v>
          </cell>
          <cell r="M5153">
            <v>3</v>
          </cell>
          <cell r="R5153">
            <v>45770</v>
          </cell>
          <cell r="S5153">
            <v>201011</v>
          </cell>
        </row>
        <row r="5154">
          <cell r="K5154" t="str">
            <v>217019</v>
          </cell>
          <cell r="M5154">
            <v>13</v>
          </cell>
          <cell r="R5154">
            <v>45770</v>
          </cell>
          <cell r="S5154">
            <v>217019</v>
          </cell>
        </row>
        <row r="5155">
          <cell r="K5155" t="str">
            <v>209016</v>
          </cell>
          <cell r="M5155">
            <v>8</v>
          </cell>
          <cell r="R5155">
            <v>45770</v>
          </cell>
          <cell r="S5155">
            <v>209016</v>
          </cell>
        </row>
        <row r="5156">
          <cell r="K5156" t="str">
            <v>241001</v>
          </cell>
          <cell r="M5156">
            <v>2</v>
          </cell>
          <cell r="R5156">
            <v>45770</v>
          </cell>
          <cell r="S5156">
            <v>241001</v>
          </cell>
        </row>
        <row r="5157">
          <cell r="K5157" t="str">
            <v>223001</v>
          </cell>
          <cell r="M5157">
            <v>3</v>
          </cell>
          <cell r="R5157">
            <v>45770</v>
          </cell>
          <cell r="S5157">
            <v>223001</v>
          </cell>
        </row>
        <row r="5158">
          <cell r="K5158" t="str">
            <v>223002</v>
          </cell>
          <cell r="M5158">
            <v>3</v>
          </cell>
          <cell r="R5158">
            <v>45770</v>
          </cell>
          <cell r="S5158">
            <v>223002</v>
          </cell>
        </row>
        <row r="5159">
          <cell r="K5159" t="str">
            <v>201011</v>
          </cell>
          <cell r="M5159">
            <v>2</v>
          </cell>
          <cell r="R5159">
            <v>45770</v>
          </cell>
          <cell r="S5159">
            <v>201011</v>
          </cell>
        </row>
        <row r="5160">
          <cell r="K5160" t="str">
            <v>227002</v>
          </cell>
          <cell r="M5160">
            <v>2</v>
          </cell>
          <cell r="R5160">
            <v>45771</v>
          </cell>
          <cell r="S5160">
            <v>227002</v>
          </cell>
        </row>
        <row r="5161">
          <cell r="K5161" t="str">
            <v>223001</v>
          </cell>
          <cell r="M5161">
            <v>10</v>
          </cell>
          <cell r="R5161">
            <v>45771</v>
          </cell>
          <cell r="S5161">
            <v>223001</v>
          </cell>
        </row>
        <row r="5162">
          <cell r="K5162" t="str">
            <v>223002</v>
          </cell>
          <cell r="M5162">
            <v>2</v>
          </cell>
          <cell r="R5162">
            <v>45771</v>
          </cell>
          <cell r="S5162">
            <v>223002</v>
          </cell>
        </row>
        <row r="5163">
          <cell r="K5163" t="str">
            <v>227012</v>
          </cell>
          <cell r="M5163">
            <v>1</v>
          </cell>
          <cell r="R5163">
            <v>45771</v>
          </cell>
          <cell r="S5163">
            <v>227012</v>
          </cell>
        </row>
        <row r="5164">
          <cell r="K5164" t="str">
            <v>223004</v>
          </cell>
          <cell r="M5164">
            <v>2</v>
          </cell>
          <cell r="R5164">
            <v>45771</v>
          </cell>
          <cell r="S5164">
            <v>223004</v>
          </cell>
        </row>
        <row r="5165">
          <cell r="K5165" t="str">
            <v>201023</v>
          </cell>
          <cell r="M5165">
            <v>4</v>
          </cell>
          <cell r="R5165">
            <v>45771</v>
          </cell>
          <cell r="S5165">
            <v>201023</v>
          </cell>
        </row>
        <row r="5166">
          <cell r="K5166" t="str">
            <v>207017</v>
          </cell>
          <cell r="M5166">
            <v>1</v>
          </cell>
          <cell r="R5166">
            <v>45771</v>
          </cell>
          <cell r="S5166">
            <v>207017</v>
          </cell>
        </row>
        <row r="5167">
          <cell r="K5167" t="str">
            <v>201002</v>
          </cell>
          <cell r="M5167">
            <v>1</v>
          </cell>
          <cell r="R5167">
            <v>45771</v>
          </cell>
          <cell r="S5167">
            <v>201002</v>
          </cell>
        </row>
        <row r="5168">
          <cell r="K5168" t="str">
            <v>227010</v>
          </cell>
          <cell r="M5168">
            <v>3</v>
          </cell>
          <cell r="R5168">
            <v>45771</v>
          </cell>
          <cell r="S5168">
            <v>227010</v>
          </cell>
        </row>
        <row r="5169">
          <cell r="K5169" t="str">
            <v>201011</v>
          </cell>
          <cell r="M5169">
            <v>2</v>
          </cell>
          <cell r="R5169">
            <v>45771</v>
          </cell>
          <cell r="S5169">
            <v>201011</v>
          </cell>
        </row>
        <row r="5170">
          <cell r="K5170" t="str">
            <v>213002</v>
          </cell>
          <cell r="M5170">
            <v>10</v>
          </cell>
          <cell r="R5170">
            <v>45771</v>
          </cell>
          <cell r="S5170">
            <v>213002</v>
          </cell>
        </row>
        <row r="5171">
          <cell r="K5171" t="str">
            <v>201011</v>
          </cell>
          <cell r="M5171">
            <v>1</v>
          </cell>
          <cell r="R5171">
            <v>45771</v>
          </cell>
          <cell r="S5171">
            <v>201011</v>
          </cell>
        </row>
        <row r="5172">
          <cell r="K5172" t="str">
            <v>228001</v>
          </cell>
          <cell r="M5172">
            <v>3</v>
          </cell>
          <cell r="R5172">
            <v>45771</v>
          </cell>
          <cell r="S5172">
            <v>228001</v>
          </cell>
        </row>
        <row r="5173">
          <cell r="K5173" t="str">
            <v>223001</v>
          </cell>
          <cell r="M5173">
            <v>2</v>
          </cell>
          <cell r="R5173">
            <v>45771</v>
          </cell>
          <cell r="S5173">
            <v>223001</v>
          </cell>
        </row>
        <row r="5174">
          <cell r="K5174" t="str">
            <v>226001</v>
          </cell>
          <cell r="M5174">
            <v>2</v>
          </cell>
          <cell r="R5174">
            <v>45771</v>
          </cell>
          <cell r="S5174">
            <v>226001</v>
          </cell>
        </row>
        <row r="5175">
          <cell r="K5175" t="str">
            <v>201011</v>
          </cell>
          <cell r="M5175">
            <v>1</v>
          </cell>
          <cell r="R5175">
            <v>45771</v>
          </cell>
          <cell r="S5175">
            <v>201011</v>
          </cell>
        </row>
        <row r="5176">
          <cell r="K5176" t="str">
            <v>226001</v>
          </cell>
          <cell r="M5176">
            <v>1</v>
          </cell>
          <cell r="R5176">
            <v>45771</v>
          </cell>
          <cell r="S5176">
            <v>226001</v>
          </cell>
        </row>
        <row r="5177">
          <cell r="K5177" t="str">
            <v>217002</v>
          </cell>
          <cell r="M5177">
            <v>1</v>
          </cell>
          <cell r="R5177">
            <v>45771</v>
          </cell>
          <cell r="S5177">
            <v>217002</v>
          </cell>
        </row>
        <row r="5178">
          <cell r="K5178" t="str">
            <v>227002</v>
          </cell>
          <cell r="M5178">
            <v>1</v>
          </cell>
          <cell r="R5178">
            <v>45771</v>
          </cell>
          <cell r="S5178">
            <v>227002</v>
          </cell>
        </row>
        <row r="5179">
          <cell r="K5179" t="str">
            <v>217020</v>
          </cell>
          <cell r="M5179">
            <v>1</v>
          </cell>
          <cell r="R5179">
            <v>45771</v>
          </cell>
          <cell r="S5179">
            <v>217020</v>
          </cell>
        </row>
        <row r="5180">
          <cell r="K5180" t="str">
            <v>201005</v>
          </cell>
          <cell r="M5180">
            <v>2</v>
          </cell>
          <cell r="R5180">
            <v>45771</v>
          </cell>
          <cell r="S5180">
            <v>201005</v>
          </cell>
        </row>
        <row r="5181">
          <cell r="K5181" t="str">
            <v>213002</v>
          </cell>
          <cell r="M5181">
            <v>6</v>
          </cell>
          <cell r="R5181">
            <v>45771</v>
          </cell>
          <cell r="S5181">
            <v>213002</v>
          </cell>
        </row>
        <row r="5182">
          <cell r="K5182" t="str">
            <v>209016</v>
          </cell>
          <cell r="M5182">
            <v>1</v>
          </cell>
          <cell r="R5182">
            <v>45771</v>
          </cell>
          <cell r="S5182">
            <v>209016</v>
          </cell>
        </row>
        <row r="5183">
          <cell r="K5183" t="str">
            <v>210002</v>
          </cell>
          <cell r="M5183">
            <v>1</v>
          </cell>
          <cell r="R5183">
            <v>45771</v>
          </cell>
          <cell r="S5183">
            <v>210002</v>
          </cell>
        </row>
        <row r="5184">
          <cell r="K5184" t="str">
            <v>201011</v>
          </cell>
          <cell r="M5184">
            <v>2</v>
          </cell>
          <cell r="R5184">
            <v>45771</v>
          </cell>
          <cell r="S5184">
            <v>201011</v>
          </cell>
        </row>
        <row r="5185">
          <cell r="K5185" t="str">
            <v>213002</v>
          </cell>
          <cell r="M5185">
            <v>6</v>
          </cell>
          <cell r="R5185">
            <v>45771</v>
          </cell>
          <cell r="S5185">
            <v>213002</v>
          </cell>
        </row>
        <row r="5186">
          <cell r="K5186" t="str">
            <v>228001</v>
          </cell>
          <cell r="M5186">
            <v>1</v>
          </cell>
          <cell r="R5186">
            <v>45771</v>
          </cell>
          <cell r="S5186">
            <v>228001</v>
          </cell>
        </row>
        <row r="5187">
          <cell r="K5187" t="str">
            <v>203003</v>
          </cell>
          <cell r="M5187">
            <v>1</v>
          </cell>
          <cell r="R5187">
            <v>45771</v>
          </cell>
          <cell r="S5187">
            <v>203003</v>
          </cell>
        </row>
        <row r="5188">
          <cell r="K5188" t="str">
            <v>228001</v>
          </cell>
          <cell r="M5188">
            <v>3</v>
          </cell>
          <cell r="R5188">
            <v>45771</v>
          </cell>
          <cell r="S5188">
            <v>228001</v>
          </cell>
        </row>
        <row r="5189">
          <cell r="K5189" t="str">
            <v>207017</v>
          </cell>
          <cell r="M5189">
            <v>1</v>
          </cell>
          <cell r="R5189">
            <v>45771</v>
          </cell>
          <cell r="S5189">
            <v>207017</v>
          </cell>
        </row>
        <row r="5190">
          <cell r="K5190" t="str">
            <v>212002</v>
          </cell>
          <cell r="M5190">
            <v>1</v>
          </cell>
          <cell r="R5190">
            <v>45771</v>
          </cell>
          <cell r="S5190">
            <v>212002</v>
          </cell>
        </row>
        <row r="5191">
          <cell r="K5191" t="str">
            <v>210014</v>
          </cell>
          <cell r="M5191">
            <v>1</v>
          </cell>
          <cell r="R5191">
            <v>45771</v>
          </cell>
          <cell r="S5191">
            <v>210014</v>
          </cell>
        </row>
        <row r="5192">
          <cell r="K5192" t="str">
            <v>217019</v>
          </cell>
          <cell r="M5192">
            <v>1</v>
          </cell>
          <cell r="R5192">
            <v>45771</v>
          </cell>
          <cell r="S5192">
            <v>217019</v>
          </cell>
        </row>
        <row r="5193">
          <cell r="K5193" t="str">
            <v>210013</v>
          </cell>
          <cell r="M5193">
            <v>16</v>
          </cell>
          <cell r="R5193">
            <v>45771</v>
          </cell>
          <cell r="S5193">
            <v>210013</v>
          </cell>
        </row>
        <row r="5194">
          <cell r="K5194" t="str">
            <v>210010</v>
          </cell>
          <cell r="M5194">
            <v>1</v>
          </cell>
          <cell r="R5194">
            <v>45771</v>
          </cell>
          <cell r="S5194">
            <v>210010</v>
          </cell>
        </row>
        <row r="5195">
          <cell r="K5195" t="str">
            <v>213002</v>
          </cell>
          <cell r="M5195">
            <v>1</v>
          </cell>
          <cell r="R5195">
            <v>45771</v>
          </cell>
          <cell r="S5195">
            <v>213002</v>
          </cell>
        </row>
        <row r="5196">
          <cell r="K5196" t="str">
            <v>201011</v>
          </cell>
          <cell r="M5196">
            <v>1</v>
          </cell>
          <cell r="R5196">
            <v>45771</v>
          </cell>
          <cell r="S5196">
            <v>201011</v>
          </cell>
        </row>
        <row r="5197">
          <cell r="K5197" t="str">
            <v>202001</v>
          </cell>
          <cell r="M5197">
            <v>1</v>
          </cell>
          <cell r="R5197">
            <v>45771</v>
          </cell>
          <cell r="S5197">
            <v>202001</v>
          </cell>
        </row>
        <row r="5198">
          <cell r="K5198" t="str">
            <v>226001</v>
          </cell>
          <cell r="M5198">
            <v>1</v>
          </cell>
          <cell r="R5198">
            <v>45771</v>
          </cell>
          <cell r="S5198">
            <v>226001</v>
          </cell>
        </row>
        <row r="5199">
          <cell r="K5199" t="str">
            <v>206002</v>
          </cell>
          <cell r="M5199">
            <v>1</v>
          </cell>
          <cell r="R5199">
            <v>45771</v>
          </cell>
          <cell r="S5199">
            <v>206002</v>
          </cell>
        </row>
        <row r="5200">
          <cell r="K5200" t="str">
            <v>223005</v>
          </cell>
          <cell r="M5200">
            <v>6</v>
          </cell>
          <cell r="R5200">
            <v>45771</v>
          </cell>
          <cell r="S5200">
            <v>223005</v>
          </cell>
        </row>
        <row r="5201">
          <cell r="K5201" t="str">
            <v>210003</v>
          </cell>
          <cell r="M5201">
            <v>1</v>
          </cell>
          <cell r="R5201">
            <v>45771</v>
          </cell>
          <cell r="S5201">
            <v>210003</v>
          </cell>
        </row>
        <row r="5202">
          <cell r="K5202" t="str">
            <v>217019</v>
          </cell>
          <cell r="M5202">
            <v>5</v>
          </cell>
          <cell r="R5202">
            <v>45771</v>
          </cell>
          <cell r="S5202">
            <v>217019</v>
          </cell>
        </row>
        <row r="5203">
          <cell r="K5203" t="str">
            <v>222001</v>
          </cell>
          <cell r="M5203">
            <v>2</v>
          </cell>
          <cell r="R5203">
            <v>45771</v>
          </cell>
          <cell r="S5203">
            <v>222001</v>
          </cell>
        </row>
        <row r="5204">
          <cell r="K5204" t="str">
            <v>241001</v>
          </cell>
          <cell r="M5204">
            <v>4</v>
          </cell>
          <cell r="R5204">
            <v>45771</v>
          </cell>
          <cell r="S5204">
            <v>241001</v>
          </cell>
        </row>
        <row r="5205">
          <cell r="K5205" t="str">
            <v>212019</v>
          </cell>
          <cell r="M5205">
            <v>1</v>
          </cell>
          <cell r="R5205">
            <v>45771</v>
          </cell>
          <cell r="S5205">
            <v>212019</v>
          </cell>
        </row>
        <row r="5206">
          <cell r="K5206" t="str">
            <v>217020</v>
          </cell>
          <cell r="M5206">
            <v>1</v>
          </cell>
          <cell r="R5206">
            <v>45771</v>
          </cell>
          <cell r="S5206">
            <v>217020</v>
          </cell>
        </row>
        <row r="5207">
          <cell r="K5207" t="str">
            <v>226001</v>
          </cell>
          <cell r="M5207">
            <v>1</v>
          </cell>
          <cell r="R5207">
            <v>45771</v>
          </cell>
          <cell r="S5207">
            <v>226001</v>
          </cell>
        </row>
        <row r="5208">
          <cell r="K5208" t="str">
            <v>223004</v>
          </cell>
          <cell r="M5208">
            <v>6</v>
          </cell>
          <cell r="R5208">
            <v>45771</v>
          </cell>
          <cell r="S5208">
            <v>223004</v>
          </cell>
        </row>
        <row r="5209">
          <cell r="K5209" t="str">
            <v>201011</v>
          </cell>
          <cell r="M5209">
            <v>4</v>
          </cell>
          <cell r="R5209">
            <v>45771</v>
          </cell>
          <cell r="S5209">
            <v>201011</v>
          </cell>
        </row>
        <row r="5210">
          <cell r="K5210" t="str">
            <v>217018</v>
          </cell>
          <cell r="M5210">
            <v>2</v>
          </cell>
          <cell r="R5210">
            <v>45771</v>
          </cell>
          <cell r="S5210">
            <v>217018</v>
          </cell>
        </row>
        <row r="5211">
          <cell r="K5211" t="str">
            <v>231012</v>
          </cell>
          <cell r="M5211">
            <v>1</v>
          </cell>
          <cell r="R5211">
            <v>45771</v>
          </cell>
          <cell r="S5211">
            <v>231012</v>
          </cell>
        </row>
        <row r="5212">
          <cell r="K5212" t="str">
            <v>222001</v>
          </cell>
          <cell r="M5212">
            <v>1</v>
          </cell>
          <cell r="R5212">
            <v>45771</v>
          </cell>
          <cell r="S5212">
            <v>222001</v>
          </cell>
        </row>
        <row r="5213">
          <cell r="K5213" t="str">
            <v>226025</v>
          </cell>
          <cell r="M5213">
            <v>2</v>
          </cell>
          <cell r="R5213">
            <v>45771</v>
          </cell>
          <cell r="S5213">
            <v>226025</v>
          </cell>
        </row>
        <row r="5214">
          <cell r="K5214" t="str">
            <v>222002</v>
          </cell>
          <cell r="M5214">
            <v>1</v>
          </cell>
          <cell r="R5214">
            <v>45771</v>
          </cell>
          <cell r="S5214">
            <v>222002</v>
          </cell>
        </row>
        <row r="5215">
          <cell r="K5215" t="str">
            <v>222003</v>
          </cell>
          <cell r="M5215">
            <v>1</v>
          </cell>
          <cell r="R5215">
            <v>45771</v>
          </cell>
          <cell r="S5215">
            <v>222003</v>
          </cell>
        </row>
        <row r="5216">
          <cell r="K5216" t="str">
            <v>222004</v>
          </cell>
          <cell r="M5216">
            <v>1</v>
          </cell>
          <cell r="R5216">
            <v>45771</v>
          </cell>
          <cell r="S5216">
            <v>222004</v>
          </cell>
        </row>
        <row r="5217">
          <cell r="K5217" t="str">
            <v>222001</v>
          </cell>
          <cell r="M5217">
            <v>1</v>
          </cell>
          <cell r="R5217">
            <v>45771</v>
          </cell>
          <cell r="S5217">
            <v>222001</v>
          </cell>
        </row>
        <row r="5218">
          <cell r="K5218" t="str">
            <v>213002</v>
          </cell>
          <cell r="M5218">
            <v>4</v>
          </cell>
          <cell r="R5218">
            <v>45772</v>
          </cell>
          <cell r="S5218">
            <v>213002</v>
          </cell>
        </row>
        <row r="5219">
          <cell r="K5219" t="str">
            <v>203001</v>
          </cell>
          <cell r="M5219">
            <v>2</v>
          </cell>
          <cell r="R5219">
            <v>45772</v>
          </cell>
          <cell r="S5219">
            <v>203001</v>
          </cell>
        </row>
        <row r="5220">
          <cell r="K5220" t="str">
            <v>226022</v>
          </cell>
          <cell r="M5220">
            <v>1</v>
          </cell>
          <cell r="R5220">
            <v>45772</v>
          </cell>
          <cell r="S5220">
            <v>226022</v>
          </cell>
        </row>
        <row r="5221">
          <cell r="K5221" t="str">
            <v>201011</v>
          </cell>
          <cell r="M5221">
            <v>2</v>
          </cell>
          <cell r="R5221">
            <v>45772</v>
          </cell>
          <cell r="S5221">
            <v>201011</v>
          </cell>
        </row>
        <row r="5222">
          <cell r="K5222" t="str">
            <v>203003</v>
          </cell>
          <cell r="M5222">
            <v>1</v>
          </cell>
          <cell r="R5222">
            <v>45772</v>
          </cell>
          <cell r="S5222">
            <v>203003</v>
          </cell>
        </row>
        <row r="5223">
          <cell r="K5223" t="str">
            <v>213002</v>
          </cell>
          <cell r="M5223">
            <v>4</v>
          </cell>
          <cell r="R5223">
            <v>45772</v>
          </cell>
          <cell r="S5223">
            <v>213002</v>
          </cell>
        </row>
        <row r="5224">
          <cell r="K5224" t="str">
            <v>201011</v>
          </cell>
          <cell r="M5224">
            <v>20</v>
          </cell>
          <cell r="R5224">
            <v>45772</v>
          </cell>
          <cell r="S5224">
            <v>201011</v>
          </cell>
        </row>
        <row r="5225">
          <cell r="K5225" t="str">
            <v>231012</v>
          </cell>
          <cell r="M5225">
            <v>1</v>
          </cell>
          <cell r="R5225">
            <v>45772</v>
          </cell>
          <cell r="S5225">
            <v>231012</v>
          </cell>
        </row>
        <row r="5226">
          <cell r="K5226" t="str">
            <v>217002</v>
          </cell>
          <cell r="M5226">
            <v>1</v>
          </cell>
          <cell r="R5226">
            <v>45772</v>
          </cell>
          <cell r="S5226">
            <v>217002</v>
          </cell>
        </row>
        <row r="5227">
          <cell r="K5227" t="str">
            <v>201011</v>
          </cell>
          <cell r="M5227">
            <v>4</v>
          </cell>
          <cell r="R5227">
            <v>45772</v>
          </cell>
          <cell r="S5227">
            <v>201011</v>
          </cell>
        </row>
        <row r="5228">
          <cell r="K5228" t="str">
            <v>201011</v>
          </cell>
          <cell r="M5228">
            <v>1</v>
          </cell>
          <cell r="R5228">
            <v>45772</v>
          </cell>
          <cell r="S5228">
            <v>201011</v>
          </cell>
        </row>
        <row r="5229">
          <cell r="K5229" t="str">
            <v>201011</v>
          </cell>
          <cell r="M5229">
            <v>1</v>
          </cell>
          <cell r="R5229">
            <v>45772</v>
          </cell>
          <cell r="S5229">
            <v>201011</v>
          </cell>
        </row>
        <row r="5230">
          <cell r="K5230" t="str">
            <v>201011</v>
          </cell>
          <cell r="M5230">
            <v>4</v>
          </cell>
          <cell r="R5230">
            <v>45772</v>
          </cell>
          <cell r="S5230">
            <v>201011</v>
          </cell>
        </row>
        <row r="5231">
          <cell r="K5231" t="str">
            <v>203001</v>
          </cell>
          <cell r="M5231">
            <v>1</v>
          </cell>
          <cell r="R5231">
            <v>45772</v>
          </cell>
          <cell r="S5231">
            <v>203001</v>
          </cell>
        </row>
        <row r="5232">
          <cell r="K5232" t="str">
            <v>227012</v>
          </cell>
          <cell r="M5232">
            <v>5</v>
          </cell>
          <cell r="R5232">
            <v>45772</v>
          </cell>
          <cell r="S5232">
            <v>227012</v>
          </cell>
        </row>
        <row r="5233">
          <cell r="K5233" t="str">
            <v>210013</v>
          </cell>
          <cell r="M5233">
            <v>1</v>
          </cell>
          <cell r="R5233">
            <v>45772</v>
          </cell>
          <cell r="S5233">
            <v>210013</v>
          </cell>
        </row>
        <row r="5234">
          <cell r="K5234" t="str">
            <v>220003</v>
          </cell>
          <cell r="M5234">
            <v>1</v>
          </cell>
          <cell r="R5234">
            <v>45772</v>
          </cell>
          <cell r="S5234">
            <v>220003</v>
          </cell>
        </row>
        <row r="5235">
          <cell r="K5235" t="str">
            <v>213002</v>
          </cell>
          <cell r="M5235">
            <v>3</v>
          </cell>
          <cell r="R5235">
            <v>45772</v>
          </cell>
          <cell r="S5235">
            <v>213002</v>
          </cell>
        </row>
        <row r="5236">
          <cell r="K5236" t="str">
            <v>228001</v>
          </cell>
          <cell r="M5236">
            <v>1</v>
          </cell>
          <cell r="R5236">
            <v>45772</v>
          </cell>
          <cell r="S5236">
            <v>228001</v>
          </cell>
        </row>
        <row r="5237">
          <cell r="K5237" t="str">
            <v>210013</v>
          </cell>
          <cell r="M5237">
            <v>1</v>
          </cell>
          <cell r="R5237">
            <v>45772</v>
          </cell>
          <cell r="S5237">
            <v>210013</v>
          </cell>
        </row>
        <row r="5238">
          <cell r="K5238" t="str">
            <v>222002</v>
          </cell>
          <cell r="M5238">
            <v>4</v>
          </cell>
          <cell r="R5238">
            <v>45772</v>
          </cell>
          <cell r="S5238">
            <v>222002</v>
          </cell>
        </row>
        <row r="5239">
          <cell r="K5239" t="str">
            <v>241001</v>
          </cell>
          <cell r="M5239">
            <v>6</v>
          </cell>
          <cell r="R5239">
            <v>45772</v>
          </cell>
          <cell r="S5239">
            <v>241001</v>
          </cell>
        </row>
        <row r="5240">
          <cell r="K5240" t="str">
            <v>217002</v>
          </cell>
          <cell r="M5240">
            <v>1</v>
          </cell>
          <cell r="R5240">
            <v>45772</v>
          </cell>
          <cell r="S5240">
            <v>217002</v>
          </cell>
        </row>
        <row r="5241">
          <cell r="K5241" t="str">
            <v>226025</v>
          </cell>
          <cell r="M5241">
            <v>1</v>
          </cell>
          <cell r="R5241">
            <v>45772</v>
          </cell>
          <cell r="S5241">
            <v>226025</v>
          </cell>
        </row>
        <row r="5242">
          <cell r="K5242" t="str">
            <v>220003</v>
          </cell>
          <cell r="M5242">
            <v>1</v>
          </cell>
          <cell r="R5242">
            <v>45772</v>
          </cell>
          <cell r="S5242">
            <v>220003</v>
          </cell>
        </row>
        <row r="5243">
          <cell r="K5243" t="str">
            <v>228001</v>
          </cell>
          <cell r="M5243">
            <v>1</v>
          </cell>
          <cell r="R5243">
            <v>45772</v>
          </cell>
          <cell r="S5243">
            <v>228001</v>
          </cell>
        </row>
        <row r="5244">
          <cell r="K5244" t="str">
            <v>210013</v>
          </cell>
          <cell r="M5244">
            <v>1</v>
          </cell>
          <cell r="R5244">
            <v>45772</v>
          </cell>
          <cell r="S5244">
            <v>210013</v>
          </cell>
        </row>
        <row r="5245">
          <cell r="K5245" t="str">
            <v>213002</v>
          </cell>
          <cell r="M5245">
            <v>3</v>
          </cell>
          <cell r="R5245">
            <v>45772</v>
          </cell>
          <cell r="S5245">
            <v>213002</v>
          </cell>
        </row>
        <row r="5246">
          <cell r="K5246" t="str">
            <v>201003</v>
          </cell>
          <cell r="M5246">
            <v>4</v>
          </cell>
          <cell r="R5246">
            <v>45773</v>
          </cell>
          <cell r="S5246">
            <v>201003</v>
          </cell>
        </row>
        <row r="5247">
          <cell r="K5247" t="str">
            <v>231012</v>
          </cell>
          <cell r="M5247">
            <v>1</v>
          </cell>
          <cell r="R5247">
            <v>45775</v>
          </cell>
          <cell r="S5247">
            <v>231012</v>
          </cell>
        </row>
        <row r="5248">
          <cell r="K5248" t="str">
            <v>212035</v>
          </cell>
          <cell r="M5248">
            <v>1</v>
          </cell>
          <cell r="R5248">
            <v>45775</v>
          </cell>
          <cell r="S5248">
            <v>212035</v>
          </cell>
        </row>
        <row r="5249">
          <cell r="K5249" t="str">
            <v>223001</v>
          </cell>
          <cell r="M5249">
            <v>2</v>
          </cell>
          <cell r="R5249">
            <v>45774</v>
          </cell>
          <cell r="S5249">
            <v>223001</v>
          </cell>
        </row>
        <row r="5250">
          <cell r="K5250" t="str">
            <v>223002</v>
          </cell>
          <cell r="M5250">
            <v>2</v>
          </cell>
          <cell r="R5250">
            <v>45774</v>
          </cell>
          <cell r="S5250">
            <v>223002</v>
          </cell>
        </row>
        <row r="5251">
          <cell r="K5251" t="str">
            <v>241001</v>
          </cell>
          <cell r="M5251">
            <v>2</v>
          </cell>
          <cell r="R5251">
            <v>45774</v>
          </cell>
          <cell r="S5251">
            <v>241001</v>
          </cell>
        </row>
        <row r="5252">
          <cell r="K5252" t="str">
            <v>223002</v>
          </cell>
          <cell r="M5252">
            <v>1</v>
          </cell>
          <cell r="R5252">
            <v>45774</v>
          </cell>
          <cell r="S5252">
            <v>223002</v>
          </cell>
        </row>
        <row r="5253">
          <cell r="K5253" t="str">
            <v>209001</v>
          </cell>
          <cell r="M5253">
            <v>1</v>
          </cell>
          <cell r="R5253">
            <v>45774</v>
          </cell>
          <cell r="S5253">
            <v>209001</v>
          </cell>
        </row>
        <row r="5254">
          <cell r="K5254" t="str">
            <v>231012</v>
          </cell>
          <cell r="M5254">
            <v>5</v>
          </cell>
          <cell r="R5254">
            <v>45773</v>
          </cell>
          <cell r="S5254">
            <v>231012</v>
          </cell>
        </row>
        <row r="5255">
          <cell r="K5255" t="str">
            <v>223001</v>
          </cell>
          <cell r="M5255">
            <v>10</v>
          </cell>
          <cell r="R5255">
            <v>45773</v>
          </cell>
          <cell r="S5255">
            <v>223001</v>
          </cell>
        </row>
        <row r="5256">
          <cell r="K5256" t="str">
            <v>227012</v>
          </cell>
          <cell r="M5256">
            <v>2</v>
          </cell>
          <cell r="R5256">
            <v>45773</v>
          </cell>
          <cell r="S5256">
            <v>227012</v>
          </cell>
        </row>
        <row r="5257">
          <cell r="K5257" t="str">
            <v>226001</v>
          </cell>
          <cell r="M5257">
            <v>2</v>
          </cell>
          <cell r="R5257">
            <v>45773</v>
          </cell>
          <cell r="S5257">
            <v>226001</v>
          </cell>
        </row>
        <row r="5258">
          <cell r="K5258" t="str">
            <v>214002</v>
          </cell>
          <cell r="M5258">
            <v>1</v>
          </cell>
          <cell r="R5258">
            <v>45773</v>
          </cell>
          <cell r="S5258">
            <v>214002</v>
          </cell>
        </row>
        <row r="5259">
          <cell r="K5259" t="str">
            <v>217002</v>
          </cell>
          <cell r="M5259">
            <v>1</v>
          </cell>
          <cell r="R5259">
            <v>45773</v>
          </cell>
          <cell r="S5259">
            <v>217002</v>
          </cell>
        </row>
        <row r="5260">
          <cell r="K5260" t="str">
            <v>203004</v>
          </cell>
          <cell r="M5260">
            <v>1</v>
          </cell>
          <cell r="R5260">
            <v>45773</v>
          </cell>
          <cell r="S5260">
            <v>203004</v>
          </cell>
        </row>
        <row r="5261">
          <cell r="K5261" t="str">
            <v>208001</v>
          </cell>
          <cell r="M5261">
            <v>1</v>
          </cell>
          <cell r="R5261">
            <v>45773</v>
          </cell>
          <cell r="S5261">
            <v>208001</v>
          </cell>
        </row>
        <row r="5262">
          <cell r="K5262" t="str">
            <v>210013</v>
          </cell>
          <cell r="M5262">
            <v>3</v>
          </cell>
          <cell r="R5262">
            <v>45775</v>
          </cell>
          <cell r="S5262">
            <v>210013</v>
          </cell>
        </row>
        <row r="5263">
          <cell r="K5263" t="str">
            <v>229001</v>
          </cell>
          <cell r="M5263">
            <v>2</v>
          </cell>
          <cell r="R5263">
            <v>45775</v>
          </cell>
          <cell r="S5263">
            <v>229001</v>
          </cell>
        </row>
        <row r="5264">
          <cell r="K5264" t="str">
            <v>203001</v>
          </cell>
          <cell r="M5264">
            <v>4</v>
          </cell>
          <cell r="R5264">
            <v>45775</v>
          </cell>
          <cell r="S5264">
            <v>203001</v>
          </cell>
        </row>
        <row r="5265">
          <cell r="K5265" t="str">
            <v>210003</v>
          </cell>
          <cell r="M5265">
            <v>1</v>
          </cell>
          <cell r="R5265">
            <v>45775</v>
          </cell>
          <cell r="S5265">
            <v>210003</v>
          </cell>
        </row>
        <row r="5266">
          <cell r="K5266" t="str">
            <v>228001</v>
          </cell>
          <cell r="M5266">
            <v>4</v>
          </cell>
          <cell r="R5266">
            <v>45775</v>
          </cell>
          <cell r="S5266">
            <v>228001</v>
          </cell>
        </row>
        <row r="5267">
          <cell r="K5267" t="str">
            <v>217018</v>
          </cell>
          <cell r="M5267">
            <v>2</v>
          </cell>
          <cell r="R5267">
            <v>45775</v>
          </cell>
          <cell r="S5267">
            <v>217018</v>
          </cell>
        </row>
        <row r="5268">
          <cell r="K5268" t="str">
            <v>217018</v>
          </cell>
          <cell r="M5268">
            <v>1</v>
          </cell>
          <cell r="R5268">
            <v>45775</v>
          </cell>
          <cell r="S5268">
            <v>217018</v>
          </cell>
        </row>
        <row r="5269">
          <cell r="K5269" t="str">
            <v>213002</v>
          </cell>
          <cell r="M5269">
            <v>1</v>
          </cell>
          <cell r="R5269">
            <v>45775</v>
          </cell>
          <cell r="S5269">
            <v>213002</v>
          </cell>
        </row>
        <row r="5270">
          <cell r="K5270" t="str">
            <v>241001</v>
          </cell>
          <cell r="M5270">
            <v>3</v>
          </cell>
          <cell r="R5270">
            <v>45775</v>
          </cell>
          <cell r="S5270">
            <v>241001</v>
          </cell>
        </row>
        <row r="5271">
          <cell r="K5271" t="str">
            <v>228001</v>
          </cell>
          <cell r="M5271">
            <v>15</v>
          </cell>
          <cell r="R5271">
            <v>45775</v>
          </cell>
          <cell r="S5271">
            <v>228001</v>
          </cell>
        </row>
        <row r="5272">
          <cell r="K5272" t="str">
            <v>231012</v>
          </cell>
          <cell r="M5272">
            <v>2</v>
          </cell>
          <cell r="R5272">
            <v>45775</v>
          </cell>
          <cell r="S5272">
            <v>231012</v>
          </cell>
        </row>
        <row r="5273">
          <cell r="K5273" t="str">
            <v>228001</v>
          </cell>
          <cell r="M5273">
            <v>14</v>
          </cell>
          <cell r="R5273">
            <v>45775</v>
          </cell>
          <cell r="S5273">
            <v>228001</v>
          </cell>
        </row>
        <row r="5274">
          <cell r="K5274" t="str">
            <v>217019</v>
          </cell>
          <cell r="M5274">
            <v>24</v>
          </cell>
          <cell r="R5274">
            <v>45775</v>
          </cell>
          <cell r="S5274">
            <v>217019</v>
          </cell>
        </row>
        <row r="5275">
          <cell r="K5275" t="str">
            <v>209016</v>
          </cell>
          <cell r="M5275">
            <v>4</v>
          </cell>
          <cell r="R5275">
            <v>45775</v>
          </cell>
          <cell r="S5275">
            <v>209016</v>
          </cell>
        </row>
        <row r="5276">
          <cell r="K5276" t="str">
            <v>228001</v>
          </cell>
          <cell r="M5276">
            <v>1</v>
          </cell>
          <cell r="R5276">
            <v>45775</v>
          </cell>
          <cell r="S5276">
            <v>228001</v>
          </cell>
        </row>
        <row r="5277">
          <cell r="K5277" t="str">
            <v>212002</v>
          </cell>
          <cell r="M5277">
            <v>1</v>
          </cell>
          <cell r="R5277">
            <v>45775</v>
          </cell>
          <cell r="S5277">
            <v>212002</v>
          </cell>
        </row>
        <row r="5278">
          <cell r="K5278" t="str">
            <v>207017</v>
          </cell>
          <cell r="M5278">
            <v>1</v>
          </cell>
          <cell r="R5278">
            <v>45775</v>
          </cell>
          <cell r="S5278">
            <v>207017</v>
          </cell>
        </row>
        <row r="5279">
          <cell r="K5279" t="str">
            <v>201003</v>
          </cell>
          <cell r="M5279">
            <v>1</v>
          </cell>
          <cell r="R5279">
            <v>45775</v>
          </cell>
          <cell r="S5279">
            <v>201003</v>
          </cell>
        </row>
        <row r="5280">
          <cell r="K5280" t="str">
            <v>201003</v>
          </cell>
          <cell r="M5280">
            <v>1</v>
          </cell>
          <cell r="R5280">
            <v>45775</v>
          </cell>
          <cell r="S5280">
            <v>201003</v>
          </cell>
        </row>
        <row r="5281">
          <cell r="K5281" t="str">
            <v>203001</v>
          </cell>
          <cell r="M5281">
            <v>1</v>
          </cell>
          <cell r="R5281">
            <v>45775</v>
          </cell>
          <cell r="S5281">
            <v>203001</v>
          </cell>
        </row>
        <row r="5282">
          <cell r="K5282" t="str">
            <v>207017</v>
          </cell>
          <cell r="M5282">
            <v>1</v>
          </cell>
          <cell r="R5282">
            <v>45775</v>
          </cell>
          <cell r="S5282">
            <v>207017</v>
          </cell>
        </row>
        <row r="5283">
          <cell r="K5283" t="str">
            <v>212002</v>
          </cell>
          <cell r="M5283">
            <v>1</v>
          </cell>
          <cell r="R5283">
            <v>45775</v>
          </cell>
          <cell r="S5283">
            <v>212002</v>
          </cell>
        </row>
        <row r="5284">
          <cell r="K5284" t="str">
            <v>228001</v>
          </cell>
          <cell r="M5284">
            <v>4</v>
          </cell>
          <cell r="R5284">
            <v>45775</v>
          </cell>
          <cell r="S5284">
            <v>228001</v>
          </cell>
        </row>
        <row r="5285">
          <cell r="K5285" t="str">
            <v>228001</v>
          </cell>
          <cell r="M5285">
            <v>4</v>
          </cell>
          <cell r="R5285">
            <v>45775</v>
          </cell>
          <cell r="S5285">
            <v>228001</v>
          </cell>
        </row>
        <row r="5286">
          <cell r="K5286" t="str">
            <v>210013</v>
          </cell>
          <cell r="M5286">
            <v>1</v>
          </cell>
          <cell r="R5286">
            <v>45775</v>
          </cell>
          <cell r="S5286">
            <v>210013</v>
          </cell>
        </row>
        <row r="5287">
          <cell r="K5287" t="str">
            <v>217019</v>
          </cell>
          <cell r="M5287">
            <v>1</v>
          </cell>
          <cell r="R5287">
            <v>45775</v>
          </cell>
          <cell r="S5287">
            <v>217019</v>
          </cell>
        </row>
        <row r="5288">
          <cell r="K5288" t="str">
            <v>206002</v>
          </cell>
          <cell r="M5288">
            <v>1</v>
          </cell>
          <cell r="R5288">
            <v>45775</v>
          </cell>
          <cell r="S5288">
            <v>206002</v>
          </cell>
        </row>
        <row r="5289">
          <cell r="K5289" t="str">
            <v>208001</v>
          </cell>
          <cell r="M5289">
            <v>1</v>
          </cell>
          <cell r="R5289">
            <v>45775</v>
          </cell>
          <cell r="S5289">
            <v>208001</v>
          </cell>
        </row>
        <row r="5290">
          <cell r="K5290" t="str">
            <v>206005</v>
          </cell>
          <cell r="M5290">
            <v>1</v>
          </cell>
          <cell r="R5290">
            <v>45775</v>
          </cell>
          <cell r="S5290">
            <v>206005</v>
          </cell>
        </row>
        <row r="5291">
          <cell r="K5291" t="str">
            <v>206002</v>
          </cell>
          <cell r="M5291">
            <v>1</v>
          </cell>
          <cell r="R5291">
            <v>45775</v>
          </cell>
          <cell r="S5291">
            <v>206002</v>
          </cell>
        </row>
        <row r="5292">
          <cell r="K5292" t="str">
            <v>241001</v>
          </cell>
          <cell r="M5292">
            <v>1</v>
          </cell>
          <cell r="R5292">
            <v>45775</v>
          </cell>
          <cell r="S5292">
            <v>241001</v>
          </cell>
        </row>
        <row r="5293">
          <cell r="K5293" t="str">
            <v>212019</v>
          </cell>
          <cell r="M5293">
            <v>1</v>
          </cell>
          <cell r="R5293">
            <v>45775</v>
          </cell>
          <cell r="S5293">
            <v>212019</v>
          </cell>
        </row>
        <row r="5294">
          <cell r="K5294" t="str">
            <v>231012</v>
          </cell>
          <cell r="M5294">
            <v>1</v>
          </cell>
          <cell r="R5294">
            <v>45775</v>
          </cell>
          <cell r="S5294">
            <v>231012</v>
          </cell>
        </row>
        <row r="5295">
          <cell r="K5295" t="str">
            <v>213002</v>
          </cell>
          <cell r="M5295">
            <v>13</v>
          </cell>
          <cell r="R5295">
            <v>45775</v>
          </cell>
          <cell r="S5295">
            <v>213002</v>
          </cell>
        </row>
        <row r="5296">
          <cell r="K5296" t="str">
            <v>209004</v>
          </cell>
          <cell r="M5296">
            <v>2</v>
          </cell>
          <cell r="R5296">
            <v>45775</v>
          </cell>
          <cell r="S5296">
            <v>209004</v>
          </cell>
        </row>
        <row r="5297">
          <cell r="K5297" t="str">
            <v>212035</v>
          </cell>
          <cell r="M5297">
            <v>1</v>
          </cell>
          <cell r="R5297">
            <v>45775</v>
          </cell>
          <cell r="S5297">
            <v>212035</v>
          </cell>
        </row>
        <row r="5298">
          <cell r="K5298" t="str">
            <v>213002</v>
          </cell>
          <cell r="M5298">
            <v>6</v>
          </cell>
          <cell r="R5298">
            <v>45775</v>
          </cell>
          <cell r="S5298">
            <v>213002</v>
          </cell>
        </row>
        <row r="5299">
          <cell r="K5299" t="str">
            <v>203001</v>
          </cell>
          <cell r="M5299">
            <v>4</v>
          </cell>
          <cell r="R5299">
            <v>45775</v>
          </cell>
          <cell r="S5299">
            <v>203001</v>
          </cell>
        </row>
        <row r="5300">
          <cell r="K5300" t="str">
            <v>203003</v>
          </cell>
          <cell r="M5300">
            <v>1</v>
          </cell>
          <cell r="R5300">
            <v>45775</v>
          </cell>
          <cell r="S5300">
            <v>203003</v>
          </cell>
        </row>
        <row r="5301">
          <cell r="K5301" t="str">
            <v>241002</v>
          </cell>
          <cell r="M5301">
            <v>21</v>
          </cell>
          <cell r="R5301">
            <v>45775</v>
          </cell>
          <cell r="S5301">
            <v>241002</v>
          </cell>
        </row>
        <row r="5302">
          <cell r="K5302" t="str">
            <v>210013</v>
          </cell>
          <cell r="M5302">
            <v>10</v>
          </cell>
          <cell r="R5302">
            <v>45775</v>
          </cell>
          <cell r="S5302">
            <v>210013</v>
          </cell>
        </row>
        <row r="5303">
          <cell r="K5303" t="str">
            <v>210014</v>
          </cell>
          <cell r="M5303">
            <v>4</v>
          </cell>
          <cell r="R5303">
            <v>45775</v>
          </cell>
          <cell r="S5303">
            <v>210014</v>
          </cell>
        </row>
        <row r="5304">
          <cell r="K5304" t="str">
            <v>231012</v>
          </cell>
          <cell r="M5304">
            <v>1</v>
          </cell>
          <cell r="R5304">
            <v>45775</v>
          </cell>
          <cell r="S5304">
            <v>231012</v>
          </cell>
        </row>
        <row r="5305">
          <cell r="K5305" t="str">
            <v>227012</v>
          </cell>
          <cell r="M5305">
            <v>3</v>
          </cell>
          <cell r="R5305">
            <v>45775</v>
          </cell>
          <cell r="S5305">
            <v>227012</v>
          </cell>
        </row>
        <row r="5306">
          <cell r="K5306" t="str">
            <v>223001</v>
          </cell>
          <cell r="M5306">
            <v>14</v>
          </cell>
          <cell r="R5306">
            <v>45775</v>
          </cell>
          <cell r="S5306">
            <v>223001</v>
          </cell>
        </row>
        <row r="5307">
          <cell r="K5307" t="str">
            <v>226025</v>
          </cell>
          <cell r="M5307">
            <v>2</v>
          </cell>
          <cell r="R5307">
            <v>45775</v>
          </cell>
          <cell r="S5307">
            <v>226025</v>
          </cell>
        </row>
        <row r="5308">
          <cell r="K5308" t="str">
            <v>201011</v>
          </cell>
          <cell r="M5308">
            <v>5</v>
          </cell>
          <cell r="R5308">
            <v>45775</v>
          </cell>
          <cell r="S5308">
            <v>201011</v>
          </cell>
        </row>
        <row r="5309">
          <cell r="K5309" t="str">
            <v>217018</v>
          </cell>
          <cell r="M5309">
            <v>1</v>
          </cell>
          <cell r="R5309">
            <v>45775</v>
          </cell>
          <cell r="S5309">
            <v>217018</v>
          </cell>
        </row>
        <row r="5310">
          <cell r="K5310" t="str">
            <v>201011</v>
          </cell>
          <cell r="M5310">
            <v>1</v>
          </cell>
          <cell r="R5310">
            <v>45775</v>
          </cell>
          <cell r="S5310">
            <v>201011</v>
          </cell>
        </row>
        <row r="5311">
          <cell r="K5311" t="str">
            <v>223001</v>
          </cell>
          <cell r="M5311">
            <v>2</v>
          </cell>
          <cell r="R5311">
            <v>45775</v>
          </cell>
          <cell r="S5311">
            <v>223001</v>
          </cell>
        </row>
        <row r="5312">
          <cell r="K5312" t="str">
            <v>212035</v>
          </cell>
          <cell r="M5312">
            <v>2</v>
          </cell>
          <cell r="R5312">
            <v>45775</v>
          </cell>
          <cell r="S5312">
            <v>212035</v>
          </cell>
        </row>
        <row r="5313">
          <cell r="K5313" t="str">
            <v>203003</v>
          </cell>
          <cell r="M5313">
            <v>3</v>
          </cell>
          <cell r="R5313">
            <v>45775</v>
          </cell>
          <cell r="S5313">
            <v>203003</v>
          </cell>
        </row>
        <row r="5314">
          <cell r="K5314" t="str">
            <v>241001</v>
          </cell>
          <cell r="M5314">
            <v>1</v>
          </cell>
          <cell r="R5314">
            <v>45775</v>
          </cell>
          <cell r="S5314">
            <v>241001</v>
          </cell>
        </row>
        <row r="5315">
          <cell r="K5315" t="str">
            <v>223017</v>
          </cell>
          <cell r="M5315">
            <v>8</v>
          </cell>
          <cell r="R5315">
            <v>45775</v>
          </cell>
          <cell r="S5315">
            <v>223017</v>
          </cell>
        </row>
        <row r="5316">
          <cell r="K5316" t="str">
            <v>223005</v>
          </cell>
          <cell r="M5316">
            <v>1</v>
          </cell>
          <cell r="R5316">
            <v>45775</v>
          </cell>
          <cell r="S5316">
            <v>223005</v>
          </cell>
        </row>
        <row r="5317">
          <cell r="K5317" t="str">
            <v>217020</v>
          </cell>
          <cell r="M5317">
            <v>1</v>
          </cell>
          <cell r="R5317">
            <v>45775</v>
          </cell>
          <cell r="S5317">
            <v>217020</v>
          </cell>
        </row>
        <row r="5318">
          <cell r="K5318" t="str">
            <v>228001</v>
          </cell>
          <cell r="M5318">
            <v>1</v>
          </cell>
          <cell r="R5318">
            <v>45775</v>
          </cell>
          <cell r="S5318">
            <v>228001</v>
          </cell>
        </row>
        <row r="5319">
          <cell r="K5319" t="str">
            <v>201011</v>
          </cell>
          <cell r="M5319">
            <v>3</v>
          </cell>
          <cell r="R5319">
            <v>45775</v>
          </cell>
          <cell r="S5319">
            <v>201011</v>
          </cell>
        </row>
        <row r="5320">
          <cell r="K5320" t="str">
            <v>213002</v>
          </cell>
          <cell r="M5320">
            <v>20</v>
          </cell>
          <cell r="R5320">
            <v>45775</v>
          </cell>
          <cell r="S5320">
            <v>213002</v>
          </cell>
        </row>
        <row r="5321">
          <cell r="K5321" t="str">
            <v>213002</v>
          </cell>
          <cell r="M5321">
            <v>8</v>
          </cell>
          <cell r="R5321">
            <v>45775</v>
          </cell>
          <cell r="S5321">
            <v>213002</v>
          </cell>
        </row>
        <row r="5322">
          <cell r="K5322" t="str">
            <v>222001</v>
          </cell>
          <cell r="M5322">
            <v>3</v>
          </cell>
          <cell r="R5322">
            <v>45775</v>
          </cell>
          <cell r="S5322">
            <v>222001</v>
          </cell>
        </row>
        <row r="5323">
          <cell r="K5323" t="str">
            <v>241001</v>
          </cell>
          <cell r="M5323">
            <v>4</v>
          </cell>
          <cell r="R5323">
            <v>45775</v>
          </cell>
          <cell r="S5323">
            <v>241001</v>
          </cell>
        </row>
        <row r="5324">
          <cell r="K5324" t="str">
            <v>212019</v>
          </cell>
          <cell r="M5324">
            <v>1</v>
          </cell>
          <cell r="R5324">
            <v>45775</v>
          </cell>
          <cell r="S5324">
            <v>212019</v>
          </cell>
        </row>
        <row r="5325">
          <cell r="K5325" t="str">
            <v>201011</v>
          </cell>
          <cell r="M5325">
            <v>1</v>
          </cell>
          <cell r="R5325">
            <v>45776</v>
          </cell>
          <cell r="S5325">
            <v>201011</v>
          </cell>
        </row>
        <row r="5326">
          <cell r="K5326" t="str">
            <v>213002</v>
          </cell>
          <cell r="M5326">
            <v>4</v>
          </cell>
          <cell r="R5326">
            <v>45775</v>
          </cell>
          <cell r="S5326">
            <v>213002</v>
          </cell>
        </row>
        <row r="5327">
          <cell r="K5327" t="str">
            <v>231012</v>
          </cell>
          <cell r="M5327">
            <v>2</v>
          </cell>
          <cell r="R5327">
            <v>45775</v>
          </cell>
          <cell r="S5327">
            <v>231012</v>
          </cell>
        </row>
        <row r="5328">
          <cell r="K5328" t="str">
            <v>213002</v>
          </cell>
          <cell r="M5328">
            <v>12</v>
          </cell>
          <cell r="R5328">
            <v>45775</v>
          </cell>
          <cell r="S5328">
            <v>213002</v>
          </cell>
        </row>
        <row r="5329">
          <cell r="K5329" t="str">
            <v>222001</v>
          </cell>
          <cell r="M5329">
            <v>1</v>
          </cell>
          <cell r="R5329">
            <v>45775</v>
          </cell>
          <cell r="S5329">
            <v>222001</v>
          </cell>
        </row>
        <row r="5330">
          <cell r="K5330" t="str">
            <v>222005</v>
          </cell>
          <cell r="M5330">
            <v>1</v>
          </cell>
          <cell r="R5330">
            <v>45775</v>
          </cell>
          <cell r="S5330">
            <v>222005</v>
          </cell>
        </row>
        <row r="5331">
          <cell r="K5331" t="str">
            <v>222003</v>
          </cell>
          <cell r="M5331">
            <v>1</v>
          </cell>
          <cell r="R5331">
            <v>45775</v>
          </cell>
          <cell r="S5331">
            <v>222003</v>
          </cell>
        </row>
        <row r="5332">
          <cell r="K5332" t="str">
            <v>222004</v>
          </cell>
          <cell r="M5332">
            <v>1</v>
          </cell>
          <cell r="R5332">
            <v>45775</v>
          </cell>
          <cell r="S5332">
            <v>222004</v>
          </cell>
        </row>
        <row r="5333">
          <cell r="K5333" t="str">
            <v>229001</v>
          </cell>
          <cell r="M5333">
            <v>12</v>
          </cell>
          <cell r="R5333">
            <v>45776</v>
          </cell>
          <cell r="S5333">
            <v>229001</v>
          </cell>
        </row>
        <row r="5334">
          <cell r="K5334" t="str">
            <v>227001</v>
          </cell>
          <cell r="M5334">
            <v>2</v>
          </cell>
          <cell r="R5334">
            <v>45776</v>
          </cell>
          <cell r="S5334">
            <v>227001</v>
          </cell>
        </row>
        <row r="5335">
          <cell r="K5335" t="str">
            <v>228001</v>
          </cell>
          <cell r="M5335">
            <v>5</v>
          </cell>
          <cell r="R5335">
            <v>45776</v>
          </cell>
          <cell r="S5335">
            <v>228001</v>
          </cell>
        </row>
        <row r="5336">
          <cell r="K5336" t="str">
            <v>217018</v>
          </cell>
          <cell r="M5336">
            <v>1</v>
          </cell>
          <cell r="R5336">
            <v>45775</v>
          </cell>
          <cell r="S5336">
            <v>217018</v>
          </cell>
        </row>
        <row r="5337">
          <cell r="K5337" t="str">
            <v>213002</v>
          </cell>
          <cell r="M5337">
            <v>6</v>
          </cell>
          <cell r="R5337">
            <v>45776</v>
          </cell>
          <cell r="S5337">
            <v>213002</v>
          </cell>
        </row>
        <row r="5338">
          <cell r="K5338" t="str">
            <v>207017</v>
          </cell>
          <cell r="M5338">
            <v>1</v>
          </cell>
          <cell r="R5338">
            <v>45776</v>
          </cell>
          <cell r="S5338">
            <v>207017</v>
          </cell>
        </row>
        <row r="5339">
          <cell r="K5339" t="str">
            <v>201011</v>
          </cell>
          <cell r="M5339">
            <v>3</v>
          </cell>
          <cell r="R5339">
            <v>45776</v>
          </cell>
          <cell r="S5339">
            <v>201011</v>
          </cell>
        </row>
        <row r="5340">
          <cell r="K5340" t="str">
            <v>240005</v>
          </cell>
          <cell r="M5340">
            <v>1</v>
          </cell>
          <cell r="R5340">
            <v>45776</v>
          </cell>
          <cell r="S5340">
            <v>240005</v>
          </cell>
        </row>
        <row r="5341">
          <cell r="K5341" t="str">
            <v>223001</v>
          </cell>
          <cell r="M5341">
            <v>2</v>
          </cell>
          <cell r="R5341">
            <v>45776</v>
          </cell>
          <cell r="S5341">
            <v>223001</v>
          </cell>
        </row>
        <row r="5342">
          <cell r="K5342" t="str">
            <v>223002</v>
          </cell>
          <cell r="M5342">
            <v>1</v>
          </cell>
          <cell r="R5342">
            <v>45776</v>
          </cell>
          <cell r="S5342">
            <v>223002</v>
          </cell>
        </row>
        <row r="5343">
          <cell r="K5343" t="str">
            <v>223001</v>
          </cell>
          <cell r="M5343">
            <v>2</v>
          </cell>
          <cell r="R5343">
            <v>45776</v>
          </cell>
          <cell r="S5343">
            <v>223001</v>
          </cell>
        </row>
        <row r="5344">
          <cell r="K5344" t="str">
            <v>213002</v>
          </cell>
          <cell r="M5344">
            <v>1</v>
          </cell>
          <cell r="R5344">
            <v>45776</v>
          </cell>
          <cell r="S5344">
            <v>213002</v>
          </cell>
        </row>
        <row r="5345">
          <cell r="K5345" t="str">
            <v>210014</v>
          </cell>
          <cell r="M5345">
            <v>7</v>
          </cell>
          <cell r="R5345">
            <v>45776</v>
          </cell>
          <cell r="S5345">
            <v>210014</v>
          </cell>
        </row>
        <row r="5346">
          <cell r="K5346" t="str">
            <v>212035</v>
          </cell>
          <cell r="M5346">
            <v>4</v>
          </cell>
          <cell r="R5346">
            <v>45776</v>
          </cell>
          <cell r="S5346">
            <v>212035</v>
          </cell>
        </row>
        <row r="5347">
          <cell r="K5347" t="str">
            <v>201011</v>
          </cell>
          <cell r="M5347">
            <v>2</v>
          </cell>
          <cell r="R5347">
            <v>45776</v>
          </cell>
          <cell r="S5347">
            <v>201011</v>
          </cell>
        </row>
        <row r="5348">
          <cell r="K5348" t="str">
            <v>222001</v>
          </cell>
          <cell r="M5348">
            <v>1</v>
          </cell>
          <cell r="R5348">
            <v>45776</v>
          </cell>
          <cell r="S5348">
            <v>222001</v>
          </cell>
        </row>
        <row r="5349">
          <cell r="K5349" t="str">
            <v>213002</v>
          </cell>
          <cell r="M5349">
            <v>1</v>
          </cell>
          <cell r="R5349">
            <v>45776</v>
          </cell>
          <cell r="S5349">
            <v>213002</v>
          </cell>
        </row>
        <row r="5350">
          <cell r="K5350" t="str">
            <v>217002</v>
          </cell>
          <cell r="M5350">
            <v>12</v>
          </cell>
          <cell r="R5350">
            <v>45776</v>
          </cell>
          <cell r="S5350">
            <v>217002</v>
          </cell>
        </row>
        <row r="5351">
          <cell r="K5351" t="str">
            <v>213002</v>
          </cell>
          <cell r="M5351">
            <v>30</v>
          </cell>
          <cell r="R5351">
            <v>45776</v>
          </cell>
          <cell r="S5351">
            <v>213002</v>
          </cell>
        </row>
        <row r="5352">
          <cell r="K5352" t="str">
            <v>226001</v>
          </cell>
          <cell r="M5352">
            <v>1</v>
          </cell>
          <cell r="R5352">
            <v>45776</v>
          </cell>
          <cell r="S5352">
            <v>226001</v>
          </cell>
        </row>
        <row r="5353">
          <cell r="K5353" t="str">
            <v>227002</v>
          </cell>
          <cell r="M5353">
            <v>1</v>
          </cell>
          <cell r="R5353">
            <v>45776</v>
          </cell>
          <cell r="S5353">
            <v>227002</v>
          </cell>
        </row>
        <row r="5354">
          <cell r="K5354" t="str">
            <v>228001</v>
          </cell>
          <cell r="M5354">
            <v>3</v>
          </cell>
          <cell r="R5354">
            <v>45776</v>
          </cell>
          <cell r="S5354">
            <v>228001</v>
          </cell>
        </row>
        <row r="5355">
          <cell r="K5355" t="str">
            <v>231008</v>
          </cell>
          <cell r="M5355">
            <v>1</v>
          </cell>
          <cell r="R5355">
            <v>45776</v>
          </cell>
          <cell r="S5355">
            <v>231008</v>
          </cell>
        </row>
        <row r="5356">
          <cell r="K5356" t="str">
            <v>217002</v>
          </cell>
          <cell r="M5356">
            <v>1</v>
          </cell>
          <cell r="R5356">
            <v>45776</v>
          </cell>
          <cell r="S5356">
            <v>217002</v>
          </cell>
        </row>
        <row r="5357">
          <cell r="K5357" t="str">
            <v>207017</v>
          </cell>
          <cell r="M5357">
            <v>1</v>
          </cell>
          <cell r="R5357">
            <v>45776</v>
          </cell>
          <cell r="S5357">
            <v>207017</v>
          </cell>
        </row>
        <row r="5358">
          <cell r="K5358" t="str">
            <v>212002</v>
          </cell>
          <cell r="M5358">
            <v>1</v>
          </cell>
          <cell r="R5358">
            <v>45776</v>
          </cell>
          <cell r="S5358">
            <v>212002</v>
          </cell>
        </row>
        <row r="5359">
          <cell r="K5359" t="str">
            <v>209004</v>
          </cell>
          <cell r="M5359">
            <v>1</v>
          </cell>
          <cell r="R5359">
            <v>45776</v>
          </cell>
          <cell r="S5359">
            <v>209004</v>
          </cell>
        </row>
        <row r="5360">
          <cell r="K5360" t="str">
            <v>203001</v>
          </cell>
          <cell r="M5360">
            <v>1</v>
          </cell>
          <cell r="R5360">
            <v>45776</v>
          </cell>
          <cell r="S5360">
            <v>203001</v>
          </cell>
        </row>
        <row r="5361">
          <cell r="K5361" t="str">
            <v>201011</v>
          </cell>
          <cell r="M5361">
            <v>2</v>
          </cell>
          <cell r="R5361">
            <v>45776</v>
          </cell>
          <cell r="S5361">
            <v>201011</v>
          </cell>
        </row>
        <row r="5362">
          <cell r="K5362" t="str">
            <v>223001</v>
          </cell>
          <cell r="M5362">
            <v>1</v>
          </cell>
          <cell r="R5362">
            <v>45776</v>
          </cell>
          <cell r="S5362">
            <v>223001</v>
          </cell>
        </row>
        <row r="5363">
          <cell r="K5363" t="str">
            <v>223002</v>
          </cell>
          <cell r="M5363">
            <v>1</v>
          </cell>
          <cell r="R5363">
            <v>45776</v>
          </cell>
          <cell r="S5363">
            <v>223002</v>
          </cell>
        </row>
        <row r="5364">
          <cell r="K5364" t="str">
            <v>229004</v>
          </cell>
          <cell r="M5364">
            <v>4</v>
          </cell>
          <cell r="R5364">
            <v>45776</v>
          </cell>
          <cell r="S5364">
            <v>229004</v>
          </cell>
        </row>
        <row r="5365">
          <cell r="K5365" t="str">
            <v>217002</v>
          </cell>
          <cell r="M5365">
            <v>17</v>
          </cell>
          <cell r="R5365">
            <v>45776</v>
          </cell>
          <cell r="S5365">
            <v>217002</v>
          </cell>
        </row>
        <row r="5366">
          <cell r="K5366" t="str">
            <v>227012</v>
          </cell>
          <cell r="M5366">
            <v>4</v>
          </cell>
          <cell r="R5366">
            <v>45776</v>
          </cell>
          <cell r="S5366">
            <v>227012</v>
          </cell>
        </row>
        <row r="5367">
          <cell r="K5367" t="str">
            <v>227012</v>
          </cell>
          <cell r="M5367">
            <v>1</v>
          </cell>
          <cell r="R5367">
            <v>45776</v>
          </cell>
          <cell r="S5367">
            <v>227012</v>
          </cell>
        </row>
        <row r="5368">
          <cell r="K5368" t="str">
            <v>213002</v>
          </cell>
          <cell r="M5368">
            <v>4</v>
          </cell>
          <cell r="R5368">
            <v>45777</v>
          </cell>
          <cell r="S5368">
            <v>213002</v>
          </cell>
        </row>
        <row r="5369">
          <cell r="K5369" t="str">
            <v>241001</v>
          </cell>
          <cell r="M5369">
            <v>3</v>
          </cell>
          <cell r="R5369">
            <v>45776</v>
          </cell>
          <cell r="S5369">
            <v>241001</v>
          </cell>
        </row>
        <row r="5370">
          <cell r="K5370" t="str">
            <v>201011</v>
          </cell>
          <cell r="M5370">
            <v>5</v>
          </cell>
          <cell r="R5370">
            <v>45777</v>
          </cell>
          <cell r="S5370">
            <v>201011</v>
          </cell>
        </row>
        <row r="5371">
          <cell r="K5371" t="str">
            <v>201011</v>
          </cell>
          <cell r="M5371">
            <v>3</v>
          </cell>
          <cell r="R5371">
            <v>45776</v>
          </cell>
          <cell r="S5371">
            <v>201011</v>
          </cell>
        </row>
        <row r="5372">
          <cell r="K5372" t="str">
            <v>241001</v>
          </cell>
          <cell r="M5372">
            <v>4</v>
          </cell>
          <cell r="R5372">
            <v>45776</v>
          </cell>
          <cell r="S5372">
            <v>241001</v>
          </cell>
        </row>
        <row r="5373">
          <cell r="K5373" t="str">
            <v>203003</v>
          </cell>
          <cell r="M5373">
            <v>1</v>
          </cell>
          <cell r="R5373">
            <v>45776</v>
          </cell>
          <cell r="S5373">
            <v>203003</v>
          </cell>
        </row>
        <row r="5374">
          <cell r="K5374" t="str">
            <v>210013</v>
          </cell>
          <cell r="M5374">
            <v>1</v>
          </cell>
          <cell r="R5374">
            <v>45776</v>
          </cell>
          <cell r="S5374">
            <v>210013</v>
          </cell>
        </row>
        <row r="5375">
          <cell r="K5375" t="str">
            <v>213002</v>
          </cell>
          <cell r="M5375">
            <v>1</v>
          </cell>
          <cell r="R5375">
            <v>45776</v>
          </cell>
          <cell r="S5375">
            <v>213002</v>
          </cell>
        </row>
        <row r="5376">
          <cell r="K5376" t="str">
            <v>222001</v>
          </cell>
          <cell r="M5376">
            <v>1</v>
          </cell>
          <cell r="R5376">
            <v>45776</v>
          </cell>
          <cell r="S5376">
            <v>222001</v>
          </cell>
        </row>
        <row r="5377">
          <cell r="K5377" t="str">
            <v>201011</v>
          </cell>
          <cell r="M5377">
            <v>36</v>
          </cell>
          <cell r="R5377">
            <v>45777</v>
          </cell>
          <cell r="S5377">
            <v>201011</v>
          </cell>
        </row>
        <row r="5378">
          <cell r="K5378" t="str">
            <v>227012</v>
          </cell>
          <cell r="M5378">
            <v>2</v>
          </cell>
          <cell r="R5378">
            <v>45776</v>
          </cell>
          <cell r="S5378">
            <v>227012</v>
          </cell>
        </row>
        <row r="5379">
          <cell r="K5379" t="str">
            <v>217018</v>
          </cell>
          <cell r="M5379">
            <v>1</v>
          </cell>
          <cell r="R5379">
            <v>45777</v>
          </cell>
          <cell r="S5379">
            <v>217018</v>
          </cell>
        </row>
        <row r="5380">
          <cell r="K5380" t="str">
            <v>213002</v>
          </cell>
          <cell r="M5380">
            <v>1</v>
          </cell>
          <cell r="R5380">
            <v>45777</v>
          </cell>
          <cell r="S5380">
            <v>213002</v>
          </cell>
        </row>
        <row r="5381">
          <cell r="K5381" t="str">
            <v>217018</v>
          </cell>
          <cell r="M5381">
            <v>1</v>
          </cell>
          <cell r="R5381">
            <v>45777</v>
          </cell>
          <cell r="S5381">
            <v>217018</v>
          </cell>
        </row>
        <row r="5382">
          <cell r="K5382" t="str">
            <v>213002</v>
          </cell>
          <cell r="M5382">
            <v>1</v>
          </cell>
          <cell r="R5382">
            <v>45777</v>
          </cell>
          <cell r="S5382">
            <v>213002</v>
          </cell>
        </row>
        <row r="5383">
          <cell r="K5383" t="str">
            <v>228001</v>
          </cell>
          <cell r="M5383">
            <v>3</v>
          </cell>
          <cell r="R5383">
            <v>45777</v>
          </cell>
          <cell r="S5383">
            <v>228001</v>
          </cell>
        </row>
        <row r="5384">
          <cell r="K5384" t="str">
            <v>229001</v>
          </cell>
          <cell r="M5384">
            <v>1</v>
          </cell>
          <cell r="R5384">
            <v>45777</v>
          </cell>
          <cell r="S5384">
            <v>229001</v>
          </cell>
        </row>
        <row r="5385">
          <cell r="K5385" t="str">
            <v>231012</v>
          </cell>
          <cell r="M5385">
            <v>1</v>
          </cell>
          <cell r="R5385">
            <v>45777</v>
          </cell>
          <cell r="S5385">
            <v>231012</v>
          </cell>
        </row>
        <row r="5386">
          <cell r="K5386" t="str">
            <v>227001</v>
          </cell>
          <cell r="M5386">
            <v>1</v>
          </cell>
          <cell r="R5386">
            <v>45777</v>
          </cell>
          <cell r="S5386">
            <v>227001</v>
          </cell>
        </row>
        <row r="5387">
          <cell r="K5387" t="str">
            <v>223002</v>
          </cell>
          <cell r="M5387">
            <v>1</v>
          </cell>
          <cell r="R5387">
            <v>45777</v>
          </cell>
          <cell r="S5387">
            <v>223002</v>
          </cell>
        </row>
        <row r="5388">
          <cell r="K5388" t="str">
            <v>201011</v>
          </cell>
          <cell r="M5388">
            <v>8</v>
          </cell>
          <cell r="R5388">
            <v>45777</v>
          </cell>
          <cell r="S5388">
            <v>201011</v>
          </cell>
        </row>
        <row r="5389">
          <cell r="K5389" t="str">
            <v>226001</v>
          </cell>
          <cell r="M5389">
            <v>4</v>
          </cell>
          <cell r="R5389">
            <v>45777</v>
          </cell>
          <cell r="S5389">
            <v>226001</v>
          </cell>
        </row>
        <row r="5390">
          <cell r="K5390" t="str">
            <v>201003</v>
          </cell>
          <cell r="M5390">
            <v>2</v>
          </cell>
          <cell r="R5390">
            <v>45777</v>
          </cell>
          <cell r="S5390">
            <v>201003</v>
          </cell>
        </row>
        <row r="5391">
          <cell r="K5391" t="str">
            <v>201011</v>
          </cell>
          <cell r="M5391">
            <v>1</v>
          </cell>
          <cell r="R5391">
            <v>45777</v>
          </cell>
          <cell r="S5391">
            <v>201011</v>
          </cell>
        </row>
        <row r="5392">
          <cell r="K5392" t="str">
            <v>201022</v>
          </cell>
          <cell r="M5392">
            <v>2</v>
          </cell>
          <cell r="R5392">
            <v>45777</v>
          </cell>
          <cell r="S5392">
            <v>201022</v>
          </cell>
        </row>
        <row r="5393">
          <cell r="K5393" t="str">
            <v>241001</v>
          </cell>
          <cell r="M5393">
            <v>1</v>
          </cell>
          <cell r="R5393">
            <v>45777</v>
          </cell>
          <cell r="S5393">
            <v>241001</v>
          </cell>
        </row>
        <row r="5394">
          <cell r="K5394" t="str">
            <v>223002</v>
          </cell>
          <cell r="M5394">
            <v>1</v>
          </cell>
          <cell r="R5394">
            <v>45777</v>
          </cell>
          <cell r="S5394">
            <v>223002</v>
          </cell>
        </row>
        <row r="5395">
          <cell r="K5395" t="str">
            <v>223001</v>
          </cell>
          <cell r="M5395">
            <v>2</v>
          </cell>
          <cell r="R5395">
            <v>45777</v>
          </cell>
          <cell r="S5395">
            <v>223001</v>
          </cell>
        </row>
        <row r="5396">
          <cell r="K5396" t="str">
            <v>207017</v>
          </cell>
          <cell r="M5396">
            <v>1</v>
          </cell>
          <cell r="R5396">
            <v>45777</v>
          </cell>
          <cell r="S5396">
            <v>207017</v>
          </cell>
        </row>
        <row r="5397">
          <cell r="K5397" t="str">
            <v>226001</v>
          </cell>
          <cell r="M5397">
            <v>1</v>
          </cell>
          <cell r="R5397">
            <v>45777</v>
          </cell>
          <cell r="S5397">
            <v>226001</v>
          </cell>
        </row>
        <row r="5398">
          <cell r="K5398" t="str">
            <v>231012</v>
          </cell>
          <cell r="M5398">
            <v>1</v>
          </cell>
          <cell r="R5398">
            <v>45777</v>
          </cell>
          <cell r="S5398">
            <v>231012</v>
          </cell>
        </row>
        <row r="5399">
          <cell r="K5399" t="str">
            <v>271002</v>
          </cell>
          <cell r="M5399">
            <v>1</v>
          </cell>
          <cell r="R5399">
            <v>45777</v>
          </cell>
          <cell r="S5399">
            <v>271002</v>
          </cell>
        </row>
        <row r="5400">
          <cell r="K5400" t="str">
            <v>209016</v>
          </cell>
          <cell r="M5400">
            <v>1</v>
          </cell>
          <cell r="R5400">
            <v>45777</v>
          </cell>
          <cell r="S5400">
            <v>209016</v>
          </cell>
        </row>
        <row r="5401">
          <cell r="K5401" t="str">
            <v>227002</v>
          </cell>
          <cell r="M5401">
            <v>1</v>
          </cell>
          <cell r="R5401">
            <v>45777</v>
          </cell>
          <cell r="S5401">
            <v>227002</v>
          </cell>
        </row>
        <row r="5402">
          <cell r="K5402" t="str">
            <v>223002</v>
          </cell>
          <cell r="M5402">
            <v>10</v>
          </cell>
          <cell r="R5402">
            <v>45777</v>
          </cell>
          <cell r="S5402">
            <v>223002</v>
          </cell>
        </row>
        <row r="5403">
          <cell r="K5403" t="str">
            <v>201011</v>
          </cell>
          <cell r="M5403">
            <v>6</v>
          </cell>
          <cell r="R5403">
            <v>45777</v>
          </cell>
          <cell r="S5403">
            <v>201011</v>
          </cell>
        </row>
        <row r="5404">
          <cell r="K5404" t="str">
            <v>226003</v>
          </cell>
          <cell r="M5404">
            <v>1</v>
          </cell>
          <cell r="R5404">
            <v>45777</v>
          </cell>
          <cell r="S5404">
            <v>226003</v>
          </cell>
        </row>
        <row r="5405">
          <cell r="K5405" t="str">
            <v>231012</v>
          </cell>
          <cell r="M5405">
            <v>1</v>
          </cell>
          <cell r="R5405">
            <v>45777</v>
          </cell>
          <cell r="S5405">
            <v>231012</v>
          </cell>
        </row>
        <row r="5406">
          <cell r="K5406" t="str">
            <v>217018</v>
          </cell>
          <cell r="M5406">
            <v>1</v>
          </cell>
          <cell r="R5406">
            <v>45777</v>
          </cell>
          <cell r="S5406">
            <v>217018</v>
          </cell>
        </row>
        <row r="5407">
          <cell r="K5407" t="str">
            <v>223001</v>
          </cell>
          <cell r="M5407">
            <v>4</v>
          </cell>
          <cell r="R5407">
            <v>45777</v>
          </cell>
          <cell r="S5407">
            <v>223001</v>
          </cell>
        </row>
        <row r="5408">
          <cell r="K5408" t="str">
            <v>223005</v>
          </cell>
          <cell r="M5408">
            <v>1</v>
          </cell>
          <cell r="R5408">
            <v>45777</v>
          </cell>
          <cell r="S5408">
            <v>223005</v>
          </cell>
        </row>
        <row r="5409">
          <cell r="K5409" t="str">
            <v>228001</v>
          </cell>
          <cell r="M5409">
            <v>1</v>
          </cell>
          <cell r="R5409">
            <v>45777</v>
          </cell>
          <cell r="S5409">
            <v>228001</v>
          </cell>
        </row>
        <row r="5410">
          <cell r="K5410" t="str">
            <v>226001</v>
          </cell>
          <cell r="M5410">
            <v>3</v>
          </cell>
          <cell r="R5410">
            <v>45777</v>
          </cell>
          <cell r="S5410">
            <v>226001</v>
          </cell>
        </row>
        <row r="5411">
          <cell r="K5411" t="str">
            <v>226001</v>
          </cell>
          <cell r="M5411">
            <v>1</v>
          </cell>
          <cell r="R5411">
            <v>45779</v>
          </cell>
          <cell r="S5411">
            <v>226001</v>
          </cell>
        </row>
        <row r="5412">
          <cell r="K5412" t="str">
            <v>226001</v>
          </cell>
          <cell r="M5412">
            <v>1</v>
          </cell>
          <cell r="R5412">
            <v>45779</v>
          </cell>
          <cell r="S5412">
            <v>226001</v>
          </cell>
        </row>
        <row r="5413">
          <cell r="K5413" t="str">
            <v>217002</v>
          </cell>
          <cell r="M5413">
            <v>1</v>
          </cell>
          <cell r="R5413">
            <v>45779</v>
          </cell>
          <cell r="S5413">
            <v>217002</v>
          </cell>
        </row>
        <row r="5414">
          <cell r="K5414" t="str">
            <v>217020</v>
          </cell>
          <cell r="M5414">
            <v>1</v>
          </cell>
          <cell r="R5414">
            <v>45779</v>
          </cell>
          <cell r="S5414">
            <v>217020</v>
          </cell>
        </row>
        <row r="5415">
          <cell r="K5415" t="str">
            <v>223001</v>
          </cell>
          <cell r="M5415">
            <v>3</v>
          </cell>
          <cell r="R5415">
            <v>45779</v>
          </cell>
          <cell r="S5415">
            <v>223001</v>
          </cell>
        </row>
        <row r="5416">
          <cell r="K5416" t="str">
            <v>228001</v>
          </cell>
          <cell r="M5416">
            <v>1</v>
          </cell>
          <cell r="R5416">
            <v>45779</v>
          </cell>
          <cell r="S5416">
            <v>228001</v>
          </cell>
        </row>
        <row r="5417">
          <cell r="K5417" t="str">
            <v>227002</v>
          </cell>
          <cell r="M5417">
            <v>1</v>
          </cell>
          <cell r="R5417">
            <v>45779</v>
          </cell>
          <cell r="S5417">
            <v>227002</v>
          </cell>
        </row>
        <row r="5418">
          <cell r="K5418" t="str">
            <v>223001</v>
          </cell>
          <cell r="M5418">
            <v>2</v>
          </cell>
          <cell r="R5418">
            <v>45779</v>
          </cell>
          <cell r="S5418">
            <v>223001</v>
          </cell>
        </row>
        <row r="5419">
          <cell r="K5419" t="str">
            <v>223001</v>
          </cell>
          <cell r="M5419">
            <v>3</v>
          </cell>
          <cell r="R5419">
            <v>45778</v>
          </cell>
          <cell r="S5419">
            <v>223001</v>
          </cell>
        </row>
        <row r="5420">
          <cell r="K5420" t="str">
            <v>223002</v>
          </cell>
          <cell r="M5420">
            <v>3</v>
          </cell>
          <cell r="R5420">
            <v>45778</v>
          </cell>
          <cell r="S5420">
            <v>223002</v>
          </cell>
        </row>
        <row r="5421">
          <cell r="K5421" t="str">
            <v>226003</v>
          </cell>
          <cell r="M5421">
            <v>1</v>
          </cell>
          <cell r="R5421">
            <v>45779</v>
          </cell>
          <cell r="S5421">
            <v>226003</v>
          </cell>
        </row>
        <row r="5422">
          <cell r="K5422" t="str">
            <v>217020</v>
          </cell>
          <cell r="M5422">
            <v>1</v>
          </cell>
          <cell r="R5422">
            <v>45779</v>
          </cell>
          <cell r="S5422">
            <v>217020</v>
          </cell>
        </row>
        <row r="5423">
          <cell r="K5423" t="str">
            <v>228001</v>
          </cell>
          <cell r="M5423">
            <v>1</v>
          </cell>
          <cell r="R5423">
            <v>45779</v>
          </cell>
          <cell r="S5423">
            <v>228001</v>
          </cell>
        </row>
        <row r="5424">
          <cell r="K5424" t="str">
            <v>231012</v>
          </cell>
          <cell r="M5424">
            <v>2</v>
          </cell>
          <cell r="R5424">
            <v>45779</v>
          </cell>
          <cell r="S5424">
            <v>231012</v>
          </cell>
        </row>
        <row r="5425">
          <cell r="K5425" t="str">
            <v>223001</v>
          </cell>
          <cell r="M5425">
            <v>3</v>
          </cell>
          <cell r="R5425">
            <v>45778</v>
          </cell>
          <cell r="S5425">
            <v>223001</v>
          </cell>
        </row>
        <row r="5426">
          <cell r="K5426" t="str">
            <v>201022</v>
          </cell>
          <cell r="M5426">
            <v>1</v>
          </cell>
          <cell r="R5426">
            <v>45778</v>
          </cell>
          <cell r="S5426">
            <v>201022</v>
          </cell>
        </row>
        <row r="5427">
          <cell r="K5427" t="str">
            <v>201011</v>
          </cell>
          <cell r="M5427">
            <v>1</v>
          </cell>
          <cell r="R5427">
            <v>45778</v>
          </cell>
          <cell r="S5427">
            <v>201011</v>
          </cell>
        </row>
        <row r="5428">
          <cell r="K5428" t="str">
            <v>227002</v>
          </cell>
          <cell r="M5428">
            <v>1</v>
          </cell>
          <cell r="R5428">
            <v>45778</v>
          </cell>
          <cell r="S5428">
            <v>227002</v>
          </cell>
        </row>
        <row r="5429">
          <cell r="K5429" t="str">
            <v>209001</v>
          </cell>
          <cell r="M5429">
            <v>1</v>
          </cell>
          <cell r="R5429">
            <v>45778</v>
          </cell>
          <cell r="S5429">
            <v>209001</v>
          </cell>
        </row>
        <row r="5430">
          <cell r="K5430" t="str">
            <v>213002</v>
          </cell>
          <cell r="M5430">
            <v>10</v>
          </cell>
          <cell r="R5430">
            <v>45779</v>
          </cell>
          <cell r="S5430">
            <v>213002</v>
          </cell>
        </row>
        <row r="5431">
          <cell r="K5431" t="str">
            <v>209001</v>
          </cell>
          <cell r="M5431">
            <v>1</v>
          </cell>
          <cell r="R5431">
            <v>45779</v>
          </cell>
          <cell r="S5431">
            <v>209001</v>
          </cell>
        </row>
        <row r="5432">
          <cell r="K5432" t="str">
            <v>201011</v>
          </cell>
          <cell r="M5432">
            <v>4</v>
          </cell>
          <cell r="R5432">
            <v>45779</v>
          </cell>
          <cell r="S5432">
            <v>201011</v>
          </cell>
        </row>
        <row r="5433">
          <cell r="K5433" t="str">
            <v>228001</v>
          </cell>
          <cell r="M5433">
            <v>2</v>
          </cell>
          <cell r="R5433">
            <v>45779</v>
          </cell>
          <cell r="S5433">
            <v>228001</v>
          </cell>
        </row>
        <row r="5434">
          <cell r="K5434" t="str">
            <v>231012</v>
          </cell>
          <cell r="M5434">
            <v>14</v>
          </cell>
          <cell r="R5434">
            <v>45779</v>
          </cell>
          <cell r="S5434">
            <v>231012</v>
          </cell>
        </row>
        <row r="5435">
          <cell r="K5435" t="str">
            <v>228001</v>
          </cell>
          <cell r="M5435">
            <v>5</v>
          </cell>
          <cell r="R5435">
            <v>45779</v>
          </cell>
          <cell r="S5435">
            <v>228001</v>
          </cell>
        </row>
        <row r="5436">
          <cell r="K5436" t="str">
            <v>205004</v>
          </cell>
          <cell r="M5436">
            <v>1</v>
          </cell>
          <cell r="R5436">
            <v>45779</v>
          </cell>
          <cell r="S5436">
            <v>205004</v>
          </cell>
        </row>
        <row r="5437">
          <cell r="K5437" t="str">
            <v>213002</v>
          </cell>
          <cell r="M5437">
            <v>2</v>
          </cell>
          <cell r="R5437">
            <v>45779</v>
          </cell>
          <cell r="S5437">
            <v>213002</v>
          </cell>
        </row>
        <row r="5438">
          <cell r="K5438" t="str">
            <v>234001</v>
          </cell>
          <cell r="M5438">
            <v>1</v>
          </cell>
          <cell r="R5438">
            <v>45779</v>
          </cell>
          <cell r="S5438">
            <v>234001</v>
          </cell>
        </row>
        <row r="5439">
          <cell r="K5439" t="str">
            <v>210013</v>
          </cell>
          <cell r="M5439">
            <v>1</v>
          </cell>
          <cell r="R5439">
            <v>45779</v>
          </cell>
          <cell r="S5439">
            <v>210013</v>
          </cell>
        </row>
        <row r="5440">
          <cell r="K5440" t="str">
            <v>231004</v>
          </cell>
          <cell r="M5440">
            <v>1</v>
          </cell>
          <cell r="R5440">
            <v>45779</v>
          </cell>
          <cell r="S5440">
            <v>231004</v>
          </cell>
        </row>
        <row r="5441">
          <cell r="K5441" t="str">
            <v>226001</v>
          </cell>
          <cell r="M5441">
            <v>1</v>
          </cell>
          <cell r="R5441">
            <v>45779</v>
          </cell>
          <cell r="S5441">
            <v>226001</v>
          </cell>
        </row>
        <row r="5442">
          <cell r="K5442" t="str">
            <v>228001</v>
          </cell>
          <cell r="M5442">
            <v>15</v>
          </cell>
          <cell r="R5442">
            <v>45779</v>
          </cell>
          <cell r="S5442">
            <v>228001</v>
          </cell>
        </row>
        <row r="5443">
          <cell r="K5443" t="str">
            <v>213002</v>
          </cell>
          <cell r="M5443">
            <v>15</v>
          </cell>
          <cell r="R5443">
            <v>45779</v>
          </cell>
          <cell r="S5443">
            <v>213002</v>
          </cell>
        </row>
        <row r="5444">
          <cell r="K5444" t="str">
            <v>201011</v>
          </cell>
          <cell r="M5444">
            <v>1</v>
          </cell>
          <cell r="R5444">
            <v>45779</v>
          </cell>
          <cell r="S5444">
            <v>201011</v>
          </cell>
        </row>
        <row r="5445">
          <cell r="K5445" t="str">
            <v>213002</v>
          </cell>
          <cell r="M5445">
            <v>10</v>
          </cell>
          <cell r="R5445">
            <v>45779</v>
          </cell>
          <cell r="S5445">
            <v>213002</v>
          </cell>
        </row>
        <row r="5446">
          <cell r="K5446" t="str">
            <v>226001</v>
          </cell>
          <cell r="M5446">
            <v>4</v>
          </cell>
          <cell r="R5446">
            <v>45779</v>
          </cell>
          <cell r="S5446">
            <v>226001</v>
          </cell>
        </row>
        <row r="5447">
          <cell r="K5447" t="str">
            <v>226001</v>
          </cell>
          <cell r="M5447">
            <v>2</v>
          </cell>
          <cell r="R5447">
            <v>45779</v>
          </cell>
          <cell r="S5447">
            <v>226001</v>
          </cell>
        </row>
        <row r="5448">
          <cell r="K5448" t="str">
            <v>201011</v>
          </cell>
          <cell r="M5448">
            <v>15</v>
          </cell>
          <cell r="R5448">
            <v>45779</v>
          </cell>
          <cell r="S5448">
            <v>201011</v>
          </cell>
        </row>
        <row r="5449">
          <cell r="K5449" t="str">
            <v>201011</v>
          </cell>
          <cell r="M5449">
            <v>2</v>
          </cell>
          <cell r="R5449">
            <v>45779</v>
          </cell>
          <cell r="S5449">
            <v>201011</v>
          </cell>
        </row>
        <row r="5450">
          <cell r="K5450" t="str">
            <v>226001</v>
          </cell>
          <cell r="M5450">
            <v>1</v>
          </cell>
          <cell r="R5450">
            <v>45779</v>
          </cell>
          <cell r="S5450">
            <v>226001</v>
          </cell>
        </row>
        <row r="5451">
          <cell r="K5451" t="str">
            <v>201023</v>
          </cell>
          <cell r="M5451">
            <v>1</v>
          </cell>
          <cell r="R5451">
            <v>45779</v>
          </cell>
          <cell r="S5451">
            <v>201023</v>
          </cell>
        </row>
        <row r="5452">
          <cell r="K5452" t="str">
            <v>201011</v>
          </cell>
          <cell r="M5452">
            <v>15</v>
          </cell>
          <cell r="R5452">
            <v>45779</v>
          </cell>
          <cell r="S5452">
            <v>201011</v>
          </cell>
        </row>
        <row r="5453">
          <cell r="K5453" t="str">
            <v>210014</v>
          </cell>
          <cell r="M5453">
            <v>1</v>
          </cell>
          <cell r="R5453">
            <v>45779</v>
          </cell>
          <cell r="S5453">
            <v>210014</v>
          </cell>
        </row>
        <row r="5454">
          <cell r="K5454" t="str">
            <v>213002</v>
          </cell>
          <cell r="M5454">
            <v>5</v>
          </cell>
          <cell r="R5454">
            <v>45779</v>
          </cell>
          <cell r="S5454">
            <v>213002</v>
          </cell>
        </row>
        <row r="5455">
          <cell r="K5455" t="str">
            <v>213002</v>
          </cell>
          <cell r="M5455">
            <v>4</v>
          </cell>
          <cell r="R5455">
            <v>45779</v>
          </cell>
          <cell r="S5455">
            <v>213002</v>
          </cell>
        </row>
        <row r="5456">
          <cell r="K5456" t="str">
            <v>201011</v>
          </cell>
          <cell r="M5456">
            <v>4</v>
          </cell>
          <cell r="R5456">
            <v>45779</v>
          </cell>
          <cell r="S5456">
            <v>201011</v>
          </cell>
        </row>
        <row r="5457">
          <cell r="K5457" t="str">
            <v>210002</v>
          </cell>
          <cell r="M5457">
            <v>1</v>
          </cell>
          <cell r="R5457">
            <v>45779</v>
          </cell>
          <cell r="S5457">
            <v>210002</v>
          </cell>
        </row>
        <row r="5458">
          <cell r="K5458" t="str">
            <v>209004</v>
          </cell>
          <cell r="M5458">
            <v>1</v>
          </cell>
          <cell r="R5458">
            <v>45779</v>
          </cell>
          <cell r="S5458">
            <v>209004</v>
          </cell>
        </row>
        <row r="5459">
          <cell r="K5459" t="str">
            <v>226001</v>
          </cell>
          <cell r="M5459">
            <v>3</v>
          </cell>
          <cell r="R5459">
            <v>45779</v>
          </cell>
          <cell r="S5459">
            <v>226001</v>
          </cell>
        </row>
        <row r="5460">
          <cell r="K5460" t="str">
            <v>203003</v>
          </cell>
          <cell r="M5460">
            <v>4</v>
          </cell>
          <cell r="R5460">
            <v>45779</v>
          </cell>
          <cell r="S5460">
            <v>203003</v>
          </cell>
        </row>
        <row r="5461">
          <cell r="K5461" t="str">
            <v>217019</v>
          </cell>
          <cell r="M5461">
            <v>10</v>
          </cell>
          <cell r="R5461">
            <v>45780</v>
          </cell>
          <cell r="S5461">
            <v>217019</v>
          </cell>
        </row>
        <row r="5462">
          <cell r="K5462" t="str">
            <v>228001</v>
          </cell>
          <cell r="M5462">
            <v>1</v>
          </cell>
          <cell r="R5462">
            <v>45780</v>
          </cell>
          <cell r="S5462">
            <v>228001</v>
          </cell>
        </row>
        <row r="5463">
          <cell r="K5463" t="str">
            <v>217018</v>
          </cell>
          <cell r="M5463">
            <v>2</v>
          </cell>
          <cell r="R5463">
            <v>45781</v>
          </cell>
          <cell r="S5463">
            <v>217018</v>
          </cell>
        </row>
        <row r="5464">
          <cell r="K5464" t="str">
            <v>201002</v>
          </cell>
          <cell r="M5464">
            <v>5</v>
          </cell>
          <cell r="R5464">
            <v>45782</v>
          </cell>
          <cell r="S5464">
            <v>201002</v>
          </cell>
        </row>
        <row r="5465">
          <cell r="K5465" t="str">
            <v>231012</v>
          </cell>
          <cell r="M5465">
            <v>4</v>
          </cell>
          <cell r="R5465">
            <v>45782</v>
          </cell>
          <cell r="S5465">
            <v>231012</v>
          </cell>
        </row>
        <row r="5466">
          <cell r="K5466" t="str">
            <v>201011</v>
          </cell>
          <cell r="M5466">
            <v>1</v>
          </cell>
          <cell r="R5466">
            <v>45782</v>
          </cell>
          <cell r="S5466">
            <v>201011</v>
          </cell>
        </row>
        <row r="5467">
          <cell r="K5467" t="str">
            <v>223001</v>
          </cell>
          <cell r="M5467">
            <v>15</v>
          </cell>
          <cell r="R5467">
            <v>45782</v>
          </cell>
          <cell r="S5467">
            <v>223001</v>
          </cell>
        </row>
        <row r="5468">
          <cell r="K5468" t="str">
            <v>227012</v>
          </cell>
          <cell r="M5468">
            <v>2</v>
          </cell>
          <cell r="R5468">
            <v>45782</v>
          </cell>
          <cell r="S5468">
            <v>227012</v>
          </cell>
        </row>
        <row r="5469">
          <cell r="K5469" t="str">
            <v>223002</v>
          </cell>
          <cell r="M5469">
            <v>3</v>
          </cell>
          <cell r="R5469">
            <v>45782</v>
          </cell>
          <cell r="S5469">
            <v>223002</v>
          </cell>
        </row>
        <row r="5470">
          <cell r="K5470" t="str">
            <v>201011</v>
          </cell>
          <cell r="M5470">
            <v>5</v>
          </cell>
          <cell r="R5470">
            <v>45781</v>
          </cell>
          <cell r="S5470">
            <v>201011</v>
          </cell>
        </row>
        <row r="5471">
          <cell r="K5471" t="str">
            <v>241001</v>
          </cell>
          <cell r="M5471">
            <v>8</v>
          </cell>
          <cell r="R5471">
            <v>45781</v>
          </cell>
          <cell r="S5471">
            <v>241001</v>
          </cell>
        </row>
        <row r="5472">
          <cell r="K5472" t="str">
            <v>222001</v>
          </cell>
          <cell r="M5472">
            <v>1</v>
          </cell>
          <cell r="R5472">
            <v>45781</v>
          </cell>
          <cell r="S5472">
            <v>222001</v>
          </cell>
        </row>
        <row r="5473">
          <cell r="K5473" t="str">
            <v>201011</v>
          </cell>
          <cell r="M5473">
            <v>4</v>
          </cell>
          <cell r="R5473">
            <v>45781</v>
          </cell>
          <cell r="S5473">
            <v>201011</v>
          </cell>
        </row>
        <row r="5474">
          <cell r="K5474" t="str">
            <v>241001</v>
          </cell>
          <cell r="M5474">
            <v>3</v>
          </cell>
          <cell r="R5474">
            <v>45781</v>
          </cell>
          <cell r="S5474">
            <v>241001</v>
          </cell>
        </row>
        <row r="5475">
          <cell r="K5475" t="str">
            <v>217011</v>
          </cell>
          <cell r="M5475">
            <v>1</v>
          </cell>
          <cell r="R5475">
            <v>45782</v>
          </cell>
          <cell r="S5475">
            <v>217011</v>
          </cell>
        </row>
        <row r="5476">
          <cell r="K5476" t="str">
            <v>201011</v>
          </cell>
          <cell r="M5476">
            <v>5</v>
          </cell>
          <cell r="R5476">
            <v>45780</v>
          </cell>
          <cell r="S5476">
            <v>201011</v>
          </cell>
        </row>
        <row r="5477">
          <cell r="K5477" t="str">
            <v>201011</v>
          </cell>
          <cell r="M5477">
            <v>2</v>
          </cell>
          <cell r="R5477">
            <v>45780</v>
          </cell>
          <cell r="S5477">
            <v>201011</v>
          </cell>
        </row>
        <row r="5478">
          <cell r="K5478" t="str">
            <v>206002</v>
          </cell>
          <cell r="M5478">
            <v>1</v>
          </cell>
          <cell r="R5478">
            <v>45782</v>
          </cell>
          <cell r="S5478">
            <v>206002</v>
          </cell>
        </row>
        <row r="5479">
          <cell r="K5479" t="str">
            <v>217002</v>
          </cell>
          <cell r="M5479">
            <v>16</v>
          </cell>
          <cell r="R5479">
            <v>45782</v>
          </cell>
          <cell r="S5479">
            <v>217002</v>
          </cell>
        </row>
        <row r="5480">
          <cell r="K5480" t="str">
            <v>228017</v>
          </cell>
          <cell r="M5480">
            <v>2</v>
          </cell>
          <cell r="R5480">
            <v>45782</v>
          </cell>
          <cell r="S5480">
            <v>228017</v>
          </cell>
        </row>
        <row r="5481">
          <cell r="K5481" t="str">
            <v>201002</v>
          </cell>
          <cell r="M5481">
            <v>1</v>
          </cell>
          <cell r="R5481">
            <v>45782</v>
          </cell>
          <cell r="S5481">
            <v>201002</v>
          </cell>
        </row>
        <row r="5482">
          <cell r="K5482" t="str">
            <v>223001</v>
          </cell>
          <cell r="M5482">
            <v>2</v>
          </cell>
          <cell r="R5482">
            <v>45782</v>
          </cell>
          <cell r="S5482">
            <v>223001</v>
          </cell>
        </row>
        <row r="5483">
          <cell r="K5483" t="str">
            <v>227002</v>
          </cell>
          <cell r="M5483">
            <v>2</v>
          </cell>
          <cell r="R5483">
            <v>45782</v>
          </cell>
          <cell r="S5483">
            <v>227002</v>
          </cell>
        </row>
        <row r="5484">
          <cell r="K5484" t="str">
            <v>209004</v>
          </cell>
          <cell r="M5484">
            <v>2</v>
          </cell>
          <cell r="R5484">
            <v>45782</v>
          </cell>
          <cell r="S5484">
            <v>209004</v>
          </cell>
        </row>
        <row r="5485">
          <cell r="K5485" t="str">
            <v>201011</v>
          </cell>
          <cell r="M5485">
            <v>3</v>
          </cell>
          <cell r="R5485">
            <v>45782</v>
          </cell>
          <cell r="S5485">
            <v>201011</v>
          </cell>
        </row>
        <row r="5486">
          <cell r="K5486" t="str">
            <v>226001</v>
          </cell>
          <cell r="M5486">
            <v>1</v>
          </cell>
          <cell r="R5486">
            <v>45782</v>
          </cell>
          <cell r="S5486">
            <v>226001</v>
          </cell>
        </row>
        <row r="5487">
          <cell r="K5487" t="str">
            <v>226001</v>
          </cell>
          <cell r="M5487">
            <v>1</v>
          </cell>
          <cell r="R5487">
            <v>45782</v>
          </cell>
          <cell r="S5487">
            <v>226001</v>
          </cell>
        </row>
        <row r="5488">
          <cell r="K5488" t="str">
            <v>228001</v>
          </cell>
          <cell r="M5488">
            <v>10</v>
          </cell>
          <cell r="R5488">
            <v>45782</v>
          </cell>
          <cell r="S5488">
            <v>228001</v>
          </cell>
        </row>
        <row r="5489">
          <cell r="K5489" t="str">
            <v>231012</v>
          </cell>
          <cell r="M5489">
            <v>16</v>
          </cell>
          <cell r="R5489">
            <v>45782</v>
          </cell>
          <cell r="S5489">
            <v>231012</v>
          </cell>
        </row>
        <row r="5490">
          <cell r="K5490" t="str">
            <v>222001</v>
          </cell>
          <cell r="M5490">
            <v>1</v>
          </cell>
          <cell r="R5490">
            <v>45782</v>
          </cell>
          <cell r="S5490">
            <v>222001</v>
          </cell>
        </row>
        <row r="5491">
          <cell r="K5491" t="str">
            <v>222001</v>
          </cell>
          <cell r="M5491">
            <v>1</v>
          </cell>
          <cell r="R5491">
            <v>45782</v>
          </cell>
          <cell r="S5491">
            <v>222001</v>
          </cell>
        </row>
        <row r="5492">
          <cell r="K5492" t="str">
            <v>209001</v>
          </cell>
          <cell r="M5492">
            <v>2</v>
          </cell>
          <cell r="R5492">
            <v>45782</v>
          </cell>
          <cell r="S5492">
            <v>209001</v>
          </cell>
        </row>
        <row r="5493">
          <cell r="K5493" t="str">
            <v>226001</v>
          </cell>
          <cell r="M5493">
            <v>2</v>
          </cell>
          <cell r="R5493">
            <v>45782</v>
          </cell>
          <cell r="S5493">
            <v>226001</v>
          </cell>
        </row>
        <row r="5494">
          <cell r="K5494" t="str">
            <v>228001</v>
          </cell>
          <cell r="M5494">
            <v>3</v>
          </cell>
          <cell r="R5494">
            <v>45782</v>
          </cell>
          <cell r="S5494">
            <v>228001</v>
          </cell>
        </row>
        <row r="5495">
          <cell r="K5495" t="str">
            <v>228001</v>
          </cell>
          <cell r="M5495">
            <v>1</v>
          </cell>
          <cell r="R5495">
            <v>45782</v>
          </cell>
          <cell r="S5495">
            <v>228001</v>
          </cell>
        </row>
        <row r="5496">
          <cell r="K5496" t="str">
            <v>201003</v>
          </cell>
          <cell r="M5496">
            <v>1</v>
          </cell>
          <cell r="R5496">
            <v>45782</v>
          </cell>
          <cell r="S5496">
            <v>201003</v>
          </cell>
        </row>
        <row r="5497">
          <cell r="K5497" t="str">
            <v>203001</v>
          </cell>
          <cell r="M5497">
            <v>0</v>
          </cell>
          <cell r="R5497">
            <v>45782</v>
          </cell>
          <cell r="S5497">
            <v>203001</v>
          </cell>
        </row>
        <row r="5498">
          <cell r="K5498" t="str">
            <v>207017</v>
          </cell>
          <cell r="M5498">
            <v>1</v>
          </cell>
          <cell r="R5498">
            <v>45782</v>
          </cell>
          <cell r="S5498">
            <v>207017</v>
          </cell>
        </row>
        <row r="5499">
          <cell r="K5499" t="str">
            <v>212002</v>
          </cell>
          <cell r="M5499">
            <v>1</v>
          </cell>
          <cell r="R5499">
            <v>45782</v>
          </cell>
          <cell r="S5499">
            <v>212002</v>
          </cell>
        </row>
        <row r="5500">
          <cell r="K5500" t="str">
            <v>229004</v>
          </cell>
          <cell r="M5500">
            <v>4</v>
          </cell>
          <cell r="R5500">
            <v>45782</v>
          </cell>
          <cell r="S5500">
            <v>229004</v>
          </cell>
        </row>
        <row r="5501">
          <cell r="K5501" t="str">
            <v>201003</v>
          </cell>
          <cell r="M5501">
            <v>1</v>
          </cell>
          <cell r="R5501">
            <v>45782</v>
          </cell>
          <cell r="S5501">
            <v>201003</v>
          </cell>
        </row>
        <row r="5502">
          <cell r="K5502" t="str">
            <v>207017</v>
          </cell>
          <cell r="M5502">
            <v>1</v>
          </cell>
          <cell r="R5502">
            <v>45782</v>
          </cell>
          <cell r="S5502">
            <v>207017</v>
          </cell>
        </row>
        <row r="5503">
          <cell r="K5503" t="str">
            <v>212002</v>
          </cell>
          <cell r="M5503">
            <v>1</v>
          </cell>
          <cell r="R5503">
            <v>45782</v>
          </cell>
          <cell r="S5503">
            <v>212002</v>
          </cell>
        </row>
        <row r="5504">
          <cell r="K5504" t="str">
            <v>209004</v>
          </cell>
          <cell r="M5504">
            <v>1</v>
          </cell>
          <cell r="R5504">
            <v>45782</v>
          </cell>
          <cell r="S5504">
            <v>209004</v>
          </cell>
        </row>
        <row r="5505">
          <cell r="K5505" t="str">
            <v>201002</v>
          </cell>
          <cell r="M5505">
            <v>8</v>
          </cell>
          <cell r="R5505">
            <v>45782</v>
          </cell>
          <cell r="S5505">
            <v>201002</v>
          </cell>
        </row>
        <row r="5506">
          <cell r="K5506" t="str">
            <v>228001</v>
          </cell>
          <cell r="M5506">
            <v>1</v>
          </cell>
          <cell r="R5506">
            <v>45782</v>
          </cell>
          <cell r="S5506">
            <v>228001</v>
          </cell>
        </row>
        <row r="5507">
          <cell r="K5507" t="str">
            <v>227001</v>
          </cell>
          <cell r="M5507">
            <v>6</v>
          </cell>
          <cell r="R5507">
            <v>45782</v>
          </cell>
          <cell r="S5507">
            <v>227001</v>
          </cell>
        </row>
        <row r="5508">
          <cell r="K5508" t="str">
            <v>209012</v>
          </cell>
          <cell r="M5508">
            <v>1</v>
          </cell>
          <cell r="R5508">
            <v>45782</v>
          </cell>
          <cell r="S5508">
            <v>209012</v>
          </cell>
        </row>
        <row r="5509">
          <cell r="K5509" t="str">
            <v>212002</v>
          </cell>
          <cell r="M5509">
            <v>1</v>
          </cell>
          <cell r="R5509">
            <v>45782</v>
          </cell>
          <cell r="S5509">
            <v>212002</v>
          </cell>
        </row>
        <row r="5510">
          <cell r="K5510" t="str">
            <v>228001</v>
          </cell>
          <cell r="M5510">
            <v>1</v>
          </cell>
          <cell r="R5510">
            <v>45782</v>
          </cell>
          <cell r="S5510">
            <v>228001</v>
          </cell>
        </row>
        <row r="5511">
          <cell r="K5511" t="str">
            <v>201003</v>
          </cell>
          <cell r="M5511">
            <v>1</v>
          </cell>
          <cell r="R5511">
            <v>45782</v>
          </cell>
          <cell r="S5511">
            <v>201003</v>
          </cell>
        </row>
        <row r="5512">
          <cell r="K5512" t="str">
            <v>241001</v>
          </cell>
          <cell r="M5512">
            <v>1</v>
          </cell>
          <cell r="R5512">
            <v>45782</v>
          </cell>
          <cell r="S5512">
            <v>241001</v>
          </cell>
        </row>
        <row r="5513">
          <cell r="K5513" t="str">
            <v>203001</v>
          </cell>
          <cell r="M5513">
            <v>1</v>
          </cell>
          <cell r="R5513">
            <v>45782</v>
          </cell>
          <cell r="S5513">
            <v>203001</v>
          </cell>
        </row>
        <row r="5514">
          <cell r="K5514" t="str">
            <v>210013</v>
          </cell>
          <cell r="M5514">
            <v>24</v>
          </cell>
          <cell r="R5514">
            <v>45782</v>
          </cell>
          <cell r="S5514">
            <v>210013</v>
          </cell>
        </row>
        <row r="5515">
          <cell r="K5515" t="str">
            <v>241001</v>
          </cell>
          <cell r="M5515">
            <v>3</v>
          </cell>
          <cell r="R5515">
            <v>45782</v>
          </cell>
          <cell r="S5515">
            <v>241001</v>
          </cell>
        </row>
        <row r="5516">
          <cell r="K5516" t="str">
            <v>241001</v>
          </cell>
          <cell r="M5516">
            <v>3</v>
          </cell>
          <cell r="R5516">
            <v>45782</v>
          </cell>
          <cell r="S5516">
            <v>241001</v>
          </cell>
        </row>
        <row r="5517">
          <cell r="K5517" t="str">
            <v>201005</v>
          </cell>
          <cell r="M5517">
            <v>1</v>
          </cell>
          <cell r="R5517">
            <v>45782</v>
          </cell>
          <cell r="S5517">
            <v>201005</v>
          </cell>
        </row>
        <row r="5518">
          <cell r="K5518" t="str">
            <v>201011</v>
          </cell>
          <cell r="M5518">
            <v>6</v>
          </cell>
          <cell r="R5518">
            <v>45782</v>
          </cell>
          <cell r="S5518">
            <v>201011</v>
          </cell>
        </row>
        <row r="5519">
          <cell r="K5519" t="str">
            <v>201011</v>
          </cell>
          <cell r="M5519">
            <v>6</v>
          </cell>
          <cell r="R5519">
            <v>45782</v>
          </cell>
          <cell r="S5519">
            <v>201011</v>
          </cell>
        </row>
        <row r="5520">
          <cell r="K5520" t="str">
            <v>201011</v>
          </cell>
          <cell r="M5520">
            <v>1</v>
          </cell>
          <cell r="R5520">
            <v>45782</v>
          </cell>
          <cell r="S5520">
            <v>201011</v>
          </cell>
        </row>
        <row r="5521">
          <cell r="K5521" t="str">
            <v>241001</v>
          </cell>
          <cell r="M5521">
            <v>4</v>
          </cell>
          <cell r="R5521">
            <v>45782</v>
          </cell>
          <cell r="S5521">
            <v>241001</v>
          </cell>
        </row>
        <row r="5522">
          <cell r="K5522" t="str">
            <v>201011</v>
          </cell>
          <cell r="M5522">
            <v>36</v>
          </cell>
          <cell r="R5522">
            <v>45782</v>
          </cell>
          <cell r="S5522">
            <v>201011</v>
          </cell>
        </row>
        <row r="5523">
          <cell r="K5523" t="str">
            <v>241001</v>
          </cell>
          <cell r="M5523">
            <v>50</v>
          </cell>
          <cell r="R5523">
            <v>45782</v>
          </cell>
          <cell r="S5523">
            <v>241001</v>
          </cell>
        </row>
        <row r="5524">
          <cell r="K5524" t="str">
            <v>201003</v>
          </cell>
          <cell r="M5524">
            <v>8</v>
          </cell>
          <cell r="R5524">
            <v>45782</v>
          </cell>
          <cell r="S5524">
            <v>201003</v>
          </cell>
        </row>
        <row r="5525">
          <cell r="K5525" t="str">
            <v>271002</v>
          </cell>
          <cell r="M5525">
            <v>10</v>
          </cell>
          <cell r="R5525">
            <v>45782</v>
          </cell>
          <cell r="S5525">
            <v>271002</v>
          </cell>
        </row>
        <row r="5526">
          <cell r="K5526" t="str">
            <v>203003</v>
          </cell>
          <cell r="M5526">
            <v>1</v>
          </cell>
          <cell r="R5526">
            <v>45782</v>
          </cell>
          <cell r="S5526">
            <v>203003</v>
          </cell>
        </row>
        <row r="5527">
          <cell r="K5527" t="str">
            <v>231012</v>
          </cell>
          <cell r="M5527">
            <v>2</v>
          </cell>
          <cell r="R5527">
            <v>45782</v>
          </cell>
          <cell r="S5527">
            <v>231012</v>
          </cell>
        </row>
        <row r="5528">
          <cell r="K5528" t="str">
            <v>201011</v>
          </cell>
          <cell r="M5528">
            <v>1</v>
          </cell>
          <cell r="R5528">
            <v>45782</v>
          </cell>
          <cell r="S5528">
            <v>201011</v>
          </cell>
        </row>
        <row r="5529">
          <cell r="K5529" t="str">
            <v>212019</v>
          </cell>
          <cell r="M5529">
            <v>1</v>
          </cell>
          <cell r="R5529">
            <v>45782</v>
          </cell>
          <cell r="S5529">
            <v>212019</v>
          </cell>
        </row>
        <row r="5530">
          <cell r="K5530" t="str">
            <v>203003</v>
          </cell>
          <cell r="M5530">
            <v>3</v>
          </cell>
          <cell r="R5530">
            <v>45782</v>
          </cell>
          <cell r="S5530">
            <v>203003</v>
          </cell>
        </row>
        <row r="5531">
          <cell r="K5531" t="str">
            <v>229001</v>
          </cell>
          <cell r="M5531">
            <v>1</v>
          </cell>
          <cell r="R5531">
            <v>45782</v>
          </cell>
          <cell r="S5531">
            <v>229001</v>
          </cell>
        </row>
        <row r="5532">
          <cell r="K5532" t="str">
            <v>231012</v>
          </cell>
          <cell r="M5532">
            <v>1</v>
          </cell>
          <cell r="R5532">
            <v>45782</v>
          </cell>
          <cell r="S5532">
            <v>231012</v>
          </cell>
        </row>
        <row r="5533">
          <cell r="K5533" t="str">
            <v>227001</v>
          </cell>
          <cell r="M5533">
            <v>3</v>
          </cell>
          <cell r="R5533">
            <v>45782</v>
          </cell>
          <cell r="S5533">
            <v>227001</v>
          </cell>
        </row>
        <row r="5534">
          <cell r="K5534" t="str">
            <v>203001</v>
          </cell>
          <cell r="M5534">
            <v>4</v>
          </cell>
          <cell r="R5534">
            <v>45782</v>
          </cell>
          <cell r="S5534">
            <v>203001</v>
          </cell>
        </row>
        <row r="5535">
          <cell r="K5535" t="str">
            <v>228001</v>
          </cell>
          <cell r="M5535">
            <v>8</v>
          </cell>
          <cell r="R5535">
            <v>45782</v>
          </cell>
          <cell r="S5535">
            <v>228001</v>
          </cell>
        </row>
        <row r="5536">
          <cell r="K5536" t="str">
            <v>222001</v>
          </cell>
          <cell r="M5536">
            <v>1</v>
          </cell>
          <cell r="R5536">
            <v>45782</v>
          </cell>
          <cell r="S5536">
            <v>222001</v>
          </cell>
        </row>
        <row r="5537">
          <cell r="K5537" t="str">
            <v>226001</v>
          </cell>
          <cell r="M5537">
            <v>4</v>
          </cell>
          <cell r="R5537">
            <v>45782</v>
          </cell>
          <cell r="S5537">
            <v>226001</v>
          </cell>
        </row>
        <row r="5538">
          <cell r="K5538" t="str">
            <v>217020</v>
          </cell>
          <cell r="M5538">
            <v>20</v>
          </cell>
          <cell r="R5538">
            <v>45782</v>
          </cell>
          <cell r="S5538">
            <v>217020</v>
          </cell>
        </row>
        <row r="5539">
          <cell r="K5539" t="str">
            <v>223001</v>
          </cell>
          <cell r="M5539">
            <v>10</v>
          </cell>
          <cell r="R5539">
            <v>45782</v>
          </cell>
          <cell r="S5539">
            <v>223001</v>
          </cell>
        </row>
        <row r="5540">
          <cell r="K5540" t="str">
            <v>223003</v>
          </cell>
          <cell r="M5540">
            <v>1</v>
          </cell>
          <cell r="R5540">
            <v>45782</v>
          </cell>
          <cell r="S5540">
            <v>223003</v>
          </cell>
        </row>
        <row r="5541">
          <cell r="K5541" t="str">
            <v>222001</v>
          </cell>
          <cell r="M5541">
            <v>1</v>
          </cell>
          <cell r="R5541">
            <v>45782</v>
          </cell>
          <cell r="S5541">
            <v>222001</v>
          </cell>
        </row>
        <row r="5542">
          <cell r="K5542" t="str">
            <v>241001</v>
          </cell>
          <cell r="M5542">
            <v>10</v>
          </cell>
          <cell r="R5542">
            <v>45782</v>
          </cell>
          <cell r="S5542">
            <v>241001</v>
          </cell>
        </row>
        <row r="5543">
          <cell r="K5543" t="str">
            <v>201011</v>
          </cell>
          <cell r="M5543">
            <v>2</v>
          </cell>
          <cell r="R5543">
            <v>45782</v>
          </cell>
          <cell r="S5543">
            <v>201011</v>
          </cell>
        </row>
        <row r="5544">
          <cell r="K5544" t="str">
            <v>210014</v>
          </cell>
          <cell r="M5544">
            <v>4</v>
          </cell>
          <cell r="R5544">
            <v>45782</v>
          </cell>
          <cell r="S5544">
            <v>210014</v>
          </cell>
        </row>
        <row r="5545">
          <cell r="K5545" t="str">
            <v>227012</v>
          </cell>
          <cell r="M5545">
            <v>3</v>
          </cell>
          <cell r="R5545">
            <v>45782</v>
          </cell>
          <cell r="S5545">
            <v>227012</v>
          </cell>
        </row>
        <row r="5546">
          <cell r="K5546" t="str">
            <v>223001</v>
          </cell>
          <cell r="M5546">
            <v>10</v>
          </cell>
          <cell r="R5546">
            <v>45782</v>
          </cell>
          <cell r="S5546">
            <v>223001</v>
          </cell>
        </row>
        <row r="5547">
          <cell r="K5547" t="str">
            <v>210010</v>
          </cell>
          <cell r="M5547">
            <v>2</v>
          </cell>
          <cell r="R5547">
            <v>45782</v>
          </cell>
          <cell r="S5547">
            <v>210010</v>
          </cell>
        </row>
        <row r="5548">
          <cell r="K5548" t="str">
            <v>201002</v>
          </cell>
          <cell r="M5548">
            <v>10</v>
          </cell>
          <cell r="R5548">
            <v>45782</v>
          </cell>
          <cell r="S5548">
            <v>201002</v>
          </cell>
        </row>
        <row r="5549">
          <cell r="K5549" t="str">
            <v>226022</v>
          </cell>
          <cell r="M5549">
            <v>2</v>
          </cell>
          <cell r="R5549">
            <v>45782</v>
          </cell>
          <cell r="S5549">
            <v>226022</v>
          </cell>
        </row>
        <row r="5550">
          <cell r="K5550" t="str">
            <v>227012</v>
          </cell>
          <cell r="M5550">
            <v>1</v>
          </cell>
          <cell r="R5550">
            <v>45782</v>
          </cell>
          <cell r="S5550">
            <v>227012</v>
          </cell>
        </row>
        <row r="5551">
          <cell r="K5551" t="str">
            <v>217020</v>
          </cell>
          <cell r="M5551">
            <v>2</v>
          </cell>
          <cell r="R5551">
            <v>45782</v>
          </cell>
          <cell r="S5551">
            <v>217020</v>
          </cell>
        </row>
        <row r="5552">
          <cell r="K5552" t="str">
            <v>228001</v>
          </cell>
          <cell r="M5552">
            <v>1</v>
          </cell>
          <cell r="R5552">
            <v>45782</v>
          </cell>
          <cell r="S5552">
            <v>228001</v>
          </cell>
        </row>
        <row r="5553">
          <cell r="K5553" t="str">
            <v>231012</v>
          </cell>
          <cell r="M5553">
            <v>4</v>
          </cell>
          <cell r="R5553">
            <v>45782</v>
          </cell>
          <cell r="S5553">
            <v>231012</v>
          </cell>
        </row>
        <row r="5554">
          <cell r="K5554" t="str">
            <v>203003</v>
          </cell>
          <cell r="M5554">
            <v>3</v>
          </cell>
          <cell r="R5554">
            <v>45782</v>
          </cell>
          <cell r="S5554">
            <v>203003</v>
          </cell>
        </row>
        <row r="5555">
          <cell r="K5555" t="str">
            <v>241001</v>
          </cell>
          <cell r="M5555">
            <v>2</v>
          </cell>
          <cell r="R5555">
            <v>45782</v>
          </cell>
          <cell r="S5555">
            <v>241001</v>
          </cell>
        </row>
        <row r="5556">
          <cell r="K5556" t="str">
            <v>223001</v>
          </cell>
          <cell r="M5556">
            <v>2</v>
          </cell>
          <cell r="R5556">
            <v>45782</v>
          </cell>
          <cell r="S5556">
            <v>223001</v>
          </cell>
        </row>
        <row r="5557">
          <cell r="K5557" t="str">
            <v>223002</v>
          </cell>
          <cell r="M5557">
            <v>6</v>
          </cell>
          <cell r="R5557">
            <v>45782</v>
          </cell>
          <cell r="S5557">
            <v>223002</v>
          </cell>
        </row>
        <row r="5558">
          <cell r="K5558" t="str">
            <v>229001</v>
          </cell>
          <cell r="M5558">
            <v>1</v>
          </cell>
          <cell r="R5558">
            <v>45782</v>
          </cell>
          <cell r="S5558">
            <v>229001</v>
          </cell>
        </row>
        <row r="5559">
          <cell r="K5559" t="str">
            <v>206002</v>
          </cell>
          <cell r="M5559">
            <v>1</v>
          </cell>
          <cell r="R5559">
            <v>45782</v>
          </cell>
          <cell r="S5559">
            <v>206002</v>
          </cell>
        </row>
        <row r="5560">
          <cell r="K5560" t="str">
            <v>208001</v>
          </cell>
          <cell r="M5560">
            <v>1</v>
          </cell>
          <cell r="R5560">
            <v>45782</v>
          </cell>
          <cell r="S5560">
            <v>208001</v>
          </cell>
        </row>
        <row r="5561">
          <cell r="K5561" t="str">
            <v>236005</v>
          </cell>
          <cell r="M5561">
            <v>1</v>
          </cell>
          <cell r="R5561">
            <v>45782</v>
          </cell>
          <cell r="S5561">
            <v>236005</v>
          </cell>
        </row>
        <row r="5562">
          <cell r="K5562" t="str">
            <v>231012</v>
          </cell>
          <cell r="M5562">
            <v>2</v>
          </cell>
          <cell r="R5562">
            <v>45782</v>
          </cell>
          <cell r="S5562">
            <v>231012</v>
          </cell>
        </row>
        <row r="5563">
          <cell r="K5563" t="str">
            <v>226001</v>
          </cell>
          <cell r="M5563">
            <v>2</v>
          </cell>
          <cell r="R5563">
            <v>45782</v>
          </cell>
          <cell r="S5563">
            <v>226001</v>
          </cell>
        </row>
        <row r="5564">
          <cell r="K5564" t="str">
            <v>228001</v>
          </cell>
          <cell r="M5564">
            <v>22</v>
          </cell>
          <cell r="R5564">
            <v>45782</v>
          </cell>
          <cell r="S5564">
            <v>228001</v>
          </cell>
        </row>
        <row r="5565">
          <cell r="K5565" t="str">
            <v>201011</v>
          </cell>
          <cell r="M5565">
            <v>5</v>
          </cell>
          <cell r="R5565">
            <v>45782</v>
          </cell>
          <cell r="S5565">
            <v>201011</v>
          </cell>
        </row>
        <row r="5566">
          <cell r="K5566" t="str">
            <v>223001</v>
          </cell>
          <cell r="M5566">
            <v>2</v>
          </cell>
          <cell r="R5566">
            <v>45782</v>
          </cell>
          <cell r="S5566">
            <v>223001</v>
          </cell>
        </row>
        <row r="5567">
          <cell r="K5567" t="str">
            <v>223002</v>
          </cell>
          <cell r="M5567">
            <v>0</v>
          </cell>
          <cell r="R5567">
            <v>45782</v>
          </cell>
          <cell r="S5567">
            <v>223002</v>
          </cell>
        </row>
        <row r="5568">
          <cell r="K5568" t="str">
            <v>201011</v>
          </cell>
          <cell r="M5568">
            <v>2</v>
          </cell>
          <cell r="R5568">
            <v>45782</v>
          </cell>
          <cell r="S5568">
            <v>201011</v>
          </cell>
        </row>
        <row r="5569">
          <cell r="K5569" t="str">
            <v>201002</v>
          </cell>
          <cell r="M5569">
            <v>1</v>
          </cell>
          <cell r="R5569">
            <v>45782</v>
          </cell>
          <cell r="S5569">
            <v>201002</v>
          </cell>
        </row>
        <row r="5570">
          <cell r="K5570" t="str">
            <v>222001</v>
          </cell>
          <cell r="M5570">
            <v>2</v>
          </cell>
          <cell r="R5570">
            <v>45782</v>
          </cell>
          <cell r="S5570">
            <v>222001</v>
          </cell>
        </row>
        <row r="5571">
          <cell r="K5571" t="str">
            <v>241001</v>
          </cell>
          <cell r="M5571">
            <v>4</v>
          </cell>
          <cell r="R5571">
            <v>45782</v>
          </cell>
          <cell r="S5571">
            <v>241001</v>
          </cell>
        </row>
        <row r="5572">
          <cell r="K5572" t="str">
            <v>212019</v>
          </cell>
          <cell r="M5572">
            <v>1</v>
          </cell>
          <cell r="R5572">
            <v>45782</v>
          </cell>
          <cell r="S5572">
            <v>212019</v>
          </cell>
        </row>
        <row r="5573">
          <cell r="K5573" t="str">
            <v>241001</v>
          </cell>
          <cell r="M5573">
            <v>6</v>
          </cell>
          <cell r="R5573">
            <v>45782</v>
          </cell>
          <cell r="S5573">
            <v>241001</v>
          </cell>
        </row>
        <row r="5574">
          <cell r="K5574" t="str">
            <v>217018</v>
          </cell>
          <cell r="M5574">
            <v>3</v>
          </cell>
          <cell r="R5574">
            <v>45782</v>
          </cell>
          <cell r="S5574">
            <v>217018</v>
          </cell>
        </row>
        <row r="5575">
          <cell r="K5575" t="str">
            <v>231012</v>
          </cell>
          <cell r="M5575">
            <v>4</v>
          </cell>
          <cell r="R5575">
            <v>45782</v>
          </cell>
          <cell r="S5575">
            <v>231012</v>
          </cell>
        </row>
        <row r="5576">
          <cell r="K5576" t="str">
            <v>223001</v>
          </cell>
          <cell r="M5576">
            <v>5</v>
          </cell>
          <cell r="R5576">
            <v>45782</v>
          </cell>
          <cell r="S5576">
            <v>223001</v>
          </cell>
        </row>
        <row r="5577">
          <cell r="K5577" t="str">
            <v>223002</v>
          </cell>
          <cell r="M5577">
            <v>5</v>
          </cell>
          <cell r="R5577">
            <v>45782</v>
          </cell>
          <cell r="S5577">
            <v>223002</v>
          </cell>
        </row>
        <row r="5578">
          <cell r="K5578" t="str">
            <v>201011</v>
          </cell>
          <cell r="M5578">
            <v>7</v>
          </cell>
          <cell r="R5578">
            <v>45783</v>
          </cell>
          <cell r="S5578">
            <v>201011</v>
          </cell>
        </row>
        <row r="5579">
          <cell r="K5579" t="str">
            <v>217002</v>
          </cell>
          <cell r="M5579">
            <v>1</v>
          </cell>
          <cell r="R5579">
            <v>45783</v>
          </cell>
          <cell r="S5579">
            <v>217002</v>
          </cell>
        </row>
        <row r="5580">
          <cell r="K5580" t="str">
            <v>231012</v>
          </cell>
          <cell r="M5580">
            <v>30</v>
          </cell>
          <cell r="R5580">
            <v>45783</v>
          </cell>
          <cell r="S5580">
            <v>231012</v>
          </cell>
        </row>
        <row r="5581">
          <cell r="K5581" t="str">
            <v>228001</v>
          </cell>
          <cell r="M5581">
            <v>7</v>
          </cell>
          <cell r="R5581">
            <v>45783</v>
          </cell>
          <cell r="S5581">
            <v>228001</v>
          </cell>
        </row>
        <row r="5582">
          <cell r="K5582" t="str">
            <v>210013</v>
          </cell>
          <cell r="M5582">
            <v>1</v>
          </cell>
          <cell r="R5582">
            <v>45783</v>
          </cell>
          <cell r="S5582">
            <v>210013</v>
          </cell>
        </row>
        <row r="5583">
          <cell r="K5583" t="str">
            <v>222001</v>
          </cell>
          <cell r="M5583">
            <v>1</v>
          </cell>
          <cell r="R5583">
            <v>45783</v>
          </cell>
          <cell r="S5583">
            <v>222001</v>
          </cell>
        </row>
        <row r="5584">
          <cell r="K5584" t="str">
            <v>217011</v>
          </cell>
          <cell r="M5584">
            <v>1</v>
          </cell>
          <cell r="R5584">
            <v>45783</v>
          </cell>
          <cell r="S5584">
            <v>217011</v>
          </cell>
        </row>
        <row r="5585">
          <cell r="K5585" t="str">
            <v>228001</v>
          </cell>
          <cell r="M5585">
            <v>1</v>
          </cell>
          <cell r="R5585">
            <v>45783</v>
          </cell>
          <cell r="S5585">
            <v>228001</v>
          </cell>
        </row>
        <row r="5586">
          <cell r="K5586" t="str">
            <v>201011</v>
          </cell>
          <cell r="M5586">
            <v>1</v>
          </cell>
          <cell r="R5586">
            <v>45783</v>
          </cell>
          <cell r="S5586">
            <v>201011</v>
          </cell>
        </row>
        <row r="5587">
          <cell r="K5587" t="str">
            <v>203003</v>
          </cell>
          <cell r="M5587">
            <v>1</v>
          </cell>
          <cell r="R5587">
            <v>45783</v>
          </cell>
          <cell r="S5587">
            <v>203003</v>
          </cell>
        </row>
        <row r="5588">
          <cell r="K5588" t="str">
            <v>223001</v>
          </cell>
          <cell r="M5588">
            <v>1</v>
          </cell>
          <cell r="R5588">
            <v>45783</v>
          </cell>
          <cell r="S5588">
            <v>223001</v>
          </cell>
        </row>
        <row r="5589">
          <cell r="K5589" t="str">
            <v>201022</v>
          </cell>
          <cell r="M5589">
            <v>1</v>
          </cell>
          <cell r="R5589">
            <v>45783</v>
          </cell>
          <cell r="S5589">
            <v>201022</v>
          </cell>
        </row>
        <row r="5590">
          <cell r="K5590" t="str">
            <v>231004</v>
          </cell>
          <cell r="M5590">
            <v>1</v>
          </cell>
          <cell r="R5590">
            <v>45783</v>
          </cell>
          <cell r="S5590">
            <v>231004</v>
          </cell>
        </row>
        <row r="5591">
          <cell r="K5591" t="str">
            <v>223002</v>
          </cell>
          <cell r="M5591">
            <v>1</v>
          </cell>
          <cell r="R5591">
            <v>45783</v>
          </cell>
          <cell r="S5591">
            <v>223002</v>
          </cell>
        </row>
        <row r="5592">
          <cell r="K5592" t="str">
            <v>223001</v>
          </cell>
          <cell r="M5592">
            <v>5</v>
          </cell>
          <cell r="R5592">
            <v>45783</v>
          </cell>
          <cell r="S5592">
            <v>223001</v>
          </cell>
        </row>
        <row r="5593">
          <cell r="K5593" t="str">
            <v>213002</v>
          </cell>
          <cell r="M5593">
            <v>1</v>
          </cell>
          <cell r="R5593">
            <v>45783</v>
          </cell>
          <cell r="S5593">
            <v>213002</v>
          </cell>
        </row>
        <row r="5594">
          <cell r="K5594" t="str">
            <v>213002</v>
          </cell>
          <cell r="M5594">
            <v>35</v>
          </cell>
          <cell r="R5594">
            <v>45783</v>
          </cell>
          <cell r="S5594">
            <v>213002</v>
          </cell>
        </row>
        <row r="5595">
          <cell r="K5595" t="str">
            <v>213002</v>
          </cell>
          <cell r="M5595">
            <v>30</v>
          </cell>
          <cell r="R5595">
            <v>45783</v>
          </cell>
          <cell r="S5595">
            <v>213002</v>
          </cell>
        </row>
        <row r="5596">
          <cell r="K5596" t="str">
            <v>213002</v>
          </cell>
          <cell r="M5596">
            <v>10</v>
          </cell>
          <cell r="R5596">
            <v>45783</v>
          </cell>
          <cell r="S5596">
            <v>213002</v>
          </cell>
        </row>
        <row r="5597">
          <cell r="K5597" t="str">
            <v>213002</v>
          </cell>
          <cell r="M5597">
            <v>6</v>
          </cell>
          <cell r="R5597">
            <v>45783</v>
          </cell>
          <cell r="S5597">
            <v>213002</v>
          </cell>
        </row>
        <row r="5598">
          <cell r="K5598" t="str">
            <v>213002</v>
          </cell>
          <cell r="M5598">
            <v>9</v>
          </cell>
          <cell r="R5598">
            <v>45783</v>
          </cell>
          <cell r="S5598">
            <v>213002</v>
          </cell>
        </row>
        <row r="5599">
          <cell r="K5599" t="str">
            <v>213002</v>
          </cell>
          <cell r="M5599">
            <v>3</v>
          </cell>
          <cell r="R5599">
            <v>45783</v>
          </cell>
          <cell r="S5599">
            <v>213002</v>
          </cell>
        </row>
        <row r="5600">
          <cell r="K5600" t="str">
            <v>201011</v>
          </cell>
          <cell r="M5600">
            <v>29</v>
          </cell>
          <cell r="R5600">
            <v>45783</v>
          </cell>
          <cell r="S5600">
            <v>201011</v>
          </cell>
        </row>
        <row r="5601">
          <cell r="K5601" t="str">
            <v>229004</v>
          </cell>
          <cell r="M5601">
            <v>2</v>
          </cell>
          <cell r="R5601">
            <v>45783</v>
          </cell>
          <cell r="S5601">
            <v>229004</v>
          </cell>
        </row>
        <row r="5602">
          <cell r="K5602" t="str">
            <v>228001</v>
          </cell>
          <cell r="M5602">
            <v>1</v>
          </cell>
          <cell r="R5602">
            <v>45783</v>
          </cell>
          <cell r="S5602">
            <v>228001</v>
          </cell>
        </row>
        <row r="5603">
          <cell r="K5603" t="str">
            <v>217018</v>
          </cell>
          <cell r="M5603">
            <v>1</v>
          </cell>
          <cell r="R5603">
            <v>45783</v>
          </cell>
          <cell r="S5603">
            <v>217018</v>
          </cell>
        </row>
        <row r="5604">
          <cell r="K5604" t="str">
            <v>231008</v>
          </cell>
          <cell r="M5604">
            <v>1</v>
          </cell>
          <cell r="R5604">
            <v>45783</v>
          </cell>
          <cell r="S5604">
            <v>231008</v>
          </cell>
        </row>
        <row r="5605">
          <cell r="K5605" t="str">
            <v>209001</v>
          </cell>
          <cell r="M5605">
            <v>3</v>
          </cell>
          <cell r="R5605">
            <v>45783</v>
          </cell>
          <cell r="S5605">
            <v>209001</v>
          </cell>
        </row>
        <row r="5606">
          <cell r="K5606" t="str">
            <v>206002</v>
          </cell>
          <cell r="M5606">
            <v>1</v>
          </cell>
          <cell r="R5606">
            <v>45783</v>
          </cell>
          <cell r="S5606">
            <v>206002</v>
          </cell>
        </row>
        <row r="5607">
          <cell r="K5607" t="str">
            <v>210014</v>
          </cell>
          <cell r="M5607">
            <v>5</v>
          </cell>
          <cell r="R5607">
            <v>45783</v>
          </cell>
          <cell r="S5607">
            <v>210014</v>
          </cell>
        </row>
        <row r="5608">
          <cell r="K5608" t="str">
            <v>229001</v>
          </cell>
          <cell r="M5608">
            <v>1</v>
          </cell>
          <cell r="R5608">
            <v>45783</v>
          </cell>
          <cell r="S5608">
            <v>229001</v>
          </cell>
        </row>
        <row r="5609">
          <cell r="K5609" t="str">
            <v>223001</v>
          </cell>
          <cell r="M5609">
            <v>1</v>
          </cell>
          <cell r="R5609">
            <v>45783</v>
          </cell>
          <cell r="S5609">
            <v>223001</v>
          </cell>
        </row>
        <row r="5610">
          <cell r="K5610" t="str">
            <v>223002</v>
          </cell>
          <cell r="M5610">
            <v>1</v>
          </cell>
          <cell r="R5610">
            <v>45783</v>
          </cell>
          <cell r="S5610">
            <v>223002</v>
          </cell>
        </row>
        <row r="5611">
          <cell r="K5611" t="str">
            <v>203001</v>
          </cell>
          <cell r="M5611">
            <v>1</v>
          </cell>
          <cell r="R5611">
            <v>45783</v>
          </cell>
          <cell r="S5611">
            <v>203001</v>
          </cell>
        </row>
        <row r="5612">
          <cell r="K5612" t="str">
            <v>227002</v>
          </cell>
          <cell r="M5612">
            <v>1</v>
          </cell>
          <cell r="R5612">
            <v>45783</v>
          </cell>
          <cell r="S5612">
            <v>227002</v>
          </cell>
        </row>
        <row r="5613">
          <cell r="K5613" t="str">
            <v>217018</v>
          </cell>
          <cell r="M5613">
            <v>1</v>
          </cell>
          <cell r="R5613">
            <v>45783</v>
          </cell>
          <cell r="S5613">
            <v>217018</v>
          </cell>
        </row>
        <row r="5614">
          <cell r="K5614" t="str">
            <v>223001</v>
          </cell>
          <cell r="M5614">
            <v>2</v>
          </cell>
          <cell r="R5614">
            <v>45783</v>
          </cell>
          <cell r="S5614">
            <v>223001</v>
          </cell>
        </row>
        <row r="5615">
          <cell r="K5615" t="str">
            <v>213003</v>
          </cell>
          <cell r="M5615">
            <v>5</v>
          </cell>
          <cell r="R5615">
            <v>45783</v>
          </cell>
          <cell r="S5615">
            <v>213003</v>
          </cell>
        </row>
        <row r="5616">
          <cell r="K5616" t="str">
            <v>213003</v>
          </cell>
          <cell r="M5616">
            <v>1</v>
          </cell>
          <cell r="R5616">
            <v>45783</v>
          </cell>
          <cell r="S5616">
            <v>213003</v>
          </cell>
        </row>
        <row r="5617">
          <cell r="K5617" t="str">
            <v>213003</v>
          </cell>
          <cell r="M5617">
            <v>5</v>
          </cell>
          <cell r="R5617">
            <v>45783</v>
          </cell>
          <cell r="S5617">
            <v>213003</v>
          </cell>
        </row>
        <row r="5618">
          <cell r="K5618" t="str">
            <v>227012</v>
          </cell>
          <cell r="M5618">
            <v>8</v>
          </cell>
          <cell r="R5618">
            <v>45783</v>
          </cell>
          <cell r="S5618">
            <v>227012</v>
          </cell>
        </row>
        <row r="5619">
          <cell r="K5619" t="str">
            <v>208001</v>
          </cell>
          <cell r="M5619">
            <v>4</v>
          </cell>
          <cell r="R5619">
            <v>45783</v>
          </cell>
          <cell r="S5619">
            <v>208001</v>
          </cell>
        </row>
        <row r="5620">
          <cell r="K5620" t="str">
            <v>231012</v>
          </cell>
          <cell r="M5620">
            <v>1</v>
          </cell>
          <cell r="R5620">
            <v>45783</v>
          </cell>
          <cell r="S5620">
            <v>231012</v>
          </cell>
        </row>
        <row r="5621">
          <cell r="K5621" t="str">
            <v>227012</v>
          </cell>
          <cell r="M5621">
            <v>1</v>
          </cell>
          <cell r="R5621">
            <v>45783</v>
          </cell>
          <cell r="S5621">
            <v>227012</v>
          </cell>
        </row>
        <row r="5622">
          <cell r="K5622" t="str">
            <v>231012</v>
          </cell>
          <cell r="M5622">
            <v>1</v>
          </cell>
          <cell r="R5622">
            <v>45783</v>
          </cell>
          <cell r="S5622">
            <v>231012</v>
          </cell>
        </row>
        <row r="5623">
          <cell r="K5623" t="str">
            <v>213003</v>
          </cell>
          <cell r="M5623">
            <v>15</v>
          </cell>
          <cell r="R5623">
            <v>45783</v>
          </cell>
          <cell r="S5623">
            <v>213003</v>
          </cell>
        </row>
        <row r="5624">
          <cell r="K5624" t="str">
            <v>213002</v>
          </cell>
          <cell r="M5624">
            <v>10</v>
          </cell>
          <cell r="R5624">
            <v>45783</v>
          </cell>
          <cell r="S5624">
            <v>213002</v>
          </cell>
        </row>
        <row r="5625">
          <cell r="K5625" t="str">
            <v>213002</v>
          </cell>
          <cell r="M5625">
            <v>3</v>
          </cell>
          <cell r="R5625">
            <v>45783</v>
          </cell>
          <cell r="S5625">
            <v>213002</v>
          </cell>
        </row>
        <row r="5626">
          <cell r="K5626" t="str">
            <v>210013</v>
          </cell>
          <cell r="M5626">
            <v>1</v>
          </cell>
          <cell r="R5626">
            <v>45784</v>
          </cell>
          <cell r="S5626">
            <v>210013</v>
          </cell>
        </row>
        <row r="5627">
          <cell r="K5627" t="str">
            <v>203003</v>
          </cell>
          <cell r="M5627">
            <v>2</v>
          </cell>
          <cell r="R5627">
            <v>45784</v>
          </cell>
          <cell r="S5627">
            <v>203003</v>
          </cell>
        </row>
        <row r="5628">
          <cell r="K5628" t="str">
            <v>231012</v>
          </cell>
          <cell r="M5628">
            <v>1</v>
          </cell>
          <cell r="R5628">
            <v>45784</v>
          </cell>
          <cell r="S5628">
            <v>231012</v>
          </cell>
        </row>
        <row r="5629">
          <cell r="K5629" t="str">
            <v>227012</v>
          </cell>
          <cell r="M5629">
            <v>2</v>
          </cell>
          <cell r="R5629">
            <v>45783</v>
          </cell>
          <cell r="S5629">
            <v>227012</v>
          </cell>
        </row>
        <row r="5630">
          <cell r="K5630" t="str">
            <v>241001</v>
          </cell>
          <cell r="M5630">
            <v>2</v>
          </cell>
          <cell r="R5630">
            <v>45783</v>
          </cell>
          <cell r="S5630">
            <v>241001</v>
          </cell>
        </row>
        <row r="5631">
          <cell r="K5631" t="str">
            <v>213003</v>
          </cell>
          <cell r="M5631">
            <v>1</v>
          </cell>
          <cell r="R5631">
            <v>45783</v>
          </cell>
          <cell r="S5631">
            <v>213003</v>
          </cell>
        </row>
        <row r="5632">
          <cell r="K5632" t="str">
            <v>223017</v>
          </cell>
          <cell r="M5632">
            <v>10</v>
          </cell>
          <cell r="R5632">
            <v>45783</v>
          </cell>
          <cell r="S5632">
            <v>223017</v>
          </cell>
        </row>
        <row r="5633">
          <cell r="K5633" t="str">
            <v>213002</v>
          </cell>
          <cell r="M5633">
            <v>4</v>
          </cell>
          <cell r="R5633">
            <v>45783</v>
          </cell>
          <cell r="S5633">
            <v>213002</v>
          </cell>
        </row>
        <row r="5634">
          <cell r="K5634" t="str">
            <v>226001</v>
          </cell>
          <cell r="M5634">
            <v>2</v>
          </cell>
          <cell r="R5634">
            <v>45784</v>
          </cell>
          <cell r="S5634">
            <v>226001</v>
          </cell>
        </row>
        <row r="5635">
          <cell r="K5635" t="str">
            <v>241001</v>
          </cell>
          <cell r="M5635">
            <v>1</v>
          </cell>
          <cell r="R5635">
            <v>45784</v>
          </cell>
          <cell r="S5635">
            <v>241001</v>
          </cell>
        </row>
        <row r="5636">
          <cell r="K5636" t="str">
            <v>234001</v>
          </cell>
          <cell r="M5636">
            <v>1</v>
          </cell>
          <cell r="R5636">
            <v>45784</v>
          </cell>
          <cell r="S5636">
            <v>234001</v>
          </cell>
        </row>
        <row r="5637">
          <cell r="K5637" t="str">
            <v>223002</v>
          </cell>
          <cell r="M5637">
            <v>2</v>
          </cell>
          <cell r="R5637">
            <v>45784</v>
          </cell>
          <cell r="S5637">
            <v>223002</v>
          </cell>
        </row>
        <row r="5638">
          <cell r="K5638" t="str">
            <v>223001</v>
          </cell>
          <cell r="M5638">
            <v>2</v>
          </cell>
          <cell r="R5638">
            <v>45784</v>
          </cell>
          <cell r="S5638">
            <v>223001</v>
          </cell>
        </row>
        <row r="5639">
          <cell r="K5639" t="str">
            <v>227002</v>
          </cell>
          <cell r="M5639">
            <v>2</v>
          </cell>
          <cell r="R5639">
            <v>45784</v>
          </cell>
          <cell r="S5639">
            <v>227002</v>
          </cell>
        </row>
        <row r="5640">
          <cell r="K5640" t="str">
            <v>213003</v>
          </cell>
          <cell r="M5640">
            <v>1</v>
          </cell>
          <cell r="R5640">
            <v>45784</v>
          </cell>
          <cell r="S5640">
            <v>213003</v>
          </cell>
        </row>
        <row r="5641">
          <cell r="K5641" t="str">
            <v>201005</v>
          </cell>
          <cell r="M5641">
            <v>1</v>
          </cell>
          <cell r="R5641">
            <v>45784</v>
          </cell>
          <cell r="S5641">
            <v>201005</v>
          </cell>
        </row>
        <row r="5642">
          <cell r="K5642" t="str">
            <v>223002</v>
          </cell>
          <cell r="M5642">
            <v>2</v>
          </cell>
          <cell r="R5642">
            <v>45784</v>
          </cell>
          <cell r="S5642">
            <v>223002</v>
          </cell>
        </row>
        <row r="5643">
          <cell r="K5643" t="str">
            <v>213003</v>
          </cell>
          <cell r="M5643">
            <v>2</v>
          </cell>
          <cell r="R5643">
            <v>45784</v>
          </cell>
          <cell r="S5643">
            <v>213003</v>
          </cell>
        </row>
        <row r="5644">
          <cell r="K5644" t="str">
            <v>226001</v>
          </cell>
          <cell r="M5644">
            <v>1</v>
          </cell>
          <cell r="R5644">
            <v>45784</v>
          </cell>
          <cell r="S5644">
            <v>226001</v>
          </cell>
        </row>
        <row r="5645">
          <cell r="K5645" t="str">
            <v>231012</v>
          </cell>
          <cell r="M5645">
            <v>1</v>
          </cell>
          <cell r="R5645">
            <v>45784</v>
          </cell>
          <cell r="S5645">
            <v>231012</v>
          </cell>
        </row>
        <row r="5646">
          <cell r="K5646" t="str">
            <v>217002</v>
          </cell>
          <cell r="M5646">
            <v>1</v>
          </cell>
          <cell r="R5646">
            <v>45784</v>
          </cell>
          <cell r="S5646">
            <v>217002</v>
          </cell>
        </row>
        <row r="5647">
          <cell r="K5647" t="str">
            <v>226001</v>
          </cell>
          <cell r="M5647">
            <v>4</v>
          </cell>
          <cell r="R5647">
            <v>45784</v>
          </cell>
          <cell r="S5647">
            <v>226001</v>
          </cell>
        </row>
        <row r="5648">
          <cell r="K5648" t="str">
            <v>222001</v>
          </cell>
          <cell r="M5648">
            <v>1</v>
          </cell>
          <cell r="R5648">
            <v>45784</v>
          </cell>
          <cell r="S5648">
            <v>222001</v>
          </cell>
        </row>
        <row r="5649">
          <cell r="K5649" t="str">
            <v>201011</v>
          </cell>
          <cell r="M5649">
            <v>1</v>
          </cell>
          <cell r="R5649">
            <v>45784</v>
          </cell>
          <cell r="S5649">
            <v>201011</v>
          </cell>
        </row>
        <row r="5650">
          <cell r="K5650" t="str">
            <v>236001</v>
          </cell>
          <cell r="M5650">
            <v>1</v>
          </cell>
          <cell r="R5650">
            <v>45784</v>
          </cell>
          <cell r="S5650">
            <v>236001</v>
          </cell>
        </row>
        <row r="5651">
          <cell r="K5651" t="str">
            <v>231004</v>
          </cell>
          <cell r="M5651">
            <v>2</v>
          </cell>
          <cell r="R5651">
            <v>45784</v>
          </cell>
          <cell r="S5651">
            <v>231004</v>
          </cell>
        </row>
        <row r="5652">
          <cell r="K5652" t="str">
            <v>212035</v>
          </cell>
          <cell r="M5652">
            <v>4</v>
          </cell>
          <cell r="R5652">
            <v>45784</v>
          </cell>
          <cell r="S5652">
            <v>212035</v>
          </cell>
        </row>
        <row r="5653">
          <cell r="K5653" t="str">
            <v>213003</v>
          </cell>
          <cell r="M5653">
            <v>1</v>
          </cell>
          <cell r="R5653">
            <v>45784</v>
          </cell>
          <cell r="S5653">
            <v>213003</v>
          </cell>
        </row>
        <row r="5654">
          <cell r="K5654" t="str">
            <v>222002</v>
          </cell>
          <cell r="M5654">
            <v>1</v>
          </cell>
          <cell r="R5654">
            <v>45785</v>
          </cell>
          <cell r="S5654">
            <v>222002</v>
          </cell>
        </row>
        <row r="5655">
          <cell r="K5655" t="str">
            <v>209004</v>
          </cell>
          <cell r="M5655">
            <v>2</v>
          </cell>
          <cell r="R5655">
            <v>45785</v>
          </cell>
          <cell r="S5655">
            <v>209004</v>
          </cell>
        </row>
        <row r="5656">
          <cell r="K5656" t="str">
            <v>207017</v>
          </cell>
          <cell r="M5656">
            <v>1</v>
          </cell>
          <cell r="R5656">
            <v>45785</v>
          </cell>
          <cell r="S5656">
            <v>207017</v>
          </cell>
        </row>
        <row r="5657">
          <cell r="K5657" t="str">
            <v>217002</v>
          </cell>
          <cell r="M5657">
            <v>1</v>
          </cell>
          <cell r="R5657">
            <v>45785</v>
          </cell>
          <cell r="S5657">
            <v>217002</v>
          </cell>
        </row>
        <row r="5658">
          <cell r="K5658" t="str">
            <v>231012</v>
          </cell>
          <cell r="M5658">
            <v>1</v>
          </cell>
          <cell r="R5658">
            <v>45785</v>
          </cell>
          <cell r="S5658">
            <v>231012</v>
          </cell>
        </row>
        <row r="5659">
          <cell r="K5659" t="str">
            <v>222001</v>
          </cell>
          <cell r="M5659">
            <v>1</v>
          </cell>
          <cell r="R5659">
            <v>45785</v>
          </cell>
          <cell r="S5659">
            <v>222001</v>
          </cell>
        </row>
        <row r="5660">
          <cell r="K5660" t="str">
            <v>209004</v>
          </cell>
          <cell r="M5660">
            <v>2</v>
          </cell>
          <cell r="R5660">
            <v>45785</v>
          </cell>
          <cell r="S5660">
            <v>209004</v>
          </cell>
        </row>
        <row r="5661">
          <cell r="K5661" t="str">
            <v>228001</v>
          </cell>
          <cell r="M5661">
            <v>2</v>
          </cell>
          <cell r="R5661">
            <v>45785</v>
          </cell>
          <cell r="S5661">
            <v>228001</v>
          </cell>
        </row>
        <row r="5662">
          <cell r="K5662" t="str">
            <v>202001</v>
          </cell>
          <cell r="M5662">
            <v>1</v>
          </cell>
          <cell r="R5662">
            <v>45785</v>
          </cell>
          <cell r="S5662">
            <v>202001</v>
          </cell>
        </row>
        <row r="5663">
          <cell r="K5663" t="str">
            <v>203004</v>
          </cell>
          <cell r="M5663">
            <v>1</v>
          </cell>
          <cell r="R5663">
            <v>45785</v>
          </cell>
          <cell r="S5663">
            <v>203004</v>
          </cell>
        </row>
        <row r="5664">
          <cell r="K5664" t="str">
            <v>226001</v>
          </cell>
          <cell r="M5664">
            <v>1</v>
          </cell>
          <cell r="R5664">
            <v>45785</v>
          </cell>
          <cell r="S5664">
            <v>226001</v>
          </cell>
        </row>
        <row r="5665">
          <cell r="K5665" t="str">
            <v>229001</v>
          </cell>
          <cell r="M5665">
            <v>12</v>
          </cell>
          <cell r="R5665">
            <v>45784</v>
          </cell>
          <cell r="S5665">
            <v>229001</v>
          </cell>
        </row>
        <row r="5666">
          <cell r="K5666" t="str">
            <v>226001</v>
          </cell>
          <cell r="M5666">
            <v>2</v>
          </cell>
          <cell r="R5666">
            <v>45784</v>
          </cell>
          <cell r="S5666">
            <v>226001</v>
          </cell>
        </row>
        <row r="5667">
          <cell r="K5667" t="str">
            <v>217002</v>
          </cell>
          <cell r="M5667">
            <v>1</v>
          </cell>
          <cell r="R5667">
            <v>45784</v>
          </cell>
          <cell r="S5667">
            <v>217002</v>
          </cell>
        </row>
        <row r="5668">
          <cell r="K5668" t="str">
            <v>228001</v>
          </cell>
          <cell r="M5668">
            <v>3</v>
          </cell>
          <cell r="R5668">
            <v>45785</v>
          </cell>
          <cell r="S5668">
            <v>228001</v>
          </cell>
        </row>
        <row r="5669">
          <cell r="K5669" t="str">
            <v>203001</v>
          </cell>
          <cell r="M5669">
            <v>1</v>
          </cell>
          <cell r="R5669">
            <v>45785</v>
          </cell>
          <cell r="S5669">
            <v>203001</v>
          </cell>
        </row>
        <row r="5670">
          <cell r="K5670" t="str">
            <v>231012</v>
          </cell>
          <cell r="M5670">
            <v>1</v>
          </cell>
          <cell r="R5670">
            <v>45785</v>
          </cell>
          <cell r="S5670">
            <v>231012</v>
          </cell>
        </row>
        <row r="5671">
          <cell r="K5671" t="str">
            <v>207017</v>
          </cell>
          <cell r="M5671">
            <v>1</v>
          </cell>
          <cell r="R5671">
            <v>45785</v>
          </cell>
          <cell r="S5671">
            <v>207017</v>
          </cell>
        </row>
        <row r="5672">
          <cell r="K5672" t="str">
            <v>223001</v>
          </cell>
          <cell r="M5672">
            <v>3</v>
          </cell>
          <cell r="R5672">
            <v>45785</v>
          </cell>
          <cell r="S5672">
            <v>223001</v>
          </cell>
        </row>
        <row r="5673">
          <cell r="K5673" t="str">
            <v>222001</v>
          </cell>
          <cell r="M5673">
            <v>3</v>
          </cell>
          <cell r="R5673">
            <v>45785</v>
          </cell>
          <cell r="S5673">
            <v>222001</v>
          </cell>
        </row>
        <row r="5674">
          <cell r="K5674" t="str">
            <v>228001</v>
          </cell>
          <cell r="M5674">
            <v>3</v>
          </cell>
          <cell r="R5674">
            <v>45785</v>
          </cell>
          <cell r="S5674">
            <v>228001</v>
          </cell>
        </row>
        <row r="5675">
          <cell r="K5675" t="str">
            <v>207017</v>
          </cell>
          <cell r="M5675">
            <v>1</v>
          </cell>
          <cell r="R5675">
            <v>45785</v>
          </cell>
          <cell r="S5675">
            <v>207017</v>
          </cell>
        </row>
        <row r="5676">
          <cell r="K5676" t="str">
            <v>212002</v>
          </cell>
          <cell r="M5676">
            <v>1</v>
          </cell>
          <cell r="R5676">
            <v>45785</v>
          </cell>
          <cell r="S5676">
            <v>212002</v>
          </cell>
        </row>
        <row r="5677">
          <cell r="K5677" t="str">
            <v>231012</v>
          </cell>
          <cell r="M5677">
            <v>1</v>
          </cell>
          <cell r="R5677">
            <v>45785</v>
          </cell>
          <cell r="S5677">
            <v>231012</v>
          </cell>
        </row>
        <row r="5678">
          <cell r="K5678" t="str">
            <v>228001</v>
          </cell>
          <cell r="M5678">
            <v>2</v>
          </cell>
          <cell r="R5678">
            <v>45785</v>
          </cell>
          <cell r="S5678">
            <v>228001</v>
          </cell>
        </row>
        <row r="5679">
          <cell r="K5679" t="str">
            <v>213002</v>
          </cell>
          <cell r="M5679">
            <v>5</v>
          </cell>
          <cell r="R5679">
            <v>45785</v>
          </cell>
          <cell r="S5679">
            <v>213002</v>
          </cell>
        </row>
        <row r="5680">
          <cell r="K5680" t="str">
            <v>226001</v>
          </cell>
          <cell r="M5680">
            <v>2</v>
          </cell>
          <cell r="R5680">
            <v>45785</v>
          </cell>
          <cell r="S5680">
            <v>226001</v>
          </cell>
        </row>
        <row r="5681">
          <cell r="K5681" t="str">
            <v>231012</v>
          </cell>
          <cell r="M5681">
            <v>1</v>
          </cell>
          <cell r="R5681">
            <v>45785</v>
          </cell>
          <cell r="S5681">
            <v>231012</v>
          </cell>
        </row>
        <row r="5682">
          <cell r="K5682" t="str">
            <v>209001</v>
          </cell>
          <cell r="M5682">
            <v>2</v>
          </cell>
          <cell r="R5682">
            <v>45785</v>
          </cell>
          <cell r="S5682">
            <v>209001</v>
          </cell>
        </row>
        <row r="5683">
          <cell r="K5683" t="str">
            <v>203003</v>
          </cell>
          <cell r="M5683">
            <v>2</v>
          </cell>
          <cell r="R5683">
            <v>45785</v>
          </cell>
          <cell r="S5683">
            <v>203003</v>
          </cell>
        </row>
        <row r="5684">
          <cell r="K5684" t="str">
            <v>228001</v>
          </cell>
          <cell r="M5684">
            <v>3</v>
          </cell>
          <cell r="R5684">
            <v>45785</v>
          </cell>
          <cell r="S5684">
            <v>228001</v>
          </cell>
        </row>
        <row r="5685">
          <cell r="K5685" t="str">
            <v>213002</v>
          </cell>
          <cell r="M5685">
            <v>20</v>
          </cell>
          <cell r="R5685">
            <v>45785</v>
          </cell>
          <cell r="S5685">
            <v>213002</v>
          </cell>
        </row>
        <row r="5686">
          <cell r="K5686" t="str">
            <v>217018</v>
          </cell>
          <cell r="M5686">
            <v>4</v>
          </cell>
          <cell r="R5686">
            <v>45785</v>
          </cell>
          <cell r="S5686">
            <v>217018</v>
          </cell>
        </row>
        <row r="5687">
          <cell r="K5687" t="str">
            <v>213002</v>
          </cell>
          <cell r="M5687">
            <v>1</v>
          </cell>
          <cell r="R5687">
            <v>45785</v>
          </cell>
          <cell r="S5687">
            <v>213002</v>
          </cell>
        </row>
        <row r="5688">
          <cell r="K5688" t="str">
            <v>201009</v>
          </cell>
          <cell r="M5688">
            <v>1</v>
          </cell>
          <cell r="R5688">
            <v>45785</v>
          </cell>
          <cell r="S5688">
            <v>201009</v>
          </cell>
        </row>
        <row r="5689">
          <cell r="K5689" t="str">
            <v>207017</v>
          </cell>
          <cell r="M5689">
            <v>1</v>
          </cell>
          <cell r="R5689">
            <v>45785</v>
          </cell>
          <cell r="S5689">
            <v>207017</v>
          </cell>
        </row>
        <row r="5690">
          <cell r="K5690" t="str">
            <v>207017</v>
          </cell>
          <cell r="M5690">
            <v>1</v>
          </cell>
          <cell r="R5690">
            <v>45785</v>
          </cell>
          <cell r="S5690">
            <v>207017</v>
          </cell>
        </row>
        <row r="5691">
          <cell r="K5691" t="str">
            <v>213002</v>
          </cell>
          <cell r="M5691">
            <v>3</v>
          </cell>
          <cell r="R5691">
            <v>45785</v>
          </cell>
          <cell r="S5691">
            <v>213002</v>
          </cell>
        </row>
        <row r="5692">
          <cell r="K5692" t="str">
            <v>213002</v>
          </cell>
          <cell r="M5692">
            <v>1</v>
          </cell>
          <cell r="R5692">
            <v>45785</v>
          </cell>
          <cell r="S5692">
            <v>213002</v>
          </cell>
        </row>
        <row r="5693">
          <cell r="K5693" t="str">
            <v>241001</v>
          </cell>
          <cell r="M5693">
            <v>4</v>
          </cell>
          <cell r="R5693">
            <v>45785</v>
          </cell>
          <cell r="S5693">
            <v>241001</v>
          </cell>
        </row>
        <row r="5694">
          <cell r="K5694" t="str">
            <v>222001</v>
          </cell>
          <cell r="M5694">
            <v>1</v>
          </cell>
          <cell r="R5694">
            <v>45785</v>
          </cell>
          <cell r="S5694">
            <v>222001</v>
          </cell>
        </row>
        <row r="5695">
          <cell r="K5695" t="str">
            <v>203003</v>
          </cell>
          <cell r="M5695">
            <v>1</v>
          </cell>
          <cell r="R5695">
            <v>45785</v>
          </cell>
          <cell r="S5695">
            <v>203003</v>
          </cell>
        </row>
        <row r="5696">
          <cell r="K5696" t="str">
            <v>213002</v>
          </cell>
          <cell r="M5696">
            <v>1</v>
          </cell>
          <cell r="R5696">
            <v>45785</v>
          </cell>
          <cell r="S5696">
            <v>213002</v>
          </cell>
        </row>
        <row r="5697">
          <cell r="K5697" t="str">
            <v>241001</v>
          </cell>
          <cell r="M5697">
            <v>4</v>
          </cell>
          <cell r="R5697">
            <v>45785</v>
          </cell>
          <cell r="S5697">
            <v>241001</v>
          </cell>
        </row>
        <row r="5698">
          <cell r="K5698" t="str">
            <v>213002</v>
          </cell>
          <cell r="M5698">
            <v>2</v>
          </cell>
          <cell r="R5698">
            <v>45785</v>
          </cell>
          <cell r="S5698">
            <v>213002</v>
          </cell>
        </row>
        <row r="5699">
          <cell r="K5699" t="str">
            <v>217002</v>
          </cell>
          <cell r="M5699">
            <v>8</v>
          </cell>
          <cell r="R5699">
            <v>45785</v>
          </cell>
          <cell r="S5699">
            <v>217002</v>
          </cell>
        </row>
        <row r="5700">
          <cell r="K5700" t="str">
            <v>213003</v>
          </cell>
          <cell r="M5700">
            <v>3</v>
          </cell>
          <cell r="R5700">
            <v>45785</v>
          </cell>
          <cell r="S5700">
            <v>213003</v>
          </cell>
        </row>
        <row r="5701">
          <cell r="K5701" t="str">
            <v>228001</v>
          </cell>
          <cell r="M5701">
            <v>15</v>
          </cell>
          <cell r="R5701">
            <v>45785</v>
          </cell>
          <cell r="S5701">
            <v>228001</v>
          </cell>
        </row>
        <row r="5702">
          <cell r="K5702" t="str">
            <v>213002</v>
          </cell>
          <cell r="M5702">
            <v>35</v>
          </cell>
          <cell r="R5702">
            <v>45785</v>
          </cell>
          <cell r="S5702">
            <v>213002</v>
          </cell>
        </row>
        <row r="5703">
          <cell r="K5703" t="str">
            <v>213003</v>
          </cell>
          <cell r="M5703">
            <v>2</v>
          </cell>
          <cell r="R5703">
            <v>45785</v>
          </cell>
          <cell r="S5703">
            <v>213003</v>
          </cell>
        </row>
        <row r="5704">
          <cell r="K5704" t="str">
            <v>213003</v>
          </cell>
          <cell r="M5704">
            <v>2</v>
          </cell>
          <cell r="R5704">
            <v>45785</v>
          </cell>
          <cell r="S5704">
            <v>213003</v>
          </cell>
        </row>
        <row r="5705">
          <cell r="K5705" t="str">
            <v>223003</v>
          </cell>
          <cell r="M5705">
            <v>9</v>
          </cell>
          <cell r="R5705">
            <v>45785</v>
          </cell>
          <cell r="S5705">
            <v>223003</v>
          </cell>
        </row>
        <row r="5706">
          <cell r="K5706" t="str">
            <v>201009</v>
          </cell>
          <cell r="M5706">
            <v>5</v>
          </cell>
          <cell r="R5706">
            <v>45785</v>
          </cell>
          <cell r="S5706">
            <v>201009</v>
          </cell>
        </row>
        <row r="5707">
          <cell r="K5707" t="str">
            <v>231012</v>
          </cell>
          <cell r="M5707">
            <v>1</v>
          </cell>
          <cell r="R5707">
            <v>45785</v>
          </cell>
          <cell r="S5707">
            <v>231012</v>
          </cell>
        </row>
        <row r="5708">
          <cell r="K5708" t="str">
            <v>217002</v>
          </cell>
          <cell r="M5708">
            <v>1</v>
          </cell>
          <cell r="R5708">
            <v>45786</v>
          </cell>
          <cell r="S5708">
            <v>217002</v>
          </cell>
        </row>
        <row r="5709">
          <cell r="K5709" t="str">
            <v>226023</v>
          </cell>
          <cell r="M5709">
            <v>1</v>
          </cell>
          <cell r="R5709">
            <v>45786</v>
          </cell>
          <cell r="S5709">
            <v>226023</v>
          </cell>
        </row>
        <row r="5710">
          <cell r="K5710" t="str">
            <v>226025</v>
          </cell>
          <cell r="M5710">
            <v>1</v>
          </cell>
          <cell r="R5710">
            <v>45786</v>
          </cell>
          <cell r="S5710">
            <v>226025</v>
          </cell>
        </row>
        <row r="5711">
          <cell r="K5711" t="str">
            <v>213018</v>
          </cell>
          <cell r="M5711">
            <v>1</v>
          </cell>
          <cell r="R5711">
            <v>45786</v>
          </cell>
          <cell r="S5711">
            <v>213018</v>
          </cell>
        </row>
        <row r="5712">
          <cell r="K5712" t="str">
            <v>217002</v>
          </cell>
          <cell r="M5712">
            <v>1</v>
          </cell>
          <cell r="R5712">
            <v>45786</v>
          </cell>
          <cell r="S5712">
            <v>217002</v>
          </cell>
        </row>
        <row r="5713">
          <cell r="K5713" t="str">
            <v>226001</v>
          </cell>
          <cell r="M5713">
            <v>1</v>
          </cell>
          <cell r="R5713">
            <v>45786</v>
          </cell>
          <cell r="S5713">
            <v>226001</v>
          </cell>
        </row>
        <row r="5714">
          <cell r="K5714" t="str">
            <v>237001</v>
          </cell>
          <cell r="M5714">
            <v>1</v>
          </cell>
          <cell r="R5714">
            <v>45786</v>
          </cell>
          <cell r="S5714">
            <v>237001</v>
          </cell>
        </row>
        <row r="5715">
          <cell r="K5715" t="str">
            <v>201005</v>
          </cell>
          <cell r="M5715">
            <v>2</v>
          </cell>
          <cell r="R5715">
            <v>45786</v>
          </cell>
          <cell r="S5715">
            <v>201005</v>
          </cell>
        </row>
        <row r="5716">
          <cell r="K5716" t="str">
            <v>226001</v>
          </cell>
          <cell r="M5716">
            <v>5</v>
          </cell>
          <cell r="R5716">
            <v>45786</v>
          </cell>
          <cell r="S5716">
            <v>226001</v>
          </cell>
        </row>
        <row r="5717">
          <cell r="K5717" t="str">
            <v>209001</v>
          </cell>
          <cell r="M5717">
            <v>1</v>
          </cell>
          <cell r="R5717">
            <v>45786</v>
          </cell>
          <cell r="S5717">
            <v>209001</v>
          </cell>
        </row>
        <row r="5718">
          <cell r="K5718" t="str">
            <v>217019</v>
          </cell>
          <cell r="M5718">
            <v>2</v>
          </cell>
          <cell r="R5718">
            <v>45786</v>
          </cell>
          <cell r="S5718">
            <v>217019</v>
          </cell>
        </row>
        <row r="5719">
          <cell r="K5719" t="str">
            <v>203001</v>
          </cell>
          <cell r="M5719">
            <v>1</v>
          </cell>
          <cell r="R5719">
            <v>45786</v>
          </cell>
          <cell r="S5719">
            <v>203001</v>
          </cell>
        </row>
        <row r="5720">
          <cell r="K5720" t="str">
            <v>213002</v>
          </cell>
          <cell r="M5720">
            <v>6</v>
          </cell>
          <cell r="R5720">
            <v>45786</v>
          </cell>
          <cell r="S5720">
            <v>213002</v>
          </cell>
        </row>
        <row r="5721">
          <cell r="K5721" t="str">
            <v>231012</v>
          </cell>
          <cell r="M5721">
            <v>4</v>
          </cell>
          <cell r="R5721">
            <v>45786</v>
          </cell>
          <cell r="S5721">
            <v>231012</v>
          </cell>
        </row>
        <row r="5722">
          <cell r="K5722" t="str">
            <v>213003</v>
          </cell>
          <cell r="M5722">
            <v>5</v>
          </cell>
          <cell r="R5722">
            <v>45785</v>
          </cell>
          <cell r="S5722">
            <v>213003</v>
          </cell>
        </row>
        <row r="5723">
          <cell r="K5723" t="str">
            <v>222001</v>
          </cell>
          <cell r="M5723">
            <v>2</v>
          </cell>
          <cell r="R5723">
            <v>45786</v>
          </cell>
          <cell r="S5723">
            <v>222001</v>
          </cell>
        </row>
        <row r="5724">
          <cell r="K5724" t="str">
            <v>241001</v>
          </cell>
          <cell r="M5724">
            <v>4</v>
          </cell>
          <cell r="R5724">
            <v>45786</v>
          </cell>
          <cell r="S5724">
            <v>241001</v>
          </cell>
        </row>
        <row r="5725">
          <cell r="K5725" t="str">
            <v>213003</v>
          </cell>
          <cell r="M5725">
            <v>3</v>
          </cell>
          <cell r="R5725">
            <v>45786</v>
          </cell>
          <cell r="S5725">
            <v>213003</v>
          </cell>
        </row>
        <row r="5726">
          <cell r="K5726" t="str">
            <v>222002</v>
          </cell>
          <cell r="M5726">
            <v>4</v>
          </cell>
          <cell r="R5726">
            <v>45786</v>
          </cell>
          <cell r="S5726">
            <v>222002</v>
          </cell>
        </row>
        <row r="5727">
          <cell r="K5727" t="str">
            <v>201002</v>
          </cell>
          <cell r="M5727">
            <v>4</v>
          </cell>
          <cell r="R5727">
            <v>45786</v>
          </cell>
          <cell r="S5727">
            <v>201002</v>
          </cell>
        </row>
        <row r="5728">
          <cell r="K5728" t="str">
            <v>237001</v>
          </cell>
          <cell r="M5728">
            <v>1</v>
          </cell>
          <cell r="R5728">
            <v>45786</v>
          </cell>
          <cell r="S5728">
            <v>237001</v>
          </cell>
        </row>
        <row r="5729">
          <cell r="K5729" t="str">
            <v>201005</v>
          </cell>
          <cell r="M5729">
            <v>2</v>
          </cell>
          <cell r="R5729">
            <v>45786</v>
          </cell>
          <cell r="S5729">
            <v>201005</v>
          </cell>
        </row>
        <row r="5730">
          <cell r="K5730" t="str">
            <v>228001</v>
          </cell>
          <cell r="M5730">
            <v>8</v>
          </cell>
          <cell r="R5730">
            <v>45786</v>
          </cell>
          <cell r="S5730">
            <v>228001</v>
          </cell>
        </row>
        <row r="5731">
          <cell r="K5731" t="str">
            <v>231012</v>
          </cell>
          <cell r="M5731">
            <v>16</v>
          </cell>
          <cell r="R5731">
            <v>45786</v>
          </cell>
          <cell r="S5731">
            <v>231012</v>
          </cell>
        </row>
        <row r="5732">
          <cell r="K5732" t="str">
            <v>205004</v>
          </cell>
          <cell r="M5732">
            <v>1</v>
          </cell>
          <cell r="R5732">
            <v>45786</v>
          </cell>
          <cell r="S5732">
            <v>205004</v>
          </cell>
        </row>
        <row r="5733">
          <cell r="K5733" t="str">
            <v>227001</v>
          </cell>
          <cell r="M5733">
            <v>2</v>
          </cell>
          <cell r="R5733">
            <v>45786</v>
          </cell>
          <cell r="S5733">
            <v>227001</v>
          </cell>
        </row>
        <row r="5734">
          <cell r="K5734" t="str">
            <v>232001</v>
          </cell>
          <cell r="M5734">
            <v>2</v>
          </cell>
          <cell r="R5734">
            <v>45786</v>
          </cell>
          <cell r="S5734">
            <v>232001</v>
          </cell>
        </row>
        <row r="5735">
          <cell r="K5735" t="str">
            <v>217002</v>
          </cell>
          <cell r="M5735">
            <v>1</v>
          </cell>
          <cell r="R5735">
            <v>45786</v>
          </cell>
          <cell r="S5735">
            <v>217002</v>
          </cell>
        </row>
        <row r="5736">
          <cell r="K5736" t="str">
            <v>201002</v>
          </cell>
          <cell r="M5736">
            <v>3</v>
          </cell>
          <cell r="R5736">
            <v>45786</v>
          </cell>
          <cell r="S5736">
            <v>201002</v>
          </cell>
        </row>
        <row r="5737">
          <cell r="K5737" t="str">
            <v>241001</v>
          </cell>
          <cell r="M5737">
            <v>3</v>
          </cell>
          <cell r="R5737">
            <v>45786</v>
          </cell>
          <cell r="S5737">
            <v>241001</v>
          </cell>
        </row>
        <row r="5738">
          <cell r="K5738" t="str">
            <v>228001</v>
          </cell>
          <cell r="M5738">
            <v>1</v>
          </cell>
          <cell r="R5738">
            <v>45786</v>
          </cell>
          <cell r="S5738">
            <v>228001</v>
          </cell>
        </row>
        <row r="5739">
          <cell r="K5739" t="str">
            <v>217018</v>
          </cell>
          <cell r="M5739">
            <v>1</v>
          </cell>
          <cell r="R5739">
            <v>45786</v>
          </cell>
          <cell r="S5739">
            <v>217018</v>
          </cell>
        </row>
        <row r="5740">
          <cell r="K5740" t="str">
            <v>217019</v>
          </cell>
          <cell r="M5740">
            <v>1</v>
          </cell>
          <cell r="R5740">
            <v>45786</v>
          </cell>
          <cell r="S5740">
            <v>217019</v>
          </cell>
        </row>
        <row r="5741">
          <cell r="K5741" t="str">
            <v>217002</v>
          </cell>
          <cell r="M5741">
            <v>2</v>
          </cell>
          <cell r="R5741">
            <v>45786</v>
          </cell>
          <cell r="S5741">
            <v>217002</v>
          </cell>
        </row>
        <row r="5742">
          <cell r="K5742" t="str">
            <v>223001</v>
          </cell>
          <cell r="M5742">
            <v>1</v>
          </cell>
          <cell r="R5742">
            <v>45786</v>
          </cell>
          <cell r="S5742">
            <v>223001</v>
          </cell>
        </row>
        <row r="5743">
          <cell r="K5743" t="str">
            <v>231012</v>
          </cell>
          <cell r="M5743">
            <v>2</v>
          </cell>
          <cell r="R5743">
            <v>45786</v>
          </cell>
          <cell r="S5743">
            <v>231012</v>
          </cell>
        </row>
        <row r="5744">
          <cell r="K5744" t="str">
            <v>201011</v>
          </cell>
          <cell r="M5744">
            <v>1</v>
          </cell>
          <cell r="R5744">
            <v>45786</v>
          </cell>
          <cell r="S5744">
            <v>201011</v>
          </cell>
        </row>
        <row r="5745">
          <cell r="K5745" t="str">
            <v>237001</v>
          </cell>
          <cell r="M5745">
            <v>1</v>
          </cell>
          <cell r="R5745">
            <v>45786</v>
          </cell>
          <cell r="S5745">
            <v>237001</v>
          </cell>
        </row>
        <row r="5746">
          <cell r="K5746" t="str">
            <v>213003</v>
          </cell>
          <cell r="M5746">
            <v>5</v>
          </cell>
          <cell r="R5746">
            <v>45786</v>
          </cell>
          <cell r="S5746">
            <v>213003</v>
          </cell>
        </row>
        <row r="5747">
          <cell r="K5747" t="str">
            <v>229004</v>
          </cell>
          <cell r="M5747">
            <v>4</v>
          </cell>
          <cell r="R5747">
            <v>45786</v>
          </cell>
          <cell r="S5747">
            <v>229004</v>
          </cell>
        </row>
        <row r="5748">
          <cell r="K5748" t="str">
            <v>201011</v>
          </cell>
          <cell r="M5748">
            <v>36</v>
          </cell>
          <cell r="R5748">
            <v>45787</v>
          </cell>
          <cell r="S5748">
            <v>201011</v>
          </cell>
        </row>
        <row r="5749">
          <cell r="K5749" t="str">
            <v>201011</v>
          </cell>
          <cell r="M5749">
            <v>20</v>
          </cell>
          <cell r="R5749">
            <v>45788</v>
          </cell>
          <cell r="S5749">
            <v>201011</v>
          </cell>
        </row>
        <row r="5750">
          <cell r="K5750" t="str">
            <v>213003</v>
          </cell>
          <cell r="M5750">
            <v>10</v>
          </cell>
          <cell r="R5750">
            <v>45789</v>
          </cell>
          <cell r="S5750">
            <v>213003</v>
          </cell>
        </row>
        <row r="5751">
          <cell r="K5751" t="str">
            <v>217002</v>
          </cell>
          <cell r="M5751">
            <v>1</v>
          </cell>
          <cell r="R5751">
            <v>45789</v>
          </cell>
          <cell r="S5751">
            <v>217002</v>
          </cell>
        </row>
        <row r="5752">
          <cell r="K5752" t="str">
            <v>201011</v>
          </cell>
          <cell r="M5752">
            <v>6</v>
          </cell>
          <cell r="R5752">
            <v>45789</v>
          </cell>
          <cell r="S5752">
            <v>201011</v>
          </cell>
        </row>
        <row r="5753">
          <cell r="K5753" t="str">
            <v>212035</v>
          </cell>
          <cell r="M5753">
            <v>2</v>
          </cell>
          <cell r="R5753">
            <v>45789</v>
          </cell>
          <cell r="S5753">
            <v>212035</v>
          </cell>
        </row>
        <row r="5754">
          <cell r="K5754" t="str">
            <v>201011</v>
          </cell>
          <cell r="M5754">
            <v>2</v>
          </cell>
          <cell r="R5754">
            <v>45789</v>
          </cell>
          <cell r="S5754">
            <v>201011</v>
          </cell>
        </row>
        <row r="5755">
          <cell r="K5755" t="str">
            <v>231012</v>
          </cell>
          <cell r="M5755">
            <v>1</v>
          </cell>
          <cell r="R5755">
            <v>45789</v>
          </cell>
          <cell r="S5755">
            <v>231012</v>
          </cell>
        </row>
        <row r="5756">
          <cell r="K5756" t="str">
            <v>226003</v>
          </cell>
          <cell r="M5756">
            <v>1</v>
          </cell>
          <cell r="R5756">
            <v>45789</v>
          </cell>
          <cell r="S5756">
            <v>226003</v>
          </cell>
        </row>
        <row r="5757">
          <cell r="K5757" t="str">
            <v>223002</v>
          </cell>
          <cell r="M5757">
            <v>3</v>
          </cell>
          <cell r="R5757">
            <v>45789</v>
          </cell>
          <cell r="S5757">
            <v>223002</v>
          </cell>
        </row>
        <row r="5758">
          <cell r="K5758" t="str">
            <v>223001</v>
          </cell>
          <cell r="M5758">
            <v>3</v>
          </cell>
          <cell r="R5758">
            <v>45789</v>
          </cell>
          <cell r="S5758">
            <v>223001</v>
          </cell>
        </row>
        <row r="5759">
          <cell r="K5759" t="str">
            <v>201011</v>
          </cell>
          <cell r="M5759">
            <v>2</v>
          </cell>
          <cell r="R5759">
            <v>45789</v>
          </cell>
          <cell r="S5759">
            <v>201011</v>
          </cell>
        </row>
        <row r="5760">
          <cell r="K5760" t="str">
            <v>241001</v>
          </cell>
          <cell r="M5760">
            <v>2</v>
          </cell>
          <cell r="R5760">
            <v>45789</v>
          </cell>
          <cell r="S5760">
            <v>241001</v>
          </cell>
        </row>
        <row r="5761">
          <cell r="K5761" t="str">
            <v>201011</v>
          </cell>
          <cell r="M5761">
            <v>1</v>
          </cell>
          <cell r="R5761">
            <v>45789</v>
          </cell>
          <cell r="S5761">
            <v>201011</v>
          </cell>
        </row>
        <row r="5762">
          <cell r="K5762" t="str">
            <v>203001</v>
          </cell>
          <cell r="M5762">
            <v>4</v>
          </cell>
          <cell r="R5762">
            <v>45788</v>
          </cell>
          <cell r="S5762">
            <v>203001</v>
          </cell>
        </row>
        <row r="5763">
          <cell r="K5763" t="str">
            <v>228001</v>
          </cell>
          <cell r="M5763">
            <v>1</v>
          </cell>
          <cell r="R5763">
            <v>45788</v>
          </cell>
          <cell r="S5763">
            <v>228001</v>
          </cell>
        </row>
        <row r="5764">
          <cell r="K5764" t="str">
            <v>231012</v>
          </cell>
          <cell r="M5764">
            <v>5</v>
          </cell>
          <cell r="R5764">
            <v>45788</v>
          </cell>
          <cell r="S5764">
            <v>231012</v>
          </cell>
        </row>
        <row r="5765">
          <cell r="K5765" t="str">
            <v>201011</v>
          </cell>
          <cell r="M5765">
            <v>1</v>
          </cell>
          <cell r="R5765">
            <v>45788</v>
          </cell>
          <cell r="S5765">
            <v>201011</v>
          </cell>
        </row>
        <row r="5766">
          <cell r="K5766" t="str">
            <v>223001</v>
          </cell>
          <cell r="M5766">
            <v>15</v>
          </cell>
          <cell r="R5766">
            <v>45788</v>
          </cell>
          <cell r="S5766">
            <v>223001</v>
          </cell>
        </row>
        <row r="5767">
          <cell r="K5767" t="str">
            <v>209022</v>
          </cell>
          <cell r="M5767">
            <v>6</v>
          </cell>
          <cell r="R5767">
            <v>45788</v>
          </cell>
          <cell r="S5767">
            <v>209022</v>
          </cell>
        </row>
        <row r="5768">
          <cell r="K5768" t="str">
            <v>227012</v>
          </cell>
          <cell r="M5768">
            <v>1</v>
          </cell>
          <cell r="R5768">
            <v>45788</v>
          </cell>
          <cell r="S5768">
            <v>227012</v>
          </cell>
        </row>
        <row r="5769">
          <cell r="K5769" t="str">
            <v>201011</v>
          </cell>
          <cell r="M5769">
            <v>4</v>
          </cell>
          <cell r="R5769">
            <v>45788</v>
          </cell>
          <cell r="S5769">
            <v>201011</v>
          </cell>
        </row>
        <row r="5770">
          <cell r="K5770" t="str">
            <v>213003</v>
          </cell>
          <cell r="M5770">
            <v>1</v>
          </cell>
          <cell r="R5770">
            <v>45787</v>
          </cell>
          <cell r="S5770">
            <v>213003</v>
          </cell>
        </row>
        <row r="5771">
          <cell r="K5771" t="str">
            <v>241001</v>
          </cell>
          <cell r="M5771">
            <v>3</v>
          </cell>
          <cell r="R5771">
            <v>45787</v>
          </cell>
          <cell r="S5771">
            <v>241001</v>
          </cell>
        </row>
        <row r="5772">
          <cell r="K5772" t="str">
            <v>212035</v>
          </cell>
          <cell r="M5772">
            <v>1</v>
          </cell>
          <cell r="R5772">
            <v>45788</v>
          </cell>
          <cell r="S5772">
            <v>212035</v>
          </cell>
        </row>
        <row r="5773">
          <cell r="K5773" t="str">
            <v>228001</v>
          </cell>
          <cell r="M5773">
            <v>13</v>
          </cell>
          <cell r="R5773">
            <v>45789</v>
          </cell>
          <cell r="S5773">
            <v>228001</v>
          </cell>
        </row>
        <row r="5774">
          <cell r="K5774" t="str">
            <v>217019</v>
          </cell>
          <cell r="M5774">
            <v>44</v>
          </cell>
          <cell r="R5774">
            <v>45789</v>
          </cell>
          <cell r="S5774">
            <v>217019</v>
          </cell>
        </row>
        <row r="5775">
          <cell r="K5775" t="str">
            <v>201011</v>
          </cell>
          <cell r="M5775">
            <v>4</v>
          </cell>
          <cell r="R5775">
            <v>45788</v>
          </cell>
          <cell r="S5775">
            <v>201011</v>
          </cell>
        </row>
        <row r="5776">
          <cell r="K5776" t="str">
            <v>222001</v>
          </cell>
          <cell r="M5776">
            <v>1</v>
          </cell>
          <cell r="R5776">
            <v>45788</v>
          </cell>
          <cell r="S5776">
            <v>222001</v>
          </cell>
        </row>
        <row r="5777">
          <cell r="K5777" t="str">
            <v>213002</v>
          </cell>
          <cell r="M5777">
            <v>1</v>
          </cell>
          <cell r="R5777">
            <v>45788</v>
          </cell>
          <cell r="S5777">
            <v>213002</v>
          </cell>
        </row>
        <row r="5778">
          <cell r="K5778" t="str">
            <v>208001</v>
          </cell>
          <cell r="M5778">
            <v>1</v>
          </cell>
          <cell r="R5778">
            <v>45788</v>
          </cell>
          <cell r="S5778">
            <v>208001</v>
          </cell>
        </row>
        <row r="5779">
          <cell r="K5779" t="str">
            <v>206002</v>
          </cell>
          <cell r="M5779">
            <v>1</v>
          </cell>
          <cell r="R5779">
            <v>45788</v>
          </cell>
          <cell r="S5779">
            <v>206002</v>
          </cell>
        </row>
        <row r="5780">
          <cell r="K5780" t="str">
            <v>213003</v>
          </cell>
          <cell r="M5780">
            <v>3</v>
          </cell>
          <cell r="R5780">
            <v>45789</v>
          </cell>
          <cell r="S5780">
            <v>213003</v>
          </cell>
        </row>
        <row r="5781">
          <cell r="K5781" t="str">
            <v>222001</v>
          </cell>
          <cell r="M5781">
            <v>1</v>
          </cell>
          <cell r="R5781">
            <v>45789</v>
          </cell>
          <cell r="S5781">
            <v>222001</v>
          </cell>
        </row>
        <row r="5782">
          <cell r="K5782" t="str">
            <v>213002</v>
          </cell>
          <cell r="M5782">
            <v>1</v>
          </cell>
          <cell r="R5782">
            <v>45789</v>
          </cell>
          <cell r="S5782">
            <v>213002</v>
          </cell>
        </row>
        <row r="5783">
          <cell r="K5783" t="str">
            <v>223002</v>
          </cell>
          <cell r="M5783">
            <v>6</v>
          </cell>
          <cell r="R5783">
            <v>45789</v>
          </cell>
          <cell r="S5783">
            <v>223002</v>
          </cell>
        </row>
        <row r="5784">
          <cell r="K5784" t="str">
            <v>203001</v>
          </cell>
          <cell r="M5784">
            <v>1</v>
          </cell>
          <cell r="R5784">
            <v>45789</v>
          </cell>
          <cell r="S5784">
            <v>203001</v>
          </cell>
        </row>
        <row r="5785">
          <cell r="K5785" t="str">
            <v>201011</v>
          </cell>
          <cell r="M5785">
            <v>6</v>
          </cell>
          <cell r="R5785">
            <v>45789</v>
          </cell>
          <cell r="S5785">
            <v>201011</v>
          </cell>
        </row>
        <row r="5786">
          <cell r="K5786" t="str">
            <v>201011</v>
          </cell>
          <cell r="M5786">
            <v>1</v>
          </cell>
          <cell r="R5786">
            <v>45789</v>
          </cell>
          <cell r="S5786">
            <v>201011</v>
          </cell>
        </row>
        <row r="5787">
          <cell r="K5787" t="str">
            <v>223001</v>
          </cell>
          <cell r="M5787">
            <v>2</v>
          </cell>
          <cell r="R5787">
            <v>45789</v>
          </cell>
          <cell r="S5787">
            <v>223001</v>
          </cell>
        </row>
        <row r="5788">
          <cell r="K5788" t="str">
            <v>228001</v>
          </cell>
          <cell r="M5788">
            <v>4</v>
          </cell>
          <cell r="R5788">
            <v>45789</v>
          </cell>
          <cell r="S5788">
            <v>228001</v>
          </cell>
        </row>
        <row r="5789">
          <cell r="K5789" t="str">
            <v>209004</v>
          </cell>
          <cell r="M5789">
            <v>1</v>
          </cell>
          <cell r="R5789">
            <v>45789</v>
          </cell>
          <cell r="S5789">
            <v>209004</v>
          </cell>
        </row>
        <row r="5790">
          <cell r="K5790" t="str">
            <v>228001</v>
          </cell>
          <cell r="M5790">
            <v>4</v>
          </cell>
          <cell r="R5790">
            <v>45789</v>
          </cell>
          <cell r="S5790">
            <v>228001</v>
          </cell>
        </row>
        <row r="5791">
          <cell r="K5791" t="str">
            <v>231012</v>
          </cell>
          <cell r="M5791">
            <v>1</v>
          </cell>
          <cell r="R5791">
            <v>45789</v>
          </cell>
          <cell r="S5791">
            <v>231012</v>
          </cell>
        </row>
        <row r="5792">
          <cell r="K5792" t="str">
            <v>207017</v>
          </cell>
          <cell r="M5792">
            <v>1</v>
          </cell>
          <cell r="R5792">
            <v>45789</v>
          </cell>
          <cell r="S5792">
            <v>207017</v>
          </cell>
        </row>
        <row r="5793">
          <cell r="K5793" t="str">
            <v>201009</v>
          </cell>
          <cell r="M5793">
            <v>1</v>
          </cell>
          <cell r="R5793">
            <v>45789</v>
          </cell>
          <cell r="S5793">
            <v>201009</v>
          </cell>
        </row>
        <row r="5794">
          <cell r="K5794" t="str">
            <v>228001</v>
          </cell>
          <cell r="M5794">
            <v>5</v>
          </cell>
          <cell r="R5794">
            <v>45789</v>
          </cell>
          <cell r="S5794">
            <v>228001</v>
          </cell>
        </row>
        <row r="5795">
          <cell r="K5795" t="str">
            <v>231012</v>
          </cell>
          <cell r="M5795">
            <v>1</v>
          </cell>
          <cell r="R5795">
            <v>45789</v>
          </cell>
          <cell r="S5795">
            <v>231012</v>
          </cell>
        </row>
        <row r="5796">
          <cell r="K5796" t="str">
            <v>228001</v>
          </cell>
          <cell r="M5796">
            <v>2</v>
          </cell>
          <cell r="R5796">
            <v>45789</v>
          </cell>
          <cell r="S5796">
            <v>228001</v>
          </cell>
        </row>
        <row r="5797">
          <cell r="K5797" t="str">
            <v>201011</v>
          </cell>
          <cell r="M5797">
            <v>1</v>
          </cell>
          <cell r="R5797">
            <v>45789</v>
          </cell>
          <cell r="S5797">
            <v>201011</v>
          </cell>
        </row>
        <row r="5798">
          <cell r="K5798" t="str">
            <v>201011</v>
          </cell>
          <cell r="M5798">
            <v>2</v>
          </cell>
          <cell r="R5798">
            <v>45789</v>
          </cell>
          <cell r="S5798">
            <v>201011</v>
          </cell>
        </row>
        <row r="5799">
          <cell r="K5799" t="str">
            <v>213003</v>
          </cell>
          <cell r="M5799">
            <v>5</v>
          </cell>
          <cell r="R5799">
            <v>45789</v>
          </cell>
          <cell r="S5799">
            <v>213003</v>
          </cell>
        </row>
        <row r="5800">
          <cell r="K5800" t="str">
            <v>237001</v>
          </cell>
          <cell r="M5800">
            <v>1</v>
          </cell>
          <cell r="R5800">
            <v>45789</v>
          </cell>
          <cell r="S5800">
            <v>237001</v>
          </cell>
        </row>
        <row r="5801">
          <cell r="K5801" t="str">
            <v>201011</v>
          </cell>
          <cell r="M5801">
            <v>7</v>
          </cell>
          <cell r="R5801">
            <v>45789</v>
          </cell>
          <cell r="S5801">
            <v>201011</v>
          </cell>
        </row>
        <row r="5802">
          <cell r="K5802" t="str">
            <v>213003</v>
          </cell>
          <cell r="M5802">
            <v>1</v>
          </cell>
          <cell r="R5802">
            <v>45789</v>
          </cell>
          <cell r="S5802">
            <v>213003</v>
          </cell>
        </row>
        <row r="5803">
          <cell r="K5803" t="str">
            <v>223002</v>
          </cell>
          <cell r="M5803">
            <v>5</v>
          </cell>
          <cell r="R5803">
            <v>45789</v>
          </cell>
          <cell r="S5803">
            <v>223002</v>
          </cell>
        </row>
        <row r="5804">
          <cell r="K5804" t="str">
            <v>227012</v>
          </cell>
          <cell r="M5804">
            <v>3</v>
          </cell>
          <cell r="R5804">
            <v>45789</v>
          </cell>
          <cell r="S5804">
            <v>227012</v>
          </cell>
        </row>
        <row r="5805">
          <cell r="K5805" t="str">
            <v>223001</v>
          </cell>
          <cell r="M5805">
            <v>10</v>
          </cell>
          <cell r="R5805">
            <v>45789</v>
          </cell>
          <cell r="S5805">
            <v>223001</v>
          </cell>
        </row>
        <row r="5806">
          <cell r="K5806" t="str">
            <v>223002</v>
          </cell>
          <cell r="M5806">
            <v>1</v>
          </cell>
          <cell r="R5806">
            <v>45789</v>
          </cell>
          <cell r="S5806">
            <v>223002</v>
          </cell>
        </row>
        <row r="5807">
          <cell r="K5807" t="str">
            <v>201011</v>
          </cell>
          <cell r="M5807">
            <v>2</v>
          </cell>
          <cell r="R5807">
            <v>45789</v>
          </cell>
          <cell r="S5807">
            <v>201011</v>
          </cell>
        </row>
        <row r="5808">
          <cell r="K5808" t="str">
            <v>231012</v>
          </cell>
          <cell r="M5808">
            <v>10</v>
          </cell>
          <cell r="R5808">
            <v>45789</v>
          </cell>
          <cell r="S5808">
            <v>231012</v>
          </cell>
        </row>
        <row r="5809">
          <cell r="K5809" t="str">
            <v>228001</v>
          </cell>
          <cell r="M5809">
            <v>2</v>
          </cell>
          <cell r="R5809">
            <v>45789</v>
          </cell>
          <cell r="S5809">
            <v>228001</v>
          </cell>
        </row>
        <row r="5810">
          <cell r="K5810" t="str">
            <v>222002</v>
          </cell>
          <cell r="M5810">
            <v>1</v>
          </cell>
          <cell r="R5810">
            <v>45789</v>
          </cell>
          <cell r="S5810">
            <v>222002</v>
          </cell>
        </row>
        <row r="5811">
          <cell r="K5811" t="str">
            <v>241001</v>
          </cell>
          <cell r="M5811">
            <v>1</v>
          </cell>
          <cell r="R5811">
            <v>45789</v>
          </cell>
          <cell r="S5811">
            <v>241001</v>
          </cell>
        </row>
        <row r="5812">
          <cell r="K5812" t="str">
            <v>228001</v>
          </cell>
          <cell r="M5812">
            <v>3</v>
          </cell>
          <cell r="R5812">
            <v>45789</v>
          </cell>
          <cell r="S5812">
            <v>228001</v>
          </cell>
        </row>
        <row r="5813">
          <cell r="K5813" t="str">
            <v>201011</v>
          </cell>
          <cell r="M5813">
            <v>10</v>
          </cell>
          <cell r="R5813">
            <v>45789</v>
          </cell>
          <cell r="S5813">
            <v>201011</v>
          </cell>
        </row>
        <row r="5814">
          <cell r="K5814" t="str">
            <v>201011</v>
          </cell>
          <cell r="M5814">
            <v>15</v>
          </cell>
          <cell r="R5814">
            <v>45789</v>
          </cell>
          <cell r="S5814">
            <v>201011</v>
          </cell>
        </row>
        <row r="5815">
          <cell r="K5815" t="str">
            <v>213003</v>
          </cell>
          <cell r="M5815">
            <v>3</v>
          </cell>
          <cell r="R5815">
            <v>45789</v>
          </cell>
          <cell r="S5815">
            <v>213003</v>
          </cell>
        </row>
        <row r="5816">
          <cell r="K5816" t="str">
            <v>217018</v>
          </cell>
          <cell r="M5816">
            <v>3</v>
          </cell>
          <cell r="R5816">
            <v>45789</v>
          </cell>
          <cell r="S5816">
            <v>217018</v>
          </cell>
        </row>
        <row r="5817">
          <cell r="K5817" t="str">
            <v>217018</v>
          </cell>
          <cell r="M5817">
            <v>1</v>
          </cell>
          <cell r="R5817">
            <v>45789</v>
          </cell>
          <cell r="S5817">
            <v>217018</v>
          </cell>
        </row>
        <row r="5818">
          <cell r="K5818" t="str">
            <v>201011</v>
          </cell>
          <cell r="M5818">
            <v>2</v>
          </cell>
          <cell r="R5818">
            <v>45789</v>
          </cell>
          <cell r="S5818">
            <v>201011</v>
          </cell>
        </row>
        <row r="5819">
          <cell r="K5819" t="str">
            <v>217002</v>
          </cell>
          <cell r="M5819">
            <v>1</v>
          </cell>
          <cell r="R5819">
            <v>45789</v>
          </cell>
          <cell r="S5819">
            <v>217002</v>
          </cell>
        </row>
        <row r="5820">
          <cell r="K5820" t="str">
            <v>213003</v>
          </cell>
          <cell r="M5820">
            <v>1</v>
          </cell>
          <cell r="R5820">
            <v>45789</v>
          </cell>
          <cell r="S5820">
            <v>213003</v>
          </cell>
        </row>
        <row r="5821">
          <cell r="K5821" t="str">
            <v>228001</v>
          </cell>
          <cell r="M5821">
            <v>3</v>
          </cell>
          <cell r="R5821">
            <v>45789</v>
          </cell>
          <cell r="S5821">
            <v>228001</v>
          </cell>
        </row>
        <row r="5822">
          <cell r="K5822" t="str">
            <v>234001</v>
          </cell>
          <cell r="M5822">
            <v>1</v>
          </cell>
          <cell r="R5822">
            <v>45789</v>
          </cell>
          <cell r="S5822">
            <v>234001</v>
          </cell>
        </row>
        <row r="5823">
          <cell r="K5823" t="str">
            <v>201011</v>
          </cell>
          <cell r="M5823">
            <v>6</v>
          </cell>
          <cell r="R5823">
            <v>45789</v>
          </cell>
          <cell r="S5823">
            <v>201011</v>
          </cell>
        </row>
        <row r="5824">
          <cell r="K5824" t="str">
            <v>201011</v>
          </cell>
          <cell r="M5824">
            <v>6</v>
          </cell>
          <cell r="R5824">
            <v>45789</v>
          </cell>
          <cell r="S5824">
            <v>201011</v>
          </cell>
        </row>
        <row r="5825">
          <cell r="K5825" t="str">
            <v>241001</v>
          </cell>
          <cell r="M5825">
            <v>12</v>
          </cell>
          <cell r="R5825">
            <v>45789</v>
          </cell>
          <cell r="S5825">
            <v>241001</v>
          </cell>
        </row>
        <row r="5826">
          <cell r="K5826" t="str">
            <v>222001</v>
          </cell>
          <cell r="M5826">
            <v>1</v>
          </cell>
          <cell r="R5826">
            <v>45789</v>
          </cell>
          <cell r="S5826">
            <v>222001</v>
          </cell>
        </row>
        <row r="5827">
          <cell r="K5827" t="str">
            <v>203003</v>
          </cell>
          <cell r="M5827">
            <v>2</v>
          </cell>
          <cell r="R5827">
            <v>45789</v>
          </cell>
          <cell r="S5827">
            <v>203003</v>
          </cell>
        </row>
        <row r="5828">
          <cell r="K5828" t="str">
            <v>228001</v>
          </cell>
          <cell r="M5828">
            <v>2</v>
          </cell>
          <cell r="R5828">
            <v>45789</v>
          </cell>
          <cell r="S5828">
            <v>228001</v>
          </cell>
        </row>
        <row r="5829">
          <cell r="K5829" t="str">
            <v>213003</v>
          </cell>
          <cell r="M5829">
            <v>1</v>
          </cell>
          <cell r="R5829">
            <v>45789</v>
          </cell>
          <cell r="S5829">
            <v>213003</v>
          </cell>
        </row>
        <row r="5830">
          <cell r="K5830" t="str">
            <v>201004</v>
          </cell>
          <cell r="M5830">
            <v>1</v>
          </cell>
          <cell r="R5830">
            <v>45789</v>
          </cell>
          <cell r="S5830">
            <v>201004</v>
          </cell>
        </row>
        <row r="5831">
          <cell r="K5831" t="str">
            <v>222001</v>
          </cell>
          <cell r="M5831">
            <v>2</v>
          </cell>
          <cell r="R5831">
            <v>45789</v>
          </cell>
          <cell r="S5831">
            <v>222001</v>
          </cell>
        </row>
        <row r="5832">
          <cell r="K5832" t="str">
            <v>213003</v>
          </cell>
          <cell r="M5832">
            <v>3</v>
          </cell>
          <cell r="R5832">
            <v>45789</v>
          </cell>
          <cell r="S5832">
            <v>213003</v>
          </cell>
        </row>
        <row r="5833">
          <cell r="K5833" t="str">
            <v>212019</v>
          </cell>
          <cell r="M5833">
            <v>1</v>
          </cell>
          <cell r="R5833">
            <v>45789</v>
          </cell>
          <cell r="S5833">
            <v>212019</v>
          </cell>
        </row>
        <row r="5834">
          <cell r="K5834" t="str">
            <v>241001</v>
          </cell>
          <cell r="M5834">
            <v>4</v>
          </cell>
          <cell r="R5834">
            <v>45789</v>
          </cell>
          <cell r="S5834">
            <v>241001</v>
          </cell>
        </row>
        <row r="5835">
          <cell r="K5835" t="str">
            <v>217019</v>
          </cell>
          <cell r="M5835">
            <v>6</v>
          </cell>
          <cell r="R5835">
            <v>45790</v>
          </cell>
          <cell r="S5835">
            <v>217019</v>
          </cell>
        </row>
        <row r="5836">
          <cell r="K5836" t="str">
            <v>201011</v>
          </cell>
          <cell r="M5836">
            <v>10</v>
          </cell>
          <cell r="R5836">
            <v>45789</v>
          </cell>
          <cell r="S5836">
            <v>201011</v>
          </cell>
        </row>
        <row r="5837">
          <cell r="K5837" t="str">
            <v>201011</v>
          </cell>
          <cell r="M5837">
            <v>36</v>
          </cell>
          <cell r="R5837">
            <v>45789</v>
          </cell>
          <cell r="S5837">
            <v>201011</v>
          </cell>
        </row>
        <row r="5838">
          <cell r="K5838" t="str">
            <v>201004</v>
          </cell>
          <cell r="M5838">
            <v>1</v>
          </cell>
          <cell r="R5838">
            <v>45789</v>
          </cell>
          <cell r="S5838">
            <v>201004</v>
          </cell>
        </row>
        <row r="5839">
          <cell r="K5839" t="str">
            <v>203003</v>
          </cell>
          <cell r="M5839">
            <v>1</v>
          </cell>
          <cell r="R5839">
            <v>45789</v>
          </cell>
          <cell r="S5839">
            <v>203003</v>
          </cell>
        </row>
        <row r="5840">
          <cell r="K5840" t="str">
            <v>241001</v>
          </cell>
          <cell r="M5840">
            <v>2</v>
          </cell>
          <cell r="R5840">
            <v>45789</v>
          </cell>
          <cell r="S5840">
            <v>241001</v>
          </cell>
        </row>
        <row r="5841">
          <cell r="K5841" t="str">
            <v>201011</v>
          </cell>
          <cell r="M5841">
            <v>2</v>
          </cell>
          <cell r="R5841">
            <v>45789</v>
          </cell>
          <cell r="S5841">
            <v>201011</v>
          </cell>
        </row>
        <row r="5842">
          <cell r="K5842" t="str">
            <v>228001</v>
          </cell>
          <cell r="M5842">
            <v>4</v>
          </cell>
          <cell r="R5842">
            <v>45789</v>
          </cell>
          <cell r="S5842">
            <v>228001</v>
          </cell>
        </row>
        <row r="5843">
          <cell r="K5843" t="str">
            <v>231012</v>
          </cell>
          <cell r="M5843">
            <v>1</v>
          </cell>
          <cell r="R5843">
            <v>45790</v>
          </cell>
          <cell r="S5843">
            <v>231012</v>
          </cell>
        </row>
        <row r="5844">
          <cell r="K5844" t="str">
            <v>203003</v>
          </cell>
          <cell r="M5844">
            <v>1</v>
          </cell>
          <cell r="R5844">
            <v>45790</v>
          </cell>
          <cell r="S5844">
            <v>203003</v>
          </cell>
        </row>
        <row r="5845">
          <cell r="K5845" t="str">
            <v>212035</v>
          </cell>
          <cell r="M5845">
            <v>1</v>
          </cell>
          <cell r="R5845">
            <v>45790</v>
          </cell>
          <cell r="S5845">
            <v>212035</v>
          </cell>
        </row>
        <row r="5846">
          <cell r="K5846" t="str">
            <v>201004</v>
          </cell>
          <cell r="M5846">
            <v>3</v>
          </cell>
          <cell r="R5846">
            <v>45789</v>
          </cell>
          <cell r="S5846">
            <v>201004</v>
          </cell>
        </row>
        <row r="5847">
          <cell r="K5847" t="str">
            <v>217019</v>
          </cell>
          <cell r="M5847">
            <v>2</v>
          </cell>
          <cell r="R5847">
            <v>45790</v>
          </cell>
          <cell r="S5847">
            <v>217019</v>
          </cell>
        </row>
        <row r="5848">
          <cell r="K5848" t="str">
            <v>228001</v>
          </cell>
          <cell r="M5848">
            <v>1</v>
          </cell>
          <cell r="R5848">
            <v>45789</v>
          </cell>
          <cell r="S5848">
            <v>228001</v>
          </cell>
        </row>
        <row r="5849">
          <cell r="K5849" t="str">
            <v>203003</v>
          </cell>
          <cell r="M5849">
            <v>2</v>
          </cell>
          <cell r="R5849">
            <v>45789</v>
          </cell>
          <cell r="S5849">
            <v>203003</v>
          </cell>
        </row>
        <row r="5850">
          <cell r="K5850" t="str">
            <v>241001</v>
          </cell>
          <cell r="M5850">
            <v>2</v>
          </cell>
          <cell r="R5850">
            <v>45789</v>
          </cell>
          <cell r="S5850">
            <v>241001</v>
          </cell>
        </row>
        <row r="5851">
          <cell r="K5851" t="str">
            <v>206002</v>
          </cell>
          <cell r="M5851">
            <v>1</v>
          </cell>
          <cell r="R5851">
            <v>45790</v>
          </cell>
          <cell r="S5851">
            <v>206002</v>
          </cell>
        </row>
        <row r="5852">
          <cell r="K5852" t="str">
            <v>208001</v>
          </cell>
          <cell r="M5852">
            <v>1</v>
          </cell>
          <cell r="R5852">
            <v>45790</v>
          </cell>
          <cell r="S5852">
            <v>208001</v>
          </cell>
        </row>
        <row r="5853">
          <cell r="K5853" t="str">
            <v>203004</v>
          </cell>
          <cell r="M5853">
            <v>1</v>
          </cell>
          <cell r="R5853">
            <v>45790</v>
          </cell>
          <cell r="S5853">
            <v>203004</v>
          </cell>
        </row>
        <row r="5854">
          <cell r="K5854" t="str">
            <v>229004</v>
          </cell>
          <cell r="M5854">
            <v>1</v>
          </cell>
          <cell r="R5854">
            <v>45790</v>
          </cell>
          <cell r="S5854">
            <v>229004</v>
          </cell>
        </row>
        <row r="5855">
          <cell r="K5855" t="str">
            <v>213018</v>
          </cell>
          <cell r="M5855">
            <v>1</v>
          </cell>
          <cell r="R5855">
            <v>45790</v>
          </cell>
          <cell r="S5855">
            <v>213018</v>
          </cell>
        </row>
        <row r="5856">
          <cell r="K5856" t="str">
            <v>206005</v>
          </cell>
          <cell r="M5856">
            <v>2</v>
          </cell>
          <cell r="R5856">
            <v>45790</v>
          </cell>
          <cell r="S5856">
            <v>206005</v>
          </cell>
        </row>
        <row r="5857">
          <cell r="K5857" t="str">
            <v>218003</v>
          </cell>
          <cell r="M5857">
            <v>1</v>
          </cell>
          <cell r="R5857">
            <v>45790</v>
          </cell>
          <cell r="S5857">
            <v>218003</v>
          </cell>
        </row>
        <row r="5858">
          <cell r="K5858" t="str">
            <v>206002</v>
          </cell>
          <cell r="M5858">
            <v>1</v>
          </cell>
          <cell r="R5858">
            <v>45790</v>
          </cell>
          <cell r="S5858">
            <v>206002</v>
          </cell>
        </row>
        <row r="5859">
          <cell r="K5859" t="str">
            <v>203004</v>
          </cell>
          <cell r="M5859">
            <v>1</v>
          </cell>
          <cell r="R5859">
            <v>45790</v>
          </cell>
          <cell r="S5859">
            <v>203004</v>
          </cell>
        </row>
        <row r="5860">
          <cell r="K5860" t="str">
            <v>217019</v>
          </cell>
          <cell r="M5860">
            <v>2</v>
          </cell>
          <cell r="R5860">
            <v>45790</v>
          </cell>
          <cell r="S5860">
            <v>217019</v>
          </cell>
        </row>
        <row r="5861">
          <cell r="K5861" t="str">
            <v>201011</v>
          </cell>
          <cell r="M5861">
            <v>3</v>
          </cell>
          <cell r="R5861">
            <v>45790</v>
          </cell>
          <cell r="S5861">
            <v>201011</v>
          </cell>
        </row>
        <row r="5862">
          <cell r="K5862" t="str">
            <v>201002</v>
          </cell>
          <cell r="M5862">
            <v>2</v>
          </cell>
          <cell r="R5862">
            <v>45790</v>
          </cell>
          <cell r="S5862">
            <v>201002</v>
          </cell>
        </row>
        <row r="5863">
          <cell r="K5863" t="str">
            <v>222001</v>
          </cell>
          <cell r="M5863">
            <v>1</v>
          </cell>
          <cell r="R5863">
            <v>45790</v>
          </cell>
          <cell r="S5863">
            <v>222001</v>
          </cell>
        </row>
        <row r="5864">
          <cell r="K5864" t="str">
            <v>223002</v>
          </cell>
          <cell r="M5864">
            <v>1</v>
          </cell>
          <cell r="R5864">
            <v>45790</v>
          </cell>
          <cell r="S5864">
            <v>223002</v>
          </cell>
        </row>
        <row r="5865">
          <cell r="K5865" t="str">
            <v>213003</v>
          </cell>
          <cell r="M5865">
            <v>1</v>
          </cell>
          <cell r="R5865">
            <v>45790</v>
          </cell>
          <cell r="S5865">
            <v>213003</v>
          </cell>
        </row>
        <row r="5866">
          <cell r="K5866" t="str">
            <v>271002</v>
          </cell>
          <cell r="M5866">
            <v>1</v>
          </cell>
          <cell r="R5866">
            <v>45790</v>
          </cell>
          <cell r="S5866">
            <v>271002</v>
          </cell>
        </row>
        <row r="5867">
          <cell r="K5867" t="str">
            <v>210010</v>
          </cell>
          <cell r="M5867">
            <v>2</v>
          </cell>
          <cell r="R5867">
            <v>45790</v>
          </cell>
          <cell r="S5867">
            <v>210010</v>
          </cell>
        </row>
        <row r="5868">
          <cell r="K5868" t="str">
            <v>201011</v>
          </cell>
          <cell r="M5868">
            <v>36</v>
          </cell>
          <cell r="R5868">
            <v>45790</v>
          </cell>
          <cell r="S5868">
            <v>201011</v>
          </cell>
        </row>
        <row r="5869">
          <cell r="K5869" t="str">
            <v>226001</v>
          </cell>
          <cell r="M5869">
            <v>1</v>
          </cell>
          <cell r="R5869">
            <v>45790</v>
          </cell>
          <cell r="S5869">
            <v>226001</v>
          </cell>
        </row>
        <row r="5870">
          <cell r="K5870" t="str">
            <v>226001</v>
          </cell>
          <cell r="M5870">
            <v>2</v>
          </cell>
          <cell r="R5870">
            <v>45790</v>
          </cell>
          <cell r="S5870">
            <v>226001</v>
          </cell>
        </row>
        <row r="5871">
          <cell r="K5871" t="str">
            <v>213030</v>
          </cell>
          <cell r="M5871">
            <v>10</v>
          </cell>
          <cell r="R5871">
            <v>45790</v>
          </cell>
          <cell r="S5871">
            <v>213030</v>
          </cell>
        </row>
        <row r="5872">
          <cell r="K5872" t="str">
            <v>213002</v>
          </cell>
          <cell r="M5872">
            <v>10</v>
          </cell>
          <cell r="R5872">
            <v>45790</v>
          </cell>
          <cell r="S5872">
            <v>213002</v>
          </cell>
        </row>
        <row r="5873">
          <cell r="K5873" t="str">
            <v>226001</v>
          </cell>
          <cell r="M5873">
            <v>1</v>
          </cell>
          <cell r="R5873">
            <v>45790</v>
          </cell>
          <cell r="S5873">
            <v>226001</v>
          </cell>
        </row>
        <row r="5874">
          <cell r="K5874" t="str">
            <v>226001</v>
          </cell>
          <cell r="M5874">
            <v>3</v>
          </cell>
          <cell r="R5874">
            <v>45790</v>
          </cell>
          <cell r="S5874">
            <v>226001</v>
          </cell>
        </row>
        <row r="5875">
          <cell r="K5875" t="str">
            <v>226001</v>
          </cell>
          <cell r="M5875">
            <v>1</v>
          </cell>
          <cell r="R5875">
            <v>45790</v>
          </cell>
          <cell r="S5875">
            <v>226001</v>
          </cell>
        </row>
        <row r="5876">
          <cell r="K5876" t="str">
            <v>213002</v>
          </cell>
          <cell r="M5876">
            <v>4</v>
          </cell>
          <cell r="R5876">
            <v>45790</v>
          </cell>
          <cell r="S5876">
            <v>213002</v>
          </cell>
        </row>
        <row r="5877">
          <cell r="K5877" t="str">
            <v>226001</v>
          </cell>
          <cell r="M5877">
            <v>1</v>
          </cell>
          <cell r="R5877">
            <v>45790</v>
          </cell>
          <cell r="S5877">
            <v>226001</v>
          </cell>
        </row>
        <row r="5878">
          <cell r="K5878" t="str">
            <v>201002</v>
          </cell>
          <cell r="M5878">
            <v>1</v>
          </cell>
          <cell r="R5878">
            <v>45790</v>
          </cell>
          <cell r="S5878">
            <v>201002</v>
          </cell>
        </row>
        <row r="5879">
          <cell r="K5879" t="str">
            <v>227001</v>
          </cell>
          <cell r="M5879">
            <v>2</v>
          </cell>
          <cell r="R5879">
            <v>45790</v>
          </cell>
          <cell r="S5879">
            <v>227001</v>
          </cell>
        </row>
        <row r="5880">
          <cell r="K5880" t="str">
            <v>223002</v>
          </cell>
          <cell r="M5880">
            <v>1</v>
          </cell>
          <cell r="R5880">
            <v>45790</v>
          </cell>
          <cell r="S5880">
            <v>223002</v>
          </cell>
        </row>
        <row r="5881">
          <cell r="K5881" t="str">
            <v>223001</v>
          </cell>
          <cell r="M5881">
            <v>1</v>
          </cell>
          <cell r="R5881">
            <v>45790</v>
          </cell>
          <cell r="S5881">
            <v>223001</v>
          </cell>
        </row>
        <row r="5882">
          <cell r="K5882" t="str">
            <v>240005</v>
          </cell>
          <cell r="M5882">
            <v>1</v>
          </cell>
          <cell r="R5882">
            <v>45790</v>
          </cell>
          <cell r="S5882">
            <v>240005</v>
          </cell>
        </row>
        <row r="5883">
          <cell r="K5883" t="str">
            <v>271002</v>
          </cell>
          <cell r="M5883">
            <v>1</v>
          </cell>
          <cell r="R5883">
            <v>45790</v>
          </cell>
          <cell r="S5883">
            <v>271002</v>
          </cell>
        </row>
        <row r="5884">
          <cell r="K5884" t="str">
            <v>226001</v>
          </cell>
          <cell r="M5884">
            <v>1</v>
          </cell>
          <cell r="R5884">
            <v>45790</v>
          </cell>
          <cell r="S5884">
            <v>226001</v>
          </cell>
        </row>
        <row r="5885">
          <cell r="K5885" t="str">
            <v>226001</v>
          </cell>
          <cell r="M5885">
            <v>2</v>
          </cell>
          <cell r="R5885">
            <v>45790</v>
          </cell>
          <cell r="S5885">
            <v>226001</v>
          </cell>
        </row>
        <row r="5886">
          <cell r="K5886" t="str">
            <v>226001</v>
          </cell>
          <cell r="M5886">
            <v>1</v>
          </cell>
          <cell r="R5886">
            <v>45790</v>
          </cell>
          <cell r="S5886">
            <v>226001</v>
          </cell>
        </row>
        <row r="5887">
          <cell r="K5887" t="str">
            <v>212002</v>
          </cell>
          <cell r="M5887">
            <v>5</v>
          </cell>
          <cell r="R5887">
            <v>45790</v>
          </cell>
          <cell r="S5887">
            <v>212002</v>
          </cell>
        </row>
        <row r="5888">
          <cell r="K5888" t="str">
            <v>206002</v>
          </cell>
          <cell r="M5888">
            <v>1</v>
          </cell>
          <cell r="R5888">
            <v>45790</v>
          </cell>
          <cell r="S5888">
            <v>206002</v>
          </cell>
        </row>
        <row r="5889">
          <cell r="K5889" t="str">
            <v>208001</v>
          </cell>
          <cell r="M5889">
            <v>2</v>
          </cell>
          <cell r="R5889">
            <v>45790</v>
          </cell>
          <cell r="S5889">
            <v>208001</v>
          </cell>
        </row>
        <row r="5890">
          <cell r="K5890" t="str">
            <v>241001</v>
          </cell>
          <cell r="M5890">
            <v>1</v>
          </cell>
          <cell r="R5890">
            <v>45790</v>
          </cell>
          <cell r="S5890">
            <v>241001</v>
          </cell>
        </row>
        <row r="5891">
          <cell r="K5891" t="str">
            <v>201011</v>
          </cell>
          <cell r="M5891">
            <v>51</v>
          </cell>
          <cell r="R5891">
            <v>45790</v>
          </cell>
          <cell r="S5891">
            <v>201011</v>
          </cell>
        </row>
        <row r="5892">
          <cell r="K5892" t="str">
            <v>213002</v>
          </cell>
          <cell r="M5892">
            <v>2</v>
          </cell>
          <cell r="R5892">
            <v>45790</v>
          </cell>
          <cell r="S5892">
            <v>213002</v>
          </cell>
        </row>
        <row r="5893">
          <cell r="K5893" t="str">
            <v>201003</v>
          </cell>
          <cell r="M5893">
            <v>1</v>
          </cell>
          <cell r="R5893">
            <v>45790</v>
          </cell>
          <cell r="S5893">
            <v>201003</v>
          </cell>
        </row>
        <row r="5894">
          <cell r="K5894" t="str">
            <v>212002</v>
          </cell>
          <cell r="M5894">
            <v>1</v>
          </cell>
          <cell r="R5894">
            <v>45790</v>
          </cell>
          <cell r="S5894">
            <v>212002</v>
          </cell>
        </row>
        <row r="5895">
          <cell r="K5895" t="str">
            <v>212002</v>
          </cell>
          <cell r="M5895">
            <v>1</v>
          </cell>
          <cell r="R5895">
            <v>45790</v>
          </cell>
          <cell r="S5895">
            <v>212002</v>
          </cell>
        </row>
        <row r="5896">
          <cell r="K5896" t="str">
            <v>213002</v>
          </cell>
          <cell r="M5896">
            <v>1</v>
          </cell>
          <cell r="R5896">
            <v>45790</v>
          </cell>
          <cell r="S5896">
            <v>213002</v>
          </cell>
        </row>
        <row r="5897">
          <cell r="K5897" t="str">
            <v>231012</v>
          </cell>
          <cell r="M5897">
            <v>2</v>
          </cell>
          <cell r="R5897">
            <v>45790</v>
          </cell>
          <cell r="S5897">
            <v>231012</v>
          </cell>
        </row>
        <row r="5898">
          <cell r="K5898" t="str">
            <v>203003</v>
          </cell>
          <cell r="M5898">
            <v>3</v>
          </cell>
          <cell r="R5898">
            <v>45790</v>
          </cell>
          <cell r="S5898">
            <v>203003</v>
          </cell>
        </row>
        <row r="5899">
          <cell r="K5899" t="str">
            <v>226001</v>
          </cell>
          <cell r="M5899">
            <v>1</v>
          </cell>
          <cell r="R5899">
            <v>45790</v>
          </cell>
          <cell r="S5899">
            <v>226001</v>
          </cell>
        </row>
        <row r="5900">
          <cell r="K5900" t="str">
            <v>228001</v>
          </cell>
          <cell r="M5900">
            <v>5</v>
          </cell>
          <cell r="R5900">
            <v>45790</v>
          </cell>
          <cell r="S5900">
            <v>228001</v>
          </cell>
        </row>
        <row r="5901">
          <cell r="K5901" t="str">
            <v>201011</v>
          </cell>
          <cell r="M5901">
            <v>1</v>
          </cell>
          <cell r="R5901">
            <v>45790</v>
          </cell>
          <cell r="S5901">
            <v>201011</v>
          </cell>
        </row>
        <row r="5902">
          <cell r="K5902" t="str">
            <v>234001</v>
          </cell>
          <cell r="M5902">
            <v>1</v>
          </cell>
          <cell r="R5902">
            <v>45790</v>
          </cell>
          <cell r="S5902">
            <v>234001</v>
          </cell>
        </row>
        <row r="5903">
          <cell r="K5903" t="str">
            <v>201011</v>
          </cell>
          <cell r="M5903">
            <v>6</v>
          </cell>
          <cell r="R5903">
            <v>45790</v>
          </cell>
          <cell r="S5903">
            <v>201011</v>
          </cell>
        </row>
        <row r="5904">
          <cell r="K5904" t="str">
            <v>213002</v>
          </cell>
          <cell r="M5904">
            <v>3</v>
          </cell>
          <cell r="R5904">
            <v>45790</v>
          </cell>
          <cell r="S5904">
            <v>213002</v>
          </cell>
        </row>
        <row r="5905">
          <cell r="K5905" t="str">
            <v>206002</v>
          </cell>
          <cell r="M5905">
            <v>1</v>
          </cell>
          <cell r="R5905">
            <v>45790</v>
          </cell>
          <cell r="S5905">
            <v>206002</v>
          </cell>
        </row>
        <row r="5906">
          <cell r="K5906" t="str">
            <v>208001</v>
          </cell>
          <cell r="M5906">
            <v>1</v>
          </cell>
          <cell r="R5906">
            <v>45790</v>
          </cell>
          <cell r="S5906">
            <v>208001</v>
          </cell>
        </row>
        <row r="5907">
          <cell r="K5907" t="str">
            <v>203003</v>
          </cell>
          <cell r="M5907">
            <v>1</v>
          </cell>
          <cell r="R5907">
            <v>45790</v>
          </cell>
          <cell r="S5907">
            <v>203003</v>
          </cell>
        </row>
        <row r="5908">
          <cell r="K5908" t="str">
            <v>202001</v>
          </cell>
          <cell r="M5908">
            <v>1</v>
          </cell>
          <cell r="R5908">
            <v>45790</v>
          </cell>
          <cell r="S5908">
            <v>202001</v>
          </cell>
        </row>
        <row r="5909">
          <cell r="K5909" t="str">
            <v>226001</v>
          </cell>
          <cell r="M5909">
            <v>1</v>
          </cell>
          <cell r="R5909">
            <v>45790</v>
          </cell>
          <cell r="S5909">
            <v>226001</v>
          </cell>
        </row>
        <row r="5910">
          <cell r="K5910" t="str">
            <v>214002</v>
          </cell>
          <cell r="M5910">
            <v>1</v>
          </cell>
          <cell r="R5910">
            <v>45790</v>
          </cell>
          <cell r="S5910">
            <v>214002</v>
          </cell>
        </row>
        <row r="5911">
          <cell r="K5911" t="str">
            <v>207017</v>
          </cell>
          <cell r="M5911">
            <v>1</v>
          </cell>
          <cell r="R5911">
            <v>45790</v>
          </cell>
          <cell r="S5911">
            <v>207017</v>
          </cell>
        </row>
        <row r="5912">
          <cell r="K5912" t="str">
            <v>209022</v>
          </cell>
          <cell r="M5912">
            <v>2</v>
          </cell>
          <cell r="R5912">
            <v>45790</v>
          </cell>
          <cell r="S5912">
            <v>209022</v>
          </cell>
        </row>
        <row r="5913">
          <cell r="K5913" t="str">
            <v>206006</v>
          </cell>
          <cell r="M5913">
            <v>1</v>
          </cell>
          <cell r="R5913">
            <v>45790</v>
          </cell>
          <cell r="S5913">
            <v>206006</v>
          </cell>
        </row>
        <row r="5914">
          <cell r="K5914" t="str">
            <v>212002</v>
          </cell>
          <cell r="M5914">
            <v>1</v>
          </cell>
          <cell r="R5914">
            <v>45790</v>
          </cell>
          <cell r="S5914">
            <v>212002</v>
          </cell>
        </row>
        <row r="5915">
          <cell r="K5915" t="str">
            <v>201003</v>
          </cell>
          <cell r="M5915">
            <v>1</v>
          </cell>
          <cell r="R5915">
            <v>45790</v>
          </cell>
          <cell r="S5915">
            <v>201003</v>
          </cell>
        </row>
        <row r="5916">
          <cell r="K5916" t="str">
            <v>228001</v>
          </cell>
          <cell r="M5916">
            <v>2</v>
          </cell>
          <cell r="R5916">
            <v>45790</v>
          </cell>
          <cell r="S5916">
            <v>228001</v>
          </cell>
        </row>
        <row r="5917">
          <cell r="K5917" t="str">
            <v>228001</v>
          </cell>
          <cell r="M5917">
            <v>1</v>
          </cell>
          <cell r="R5917">
            <v>45791</v>
          </cell>
          <cell r="S5917">
            <v>228001</v>
          </cell>
        </row>
        <row r="5918">
          <cell r="K5918" t="str">
            <v>210014</v>
          </cell>
          <cell r="M5918">
            <v>1</v>
          </cell>
          <cell r="R5918">
            <v>45791</v>
          </cell>
          <cell r="S5918">
            <v>210014</v>
          </cell>
        </row>
        <row r="5919">
          <cell r="K5919" t="str">
            <v>223001</v>
          </cell>
          <cell r="M5919">
            <v>6</v>
          </cell>
          <cell r="R5919">
            <v>45791</v>
          </cell>
          <cell r="S5919">
            <v>223001</v>
          </cell>
        </row>
        <row r="5920">
          <cell r="K5920" t="str">
            <v>203003</v>
          </cell>
          <cell r="M5920">
            <v>1</v>
          </cell>
          <cell r="R5920">
            <v>45790</v>
          </cell>
          <cell r="S5920">
            <v>203003</v>
          </cell>
        </row>
        <row r="5921">
          <cell r="K5921" t="str">
            <v>209016</v>
          </cell>
          <cell r="M5921">
            <v>3</v>
          </cell>
          <cell r="R5921">
            <v>45790</v>
          </cell>
          <cell r="S5921">
            <v>209016</v>
          </cell>
        </row>
        <row r="5922">
          <cell r="K5922" t="str">
            <v>213002</v>
          </cell>
          <cell r="M5922">
            <v>10</v>
          </cell>
          <cell r="R5922">
            <v>45791</v>
          </cell>
          <cell r="S5922">
            <v>213002</v>
          </cell>
        </row>
        <row r="5923">
          <cell r="K5923" t="str">
            <v>210014</v>
          </cell>
          <cell r="M5923">
            <v>1</v>
          </cell>
          <cell r="R5923">
            <v>45791</v>
          </cell>
          <cell r="S5923">
            <v>210014</v>
          </cell>
        </row>
        <row r="5924">
          <cell r="K5924" t="str">
            <v>231012</v>
          </cell>
          <cell r="M5924">
            <v>1</v>
          </cell>
          <cell r="R5924">
            <v>45791</v>
          </cell>
          <cell r="S5924">
            <v>231012</v>
          </cell>
        </row>
        <row r="5925">
          <cell r="K5925" t="str">
            <v>202001</v>
          </cell>
          <cell r="M5925">
            <v>3</v>
          </cell>
          <cell r="R5925">
            <v>45791</v>
          </cell>
          <cell r="S5925">
            <v>202001</v>
          </cell>
        </row>
        <row r="5926">
          <cell r="K5926" t="str">
            <v>241001</v>
          </cell>
          <cell r="M5926">
            <v>20</v>
          </cell>
          <cell r="R5926">
            <v>45791</v>
          </cell>
          <cell r="S5926">
            <v>241001</v>
          </cell>
        </row>
        <row r="5927">
          <cell r="K5927" t="str">
            <v>226001</v>
          </cell>
          <cell r="M5927">
            <v>1</v>
          </cell>
          <cell r="R5927">
            <v>45791</v>
          </cell>
          <cell r="S5927">
            <v>226001</v>
          </cell>
        </row>
        <row r="5928">
          <cell r="K5928" t="str">
            <v>231012</v>
          </cell>
          <cell r="M5928">
            <v>1</v>
          </cell>
          <cell r="R5928">
            <v>45791</v>
          </cell>
          <cell r="S5928">
            <v>231012</v>
          </cell>
        </row>
        <row r="5929">
          <cell r="K5929" t="str">
            <v>222007</v>
          </cell>
          <cell r="M5929">
            <v>2</v>
          </cell>
          <cell r="R5929">
            <v>45791</v>
          </cell>
          <cell r="S5929">
            <v>222007</v>
          </cell>
        </row>
        <row r="5930">
          <cell r="K5930" t="str">
            <v>201004</v>
          </cell>
          <cell r="M5930">
            <v>3</v>
          </cell>
          <cell r="R5930">
            <v>45791</v>
          </cell>
          <cell r="S5930">
            <v>201004</v>
          </cell>
        </row>
        <row r="5931">
          <cell r="K5931" t="str">
            <v>201005</v>
          </cell>
          <cell r="M5931">
            <v>2</v>
          </cell>
          <cell r="R5931">
            <v>45791</v>
          </cell>
          <cell r="S5931">
            <v>201005</v>
          </cell>
        </row>
        <row r="5932">
          <cell r="K5932" t="str">
            <v>228001</v>
          </cell>
          <cell r="M5932">
            <v>3</v>
          </cell>
          <cell r="R5932">
            <v>45791</v>
          </cell>
          <cell r="S5932">
            <v>228001</v>
          </cell>
        </row>
        <row r="5933">
          <cell r="K5933" t="str">
            <v>222007</v>
          </cell>
          <cell r="M5933">
            <v>1</v>
          </cell>
          <cell r="R5933">
            <v>45791</v>
          </cell>
          <cell r="S5933">
            <v>222007</v>
          </cell>
        </row>
        <row r="5934">
          <cell r="K5934" t="str">
            <v>212035</v>
          </cell>
          <cell r="M5934">
            <v>9</v>
          </cell>
          <cell r="R5934">
            <v>45791</v>
          </cell>
          <cell r="S5934">
            <v>212035</v>
          </cell>
        </row>
        <row r="5935">
          <cell r="K5935" t="str">
            <v>227001</v>
          </cell>
          <cell r="M5935">
            <v>1</v>
          </cell>
          <cell r="R5935">
            <v>45791</v>
          </cell>
          <cell r="S5935">
            <v>227001</v>
          </cell>
        </row>
        <row r="5936">
          <cell r="K5936" t="str">
            <v>227001</v>
          </cell>
          <cell r="M5936">
            <v>1</v>
          </cell>
          <cell r="R5936">
            <v>45791</v>
          </cell>
          <cell r="S5936">
            <v>227001</v>
          </cell>
        </row>
        <row r="5937">
          <cell r="K5937" t="str">
            <v>213002</v>
          </cell>
          <cell r="M5937">
            <v>2</v>
          </cell>
          <cell r="R5937">
            <v>45791</v>
          </cell>
          <cell r="S5937">
            <v>213002</v>
          </cell>
        </row>
        <row r="5938">
          <cell r="K5938" t="str">
            <v>229001</v>
          </cell>
          <cell r="M5938">
            <v>15</v>
          </cell>
          <cell r="R5938">
            <v>45791</v>
          </cell>
          <cell r="S5938">
            <v>229001</v>
          </cell>
        </row>
        <row r="5939">
          <cell r="K5939" t="str">
            <v>228001</v>
          </cell>
          <cell r="M5939">
            <v>15</v>
          </cell>
          <cell r="R5939">
            <v>45791</v>
          </cell>
          <cell r="S5939">
            <v>228001</v>
          </cell>
        </row>
        <row r="5940">
          <cell r="K5940" t="str">
            <v>228001</v>
          </cell>
          <cell r="M5940">
            <v>3</v>
          </cell>
          <cell r="R5940">
            <v>45791</v>
          </cell>
          <cell r="S5940">
            <v>228001</v>
          </cell>
        </row>
        <row r="5941">
          <cell r="K5941" t="str">
            <v>227012</v>
          </cell>
          <cell r="M5941">
            <v>0</v>
          </cell>
          <cell r="R5941">
            <v>45792</v>
          </cell>
          <cell r="S5941">
            <v>227012</v>
          </cell>
        </row>
        <row r="5942">
          <cell r="K5942" t="str">
            <v>227012</v>
          </cell>
          <cell r="M5942">
            <v>0</v>
          </cell>
          <cell r="R5942">
            <v>45792</v>
          </cell>
          <cell r="S5942">
            <v>227012</v>
          </cell>
        </row>
        <row r="5943">
          <cell r="K5943" t="str">
            <v>201011</v>
          </cell>
          <cell r="M5943">
            <v>6</v>
          </cell>
          <cell r="R5943">
            <v>45791</v>
          </cell>
          <cell r="S5943">
            <v>201011</v>
          </cell>
        </row>
        <row r="5944">
          <cell r="K5944" t="str">
            <v>231012</v>
          </cell>
          <cell r="M5944">
            <v>16</v>
          </cell>
          <cell r="R5944">
            <v>45792</v>
          </cell>
          <cell r="S5944">
            <v>231012</v>
          </cell>
        </row>
        <row r="5945">
          <cell r="K5945" t="str">
            <v>205004</v>
          </cell>
          <cell r="M5945">
            <v>1</v>
          </cell>
          <cell r="R5945">
            <v>45792</v>
          </cell>
          <cell r="S5945">
            <v>205004</v>
          </cell>
        </row>
        <row r="5946">
          <cell r="K5946" t="str">
            <v>227012</v>
          </cell>
          <cell r="M5946">
            <v>1</v>
          </cell>
          <cell r="R5946">
            <v>45792</v>
          </cell>
          <cell r="S5946">
            <v>227012</v>
          </cell>
        </row>
        <row r="5947">
          <cell r="K5947" t="str">
            <v>210002</v>
          </cell>
          <cell r="M5947">
            <v>1</v>
          </cell>
          <cell r="R5947">
            <v>45792</v>
          </cell>
          <cell r="S5947">
            <v>210002</v>
          </cell>
        </row>
        <row r="5948">
          <cell r="K5948" t="str">
            <v>223001</v>
          </cell>
          <cell r="M5948">
            <v>10</v>
          </cell>
          <cell r="R5948">
            <v>45792</v>
          </cell>
          <cell r="S5948">
            <v>223001</v>
          </cell>
        </row>
        <row r="5949">
          <cell r="K5949" t="str">
            <v>234001</v>
          </cell>
          <cell r="M5949">
            <v>8</v>
          </cell>
          <cell r="R5949">
            <v>45792</v>
          </cell>
          <cell r="S5949">
            <v>234001</v>
          </cell>
        </row>
        <row r="5950">
          <cell r="K5950" t="str">
            <v>227012</v>
          </cell>
          <cell r="M5950">
            <v>2</v>
          </cell>
          <cell r="R5950">
            <v>45792</v>
          </cell>
          <cell r="S5950">
            <v>227012</v>
          </cell>
        </row>
        <row r="5951">
          <cell r="K5951" t="str">
            <v>227012</v>
          </cell>
          <cell r="M5951">
            <v>1</v>
          </cell>
          <cell r="R5951">
            <v>45792</v>
          </cell>
          <cell r="S5951">
            <v>227012</v>
          </cell>
        </row>
        <row r="5952">
          <cell r="K5952" t="str">
            <v>201011</v>
          </cell>
          <cell r="M5952">
            <v>2</v>
          </cell>
          <cell r="R5952">
            <v>45792</v>
          </cell>
          <cell r="S5952">
            <v>201011</v>
          </cell>
        </row>
        <row r="5953">
          <cell r="K5953" t="str">
            <v>226001</v>
          </cell>
          <cell r="M5953">
            <v>1</v>
          </cell>
          <cell r="R5953">
            <v>45792</v>
          </cell>
          <cell r="S5953">
            <v>226001</v>
          </cell>
        </row>
        <row r="5954">
          <cell r="K5954" t="str">
            <v>213002</v>
          </cell>
          <cell r="M5954">
            <v>4</v>
          </cell>
          <cell r="R5954">
            <v>45792</v>
          </cell>
          <cell r="S5954">
            <v>213002</v>
          </cell>
        </row>
        <row r="5955">
          <cell r="K5955" t="str">
            <v>210013</v>
          </cell>
          <cell r="M5955">
            <v>2</v>
          </cell>
          <cell r="R5955">
            <v>45792</v>
          </cell>
          <cell r="S5955">
            <v>210013</v>
          </cell>
        </row>
        <row r="5956">
          <cell r="K5956" t="str">
            <v>201003</v>
          </cell>
          <cell r="M5956">
            <v>1</v>
          </cell>
          <cell r="R5956">
            <v>45792</v>
          </cell>
          <cell r="S5956">
            <v>201003</v>
          </cell>
        </row>
        <row r="5957">
          <cell r="K5957" t="str">
            <v>223001</v>
          </cell>
          <cell r="M5957">
            <v>10</v>
          </cell>
          <cell r="R5957">
            <v>45792</v>
          </cell>
          <cell r="S5957">
            <v>223001</v>
          </cell>
        </row>
        <row r="5958">
          <cell r="K5958" t="str">
            <v>201011</v>
          </cell>
          <cell r="M5958">
            <v>2</v>
          </cell>
          <cell r="R5958">
            <v>45792</v>
          </cell>
          <cell r="S5958">
            <v>201011</v>
          </cell>
        </row>
        <row r="5959">
          <cell r="K5959" t="str">
            <v>210013</v>
          </cell>
          <cell r="M5959">
            <v>20</v>
          </cell>
          <cell r="R5959">
            <v>45792</v>
          </cell>
          <cell r="S5959">
            <v>210013</v>
          </cell>
        </row>
        <row r="5960">
          <cell r="K5960" t="str">
            <v>231012</v>
          </cell>
          <cell r="M5960">
            <v>1</v>
          </cell>
          <cell r="R5960">
            <v>45792</v>
          </cell>
          <cell r="S5960">
            <v>231012</v>
          </cell>
        </row>
        <row r="5961">
          <cell r="K5961" t="str">
            <v>217019</v>
          </cell>
          <cell r="M5961">
            <v>4</v>
          </cell>
          <cell r="R5961">
            <v>45792</v>
          </cell>
          <cell r="S5961">
            <v>217019</v>
          </cell>
        </row>
        <row r="5962">
          <cell r="K5962" t="str">
            <v>203001</v>
          </cell>
          <cell r="M5962">
            <v>8</v>
          </cell>
          <cell r="R5962">
            <v>45792</v>
          </cell>
          <cell r="S5962">
            <v>203001</v>
          </cell>
        </row>
        <row r="5963">
          <cell r="K5963" t="str">
            <v>206005</v>
          </cell>
          <cell r="M5963">
            <v>1</v>
          </cell>
          <cell r="R5963">
            <v>45792</v>
          </cell>
          <cell r="S5963">
            <v>206005</v>
          </cell>
        </row>
        <row r="5964">
          <cell r="K5964" t="str">
            <v>218003</v>
          </cell>
          <cell r="M5964">
            <v>2</v>
          </cell>
          <cell r="R5964">
            <v>45792</v>
          </cell>
          <cell r="S5964">
            <v>218003</v>
          </cell>
        </row>
        <row r="5965">
          <cell r="K5965" t="str">
            <v>213030</v>
          </cell>
          <cell r="M5965">
            <v>20</v>
          </cell>
          <cell r="R5965">
            <v>45792</v>
          </cell>
          <cell r="S5965">
            <v>213030</v>
          </cell>
        </row>
        <row r="5966">
          <cell r="K5966" t="str">
            <v>201011</v>
          </cell>
          <cell r="M5966">
            <v>1</v>
          </cell>
          <cell r="R5966">
            <v>45792</v>
          </cell>
          <cell r="S5966">
            <v>201011</v>
          </cell>
        </row>
        <row r="5967">
          <cell r="K5967" t="str">
            <v>207017</v>
          </cell>
          <cell r="M5967">
            <v>1</v>
          </cell>
          <cell r="R5967">
            <v>45792</v>
          </cell>
          <cell r="S5967">
            <v>207017</v>
          </cell>
        </row>
        <row r="5968">
          <cell r="K5968" t="str">
            <v>203003</v>
          </cell>
          <cell r="M5968">
            <v>1</v>
          </cell>
          <cell r="R5968">
            <v>45792</v>
          </cell>
          <cell r="S5968">
            <v>203003</v>
          </cell>
        </row>
        <row r="5969">
          <cell r="K5969" t="str">
            <v>231012</v>
          </cell>
          <cell r="M5969">
            <v>1</v>
          </cell>
          <cell r="R5969">
            <v>45792</v>
          </cell>
          <cell r="S5969">
            <v>231012</v>
          </cell>
        </row>
        <row r="5970">
          <cell r="K5970" t="str">
            <v>201011</v>
          </cell>
          <cell r="M5970">
            <v>3</v>
          </cell>
          <cell r="R5970">
            <v>45792</v>
          </cell>
          <cell r="S5970">
            <v>201011</v>
          </cell>
        </row>
        <row r="5971">
          <cell r="K5971" t="str">
            <v>201002</v>
          </cell>
          <cell r="M5971">
            <v>2</v>
          </cell>
          <cell r="R5971">
            <v>45792</v>
          </cell>
          <cell r="S5971">
            <v>201002</v>
          </cell>
        </row>
        <row r="5972">
          <cell r="K5972" t="str">
            <v>241001</v>
          </cell>
          <cell r="M5972">
            <v>3</v>
          </cell>
          <cell r="R5972">
            <v>45792</v>
          </cell>
          <cell r="S5972">
            <v>241001</v>
          </cell>
        </row>
        <row r="5973">
          <cell r="K5973" t="str">
            <v>223001</v>
          </cell>
          <cell r="M5973">
            <v>3</v>
          </cell>
          <cell r="R5973">
            <v>45792</v>
          </cell>
          <cell r="S5973">
            <v>223001</v>
          </cell>
        </row>
        <row r="5974">
          <cell r="K5974" t="str">
            <v>223002</v>
          </cell>
          <cell r="M5974">
            <v>3</v>
          </cell>
          <cell r="R5974">
            <v>45792</v>
          </cell>
          <cell r="S5974">
            <v>223002</v>
          </cell>
        </row>
        <row r="5975">
          <cell r="K5975" t="str">
            <v>217002</v>
          </cell>
          <cell r="M5975">
            <v>1</v>
          </cell>
          <cell r="R5975">
            <v>45792</v>
          </cell>
          <cell r="S5975">
            <v>217002</v>
          </cell>
        </row>
        <row r="5976">
          <cell r="K5976" t="str">
            <v>231012</v>
          </cell>
          <cell r="M5976">
            <v>1</v>
          </cell>
          <cell r="R5976">
            <v>45792</v>
          </cell>
          <cell r="S5976">
            <v>231012</v>
          </cell>
        </row>
        <row r="5977">
          <cell r="K5977" t="str">
            <v>213002</v>
          </cell>
          <cell r="M5977">
            <v>1</v>
          </cell>
          <cell r="R5977">
            <v>45792</v>
          </cell>
          <cell r="S5977">
            <v>213002</v>
          </cell>
        </row>
        <row r="5978">
          <cell r="K5978" t="str">
            <v>213002</v>
          </cell>
          <cell r="M5978">
            <v>6</v>
          </cell>
          <cell r="R5978">
            <v>45792</v>
          </cell>
          <cell r="S5978">
            <v>213002</v>
          </cell>
        </row>
        <row r="5979">
          <cell r="K5979" t="str">
            <v>222001</v>
          </cell>
          <cell r="M5979">
            <v>2</v>
          </cell>
          <cell r="R5979">
            <v>45792</v>
          </cell>
          <cell r="S5979">
            <v>222001</v>
          </cell>
        </row>
        <row r="5980">
          <cell r="K5980" t="str">
            <v>241001</v>
          </cell>
          <cell r="M5980">
            <v>4</v>
          </cell>
          <cell r="R5980">
            <v>45792</v>
          </cell>
          <cell r="S5980">
            <v>241001</v>
          </cell>
        </row>
        <row r="5981">
          <cell r="K5981" t="str">
            <v>213003</v>
          </cell>
          <cell r="M5981">
            <v>1</v>
          </cell>
          <cell r="R5981">
            <v>45792</v>
          </cell>
          <cell r="S5981">
            <v>213003</v>
          </cell>
        </row>
        <row r="5982">
          <cell r="K5982" t="str">
            <v>212019</v>
          </cell>
          <cell r="M5982">
            <v>1</v>
          </cell>
          <cell r="R5982">
            <v>45792</v>
          </cell>
          <cell r="S5982">
            <v>212019</v>
          </cell>
        </row>
        <row r="5983">
          <cell r="K5983" t="str">
            <v>201004</v>
          </cell>
          <cell r="M5983">
            <v>1</v>
          </cell>
          <cell r="R5983">
            <v>45792</v>
          </cell>
          <cell r="S5983">
            <v>201004</v>
          </cell>
        </row>
        <row r="5984">
          <cell r="K5984" t="str">
            <v>226001</v>
          </cell>
          <cell r="M5984">
            <v>1</v>
          </cell>
          <cell r="R5984">
            <v>45792</v>
          </cell>
          <cell r="S5984">
            <v>226001</v>
          </cell>
        </row>
        <row r="5985">
          <cell r="K5985" t="str">
            <v>217020</v>
          </cell>
          <cell r="M5985">
            <v>1</v>
          </cell>
          <cell r="R5985">
            <v>45792</v>
          </cell>
          <cell r="S5985">
            <v>217020</v>
          </cell>
        </row>
        <row r="5986">
          <cell r="K5986" t="str">
            <v>217002</v>
          </cell>
          <cell r="M5986">
            <v>1</v>
          </cell>
          <cell r="R5986">
            <v>45792</v>
          </cell>
          <cell r="S5986">
            <v>217002</v>
          </cell>
        </row>
        <row r="5987">
          <cell r="K5987" t="str">
            <v>226025</v>
          </cell>
          <cell r="M5987">
            <v>2</v>
          </cell>
          <cell r="R5987">
            <v>45792</v>
          </cell>
          <cell r="S5987">
            <v>226025</v>
          </cell>
        </row>
        <row r="5988">
          <cell r="K5988" t="str">
            <v>217002</v>
          </cell>
          <cell r="M5988">
            <v>1</v>
          </cell>
          <cell r="R5988">
            <v>45792</v>
          </cell>
          <cell r="S5988">
            <v>217002</v>
          </cell>
        </row>
        <row r="5989">
          <cell r="K5989" t="str">
            <v>201011</v>
          </cell>
          <cell r="M5989">
            <v>2</v>
          </cell>
          <cell r="R5989">
            <v>45792</v>
          </cell>
          <cell r="S5989">
            <v>201011</v>
          </cell>
        </row>
        <row r="5990">
          <cell r="K5990" t="str">
            <v>201002</v>
          </cell>
          <cell r="M5990">
            <v>1</v>
          </cell>
          <cell r="R5990">
            <v>45793</v>
          </cell>
          <cell r="S5990">
            <v>201002</v>
          </cell>
        </row>
        <row r="5991">
          <cell r="K5991" t="str">
            <v>222001</v>
          </cell>
          <cell r="M5991">
            <v>1</v>
          </cell>
          <cell r="R5991">
            <v>45793</v>
          </cell>
          <cell r="S5991">
            <v>222001</v>
          </cell>
        </row>
        <row r="5992">
          <cell r="K5992" t="str">
            <v>210013</v>
          </cell>
          <cell r="M5992">
            <v>2</v>
          </cell>
          <cell r="R5992">
            <v>45792</v>
          </cell>
          <cell r="S5992">
            <v>210013</v>
          </cell>
        </row>
        <row r="5993">
          <cell r="K5993" t="str">
            <v>210010</v>
          </cell>
          <cell r="M5993">
            <v>2</v>
          </cell>
          <cell r="R5993">
            <v>45792</v>
          </cell>
          <cell r="S5993">
            <v>210010</v>
          </cell>
        </row>
        <row r="5994">
          <cell r="K5994" t="str">
            <v>212019</v>
          </cell>
          <cell r="M5994">
            <v>2</v>
          </cell>
          <cell r="R5994">
            <v>45792</v>
          </cell>
          <cell r="S5994">
            <v>212019</v>
          </cell>
        </row>
        <row r="5995">
          <cell r="K5995" t="str">
            <v>241001</v>
          </cell>
          <cell r="M5995">
            <v>6</v>
          </cell>
          <cell r="R5995">
            <v>45792</v>
          </cell>
          <cell r="S5995">
            <v>241001</v>
          </cell>
        </row>
        <row r="5996">
          <cell r="K5996" t="str">
            <v>201002</v>
          </cell>
          <cell r="M5996">
            <v>2</v>
          </cell>
          <cell r="R5996">
            <v>45792</v>
          </cell>
          <cell r="S5996">
            <v>201002</v>
          </cell>
        </row>
        <row r="5997">
          <cell r="K5997" t="str">
            <v>201003</v>
          </cell>
          <cell r="M5997">
            <v>4</v>
          </cell>
          <cell r="R5997">
            <v>45792</v>
          </cell>
          <cell r="S5997">
            <v>201003</v>
          </cell>
        </row>
        <row r="5998">
          <cell r="K5998" t="str">
            <v>222005</v>
          </cell>
          <cell r="M5998">
            <v>1</v>
          </cell>
          <cell r="R5998">
            <v>45792</v>
          </cell>
          <cell r="S5998">
            <v>222005</v>
          </cell>
        </row>
        <row r="5999">
          <cell r="K5999" t="str">
            <v>213002</v>
          </cell>
          <cell r="M5999">
            <v>2</v>
          </cell>
          <cell r="R5999">
            <v>45792</v>
          </cell>
          <cell r="S5999">
            <v>213002</v>
          </cell>
        </row>
        <row r="6000">
          <cell r="K6000" t="str">
            <v>201011</v>
          </cell>
          <cell r="M6000">
            <v>3</v>
          </cell>
          <cell r="R6000">
            <v>45792</v>
          </cell>
          <cell r="S6000">
            <v>201011</v>
          </cell>
        </row>
        <row r="6001">
          <cell r="K6001" t="str">
            <v>217011</v>
          </cell>
          <cell r="M6001">
            <v>1</v>
          </cell>
          <cell r="R6001">
            <v>45792</v>
          </cell>
          <cell r="S6001">
            <v>217011</v>
          </cell>
        </row>
        <row r="6002">
          <cell r="K6002" t="str">
            <v>226001</v>
          </cell>
          <cell r="M6002">
            <v>2</v>
          </cell>
          <cell r="R6002">
            <v>45793</v>
          </cell>
          <cell r="S6002">
            <v>226001</v>
          </cell>
        </row>
        <row r="6003">
          <cell r="K6003" t="str">
            <v>203003</v>
          </cell>
          <cell r="M6003">
            <v>2</v>
          </cell>
          <cell r="R6003">
            <v>45793</v>
          </cell>
          <cell r="S6003">
            <v>203003</v>
          </cell>
        </row>
        <row r="6004">
          <cell r="K6004" t="str">
            <v>222001</v>
          </cell>
          <cell r="M6004">
            <v>1</v>
          </cell>
          <cell r="R6004">
            <v>45792</v>
          </cell>
          <cell r="S6004">
            <v>222001</v>
          </cell>
        </row>
        <row r="6005">
          <cell r="K6005" t="str">
            <v>223002</v>
          </cell>
          <cell r="M6005">
            <v>1</v>
          </cell>
          <cell r="R6005">
            <v>45792</v>
          </cell>
          <cell r="S6005">
            <v>223002</v>
          </cell>
        </row>
        <row r="6006">
          <cell r="K6006" t="str">
            <v>227012</v>
          </cell>
          <cell r="M6006">
            <v>2</v>
          </cell>
          <cell r="R6006">
            <v>45792</v>
          </cell>
          <cell r="S6006">
            <v>227012</v>
          </cell>
        </row>
        <row r="6007">
          <cell r="K6007" t="str">
            <v>213002</v>
          </cell>
          <cell r="M6007">
            <v>6</v>
          </cell>
          <cell r="R6007">
            <v>45792</v>
          </cell>
          <cell r="S6007">
            <v>213002</v>
          </cell>
        </row>
        <row r="6008">
          <cell r="K6008" t="str">
            <v>231012</v>
          </cell>
          <cell r="M6008">
            <v>4</v>
          </cell>
          <cell r="R6008">
            <v>45792</v>
          </cell>
          <cell r="S6008">
            <v>231012</v>
          </cell>
        </row>
        <row r="6009">
          <cell r="K6009" t="str">
            <v>213018</v>
          </cell>
          <cell r="M6009">
            <v>1</v>
          </cell>
          <cell r="R6009">
            <v>45792</v>
          </cell>
          <cell r="S6009">
            <v>213018</v>
          </cell>
        </row>
        <row r="6010">
          <cell r="K6010" t="str">
            <v>201011</v>
          </cell>
          <cell r="M6010">
            <v>6</v>
          </cell>
          <cell r="R6010">
            <v>45792</v>
          </cell>
          <cell r="S6010">
            <v>201011</v>
          </cell>
        </row>
        <row r="6011">
          <cell r="K6011" t="str">
            <v>223001</v>
          </cell>
          <cell r="M6011">
            <v>1</v>
          </cell>
          <cell r="R6011">
            <v>45792</v>
          </cell>
          <cell r="S6011">
            <v>223001</v>
          </cell>
        </row>
        <row r="6012">
          <cell r="K6012" t="str">
            <v>228001</v>
          </cell>
          <cell r="M6012">
            <v>3</v>
          </cell>
          <cell r="R6012">
            <v>45793</v>
          </cell>
          <cell r="S6012">
            <v>228001</v>
          </cell>
        </row>
        <row r="6013">
          <cell r="K6013" t="str">
            <v>223002</v>
          </cell>
          <cell r="M6013">
            <v>1</v>
          </cell>
          <cell r="R6013">
            <v>45793</v>
          </cell>
          <cell r="S6013">
            <v>223002</v>
          </cell>
        </row>
        <row r="6014">
          <cell r="K6014" t="str">
            <v>210013</v>
          </cell>
          <cell r="M6014">
            <v>1</v>
          </cell>
          <cell r="R6014">
            <v>45793</v>
          </cell>
          <cell r="S6014">
            <v>210013</v>
          </cell>
        </row>
        <row r="6015">
          <cell r="K6015" t="str">
            <v>213002</v>
          </cell>
          <cell r="M6015">
            <v>6</v>
          </cell>
          <cell r="R6015">
            <v>45793</v>
          </cell>
          <cell r="S6015">
            <v>213002</v>
          </cell>
        </row>
        <row r="6016">
          <cell r="K6016" t="str">
            <v>201011</v>
          </cell>
          <cell r="M6016">
            <v>1</v>
          </cell>
          <cell r="R6016">
            <v>45793</v>
          </cell>
          <cell r="S6016">
            <v>201011</v>
          </cell>
        </row>
        <row r="6017">
          <cell r="K6017" t="str">
            <v>203003</v>
          </cell>
          <cell r="M6017">
            <v>1</v>
          </cell>
          <cell r="R6017">
            <v>45793</v>
          </cell>
          <cell r="S6017">
            <v>203003</v>
          </cell>
        </row>
        <row r="6018">
          <cell r="K6018" t="str">
            <v>228001</v>
          </cell>
          <cell r="M6018">
            <v>1</v>
          </cell>
          <cell r="R6018">
            <v>45793</v>
          </cell>
          <cell r="S6018">
            <v>228001</v>
          </cell>
        </row>
        <row r="6019">
          <cell r="K6019" t="str">
            <v>231012</v>
          </cell>
          <cell r="M6019">
            <v>1</v>
          </cell>
          <cell r="R6019">
            <v>45793</v>
          </cell>
          <cell r="S6019">
            <v>231012</v>
          </cell>
        </row>
        <row r="6020">
          <cell r="K6020" t="str">
            <v>213002</v>
          </cell>
          <cell r="M6020">
            <v>2</v>
          </cell>
          <cell r="R6020">
            <v>45793</v>
          </cell>
          <cell r="S6020">
            <v>213002</v>
          </cell>
        </row>
        <row r="6021">
          <cell r="K6021" t="str">
            <v>208001</v>
          </cell>
          <cell r="M6021">
            <v>1</v>
          </cell>
          <cell r="R6021">
            <v>45793</v>
          </cell>
          <cell r="S6021">
            <v>208001</v>
          </cell>
        </row>
        <row r="6022">
          <cell r="K6022" t="str">
            <v>206005</v>
          </cell>
          <cell r="M6022">
            <v>1</v>
          </cell>
          <cell r="R6022">
            <v>45793</v>
          </cell>
          <cell r="S6022">
            <v>206005</v>
          </cell>
        </row>
        <row r="6023">
          <cell r="K6023" t="str">
            <v>227002</v>
          </cell>
          <cell r="M6023">
            <v>2</v>
          </cell>
          <cell r="R6023">
            <v>45793</v>
          </cell>
          <cell r="S6023">
            <v>227002</v>
          </cell>
        </row>
        <row r="6024">
          <cell r="K6024" t="str">
            <v>201011</v>
          </cell>
          <cell r="M6024">
            <v>6</v>
          </cell>
          <cell r="R6024">
            <v>45793</v>
          </cell>
          <cell r="S6024">
            <v>201011</v>
          </cell>
        </row>
        <row r="6025">
          <cell r="K6025" t="str">
            <v>213003</v>
          </cell>
          <cell r="M6025">
            <v>2</v>
          </cell>
          <cell r="R6025">
            <v>45793</v>
          </cell>
          <cell r="S6025">
            <v>213003</v>
          </cell>
        </row>
        <row r="6026">
          <cell r="K6026" t="str">
            <v>226001</v>
          </cell>
          <cell r="M6026">
            <v>1</v>
          </cell>
          <cell r="R6026">
            <v>45793</v>
          </cell>
          <cell r="S6026">
            <v>226001</v>
          </cell>
        </row>
        <row r="6027">
          <cell r="K6027" t="str">
            <v>226001</v>
          </cell>
          <cell r="M6027">
            <v>5</v>
          </cell>
          <cell r="R6027">
            <v>45793</v>
          </cell>
          <cell r="S6027">
            <v>226001</v>
          </cell>
        </row>
        <row r="6028">
          <cell r="K6028" t="str">
            <v>226001</v>
          </cell>
          <cell r="M6028">
            <v>5</v>
          </cell>
          <cell r="R6028">
            <v>45793</v>
          </cell>
          <cell r="S6028">
            <v>226001</v>
          </cell>
        </row>
        <row r="6029">
          <cell r="K6029" t="str">
            <v>226001</v>
          </cell>
          <cell r="M6029">
            <v>1</v>
          </cell>
          <cell r="R6029">
            <v>45793</v>
          </cell>
          <cell r="S6029">
            <v>226001</v>
          </cell>
        </row>
        <row r="6030">
          <cell r="K6030" t="str">
            <v>226001</v>
          </cell>
          <cell r="M6030">
            <v>1</v>
          </cell>
          <cell r="R6030">
            <v>45793</v>
          </cell>
          <cell r="S6030">
            <v>226001</v>
          </cell>
        </row>
        <row r="6031">
          <cell r="K6031" t="str">
            <v>229004</v>
          </cell>
          <cell r="M6031">
            <v>4</v>
          </cell>
          <cell r="R6031">
            <v>45793</v>
          </cell>
          <cell r="S6031">
            <v>229004</v>
          </cell>
        </row>
        <row r="6032">
          <cell r="K6032" t="str">
            <v>213003</v>
          </cell>
          <cell r="M6032">
            <v>2</v>
          </cell>
          <cell r="R6032">
            <v>45793</v>
          </cell>
          <cell r="S6032">
            <v>213003</v>
          </cell>
        </row>
        <row r="6033">
          <cell r="K6033" t="str">
            <v>213003</v>
          </cell>
          <cell r="M6033">
            <v>3</v>
          </cell>
          <cell r="R6033">
            <v>45793</v>
          </cell>
          <cell r="S6033">
            <v>213003</v>
          </cell>
        </row>
        <row r="6034">
          <cell r="K6034" t="str">
            <v>226001</v>
          </cell>
          <cell r="M6034">
            <v>2</v>
          </cell>
          <cell r="R6034">
            <v>45793</v>
          </cell>
          <cell r="S6034">
            <v>226001</v>
          </cell>
        </row>
        <row r="6035">
          <cell r="K6035" t="str">
            <v>226025</v>
          </cell>
          <cell r="M6035">
            <v>1</v>
          </cell>
          <cell r="R6035">
            <v>45793</v>
          </cell>
          <cell r="S6035">
            <v>226025</v>
          </cell>
        </row>
        <row r="6036">
          <cell r="K6036" t="str">
            <v>209001</v>
          </cell>
          <cell r="M6036">
            <v>3</v>
          </cell>
          <cell r="R6036">
            <v>45793</v>
          </cell>
          <cell r="S6036">
            <v>209001</v>
          </cell>
        </row>
        <row r="6037">
          <cell r="K6037" t="str">
            <v>201011</v>
          </cell>
          <cell r="M6037">
            <v>36</v>
          </cell>
          <cell r="R6037">
            <v>45793</v>
          </cell>
          <cell r="S6037">
            <v>201011</v>
          </cell>
        </row>
        <row r="6038">
          <cell r="K6038" t="str">
            <v>228001</v>
          </cell>
          <cell r="M6038">
            <v>12</v>
          </cell>
          <cell r="R6038">
            <v>45793</v>
          </cell>
          <cell r="S6038">
            <v>228001</v>
          </cell>
        </row>
        <row r="6039">
          <cell r="K6039" t="str">
            <v>217019</v>
          </cell>
          <cell r="M6039">
            <v>38</v>
          </cell>
          <cell r="R6039">
            <v>45793</v>
          </cell>
          <cell r="S6039">
            <v>217019</v>
          </cell>
        </row>
        <row r="6040">
          <cell r="K6040" t="str">
            <v>213002</v>
          </cell>
          <cell r="M6040">
            <v>20</v>
          </cell>
          <cell r="R6040">
            <v>45793</v>
          </cell>
          <cell r="S6040">
            <v>213002</v>
          </cell>
        </row>
        <row r="6041">
          <cell r="K6041" t="str">
            <v>201011</v>
          </cell>
          <cell r="M6041">
            <v>72</v>
          </cell>
          <cell r="R6041">
            <v>45793</v>
          </cell>
          <cell r="S6041">
            <v>201011</v>
          </cell>
        </row>
        <row r="6042">
          <cell r="K6042" t="str">
            <v>209001</v>
          </cell>
          <cell r="M6042">
            <v>3</v>
          </cell>
          <cell r="R6042">
            <v>45793</v>
          </cell>
          <cell r="S6042">
            <v>209001</v>
          </cell>
        </row>
        <row r="6043">
          <cell r="K6043" t="str">
            <v>210014</v>
          </cell>
          <cell r="M6043">
            <v>1</v>
          </cell>
          <cell r="R6043">
            <v>45793</v>
          </cell>
          <cell r="S6043">
            <v>210014</v>
          </cell>
        </row>
        <row r="6044">
          <cell r="K6044" t="str">
            <v>217019</v>
          </cell>
          <cell r="M6044">
            <v>4</v>
          </cell>
          <cell r="R6044">
            <v>45793</v>
          </cell>
          <cell r="S6044">
            <v>217019</v>
          </cell>
        </row>
        <row r="6045">
          <cell r="K6045" t="str">
            <v>217018</v>
          </cell>
          <cell r="M6045">
            <v>2</v>
          </cell>
          <cell r="R6045">
            <v>45795</v>
          </cell>
          <cell r="S6045">
            <v>217018</v>
          </cell>
        </row>
        <row r="6046">
          <cell r="K6046" t="str">
            <v>213003</v>
          </cell>
          <cell r="M6046">
            <v>1</v>
          </cell>
          <cell r="R6046">
            <v>45795</v>
          </cell>
          <cell r="S6046">
            <v>213003</v>
          </cell>
        </row>
        <row r="6047">
          <cell r="K6047" t="str">
            <v>201011</v>
          </cell>
          <cell r="M6047">
            <v>6</v>
          </cell>
          <cell r="R6047">
            <v>45795</v>
          </cell>
          <cell r="S6047">
            <v>201011</v>
          </cell>
        </row>
        <row r="6048">
          <cell r="K6048" t="str">
            <v>213003</v>
          </cell>
          <cell r="M6048">
            <v>2</v>
          </cell>
          <cell r="R6048">
            <v>45795</v>
          </cell>
          <cell r="S6048">
            <v>213003</v>
          </cell>
        </row>
        <row r="6049">
          <cell r="K6049" t="str">
            <v>213002</v>
          </cell>
          <cell r="M6049">
            <v>4</v>
          </cell>
          <cell r="R6049">
            <v>45796</v>
          </cell>
          <cell r="S6049">
            <v>213002</v>
          </cell>
        </row>
        <row r="6050">
          <cell r="K6050" t="str">
            <v>222001</v>
          </cell>
          <cell r="M6050">
            <v>5</v>
          </cell>
          <cell r="R6050">
            <v>45795</v>
          </cell>
          <cell r="S6050">
            <v>222001</v>
          </cell>
        </row>
        <row r="6051">
          <cell r="K6051" t="str">
            <v>201011</v>
          </cell>
          <cell r="M6051">
            <v>6</v>
          </cell>
          <cell r="R6051">
            <v>45795</v>
          </cell>
          <cell r="S6051">
            <v>201011</v>
          </cell>
        </row>
        <row r="6052">
          <cell r="K6052" t="str">
            <v>213003</v>
          </cell>
          <cell r="M6052">
            <v>1</v>
          </cell>
          <cell r="R6052">
            <v>45795</v>
          </cell>
          <cell r="S6052">
            <v>213003</v>
          </cell>
        </row>
        <row r="6053">
          <cell r="K6053" t="str">
            <v>201011</v>
          </cell>
          <cell r="M6053">
            <v>1</v>
          </cell>
          <cell r="R6053">
            <v>45795</v>
          </cell>
          <cell r="S6053">
            <v>201011</v>
          </cell>
        </row>
        <row r="6054">
          <cell r="K6054" t="str">
            <v>241001</v>
          </cell>
          <cell r="M6054">
            <v>4</v>
          </cell>
          <cell r="R6054">
            <v>45795</v>
          </cell>
          <cell r="S6054">
            <v>241001</v>
          </cell>
        </row>
        <row r="6055">
          <cell r="K6055" t="str">
            <v>201011</v>
          </cell>
          <cell r="M6055">
            <v>1</v>
          </cell>
          <cell r="R6055">
            <v>45795</v>
          </cell>
          <cell r="S6055">
            <v>201011</v>
          </cell>
        </row>
        <row r="6056">
          <cell r="K6056" t="str">
            <v>223001</v>
          </cell>
          <cell r="M6056">
            <v>2</v>
          </cell>
          <cell r="R6056">
            <v>45795</v>
          </cell>
          <cell r="S6056">
            <v>223001</v>
          </cell>
        </row>
        <row r="6057">
          <cell r="K6057" t="str">
            <v>209001</v>
          </cell>
          <cell r="M6057">
            <v>1</v>
          </cell>
          <cell r="R6057">
            <v>45795</v>
          </cell>
          <cell r="S6057">
            <v>209001</v>
          </cell>
        </row>
        <row r="6058">
          <cell r="K6058" t="str">
            <v>201002</v>
          </cell>
          <cell r="M6058">
            <v>5</v>
          </cell>
          <cell r="R6058">
            <v>45795</v>
          </cell>
          <cell r="S6058">
            <v>201002</v>
          </cell>
        </row>
        <row r="6059">
          <cell r="K6059" t="str">
            <v>231012</v>
          </cell>
          <cell r="M6059">
            <v>8</v>
          </cell>
          <cell r="R6059">
            <v>45795</v>
          </cell>
          <cell r="S6059">
            <v>231012</v>
          </cell>
        </row>
        <row r="6060">
          <cell r="K6060" t="str">
            <v>223002</v>
          </cell>
          <cell r="M6060">
            <v>3</v>
          </cell>
          <cell r="R6060">
            <v>45795</v>
          </cell>
          <cell r="S6060">
            <v>223002</v>
          </cell>
        </row>
        <row r="6061">
          <cell r="K6061" t="str">
            <v>201011</v>
          </cell>
          <cell r="M6061">
            <v>1</v>
          </cell>
          <cell r="R6061">
            <v>45795</v>
          </cell>
          <cell r="S6061">
            <v>201011</v>
          </cell>
        </row>
        <row r="6062">
          <cell r="K6062" t="str">
            <v>223001</v>
          </cell>
          <cell r="M6062">
            <v>9</v>
          </cell>
          <cell r="R6062">
            <v>45795</v>
          </cell>
          <cell r="S6062">
            <v>223001</v>
          </cell>
        </row>
        <row r="6063">
          <cell r="K6063" t="str">
            <v>227012</v>
          </cell>
          <cell r="M6063">
            <v>1</v>
          </cell>
          <cell r="R6063">
            <v>45795</v>
          </cell>
          <cell r="S6063">
            <v>227012</v>
          </cell>
        </row>
        <row r="6064">
          <cell r="K6064" t="str">
            <v>209022</v>
          </cell>
          <cell r="M6064">
            <v>6</v>
          </cell>
          <cell r="R6064">
            <v>45795</v>
          </cell>
          <cell r="S6064">
            <v>209022</v>
          </cell>
        </row>
        <row r="6065">
          <cell r="K6065" t="str">
            <v>201011</v>
          </cell>
          <cell r="M6065">
            <v>3</v>
          </cell>
          <cell r="R6065">
            <v>45795</v>
          </cell>
          <cell r="S6065">
            <v>201011</v>
          </cell>
        </row>
        <row r="6066">
          <cell r="K6066" t="str">
            <v>241001</v>
          </cell>
          <cell r="M6066">
            <v>3</v>
          </cell>
          <cell r="R6066">
            <v>45795</v>
          </cell>
          <cell r="S6066">
            <v>241001</v>
          </cell>
        </row>
        <row r="6067">
          <cell r="K6067" t="str">
            <v>213002</v>
          </cell>
          <cell r="M6067">
            <v>1</v>
          </cell>
          <cell r="R6067">
            <v>45795</v>
          </cell>
          <cell r="S6067">
            <v>213002</v>
          </cell>
        </row>
        <row r="6068">
          <cell r="K6068" t="str">
            <v>241001</v>
          </cell>
          <cell r="M6068">
            <v>10</v>
          </cell>
          <cell r="R6068">
            <v>45795</v>
          </cell>
          <cell r="S6068">
            <v>241001</v>
          </cell>
        </row>
        <row r="6069">
          <cell r="K6069" t="str">
            <v>222001</v>
          </cell>
          <cell r="M6069">
            <v>1</v>
          </cell>
          <cell r="R6069">
            <v>45795</v>
          </cell>
          <cell r="S6069">
            <v>222001</v>
          </cell>
        </row>
        <row r="6070">
          <cell r="K6070" t="str">
            <v>241001</v>
          </cell>
          <cell r="M6070">
            <v>2</v>
          </cell>
          <cell r="R6070">
            <v>45795</v>
          </cell>
          <cell r="S6070">
            <v>241001</v>
          </cell>
        </row>
        <row r="6071">
          <cell r="K6071" t="str">
            <v>222001</v>
          </cell>
          <cell r="M6071">
            <v>1</v>
          </cell>
          <cell r="R6071">
            <v>45795</v>
          </cell>
          <cell r="S6071">
            <v>222001</v>
          </cell>
        </row>
        <row r="6072">
          <cell r="K6072" t="str">
            <v>213003</v>
          </cell>
          <cell r="M6072">
            <v>1</v>
          </cell>
          <cell r="R6072">
            <v>45795</v>
          </cell>
          <cell r="S6072">
            <v>213003</v>
          </cell>
        </row>
        <row r="6073">
          <cell r="K6073" t="str">
            <v>201011</v>
          </cell>
          <cell r="M6073">
            <v>5</v>
          </cell>
          <cell r="R6073">
            <v>45795</v>
          </cell>
          <cell r="S6073">
            <v>201011</v>
          </cell>
        </row>
        <row r="6074">
          <cell r="K6074" t="str">
            <v>223001</v>
          </cell>
          <cell r="M6074">
            <v>8</v>
          </cell>
          <cell r="R6074">
            <v>45796</v>
          </cell>
          <cell r="S6074">
            <v>223001</v>
          </cell>
        </row>
        <row r="6075">
          <cell r="K6075" t="str">
            <v>231012</v>
          </cell>
          <cell r="M6075">
            <v>1</v>
          </cell>
          <cell r="R6075">
            <v>45796</v>
          </cell>
          <cell r="S6075">
            <v>231012</v>
          </cell>
        </row>
        <row r="6076">
          <cell r="K6076" t="str">
            <v>201002</v>
          </cell>
          <cell r="M6076">
            <v>1</v>
          </cell>
          <cell r="R6076">
            <v>45796</v>
          </cell>
          <cell r="S6076">
            <v>201002</v>
          </cell>
        </row>
        <row r="6077">
          <cell r="K6077" t="str">
            <v>201011</v>
          </cell>
          <cell r="M6077">
            <v>3</v>
          </cell>
          <cell r="R6077">
            <v>45796</v>
          </cell>
          <cell r="S6077">
            <v>201011</v>
          </cell>
        </row>
        <row r="6078">
          <cell r="K6078" t="str">
            <v>234001</v>
          </cell>
          <cell r="M6078">
            <v>2</v>
          </cell>
          <cell r="R6078">
            <v>45796</v>
          </cell>
          <cell r="S6078">
            <v>234001</v>
          </cell>
        </row>
        <row r="6079">
          <cell r="K6079" t="str">
            <v>201011</v>
          </cell>
          <cell r="M6079">
            <v>2</v>
          </cell>
          <cell r="R6079">
            <v>45796</v>
          </cell>
          <cell r="S6079">
            <v>201011</v>
          </cell>
        </row>
        <row r="6080">
          <cell r="K6080" t="str">
            <v>217002</v>
          </cell>
          <cell r="M6080">
            <v>8</v>
          </cell>
          <cell r="R6080">
            <v>45796</v>
          </cell>
          <cell r="S6080">
            <v>217002</v>
          </cell>
        </row>
        <row r="6081">
          <cell r="K6081" t="str">
            <v>213002</v>
          </cell>
          <cell r="M6081">
            <v>5</v>
          </cell>
          <cell r="R6081">
            <v>45796</v>
          </cell>
          <cell r="S6081">
            <v>213002</v>
          </cell>
        </row>
        <row r="6082">
          <cell r="K6082" t="str">
            <v>231010</v>
          </cell>
          <cell r="M6082">
            <v>1</v>
          </cell>
          <cell r="R6082">
            <v>45796</v>
          </cell>
          <cell r="S6082">
            <v>231010</v>
          </cell>
        </row>
        <row r="6083">
          <cell r="K6083" t="str">
            <v>234001</v>
          </cell>
          <cell r="M6083">
            <v>1</v>
          </cell>
          <cell r="R6083">
            <v>45796</v>
          </cell>
          <cell r="S6083">
            <v>234001</v>
          </cell>
        </row>
        <row r="6084">
          <cell r="K6084" t="str">
            <v>210013</v>
          </cell>
          <cell r="M6084">
            <v>2</v>
          </cell>
          <cell r="R6084">
            <v>45796</v>
          </cell>
          <cell r="S6084">
            <v>210013</v>
          </cell>
        </row>
        <row r="6085">
          <cell r="K6085" t="str">
            <v>205004</v>
          </cell>
          <cell r="M6085">
            <v>2</v>
          </cell>
          <cell r="R6085">
            <v>45796</v>
          </cell>
          <cell r="S6085">
            <v>205004</v>
          </cell>
        </row>
        <row r="6086">
          <cell r="K6086" t="str">
            <v>228001</v>
          </cell>
          <cell r="M6086">
            <v>2</v>
          </cell>
          <cell r="R6086">
            <v>45796</v>
          </cell>
          <cell r="S6086">
            <v>228001</v>
          </cell>
        </row>
        <row r="6087">
          <cell r="K6087" t="str">
            <v>231010</v>
          </cell>
          <cell r="M6087">
            <v>13</v>
          </cell>
          <cell r="R6087">
            <v>45796</v>
          </cell>
          <cell r="S6087">
            <v>231010</v>
          </cell>
        </row>
        <row r="6088">
          <cell r="K6088" t="str">
            <v>201011</v>
          </cell>
          <cell r="M6088">
            <v>72</v>
          </cell>
          <cell r="R6088">
            <v>45796</v>
          </cell>
          <cell r="S6088">
            <v>201011</v>
          </cell>
        </row>
        <row r="6089">
          <cell r="K6089" t="str">
            <v>231004</v>
          </cell>
          <cell r="M6089">
            <v>1</v>
          </cell>
          <cell r="R6089">
            <v>45796</v>
          </cell>
          <cell r="S6089">
            <v>231004</v>
          </cell>
        </row>
        <row r="6090">
          <cell r="K6090" t="str">
            <v>201011</v>
          </cell>
          <cell r="M6090">
            <v>6</v>
          </cell>
          <cell r="R6090">
            <v>45796</v>
          </cell>
          <cell r="S6090">
            <v>201011</v>
          </cell>
        </row>
        <row r="6091">
          <cell r="K6091" t="str">
            <v>229004</v>
          </cell>
          <cell r="M6091">
            <v>2</v>
          </cell>
          <cell r="R6091">
            <v>45796</v>
          </cell>
          <cell r="S6091">
            <v>229004</v>
          </cell>
        </row>
        <row r="6092">
          <cell r="K6092" t="str">
            <v>217002</v>
          </cell>
          <cell r="M6092">
            <v>1</v>
          </cell>
          <cell r="R6092">
            <v>45796</v>
          </cell>
          <cell r="S6092">
            <v>217002</v>
          </cell>
        </row>
        <row r="6093">
          <cell r="K6093" t="str">
            <v>227002</v>
          </cell>
          <cell r="M6093">
            <v>1</v>
          </cell>
          <cell r="R6093">
            <v>45796</v>
          </cell>
          <cell r="S6093">
            <v>227002</v>
          </cell>
        </row>
        <row r="6094">
          <cell r="K6094" t="str">
            <v>201002</v>
          </cell>
          <cell r="M6094">
            <v>1</v>
          </cell>
          <cell r="R6094">
            <v>45796</v>
          </cell>
          <cell r="S6094">
            <v>201002</v>
          </cell>
        </row>
        <row r="6095">
          <cell r="K6095" t="str">
            <v>228001</v>
          </cell>
          <cell r="M6095">
            <v>1</v>
          </cell>
          <cell r="R6095">
            <v>45796</v>
          </cell>
          <cell r="S6095">
            <v>228001</v>
          </cell>
        </row>
        <row r="6096">
          <cell r="K6096" t="str">
            <v>231010</v>
          </cell>
          <cell r="M6096">
            <v>1</v>
          </cell>
          <cell r="R6096">
            <v>45796</v>
          </cell>
          <cell r="S6096">
            <v>231010</v>
          </cell>
        </row>
        <row r="6097">
          <cell r="K6097" t="str">
            <v>228001</v>
          </cell>
          <cell r="M6097">
            <v>3</v>
          </cell>
          <cell r="R6097">
            <v>45796</v>
          </cell>
          <cell r="S6097">
            <v>228001</v>
          </cell>
        </row>
        <row r="6098">
          <cell r="K6098" t="str">
            <v>201003</v>
          </cell>
          <cell r="M6098">
            <v>1</v>
          </cell>
          <cell r="R6098">
            <v>45796</v>
          </cell>
          <cell r="S6098">
            <v>201003</v>
          </cell>
        </row>
        <row r="6099">
          <cell r="K6099" t="str">
            <v>207017</v>
          </cell>
          <cell r="M6099">
            <v>1</v>
          </cell>
          <cell r="R6099">
            <v>45796</v>
          </cell>
          <cell r="S6099">
            <v>207017</v>
          </cell>
        </row>
        <row r="6100">
          <cell r="K6100" t="str">
            <v>212002</v>
          </cell>
          <cell r="M6100">
            <v>1</v>
          </cell>
          <cell r="R6100">
            <v>45796</v>
          </cell>
          <cell r="S6100">
            <v>212002</v>
          </cell>
        </row>
        <row r="6101">
          <cell r="K6101" t="str">
            <v>223001</v>
          </cell>
          <cell r="M6101">
            <v>2</v>
          </cell>
          <cell r="R6101">
            <v>45796</v>
          </cell>
          <cell r="S6101">
            <v>223001</v>
          </cell>
        </row>
        <row r="6102">
          <cell r="K6102" t="str">
            <v>228001</v>
          </cell>
          <cell r="M6102">
            <v>3</v>
          </cell>
          <cell r="R6102">
            <v>45796</v>
          </cell>
          <cell r="S6102">
            <v>228001</v>
          </cell>
        </row>
        <row r="6103">
          <cell r="K6103" t="str">
            <v>228001</v>
          </cell>
          <cell r="M6103">
            <v>4</v>
          </cell>
          <cell r="R6103">
            <v>45796</v>
          </cell>
          <cell r="S6103">
            <v>228001</v>
          </cell>
        </row>
        <row r="6104">
          <cell r="K6104" t="str">
            <v>201003</v>
          </cell>
          <cell r="M6104">
            <v>1</v>
          </cell>
          <cell r="R6104">
            <v>45796</v>
          </cell>
          <cell r="S6104">
            <v>201003</v>
          </cell>
        </row>
        <row r="6105">
          <cell r="K6105" t="str">
            <v>231010</v>
          </cell>
          <cell r="M6105">
            <v>1</v>
          </cell>
          <cell r="R6105">
            <v>45796</v>
          </cell>
          <cell r="S6105">
            <v>231010</v>
          </cell>
        </row>
        <row r="6106">
          <cell r="K6106" t="str">
            <v>207017</v>
          </cell>
          <cell r="M6106">
            <v>1</v>
          </cell>
          <cell r="R6106">
            <v>45796</v>
          </cell>
          <cell r="S6106">
            <v>207017</v>
          </cell>
        </row>
        <row r="6107">
          <cell r="K6107" t="str">
            <v>212002</v>
          </cell>
          <cell r="M6107">
            <v>1</v>
          </cell>
          <cell r="R6107">
            <v>45796</v>
          </cell>
          <cell r="S6107">
            <v>212002</v>
          </cell>
        </row>
        <row r="6108">
          <cell r="K6108" t="str">
            <v>209004</v>
          </cell>
          <cell r="M6108">
            <v>1</v>
          </cell>
          <cell r="R6108">
            <v>45796</v>
          </cell>
          <cell r="S6108">
            <v>209004</v>
          </cell>
        </row>
        <row r="6109">
          <cell r="K6109" t="str">
            <v>223001</v>
          </cell>
          <cell r="M6109">
            <v>4</v>
          </cell>
          <cell r="R6109">
            <v>45796</v>
          </cell>
          <cell r="S6109">
            <v>223001</v>
          </cell>
        </row>
        <row r="6110">
          <cell r="K6110" t="str">
            <v>212002</v>
          </cell>
          <cell r="M6110">
            <v>1</v>
          </cell>
          <cell r="R6110">
            <v>45796</v>
          </cell>
          <cell r="S6110">
            <v>212002</v>
          </cell>
        </row>
        <row r="6111">
          <cell r="K6111" t="str">
            <v>207017</v>
          </cell>
          <cell r="M6111">
            <v>1</v>
          </cell>
          <cell r="R6111">
            <v>45796</v>
          </cell>
          <cell r="S6111">
            <v>207017</v>
          </cell>
        </row>
        <row r="6112">
          <cell r="K6112" t="str">
            <v>231010</v>
          </cell>
          <cell r="M6112">
            <v>1</v>
          </cell>
          <cell r="R6112">
            <v>45796</v>
          </cell>
          <cell r="S6112">
            <v>231010</v>
          </cell>
        </row>
        <row r="6113">
          <cell r="K6113" t="str">
            <v>227001</v>
          </cell>
          <cell r="M6113">
            <v>4</v>
          </cell>
          <cell r="R6113">
            <v>45796</v>
          </cell>
          <cell r="S6113">
            <v>227001</v>
          </cell>
        </row>
        <row r="6114">
          <cell r="K6114" t="str">
            <v>217019</v>
          </cell>
          <cell r="M6114">
            <v>4</v>
          </cell>
          <cell r="R6114">
            <v>45796</v>
          </cell>
          <cell r="S6114">
            <v>217019</v>
          </cell>
        </row>
        <row r="6115">
          <cell r="K6115" t="str">
            <v>201011</v>
          </cell>
          <cell r="M6115">
            <v>6</v>
          </cell>
          <cell r="R6115">
            <v>45796</v>
          </cell>
          <cell r="S6115">
            <v>201011</v>
          </cell>
        </row>
        <row r="6116">
          <cell r="K6116" t="str">
            <v>209001</v>
          </cell>
          <cell r="M6116">
            <v>3</v>
          </cell>
          <cell r="R6116">
            <v>45796</v>
          </cell>
          <cell r="S6116">
            <v>209001</v>
          </cell>
        </row>
        <row r="6117">
          <cell r="K6117" t="str">
            <v>227001</v>
          </cell>
          <cell r="M6117">
            <v>2</v>
          </cell>
          <cell r="R6117">
            <v>45796</v>
          </cell>
          <cell r="S6117">
            <v>227001</v>
          </cell>
        </row>
        <row r="6118">
          <cell r="K6118" t="str">
            <v>227001</v>
          </cell>
          <cell r="M6118">
            <v>2</v>
          </cell>
          <cell r="R6118">
            <v>45796</v>
          </cell>
          <cell r="S6118">
            <v>227001</v>
          </cell>
        </row>
        <row r="6119">
          <cell r="K6119" t="str">
            <v>227014</v>
          </cell>
          <cell r="M6119">
            <v>1</v>
          </cell>
          <cell r="R6119">
            <v>45796</v>
          </cell>
          <cell r="S6119">
            <v>227014</v>
          </cell>
        </row>
        <row r="6120">
          <cell r="K6120" t="str">
            <v>223001</v>
          </cell>
          <cell r="M6120">
            <v>8</v>
          </cell>
          <cell r="R6120">
            <v>45796</v>
          </cell>
          <cell r="S6120">
            <v>223001</v>
          </cell>
        </row>
        <row r="6121">
          <cell r="K6121" t="str">
            <v>227012</v>
          </cell>
          <cell r="M6121">
            <v>1</v>
          </cell>
          <cell r="R6121">
            <v>45796</v>
          </cell>
          <cell r="S6121">
            <v>227012</v>
          </cell>
        </row>
        <row r="6122">
          <cell r="K6122" t="str">
            <v>201011</v>
          </cell>
          <cell r="M6122">
            <v>5</v>
          </cell>
          <cell r="R6122">
            <v>45796</v>
          </cell>
          <cell r="S6122">
            <v>201011</v>
          </cell>
        </row>
        <row r="6123">
          <cell r="K6123" t="str">
            <v>201011</v>
          </cell>
          <cell r="M6123">
            <v>15</v>
          </cell>
          <cell r="R6123">
            <v>45796</v>
          </cell>
          <cell r="S6123">
            <v>201011</v>
          </cell>
        </row>
        <row r="6124">
          <cell r="K6124" t="str">
            <v>228001</v>
          </cell>
          <cell r="M6124">
            <v>1</v>
          </cell>
          <cell r="R6124">
            <v>45796</v>
          </cell>
          <cell r="S6124">
            <v>228001</v>
          </cell>
        </row>
        <row r="6125">
          <cell r="K6125" t="str">
            <v>210014</v>
          </cell>
          <cell r="M6125">
            <v>6</v>
          </cell>
          <cell r="R6125">
            <v>45796</v>
          </cell>
          <cell r="S6125">
            <v>210014</v>
          </cell>
        </row>
        <row r="6126">
          <cell r="K6126" t="str">
            <v>231010</v>
          </cell>
          <cell r="M6126">
            <v>1</v>
          </cell>
          <cell r="R6126">
            <v>45796</v>
          </cell>
          <cell r="S6126">
            <v>231010</v>
          </cell>
        </row>
        <row r="6127">
          <cell r="K6127" t="str">
            <v>223001</v>
          </cell>
          <cell r="M6127">
            <v>10</v>
          </cell>
          <cell r="R6127">
            <v>45796</v>
          </cell>
          <cell r="S6127">
            <v>223001</v>
          </cell>
        </row>
        <row r="6128">
          <cell r="K6128" t="str">
            <v>201002</v>
          </cell>
          <cell r="M6128">
            <v>1</v>
          </cell>
          <cell r="R6128">
            <v>45796</v>
          </cell>
          <cell r="S6128">
            <v>201002</v>
          </cell>
        </row>
        <row r="6129">
          <cell r="K6129" t="str">
            <v>227012</v>
          </cell>
          <cell r="M6129">
            <v>1</v>
          </cell>
          <cell r="R6129">
            <v>45796</v>
          </cell>
          <cell r="S6129">
            <v>227012</v>
          </cell>
        </row>
        <row r="6130">
          <cell r="K6130" t="str">
            <v>222001</v>
          </cell>
          <cell r="M6130">
            <v>3</v>
          </cell>
          <cell r="R6130">
            <v>45796</v>
          </cell>
          <cell r="S6130">
            <v>222001</v>
          </cell>
        </row>
        <row r="6131">
          <cell r="K6131" t="str">
            <v>241001</v>
          </cell>
          <cell r="M6131">
            <v>3</v>
          </cell>
          <cell r="R6131">
            <v>45796</v>
          </cell>
          <cell r="S6131">
            <v>241001</v>
          </cell>
        </row>
        <row r="6132">
          <cell r="K6132" t="str">
            <v>213003</v>
          </cell>
          <cell r="M6132">
            <v>1</v>
          </cell>
          <cell r="R6132">
            <v>45796</v>
          </cell>
          <cell r="S6132">
            <v>213003</v>
          </cell>
        </row>
        <row r="6133">
          <cell r="K6133" t="str">
            <v>213003</v>
          </cell>
          <cell r="M6133">
            <v>1</v>
          </cell>
          <cell r="R6133">
            <v>45796</v>
          </cell>
          <cell r="S6133">
            <v>213003</v>
          </cell>
        </row>
        <row r="6134">
          <cell r="K6134" t="str">
            <v>217018</v>
          </cell>
          <cell r="M6134">
            <v>1</v>
          </cell>
          <cell r="R6134">
            <v>45796</v>
          </cell>
          <cell r="S6134">
            <v>217018</v>
          </cell>
        </row>
        <row r="6135">
          <cell r="K6135" t="str">
            <v>213002</v>
          </cell>
          <cell r="M6135">
            <v>3</v>
          </cell>
          <cell r="R6135">
            <v>45796</v>
          </cell>
          <cell r="S6135">
            <v>213002</v>
          </cell>
        </row>
        <row r="6136">
          <cell r="K6136" t="str">
            <v>201011</v>
          </cell>
          <cell r="M6136">
            <v>2</v>
          </cell>
          <cell r="R6136">
            <v>45796</v>
          </cell>
          <cell r="S6136">
            <v>201011</v>
          </cell>
        </row>
        <row r="6137">
          <cell r="K6137" t="str">
            <v>201011</v>
          </cell>
          <cell r="M6137">
            <v>10</v>
          </cell>
          <cell r="R6137">
            <v>45796</v>
          </cell>
          <cell r="S6137">
            <v>201011</v>
          </cell>
        </row>
        <row r="6138">
          <cell r="K6138" t="str">
            <v>222001</v>
          </cell>
          <cell r="M6138">
            <v>1</v>
          </cell>
          <cell r="R6138">
            <v>45796</v>
          </cell>
          <cell r="S6138">
            <v>222001</v>
          </cell>
        </row>
        <row r="6139">
          <cell r="K6139" t="str">
            <v>213003</v>
          </cell>
          <cell r="M6139">
            <v>5</v>
          </cell>
          <cell r="R6139">
            <v>45797</v>
          </cell>
          <cell r="S6139">
            <v>213003</v>
          </cell>
        </row>
        <row r="6140">
          <cell r="K6140" t="str">
            <v>209004</v>
          </cell>
          <cell r="M6140">
            <v>2</v>
          </cell>
          <cell r="R6140">
            <v>45797</v>
          </cell>
          <cell r="S6140">
            <v>209004</v>
          </cell>
        </row>
        <row r="6141">
          <cell r="K6141" t="str">
            <v>213002</v>
          </cell>
          <cell r="M6141">
            <v>2</v>
          </cell>
          <cell r="R6141">
            <v>45797</v>
          </cell>
          <cell r="S6141">
            <v>213002</v>
          </cell>
        </row>
        <row r="6142">
          <cell r="K6142" t="str">
            <v>217002</v>
          </cell>
          <cell r="M6142">
            <v>1</v>
          </cell>
          <cell r="R6142">
            <v>45796</v>
          </cell>
          <cell r="S6142">
            <v>217002</v>
          </cell>
        </row>
        <row r="6143">
          <cell r="K6143" t="str">
            <v>227002</v>
          </cell>
          <cell r="M6143">
            <v>1</v>
          </cell>
          <cell r="R6143">
            <v>45796</v>
          </cell>
          <cell r="S6143">
            <v>227002</v>
          </cell>
        </row>
        <row r="6144">
          <cell r="K6144" t="str">
            <v>223001</v>
          </cell>
          <cell r="M6144">
            <v>3</v>
          </cell>
          <cell r="R6144">
            <v>45796</v>
          </cell>
          <cell r="S6144">
            <v>223001</v>
          </cell>
        </row>
        <row r="6145">
          <cell r="K6145" t="str">
            <v>223002</v>
          </cell>
          <cell r="M6145">
            <v>3</v>
          </cell>
          <cell r="R6145">
            <v>45796</v>
          </cell>
          <cell r="S6145">
            <v>223002</v>
          </cell>
        </row>
        <row r="6146">
          <cell r="K6146" t="str">
            <v>241001</v>
          </cell>
          <cell r="M6146">
            <v>2</v>
          </cell>
          <cell r="R6146">
            <v>45796</v>
          </cell>
          <cell r="S6146">
            <v>241001</v>
          </cell>
        </row>
        <row r="6147">
          <cell r="K6147" t="str">
            <v>201011</v>
          </cell>
          <cell r="M6147">
            <v>2</v>
          </cell>
          <cell r="R6147">
            <v>45796</v>
          </cell>
          <cell r="S6147">
            <v>201011</v>
          </cell>
        </row>
        <row r="6148">
          <cell r="K6148" t="str">
            <v>201002</v>
          </cell>
          <cell r="M6148">
            <v>1</v>
          </cell>
          <cell r="R6148">
            <v>45796</v>
          </cell>
          <cell r="S6148">
            <v>201002</v>
          </cell>
        </row>
        <row r="6149">
          <cell r="K6149" t="str">
            <v>228001</v>
          </cell>
          <cell r="M6149">
            <v>15</v>
          </cell>
          <cell r="R6149">
            <v>45796</v>
          </cell>
          <cell r="S6149">
            <v>228001</v>
          </cell>
        </row>
        <row r="6150">
          <cell r="K6150" t="str">
            <v>217020</v>
          </cell>
          <cell r="M6150">
            <v>1</v>
          </cell>
          <cell r="R6150">
            <v>45796</v>
          </cell>
          <cell r="S6150">
            <v>217020</v>
          </cell>
        </row>
        <row r="6151">
          <cell r="K6151" t="str">
            <v>228001</v>
          </cell>
          <cell r="M6151">
            <v>1</v>
          </cell>
          <cell r="R6151">
            <v>45796</v>
          </cell>
          <cell r="S6151">
            <v>228001</v>
          </cell>
        </row>
        <row r="6152">
          <cell r="K6152" t="str">
            <v>231010</v>
          </cell>
          <cell r="M6152">
            <v>2</v>
          </cell>
          <cell r="R6152">
            <v>45796</v>
          </cell>
          <cell r="S6152">
            <v>231010</v>
          </cell>
        </row>
        <row r="6153">
          <cell r="K6153" t="str">
            <v>203003</v>
          </cell>
          <cell r="M6153">
            <v>3</v>
          </cell>
          <cell r="R6153">
            <v>45796</v>
          </cell>
          <cell r="S6153">
            <v>203003</v>
          </cell>
        </row>
        <row r="6154">
          <cell r="K6154" t="str">
            <v>241001</v>
          </cell>
          <cell r="M6154">
            <v>2</v>
          </cell>
          <cell r="R6154">
            <v>45796</v>
          </cell>
          <cell r="S6154">
            <v>241001</v>
          </cell>
        </row>
        <row r="6155">
          <cell r="K6155" t="str">
            <v>223001</v>
          </cell>
          <cell r="M6155">
            <v>2</v>
          </cell>
          <cell r="R6155">
            <v>45796</v>
          </cell>
          <cell r="S6155">
            <v>223001</v>
          </cell>
        </row>
        <row r="6156">
          <cell r="K6156" t="str">
            <v>223017</v>
          </cell>
          <cell r="M6156">
            <v>12</v>
          </cell>
          <cell r="R6156">
            <v>45796</v>
          </cell>
          <cell r="S6156">
            <v>223017</v>
          </cell>
        </row>
        <row r="6157">
          <cell r="K6157" t="str">
            <v>210013</v>
          </cell>
          <cell r="M6157">
            <v>8</v>
          </cell>
          <cell r="R6157">
            <v>45796</v>
          </cell>
          <cell r="S6157">
            <v>210013</v>
          </cell>
        </row>
        <row r="6158">
          <cell r="K6158" t="str">
            <v>231010</v>
          </cell>
          <cell r="M6158">
            <v>1</v>
          </cell>
          <cell r="R6158">
            <v>45796</v>
          </cell>
          <cell r="S6158">
            <v>231010</v>
          </cell>
        </row>
        <row r="6159">
          <cell r="K6159" t="str">
            <v>217019</v>
          </cell>
          <cell r="M6159">
            <v>10</v>
          </cell>
          <cell r="R6159">
            <v>45796</v>
          </cell>
          <cell r="S6159">
            <v>217019</v>
          </cell>
        </row>
        <row r="6160">
          <cell r="K6160" t="str">
            <v>217019</v>
          </cell>
          <cell r="M6160">
            <v>1</v>
          </cell>
          <cell r="R6160">
            <v>45796</v>
          </cell>
          <cell r="S6160">
            <v>217019</v>
          </cell>
        </row>
        <row r="6161">
          <cell r="K6161" t="str">
            <v>209001</v>
          </cell>
          <cell r="M6161">
            <v>1</v>
          </cell>
          <cell r="R6161">
            <v>45796</v>
          </cell>
          <cell r="S6161">
            <v>209001</v>
          </cell>
        </row>
        <row r="6162">
          <cell r="K6162" t="str">
            <v>201011</v>
          </cell>
          <cell r="M6162">
            <v>4</v>
          </cell>
          <cell r="R6162">
            <v>45796</v>
          </cell>
          <cell r="S6162">
            <v>201011</v>
          </cell>
        </row>
        <row r="6163">
          <cell r="K6163" t="str">
            <v>228001</v>
          </cell>
          <cell r="M6163">
            <v>1</v>
          </cell>
          <cell r="R6163">
            <v>45796</v>
          </cell>
          <cell r="S6163">
            <v>228001</v>
          </cell>
        </row>
        <row r="6164">
          <cell r="K6164" t="str">
            <v>217011</v>
          </cell>
          <cell r="M6164">
            <v>1</v>
          </cell>
          <cell r="R6164">
            <v>45796</v>
          </cell>
          <cell r="S6164">
            <v>217011</v>
          </cell>
        </row>
        <row r="6165">
          <cell r="K6165" t="str">
            <v>217018</v>
          </cell>
          <cell r="M6165">
            <v>1</v>
          </cell>
          <cell r="R6165">
            <v>45797</v>
          </cell>
          <cell r="S6165">
            <v>217018</v>
          </cell>
        </row>
        <row r="6166">
          <cell r="K6166" t="str">
            <v>228001</v>
          </cell>
          <cell r="M6166">
            <v>3</v>
          </cell>
          <cell r="R6166">
            <v>45797</v>
          </cell>
          <cell r="S6166">
            <v>228001</v>
          </cell>
        </row>
        <row r="6167">
          <cell r="K6167" t="str">
            <v>217018</v>
          </cell>
          <cell r="M6167">
            <v>1</v>
          </cell>
          <cell r="R6167">
            <v>45797</v>
          </cell>
          <cell r="S6167">
            <v>217018</v>
          </cell>
        </row>
        <row r="6168">
          <cell r="K6168" t="str">
            <v>228001</v>
          </cell>
          <cell r="M6168">
            <v>4</v>
          </cell>
          <cell r="R6168">
            <v>45797</v>
          </cell>
          <cell r="S6168">
            <v>228001</v>
          </cell>
        </row>
        <row r="6169">
          <cell r="K6169" t="str">
            <v>228001</v>
          </cell>
          <cell r="M6169">
            <v>3</v>
          </cell>
          <cell r="R6169">
            <v>45797</v>
          </cell>
          <cell r="S6169">
            <v>228001</v>
          </cell>
        </row>
        <row r="6170">
          <cell r="K6170" t="str">
            <v>207017</v>
          </cell>
          <cell r="M6170">
            <v>1</v>
          </cell>
          <cell r="R6170">
            <v>45797</v>
          </cell>
          <cell r="S6170">
            <v>207017</v>
          </cell>
        </row>
        <row r="6171">
          <cell r="K6171" t="str">
            <v>203001</v>
          </cell>
          <cell r="M6171">
            <v>1</v>
          </cell>
          <cell r="R6171">
            <v>45797</v>
          </cell>
          <cell r="S6171">
            <v>203001</v>
          </cell>
        </row>
        <row r="6172">
          <cell r="K6172" t="str">
            <v>209012</v>
          </cell>
          <cell r="M6172">
            <v>1</v>
          </cell>
          <cell r="R6172">
            <v>45797</v>
          </cell>
          <cell r="S6172">
            <v>209012</v>
          </cell>
        </row>
        <row r="6173">
          <cell r="K6173" t="str">
            <v>209016</v>
          </cell>
          <cell r="M6173">
            <v>4</v>
          </cell>
          <cell r="R6173">
            <v>45797</v>
          </cell>
          <cell r="S6173">
            <v>209016</v>
          </cell>
        </row>
        <row r="6174">
          <cell r="K6174" t="str">
            <v>213003</v>
          </cell>
          <cell r="M6174">
            <v>1</v>
          </cell>
          <cell r="R6174">
            <v>45797</v>
          </cell>
          <cell r="S6174">
            <v>213003</v>
          </cell>
        </row>
        <row r="6175">
          <cell r="K6175" t="str">
            <v>231010</v>
          </cell>
          <cell r="M6175">
            <v>1</v>
          </cell>
          <cell r="R6175">
            <v>45797</v>
          </cell>
          <cell r="S6175">
            <v>231010</v>
          </cell>
        </row>
        <row r="6176">
          <cell r="K6176" t="str">
            <v>222001</v>
          </cell>
          <cell r="M6176">
            <v>1</v>
          </cell>
          <cell r="R6176">
            <v>45797</v>
          </cell>
          <cell r="S6176">
            <v>222001</v>
          </cell>
        </row>
        <row r="6177">
          <cell r="K6177" t="str">
            <v>226001</v>
          </cell>
          <cell r="M6177">
            <v>1</v>
          </cell>
          <cell r="R6177">
            <v>45797</v>
          </cell>
          <cell r="S6177">
            <v>226001</v>
          </cell>
        </row>
        <row r="6178">
          <cell r="K6178" t="str">
            <v>226001</v>
          </cell>
          <cell r="M6178">
            <v>1</v>
          </cell>
          <cell r="R6178">
            <v>45797</v>
          </cell>
          <cell r="S6178">
            <v>226001</v>
          </cell>
        </row>
        <row r="6179">
          <cell r="K6179" t="str">
            <v>213002</v>
          </cell>
          <cell r="M6179">
            <v>12</v>
          </cell>
          <cell r="R6179">
            <v>45799</v>
          </cell>
          <cell r="S6179">
            <v>213002</v>
          </cell>
        </row>
        <row r="6180">
          <cell r="K6180" t="str">
            <v>223001</v>
          </cell>
          <cell r="M6180">
            <v>20</v>
          </cell>
          <cell r="R6180">
            <v>45799</v>
          </cell>
          <cell r="S6180">
            <v>223001</v>
          </cell>
        </row>
        <row r="6181">
          <cell r="K6181" t="str">
            <v>217018</v>
          </cell>
          <cell r="M6181">
            <v>1</v>
          </cell>
          <cell r="R6181">
            <v>45799</v>
          </cell>
          <cell r="S6181">
            <v>217018</v>
          </cell>
        </row>
        <row r="6182">
          <cell r="K6182" t="str">
            <v>231010</v>
          </cell>
          <cell r="M6182">
            <v>1</v>
          </cell>
          <cell r="R6182">
            <v>45799</v>
          </cell>
          <cell r="S6182">
            <v>231010</v>
          </cell>
        </row>
        <row r="6183">
          <cell r="K6183" t="str">
            <v>226001</v>
          </cell>
          <cell r="M6183">
            <v>1</v>
          </cell>
          <cell r="R6183">
            <v>45799</v>
          </cell>
          <cell r="S6183">
            <v>226001</v>
          </cell>
        </row>
        <row r="6184">
          <cell r="K6184" t="str">
            <v>207017</v>
          </cell>
          <cell r="M6184">
            <v>1</v>
          </cell>
          <cell r="R6184">
            <v>45799</v>
          </cell>
          <cell r="S6184">
            <v>207017</v>
          </cell>
        </row>
        <row r="6185">
          <cell r="K6185" t="str">
            <v>213003</v>
          </cell>
          <cell r="M6185">
            <v>10</v>
          </cell>
          <cell r="R6185">
            <v>45799</v>
          </cell>
          <cell r="S6185">
            <v>213003</v>
          </cell>
        </row>
        <row r="6186">
          <cell r="K6186" t="str">
            <v>213002</v>
          </cell>
          <cell r="M6186">
            <v>2</v>
          </cell>
          <cell r="R6186">
            <v>45799</v>
          </cell>
          <cell r="S6186">
            <v>213002</v>
          </cell>
        </row>
        <row r="6187">
          <cell r="K6187" t="str">
            <v>213002</v>
          </cell>
          <cell r="M6187">
            <v>20</v>
          </cell>
          <cell r="R6187">
            <v>45799</v>
          </cell>
          <cell r="S6187">
            <v>213002</v>
          </cell>
        </row>
        <row r="6188">
          <cell r="K6188" t="str">
            <v>213003</v>
          </cell>
          <cell r="M6188">
            <v>10</v>
          </cell>
          <cell r="R6188">
            <v>45799</v>
          </cell>
          <cell r="S6188">
            <v>213003</v>
          </cell>
        </row>
        <row r="6189">
          <cell r="K6189" t="str">
            <v>231010</v>
          </cell>
          <cell r="M6189">
            <v>1</v>
          </cell>
          <cell r="R6189">
            <v>45799</v>
          </cell>
          <cell r="S6189">
            <v>231010</v>
          </cell>
        </row>
        <row r="6190">
          <cell r="K6190" t="str">
            <v>201011</v>
          </cell>
          <cell r="M6190">
            <v>1</v>
          </cell>
          <cell r="R6190">
            <v>45799</v>
          </cell>
          <cell r="S6190">
            <v>201011</v>
          </cell>
        </row>
        <row r="6191">
          <cell r="K6191" t="str">
            <v>201011</v>
          </cell>
          <cell r="M6191">
            <v>1</v>
          </cell>
          <cell r="R6191">
            <v>45798</v>
          </cell>
          <cell r="S6191">
            <v>201011</v>
          </cell>
        </row>
        <row r="6192">
          <cell r="K6192" t="str">
            <v>201002</v>
          </cell>
          <cell r="M6192">
            <v>8</v>
          </cell>
          <cell r="R6192">
            <v>45798</v>
          </cell>
          <cell r="S6192">
            <v>201002</v>
          </cell>
        </row>
        <row r="6193">
          <cell r="K6193" t="str">
            <v>229001</v>
          </cell>
          <cell r="M6193">
            <v>15</v>
          </cell>
          <cell r="R6193">
            <v>45799</v>
          </cell>
          <cell r="S6193">
            <v>229001</v>
          </cell>
        </row>
        <row r="6194">
          <cell r="K6194" t="str">
            <v>201011</v>
          </cell>
          <cell r="M6194">
            <v>3</v>
          </cell>
          <cell r="R6194">
            <v>45798</v>
          </cell>
          <cell r="S6194">
            <v>201011</v>
          </cell>
        </row>
        <row r="6195">
          <cell r="K6195" t="str">
            <v>201002</v>
          </cell>
          <cell r="M6195">
            <v>2</v>
          </cell>
          <cell r="R6195">
            <v>45798</v>
          </cell>
          <cell r="S6195">
            <v>201002</v>
          </cell>
        </row>
        <row r="6196">
          <cell r="K6196" t="str">
            <v>229003</v>
          </cell>
          <cell r="M6196">
            <v>1</v>
          </cell>
          <cell r="R6196">
            <v>45797</v>
          </cell>
          <cell r="S6196">
            <v>229003</v>
          </cell>
        </row>
        <row r="6197">
          <cell r="K6197" t="str">
            <v>226001</v>
          </cell>
          <cell r="M6197">
            <v>1</v>
          </cell>
          <cell r="R6197">
            <v>45797</v>
          </cell>
          <cell r="S6197">
            <v>226001</v>
          </cell>
        </row>
        <row r="6198">
          <cell r="K6198" t="str">
            <v>218001</v>
          </cell>
          <cell r="M6198">
            <v>1</v>
          </cell>
          <cell r="R6198">
            <v>45797</v>
          </cell>
          <cell r="S6198">
            <v>218001</v>
          </cell>
        </row>
        <row r="6199">
          <cell r="K6199" t="str">
            <v>226001</v>
          </cell>
          <cell r="M6199">
            <v>2</v>
          </cell>
          <cell r="R6199">
            <v>45799</v>
          </cell>
          <cell r="S6199">
            <v>226001</v>
          </cell>
        </row>
        <row r="6200">
          <cell r="K6200" t="str">
            <v>227002</v>
          </cell>
          <cell r="M6200">
            <v>1</v>
          </cell>
          <cell r="R6200">
            <v>45799</v>
          </cell>
          <cell r="S6200">
            <v>227002</v>
          </cell>
        </row>
        <row r="6201">
          <cell r="K6201" t="str">
            <v>213002</v>
          </cell>
          <cell r="M6201">
            <v>10</v>
          </cell>
          <cell r="R6201">
            <v>45799</v>
          </cell>
          <cell r="S6201">
            <v>213002</v>
          </cell>
        </row>
        <row r="6202">
          <cell r="K6202" t="str">
            <v>228001</v>
          </cell>
          <cell r="M6202">
            <v>5</v>
          </cell>
          <cell r="R6202">
            <v>45799</v>
          </cell>
          <cell r="S6202">
            <v>228001</v>
          </cell>
        </row>
        <row r="6203">
          <cell r="K6203" t="str">
            <v>231010</v>
          </cell>
          <cell r="M6203">
            <v>1</v>
          </cell>
          <cell r="R6203">
            <v>45799</v>
          </cell>
          <cell r="S6203">
            <v>231010</v>
          </cell>
        </row>
        <row r="6204">
          <cell r="K6204" t="str">
            <v>223001</v>
          </cell>
          <cell r="M6204">
            <v>6</v>
          </cell>
          <cell r="R6204">
            <v>45799</v>
          </cell>
          <cell r="S6204">
            <v>223001</v>
          </cell>
        </row>
        <row r="6205">
          <cell r="K6205" t="str">
            <v>227012</v>
          </cell>
          <cell r="M6205">
            <v>1</v>
          </cell>
          <cell r="R6205">
            <v>45799</v>
          </cell>
          <cell r="S6205">
            <v>227012</v>
          </cell>
        </row>
        <row r="6206">
          <cell r="K6206" t="str">
            <v>231004</v>
          </cell>
          <cell r="M6206">
            <v>2</v>
          </cell>
          <cell r="R6206">
            <v>45799</v>
          </cell>
          <cell r="S6206">
            <v>231004</v>
          </cell>
        </row>
        <row r="6207">
          <cell r="K6207" t="str">
            <v>213002</v>
          </cell>
          <cell r="M6207">
            <v>1</v>
          </cell>
          <cell r="R6207">
            <v>45799</v>
          </cell>
          <cell r="S6207">
            <v>213002</v>
          </cell>
        </row>
        <row r="6208">
          <cell r="K6208" t="str">
            <v>226023</v>
          </cell>
          <cell r="M6208">
            <v>1</v>
          </cell>
          <cell r="R6208">
            <v>45799</v>
          </cell>
          <cell r="S6208">
            <v>226023</v>
          </cell>
        </row>
        <row r="6209">
          <cell r="K6209" t="str">
            <v>213002</v>
          </cell>
          <cell r="M6209">
            <v>11</v>
          </cell>
          <cell r="R6209">
            <v>45799</v>
          </cell>
          <cell r="S6209">
            <v>213002</v>
          </cell>
        </row>
        <row r="6210">
          <cell r="K6210" t="str">
            <v>213002</v>
          </cell>
          <cell r="M6210">
            <v>35</v>
          </cell>
          <cell r="R6210">
            <v>45799</v>
          </cell>
          <cell r="S6210">
            <v>213002</v>
          </cell>
        </row>
        <row r="6211">
          <cell r="K6211" t="str">
            <v>201011</v>
          </cell>
          <cell r="M6211">
            <v>2</v>
          </cell>
          <cell r="R6211">
            <v>45799</v>
          </cell>
          <cell r="S6211">
            <v>201011</v>
          </cell>
        </row>
        <row r="6212">
          <cell r="K6212" t="str">
            <v>276001</v>
          </cell>
          <cell r="M6212">
            <v>10</v>
          </cell>
          <cell r="R6212">
            <v>45799</v>
          </cell>
          <cell r="S6212">
            <v>276001</v>
          </cell>
        </row>
        <row r="6213">
          <cell r="K6213" t="str">
            <v>232001</v>
          </cell>
          <cell r="M6213">
            <v>1</v>
          </cell>
          <cell r="R6213">
            <v>45799</v>
          </cell>
          <cell r="S6213">
            <v>232001</v>
          </cell>
        </row>
        <row r="6214">
          <cell r="K6214" t="str">
            <v>210013</v>
          </cell>
          <cell r="M6214">
            <v>1</v>
          </cell>
          <cell r="R6214">
            <v>45799</v>
          </cell>
          <cell r="S6214">
            <v>210013</v>
          </cell>
        </row>
        <row r="6215">
          <cell r="K6215" t="str">
            <v>223001</v>
          </cell>
          <cell r="M6215">
            <v>2</v>
          </cell>
          <cell r="R6215">
            <v>45799</v>
          </cell>
          <cell r="S6215">
            <v>223001</v>
          </cell>
        </row>
        <row r="6216">
          <cell r="K6216" t="str">
            <v>223001</v>
          </cell>
          <cell r="M6216">
            <v>1</v>
          </cell>
          <cell r="R6216">
            <v>45799</v>
          </cell>
          <cell r="S6216">
            <v>223001</v>
          </cell>
        </row>
        <row r="6217">
          <cell r="K6217" t="str">
            <v>223002</v>
          </cell>
          <cell r="M6217">
            <v>1</v>
          </cell>
          <cell r="R6217">
            <v>45799</v>
          </cell>
          <cell r="S6217">
            <v>223002</v>
          </cell>
        </row>
        <row r="6218">
          <cell r="K6218" t="str">
            <v>229001</v>
          </cell>
          <cell r="M6218">
            <v>1</v>
          </cell>
          <cell r="R6218">
            <v>45799</v>
          </cell>
          <cell r="S6218">
            <v>229001</v>
          </cell>
        </row>
        <row r="6219">
          <cell r="K6219" t="str">
            <v>201022</v>
          </cell>
          <cell r="M6219">
            <v>1</v>
          </cell>
          <cell r="R6219">
            <v>45799</v>
          </cell>
          <cell r="S6219">
            <v>201022</v>
          </cell>
        </row>
        <row r="6220">
          <cell r="K6220" t="str">
            <v>241001</v>
          </cell>
          <cell r="M6220">
            <v>1</v>
          </cell>
          <cell r="R6220">
            <v>45799</v>
          </cell>
          <cell r="S6220">
            <v>241001</v>
          </cell>
        </row>
        <row r="6221">
          <cell r="K6221" t="str">
            <v>227012</v>
          </cell>
          <cell r="M6221">
            <v>3</v>
          </cell>
          <cell r="R6221">
            <v>45799</v>
          </cell>
          <cell r="S6221">
            <v>227012</v>
          </cell>
        </row>
        <row r="6222">
          <cell r="K6222" t="str">
            <v>227012</v>
          </cell>
          <cell r="M6222">
            <v>1</v>
          </cell>
          <cell r="R6222">
            <v>45799</v>
          </cell>
          <cell r="S6222">
            <v>227012</v>
          </cell>
        </row>
        <row r="6223">
          <cell r="K6223" t="str">
            <v>210001</v>
          </cell>
          <cell r="M6223">
            <v>1</v>
          </cell>
          <cell r="R6223">
            <v>45799</v>
          </cell>
          <cell r="S6223">
            <v>210001</v>
          </cell>
        </row>
        <row r="6224">
          <cell r="K6224" t="str">
            <v>210013</v>
          </cell>
          <cell r="M6224">
            <v>20</v>
          </cell>
          <cell r="R6224">
            <v>45799</v>
          </cell>
          <cell r="S6224">
            <v>210013</v>
          </cell>
        </row>
        <row r="6225">
          <cell r="K6225" t="str">
            <v>229001</v>
          </cell>
          <cell r="M6225">
            <v>2</v>
          </cell>
          <cell r="R6225">
            <v>45799</v>
          </cell>
          <cell r="S6225">
            <v>229001</v>
          </cell>
        </row>
        <row r="6226">
          <cell r="K6226" t="str">
            <v>226001</v>
          </cell>
          <cell r="M6226">
            <v>1</v>
          </cell>
          <cell r="R6226">
            <v>45799</v>
          </cell>
          <cell r="S6226">
            <v>226001</v>
          </cell>
        </row>
        <row r="6227">
          <cell r="K6227" t="str">
            <v>226001</v>
          </cell>
          <cell r="M6227">
            <v>2</v>
          </cell>
          <cell r="R6227">
            <v>45799</v>
          </cell>
          <cell r="S6227">
            <v>226001</v>
          </cell>
        </row>
        <row r="6228">
          <cell r="K6228" t="str">
            <v>231012</v>
          </cell>
          <cell r="M6228">
            <v>2</v>
          </cell>
          <cell r="R6228">
            <v>45799</v>
          </cell>
          <cell r="S6228">
            <v>231012</v>
          </cell>
        </row>
        <row r="6229">
          <cell r="K6229" t="str">
            <v>227012</v>
          </cell>
          <cell r="M6229">
            <v>2</v>
          </cell>
          <cell r="R6229">
            <v>45799</v>
          </cell>
          <cell r="S6229">
            <v>227012</v>
          </cell>
        </row>
        <row r="6230">
          <cell r="K6230" t="str">
            <v>226001</v>
          </cell>
          <cell r="M6230">
            <v>1</v>
          </cell>
          <cell r="R6230">
            <v>45799</v>
          </cell>
          <cell r="S6230">
            <v>226001</v>
          </cell>
        </row>
        <row r="6231">
          <cell r="K6231" t="str">
            <v>226001</v>
          </cell>
          <cell r="M6231">
            <v>1</v>
          </cell>
          <cell r="R6231">
            <v>45799</v>
          </cell>
          <cell r="S6231">
            <v>226001</v>
          </cell>
        </row>
        <row r="6232">
          <cell r="K6232" t="str">
            <v>226001</v>
          </cell>
          <cell r="M6232">
            <v>1</v>
          </cell>
          <cell r="R6232">
            <v>45799</v>
          </cell>
          <cell r="S6232">
            <v>226001</v>
          </cell>
        </row>
        <row r="6233">
          <cell r="K6233" t="str">
            <v>226001</v>
          </cell>
          <cell r="M6233">
            <v>1</v>
          </cell>
          <cell r="R6233">
            <v>45799</v>
          </cell>
          <cell r="S6233">
            <v>226001</v>
          </cell>
        </row>
        <row r="6234">
          <cell r="K6234" t="str">
            <v>226001</v>
          </cell>
          <cell r="M6234">
            <v>1</v>
          </cell>
          <cell r="R6234">
            <v>45799</v>
          </cell>
          <cell r="S6234">
            <v>226001</v>
          </cell>
        </row>
        <row r="6235">
          <cell r="K6235" t="str">
            <v>206006</v>
          </cell>
          <cell r="M6235">
            <v>1</v>
          </cell>
          <cell r="R6235">
            <v>45799</v>
          </cell>
          <cell r="S6235">
            <v>206006</v>
          </cell>
        </row>
        <row r="6236">
          <cell r="K6236" t="str">
            <v>223001</v>
          </cell>
          <cell r="M6236">
            <v>1</v>
          </cell>
          <cell r="R6236">
            <v>45799</v>
          </cell>
          <cell r="S6236">
            <v>223001</v>
          </cell>
        </row>
        <row r="6237">
          <cell r="K6237" t="str">
            <v>206002</v>
          </cell>
          <cell r="M6237">
            <v>1</v>
          </cell>
          <cell r="R6237">
            <v>45799</v>
          </cell>
          <cell r="S6237">
            <v>206002</v>
          </cell>
        </row>
        <row r="6238">
          <cell r="K6238" t="str">
            <v>203004</v>
          </cell>
          <cell r="M6238">
            <v>1</v>
          </cell>
          <cell r="R6238">
            <v>45799</v>
          </cell>
          <cell r="S6238">
            <v>203004</v>
          </cell>
        </row>
        <row r="6239">
          <cell r="K6239" t="str">
            <v>218001</v>
          </cell>
          <cell r="M6239">
            <v>1</v>
          </cell>
          <cell r="R6239">
            <v>45799</v>
          </cell>
          <cell r="S6239">
            <v>218001</v>
          </cell>
        </row>
        <row r="6240">
          <cell r="K6240" t="str">
            <v>206006</v>
          </cell>
          <cell r="M6240">
            <v>1</v>
          </cell>
          <cell r="R6240">
            <v>45799</v>
          </cell>
          <cell r="S6240">
            <v>206006</v>
          </cell>
        </row>
        <row r="6241">
          <cell r="K6241" t="str">
            <v>218003</v>
          </cell>
          <cell r="M6241">
            <v>1</v>
          </cell>
          <cell r="R6241">
            <v>45799</v>
          </cell>
          <cell r="S6241">
            <v>218003</v>
          </cell>
        </row>
        <row r="6242">
          <cell r="K6242" t="str">
            <v>210004</v>
          </cell>
          <cell r="M6242">
            <v>2</v>
          </cell>
          <cell r="R6242">
            <v>45799</v>
          </cell>
          <cell r="S6242">
            <v>210004</v>
          </cell>
        </row>
        <row r="6243">
          <cell r="K6243" t="str">
            <v>218001</v>
          </cell>
          <cell r="M6243">
            <v>1</v>
          </cell>
          <cell r="R6243">
            <v>45799</v>
          </cell>
          <cell r="S6243">
            <v>218001</v>
          </cell>
        </row>
        <row r="6244">
          <cell r="K6244" t="str">
            <v>229004</v>
          </cell>
          <cell r="M6244">
            <v>1</v>
          </cell>
          <cell r="R6244">
            <v>45799</v>
          </cell>
          <cell r="S6244">
            <v>229004</v>
          </cell>
        </row>
        <row r="6245">
          <cell r="K6245" t="str">
            <v>203001</v>
          </cell>
          <cell r="M6245">
            <v>4</v>
          </cell>
          <cell r="R6245">
            <v>45799</v>
          </cell>
          <cell r="S6245">
            <v>203001</v>
          </cell>
        </row>
        <row r="6246">
          <cell r="K6246" t="str">
            <v>213003</v>
          </cell>
          <cell r="M6246">
            <v>1</v>
          </cell>
          <cell r="R6246">
            <v>45799</v>
          </cell>
          <cell r="S6246">
            <v>213003</v>
          </cell>
        </row>
        <row r="6247">
          <cell r="K6247" t="str">
            <v>226001</v>
          </cell>
          <cell r="M6247">
            <v>5</v>
          </cell>
          <cell r="R6247">
            <v>45799</v>
          </cell>
          <cell r="S6247">
            <v>226001</v>
          </cell>
        </row>
        <row r="6248">
          <cell r="K6248" t="str">
            <v>217018</v>
          </cell>
          <cell r="M6248">
            <v>2</v>
          </cell>
          <cell r="R6248">
            <v>45799</v>
          </cell>
          <cell r="S6248">
            <v>217018</v>
          </cell>
        </row>
        <row r="6249">
          <cell r="K6249" t="str">
            <v>226025</v>
          </cell>
          <cell r="M6249">
            <v>1</v>
          </cell>
          <cell r="R6249">
            <v>45799</v>
          </cell>
          <cell r="S6249">
            <v>226025</v>
          </cell>
        </row>
        <row r="6250">
          <cell r="K6250" t="str">
            <v>203001</v>
          </cell>
          <cell r="M6250">
            <v>4</v>
          </cell>
          <cell r="R6250">
            <v>45799</v>
          </cell>
          <cell r="S6250">
            <v>203001</v>
          </cell>
        </row>
        <row r="6251">
          <cell r="K6251" t="str">
            <v>231010</v>
          </cell>
          <cell r="M6251">
            <v>4</v>
          </cell>
          <cell r="R6251">
            <v>45799</v>
          </cell>
          <cell r="S6251">
            <v>231010</v>
          </cell>
        </row>
        <row r="6252">
          <cell r="K6252" t="str">
            <v>201011</v>
          </cell>
          <cell r="M6252">
            <v>2</v>
          </cell>
          <cell r="R6252">
            <v>45799</v>
          </cell>
          <cell r="S6252">
            <v>201011</v>
          </cell>
        </row>
        <row r="6253">
          <cell r="K6253" t="str">
            <v>223001</v>
          </cell>
          <cell r="M6253">
            <v>3</v>
          </cell>
          <cell r="R6253">
            <v>45799</v>
          </cell>
          <cell r="S6253">
            <v>223001</v>
          </cell>
        </row>
        <row r="6254">
          <cell r="K6254" t="str">
            <v>223002</v>
          </cell>
          <cell r="M6254">
            <v>3</v>
          </cell>
          <cell r="R6254">
            <v>45799</v>
          </cell>
          <cell r="S6254">
            <v>223002</v>
          </cell>
        </row>
        <row r="6255">
          <cell r="K6255" t="str">
            <v>241001</v>
          </cell>
          <cell r="M6255">
            <v>2</v>
          </cell>
          <cell r="R6255">
            <v>45799</v>
          </cell>
          <cell r="S6255">
            <v>241001</v>
          </cell>
        </row>
        <row r="6256">
          <cell r="K6256" t="str">
            <v>201002</v>
          </cell>
          <cell r="M6256">
            <v>1</v>
          </cell>
          <cell r="R6256">
            <v>45799</v>
          </cell>
          <cell r="S6256">
            <v>201002</v>
          </cell>
        </row>
        <row r="6257">
          <cell r="K6257" t="str">
            <v>222001</v>
          </cell>
          <cell r="M6257">
            <v>12</v>
          </cell>
          <cell r="R6257">
            <v>45799</v>
          </cell>
          <cell r="S6257">
            <v>222001</v>
          </cell>
        </row>
        <row r="6258">
          <cell r="K6258" t="str">
            <v>213002</v>
          </cell>
          <cell r="M6258">
            <v>3</v>
          </cell>
          <cell r="R6258">
            <v>45799</v>
          </cell>
          <cell r="S6258">
            <v>213002</v>
          </cell>
        </row>
        <row r="6259">
          <cell r="K6259" t="str">
            <v>217019</v>
          </cell>
          <cell r="M6259">
            <v>2</v>
          </cell>
          <cell r="R6259">
            <v>45799</v>
          </cell>
          <cell r="S6259">
            <v>217019</v>
          </cell>
        </row>
        <row r="6260">
          <cell r="K6260" t="str">
            <v>201011</v>
          </cell>
          <cell r="M6260">
            <v>6</v>
          </cell>
          <cell r="R6260">
            <v>45799</v>
          </cell>
          <cell r="S6260">
            <v>201011</v>
          </cell>
        </row>
        <row r="6261">
          <cell r="K6261" t="str">
            <v>217018</v>
          </cell>
          <cell r="M6261">
            <v>1</v>
          </cell>
          <cell r="R6261">
            <v>45799</v>
          </cell>
          <cell r="S6261">
            <v>217018</v>
          </cell>
        </row>
        <row r="6262">
          <cell r="K6262" t="str">
            <v>226001</v>
          </cell>
          <cell r="M6262">
            <v>5</v>
          </cell>
          <cell r="R6262">
            <v>45800</v>
          </cell>
          <cell r="S6262">
            <v>226001</v>
          </cell>
        </row>
        <row r="6263">
          <cell r="K6263" t="str">
            <v>222001</v>
          </cell>
          <cell r="M6263">
            <v>2</v>
          </cell>
          <cell r="R6263">
            <v>45800</v>
          </cell>
          <cell r="S6263">
            <v>222001</v>
          </cell>
        </row>
        <row r="6264">
          <cell r="K6264" t="str">
            <v>241001</v>
          </cell>
          <cell r="M6264">
            <v>3</v>
          </cell>
          <cell r="R6264">
            <v>45800</v>
          </cell>
          <cell r="S6264">
            <v>241001</v>
          </cell>
        </row>
        <row r="6265">
          <cell r="K6265" t="str">
            <v>212019</v>
          </cell>
          <cell r="M6265">
            <v>1</v>
          </cell>
          <cell r="R6265">
            <v>45800</v>
          </cell>
          <cell r="S6265">
            <v>212019</v>
          </cell>
        </row>
        <row r="6266">
          <cell r="K6266" t="str">
            <v>201004</v>
          </cell>
          <cell r="M6266">
            <v>1</v>
          </cell>
          <cell r="R6266">
            <v>45800</v>
          </cell>
          <cell r="S6266">
            <v>201004</v>
          </cell>
        </row>
        <row r="6267">
          <cell r="K6267" t="str">
            <v>226001</v>
          </cell>
          <cell r="M6267">
            <v>1</v>
          </cell>
          <cell r="R6267">
            <v>45800</v>
          </cell>
          <cell r="S6267">
            <v>226001</v>
          </cell>
        </row>
        <row r="6268">
          <cell r="K6268" t="str">
            <v>217020</v>
          </cell>
          <cell r="M6268">
            <v>1</v>
          </cell>
          <cell r="R6268">
            <v>45800</v>
          </cell>
          <cell r="S6268">
            <v>217020</v>
          </cell>
        </row>
        <row r="6269">
          <cell r="K6269" t="str">
            <v>217002</v>
          </cell>
          <cell r="M6269">
            <v>1</v>
          </cell>
          <cell r="R6269">
            <v>45800</v>
          </cell>
          <cell r="S6269">
            <v>217002</v>
          </cell>
        </row>
        <row r="6270">
          <cell r="K6270" t="str">
            <v>227002</v>
          </cell>
          <cell r="M6270">
            <v>1</v>
          </cell>
          <cell r="R6270">
            <v>45800</v>
          </cell>
          <cell r="S6270">
            <v>227002</v>
          </cell>
        </row>
        <row r="6271">
          <cell r="K6271" t="str">
            <v>231010</v>
          </cell>
          <cell r="M6271">
            <v>10</v>
          </cell>
          <cell r="R6271">
            <v>45800</v>
          </cell>
          <cell r="S6271">
            <v>231010</v>
          </cell>
        </row>
        <row r="6272">
          <cell r="K6272" t="str">
            <v>201011</v>
          </cell>
          <cell r="M6272">
            <v>2</v>
          </cell>
          <cell r="R6272">
            <v>45799</v>
          </cell>
          <cell r="S6272">
            <v>201011</v>
          </cell>
        </row>
        <row r="6273">
          <cell r="K6273" t="str">
            <v>241001</v>
          </cell>
          <cell r="M6273">
            <v>3</v>
          </cell>
          <cell r="R6273">
            <v>45799</v>
          </cell>
          <cell r="S6273">
            <v>241001</v>
          </cell>
        </row>
        <row r="6274">
          <cell r="K6274" t="str">
            <v>223002</v>
          </cell>
          <cell r="M6274">
            <v>2</v>
          </cell>
          <cell r="R6274">
            <v>45799</v>
          </cell>
          <cell r="S6274">
            <v>223002</v>
          </cell>
        </row>
        <row r="6275">
          <cell r="K6275" t="str">
            <v>223001</v>
          </cell>
          <cell r="M6275">
            <v>1</v>
          </cell>
          <cell r="R6275">
            <v>45799</v>
          </cell>
          <cell r="S6275">
            <v>223001</v>
          </cell>
        </row>
        <row r="6276">
          <cell r="K6276" t="str">
            <v>227012</v>
          </cell>
          <cell r="M6276">
            <v>1</v>
          </cell>
          <cell r="R6276">
            <v>45799</v>
          </cell>
          <cell r="S6276">
            <v>227012</v>
          </cell>
        </row>
        <row r="6277">
          <cell r="K6277" t="str">
            <v>226001</v>
          </cell>
          <cell r="M6277">
            <v>1</v>
          </cell>
          <cell r="R6277">
            <v>45800</v>
          </cell>
          <cell r="S6277">
            <v>226001</v>
          </cell>
        </row>
        <row r="6278">
          <cell r="K6278" t="str">
            <v>231010</v>
          </cell>
          <cell r="M6278">
            <v>1</v>
          </cell>
          <cell r="R6278">
            <v>45800</v>
          </cell>
          <cell r="S6278">
            <v>231010</v>
          </cell>
        </row>
        <row r="6279">
          <cell r="K6279" t="str">
            <v>229003</v>
          </cell>
          <cell r="M6279">
            <v>1</v>
          </cell>
          <cell r="R6279">
            <v>45800</v>
          </cell>
          <cell r="S6279">
            <v>229003</v>
          </cell>
        </row>
        <row r="6280">
          <cell r="K6280" t="str">
            <v>201011</v>
          </cell>
          <cell r="M6280">
            <v>4</v>
          </cell>
          <cell r="R6280">
            <v>45799</v>
          </cell>
          <cell r="S6280">
            <v>201011</v>
          </cell>
        </row>
        <row r="6281">
          <cell r="K6281" t="str">
            <v>217002</v>
          </cell>
          <cell r="M6281">
            <v>1</v>
          </cell>
          <cell r="R6281">
            <v>45800</v>
          </cell>
          <cell r="S6281">
            <v>217002</v>
          </cell>
        </row>
        <row r="6282">
          <cell r="K6282" t="str">
            <v>213002</v>
          </cell>
          <cell r="M6282">
            <v>5</v>
          </cell>
          <cell r="R6282">
            <v>45800</v>
          </cell>
          <cell r="S6282">
            <v>213002</v>
          </cell>
        </row>
        <row r="6283">
          <cell r="K6283" t="str">
            <v>231010</v>
          </cell>
          <cell r="M6283">
            <v>2</v>
          </cell>
          <cell r="R6283">
            <v>45800</v>
          </cell>
          <cell r="S6283">
            <v>231010</v>
          </cell>
        </row>
        <row r="6284">
          <cell r="K6284" t="str">
            <v>210013</v>
          </cell>
          <cell r="M6284">
            <v>1</v>
          </cell>
          <cell r="R6284">
            <v>45799</v>
          </cell>
          <cell r="S6284">
            <v>210013</v>
          </cell>
        </row>
        <row r="6285">
          <cell r="K6285" t="str">
            <v>201011</v>
          </cell>
          <cell r="M6285">
            <v>3</v>
          </cell>
          <cell r="R6285">
            <v>45799</v>
          </cell>
          <cell r="S6285">
            <v>201011</v>
          </cell>
        </row>
        <row r="6286">
          <cell r="K6286" t="str">
            <v>222001</v>
          </cell>
          <cell r="M6286">
            <v>1</v>
          </cell>
          <cell r="R6286">
            <v>45799</v>
          </cell>
          <cell r="S6286">
            <v>222001</v>
          </cell>
        </row>
        <row r="6287">
          <cell r="K6287" t="str">
            <v>241001</v>
          </cell>
          <cell r="M6287">
            <v>2</v>
          </cell>
          <cell r="R6287">
            <v>45799</v>
          </cell>
          <cell r="S6287">
            <v>241001</v>
          </cell>
        </row>
        <row r="6288">
          <cell r="K6288" t="str">
            <v>210003</v>
          </cell>
          <cell r="M6288">
            <v>1</v>
          </cell>
          <cell r="R6288">
            <v>45800</v>
          </cell>
          <cell r="S6288">
            <v>210003</v>
          </cell>
        </row>
        <row r="6289">
          <cell r="K6289" t="str">
            <v>201011</v>
          </cell>
          <cell r="M6289">
            <v>1</v>
          </cell>
          <cell r="R6289">
            <v>45799</v>
          </cell>
          <cell r="S6289">
            <v>201011</v>
          </cell>
        </row>
        <row r="6290">
          <cell r="K6290" t="str">
            <v>222002</v>
          </cell>
          <cell r="M6290">
            <v>1</v>
          </cell>
          <cell r="R6290">
            <v>45800</v>
          </cell>
          <cell r="S6290">
            <v>222002</v>
          </cell>
        </row>
        <row r="6291">
          <cell r="K6291" t="str">
            <v>212019</v>
          </cell>
          <cell r="M6291">
            <v>1</v>
          </cell>
          <cell r="R6291">
            <v>45800</v>
          </cell>
          <cell r="S6291">
            <v>212019</v>
          </cell>
        </row>
        <row r="6292">
          <cell r="K6292" t="str">
            <v>241001</v>
          </cell>
          <cell r="M6292">
            <v>8</v>
          </cell>
          <cell r="R6292">
            <v>45800</v>
          </cell>
          <cell r="S6292">
            <v>241001</v>
          </cell>
        </row>
        <row r="6293">
          <cell r="K6293" t="str">
            <v>201011</v>
          </cell>
          <cell r="M6293">
            <v>2</v>
          </cell>
          <cell r="R6293">
            <v>45799</v>
          </cell>
          <cell r="S6293">
            <v>201011</v>
          </cell>
        </row>
        <row r="6294">
          <cell r="K6294" t="str">
            <v>210013</v>
          </cell>
          <cell r="M6294">
            <v>20</v>
          </cell>
          <cell r="R6294">
            <v>45800</v>
          </cell>
          <cell r="S6294">
            <v>210013</v>
          </cell>
        </row>
        <row r="6295">
          <cell r="K6295" t="str">
            <v>209004</v>
          </cell>
          <cell r="M6295">
            <v>2</v>
          </cell>
          <cell r="R6295">
            <v>45800</v>
          </cell>
          <cell r="S6295">
            <v>209004</v>
          </cell>
        </row>
        <row r="6296">
          <cell r="K6296" t="str">
            <v>217002</v>
          </cell>
          <cell r="M6296">
            <v>2</v>
          </cell>
          <cell r="R6296">
            <v>45800</v>
          </cell>
          <cell r="S6296">
            <v>217002</v>
          </cell>
        </row>
        <row r="6297">
          <cell r="K6297" t="str">
            <v>201011</v>
          </cell>
          <cell r="M6297">
            <v>14</v>
          </cell>
          <cell r="R6297">
            <v>45800</v>
          </cell>
          <cell r="S6297">
            <v>201011</v>
          </cell>
        </row>
        <row r="6298">
          <cell r="K6298" t="str">
            <v>201011</v>
          </cell>
          <cell r="M6298">
            <v>2</v>
          </cell>
          <cell r="R6298">
            <v>45800</v>
          </cell>
          <cell r="S6298">
            <v>201011</v>
          </cell>
        </row>
        <row r="6299">
          <cell r="K6299" t="str">
            <v>226001</v>
          </cell>
          <cell r="M6299">
            <v>2</v>
          </cell>
          <cell r="R6299">
            <v>45800</v>
          </cell>
          <cell r="S6299">
            <v>226001</v>
          </cell>
        </row>
        <row r="6300">
          <cell r="K6300" t="str">
            <v>228001</v>
          </cell>
          <cell r="M6300">
            <v>3</v>
          </cell>
          <cell r="R6300">
            <v>45800</v>
          </cell>
          <cell r="S6300">
            <v>228001</v>
          </cell>
        </row>
        <row r="6301">
          <cell r="K6301" t="str">
            <v>213003</v>
          </cell>
          <cell r="M6301">
            <v>2</v>
          </cell>
          <cell r="R6301">
            <v>45800</v>
          </cell>
          <cell r="S6301">
            <v>213003</v>
          </cell>
        </row>
        <row r="6302">
          <cell r="K6302" t="str">
            <v>241001</v>
          </cell>
          <cell r="M6302">
            <v>10</v>
          </cell>
          <cell r="R6302">
            <v>45800</v>
          </cell>
          <cell r="S6302">
            <v>241001</v>
          </cell>
        </row>
        <row r="6303">
          <cell r="K6303" t="str">
            <v>201011</v>
          </cell>
          <cell r="M6303">
            <v>3</v>
          </cell>
          <cell r="R6303">
            <v>45800</v>
          </cell>
          <cell r="S6303">
            <v>201011</v>
          </cell>
        </row>
        <row r="6304">
          <cell r="K6304" t="str">
            <v>209017</v>
          </cell>
          <cell r="M6304">
            <v>2</v>
          </cell>
          <cell r="R6304">
            <v>45800</v>
          </cell>
          <cell r="S6304">
            <v>209017</v>
          </cell>
        </row>
        <row r="6305">
          <cell r="K6305" t="str">
            <v>228001</v>
          </cell>
          <cell r="M6305">
            <v>1</v>
          </cell>
          <cell r="R6305">
            <v>45801</v>
          </cell>
          <cell r="S6305">
            <v>228001</v>
          </cell>
        </row>
        <row r="6306">
          <cell r="K6306" t="str">
            <v>201011</v>
          </cell>
          <cell r="M6306">
            <v>36</v>
          </cell>
          <cell r="R6306">
            <v>45801</v>
          </cell>
          <cell r="S6306">
            <v>201011</v>
          </cell>
        </row>
        <row r="6307">
          <cell r="K6307" t="str">
            <v>213003</v>
          </cell>
          <cell r="M6307">
            <v>1</v>
          </cell>
          <cell r="R6307">
            <v>45803</v>
          </cell>
          <cell r="S6307">
            <v>213003</v>
          </cell>
        </row>
        <row r="6308">
          <cell r="K6308" t="str">
            <v>213002</v>
          </cell>
          <cell r="M6308">
            <v>5</v>
          </cell>
          <cell r="R6308">
            <v>45803</v>
          </cell>
          <cell r="S6308">
            <v>213002</v>
          </cell>
        </row>
        <row r="6309">
          <cell r="K6309" t="str">
            <v>226001</v>
          </cell>
          <cell r="M6309">
            <v>1</v>
          </cell>
          <cell r="R6309">
            <v>45803</v>
          </cell>
          <cell r="S6309">
            <v>226001</v>
          </cell>
        </row>
        <row r="6310">
          <cell r="K6310" t="str">
            <v>218001</v>
          </cell>
          <cell r="M6310">
            <v>1</v>
          </cell>
          <cell r="R6310">
            <v>45803</v>
          </cell>
          <cell r="S6310">
            <v>218001</v>
          </cell>
        </row>
        <row r="6311">
          <cell r="K6311" t="str">
            <v>201011</v>
          </cell>
          <cell r="M6311">
            <v>6</v>
          </cell>
          <cell r="R6311">
            <v>45803</v>
          </cell>
          <cell r="S6311">
            <v>201011</v>
          </cell>
        </row>
        <row r="6312">
          <cell r="K6312" t="str">
            <v>201011</v>
          </cell>
          <cell r="M6312">
            <v>2</v>
          </cell>
          <cell r="R6312">
            <v>45803</v>
          </cell>
          <cell r="S6312">
            <v>201011</v>
          </cell>
        </row>
        <row r="6313">
          <cell r="K6313" t="str">
            <v>223002</v>
          </cell>
          <cell r="M6313">
            <v>1</v>
          </cell>
          <cell r="R6313">
            <v>45803</v>
          </cell>
          <cell r="S6313">
            <v>223002</v>
          </cell>
        </row>
        <row r="6314">
          <cell r="K6314" t="str">
            <v>231010</v>
          </cell>
          <cell r="M6314">
            <v>8</v>
          </cell>
          <cell r="R6314">
            <v>45803</v>
          </cell>
          <cell r="S6314">
            <v>231010</v>
          </cell>
        </row>
        <row r="6315">
          <cell r="K6315" t="str">
            <v>223001</v>
          </cell>
          <cell r="M6315">
            <v>6</v>
          </cell>
          <cell r="R6315">
            <v>45803</v>
          </cell>
          <cell r="S6315">
            <v>223001</v>
          </cell>
        </row>
        <row r="6316">
          <cell r="K6316" t="str">
            <v>209022</v>
          </cell>
          <cell r="M6316">
            <v>3</v>
          </cell>
          <cell r="R6316">
            <v>45803</v>
          </cell>
          <cell r="S6316">
            <v>209022</v>
          </cell>
        </row>
        <row r="6317">
          <cell r="K6317" t="str">
            <v>201011</v>
          </cell>
          <cell r="M6317">
            <v>3</v>
          </cell>
          <cell r="R6317">
            <v>45802</v>
          </cell>
          <cell r="S6317">
            <v>201011</v>
          </cell>
        </row>
        <row r="6318">
          <cell r="K6318" t="str">
            <v>201011</v>
          </cell>
          <cell r="M6318">
            <v>3</v>
          </cell>
          <cell r="R6318">
            <v>45802</v>
          </cell>
          <cell r="S6318">
            <v>201011</v>
          </cell>
        </row>
        <row r="6319">
          <cell r="K6319" t="str">
            <v>201011</v>
          </cell>
          <cell r="M6319">
            <v>6</v>
          </cell>
          <cell r="R6319">
            <v>45801</v>
          </cell>
          <cell r="S6319">
            <v>201011</v>
          </cell>
        </row>
        <row r="6320">
          <cell r="K6320" t="str">
            <v>213003</v>
          </cell>
          <cell r="M6320">
            <v>6</v>
          </cell>
          <cell r="R6320">
            <v>45801</v>
          </cell>
          <cell r="S6320">
            <v>213003</v>
          </cell>
        </row>
        <row r="6321">
          <cell r="K6321" t="str">
            <v>212019</v>
          </cell>
          <cell r="M6321">
            <v>1</v>
          </cell>
          <cell r="R6321">
            <v>45801</v>
          </cell>
          <cell r="S6321">
            <v>212019</v>
          </cell>
        </row>
        <row r="6322">
          <cell r="K6322" t="str">
            <v>201011</v>
          </cell>
          <cell r="M6322">
            <v>3</v>
          </cell>
          <cell r="R6322">
            <v>45802</v>
          </cell>
          <cell r="S6322">
            <v>201011</v>
          </cell>
        </row>
        <row r="6323">
          <cell r="K6323" t="str">
            <v>213003</v>
          </cell>
          <cell r="M6323">
            <v>1</v>
          </cell>
          <cell r="R6323">
            <v>45802</v>
          </cell>
          <cell r="S6323">
            <v>213003</v>
          </cell>
        </row>
        <row r="6324">
          <cell r="K6324" t="str">
            <v>228001</v>
          </cell>
          <cell r="M6324">
            <v>11</v>
          </cell>
          <cell r="R6324">
            <v>45801</v>
          </cell>
          <cell r="S6324">
            <v>228001</v>
          </cell>
        </row>
        <row r="6325">
          <cell r="K6325" t="str">
            <v>217019</v>
          </cell>
          <cell r="M6325">
            <v>10</v>
          </cell>
          <cell r="R6325">
            <v>45801</v>
          </cell>
          <cell r="S6325">
            <v>217019</v>
          </cell>
        </row>
        <row r="6326">
          <cell r="K6326" t="str">
            <v>203004</v>
          </cell>
          <cell r="M6326">
            <v>1</v>
          </cell>
          <cell r="R6326">
            <v>45802</v>
          </cell>
          <cell r="S6326">
            <v>203004</v>
          </cell>
        </row>
        <row r="6327">
          <cell r="K6327" t="str">
            <v>214002</v>
          </cell>
          <cell r="M6327">
            <v>1</v>
          </cell>
          <cell r="R6327">
            <v>45802</v>
          </cell>
          <cell r="S6327">
            <v>214002</v>
          </cell>
        </row>
        <row r="6328">
          <cell r="K6328" t="str">
            <v>231008</v>
          </cell>
          <cell r="M6328">
            <v>1</v>
          </cell>
          <cell r="R6328">
            <v>45802</v>
          </cell>
          <cell r="S6328">
            <v>231008</v>
          </cell>
        </row>
        <row r="6329">
          <cell r="K6329" t="str">
            <v>213003</v>
          </cell>
          <cell r="M6329">
            <v>2</v>
          </cell>
          <cell r="R6329">
            <v>45803</v>
          </cell>
          <cell r="S6329">
            <v>213003</v>
          </cell>
        </row>
        <row r="6330">
          <cell r="K6330" t="str">
            <v>209004</v>
          </cell>
          <cell r="M6330">
            <v>1</v>
          </cell>
          <cell r="R6330">
            <v>45803</v>
          </cell>
          <cell r="S6330">
            <v>209004</v>
          </cell>
        </row>
        <row r="6331">
          <cell r="K6331" t="str">
            <v>209001</v>
          </cell>
          <cell r="M6331">
            <v>2</v>
          </cell>
          <cell r="R6331">
            <v>45803</v>
          </cell>
          <cell r="S6331">
            <v>209001</v>
          </cell>
        </row>
        <row r="6332">
          <cell r="K6332" t="str">
            <v>201011</v>
          </cell>
          <cell r="M6332">
            <v>1</v>
          </cell>
          <cell r="R6332">
            <v>45803</v>
          </cell>
          <cell r="S6332">
            <v>201011</v>
          </cell>
        </row>
        <row r="6333">
          <cell r="K6333" t="str">
            <v>201011</v>
          </cell>
          <cell r="M6333">
            <v>10</v>
          </cell>
          <cell r="R6333">
            <v>45803</v>
          </cell>
          <cell r="S6333">
            <v>201011</v>
          </cell>
        </row>
        <row r="6334">
          <cell r="K6334" t="str">
            <v>213003</v>
          </cell>
          <cell r="M6334">
            <v>1</v>
          </cell>
          <cell r="R6334">
            <v>45803</v>
          </cell>
          <cell r="S6334">
            <v>213003</v>
          </cell>
        </row>
        <row r="6335">
          <cell r="K6335" t="str">
            <v>271002</v>
          </cell>
          <cell r="M6335">
            <v>1</v>
          </cell>
          <cell r="R6335">
            <v>45803</v>
          </cell>
          <cell r="S6335">
            <v>271002</v>
          </cell>
        </row>
        <row r="6336">
          <cell r="K6336" t="str">
            <v>201003</v>
          </cell>
          <cell r="M6336">
            <v>1</v>
          </cell>
          <cell r="R6336">
            <v>45803</v>
          </cell>
          <cell r="S6336">
            <v>201003</v>
          </cell>
        </row>
        <row r="6337">
          <cell r="K6337" t="str">
            <v>213003</v>
          </cell>
          <cell r="M6337">
            <v>4</v>
          </cell>
          <cell r="R6337">
            <v>45803</v>
          </cell>
          <cell r="S6337">
            <v>213003</v>
          </cell>
        </row>
        <row r="6338">
          <cell r="K6338" t="str">
            <v>222001</v>
          </cell>
          <cell r="M6338">
            <v>1</v>
          </cell>
          <cell r="R6338">
            <v>45803</v>
          </cell>
          <cell r="S6338">
            <v>222001</v>
          </cell>
        </row>
        <row r="6339">
          <cell r="K6339" t="str">
            <v>223002</v>
          </cell>
          <cell r="M6339">
            <v>1</v>
          </cell>
          <cell r="R6339">
            <v>45803</v>
          </cell>
          <cell r="S6339">
            <v>223002</v>
          </cell>
        </row>
        <row r="6340">
          <cell r="K6340" t="str">
            <v>201011</v>
          </cell>
          <cell r="M6340">
            <v>3</v>
          </cell>
          <cell r="R6340">
            <v>45803</v>
          </cell>
          <cell r="S6340">
            <v>201011</v>
          </cell>
        </row>
        <row r="6341">
          <cell r="K6341" t="str">
            <v>201011</v>
          </cell>
          <cell r="M6341">
            <v>1</v>
          </cell>
          <cell r="R6341">
            <v>45803</v>
          </cell>
          <cell r="S6341">
            <v>201011</v>
          </cell>
        </row>
        <row r="6342">
          <cell r="K6342" t="str">
            <v>213003</v>
          </cell>
          <cell r="M6342">
            <v>2</v>
          </cell>
          <cell r="R6342">
            <v>45803</v>
          </cell>
          <cell r="S6342">
            <v>213003</v>
          </cell>
        </row>
        <row r="6343">
          <cell r="K6343" t="str">
            <v>213003</v>
          </cell>
          <cell r="M6343">
            <v>1</v>
          </cell>
          <cell r="R6343">
            <v>45803</v>
          </cell>
          <cell r="S6343">
            <v>213003</v>
          </cell>
        </row>
        <row r="6344">
          <cell r="K6344" t="str">
            <v>228001</v>
          </cell>
          <cell r="M6344">
            <v>4</v>
          </cell>
          <cell r="R6344">
            <v>45803</v>
          </cell>
          <cell r="S6344">
            <v>228001</v>
          </cell>
        </row>
        <row r="6345">
          <cell r="K6345" t="str">
            <v>212002</v>
          </cell>
          <cell r="M6345">
            <v>1</v>
          </cell>
          <cell r="R6345">
            <v>45803</v>
          </cell>
          <cell r="S6345">
            <v>212002</v>
          </cell>
        </row>
        <row r="6346">
          <cell r="K6346" t="str">
            <v>207017</v>
          </cell>
          <cell r="M6346">
            <v>1</v>
          </cell>
          <cell r="R6346">
            <v>45803</v>
          </cell>
          <cell r="S6346">
            <v>207017</v>
          </cell>
        </row>
        <row r="6347">
          <cell r="K6347" t="str">
            <v>228001</v>
          </cell>
          <cell r="M6347">
            <v>1</v>
          </cell>
          <cell r="R6347">
            <v>45803</v>
          </cell>
          <cell r="S6347">
            <v>228001</v>
          </cell>
        </row>
        <row r="6348">
          <cell r="K6348" t="str">
            <v>223001</v>
          </cell>
          <cell r="M6348">
            <v>2</v>
          </cell>
          <cell r="R6348">
            <v>45803</v>
          </cell>
          <cell r="S6348">
            <v>223001</v>
          </cell>
        </row>
        <row r="6349">
          <cell r="K6349" t="str">
            <v>228001</v>
          </cell>
          <cell r="M6349">
            <v>4</v>
          </cell>
          <cell r="R6349">
            <v>45803</v>
          </cell>
          <cell r="S6349">
            <v>228001</v>
          </cell>
        </row>
        <row r="6350">
          <cell r="K6350" t="str">
            <v>201003</v>
          </cell>
          <cell r="M6350">
            <v>1</v>
          </cell>
          <cell r="R6350">
            <v>45803</v>
          </cell>
          <cell r="S6350">
            <v>201003</v>
          </cell>
        </row>
        <row r="6351">
          <cell r="K6351" t="str">
            <v>203001</v>
          </cell>
          <cell r="M6351">
            <v>1</v>
          </cell>
          <cell r="R6351">
            <v>45803</v>
          </cell>
          <cell r="S6351">
            <v>203001</v>
          </cell>
        </row>
        <row r="6352">
          <cell r="K6352" t="str">
            <v>207017</v>
          </cell>
          <cell r="M6352">
            <v>1</v>
          </cell>
          <cell r="R6352">
            <v>45803</v>
          </cell>
          <cell r="S6352">
            <v>207017</v>
          </cell>
        </row>
        <row r="6353">
          <cell r="K6353" t="str">
            <v>212002</v>
          </cell>
          <cell r="M6353">
            <v>1</v>
          </cell>
          <cell r="R6353">
            <v>45803</v>
          </cell>
          <cell r="S6353">
            <v>212002</v>
          </cell>
        </row>
        <row r="6354">
          <cell r="K6354" t="str">
            <v>217011</v>
          </cell>
          <cell r="M6354">
            <v>3</v>
          </cell>
          <cell r="R6354">
            <v>45803</v>
          </cell>
          <cell r="S6354">
            <v>217011</v>
          </cell>
        </row>
        <row r="6355">
          <cell r="K6355" t="str">
            <v>217002</v>
          </cell>
          <cell r="M6355">
            <v>10</v>
          </cell>
          <cell r="R6355">
            <v>45803</v>
          </cell>
          <cell r="S6355">
            <v>217002</v>
          </cell>
        </row>
        <row r="6356">
          <cell r="K6356" t="str">
            <v>228001</v>
          </cell>
          <cell r="M6356">
            <v>1</v>
          </cell>
          <cell r="R6356">
            <v>45803</v>
          </cell>
          <cell r="S6356">
            <v>228001</v>
          </cell>
        </row>
        <row r="6357">
          <cell r="K6357" t="str">
            <v>217018</v>
          </cell>
          <cell r="M6357">
            <v>3</v>
          </cell>
          <cell r="R6357">
            <v>45803</v>
          </cell>
          <cell r="S6357">
            <v>217018</v>
          </cell>
        </row>
        <row r="6358">
          <cell r="K6358" t="str">
            <v>201011</v>
          </cell>
          <cell r="M6358">
            <v>36</v>
          </cell>
          <cell r="R6358">
            <v>45803</v>
          </cell>
          <cell r="S6358">
            <v>201011</v>
          </cell>
        </row>
        <row r="6359">
          <cell r="K6359" t="str">
            <v>201011</v>
          </cell>
          <cell r="M6359">
            <v>1</v>
          </cell>
          <cell r="R6359">
            <v>45803</v>
          </cell>
          <cell r="S6359">
            <v>201011</v>
          </cell>
        </row>
        <row r="6360">
          <cell r="K6360" t="str">
            <v>213003</v>
          </cell>
          <cell r="M6360">
            <v>1</v>
          </cell>
          <cell r="R6360">
            <v>45803</v>
          </cell>
          <cell r="S6360">
            <v>213003</v>
          </cell>
        </row>
        <row r="6361">
          <cell r="K6361" t="str">
            <v>203001</v>
          </cell>
          <cell r="M6361">
            <v>1</v>
          </cell>
          <cell r="R6361">
            <v>45803</v>
          </cell>
          <cell r="S6361">
            <v>203001</v>
          </cell>
        </row>
        <row r="6362">
          <cell r="K6362" t="str">
            <v>201011</v>
          </cell>
          <cell r="M6362">
            <v>4</v>
          </cell>
          <cell r="R6362">
            <v>45803</v>
          </cell>
          <cell r="S6362">
            <v>201011</v>
          </cell>
        </row>
        <row r="6363">
          <cell r="K6363" t="str">
            <v>231004</v>
          </cell>
          <cell r="M6363">
            <v>1</v>
          </cell>
          <cell r="R6363">
            <v>45803</v>
          </cell>
          <cell r="S6363">
            <v>231004</v>
          </cell>
        </row>
        <row r="6364">
          <cell r="K6364" t="str">
            <v>237001</v>
          </cell>
          <cell r="M6364">
            <v>1</v>
          </cell>
          <cell r="R6364">
            <v>45803</v>
          </cell>
          <cell r="S6364">
            <v>237001</v>
          </cell>
        </row>
        <row r="6365">
          <cell r="K6365" t="str">
            <v>226001</v>
          </cell>
          <cell r="M6365">
            <v>3</v>
          </cell>
          <cell r="R6365">
            <v>45803</v>
          </cell>
          <cell r="S6365">
            <v>226001</v>
          </cell>
        </row>
        <row r="6366">
          <cell r="K6366" t="str">
            <v>226001</v>
          </cell>
          <cell r="M6366">
            <v>2</v>
          </cell>
          <cell r="R6366">
            <v>45803</v>
          </cell>
          <cell r="S6366">
            <v>226001</v>
          </cell>
        </row>
        <row r="6367">
          <cell r="K6367" t="str">
            <v>213003</v>
          </cell>
          <cell r="M6367">
            <v>5</v>
          </cell>
          <cell r="R6367">
            <v>45803</v>
          </cell>
          <cell r="S6367">
            <v>213003</v>
          </cell>
        </row>
        <row r="6368">
          <cell r="K6368" t="str">
            <v>226001</v>
          </cell>
          <cell r="M6368">
            <v>1</v>
          </cell>
          <cell r="R6368">
            <v>45803</v>
          </cell>
          <cell r="S6368">
            <v>226001</v>
          </cell>
        </row>
        <row r="6369">
          <cell r="K6369" t="str">
            <v>226001</v>
          </cell>
          <cell r="M6369">
            <v>1</v>
          </cell>
          <cell r="R6369">
            <v>45803</v>
          </cell>
          <cell r="S6369">
            <v>226001</v>
          </cell>
        </row>
        <row r="6370">
          <cell r="K6370" t="str">
            <v>228001</v>
          </cell>
          <cell r="M6370">
            <v>20</v>
          </cell>
          <cell r="R6370">
            <v>45803</v>
          </cell>
          <cell r="S6370">
            <v>228001</v>
          </cell>
        </row>
        <row r="6371">
          <cell r="K6371" t="str">
            <v>213003</v>
          </cell>
          <cell r="M6371">
            <v>4</v>
          </cell>
          <cell r="R6371">
            <v>45803</v>
          </cell>
          <cell r="S6371">
            <v>213003</v>
          </cell>
        </row>
        <row r="6372">
          <cell r="K6372" t="str">
            <v>223001</v>
          </cell>
          <cell r="M6372">
            <v>2</v>
          </cell>
          <cell r="R6372">
            <v>45803</v>
          </cell>
          <cell r="S6372">
            <v>223001</v>
          </cell>
        </row>
        <row r="6373">
          <cell r="K6373" t="str">
            <v>201011</v>
          </cell>
          <cell r="M6373">
            <v>1</v>
          </cell>
          <cell r="R6373">
            <v>45803</v>
          </cell>
          <cell r="S6373">
            <v>201011</v>
          </cell>
        </row>
        <row r="6374">
          <cell r="K6374" t="str">
            <v>217020</v>
          </cell>
          <cell r="M6374">
            <v>1</v>
          </cell>
          <cell r="R6374">
            <v>45803</v>
          </cell>
          <cell r="S6374">
            <v>217020</v>
          </cell>
        </row>
        <row r="6375">
          <cell r="K6375" t="str">
            <v>203003</v>
          </cell>
          <cell r="M6375">
            <v>2</v>
          </cell>
          <cell r="R6375">
            <v>45803</v>
          </cell>
          <cell r="S6375">
            <v>203003</v>
          </cell>
        </row>
        <row r="6376">
          <cell r="K6376" t="str">
            <v>223017</v>
          </cell>
          <cell r="M6376">
            <v>5</v>
          </cell>
          <cell r="R6376">
            <v>45803</v>
          </cell>
          <cell r="S6376">
            <v>223017</v>
          </cell>
        </row>
        <row r="6377">
          <cell r="K6377" t="str">
            <v>203001</v>
          </cell>
          <cell r="M6377">
            <v>4</v>
          </cell>
          <cell r="R6377">
            <v>45803</v>
          </cell>
          <cell r="S6377">
            <v>203001</v>
          </cell>
        </row>
        <row r="6378">
          <cell r="K6378" t="str">
            <v>209004</v>
          </cell>
          <cell r="M6378">
            <v>2</v>
          </cell>
          <cell r="R6378">
            <v>45803</v>
          </cell>
          <cell r="S6378">
            <v>209004</v>
          </cell>
        </row>
        <row r="6379">
          <cell r="K6379" t="str">
            <v>209004</v>
          </cell>
          <cell r="M6379">
            <v>2</v>
          </cell>
          <cell r="R6379">
            <v>45803</v>
          </cell>
          <cell r="S6379">
            <v>209004</v>
          </cell>
        </row>
        <row r="6380">
          <cell r="K6380" t="str">
            <v>226023</v>
          </cell>
          <cell r="M6380">
            <v>1</v>
          </cell>
          <cell r="R6380">
            <v>45803</v>
          </cell>
          <cell r="S6380">
            <v>226023</v>
          </cell>
        </row>
        <row r="6381">
          <cell r="K6381" t="str">
            <v>209004</v>
          </cell>
          <cell r="M6381">
            <v>1</v>
          </cell>
          <cell r="R6381">
            <v>45803</v>
          </cell>
          <cell r="S6381">
            <v>209004</v>
          </cell>
        </row>
        <row r="6382">
          <cell r="K6382" t="str">
            <v>201011</v>
          </cell>
          <cell r="M6382">
            <v>20</v>
          </cell>
          <cell r="R6382">
            <v>45803</v>
          </cell>
          <cell r="S6382">
            <v>201011</v>
          </cell>
        </row>
        <row r="6383">
          <cell r="K6383" t="str">
            <v>231010</v>
          </cell>
          <cell r="M6383">
            <v>2</v>
          </cell>
          <cell r="R6383">
            <v>45803</v>
          </cell>
          <cell r="S6383">
            <v>231010</v>
          </cell>
        </row>
        <row r="6384">
          <cell r="K6384" t="str">
            <v>201011</v>
          </cell>
          <cell r="M6384">
            <v>7</v>
          </cell>
          <cell r="R6384">
            <v>45803</v>
          </cell>
          <cell r="S6384">
            <v>201011</v>
          </cell>
        </row>
        <row r="6385">
          <cell r="K6385" t="str">
            <v>201011</v>
          </cell>
          <cell r="M6385">
            <v>4</v>
          </cell>
          <cell r="R6385">
            <v>45803</v>
          </cell>
          <cell r="S6385">
            <v>201011</v>
          </cell>
        </row>
        <row r="6386">
          <cell r="K6386" t="str">
            <v>228001</v>
          </cell>
          <cell r="M6386">
            <v>24</v>
          </cell>
          <cell r="R6386">
            <v>45803</v>
          </cell>
          <cell r="S6386">
            <v>228001</v>
          </cell>
        </row>
        <row r="6387">
          <cell r="K6387" t="str">
            <v>228001</v>
          </cell>
          <cell r="M6387">
            <v>24</v>
          </cell>
          <cell r="R6387">
            <v>45803</v>
          </cell>
          <cell r="S6387">
            <v>228001</v>
          </cell>
        </row>
        <row r="6388">
          <cell r="K6388" t="str">
            <v>213003</v>
          </cell>
          <cell r="M6388">
            <v>1</v>
          </cell>
          <cell r="R6388">
            <v>45803</v>
          </cell>
          <cell r="S6388">
            <v>213003</v>
          </cell>
        </row>
        <row r="6389">
          <cell r="K6389" t="str">
            <v>223001</v>
          </cell>
          <cell r="M6389">
            <v>10</v>
          </cell>
          <cell r="R6389">
            <v>45803</v>
          </cell>
          <cell r="S6389">
            <v>223001</v>
          </cell>
        </row>
        <row r="6390">
          <cell r="K6390" t="str">
            <v>227012</v>
          </cell>
          <cell r="M6390">
            <v>3</v>
          </cell>
          <cell r="R6390">
            <v>45803</v>
          </cell>
          <cell r="S6390">
            <v>227012</v>
          </cell>
        </row>
        <row r="6391">
          <cell r="K6391" t="str">
            <v>234001</v>
          </cell>
          <cell r="M6391">
            <v>2</v>
          </cell>
          <cell r="R6391">
            <v>45804</v>
          </cell>
          <cell r="S6391">
            <v>234001</v>
          </cell>
        </row>
        <row r="6392">
          <cell r="K6392" t="str">
            <v>271002</v>
          </cell>
          <cell r="M6392">
            <v>2</v>
          </cell>
          <cell r="R6392">
            <v>45804</v>
          </cell>
          <cell r="S6392">
            <v>271002</v>
          </cell>
        </row>
        <row r="6393">
          <cell r="K6393" t="str">
            <v>209004</v>
          </cell>
          <cell r="M6393">
            <v>1</v>
          </cell>
          <cell r="R6393">
            <v>45804</v>
          </cell>
          <cell r="S6393">
            <v>209004</v>
          </cell>
        </row>
        <row r="6394">
          <cell r="K6394" t="str">
            <v>203001</v>
          </cell>
          <cell r="M6394">
            <v>2</v>
          </cell>
          <cell r="R6394">
            <v>45804</v>
          </cell>
          <cell r="S6394">
            <v>203001</v>
          </cell>
        </row>
        <row r="6395">
          <cell r="K6395" t="str">
            <v>217002</v>
          </cell>
          <cell r="M6395">
            <v>1</v>
          </cell>
          <cell r="R6395">
            <v>45803</v>
          </cell>
          <cell r="S6395">
            <v>217002</v>
          </cell>
        </row>
        <row r="6396">
          <cell r="K6396" t="str">
            <v>226025</v>
          </cell>
          <cell r="M6396">
            <v>1</v>
          </cell>
          <cell r="R6396">
            <v>45803</v>
          </cell>
          <cell r="S6396">
            <v>226025</v>
          </cell>
        </row>
        <row r="6397">
          <cell r="K6397" t="str">
            <v>226022</v>
          </cell>
          <cell r="M6397">
            <v>1</v>
          </cell>
          <cell r="R6397">
            <v>45803</v>
          </cell>
          <cell r="S6397">
            <v>226022</v>
          </cell>
        </row>
        <row r="6398">
          <cell r="K6398" t="str">
            <v>241001</v>
          </cell>
          <cell r="M6398">
            <v>6</v>
          </cell>
          <cell r="R6398">
            <v>45803</v>
          </cell>
          <cell r="S6398">
            <v>241001</v>
          </cell>
        </row>
        <row r="6399">
          <cell r="K6399" t="str">
            <v>222007</v>
          </cell>
          <cell r="M6399">
            <v>1</v>
          </cell>
          <cell r="R6399">
            <v>45803</v>
          </cell>
          <cell r="S6399">
            <v>222007</v>
          </cell>
        </row>
        <row r="6400">
          <cell r="K6400" t="str">
            <v>201011</v>
          </cell>
          <cell r="M6400">
            <v>2</v>
          </cell>
          <cell r="R6400">
            <v>45803</v>
          </cell>
          <cell r="S6400">
            <v>201011</v>
          </cell>
        </row>
        <row r="6401">
          <cell r="K6401" t="str">
            <v>241001</v>
          </cell>
          <cell r="M6401">
            <v>2</v>
          </cell>
          <cell r="R6401">
            <v>45803</v>
          </cell>
          <cell r="S6401">
            <v>241001</v>
          </cell>
        </row>
        <row r="6402">
          <cell r="K6402" t="str">
            <v>222001</v>
          </cell>
          <cell r="M6402">
            <v>2</v>
          </cell>
          <cell r="R6402">
            <v>45803</v>
          </cell>
          <cell r="S6402">
            <v>222001</v>
          </cell>
        </row>
        <row r="6403">
          <cell r="K6403" t="str">
            <v>213003</v>
          </cell>
          <cell r="M6403">
            <v>4</v>
          </cell>
          <cell r="R6403">
            <v>45803</v>
          </cell>
          <cell r="S6403">
            <v>213003</v>
          </cell>
        </row>
        <row r="6404">
          <cell r="K6404" t="str">
            <v>212019</v>
          </cell>
          <cell r="M6404">
            <v>1</v>
          </cell>
          <cell r="R6404">
            <v>45803</v>
          </cell>
          <cell r="S6404">
            <v>212019</v>
          </cell>
        </row>
        <row r="6405">
          <cell r="K6405" t="str">
            <v>241001</v>
          </cell>
          <cell r="M6405">
            <v>3</v>
          </cell>
          <cell r="R6405">
            <v>45803</v>
          </cell>
          <cell r="S6405">
            <v>241001</v>
          </cell>
        </row>
        <row r="6406">
          <cell r="K6406" t="str">
            <v>223001</v>
          </cell>
          <cell r="M6406">
            <v>6</v>
          </cell>
          <cell r="R6406">
            <v>45804</v>
          </cell>
          <cell r="S6406">
            <v>223001</v>
          </cell>
        </row>
        <row r="6407">
          <cell r="K6407" t="str">
            <v>228001</v>
          </cell>
          <cell r="M6407">
            <v>1</v>
          </cell>
          <cell r="R6407">
            <v>45804</v>
          </cell>
          <cell r="S6407">
            <v>228001</v>
          </cell>
        </row>
        <row r="6408">
          <cell r="K6408" t="str">
            <v>241001</v>
          </cell>
          <cell r="M6408">
            <v>4</v>
          </cell>
          <cell r="R6408">
            <v>45804</v>
          </cell>
          <cell r="S6408">
            <v>241001</v>
          </cell>
        </row>
        <row r="6409">
          <cell r="K6409" t="str">
            <v>217019</v>
          </cell>
          <cell r="M6409">
            <v>2</v>
          </cell>
          <cell r="R6409">
            <v>45803</v>
          </cell>
          <cell r="S6409">
            <v>217019</v>
          </cell>
        </row>
        <row r="6410">
          <cell r="K6410" t="str">
            <v>226001</v>
          </cell>
          <cell r="M6410">
            <v>2</v>
          </cell>
          <cell r="R6410">
            <v>45804</v>
          </cell>
          <cell r="S6410">
            <v>226001</v>
          </cell>
        </row>
        <row r="6411">
          <cell r="K6411" t="str">
            <v>207017</v>
          </cell>
          <cell r="M6411">
            <v>2</v>
          </cell>
          <cell r="R6411">
            <v>45804</v>
          </cell>
          <cell r="S6411">
            <v>207017</v>
          </cell>
        </row>
        <row r="6412">
          <cell r="K6412" t="str">
            <v>218001</v>
          </cell>
          <cell r="M6412">
            <v>6</v>
          </cell>
          <cell r="R6412">
            <v>45804</v>
          </cell>
          <cell r="S6412">
            <v>218001</v>
          </cell>
        </row>
        <row r="6413">
          <cell r="K6413" t="str">
            <v>201003</v>
          </cell>
          <cell r="M6413">
            <v>4</v>
          </cell>
          <cell r="R6413">
            <v>45804</v>
          </cell>
          <cell r="S6413">
            <v>201003</v>
          </cell>
        </row>
        <row r="6414">
          <cell r="K6414" t="str">
            <v>223002</v>
          </cell>
          <cell r="M6414">
            <v>3</v>
          </cell>
          <cell r="R6414">
            <v>45804</v>
          </cell>
          <cell r="S6414">
            <v>223002</v>
          </cell>
        </row>
        <row r="6415">
          <cell r="K6415" t="str">
            <v>223001</v>
          </cell>
          <cell r="M6415">
            <v>3</v>
          </cell>
          <cell r="R6415">
            <v>45804</v>
          </cell>
          <cell r="S6415">
            <v>223001</v>
          </cell>
        </row>
        <row r="6416">
          <cell r="K6416" t="str">
            <v>227002</v>
          </cell>
          <cell r="M6416">
            <v>2</v>
          </cell>
          <cell r="R6416">
            <v>45804</v>
          </cell>
          <cell r="S6416">
            <v>227002</v>
          </cell>
        </row>
        <row r="6417">
          <cell r="K6417" t="str">
            <v>231010</v>
          </cell>
          <cell r="M6417">
            <v>1</v>
          </cell>
          <cell r="R6417">
            <v>45804</v>
          </cell>
          <cell r="S6417">
            <v>231010</v>
          </cell>
        </row>
        <row r="6418">
          <cell r="K6418" t="str">
            <v>232001</v>
          </cell>
          <cell r="M6418">
            <v>1</v>
          </cell>
          <cell r="R6418">
            <v>45804</v>
          </cell>
          <cell r="S6418">
            <v>232001</v>
          </cell>
        </row>
        <row r="6419">
          <cell r="K6419" t="str">
            <v>213003</v>
          </cell>
          <cell r="M6419">
            <v>1</v>
          </cell>
          <cell r="R6419">
            <v>45804</v>
          </cell>
          <cell r="S6419">
            <v>213003</v>
          </cell>
        </row>
        <row r="6420">
          <cell r="K6420" t="str">
            <v>223001</v>
          </cell>
          <cell r="M6420">
            <v>2</v>
          </cell>
          <cell r="R6420">
            <v>45804</v>
          </cell>
          <cell r="S6420">
            <v>223001</v>
          </cell>
        </row>
        <row r="6421">
          <cell r="K6421" t="str">
            <v>201011</v>
          </cell>
          <cell r="M6421">
            <v>5</v>
          </cell>
          <cell r="R6421">
            <v>45804</v>
          </cell>
          <cell r="S6421">
            <v>201011</v>
          </cell>
        </row>
        <row r="6422">
          <cell r="K6422" t="str">
            <v>217011</v>
          </cell>
          <cell r="M6422">
            <v>2</v>
          </cell>
          <cell r="R6422">
            <v>45804</v>
          </cell>
          <cell r="S6422">
            <v>217011</v>
          </cell>
        </row>
        <row r="6423">
          <cell r="K6423" t="str">
            <v>201011</v>
          </cell>
          <cell r="M6423">
            <v>4</v>
          </cell>
          <cell r="R6423">
            <v>45804</v>
          </cell>
          <cell r="S6423">
            <v>201011</v>
          </cell>
        </row>
        <row r="6424">
          <cell r="K6424" t="str">
            <v>213002</v>
          </cell>
          <cell r="M6424">
            <v>4</v>
          </cell>
          <cell r="R6424">
            <v>45804</v>
          </cell>
          <cell r="S6424">
            <v>213002</v>
          </cell>
        </row>
        <row r="6425">
          <cell r="K6425" t="str">
            <v>213002</v>
          </cell>
          <cell r="M6425">
            <v>1</v>
          </cell>
          <cell r="R6425">
            <v>45804</v>
          </cell>
          <cell r="S6425">
            <v>213002</v>
          </cell>
        </row>
        <row r="6426">
          <cell r="K6426" t="str">
            <v>209001</v>
          </cell>
          <cell r="M6426">
            <v>3</v>
          </cell>
          <cell r="R6426">
            <v>45804</v>
          </cell>
          <cell r="S6426">
            <v>209001</v>
          </cell>
        </row>
        <row r="6427">
          <cell r="K6427" t="str">
            <v>203003</v>
          </cell>
          <cell r="M6427">
            <v>1</v>
          </cell>
          <cell r="R6427">
            <v>45804</v>
          </cell>
          <cell r="S6427">
            <v>203003</v>
          </cell>
        </row>
        <row r="6428">
          <cell r="K6428" t="str">
            <v>201011</v>
          </cell>
          <cell r="M6428">
            <v>2</v>
          </cell>
          <cell r="R6428">
            <v>45804</v>
          </cell>
          <cell r="S6428">
            <v>201011</v>
          </cell>
        </row>
        <row r="6429">
          <cell r="K6429" t="str">
            <v>231010</v>
          </cell>
          <cell r="M6429">
            <v>1</v>
          </cell>
          <cell r="R6429">
            <v>45804</v>
          </cell>
          <cell r="S6429">
            <v>231010</v>
          </cell>
        </row>
        <row r="6430">
          <cell r="K6430" t="str">
            <v>223001</v>
          </cell>
          <cell r="M6430">
            <v>6</v>
          </cell>
          <cell r="R6430">
            <v>45804</v>
          </cell>
          <cell r="S6430">
            <v>223001</v>
          </cell>
        </row>
        <row r="6431">
          <cell r="K6431" t="str">
            <v>217006</v>
          </cell>
          <cell r="M6431">
            <v>3</v>
          </cell>
          <cell r="R6431">
            <v>45804</v>
          </cell>
          <cell r="S6431">
            <v>217006</v>
          </cell>
        </row>
        <row r="6432">
          <cell r="K6432" t="str">
            <v>265001</v>
          </cell>
          <cell r="M6432">
            <v>1</v>
          </cell>
          <cell r="R6432">
            <v>45804</v>
          </cell>
          <cell r="S6432">
            <v>265001</v>
          </cell>
        </row>
        <row r="6433">
          <cell r="K6433" t="str">
            <v>227012</v>
          </cell>
          <cell r="M6433">
            <v>2</v>
          </cell>
          <cell r="R6433">
            <v>45804</v>
          </cell>
          <cell r="S6433">
            <v>227012</v>
          </cell>
        </row>
        <row r="6434">
          <cell r="K6434" t="str">
            <v>227012</v>
          </cell>
          <cell r="M6434">
            <v>1</v>
          </cell>
          <cell r="R6434">
            <v>45804</v>
          </cell>
          <cell r="S6434">
            <v>227012</v>
          </cell>
        </row>
        <row r="6435">
          <cell r="K6435" t="str">
            <v>213002</v>
          </cell>
          <cell r="M6435">
            <v>10</v>
          </cell>
          <cell r="R6435">
            <v>45804</v>
          </cell>
          <cell r="S6435">
            <v>213002</v>
          </cell>
        </row>
        <row r="6436">
          <cell r="K6436" t="str">
            <v>231004</v>
          </cell>
          <cell r="M6436">
            <v>2</v>
          </cell>
          <cell r="R6436">
            <v>45804</v>
          </cell>
          <cell r="S6436">
            <v>231004</v>
          </cell>
        </row>
        <row r="6437">
          <cell r="K6437" t="str">
            <v>213002</v>
          </cell>
          <cell r="M6437">
            <v>3</v>
          </cell>
          <cell r="R6437">
            <v>45804</v>
          </cell>
          <cell r="S6437">
            <v>213002</v>
          </cell>
        </row>
        <row r="6438">
          <cell r="K6438" t="str">
            <v>213003</v>
          </cell>
          <cell r="M6438">
            <v>2</v>
          </cell>
          <cell r="R6438">
            <v>45805</v>
          </cell>
          <cell r="S6438">
            <v>213003</v>
          </cell>
        </row>
        <row r="6439">
          <cell r="K6439" t="str">
            <v>227012</v>
          </cell>
          <cell r="M6439">
            <v>4</v>
          </cell>
          <cell r="R6439">
            <v>45804</v>
          </cell>
          <cell r="S6439">
            <v>227012</v>
          </cell>
        </row>
        <row r="6440">
          <cell r="K6440" t="str">
            <v>217018</v>
          </cell>
          <cell r="M6440">
            <v>3</v>
          </cell>
          <cell r="R6440">
            <v>45805</v>
          </cell>
          <cell r="S6440">
            <v>217018</v>
          </cell>
        </row>
        <row r="6441">
          <cell r="K6441" t="str">
            <v>226001</v>
          </cell>
          <cell r="M6441">
            <v>5</v>
          </cell>
          <cell r="R6441">
            <v>45805</v>
          </cell>
          <cell r="S6441">
            <v>226001</v>
          </cell>
        </row>
        <row r="6442">
          <cell r="K6442" t="str">
            <v>213002</v>
          </cell>
          <cell r="M6442">
            <v>6</v>
          </cell>
          <cell r="R6442">
            <v>45805</v>
          </cell>
          <cell r="S6442">
            <v>213002</v>
          </cell>
        </row>
        <row r="6443">
          <cell r="K6443" t="str">
            <v>213003</v>
          </cell>
          <cell r="M6443">
            <v>2</v>
          </cell>
          <cell r="R6443">
            <v>45805</v>
          </cell>
          <cell r="S6443">
            <v>213003</v>
          </cell>
        </row>
        <row r="6444">
          <cell r="K6444" t="str">
            <v>228001</v>
          </cell>
          <cell r="M6444">
            <v>4</v>
          </cell>
          <cell r="R6444">
            <v>45805</v>
          </cell>
          <cell r="S6444">
            <v>228001</v>
          </cell>
        </row>
        <row r="6445">
          <cell r="K6445" t="str">
            <v>201011</v>
          </cell>
          <cell r="M6445">
            <v>5</v>
          </cell>
          <cell r="R6445">
            <v>45805</v>
          </cell>
          <cell r="S6445">
            <v>201011</v>
          </cell>
        </row>
        <row r="6446">
          <cell r="K6446" t="str">
            <v>226027</v>
          </cell>
          <cell r="M6446">
            <v>1</v>
          </cell>
          <cell r="R6446">
            <v>45805</v>
          </cell>
          <cell r="S6446">
            <v>226027</v>
          </cell>
        </row>
        <row r="6447">
          <cell r="K6447" t="str">
            <v>207017</v>
          </cell>
          <cell r="M6447">
            <v>1</v>
          </cell>
          <cell r="R6447">
            <v>45805</v>
          </cell>
          <cell r="S6447">
            <v>207017</v>
          </cell>
        </row>
        <row r="6448">
          <cell r="K6448" t="str">
            <v>209004</v>
          </cell>
          <cell r="M6448">
            <v>1</v>
          </cell>
          <cell r="R6448">
            <v>45805</v>
          </cell>
          <cell r="S6448">
            <v>209004</v>
          </cell>
        </row>
        <row r="6449">
          <cell r="K6449" t="str">
            <v>209006</v>
          </cell>
          <cell r="M6449">
            <v>1</v>
          </cell>
          <cell r="R6449">
            <v>45805</v>
          </cell>
          <cell r="S6449">
            <v>209006</v>
          </cell>
        </row>
        <row r="6450">
          <cell r="K6450" t="str">
            <v>231012</v>
          </cell>
          <cell r="M6450">
            <v>1</v>
          </cell>
          <cell r="R6450">
            <v>45805</v>
          </cell>
          <cell r="S6450">
            <v>231012</v>
          </cell>
        </row>
        <row r="6451">
          <cell r="K6451" t="str">
            <v>229001</v>
          </cell>
          <cell r="M6451">
            <v>15</v>
          </cell>
          <cell r="R6451">
            <v>45805</v>
          </cell>
          <cell r="S6451">
            <v>229001</v>
          </cell>
        </row>
        <row r="6452">
          <cell r="K6452" t="str">
            <v>210013</v>
          </cell>
          <cell r="M6452">
            <v>24</v>
          </cell>
          <cell r="R6452">
            <v>45805</v>
          </cell>
          <cell r="S6452">
            <v>210013</v>
          </cell>
        </row>
        <row r="6453">
          <cell r="K6453" t="str">
            <v>226001</v>
          </cell>
          <cell r="M6453">
            <v>1</v>
          </cell>
          <cell r="R6453">
            <v>45805</v>
          </cell>
          <cell r="S6453">
            <v>226001</v>
          </cell>
        </row>
        <row r="6454">
          <cell r="K6454" t="str">
            <v>210013</v>
          </cell>
          <cell r="M6454">
            <v>1</v>
          </cell>
          <cell r="R6454">
            <v>45805</v>
          </cell>
          <cell r="S6454">
            <v>210013</v>
          </cell>
        </row>
        <row r="6455">
          <cell r="K6455" t="str">
            <v>207017</v>
          </cell>
          <cell r="M6455">
            <v>2</v>
          </cell>
          <cell r="R6455">
            <v>45805</v>
          </cell>
          <cell r="S6455">
            <v>207017</v>
          </cell>
        </row>
        <row r="6456">
          <cell r="K6456" t="str">
            <v>201011</v>
          </cell>
          <cell r="M6456">
            <v>4</v>
          </cell>
          <cell r="R6456">
            <v>45805</v>
          </cell>
          <cell r="S6456">
            <v>201011</v>
          </cell>
        </row>
        <row r="6457">
          <cell r="K6457" t="str">
            <v>210013</v>
          </cell>
          <cell r="M6457">
            <v>2</v>
          </cell>
          <cell r="R6457">
            <v>45805</v>
          </cell>
          <cell r="S6457">
            <v>210013</v>
          </cell>
        </row>
        <row r="6458">
          <cell r="K6458" t="str">
            <v>223002</v>
          </cell>
          <cell r="M6458">
            <v>3</v>
          </cell>
          <cell r="R6458">
            <v>45805</v>
          </cell>
          <cell r="S6458">
            <v>223002</v>
          </cell>
        </row>
        <row r="6459">
          <cell r="K6459" t="str">
            <v>223001</v>
          </cell>
          <cell r="M6459">
            <v>3</v>
          </cell>
          <cell r="R6459">
            <v>45805</v>
          </cell>
          <cell r="S6459">
            <v>223001</v>
          </cell>
        </row>
        <row r="6460">
          <cell r="K6460" t="str">
            <v>227012</v>
          </cell>
          <cell r="M6460">
            <v>1</v>
          </cell>
          <cell r="R6460">
            <v>45805</v>
          </cell>
          <cell r="S6460">
            <v>227012</v>
          </cell>
        </row>
        <row r="6461">
          <cell r="K6461" t="str">
            <v>201011</v>
          </cell>
          <cell r="M6461">
            <v>5</v>
          </cell>
          <cell r="R6461">
            <v>45805</v>
          </cell>
          <cell r="S6461">
            <v>201011</v>
          </cell>
        </row>
        <row r="6462">
          <cell r="K6462" t="str">
            <v>213003</v>
          </cell>
          <cell r="M6462">
            <v>2</v>
          </cell>
          <cell r="R6462">
            <v>45805</v>
          </cell>
          <cell r="S6462">
            <v>213003</v>
          </cell>
        </row>
        <row r="6463">
          <cell r="K6463" t="str">
            <v>227001</v>
          </cell>
          <cell r="M6463">
            <v>2</v>
          </cell>
          <cell r="R6463">
            <v>45805</v>
          </cell>
          <cell r="S6463">
            <v>227001</v>
          </cell>
        </row>
        <row r="6464">
          <cell r="K6464" t="str">
            <v>203001</v>
          </cell>
          <cell r="M6464">
            <v>1</v>
          </cell>
          <cell r="R6464">
            <v>45805</v>
          </cell>
          <cell r="S6464">
            <v>203001</v>
          </cell>
        </row>
        <row r="6465">
          <cell r="K6465" t="str">
            <v>223002</v>
          </cell>
          <cell r="M6465">
            <v>1</v>
          </cell>
          <cell r="R6465">
            <v>45805</v>
          </cell>
          <cell r="S6465">
            <v>223002</v>
          </cell>
        </row>
        <row r="6466">
          <cell r="K6466" t="str">
            <v>223001</v>
          </cell>
          <cell r="M6466">
            <v>1</v>
          </cell>
          <cell r="R6466">
            <v>45805</v>
          </cell>
          <cell r="S6466">
            <v>223001</v>
          </cell>
        </row>
        <row r="6467">
          <cell r="K6467" t="str">
            <v>201022</v>
          </cell>
          <cell r="M6467">
            <v>1</v>
          </cell>
          <cell r="R6467">
            <v>45805</v>
          </cell>
          <cell r="S6467">
            <v>201022</v>
          </cell>
        </row>
        <row r="6468">
          <cell r="K6468" t="str">
            <v>201002</v>
          </cell>
          <cell r="M6468">
            <v>10</v>
          </cell>
          <cell r="R6468">
            <v>45805</v>
          </cell>
          <cell r="S6468">
            <v>201002</v>
          </cell>
        </row>
        <row r="6469">
          <cell r="K6469" t="str">
            <v>222001</v>
          </cell>
          <cell r="M6469">
            <v>1</v>
          </cell>
          <cell r="R6469">
            <v>45805</v>
          </cell>
          <cell r="S6469">
            <v>222001</v>
          </cell>
        </row>
        <row r="6470">
          <cell r="K6470" t="str">
            <v>223002</v>
          </cell>
          <cell r="M6470">
            <v>3</v>
          </cell>
          <cell r="R6470">
            <v>45805</v>
          </cell>
          <cell r="S6470">
            <v>223002</v>
          </cell>
        </row>
        <row r="6471">
          <cell r="K6471" t="str">
            <v>223001</v>
          </cell>
          <cell r="M6471">
            <v>3</v>
          </cell>
          <cell r="R6471">
            <v>45805</v>
          </cell>
          <cell r="S6471">
            <v>223001</v>
          </cell>
        </row>
        <row r="6472">
          <cell r="K6472" t="str">
            <v>227012</v>
          </cell>
          <cell r="M6472">
            <v>1</v>
          </cell>
          <cell r="R6472">
            <v>45805</v>
          </cell>
          <cell r="S6472">
            <v>227012</v>
          </cell>
        </row>
        <row r="6473">
          <cell r="K6473" t="str">
            <v>226001</v>
          </cell>
          <cell r="M6473">
            <v>10</v>
          </cell>
          <cell r="R6473">
            <v>45806</v>
          </cell>
          <cell r="S6473">
            <v>226001</v>
          </cell>
        </row>
        <row r="6474">
          <cell r="K6474" t="str">
            <v>217018</v>
          </cell>
          <cell r="M6474">
            <v>3</v>
          </cell>
          <cell r="R6474">
            <v>45806</v>
          </cell>
          <cell r="S6474">
            <v>217018</v>
          </cell>
        </row>
        <row r="6475">
          <cell r="K6475" t="str">
            <v>222007</v>
          </cell>
          <cell r="M6475">
            <v>1</v>
          </cell>
          <cell r="R6475">
            <v>45805</v>
          </cell>
          <cell r="S6475">
            <v>222007</v>
          </cell>
        </row>
        <row r="6476">
          <cell r="K6476" t="str">
            <v>201011</v>
          </cell>
          <cell r="M6476">
            <v>2</v>
          </cell>
          <cell r="R6476">
            <v>45805</v>
          </cell>
          <cell r="S6476">
            <v>201011</v>
          </cell>
        </row>
        <row r="6477">
          <cell r="K6477" t="str">
            <v>223001</v>
          </cell>
          <cell r="M6477">
            <v>2</v>
          </cell>
          <cell r="R6477">
            <v>45805</v>
          </cell>
          <cell r="S6477">
            <v>223001</v>
          </cell>
        </row>
        <row r="6478">
          <cell r="K6478" t="str">
            <v>223002</v>
          </cell>
          <cell r="M6478">
            <v>2</v>
          </cell>
          <cell r="R6478">
            <v>45805</v>
          </cell>
          <cell r="S6478">
            <v>223002</v>
          </cell>
        </row>
        <row r="6479">
          <cell r="K6479" t="str">
            <v>241001</v>
          </cell>
          <cell r="M6479">
            <v>1</v>
          </cell>
          <cell r="R6479">
            <v>45805</v>
          </cell>
          <cell r="S6479">
            <v>241001</v>
          </cell>
        </row>
        <row r="6480">
          <cell r="K6480" t="str">
            <v>209001</v>
          </cell>
          <cell r="M6480">
            <v>1</v>
          </cell>
          <cell r="R6480">
            <v>45805</v>
          </cell>
          <cell r="S6480">
            <v>209001</v>
          </cell>
        </row>
        <row r="6481">
          <cell r="K6481" t="str">
            <v>201002</v>
          </cell>
          <cell r="M6481">
            <v>1</v>
          </cell>
          <cell r="R6481">
            <v>45805</v>
          </cell>
          <cell r="S6481">
            <v>201002</v>
          </cell>
        </row>
        <row r="6482">
          <cell r="K6482" t="str">
            <v>241001</v>
          </cell>
          <cell r="M6482">
            <v>2</v>
          </cell>
          <cell r="R6482">
            <v>45805</v>
          </cell>
          <cell r="S6482">
            <v>241001</v>
          </cell>
        </row>
        <row r="6483">
          <cell r="K6483" t="str">
            <v>213002</v>
          </cell>
          <cell r="M6483">
            <v>35</v>
          </cell>
          <cell r="R6483">
            <v>45806</v>
          </cell>
          <cell r="S6483">
            <v>213002</v>
          </cell>
        </row>
        <row r="6484">
          <cell r="K6484" t="str">
            <v>201011</v>
          </cell>
          <cell r="M6484">
            <v>4</v>
          </cell>
          <cell r="R6484">
            <v>45806</v>
          </cell>
          <cell r="S6484">
            <v>201011</v>
          </cell>
        </row>
        <row r="6485">
          <cell r="K6485" t="str">
            <v>223001</v>
          </cell>
          <cell r="M6485">
            <v>60</v>
          </cell>
          <cell r="R6485">
            <v>45806</v>
          </cell>
          <cell r="S6485">
            <v>223001</v>
          </cell>
        </row>
        <row r="6486">
          <cell r="K6486" t="str">
            <v>231010</v>
          </cell>
          <cell r="M6486">
            <v>1</v>
          </cell>
          <cell r="R6486">
            <v>45806</v>
          </cell>
          <cell r="S6486">
            <v>231010</v>
          </cell>
        </row>
        <row r="6487">
          <cell r="K6487" t="str">
            <v>228001</v>
          </cell>
          <cell r="M6487">
            <v>10</v>
          </cell>
          <cell r="R6487">
            <v>45806</v>
          </cell>
          <cell r="S6487">
            <v>228001</v>
          </cell>
        </row>
        <row r="6488">
          <cell r="K6488" t="str">
            <v>228001</v>
          </cell>
          <cell r="M6488">
            <v>3</v>
          </cell>
          <cell r="R6488">
            <v>45806</v>
          </cell>
          <cell r="S6488">
            <v>228001</v>
          </cell>
        </row>
        <row r="6489">
          <cell r="K6489" t="str">
            <v>203001</v>
          </cell>
          <cell r="M6489">
            <v>1</v>
          </cell>
          <cell r="R6489">
            <v>45806</v>
          </cell>
          <cell r="S6489">
            <v>203001</v>
          </cell>
        </row>
        <row r="6490">
          <cell r="K6490" t="str">
            <v>207017</v>
          </cell>
          <cell r="M6490">
            <v>1</v>
          </cell>
          <cell r="R6490">
            <v>45806</v>
          </cell>
          <cell r="S6490">
            <v>207017</v>
          </cell>
        </row>
        <row r="6491">
          <cell r="K6491" t="str">
            <v>209004</v>
          </cell>
          <cell r="M6491">
            <v>1</v>
          </cell>
          <cell r="R6491">
            <v>45806</v>
          </cell>
          <cell r="S6491">
            <v>209004</v>
          </cell>
        </row>
        <row r="6492">
          <cell r="K6492" t="str">
            <v>226001</v>
          </cell>
          <cell r="M6492">
            <v>1</v>
          </cell>
          <cell r="R6492">
            <v>45806</v>
          </cell>
          <cell r="S6492">
            <v>226001</v>
          </cell>
        </row>
        <row r="6493">
          <cell r="K6493" t="str">
            <v>201011</v>
          </cell>
          <cell r="M6493">
            <v>1</v>
          </cell>
          <cell r="R6493">
            <v>45806</v>
          </cell>
          <cell r="S6493">
            <v>201011</v>
          </cell>
        </row>
        <row r="6494">
          <cell r="K6494" t="str">
            <v>201011</v>
          </cell>
          <cell r="M6494">
            <v>3</v>
          </cell>
          <cell r="R6494">
            <v>45806</v>
          </cell>
          <cell r="S6494">
            <v>201011</v>
          </cell>
        </row>
        <row r="6495">
          <cell r="K6495" t="str">
            <v>213003</v>
          </cell>
          <cell r="M6495">
            <v>1</v>
          </cell>
          <cell r="R6495">
            <v>45806</v>
          </cell>
          <cell r="S6495">
            <v>213003</v>
          </cell>
        </row>
        <row r="6496">
          <cell r="K6496" t="str">
            <v>201011</v>
          </cell>
          <cell r="M6496">
            <v>2</v>
          </cell>
          <cell r="R6496">
            <v>45806</v>
          </cell>
          <cell r="S6496">
            <v>201011</v>
          </cell>
        </row>
        <row r="6497">
          <cell r="K6497" t="str">
            <v>213003</v>
          </cell>
          <cell r="M6497">
            <v>1</v>
          </cell>
          <cell r="R6497">
            <v>45806</v>
          </cell>
          <cell r="S6497">
            <v>213003</v>
          </cell>
        </row>
        <row r="6498">
          <cell r="K6498" t="str">
            <v>213002</v>
          </cell>
          <cell r="M6498">
            <v>12</v>
          </cell>
          <cell r="R6498">
            <v>45806</v>
          </cell>
          <cell r="S6498">
            <v>213002</v>
          </cell>
        </row>
        <row r="6499">
          <cell r="K6499" t="str">
            <v>203001</v>
          </cell>
          <cell r="M6499">
            <v>1</v>
          </cell>
          <cell r="R6499">
            <v>45806</v>
          </cell>
          <cell r="S6499">
            <v>203001</v>
          </cell>
        </row>
        <row r="6500">
          <cell r="K6500" t="str">
            <v>223002</v>
          </cell>
          <cell r="M6500">
            <v>4</v>
          </cell>
          <cell r="R6500">
            <v>45806</v>
          </cell>
          <cell r="S6500">
            <v>223002</v>
          </cell>
        </row>
        <row r="6501">
          <cell r="K6501" t="str">
            <v>227012</v>
          </cell>
          <cell r="M6501">
            <v>1</v>
          </cell>
          <cell r="R6501">
            <v>45806</v>
          </cell>
          <cell r="S6501">
            <v>227012</v>
          </cell>
        </row>
        <row r="6502">
          <cell r="K6502" t="str">
            <v>213003</v>
          </cell>
          <cell r="M6502">
            <v>4</v>
          </cell>
          <cell r="R6502">
            <v>45806</v>
          </cell>
          <cell r="S6502">
            <v>213003</v>
          </cell>
        </row>
        <row r="6503">
          <cell r="K6503" t="str">
            <v>237001</v>
          </cell>
          <cell r="M6503">
            <v>1</v>
          </cell>
          <cell r="R6503">
            <v>45806</v>
          </cell>
          <cell r="S6503">
            <v>237001</v>
          </cell>
        </row>
        <row r="6504">
          <cell r="K6504" t="str">
            <v>213003</v>
          </cell>
          <cell r="M6504">
            <v>2</v>
          </cell>
          <cell r="R6504">
            <v>45806</v>
          </cell>
          <cell r="S6504">
            <v>213003</v>
          </cell>
        </row>
        <row r="6505">
          <cell r="K6505" t="str">
            <v>210001</v>
          </cell>
          <cell r="M6505">
            <v>2</v>
          </cell>
          <cell r="R6505">
            <v>45807</v>
          </cell>
          <cell r="S6505">
            <v>210001</v>
          </cell>
        </row>
        <row r="6506">
          <cell r="K6506" t="str">
            <v>217002</v>
          </cell>
          <cell r="M6506">
            <v>1</v>
          </cell>
          <cell r="R6506">
            <v>45806</v>
          </cell>
          <cell r="S6506">
            <v>217002</v>
          </cell>
        </row>
        <row r="6507">
          <cell r="K6507" t="str">
            <v>226001</v>
          </cell>
          <cell r="M6507">
            <v>1</v>
          </cell>
          <cell r="R6507">
            <v>45806</v>
          </cell>
          <cell r="S6507">
            <v>226001</v>
          </cell>
        </row>
        <row r="6508">
          <cell r="K6508" t="str">
            <v>226025</v>
          </cell>
          <cell r="M6508">
            <v>2</v>
          </cell>
          <cell r="R6508">
            <v>45806</v>
          </cell>
          <cell r="S6508">
            <v>226025</v>
          </cell>
        </row>
        <row r="6509">
          <cell r="K6509" t="str">
            <v>234001</v>
          </cell>
          <cell r="M6509">
            <v>1</v>
          </cell>
          <cell r="R6509">
            <v>45806</v>
          </cell>
          <cell r="S6509">
            <v>234001</v>
          </cell>
        </row>
        <row r="6510">
          <cell r="K6510" t="str">
            <v>212002</v>
          </cell>
          <cell r="M6510">
            <v>1</v>
          </cell>
          <cell r="R6510">
            <v>45806</v>
          </cell>
          <cell r="S6510">
            <v>212002</v>
          </cell>
        </row>
        <row r="6511">
          <cell r="K6511" t="str">
            <v>226001</v>
          </cell>
          <cell r="M6511">
            <v>1</v>
          </cell>
          <cell r="R6511">
            <v>45806</v>
          </cell>
          <cell r="S6511">
            <v>226001</v>
          </cell>
        </row>
        <row r="6512">
          <cell r="K6512" t="str">
            <v>202001</v>
          </cell>
          <cell r="M6512">
            <v>1</v>
          </cell>
          <cell r="R6512">
            <v>45806</v>
          </cell>
          <cell r="S6512">
            <v>202001</v>
          </cell>
        </row>
        <row r="6513">
          <cell r="K6513" t="str">
            <v>201002</v>
          </cell>
          <cell r="M6513">
            <v>1</v>
          </cell>
          <cell r="R6513">
            <v>45806</v>
          </cell>
          <cell r="S6513">
            <v>201002</v>
          </cell>
        </row>
        <row r="6514">
          <cell r="K6514" t="str">
            <v>213003</v>
          </cell>
          <cell r="M6514">
            <v>3</v>
          </cell>
          <cell r="R6514">
            <v>45806</v>
          </cell>
          <cell r="S6514">
            <v>213003</v>
          </cell>
        </row>
        <row r="6515">
          <cell r="K6515" t="str">
            <v>241001</v>
          </cell>
          <cell r="M6515">
            <v>3</v>
          </cell>
          <cell r="R6515">
            <v>45806</v>
          </cell>
          <cell r="S6515">
            <v>241001</v>
          </cell>
        </row>
        <row r="6516">
          <cell r="K6516" t="str">
            <v>201002</v>
          </cell>
          <cell r="M6516">
            <v>5</v>
          </cell>
          <cell r="R6516">
            <v>45806</v>
          </cell>
          <cell r="S6516">
            <v>201002</v>
          </cell>
        </row>
        <row r="6517">
          <cell r="K6517" t="str">
            <v>241001</v>
          </cell>
          <cell r="M6517">
            <v>5</v>
          </cell>
          <cell r="R6517">
            <v>45806</v>
          </cell>
          <cell r="S6517">
            <v>241001</v>
          </cell>
        </row>
        <row r="6518">
          <cell r="K6518" t="str">
            <v>228001</v>
          </cell>
          <cell r="M6518">
            <v>1</v>
          </cell>
          <cell r="R6518">
            <v>45807</v>
          </cell>
          <cell r="S6518">
            <v>228001</v>
          </cell>
        </row>
        <row r="6519">
          <cell r="K6519" t="str">
            <v>213002</v>
          </cell>
          <cell r="M6519">
            <v>3</v>
          </cell>
          <cell r="R6519">
            <v>45807</v>
          </cell>
          <cell r="S6519">
            <v>213002</v>
          </cell>
        </row>
        <row r="6520">
          <cell r="K6520" t="str">
            <v>226024</v>
          </cell>
          <cell r="M6520">
            <v>1</v>
          </cell>
          <cell r="R6520">
            <v>45807</v>
          </cell>
          <cell r="S6520">
            <v>226024</v>
          </cell>
        </row>
        <row r="6521">
          <cell r="K6521" t="str">
            <v>231010</v>
          </cell>
          <cell r="M6521">
            <v>2</v>
          </cell>
          <cell r="R6521">
            <v>45806</v>
          </cell>
          <cell r="S6521">
            <v>231010</v>
          </cell>
        </row>
        <row r="6522">
          <cell r="K6522" t="str">
            <v>210001</v>
          </cell>
          <cell r="M6522">
            <v>1</v>
          </cell>
          <cell r="R6522">
            <v>45806</v>
          </cell>
          <cell r="S6522">
            <v>210001</v>
          </cell>
        </row>
        <row r="6523">
          <cell r="K6523" t="str">
            <v>228001</v>
          </cell>
          <cell r="M6523">
            <v>1</v>
          </cell>
          <cell r="R6523">
            <v>45806</v>
          </cell>
          <cell r="S6523">
            <v>228001</v>
          </cell>
        </row>
        <row r="6524">
          <cell r="K6524" t="str">
            <v>226022</v>
          </cell>
          <cell r="M6524">
            <v>1</v>
          </cell>
          <cell r="R6524">
            <v>45806</v>
          </cell>
          <cell r="S6524">
            <v>226022</v>
          </cell>
        </row>
        <row r="6525">
          <cell r="K6525" t="str">
            <v>223001</v>
          </cell>
          <cell r="M6525">
            <v>4</v>
          </cell>
          <cell r="R6525">
            <v>45806</v>
          </cell>
          <cell r="S6525">
            <v>223001</v>
          </cell>
        </row>
        <row r="6526">
          <cell r="K6526" t="str">
            <v>223002</v>
          </cell>
          <cell r="M6526">
            <v>4</v>
          </cell>
          <cell r="R6526">
            <v>45806</v>
          </cell>
          <cell r="S6526">
            <v>223002</v>
          </cell>
        </row>
        <row r="6527">
          <cell r="K6527" t="str">
            <v>241001</v>
          </cell>
          <cell r="M6527">
            <v>3</v>
          </cell>
          <cell r="R6527">
            <v>45806</v>
          </cell>
          <cell r="S6527">
            <v>241001</v>
          </cell>
        </row>
        <row r="6528">
          <cell r="K6528" t="str">
            <v>201002</v>
          </cell>
          <cell r="M6528">
            <v>1</v>
          </cell>
          <cell r="R6528">
            <v>45806</v>
          </cell>
          <cell r="S6528">
            <v>201002</v>
          </cell>
        </row>
        <row r="6529">
          <cell r="K6529" t="str">
            <v>201011</v>
          </cell>
          <cell r="M6529">
            <v>2</v>
          </cell>
          <cell r="R6529">
            <v>45806</v>
          </cell>
          <cell r="S6529">
            <v>201011</v>
          </cell>
        </row>
        <row r="6530">
          <cell r="K6530" t="str">
            <v>228001</v>
          </cell>
          <cell r="M6530">
            <v>3</v>
          </cell>
          <cell r="R6530">
            <v>45807</v>
          </cell>
          <cell r="S6530">
            <v>228001</v>
          </cell>
        </row>
        <row r="6531">
          <cell r="K6531" t="str">
            <v>201011</v>
          </cell>
          <cell r="M6531">
            <v>3</v>
          </cell>
          <cell r="R6531">
            <v>45807</v>
          </cell>
          <cell r="S6531">
            <v>201011</v>
          </cell>
        </row>
        <row r="6532">
          <cell r="K6532" t="str">
            <v>217019</v>
          </cell>
          <cell r="M6532">
            <v>2</v>
          </cell>
          <cell r="R6532">
            <v>45807</v>
          </cell>
          <cell r="S6532">
            <v>217019</v>
          </cell>
        </row>
        <row r="6533">
          <cell r="K6533" t="str">
            <v>201003</v>
          </cell>
          <cell r="M6533">
            <v>1</v>
          </cell>
          <cell r="R6533">
            <v>45807</v>
          </cell>
          <cell r="S6533">
            <v>201003</v>
          </cell>
        </row>
        <row r="6534">
          <cell r="K6534" t="str">
            <v>213024</v>
          </cell>
          <cell r="M6534">
            <v>20</v>
          </cell>
          <cell r="R6534">
            <v>45807</v>
          </cell>
          <cell r="S6534">
            <v>213024</v>
          </cell>
        </row>
        <row r="6535">
          <cell r="K6535" t="str">
            <v>241001</v>
          </cell>
          <cell r="M6535">
            <v>20</v>
          </cell>
          <cell r="R6535">
            <v>45807</v>
          </cell>
          <cell r="S6535">
            <v>241001</v>
          </cell>
        </row>
        <row r="6536">
          <cell r="K6536" t="str">
            <v>212019</v>
          </cell>
          <cell r="M6536">
            <v>4</v>
          </cell>
          <cell r="R6536">
            <v>45807</v>
          </cell>
          <cell r="S6536">
            <v>212019</v>
          </cell>
        </row>
        <row r="6537">
          <cell r="K6537" t="str">
            <v>201011</v>
          </cell>
          <cell r="M6537">
            <v>36</v>
          </cell>
          <cell r="R6537">
            <v>45807</v>
          </cell>
          <cell r="S6537">
            <v>201011</v>
          </cell>
        </row>
        <row r="6538">
          <cell r="K6538" t="str">
            <v>226001</v>
          </cell>
          <cell r="M6538">
            <v>4</v>
          </cell>
          <cell r="R6538">
            <v>45807</v>
          </cell>
          <cell r="S6538">
            <v>226001</v>
          </cell>
        </row>
        <row r="6539">
          <cell r="K6539" t="str">
            <v>213003</v>
          </cell>
          <cell r="M6539">
            <v>1</v>
          </cell>
          <cell r="R6539">
            <v>45807</v>
          </cell>
          <cell r="S6539">
            <v>213003</v>
          </cell>
        </row>
        <row r="6540">
          <cell r="K6540" t="str">
            <v>222005</v>
          </cell>
          <cell r="M6540">
            <v>1</v>
          </cell>
          <cell r="R6540">
            <v>45807</v>
          </cell>
          <cell r="S6540">
            <v>222005</v>
          </cell>
        </row>
        <row r="6541">
          <cell r="K6541" t="str">
            <v>201011</v>
          </cell>
          <cell r="M6541">
            <v>4</v>
          </cell>
          <cell r="R6541">
            <v>45807</v>
          </cell>
          <cell r="S6541">
            <v>201011</v>
          </cell>
        </row>
        <row r="6542">
          <cell r="K6542" t="str">
            <v>226001</v>
          </cell>
          <cell r="M6542">
            <v>1</v>
          </cell>
          <cell r="R6542">
            <v>45807</v>
          </cell>
          <cell r="S6542">
            <v>226001</v>
          </cell>
        </row>
        <row r="6543">
          <cell r="K6543" t="str">
            <v>226001</v>
          </cell>
          <cell r="M6543">
            <v>3</v>
          </cell>
          <cell r="R6543">
            <v>45807</v>
          </cell>
          <cell r="S6543">
            <v>226001</v>
          </cell>
        </row>
        <row r="6544">
          <cell r="K6544" t="str">
            <v>226001</v>
          </cell>
          <cell r="M6544">
            <v>1</v>
          </cell>
          <cell r="R6544">
            <v>45807</v>
          </cell>
          <cell r="S6544">
            <v>226001</v>
          </cell>
        </row>
        <row r="6545">
          <cell r="K6545" t="str">
            <v>217021</v>
          </cell>
          <cell r="M6545">
            <v>1</v>
          </cell>
          <cell r="R6545">
            <v>45807</v>
          </cell>
          <cell r="S6545">
            <v>217021</v>
          </cell>
        </row>
        <row r="6546">
          <cell r="K6546" t="str">
            <v>226001</v>
          </cell>
          <cell r="M6546">
            <v>1</v>
          </cell>
          <cell r="R6546">
            <v>45807</v>
          </cell>
          <cell r="S6546">
            <v>226001</v>
          </cell>
        </row>
        <row r="6547">
          <cell r="K6547" t="str">
            <v>226001</v>
          </cell>
          <cell r="M6547">
            <v>1</v>
          </cell>
          <cell r="R6547">
            <v>45807</v>
          </cell>
          <cell r="S6547">
            <v>226001</v>
          </cell>
        </row>
        <row r="6548">
          <cell r="K6548" t="str">
            <v>222001</v>
          </cell>
          <cell r="M6548">
            <v>1</v>
          </cell>
          <cell r="R6548">
            <v>45807</v>
          </cell>
          <cell r="S6548">
            <v>222001</v>
          </cell>
        </row>
        <row r="6549">
          <cell r="K6549" t="str">
            <v>201002</v>
          </cell>
          <cell r="M6549">
            <v>2</v>
          </cell>
          <cell r="R6549">
            <v>45807</v>
          </cell>
          <cell r="S6549">
            <v>201002</v>
          </cell>
        </row>
        <row r="6550">
          <cell r="K6550" t="str">
            <v>201011</v>
          </cell>
          <cell r="M6550">
            <v>4</v>
          </cell>
          <cell r="R6550">
            <v>45807</v>
          </cell>
          <cell r="S6550">
            <v>201011</v>
          </cell>
        </row>
        <row r="6551">
          <cell r="K6551" t="str">
            <v>227014</v>
          </cell>
          <cell r="M6551">
            <v>2</v>
          </cell>
          <cell r="R6551">
            <v>45807</v>
          </cell>
          <cell r="S6551">
            <v>227014</v>
          </cell>
        </row>
        <row r="6552">
          <cell r="K6552" t="str">
            <v>223002</v>
          </cell>
          <cell r="M6552">
            <v>4</v>
          </cell>
          <cell r="R6552">
            <v>45807</v>
          </cell>
          <cell r="S6552">
            <v>223002</v>
          </cell>
        </row>
        <row r="6553">
          <cell r="K6553" t="str">
            <v>223001</v>
          </cell>
          <cell r="M6553">
            <v>3</v>
          </cell>
          <cell r="R6553">
            <v>45807</v>
          </cell>
          <cell r="S6553">
            <v>223001</v>
          </cell>
        </row>
        <row r="6554">
          <cell r="K6554" t="str">
            <v>227012</v>
          </cell>
          <cell r="M6554">
            <v>1</v>
          </cell>
          <cell r="R6554">
            <v>45807</v>
          </cell>
          <cell r="S6554">
            <v>227012</v>
          </cell>
        </row>
        <row r="6555">
          <cell r="K6555" t="str">
            <v>229004</v>
          </cell>
          <cell r="M6555">
            <v>4</v>
          </cell>
          <cell r="R6555">
            <v>45809</v>
          </cell>
          <cell r="S6555">
            <v>229004</v>
          </cell>
        </row>
        <row r="6556">
          <cell r="K6556" t="str">
            <v>201011</v>
          </cell>
          <cell r="M6556">
            <v>6</v>
          </cell>
          <cell r="R6556">
            <v>45809</v>
          </cell>
          <cell r="S6556">
            <v>201011</v>
          </cell>
        </row>
        <row r="6557">
          <cell r="K6557" t="str">
            <v>213024</v>
          </cell>
          <cell r="M6557">
            <v>3</v>
          </cell>
          <cell r="R6557">
            <v>45810</v>
          </cell>
          <cell r="S6557">
            <v>213024</v>
          </cell>
        </row>
        <row r="6558">
          <cell r="K6558" t="str">
            <v>203003</v>
          </cell>
          <cell r="M6558">
            <v>1</v>
          </cell>
          <cell r="R6558">
            <v>45809</v>
          </cell>
          <cell r="S6558">
            <v>203003</v>
          </cell>
        </row>
        <row r="6559">
          <cell r="K6559" t="str">
            <v>213002</v>
          </cell>
          <cell r="M6559">
            <v>1</v>
          </cell>
          <cell r="R6559">
            <v>45809</v>
          </cell>
          <cell r="S6559">
            <v>213002</v>
          </cell>
        </row>
        <row r="6560">
          <cell r="K6560" t="str">
            <v>210013</v>
          </cell>
          <cell r="M6560">
            <v>1</v>
          </cell>
          <cell r="R6560">
            <v>45809</v>
          </cell>
          <cell r="S6560">
            <v>210013</v>
          </cell>
        </row>
        <row r="6561">
          <cell r="K6561" t="str">
            <v>209001</v>
          </cell>
          <cell r="M6561">
            <v>1</v>
          </cell>
          <cell r="R6561">
            <v>45809</v>
          </cell>
          <cell r="S6561">
            <v>209001</v>
          </cell>
        </row>
        <row r="6562">
          <cell r="K6562" t="str">
            <v>222001</v>
          </cell>
          <cell r="M6562">
            <v>1</v>
          </cell>
          <cell r="R6562">
            <v>45809</v>
          </cell>
          <cell r="S6562">
            <v>222001</v>
          </cell>
        </row>
        <row r="6563">
          <cell r="K6563" t="str">
            <v>241001</v>
          </cell>
          <cell r="M6563">
            <v>8</v>
          </cell>
          <cell r="R6563">
            <v>45809</v>
          </cell>
          <cell r="S6563">
            <v>241001</v>
          </cell>
        </row>
        <row r="6564">
          <cell r="K6564" t="str">
            <v>201011</v>
          </cell>
          <cell r="M6564">
            <v>1</v>
          </cell>
          <cell r="R6564">
            <v>45809</v>
          </cell>
          <cell r="S6564">
            <v>201011</v>
          </cell>
        </row>
        <row r="6565">
          <cell r="K6565" t="str">
            <v>201011</v>
          </cell>
          <cell r="M6565">
            <v>4</v>
          </cell>
          <cell r="R6565">
            <v>45809</v>
          </cell>
          <cell r="S6565">
            <v>201011</v>
          </cell>
        </row>
        <row r="6566">
          <cell r="K6566" t="str">
            <v>241001</v>
          </cell>
          <cell r="M6566">
            <v>3</v>
          </cell>
          <cell r="R6566">
            <v>45809</v>
          </cell>
          <cell r="S6566">
            <v>241001</v>
          </cell>
        </row>
        <row r="6567">
          <cell r="K6567" t="str">
            <v>201011</v>
          </cell>
          <cell r="M6567">
            <v>4</v>
          </cell>
          <cell r="R6567">
            <v>45809</v>
          </cell>
          <cell r="S6567">
            <v>201011</v>
          </cell>
        </row>
        <row r="6568">
          <cell r="K6568" t="str">
            <v>241001</v>
          </cell>
          <cell r="M6568">
            <v>2</v>
          </cell>
          <cell r="R6568">
            <v>45809</v>
          </cell>
          <cell r="S6568">
            <v>241001</v>
          </cell>
        </row>
        <row r="6569">
          <cell r="K6569" t="str">
            <v>213002</v>
          </cell>
          <cell r="M6569">
            <v>1</v>
          </cell>
          <cell r="R6569">
            <v>45809</v>
          </cell>
          <cell r="S6569">
            <v>213002</v>
          </cell>
        </row>
        <row r="6570">
          <cell r="K6570" t="str">
            <v>203003</v>
          </cell>
          <cell r="M6570">
            <v>1</v>
          </cell>
          <cell r="R6570">
            <v>45809</v>
          </cell>
          <cell r="S6570">
            <v>203003</v>
          </cell>
        </row>
        <row r="6571">
          <cell r="K6571" t="str">
            <v>222001</v>
          </cell>
          <cell r="M6571">
            <v>1</v>
          </cell>
          <cell r="R6571">
            <v>45809</v>
          </cell>
          <cell r="S6571">
            <v>222001</v>
          </cell>
        </row>
        <row r="6572">
          <cell r="K6572" t="str">
            <v>228001</v>
          </cell>
          <cell r="M6572">
            <v>15</v>
          </cell>
          <cell r="R6572">
            <v>45808</v>
          </cell>
          <cell r="S6572">
            <v>228001</v>
          </cell>
        </row>
        <row r="6573">
          <cell r="K6573" t="str">
            <v>217019</v>
          </cell>
          <cell r="M6573">
            <v>15</v>
          </cell>
          <cell r="R6573">
            <v>45808</v>
          </cell>
          <cell r="S6573">
            <v>217019</v>
          </cell>
        </row>
        <row r="6574">
          <cell r="K6574" t="str">
            <v>241001</v>
          </cell>
          <cell r="M6574">
            <v>6</v>
          </cell>
          <cell r="R6574">
            <v>45809</v>
          </cell>
          <cell r="S6574">
            <v>241001</v>
          </cell>
        </row>
        <row r="6575">
          <cell r="K6575" t="str">
            <v>201011</v>
          </cell>
          <cell r="M6575">
            <v>1</v>
          </cell>
          <cell r="R6575">
            <v>45809</v>
          </cell>
          <cell r="S6575">
            <v>201011</v>
          </cell>
        </row>
        <row r="6576">
          <cell r="K6576" t="str">
            <v>201011</v>
          </cell>
          <cell r="M6576">
            <v>5</v>
          </cell>
          <cell r="R6576">
            <v>45809</v>
          </cell>
          <cell r="S6576">
            <v>201011</v>
          </cell>
        </row>
        <row r="6577">
          <cell r="K6577" t="str">
            <v>213024</v>
          </cell>
          <cell r="M6577">
            <v>4</v>
          </cell>
          <cell r="R6577">
            <v>45810</v>
          </cell>
          <cell r="S6577">
            <v>213024</v>
          </cell>
        </row>
        <row r="6578">
          <cell r="K6578" t="str">
            <v>201011</v>
          </cell>
          <cell r="M6578">
            <v>6</v>
          </cell>
          <cell r="R6578">
            <v>45809</v>
          </cell>
          <cell r="S6578">
            <v>201011</v>
          </cell>
        </row>
        <row r="6579">
          <cell r="K6579" t="str">
            <v>203001</v>
          </cell>
          <cell r="M6579">
            <v>4</v>
          </cell>
          <cell r="R6579">
            <v>45810</v>
          </cell>
          <cell r="S6579">
            <v>203001</v>
          </cell>
        </row>
        <row r="6580">
          <cell r="K6580" t="str">
            <v>228001</v>
          </cell>
          <cell r="M6580">
            <v>1</v>
          </cell>
          <cell r="R6580">
            <v>45810</v>
          </cell>
          <cell r="S6580">
            <v>228001</v>
          </cell>
        </row>
        <row r="6581">
          <cell r="K6581" t="str">
            <v>231010</v>
          </cell>
          <cell r="M6581">
            <v>2</v>
          </cell>
          <cell r="R6581">
            <v>45810</v>
          </cell>
          <cell r="S6581">
            <v>231010</v>
          </cell>
        </row>
        <row r="6582">
          <cell r="K6582" t="str">
            <v>201011</v>
          </cell>
          <cell r="M6582">
            <v>1</v>
          </cell>
          <cell r="R6582">
            <v>45810</v>
          </cell>
          <cell r="S6582">
            <v>201011</v>
          </cell>
        </row>
        <row r="6583">
          <cell r="K6583" t="str">
            <v>223002</v>
          </cell>
          <cell r="M6583">
            <v>2</v>
          </cell>
          <cell r="R6583">
            <v>45810</v>
          </cell>
          <cell r="S6583">
            <v>223002</v>
          </cell>
        </row>
        <row r="6584">
          <cell r="K6584" t="str">
            <v>223001</v>
          </cell>
          <cell r="M6584">
            <v>10</v>
          </cell>
          <cell r="R6584">
            <v>45810</v>
          </cell>
          <cell r="S6584">
            <v>223001</v>
          </cell>
        </row>
        <row r="6585">
          <cell r="K6585" t="str">
            <v>227012</v>
          </cell>
          <cell r="M6585">
            <v>2</v>
          </cell>
          <cell r="R6585">
            <v>45810</v>
          </cell>
          <cell r="S6585">
            <v>227012</v>
          </cell>
        </row>
        <row r="6586">
          <cell r="K6586" t="str">
            <v>209022</v>
          </cell>
          <cell r="M6586">
            <v>3</v>
          </cell>
          <cell r="R6586">
            <v>45810</v>
          </cell>
          <cell r="S6586">
            <v>209022</v>
          </cell>
        </row>
        <row r="6587">
          <cell r="K6587" t="str">
            <v>209001</v>
          </cell>
          <cell r="M6587">
            <v>2</v>
          </cell>
          <cell r="R6587">
            <v>45810</v>
          </cell>
          <cell r="S6587">
            <v>209001</v>
          </cell>
        </row>
        <row r="6588">
          <cell r="K6588" t="str">
            <v>213002</v>
          </cell>
          <cell r="M6588">
            <v>6</v>
          </cell>
          <cell r="R6588">
            <v>45810</v>
          </cell>
          <cell r="S6588">
            <v>213002</v>
          </cell>
        </row>
        <row r="6589">
          <cell r="K6589" t="str">
            <v>213003</v>
          </cell>
          <cell r="M6589">
            <v>5</v>
          </cell>
          <cell r="R6589">
            <v>45810</v>
          </cell>
          <cell r="S6589">
            <v>213003</v>
          </cell>
        </row>
        <row r="6590">
          <cell r="K6590" t="str">
            <v>213003</v>
          </cell>
          <cell r="M6590">
            <v>1</v>
          </cell>
          <cell r="R6590">
            <v>45810</v>
          </cell>
          <cell r="S6590">
            <v>213003</v>
          </cell>
        </row>
        <row r="6591">
          <cell r="K6591" t="str">
            <v>213003</v>
          </cell>
          <cell r="M6591">
            <v>1</v>
          </cell>
          <cell r="R6591">
            <v>45810</v>
          </cell>
          <cell r="S6591">
            <v>213003</v>
          </cell>
        </row>
        <row r="6592">
          <cell r="K6592" t="str">
            <v>213002</v>
          </cell>
          <cell r="M6592">
            <v>1</v>
          </cell>
          <cell r="R6592">
            <v>45810</v>
          </cell>
          <cell r="S6592">
            <v>213002</v>
          </cell>
        </row>
        <row r="6593">
          <cell r="K6593" t="str">
            <v>207017</v>
          </cell>
          <cell r="M6593">
            <v>1</v>
          </cell>
          <cell r="R6593">
            <v>45810</v>
          </cell>
          <cell r="S6593">
            <v>207017</v>
          </cell>
        </row>
        <row r="6594">
          <cell r="K6594" t="str">
            <v>213002</v>
          </cell>
          <cell r="M6594">
            <v>1</v>
          </cell>
          <cell r="R6594">
            <v>45810</v>
          </cell>
          <cell r="S6594">
            <v>213002</v>
          </cell>
        </row>
        <row r="6595">
          <cell r="K6595" t="str">
            <v>213002</v>
          </cell>
          <cell r="M6595">
            <v>3</v>
          </cell>
          <cell r="R6595">
            <v>45810</v>
          </cell>
          <cell r="S6595">
            <v>213002</v>
          </cell>
        </row>
        <row r="6596">
          <cell r="K6596" t="str">
            <v>226001</v>
          </cell>
          <cell r="M6596">
            <v>2</v>
          </cell>
          <cell r="R6596">
            <v>45810</v>
          </cell>
          <cell r="S6596">
            <v>226001</v>
          </cell>
        </row>
        <row r="6597">
          <cell r="K6597" t="str">
            <v>201021</v>
          </cell>
          <cell r="M6597">
            <v>2</v>
          </cell>
          <cell r="R6597">
            <v>45810</v>
          </cell>
          <cell r="S6597">
            <v>201021</v>
          </cell>
        </row>
        <row r="6598">
          <cell r="K6598" t="str">
            <v>231010</v>
          </cell>
          <cell r="M6598">
            <v>1</v>
          </cell>
          <cell r="R6598">
            <v>45810</v>
          </cell>
          <cell r="S6598">
            <v>231010</v>
          </cell>
        </row>
        <row r="6599">
          <cell r="K6599" t="str">
            <v>223002</v>
          </cell>
          <cell r="M6599">
            <v>1</v>
          </cell>
          <cell r="R6599">
            <v>45810</v>
          </cell>
          <cell r="S6599">
            <v>223002</v>
          </cell>
        </row>
        <row r="6600">
          <cell r="K6600" t="str">
            <v>213002</v>
          </cell>
          <cell r="M6600">
            <v>1</v>
          </cell>
          <cell r="R6600">
            <v>45810</v>
          </cell>
          <cell r="S6600">
            <v>213002</v>
          </cell>
        </row>
        <row r="6601">
          <cell r="K6601" t="str">
            <v>223001</v>
          </cell>
          <cell r="M6601">
            <v>2</v>
          </cell>
          <cell r="R6601">
            <v>45810</v>
          </cell>
          <cell r="S6601">
            <v>223001</v>
          </cell>
        </row>
        <row r="6602">
          <cell r="K6602" t="str">
            <v>203003</v>
          </cell>
          <cell r="M6602">
            <v>1</v>
          </cell>
          <cell r="R6602">
            <v>45810</v>
          </cell>
          <cell r="S6602">
            <v>203003</v>
          </cell>
        </row>
        <row r="6603">
          <cell r="K6603" t="str">
            <v>241001</v>
          </cell>
          <cell r="M6603">
            <v>1</v>
          </cell>
          <cell r="R6603">
            <v>45810</v>
          </cell>
          <cell r="S6603">
            <v>241001</v>
          </cell>
        </row>
        <row r="6604">
          <cell r="K6604" t="str">
            <v>226001</v>
          </cell>
          <cell r="M6604">
            <v>1</v>
          </cell>
          <cell r="R6604">
            <v>45810</v>
          </cell>
          <cell r="S6604">
            <v>226001</v>
          </cell>
        </row>
        <row r="6605">
          <cell r="K6605" t="str">
            <v>226001</v>
          </cell>
          <cell r="M6605">
            <v>2</v>
          </cell>
          <cell r="R6605">
            <v>45810</v>
          </cell>
          <cell r="S6605">
            <v>226001</v>
          </cell>
        </row>
        <row r="6606">
          <cell r="K6606" t="str">
            <v>226001</v>
          </cell>
          <cell r="M6606">
            <v>1</v>
          </cell>
          <cell r="R6606">
            <v>45810</v>
          </cell>
          <cell r="S6606">
            <v>226001</v>
          </cell>
        </row>
        <row r="6607">
          <cell r="K6607" t="str">
            <v>213024</v>
          </cell>
          <cell r="M6607">
            <v>40</v>
          </cell>
          <cell r="R6607">
            <v>45810</v>
          </cell>
          <cell r="S6607">
            <v>213024</v>
          </cell>
        </row>
        <row r="6608">
          <cell r="K6608" t="str">
            <v>229001</v>
          </cell>
          <cell r="M6608">
            <v>1</v>
          </cell>
          <cell r="R6608">
            <v>45810</v>
          </cell>
          <cell r="S6608">
            <v>229001</v>
          </cell>
        </row>
        <row r="6609">
          <cell r="K6609" t="str">
            <v>203001</v>
          </cell>
          <cell r="M6609">
            <v>1</v>
          </cell>
          <cell r="R6609">
            <v>45810</v>
          </cell>
          <cell r="S6609">
            <v>203001</v>
          </cell>
        </row>
        <row r="6610">
          <cell r="K6610" t="str">
            <v>201003</v>
          </cell>
          <cell r="M6610">
            <v>1</v>
          </cell>
          <cell r="R6610">
            <v>45810</v>
          </cell>
          <cell r="S6610">
            <v>201003</v>
          </cell>
        </row>
        <row r="6611">
          <cell r="K6611" t="str">
            <v>203003</v>
          </cell>
          <cell r="M6611">
            <v>2</v>
          </cell>
          <cell r="R6611">
            <v>45810</v>
          </cell>
          <cell r="S6611">
            <v>203003</v>
          </cell>
        </row>
        <row r="6612">
          <cell r="K6612" t="str">
            <v>217018</v>
          </cell>
          <cell r="M6612">
            <v>1</v>
          </cell>
          <cell r="R6612">
            <v>45810</v>
          </cell>
          <cell r="S6612">
            <v>217018</v>
          </cell>
        </row>
        <row r="6613">
          <cell r="K6613" t="str">
            <v>231010</v>
          </cell>
          <cell r="M6613">
            <v>1</v>
          </cell>
          <cell r="R6613">
            <v>45810</v>
          </cell>
          <cell r="S6613">
            <v>231010</v>
          </cell>
        </row>
        <row r="6614">
          <cell r="K6614" t="str">
            <v>228001</v>
          </cell>
          <cell r="M6614">
            <v>1</v>
          </cell>
          <cell r="R6614">
            <v>45810</v>
          </cell>
          <cell r="S6614">
            <v>228001</v>
          </cell>
        </row>
        <row r="6615">
          <cell r="K6615" t="str">
            <v>231010</v>
          </cell>
          <cell r="M6615">
            <v>1</v>
          </cell>
          <cell r="R6615">
            <v>45810</v>
          </cell>
          <cell r="S6615">
            <v>231010</v>
          </cell>
        </row>
        <row r="6616">
          <cell r="K6616" t="str">
            <v>213003</v>
          </cell>
          <cell r="M6616">
            <v>1</v>
          </cell>
          <cell r="R6616">
            <v>45810</v>
          </cell>
          <cell r="S6616">
            <v>213003</v>
          </cell>
        </row>
        <row r="6617">
          <cell r="K6617" t="str">
            <v>213003</v>
          </cell>
          <cell r="M6617">
            <v>3</v>
          </cell>
          <cell r="R6617">
            <v>45810</v>
          </cell>
          <cell r="S6617">
            <v>213003</v>
          </cell>
        </row>
        <row r="6618">
          <cell r="K6618" t="str">
            <v>231010</v>
          </cell>
          <cell r="M6618">
            <v>4</v>
          </cell>
          <cell r="R6618">
            <v>45810</v>
          </cell>
          <cell r="S6618">
            <v>231010</v>
          </cell>
        </row>
        <row r="6619">
          <cell r="K6619" t="str">
            <v>234001</v>
          </cell>
          <cell r="M6619">
            <v>1</v>
          </cell>
          <cell r="R6619">
            <v>45810</v>
          </cell>
          <cell r="S6619">
            <v>234001</v>
          </cell>
        </row>
        <row r="6620">
          <cell r="K6620" t="str">
            <v>205004</v>
          </cell>
          <cell r="M6620">
            <v>1</v>
          </cell>
          <cell r="R6620">
            <v>45810</v>
          </cell>
          <cell r="S6620">
            <v>205004</v>
          </cell>
        </row>
        <row r="6621">
          <cell r="K6621" t="str">
            <v>223001</v>
          </cell>
          <cell r="M6621">
            <v>3</v>
          </cell>
          <cell r="R6621">
            <v>45810</v>
          </cell>
          <cell r="S6621">
            <v>223001</v>
          </cell>
        </row>
        <row r="6622">
          <cell r="K6622" t="str">
            <v>201022</v>
          </cell>
          <cell r="M6622">
            <v>1</v>
          </cell>
          <cell r="R6622">
            <v>45810</v>
          </cell>
          <cell r="S6622">
            <v>201022</v>
          </cell>
        </row>
        <row r="6623">
          <cell r="K6623" t="str">
            <v>213024</v>
          </cell>
          <cell r="M6623">
            <v>4</v>
          </cell>
          <cell r="R6623">
            <v>45810</v>
          </cell>
          <cell r="S6623">
            <v>213024</v>
          </cell>
        </row>
        <row r="6624">
          <cell r="K6624" t="str">
            <v>207017</v>
          </cell>
          <cell r="M6624">
            <v>1</v>
          </cell>
          <cell r="R6624">
            <v>45810</v>
          </cell>
          <cell r="S6624">
            <v>207017</v>
          </cell>
        </row>
        <row r="6625">
          <cell r="K6625" t="str">
            <v>231010</v>
          </cell>
          <cell r="M6625">
            <v>1</v>
          </cell>
          <cell r="R6625">
            <v>45810</v>
          </cell>
          <cell r="S6625">
            <v>231010</v>
          </cell>
        </row>
        <row r="6626">
          <cell r="K6626" t="str">
            <v>227012</v>
          </cell>
          <cell r="M6626">
            <v>1</v>
          </cell>
          <cell r="R6626">
            <v>45810</v>
          </cell>
          <cell r="S6626">
            <v>227012</v>
          </cell>
        </row>
        <row r="6627">
          <cell r="K6627" t="str">
            <v>226001</v>
          </cell>
          <cell r="M6627">
            <v>1</v>
          </cell>
          <cell r="R6627">
            <v>45810</v>
          </cell>
          <cell r="S6627">
            <v>226001</v>
          </cell>
        </row>
        <row r="6628">
          <cell r="K6628" t="str">
            <v>228001</v>
          </cell>
          <cell r="M6628">
            <v>2</v>
          </cell>
          <cell r="R6628">
            <v>45811</v>
          </cell>
          <cell r="S6628">
            <v>228001</v>
          </cell>
        </row>
        <row r="6629">
          <cell r="K6629" t="str">
            <v>228001</v>
          </cell>
          <cell r="M6629">
            <v>4</v>
          </cell>
          <cell r="R6629">
            <v>45810</v>
          </cell>
          <cell r="S6629">
            <v>228001</v>
          </cell>
        </row>
        <row r="6630">
          <cell r="K6630" t="str">
            <v>203001</v>
          </cell>
          <cell r="M6630">
            <v>4</v>
          </cell>
          <cell r="R6630">
            <v>45810</v>
          </cell>
          <cell r="S6630">
            <v>203001</v>
          </cell>
        </row>
        <row r="6631">
          <cell r="K6631" t="str">
            <v>223001</v>
          </cell>
          <cell r="M6631">
            <v>5</v>
          </cell>
          <cell r="R6631">
            <v>45810</v>
          </cell>
          <cell r="S6631">
            <v>223001</v>
          </cell>
        </row>
        <row r="6632">
          <cell r="K6632" t="str">
            <v>223002</v>
          </cell>
          <cell r="M6632">
            <v>2</v>
          </cell>
          <cell r="R6632">
            <v>45810</v>
          </cell>
          <cell r="S6632">
            <v>223002</v>
          </cell>
        </row>
        <row r="6633">
          <cell r="K6633" t="str">
            <v>227012</v>
          </cell>
          <cell r="M6633">
            <v>1</v>
          </cell>
          <cell r="R6633">
            <v>45810</v>
          </cell>
          <cell r="S6633">
            <v>227012</v>
          </cell>
        </row>
        <row r="6634">
          <cell r="K6634" t="str">
            <v>217020</v>
          </cell>
          <cell r="M6634">
            <v>15</v>
          </cell>
          <cell r="R6634">
            <v>45810</v>
          </cell>
          <cell r="S6634">
            <v>217020</v>
          </cell>
        </row>
        <row r="6635">
          <cell r="K6635" t="str">
            <v>210014</v>
          </cell>
          <cell r="M6635">
            <v>10</v>
          </cell>
          <cell r="R6635">
            <v>45810</v>
          </cell>
          <cell r="S6635">
            <v>210014</v>
          </cell>
        </row>
        <row r="6636">
          <cell r="K6636" t="str">
            <v>227012</v>
          </cell>
          <cell r="M6636">
            <v>3</v>
          </cell>
          <cell r="R6636">
            <v>45810</v>
          </cell>
          <cell r="S6636">
            <v>227012</v>
          </cell>
        </row>
        <row r="6637">
          <cell r="K6637" t="str">
            <v>223001</v>
          </cell>
          <cell r="M6637">
            <v>12</v>
          </cell>
          <cell r="R6637">
            <v>45810</v>
          </cell>
          <cell r="S6637">
            <v>223001</v>
          </cell>
        </row>
        <row r="6638">
          <cell r="K6638" t="str">
            <v>201002</v>
          </cell>
          <cell r="M6638">
            <v>1</v>
          </cell>
          <cell r="R6638">
            <v>45810</v>
          </cell>
          <cell r="S6638">
            <v>201002</v>
          </cell>
        </row>
        <row r="6639">
          <cell r="K6639" t="str">
            <v>226023</v>
          </cell>
          <cell r="M6639">
            <v>2</v>
          </cell>
          <cell r="R6639">
            <v>45810</v>
          </cell>
          <cell r="S6639">
            <v>226023</v>
          </cell>
        </row>
        <row r="6640">
          <cell r="K6640" t="str">
            <v>226028</v>
          </cell>
          <cell r="M6640">
            <v>1</v>
          </cell>
          <cell r="R6640">
            <v>45810</v>
          </cell>
          <cell r="S6640">
            <v>226028</v>
          </cell>
        </row>
        <row r="6641">
          <cell r="K6641" t="str">
            <v>201003</v>
          </cell>
          <cell r="M6641">
            <v>1</v>
          </cell>
          <cell r="R6641">
            <v>45810</v>
          </cell>
          <cell r="S6641">
            <v>201003</v>
          </cell>
        </row>
        <row r="6642">
          <cell r="K6642" t="str">
            <v>207017</v>
          </cell>
          <cell r="M6642">
            <v>1</v>
          </cell>
          <cell r="R6642">
            <v>45810</v>
          </cell>
          <cell r="S6642">
            <v>207017</v>
          </cell>
        </row>
        <row r="6643">
          <cell r="K6643" t="str">
            <v>223001</v>
          </cell>
          <cell r="M6643">
            <v>1</v>
          </cell>
          <cell r="R6643">
            <v>45810</v>
          </cell>
          <cell r="S6643">
            <v>223001</v>
          </cell>
        </row>
        <row r="6644">
          <cell r="K6644" t="str">
            <v>217018</v>
          </cell>
          <cell r="M6644">
            <v>2</v>
          </cell>
          <cell r="R6644">
            <v>45810</v>
          </cell>
          <cell r="S6644">
            <v>217018</v>
          </cell>
        </row>
        <row r="6645">
          <cell r="K6645" t="str">
            <v>213002</v>
          </cell>
          <cell r="M6645">
            <v>3</v>
          </cell>
          <cell r="R6645">
            <v>45810</v>
          </cell>
          <cell r="S6645">
            <v>213002</v>
          </cell>
        </row>
        <row r="6646">
          <cell r="K6646" t="str">
            <v>203001</v>
          </cell>
          <cell r="M6646">
            <v>4</v>
          </cell>
          <cell r="R6646">
            <v>45810</v>
          </cell>
          <cell r="S6646">
            <v>203001</v>
          </cell>
        </row>
        <row r="6647">
          <cell r="K6647" t="str">
            <v>201003</v>
          </cell>
          <cell r="M6647">
            <v>1</v>
          </cell>
          <cell r="R6647">
            <v>45810</v>
          </cell>
          <cell r="S6647">
            <v>201003</v>
          </cell>
        </row>
        <row r="6648">
          <cell r="K6648" t="str">
            <v>207017</v>
          </cell>
          <cell r="M6648">
            <v>1</v>
          </cell>
          <cell r="R6648">
            <v>45810</v>
          </cell>
          <cell r="S6648">
            <v>207017</v>
          </cell>
        </row>
        <row r="6649">
          <cell r="K6649" t="str">
            <v>212002</v>
          </cell>
          <cell r="M6649">
            <v>1</v>
          </cell>
          <cell r="R6649">
            <v>45810</v>
          </cell>
          <cell r="S6649">
            <v>212002</v>
          </cell>
        </row>
        <row r="6650">
          <cell r="K6650" t="str">
            <v>223001</v>
          </cell>
          <cell r="M6650">
            <v>1</v>
          </cell>
          <cell r="R6650">
            <v>45810</v>
          </cell>
          <cell r="S6650">
            <v>223001</v>
          </cell>
        </row>
        <row r="6651">
          <cell r="K6651" t="str">
            <v>228001</v>
          </cell>
          <cell r="M6651">
            <v>1</v>
          </cell>
          <cell r="R6651">
            <v>45810</v>
          </cell>
          <cell r="S6651">
            <v>228001</v>
          </cell>
        </row>
        <row r="6652">
          <cell r="K6652" t="str">
            <v>222001</v>
          </cell>
          <cell r="M6652">
            <v>3</v>
          </cell>
          <cell r="R6652">
            <v>45810</v>
          </cell>
          <cell r="S6652">
            <v>222001</v>
          </cell>
        </row>
        <row r="6653">
          <cell r="K6653" t="str">
            <v>212019</v>
          </cell>
          <cell r="M6653">
            <v>1</v>
          </cell>
          <cell r="R6653">
            <v>45810</v>
          </cell>
          <cell r="S6653">
            <v>212019</v>
          </cell>
        </row>
        <row r="6654">
          <cell r="K6654" t="str">
            <v>241001</v>
          </cell>
          <cell r="M6654">
            <v>4</v>
          </cell>
          <cell r="R6654">
            <v>45810</v>
          </cell>
          <cell r="S6654">
            <v>241001</v>
          </cell>
        </row>
        <row r="6655">
          <cell r="K6655" t="str">
            <v>217020</v>
          </cell>
          <cell r="M6655">
            <v>1</v>
          </cell>
          <cell r="R6655">
            <v>45810</v>
          </cell>
          <cell r="S6655">
            <v>217020</v>
          </cell>
        </row>
        <row r="6656">
          <cell r="K6656" t="str">
            <v>228001</v>
          </cell>
          <cell r="M6656">
            <v>1</v>
          </cell>
          <cell r="R6656">
            <v>45810</v>
          </cell>
          <cell r="S6656">
            <v>228001</v>
          </cell>
        </row>
        <row r="6657">
          <cell r="K6657" t="str">
            <v>203003</v>
          </cell>
          <cell r="M6657">
            <v>2</v>
          </cell>
          <cell r="R6657">
            <v>45810</v>
          </cell>
          <cell r="S6657">
            <v>203003</v>
          </cell>
        </row>
        <row r="6658">
          <cell r="K6658" t="str">
            <v>241001</v>
          </cell>
          <cell r="M6658">
            <v>1</v>
          </cell>
          <cell r="R6658">
            <v>45810</v>
          </cell>
          <cell r="S6658">
            <v>241001</v>
          </cell>
        </row>
        <row r="6659">
          <cell r="K6659" t="str">
            <v>223001</v>
          </cell>
          <cell r="M6659">
            <v>2</v>
          </cell>
          <cell r="R6659">
            <v>45810</v>
          </cell>
          <cell r="S6659">
            <v>223001</v>
          </cell>
        </row>
        <row r="6660">
          <cell r="K6660" t="str">
            <v>223017</v>
          </cell>
          <cell r="M6660">
            <v>3</v>
          </cell>
          <cell r="R6660">
            <v>45810</v>
          </cell>
          <cell r="S6660">
            <v>223017</v>
          </cell>
        </row>
        <row r="6661">
          <cell r="K6661" t="str">
            <v>201003</v>
          </cell>
          <cell r="M6661">
            <v>4</v>
          </cell>
          <cell r="R6661">
            <v>45810</v>
          </cell>
          <cell r="S6661">
            <v>201003</v>
          </cell>
        </row>
        <row r="6662">
          <cell r="K6662" t="str">
            <v>241001</v>
          </cell>
          <cell r="M6662">
            <v>1</v>
          </cell>
          <cell r="R6662">
            <v>45810</v>
          </cell>
          <cell r="S6662">
            <v>241001</v>
          </cell>
        </row>
        <row r="6663">
          <cell r="K6663" t="str">
            <v>240005</v>
          </cell>
          <cell r="M6663">
            <v>1</v>
          </cell>
          <cell r="R6663">
            <v>45810</v>
          </cell>
          <cell r="S6663">
            <v>240005</v>
          </cell>
        </row>
        <row r="6664">
          <cell r="K6664" t="str">
            <v>271002</v>
          </cell>
          <cell r="M6664">
            <v>1</v>
          </cell>
          <cell r="R6664">
            <v>45810</v>
          </cell>
          <cell r="S6664">
            <v>271002</v>
          </cell>
        </row>
        <row r="6665">
          <cell r="K6665" t="str">
            <v>234001</v>
          </cell>
          <cell r="M6665">
            <v>1</v>
          </cell>
          <cell r="R6665">
            <v>45810</v>
          </cell>
          <cell r="S6665">
            <v>234001</v>
          </cell>
        </row>
        <row r="6666">
          <cell r="K6666" t="str">
            <v>206003</v>
          </cell>
          <cell r="M6666">
            <v>1</v>
          </cell>
          <cell r="R6666">
            <v>45810</v>
          </cell>
          <cell r="S6666">
            <v>206003</v>
          </cell>
        </row>
        <row r="6667">
          <cell r="K6667" t="str">
            <v>227012</v>
          </cell>
          <cell r="M6667">
            <v>1</v>
          </cell>
          <cell r="R6667">
            <v>45810</v>
          </cell>
          <cell r="S6667">
            <v>227012</v>
          </cell>
        </row>
        <row r="6668">
          <cell r="K6668" t="str">
            <v>228001</v>
          </cell>
          <cell r="M6668">
            <v>3</v>
          </cell>
          <cell r="R6668">
            <v>45811</v>
          </cell>
          <cell r="S6668">
            <v>228001</v>
          </cell>
        </row>
        <row r="6669">
          <cell r="K6669" t="str">
            <v>217018</v>
          </cell>
          <cell r="M6669">
            <v>1</v>
          </cell>
          <cell r="R6669">
            <v>45811</v>
          </cell>
          <cell r="S6669">
            <v>217018</v>
          </cell>
        </row>
        <row r="6670">
          <cell r="K6670" t="str">
            <v>228001</v>
          </cell>
          <cell r="M6670">
            <v>5</v>
          </cell>
          <cell r="R6670">
            <v>45811</v>
          </cell>
          <cell r="S6670">
            <v>228001</v>
          </cell>
        </row>
        <row r="6671">
          <cell r="K6671" t="str">
            <v>217018</v>
          </cell>
          <cell r="M6671">
            <v>1</v>
          </cell>
          <cell r="R6671">
            <v>45811</v>
          </cell>
          <cell r="S6671">
            <v>217018</v>
          </cell>
        </row>
        <row r="6672">
          <cell r="K6672" t="str">
            <v>228001</v>
          </cell>
          <cell r="M6672">
            <v>5</v>
          </cell>
          <cell r="R6672">
            <v>45811</v>
          </cell>
          <cell r="S6672">
            <v>228001</v>
          </cell>
        </row>
        <row r="6673">
          <cell r="K6673" t="str">
            <v>217018</v>
          </cell>
          <cell r="M6673">
            <v>1</v>
          </cell>
          <cell r="R6673">
            <v>45811</v>
          </cell>
          <cell r="S6673">
            <v>217018</v>
          </cell>
        </row>
        <row r="6674">
          <cell r="K6674" t="str">
            <v>228001</v>
          </cell>
          <cell r="M6674">
            <v>4</v>
          </cell>
          <cell r="R6674">
            <v>45811</v>
          </cell>
          <cell r="S6674">
            <v>228001</v>
          </cell>
        </row>
        <row r="6675">
          <cell r="K6675" t="str">
            <v>227012</v>
          </cell>
          <cell r="M6675">
            <v>1</v>
          </cell>
          <cell r="R6675">
            <v>45811</v>
          </cell>
          <cell r="S6675">
            <v>227012</v>
          </cell>
        </row>
        <row r="6676">
          <cell r="K6676" t="str">
            <v>213003</v>
          </cell>
          <cell r="M6676">
            <v>1</v>
          </cell>
          <cell r="R6676">
            <v>45811</v>
          </cell>
          <cell r="S6676">
            <v>213003</v>
          </cell>
        </row>
        <row r="6677">
          <cell r="K6677" t="str">
            <v>217002</v>
          </cell>
          <cell r="M6677">
            <v>16</v>
          </cell>
          <cell r="R6677">
            <v>45810</v>
          </cell>
          <cell r="S6677">
            <v>217002</v>
          </cell>
        </row>
        <row r="6678">
          <cell r="K6678" t="str">
            <v>217019</v>
          </cell>
          <cell r="M6678">
            <v>2</v>
          </cell>
          <cell r="R6678">
            <v>45811</v>
          </cell>
          <cell r="S6678">
            <v>217019</v>
          </cell>
        </row>
        <row r="6679">
          <cell r="K6679" t="str">
            <v>213003</v>
          </cell>
          <cell r="M6679">
            <v>2</v>
          </cell>
          <cell r="R6679">
            <v>45811</v>
          </cell>
          <cell r="S6679">
            <v>213003</v>
          </cell>
        </row>
        <row r="6680">
          <cell r="K6680" t="str">
            <v>213003</v>
          </cell>
          <cell r="M6680">
            <v>2</v>
          </cell>
          <cell r="R6680">
            <v>45810</v>
          </cell>
          <cell r="S6680">
            <v>213003</v>
          </cell>
        </row>
        <row r="6681">
          <cell r="K6681" t="str">
            <v>227012</v>
          </cell>
          <cell r="M6681">
            <v>2</v>
          </cell>
          <cell r="R6681">
            <v>45811</v>
          </cell>
          <cell r="S6681">
            <v>227012</v>
          </cell>
        </row>
        <row r="6682">
          <cell r="K6682" t="str">
            <v>227012</v>
          </cell>
          <cell r="M6682">
            <v>1</v>
          </cell>
          <cell r="R6682">
            <v>45811</v>
          </cell>
          <cell r="S6682">
            <v>227012</v>
          </cell>
        </row>
        <row r="6683">
          <cell r="K6683" t="str">
            <v>227012</v>
          </cell>
          <cell r="M6683">
            <v>1</v>
          </cell>
          <cell r="R6683">
            <v>45811</v>
          </cell>
          <cell r="S6683">
            <v>227012</v>
          </cell>
        </row>
        <row r="6684">
          <cell r="K6684" t="str">
            <v>241001</v>
          </cell>
          <cell r="M6684">
            <v>3</v>
          </cell>
          <cell r="R6684">
            <v>45811</v>
          </cell>
          <cell r="S6684">
            <v>241001</v>
          </cell>
        </row>
        <row r="6685">
          <cell r="K6685" t="str">
            <v>222002</v>
          </cell>
          <cell r="M6685">
            <v>1</v>
          </cell>
          <cell r="R6685">
            <v>45811</v>
          </cell>
          <cell r="S6685">
            <v>222002</v>
          </cell>
        </row>
        <row r="6686">
          <cell r="K6686" t="str">
            <v>213003</v>
          </cell>
          <cell r="M6686">
            <v>3</v>
          </cell>
          <cell r="R6686">
            <v>45811</v>
          </cell>
          <cell r="S6686">
            <v>213003</v>
          </cell>
        </row>
        <row r="6687">
          <cell r="K6687" t="str">
            <v>226001</v>
          </cell>
          <cell r="M6687">
            <v>1</v>
          </cell>
          <cell r="R6687">
            <v>45812</v>
          </cell>
          <cell r="S6687">
            <v>226001</v>
          </cell>
        </row>
        <row r="6688">
          <cell r="K6688" t="str">
            <v>223001</v>
          </cell>
          <cell r="M6688">
            <v>6</v>
          </cell>
          <cell r="R6688">
            <v>45812</v>
          </cell>
          <cell r="S6688">
            <v>223001</v>
          </cell>
        </row>
        <row r="6689">
          <cell r="K6689" t="str">
            <v>203001</v>
          </cell>
          <cell r="M6689">
            <v>1</v>
          </cell>
          <cell r="R6689">
            <v>45812</v>
          </cell>
          <cell r="S6689">
            <v>203001</v>
          </cell>
        </row>
        <row r="6690">
          <cell r="K6690" t="str">
            <v>201021</v>
          </cell>
          <cell r="M6690">
            <v>10</v>
          </cell>
          <cell r="R6690">
            <v>45812</v>
          </cell>
          <cell r="S6690">
            <v>201021</v>
          </cell>
        </row>
        <row r="6691">
          <cell r="K6691" t="str">
            <v>241001</v>
          </cell>
          <cell r="M6691">
            <v>3</v>
          </cell>
          <cell r="R6691">
            <v>45811</v>
          </cell>
          <cell r="S6691">
            <v>241001</v>
          </cell>
        </row>
        <row r="6692">
          <cell r="K6692" t="str">
            <v>222002</v>
          </cell>
          <cell r="M6692">
            <v>1</v>
          </cell>
          <cell r="R6692">
            <v>45811</v>
          </cell>
          <cell r="S6692">
            <v>222002</v>
          </cell>
        </row>
        <row r="6693">
          <cell r="K6693" t="str">
            <v>229001</v>
          </cell>
          <cell r="M6693">
            <v>3</v>
          </cell>
          <cell r="R6693">
            <v>45812</v>
          </cell>
          <cell r="S6693">
            <v>229001</v>
          </cell>
        </row>
        <row r="6694">
          <cell r="K6694" t="str">
            <v>228001</v>
          </cell>
          <cell r="M6694">
            <v>3</v>
          </cell>
          <cell r="R6694">
            <v>45812</v>
          </cell>
          <cell r="S6694">
            <v>228001</v>
          </cell>
        </row>
        <row r="6695">
          <cell r="K6695" t="str">
            <v>228001</v>
          </cell>
          <cell r="M6695">
            <v>1</v>
          </cell>
          <cell r="R6695">
            <v>45812</v>
          </cell>
          <cell r="S6695">
            <v>228001</v>
          </cell>
        </row>
        <row r="6696">
          <cell r="K6696" t="str">
            <v>223001</v>
          </cell>
          <cell r="M6696">
            <v>4</v>
          </cell>
          <cell r="R6696">
            <v>45812</v>
          </cell>
          <cell r="S6696">
            <v>223001</v>
          </cell>
        </row>
        <row r="6697">
          <cell r="K6697" t="str">
            <v>223002</v>
          </cell>
          <cell r="M6697">
            <v>4</v>
          </cell>
          <cell r="R6697">
            <v>45812</v>
          </cell>
          <cell r="S6697">
            <v>223002</v>
          </cell>
        </row>
        <row r="6698">
          <cell r="K6698" t="str">
            <v>241001</v>
          </cell>
          <cell r="M6698">
            <v>3</v>
          </cell>
          <cell r="R6698">
            <v>45812</v>
          </cell>
          <cell r="S6698">
            <v>241001</v>
          </cell>
        </row>
        <row r="6699">
          <cell r="K6699" t="str">
            <v>201002</v>
          </cell>
          <cell r="M6699">
            <v>1</v>
          </cell>
          <cell r="R6699">
            <v>45812</v>
          </cell>
          <cell r="S6699">
            <v>201002</v>
          </cell>
        </row>
        <row r="6700">
          <cell r="K6700" t="str">
            <v>231010</v>
          </cell>
          <cell r="M6700">
            <v>1</v>
          </cell>
          <cell r="R6700">
            <v>45812</v>
          </cell>
          <cell r="S6700">
            <v>231010</v>
          </cell>
        </row>
        <row r="6701">
          <cell r="K6701" t="str">
            <v>201003</v>
          </cell>
          <cell r="M6701">
            <v>1</v>
          </cell>
          <cell r="R6701">
            <v>45812</v>
          </cell>
          <cell r="S6701">
            <v>201003</v>
          </cell>
        </row>
        <row r="6702">
          <cell r="K6702" t="str">
            <v>212002</v>
          </cell>
          <cell r="M6702">
            <v>1</v>
          </cell>
          <cell r="R6702">
            <v>45812</v>
          </cell>
          <cell r="S6702">
            <v>212002</v>
          </cell>
        </row>
        <row r="6703">
          <cell r="K6703" t="str">
            <v>231010</v>
          </cell>
          <cell r="M6703">
            <v>1</v>
          </cell>
          <cell r="R6703">
            <v>45812</v>
          </cell>
          <cell r="S6703">
            <v>231010</v>
          </cell>
        </row>
        <row r="6704">
          <cell r="K6704" t="str">
            <v>210010</v>
          </cell>
          <cell r="M6704">
            <v>3</v>
          </cell>
          <cell r="R6704">
            <v>45811</v>
          </cell>
          <cell r="S6704">
            <v>210010</v>
          </cell>
        </row>
        <row r="6705">
          <cell r="K6705" t="str">
            <v>217018</v>
          </cell>
          <cell r="M6705">
            <v>10</v>
          </cell>
          <cell r="R6705">
            <v>45811</v>
          </cell>
          <cell r="S6705">
            <v>217018</v>
          </cell>
        </row>
        <row r="6706">
          <cell r="K6706" t="str">
            <v>213003</v>
          </cell>
          <cell r="M6706">
            <v>8</v>
          </cell>
          <cell r="R6706">
            <v>45811</v>
          </cell>
          <cell r="S6706">
            <v>213003</v>
          </cell>
        </row>
        <row r="6707">
          <cell r="K6707" t="str">
            <v>203003</v>
          </cell>
          <cell r="M6707">
            <v>1</v>
          </cell>
          <cell r="R6707">
            <v>45811</v>
          </cell>
          <cell r="S6707">
            <v>203003</v>
          </cell>
        </row>
        <row r="6708">
          <cell r="K6708" t="str">
            <v>210010</v>
          </cell>
          <cell r="M6708">
            <v>1</v>
          </cell>
          <cell r="R6708">
            <v>45811</v>
          </cell>
          <cell r="S6708">
            <v>210010</v>
          </cell>
        </row>
        <row r="6709">
          <cell r="K6709" t="str">
            <v>213002</v>
          </cell>
          <cell r="M6709">
            <v>10</v>
          </cell>
          <cell r="R6709">
            <v>45811</v>
          </cell>
          <cell r="S6709">
            <v>213002</v>
          </cell>
        </row>
        <row r="6710">
          <cell r="K6710" t="str">
            <v>222002</v>
          </cell>
          <cell r="M6710">
            <v>4</v>
          </cell>
          <cell r="R6710">
            <v>45811</v>
          </cell>
          <cell r="S6710">
            <v>222002</v>
          </cell>
        </row>
        <row r="6711">
          <cell r="K6711" t="str">
            <v>228001</v>
          </cell>
          <cell r="M6711">
            <v>5</v>
          </cell>
          <cell r="R6711">
            <v>45812</v>
          </cell>
          <cell r="S6711">
            <v>228001</v>
          </cell>
        </row>
        <row r="6712">
          <cell r="K6712" t="str">
            <v>210013</v>
          </cell>
          <cell r="M6712">
            <v>1</v>
          </cell>
          <cell r="R6712">
            <v>45812</v>
          </cell>
          <cell r="S6712">
            <v>210013</v>
          </cell>
        </row>
        <row r="6713">
          <cell r="K6713" t="str">
            <v>206005</v>
          </cell>
          <cell r="M6713">
            <v>2</v>
          </cell>
          <cell r="R6713">
            <v>45810</v>
          </cell>
          <cell r="S6713">
            <v>206005</v>
          </cell>
        </row>
        <row r="6714">
          <cell r="K6714" t="str">
            <v>208001</v>
          </cell>
          <cell r="M6714">
            <v>2</v>
          </cell>
          <cell r="R6714">
            <v>45810</v>
          </cell>
          <cell r="S6714">
            <v>208001</v>
          </cell>
        </row>
        <row r="6715">
          <cell r="K6715" t="str">
            <v>203004</v>
          </cell>
          <cell r="M6715">
            <v>2</v>
          </cell>
          <cell r="R6715">
            <v>45810</v>
          </cell>
          <cell r="S6715">
            <v>203004</v>
          </cell>
        </row>
        <row r="6716">
          <cell r="K6716" t="str">
            <v>218003</v>
          </cell>
          <cell r="M6716">
            <v>1</v>
          </cell>
          <cell r="R6716">
            <v>45810</v>
          </cell>
          <cell r="S6716">
            <v>218003</v>
          </cell>
        </row>
        <row r="6717">
          <cell r="K6717" t="str">
            <v>206002</v>
          </cell>
          <cell r="M6717">
            <v>2</v>
          </cell>
          <cell r="R6717">
            <v>45810</v>
          </cell>
          <cell r="S6717">
            <v>206002</v>
          </cell>
        </row>
        <row r="6718">
          <cell r="K6718" t="str">
            <v>206005</v>
          </cell>
          <cell r="M6718">
            <v>1</v>
          </cell>
          <cell r="R6718">
            <v>45810</v>
          </cell>
          <cell r="S6718">
            <v>206005</v>
          </cell>
        </row>
        <row r="6719">
          <cell r="K6719" t="str">
            <v>206002</v>
          </cell>
          <cell r="M6719">
            <v>1</v>
          </cell>
          <cell r="R6719">
            <v>45810</v>
          </cell>
          <cell r="S6719">
            <v>206002</v>
          </cell>
        </row>
        <row r="6720">
          <cell r="K6720" t="str">
            <v>208001</v>
          </cell>
          <cell r="M6720">
            <v>1</v>
          </cell>
          <cell r="R6720">
            <v>45810</v>
          </cell>
          <cell r="S6720">
            <v>208001</v>
          </cell>
        </row>
        <row r="6721">
          <cell r="K6721" t="str">
            <v>229001</v>
          </cell>
          <cell r="M6721">
            <v>15</v>
          </cell>
          <cell r="R6721">
            <v>45812</v>
          </cell>
          <cell r="S6721">
            <v>229001</v>
          </cell>
        </row>
        <row r="6722">
          <cell r="K6722" t="str">
            <v>201011</v>
          </cell>
          <cell r="M6722">
            <v>60</v>
          </cell>
          <cell r="R6722">
            <v>45812</v>
          </cell>
          <cell r="S6722">
            <v>201011</v>
          </cell>
        </row>
        <row r="6723">
          <cell r="K6723" t="str">
            <v>201011</v>
          </cell>
          <cell r="M6723">
            <v>3</v>
          </cell>
          <cell r="R6723">
            <v>45812</v>
          </cell>
          <cell r="S6723">
            <v>201011</v>
          </cell>
        </row>
        <row r="6724">
          <cell r="K6724" t="str">
            <v>217018</v>
          </cell>
          <cell r="M6724">
            <v>3</v>
          </cell>
          <cell r="R6724">
            <v>45812</v>
          </cell>
          <cell r="S6724">
            <v>217018</v>
          </cell>
        </row>
        <row r="6725">
          <cell r="K6725" t="str">
            <v>201011</v>
          </cell>
          <cell r="M6725">
            <v>5</v>
          </cell>
          <cell r="R6725">
            <v>45812</v>
          </cell>
          <cell r="S6725">
            <v>201011</v>
          </cell>
        </row>
        <row r="6726">
          <cell r="K6726" t="str">
            <v>223002</v>
          </cell>
          <cell r="M6726">
            <v>2</v>
          </cell>
          <cell r="R6726">
            <v>45812</v>
          </cell>
          <cell r="S6726">
            <v>223002</v>
          </cell>
        </row>
        <row r="6727">
          <cell r="K6727" t="str">
            <v>228001</v>
          </cell>
          <cell r="M6727">
            <v>10</v>
          </cell>
          <cell r="R6727">
            <v>45812</v>
          </cell>
          <cell r="S6727">
            <v>228001</v>
          </cell>
        </row>
        <row r="6728">
          <cell r="K6728" t="str">
            <v>203001</v>
          </cell>
          <cell r="M6728">
            <v>4</v>
          </cell>
          <cell r="R6728">
            <v>45812</v>
          </cell>
          <cell r="S6728">
            <v>203001</v>
          </cell>
        </row>
        <row r="6729">
          <cell r="K6729" t="str">
            <v>229004</v>
          </cell>
          <cell r="M6729">
            <v>4</v>
          </cell>
          <cell r="R6729">
            <v>45812</v>
          </cell>
          <cell r="S6729">
            <v>229004</v>
          </cell>
        </row>
        <row r="6730">
          <cell r="K6730" t="str">
            <v>201011</v>
          </cell>
          <cell r="M6730">
            <v>1</v>
          </cell>
          <cell r="R6730">
            <v>45812</v>
          </cell>
          <cell r="S6730">
            <v>201011</v>
          </cell>
        </row>
        <row r="6731">
          <cell r="K6731" t="str">
            <v>201011</v>
          </cell>
          <cell r="M6731">
            <v>36</v>
          </cell>
          <cell r="R6731">
            <v>45812</v>
          </cell>
          <cell r="S6731">
            <v>201011</v>
          </cell>
        </row>
        <row r="6732">
          <cell r="K6732" t="str">
            <v>201011</v>
          </cell>
          <cell r="M6732">
            <v>36</v>
          </cell>
          <cell r="R6732">
            <v>45812</v>
          </cell>
          <cell r="S6732">
            <v>201011</v>
          </cell>
        </row>
        <row r="6733">
          <cell r="K6733" t="str">
            <v>226001</v>
          </cell>
          <cell r="M6733">
            <v>3</v>
          </cell>
          <cell r="R6733">
            <v>45812</v>
          </cell>
          <cell r="S6733">
            <v>226001</v>
          </cell>
        </row>
        <row r="6734">
          <cell r="K6734" t="str">
            <v>218002</v>
          </cell>
          <cell r="M6734">
            <v>1</v>
          </cell>
          <cell r="R6734">
            <v>45812</v>
          </cell>
          <cell r="S6734">
            <v>218002</v>
          </cell>
        </row>
        <row r="6735">
          <cell r="K6735" t="str">
            <v>203003</v>
          </cell>
          <cell r="M6735">
            <v>1</v>
          </cell>
          <cell r="R6735">
            <v>45812</v>
          </cell>
          <cell r="S6735">
            <v>203003</v>
          </cell>
        </row>
        <row r="6736">
          <cell r="K6736" t="str">
            <v>226001</v>
          </cell>
          <cell r="M6736">
            <v>2</v>
          </cell>
          <cell r="R6736">
            <v>45812</v>
          </cell>
          <cell r="S6736">
            <v>226001</v>
          </cell>
        </row>
        <row r="6737">
          <cell r="K6737" t="str">
            <v>203003</v>
          </cell>
          <cell r="M6737">
            <v>1</v>
          </cell>
          <cell r="R6737">
            <v>45812</v>
          </cell>
          <cell r="S6737">
            <v>203003</v>
          </cell>
        </row>
        <row r="6738">
          <cell r="K6738" t="str">
            <v>223001</v>
          </cell>
          <cell r="M6738">
            <v>1</v>
          </cell>
          <cell r="R6738">
            <v>45812</v>
          </cell>
          <cell r="S6738">
            <v>223001</v>
          </cell>
        </row>
        <row r="6739">
          <cell r="K6739" t="str">
            <v>213002</v>
          </cell>
          <cell r="M6739">
            <v>3</v>
          </cell>
          <cell r="R6739">
            <v>45812</v>
          </cell>
          <cell r="S6739">
            <v>213002</v>
          </cell>
        </row>
        <row r="6740">
          <cell r="K6740" t="str">
            <v>240005</v>
          </cell>
          <cell r="M6740">
            <v>1</v>
          </cell>
          <cell r="R6740">
            <v>45812</v>
          </cell>
          <cell r="S6740">
            <v>240005</v>
          </cell>
        </row>
        <row r="6741">
          <cell r="K6741" t="str">
            <v>201011</v>
          </cell>
          <cell r="M6741">
            <v>15</v>
          </cell>
          <cell r="R6741">
            <v>45812</v>
          </cell>
          <cell r="S6741">
            <v>201011</v>
          </cell>
        </row>
        <row r="6742">
          <cell r="K6742" t="str">
            <v>228001</v>
          </cell>
          <cell r="M6742">
            <v>4</v>
          </cell>
          <cell r="R6742">
            <v>45812</v>
          </cell>
          <cell r="S6742">
            <v>228001</v>
          </cell>
        </row>
        <row r="6743">
          <cell r="K6743" t="str">
            <v>234001</v>
          </cell>
          <cell r="M6743">
            <v>1</v>
          </cell>
          <cell r="R6743">
            <v>45812</v>
          </cell>
          <cell r="S6743">
            <v>234001</v>
          </cell>
        </row>
        <row r="6744">
          <cell r="K6744" t="str">
            <v>227001</v>
          </cell>
          <cell r="M6744">
            <v>3</v>
          </cell>
          <cell r="R6744">
            <v>45812</v>
          </cell>
          <cell r="S6744">
            <v>227001</v>
          </cell>
        </row>
        <row r="6745">
          <cell r="K6745" t="str">
            <v>209016</v>
          </cell>
          <cell r="M6745">
            <v>4</v>
          </cell>
          <cell r="R6745">
            <v>45812</v>
          </cell>
          <cell r="S6745">
            <v>209016</v>
          </cell>
        </row>
        <row r="6746">
          <cell r="K6746" t="str">
            <v>213003</v>
          </cell>
          <cell r="M6746">
            <v>1</v>
          </cell>
          <cell r="R6746">
            <v>45811</v>
          </cell>
          <cell r="S6746">
            <v>213003</v>
          </cell>
        </row>
        <row r="6747">
          <cell r="K6747" t="str">
            <v>213003</v>
          </cell>
          <cell r="M6747">
            <v>3</v>
          </cell>
          <cell r="R6747">
            <v>45813</v>
          </cell>
          <cell r="S6747">
            <v>213003</v>
          </cell>
        </row>
        <row r="6748">
          <cell r="K6748" t="str">
            <v>213002</v>
          </cell>
          <cell r="M6748">
            <v>1</v>
          </cell>
          <cell r="R6748">
            <v>45813</v>
          </cell>
          <cell r="S6748">
            <v>213002</v>
          </cell>
        </row>
        <row r="6749">
          <cell r="K6749" t="str">
            <v>201011</v>
          </cell>
          <cell r="M6749">
            <v>4</v>
          </cell>
          <cell r="R6749">
            <v>45812</v>
          </cell>
          <cell r="S6749">
            <v>201011</v>
          </cell>
        </row>
        <row r="6750">
          <cell r="K6750" t="str">
            <v>201011</v>
          </cell>
          <cell r="M6750">
            <v>2</v>
          </cell>
          <cell r="R6750">
            <v>45813</v>
          </cell>
          <cell r="S6750">
            <v>201011</v>
          </cell>
        </row>
        <row r="6751">
          <cell r="K6751" t="str">
            <v>209001</v>
          </cell>
          <cell r="M6751">
            <v>3</v>
          </cell>
          <cell r="R6751">
            <v>45813</v>
          </cell>
          <cell r="S6751">
            <v>209001</v>
          </cell>
        </row>
        <row r="6752">
          <cell r="K6752" t="str">
            <v>201011</v>
          </cell>
          <cell r="M6752">
            <v>15</v>
          </cell>
          <cell r="R6752">
            <v>45813</v>
          </cell>
          <cell r="S6752">
            <v>201011</v>
          </cell>
        </row>
        <row r="6753">
          <cell r="K6753" t="str">
            <v>213003</v>
          </cell>
          <cell r="M6753">
            <v>2</v>
          </cell>
          <cell r="R6753">
            <v>45813</v>
          </cell>
          <cell r="S6753">
            <v>213003</v>
          </cell>
        </row>
        <row r="6754">
          <cell r="K6754" t="str">
            <v>213003</v>
          </cell>
          <cell r="M6754">
            <v>80</v>
          </cell>
          <cell r="R6754">
            <v>45812</v>
          </cell>
          <cell r="S6754">
            <v>213003</v>
          </cell>
        </row>
        <row r="6755">
          <cell r="K6755" t="str">
            <v>227001</v>
          </cell>
          <cell r="M6755">
            <v>5</v>
          </cell>
          <cell r="R6755">
            <v>45813</v>
          </cell>
          <cell r="S6755">
            <v>227001</v>
          </cell>
        </row>
        <row r="6756">
          <cell r="K6756" t="str">
            <v>223001</v>
          </cell>
          <cell r="M6756">
            <v>40</v>
          </cell>
          <cell r="R6756">
            <v>45813</v>
          </cell>
          <cell r="S6756">
            <v>223001</v>
          </cell>
        </row>
        <row r="6757">
          <cell r="K6757" t="str">
            <v>223002</v>
          </cell>
          <cell r="M6757">
            <v>10</v>
          </cell>
          <cell r="R6757">
            <v>45813</v>
          </cell>
          <cell r="S6757">
            <v>223002</v>
          </cell>
        </row>
        <row r="6758">
          <cell r="K6758" t="str">
            <v>228001</v>
          </cell>
          <cell r="M6758">
            <v>2</v>
          </cell>
          <cell r="R6758">
            <v>45813</v>
          </cell>
          <cell r="S6758">
            <v>228001</v>
          </cell>
        </row>
        <row r="6759">
          <cell r="K6759" t="str">
            <v>223002</v>
          </cell>
          <cell r="M6759">
            <v>3</v>
          </cell>
          <cell r="R6759">
            <v>45812</v>
          </cell>
          <cell r="S6759">
            <v>223002</v>
          </cell>
        </row>
        <row r="6760">
          <cell r="K6760" t="str">
            <v>223001</v>
          </cell>
          <cell r="M6760">
            <v>1</v>
          </cell>
          <cell r="R6760">
            <v>45812</v>
          </cell>
          <cell r="S6760">
            <v>223001</v>
          </cell>
        </row>
        <row r="6761">
          <cell r="K6761" t="str">
            <v>213002</v>
          </cell>
          <cell r="M6761">
            <v>3</v>
          </cell>
          <cell r="R6761">
            <v>45813</v>
          </cell>
          <cell r="S6761">
            <v>213002</v>
          </cell>
        </row>
        <row r="6762">
          <cell r="K6762" t="str">
            <v>231010</v>
          </cell>
          <cell r="M6762">
            <v>7</v>
          </cell>
          <cell r="R6762">
            <v>45813</v>
          </cell>
          <cell r="S6762">
            <v>231010</v>
          </cell>
        </row>
        <row r="6763">
          <cell r="K6763" t="str">
            <v>223002</v>
          </cell>
          <cell r="M6763">
            <v>3</v>
          </cell>
          <cell r="R6763">
            <v>45813</v>
          </cell>
          <cell r="S6763">
            <v>223002</v>
          </cell>
        </row>
        <row r="6764">
          <cell r="K6764" t="str">
            <v>223002</v>
          </cell>
          <cell r="M6764">
            <v>1</v>
          </cell>
          <cell r="R6764">
            <v>45813</v>
          </cell>
          <cell r="S6764">
            <v>223002</v>
          </cell>
        </row>
        <row r="6765">
          <cell r="K6765" t="str">
            <v>229001</v>
          </cell>
          <cell r="M6765">
            <v>1</v>
          </cell>
          <cell r="R6765">
            <v>45813</v>
          </cell>
          <cell r="S6765">
            <v>229001</v>
          </cell>
        </row>
        <row r="6766">
          <cell r="K6766" t="str">
            <v>241001</v>
          </cell>
          <cell r="M6766">
            <v>1</v>
          </cell>
          <cell r="R6766">
            <v>45813</v>
          </cell>
          <cell r="S6766">
            <v>241001</v>
          </cell>
        </row>
        <row r="6767">
          <cell r="K6767" t="str">
            <v>240005</v>
          </cell>
          <cell r="M6767">
            <v>1</v>
          </cell>
          <cell r="R6767">
            <v>45813</v>
          </cell>
          <cell r="S6767">
            <v>240005</v>
          </cell>
        </row>
        <row r="6768">
          <cell r="K6768" t="str">
            <v>223001</v>
          </cell>
          <cell r="M6768">
            <v>4</v>
          </cell>
          <cell r="R6768">
            <v>45813</v>
          </cell>
          <cell r="S6768">
            <v>223001</v>
          </cell>
        </row>
        <row r="6769">
          <cell r="K6769" t="str">
            <v>201003</v>
          </cell>
          <cell r="M6769">
            <v>3</v>
          </cell>
          <cell r="R6769">
            <v>45813</v>
          </cell>
          <cell r="S6769">
            <v>201003</v>
          </cell>
        </row>
        <row r="6770">
          <cell r="K6770" t="str">
            <v>226001</v>
          </cell>
          <cell r="M6770">
            <v>1</v>
          </cell>
          <cell r="R6770">
            <v>45813</v>
          </cell>
          <cell r="S6770">
            <v>226001</v>
          </cell>
        </row>
        <row r="6771">
          <cell r="K6771" t="str">
            <v>213002</v>
          </cell>
          <cell r="M6771">
            <v>10</v>
          </cell>
          <cell r="R6771">
            <v>45813</v>
          </cell>
          <cell r="S6771">
            <v>213002</v>
          </cell>
        </row>
        <row r="6772">
          <cell r="K6772" t="str">
            <v>231010</v>
          </cell>
          <cell r="M6772">
            <v>1</v>
          </cell>
          <cell r="R6772">
            <v>45813</v>
          </cell>
          <cell r="S6772">
            <v>231010</v>
          </cell>
        </row>
        <row r="6773">
          <cell r="K6773" t="str">
            <v>209022</v>
          </cell>
          <cell r="M6773">
            <v>5</v>
          </cell>
          <cell r="R6773">
            <v>45813</v>
          </cell>
          <cell r="S6773">
            <v>209022</v>
          </cell>
        </row>
        <row r="6774">
          <cell r="K6774" t="str">
            <v>217011</v>
          </cell>
          <cell r="M6774">
            <v>5</v>
          </cell>
          <cell r="R6774">
            <v>45813</v>
          </cell>
          <cell r="S6774">
            <v>217011</v>
          </cell>
        </row>
        <row r="6775">
          <cell r="K6775" t="str">
            <v>201011</v>
          </cell>
          <cell r="M6775">
            <v>3</v>
          </cell>
          <cell r="R6775">
            <v>45813</v>
          </cell>
          <cell r="S6775">
            <v>201011</v>
          </cell>
        </row>
        <row r="6776">
          <cell r="K6776" t="str">
            <v>213003</v>
          </cell>
          <cell r="M6776">
            <v>1</v>
          </cell>
          <cell r="R6776">
            <v>45813</v>
          </cell>
          <cell r="S6776">
            <v>213003</v>
          </cell>
        </row>
        <row r="6777">
          <cell r="K6777" t="str">
            <v>213002</v>
          </cell>
          <cell r="M6777">
            <v>3</v>
          </cell>
          <cell r="R6777">
            <v>45812</v>
          </cell>
          <cell r="S6777">
            <v>213002</v>
          </cell>
        </row>
        <row r="6778">
          <cell r="K6778" t="str">
            <v>213002</v>
          </cell>
          <cell r="M6778">
            <v>12</v>
          </cell>
          <cell r="R6778">
            <v>45813</v>
          </cell>
          <cell r="S6778">
            <v>213002</v>
          </cell>
        </row>
        <row r="6779">
          <cell r="K6779" t="str">
            <v>213003</v>
          </cell>
          <cell r="M6779">
            <v>1</v>
          </cell>
          <cell r="R6779">
            <v>45813</v>
          </cell>
          <cell r="S6779">
            <v>213003</v>
          </cell>
        </row>
        <row r="6780">
          <cell r="K6780" t="str">
            <v>223002</v>
          </cell>
          <cell r="M6780">
            <v>2</v>
          </cell>
          <cell r="R6780">
            <v>45813</v>
          </cell>
          <cell r="S6780">
            <v>223002</v>
          </cell>
        </row>
        <row r="6781">
          <cell r="K6781" t="str">
            <v>213003</v>
          </cell>
          <cell r="M6781">
            <v>1</v>
          </cell>
          <cell r="R6781">
            <v>45813</v>
          </cell>
          <cell r="S6781">
            <v>213003</v>
          </cell>
        </row>
        <row r="6782">
          <cell r="K6782" t="str">
            <v>212035</v>
          </cell>
          <cell r="M6782">
            <v>2</v>
          </cell>
          <cell r="R6782">
            <v>45813</v>
          </cell>
          <cell r="S6782">
            <v>212035</v>
          </cell>
        </row>
        <row r="6783">
          <cell r="K6783" t="str">
            <v>228001</v>
          </cell>
          <cell r="M6783">
            <v>1</v>
          </cell>
          <cell r="R6783">
            <v>45813</v>
          </cell>
          <cell r="S6783">
            <v>228001</v>
          </cell>
        </row>
        <row r="6784">
          <cell r="K6784" t="str">
            <v>213002</v>
          </cell>
          <cell r="M6784">
            <v>20</v>
          </cell>
          <cell r="R6784">
            <v>45813</v>
          </cell>
          <cell r="S6784">
            <v>213002</v>
          </cell>
        </row>
        <row r="6785">
          <cell r="K6785" t="str">
            <v>210002</v>
          </cell>
          <cell r="M6785">
            <v>10</v>
          </cell>
          <cell r="R6785">
            <v>45814</v>
          </cell>
          <cell r="S6785">
            <v>210002</v>
          </cell>
        </row>
        <row r="6786">
          <cell r="K6786" t="str">
            <v>203003</v>
          </cell>
          <cell r="M6786">
            <v>1</v>
          </cell>
          <cell r="R6786">
            <v>45813</v>
          </cell>
          <cell r="S6786">
            <v>203003</v>
          </cell>
        </row>
        <row r="6787">
          <cell r="K6787" t="str">
            <v>213002</v>
          </cell>
          <cell r="M6787">
            <v>1</v>
          </cell>
          <cell r="R6787">
            <v>45813</v>
          </cell>
          <cell r="S6787">
            <v>213002</v>
          </cell>
        </row>
        <row r="6788">
          <cell r="K6788" t="str">
            <v>209001</v>
          </cell>
          <cell r="M6788">
            <v>2</v>
          </cell>
          <cell r="R6788">
            <v>45813</v>
          </cell>
          <cell r="S6788">
            <v>209001</v>
          </cell>
        </row>
        <row r="6789">
          <cell r="K6789" t="str">
            <v>241001</v>
          </cell>
          <cell r="M6789">
            <v>6</v>
          </cell>
          <cell r="R6789">
            <v>45814</v>
          </cell>
          <cell r="S6789">
            <v>241001</v>
          </cell>
        </row>
        <row r="6790">
          <cell r="K6790" t="str">
            <v>241001</v>
          </cell>
          <cell r="M6790">
            <v>1</v>
          </cell>
          <cell r="R6790">
            <v>45813</v>
          </cell>
          <cell r="S6790">
            <v>241001</v>
          </cell>
        </row>
        <row r="6791">
          <cell r="K6791" t="str">
            <v>201002</v>
          </cell>
          <cell r="M6791">
            <v>1</v>
          </cell>
          <cell r="R6791">
            <v>45813</v>
          </cell>
          <cell r="S6791">
            <v>201002</v>
          </cell>
        </row>
        <row r="6792">
          <cell r="K6792" t="str">
            <v>223001</v>
          </cell>
          <cell r="M6792">
            <v>2</v>
          </cell>
          <cell r="R6792">
            <v>45813</v>
          </cell>
          <cell r="S6792">
            <v>223001</v>
          </cell>
        </row>
        <row r="6793">
          <cell r="K6793" t="str">
            <v>231004</v>
          </cell>
          <cell r="M6793">
            <v>1</v>
          </cell>
          <cell r="R6793">
            <v>45813</v>
          </cell>
          <cell r="S6793">
            <v>231004</v>
          </cell>
        </row>
        <row r="6794">
          <cell r="K6794" t="str">
            <v>209001</v>
          </cell>
          <cell r="M6794">
            <v>2</v>
          </cell>
          <cell r="R6794">
            <v>45814</v>
          </cell>
          <cell r="S6794">
            <v>209001</v>
          </cell>
        </row>
        <row r="6795">
          <cell r="K6795" t="str">
            <v>217019</v>
          </cell>
          <cell r="M6795">
            <v>5</v>
          </cell>
          <cell r="R6795">
            <v>45814</v>
          </cell>
          <cell r="S6795">
            <v>217019</v>
          </cell>
        </row>
        <row r="6796">
          <cell r="K6796" t="str">
            <v>228001</v>
          </cell>
          <cell r="M6796">
            <v>1</v>
          </cell>
          <cell r="R6796">
            <v>45814</v>
          </cell>
          <cell r="S6796">
            <v>228001</v>
          </cell>
        </row>
        <row r="6797">
          <cell r="K6797" t="str">
            <v>226025</v>
          </cell>
          <cell r="M6797">
            <v>6</v>
          </cell>
          <cell r="R6797">
            <v>45814</v>
          </cell>
          <cell r="S6797">
            <v>226025</v>
          </cell>
        </row>
        <row r="6798">
          <cell r="K6798" t="str">
            <v>212035</v>
          </cell>
          <cell r="M6798">
            <v>5</v>
          </cell>
          <cell r="R6798">
            <v>45813</v>
          </cell>
          <cell r="S6798">
            <v>212035</v>
          </cell>
        </row>
        <row r="6799">
          <cell r="K6799" t="str">
            <v>231004</v>
          </cell>
          <cell r="M6799">
            <v>2</v>
          </cell>
          <cell r="R6799">
            <v>45813</v>
          </cell>
          <cell r="S6799">
            <v>231004</v>
          </cell>
        </row>
        <row r="6800">
          <cell r="K6800" t="str">
            <v>217002</v>
          </cell>
          <cell r="M6800">
            <v>1</v>
          </cell>
          <cell r="R6800">
            <v>45813</v>
          </cell>
          <cell r="S6800">
            <v>217002</v>
          </cell>
        </row>
        <row r="6801">
          <cell r="K6801" t="str">
            <v>227001</v>
          </cell>
          <cell r="M6801">
            <v>2</v>
          </cell>
          <cell r="R6801">
            <v>45813</v>
          </cell>
          <cell r="S6801">
            <v>227001</v>
          </cell>
        </row>
        <row r="6802">
          <cell r="K6802" t="str">
            <v>222001</v>
          </cell>
          <cell r="M6802">
            <v>5</v>
          </cell>
          <cell r="R6802">
            <v>45814</v>
          </cell>
          <cell r="S6802">
            <v>222001</v>
          </cell>
        </row>
        <row r="6803">
          <cell r="K6803" t="str">
            <v>212019</v>
          </cell>
          <cell r="M6803">
            <v>1</v>
          </cell>
          <cell r="R6803">
            <v>45814</v>
          </cell>
          <cell r="S6803">
            <v>212019</v>
          </cell>
        </row>
        <row r="6804">
          <cell r="K6804" t="str">
            <v>241001</v>
          </cell>
          <cell r="M6804">
            <v>4</v>
          </cell>
          <cell r="R6804">
            <v>45814</v>
          </cell>
          <cell r="S6804">
            <v>241001</v>
          </cell>
        </row>
        <row r="6805">
          <cell r="K6805" t="str">
            <v>213003</v>
          </cell>
          <cell r="M6805">
            <v>2</v>
          </cell>
          <cell r="R6805">
            <v>45813</v>
          </cell>
          <cell r="S6805">
            <v>213003</v>
          </cell>
        </row>
        <row r="6806">
          <cell r="K6806" t="str">
            <v>217019</v>
          </cell>
          <cell r="M6806">
            <v>1</v>
          </cell>
          <cell r="R6806">
            <v>45813</v>
          </cell>
          <cell r="S6806">
            <v>217019</v>
          </cell>
        </row>
        <row r="6807">
          <cell r="K6807" t="str">
            <v>217002</v>
          </cell>
          <cell r="M6807">
            <v>1</v>
          </cell>
          <cell r="R6807">
            <v>45813</v>
          </cell>
          <cell r="S6807">
            <v>217002</v>
          </cell>
        </row>
        <row r="6808">
          <cell r="K6808" t="str">
            <v>202001</v>
          </cell>
          <cell r="M6808">
            <v>1</v>
          </cell>
          <cell r="R6808">
            <v>45813</v>
          </cell>
          <cell r="S6808">
            <v>202001</v>
          </cell>
        </row>
        <row r="6809">
          <cell r="K6809" t="str">
            <v>201022</v>
          </cell>
          <cell r="M6809">
            <v>2</v>
          </cell>
          <cell r="R6809">
            <v>45814</v>
          </cell>
          <cell r="S6809">
            <v>201022</v>
          </cell>
        </row>
        <row r="6810">
          <cell r="K6810" t="str">
            <v>223002</v>
          </cell>
          <cell r="M6810">
            <v>2</v>
          </cell>
          <cell r="R6810">
            <v>45813</v>
          </cell>
          <cell r="S6810">
            <v>223002</v>
          </cell>
        </row>
        <row r="6811">
          <cell r="K6811" t="str">
            <v>231010</v>
          </cell>
          <cell r="M6811">
            <v>1</v>
          </cell>
          <cell r="R6811">
            <v>45813</v>
          </cell>
          <cell r="S6811">
            <v>231010</v>
          </cell>
        </row>
        <row r="6812">
          <cell r="K6812" t="str">
            <v>213003</v>
          </cell>
          <cell r="M6812">
            <v>8</v>
          </cell>
          <cell r="R6812">
            <v>45813</v>
          </cell>
          <cell r="S6812">
            <v>213003</v>
          </cell>
        </row>
        <row r="6813">
          <cell r="K6813" t="str">
            <v>212035</v>
          </cell>
          <cell r="M6813">
            <v>20</v>
          </cell>
          <cell r="R6813">
            <v>45813</v>
          </cell>
          <cell r="S6813">
            <v>212035</v>
          </cell>
        </row>
        <row r="6814">
          <cell r="K6814" t="str">
            <v>217020</v>
          </cell>
          <cell r="M6814">
            <v>1</v>
          </cell>
          <cell r="R6814">
            <v>45813</v>
          </cell>
          <cell r="S6814">
            <v>217020</v>
          </cell>
        </row>
        <row r="6815">
          <cell r="K6815" t="str">
            <v>217002</v>
          </cell>
          <cell r="M6815">
            <v>1</v>
          </cell>
          <cell r="R6815">
            <v>45813</v>
          </cell>
          <cell r="S6815">
            <v>217002</v>
          </cell>
        </row>
        <row r="6816">
          <cell r="K6816" t="str">
            <v>213003</v>
          </cell>
          <cell r="M6816">
            <v>1</v>
          </cell>
          <cell r="R6816">
            <v>45814</v>
          </cell>
          <cell r="S6816">
            <v>213003</v>
          </cell>
        </row>
        <row r="6817">
          <cell r="K6817" t="str">
            <v>231010</v>
          </cell>
          <cell r="M6817">
            <v>1</v>
          </cell>
          <cell r="R6817">
            <v>45813</v>
          </cell>
          <cell r="S6817">
            <v>231010</v>
          </cell>
        </row>
        <row r="6818">
          <cell r="K6818" t="str">
            <v>226001</v>
          </cell>
          <cell r="M6818">
            <v>2</v>
          </cell>
          <cell r="R6818">
            <v>45814</v>
          </cell>
          <cell r="S6818">
            <v>226001</v>
          </cell>
        </row>
        <row r="6819">
          <cell r="K6819" t="str">
            <v>227002</v>
          </cell>
          <cell r="M6819">
            <v>1</v>
          </cell>
          <cell r="R6819">
            <v>45814</v>
          </cell>
          <cell r="S6819">
            <v>227002</v>
          </cell>
        </row>
        <row r="6820">
          <cell r="K6820" t="str">
            <v>213002</v>
          </cell>
          <cell r="M6820">
            <v>2</v>
          </cell>
          <cell r="R6820">
            <v>45814</v>
          </cell>
          <cell r="S6820">
            <v>213002</v>
          </cell>
        </row>
        <row r="6821">
          <cell r="K6821" t="str">
            <v>226001</v>
          </cell>
          <cell r="M6821">
            <v>1</v>
          </cell>
          <cell r="R6821">
            <v>45814</v>
          </cell>
          <cell r="S6821">
            <v>226001</v>
          </cell>
        </row>
        <row r="6822">
          <cell r="K6822" t="str">
            <v>226001</v>
          </cell>
          <cell r="M6822">
            <v>1</v>
          </cell>
          <cell r="R6822">
            <v>45814</v>
          </cell>
          <cell r="S6822">
            <v>226001</v>
          </cell>
        </row>
        <row r="6823">
          <cell r="K6823" t="str">
            <v>213030</v>
          </cell>
          <cell r="M6823">
            <v>3</v>
          </cell>
          <cell r="R6823">
            <v>45814</v>
          </cell>
          <cell r="S6823">
            <v>213030</v>
          </cell>
        </row>
        <row r="6824">
          <cell r="K6824" t="str">
            <v>213024</v>
          </cell>
          <cell r="M6824">
            <v>1</v>
          </cell>
          <cell r="R6824">
            <v>45814</v>
          </cell>
          <cell r="S6824">
            <v>213024</v>
          </cell>
        </row>
        <row r="6825">
          <cell r="K6825" t="str">
            <v>231010</v>
          </cell>
          <cell r="M6825">
            <v>8</v>
          </cell>
          <cell r="R6825">
            <v>45814</v>
          </cell>
          <cell r="S6825">
            <v>231010</v>
          </cell>
        </row>
        <row r="6826">
          <cell r="K6826" t="str">
            <v>237001</v>
          </cell>
          <cell r="M6826">
            <v>3</v>
          </cell>
          <cell r="R6826">
            <v>45815</v>
          </cell>
          <cell r="S6826">
            <v>237001</v>
          </cell>
        </row>
        <row r="6827">
          <cell r="K6827" t="str">
            <v>228001</v>
          </cell>
          <cell r="M6827">
            <v>1</v>
          </cell>
          <cell r="R6827">
            <v>45815</v>
          </cell>
          <cell r="S6827">
            <v>228001</v>
          </cell>
        </row>
        <row r="6828">
          <cell r="K6828" t="str">
            <v>213003</v>
          </cell>
          <cell r="M6828">
            <v>5</v>
          </cell>
          <cell r="R6828">
            <v>45816</v>
          </cell>
          <cell r="S6828">
            <v>213003</v>
          </cell>
        </row>
        <row r="6829">
          <cell r="K6829" t="str">
            <v>265001</v>
          </cell>
          <cell r="M6829">
            <v>1</v>
          </cell>
          <cell r="R6829">
            <v>45814</v>
          </cell>
          <cell r="S6829">
            <v>265001</v>
          </cell>
        </row>
        <row r="6830">
          <cell r="K6830" t="str">
            <v>227002</v>
          </cell>
          <cell r="M6830">
            <v>2</v>
          </cell>
          <cell r="R6830">
            <v>45817</v>
          </cell>
          <cell r="S6830">
            <v>227002</v>
          </cell>
        </row>
        <row r="6831">
          <cell r="K6831" t="str">
            <v>210014</v>
          </cell>
          <cell r="M6831">
            <v>1</v>
          </cell>
          <cell r="R6831">
            <v>45817</v>
          </cell>
          <cell r="S6831">
            <v>210014</v>
          </cell>
        </row>
        <row r="6832">
          <cell r="K6832" t="str">
            <v>236002</v>
          </cell>
          <cell r="M6832">
            <v>1</v>
          </cell>
          <cell r="R6832">
            <v>45817</v>
          </cell>
          <cell r="S6832">
            <v>236002</v>
          </cell>
        </row>
        <row r="6833">
          <cell r="K6833" t="str">
            <v>241001</v>
          </cell>
          <cell r="M6833">
            <v>4</v>
          </cell>
          <cell r="R6833">
            <v>45816</v>
          </cell>
          <cell r="S6833">
            <v>241001</v>
          </cell>
        </row>
        <row r="6834">
          <cell r="K6834" t="str">
            <v>203003</v>
          </cell>
          <cell r="M6834">
            <v>1</v>
          </cell>
          <cell r="R6834">
            <v>45816</v>
          </cell>
          <cell r="S6834">
            <v>203003</v>
          </cell>
        </row>
        <row r="6835">
          <cell r="K6835" t="str">
            <v>209001</v>
          </cell>
          <cell r="M6835">
            <v>1</v>
          </cell>
          <cell r="R6835">
            <v>45817</v>
          </cell>
          <cell r="S6835">
            <v>209001</v>
          </cell>
        </row>
        <row r="6836">
          <cell r="K6836" t="str">
            <v>222003</v>
          </cell>
          <cell r="M6836">
            <v>1</v>
          </cell>
          <cell r="R6836">
            <v>45817</v>
          </cell>
          <cell r="S6836">
            <v>222003</v>
          </cell>
        </row>
        <row r="6837">
          <cell r="K6837" t="str">
            <v>209001</v>
          </cell>
          <cell r="M6837">
            <v>1</v>
          </cell>
          <cell r="R6837">
            <v>45817</v>
          </cell>
          <cell r="S6837">
            <v>209001</v>
          </cell>
        </row>
        <row r="6838">
          <cell r="K6838" t="str">
            <v>223001</v>
          </cell>
          <cell r="M6838">
            <v>4</v>
          </cell>
          <cell r="R6838">
            <v>45816</v>
          </cell>
          <cell r="S6838">
            <v>223001</v>
          </cell>
        </row>
        <row r="6839">
          <cell r="K6839" t="str">
            <v>223002</v>
          </cell>
          <cell r="M6839">
            <v>3</v>
          </cell>
          <cell r="R6839">
            <v>45816</v>
          </cell>
          <cell r="S6839">
            <v>223002</v>
          </cell>
        </row>
        <row r="6840">
          <cell r="K6840" t="str">
            <v>201002</v>
          </cell>
          <cell r="M6840">
            <v>1</v>
          </cell>
          <cell r="R6840">
            <v>45816</v>
          </cell>
          <cell r="S6840">
            <v>201002</v>
          </cell>
        </row>
        <row r="6841">
          <cell r="K6841" t="str">
            <v>203001</v>
          </cell>
          <cell r="M6841">
            <v>2</v>
          </cell>
          <cell r="R6841">
            <v>45816</v>
          </cell>
          <cell r="S6841">
            <v>203001</v>
          </cell>
        </row>
        <row r="6842">
          <cell r="K6842" t="str">
            <v>228001</v>
          </cell>
          <cell r="M6842">
            <v>1</v>
          </cell>
          <cell r="R6842">
            <v>45816</v>
          </cell>
          <cell r="S6842">
            <v>228001</v>
          </cell>
        </row>
        <row r="6843">
          <cell r="K6843" t="str">
            <v>231010</v>
          </cell>
          <cell r="M6843">
            <v>5</v>
          </cell>
          <cell r="R6843">
            <v>45816</v>
          </cell>
          <cell r="S6843">
            <v>231010</v>
          </cell>
        </row>
        <row r="6844">
          <cell r="K6844" t="str">
            <v>201021</v>
          </cell>
          <cell r="M6844">
            <v>1</v>
          </cell>
          <cell r="R6844">
            <v>45816</v>
          </cell>
          <cell r="S6844">
            <v>201021</v>
          </cell>
        </row>
        <row r="6845">
          <cell r="K6845" t="str">
            <v>223002</v>
          </cell>
          <cell r="M6845">
            <v>0</v>
          </cell>
          <cell r="R6845">
            <v>45816</v>
          </cell>
          <cell r="S6845">
            <v>223002</v>
          </cell>
        </row>
        <row r="6846">
          <cell r="K6846" t="str">
            <v>223001</v>
          </cell>
          <cell r="M6846">
            <v>12</v>
          </cell>
          <cell r="R6846">
            <v>45816</v>
          </cell>
          <cell r="S6846">
            <v>223001</v>
          </cell>
        </row>
        <row r="6847">
          <cell r="K6847" t="str">
            <v>227012</v>
          </cell>
          <cell r="M6847">
            <v>1</v>
          </cell>
          <cell r="R6847">
            <v>45816</v>
          </cell>
          <cell r="S6847">
            <v>227012</v>
          </cell>
        </row>
        <row r="6848">
          <cell r="K6848" t="str">
            <v>209022</v>
          </cell>
          <cell r="M6848">
            <v>5</v>
          </cell>
          <cell r="R6848">
            <v>45816</v>
          </cell>
          <cell r="S6848">
            <v>209022</v>
          </cell>
        </row>
        <row r="6849">
          <cell r="K6849" t="str">
            <v>241001</v>
          </cell>
          <cell r="M6849">
            <v>2</v>
          </cell>
          <cell r="R6849">
            <v>45816</v>
          </cell>
          <cell r="S6849">
            <v>241001</v>
          </cell>
        </row>
        <row r="6850">
          <cell r="K6850" t="str">
            <v>228001</v>
          </cell>
          <cell r="M6850">
            <v>5</v>
          </cell>
          <cell r="R6850">
            <v>45815</v>
          </cell>
          <cell r="S6850">
            <v>228001</v>
          </cell>
        </row>
        <row r="6851">
          <cell r="K6851" t="str">
            <v>213003</v>
          </cell>
          <cell r="M6851">
            <v>3</v>
          </cell>
          <cell r="R6851">
            <v>45815</v>
          </cell>
          <cell r="S6851">
            <v>213003</v>
          </cell>
        </row>
        <row r="6852">
          <cell r="K6852" t="str">
            <v>213003</v>
          </cell>
          <cell r="M6852">
            <v>1</v>
          </cell>
          <cell r="R6852">
            <v>45815</v>
          </cell>
          <cell r="S6852">
            <v>213003</v>
          </cell>
        </row>
        <row r="6853">
          <cell r="K6853" t="str">
            <v>231010</v>
          </cell>
          <cell r="M6853">
            <v>1</v>
          </cell>
          <cell r="R6853">
            <v>45815</v>
          </cell>
          <cell r="S6853">
            <v>231010</v>
          </cell>
        </row>
        <row r="6854">
          <cell r="K6854" t="str">
            <v>201003</v>
          </cell>
          <cell r="M6854">
            <v>20</v>
          </cell>
          <cell r="R6854">
            <v>45814</v>
          </cell>
          <cell r="S6854">
            <v>201003</v>
          </cell>
        </row>
        <row r="6855">
          <cell r="K6855" t="str">
            <v>213002</v>
          </cell>
          <cell r="M6855">
            <v>1</v>
          </cell>
          <cell r="R6855">
            <v>45814</v>
          </cell>
          <cell r="S6855">
            <v>213002</v>
          </cell>
        </row>
        <row r="6856">
          <cell r="K6856" t="str">
            <v>213002</v>
          </cell>
          <cell r="M6856">
            <v>8</v>
          </cell>
          <cell r="R6856">
            <v>45813</v>
          </cell>
          <cell r="S6856">
            <v>213002</v>
          </cell>
        </row>
        <row r="6857">
          <cell r="K6857" t="str">
            <v>231010</v>
          </cell>
          <cell r="M6857">
            <v>2</v>
          </cell>
          <cell r="R6857">
            <v>45813</v>
          </cell>
          <cell r="S6857">
            <v>231010</v>
          </cell>
        </row>
        <row r="6858">
          <cell r="K6858" t="str">
            <v>222001</v>
          </cell>
          <cell r="M6858">
            <v>1</v>
          </cell>
          <cell r="R6858">
            <v>45817</v>
          </cell>
          <cell r="S6858">
            <v>222001</v>
          </cell>
        </row>
        <row r="6859">
          <cell r="K6859" t="str">
            <v>241001</v>
          </cell>
          <cell r="M6859">
            <v>10</v>
          </cell>
          <cell r="R6859">
            <v>45817</v>
          </cell>
          <cell r="S6859">
            <v>241001</v>
          </cell>
        </row>
        <row r="6860">
          <cell r="K6860" t="str">
            <v>203001</v>
          </cell>
          <cell r="M6860">
            <v>4</v>
          </cell>
          <cell r="R6860">
            <v>45817</v>
          </cell>
          <cell r="S6860">
            <v>203001</v>
          </cell>
        </row>
        <row r="6861">
          <cell r="K6861" t="str">
            <v>229001</v>
          </cell>
          <cell r="M6861">
            <v>2</v>
          </cell>
          <cell r="R6861">
            <v>45817</v>
          </cell>
          <cell r="S6861">
            <v>229001</v>
          </cell>
        </row>
        <row r="6862">
          <cell r="K6862" t="str">
            <v>212035</v>
          </cell>
          <cell r="M6862">
            <v>1</v>
          </cell>
          <cell r="R6862">
            <v>45817</v>
          </cell>
          <cell r="S6862">
            <v>212035</v>
          </cell>
        </row>
        <row r="6863">
          <cell r="K6863" t="str">
            <v>223002</v>
          </cell>
          <cell r="M6863">
            <v>1</v>
          </cell>
          <cell r="R6863">
            <v>45817</v>
          </cell>
          <cell r="S6863">
            <v>223002</v>
          </cell>
        </row>
        <row r="6864">
          <cell r="K6864" t="str">
            <v>213002</v>
          </cell>
          <cell r="M6864">
            <v>2</v>
          </cell>
          <cell r="R6864">
            <v>45817</v>
          </cell>
          <cell r="S6864">
            <v>213002</v>
          </cell>
        </row>
        <row r="6865">
          <cell r="K6865" t="str">
            <v>217018</v>
          </cell>
          <cell r="M6865">
            <v>3</v>
          </cell>
          <cell r="R6865">
            <v>45817</v>
          </cell>
          <cell r="S6865">
            <v>217018</v>
          </cell>
        </row>
        <row r="6866">
          <cell r="K6866" t="str">
            <v>226001</v>
          </cell>
          <cell r="M6866">
            <v>2</v>
          </cell>
          <cell r="R6866">
            <v>45817</v>
          </cell>
          <cell r="S6866">
            <v>226001</v>
          </cell>
        </row>
        <row r="6867">
          <cell r="K6867" t="str">
            <v>223002</v>
          </cell>
          <cell r="M6867">
            <v>2</v>
          </cell>
          <cell r="R6867">
            <v>45817</v>
          </cell>
          <cell r="S6867">
            <v>223002</v>
          </cell>
        </row>
        <row r="6868">
          <cell r="K6868" t="str">
            <v>207017</v>
          </cell>
          <cell r="M6868">
            <v>1</v>
          </cell>
          <cell r="R6868">
            <v>45817</v>
          </cell>
          <cell r="S6868">
            <v>207017</v>
          </cell>
        </row>
        <row r="6869">
          <cell r="K6869" t="str">
            <v>231010</v>
          </cell>
          <cell r="M6869">
            <v>1</v>
          </cell>
          <cell r="R6869">
            <v>45817</v>
          </cell>
          <cell r="S6869">
            <v>231010</v>
          </cell>
        </row>
        <row r="6870">
          <cell r="K6870" t="str">
            <v>213003</v>
          </cell>
          <cell r="M6870">
            <v>2</v>
          </cell>
          <cell r="R6870">
            <v>45817</v>
          </cell>
          <cell r="S6870">
            <v>213003</v>
          </cell>
        </row>
        <row r="6871">
          <cell r="K6871" t="str">
            <v>201021</v>
          </cell>
          <cell r="M6871">
            <v>2</v>
          </cell>
          <cell r="R6871">
            <v>45817</v>
          </cell>
          <cell r="S6871">
            <v>201021</v>
          </cell>
        </row>
        <row r="6872">
          <cell r="K6872" t="str">
            <v>210013</v>
          </cell>
          <cell r="M6872">
            <v>1</v>
          </cell>
          <cell r="R6872">
            <v>45817</v>
          </cell>
          <cell r="S6872">
            <v>210013</v>
          </cell>
        </row>
        <row r="6873">
          <cell r="K6873" t="str">
            <v>203003</v>
          </cell>
          <cell r="M6873">
            <v>2</v>
          </cell>
          <cell r="R6873">
            <v>45817</v>
          </cell>
          <cell r="S6873">
            <v>203003</v>
          </cell>
        </row>
        <row r="6874">
          <cell r="K6874" t="str">
            <v>261004</v>
          </cell>
          <cell r="M6874">
            <v>20</v>
          </cell>
          <cell r="R6874">
            <v>45817</v>
          </cell>
          <cell r="S6874">
            <v>261004</v>
          </cell>
        </row>
        <row r="6875">
          <cell r="K6875" t="str">
            <v>217019</v>
          </cell>
          <cell r="M6875">
            <v>14</v>
          </cell>
          <cell r="R6875">
            <v>45817</v>
          </cell>
          <cell r="S6875">
            <v>217019</v>
          </cell>
        </row>
        <row r="6876">
          <cell r="K6876" t="str">
            <v>228001</v>
          </cell>
          <cell r="M6876">
            <v>16</v>
          </cell>
          <cell r="R6876">
            <v>45817</v>
          </cell>
          <cell r="S6876">
            <v>228001</v>
          </cell>
        </row>
        <row r="6877">
          <cell r="K6877" t="str">
            <v>209016</v>
          </cell>
          <cell r="M6877">
            <v>3</v>
          </cell>
          <cell r="R6877">
            <v>45817</v>
          </cell>
          <cell r="S6877">
            <v>209016</v>
          </cell>
        </row>
        <row r="6878">
          <cell r="K6878" t="str">
            <v>226001</v>
          </cell>
          <cell r="M6878">
            <v>1</v>
          </cell>
          <cell r="R6878">
            <v>45817</v>
          </cell>
          <cell r="S6878">
            <v>226001</v>
          </cell>
        </row>
        <row r="6879">
          <cell r="K6879" t="str">
            <v>213024</v>
          </cell>
          <cell r="M6879">
            <v>5</v>
          </cell>
          <cell r="R6879">
            <v>45817</v>
          </cell>
          <cell r="S6879">
            <v>213024</v>
          </cell>
        </row>
        <row r="6880">
          <cell r="K6880" t="str">
            <v>231010</v>
          </cell>
          <cell r="M6880">
            <v>6</v>
          </cell>
          <cell r="R6880">
            <v>45817</v>
          </cell>
          <cell r="S6880">
            <v>231010</v>
          </cell>
        </row>
        <row r="6881">
          <cell r="K6881" t="str">
            <v>228001</v>
          </cell>
          <cell r="M6881">
            <v>1</v>
          </cell>
          <cell r="R6881">
            <v>45817</v>
          </cell>
          <cell r="S6881">
            <v>228001</v>
          </cell>
        </row>
        <row r="6882">
          <cell r="K6882" t="str">
            <v>234001</v>
          </cell>
          <cell r="M6882">
            <v>1</v>
          </cell>
          <cell r="R6882">
            <v>45817</v>
          </cell>
          <cell r="S6882">
            <v>234001</v>
          </cell>
        </row>
        <row r="6883">
          <cell r="K6883" t="str">
            <v>205004</v>
          </cell>
          <cell r="M6883">
            <v>2</v>
          </cell>
          <cell r="R6883">
            <v>45817</v>
          </cell>
          <cell r="S6883">
            <v>205004</v>
          </cell>
        </row>
        <row r="6884">
          <cell r="K6884" t="str">
            <v>201011</v>
          </cell>
          <cell r="M6884">
            <v>36</v>
          </cell>
          <cell r="R6884">
            <v>45817</v>
          </cell>
          <cell r="S6884">
            <v>201011</v>
          </cell>
        </row>
        <row r="6885">
          <cell r="K6885" t="str">
            <v>227012</v>
          </cell>
          <cell r="M6885">
            <v>1</v>
          </cell>
          <cell r="R6885">
            <v>45817</v>
          </cell>
          <cell r="S6885">
            <v>227012</v>
          </cell>
        </row>
        <row r="6886">
          <cell r="K6886" t="str">
            <v>223001</v>
          </cell>
          <cell r="M6886">
            <v>5</v>
          </cell>
          <cell r="R6886">
            <v>45817</v>
          </cell>
          <cell r="S6886">
            <v>223001</v>
          </cell>
        </row>
        <row r="6887">
          <cell r="K6887" t="str">
            <v>223005</v>
          </cell>
          <cell r="M6887">
            <v>4</v>
          </cell>
          <cell r="R6887">
            <v>45817</v>
          </cell>
          <cell r="S6887">
            <v>223005</v>
          </cell>
        </row>
        <row r="6888">
          <cell r="K6888" t="str">
            <v>226001</v>
          </cell>
          <cell r="M6888">
            <v>1</v>
          </cell>
          <cell r="R6888">
            <v>45817</v>
          </cell>
          <cell r="S6888">
            <v>226001</v>
          </cell>
        </row>
        <row r="6889">
          <cell r="K6889" t="str">
            <v>226001</v>
          </cell>
          <cell r="M6889">
            <v>1</v>
          </cell>
          <cell r="R6889">
            <v>45817</v>
          </cell>
          <cell r="S6889">
            <v>226001</v>
          </cell>
        </row>
        <row r="6890">
          <cell r="K6890" t="str">
            <v>228001</v>
          </cell>
          <cell r="M6890">
            <v>2</v>
          </cell>
          <cell r="R6890">
            <v>45817</v>
          </cell>
          <cell r="S6890">
            <v>228001</v>
          </cell>
        </row>
        <row r="6891">
          <cell r="K6891" t="str">
            <v>201003</v>
          </cell>
          <cell r="M6891">
            <v>1</v>
          </cell>
          <cell r="R6891">
            <v>45817</v>
          </cell>
          <cell r="S6891">
            <v>201003</v>
          </cell>
        </row>
        <row r="6892">
          <cell r="K6892" t="str">
            <v>231010</v>
          </cell>
          <cell r="M6892">
            <v>1</v>
          </cell>
          <cell r="R6892">
            <v>45817</v>
          </cell>
          <cell r="S6892">
            <v>231010</v>
          </cell>
        </row>
        <row r="6893">
          <cell r="K6893" t="str">
            <v>207017</v>
          </cell>
          <cell r="M6893">
            <v>1</v>
          </cell>
          <cell r="R6893">
            <v>45817</v>
          </cell>
          <cell r="S6893">
            <v>207017</v>
          </cell>
        </row>
        <row r="6894">
          <cell r="K6894" t="str">
            <v>212002</v>
          </cell>
          <cell r="M6894">
            <v>1</v>
          </cell>
          <cell r="R6894">
            <v>45817</v>
          </cell>
          <cell r="S6894">
            <v>212002</v>
          </cell>
        </row>
        <row r="6895">
          <cell r="K6895" t="str">
            <v>223001</v>
          </cell>
          <cell r="M6895">
            <v>2</v>
          </cell>
          <cell r="R6895">
            <v>45817</v>
          </cell>
          <cell r="S6895">
            <v>223001</v>
          </cell>
        </row>
        <row r="6896">
          <cell r="K6896" t="str">
            <v>209004</v>
          </cell>
          <cell r="M6896">
            <v>1</v>
          </cell>
          <cell r="R6896">
            <v>45817</v>
          </cell>
          <cell r="S6896">
            <v>209004</v>
          </cell>
        </row>
        <row r="6897">
          <cell r="K6897" t="str">
            <v>201003</v>
          </cell>
          <cell r="M6897">
            <v>1</v>
          </cell>
          <cell r="R6897">
            <v>45817</v>
          </cell>
          <cell r="S6897">
            <v>201003</v>
          </cell>
        </row>
        <row r="6898">
          <cell r="K6898" t="str">
            <v>231010</v>
          </cell>
          <cell r="M6898">
            <v>1</v>
          </cell>
          <cell r="R6898">
            <v>45817</v>
          </cell>
          <cell r="S6898">
            <v>231010</v>
          </cell>
        </row>
        <row r="6899">
          <cell r="K6899" t="str">
            <v>223001</v>
          </cell>
          <cell r="M6899">
            <v>1</v>
          </cell>
          <cell r="R6899">
            <v>45817</v>
          </cell>
          <cell r="S6899">
            <v>223001</v>
          </cell>
        </row>
        <row r="6900">
          <cell r="K6900" t="str">
            <v>212002</v>
          </cell>
          <cell r="M6900">
            <v>1</v>
          </cell>
          <cell r="R6900">
            <v>45817</v>
          </cell>
          <cell r="S6900">
            <v>212002</v>
          </cell>
        </row>
        <row r="6901">
          <cell r="K6901" t="str">
            <v>209004</v>
          </cell>
          <cell r="M6901">
            <v>1</v>
          </cell>
          <cell r="R6901">
            <v>45817</v>
          </cell>
          <cell r="S6901">
            <v>209004</v>
          </cell>
        </row>
        <row r="6902">
          <cell r="K6902" t="str">
            <v>201011</v>
          </cell>
          <cell r="M6902">
            <v>2</v>
          </cell>
          <cell r="R6902">
            <v>45817</v>
          </cell>
          <cell r="S6902">
            <v>201011</v>
          </cell>
        </row>
        <row r="6903">
          <cell r="K6903" t="str">
            <v>217020</v>
          </cell>
          <cell r="M6903">
            <v>20</v>
          </cell>
          <cell r="R6903">
            <v>45817</v>
          </cell>
          <cell r="S6903">
            <v>217020</v>
          </cell>
        </row>
        <row r="6904">
          <cell r="K6904" t="str">
            <v>223003</v>
          </cell>
          <cell r="M6904">
            <v>1</v>
          </cell>
          <cell r="R6904">
            <v>45817</v>
          </cell>
          <cell r="S6904">
            <v>223003</v>
          </cell>
        </row>
        <row r="6905">
          <cell r="K6905" t="str">
            <v>228001</v>
          </cell>
          <cell r="M6905">
            <v>3</v>
          </cell>
          <cell r="R6905">
            <v>45817</v>
          </cell>
          <cell r="S6905">
            <v>228001</v>
          </cell>
        </row>
        <row r="6906">
          <cell r="K6906" t="str">
            <v>228001</v>
          </cell>
          <cell r="M6906">
            <v>15</v>
          </cell>
          <cell r="R6906">
            <v>45817</v>
          </cell>
          <cell r="S6906">
            <v>228001</v>
          </cell>
        </row>
        <row r="6907">
          <cell r="K6907" t="str">
            <v>201011</v>
          </cell>
          <cell r="M6907">
            <v>5</v>
          </cell>
          <cell r="R6907">
            <v>45817</v>
          </cell>
          <cell r="S6907">
            <v>201011</v>
          </cell>
        </row>
        <row r="6908">
          <cell r="K6908" t="str">
            <v>213024</v>
          </cell>
          <cell r="M6908">
            <v>1</v>
          </cell>
          <cell r="R6908">
            <v>45817</v>
          </cell>
          <cell r="S6908">
            <v>213024</v>
          </cell>
        </row>
        <row r="6909">
          <cell r="K6909" t="str">
            <v>222007</v>
          </cell>
          <cell r="M6909">
            <v>1</v>
          </cell>
          <cell r="R6909">
            <v>45817</v>
          </cell>
          <cell r="S6909">
            <v>222007</v>
          </cell>
        </row>
        <row r="6910">
          <cell r="K6910" t="str">
            <v>201011</v>
          </cell>
          <cell r="M6910">
            <v>4</v>
          </cell>
          <cell r="R6910">
            <v>45817</v>
          </cell>
          <cell r="S6910">
            <v>201011</v>
          </cell>
        </row>
        <row r="6911">
          <cell r="K6911" t="str">
            <v>210014</v>
          </cell>
          <cell r="M6911">
            <v>2</v>
          </cell>
          <cell r="R6911">
            <v>45817</v>
          </cell>
          <cell r="S6911">
            <v>210014</v>
          </cell>
        </row>
        <row r="6912">
          <cell r="K6912" t="str">
            <v>207017</v>
          </cell>
          <cell r="M6912">
            <v>2</v>
          </cell>
          <cell r="R6912">
            <v>45817</v>
          </cell>
          <cell r="S6912">
            <v>207017</v>
          </cell>
        </row>
        <row r="6913">
          <cell r="K6913" t="str">
            <v>201011</v>
          </cell>
          <cell r="M6913">
            <v>1</v>
          </cell>
          <cell r="R6913">
            <v>45817</v>
          </cell>
          <cell r="S6913">
            <v>201011</v>
          </cell>
        </row>
        <row r="6914">
          <cell r="K6914" t="str">
            <v>223001</v>
          </cell>
          <cell r="M6914">
            <v>3</v>
          </cell>
          <cell r="R6914">
            <v>45817</v>
          </cell>
          <cell r="S6914">
            <v>223001</v>
          </cell>
        </row>
        <row r="6915">
          <cell r="K6915" t="str">
            <v>201011</v>
          </cell>
          <cell r="M6915">
            <v>36</v>
          </cell>
          <cell r="R6915">
            <v>45817</v>
          </cell>
          <cell r="S6915">
            <v>201011</v>
          </cell>
        </row>
        <row r="6916">
          <cell r="K6916" t="str">
            <v>227010</v>
          </cell>
          <cell r="M6916">
            <v>3</v>
          </cell>
          <cell r="R6916">
            <v>45817</v>
          </cell>
          <cell r="S6916">
            <v>227010</v>
          </cell>
        </row>
        <row r="6917">
          <cell r="K6917" t="str">
            <v>241001</v>
          </cell>
          <cell r="M6917">
            <v>10</v>
          </cell>
          <cell r="R6917">
            <v>45817</v>
          </cell>
          <cell r="S6917">
            <v>241001</v>
          </cell>
        </row>
        <row r="6918">
          <cell r="K6918" t="str">
            <v>217002</v>
          </cell>
          <cell r="M6918">
            <v>13</v>
          </cell>
          <cell r="R6918">
            <v>45817</v>
          </cell>
          <cell r="S6918">
            <v>217002</v>
          </cell>
        </row>
        <row r="6919">
          <cell r="K6919" t="str">
            <v>201011</v>
          </cell>
          <cell r="M6919">
            <v>1</v>
          </cell>
          <cell r="R6919">
            <v>45817</v>
          </cell>
          <cell r="S6919">
            <v>201011</v>
          </cell>
        </row>
        <row r="6920">
          <cell r="K6920" t="str">
            <v>223002</v>
          </cell>
          <cell r="M6920">
            <v>2</v>
          </cell>
          <cell r="R6920">
            <v>45817</v>
          </cell>
          <cell r="S6920">
            <v>223002</v>
          </cell>
        </row>
        <row r="6921">
          <cell r="K6921" t="str">
            <v>223001</v>
          </cell>
          <cell r="M6921">
            <v>1</v>
          </cell>
          <cell r="R6921">
            <v>45817</v>
          </cell>
          <cell r="S6921">
            <v>223001</v>
          </cell>
        </row>
        <row r="6922">
          <cell r="K6922" t="str">
            <v>213002</v>
          </cell>
          <cell r="M6922">
            <v>1</v>
          </cell>
          <cell r="R6922">
            <v>45817</v>
          </cell>
          <cell r="S6922">
            <v>213002</v>
          </cell>
        </row>
        <row r="6923">
          <cell r="K6923" t="str">
            <v>201011</v>
          </cell>
          <cell r="M6923">
            <v>6</v>
          </cell>
          <cell r="R6923">
            <v>45817</v>
          </cell>
          <cell r="S6923">
            <v>201011</v>
          </cell>
        </row>
        <row r="6924">
          <cell r="K6924" t="str">
            <v>210001</v>
          </cell>
          <cell r="M6924">
            <v>2</v>
          </cell>
          <cell r="R6924">
            <v>45817</v>
          </cell>
          <cell r="S6924">
            <v>210001</v>
          </cell>
        </row>
        <row r="6925">
          <cell r="K6925" t="str">
            <v>201011</v>
          </cell>
          <cell r="M6925">
            <v>3</v>
          </cell>
          <cell r="R6925">
            <v>45817</v>
          </cell>
          <cell r="S6925">
            <v>201011</v>
          </cell>
        </row>
        <row r="6926">
          <cell r="K6926" t="str">
            <v>228001</v>
          </cell>
          <cell r="M6926">
            <v>1</v>
          </cell>
          <cell r="R6926">
            <v>45817</v>
          </cell>
          <cell r="S6926">
            <v>228001</v>
          </cell>
        </row>
        <row r="6927">
          <cell r="K6927" t="str">
            <v>209004</v>
          </cell>
          <cell r="M6927">
            <v>2</v>
          </cell>
          <cell r="R6927">
            <v>45818</v>
          </cell>
          <cell r="S6927">
            <v>209004</v>
          </cell>
        </row>
        <row r="6928">
          <cell r="K6928" t="str">
            <v>237001</v>
          </cell>
          <cell r="M6928">
            <v>1</v>
          </cell>
          <cell r="R6928">
            <v>45818</v>
          </cell>
          <cell r="S6928">
            <v>237001</v>
          </cell>
        </row>
        <row r="6929">
          <cell r="K6929" t="str">
            <v>222001</v>
          </cell>
          <cell r="M6929">
            <v>5</v>
          </cell>
          <cell r="R6929">
            <v>45817</v>
          </cell>
          <cell r="S6929">
            <v>222001</v>
          </cell>
        </row>
        <row r="6930">
          <cell r="K6930" t="str">
            <v>241001</v>
          </cell>
          <cell r="M6930">
            <v>4</v>
          </cell>
          <cell r="R6930">
            <v>45817</v>
          </cell>
          <cell r="S6930">
            <v>241001</v>
          </cell>
        </row>
        <row r="6931">
          <cell r="K6931" t="str">
            <v>217018</v>
          </cell>
          <cell r="M6931">
            <v>2</v>
          </cell>
          <cell r="R6931">
            <v>45817</v>
          </cell>
          <cell r="S6931">
            <v>217018</v>
          </cell>
        </row>
        <row r="6932">
          <cell r="K6932" t="str">
            <v>228001</v>
          </cell>
          <cell r="M6932">
            <v>6</v>
          </cell>
          <cell r="R6932">
            <v>45817</v>
          </cell>
          <cell r="S6932">
            <v>228001</v>
          </cell>
        </row>
        <row r="6933">
          <cell r="K6933" t="str">
            <v>227012</v>
          </cell>
          <cell r="M6933">
            <v>2</v>
          </cell>
          <cell r="R6933">
            <v>45817</v>
          </cell>
          <cell r="S6933">
            <v>227012</v>
          </cell>
        </row>
        <row r="6934">
          <cell r="K6934" t="str">
            <v>227012</v>
          </cell>
          <cell r="M6934">
            <v>3</v>
          </cell>
          <cell r="R6934">
            <v>45817</v>
          </cell>
          <cell r="S6934">
            <v>227012</v>
          </cell>
        </row>
        <row r="6935">
          <cell r="K6935" t="str">
            <v>228001</v>
          </cell>
          <cell r="M6935">
            <v>3</v>
          </cell>
          <cell r="R6935">
            <v>45817</v>
          </cell>
          <cell r="S6935">
            <v>228001</v>
          </cell>
        </row>
        <row r="6936">
          <cell r="K6936" t="str">
            <v>201011</v>
          </cell>
          <cell r="M6936">
            <v>4</v>
          </cell>
          <cell r="R6936">
            <v>45817</v>
          </cell>
          <cell r="S6936">
            <v>201011</v>
          </cell>
        </row>
        <row r="6937">
          <cell r="K6937" t="str">
            <v>241001</v>
          </cell>
          <cell r="M6937">
            <v>3</v>
          </cell>
          <cell r="R6937">
            <v>45817</v>
          </cell>
          <cell r="S6937">
            <v>241001</v>
          </cell>
        </row>
        <row r="6938">
          <cell r="K6938" t="str">
            <v>222001</v>
          </cell>
          <cell r="M6938">
            <v>1</v>
          </cell>
          <cell r="R6938">
            <v>45817</v>
          </cell>
          <cell r="S6938">
            <v>222001</v>
          </cell>
        </row>
        <row r="6939">
          <cell r="K6939" t="str">
            <v>227012</v>
          </cell>
          <cell r="M6939">
            <v>1</v>
          </cell>
          <cell r="R6939">
            <v>45817</v>
          </cell>
          <cell r="S6939">
            <v>227012</v>
          </cell>
        </row>
        <row r="6940">
          <cell r="K6940" t="str">
            <v>213003</v>
          </cell>
          <cell r="M6940">
            <v>3</v>
          </cell>
          <cell r="R6940">
            <v>45817</v>
          </cell>
          <cell r="S6940">
            <v>213003</v>
          </cell>
        </row>
        <row r="6941">
          <cell r="K6941" t="str">
            <v>201011</v>
          </cell>
          <cell r="M6941">
            <v>36</v>
          </cell>
          <cell r="R6941">
            <v>45817</v>
          </cell>
          <cell r="S6941">
            <v>201011</v>
          </cell>
        </row>
        <row r="6942">
          <cell r="K6942" t="str">
            <v>228001</v>
          </cell>
          <cell r="M6942">
            <v>1</v>
          </cell>
          <cell r="R6942">
            <v>45817</v>
          </cell>
          <cell r="S6942">
            <v>228001</v>
          </cell>
        </row>
        <row r="6943">
          <cell r="K6943" t="str">
            <v>229004</v>
          </cell>
          <cell r="M6943">
            <v>2</v>
          </cell>
          <cell r="R6943">
            <v>45817</v>
          </cell>
          <cell r="S6943">
            <v>229004</v>
          </cell>
        </row>
        <row r="6944">
          <cell r="K6944" t="str">
            <v>228001</v>
          </cell>
          <cell r="M6944">
            <v>6</v>
          </cell>
          <cell r="R6944">
            <v>45817</v>
          </cell>
          <cell r="S6944">
            <v>228001</v>
          </cell>
        </row>
        <row r="6945">
          <cell r="K6945" t="str">
            <v>213018</v>
          </cell>
          <cell r="M6945">
            <v>1</v>
          </cell>
          <cell r="R6945">
            <v>45817</v>
          </cell>
          <cell r="S6945">
            <v>213018</v>
          </cell>
        </row>
        <row r="6946">
          <cell r="K6946" t="str">
            <v>201011</v>
          </cell>
          <cell r="M6946">
            <v>6</v>
          </cell>
          <cell r="R6946">
            <v>45817</v>
          </cell>
          <cell r="S6946">
            <v>201011</v>
          </cell>
        </row>
        <row r="6947">
          <cell r="K6947" t="str">
            <v>265001</v>
          </cell>
          <cell r="M6947">
            <v>1</v>
          </cell>
          <cell r="R6947">
            <v>45817</v>
          </cell>
          <cell r="S6947">
            <v>265001</v>
          </cell>
        </row>
        <row r="6948">
          <cell r="K6948" t="str">
            <v>201011</v>
          </cell>
          <cell r="M6948">
            <v>3</v>
          </cell>
          <cell r="R6948">
            <v>45817</v>
          </cell>
          <cell r="S6948">
            <v>201011</v>
          </cell>
        </row>
        <row r="6949">
          <cell r="K6949" t="str">
            <v>201002</v>
          </cell>
          <cell r="M6949">
            <v>1</v>
          </cell>
          <cell r="R6949">
            <v>45817</v>
          </cell>
          <cell r="S6949">
            <v>201002</v>
          </cell>
        </row>
        <row r="6950">
          <cell r="K6950" t="str">
            <v>226001</v>
          </cell>
          <cell r="M6950">
            <v>1</v>
          </cell>
          <cell r="R6950">
            <v>45817</v>
          </cell>
          <cell r="S6950">
            <v>226001</v>
          </cell>
        </row>
        <row r="6951">
          <cell r="K6951" t="str">
            <v>226003</v>
          </cell>
          <cell r="M6951">
            <v>1</v>
          </cell>
          <cell r="R6951">
            <v>45817</v>
          </cell>
          <cell r="S6951">
            <v>226003</v>
          </cell>
        </row>
        <row r="6952">
          <cell r="K6952" t="str">
            <v>210004</v>
          </cell>
          <cell r="M6952">
            <v>1</v>
          </cell>
          <cell r="R6952">
            <v>45817</v>
          </cell>
          <cell r="S6952">
            <v>210004</v>
          </cell>
        </row>
        <row r="6953">
          <cell r="K6953" t="str">
            <v>217020</v>
          </cell>
          <cell r="M6953">
            <v>1</v>
          </cell>
          <cell r="R6953">
            <v>45817</v>
          </cell>
          <cell r="S6953">
            <v>217020</v>
          </cell>
        </row>
        <row r="6954">
          <cell r="K6954" t="str">
            <v>228001</v>
          </cell>
          <cell r="M6954">
            <v>1</v>
          </cell>
          <cell r="R6954">
            <v>45817</v>
          </cell>
          <cell r="S6954">
            <v>228001</v>
          </cell>
        </row>
        <row r="6955">
          <cell r="K6955" t="str">
            <v>231010</v>
          </cell>
          <cell r="M6955">
            <v>2</v>
          </cell>
          <cell r="R6955">
            <v>45817</v>
          </cell>
          <cell r="S6955">
            <v>231010</v>
          </cell>
        </row>
        <row r="6956">
          <cell r="K6956" t="str">
            <v>203003</v>
          </cell>
          <cell r="M6956">
            <v>3</v>
          </cell>
          <cell r="R6956">
            <v>45817</v>
          </cell>
          <cell r="S6956">
            <v>203003</v>
          </cell>
        </row>
        <row r="6957">
          <cell r="K6957" t="str">
            <v>241001</v>
          </cell>
          <cell r="M6957">
            <v>1</v>
          </cell>
          <cell r="R6957">
            <v>45817</v>
          </cell>
          <cell r="S6957">
            <v>241001</v>
          </cell>
        </row>
        <row r="6958">
          <cell r="K6958" t="str">
            <v>223017</v>
          </cell>
          <cell r="M6958">
            <v>10</v>
          </cell>
          <cell r="R6958">
            <v>45817</v>
          </cell>
          <cell r="S6958">
            <v>223017</v>
          </cell>
        </row>
        <row r="6959">
          <cell r="K6959" t="str">
            <v>223005</v>
          </cell>
          <cell r="M6959">
            <v>1</v>
          </cell>
          <cell r="R6959">
            <v>45817</v>
          </cell>
          <cell r="S6959">
            <v>223005</v>
          </cell>
        </row>
        <row r="6960">
          <cell r="K6960" t="str">
            <v>217018</v>
          </cell>
          <cell r="M6960">
            <v>10</v>
          </cell>
          <cell r="R6960">
            <v>45817</v>
          </cell>
          <cell r="S6960">
            <v>217018</v>
          </cell>
        </row>
        <row r="6961">
          <cell r="K6961" t="str">
            <v>226001</v>
          </cell>
          <cell r="M6961">
            <v>5</v>
          </cell>
          <cell r="R6961">
            <v>45817</v>
          </cell>
          <cell r="S6961">
            <v>226001</v>
          </cell>
        </row>
        <row r="6962">
          <cell r="K6962" t="str">
            <v>217018</v>
          </cell>
          <cell r="M6962">
            <v>4</v>
          </cell>
          <cell r="R6962">
            <v>45817</v>
          </cell>
          <cell r="S6962">
            <v>217018</v>
          </cell>
        </row>
        <row r="6963">
          <cell r="K6963" t="str">
            <v>227001</v>
          </cell>
          <cell r="M6963">
            <v>5</v>
          </cell>
          <cell r="R6963">
            <v>45818</v>
          </cell>
          <cell r="S6963">
            <v>227001</v>
          </cell>
        </row>
        <row r="6964">
          <cell r="K6964" t="str">
            <v>203001</v>
          </cell>
          <cell r="M6964">
            <v>1</v>
          </cell>
          <cell r="R6964">
            <v>45818</v>
          </cell>
          <cell r="S6964">
            <v>203001</v>
          </cell>
        </row>
        <row r="6965">
          <cell r="K6965" t="str">
            <v>213024</v>
          </cell>
          <cell r="M6965">
            <v>20</v>
          </cell>
          <cell r="R6965">
            <v>45818</v>
          </cell>
          <cell r="S6965">
            <v>213024</v>
          </cell>
        </row>
        <row r="6966">
          <cell r="K6966" t="str">
            <v>201021</v>
          </cell>
          <cell r="M6966">
            <v>6</v>
          </cell>
          <cell r="R6966">
            <v>45818</v>
          </cell>
          <cell r="S6966">
            <v>201021</v>
          </cell>
        </row>
        <row r="6967">
          <cell r="K6967" t="str">
            <v>201011</v>
          </cell>
          <cell r="M6967">
            <v>2</v>
          </cell>
          <cell r="R6967">
            <v>45818</v>
          </cell>
          <cell r="S6967">
            <v>201011</v>
          </cell>
        </row>
        <row r="6968">
          <cell r="K6968" t="str">
            <v>201011</v>
          </cell>
          <cell r="M6968">
            <v>10</v>
          </cell>
          <cell r="R6968">
            <v>45818</v>
          </cell>
          <cell r="S6968">
            <v>201011</v>
          </cell>
        </row>
        <row r="6969">
          <cell r="K6969" t="str">
            <v>201002</v>
          </cell>
          <cell r="M6969">
            <v>2</v>
          </cell>
          <cell r="R6969">
            <v>45818</v>
          </cell>
          <cell r="S6969">
            <v>201002</v>
          </cell>
        </row>
        <row r="6970">
          <cell r="K6970" t="str">
            <v>201011</v>
          </cell>
          <cell r="M6970">
            <v>10</v>
          </cell>
          <cell r="R6970">
            <v>45818</v>
          </cell>
          <cell r="S6970">
            <v>201011</v>
          </cell>
        </row>
        <row r="6971">
          <cell r="K6971" t="str">
            <v>213002</v>
          </cell>
          <cell r="M6971">
            <v>3</v>
          </cell>
          <cell r="R6971">
            <v>45818</v>
          </cell>
          <cell r="S6971">
            <v>213002</v>
          </cell>
        </row>
        <row r="6972">
          <cell r="K6972" t="str">
            <v>227002</v>
          </cell>
          <cell r="M6972">
            <v>1</v>
          </cell>
          <cell r="R6972">
            <v>45818</v>
          </cell>
          <cell r="S6972">
            <v>227002</v>
          </cell>
        </row>
        <row r="6973">
          <cell r="K6973" t="str">
            <v>223002</v>
          </cell>
          <cell r="M6973">
            <v>1</v>
          </cell>
          <cell r="R6973">
            <v>45818</v>
          </cell>
          <cell r="S6973">
            <v>223002</v>
          </cell>
        </row>
        <row r="6974">
          <cell r="K6974" t="str">
            <v>223001</v>
          </cell>
          <cell r="M6974">
            <v>1</v>
          </cell>
          <cell r="R6974">
            <v>45818</v>
          </cell>
          <cell r="S6974">
            <v>223001</v>
          </cell>
        </row>
        <row r="6975">
          <cell r="K6975" t="str">
            <v>271002</v>
          </cell>
          <cell r="M6975">
            <v>1</v>
          </cell>
          <cell r="R6975">
            <v>45818</v>
          </cell>
          <cell r="S6975">
            <v>271002</v>
          </cell>
        </row>
        <row r="6976">
          <cell r="K6976" t="str">
            <v>227001</v>
          </cell>
          <cell r="M6976">
            <v>2</v>
          </cell>
          <cell r="R6976">
            <v>45818</v>
          </cell>
          <cell r="S6976">
            <v>227001</v>
          </cell>
        </row>
        <row r="6977">
          <cell r="K6977" t="str">
            <v>201011</v>
          </cell>
          <cell r="M6977">
            <v>2</v>
          </cell>
          <cell r="R6977">
            <v>45818</v>
          </cell>
          <cell r="S6977">
            <v>201011</v>
          </cell>
        </row>
        <row r="6978">
          <cell r="K6978" t="str">
            <v>223001</v>
          </cell>
          <cell r="M6978">
            <v>2</v>
          </cell>
          <cell r="R6978">
            <v>45818</v>
          </cell>
          <cell r="S6978">
            <v>223001</v>
          </cell>
        </row>
        <row r="6979">
          <cell r="K6979" t="str">
            <v>223002</v>
          </cell>
          <cell r="M6979">
            <v>3</v>
          </cell>
          <cell r="R6979">
            <v>45818</v>
          </cell>
          <cell r="S6979">
            <v>223002</v>
          </cell>
        </row>
        <row r="6980">
          <cell r="K6980" t="str">
            <v>227012</v>
          </cell>
          <cell r="M6980">
            <v>1</v>
          </cell>
          <cell r="R6980">
            <v>45818</v>
          </cell>
          <cell r="S6980">
            <v>227012</v>
          </cell>
        </row>
        <row r="6981">
          <cell r="K6981" t="str">
            <v>227001</v>
          </cell>
          <cell r="M6981">
            <v>1</v>
          </cell>
          <cell r="R6981">
            <v>45819</v>
          </cell>
          <cell r="S6981">
            <v>227001</v>
          </cell>
        </row>
        <row r="6982">
          <cell r="K6982" t="str">
            <v>201011</v>
          </cell>
          <cell r="M6982">
            <v>1</v>
          </cell>
          <cell r="R6982">
            <v>45819</v>
          </cell>
          <cell r="S6982">
            <v>201011</v>
          </cell>
        </row>
        <row r="6983">
          <cell r="K6983" t="str">
            <v>227012</v>
          </cell>
          <cell r="M6983">
            <v>5</v>
          </cell>
          <cell r="R6983">
            <v>45818</v>
          </cell>
          <cell r="S6983">
            <v>227012</v>
          </cell>
        </row>
        <row r="6984">
          <cell r="K6984" t="str">
            <v>213003</v>
          </cell>
          <cell r="M6984">
            <v>1</v>
          </cell>
          <cell r="R6984">
            <v>45819</v>
          </cell>
          <cell r="S6984">
            <v>213003</v>
          </cell>
        </row>
        <row r="6985">
          <cell r="K6985" t="str">
            <v>209004</v>
          </cell>
          <cell r="M6985">
            <v>2</v>
          </cell>
          <cell r="R6985">
            <v>45819</v>
          </cell>
          <cell r="S6985">
            <v>209004</v>
          </cell>
        </row>
        <row r="6986">
          <cell r="K6986" t="str">
            <v>213003</v>
          </cell>
          <cell r="M6986">
            <v>4</v>
          </cell>
          <cell r="R6986">
            <v>45818</v>
          </cell>
          <cell r="S6986">
            <v>213003</v>
          </cell>
        </row>
        <row r="6987">
          <cell r="K6987" t="str">
            <v>218001</v>
          </cell>
          <cell r="M6987">
            <v>1</v>
          </cell>
          <cell r="R6987">
            <v>45818</v>
          </cell>
          <cell r="S6987">
            <v>218001</v>
          </cell>
        </row>
        <row r="6988">
          <cell r="K6988" t="str">
            <v>218001</v>
          </cell>
          <cell r="M6988">
            <v>1</v>
          </cell>
          <cell r="R6988">
            <v>45818</v>
          </cell>
          <cell r="S6988">
            <v>218001</v>
          </cell>
        </row>
        <row r="6989">
          <cell r="K6989" t="str">
            <v>203001</v>
          </cell>
          <cell r="M6989">
            <v>1</v>
          </cell>
          <cell r="R6989">
            <v>45818</v>
          </cell>
          <cell r="S6989">
            <v>203001</v>
          </cell>
        </row>
        <row r="6990">
          <cell r="K6990" t="str">
            <v>226001</v>
          </cell>
          <cell r="M6990">
            <v>1</v>
          </cell>
          <cell r="R6990">
            <v>45818</v>
          </cell>
          <cell r="S6990">
            <v>226001</v>
          </cell>
        </row>
        <row r="6991">
          <cell r="K6991" t="str">
            <v>203004</v>
          </cell>
          <cell r="M6991">
            <v>1</v>
          </cell>
          <cell r="R6991">
            <v>45818</v>
          </cell>
          <cell r="S6991">
            <v>203004</v>
          </cell>
        </row>
        <row r="6992">
          <cell r="K6992" t="str">
            <v>206002</v>
          </cell>
          <cell r="M6992">
            <v>1</v>
          </cell>
          <cell r="R6992">
            <v>45818</v>
          </cell>
          <cell r="S6992">
            <v>206002</v>
          </cell>
        </row>
        <row r="6993">
          <cell r="K6993" t="str">
            <v>203001</v>
          </cell>
          <cell r="M6993">
            <v>4</v>
          </cell>
          <cell r="R6993">
            <v>45818</v>
          </cell>
          <cell r="S6993">
            <v>203001</v>
          </cell>
        </row>
        <row r="6994">
          <cell r="K6994" t="str">
            <v>218001</v>
          </cell>
          <cell r="M6994">
            <v>1</v>
          </cell>
          <cell r="R6994">
            <v>45818</v>
          </cell>
          <cell r="S6994">
            <v>218001</v>
          </cell>
        </row>
        <row r="6995">
          <cell r="K6995" t="str">
            <v>229004</v>
          </cell>
          <cell r="M6995">
            <v>2</v>
          </cell>
          <cell r="R6995">
            <v>45818</v>
          </cell>
          <cell r="S6995">
            <v>229004</v>
          </cell>
        </row>
        <row r="6996">
          <cell r="K6996" t="str">
            <v>213002</v>
          </cell>
          <cell r="M6996">
            <v>3</v>
          </cell>
          <cell r="R6996">
            <v>45818</v>
          </cell>
          <cell r="S6996">
            <v>213002</v>
          </cell>
        </row>
        <row r="6997">
          <cell r="K6997" t="str">
            <v>203001</v>
          </cell>
          <cell r="M6997">
            <v>2</v>
          </cell>
          <cell r="R6997">
            <v>45818</v>
          </cell>
          <cell r="S6997">
            <v>203001</v>
          </cell>
        </row>
        <row r="6998">
          <cell r="K6998" t="str">
            <v>226022</v>
          </cell>
          <cell r="M6998">
            <v>1</v>
          </cell>
          <cell r="R6998">
            <v>45819</v>
          </cell>
          <cell r="S6998">
            <v>226022</v>
          </cell>
        </row>
        <row r="6999">
          <cell r="K6999" t="str">
            <v>227001</v>
          </cell>
          <cell r="M6999">
            <v>2</v>
          </cell>
          <cell r="R6999">
            <v>45819</v>
          </cell>
          <cell r="S6999">
            <v>227001</v>
          </cell>
        </row>
        <row r="7000">
          <cell r="K7000" t="str">
            <v>213003</v>
          </cell>
          <cell r="M7000">
            <v>1</v>
          </cell>
          <cell r="R7000">
            <v>45819</v>
          </cell>
          <cell r="S7000">
            <v>213003</v>
          </cell>
        </row>
        <row r="7001">
          <cell r="K7001" t="str">
            <v>217002</v>
          </cell>
          <cell r="M7001">
            <v>8</v>
          </cell>
          <cell r="R7001">
            <v>45818</v>
          </cell>
          <cell r="S7001">
            <v>217002</v>
          </cell>
        </row>
        <row r="7002">
          <cell r="K7002" t="str">
            <v>213002</v>
          </cell>
          <cell r="M7002">
            <v>6</v>
          </cell>
          <cell r="R7002">
            <v>45818</v>
          </cell>
          <cell r="S7002">
            <v>213002</v>
          </cell>
        </row>
        <row r="7003">
          <cell r="K7003" t="str">
            <v>228001</v>
          </cell>
          <cell r="M7003">
            <v>3</v>
          </cell>
          <cell r="R7003">
            <v>45819</v>
          </cell>
          <cell r="S7003">
            <v>228001</v>
          </cell>
        </row>
        <row r="7004">
          <cell r="K7004" t="str">
            <v>212002</v>
          </cell>
          <cell r="M7004">
            <v>1</v>
          </cell>
          <cell r="R7004">
            <v>45819</v>
          </cell>
          <cell r="S7004">
            <v>212002</v>
          </cell>
        </row>
        <row r="7005">
          <cell r="K7005" t="str">
            <v>207017</v>
          </cell>
          <cell r="M7005">
            <v>1</v>
          </cell>
          <cell r="R7005">
            <v>45819</v>
          </cell>
          <cell r="S7005">
            <v>207017</v>
          </cell>
        </row>
        <row r="7006">
          <cell r="K7006" t="str">
            <v>209004</v>
          </cell>
          <cell r="M7006">
            <v>2</v>
          </cell>
          <cell r="R7006">
            <v>45819</v>
          </cell>
          <cell r="S7006">
            <v>209004</v>
          </cell>
        </row>
        <row r="7007">
          <cell r="K7007" t="str">
            <v>226001</v>
          </cell>
          <cell r="M7007">
            <v>1</v>
          </cell>
          <cell r="R7007">
            <v>45819</v>
          </cell>
          <cell r="S7007">
            <v>226001</v>
          </cell>
        </row>
        <row r="7008">
          <cell r="K7008" t="str">
            <v>226001</v>
          </cell>
          <cell r="M7008">
            <v>1</v>
          </cell>
          <cell r="R7008">
            <v>45819</v>
          </cell>
          <cell r="S7008">
            <v>226001</v>
          </cell>
        </row>
        <row r="7009">
          <cell r="K7009" t="str">
            <v>228001</v>
          </cell>
          <cell r="M7009">
            <v>6</v>
          </cell>
          <cell r="R7009">
            <v>45819</v>
          </cell>
          <cell r="S7009">
            <v>228001</v>
          </cell>
        </row>
        <row r="7010">
          <cell r="K7010" t="str">
            <v>213003</v>
          </cell>
          <cell r="M7010">
            <v>3</v>
          </cell>
          <cell r="R7010">
            <v>45819</v>
          </cell>
          <cell r="S7010">
            <v>213003</v>
          </cell>
        </row>
        <row r="7011">
          <cell r="K7011" t="str">
            <v>201022</v>
          </cell>
          <cell r="M7011">
            <v>1</v>
          </cell>
          <cell r="R7011">
            <v>45819</v>
          </cell>
          <cell r="S7011">
            <v>201022</v>
          </cell>
        </row>
        <row r="7012">
          <cell r="K7012" t="str">
            <v>212035</v>
          </cell>
          <cell r="M7012">
            <v>80</v>
          </cell>
          <cell r="R7012">
            <v>45819</v>
          </cell>
          <cell r="S7012">
            <v>212035</v>
          </cell>
        </row>
        <row r="7013">
          <cell r="K7013" t="str">
            <v>231010</v>
          </cell>
          <cell r="M7013">
            <v>1</v>
          </cell>
          <cell r="R7013">
            <v>45819</v>
          </cell>
          <cell r="S7013">
            <v>231010</v>
          </cell>
        </row>
        <row r="7014">
          <cell r="K7014" t="str">
            <v>201021</v>
          </cell>
          <cell r="M7014">
            <v>5</v>
          </cell>
          <cell r="R7014">
            <v>45819</v>
          </cell>
          <cell r="S7014">
            <v>201021</v>
          </cell>
        </row>
        <row r="7015">
          <cell r="K7015" t="str">
            <v>227012</v>
          </cell>
          <cell r="M7015">
            <v>1</v>
          </cell>
          <cell r="R7015">
            <v>45819</v>
          </cell>
          <cell r="S7015">
            <v>227012</v>
          </cell>
        </row>
        <row r="7016">
          <cell r="K7016" t="str">
            <v>223002</v>
          </cell>
          <cell r="M7016">
            <v>8</v>
          </cell>
          <cell r="R7016">
            <v>45819</v>
          </cell>
          <cell r="S7016">
            <v>223002</v>
          </cell>
        </row>
        <row r="7017">
          <cell r="K7017" t="str">
            <v>223001</v>
          </cell>
          <cell r="M7017">
            <v>4</v>
          </cell>
          <cell r="R7017">
            <v>45819</v>
          </cell>
          <cell r="S7017">
            <v>223001</v>
          </cell>
        </row>
        <row r="7018">
          <cell r="K7018" t="str">
            <v>231010</v>
          </cell>
          <cell r="M7018">
            <v>10</v>
          </cell>
          <cell r="R7018">
            <v>45819</v>
          </cell>
          <cell r="S7018">
            <v>231010</v>
          </cell>
        </row>
        <row r="7019">
          <cell r="K7019" t="str">
            <v>217002</v>
          </cell>
          <cell r="M7019">
            <v>2</v>
          </cell>
          <cell r="R7019">
            <v>45819</v>
          </cell>
          <cell r="S7019">
            <v>217002</v>
          </cell>
        </row>
        <row r="7020">
          <cell r="K7020" t="str">
            <v>217002</v>
          </cell>
          <cell r="M7020">
            <v>6</v>
          </cell>
          <cell r="R7020">
            <v>45819</v>
          </cell>
          <cell r="S7020">
            <v>217002</v>
          </cell>
        </row>
        <row r="7021">
          <cell r="K7021" t="str">
            <v>231010</v>
          </cell>
          <cell r="M7021">
            <v>1</v>
          </cell>
          <cell r="R7021">
            <v>45819</v>
          </cell>
          <cell r="S7021">
            <v>231010</v>
          </cell>
        </row>
        <row r="7022">
          <cell r="K7022" t="str">
            <v>231010</v>
          </cell>
          <cell r="M7022">
            <v>1</v>
          </cell>
          <cell r="R7022">
            <v>45819</v>
          </cell>
          <cell r="S7022">
            <v>231010</v>
          </cell>
        </row>
        <row r="7023">
          <cell r="K7023" t="str">
            <v>223001</v>
          </cell>
          <cell r="M7023">
            <v>2</v>
          </cell>
          <cell r="R7023">
            <v>45819</v>
          </cell>
          <cell r="S7023">
            <v>223001</v>
          </cell>
        </row>
        <row r="7024">
          <cell r="K7024" t="str">
            <v>223002</v>
          </cell>
          <cell r="M7024">
            <v>1</v>
          </cell>
          <cell r="R7024">
            <v>45819</v>
          </cell>
          <cell r="S7024">
            <v>223002</v>
          </cell>
        </row>
        <row r="7025">
          <cell r="K7025" t="str">
            <v>206005</v>
          </cell>
          <cell r="M7025">
            <v>1</v>
          </cell>
          <cell r="R7025">
            <v>45820</v>
          </cell>
          <cell r="S7025">
            <v>206005</v>
          </cell>
        </row>
        <row r="7026">
          <cell r="K7026" t="str">
            <v>209001</v>
          </cell>
          <cell r="M7026">
            <v>2</v>
          </cell>
          <cell r="R7026">
            <v>45819</v>
          </cell>
          <cell r="S7026">
            <v>209001</v>
          </cell>
        </row>
        <row r="7027">
          <cell r="K7027" t="str">
            <v>231010</v>
          </cell>
          <cell r="M7027">
            <v>1</v>
          </cell>
          <cell r="R7027">
            <v>45819</v>
          </cell>
          <cell r="S7027">
            <v>231010</v>
          </cell>
        </row>
        <row r="7028">
          <cell r="K7028" t="str">
            <v>229001</v>
          </cell>
          <cell r="M7028">
            <v>15</v>
          </cell>
          <cell r="R7028">
            <v>45819</v>
          </cell>
          <cell r="S7028">
            <v>229001</v>
          </cell>
        </row>
        <row r="7029">
          <cell r="K7029" t="str">
            <v>201011</v>
          </cell>
          <cell r="M7029">
            <v>30</v>
          </cell>
          <cell r="R7029">
            <v>45819</v>
          </cell>
          <cell r="S7029">
            <v>201011</v>
          </cell>
        </row>
        <row r="7030">
          <cell r="K7030" t="str">
            <v>231010</v>
          </cell>
          <cell r="M7030">
            <v>4</v>
          </cell>
          <cell r="R7030">
            <v>45819</v>
          </cell>
          <cell r="S7030">
            <v>231010</v>
          </cell>
        </row>
        <row r="7031">
          <cell r="K7031" t="str">
            <v>217006</v>
          </cell>
          <cell r="M7031">
            <v>1</v>
          </cell>
          <cell r="R7031">
            <v>45820</v>
          </cell>
          <cell r="S7031">
            <v>217006</v>
          </cell>
        </row>
        <row r="7032">
          <cell r="K7032" t="str">
            <v>213018</v>
          </cell>
          <cell r="M7032">
            <v>1</v>
          </cell>
          <cell r="R7032">
            <v>45820</v>
          </cell>
          <cell r="S7032">
            <v>213018</v>
          </cell>
        </row>
        <row r="7033">
          <cell r="K7033" t="str">
            <v>212035</v>
          </cell>
          <cell r="M7033">
            <v>1</v>
          </cell>
          <cell r="R7033">
            <v>45820</v>
          </cell>
          <cell r="S7033">
            <v>212035</v>
          </cell>
        </row>
        <row r="7034">
          <cell r="K7034" t="str">
            <v>201011</v>
          </cell>
          <cell r="M7034">
            <v>4</v>
          </cell>
          <cell r="R7034">
            <v>45820</v>
          </cell>
          <cell r="S7034">
            <v>201011</v>
          </cell>
        </row>
        <row r="7035">
          <cell r="K7035" t="str">
            <v>213002</v>
          </cell>
          <cell r="M7035">
            <v>12</v>
          </cell>
          <cell r="R7035">
            <v>45820</v>
          </cell>
          <cell r="S7035">
            <v>213002</v>
          </cell>
        </row>
        <row r="7036">
          <cell r="K7036" t="str">
            <v>223002</v>
          </cell>
          <cell r="M7036">
            <v>4</v>
          </cell>
          <cell r="R7036">
            <v>45820</v>
          </cell>
          <cell r="S7036">
            <v>223002</v>
          </cell>
        </row>
        <row r="7037">
          <cell r="K7037" t="str">
            <v>203001</v>
          </cell>
          <cell r="M7037">
            <v>2</v>
          </cell>
          <cell r="R7037">
            <v>45820</v>
          </cell>
          <cell r="S7037">
            <v>203001</v>
          </cell>
        </row>
        <row r="7038">
          <cell r="K7038" t="str">
            <v>213002</v>
          </cell>
          <cell r="M7038">
            <v>4</v>
          </cell>
          <cell r="R7038">
            <v>45820</v>
          </cell>
          <cell r="S7038">
            <v>213002</v>
          </cell>
        </row>
        <row r="7039">
          <cell r="K7039" t="str">
            <v>222001</v>
          </cell>
          <cell r="M7039">
            <v>5</v>
          </cell>
          <cell r="R7039">
            <v>45820</v>
          </cell>
          <cell r="S7039">
            <v>222001</v>
          </cell>
        </row>
        <row r="7040">
          <cell r="K7040" t="str">
            <v>201011</v>
          </cell>
          <cell r="M7040">
            <v>40</v>
          </cell>
          <cell r="R7040">
            <v>45820</v>
          </cell>
          <cell r="S7040">
            <v>201011</v>
          </cell>
        </row>
        <row r="7041">
          <cell r="K7041" t="str">
            <v>209004</v>
          </cell>
          <cell r="M7041">
            <v>1</v>
          </cell>
          <cell r="R7041">
            <v>45820</v>
          </cell>
          <cell r="S7041">
            <v>209004</v>
          </cell>
        </row>
        <row r="7042">
          <cell r="K7042" t="str">
            <v>213024</v>
          </cell>
          <cell r="M7042">
            <v>30</v>
          </cell>
          <cell r="R7042">
            <v>45820</v>
          </cell>
          <cell r="S7042">
            <v>213024</v>
          </cell>
        </row>
        <row r="7043">
          <cell r="K7043" t="str">
            <v>210014</v>
          </cell>
          <cell r="M7043">
            <v>6</v>
          </cell>
          <cell r="R7043">
            <v>45820</v>
          </cell>
          <cell r="S7043">
            <v>210014</v>
          </cell>
        </row>
        <row r="7044">
          <cell r="K7044" t="str">
            <v>241001</v>
          </cell>
          <cell r="M7044">
            <v>10</v>
          </cell>
          <cell r="R7044">
            <v>45820</v>
          </cell>
          <cell r="S7044">
            <v>241001</v>
          </cell>
        </row>
        <row r="7045">
          <cell r="K7045" t="str">
            <v>223001</v>
          </cell>
          <cell r="M7045">
            <v>2</v>
          </cell>
          <cell r="R7045">
            <v>45820</v>
          </cell>
          <cell r="S7045">
            <v>223001</v>
          </cell>
        </row>
        <row r="7046">
          <cell r="K7046" t="str">
            <v>217021</v>
          </cell>
          <cell r="M7046">
            <v>1</v>
          </cell>
          <cell r="R7046">
            <v>45820</v>
          </cell>
          <cell r="S7046">
            <v>217021</v>
          </cell>
        </row>
        <row r="7047">
          <cell r="K7047" t="str">
            <v>213003</v>
          </cell>
          <cell r="M7047">
            <v>1</v>
          </cell>
          <cell r="R7047">
            <v>45820</v>
          </cell>
          <cell r="S7047">
            <v>213003</v>
          </cell>
        </row>
        <row r="7048">
          <cell r="K7048" t="str">
            <v>213003</v>
          </cell>
          <cell r="M7048">
            <v>1</v>
          </cell>
          <cell r="R7048">
            <v>45820</v>
          </cell>
          <cell r="S7048">
            <v>213003</v>
          </cell>
        </row>
        <row r="7049">
          <cell r="K7049" t="str">
            <v>210013</v>
          </cell>
          <cell r="M7049">
            <v>2</v>
          </cell>
          <cell r="R7049">
            <v>45820</v>
          </cell>
          <cell r="S7049">
            <v>210013</v>
          </cell>
        </row>
        <row r="7050">
          <cell r="K7050" t="str">
            <v>227001</v>
          </cell>
          <cell r="M7050">
            <v>1</v>
          </cell>
          <cell r="R7050">
            <v>45820</v>
          </cell>
          <cell r="S7050">
            <v>227001</v>
          </cell>
        </row>
        <row r="7051">
          <cell r="K7051" t="str">
            <v>213002</v>
          </cell>
          <cell r="M7051">
            <v>6</v>
          </cell>
          <cell r="R7051">
            <v>45820</v>
          </cell>
          <cell r="S7051">
            <v>213002</v>
          </cell>
        </row>
        <row r="7052">
          <cell r="K7052" t="str">
            <v>201011</v>
          </cell>
          <cell r="M7052">
            <v>15</v>
          </cell>
          <cell r="R7052">
            <v>45820</v>
          </cell>
          <cell r="S7052">
            <v>201011</v>
          </cell>
        </row>
        <row r="7053">
          <cell r="K7053" t="str">
            <v>206006</v>
          </cell>
          <cell r="M7053">
            <v>1</v>
          </cell>
          <cell r="R7053">
            <v>45820</v>
          </cell>
          <cell r="S7053">
            <v>206006</v>
          </cell>
        </row>
        <row r="7054">
          <cell r="K7054" t="str">
            <v>206005</v>
          </cell>
          <cell r="M7054">
            <v>1</v>
          </cell>
          <cell r="R7054">
            <v>45820</v>
          </cell>
          <cell r="S7054">
            <v>206005</v>
          </cell>
        </row>
        <row r="7055">
          <cell r="K7055" t="str">
            <v>218003</v>
          </cell>
          <cell r="M7055">
            <v>1</v>
          </cell>
          <cell r="R7055">
            <v>45820</v>
          </cell>
          <cell r="S7055">
            <v>218003</v>
          </cell>
        </row>
        <row r="7056">
          <cell r="K7056" t="str">
            <v>213018</v>
          </cell>
          <cell r="M7056">
            <v>1</v>
          </cell>
          <cell r="R7056">
            <v>45820</v>
          </cell>
          <cell r="S7056">
            <v>213018</v>
          </cell>
        </row>
        <row r="7057">
          <cell r="K7057" t="str">
            <v>229004</v>
          </cell>
          <cell r="M7057">
            <v>1</v>
          </cell>
          <cell r="R7057">
            <v>45820</v>
          </cell>
          <cell r="S7057">
            <v>229004</v>
          </cell>
        </row>
        <row r="7058">
          <cell r="K7058" t="str">
            <v>213024</v>
          </cell>
          <cell r="M7058">
            <v>4</v>
          </cell>
          <cell r="R7058">
            <v>45820</v>
          </cell>
          <cell r="S7058">
            <v>213024</v>
          </cell>
        </row>
        <row r="7059">
          <cell r="K7059" t="str">
            <v>208001</v>
          </cell>
          <cell r="M7059">
            <v>1</v>
          </cell>
          <cell r="R7059">
            <v>45820</v>
          </cell>
          <cell r="S7059">
            <v>208001</v>
          </cell>
        </row>
        <row r="7060">
          <cell r="K7060" t="str">
            <v>226001</v>
          </cell>
          <cell r="M7060">
            <v>1</v>
          </cell>
          <cell r="R7060">
            <v>45820</v>
          </cell>
          <cell r="S7060">
            <v>226001</v>
          </cell>
        </row>
        <row r="7061">
          <cell r="K7061" t="str">
            <v>209004</v>
          </cell>
          <cell r="M7061">
            <v>1</v>
          </cell>
          <cell r="R7061">
            <v>45820</v>
          </cell>
          <cell r="S7061">
            <v>209004</v>
          </cell>
        </row>
        <row r="7062">
          <cell r="K7062" t="str">
            <v>217021</v>
          </cell>
          <cell r="M7062">
            <v>4</v>
          </cell>
          <cell r="R7062">
            <v>45820</v>
          </cell>
          <cell r="S7062">
            <v>217021</v>
          </cell>
        </row>
        <row r="7063">
          <cell r="K7063" t="str">
            <v>213003</v>
          </cell>
          <cell r="M7063">
            <v>1</v>
          </cell>
          <cell r="R7063">
            <v>45821</v>
          </cell>
          <cell r="S7063">
            <v>213003</v>
          </cell>
        </row>
        <row r="7064">
          <cell r="K7064" t="str">
            <v>201011</v>
          </cell>
          <cell r="M7064">
            <v>2</v>
          </cell>
          <cell r="R7064">
            <v>45820</v>
          </cell>
          <cell r="S7064">
            <v>201011</v>
          </cell>
        </row>
        <row r="7065">
          <cell r="K7065" t="str">
            <v>222001</v>
          </cell>
          <cell r="M7065">
            <v>1</v>
          </cell>
          <cell r="R7065">
            <v>45820</v>
          </cell>
          <cell r="S7065">
            <v>222001</v>
          </cell>
        </row>
        <row r="7066">
          <cell r="K7066" t="str">
            <v>213002</v>
          </cell>
          <cell r="M7066">
            <v>2</v>
          </cell>
          <cell r="R7066">
            <v>45820</v>
          </cell>
          <cell r="S7066">
            <v>213002</v>
          </cell>
        </row>
        <row r="7067">
          <cell r="K7067" t="str">
            <v>241001</v>
          </cell>
          <cell r="M7067">
            <v>1</v>
          </cell>
          <cell r="R7067">
            <v>45820</v>
          </cell>
          <cell r="S7067">
            <v>241001</v>
          </cell>
        </row>
        <row r="7068">
          <cell r="K7068" t="str">
            <v>201011</v>
          </cell>
          <cell r="M7068">
            <v>4</v>
          </cell>
          <cell r="R7068">
            <v>45820</v>
          </cell>
          <cell r="S7068">
            <v>201011</v>
          </cell>
        </row>
        <row r="7069">
          <cell r="K7069" t="str">
            <v>223001</v>
          </cell>
          <cell r="M7069">
            <v>4</v>
          </cell>
          <cell r="R7069">
            <v>45820</v>
          </cell>
          <cell r="S7069">
            <v>223001</v>
          </cell>
        </row>
        <row r="7070">
          <cell r="K7070" t="str">
            <v>223002</v>
          </cell>
          <cell r="M7070">
            <v>4</v>
          </cell>
          <cell r="R7070">
            <v>45820</v>
          </cell>
          <cell r="S7070">
            <v>223002</v>
          </cell>
        </row>
        <row r="7071">
          <cell r="K7071" t="str">
            <v>241001</v>
          </cell>
          <cell r="M7071">
            <v>3</v>
          </cell>
          <cell r="R7071">
            <v>45820</v>
          </cell>
          <cell r="S7071">
            <v>241001</v>
          </cell>
        </row>
        <row r="7072">
          <cell r="K7072" t="str">
            <v>201002</v>
          </cell>
          <cell r="M7072">
            <v>1</v>
          </cell>
          <cell r="R7072">
            <v>45820</v>
          </cell>
          <cell r="S7072">
            <v>201002</v>
          </cell>
        </row>
        <row r="7073">
          <cell r="K7073" t="str">
            <v>201011</v>
          </cell>
          <cell r="M7073">
            <v>2</v>
          </cell>
          <cell r="R7073">
            <v>45820</v>
          </cell>
          <cell r="S7073">
            <v>201011</v>
          </cell>
        </row>
        <row r="7074">
          <cell r="K7074" t="str">
            <v>209001</v>
          </cell>
          <cell r="M7074">
            <v>1</v>
          </cell>
          <cell r="R7074">
            <v>45820</v>
          </cell>
          <cell r="S7074">
            <v>209001</v>
          </cell>
        </row>
        <row r="7075">
          <cell r="K7075" t="str">
            <v>213002</v>
          </cell>
          <cell r="M7075">
            <v>1</v>
          </cell>
          <cell r="R7075">
            <v>45820</v>
          </cell>
          <cell r="S7075">
            <v>213002</v>
          </cell>
        </row>
        <row r="7076">
          <cell r="K7076" t="str">
            <v>203003</v>
          </cell>
          <cell r="M7076">
            <v>1</v>
          </cell>
          <cell r="R7076">
            <v>45820</v>
          </cell>
          <cell r="S7076">
            <v>203003</v>
          </cell>
        </row>
        <row r="7077">
          <cell r="K7077" t="str">
            <v>228001</v>
          </cell>
          <cell r="M7077">
            <v>2</v>
          </cell>
          <cell r="R7077">
            <v>45821</v>
          </cell>
          <cell r="S7077">
            <v>228001</v>
          </cell>
        </row>
        <row r="7078">
          <cell r="K7078" t="str">
            <v>226001</v>
          </cell>
          <cell r="M7078">
            <v>2</v>
          </cell>
          <cell r="R7078">
            <v>45820</v>
          </cell>
          <cell r="S7078">
            <v>226001</v>
          </cell>
        </row>
        <row r="7079">
          <cell r="K7079" t="str">
            <v>222001</v>
          </cell>
          <cell r="M7079">
            <v>3</v>
          </cell>
          <cell r="R7079">
            <v>45821</v>
          </cell>
          <cell r="S7079">
            <v>222001</v>
          </cell>
        </row>
        <row r="7080">
          <cell r="K7080" t="str">
            <v>213003</v>
          </cell>
          <cell r="M7080">
            <v>2</v>
          </cell>
          <cell r="R7080">
            <v>45821</v>
          </cell>
          <cell r="S7080">
            <v>213003</v>
          </cell>
        </row>
        <row r="7081">
          <cell r="K7081" t="str">
            <v>212019</v>
          </cell>
          <cell r="M7081">
            <v>1</v>
          </cell>
          <cell r="R7081">
            <v>45821</v>
          </cell>
          <cell r="S7081">
            <v>212019</v>
          </cell>
        </row>
        <row r="7082">
          <cell r="K7082" t="str">
            <v>241001</v>
          </cell>
          <cell r="M7082">
            <v>3</v>
          </cell>
          <cell r="R7082">
            <v>45821</v>
          </cell>
          <cell r="S7082">
            <v>241001</v>
          </cell>
        </row>
        <row r="7083">
          <cell r="K7083" t="str">
            <v>201011</v>
          </cell>
          <cell r="M7083">
            <v>6</v>
          </cell>
          <cell r="R7083">
            <v>45820</v>
          </cell>
          <cell r="S7083">
            <v>201011</v>
          </cell>
        </row>
        <row r="7084">
          <cell r="K7084" t="str">
            <v>201003</v>
          </cell>
          <cell r="M7084">
            <v>1</v>
          </cell>
          <cell r="R7084">
            <v>45821</v>
          </cell>
          <cell r="S7084">
            <v>201003</v>
          </cell>
        </row>
        <row r="7085">
          <cell r="K7085" t="str">
            <v>203003</v>
          </cell>
          <cell r="M7085">
            <v>2</v>
          </cell>
          <cell r="R7085">
            <v>45820</v>
          </cell>
          <cell r="S7085">
            <v>203003</v>
          </cell>
        </row>
        <row r="7086">
          <cell r="K7086" t="str">
            <v>217019</v>
          </cell>
          <cell r="M7086">
            <v>9</v>
          </cell>
          <cell r="R7086">
            <v>45821</v>
          </cell>
          <cell r="S7086">
            <v>217019</v>
          </cell>
        </row>
        <row r="7087">
          <cell r="K7087" t="str">
            <v>209001</v>
          </cell>
          <cell r="M7087">
            <v>3</v>
          </cell>
          <cell r="R7087">
            <v>45821</v>
          </cell>
          <cell r="S7087">
            <v>209001</v>
          </cell>
        </row>
        <row r="7088">
          <cell r="K7088" t="str">
            <v>213002</v>
          </cell>
          <cell r="M7088">
            <v>3</v>
          </cell>
          <cell r="R7088">
            <v>45821</v>
          </cell>
          <cell r="S7088">
            <v>213002</v>
          </cell>
        </row>
        <row r="7089">
          <cell r="K7089" t="str">
            <v>226025</v>
          </cell>
          <cell r="M7089">
            <v>1</v>
          </cell>
          <cell r="R7089">
            <v>45821</v>
          </cell>
          <cell r="S7089">
            <v>226025</v>
          </cell>
        </row>
        <row r="7090">
          <cell r="K7090" t="str">
            <v>201004</v>
          </cell>
          <cell r="M7090">
            <v>2</v>
          </cell>
          <cell r="R7090">
            <v>45821</v>
          </cell>
          <cell r="S7090">
            <v>201004</v>
          </cell>
        </row>
        <row r="7091">
          <cell r="K7091" t="str">
            <v>217021</v>
          </cell>
          <cell r="M7091">
            <v>1</v>
          </cell>
          <cell r="R7091">
            <v>45821</v>
          </cell>
          <cell r="S7091">
            <v>217021</v>
          </cell>
        </row>
        <row r="7092">
          <cell r="K7092" t="str">
            <v>227002</v>
          </cell>
          <cell r="M7092">
            <v>1</v>
          </cell>
          <cell r="R7092">
            <v>45821</v>
          </cell>
          <cell r="S7092">
            <v>227002</v>
          </cell>
        </row>
        <row r="7093">
          <cell r="K7093" t="str">
            <v>217021</v>
          </cell>
          <cell r="M7093">
            <v>1</v>
          </cell>
          <cell r="R7093">
            <v>45821</v>
          </cell>
          <cell r="S7093">
            <v>217021</v>
          </cell>
        </row>
        <row r="7094">
          <cell r="K7094" t="str">
            <v>226025</v>
          </cell>
          <cell r="M7094">
            <v>1</v>
          </cell>
          <cell r="R7094">
            <v>45821</v>
          </cell>
          <cell r="S7094">
            <v>226025</v>
          </cell>
        </row>
        <row r="7095">
          <cell r="K7095" t="str">
            <v>226001</v>
          </cell>
          <cell r="M7095">
            <v>5</v>
          </cell>
          <cell r="R7095">
            <v>45821</v>
          </cell>
          <cell r="S7095">
            <v>226001</v>
          </cell>
        </row>
        <row r="7096">
          <cell r="K7096" t="str">
            <v>217020</v>
          </cell>
          <cell r="M7096">
            <v>1</v>
          </cell>
          <cell r="R7096">
            <v>45821</v>
          </cell>
          <cell r="S7096">
            <v>217020</v>
          </cell>
        </row>
        <row r="7097">
          <cell r="K7097" t="str">
            <v>223017</v>
          </cell>
          <cell r="M7097">
            <v>7</v>
          </cell>
          <cell r="R7097">
            <v>45821</v>
          </cell>
          <cell r="S7097">
            <v>223017</v>
          </cell>
        </row>
        <row r="7098">
          <cell r="K7098" t="str">
            <v>227014</v>
          </cell>
          <cell r="M7098">
            <v>1</v>
          </cell>
          <cell r="R7098">
            <v>45821</v>
          </cell>
          <cell r="S7098">
            <v>227014</v>
          </cell>
        </row>
        <row r="7099">
          <cell r="K7099" t="str">
            <v>201011</v>
          </cell>
          <cell r="M7099">
            <v>6</v>
          </cell>
          <cell r="R7099">
            <v>45821</v>
          </cell>
          <cell r="S7099">
            <v>201011</v>
          </cell>
        </row>
        <row r="7100">
          <cell r="K7100" t="str">
            <v>231010</v>
          </cell>
          <cell r="M7100">
            <v>4</v>
          </cell>
          <cell r="R7100">
            <v>45821</v>
          </cell>
          <cell r="S7100">
            <v>231010</v>
          </cell>
        </row>
        <row r="7101">
          <cell r="K7101" t="str">
            <v>222001</v>
          </cell>
          <cell r="M7101">
            <v>1</v>
          </cell>
          <cell r="R7101">
            <v>45821</v>
          </cell>
          <cell r="S7101">
            <v>222001</v>
          </cell>
        </row>
        <row r="7102">
          <cell r="K7102" t="str">
            <v>226001</v>
          </cell>
          <cell r="M7102">
            <v>1</v>
          </cell>
          <cell r="R7102">
            <v>45821</v>
          </cell>
          <cell r="S7102">
            <v>226001</v>
          </cell>
        </row>
        <row r="7103">
          <cell r="K7103" t="str">
            <v>226001</v>
          </cell>
          <cell r="M7103">
            <v>3</v>
          </cell>
          <cell r="R7103">
            <v>45821</v>
          </cell>
          <cell r="S7103">
            <v>226001</v>
          </cell>
        </row>
        <row r="7104">
          <cell r="K7104" t="str">
            <v>231012</v>
          </cell>
          <cell r="M7104">
            <v>1</v>
          </cell>
          <cell r="R7104">
            <v>45821</v>
          </cell>
          <cell r="S7104">
            <v>231012</v>
          </cell>
        </row>
        <row r="7105">
          <cell r="K7105" t="str">
            <v>213024</v>
          </cell>
          <cell r="M7105">
            <v>1</v>
          </cell>
          <cell r="R7105">
            <v>45821</v>
          </cell>
          <cell r="S7105">
            <v>213024</v>
          </cell>
        </row>
        <row r="7106">
          <cell r="K7106" t="str">
            <v>226001</v>
          </cell>
          <cell r="M7106">
            <v>1</v>
          </cell>
          <cell r="R7106">
            <v>45821</v>
          </cell>
          <cell r="S7106">
            <v>226001</v>
          </cell>
        </row>
        <row r="7107">
          <cell r="K7107" t="str">
            <v>231012</v>
          </cell>
          <cell r="M7107">
            <v>2</v>
          </cell>
          <cell r="R7107">
            <v>45821</v>
          </cell>
          <cell r="S7107">
            <v>231012</v>
          </cell>
        </row>
        <row r="7108">
          <cell r="K7108" t="str">
            <v>241001</v>
          </cell>
          <cell r="M7108">
            <v>10</v>
          </cell>
          <cell r="R7108">
            <v>45821</v>
          </cell>
          <cell r="S7108">
            <v>241001</v>
          </cell>
        </row>
        <row r="7109">
          <cell r="K7109" t="str">
            <v>237001</v>
          </cell>
          <cell r="M7109">
            <v>1</v>
          </cell>
          <cell r="R7109">
            <v>45821</v>
          </cell>
          <cell r="S7109">
            <v>237001</v>
          </cell>
        </row>
        <row r="7110">
          <cell r="K7110" t="str">
            <v>213002</v>
          </cell>
          <cell r="M7110">
            <v>6</v>
          </cell>
          <cell r="R7110">
            <v>45823</v>
          </cell>
          <cell r="S7110">
            <v>213002</v>
          </cell>
        </row>
        <row r="7111">
          <cell r="K7111" t="str">
            <v>217021</v>
          </cell>
          <cell r="M7111">
            <v>2</v>
          </cell>
          <cell r="R7111">
            <v>45823</v>
          </cell>
          <cell r="S7111">
            <v>217021</v>
          </cell>
        </row>
        <row r="7112">
          <cell r="K7112" t="str">
            <v>223002</v>
          </cell>
          <cell r="M7112">
            <v>3</v>
          </cell>
          <cell r="R7112">
            <v>45824</v>
          </cell>
          <cell r="S7112">
            <v>223002</v>
          </cell>
        </row>
        <row r="7113">
          <cell r="K7113" t="str">
            <v>241001</v>
          </cell>
          <cell r="M7113">
            <v>6</v>
          </cell>
          <cell r="R7113">
            <v>45824</v>
          </cell>
          <cell r="S7113">
            <v>241001</v>
          </cell>
        </row>
        <row r="7114">
          <cell r="K7114" t="str">
            <v>201011</v>
          </cell>
          <cell r="M7114">
            <v>2</v>
          </cell>
          <cell r="R7114">
            <v>45824</v>
          </cell>
          <cell r="S7114">
            <v>201011</v>
          </cell>
        </row>
        <row r="7115">
          <cell r="K7115" t="str">
            <v>201011</v>
          </cell>
          <cell r="M7115">
            <v>2</v>
          </cell>
          <cell r="R7115">
            <v>45823</v>
          </cell>
          <cell r="S7115">
            <v>201011</v>
          </cell>
        </row>
        <row r="7116">
          <cell r="K7116" t="str">
            <v>209001</v>
          </cell>
          <cell r="M7116">
            <v>1</v>
          </cell>
          <cell r="R7116">
            <v>45823</v>
          </cell>
          <cell r="S7116">
            <v>209001</v>
          </cell>
        </row>
        <row r="7117">
          <cell r="K7117" t="str">
            <v>201011</v>
          </cell>
          <cell r="M7117">
            <v>5</v>
          </cell>
          <cell r="R7117">
            <v>45823</v>
          </cell>
          <cell r="S7117">
            <v>201011</v>
          </cell>
        </row>
        <row r="7118">
          <cell r="K7118" t="str">
            <v>223001</v>
          </cell>
          <cell r="M7118">
            <v>2</v>
          </cell>
          <cell r="R7118">
            <v>45823</v>
          </cell>
          <cell r="S7118">
            <v>223001</v>
          </cell>
        </row>
        <row r="7119">
          <cell r="K7119" t="str">
            <v>213002</v>
          </cell>
          <cell r="M7119">
            <v>1</v>
          </cell>
          <cell r="R7119">
            <v>45823</v>
          </cell>
          <cell r="S7119">
            <v>213002</v>
          </cell>
        </row>
        <row r="7120">
          <cell r="K7120" t="str">
            <v>209001</v>
          </cell>
          <cell r="M7120">
            <v>2</v>
          </cell>
          <cell r="R7120">
            <v>45823</v>
          </cell>
          <cell r="S7120">
            <v>209001</v>
          </cell>
        </row>
        <row r="7121">
          <cell r="K7121" t="str">
            <v>201021</v>
          </cell>
          <cell r="M7121">
            <v>1</v>
          </cell>
          <cell r="R7121">
            <v>45823</v>
          </cell>
          <cell r="S7121">
            <v>201021</v>
          </cell>
        </row>
        <row r="7122">
          <cell r="K7122" t="str">
            <v>223002</v>
          </cell>
          <cell r="M7122">
            <v>3</v>
          </cell>
          <cell r="R7122">
            <v>45823</v>
          </cell>
          <cell r="S7122">
            <v>223002</v>
          </cell>
        </row>
        <row r="7123">
          <cell r="K7123" t="str">
            <v>223001</v>
          </cell>
          <cell r="M7123">
            <v>10</v>
          </cell>
          <cell r="R7123">
            <v>45823</v>
          </cell>
          <cell r="S7123">
            <v>223001</v>
          </cell>
        </row>
        <row r="7124">
          <cell r="K7124" t="str">
            <v>227012</v>
          </cell>
          <cell r="M7124">
            <v>1</v>
          </cell>
          <cell r="R7124">
            <v>45823</v>
          </cell>
          <cell r="S7124">
            <v>227012</v>
          </cell>
        </row>
        <row r="7125">
          <cell r="K7125" t="str">
            <v>209022</v>
          </cell>
          <cell r="M7125">
            <v>4</v>
          </cell>
          <cell r="R7125">
            <v>45823</v>
          </cell>
          <cell r="S7125">
            <v>209022</v>
          </cell>
        </row>
        <row r="7126">
          <cell r="K7126" t="str">
            <v>212035</v>
          </cell>
          <cell r="M7126">
            <v>1</v>
          </cell>
          <cell r="R7126">
            <v>45824</v>
          </cell>
          <cell r="S7126">
            <v>212035</v>
          </cell>
        </row>
        <row r="7127">
          <cell r="K7127" t="str">
            <v>231012</v>
          </cell>
          <cell r="M7127">
            <v>1</v>
          </cell>
          <cell r="R7127">
            <v>45824</v>
          </cell>
          <cell r="S7127">
            <v>231012</v>
          </cell>
        </row>
        <row r="7128">
          <cell r="K7128" t="str">
            <v>213002</v>
          </cell>
          <cell r="M7128">
            <v>3</v>
          </cell>
          <cell r="R7128">
            <v>45822</v>
          </cell>
          <cell r="S7128">
            <v>213002</v>
          </cell>
        </row>
        <row r="7129">
          <cell r="K7129" t="str">
            <v>201011</v>
          </cell>
          <cell r="M7129">
            <v>6</v>
          </cell>
          <cell r="R7129">
            <v>45822</v>
          </cell>
          <cell r="S7129">
            <v>201011</v>
          </cell>
        </row>
        <row r="7130">
          <cell r="K7130" t="str">
            <v>201011</v>
          </cell>
          <cell r="M7130">
            <v>6</v>
          </cell>
          <cell r="R7130">
            <v>45817</v>
          </cell>
          <cell r="S7130">
            <v>201011</v>
          </cell>
        </row>
        <row r="7131">
          <cell r="K7131" t="str">
            <v>213003</v>
          </cell>
          <cell r="M7131">
            <v>5</v>
          </cell>
          <cell r="R7131">
            <v>45817</v>
          </cell>
          <cell r="S7131">
            <v>213003</v>
          </cell>
        </row>
        <row r="7132">
          <cell r="K7132" t="str">
            <v>222001</v>
          </cell>
          <cell r="M7132">
            <v>7</v>
          </cell>
          <cell r="R7132">
            <v>45817</v>
          </cell>
          <cell r="S7132">
            <v>222001</v>
          </cell>
        </row>
        <row r="7133">
          <cell r="K7133" t="str">
            <v>201021</v>
          </cell>
          <cell r="M7133">
            <v>1</v>
          </cell>
          <cell r="R7133">
            <v>45824</v>
          </cell>
          <cell r="S7133">
            <v>201021</v>
          </cell>
        </row>
        <row r="7134">
          <cell r="K7134" t="str">
            <v>201011</v>
          </cell>
          <cell r="M7134">
            <v>3</v>
          </cell>
          <cell r="R7134">
            <v>45824</v>
          </cell>
          <cell r="S7134">
            <v>201011</v>
          </cell>
        </row>
        <row r="7135">
          <cell r="K7135" t="str">
            <v>201002</v>
          </cell>
          <cell r="M7135">
            <v>1</v>
          </cell>
          <cell r="R7135">
            <v>45824</v>
          </cell>
          <cell r="S7135">
            <v>201002</v>
          </cell>
        </row>
        <row r="7136">
          <cell r="K7136" t="str">
            <v>213002</v>
          </cell>
          <cell r="M7136">
            <v>2</v>
          </cell>
          <cell r="R7136">
            <v>45824</v>
          </cell>
          <cell r="S7136">
            <v>213002</v>
          </cell>
        </row>
        <row r="7137">
          <cell r="K7137" t="str">
            <v>207017</v>
          </cell>
          <cell r="M7137">
            <v>1</v>
          </cell>
          <cell r="R7137">
            <v>45824</v>
          </cell>
          <cell r="S7137">
            <v>207017</v>
          </cell>
        </row>
        <row r="7138">
          <cell r="K7138" t="str">
            <v>217018</v>
          </cell>
          <cell r="M7138">
            <v>5</v>
          </cell>
          <cell r="R7138">
            <v>45824</v>
          </cell>
          <cell r="S7138">
            <v>217018</v>
          </cell>
        </row>
        <row r="7139">
          <cell r="K7139" t="str">
            <v>201021</v>
          </cell>
          <cell r="M7139">
            <v>3</v>
          </cell>
          <cell r="R7139">
            <v>45824</v>
          </cell>
          <cell r="S7139">
            <v>201021</v>
          </cell>
        </row>
        <row r="7140">
          <cell r="K7140" t="str">
            <v>223001</v>
          </cell>
          <cell r="M7140">
            <v>1</v>
          </cell>
          <cell r="R7140">
            <v>45824</v>
          </cell>
          <cell r="S7140">
            <v>223001</v>
          </cell>
        </row>
        <row r="7141">
          <cell r="K7141" t="str">
            <v>271002</v>
          </cell>
          <cell r="M7141">
            <v>1</v>
          </cell>
          <cell r="R7141">
            <v>45824</v>
          </cell>
          <cell r="S7141">
            <v>271002</v>
          </cell>
        </row>
        <row r="7142">
          <cell r="K7142" t="str">
            <v>213002</v>
          </cell>
          <cell r="M7142">
            <v>10</v>
          </cell>
          <cell r="R7142">
            <v>45824</v>
          </cell>
          <cell r="S7142">
            <v>213002</v>
          </cell>
        </row>
        <row r="7143">
          <cell r="K7143" t="str">
            <v>213002</v>
          </cell>
          <cell r="M7143">
            <v>6</v>
          </cell>
          <cell r="R7143">
            <v>45824</v>
          </cell>
          <cell r="S7143">
            <v>213002</v>
          </cell>
        </row>
        <row r="7144">
          <cell r="K7144" t="str">
            <v>217019</v>
          </cell>
          <cell r="M7144">
            <v>23</v>
          </cell>
          <cell r="R7144">
            <v>45824</v>
          </cell>
          <cell r="S7144">
            <v>217019</v>
          </cell>
        </row>
        <row r="7145">
          <cell r="K7145" t="str">
            <v>228001</v>
          </cell>
          <cell r="M7145">
            <v>11</v>
          </cell>
          <cell r="R7145">
            <v>45824</v>
          </cell>
          <cell r="S7145">
            <v>228001</v>
          </cell>
        </row>
        <row r="7146">
          <cell r="K7146" t="str">
            <v>231012</v>
          </cell>
          <cell r="M7146">
            <v>10</v>
          </cell>
          <cell r="R7146">
            <v>45824</v>
          </cell>
          <cell r="S7146">
            <v>231012</v>
          </cell>
        </row>
        <row r="7147">
          <cell r="K7147" t="str">
            <v>228001</v>
          </cell>
          <cell r="M7147">
            <v>1</v>
          </cell>
          <cell r="R7147">
            <v>45824</v>
          </cell>
          <cell r="S7147">
            <v>228001</v>
          </cell>
        </row>
        <row r="7148">
          <cell r="K7148" t="str">
            <v>210013</v>
          </cell>
          <cell r="M7148">
            <v>1</v>
          </cell>
          <cell r="R7148">
            <v>45824</v>
          </cell>
          <cell r="S7148">
            <v>210013</v>
          </cell>
        </row>
        <row r="7149">
          <cell r="K7149" t="str">
            <v>213003</v>
          </cell>
          <cell r="M7149">
            <v>1</v>
          </cell>
          <cell r="R7149">
            <v>45824</v>
          </cell>
          <cell r="S7149">
            <v>213003</v>
          </cell>
        </row>
        <row r="7150">
          <cell r="K7150" t="str">
            <v>223001</v>
          </cell>
          <cell r="M7150">
            <v>1</v>
          </cell>
          <cell r="R7150">
            <v>45824</v>
          </cell>
          <cell r="S7150">
            <v>223001</v>
          </cell>
        </row>
        <row r="7151">
          <cell r="K7151" t="str">
            <v>223002</v>
          </cell>
          <cell r="M7151">
            <v>3</v>
          </cell>
          <cell r="R7151">
            <v>45824</v>
          </cell>
          <cell r="S7151">
            <v>223002</v>
          </cell>
        </row>
        <row r="7152">
          <cell r="K7152" t="str">
            <v>223001</v>
          </cell>
          <cell r="M7152">
            <v>1</v>
          </cell>
          <cell r="R7152">
            <v>45824</v>
          </cell>
          <cell r="S7152">
            <v>223001</v>
          </cell>
        </row>
        <row r="7153">
          <cell r="K7153" t="str">
            <v>227001</v>
          </cell>
          <cell r="M7153">
            <v>2</v>
          </cell>
          <cell r="R7153">
            <v>45824</v>
          </cell>
          <cell r="S7153">
            <v>227001</v>
          </cell>
        </row>
        <row r="7154">
          <cell r="K7154" t="str">
            <v>241001</v>
          </cell>
          <cell r="M7154">
            <v>1</v>
          </cell>
          <cell r="R7154">
            <v>45824</v>
          </cell>
          <cell r="S7154">
            <v>241001</v>
          </cell>
        </row>
        <row r="7155">
          <cell r="K7155" t="str">
            <v>223002</v>
          </cell>
          <cell r="M7155">
            <v>1</v>
          </cell>
          <cell r="R7155">
            <v>45824</v>
          </cell>
          <cell r="S7155">
            <v>223002</v>
          </cell>
        </row>
        <row r="7156">
          <cell r="K7156" t="str">
            <v>201011</v>
          </cell>
          <cell r="M7156">
            <v>1</v>
          </cell>
          <cell r="R7156">
            <v>45824</v>
          </cell>
          <cell r="S7156">
            <v>201011</v>
          </cell>
        </row>
        <row r="7157">
          <cell r="K7157" t="str">
            <v>229004</v>
          </cell>
          <cell r="M7157">
            <v>1</v>
          </cell>
          <cell r="R7157">
            <v>45824</v>
          </cell>
          <cell r="S7157">
            <v>229004</v>
          </cell>
        </row>
        <row r="7158">
          <cell r="K7158" t="str">
            <v>223005</v>
          </cell>
          <cell r="M7158">
            <v>4</v>
          </cell>
          <cell r="R7158">
            <v>45824</v>
          </cell>
          <cell r="S7158">
            <v>223005</v>
          </cell>
        </row>
        <row r="7159">
          <cell r="K7159" t="str">
            <v>223001</v>
          </cell>
          <cell r="M7159">
            <v>7</v>
          </cell>
          <cell r="R7159">
            <v>45824</v>
          </cell>
          <cell r="S7159">
            <v>223001</v>
          </cell>
        </row>
        <row r="7160">
          <cell r="K7160" t="str">
            <v>228001</v>
          </cell>
          <cell r="M7160">
            <v>1</v>
          </cell>
          <cell r="R7160">
            <v>45824</v>
          </cell>
          <cell r="S7160">
            <v>228001</v>
          </cell>
        </row>
        <row r="7161">
          <cell r="K7161" t="str">
            <v>207017</v>
          </cell>
          <cell r="M7161">
            <v>1</v>
          </cell>
          <cell r="R7161">
            <v>45824</v>
          </cell>
          <cell r="S7161">
            <v>207017</v>
          </cell>
        </row>
        <row r="7162">
          <cell r="K7162" t="str">
            <v>223001</v>
          </cell>
          <cell r="M7162">
            <v>1</v>
          </cell>
          <cell r="R7162">
            <v>45824</v>
          </cell>
          <cell r="S7162">
            <v>223001</v>
          </cell>
        </row>
        <row r="7163">
          <cell r="K7163" t="str">
            <v>201003</v>
          </cell>
          <cell r="M7163">
            <v>1</v>
          </cell>
          <cell r="R7163">
            <v>45824</v>
          </cell>
          <cell r="S7163">
            <v>201003</v>
          </cell>
        </row>
        <row r="7164">
          <cell r="K7164" t="str">
            <v>207017</v>
          </cell>
          <cell r="M7164">
            <v>1</v>
          </cell>
          <cell r="R7164">
            <v>45824</v>
          </cell>
          <cell r="S7164">
            <v>207017</v>
          </cell>
        </row>
        <row r="7165">
          <cell r="K7165" t="str">
            <v>209004</v>
          </cell>
          <cell r="M7165">
            <v>1</v>
          </cell>
          <cell r="R7165">
            <v>45824</v>
          </cell>
          <cell r="S7165">
            <v>209004</v>
          </cell>
        </row>
        <row r="7166">
          <cell r="K7166" t="str">
            <v>228001</v>
          </cell>
          <cell r="M7166">
            <v>2</v>
          </cell>
          <cell r="R7166">
            <v>45824</v>
          </cell>
          <cell r="S7166">
            <v>228001</v>
          </cell>
        </row>
        <row r="7167">
          <cell r="K7167" t="str">
            <v>217002</v>
          </cell>
          <cell r="M7167">
            <v>15</v>
          </cell>
          <cell r="R7167">
            <v>45824</v>
          </cell>
          <cell r="S7167">
            <v>217002</v>
          </cell>
        </row>
        <row r="7168">
          <cell r="K7168" t="str">
            <v>228001</v>
          </cell>
          <cell r="M7168">
            <v>2</v>
          </cell>
          <cell r="R7168">
            <v>45824</v>
          </cell>
          <cell r="S7168">
            <v>228001</v>
          </cell>
        </row>
        <row r="7169">
          <cell r="K7169" t="str">
            <v>231012</v>
          </cell>
          <cell r="M7169">
            <v>1</v>
          </cell>
          <cell r="R7169">
            <v>45824</v>
          </cell>
          <cell r="S7169">
            <v>231012</v>
          </cell>
        </row>
        <row r="7170">
          <cell r="K7170" t="str">
            <v>217002</v>
          </cell>
          <cell r="M7170">
            <v>8</v>
          </cell>
          <cell r="R7170">
            <v>45824</v>
          </cell>
          <cell r="S7170">
            <v>217002</v>
          </cell>
        </row>
        <row r="7171">
          <cell r="K7171" t="str">
            <v>213002</v>
          </cell>
          <cell r="M7171">
            <v>5</v>
          </cell>
          <cell r="R7171">
            <v>45824</v>
          </cell>
          <cell r="S7171">
            <v>213002</v>
          </cell>
        </row>
        <row r="7172">
          <cell r="K7172" t="str">
            <v>223001</v>
          </cell>
          <cell r="M7172">
            <v>3</v>
          </cell>
          <cell r="R7172">
            <v>45824</v>
          </cell>
          <cell r="S7172">
            <v>223001</v>
          </cell>
        </row>
        <row r="7173">
          <cell r="K7173" t="str">
            <v>213003</v>
          </cell>
          <cell r="M7173">
            <v>3</v>
          </cell>
          <cell r="R7173">
            <v>45824</v>
          </cell>
          <cell r="S7173">
            <v>213003</v>
          </cell>
        </row>
        <row r="7174">
          <cell r="K7174" t="str">
            <v>213003</v>
          </cell>
          <cell r="M7174">
            <v>2</v>
          </cell>
          <cell r="R7174">
            <v>45824</v>
          </cell>
          <cell r="S7174">
            <v>213003</v>
          </cell>
        </row>
        <row r="7175">
          <cell r="K7175" t="str">
            <v>241001</v>
          </cell>
          <cell r="M7175">
            <v>7</v>
          </cell>
          <cell r="R7175">
            <v>45824</v>
          </cell>
          <cell r="S7175">
            <v>241001</v>
          </cell>
        </row>
        <row r="7176">
          <cell r="K7176" t="str">
            <v>222001</v>
          </cell>
          <cell r="M7176">
            <v>1</v>
          </cell>
          <cell r="R7176">
            <v>45824</v>
          </cell>
          <cell r="S7176">
            <v>222001</v>
          </cell>
        </row>
        <row r="7177">
          <cell r="K7177" t="str">
            <v>223002</v>
          </cell>
          <cell r="M7177">
            <v>1</v>
          </cell>
          <cell r="R7177">
            <v>45824</v>
          </cell>
          <cell r="S7177">
            <v>223002</v>
          </cell>
        </row>
        <row r="7178">
          <cell r="K7178" t="str">
            <v>223001</v>
          </cell>
          <cell r="M7178">
            <v>1</v>
          </cell>
          <cell r="R7178">
            <v>45824</v>
          </cell>
          <cell r="S7178">
            <v>223001</v>
          </cell>
        </row>
        <row r="7179">
          <cell r="K7179" t="str">
            <v>231012</v>
          </cell>
          <cell r="M7179">
            <v>1</v>
          </cell>
          <cell r="R7179">
            <v>45824</v>
          </cell>
          <cell r="S7179">
            <v>231012</v>
          </cell>
        </row>
        <row r="7180">
          <cell r="K7180" t="str">
            <v>213002</v>
          </cell>
          <cell r="M7180">
            <v>15</v>
          </cell>
          <cell r="R7180">
            <v>45825</v>
          </cell>
          <cell r="S7180">
            <v>213002</v>
          </cell>
        </row>
        <row r="7181">
          <cell r="K7181" t="str">
            <v>223002</v>
          </cell>
          <cell r="M7181">
            <v>5</v>
          </cell>
          <cell r="R7181">
            <v>45825</v>
          </cell>
          <cell r="S7181">
            <v>223002</v>
          </cell>
        </row>
        <row r="7182">
          <cell r="K7182" t="str">
            <v>210014</v>
          </cell>
          <cell r="M7182">
            <v>2</v>
          </cell>
          <cell r="R7182">
            <v>45824</v>
          </cell>
          <cell r="S7182">
            <v>210014</v>
          </cell>
        </row>
        <row r="7183">
          <cell r="K7183" t="str">
            <v>223001</v>
          </cell>
          <cell r="M7183">
            <v>12</v>
          </cell>
          <cell r="R7183">
            <v>45824</v>
          </cell>
          <cell r="S7183">
            <v>223001</v>
          </cell>
        </row>
        <row r="7184">
          <cell r="K7184" t="str">
            <v>201002</v>
          </cell>
          <cell r="M7184">
            <v>10</v>
          </cell>
          <cell r="R7184">
            <v>45824</v>
          </cell>
          <cell r="S7184">
            <v>201002</v>
          </cell>
        </row>
        <row r="7185">
          <cell r="K7185" t="str">
            <v>210010</v>
          </cell>
          <cell r="M7185">
            <v>1</v>
          </cell>
          <cell r="R7185">
            <v>45824</v>
          </cell>
          <cell r="S7185">
            <v>210010</v>
          </cell>
        </row>
        <row r="7186">
          <cell r="K7186" t="str">
            <v>203001</v>
          </cell>
          <cell r="M7186">
            <v>8</v>
          </cell>
          <cell r="R7186">
            <v>45825</v>
          </cell>
          <cell r="S7186">
            <v>203001</v>
          </cell>
        </row>
        <row r="7187">
          <cell r="K7187" t="str">
            <v>222001</v>
          </cell>
          <cell r="M7187">
            <v>5</v>
          </cell>
          <cell r="R7187">
            <v>45824</v>
          </cell>
          <cell r="S7187">
            <v>222001</v>
          </cell>
        </row>
        <row r="7188">
          <cell r="K7188" t="str">
            <v>212019</v>
          </cell>
          <cell r="M7188">
            <v>1</v>
          </cell>
          <cell r="R7188">
            <v>45824</v>
          </cell>
          <cell r="S7188">
            <v>212019</v>
          </cell>
        </row>
        <row r="7189">
          <cell r="K7189" t="str">
            <v>241001</v>
          </cell>
          <cell r="M7189">
            <v>4</v>
          </cell>
          <cell r="R7189">
            <v>45824</v>
          </cell>
          <cell r="S7189">
            <v>241001</v>
          </cell>
        </row>
        <row r="7190">
          <cell r="K7190" t="str">
            <v>226001</v>
          </cell>
          <cell r="M7190">
            <v>1</v>
          </cell>
          <cell r="R7190">
            <v>45824</v>
          </cell>
          <cell r="S7190">
            <v>226001</v>
          </cell>
        </row>
        <row r="7191">
          <cell r="K7191" t="str">
            <v>201021</v>
          </cell>
          <cell r="M7191">
            <v>2</v>
          </cell>
          <cell r="R7191">
            <v>45825</v>
          </cell>
          <cell r="S7191">
            <v>201021</v>
          </cell>
        </row>
        <row r="7192">
          <cell r="K7192" t="str">
            <v>209001</v>
          </cell>
          <cell r="M7192">
            <v>3</v>
          </cell>
          <cell r="R7192">
            <v>45825</v>
          </cell>
          <cell r="S7192">
            <v>209001</v>
          </cell>
        </row>
        <row r="7193">
          <cell r="K7193" t="str">
            <v>203003</v>
          </cell>
          <cell r="M7193">
            <v>2</v>
          </cell>
          <cell r="R7193">
            <v>45825</v>
          </cell>
          <cell r="S7193">
            <v>203003</v>
          </cell>
        </row>
        <row r="7194">
          <cell r="K7194" t="str">
            <v>231012</v>
          </cell>
          <cell r="M7194">
            <v>1</v>
          </cell>
          <cell r="R7194">
            <v>45825</v>
          </cell>
          <cell r="S7194">
            <v>231012</v>
          </cell>
        </row>
        <row r="7195">
          <cell r="K7195" t="str">
            <v>226001</v>
          </cell>
          <cell r="M7195">
            <v>1</v>
          </cell>
          <cell r="R7195">
            <v>45825</v>
          </cell>
          <cell r="S7195">
            <v>226001</v>
          </cell>
        </row>
        <row r="7196">
          <cell r="K7196" t="str">
            <v>217018</v>
          </cell>
          <cell r="M7196">
            <v>1</v>
          </cell>
          <cell r="R7196">
            <v>45825</v>
          </cell>
          <cell r="S7196">
            <v>217018</v>
          </cell>
        </row>
        <row r="7197">
          <cell r="K7197" t="str">
            <v>207017</v>
          </cell>
          <cell r="M7197">
            <v>1</v>
          </cell>
          <cell r="R7197">
            <v>45825</v>
          </cell>
          <cell r="S7197">
            <v>207017</v>
          </cell>
        </row>
        <row r="7198">
          <cell r="K7198" t="str">
            <v>203001</v>
          </cell>
          <cell r="M7198">
            <v>1</v>
          </cell>
          <cell r="R7198">
            <v>45824</v>
          </cell>
          <cell r="S7198">
            <v>203001</v>
          </cell>
        </row>
        <row r="7199">
          <cell r="K7199" t="str">
            <v>213002</v>
          </cell>
          <cell r="M7199">
            <v>6</v>
          </cell>
          <cell r="R7199">
            <v>45824</v>
          </cell>
          <cell r="S7199">
            <v>213002</v>
          </cell>
        </row>
        <row r="7200">
          <cell r="K7200" t="str">
            <v>231012</v>
          </cell>
          <cell r="M7200">
            <v>4</v>
          </cell>
          <cell r="R7200">
            <v>45824</v>
          </cell>
          <cell r="S7200">
            <v>231012</v>
          </cell>
        </row>
        <row r="7201">
          <cell r="K7201" t="str">
            <v>203004</v>
          </cell>
          <cell r="M7201">
            <v>1</v>
          </cell>
          <cell r="R7201">
            <v>45824</v>
          </cell>
          <cell r="S7201">
            <v>203004</v>
          </cell>
        </row>
        <row r="7202">
          <cell r="K7202" t="str">
            <v>213002</v>
          </cell>
          <cell r="M7202">
            <v>1</v>
          </cell>
          <cell r="R7202">
            <v>45824</v>
          </cell>
          <cell r="S7202">
            <v>213002</v>
          </cell>
        </row>
        <row r="7203">
          <cell r="K7203" t="str">
            <v>231004</v>
          </cell>
          <cell r="M7203">
            <v>2</v>
          </cell>
          <cell r="R7203">
            <v>45824</v>
          </cell>
          <cell r="S7203">
            <v>231004</v>
          </cell>
        </row>
        <row r="7204">
          <cell r="K7204" t="str">
            <v>231012</v>
          </cell>
          <cell r="M7204">
            <v>1</v>
          </cell>
          <cell r="R7204">
            <v>45824</v>
          </cell>
          <cell r="S7204">
            <v>231012</v>
          </cell>
        </row>
        <row r="7205">
          <cell r="K7205" t="str">
            <v>228001</v>
          </cell>
          <cell r="M7205">
            <v>12</v>
          </cell>
          <cell r="R7205">
            <v>45824</v>
          </cell>
          <cell r="S7205">
            <v>228001</v>
          </cell>
        </row>
        <row r="7206">
          <cell r="K7206" t="str">
            <v>231012</v>
          </cell>
          <cell r="M7206">
            <v>1</v>
          </cell>
          <cell r="R7206">
            <v>45824</v>
          </cell>
          <cell r="S7206">
            <v>231012</v>
          </cell>
        </row>
        <row r="7207">
          <cell r="K7207" t="str">
            <v>209016</v>
          </cell>
          <cell r="M7207">
            <v>0</v>
          </cell>
          <cell r="R7207">
            <v>45824</v>
          </cell>
          <cell r="S7207">
            <v>209016</v>
          </cell>
        </row>
        <row r="7208">
          <cell r="K7208" t="str">
            <v>202001</v>
          </cell>
          <cell r="M7208">
            <v>1</v>
          </cell>
          <cell r="R7208">
            <v>45824</v>
          </cell>
          <cell r="S7208">
            <v>202001</v>
          </cell>
        </row>
        <row r="7209">
          <cell r="K7209" t="str">
            <v>241001</v>
          </cell>
          <cell r="M7209">
            <v>100</v>
          </cell>
          <cell r="R7209">
            <v>45824</v>
          </cell>
          <cell r="S7209">
            <v>241001</v>
          </cell>
        </row>
        <row r="7210">
          <cell r="K7210" t="str">
            <v>201021</v>
          </cell>
          <cell r="M7210">
            <v>3</v>
          </cell>
          <cell r="R7210">
            <v>45824</v>
          </cell>
          <cell r="S7210">
            <v>201021</v>
          </cell>
        </row>
        <row r="7211">
          <cell r="K7211" t="str">
            <v>241001</v>
          </cell>
          <cell r="M7211">
            <v>3</v>
          </cell>
          <cell r="R7211">
            <v>45824</v>
          </cell>
          <cell r="S7211">
            <v>241001</v>
          </cell>
        </row>
        <row r="7212">
          <cell r="K7212" t="str">
            <v>241001</v>
          </cell>
          <cell r="M7212">
            <v>3</v>
          </cell>
          <cell r="R7212">
            <v>45825</v>
          </cell>
          <cell r="S7212">
            <v>241001</v>
          </cell>
        </row>
        <row r="7213">
          <cell r="K7213" t="str">
            <v>223002</v>
          </cell>
          <cell r="M7213">
            <v>1</v>
          </cell>
          <cell r="R7213">
            <v>45825</v>
          </cell>
          <cell r="S7213">
            <v>223002</v>
          </cell>
        </row>
        <row r="7214">
          <cell r="K7214" t="str">
            <v>201002</v>
          </cell>
          <cell r="M7214">
            <v>1</v>
          </cell>
          <cell r="R7214">
            <v>45825</v>
          </cell>
          <cell r="S7214">
            <v>201002</v>
          </cell>
        </row>
        <row r="7215">
          <cell r="K7215" t="str">
            <v>201021</v>
          </cell>
          <cell r="M7215">
            <v>2</v>
          </cell>
          <cell r="R7215">
            <v>45825</v>
          </cell>
          <cell r="S7215">
            <v>201021</v>
          </cell>
        </row>
        <row r="7216">
          <cell r="K7216" t="str">
            <v>203001</v>
          </cell>
          <cell r="M7216">
            <v>4</v>
          </cell>
          <cell r="R7216">
            <v>45824</v>
          </cell>
          <cell r="S7216">
            <v>203001</v>
          </cell>
        </row>
        <row r="7217">
          <cell r="K7217" t="str">
            <v>213030</v>
          </cell>
          <cell r="M7217">
            <v>10</v>
          </cell>
          <cell r="R7217">
            <v>45824</v>
          </cell>
          <cell r="S7217">
            <v>213030</v>
          </cell>
        </row>
        <row r="7218">
          <cell r="K7218" t="str">
            <v>217020</v>
          </cell>
          <cell r="M7218">
            <v>1</v>
          </cell>
          <cell r="R7218">
            <v>45824</v>
          </cell>
          <cell r="S7218">
            <v>217020</v>
          </cell>
        </row>
        <row r="7219">
          <cell r="K7219" t="str">
            <v>228001</v>
          </cell>
          <cell r="M7219">
            <v>1</v>
          </cell>
          <cell r="R7219">
            <v>45824</v>
          </cell>
          <cell r="S7219">
            <v>228001</v>
          </cell>
        </row>
        <row r="7220">
          <cell r="K7220" t="str">
            <v>203003</v>
          </cell>
          <cell r="M7220">
            <v>2</v>
          </cell>
          <cell r="R7220">
            <v>45824</v>
          </cell>
          <cell r="S7220">
            <v>203003</v>
          </cell>
        </row>
        <row r="7221">
          <cell r="K7221" t="str">
            <v>241001</v>
          </cell>
          <cell r="M7221">
            <v>1</v>
          </cell>
          <cell r="R7221">
            <v>45824</v>
          </cell>
          <cell r="S7221">
            <v>241001</v>
          </cell>
        </row>
        <row r="7222">
          <cell r="K7222" t="str">
            <v>223001</v>
          </cell>
          <cell r="M7222">
            <v>1</v>
          </cell>
          <cell r="R7222">
            <v>45824</v>
          </cell>
          <cell r="S7222">
            <v>223001</v>
          </cell>
        </row>
        <row r="7223">
          <cell r="K7223" t="str">
            <v>261003</v>
          </cell>
          <cell r="M7223">
            <v>1</v>
          </cell>
          <cell r="R7223">
            <v>45824</v>
          </cell>
          <cell r="S7223">
            <v>261003</v>
          </cell>
        </row>
        <row r="7224">
          <cell r="K7224" t="str">
            <v>217018</v>
          </cell>
          <cell r="M7224">
            <v>3</v>
          </cell>
          <cell r="R7224">
            <v>45824</v>
          </cell>
          <cell r="S7224">
            <v>217018</v>
          </cell>
        </row>
        <row r="7225">
          <cell r="K7225" t="str">
            <v>218001</v>
          </cell>
          <cell r="M7225">
            <v>1</v>
          </cell>
          <cell r="R7225">
            <v>45825</v>
          </cell>
          <cell r="S7225">
            <v>218001</v>
          </cell>
        </row>
        <row r="7226">
          <cell r="K7226" t="str">
            <v>206002</v>
          </cell>
          <cell r="M7226">
            <v>1</v>
          </cell>
          <cell r="R7226">
            <v>45825</v>
          </cell>
          <cell r="S7226">
            <v>206002</v>
          </cell>
        </row>
        <row r="7227">
          <cell r="K7227" t="str">
            <v>203004</v>
          </cell>
          <cell r="M7227">
            <v>1</v>
          </cell>
          <cell r="R7227">
            <v>45825</v>
          </cell>
          <cell r="S7227">
            <v>203004</v>
          </cell>
        </row>
        <row r="7228">
          <cell r="K7228" t="str">
            <v>218001</v>
          </cell>
          <cell r="M7228">
            <v>1</v>
          </cell>
          <cell r="R7228">
            <v>45825</v>
          </cell>
          <cell r="S7228">
            <v>218001</v>
          </cell>
        </row>
        <row r="7229">
          <cell r="K7229" t="str">
            <v>213002</v>
          </cell>
          <cell r="M7229">
            <v>6</v>
          </cell>
          <cell r="R7229">
            <v>45825</v>
          </cell>
          <cell r="S7229">
            <v>213002</v>
          </cell>
        </row>
        <row r="7230">
          <cell r="K7230" t="str">
            <v>223001</v>
          </cell>
          <cell r="M7230">
            <v>5</v>
          </cell>
          <cell r="R7230">
            <v>45825</v>
          </cell>
          <cell r="S7230">
            <v>223001</v>
          </cell>
        </row>
        <row r="7231">
          <cell r="K7231" t="str">
            <v>201002</v>
          </cell>
          <cell r="M7231">
            <v>1</v>
          </cell>
          <cell r="R7231">
            <v>45825</v>
          </cell>
          <cell r="S7231">
            <v>201002</v>
          </cell>
        </row>
        <row r="7232">
          <cell r="K7232" t="str">
            <v>209001</v>
          </cell>
          <cell r="M7232">
            <v>1</v>
          </cell>
          <cell r="R7232">
            <v>45825</v>
          </cell>
          <cell r="S7232">
            <v>209001</v>
          </cell>
        </row>
        <row r="7233">
          <cell r="K7233" t="str">
            <v>213030</v>
          </cell>
          <cell r="M7233">
            <v>2</v>
          </cell>
          <cell r="R7233">
            <v>45825</v>
          </cell>
          <cell r="S7233">
            <v>213030</v>
          </cell>
        </row>
        <row r="7234">
          <cell r="K7234" t="str">
            <v>212035</v>
          </cell>
          <cell r="M7234">
            <v>1</v>
          </cell>
          <cell r="R7234">
            <v>45825</v>
          </cell>
          <cell r="S7234">
            <v>212035</v>
          </cell>
        </row>
        <row r="7235">
          <cell r="K7235" t="str">
            <v>203003</v>
          </cell>
          <cell r="M7235">
            <v>2</v>
          </cell>
          <cell r="R7235">
            <v>45825</v>
          </cell>
          <cell r="S7235">
            <v>203003</v>
          </cell>
        </row>
        <row r="7236">
          <cell r="K7236" t="str">
            <v>228001</v>
          </cell>
          <cell r="M7236">
            <v>1</v>
          </cell>
          <cell r="R7236">
            <v>45825</v>
          </cell>
          <cell r="S7236">
            <v>228001</v>
          </cell>
        </row>
        <row r="7237">
          <cell r="K7237" t="str">
            <v>222038</v>
          </cell>
          <cell r="M7237">
            <v>1</v>
          </cell>
          <cell r="R7237">
            <v>45825</v>
          </cell>
          <cell r="S7237">
            <v>222038</v>
          </cell>
        </row>
        <row r="7238">
          <cell r="K7238" t="str">
            <v>222038</v>
          </cell>
          <cell r="M7238">
            <v>1</v>
          </cell>
          <cell r="R7238">
            <v>45825</v>
          </cell>
          <cell r="S7238">
            <v>222038</v>
          </cell>
        </row>
        <row r="7239">
          <cell r="K7239" t="str">
            <v>213002</v>
          </cell>
          <cell r="M7239">
            <v>1</v>
          </cell>
          <cell r="R7239">
            <v>45825</v>
          </cell>
          <cell r="S7239">
            <v>213002</v>
          </cell>
        </row>
        <row r="7240">
          <cell r="K7240" t="str">
            <v>203001</v>
          </cell>
          <cell r="M7240">
            <v>2</v>
          </cell>
          <cell r="R7240">
            <v>45825</v>
          </cell>
          <cell r="S7240">
            <v>203001</v>
          </cell>
        </row>
        <row r="7241">
          <cell r="K7241" t="str">
            <v>208001</v>
          </cell>
          <cell r="M7241">
            <v>3</v>
          </cell>
          <cell r="R7241">
            <v>45825</v>
          </cell>
          <cell r="S7241">
            <v>208001</v>
          </cell>
        </row>
        <row r="7242">
          <cell r="K7242" t="str">
            <v>231012</v>
          </cell>
          <cell r="M7242">
            <v>1</v>
          </cell>
          <cell r="R7242">
            <v>45825</v>
          </cell>
          <cell r="S7242">
            <v>231012</v>
          </cell>
        </row>
        <row r="7243">
          <cell r="K7243" t="str">
            <v>218001</v>
          </cell>
          <cell r="M7243">
            <v>1</v>
          </cell>
          <cell r="R7243">
            <v>45825</v>
          </cell>
          <cell r="S7243">
            <v>218001</v>
          </cell>
        </row>
        <row r="7244">
          <cell r="K7244" t="str">
            <v>241001</v>
          </cell>
          <cell r="M7244">
            <v>10</v>
          </cell>
          <cell r="R7244">
            <v>45825</v>
          </cell>
          <cell r="S7244">
            <v>241001</v>
          </cell>
        </row>
        <row r="7245">
          <cell r="K7245" t="str">
            <v>201021</v>
          </cell>
          <cell r="M7245">
            <v>4</v>
          </cell>
          <cell r="R7245">
            <v>45825</v>
          </cell>
          <cell r="S7245">
            <v>201021</v>
          </cell>
        </row>
        <row r="7246">
          <cell r="K7246" t="str">
            <v>213002</v>
          </cell>
          <cell r="M7246">
            <v>1</v>
          </cell>
          <cell r="R7246">
            <v>45825</v>
          </cell>
          <cell r="S7246">
            <v>213002</v>
          </cell>
        </row>
        <row r="7247">
          <cell r="K7247" t="str">
            <v>223002</v>
          </cell>
          <cell r="M7247">
            <v>2</v>
          </cell>
          <cell r="R7247">
            <v>45825</v>
          </cell>
          <cell r="S7247">
            <v>223002</v>
          </cell>
        </row>
        <row r="7248">
          <cell r="K7248" t="str">
            <v>203001</v>
          </cell>
          <cell r="M7248">
            <v>1</v>
          </cell>
          <cell r="R7248">
            <v>45826</v>
          </cell>
          <cell r="S7248">
            <v>203001</v>
          </cell>
        </row>
        <row r="7249">
          <cell r="K7249" t="str">
            <v>209004</v>
          </cell>
          <cell r="M7249">
            <v>2</v>
          </cell>
          <cell r="R7249">
            <v>45826</v>
          </cell>
          <cell r="S7249">
            <v>209004</v>
          </cell>
        </row>
        <row r="7250">
          <cell r="K7250" t="str">
            <v>213003</v>
          </cell>
          <cell r="M7250">
            <v>1</v>
          </cell>
          <cell r="R7250">
            <v>45826</v>
          </cell>
          <cell r="S7250">
            <v>213003</v>
          </cell>
        </row>
        <row r="7251">
          <cell r="K7251" t="str">
            <v>222038</v>
          </cell>
          <cell r="M7251">
            <v>1</v>
          </cell>
          <cell r="R7251">
            <v>45825</v>
          </cell>
          <cell r="S7251">
            <v>222038</v>
          </cell>
        </row>
        <row r="7252">
          <cell r="K7252" t="str">
            <v>222001</v>
          </cell>
          <cell r="M7252">
            <v>1</v>
          </cell>
          <cell r="R7252">
            <v>45825</v>
          </cell>
          <cell r="S7252">
            <v>222001</v>
          </cell>
        </row>
        <row r="7253">
          <cell r="K7253" t="str">
            <v>231012</v>
          </cell>
          <cell r="M7253">
            <v>1</v>
          </cell>
          <cell r="R7253">
            <v>45825</v>
          </cell>
          <cell r="S7253">
            <v>231012</v>
          </cell>
        </row>
        <row r="7254">
          <cell r="K7254" t="str">
            <v>213024</v>
          </cell>
          <cell r="M7254">
            <v>4</v>
          </cell>
          <cell r="R7254">
            <v>45826</v>
          </cell>
          <cell r="S7254">
            <v>213024</v>
          </cell>
        </row>
        <row r="7255">
          <cell r="K7255" t="str">
            <v>228001</v>
          </cell>
          <cell r="M7255">
            <v>3</v>
          </cell>
          <cell r="R7255">
            <v>45826</v>
          </cell>
          <cell r="S7255">
            <v>228001</v>
          </cell>
        </row>
        <row r="7256">
          <cell r="K7256" t="str">
            <v>217018</v>
          </cell>
          <cell r="M7256">
            <v>2</v>
          </cell>
          <cell r="R7256">
            <v>45826</v>
          </cell>
          <cell r="S7256">
            <v>217018</v>
          </cell>
        </row>
        <row r="7257">
          <cell r="K7257" t="str">
            <v>228001</v>
          </cell>
          <cell r="M7257">
            <v>6</v>
          </cell>
          <cell r="R7257">
            <v>45826</v>
          </cell>
          <cell r="S7257">
            <v>228001</v>
          </cell>
        </row>
        <row r="7258">
          <cell r="K7258" t="str">
            <v>228001</v>
          </cell>
          <cell r="M7258">
            <v>1</v>
          </cell>
          <cell r="R7258">
            <v>45826</v>
          </cell>
          <cell r="S7258">
            <v>228001</v>
          </cell>
        </row>
        <row r="7259">
          <cell r="K7259" t="str">
            <v>232001</v>
          </cell>
          <cell r="M7259">
            <v>2</v>
          </cell>
          <cell r="R7259">
            <v>45826</v>
          </cell>
          <cell r="S7259">
            <v>232001</v>
          </cell>
        </row>
        <row r="7260">
          <cell r="K7260" t="str">
            <v>201021</v>
          </cell>
          <cell r="M7260">
            <v>4</v>
          </cell>
          <cell r="R7260">
            <v>45826</v>
          </cell>
          <cell r="S7260">
            <v>201021</v>
          </cell>
        </row>
        <row r="7261">
          <cell r="K7261" t="str">
            <v>226001</v>
          </cell>
          <cell r="M7261">
            <v>1</v>
          </cell>
          <cell r="R7261">
            <v>45826</v>
          </cell>
          <cell r="S7261">
            <v>226001</v>
          </cell>
        </row>
        <row r="7262">
          <cell r="K7262" t="str">
            <v>231010</v>
          </cell>
          <cell r="M7262">
            <v>1</v>
          </cell>
          <cell r="R7262">
            <v>45826</v>
          </cell>
          <cell r="S7262">
            <v>231010</v>
          </cell>
        </row>
        <row r="7263">
          <cell r="K7263" t="str">
            <v>226001</v>
          </cell>
          <cell r="M7263">
            <v>1</v>
          </cell>
          <cell r="R7263">
            <v>45826</v>
          </cell>
          <cell r="S7263">
            <v>226001</v>
          </cell>
        </row>
        <row r="7264">
          <cell r="K7264" t="str">
            <v>226001</v>
          </cell>
          <cell r="M7264">
            <v>2</v>
          </cell>
          <cell r="R7264">
            <v>45826</v>
          </cell>
          <cell r="S7264">
            <v>226001</v>
          </cell>
        </row>
        <row r="7265">
          <cell r="K7265" t="str">
            <v>226001</v>
          </cell>
          <cell r="M7265">
            <v>1</v>
          </cell>
          <cell r="R7265">
            <v>45826</v>
          </cell>
          <cell r="S7265">
            <v>226001</v>
          </cell>
        </row>
        <row r="7266">
          <cell r="K7266" t="str">
            <v>213002</v>
          </cell>
          <cell r="M7266">
            <v>1</v>
          </cell>
          <cell r="R7266">
            <v>45826</v>
          </cell>
          <cell r="S7266">
            <v>213002</v>
          </cell>
        </row>
        <row r="7267">
          <cell r="K7267" t="str">
            <v>226001</v>
          </cell>
          <cell r="M7267">
            <v>2</v>
          </cell>
          <cell r="R7267">
            <v>45826</v>
          </cell>
          <cell r="S7267">
            <v>226001</v>
          </cell>
        </row>
        <row r="7268">
          <cell r="K7268" t="str">
            <v>228001</v>
          </cell>
          <cell r="M7268">
            <v>5</v>
          </cell>
          <cell r="R7268">
            <v>45826</v>
          </cell>
          <cell r="S7268">
            <v>228001</v>
          </cell>
        </row>
        <row r="7269">
          <cell r="K7269" t="str">
            <v>228001</v>
          </cell>
          <cell r="M7269">
            <v>3</v>
          </cell>
          <cell r="R7269">
            <v>45826</v>
          </cell>
          <cell r="S7269">
            <v>228001</v>
          </cell>
        </row>
        <row r="7270">
          <cell r="K7270" t="str">
            <v>207017</v>
          </cell>
          <cell r="M7270">
            <v>1</v>
          </cell>
          <cell r="R7270">
            <v>45826</v>
          </cell>
          <cell r="S7270">
            <v>207017</v>
          </cell>
        </row>
        <row r="7271">
          <cell r="K7271" t="str">
            <v>209004</v>
          </cell>
          <cell r="M7271">
            <v>1</v>
          </cell>
          <cell r="R7271">
            <v>45826</v>
          </cell>
          <cell r="S7271">
            <v>209004</v>
          </cell>
        </row>
        <row r="7272">
          <cell r="K7272" t="str">
            <v>241001</v>
          </cell>
          <cell r="M7272">
            <v>5</v>
          </cell>
          <cell r="R7272">
            <v>45826</v>
          </cell>
          <cell r="S7272">
            <v>241001</v>
          </cell>
        </row>
        <row r="7273">
          <cell r="K7273" t="str">
            <v>217002</v>
          </cell>
          <cell r="M7273">
            <v>7</v>
          </cell>
          <cell r="R7273">
            <v>45826</v>
          </cell>
          <cell r="S7273">
            <v>217002</v>
          </cell>
        </row>
        <row r="7274">
          <cell r="K7274" t="str">
            <v>213002</v>
          </cell>
          <cell r="M7274">
            <v>3</v>
          </cell>
          <cell r="R7274">
            <v>45826</v>
          </cell>
          <cell r="S7274">
            <v>213002</v>
          </cell>
        </row>
        <row r="7275">
          <cell r="K7275" t="str">
            <v>229004</v>
          </cell>
          <cell r="M7275">
            <v>4</v>
          </cell>
          <cell r="R7275">
            <v>45826</v>
          </cell>
          <cell r="S7275">
            <v>229004</v>
          </cell>
        </row>
        <row r="7276">
          <cell r="K7276" t="str">
            <v>229001</v>
          </cell>
          <cell r="M7276">
            <v>15</v>
          </cell>
          <cell r="R7276">
            <v>45826</v>
          </cell>
          <cell r="S7276">
            <v>229001</v>
          </cell>
        </row>
        <row r="7277">
          <cell r="K7277" t="str">
            <v>223002</v>
          </cell>
          <cell r="M7277">
            <v>1</v>
          </cell>
          <cell r="R7277">
            <v>45826</v>
          </cell>
          <cell r="S7277">
            <v>223002</v>
          </cell>
        </row>
        <row r="7278">
          <cell r="K7278" t="str">
            <v>223001</v>
          </cell>
          <cell r="M7278">
            <v>1</v>
          </cell>
          <cell r="R7278">
            <v>45826</v>
          </cell>
          <cell r="S7278">
            <v>223001</v>
          </cell>
        </row>
        <row r="7279">
          <cell r="K7279" t="str">
            <v>217002</v>
          </cell>
          <cell r="M7279">
            <v>1</v>
          </cell>
          <cell r="R7279">
            <v>45826</v>
          </cell>
          <cell r="S7279">
            <v>217002</v>
          </cell>
        </row>
        <row r="7280">
          <cell r="K7280" t="str">
            <v>213003</v>
          </cell>
          <cell r="M7280">
            <v>2</v>
          </cell>
          <cell r="R7280">
            <v>45826</v>
          </cell>
          <cell r="S7280">
            <v>213003</v>
          </cell>
        </row>
        <row r="7281">
          <cell r="K7281" t="str">
            <v>201011</v>
          </cell>
          <cell r="M7281">
            <v>2</v>
          </cell>
          <cell r="R7281">
            <v>45826</v>
          </cell>
          <cell r="S7281">
            <v>201011</v>
          </cell>
        </row>
        <row r="7282">
          <cell r="K7282" t="str">
            <v>227012</v>
          </cell>
          <cell r="M7282">
            <v>2</v>
          </cell>
          <cell r="R7282">
            <v>45826</v>
          </cell>
          <cell r="S7282">
            <v>227012</v>
          </cell>
        </row>
        <row r="7283">
          <cell r="K7283" t="str">
            <v>206006</v>
          </cell>
          <cell r="M7283">
            <v>1</v>
          </cell>
          <cell r="R7283">
            <v>45826</v>
          </cell>
          <cell r="S7283">
            <v>206006</v>
          </cell>
        </row>
        <row r="7284">
          <cell r="K7284" t="str">
            <v>206005</v>
          </cell>
          <cell r="M7284">
            <v>1</v>
          </cell>
          <cell r="R7284">
            <v>45826</v>
          </cell>
          <cell r="S7284">
            <v>206005</v>
          </cell>
        </row>
        <row r="7285">
          <cell r="K7285" t="str">
            <v>206005</v>
          </cell>
          <cell r="M7285">
            <v>1</v>
          </cell>
          <cell r="R7285">
            <v>45826</v>
          </cell>
          <cell r="S7285">
            <v>206005</v>
          </cell>
        </row>
        <row r="7286">
          <cell r="K7286" t="str">
            <v>227012</v>
          </cell>
          <cell r="M7286">
            <v>5</v>
          </cell>
          <cell r="R7286">
            <v>45826</v>
          </cell>
          <cell r="S7286">
            <v>227012</v>
          </cell>
        </row>
        <row r="7287">
          <cell r="K7287" t="str">
            <v>227012</v>
          </cell>
          <cell r="M7287">
            <v>2</v>
          </cell>
          <cell r="R7287">
            <v>45826</v>
          </cell>
          <cell r="S7287">
            <v>227012</v>
          </cell>
        </row>
        <row r="7288">
          <cell r="K7288" t="str">
            <v>231012</v>
          </cell>
          <cell r="M7288">
            <v>1</v>
          </cell>
          <cell r="R7288">
            <v>45826</v>
          </cell>
          <cell r="S7288">
            <v>231012</v>
          </cell>
        </row>
        <row r="7289">
          <cell r="K7289" t="str">
            <v>213003</v>
          </cell>
          <cell r="M7289">
            <v>1</v>
          </cell>
          <cell r="R7289">
            <v>45826</v>
          </cell>
          <cell r="S7289">
            <v>213003</v>
          </cell>
        </row>
        <row r="7290">
          <cell r="K7290" t="str">
            <v>212035</v>
          </cell>
          <cell r="M7290">
            <v>2</v>
          </cell>
          <cell r="R7290">
            <v>45826</v>
          </cell>
          <cell r="S7290">
            <v>212035</v>
          </cell>
        </row>
        <row r="7291">
          <cell r="K7291" t="str">
            <v>223002</v>
          </cell>
          <cell r="M7291">
            <v>1</v>
          </cell>
          <cell r="R7291">
            <v>45826</v>
          </cell>
          <cell r="S7291">
            <v>223002</v>
          </cell>
        </row>
        <row r="7292">
          <cell r="K7292" t="str">
            <v>228001</v>
          </cell>
          <cell r="M7292">
            <v>1</v>
          </cell>
          <cell r="R7292">
            <v>45826</v>
          </cell>
          <cell r="S7292">
            <v>228001</v>
          </cell>
        </row>
        <row r="7293">
          <cell r="K7293" t="str">
            <v>228001</v>
          </cell>
          <cell r="M7293">
            <v>1</v>
          </cell>
          <cell r="R7293">
            <v>45826</v>
          </cell>
          <cell r="S7293">
            <v>228001</v>
          </cell>
        </row>
        <row r="7294">
          <cell r="K7294" t="str">
            <v>201011</v>
          </cell>
          <cell r="M7294">
            <v>5</v>
          </cell>
          <cell r="R7294">
            <v>45826</v>
          </cell>
          <cell r="S7294">
            <v>201011</v>
          </cell>
        </row>
        <row r="7295">
          <cell r="K7295" t="str">
            <v>210003</v>
          </cell>
          <cell r="M7295">
            <v>1</v>
          </cell>
          <cell r="R7295">
            <v>45826</v>
          </cell>
          <cell r="S7295">
            <v>210003</v>
          </cell>
        </row>
        <row r="7296">
          <cell r="K7296" t="str">
            <v>229004</v>
          </cell>
          <cell r="M7296">
            <v>2</v>
          </cell>
          <cell r="R7296">
            <v>45826</v>
          </cell>
          <cell r="S7296">
            <v>229004</v>
          </cell>
        </row>
        <row r="7297">
          <cell r="K7297" t="str">
            <v>213002</v>
          </cell>
          <cell r="M7297">
            <v>1</v>
          </cell>
          <cell r="R7297">
            <v>45826</v>
          </cell>
          <cell r="S7297">
            <v>213002</v>
          </cell>
        </row>
        <row r="7298">
          <cell r="K7298" t="str">
            <v>222001</v>
          </cell>
          <cell r="M7298">
            <v>1</v>
          </cell>
          <cell r="R7298">
            <v>45826</v>
          </cell>
          <cell r="S7298">
            <v>222001</v>
          </cell>
        </row>
        <row r="7299">
          <cell r="K7299" t="str">
            <v>201011</v>
          </cell>
          <cell r="M7299">
            <v>1</v>
          </cell>
          <cell r="R7299">
            <v>45826</v>
          </cell>
          <cell r="S7299">
            <v>201011</v>
          </cell>
        </row>
        <row r="7300">
          <cell r="K7300" t="str">
            <v>229004</v>
          </cell>
          <cell r="M7300">
            <v>3</v>
          </cell>
          <cell r="R7300">
            <v>45826</v>
          </cell>
          <cell r="S7300">
            <v>229004</v>
          </cell>
        </row>
        <row r="7301">
          <cell r="K7301" t="str">
            <v>203003</v>
          </cell>
          <cell r="M7301">
            <v>1</v>
          </cell>
          <cell r="R7301">
            <v>45826</v>
          </cell>
          <cell r="S7301">
            <v>203003</v>
          </cell>
        </row>
        <row r="7302">
          <cell r="K7302" t="str">
            <v>201011</v>
          </cell>
          <cell r="M7302">
            <v>2</v>
          </cell>
          <cell r="R7302">
            <v>45826</v>
          </cell>
          <cell r="S7302">
            <v>201011</v>
          </cell>
        </row>
        <row r="7303">
          <cell r="K7303" t="str">
            <v>201002</v>
          </cell>
          <cell r="M7303">
            <v>1</v>
          </cell>
          <cell r="R7303">
            <v>45826</v>
          </cell>
          <cell r="S7303">
            <v>201002</v>
          </cell>
        </row>
        <row r="7304">
          <cell r="K7304" t="str">
            <v>223002</v>
          </cell>
          <cell r="M7304">
            <v>4</v>
          </cell>
          <cell r="R7304">
            <v>45826</v>
          </cell>
          <cell r="S7304">
            <v>223002</v>
          </cell>
        </row>
        <row r="7305">
          <cell r="K7305" t="str">
            <v>223001</v>
          </cell>
          <cell r="M7305">
            <v>4</v>
          </cell>
          <cell r="R7305">
            <v>45826</v>
          </cell>
          <cell r="S7305">
            <v>223001</v>
          </cell>
        </row>
        <row r="7306">
          <cell r="K7306" t="str">
            <v>201011</v>
          </cell>
          <cell r="M7306">
            <v>36</v>
          </cell>
          <cell r="R7306">
            <v>45826</v>
          </cell>
          <cell r="S7306">
            <v>201011</v>
          </cell>
        </row>
        <row r="7307">
          <cell r="K7307" t="str">
            <v>207017</v>
          </cell>
          <cell r="M7307">
            <v>1</v>
          </cell>
          <cell r="R7307">
            <v>45827</v>
          </cell>
          <cell r="S7307">
            <v>207017</v>
          </cell>
        </row>
        <row r="7308">
          <cell r="K7308" t="str">
            <v>226025</v>
          </cell>
          <cell r="M7308">
            <v>1</v>
          </cell>
          <cell r="R7308">
            <v>45827</v>
          </cell>
          <cell r="S7308">
            <v>226025</v>
          </cell>
        </row>
        <row r="7309">
          <cell r="K7309" t="str">
            <v>231012</v>
          </cell>
          <cell r="M7309">
            <v>1</v>
          </cell>
          <cell r="R7309">
            <v>45827</v>
          </cell>
          <cell r="S7309">
            <v>231012</v>
          </cell>
        </row>
        <row r="7310">
          <cell r="K7310" t="str">
            <v>218003</v>
          </cell>
          <cell r="M7310">
            <v>1</v>
          </cell>
          <cell r="R7310">
            <v>45827</v>
          </cell>
          <cell r="S7310">
            <v>218003</v>
          </cell>
        </row>
        <row r="7311">
          <cell r="K7311" t="str">
            <v>206002</v>
          </cell>
          <cell r="M7311">
            <v>1</v>
          </cell>
          <cell r="R7311">
            <v>45827</v>
          </cell>
          <cell r="S7311">
            <v>206002</v>
          </cell>
        </row>
        <row r="7312">
          <cell r="K7312" t="str">
            <v>206005</v>
          </cell>
          <cell r="M7312">
            <v>1</v>
          </cell>
          <cell r="R7312">
            <v>45827</v>
          </cell>
          <cell r="S7312">
            <v>206005</v>
          </cell>
        </row>
        <row r="7313">
          <cell r="K7313" t="str">
            <v>227002</v>
          </cell>
          <cell r="M7313">
            <v>2</v>
          </cell>
          <cell r="R7313">
            <v>45827</v>
          </cell>
          <cell r="S7313">
            <v>227002</v>
          </cell>
        </row>
        <row r="7314">
          <cell r="K7314" t="str">
            <v>226001</v>
          </cell>
          <cell r="M7314">
            <v>2</v>
          </cell>
          <cell r="R7314">
            <v>45827</v>
          </cell>
          <cell r="S7314">
            <v>226001</v>
          </cell>
        </row>
        <row r="7315">
          <cell r="K7315" t="str">
            <v>201011</v>
          </cell>
          <cell r="M7315">
            <v>10</v>
          </cell>
          <cell r="R7315">
            <v>45826</v>
          </cell>
          <cell r="S7315">
            <v>201011</v>
          </cell>
        </row>
        <row r="7316">
          <cell r="K7316" t="str">
            <v>201011</v>
          </cell>
          <cell r="M7316">
            <v>5</v>
          </cell>
          <cell r="R7316">
            <v>45826</v>
          </cell>
          <cell r="S7316">
            <v>201011</v>
          </cell>
        </row>
        <row r="7317">
          <cell r="K7317" t="str">
            <v>213003</v>
          </cell>
          <cell r="M7317">
            <v>1</v>
          </cell>
          <cell r="R7317">
            <v>45826</v>
          </cell>
          <cell r="S7317">
            <v>213003</v>
          </cell>
        </row>
        <row r="7318">
          <cell r="K7318" t="str">
            <v>201011</v>
          </cell>
          <cell r="M7318">
            <v>2</v>
          </cell>
          <cell r="R7318">
            <v>45826</v>
          </cell>
          <cell r="S7318">
            <v>201011</v>
          </cell>
        </row>
        <row r="7319">
          <cell r="K7319" t="str">
            <v>231012</v>
          </cell>
          <cell r="M7319">
            <v>1</v>
          </cell>
          <cell r="R7319">
            <v>45826</v>
          </cell>
          <cell r="S7319">
            <v>231012</v>
          </cell>
        </row>
        <row r="7320">
          <cell r="K7320" t="str">
            <v>213002</v>
          </cell>
          <cell r="M7320">
            <v>8</v>
          </cell>
          <cell r="R7320">
            <v>45826</v>
          </cell>
          <cell r="S7320">
            <v>213002</v>
          </cell>
        </row>
        <row r="7321">
          <cell r="K7321" t="str">
            <v>213003</v>
          </cell>
          <cell r="M7321">
            <v>3</v>
          </cell>
          <cell r="R7321">
            <v>45826</v>
          </cell>
          <cell r="S7321">
            <v>213003</v>
          </cell>
        </row>
        <row r="7322">
          <cell r="K7322" t="str">
            <v>227012</v>
          </cell>
          <cell r="M7322">
            <v>1</v>
          </cell>
          <cell r="R7322">
            <v>45826</v>
          </cell>
          <cell r="S7322">
            <v>227012</v>
          </cell>
        </row>
        <row r="7323">
          <cell r="K7323" t="str">
            <v>231012</v>
          </cell>
          <cell r="M7323">
            <v>1</v>
          </cell>
          <cell r="R7323">
            <v>45826</v>
          </cell>
          <cell r="S7323">
            <v>231012</v>
          </cell>
        </row>
        <row r="7324">
          <cell r="K7324" t="str">
            <v>203004</v>
          </cell>
          <cell r="M7324">
            <v>1</v>
          </cell>
          <cell r="R7324">
            <v>45826</v>
          </cell>
          <cell r="S7324">
            <v>203004</v>
          </cell>
        </row>
        <row r="7325">
          <cell r="K7325" t="str">
            <v>213002</v>
          </cell>
          <cell r="M7325">
            <v>1</v>
          </cell>
          <cell r="R7325">
            <v>45826</v>
          </cell>
          <cell r="S7325">
            <v>213002</v>
          </cell>
        </row>
        <row r="7326">
          <cell r="K7326" t="str">
            <v>201011</v>
          </cell>
          <cell r="M7326">
            <v>6</v>
          </cell>
          <cell r="R7326">
            <v>45826</v>
          </cell>
          <cell r="S7326">
            <v>201011</v>
          </cell>
        </row>
        <row r="7327">
          <cell r="K7327" t="str">
            <v>201011</v>
          </cell>
          <cell r="M7327">
            <v>1</v>
          </cell>
          <cell r="R7327">
            <v>45827</v>
          </cell>
          <cell r="S7327">
            <v>201011</v>
          </cell>
        </row>
        <row r="7328">
          <cell r="K7328" t="str">
            <v>237001</v>
          </cell>
          <cell r="M7328">
            <v>1</v>
          </cell>
          <cell r="R7328">
            <v>45827</v>
          </cell>
          <cell r="S7328">
            <v>237001</v>
          </cell>
        </row>
        <row r="7329">
          <cell r="K7329" t="str">
            <v>222001</v>
          </cell>
          <cell r="M7329">
            <v>1</v>
          </cell>
          <cell r="R7329">
            <v>45827</v>
          </cell>
          <cell r="S7329">
            <v>222001</v>
          </cell>
        </row>
        <row r="7330">
          <cell r="K7330" t="str">
            <v>223002</v>
          </cell>
          <cell r="M7330">
            <v>1</v>
          </cell>
          <cell r="R7330">
            <v>45827</v>
          </cell>
          <cell r="S7330">
            <v>223002</v>
          </cell>
        </row>
        <row r="7331">
          <cell r="K7331" t="str">
            <v>205004</v>
          </cell>
          <cell r="M7331">
            <v>1</v>
          </cell>
          <cell r="R7331">
            <v>45827</v>
          </cell>
          <cell r="S7331">
            <v>205004</v>
          </cell>
        </row>
        <row r="7332">
          <cell r="K7332" t="str">
            <v>234001</v>
          </cell>
          <cell r="M7332">
            <v>1</v>
          </cell>
          <cell r="R7332">
            <v>45827</v>
          </cell>
          <cell r="S7332">
            <v>234001</v>
          </cell>
        </row>
        <row r="7333">
          <cell r="K7333" t="str">
            <v>271002</v>
          </cell>
          <cell r="M7333">
            <v>1</v>
          </cell>
          <cell r="R7333">
            <v>45827</v>
          </cell>
          <cell r="S7333">
            <v>271002</v>
          </cell>
        </row>
        <row r="7334">
          <cell r="K7334" t="str">
            <v>209016</v>
          </cell>
          <cell r="M7334">
            <v>3</v>
          </cell>
          <cell r="R7334">
            <v>45827</v>
          </cell>
          <cell r="S7334">
            <v>209016</v>
          </cell>
        </row>
        <row r="7335">
          <cell r="K7335" t="str">
            <v>210013</v>
          </cell>
          <cell r="M7335">
            <v>20</v>
          </cell>
          <cell r="R7335">
            <v>45827</v>
          </cell>
          <cell r="S7335">
            <v>210013</v>
          </cell>
        </row>
        <row r="7336">
          <cell r="K7336" t="str">
            <v>210010</v>
          </cell>
          <cell r="M7336">
            <v>1</v>
          </cell>
          <cell r="R7336">
            <v>45827</v>
          </cell>
          <cell r="S7336">
            <v>210010</v>
          </cell>
        </row>
        <row r="7337">
          <cell r="K7337" t="str">
            <v>209001</v>
          </cell>
          <cell r="M7337">
            <v>2</v>
          </cell>
          <cell r="R7337">
            <v>45826</v>
          </cell>
          <cell r="S7337">
            <v>209001</v>
          </cell>
        </row>
        <row r="7338">
          <cell r="K7338" t="str">
            <v>223002</v>
          </cell>
          <cell r="M7338">
            <v>7</v>
          </cell>
          <cell r="R7338">
            <v>45827</v>
          </cell>
          <cell r="S7338">
            <v>223002</v>
          </cell>
        </row>
        <row r="7339">
          <cell r="K7339" t="str">
            <v>223001</v>
          </cell>
          <cell r="M7339">
            <v>4</v>
          </cell>
          <cell r="R7339">
            <v>45827</v>
          </cell>
          <cell r="S7339">
            <v>223001</v>
          </cell>
        </row>
        <row r="7340">
          <cell r="K7340" t="str">
            <v>201011</v>
          </cell>
          <cell r="M7340">
            <v>10</v>
          </cell>
          <cell r="R7340">
            <v>45827</v>
          </cell>
          <cell r="S7340">
            <v>201011</v>
          </cell>
        </row>
        <row r="7341">
          <cell r="K7341" t="str">
            <v>201011</v>
          </cell>
          <cell r="M7341">
            <v>15</v>
          </cell>
          <cell r="R7341">
            <v>45827</v>
          </cell>
          <cell r="S7341">
            <v>201011</v>
          </cell>
        </row>
        <row r="7342">
          <cell r="K7342" t="str">
            <v>205004</v>
          </cell>
          <cell r="M7342">
            <v>1</v>
          </cell>
          <cell r="R7342">
            <v>45827</v>
          </cell>
          <cell r="S7342">
            <v>205004</v>
          </cell>
        </row>
        <row r="7343">
          <cell r="K7343" t="str">
            <v>210013</v>
          </cell>
          <cell r="M7343">
            <v>1</v>
          </cell>
          <cell r="R7343">
            <v>45827</v>
          </cell>
          <cell r="S7343">
            <v>210013</v>
          </cell>
        </row>
        <row r="7344">
          <cell r="K7344" t="str">
            <v>226001</v>
          </cell>
          <cell r="M7344">
            <v>1</v>
          </cell>
          <cell r="R7344">
            <v>45827</v>
          </cell>
          <cell r="S7344">
            <v>226001</v>
          </cell>
        </row>
        <row r="7345">
          <cell r="K7345" t="str">
            <v>206002</v>
          </cell>
          <cell r="M7345">
            <v>1</v>
          </cell>
          <cell r="R7345">
            <v>45827</v>
          </cell>
          <cell r="S7345">
            <v>206002</v>
          </cell>
        </row>
        <row r="7346">
          <cell r="K7346" t="str">
            <v>218001</v>
          </cell>
          <cell r="M7346">
            <v>1</v>
          </cell>
          <cell r="R7346">
            <v>45827</v>
          </cell>
          <cell r="S7346">
            <v>218001</v>
          </cell>
        </row>
        <row r="7347">
          <cell r="K7347" t="str">
            <v>241001</v>
          </cell>
          <cell r="M7347">
            <v>5</v>
          </cell>
          <cell r="R7347">
            <v>45827</v>
          </cell>
          <cell r="S7347">
            <v>241001</v>
          </cell>
        </row>
        <row r="7348">
          <cell r="K7348" t="str">
            <v>213002</v>
          </cell>
          <cell r="M7348">
            <v>5</v>
          </cell>
          <cell r="R7348">
            <v>45827</v>
          </cell>
          <cell r="S7348">
            <v>213002</v>
          </cell>
        </row>
        <row r="7349">
          <cell r="K7349" t="str">
            <v>213024</v>
          </cell>
          <cell r="M7349">
            <v>2</v>
          </cell>
          <cell r="R7349">
            <v>45827</v>
          </cell>
          <cell r="S7349">
            <v>213024</v>
          </cell>
        </row>
        <row r="7350">
          <cell r="K7350" t="str">
            <v>226001</v>
          </cell>
          <cell r="M7350">
            <v>3</v>
          </cell>
          <cell r="R7350">
            <v>45827</v>
          </cell>
          <cell r="S7350">
            <v>226001</v>
          </cell>
        </row>
        <row r="7351">
          <cell r="K7351" t="str">
            <v>203001</v>
          </cell>
          <cell r="M7351">
            <v>1</v>
          </cell>
          <cell r="R7351">
            <v>45827</v>
          </cell>
          <cell r="S7351">
            <v>203001</v>
          </cell>
        </row>
        <row r="7352">
          <cell r="K7352" t="str">
            <v>226001</v>
          </cell>
          <cell r="M7352">
            <v>1</v>
          </cell>
          <cell r="R7352">
            <v>45827</v>
          </cell>
          <cell r="S7352">
            <v>226001</v>
          </cell>
        </row>
        <row r="7353">
          <cell r="K7353" t="str">
            <v>226001</v>
          </cell>
          <cell r="M7353">
            <v>1</v>
          </cell>
          <cell r="R7353">
            <v>45827</v>
          </cell>
          <cell r="S7353">
            <v>226001</v>
          </cell>
        </row>
        <row r="7354">
          <cell r="K7354" t="str">
            <v>201011</v>
          </cell>
          <cell r="M7354">
            <v>20</v>
          </cell>
          <cell r="R7354">
            <v>45827</v>
          </cell>
          <cell r="S7354">
            <v>201011</v>
          </cell>
        </row>
        <row r="7355">
          <cell r="K7355" t="str">
            <v>201011</v>
          </cell>
          <cell r="M7355">
            <v>3</v>
          </cell>
          <cell r="R7355">
            <v>45827</v>
          </cell>
          <cell r="S7355">
            <v>201011</v>
          </cell>
        </row>
        <row r="7356">
          <cell r="K7356" t="str">
            <v>201011</v>
          </cell>
          <cell r="M7356">
            <v>1</v>
          </cell>
          <cell r="R7356">
            <v>45827</v>
          </cell>
          <cell r="S7356">
            <v>201011</v>
          </cell>
        </row>
        <row r="7357">
          <cell r="K7357" t="str">
            <v>226001</v>
          </cell>
          <cell r="M7357">
            <v>1</v>
          </cell>
          <cell r="R7357">
            <v>45827</v>
          </cell>
          <cell r="S7357">
            <v>226001</v>
          </cell>
        </row>
        <row r="7358">
          <cell r="K7358" t="str">
            <v>201002</v>
          </cell>
          <cell r="M7358">
            <v>2</v>
          </cell>
          <cell r="R7358">
            <v>45827</v>
          </cell>
          <cell r="S7358">
            <v>201002</v>
          </cell>
        </row>
        <row r="7359">
          <cell r="K7359" t="str">
            <v>209016</v>
          </cell>
          <cell r="M7359">
            <v>3</v>
          </cell>
          <cell r="R7359">
            <v>45827</v>
          </cell>
          <cell r="S7359">
            <v>209016</v>
          </cell>
        </row>
        <row r="7360">
          <cell r="K7360" t="str">
            <v>210014</v>
          </cell>
          <cell r="M7360">
            <v>4</v>
          </cell>
          <cell r="R7360">
            <v>45827</v>
          </cell>
          <cell r="S7360">
            <v>210014</v>
          </cell>
        </row>
        <row r="7361">
          <cell r="K7361" t="str">
            <v>229001</v>
          </cell>
          <cell r="M7361">
            <v>1</v>
          </cell>
          <cell r="R7361">
            <v>45827</v>
          </cell>
          <cell r="S7361">
            <v>229001</v>
          </cell>
        </row>
        <row r="7362">
          <cell r="K7362" t="str">
            <v>229001</v>
          </cell>
          <cell r="M7362">
            <v>1</v>
          </cell>
          <cell r="R7362">
            <v>45827</v>
          </cell>
          <cell r="S7362">
            <v>229001</v>
          </cell>
        </row>
        <row r="7363">
          <cell r="K7363" t="str">
            <v>229001</v>
          </cell>
          <cell r="M7363">
            <v>2</v>
          </cell>
          <cell r="R7363">
            <v>45827</v>
          </cell>
          <cell r="S7363">
            <v>229001</v>
          </cell>
        </row>
        <row r="7364">
          <cell r="K7364" t="str">
            <v>228001</v>
          </cell>
          <cell r="M7364">
            <v>12</v>
          </cell>
          <cell r="R7364">
            <v>45827</v>
          </cell>
          <cell r="S7364">
            <v>228001</v>
          </cell>
        </row>
        <row r="7365">
          <cell r="K7365" t="str">
            <v>217011</v>
          </cell>
          <cell r="M7365">
            <v>2</v>
          </cell>
          <cell r="R7365">
            <v>45827</v>
          </cell>
          <cell r="S7365">
            <v>217011</v>
          </cell>
        </row>
        <row r="7366">
          <cell r="K7366" t="str">
            <v>213003</v>
          </cell>
          <cell r="M7366">
            <v>1</v>
          </cell>
          <cell r="R7366">
            <v>45828</v>
          </cell>
          <cell r="S7366">
            <v>213003</v>
          </cell>
        </row>
        <row r="7367">
          <cell r="K7367" t="str">
            <v>226001</v>
          </cell>
          <cell r="M7367">
            <v>1</v>
          </cell>
          <cell r="R7367">
            <v>45827</v>
          </cell>
          <cell r="S7367">
            <v>226001</v>
          </cell>
        </row>
        <row r="7368">
          <cell r="K7368" t="str">
            <v>226003</v>
          </cell>
          <cell r="M7368">
            <v>1</v>
          </cell>
          <cell r="R7368">
            <v>45827</v>
          </cell>
          <cell r="S7368">
            <v>226003</v>
          </cell>
        </row>
        <row r="7369">
          <cell r="K7369" t="str">
            <v>227002</v>
          </cell>
          <cell r="M7369">
            <v>1</v>
          </cell>
          <cell r="R7369">
            <v>45827</v>
          </cell>
          <cell r="S7369">
            <v>227002</v>
          </cell>
        </row>
        <row r="7370">
          <cell r="K7370" t="str">
            <v>226001</v>
          </cell>
          <cell r="M7370">
            <v>1</v>
          </cell>
          <cell r="R7370">
            <v>45827</v>
          </cell>
          <cell r="S7370">
            <v>226001</v>
          </cell>
        </row>
        <row r="7371">
          <cell r="K7371" t="str">
            <v>217002</v>
          </cell>
          <cell r="M7371">
            <v>1</v>
          </cell>
          <cell r="R7371">
            <v>45827</v>
          </cell>
          <cell r="S7371">
            <v>217002</v>
          </cell>
        </row>
        <row r="7372">
          <cell r="K7372" t="str">
            <v>222001</v>
          </cell>
          <cell r="M7372">
            <v>3</v>
          </cell>
          <cell r="R7372">
            <v>45828</v>
          </cell>
          <cell r="S7372">
            <v>222001</v>
          </cell>
        </row>
        <row r="7373">
          <cell r="K7373" t="str">
            <v>261004</v>
          </cell>
          <cell r="M7373">
            <v>1</v>
          </cell>
          <cell r="R7373">
            <v>45828</v>
          </cell>
          <cell r="S7373">
            <v>261004</v>
          </cell>
        </row>
        <row r="7374">
          <cell r="K7374" t="str">
            <v>241001</v>
          </cell>
          <cell r="M7374">
            <v>4</v>
          </cell>
          <cell r="R7374">
            <v>45828</v>
          </cell>
          <cell r="S7374">
            <v>241001</v>
          </cell>
        </row>
        <row r="7375">
          <cell r="K7375" t="str">
            <v>206005</v>
          </cell>
          <cell r="M7375">
            <v>1</v>
          </cell>
          <cell r="R7375">
            <v>45827</v>
          </cell>
          <cell r="S7375">
            <v>206005</v>
          </cell>
        </row>
        <row r="7376">
          <cell r="K7376" t="str">
            <v>226001</v>
          </cell>
          <cell r="M7376">
            <v>1</v>
          </cell>
          <cell r="R7376">
            <v>45827</v>
          </cell>
          <cell r="S7376">
            <v>226001</v>
          </cell>
        </row>
        <row r="7377">
          <cell r="K7377" t="str">
            <v>217019</v>
          </cell>
          <cell r="M7377">
            <v>6</v>
          </cell>
          <cell r="R7377">
            <v>45828</v>
          </cell>
          <cell r="S7377">
            <v>217019</v>
          </cell>
        </row>
        <row r="7378">
          <cell r="K7378" t="str">
            <v>209001</v>
          </cell>
          <cell r="M7378">
            <v>1</v>
          </cell>
          <cell r="R7378">
            <v>45828</v>
          </cell>
          <cell r="S7378">
            <v>209001</v>
          </cell>
        </row>
        <row r="7379">
          <cell r="K7379" t="str">
            <v>228001</v>
          </cell>
          <cell r="M7379">
            <v>1</v>
          </cell>
          <cell r="R7379">
            <v>45828</v>
          </cell>
          <cell r="S7379">
            <v>228001</v>
          </cell>
        </row>
        <row r="7380">
          <cell r="K7380" t="str">
            <v>210001</v>
          </cell>
          <cell r="M7380">
            <v>1</v>
          </cell>
          <cell r="R7380">
            <v>45828</v>
          </cell>
          <cell r="S7380">
            <v>210001</v>
          </cell>
        </row>
        <row r="7381">
          <cell r="K7381" t="str">
            <v>209001</v>
          </cell>
          <cell r="M7381">
            <v>2</v>
          </cell>
          <cell r="R7381">
            <v>45828</v>
          </cell>
          <cell r="S7381">
            <v>209001</v>
          </cell>
        </row>
        <row r="7382">
          <cell r="K7382" t="str">
            <v>226022</v>
          </cell>
          <cell r="M7382">
            <v>1</v>
          </cell>
          <cell r="R7382">
            <v>45828</v>
          </cell>
          <cell r="S7382">
            <v>226022</v>
          </cell>
        </row>
        <row r="7383">
          <cell r="K7383" t="str">
            <v>227002</v>
          </cell>
          <cell r="M7383">
            <v>4</v>
          </cell>
          <cell r="R7383">
            <v>45828</v>
          </cell>
          <cell r="S7383">
            <v>227002</v>
          </cell>
        </row>
        <row r="7384">
          <cell r="K7384" t="str">
            <v>213003</v>
          </cell>
          <cell r="M7384">
            <v>1</v>
          </cell>
          <cell r="R7384">
            <v>45827</v>
          </cell>
          <cell r="S7384">
            <v>213003</v>
          </cell>
        </row>
        <row r="7385">
          <cell r="K7385" t="str">
            <v>201011</v>
          </cell>
          <cell r="M7385">
            <v>4</v>
          </cell>
          <cell r="R7385">
            <v>45830</v>
          </cell>
          <cell r="S7385">
            <v>201011</v>
          </cell>
        </row>
        <row r="7386">
          <cell r="K7386" t="str">
            <v>241001</v>
          </cell>
          <cell r="M7386">
            <v>6</v>
          </cell>
          <cell r="R7386">
            <v>45830</v>
          </cell>
          <cell r="S7386">
            <v>241001</v>
          </cell>
        </row>
        <row r="7387">
          <cell r="K7387" t="str">
            <v>209001</v>
          </cell>
          <cell r="M7387">
            <v>1</v>
          </cell>
          <cell r="R7387">
            <v>45830</v>
          </cell>
          <cell r="S7387">
            <v>209001</v>
          </cell>
        </row>
        <row r="7388">
          <cell r="K7388" t="str">
            <v>222001</v>
          </cell>
          <cell r="M7388">
            <v>1</v>
          </cell>
          <cell r="R7388">
            <v>45830</v>
          </cell>
          <cell r="S7388">
            <v>222001</v>
          </cell>
        </row>
        <row r="7389">
          <cell r="K7389" t="str">
            <v>222001</v>
          </cell>
          <cell r="M7389">
            <v>1</v>
          </cell>
          <cell r="R7389">
            <v>45830</v>
          </cell>
          <cell r="S7389">
            <v>222001</v>
          </cell>
        </row>
        <row r="7390">
          <cell r="K7390" t="str">
            <v>201011</v>
          </cell>
          <cell r="M7390">
            <v>4</v>
          </cell>
          <cell r="R7390">
            <v>45830</v>
          </cell>
          <cell r="S7390">
            <v>201011</v>
          </cell>
        </row>
        <row r="7391">
          <cell r="K7391" t="str">
            <v>213003</v>
          </cell>
          <cell r="M7391">
            <v>50</v>
          </cell>
          <cell r="R7391">
            <v>45828</v>
          </cell>
          <cell r="S7391">
            <v>213003</v>
          </cell>
        </row>
        <row r="7392">
          <cell r="K7392" t="str">
            <v>213003</v>
          </cell>
          <cell r="M7392">
            <v>40</v>
          </cell>
          <cell r="R7392">
            <v>45828</v>
          </cell>
          <cell r="S7392">
            <v>213003</v>
          </cell>
        </row>
        <row r="7393">
          <cell r="K7393" t="str">
            <v>223001</v>
          </cell>
          <cell r="M7393">
            <v>3</v>
          </cell>
          <cell r="R7393">
            <v>45830</v>
          </cell>
          <cell r="S7393">
            <v>223001</v>
          </cell>
        </row>
        <row r="7394">
          <cell r="K7394" t="str">
            <v>203001</v>
          </cell>
          <cell r="M7394">
            <v>1</v>
          </cell>
          <cell r="R7394">
            <v>45830</v>
          </cell>
          <cell r="S7394">
            <v>203001</v>
          </cell>
        </row>
        <row r="7395">
          <cell r="K7395" t="str">
            <v>228001</v>
          </cell>
          <cell r="M7395">
            <v>1</v>
          </cell>
          <cell r="R7395">
            <v>45830</v>
          </cell>
          <cell r="S7395">
            <v>228001</v>
          </cell>
        </row>
        <row r="7396">
          <cell r="K7396" t="str">
            <v>231012</v>
          </cell>
          <cell r="M7396">
            <v>2</v>
          </cell>
          <cell r="R7396">
            <v>45830</v>
          </cell>
          <cell r="S7396">
            <v>231012</v>
          </cell>
        </row>
        <row r="7397">
          <cell r="K7397" t="str">
            <v>223002</v>
          </cell>
          <cell r="M7397">
            <v>2</v>
          </cell>
          <cell r="R7397">
            <v>45830</v>
          </cell>
          <cell r="S7397">
            <v>223002</v>
          </cell>
        </row>
        <row r="7398">
          <cell r="K7398" t="str">
            <v>223001</v>
          </cell>
          <cell r="M7398">
            <v>12</v>
          </cell>
          <cell r="R7398">
            <v>45830</v>
          </cell>
          <cell r="S7398">
            <v>223001</v>
          </cell>
        </row>
        <row r="7399">
          <cell r="K7399" t="str">
            <v>227012</v>
          </cell>
          <cell r="M7399">
            <v>1</v>
          </cell>
          <cell r="R7399">
            <v>45830</v>
          </cell>
          <cell r="S7399">
            <v>227012</v>
          </cell>
        </row>
        <row r="7400">
          <cell r="K7400" t="str">
            <v>209022</v>
          </cell>
          <cell r="M7400">
            <v>4</v>
          </cell>
          <cell r="R7400">
            <v>45830</v>
          </cell>
          <cell r="S7400">
            <v>209022</v>
          </cell>
        </row>
        <row r="7401">
          <cell r="K7401" t="str">
            <v>217018</v>
          </cell>
          <cell r="M7401">
            <v>2</v>
          </cell>
          <cell r="R7401">
            <v>45830</v>
          </cell>
          <cell r="S7401">
            <v>217018</v>
          </cell>
        </row>
        <row r="7402">
          <cell r="K7402" t="str">
            <v>213003</v>
          </cell>
          <cell r="M7402">
            <v>1</v>
          </cell>
          <cell r="R7402">
            <v>45830</v>
          </cell>
          <cell r="S7402">
            <v>213003</v>
          </cell>
        </row>
        <row r="7403">
          <cell r="K7403" t="str">
            <v>201011</v>
          </cell>
          <cell r="M7403">
            <v>10</v>
          </cell>
          <cell r="R7403">
            <v>45831</v>
          </cell>
          <cell r="S7403">
            <v>201011</v>
          </cell>
        </row>
        <row r="7404">
          <cell r="K7404" t="str">
            <v>213002</v>
          </cell>
          <cell r="M7404">
            <v>4</v>
          </cell>
          <cell r="R7404">
            <v>45827</v>
          </cell>
          <cell r="S7404">
            <v>213002</v>
          </cell>
        </row>
        <row r="7405">
          <cell r="K7405" t="str">
            <v>231010</v>
          </cell>
          <cell r="M7405">
            <v>16</v>
          </cell>
          <cell r="R7405">
            <v>45827</v>
          </cell>
          <cell r="S7405">
            <v>231010</v>
          </cell>
        </row>
        <row r="7406">
          <cell r="K7406" t="str">
            <v>201011</v>
          </cell>
          <cell r="M7406">
            <v>6</v>
          </cell>
          <cell r="R7406">
            <v>45828</v>
          </cell>
          <cell r="S7406">
            <v>201011</v>
          </cell>
        </row>
        <row r="7407">
          <cell r="K7407" t="str">
            <v>213024</v>
          </cell>
          <cell r="M7407">
            <v>1</v>
          </cell>
          <cell r="R7407">
            <v>45830</v>
          </cell>
          <cell r="S7407">
            <v>213024</v>
          </cell>
        </row>
        <row r="7408">
          <cell r="K7408" t="str">
            <v>217002</v>
          </cell>
          <cell r="M7408">
            <v>8</v>
          </cell>
          <cell r="R7408">
            <v>45831</v>
          </cell>
          <cell r="S7408">
            <v>217002</v>
          </cell>
        </row>
        <row r="7409">
          <cell r="K7409" t="str">
            <v>213002</v>
          </cell>
          <cell r="M7409">
            <v>8</v>
          </cell>
          <cell r="R7409">
            <v>45831</v>
          </cell>
          <cell r="S7409">
            <v>213002</v>
          </cell>
        </row>
        <row r="7410">
          <cell r="K7410" t="str">
            <v>213003</v>
          </cell>
          <cell r="M7410">
            <v>1</v>
          </cell>
          <cell r="R7410">
            <v>45831</v>
          </cell>
          <cell r="S7410">
            <v>213003</v>
          </cell>
        </row>
        <row r="7411">
          <cell r="K7411" t="str">
            <v>201002</v>
          </cell>
          <cell r="M7411">
            <v>5</v>
          </cell>
          <cell r="R7411">
            <v>45831</v>
          </cell>
          <cell r="S7411">
            <v>201002</v>
          </cell>
        </row>
        <row r="7412">
          <cell r="K7412" t="str">
            <v>213002</v>
          </cell>
          <cell r="M7412">
            <v>1</v>
          </cell>
          <cell r="R7412">
            <v>45831</v>
          </cell>
          <cell r="S7412">
            <v>213002</v>
          </cell>
        </row>
        <row r="7413">
          <cell r="K7413" t="str">
            <v>217018</v>
          </cell>
          <cell r="M7413">
            <v>1</v>
          </cell>
          <cell r="R7413">
            <v>45831</v>
          </cell>
          <cell r="S7413">
            <v>217018</v>
          </cell>
        </row>
        <row r="7414">
          <cell r="K7414" t="str">
            <v>212035</v>
          </cell>
          <cell r="M7414">
            <v>1</v>
          </cell>
          <cell r="R7414">
            <v>45831</v>
          </cell>
          <cell r="S7414">
            <v>212035</v>
          </cell>
        </row>
        <row r="7415">
          <cell r="K7415" t="str">
            <v>228001</v>
          </cell>
          <cell r="M7415">
            <v>1</v>
          </cell>
          <cell r="R7415">
            <v>45831</v>
          </cell>
          <cell r="S7415">
            <v>228001</v>
          </cell>
        </row>
        <row r="7416">
          <cell r="K7416" t="str">
            <v>213003</v>
          </cell>
          <cell r="M7416">
            <v>2</v>
          </cell>
          <cell r="R7416">
            <v>45831</v>
          </cell>
          <cell r="S7416">
            <v>213003</v>
          </cell>
        </row>
        <row r="7417">
          <cell r="K7417" t="str">
            <v>227012</v>
          </cell>
          <cell r="M7417">
            <v>1</v>
          </cell>
          <cell r="R7417">
            <v>45830</v>
          </cell>
          <cell r="S7417">
            <v>227012</v>
          </cell>
        </row>
        <row r="7418">
          <cell r="K7418" t="str">
            <v>223002</v>
          </cell>
          <cell r="M7418">
            <v>3</v>
          </cell>
          <cell r="R7418">
            <v>45830</v>
          </cell>
          <cell r="S7418">
            <v>223002</v>
          </cell>
        </row>
        <row r="7419">
          <cell r="K7419" t="str">
            <v>223001</v>
          </cell>
          <cell r="M7419">
            <v>2</v>
          </cell>
          <cell r="R7419">
            <v>45830</v>
          </cell>
          <cell r="S7419">
            <v>223001</v>
          </cell>
        </row>
        <row r="7420">
          <cell r="K7420" t="str">
            <v>217020</v>
          </cell>
          <cell r="M7420">
            <v>10</v>
          </cell>
          <cell r="R7420">
            <v>45830</v>
          </cell>
          <cell r="S7420">
            <v>217020</v>
          </cell>
        </row>
        <row r="7421">
          <cell r="K7421" t="str">
            <v>201011</v>
          </cell>
          <cell r="M7421">
            <v>6</v>
          </cell>
          <cell r="R7421">
            <v>45831</v>
          </cell>
          <cell r="S7421">
            <v>201011</v>
          </cell>
        </row>
        <row r="7422">
          <cell r="K7422" t="str">
            <v>228001</v>
          </cell>
          <cell r="M7422">
            <v>15</v>
          </cell>
          <cell r="R7422">
            <v>45830</v>
          </cell>
          <cell r="S7422">
            <v>228001</v>
          </cell>
        </row>
        <row r="7423">
          <cell r="K7423" t="str">
            <v>209001</v>
          </cell>
          <cell r="M7423">
            <v>3</v>
          </cell>
          <cell r="R7423">
            <v>45831</v>
          </cell>
          <cell r="S7423">
            <v>209001</v>
          </cell>
        </row>
        <row r="7424">
          <cell r="K7424" t="str">
            <v>201011</v>
          </cell>
          <cell r="M7424">
            <v>5</v>
          </cell>
          <cell r="R7424">
            <v>45827</v>
          </cell>
          <cell r="S7424">
            <v>201011</v>
          </cell>
        </row>
        <row r="7425">
          <cell r="K7425" t="str">
            <v>213002</v>
          </cell>
          <cell r="M7425">
            <v>10</v>
          </cell>
          <cell r="R7425">
            <v>45831</v>
          </cell>
          <cell r="S7425">
            <v>213002</v>
          </cell>
        </row>
        <row r="7426">
          <cell r="K7426" t="str">
            <v>213003</v>
          </cell>
          <cell r="M7426">
            <v>1</v>
          </cell>
          <cell r="R7426">
            <v>45831</v>
          </cell>
          <cell r="S7426">
            <v>213003</v>
          </cell>
        </row>
        <row r="7427">
          <cell r="K7427" t="str">
            <v>213002</v>
          </cell>
          <cell r="M7427">
            <v>4</v>
          </cell>
          <cell r="R7427">
            <v>45831</v>
          </cell>
          <cell r="S7427">
            <v>213002</v>
          </cell>
        </row>
        <row r="7428">
          <cell r="K7428" t="str">
            <v>201011</v>
          </cell>
          <cell r="M7428">
            <v>1</v>
          </cell>
          <cell r="R7428">
            <v>45831</v>
          </cell>
          <cell r="S7428">
            <v>201011</v>
          </cell>
        </row>
        <row r="7429">
          <cell r="K7429" t="str">
            <v>226001</v>
          </cell>
          <cell r="M7429">
            <v>2</v>
          </cell>
          <cell r="R7429">
            <v>45831</v>
          </cell>
          <cell r="S7429">
            <v>226001</v>
          </cell>
        </row>
        <row r="7430">
          <cell r="K7430" t="str">
            <v>231006</v>
          </cell>
          <cell r="M7430">
            <v>1</v>
          </cell>
          <cell r="R7430">
            <v>45831</v>
          </cell>
          <cell r="S7430">
            <v>231006</v>
          </cell>
        </row>
        <row r="7431">
          <cell r="K7431" t="str">
            <v>218001</v>
          </cell>
          <cell r="M7431">
            <v>2</v>
          </cell>
          <cell r="R7431">
            <v>45831</v>
          </cell>
          <cell r="S7431">
            <v>218001</v>
          </cell>
        </row>
        <row r="7432">
          <cell r="K7432" t="str">
            <v>223002</v>
          </cell>
          <cell r="M7432">
            <v>5</v>
          </cell>
          <cell r="R7432">
            <v>45831</v>
          </cell>
          <cell r="S7432">
            <v>223002</v>
          </cell>
        </row>
        <row r="7433">
          <cell r="K7433" t="str">
            <v>213003</v>
          </cell>
          <cell r="M7433">
            <v>1</v>
          </cell>
          <cell r="R7433">
            <v>45831</v>
          </cell>
          <cell r="S7433">
            <v>213003</v>
          </cell>
        </row>
        <row r="7434">
          <cell r="K7434" t="str">
            <v>201011</v>
          </cell>
          <cell r="M7434">
            <v>36</v>
          </cell>
          <cell r="R7434">
            <v>45831</v>
          </cell>
          <cell r="S7434">
            <v>201011</v>
          </cell>
        </row>
        <row r="7435">
          <cell r="K7435" t="str">
            <v>217018</v>
          </cell>
          <cell r="M7435">
            <v>4</v>
          </cell>
          <cell r="R7435">
            <v>45831</v>
          </cell>
          <cell r="S7435">
            <v>217018</v>
          </cell>
        </row>
        <row r="7436">
          <cell r="K7436" t="str">
            <v>201011</v>
          </cell>
          <cell r="M7436">
            <v>2</v>
          </cell>
          <cell r="R7436">
            <v>45831</v>
          </cell>
          <cell r="S7436">
            <v>201011</v>
          </cell>
        </row>
        <row r="7437">
          <cell r="K7437" t="str">
            <v>201002</v>
          </cell>
          <cell r="M7437">
            <v>6</v>
          </cell>
          <cell r="R7437">
            <v>45831</v>
          </cell>
          <cell r="S7437">
            <v>201002</v>
          </cell>
        </row>
        <row r="7438">
          <cell r="K7438" t="str">
            <v>228001</v>
          </cell>
          <cell r="M7438">
            <v>1</v>
          </cell>
          <cell r="R7438">
            <v>45831</v>
          </cell>
          <cell r="S7438">
            <v>228001</v>
          </cell>
        </row>
        <row r="7439">
          <cell r="K7439" t="str">
            <v>231012</v>
          </cell>
          <cell r="M7439">
            <v>1</v>
          </cell>
          <cell r="R7439">
            <v>45831</v>
          </cell>
          <cell r="S7439">
            <v>231012</v>
          </cell>
        </row>
        <row r="7440">
          <cell r="K7440" t="str">
            <v>203001</v>
          </cell>
          <cell r="M7440">
            <v>2</v>
          </cell>
          <cell r="R7440">
            <v>45831</v>
          </cell>
          <cell r="S7440">
            <v>203001</v>
          </cell>
        </row>
        <row r="7441">
          <cell r="K7441" t="str">
            <v>213002</v>
          </cell>
          <cell r="M7441">
            <v>1</v>
          </cell>
          <cell r="R7441">
            <v>45831</v>
          </cell>
          <cell r="S7441">
            <v>213002</v>
          </cell>
        </row>
        <row r="7442">
          <cell r="K7442" t="str">
            <v>208001</v>
          </cell>
          <cell r="M7442">
            <v>3</v>
          </cell>
          <cell r="R7442">
            <v>45831</v>
          </cell>
          <cell r="S7442">
            <v>208001</v>
          </cell>
        </row>
        <row r="7443">
          <cell r="K7443" t="str">
            <v>202001</v>
          </cell>
          <cell r="M7443">
            <v>4</v>
          </cell>
          <cell r="R7443">
            <v>45831</v>
          </cell>
          <cell r="S7443">
            <v>202001</v>
          </cell>
        </row>
        <row r="7444">
          <cell r="K7444" t="str">
            <v>213002</v>
          </cell>
          <cell r="M7444">
            <v>2</v>
          </cell>
          <cell r="R7444">
            <v>45831</v>
          </cell>
          <cell r="S7444">
            <v>213002</v>
          </cell>
        </row>
        <row r="7445">
          <cell r="K7445" t="str">
            <v>202001</v>
          </cell>
          <cell r="M7445">
            <v>4</v>
          </cell>
          <cell r="R7445">
            <v>45831</v>
          </cell>
          <cell r="S7445">
            <v>202001</v>
          </cell>
        </row>
        <row r="7446">
          <cell r="K7446" t="str">
            <v>217019</v>
          </cell>
          <cell r="M7446">
            <v>26</v>
          </cell>
          <cell r="R7446">
            <v>45831</v>
          </cell>
          <cell r="S7446">
            <v>217019</v>
          </cell>
        </row>
        <row r="7447">
          <cell r="K7447" t="str">
            <v>228001</v>
          </cell>
          <cell r="M7447">
            <v>11</v>
          </cell>
          <cell r="R7447">
            <v>45831</v>
          </cell>
          <cell r="S7447">
            <v>228001</v>
          </cell>
        </row>
        <row r="7448">
          <cell r="K7448" t="str">
            <v>209016</v>
          </cell>
          <cell r="M7448">
            <v>3</v>
          </cell>
          <cell r="R7448">
            <v>45831</v>
          </cell>
          <cell r="S7448">
            <v>209016</v>
          </cell>
        </row>
        <row r="7449">
          <cell r="K7449" t="str">
            <v>210014</v>
          </cell>
          <cell r="M7449">
            <v>3</v>
          </cell>
          <cell r="R7449">
            <v>45831</v>
          </cell>
          <cell r="S7449">
            <v>210014</v>
          </cell>
        </row>
        <row r="7450">
          <cell r="K7450" t="str">
            <v>201011</v>
          </cell>
          <cell r="M7450">
            <v>4</v>
          </cell>
          <cell r="R7450">
            <v>45831</v>
          </cell>
          <cell r="S7450">
            <v>201011</v>
          </cell>
        </row>
        <row r="7451">
          <cell r="K7451" t="str">
            <v>212035</v>
          </cell>
          <cell r="M7451">
            <v>6</v>
          </cell>
          <cell r="R7451">
            <v>45831</v>
          </cell>
          <cell r="S7451">
            <v>212035</v>
          </cell>
        </row>
        <row r="7452">
          <cell r="K7452" t="str">
            <v>213002</v>
          </cell>
          <cell r="M7452">
            <v>2</v>
          </cell>
          <cell r="R7452">
            <v>45831</v>
          </cell>
          <cell r="S7452">
            <v>213002</v>
          </cell>
        </row>
        <row r="7453">
          <cell r="K7453" t="str">
            <v>213002</v>
          </cell>
          <cell r="M7453">
            <v>27</v>
          </cell>
          <cell r="R7453">
            <v>45831</v>
          </cell>
          <cell r="S7453">
            <v>213002</v>
          </cell>
        </row>
        <row r="7454">
          <cell r="K7454" t="str">
            <v>213002</v>
          </cell>
          <cell r="M7454">
            <v>3</v>
          </cell>
          <cell r="R7454">
            <v>45831</v>
          </cell>
          <cell r="S7454">
            <v>213002</v>
          </cell>
        </row>
        <row r="7455">
          <cell r="K7455" t="str">
            <v>210013</v>
          </cell>
          <cell r="M7455">
            <v>1</v>
          </cell>
          <cell r="R7455">
            <v>45831</v>
          </cell>
          <cell r="S7455">
            <v>210013</v>
          </cell>
        </row>
        <row r="7456">
          <cell r="K7456" t="str">
            <v>223001</v>
          </cell>
          <cell r="M7456">
            <v>3</v>
          </cell>
          <cell r="R7456">
            <v>45831</v>
          </cell>
          <cell r="S7456">
            <v>223001</v>
          </cell>
        </row>
        <row r="7457">
          <cell r="K7457" t="str">
            <v>213002</v>
          </cell>
          <cell r="M7457">
            <v>1</v>
          </cell>
          <cell r="R7457">
            <v>45831</v>
          </cell>
          <cell r="S7457">
            <v>213002</v>
          </cell>
        </row>
        <row r="7458">
          <cell r="K7458" t="str">
            <v>226001</v>
          </cell>
          <cell r="M7458">
            <v>1</v>
          </cell>
          <cell r="R7458">
            <v>45831</v>
          </cell>
          <cell r="S7458">
            <v>226001</v>
          </cell>
        </row>
        <row r="7459">
          <cell r="K7459" t="str">
            <v>226001</v>
          </cell>
          <cell r="M7459">
            <v>1</v>
          </cell>
          <cell r="R7459">
            <v>45831</v>
          </cell>
          <cell r="S7459">
            <v>226001</v>
          </cell>
        </row>
        <row r="7460">
          <cell r="K7460" t="str">
            <v>226001</v>
          </cell>
          <cell r="M7460">
            <v>1</v>
          </cell>
          <cell r="R7460">
            <v>45831</v>
          </cell>
          <cell r="S7460">
            <v>226001</v>
          </cell>
        </row>
        <row r="7461">
          <cell r="K7461" t="str">
            <v>203003</v>
          </cell>
          <cell r="M7461">
            <v>2</v>
          </cell>
          <cell r="R7461">
            <v>45831</v>
          </cell>
          <cell r="S7461">
            <v>203003</v>
          </cell>
        </row>
        <row r="7462">
          <cell r="K7462" t="str">
            <v>223005</v>
          </cell>
          <cell r="M7462">
            <v>1</v>
          </cell>
          <cell r="R7462">
            <v>45831</v>
          </cell>
          <cell r="S7462">
            <v>223005</v>
          </cell>
        </row>
        <row r="7463">
          <cell r="K7463" t="str">
            <v>223001</v>
          </cell>
          <cell r="M7463">
            <v>8</v>
          </cell>
          <cell r="R7463">
            <v>45831</v>
          </cell>
          <cell r="S7463">
            <v>223001</v>
          </cell>
        </row>
        <row r="7464">
          <cell r="K7464" t="str">
            <v>223001</v>
          </cell>
          <cell r="M7464">
            <v>2</v>
          </cell>
          <cell r="R7464">
            <v>45831</v>
          </cell>
          <cell r="S7464">
            <v>223001</v>
          </cell>
        </row>
        <row r="7465">
          <cell r="K7465" t="str">
            <v>241001</v>
          </cell>
          <cell r="M7465">
            <v>10</v>
          </cell>
          <cell r="R7465">
            <v>45831</v>
          </cell>
          <cell r="S7465">
            <v>241001</v>
          </cell>
        </row>
        <row r="7466">
          <cell r="K7466" t="str">
            <v>229003</v>
          </cell>
          <cell r="M7466">
            <v>1</v>
          </cell>
          <cell r="R7466">
            <v>45832</v>
          </cell>
          <cell r="S7466">
            <v>229003</v>
          </cell>
        </row>
        <row r="7467">
          <cell r="K7467" t="str">
            <v>223001</v>
          </cell>
          <cell r="M7467">
            <v>6</v>
          </cell>
          <cell r="R7467">
            <v>45832</v>
          </cell>
          <cell r="S7467">
            <v>223001</v>
          </cell>
        </row>
        <row r="7468">
          <cell r="K7468" t="str">
            <v>212035</v>
          </cell>
          <cell r="M7468">
            <v>1</v>
          </cell>
          <cell r="R7468">
            <v>45832</v>
          </cell>
          <cell r="S7468">
            <v>212035</v>
          </cell>
        </row>
        <row r="7469">
          <cell r="K7469" t="str">
            <v>228001</v>
          </cell>
          <cell r="M7469">
            <v>1</v>
          </cell>
          <cell r="R7469">
            <v>45832</v>
          </cell>
          <cell r="S7469">
            <v>228001</v>
          </cell>
        </row>
        <row r="7470">
          <cell r="K7470" t="str">
            <v>213024</v>
          </cell>
          <cell r="M7470">
            <v>1</v>
          </cell>
          <cell r="R7470">
            <v>45832</v>
          </cell>
          <cell r="S7470">
            <v>213024</v>
          </cell>
        </row>
        <row r="7471">
          <cell r="K7471" t="str">
            <v>203003</v>
          </cell>
          <cell r="M7471">
            <v>4</v>
          </cell>
          <cell r="R7471">
            <v>45832</v>
          </cell>
          <cell r="S7471">
            <v>203003</v>
          </cell>
        </row>
        <row r="7472">
          <cell r="K7472" t="str">
            <v>217019</v>
          </cell>
          <cell r="M7472">
            <v>1</v>
          </cell>
          <cell r="R7472">
            <v>45832</v>
          </cell>
          <cell r="S7472">
            <v>217019</v>
          </cell>
        </row>
        <row r="7473">
          <cell r="K7473" t="str">
            <v>234001</v>
          </cell>
          <cell r="M7473">
            <v>1</v>
          </cell>
          <cell r="R7473">
            <v>45832</v>
          </cell>
          <cell r="S7473">
            <v>234001</v>
          </cell>
        </row>
        <row r="7474">
          <cell r="K7474" t="str">
            <v>227010</v>
          </cell>
          <cell r="M7474">
            <v>1</v>
          </cell>
          <cell r="R7474">
            <v>45832</v>
          </cell>
          <cell r="S7474">
            <v>227010</v>
          </cell>
        </row>
        <row r="7475">
          <cell r="K7475" t="str">
            <v>201021</v>
          </cell>
          <cell r="M7475">
            <v>1</v>
          </cell>
          <cell r="R7475">
            <v>45832</v>
          </cell>
          <cell r="S7475">
            <v>201021</v>
          </cell>
        </row>
        <row r="7476">
          <cell r="K7476" t="str">
            <v>201011</v>
          </cell>
          <cell r="M7476">
            <v>1</v>
          </cell>
          <cell r="R7476">
            <v>45832</v>
          </cell>
          <cell r="S7476">
            <v>201011</v>
          </cell>
        </row>
        <row r="7477">
          <cell r="K7477" t="str">
            <v>226024</v>
          </cell>
          <cell r="M7477">
            <v>1</v>
          </cell>
          <cell r="R7477">
            <v>45832</v>
          </cell>
          <cell r="S7477">
            <v>226024</v>
          </cell>
        </row>
        <row r="7478">
          <cell r="K7478" t="str">
            <v>213002</v>
          </cell>
          <cell r="M7478">
            <v>1</v>
          </cell>
          <cell r="R7478">
            <v>45832</v>
          </cell>
          <cell r="S7478">
            <v>213002</v>
          </cell>
        </row>
        <row r="7479">
          <cell r="K7479" t="str">
            <v>222001</v>
          </cell>
          <cell r="M7479">
            <v>4</v>
          </cell>
          <cell r="R7479">
            <v>45831</v>
          </cell>
          <cell r="S7479">
            <v>222001</v>
          </cell>
        </row>
        <row r="7480">
          <cell r="K7480" t="str">
            <v>261004</v>
          </cell>
          <cell r="M7480">
            <v>1</v>
          </cell>
          <cell r="R7480">
            <v>45831</v>
          </cell>
          <cell r="S7480">
            <v>261004</v>
          </cell>
        </row>
        <row r="7481">
          <cell r="K7481" t="str">
            <v>241001</v>
          </cell>
          <cell r="M7481">
            <v>4</v>
          </cell>
          <cell r="R7481">
            <v>45831</v>
          </cell>
          <cell r="S7481">
            <v>241001</v>
          </cell>
        </row>
        <row r="7482">
          <cell r="K7482" t="str">
            <v>226001</v>
          </cell>
          <cell r="M7482">
            <v>5</v>
          </cell>
          <cell r="R7482">
            <v>45831</v>
          </cell>
          <cell r="S7482">
            <v>226001</v>
          </cell>
        </row>
        <row r="7483">
          <cell r="K7483" t="str">
            <v>222001</v>
          </cell>
          <cell r="M7483">
            <v>1</v>
          </cell>
          <cell r="R7483">
            <v>45831</v>
          </cell>
          <cell r="S7483">
            <v>222001</v>
          </cell>
        </row>
        <row r="7484">
          <cell r="K7484" t="str">
            <v>213003</v>
          </cell>
          <cell r="M7484">
            <v>1</v>
          </cell>
          <cell r="R7484">
            <v>45831</v>
          </cell>
          <cell r="S7484">
            <v>213003</v>
          </cell>
        </row>
        <row r="7485">
          <cell r="K7485" t="str">
            <v>228001</v>
          </cell>
          <cell r="M7485">
            <v>2</v>
          </cell>
          <cell r="R7485">
            <v>45831</v>
          </cell>
          <cell r="S7485">
            <v>228001</v>
          </cell>
        </row>
        <row r="7486">
          <cell r="K7486" t="str">
            <v>217019</v>
          </cell>
          <cell r="M7486">
            <v>9</v>
          </cell>
          <cell r="R7486">
            <v>45831</v>
          </cell>
          <cell r="S7486">
            <v>217019</v>
          </cell>
        </row>
        <row r="7487">
          <cell r="K7487" t="str">
            <v>201003</v>
          </cell>
          <cell r="M7487">
            <v>1</v>
          </cell>
          <cell r="R7487">
            <v>45831</v>
          </cell>
          <cell r="S7487">
            <v>201003</v>
          </cell>
        </row>
        <row r="7488">
          <cell r="K7488" t="str">
            <v>231012</v>
          </cell>
          <cell r="M7488">
            <v>1</v>
          </cell>
          <cell r="R7488">
            <v>45831</v>
          </cell>
          <cell r="S7488">
            <v>231012</v>
          </cell>
        </row>
        <row r="7489">
          <cell r="K7489" t="str">
            <v>203001</v>
          </cell>
          <cell r="M7489">
            <v>1</v>
          </cell>
          <cell r="R7489">
            <v>45831</v>
          </cell>
          <cell r="S7489">
            <v>203001</v>
          </cell>
        </row>
        <row r="7490">
          <cell r="K7490" t="str">
            <v>212002</v>
          </cell>
          <cell r="M7490">
            <v>1</v>
          </cell>
          <cell r="R7490">
            <v>45831</v>
          </cell>
          <cell r="S7490">
            <v>212002</v>
          </cell>
        </row>
        <row r="7491">
          <cell r="K7491" t="str">
            <v>223001</v>
          </cell>
          <cell r="M7491">
            <v>2</v>
          </cell>
          <cell r="R7491">
            <v>45831</v>
          </cell>
          <cell r="S7491">
            <v>223001</v>
          </cell>
        </row>
        <row r="7492">
          <cell r="K7492" t="str">
            <v>213003</v>
          </cell>
          <cell r="M7492">
            <v>1</v>
          </cell>
          <cell r="R7492">
            <v>45831</v>
          </cell>
          <cell r="S7492">
            <v>213003</v>
          </cell>
        </row>
        <row r="7493">
          <cell r="K7493" t="str">
            <v>201011</v>
          </cell>
          <cell r="M7493">
            <v>5</v>
          </cell>
          <cell r="R7493">
            <v>45831</v>
          </cell>
          <cell r="S7493">
            <v>201011</v>
          </cell>
        </row>
        <row r="7494">
          <cell r="K7494" t="str">
            <v>213002</v>
          </cell>
          <cell r="M7494">
            <v>1</v>
          </cell>
          <cell r="R7494">
            <v>45831</v>
          </cell>
          <cell r="S7494">
            <v>213002</v>
          </cell>
        </row>
        <row r="7495">
          <cell r="K7495" t="str">
            <v>228001</v>
          </cell>
          <cell r="M7495">
            <v>3</v>
          </cell>
          <cell r="R7495">
            <v>45831</v>
          </cell>
          <cell r="S7495">
            <v>228001</v>
          </cell>
        </row>
        <row r="7496">
          <cell r="K7496" t="str">
            <v>241001</v>
          </cell>
          <cell r="M7496">
            <v>2</v>
          </cell>
          <cell r="R7496">
            <v>45831</v>
          </cell>
          <cell r="S7496">
            <v>241001</v>
          </cell>
        </row>
        <row r="7497">
          <cell r="K7497" t="str">
            <v>228001</v>
          </cell>
          <cell r="M7497">
            <v>3</v>
          </cell>
          <cell r="R7497">
            <v>45831</v>
          </cell>
          <cell r="S7497">
            <v>228001</v>
          </cell>
        </row>
        <row r="7498">
          <cell r="K7498" t="str">
            <v>213024</v>
          </cell>
          <cell r="M7498">
            <v>5</v>
          </cell>
          <cell r="R7498">
            <v>45831</v>
          </cell>
          <cell r="S7498">
            <v>213024</v>
          </cell>
        </row>
        <row r="7499">
          <cell r="K7499" t="str">
            <v>201003</v>
          </cell>
          <cell r="M7499">
            <v>1</v>
          </cell>
          <cell r="R7499">
            <v>45831</v>
          </cell>
          <cell r="S7499">
            <v>201003</v>
          </cell>
        </row>
        <row r="7500">
          <cell r="K7500" t="str">
            <v>212002</v>
          </cell>
          <cell r="M7500">
            <v>1</v>
          </cell>
          <cell r="R7500">
            <v>45831</v>
          </cell>
          <cell r="S7500">
            <v>212002</v>
          </cell>
        </row>
        <row r="7501">
          <cell r="K7501" t="str">
            <v>213003</v>
          </cell>
          <cell r="M7501">
            <v>1</v>
          </cell>
          <cell r="R7501">
            <v>45831</v>
          </cell>
          <cell r="S7501">
            <v>213003</v>
          </cell>
        </row>
        <row r="7502">
          <cell r="K7502" t="str">
            <v>241001</v>
          </cell>
          <cell r="M7502">
            <v>5</v>
          </cell>
          <cell r="R7502">
            <v>45831</v>
          </cell>
          <cell r="S7502">
            <v>241001</v>
          </cell>
        </row>
        <row r="7503">
          <cell r="K7503" t="str">
            <v>217020</v>
          </cell>
          <cell r="M7503">
            <v>1</v>
          </cell>
          <cell r="R7503">
            <v>45831</v>
          </cell>
          <cell r="S7503">
            <v>217020</v>
          </cell>
        </row>
        <row r="7504">
          <cell r="K7504" t="str">
            <v>203003</v>
          </cell>
          <cell r="M7504">
            <v>2</v>
          </cell>
          <cell r="R7504">
            <v>45831</v>
          </cell>
          <cell r="S7504">
            <v>203003</v>
          </cell>
        </row>
        <row r="7505">
          <cell r="K7505" t="str">
            <v>241001</v>
          </cell>
          <cell r="M7505">
            <v>2</v>
          </cell>
          <cell r="R7505">
            <v>45831</v>
          </cell>
          <cell r="S7505">
            <v>241001</v>
          </cell>
        </row>
        <row r="7506">
          <cell r="K7506" t="str">
            <v>223001</v>
          </cell>
          <cell r="M7506">
            <v>2</v>
          </cell>
          <cell r="R7506">
            <v>45831</v>
          </cell>
          <cell r="S7506">
            <v>223001</v>
          </cell>
        </row>
        <row r="7507">
          <cell r="K7507" t="str">
            <v>223017</v>
          </cell>
          <cell r="M7507">
            <v>3</v>
          </cell>
          <cell r="R7507">
            <v>45831</v>
          </cell>
          <cell r="S7507">
            <v>223017</v>
          </cell>
        </row>
        <row r="7508">
          <cell r="K7508" t="str">
            <v>231012</v>
          </cell>
          <cell r="M7508">
            <v>4</v>
          </cell>
          <cell r="R7508">
            <v>45828</v>
          </cell>
          <cell r="S7508">
            <v>231012</v>
          </cell>
        </row>
        <row r="7509">
          <cell r="K7509" t="str">
            <v>231012</v>
          </cell>
          <cell r="M7509">
            <v>2</v>
          </cell>
          <cell r="R7509">
            <v>45832</v>
          </cell>
          <cell r="S7509">
            <v>231012</v>
          </cell>
        </row>
        <row r="7510">
          <cell r="K7510" t="str">
            <v>228001</v>
          </cell>
          <cell r="M7510">
            <v>1</v>
          </cell>
          <cell r="R7510">
            <v>45832</v>
          </cell>
          <cell r="S7510">
            <v>228001</v>
          </cell>
        </row>
        <row r="7511">
          <cell r="K7511" t="str">
            <v>201011</v>
          </cell>
          <cell r="M7511">
            <v>36</v>
          </cell>
          <cell r="R7511">
            <v>45831</v>
          </cell>
          <cell r="S7511">
            <v>201011</v>
          </cell>
        </row>
        <row r="7512">
          <cell r="K7512" t="str">
            <v>227012</v>
          </cell>
          <cell r="M7512">
            <v>2</v>
          </cell>
          <cell r="R7512">
            <v>45831</v>
          </cell>
          <cell r="S7512">
            <v>227012</v>
          </cell>
        </row>
        <row r="7513">
          <cell r="K7513" t="str">
            <v>213003</v>
          </cell>
          <cell r="M7513">
            <v>1</v>
          </cell>
          <cell r="R7513">
            <v>45831</v>
          </cell>
          <cell r="S7513">
            <v>213003</v>
          </cell>
        </row>
        <row r="7514">
          <cell r="K7514" t="str">
            <v>231008</v>
          </cell>
          <cell r="M7514">
            <v>1</v>
          </cell>
          <cell r="R7514">
            <v>45832</v>
          </cell>
          <cell r="S7514">
            <v>231008</v>
          </cell>
        </row>
        <row r="7515">
          <cell r="K7515" t="str">
            <v>208001</v>
          </cell>
          <cell r="M7515">
            <v>1</v>
          </cell>
          <cell r="R7515">
            <v>45832</v>
          </cell>
          <cell r="S7515">
            <v>208001</v>
          </cell>
        </row>
        <row r="7516">
          <cell r="K7516" t="str">
            <v>228001</v>
          </cell>
          <cell r="M7516">
            <v>1</v>
          </cell>
          <cell r="R7516">
            <v>45831</v>
          </cell>
          <cell r="S7516">
            <v>228001</v>
          </cell>
        </row>
        <row r="7517">
          <cell r="K7517" t="str">
            <v>223017</v>
          </cell>
          <cell r="M7517">
            <v>4</v>
          </cell>
          <cell r="R7517">
            <v>45831</v>
          </cell>
          <cell r="S7517">
            <v>223017</v>
          </cell>
        </row>
        <row r="7518">
          <cell r="K7518" t="str">
            <v>226025</v>
          </cell>
          <cell r="M7518">
            <v>4</v>
          </cell>
          <cell r="R7518">
            <v>45832</v>
          </cell>
          <cell r="S7518">
            <v>226025</v>
          </cell>
        </row>
        <row r="7519">
          <cell r="K7519" t="str">
            <v>231012</v>
          </cell>
          <cell r="M7519">
            <v>1</v>
          </cell>
          <cell r="R7519">
            <v>45832</v>
          </cell>
          <cell r="S7519">
            <v>231012</v>
          </cell>
        </row>
        <row r="7520">
          <cell r="K7520" t="str">
            <v>213030</v>
          </cell>
          <cell r="M7520">
            <v>4</v>
          </cell>
          <cell r="R7520">
            <v>45832</v>
          </cell>
          <cell r="S7520">
            <v>213030</v>
          </cell>
        </row>
        <row r="7521">
          <cell r="K7521" t="str">
            <v>223001</v>
          </cell>
          <cell r="M7521">
            <v>12</v>
          </cell>
          <cell r="R7521">
            <v>45832</v>
          </cell>
          <cell r="S7521">
            <v>223001</v>
          </cell>
        </row>
        <row r="7522">
          <cell r="K7522" t="str">
            <v>227001</v>
          </cell>
          <cell r="M7522">
            <v>1</v>
          </cell>
          <cell r="R7522">
            <v>45832</v>
          </cell>
          <cell r="S7522">
            <v>227001</v>
          </cell>
        </row>
        <row r="7523">
          <cell r="K7523" t="str">
            <v>225001</v>
          </cell>
          <cell r="M7523">
            <v>2</v>
          </cell>
          <cell r="R7523">
            <v>45832</v>
          </cell>
          <cell r="S7523">
            <v>225001</v>
          </cell>
        </row>
        <row r="7524">
          <cell r="K7524" t="str">
            <v>213024</v>
          </cell>
          <cell r="M7524">
            <v>4</v>
          </cell>
          <cell r="R7524">
            <v>45832</v>
          </cell>
          <cell r="S7524">
            <v>213024</v>
          </cell>
        </row>
        <row r="7525">
          <cell r="K7525" t="str">
            <v>226001</v>
          </cell>
          <cell r="M7525">
            <v>1</v>
          </cell>
          <cell r="R7525">
            <v>45832</v>
          </cell>
          <cell r="S7525">
            <v>226001</v>
          </cell>
        </row>
        <row r="7526">
          <cell r="K7526" t="str">
            <v>203003</v>
          </cell>
          <cell r="M7526">
            <v>2</v>
          </cell>
          <cell r="R7526">
            <v>45832</v>
          </cell>
          <cell r="S7526">
            <v>203003</v>
          </cell>
        </row>
        <row r="7527">
          <cell r="K7527" t="str">
            <v>231012</v>
          </cell>
          <cell r="M7527">
            <v>2</v>
          </cell>
          <cell r="R7527">
            <v>45832</v>
          </cell>
          <cell r="S7527">
            <v>231012</v>
          </cell>
        </row>
        <row r="7528">
          <cell r="K7528" t="str">
            <v>228001</v>
          </cell>
          <cell r="M7528">
            <v>3</v>
          </cell>
          <cell r="R7528">
            <v>45832</v>
          </cell>
          <cell r="S7528">
            <v>228001</v>
          </cell>
        </row>
        <row r="7529">
          <cell r="K7529" t="str">
            <v>231012</v>
          </cell>
          <cell r="M7529">
            <v>1</v>
          </cell>
          <cell r="R7529">
            <v>45832</v>
          </cell>
          <cell r="S7529">
            <v>231012</v>
          </cell>
        </row>
        <row r="7530">
          <cell r="K7530" t="str">
            <v>231012</v>
          </cell>
          <cell r="M7530">
            <v>2</v>
          </cell>
          <cell r="R7530">
            <v>45832</v>
          </cell>
          <cell r="S7530">
            <v>231012</v>
          </cell>
        </row>
        <row r="7531">
          <cell r="K7531" t="str">
            <v>229001</v>
          </cell>
          <cell r="M7531">
            <v>15</v>
          </cell>
          <cell r="R7531">
            <v>45832</v>
          </cell>
          <cell r="S7531">
            <v>229001</v>
          </cell>
        </row>
        <row r="7532">
          <cell r="K7532" t="str">
            <v>201011</v>
          </cell>
          <cell r="M7532">
            <v>5</v>
          </cell>
          <cell r="R7532">
            <v>45832</v>
          </cell>
          <cell r="S7532">
            <v>201011</v>
          </cell>
        </row>
        <row r="7533">
          <cell r="K7533" t="str">
            <v>201021</v>
          </cell>
          <cell r="M7533">
            <v>8</v>
          </cell>
          <cell r="R7533">
            <v>45832</v>
          </cell>
          <cell r="S7533">
            <v>201021</v>
          </cell>
        </row>
        <row r="7534">
          <cell r="K7534" t="str">
            <v>228001</v>
          </cell>
          <cell r="M7534">
            <v>1</v>
          </cell>
          <cell r="R7534">
            <v>45832</v>
          </cell>
          <cell r="S7534">
            <v>228001</v>
          </cell>
        </row>
        <row r="7535">
          <cell r="K7535" t="str">
            <v>223001</v>
          </cell>
          <cell r="M7535">
            <v>1</v>
          </cell>
          <cell r="R7535">
            <v>45832</v>
          </cell>
          <cell r="S7535">
            <v>223001</v>
          </cell>
        </row>
        <row r="7536">
          <cell r="K7536" t="str">
            <v>223002</v>
          </cell>
          <cell r="M7536">
            <v>2</v>
          </cell>
          <cell r="R7536">
            <v>45832</v>
          </cell>
          <cell r="S7536">
            <v>223002</v>
          </cell>
        </row>
        <row r="7537">
          <cell r="K7537" t="str">
            <v>227001</v>
          </cell>
          <cell r="M7537">
            <v>2</v>
          </cell>
          <cell r="R7537">
            <v>45832</v>
          </cell>
          <cell r="S7537">
            <v>227001</v>
          </cell>
        </row>
        <row r="7538">
          <cell r="K7538" t="str">
            <v>201022</v>
          </cell>
          <cell r="M7538">
            <v>1</v>
          </cell>
          <cell r="R7538">
            <v>45832</v>
          </cell>
          <cell r="S7538">
            <v>201022</v>
          </cell>
        </row>
        <row r="7539">
          <cell r="K7539" t="str">
            <v>231012</v>
          </cell>
          <cell r="M7539">
            <v>1</v>
          </cell>
          <cell r="R7539">
            <v>45832</v>
          </cell>
          <cell r="S7539">
            <v>231012</v>
          </cell>
        </row>
        <row r="7540">
          <cell r="K7540" t="str">
            <v>231004</v>
          </cell>
          <cell r="M7540">
            <v>1</v>
          </cell>
          <cell r="R7540">
            <v>45832</v>
          </cell>
          <cell r="S7540">
            <v>231004</v>
          </cell>
        </row>
        <row r="7541">
          <cell r="K7541" t="str">
            <v>217006</v>
          </cell>
          <cell r="M7541">
            <v>1</v>
          </cell>
          <cell r="R7541">
            <v>45832</v>
          </cell>
          <cell r="S7541">
            <v>217006</v>
          </cell>
        </row>
        <row r="7542">
          <cell r="K7542" t="str">
            <v>201011</v>
          </cell>
          <cell r="M7542">
            <v>1</v>
          </cell>
          <cell r="R7542">
            <v>45832</v>
          </cell>
          <cell r="S7542">
            <v>201011</v>
          </cell>
        </row>
        <row r="7543">
          <cell r="K7543" t="str">
            <v>227012</v>
          </cell>
          <cell r="M7543">
            <v>5</v>
          </cell>
          <cell r="R7543">
            <v>45832</v>
          </cell>
          <cell r="S7543">
            <v>227012</v>
          </cell>
        </row>
        <row r="7544">
          <cell r="K7544" t="str">
            <v>223001</v>
          </cell>
          <cell r="M7544">
            <v>4</v>
          </cell>
          <cell r="R7544">
            <v>45833</v>
          </cell>
          <cell r="S7544">
            <v>223001</v>
          </cell>
        </row>
        <row r="7545">
          <cell r="K7545" t="str">
            <v>223002</v>
          </cell>
          <cell r="M7545">
            <v>4</v>
          </cell>
          <cell r="R7545">
            <v>45833</v>
          </cell>
          <cell r="S7545">
            <v>223002</v>
          </cell>
        </row>
        <row r="7546">
          <cell r="K7546" t="str">
            <v>201021</v>
          </cell>
          <cell r="M7546">
            <v>2</v>
          </cell>
          <cell r="R7546">
            <v>45833</v>
          </cell>
          <cell r="S7546">
            <v>201021</v>
          </cell>
        </row>
        <row r="7547">
          <cell r="K7547" t="str">
            <v>201002</v>
          </cell>
          <cell r="M7547">
            <v>1</v>
          </cell>
          <cell r="R7547">
            <v>45833</v>
          </cell>
          <cell r="S7547">
            <v>201002</v>
          </cell>
        </row>
        <row r="7548">
          <cell r="K7548" t="str">
            <v>203001</v>
          </cell>
          <cell r="M7548">
            <v>3</v>
          </cell>
          <cell r="R7548">
            <v>45833</v>
          </cell>
          <cell r="S7548">
            <v>203001</v>
          </cell>
        </row>
        <row r="7549">
          <cell r="K7549" t="str">
            <v>237001</v>
          </cell>
          <cell r="M7549">
            <v>1</v>
          </cell>
          <cell r="R7549">
            <v>45833</v>
          </cell>
          <cell r="S7549">
            <v>237001</v>
          </cell>
        </row>
        <row r="7550">
          <cell r="K7550" t="str">
            <v>206006</v>
          </cell>
          <cell r="M7550">
            <v>1</v>
          </cell>
          <cell r="R7550">
            <v>45832</v>
          </cell>
          <cell r="S7550">
            <v>206006</v>
          </cell>
        </row>
        <row r="7551">
          <cell r="K7551" t="str">
            <v>218003</v>
          </cell>
          <cell r="M7551">
            <v>1</v>
          </cell>
          <cell r="R7551">
            <v>45832</v>
          </cell>
          <cell r="S7551">
            <v>218003</v>
          </cell>
        </row>
        <row r="7552">
          <cell r="K7552" t="str">
            <v>208001</v>
          </cell>
          <cell r="M7552">
            <v>1</v>
          </cell>
          <cell r="R7552">
            <v>45832</v>
          </cell>
          <cell r="S7552">
            <v>208001</v>
          </cell>
        </row>
        <row r="7553">
          <cell r="K7553" t="str">
            <v>203001</v>
          </cell>
          <cell r="M7553">
            <v>3</v>
          </cell>
          <cell r="R7553">
            <v>45833</v>
          </cell>
          <cell r="S7553">
            <v>203001</v>
          </cell>
        </row>
        <row r="7554">
          <cell r="K7554" t="str">
            <v>241001</v>
          </cell>
          <cell r="M7554">
            <v>20</v>
          </cell>
          <cell r="R7554">
            <v>45833</v>
          </cell>
          <cell r="S7554">
            <v>241001</v>
          </cell>
        </row>
        <row r="7555">
          <cell r="K7555" t="str">
            <v>222038</v>
          </cell>
          <cell r="M7555">
            <v>3</v>
          </cell>
          <cell r="R7555">
            <v>45833</v>
          </cell>
          <cell r="S7555">
            <v>222038</v>
          </cell>
        </row>
        <row r="7556">
          <cell r="K7556" t="str">
            <v>222001</v>
          </cell>
          <cell r="M7556">
            <v>4</v>
          </cell>
          <cell r="R7556">
            <v>45833</v>
          </cell>
          <cell r="S7556">
            <v>222001</v>
          </cell>
        </row>
        <row r="7557">
          <cell r="K7557" t="str">
            <v>226001</v>
          </cell>
          <cell r="M7557">
            <v>1</v>
          </cell>
          <cell r="R7557">
            <v>45833</v>
          </cell>
          <cell r="S7557">
            <v>226001</v>
          </cell>
        </row>
        <row r="7558">
          <cell r="K7558" t="str">
            <v>201011</v>
          </cell>
          <cell r="M7558">
            <v>1</v>
          </cell>
          <cell r="R7558">
            <v>45833</v>
          </cell>
          <cell r="S7558">
            <v>201011</v>
          </cell>
        </row>
        <row r="7559">
          <cell r="K7559" t="str">
            <v>201011</v>
          </cell>
          <cell r="M7559">
            <v>4</v>
          </cell>
          <cell r="R7559">
            <v>45833</v>
          </cell>
          <cell r="S7559">
            <v>201011</v>
          </cell>
        </row>
        <row r="7560">
          <cell r="K7560" t="str">
            <v>228001</v>
          </cell>
          <cell r="M7560">
            <v>15</v>
          </cell>
          <cell r="R7560">
            <v>45833</v>
          </cell>
          <cell r="S7560">
            <v>228001</v>
          </cell>
        </row>
        <row r="7561">
          <cell r="K7561" t="str">
            <v>213003</v>
          </cell>
          <cell r="M7561">
            <v>31</v>
          </cell>
          <cell r="R7561">
            <v>45833</v>
          </cell>
          <cell r="S7561">
            <v>213003</v>
          </cell>
        </row>
        <row r="7562">
          <cell r="K7562" t="str">
            <v>201011</v>
          </cell>
          <cell r="M7562">
            <v>1</v>
          </cell>
          <cell r="R7562">
            <v>45833</v>
          </cell>
          <cell r="S7562">
            <v>201011</v>
          </cell>
        </row>
        <row r="7563">
          <cell r="K7563" t="str">
            <v>223001</v>
          </cell>
          <cell r="M7563">
            <v>2</v>
          </cell>
          <cell r="R7563">
            <v>45833</v>
          </cell>
          <cell r="S7563">
            <v>223001</v>
          </cell>
        </row>
        <row r="7564">
          <cell r="K7564" t="str">
            <v>227012</v>
          </cell>
          <cell r="M7564">
            <v>2</v>
          </cell>
          <cell r="R7564">
            <v>45833</v>
          </cell>
          <cell r="S7564">
            <v>227012</v>
          </cell>
        </row>
        <row r="7565">
          <cell r="K7565" t="str">
            <v>228001</v>
          </cell>
          <cell r="M7565">
            <v>1</v>
          </cell>
          <cell r="R7565">
            <v>45833</v>
          </cell>
          <cell r="S7565">
            <v>228001</v>
          </cell>
        </row>
        <row r="7566">
          <cell r="K7566" t="str">
            <v>228001</v>
          </cell>
          <cell r="M7566">
            <v>2</v>
          </cell>
          <cell r="R7566">
            <v>45833</v>
          </cell>
          <cell r="S7566">
            <v>228001</v>
          </cell>
        </row>
        <row r="7567">
          <cell r="K7567" t="str">
            <v>223017</v>
          </cell>
          <cell r="M7567">
            <v>4</v>
          </cell>
          <cell r="R7567">
            <v>45833</v>
          </cell>
          <cell r="S7567">
            <v>223017</v>
          </cell>
        </row>
        <row r="7568">
          <cell r="K7568" t="str">
            <v>209004</v>
          </cell>
          <cell r="M7568">
            <v>1</v>
          </cell>
          <cell r="R7568">
            <v>45833</v>
          </cell>
          <cell r="S7568">
            <v>209004</v>
          </cell>
        </row>
        <row r="7569">
          <cell r="K7569" t="str">
            <v>209006</v>
          </cell>
          <cell r="M7569">
            <v>1</v>
          </cell>
          <cell r="R7569">
            <v>45833</v>
          </cell>
          <cell r="S7569">
            <v>209006</v>
          </cell>
        </row>
        <row r="7570">
          <cell r="K7570" t="str">
            <v>207017</v>
          </cell>
          <cell r="M7570">
            <v>1</v>
          </cell>
          <cell r="R7570">
            <v>45833</v>
          </cell>
          <cell r="S7570">
            <v>207017</v>
          </cell>
        </row>
        <row r="7571">
          <cell r="K7571" t="str">
            <v>226028</v>
          </cell>
          <cell r="M7571">
            <v>1</v>
          </cell>
          <cell r="R7571">
            <v>45833</v>
          </cell>
          <cell r="S7571">
            <v>226028</v>
          </cell>
        </row>
        <row r="7572">
          <cell r="K7572" t="str">
            <v>203001</v>
          </cell>
          <cell r="M7572">
            <v>4</v>
          </cell>
          <cell r="R7572">
            <v>45833</v>
          </cell>
          <cell r="S7572">
            <v>203001</v>
          </cell>
        </row>
        <row r="7573">
          <cell r="K7573" t="str">
            <v>241001</v>
          </cell>
          <cell r="M7573">
            <v>15</v>
          </cell>
          <cell r="R7573">
            <v>45833</v>
          </cell>
          <cell r="S7573">
            <v>241001</v>
          </cell>
        </row>
        <row r="7574">
          <cell r="K7574" t="str">
            <v>209006</v>
          </cell>
          <cell r="M7574">
            <v>6</v>
          </cell>
          <cell r="R7574">
            <v>45833</v>
          </cell>
          <cell r="S7574">
            <v>209006</v>
          </cell>
        </row>
        <row r="7575">
          <cell r="K7575" t="str">
            <v>209016</v>
          </cell>
          <cell r="M7575">
            <v>3</v>
          </cell>
          <cell r="R7575">
            <v>45833</v>
          </cell>
          <cell r="S7575">
            <v>209016</v>
          </cell>
        </row>
        <row r="7576">
          <cell r="K7576" t="str">
            <v>217021</v>
          </cell>
          <cell r="M7576">
            <v>1</v>
          </cell>
          <cell r="R7576">
            <v>45833</v>
          </cell>
          <cell r="S7576">
            <v>217021</v>
          </cell>
        </row>
        <row r="7577">
          <cell r="K7577" t="str">
            <v>222001</v>
          </cell>
          <cell r="M7577">
            <v>1</v>
          </cell>
          <cell r="R7577">
            <v>45833</v>
          </cell>
          <cell r="S7577">
            <v>222001</v>
          </cell>
        </row>
        <row r="7578">
          <cell r="K7578" t="str">
            <v>227010</v>
          </cell>
          <cell r="M7578">
            <v>3</v>
          </cell>
          <cell r="R7578">
            <v>45833</v>
          </cell>
          <cell r="S7578">
            <v>227010</v>
          </cell>
        </row>
        <row r="7579">
          <cell r="K7579" t="str">
            <v>213002</v>
          </cell>
          <cell r="M7579">
            <v>10</v>
          </cell>
          <cell r="R7579">
            <v>45833</v>
          </cell>
          <cell r="S7579">
            <v>213002</v>
          </cell>
        </row>
        <row r="7580">
          <cell r="K7580" t="str">
            <v>226027</v>
          </cell>
          <cell r="M7580">
            <v>1</v>
          </cell>
          <cell r="R7580">
            <v>45833</v>
          </cell>
          <cell r="S7580">
            <v>226027</v>
          </cell>
        </row>
        <row r="7581">
          <cell r="K7581" t="str">
            <v>201009</v>
          </cell>
          <cell r="M7581">
            <v>1</v>
          </cell>
          <cell r="R7581">
            <v>45834</v>
          </cell>
          <cell r="S7581">
            <v>201009</v>
          </cell>
        </row>
        <row r="7582">
          <cell r="K7582" t="str">
            <v>209001</v>
          </cell>
          <cell r="M7582">
            <v>2</v>
          </cell>
          <cell r="R7582">
            <v>45834</v>
          </cell>
          <cell r="S7582">
            <v>209001</v>
          </cell>
        </row>
        <row r="7583">
          <cell r="K7583" t="str">
            <v>229004</v>
          </cell>
          <cell r="M7583">
            <v>1</v>
          </cell>
          <cell r="R7583">
            <v>45834</v>
          </cell>
          <cell r="S7583">
            <v>229004</v>
          </cell>
        </row>
        <row r="7584">
          <cell r="K7584" t="str">
            <v>201011</v>
          </cell>
          <cell r="M7584">
            <v>1</v>
          </cell>
          <cell r="R7584">
            <v>45834</v>
          </cell>
          <cell r="S7584">
            <v>201011</v>
          </cell>
        </row>
        <row r="7585">
          <cell r="K7585" t="str">
            <v>223002</v>
          </cell>
          <cell r="M7585">
            <v>1</v>
          </cell>
          <cell r="R7585">
            <v>45834</v>
          </cell>
          <cell r="S7585">
            <v>223002</v>
          </cell>
        </row>
        <row r="7586">
          <cell r="K7586" t="str">
            <v>223002</v>
          </cell>
          <cell r="M7586">
            <v>2</v>
          </cell>
          <cell r="R7586">
            <v>45834</v>
          </cell>
          <cell r="S7586">
            <v>223002</v>
          </cell>
        </row>
        <row r="7587">
          <cell r="K7587" t="str">
            <v>213002</v>
          </cell>
          <cell r="M7587">
            <v>12</v>
          </cell>
          <cell r="R7587">
            <v>45834</v>
          </cell>
          <cell r="S7587">
            <v>213002</v>
          </cell>
        </row>
        <row r="7588">
          <cell r="K7588" t="str">
            <v>201011</v>
          </cell>
          <cell r="M7588">
            <v>2</v>
          </cell>
          <cell r="R7588">
            <v>45834</v>
          </cell>
          <cell r="S7588">
            <v>201011</v>
          </cell>
        </row>
        <row r="7589">
          <cell r="K7589" t="str">
            <v>201011</v>
          </cell>
          <cell r="M7589">
            <v>1</v>
          </cell>
          <cell r="R7589">
            <v>45834</v>
          </cell>
          <cell r="S7589">
            <v>201011</v>
          </cell>
        </row>
        <row r="7590">
          <cell r="K7590" t="str">
            <v>207017</v>
          </cell>
          <cell r="M7590">
            <v>1</v>
          </cell>
          <cell r="R7590">
            <v>45834</v>
          </cell>
          <cell r="S7590">
            <v>207017</v>
          </cell>
        </row>
        <row r="7591">
          <cell r="K7591" t="str">
            <v>212002</v>
          </cell>
          <cell r="M7591">
            <v>1</v>
          </cell>
          <cell r="R7591">
            <v>45834</v>
          </cell>
          <cell r="S7591">
            <v>212002</v>
          </cell>
        </row>
        <row r="7592">
          <cell r="K7592" t="str">
            <v>231012</v>
          </cell>
          <cell r="M7592">
            <v>1</v>
          </cell>
          <cell r="R7592">
            <v>45834</v>
          </cell>
          <cell r="S7592">
            <v>231012</v>
          </cell>
        </row>
        <row r="7593">
          <cell r="K7593" t="str">
            <v>228001</v>
          </cell>
          <cell r="M7593">
            <v>3</v>
          </cell>
          <cell r="R7593">
            <v>45834</v>
          </cell>
          <cell r="S7593">
            <v>228001</v>
          </cell>
        </row>
        <row r="7594">
          <cell r="K7594" t="str">
            <v>226001</v>
          </cell>
          <cell r="M7594">
            <v>2</v>
          </cell>
          <cell r="R7594">
            <v>45834</v>
          </cell>
          <cell r="S7594">
            <v>226001</v>
          </cell>
        </row>
        <row r="7595">
          <cell r="K7595" t="str">
            <v>226001</v>
          </cell>
          <cell r="M7595">
            <v>3</v>
          </cell>
          <cell r="R7595">
            <v>45834</v>
          </cell>
          <cell r="S7595">
            <v>226001</v>
          </cell>
        </row>
        <row r="7596">
          <cell r="K7596" t="str">
            <v>226001</v>
          </cell>
          <cell r="M7596">
            <v>1</v>
          </cell>
          <cell r="R7596">
            <v>45834</v>
          </cell>
          <cell r="S7596">
            <v>226001</v>
          </cell>
        </row>
        <row r="7597">
          <cell r="K7597" t="str">
            <v>226001</v>
          </cell>
          <cell r="M7597">
            <v>1</v>
          </cell>
          <cell r="R7597">
            <v>45834</v>
          </cell>
          <cell r="S7597">
            <v>226001</v>
          </cell>
        </row>
        <row r="7598">
          <cell r="K7598" t="str">
            <v>226001</v>
          </cell>
          <cell r="M7598">
            <v>1</v>
          </cell>
          <cell r="R7598">
            <v>45834</v>
          </cell>
          <cell r="S7598">
            <v>226001</v>
          </cell>
        </row>
        <row r="7599">
          <cell r="K7599" t="str">
            <v>226001</v>
          </cell>
          <cell r="M7599">
            <v>1</v>
          </cell>
          <cell r="R7599">
            <v>45834</v>
          </cell>
          <cell r="S7599">
            <v>226001</v>
          </cell>
        </row>
        <row r="7600">
          <cell r="K7600" t="str">
            <v>228001</v>
          </cell>
          <cell r="M7600">
            <v>1</v>
          </cell>
          <cell r="R7600">
            <v>45834</v>
          </cell>
          <cell r="S7600">
            <v>228001</v>
          </cell>
        </row>
        <row r="7601">
          <cell r="K7601" t="str">
            <v>228001</v>
          </cell>
          <cell r="M7601">
            <v>3</v>
          </cell>
          <cell r="R7601">
            <v>45834</v>
          </cell>
          <cell r="S7601">
            <v>228001</v>
          </cell>
        </row>
        <row r="7602">
          <cell r="K7602" t="str">
            <v>228001</v>
          </cell>
          <cell r="M7602">
            <v>3</v>
          </cell>
          <cell r="R7602">
            <v>45834</v>
          </cell>
          <cell r="S7602">
            <v>228001</v>
          </cell>
        </row>
        <row r="7603">
          <cell r="K7603" t="str">
            <v>217018</v>
          </cell>
          <cell r="M7603">
            <v>1</v>
          </cell>
          <cell r="R7603">
            <v>45834</v>
          </cell>
          <cell r="S7603">
            <v>217018</v>
          </cell>
        </row>
        <row r="7604">
          <cell r="K7604" t="str">
            <v>229004</v>
          </cell>
          <cell r="M7604">
            <v>5</v>
          </cell>
          <cell r="R7604">
            <v>45834</v>
          </cell>
          <cell r="S7604">
            <v>229004</v>
          </cell>
        </row>
        <row r="7605">
          <cell r="K7605" t="str">
            <v>237001</v>
          </cell>
          <cell r="M7605">
            <v>1</v>
          </cell>
          <cell r="R7605">
            <v>45834</v>
          </cell>
          <cell r="S7605">
            <v>237001</v>
          </cell>
        </row>
        <row r="7606">
          <cell r="K7606" t="str">
            <v>213003</v>
          </cell>
          <cell r="M7606">
            <v>20</v>
          </cell>
          <cell r="R7606">
            <v>45834</v>
          </cell>
          <cell r="S7606">
            <v>213003</v>
          </cell>
        </row>
        <row r="7607">
          <cell r="K7607" t="str">
            <v>213024</v>
          </cell>
          <cell r="M7607">
            <v>2</v>
          </cell>
          <cell r="R7607">
            <v>45834</v>
          </cell>
          <cell r="S7607">
            <v>213024</v>
          </cell>
        </row>
        <row r="7608">
          <cell r="K7608" t="str">
            <v>213003</v>
          </cell>
          <cell r="M7608">
            <v>5</v>
          </cell>
          <cell r="R7608">
            <v>45834</v>
          </cell>
          <cell r="S7608">
            <v>213003</v>
          </cell>
        </row>
        <row r="7609">
          <cell r="K7609" t="str">
            <v>237001</v>
          </cell>
          <cell r="M7609">
            <v>1</v>
          </cell>
          <cell r="R7609">
            <v>45834</v>
          </cell>
          <cell r="S7609">
            <v>237001</v>
          </cell>
        </row>
        <row r="7610">
          <cell r="K7610" t="str">
            <v>231004</v>
          </cell>
          <cell r="M7610">
            <v>1</v>
          </cell>
          <cell r="R7610">
            <v>45834</v>
          </cell>
          <cell r="S7610">
            <v>231004</v>
          </cell>
        </row>
        <row r="7611">
          <cell r="K7611" t="str">
            <v>210014</v>
          </cell>
          <cell r="M7611">
            <v>6</v>
          </cell>
          <cell r="R7611">
            <v>45834</v>
          </cell>
          <cell r="S7611">
            <v>210014</v>
          </cell>
        </row>
        <row r="7612">
          <cell r="K7612" t="str">
            <v>227012</v>
          </cell>
          <cell r="M7612">
            <v>3</v>
          </cell>
          <cell r="R7612">
            <v>45834</v>
          </cell>
          <cell r="S7612">
            <v>227012</v>
          </cell>
        </row>
        <row r="7613">
          <cell r="K7613" t="str">
            <v>223001</v>
          </cell>
          <cell r="M7613">
            <v>12</v>
          </cell>
          <cell r="R7613">
            <v>45834</v>
          </cell>
          <cell r="S7613">
            <v>223001</v>
          </cell>
        </row>
        <row r="7614">
          <cell r="K7614" t="str">
            <v>226027</v>
          </cell>
          <cell r="M7614">
            <v>1</v>
          </cell>
          <cell r="R7614">
            <v>45834</v>
          </cell>
          <cell r="S7614">
            <v>226027</v>
          </cell>
        </row>
        <row r="7615">
          <cell r="K7615" t="str">
            <v>226022</v>
          </cell>
          <cell r="M7615">
            <v>1</v>
          </cell>
          <cell r="R7615">
            <v>45834</v>
          </cell>
          <cell r="S7615">
            <v>226022</v>
          </cell>
        </row>
        <row r="7616">
          <cell r="K7616" t="str">
            <v>231012</v>
          </cell>
          <cell r="M7616">
            <v>1</v>
          </cell>
          <cell r="R7616">
            <v>45834</v>
          </cell>
          <cell r="S7616">
            <v>231012</v>
          </cell>
        </row>
        <row r="7617">
          <cell r="K7617" t="str">
            <v>210010</v>
          </cell>
          <cell r="M7617">
            <v>1</v>
          </cell>
          <cell r="R7617">
            <v>45834</v>
          </cell>
          <cell r="S7617">
            <v>210010</v>
          </cell>
        </row>
        <row r="7618">
          <cell r="K7618" t="str">
            <v>201004</v>
          </cell>
          <cell r="M7618">
            <v>2</v>
          </cell>
          <cell r="R7618">
            <v>45834</v>
          </cell>
          <cell r="S7618">
            <v>201004</v>
          </cell>
        </row>
        <row r="7619">
          <cell r="K7619" t="str">
            <v>226001</v>
          </cell>
          <cell r="M7619">
            <v>1</v>
          </cell>
          <cell r="R7619">
            <v>45834</v>
          </cell>
          <cell r="S7619">
            <v>226001</v>
          </cell>
        </row>
        <row r="7620">
          <cell r="K7620" t="str">
            <v>217021</v>
          </cell>
          <cell r="M7620">
            <v>1</v>
          </cell>
          <cell r="R7620">
            <v>45834</v>
          </cell>
          <cell r="S7620">
            <v>217021</v>
          </cell>
        </row>
        <row r="7621">
          <cell r="K7621" t="str">
            <v>231012</v>
          </cell>
          <cell r="M7621">
            <v>10</v>
          </cell>
          <cell r="R7621">
            <v>45834</v>
          </cell>
          <cell r="S7621">
            <v>231012</v>
          </cell>
        </row>
        <row r="7622">
          <cell r="K7622" t="str">
            <v>228001</v>
          </cell>
          <cell r="M7622">
            <v>12</v>
          </cell>
          <cell r="R7622">
            <v>45834</v>
          </cell>
          <cell r="S7622">
            <v>228001</v>
          </cell>
        </row>
        <row r="7623">
          <cell r="K7623" t="str">
            <v>201011</v>
          </cell>
          <cell r="M7623">
            <v>1</v>
          </cell>
          <cell r="R7623">
            <v>45834</v>
          </cell>
          <cell r="S7623">
            <v>201011</v>
          </cell>
        </row>
        <row r="7624">
          <cell r="K7624" t="str">
            <v>210010</v>
          </cell>
          <cell r="M7624">
            <v>2</v>
          </cell>
          <cell r="R7624">
            <v>45834</v>
          </cell>
          <cell r="S7624">
            <v>210010</v>
          </cell>
        </row>
        <row r="7625">
          <cell r="K7625" t="str">
            <v>222001</v>
          </cell>
          <cell r="M7625">
            <v>3</v>
          </cell>
          <cell r="R7625">
            <v>45834</v>
          </cell>
          <cell r="S7625">
            <v>222001</v>
          </cell>
        </row>
        <row r="7626">
          <cell r="K7626" t="str">
            <v>261004</v>
          </cell>
          <cell r="M7626">
            <v>1</v>
          </cell>
          <cell r="R7626">
            <v>45834</v>
          </cell>
          <cell r="S7626">
            <v>261004</v>
          </cell>
        </row>
        <row r="7627">
          <cell r="K7627" t="str">
            <v>241001</v>
          </cell>
          <cell r="M7627">
            <v>4</v>
          </cell>
          <cell r="R7627">
            <v>45834</v>
          </cell>
          <cell r="S7627">
            <v>241001</v>
          </cell>
        </row>
        <row r="7628">
          <cell r="K7628" t="str">
            <v>213003</v>
          </cell>
          <cell r="M7628">
            <v>1</v>
          </cell>
          <cell r="R7628">
            <v>45834</v>
          </cell>
          <cell r="S7628">
            <v>213003</v>
          </cell>
        </row>
        <row r="7629">
          <cell r="K7629" t="str">
            <v>201011</v>
          </cell>
          <cell r="M7629">
            <v>45</v>
          </cell>
          <cell r="R7629">
            <v>45834</v>
          </cell>
          <cell r="S7629">
            <v>201011</v>
          </cell>
        </row>
        <row r="7630">
          <cell r="K7630" t="str">
            <v>217018</v>
          </cell>
          <cell r="M7630">
            <v>1</v>
          </cell>
          <cell r="R7630">
            <v>45834</v>
          </cell>
          <cell r="S7630">
            <v>217018</v>
          </cell>
        </row>
        <row r="7631">
          <cell r="K7631" t="str">
            <v>213002</v>
          </cell>
          <cell r="M7631">
            <v>8</v>
          </cell>
          <cell r="R7631">
            <v>45834</v>
          </cell>
          <cell r="S7631">
            <v>213002</v>
          </cell>
        </row>
        <row r="7632">
          <cell r="K7632" t="str">
            <v>231012</v>
          </cell>
          <cell r="M7632">
            <v>4</v>
          </cell>
          <cell r="R7632">
            <v>45834</v>
          </cell>
          <cell r="S7632">
            <v>231012</v>
          </cell>
        </row>
        <row r="7633">
          <cell r="K7633" t="str">
            <v>201021</v>
          </cell>
          <cell r="M7633">
            <v>1</v>
          </cell>
          <cell r="R7633">
            <v>45834</v>
          </cell>
          <cell r="S7633">
            <v>201021</v>
          </cell>
        </row>
        <row r="7634">
          <cell r="K7634" t="str">
            <v>201022</v>
          </cell>
          <cell r="M7634">
            <v>1</v>
          </cell>
          <cell r="R7634">
            <v>45834</v>
          </cell>
          <cell r="S7634">
            <v>201022</v>
          </cell>
        </row>
        <row r="7635">
          <cell r="K7635" t="str">
            <v>209001</v>
          </cell>
          <cell r="M7635">
            <v>1</v>
          </cell>
          <cell r="R7635">
            <v>45834</v>
          </cell>
          <cell r="S7635">
            <v>209001</v>
          </cell>
        </row>
        <row r="7636">
          <cell r="K7636" t="str">
            <v>201011</v>
          </cell>
          <cell r="M7636">
            <v>4</v>
          </cell>
          <cell r="R7636">
            <v>45834</v>
          </cell>
          <cell r="S7636">
            <v>201011</v>
          </cell>
        </row>
        <row r="7637">
          <cell r="K7637" t="str">
            <v>201011</v>
          </cell>
          <cell r="M7637">
            <v>3</v>
          </cell>
          <cell r="R7637">
            <v>45834</v>
          </cell>
          <cell r="S7637">
            <v>201011</v>
          </cell>
        </row>
        <row r="7638">
          <cell r="K7638" t="str">
            <v>241001</v>
          </cell>
          <cell r="M7638">
            <v>1</v>
          </cell>
          <cell r="R7638">
            <v>45834</v>
          </cell>
          <cell r="S7638">
            <v>241001</v>
          </cell>
        </row>
        <row r="7639">
          <cell r="K7639" t="str">
            <v>228001</v>
          </cell>
          <cell r="M7639">
            <v>1</v>
          </cell>
          <cell r="R7639">
            <v>45834</v>
          </cell>
          <cell r="S7639">
            <v>228001</v>
          </cell>
        </row>
        <row r="7640">
          <cell r="K7640" t="str">
            <v>217019</v>
          </cell>
          <cell r="M7640">
            <v>7</v>
          </cell>
          <cell r="R7640">
            <v>45834</v>
          </cell>
          <cell r="S7640">
            <v>217019</v>
          </cell>
        </row>
        <row r="7641">
          <cell r="K7641" t="str">
            <v>217021</v>
          </cell>
          <cell r="M7641">
            <v>1</v>
          </cell>
          <cell r="R7641">
            <v>45834</v>
          </cell>
          <cell r="S7641">
            <v>217021</v>
          </cell>
        </row>
        <row r="7642">
          <cell r="K7642" t="str">
            <v>228001</v>
          </cell>
          <cell r="M7642">
            <v>3</v>
          </cell>
          <cell r="R7642">
            <v>45834</v>
          </cell>
          <cell r="S7642">
            <v>228001</v>
          </cell>
        </row>
        <row r="7643">
          <cell r="K7643" t="str">
            <v>201011</v>
          </cell>
          <cell r="M7643">
            <v>4</v>
          </cell>
          <cell r="R7643">
            <v>45834</v>
          </cell>
          <cell r="S7643">
            <v>201011</v>
          </cell>
        </row>
        <row r="7644">
          <cell r="K7644" t="str">
            <v>240005</v>
          </cell>
          <cell r="M7644">
            <v>1</v>
          </cell>
          <cell r="R7644">
            <v>45835</v>
          </cell>
          <cell r="S7644">
            <v>240005</v>
          </cell>
        </row>
        <row r="7645">
          <cell r="K7645" t="str">
            <v>222001</v>
          </cell>
          <cell r="M7645">
            <v>1</v>
          </cell>
          <cell r="R7645">
            <v>45835</v>
          </cell>
          <cell r="S7645">
            <v>222001</v>
          </cell>
        </row>
        <row r="7646">
          <cell r="K7646" t="str">
            <v>223001</v>
          </cell>
          <cell r="M7646">
            <v>1</v>
          </cell>
          <cell r="R7646">
            <v>45835</v>
          </cell>
          <cell r="S7646">
            <v>223001</v>
          </cell>
        </row>
        <row r="7647">
          <cell r="K7647" t="str">
            <v>223002</v>
          </cell>
          <cell r="M7647">
            <v>1</v>
          </cell>
          <cell r="R7647">
            <v>45835</v>
          </cell>
          <cell r="S7647">
            <v>223002</v>
          </cell>
        </row>
        <row r="7648">
          <cell r="K7648" t="str">
            <v>226001</v>
          </cell>
          <cell r="M7648">
            <v>2</v>
          </cell>
          <cell r="R7648">
            <v>45835</v>
          </cell>
          <cell r="S7648">
            <v>226001</v>
          </cell>
        </row>
        <row r="7649">
          <cell r="K7649" t="str">
            <v>223001</v>
          </cell>
          <cell r="M7649">
            <v>12</v>
          </cell>
          <cell r="R7649">
            <v>45835</v>
          </cell>
          <cell r="S7649">
            <v>223001</v>
          </cell>
        </row>
        <row r="7650">
          <cell r="K7650" t="str">
            <v>209006</v>
          </cell>
          <cell r="M7650">
            <v>1</v>
          </cell>
          <cell r="R7650">
            <v>45835</v>
          </cell>
          <cell r="S7650">
            <v>209006</v>
          </cell>
        </row>
        <row r="7651">
          <cell r="K7651" t="str">
            <v>226025</v>
          </cell>
          <cell r="M7651">
            <v>1</v>
          </cell>
          <cell r="R7651">
            <v>45835</v>
          </cell>
          <cell r="S7651">
            <v>226025</v>
          </cell>
        </row>
        <row r="7652">
          <cell r="K7652" t="str">
            <v>226001</v>
          </cell>
          <cell r="M7652">
            <v>4</v>
          </cell>
          <cell r="R7652">
            <v>45835</v>
          </cell>
          <cell r="S7652">
            <v>226001</v>
          </cell>
        </row>
        <row r="7653">
          <cell r="K7653" t="str">
            <v>201003</v>
          </cell>
          <cell r="M7653">
            <v>1</v>
          </cell>
          <cell r="R7653">
            <v>45835</v>
          </cell>
          <cell r="S7653">
            <v>201003</v>
          </cell>
        </row>
        <row r="7654">
          <cell r="K7654" t="str">
            <v>261004</v>
          </cell>
          <cell r="M7654">
            <v>50</v>
          </cell>
          <cell r="R7654">
            <v>45835</v>
          </cell>
          <cell r="S7654">
            <v>261004</v>
          </cell>
        </row>
        <row r="7655">
          <cell r="K7655" t="str">
            <v>212010</v>
          </cell>
          <cell r="M7655">
            <v>40</v>
          </cell>
          <cell r="R7655">
            <v>45835</v>
          </cell>
          <cell r="S7655">
            <v>212010</v>
          </cell>
        </row>
        <row r="7656">
          <cell r="K7656" t="str">
            <v>223002</v>
          </cell>
          <cell r="M7656">
            <v>4</v>
          </cell>
          <cell r="R7656">
            <v>45835</v>
          </cell>
          <cell r="S7656">
            <v>223002</v>
          </cell>
        </row>
        <row r="7657">
          <cell r="K7657" t="str">
            <v>227012</v>
          </cell>
          <cell r="M7657">
            <v>3</v>
          </cell>
          <cell r="R7657">
            <v>45835</v>
          </cell>
          <cell r="S7657">
            <v>227012</v>
          </cell>
        </row>
        <row r="7658">
          <cell r="K7658" t="str">
            <v>222005</v>
          </cell>
          <cell r="M7658">
            <v>1</v>
          </cell>
          <cell r="R7658">
            <v>45835</v>
          </cell>
          <cell r="S7658">
            <v>222005</v>
          </cell>
        </row>
        <row r="7659">
          <cell r="K7659" t="str">
            <v>213003</v>
          </cell>
          <cell r="M7659">
            <v>1</v>
          </cell>
          <cell r="R7659">
            <v>45835</v>
          </cell>
          <cell r="S7659">
            <v>213003</v>
          </cell>
        </row>
        <row r="7660">
          <cell r="K7660" t="str">
            <v>223002</v>
          </cell>
          <cell r="M7660">
            <v>5</v>
          </cell>
          <cell r="R7660">
            <v>45835</v>
          </cell>
          <cell r="S7660">
            <v>223002</v>
          </cell>
        </row>
        <row r="7661">
          <cell r="K7661" t="str">
            <v>213003</v>
          </cell>
          <cell r="M7661">
            <v>2</v>
          </cell>
          <cell r="R7661">
            <v>45835</v>
          </cell>
          <cell r="S7661">
            <v>213003</v>
          </cell>
        </row>
        <row r="7662">
          <cell r="K7662" t="str">
            <v>213024</v>
          </cell>
          <cell r="M7662">
            <v>1</v>
          </cell>
          <cell r="R7662">
            <v>45835</v>
          </cell>
          <cell r="S7662">
            <v>213024</v>
          </cell>
        </row>
        <row r="7663">
          <cell r="K7663" t="str">
            <v>213024</v>
          </cell>
          <cell r="M7663">
            <v>1</v>
          </cell>
          <cell r="R7663">
            <v>45835</v>
          </cell>
          <cell r="S7663">
            <v>213024</v>
          </cell>
        </row>
        <row r="7664">
          <cell r="K7664" t="str">
            <v>213002</v>
          </cell>
          <cell r="M7664">
            <v>2</v>
          </cell>
          <cell r="R7664">
            <v>45835</v>
          </cell>
          <cell r="S7664">
            <v>213002</v>
          </cell>
        </row>
        <row r="7665">
          <cell r="K7665" t="str">
            <v>212035</v>
          </cell>
          <cell r="M7665">
            <v>1</v>
          </cell>
          <cell r="R7665">
            <v>45835</v>
          </cell>
          <cell r="S7665">
            <v>212035</v>
          </cell>
        </row>
        <row r="7666">
          <cell r="K7666" t="str">
            <v>209012</v>
          </cell>
          <cell r="M7666">
            <v>1</v>
          </cell>
          <cell r="R7666">
            <v>45835</v>
          </cell>
          <cell r="S7666">
            <v>209012</v>
          </cell>
        </row>
        <row r="7667">
          <cell r="K7667" t="str">
            <v>201011</v>
          </cell>
          <cell r="M7667">
            <v>2</v>
          </cell>
          <cell r="R7667">
            <v>45835</v>
          </cell>
          <cell r="S7667">
            <v>201011</v>
          </cell>
        </row>
        <row r="7668">
          <cell r="K7668" t="str">
            <v>229001</v>
          </cell>
          <cell r="M7668">
            <v>1</v>
          </cell>
          <cell r="R7668">
            <v>45835</v>
          </cell>
          <cell r="S7668">
            <v>229001</v>
          </cell>
        </row>
        <row r="7669">
          <cell r="K7669" t="str">
            <v>241001</v>
          </cell>
          <cell r="M7669">
            <v>15</v>
          </cell>
          <cell r="R7669">
            <v>45835</v>
          </cell>
          <cell r="S7669">
            <v>241001</v>
          </cell>
        </row>
        <row r="7670">
          <cell r="K7670" t="str">
            <v>212002</v>
          </cell>
          <cell r="M7670">
            <v>3</v>
          </cell>
          <cell r="R7670">
            <v>45835</v>
          </cell>
          <cell r="S7670">
            <v>212002</v>
          </cell>
        </row>
        <row r="7671">
          <cell r="K7671" t="str">
            <v>223002</v>
          </cell>
          <cell r="M7671">
            <v>2</v>
          </cell>
          <cell r="R7671">
            <v>45836</v>
          </cell>
          <cell r="S7671">
            <v>223002</v>
          </cell>
        </row>
        <row r="7672">
          <cell r="K7672" t="str">
            <v>213002</v>
          </cell>
          <cell r="M7672">
            <v>3</v>
          </cell>
          <cell r="R7672">
            <v>45836</v>
          </cell>
          <cell r="S7672">
            <v>213002</v>
          </cell>
        </row>
        <row r="7673">
          <cell r="K7673" t="str">
            <v>222002</v>
          </cell>
          <cell r="M7673">
            <v>1</v>
          </cell>
          <cell r="R7673">
            <v>45836</v>
          </cell>
          <cell r="S7673">
            <v>222002</v>
          </cell>
        </row>
        <row r="7674">
          <cell r="K7674" t="str">
            <v>241001</v>
          </cell>
          <cell r="M7674">
            <v>4</v>
          </cell>
          <cell r="R7674">
            <v>45836</v>
          </cell>
          <cell r="S7674">
            <v>241001</v>
          </cell>
        </row>
        <row r="7675">
          <cell r="K7675" t="str">
            <v>201011</v>
          </cell>
          <cell r="M7675">
            <v>2</v>
          </cell>
          <cell r="R7675">
            <v>45838</v>
          </cell>
          <cell r="S7675">
            <v>201011</v>
          </cell>
        </row>
        <row r="7676">
          <cell r="K7676" t="str">
            <v>241001</v>
          </cell>
          <cell r="M7676">
            <v>4</v>
          </cell>
          <cell r="R7676">
            <v>45838</v>
          </cell>
          <cell r="S7676">
            <v>241001</v>
          </cell>
        </row>
        <row r="7677">
          <cell r="K7677" t="str">
            <v>228001</v>
          </cell>
          <cell r="M7677">
            <v>1</v>
          </cell>
          <cell r="R7677">
            <v>45836</v>
          </cell>
          <cell r="S7677">
            <v>228001</v>
          </cell>
        </row>
        <row r="7678">
          <cell r="K7678" t="str">
            <v>231010</v>
          </cell>
          <cell r="M7678">
            <v>2</v>
          </cell>
          <cell r="R7678">
            <v>45836</v>
          </cell>
          <cell r="S7678">
            <v>231010</v>
          </cell>
        </row>
        <row r="7679">
          <cell r="K7679" t="str">
            <v>201011</v>
          </cell>
          <cell r="M7679">
            <v>6</v>
          </cell>
          <cell r="R7679">
            <v>45838</v>
          </cell>
          <cell r="S7679">
            <v>201011</v>
          </cell>
        </row>
        <row r="7680">
          <cell r="K7680" t="str">
            <v>228001</v>
          </cell>
          <cell r="M7680">
            <v>1</v>
          </cell>
          <cell r="R7680">
            <v>45838</v>
          </cell>
          <cell r="S7680">
            <v>228001</v>
          </cell>
        </row>
        <row r="7681">
          <cell r="K7681" t="str">
            <v>212035</v>
          </cell>
          <cell r="M7681">
            <v>2</v>
          </cell>
          <cell r="R7681">
            <v>45838</v>
          </cell>
          <cell r="S7681">
            <v>212035</v>
          </cell>
        </row>
        <row r="7682">
          <cell r="K7682" t="str">
            <v>201003</v>
          </cell>
          <cell r="M7682">
            <v>1</v>
          </cell>
          <cell r="R7682">
            <v>45838</v>
          </cell>
          <cell r="S7682">
            <v>201003</v>
          </cell>
        </row>
        <row r="7683">
          <cell r="K7683" t="str">
            <v>210001</v>
          </cell>
          <cell r="M7683">
            <v>2</v>
          </cell>
          <cell r="R7683">
            <v>45838</v>
          </cell>
          <cell r="S7683">
            <v>210001</v>
          </cell>
        </row>
        <row r="7684">
          <cell r="K7684" t="str">
            <v>209001</v>
          </cell>
          <cell r="M7684">
            <v>3</v>
          </cell>
          <cell r="R7684">
            <v>45838</v>
          </cell>
          <cell r="S7684">
            <v>209001</v>
          </cell>
        </row>
        <row r="7685">
          <cell r="K7685" t="str">
            <v>223002</v>
          </cell>
          <cell r="M7685">
            <v>2</v>
          </cell>
          <cell r="R7685">
            <v>45838</v>
          </cell>
          <cell r="S7685">
            <v>223002</v>
          </cell>
        </row>
        <row r="7686">
          <cell r="K7686" t="str">
            <v>201011</v>
          </cell>
          <cell r="M7686">
            <v>6</v>
          </cell>
          <cell r="R7686">
            <v>45838</v>
          </cell>
          <cell r="S7686">
            <v>201011</v>
          </cell>
        </row>
        <row r="7687">
          <cell r="K7687" t="str">
            <v>201011</v>
          </cell>
          <cell r="M7687">
            <v>10</v>
          </cell>
          <cell r="R7687">
            <v>45838</v>
          </cell>
          <cell r="S7687">
            <v>201011</v>
          </cell>
        </row>
        <row r="7688">
          <cell r="K7688" t="str">
            <v>217019</v>
          </cell>
          <cell r="M7688">
            <v>30</v>
          </cell>
          <cell r="R7688">
            <v>45838</v>
          </cell>
          <cell r="S7688">
            <v>217019</v>
          </cell>
        </row>
        <row r="7689">
          <cell r="K7689" t="str">
            <v>228001</v>
          </cell>
          <cell r="M7689">
            <v>13</v>
          </cell>
          <cell r="R7689">
            <v>45838</v>
          </cell>
          <cell r="S7689">
            <v>228001</v>
          </cell>
        </row>
        <row r="7690">
          <cell r="K7690" t="str">
            <v>218003</v>
          </cell>
          <cell r="M7690">
            <v>1</v>
          </cell>
          <cell r="R7690">
            <v>45838</v>
          </cell>
          <cell r="S7690">
            <v>218003</v>
          </cell>
        </row>
        <row r="7691">
          <cell r="K7691" t="str">
            <v>206002</v>
          </cell>
          <cell r="M7691">
            <v>1</v>
          </cell>
          <cell r="R7691">
            <v>45838</v>
          </cell>
          <cell r="S7691">
            <v>206002</v>
          </cell>
        </row>
        <row r="7692">
          <cell r="K7692" t="str">
            <v>218001</v>
          </cell>
          <cell r="M7692">
            <v>1</v>
          </cell>
          <cell r="R7692">
            <v>45838</v>
          </cell>
          <cell r="S7692">
            <v>218001</v>
          </cell>
        </row>
        <row r="7693">
          <cell r="K7693" t="str">
            <v>222002</v>
          </cell>
          <cell r="M7693">
            <v>2</v>
          </cell>
          <cell r="R7693">
            <v>45838</v>
          </cell>
          <cell r="S7693">
            <v>222002</v>
          </cell>
        </row>
        <row r="7694">
          <cell r="K7694" t="str">
            <v>201005</v>
          </cell>
          <cell r="M7694">
            <v>2</v>
          </cell>
          <cell r="R7694">
            <v>45838</v>
          </cell>
          <cell r="S7694">
            <v>201005</v>
          </cell>
        </row>
        <row r="7695">
          <cell r="K7695" t="str">
            <v>213002</v>
          </cell>
          <cell r="M7695">
            <v>4</v>
          </cell>
          <cell r="R7695">
            <v>45838</v>
          </cell>
          <cell r="S7695">
            <v>213002</v>
          </cell>
        </row>
        <row r="7696">
          <cell r="K7696" t="str">
            <v>213002</v>
          </cell>
          <cell r="M7696">
            <v>2</v>
          </cell>
          <cell r="R7696">
            <v>45838</v>
          </cell>
          <cell r="S7696">
            <v>213002</v>
          </cell>
        </row>
        <row r="7697">
          <cell r="K7697" t="str">
            <v>207017</v>
          </cell>
          <cell r="M7697">
            <v>2</v>
          </cell>
          <cell r="R7697">
            <v>45838</v>
          </cell>
          <cell r="S7697">
            <v>207017</v>
          </cell>
        </row>
        <row r="7698">
          <cell r="K7698" t="str">
            <v>213003</v>
          </cell>
          <cell r="M7698">
            <v>3</v>
          </cell>
          <cell r="R7698">
            <v>45838</v>
          </cell>
          <cell r="S7698">
            <v>213003</v>
          </cell>
        </row>
        <row r="7699">
          <cell r="K7699" t="str">
            <v>213003</v>
          </cell>
          <cell r="M7699">
            <v>2</v>
          </cell>
          <cell r="R7699">
            <v>45838</v>
          </cell>
          <cell r="S7699">
            <v>213003</v>
          </cell>
        </row>
        <row r="7700">
          <cell r="K7700" t="str">
            <v>201011</v>
          </cell>
          <cell r="M7700">
            <v>2</v>
          </cell>
          <cell r="R7700">
            <v>45838</v>
          </cell>
          <cell r="S7700">
            <v>201011</v>
          </cell>
        </row>
        <row r="7701">
          <cell r="K7701" t="str">
            <v>228001</v>
          </cell>
          <cell r="M7701">
            <v>15</v>
          </cell>
          <cell r="R7701">
            <v>45838</v>
          </cell>
          <cell r="S7701">
            <v>228001</v>
          </cell>
        </row>
        <row r="7702">
          <cell r="K7702" t="str">
            <v>203001</v>
          </cell>
          <cell r="M7702">
            <v>2</v>
          </cell>
          <cell r="R7702">
            <v>45838</v>
          </cell>
          <cell r="S7702">
            <v>203001</v>
          </cell>
        </row>
        <row r="7703">
          <cell r="K7703" t="str">
            <v>231010</v>
          </cell>
          <cell r="M7703">
            <v>1</v>
          </cell>
          <cell r="R7703">
            <v>45838</v>
          </cell>
          <cell r="S7703">
            <v>231010</v>
          </cell>
        </row>
        <row r="7704">
          <cell r="K7704" t="str">
            <v>229001</v>
          </cell>
          <cell r="M7704">
            <v>1</v>
          </cell>
          <cell r="R7704">
            <v>45838</v>
          </cell>
          <cell r="S7704">
            <v>229001</v>
          </cell>
        </row>
        <row r="7705">
          <cell r="K7705" t="str">
            <v>217022</v>
          </cell>
          <cell r="M7705">
            <v>13</v>
          </cell>
          <cell r="R7705">
            <v>45838</v>
          </cell>
          <cell r="S7705">
            <v>217022</v>
          </cell>
        </row>
        <row r="7706">
          <cell r="K7706" t="str">
            <v>217021</v>
          </cell>
          <cell r="M7706">
            <v>2</v>
          </cell>
          <cell r="R7706">
            <v>45838</v>
          </cell>
          <cell r="S7706">
            <v>217021</v>
          </cell>
        </row>
        <row r="7707">
          <cell r="K7707" t="str">
            <v>227002</v>
          </cell>
          <cell r="M7707">
            <v>1</v>
          </cell>
          <cell r="R7707">
            <v>45838</v>
          </cell>
          <cell r="S7707">
            <v>227002</v>
          </cell>
        </row>
        <row r="7708">
          <cell r="K7708" t="str">
            <v>227012</v>
          </cell>
          <cell r="M7708">
            <v>1</v>
          </cell>
          <cell r="R7708">
            <v>45838</v>
          </cell>
          <cell r="S7708">
            <v>227012</v>
          </cell>
        </row>
        <row r="7709">
          <cell r="K7709" t="str">
            <v>223001</v>
          </cell>
          <cell r="M7709">
            <v>9</v>
          </cell>
          <cell r="R7709">
            <v>45838</v>
          </cell>
          <cell r="S7709">
            <v>223001</v>
          </cell>
        </row>
        <row r="7710">
          <cell r="K7710" t="str">
            <v>203003</v>
          </cell>
          <cell r="M7710">
            <v>1</v>
          </cell>
          <cell r="R7710">
            <v>45838</v>
          </cell>
          <cell r="S7710">
            <v>203003</v>
          </cell>
        </row>
        <row r="7711">
          <cell r="K7711" t="str">
            <v>227012</v>
          </cell>
          <cell r="M7711">
            <v>1</v>
          </cell>
          <cell r="R7711">
            <v>45838</v>
          </cell>
          <cell r="S7711">
            <v>227012</v>
          </cell>
        </row>
        <row r="7712">
          <cell r="K7712" t="str">
            <v>223002</v>
          </cell>
          <cell r="M7712">
            <v>2</v>
          </cell>
          <cell r="R7712">
            <v>45838</v>
          </cell>
          <cell r="S7712">
            <v>223002</v>
          </cell>
        </row>
        <row r="7713">
          <cell r="K7713" t="str">
            <v>223001</v>
          </cell>
          <cell r="M7713">
            <v>4</v>
          </cell>
          <cell r="R7713">
            <v>45838</v>
          </cell>
          <cell r="S7713">
            <v>223001</v>
          </cell>
        </row>
        <row r="7714">
          <cell r="K7714" t="str">
            <v>228001</v>
          </cell>
          <cell r="M7714">
            <v>1</v>
          </cell>
          <cell r="R7714">
            <v>45838</v>
          </cell>
          <cell r="S7714">
            <v>228001</v>
          </cell>
        </row>
        <row r="7715">
          <cell r="K7715" t="str">
            <v>228001</v>
          </cell>
          <cell r="M7715">
            <v>4</v>
          </cell>
          <cell r="R7715">
            <v>45838</v>
          </cell>
          <cell r="S7715">
            <v>228001</v>
          </cell>
        </row>
        <row r="7716">
          <cell r="K7716" t="str">
            <v>201011</v>
          </cell>
          <cell r="M7716">
            <v>2</v>
          </cell>
          <cell r="R7716">
            <v>45838</v>
          </cell>
          <cell r="S7716">
            <v>201011</v>
          </cell>
        </row>
        <row r="7717">
          <cell r="K7717" t="str">
            <v>212035</v>
          </cell>
          <cell r="M7717">
            <v>1</v>
          </cell>
          <cell r="R7717">
            <v>45838</v>
          </cell>
          <cell r="S7717">
            <v>212035</v>
          </cell>
        </row>
        <row r="7718">
          <cell r="K7718" t="str">
            <v>201003</v>
          </cell>
          <cell r="M7718">
            <v>1</v>
          </cell>
          <cell r="R7718">
            <v>45838</v>
          </cell>
          <cell r="S7718">
            <v>201003</v>
          </cell>
        </row>
        <row r="7719">
          <cell r="K7719" t="str">
            <v>201003</v>
          </cell>
          <cell r="M7719">
            <v>1</v>
          </cell>
          <cell r="R7719">
            <v>45838</v>
          </cell>
          <cell r="S7719">
            <v>201003</v>
          </cell>
        </row>
        <row r="7720">
          <cell r="K7720" t="str">
            <v>209004</v>
          </cell>
          <cell r="M7720">
            <v>1</v>
          </cell>
          <cell r="R7720">
            <v>45838</v>
          </cell>
          <cell r="S7720">
            <v>209004</v>
          </cell>
        </row>
        <row r="7721">
          <cell r="K7721" t="str">
            <v>223001</v>
          </cell>
          <cell r="M7721">
            <v>2</v>
          </cell>
          <cell r="R7721">
            <v>45838</v>
          </cell>
          <cell r="S7721">
            <v>223001</v>
          </cell>
        </row>
        <row r="7722">
          <cell r="K7722" t="str">
            <v>241001</v>
          </cell>
          <cell r="M7722">
            <v>10</v>
          </cell>
          <cell r="R7722">
            <v>45838</v>
          </cell>
          <cell r="S7722">
            <v>241001</v>
          </cell>
        </row>
        <row r="7723">
          <cell r="K7723" t="str">
            <v>228001</v>
          </cell>
          <cell r="M7723">
            <v>2</v>
          </cell>
          <cell r="R7723">
            <v>45838</v>
          </cell>
          <cell r="S7723">
            <v>228001</v>
          </cell>
        </row>
        <row r="7724">
          <cell r="K7724" t="str">
            <v>201003</v>
          </cell>
          <cell r="M7724">
            <v>1</v>
          </cell>
          <cell r="R7724">
            <v>45838</v>
          </cell>
          <cell r="S7724">
            <v>201003</v>
          </cell>
        </row>
        <row r="7725">
          <cell r="K7725" t="str">
            <v>231010</v>
          </cell>
          <cell r="M7725">
            <v>1</v>
          </cell>
          <cell r="R7725">
            <v>45838</v>
          </cell>
          <cell r="S7725">
            <v>231010</v>
          </cell>
        </row>
        <row r="7726">
          <cell r="K7726" t="str">
            <v>203001</v>
          </cell>
          <cell r="M7726">
            <v>1</v>
          </cell>
          <cell r="R7726">
            <v>45838</v>
          </cell>
          <cell r="S7726">
            <v>203001</v>
          </cell>
        </row>
        <row r="7727">
          <cell r="K7727" t="str">
            <v>209004</v>
          </cell>
          <cell r="M7727">
            <v>1</v>
          </cell>
          <cell r="R7727">
            <v>45838</v>
          </cell>
          <cell r="S7727">
            <v>209004</v>
          </cell>
        </row>
        <row r="7728">
          <cell r="K7728" t="str">
            <v>223001</v>
          </cell>
          <cell r="M7728">
            <v>1</v>
          </cell>
          <cell r="R7728">
            <v>45838</v>
          </cell>
          <cell r="S7728">
            <v>223001</v>
          </cell>
        </row>
        <row r="7729">
          <cell r="K7729" t="str">
            <v>228001</v>
          </cell>
          <cell r="M7729">
            <v>2</v>
          </cell>
          <cell r="R7729">
            <v>45838</v>
          </cell>
          <cell r="S7729">
            <v>228001</v>
          </cell>
        </row>
        <row r="7730">
          <cell r="K7730" t="str">
            <v>213002</v>
          </cell>
          <cell r="M7730">
            <v>1</v>
          </cell>
          <cell r="R7730">
            <v>45838</v>
          </cell>
          <cell r="S7730">
            <v>213002</v>
          </cell>
        </row>
        <row r="7731">
          <cell r="K7731" t="str">
            <v>201011</v>
          </cell>
          <cell r="M7731">
            <v>1</v>
          </cell>
          <cell r="R7731">
            <v>45838</v>
          </cell>
          <cell r="S7731">
            <v>201011</v>
          </cell>
        </row>
        <row r="7732">
          <cell r="K7732" t="str">
            <v>213002</v>
          </cell>
          <cell r="M7732">
            <v>2</v>
          </cell>
          <cell r="R7732">
            <v>45838</v>
          </cell>
          <cell r="S7732">
            <v>213002</v>
          </cell>
        </row>
        <row r="7733">
          <cell r="K7733" t="str">
            <v>201021</v>
          </cell>
          <cell r="M7733">
            <v>1</v>
          </cell>
          <cell r="R7733">
            <v>45838</v>
          </cell>
          <cell r="S7733">
            <v>201021</v>
          </cell>
        </row>
        <row r="7734">
          <cell r="K7734" t="str">
            <v>203003</v>
          </cell>
          <cell r="M7734">
            <v>2</v>
          </cell>
          <cell r="R7734">
            <v>45838</v>
          </cell>
          <cell r="S7734">
            <v>203003</v>
          </cell>
        </row>
        <row r="7735">
          <cell r="K7735" t="str">
            <v>209001</v>
          </cell>
          <cell r="M7735">
            <v>2</v>
          </cell>
          <cell r="R7735">
            <v>45838</v>
          </cell>
          <cell r="S7735">
            <v>209001</v>
          </cell>
        </row>
        <row r="7736">
          <cell r="K7736" t="str">
            <v>213002</v>
          </cell>
          <cell r="M7736">
            <v>6</v>
          </cell>
          <cell r="R7736">
            <v>45838</v>
          </cell>
          <cell r="S7736">
            <v>213002</v>
          </cell>
        </row>
        <row r="7737">
          <cell r="K7737" t="str">
            <v>229004</v>
          </cell>
          <cell r="M7737">
            <v>1</v>
          </cell>
          <cell r="R7737">
            <v>45838</v>
          </cell>
          <cell r="S7737">
            <v>229004</v>
          </cell>
        </row>
        <row r="7738">
          <cell r="K7738" t="str">
            <v>201011</v>
          </cell>
          <cell r="M7738">
            <v>15</v>
          </cell>
          <cell r="R7738">
            <v>45838</v>
          </cell>
          <cell r="S7738">
            <v>201011</v>
          </cell>
        </row>
        <row r="7739">
          <cell r="K7739" t="str">
            <v>201011</v>
          </cell>
          <cell r="M7739">
            <v>6</v>
          </cell>
          <cell r="R7739">
            <v>45838</v>
          </cell>
          <cell r="S7739">
            <v>201011</v>
          </cell>
        </row>
        <row r="7740">
          <cell r="K7740" t="str">
            <v>223017</v>
          </cell>
          <cell r="M7740">
            <v>6</v>
          </cell>
          <cell r="R7740">
            <v>45838</v>
          </cell>
          <cell r="S7740">
            <v>223017</v>
          </cell>
        </row>
        <row r="7741">
          <cell r="K7741" t="str">
            <v>217020</v>
          </cell>
          <cell r="M7741">
            <v>1</v>
          </cell>
          <cell r="R7741">
            <v>45838</v>
          </cell>
          <cell r="S7741">
            <v>217020</v>
          </cell>
        </row>
        <row r="7742">
          <cell r="K7742" t="str">
            <v>241001</v>
          </cell>
          <cell r="M7742">
            <v>1</v>
          </cell>
          <cell r="R7742">
            <v>45838</v>
          </cell>
          <cell r="S7742">
            <v>241001</v>
          </cell>
        </row>
        <row r="7743">
          <cell r="K7743" t="str">
            <v>203003</v>
          </cell>
          <cell r="M7743">
            <v>2</v>
          </cell>
          <cell r="R7743">
            <v>45838</v>
          </cell>
          <cell r="S7743">
            <v>203003</v>
          </cell>
        </row>
        <row r="7744">
          <cell r="K7744" t="str">
            <v>201005</v>
          </cell>
          <cell r="M7744">
            <v>2</v>
          </cell>
          <cell r="R7744">
            <v>45838</v>
          </cell>
          <cell r="S7744">
            <v>201005</v>
          </cell>
        </row>
        <row r="7745">
          <cell r="K7745" t="str">
            <v>203003</v>
          </cell>
          <cell r="M7745">
            <v>2</v>
          </cell>
          <cell r="R7745">
            <v>45838</v>
          </cell>
          <cell r="S7745">
            <v>203003</v>
          </cell>
        </row>
        <row r="7746">
          <cell r="K7746" t="str">
            <v>201011</v>
          </cell>
          <cell r="M7746">
            <v>36</v>
          </cell>
          <cell r="R7746">
            <v>45838</v>
          </cell>
          <cell r="S7746">
            <v>201011</v>
          </cell>
        </row>
        <row r="7747">
          <cell r="K7747" t="str">
            <v>213002</v>
          </cell>
          <cell r="M7747">
            <v>17</v>
          </cell>
          <cell r="R7747">
            <v>45838</v>
          </cell>
          <cell r="S7747">
            <v>213002</v>
          </cell>
        </row>
        <row r="7748">
          <cell r="K7748" t="str">
            <v>213005</v>
          </cell>
          <cell r="M7748">
            <v>1</v>
          </cell>
          <cell r="R7748">
            <v>45838</v>
          </cell>
          <cell r="S7748">
            <v>213005</v>
          </cell>
        </row>
        <row r="7749">
          <cell r="K7749" t="str">
            <v>210014</v>
          </cell>
          <cell r="M7749">
            <v>1</v>
          </cell>
          <cell r="R7749">
            <v>45838</v>
          </cell>
          <cell r="S7749">
            <v>210014</v>
          </cell>
        </row>
        <row r="7750">
          <cell r="K7750" t="str">
            <v>227012</v>
          </cell>
          <cell r="M7750">
            <v>3</v>
          </cell>
          <cell r="R7750">
            <v>45838</v>
          </cell>
          <cell r="S7750">
            <v>227012</v>
          </cell>
        </row>
        <row r="7751">
          <cell r="K7751" t="str">
            <v>223001</v>
          </cell>
          <cell r="M7751">
            <v>10</v>
          </cell>
          <cell r="R7751">
            <v>45838</v>
          </cell>
          <cell r="S7751">
            <v>223001</v>
          </cell>
        </row>
        <row r="7752">
          <cell r="K7752" t="str">
            <v>237001</v>
          </cell>
          <cell r="M7752">
            <v>1</v>
          </cell>
          <cell r="R7752">
            <v>45838</v>
          </cell>
          <cell r="S7752">
            <v>237001</v>
          </cell>
        </row>
        <row r="7753">
          <cell r="K7753" t="str">
            <v>201005</v>
          </cell>
          <cell r="M7753">
            <v>2</v>
          </cell>
          <cell r="R7753">
            <v>45838</v>
          </cell>
          <cell r="S7753">
            <v>201005</v>
          </cell>
        </row>
        <row r="7754">
          <cell r="K7754" t="str">
            <v>201022</v>
          </cell>
          <cell r="M7754">
            <v>2</v>
          </cell>
          <cell r="R7754">
            <v>45838</v>
          </cell>
          <cell r="S7754">
            <v>201022</v>
          </cell>
        </row>
        <row r="7755">
          <cell r="K7755" t="str">
            <v>237001</v>
          </cell>
          <cell r="M7755">
            <v>1</v>
          </cell>
          <cell r="R7755">
            <v>45838</v>
          </cell>
          <cell r="S7755">
            <v>237001</v>
          </cell>
        </row>
        <row r="7756">
          <cell r="K7756" t="str">
            <v>217018</v>
          </cell>
          <cell r="M7756">
            <v>3</v>
          </cell>
          <cell r="R7756">
            <v>45838</v>
          </cell>
          <cell r="S7756">
            <v>217018</v>
          </cell>
        </row>
        <row r="7757">
          <cell r="K7757" t="str">
            <v>201002</v>
          </cell>
          <cell r="M7757">
            <v>1</v>
          </cell>
          <cell r="R7757">
            <v>45838</v>
          </cell>
          <cell r="S7757">
            <v>201002</v>
          </cell>
        </row>
        <row r="7758">
          <cell r="K7758" t="str">
            <v>201011</v>
          </cell>
          <cell r="M7758">
            <v>2</v>
          </cell>
          <cell r="R7758">
            <v>45839</v>
          </cell>
          <cell r="S7758">
            <v>201011</v>
          </cell>
        </row>
        <row r="7759">
          <cell r="K7759" t="str">
            <v>201021</v>
          </cell>
          <cell r="M7759">
            <v>1</v>
          </cell>
          <cell r="R7759">
            <v>45839</v>
          </cell>
          <cell r="S7759">
            <v>201021</v>
          </cell>
        </row>
        <row r="7760">
          <cell r="K7760" t="str">
            <v>223001</v>
          </cell>
          <cell r="M7760">
            <v>10</v>
          </cell>
          <cell r="R7760">
            <v>45839</v>
          </cell>
          <cell r="S7760">
            <v>223001</v>
          </cell>
        </row>
        <row r="7761">
          <cell r="K7761" t="str">
            <v>227012</v>
          </cell>
          <cell r="M7761">
            <v>1</v>
          </cell>
          <cell r="R7761">
            <v>45839</v>
          </cell>
          <cell r="S7761">
            <v>227012</v>
          </cell>
        </row>
        <row r="7762">
          <cell r="K7762" t="str">
            <v>209022</v>
          </cell>
          <cell r="M7762">
            <v>4</v>
          </cell>
          <cell r="R7762">
            <v>45839</v>
          </cell>
          <cell r="S7762">
            <v>209022</v>
          </cell>
        </row>
        <row r="7763">
          <cell r="K7763" t="str">
            <v>203001</v>
          </cell>
          <cell r="M7763">
            <v>4</v>
          </cell>
          <cell r="R7763">
            <v>45838</v>
          </cell>
          <cell r="S7763">
            <v>203001</v>
          </cell>
        </row>
        <row r="7764">
          <cell r="K7764" t="str">
            <v>223001</v>
          </cell>
          <cell r="M7764">
            <v>4</v>
          </cell>
          <cell r="R7764">
            <v>45839</v>
          </cell>
          <cell r="S7764">
            <v>223001</v>
          </cell>
        </row>
        <row r="7765">
          <cell r="K7765" t="str">
            <v>223002</v>
          </cell>
          <cell r="M7765">
            <v>4</v>
          </cell>
          <cell r="R7765">
            <v>45839</v>
          </cell>
          <cell r="S7765">
            <v>223002</v>
          </cell>
        </row>
        <row r="7766">
          <cell r="K7766" t="str">
            <v>201011</v>
          </cell>
          <cell r="M7766">
            <v>2</v>
          </cell>
          <cell r="R7766">
            <v>45839</v>
          </cell>
          <cell r="S7766">
            <v>201011</v>
          </cell>
        </row>
        <row r="7767">
          <cell r="K7767" t="str">
            <v>201002</v>
          </cell>
          <cell r="M7767">
            <v>1</v>
          </cell>
          <cell r="R7767">
            <v>45839</v>
          </cell>
          <cell r="S7767">
            <v>201002</v>
          </cell>
        </row>
        <row r="7768">
          <cell r="K7768" t="str">
            <v>271002</v>
          </cell>
          <cell r="M7768">
            <v>1</v>
          </cell>
          <cell r="R7768">
            <v>45839</v>
          </cell>
          <cell r="S7768">
            <v>271002</v>
          </cell>
        </row>
        <row r="7769">
          <cell r="K7769" t="str">
            <v>203001</v>
          </cell>
          <cell r="M7769">
            <v>4</v>
          </cell>
          <cell r="R7769">
            <v>45838</v>
          </cell>
          <cell r="S7769">
            <v>203001</v>
          </cell>
        </row>
        <row r="7770">
          <cell r="K7770" t="str">
            <v>241001</v>
          </cell>
          <cell r="M7770">
            <v>8</v>
          </cell>
          <cell r="R7770">
            <v>45838</v>
          </cell>
          <cell r="S7770">
            <v>241001</v>
          </cell>
        </row>
        <row r="7771">
          <cell r="K7771" t="str">
            <v>222001</v>
          </cell>
          <cell r="M7771">
            <v>1</v>
          </cell>
          <cell r="R7771">
            <v>45838</v>
          </cell>
          <cell r="S7771">
            <v>222001</v>
          </cell>
        </row>
        <row r="7772">
          <cell r="K7772" t="str">
            <v>227012</v>
          </cell>
          <cell r="M7772">
            <v>1</v>
          </cell>
          <cell r="R7772">
            <v>45839</v>
          </cell>
          <cell r="S7772">
            <v>227012</v>
          </cell>
        </row>
        <row r="7773">
          <cell r="K7773" t="str">
            <v>223002</v>
          </cell>
          <cell r="M7773">
            <v>2</v>
          </cell>
          <cell r="R7773">
            <v>45839</v>
          </cell>
          <cell r="S7773">
            <v>223002</v>
          </cell>
        </row>
        <row r="7774">
          <cell r="K7774" t="str">
            <v>223001</v>
          </cell>
          <cell r="M7774">
            <v>4</v>
          </cell>
          <cell r="R7774">
            <v>45839</v>
          </cell>
          <cell r="S7774">
            <v>223001</v>
          </cell>
        </row>
        <row r="7775">
          <cell r="K7775" t="str">
            <v>222001</v>
          </cell>
          <cell r="M7775">
            <v>5</v>
          </cell>
          <cell r="R7775">
            <v>45839</v>
          </cell>
          <cell r="S7775">
            <v>222001</v>
          </cell>
        </row>
        <row r="7776">
          <cell r="K7776" t="str">
            <v>261004</v>
          </cell>
          <cell r="M7776">
            <v>1</v>
          </cell>
          <cell r="R7776">
            <v>45839</v>
          </cell>
          <cell r="S7776">
            <v>261004</v>
          </cell>
        </row>
        <row r="7777">
          <cell r="K7777" t="str">
            <v>241001</v>
          </cell>
          <cell r="M7777">
            <v>4</v>
          </cell>
          <cell r="R7777">
            <v>45839</v>
          </cell>
          <cell r="S7777">
            <v>241001</v>
          </cell>
        </row>
        <row r="7778">
          <cell r="K7778" t="str">
            <v>201011</v>
          </cell>
          <cell r="M7778">
            <v>6</v>
          </cell>
          <cell r="R7778">
            <v>45838</v>
          </cell>
          <cell r="S7778">
            <v>201011</v>
          </cell>
        </row>
        <row r="7779">
          <cell r="K7779" t="str">
            <v>201011</v>
          </cell>
          <cell r="M7779">
            <v>6</v>
          </cell>
          <cell r="R7779">
            <v>45838</v>
          </cell>
          <cell r="S7779">
            <v>201011</v>
          </cell>
        </row>
        <row r="7780">
          <cell r="K7780" t="str">
            <v>223002</v>
          </cell>
          <cell r="M7780">
            <v>1</v>
          </cell>
          <cell r="R7780">
            <v>45838</v>
          </cell>
          <cell r="S7780">
            <v>223002</v>
          </cell>
        </row>
        <row r="7781">
          <cell r="K7781" t="str">
            <v>223001</v>
          </cell>
          <cell r="M7781">
            <v>2</v>
          </cell>
          <cell r="R7781">
            <v>45838</v>
          </cell>
          <cell r="S7781">
            <v>223001</v>
          </cell>
        </row>
        <row r="7782">
          <cell r="K7782" t="str">
            <v>217002</v>
          </cell>
          <cell r="M7782">
            <v>1</v>
          </cell>
          <cell r="R7782">
            <v>45838</v>
          </cell>
          <cell r="S7782">
            <v>217002</v>
          </cell>
        </row>
        <row r="7783">
          <cell r="K7783" t="str">
            <v>241001</v>
          </cell>
          <cell r="M7783">
            <v>6</v>
          </cell>
          <cell r="R7783">
            <v>45838</v>
          </cell>
          <cell r="S7783">
            <v>241001</v>
          </cell>
        </row>
        <row r="7784">
          <cell r="K7784" t="str">
            <v>227012</v>
          </cell>
          <cell r="M7784">
            <v>1</v>
          </cell>
          <cell r="R7784">
            <v>45838</v>
          </cell>
          <cell r="S7784">
            <v>227012</v>
          </cell>
        </row>
        <row r="7785">
          <cell r="K7785" t="str">
            <v>223002</v>
          </cell>
          <cell r="M7785">
            <v>4</v>
          </cell>
          <cell r="R7785">
            <v>45838</v>
          </cell>
          <cell r="S7785">
            <v>223002</v>
          </cell>
        </row>
        <row r="7786">
          <cell r="K7786" t="str">
            <v>223001</v>
          </cell>
          <cell r="M7786">
            <v>3</v>
          </cell>
          <cell r="R7786">
            <v>45838</v>
          </cell>
          <cell r="S7786">
            <v>223001</v>
          </cell>
        </row>
        <row r="7787">
          <cell r="K7787" t="str">
            <v>209001</v>
          </cell>
          <cell r="M7787">
            <v>2</v>
          </cell>
          <cell r="R7787">
            <v>45838</v>
          </cell>
          <cell r="S7787">
            <v>209001</v>
          </cell>
        </row>
        <row r="7788">
          <cell r="K7788" t="str">
            <v>203003</v>
          </cell>
          <cell r="M7788">
            <v>1</v>
          </cell>
          <cell r="R7788">
            <v>45838</v>
          </cell>
          <cell r="S7788">
            <v>203003</v>
          </cell>
        </row>
        <row r="7789">
          <cell r="K7789" t="str">
            <v>222001</v>
          </cell>
          <cell r="M7789">
            <v>1</v>
          </cell>
          <cell r="R7789">
            <v>45838</v>
          </cell>
          <cell r="S7789">
            <v>222001</v>
          </cell>
        </row>
        <row r="7790">
          <cell r="K7790" t="str">
            <v>223002</v>
          </cell>
          <cell r="M7790">
            <v>2</v>
          </cell>
          <cell r="R7790">
            <v>45838</v>
          </cell>
          <cell r="S7790">
            <v>223002</v>
          </cell>
        </row>
        <row r="7791">
          <cell r="K7791" t="str">
            <v>210013</v>
          </cell>
          <cell r="M7791">
            <v>1</v>
          </cell>
          <cell r="R7791">
            <v>45838</v>
          </cell>
          <cell r="S7791">
            <v>210013</v>
          </cell>
        </row>
        <row r="7792">
          <cell r="K7792" t="str">
            <v>241001</v>
          </cell>
          <cell r="M7792">
            <v>10</v>
          </cell>
          <cell r="R7792">
            <v>45838</v>
          </cell>
          <cell r="S7792">
            <v>241001</v>
          </cell>
        </row>
        <row r="7793">
          <cell r="K7793" t="str">
            <v>223001</v>
          </cell>
          <cell r="M7793">
            <v>3</v>
          </cell>
          <cell r="R7793">
            <v>45839</v>
          </cell>
          <cell r="S7793">
            <v>223001</v>
          </cell>
        </row>
        <row r="7794">
          <cell r="K7794" t="str">
            <v>201011</v>
          </cell>
          <cell r="M7794">
            <v>1</v>
          </cell>
          <cell r="R7794">
            <v>45839</v>
          </cell>
          <cell r="S7794">
            <v>201011</v>
          </cell>
        </row>
        <row r="7795">
          <cell r="K7795" t="str">
            <v>227002</v>
          </cell>
          <cell r="M7795">
            <v>1</v>
          </cell>
          <cell r="R7795">
            <v>45839</v>
          </cell>
          <cell r="S7795">
            <v>227002</v>
          </cell>
        </row>
        <row r="7796">
          <cell r="K7796" t="str">
            <v>212035</v>
          </cell>
          <cell r="M7796">
            <v>2</v>
          </cell>
          <cell r="R7796">
            <v>45839</v>
          </cell>
          <cell r="S7796">
            <v>212035</v>
          </cell>
        </row>
        <row r="7797">
          <cell r="K7797" t="str">
            <v>209004</v>
          </cell>
          <cell r="M7797">
            <v>2</v>
          </cell>
          <cell r="R7797">
            <v>45839</v>
          </cell>
          <cell r="S7797">
            <v>209004</v>
          </cell>
        </row>
        <row r="7798">
          <cell r="K7798" t="str">
            <v>229001</v>
          </cell>
          <cell r="M7798">
            <v>15</v>
          </cell>
          <cell r="R7798">
            <v>45839</v>
          </cell>
          <cell r="S7798">
            <v>229001</v>
          </cell>
        </row>
        <row r="7799">
          <cell r="K7799" t="str">
            <v>217019</v>
          </cell>
          <cell r="M7799">
            <v>3</v>
          </cell>
          <cell r="R7799">
            <v>45838</v>
          </cell>
          <cell r="S7799">
            <v>217019</v>
          </cell>
        </row>
        <row r="7800">
          <cell r="K7800" t="str">
            <v>201021</v>
          </cell>
          <cell r="M7800">
            <v>1</v>
          </cell>
          <cell r="R7800">
            <v>45839</v>
          </cell>
          <cell r="S7800">
            <v>201021</v>
          </cell>
        </row>
        <row r="7801">
          <cell r="K7801" t="str">
            <v>210001</v>
          </cell>
          <cell r="M7801">
            <v>1</v>
          </cell>
          <cell r="R7801">
            <v>45839</v>
          </cell>
          <cell r="S7801">
            <v>210001</v>
          </cell>
        </row>
        <row r="7802">
          <cell r="K7802" t="str">
            <v>213024</v>
          </cell>
          <cell r="M7802">
            <v>1</v>
          </cell>
          <cell r="R7802">
            <v>45839</v>
          </cell>
          <cell r="S7802">
            <v>213024</v>
          </cell>
        </row>
        <row r="7803">
          <cell r="K7803" t="str">
            <v>213003</v>
          </cell>
          <cell r="M7803">
            <v>4</v>
          </cell>
          <cell r="R7803">
            <v>45839</v>
          </cell>
          <cell r="S7803">
            <v>213003</v>
          </cell>
        </row>
        <row r="7804">
          <cell r="K7804" t="str">
            <v>217018</v>
          </cell>
          <cell r="M7804">
            <v>2</v>
          </cell>
          <cell r="R7804">
            <v>45839</v>
          </cell>
          <cell r="S7804">
            <v>217018</v>
          </cell>
        </row>
        <row r="7805">
          <cell r="K7805" t="str">
            <v>231010</v>
          </cell>
          <cell r="M7805">
            <v>1</v>
          </cell>
          <cell r="R7805">
            <v>45839</v>
          </cell>
          <cell r="S7805">
            <v>231010</v>
          </cell>
        </row>
        <row r="7806">
          <cell r="K7806" t="str">
            <v>203003</v>
          </cell>
          <cell r="M7806">
            <v>3</v>
          </cell>
          <cell r="R7806">
            <v>45839</v>
          </cell>
          <cell r="S7806">
            <v>203003</v>
          </cell>
        </row>
        <row r="7807">
          <cell r="K7807" t="str">
            <v>228001</v>
          </cell>
          <cell r="M7807">
            <v>1</v>
          </cell>
          <cell r="R7807">
            <v>45839</v>
          </cell>
          <cell r="S7807">
            <v>228001</v>
          </cell>
        </row>
        <row r="7808">
          <cell r="K7808" t="str">
            <v>227012</v>
          </cell>
          <cell r="M7808">
            <v>2</v>
          </cell>
          <cell r="R7808">
            <v>45839</v>
          </cell>
          <cell r="S7808">
            <v>227012</v>
          </cell>
        </row>
        <row r="7809">
          <cell r="K7809" t="str">
            <v>201011</v>
          </cell>
          <cell r="M7809">
            <v>3</v>
          </cell>
          <cell r="R7809">
            <v>45839</v>
          </cell>
          <cell r="S7809">
            <v>201011</v>
          </cell>
        </row>
        <row r="7810">
          <cell r="K7810" t="str">
            <v>201011</v>
          </cell>
          <cell r="M7810">
            <v>50</v>
          </cell>
          <cell r="R7810">
            <v>45839</v>
          </cell>
          <cell r="S7810">
            <v>201011</v>
          </cell>
        </row>
        <row r="7811">
          <cell r="K7811" t="str">
            <v>227012</v>
          </cell>
          <cell r="M7811">
            <v>1</v>
          </cell>
          <cell r="R7811">
            <v>45839</v>
          </cell>
          <cell r="S7811">
            <v>227012</v>
          </cell>
        </row>
        <row r="7812">
          <cell r="K7812" t="str">
            <v>210013</v>
          </cell>
          <cell r="M7812">
            <v>2</v>
          </cell>
          <cell r="R7812">
            <v>45839</v>
          </cell>
          <cell r="S7812">
            <v>210013</v>
          </cell>
        </row>
        <row r="7813">
          <cell r="K7813" t="str">
            <v>205004</v>
          </cell>
          <cell r="M7813">
            <v>2</v>
          </cell>
          <cell r="R7813">
            <v>45839</v>
          </cell>
          <cell r="S7813">
            <v>205004</v>
          </cell>
        </row>
        <row r="7814">
          <cell r="K7814" t="str">
            <v>213003</v>
          </cell>
          <cell r="M7814">
            <v>4</v>
          </cell>
          <cell r="R7814">
            <v>45839</v>
          </cell>
          <cell r="S7814">
            <v>213003</v>
          </cell>
        </row>
        <row r="7815">
          <cell r="K7815" t="str">
            <v>213003</v>
          </cell>
          <cell r="M7815">
            <v>3</v>
          </cell>
          <cell r="R7815">
            <v>45839</v>
          </cell>
          <cell r="S7815">
            <v>213003</v>
          </cell>
        </row>
        <row r="7816">
          <cell r="K7816" t="str">
            <v>217022</v>
          </cell>
          <cell r="M7816">
            <v>10</v>
          </cell>
          <cell r="R7816">
            <v>45839</v>
          </cell>
          <cell r="S7816">
            <v>217022</v>
          </cell>
        </row>
        <row r="7817">
          <cell r="K7817" t="str">
            <v>227012</v>
          </cell>
          <cell r="M7817">
            <v>1</v>
          </cell>
          <cell r="R7817">
            <v>45839</v>
          </cell>
          <cell r="S7817">
            <v>227012</v>
          </cell>
        </row>
        <row r="7818">
          <cell r="K7818" t="str">
            <v>227001</v>
          </cell>
          <cell r="M7818">
            <v>2</v>
          </cell>
          <cell r="R7818">
            <v>45839</v>
          </cell>
          <cell r="S7818">
            <v>227001</v>
          </cell>
        </row>
        <row r="7819">
          <cell r="K7819" t="str">
            <v>201021</v>
          </cell>
          <cell r="M7819">
            <v>5</v>
          </cell>
          <cell r="R7819">
            <v>45839</v>
          </cell>
          <cell r="S7819">
            <v>201021</v>
          </cell>
        </row>
        <row r="7820">
          <cell r="K7820" t="str">
            <v>241001</v>
          </cell>
          <cell r="M7820">
            <v>1</v>
          </cell>
          <cell r="R7820">
            <v>45839</v>
          </cell>
          <cell r="S7820">
            <v>241001</v>
          </cell>
        </row>
        <row r="7821">
          <cell r="K7821" t="str">
            <v>240005</v>
          </cell>
          <cell r="M7821">
            <v>1</v>
          </cell>
          <cell r="R7821">
            <v>45839</v>
          </cell>
          <cell r="S7821">
            <v>240005</v>
          </cell>
        </row>
        <row r="7822">
          <cell r="K7822" t="str">
            <v>271002</v>
          </cell>
          <cell r="M7822">
            <v>1</v>
          </cell>
          <cell r="R7822">
            <v>45839</v>
          </cell>
          <cell r="S7822">
            <v>271002</v>
          </cell>
        </row>
        <row r="7823">
          <cell r="K7823" t="str">
            <v>203001</v>
          </cell>
          <cell r="M7823">
            <v>1</v>
          </cell>
          <cell r="R7823">
            <v>45839</v>
          </cell>
          <cell r="S7823">
            <v>203001</v>
          </cell>
        </row>
        <row r="7824">
          <cell r="K7824" t="str">
            <v>213003</v>
          </cell>
          <cell r="M7824">
            <v>1</v>
          </cell>
          <cell r="R7824">
            <v>45839</v>
          </cell>
          <cell r="S7824">
            <v>213003</v>
          </cell>
        </row>
        <row r="7825">
          <cell r="K7825" t="str">
            <v>237001</v>
          </cell>
          <cell r="M7825">
            <v>1</v>
          </cell>
          <cell r="R7825">
            <v>45839</v>
          </cell>
          <cell r="S7825">
            <v>237001</v>
          </cell>
        </row>
        <row r="7826">
          <cell r="K7826" t="str">
            <v>234001</v>
          </cell>
          <cell r="M7826">
            <v>1</v>
          </cell>
          <cell r="R7826">
            <v>45839</v>
          </cell>
          <cell r="S7826">
            <v>234001</v>
          </cell>
        </row>
        <row r="7827">
          <cell r="K7827" t="str">
            <v>231004</v>
          </cell>
          <cell r="M7827">
            <v>2</v>
          </cell>
          <cell r="R7827">
            <v>45839</v>
          </cell>
          <cell r="S7827">
            <v>231004</v>
          </cell>
        </row>
        <row r="7828">
          <cell r="K7828" t="str">
            <v>237001</v>
          </cell>
          <cell r="M7828">
            <v>1</v>
          </cell>
          <cell r="R7828">
            <v>45839</v>
          </cell>
          <cell r="S7828">
            <v>237001</v>
          </cell>
        </row>
        <row r="7829">
          <cell r="K7829" t="str">
            <v>218001</v>
          </cell>
          <cell r="M7829">
            <v>1</v>
          </cell>
          <cell r="R7829">
            <v>45839</v>
          </cell>
          <cell r="S7829">
            <v>218001</v>
          </cell>
        </row>
        <row r="7830">
          <cell r="K7830" t="str">
            <v>223001</v>
          </cell>
          <cell r="M7830">
            <v>1</v>
          </cell>
          <cell r="R7830">
            <v>45839</v>
          </cell>
          <cell r="S7830">
            <v>223001</v>
          </cell>
        </row>
        <row r="7831">
          <cell r="K7831" t="str">
            <v>218003</v>
          </cell>
          <cell r="M7831">
            <v>1</v>
          </cell>
          <cell r="R7831">
            <v>45839</v>
          </cell>
          <cell r="S7831">
            <v>218003</v>
          </cell>
        </row>
        <row r="7832">
          <cell r="K7832" t="str">
            <v>206002</v>
          </cell>
          <cell r="M7832">
            <v>1</v>
          </cell>
          <cell r="R7832">
            <v>45839</v>
          </cell>
          <cell r="S7832">
            <v>206002</v>
          </cell>
        </row>
        <row r="7833">
          <cell r="K7833" t="str">
            <v>208001</v>
          </cell>
          <cell r="M7833">
            <v>1</v>
          </cell>
          <cell r="R7833">
            <v>45839</v>
          </cell>
          <cell r="S7833">
            <v>208001</v>
          </cell>
        </row>
        <row r="7834">
          <cell r="K7834" t="str">
            <v>213005</v>
          </cell>
          <cell r="M7834">
            <v>1</v>
          </cell>
          <cell r="R7834">
            <v>45839</v>
          </cell>
          <cell r="S7834">
            <v>213005</v>
          </cell>
        </row>
        <row r="7835">
          <cell r="K7835" t="str">
            <v>231012</v>
          </cell>
          <cell r="M7835">
            <v>1</v>
          </cell>
          <cell r="R7835">
            <v>45839</v>
          </cell>
          <cell r="S7835">
            <v>231012</v>
          </cell>
        </row>
        <row r="7836">
          <cell r="K7836" t="str">
            <v>226001</v>
          </cell>
          <cell r="M7836">
            <v>1</v>
          </cell>
          <cell r="R7836">
            <v>45839</v>
          </cell>
          <cell r="S7836">
            <v>226001</v>
          </cell>
        </row>
        <row r="7837">
          <cell r="K7837" t="str">
            <v>214002</v>
          </cell>
          <cell r="M7837">
            <v>1</v>
          </cell>
          <cell r="R7837">
            <v>45839</v>
          </cell>
          <cell r="S7837">
            <v>214002</v>
          </cell>
        </row>
        <row r="7838">
          <cell r="K7838" t="str">
            <v>217002</v>
          </cell>
          <cell r="M7838">
            <v>1</v>
          </cell>
          <cell r="R7838">
            <v>45839</v>
          </cell>
          <cell r="S7838">
            <v>217002</v>
          </cell>
        </row>
        <row r="7839">
          <cell r="K7839" t="str">
            <v>218001</v>
          </cell>
          <cell r="M7839">
            <v>1</v>
          </cell>
          <cell r="R7839">
            <v>45839</v>
          </cell>
          <cell r="S7839">
            <v>218001</v>
          </cell>
        </row>
        <row r="7840">
          <cell r="K7840" t="str">
            <v>231012</v>
          </cell>
          <cell r="M7840">
            <v>6</v>
          </cell>
          <cell r="R7840">
            <v>45839</v>
          </cell>
          <cell r="S7840">
            <v>231012</v>
          </cell>
        </row>
        <row r="7841">
          <cell r="K7841" t="str">
            <v>209004</v>
          </cell>
          <cell r="M7841">
            <v>1</v>
          </cell>
          <cell r="R7841">
            <v>45840</v>
          </cell>
          <cell r="S7841">
            <v>209004</v>
          </cell>
        </row>
        <row r="7842">
          <cell r="K7842" t="str">
            <v>207017</v>
          </cell>
          <cell r="M7842">
            <v>1</v>
          </cell>
          <cell r="R7842">
            <v>45840</v>
          </cell>
          <cell r="S7842">
            <v>207017</v>
          </cell>
        </row>
        <row r="7843">
          <cell r="K7843" t="str">
            <v>208001</v>
          </cell>
          <cell r="M7843">
            <v>1</v>
          </cell>
          <cell r="R7843">
            <v>45840</v>
          </cell>
          <cell r="S7843">
            <v>208001</v>
          </cell>
        </row>
        <row r="7844">
          <cell r="K7844" t="str">
            <v>206002</v>
          </cell>
          <cell r="M7844">
            <v>1</v>
          </cell>
          <cell r="R7844">
            <v>45840</v>
          </cell>
          <cell r="S7844">
            <v>206002</v>
          </cell>
        </row>
        <row r="7845">
          <cell r="K7845" t="str">
            <v>201011</v>
          </cell>
          <cell r="M7845">
            <v>4</v>
          </cell>
          <cell r="R7845">
            <v>45840</v>
          </cell>
          <cell r="S7845">
            <v>201011</v>
          </cell>
        </row>
        <row r="7846">
          <cell r="K7846" t="str">
            <v>201011</v>
          </cell>
          <cell r="M7846">
            <v>4</v>
          </cell>
          <cell r="R7846">
            <v>45839</v>
          </cell>
          <cell r="S7846">
            <v>201011</v>
          </cell>
        </row>
        <row r="7847">
          <cell r="K7847" t="str">
            <v>213003</v>
          </cell>
          <cell r="M7847">
            <v>9</v>
          </cell>
          <cell r="R7847">
            <v>45839</v>
          </cell>
          <cell r="S7847">
            <v>213003</v>
          </cell>
        </row>
        <row r="7848">
          <cell r="K7848" t="str">
            <v>227012</v>
          </cell>
          <cell r="M7848">
            <v>4</v>
          </cell>
          <cell r="R7848">
            <v>45839</v>
          </cell>
          <cell r="S7848">
            <v>227012</v>
          </cell>
        </row>
        <row r="7849">
          <cell r="K7849" t="str">
            <v>265001</v>
          </cell>
          <cell r="M7849">
            <v>1</v>
          </cell>
          <cell r="R7849">
            <v>45839</v>
          </cell>
          <cell r="S7849">
            <v>265001</v>
          </cell>
        </row>
        <row r="7850">
          <cell r="K7850" t="str">
            <v>231012</v>
          </cell>
          <cell r="M7850">
            <v>10</v>
          </cell>
          <cell r="R7850">
            <v>45840</v>
          </cell>
          <cell r="S7850">
            <v>231012</v>
          </cell>
        </row>
        <row r="7851">
          <cell r="K7851" t="str">
            <v>226001</v>
          </cell>
          <cell r="M7851">
            <v>2</v>
          </cell>
          <cell r="R7851">
            <v>45840</v>
          </cell>
          <cell r="S7851">
            <v>226001</v>
          </cell>
        </row>
        <row r="7852">
          <cell r="K7852" t="str">
            <v>241001</v>
          </cell>
          <cell r="M7852">
            <v>10</v>
          </cell>
          <cell r="R7852">
            <v>45840</v>
          </cell>
          <cell r="S7852">
            <v>241001</v>
          </cell>
        </row>
        <row r="7853">
          <cell r="K7853" t="str">
            <v>210014</v>
          </cell>
          <cell r="M7853">
            <v>3</v>
          </cell>
          <cell r="R7853">
            <v>45840</v>
          </cell>
          <cell r="S7853">
            <v>210014</v>
          </cell>
        </row>
        <row r="7854">
          <cell r="K7854" t="str">
            <v>223001</v>
          </cell>
          <cell r="M7854">
            <v>6</v>
          </cell>
          <cell r="R7854">
            <v>45840</v>
          </cell>
          <cell r="S7854">
            <v>223001</v>
          </cell>
        </row>
        <row r="7855">
          <cell r="K7855" t="str">
            <v>226022</v>
          </cell>
          <cell r="M7855">
            <v>2</v>
          </cell>
          <cell r="R7855">
            <v>45840</v>
          </cell>
          <cell r="S7855">
            <v>226022</v>
          </cell>
        </row>
        <row r="7856">
          <cell r="K7856" t="str">
            <v>226027</v>
          </cell>
          <cell r="M7856">
            <v>3</v>
          </cell>
          <cell r="R7856">
            <v>45840</v>
          </cell>
          <cell r="S7856">
            <v>226027</v>
          </cell>
        </row>
        <row r="7857">
          <cell r="K7857" t="str">
            <v>226028</v>
          </cell>
          <cell r="M7857">
            <v>1</v>
          </cell>
          <cell r="R7857">
            <v>45840</v>
          </cell>
          <cell r="S7857">
            <v>226028</v>
          </cell>
        </row>
        <row r="7858">
          <cell r="K7858" t="str">
            <v>241001</v>
          </cell>
          <cell r="M7858">
            <v>2</v>
          </cell>
          <cell r="R7858">
            <v>45840</v>
          </cell>
          <cell r="S7858">
            <v>241001</v>
          </cell>
        </row>
        <row r="7859">
          <cell r="K7859" t="str">
            <v>203003</v>
          </cell>
          <cell r="M7859">
            <v>3</v>
          </cell>
          <cell r="R7859">
            <v>45840</v>
          </cell>
          <cell r="S7859">
            <v>203003</v>
          </cell>
        </row>
        <row r="7860">
          <cell r="K7860" t="str">
            <v>228001</v>
          </cell>
          <cell r="M7860">
            <v>5</v>
          </cell>
          <cell r="R7860">
            <v>45840</v>
          </cell>
          <cell r="S7860">
            <v>228001</v>
          </cell>
        </row>
        <row r="7861">
          <cell r="K7861" t="str">
            <v>203001</v>
          </cell>
          <cell r="M7861">
            <v>1</v>
          </cell>
          <cell r="R7861">
            <v>45840</v>
          </cell>
          <cell r="S7861">
            <v>203001</v>
          </cell>
        </row>
        <row r="7862">
          <cell r="K7862" t="str">
            <v>217020</v>
          </cell>
          <cell r="M7862">
            <v>1</v>
          </cell>
          <cell r="R7862">
            <v>45840</v>
          </cell>
          <cell r="S7862">
            <v>217020</v>
          </cell>
        </row>
        <row r="7863">
          <cell r="K7863" t="str">
            <v>241001</v>
          </cell>
          <cell r="M7863">
            <v>1</v>
          </cell>
          <cell r="R7863">
            <v>45840</v>
          </cell>
          <cell r="S7863">
            <v>241001</v>
          </cell>
        </row>
        <row r="7864">
          <cell r="K7864" t="str">
            <v>203003</v>
          </cell>
          <cell r="M7864">
            <v>2</v>
          </cell>
          <cell r="R7864">
            <v>45840</v>
          </cell>
          <cell r="S7864">
            <v>203003</v>
          </cell>
        </row>
        <row r="7865">
          <cell r="K7865" t="str">
            <v>231010</v>
          </cell>
          <cell r="M7865">
            <v>2</v>
          </cell>
          <cell r="R7865">
            <v>45840</v>
          </cell>
          <cell r="S7865">
            <v>231010</v>
          </cell>
        </row>
        <row r="7866">
          <cell r="K7866" t="str">
            <v>223001</v>
          </cell>
          <cell r="M7866">
            <v>1</v>
          </cell>
          <cell r="R7866">
            <v>45840</v>
          </cell>
          <cell r="S7866">
            <v>223001</v>
          </cell>
        </row>
        <row r="7867">
          <cell r="K7867" t="str">
            <v>223017</v>
          </cell>
          <cell r="M7867">
            <v>6</v>
          </cell>
          <cell r="R7867">
            <v>45840</v>
          </cell>
          <cell r="S7867">
            <v>223017</v>
          </cell>
        </row>
        <row r="7868">
          <cell r="K7868" t="str">
            <v>228001</v>
          </cell>
          <cell r="M7868">
            <v>3</v>
          </cell>
          <cell r="R7868">
            <v>45840</v>
          </cell>
          <cell r="S7868">
            <v>228001</v>
          </cell>
        </row>
        <row r="7869">
          <cell r="K7869" t="str">
            <v>201011</v>
          </cell>
          <cell r="M7869">
            <v>36</v>
          </cell>
          <cell r="R7869">
            <v>45840</v>
          </cell>
          <cell r="S7869">
            <v>201011</v>
          </cell>
        </row>
        <row r="7870">
          <cell r="K7870" t="str">
            <v>201002</v>
          </cell>
          <cell r="M7870">
            <v>2</v>
          </cell>
          <cell r="R7870">
            <v>45840</v>
          </cell>
          <cell r="S7870">
            <v>201002</v>
          </cell>
        </row>
        <row r="7871">
          <cell r="K7871" t="str">
            <v>201011</v>
          </cell>
          <cell r="M7871">
            <v>3</v>
          </cell>
          <cell r="R7871">
            <v>45840</v>
          </cell>
          <cell r="S7871">
            <v>201011</v>
          </cell>
        </row>
        <row r="7872">
          <cell r="K7872" t="str">
            <v>210013</v>
          </cell>
          <cell r="M7872">
            <v>1</v>
          </cell>
          <cell r="R7872">
            <v>45840</v>
          </cell>
          <cell r="S7872">
            <v>210013</v>
          </cell>
        </row>
        <row r="7873">
          <cell r="K7873" t="str">
            <v>210013</v>
          </cell>
          <cell r="M7873">
            <v>1</v>
          </cell>
          <cell r="R7873">
            <v>45840</v>
          </cell>
          <cell r="S7873">
            <v>210013</v>
          </cell>
        </row>
        <row r="7874">
          <cell r="K7874" t="str">
            <v>222001</v>
          </cell>
          <cell r="M7874">
            <v>1</v>
          </cell>
          <cell r="R7874">
            <v>45840</v>
          </cell>
          <cell r="S7874">
            <v>222001</v>
          </cell>
        </row>
        <row r="7875">
          <cell r="K7875" t="str">
            <v>226001</v>
          </cell>
          <cell r="M7875">
            <v>1</v>
          </cell>
          <cell r="R7875">
            <v>45840</v>
          </cell>
          <cell r="S7875">
            <v>226001</v>
          </cell>
        </row>
        <row r="7876">
          <cell r="K7876" t="str">
            <v>226001</v>
          </cell>
          <cell r="M7876">
            <v>2</v>
          </cell>
          <cell r="R7876">
            <v>45840</v>
          </cell>
          <cell r="S7876">
            <v>226001</v>
          </cell>
        </row>
        <row r="7877">
          <cell r="K7877" t="str">
            <v>226001</v>
          </cell>
          <cell r="M7877">
            <v>1</v>
          </cell>
          <cell r="R7877">
            <v>45840</v>
          </cell>
          <cell r="S7877">
            <v>226001</v>
          </cell>
        </row>
        <row r="7878">
          <cell r="K7878" t="str">
            <v>217021</v>
          </cell>
          <cell r="M7878">
            <v>1</v>
          </cell>
          <cell r="R7878">
            <v>45840</v>
          </cell>
          <cell r="S7878">
            <v>217021</v>
          </cell>
        </row>
        <row r="7879">
          <cell r="K7879" t="str">
            <v>226001</v>
          </cell>
          <cell r="M7879">
            <v>5</v>
          </cell>
          <cell r="R7879">
            <v>45840</v>
          </cell>
          <cell r="S7879">
            <v>226001</v>
          </cell>
        </row>
        <row r="7880">
          <cell r="K7880" t="str">
            <v>226001</v>
          </cell>
          <cell r="M7880">
            <v>1</v>
          </cell>
          <cell r="R7880">
            <v>45840</v>
          </cell>
          <cell r="S7880">
            <v>226001</v>
          </cell>
        </row>
        <row r="7881">
          <cell r="K7881" t="str">
            <v>222002</v>
          </cell>
          <cell r="M7881">
            <v>8</v>
          </cell>
          <cell r="R7881">
            <v>45840</v>
          </cell>
          <cell r="S7881">
            <v>222002</v>
          </cell>
        </row>
        <row r="7882">
          <cell r="K7882" t="str">
            <v>226001</v>
          </cell>
          <cell r="M7882">
            <v>1</v>
          </cell>
          <cell r="R7882">
            <v>45840</v>
          </cell>
          <cell r="S7882">
            <v>226001</v>
          </cell>
        </row>
        <row r="7883">
          <cell r="K7883" t="str">
            <v>226001</v>
          </cell>
          <cell r="M7883">
            <v>1</v>
          </cell>
          <cell r="R7883">
            <v>45840</v>
          </cell>
          <cell r="S7883">
            <v>226001</v>
          </cell>
        </row>
        <row r="7884">
          <cell r="K7884" t="str">
            <v>231012</v>
          </cell>
          <cell r="M7884">
            <v>1</v>
          </cell>
          <cell r="R7884">
            <v>45840</v>
          </cell>
          <cell r="S7884">
            <v>231012</v>
          </cell>
        </row>
        <row r="7885">
          <cell r="K7885" t="str">
            <v>203003</v>
          </cell>
          <cell r="M7885">
            <v>2</v>
          </cell>
          <cell r="R7885">
            <v>45840</v>
          </cell>
          <cell r="S7885">
            <v>203003</v>
          </cell>
        </row>
        <row r="7886">
          <cell r="K7886" t="str">
            <v>222002</v>
          </cell>
          <cell r="M7886">
            <v>2</v>
          </cell>
          <cell r="R7886">
            <v>45840</v>
          </cell>
          <cell r="S7886">
            <v>222002</v>
          </cell>
        </row>
        <row r="7887">
          <cell r="K7887" t="str">
            <v>213003</v>
          </cell>
          <cell r="M7887">
            <v>2</v>
          </cell>
          <cell r="R7887">
            <v>45841</v>
          </cell>
          <cell r="S7887">
            <v>213003</v>
          </cell>
        </row>
        <row r="7888">
          <cell r="K7888" t="str">
            <v>222001</v>
          </cell>
          <cell r="M7888">
            <v>1</v>
          </cell>
          <cell r="R7888">
            <v>45841</v>
          </cell>
          <cell r="S7888">
            <v>222001</v>
          </cell>
        </row>
        <row r="7889">
          <cell r="K7889" t="str">
            <v>222004</v>
          </cell>
          <cell r="M7889">
            <v>1</v>
          </cell>
          <cell r="R7889">
            <v>45841</v>
          </cell>
          <cell r="S7889">
            <v>222004</v>
          </cell>
        </row>
        <row r="7890">
          <cell r="K7890" t="str">
            <v>222003</v>
          </cell>
          <cell r="M7890">
            <v>1</v>
          </cell>
          <cell r="R7890">
            <v>45841</v>
          </cell>
          <cell r="S7890">
            <v>222003</v>
          </cell>
        </row>
        <row r="7891">
          <cell r="K7891" t="str">
            <v>222032</v>
          </cell>
          <cell r="M7891">
            <v>1</v>
          </cell>
          <cell r="R7891">
            <v>45841</v>
          </cell>
          <cell r="S7891">
            <v>222032</v>
          </cell>
        </row>
        <row r="7892">
          <cell r="K7892" t="str">
            <v>201011</v>
          </cell>
          <cell r="M7892">
            <v>36</v>
          </cell>
          <cell r="R7892">
            <v>45841</v>
          </cell>
          <cell r="S7892">
            <v>201011</v>
          </cell>
        </row>
        <row r="7893">
          <cell r="K7893" t="str">
            <v>227002</v>
          </cell>
          <cell r="M7893">
            <v>1</v>
          </cell>
          <cell r="R7893">
            <v>45840</v>
          </cell>
          <cell r="S7893">
            <v>227002</v>
          </cell>
        </row>
        <row r="7894">
          <cell r="K7894" t="str">
            <v>201022</v>
          </cell>
          <cell r="M7894">
            <v>1</v>
          </cell>
          <cell r="R7894">
            <v>45840</v>
          </cell>
          <cell r="S7894">
            <v>201022</v>
          </cell>
        </row>
        <row r="7895">
          <cell r="K7895" t="str">
            <v>201011</v>
          </cell>
          <cell r="M7895">
            <v>1</v>
          </cell>
          <cell r="R7895">
            <v>45840</v>
          </cell>
          <cell r="S7895">
            <v>201011</v>
          </cell>
        </row>
        <row r="7896">
          <cell r="K7896" t="str">
            <v>223002</v>
          </cell>
          <cell r="M7896">
            <v>1</v>
          </cell>
          <cell r="R7896">
            <v>45840</v>
          </cell>
          <cell r="S7896">
            <v>223002</v>
          </cell>
        </row>
        <row r="7897">
          <cell r="K7897" t="str">
            <v>223001</v>
          </cell>
          <cell r="M7897">
            <v>1</v>
          </cell>
          <cell r="R7897">
            <v>45840</v>
          </cell>
          <cell r="S7897">
            <v>223001</v>
          </cell>
        </row>
        <row r="7898">
          <cell r="K7898" t="str">
            <v>227002</v>
          </cell>
          <cell r="M7898">
            <v>1</v>
          </cell>
          <cell r="R7898">
            <v>45840</v>
          </cell>
          <cell r="S7898">
            <v>227002</v>
          </cell>
        </row>
        <row r="7899">
          <cell r="K7899" t="str">
            <v>227001</v>
          </cell>
          <cell r="M7899">
            <v>1</v>
          </cell>
          <cell r="R7899">
            <v>45840</v>
          </cell>
          <cell r="S7899">
            <v>227001</v>
          </cell>
        </row>
        <row r="7900">
          <cell r="K7900" t="str">
            <v>213003</v>
          </cell>
          <cell r="M7900">
            <v>5</v>
          </cell>
          <cell r="R7900">
            <v>45840</v>
          </cell>
          <cell r="S7900">
            <v>213003</v>
          </cell>
        </row>
        <row r="7901">
          <cell r="K7901" t="str">
            <v>201011</v>
          </cell>
          <cell r="M7901">
            <v>3</v>
          </cell>
          <cell r="R7901">
            <v>45841</v>
          </cell>
          <cell r="S7901">
            <v>201011</v>
          </cell>
        </row>
        <row r="7902">
          <cell r="K7902" t="str">
            <v>228001</v>
          </cell>
          <cell r="M7902">
            <v>3</v>
          </cell>
          <cell r="R7902">
            <v>45840</v>
          </cell>
          <cell r="S7902">
            <v>228001</v>
          </cell>
        </row>
        <row r="7903">
          <cell r="K7903" t="str">
            <v>231012</v>
          </cell>
          <cell r="M7903">
            <v>1</v>
          </cell>
          <cell r="R7903">
            <v>45840</v>
          </cell>
          <cell r="S7903">
            <v>231012</v>
          </cell>
        </row>
        <row r="7904">
          <cell r="K7904" t="str">
            <v>207017</v>
          </cell>
          <cell r="M7904">
            <v>1</v>
          </cell>
          <cell r="R7904">
            <v>45840</v>
          </cell>
          <cell r="S7904">
            <v>207017</v>
          </cell>
        </row>
        <row r="7905">
          <cell r="K7905" t="str">
            <v>209012</v>
          </cell>
          <cell r="M7905">
            <v>1</v>
          </cell>
          <cell r="R7905">
            <v>45840</v>
          </cell>
          <cell r="S7905">
            <v>209012</v>
          </cell>
        </row>
        <row r="7906">
          <cell r="K7906" t="str">
            <v>203001</v>
          </cell>
          <cell r="M7906">
            <v>1</v>
          </cell>
          <cell r="R7906">
            <v>45841</v>
          </cell>
          <cell r="S7906">
            <v>203001</v>
          </cell>
        </row>
        <row r="7907">
          <cell r="K7907" t="str">
            <v>223002</v>
          </cell>
          <cell r="M7907">
            <v>5</v>
          </cell>
          <cell r="R7907">
            <v>45841</v>
          </cell>
          <cell r="S7907">
            <v>223002</v>
          </cell>
        </row>
        <row r="7908">
          <cell r="K7908" t="str">
            <v>217018</v>
          </cell>
          <cell r="M7908">
            <v>3</v>
          </cell>
          <cell r="R7908">
            <v>45841</v>
          </cell>
          <cell r="S7908">
            <v>217018</v>
          </cell>
        </row>
        <row r="7909">
          <cell r="K7909" t="str">
            <v>201011</v>
          </cell>
          <cell r="M7909">
            <v>2</v>
          </cell>
          <cell r="R7909">
            <v>45841</v>
          </cell>
          <cell r="S7909">
            <v>201011</v>
          </cell>
        </row>
        <row r="7910">
          <cell r="K7910" t="str">
            <v>261004</v>
          </cell>
          <cell r="M7910">
            <v>30</v>
          </cell>
          <cell r="R7910">
            <v>45841</v>
          </cell>
          <cell r="S7910">
            <v>261004</v>
          </cell>
        </row>
        <row r="7911">
          <cell r="K7911" t="str">
            <v>212010</v>
          </cell>
          <cell r="M7911">
            <v>20</v>
          </cell>
          <cell r="R7911">
            <v>45841</v>
          </cell>
          <cell r="S7911">
            <v>212010</v>
          </cell>
        </row>
        <row r="7912">
          <cell r="K7912" t="str">
            <v>212002</v>
          </cell>
          <cell r="M7912">
            <v>1</v>
          </cell>
          <cell r="R7912">
            <v>45841</v>
          </cell>
          <cell r="S7912">
            <v>212002</v>
          </cell>
        </row>
        <row r="7913">
          <cell r="K7913" t="str">
            <v>213002</v>
          </cell>
          <cell r="M7913">
            <v>2</v>
          </cell>
          <cell r="R7913">
            <v>45841</v>
          </cell>
          <cell r="S7913">
            <v>213002</v>
          </cell>
        </row>
        <row r="7914">
          <cell r="K7914" t="str">
            <v>213002</v>
          </cell>
          <cell r="M7914">
            <v>1</v>
          </cell>
          <cell r="R7914">
            <v>45841</v>
          </cell>
          <cell r="S7914">
            <v>213002</v>
          </cell>
        </row>
        <row r="7915">
          <cell r="K7915" t="str">
            <v>213002</v>
          </cell>
          <cell r="M7915">
            <v>1</v>
          </cell>
          <cell r="R7915">
            <v>45841</v>
          </cell>
          <cell r="S7915">
            <v>213002</v>
          </cell>
        </row>
        <row r="7916">
          <cell r="K7916" t="str">
            <v>213002</v>
          </cell>
          <cell r="M7916">
            <v>10</v>
          </cell>
          <cell r="R7916">
            <v>45841</v>
          </cell>
          <cell r="S7916">
            <v>213002</v>
          </cell>
        </row>
        <row r="7917">
          <cell r="K7917" t="str">
            <v>226001</v>
          </cell>
          <cell r="M7917">
            <v>1</v>
          </cell>
          <cell r="R7917">
            <v>45841</v>
          </cell>
          <cell r="S7917">
            <v>226001</v>
          </cell>
        </row>
        <row r="7918">
          <cell r="K7918" t="str">
            <v>226001</v>
          </cell>
          <cell r="M7918">
            <v>1</v>
          </cell>
          <cell r="R7918">
            <v>45841</v>
          </cell>
          <cell r="S7918">
            <v>226001</v>
          </cell>
        </row>
        <row r="7919">
          <cell r="K7919" t="str">
            <v>229004</v>
          </cell>
          <cell r="M7919">
            <v>3</v>
          </cell>
          <cell r="R7919">
            <v>45841</v>
          </cell>
          <cell r="S7919">
            <v>229004</v>
          </cell>
        </row>
        <row r="7920">
          <cell r="K7920" t="str">
            <v>201021</v>
          </cell>
          <cell r="M7920">
            <v>1</v>
          </cell>
          <cell r="R7920">
            <v>45841</v>
          </cell>
          <cell r="S7920">
            <v>201021</v>
          </cell>
        </row>
        <row r="7921">
          <cell r="K7921" t="str">
            <v>212002</v>
          </cell>
          <cell r="M7921">
            <v>1</v>
          </cell>
          <cell r="R7921">
            <v>45841</v>
          </cell>
          <cell r="S7921">
            <v>212002</v>
          </cell>
        </row>
        <row r="7922">
          <cell r="K7922" t="str">
            <v>228001</v>
          </cell>
          <cell r="M7922">
            <v>2</v>
          </cell>
          <cell r="R7922">
            <v>45841</v>
          </cell>
          <cell r="S7922">
            <v>228001</v>
          </cell>
        </row>
        <row r="7923">
          <cell r="K7923" t="str">
            <v>212002</v>
          </cell>
          <cell r="M7923">
            <v>1</v>
          </cell>
          <cell r="R7923">
            <v>45841</v>
          </cell>
          <cell r="S7923">
            <v>212002</v>
          </cell>
        </row>
        <row r="7924">
          <cell r="K7924" t="str">
            <v>207017</v>
          </cell>
          <cell r="M7924">
            <v>1</v>
          </cell>
          <cell r="R7924">
            <v>45841</v>
          </cell>
          <cell r="S7924">
            <v>207017</v>
          </cell>
        </row>
        <row r="7925">
          <cell r="K7925" t="str">
            <v>213003</v>
          </cell>
          <cell r="M7925">
            <v>2</v>
          </cell>
          <cell r="R7925">
            <v>45841</v>
          </cell>
          <cell r="S7925">
            <v>213003</v>
          </cell>
        </row>
        <row r="7926">
          <cell r="K7926" t="str">
            <v>228001</v>
          </cell>
          <cell r="M7926">
            <v>2</v>
          </cell>
          <cell r="R7926">
            <v>45841</v>
          </cell>
          <cell r="S7926">
            <v>228001</v>
          </cell>
        </row>
        <row r="7927">
          <cell r="K7927" t="str">
            <v>229001</v>
          </cell>
          <cell r="M7927">
            <v>1</v>
          </cell>
          <cell r="R7927">
            <v>45841</v>
          </cell>
          <cell r="S7927">
            <v>229001</v>
          </cell>
        </row>
        <row r="7928">
          <cell r="K7928" t="str">
            <v>229004</v>
          </cell>
          <cell r="M7928">
            <v>1</v>
          </cell>
          <cell r="R7928">
            <v>45841</v>
          </cell>
          <cell r="S7928">
            <v>229004</v>
          </cell>
        </row>
        <row r="7929">
          <cell r="K7929" t="str">
            <v>206005</v>
          </cell>
          <cell r="M7929">
            <v>2</v>
          </cell>
          <cell r="R7929">
            <v>45841</v>
          </cell>
          <cell r="S7929">
            <v>206005</v>
          </cell>
        </row>
        <row r="7930">
          <cell r="K7930" t="str">
            <v>213003</v>
          </cell>
          <cell r="M7930">
            <v>3</v>
          </cell>
          <cell r="R7930">
            <v>45841</v>
          </cell>
          <cell r="S7930">
            <v>213003</v>
          </cell>
        </row>
        <row r="7931">
          <cell r="K7931" t="str">
            <v>201011</v>
          </cell>
          <cell r="M7931">
            <v>13</v>
          </cell>
          <cell r="R7931">
            <v>45841</v>
          </cell>
          <cell r="S7931">
            <v>201011</v>
          </cell>
        </row>
        <row r="7932">
          <cell r="K7932" t="str">
            <v>201021</v>
          </cell>
          <cell r="M7932">
            <v>2</v>
          </cell>
          <cell r="R7932">
            <v>45841</v>
          </cell>
          <cell r="S7932">
            <v>201021</v>
          </cell>
        </row>
        <row r="7933">
          <cell r="K7933" t="str">
            <v>226024</v>
          </cell>
          <cell r="M7933">
            <v>3</v>
          </cell>
          <cell r="R7933">
            <v>45841</v>
          </cell>
          <cell r="S7933">
            <v>226024</v>
          </cell>
        </row>
        <row r="7934">
          <cell r="K7934" t="str">
            <v>222003</v>
          </cell>
          <cell r="M7934">
            <v>1</v>
          </cell>
          <cell r="R7934">
            <v>45842</v>
          </cell>
          <cell r="S7934">
            <v>222003</v>
          </cell>
        </row>
        <row r="7935">
          <cell r="K7935" t="str">
            <v>213002</v>
          </cell>
          <cell r="M7935">
            <v>17</v>
          </cell>
          <cell r="R7935">
            <v>45842</v>
          </cell>
          <cell r="S7935">
            <v>213002</v>
          </cell>
        </row>
        <row r="7936">
          <cell r="K7936" t="str">
            <v>210014</v>
          </cell>
          <cell r="M7936">
            <v>1</v>
          </cell>
          <cell r="R7936">
            <v>45842</v>
          </cell>
          <cell r="S7936">
            <v>210014</v>
          </cell>
        </row>
        <row r="7937">
          <cell r="K7937" t="str">
            <v>201021</v>
          </cell>
          <cell r="M7937">
            <v>2</v>
          </cell>
          <cell r="R7937">
            <v>45842</v>
          </cell>
          <cell r="S7937">
            <v>201021</v>
          </cell>
        </row>
        <row r="7938">
          <cell r="K7938" t="str">
            <v>201002</v>
          </cell>
          <cell r="M7938">
            <v>2</v>
          </cell>
          <cell r="R7938">
            <v>45842</v>
          </cell>
          <cell r="S7938">
            <v>201002</v>
          </cell>
        </row>
        <row r="7939">
          <cell r="K7939" t="str">
            <v>241001</v>
          </cell>
          <cell r="M7939">
            <v>4</v>
          </cell>
          <cell r="R7939">
            <v>45842</v>
          </cell>
          <cell r="S7939">
            <v>241001</v>
          </cell>
        </row>
        <row r="7940">
          <cell r="K7940" t="str">
            <v>223001</v>
          </cell>
          <cell r="M7940">
            <v>4</v>
          </cell>
          <cell r="R7940">
            <v>45842</v>
          </cell>
          <cell r="S7940">
            <v>223001</v>
          </cell>
        </row>
        <row r="7941">
          <cell r="K7941" t="str">
            <v>223002</v>
          </cell>
          <cell r="M7941">
            <v>4</v>
          </cell>
          <cell r="R7941">
            <v>45842</v>
          </cell>
          <cell r="S7941">
            <v>223002</v>
          </cell>
        </row>
        <row r="7942">
          <cell r="K7942" t="str">
            <v>241001</v>
          </cell>
          <cell r="M7942">
            <v>4</v>
          </cell>
          <cell r="R7942">
            <v>45841</v>
          </cell>
          <cell r="S7942">
            <v>241001</v>
          </cell>
        </row>
        <row r="7943">
          <cell r="K7943" t="str">
            <v>209001</v>
          </cell>
          <cell r="M7943">
            <v>2</v>
          </cell>
          <cell r="R7943">
            <v>45841</v>
          </cell>
          <cell r="S7943">
            <v>209001</v>
          </cell>
        </row>
        <row r="7944">
          <cell r="K7944" t="str">
            <v>223002</v>
          </cell>
          <cell r="M7944">
            <v>1</v>
          </cell>
          <cell r="R7944">
            <v>45841</v>
          </cell>
          <cell r="S7944">
            <v>223002</v>
          </cell>
        </row>
        <row r="7945">
          <cell r="K7945" t="str">
            <v>222001</v>
          </cell>
          <cell r="M7945">
            <v>5</v>
          </cell>
          <cell r="R7945">
            <v>45841</v>
          </cell>
          <cell r="S7945">
            <v>222001</v>
          </cell>
        </row>
        <row r="7946">
          <cell r="K7946" t="str">
            <v>241001</v>
          </cell>
          <cell r="M7946">
            <v>4</v>
          </cell>
          <cell r="R7946">
            <v>45841</v>
          </cell>
          <cell r="S7946">
            <v>241001</v>
          </cell>
        </row>
        <row r="7947">
          <cell r="K7947" t="str">
            <v>213003</v>
          </cell>
          <cell r="M7947">
            <v>2</v>
          </cell>
          <cell r="R7947">
            <v>45841</v>
          </cell>
          <cell r="S7947">
            <v>213003</v>
          </cell>
        </row>
        <row r="7948">
          <cell r="K7948" t="str">
            <v>201021</v>
          </cell>
          <cell r="M7948">
            <v>8</v>
          </cell>
          <cell r="R7948">
            <v>45841</v>
          </cell>
          <cell r="S7948">
            <v>201021</v>
          </cell>
        </row>
        <row r="7949">
          <cell r="K7949" t="str">
            <v>213005</v>
          </cell>
          <cell r="M7949">
            <v>1</v>
          </cell>
          <cell r="R7949">
            <v>45842</v>
          </cell>
          <cell r="S7949">
            <v>213005</v>
          </cell>
        </row>
        <row r="7950">
          <cell r="K7950" t="str">
            <v>210013</v>
          </cell>
          <cell r="M7950">
            <v>1</v>
          </cell>
          <cell r="R7950">
            <v>45842</v>
          </cell>
          <cell r="S7950">
            <v>210013</v>
          </cell>
        </row>
        <row r="7951">
          <cell r="K7951" t="str">
            <v>241001</v>
          </cell>
          <cell r="M7951">
            <v>5</v>
          </cell>
          <cell r="R7951">
            <v>45841</v>
          </cell>
          <cell r="S7951">
            <v>241001</v>
          </cell>
        </row>
        <row r="7952">
          <cell r="K7952" t="str">
            <v>217022</v>
          </cell>
          <cell r="M7952">
            <v>10</v>
          </cell>
          <cell r="R7952">
            <v>45842</v>
          </cell>
          <cell r="S7952">
            <v>217022</v>
          </cell>
        </row>
        <row r="7953">
          <cell r="K7953" t="str">
            <v>213002</v>
          </cell>
          <cell r="M7953">
            <v>8</v>
          </cell>
          <cell r="R7953">
            <v>45842</v>
          </cell>
          <cell r="S7953">
            <v>213002</v>
          </cell>
        </row>
        <row r="7954">
          <cell r="K7954" t="str">
            <v>201002</v>
          </cell>
          <cell r="M7954">
            <v>10</v>
          </cell>
          <cell r="R7954">
            <v>45841</v>
          </cell>
          <cell r="S7954">
            <v>201002</v>
          </cell>
        </row>
        <row r="7955">
          <cell r="K7955" t="str">
            <v>213003</v>
          </cell>
          <cell r="M7955">
            <v>4</v>
          </cell>
          <cell r="R7955">
            <v>45841</v>
          </cell>
          <cell r="S7955">
            <v>213003</v>
          </cell>
        </row>
        <row r="7956">
          <cell r="K7956" t="str">
            <v>201021</v>
          </cell>
          <cell r="M7956">
            <v>3</v>
          </cell>
          <cell r="R7956">
            <v>45841</v>
          </cell>
          <cell r="S7956">
            <v>201021</v>
          </cell>
        </row>
        <row r="7957">
          <cell r="K7957" t="str">
            <v>226001</v>
          </cell>
          <cell r="M7957">
            <v>4</v>
          </cell>
          <cell r="R7957">
            <v>45841</v>
          </cell>
          <cell r="S7957">
            <v>226001</v>
          </cell>
        </row>
        <row r="7958">
          <cell r="K7958" t="str">
            <v>213005</v>
          </cell>
          <cell r="M7958">
            <v>1</v>
          </cell>
          <cell r="R7958">
            <v>45841</v>
          </cell>
          <cell r="S7958">
            <v>213005</v>
          </cell>
        </row>
        <row r="7959">
          <cell r="K7959" t="str">
            <v>201011</v>
          </cell>
          <cell r="M7959">
            <v>0</v>
          </cell>
          <cell r="R7959">
            <v>45841</v>
          </cell>
          <cell r="S7959">
            <v>201011</v>
          </cell>
        </row>
        <row r="7960">
          <cell r="K7960" t="str">
            <v>213002</v>
          </cell>
          <cell r="M7960">
            <v>4</v>
          </cell>
          <cell r="R7960">
            <v>45841</v>
          </cell>
          <cell r="S7960">
            <v>213002</v>
          </cell>
        </row>
        <row r="7961">
          <cell r="K7961" t="str">
            <v>213002</v>
          </cell>
          <cell r="M7961">
            <v>6</v>
          </cell>
          <cell r="R7961">
            <v>45841</v>
          </cell>
          <cell r="S7961">
            <v>213002</v>
          </cell>
        </row>
        <row r="7962">
          <cell r="K7962" t="str">
            <v>231012</v>
          </cell>
          <cell r="M7962">
            <v>4</v>
          </cell>
          <cell r="R7962">
            <v>45841</v>
          </cell>
          <cell r="S7962">
            <v>231012</v>
          </cell>
        </row>
        <row r="7963">
          <cell r="K7963" t="str">
            <v>226001</v>
          </cell>
          <cell r="M7963">
            <v>2</v>
          </cell>
          <cell r="R7963">
            <v>45841</v>
          </cell>
          <cell r="S7963">
            <v>226001</v>
          </cell>
        </row>
        <row r="7964">
          <cell r="K7964" t="str">
            <v>203003</v>
          </cell>
          <cell r="M7964">
            <v>2</v>
          </cell>
          <cell r="R7964">
            <v>45841</v>
          </cell>
          <cell r="S7964">
            <v>203003</v>
          </cell>
        </row>
        <row r="7965">
          <cell r="K7965" t="str">
            <v>209004</v>
          </cell>
          <cell r="M7965">
            <v>1</v>
          </cell>
          <cell r="R7965">
            <v>45841</v>
          </cell>
          <cell r="S7965">
            <v>209004</v>
          </cell>
        </row>
        <row r="7966">
          <cell r="K7966" t="str">
            <v>209016</v>
          </cell>
          <cell r="M7966">
            <v>4</v>
          </cell>
          <cell r="R7966">
            <v>45841</v>
          </cell>
          <cell r="S7966">
            <v>209016</v>
          </cell>
        </row>
        <row r="7967">
          <cell r="K7967" t="str">
            <v>231012</v>
          </cell>
          <cell r="M7967">
            <v>1</v>
          </cell>
          <cell r="R7967">
            <v>45841</v>
          </cell>
          <cell r="S7967">
            <v>231012</v>
          </cell>
        </row>
        <row r="7968">
          <cell r="K7968" t="str">
            <v>226001</v>
          </cell>
          <cell r="M7968">
            <v>1</v>
          </cell>
          <cell r="R7968">
            <v>45841</v>
          </cell>
          <cell r="S7968">
            <v>226001</v>
          </cell>
        </row>
        <row r="7969">
          <cell r="K7969" t="str">
            <v>226004</v>
          </cell>
          <cell r="M7969">
            <v>1</v>
          </cell>
          <cell r="R7969">
            <v>45841</v>
          </cell>
          <cell r="S7969">
            <v>226004</v>
          </cell>
        </row>
        <row r="7970">
          <cell r="K7970" t="str">
            <v>217011</v>
          </cell>
          <cell r="M7970">
            <v>1</v>
          </cell>
          <cell r="R7970">
            <v>45841</v>
          </cell>
          <cell r="S7970">
            <v>217011</v>
          </cell>
        </row>
        <row r="7971">
          <cell r="K7971" t="str">
            <v>228001</v>
          </cell>
          <cell r="M7971">
            <v>1</v>
          </cell>
          <cell r="R7971">
            <v>45841</v>
          </cell>
          <cell r="S7971">
            <v>228001</v>
          </cell>
        </row>
        <row r="7972">
          <cell r="K7972" t="str">
            <v>222005</v>
          </cell>
          <cell r="M7972">
            <v>1</v>
          </cell>
          <cell r="R7972">
            <v>45841</v>
          </cell>
          <cell r="S7972">
            <v>222005</v>
          </cell>
        </row>
        <row r="7973">
          <cell r="K7973" t="str">
            <v>223002</v>
          </cell>
          <cell r="M7973">
            <v>1</v>
          </cell>
          <cell r="R7973">
            <v>45841</v>
          </cell>
          <cell r="S7973">
            <v>223002</v>
          </cell>
        </row>
        <row r="7974">
          <cell r="K7974" t="str">
            <v>227012</v>
          </cell>
          <cell r="M7974">
            <v>1</v>
          </cell>
          <cell r="R7974">
            <v>45841</v>
          </cell>
          <cell r="S7974">
            <v>227012</v>
          </cell>
        </row>
        <row r="7975">
          <cell r="K7975" t="str">
            <v>234001</v>
          </cell>
          <cell r="M7975">
            <v>1</v>
          </cell>
          <cell r="R7975">
            <v>45842</v>
          </cell>
          <cell r="S7975">
            <v>234001</v>
          </cell>
        </row>
        <row r="7976">
          <cell r="K7976" t="str">
            <v>203003</v>
          </cell>
          <cell r="M7976">
            <v>1</v>
          </cell>
          <cell r="R7976">
            <v>45842</v>
          </cell>
          <cell r="S7976">
            <v>203003</v>
          </cell>
        </row>
        <row r="7977">
          <cell r="K7977" t="str">
            <v>231012</v>
          </cell>
          <cell r="M7977">
            <v>1</v>
          </cell>
          <cell r="R7977">
            <v>45842</v>
          </cell>
          <cell r="S7977">
            <v>231012</v>
          </cell>
        </row>
        <row r="7978">
          <cell r="K7978" t="str">
            <v>201003</v>
          </cell>
          <cell r="M7978">
            <v>1</v>
          </cell>
          <cell r="R7978">
            <v>45842</v>
          </cell>
          <cell r="S7978">
            <v>201003</v>
          </cell>
        </row>
        <row r="7979">
          <cell r="K7979" t="str">
            <v>201002</v>
          </cell>
          <cell r="M7979">
            <v>1</v>
          </cell>
          <cell r="R7979">
            <v>45841</v>
          </cell>
          <cell r="S7979">
            <v>201002</v>
          </cell>
        </row>
        <row r="7980">
          <cell r="K7980" t="str">
            <v>201021</v>
          </cell>
          <cell r="M7980">
            <v>2</v>
          </cell>
          <cell r="R7980">
            <v>45842</v>
          </cell>
          <cell r="S7980">
            <v>201021</v>
          </cell>
        </row>
        <row r="7981">
          <cell r="K7981" t="str">
            <v>228001</v>
          </cell>
          <cell r="M7981">
            <v>5</v>
          </cell>
          <cell r="R7981">
            <v>45842</v>
          </cell>
          <cell r="S7981">
            <v>228001</v>
          </cell>
        </row>
        <row r="7982">
          <cell r="K7982" t="str">
            <v>228001</v>
          </cell>
          <cell r="M7982">
            <v>4</v>
          </cell>
          <cell r="R7982">
            <v>45842</v>
          </cell>
          <cell r="S7982">
            <v>228001</v>
          </cell>
        </row>
        <row r="7983">
          <cell r="K7983" t="str">
            <v>217018</v>
          </cell>
          <cell r="M7983">
            <v>1</v>
          </cell>
          <cell r="R7983">
            <v>45842</v>
          </cell>
          <cell r="S7983">
            <v>217018</v>
          </cell>
        </row>
        <row r="7984">
          <cell r="K7984" t="str">
            <v>223002</v>
          </cell>
          <cell r="M7984">
            <v>1</v>
          </cell>
          <cell r="R7984">
            <v>45842</v>
          </cell>
          <cell r="S7984">
            <v>223002</v>
          </cell>
        </row>
        <row r="7985">
          <cell r="K7985" t="str">
            <v>217018</v>
          </cell>
          <cell r="M7985">
            <v>1</v>
          </cell>
          <cell r="R7985">
            <v>45842</v>
          </cell>
          <cell r="S7985">
            <v>217018</v>
          </cell>
        </row>
        <row r="7986">
          <cell r="K7986" t="str">
            <v>209016</v>
          </cell>
          <cell r="M7986">
            <v>2</v>
          </cell>
          <cell r="R7986">
            <v>45842</v>
          </cell>
          <cell r="S7986">
            <v>209016</v>
          </cell>
        </row>
        <row r="7987">
          <cell r="K7987" t="str">
            <v>241001</v>
          </cell>
          <cell r="M7987">
            <v>15</v>
          </cell>
          <cell r="R7987">
            <v>45842</v>
          </cell>
          <cell r="S7987">
            <v>241001</v>
          </cell>
        </row>
        <row r="7988">
          <cell r="K7988" t="str">
            <v>217022</v>
          </cell>
          <cell r="M7988">
            <v>1</v>
          </cell>
          <cell r="R7988">
            <v>45842</v>
          </cell>
          <cell r="S7988">
            <v>217022</v>
          </cell>
        </row>
        <row r="7989">
          <cell r="K7989" t="str">
            <v>226001</v>
          </cell>
          <cell r="M7989">
            <v>1</v>
          </cell>
          <cell r="R7989">
            <v>45842</v>
          </cell>
          <cell r="S7989">
            <v>226001</v>
          </cell>
        </row>
        <row r="7990">
          <cell r="K7990" t="str">
            <v>226001</v>
          </cell>
          <cell r="M7990">
            <v>3</v>
          </cell>
          <cell r="R7990">
            <v>45842</v>
          </cell>
          <cell r="S7990">
            <v>226001</v>
          </cell>
        </row>
        <row r="7991">
          <cell r="K7991" t="str">
            <v>231012</v>
          </cell>
          <cell r="M7991">
            <v>2</v>
          </cell>
          <cell r="R7991">
            <v>45842</v>
          </cell>
          <cell r="S7991">
            <v>231012</v>
          </cell>
        </row>
        <row r="7992">
          <cell r="K7992" t="str">
            <v>235005</v>
          </cell>
          <cell r="M7992">
            <v>1</v>
          </cell>
          <cell r="R7992">
            <v>45842</v>
          </cell>
          <cell r="S7992">
            <v>235005</v>
          </cell>
        </row>
        <row r="7993">
          <cell r="K7993" t="str">
            <v>210014</v>
          </cell>
          <cell r="M7993">
            <v>1</v>
          </cell>
          <cell r="R7993">
            <v>45842</v>
          </cell>
          <cell r="S7993">
            <v>210014</v>
          </cell>
        </row>
        <row r="7994">
          <cell r="K7994" t="str">
            <v>237001</v>
          </cell>
          <cell r="M7994">
            <v>10</v>
          </cell>
          <cell r="R7994">
            <v>45842</v>
          </cell>
          <cell r="S7994">
            <v>237001</v>
          </cell>
        </row>
        <row r="7995">
          <cell r="K7995" t="str">
            <v>201011</v>
          </cell>
          <cell r="M7995">
            <v>3</v>
          </cell>
          <cell r="R7995">
            <v>45842</v>
          </cell>
          <cell r="S7995">
            <v>201011</v>
          </cell>
        </row>
        <row r="7996">
          <cell r="K7996" t="str">
            <v>201011</v>
          </cell>
          <cell r="M7996">
            <v>6</v>
          </cell>
          <cell r="R7996">
            <v>45842</v>
          </cell>
          <cell r="S7996">
            <v>201011</v>
          </cell>
        </row>
        <row r="7997">
          <cell r="K7997" t="str">
            <v>223001</v>
          </cell>
          <cell r="M7997">
            <v>1</v>
          </cell>
          <cell r="R7997">
            <v>45842</v>
          </cell>
          <cell r="S7997">
            <v>223001</v>
          </cell>
        </row>
        <row r="7998">
          <cell r="K7998" t="str">
            <v>213002</v>
          </cell>
          <cell r="M7998">
            <v>2</v>
          </cell>
          <cell r="R7998">
            <v>45842</v>
          </cell>
          <cell r="S7998">
            <v>213002</v>
          </cell>
        </row>
        <row r="7999">
          <cell r="K7999" t="str">
            <v>201011</v>
          </cell>
          <cell r="M7999">
            <v>1</v>
          </cell>
          <cell r="R7999">
            <v>45842</v>
          </cell>
          <cell r="S7999">
            <v>201011</v>
          </cell>
        </row>
        <row r="8000">
          <cell r="K8000" t="str">
            <v>220002</v>
          </cell>
          <cell r="M8000">
            <v>1</v>
          </cell>
          <cell r="R8000">
            <v>45842</v>
          </cell>
          <cell r="S8000">
            <v>220002</v>
          </cell>
        </row>
        <row r="8001">
          <cell r="K8001" t="str">
            <v>227002</v>
          </cell>
          <cell r="M8001">
            <v>1</v>
          </cell>
          <cell r="R8001">
            <v>45842</v>
          </cell>
          <cell r="S8001">
            <v>227002</v>
          </cell>
        </row>
        <row r="8002">
          <cell r="K8002" t="str">
            <v>228001</v>
          </cell>
          <cell r="M8002">
            <v>12</v>
          </cell>
          <cell r="R8002">
            <v>45844</v>
          </cell>
          <cell r="S8002">
            <v>228001</v>
          </cell>
        </row>
        <row r="8003">
          <cell r="K8003" t="str">
            <v>223002</v>
          </cell>
          <cell r="M8003">
            <v>2</v>
          </cell>
          <cell r="R8003">
            <v>45845</v>
          </cell>
          <cell r="S8003">
            <v>223002</v>
          </cell>
        </row>
        <row r="8004">
          <cell r="K8004" t="str">
            <v>213002</v>
          </cell>
          <cell r="M8004">
            <v>3</v>
          </cell>
          <cell r="R8004">
            <v>45845</v>
          </cell>
          <cell r="S8004">
            <v>213002</v>
          </cell>
        </row>
        <row r="8005">
          <cell r="K8005" t="str">
            <v>203001</v>
          </cell>
          <cell r="M8005">
            <v>4</v>
          </cell>
          <cell r="R8005">
            <v>45845</v>
          </cell>
          <cell r="S8005">
            <v>203001</v>
          </cell>
        </row>
        <row r="8006">
          <cell r="K8006" t="str">
            <v>231012</v>
          </cell>
          <cell r="M8006">
            <v>2</v>
          </cell>
          <cell r="R8006">
            <v>45845</v>
          </cell>
          <cell r="S8006">
            <v>231012</v>
          </cell>
        </row>
        <row r="8007">
          <cell r="K8007" t="str">
            <v>223001</v>
          </cell>
          <cell r="M8007">
            <v>5</v>
          </cell>
          <cell r="R8007">
            <v>45845</v>
          </cell>
          <cell r="S8007">
            <v>223001</v>
          </cell>
        </row>
        <row r="8008">
          <cell r="K8008" t="str">
            <v>201021</v>
          </cell>
          <cell r="M8008">
            <v>5</v>
          </cell>
          <cell r="R8008">
            <v>45845</v>
          </cell>
          <cell r="S8008">
            <v>201021</v>
          </cell>
        </row>
        <row r="8009">
          <cell r="K8009" t="str">
            <v>201004</v>
          </cell>
          <cell r="M8009">
            <v>2</v>
          </cell>
          <cell r="R8009">
            <v>45845</v>
          </cell>
          <cell r="S8009">
            <v>201004</v>
          </cell>
        </row>
        <row r="8010">
          <cell r="K8010" t="str">
            <v>223002</v>
          </cell>
          <cell r="M8010">
            <v>7</v>
          </cell>
          <cell r="R8010">
            <v>45842</v>
          </cell>
          <cell r="S8010">
            <v>223002</v>
          </cell>
        </row>
        <row r="8011">
          <cell r="K8011" t="str">
            <v>220002</v>
          </cell>
          <cell r="M8011">
            <v>2</v>
          </cell>
          <cell r="R8011">
            <v>45842</v>
          </cell>
          <cell r="S8011">
            <v>220002</v>
          </cell>
        </row>
        <row r="8012">
          <cell r="K8012" t="str">
            <v>213002</v>
          </cell>
          <cell r="M8012">
            <v>14</v>
          </cell>
          <cell r="R8012">
            <v>45842</v>
          </cell>
          <cell r="S8012">
            <v>213002</v>
          </cell>
        </row>
        <row r="8013">
          <cell r="K8013" t="str">
            <v>241001</v>
          </cell>
          <cell r="M8013">
            <v>3</v>
          </cell>
          <cell r="R8013">
            <v>45845</v>
          </cell>
          <cell r="S8013">
            <v>241001</v>
          </cell>
        </row>
        <row r="8014">
          <cell r="K8014" t="str">
            <v>201011</v>
          </cell>
          <cell r="M8014">
            <v>2</v>
          </cell>
          <cell r="R8014">
            <v>45845</v>
          </cell>
          <cell r="S8014">
            <v>201011</v>
          </cell>
        </row>
        <row r="8015">
          <cell r="K8015" t="str">
            <v>213003</v>
          </cell>
          <cell r="M8015">
            <v>3</v>
          </cell>
          <cell r="R8015">
            <v>45841</v>
          </cell>
          <cell r="S8015">
            <v>213003</v>
          </cell>
        </row>
        <row r="8016">
          <cell r="K8016" t="str">
            <v>241001</v>
          </cell>
          <cell r="M8016">
            <v>8</v>
          </cell>
          <cell r="R8016">
            <v>45845</v>
          </cell>
          <cell r="S8016">
            <v>241001</v>
          </cell>
        </row>
        <row r="8017">
          <cell r="K8017" t="str">
            <v>223002</v>
          </cell>
          <cell r="M8017">
            <v>2</v>
          </cell>
          <cell r="R8017">
            <v>45845</v>
          </cell>
          <cell r="S8017">
            <v>223002</v>
          </cell>
        </row>
        <row r="8018">
          <cell r="K8018" t="str">
            <v>209001</v>
          </cell>
          <cell r="M8018">
            <v>1</v>
          </cell>
          <cell r="R8018">
            <v>45845</v>
          </cell>
          <cell r="S8018">
            <v>209001</v>
          </cell>
        </row>
        <row r="8019">
          <cell r="K8019" t="str">
            <v>222001</v>
          </cell>
          <cell r="M8019">
            <v>1</v>
          </cell>
          <cell r="R8019">
            <v>45845</v>
          </cell>
          <cell r="S8019">
            <v>222001</v>
          </cell>
        </row>
        <row r="8020">
          <cell r="K8020" t="str">
            <v>217019</v>
          </cell>
          <cell r="M8020">
            <v>32</v>
          </cell>
          <cell r="R8020">
            <v>45844</v>
          </cell>
          <cell r="S8020">
            <v>217019</v>
          </cell>
        </row>
        <row r="8021">
          <cell r="K8021" t="str">
            <v>228001</v>
          </cell>
          <cell r="M8021">
            <v>15</v>
          </cell>
          <cell r="R8021">
            <v>45844</v>
          </cell>
          <cell r="S8021">
            <v>228001</v>
          </cell>
        </row>
        <row r="8022">
          <cell r="K8022" t="str">
            <v>217019</v>
          </cell>
          <cell r="M8022">
            <v>1</v>
          </cell>
          <cell r="R8022">
            <v>45844</v>
          </cell>
          <cell r="S8022">
            <v>217019</v>
          </cell>
        </row>
        <row r="8023">
          <cell r="K8023" t="str">
            <v>201021</v>
          </cell>
          <cell r="M8023">
            <v>4</v>
          </cell>
          <cell r="R8023">
            <v>45845</v>
          </cell>
          <cell r="S8023">
            <v>201021</v>
          </cell>
        </row>
        <row r="8024">
          <cell r="K8024" t="str">
            <v>201011</v>
          </cell>
          <cell r="M8024">
            <v>1</v>
          </cell>
          <cell r="R8024">
            <v>45845</v>
          </cell>
          <cell r="S8024">
            <v>201011</v>
          </cell>
        </row>
        <row r="8025">
          <cell r="K8025" t="str">
            <v>223001</v>
          </cell>
          <cell r="M8025">
            <v>3</v>
          </cell>
          <cell r="R8025">
            <v>45845</v>
          </cell>
          <cell r="S8025">
            <v>223001</v>
          </cell>
        </row>
        <row r="8026">
          <cell r="K8026" t="str">
            <v>201011</v>
          </cell>
          <cell r="M8026">
            <v>6</v>
          </cell>
          <cell r="R8026">
            <v>45845</v>
          </cell>
          <cell r="S8026">
            <v>201011</v>
          </cell>
        </row>
        <row r="8027">
          <cell r="K8027" t="str">
            <v>217011</v>
          </cell>
          <cell r="M8027">
            <v>1</v>
          </cell>
          <cell r="R8027">
            <v>45844</v>
          </cell>
          <cell r="S8027">
            <v>217011</v>
          </cell>
        </row>
        <row r="8028">
          <cell r="K8028" t="str">
            <v>241001</v>
          </cell>
          <cell r="M8028">
            <v>1</v>
          </cell>
          <cell r="R8028">
            <v>45844</v>
          </cell>
          <cell r="S8028">
            <v>241001</v>
          </cell>
        </row>
        <row r="8029">
          <cell r="K8029" t="str">
            <v>203003</v>
          </cell>
          <cell r="M8029">
            <v>2</v>
          </cell>
          <cell r="R8029">
            <v>45844</v>
          </cell>
          <cell r="S8029">
            <v>203003</v>
          </cell>
        </row>
        <row r="8030">
          <cell r="K8030" t="str">
            <v>223017</v>
          </cell>
          <cell r="M8030">
            <v>10</v>
          </cell>
          <cell r="R8030">
            <v>45844</v>
          </cell>
          <cell r="S8030">
            <v>223017</v>
          </cell>
        </row>
        <row r="8031">
          <cell r="K8031" t="str">
            <v>223001</v>
          </cell>
          <cell r="M8031">
            <v>1</v>
          </cell>
          <cell r="R8031">
            <v>45844</v>
          </cell>
          <cell r="S8031">
            <v>223001</v>
          </cell>
        </row>
        <row r="8032">
          <cell r="K8032" t="str">
            <v>229001</v>
          </cell>
          <cell r="M8032">
            <v>15</v>
          </cell>
          <cell r="R8032">
            <v>45845</v>
          </cell>
          <cell r="S8032">
            <v>229001</v>
          </cell>
        </row>
        <row r="8033">
          <cell r="K8033" t="str">
            <v>217011</v>
          </cell>
          <cell r="M8033">
            <v>2</v>
          </cell>
          <cell r="R8033">
            <v>45845</v>
          </cell>
          <cell r="S8033">
            <v>217011</v>
          </cell>
        </row>
        <row r="8034">
          <cell r="K8034" t="str">
            <v>201011</v>
          </cell>
          <cell r="M8034">
            <v>1</v>
          </cell>
          <cell r="R8034">
            <v>45845</v>
          </cell>
          <cell r="S8034">
            <v>201011</v>
          </cell>
        </row>
        <row r="8035">
          <cell r="K8035" t="str">
            <v>201021</v>
          </cell>
          <cell r="M8035">
            <v>1</v>
          </cell>
          <cell r="R8035">
            <v>45845</v>
          </cell>
          <cell r="S8035">
            <v>201021</v>
          </cell>
        </row>
        <row r="8036">
          <cell r="K8036" t="str">
            <v>210013</v>
          </cell>
          <cell r="M8036">
            <v>1</v>
          </cell>
          <cell r="R8036">
            <v>45845</v>
          </cell>
          <cell r="S8036">
            <v>210013</v>
          </cell>
        </row>
        <row r="8037">
          <cell r="K8037" t="str">
            <v>229004</v>
          </cell>
          <cell r="M8037">
            <v>3</v>
          </cell>
          <cell r="R8037">
            <v>45845</v>
          </cell>
          <cell r="S8037">
            <v>229004</v>
          </cell>
        </row>
        <row r="8038">
          <cell r="K8038" t="str">
            <v>231010</v>
          </cell>
          <cell r="M8038">
            <v>1</v>
          </cell>
          <cell r="R8038">
            <v>45845</v>
          </cell>
          <cell r="S8038">
            <v>231010</v>
          </cell>
        </row>
        <row r="8039">
          <cell r="K8039" t="str">
            <v>227012</v>
          </cell>
          <cell r="M8039">
            <v>1</v>
          </cell>
          <cell r="R8039">
            <v>45845</v>
          </cell>
          <cell r="S8039">
            <v>227012</v>
          </cell>
        </row>
        <row r="8040">
          <cell r="K8040" t="str">
            <v>223002</v>
          </cell>
          <cell r="M8040">
            <v>4</v>
          </cell>
          <cell r="R8040">
            <v>45845</v>
          </cell>
          <cell r="S8040">
            <v>223002</v>
          </cell>
        </row>
        <row r="8041">
          <cell r="K8041" t="str">
            <v>223001</v>
          </cell>
          <cell r="M8041">
            <v>4</v>
          </cell>
          <cell r="R8041">
            <v>45845</v>
          </cell>
          <cell r="S8041">
            <v>223001</v>
          </cell>
        </row>
        <row r="8042">
          <cell r="K8042" t="str">
            <v>201011</v>
          </cell>
          <cell r="M8042">
            <v>36</v>
          </cell>
          <cell r="R8042">
            <v>45845</v>
          </cell>
          <cell r="S8042">
            <v>201011</v>
          </cell>
        </row>
        <row r="8043">
          <cell r="K8043" t="str">
            <v>201011</v>
          </cell>
          <cell r="M8043">
            <v>11</v>
          </cell>
          <cell r="R8043">
            <v>45845</v>
          </cell>
          <cell r="S8043">
            <v>201011</v>
          </cell>
        </row>
        <row r="8044">
          <cell r="K8044" t="str">
            <v>227012</v>
          </cell>
          <cell r="M8044">
            <v>1</v>
          </cell>
          <cell r="R8044">
            <v>45845</v>
          </cell>
          <cell r="S8044">
            <v>227012</v>
          </cell>
        </row>
        <row r="8045">
          <cell r="K8045" t="str">
            <v>210013</v>
          </cell>
          <cell r="M8045">
            <v>2</v>
          </cell>
          <cell r="R8045">
            <v>45845</v>
          </cell>
          <cell r="S8045">
            <v>210013</v>
          </cell>
        </row>
        <row r="8046">
          <cell r="K8046" t="str">
            <v>234001</v>
          </cell>
          <cell r="M8046">
            <v>1</v>
          </cell>
          <cell r="R8046">
            <v>45845</v>
          </cell>
          <cell r="S8046">
            <v>234001</v>
          </cell>
        </row>
        <row r="8047">
          <cell r="K8047" t="str">
            <v>228001</v>
          </cell>
          <cell r="M8047">
            <v>4</v>
          </cell>
          <cell r="R8047">
            <v>45845</v>
          </cell>
          <cell r="S8047">
            <v>228001</v>
          </cell>
        </row>
        <row r="8048">
          <cell r="K8048" t="str">
            <v>213005</v>
          </cell>
          <cell r="M8048">
            <v>1</v>
          </cell>
          <cell r="R8048">
            <v>45845</v>
          </cell>
          <cell r="S8048">
            <v>213005</v>
          </cell>
        </row>
        <row r="8049">
          <cell r="K8049" t="str">
            <v>241001</v>
          </cell>
          <cell r="M8049">
            <v>10</v>
          </cell>
          <cell r="R8049">
            <v>45845</v>
          </cell>
          <cell r="S8049">
            <v>241001</v>
          </cell>
        </row>
        <row r="8050">
          <cell r="K8050" t="str">
            <v>217022</v>
          </cell>
          <cell r="M8050">
            <v>8</v>
          </cell>
          <cell r="R8050">
            <v>45845</v>
          </cell>
          <cell r="S8050">
            <v>217022</v>
          </cell>
        </row>
        <row r="8051">
          <cell r="K8051" t="str">
            <v>213002</v>
          </cell>
          <cell r="M8051">
            <v>8</v>
          </cell>
          <cell r="R8051">
            <v>45845</v>
          </cell>
          <cell r="S8051">
            <v>213002</v>
          </cell>
        </row>
        <row r="8052">
          <cell r="K8052" t="str">
            <v>201011</v>
          </cell>
          <cell r="M8052">
            <v>2</v>
          </cell>
          <cell r="R8052">
            <v>45845</v>
          </cell>
          <cell r="S8052">
            <v>201011</v>
          </cell>
        </row>
        <row r="8053">
          <cell r="K8053" t="str">
            <v>210014</v>
          </cell>
          <cell r="M8053">
            <v>1</v>
          </cell>
          <cell r="R8053">
            <v>45845</v>
          </cell>
          <cell r="S8053">
            <v>210014</v>
          </cell>
        </row>
        <row r="8054">
          <cell r="K8054" t="str">
            <v>231004</v>
          </cell>
          <cell r="M8054">
            <v>1</v>
          </cell>
          <cell r="R8054">
            <v>45845</v>
          </cell>
          <cell r="S8054">
            <v>231004</v>
          </cell>
        </row>
        <row r="8055">
          <cell r="K8055" t="str">
            <v>207017</v>
          </cell>
          <cell r="M8055">
            <v>1</v>
          </cell>
          <cell r="R8055">
            <v>45845</v>
          </cell>
          <cell r="S8055">
            <v>207017</v>
          </cell>
        </row>
        <row r="8056">
          <cell r="K8056" t="str">
            <v>203003</v>
          </cell>
          <cell r="M8056">
            <v>1</v>
          </cell>
          <cell r="R8056">
            <v>45845</v>
          </cell>
          <cell r="S8056">
            <v>203003</v>
          </cell>
        </row>
        <row r="8057">
          <cell r="K8057" t="str">
            <v>231012</v>
          </cell>
          <cell r="M8057">
            <v>1</v>
          </cell>
          <cell r="R8057">
            <v>45845</v>
          </cell>
          <cell r="S8057">
            <v>231012</v>
          </cell>
        </row>
        <row r="8058">
          <cell r="K8058" t="str">
            <v>201011</v>
          </cell>
          <cell r="M8058">
            <v>1</v>
          </cell>
          <cell r="R8058">
            <v>45845</v>
          </cell>
          <cell r="S8058">
            <v>201011</v>
          </cell>
        </row>
        <row r="8059">
          <cell r="K8059" t="str">
            <v>228001</v>
          </cell>
          <cell r="M8059">
            <v>2</v>
          </cell>
          <cell r="R8059">
            <v>45845</v>
          </cell>
          <cell r="S8059">
            <v>228001</v>
          </cell>
        </row>
        <row r="8060">
          <cell r="K8060" t="str">
            <v>228001</v>
          </cell>
          <cell r="M8060">
            <v>2</v>
          </cell>
          <cell r="R8060">
            <v>45845</v>
          </cell>
          <cell r="S8060">
            <v>228001</v>
          </cell>
        </row>
        <row r="8061">
          <cell r="K8061" t="str">
            <v>201003</v>
          </cell>
          <cell r="M8061">
            <v>1</v>
          </cell>
          <cell r="R8061">
            <v>45845</v>
          </cell>
          <cell r="S8061">
            <v>201003</v>
          </cell>
        </row>
        <row r="8062">
          <cell r="K8062" t="str">
            <v>231012</v>
          </cell>
          <cell r="M8062">
            <v>1</v>
          </cell>
          <cell r="R8062">
            <v>45845</v>
          </cell>
          <cell r="S8062">
            <v>231012</v>
          </cell>
        </row>
        <row r="8063">
          <cell r="K8063" t="str">
            <v>201003</v>
          </cell>
          <cell r="M8063">
            <v>1</v>
          </cell>
          <cell r="R8063">
            <v>45845</v>
          </cell>
          <cell r="S8063">
            <v>201003</v>
          </cell>
        </row>
        <row r="8064">
          <cell r="K8064" t="str">
            <v>228001</v>
          </cell>
          <cell r="M8064">
            <v>12</v>
          </cell>
          <cell r="R8064">
            <v>45845</v>
          </cell>
          <cell r="S8064">
            <v>228001</v>
          </cell>
        </row>
        <row r="8065">
          <cell r="K8065" t="str">
            <v>213002</v>
          </cell>
          <cell r="M8065">
            <v>1</v>
          </cell>
          <cell r="R8065">
            <v>45845</v>
          </cell>
          <cell r="S8065">
            <v>213002</v>
          </cell>
        </row>
        <row r="8066">
          <cell r="K8066" t="str">
            <v>201002</v>
          </cell>
          <cell r="M8066">
            <v>1</v>
          </cell>
          <cell r="R8066">
            <v>45845</v>
          </cell>
          <cell r="S8066">
            <v>201002</v>
          </cell>
        </row>
        <row r="8067">
          <cell r="K8067" t="str">
            <v>229001</v>
          </cell>
          <cell r="M8067">
            <v>2</v>
          </cell>
          <cell r="R8067">
            <v>45845</v>
          </cell>
          <cell r="S8067">
            <v>229001</v>
          </cell>
        </row>
        <row r="8068">
          <cell r="K8068" t="str">
            <v>201011</v>
          </cell>
          <cell r="M8068">
            <v>1</v>
          </cell>
          <cell r="R8068">
            <v>45845</v>
          </cell>
          <cell r="S8068">
            <v>201011</v>
          </cell>
        </row>
        <row r="8069">
          <cell r="K8069" t="str">
            <v>223001</v>
          </cell>
          <cell r="M8069">
            <v>2</v>
          </cell>
          <cell r="R8069">
            <v>45845</v>
          </cell>
          <cell r="S8069">
            <v>223001</v>
          </cell>
        </row>
        <row r="8070">
          <cell r="K8070" t="str">
            <v>209004</v>
          </cell>
          <cell r="M8070">
            <v>1</v>
          </cell>
          <cell r="R8070">
            <v>45845</v>
          </cell>
          <cell r="S8070">
            <v>209004</v>
          </cell>
        </row>
        <row r="8071">
          <cell r="K8071" t="str">
            <v>223002</v>
          </cell>
          <cell r="M8071">
            <v>1</v>
          </cell>
          <cell r="R8071">
            <v>45845</v>
          </cell>
          <cell r="S8071">
            <v>223002</v>
          </cell>
        </row>
        <row r="8072">
          <cell r="K8072" t="str">
            <v>227002</v>
          </cell>
          <cell r="M8072">
            <v>1</v>
          </cell>
          <cell r="R8072">
            <v>45845</v>
          </cell>
          <cell r="S8072">
            <v>227002</v>
          </cell>
        </row>
        <row r="8073">
          <cell r="K8073" t="str">
            <v>231012</v>
          </cell>
          <cell r="M8073">
            <v>1</v>
          </cell>
          <cell r="R8073">
            <v>45845</v>
          </cell>
          <cell r="S8073">
            <v>231012</v>
          </cell>
        </row>
        <row r="8074">
          <cell r="K8074" t="str">
            <v>213002</v>
          </cell>
          <cell r="M8074">
            <v>4</v>
          </cell>
          <cell r="R8074">
            <v>45845</v>
          </cell>
          <cell r="S8074">
            <v>213002</v>
          </cell>
        </row>
        <row r="8075">
          <cell r="K8075" t="str">
            <v>223002</v>
          </cell>
          <cell r="M8075">
            <v>2</v>
          </cell>
          <cell r="R8075">
            <v>45845</v>
          </cell>
          <cell r="S8075">
            <v>223002</v>
          </cell>
        </row>
        <row r="8076">
          <cell r="K8076" t="str">
            <v>226001</v>
          </cell>
          <cell r="M8076">
            <v>1</v>
          </cell>
          <cell r="R8076">
            <v>45845</v>
          </cell>
          <cell r="S8076">
            <v>226001</v>
          </cell>
        </row>
        <row r="8077">
          <cell r="K8077" t="str">
            <v>223001</v>
          </cell>
          <cell r="M8077">
            <v>8</v>
          </cell>
          <cell r="R8077">
            <v>45846</v>
          </cell>
          <cell r="S8077">
            <v>223001</v>
          </cell>
        </row>
        <row r="8078">
          <cell r="K8078" t="str">
            <v>213002</v>
          </cell>
          <cell r="M8078">
            <v>3</v>
          </cell>
          <cell r="R8078">
            <v>45846</v>
          </cell>
          <cell r="S8078">
            <v>213002</v>
          </cell>
        </row>
        <row r="8079">
          <cell r="K8079" t="str">
            <v>213002</v>
          </cell>
          <cell r="M8079">
            <v>2</v>
          </cell>
          <cell r="R8079">
            <v>45846</v>
          </cell>
          <cell r="S8079">
            <v>213002</v>
          </cell>
        </row>
        <row r="8080">
          <cell r="K8080" t="str">
            <v>201011</v>
          </cell>
          <cell r="M8080">
            <v>10</v>
          </cell>
          <cell r="R8080">
            <v>45846</v>
          </cell>
          <cell r="S8080">
            <v>201011</v>
          </cell>
        </row>
        <row r="8081">
          <cell r="K8081" t="str">
            <v>201004</v>
          </cell>
          <cell r="M8081">
            <v>2</v>
          </cell>
          <cell r="R8081">
            <v>45845</v>
          </cell>
          <cell r="S8081">
            <v>201004</v>
          </cell>
        </row>
        <row r="8082">
          <cell r="K8082" t="str">
            <v>210014</v>
          </cell>
          <cell r="M8082">
            <v>2</v>
          </cell>
          <cell r="R8082">
            <v>45845</v>
          </cell>
          <cell r="S8082">
            <v>210014</v>
          </cell>
        </row>
        <row r="8083">
          <cell r="K8083" t="str">
            <v>223001</v>
          </cell>
          <cell r="M8083">
            <v>12</v>
          </cell>
          <cell r="R8083">
            <v>45845</v>
          </cell>
          <cell r="S8083">
            <v>223001</v>
          </cell>
        </row>
        <row r="8084">
          <cell r="K8084" t="str">
            <v>227012</v>
          </cell>
          <cell r="M8084">
            <v>3</v>
          </cell>
          <cell r="R8084">
            <v>45845</v>
          </cell>
          <cell r="S8084">
            <v>227012</v>
          </cell>
        </row>
        <row r="8085">
          <cell r="K8085" t="str">
            <v>231012</v>
          </cell>
          <cell r="M8085">
            <v>1</v>
          </cell>
          <cell r="R8085">
            <v>45845</v>
          </cell>
          <cell r="S8085">
            <v>231012</v>
          </cell>
        </row>
        <row r="8086">
          <cell r="K8086" t="str">
            <v>241001</v>
          </cell>
          <cell r="M8086">
            <v>1</v>
          </cell>
          <cell r="R8086">
            <v>45845</v>
          </cell>
          <cell r="S8086">
            <v>241001</v>
          </cell>
        </row>
        <row r="8087">
          <cell r="K8087" t="str">
            <v>201002</v>
          </cell>
          <cell r="M8087">
            <v>1</v>
          </cell>
          <cell r="R8087">
            <v>45845</v>
          </cell>
          <cell r="S8087">
            <v>201002</v>
          </cell>
        </row>
        <row r="8088">
          <cell r="K8088" t="str">
            <v>210010</v>
          </cell>
          <cell r="M8088">
            <v>2</v>
          </cell>
          <cell r="R8088">
            <v>45845</v>
          </cell>
          <cell r="S8088">
            <v>210010</v>
          </cell>
        </row>
        <row r="8089">
          <cell r="K8089" t="str">
            <v>231012</v>
          </cell>
          <cell r="M8089">
            <v>5</v>
          </cell>
          <cell r="R8089">
            <v>45845</v>
          </cell>
          <cell r="S8089">
            <v>231012</v>
          </cell>
        </row>
        <row r="8090">
          <cell r="K8090" t="str">
            <v>222001</v>
          </cell>
          <cell r="M8090">
            <v>4</v>
          </cell>
          <cell r="R8090">
            <v>45845</v>
          </cell>
          <cell r="S8090">
            <v>222001</v>
          </cell>
        </row>
        <row r="8091">
          <cell r="K8091" t="str">
            <v>261004</v>
          </cell>
          <cell r="M8091">
            <v>1</v>
          </cell>
          <cell r="R8091">
            <v>45845</v>
          </cell>
          <cell r="S8091">
            <v>261004</v>
          </cell>
        </row>
        <row r="8092">
          <cell r="K8092" t="str">
            <v>241001</v>
          </cell>
          <cell r="M8092">
            <v>4</v>
          </cell>
          <cell r="R8092">
            <v>45845</v>
          </cell>
          <cell r="S8092">
            <v>241001</v>
          </cell>
        </row>
        <row r="8093">
          <cell r="K8093" t="str">
            <v>231004</v>
          </cell>
          <cell r="M8093">
            <v>1</v>
          </cell>
          <cell r="R8093">
            <v>45845</v>
          </cell>
          <cell r="S8093">
            <v>231004</v>
          </cell>
        </row>
        <row r="8094">
          <cell r="K8094" t="str">
            <v>201002</v>
          </cell>
          <cell r="M8094">
            <v>3</v>
          </cell>
          <cell r="R8094">
            <v>45845</v>
          </cell>
          <cell r="S8094">
            <v>201002</v>
          </cell>
        </row>
        <row r="8095">
          <cell r="K8095" t="str">
            <v>228001</v>
          </cell>
          <cell r="M8095">
            <v>2</v>
          </cell>
          <cell r="R8095">
            <v>45845</v>
          </cell>
          <cell r="S8095">
            <v>228001</v>
          </cell>
        </row>
        <row r="8096">
          <cell r="K8096" t="str">
            <v>209001</v>
          </cell>
          <cell r="M8096">
            <v>2</v>
          </cell>
          <cell r="R8096">
            <v>45845</v>
          </cell>
          <cell r="S8096">
            <v>209001</v>
          </cell>
        </row>
        <row r="8097">
          <cell r="K8097" t="str">
            <v>241001</v>
          </cell>
          <cell r="M8097">
            <v>4</v>
          </cell>
          <cell r="R8097">
            <v>45845</v>
          </cell>
          <cell r="S8097">
            <v>241001</v>
          </cell>
        </row>
        <row r="8098">
          <cell r="K8098" t="str">
            <v>205004</v>
          </cell>
          <cell r="M8098">
            <v>1</v>
          </cell>
          <cell r="R8098">
            <v>45845</v>
          </cell>
          <cell r="S8098">
            <v>205004</v>
          </cell>
        </row>
        <row r="8099">
          <cell r="K8099" t="str">
            <v>213003</v>
          </cell>
          <cell r="M8099">
            <v>2</v>
          </cell>
          <cell r="R8099">
            <v>45845</v>
          </cell>
          <cell r="S8099">
            <v>213003</v>
          </cell>
        </row>
        <row r="8100">
          <cell r="K8100" t="str">
            <v>223002</v>
          </cell>
          <cell r="M8100">
            <v>5</v>
          </cell>
          <cell r="R8100">
            <v>45845</v>
          </cell>
          <cell r="S8100">
            <v>223002</v>
          </cell>
        </row>
        <row r="8101">
          <cell r="K8101" t="str">
            <v>222001</v>
          </cell>
          <cell r="M8101">
            <v>1</v>
          </cell>
          <cell r="R8101">
            <v>45845</v>
          </cell>
          <cell r="S8101">
            <v>222001</v>
          </cell>
        </row>
        <row r="8102">
          <cell r="K8102" t="str">
            <v>201004</v>
          </cell>
          <cell r="M8102">
            <v>2</v>
          </cell>
          <cell r="R8102">
            <v>45845</v>
          </cell>
          <cell r="S8102">
            <v>201004</v>
          </cell>
        </row>
        <row r="8103">
          <cell r="K8103" t="str">
            <v>203001</v>
          </cell>
          <cell r="M8103">
            <v>5</v>
          </cell>
          <cell r="R8103">
            <v>45846</v>
          </cell>
          <cell r="S8103">
            <v>203001</v>
          </cell>
        </row>
        <row r="8104">
          <cell r="K8104" t="str">
            <v>201011</v>
          </cell>
          <cell r="M8104">
            <v>2</v>
          </cell>
          <cell r="R8104">
            <v>45846</v>
          </cell>
          <cell r="S8104">
            <v>201011</v>
          </cell>
        </row>
        <row r="8105">
          <cell r="K8105" t="str">
            <v>241001</v>
          </cell>
          <cell r="M8105">
            <v>2</v>
          </cell>
          <cell r="R8105">
            <v>45846</v>
          </cell>
          <cell r="S8105">
            <v>241001</v>
          </cell>
        </row>
        <row r="8106">
          <cell r="K8106" t="str">
            <v>201011</v>
          </cell>
          <cell r="M8106">
            <v>4</v>
          </cell>
          <cell r="R8106">
            <v>45845</v>
          </cell>
          <cell r="S8106">
            <v>201011</v>
          </cell>
        </row>
        <row r="8107">
          <cell r="K8107" t="str">
            <v>241001</v>
          </cell>
          <cell r="M8107">
            <v>3</v>
          </cell>
          <cell r="R8107">
            <v>45845</v>
          </cell>
          <cell r="S8107">
            <v>241001</v>
          </cell>
        </row>
        <row r="8108">
          <cell r="K8108" t="str">
            <v>203003</v>
          </cell>
          <cell r="M8108">
            <v>1</v>
          </cell>
          <cell r="R8108">
            <v>45845</v>
          </cell>
          <cell r="S8108">
            <v>203003</v>
          </cell>
        </row>
        <row r="8109">
          <cell r="K8109" t="str">
            <v>213002</v>
          </cell>
          <cell r="M8109">
            <v>1</v>
          </cell>
          <cell r="R8109">
            <v>45845</v>
          </cell>
          <cell r="S8109">
            <v>213002</v>
          </cell>
        </row>
        <row r="8110">
          <cell r="K8110" t="str">
            <v>201011</v>
          </cell>
          <cell r="M8110">
            <v>2</v>
          </cell>
          <cell r="R8110">
            <v>45845</v>
          </cell>
          <cell r="S8110">
            <v>201011</v>
          </cell>
        </row>
        <row r="8111">
          <cell r="K8111" t="str">
            <v>223002</v>
          </cell>
          <cell r="M8111">
            <v>2</v>
          </cell>
          <cell r="R8111">
            <v>45845</v>
          </cell>
          <cell r="S8111">
            <v>223002</v>
          </cell>
        </row>
        <row r="8112">
          <cell r="K8112" t="str">
            <v>231012</v>
          </cell>
          <cell r="M8112">
            <v>1</v>
          </cell>
          <cell r="R8112">
            <v>45845</v>
          </cell>
          <cell r="S8112">
            <v>231012</v>
          </cell>
        </row>
        <row r="8113">
          <cell r="K8113" t="str">
            <v>217021</v>
          </cell>
          <cell r="M8113">
            <v>1</v>
          </cell>
          <cell r="R8113">
            <v>45846</v>
          </cell>
          <cell r="S8113">
            <v>217021</v>
          </cell>
        </row>
        <row r="8114">
          <cell r="K8114" t="str">
            <v>203004</v>
          </cell>
          <cell r="M8114">
            <v>1</v>
          </cell>
          <cell r="R8114">
            <v>45846</v>
          </cell>
          <cell r="S8114">
            <v>203004</v>
          </cell>
        </row>
        <row r="8115">
          <cell r="K8115" t="str">
            <v>208001</v>
          </cell>
          <cell r="M8115">
            <v>1</v>
          </cell>
          <cell r="R8115">
            <v>45846</v>
          </cell>
          <cell r="S8115">
            <v>208001</v>
          </cell>
        </row>
        <row r="8116">
          <cell r="K8116" t="str">
            <v>227014</v>
          </cell>
          <cell r="M8116">
            <v>1</v>
          </cell>
          <cell r="R8116">
            <v>45845</v>
          </cell>
          <cell r="S8116">
            <v>227014</v>
          </cell>
        </row>
        <row r="8117">
          <cell r="K8117" t="str">
            <v>227012</v>
          </cell>
          <cell r="M8117">
            <v>5</v>
          </cell>
          <cell r="R8117">
            <v>45845</v>
          </cell>
          <cell r="S8117">
            <v>227012</v>
          </cell>
        </row>
        <row r="8118">
          <cell r="K8118" t="str">
            <v>227012</v>
          </cell>
          <cell r="M8118">
            <v>2</v>
          </cell>
          <cell r="R8118">
            <v>45845</v>
          </cell>
          <cell r="S8118">
            <v>227012</v>
          </cell>
        </row>
        <row r="8119">
          <cell r="K8119" t="str">
            <v>201011</v>
          </cell>
          <cell r="M8119">
            <v>10</v>
          </cell>
          <cell r="R8119">
            <v>45845</v>
          </cell>
          <cell r="S8119">
            <v>201011</v>
          </cell>
        </row>
        <row r="8120">
          <cell r="K8120" t="str">
            <v>223001</v>
          </cell>
          <cell r="M8120">
            <v>4</v>
          </cell>
          <cell r="R8120">
            <v>45845</v>
          </cell>
          <cell r="S8120">
            <v>223001</v>
          </cell>
        </row>
        <row r="8121">
          <cell r="K8121" t="str">
            <v>208001</v>
          </cell>
          <cell r="M8121">
            <v>1</v>
          </cell>
          <cell r="R8121">
            <v>45846</v>
          </cell>
          <cell r="S8121">
            <v>208001</v>
          </cell>
        </row>
        <row r="8122">
          <cell r="K8122" t="str">
            <v>226001</v>
          </cell>
          <cell r="M8122">
            <v>1</v>
          </cell>
          <cell r="R8122">
            <v>45846</v>
          </cell>
          <cell r="S8122">
            <v>226001</v>
          </cell>
        </row>
        <row r="8123">
          <cell r="K8123" t="str">
            <v>226001</v>
          </cell>
          <cell r="M8123">
            <v>2</v>
          </cell>
          <cell r="R8123">
            <v>45846</v>
          </cell>
          <cell r="S8123">
            <v>226001</v>
          </cell>
        </row>
        <row r="8124">
          <cell r="K8124" t="str">
            <v>201023</v>
          </cell>
          <cell r="M8124">
            <v>26</v>
          </cell>
          <cell r="R8124">
            <v>45846</v>
          </cell>
          <cell r="S8124">
            <v>201023</v>
          </cell>
        </row>
        <row r="8125">
          <cell r="K8125" t="str">
            <v>209004</v>
          </cell>
          <cell r="M8125">
            <v>4</v>
          </cell>
          <cell r="R8125">
            <v>45846</v>
          </cell>
          <cell r="S8125">
            <v>209004</v>
          </cell>
        </row>
        <row r="8126">
          <cell r="K8126" t="str">
            <v>218001</v>
          </cell>
          <cell r="M8126">
            <v>1</v>
          </cell>
          <cell r="R8126">
            <v>45846</v>
          </cell>
          <cell r="S8126">
            <v>218001</v>
          </cell>
        </row>
        <row r="8127">
          <cell r="K8127" t="str">
            <v>227012</v>
          </cell>
          <cell r="M8127">
            <v>2</v>
          </cell>
          <cell r="R8127">
            <v>45845</v>
          </cell>
          <cell r="S8127">
            <v>227012</v>
          </cell>
        </row>
        <row r="8128">
          <cell r="K8128" t="str">
            <v>213002</v>
          </cell>
          <cell r="M8128">
            <v>1</v>
          </cell>
          <cell r="R8128">
            <v>45846</v>
          </cell>
          <cell r="S8128">
            <v>213002</v>
          </cell>
        </row>
        <row r="8129">
          <cell r="K8129" t="str">
            <v>213002</v>
          </cell>
          <cell r="M8129">
            <v>6</v>
          </cell>
          <cell r="R8129">
            <v>45846</v>
          </cell>
          <cell r="S8129">
            <v>213002</v>
          </cell>
        </row>
        <row r="8130">
          <cell r="K8130" t="str">
            <v>218001</v>
          </cell>
          <cell r="M8130">
            <v>1</v>
          </cell>
          <cell r="R8130">
            <v>45846</v>
          </cell>
          <cell r="S8130">
            <v>218001</v>
          </cell>
        </row>
        <row r="8131">
          <cell r="K8131" t="str">
            <v>218003</v>
          </cell>
          <cell r="M8131">
            <v>1</v>
          </cell>
          <cell r="R8131">
            <v>45846</v>
          </cell>
          <cell r="S8131">
            <v>218003</v>
          </cell>
        </row>
        <row r="8132">
          <cell r="K8132" t="str">
            <v>226001</v>
          </cell>
          <cell r="M8132">
            <v>1</v>
          </cell>
          <cell r="R8132">
            <v>45846</v>
          </cell>
          <cell r="S8132">
            <v>226001</v>
          </cell>
        </row>
        <row r="8133">
          <cell r="K8133" t="str">
            <v>201011</v>
          </cell>
          <cell r="M8133">
            <v>2</v>
          </cell>
          <cell r="R8133">
            <v>45846</v>
          </cell>
          <cell r="S8133">
            <v>201011</v>
          </cell>
        </row>
        <row r="8134">
          <cell r="K8134" t="str">
            <v>213002</v>
          </cell>
          <cell r="M8134">
            <v>5</v>
          </cell>
          <cell r="R8134">
            <v>45846</v>
          </cell>
          <cell r="S8134">
            <v>213002</v>
          </cell>
        </row>
        <row r="8135">
          <cell r="K8135" t="str">
            <v>223002</v>
          </cell>
          <cell r="M8135">
            <v>5</v>
          </cell>
          <cell r="R8135">
            <v>45846</v>
          </cell>
          <cell r="S8135">
            <v>223002</v>
          </cell>
        </row>
        <row r="8136">
          <cell r="K8136" t="str">
            <v>203001</v>
          </cell>
          <cell r="M8136">
            <v>1</v>
          </cell>
          <cell r="R8136">
            <v>45846</v>
          </cell>
          <cell r="S8136">
            <v>203001</v>
          </cell>
        </row>
        <row r="8137">
          <cell r="K8137" t="str">
            <v>212035</v>
          </cell>
          <cell r="M8137">
            <v>2</v>
          </cell>
          <cell r="R8137">
            <v>45846</v>
          </cell>
          <cell r="S8137">
            <v>212035</v>
          </cell>
        </row>
        <row r="8138">
          <cell r="K8138" t="str">
            <v>227012</v>
          </cell>
          <cell r="M8138">
            <v>1</v>
          </cell>
          <cell r="R8138">
            <v>45846</v>
          </cell>
          <cell r="S8138">
            <v>227012</v>
          </cell>
        </row>
        <row r="8139">
          <cell r="K8139" t="str">
            <v>223002</v>
          </cell>
          <cell r="M8139">
            <v>3</v>
          </cell>
          <cell r="R8139">
            <v>45846</v>
          </cell>
          <cell r="S8139">
            <v>223002</v>
          </cell>
        </row>
        <row r="8140">
          <cell r="K8140" t="str">
            <v>223001</v>
          </cell>
          <cell r="M8140">
            <v>2</v>
          </cell>
          <cell r="R8140">
            <v>45846</v>
          </cell>
          <cell r="S8140">
            <v>223001</v>
          </cell>
        </row>
        <row r="8141">
          <cell r="K8141" t="str">
            <v>201011</v>
          </cell>
          <cell r="M8141">
            <v>1</v>
          </cell>
          <cell r="R8141">
            <v>45846</v>
          </cell>
          <cell r="S8141">
            <v>201011</v>
          </cell>
        </row>
        <row r="8142">
          <cell r="K8142" t="str">
            <v>213005</v>
          </cell>
          <cell r="M8142">
            <v>1</v>
          </cell>
          <cell r="R8142">
            <v>45846</v>
          </cell>
          <cell r="S8142">
            <v>213005</v>
          </cell>
        </row>
        <row r="8143">
          <cell r="K8143" t="str">
            <v>210013</v>
          </cell>
          <cell r="M8143">
            <v>1</v>
          </cell>
          <cell r="R8143">
            <v>45846</v>
          </cell>
          <cell r="S8143">
            <v>210013</v>
          </cell>
        </row>
        <row r="8144">
          <cell r="K8144" t="str">
            <v>228001</v>
          </cell>
          <cell r="M8144">
            <v>1</v>
          </cell>
          <cell r="R8144">
            <v>45846</v>
          </cell>
          <cell r="S8144">
            <v>228001</v>
          </cell>
        </row>
        <row r="8145">
          <cell r="K8145" t="str">
            <v>220002</v>
          </cell>
          <cell r="M8145">
            <v>2</v>
          </cell>
          <cell r="R8145">
            <v>45846</v>
          </cell>
          <cell r="S8145">
            <v>220002</v>
          </cell>
        </row>
        <row r="8146">
          <cell r="K8146" t="str">
            <v>226001</v>
          </cell>
          <cell r="M8146">
            <v>3</v>
          </cell>
          <cell r="R8146">
            <v>45846</v>
          </cell>
          <cell r="S8146">
            <v>226001</v>
          </cell>
        </row>
        <row r="8147">
          <cell r="K8147" t="str">
            <v>226001</v>
          </cell>
          <cell r="M8147">
            <v>1</v>
          </cell>
          <cell r="R8147">
            <v>45846</v>
          </cell>
          <cell r="S8147">
            <v>226001</v>
          </cell>
        </row>
        <row r="8148">
          <cell r="K8148" t="str">
            <v>226001</v>
          </cell>
          <cell r="M8148">
            <v>1</v>
          </cell>
          <cell r="R8148">
            <v>45846</v>
          </cell>
          <cell r="S8148">
            <v>226001</v>
          </cell>
        </row>
        <row r="8149">
          <cell r="K8149" t="str">
            <v>226001</v>
          </cell>
          <cell r="M8149">
            <v>1</v>
          </cell>
          <cell r="R8149">
            <v>45846</v>
          </cell>
          <cell r="S8149">
            <v>226001</v>
          </cell>
        </row>
        <row r="8150">
          <cell r="K8150" t="str">
            <v>209016</v>
          </cell>
          <cell r="M8150">
            <v>1</v>
          </cell>
          <cell r="R8150">
            <v>45846</v>
          </cell>
          <cell r="S8150">
            <v>209016</v>
          </cell>
        </row>
        <row r="8151">
          <cell r="K8151" t="str">
            <v>231012</v>
          </cell>
          <cell r="M8151">
            <v>2</v>
          </cell>
          <cell r="R8151">
            <v>45846</v>
          </cell>
          <cell r="S8151">
            <v>231012</v>
          </cell>
        </row>
        <row r="8152">
          <cell r="K8152" t="str">
            <v>217022</v>
          </cell>
          <cell r="M8152">
            <v>1</v>
          </cell>
          <cell r="R8152">
            <v>45846</v>
          </cell>
          <cell r="S8152">
            <v>217022</v>
          </cell>
        </row>
        <row r="8153">
          <cell r="K8153" t="str">
            <v>227002</v>
          </cell>
          <cell r="M8153">
            <v>2</v>
          </cell>
          <cell r="R8153">
            <v>45846</v>
          </cell>
          <cell r="S8153">
            <v>227002</v>
          </cell>
        </row>
        <row r="8154">
          <cell r="K8154" t="str">
            <v>201011</v>
          </cell>
          <cell r="M8154">
            <v>36</v>
          </cell>
          <cell r="R8154">
            <v>45846</v>
          </cell>
          <cell r="S8154">
            <v>201011</v>
          </cell>
        </row>
        <row r="8155">
          <cell r="K8155" t="str">
            <v>201011</v>
          </cell>
          <cell r="M8155">
            <v>5</v>
          </cell>
          <cell r="R8155">
            <v>45846</v>
          </cell>
          <cell r="S8155">
            <v>201011</v>
          </cell>
        </row>
        <row r="8156">
          <cell r="K8156" t="str">
            <v>231012</v>
          </cell>
          <cell r="M8156">
            <v>1</v>
          </cell>
          <cell r="R8156">
            <v>45846</v>
          </cell>
          <cell r="S8156">
            <v>231012</v>
          </cell>
        </row>
        <row r="8157">
          <cell r="K8157" t="str">
            <v>209001</v>
          </cell>
          <cell r="M8157">
            <v>3</v>
          </cell>
          <cell r="R8157">
            <v>45846</v>
          </cell>
          <cell r="S8157">
            <v>209001</v>
          </cell>
        </row>
        <row r="8158">
          <cell r="K8158" t="str">
            <v>201011</v>
          </cell>
          <cell r="M8158">
            <v>12</v>
          </cell>
          <cell r="R8158">
            <v>45846</v>
          </cell>
          <cell r="S8158">
            <v>201011</v>
          </cell>
        </row>
        <row r="8159">
          <cell r="K8159" t="str">
            <v>231012</v>
          </cell>
          <cell r="M8159">
            <v>1</v>
          </cell>
          <cell r="R8159">
            <v>45846</v>
          </cell>
          <cell r="S8159">
            <v>231012</v>
          </cell>
        </row>
        <row r="8160">
          <cell r="K8160" t="str">
            <v>227001</v>
          </cell>
          <cell r="M8160">
            <v>2</v>
          </cell>
          <cell r="R8160">
            <v>45846</v>
          </cell>
          <cell r="S8160">
            <v>227001</v>
          </cell>
        </row>
        <row r="8161">
          <cell r="K8161" t="str">
            <v>223001</v>
          </cell>
          <cell r="M8161">
            <v>1</v>
          </cell>
          <cell r="R8161">
            <v>45846</v>
          </cell>
          <cell r="S8161">
            <v>223001</v>
          </cell>
        </row>
        <row r="8162">
          <cell r="K8162" t="str">
            <v>223002</v>
          </cell>
          <cell r="M8162">
            <v>1</v>
          </cell>
          <cell r="R8162">
            <v>45846</v>
          </cell>
          <cell r="S8162">
            <v>223002</v>
          </cell>
        </row>
        <row r="8163">
          <cell r="K8163" t="str">
            <v>201011</v>
          </cell>
          <cell r="M8163">
            <v>1</v>
          </cell>
          <cell r="R8163">
            <v>45846</v>
          </cell>
          <cell r="S8163">
            <v>201011</v>
          </cell>
        </row>
        <row r="8164">
          <cell r="K8164" t="str">
            <v>241001</v>
          </cell>
          <cell r="M8164">
            <v>1</v>
          </cell>
          <cell r="R8164">
            <v>45846</v>
          </cell>
          <cell r="S8164">
            <v>241001</v>
          </cell>
        </row>
        <row r="8165">
          <cell r="K8165" t="str">
            <v>240006</v>
          </cell>
          <cell r="M8165">
            <v>1</v>
          </cell>
          <cell r="R8165">
            <v>45846</v>
          </cell>
          <cell r="S8165">
            <v>240006</v>
          </cell>
        </row>
        <row r="8166">
          <cell r="K8166" t="str">
            <v>271002</v>
          </cell>
          <cell r="M8166">
            <v>1</v>
          </cell>
          <cell r="R8166">
            <v>45846</v>
          </cell>
          <cell r="S8166">
            <v>271002</v>
          </cell>
        </row>
        <row r="8167">
          <cell r="K8167" t="str">
            <v>201011</v>
          </cell>
          <cell r="M8167">
            <v>36</v>
          </cell>
          <cell r="R8167">
            <v>45846</v>
          </cell>
          <cell r="S8167">
            <v>201011</v>
          </cell>
        </row>
        <row r="8168">
          <cell r="K8168" t="str">
            <v>210013</v>
          </cell>
          <cell r="M8168">
            <v>12</v>
          </cell>
          <cell r="R8168">
            <v>45846</v>
          </cell>
          <cell r="S8168">
            <v>210013</v>
          </cell>
        </row>
        <row r="8169">
          <cell r="K8169" t="str">
            <v>210010</v>
          </cell>
          <cell r="M8169">
            <v>1</v>
          </cell>
          <cell r="R8169">
            <v>45846</v>
          </cell>
          <cell r="S8169">
            <v>210010</v>
          </cell>
        </row>
        <row r="8170">
          <cell r="K8170" t="str">
            <v>229001</v>
          </cell>
          <cell r="M8170">
            <v>1</v>
          </cell>
          <cell r="R8170">
            <v>45847</v>
          </cell>
          <cell r="S8170">
            <v>229001</v>
          </cell>
        </row>
        <row r="8171">
          <cell r="K8171" t="str">
            <v>228001</v>
          </cell>
          <cell r="M8171">
            <v>1</v>
          </cell>
          <cell r="R8171">
            <v>45847</v>
          </cell>
          <cell r="S8171">
            <v>228001</v>
          </cell>
        </row>
        <row r="8172">
          <cell r="K8172" t="str">
            <v>231012</v>
          </cell>
          <cell r="M8172">
            <v>1</v>
          </cell>
          <cell r="R8172">
            <v>45847</v>
          </cell>
          <cell r="S8172">
            <v>231012</v>
          </cell>
        </row>
        <row r="8173">
          <cell r="K8173" t="str">
            <v>210013</v>
          </cell>
          <cell r="M8173">
            <v>8</v>
          </cell>
          <cell r="R8173">
            <v>45847</v>
          </cell>
          <cell r="S8173">
            <v>210013</v>
          </cell>
        </row>
        <row r="8174">
          <cell r="K8174" t="str">
            <v>241001</v>
          </cell>
          <cell r="M8174">
            <v>10</v>
          </cell>
          <cell r="R8174">
            <v>45847</v>
          </cell>
          <cell r="S8174">
            <v>241001</v>
          </cell>
        </row>
        <row r="8175">
          <cell r="K8175" t="str">
            <v>234001</v>
          </cell>
          <cell r="M8175">
            <v>2</v>
          </cell>
          <cell r="R8175">
            <v>45847</v>
          </cell>
          <cell r="S8175">
            <v>234001</v>
          </cell>
        </row>
        <row r="8176">
          <cell r="K8176" t="str">
            <v>201003</v>
          </cell>
          <cell r="M8176">
            <v>2</v>
          </cell>
          <cell r="R8176">
            <v>45847</v>
          </cell>
          <cell r="S8176">
            <v>201003</v>
          </cell>
        </row>
        <row r="8177">
          <cell r="K8177" t="str">
            <v>231010</v>
          </cell>
          <cell r="M8177">
            <v>1</v>
          </cell>
          <cell r="R8177">
            <v>45847</v>
          </cell>
          <cell r="S8177">
            <v>231010</v>
          </cell>
        </row>
        <row r="8178">
          <cell r="K8178" t="str">
            <v>217018</v>
          </cell>
          <cell r="M8178">
            <v>1</v>
          </cell>
          <cell r="R8178">
            <v>45847</v>
          </cell>
          <cell r="S8178">
            <v>217018</v>
          </cell>
        </row>
        <row r="8179">
          <cell r="K8179" t="str">
            <v>228001</v>
          </cell>
          <cell r="M8179">
            <v>1</v>
          </cell>
          <cell r="R8179">
            <v>45847</v>
          </cell>
          <cell r="S8179">
            <v>228001</v>
          </cell>
        </row>
        <row r="8180">
          <cell r="K8180" t="str">
            <v>203003</v>
          </cell>
          <cell r="M8180">
            <v>6</v>
          </cell>
          <cell r="R8180">
            <v>45847</v>
          </cell>
          <cell r="S8180">
            <v>203003</v>
          </cell>
        </row>
        <row r="8181">
          <cell r="K8181" t="str">
            <v>209017</v>
          </cell>
          <cell r="M8181">
            <v>2</v>
          </cell>
          <cell r="R8181">
            <v>45847</v>
          </cell>
          <cell r="S8181">
            <v>209017</v>
          </cell>
        </row>
        <row r="8182">
          <cell r="K8182" t="str">
            <v>217022</v>
          </cell>
          <cell r="M8182">
            <v>1</v>
          </cell>
          <cell r="R8182">
            <v>45847</v>
          </cell>
          <cell r="S8182">
            <v>217022</v>
          </cell>
        </row>
        <row r="8183">
          <cell r="K8183" t="str">
            <v>210001</v>
          </cell>
          <cell r="M8183">
            <v>2</v>
          </cell>
          <cell r="R8183">
            <v>45847</v>
          </cell>
          <cell r="S8183">
            <v>210001</v>
          </cell>
        </row>
        <row r="8184">
          <cell r="K8184" t="str">
            <v>217021</v>
          </cell>
          <cell r="M8184">
            <v>1</v>
          </cell>
          <cell r="R8184">
            <v>45847</v>
          </cell>
          <cell r="S8184">
            <v>217021</v>
          </cell>
        </row>
        <row r="8185">
          <cell r="K8185" t="str">
            <v>203003</v>
          </cell>
          <cell r="M8185">
            <v>2</v>
          </cell>
          <cell r="R8185">
            <v>45847</v>
          </cell>
          <cell r="S8185">
            <v>203003</v>
          </cell>
        </row>
        <row r="8186">
          <cell r="K8186" t="str">
            <v>213002</v>
          </cell>
          <cell r="M8186">
            <v>3</v>
          </cell>
          <cell r="R8186">
            <v>45847</v>
          </cell>
          <cell r="S8186">
            <v>213002</v>
          </cell>
        </row>
        <row r="8187">
          <cell r="K8187" t="str">
            <v>240006</v>
          </cell>
          <cell r="M8187">
            <v>1</v>
          </cell>
          <cell r="R8187">
            <v>45847</v>
          </cell>
          <cell r="S8187">
            <v>240006</v>
          </cell>
        </row>
        <row r="8188">
          <cell r="K8188" t="str">
            <v>213002</v>
          </cell>
          <cell r="M8188">
            <v>10</v>
          </cell>
          <cell r="R8188">
            <v>45847</v>
          </cell>
          <cell r="S8188">
            <v>213002</v>
          </cell>
        </row>
        <row r="8189">
          <cell r="K8189" t="str">
            <v>213003</v>
          </cell>
          <cell r="M8189">
            <v>1</v>
          </cell>
          <cell r="R8189">
            <v>45847</v>
          </cell>
          <cell r="S8189">
            <v>213003</v>
          </cell>
        </row>
        <row r="8190">
          <cell r="K8190" t="str">
            <v>241001</v>
          </cell>
          <cell r="M8190">
            <v>20</v>
          </cell>
          <cell r="R8190">
            <v>45847</v>
          </cell>
          <cell r="S8190">
            <v>241001</v>
          </cell>
        </row>
        <row r="8191">
          <cell r="K8191" t="str">
            <v>213002</v>
          </cell>
          <cell r="M8191">
            <v>6</v>
          </cell>
          <cell r="R8191">
            <v>45848</v>
          </cell>
          <cell r="S8191">
            <v>213002</v>
          </cell>
        </row>
        <row r="8192">
          <cell r="K8192" t="str">
            <v>206005</v>
          </cell>
          <cell r="M8192">
            <v>2</v>
          </cell>
          <cell r="R8192">
            <v>45848</v>
          </cell>
          <cell r="S8192">
            <v>206005</v>
          </cell>
        </row>
        <row r="8193">
          <cell r="K8193" t="str">
            <v>206002</v>
          </cell>
          <cell r="M8193">
            <v>1</v>
          </cell>
          <cell r="R8193">
            <v>45848</v>
          </cell>
          <cell r="S8193">
            <v>206002</v>
          </cell>
        </row>
        <row r="8194">
          <cell r="K8194" t="str">
            <v>208001</v>
          </cell>
          <cell r="M8194">
            <v>1</v>
          </cell>
          <cell r="R8194">
            <v>45848</v>
          </cell>
          <cell r="S8194">
            <v>208001</v>
          </cell>
        </row>
        <row r="8195">
          <cell r="K8195" t="str">
            <v>276001</v>
          </cell>
          <cell r="M8195">
            <v>2</v>
          </cell>
          <cell r="R8195">
            <v>45847</v>
          </cell>
          <cell r="S8195">
            <v>276001</v>
          </cell>
        </row>
        <row r="8196">
          <cell r="K8196" t="str">
            <v>231012</v>
          </cell>
          <cell r="M8196">
            <v>2</v>
          </cell>
          <cell r="R8196">
            <v>45847</v>
          </cell>
          <cell r="S8196">
            <v>231012</v>
          </cell>
        </row>
        <row r="8197">
          <cell r="K8197" t="str">
            <v>227002</v>
          </cell>
          <cell r="M8197">
            <v>1</v>
          </cell>
          <cell r="R8197">
            <v>45847</v>
          </cell>
          <cell r="S8197">
            <v>227002</v>
          </cell>
        </row>
        <row r="8198">
          <cell r="K8198" t="str">
            <v>209001</v>
          </cell>
          <cell r="M8198">
            <v>2</v>
          </cell>
          <cell r="R8198">
            <v>45847</v>
          </cell>
          <cell r="S8198">
            <v>209001</v>
          </cell>
        </row>
        <row r="8199">
          <cell r="K8199" t="str">
            <v>228001</v>
          </cell>
          <cell r="M8199">
            <v>10</v>
          </cell>
          <cell r="R8199">
            <v>45848</v>
          </cell>
          <cell r="S8199">
            <v>228001</v>
          </cell>
        </row>
        <row r="8200">
          <cell r="K8200" t="str">
            <v>261004</v>
          </cell>
          <cell r="M8200">
            <v>30</v>
          </cell>
          <cell r="R8200">
            <v>45848</v>
          </cell>
          <cell r="S8200">
            <v>261004</v>
          </cell>
        </row>
        <row r="8201">
          <cell r="K8201" t="str">
            <v>212010</v>
          </cell>
          <cell r="M8201">
            <v>30</v>
          </cell>
          <cell r="R8201">
            <v>45848</v>
          </cell>
          <cell r="S8201">
            <v>212010</v>
          </cell>
        </row>
        <row r="8202">
          <cell r="K8202" t="str">
            <v>213003</v>
          </cell>
          <cell r="M8202">
            <v>2</v>
          </cell>
          <cell r="R8202">
            <v>45847</v>
          </cell>
          <cell r="S8202">
            <v>213003</v>
          </cell>
        </row>
        <row r="8203">
          <cell r="K8203" t="str">
            <v>201011</v>
          </cell>
          <cell r="M8203">
            <v>2</v>
          </cell>
          <cell r="R8203">
            <v>45848</v>
          </cell>
          <cell r="S8203">
            <v>201011</v>
          </cell>
        </row>
        <row r="8204">
          <cell r="K8204" t="str">
            <v>222001</v>
          </cell>
          <cell r="M8204">
            <v>1</v>
          </cell>
          <cell r="R8204">
            <v>45847</v>
          </cell>
          <cell r="S8204">
            <v>222001</v>
          </cell>
        </row>
        <row r="8205">
          <cell r="K8205" t="str">
            <v>223001</v>
          </cell>
          <cell r="M8205">
            <v>3</v>
          </cell>
          <cell r="R8205">
            <v>45847</v>
          </cell>
          <cell r="S8205">
            <v>223001</v>
          </cell>
        </row>
        <row r="8206">
          <cell r="K8206" t="str">
            <v>223002</v>
          </cell>
          <cell r="M8206">
            <v>4</v>
          </cell>
          <cell r="R8206">
            <v>45847</v>
          </cell>
          <cell r="S8206">
            <v>223002</v>
          </cell>
        </row>
        <row r="8207">
          <cell r="K8207" t="str">
            <v>201011</v>
          </cell>
          <cell r="M8207">
            <v>2</v>
          </cell>
          <cell r="R8207">
            <v>45847</v>
          </cell>
          <cell r="S8207">
            <v>201011</v>
          </cell>
        </row>
        <row r="8208">
          <cell r="K8208" t="str">
            <v>201002</v>
          </cell>
          <cell r="M8208">
            <v>2</v>
          </cell>
          <cell r="R8208">
            <v>45847</v>
          </cell>
          <cell r="S8208">
            <v>201002</v>
          </cell>
        </row>
        <row r="8209">
          <cell r="K8209" t="str">
            <v>213003</v>
          </cell>
          <cell r="M8209">
            <v>1</v>
          </cell>
          <cell r="R8209">
            <v>45847</v>
          </cell>
          <cell r="S8209">
            <v>213003</v>
          </cell>
        </row>
        <row r="8210">
          <cell r="K8210" t="str">
            <v>223002</v>
          </cell>
          <cell r="M8210">
            <v>1</v>
          </cell>
          <cell r="R8210">
            <v>45847</v>
          </cell>
          <cell r="S8210">
            <v>223002</v>
          </cell>
        </row>
        <row r="8211">
          <cell r="K8211" t="str">
            <v>223002</v>
          </cell>
          <cell r="M8211">
            <v>8</v>
          </cell>
          <cell r="R8211">
            <v>45847</v>
          </cell>
          <cell r="S8211">
            <v>223002</v>
          </cell>
        </row>
        <row r="8212">
          <cell r="K8212" t="str">
            <v>220002</v>
          </cell>
          <cell r="M8212">
            <v>2</v>
          </cell>
          <cell r="R8212">
            <v>45847</v>
          </cell>
          <cell r="S8212">
            <v>220002</v>
          </cell>
        </row>
        <row r="8213">
          <cell r="K8213" t="str">
            <v>208001</v>
          </cell>
          <cell r="M8213">
            <v>1</v>
          </cell>
          <cell r="R8213">
            <v>45848</v>
          </cell>
          <cell r="S8213">
            <v>208001</v>
          </cell>
        </row>
        <row r="8214">
          <cell r="K8214" t="str">
            <v>218001</v>
          </cell>
          <cell r="M8214">
            <v>1</v>
          </cell>
          <cell r="R8214">
            <v>45848</v>
          </cell>
          <cell r="S8214">
            <v>218001</v>
          </cell>
        </row>
        <row r="8215">
          <cell r="K8215" t="str">
            <v>213018</v>
          </cell>
          <cell r="M8215">
            <v>1</v>
          </cell>
          <cell r="R8215">
            <v>45848</v>
          </cell>
          <cell r="S8215">
            <v>213018</v>
          </cell>
        </row>
        <row r="8216">
          <cell r="K8216" t="str">
            <v>217018</v>
          </cell>
          <cell r="M8216">
            <v>1</v>
          </cell>
          <cell r="R8216">
            <v>45847</v>
          </cell>
          <cell r="S8216">
            <v>217018</v>
          </cell>
        </row>
        <row r="8217">
          <cell r="K8217" t="str">
            <v>213002</v>
          </cell>
          <cell r="M8217">
            <v>3</v>
          </cell>
          <cell r="R8217">
            <v>45847</v>
          </cell>
          <cell r="S8217">
            <v>213002</v>
          </cell>
        </row>
        <row r="8218">
          <cell r="K8218" t="str">
            <v>227001</v>
          </cell>
          <cell r="M8218">
            <v>8</v>
          </cell>
          <cell r="R8218">
            <v>45848</v>
          </cell>
          <cell r="S8218">
            <v>227001</v>
          </cell>
        </row>
        <row r="8219">
          <cell r="K8219" t="str">
            <v>228001</v>
          </cell>
          <cell r="M8219">
            <v>3</v>
          </cell>
          <cell r="R8219">
            <v>45848</v>
          </cell>
          <cell r="S8219">
            <v>228001</v>
          </cell>
        </row>
        <row r="8220">
          <cell r="K8220" t="str">
            <v>207017</v>
          </cell>
          <cell r="M8220">
            <v>1</v>
          </cell>
          <cell r="R8220">
            <v>45848</v>
          </cell>
          <cell r="S8220">
            <v>207017</v>
          </cell>
        </row>
        <row r="8221">
          <cell r="K8221" t="str">
            <v>212002</v>
          </cell>
          <cell r="M8221">
            <v>1</v>
          </cell>
          <cell r="R8221">
            <v>45848</v>
          </cell>
          <cell r="S8221">
            <v>212002</v>
          </cell>
        </row>
        <row r="8222">
          <cell r="K8222" t="str">
            <v>231012</v>
          </cell>
          <cell r="M8222">
            <v>1</v>
          </cell>
          <cell r="R8222">
            <v>45848</v>
          </cell>
          <cell r="S8222">
            <v>231012</v>
          </cell>
        </row>
        <row r="8223">
          <cell r="K8223" t="str">
            <v>209004</v>
          </cell>
          <cell r="M8223">
            <v>1</v>
          </cell>
          <cell r="R8223">
            <v>45848</v>
          </cell>
          <cell r="S8223">
            <v>209004</v>
          </cell>
        </row>
        <row r="8224">
          <cell r="K8224" t="str">
            <v>226001</v>
          </cell>
          <cell r="M8224">
            <v>2</v>
          </cell>
          <cell r="R8224">
            <v>45848</v>
          </cell>
          <cell r="S8224">
            <v>226001</v>
          </cell>
        </row>
        <row r="8225">
          <cell r="K8225" t="str">
            <v>201003</v>
          </cell>
          <cell r="M8225">
            <v>1</v>
          </cell>
          <cell r="R8225">
            <v>45848</v>
          </cell>
          <cell r="S8225">
            <v>201003</v>
          </cell>
        </row>
        <row r="8226">
          <cell r="K8226" t="str">
            <v>201004</v>
          </cell>
          <cell r="M8226">
            <v>2</v>
          </cell>
          <cell r="R8226">
            <v>45848</v>
          </cell>
          <cell r="S8226">
            <v>201004</v>
          </cell>
        </row>
        <row r="8227">
          <cell r="K8227" t="str">
            <v>217021</v>
          </cell>
          <cell r="M8227">
            <v>1</v>
          </cell>
          <cell r="R8227">
            <v>45848</v>
          </cell>
          <cell r="S8227">
            <v>217021</v>
          </cell>
        </row>
        <row r="8228">
          <cell r="K8228" t="str">
            <v>227002</v>
          </cell>
          <cell r="M8228">
            <v>1</v>
          </cell>
          <cell r="R8228">
            <v>45848</v>
          </cell>
          <cell r="S8228">
            <v>227002</v>
          </cell>
        </row>
        <row r="8229">
          <cell r="K8229" t="str">
            <v>217020</v>
          </cell>
          <cell r="M8229">
            <v>1</v>
          </cell>
          <cell r="R8229">
            <v>45848</v>
          </cell>
          <cell r="S8229">
            <v>217020</v>
          </cell>
        </row>
        <row r="8230">
          <cell r="K8230" t="str">
            <v>226001</v>
          </cell>
          <cell r="M8230">
            <v>1</v>
          </cell>
          <cell r="R8230">
            <v>45848</v>
          </cell>
          <cell r="S8230">
            <v>226001</v>
          </cell>
        </row>
        <row r="8231">
          <cell r="K8231" t="str">
            <v>217018</v>
          </cell>
          <cell r="M8231">
            <v>2</v>
          </cell>
          <cell r="R8231">
            <v>45848</v>
          </cell>
          <cell r="S8231">
            <v>217018</v>
          </cell>
        </row>
        <row r="8232">
          <cell r="K8232" t="str">
            <v>228001</v>
          </cell>
          <cell r="M8232">
            <v>2</v>
          </cell>
          <cell r="R8232">
            <v>45848</v>
          </cell>
          <cell r="S8232">
            <v>228001</v>
          </cell>
        </row>
        <row r="8233">
          <cell r="K8233" t="str">
            <v>228001</v>
          </cell>
          <cell r="M8233">
            <v>2</v>
          </cell>
          <cell r="R8233">
            <v>45848</v>
          </cell>
          <cell r="S8233">
            <v>228001</v>
          </cell>
        </row>
        <row r="8234">
          <cell r="K8234" t="str">
            <v>207017</v>
          </cell>
          <cell r="M8234">
            <v>1</v>
          </cell>
          <cell r="R8234">
            <v>45848</v>
          </cell>
          <cell r="S8234">
            <v>207017</v>
          </cell>
        </row>
        <row r="8235">
          <cell r="K8235" t="str">
            <v>213003</v>
          </cell>
          <cell r="M8235">
            <v>2</v>
          </cell>
          <cell r="R8235">
            <v>45848</v>
          </cell>
          <cell r="S8235">
            <v>213003</v>
          </cell>
        </row>
        <row r="8236">
          <cell r="K8236" t="str">
            <v>201011</v>
          </cell>
          <cell r="M8236">
            <v>1</v>
          </cell>
          <cell r="R8236">
            <v>45848</v>
          </cell>
          <cell r="S8236">
            <v>201011</v>
          </cell>
        </row>
        <row r="8237">
          <cell r="K8237" t="str">
            <v>223002</v>
          </cell>
          <cell r="M8237">
            <v>1</v>
          </cell>
          <cell r="R8237">
            <v>45848</v>
          </cell>
          <cell r="S8237">
            <v>223002</v>
          </cell>
        </row>
        <row r="8238">
          <cell r="K8238" t="str">
            <v>223001</v>
          </cell>
          <cell r="M8238">
            <v>1</v>
          </cell>
          <cell r="R8238">
            <v>45848</v>
          </cell>
          <cell r="S8238">
            <v>223001</v>
          </cell>
        </row>
        <row r="8239">
          <cell r="K8239" t="str">
            <v>241001</v>
          </cell>
          <cell r="M8239">
            <v>4</v>
          </cell>
          <cell r="R8239">
            <v>45848</v>
          </cell>
          <cell r="S8239">
            <v>241001</v>
          </cell>
        </row>
        <row r="8240">
          <cell r="K8240" t="str">
            <v>213002</v>
          </cell>
          <cell r="M8240">
            <v>1</v>
          </cell>
          <cell r="R8240">
            <v>45848</v>
          </cell>
          <cell r="S8240">
            <v>213002</v>
          </cell>
        </row>
        <row r="8241">
          <cell r="K8241" t="str">
            <v>207017</v>
          </cell>
          <cell r="M8241">
            <v>1</v>
          </cell>
          <cell r="R8241">
            <v>45848</v>
          </cell>
          <cell r="S8241">
            <v>207017</v>
          </cell>
        </row>
        <row r="8242">
          <cell r="K8242" t="str">
            <v>231004</v>
          </cell>
          <cell r="M8242">
            <v>2</v>
          </cell>
          <cell r="R8242">
            <v>45848</v>
          </cell>
          <cell r="S8242">
            <v>231004</v>
          </cell>
        </row>
        <row r="8243">
          <cell r="K8243" t="str">
            <v>212035</v>
          </cell>
          <cell r="M8243">
            <v>1</v>
          </cell>
          <cell r="R8243">
            <v>45848</v>
          </cell>
          <cell r="S8243">
            <v>212035</v>
          </cell>
        </row>
        <row r="8244">
          <cell r="K8244" t="str">
            <v>218002</v>
          </cell>
          <cell r="M8244">
            <v>1</v>
          </cell>
          <cell r="R8244">
            <v>45848</v>
          </cell>
          <cell r="S8244">
            <v>218002</v>
          </cell>
        </row>
        <row r="8245">
          <cell r="K8245" t="str">
            <v>224002</v>
          </cell>
          <cell r="M8245">
            <v>1</v>
          </cell>
          <cell r="R8245">
            <v>45848</v>
          </cell>
          <cell r="S8245">
            <v>224002</v>
          </cell>
        </row>
        <row r="8246">
          <cell r="K8246" t="str">
            <v>226001</v>
          </cell>
          <cell r="M8246">
            <v>1</v>
          </cell>
          <cell r="R8246">
            <v>45848</v>
          </cell>
          <cell r="S8246">
            <v>226001</v>
          </cell>
        </row>
        <row r="8247">
          <cell r="K8247" t="str">
            <v>209004</v>
          </cell>
          <cell r="M8247">
            <v>2</v>
          </cell>
          <cell r="R8247">
            <v>45848</v>
          </cell>
          <cell r="S8247">
            <v>209004</v>
          </cell>
        </row>
        <row r="8248">
          <cell r="K8248" t="str">
            <v>228001</v>
          </cell>
          <cell r="M8248">
            <v>2</v>
          </cell>
          <cell r="R8248">
            <v>45848</v>
          </cell>
          <cell r="S8248">
            <v>228001</v>
          </cell>
        </row>
        <row r="8249">
          <cell r="K8249" t="str">
            <v>226001</v>
          </cell>
          <cell r="M8249">
            <v>1</v>
          </cell>
          <cell r="R8249">
            <v>45848</v>
          </cell>
          <cell r="S8249">
            <v>226001</v>
          </cell>
        </row>
        <row r="8250">
          <cell r="K8250" t="str">
            <v>209004</v>
          </cell>
          <cell r="M8250">
            <v>3</v>
          </cell>
          <cell r="R8250">
            <v>45848</v>
          </cell>
          <cell r="S8250">
            <v>209004</v>
          </cell>
        </row>
        <row r="8251">
          <cell r="K8251" t="str">
            <v>228001</v>
          </cell>
          <cell r="M8251">
            <v>1</v>
          </cell>
          <cell r="R8251">
            <v>45848</v>
          </cell>
          <cell r="S8251">
            <v>228001</v>
          </cell>
        </row>
        <row r="8252">
          <cell r="K8252" t="str">
            <v>212002</v>
          </cell>
          <cell r="M8252">
            <v>1</v>
          </cell>
          <cell r="R8252">
            <v>45848</v>
          </cell>
          <cell r="S8252">
            <v>212002</v>
          </cell>
        </row>
        <row r="8253">
          <cell r="K8253" t="str">
            <v>228001</v>
          </cell>
          <cell r="M8253">
            <v>2</v>
          </cell>
          <cell r="R8253">
            <v>45848</v>
          </cell>
          <cell r="S8253">
            <v>228001</v>
          </cell>
        </row>
        <row r="8254">
          <cell r="K8254" t="str">
            <v>212002</v>
          </cell>
          <cell r="M8254">
            <v>1</v>
          </cell>
          <cell r="R8254">
            <v>45848</v>
          </cell>
          <cell r="S8254">
            <v>212002</v>
          </cell>
        </row>
        <row r="8255">
          <cell r="K8255" t="str">
            <v>201011</v>
          </cell>
          <cell r="M8255">
            <v>1</v>
          </cell>
          <cell r="R8255">
            <v>45848</v>
          </cell>
          <cell r="S8255">
            <v>201011</v>
          </cell>
        </row>
        <row r="8256">
          <cell r="K8256" t="str">
            <v>223001</v>
          </cell>
          <cell r="M8256">
            <v>2</v>
          </cell>
          <cell r="R8256">
            <v>45848</v>
          </cell>
          <cell r="S8256">
            <v>223001</v>
          </cell>
        </row>
        <row r="8257">
          <cell r="K8257" t="str">
            <v>227002</v>
          </cell>
          <cell r="M8257">
            <v>1</v>
          </cell>
          <cell r="R8257">
            <v>45848</v>
          </cell>
          <cell r="S8257">
            <v>227002</v>
          </cell>
        </row>
        <row r="8258">
          <cell r="K8258" t="str">
            <v>201022</v>
          </cell>
          <cell r="M8258">
            <v>1</v>
          </cell>
          <cell r="R8258">
            <v>45848</v>
          </cell>
          <cell r="S8258">
            <v>201022</v>
          </cell>
        </row>
        <row r="8259">
          <cell r="K8259" t="str">
            <v>222005</v>
          </cell>
          <cell r="M8259">
            <v>4</v>
          </cell>
          <cell r="R8259">
            <v>45848</v>
          </cell>
          <cell r="S8259">
            <v>222005</v>
          </cell>
        </row>
        <row r="8260">
          <cell r="K8260" t="str">
            <v>222001</v>
          </cell>
          <cell r="M8260">
            <v>5</v>
          </cell>
          <cell r="R8260">
            <v>45848</v>
          </cell>
          <cell r="S8260">
            <v>222001</v>
          </cell>
        </row>
        <row r="8261">
          <cell r="K8261" t="str">
            <v>241001</v>
          </cell>
          <cell r="M8261">
            <v>4</v>
          </cell>
          <cell r="R8261">
            <v>45848</v>
          </cell>
          <cell r="S8261">
            <v>241001</v>
          </cell>
        </row>
        <row r="8262">
          <cell r="K8262" t="str">
            <v>226001</v>
          </cell>
          <cell r="M8262">
            <v>1</v>
          </cell>
          <cell r="R8262">
            <v>45848</v>
          </cell>
          <cell r="S8262">
            <v>226001</v>
          </cell>
        </row>
        <row r="8263">
          <cell r="K8263" t="str">
            <v>207017</v>
          </cell>
          <cell r="M8263">
            <v>1</v>
          </cell>
          <cell r="R8263">
            <v>45848</v>
          </cell>
          <cell r="S8263">
            <v>207017</v>
          </cell>
        </row>
        <row r="8264">
          <cell r="K8264" t="str">
            <v>217011</v>
          </cell>
          <cell r="M8264">
            <v>1</v>
          </cell>
          <cell r="R8264">
            <v>45848</v>
          </cell>
          <cell r="S8264">
            <v>217011</v>
          </cell>
        </row>
        <row r="8265">
          <cell r="K8265" t="str">
            <v>201011</v>
          </cell>
          <cell r="M8265">
            <v>6</v>
          </cell>
          <cell r="R8265">
            <v>45848</v>
          </cell>
          <cell r="S8265">
            <v>201011</v>
          </cell>
        </row>
        <row r="8266">
          <cell r="K8266" t="str">
            <v>217019</v>
          </cell>
          <cell r="M8266">
            <v>5</v>
          </cell>
          <cell r="R8266">
            <v>45848</v>
          </cell>
          <cell r="S8266">
            <v>217019</v>
          </cell>
        </row>
        <row r="8267">
          <cell r="K8267" t="str">
            <v>224001</v>
          </cell>
          <cell r="M8267">
            <v>1</v>
          </cell>
          <cell r="R8267">
            <v>45848</v>
          </cell>
          <cell r="S8267">
            <v>224001</v>
          </cell>
        </row>
        <row r="8268">
          <cell r="K8268" t="str">
            <v>203004</v>
          </cell>
          <cell r="M8268">
            <v>1</v>
          </cell>
          <cell r="R8268">
            <v>45848</v>
          </cell>
          <cell r="S8268">
            <v>203004</v>
          </cell>
        </row>
        <row r="8269">
          <cell r="K8269" t="str">
            <v>210013</v>
          </cell>
          <cell r="M8269">
            <v>2</v>
          </cell>
          <cell r="R8269">
            <v>45848</v>
          </cell>
          <cell r="S8269">
            <v>210013</v>
          </cell>
        </row>
        <row r="8270">
          <cell r="K8270" t="str">
            <v>223002</v>
          </cell>
          <cell r="M8270">
            <v>3</v>
          </cell>
          <cell r="R8270">
            <v>45848</v>
          </cell>
          <cell r="S8270">
            <v>223002</v>
          </cell>
        </row>
        <row r="8271">
          <cell r="K8271" t="str">
            <v>213002</v>
          </cell>
          <cell r="M8271">
            <v>2</v>
          </cell>
          <cell r="R8271">
            <v>45848</v>
          </cell>
          <cell r="S8271">
            <v>213002</v>
          </cell>
        </row>
        <row r="8272">
          <cell r="K8272" t="str">
            <v>217018</v>
          </cell>
          <cell r="M8272">
            <v>12</v>
          </cell>
          <cell r="R8272">
            <v>45848</v>
          </cell>
          <cell r="S8272">
            <v>217018</v>
          </cell>
        </row>
        <row r="8273">
          <cell r="K8273" t="str">
            <v>213002</v>
          </cell>
          <cell r="M8273">
            <v>1</v>
          </cell>
          <cell r="R8273">
            <v>45849</v>
          </cell>
          <cell r="S8273">
            <v>213002</v>
          </cell>
        </row>
        <row r="8274">
          <cell r="K8274" t="str">
            <v>217018</v>
          </cell>
          <cell r="M8274">
            <v>1</v>
          </cell>
          <cell r="R8274">
            <v>45848</v>
          </cell>
          <cell r="S8274">
            <v>217018</v>
          </cell>
        </row>
        <row r="8275">
          <cell r="K8275" t="str">
            <v>226001</v>
          </cell>
          <cell r="M8275">
            <v>6</v>
          </cell>
          <cell r="R8275">
            <v>45849</v>
          </cell>
          <cell r="S8275">
            <v>226001</v>
          </cell>
        </row>
        <row r="8276">
          <cell r="K8276" t="str">
            <v>217018</v>
          </cell>
          <cell r="M8276">
            <v>3</v>
          </cell>
          <cell r="R8276">
            <v>45849</v>
          </cell>
          <cell r="S8276">
            <v>217018</v>
          </cell>
        </row>
        <row r="8277">
          <cell r="K8277" t="str">
            <v>201021</v>
          </cell>
          <cell r="M8277">
            <v>5</v>
          </cell>
          <cell r="R8277">
            <v>45849</v>
          </cell>
          <cell r="S8277">
            <v>201021</v>
          </cell>
        </row>
        <row r="8278">
          <cell r="K8278" t="str">
            <v>213002</v>
          </cell>
          <cell r="M8278">
            <v>1</v>
          </cell>
          <cell r="R8278">
            <v>45849</v>
          </cell>
          <cell r="S8278">
            <v>213002</v>
          </cell>
        </row>
        <row r="8279">
          <cell r="K8279" t="str">
            <v>201011</v>
          </cell>
          <cell r="M8279">
            <v>4</v>
          </cell>
          <cell r="R8279">
            <v>45848</v>
          </cell>
          <cell r="S8279">
            <v>201011</v>
          </cell>
        </row>
        <row r="8280">
          <cell r="K8280" t="str">
            <v>213003</v>
          </cell>
          <cell r="M8280">
            <v>4</v>
          </cell>
          <cell r="R8280">
            <v>45848</v>
          </cell>
          <cell r="S8280">
            <v>213003</v>
          </cell>
        </row>
        <row r="8281">
          <cell r="K8281" t="str">
            <v>213002</v>
          </cell>
          <cell r="M8281">
            <v>10</v>
          </cell>
          <cell r="R8281">
            <v>45848</v>
          </cell>
          <cell r="S8281">
            <v>213002</v>
          </cell>
        </row>
        <row r="8282">
          <cell r="K8282" t="str">
            <v>213002</v>
          </cell>
          <cell r="M8282">
            <v>3</v>
          </cell>
          <cell r="R8282">
            <v>45848</v>
          </cell>
          <cell r="S8282">
            <v>213002</v>
          </cell>
        </row>
        <row r="8283">
          <cell r="K8283" t="str">
            <v>227001</v>
          </cell>
          <cell r="M8283">
            <v>1</v>
          </cell>
          <cell r="R8283">
            <v>45849</v>
          </cell>
          <cell r="S8283">
            <v>227001</v>
          </cell>
        </row>
        <row r="8284">
          <cell r="K8284" t="str">
            <v>201011</v>
          </cell>
          <cell r="M8284">
            <v>3</v>
          </cell>
          <cell r="R8284">
            <v>45849</v>
          </cell>
          <cell r="S8284">
            <v>201011</v>
          </cell>
        </row>
        <row r="8285">
          <cell r="K8285" t="str">
            <v>210013</v>
          </cell>
          <cell r="M8285">
            <v>2</v>
          </cell>
          <cell r="R8285">
            <v>45849</v>
          </cell>
          <cell r="S8285">
            <v>210013</v>
          </cell>
        </row>
        <row r="8286">
          <cell r="K8286" t="str">
            <v>223002</v>
          </cell>
          <cell r="M8286">
            <v>2</v>
          </cell>
          <cell r="R8286">
            <v>45849</v>
          </cell>
          <cell r="S8286">
            <v>223002</v>
          </cell>
        </row>
        <row r="8287">
          <cell r="K8287" t="str">
            <v>205004</v>
          </cell>
          <cell r="M8287">
            <v>1</v>
          </cell>
          <cell r="R8287">
            <v>45849</v>
          </cell>
          <cell r="S8287">
            <v>205004</v>
          </cell>
        </row>
        <row r="8288">
          <cell r="K8288" t="str">
            <v>222001</v>
          </cell>
          <cell r="M8288">
            <v>1</v>
          </cell>
          <cell r="R8288">
            <v>45849</v>
          </cell>
          <cell r="S8288">
            <v>222001</v>
          </cell>
        </row>
        <row r="8289">
          <cell r="K8289" t="str">
            <v>201021</v>
          </cell>
          <cell r="M8289">
            <v>3</v>
          </cell>
          <cell r="R8289">
            <v>45849</v>
          </cell>
          <cell r="S8289">
            <v>201021</v>
          </cell>
        </row>
        <row r="8290">
          <cell r="K8290" t="str">
            <v>223001</v>
          </cell>
          <cell r="M8290">
            <v>2</v>
          </cell>
          <cell r="R8290">
            <v>45849</v>
          </cell>
          <cell r="S8290">
            <v>223001</v>
          </cell>
        </row>
        <row r="8291">
          <cell r="K8291" t="str">
            <v>201002</v>
          </cell>
          <cell r="M8291">
            <v>2</v>
          </cell>
          <cell r="R8291">
            <v>45849</v>
          </cell>
          <cell r="S8291">
            <v>201002</v>
          </cell>
        </row>
        <row r="8292">
          <cell r="K8292" t="str">
            <v>203003</v>
          </cell>
          <cell r="M8292">
            <v>1</v>
          </cell>
          <cell r="R8292">
            <v>45849</v>
          </cell>
          <cell r="S8292">
            <v>203003</v>
          </cell>
        </row>
        <row r="8293">
          <cell r="K8293" t="str">
            <v>231012</v>
          </cell>
          <cell r="M8293">
            <v>1</v>
          </cell>
          <cell r="R8293">
            <v>45849</v>
          </cell>
          <cell r="S8293">
            <v>231012</v>
          </cell>
        </row>
        <row r="8294">
          <cell r="K8294" t="str">
            <v>226001</v>
          </cell>
          <cell r="M8294">
            <v>1</v>
          </cell>
          <cell r="R8294">
            <v>45849</v>
          </cell>
          <cell r="S8294">
            <v>226001</v>
          </cell>
        </row>
        <row r="8295">
          <cell r="K8295" t="str">
            <v>207017</v>
          </cell>
          <cell r="M8295">
            <v>1</v>
          </cell>
          <cell r="R8295">
            <v>45849</v>
          </cell>
          <cell r="S8295">
            <v>207017</v>
          </cell>
        </row>
        <row r="8296">
          <cell r="K8296" t="str">
            <v>217018</v>
          </cell>
          <cell r="M8296">
            <v>1</v>
          </cell>
          <cell r="R8296">
            <v>45849</v>
          </cell>
          <cell r="S8296">
            <v>217018</v>
          </cell>
        </row>
        <row r="8297">
          <cell r="K8297" t="str">
            <v>217022</v>
          </cell>
          <cell r="M8297">
            <v>10</v>
          </cell>
          <cell r="R8297">
            <v>45849</v>
          </cell>
          <cell r="S8297">
            <v>217022</v>
          </cell>
        </row>
        <row r="8298">
          <cell r="K8298" t="str">
            <v>226001</v>
          </cell>
          <cell r="M8298">
            <v>1</v>
          </cell>
          <cell r="R8298">
            <v>45849</v>
          </cell>
          <cell r="S8298">
            <v>226001</v>
          </cell>
        </row>
        <row r="8299">
          <cell r="K8299" t="str">
            <v>226001</v>
          </cell>
          <cell r="M8299">
            <v>1</v>
          </cell>
          <cell r="R8299">
            <v>45849</v>
          </cell>
          <cell r="S8299">
            <v>226001</v>
          </cell>
        </row>
        <row r="8300">
          <cell r="K8300" t="str">
            <v>226001</v>
          </cell>
          <cell r="M8300">
            <v>3</v>
          </cell>
          <cell r="R8300">
            <v>45849</v>
          </cell>
          <cell r="S8300">
            <v>226001</v>
          </cell>
        </row>
        <row r="8301">
          <cell r="K8301" t="str">
            <v>226001</v>
          </cell>
          <cell r="M8301">
            <v>1</v>
          </cell>
          <cell r="R8301">
            <v>45849</v>
          </cell>
          <cell r="S8301">
            <v>226001</v>
          </cell>
        </row>
        <row r="8302">
          <cell r="K8302" t="str">
            <v>228001</v>
          </cell>
          <cell r="M8302">
            <v>1</v>
          </cell>
          <cell r="R8302">
            <v>45849</v>
          </cell>
          <cell r="S8302">
            <v>228001</v>
          </cell>
        </row>
        <row r="8303">
          <cell r="K8303" t="str">
            <v>228001</v>
          </cell>
          <cell r="M8303">
            <v>3</v>
          </cell>
          <cell r="R8303">
            <v>45849</v>
          </cell>
          <cell r="S8303">
            <v>228001</v>
          </cell>
        </row>
        <row r="8304">
          <cell r="K8304" t="str">
            <v>228001</v>
          </cell>
          <cell r="M8304">
            <v>15</v>
          </cell>
          <cell r="R8304">
            <v>45849</v>
          </cell>
          <cell r="S8304">
            <v>228001</v>
          </cell>
        </row>
        <row r="8305">
          <cell r="K8305" t="str">
            <v>201011</v>
          </cell>
          <cell r="M8305">
            <v>36</v>
          </cell>
          <cell r="R8305">
            <v>45849</v>
          </cell>
          <cell r="S8305">
            <v>201011</v>
          </cell>
        </row>
        <row r="8306">
          <cell r="K8306" t="str">
            <v>201011</v>
          </cell>
          <cell r="M8306">
            <v>36</v>
          </cell>
          <cell r="R8306">
            <v>45849</v>
          </cell>
          <cell r="S8306">
            <v>201011</v>
          </cell>
        </row>
        <row r="8307">
          <cell r="K8307" t="str">
            <v>201011</v>
          </cell>
          <cell r="M8307">
            <v>36</v>
          </cell>
          <cell r="R8307">
            <v>45849</v>
          </cell>
          <cell r="S8307">
            <v>201011</v>
          </cell>
        </row>
        <row r="8308">
          <cell r="K8308" t="str">
            <v>228001</v>
          </cell>
          <cell r="M8308">
            <v>10</v>
          </cell>
          <cell r="R8308">
            <v>45849</v>
          </cell>
          <cell r="S8308">
            <v>228001</v>
          </cell>
        </row>
        <row r="8309">
          <cell r="K8309" t="str">
            <v>228001</v>
          </cell>
          <cell r="M8309">
            <v>1</v>
          </cell>
          <cell r="R8309">
            <v>45849</v>
          </cell>
          <cell r="S8309">
            <v>228001</v>
          </cell>
        </row>
        <row r="8310">
          <cell r="K8310" t="str">
            <v>217018</v>
          </cell>
          <cell r="M8310">
            <v>5</v>
          </cell>
          <cell r="R8310">
            <v>45850</v>
          </cell>
          <cell r="S8310">
            <v>217018</v>
          </cell>
        </row>
        <row r="8311">
          <cell r="K8311" t="str">
            <v>223002</v>
          </cell>
          <cell r="M8311">
            <v>1</v>
          </cell>
          <cell r="R8311">
            <v>45852</v>
          </cell>
          <cell r="S8311">
            <v>223002</v>
          </cell>
        </row>
        <row r="8312">
          <cell r="K8312" t="str">
            <v>223001</v>
          </cell>
          <cell r="M8312">
            <v>3</v>
          </cell>
          <cell r="R8312">
            <v>45851</v>
          </cell>
          <cell r="S8312">
            <v>223001</v>
          </cell>
        </row>
        <row r="8313">
          <cell r="K8313" t="str">
            <v>223002</v>
          </cell>
          <cell r="M8313">
            <v>1</v>
          </cell>
          <cell r="R8313">
            <v>45851</v>
          </cell>
          <cell r="S8313">
            <v>223002</v>
          </cell>
        </row>
        <row r="8314">
          <cell r="K8314" t="str">
            <v>201021</v>
          </cell>
          <cell r="M8314">
            <v>2</v>
          </cell>
          <cell r="R8314">
            <v>45851</v>
          </cell>
          <cell r="S8314">
            <v>201021</v>
          </cell>
        </row>
        <row r="8315">
          <cell r="K8315" t="str">
            <v>213003</v>
          </cell>
          <cell r="M8315">
            <v>1</v>
          </cell>
          <cell r="R8315">
            <v>45852</v>
          </cell>
          <cell r="S8315">
            <v>213003</v>
          </cell>
        </row>
        <row r="8316">
          <cell r="K8316" t="str">
            <v>228001</v>
          </cell>
          <cell r="M8316">
            <v>1</v>
          </cell>
          <cell r="R8316">
            <v>45852</v>
          </cell>
          <cell r="S8316">
            <v>228001</v>
          </cell>
        </row>
        <row r="8317">
          <cell r="K8317" t="str">
            <v>223001</v>
          </cell>
          <cell r="M8317">
            <v>4</v>
          </cell>
          <cell r="R8317">
            <v>45851</v>
          </cell>
          <cell r="S8317">
            <v>223001</v>
          </cell>
        </row>
        <row r="8318">
          <cell r="K8318" t="str">
            <v>223002</v>
          </cell>
          <cell r="M8318">
            <v>4</v>
          </cell>
          <cell r="R8318">
            <v>45851</v>
          </cell>
          <cell r="S8318">
            <v>223002</v>
          </cell>
        </row>
        <row r="8319">
          <cell r="K8319" t="str">
            <v>228001</v>
          </cell>
          <cell r="M8319">
            <v>1</v>
          </cell>
          <cell r="R8319">
            <v>45851</v>
          </cell>
          <cell r="S8319">
            <v>228001</v>
          </cell>
        </row>
        <row r="8320">
          <cell r="K8320" t="str">
            <v>231012</v>
          </cell>
          <cell r="M8320">
            <v>6</v>
          </cell>
          <cell r="R8320">
            <v>45851</v>
          </cell>
          <cell r="S8320">
            <v>231012</v>
          </cell>
        </row>
        <row r="8321">
          <cell r="K8321" t="str">
            <v>201021</v>
          </cell>
          <cell r="M8321">
            <v>1</v>
          </cell>
          <cell r="R8321">
            <v>45851</v>
          </cell>
          <cell r="S8321">
            <v>201021</v>
          </cell>
        </row>
        <row r="8322">
          <cell r="K8322" t="str">
            <v>223002</v>
          </cell>
          <cell r="M8322">
            <v>1</v>
          </cell>
          <cell r="R8322">
            <v>45851</v>
          </cell>
          <cell r="S8322">
            <v>223002</v>
          </cell>
        </row>
        <row r="8323">
          <cell r="K8323" t="str">
            <v>223001</v>
          </cell>
          <cell r="M8323">
            <v>10</v>
          </cell>
          <cell r="R8323">
            <v>45851</v>
          </cell>
          <cell r="S8323">
            <v>223001</v>
          </cell>
        </row>
        <row r="8324">
          <cell r="K8324" t="str">
            <v>227012</v>
          </cell>
          <cell r="M8324">
            <v>1</v>
          </cell>
          <cell r="R8324">
            <v>45851</v>
          </cell>
          <cell r="S8324">
            <v>227012</v>
          </cell>
        </row>
        <row r="8325">
          <cell r="K8325" t="str">
            <v>209022</v>
          </cell>
          <cell r="M8325">
            <v>4</v>
          </cell>
          <cell r="R8325">
            <v>45851</v>
          </cell>
          <cell r="S8325">
            <v>209022</v>
          </cell>
        </row>
        <row r="8326">
          <cell r="K8326" t="str">
            <v>201021</v>
          </cell>
          <cell r="M8326">
            <v>5</v>
          </cell>
          <cell r="R8326">
            <v>45851</v>
          </cell>
          <cell r="S8326">
            <v>201021</v>
          </cell>
        </row>
        <row r="8327">
          <cell r="K8327" t="str">
            <v>213002</v>
          </cell>
          <cell r="M8327">
            <v>1</v>
          </cell>
          <cell r="R8327">
            <v>45851</v>
          </cell>
          <cell r="S8327">
            <v>213002</v>
          </cell>
        </row>
        <row r="8328">
          <cell r="K8328" t="str">
            <v>203003</v>
          </cell>
          <cell r="M8328">
            <v>1</v>
          </cell>
          <cell r="R8328">
            <v>45851</v>
          </cell>
          <cell r="S8328">
            <v>203003</v>
          </cell>
        </row>
        <row r="8329">
          <cell r="K8329" t="str">
            <v>241001</v>
          </cell>
          <cell r="M8329">
            <v>3</v>
          </cell>
          <cell r="R8329">
            <v>45851</v>
          </cell>
          <cell r="S8329">
            <v>241001</v>
          </cell>
        </row>
        <row r="8330">
          <cell r="K8330" t="str">
            <v>213003</v>
          </cell>
          <cell r="M8330">
            <v>1</v>
          </cell>
          <cell r="R8330">
            <v>45852</v>
          </cell>
          <cell r="S8330">
            <v>213003</v>
          </cell>
        </row>
        <row r="8331">
          <cell r="K8331" t="str">
            <v>223002</v>
          </cell>
          <cell r="M8331">
            <v>1</v>
          </cell>
          <cell r="R8331">
            <v>45852</v>
          </cell>
          <cell r="S8331">
            <v>223002</v>
          </cell>
        </row>
        <row r="8332">
          <cell r="K8332" t="str">
            <v>231010</v>
          </cell>
          <cell r="M8332">
            <v>1</v>
          </cell>
          <cell r="R8332">
            <v>45849</v>
          </cell>
          <cell r="S8332">
            <v>231010</v>
          </cell>
        </row>
        <row r="8333">
          <cell r="K8333" t="str">
            <v>217021</v>
          </cell>
          <cell r="M8333">
            <v>1</v>
          </cell>
          <cell r="R8333">
            <v>45849</v>
          </cell>
          <cell r="S8333">
            <v>217021</v>
          </cell>
        </row>
        <row r="8334">
          <cell r="K8334" t="str">
            <v>226025</v>
          </cell>
          <cell r="M8334">
            <v>1</v>
          </cell>
          <cell r="R8334">
            <v>45849</v>
          </cell>
          <cell r="S8334">
            <v>226025</v>
          </cell>
        </row>
        <row r="8335">
          <cell r="K8335" t="str">
            <v>213003</v>
          </cell>
          <cell r="M8335">
            <v>2</v>
          </cell>
          <cell r="R8335">
            <v>45849</v>
          </cell>
          <cell r="S8335">
            <v>213003</v>
          </cell>
        </row>
        <row r="8336">
          <cell r="K8336" t="str">
            <v>226025</v>
          </cell>
          <cell r="M8336">
            <v>3</v>
          </cell>
          <cell r="R8336">
            <v>45849</v>
          </cell>
          <cell r="S8336">
            <v>226025</v>
          </cell>
        </row>
        <row r="8337">
          <cell r="K8337" t="str">
            <v>223002</v>
          </cell>
          <cell r="M8337">
            <v>1</v>
          </cell>
          <cell r="R8337">
            <v>45852</v>
          </cell>
          <cell r="S8337">
            <v>223002</v>
          </cell>
        </row>
        <row r="8338">
          <cell r="K8338" t="str">
            <v>213003</v>
          </cell>
          <cell r="M8338">
            <v>1</v>
          </cell>
          <cell r="R8338">
            <v>45852</v>
          </cell>
          <cell r="S8338">
            <v>213003</v>
          </cell>
        </row>
        <row r="8339">
          <cell r="K8339" t="str">
            <v>228001</v>
          </cell>
          <cell r="M8339">
            <v>10</v>
          </cell>
          <cell r="R8339">
            <v>45852</v>
          </cell>
          <cell r="S8339">
            <v>228001</v>
          </cell>
        </row>
        <row r="8340">
          <cell r="K8340" t="str">
            <v>209001</v>
          </cell>
          <cell r="M8340">
            <v>1</v>
          </cell>
          <cell r="R8340">
            <v>45852</v>
          </cell>
          <cell r="S8340">
            <v>209001</v>
          </cell>
        </row>
        <row r="8341">
          <cell r="K8341" t="str">
            <v>205004</v>
          </cell>
          <cell r="M8341">
            <v>1</v>
          </cell>
          <cell r="R8341">
            <v>45852</v>
          </cell>
          <cell r="S8341">
            <v>205004</v>
          </cell>
        </row>
        <row r="8342">
          <cell r="K8342" t="str">
            <v>201011</v>
          </cell>
          <cell r="M8342">
            <v>36</v>
          </cell>
          <cell r="R8342">
            <v>45851</v>
          </cell>
          <cell r="S8342">
            <v>201011</v>
          </cell>
        </row>
        <row r="8343">
          <cell r="K8343" t="str">
            <v>223002</v>
          </cell>
          <cell r="M8343">
            <v>2</v>
          </cell>
          <cell r="R8343">
            <v>45851</v>
          </cell>
          <cell r="S8343">
            <v>223002</v>
          </cell>
        </row>
        <row r="8344">
          <cell r="K8344" t="str">
            <v>223001</v>
          </cell>
          <cell r="M8344">
            <v>2</v>
          </cell>
          <cell r="R8344">
            <v>45851</v>
          </cell>
          <cell r="S8344">
            <v>223001</v>
          </cell>
        </row>
        <row r="8345">
          <cell r="K8345" t="str">
            <v>227012</v>
          </cell>
          <cell r="M8345">
            <v>2</v>
          </cell>
          <cell r="R8345">
            <v>45851</v>
          </cell>
          <cell r="S8345">
            <v>227012</v>
          </cell>
        </row>
        <row r="8346">
          <cell r="K8346" t="str">
            <v>222001</v>
          </cell>
          <cell r="M8346">
            <v>1</v>
          </cell>
          <cell r="R8346">
            <v>45851</v>
          </cell>
          <cell r="S8346">
            <v>222001</v>
          </cell>
        </row>
        <row r="8347">
          <cell r="K8347" t="str">
            <v>213006</v>
          </cell>
          <cell r="M8347">
            <v>1</v>
          </cell>
          <cell r="R8347">
            <v>45852</v>
          </cell>
          <cell r="S8347">
            <v>213006</v>
          </cell>
        </row>
        <row r="8348">
          <cell r="K8348" t="str">
            <v>226001</v>
          </cell>
          <cell r="M8348">
            <v>2</v>
          </cell>
          <cell r="R8348">
            <v>45852</v>
          </cell>
          <cell r="S8348">
            <v>226001</v>
          </cell>
        </row>
        <row r="8349">
          <cell r="K8349" t="str">
            <v>217022</v>
          </cell>
          <cell r="M8349">
            <v>10</v>
          </cell>
          <cell r="R8349">
            <v>45852</v>
          </cell>
          <cell r="S8349">
            <v>217022</v>
          </cell>
        </row>
        <row r="8350">
          <cell r="K8350" t="str">
            <v>213002</v>
          </cell>
          <cell r="M8350">
            <v>10</v>
          </cell>
          <cell r="R8350">
            <v>45852</v>
          </cell>
          <cell r="S8350">
            <v>213002</v>
          </cell>
        </row>
        <row r="8351">
          <cell r="K8351" t="str">
            <v>213002</v>
          </cell>
          <cell r="M8351">
            <v>2</v>
          </cell>
          <cell r="R8351">
            <v>45852</v>
          </cell>
          <cell r="S8351">
            <v>213002</v>
          </cell>
        </row>
        <row r="8352">
          <cell r="K8352" t="str">
            <v>207017</v>
          </cell>
          <cell r="M8352">
            <v>2</v>
          </cell>
          <cell r="R8352">
            <v>45852</v>
          </cell>
          <cell r="S8352">
            <v>207017</v>
          </cell>
        </row>
        <row r="8353">
          <cell r="K8353" t="str">
            <v>229004</v>
          </cell>
          <cell r="M8353">
            <v>2</v>
          </cell>
          <cell r="R8353">
            <v>45852</v>
          </cell>
          <cell r="S8353">
            <v>229004</v>
          </cell>
        </row>
        <row r="8354">
          <cell r="K8354" t="str">
            <v>229004</v>
          </cell>
          <cell r="M8354">
            <v>2</v>
          </cell>
          <cell r="R8354">
            <v>45852</v>
          </cell>
          <cell r="S8354">
            <v>229004</v>
          </cell>
        </row>
        <row r="8355">
          <cell r="K8355" t="str">
            <v>217022</v>
          </cell>
          <cell r="M8355">
            <v>1</v>
          </cell>
          <cell r="R8355">
            <v>45852</v>
          </cell>
          <cell r="S8355">
            <v>217022</v>
          </cell>
        </row>
        <row r="8356">
          <cell r="K8356" t="str">
            <v>209004</v>
          </cell>
          <cell r="M8356">
            <v>2</v>
          </cell>
          <cell r="R8356">
            <v>45852</v>
          </cell>
          <cell r="S8356">
            <v>209004</v>
          </cell>
        </row>
        <row r="8357">
          <cell r="K8357" t="str">
            <v>217022</v>
          </cell>
          <cell r="M8357">
            <v>10</v>
          </cell>
          <cell r="R8357">
            <v>45852</v>
          </cell>
          <cell r="S8357">
            <v>217022</v>
          </cell>
        </row>
        <row r="8358">
          <cell r="K8358" t="str">
            <v>217018</v>
          </cell>
          <cell r="M8358">
            <v>5</v>
          </cell>
          <cell r="R8358">
            <v>45852</v>
          </cell>
          <cell r="S8358">
            <v>217018</v>
          </cell>
        </row>
        <row r="8359">
          <cell r="K8359" t="str">
            <v>213002</v>
          </cell>
          <cell r="M8359">
            <v>6</v>
          </cell>
          <cell r="R8359">
            <v>45852</v>
          </cell>
          <cell r="S8359">
            <v>213002</v>
          </cell>
        </row>
        <row r="8360">
          <cell r="K8360" t="str">
            <v>201021</v>
          </cell>
          <cell r="M8360">
            <v>3</v>
          </cell>
          <cell r="R8360">
            <v>45852</v>
          </cell>
          <cell r="S8360">
            <v>201021</v>
          </cell>
        </row>
        <row r="8361">
          <cell r="K8361" t="str">
            <v>241001</v>
          </cell>
          <cell r="M8361">
            <v>5</v>
          </cell>
          <cell r="R8361">
            <v>45852</v>
          </cell>
          <cell r="S8361">
            <v>241001</v>
          </cell>
        </row>
        <row r="8362">
          <cell r="K8362" t="str">
            <v>222001</v>
          </cell>
          <cell r="M8362">
            <v>1</v>
          </cell>
          <cell r="R8362">
            <v>45852</v>
          </cell>
          <cell r="S8362">
            <v>222001</v>
          </cell>
        </row>
        <row r="8363">
          <cell r="K8363" t="str">
            <v>213002</v>
          </cell>
          <cell r="M8363">
            <v>1</v>
          </cell>
          <cell r="R8363">
            <v>45852</v>
          </cell>
          <cell r="S8363">
            <v>213002</v>
          </cell>
        </row>
        <row r="8364">
          <cell r="K8364" t="str">
            <v>203003</v>
          </cell>
          <cell r="M8364">
            <v>1</v>
          </cell>
          <cell r="R8364">
            <v>45852</v>
          </cell>
          <cell r="S8364">
            <v>203003</v>
          </cell>
        </row>
        <row r="8365">
          <cell r="K8365" t="str">
            <v>226001</v>
          </cell>
          <cell r="M8365">
            <v>2</v>
          </cell>
          <cell r="R8365">
            <v>45852</v>
          </cell>
          <cell r="S8365">
            <v>226001</v>
          </cell>
        </row>
        <row r="8366">
          <cell r="K8366" t="str">
            <v>227012</v>
          </cell>
          <cell r="M8366">
            <v>1</v>
          </cell>
          <cell r="R8366">
            <v>45852</v>
          </cell>
          <cell r="S8366">
            <v>227012</v>
          </cell>
        </row>
        <row r="8367">
          <cell r="K8367" t="str">
            <v>223001</v>
          </cell>
          <cell r="M8367">
            <v>10</v>
          </cell>
          <cell r="R8367">
            <v>45852</v>
          </cell>
          <cell r="S8367">
            <v>223001</v>
          </cell>
        </row>
        <row r="8368">
          <cell r="K8368" t="str">
            <v>228001</v>
          </cell>
          <cell r="M8368">
            <v>1</v>
          </cell>
          <cell r="R8368">
            <v>45852</v>
          </cell>
          <cell r="S8368">
            <v>228001</v>
          </cell>
        </row>
        <row r="8369">
          <cell r="K8369" t="str">
            <v>213003</v>
          </cell>
          <cell r="M8369">
            <v>2</v>
          </cell>
          <cell r="R8369">
            <v>45852</v>
          </cell>
          <cell r="S8369">
            <v>213003</v>
          </cell>
        </row>
        <row r="8370">
          <cell r="K8370" t="str">
            <v>201021</v>
          </cell>
          <cell r="M8370">
            <v>1</v>
          </cell>
          <cell r="R8370">
            <v>45852</v>
          </cell>
          <cell r="S8370">
            <v>201021</v>
          </cell>
        </row>
        <row r="8371">
          <cell r="K8371" t="str">
            <v>223001</v>
          </cell>
          <cell r="M8371">
            <v>3</v>
          </cell>
          <cell r="R8371">
            <v>45852</v>
          </cell>
          <cell r="S8371">
            <v>223001</v>
          </cell>
        </row>
        <row r="8372">
          <cell r="K8372" t="str">
            <v>217018</v>
          </cell>
          <cell r="M8372">
            <v>25</v>
          </cell>
          <cell r="R8372">
            <v>45852</v>
          </cell>
          <cell r="S8372">
            <v>217018</v>
          </cell>
        </row>
        <row r="8373">
          <cell r="K8373" t="str">
            <v>201021</v>
          </cell>
          <cell r="M8373">
            <v>2</v>
          </cell>
          <cell r="R8373">
            <v>45852</v>
          </cell>
          <cell r="S8373">
            <v>201021</v>
          </cell>
        </row>
        <row r="8374">
          <cell r="K8374" t="str">
            <v>223001</v>
          </cell>
          <cell r="M8374">
            <v>3</v>
          </cell>
          <cell r="R8374">
            <v>45852</v>
          </cell>
          <cell r="S8374">
            <v>223001</v>
          </cell>
        </row>
        <row r="8375">
          <cell r="K8375" t="str">
            <v>223002</v>
          </cell>
          <cell r="M8375">
            <v>3</v>
          </cell>
          <cell r="R8375">
            <v>45852</v>
          </cell>
          <cell r="S8375">
            <v>223002</v>
          </cell>
        </row>
        <row r="8376">
          <cell r="K8376" t="str">
            <v>227012</v>
          </cell>
          <cell r="M8376">
            <v>2</v>
          </cell>
          <cell r="R8376">
            <v>45852</v>
          </cell>
          <cell r="S8376">
            <v>227012</v>
          </cell>
        </row>
        <row r="8377">
          <cell r="K8377" t="str">
            <v>223002</v>
          </cell>
          <cell r="M8377">
            <v>2</v>
          </cell>
          <cell r="R8377">
            <v>45852</v>
          </cell>
          <cell r="S8377">
            <v>223002</v>
          </cell>
        </row>
        <row r="8378">
          <cell r="K8378" t="str">
            <v>213002</v>
          </cell>
          <cell r="M8378">
            <v>2</v>
          </cell>
          <cell r="R8378">
            <v>45852</v>
          </cell>
          <cell r="S8378">
            <v>213002</v>
          </cell>
        </row>
        <row r="8379">
          <cell r="K8379" t="str">
            <v>213003</v>
          </cell>
          <cell r="M8379">
            <v>1</v>
          </cell>
          <cell r="R8379">
            <v>45852</v>
          </cell>
          <cell r="S8379">
            <v>213003</v>
          </cell>
        </row>
        <row r="8380">
          <cell r="K8380" t="str">
            <v>228001</v>
          </cell>
          <cell r="M8380">
            <v>10</v>
          </cell>
          <cell r="R8380">
            <v>45852</v>
          </cell>
          <cell r="S8380">
            <v>228001</v>
          </cell>
        </row>
        <row r="8381">
          <cell r="K8381" t="str">
            <v>217011</v>
          </cell>
          <cell r="M8381">
            <v>1</v>
          </cell>
          <cell r="R8381">
            <v>45852</v>
          </cell>
          <cell r="S8381">
            <v>217011</v>
          </cell>
        </row>
        <row r="8382">
          <cell r="K8382" t="str">
            <v>203003</v>
          </cell>
          <cell r="M8382">
            <v>2</v>
          </cell>
          <cell r="R8382">
            <v>45852</v>
          </cell>
          <cell r="S8382">
            <v>203003</v>
          </cell>
        </row>
        <row r="8383">
          <cell r="K8383" t="str">
            <v>223001</v>
          </cell>
          <cell r="M8383">
            <v>2</v>
          </cell>
          <cell r="R8383">
            <v>45852</v>
          </cell>
          <cell r="S8383">
            <v>223001</v>
          </cell>
        </row>
        <row r="8384">
          <cell r="K8384" t="str">
            <v>228001</v>
          </cell>
          <cell r="M8384">
            <v>1</v>
          </cell>
          <cell r="R8384">
            <v>45852</v>
          </cell>
          <cell r="S8384">
            <v>228001</v>
          </cell>
        </row>
        <row r="8385">
          <cell r="K8385" t="str">
            <v>213002</v>
          </cell>
          <cell r="M8385">
            <v>15</v>
          </cell>
          <cell r="R8385">
            <v>45853</v>
          </cell>
          <cell r="S8385">
            <v>213002</v>
          </cell>
        </row>
        <row r="8386">
          <cell r="K8386" t="str">
            <v>231012</v>
          </cell>
          <cell r="M8386">
            <v>1</v>
          </cell>
          <cell r="R8386">
            <v>45853</v>
          </cell>
          <cell r="S8386">
            <v>231012</v>
          </cell>
        </row>
        <row r="8387">
          <cell r="K8387" t="str">
            <v>201004</v>
          </cell>
          <cell r="M8387">
            <v>1</v>
          </cell>
          <cell r="R8387">
            <v>45853</v>
          </cell>
          <cell r="S8387">
            <v>201004</v>
          </cell>
        </row>
        <row r="8388">
          <cell r="K8388" t="str">
            <v>213002</v>
          </cell>
          <cell r="M8388">
            <v>2</v>
          </cell>
          <cell r="R8388">
            <v>45853</v>
          </cell>
          <cell r="S8388">
            <v>213002</v>
          </cell>
        </row>
        <row r="8389">
          <cell r="K8389" t="str">
            <v>213005</v>
          </cell>
          <cell r="M8389">
            <v>1</v>
          </cell>
          <cell r="R8389">
            <v>45852</v>
          </cell>
          <cell r="S8389">
            <v>213005</v>
          </cell>
        </row>
        <row r="8390">
          <cell r="K8390" t="str">
            <v>201021</v>
          </cell>
          <cell r="M8390">
            <v>1</v>
          </cell>
          <cell r="R8390">
            <v>45852</v>
          </cell>
          <cell r="S8390">
            <v>201021</v>
          </cell>
        </row>
        <row r="8391">
          <cell r="K8391" t="str">
            <v>217019</v>
          </cell>
          <cell r="M8391">
            <v>2</v>
          </cell>
          <cell r="R8391">
            <v>45852</v>
          </cell>
          <cell r="S8391">
            <v>217019</v>
          </cell>
        </row>
        <row r="8392">
          <cell r="K8392" t="str">
            <v>228001</v>
          </cell>
          <cell r="M8392">
            <v>5</v>
          </cell>
          <cell r="R8392">
            <v>45852</v>
          </cell>
          <cell r="S8392">
            <v>228001</v>
          </cell>
        </row>
        <row r="8393">
          <cell r="K8393" t="str">
            <v>201002</v>
          </cell>
          <cell r="M8393">
            <v>1</v>
          </cell>
          <cell r="R8393">
            <v>45853</v>
          </cell>
          <cell r="S8393">
            <v>201002</v>
          </cell>
        </row>
        <row r="8394">
          <cell r="K8394" t="str">
            <v>209001</v>
          </cell>
          <cell r="M8394">
            <v>2</v>
          </cell>
          <cell r="R8394">
            <v>45853</v>
          </cell>
          <cell r="S8394">
            <v>209001</v>
          </cell>
        </row>
        <row r="8395">
          <cell r="K8395" t="str">
            <v>210014</v>
          </cell>
          <cell r="M8395">
            <v>5</v>
          </cell>
          <cell r="R8395">
            <v>45852</v>
          </cell>
          <cell r="S8395">
            <v>210014</v>
          </cell>
        </row>
        <row r="8396">
          <cell r="K8396" t="str">
            <v>223001</v>
          </cell>
          <cell r="M8396">
            <v>12</v>
          </cell>
          <cell r="R8396">
            <v>45852</v>
          </cell>
          <cell r="S8396">
            <v>223001</v>
          </cell>
        </row>
        <row r="8397">
          <cell r="K8397" t="str">
            <v>227012</v>
          </cell>
          <cell r="M8397">
            <v>2</v>
          </cell>
          <cell r="R8397">
            <v>45852</v>
          </cell>
          <cell r="S8397">
            <v>227012</v>
          </cell>
        </row>
        <row r="8398">
          <cell r="K8398" t="str">
            <v>201002</v>
          </cell>
          <cell r="M8398">
            <v>3</v>
          </cell>
          <cell r="R8398">
            <v>45852</v>
          </cell>
          <cell r="S8398">
            <v>201002</v>
          </cell>
        </row>
        <row r="8399">
          <cell r="K8399" t="str">
            <v>228001</v>
          </cell>
          <cell r="M8399">
            <v>1</v>
          </cell>
          <cell r="R8399">
            <v>45853</v>
          </cell>
          <cell r="S8399">
            <v>228001</v>
          </cell>
        </row>
        <row r="8400">
          <cell r="K8400" t="str">
            <v>226025</v>
          </cell>
          <cell r="M8400">
            <v>4</v>
          </cell>
          <cell r="R8400">
            <v>45853</v>
          </cell>
          <cell r="S8400">
            <v>226025</v>
          </cell>
        </row>
        <row r="8401">
          <cell r="K8401" t="str">
            <v>222001</v>
          </cell>
          <cell r="M8401">
            <v>5</v>
          </cell>
          <cell r="R8401">
            <v>45852</v>
          </cell>
          <cell r="S8401">
            <v>222001</v>
          </cell>
        </row>
        <row r="8402">
          <cell r="K8402" t="str">
            <v>228001</v>
          </cell>
          <cell r="M8402">
            <v>2</v>
          </cell>
          <cell r="R8402">
            <v>45852</v>
          </cell>
          <cell r="S8402">
            <v>228001</v>
          </cell>
        </row>
        <row r="8403">
          <cell r="K8403" t="str">
            <v>217019</v>
          </cell>
          <cell r="M8403">
            <v>16</v>
          </cell>
          <cell r="R8403">
            <v>45852</v>
          </cell>
          <cell r="S8403">
            <v>217019</v>
          </cell>
        </row>
        <row r="8404">
          <cell r="K8404" t="str">
            <v>209006</v>
          </cell>
          <cell r="M8404">
            <v>6</v>
          </cell>
          <cell r="R8404">
            <v>45852</v>
          </cell>
          <cell r="S8404">
            <v>209006</v>
          </cell>
        </row>
        <row r="8405">
          <cell r="K8405" t="str">
            <v>209016</v>
          </cell>
          <cell r="M8405">
            <v>2</v>
          </cell>
          <cell r="R8405">
            <v>45852</v>
          </cell>
          <cell r="S8405">
            <v>209016</v>
          </cell>
        </row>
        <row r="8406">
          <cell r="K8406" t="str">
            <v>259001</v>
          </cell>
          <cell r="M8406">
            <v>5</v>
          </cell>
          <cell r="R8406">
            <v>45852</v>
          </cell>
          <cell r="S8406">
            <v>259001</v>
          </cell>
        </row>
        <row r="8407">
          <cell r="K8407" t="str">
            <v>223001</v>
          </cell>
          <cell r="M8407">
            <v>3</v>
          </cell>
          <cell r="R8407">
            <v>45853</v>
          </cell>
          <cell r="S8407">
            <v>223001</v>
          </cell>
        </row>
        <row r="8408">
          <cell r="K8408" t="str">
            <v>223002</v>
          </cell>
          <cell r="M8408">
            <v>1</v>
          </cell>
          <cell r="R8408">
            <v>45853</v>
          </cell>
          <cell r="S8408">
            <v>223002</v>
          </cell>
        </row>
        <row r="8409">
          <cell r="K8409" t="str">
            <v>201002</v>
          </cell>
          <cell r="M8409">
            <v>1</v>
          </cell>
          <cell r="R8409">
            <v>45853</v>
          </cell>
          <cell r="S8409">
            <v>201002</v>
          </cell>
        </row>
        <row r="8410">
          <cell r="K8410" t="str">
            <v>213003</v>
          </cell>
          <cell r="M8410">
            <v>8</v>
          </cell>
          <cell r="R8410">
            <v>45852</v>
          </cell>
          <cell r="S8410">
            <v>213003</v>
          </cell>
        </row>
        <row r="8411">
          <cell r="K8411" t="str">
            <v>223002</v>
          </cell>
          <cell r="M8411">
            <v>1</v>
          </cell>
          <cell r="R8411">
            <v>45852</v>
          </cell>
          <cell r="S8411">
            <v>223002</v>
          </cell>
        </row>
        <row r="8412">
          <cell r="K8412" t="str">
            <v>207017</v>
          </cell>
          <cell r="M8412">
            <v>1</v>
          </cell>
          <cell r="R8412">
            <v>45852</v>
          </cell>
          <cell r="S8412">
            <v>207017</v>
          </cell>
        </row>
        <row r="8413">
          <cell r="K8413" t="str">
            <v>209004</v>
          </cell>
          <cell r="M8413">
            <v>1</v>
          </cell>
          <cell r="R8413">
            <v>45852</v>
          </cell>
          <cell r="S8413">
            <v>209004</v>
          </cell>
        </row>
        <row r="8414">
          <cell r="K8414" t="str">
            <v>209001</v>
          </cell>
          <cell r="M8414">
            <v>3</v>
          </cell>
          <cell r="R8414">
            <v>45852</v>
          </cell>
          <cell r="S8414">
            <v>209001</v>
          </cell>
        </row>
        <row r="8415">
          <cell r="K8415" t="str">
            <v>203003</v>
          </cell>
          <cell r="M8415">
            <v>1</v>
          </cell>
          <cell r="R8415">
            <v>45852</v>
          </cell>
          <cell r="S8415">
            <v>203003</v>
          </cell>
        </row>
        <row r="8416">
          <cell r="K8416" t="str">
            <v>201021</v>
          </cell>
          <cell r="M8416">
            <v>1</v>
          </cell>
          <cell r="R8416">
            <v>45852</v>
          </cell>
          <cell r="S8416">
            <v>201021</v>
          </cell>
        </row>
        <row r="8417">
          <cell r="K8417" t="str">
            <v>217018</v>
          </cell>
          <cell r="M8417">
            <v>4</v>
          </cell>
          <cell r="R8417">
            <v>45853</v>
          </cell>
          <cell r="S8417">
            <v>217018</v>
          </cell>
        </row>
        <row r="8418">
          <cell r="K8418" t="str">
            <v>227012</v>
          </cell>
          <cell r="M8418">
            <v>5</v>
          </cell>
          <cell r="R8418">
            <v>45852</v>
          </cell>
          <cell r="S8418">
            <v>227012</v>
          </cell>
        </row>
        <row r="8419">
          <cell r="K8419" t="str">
            <v>213003</v>
          </cell>
          <cell r="M8419">
            <v>3</v>
          </cell>
          <cell r="R8419">
            <v>45852</v>
          </cell>
          <cell r="S8419">
            <v>213003</v>
          </cell>
        </row>
        <row r="8420">
          <cell r="K8420" t="str">
            <v>223002</v>
          </cell>
          <cell r="M8420">
            <v>5</v>
          </cell>
          <cell r="R8420">
            <v>45852</v>
          </cell>
          <cell r="S8420">
            <v>223002</v>
          </cell>
        </row>
        <row r="8421">
          <cell r="K8421" t="str">
            <v>228001</v>
          </cell>
          <cell r="M8421">
            <v>5</v>
          </cell>
          <cell r="R8421">
            <v>45852</v>
          </cell>
          <cell r="S8421">
            <v>228001</v>
          </cell>
        </row>
        <row r="8422">
          <cell r="K8422" t="str">
            <v>228001</v>
          </cell>
          <cell r="M8422">
            <v>3</v>
          </cell>
          <cell r="R8422">
            <v>45852</v>
          </cell>
          <cell r="S8422">
            <v>228001</v>
          </cell>
        </row>
        <row r="8423">
          <cell r="K8423" t="str">
            <v>201003</v>
          </cell>
          <cell r="M8423">
            <v>1</v>
          </cell>
          <cell r="R8423">
            <v>45852</v>
          </cell>
          <cell r="S8423">
            <v>201003</v>
          </cell>
        </row>
        <row r="8424">
          <cell r="K8424" t="str">
            <v>231012</v>
          </cell>
          <cell r="M8424">
            <v>1</v>
          </cell>
          <cell r="R8424">
            <v>45852</v>
          </cell>
          <cell r="S8424">
            <v>231012</v>
          </cell>
        </row>
        <row r="8425">
          <cell r="K8425" t="str">
            <v>227012</v>
          </cell>
          <cell r="M8425">
            <v>2</v>
          </cell>
          <cell r="R8425">
            <v>45852</v>
          </cell>
          <cell r="S8425">
            <v>227012</v>
          </cell>
        </row>
        <row r="8426">
          <cell r="K8426" t="str">
            <v>201002</v>
          </cell>
          <cell r="M8426">
            <v>1</v>
          </cell>
          <cell r="R8426">
            <v>45852</v>
          </cell>
          <cell r="S8426">
            <v>201002</v>
          </cell>
        </row>
        <row r="8427">
          <cell r="K8427" t="str">
            <v>217002</v>
          </cell>
          <cell r="M8427">
            <v>1</v>
          </cell>
          <cell r="R8427">
            <v>45853</v>
          </cell>
          <cell r="S8427">
            <v>217002</v>
          </cell>
        </row>
        <row r="8428">
          <cell r="K8428" t="str">
            <v>231012</v>
          </cell>
          <cell r="M8428">
            <v>1</v>
          </cell>
          <cell r="R8428">
            <v>45853</v>
          </cell>
          <cell r="S8428">
            <v>231012</v>
          </cell>
        </row>
        <row r="8429">
          <cell r="K8429" t="str">
            <v>217002</v>
          </cell>
          <cell r="M8429">
            <v>1</v>
          </cell>
          <cell r="R8429">
            <v>45853</v>
          </cell>
          <cell r="S8429">
            <v>217002</v>
          </cell>
        </row>
        <row r="8430">
          <cell r="K8430" t="str">
            <v>231012</v>
          </cell>
          <cell r="M8430">
            <v>1</v>
          </cell>
          <cell r="R8430">
            <v>45853</v>
          </cell>
          <cell r="S8430">
            <v>231012</v>
          </cell>
        </row>
        <row r="8431">
          <cell r="K8431" t="str">
            <v>217006</v>
          </cell>
          <cell r="M8431">
            <v>1</v>
          </cell>
          <cell r="R8431">
            <v>45853</v>
          </cell>
          <cell r="S8431">
            <v>217006</v>
          </cell>
        </row>
        <row r="8432">
          <cell r="K8432" t="str">
            <v>210013</v>
          </cell>
          <cell r="M8432">
            <v>20</v>
          </cell>
          <cell r="R8432">
            <v>45852</v>
          </cell>
          <cell r="S8432">
            <v>210013</v>
          </cell>
        </row>
        <row r="8433">
          <cell r="K8433" t="str">
            <v>210013</v>
          </cell>
          <cell r="M8433">
            <v>1</v>
          </cell>
          <cell r="R8433">
            <v>45853</v>
          </cell>
          <cell r="S8433">
            <v>210013</v>
          </cell>
        </row>
        <row r="8434">
          <cell r="K8434" t="str">
            <v>213003</v>
          </cell>
          <cell r="M8434">
            <v>2</v>
          </cell>
          <cell r="R8434">
            <v>45853</v>
          </cell>
          <cell r="S8434">
            <v>213003</v>
          </cell>
        </row>
        <row r="8435">
          <cell r="K8435" t="str">
            <v>213003</v>
          </cell>
          <cell r="M8435">
            <v>4</v>
          </cell>
          <cell r="R8435">
            <v>45853</v>
          </cell>
          <cell r="S8435">
            <v>213003</v>
          </cell>
        </row>
        <row r="8436">
          <cell r="K8436" t="str">
            <v>231010</v>
          </cell>
          <cell r="M8436">
            <v>1</v>
          </cell>
          <cell r="R8436">
            <v>45853</v>
          </cell>
          <cell r="S8436">
            <v>231010</v>
          </cell>
        </row>
        <row r="8437">
          <cell r="K8437" t="str">
            <v>217018</v>
          </cell>
          <cell r="M8437">
            <v>1</v>
          </cell>
          <cell r="R8437">
            <v>45853</v>
          </cell>
          <cell r="S8437">
            <v>217018</v>
          </cell>
        </row>
        <row r="8438">
          <cell r="K8438" t="str">
            <v>203003</v>
          </cell>
          <cell r="M8438">
            <v>6</v>
          </cell>
          <cell r="R8438">
            <v>45853</v>
          </cell>
          <cell r="S8438">
            <v>203003</v>
          </cell>
        </row>
        <row r="8439">
          <cell r="K8439" t="str">
            <v>228001</v>
          </cell>
          <cell r="M8439">
            <v>1</v>
          </cell>
          <cell r="R8439">
            <v>45853</v>
          </cell>
          <cell r="S8439">
            <v>228001</v>
          </cell>
        </row>
        <row r="8440">
          <cell r="K8440" t="str">
            <v>217019</v>
          </cell>
          <cell r="M8440">
            <v>1</v>
          </cell>
          <cell r="R8440">
            <v>45853</v>
          </cell>
          <cell r="S8440">
            <v>217019</v>
          </cell>
        </row>
        <row r="8441">
          <cell r="K8441" t="str">
            <v>212035</v>
          </cell>
          <cell r="M8441">
            <v>3</v>
          </cell>
          <cell r="R8441">
            <v>45853</v>
          </cell>
          <cell r="S8441">
            <v>212035</v>
          </cell>
        </row>
        <row r="8442">
          <cell r="K8442" t="str">
            <v>229001</v>
          </cell>
          <cell r="M8442">
            <v>15</v>
          </cell>
          <cell r="R8442">
            <v>45853</v>
          </cell>
          <cell r="S8442">
            <v>229001</v>
          </cell>
        </row>
        <row r="8443">
          <cell r="K8443" t="str">
            <v>228001</v>
          </cell>
          <cell r="M8443">
            <v>2</v>
          </cell>
          <cell r="R8443">
            <v>45853</v>
          </cell>
          <cell r="S8443">
            <v>228001</v>
          </cell>
        </row>
        <row r="8444">
          <cell r="K8444" t="str">
            <v>201002</v>
          </cell>
          <cell r="M8444">
            <v>4</v>
          </cell>
          <cell r="R8444">
            <v>45853</v>
          </cell>
          <cell r="S8444">
            <v>201002</v>
          </cell>
        </row>
        <row r="8445">
          <cell r="K8445" t="str">
            <v>228001</v>
          </cell>
          <cell r="M8445">
            <v>5</v>
          </cell>
          <cell r="R8445">
            <v>45853</v>
          </cell>
          <cell r="S8445">
            <v>228001</v>
          </cell>
        </row>
        <row r="8446">
          <cell r="K8446" t="str">
            <v>234001</v>
          </cell>
          <cell r="M8446">
            <v>1</v>
          </cell>
          <cell r="R8446">
            <v>45853</v>
          </cell>
          <cell r="S8446">
            <v>234001</v>
          </cell>
        </row>
        <row r="8447">
          <cell r="K8447" t="str">
            <v>213002</v>
          </cell>
          <cell r="M8447">
            <v>6</v>
          </cell>
          <cell r="R8447">
            <v>45853</v>
          </cell>
          <cell r="S8447">
            <v>213002</v>
          </cell>
        </row>
        <row r="8448">
          <cell r="K8448" t="str">
            <v>223003</v>
          </cell>
          <cell r="M8448">
            <v>4</v>
          </cell>
          <cell r="R8448">
            <v>45853</v>
          </cell>
          <cell r="S8448">
            <v>223003</v>
          </cell>
        </row>
        <row r="8449">
          <cell r="K8449" t="str">
            <v>223002</v>
          </cell>
          <cell r="M8449">
            <v>3</v>
          </cell>
          <cell r="R8449">
            <v>45853</v>
          </cell>
          <cell r="S8449">
            <v>223002</v>
          </cell>
        </row>
        <row r="8450">
          <cell r="K8450" t="str">
            <v>201003</v>
          </cell>
          <cell r="M8450">
            <v>4</v>
          </cell>
          <cell r="R8450">
            <v>45853</v>
          </cell>
          <cell r="S8450">
            <v>201003</v>
          </cell>
        </row>
        <row r="8451">
          <cell r="K8451" t="str">
            <v>231012</v>
          </cell>
          <cell r="M8451">
            <v>1</v>
          </cell>
          <cell r="R8451">
            <v>45853</v>
          </cell>
          <cell r="S8451">
            <v>231012</v>
          </cell>
        </row>
        <row r="8452">
          <cell r="K8452" t="str">
            <v>226029</v>
          </cell>
          <cell r="M8452">
            <v>10</v>
          </cell>
          <cell r="R8452">
            <v>45853</v>
          </cell>
          <cell r="S8452">
            <v>226029</v>
          </cell>
        </row>
        <row r="8453">
          <cell r="K8453" t="str">
            <v>226024</v>
          </cell>
          <cell r="M8453">
            <v>2</v>
          </cell>
          <cell r="R8453">
            <v>45853</v>
          </cell>
          <cell r="S8453">
            <v>226024</v>
          </cell>
        </row>
        <row r="8454">
          <cell r="K8454" t="str">
            <v>209001</v>
          </cell>
          <cell r="M8454">
            <v>2</v>
          </cell>
          <cell r="R8454">
            <v>45853</v>
          </cell>
          <cell r="S8454">
            <v>209001</v>
          </cell>
        </row>
        <row r="8455">
          <cell r="K8455" t="str">
            <v>231004</v>
          </cell>
          <cell r="M8455">
            <v>1</v>
          </cell>
          <cell r="R8455">
            <v>45853</v>
          </cell>
          <cell r="S8455">
            <v>231004</v>
          </cell>
        </row>
        <row r="8456">
          <cell r="K8456" t="str">
            <v>217002</v>
          </cell>
          <cell r="M8456">
            <v>1</v>
          </cell>
          <cell r="R8456">
            <v>45853</v>
          </cell>
          <cell r="S8456">
            <v>217002</v>
          </cell>
        </row>
        <row r="8457">
          <cell r="K8457" t="str">
            <v>228001</v>
          </cell>
          <cell r="M8457">
            <v>5</v>
          </cell>
          <cell r="R8457">
            <v>45853</v>
          </cell>
          <cell r="S8457">
            <v>228001</v>
          </cell>
        </row>
        <row r="8458">
          <cell r="K8458" t="str">
            <v>226025</v>
          </cell>
          <cell r="M8458">
            <v>1</v>
          </cell>
          <cell r="R8458">
            <v>45853</v>
          </cell>
          <cell r="S8458">
            <v>226025</v>
          </cell>
        </row>
        <row r="8459">
          <cell r="K8459" t="str">
            <v>228001</v>
          </cell>
          <cell r="M8459">
            <v>15</v>
          </cell>
          <cell r="R8459">
            <v>45854</v>
          </cell>
          <cell r="S8459">
            <v>228001</v>
          </cell>
        </row>
        <row r="8460">
          <cell r="K8460" t="str">
            <v>231010</v>
          </cell>
          <cell r="M8460">
            <v>2</v>
          </cell>
          <cell r="R8460">
            <v>45854</v>
          </cell>
          <cell r="S8460">
            <v>231010</v>
          </cell>
        </row>
        <row r="8461">
          <cell r="K8461" t="str">
            <v>209016</v>
          </cell>
          <cell r="M8461">
            <v>1</v>
          </cell>
          <cell r="R8461">
            <v>45854</v>
          </cell>
          <cell r="S8461">
            <v>209016</v>
          </cell>
        </row>
        <row r="8462">
          <cell r="K8462" t="str">
            <v>223003</v>
          </cell>
          <cell r="M8462">
            <v>1</v>
          </cell>
          <cell r="R8462">
            <v>45854</v>
          </cell>
          <cell r="S8462">
            <v>223003</v>
          </cell>
        </row>
        <row r="8463">
          <cell r="K8463" t="str">
            <v>223001</v>
          </cell>
          <cell r="M8463">
            <v>2</v>
          </cell>
          <cell r="R8463">
            <v>45854</v>
          </cell>
          <cell r="S8463">
            <v>223001</v>
          </cell>
        </row>
        <row r="8464">
          <cell r="K8464" t="str">
            <v>226001</v>
          </cell>
          <cell r="M8464">
            <v>1</v>
          </cell>
          <cell r="R8464">
            <v>45854</v>
          </cell>
          <cell r="S8464">
            <v>226001</v>
          </cell>
        </row>
        <row r="8465">
          <cell r="K8465" t="str">
            <v>271002</v>
          </cell>
          <cell r="M8465">
            <v>1</v>
          </cell>
          <cell r="R8465">
            <v>45854</v>
          </cell>
          <cell r="S8465">
            <v>271002</v>
          </cell>
        </row>
        <row r="8466">
          <cell r="K8466" t="str">
            <v>223002</v>
          </cell>
          <cell r="M8466">
            <v>1</v>
          </cell>
          <cell r="R8466">
            <v>45854</v>
          </cell>
          <cell r="S8466">
            <v>223002</v>
          </cell>
        </row>
        <row r="8467">
          <cell r="K8467" t="str">
            <v>227001</v>
          </cell>
          <cell r="M8467">
            <v>2</v>
          </cell>
          <cell r="R8467">
            <v>45854</v>
          </cell>
          <cell r="S8467">
            <v>227001</v>
          </cell>
        </row>
        <row r="8468">
          <cell r="K8468" t="str">
            <v>229001</v>
          </cell>
          <cell r="M8468">
            <v>1</v>
          </cell>
          <cell r="R8468">
            <v>45854</v>
          </cell>
          <cell r="S8468">
            <v>229001</v>
          </cell>
        </row>
        <row r="8469">
          <cell r="K8469" t="str">
            <v>201022</v>
          </cell>
          <cell r="M8469">
            <v>1</v>
          </cell>
          <cell r="R8469">
            <v>45854</v>
          </cell>
          <cell r="S8469">
            <v>201022</v>
          </cell>
        </row>
        <row r="8470">
          <cell r="K8470" t="str">
            <v>201021</v>
          </cell>
          <cell r="M8470">
            <v>1</v>
          </cell>
          <cell r="R8470">
            <v>45854</v>
          </cell>
          <cell r="S8470">
            <v>201021</v>
          </cell>
        </row>
        <row r="8471">
          <cell r="K8471" t="str">
            <v>222001</v>
          </cell>
          <cell r="M8471">
            <v>1</v>
          </cell>
          <cell r="R8471">
            <v>45854</v>
          </cell>
          <cell r="S8471">
            <v>222001</v>
          </cell>
        </row>
        <row r="8472">
          <cell r="K8472" t="str">
            <v>210013</v>
          </cell>
          <cell r="M8472">
            <v>1</v>
          </cell>
          <cell r="R8472">
            <v>45854</v>
          </cell>
          <cell r="S8472">
            <v>210013</v>
          </cell>
        </row>
        <row r="8473">
          <cell r="K8473" t="str">
            <v>209004</v>
          </cell>
          <cell r="M8473">
            <v>1</v>
          </cell>
          <cell r="R8473">
            <v>45854</v>
          </cell>
          <cell r="S8473">
            <v>209004</v>
          </cell>
        </row>
        <row r="8474">
          <cell r="K8474" t="str">
            <v>212002</v>
          </cell>
          <cell r="M8474">
            <v>1</v>
          </cell>
          <cell r="R8474">
            <v>45854</v>
          </cell>
          <cell r="S8474">
            <v>212002</v>
          </cell>
        </row>
        <row r="8475">
          <cell r="K8475" t="str">
            <v>213003</v>
          </cell>
          <cell r="M8475">
            <v>5</v>
          </cell>
          <cell r="R8475">
            <v>45853</v>
          </cell>
          <cell r="S8475">
            <v>213003</v>
          </cell>
        </row>
        <row r="8476">
          <cell r="K8476" t="str">
            <v>209001</v>
          </cell>
          <cell r="M8476">
            <v>1</v>
          </cell>
          <cell r="R8476">
            <v>45855</v>
          </cell>
          <cell r="S8476">
            <v>209001</v>
          </cell>
        </row>
        <row r="8477">
          <cell r="K8477" t="str">
            <v>222001</v>
          </cell>
          <cell r="M8477">
            <v>1</v>
          </cell>
          <cell r="R8477">
            <v>45855</v>
          </cell>
          <cell r="S8477">
            <v>222001</v>
          </cell>
        </row>
        <row r="8478">
          <cell r="K8478" t="str">
            <v>205004</v>
          </cell>
          <cell r="M8478">
            <v>1</v>
          </cell>
          <cell r="R8478">
            <v>45855</v>
          </cell>
          <cell r="S8478">
            <v>205004</v>
          </cell>
        </row>
        <row r="8479">
          <cell r="K8479" t="str">
            <v>201002</v>
          </cell>
          <cell r="M8479">
            <v>1</v>
          </cell>
          <cell r="R8479">
            <v>45855</v>
          </cell>
          <cell r="S8479">
            <v>201002</v>
          </cell>
        </row>
        <row r="8480">
          <cell r="K8480" t="str">
            <v>241001</v>
          </cell>
          <cell r="M8480">
            <v>2</v>
          </cell>
          <cell r="R8480">
            <v>45855</v>
          </cell>
          <cell r="S8480">
            <v>241001</v>
          </cell>
        </row>
        <row r="8481">
          <cell r="K8481" t="str">
            <v>223001</v>
          </cell>
          <cell r="M8481">
            <v>1</v>
          </cell>
          <cell r="R8481">
            <v>45855</v>
          </cell>
          <cell r="S8481">
            <v>223001</v>
          </cell>
        </row>
        <row r="8482">
          <cell r="K8482" t="str">
            <v>201021</v>
          </cell>
          <cell r="M8482">
            <v>3</v>
          </cell>
          <cell r="R8482">
            <v>45855</v>
          </cell>
          <cell r="S8482">
            <v>201021</v>
          </cell>
        </row>
        <row r="8483">
          <cell r="K8483" t="str">
            <v>231012</v>
          </cell>
          <cell r="M8483">
            <v>1</v>
          </cell>
          <cell r="R8483">
            <v>45855</v>
          </cell>
          <cell r="S8483">
            <v>231012</v>
          </cell>
        </row>
        <row r="8484">
          <cell r="K8484" t="str">
            <v>212035</v>
          </cell>
          <cell r="M8484">
            <v>2</v>
          </cell>
          <cell r="R8484">
            <v>45855</v>
          </cell>
          <cell r="S8484">
            <v>212035</v>
          </cell>
        </row>
        <row r="8485">
          <cell r="K8485" t="str">
            <v>207017</v>
          </cell>
          <cell r="M8485">
            <v>1</v>
          </cell>
          <cell r="R8485">
            <v>45854</v>
          </cell>
          <cell r="S8485">
            <v>207017</v>
          </cell>
        </row>
        <row r="8486">
          <cell r="K8486" t="str">
            <v>212002</v>
          </cell>
          <cell r="M8486">
            <v>1</v>
          </cell>
          <cell r="R8486">
            <v>45854</v>
          </cell>
          <cell r="S8486">
            <v>212002</v>
          </cell>
        </row>
        <row r="8487">
          <cell r="K8487" t="str">
            <v>203001</v>
          </cell>
          <cell r="M8487">
            <v>1</v>
          </cell>
          <cell r="R8487">
            <v>45854</v>
          </cell>
          <cell r="S8487">
            <v>203001</v>
          </cell>
        </row>
        <row r="8488">
          <cell r="K8488" t="str">
            <v>218001</v>
          </cell>
          <cell r="M8488">
            <v>1</v>
          </cell>
          <cell r="R8488">
            <v>45854</v>
          </cell>
          <cell r="S8488">
            <v>218001</v>
          </cell>
        </row>
        <row r="8489">
          <cell r="K8489" t="str">
            <v>228001</v>
          </cell>
          <cell r="M8489">
            <v>2</v>
          </cell>
          <cell r="R8489">
            <v>45854</v>
          </cell>
          <cell r="S8489">
            <v>228001</v>
          </cell>
        </row>
        <row r="8490">
          <cell r="K8490" t="str">
            <v>231004</v>
          </cell>
          <cell r="M8490">
            <v>1</v>
          </cell>
          <cell r="R8490">
            <v>45853</v>
          </cell>
          <cell r="S8490">
            <v>231004</v>
          </cell>
        </row>
        <row r="8491">
          <cell r="K8491" t="str">
            <v>241001</v>
          </cell>
          <cell r="M8491">
            <v>2</v>
          </cell>
          <cell r="R8491">
            <v>45854</v>
          </cell>
          <cell r="S8491">
            <v>241001</v>
          </cell>
        </row>
        <row r="8492">
          <cell r="K8492" t="str">
            <v>206002</v>
          </cell>
          <cell r="M8492">
            <v>1</v>
          </cell>
          <cell r="R8492">
            <v>45854</v>
          </cell>
          <cell r="S8492">
            <v>206002</v>
          </cell>
        </row>
        <row r="8493">
          <cell r="K8493" t="str">
            <v>234001</v>
          </cell>
          <cell r="M8493">
            <v>12</v>
          </cell>
          <cell r="R8493">
            <v>45854</v>
          </cell>
          <cell r="S8493">
            <v>234001</v>
          </cell>
        </row>
        <row r="8494">
          <cell r="K8494" t="str">
            <v>213003</v>
          </cell>
          <cell r="M8494">
            <v>1</v>
          </cell>
          <cell r="R8494">
            <v>45855</v>
          </cell>
          <cell r="S8494">
            <v>213003</v>
          </cell>
        </row>
        <row r="8495">
          <cell r="K8495" t="str">
            <v>241001</v>
          </cell>
          <cell r="M8495">
            <v>3</v>
          </cell>
          <cell r="R8495">
            <v>45855</v>
          </cell>
          <cell r="S8495">
            <v>241001</v>
          </cell>
        </row>
        <row r="8496">
          <cell r="K8496" t="str">
            <v>237001</v>
          </cell>
          <cell r="M8496">
            <v>1</v>
          </cell>
          <cell r="R8496">
            <v>45855</v>
          </cell>
          <cell r="S8496">
            <v>237001</v>
          </cell>
        </row>
        <row r="8497">
          <cell r="K8497" t="str">
            <v>213002</v>
          </cell>
          <cell r="M8497">
            <v>10</v>
          </cell>
          <cell r="R8497">
            <v>45855</v>
          </cell>
          <cell r="S8497">
            <v>213002</v>
          </cell>
        </row>
        <row r="8498">
          <cell r="K8498" t="str">
            <v>222002</v>
          </cell>
          <cell r="M8498">
            <v>1</v>
          </cell>
          <cell r="R8498">
            <v>45855</v>
          </cell>
          <cell r="S8498">
            <v>222002</v>
          </cell>
        </row>
        <row r="8499">
          <cell r="K8499" t="str">
            <v>212002</v>
          </cell>
          <cell r="M8499">
            <v>1</v>
          </cell>
          <cell r="R8499">
            <v>45855</v>
          </cell>
          <cell r="S8499">
            <v>212002</v>
          </cell>
        </row>
        <row r="8500">
          <cell r="K8500" t="str">
            <v>217022</v>
          </cell>
          <cell r="M8500">
            <v>10</v>
          </cell>
          <cell r="R8500">
            <v>45855</v>
          </cell>
          <cell r="S8500">
            <v>217022</v>
          </cell>
        </row>
        <row r="8501">
          <cell r="K8501" t="str">
            <v>226029</v>
          </cell>
          <cell r="M8501">
            <v>10</v>
          </cell>
          <cell r="R8501">
            <v>45855</v>
          </cell>
          <cell r="S8501">
            <v>226029</v>
          </cell>
        </row>
        <row r="8502">
          <cell r="K8502" t="str">
            <v>213003</v>
          </cell>
          <cell r="M8502">
            <v>1</v>
          </cell>
          <cell r="R8502">
            <v>45855</v>
          </cell>
          <cell r="S8502">
            <v>213003</v>
          </cell>
        </row>
        <row r="8503">
          <cell r="K8503" t="str">
            <v>231012</v>
          </cell>
          <cell r="M8503">
            <v>2</v>
          </cell>
          <cell r="R8503">
            <v>45855</v>
          </cell>
          <cell r="S8503">
            <v>231012</v>
          </cell>
        </row>
        <row r="8504">
          <cell r="K8504" t="str">
            <v>226001</v>
          </cell>
          <cell r="M8504">
            <v>1</v>
          </cell>
          <cell r="R8504">
            <v>45855</v>
          </cell>
          <cell r="S8504">
            <v>226001</v>
          </cell>
        </row>
        <row r="8505">
          <cell r="K8505" t="str">
            <v>217022</v>
          </cell>
          <cell r="M8505">
            <v>1</v>
          </cell>
          <cell r="R8505">
            <v>45855</v>
          </cell>
          <cell r="S8505">
            <v>217022</v>
          </cell>
        </row>
        <row r="8506">
          <cell r="K8506" t="str">
            <v>226001</v>
          </cell>
          <cell r="M8506">
            <v>1</v>
          </cell>
          <cell r="R8506">
            <v>45855</v>
          </cell>
          <cell r="S8506">
            <v>226001</v>
          </cell>
        </row>
        <row r="8507">
          <cell r="K8507" t="str">
            <v>226001</v>
          </cell>
          <cell r="M8507">
            <v>1</v>
          </cell>
          <cell r="R8507">
            <v>45855</v>
          </cell>
          <cell r="S8507">
            <v>226001</v>
          </cell>
        </row>
        <row r="8508">
          <cell r="K8508" t="str">
            <v>226001</v>
          </cell>
          <cell r="M8508">
            <v>1</v>
          </cell>
          <cell r="R8508">
            <v>45855</v>
          </cell>
          <cell r="S8508">
            <v>226001</v>
          </cell>
        </row>
        <row r="8509">
          <cell r="K8509" t="str">
            <v>227001</v>
          </cell>
          <cell r="M8509">
            <v>1</v>
          </cell>
          <cell r="R8509">
            <v>45855</v>
          </cell>
          <cell r="S8509">
            <v>227001</v>
          </cell>
        </row>
        <row r="8510">
          <cell r="K8510" t="str">
            <v>231004</v>
          </cell>
          <cell r="M8510">
            <v>1</v>
          </cell>
          <cell r="R8510">
            <v>45855</v>
          </cell>
          <cell r="S8510">
            <v>231004</v>
          </cell>
        </row>
        <row r="8511">
          <cell r="K8511" t="str">
            <v>234001</v>
          </cell>
          <cell r="M8511">
            <v>1</v>
          </cell>
          <cell r="R8511">
            <v>45855</v>
          </cell>
          <cell r="S8511">
            <v>234001</v>
          </cell>
        </row>
        <row r="8512">
          <cell r="K8512" t="str">
            <v>226001</v>
          </cell>
          <cell r="M8512">
            <v>2</v>
          </cell>
          <cell r="R8512">
            <v>45855</v>
          </cell>
          <cell r="S8512">
            <v>226001</v>
          </cell>
        </row>
        <row r="8513">
          <cell r="K8513" t="str">
            <v>227002</v>
          </cell>
          <cell r="M8513">
            <v>1</v>
          </cell>
          <cell r="R8513">
            <v>45855</v>
          </cell>
          <cell r="S8513">
            <v>227002</v>
          </cell>
        </row>
        <row r="8514">
          <cell r="K8514" t="str">
            <v>226001</v>
          </cell>
          <cell r="M8514">
            <v>3</v>
          </cell>
          <cell r="R8514">
            <v>45855</v>
          </cell>
          <cell r="S8514">
            <v>226001</v>
          </cell>
        </row>
        <row r="8515">
          <cell r="K8515" t="str">
            <v>223002</v>
          </cell>
          <cell r="M8515">
            <v>4</v>
          </cell>
          <cell r="R8515">
            <v>45855</v>
          </cell>
          <cell r="S8515">
            <v>223002</v>
          </cell>
        </row>
        <row r="8516">
          <cell r="K8516" t="str">
            <v>212035</v>
          </cell>
          <cell r="M8516">
            <v>1</v>
          </cell>
          <cell r="R8516">
            <v>45855</v>
          </cell>
          <cell r="S8516">
            <v>212035</v>
          </cell>
        </row>
        <row r="8517">
          <cell r="K8517" t="str">
            <v>209004</v>
          </cell>
          <cell r="M8517">
            <v>1</v>
          </cell>
          <cell r="R8517">
            <v>45855</v>
          </cell>
          <cell r="S8517">
            <v>209004</v>
          </cell>
        </row>
        <row r="8518">
          <cell r="K8518" t="str">
            <v>213002</v>
          </cell>
          <cell r="M8518">
            <v>6</v>
          </cell>
          <cell r="R8518">
            <v>45852</v>
          </cell>
          <cell r="S8518">
            <v>213002</v>
          </cell>
        </row>
        <row r="8519">
          <cell r="K8519" t="str">
            <v>210001</v>
          </cell>
          <cell r="M8519">
            <v>1</v>
          </cell>
          <cell r="R8519">
            <v>45852</v>
          </cell>
          <cell r="S8519">
            <v>210001</v>
          </cell>
        </row>
        <row r="8520">
          <cell r="K8520" t="str">
            <v>218001</v>
          </cell>
          <cell r="M8520">
            <v>1</v>
          </cell>
          <cell r="R8520">
            <v>45855</v>
          </cell>
          <cell r="S8520">
            <v>218001</v>
          </cell>
        </row>
        <row r="8521">
          <cell r="K8521" t="str">
            <v>207002</v>
          </cell>
          <cell r="M8521">
            <v>1</v>
          </cell>
          <cell r="R8521">
            <v>45855</v>
          </cell>
          <cell r="S8521">
            <v>207002</v>
          </cell>
        </row>
        <row r="8522">
          <cell r="K8522" t="str">
            <v>227012</v>
          </cell>
          <cell r="M8522">
            <v>1</v>
          </cell>
          <cell r="R8522">
            <v>45855</v>
          </cell>
          <cell r="S8522">
            <v>227012</v>
          </cell>
        </row>
        <row r="8523">
          <cell r="K8523" t="str">
            <v>201002</v>
          </cell>
          <cell r="M8523">
            <v>1</v>
          </cell>
          <cell r="R8523">
            <v>45855</v>
          </cell>
          <cell r="S8523">
            <v>201002</v>
          </cell>
        </row>
        <row r="8524">
          <cell r="K8524" t="str">
            <v>213002</v>
          </cell>
          <cell r="M8524">
            <v>1</v>
          </cell>
          <cell r="R8524">
            <v>45855</v>
          </cell>
          <cell r="S8524">
            <v>213002</v>
          </cell>
        </row>
        <row r="8525">
          <cell r="K8525" t="str">
            <v>210014</v>
          </cell>
          <cell r="M8525">
            <v>1</v>
          </cell>
          <cell r="R8525">
            <v>45855</v>
          </cell>
          <cell r="S8525">
            <v>210014</v>
          </cell>
        </row>
        <row r="8526">
          <cell r="K8526" t="str">
            <v>213003</v>
          </cell>
          <cell r="M8526">
            <v>1</v>
          </cell>
          <cell r="R8526">
            <v>45855</v>
          </cell>
          <cell r="S8526">
            <v>213003</v>
          </cell>
        </row>
        <row r="8527">
          <cell r="K8527" t="str">
            <v>213002</v>
          </cell>
          <cell r="M8527">
            <v>5</v>
          </cell>
          <cell r="R8527">
            <v>45855</v>
          </cell>
          <cell r="S8527">
            <v>213002</v>
          </cell>
        </row>
        <row r="8528">
          <cell r="K8528" t="str">
            <v>212035</v>
          </cell>
          <cell r="M8528">
            <v>10</v>
          </cell>
          <cell r="R8528">
            <v>45855</v>
          </cell>
          <cell r="S8528">
            <v>212035</v>
          </cell>
        </row>
        <row r="8529">
          <cell r="K8529" t="str">
            <v>213002</v>
          </cell>
          <cell r="M8529">
            <v>2</v>
          </cell>
          <cell r="R8529">
            <v>45855</v>
          </cell>
          <cell r="S8529">
            <v>213002</v>
          </cell>
        </row>
        <row r="8530">
          <cell r="K8530" t="str">
            <v>201002</v>
          </cell>
          <cell r="M8530">
            <v>1</v>
          </cell>
          <cell r="R8530">
            <v>45855</v>
          </cell>
          <cell r="S8530">
            <v>201002</v>
          </cell>
        </row>
        <row r="8531">
          <cell r="K8531" t="str">
            <v>231004</v>
          </cell>
          <cell r="M8531">
            <v>1</v>
          </cell>
          <cell r="R8531">
            <v>45855</v>
          </cell>
          <cell r="S8531">
            <v>231004</v>
          </cell>
        </row>
        <row r="8532">
          <cell r="K8532" t="str">
            <v>226001</v>
          </cell>
          <cell r="M8532">
            <v>1</v>
          </cell>
          <cell r="R8532">
            <v>45855</v>
          </cell>
          <cell r="S8532">
            <v>226001</v>
          </cell>
        </row>
        <row r="8533">
          <cell r="K8533" t="str">
            <v>201002</v>
          </cell>
          <cell r="M8533">
            <v>1</v>
          </cell>
          <cell r="R8533">
            <v>45855</v>
          </cell>
          <cell r="S8533">
            <v>201002</v>
          </cell>
        </row>
        <row r="8534">
          <cell r="K8534" t="str">
            <v>217002</v>
          </cell>
          <cell r="M8534">
            <v>1</v>
          </cell>
          <cell r="R8534">
            <v>45855</v>
          </cell>
          <cell r="S8534">
            <v>217002</v>
          </cell>
        </row>
        <row r="8535">
          <cell r="K8535" t="str">
            <v>226001</v>
          </cell>
          <cell r="M8535">
            <v>1</v>
          </cell>
          <cell r="R8535">
            <v>45855</v>
          </cell>
          <cell r="S8535">
            <v>226001</v>
          </cell>
        </row>
        <row r="8536">
          <cell r="K8536" t="str">
            <v>217002</v>
          </cell>
          <cell r="M8536">
            <v>1</v>
          </cell>
          <cell r="R8536">
            <v>45855</v>
          </cell>
          <cell r="S8536">
            <v>217002</v>
          </cell>
        </row>
        <row r="8537">
          <cell r="K8537" t="str">
            <v>217020</v>
          </cell>
          <cell r="M8537">
            <v>1</v>
          </cell>
          <cell r="R8537">
            <v>45855</v>
          </cell>
          <cell r="S8537">
            <v>217020</v>
          </cell>
        </row>
        <row r="8538">
          <cell r="K8538" t="str">
            <v>201004</v>
          </cell>
          <cell r="M8538">
            <v>1</v>
          </cell>
          <cell r="R8538">
            <v>45855</v>
          </cell>
          <cell r="S8538">
            <v>201004</v>
          </cell>
        </row>
        <row r="8539">
          <cell r="K8539" t="str">
            <v>241001</v>
          </cell>
          <cell r="M8539">
            <v>3</v>
          </cell>
          <cell r="R8539">
            <v>45855</v>
          </cell>
          <cell r="S8539">
            <v>241001</v>
          </cell>
        </row>
        <row r="8540">
          <cell r="K8540" t="str">
            <v>222001</v>
          </cell>
          <cell r="M8540">
            <v>1</v>
          </cell>
          <cell r="R8540">
            <v>45855</v>
          </cell>
          <cell r="S8540">
            <v>222001</v>
          </cell>
        </row>
        <row r="8541">
          <cell r="K8541" t="str">
            <v>213003</v>
          </cell>
          <cell r="M8541">
            <v>1</v>
          </cell>
          <cell r="R8541">
            <v>45855</v>
          </cell>
          <cell r="S8541">
            <v>213003</v>
          </cell>
        </row>
        <row r="8542">
          <cell r="K8542" t="str">
            <v>217011</v>
          </cell>
          <cell r="M8542">
            <v>1</v>
          </cell>
          <cell r="R8542">
            <v>45856</v>
          </cell>
          <cell r="S8542">
            <v>217011</v>
          </cell>
        </row>
        <row r="8543">
          <cell r="K8543" t="str">
            <v>223017</v>
          </cell>
          <cell r="M8543">
            <v>10</v>
          </cell>
          <cell r="R8543">
            <v>45856</v>
          </cell>
          <cell r="S8543">
            <v>223017</v>
          </cell>
        </row>
        <row r="8544">
          <cell r="K8544" t="str">
            <v>226001</v>
          </cell>
          <cell r="M8544">
            <v>1</v>
          </cell>
          <cell r="R8544">
            <v>45855</v>
          </cell>
          <cell r="S8544">
            <v>226001</v>
          </cell>
        </row>
        <row r="8545">
          <cell r="K8545" t="str">
            <v>227002</v>
          </cell>
          <cell r="M8545">
            <v>1</v>
          </cell>
          <cell r="R8545">
            <v>45855</v>
          </cell>
          <cell r="S8545">
            <v>227002</v>
          </cell>
        </row>
        <row r="8546">
          <cell r="K8546" t="str">
            <v>223001</v>
          </cell>
          <cell r="M8546">
            <v>2</v>
          </cell>
          <cell r="R8546">
            <v>45855</v>
          </cell>
          <cell r="S8546">
            <v>223001</v>
          </cell>
        </row>
        <row r="8547">
          <cell r="K8547" t="str">
            <v>241001</v>
          </cell>
          <cell r="M8547">
            <v>2</v>
          </cell>
          <cell r="R8547">
            <v>45855</v>
          </cell>
          <cell r="S8547">
            <v>241001</v>
          </cell>
        </row>
        <row r="8548">
          <cell r="K8548" t="str">
            <v>231004</v>
          </cell>
          <cell r="M8548">
            <v>1</v>
          </cell>
          <cell r="R8548">
            <v>45855</v>
          </cell>
          <cell r="S8548">
            <v>231004</v>
          </cell>
        </row>
        <row r="8549">
          <cell r="K8549" t="str">
            <v>213002</v>
          </cell>
          <cell r="M8549">
            <v>1</v>
          </cell>
          <cell r="R8549">
            <v>45855</v>
          </cell>
          <cell r="S8549">
            <v>213002</v>
          </cell>
        </row>
        <row r="8550">
          <cell r="K8550" t="str">
            <v>217006</v>
          </cell>
          <cell r="M8550">
            <v>1</v>
          </cell>
          <cell r="R8550">
            <v>45855</v>
          </cell>
          <cell r="S8550">
            <v>217006</v>
          </cell>
        </row>
        <row r="8551">
          <cell r="K8551" t="str">
            <v>241001</v>
          </cell>
          <cell r="M8551">
            <v>3</v>
          </cell>
          <cell r="R8551">
            <v>45855</v>
          </cell>
          <cell r="S8551">
            <v>241001</v>
          </cell>
        </row>
        <row r="8552">
          <cell r="K8552" t="str">
            <v>223002</v>
          </cell>
          <cell r="M8552">
            <v>4</v>
          </cell>
          <cell r="R8552">
            <v>45855</v>
          </cell>
          <cell r="S8552">
            <v>223002</v>
          </cell>
        </row>
        <row r="8553">
          <cell r="K8553" t="str">
            <v>201002</v>
          </cell>
          <cell r="M8553">
            <v>2</v>
          </cell>
          <cell r="R8553">
            <v>45855</v>
          </cell>
          <cell r="S8553">
            <v>201002</v>
          </cell>
        </row>
        <row r="8554">
          <cell r="K8554" t="str">
            <v>227002</v>
          </cell>
          <cell r="M8554">
            <v>1</v>
          </cell>
          <cell r="R8554">
            <v>45855</v>
          </cell>
          <cell r="S8554">
            <v>227002</v>
          </cell>
        </row>
        <row r="8555">
          <cell r="K8555" t="str">
            <v>241001</v>
          </cell>
          <cell r="M8555">
            <v>1</v>
          </cell>
          <cell r="R8555">
            <v>45855</v>
          </cell>
          <cell r="S8555">
            <v>241001</v>
          </cell>
        </row>
        <row r="8556">
          <cell r="K8556" t="str">
            <v>241001</v>
          </cell>
          <cell r="M8556">
            <v>5</v>
          </cell>
          <cell r="R8556">
            <v>45855</v>
          </cell>
          <cell r="S8556">
            <v>241001</v>
          </cell>
        </row>
        <row r="8557">
          <cell r="K8557" t="str">
            <v>213002</v>
          </cell>
          <cell r="M8557">
            <v>2</v>
          </cell>
          <cell r="R8557">
            <v>45856</v>
          </cell>
          <cell r="S8557">
            <v>213002</v>
          </cell>
        </row>
        <row r="8558">
          <cell r="K8558" t="str">
            <v>213003</v>
          </cell>
          <cell r="M8558">
            <v>3</v>
          </cell>
          <cell r="R8558">
            <v>45856</v>
          </cell>
          <cell r="S8558">
            <v>213003</v>
          </cell>
        </row>
        <row r="8559">
          <cell r="K8559" t="str">
            <v>201002</v>
          </cell>
          <cell r="M8559">
            <v>10</v>
          </cell>
          <cell r="R8559">
            <v>45856</v>
          </cell>
          <cell r="S8559">
            <v>201002</v>
          </cell>
        </row>
        <row r="8560">
          <cell r="K8560" t="str">
            <v>241001</v>
          </cell>
          <cell r="M8560">
            <v>10</v>
          </cell>
          <cell r="R8560">
            <v>45856</v>
          </cell>
          <cell r="S8560">
            <v>241001</v>
          </cell>
        </row>
        <row r="8561">
          <cell r="K8561" t="str">
            <v>223002</v>
          </cell>
          <cell r="M8561">
            <v>1</v>
          </cell>
          <cell r="R8561">
            <v>45856</v>
          </cell>
          <cell r="S8561">
            <v>223002</v>
          </cell>
        </row>
        <row r="8562">
          <cell r="K8562" t="str">
            <v>223002</v>
          </cell>
          <cell r="M8562">
            <v>1</v>
          </cell>
          <cell r="R8562">
            <v>45856</v>
          </cell>
          <cell r="S8562">
            <v>223002</v>
          </cell>
        </row>
        <row r="8563">
          <cell r="K8563" t="str">
            <v>226001</v>
          </cell>
          <cell r="M8563">
            <v>7</v>
          </cell>
          <cell r="R8563">
            <v>45856</v>
          </cell>
          <cell r="S8563">
            <v>226001</v>
          </cell>
        </row>
        <row r="8564">
          <cell r="K8564" t="str">
            <v>227012</v>
          </cell>
          <cell r="M8564">
            <v>3</v>
          </cell>
          <cell r="R8564">
            <v>45858</v>
          </cell>
          <cell r="S8564">
            <v>227012</v>
          </cell>
        </row>
        <row r="8565">
          <cell r="K8565" t="str">
            <v>201009</v>
          </cell>
          <cell r="M8565">
            <v>1</v>
          </cell>
          <cell r="R8565">
            <v>45859</v>
          </cell>
          <cell r="S8565">
            <v>201009</v>
          </cell>
        </row>
        <row r="8566">
          <cell r="K8566" t="str">
            <v>231012</v>
          </cell>
          <cell r="M8566">
            <v>1</v>
          </cell>
          <cell r="R8566">
            <v>45859</v>
          </cell>
          <cell r="S8566">
            <v>231012</v>
          </cell>
        </row>
        <row r="8567">
          <cell r="K8567" t="str">
            <v>226025</v>
          </cell>
          <cell r="M8567">
            <v>1</v>
          </cell>
          <cell r="R8567">
            <v>45859</v>
          </cell>
          <cell r="S8567">
            <v>226025</v>
          </cell>
        </row>
        <row r="8568">
          <cell r="K8568" t="str">
            <v>212035</v>
          </cell>
          <cell r="M8568">
            <v>1</v>
          </cell>
          <cell r="R8568">
            <v>45859</v>
          </cell>
          <cell r="S8568">
            <v>212035</v>
          </cell>
        </row>
        <row r="8569">
          <cell r="K8569" t="str">
            <v>217018</v>
          </cell>
          <cell r="M8569">
            <v>30</v>
          </cell>
          <cell r="R8569">
            <v>45858</v>
          </cell>
          <cell r="S8569">
            <v>217018</v>
          </cell>
        </row>
        <row r="8570">
          <cell r="K8570" t="str">
            <v>201021</v>
          </cell>
          <cell r="M8570">
            <v>6</v>
          </cell>
          <cell r="R8570">
            <v>45858</v>
          </cell>
          <cell r="S8570">
            <v>201021</v>
          </cell>
        </row>
        <row r="8571">
          <cell r="K8571" t="str">
            <v>213002</v>
          </cell>
          <cell r="M8571">
            <v>1</v>
          </cell>
          <cell r="R8571">
            <v>45858</v>
          </cell>
          <cell r="S8571">
            <v>213002</v>
          </cell>
        </row>
        <row r="8572">
          <cell r="K8572" t="str">
            <v>241001</v>
          </cell>
          <cell r="M8572">
            <v>4</v>
          </cell>
          <cell r="R8572">
            <v>45858</v>
          </cell>
          <cell r="S8572">
            <v>241001</v>
          </cell>
        </row>
        <row r="8573">
          <cell r="K8573" t="str">
            <v>220002</v>
          </cell>
          <cell r="M8573">
            <v>2</v>
          </cell>
          <cell r="R8573">
            <v>45857</v>
          </cell>
          <cell r="S8573">
            <v>220002</v>
          </cell>
        </row>
        <row r="8574">
          <cell r="K8574" t="str">
            <v>223002</v>
          </cell>
          <cell r="M8574">
            <v>8</v>
          </cell>
          <cell r="R8574">
            <v>45857</v>
          </cell>
          <cell r="S8574">
            <v>223002</v>
          </cell>
        </row>
        <row r="8575">
          <cell r="K8575" t="str">
            <v>213002</v>
          </cell>
          <cell r="M8575">
            <v>3</v>
          </cell>
          <cell r="R8575">
            <v>45858</v>
          </cell>
          <cell r="S8575">
            <v>213002</v>
          </cell>
        </row>
        <row r="8576">
          <cell r="K8576" t="str">
            <v>223002</v>
          </cell>
          <cell r="M8576">
            <v>2</v>
          </cell>
          <cell r="R8576">
            <v>45858</v>
          </cell>
          <cell r="S8576">
            <v>223002</v>
          </cell>
        </row>
        <row r="8577">
          <cell r="K8577" t="str">
            <v>201021</v>
          </cell>
          <cell r="M8577">
            <v>3</v>
          </cell>
          <cell r="R8577">
            <v>45856</v>
          </cell>
          <cell r="S8577">
            <v>201021</v>
          </cell>
        </row>
        <row r="8578">
          <cell r="K8578" t="str">
            <v>201021</v>
          </cell>
          <cell r="M8578">
            <v>5</v>
          </cell>
          <cell r="R8578">
            <v>45857</v>
          </cell>
          <cell r="S8578">
            <v>201021</v>
          </cell>
        </row>
        <row r="8579">
          <cell r="K8579" t="str">
            <v>203001</v>
          </cell>
          <cell r="M8579">
            <v>4</v>
          </cell>
          <cell r="R8579">
            <v>45859</v>
          </cell>
          <cell r="S8579">
            <v>203001</v>
          </cell>
        </row>
        <row r="8580">
          <cell r="K8580" t="str">
            <v>231012</v>
          </cell>
          <cell r="M8580">
            <v>6</v>
          </cell>
          <cell r="R8580">
            <v>45859</v>
          </cell>
          <cell r="S8580">
            <v>231012</v>
          </cell>
        </row>
        <row r="8581">
          <cell r="K8581" t="str">
            <v>201021</v>
          </cell>
          <cell r="M8581">
            <v>1</v>
          </cell>
          <cell r="R8581">
            <v>45859</v>
          </cell>
          <cell r="S8581">
            <v>201021</v>
          </cell>
        </row>
        <row r="8582">
          <cell r="K8582" t="str">
            <v>223002</v>
          </cell>
          <cell r="M8582">
            <v>2</v>
          </cell>
          <cell r="R8582">
            <v>45859</v>
          </cell>
          <cell r="S8582">
            <v>223002</v>
          </cell>
        </row>
        <row r="8583">
          <cell r="K8583" t="str">
            <v>223001</v>
          </cell>
          <cell r="M8583">
            <v>8</v>
          </cell>
          <cell r="R8583">
            <v>45859</v>
          </cell>
          <cell r="S8583">
            <v>223001</v>
          </cell>
        </row>
        <row r="8584">
          <cell r="K8584" t="str">
            <v>227014</v>
          </cell>
          <cell r="M8584">
            <v>1</v>
          </cell>
          <cell r="R8584">
            <v>45859</v>
          </cell>
          <cell r="S8584">
            <v>227014</v>
          </cell>
        </row>
        <row r="8585">
          <cell r="K8585" t="str">
            <v>213002</v>
          </cell>
          <cell r="M8585">
            <v>10</v>
          </cell>
          <cell r="R8585">
            <v>45859</v>
          </cell>
          <cell r="S8585">
            <v>213002</v>
          </cell>
        </row>
        <row r="8586">
          <cell r="K8586" t="str">
            <v>213003</v>
          </cell>
          <cell r="M8586">
            <v>7</v>
          </cell>
          <cell r="R8586">
            <v>45856</v>
          </cell>
          <cell r="S8586">
            <v>213003</v>
          </cell>
        </row>
        <row r="8587">
          <cell r="K8587" t="str">
            <v>201021</v>
          </cell>
          <cell r="M8587">
            <v>1</v>
          </cell>
          <cell r="R8587">
            <v>45859</v>
          </cell>
          <cell r="S8587">
            <v>201021</v>
          </cell>
        </row>
        <row r="8588">
          <cell r="K8588" t="str">
            <v>241001</v>
          </cell>
          <cell r="M8588">
            <v>4</v>
          </cell>
          <cell r="R8588">
            <v>45859</v>
          </cell>
          <cell r="S8588">
            <v>241001</v>
          </cell>
        </row>
        <row r="8589">
          <cell r="K8589" t="str">
            <v>241001</v>
          </cell>
          <cell r="M8589">
            <v>5</v>
          </cell>
          <cell r="R8589">
            <v>45858</v>
          </cell>
          <cell r="S8589">
            <v>241001</v>
          </cell>
        </row>
        <row r="8590">
          <cell r="K8590" t="str">
            <v>213002</v>
          </cell>
          <cell r="M8590">
            <v>1</v>
          </cell>
          <cell r="R8590">
            <v>45858</v>
          </cell>
          <cell r="S8590">
            <v>213002</v>
          </cell>
        </row>
        <row r="8591">
          <cell r="K8591" t="str">
            <v>203003</v>
          </cell>
          <cell r="M8591">
            <v>1</v>
          </cell>
          <cell r="R8591">
            <v>45858</v>
          </cell>
          <cell r="S8591">
            <v>203003</v>
          </cell>
        </row>
        <row r="8592">
          <cell r="K8592" t="str">
            <v>209001</v>
          </cell>
          <cell r="M8592">
            <v>1</v>
          </cell>
          <cell r="R8592">
            <v>45858</v>
          </cell>
          <cell r="S8592">
            <v>209001</v>
          </cell>
        </row>
        <row r="8593">
          <cell r="K8593" t="str">
            <v>223002</v>
          </cell>
          <cell r="M8593">
            <v>3</v>
          </cell>
          <cell r="R8593">
            <v>45858</v>
          </cell>
          <cell r="S8593">
            <v>223002</v>
          </cell>
        </row>
        <row r="8594">
          <cell r="K8594" t="str">
            <v>227012</v>
          </cell>
          <cell r="M8594">
            <v>1</v>
          </cell>
          <cell r="R8594">
            <v>45858</v>
          </cell>
          <cell r="S8594">
            <v>227012</v>
          </cell>
        </row>
        <row r="8595">
          <cell r="K8595" t="str">
            <v>231004</v>
          </cell>
          <cell r="M8595">
            <v>1</v>
          </cell>
          <cell r="R8595">
            <v>45859</v>
          </cell>
          <cell r="S8595">
            <v>231004</v>
          </cell>
        </row>
        <row r="8596">
          <cell r="K8596" t="str">
            <v>261004</v>
          </cell>
          <cell r="M8596">
            <v>20</v>
          </cell>
          <cell r="R8596">
            <v>45859</v>
          </cell>
          <cell r="S8596">
            <v>261004</v>
          </cell>
        </row>
        <row r="8597">
          <cell r="K8597" t="str">
            <v>212010</v>
          </cell>
          <cell r="M8597">
            <v>20</v>
          </cell>
          <cell r="R8597">
            <v>45859</v>
          </cell>
          <cell r="S8597">
            <v>212010</v>
          </cell>
        </row>
        <row r="8598">
          <cell r="K8598" t="str">
            <v>201021</v>
          </cell>
          <cell r="M8598">
            <v>6</v>
          </cell>
          <cell r="R8598">
            <v>45859</v>
          </cell>
          <cell r="S8598">
            <v>201021</v>
          </cell>
        </row>
        <row r="8599">
          <cell r="K8599" t="str">
            <v>229001</v>
          </cell>
          <cell r="M8599">
            <v>3</v>
          </cell>
          <cell r="R8599">
            <v>45859</v>
          </cell>
          <cell r="S8599">
            <v>229001</v>
          </cell>
        </row>
        <row r="8600">
          <cell r="K8600" t="str">
            <v>213002</v>
          </cell>
          <cell r="M8600">
            <v>2</v>
          </cell>
          <cell r="R8600">
            <v>45859</v>
          </cell>
          <cell r="S8600">
            <v>213002</v>
          </cell>
        </row>
        <row r="8601">
          <cell r="K8601" t="str">
            <v>201021</v>
          </cell>
          <cell r="M8601">
            <v>7</v>
          </cell>
          <cell r="R8601">
            <v>45859</v>
          </cell>
          <cell r="S8601">
            <v>201021</v>
          </cell>
        </row>
        <row r="8602">
          <cell r="K8602" t="str">
            <v>213002</v>
          </cell>
          <cell r="M8602">
            <v>10</v>
          </cell>
          <cell r="R8602">
            <v>45859</v>
          </cell>
          <cell r="S8602">
            <v>213002</v>
          </cell>
        </row>
        <row r="8603">
          <cell r="K8603" t="str">
            <v>223002</v>
          </cell>
          <cell r="M8603">
            <v>5</v>
          </cell>
          <cell r="R8603">
            <v>45859</v>
          </cell>
          <cell r="S8603">
            <v>223002</v>
          </cell>
        </row>
        <row r="8604">
          <cell r="K8604" t="str">
            <v>203001</v>
          </cell>
          <cell r="M8604">
            <v>1</v>
          </cell>
          <cell r="R8604">
            <v>45859</v>
          </cell>
          <cell r="S8604">
            <v>203001</v>
          </cell>
        </row>
        <row r="8605">
          <cell r="K8605" t="str">
            <v>220002</v>
          </cell>
          <cell r="M8605">
            <v>2</v>
          </cell>
          <cell r="R8605">
            <v>45859</v>
          </cell>
          <cell r="S8605">
            <v>220002</v>
          </cell>
        </row>
        <row r="8606">
          <cell r="K8606" t="str">
            <v>226001</v>
          </cell>
          <cell r="M8606">
            <v>1</v>
          </cell>
          <cell r="R8606">
            <v>45859</v>
          </cell>
          <cell r="S8606">
            <v>226001</v>
          </cell>
        </row>
        <row r="8607">
          <cell r="K8607" t="str">
            <v>206002</v>
          </cell>
          <cell r="M8607">
            <v>1</v>
          </cell>
          <cell r="R8607">
            <v>45859</v>
          </cell>
          <cell r="S8607">
            <v>206002</v>
          </cell>
        </row>
        <row r="8608">
          <cell r="K8608" t="str">
            <v>203004</v>
          </cell>
          <cell r="M8608">
            <v>1</v>
          </cell>
          <cell r="R8608">
            <v>45859</v>
          </cell>
          <cell r="S8608">
            <v>203004</v>
          </cell>
        </row>
        <row r="8609">
          <cell r="K8609" t="str">
            <v>231008</v>
          </cell>
          <cell r="M8609">
            <v>1</v>
          </cell>
          <cell r="R8609">
            <v>45859</v>
          </cell>
          <cell r="S8609">
            <v>231008</v>
          </cell>
        </row>
        <row r="8610">
          <cell r="K8610" t="str">
            <v>226001</v>
          </cell>
          <cell r="M8610">
            <v>1</v>
          </cell>
          <cell r="R8610">
            <v>45859</v>
          </cell>
          <cell r="S8610">
            <v>226001</v>
          </cell>
        </row>
        <row r="8611">
          <cell r="K8611" t="str">
            <v>226001</v>
          </cell>
          <cell r="M8611">
            <v>2</v>
          </cell>
          <cell r="R8611">
            <v>45859</v>
          </cell>
          <cell r="S8611">
            <v>226001</v>
          </cell>
        </row>
        <row r="8612">
          <cell r="K8612" t="str">
            <v>203003</v>
          </cell>
          <cell r="M8612">
            <v>2</v>
          </cell>
          <cell r="R8612">
            <v>45859</v>
          </cell>
          <cell r="S8612">
            <v>203003</v>
          </cell>
        </row>
        <row r="8613">
          <cell r="K8613" t="str">
            <v>226001</v>
          </cell>
          <cell r="M8613">
            <v>1</v>
          </cell>
          <cell r="R8613">
            <v>45859</v>
          </cell>
          <cell r="S8613">
            <v>226001</v>
          </cell>
        </row>
        <row r="8614">
          <cell r="K8614" t="str">
            <v>213003</v>
          </cell>
          <cell r="M8614">
            <v>5</v>
          </cell>
          <cell r="R8614">
            <v>45859</v>
          </cell>
          <cell r="S8614">
            <v>213003</v>
          </cell>
        </row>
        <row r="8615">
          <cell r="K8615" t="str">
            <v>223001</v>
          </cell>
          <cell r="M8615">
            <v>1</v>
          </cell>
          <cell r="R8615">
            <v>45859</v>
          </cell>
          <cell r="S8615">
            <v>223001</v>
          </cell>
        </row>
        <row r="8616">
          <cell r="K8616" t="str">
            <v>203003</v>
          </cell>
          <cell r="M8616">
            <v>1</v>
          </cell>
          <cell r="R8616">
            <v>45859</v>
          </cell>
          <cell r="S8616">
            <v>203003</v>
          </cell>
        </row>
        <row r="8617">
          <cell r="K8617" t="str">
            <v>223001</v>
          </cell>
          <cell r="M8617">
            <v>9</v>
          </cell>
          <cell r="R8617">
            <v>45859</v>
          </cell>
          <cell r="S8617">
            <v>223001</v>
          </cell>
        </row>
        <row r="8618">
          <cell r="K8618" t="str">
            <v>223001</v>
          </cell>
          <cell r="M8618">
            <v>5</v>
          </cell>
          <cell r="R8618">
            <v>45859</v>
          </cell>
          <cell r="S8618">
            <v>223001</v>
          </cell>
        </row>
        <row r="8619">
          <cell r="K8619" t="str">
            <v>213003</v>
          </cell>
          <cell r="M8619">
            <v>3</v>
          </cell>
          <cell r="R8619">
            <v>45859</v>
          </cell>
          <cell r="S8619">
            <v>213003</v>
          </cell>
        </row>
        <row r="8620">
          <cell r="K8620" t="str">
            <v>223001</v>
          </cell>
          <cell r="M8620">
            <v>2</v>
          </cell>
          <cell r="R8620">
            <v>45859</v>
          </cell>
          <cell r="S8620">
            <v>223001</v>
          </cell>
        </row>
        <row r="8621">
          <cell r="K8621" t="str">
            <v>271002</v>
          </cell>
          <cell r="M8621">
            <v>2</v>
          </cell>
          <cell r="R8621">
            <v>45859</v>
          </cell>
          <cell r="S8621">
            <v>271002</v>
          </cell>
        </row>
        <row r="8622">
          <cell r="K8622" t="str">
            <v>201011</v>
          </cell>
          <cell r="M8622">
            <v>6</v>
          </cell>
          <cell r="R8622">
            <v>45859</v>
          </cell>
          <cell r="S8622">
            <v>201011</v>
          </cell>
        </row>
        <row r="8623">
          <cell r="K8623" t="str">
            <v>241001</v>
          </cell>
          <cell r="M8623">
            <v>30</v>
          </cell>
          <cell r="R8623">
            <v>45859</v>
          </cell>
          <cell r="S8623">
            <v>241001</v>
          </cell>
        </row>
        <row r="8624">
          <cell r="K8624" t="str">
            <v>201011</v>
          </cell>
          <cell r="M8624">
            <v>72</v>
          </cell>
          <cell r="R8624">
            <v>45859</v>
          </cell>
          <cell r="S8624">
            <v>201011</v>
          </cell>
        </row>
        <row r="8625">
          <cell r="K8625" t="str">
            <v>228001</v>
          </cell>
          <cell r="M8625">
            <v>2</v>
          </cell>
          <cell r="R8625">
            <v>45859</v>
          </cell>
          <cell r="S8625">
            <v>228001</v>
          </cell>
        </row>
        <row r="8626">
          <cell r="K8626" t="str">
            <v>228001</v>
          </cell>
          <cell r="M8626">
            <v>10</v>
          </cell>
          <cell r="R8626">
            <v>45859</v>
          </cell>
          <cell r="S8626">
            <v>228001</v>
          </cell>
        </row>
        <row r="8627">
          <cell r="K8627" t="str">
            <v>234001</v>
          </cell>
          <cell r="M8627">
            <v>1</v>
          </cell>
          <cell r="R8627">
            <v>45859</v>
          </cell>
          <cell r="S8627">
            <v>234001</v>
          </cell>
        </row>
        <row r="8628">
          <cell r="K8628" t="str">
            <v>231012</v>
          </cell>
          <cell r="M8628">
            <v>10</v>
          </cell>
          <cell r="R8628">
            <v>45859</v>
          </cell>
          <cell r="S8628">
            <v>231012</v>
          </cell>
        </row>
        <row r="8629">
          <cell r="K8629" t="str">
            <v>228001</v>
          </cell>
          <cell r="M8629">
            <v>1</v>
          </cell>
          <cell r="R8629">
            <v>45859</v>
          </cell>
          <cell r="S8629">
            <v>228001</v>
          </cell>
        </row>
        <row r="8630">
          <cell r="K8630" t="str">
            <v>201011</v>
          </cell>
          <cell r="M8630">
            <v>6</v>
          </cell>
          <cell r="R8630">
            <v>45859</v>
          </cell>
          <cell r="S8630">
            <v>201011</v>
          </cell>
        </row>
        <row r="8631">
          <cell r="K8631" t="str">
            <v>201003</v>
          </cell>
          <cell r="M8631">
            <v>1</v>
          </cell>
          <cell r="R8631">
            <v>45859</v>
          </cell>
          <cell r="S8631">
            <v>201003</v>
          </cell>
        </row>
        <row r="8632">
          <cell r="K8632" t="str">
            <v>229004</v>
          </cell>
          <cell r="M8632">
            <v>3</v>
          </cell>
          <cell r="R8632">
            <v>45859</v>
          </cell>
          <cell r="S8632">
            <v>229004</v>
          </cell>
        </row>
        <row r="8633">
          <cell r="K8633" t="str">
            <v>201011</v>
          </cell>
          <cell r="M8633">
            <v>6</v>
          </cell>
          <cell r="R8633">
            <v>45859</v>
          </cell>
          <cell r="S8633">
            <v>201011</v>
          </cell>
        </row>
        <row r="8634">
          <cell r="K8634" t="str">
            <v>201011</v>
          </cell>
          <cell r="M8634">
            <v>20</v>
          </cell>
          <cell r="R8634">
            <v>45859</v>
          </cell>
          <cell r="S8634">
            <v>201011</v>
          </cell>
        </row>
        <row r="8635">
          <cell r="K8635" t="str">
            <v>228001</v>
          </cell>
          <cell r="M8635">
            <v>3</v>
          </cell>
          <cell r="R8635">
            <v>45859</v>
          </cell>
          <cell r="S8635">
            <v>228001</v>
          </cell>
        </row>
        <row r="8636">
          <cell r="K8636" t="str">
            <v>231012</v>
          </cell>
          <cell r="M8636">
            <v>1</v>
          </cell>
          <cell r="R8636">
            <v>45859</v>
          </cell>
          <cell r="S8636">
            <v>231012</v>
          </cell>
        </row>
        <row r="8637">
          <cell r="K8637" t="str">
            <v>201003</v>
          </cell>
          <cell r="M8637">
            <v>1</v>
          </cell>
          <cell r="R8637">
            <v>45859</v>
          </cell>
          <cell r="S8637">
            <v>201003</v>
          </cell>
        </row>
        <row r="8638">
          <cell r="K8638" t="str">
            <v>228001</v>
          </cell>
          <cell r="M8638">
            <v>7</v>
          </cell>
          <cell r="R8638">
            <v>45859</v>
          </cell>
          <cell r="S8638">
            <v>228001</v>
          </cell>
        </row>
        <row r="8639">
          <cell r="K8639" t="str">
            <v>203003</v>
          </cell>
          <cell r="M8639">
            <v>1</v>
          </cell>
          <cell r="R8639">
            <v>45859</v>
          </cell>
          <cell r="S8639">
            <v>203003</v>
          </cell>
        </row>
        <row r="8640">
          <cell r="K8640" t="str">
            <v>228001</v>
          </cell>
          <cell r="M8640">
            <v>2</v>
          </cell>
          <cell r="R8640">
            <v>45859</v>
          </cell>
          <cell r="S8640">
            <v>228001</v>
          </cell>
        </row>
        <row r="8641">
          <cell r="K8641" t="str">
            <v>206006</v>
          </cell>
          <cell r="M8641">
            <v>1</v>
          </cell>
          <cell r="R8641">
            <v>45859</v>
          </cell>
          <cell r="S8641">
            <v>206006</v>
          </cell>
        </row>
        <row r="8642">
          <cell r="K8642" t="str">
            <v>206002</v>
          </cell>
          <cell r="M8642">
            <v>1</v>
          </cell>
          <cell r="R8642">
            <v>45859</v>
          </cell>
          <cell r="S8642">
            <v>206002</v>
          </cell>
        </row>
        <row r="8643">
          <cell r="K8643" t="str">
            <v>208001</v>
          </cell>
          <cell r="M8643">
            <v>1</v>
          </cell>
          <cell r="R8643">
            <v>45859</v>
          </cell>
          <cell r="S8643">
            <v>208001</v>
          </cell>
        </row>
        <row r="8644">
          <cell r="K8644" t="str">
            <v>203004</v>
          </cell>
          <cell r="M8644">
            <v>1</v>
          </cell>
          <cell r="R8644">
            <v>45859</v>
          </cell>
          <cell r="S8644">
            <v>203004</v>
          </cell>
        </row>
        <row r="8645">
          <cell r="K8645" t="str">
            <v>218001</v>
          </cell>
          <cell r="M8645">
            <v>1</v>
          </cell>
          <cell r="R8645">
            <v>45859</v>
          </cell>
          <cell r="S8645">
            <v>218001</v>
          </cell>
        </row>
        <row r="8646">
          <cell r="K8646" t="str">
            <v>206005</v>
          </cell>
          <cell r="M8646">
            <v>1</v>
          </cell>
          <cell r="R8646">
            <v>45859</v>
          </cell>
          <cell r="S8646">
            <v>206005</v>
          </cell>
        </row>
        <row r="8647">
          <cell r="K8647" t="str">
            <v>203004</v>
          </cell>
          <cell r="M8647">
            <v>1</v>
          </cell>
          <cell r="R8647">
            <v>45859</v>
          </cell>
          <cell r="S8647">
            <v>203004</v>
          </cell>
        </row>
        <row r="8648">
          <cell r="K8648" t="str">
            <v>217019</v>
          </cell>
          <cell r="M8648">
            <v>6</v>
          </cell>
          <cell r="R8648">
            <v>45859</v>
          </cell>
          <cell r="S8648">
            <v>217019</v>
          </cell>
        </row>
        <row r="8649">
          <cell r="K8649" t="str">
            <v>228001</v>
          </cell>
          <cell r="M8649">
            <v>13</v>
          </cell>
          <cell r="R8649">
            <v>45859</v>
          </cell>
          <cell r="S8649">
            <v>228001</v>
          </cell>
        </row>
        <row r="8650">
          <cell r="K8650" t="str">
            <v>217019</v>
          </cell>
          <cell r="M8650">
            <v>2</v>
          </cell>
          <cell r="R8650">
            <v>45859</v>
          </cell>
          <cell r="S8650">
            <v>217019</v>
          </cell>
        </row>
        <row r="8651">
          <cell r="K8651" t="str">
            <v>213003</v>
          </cell>
          <cell r="M8651">
            <v>1</v>
          </cell>
          <cell r="R8651">
            <v>45859</v>
          </cell>
          <cell r="S8651">
            <v>213003</v>
          </cell>
        </row>
        <row r="8652">
          <cell r="K8652" t="str">
            <v>203003</v>
          </cell>
          <cell r="M8652">
            <v>1</v>
          </cell>
          <cell r="R8652">
            <v>45859</v>
          </cell>
          <cell r="S8652">
            <v>203003</v>
          </cell>
        </row>
        <row r="8653">
          <cell r="K8653" t="str">
            <v>207002</v>
          </cell>
          <cell r="M8653">
            <v>1</v>
          </cell>
          <cell r="R8653">
            <v>45859</v>
          </cell>
          <cell r="S8653">
            <v>207002</v>
          </cell>
        </row>
        <row r="8654">
          <cell r="K8654" t="str">
            <v>228001</v>
          </cell>
          <cell r="M8654">
            <v>1</v>
          </cell>
          <cell r="R8654">
            <v>45859</v>
          </cell>
          <cell r="S8654">
            <v>228001</v>
          </cell>
        </row>
        <row r="8655">
          <cell r="K8655" t="str">
            <v>207002</v>
          </cell>
          <cell r="M8655">
            <v>1</v>
          </cell>
          <cell r="R8655">
            <v>45859</v>
          </cell>
          <cell r="S8655">
            <v>207002</v>
          </cell>
        </row>
        <row r="8656">
          <cell r="K8656" t="str">
            <v>229001</v>
          </cell>
          <cell r="M8656">
            <v>2</v>
          </cell>
          <cell r="R8656">
            <v>45859</v>
          </cell>
          <cell r="S8656">
            <v>229001</v>
          </cell>
        </row>
        <row r="8657">
          <cell r="K8657" t="str">
            <v>207002</v>
          </cell>
          <cell r="M8657">
            <v>1</v>
          </cell>
          <cell r="R8657">
            <v>45859</v>
          </cell>
          <cell r="S8657">
            <v>207002</v>
          </cell>
        </row>
        <row r="8658">
          <cell r="K8658" t="str">
            <v>228001</v>
          </cell>
          <cell r="M8658">
            <v>10</v>
          </cell>
          <cell r="R8658">
            <v>45859</v>
          </cell>
          <cell r="S8658">
            <v>228001</v>
          </cell>
        </row>
        <row r="8659">
          <cell r="K8659" t="str">
            <v>228001</v>
          </cell>
          <cell r="M8659">
            <v>4</v>
          </cell>
          <cell r="R8659">
            <v>45859</v>
          </cell>
          <cell r="S8659">
            <v>228001</v>
          </cell>
        </row>
        <row r="8660">
          <cell r="K8660" t="str">
            <v>203004</v>
          </cell>
          <cell r="M8660">
            <v>1</v>
          </cell>
          <cell r="R8660">
            <v>45859</v>
          </cell>
          <cell r="S8660">
            <v>203004</v>
          </cell>
        </row>
        <row r="8661">
          <cell r="K8661" t="str">
            <v>201011</v>
          </cell>
          <cell r="M8661">
            <v>2</v>
          </cell>
          <cell r="R8661">
            <v>45859</v>
          </cell>
          <cell r="S8661">
            <v>201011</v>
          </cell>
        </row>
        <row r="8662">
          <cell r="K8662" t="str">
            <v>213002</v>
          </cell>
          <cell r="M8662">
            <v>3</v>
          </cell>
          <cell r="R8662">
            <v>45859</v>
          </cell>
          <cell r="S8662">
            <v>213002</v>
          </cell>
        </row>
        <row r="8663">
          <cell r="K8663" t="str">
            <v>201011</v>
          </cell>
          <cell r="M8663">
            <v>12</v>
          </cell>
          <cell r="R8663">
            <v>45859</v>
          </cell>
          <cell r="S8663">
            <v>201011</v>
          </cell>
        </row>
        <row r="8664">
          <cell r="K8664" t="str">
            <v>220002</v>
          </cell>
          <cell r="M8664">
            <v>1</v>
          </cell>
          <cell r="R8664">
            <v>45859</v>
          </cell>
          <cell r="S8664">
            <v>220002</v>
          </cell>
        </row>
        <row r="8665">
          <cell r="K8665" t="str">
            <v>213003</v>
          </cell>
          <cell r="M8665">
            <v>1</v>
          </cell>
          <cell r="R8665">
            <v>45859</v>
          </cell>
          <cell r="S8665">
            <v>213003</v>
          </cell>
        </row>
        <row r="8666">
          <cell r="K8666" t="str">
            <v>223002</v>
          </cell>
          <cell r="M8666">
            <v>1</v>
          </cell>
          <cell r="R8666">
            <v>45859</v>
          </cell>
          <cell r="S8666">
            <v>223002</v>
          </cell>
        </row>
        <row r="8667">
          <cell r="K8667" t="str">
            <v>229003</v>
          </cell>
          <cell r="M8667">
            <v>1</v>
          </cell>
          <cell r="R8667">
            <v>45859</v>
          </cell>
          <cell r="S8667">
            <v>229003</v>
          </cell>
        </row>
        <row r="8668">
          <cell r="K8668" t="str">
            <v>237001</v>
          </cell>
          <cell r="M8668">
            <v>1</v>
          </cell>
          <cell r="R8668">
            <v>45859</v>
          </cell>
          <cell r="S8668">
            <v>237001</v>
          </cell>
        </row>
        <row r="8669">
          <cell r="K8669" t="str">
            <v>241001</v>
          </cell>
          <cell r="M8669">
            <v>3</v>
          </cell>
          <cell r="R8669">
            <v>45860</v>
          </cell>
          <cell r="S8669">
            <v>241001</v>
          </cell>
        </row>
        <row r="8670">
          <cell r="K8670" t="str">
            <v>231010</v>
          </cell>
          <cell r="M8670">
            <v>1</v>
          </cell>
          <cell r="R8670">
            <v>45860</v>
          </cell>
          <cell r="S8670">
            <v>231010</v>
          </cell>
        </row>
        <row r="8671">
          <cell r="K8671" t="str">
            <v>212035</v>
          </cell>
          <cell r="M8671">
            <v>1</v>
          </cell>
          <cell r="R8671">
            <v>45860</v>
          </cell>
          <cell r="S8671">
            <v>212035</v>
          </cell>
        </row>
        <row r="8672">
          <cell r="K8672" t="str">
            <v>201011</v>
          </cell>
          <cell r="M8672">
            <v>2</v>
          </cell>
          <cell r="R8672">
            <v>45860</v>
          </cell>
          <cell r="S8672">
            <v>201011</v>
          </cell>
        </row>
        <row r="8673">
          <cell r="K8673" t="str">
            <v>203001</v>
          </cell>
          <cell r="M8673">
            <v>8</v>
          </cell>
          <cell r="R8673">
            <v>45860</v>
          </cell>
          <cell r="S8673">
            <v>203001</v>
          </cell>
        </row>
        <row r="8674">
          <cell r="K8674" t="str">
            <v>227002</v>
          </cell>
          <cell r="M8674">
            <v>1</v>
          </cell>
          <cell r="R8674">
            <v>45860</v>
          </cell>
          <cell r="S8674">
            <v>227002</v>
          </cell>
        </row>
        <row r="8675">
          <cell r="K8675" t="str">
            <v>201003</v>
          </cell>
          <cell r="M8675">
            <v>1</v>
          </cell>
          <cell r="R8675">
            <v>45860</v>
          </cell>
          <cell r="S8675">
            <v>201003</v>
          </cell>
        </row>
        <row r="8676">
          <cell r="K8676" t="str">
            <v>201011</v>
          </cell>
          <cell r="M8676">
            <v>15</v>
          </cell>
          <cell r="R8676">
            <v>45859</v>
          </cell>
          <cell r="S8676">
            <v>201011</v>
          </cell>
        </row>
        <row r="8677">
          <cell r="K8677" t="str">
            <v>213003</v>
          </cell>
          <cell r="M8677">
            <v>4</v>
          </cell>
          <cell r="R8677">
            <v>45859</v>
          </cell>
          <cell r="S8677">
            <v>213003</v>
          </cell>
        </row>
        <row r="8678">
          <cell r="K8678" t="str">
            <v>223002</v>
          </cell>
          <cell r="M8678">
            <v>4</v>
          </cell>
          <cell r="R8678">
            <v>45859</v>
          </cell>
          <cell r="S8678">
            <v>223002</v>
          </cell>
        </row>
        <row r="8679">
          <cell r="K8679" t="str">
            <v>222001</v>
          </cell>
          <cell r="M8679">
            <v>1</v>
          </cell>
          <cell r="R8679">
            <v>45859</v>
          </cell>
          <cell r="S8679">
            <v>222001</v>
          </cell>
        </row>
        <row r="8680">
          <cell r="K8680" t="str">
            <v>227014</v>
          </cell>
          <cell r="M8680">
            <v>1</v>
          </cell>
          <cell r="R8680">
            <v>45859</v>
          </cell>
          <cell r="S8680">
            <v>227014</v>
          </cell>
        </row>
        <row r="8681">
          <cell r="K8681" t="str">
            <v>222001</v>
          </cell>
          <cell r="M8681">
            <v>1</v>
          </cell>
          <cell r="R8681">
            <v>45859</v>
          </cell>
          <cell r="S8681">
            <v>222001</v>
          </cell>
        </row>
        <row r="8682">
          <cell r="K8682" t="str">
            <v>222001</v>
          </cell>
          <cell r="M8682">
            <v>1</v>
          </cell>
          <cell r="R8682">
            <v>45859</v>
          </cell>
          <cell r="S8682">
            <v>222001</v>
          </cell>
        </row>
        <row r="8683">
          <cell r="K8683" t="str">
            <v>203003</v>
          </cell>
          <cell r="M8683">
            <v>1</v>
          </cell>
          <cell r="R8683">
            <v>45859</v>
          </cell>
          <cell r="S8683">
            <v>203003</v>
          </cell>
        </row>
        <row r="8684">
          <cell r="K8684" t="str">
            <v>226030</v>
          </cell>
          <cell r="M8684">
            <v>3</v>
          </cell>
          <cell r="R8684">
            <v>45859</v>
          </cell>
          <cell r="S8684">
            <v>226030</v>
          </cell>
        </row>
        <row r="8685">
          <cell r="K8685" t="str">
            <v>227012</v>
          </cell>
          <cell r="M8685">
            <v>1</v>
          </cell>
          <cell r="R8685">
            <v>45860</v>
          </cell>
          <cell r="S8685">
            <v>227012</v>
          </cell>
        </row>
        <row r="8686">
          <cell r="K8686" t="str">
            <v>209012</v>
          </cell>
          <cell r="M8686">
            <v>1</v>
          </cell>
          <cell r="R8686">
            <v>45859</v>
          </cell>
          <cell r="S8686">
            <v>209012</v>
          </cell>
        </row>
        <row r="8687">
          <cell r="K8687" t="str">
            <v>203001</v>
          </cell>
          <cell r="M8687">
            <v>4</v>
          </cell>
          <cell r="R8687">
            <v>45859</v>
          </cell>
          <cell r="S8687">
            <v>203001</v>
          </cell>
        </row>
        <row r="8688">
          <cell r="K8688" t="str">
            <v>217006</v>
          </cell>
          <cell r="M8688">
            <v>1</v>
          </cell>
          <cell r="R8688">
            <v>45859</v>
          </cell>
          <cell r="S8688">
            <v>217006</v>
          </cell>
        </row>
        <row r="8689">
          <cell r="K8689" t="str">
            <v>261004</v>
          </cell>
          <cell r="M8689">
            <v>1</v>
          </cell>
          <cell r="R8689">
            <v>45859</v>
          </cell>
          <cell r="S8689">
            <v>261004</v>
          </cell>
        </row>
        <row r="8690">
          <cell r="K8690" t="str">
            <v>241001</v>
          </cell>
          <cell r="M8690">
            <v>5</v>
          </cell>
          <cell r="R8690">
            <v>45859</v>
          </cell>
          <cell r="S8690">
            <v>241001</v>
          </cell>
        </row>
        <row r="8691">
          <cell r="K8691" t="str">
            <v>222001</v>
          </cell>
          <cell r="M8691">
            <v>5</v>
          </cell>
          <cell r="R8691">
            <v>45859</v>
          </cell>
          <cell r="S8691">
            <v>222001</v>
          </cell>
        </row>
        <row r="8692">
          <cell r="K8692" t="str">
            <v>217002</v>
          </cell>
          <cell r="M8692">
            <v>1</v>
          </cell>
          <cell r="R8692">
            <v>45859</v>
          </cell>
          <cell r="S8692">
            <v>217002</v>
          </cell>
        </row>
        <row r="8693">
          <cell r="K8693" t="str">
            <v>226022</v>
          </cell>
          <cell r="M8693">
            <v>1</v>
          </cell>
          <cell r="R8693">
            <v>45859</v>
          </cell>
          <cell r="S8693">
            <v>226022</v>
          </cell>
        </row>
        <row r="8694">
          <cell r="K8694" t="str">
            <v>231012</v>
          </cell>
          <cell r="M8694">
            <v>3</v>
          </cell>
          <cell r="R8694">
            <v>45859</v>
          </cell>
          <cell r="S8694">
            <v>231012</v>
          </cell>
        </row>
        <row r="8695">
          <cell r="K8695" t="str">
            <v>213002</v>
          </cell>
          <cell r="M8695">
            <v>3</v>
          </cell>
          <cell r="R8695">
            <v>45859</v>
          </cell>
          <cell r="S8695">
            <v>213002</v>
          </cell>
        </row>
        <row r="8696">
          <cell r="K8696" t="str">
            <v>217018</v>
          </cell>
          <cell r="M8696">
            <v>1</v>
          </cell>
          <cell r="R8696">
            <v>45859</v>
          </cell>
          <cell r="S8696">
            <v>217018</v>
          </cell>
        </row>
        <row r="8697">
          <cell r="K8697" t="str">
            <v>213002</v>
          </cell>
          <cell r="M8697">
            <v>6</v>
          </cell>
          <cell r="R8697">
            <v>45860</v>
          </cell>
          <cell r="S8697">
            <v>213002</v>
          </cell>
        </row>
        <row r="8698">
          <cell r="K8698" t="str">
            <v>201011</v>
          </cell>
          <cell r="M8698">
            <v>1</v>
          </cell>
          <cell r="R8698">
            <v>45860</v>
          </cell>
          <cell r="S8698">
            <v>201011</v>
          </cell>
        </row>
        <row r="8699">
          <cell r="K8699" t="str">
            <v>217020</v>
          </cell>
          <cell r="M8699">
            <v>1</v>
          </cell>
          <cell r="R8699">
            <v>45859</v>
          </cell>
          <cell r="S8699">
            <v>217020</v>
          </cell>
        </row>
        <row r="8700">
          <cell r="K8700" t="str">
            <v>223001</v>
          </cell>
          <cell r="M8700">
            <v>1</v>
          </cell>
          <cell r="R8700">
            <v>45859</v>
          </cell>
          <cell r="S8700">
            <v>223001</v>
          </cell>
        </row>
        <row r="8701">
          <cell r="K8701" t="str">
            <v>203003</v>
          </cell>
          <cell r="M8701">
            <v>2</v>
          </cell>
          <cell r="R8701">
            <v>45859</v>
          </cell>
          <cell r="S8701">
            <v>203003</v>
          </cell>
        </row>
        <row r="8702">
          <cell r="K8702" t="str">
            <v>223002</v>
          </cell>
          <cell r="M8702">
            <v>3</v>
          </cell>
          <cell r="R8702">
            <v>45859</v>
          </cell>
          <cell r="S8702">
            <v>223002</v>
          </cell>
        </row>
        <row r="8703">
          <cell r="K8703" t="str">
            <v>201002</v>
          </cell>
          <cell r="M8703">
            <v>1</v>
          </cell>
          <cell r="R8703">
            <v>45859</v>
          </cell>
          <cell r="S8703">
            <v>201002</v>
          </cell>
        </row>
        <row r="8704">
          <cell r="K8704" t="str">
            <v>226027</v>
          </cell>
          <cell r="M8704">
            <v>2</v>
          </cell>
          <cell r="R8704">
            <v>45859</v>
          </cell>
          <cell r="S8704">
            <v>226027</v>
          </cell>
        </row>
        <row r="8705">
          <cell r="K8705" t="str">
            <v>210014</v>
          </cell>
          <cell r="M8705">
            <v>2</v>
          </cell>
          <cell r="R8705">
            <v>45859</v>
          </cell>
          <cell r="S8705">
            <v>210014</v>
          </cell>
        </row>
        <row r="8706">
          <cell r="K8706" t="str">
            <v>226022</v>
          </cell>
          <cell r="M8706">
            <v>1</v>
          </cell>
          <cell r="R8706">
            <v>45859</v>
          </cell>
          <cell r="S8706">
            <v>226022</v>
          </cell>
        </row>
        <row r="8707">
          <cell r="K8707" t="str">
            <v>231012</v>
          </cell>
          <cell r="M8707">
            <v>1</v>
          </cell>
          <cell r="R8707">
            <v>45859</v>
          </cell>
          <cell r="S8707">
            <v>231012</v>
          </cell>
        </row>
        <row r="8708">
          <cell r="K8708" t="str">
            <v>223001</v>
          </cell>
          <cell r="M8708">
            <v>2</v>
          </cell>
          <cell r="R8708">
            <v>45859</v>
          </cell>
          <cell r="S8708">
            <v>223001</v>
          </cell>
        </row>
        <row r="8709">
          <cell r="K8709" t="str">
            <v>201011</v>
          </cell>
          <cell r="M8709">
            <v>36</v>
          </cell>
          <cell r="R8709">
            <v>45859</v>
          </cell>
          <cell r="S8709">
            <v>201011</v>
          </cell>
        </row>
        <row r="8710">
          <cell r="K8710" t="str">
            <v>217022</v>
          </cell>
          <cell r="M8710">
            <v>10</v>
          </cell>
          <cell r="R8710">
            <v>45859</v>
          </cell>
          <cell r="S8710">
            <v>217022</v>
          </cell>
        </row>
        <row r="8711">
          <cell r="K8711" t="str">
            <v>213003</v>
          </cell>
          <cell r="M8711">
            <v>5</v>
          </cell>
          <cell r="R8711">
            <v>45859</v>
          </cell>
          <cell r="S8711">
            <v>213003</v>
          </cell>
        </row>
        <row r="8712">
          <cell r="K8712" t="str">
            <v>222001</v>
          </cell>
          <cell r="M8712">
            <v>3</v>
          </cell>
          <cell r="R8712">
            <v>45859</v>
          </cell>
          <cell r="S8712">
            <v>222001</v>
          </cell>
        </row>
        <row r="8713">
          <cell r="K8713" t="str">
            <v>261004</v>
          </cell>
          <cell r="M8713">
            <v>1</v>
          </cell>
          <cell r="R8713">
            <v>45859</v>
          </cell>
          <cell r="S8713">
            <v>261004</v>
          </cell>
        </row>
        <row r="8714">
          <cell r="K8714" t="str">
            <v>226004</v>
          </cell>
          <cell r="M8714">
            <v>1</v>
          </cell>
          <cell r="R8714">
            <v>45860</v>
          </cell>
          <cell r="S8714">
            <v>226004</v>
          </cell>
        </row>
        <row r="8715">
          <cell r="K8715" t="str">
            <v>208001</v>
          </cell>
          <cell r="M8715">
            <v>1</v>
          </cell>
          <cell r="R8715">
            <v>45859</v>
          </cell>
          <cell r="S8715">
            <v>208001</v>
          </cell>
        </row>
        <row r="8716">
          <cell r="K8716" t="str">
            <v>201011</v>
          </cell>
          <cell r="M8716">
            <v>2</v>
          </cell>
          <cell r="R8716">
            <v>45859</v>
          </cell>
          <cell r="S8716">
            <v>201011</v>
          </cell>
        </row>
        <row r="8717">
          <cell r="K8717" t="str">
            <v>201011</v>
          </cell>
          <cell r="M8717">
            <v>6</v>
          </cell>
          <cell r="R8717">
            <v>45859</v>
          </cell>
          <cell r="S8717">
            <v>201011</v>
          </cell>
        </row>
        <row r="8718">
          <cell r="K8718" t="str">
            <v>201021</v>
          </cell>
          <cell r="M8718">
            <v>2</v>
          </cell>
          <cell r="R8718">
            <v>45859</v>
          </cell>
          <cell r="S8718">
            <v>201021</v>
          </cell>
        </row>
        <row r="8719">
          <cell r="K8719" t="str">
            <v>235008</v>
          </cell>
          <cell r="M8719">
            <v>1</v>
          </cell>
          <cell r="R8719">
            <v>45860</v>
          </cell>
          <cell r="S8719">
            <v>235008</v>
          </cell>
        </row>
        <row r="8720">
          <cell r="K8720" t="str">
            <v>209002</v>
          </cell>
          <cell r="M8720">
            <v>1</v>
          </cell>
          <cell r="R8720">
            <v>45860</v>
          </cell>
          <cell r="S8720">
            <v>209002</v>
          </cell>
        </row>
        <row r="8721">
          <cell r="K8721" t="str">
            <v>217006</v>
          </cell>
          <cell r="M8721">
            <v>1</v>
          </cell>
          <cell r="R8721">
            <v>45860</v>
          </cell>
          <cell r="S8721">
            <v>217006</v>
          </cell>
        </row>
        <row r="8722">
          <cell r="K8722" t="str">
            <v>213003</v>
          </cell>
          <cell r="M8722">
            <v>5</v>
          </cell>
          <cell r="R8722">
            <v>45860</v>
          </cell>
          <cell r="S8722">
            <v>213003</v>
          </cell>
        </row>
        <row r="8723">
          <cell r="K8723" t="str">
            <v>217002</v>
          </cell>
          <cell r="M8723">
            <v>8</v>
          </cell>
          <cell r="R8723">
            <v>45860</v>
          </cell>
          <cell r="S8723">
            <v>217002</v>
          </cell>
        </row>
        <row r="8724">
          <cell r="K8724" t="str">
            <v>201002</v>
          </cell>
          <cell r="M8724">
            <v>1</v>
          </cell>
          <cell r="R8724">
            <v>45860</v>
          </cell>
          <cell r="S8724">
            <v>201002</v>
          </cell>
        </row>
        <row r="8725">
          <cell r="K8725" t="str">
            <v>213002</v>
          </cell>
          <cell r="M8725">
            <v>6</v>
          </cell>
          <cell r="R8725">
            <v>45860</v>
          </cell>
          <cell r="S8725">
            <v>213002</v>
          </cell>
        </row>
        <row r="8726">
          <cell r="K8726" t="str">
            <v>201011</v>
          </cell>
          <cell r="M8726">
            <v>1</v>
          </cell>
          <cell r="R8726">
            <v>45860</v>
          </cell>
          <cell r="S8726">
            <v>201011</v>
          </cell>
        </row>
        <row r="8727">
          <cell r="K8727" t="str">
            <v>226029</v>
          </cell>
          <cell r="M8727">
            <v>1</v>
          </cell>
          <cell r="R8727">
            <v>45860</v>
          </cell>
          <cell r="S8727">
            <v>226029</v>
          </cell>
        </row>
        <row r="8728">
          <cell r="K8728" t="str">
            <v>201011</v>
          </cell>
          <cell r="M8728">
            <v>10</v>
          </cell>
          <cell r="R8728">
            <v>45860</v>
          </cell>
          <cell r="S8728">
            <v>201011</v>
          </cell>
        </row>
        <row r="8729">
          <cell r="K8729" t="str">
            <v>226029</v>
          </cell>
          <cell r="M8729">
            <v>8</v>
          </cell>
          <cell r="R8729">
            <v>45860</v>
          </cell>
          <cell r="S8729">
            <v>226029</v>
          </cell>
        </row>
        <row r="8730">
          <cell r="K8730" t="str">
            <v>227001</v>
          </cell>
          <cell r="M8730">
            <v>2</v>
          </cell>
          <cell r="R8730">
            <v>45860</v>
          </cell>
          <cell r="S8730">
            <v>227001</v>
          </cell>
        </row>
        <row r="8731">
          <cell r="K8731" t="str">
            <v>223002</v>
          </cell>
          <cell r="M8731">
            <v>1</v>
          </cell>
          <cell r="R8731">
            <v>45860</v>
          </cell>
          <cell r="S8731">
            <v>223002</v>
          </cell>
        </row>
        <row r="8732">
          <cell r="K8732" t="str">
            <v>223001</v>
          </cell>
          <cell r="M8732">
            <v>1</v>
          </cell>
          <cell r="R8732">
            <v>45860</v>
          </cell>
          <cell r="S8732">
            <v>223001</v>
          </cell>
        </row>
        <row r="8733">
          <cell r="K8733" t="str">
            <v>231012</v>
          </cell>
          <cell r="M8733">
            <v>1</v>
          </cell>
          <cell r="R8733">
            <v>45860</v>
          </cell>
          <cell r="S8733">
            <v>231012</v>
          </cell>
        </row>
        <row r="8734">
          <cell r="K8734" t="str">
            <v>240006</v>
          </cell>
          <cell r="M8734">
            <v>1</v>
          </cell>
          <cell r="R8734">
            <v>45860</v>
          </cell>
          <cell r="S8734">
            <v>240006</v>
          </cell>
        </row>
        <row r="8735">
          <cell r="K8735" t="str">
            <v>241001</v>
          </cell>
          <cell r="M8735">
            <v>1</v>
          </cell>
          <cell r="R8735">
            <v>45860</v>
          </cell>
          <cell r="S8735">
            <v>241001</v>
          </cell>
        </row>
        <row r="8736">
          <cell r="K8736" t="str">
            <v>201011</v>
          </cell>
          <cell r="M8736">
            <v>1</v>
          </cell>
          <cell r="R8736">
            <v>45860</v>
          </cell>
          <cell r="S8736">
            <v>201011</v>
          </cell>
        </row>
        <row r="8737">
          <cell r="K8737" t="str">
            <v>201022</v>
          </cell>
          <cell r="M8737">
            <v>1</v>
          </cell>
          <cell r="R8737">
            <v>45860</v>
          </cell>
          <cell r="S8737">
            <v>201022</v>
          </cell>
        </row>
        <row r="8738">
          <cell r="K8738" t="str">
            <v>217011</v>
          </cell>
          <cell r="M8738">
            <v>9</v>
          </cell>
          <cell r="R8738">
            <v>45860</v>
          </cell>
          <cell r="S8738">
            <v>217011</v>
          </cell>
        </row>
        <row r="8739">
          <cell r="K8739" t="str">
            <v>201011</v>
          </cell>
          <cell r="M8739">
            <v>2</v>
          </cell>
          <cell r="R8739">
            <v>45860</v>
          </cell>
          <cell r="S8739">
            <v>201011</v>
          </cell>
        </row>
        <row r="8740">
          <cell r="K8740" t="str">
            <v>212035</v>
          </cell>
          <cell r="M8740">
            <v>4</v>
          </cell>
          <cell r="R8740">
            <v>45860</v>
          </cell>
          <cell r="S8740">
            <v>212035</v>
          </cell>
        </row>
        <row r="8741">
          <cell r="K8741" t="str">
            <v>209002</v>
          </cell>
          <cell r="M8741">
            <v>1</v>
          </cell>
          <cell r="R8741">
            <v>45860</v>
          </cell>
          <cell r="S8741">
            <v>209002</v>
          </cell>
        </row>
        <row r="8742">
          <cell r="K8742" t="str">
            <v>217011</v>
          </cell>
          <cell r="M8742">
            <v>1</v>
          </cell>
          <cell r="R8742">
            <v>45860</v>
          </cell>
          <cell r="S8742">
            <v>217011</v>
          </cell>
        </row>
        <row r="8743">
          <cell r="K8743" t="str">
            <v>228001</v>
          </cell>
          <cell r="M8743">
            <v>2</v>
          </cell>
          <cell r="R8743">
            <v>45860</v>
          </cell>
          <cell r="S8743">
            <v>228001</v>
          </cell>
        </row>
        <row r="8744">
          <cell r="K8744" t="str">
            <v>209004</v>
          </cell>
          <cell r="M8744">
            <v>1</v>
          </cell>
          <cell r="R8744">
            <v>45860</v>
          </cell>
          <cell r="S8744">
            <v>209004</v>
          </cell>
        </row>
        <row r="8745">
          <cell r="K8745" t="str">
            <v>217018</v>
          </cell>
          <cell r="M8745">
            <v>4</v>
          </cell>
          <cell r="R8745">
            <v>45860</v>
          </cell>
          <cell r="S8745">
            <v>217018</v>
          </cell>
        </row>
        <row r="8746">
          <cell r="K8746" t="str">
            <v>209004</v>
          </cell>
          <cell r="M8746">
            <v>2</v>
          </cell>
          <cell r="R8746">
            <v>45860</v>
          </cell>
          <cell r="S8746">
            <v>209004</v>
          </cell>
        </row>
        <row r="8747">
          <cell r="K8747" t="str">
            <v>201004</v>
          </cell>
          <cell r="M8747">
            <v>2</v>
          </cell>
          <cell r="R8747">
            <v>45860</v>
          </cell>
          <cell r="S8747">
            <v>201004</v>
          </cell>
        </row>
        <row r="8748">
          <cell r="K8748" t="str">
            <v>210014</v>
          </cell>
          <cell r="M8748">
            <v>4</v>
          </cell>
          <cell r="R8748">
            <v>45860</v>
          </cell>
          <cell r="S8748">
            <v>210014</v>
          </cell>
        </row>
        <row r="8749">
          <cell r="K8749" t="str">
            <v>209022</v>
          </cell>
          <cell r="M8749">
            <v>3</v>
          </cell>
          <cell r="R8749">
            <v>45860</v>
          </cell>
          <cell r="S8749">
            <v>209022</v>
          </cell>
        </row>
        <row r="8750">
          <cell r="K8750" t="str">
            <v>209022</v>
          </cell>
          <cell r="M8750">
            <v>1</v>
          </cell>
          <cell r="R8750">
            <v>45860</v>
          </cell>
          <cell r="S8750">
            <v>209022</v>
          </cell>
        </row>
        <row r="8751">
          <cell r="K8751" t="str">
            <v>227012</v>
          </cell>
          <cell r="M8751">
            <v>3</v>
          </cell>
          <cell r="R8751">
            <v>45860</v>
          </cell>
          <cell r="S8751">
            <v>227012</v>
          </cell>
        </row>
        <row r="8752">
          <cell r="K8752" t="str">
            <v>210010</v>
          </cell>
          <cell r="M8752">
            <v>2</v>
          </cell>
          <cell r="R8752">
            <v>45860</v>
          </cell>
          <cell r="S8752">
            <v>210010</v>
          </cell>
        </row>
        <row r="8753">
          <cell r="K8753" t="str">
            <v>213003</v>
          </cell>
          <cell r="M8753">
            <v>20</v>
          </cell>
          <cell r="R8753">
            <v>45860</v>
          </cell>
          <cell r="S8753">
            <v>213003</v>
          </cell>
        </row>
        <row r="8754">
          <cell r="K8754" t="str">
            <v>231012</v>
          </cell>
          <cell r="M8754">
            <v>1</v>
          </cell>
          <cell r="R8754">
            <v>45860</v>
          </cell>
          <cell r="S8754">
            <v>231012</v>
          </cell>
        </row>
        <row r="8755">
          <cell r="K8755" t="str">
            <v>203003</v>
          </cell>
          <cell r="M8755">
            <v>1</v>
          </cell>
          <cell r="R8755">
            <v>45860</v>
          </cell>
          <cell r="S8755">
            <v>203003</v>
          </cell>
        </row>
        <row r="8756">
          <cell r="K8756" t="str">
            <v>213003</v>
          </cell>
          <cell r="M8756">
            <v>1</v>
          </cell>
          <cell r="R8756">
            <v>45861</v>
          </cell>
          <cell r="S8756">
            <v>213003</v>
          </cell>
        </row>
        <row r="8757">
          <cell r="K8757" t="str">
            <v>203003</v>
          </cell>
          <cell r="M8757">
            <v>1</v>
          </cell>
          <cell r="R8757">
            <v>45861</v>
          </cell>
          <cell r="S8757">
            <v>203003</v>
          </cell>
        </row>
        <row r="8758">
          <cell r="K8758" t="str">
            <v>201011</v>
          </cell>
          <cell r="M8758">
            <v>2</v>
          </cell>
          <cell r="R8758">
            <v>45860</v>
          </cell>
          <cell r="S8758">
            <v>201011</v>
          </cell>
        </row>
        <row r="8759">
          <cell r="K8759" t="str">
            <v>217018</v>
          </cell>
          <cell r="M8759">
            <v>2</v>
          </cell>
          <cell r="R8759">
            <v>45860</v>
          </cell>
          <cell r="S8759">
            <v>217018</v>
          </cell>
        </row>
        <row r="8760">
          <cell r="K8760" t="str">
            <v>213003</v>
          </cell>
          <cell r="M8760">
            <v>1</v>
          </cell>
          <cell r="R8760">
            <v>45860</v>
          </cell>
          <cell r="S8760">
            <v>213003</v>
          </cell>
        </row>
        <row r="8761">
          <cell r="K8761" t="str">
            <v>222001</v>
          </cell>
          <cell r="M8761">
            <v>1</v>
          </cell>
          <cell r="R8761">
            <v>45860</v>
          </cell>
          <cell r="S8761">
            <v>222001</v>
          </cell>
        </row>
        <row r="8762">
          <cell r="K8762" t="str">
            <v>227012</v>
          </cell>
          <cell r="M8762">
            <v>6</v>
          </cell>
          <cell r="R8762">
            <v>45860</v>
          </cell>
          <cell r="S8762">
            <v>227012</v>
          </cell>
        </row>
        <row r="8763">
          <cell r="K8763" t="str">
            <v>227012</v>
          </cell>
          <cell r="M8763">
            <v>3</v>
          </cell>
          <cell r="R8763">
            <v>45860</v>
          </cell>
          <cell r="S8763">
            <v>227012</v>
          </cell>
        </row>
        <row r="8764">
          <cell r="K8764" t="str">
            <v>206002</v>
          </cell>
          <cell r="M8764">
            <v>2</v>
          </cell>
          <cell r="R8764">
            <v>45861</v>
          </cell>
          <cell r="S8764">
            <v>206002</v>
          </cell>
        </row>
        <row r="8765">
          <cell r="K8765" t="str">
            <v>229001</v>
          </cell>
          <cell r="M8765">
            <v>15</v>
          </cell>
          <cell r="R8765">
            <v>45861</v>
          </cell>
          <cell r="S8765">
            <v>229001</v>
          </cell>
        </row>
        <row r="8766">
          <cell r="K8766" t="str">
            <v>206006</v>
          </cell>
          <cell r="M8766">
            <v>1</v>
          </cell>
          <cell r="R8766">
            <v>45861</v>
          </cell>
          <cell r="S8766">
            <v>206006</v>
          </cell>
        </row>
        <row r="8767">
          <cell r="K8767" t="str">
            <v>206002</v>
          </cell>
          <cell r="M8767">
            <v>1</v>
          </cell>
          <cell r="R8767">
            <v>45861</v>
          </cell>
          <cell r="S8767">
            <v>206002</v>
          </cell>
        </row>
        <row r="8768">
          <cell r="K8768" t="str">
            <v>201011</v>
          </cell>
          <cell r="M8768">
            <v>6</v>
          </cell>
          <cell r="R8768">
            <v>45861</v>
          </cell>
          <cell r="S8768">
            <v>201011</v>
          </cell>
        </row>
        <row r="8769">
          <cell r="K8769" t="str">
            <v>223002</v>
          </cell>
          <cell r="M8769">
            <v>8</v>
          </cell>
          <cell r="R8769">
            <v>45861</v>
          </cell>
          <cell r="S8769">
            <v>223002</v>
          </cell>
        </row>
        <row r="8770">
          <cell r="K8770" t="str">
            <v>228001</v>
          </cell>
          <cell r="M8770">
            <v>3</v>
          </cell>
          <cell r="R8770">
            <v>45861</v>
          </cell>
          <cell r="S8770">
            <v>228001</v>
          </cell>
        </row>
        <row r="8771">
          <cell r="K8771" t="str">
            <v>227012</v>
          </cell>
          <cell r="M8771">
            <v>1</v>
          </cell>
          <cell r="R8771">
            <v>45861</v>
          </cell>
          <cell r="S8771">
            <v>227012</v>
          </cell>
        </row>
        <row r="8772">
          <cell r="K8772" t="str">
            <v>222001</v>
          </cell>
          <cell r="M8772">
            <v>1</v>
          </cell>
          <cell r="R8772">
            <v>45861</v>
          </cell>
          <cell r="S8772">
            <v>222001</v>
          </cell>
        </row>
        <row r="8773">
          <cell r="K8773" t="str">
            <v>210013</v>
          </cell>
          <cell r="M8773">
            <v>1</v>
          </cell>
          <cell r="R8773">
            <v>45861</v>
          </cell>
          <cell r="S8773">
            <v>210013</v>
          </cell>
        </row>
        <row r="8774">
          <cell r="K8774" t="str">
            <v>213003</v>
          </cell>
          <cell r="M8774">
            <v>1</v>
          </cell>
          <cell r="R8774">
            <v>45861</v>
          </cell>
          <cell r="S8774">
            <v>213003</v>
          </cell>
        </row>
        <row r="8775">
          <cell r="K8775" t="str">
            <v>201011</v>
          </cell>
          <cell r="M8775">
            <v>10</v>
          </cell>
          <cell r="R8775">
            <v>45861</v>
          </cell>
          <cell r="S8775">
            <v>201011</v>
          </cell>
        </row>
        <row r="8776">
          <cell r="K8776" t="str">
            <v>210001</v>
          </cell>
          <cell r="M8776">
            <v>2</v>
          </cell>
          <cell r="R8776">
            <v>45861</v>
          </cell>
          <cell r="S8776">
            <v>210001</v>
          </cell>
        </row>
        <row r="8777">
          <cell r="K8777" t="str">
            <v>201011</v>
          </cell>
          <cell r="M8777">
            <v>1</v>
          </cell>
          <cell r="R8777">
            <v>45861</v>
          </cell>
          <cell r="S8777">
            <v>201011</v>
          </cell>
        </row>
        <row r="8778">
          <cell r="K8778" t="str">
            <v>201011</v>
          </cell>
          <cell r="M8778">
            <v>1</v>
          </cell>
          <cell r="R8778">
            <v>45861</v>
          </cell>
          <cell r="S8778">
            <v>201011</v>
          </cell>
        </row>
        <row r="8779">
          <cell r="K8779" t="str">
            <v>223002</v>
          </cell>
          <cell r="M8779">
            <v>3</v>
          </cell>
          <cell r="R8779">
            <v>45861</v>
          </cell>
          <cell r="S8779">
            <v>223002</v>
          </cell>
        </row>
        <row r="8780">
          <cell r="K8780" t="str">
            <v>223001</v>
          </cell>
          <cell r="M8780">
            <v>3</v>
          </cell>
          <cell r="R8780">
            <v>45861</v>
          </cell>
          <cell r="S8780">
            <v>223001</v>
          </cell>
        </row>
        <row r="8781">
          <cell r="K8781" t="str">
            <v>227012</v>
          </cell>
          <cell r="M8781">
            <v>1</v>
          </cell>
          <cell r="R8781">
            <v>45861</v>
          </cell>
          <cell r="S8781">
            <v>227012</v>
          </cell>
        </row>
        <row r="8782">
          <cell r="K8782" t="str">
            <v>213003</v>
          </cell>
          <cell r="M8782">
            <v>2</v>
          </cell>
          <cell r="R8782">
            <v>45861</v>
          </cell>
          <cell r="S8782">
            <v>213003</v>
          </cell>
        </row>
        <row r="8783">
          <cell r="K8783" t="str">
            <v>201002</v>
          </cell>
          <cell r="M8783">
            <v>2</v>
          </cell>
          <cell r="R8783">
            <v>45861</v>
          </cell>
          <cell r="S8783">
            <v>201002</v>
          </cell>
        </row>
        <row r="8784">
          <cell r="K8784" t="str">
            <v>217011</v>
          </cell>
          <cell r="M8784">
            <v>9</v>
          </cell>
          <cell r="R8784">
            <v>45861</v>
          </cell>
          <cell r="S8784">
            <v>217011</v>
          </cell>
        </row>
        <row r="8785">
          <cell r="K8785" t="str">
            <v>227001</v>
          </cell>
          <cell r="M8785">
            <v>2</v>
          </cell>
          <cell r="R8785">
            <v>45861</v>
          </cell>
          <cell r="S8785">
            <v>227001</v>
          </cell>
        </row>
        <row r="8786">
          <cell r="K8786" t="str">
            <v>226001</v>
          </cell>
          <cell r="M8786">
            <v>1</v>
          </cell>
          <cell r="R8786">
            <v>45861</v>
          </cell>
          <cell r="S8786">
            <v>226001</v>
          </cell>
        </row>
        <row r="8787">
          <cell r="K8787" t="str">
            <v>226001</v>
          </cell>
          <cell r="M8787">
            <v>1</v>
          </cell>
          <cell r="R8787">
            <v>45861</v>
          </cell>
          <cell r="S8787">
            <v>226001</v>
          </cell>
        </row>
        <row r="8788">
          <cell r="K8788" t="str">
            <v>226001</v>
          </cell>
          <cell r="M8788">
            <v>1</v>
          </cell>
          <cell r="R8788">
            <v>45861</v>
          </cell>
          <cell r="S8788">
            <v>226001</v>
          </cell>
        </row>
        <row r="8789">
          <cell r="K8789" t="str">
            <v>226001</v>
          </cell>
          <cell r="M8789">
            <v>4</v>
          </cell>
          <cell r="R8789">
            <v>45861</v>
          </cell>
          <cell r="S8789">
            <v>226001</v>
          </cell>
        </row>
        <row r="8790">
          <cell r="K8790" t="str">
            <v>217022</v>
          </cell>
          <cell r="M8790">
            <v>1</v>
          </cell>
          <cell r="R8790">
            <v>45861</v>
          </cell>
          <cell r="S8790">
            <v>217022</v>
          </cell>
        </row>
        <row r="8791">
          <cell r="K8791" t="str">
            <v>226001</v>
          </cell>
          <cell r="M8791">
            <v>4</v>
          </cell>
          <cell r="R8791">
            <v>45861</v>
          </cell>
          <cell r="S8791">
            <v>226001</v>
          </cell>
        </row>
        <row r="8792">
          <cell r="K8792" t="str">
            <v>226001</v>
          </cell>
          <cell r="M8792">
            <v>3</v>
          </cell>
          <cell r="R8792">
            <v>45861</v>
          </cell>
          <cell r="S8792">
            <v>226001</v>
          </cell>
        </row>
        <row r="8793">
          <cell r="K8793" t="str">
            <v>231012</v>
          </cell>
          <cell r="M8793">
            <v>1</v>
          </cell>
          <cell r="R8793">
            <v>45861</v>
          </cell>
          <cell r="S8793">
            <v>231012</v>
          </cell>
        </row>
        <row r="8794">
          <cell r="K8794" t="str">
            <v>227001</v>
          </cell>
          <cell r="M8794">
            <v>5</v>
          </cell>
          <cell r="R8794">
            <v>45861</v>
          </cell>
          <cell r="S8794">
            <v>227001</v>
          </cell>
        </row>
        <row r="8795">
          <cell r="K8795" t="str">
            <v>237001</v>
          </cell>
          <cell r="M8795">
            <v>1</v>
          </cell>
          <cell r="R8795">
            <v>45861</v>
          </cell>
          <cell r="S8795">
            <v>237001</v>
          </cell>
        </row>
        <row r="8796">
          <cell r="K8796" t="str">
            <v>228001</v>
          </cell>
          <cell r="M8796">
            <v>1</v>
          </cell>
          <cell r="R8796">
            <v>45861</v>
          </cell>
          <cell r="S8796">
            <v>228001</v>
          </cell>
        </row>
        <row r="8797">
          <cell r="K8797" t="str">
            <v>212035</v>
          </cell>
          <cell r="M8797">
            <v>1</v>
          </cell>
          <cell r="R8797">
            <v>45861</v>
          </cell>
          <cell r="S8797">
            <v>212035</v>
          </cell>
        </row>
        <row r="8798">
          <cell r="K8798" t="str">
            <v>213002</v>
          </cell>
          <cell r="M8798">
            <v>1</v>
          </cell>
          <cell r="R8798">
            <v>45861</v>
          </cell>
          <cell r="S8798">
            <v>213002</v>
          </cell>
        </row>
        <row r="8799">
          <cell r="K8799" t="str">
            <v>213003</v>
          </cell>
          <cell r="M8799">
            <v>2</v>
          </cell>
          <cell r="R8799">
            <v>45861</v>
          </cell>
          <cell r="S8799">
            <v>213003</v>
          </cell>
        </row>
        <row r="8800">
          <cell r="K8800" t="str">
            <v>217018</v>
          </cell>
          <cell r="M8800">
            <v>5</v>
          </cell>
          <cell r="R8800">
            <v>45861</v>
          </cell>
          <cell r="S8800">
            <v>217018</v>
          </cell>
        </row>
        <row r="8801">
          <cell r="K8801" t="str">
            <v>217020</v>
          </cell>
          <cell r="M8801">
            <v>2</v>
          </cell>
          <cell r="R8801">
            <v>45861</v>
          </cell>
          <cell r="S8801">
            <v>217020</v>
          </cell>
        </row>
        <row r="8802">
          <cell r="K8802" t="str">
            <v>217022</v>
          </cell>
          <cell r="M8802">
            <v>10</v>
          </cell>
          <cell r="R8802">
            <v>45861</v>
          </cell>
          <cell r="S8802">
            <v>217022</v>
          </cell>
        </row>
        <row r="8803">
          <cell r="K8803" t="str">
            <v>213003</v>
          </cell>
          <cell r="M8803">
            <v>2</v>
          </cell>
          <cell r="R8803">
            <v>45862</v>
          </cell>
          <cell r="S8803">
            <v>213003</v>
          </cell>
        </row>
        <row r="8804">
          <cell r="K8804" t="str">
            <v>213002</v>
          </cell>
          <cell r="M8804">
            <v>3</v>
          </cell>
          <cell r="R8804">
            <v>45862</v>
          </cell>
          <cell r="S8804">
            <v>213002</v>
          </cell>
        </row>
        <row r="8805">
          <cell r="K8805" t="str">
            <v>201011</v>
          </cell>
          <cell r="M8805">
            <v>15</v>
          </cell>
          <cell r="R8805">
            <v>45861</v>
          </cell>
          <cell r="S8805">
            <v>201011</v>
          </cell>
        </row>
        <row r="8806">
          <cell r="K8806" t="str">
            <v>223001</v>
          </cell>
          <cell r="M8806">
            <v>4</v>
          </cell>
          <cell r="R8806">
            <v>45861</v>
          </cell>
          <cell r="S8806">
            <v>223001</v>
          </cell>
        </row>
        <row r="8807">
          <cell r="K8807" t="str">
            <v>241001</v>
          </cell>
          <cell r="M8807">
            <v>2</v>
          </cell>
          <cell r="R8807">
            <v>45861</v>
          </cell>
          <cell r="S8807">
            <v>241001</v>
          </cell>
        </row>
        <row r="8808">
          <cell r="K8808" t="str">
            <v>201011</v>
          </cell>
          <cell r="M8808">
            <v>2</v>
          </cell>
          <cell r="R8808">
            <v>45861</v>
          </cell>
          <cell r="S8808">
            <v>201011</v>
          </cell>
        </row>
        <row r="8809">
          <cell r="K8809" t="str">
            <v>201002</v>
          </cell>
          <cell r="M8809">
            <v>1</v>
          </cell>
          <cell r="R8809">
            <v>45861</v>
          </cell>
          <cell r="S8809">
            <v>201002</v>
          </cell>
        </row>
        <row r="8810">
          <cell r="K8810" t="str">
            <v>226001</v>
          </cell>
          <cell r="M8810">
            <v>2</v>
          </cell>
          <cell r="R8810">
            <v>45861</v>
          </cell>
          <cell r="S8810">
            <v>226001</v>
          </cell>
        </row>
        <row r="8811">
          <cell r="K8811" t="str">
            <v>228001</v>
          </cell>
          <cell r="M8811">
            <v>2</v>
          </cell>
          <cell r="R8811">
            <v>45862</v>
          </cell>
          <cell r="S8811">
            <v>228001</v>
          </cell>
        </row>
        <row r="8812">
          <cell r="K8812" t="str">
            <v>228001</v>
          </cell>
          <cell r="M8812">
            <v>2</v>
          </cell>
          <cell r="R8812">
            <v>45862</v>
          </cell>
          <cell r="S8812">
            <v>228001</v>
          </cell>
        </row>
        <row r="8813">
          <cell r="K8813" t="str">
            <v>212002</v>
          </cell>
          <cell r="M8813">
            <v>1</v>
          </cell>
          <cell r="R8813">
            <v>45862</v>
          </cell>
          <cell r="S8813">
            <v>212002</v>
          </cell>
        </row>
        <row r="8814">
          <cell r="K8814" t="str">
            <v>226001</v>
          </cell>
          <cell r="M8814">
            <v>1</v>
          </cell>
          <cell r="R8814">
            <v>45862</v>
          </cell>
          <cell r="S8814">
            <v>226001</v>
          </cell>
        </row>
        <row r="8815">
          <cell r="K8815" t="str">
            <v>201011</v>
          </cell>
          <cell r="M8815">
            <v>4</v>
          </cell>
          <cell r="R8815">
            <v>45862</v>
          </cell>
          <cell r="S8815">
            <v>201011</v>
          </cell>
        </row>
        <row r="8816">
          <cell r="K8816" t="str">
            <v>213002</v>
          </cell>
          <cell r="M8816">
            <v>5</v>
          </cell>
          <cell r="R8816">
            <v>45862</v>
          </cell>
          <cell r="S8816">
            <v>213002</v>
          </cell>
        </row>
        <row r="8817">
          <cell r="K8817" t="str">
            <v>226025</v>
          </cell>
          <cell r="M8817">
            <v>3</v>
          </cell>
          <cell r="R8817">
            <v>45862</v>
          </cell>
          <cell r="S8817">
            <v>226025</v>
          </cell>
        </row>
        <row r="8818">
          <cell r="K8818" t="str">
            <v>226001</v>
          </cell>
          <cell r="M8818">
            <v>1</v>
          </cell>
          <cell r="R8818">
            <v>45862</v>
          </cell>
          <cell r="S8818">
            <v>226001</v>
          </cell>
        </row>
        <row r="8819">
          <cell r="K8819" t="str">
            <v>203001</v>
          </cell>
          <cell r="M8819">
            <v>1</v>
          </cell>
          <cell r="R8819">
            <v>45862</v>
          </cell>
          <cell r="S8819">
            <v>203001</v>
          </cell>
        </row>
        <row r="8820">
          <cell r="K8820" t="str">
            <v>241001</v>
          </cell>
          <cell r="M8820">
            <v>1</v>
          </cell>
          <cell r="R8820">
            <v>45862</v>
          </cell>
          <cell r="S8820">
            <v>241001</v>
          </cell>
        </row>
        <row r="8821">
          <cell r="K8821" t="str">
            <v>203003</v>
          </cell>
          <cell r="M8821">
            <v>2</v>
          </cell>
          <cell r="R8821">
            <v>45862</v>
          </cell>
          <cell r="S8821">
            <v>203003</v>
          </cell>
        </row>
        <row r="8822">
          <cell r="K8822" t="str">
            <v>209001</v>
          </cell>
          <cell r="M8822">
            <v>4</v>
          </cell>
          <cell r="R8822">
            <v>45862</v>
          </cell>
          <cell r="S8822">
            <v>209001</v>
          </cell>
        </row>
        <row r="8823">
          <cell r="K8823" t="str">
            <v>210013</v>
          </cell>
          <cell r="M8823">
            <v>2</v>
          </cell>
          <cell r="R8823">
            <v>45862</v>
          </cell>
          <cell r="S8823">
            <v>210013</v>
          </cell>
        </row>
        <row r="8824">
          <cell r="K8824" t="str">
            <v>223002</v>
          </cell>
          <cell r="M8824">
            <v>3</v>
          </cell>
          <cell r="R8824">
            <v>45862</v>
          </cell>
          <cell r="S8824">
            <v>223002</v>
          </cell>
        </row>
        <row r="8825">
          <cell r="K8825" t="str">
            <v>205004</v>
          </cell>
          <cell r="M8825">
            <v>1</v>
          </cell>
          <cell r="R8825">
            <v>45862</v>
          </cell>
          <cell r="S8825">
            <v>205004</v>
          </cell>
        </row>
        <row r="8826">
          <cell r="K8826" t="str">
            <v>228001</v>
          </cell>
          <cell r="M8826">
            <v>15</v>
          </cell>
          <cell r="R8826">
            <v>45862</v>
          </cell>
          <cell r="S8826">
            <v>228001</v>
          </cell>
        </row>
        <row r="8827">
          <cell r="K8827" t="str">
            <v>209016</v>
          </cell>
          <cell r="M8827">
            <v>1</v>
          </cell>
          <cell r="R8827">
            <v>45862</v>
          </cell>
          <cell r="S8827">
            <v>209016</v>
          </cell>
        </row>
        <row r="8828">
          <cell r="K8828" t="str">
            <v>209016</v>
          </cell>
          <cell r="M8828">
            <v>1</v>
          </cell>
          <cell r="R8828">
            <v>45862</v>
          </cell>
          <cell r="S8828">
            <v>209016</v>
          </cell>
        </row>
        <row r="8829">
          <cell r="K8829" t="str">
            <v>201002</v>
          </cell>
          <cell r="M8829">
            <v>3</v>
          </cell>
          <cell r="R8829">
            <v>45862</v>
          </cell>
          <cell r="S8829">
            <v>201002</v>
          </cell>
        </row>
        <row r="8830">
          <cell r="K8830" t="str">
            <v>226001</v>
          </cell>
          <cell r="M8830">
            <v>1</v>
          </cell>
          <cell r="R8830">
            <v>45862</v>
          </cell>
          <cell r="S8830">
            <v>226001</v>
          </cell>
        </row>
        <row r="8831">
          <cell r="K8831" t="str">
            <v>217002</v>
          </cell>
          <cell r="M8831">
            <v>1</v>
          </cell>
          <cell r="R8831">
            <v>45862</v>
          </cell>
          <cell r="S8831">
            <v>217002</v>
          </cell>
        </row>
        <row r="8832">
          <cell r="K8832" t="str">
            <v>217020</v>
          </cell>
          <cell r="M8832">
            <v>1</v>
          </cell>
          <cell r="R8832">
            <v>45862</v>
          </cell>
          <cell r="S8832">
            <v>217020</v>
          </cell>
        </row>
        <row r="8833">
          <cell r="K8833" t="str">
            <v>201004</v>
          </cell>
          <cell r="M8833">
            <v>2</v>
          </cell>
          <cell r="R8833">
            <v>45862</v>
          </cell>
          <cell r="S8833">
            <v>201004</v>
          </cell>
        </row>
        <row r="8834">
          <cell r="K8834" t="str">
            <v>241001</v>
          </cell>
          <cell r="M8834">
            <v>12</v>
          </cell>
          <cell r="R8834">
            <v>45862</v>
          </cell>
          <cell r="S8834">
            <v>241001</v>
          </cell>
        </row>
        <row r="8835">
          <cell r="K8835" t="str">
            <v>209006</v>
          </cell>
          <cell r="M8835">
            <v>2</v>
          </cell>
          <cell r="R8835">
            <v>45862</v>
          </cell>
          <cell r="S8835">
            <v>209006</v>
          </cell>
        </row>
        <row r="8836">
          <cell r="K8836" t="str">
            <v>259001</v>
          </cell>
          <cell r="M8836">
            <v>8</v>
          </cell>
          <cell r="R8836">
            <v>45862</v>
          </cell>
          <cell r="S8836">
            <v>259001</v>
          </cell>
        </row>
        <row r="8837">
          <cell r="K8837" t="str">
            <v>209006</v>
          </cell>
          <cell r="M8837">
            <v>1</v>
          </cell>
          <cell r="R8837">
            <v>45862</v>
          </cell>
          <cell r="S8837">
            <v>209006</v>
          </cell>
        </row>
        <row r="8838">
          <cell r="K8838" t="str">
            <v>209006</v>
          </cell>
          <cell r="M8838">
            <v>6</v>
          </cell>
          <cell r="R8838">
            <v>45862</v>
          </cell>
          <cell r="S8838">
            <v>209006</v>
          </cell>
        </row>
        <row r="8839">
          <cell r="K8839" t="str">
            <v>213003</v>
          </cell>
          <cell r="M8839">
            <v>1</v>
          </cell>
          <cell r="R8839">
            <v>45862</v>
          </cell>
          <cell r="S8839">
            <v>213003</v>
          </cell>
        </row>
        <row r="8840">
          <cell r="K8840" t="str">
            <v>201011</v>
          </cell>
          <cell r="M8840">
            <v>3</v>
          </cell>
          <cell r="R8840">
            <v>45862</v>
          </cell>
          <cell r="S8840">
            <v>201011</v>
          </cell>
        </row>
        <row r="8841">
          <cell r="K8841" t="str">
            <v>217019</v>
          </cell>
          <cell r="M8841">
            <v>5</v>
          </cell>
          <cell r="R8841">
            <v>45862</v>
          </cell>
          <cell r="S8841">
            <v>217019</v>
          </cell>
        </row>
        <row r="8842">
          <cell r="K8842" t="str">
            <v>217020</v>
          </cell>
          <cell r="M8842">
            <v>1</v>
          </cell>
          <cell r="R8842">
            <v>45862</v>
          </cell>
          <cell r="S8842">
            <v>217020</v>
          </cell>
        </row>
        <row r="8843">
          <cell r="K8843" t="str">
            <v>228001</v>
          </cell>
          <cell r="M8843">
            <v>1</v>
          </cell>
          <cell r="R8843">
            <v>45862</v>
          </cell>
          <cell r="S8843">
            <v>228001</v>
          </cell>
        </row>
        <row r="8844">
          <cell r="K8844" t="str">
            <v>201011</v>
          </cell>
          <cell r="M8844">
            <v>1</v>
          </cell>
          <cell r="R8844">
            <v>45862</v>
          </cell>
          <cell r="S8844">
            <v>201011</v>
          </cell>
        </row>
        <row r="8845">
          <cell r="K8845" t="str">
            <v>213005</v>
          </cell>
          <cell r="M8845">
            <v>1</v>
          </cell>
          <cell r="R8845">
            <v>45862</v>
          </cell>
          <cell r="S8845">
            <v>213005</v>
          </cell>
        </row>
        <row r="8846">
          <cell r="K8846" t="str">
            <v>241001</v>
          </cell>
          <cell r="M8846">
            <v>5</v>
          </cell>
          <cell r="R8846">
            <v>45862</v>
          </cell>
          <cell r="S8846">
            <v>241001</v>
          </cell>
        </row>
        <row r="8847">
          <cell r="K8847" t="str">
            <v>222001</v>
          </cell>
          <cell r="M8847">
            <v>4</v>
          </cell>
          <cell r="R8847">
            <v>45862</v>
          </cell>
          <cell r="S8847">
            <v>222001</v>
          </cell>
        </row>
        <row r="8848">
          <cell r="K8848" t="str">
            <v>231004</v>
          </cell>
          <cell r="M8848">
            <v>2</v>
          </cell>
          <cell r="R8848">
            <v>45862</v>
          </cell>
          <cell r="S8848">
            <v>231004</v>
          </cell>
        </row>
        <row r="8849">
          <cell r="K8849" t="str">
            <v>231012</v>
          </cell>
          <cell r="M8849">
            <v>1</v>
          </cell>
          <cell r="R8849">
            <v>45862</v>
          </cell>
          <cell r="S8849">
            <v>231012</v>
          </cell>
        </row>
        <row r="8850">
          <cell r="K8850" t="str">
            <v>226004</v>
          </cell>
          <cell r="M8850">
            <v>2</v>
          </cell>
          <cell r="R8850">
            <v>45862</v>
          </cell>
          <cell r="S8850">
            <v>226004</v>
          </cell>
        </row>
        <row r="8851">
          <cell r="K8851" t="str">
            <v>213018</v>
          </cell>
          <cell r="M8851">
            <v>1</v>
          </cell>
          <cell r="R8851">
            <v>45862</v>
          </cell>
          <cell r="S8851">
            <v>213018</v>
          </cell>
        </row>
        <row r="8852">
          <cell r="K8852" t="str">
            <v>231012</v>
          </cell>
          <cell r="M8852">
            <v>1</v>
          </cell>
          <cell r="R8852">
            <v>45862</v>
          </cell>
          <cell r="S8852">
            <v>231012</v>
          </cell>
        </row>
        <row r="8853">
          <cell r="K8853" t="str">
            <v>210001</v>
          </cell>
          <cell r="M8853">
            <v>2</v>
          </cell>
          <cell r="R8853">
            <v>45863</v>
          </cell>
          <cell r="S8853">
            <v>210001</v>
          </cell>
        </row>
        <row r="8854">
          <cell r="K8854" t="str">
            <v>203003</v>
          </cell>
          <cell r="M8854">
            <v>1</v>
          </cell>
          <cell r="R8854">
            <v>45862</v>
          </cell>
          <cell r="S8854">
            <v>203003</v>
          </cell>
        </row>
        <row r="8855">
          <cell r="K8855" t="str">
            <v>201011</v>
          </cell>
          <cell r="M8855">
            <v>8</v>
          </cell>
          <cell r="R8855">
            <v>45862</v>
          </cell>
          <cell r="S8855">
            <v>201011</v>
          </cell>
        </row>
        <row r="8856">
          <cell r="K8856" t="str">
            <v>228001</v>
          </cell>
          <cell r="M8856">
            <v>3</v>
          </cell>
          <cell r="R8856">
            <v>45862</v>
          </cell>
          <cell r="S8856">
            <v>228001</v>
          </cell>
        </row>
        <row r="8857">
          <cell r="K8857" t="str">
            <v>209001</v>
          </cell>
          <cell r="M8857">
            <v>1</v>
          </cell>
          <cell r="R8857">
            <v>45862</v>
          </cell>
          <cell r="S8857">
            <v>209001</v>
          </cell>
        </row>
        <row r="8858">
          <cell r="K8858" t="str">
            <v>241001</v>
          </cell>
          <cell r="M8858">
            <v>3</v>
          </cell>
          <cell r="R8858">
            <v>45862</v>
          </cell>
          <cell r="S8858">
            <v>241001</v>
          </cell>
        </row>
        <row r="8859">
          <cell r="K8859" t="str">
            <v>203001</v>
          </cell>
          <cell r="M8859">
            <v>4</v>
          </cell>
          <cell r="R8859">
            <v>45862</v>
          </cell>
          <cell r="S8859">
            <v>203001</v>
          </cell>
        </row>
        <row r="8860">
          <cell r="K8860" t="str">
            <v>207017</v>
          </cell>
          <cell r="M8860">
            <v>1</v>
          </cell>
          <cell r="R8860">
            <v>45862</v>
          </cell>
          <cell r="S8860">
            <v>207017</v>
          </cell>
        </row>
        <row r="8861">
          <cell r="K8861" t="str">
            <v>212002</v>
          </cell>
          <cell r="M8861">
            <v>1</v>
          </cell>
          <cell r="R8861">
            <v>45862</v>
          </cell>
          <cell r="S8861">
            <v>212002</v>
          </cell>
        </row>
        <row r="8862">
          <cell r="K8862" t="str">
            <v>201003</v>
          </cell>
          <cell r="M8862">
            <v>1</v>
          </cell>
          <cell r="R8862">
            <v>45862</v>
          </cell>
          <cell r="S8862">
            <v>201003</v>
          </cell>
        </row>
        <row r="8863">
          <cell r="K8863" t="str">
            <v>213003</v>
          </cell>
          <cell r="M8863">
            <v>25</v>
          </cell>
          <cell r="R8863">
            <v>45862</v>
          </cell>
          <cell r="S8863">
            <v>213003</v>
          </cell>
        </row>
        <row r="8864">
          <cell r="K8864" t="str">
            <v>228001</v>
          </cell>
          <cell r="M8864">
            <v>10</v>
          </cell>
          <cell r="R8864">
            <v>45862</v>
          </cell>
          <cell r="S8864">
            <v>228001</v>
          </cell>
        </row>
        <row r="8865">
          <cell r="K8865" t="str">
            <v>201021</v>
          </cell>
          <cell r="M8865">
            <v>5</v>
          </cell>
          <cell r="R8865">
            <v>45862</v>
          </cell>
          <cell r="S8865">
            <v>201021</v>
          </cell>
        </row>
        <row r="8866">
          <cell r="K8866" t="str">
            <v>223002</v>
          </cell>
          <cell r="M8866">
            <v>8</v>
          </cell>
          <cell r="R8866">
            <v>45863</v>
          </cell>
          <cell r="S8866">
            <v>223002</v>
          </cell>
        </row>
        <row r="8867">
          <cell r="K8867" t="str">
            <v>223006</v>
          </cell>
          <cell r="M8867">
            <v>10</v>
          </cell>
          <cell r="R8867">
            <v>45863</v>
          </cell>
          <cell r="S8867">
            <v>223006</v>
          </cell>
        </row>
        <row r="8868">
          <cell r="K8868" t="str">
            <v>223001</v>
          </cell>
          <cell r="M8868">
            <v>10</v>
          </cell>
          <cell r="R8868">
            <v>45863</v>
          </cell>
          <cell r="S8868">
            <v>223001</v>
          </cell>
        </row>
        <row r="8869">
          <cell r="K8869" t="str">
            <v>223003</v>
          </cell>
          <cell r="M8869">
            <v>12</v>
          </cell>
          <cell r="R8869">
            <v>45863</v>
          </cell>
          <cell r="S8869">
            <v>223003</v>
          </cell>
        </row>
        <row r="8870">
          <cell r="K8870" t="str">
            <v>227012</v>
          </cell>
          <cell r="M8870">
            <v>1</v>
          </cell>
          <cell r="R8870">
            <v>45863</v>
          </cell>
          <cell r="S8870">
            <v>227012</v>
          </cell>
        </row>
        <row r="8871">
          <cell r="K8871" t="str">
            <v>228001</v>
          </cell>
          <cell r="M8871">
            <v>2</v>
          </cell>
          <cell r="R8871">
            <v>45862</v>
          </cell>
          <cell r="S8871">
            <v>228001</v>
          </cell>
        </row>
        <row r="8872">
          <cell r="K8872" t="str">
            <v>231012</v>
          </cell>
          <cell r="M8872">
            <v>3</v>
          </cell>
          <cell r="R8872">
            <v>45862</v>
          </cell>
          <cell r="S8872">
            <v>231012</v>
          </cell>
        </row>
        <row r="8873">
          <cell r="K8873" t="str">
            <v>213002</v>
          </cell>
          <cell r="M8873">
            <v>5</v>
          </cell>
          <cell r="R8873">
            <v>45862</v>
          </cell>
          <cell r="S8873">
            <v>213002</v>
          </cell>
        </row>
        <row r="8874">
          <cell r="K8874" t="str">
            <v>226030</v>
          </cell>
          <cell r="M8874">
            <v>2</v>
          </cell>
          <cell r="R8874">
            <v>45862</v>
          </cell>
          <cell r="S8874">
            <v>226030</v>
          </cell>
        </row>
        <row r="8875">
          <cell r="K8875" t="str">
            <v>217018</v>
          </cell>
          <cell r="M8875">
            <v>2</v>
          </cell>
          <cell r="R8875">
            <v>45863</v>
          </cell>
          <cell r="S8875">
            <v>217018</v>
          </cell>
        </row>
        <row r="8876">
          <cell r="K8876" t="str">
            <v>212002</v>
          </cell>
          <cell r="M8876">
            <v>1</v>
          </cell>
          <cell r="R8876">
            <v>45862</v>
          </cell>
          <cell r="S8876">
            <v>212002</v>
          </cell>
        </row>
        <row r="8877">
          <cell r="K8877" t="str">
            <v>201021</v>
          </cell>
          <cell r="M8877">
            <v>5</v>
          </cell>
          <cell r="R8877">
            <v>45862</v>
          </cell>
          <cell r="S8877">
            <v>201021</v>
          </cell>
        </row>
        <row r="8878">
          <cell r="K8878" t="str">
            <v>213003</v>
          </cell>
          <cell r="M8878">
            <v>1</v>
          </cell>
          <cell r="R8878">
            <v>45862</v>
          </cell>
          <cell r="S8878">
            <v>213003</v>
          </cell>
        </row>
        <row r="8879">
          <cell r="K8879" t="str">
            <v>226001</v>
          </cell>
          <cell r="M8879">
            <v>6</v>
          </cell>
          <cell r="R8879">
            <v>45862</v>
          </cell>
          <cell r="S8879">
            <v>226001</v>
          </cell>
        </row>
        <row r="8880">
          <cell r="K8880" t="str">
            <v>213003</v>
          </cell>
          <cell r="M8880">
            <v>2</v>
          </cell>
          <cell r="R8880">
            <v>45863</v>
          </cell>
          <cell r="S8880">
            <v>213003</v>
          </cell>
        </row>
        <row r="8881">
          <cell r="K8881" t="str">
            <v>201011</v>
          </cell>
          <cell r="M8881">
            <v>2</v>
          </cell>
          <cell r="R8881">
            <v>45863</v>
          </cell>
          <cell r="S8881">
            <v>201011</v>
          </cell>
        </row>
        <row r="8882">
          <cell r="K8882" t="str">
            <v>213002</v>
          </cell>
          <cell r="M8882">
            <v>3</v>
          </cell>
          <cell r="R8882">
            <v>45862</v>
          </cell>
          <cell r="S8882">
            <v>213002</v>
          </cell>
        </row>
        <row r="8883">
          <cell r="K8883" t="str">
            <v>213003</v>
          </cell>
          <cell r="M8883">
            <v>2</v>
          </cell>
          <cell r="R8883">
            <v>45863</v>
          </cell>
          <cell r="S8883">
            <v>213003</v>
          </cell>
        </row>
        <row r="8884">
          <cell r="K8884" t="str">
            <v>210001</v>
          </cell>
          <cell r="M8884">
            <v>2</v>
          </cell>
          <cell r="R8884">
            <v>45863</v>
          </cell>
          <cell r="S8884">
            <v>210001</v>
          </cell>
        </row>
        <row r="8885">
          <cell r="K8885" t="str">
            <v>213003</v>
          </cell>
          <cell r="M8885">
            <v>1</v>
          </cell>
          <cell r="R8885">
            <v>45863</v>
          </cell>
          <cell r="S8885">
            <v>213003</v>
          </cell>
        </row>
        <row r="8886">
          <cell r="K8886" t="str">
            <v>223001</v>
          </cell>
          <cell r="M8886">
            <v>2</v>
          </cell>
          <cell r="R8886">
            <v>45863</v>
          </cell>
          <cell r="S8886">
            <v>223001</v>
          </cell>
        </row>
        <row r="8887">
          <cell r="K8887" t="str">
            <v>201022</v>
          </cell>
          <cell r="M8887">
            <v>1</v>
          </cell>
          <cell r="R8887">
            <v>45863</v>
          </cell>
          <cell r="S8887">
            <v>201022</v>
          </cell>
        </row>
        <row r="8888">
          <cell r="K8888" t="str">
            <v>231012</v>
          </cell>
          <cell r="M8888">
            <v>1</v>
          </cell>
          <cell r="R8888">
            <v>45863</v>
          </cell>
          <cell r="S8888">
            <v>231012</v>
          </cell>
        </row>
        <row r="8889">
          <cell r="K8889" t="str">
            <v>201011</v>
          </cell>
          <cell r="M8889">
            <v>6</v>
          </cell>
          <cell r="R8889">
            <v>45863</v>
          </cell>
          <cell r="S8889">
            <v>201011</v>
          </cell>
        </row>
        <row r="8890">
          <cell r="K8890" t="str">
            <v>237001</v>
          </cell>
          <cell r="M8890">
            <v>1</v>
          </cell>
          <cell r="R8890">
            <v>45863</v>
          </cell>
          <cell r="S8890">
            <v>237001</v>
          </cell>
        </row>
        <row r="8891">
          <cell r="K8891" t="str">
            <v>201011</v>
          </cell>
          <cell r="M8891">
            <v>4</v>
          </cell>
          <cell r="R8891">
            <v>45863</v>
          </cell>
          <cell r="S8891">
            <v>201011</v>
          </cell>
        </row>
        <row r="8892">
          <cell r="K8892" t="str">
            <v>201021</v>
          </cell>
          <cell r="M8892">
            <v>6</v>
          </cell>
          <cell r="R8892">
            <v>45863</v>
          </cell>
          <cell r="S8892">
            <v>201021</v>
          </cell>
        </row>
        <row r="8893">
          <cell r="K8893" t="str">
            <v>223002</v>
          </cell>
          <cell r="M8893">
            <v>2</v>
          </cell>
          <cell r="R8893">
            <v>45863</v>
          </cell>
          <cell r="S8893">
            <v>223002</v>
          </cell>
        </row>
        <row r="8894">
          <cell r="K8894" t="str">
            <v>227001</v>
          </cell>
          <cell r="M8894">
            <v>2</v>
          </cell>
          <cell r="R8894">
            <v>45863</v>
          </cell>
          <cell r="S8894">
            <v>227001</v>
          </cell>
        </row>
        <row r="8895">
          <cell r="K8895" t="str">
            <v>226001</v>
          </cell>
          <cell r="M8895">
            <v>1</v>
          </cell>
          <cell r="R8895">
            <v>45863</v>
          </cell>
          <cell r="S8895">
            <v>226001</v>
          </cell>
        </row>
        <row r="8896">
          <cell r="K8896" t="str">
            <v>210013</v>
          </cell>
          <cell r="M8896">
            <v>3</v>
          </cell>
          <cell r="R8896">
            <v>45863</v>
          </cell>
          <cell r="S8896">
            <v>210013</v>
          </cell>
        </row>
        <row r="8897">
          <cell r="K8897" t="str">
            <v>213002</v>
          </cell>
          <cell r="M8897">
            <v>10</v>
          </cell>
          <cell r="R8897">
            <v>45863</v>
          </cell>
          <cell r="S8897">
            <v>213002</v>
          </cell>
        </row>
        <row r="8898">
          <cell r="K8898" t="str">
            <v>201003</v>
          </cell>
          <cell r="M8898">
            <v>2</v>
          </cell>
          <cell r="R8898">
            <v>45863</v>
          </cell>
          <cell r="S8898">
            <v>201003</v>
          </cell>
        </row>
        <row r="8899">
          <cell r="K8899" t="str">
            <v>212035</v>
          </cell>
          <cell r="M8899">
            <v>1</v>
          </cell>
          <cell r="R8899">
            <v>45863</v>
          </cell>
          <cell r="S8899">
            <v>212035</v>
          </cell>
        </row>
        <row r="8900">
          <cell r="K8900" t="str">
            <v>223002</v>
          </cell>
          <cell r="M8900">
            <v>2</v>
          </cell>
          <cell r="R8900">
            <v>45865</v>
          </cell>
          <cell r="S8900">
            <v>223002</v>
          </cell>
        </row>
        <row r="8901">
          <cell r="K8901" t="str">
            <v>213002</v>
          </cell>
          <cell r="M8901">
            <v>3</v>
          </cell>
          <cell r="R8901">
            <v>45865</v>
          </cell>
          <cell r="S8901">
            <v>213002</v>
          </cell>
        </row>
        <row r="8902">
          <cell r="K8902" t="str">
            <v>213003</v>
          </cell>
          <cell r="M8902">
            <v>1</v>
          </cell>
          <cell r="R8902">
            <v>45865</v>
          </cell>
          <cell r="S8902">
            <v>213003</v>
          </cell>
        </row>
        <row r="8903">
          <cell r="K8903" t="str">
            <v>228001</v>
          </cell>
          <cell r="M8903">
            <v>15</v>
          </cell>
          <cell r="R8903">
            <v>45866</v>
          </cell>
          <cell r="S8903">
            <v>228001</v>
          </cell>
        </row>
        <row r="8904">
          <cell r="K8904" t="str">
            <v>261004</v>
          </cell>
          <cell r="M8904">
            <v>30</v>
          </cell>
          <cell r="R8904">
            <v>45866</v>
          </cell>
          <cell r="S8904">
            <v>261004</v>
          </cell>
        </row>
        <row r="8905">
          <cell r="K8905" t="str">
            <v>212010</v>
          </cell>
          <cell r="M8905">
            <v>20</v>
          </cell>
          <cell r="R8905">
            <v>45866</v>
          </cell>
          <cell r="S8905">
            <v>212010</v>
          </cell>
        </row>
        <row r="8906">
          <cell r="K8906" t="str">
            <v>228001</v>
          </cell>
          <cell r="M8906">
            <v>1</v>
          </cell>
          <cell r="R8906">
            <v>45866</v>
          </cell>
          <cell r="S8906">
            <v>228001</v>
          </cell>
        </row>
        <row r="8907">
          <cell r="K8907" t="str">
            <v>231012</v>
          </cell>
          <cell r="M8907">
            <v>2</v>
          </cell>
          <cell r="R8907">
            <v>45866</v>
          </cell>
          <cell r="S8907">
            <v>231012</v>
          </cell>
        </row>
        <row r="8908">
          <cell r="K8908" t="str">
            <v>223002</v>
          </cell>
          <cell r="M8908">
            <v>7</v>
          </cell>
          <cell r="R8908">
            <v>45866</v>
          </cell>
          <cell r="S8908">
            <v>223002</v>
          </cell>
        </row>
        <row r="8909">
          <cell r="K8909" t="str">
            <v>220002</v>
          </cell>
          <cell r="M8909">
            <v>2</v>
          </cell>
          <cell r="R8909">
            <v>45866</v>
          </cell>
          <cell r="S8909">
            <v>220002</v>
          </cell>
        </row>
        <row r="8910">
          <cell r="K8910" t="str">
            <v>201011</v>
          </cell>
          <cell r="M8910">
            <v>4</v>
          </cell>
          <cell r="R8910">
            <v>45866</v>
          </cell>
          <cell r="S8910">
            <v>201011</v>
          </cell>
        </row>
        <row r="8911">
          <cell r="K8911" t="str">
            <v>228001</v>
          </cell>
          <cell r="M8911">
            <v>1</v>
          </cell>
          <cell r="R8911">
            <v>45865</v>
          </cell>
          <cell r="S8911">
            <v>228001</v>
          </cell>
        </row>
        <row r="8912">
          <cell r="K8912" t="str">
            <v>231012</v>
          </cell>
          <cell r="M8912">
            <v>4</v>
          </cell>
          <cell r="R8912">
            <v>45865</v>
          </cell>
          <cell r="S8912">
            <v>231012</v>
          </cell>
        </row>
        <row r="8913">
          <cell r="K8913" t="str">
            <v>223002</v>
          </cell>
          <cell r="M8913">
            <v>3</v>
          </cell>
          <cell r="R8913">
            <v>45865</v>
          </cell>
          <cell r="S8913">
            <v>223002</v>
          </cell>
        </row>
        <row r="8914">
          <cell r="K8914" t="str">
            <v>223001</v>
          </cell>
          <cell r="M8914">
            <v>12</v>
          </cell>
          <cell r="R8914">
            <v>45865</v>
          </cell>
          <cell r="S8914">
            <v>223001</v>
          </cell>
        </row>
        <row r="8915">
          <cell r="K8915" t="str">
            <v>227012</v>
          </cell>
          <cell r="M8915">
            <v>1</v>
          </cell>
          <cell r="R8915">
            <v>45865</v>
          </cell>
          <cell r="S8915">
            <v>227012</v>
          </cell>
        </row>
        <row r="8916">
          <cell r="K8916" t="str">
            <v>209022</v>
          </cell>
          <cell r="M8916">
            <v>3</v>
          </cell>
          <cell r="R8916">
            <v>45865</v>
          </cell>
          <cell r="S8916">
            <v>209022</v>
          </cell>
        </row>
        <row r="8917">
          <cell r="K8917" t="str">
            <v>213006</v>
          </cell>
          <cell r="M8917">
            <v>1</v>
          </cell>
          <cell r="R8917">
            <v>45866</v>
          </cell>
          <cell r="S8917">
            <v>213006</v>
          </cell>
        </row>
        <row r="8918">
          <cell r="K8918" t="str">
            <v>209001</v>
          </cell>
          <cell r="M8918">
            <v>1</v>
          </cell>
          <cell r="R8918">
            <v>45866</v>
          </cell>
          <cell r="S8918">
            <v>209001</v>
          </cell>
        </row>
        <row r="8919">
          <cell r="K8919" t="str">
            <v>241001</v>
          </cell>
          <cell r="M8919">
            <v>3</v>
          </cell>
          <cell r="R8919">
            <v>45866</v>
          </cell>
          <cell r="S8919">
            <v>241001</v>
          </cell>
        </row>
        <row r="8920">
          <cell r="K8920" t="str">
            <v>223002</v>
          </cell>
          <cell r="M8920">
            <v>2</v>
          </cell>
          <cell r="R8920">
            <v>45865</v>
          </cell>
          <cell r="S8920">
            <v>223002</v>
          </cell>
        </row>
        <row r="8921">
          <cell r="K8921" t="str">
            <v>223001</v>
          </cell>
          <cell r="M8921">
            <v>1</v>
          </cell>
          <cell r="R8921">
            <v>45865</v>
          </cell>
          <cell r="S8921">
            <v>223001</v>
          </cell>
        </row>
        <row r="8922">
          <cell r="K8922" t="str">
            <v>220002</v>
          </cell>
          <cell r="M8922">
            <v>2</v>
          </cell>
          <cell r="R8922">
            <v>45866</v>
          </cell>
          <cell r="S8922">
            <v>220002</v>
          </cell>
        </row>
        <row r="8923">
          <cell r="K8923" t="str">
            <v>213002</v>
          </cell>
          <cell r="M8923">
            <v>5</v>
          </cell>
          <cell r="R8923">
            <v>45866</v>
          </cell>
          <cell r="S8923">
            <v>213002</v>
          </cell>
        </row>
        <row r="8924">
          <cell r="K8924" t="str">
            <v>213002</v>
          </cell>
          <cell r="M8924">
            <v>15</v>
          </cell>
          <cell r="R8924">
            <v>45866</v>
          </cell>
          <cell r="S8924">
            <v>213002</v>
          </cell>
        </row>
        <row r="8925">
          <cell r="K8925" t="str">
            <v>223002</v>
          </cell>
          <cell r="M8925">
            <v>5</v>
          </cell>
          <cell r="R8925">
            <v>45866</v>
          </cell>
          <cell r="S8925">
            <v>223002</v>
          </cell>
        </row>
        <row r="8926">
          <cell r="K8926" t="str">
            <v>209012</v>
          </cell>
          <cell r="M8926">
            <v>1</v>
          </cell>
          <cell r="R8926">
            <v>45866</v>
          </cell>
          <cell r="S8926">
            <v>209012</v>
          </cell>
        </row>
        <row r="8927">
          <cell r="K8927" t="str">
            <v>201011</v>
          </cell>
          <cell r="M8927">
            <v>6</v>
          </cell>
          <cell r="R8927">
            <v>45866</v>
          </cell>
          <cell r="S8927">
            <v>201011</v>
          </cell>
        </row>
        <row r="8928">
          <cell r="K8928" t="str">
            <v>223001</v>
          </cell>
          <cell r="M8928">
            <v>10</v>
          </cell>
          <cell r="R8928">
            <v>45866</v>
          </cell>
          <cell r="S8928">
            <v>223001</v>
          </cell>
        </row>
        <row r="8929">
          <cell r="K8929" t="str">
            <v>223002</v>
          </cell>
          <cell r="M8929">
            <v>1</v>
          </cell>
          <cell r="R8929">
            <v>45866</v>
          </cell>
          <cell r="S8929">
            <v>223002</v>
          </cell>
        </row>
        <row r="8930">
          <cell r="K8930" t="str">
            <v>241001</v>
          </cell>
          <cell r="M8930">
            <v>3</v>
          </cell>
          <cell r="R8930">
            <v>45866</v>
          </cell>
          <cell r="S8930">
            <v>241001</v>
          </cell>
        </row>
        <row r="8931">
          <cell r="K8931" t="str">
            <v>201011</v>
          </cell>
          <cell r="M8931">
            <v>4</v>
          </cell>
          <cell r="R8931">
            <v>45866</v>
          </cell>
          <cell r="S8931">
            <v>201011</v>
          </cell>
        </row>
        <row r="8932">
          <cell r="K8932" t="str">
            <v>201011</v>
          </cell>
          <cell r="M8932">
            <v>3</v>
          </cell>
          <cell r="R8932">
            <v>45866</v>
          </cell>
          <cell r="S8932">
            <v>201011</v>
          </cell>
        </row>
        <row r="8933">
          <cell r="K8933" t="str">
            <v>241001</v>
          </cell>
          <cell r="M8933">
            <v>3</v>
          </cell>
          <cell r="R8933">
            <v>45866</v>
          </cell>
          <cell r="S8933">
            <v>241001</v>
          </cell>
        </row>
        <row r="8934">
          <cell r="K8934" t="str">
            <v>217022</v>
          </cell>
          <cell r="M8934">
            <v>1</v>
          </cell>
          <cell r="R8934">
            <v>45866</v>
          </cell>
          <cell r="S8934">
            <v>217022</v>
          </cell>
        </row>
        <row r="8935">
          <cell r="K8935" t="str">
            <v>226029</v>
          </cell>
          <cell r="M8935">
            <v>1</v>
          </cell>
          <cell r="R8935">
            <v>45866</v>
          </cell>
          <cell r="S8935">
            <v>226029</v>
          </cell>
        </row>
        <row r="8936">
          <cell r="K8936" t="str">
            <v>212035</v>
          </cell>
          <cell r="M8936">
            <v>2</v>
          </cell>
          <cell r="R8936">
            <v>45866</v>
          </cell>
          <cell r="S8936">
            <v>212035</v>
          </cell>
        </row>
        <row r="8937">
          <cell r="K8937" t="str">
            <v>201011</v>
          </cell>
          <cell r="M8937">
            <v>36</v>
          </cell>
          <cell r="R8937">
            <v>45866</v>
          </cell>
          <cell r="S8937">
            <v>201011</v>
          </cell>
        </row>
        <row r="8938">
          <cell r="K8938" t="str">
            <v>223002</v>
          </cell>
          <cell r="M8938">
            <v>1</v>
          </cell>
          <cell r="R8938">
            <v>45866</v>
          </cell>
          <cell r="S8938">
            <v>223002</v>
          </cell>
        </row>
        <row r="8939">
          <cell r="K8939" t="str">
            <v>231008</v>
          </cell>
          <cell r="M8939">
            <v>1</v>
          </cell>
          <cell r="R8939">
            <v>45866</v>
          </cell>
          <cell r="S8939">
            <v>231008</v>
          </cell>
        </row>
        <row r="8940">
          <cell r="K8940" t="str">
            <v>209004</v>
          </cell>
          <cell r="M8940">
            <v>1</v>
          </cell>
          <cell r="R8940">
            <v>45866</v>
          </cell>
          <cell r="S8940">
            <v>209004</v>
          </cell>
        </row>
        <row r="8941">
          <cell r="K8941" t="str">
            <v>222001</v>
          </cell>
          <cell r="M8941">
            <v>1</v>
          </cell>
          <cell r="R8941">
            <v>45866</v>
          </cell>
          <cell r="S8941">
            <v>222001</v>
          </cell>
        </row>
        <row r="8942">
          <cell r="K8942" t="str">
            <v>223002</v>
          </cell>
          <cell r="M8942">
            <v>2</v>
          </cell>
          <cell r="R8942">
            <v>45866</v>
          </cell>
          <cell r="S8942">
            <v>223002</v>
          </cell>
        </row>
        <row r="8943">
          <cell r="K8943" t="str">
            <v>227002</v>
          </cell>
          <cell r="M8943">
            <v>2</v>
          </cell>
          <cell r="R8943">
            <v>45866</v>
          </cell>
          <cell r="S8943">
            <v>227002</v>
          </cell>
        </row>
        <row r="8944">
          <cell r="K8944" t="str">
            <v>207017</v>
          </cell>
          <cell r="M8944">
            <v>2</v>
          </cell>
          <cell r="R8944">
            <v>45866</v>
          </cell>
          <cell r="S8944">
            <v>207017</v>
          </cell>
        </row>
        <row r="8945">
          <cell r="K8945" t="str">
            <v>213002</v>
          </cell>
          <cell r="M8945">
            <v>2</v>
          </cell>
          <cell r="R8945">
            <v>45866</v>
          </cell>
          <cell r="S8945">
            <v>213002</v>
          </cell>
        </row>
        <row r="8946">
          <cell r="K8946" t="str">
            <v>229004</v>
          </cell>
          <cell r="M8946">
            <v>3</v>
          </cell>
          <cell r="R8946">
            <v>45866</v>
          </cell>
          <cell r="S8946">
            <v>229004</v>
          </cell>
        </row>
        <row r="8947">
          <cell r="K8947" t="str">
            <v>203003</v>
          </cell>
          <cell r="M8947">
            <v>6</v>
          </cell>
          <cell r="R8947">
            <v>45866</v>
          </cell>
          <cell r="S8947">
            <v>203003</v>
          </cell>
        </row>
        <row r="8948">
          <cell r="K8948" t="str">
            <v>207017</v>
          </cell>
          <cell r="M8948">
            <v>5</v>
          </cell>
          <cell r="R8948">
            <v>45866</v>
          </cell>
          <cell r="S8948">
            <v>207017</v>
          </cell>
        </row>
        <row r="8949">
          <cell r="K8949" t="str">
            <v>201002</v>
          </cell>
          <cell r="M8949">
            <v>2</v>
          </cell>
          <cell r="R8949">
            <v>45866</v>
          </cell>
          <cell r="S8949">
            <v>201002</v>
          </cell>
        </row>
        <row r="8950">
          <cell r="K8950" t="str">
            <v>213003</v>
          </cell>
          <cell r="M8950">
            <v>3</v>
          </cell>
          <cell r="R8950">
            <v>45866</v>
          </cell>
          <cell r="S8950">
            <v>213003</v>
          </cell>
        </row>
        <row r="8951">
          <cell r="K8951" t="str">
            <v>241001</v>
          </cell>
          <cell r="M8951">
            <v>3</v>
          </cell>
          <cell r="R8951">
            <v>45866</v>
          </cell>
          <cell r="S8951">
            <v>241001</v>
          </cell>
        </row>
        <row r="8952">
          <cell r="K8952" t="str">
            <v>226001</v>
          </cell>
          <cell r="M8952">
            <v>2</v>
          </cell>
          <cell r="R8952">
            <v>45866</v>
          </cell>
          <cell r="S8952">
            <v>226001</v>
          </cell>
        </row>
        <row r="8953">
          <cell r="K8953" t="str">
            <v>228001</v>
          </cell>
          <cell r="M8953">
            <v>3</v>
          </cell>
          <cell r="R8953">
            <v>45866</v>
          </cell>
          <cell r="S8953">
            <v>228001</v>
          </cell>
        </row>
        <row r="8954">
          <cell r="K8954" t="str">
            <v>201011</v>
          </cell>
          <cell r="M8954">
            <v>1</v>
          </cell>
          <cell r="R8954">
            <v>45866</v>
          </cell>
          <cell r="S8954">
            <v>201011</v>
          </cell>
        </row>
        <row r="8955">
          <cell r="K8955" t="str">
            <v>212035</v>
          </cell>
          <cell r="M8955">
            <v>2</v>
          </cell>
          <cell r="R8955">
            <v>45866</v>
          </cell>
          <cell r="S8955">
            <v>212035</v>
          </cell>
        </row>
        <row r="8956">
          <cell r="K8956" t="str">
            <v>231012</v>
          </cell>
          <cell r="M8956">
            <v>2</v>
          </cell>
          <cell r="R8956">
            <v>45866</v>
          </cell>
          <cell r="S8956">
            <v>231012</v>
          </cell>
        </row>
        <row r="8957">
          <cell r="K8957" t="str">
            <v>220002</v>
          </cell>
          <cell r="M8957">
            <v>2</v>
          </cell>
          <cell r="R8957">
            <v>45866</v>
          </cell>
          <cell r="S8957">
            <v>220002</v>
          </cell>
        </row>
        <row r="8958">
          <cell r="K8958" t="str">
            <v>212002</v>
          </cell>
          <cell r="M8958">
            <v>1</v>
          </cell>
          <cell r="R8958">
            <v>45866</v>
          </cell>
          <cell r="S8958">
            <v>212002</v>
          </cell>
        </row>
        <row r="8959">
          <cell r="K8959" t="str">
            <v>228001</v>
          </cell>
          <cell r="M8959">
            <v>8</v>
          </cell>
          <cell r="R8959">
            <v>45866</v>
          </cell>
          <cell r="S8959">
            <v>228001</v>
          </cell>
        </row>
        <row r="8960">
          <cell r="K8960" t="str">
            <v>213003</v>
          </cell>
          <cell r="M8960">
            <v>3</v>
          </cell>
          <cell r="R8960">
            <v>45866</v>
          </cell>
          <cell r="S8960">
            <v>213003</v>
          </cell>
        </row>
        <row r="8961">
          <cell r="K8961" t="str">
            <v>213003</v>
          </cell>
          <cell r="M8961">
            <v>3</v>
          </cell>
          <cell r="R8961">
            <v>45866</v>
          </cell>
          <cell r="S8961">
            <v>213003</v>
          </cell>
        </row>
        <row r="8962">
          <cell r="K8962" t="str">
            <v>226001</v>
          </cell>
          <cell r="M8962">
            <v>2</v>
          </cell>
          <cell r="R8962">
            <v>45866</v>
          </cell>
          <cell r="S8962">
            <v>226001</v>
          </cell>
        </row>
        <row r="8963">
          <cell r="K8963" t="str">
            <v>226001</v>
          </cell>
          <cell r="M8963">
            <v>1</v>
          </cell>
          <cell r="R8963">
            <v>45866</v>
          </cell>
          <cell r="S8963">
            <v>226001</v>
          </cell>
        </row>
        <row r="8964">
          <cell r="K8964" t="str">
            <v>226001</v>
          </cell>
          <cell r="M8964">
            <v>1</v>
          </cell>
          <cell r="R8964">
            <v>45866</v>
          </cell>
          <cell r="S8964">
            <v>226001</v>
          </cell>
        </row>
        <row r="8965">
          <cell r="K8965" t="str">
            <v>201011</v>
          </cell>
          <cell r="M8965">
            <v>20</v>
          </cell>
          <cell r="R8965">
            <v>45866</v>
          </cell>
          <cell r="S8965">
            <v>201011</v>
          </cell>
        </row>
        <row r="8966">
          <cell r="K8966" t="str">
            <v>217018</v>
          </cell>
          <cell r="M8966">
            <v>1</v>
          </cell>
          <cell r="R8966">
            <v>45866</v>
          </cell>
          <cell r="S8966">
            <v>217018</v>
          </cell>
        </row>
        <row r="8967">
          <cell r="K8967" t="str">
            <v>201011</v>
          </cell>
          <cell r="M8967">
            <v>17</v>
          </cell>
          <cell r="R8967">
            <v>45866</v>
          </cell>
          <cell r="S8967">
            <v>201011</v>
          </cell>
        </row>
        <row r="8968">
          <cell r="K8968" t="str">
            <v>201021</v>
          </cell>
          <cell r="M8968">
            <v>1</v>
          </cell>
          <cell r="R8968">
            <v>45866</v>
          </cell>
          <cell r="S8968">
            <v>201021</v>
          </cell>
        </row>
        <row r="8969">
          <cell r="K8969" t="str">
            <v>231012</v>
          </cell>
          <cell r="M8969">
            <v>1</v>
          </cell>
          <cell r="R8969">
            <v>45866</v>
          </cell>
          <cell r="S8969">
            <v>231012</v>
          </cell>
        </row>
        <row r="8970">
          <cell r="K8970" t="str">
            <v>212035</v>
          </cell>
          <cell r="M8970">
            <v>1</v>
          </cell>
          <cell r="R8970">
            <v>45866</v>
          </cell>
          <cell r="S8970">
            <v>212035</v>
          </cell>
        </row>
        <row r="8971">
          <cell r="K8971" t="str">
            <v>222001</v>
          </cell>
          <cell r="M8971">
            <v>1</v>
          </cell>
          <cell r="R8971">
            <v>45866</v>
          </cell>
          <cell r="S8971">
            <v>222001</v>
          </cell>
        </row>
        <row r="8972">
          <cell r="K8972" t="str">
            <v>210013</v>
          </cell>
          <cell r="M8972">
            <v>1</v>
          </cell>
          <cell r="R8972">
            <v>45866</v>
          </cell>
          <cell r="S8972">
            <v>210013</v>
          </cell>
        </row>
        <row r="8973">
          <cell r="K8973" t="str">
            <v>201011</v>
          </cell>
          <cell r="M8973">
            <v>3</v>
          </cell>
          <cell r="R8973">
            <v>45866</v>
          </cell>
          <cell r="S8973">
            <v>201011</v>
          </cell>
        </row>
        <row r="8974">
          <cell r="K8974" t="str">
            <v>201011</v>
          </cell>
          <cell r="M8974">
            <v>14</v>
          </cell>
          <cell r="R8974">
            <v>45866</v>
          </cell>
          <cell r="S8974">
            <v>201011</v>
          </cell>
        </row>
        <row r="8975">
          <cell r="K8975" t="str">
            <v>228001</v>
          </cell>
          <cell r="M8975">
            <v>4</v>
          </cell>
          <cell r="R8975">
            <v>45866</v>
          </cell>
          <cell r="S8975">
            <v>228001</v>
          </cell>
        </row>
        <row r="8976">
          <cell r="K8976" t="str">
            <v>201003</v>
          </cell>
          <cell r="M8976">
            <v>1</v>
          </cell>
          <cell r="R8976">
            <v>45866</v>
          </cell>
          <cell r="S8976">
            <v>201003</v>
          </cell>
        </row>
        <row r="8977">
          <cell r="K8977" t="str">
            <v>212002</v>
          </cell>
          <cell r="M8977">
            <v>1</v>
          </cell>
          <cell r="R8977">
            <v>45866</v>
          </cell>
          <cell r="S8977">
            <v>212002</v>
          </cell>
        </row>
        <row r="8978">
          <cell r="K8978" t="str">
            <v>209004</v>
          </cell>
          <cell r="M8978">
            <v>1</v>
          </cell>
          <cell r="R8978">
            <v>45866</v>
          </cell>
          <cell r="S8978">
            <v>209004</v>
          </cell>
        </row>
        <row r="8979">
          <cell r="K8979" t="str">
            <v>241001</v>
          </cell>
          <cell r="M8979">
            <v>10</v>
          </cell>
          <cell r="R8979">
            <v>45866</v>
          </cell>
          <cell r="S8979">
            <v>241001</v>
          </cell>
        </row>
        <row r="8980">
          <cell r="K8980" t="str">
            <v>201003</v>
          </cell>
          <cell r="M8980">
            <v>1</v>
          </cell>
          <cell r="R8980">
            <v>45866</v>
          </cell>
          <cell r="S8980">
            <v>201003</v>
          </cell>
        </row>
        <row r="8981">
          <cell r="K8981" t="str">
            <v>203001</v>
          </cell>
          <cell r="M8981">
            <v>1</v>
          </cell>
          <cell r="R8981">
            <v>45866</v>
          </cell>
          <cell r="S8981">
            <v>203001</v>
          </cell>
        </row>
        <row r="8982">
          <cell r="K8982" t="str">
            <v>207017</v>
          </cell>
          <cell r="M8982">
            <v>1</v>
          </cell>
          <cell r="R8982">
            <v>45866</v>
          </cell>
          <cell r="S8982">
            <v>207017</v>
          </cell>
        </row>
        <row r="8983">
          <cell r="K8983" t="str">
            <v>213003</v>
          </cell>
          <cell r="M8983">
            <v>1</v>
          </cell>
          <cell r="R8983">
            <v>45866</v>
          </cell>
          <cell r="S8983">
            <v>213003</v>
          </cell>
        </row>
        <row r="8984">
          <cell r="K8984" t="str">
            <v>212002</v>
          </cell>
          <cell r="M8984">
            <v>1</v>
          </cell>
          <cell r="R8984">
            <v>45866</v>
          </cell>
          <cell r="S8984">
            <v>212002</v>
          </cell>
        </row>
        <row r="8985">
          <cell r="K8985" t="str">
            <v>228001</v>
          </cell>
          <cell r="M8985">
            <v>2</v>
          </cell>
          <cell r="R8985">
            <v>45866</v>
          </cell>
          <cell r="S8985">
            <v>228001</v>
          </cell>
        </row>
        <row r="8986">
          <cell r="K8986" t="str">
            <v>228001</v>
          </cell>
          <cell r="M8986">
            <v>2</v>
          </cell>
          <cell r="R8986">
            <v>45866</v>
          </cell>
          <cell r="S8986">
            <v>228001</v>
          </cell>
        </row>
        <row r="8987">
          <cell r="K8987" t="str">
            <v>231004</v>
          </cell>
          <cell r="M8987">
            <v>1</v>
          </cell>
          <cell r="R8987">
            <v>45866</v>
          </cell>
          <cell r="S8987">
            <v>231004</v>
          </cell>
        </row>
        <row r="8988">
          <cell r="K8988" t="str">
            <v>213003</v>
          </cell>
          <cell r="M8988">
            <v>1</v>
          </cell>
          <cell r="R8988">
            <v>45866</v>
          </cell>
          <cell r="S8988">
            <v>213003</v>
          </cell>
        </row>
        <row r="8989">
          <cell r="K8989" t="str">
            <v>228001</v>
          </cell>
          <cell r="M8989">
            <v>1</v>
          </cell>
          <cell r="R8989">
            <v>45866</v>
          </cell>
          <cell r="S8989">
            <v>228001</v>
          </cell>
        </row>
        <row r="8990">
          <cell r="K8990" t="str">
            <v>227012</v>
          </cell>
          <cell r="M8990">
            <v>4</v>
          </cell>
          <cell r="R8990">
            <v>45866</v>
          </cell>
          <cell r="S8990">
            <v>227012</v>
          </cell>
        </row>
        <row r="8991">
          <cell r="K8991" t="str">
            <v>201004</v>
          </cell>
          <cell r="M8991">
            <v>1</v>
          </cell>
          <cell r="R8991">
            <v>45866</v>
          </cell>
          <cell r="S8991">
            <v>201004</v>
          </cell>
        </row>
        <row r="8992">
          <cell r="K8992" t="str">
            <v>201005</v>
          </cell>
          <cell r="M8992">
            <v>1</v>
          </cell>
          <cell r="R8992">
            <v>45866</v>
          </cell>
          <cell r="S8992">
            <v>201005</v>
          </cell>
        </row>
        <row r="8993">
          <cell r="K8993" t="str">
            <v>227001</v>
          </cell>
          <cell r="M8993">
            <v>2</v>
          </cell>
          <cell r="R8993">
            <v>45867</v>
          </cell>
          <cell r="S8993">
            <v>227001</v>
          </cell>
        </row>
        <row r="8994">
          <cell r="K8994" t="str">
            <v>236001</v>
          </cell>
          <cell r="M8994">
            <v>1</v>
          </cell>
          <cell r="R8994">
            <v>45867</v>
          </cell>
          <cell r="S8994">
            <v>236001</v>
          </cell>
        </row>
        <row r="8995">
          <cell r="K8995" t="str">
            <v>223001</v>
          </cell>
          <cell r="M8995">
            <v>3</v>
          </cell>
          <cell r="R8995">
            <v>45867</v>
          </cell>
          <cell r="S8995">
            <v>223001</v>
          </cell>
        </row>
        <row r="8996">
          <cell r="K8996" t="str">
            <v>241001</v>
          </cell>
          <cell r="M8996">
            <v>1</v>
          </cell>
          <cell r="R8996">
            <v>45867</v>
          </cell>
          <cell r="S8996">
            <v>241001</v>
          </cell>
        </row>
        <row r="8997">
          <cell r="K8997" t="str">
            <v>201011</v>
          </cell>
          <cell r="M8997">
            <v>2</v>
          </cell>
          <cell r="R8997">
            <v>45867</v>
          </cell>
          <cell r="S8997">
            <v>201011</v>
          </cell>
        </row>
        <row r="8998">
          <cell r="K8998" t="str">
            <v>201022</v>
          </cell>
          <cell r="M8998">
            <v>1</v>
          </cell>
          <cell r="R8998">
            <v>45867</v>
          </cell>
          <cell r="S8998">
            <v>201022</v>
          </cell>
        </row>
        <row r="8999">
          <cell r="K8999" t="str">
            <v>226030</v>
          </cell>
          <cell r="M8999">
            <v>3</v>
          </cell>
          <cell r="R8999">
            <v>45866</v>
          </cell>
          <cell r="S8999">
            <v>226030</v>
          </cell>
        </row>
        <row r="9000">
          <cell r="K9000" t="str">
            <v>209001</v>
          </cell>
          <cell r="M9000">
            <v>2</v>
          </cell>
          <cell r="R9000">
            <v>45866</v>
          </cell>
          <cell r="S9000">
            <v>209001</v>
          </cell>
        </row>
        <row r="9001">
          <cell r="K9001" t="str">
            <v>203003</v>
          </cell>
          <cell r="M9001">
            <v>2</v>
          </cell>
          <cell r="R9001">
            <v>45866</v>
          </cell>
          <cell r="S9001">
            <v>203003</v>
          </cell>
        </row>
        <row r="9002">
          <cell r="K9002" t="str">
            <v>223001</v>
          </cell>
          <cell r="M9002">
            <v>1</v>
          </cell>
          <cell r="R9002">
            <v>45866</v>
          </cell>
          <cell r="S9002">
            <v>223001</v>
          </cell>
        </row>
        <row r="9003">
          <cell r="K9003" t="str">
            <v>228001</v>
          </cell>
          <cell r="M9003">
            <v>1</v>
          </cell>
          <cell r="R9003">
            <v>45866</v>
          </cell>
          <cell r="S9003">
            <v>228001</v>
          </cell>
        </row>
        <row r="9004">
          <cell r="K9004" t="str">
            <v>217020</v>
          </cell>
          <cell r="M9004">
            <v>1</v>
          </cell>
          <cell r="R9004">
            <v>45866</v>
          </cell>
          <cell r="S9004">
            <v>217020</v>
          </cell>
        </row>
        <row r="9005">
          <cell r="K9005" t="str">
            <v>237001</v>
          </cell>
          <cell r="M9005">
            <v>1</v>
          </cell>
          <cell r="R9005">
            <v>45866</v>
          </cell>
          <cell r="S9005">
            <v>237001</v>
          </cell>
        </row>
        <row r="9006">
          <cell r="K9006" t="str">
            <v>201004</v>
          </cell>
          <cell r="M9006">
            <v>2</v>
          </cell>
          <cell r="R9006">
            <v>45866</v>
          </cell>
          <cell r="S9006">
            <v>201004</v>
          </cell>
        </row>
        <row r="9007">
          <cell r="K9007" t="str">
            <v>201005</v>
          </cell>
          <cell r="M9007">
            <v>2</v>
          </cell>
          <cell r="R9007">
            <v>45866</v>
          </cell>
          <cell r="S9007">
            <v>201005</v>
          </cell>
        </row>
        <row r="9008">
          <cell r="K9008" t="str">
            <v>231010</v>
          </cell>
          <cell r="M9008">
            <v>1</v>
          </cell>
          <cell r="R9008">
            <v>45866</v>
          </cell>
          <cell r="S9008">
            <v>231010</v>
          </cell>
        </row>
        <row r="9009">
          <cell r="K9009" t="str">
            <v>227012</v>
          </cell>
          <cell r="M9009">
            <v>2</v>
          </cell>
          <cell r="R9009">
            <v>45866</v>
          </cell>
          <cell r="S9009">
            <v>227012</v>
          </cell>
        </row>
        <row r="9010">
          <cell r="K9010" t="str">
            <v>226001</v>
          </cell>
          <cell r="M9010">
            <v>1</v>
          </cell>
          <cell r="R9010">
            <v>45866</v>
          </cell>
          <cell r="S9010">
            <v>226001</v>
          </cell>
        </row>
        <row r="9011">
          <cell r="K9011" t="str">
            <v>227012</v>
          </cell>
          <cell r="M9011">
            <v>2</v>
          </cell>
          <cell r="R9011">
            <v>45866</v>
          </cell>
          <cell r="S9011">
            <v>227012</v>
          </cell>
        </row>
        <row r="9012">
          <cell r="K9012" t="str">
            <v>222001</v>
          </cell>
          <cell r="M9012">
            <v>5</v>
          </cell>
          <cell r="R9012">
            <v>45866</v>
          </cell>
          <cell r="S9012">
            <v>222001</v>
          </cell>
        </row>
        <row r="9013">
          <cell r="K9013" t="str">
            <v>213003</v>
          </cell>
          <cell r="M9013">
            <v>1</v>
          </cell>
          <cell r="R9013">
            <v>45866</v>
          </cell>
          <cell r="S9013">
            <v>213003</v>
          </cell>
        </row>
        <row r="9014">
          <cell r="K9014" t="str">
            <v>241001</v>
          </cell>
          <cell r="M9014">
            <v>3</v>
          </cell>
          <cell r="R9014">
            <v>45866</v>
          </cell>
          <cell r="S9014">
            <v>241001</v>
          </cell>
        </row>
        <row r="9015">
          <cell r="K9015" t="str">
            <v>210014</v>
          </cell>
          <cell r="M9015">
            <v>4</v>
          </cell>
          <cell r="R9015">
            <v>45866</v>
          </cell>
          <cell r="S9015">
            <v>210014</v>
          </cell>
        </row>
        <row r="9016">
          <cell r="K9016" t="str">
            <v>227012</v>
          </cell>
          <cell r="M9016">
            <v>2</v>
          </cell>
          <cell r="R9016">
            <v>45866</v>
          </cell>
          <cell r="S9016">
            <v>227012</v>
          </cell>
        </row>
        <row r="9017">
          <cell r="K9017" t="str">
            <v>223001</v>
          </cell>
          <cell r="M9017">
            <v>8</v>
          </cell>
          <cell r="R9017">
            <v>45866</v>
          </cell>
          <cell r="S9017">
            <v>223001</v>
          </cell>
        </row>
        <row r="9018">
          <cell r="K9018" t="str">
            <v>201011</v>
          </cell>
          <cell r="M9018">
            <v>1</v>
          </cell>
          <cell r="R9018">
            <v>45867</v>
          </cell>
          <cell r="S9018">
            <v>201011</v>
          </cell>
        </row>
        <row r="9019">
          <cell r="K9019" t="str">
            <v>213003</v>
          </cell>
          <cell r="M9019">
            <v>2</v>
          </cell>
          <cell r="R9019">
            <v>45866</v>
          </cell>
          <cell r="S9019">
            <v>213003</v>
          </cell>
        </row>
        <row r="9020">
          <cell r="K9020" t="str">
            <v>217002</v>
          </cell>
          <cell r="M9020">
            <v>1</v>
          </cell>
          <cell r="R9020">
            <v>45866</v>
          </cell>
          <cell r="S9020">
            <v>217002</v>
          </cell>
        </row>
        <row r="9021">
          <cell r="K9021" t="str">
            <v>223002</v>
          </cell>
          <cell r="M9021">
            <v>5</v>
          </cell>
          <cell r="R9021">
            <v>45867</v>
          </cell>
          <cell r="S9021">
            <v>223002</v>
          </cell>
        </row>
        <row r="9022">
          <cell r="K9022" t="str">
            <v>223006</v>
          </cell>
          <cell r="M9022">
            <v>5</v>
          </cell>
          <cell r="R9022">
            <v>45867</v>
          </cell>
          <cell r="S9022">
            <v>223006</v>
          </cell>
        </row>
        <row r="9023">
          <cell r="K9023" t="str">
            <v>223001</v>
          </cell>
          <cell r="M9023">
            <v>1</v>
          </cell>
          <cell r="R9023">
            <v>45867</v>
          </cell>
          <cell r="S9023">
            <v>223001</v>
          </cell>
        </row>
        <row r="9024">
          <cell r="K9024" t="str">
            <v>203001</v>
          </cell>
          <cell r="M9024">
            <v>2</v>
          </cell>
          <cell r="R9024">
            <v>45867</v>
          </cell>
          <cell r="S9024">
            <v>203001</v>
          </cell>
        </row>
        <row r="9025">
          <cell r="K9025" t="str">
            <v>213002</v>
          </cell>
          <cell r="M9025">
            <v>7</v>
          </cell>
          <cell r="R9025">
            <v>45867</v>
          </cell>
          <cell r="S9025">
            <v>213002</v>
          </cell>
        </row>
        <row r="9026">
          <cell r="K9026" t="str">
            <v>223018</v>
          </cell>
          <cell r="M9026">
            <v>10</v>
          </cell>
          <cell r="R9026">
            <v>45867</v>
          </cell>
          <cell r="S9026">
            <v>223018</v>
          </cell>
        </row>
        <row r="9027">
          <cell r="K9027" t="str">
            <v>223002</v>
          </cell>
          <cell r="M9027">
            <v>4</v>
          </cell>
          <cell r="R9027">
            <v>45867</v>
          </cell>
          <cell r="S9027">
            <v>223002</v>
          </cell>
        </row>
        <row r="9028">
          <cell r="K9028" t="str">
            <v>223001</v>
          </cell>
          <cell r="M9028">
            <v>1</v>
          </cell>
          <cell r="R9028">
            <v>45867</v>
          </cell>
          <cell r="S9028">
            <v>223001</v>
          </cell>
        </row>
        <row r="9029">
          <cell r="K9029" t="str">
            <v>227002</v>
          </cell>
          <cell r="M9029">
            <v>1</v>
          </cell>
          <cell r="R9029">
            <v>45867</v>
          </cell>
          <cell r="S9029">
            <v>227002</v>
          </cell>
        </row>
        <row r="9030">
          <cell r="K9030" t="str">
            <v>231004</v>
          </cell>
          <cell r="M9030">
            <v>1</v>
          </cell>
          <cell r="R9030">
            <v>45867</v>
          </cell>
          <cell r="S9030">
            <v>231004</v>
          </cell>
        </row>
        <row r="9031">
          <cell r="K9031" t="str">
            <v>203001</v>
          </cell>
          <cell r="M9031">
            <v>2</v>
          </cell>
          <cell r="R9031">
            <v>45867</v>
          </cell>
          <cell r="S9031">
            <v>203001</v>
          </cell>
        </row>
        <row r="9032">
          <cell r="K9032" t="str">
            <v>213002</v>
          </cell>
          <cell r="M9032">
            <v>7</v>
          </cell>
          <cell r="R9032">
            <v>45867</v>
          </cell>
          <cell r="S9032">
            <v>213002</v>
          </cell>
        </row>
        <row r="9033">
          <cell r="K9033" t="str">
            <v>201011</v>
          </cell>
          <cell r="M9033">
            <v>1</v>
          </cell>
          <cell r="R9033">
            <v>45867</v>
          </cell>
          <cell r="S9033">
            <v>201011</v>
          </cell>
        </row>
        <row r="9034">
          <cell r="K9034" t="str">
            <v>223006</v>
          </cell>
          <cell r="M9034">
            <v>5</v>
          </cell>
          <cell r="R9034">
            <v>45867</v>
          </cell>
          <cell r="S9034">
            <v>223006</v>
          </cell>
        </row>
        <row r="9035">
          <cell r="K9035" t="str">
            <v>223002</v>
          </cell>
          <cell r="M9035">
            <v>7</v>
          </cell>
          <cell r="R9035">
            <v>45867</v>
          </cell>
          <cell r="S9035">
            <v>223002</v>
          </cell>
        </row>
        <row r="9036">
          <cell r="K9036" t="str">
            <v>223006</v>
          </cell>
          <cell r="M9036">
            <v>5</v>
          </cell>
          <cell r="R9036">
            <v>45867</v>
          </cell>
          <cell r="S9036">
            <v>223006</v>
          </cell>
        </row>
        <row r="9037">
          <cell r="K9037" t="str">
            <v>223001</v>
          </cell>
          <cell r="M9037">
            <v>5</v>
          </cell>
          <cell r="R9037">
            <v>45867</v>
          </cell>
          <cell r="S9037">
            <v>223001</v>
          </cell>
        </row>
        <row r="9038">
          <cell r="K9038" t="str">
            <v>227012</v>
          </cell>
          <cell r="M9038">
            <v>1</v>
          </cell>
          <cell r="R9038">
            <v>45867</v>
          </cell>
          <cell r="S9038">
            <v>227012</v>
          </cell>
        </row>
        <row r="9039">
          <cell r="K9039" t="str">
            <v>203001</v>
          </cell>
          <cell r="M9039">
            <v>7</v>
          </cell>
          <cell r="R9039">
            <v>45867</v>
          </cell>
          <cell r="S9039">
            <v>203001</v>
          </cell>
        </row>
        <row r="9040">
          <cell r="K9040" t="str">
            <v>213002</v>
          </cell>
          <cell r="M9040">
            <v>6</v>
          </cell>
          <cell r="R9040">
            <v>45867</v>
          </cell>
          <cell r="S9040">
            <v>213002</v>
          </cell>
        </row>
        <row r="9041">
          <cell r="K9041" t="str">
            <v>223018</v>
          </cell>
          <cell r="M9041">
            <v>10</v>
          </cell>
          <cell r="R9041">
            <v>45867</v>
          </cell>
          <cell r="S9041">
            <v>223018</v>
          </cell>
        </row>
        <row r="9042">
          <cell r="K9042" t="str">
            <v>228001</v>
          </cell>
          <cell r="M9042">
            <v>1</v>
          </cell>
          <cell r="R9042">
            <v>45867</v>
          </cell>
          <cell r="S9042">
            <v>228001</v>
          </cell>
        </row>
        <row r="9043">
          <cell r="K9043" t="str">
            <v>228001</v>
          </cell>
          <cell r="M9043">
            <v>1</v>
          </cell>
          <cell r="R9043">
            <v>45867</v>
          </cell>
          <cell r="S9043">
            <v>228001</v>
          </cell>
        </row>
        <row r="9044">
          <cell r="K9044" t="str">
            <v>220002</v>
          </cell>
          <cell r="M9044">
            <v>3</v>
          </cell>
          <cell r="R9044">
            <v>45867</v>
          </cell>
          <cell r="S9044">
            <v>220002</v>
          </cell>
        </row>
        <row r="9045">
          <cell r="K9045" t="str">
            <v>213006</v>
          </cell>
          <cell r="M9045">
            <v>1</v>
          </cell>
          <cell r="R9045">
            <v>45867</v>
          </cell>
          <cell r="S9045">
            <v>213006</v>
          </cell>
        </row>
        <row r="9046">
          <cell r="K9046" t="str">
            <v>201011</v>
          </cell>
          <cell r="M9046">
            <v>4</v>
          </cell>
          <cell r="R9046">
            <v>45867</v>
          </cell>
          <cell r="S9046">
            <v>201011</v>
          </cell>
        </row>
        <row r="9047">
          <cell r="K9047" t="str">
            <v>228001</v>
          </cell>
          <cell r="M9047">
            <v>5</v>
          </cell>
          <cell r="R9047">
            <v>45867</v>
          </cell>
          <cell r="S9047">
            <v>228001</v>
          </cell>
        </row>
        <row r="9048">
          <cell r="K9048" t="str">
            <v>213003</v>
          </cell>
          <cell r="M9048">
            <v>4</v>
          </cell>
          <cell r="R9048">
            <v>45867</v>
          </cell>
          <cell r="S9048">
            <v>213003</v>
          </cell>
        </row>
        <row r="9049">
          <cell r="K9049" t="str">
            <v>226001</v>
          </cell>
          <cell r="M9049">
            <v>1</v>
          </cell>
          <cell r="R9049">
            <v>45867</v>
          </cell>
          <cell r="S9049">
            <v>226001</v>
          </cell>
        </row>
        <row r="9050">
          <cell r="K9050" t="str">
            <v>226001</v>
          </cell>
          <cell r="M9050">
            <v>4</v>
          </cell>
          <cell r="R9050">
            <v>45867</v>
          </cell>
          <cell r="S9050">
            <v>226001</v>
          </cell>
        </row>
        <row r="9051">
          <cell r="K9051" t="str">
            <v>226001</v>
          </cell>
          <cell r="M9051">
            <v>4</v>
          </cell>
          <cell r="R9051">
            <v>45867</v>
          </cell>
          <cell r="S9051">
            <v>226001</v>
          </cell>
        </row>
        <row r="9052">
          <cell r="K9052" t="str">
            <v>231010</v>
          </cell>
          <cell r="M9052">
            <v>1</v>
          </cell>
          <cell r="R9052">
            <v>45867</v>
          </cell>
          <cell r="S9052">
            <v>231010</v>
          </cell>
        </row>
        <row r="9053">
          <cell r="K9053" t="str">
            <v>203003</v>
          </cell>
          <cell r="M9053">
            <v>1</v>
          </cell>
          <cell r="R9053">
            <v>45867</v>
          </cell>
          <cell r="S9053">
            <v>203003</v>
          </cell>
        </row>
        <row r="9054">
          <cell r="K9054" t="str">
            <v>217018</v>
          </cell>
          <cell r="M9054">
            <v>29</v>
          </cell>
          <cell r="R9054">
            <v>45867</v>
          </cell>
          <cell r="S9054">
            <v>217018</v>
          </cell>
        </row>
        <row r="9055">
          <cell r="K9055" t="str">
            <v>223001</v>
          </cell>
          <cell r="M9055">
            <v>3</v>
          </cell>
          <cell r="R9055">
            <v>45867</v>
          </cell>
          <cell r="S9055">
            <v>223001</v>
          </cell>
        </row>
        <row r="9056">
          <cell r="K9056" t="str">
            <v>208001</v>
          </cell>
          <cell r="M9056">
            <v>1</v>
          </cell>
          <cell r="R9056">
            <v>45867</v>
          </cell>
          <cell r="S9056">
            <v>208001</v>
          </cell>
        </row>
        <row r="9057">
          <cell r="K9057" t="str">
            <v>206002</v>
          </cell>
          <cell r="M9057">
            <v>1</v>
          </cell>
          <cell r="R9057">
            <v>45867</v>
          </cell>
          <cell r="S9057">
            <v>206002</v>
          </cell>
        </row>
        <row r="9058">
          <cell r="K9058" t="str">
            <v>229004</v>
          </cell>
          <cell r="M9058">
            <v>1</v>
          </cell>
          <cell r="R9058">
            <v>45867</v>
          </cell>
          <cell r="S9058">
            <v>229004</v>
          </cell>
        </row>
        <row r="9059">
          <cell r="K9059" t="str">
            <v>229004</v>
          </cell>
          <cell r="M9059">
            <v>1</v>
          </cell>
          <cell r="R9059">
            <v>45867</v>
          </cell>
          <cell r="S9059">
            <v>229004</v>
          </cell>
        </row>
        <row r="9060">
          <cell r="K9060" t="str">
            <v>206005</v>
          </cell>
          <cell r="M9060">
            <v>1</v>
          </cell>
          <cell r="R9060">
            <v>45867</v>
          </cell>
          <cell r="S9060">
            <v>206005</v>
          </cell>
        </row>
        <row r="9061">
          <cell r="K9061" t="str">
            <v>208001</v>
          </cell>
          <cell r="M9061">
            <v>1</v>
          </cell>
          <cell r="R9061">
            <v>45867</v>
          </cell>
          <cell r="S9061">
            <v>208001</v>
          </cell>
        </row>
        <row r="9062">
          <cell r="K9062" t="str">
            <v>210004</v>
          </cell>
          <cell r="M9062">
            <v>1</v>
          </cell>
          <cell r="R9062">
            <v>45867</v>
          </cell>
          <cell r="S9062">
            <v>210004</v>
          </cell>
        </row>
        <row r="9063">
          <cell r="K9063" t="str">
            <v>201011</v>
          </cell>
          <cell r="M9063">
            <v>1</v>
          </cell>
          <cell r="R9063">
            <v>45867</v>
          </cell>
          <cell r="S9063">
            <v>201011</v>
          </cell>
        </row>
        <row r="9064">
          <cell r="K9064" t="str">
            <v>231004</v>
          </cell>
          <cell r="M9064">
            <v>1</v>
          </cell>
          <cell r="R9064">
            <v>45868</v>
          </cell>
          <cell r="S9064">
            <v>231004</v>
          </cell>
        </row>
        <row r="9065">
          <cell r="K9065" t="str">
            <v>231012</v>
          </cell>
          <cell r="M9065">
            <v>1</v>
          </cell>
          <cell r="R9065">
            <v>45868</v>
          </cell>
          <cell r="S9065">
            <v>231012</v>
          </cell>
        </row>
        <row r="9066">
          <cell r="K9066" t="str">
            <v>213002</v>
          </cell>
          <cell r="M9066">
            <v>5</v>
          </cell>
          <cell r="R9066">
            <v>45868</v>
          </cell>
          <cell r="S9066">
            <v>213002</v>
          </cell>
        </row>
        <row r="9067">
          <cell r="K9067" t="str">
            <v>203001</v>
          </cell>
          <cell r="M9067">
            <v>1</v>
          </cell>
          <cell r="R9067">
            <v>45868</v>
          </cell>
          <cell r="S9067">
            <v>203001</v>
          </cell>
        </row>
        <row r="9068">
          <cell r="K9068" t="str">
            <v>228001</v>
          </cell>
          <cell r="M9068">
            <v>1</v>
          </cell>
          <cell r="R9068">
            <v>45868</v>
          </cell>
          <cell r="S9068">
            <v>228001</v>
          </cell>
        </row>
        <row r="9069">
          <cell r="K9069" t="str">
            <v>213005</v>
          </cell>
          <cell r="M9069">
            <v>1</v>
          </cell>
          <cell r="R9069">
            <v>45868</v>
          </cell>
          <cell r="S9069">
            <v>213005</v>
          </cell>
        </row>
        <row r="9070">
          <cell r="K9070" t="str">
            <v>227014</v>
          </cell>
          <cell r="M9070">
            <v>1</v>
          </cell>
          <cell r="R9070">
            <v>45868</v>
          </cell>
          <cell r="S9070">
            <v>227014</v>
          </cell>
        </row>
        <row r="9071">
          <cell r="K9071" t="str">
            <v>223001</v>
          </cell>
          <cell r="M9071">
            <v>3</v>
          </cell>
          <cell r="R9071">
            <v>45868</v>
          </cell>
          <cell r="S9071">
            <v>223001</v>
          </cell>
        </row>
        <row r="9072">
          <cell r="K9072" t="str">
            <v>213002</v>
          </cell>
          <cell r="M9072">
            <v>1</v>
          </cell>
          <cell r="R9072">
            <v>45868</v>
          </cell>
          <cell r="S9072">
            <v>213002</v>
          </cell>
        </row>
        <row r="9073">
          <cell r="K9073" t="str">
            <v>237001</v>
          </cell>
          <cell r="M9073">
            <v>1</v>
          </cell>
          <cell r="R9073">
            <v>45868</v>
          </cell>
          <cell r="S9073">
            <v>237001</v>
          </cell>
        </row>
        <row r="9074">
          <cell r="K9074" t="str">
            <v>227002</v>
          </cell>
          <cell r="M9074">
            <v>3</v>
          </cell>
          <cell r="R9074">
            <v>45868</v>
          </cell>
          <cell r="S9074">
            <v>227002</v>
          </cell>
        </row>
        <row r="9075">
          <cell r="K9075" t="str">
            <v>212035</v>
          </cell>
          <cell r="M9075">
            <v>4</v>
          </cell>
          <cell r="R9075">
            <v>45868</v>
          </cell>
          <cell r="S9075">
            <v>212035</v>
          </cell>
        </row>
        <row r="9076">
          <cell r="K9076" t="str">
            <v>241001</v>
          </cell>
          <cell r="M9076">
            <v>10</v>
          </cell>
          <cell r="R9076">
            <v>45868</v>
          </cell>
          <cell r="S9076">
            <v>241001</v>
          </cell>
        </row>
        <row r="9077">
          <cell r="K9077" t="str">
            <v>217018</v>
          </cell>
          <cell r="M9077">
            <v>1</v>
          </cell>
          <cell r="R9077">
            <v>45868</v>
          </cell>
          <cell r="S9077">
            <v>217018</v>
          </cell>
        </row>
        <row r="9078">
          <cell r="K9078" t="str">
            <v>217002</v>
          </cell>
          <cell r="M9078">
            <v>1</v>
          </cell>
          <cell r="R9078">
            <v>45868</v>
          </cell>
          <cell r="S9078">
            <v>217002</v>
          </cell>
        </row>
        <row r="9079">
          <cell r="K9079" t="str">
            <v>213002</v>
          </cell>
          <cell r="M9079">
            <v>5</v>
          </cell>
          <cell r="R9079">
            <v>45868</v>
          </cell>
          <cell r="S9079">
            <v>213002</v>
          </cell>
        </row>
        <row r="9080">
          <cell r="K9080" t="str">
            <v>226001</v>
          </cell>
          <cell r="M9080">
            <v>6</v>
          </cell>
          <cell r="R9080">
            <v>45868</v>
          </cell>
          <cell r="S9080">
            <v>226001</v>
          </cell>
        </row>
        <row r="9081">
          <cell r="K9081" t="str">
            <v>226025</v>
          </cell>
          <cell r="M9081">
            <v>1</v>
          </cell>
          <cell r="R9081">
            <v>45868</v>
          </cell>
          <cell r="S9081">
            <v>226025</v>
          </cell>
        </row>
        <row r="9082">
          <cell r="K9082" t="str">
            <v>223002</v>
          </cell>
          <cell r="M9082">
            <v>8</v>
          </cell>
          <cell r="R9082">
            <v>45868</v>
          </cell>
          <cell r="S9082">
            <v>223002</v>
          </cell>
        </row>
        <row r="9083">
          <cell r="K9083" t="str">
            <v>228001</v>
          </cell>
          <cell r="M9083">
            <v>2</v>
          </cell>
          <cell r="R9083">
            <v>45868</v>
          </cell>
          <cell r="S9083">
            <v>228001</v>
          </cell>
        </row>
        <row r="9084">
          <cell r="K9084" t="str">
            <v>223002</v>
          </cell>
          <cell r="M9084">
            <v>3</v>
          </cell>
          <cell r="R9084">
            <v>45868</v>
          </cell>
          <cell r="S9084">
            <v>223002</v>
          </cell>
        </row>
        <row r="9085">
          <cell r="K9085" t="str">
            <v>227012</v>
          </cell>
          <cell r="M9085">
            <v>1</v>
          </cell>
          <cell r="R9085">
            <v>45868</v>
          </cell>
          <cell r="S9085">
            <v>227012</v>
          </cell>
        </row>
        <row r="9086">
          <cell r="K9086" t="str">
            <v>217018</v>
          </cell>
          <cell r="M9086">
            <v>1</v>
          </cell>
          <cell r="R9086">
            <v>45868</v>
          </cell>
          <cell r="S9086">
            <v>217018</v>
          </cell>
        </row>
        <row r="9087">
          <cell r="K9087" t="str">
            <v>201011</v>
          </cell>
          <cell r="M9087">
            <v>2</v>
          </cell>
          <cell r="R9087">
            <v>45868</v>
          </cell>
          <cell r="S9087">
            <v>201011</v>
          </cell>
        </row>
        <row r="9088">
          <cell r="K9088" t="str">
            <v>228001</v>
          </cell>
          <cell r="M9088">
            <v>2</v>
          </cell>
          <cell r="R9088">
            <v>45866</v>
          </cell>
          <cell r="S9088">
            <v>228001</v>
          </cell>
        </row>
        <row r="9089">
          <cell r="K9089" t="str">
            <v>209012</v>
          </cell>
          <cell r="M9089">
            <v>1</v>
          </cell>
          <cell r="R9089">
            <v>45866</v>
          </cell>
          <cell r="S9089">
            <v>209012</v>
          </cell>
        </row>
        <row r="9090">
          <cell r="K9090" t="str">
            <v>231012</v>
          </cell>
          <cell r="M9090">
            <v>1</v>
          </cell>
          <cell r="R9090">
            <v>45866</v>
          </cell>
          <cell r="S9090">
            <v>231012</v>
          </cell>
        </row>
        <row r="9091">
          <cell r="K9091" t="str">
            <v>213002</v>
          </cell>
          <cell r="M9091">
            <v>2</v>
          </cell>
          <cell r="R9091">
            <v>45868</v>
          </cell>
          <cell r="S9091">
            <v>213002</v>
          </cell>
        </row>
        <row r="9092">
          <cell r="K9092" t="str">
            <v>201011</v>
          </cell>
          <cell r="M9092">
            <v>45</v>
          </cell>
          <cell r="R9092">
            <v>45868</v>
          </cell>
          <cell r="S9092">
            <v>201011</v>
          </cell>
        </row>
        <row r="9093">
          <cell r="K9093" t="str">
            <v>203003</v>
          </cell>
          <cell r="M9093">
            <v>2</v>
          </cell>
          <cell r="R9093">
            <v>45868</v>
          </cell>
          <cell r="S9093">
            <v>203003</v>
          </cell>
        </row>
        <row r="9094">
          <cell r="K9094" t="str">
            <v>231012</v>
          </cell>
          <cell r="M9094">
            <v>1</v>
          </cell>
          <cell r="R9094">
            <v>45868</v>
          </cell>
          <cell r="S9094">
            <v>231012</v>
          </cell>
        </row>
        <row r="9095">
          <cell r="K9095" t="str">
            <v>203001</v>
          </cell>
          <cell r="M9095">
            <v>4</v>
          </cell>
          <cell r="R9095">
            <v>45868</v>
          </cell>
          <cell r="S9095">
            <v>203001</v>
          </cell>
        </row>
        <row r="9096">
          <cell r="K9096" t="str">
            <v>213003</v>
          </cell>
          <cell r="M9096">
            <v>2</v>
          </cell>
          <cell r="R9096">
            <v>45868</v>
          </cell>
          <cell r="S9096">
            <v>213003</v>
          </cell>
        </row>
        <row r="9097">
          <cell r="K9097" t="str">
            <v>213003</v>
          </cell>
          <cell r="M9097">
            <v>2</v>
          </cell>
          <cell r="R9097">
            <v>45868</v>
          </cell>
          <cell r="S9097">
            <v>213003</v>
          </cell>
        </row>
        <row r="9098">
          <cell r="K9098" t="str">
            <v>213003</v>
          </cell>
          <cell r="M9098">
            <v>4</v>
          </cell>
          <cell r="R9098">
            <v>45868</v>
          </cell>
          <cell r="S9098">
            <v>213003</v>
          </cell>
        </row>
        <row r="9099">
          <cell r="K9099" t="str">
            <v>223002</v>
          </cell>
          <cell r="M9099">
            <v>5</v>
          </cell>
          <cell r="R9099">
            <v>45868</v>
          </cell>
          <cell r="S9099">
            <v>223002</v>
          </cell>
        </row>
        <row r="9100">
          <cell r="K9100" t="str">
            <v>201011</v>
          </cell>
          <cell r="M9100">
            <v>10</v>
          </cell>
          <cell r="R9100">
            <v>45868</v>
          </cell>
          <cell r="S9100">
            <v>201011</v>
          </cell>
        </row>
        <row r="9101">
          <cell r="K9101" t="str">
            <v>226001</v>
          </cell>
          <cell r="M9101">
            <v>2</v>
          </cell>
          <cell r="R9101">
            <v>45868</v>
          </cell>
          <cell r="S9101">
            <v>226001</v>
          </cell>
        </row>
        <row r="9102">
          <cell r="K9102" t="str">
            <v>231012</v>
          </cell>
          <cell r="M9102">
            <v>1</v>
          </cell>
          <cell r="R9102">
            <v>45868</v>
          </cell>
          <cell r="S9102">
            <v>231012</v>
          </cell>
        </row>
        <row r="9103">
          <cell r="K9103" t="str">
            <v>201011</v>
          </cell>
          <cell r="M9103">
            <v>20</v>
          </cell>
          <cell r="R9103">
            <v>45868</v>
          </cell>
          <cell r="S9103">
            <v>201011</v>
          </cell>
        </row>
        <row r="9104">
          <cell r="K9104" t="str">
            <v>209001</v>
          </cell>
          <cell r="M9104">
            <v>4</v>
          </cell>
          <cell r="R9104">
            <v>45868</v>
          </cell>
          <cell r="S9104">
            <v>209001</v>
          </cell>
        </row>
        <row r="9105">
          <cell r="K9105" t="str">
            <v>203003</v>
          </cell>
          <cell r="M9105">
            <v>1</v>
          </cell>
          <cell r="R9105">
            <v>45868</v>
          </cell>
          <cell r="S9105">
            <v>203003</v>
          </cell>
        </row>
        <row r="9106">
          <cell r="K9106" t="str">
            <v>231012</v>
          </cell>
          <cell r="M9106">
            <v>1</v>
          </cell>
          <cell r="R9106">
            <v>45868</v>
          </cell>
          <cell r="S9106">
            <v>231012</v>
          </cell>
        </row>
        <row r="9107">
          <cell r="K9107" t="str">
            <v>209004</v>
          </cell>
          <cell r="M9107">
            <v>3</v>
          </cell>
          <cell r="R9107">
            <v>45869</v>
          </cell>
          <cell r="S9107">
            <v>209004</v>
          </cell>
        </row>
        <row r="9108">
          <cell r="K9108" t="str">
            <v>228001</v>
          </cell>
          <cell r="M9108">
            <v>20</v>
          </cell>
          <cell r="R9108">
            <v>45868</v>
          </cell>
          <cell r="S9108">
            <v>228001</v>
          </cell>
        </row>
        <row r="9109">
          <cell r="K9109" t="str">
            <v>231012</v>
          </cell>
          <cell r="M9109">
            <v>2</v>
          </cell>
          <cell r="R9109">
            <v>45868</v>
          </cell>
          <cell r="S9109">
            <v>231012</v>
          </cell>
        </row>
        <row r="9110">
          <cell r="K9110" t="str">
            <v>209016</v>
          </cell>
          <cell r="M9110">
            <v>2</v>
          </cell>
          <cell r="R9110">
            <v>45868</v>
          </cell>
          <cell r="S9110">
            <v>209016</v>
          </cell>
        </row>
        <row r="9111">
          <cell r="K9111" t="str">
            <v>203003</v>
          </cell>
          <cell r="M9111">
            <v>3</v>
          </cell>
          <cell r="R9111">
            <v>45868</v>
          </cell>
          <cell r="S9111">
            <v>203003</v>
          </cell>
        </row>
        <row r="9112">
          <cell r="K9112" t="str">
            <v>227001</v>
          </cell>
          <cell r="M9112">
            <v>2</v>
          </cell>
          <cell r="R9112">
            <v>45868</v>
          </cell>
          <cell r="S9112">
            <v>227001</v>
          </cell>
        </row>
        <row r="9113">
          <cell r="K9113" t="str">
            <v>223002</v>
          </cell>
          <cell r="M9113">
            <v>1</v>
          </cell>
          <cell r="R9113">
            <v>45868</v>
          </cell>
          <cell r="S9113">
            <v>223002</v>
          </cell>
        </row>
        <row r="9114">
          <cell r="K9114" t="str">
            <v>271002</v>
          </cell>
          <cell r="M9114">
            <v>1</v>
          </cell>
          <cell r="R9114">
            <v>45868</v>
          </cell>
          <cell r="S9114">
            <v>271002</v>
          </cell>
        </row>
        <row r="9115">
          <cell r="K9115" t="str">
            <v>241001</v>
          </cell>
          <cell r="M9115">
            <v>1</v>
          </cell>
          <cell r="R9115">
            <v>45868</v>
          </cell>
          <cell r="S9115">
            <v>241001</v>
          </cell>
        </row>
        <row r="9116">
          <cell r="K9116" t="str">
            <v>240006</v>
          </cell>
          <cell r="M9116">
            <v>1</v>
          </cell>
          <cell r="R9116">
            <v>45868</v>
          </cell>
          <cell r="S9116">
            <v>240006</v>
          </cell>
        </row>
        <row r="9117">
          <cell r="K9117" t="str">
            <v>201011</v>
          </cell>
          <cell r="M9117">
            <v>1</v>
          </cell>
          <cell r="R9117">
            <v>45868</v>
          </cell>
          <cell r="S9117">
            <v>201011</v>
          </cell>
        </row>
        <row r="9118">
          <cell r="K9118" t="str">
            <v>201022</v>
          </cell>
          <cell r="M9118">
            <v>1</v>
          </cell>
          <cell r="R9118">
            <v>45868</v>
          </cell>
          <cell r="S9118">
            <v>201022</v>
          </cell>
        </row>
        <row r="9119">
          <cell r="K9119" t="str">
            <v>228001</v>
          </cell>
          <cell r="M9119">
            <v>2</v>
          </cell>
          <cell r="R9119">
            <v>45869</v>
          </cell>
          <cell r="S9119">
            <v>228001</v>
          </cell>
        </row>
        <row r="9120">
          <cell r="K9120" t="str">
            <v>223001</v>
          </cell>
          <cell r="M9120">
            <v>3</v>
          </cell>
          <cell r="R9120">
            <v>45869</v>
          </cell>
          <cell r="S9120">
            <v>223001</v>
          </cell>
        </row>
        <row r="9121">
          <cell r="K9121" t="str">
            <v>201011</v>
          </cell>
          <cell r="M9121">
            <v>2</v>
          </cell>
          <cell r="R9121">
            <v>45869</v>
          </cell>
          <cell r="S9121">
            <v>201011</v>
          </cell>
        </row>
        <row r="9122">
          <cell r="K9122" t="str">
            <v>228001</v>
          </cell>
          <cell r="M9122">
            <v>3</v>
          </cell>
          <cell r="R9122">
            <v>45869</v>
          </cell>
          <cell r="S9122">
            <v>228001</v>
          </cell>
        </row>
        <row r="9123">
          <cell r="K9123" t="str">
            <v>231012</v>
          </cell>
          <cell r="M9123">
            <v>1</v>
          </cell>
          <cell r="R9123">
            <v>45869</v>
          </cell>
          <cell r="S9123">
            <v>231012</v>
          </cell>
        </row>
        <row r="9124">
          <cell r="K9124" t="str">
            <v>207017</v>
          </cell>
          <cell r="M9124">
            <v>1</v>
          </cell>
          <cell r="R9124">
            <v>45869</v>
          </cell>
          <cell r="S9124">
            <v>207017</v>
          </cell>
        </row>
        <row r="9125">
          <cell r="K9125" t="str">
            <v>209004</v>
          </cell>
          <cell r="M9125">
            <v>1</v>
          </cell>
          <cell r="R9125">
            <v>45869</v>
          </cell>
          <cell r="S9125">
            <v>209004</v>
          </cell>
        </row>
        <row r="9126">
          <cell r="K9126" t="str">
            <v>201011</v>
          </cell>
          <cell r="M9126">
            <v>20</v>
          </cell>
          <cell r="R9126">
            <v>45868</v>
          </cell>
          <cell r="S9126">
            <v>201011</v>
          </cell>
        </row>
        <row r="9127">
          <cell r="K9127" t="str">
            <v>228001</v>
          </cell>
          <cell r="M9127">
            <v>10</v>
          </cell>
          <cell r="R9127">
            <v>45866</v>
          </cell>
          <cell r="S9127">
            <v>228001</v>
          </cell>
        </row>
        <row r="9128">
          <cell r="K9128" t="str">
            <v>212035</v>
          </cell>
          <cell r="M9128">
            <v>5</v>
          </cell>
          <cell r="R9128">
            <v>45866</v>
          </cell>
          <cell r="S9128">
            <v>212035</v>
          </cell>
        </row>
        <row r="9129">
          <cell r="K9129" t="str">
            <v>201011</v>
          </cell>
          <cell r="M9129">
            <v>4</v>
          </cell>
          <cell r="R9129">
            <v>45869</v>
          </cell>
          <cell r="S9129">
            <v>201011</v>
          </cell>
        </row>
        <row r="9130">
          <cell r="K9130" t="str">
            <v>201011</v>
          </cell>
          <cell r="M9130">
            <v>2</v>
          </cell>
          <cell r="R9130">
            <v>45869</v>
          </cell>
          <cell r="S9130">
            <v>201011</v>
          </cell>
        </row>
        <row r="9131">
          <cell r="K9131" t="str">
            <v>209004</v>
          </cell>
          <cell r="M9131">
            <v>2</v>
          </cell>
          <cell r="R9131">
            <v>45869</v>
          </cell>
          <cell r="S9131">
            <v>209004</v>
          </cell>
        </row>
        <row r="9132">
          <cell r="K9132" t="str">
            <v>241001</v>
          </cell>
          <cell r="M9132">
            <v>10</v>
          </cell>
          <cell r="R9132">
            <v>45869</v>
          </cell>
          <cell r="S9132">
            <v>241001</v>
          </cell>
        </row>
        <row r="9133">
          <cell r="K9133" t="str">
            <v>228001</v>
          </cell>
          <cell r="M9133">
            <v>1</v>
          </cell>
          <cell r="R9133">
            <v>45869</v>
          </cell>
          <cell r="S9133">
            <v>228001</v>
          </cell>
        </row>
        <row r="9134">
          <cell r="K9134" t="str">
            <v>209017</v>
          </cell>
          <cell r="M9134">
            <v>1</v>
          </cell>
          <cell r="R9134">
            <v>45869</v>
          </cell>
          <cell r="S9134">
            <v>209017</v>
          </cell>
        </row>
        <row r="9135">
          <cell r="K9135" t="str">
            <v>231010</v>
          </cell>
          <cell r="M9135">
            <v>2</v>
          </cell>
          <cell r="R9135">
            <v>45869</v>
          </cell>
          <cell r="S9135">
            <v>231010</v>
          </cell>
        </row>
        <row r="9136">
          <cell r="K9136" t="str">
            <v>228001</v>
          </cell>
          <cell r="M9136">
            <v>1</v>
          </cell>
          <cell r="R9136">
            <v>45869</v>
          </cell>
          <cell r="S9136">
            <v>228001</v>
          </cell>
        </row>
        <row r="9137">
          <cell r="K9137" t="str">
            <v>217019</v>
          </cell>
          <cell r="M9137">
            <v>1</v>
          </cell>
          <cell r="R9137">
            <v>45869</v>
          </cell>
          <cell r="S9137">
            <v>217019</v>
          </cell>
        </row>
        <row r="9138">
          <cell r="K9138" t="str">
            <v>234001</v>
          </cell>
          <cell r="M9138">
            <v>2</v>
          </cell>
          <cell r="R9138">
            <v>45869</v>
          </cell>
          <cell r="S9138">
            <v>234001</v>
          </cell>
        </row>
        <row r="9139">
          <cell r="K9139" t="str">
            <v>223002</v>
          </cell>
          <cell r="M9139">
            <v>5</v>
          </cell>
          <cell r="R9139">
            <v>45869</v>
          </cell>
          <cell r="S9139">
            <v>223002</v>
          </cell>
        </row>
        <row r="9140">
          <cell r="K9140" t="str">
            <v>241001</v>
          </cell>
          <cell r="M9140">
            <v>16</v>
          </cell>
          <cell r="R9140">
            <v>45869</v>
          </cell>
          <cell r="S9140">
            <v>241001</v>
          </cell>
        </row>
        <row r="9141">
          <cell r="K9141" t="str">
            <v>231012</v>
          </cell>
          <cell r="M9141">
            <v>1</v>
          </cell>
          <cell r="R9141">
            <v>45869</v>
          </cell>
          <cell r="S9141">
            <v>231012</v>
          </cell>
        </row>
        <row r="9142">
          <cell r="K9142" t="str">
            <v>231010</v>
          </cell>
          <cell r="M9142">
            <v>1</v>
          </cell>
          <cell r="R9142">
            <v>45869</v>
          </cell>
          <cell r="S9142">
            <v>231010</v>
          </cell>
        </row>
        <row r="9143">
          <cell r="K9143" t="str">
            <v>228001</v>
          </cell>
          <cell r="M9143">
            <v>12</v>
          </cell>
          <cell r="R9143">
            <v>45869</v>
          </cell>
          <cell r="S9143">
            <v>228001</v>
          </cell>
        </row>
        <row r="9144">
          <cell r="K9144" t="str">
            <v>217019</v>
          </cell>
          <cell r="M9144">
            <v>10</v>
          </cell>
          <cell r="R9144">
            <v>45869</v>
          </cell>
          <cell r="S9144">
            <v>217019</v>
          </cell>
        </row>
        <row r="9145">
          <cell r="K9145" t="str">
            <v>201011</v>
          </cell>
          <cell r="M9145">
            <v>5</v>
          </cell>
          <cell r="R9145">
            <v>45869</v>
          </cell>
          <cell r="S9145">
            <v>201011</v>
          </cell>
        </row>
        <row r="9146">
          <cell r="K9146" t="str">
            <v>201011</v>
          </cell>
          <cell r="M9146">
            <v>36</v>
          </cell>
          <cell r="R9146">
            <v>45869</v>
          </cell>
          <cell r="S9146">
            <v>201011</v>
          </cell>
        </row>
        <row r="9147">
          <cell r="K9147" t="str">
            <v>222001</v>
          </cell>
          <cell r="M9147">
            <v>4</v>
          </cell>
          <cell r="R9147">
            <v>45869</v>
          </cell>
          <cell r="S9147">
            <v>222001</v>
          </cell>
        </row>
        <row r="9148">
          <cell r="K9148" t="str">
            <v>241001</v>
          </cell>
          <cell r="M9148">
            <v>4</v>
          </cell>
          <cell r="R9148">
            <v>45869</v>
          </cell>
          <cell r="S9148">
            <v>241001</v>
          </cell>
        </row>
        <row r="9149">
          <cell r="K9149" t="str">
            <v>261004</v>
          </cell>
          <cell r="M9149">
            <v>1</v>
          </cell>
          <cell r="R9149">
            <v>45869</v>
          </cell>
          <cell r="S9149">
            <v>261004</v>
          </cell>
        </row>
        <row r="9150">
          <cell r="K9150" t="str">
            <v>213003</v>
          </cell>
          <cell r="M9150">
            <v>5</v>
          </cell>
          <cell r="R9150">
            <v>45869</v>
          </cell>
          <cell r="S9150">
            <v>213003</v>
          </cell>
        </row>
        <row r="9151">
          <cell r="K9151" t="str">
            <v>223006</v>
          </cell>
          <cell r="M9151">
            <v>5</v>
          </cell>
          <cell r="R9151">
            <v>45868</v>
          </cell>
          <cell r="S9151">
            <v>223006</v>
          </cell>
        </row>
        <row r="9152">
          <cell r="K9152" t="str">
            <v>223001</v>
          </cell>
          <cell r="M9152">
            <v>1</v>
          </cell>
          <cell r="R9152">
            <v>45869</v>
          </cell>
          <cell r="S9152">
            <v>223001</v>
          </cell>
        </row>
        <row r="9153">
          <cell r="K9153" t="str">
            <v>203003</v>
          </cell>
          <cell r="M9153">
            <v>1</v>
          </cell>
          <cell r="R9153">
            <v>45869</v>
          </cell>
          <cell r="S9153">
            <v>203003</v>
          </cell>
        </row>
        <row r="9154">
          <cell r="K9154" t="str">
            <v>213002</v>
          </cell>
          <cell r="M9154">
            <v>2</v>
          </cell>
          <cell r="R9154">
            <v>45869</v>
          </cell>
          <cell r="S9154">
            <v>213002</v>
          </cell>
        </row>
        <row r="9155">
          <cell r="K9155" t="str">
            <v>227002</v>
          </cell>
          <cell r="M9155">
            <v>1</v>
          </cell>
          <cell r="R9155">
            <v>45870</v>
          </cell>
          <cell r="S9155">
            <v>227002</v>
          </cell>
        </row>
        <row r="9156">
          <cell r="K9156" t="str">
            <v>223001</v>
          </cell>
          <cell r="M9156">
            <v>3</v>
          </cell>
          <cell r="R9156">
            <v>45870</v>
          </cell>
          <cell r="S9156">
            <v>223001</v>
          </cell>
        </row>
        <row r="9157">
          <cell r="K9157" t="str">
            <v>201011</v>
          </cell>
          <cell r="M9157">
            <v>1</v>
          </cell>
          <cell r="R9157">
            <v>45870</v>
          </cell>
          <cell r="S9157">
            <v>201011</v>
          </cell>
        </row>
        <row r="9158">
          <cell r="K9158" t="str">
            <v>201011</v>
          </cell>
          <cell r="M9158">
            <v>6</v>
          </cell>
          <cell r="R9158">
            <v>45870</v>
          </cell>
          <cell r="S9158">
            <v>201011</v>
          </cell>
        </row>
        <row r="9159">
          <cell r="K9159" t="str">
            <v>213002</v>
          </cell>
          <cell r="M9159">
            <v>2</v>
          </cell>
          <cell r="R9159">
            <v>45870</v>
          </cell>
          <cell r="S9159">
            <v>213002</v>
          </cell>
        </row>
        <row r="9160">
          <cell r="K9160" t="str">
            <v>241001</v>
          </cell>
          <cell r="M9160">
            <v>2</v>
          </cell>
          <cell r="R9160">
            <v>45870</v>
          </cell>
          <cell r="S9160">
            <v>241001</v>
          </cell>
        </row>
        <row r="9161">
          <cell r="K9161" t="str">
            <v>201021</v>
          </cell>
          <cell r="M9161">
            <v>2</v>
          </cell>
          <cell r="R9161">
            <v>45869</v>
          </cell>
          <cell r="S9161">
            <v>201021</v>
          </cell>
        </row>
        <row r="9162">
          <cell r="K9162" t="str">
            <v>226001</v>
          </cell>
          <cell r="M9162">
            <v>1</v>
          </cell>
          <cell r="R9162">
            <v>45869</v>
          </cell>
          <cell r="S9162">
            <v>226001</v>
          </cell>
        </row>
        <row r="9163">
          <cell r="K9163" t="str">
            <v>209001</v>
          </cell>
          <cell r="M9163">
            <v>2</v>
          </cell>
          <cell r="R9163">
            <v>45870</v>
          </cell>
          <cell r="S9163">
            <v>209001</v>
          </cell>
        </row>
        <row r="9164">
          <cell r="K9164" t="str">
            <v>234011</v>
          </cell>
          <cell r="M9164">
            <v>4</v>
          </cell>
          <cell r="R9164">
            <v>45870</v>
          </cell>
          <cell r="S9164">
            <v>234011</v>
          </cell>
        </row>
        <row r="9165">
          <cell r="K9165" t="str">
            <v>203003</v>
          </cell>
          <cell r="M9165">
            <v>1</v>
          </cell>
          <cell r="R9165">
            <v>45870</v>
          </cell>
          <cell r="S9165">
            <v>203003</v>
          </cell>
        </row>
        <row r="9166">
          <cell r="K9166" t="str">
            <v>213002</v>
          </cell>
          <cell r="M9166">
            <v>1</v>
          </cell>
          <cell r="R9166">
            <v>45870</v>
          </cell>
          <cell r="S9166">
            <v>213002</v>
          </cell>
        </row>
        <row r="9167">
          <cell r="K9167" t="str">
            <v>223002</v>
          </cell>
          <cell r="M9167">
            <v>1</v>
          </cell>
          <cell r="R9167">
            <v>45870</v>
          </cell>
          <cell r="S9167">
            <v>223002</v>
          </cell>
        </row>
        <row r="9168">
          <cell r="K9168" t="str">
            <v>213003</v>
          </cell>
          <cell r="M9168">
            <v>1</v>
          </cell>
          <cell r="R9168">
            <v>45870</v>
          </cell>
          <cell r="S9168">
            <v>213003</v>
          </cell>
        </row>
        <row r="9169">
          <cell r="K9169" t="str">
            <v>222001</v>
          </cell>
          <cell r="M9169">
            <v>1</v>
          </cell>
          <cell r="R9169">
            <v>45870</v>
          </cell>
          <cell r="S9169">
            <v>222001</v>
          </cell>
        </row>
        <row r="9170">
          <cell r="K9170" t="str">
            <v>210013</v>
          </cell>
          <cell r="M9170">
            <v>1</v>
          </cell>
          <cell r="R9170">
            <v>45870</v>
          </cell>
          <cell r="S9170">
            <v>210013</v>
          </cell>
        </row>
        <row r="9171">
          <cell r="K9171" t="str">
            <v>223006</v>
          </cell>
          <cell r="M9171">
            <v>3</v>
          </cell>
          <cell r="R9171">
            <v>45869</v>
          </cell>
          <cell r="S9171">
            <v>223006</v>
          </cell>
        </row>
        <row r="9172">
          <cell r="K9172" t="str">
            <v>223001</v>
          </cell>
          <cell r="M9172">
            <v>2</v>
          </cell>
          <cell r="R9172">
            <v>45869</v>
          </cell>
          <cell r="S9172">
            <v>223001</v>
          </cell>
        </row>
        <row r="9173">
          <cell r="K9173" t="str">
            <v>227002</v>
          </cell>
          <cell r="M9173">
            <v>1</v>
          </cell>
          <cell r="R9173">
            <v>45869</v>
          </cell>
          <cell r="S9173">
            <v>227002</v>
          </cell>
        </row>
        <row r="9174">
          <cell r="K9174" t="str">
            <v>213002</v>
          </cell>
          <cell r="M9174">
            <v>2</v>
          </cell>
          <cell r="R9174">
            <v>45869</v>
          </cell>
          <cell r="S9174">
            <v>213002</v>
          </cell>
        </row>
        <row r="9175">
          <cell r="K9175" t="str">
            <v>217006</v>
          </cell>
          <cell r="M9175">
            <v>1</v>
          </cell>
          <cell r="R9175">
            <v>45869</v>
          </cell>
          <cell r="S9175">
            <v>217006</v>
          </cell>
        </row>
        <row r="9176">
          <cell r="K9176" t="str">
            <v>203003</v>
          </cell>
          <cell r="M9176">
            <v>2</v>
          </cell>
          <cell r="R9176">
            <v>45869</v>
          </cell>
          <cell r="S9176">
            <v>203003</v>
          </cell>
        </row>
        <row r="9177">
          <cell r="K9177" t="str">
            <v>206001</v>
          </cell>
          <cell r="M9177">
            <v>1</v>
          </cell>
          <cell r="R9177">
            <v>45869</v>
          </cell>
          <cell r="S9177">
            <v>206001</v>
          </cell>
        </row>
        <row r="9178">
          <cell r="K9178" t="str">
            <v>213002</v>
          </cell>
          <cell r="M9178">
            <v>1</v>
          </cell>
          <cell r="R9178">
            <v>45870</v>
          </cell>
          <cell r="S9178">
            <v>213002</v>
          </cell>
        </row>
        <row r="9179">
          <cell r="K9179" t="str">
            <v>203003</v>
          </cell>
          <cell r="M9179">
            <v>1</v>
          </cell>
          <cell r="R9179">
            <v>45870</v>
          </cell>
          <cell r="S9179">
            <v>203003</v>
          </cell>
        </row>
        <row r="9180">
          <cell r="K9180" t="str">
            <v>241001</v>
          </cell>
          <cell r="M9180">
            <v>2</v>
          </cell>
          <cell r="R9180">
            <v>45870</v>
          </cell>
          <cell r="S9180">
            <v>241001</v>
          </cell>
        </row>
        <row r="9181">
          <cell r="K9181" t="str">
            <v>223002</v>
          </cell>
          <cell r="M9181">
            <v>2</v>
          </cell>
          <cell r="R9181">
            <v>45870</v>
          </cell>
          <cell r="S9181">
            <v>223002</v>
          </cell>
        </row>
        <row r="9182">
          <cell r="K9182" t="str">
            <v>213002</v>
          </cell>
          <cell r="M9182">
            <v>2</v>
          </cell>
          <cell r="R9182">
            <v>45870</v>
          </cell>
          <cell r="S9182">
            <v>213002</v>
          </cell>
        </row>
        <row r="9183">
          <cell r="K9183" t="str">
            <v>223002</v>
          </cell>
          <cell r="M9183">
            <v>2</v>
          </cell>
          <cell r="R9183">
            <v>45870</v>
          </cell>
          <cell r="S9183">
            <v>223002</v>
          </cell>
        </row>
        <row r="9184">
          <cell r="K9184" t="str">
            <v>223001</v>
          </cell>
          <cell r="M9184">
            <v>1</v>
          </cell>
          <cell r="R9184">
            <v>45870</v>
          </cell>
          <cell r="S9184">
            <v>223001</v>
          </cell>
        </row>
        <row r="9185">
          <cell r="K9185" t="str">
            <v>223002</v>
          </cell>
          <cell r="M9185">
            <v>3</v>
          </cell>
          <cell r="R9185">
            <v>45870</v>
          </cell>
          <cell r="S9185">
            <v>223002</v>
          </cell>
        </row>
        <row r="9186">
          <cell r="K9186" t="str">
            <v>223001</v>
          </cell>
          <cell r="M9186">
            <v>2</v>
          </cell>
          <cell r="R9186">
            <v>45870</v>
          </cell>
          <cell r="S9186">
            <v>223001</v>
          </cell>
        </row>
        <row r="9187">
          <cell r="K9187" t="str">
            <v>227012</v>
          </cell>
          <cell r="M9187">
            <v>1</v>
          </cell>
          <cell r="R9187">
            <v>45870</v>
          </cell>
          <cell r="S9187">
            <v>227012</v>
          </cell>
        </row>
        <row r="9188">
          <cell r="K9188" t="str">
            <v>213002</v>
          </cell>
          <cell r="M9188">
            <v>10</v>
          </cell>
          <cell r="R9188">
            <v>45870</v>
          </cell>
          <cell r="S9188">
            <v>213002</v>
          </cell>
        </row>
        <row r="9189">
          <cell r="K9189" t="str">
            <v>201011</v>
          </cell>
          <cell r="M9189">
            <v>6</v>
          </cell>
          <cell r="R9189">
            <v>45870</v>
          </cell>
          <cell r="S9189">
            <v>201011</v>
          </cell>
        </row>
        <row r="9190">
          <cell r="K9190" t="str">
            <v>201011</v>
          </cell>
          <cell r="M9190">
            <v>2</v>
          </cell>
          <cell r="R9190">
            <v>45870</v>
          </cell>
          <cell r="S9190">
            <v>201011</v>
          </cell>
        </row>
        <row r="9191">
          <cell r="K9191" t="str">
            <v>201003</v>
          </cell>
          <cell r="M9191">
            <v>16</v>
          </cell>
          <cell r="R9191">
            <v>45869</v>
          </cell>
          <cell r="S9191">
            <v>201003</v>
          </cell>
        </row>
        <row r="9192">
          <cell r="K9192" t="str">
            <v>217019</v>
          </cell>
          <cell r="M9192">
            <v>1</v>
          </cell>
          <cell r="R9192">
            <v>45869</v>
          </cell>
          <cell r="S9192">
            <v>217019</v>
          </cell>
        </row>
        <row r="9193">
          <cell r="K9193" t="str">
            <v>217002</v>
          </cell>
          <cell r="M9193">
            <v>1</v>
          </cell>
          <cell r="R9193">
            <v>45869</v>
          </cell>
          <cell r="S9193">
            <v>217002</v>
          </cell>
        </row>
        <row r="9194">
          <cell r="K9194" t="str">
            <v>207017</v>
          </cell>
          <cell r="M9194">
            <v>2</v>
          </cell>
          <cell r="R9194">
            <v>45869</v>
          </cell>
          <cell r="S9194">
            <v>207017</v>
          </cell>
        </row>
        <row r="9195">
          <cell r="K9195" t="str">
            <v>231012</v>
          </cell>
          <cell r="M9195">
            <v>2</v>
          </cell>
          <cell r="R9195">
            <v>45869</v>
          </cell>
          <cell r="S9195">
            <v>231012</v>
          </cell>
        </row>
        <row r="9196">
          <cell r="K9196" t="str">
            <v>226001</v>
          </cell>
          <cell r="M9196">
            <v>1</v>
          </cell>
          <cell r="R9196">
            <v>45869</v>
          </cell>
          <cell r="S9196">
            <v>226001</v>
          </cell>
        </row>
        <row r="9197">
          <cell r="K9197" t="str">
            <v>231010</v>
          </cell>
          <cell r="M9197">
            <v>1</v>
          </cell>
          <cell r="R9197">
            <v>45869</v>
          </cell>
          <cell r="S9197">
            <v>231010</v>
          </cell>
        </row>
        <row r="9198">
          <cell r="K9198" t="str">
            <v>203003</v>
          </cell>
          <cell r="M9198">
            <v>1</v>
          </cell>
          <cell r="R9198">
            <v>45869</v>
          </cell>
          <cell r="S9198">
            <v>203003</v>
          </cell>
        </row>
        <row r="9199">
          <cell r="K9199" t="str">
            <v>223002</v>
          </cell>
          <cell r="M9199">
            <v>8</v>
          </cell>
          <cell r="R9199">
            <v>45870</v>
          </cell>
          <cell r="S9199">
            <v>223002</v>
          </cell>
        </row>
        <row r="9200">
          <cell r="K9200" t="str">
            <v>223006</v>
          </cell>
          <cell r="M9200">
            <v>7</v>
          </cell>
          <cell r="R9200">
            <v>45870</v>
          </cell>
          <cell r="S9200">
            <v>223006</v>
          </cell>
        </row>
        <row r="9201">
          <cell r="K9201" t="str">
            <v>223003</v>
          </cell>
          <cell r="M9201">
            <v>10</v>
          </cell>
          <cell r="R9201">
            <v>45870</v>
          </cell>
          <cell r="S9201">
            <v>223003</v>
          </cell>
        </row>
        <row r="9202">
          <cell r="K9202" t="str">
            <v>227012</v>
          </cell>
          <cell r="M9202">
            <v>1</v>
          </cell>
          <cell r="R9202">
            <v>45870</v>
          </cell>
          <cell r="S9202">
            <v>227012</v>
          </cell>
        </row>
        <row r="9203">
          <cell r="K9203" t="str">
            <v>231012</v>
          </cell>
          <cell r="M9203">
            <v>2</v>
          </cell>
          <cell r="R9203">
            <v>45870</v>
          </cell>
          <cell r="S9203">
            <v>231012</v>
          </cell>
        </row>
        <row r="9204">
          <cell r="K9204" t="str">
            <v>220002</v>
          </cell>
          <cell r="M9204">
            <v>1</v>
          </cell>
          <cell r="R9204">
            <v>45870</v>
          </cell>
          <cell r="S9204">
            <v>220002</v>
          </cell>
        </row>
        <row r="9205">
          <cell r="K9205" t="str">
            <v>227001</v>
          </cell>
          <cell r="M9205">
            <v>1</v>
          </cell>
          <cell r="R9205">
            <v>45870</v>
          </cell>
          <cell r="S9205">
            <v>227001</v>
          </cell>
        </row>
        <row r="9206">
          <cell r="K9206" t="str">
            <v>226024</v>
          </cell>
          <cell r="M9206">
            <v>1</v>
          </cell>
          <cell r="R9206">
            <v>45870</v>
          </cell>
          <cell r="S9206">
            <v>226024</v>
          </cell>
        </row>
        <row r="9207">
          <cell r="K9207" t="str">
            <v>231012</v>
          </cell>
          <cell r="M9207">
            <v>1</v>
          </cell>
          <cell r="R9207">
            <v>45870</v>
          </cell>
          <cell r="S9207">
            <v>231012</v>
          </cell>
        </row>
        <row r="9208">
          <cell r="K9208" t="str">
            <v>217018</v>
          </cell>
          <cell r="M9208">
            <v>1</v>
          </cell>
          <cell r="R9208">
            <v>45870</v>
          </cell>
          <cell r="S9208">
            <v>217018</v>
          </cell>
        </row>
        <row r="9209">
          <cell r="K9209" t="str">
            <v>203003</v>
          </cell>
          <cell r="M9209">
            <v>1</v>
          </cell>
          <cell r="R9209">
            <v>45870</v>
          </cell>
          <cell r="S9209">
            <v>203003</v>
          </cell>
        </row>
        <row r="9210">
          <cell r="K9210" t="str">
            <v>237001</v>
          </cell>
          <cell r="M9210">
            <v>1</v>
          </cell>
          <cell r="R9210">
            <v>45870</v>
          </cell>
          <cell r="S9210">
            <v>237001</v>
          </cell>
        </row>
        <row r="9211">
          <cell r="K9211" t="str">
            <v>201011</v>
          </cell>
          <cell r="M9211">
            <v>6</v>
          </cell>
          <cell r="R9211">
            <v>45869</v>
          </cell>
          <cell r="S9211">
            <v>201011</v>
          </cell>
        </row>
        <row r="9212">
          <cell r="K9212" t="str">
            <v>228001</v>
          </cell>
          <cell r="M9212">
            <v>1</v>
          </cell>
          <cell r="R9212">
            <v>45869</v>
          </cell>
          <cell r="S9212">
            <v>228001</v>
          </cell>
        </row>
        <row r="9213">
          <cell r="K9213" t="str">
            <v>213002</v>
          </cell>
          <cell r="M9213">
            <v>3</v>
          </cell>
          <cell r="R9213">
            <v>45869</v>
          </cell>
          <cell r="S9213">
            <v>213002</v>
          </cell>
        </row>
        <row r="9214">
          <cell r="K9214" t="str">
            <v>226025</v>
          </cell>
          <cell r="M9214">
            <v>3</v>
          </cell>
          <cell r="R9214">
            <v>45869</v>
          </cell>
          <cell r="S9214">
            <v>226025</v>
          </cell>
        </row>
        <row r="9215">
          <cell r="K9215" t="str">
            <v>226022</v>
          </cell>
          <cell r="M9215">
            <v>1</v>
          </cell>
          <cell r="R9215">
            <v>45869</v>
          </cell>
          <cell r="S9215">
            <v>226022</v>
          </cell>
        </row>
        <row r="9216">
          <cell r="K9216" t="str">
            <v>213002</v>
          </cell>
          <cell r="M9216">
            <v>15</v>
          </cell>
          <cell r="R9216">
            <v>45870</v>
          </cell>
          <cell r="S9216">
            <v>213002</v>
          </cell>
        </row>
        <row r="9217">
          <cell r="K9217" t="str">
            <v>223004</v>
          </cell>
          <cell r="M9217">
            <v>10</v>
          </cell>
          <cell r="R9217">
            <v>45870</v>
          </cell>
          <cell r="S9217">
            <v>223004</v>
          </cell>
        </row>
        <row r="9218">
          <cell r="K9218" t="str">
            <v>223001</v>
          </cell>
          <cell r="M9218">
            <v>50</v>
          </cell>
          <cell r="R9218">
            <v>45870</v>
          </cell>
          <cell r="S9218">
            <v>223001</v>
          </cell>
        </row>
        <row r="9219">
          <cell r="K9219" t="str">
            <v>241001</v>
          </cell>
          <cell r="M9219">
            <v>100</v>
          </cell>
          <cell r="R9219">
            <v>45870</v>
          </cell>
          <cell r="S9219">
            <v>241001</v>
          </cell>
        </row>
        <row r="9220">
          <cell r="K9220" t="str">
            <v>201011</v>
          </cell>
          <cell r="M9220">
            <v>12</v>
          </cell>
          <cell r="R9220">
            <v>45870</v>
          </cell>
          <cell r="S9220">
            <v>201011</v>
          </cell>
        </row>
        <row r="9221">
          <cell r="K9221" t="str">
            <v>201011</v>
          </cell>
          <cell r="M9221">
            <v>3</v>
          </cell>
          <cell r="R9221">
            <v>45870</v>
          </cell>
          <cell r="S9221">
            <v>201011</v>
          </cell>
        </row>
        <row r="9222">
          <cell r="K9222" t="str">
            <v>201011</v>
          </cell>
          <cell r="M9222">
            <v>1</v>
          </cell>
          <cell r="R9222">
            <v>45870</v>
          </cell>
          <cell r="S9222">
            <v>201011</v>
          </cell>
        </row>
        <row r="9223">
          <cell r="K9223" t="str">
            <v>210014</v>
          </cell>
          <cell r="M9223">
            <v>1</v>
          </cell>
          <cell r="R9223">
            <v>45870</v>
          </cell>
          <cell r="S9223">
            <v>210014</v>
          </cell>
        </row>
        <row r="9224">
          <cell r="K9224" t="str">
            <v>201021</v>
          </cell>
          <cell r="M9224">
            <v>2</v>
          </cell>
          <cell r="R9224">
            <v>45870</v>
          </cell>
          <cell r="S9224">
            <v>201021</v>
          </cell>
        </row>
        <row r="9225">
          <cell r="K9225" t="str">
            <v>226025</v>
          </cell>
          <cell r="M9225">
            <v>3</v>
          </cell>
          <cell r="R9225">
            <v>45870</v>
          </cell>
          <cell r="S9225">
            <v>226025</v>
          </cell>
        </row>
        <row r="9226">
          <cell r="K9226" t="str">
            <v>201011</v>
          </cell>
          <cell r="M9226">
            <v>7</v>
          </cell>
          <cell r="R9226">
            <v>45870</v>
          </cell>
          <cell r="S9226">
            <v>201011</v>
          </cell>
        </row>
        <row r="9227">
          <cell r="K9227" t="str">
            <v>226001</v>
          </cell>
          <cell r="M9227">
            <v>1</v>
          </cell>
          <cell r="R9227">
            <v>45870</v>
          </cell>
          <cell r="S9227">
            <v>226001</v>
          </cell>
        </row>
        <row r="9228">
          <cell r="K9228" t="str">
            <v>217022</v>
          </cell>
          <cell r="M9228">
            <v>1</v>
          </cell>
          <cell r="R9228">
            <v>45870</v>
          </cell>
          <cell r="S9228">
            <v>217022</v>
          </cell>
        </row>
        <row r="9229">
          <cell r="K9229" t="str">
            <v>241001</v>
          </cell>
          <cell r="M9229">
            <v>8</v>
          </cell>
          <cell r="R9229">
            <v>45870</v>
          </cell>
          <cell r="S9229">
            <v>241001</v>
          </cell>
        </row>
        <row r="9230">
          <cell r="K9230" t="str">
            <v>217022</v>
          </cell>
          <cell r="M9230">
            <v>10</v>
          </cell>
          <cell r="R9230">
            <v>45870</v>
          </cell>
          <cell r="S9230">
            <v>217022</v>
          </cell>
        </row>
        <row r="9231">
          <cell r="K9231" t="str">
            <v>228001</v>
          </cell>
          <cell r="M9231">
            <v>5</v>
          </cell>
          <cell r="R9231">
            <v>45870</v>
          </cell>
          <cell r="S9231">
            <v>228001</v>
          </cell>
        </row>
        <row r="9232">
          <cell r="K9232" t="str">
            <v>223002</v>
          </cell>
          <cell r="M9232">
            <v>4</v>
          </cell>
          <cell r="R9232">
            <v>45870</v>
          </cell>
          <cell r="S9232">
            <v>223002</v>
          </cell>
        </row>
        <row r="9233">
          <cell r="K9233" t="str">
            <v>213003</v>
          </cell>
          <cell r="M9233">
            <v>1</v>
          </cell>
          <cell r="R9233">
            <v>45870</v>
          </cell>
          <cell r="S9233">
            <v>213003</v>
          </cell>
        </row>
        <row r="9234">
          <cell r="K9234" t="str">
            <v>227012</v>
          </cell>
          <cell r="M9234">
            <v>1</v>
          </cell>
          <cell r="R9234">
            <v>45870</v>
          </cell>
          <cell r="S9234">
            <v>227012</v>
          </cell>
        </row>
        <row r="9235">
          <cell r="K9235" t="str">
            <v>231012</v>
          </cell>
          <cell r="M9235">
            <v>20</v>
          </cell>
          <cell r="R9235">
            <v>45870</v>
          </cell>
          <cell r="S9235">
            <v>231012</v>
          </cell>
        </row>
        <row r="9236">
          <cell r="K9236" t="str">
            <v>228001</v>
          </cell>
          <cell r="M9236">
            <v>12</v>
          </cell>
          <cell r="R9236">
            <v>45870</v>
          </cell>
          <cell r="S9236">
            <v>228001</v>
          </cell>
        </row>
        <row r="9237">
          <cell r="K9237" t="str">
            <v>213003</v>
          </cell>
          <cell r="M9237">
            <v>1</v>
          </cell>
          <cell r="R9237">
            <v>45872</v>
          </cell>
          <cell r="S9237">
            <v>213003</v>
          </cell>
        </row>
        <row r="9238">
          <cell r="K9238" t="str">
            <v>203003</v>
          </cell>
          <cell r="M9238">
            <v>1</v>
          </cell>
          <cell r="R9238">
            <v>45872</v>
          </cell>
          <cell r="S9238">
            <v>203003</v>
          </cell>
        </row>
        <row r="9239">
          <cell r="K9239" t="str">
            <v>207017</v>
          </cell>
          <cell r="M9239">
            <v>4</v>
          </cell>
          <cell r="R9239">
            <v>45872</v>
          </cell>
          <cell r="S9239">
            <v>207017</v>
          </cell>
        </row>
        <row r="9240">
          <cell r="K9240" t="str">
            <v>231012</v>
          </cell>
          <cell r="M9240">
            <v>1</v>
          </cell>
          <cell r="R9240">
            <v>45872</v>
          </cell>
          <cell r="S9240">
            <v>231012</v>
          </cell>
        </row>
        <row r="9241">
          <cell r="K9241" t="str">
            <v>201021</v>
          </cell>
          <cell r="M9241">
            <v>1</v>
          </cell>
          <cell r="R9241">
            <v>45872</v>
          </cell>
          <cell r="S9241">
            <v>201021</v>
          </cell>
        </row>
        <row r="9242">
          <cell r="K9242" t="str">
            <v>201011</v>
          </cell>
          <cell r="M9242">
            <v>36</v>
          </cell>
          <cell r="R9242">
            <v>45872</v>
          </cell>
          <cell r="S9242">
            <v>201011</v>
          </cell>
        </row>
        <row r="9243">
          <cell r="K9243" t="str">
            <v>201011</v>
          </cell>
          <cell r="M9243">
            <v>6</v>
          </cell>
          <cell r="R9243">
            <v>45872</v>
          </cell>
          <cell r="S9243">
            <v>201011</v>
          </cell>
        </row>
        <row r="9244">
          <cell r="K9244" t="str">
            <v>228001</v>
          </cell>
          <cell r="M9244">
            <v>1</v>
          </cell>
          <cell r="R9244">
            <v>45873</v>
          </cell>
          <cell r="S9244">
            <v>228001</v>
          </cell>
        </row>
        <row r="9245">
          <cell r="K9245" t="str">
            <v>231010</v>
          </cell>
          <cell r="M9245">
            <v>2</v>
          </cell>
          <cell r="R9245">
            <v>45873</v>
          </cell>
          <cell r="S9245">
            <v>231010</v>
          </cell>
        </row>
        <row r="9246">
          <cell r="K9246" t="str">
            <v>231012</v>
          </cell>
          <cell r="M9246">
            <v>2</v>
          </cell>
          <cell r="R9246">
            <v>45873</v>
          </cell>
          <cell r="S9246">
            <v>231012</v>
          </cell>
        </row>
        <row r="9247">
          <cell r="K9247" t="str">
            <v>201011</v>
          </cell>
          <cell r="M9247">
            <v>1</v>
          </cell>
          <cell r="R9247">
            <v>45873</v>
          </cell>
          <cell r="S9247">
            <v>201011</v>
          </cell>
        </row>
        <row r="9248">
          <cell r="K9248" t="str">
            <v>223002</v>
          </cell>
          <cell r="M9248">
            <v>3</v>
          </cell>
          <cell r="R9248">
            <v>45873</v>
          </cell>
          <cell r="S9248">
            <v>223002</v>
          </cell>
        </row>
        <row r="9249">
          <cell r="K9249" t="str">
            <v>223001</v>
          </cell>
          <cell r="M9249">
            <v>10</v>
          </cell>
          <cell r="R9249">
            <v>45873</v>
          </cell>
          <cell r="S9249">
            <v>223001</v>
          </cell>
        </row>
        <row r="9250">
          <cell r="K9250" t="str">
            <v>227012</v>
          </cell>
          <cell r="M9250">
            <v>1</v>
          </cell>
          <cell r="R9250">
            <v>45873</v>
          </cell>
          <cell r="S9250">
            <v>227012</v>
          </cell>
        </row>
        <row r="9251">
          <cell r="K9251" t="str">
            <v>209022</v>
          </cell>
          <cell r="M9251">
            <v>4</v>
          </cell>
          <cell r="R9251">
            <v>45873</v>
          </cell>
          <cell r="S9251">
            <v>209022</v>
          </cell>
        </row>
        <row r="9252">
          <cell r="K9252" t="str">
            <v>213002</v>
          </cell>
          <cell r="M9252">
            <v>5</v>
          </cell>
          <cell r="R9252">
            <v>45873</v>
          </cell>
          <cell r="S9252">
            <v>213002</v>
          </cell>
        </row>
        <row r="9253">
          <cell r="K9253" t="str">
            <v>223002</v>
          </cell>
          <cell r="M9253">
            <v>8</v>
          </cell>
          <cell r="R9253">
            <v>45873</v>
          </cell>
          <cell r="S9253">
            <v>223002</v>
          </cell>
        </row>
        <row r="9254">
          <cell r="K9254" t="str">
            <v>223001</v>
          </cell>
          <cell r="M9254">
            <v>10</v>
          </cell>
          <cell r="R9254">
            <v>45873</v>
          </cell>
          <cell r="S9254">
            <v>223001</v>
          </cell>
        </row>
        <row r="9255">
          <cell r="K9255" t="str">
            <v>223003</v>
          </cell>
          <cell r="M9255">
            <v>12</v>
          </cell>
          <cell r="R9255">
            <v>45873</v>
          </cell>
          <cell r="S9255">
            <v>223003</v>
          </cell>
        </row>
        <row r="9256">
          <cell r="K9256" t="str">
            <v>227012</v>
          </cell>
          <cell r="M9256">
            <v>1</v>
          </cell>
          <cell r="R9256">
            <v>45873</v>
          </cell>
          <cell r="S9256">
            <v>227012</v>
          </cell>
        </row>
        <row r="9257">
          <cell r="K9257" t="str">
            <v>217018</v>
          </cell>
          <cell r="M9257">
            <v>1</v>
          </cell>
          <cell r="R9257">
            <v>45873</v>
          </cell>
          <cell r="S9257">
            <v>217018</v>
          </cell>
        </row>
        <row r="9258">
          <cell r="K9258" t="str">
            <v>203004</v>
          </cell>
          <cell r="M9258">
            <v>1</v>
          </cell>
          <cell r="R9258">
            <v>45873</v>
          </cell>
          <cell r="S9258">
            <v>203004</v>
          </cell>
        </row>
        <row r="9259">
          <cell r="K9259" t="str">
            <v>220002</v>
          </cell>
          <cell r="M9259">
            <v>2</v>
          </cell>
          <cell r="R9259">
            <v>45873</v>
          </cell>
          <cell r="S9259">
            <v>220002</v>
          </cell>
        </row>
        <row r="9260">
          <cell r="K9260" t="str">
            <v>201011</v>
          </cell>
          <cell r="M9260">
            <v>4</v>
          </cell>
          <cell r="R9260">
            <v>45872</v>
          </cell>
          <cell r="S9260">
            <v>201011</v>
          </cell>
        </row>
        <row r="9261">
          <cell r="K9261" t="str">
            <v>241001</v>
          </cell>
          <cell r="M9261">
            <v>1</v>
          </cell>
          <cell r="R9261">
            <v>45872</v>
          </cell>
          <cell r="S9261">
            <v>241001</v>
          </cell>
        </row>
        <row r="9262">
          <cell r="K9262" t="str">
            <v>201021</v>
          </cell>
          <cell r="M9262">
            <v>1</v>
          </cell>
          <cell r="R9262">
            <v>45870</v>
          </cell>
          <cell r="S9262">
            <v>201021</v>
          </cell>
        </row>
        <row r="9263">
          <cell r="K9263" t="str">
            <v>201011</v>
          </cell>
          <cell r="M9263">
            <v>4</v>
          </cell>
          <cell r="R9263">
            <v>45872</v>
          </cell>
          <cell r="S9263">
            <v>201011</v>
          </cell>
        </row>
        <row r="9264">
          <cell r="K9264" t="str">
            <v>241001</v>
          </cell>
          <cell r="M9264">
            <v>4</v>
          </cell>
          <cell r="R9264">
            <v>45872</v>
          </cell>
          <cell r="S9264">
            <v>241001</v>
          </cell>
        </row>
        <row r="9265">
          <cell r="K9265" t="str">
            <v>222001</v>
          </cell>
          <cell r="M9265">
            <v>1</v>
          </cell>
          <cell r="R9265">
            <v>45872</v>
          </cell>
          <cell r="S9265">
            <v>222001</v>
          </cell>
        </row>
        <row r="9266">
          <cell r="K9266" t="str">
            <v>213002</v>
          </cell>
          <cell r="M9266">
            <v>1</v>
          </cell>
          <cell r="R9266">
            <v>45872</v>
          </cell>
          <cell r="S9266">
            <v>213002</v>
          </cell>
        </row>
        <row r="9267">
          <cell r="K9267" t="str">
            <v>234011</v>
          </cell>
          <cell r="M9267">
            <v>1</v>
          </cell>
          <cell r="R9267">
            <v>45872</v>
          </cell>
          <cell r="S9267">
            <v>234011</v>
          </cell>
        </row>
        <row r="9268">
          <cell r="K9268" t="str">
            <v>223002</v>
          </cell>
          <cell r="M9268">
            <v>3</v>
          </cell>
          <cell r="R9268">
            <v>45872</v>
          </cell>
          <cell r="S9268">
            <v>223002</v>
          </cell>
        </row>
        <row r="9269">
          <cell r="K9269" t="str">
            <v>223001</v>
          </cell>
          <cell r="M9269">
            <v>3</v>
          </cell>
          <cell r="R9269">
            <v>45872</v>
          </cell>
          <cell r="S9269">
            <v>223001</v>
          </cell>
        </row>
        <row r="9270">
          <cell r="K9270" t="str">
            <v>227012</v>
          </cell>
          <cell r="M9270">
            <v>2</v>
          </cell>
          <cell r="R9270">
            <v>45872</v>
          </cell>
          <cell r="S9270">
            <v>227012</v>
          </cell>
        </row>
        <row r="9271">
          <cell r="K9271" t="str">
            <v>241001</v>
          </cell>
          <cell r="M9271">
            <v>4</v>
          </cell>
          <cell r="R9271">
            <v>45873</v>
          </cell>
          <cell r="S9271">
            <v>241001</v>
          </cell>
        </row>
        <row r="9272">
          <cell r="K9272" t="str">
            <v>201011</v>
          </cell>
          <cell r="M9272">
            <v>3</v>
          </cell>
          <cell r="R9272">
            <v>45872</v>
          </cell>
          <cell r="S9272">
            <v>201011</v>
          </cell>
        </row>
        <row r="9273">
          <cell r="K9273" t="str">
            <v>231004</v>
          </cell>
          <cell r="M9273">
            <v>2</v>
          </cell>
          <cell r="R9273">
            <v>45872</v>
          </cell>
          <cell r="S9273">
            <v>231004</v>
          </cell>
        </row>
        <row r="9274">
          <cell r="K9274" t="str">
            <v>207017</v>
          </cell>
          <cell r="M9274">
            <v>1</v>
          </cell>
          <cell r="R9274">
            <v>45872</v>
          </cell>
          <cell r="S9274">
            <v>207017</v>
          </cell>
        </row>
        <row r="9275">
          <cell r="K9275" t="str">
            <v>201002</v>
          </cell>
          <cell r="M9275">
            <v>1</v>
          </cell>
          <cell r="R9275">
            <v>45872</v>
          </cell>
          <cell r="S9275">
            <v>201002</v>
          </cell>
        </row>
        <row r="9276">
          <cell r="K9276" t="str">
            <v>201011</v>
          </cell>
          <cell r="M9276">
            <v>4</v>
          </cell>
          <cell r="R9276">
            <v>45873</v>
          </cell>
          <cell r="S9276">
            <v>201011</v>
          </cell>
        </row>
        <row r="9277">
          <cell r="K9277" t="str">
            <v>220002</v>
          </cell>
          <cell r="M9277">
            <v>10</v>
          </cell>
          <cell r="R9277">
            <v>45870</v>
          </cell>
          <cell r="S9277">
            <v>220002</v>
          </cell>
        </row>
        <row r="9278">
          <cell r="K9278" t="str">
            <v>241001</v>
          </cell>
          <cell r="M9278">
            <v>5</v>
          </cell>
          <cell r="R9278">
            <v>45870</v>
          </cell>
          <cell r="S9278">
            <v>241001</v>
          </cell>
        </row>
        <row r="9279">
          <cell r="K9279" t="str">
            <v>228001</v>
          </cell>
          <cell r="M9279">
            <v>3</v>
          </cell>
          <cell r="R9279">
            <v>45870</v>
          </cell>
          <cell r="S9279">
            <v>228001</v>
          </cell>
        </row>
        <row r="9280">
          <cell r="K9280" t="str">
            <v>223001</v>
          </cell>
          <cell r="M9280">
            <v>2</v>
          </cell>
          <cell r="R9280">
            <v>45873</v>
          </cell>
          <cell r="S9280">
            <v>223001</v>
          </cell>
        </row>
        <row r="9281">
          <cell r="K9281" t="str">
            <v>201011</v>
          </cell>
          <cell r="M9281">
            <v>1</v>
          </cell>
          <cell r="R9281">
            <v>45873</v>
          </cell>
          <cell r="S9281">
            <v>201011</v>
          </cell>
        </row>
        <row r="9282">
          <cell r="K9282" t="str">
            <v>241001</v>
          </cell>
          <cell r="M9282">
            <v>1</v>
          </cell>
          <cell r="R9282">
            <v>45873</v>
          </cell>
          <cell r="S9282">
            <v>241001</v>
          </cell>
        </row>
        <row r="9283">
          <cell r="K9283" t="str">
            <v>203003</v>
          </cell>
          <cell r="M9283">
            <v>2</v>
          </cell>
          <cell r="R9283">
            <v>45870</v>
          </cell>
          <cell r="S9283">
            <v>203003</v>
          </cell>
        </row>
        <row r="9284">
          <cell r="K9284" t="str">
            <v>231012</v>
          </cell>
          <cell r="M9284">
            <v>2</v>
          </cell>
          <cell r="R9284">
            <v>45870</v>
          </cell>
          <cell r="S9284">
            <v>231012</v>
          </cell>
        </row>
        <row r="9285">
          <cell r="K9285" t="str">
            <v>217022</v>
          </cell>
          <cell r="M9285">
            <v>1</v>
          </cell>
          <cell r="R9285">
            <v>45873</v>
          </cell>
          <cell r="S9285">
            <v>217022</v>
          </cell>
        </row>
        <row r="9286">
          <cell r="K9286" t="str">
            <v>228001</v>
          </cell>
          <cell r="M9286">
            <v>9</v>
          </cell>
          <cell r="R9286">
            <v>45873</v>
          </cell>
          <cell r="S9286">
            <v>228001</v>
          </cell>
        </row>
        <row r="9287">
          <cell r="K9287" t="str">
            <v>217019</v>
          </cell>
          <cell r="M9287">
            <v>15</v>
          </cell>
          <cell r="R9287">
            <v>45873</v>
          </cell>
          <cell r="S9287">
            <v>217019</v>
          </cell>
        </row>
        <row r="9288">
          <cell r="K9288" t="str">
            <v>213003</v>
          </cell>
          <cell r="M9288">
            <v>3</v>
          </cell>
          <cell r="R9288">
            <v>45873</v>
          </cell>
          <cell r="S9288">
            <v>213003</v>
          </cell>
        </row>
        <row r="9289">
          <cell r="K9289" t="str">
            <v>213006</v>
          </cell>
          <cell r="M9289">
            <v>1</v>
          </cell>
          <cell r="R9289">
            <v>45873</v>
          </cell>
          <cell r="S9289">
            <v>213006</v>
          </cell>
        </row>
        <row r="9290">
          <cell r="K9290" t="str">
            <v>234001</v>
          </cell>
          <cell r="M9290">
            <v>2</v>
          </cell>
          <cell r="R9290">
            <v>45873</v>
          </cell>
          <cell r="S9290">
            <v>234001</v>
          </cell>
        </row>
        <row r="9291">
          <cell r="K9291" t="str">
            <v>223002</v>
          </cell>
          <cell r="M9291">
            <v>4</v>
          </cell>
          <cell r="R9291">
            <v>45873</v>
          </cell>
          <cell r="S9291">
            <v>223002</v>
          </cell>
        </row>
        <row r="9292">
          <cell r="K9292" t="str">
            <v>201011</v>
          </cell>
          <cell r="M9292">
            <v>2</v>
          </cell>
          <cell r="R9292">
            <v>45873</v>
          </cell>
          <cell r="S9292">
            <v>201011</v>
          </cell>
        </row>
        <row r="9293">
          <cell r="K9293" t="str">
            <v>217002</v>
          </cell>
          <cell r="M9293">
            <v>1</v>
          </cell>
          <cell r="R9293">
            <v>45873</v>
          </cell>
          <cell r="S9293">
            <v>217002</v>
          </cell>
        </row>
        <row r="9294">
          <cell r="K9294" t="str">
            <v>223001</v>
          </cell>
          <cell r="M9294">
            <v>1</v>
          </cell>
          <cell r="R9294">
            <v>45873</v>
          </cell>
          <cell r="S9294">
            <v>223001</v>
          </cell>
        </row>
        <row r="9295">
          <cell r="K9295" t="str">
            <v>241001</v>
          </cell>
          <cell r="M9295">
            <v>20</v>
          </cell>
          <cell r="R9295">
            <v>45873</v>
          </cell>
          <cell r="S9295">
            <v>241001</v>
          </cell>
        </row>
        <row r="9296">
          <cell r="K9296" t="str">
            <v>201004</v>
          </cell>
          <cell r="M9296">
            <v>3</v>
          </cell>
          <cell r="R9296">
            <v>45873</v>
          </cell>
          <cell r="S9296">
            <v>201004</v>
          </cell>
        </row>
        <row r="9297">
          <cell r="K9297" t="str">
            <v>222007</v>
          </cell>
          <cell r="M9297">
            <v>1</v>
          </cell>
          <cell r="R9297">
            <v>45873</v>
          </cell>
          <cell r="S9297">
            <v>222007</v>
          </cell>
        </row>
        <row r="9298">
          <cell r="K9298" t="str">
            <v>213002</v>
          </cell>
          <cell r="M9298">
            <v>6</v>
          </cell>
          <cell r="R9298">
            <v>45873</v>
          </cell>
          <cell r="S9298">
            <v>213002</v>
          </cell>
        </row>
        <row r="9299">
          <cell r="K9299" t="str">
            <v>201011</v>
          </cell>
          <cell r="M9299">
            <v>1</v>
          </cell>
          <cell r="R9299">
            <v>45873</v>
          </cell>
          <cell r="S9299">
            <v>201011</v>
          </cell>
        </row>
        <row r="9300">
          <cell r="K9300" t="str">
            <v>213003</v>
          </cell>
          <cell r="M9300">
            <v>20</v>
          </cell>
          <cell r="R9300">
            <v>45873</v>
          </cell>
          <cell r="S9300">
            <v>213003</v>
          </cell>
        </row>
        <row r="9301">
          <cell r="K9301" t="str">
            <v>228001</v>
          </cell>
          <cell r="M9301">
            <v>4</v>
          </cell>
          <cell r="R9301">
            <v>45873</v>
          </cell>
          <cell r="S9301">
            <v>228001</v>
          </cell>
        </row>
        <row r="9302">
          <cell r="K9302" t="str">
            <v>227012</v>
          </cell>
          <cell r="M9302">
            <v>1</v>
          </cell>
          <cell r="R9302">
            <v>45873</v>
          </cell>
          <cell r="S9302">
            <v>227012</v>
          </cell>
        </row>
        <row r="9303">
          <cell r="K9303" t="str">
            <v>231012</v>
          </cell>
          <cell r="M9303">
            <v>12</v>
          </cell>
          <cell r="R9303">
            <v>45873</v>
          </cell>
          <cell r="S9303">
            <v>231012</v>
          </cell>
        </row>
        <row r="9304">
          <cell r="K9304" t="str">
            <v>210013</v>
          </cell>
          <cell r="M9304">
            <v>1</v>
          </cell>
          <cell r="R9304">
            <v>45873</v>
          </cell>
          <cell r="S9304">
            <v>210013</v>
          </cell>
        </row>
        <row r="9305">
          <cell r="K9305" t="str">
            <v>205004</v>
          </cell>
          <cell r="M9305">
            <v>1</v>
          </cell>
          <cell r="R9305">
            <v>45873</v>
          </cell>
          <cell r="S9305">
            <v>205004</v>
          </cell>
        </row>
        <row r="9306">
          <cell r="K9306" t="str">
            <v>234001</v>
          </cell>
          <cell r="M9306">
            <v>1</v>
          </cell>
          <cell r="R9306">
            <v>45873</v>
          </cell>
          <cell r="S9306">
            <v>234001</v>
          </cell>
        </row>
        <row r="9307">
          <cell r="K9307" t="str">
            <v>229004</v>
          </cell>
          <cell r="M9307">
            <v>1</v>
          </cell>
          <cell r="R9307">
            <v>45873</v>
          </cell>
          <cell r="S9307">
            <v>229004</v>
          </cell>
        </row>
        <row r="9308">
          <cell r="K9308" t="str">
            <v>226023</v>
          </cell>
          <cell r="M9308">
            <v>1</v>
          </cell>
          <cell r="R9308">
            <v>45873</v>
          </cell>
          <cell r="S9308">
            <v>226023</v>
          </cell>
        </row>
        <row r="9309">
          <cell r="K9309" t="str">
            <v>227014</v>
          </cell>
          <cell r="M9309">
            <v>3</v>
          </cell>
          <cell r="R9309">
            <v>45873</v>
          </cell>
          <cell r="S9309">
            <v>227014</v>
          </cell>
        </row>
        <row r="9310">
          <cell r="K9310" t="str">
            <v>226001</v>
          </cell>
          <cell r="M9310">
            <v>1</v>
          </cell>
          <cell r="R9310">
            <v>45873</v>
          </cell>
          <cell r="S9310">
            <v>226001</v>
          </cell>
        </row>
        <row r="9311">
          <cell r="K9311" t="str">
            <v>228001</v>
          </cell>
          <cell r="M9311">
            <v>8</v>
          </cell>
          <cell r="R9311">
            <v>45873</v>
          </cell>
          <cell r="S9311">
            <v>228001</v>
          </cell>
        </row>
        <row r="9312">
          <cell r="K9312" t="str">
            <v>213003</v>
          </cell>
          <cell r="M9312">
            <v>4</v>
          </cell>
          <cell r="R9312">
            <v>45873</v>
          </cell>
          <cell r="S9312">
            <v>213003</v>
          </cell>
        </row>
        <row r="9313">
          <cell r="K9313" t="str">
            <v>226001</v>
          </cell>
          <cell r="M9313">
            <v>3</v>
          </cell>
          <cell r="R9313">
            <v>45873</v>
          </cell>
          <cell r="S9313">
            <v>226001</v>
          </cell>
        </row>
        <row r="9314">
          <cell r="K9314" t="str">
            <v>226001</v>
          </cell>
          <cell r="M9314">
            <v>1</v>
          </cell>
          <cell r="R9314">
            <v>45873</v>
          </cell>
          <cell r="S9314">
            <v>226001</v>
          </cell>
        </row>
        <row r="9315">
          <cell r="K9315" t="str">
            <v>226001</v>
          </cell>
          <cell r="M9315">
            <v>1</v>
          </cell>
          <cell r="R9315">
            <v>45873</v>
          </cell>
          <cell r="S9315">
            <v>226001</v>
          </cell>
        </row>
        <row r="9316">
          <cell r="K9316" t="str">
            <v>201011</v>
          </cell>
          <cell r="M9316">
            <v>2</v>
          </cell>
          <cell r="R9316">
            <v>45873</v>
          </cell>
          <cell r="S9316">
            <v>201011</v>
          </cell>
        </row>
        <row r="9317">
          <cell r="K9317" t="str">
            <v>212035</v>
          </cell>
          <cell r="M9317">
            <v>4</v>
          </cell>
          <cell r="R9317">
            <v>45873</v>
          </cell>
          <cell r="S9317">
            <v>212035</v>
          </cell>
        </row>
        <row r="9318">
          <cell r="K9318" t="str">
            <v>201021</v>
          </cell>
          <cell r="M9318">
            <v>10</v>
          </cell>
          <cell r="R9318">
            <v>45873</v>
          </cell>
          <cell r="S9318">
            <v>201021</v>
          </cell>
        </row>
        <row r="9319">
          <cell r="K9319" t="str">
            <v>227012</v>
          </cell>
          <cell r="M9319">
            <v>2</v>
          </cell>
          <cell r="R9319">
            <v>45873</v>
          </cell>
          <cell r="S9319">
            <v>227012</v>
          </cell>
        </row>
        <row r="9320">
          <cell r="K9320" t="str">
            <v>226004</v>
          </cell>
          <cell r="M9320">
            <v>1</v>
          </cell>
          <cell r="R9320">
            <v>45873</v>
          </cell>
          <cell r="S9320">
            <v>226004</v>
          </cell>
        </row>
        <row r="9321">
          <cell r="K9321" t="str">
            <v>226001</v>
          </cell>
          <cell r="M9321">
            <v>1</v>
          </cell>
          <cell r="R9321">
            <v>45873</v>
          </cell>
          <cell r="S9321">
            <v>226001</v>
          </cell>
        </row>
        <row r="9322">
          <cell r="K9322" t="str">
            <v>259002</v>
          </cell>
          <cell r="M9322">
            <v>10</v>
          </cell>
          <cell r="R9322">
            <v>45873</v>
          </cell>
          <cell r="S9322">
            <v>259002</v>
          </cell>
        </row>
        <row r="9323">
          <cell r="K9323" t="str">
            <v>217022</v>
          </cell>
          <cell r="M9323">
            <v>8</v>
          </cell>
          <cell r="R9323">
            <v>45874</v>
          </cell>
          <cell r="S9323">
            <v>217022</v>
          </cell>
        </row>
        <row r="9324">
          <cell r="K9324" t="str">
            <v>228001</v>
          </cell>
          <cell r="M9324">
            <v>4</v>
          </cell>
          <cell r="R9324">
            <v>45874</v>
          </cell>
          <cell r="S9324">
            <v>228001</v>
          </cell>
        </row>
        <row r="9325">
          <cell r="K9325" t="str">
            <v>222001</v>
          </cell>
          <cell r="M9325">
            <v>1</v>
          </cell>
          <cell r="R9325">
            <v>45873</v>
          </cell>
          <cell r="S9325">
            <v>222001</v>
          </cell>
        </row>
        <row r="9326">
          <cell r="K9326" t="str">
            <v>213003</v>
          </cell>
          <cell r="M9326">
            <v>1</v>
          </cell>
          <cell r="R9326">
            <v>45873</v>
          </cell>
          <cell r="S9326">
            <v>213003</v>
          </cell>
        </row>
        <row r="9327">
          <cell r="K9327" t="str">
            <v>223001</v>
          </cell>
          <cell r="M9327">
            <v>2</v>
          </cell>
          <cell r="R9327">
            <v>45874</v>
          </cell>
          <cell r="S9327">
            <v>223001</v>
          </cell>
        </row>
        <row r="9328">
          <cell r="K9328" t="str">
            <v>213005</v>
          </cell>
          <cell r="M9328">
            <v>1</v>
          </cell>
          <cell r="R9328">
            <v>45874</v>
          </cell>
          <cell r="S9328">
            <v>213005</v>
          </cell>
        </row>
        <row r="9329">
          <cell r="K9329" t="str">
            <v>210001</v>
          </cell>
          <cell r="M9329">
            <v>2</v>
          </cell>
          <cell r="R9329">
            <v>45874</v>
          </cell>
          <cell r="S9329">
            <v>210001</v>
          </cell>
        </row>
        <row r="9330">
          <cell r="K9330" t="str">
            <v>213002</v>
          </cell>
          <cell r="M9330">
            <v>4</v>
          </cell>
          <cell r="R9330">
            <v>45874</v>
          </cell>
          <cell r="S9330">
            <v>213002</v>
          </cell>
        </row>
        <row r="9331">
          <cell r="K9331" t="str">
            <v>223002</v>
          </cell>
          <cell r="M9331">
            <v>4</v>
          </cell>
          <cell r="R9331">
            <v>45874</v>
          </cell>
          <cell r="S9331">
            <v>223002</v>
          </cell>
        </row>
        <row r="9332">
          <cell r="K9332" t="str">
            <v>228001</v>
          </cell>
          <cell r="M9332">
            <v>1</v>
          </cell>
          <cell r="R9332">
            <v>45874</v>
          </cell>
          <cell r="S9332">
            <v>228001</v>
          </cell>
        </row>
        <row r="9333">
          <cell r="K9333" t="str">
            <v>201011</v>
          </cell>
          <cell r="M9333">
            <v>2</v>
          </cell>
          <cell r="R9333">
            <v>45874</v>
          </cell>
          <cell r="S9333">
            <v>201011</v>
          </cell>
        </row>
        <row r="9334">
          <cell r="K9334" t="str">
            <v>227012</v>
          </cell>
          <cell r="M9334">
            <v>6</v>
          </cell>
          <cell r="R9334">
            <v>45873</v>
          </cell>
          <cell r="S9334">
            <v>227012</v>
          </cell>
        </row>
        <row r="9335">
          <cell r="K9335" t="str">
            <v>226030</v>
          </cell>
          <cell r="M9335">
            <v>2</v>
          </cell>
          <cell r="R9335">
            <v>45873</v>
          </cell>
          <cell r="S9335">
            <v>226030</v>
          </cell>
        </row>
        <row r="9336">
          <cell r="K9336" t="str">
            <v>209001</v>
          </cell>
          <cell r="M9336">
            <v>2</v>
          </cell>
          <cell r="R9336">
            <v>45873</v>
          </cell>
          <cell r="S9336">
            <v>209001</v>
          </cell>
        </row>
        <row r="9337">
          <cell r="K9337" t="str">
            <v>201003</v>
          </cell>
          <cell r="M9337">
            <v>1</v>
          </cell>
          <cell r="R9337">
            <v>45873</v>
          </cell>
          <cell r="S9337">
            <v>201003</v>
          </cell>
        </row>
        <row r="9338">
          <cell r="K9338" t="str">
            <v>231012</v>
          </cell>
          <cell r="M9338">
            <v>1</v>
          </cell>
          <cell r="R9338">
            <v>45873</v>
          </cell>
          <cell r="S9338">
            <v>231012</v>
          </cell>
        </row>
        <row r="9339">
          <cell r="K9339" t="str">
            <v>207017</v>
          </cell>
          <cell r="M9339">
            <v>1</v>
          </cell>
          <cell r="R9339">
            <v>45873</v>
          </cell>
          <cell r="S9339">
            <v>207017</v>
          </cell>
        </row>
        <row r="9340">
          <cell r="K9340" t="str">
            <v>212002</v>
          </cell>
          <cell r="M9340">
            <v>1</v>
          </cell>
          <cell r="R9340">
            <v>45873</v>
          </cell>
          <cell r="S9340">
            <v>212002</v>
          </cell>
        </row>
        <row r="9341">
          <cell r="K9341" t="str">
            <v>201003</v>
          </cell>
          <cell r="M9341">
            <v>1</v>
          </cell>
          <cell r="R9341">
            <v>45873</v>
          </cell>
          <cell r="S9341">
            <v>201003</v>
          </cell>
        </row>
        <row r="9342">
          <cell r="K9342" t="str">
            <v>231012</v>
          </cell>
          <cell r="M9342">
            <v>1</v>
          </cell>
          <cell r="R9342">
            <v>45873</v>
          </cell>
          <cell r="S9342">
            <v>231012</v>
          </cell>
        </row>
        <row r="9343">
          <cell r="K9343" t="str">
            <v>207017</v>
          </cell>
          <cell r="M9343">
            <v>1</v>
          </cell>
          <cell r="R9343">
            <v>45873</v>
          </cell>
          <cell r="S9343">
            <v>207017</v>
          </cell>
        </row>
        <row r="9344">
          <cell r="K9344" t="str">
            <v>227012</v>
          </cell>
          <cell r="M9344">
            <v>2</v>
          </cell>
          <cell r="R9344">
            <v>45873</v>
          </cell>
          <cell r="S9344">
            <v>227012</v>
          </cell>
        </row>
        <row r="9345">
          <cell r="K9345" t="str">
            <v>228001</v>
          </cell>
          <cell r="M9345">
            <v>2</v>
          </cell>
          <cell r="R9345">
            <v>45873</v>
          </cell>
          <cell r="S9345">
            <v>228001</v>
          </cell>
        </row>
        <row r="9346">
          <cell r="K9346" t="str">
            <v>222001</v>
          </cell>
          <cell r="M9346">
            <v>5</v>
          </cell>
          <cell r="R9346">
            <v>45873</v>
          </cell>
          <cell r="S9346">
            <v>222001</v>
          </cell>
        </row>
        <row r="9347">
          <cell r="K9347" t="str">
            <v>241001</v>
          </cell>
          <cell r="M9347">
            <v>3</v>
          </cell>
          <cell r="R9347">
            <v>45873</v>
          </cell>
          <cell r="S9347">
            <v>241001</v>
          </cell>
        </row>
        <row r="9348">
          <cell r="K9348" t="str">
            <v>261004</v>
          </cell>
          <cell r="M9348">
            <v>1</v>
          </cell>
          <cell r="R9348">
            <v>45873</v>
          </cell>
          <cell r="S9348">
            <v>261004</v>
          </cell>
        </row>
        <row r="9349">
          <cell r="K9349" t="str">
            <v>201011</v>
          </cell>
          <cell r="M9349">
            <v>4</v>
          </cell>
          <cell r="R9349">
            <v>45873</v>
          </cell>
          <cell r="S9349">
            <v>201011</v>
          </cell>
        </row>
        <row r="9350">
          <cell r="K9350" t="str">
            <v>228001</v>
          </cell>
          <cell r="M9350">
            <v>2</v>
          </cell>
          <cell r="R9350">
            <v>45873</v>
          </cell>
          <cell r="S9350">
            <v>228001</v>
          </cell>
        </row>
        <row r="9351">
          <cell r="K9351" t="str">
            <v>223002</v>
          </cell>
          <cell r="M9351">
            <v>12</v>
          </cell>
          <cell r="R9351">
            <v>45873</v>
          </cell>
          <cell r="S9351">
            <v>223002</v>
          </cell>
        </row>
        <row r="9352">
          <cell r="K9352" t="str">
            <v>228001</v>
          </cell>
          <cell r="M9352">
            <v>1</v>
          </cell>
          <cell r="R9352">
            <v>45873</v>
          </cell>
          <cell r="S9352">
            <v>228001</v>
          </cell>
        </row>
        <row r="9353">
          <cell r="K9353" t="str">
            <v>217020</v>
          </cell>
          <cell r="M9353">
            <v>1</v>
          </cell>
          <cell r="R9353">
            <v>45873</v>
          </cell>
          <cell r="S9353">
            <v>217020</v>
          </cell>
        </row>
        <row r="9354">
          <cell r="K9354" t="str">
            <v>203003</v>
          </cell>
          <cell r="M9354">
            <v>2</v>
          </cell>
          <cell r="R9354">
            <v>45873</v>
          </cell>
          <cell r="S9354">
            <v>203003</v>
          </cell>
        </row>
        <row r="9355">
          <cell r="K9355" t="str">
            <v>223001</v>
          </cell>
          <cell r="M9355">
            <v>1</v>
          </cell>
          <cell r="R9355">
            <v>45873</v>
          </cell>
          <cell r="S9355">
            <v>223001</v>
          </cell>
        </row>
        <row r="9356">
          <cell r="K9356" t="str">
            <v>223002</v>
          </cell>
          <cell r="M9356">
            <v>2</v>
          </cell>
          <cell r="R9356">
            <v>45874</v>
          </cell>
          <cell r="S9356">
            <v>223002</v>
          </cell>
        </row>
        <row r="9357">
          <cell r="K9357" t="str">
            <v>223001</v>
          </cell>
          <cell r="M9357">
            <v>2</v>
          </cell>
          <cell r="R9357">
            <v>45874</v>
          </cell>
          <cell r="S9357">
            <v>223001</v>
          </cell>
        </row>
        <row r="9358">
          <cell r="K9358" t="str">
            <v>201021</v>
          </cell>
          <cell r="M9358">
            <v>1</v>
          </cell>
          <cell r="R9358">
            <v>45874</v>
          </cell>
          <cell r="S9358">
            <v>201021</v>
          </cell>
        </row>
        <row r="9359">
          <cell r="K9359" t="str">
            <v>201021</v>
          </cell>
          <cell r="M9359">
            <v>1</v>
          </cell>
          <cell r="R9359">
            <v>45873</v>
          </cell>
          <cell r="S9359">
            <v>201021</v>
          </cell>
        </row>
        <row r="9360">
          <cell r="K9360" t="str">
            <v>213005</v>
          </cell>
          <cell r="M9360">
            <v>1</v>
          </cell>
          <cell r="R9360">
            <v>45873</v>
          </cell>
          <cell r="S9360">
            <v>213005</v>
          </cell>
        </row>
        <row r="9361">
          <cell r="K9361" t="str">
            <v>217002</v>
          </cell>
          <cell r="M9361">
            <v>1</v>
          </cell>
          <cell r="R9361">
            <v>45873</v>
          </cell>
          <cell r="S9361">
            <v>217002</v>
          </cell>
        </row>
        <row r="9362">
          <cell r="K9362" t="str">
            <v>226025</v>
          </cell>
          <cell r="M9362">
            <v>1</v>
          </cell>
          <cell r="R9362">
            <v>45873</v>
          </cell>
          <cell r="S9362">
            <v>226025</v>
          </cell>
        </row>
        <row r="9363">
          <cell r="K9363" t="str">
            <v>213003</v>
          </cell>
          <cell r="M9363">
            <v>4</v>
          </cell>
          <cell r="R9363">
            <v>45873</v>
          </cell>
          <cell r="S9363">
            <v>213003</v>
          </cell>
        </row>
        <row r="9364">
          <cell r="K9364" t="str">
            <v>223002</v>
          </cell>
          <cell r="M9364">
            <v>5</v>
          </cell>
          <cell r="R9364">
            <v>45873</v>
          </cell>
          <cell r="S9364">
            <v>223002</v>
          </cell>
        </row>
        <row r="9365">
          <cell r="K9365" t="str">
            <v>201011</v>
          </cell>
          <cell r="M9365">
            <v>5</v>
          </cell>
          <cell r="R9365">
            <v>45873</v>
          </cell>
          <cell r="S9365">
            <v>201011</v>
          </cell>
        </row>
        <row r="9366">
          <cell r="K9366" t="str">
            <v>226004</v>
          </cell>
          <cell r="M9366">
            <v>1</v>
          </cell>
          <cell r="R9366">
            <v>45873</v>
          </cell>
          <cell r="S9366">
            <v>226004</v>
          </cell>
        </row>
        <row r="9367">
          <cell r="K9367" t="str">
            <v>226001</v>
          </cell>
          <cell r="M9367">
            <v>1</v>
          </cell>
          <cell r="R9367">
            <v>45873</v>
          </cell>
          <cell r="S9367">
            <v>226001</v>
          </cell>
        </row>
        <row r="9368">
          <cell r="K9368" t="str">
            <v>226003</v>
          </cell>
          <cell r="M9368">
            <v>1</v>
          </cell>
          <cell r="R9368">
            <v>45873</v>
          </cell>
          <cell r="S9368">
            <v>226003</v>
          </cell>
        </row>
        <row r="9369">
          <cell r="K9369" t="str">
            <v>226025</v>
          </cell>
          <cell r="M9369">
            <v>1</v>
          </cell>
          <cell r="R9369">
            <v>45873</v>
          </cell>
          <cell r="S9369">
            <v>226025</v>
          </cell>
        </row>
        <row r="9370">
          <cell r="K9370" t="str">
            <v>226009</v>
          </cell>
          <cell r="M9370">
            <v>1</v>
          </cell>
          <cell r="R9370">
            <v>45873</v>
          </cell>
          <cell r="S9370">
            <v>226009</v>
          </cell>
        </row>
        <row r="9371">
          <cell r="K9371" t="str">
            <v>217020</v>
          </cell>
          <cell r="M9371">
            <v>2</v>
          </cell>
          <cell r="R9371">
            <v>45870</v>
          </cell>
          <cell r="S9371">
            <v>217020</v>
          </cell>
        </row>
        <row r="9372">
          <cell r="K9372" t="str">
            <v>227012</v>
          </cell>
          <cell r="M9372">
            <v>1</v>
          </cell>
          <cell r="R9372">
            <v>45870</v>
          </cell>
          <cell r="S9372">
            <v>227012</v>
          </cell>
        </row>
        <row r="9373">
          <cell r="K9373" t="str">
            <v>227014</v>
          </cell>
          <cell r="M9373">
            <v>1</v>
          </cell>
          <cell r="R9373">
            <v>45870</v>
          </cell>
          <cell r="S9373">
            <v>227014</v>
          </cell>
        </row>
        <row r="9374">
          <cell r="K9374" t="str">
            <v>227002</v>
          </cell>
          <cell r="M9374">
            <v>1</v>
          </cell>
          <cell r="R9374">
            <v>45870</v>
          </cell>
          <cell r="S9374">
            <v>227002</v>
          </cell>
        </row>
        <row r="9375">
          <cell r="K9375" t="str">
            <v>210013</v>
          </cell>
          <cell r="M9375">
            <v>1</v>
          </cell>
          <cell r="R9375">
            <v>45870</v>
          </cell>
          <cell r="S9375">
            <v>210013</v>
          </cell>
        </row>
        <row r="9376">
          <cell r="K9376" t="str">
            <v>216003</v>
          </cell>
          <cell r="M9376">
            <v>0</v>
          </cell>
          <cell r="R9376">
            <v>45870</v>
          </cell>
          <cell r="S9376">
            <v>216003</v>
          </cell>
        </row>
        <row r="9377">
          <cell r="K9377" t="str">
            <v>217020</v>
          </cell>
          <cell r="M9377">
            <v>2</v>
          </cell>
          <cell r="R9377">
            <v>45870</v>
          </cell>
          <cell r="S9377">
            <v>217020</v>
          </cell>
        </row>
        <row r="9378">
          <cell r="K9378" t="str">
            <v>227012</v>
          </cell>
          <cell r="M9378">
            <v>2</v>
          </cell>
          <cell r="R9378">
            <v>45870</v>
          </cell>
          <cell r="S9378">
            <v>227012</v>
          </cell>
        </row>
        <row r="9379">
          <cell r="K9379" t="str">
            <v>227014</v>
          </cell>
          <cell r="M9379">
            <v>1</v>
          </cell>
          <cell r="R9379">
            <v>45870</v>
          </cell>
          <cell r="S9379">
            <v>227014</v>
          </cell>
        </row>
        <row r="9380">
          <cell r="K9380" t="str">
            <v>227002</v>
          </cell>
          <cell r="M9380">
            <v>2</v>
          </cell>
          <cell r="R9380">
            <v>45870</v>
          </cell>
          <cell r="S9380">
            <v>227002</v>
          </cell>
        </row>
        <row r="9381">
          <cell r="K9381" t="str">
            <v>210013</v>
          </cell>
          <cell r="M9381">
            <v>1</v>
          </cell>
          <cell r="R9381">
            <v>45870</v>
          </cell>
          <cell r="S9381">
            <v>210013</v>
          </cell>
        </row>
        <row r="9382">
          <cell r="K9382" t="str">
            <v>216003</v>
          </cell>
          <cell r="M9382">
            <v>0</v>
          </cell>
          <cell r="R9382">
            <v>45870</v>
          </cell>
          <cell r="S9382">
            <v>216003</v>
          </cell>
        </row>
        <row r="9383">
          <cell r="K9383" t="str">
            <v>216003</v>
          </cell>
          <cell r="M9383">
            <v>1</v>
          </cell>
          <cell r="R9383">
            <v>45874</v>
          </cell>
          <cell r="S9383">
            <v>216003</v>
          </cell>
        </row>
        <row r="9384">
          <cell r="K9384" t="str">
            <v>216003</v>
          </cell>
          <cell r="M9384">
            <v>1</v>
          </cell>
          <cell r="R9384">
            <v>45874</v>
          </cell>
          <cell r="S9384">
            <v>216003</v>
          </cell>
        </row>
        <row r="9385">
          <cell r="K9385" t="str">
            <v>217022</v>
          </cell>
          <cell r="M9385">
            <v>2</v>
          </cell>
          <cell r="R9385">
            <v>45874</v>
          </cell>
          <cell r="S9385">
            <v>217022</v>
          </cell>
        </row>
        <row r="9386">
          <cell r="K9386" t="str">
            <v>201011</v>
          </cell>
          <cell r="M9386">
            <v>1</v>
          </cell>
          <cell r="R9386">
            <v>45874</v>
          </cell>
          <cell r="S9386">
            <v>201011</v>
          </cell>
        </row>
        <row r="9387">
          <cell r="K9387" t="str">
            <v>209001</v>
          </cell>
          <cell r="M9387">
            <v>1</v>
          </cell>
          <cell r="R9387">
            <v>45874</v>
          </cell>
          <cell r="S9387">
            <v>209001</v>
          </cell>
        </row>
        <row r="9388">
          <cell r="K9388" t="str">
            <v>223002</v>
          </cell>
          <cell r="M9388">
            <v>2</v>
          </cell>
          <cell r="R9388">
            <v>45874</v>
          </cell>
          <cell r="S9388">
            <v>223002</v>
          </cell>
        </row>
        <row r="9389">
          <cell r="K9389" t="str">
            <v>223001</v>
          </cell>
          <cell r="M9389">
            <v>4</v>
          </cell>
          <cell r="R9389">
            <v>45874</v>
          </cell>
          <cell r="S9389">
            <v>223001</v>
          </cell>
        </row>
        <row r="9390">
          <cell r="K9390" t="str">
            <v>213003</v>
          </cell>
          <cell r="M9390">
            <v>3</v>
          </cell>
          <cell r="R9390">
            <v>45874</v>
          </cell>
          <cell r="S9390">
            <v>213003</v>
          </cell>
        </row>
        <row r="9391">
          <cell r="K9391" t="str">
            <v>217018</v>
          </cell>
          <cell r="M9391">
            <v>1</v>
          </cell>
          <cell r="R9391">
            <v>45874</v>
          </cell>
          <cell r="S9391">
            <v>217018</v>
          </cell>
        </row>
        <row r="9392">
          <cell r="K9392" t="str">
            <v>220002</v>
          </cell>
          <cell r="M9392">
            <v>2</v>
          </cell>
          <cell r="R9392">
            <v>45874</v>
          </cell>
          <cell r="S9392">
            <v>220002</v>
          </cell>
        </row>
        <row r="9393">
          <cell r="K9393" t="str">
            <v>203003</v>
          </cell>
          <cell r="M9393">
            <v>2</v>
          </cell>
          <cell r="R9393">
            <v>45874</v>
          </cell>
          <cell r="S9393">
            <v>203003</v>
          </cell>
        </row>
        <row r="9394">
          <cell r="K9394" t="str">
            <v>228001</v>
          </cell>
          <cell r="M9394">
            <v>4</v>
          </cell>
          <cell r="R9394">
            <v>45874</v>
          </cell>
          <cell r="S9394">
            <v>228001</v>
          </cell>
        </row>
        <row r="9395">
          <cell r="K9395" t="str">
            <v>213002</v>
          </cell>
          <cell r="M9395">
            <v>1</v>
          </cell>
          <cell r="R9395">
            <v>45874</v>
          </cell>
          <cell r="S9395">
            <v>213002</v>
          </cell>
        </row>
        <row r="9396">
          <cell r="K9396" t="str">
            <v>201003</v>
          </cell>
          <cell r="M9396">
            <v>1</v>
          </cell>
          <cell r="R9396">
            <v>45874</v>
          </cell>
          <cell r="S9396">
            <v>201003</v>
          </cell>
        </row>
        <row r="9397">
          <cell r="K9397" t="str">
            <v>201011</v>
          </cell>
          <cell r="M9397">
            <v>14</v>
          </cell>
          <cell r="R9397">
            <v>45874</v>
          </cell>
          <cell r="S9397">
            <v>201011</v>
          </cell>
        </row>
        <row r="9398">
          <cell r="K9398" t="str">
            <v>222001</v>
          </cell>
          <cell r="M9398">
            <v>1</v>
          </cell>
          <cell r="R9398">
            <v>45874</v>
          </cell>
          <cell r="S9398">
            <v>222001</v>
          </cell>
        </row>
        <row r="9399">
          <cell r="K9399" t="str">
            <v>201002</v>
          </cell>
          <cell r="M9399">
            <v>2</v>
          </cell>
          <cell r="R9399">
            <v>45874</v>
          </cell>
          <cell r="S9399">
            <v>201002</v>
          </cell>
        </row>
        <row r="9400">
          <cell r="K9400" t="str">
            <v>234011</v>
          </cell>
          <cell r="M9400">
            <v>2</v>
          </cell>
          <cell r="R9400">
            <v>45874</v>
          </cell>
          <cell r="S9400">
            <v>234011</v>
          </cell>
        </row>
        <row r="9401">
          <cell r="K9401" t="str">
            <v>213002</v>
          </cell>
          <cell r="M9401">
            <v>3</v>
          </cell>
          <cell r="R9401">
            <v>45874</v>
          </cell>
          <cell r="S9401">
            <v>213002</v>
          </cell>
        </row>
        <row r="9402">
          <cell r="K9402" t="str">
            <v>226024</v>
          </cell>
          <cell r="M9402">
            <v>2</v>
          </cell>
          <cell r="R9402">
            <v>45874</v>
          </cell>
          <cell r="S9402">
            <v>226024</v>
          </cell>
        </row>
        <row r="9403">
          <cell r="K9403" t="str">
            <v>201011</v>
          </cell>
          <cell r="M9403">
            <v>6</v>
          </cell>
          <cell r="R9403">
            <v>45874</v>
          </cell>
          <cell r="S9403">
            <v>201011</v>
          </cell>
        </row>
        <row r="9404">
          <cell r="K9404" t="str">
            <v>223002</v>
          </cell>
          <cell r="M9404">
            <v>1</v>
          </cell>
          <cell r="R9404">
            <v>45874</v>
          </cell>
          <cell r="S9404">
            <v>223002</v>
          </cell>
        </row>
        <row r="9405">
          <cell r="K9405" t="str">
            <v>223001</v>
          </cell>
          <cell r="M9405">
            <v>2</v>
          </cell>
          <cell r="R9405">
            <v>45874</v>
          </cell>
          <cell r="S9405">
            <v>223001</v>
          </cell>
        </row>
        <row r="9406">
          <cell r="K9406" t="str">
            <v>227002</v>
          </cell>
          <cell r="M9406">
            <v>1</v>
          </cell>
          <cell r="R9406">
            <v>45874</v>
          </cell>
          <cell r="S9406">
            <v>227002</v>
          </cell>
        </row>
        <row r="9407">
          <cell r="K9407" t="str">
            <v>201002</v>
          </cell>
          <cell r="M9407">
            <v>1</v>
          </cell>
          <cell r="R9407">
            <v>45874</v>
          </cell>
          <cell r="S9407">
            <v>201002</v>
          </cell>
        </row>
        <row r="9408">
          <cell r="K9408" t="str">
            <v>223001</v>
          </cell>
          <cell r="M9408">
            <v>3</v>
          </cell>
          <cell r="R9408">
            <v>45874</v>
          </cell>
          <cell r="S9408">
            <v>223001</v>
          </cell>
        </row>
        <row r="9409">
          <cell r="K9409" t="str">
            <v>201021</v>
          </cell>
          <cell r="M9409">
            <v>10</v>
          </cell>
          <cell r="R9409">
            <v>45874</v>
          </cell>
          <cell r="S9409">
            <v>201021</v>
          </cell>
        </row>
        <row r="9410">
          <cell r="K9410" t="str">
            <v>217018</v>
          </cell>
          <cell r="M9410">
            <v>2</v>
          </cell>
          <cell r="R9410">
            <v>45874</v>
          </cell>
          <cell r="S9410">
            <v>217018</v>
          </cell>
        </row>
        <row r="9411">
          <cell r="K9411" t="str">
            <v>217018</v>
          </cell>
          <cell r="M9411">
            <v>1</v>
          </cell>
          <cell r="R9411">
            <v>45874</v>
          </cell>
          <cell r="S9411">
            <v>217018</v>
          </cell>
        </row>
        <row r="9412">
          <cell r="K9412" t="str">
            <v>217006</v>
          </cell>
          <cell r="M9412">
            <v>1</v>
          </cell>
          <cell r="R9412">
            <v>45874</v>
          </cell>
          <cell r="S9412">
            <v>217006</v>
          </cell>
        </row>
        <row r="9413">
          <cell r="K9413" t="str">
            <v>206002</v>
          </cell>
          <cell r="M9413">
            <v>3</v>
          </cell>
          <cell r="R9413">
            <v>45874</v>
          </cell>
          <cell r="S9413">
            <v>206002</v>
          </cell>
        </row>
        <row r="9414">
          <cell r="K9414" t="str">
            <v>207017</v>
          </cell>
          <cell r="M9414">
            <v>1</v>
          </cell>
          <cell r="R9414">
            <v>45874</v>
          </cell>
          <cell r="S9414">
            <v>207017</v>
          </cell>
        </row>
        <row r="9415">
          <cell r="K9415" t="str">
            <v>213003</v>
          </cell>
          <cell r="M9415">
            <v>4</v>
          </cell>
          <cell r="R9415">
            <v>45874</v>
          </cell>
          <cell r="S9415">
            <v>213003</v>
          </cell>
        </row>
        <row r="9416">
          <cell r="K9416" t="str">
            <v>212010</v>
          </cell>
          <cell r="M9416">
            <v>20</v>
          </cell>
          <cell r="R9416">
            <v>45874</v>
          </cell>
          <cell r="S9416">
            <v>212010</v>
          </cell>
        </row>
        <row r="9417">
          <cell r="K9417" t="str">
            <v>261004</v>
          </cell>
          <cell r="M9417">
            <v>20</v>
          </cell>
          <cell r="R9417">
            <v>45874</v>
          </cell>
          <cell r="S9417">
            <v>261004</v>
          </cell>
        </row>
        <row r="9418">
          <cell r="K9418" t="str">
            <v>201011</v>
          </cell>
          <cell r="M9418">
            <v>36</v>
          </cell>
          <cell r="R9418">
            <v>45874</v>
          </cell>
          <cell r="S9418">
            <v>201011</v>
          </cell>
        </row>
        <row r="9419">
          <cell r="K9419" t="str">
            <v>228001</v>
          </cell>
          <cell r="M9419">
            <v>10</v>
          </cell>
          <cell r="R9419">
            <v>45874</v>
          </cell>
          <cell r="S9419">
            <v>228001</v>
          </cell>
        </row>
        <row r="9420">
          <cell r="K9420" t="str">
            <v>201021</v>
          </cell>
          <cell r="M9420">
            <v>1</v>
          </cell>
          <cell r="R9420">
            <v>45875</v>
          </cell>
          <cell r="S9420">
            <v>201021</v>
          </cell>
        </row>
        <row r="9421">
          <cell r="K9421" t="str">
            <v>228001</v>
          </cell>
          <cell r="M9421">
            <v>1</v>
          </cell>
          <cell r="R9421">
            <v>45875</v>
          </cell>
          <cell r="S9421">
            <v>228001</v>
          </cell>
        </row>
        <row r="9422">
          <cell r="K9422" t="str">
            <v>217002</v>
          </cell>
          <cell r="M9422">
            <v>1</v>
          </cell>
          <cell r="R9422">
            <v>45875</v>
          </cell>
          <cell r="S9422">
            <v>217002</v>
          </cell>
        </row>
        <row r="9423">
          <cell r="K9423" t="str">
            <v>226001</v>
          </cell>
          <cell r="M9423">
            <v>1</v>
          </cell>
          <cell r="R9423">
            <v>45875</v>
          </cell>
          <cell r="S9423">
            <v>226001</v>
          </cell>
        </row>
        <row r="9424">
          <cell r="K9424" t="str">
            <v>203003</v>
          </cell>
          <cell r="M9424">
            <v>1</v>
          </cell>
          <cell r="R9424">
            <v>45875</v>
          </cell>
          <cell r="S9424">
            <v>203003</v>
          </cell>
        </row>
        <row r="9425">
          <cell r="K9425" t="str">
            <v>213003</v>
          </cell>
          <cell r="M9425">
            <v>1</v>
          </cell>
          <cell r="R9425">
            <v>45875</v>
          </cell>
          <cell r="S9425">
            <v>213003</v>
          </cell>
        </row>
        <row r="9426">
          <cell r="K9426" t="str">
            <v>203001</v>
          </cell>
          <cell r="M9426">
            <v>4</v>
          </cell>
          <cell r="R9426">
            <v>45875</v>
          </cell>
          <cell r="S9426">
            <v>203001</v>
          </cell>
        </row>
        <row r="9427">
          <cell r="K9427" t="str">
            <v>213003</v>
          </cell>
          <cell r="M9427">
            <v>5</v>
          </cell>
          <cell r="R9427">
            <v>45875</v>
          </cell>
          <cell r="S9427">
            <v>213003</v>
          </cell>
        </row>
        <row r="9428">
          <cell r="K9428" t="str">
            <v>210001</v>
          </cell>
          <cell r="M9428">
            <v>2</v>
          </cell>
          <cell r="R9428">
            <v>45875</v>
          </cell>
          <cell r="S9428">
            <v>210001</v>
          </cell>
        </row>
        <row r="9429">
          <cell r="K9429" t="str">
            <v>205004</v>
          </cell>
          <cell r="M9429">
            <v>1</v>
          </cell>
          <cell r="R9429">
            <v>45875</v>
          </cell>
          <cell r="S9429">
            <v>205004</v>
          </cell>
        </row>
        <row r="9430">
          <cell r="K9430" t="str">
            <v>228001</v>
          </cell>
          <cell r="M9430">
            <v>2</v>
          </cell>
          <cell r="R9430">
            <v>45875</v>
          </cell>
          <cell r="S9430">
            <v>228001</v>
          </cell>
        </row>
        <row r="9431">
          <cell r="K9431" t="str">
            <v>201021</v>
          </cell>
          <cell r="M9431">
            <v>4</v>
          </cell>
          <cell r="R9431">
            <v>45875</v>
          </cell>
          <cell r="S9431">
            <v>201021</v>
          </cell>
        </row>
        <row r="9432">
          <cell r="K9432" t="str">
            <v>201011</v>
          </cell>
          <cell r="M9432">
            <v>2</v>
          </cell>
          <cell r="R9432">
            <v>45875</v>
          </cell>
          <cell r="S9432">
            <v>201011</v>
          </cell>
        </row>
        <row r="9433">
          <cell r="K9433" t="str">
            <v>213003</v>
          </cell>
          <cell r="M9433">
            <v>2</v>
          </cell>
          <cell r="R9433">
            <v>45875</v>
          </cell>
          <cell r="S9433">
            <v>213003</v>
          </cell>
        </row>
        <row r="9434">
          <cell r="K9434" t="str">
            <v>217022</v>
          </cell>
          <cell r="M9434">
            <v>1</v>
          </cell>
          <cell r="R9434">
            <v>45875</v>
          </cell>
          <cell r="S9434">
            <v>217022</v>
          </cell>
        </row>
        <row r="9435">
          <cell r="K9435" t="str">
            <v>231012</v>
          </cell>
          <cell r="M9435">
            <v>1</v>
          </cell>
          <cell r="R9435">
            <v>45875</v>
          </cell>
          <cell r="S9435">
            <v>231012</v>
          </cell>
        </row>
        <row r="9436">
          <cell r="K9436" t="str">
            <v>226001</v>
          </cell>
          <cell r="M9436">
            <v>2</v>
          </cell>
          <cell r="R9436">
            <v>45875</v>
          </cell>
          <cell r="S9436">
            <v>226001</v>
          </cell>
        </row>
        <row r="9437">
          <cell r="K9437" t="str">
            <v>226001</v>
          </cell>
          <cell r="M9437">
            <v>1</v>
          </cell>
          <cell r="R9437">
            <v>45875</v>
          </cell>
          <cell r="S9437">
            <v>226001</v>
          </cell>
        </row>
        <row r="9438">
          <cell r="K9438" t="str">
            <v>226001</v>
          </cell>
          <cell r="M9438">
            <v>4</v>
          </cell>
          <cell r="R9438">
            <v>45875</v>
          </cell>
          <cell r="S9438">
            <v>226001</v>
          </cell>
        </row>
        <row r="9439">
          <cell r="K9439" t="str">
            <v>209004</v>
          </cell>
          <cell r="M9439">
            <v>1</v>
          </cell>
          <cell r="R9439">
            <v>45875</v>
          </cell>
          <cell r="S9439">
            <v>209004</v>
          </cell>
        </row>
        <row r="9440">
          <cell r="K9440" t="str">
            <v>223002</v>
          </cell>
          <cell r="M9440">
            <v>4</v>
          </cell>
          <cell r="R9440">
            <v>45875</v>
          </cell>
          <cell r="S9440">
            <v>223002</v>
          </cell>
        </row>
        <row r="9441">
          <cell r="K9441" t="str">
            <v>223006</v>
          </cell>
          <cell r="M9441">
            <v>5</v>
          </cell>
          <cell r="R9441">
            <v>45875</v>
          </cell>
          <cell r="S9441">
            <v>223006</v>
          </cell>
        </row>
        <row r="9442">
          <cell r="K9442" t="str">
            <v>223001</v>
          </cell>
          <cell r="M9442">
            <v>5</v>
          </cell>
          <cell r="R9442">
            <v>45875</v>
          </cell>
          <cell r="S9442">
            <v>223001</v>
          </cell>
        </row>
        <row r="9443">
          <cell r="K9443" t="str">
            <v>223003</v>
          </cell>
          <cell r="M9443">
            <v>5</v>
          </cell>
          <cell r="R9443">
            <v>45875</v>
          </cell>
          <cell r="S9443">
            <v>223003</v>
          </cell>
        </row>
        <row r="9444">
          <cell r="K9444" t="str">
            <v>227012</v>
          </cell>
          <cell r="M9444">
            <v>1</v>
          </cell>
          <cell r="R9444">
            <v>45875</v>
          </cell>
          <cell r="S9444">
            <v>227012</v>
          </cell>
        </row>
        <row r="9445">
          <cell r="K9445" t="str">
            <v>201011</v>
          </cell>
          <cell r="M9445">
            <v>10</v>
          </cell>
          <cell r="R9445">
            <v>45874</v>
          </cell>
          <cell r="S9445">
            <v>201011</v>
          </cell>
        </row>
        <row r="9446">
          <cell r="K9446" t="str">
            <v>217018</v>
          </cell>
          <cell r="M9446">
            <v>3</v>
          </cell>
          <cell r="R9446">
            <v>45875</v>
          </cell>
          <cell r="S9446">
            <v>217018</v>
          </cell>
        </row>
        <row r="9447">
          <cell r="K9447" t="str">
            <v>223002</v>
          </cell>
          <cell r="M9447">
            <v>1</v>
          </cell>
          <cell r="R9447">
            <v>45875</v>
          </cell>
          <cell r="S9447">
            <v>223002</v>
          </cell>
        </row>
        <row r="9448">
          <cell r="K9448" t="str">
            <v>217021</v>
          </cell>
          <cell r="M9448">
            <v>1</v>
          </cell>
          <cell r="R9448">
            <v>45875</v>
          </cell>
          <cell r="S9448">
            <v>217021</v>
          </cell>
        </row>
        <row r="9449">
          <cell r="K9449" t="str">
            <v>226001</v>
          </cell>
          <cell r="M9449">
            <v>1</v>
          </cell>
          <cell r="R9449">
            <v>45875</v>
          </cell>
          <cell r="S9449">
            <v>226001</v>
          </cell>
        </row>
        <row r="9450">
          <cell r="K9450" t="str">
            <v>223001</v>
          </cell>
          <cell r="M9450">
            <v>1</v>
          </cell>
          <cell r="R9450">
            <v>45875</v>
          </cell>
          <cell r="S9450">
            <v>223001</v>
          </cell>
        </row>
        <row r="9451">
          <cell r="K9451" t="str">
            <v>223002</v>
          </cell>
          <cell r="M9451">
            <v>1</v>
          </cell>
          <cell r="R9451">
            <v>45875</v>
          </cell>
          <cell r="S9451">
            <v>223002</v>
          </cell>
        </row>
        <row r="9452">
          <cell r="K9452" t="str">
            <v>227002</v>
          </cell>
          <cell r="M9452">
            <v>1</v>
          </cell>
          <cell r="R9452">
            <v>45875</v>
          </cell>
          <cell r="S9452">
            <v>227002</v>
          </cell>
        </row>
        <row r="9453">
          <cell r="K9453" t="str">
            <v>225001</v>
          </cell>
          <cell r="M9453">
            <v>1</v>
          </cell>
          <cell r="R9453">
            <v>45875</v>
          </cell>
          <cell r="S9453">
            <v>225001</v>
          </cell>
        </row>
        <row r="9454">
          <cell r="K9454" t="str">
            <v>223002</v>
          </cell>
          <cell r="M9454">
            <v>3</v>
          </cell>
          <cell r="R9454">
            <v>45875</v>
          </cell>
          <cell r="S9454">
            <v>223002</v>
          </cell>
        </row>
        <row r="9455">
          <cell r="K9455" t="str">
            <v>223001</v>
          </cell>
          <cell r="M9455">
            <v>2</v>
          </cell>
          <cell r="R9455">
            <v>45875</v>
          </cell>
          <cell r="S9455">
            <v>223001</v>
          </cell>
        </row>
        <row r="9456">
          <cell r="K9456" t="str">
            <v>227012</v>
          </cell>
          <cell r="M9456">
            <v>1</v>
          </cell>
          <cell r="R9456">
            <v>45875</v>
          </cell>
          <cell r="S9456">
            <v>227012</v>
          </cell>
        </row>
        <row r="9457">
          <cell r="K9457" t="str">
            <v>201021</v>
          </cell>
          <cell r="M9457">
            <v>3</v>
          </cell>
          <cell r="R9457">
            <v>45875</v>
          </cell>
          <cell r="S9457">
            <v>201021</v>
          </cell>
        </row>
        <row r="9458">
          <cell r="K9458" t="str">
            <v>223001</v>
          </cell>
          <cell r="M9458">
            <v>2</v>
          </cell>
          <cell r="R9458">
            <v>45875</v>
          </cell>
          <cell r="S9458">
            <v>223001</v>
          </cell>
        </row>
        <row r="9459">
          <cell r="K9459" t="str">
            <v>223002</v>
          </cell>
          <cell r="M9459">
            <v>1</v>
          </cell>
          <cell r="R9459">
            <v>45875</v>
          </cell>
          <cell r="S9459">
            <v>223002</v>
          </cell>
        </row>
        <row r="9460">
          <cell r="K9460" t="str">
            <v>213003</v>
          </cell>
          <cell r="M9460">
            <v>2</v>
          </cell>
          <cell r="R9460">
            <v>45875</v>
          </cell>
          <cell r="S9460">
            <v>213003</v>
          </cell>
        </row>
        <row r="9461">
          <cell r="K9461" t="str">
            <v>217011</v>
          </cell>
          <cell r="M9461">
            <v>3</v>
          </cell>
          <cell r="R9461">
            <v>45875</v>
          </cell>
          <cell r="S9461">
            <v>217011</v>
          </cell>
        </row>
        <row r="9462">
          <cell r="K9462" t="str">
            <v>223002</v>
          </cell>
          <cell r="M9462">
            <v>3</v>
          </cell>
          <cell r="R9462">
            <v>45875</v>
          </cell>
          <cell r="S9462">
            <v>223002</v>
          </cell>
        </row>
        <row r="9463">
          <cell r="K9463" t="str">
            <v>210013</v>
          </cell>
          <cell r="M9463">
            <v>16</v>
          </cell>
          <cell r="R9463">
            <v>45876</v>
          </cell>
          <cell r="S9463">
            <v>210013</v>
          </cell>
        </row>
        <row r="9464">
          <cell r="K9464" t="str">
            <v>213005</v>
          </cell>
          <cell r="M9464">
            <v>1</v>
          </cell>
          <cell r="R9464">
            <v>45876</v>
          </cell>
          <cell r="S9464">
            <v>213005</v>
          </cell>
        </row>
        <row r="9465">
          <cell r="K9465" t="str">
            <v>203003</v>
          </cell>
          <cell r="M9465">
            <v>1</v>
          </cell>
          <cell r="R9465">
            <v>45875</v>
          </cell>
          <cell r="S9465">
            <v>203003</v>
          </cell>
        </row>
        <row r="9466">
          <cell r="K9466" t="str">
            <v>203001</v>
          </cell>
          <cell r="M9466">
            <v>2</v>
          </cell>
          <cell r="R9466">
            <v>45876</v>
          </cell>
          <cell r="S9466">
            <v>203001</v>
          </cell>
        </row>
        <row r="9467">
          <cell r="K9467" t="str">
            <v>228001</v>
          </cell>
          <cell r="M9467">
            <v>1</v>
          </cell>
          <cell r="R9467">
            <v>45875</v>
          </cell>
          <cell r="S9467">
            <v>228001</v>
          </cell>
        </row>
        <row r="9468">
          <cell r="K9468" t="str">
            <v>222001</v>
          </cell>
          <cell r="M9468">
            <v>1</v>
          </cell>
          <cell r="R9468">
            <v>45876</v>
          </cell>
          <cell r="S9468">
            <v>222001</v>
          </cell>
        </row>
        <row r="9469">
          <cell r="K9469" t="str">
            <v>213003</v>
          </cell>
          <cell r="M9469">
            <v>1</v>
          </cell>
          <cell r="R9469">
            <v>45876</v>
          </cell>
          <cell r="S9469">
            <v>213003</v>
          </cell>
        </row>
        <row r="9470">
          <cell r="K9470" t="str">
            <v>223002</v>
          </cell>
          <cell r="M9470">
            <v>6</v>
          </cell>
          <cell r="R9470">
            <v>45876</v>
          </cell>
          <cell r="S9470">
            <v>223002</v>
          </cell>
        </row>
        <row r="9471">
          <cell r="K9471" t="str">
            <v>223001</v>
          </cell>
          <cell r="M9471">
            <v>2</v>
          </cell>
          <cell r="R9471">
            <v>45876</v>
          </cell>
          <cell r="S9471">
            <v>223001</v>
          </cell>
        </row>
        <row r="9472">
          <cell r="K9472" t="str">
            <v>213003</v>
          </cell>
          <cell r="M9472">
            <v>3</v>
          </cell>
          <cell r="R9472">
            <v>45876</v>
          </cell>
          <cell r="S9472">
            <v>213003</v>
          </cell>
        </row>
        <row r="9473">
          <cell r="K9473" t="str">
            <v>220002</v>
          </cell>
          <cell r="M9473">
            <v>2</v>
          </cell>
          <cell r="R9473">
            <v>45876</v>
          </cell>
          <cell r="S9473">
            <v>220002</v>
          </cell>
        </row>
        <row r="9474">
          <cell r="K9474" t="str">
            <v>241001</v>
          </cell>
          <cell r="M9474">
            <v>7</v>
          </cell>
          <cell r="R9474">
            <v>45876</v>
          </cell>
          <cell r="S9474">
            <v>241001</v>
          </cell>
        </row>
        <row r="9475">
          <cell r="K9475" t="str">
            <v>217018</v>
          </cell>
          <cell r="M9475">
            <v>1</v>
          </cell>
          <cell r="R9475">
            <v>45876</v>
          </cell>
          <cell r="S9475">
            <v>217018</v>
          </cell>
        </row>
        <row r="9476">
          <cell r="K9476" t="str">
            <v>201021</v>
          </cell>
          <cell r="M9476">
            <v>2</v>
          </cell>
          <cell r="R9476">
            <v>45876</v>
          </cell>
          <cell r="S9476">
            <v>201021</v>
          </cell>
        </row>
        <row r="9477">
          <cell r="K9477" t="str">
            <v>201011</v>
          </cell>
          <cell r="M9477">
            <v>3</v>
          </cell>
          <cell r="R9477">
            <v>45876</v>
          </cell>
          <cell r="S9477">
            <v>201011</v>
          </cell>
        </row>
        <row r="9478">
          <cell r="K9478" t="str">
            <v>228001</v>
          </cell>
          <cell r="M9478">
            <v>2</v>
          </cell>
          <cell r="R9478">
            <v>45876</v>
          </cell>
          <cell r="S9478">
            <v>228001</v>
          </cell>
        </row>
        <row r="9479">
          <cell r="K9479" t="str">
            <v>213003</v>
          </cell>
          <cell r="M9479">
            <v>1</v>
          </cell>
          <cell r="R9479">
            <v>45876</v>
          </cell>
          <cell r="S9479">
            <v>213003</v>
          </cell>
        </row>
        <row r="9480">
          <cell r="K9480" t="str">
            <v>207017</v>
          </cell>
          <cell r="M9480">
            <v>1</v>
          </cell>
          <cell r="R9480">
            <v>45876</v>
          </cell>
          <cell r="S9480">
            <v>207017</v>
          </cell>
        </row>
        <row r="9481">
          <cell r="K9481" t="str">
            <v>212002</v>
          </cell>
          <cell r="M9481">
            <v>1</v>
          </cell>
          <cell r="R9481">
            <v>45876</v>
          </cell>
          <cell r="S9481">
            <v>212002</v>
          </cell>
        </row>
        <row r="9482">
          <cell r="K9482" t="str">
            <v>201003</v>
          </cell>
          <cell r="M9482">
            <v>1</v>
          </cell>
          <cell r="R9482">
            <v>45876</v>
          </cell>
          <cell r="S9482">
            <v>201003</v>
          </cell>
        </row>
        <row r="9483">
          <cell r="K9483" t="str">
            <v>228001</v>
          </cell>
          <cell r="M9483">
            <v>2</v>
          </cell>
          <cell r="R9483">
            <v>45876</v>
          </cell>
          <cell r="S9483">
            <v>228001</v>
          </cell>
        </row>
        <row r="9484">
          <cell r="K9484" t="str">
            <v>228001</v>
          </cell>
          <cell r="M9484">
            <v>2</v>
          </cell>
          <cell r="R9484">
            <v>45876</v>
          </cell>
          <cell r="S9484">
            <v>228001</v>
          </cell>
        </row>
        <row r="9485">
          <cell r="K9485" t="str">
            <v>222001</v>
          </cell>
          <cell r="M9485">
            <v>1</v>
          </cell>
          <cell r="R9485">
            <v>45876</v>
          </cell>
          <cell r="S9485">
            <v>222001</v>
          </cell>
        </row>
        <row r="9486">
          <cell r="K9486" t="str">
            <v>213003</v>
          </cell>
          <cell r="M9486">
            <v>2</v>
          </cell>
          <cell r="R9486">
            <v>45876</v>
          </cell>
          <cell r="S9486">
            <v>213003</v>
          </cell>
        </row>
        <row r="9487">
          <cell r="K9487" t="str">
            <v>241001</v>
          </cell>
          <cell r="M9487">
            <v>10</v>
          </cell>
          <cell r="R9487">
            <v>45876</v>
          </cell>
          <cell r="S9487">
            <v>241001</v>
          </cell>
        </row>
        <row r="9488">
          <cell r="K9488" t="str">
            <v>201021</v>
          </cell>
          <cell r="M9488">
            <v>5</v>
          </cell>
          <cell r="R9488">
            <v>45876</v>
          </cell>
          <cell r="S9488">
            <v>201021</v>
          </cell>
        </row>
        <row r="9489">
          <cell r="K9489" t="str">
            <v>217018</v>
          </cell>
          <cell r="M9489">
            <v>25</v>
          </cell>
          <cell r="R9489">
            <v>45876</v>
          </cell>
          <cell r="S9489">
            <v>217018</v>
          </cell>
        </row>
        <row r="9490">
          <cell r="K9490" t="str">
            <v>217022</v>
          </cell>
          <cell r="M9490">
            <v>10</v>
          </cell>
          <cell r="R9490">
            <v>45876</v>
          </cell>
          <cell r="S9490">
            <v>217022</v>
          </cell>
        </row>
        <row r="9491">
          <cell r="K9491" t="str">
            <v>201011</v>
          </cell>
          <cell r="M9491">
            <v>5</v>
          </cell>
          <cell r="R9491">
            <v>45876</v>
          </cell>
          <cell r="S9491">
            <v>201011</v>
          </cell>
        </row>
        <row r="9492">
          <cell r="K9492" t="str">
            <v>231012</v>
          </cell>
          <cell r="M9492">
            <v>1</v>
          </cell>
          <cell r="R9492">
            <v>45876</v>
          </cell>
          <cell r="S9492">
            <v>231012</v>
          </cell>
        </row>
        <row r="9493">
          <cell r="K9493" t="str">
            <v>223001</v>
          </cell>
          <cell r="M9493">
            <v>3</v>
          </cell>
          <cell r="R9493">
            <v>45876</v>
          </cell>
          <cell r="S9493">
            <v>223001</v>
          </cell>
        </row>
        <row r="9494">
          <cell r="K9494" t="str">
            <v>223002</v>
          </cell>
          <cell r="M9494">
            <v>1</v>
          </cell>
          <cell r="R9494">
            <v>45876</v>
          </cell>
          <cell r="S9494">
            <v>223002</v>
          </cell>
        </row>
        <row r="9495">
          <cell r="K9495" t="str">
            <v>228001</v>
          </cell>
          <cell r="M9495">
            <v>1</v>
          </cell>
          <cell r="R9495">
            <v>45876</v>
          </cell>
          <cell r="S9495">
            <v>228001</v>
          </cell>
        </row>
        <row r="9496">
          <cell r="K9496" t="str">
            <v>231012</v>
          </cell>
          <cell r="M9496">
            <v>1</v>
          </cell>
          <cell r="R9496">
            <v>45876</v>
          </cell>
          <cell r="S9496">
            <v>231012</v>
          </cell>
        </row>
        <row r="9497">
          <cell r="K9497" t="str">
            <v>217021</v>
          </cell>
          <cell r="M9497">
            <v>1</v>
          </cell>
          <cell r="R9497">
            <v>45876</v>
          </cell>
          <cell r="S9497">
            <v>217021</v>
          </cell>
        </row>
        <row r="9498">
          <cell r="K9498" t="str">
            <v>226027</v>
          </cell>
          <cell r="M9498">
            <v>1</v>
          </cell>
          <cell r="R9498">
            <v>45876</v>
          </cell>
          <cell r="S9498">
            <v>226027</v>
          </cell>
        </row>
        <row r="9499">
          <cell r="K9499" t="str">
            <v>223017</v>
          </cell>
          <cell r="M9499">
            <v>12</v>
          </cell>
          <cell r="R9499">
            <v>45876</v>
          </cell>
          <cell r="S9499">
            <v>223017</v>
          </cell>
        </row>
        <row r="9500">
          <cell r="K9500" t="str">
            <v>201011</v>
          </cell>
          <cell r="M9500">
            <v>2</v>
          </cell>
          <cell r="R9500">
            <v>45877</v>
          </cell>
          <cell r="S9500">
            <v>201011</v>
          </cell>
        </row>
        <row r="9501">
          <cell r="K9501" t="str">
            <v>201011</v>
          </cell>
          <cell r="M9501">
            <v>6</v>
          </cell>
          <cell r="R9501">
            <v>45876</v>
          </cell>
          <cell r="S9501">
            <v>201011</v>
          </cell>
        </row>
        <row r="9502">
          <cell r="K9502" t="str">
            <v>231004</v>
          </cell>
          <cell r="M9502">
            <v>1</v>
          </cell>
          <cell r="R9502">
            <v>45876</v>
          </cell>
          <cell r="S9502">
            <v>231004</v>
          </cell>
        </row>
        <row r="9503">
          <cell r="K9503" t="str">
            <v>237001</v>
          </cell>
          <cell r="M9503">
            <v>1</v>
          </cell>
          <cell r="R9503">
            <v>45876</v>
          </cell>
          <cell r="S9503">
            <v>237001</v>
          </cell>
        </row>
        <row r="9504">
          <cell r="K9504" t="str">
            <v>201011</v>
          </cell>
          <cell r="M9504">
            <v>45</v>
          </cell>
          <cell r="R9504">
            <v>45876</v>
          </cell>
          <cell r="S9504">
            <v>201011</v>
          </cell>
        </row>
        <row r="9505">
          <cell r="K9505" t="str">
            <v>209001</v>
          </cell>
          <cell r="M9505">
            <v>1</v>
          </cell>
          <cell r="R9505">
            <v>45876</v>
          </cell>
          <cell r="S9505">
            <v>209001</v>
          </cell>
        </row>
        <row r="9506">
          <cell r="K9506" t="str">
            <v>234011</v>
          </cell>
          <cell r="M9506">
            <v>1</v>
          </cell>
          <cell r="R9506">
            <v>45876</v>
          </cell>
          <cell r="S9506">
            <v>234011</v>
          </cell>
        </row>
        <row r="9507">
          <cell r="K9507" t="str">
            <v>217019</v>
          </cell>
          <cell r="M9507">
            <v>1</v>
          </cell>
          <cell r="R9507">
            <v>45876</v>
          </cell>
          <cell r="S9507">
            <v>217019</v>
          </cell>
        </row>
        <row r="9508">
          <cell r="K9508" t="str">
            <v>217002</v>
          </cell>
          <cell r="M9508">
            <v>1</v>
          </cell>
          <cell r="R9508">
            <v>45876</v>
          </cell>
          <cell r="S9508">
            <v>217002</v>
          </cell>
        </row>
        <row r="9509">
          <cell r="K9509" t="str">
            <v>201004</v>
          </cell>
          <cell r="M9509">
            <v>1</v>
          </cell>
          <cell r="R9509">
            <v>45876</v>
          </cell>
          <cell r="S9509">
            <v>201004</v>
          </cell>
        </row>
        <row r="9510">
          <cell r="K9510" t="str">
            <v>226001</v>
          </cell>
          <cell r="M9510">
            <v>1</v>
          </cell>
          <cell r="R9510">
            <v>45876</v>
          </cell>
          <cell r="S9510">
            <v>226001</v>
          </cell>
        </row>
        <row r="9511">
          <cell r="K9511" t="str">
            <v>227002</v>
          </cell>
          <cell r="M9511">
            <v>1</v>
          </cell>
          <cell r="R9511">
            <v>45876</v>
          </cell>
          <cell r="S9511">
            <v>227002</v>
          </cell>
        </row>
        <row r="9512">
          <cell r="K9512" t="str">
            <v>201011</v>
          </cell>
          <cell r="M9512">
            <v>6</v>
          </cell>
          <cell r="R9512">
            <v>45876</v>
          </cell>
          <cell r="S9512">
            <v>201011</v>
          </cell>
        </row>
        <row r="9513">
          <cell r="K9513" t="str">
            <v>201011</v>
          </cell>
          <cell r="M9513">
            <v>3</v>
          </cell>
          <cell r="R9513">
            <v>45876</v>
          </cell>
          <cell r="S9513">
            <v>201011</v>
          </cell>
        </row>
        <row r="9514">
          <cell r="K9514" t="str">
            <v>223017</v>
          </cell>
          <cell r="M9514">
            <v>1</v>
          </cell>
          <cell r="R9514">
            <v>45876</v>
          </cell>
          <cell r="S9514">
            <v>223017</v>
          </cell>
        </row>
        <row r="9515">
          <cell r="K9515" t="str">
            <v>228001</v>
          </cell>
          <cell r="M9515">
            <v>4</v>
          </cell>
          <cell r="R9515">
            <v>45876</v>
          </cell>
          <cell r="S9515">
            <v>228001</v>
          </cell>
        </row>
        <row r="9516">
          <cell r="K9516" t="str">
            <v>210001</v>
          </cell>
          <cell r="M9516">
            <v>1</v>
          </cell>
          <cell r="R9516">
            <v>45876</v>
          </cell>
          <cell r="S9516">
            <v>210001</v>
          </cell>
        </row>
        <row r="9517">
          <cell r="K9517" t="str">
            <v>226030</v>
          </cell>
          <cell r="M9517">
            <v>2</v>
          </cell>
          <cell r="R9517">
            <v>45876</v>
          </cell>
          <cell r="S9517">
            <v>226030</v>
          </cell>
        </row>
        <row r="9518">
          <cell r="K9518" t="str">
            <v>209001</v>
          </cell>
          <cell r="M9518">
            <v>2</v>
          </cell>
          <cell r="R9518">
            <v>45876</v>
          </cell>
          <cell r="S9518">
            <v>209001</v>
          </cell>
        </row>
        <row r="9519">
          <cell r="K9519" t="str">
            <v>223002</v>
          </cell>
          <cell r="M9519">
            <v>1</v>
          </cell>
          <cell r="R9519">
            <v>45876</v>
          </cell>
          <cell r="S9519">
            <v>223002</v>
          </cell>
        </row>
        <row r="9520">
          <cell r="K9520" t="str">
            <v>223002</v>
          </cell>
          <cell r="M9520">
            <v>8</v>
          </cell>
          <cell r="R9520">
            <v>45877</v>
          </cell>
          <cell r="S9520">
            <v>223002</v>
          </cell>
        </row>
        <row r="9521">
          <cell r="K9521" t="str">
            <v>222001</v>
          </cell>
          <cell r="M9521">
            <v>3</v>
          </cell>
          <cell r="R9521">
            <v>45877</v>
          </cell>
          <cell r="S9521">
            <v>222001</v>
          </cell>
        </row>
        <row r="9522">
          <cell r="K9522" t="str">
            <v>261004</v>
          </cell>
          <cell r="M9522">
            <v>1</v>
          </cell>
          <cell r="R9522">
            <v>45877</v>
          </cell>
          <cell r="S9522">
            <v>261004</v>
          </cell>
        </row>
        <row r="9523">
          <cell r="K9523" t="str">
            <v>201011</v>
          </cell>
          <cell r="M9523">
            <v>2</v>
          </cell>
          <cell r="R9523">
            <v>45877</v>
          </cell>
          <cell r="S9523">
            <v>201011</v>
          </cell>
        </row>
        <row r="9524">
          <cell r="K9524" t="str">
            <v>212035</v>
          </cell>
          <cell r="M9524">
            <v>1</v>
          </cell>
          <cell r="R9524">
            <v>45877</v>
          </cell>
          <cell r="S9524">
            <v>212035</v>
          </cell>
        </row>
        <row r="9525">
          <cell r="K9525" t="str">
            <v>213003</v>
          </cell>
          <cell r="M9525">
            <v>3</v>
          </cell>
          <cell r="R9525">
            <v>45877</v>
          </cell>
          <cell r="S9525">
            <v>213003</v>
          </cell>
        </row>
        <row r="9526">
          <cell r="K9526" t="str">
            <v>231012</v>
          </cell>
          <cell r="M9526">
            <v>1</v>
          </cell>
          <cell r="R9526">
            <v>45877</v>
          </cell>
          <cell r="S9526">
            <v>231012</v>
          </cell>
        </row>
        <row r="9527">
          <cell r="K9527" t="str">
            <v>226024</v>
          </cell>
          <cell r="M9527">
            <v>1</v>
          </cell>
          <cell r="R9527">
            <v>45877</v>
          </cell>
          <cell r="S9527">
            <v>226024</v>
          </cell>
        </row>
        <row r="9528">
          <cell r="K9528" t="str">
            <v>207017</v>
          </cell>
          <cell r="M9528">
            <v>1</v>
          </cell>
          <cell r="R9528">
            <v>45877</v>
          </cell>
          <cell r="S9528">
            <v>207017</v>
          </cell>
        </row>
        <row r="9529">
          <cell r="K9529" t="str">
            <v>228001</v>
          </cell>
          <cell r="M9529">
            <v>1</v>
          </cell>
          <cell r="R9529">
            <v>45876</v>
          </cell>
          <cell r="S9529">
            <v>228001</v>
          </cell>
        </row>
        <row r="9530">
          <cell r="K9530" t="str">
            <v>231012</v>
          </cell>
          <cell r="M9530">
            <v>1</v>
          </cell>
          <cell r="R9530">
            <v>45876</v>
          </cell>
          <cell r="S9530">
            <v>231012</v>
          </cell>
        </row>
        <row r="9531">
          <cell r="K9531" t="str">
            <v>212035</v>
          </cell>
          <cell r="M9531">
            <v>1</v>
          </cell>
          <cell r="R9531">
            <v>45876</v>
          </cell>
          <cell r="S9531">
            <v>212035</v>
          </cell>
        </row>
        <row r="9532">
          <cell r="K9532" t="str">
            <v>223002</v>
          </cell>
          <cell r="M9532">
            <v>2</v>
          </cell>
          <cell r="R9532">
            <v>45876</v>
          </cell>
          <cell r="S9532">
            <v>223002</v>
          </cell>
        </row>
        <row r="9533">
          <cell r="K9533" t="str">
            <v>201003</v>
          </cell>
          <cell r="M9533">
            <v>1</v>
          </cell>
          <cell r="R9533">
            <v>45876</v>
          </cell>
          <cell r="S9533">
            <v>201003</v>
          </cell>
        </row>
        <row r="9534">
          <cell r="K9534" t="str">
            <v>201011</v>
          </cell>
          <cell r="M9534">
            <v>1</v>
          </cell>
          <cell r="R9534">
            <v>45876</v>
          </cell>
          <cell r="S9534">
            <v>201011</v>
          </cell>
        </row>
        <row r="9535">
          <cell r="K9535" t="str">
            <v>209017</v>
          </cell>
          <cell r="M9535">
            <v>1</v>
          </cell>
          <cell r="R9535">
            <v>45876</v>
          </cell>
          <cell r="S9535">
            <v>209017</v>
          </cell>
        </row>
        <row r="9536">
          <cell r="K9536" t="str">
            <v>228001</v>
          </cell>
          <cell r="M9536">
            <v>5</v>
          </cell>
          <cell r="R9536">
            <v>45876</v>
          </cell>
          <cell r="S9536">
            <v>228001</v>
          </cell>
        </row>
        <row r="9537">
          <cell r="K9537" t="str">
            <v>201011</v>
          </cell>
          <cell r="M9537">
            <v>1</v>
          </cell>
          <cell r="R9537">
            <v>45877</v>
          </cell>
          <cell r="S9537">
            <v>201011</v>
          </cell>
        </row>
        <row r="9538">
          <cell r="K9538" t="str">
            <v>201011</v>
          </cell>
          <cell r="M9538">
            <v>2</v>
          </cell>
          <cell r="R9538">
            <v>45877</v>
          </cell>
          <cell r="S9538">
            <v>201011</v>
          </cell>
        </row>
        <row r="9539">
          <cell r="K9539" t="str">
            <v>223001</v>
          </cell>
          <cell r="M9539">
            <v>3</v>
          </cell>
          <cell r="R9539">
            <v>45877</v>
          </cell>
          <cell r="S9539">
            <v>223001</v>
          </cell>
        </row>
        <row r="9540">
          <cell r="K9540" t="str">
            <v>228001</v>
          </cell>
          <cell r="M9540">
            <v>5</v>
          </cell>
          <cell r="R9540">
            <v>45876</v>
          </cell>
          <cell r="S9540">
            <v>228001</v>
          </cell>
        </row>
        <row r="9541">
          <cell r="K9541" t="str">
            <v>223002</v>
          </cell>
          <cell r="M9541">
            <v>2</v>
          </cell>
          <cell r="R9541">
            <v>45876</v>
          </cell>
          <cell r="S9541">
            <v>223002</v>
          </cell>
        </row>
        <row r="9542">
          <cell r="K9542" t="str">
            <v>223001</v>
          </cell>
          <cell r="M9542">
            <v>2</v>
          </cell>
          <cell r="R9542">
            <v>45876</v>
          </cell>
          <cell r="S9542">
            <v>223001</v>
          </cell>
        </row>
        <row r="9543">
          <cell r="K9543" t="str">
            <v>201011</v>
          </cell>
          <cell r="M9543">
            <v>4</v>
          </cell>
          <cell r="R9543">
            <v>45876</v>
          </cell>
          <cell r="S9543">
            <v>201011</v>
          </cell>
        </row>
        <row r="9544">
          <cell r="K9544" t="str">
            <v>226001</v>
          </cell>
          <cell r="M9544">
            <v>5</v>
          </cell>
          <cell r="R9544">
            <v>45876</v>
          </cell>
          <cell r="S9544">
            <v>226001</v>
          </cell>
        </row>
        <row r="9545">
          <cell r="K9545" t="str">
            <v>228001</v>
          </cell>
          <cell r="M9545">
            <v>7</v>
          </cell>
          <cell r="R9545">
            <v>45876</v>
          </cell>
          <cell r="S9545">
            <v>228001</v>
          </cell>
        </row>
        <row r="9546">
          <cell r="K9546" t="str">
            <v>201011</v>
          </cell>
          <cell r="M9546">
            <v>1</v>
          </cell>
          <cell r="R9546">
            <v>45877</v>
          </cell>
          <cell r="S9546">
            <v>201011</v>
          </cell>
        </row>
        <row r="9547">
          <cell r="K9547" t="str">
            <v>201011</v>
          </cell>
          <cell r="M9547">
            <v>2</v>
          </cell>
          <cell r="R9547">
            <v>45877</v>
          </cell>
          <cell r="S9547">
            <v>201011</v>
          </cell>
        </row>
        <row r="9548">
          <cell r="K9548" t="str">
            <v>226025</v>
          </cell>
          <cell r="M9548">
            <v>3</v>
          </cell>
          <cell r="R9548">
            <v>45877</v>
          </cell>
          <cell r="S9548">
            <v>226025</v>
          </cell>
        </row>
        <row r="9549">
          <cell r="K9549" t="str">
            <v>227012</v>
          </cell>
          <cell r="M9549">
            <v>3</v>
          </cell>
          <cell r="R9549">
            <v>45877</v>
          </cell>
          <cell r="S9549">
            <v>227012</v>
          </cell>
        </row>
        <row r="9550">
          <cell r="K9550" t="str">
            <v>223001</v>
          </cell>
          <cell r="M9550">
            <v>10</v>
          </cell>
          <cell r="R9550">
            <v>45877</v>
          </cell>
          <cell r="S9550">
            <v>223001</v>
          </cell>
        </row>
        <row r="9551">
          <cell r="K9551" t="str">
            <v>223002</v>
          </cell>
          <cell r="M9551">
            <v>2</v>
          </cell>
          <cell r="R9551">
            <v>45877</v>
          </cell>
          <cell r="S9551">
            <v>223002</v>
          </cell>
        </row>
        <row r="9552">
          <cell r="K9552" t="str">
            <v>226027</v>
          </cell>
          <cell r="M9552">
            <v>2</v>
          </cell>
          <cell r="R9552">
            <v>45877</v>
          </cell>
          <cell r="S9552">
            <v>226027</v>
          </cell>
        </row>
        <row r="9553">
          <cell r="K9553" t="str">
            <v>226001</v>
          </cell>
          <cell r="M9553">
            <v>2</v>
          </cell>
          <cell r="R9553">
            <v>45877</v>
          </cell>
          <cell r="S9553">
            <v>226001</v>
          </cell>
        </row>
        <row r="9554">
          <cell r="K9554" t="str">
            <v>223002</v>
          </cell>
          <cell r="M9554">
            <v>2</v>
          </cell>
          <cell r="R9554">
            <v>45877</v>
          </cell>
          <cell r="S9554">
            <v>223002</v>
          </cell>
        </row>
        <row r="9555">
          <cell r="K9555" t="str">
            <v>210013</v>
          </cell>
          <cell r="M9555">
            <v>1</v>
          </cell>
          <cell r="R9555">
            <v>45877</v>
          </cell>
          <cell r="S9555">
            <v>210013</v>
          </cell>
        </row>
        <row r="9556">
          <cell r="K9556" t="str">
            <v>210014</v>
          </cell>
          <cell r="M9556">
            <v>1</v>
          </cell>
          <cell r="R9556">
            <v>45877</v>
          </cell>
          <cell r="S9556">
            <v>210014</v>
          </cell>
        </row>
        <row r="9557">
          <cell r="K9557" t="str">
            <v>227002</v>
          </cell>
          <cell r="M9557">
            <v>1</v>
          </cell>
          <cell r="R9557">
            <v>45877</v>
          </cell>
          <cell r="S9557">
            <v>227002</v>
          </cell>
        </row>
        <row r="9558">
          <cell r="K9558" t="str">
            <v>223001</v>
          </cell>
          <cell r="M9558">
            <v>4</v>
          </cell>
          <cell r="R9558">
            <v>45877</v>
          </cell>
          <cell r="S9558">
            <v>223001</v>
          </cell>
        </row>
        <row r="9559">
          <cell r="K9559" t="str">
            <v>223002</v>
          </cell>
          <cell r="M9559">
            <v>4</v>
          </cell>
          <cell r="R9559">
            <v>45877</v>
          </cell>
          <cell r="S9559">
            <v>223002</v>
          </cell>
        </row>
        <row r="9560">
          <cell r="K9560" t="str">
            <v>210013</v>
          </cell>
          <cell r="M9560">
            <v>1</v>
          </cell>
          <cell r="R9560">
            <v>45877</v>
          </cell>
          <cell r="S9560">
            <v>210013</v>
          </cell>
        </row>
        <row r="9561">
          <cell r="K9561" t="str">
            <v>217022</v>
          </cell>
          <cell r="M9561">
            <v>1</v>
          </cell>
          <cell r="R9561">
            <v>45877</v>
          </cell>
          <cell r="S9561">
            <v>217022</v>
          </cell>
        </row>
        <row r="9562">
          <cell r="K9562" t="str">
            <v>226001</v>
          </cell>
          <cell r="M9562">
            <v>1</v>
          </cell>
          <cell r="R9562">
            <v>45877</v>
          </cell>
          <cell r="S9562">
            <v>226001</v>
          </cell>
        </row>
        <row r="9563">
          <cell r="K9563" t="str">
            <v>220002</v>
          </cell>
          <cell r="M9563">
            <v>1</v>
          </cell>
          <cell r="R9563">
            <v>45877</v>
          </cell>
          <cell r="S9563">
            <v>220002</v>
          </cell>
        </row>
        <row r="9564">
          <cell r="K9564" t="str">
            <v>213003</v>
          </cell>
          <cell r="M9564">
            <v>1</v>
          </cell>
          <cell r="R9564">
            <v>45877</v>
          </cell>
          <cell r="S9564">
            <v>213003</v>
          </cell>
        </row>
        <row r="9565">
          <cell r="K9565" t="str">
            <v>213002</v>
          </cell>
          <cell r="M9565">
            <v>3</v>
          </cell>
          <cell r="R9565">
            <v>45877</v>
          </cell>
          <cell r="S9565">
            <v>213002</v>
          </cell>
        </row>
        <row r="9566">
          <cell r="K9566" t="str">
            <v>208001</v>
          </cell>
          <cell r="M9566">
            <v>1</v>
          </cell>
          <cell r="R9566">
            <v>45877</v>
          </cell>
          <cell r="S9566">
            <v>208001</v>
          </cell>
        </row>
        <row r="9567">
          <cell r="K9567" t="str">
            <v>229001</v>
          </cell>
          <cell r="M9567">
            <v>2</v>
          </cell>
          <cell r="R9567">
            <v>45877</v>
          </cell>
          <cell r="S9567">
            <v>229001</v>
          </cell>
        </row>
        <row r="9568">
          <cell r="K9568" t="str">
            <v>228001</v>
          </cell>
          <cell r="M9568">
            <v>15</v>
          </cell>
          <cell r="R9568">
            <v>45878</v>
          </cell>
          <cell r="S9568">
            <v>228001</v>
          </cell>
        </row>
        <row r="9569">
          <cell r="K9569" t="str">
            <v>209016</v>
          </cell>
          <cell r="M9569">
            <v>2</v>
          </cell>
          <cell r="R9569">
            <v>45878</v>
          </cell>
          <cell r="S9569">
            <v>209016</v>
          </cell>
        </row>
        <row r="9570">
          <cell r="K9570" t="str">
            <v>201011</v>
          </cell>
          <cell r="M9570">
            <v>6</v>
          </cell>
          <cell r="R9570">
            <v>45879</v>
          </cell>
          <cell r="S9570">
            <v>201011</v>
          </cell>
        </row>
        <row r="9571">
          <cell r="K9571" t="str">
            <v>220002</v>
          </cell>
          <cell r="M9571">
            <v>2</v>
          </cell>
          <cell r="R9571">
            <v>45879</v>
          </cell>
          <cell r="S9571">
            <v>220002</v>
          </cell>
        </row>
        <row r="9572">
          <cell r="K9572" t="str">
            <v>213003</v>
          </cell>
          <cell r="M9572">
            <v>1</v>
          </cell>
          <cell r="R9572">
            <v>45879</v>
          </cell>
          <cell r="S9572">
            <v>213003</v>
          </cell>
        </row>
        <row r="9573">
          <cell r="K9573" t="str">
            <v>223002</v>
          </cell>
          <cell r="M9573">
            <v>1</v>
          </cell>
          <cell r="R9573">
            <v>45879</v>
          </cell>
          <cell r="S9573">
            <v>223002</v>
          </cell>
        </row>
        <row r="9574">
          <cell r="K9574" t="str">
            <v>217018</v>
          </cell>
          <cell r="M9574">
            <v>1</v>
          </cell>
          <cell r="R9574">
            <v>45880</v>
          </cell>
          <cell r="S9574">
            <v>217018</v>
          </cell>
        </row>
        <row r="9575">
          <cell r="K9575" t="str">
            <v>226028</v>
          </cell>
          <cell r="M9575">
            <v>1</v>
          </cell>
          <cell r="R9575">
            <v>45880</v>
          </cell>
          <cell r="S9575">
            <v>226028</v>
          </cell>
        </row>
        <row r="9576">
          <cell r="K9576" t="str">
            <v>222002</v>
          </cell>
          <cell r="M9576">
            <v>1</v>
          </cell>
          <cell r="R9576">
            <v>45880</v>
          </cell>
          <cell r="S9576">
            <v>222002</v>
          </cell>
        </row>
        <row r="9577">
          <cell r="K9577" t="str">
            <v>222001</v>
          </cell>
          <cell r="M9577">
            <v>1</v>
          </cell>
          <cell r="R9577">
            <v>45880</v>
          </cell>
          <cell r="S9577">
            <v>222001</v>
          </cell>
        </row>
        <row r="9578">
          <cell r="K9578" t="str">
            <v>223002</v>
          </cell>
          <cell r="M9578">
            <v>2</v>
          </cell>
          <cell r="R9578">
            <v>45879</v>
          </cell>
          <cell r="S9578">
            <v>223002</v>
          </cell>
        </row>
        <row r="9579">
          <cell r="K9579" t="str">
            <v>213002</v>
          </cell>
          <cell r="M9579">
            <v>6</v>
          </cell>
          <cell r="R9579">
            <v>45879</v>
          </cell>
          <cell r="S9579">
            <v>213002</v>
          </cell>
        </row>
        <row r="9580">
          <cell r="K9580" t="str">
            <v>222001</v>
          </cell>
          <cell r="M9580">
            <v>1</v>
          </cell>
          <cell r="R9580">
            <v>45879</v>
          </cell>
          <cell r="S9580">
            <v>222001</v>
          </cell>
        </row>
        <row r="9581">
          <cell r="K9581" t="str">
            <v>241001</v>
          </cell>
          <cell r="M9581">
            <v>3</v>
          </cell>
          <cell r="R9581">
            <v>45879</v>
          </cell>
          <cell r="S9581">
            <v>241001</v>
          </cell>
        </row>
        <row r="9582">
          <cell r="K9582" t="str">
            <v>234011</v>
          </cell>
          <cell r="M9582">
            <v>3</v>
          </cell>
          <cell r="R9582">
            <v>45879</v>
          </cell>
          <cell r="S9582">
            <v>234011</v>
          </cell>
        </row>
        <row r="9583">
          <cell r="K9583" t="str">
            <v>209001</v>
          </cell>
          <cell r="M9583">
            <v>1</v>
          </cell>
          <cell r="R9583">
            <v>45879</v>
          </cell>
          <cell r="S9583">
            <v>209001</v>
          </cell>
        </row>
        <row r="9584">
          <cell r="K9584" t="str">
            <v>213002</v>
          </cell>
          <cell r="M9584">
            <v>12</v>
          </cell>
          <cell r="R9584">
            <v>45880</v>
          </cell>
          <cell r="S9584">
            <v>213002</v>
          </cell>
        </row>
        <row r="9585">
          <cell r="K9585" t="str">
            <v>223002</v>
          </cell>
          <cell r="M9585">
            <v>1</v>
          </cell>
          <cell r="R9585">
            <v>45879</v>
          </cell>
          <cell r="S9585">
            <v>223002</v>
          </cell>
        </row>
        <row r="9586">
          <cell r="K9586" t="str">
            <v>223001</v>
          </cell>
          <cell r="M9586">
            <v>2</v>
          </cell>
          <cell r="R9586">
            <v>45879</v>
          </cell>
          <cell r="S9586">
            <v>223001</v>
          </cell>
        </row>
        <row r="9587">
          <cell r="K9587" t="str">
            <v>201011</v>
          </cell>
          <cell r="M9587">
            <v>2</v>
          </cell>
          <cell r="R9587">
            <v>45879</v>
          </cell>
          <cell r="S9587">
            <v>201011</v>
          </cell>
        </row>
        <row r="9588">
          <cell r="K9588" t="str">
            <v>241001</v>
          </cell>
          <cell r="M9588">
            <v>2</v>
          </cell>
          <cell r="R9588">
            <v>45879</v>
          </cell>
          <cell r="S9588">
            <v>241001</v>
          </cell>
        </row>
        <row r="9589">
          <cell r="K9589" t="str">
            <v>201021</v>
          </cell>
          <cell r="M9589">
            <v>1</v>
          </cell>
          <cell r="R9589">
            <v>45879</v>
          </cell>
          <cell r="S9589">
            <v>201021</v>
          </cell>
        </row>
        <row r="9590">
          <cell r="K9590" t="str">
            <v>217022</v>
          </cell>
          <cell r="M9590">
            <v>2</v>
          </cell>
          <cell r="R9590">
            <v>45880</v>
          </cell>
          <cell r="S9590">
            <v>217022</v>
          </cell>
        </row>
        <row r="9591">
          <cell r="K9591" t="str">
            <v>203003</v>
          </cell>
          <cell r="M9591">
            <v>1</v>
          </cell>
          <cell r="R9591">
            <v>45880</v>
          </cell>
          <cell r="S9591">
            <v>203003</v>
          </cell>
        </row>
        <row r="9592">
          <cell r="K9592" t="str">
            <v>201011</v>
          </cell>
          <cell r="M9592">
            <v>1</v>
          </cell>
          <cell r="R9592">
            <v>45880</v>
          </cell>
          <cell r="S9592">
            <v>201011</v>
          </cell>
        </row>
        <row r="9593">
          <cell r="K9593" t="str">
            <v>213003</v>
          </cell>
          <cell r="M9593">
            <v>4</v>
          </cell>
          <cell r="R9593">
            <v>45877</v>
          </cell>
          <cell r="S9593">
            <v>213003</v>
          </cell>
        </row>
        <row r="9594">
          <cell r="K9594" t="str">
            <v>201011</v>
          </cell>
          <cell r="M9594">
            <v>3</v>
          </cell>
          <cell r="R9594">
            <v>45879</v>
          </cell>
          <cell r="S9594">
            <v>201011</v>
          </cell>
        </row>
        <row r="9595">
          <cell r="K9595" t="str">
            <v>213002</v>
          </cell>
          <cell r="M9595">
            <v>3</v>
          </cell>
          <cell r="R9595">
            <v>45879</v>
          </cell>
          <cell r="S9595">
            <v>213002</v>
          </cell>
        </row>
        <row r="9596">
          <cell r="K9596" t="str">
            <v>231012</v>
          </cell>
          <cell r="M9596">
            <v>3</v>
          </cell>
          <cell r="R9596">
            <v>45880</v>
          </cell>
          <cell r="S9596">
            <v>231012</v>
          </cell>
        </row>
        <row r="9597">
          <cell r="K9597" t="str">
            <v>203001</v>
          </cell>
          <cell r="M9597">
            <v>2</v>
          </cell>
          <cell r="R9597">
            <v>45880</v>
          </cell>
          <cell r="S9597">
            <v>203001</v>
          </cell>
        </row>
        <row r="9598">
          <cell r="K9598" t="str">
            <v>201011</v>
          </cell>
          <cell r="M9598">
            <v>1</v>
          </cell>
          <cell r="R9598">
            <v>45880</v>
          </cell>
          <cell r="S9598">
            <v>201011</v>
          </cell>
        </row>
        <row r="9599">
          <cell r="K9599" t="str">
            <v>223002</v>
          </cell>
          <cell r="M9599">
            <v>1</v>
          </cell>
          <cell r="R9599">
            <v>45880</v>
          </cell>
          <cell r="S9599">
            <v>223002</v>
          </cell>
        </row>
        <row r="9600">
          <cell r="K9600" t="str">
            <v>227012</v>
          </cell>
          <cell r="M9600">
            <v>1</v>
          </cell>
          <cell r="R9600">
            <v>45880</v>
          </cell>
          <cell r="S9600">
            <v>227012</v>
          </cell>
        </row>
        <row r="9601">
          <cell r="K9601" t="str">
            <v>231010</v>
          </cell>
          <cell r="M9601">
            <v>3</v>
          </cell>
          <cell r="R9601">
            <v>45880</v>
          </cell>
          <cell r="S9601">
            <v>231010</v>
          </cell>
        </row>
        <row r="9602">
          <cell r="K9602" t="str">
            <v>223002</v>
          </cell>
          <cell r="M9602">
            <v>8</v>
          </cell>
          <cell r="R9602">
            <v>45880</v>
          </cell>
          <cell r="S9602">
            <v>223002</v>
          </cell>
        </row>
        <row r="9603">
          <cell r="K9603" t="str">
            <v>223006</v>
          </cell>
          <cell r="M9603">
            <v>10</v>
          </cell>
          <cell r="R9603">
            <v>45880</v>
          </cell>
          <cell r="S9603">
            <v>223006</v>
          </cell>
        </row>
        <row r="9604">
          <cell r="K9604" t="str">
            <v>223001</v>
          </cell>
          <cell r="M9604">
            <v>10</v>
          </cell>
          <cell r="R9604">
            <v>45880</v>
          </cell>
          <cell r="S9604">
            <v>223001</v>
          </cell>
        </row>
        <row r="9605">
          <cell r="K9605" t="str">
            <v>223003</v>
          </cell>
          <cell r="M9605">
            <v>10</v>
          </cell>
          <cell r="R9605">
            <v>45880</v>
          </cell>
          <cell r="S9605">
            <v>223003</v>
          </cell>
        </row>
        <row r="9606">
          <cell r="K9606" t="str">
            <v>227012</v>
          </cell>
          <cell r="M9606">
            <v>1</v>
          </cell>
          <cell r="R9606">
            <v>45880</v>
          </cell>
          <cell r="S9606">
            <v>227012</v>
          </cell>
        </row>
        <row r="9607">
          <cell r="K9607" t="str">
            <v>228001</v>
          </cell>
          <cell r="M9607">
            <v>4</v>
          </cell>
          <cell r="R9607">
            <v>45880</v>
          </cell>
          <cell r="S9607">
            <v>228001</v>
          </cell>
        </row>
        <row r="9608">
          <cell r="K9608" t="str">
            <v>223002</v>
          </cell>
          <cell r="M9608">
            <v>3</v>
          </cell>
          <cell r="R9608">
            <v>45879</v>
          </cell>
          <cell r="S9608">
            <v>223002</v>
          </cell>
        </row>
        <row r="9609">
          <cell r="K9609" t="str">
            <v>223001</v>
          </cell>
          <cell r="M9609">
            <v>2</v>
          </cell>
          <cell r="R9609">
            <v>45879</v>
          </cell>
          <cell r="S9609">
            <v>223001</v>
          </cell>
        </row>
        <row r="9610">
          <cell r="K9610" t="str">
            <v>201011</v>
          </cell>
          <cell r="M9610">
            <v>1</v>
          </cell>
          <cell r="R9610">
            <v>45879</v>
          </cell>
          <cell r="S9610">
            <v>201011</v>
          </cell>
        </row>
        <row r="9611">
          <cell r="K9611" t="str">
            <v>227012</v>
          </cell>
          <cell r="M9611">
            <v>1</v>
          </cell>
          <cell r="R9611">
            <v>45879</v>
          </cell>
          <cell r="S9611">
            <v>227012</v>
          </cell>
        </row>
        <row r="9612">
          <cell r="K9612" t="str">
            <v>223002</v>
          </cell>
          <cell r="M9612">
            <v>5</v>
          </cell>
          <cell r="R9612">
            <v>45879</v>
          </cell>
          <cell r="S9612">
            <v>223002</v>
          </cell>
        </row>
        <row r="9613">
          <cell r="K9613" t="str">
            <v>223001</v>
          </cell>
          <cell r="M9613">
            <v>1</v>
          </cell>
          <cell r="R9613">
            <v>45879</v>
          </cell>
          <cell r="S9613">
            <v>223001</v>
          </cell>
        </row>
        <row r="9614">
          <cell r="K9614" t="str">
            <v>220002</v>
          </cell>
          <cell r="M9614">
            <v>1</v>
          </cell>
          <cell r="R9614">
            <v>45879</v>
          </cell>
          <cell r="S9614">
            <v>220002</v>
          </cell>
        </row>
        <row r="9615">
          <cell r="K9615" t="str">
            <v>227012</v>
          </cell>
          <cell r="M9615">
            <v>1</v>
          </cell>
          <cell r="R9615">
            <v>45879</v>
          </cell>
          <cell r="S9615">
            <v>227012</v>
          </cell>
        </row>
        <row r="9616">
          <cell r="K9616" t="str">
            <v>208001</v>
          </cell>
          <cell r="M9616">
            <v>1</v>
          </cell>
          <cell r="R9616">
            <v>45879</v>
          </cell>
          <cell r="S9616">
            <v>208001</v>
          </cell>
        </row>
        <row r="9617">
          <cell r="K9617" t="str">
            <v>213003</v>
          </cell>
          <cell r="M9617">
            <v>3</v>
          </cell>
          <cell r="R9617">
            <v>45879</v>
          </cell>
          <cell r="S9617">
            <v>213003</v>
          </cell>
        </row>
        <row r="9618">
          <cell r="K9618" t="str">
            <v>228001</v>
          </cell>
          <cell r="M9618">
            <v>9</v>
          </cell>
          <cell r="R9618">
            <v>45879</v>
          </cell>
          <cell r="S9618">
            <v>228001</v>
          </cell>
        </row>
        <row r="9619">
          <cell r="K9619" t="str">
            <v>217019</v>
          </cell>
          <cell r="M9619">
            <v>15</v>
          </cell>
          <cell r="R9619">
            <v>45879</v>
          </cell>
          <cell r="S9619">
            <v>217019</v>
          </cell>
        </row>
        <row r="9620">
          <cell r="K9620" t="str">
            <v>218001</v>
          </cell>
          <cell r="M9620">
            <v>2</v>
          </cell>
          <cell r="R9620">
            <v>45878</v>
          </cell>
          <cell r="S9620">
            <v>218001</v>
          </cell>
        </row>
        <row r="9621">
          <cell r="K9621" t="str">
            <v>237001</v>
          </cell>
          <cell r="M9621">
            <v>1</v>
          </cell>
          <cell r="R9621">
            <v>45879</v>
          </cell>
          <cell r="S9621">
            <v>237001</v>
          </cell>
        </row>
        <row r="9622">
          <cell r="K9622" t="str">
            <v>231004</v>
          </cell>
          <cell r="M9622">
            <v>1</v>
          </cell>
          <cell r="R9622">
            <v>45879</v>
          </cell>
          <cell r="S9622">
            <v>231004</v>
          </cell>
        </row>
        <row r="9623">
          <cell r="K9623" t="str">
            <v>217018</v>
          </cell>
          <cell r="M9623">
            <v>2</v>
          </cell>
          <cell r="R9623">
            <v>45880</v>
          </cell>
          <cell r="S9623">
            <v>217018</v>
          </cell>
        </row>
        <row r="9624">
          <cell r="K9624" t="str">
            <v>231012</v>
          </cell>
          <cell r="M9624">
            <v>3</v>
          </cell>
          <cell r="R9624">
            <v>45880</v>
          </cell>
          <cell r="S9624">
            <v>231012</v>
          </cell>
        </row>
        <row r="9625">
          <cell r="K9625" t="str">
            <v>203001</v>
          </cell>
          <cell r="M9625">
            <v>1</v>
          </cell>
          <cell r="R9625">
            <v>45880</v>
          </cell>
          <cell r="S9625">
            <v>203001</v>
          </cell>
        </row>
        <row r="9626">
          <cell r="K9626" t="str">
            <v>206005</v>
          </cell>
          <cell r="M9626">
            <v>1</v>
          </cell>
          <cell r="R9626">
            <v>45880</v>
          </cell>
          <cell r="S9626">
            <v>206005</v>
          </cell>
        </row>
        <row r="9627">
          <cell r="K9627" t="str">
            <v>213002</v>
          </cell>
          <cell r="M9627">
            <v>4</v>
          </cell>
          <cell r="R9627">
            <v>45880</v>
          </cell>
          <cell r="S9627">
            <v>213002</v>
          </cell>
        </row>
        <row r="9628">
          <cell r="K9628" t="str">
            <v>207017</v>
          </cell>
          <cell r="M9628">
            <v>1</v>
          </cell>
          <cell r="R9628">
            <v>45880</v>
          </cell>
          <cell r="S9628">
            <v>207017</v>
          </cell>
        </row>
        <row r="9629">
          <cell r="K9629" t="str">
            <v>228001</v>
          </cell>
          <cell r="M9629">
            <v>5</v>
          </cell>
          <cell r="R9629">
            <v>45880</v>
          </cell>
          <cell r="S9629">
            <v>228001</v>
          </cell>
        </row>
        <row r="9630">
          <cell r="K9630" t="str">
            <v>205004</v>
          </cell>
          <cell r="M9630">
            <v>1</v>
          </cell>
          <cell r="R9630">
            <v>45880</v>
          </cell>
          <cell r="S9630">
            <v>205004</v>
          </cell>
        </row>
        <row r="9631">
          <cell r="K9631" t="str">
            <v>271002</v>
          </cell>
          <cell r="M9631">
            <v>2</v>
          </cell>
          <cell r="R9631">
            <v>45880</v>
          </cell>
          <cell r="S9631">
            <v>271002</v>
          </cell>
        </row>
        <row r="9632">
          <cell r="K9632" t="str">
            <v>234011</v>
          </cell>
          <cell r="M9632">
            <v>2</v>
          </cell>
          <cell r="R9632">
            <v>45880</v>
          </cell>
          <cell r="S9632">
            <v>234011</v>
          </cell>
        </row>
        <row r="9633">
          <cell r="K9633" t="str">
            <v>234001</v>
          </cell>
          <cell r="M9633">
            <v>1</v>
          </cell>
          <cell r="R9633">
            <v>45880</v>
          </cell>
          <cell r="S9633">
            <v>234001</v>
          </cell>
        </row>
        <row r="9634">
          <cell r="K9634" t="str">
            <v>201011</v>
          </cell>
          <cell r="M9634">
            <v>2</v>
          </cell>
          <cell r="R9634">
            <v>45880</v>
          </cell>
          <cell r="S9634">
            <v>201011</v>
          </cell>
        </row>
        <row r="9635">
          <cell r="K9635" t="str">
            <v>229004</v>
          </cell>
          <cell r="M9635">
            <v>4</v>
          </cell>
          <cell r="R9635">
            <v>45880</v>
          </cell>
          <cell r="S9635">
            <v>229004</v>
          </cell>
        </row>
        <row r="9636">
          <cell r="K9636" t="str">
            <v>217021</v>
          </cell>
          <cell r="M9636">
            <v>5</v>
          </cell>
          <cell r="R9636">
            <v>45880</v>
          </cell>
          <cell r="S9636">
            <v>217021</v>
          </cell>
        </row>
        <row r="9637">
          <cell r="K9637" t="str">
            <v>217018</v>
          </cell>
          <cell r="M9637">
            <v>5</v>
          </cell>
          <cell r="R9637">
            <v>45880</v>
          </cell>
          <cell r="S9637">
            <v>217018</v>
          </cell>
        </row>
        <row r="9638">
          <cell r="K9638" t="str">
            <v>217002</v>
          </cell>
          <cell r="M9638">
            <v>1</v>
          </cell>
          <cell r="R9638">
            <v>45880</v>
          </cell>
          <cell r="S9638">
            <v>217002</v>
          </cell>
        </row>
        <row r="9639">
          <cell r="K9639" t="str">
            <v>231012</v>
          </cell>
          <cell r="M9639">
            <v>2</v>
          </cell>
          <cell r="R9639">
            <v>45880</v>
          </cell>
          <cell r="S9639">
            <v>231012</v>
          </cell>
        </row>
        <row r="9640">
          <cell r="K9640" t="str">
            <v>201011</v>
          </cell>
          <cell r="M9640">
            <v>6</v>
          </cell>
          <cell r="R9640">
            <v>45880</v>
          </cell>
          <cell r="S9640">
            <v>201011</v>
          </cell>
        </row>
        <row r="9641">
          <cell r="K9641" t="str">
            <v>223002</v>
          </cell>
          <cell r="M9641">
            <v>1</v>
          </cell>
          <cell r="R9641">
            <v>45880</v>
          </cell>
          <cell r="S9641">
            <v>223002</v>
          </cell>
        </row>
        <row r="9642">
          <cell r="K9642" t="str">
            <v>223001</v>
          </cell>
          <cell r="M9642">
            <v>2</v>
          </cell>
          <cell r="R9642">
            <v>45880</v>
          </cell>
          <cell r="S9642">
            <v>223001</v>
          </cell>
        </row>
        <row r="9643">
          <cell r="K9643" t="str">
            <v>212035</v>
          </cell>
          <cell r="M9643">
            <v>3</v>
          </cell>
          <cell r="R9643">
            <v>45880</v>
          </cell>
          <cell r="S9643">
            <v>212035</v>
          </cell>
        </row>
        <row r="9644">
          <cell r="K9644" t="str">
            <v>203003</v>
          </cell>
          <cell r="M9644">
            <v>2</v>
          </cell>
          <cell r="R9644">
            <v>45880</v>
          </cell>
          <cell r="S9644">
            <v>203003</v>
          </cell>
        </row>
        <row r="9645">
          <cell r="K9645" t="str">
            <v>231010</v>
          </cell>
          <cell r="M9645">
            <v>1</v>
          </cell>
          <cell r="R9645">
            <v>45880</v>
          </cell>
          <cell r="S9645">
            <v>231010</v>
          </cell>
        </row>
        <row r="9646">
          <cell r="K9646" t="str">
            <v>201003</v>
          </cell>
          <cell r="M9646">
            <v>1</v>
          </cell>
          <cell r="R9646">
            <v>45880</v>
          </cell>
          <cell r="S9646">
            <v>201003</v>
          </cell>
        </row>
        <row r="9647">
          <cell r="K9647" t="str">
            <v>213003</v>
          </cell>
          <cell r="M9647">
            <v>1</v>
          </cell>
          <cell r="R9647">
            <v>45880</v>
          </cell>
          <cell r="S9647">
            <v>213003</v>
          </cell>
        </row>
        <row r="9648">
          <cell r="K9648" t="str">
            <v>207017</v>
          </cell>
          <cell r="M9648">
            <v>1</v>
          </cell>
          <cell r="R9648">
            <v>45880</v>
          </cell>
          <cell r="S9648">
            <v>207017</v>
          </cell>
        </row>
        <row r="9649">
          <cell r="K9649" t="str">
            <v>212002</v>
          </cell>
          <cell r="M9649">
            <v>1</v>
          </cell>
          <cell r="R9649">
            <v>45880</v>
          </cell>
          <cell r="S9649">
            <v>212002</v>
          </cell>
        </row>
        <row r="9650">
          <cell r="K9650" t="str">
            <v>213030</v>
          </cell>
          <cell r="M9650">
            <v>10</v>
          </cell>
          <cell r="R9650">
            <v>45880</v>
          </cell>
          <cell r="S9650">
            <v>213030</v>
          </cell>
        </row>
        <row r="9651">
          <cell r="K9651" t="str">
            <v>228001</v>
          </cell>
          <cell r="M9651">
            <v>2</v>
          </cell>
          <cell r="R9651">
            <v>45880</v>
          </cell>
          <cell r="S9651">
            <v>228001</v>
          </cell>
        </row>
        <row r="9652">
          <cell r="K9652" t="str">
            <v>228001</v>
          </cell>
          <cell r="M9652">
            <v>2</v>
          </cell>
          <cell r="R9652">
            <v>45880</v>
          </cell>
          <cell r="S9652">
            <v>228001</v>
          </cell>
        </row>
        <row r="9653">
          <cell r="K9653" t="str">
            <v>207017</v>
          </cell>
          <cell r="M9653">
            <v>1</v>
          </cell>
          <cell r="R9653">
            <v>45880</v>
          </cell>
          <cell r="S9653">
            <v>207017</v>
          </cell>
        </row>
        <row r="9654">
          <cell r="K9654" t="str">
            <v>231012</v>
          </cell>
          <cell r="M9654">
            <v>2</v>
          </cell>
          <cell r="R9654">
            <v>45880</v>
          </cell>
          <cell r="S9654">
            <v>231012</v>
          </cell>
        </row>
        <row r="9655">
          <cell r="K9655" t="str">
            <v>201021</v>
          </cell>
          <cell r="M9655">
            <v>1</v>
          </cell>
          <cell r="R9655">
            <v>45880</v>
          </cell>
          <cell r="S9655">
            <v>201021</v>
          </cell>
        </row>
        <row r="9656">
          <cell r="K9656" t="str">
            <v>228001</v>
          </cell>
          <cell r="M9656">
            <v>5</v>
          </cell>
          <cell r="R9656">
            <v>45880</v>
          </cell>
          <cell r="S9656">
            <v>228001</v>
          </cell>
        </row>
        <row r="9657">
          <cell r="K9657" t="str">
            <v>201011</v>
          </cell>
          <cell r="M9657">
            <v>1</v>
          </cell>
          <cell r="R9657">
            <v>45880</v>
          </cell>
          <cell r="S9657">
            <v>201011</v>
          </cell>
        </row>
        <row r="9658">
          <cell r="K9658" t="str">
            <v>201011</v>
          </cell>
          <cell r="M9658">
            <v>1</v>
          </cell>
          <cell r="R9658">
            <v>45880</v>
          </cell>
          <cell r="S9658">
            <v>201011</v>
          </cell>
        </row>
        <row r="9659">
          <cell r="K9659" t="str">
            <v>227012</v>
          </cell>
          <cell r="M9659">
            <v>1</v>
          </cell>
          <cell r="R9659">
            <v>45880</v>
          </cell>
          <cell r="S9659">
            <v>227012</v>
          </cell>
        </row>
        <row r="9660">
          <cell r="K9660" t="str">
            <v>213005</v>
          </cell>
          <cell r="M9660">
            <v>2</v>
          </cell>
          <cell r="R9660">
            <v>45880</v>
          </cell>
          <cell r="S9660">
            <v>213005</v>
          </cell>
        </row>
        <row r="9661">
          <cell r="K9661" t="str">
            <v>228001</v>
          </cell>
          <cell r="M9661">
            <v>1</v>
          </cell>
          <cell r="R9661">
            <v>45880</v>
          </cell>
          <cell r="S9661">
            <v>228001</v>
          </cell>
        </row>
        <row r="9662">
          <cell r="K9662" t="str">
            <v>241001</v>
          </cell>
          <cell r="M9662">
            <v>10</v>
          </cell>
          <cell r="R9662">
            <v>45880</v>
          </cell>
          <cell r="S9662">
            <v>241001</v>
          </cell>
        </row>
        <row r="9663">
          <cell r="K9663" t="str">
            <v>201011</v>
          </cell>
          <cell r="M9663">
            <v>1</v>
          </cell>
          <cell r="R9663">
            <v>45880</v>
          </cell>
          <cell r="S9663">
            <v>201011</v>
          </cell>
        </row>
        <row r="9664">
          <cell r="K9664" t="str">
            <v>220002</v>
          </cell>
          <cell r="M9664">
            <v>1</v>
          </cell>
          <cell r="R9664">
            <v>45880</v>
          </cell>
          <cell r="S9664">
            <v>220002</v>
          </cell>
        </row>
        <row r="9665">
          <cell r="K9665" t="str">
            <v>227012</v>
          </cell>
          <cell r="M9665">
            <v>1</v>
          </cell>
          <cell r="R9665">
            <v>45880</v>
          </cell>
          <cell r="S9665">
            <v>227012</v>
          </cell>
        </row>
        <row r="9666">
          <cell r="K9666" t="str">
            <v>227012</v>
          </cell>
          <cell r="M9666">
            <v>2</v>
          </cell>
          <cell r="R9666">
            <v>45880</v>
          </cell>
          <cell r="S9666">
            <v>227012</v>
          </cell>
        </row>
        <row r="9667">
          <cell r="K9667" t="str">
            <v>227012</v>
          </cell>
          <cell r="M9667">
            <v>5</v>
          </cell>
          <cell r="R9667">
            <v>45880</v>
          </cell>
          <cell r="S9667">
            <v>227012</v>
          </cell>
        </row>
        <row r="9668">
          <cell r="K9668" t="str">
            <v>223002</v>
          </cell>
          <cell r="M9668">
            <v>1</v>
          </cell>
          <cell r="R9668">
            <v>45880</v>
          </cell>
          <cell r="S9668">
            <v>223002</v>
          </cell>
        </row>
        <row r="9669">
          <cell r="K9669" t="str">
            <v>231012</v>
          </cell>
          <cell r="M9669">
            <v>3</v>
          </cell>
          <cell r="R9669">
            <v>45880</v>
          </cell>
          <cell r="S9669">
            <v>231012</v>
          </cell>
        </row>
        <row r="9670">
          <cell r="K9670" t="str">
            <v>201011</v>
          </cell>
          <cell r="M9670">
            <v>6</v>
          </cell>
          <cell r="R9670">
            <v>45880</v>
          </cell>
          <cell r="S9670">
            <v>201011</v>
          </cell>
        </row>
        <row r="9671">
          <cell r="K9671" t="str">
            <v>234011</v>
          </cell>
          <cell r="M9671">
            <v>2</v>
          </cell>
          <cell r="R9671">
            <v>45880</v>
          </cell>
          <cell r="S9671">
            <v>234011</v>
          </cell>
        </row>
        <row r="9672">
          <cell r="K9672" t="str">
            <v>241001</v>
          </cell>
          <cell r="M9672">
            <v>2</v>
          </cell>
          <cell r="R9672">
            <v>45880</v>
          </cell>
          <cell r="S9672">
            <v>241001</v>
          </cell>
        </row>
        <row r="9673">
          <cell r="K9673" t="str">
            <v>241001</v>
          </cell>
          <cell r="M9673">
            <v>5</v>
          </cell>
          <cell r="R9673">
            <v>45880</v>
          </cell>
          <cell r="S9673">
            <v>241001</v>
          </cell>
        </row>
        <row r="9674">
          <cell r="K9674" t="str">
            <v>241001</v>
          </cell>
          <cell r="M9674">
            <v>4</v>
          </cell>
          <cell r="R9674">
            <v>45880</v>
          </cell>
          <cell r="S9674">
            <v>241001</v>
          </cell>
        </row>
        <row r="9675">
          <cell r="K9675" t="str">
            <v>213002</v>
          </cell>
          <cell r="M9675">
            <v>2</v>
          </cell>
          <cell r="R9675">
            <v>45880</v>
          </cell>
          <cell r="S9675">
            <v>213002</v>
          </cell>
        </row>
        <row r="9676">
          <cell r="K9676" t="str">
            <v>201011</v>
          </cell>
          <cell r="M9676">
            <v>5</v>
          </cell>
          <cell r="R9676">
            <v>45880</v>
          </cell>
          <cell r="S9676">
            <v>201011</v>
          </cell>
        </row>
        <row r="9677">
          <cell r="K9677" t="str">
            <v>203003</v>
          </cell>
          <cell r="M9677">
            <v>1</v>
          </cell>
          <cell r="R9677">
            <v>45880</v>
          </cell>
          <cell r="S9677">
            <v>203003</v>
          </cell>
        </row>
        <row r="9678">
          <cell r="K9678" t="str">
            <v>222001</v>
          </cell>
          <cell r="M9678">
            <v>1</v>
          </cell>
          <cell r="R9678">
            <v>45880</v>
          </cell>
          <cell r="S9678">
            <v>222001</v>
          </cell>
        </row>
        <row r="9679">
          <cell r="K9679" t="str">
            <v>210013</v>
          </cell>
          <cell r="M9679">
            <v>1</v>
          </cell>
          <cell r="R9679">
            <v>45880</v>
          </cell>
          <cell r="S9679">
            <v>210013</v>
          </cell>
        </row>
        <row r="9680">
          <cell r="K9680" t="str">
            <v>201011</v>
          </cell>
          <cell r="M9680">
            <v>14</v>
          </cell>
          <cell r="R9680">
            <v>45880</v>
          </cell>
          <cell r="S9680">
            <v>201011</v>
          </cell>
        </row>
        <row r="9681">
          <cell r="K9681" t="str">
            <v>231010</v>
          </cell>
          <cell r="M9681">
            <v>3</v>
          </cell>
          <cell r="R9681">
            <v>45880</v>
          </cell>
          <cell r="S9681">
            <v>231010</v>
          </cell>
        </row>
        <row r="9682">
          <cell r="K9682" t="str">
            <v>223001</v>
          </cell>
          <cell r="M9682">
            <v>1</v>
          </cell>
          <cell r="R9682">
            <v>45880</v>
          </cell>
          <cell r="S9682">
            <v>223001</v>
          </cell>
        </row>
        <row r="9683">
          <cell r="K9683" t="str">
            <v>223002</v>
          </cell>
          <cell r="M9683">
            <v>1</v>
          </cell>
          <cell r="R9683">
            <v>45880</v>
          </cell>
          <cell r="S9683">
            <v>223002</v>
          </cell>
        </row>
        <row r="9684">
          <cell r="K9684" t="str">
            <v>227001</v>
          </cell>
          <cell r="M9684">
            <v>3</v>
          </cell>
          <cell r="R9684">
            <v>45880</v>
          </cell>
          <cell r="S9684">
            <v>227001</v>
          </cell>
        </row>
        <row r="9685">
          <cell r="K9685" t="str">
            <v>241001</v>
          </cell>
          <cell r="M9685">
            <v>1</v>
          </cell>
          <cell r="R9685">
            <v>45880</v>
          </cell>
          <cell r="S9685">
            <v>241001</v>
          </cell>
        </row>
        <row r="9686">
          <cell r="K9686" t="str">
            <v>271002</v>
          </cell>
          <cell r="M9686">
            <v>1</v>
          </cell>
          <cell r="R9686">
            <v>45880</v>
          </cell>
          <cell r="S9686">
            <v>271002</v>
          </cell>
        </row>
        <row r="9687">
          <cell r="K9687" t="str">
            <v>201011</v>
          </cell>
          <cell r="M9687">
            <v>1</v>
          </cell>
          <cell r="R9687">
            <v>45880</v>
          </cell>
          <cell r="S9687">
            <v>201011</v>
          </cell>
        </row>
        <row r="9688">
          <cell r="K9688" t="str">
            <v>213003</v>
          </cell>
          <cell r="M9688">
            <v>1</v>
          </cell>
          <cell r="R9688">
            <v>45880</v>
          </cell>
          <cell r="S9688">
            <v>213003</v>
          </cell>
        </row>
        <row r="9689">
          <cell r="K9689" t="str">
            <v>217020</v>
          </cell>
          <cell r="M9689">
            <v>1</v>
          </cell>
          <cell r="R9689">
            <v>45880</v>
          </cell>
          <cell r="S9689">
            <v>217020</v>
          </cell>
        </row>
        <row r="9690">
          <cell r="K9690" t="str">
            <v>203003</v>
          </cell>
          <cell r="M9690">
            <v>3</v>
          </cell>
          <cell r="R9690">
            <v>45880</v>
          </cell>
          <cell r="S9690">
            <v>203003</v>
          </cell>
        </row>
        <row r="9691">
          <cell r="K9691" t="str">
            <v>222005</v>
          </cell>
          <cell r="M9691">
            <v>1</v>
          </cell>
          <cell r="R9691">
            <v>45880</v>
          </cell>
          <cell r="S9691">
            <v>222005</v>
          </cell>
        </row>
        <row r="9692">
          <cell r="K9692" t="str">
            <v>201011</v>
          </cell>
          <cell r="M9692">
            <v>36</v>
          </cell>
          <cell r="R9692">
            <v>45880</v>
          </cell>
          <cell r="S9692">
            <v>201011</v>
          </cell>
        </row>
        <row r="9693">
          <cell r="K9693" t="str">
            <v>213002</v>
          </cell>
          <cell r="M9693">
            <v>20</v>
          </cell>
          <cell r="R9693">
            <v>45880</v>
          </cell>
          <cell r="S9693">
            <v>213002</v>
          </cell>
        </row>
        <row r="9694">
          <cell r="K9694" t="str">
            <v>213002</v>
          </cell>
          <cell r="M9694">
            <v>3</v>
          </cell>
          <cell r="R9694">
            <v>45880</v>
          </cell>
          <cell r="S9694">
            <v>213002</v>
          </cell>
        </row>
        <row r="9695">
          <cell r="K9695" t="str">
            <v>226030</v>
          </cell>
          <cell r="M9695">
            <v>3</v>
          </cell>
          <cell r="R9695">
            <v>45880</v>
          </cell>
          <cell r="S9695">
            <v>226030</v>
          </cell>
        </row>
        <row r="9696">
          <cell r="K9696" t="str">
            <v>201011</v>
          </cell>
          <cell r="M9696">
            <v>3</v>
          </cell>
          <cell r="R9696">
            <v>45880</v>
          </cell>
          <cell r="S9696">
            <v>201011</v>
          </cell>
        </row>
        <row r="9697">
          <cell r="K9697" t="str">
            <v>222001</v>
          </cell>
          <cell r="M9697">
            <v>4</v>
          </cell>
          <cell r="R9697">
            <v>45880</v>
          </cell>
          <cell r="S9697">
            <v>222001</v>
          </cell>
        </row>
        <row r="9698">
          <cell r="K9698" t="str">
            <v>241001</v>
          </cell>
          <cell r="M9698">
            <v>4</v>
          </cell>
          <cell r="R9698">
            <v>45880</v>
          </cell>
          <cell r="S9698">
            <v>241001</v>
          </cell>
        </row>
        <row r="9699">
          <cell r="K9699" t="str">
            <v>222007</v>
          </cell>
          <cell r="M9699">
            <v>2</v>
          </cell>
          <cell r="R9699">
            <v>45880</v>
          </cell>
          <cell r="S9699">
            <v>222007</v>
          </cell>
        </row>
        <row r="9700">
          <cell r="K9700" t="str">
            <v>222007</v>
          </cell>
          <cell r="M9700">
            <v>2</v>
          </cell>
          <cell r="R9700">
            <v>45880</v>
          </cell>
          <cell r="S9700">
            <v>222007</v>
          </cell>
        </row>
        <row r="9701">
          <cell r="K9701" t="str">
            <v>201021</v>
          </cell>
          <cell r="M9701">
            <v>2</v>
          </cell>
          <cell r="R9701">
            <v>45880</v>
          </cell>
          <cell r="S9701">
            <v>201021</v>
          </cell>
        </row>
        <row r="9702">
          <cell r="K9702" t="str">
            <v>201002</v>
          </cell>
          <cell r="M9702">
            <v>3</v>
          </cell>
          <cell r="R9702">
            <v>45880</v>
          </cell>
          <cell r="S9702">
            <v>201002</v>
          </cell>
        </row>
        <row r="9703">
          <cell r="K9703" t="str">
            <v>226025</v>
          </cell>
          <cell r="M9703">
            <v>1</v>
          </cell>
          <cell r="R9703">
            <v>45880</v>
          </cell>
          <cell r="S9703">
            <v>226025</v>
          </cell>
        </row>
        <row r="9704">
          <cell r="K9704" t="str">
            <v>213006</v>
          </cell>
          <cell r="M9704">
            <v>1</v>
          </cell>
          <cell r="R9704">
            <v>45881</v>
          </cell>
          <cell r="S9704">
            <v>213006</v>
          </cell>
        </row>
        <row r="9705">
          <cell r="K9705" t="str">
            <v>201021</v>
          </cell>
          <cell r="M9705">
            <v>3</v>
          </cell>
          <cell r="R9705">
            <v>45881</v>
          </cell>
          <cell r="S9705">
            <v>201021</v>
          </cell>
        </row>
        <row r="9706">
          <cell r="K9706" t="str">
            <v>201021</v>
          </cell>
          <cell r="M9706">
            <v>3</v>
          </cell>
          <cell r="R9706">
            <v>45881</v>
          </cell>
          <cell r="S9706">
            <v>201021</v>
          </cell>
        </row>
        <row r="9707">
          <cell r="K9707" t="str">
            <v>201011</v>
          </cell>
          <cell r="M9707">
            <v>10</v>
          </cell>
          <cell r="R9707">
            <v>45881</v>
          </cell>
          <cell r="S9707">
            <v>201011</v>
          </cell>
        </row>
        <row r="9708">
          <cell r="K9708" t="str">
            <v>212010</v>
          </cell>
          <cell r="M9708">
            <v>20</v>
          </cell>
          <cell r="R9708">
            <v>45880</v>
          </cell>
          <cell r="S9708">
            <v>212010</v>
          </cell>
        </row>
        <row r="9709">
          <cell r="K9709" t="str">
            <v>261004</v>
          </cell>
          <cell r="M9709">
            <v>30</v>
          </cell>
          <cell r="R9709">
            <v>45880</v>
          </cell>
          <cell r="S9709">
            <v>261004</v>
          </cell>
        </row>
        <row r="9710">
          <cell r="K9710" t="str">
            <v>229001</v>
          </cell>
          <cell r="M9710">
            <v>15</v>
          </cell>
          <cell r="R9710">
            <v>45880</v>
          </cell>
          <cell r="S9710">
            <v>229001</v>
          </cell>
        </row>
        <row r="9711">
          <cell r="K9711" t="str">
            <v>213003</v>
          </cell>
          <cell r="M9711">
            <v>1</v>
          </cell>
          <cell r="R9711">
            <v>45880</v>
          </cell>
          <cell r="S9711">
            <v>213003</v>
          </cell>
        </row>
        <row r="9712">
          <cell r="K9712" t="str">
            <v>223002</v>
          </cell>
          <cell r="M9712">
            <v>2</v>
          </cell>
          <cell r="R9712">
            <v>45880</v>
          </cell>
          <cell r="S9712">
            <v>223002</v>
          </cell>
        </row>
        <row r="9713">
          <cell r="K9713" t="str">
            <v>213002</v>
          </cell>
          <cell r="M9713">
            <v>10</v>
          </cell>
          <cell r="R9713">
            <v>45880</v>
          </cell>
          <cell r="S9713">
            <v>213002</v>
          </cell>
        </row>
        <row r="9714">
          <cell r="K9714" t="str">
            <v>209001</v>
          </cell>
          <cell r="M9714">
            <v>3</v>
          </cell>
          <cell r="R9714">
            <v>45880</v>
          </cell>
          <cell r="S9714">
            <v>209001</v>
          </cell>
        </row>
        <row r="9715">
          <cell r="K9715" t="str">
            <v>203001</v>
          </cell>
          <cell r="M9715">
            <v>4</v>
          </cell>
          <cell r="R9715">
            <v>45880</v>
          </cell>
          <cell r="S9715">
            <v>203001</v>
          </cell>
        </row>
        <row r="9716">
          <cell r="K9716" t="str">
            <v>203001</v>
          </cell>
          <cell r="M9716">
            <v>4</v>
          </cell>
          <cell r="R9716">
            <v>45880</v>
          </cell>
          <cell r="S9716">
            <v>203001</v>
          </cell>
        </row>
        <row r="9717">
          <cell r="K9717" t="str">
            <v>213003</v>
          </cell>
          <cell r="M9717">
            <v>6</v>
          </cell>
          <cell r="R9717">
            <v>45881</v>
          </cell>
          <cell r="S9717">
            <v>213003</v>
          </cell>
        </row>
        <row r="9718">
          <cell r="K9718" t="str">
            <v>223001</v>
          </cell>
          <cell r="M9718">
            <v>2</v>
          </cell>
          <cell r="R9718">
            <v>45880</v>
          </cell>
          <cell r="S9718">
            <v>223001</v>
          </cell>
        </row>
        <row r="9719">
          <cell r="K9719" t="str">
            <v>223002</v>
          </cell>
          <cell r="M9719">
            <v>2</v>
          </cell>
          <cell r="R9719">
            <v>45880</v>
          </cell>
          <cell r="S9719">
            <v>223002</v>
          </cell>
        </row>
        <row r="9720">
          <cell r="K9720" t="str">
            <v>223002</v>
          </cell>
          <cell r="M9720">
            <v>4</v>
          </cell>
          <cell r="R9720">
            <v>45880</v>
          </cell>
          <cell r="S9720">
            <v>223002</v>
          </cell>
        </row>
        <row r="9721">
          <cell r="K9721" t="str">
            <v>223001</v>
          </cell>
          <cell r="M9721">
            <v>4</v>
          </cell>
          <cell r="R9721">
            <v>45880</v>
          </cell>
          <cell r="S9721">
            <v>223001</v>
          </cell>
        </row>
        <row r="9722">
          <cell r="K9722" t="str">
            <v>227012</v>
          </cell>
          <cell r="M9722">
            <v>1</v>
          </cell>
          <cell r="R9722">
            <v>45880</v>
          </cell>
          <cell r="S9722">
            <v>227012</v>
          </cell>
        </row>
        <row r="9723">
          <cell r="K9723" t="str">
            <v>226001</v>
          </cell>
          <cell r="M9723">
            <v>1</v>
          </cell>
          <cell r="R9723">
            <v>45881</v>
          </cell>
          <cell r="S9723">
            <v>226001</v>
          </cell>
        </row>
        <row r="9724">
          <cell r="K9724" t="str">
            <v>203001</v>
          </cell>
          <cell r="M9724">
            <v>1</v>
          </cell>
          <cell r="R9724">
            <v>45881</v>
          </cell>
          <cell r="S9724">
            <v>203001</v>
          </cell>
        </row>
        <row r="9725">
          <cell r="K9725" t="str">
            <v>226001</v>
          </cell>
          <cell r="M9725">
            <v>4</v>
          </cell>
          <cell r="R9725">
            <v>45881</v>
          </cell>
          <cell r="S9725">
            <v>226001</v>
          </cell>
        </row>
        <row r="9726">
          <cell r="K9726" t="str">
            <v>210013</v>
          </cell>
          <cell r="M9726">
            <v>2</v>
          </cell>
          <cell r="R9726">
            <v>45881</v>
          </cell>
          <cell r="S9726">
            <v>210013</v>
          </cell>
        </row>
        <row r="9727">
          <cell r="K9727" t="str">
            <v>226001</v>
          </cell>
          <cell r="M9727">
            <v>2</v>
          </cell>
          <cell r="R9727">
            <v>45881</v>
          </cell>
          <cell r="S9727">
            <v>226001</v>
          </cell>
        </row>
        <row r="9728">
          <cell r="K9728" t="str">
            <v>226001</v>
          </cell>
          <cell r="M9728">
            <v>1</v>
          </cell>
          <cell r="R9728">
            <v>45881</v>
          </cell>
          <cell r="S9728">
            <v>226001</v>
          </cell>
        </row>
        <row r="9729">
          <cell r="K9729" t="str">
            <v>231012</v>
          </cell>
          <cell r="M9729">
            <v>2</v>
          </cell>
          <cell r="R9729">
            <v>45881</v>
          </cell>
          <cell r="S9729">
            <v>231012</v>
          </cell>
        </row>
        <row r="9730">
          <cell r="K9730" t="str">
            <v>226001</v>
          </cell>
          <cell r="M9730">
            <v>1</v>
          </cell>
          <cell r="R9730">
            <v>45881</v>
          </cell>
          <cell r="S9730">
            <v>226001</v>
          </cell>
        </row>
        <row r="9731">
          <cell r="K9731" t="str">
            <v>213002</v>
          </cell>
          <cell r="M9731">
            <v>6</v>
          </cell>
          <cell r="R9731">
            <v>45881</v>
          </cell>
          <cell r="S9731">
            <v>213002</v>
          </cell>
        </row>
        <row r="9732">
          <cell r="K9732" t="str">
            <v>226022</v>
          </cell>
          <cell r="M9732">
            <v>1</v>
          </cell>
          <cell r="R9732">
            <v>45881</v>
          </cell>
          <cell r="S9732">
            <v>226022</v>
          </cell>
        </row>
        <row r="9733">
          <cell r="K9733" t="str">
            <v>201011</v>
          </cell>
          <cell r="M9733">
            <v>1</v>
          </cell>
          <cell r="R9733">
            <v>45881</v>
          </cell>
          <cell r="S9733">
            <v>201011</v>
          </cell>
        </row>
        <row r="9734">
          <cell r="K9734" t="str">
            <v>223001</v>
          </cell>
          <cell r="M9734">
            <v>3</v>
          </cell>
          <cell r="R9734">
            <v>45881</v>
          </cell>
          <cell r="S9734">
            <v>223001</v>
          </cell>
        </row>
        <row r="9735">
          <cell r="K9735" t="str">
            <v>226001</v>
          </cell>
          <cell r="M9735">
            <v>2</v>
          </cell>
          <cell r="R9735">
            <v>45881</v>
          </cell>
          <cell r="S9735">
            <v>226001</v>
          </cell>
        </row>
        <row r="9736">
          <cell r="K9736" t="str">
            <v>231012</v>
          </cell>
          <cell r="M9736">
            <v>1</v>
          </cell>
          <cell r="R9736">
            <v>45881</v>
          </cell>
          <cell r="S9736">
            <v>231012</v>
          </cell>
        </row>
        <row r="9737">
          <cell r="K9737" t="str">
            <v>201011</v>
          </cell>
          <cell r="M9737">
            <v>4</v>
          </cell>
          <cell r="R9737">
            <v>45881</v>
          </cell>
          <cell r="S9737">
            <v>201011</v>
          </cell>
        </row>
        <row r="9738">
          <cell r="K9738" t="str">
            <v>231010</v>
          </cell>
          <cell r="M9738">
            <v>1</v>
          </cell>
          <cell r="R9738">
            <v>45881</v>
          </cell>
          <cell r="S9738">
            <v>231010</v>
          </cell>
        </row>
        <row r="9739">
          <cell r="K9739" t="str">
            <v>212035</v>
          </cell>
          <cell r="M9739">
            <v>1</v>
          </cell>
          <cell r="R9739">
            <v>45881</v>
          </cell>
          <cell r="S9739">
            <v>212035</v>
          </cell>
        </row>
        <row r="9740">
          <cell r="K9740" t="str">
            <v>201003</v>
          </cell>
          <cell r="M9740">
            <v>11</v>
          </cell>
          <cell r="R9740">
            <v>45881</v>
          </cell>
          <cell r="S9740">
            <v>201003</v>
          </cell>
        </row>
        <row r="9741">
          <cell r="K9741" t="str">
            <v>201002</v>
          </cell>
          <cell r="M9741">
            <v>3</v>
          </cell>
          <cell r="R9741">
            <v>45881</v>
          </cell>
          <cell r="S9741">
            <v>201002</v>
          </cell>
        </row>
        <row r="9742">
          <cell r="K9742" t="str">
            <v>213006</v>
          </cell>
          <cell r="M9742">
            <v>1</v>
          </cell>
          <cell r="R9742">
            <v>45881</v>
          </cell>
          <cell r="S9742">
            <v>213006</v>
          </cell>
        </row>
        <row r="9743">
          <cell r="K9743" t="str">
            <v>226024</v>
          </cell>
          <cell r="M9743">
            <v>2</v>
          </cell>
          <cell r="R9743">
            <v>45881</v>
          </cell>
          <cell r="S9743">
            <v>226024</v>
          </cell>
        </row>
        <row r="9744">
          <cell r="K9744" t="str">
            <v>212035</v>
          </cell>
          <cell r="M9744">
            <v>3</v>
          </cell>
          <cell r="R9744">
            <v>45881</v>
          </cell>
          <cell r="S9744">
            <v>212035</v>
          </cell>
        </row>
        <row r="9745">
          <cell r="K9745" t="str">
            <v>227012</v>
          </cell>
          <cell r="M9745">
            <v>2</v>
          </cell>
          <cell r="R9745">
            <v>45881</v>
          </cell>
          <cell r="S9745">
            <v>227012</v>
          </cell>
        </row>
        <row r="9746">
          <cell r="K9746" t="str">
            <v>213003</v>
          </cell>
          <cell r="M9746">
            <v>1</v>
          </cell>
          <cell r="R9746">
            <v>45881</v>
          </cell>
          <cell r="S9746">
            <v>213003</v>
          </cell>
        </row>
        <row r="9747">
          <cell r="K9747" t="str">
            <v>201021</v>
          </cell>
          <cell r="M9747">
            <v>3</v>
          </cell>
          <cell r="R9747">
            <v>45881</v>
          </cell>
          <cell r="S9747">
            <v>201021</v>
          </cell>
        </row>
        <row r="9748">
          <cell r="K9748" t="str">
            <v>223002</v>
          </cell>
          <cell r="M9748">
            <v>1</v>
          </cell>
          <cell r="R9748">
            <v>45881</v>
          </cell>
          <cell r="S9748">
            <v>223002</v>
          </cell>
        </row>
        <row r="9749">
          <cell r="K9749" t="str">
            <v>201011</v>
          </cell>
          <cell r="M9749">
            <v>5</v>
          </cell>
          <cell r="R9749">
            <v>45881</v>
          </cell>
          <cell r="S9749">
            <v>201011</v>
          </cell>
        </row>
        <row r="9750">
          <cell r="K9750" t="str">
            <v>207017</v>
          </cell>
          <cell r="M9750">
            <v>1</v>
          </cell>
          <cell r="R9750">
            <v>45881</v>
          </cell>
          <cell r="S9750">
            <v>207017</v>
          </cell>
        </row>
        <row r="9751">
          <cell r="K9751" t="str">
            <v>223001</v>
          </cell>
          <cell r="M9751">
            <v>1</v>
          </cell>
          <cell r="R9751">
            <v>45881</v>
          </cell>
          <cell r="S9751">
            <v>223001</v>
          </cell>
        </row>
        <row r="9752">
          <cell r="K9752" t="str">
            <v>231004</v>
          </cell>
          <cell r="M9752">
            <v>2</v>
          </cell>
          <cell r="R9752">
            <v>45881</v>
          </cell>
          <cell r="S9752">
            <v>231004</v>
          </cell>
        </row>
        <row r="9753">
          <cell r="K9753" t="str">
            <v>203001</v>
          </cell>
          <cell r="M9753">
            <v>1</v>
          </cell>
          <cell r="R9753">
            <v>45881</v>
          </cell>
          <cell r="S9753">
            <v>203001</v>
          </cell>
        </row>
        <row r="9754">
          <cell r="K9754" t="str">
            <v>201011</v>
          </cell>
          <cell r="M9754">
            <v>10</v>
          </cell>
          <cell r="R9754">
            <v>45881</v>
          </cell>
          <cell r="S9754">
            <v>201011</v>
          </cell>
        </row>
        <row r="9755">
          <cell r="K9755" t="str">
            <v>213003</v>
          </cell>
          <cell r="M9755">
            <v>2</v>
          </cell>
          <cell r="R9755">
            <v>45881</v>
          </cell>
          <cell r="S9755">
            <v>213003</v>
          </cell>
        </row>
        <row r="9756">
          <cell r="K9756" t="str">
            <v>212035</v>
          </cell>
          <cell r="M9756">
            <v>2</v>
          </cell>
          <cell r="R9756">
            <v>45881</v>
          </cell>
          <cell r="S9756">
            <v>212035</v>
          </cell>
        </row>
        <row r="9757">
          <cell r="K9757" t="str">
            <v>201011</v>
          </cell>
          <cell r="M9757">
            <v>10</v>
          </cell>
          <cell r="R9757">
            <v>45881</v>
          </cell>
          <cell r="S9757">
            <v>201011</v>
          </cell>
        </row>
        <row r="9758">
          <cell r="K9758" t="str">
            <v>231012</v>
          </cell>
          <cell r="M9758">
            <v>1</v>
          </cell>
          <cell r="R9758">
            <v>45881</v>
          </cell>
          <cell r="S9758">
            <v>231012</v>
          </cell>
        </row>
        <row r="9759">
          <cell r="K9759" t="str">
            <v>206006</v>
          </cell>
          <cell r="M9759">
            <v>1</v>
          </cell>
          <cell r="R9759">
            <v>45880</v>
          </cell>
          <cell r="S9759">
            <v>206006</v>
          </cell>
        </row>
        <row r="9760">
          <cell r="K9760" t="str">
            <v>218001</v>
          </cell>
          <cell r="M9760">
            <v>1</v>
          </cell>
          <cell r="R9760">
            <v>45880</v>
          </cell>
          <cell r="S9760">
            <v>218001</v>
          </cell>
        </row>
        <row r="9761">
          <cell r="K9761" t="str">
            <v>206002</v>
          </cell>
          <cell r="M9761">
            <v>2</v>
          </cell>
          <cell r="R9761">
            <v>45880</v>
          </cell>
          <cell r="S9761">
            <v>206002</v>
          </cell>
        </row>
        <row r="9762">
          <cell r="K9762" t="str">
            <v>208001</v>
          </cell>
          <cell r="M9762">
            <v>1</v>
          </cell>
          <cell r="R9762">
            <v>45880</v>
          </cell>
          <cell r="S9762">
            <v>208001</v>
          </cell>
        </row>
        <row r="9763">
          <cell r="K9763" t="str">
            <v>203004</v>
          </cell>
          <cell r="M9763">
            <v>2</v>
          </cell>
          <cell r="R9763">
            <v>45880</v>
          </cell>
          <cell r="S9763">
            <v>203004</v>
          </cell>
        </row>
        <row r="9764">
          <cell r="K9764" t="str">
            <v>201021</v>
          </cell>
          <cell r="M9764">
            <v>6</v>
          </cell>
          <cell r="R9764">
            <v>45882</v>
          </cell>
          <cell r="S9764">
            <v>201021</v>
          </cell>
        </row>
        <row r="9765">
          <cell r="K9765" t="str">
            <v>206006</v>
          </cell>
          <cell r="M9765">
            <v>1</v>
          </cell>
          <cell r="R9765">
            <v>45880</v>
          </cell>
          <cell r="S9765">
            <v>206006</v>
          </cell>
        </row>
        <row r="9766">
          <cell r="K9766" t="str">
            <v>218001</v>
          </cell>
          <cell r="M9766">
            <v>1</v>
          </cell>
          <cell r="R9766">
            <v>45880</v>
          </cell>
          <cell r="S9766">
            <v>218001</v>
          </cell>
        </row>
        <row r="9767">
          <cell r="K9767" t="str">
            <v>206002</v>
          </cell>
          <cell r="M9767">
            <v>2</v>
          </cell>
          <cell r="R9767">
            <v>45880</v>
          </cell>
          <cell r="S9767">
            <v>206002</v>
          </cell>
        </row>
        <row r="9768">
          <cell r="K9768" t="str">
            <v>208001</v>
          </cell>
          <cell r="M9768">
            <v>1</v>
          </cell>
          <cell r="R9768">
            <v>45880</v>
          </cell>
          <cell r="S9768">
            <v>208001</v>
          </cell>
        </row>
        <row r="9769">
          <cell r="K9769" t="str">
            <v>203004</v>
          </cell>
          <cell r="M9769">
            <v>2</v>
          </cell>
          <cell r="R9769">
            <v>45880</v>
          </cell>
          <cell r="S9769">
            <v>203004</v>
          </cell>
        </row>
        <row r="9770">
          <cell r="K9770" t="str">
            <v>231012</v>
          </cell>
          <cell r="M9770">
            <v>1</v>
          </cell>
          <cell r="R9770">
            <v>45882</v>
          </cell>
          <cell r="S9770">
            <v>231012</v>
          </cell>
        </row>
        <row r="9771">
          <cell r="K9771" t="str">
            <v>201011</v>
          </cell>
          <cell r="M9771">
            <v>1</v>
          </cell>
          <cell r="R9771">
            <v>45882</v>
          </cell>
          <cell r="S9771">
            <v>201011</v>
          </cell>
        </row>
        <row r="9772">
          <cell r="K9772" t="str">
            <v>201003</v>
          </cell>
          <cell r="M9772">
            <v>1</v>
          </cell>
          <cell r="R9772">
            <v>45882</v>
          </cell>
          <cell r="S9772">
            <v>201003</v>
          </cell>
        </row>
        <row r="9773">
          <cell r="K9773" t="str">
            <v>203004</v>
          </cell>
          <cell r="M9773">
            <v>1</v>
          </cell>
          <cell r="R9773">
            <v>45882</v>
          </cell>
          <cell r="S9773">
            <v>203004</v>
          </cell>
        </row>
        <row r="9774">
          <cell r="K9774" t="str">
            <v>214002</v>
          </cell>
          <cell r="M9774">
            <v>1</v>
          </cell>
          <cell r="R9774">
            <v>45882</v>
          </cell>
          <cell r="S9774">
            <v>214002</v>
          </cell>
        </row>
        <row r="9775">
          <cell r="K9775" t="str">
            <v>220002</v>
          </cell>
          <cell r="M9775">
            <v>2</v>
          </cell>
          <cell r="R9775">
            <v>45882</v>
          </cell>
          <cell r="S9775">
            <v>220002</v>
          </cell>
        </row>
        <row r="9776">
          <cell r="K9776" t="str">
            <v>231010</v>
          </cell>
          <cell r="M9776">
            <v>1</v>
          </cell>
          <cell r="R9776">
            <v>45882</v>
          </cell>
          <cell r="S9776">
            <v>231010</v>
          </cell>
        </row>
        <row r="9777">
          <cell r="K9777" t="str">
            <v>228001</v>
          </cell>
          <cell r="M9777">
            <v>20</v>
          </cell>
          <cell r="R9777">
            <v>45882</v>
          </cell>
          <cell r="S9777">
            <v>228001</v>
          </cell>
        </row>
        <row r="9778">
          <cell r="K9778" t="str">
            <v>228001</v>
          </cell>
          <cell r="M9778">
            <v>1</v>
          </cell>
          <cell r="R9778">
            <v>45882</v>
          </cell>
          <cell r="S9778">
            <v>228001</v>
          </cell>
        </row>
        <row r="9779">
          <cell r="K9779" t="str">
            <v>228001</v>
          </cell>
          <cell r="M9779">
            <v>1</v>
          </cell>
          <cell r="R9779">
            <v>45882</v>
          </cell>
          <cell r="S9779">
            <v>228001</v>
          </cell>
        </row>
        <row r="9780">
          <cell r="K9780" t="str">
            <v>228001</v>
          </cell>
          <cell r="M9780">
            <v>1</v>
          </cell>
          <cell r="R9780">
            <v>45882</v>
          </cell>
          <cell r="S9780">
            <v>228001</v>
          </cell>
        </row>
        <row r="9781">
          <cell r="K9781" t="str">
            <v>228001</v>
          </cell>
          <cell r="M9781">
            <v>7</v>
          </cell>
          <cell r="R9781">
            <v>45882</v>
          </cell>
          <cell r="S9781">
            <v>228001</v>
          </cell>
        </row>
        <row r="9782">
          <cell r="K9782" t="str">
            <v>228001</v>
          </cell>
          <cell r="M9782">
            <v>5</v>
          </cell>
          <cell r="R9782">
            <v>45882</v>
          </cell>
          <cell r="S9782">
            <v>228001</v>
          </cell>
        </row>
        <row r="9783">
          <cell r="K9783" t="str">
            <v>223002</v>
          </cell>
          <cell r="M9783">
            <v>4</v>
          </cell>
          <cell r="R9783">
            <v>45882</v>
          </cell>
          <cell r="S9783">
            <v>223002</v>
          </cell>
        </row>
        <row r="9784">
          <cell r="K9784" t="str">
            <v>228001</v>
          </cell>
          <cell r="M9784">
            <v>1</v>
          </cell>
          <cell r="R9784">
            <v>45882</v>
          </cell>
          <cell r="S9784">
            <v>228001</v>
          </cell>
        </row>
        <row r="9785">
          <cell r="K9785" t="str">
            <v>206002</v>
          </cell>
          <cell r="M9785">
            <v>1</v>
          </cell>
          <cell r="R9785">
            <v>45882</v>
          </cell>
          <cell r="S9785">
            <v>206002</v>
          </cell>
        </row>
        <row r="9786">
          <cell r="K9786" t="str">
            <v>228001</v>
          </cell>
          <cell r="M9786">
            <v>2</v>
          </cell>
          <cell r="R9786">
            <v>45882</v>
          </cell>
          <cell r="S9786">
            <v>228001</v>
          </cell>
        </row>
        <row r="9787">
          <cell r="K9787" t="str">
            <v>228001</v>
          </cell>
          <cell r="M9787">
            <v>6</v>
          </cell>
          <cell r="R9787">
            <v>45882</v>
          </cell>
          <cell r="S9787">
            <v>228001</v>
          </cell>
        </row>
        <row r="9788">
          <cell r="K9788" t="str">
            <v>217022</v>
          </cell>
          <cell r="M9788">
            <v>15</v>
          </cell>
          <cell r="R9788">
            <v>45882</v>
          </cell>
          <cell r="S9788">
            <v>217022</v>
          </cell>
        </row>
        <row r="9789">
          <cell r="K9789" t="str">
            <v>201003</v>
          </cell>
          <cell r="M9789">
            <v>4</v>
          </cell>
          <cell r="R9789">
            <v>45882</v>
          </cell>
          <cell r="S9789">
            <v>201003</v>
          </cell>
        </row>
        <row r="9790">
          <cell r="K9790" t="str">
            <v>213002</v>
          </cell>
          <cell r="M9790">
            <v>15</v>
          </cell>
          <cell r="R9790">
            <v>45882</v>
          </cell>
          <cell r="S9790">
            <v>213002</v>
          </cell>
        </row>
        <row r="9791">
          <cell r="K9791" t="str">
            <v>223002</v>
          </cell>
          <cell r="M9791">
            <v>5</v>
          </cell>
          <cell r="R9791">
            <v>45882</v>
          </cell>
          <cell r="S9791">
            <v>223002</v>
          </cell>
        </row>
        <row r="9792">
          <cell r="K9792" t="str">
            <v>223002</v>
          </cell>
          <cell r="M9792">
            <v>3</v>
          </cell>
          <cell r="R9792">
            <v>45882</v>
          </cell>
          <cell r="S9792">
            <v>223002</v>
          </cell>
        </row>
        <row r="9793">
          <cell r="K9793" t="str">
            <v>217011</v>
          </cell>
          <cell r="M9793">
            <v>2</v>
          </cell>
          <cell r="R9793">
            <v>45882</v>
          </cell>
          <cell r="S9793">
            <v>217011</v>
          </cell>
        </row>
        <row r="9794">
          <cell r="K9794" t="str">
            <v>217002</v>
          </cell>
          <cell r="M9794">
            <v>1</v>
          </cell>
          <cell r="R9794">
            <v>45882</v>
          </cell>
          <cell r="S9794">
            <v>217002</v>
          </cell>
        </row>
        <row r="9795">
          <cell r="K9795" t="str">
            <v>217022</v>
          </cell>
          <cell r="M9795">
            <v>10</v>
          </cell>
          <cell r="R9795">
            <v>45882</v>
          </cell>
          <cell r="S9795">
            <v>217022</v>
          </cell>
        </row>
        <row r="9796">
          <cell r="K9796" t="str">
            <v>212002</v>
          </cell>
          <cell r="M9796">
            <v>1</v>
          </cell>
          <cell r="R9796">
            <v>45882</v>
          </cell>
          <cell r="S9796">
            <v>212002</v>
          </cell>
        </row>
        <row r="9797">
          <cell r="K9797" t="str">
            <v>223001</v>
          </cell>
          <cell r="M9797">
            <v>2</v>
          </cell>
          <cell r="R9797">
            <v>45882</v>
          </cell>
          <cell r="S9797">
            <v>223001</v>
          </cell>
        </row>
        <row r="9798">
          <cell r="K9798" t="str">
            <v>276001</v>
          </cell>
          <cell r="M9798">
            <v>1</v>
          </cell>
          <cell r="R9798">
            <v>45882</v>
          </cell>
          <cell r="S9798">
            <v>276001</v>
          </cell>
        </row>
        <row r="9799">
          <cell r="K9799" t="str">
            <v>209004</v>
          </cell>
          <cell r="M9799">
            <v>1</v>
          </cell>
          <cell r="R9799">
            <v>45882</v>
          </cell>
          <cell r="S9799">
            <v>209004</v>
          </cell>
        </row>
        <row r="9800">
          <cell r="K9800" t="str">
            <v>223006</v>
          </cell>
          <cell r="M9800">
            <v>25</v>
          </cell>
          <cell r="R9800">
            <v>45882</v>
          </cell>
          <cell r="S9800">
            <v>223006</v>
          </cell>
        </row>
        <row r="9801">
          <cell r="K9801" t="str">
            <v>207017</v>
          </cell>
          <cell r="M9801">
            <v>2</v>
          </cell>
          <cell r="R9801">
            <v>45882</v>
          </cell>
          <cell r="S9801">
            <v>207017</v>
          </cell>
        </row>
        <row r="9802">
          <cell r="K9802" t="str">
            <v>227012</v>
          </cell>
          <cell r="M9802">
            <v>2</v>
          </cell>
          <cell r="R9802">
            <v>45882</v>
          </cell>
          <cell r="S9802">
            <v>227012</v>
          </cell>
        </row>
        <row r="9803">
          <cell r="K9803" t="str">
            <v>217002</v>
          </cell>
          <cell r="M9803">
            <v>1</v>
          </cell>
          <cell r="R9803">
            <v>45882</v>
          </cell>
          <cell r="S9803">
            <v>217002</v>
          </cell>
        </row>
        <row r="9804">
          <cell r="K9804" t="str">
            <v>207017</v>
          </cell>
          <cell r="M9804">
            <v>1</v>
          </cell>
          <cell r="R9804">
            <v>45882</v>
          </cell>
          <cell r="S9804">
            <v>207017</v>
          </cell>
        </row>
        <row r="9805">
          <cell r="K9805" t="str">
            <v>212002</v>
          </cell>
          <cell r="M9805">
            <v>1</v>
          </cell>
          <cell r="R9805">
            <v>45882</v>
          </cell>
          <cell r="S9805">
            <v>212002</v>
          </cell>
        </row>
        <row r="9806">
          <cell r="K9806" t="str">
            <v>223006</v>
          </cell>
          <cell r="M9806">
            <v>19</v>
          </cell>
          <cell r="R9806">
            <v>45882</v>
          </cell>
          <cell r="S9806">
            <v>223006</v>
          </cell>
        </row>
        <row r="9807">
          <cell r="K9807" t="str">
            <v>223002</v>
          </cell>
          <cell r="M9807">
            <v>8</v>
          </cell>
          <cell r="R9807">
            <v>45882</v>
          </cell>
          <cell r="S9807">
            <v>223002</v>
          </cell>
        </row>
        <row r="9808">
          <cell r="K9808" t="str">
            <v>223006</v>
          </cell>
          <cell r="M9808">
            <v>12</v>
          </cell>
          <cell r="R9808">
            <v>45882</v>
          </cell>
          <cell r="S9808">
            <v>223006</v>
          </cell>
        </row>
        <row r="9809">
          <cell r="K9809" t="str">
            <v>223001</v>
          </cell>
          <cell r="M9809">
            <v>12</v>
          </cell>
          <cell r="R9809">
            <v>45882</v>
          </cell>
          <cell r="S9809">
            <v>223001</v>
          </cell>
        </row>
        <row r="9810">
          <cell r="K9810" t="str">
            <v>223003</v>
          </cell>
          <cell r="M9810">
            <v>12</v>
          </cell>
          <cell r="R9810">
            <v>45882</v>
          </cell>
          <cell r="S9810">
            <v>223003</v>
          </cell>
        </row>
        <row r="9811">
          <cell r="K9811" t="str">
            <v>227012</v>
          </cell>
          <cell r="M9811">
            <v>1</v>
          </cell>
          <cell r="R9811">
            <v>45882</v>
          </cell>
          <cell r="S9811">
            <v>227012</v>
          </cell>
        </row>
        <row r="9812">
          <cell r="K9812" t="str">
            <v>213003</v>
          </cell>
          <cell r="M9812">
            <v>3</v>
          </cell>
          <cell r="R9812">
            <v>45882</v>
          </cell>
          <cell r="S9812">
            <v>213003</v>
          </cell>
        </row>
        <row r="9813">
          <cell r="K9813" t="str">
            <v>210013</v>
          </cell>
          <cell r="M9813">
            <v>16</v>
          </cell>
          <cell r="R9813">
            <v>45882</v>
          </cell>
          <cell r="S9813">
            <v>210013</v>
          </cell>
        </row>
        <row r="9814">
          <cell r="K9814" t="str">
            <v>210010</v>
          </cell>
          <cell r="M9814">
            <v>1</v>
          </cell>
          <cell r="R9814">
            <v>45882</v>
          </cell>
          <cell r="S9814">
            <v>210010</v>
          </cell>
        </row>
        <row r="9815">
          <cell r="K9815" t="str">
            <v>201011</v>
          </cell>
          <cell r="M9815">
            <v>6</v>
          </cell>
          <cell r="R9815">
            <v>45882</v>
          </cell>
          <cell r="S9815">
            <v>201011</v>
          </cell>
        </row>
        <row r="9816">
          <cell r="K9816" t="str">
            <v>234011</v>
          </cell>
          <cell r="M9816">
            <v>2</v>
          </cell>
          <cell r="R9816">
            <v>45882</v>
          </cell>
          <cell r="S9816">
            <v>234011</v>
          </cell>
        </row>
        <row r="9817">
          <cell r="K9817" t="str">
            <v>209001</v>
          </cell>
          <cell r="M9817">
            <v>1</v>
          </cell>
          <cell r="R9817">
            <v>45882</v>
          </cell>
          <cell r="S9817">
            <v>209001</v>
          </cell>
        </row>
        <row r="9818">
          <cell r="K9818" t="str">
            <v>206014</v>
          </cell>
          <cell r="M9818">
            <v>17</v>
          </cell>
          <cell r="R9818">
            <v>45882</v>
          </cell>
          <cell r="S9818">
            <v>206014</v>
          </cell>
        </row>
        <row r="9819">
          <cell r="K9819" t="str">
            <v>213024</v>
          </cell>
          <cell r="M9819">
            <v>4</v>
          </cell>
          <cell r="R9819">
            <v>45882</v>
          </cell>
          <cell r="S9819">
            <v>213024</v>
          </cell>
        </row>
        <row r="9820">
          <cell r="K9820" t="str">
            <v>226001</v>
          </cell>
          <cell r="M9820">
            <v>1</v>
          </cell>
          <cell r="R9820">
            <v>45882</v>
          </cell>
          <cell r="S9820">
            <v>226001</v>
          </cell>
        </row>
        <row r="9821">
          <cell r="K9821" t="str">
            <v>201011</v>
          </cell>
          <cell r="M9821">
            <v>36</v>
          </cell>
          <cell r="R9821">
            <v>45882</v>
          </cell>
          <cell r="S9821">
            <v>201011</v>
          </cell>
        </row>
        <row r="9822">
          <cell r="K9822" t="str">
            <v>213002</v>
          </cell>
          <cell r="M9822">
            <v>4</v>
          </cell>
          <cell r="R9822">
            <v>45882</v>
          </cell>
          <cell r="S9822">
            <v>213002</v>
          </cell>
        </row>
        <row r="9823">
          <cell r="K9823" t="str">
            <v>201002</v>
          </cell>
          <cell r="M9823">
            <v>2</v>
          </cell>
          <cell r="R9823">
            <v>45883</v>
          </cell>
          <cell r="S9823">
            <v>201002</v>
          </cell>
        </row>
        <row r="9824">
          <cell r="K9824" t="str">
            <v>222001</v>
          </cell>
          <cell r="M9824">
            <v>1</v>
          </cell>
          <cell r="R9824">
            <v>45883</v>
          </cell>
          <cell r="S9824">
            <v>222001</v>
          </cell>
        </row>
        <row r="9825">
          <cell r="K9825" t="str">
            <v>201003</v>
          </cell>
          <cell r="M9825">
            <v>2</v>
          </cell>
          <cell r="R9825">
            <v>45882</v>
          </cell>
          <cell r="S9825">
            <v>201003</v>
          </cell>
        </row>
        <row r="9826">
          <cell r="K9826" t="str">
            <v>223002</v>
          </cell>
          <cell r="M9826">
            <v>1</v>
          </cell>
          <cell r="R9826">
            <v>45882</v>
          </cell>
          <cell r="S9826">
            <v>223002</v>
          </cell>
        </row>
        <row r="9827">
          <cell r="K9827" t="str">
            <v>217011</v>
          </cell>
          <cell r="M9827">
            <v>1</v>
          </cell>
          <cell r="R9827">
            <v>45883</v>
          </cell>
          <cell r="S9827">
            <v>217011</v>
          </cell>
        </row>
        <row r="9828">
          <cell r="K9828" t="str">
            <v>227014</v>
          </cell>
          <cell r="M9828">
            <v>1</v>
          </cell>
          <cell r="R9828">
            <v>45883</v>
          </cell>
          <cell r="S9828">
            <v>227014</v>
          </cell>
        </row>
        <row r="9829">
          <cell r="K9829" t="str">
            <v>210013</v>
          </cell>
          <cell r="M9829">
            <v>4</v>
          </cell>
          <cell r="R9829">
            <v>45883</v>
          </cell>
          <cell r="S9829">
            <v>210013</v>
          </cell>
        </row>
        <row r="9830">
          <cell r="K9830" t="str">
            <v>213024</v>
          </cell>
          <cell r="M9830">
            <v>5</v>
          </cell>
          <cell r="R9830">
            <v>45882</v>
          </cell>
          <cell r="S9830">
            <v>213024</v>
          </cell>
        </row>
        <row r="9831">
          <cell r="K9831" t="str">
            <v>213003</v>
          </cell>
          <cell r="M9831">
            <v>2</v>
          </cell>
          <cell r="R9831">
            <v>45883</v>
          </cell>
          <cell r="S9831">
            <v>213003</v>
          </cell>
        </row>
        <row r="9832">
          <cell r="K9832" t="str">
            <v>213003</v>
          </cell>
          <cell r="M9832">
            <v>2</v>
          </cell>
          <cell r="R9832">
            <v>45882</v>
          </cell>
          <cell r="S9832">
            <v>213003</v>
          </cell>
        </row>
        <row r="9833">
          <cell r="K9833" t="str">
            <v>213024</v>
          </cell>
          <cell r="M9833">
            <v>1</v>
          </cell>
          <cell r="R9833">
            <v>45882</v>
          </cell>
          <cell r="S9833">
            <v>213024</v>
          </cell>
        </row>
        <row r="9834">
          <cell r="K9834" t="str">
            <v>223001</v>
          </cell>
          <cell r="M9834">
            <v>4</v>
          </cell>
          <cell r="R9834">
            <v>45882</v>
          </cell>
          <cell r="S9834">
            <v>223001</v>
          </cell>
        </row>
        <row r="9835">
          <cell r="K9835" t="str">
            <v>209001</v>
          </cell>
          <cell r="M9835">
            <v>1</v>
          </cell>
          <cell r="R9835">
            <v>45882</v>
          </cell>
          <cell r="S9835">
            <v>209001</v>
          </cell>
        </row>
        <row r="9836">
          <cell r="K9836" t="str">
            <v>201011</v>
          </cell>
          <cell r="M9836">
            <v>2</v>
          </cell>
          <cell r="R9836">
            <v>45882</v>
          </cell>
          <cell r="S9836">
            <v>201011</v>
          </cell>
        </row>
        <row r="9837">
          <cell r="K9837" t="str">
            <v>201002</v>
          </cell>
          <cell r="M9837">
            <v>1</v>
          </cell>
          <cell r="R9837">
            <v>45882</v>
          </cell>
          <cell r="S9837">
            <v>201002</v>
          </cell>
        </row>
        <row r="9838">
          <cell r="K9838" t="str">
            <v>212002</v>
          </cell>
          <cell r="M9838">
            <v>1</v>
          </cell>
          <cell r="R9838">
            <v>45882</v>
          </cell>
          <cell r="S9838">
            <v>212002</v>
          </cell>
        </row>
        <row r="9839">
          <cell r="K9839" t="str">
            <v>234001</v>
          </cell>
          <cell r="M9839">
            <v>1</v>
          </cell>
          <cell r="R9839">
            <v>45882</v>
          </cell>
          <cell r="S9839">
            <v>234001</v>
          </cell>
        </row>
        <row r="9840">
          <cell r="K9840" t="str">
            <v>223002</v>
          </cell>
          <cell r="M9840">
            <v>8</v>
          </cell>
          <cell r="R9840">
            <v>45882</v>
          </cell>
          <cell r="S9840">
            <v>223002</v>
          </cell>
        </row>
        <row r="9841">
          <cell r="K9841" t="str">
            <v>223001</v>
          </cell>
          <cell r="M9841">
            <v>3</v>
          </cell>
          <cell r="R9841">
            <v>45882</v>
          </cell>
          <cell r="S9841">
            <v>223001</v>
          </cell>
        </row>
        <row r="9842">
          <cell r="K9842" t="str">
            <v>220002</v>
          </cell>
          <cell r="M9842">
            <v>1</v>
          </cell>
          <cell r="R9842">
            <v>45882</v>
          </cell>
          <cell r="S9842">
            <v>220002</v>
          </cell>
        </row>
        <row r="9843">
          <cell r="K9843" t="str">
            <v>213003</v>
          </cell>
          <cell r="M9843">
            <v>2</v>
          </cell>
          <cell r="R9843">
            <v>45883</v>
          </cell>
          <cell r="S9843">
            <v>213003</v>
          </cell>
        </row>
        <row r="9844">
          <cell r="K9844" t="str">
            <v>213003</v>
          </cell>
          <cell r="M9844">
            <v>2</v>
          </cell>
          <cell r="R9844">
            <v>45882</v>
          </cell>
          <cell r="S9844">
            <v>213003</v>
          </cell>
        </row>
        <row r="9845">
          <cell r="K9845" t="str">
            <v>222001</v>
          </cell>
          <cell r="M9845">
            <v>1</v>
          </cell>
          <cell r="R9845">
            <v>45883</v>
          </cell>
          <cell r="S9845">
            <v>222001</v>
          </cell>
        </row>
        <row r="9846">
          <cell r="K9846" t="str">
            <v>217002</v>
          </cell>
          <cell r="M9846">
            <v>5</v>
          </cell>
          <cell r="R9846">
            <v>45883</v>
          </cell>
          <cell r="S9846">
            <v>217002</v>
          </cell>
        </row>
        <row r="9847">
          <cell r="K9847" t="str">
            <v>213003</v>
          </cell>
          <cell r="M9847">
            <v>2</v>
          </cell>
          <cell r="R9847">
            <v>45883</v>
          </cell>
          <cell r="S9847">
            <v>213003</v>
          </cell>
        </row>
        <row r="9848">
          <cell r="K9848" t="str">
            <v>227001</v>
          </cell>
          <cell r="M9848">
            <v>6</v>
          </cell>
          <cell r="R9848">
            <v>45883</v>
          </cell>
          <cell r="S9848">
            <v>227001</v>
          </cell>
        </row>
        <row r="9849">
          <cell r="K9849" t="str">
            <v>213002</v>
          </cell>
          <cell r="M9849">
            <v>6</v>
          </cell>
          <cell r="R9849">
            <v>45883</v>
          </cell>
          <cell r="S9849">
            <v>213002</v>
          </cell>
        </row>
        <row r="9850">
          <cell r="K9850" t="str">
            <v>226001</v>
          </cell>
          <cell r="M9850">
            <v>2</v>
          </cell>
          <cell r="R9850">
            <v>45883</v>
          </cell>
          <cell r="S9850">
            <v>226001</v>
          </cell>
        </row>
        <row r="9851">
          <cell r="K9851" t="str">
            <v>210013</v>
          </cell>
          <cell r="M9851">
            <v>2</v>
          </cell>
          <cell r="R9851">
            <v>45883</v>
          </cell>
          <cell r="S9851">
            <v>210013</v>
          </cell>
        </row>
        <row r="9852">
          <cell r="K9852" t="str">
            <v>209001</v>
          </cell>
          <cell r="M9852">
            <v>1</v>
          </cell>
          <cell r="R9852">
            <v>45883</v>
          </cell>
          <cell r="S9852">
            <v>209001</v>
          </cell>
        </row>
        <row r="9853">
          <cell r="K9853" t="str">
            <v>214002</v>
          </cell>
          <cell r="M9853">
            <v>1</v>
          </cell>
          <cell r="R9853">
            <v>45883</v>
          </cell>
          <cell r="S9853">
            <v>214002</v>
          </cell>
        </row>
        <row r="9854">
          <cell r="K9854" t="str">
            <v>209006</v>
          </cell>
          <cell r="M9854">
            <v>1</v>
          </cell>
          <cell r="R9854">
            <v>45883</v>
          </cell>
          <cell r="S9854">
            <v>209006</v>
          </cell>
        </row>
        <row r="9855">
          <cell r="K9855" t="str">
            <v>226001</v>
          </cell>
          <cell r="M9855">
            <v>5</v>
          </cell>
          <cell r="R9855">
            <v>45883</v>
          </cell>
          <cell r="S9855">
            <v>226001</v>
          </cell>
        </row>
        <row r="9856">
          <cell r="K9856" t="str">
            <v>217019</v>
          </cell>
          <cell r="M9856">
            <v>2</v>
          </cell>
          <cell r="R9856">
            <v>45883</v>
          </cell>
          <cell r="S9856">
            <v>217019</v>
          </cell>
        </row>
        <row r="9857">
          <cell r="K9857" t="str">
            <v>212035</v>
          </cell>
          <cell r="M9857">
            <v>64</v>
          </cell>
          <cell r="R9857">
            <v>45883</v>
          </cell>
          <cell r="S9857">
            <v>212035</v>
          </cell>
        </row>
        <row r="9858">
          <cell r="K9858" t="str">
            <v>226024</v>
          </cell>
          <cell r="M9858">
            <v>2</v>
          </cell>
          <cell r="R9858">
            <v>45883</v>
          </cell>
          <cell r="S9858">
            <v>226024</v>
          </cell>
        </row>
        <row r="9859">
          <cell r="K9859" t="str">
            <v>241001</v>
          </cell>
          <cell r="M9859">
            <v>10</v>
          </cell>
          <cell r="R9859">
            <v>45883</v>
          </cell>
          <cell r="S9859">
            <v>241001</v>
          </cell>
        </row>
        <row r="9860">
          <cell r="K9860" t="str">
            <v>210013</v>
          </cell>
          <cell r="M9860">
            <v>2</v>
          </cell>
          <cell r="R9860">
            <v>45883</v>
          </cell>
          <cell r="S9860">
            <v>210013</v>
          </cell>
        </row>
        <row r="9861">
          <cell r="K9861" t="str">
            <v>220002</v>
          </cell>
          <cell r="M9861">
            <v>1</v>
          </cell>
          <cell r="R9861">
            <v>45883</v>
          </cell>
          <cell r="S9861">
            <v>220002</v>
          </cell>
        </row>
        <row r="9862">
          <cell r="K9862" t="str">
            <v>223002</v>
          </cell>
          <cell r="M9862">
            <v>8</v>
          </cell>
          <cell r="R9862">
            <v>45883</v>
          </cell>
          <cell r="S9862">
            <v>223002</v>
          </cell>
        </row>
        <row r="9863">
          <cell r="K9863" t="str">
            <v>201003</v>
          </cell>
          <cell r="M9863">
            <v>4</v>
          </cell>
          <cell r="R9863">
            <v>45883</v>
          </cell>
          <cell r="S9863">
            <v>201003</v>
          </cell>
        </row>
        <row r="9864">
          <cell r="K9864" t="str">
            <v>201011</v>
          </cell>
          <cell r="M9864">
            <v>15</v>
          </cell>
          <cell r="R9864">
            <v>45883</v>
          </cell>
          <cell r="S9864">
            <v>201011</v>
          </cell>
        </row>
        <row r="9865">
          <cell r="K9865" t="str">
            <v>209004</v>
          </cell>
          <cell r="M9865">
            <v>3</v>
          </cell>
          <cell r="R9865">
            <v>45883</v>
          </cell>
          <cell r="S9865">
            <v>209004</v>
          </cell>
        </row>
        <row r="9866">
          <cell r="K9866" t="str">
            <v>228001</v>
          </cell>
          <cell r="M9866">
            <v>6</v>
          </cell>
          <cell r="R9866">
            <v>45883</v>
          </cell>
          <cell r="S9866">
            <v>228001</v>
          </cell>
        </row>
        <row r="9867">
          <cell r="K9867" t="str">
            <v>228001</v>
          </cell>
          <cell r="M9867">
            <v>10</v>
          </cell>
          <cell r="R9867">
            <v>45883</v>
          </cell>
          <cell r="S9867">
            <v>228001</v>
          </cell>
        </row>
        <row r="9868">
          <cell r="K9868" t="str">
            <v>210010</v>
          </cell>
          <cell r="M9868">
            <v>2</v>
          </cell>
          <cell r="R9868">
            <v>45883</v>
          </cell>
          <cell r="S9868">
            <v>210010</v>
          </cell>
        </row>
        <row r="9869">
          <cell r="K9869" t="str">
            <v>223001</v>
          </cell>
          <cell r="M9869">
            <v>12</v>
          </cell>
          <cell r="R9869">
            <v>45883</v>
          </cell>
          <cell r="S9869">
            <v>223001</v>
          </cell>
        </row>
        <row r="9870">
          <cell r="K9870" t="str">
            <v>227012</v>
          </cell>
          <cell r="M9870">
            <v>3</v>
          </cell>
          <cell r="R9870">
            <v>45883</v>
          </cell>
          <cell r="S9870">
            <v>227012</v>
          </cell>
        </row>
        <row r="9871">
          <cell r="K9871" t="str">
            <v>223002</v>
          </cell>
          <cell r="M9871">
            <v>2</v>
          </cell>
          <cell r="R9871">
            <v>45883</v>
          </cell>
          <cell r="S9871">
            <v>223002</v>
          </cell>
        </row>
        <row r="9872">
          <cell r="K9872" t="str">
            <v>201002</v>
          </cell>
          <cell r="M9872">
            <v>1</v>
          </cell>
          <cell r="R9872">
            <v>45883</v>
          </cell>
          <cell r="S9872">
            <v>201002</v>
          </cell>
        </row>
        <row r="9873">
          <cell r="K9873" t="str">
            <v>210014</v>
          </cell>
          <cell r="M9873">
            <v>2</v>
          </cell>
          <cell r="R9873">
            <v>45883</v>
          </cell>
          <cell r="S9873">
            <v>210014</v>
          </cell>
        </row>
        <row r="9874">
          <cell r="K9874" t="str">
            <v>213002</v>
          </cell>
          <cell r="M9874">
            <v>5</v>
          </cell>
          <cell r="R9874">
            <v>45883</v>
          </cell>
          <cell r="S9874">
            <v>213002</v>
          </cell>
        </row>
        <row r="9875">
          <cell r="K9875" t="str">
            <v>227012</v>
          </cell>
          <cell r="M9875">
            <v>6</v>
          </cell>
          <cell r="R9875">
            <v>45883</v>
          </cell>
          <cell r="S9875">
            <v>227012</v>
          </cell>
        </row>
        <row r="9876">
          <cell r="K9876" t="str">
            <v>201011</v>
          </cell>
          <cell r="M9876">
            <v>5</v>
          </cell>
          <cell r="R9876">
            <v>45883</v>
          </cell>
          <cell r="S9876">
            <v>201011</v>
          </cell>
        </row>
        <row r="9877">
          <cell r="K9877" t="str">
            <v>237001</v>
          </cell>
          <cell r="M9877">
            <v>1</v>
          </cell>
          <cell r="R9877">
            <v>45883</v>
          </cell>
          <cell r="S9877">
            <v>237001</v>
          </cell>
        </row>
        <row r="9878">
          <cell r="K9878" t="str">
            <v>217018</v>
          </cell>
          <cell r="M9878">
            <v>1</v>
          </cell>
          <cell r="R9878">
            <v>45883</v>
          </cell>
          <cell r="S9878">
            <v>217018</v>
          </cell>
        </row>
        <row r="9879">
          <cell r="K9879" t="str">
            <v>223002</v>
          </cell>
          <cell r="M9879">
            <v>2</v>
          </cell>
          <cell r="R9879">
            <v>45884</v>
          </cell>
          <cell r="S9879">
            <v>223002</v>
          </cell>
        </row>
        <row r="9880">
          <cell r="K9880" t="str">
            <v>213002</v>
          </cell>
          <cell r="M9880">
            <v>5</v>
          </cell>
          <cell r="R9880">
            <v>45884</v>
          </cell>
          <cell r="S9880">
            <v>213002</v>
          </cell>
        </row>
        <row r="9881">
          <cell r="K9881" t="str">
            <v>234001</v>
          </cell>
          <cell r="M9881">
            <v>2</v>
          </cell>
          <cell r="R9881">
            <v>45884</v>
          </cell>
          <cell r="S9881">
            <v>234001</v>
          </cell>
        </row>
        <row r="9882">
          <cell r="K9882" t="str">
            <v>276001</v>
          </cell>
          <cell r="M9882">
            <v>1</v>
          </cell>
          <cell r="R9882">
            <v>45884</v>
          </cell>
          <cell r="S9882">
            <v>276001</v>
          </cell>
        </row>
        <row r="9883">
          <cell r="K9883" t="str">
            <v>201021</v>
          </cell>
          <cell r="M9883">
            <v>2</v>
          </cell>
          <cell r="R9883">
            <v>45884</v>
          </cell>
          <cell r="S9883">
            <v>201021</v>
          </cell>
        </row>
        <row r="9884">
          <cell r="K9884" t="str">
            <v>226004</v>
          </cell>
          <cell r="M9884">
            <v>1</v>
          </cell>
          <cell r="R9884">
            <v>45884</v>
          </cell>
          <cell r="S9884">
            <v>226004</v>
          </cell>
        </row>
        <row r="9885">
          <cell r="K9885" t="str">
            <v>259001</v>
          </cell>
          <cell r="M9885">
            <v>13</v>
          </cell>
          <cell r="R9885">
            <v>45884</v>
          </cell>
          <cell r="S9885">
            <v>259001</v>
          </cell>
        </row>
        <row r="9886">
          <cell r="K9886" t="str">
            <v>217019</v>
          </cell>
          <cell r="M9886">
            <v>1</v>
          </cell>
          <cell r="R9886">
            <v>45884</v>
          </cell>
          <cell r="S9886">
            <v>217019</v>
          </cell>
        </row>
        <row r="9887">
          <cell r="K9887" t="str">
            <v>217002</v>
          </cell>
          <cell r="M9887">
            <v>1</v>
          </cell>
          <cell r="R9887">
            <v>45884</v>
          </cell>
          <cell r="S9887">
            <v>217002</v>
          </cell>
        </row>
        <row r="9888">
          <cell r="K9888" t="str">
            <v>201004</v>
          </cell>
          <cell r="M9888">
            <v>1</v>
          </cell>
          <cell r="R9888">
            <v>45884</v>
          </cell>
          <cell r="S9888">
            <v>201004</v>
          </cell>
        </row>
        <row r="9889">
          <cell r="K9889" t="str">
            <v>226001</v>
          </cell>
          <cell r="M9889">
            <v>1</v>
          </cell>
          <cell r="R9889">
            <v>45884</v>
          </cell>
          <cell r="S9889">
            <v>226001</v>
          </cell>
        </row>
        <row r="9890">
          <cell r="K9890" t="str">
            <v>201021</v>
          </cell>
          <cell r="M9890">
            <v>1</v>
          </cell>
          <cell r="R9890">
            <v>45884</v>
          </cell>
          <cell r="S9890">
            <v>201021</v>
          </cell>
        </row>
        <row r="9891">
          <cell r="K9891" t="str">
            <v>213005</v>
          </cell>
          <cell r="M9891">
            <v>1</v>
          </cell>
          <cell r="R9891">
            <v>45884</v>
          </cell>
          <cell r="S9891">
            <v>213005</v>
          </cell>
        </row>
        <row r="9892">
          <cell r="K9892" t="str">
            <v>226030</v>
          </cell>
          <cell r="M9892">
            <v>2</v>
          </cell>
          <cell r="R9892">
            <v>45884</v>
          </cell>
          <cell r="S9892">
            <v>226030</v>
          </cell>
        </row>
        <row r="9893">
          <cell r="K9893" t="str">
            <v>217018</v>
          </cell>
          <cell r="M9893">
            <v>3</v>
          </cell>
          <cell r="R9893">
            <v>45884</v>
          </cell>
          <cell r="S9893">
            <v>217018</v>
          </cell>
        </row>
        <row r="9894">
          <cell r="K9894" t="str">
            <v>201002</v>
          </cell>
          <cell r="M9894">
            <v>1</v>
          </cell>
          <cell r="R9894">
            <v>45884</v>
          </cell>
          <cell r="S9894">
            <v>201002</v>
          </cell>
        </row>
        <row r="9895">
          <cell r="K9895" t="str">
            <v>241001</v>
          </cell>
          <cell r="M9895">
            <v>4</v>
          </cell>
          <cell r="R9895">
            <v>45884</v>
          </cell>
          <cell r="S9895">
            <v>241001</v>
          </cell>
        </row>
        <row r="9896">
          <cell r="K9896" t="str">
            <v>261004</v>
          </cell>
          <cell r="M9896">
            <v>1</v>
          </cell>
          <cell r="R9896">
            <v>45884</v>
          </cell>
          <cell r="S9896">
            <v>261004</v>
          </cell>
        </row>
        <row r="9897">
          <cell r="K9897" t="str">
            <v>222001</v>
          </cell>
          <cell r="M9897">
            <v>5</v>
          </cell>
          <cell r="R9897">
            <v>45884</v>
          </cell>
          <cell r="S9897">
            <v>222001</v>
          </cell>
        </row>
        <row r="9898">
          <cell r="K9898" t="str">
            <v>217002</v>
          </cell>
          <cell r="M9898">
            <v>1</v>
          </cell>
          <cell r="R9898">
            <v>45884</v>
          </cell>
          <cell r="S9898">
            <v>217002</v>
          </cell>
        </row>
        <row r="9899">
          <cell r="K9899" t="str">
            <v>222007</v>
          </cell>
          <cell r="M9899">
            <v>1</v>
          </cell>
          <cell r="R9899">
            <v>45885</v>
          </cell>
          <cell r="S9899">
            <v>222007</v>
          </cell>
        </row>
        <row r="9900">
          <cell r="K9900" t="str">
            <v>208001</v>
          </cell>
          <cell r="M9900">
            <v>1</v>
          </cell>
          <cell r="R9900">
            <v>45883</v>
          </cell>
          <cell r="S9900">
            <v>208001</v>
          </cell>
        </row>
        <row r="9901">
          <cell r="K9901" t="str">
            <v>241001</v>
          </cell>
          <cell r="M9901">
            <v>8</v>
          </cell>
          <cell r="R9901">
            <v>45886</v>
          </cell>
          <cell r="S9901">
            <v>241001</v>
          </cell>
        </row>
        <row r="9902">
          <cell r="K9902" t="str">
            <v>234011</v>
          </cell>
          <cell r="M9902">
            <v>2</v>
          </cell>
          <cell r="R9902">
            <v>45886</v>
          </cell>
          <cell r="S9902">
            <v>234011</v>
          </cell>
        </row>
        <row r="9903">
          <cell r="K9903" t="str">
            <v>203003</v>
          </cell>
          <cell r="M9903">
            <v>1</v>
          </cell>
          <cell r="R9903">
            <v>45886</v>
          </cell>
          <cell r="S9903">
            <v>203003</v>
          </cell>
        </row>
        <row r="9904">
          <cell r="K9904" t="str">
            <v>213002</v>
          </cell>
          <cell r="M9904">
            <v>1</v>
          </cell>
          <cell r="R9904">
            <v>45886</v>
          </cell>
          <cell r="S9904">
            <v>213002</v>
          </cell>
        </row>
        <row r="9905">
          <cell r="K9905" t="str">
            <v>222001</v>
          </cell>
          <cell r="M9905">
            <v>1</v>
          </cell>
          <cell r="R9905">
            <v>45886</v>
          </cell>
          <cell r="S9905">
            <v>222001</v>
          </cell>
        </row>
        <row r="9906">
          <cell r="K9906" t="str">
            <v>208001</v>
          </cell>
          <cell r="M9906">
            <v>1</v>
          </cell>
          <cell r="R9906">
            <v>45883</v>
          </cell>
          <cell r="S9906">
            <v>208001</v>
          </cell>
        </row>
        <row r="9907">
          <cell r="K9907" t="str">
            <v>206002</v>
          </cell>
          <cell r="M9907">
            <v>1</v>
          </cell>
          <cell r="R9907">
            <v>45883</v>
          </cell>
          <cell r="S9907">
            <v>206002</v>
          </cell>
        </row>
        <row r="9908">
          <cell r="K9908" t="str">
            <v>222001</v>
          </cell>
          <cell r="M9908">
            <v>1</v>
          </cell>
          <cell r="R9908">
            <v>45886</v>
          </cell>
          <cell r="S9908">
            <v>222001</v>
          </cell>
        </row>
        <row r="9909">
          <cell r="K9909" t="str">
            <v>201021</v>
          </cell>
          <cell r="M9909">
            <v>5</v>
          </cell>
          <cell r="R9909">
            <v>45886</v>
          </cell>
          <cell r="S9909">
            <v>201021</v>
          </cell>
        </row>
        <row r="9910">
          <cell r="K9910" t="str">
            <v>223002</v>
          </cell>
          <cell r="M9910">
            <v>8</v>
          </cell>
          <cell r="R9910">
            <v>45886</v>
          </cell>
          <cell r="S9910">
            <v>223002</v>
          </cell>
        </row>
        <row r="9911">
          <cell r="K9911" t="str">
            <v>223006</v>
          </cell>
          <cell r="M9911">
            <v>9</v>
          </cell>
          <cell r="R9911">
            <v>45886</v>
          </cell>
          <cell r="S9911">
            <v>223006</v>
          </cell>
        </row>
        <row r="9912">
          <cell r="K9912" t="str">
            <v>223001</v>
          </cell>
          <cell r="M9912">
            <v>12</v>
          </cell>
          <cell r="R9912">
            <v>45886</v>
          </cell>
          <cell r="S9912">
            <v>223001</v>
          </cell>
        </row>
        <row r="9913">
          <cell r="K9913" t="str">
            <v>223003</v>
          </cell>
          <cell r="M9913">
            <v>8</v>
          </cell>
          <cell r="R9913">
            <v>45886</v>
          </cell>
          <cell r="S9913">
            <v>223003</v>
          </cell>
        </row>
        <row r="9914">
          <cell r="K9914" t="str">
            <v>227012</v>
          </cell>
          <cell r="M9914">
            <v>1</v>
          </cell>
          <cell r="R9914">
            <v>45886</v>
          </cell>
          <cell r="S9914">
            <v>227012</v>
          </cell>
        </row>
        <row r="9915">
          <cell r="K9915" t="str">
            <v>223006</v>
          </cell>
          <cell r="M9915">
            <v>3</v>
          </cell>
          <cell r="R9915">
            <v>45886</v>
          </cell>
          <cell r="S9915">
            <v>223006</v>
          </cell>
        </row>
        <row r="9916">
          <cell r="K9916" t="str">
            <v>223003</v>
          </cell>
          <cell r="M9916">
            <v>4</v>
          </cell>
          <cell r="R9916">
            <v>45886</v>
          </cell>
          <cell r="S9916">
            <v>223003</v>
          </cell>
        </row>
        <row r="9917">
          <cell r="K9917" t="str">
            <v>201011</v>
          </cell>
          <cell r="M9917">
            <v>36</v>
          </cell>
          <cell r="R9917">
            <v>45886</v>
          </cell>
          <cell r="S9917">
            <v>201011</v>
          </cell>
        </row>
        <row r="9918">
          <cell r="K9918" t="str">
            <v>201021</v>
          </cell>
          <cell r="M9918">
            <v>5</v>
          </cell>
          <cell r="R9918">
            <v>45886</v>
          </cell>
          <cell r="S9918">
            <v>201021</v>
          </cell>
        </row>
        <row r="9919">
          <cell r="K9919" t="str">
            <v>222001</v>
          </cell>
          <cell r="M9919">
            <v>1</v>
          </cell>
          <cell r="R9919">
            <v>45886</v>
          </cell>
          <cell r="S9919">
            <v>222001</v>
          </cell>
        </row>
        <row r="9920">
          <cell r="K9920" t="str">
            <v>241001</v>
          </cell>
          <cell r="M9920">
            <v>4</v>
          </cell>
          <cell r="R9920">
            <v>45886</v>
          </cell>
          <cell r="S9920">
            <v>241001</v>
          </cell>
        </row>
        <row r="9921">
          <cell r="K9921" t="str">
            <v>213002</v>
          </cell>
          <cell r="M9921">
            <v>1</v>
          </cell>
          <cell r="R9921">
            <v>45886</v>
          </cell>
          <cell r="S9921">
            <v>213002</v>
          </cell>
        </row>
        <row r="9922">
          <cell r="K9922" t="str">
            <v>222001</v>
          </cell>
          <cell r="M9922">
            <v>1</v>
          </cell>
          <cell r="R9922">
            <v>45886</v>
          </cell>
          <cell r="S9922">
            <v>222001</v>
          </cell>
        </row>
        <row r="9923">
          <cell r="K9923" t="str">
            <v>210004</v>
          </cell>
          <cell r="M9923">
            <v>1</v>
          </cell>
          <cell r="R9923">
            <v>45883</v>
          </cell>
          <cell r="S9923">
            <v>210004</v>
          </cell>
        </row>
        <row r="9924">
          <cell r="K9924" t="str">
            <v>213018</v>
          </cell>
          <cell r="M9924">
            <v>1</v>
          </cell>
          <cell r="R9924">
            <v>45883</v>
          </cell>
          <cell r="S9924">
            <v>213018</v>
          </cell>
        </row>
        <row r="9925">
          <cell r="K9925" t="str">
            <v>231010</v>
          </cell>
          <cell r="M9925">
            <v>2</v>
          </cell>
          <cell r="R9925">
            <v>45886</v>
          </cell>
          <cell r="S9925">
            <v>231010</v>
          </cell>
        </row>
        <row r="9926">
          <cell r="K9926" t="str">
            <v>223002</v>
          </cell>
          <cell r="M9926">
            <v>1</v>
          </cell>
          <cell r="R9926">
            <v>45886</v>
          </cell>
          <cell r="S9926">
            <v>223002</v>
          </cell>
        </row>
        <row r="9927">
          <cell r="K9927" t="str">
            <v>223001</v>
          </cell>
          <cell r="M9927">
            <v>6</v>
          </cell>
          <cell r="R9927">
            <v>45886</v>
          </cell>
          <cell r="S9927">
            <v>223001</v>
          </cell>
        </row>
        <row r="9928">
          <cell r="K9928" t="str">
            <v>227012</v>
          </cell>
          <cell r="M9928">
            <v>1</v>
          </cell>
          <cell r="R9928">
            <v>45886</v>
          </cell>
          <cell r="S9928">
            <v>227012</v>
          </cell>
        </row>
        <row r="9929">
          <cell r="K9929" t="str">
            <v>209022</v>
          </cell>
          <cell r="M9929">
            <v>8</v>
          </cell>
          <cell r="R9929">
            <v>45886</v>
          </cell>
          <cell r="S9929">
            <v>209022</v>
          </cell>
        </row>
        <row r="9930">
          <cell r="K9930" t="str">
            <v>208001</v>
          </cell>
          <cell r="M9930">
            <v>1</v>
          </cell>
          <cell r="R9930">
            <v>45883</v>
          </cell>
          <cell r="S9930">
            <v>208001</v>
          </cell>
        </row>
        <row r="9931">
          <cell r="K9931" t="str">
            <v>241001</v>
          </cell>
          <cell r="M9931">
            <v>3</v>
          </cell>
          <cell r="R9931">
            <v>45886</v>
          </cell>
          <cell r="S9931">
            <v>241001</v>
          </cell>
        </row>
        <row r="9932">
          <cell r="K9932" t="str">
            <v>201021</v>
          </cell>
          <cell r="M9932">
            <v>5</v>
          </cell>
          <cell r="R9932">
            <v>45886</v>
          </cell>
          <cell r="S9932">
            <v>201021</v>
          </cell>
        </row>
        <row r="9933">
          <cell r="K9933" t="str">
            <v>206002</v>
          </cell>
          <cell r="M9933">
            <v>1</v>
          </cell>
          <cell r="R9933">
            <v>45883</v>
          </cell>
          <cell r="S9933">
            <v>206002</v>
          </cell>
        </row>
        <row r="9934">
          <cell r="K9934" t="str">
            <v>208001</v>
          </cell>
          <cell r="M9934">
            <v>1</v>
          </cell>
          <cell r="R9934">
            <v>45883</v>
          </cell>
          <cell r="S9934">
            <v>208001</v>
          </cell>
        </row>
        <row r="9935">
          <cell r="K9935" t="str">
            <v>201011</v>
          </cell>
          <cell r="M9935">
            <v>5</v>
          </cell>
          <cell r="R9935">
            <v>45886</v>
          </cell>
          <cell r="S9935">
            <v>201011</v>
          </cell>
        </row>
        <row r="9936">
          <cell r="K9936" t="str">
            <v>209001</v>
          </cell>
          <cell r="M9936">
            <v>1</v>
          </cell>
          <cell r="R9936">
            <v>45887</v>
          </cell>
          <cell r="S9936">
            <v>209001</v>
          </cell>
        </row>
        <row r="9937">
          <cell r="K9937" t="str">
            <v>217022</v>
          </cell>
          <cell r="M9937">
            <v>1</v>
          </cell>
          <cell r="R9937">
            <v>45887</v>
          </cell>
          <cell r="S9937">
            <v>217022</v>
          </cell>
        </row>
        <row r="9938">
          <cell r="K9938" t="str">
            <v>220002</v>
          </cell>
          <cell r="M9938">
            <v>2</v>
          </cell>
          <cell r="R9938">
            <v>45887</v>
          </cell>
          <cell r="S9938">
            <v>220002</v>
          </cell>
        </row>
        <row r="9939">
          <cell r="K9939" t="str">
            <v>229004</v>
          </cell>
          <cell r="M9939">
            <v>4</v>
          </cell>
          <cell r="R9939">
            <v>45887</v>
          </cell>
          <cell r="S9939">
            <v>229004</v>
          </cell>
        </row>
        <row r="9940">
          <cell r="K9940" t="str">
            <v>212035</v>
          </cell>
          <cell r="M9940">
            <v>1</v>
          </cell>
          <cell r="R9940">
            <v>45887</v>
          </cell>
          <cell r="S9940">
            <v>212035</v>
          </cell>
        </row>
        <row r="9941">
          <cell r="K9941" t="str">
            <v>220002</v>
          </cell>
          <cell r="M9941">
            <v>4</v>
          </cell>
          <cell r="R9941">
            <v>45887</v>
          </cell>
          <cell r="S9941">
            <v>220002</v>
          </cell>
        </row>
        <row r="9942">
          <cell r="K9942" t="str">
            <v>201003</v>
          </cell>
          <cell r="M9942">
            <v>2</v>
          </cell>
          <cell r="R9942">
            <v>45887</v>
          </cell>
          <cell r="S9942">
            <v>201003</v>
          </cell>
        </row>
        <row r="9943">
          <cell r="K9943" t="str">
            <v>223001</v>
          </cell>
          <cell r="M9943">
            <v>1</v>
          </cell>
          <cell r="R9943">
            <v>45887</v>
          </cell>
          <cell r="S9943">
            <v>223001</v>
          </cell>
        </row>
        <row r="9944">
          <cell r="K9944" t="str">
            <v>223002</v>
          </cell>
          <cell r="M9944">
            <v>1</v>
          </cell>
          <cell r="R9944">
            <v>45887</v>
          </cell>
          <cell r="S9944">
            <v>223002</v>
          </cell>
        </row>
        <row r="9945">
          <cell r="K9945" t="str">
            <v>227012</v>
          </cell>
          <cell r="M9945">
            <v>1</v>
          </cell>
          <cell r="R9945">
            <v>45887</v>
          </cell>
          <cell r="S9945">
            <v>227012</v>
          </cell>
        </row>
        <row r="9946">
          <cell r="K9946" t="str">
            <v>227001</v>
          </cell>
          <cell r="M9946">
            <v>2</v>
          </cell>
          <cell r="R9946">
            <v>45887</v>
          </cell>
          <cell r="S9946">
            <v>227001</v>
          </cell>
        </row>
        <row r="9947">
          <cell r="K9947" t="str">
            <v>201021</v>
          </cell>
          <cell r="M9947">
            <v>1</v>
          </cell>
          <cell r="R9947">
            <v>45887</v>
          </cell>
          <cell r="S9947">
            <v>201021</v>
          </cell>
        </row>
        <row r="9948">
          <cell r="K9948" t="str">
            <v>201022</v>
          </cell>
          <cell r="M9948">
            <v>2</v>
          </cell>
          <cell r="R9948">
            <v>45887</v>
          </cell>
          <cell r="S9948">
            <v>201022</v>
          </cell>
        </row>
        <row r="9949">
          <cell r="K9949" t="str">
            <v>228001</v>
          </cell>
          <cell r="M9949">
            <v>5</v>
          </cell>
          <cell r="R9949">
            <v>45887</v>
          </cell>
          <cell r="S9949">
            <v>228001</v>
          </cell>
        </row>
        <row r="9950">
          <cell r="K9950" t="str">
            <v>217018</v>
          </cell>
          <cell r="M9950">
            <v>2</v>
          </cell>
          <cell r="R9950">
            <v>45887</v>
          </cell>
          <cell r="S9950">
            <v>217018</v>
          </cell>
        </row>
        <row r="9951">
          <cell r="K9951" t="str">
            <v>228001</v>
          </cell>
          <cell r="M9951">
            <v>15</v>
          </cell>
          <cell r="R9951">
            <v>45887</v>
          </cell>
          <cell r="S9951">
            <v>228001</v>
          </cell>
        </row>
        <row r="9952">
          <cell r="K9952" t="str">
            <v>213002</v>
          </cell>
          <cell r="M9952">
            <v>3</v>
          </cell>
          <cell r="R9952">
            <v>45887</v>
          </cell>
          <cell r="S9952">
            <v>213002</v>
          </cell>
        </row>
        <row r="9953">
          <cell r="K9953" t="str">
            <v>217006</v>
          </cell>
          <cell r="M9953">
            <v>2</v>
          </cell>
          <cell r="R9953">
            <v>45887</v>
          </cell>
          <cell r="S9953">
            <v>217006</v>
          </cell>
        </row>
        <row r="9954">
          <cell r="K9954" t="str">
            <v>213003</v>
          </cell>
          <cell r="M9954">
            <v>1</v>
          </cell>
          <cell r="R9954">
            <v>45887</v>
          </cell>
          <cell r="S9954">
            <v>213003</v>
          </cell>
        </row>
        <row r="9955">
          <cell r="K9955" t="str">
            <v>213024</v>
          </cell>
          <cell r="M9955">
            <v>1</v>
          </cell>
          <cell r="R9955">
            <v>45887</v>
          </cell>
          <cell r="S9955">
            <v>213024</v>
          </cell>
        </row>
        <row r="9956">
          <cell r="K9956" t="str">
            <v>217022</v>
          </cell>
          <cell r="M9956">
            <v>2</v>
          </cell>
          <cell r="R9956">
            <v>45887</v>
          </cell>
          <cell r="S9956">
            <v>217022</v>
          </cell>
        </row>
        <row r="9957">
          <cell r="K9957" t="str">
            <v>213003</v>
          </cell>
          <cell r="M9957">
            <v>1</v>
          </cell>
          <cell r="R9957">
            <v>45887</v>
          </cell>
          <cell r="S9957">
            <v>213003</v>
          </cell>
        </row>
        <row r="9958">
          <cell r="K9958" t="str">
            <v>217018</v>
          </cell>
          <cell r="M9958">
            <v>2</v>
          </cell>
          <cell r="R9958">
            <v>45887</v>
          </cell>
          <cell r="S9958">
            <v>217018</v>
          </cell>
        </row>
        <row r="9959">
          <cell r="K9959" t="str">
            <v>213003</v>
          </cell>
          <cell r="M9959">
            <v>3</v>
          </cell>
          <cell r="R9959">
            <v>45887</v>
          </cell>
          <cell r="S9959">
            <v>213003</v>
          </cell>
        </row>
        <row r="9960">
          <cell r="K9960" t="str">
            <v>223002</v>
          </cell>
          <cell r="M9960">
            <v>4</v>
          </cell>
          <cell r="R9960">
            <v>45887</v>
          </cell>
          <cell r="S9960">
            <v>223002</v>
          </cell>
        </row>
        <row r="9961">
          <cell r="K9961" t="str">
            <v>201002</v>
          </cell>
          <cell r="M9961">
            <v>1</v>
          </cell>
          <cell r="R9961">
            <v>45887</v>
          </cell>
          <cell r="S9961">
            <v>201002</v>
          </cell>
        </row>
        <row r="9962">
          <cell r="K9962" t="str">
            <v>228001</v>
          </cell>
          <cell r="M9962">
            <v>54</v>
          </cell>
          <cell r="R9962">
            <v>45887</v>
          </cell>
          <cell r="S9962">
            <v>228001</v>
          </cell>
        </row>
        <row r="9963">
          <cell r="K9963" t="str">
            <v>228001</v>
          </cell>
          <cell r="M9963">
            <v>30</v>
          </cell>
          <cell r="R9963">
            <v>45887</v>
          </cell>
          <cell r="S9963">
            <v>228001</v>
          </cell>
        </row>
        <row r="9964">
          <cell r="K9964" t="str">
            <v>217022</v>
          </cell>
          <cell r="M9964">
            <v>10</v>
          </cell>
          <cell r="R9964">
            <v>45887</v>
          </cell>
          <cell r="S9964">
            <v>217022</v>
          </cell>
        </row>
        <row r="9965">
          <cell r="K9965" t="str">
            <v>229004</v>
          </cell>
          <cell r="M9965">
            <v>8</v>
          </cell>
          <cell r="R9965">
            <v>45887</v>
          </cell>
          <cell r="S9965">
            <v>229004</v>
          </cell>
        </row>
        <row r="9966">
          <cell r="K9966" t="str">
            <v>207017</v>
          </cell>
          <cell r="M9966">
            <v>1</v>
          </cell>
          <cell r="R9966">
            <v>45887</v>
          </cell>
          <cell r="S9966">
            <v>207017</v>
          </cell>
        </row>
        <row r="9967">
          <cell r="K9967" t="str">
            <v>231012</v>
          </cell>
          <cell r="M9967">
            <v>1</v>
          </cell>
          <cell r="R9967">
            <v>45887</v>
          </cell>
          <cell r="S9967">
            <v>231012</v>
          </cell>
        </row>
        <row r="9968">
          <cell r="K9968" t="str">
            <v>231010</v>
          </cell>
          <cell r="M9968">
            <v>1</v>
          </cell>
          <cell r="R9968">
            <v>45887</v>
          </cell>
          <cell r="S9968">
            <v>231010</v>
          </cell>
        </row>
        <row r="9969">
          <cell r="K9969" t="str">
            <v>229001</v>
          </cell>
          <cell r="M9969">
            <v>5</v>
          </cell>
          <cell r="R9969">
            <v>45887</v>
          </cell>
          <cell r="S9969">
            <v>229001</v>
          </cell>
        </row>
        <row r="9970">
          <cell r="K9970" t="str">
            <v>201003</v>
          </cell>
          <cell r="M9970">
            <v>1</v>
          </cell>
          <cell r="R9970">
            <v>45887</v>
          </cell>
          <cell r="S9970">
            <v>201003</v>
          </cell>
        </row>
        <row r="9971">
          <cell r="K9971" t="str">
            <v>223002</v>
          </cell>
          <cell r="M9971">
            <v>1</v>
          </cell>
          <cell r="R9971">
            <v>45887</v>
          </cell>
          <cell r="S9971">
            <v>223002</v>
          </cell>
        </row>
        <row r="9972">
          <cell r="K9972" t="str">
            <v>228001</v>
          </cell>
          <cell r="M9972">
            <v>8</v>
          </cell>
          <cell r="R9972">
            <v>45887</v>
          </cell>
          <cell r="S9972">
            <v>228001</v>
          </cell>
        </row>
        <row r="9973">
          <cell r="K9973" t="str">
            <v>207017</v>
          </cell>
          <cell r="M9973">
            <v>1</v>
          </cell>
          <cell r="R9973">
            <v>45887</v>
          </cell>
          <cell r="S9973">
            <v>207017</v>
          </cell>
        </row>
        <row r="9974">
          <cell r="K9974" t="str">
            <v>203001</v>
          </cell>
          <cell r="M9974">
            <v>1</v>
          </cell>
          <cell r="R9974">
            <v>45887</v>
          </cell>
          <cell r="S9974">
            <v>203001</v>
          </cell>
        </row>
        <row r="9975">
          <cell r="K9975" t="str">
            <v>228001</v>
          </cell>
          <cell r="M9975">
            <v>1</v>
          </cell>
          <cell r="R9975">
            <v>45887</v>
          </cell>
          <cell r="S9975">
            <v>228001</v>
          </cell>
        </row>
        <row r="9976">
          <cell r="K9976" t="str">
            <v>228001</v>
          </cell>
          <cell r="M9976">
            <v>10</v>
          </cell>
          <cell r="R9976">
            <v>45887</v>
          </cell>
          <cell r="S9976">
            <v>228001</v>
          </cell>
        </row>
        <row r="9977">
          <cell r="K9977" t="str">
            <v>217019</v>
          </cell>
          <cell r="M9977">
            <v>12</v>
          </cell>
          <cell r="R9977">
            <v>45887</v>
          </cell>
          <cell r="S9977">
            <v>217019</v>
          </cell>
        </row>
        <row r="9978">
          <cell r="K9978" t="str">
            <v>210014</v>
          </cell>
          <cell r="M9978">
            <v>4</v>
          </cell>
          <cell r="R9978">
            <v>45887</v>
          </cell>
          <cell r="S9978">
            <v>210014</v>
          </cell>
        </row>
        <row r="9979">
          <cell r="K9979" t="str">
            <v>201002</v>
          </cell>
          <cell r="M9979">
            <v>10</v>
          </cell>
          <cell r="R9979">
            <v>45887</v>
          </cell>
          <cell r="S9979">
            <v>201002</v>
          </cell>
        </row>
        <row r="9980">
          <cell r="K9980" t="str">
            <v>226027</v>
          </cell>
          <cell r="M9980">
            <v>2</v>
          </cell>
          <cell r="R9980">
            <v>45887</v>
          </cell>
          <cell r="S9980">
            <v>226027</v>
          </cell>
        </row>
        <row r="9981">
          <cell r="K9981" t="str">
            <v>227012</v>
          </cell>
          <cell r="M9981">
            <v>2</v>
          </cell>
          <cell r="R9981">
            <v>45887</v>
          </cell>
          <cell r="S9981">
            <v>227012</v>
          </cell>
        </row>
        <row r="9982">
          <cell r="K9982" t="str">
            <v>223001</v>
          </cell>
          <cell r="M9982">
            <v>10</v>
          </cell>
          <cell r="R9982">
            <v>45887</v>
          </cell>
          <cell r="S9982">
            <v>223001</v>
          </cell>
        </row>
        <row r="9983">
          <cell r="K9983" t="str">
            <v>223002</v>
          </cell>
          <cell r="M9983">
            <v>1</v>
          </cell>
          <cell r="R9983">
            <v>45887</v>
          </cell>
          <cell r="S9983">
            <v>223002</v>
          </cell>
        </row>
        <row r="9984">
          <cell r="K9984" t="str">
            <v>217006</v>
          </cell>
          <cell r="M9984">
            <v>2</v>
          </cell>
          <cell r="R9984">
            <v>45887</v>
          </cell>
          <cell r="S9984">
            <v>217006</v>
          </cell>
        </row>
        <row r="9985">
          <cell r="K9985" t="str">
            <v>201003</v>
          </cell>
          <cell r="M9985">
            <v>1</v>
          </cell>
          <cell r="R9985">
            <v>45887</v>
          </cell>
          <cell r="S9985">
            <v>201003</v>
          </cell>
        </row>
        <row r="9986">
          <cell r="K9986" t="str">
            <v>207017</v>
          </cell>
          <cell r="M9986">
            <v>1</v>
          </cell>
          <cell r="R9986">
            <v>45887</v>
          </cell>
          <cell r="S9986">
            <v>207017</v>
          </cell>
        </row>
        <row r="9987">
          <cell r="K9987" t="str">
            <v>209004</v>
          </cell>
          <cell r="M9987">
            <v>1</v>
          </cell>
          <cell r="R9987">
            <v>45887</v>
          </cell>
          <cell r="S9987">
            <v>209004</v>
          </cell>
        </row>
        <row r="9988">
          <cell r="K9988" t="str">
            <v>201003</v>
          </cell>
          <cell r="M9988">
            <v>1</v>
          </cell>
          <cell r="R9988">
            <v>45887</v>
          </cell>
          <cell r="S9988">
            <v>201003</v>
          </cell>
        </row>
        <row r="9989">
          <cell r="K9989" t="str">
            <v>207017</v>
          </cell>
          <cell r="M9989">
            <v>1</v>
          </cell>
          <cell r="R9989">
            <v>45887</v>
          </cell>
          <cell r="S9989">
            <v>207017</v>
          </cell>
        </row>
        <row r="9990">
          <cell r="K9990" t="str">
            <v>201002</v>
          </cell>
          <cell r="M9990">
            <v>4</v>
          </cell>
          <cell r="R9990">
            <v>45887</v>
          </cell>
          <cell r="S9990">
            <v>201002</v>
          </cell>
        </row>
        <row r="9991">
          <cell r="K9991" t="str">
            <v>228001</v>
          </cell>
          <cell r="M9991">
            <v>3</v>
          </cell>
          <cell r="R9991">
            <v>45887</v>
          </cell>
          <cell r="S9991">
            <v>228001</v>
          </cell>
        </row>
        <row r="9992">
          <cell r="K9992" t="str">
            <v>228001</v>
          </cell>
          <cell r="M9992">
            <v>2</v>
          </cell>
          <cell r="R9992">
            <v>45887</v>
          </cell>
          <cell r="S9992">
            <v>228001</v>
          </cell>
        </row>
        <row r="9993">
          <cell r="K9993" t="str">
            <v>228001</v>
          </cell>
          <cell r="M9993">
            <v>15</v>
          </cell>
          <cell r="R9993">
            <v>45888</v>
          </cell>
          <cell r="S9993">
            <v>228001</v>
          </cell>
        </row>
        <row r="9994">
          <cell r="K9994" t="str">
            <v>213003</v>
          </cell>
          <cell r="M9994">
            <v>1</v>
          </cell>
          <cell r="R9994">
            <v>45888</v>
          </cell>
          <cell r="S9994">
            <v>213003</v>
          </cell>
        </row>
        <row r="9995">
          <cell r="K9995" t="str">
            <v>222003</v>
          </cell>
          <cell r="M9995">
            <v>1</v>
          </cell>
          <cell r="R9995">
            <v>45888</v>
          </cell>
          <cell r="S9995">
            <v>222003</v>
          </cell>
        </row>
        <row r="9996">
          <cell r="K9996" t="str">
            <v>227001</v>
          </cell>
          <cell r="M9996">
            <v>1</v>
          </cell>
          <cell r="R9996">
            <v>45888</v>
          </cell>
          <cell r="S9996">
            <v>227001</v>
          </cell>
        </row>
        <row r="9997">
          <cell r="K9997" t="str">
            <v>213002</v>
          </cell>
          <cell r="M9997">
            <v>2</v>
          </cell>
          <cell r="R9997">
            <v>45888</v>
          </cell>
          <cell r="S9997">
            <v>213002</v>
          </cell>
        </row>
        <row r="9998">
          <cell r="K9998" t="str">
            <v>201002</v>
          </cell>
          <cell r="M9998">
            <v>3</v>
          </cell>
          <cell r="R9998">
            <v>45887</v>
          </cell>
          <cell r="S9998">
            <v>201002</v>
          </cell>
        </row>
        <row r="9999">
          <cell r="K9999" t="str">
            <v>201021</v>
          </cell>
          <cell r="M9999">
            <v>2</v>
          </cell>
          <cell r="R9999">
            <v>45887</v>
          </cell>
          <cell r="S9999">
            <v>201021</v>
          </cell>
        </row>
        <row r="10000">
          <cell r="K10000" t="str">
            <v>226030</v>
          </cell>
          <cell r="M10000">
            <v>2</v>
          </cell>
          <cell r="R10000">
            <v>45887</v>
          </cell>
          <cell r="S10000">
            <v>226030</v>
          </cell>
        </row>
        <row r="10001">
          <cell r="K10001" t="str">
            <v>226001</v>
          </cell>
          <cell r="M10001">
            <v>2</v>
          </cell>
          <cell r="R10001">
            <v>45887</v>
          </cell>
          <cell r="S10001">
            <v>226001</v>
          </cell>
        </row>
        <row r="10002">
          <cell r="K10002" t="str">
            <v>231012</v>
          </cell>
          <cell r="M10002">
            <v>2</v>
          </cell>
          <cell r="R10002">
            <v>45887</v>
          </cell>
          <cell r="S10002">
            <v>231012</v>
          </cell>
        </row>
        <row r="10003">
          <cell r="K10003" t="str">
            <v>227012</v>
          </cell>
          <cell r="M10003">
            <v>1</v>
          </cell>
          <cell r="R10003">
            <v>45887</v>
          </cell>
          <cell r="S10003">
            <v>227012</v>
          </cell>
        </row>
        <row r="10004">
          <cell r="K10004" t="str">
            <v>241001</v>
          </cell>
          <cell r="M10004">
            <v>3</v>
          </cell>
          <cell r="R10004">
            <v>45887</v>
          </cell>
          <cell r="S10004">
            <v>241001</v>
          </cell>
        </row>
        <row r="10005">
          <cell r="K10005" t="str">
            <v>261004</v>
          </cell>
          <cell r="M10005">
            <v>1</v>
          </cell>
          <cell r="R10005">
            <v>45887</v>
          </cell>
          <cell r="S10005">
            <v>261004</v>
          </cell>
        </row>
        <row r="10006">
          <cell r="K10006" t="str">
            <v>222001</v>
          </cell>
          <cell r="M10006">
            <v>5</v>
          </cell>
          <cell r="R10006">
            <v>45887</v>
          </cell>
          <cell r="S10006">
            <v>222001</v>
          </cell>
        </row>
        <row r="10007">
          <cell r="K10007" t="str">
            <v>203003</v>
          </cell>
          <cell r="M10007">
            <v>3</v>
          </cell>
          <cell r="R10007">
            <v>45887</v>
          </cell>
          <cell r="S10007">
            <v>203003</v>
          </cell>
        </row>
        <row r="10008">
          <cell r="K10008" t="str">
            <v>201021</v>
          </cell>
          <cell r="M10008">
            <v>3</v>
          </cell>
          <cell r="R10008">
            <v>45886</v>
          </cell>
          <cell r="S10008">
            <v>201021</v>
          </cell>
        </row>
        <row r="10009">
          <cell r="K10009" t="str">
            <v>203001</v>
          </cell>
          <cell r="M10009">
            <v>4</v>
          </cell>
          <cell r="R10009">
            <v>45887</v>
          </cell>
          <cell r="S10009">
            <v>203001</v>
          </cell>
        </row>
        <row r="10010">
          <cell r="K10010" t="str">
            <v>227012</v>
          </cell>
          <cell r="M10010">
            <v>2</v>
          </cell>
          <cell r="R10010">
            <v>45887</v>
          </cell>
          <cell r="S10010">
            <v>227012</v>
          </cell>
        </row>
        <row r="10011">
          <cell r="K10011" t="str">
            <v>227012</v>
          </cell>
          <cell r="M10011">
            <v>5</v>
          </cell>
          <cell r="R10011">
            <v>45887</v>
          </cell>
          <cell r="S10011">
            <v>227012</v>
          </cell>
        </row>
        <row r="10012">
          <cell r="K10012" t="str">
            <v>223002</v>
          </cell>
          <cell r="M10012">
            <v>5</v>
          </cell>
          <cell r="R10012">
            <v>45887</v>
          </cell>
          <cell r="S10012">
            <v>223002</v>
          </cell>
        </row>
        <row r="10013">
          <cell r="K10013" t="str">
            <v>220002</v>
          </cell>
          <cell r="M10013">
            <v>1</v>
          </cell>
          <cell r="R10013">
            <v>45887</v>
          </cell>
          <cell r="S10013">
            <v>220002</v>
          </cell>
        </row>
        <row r="10014">
          <cell r="K10014" t="str">
            <v>223001</v>
          </cell>
          <cell r="M10014">
            <v>2</v>
          </cell>
          <cell r="R10014">
            <v>45887</v>
          </cell>
          <cell r="S10014">
            <v>223001</v>
          </cell>
        </row>
        <row r="10015">
          <cell r="K10015" t="str">
            <v>228001</v>
          </cell>
          <cell r="M10015">
            <v>10</v>
          </cell>
          <cell r="R10015">
            <v>45888</v>
          </cell>
          <cell r="S10015">
            <v>228001</v>
          </cell>
        </row>
        <row r="10016">
          <cell r="K10016" t="str">
            <v>223002</v>
          </cell>
          <cell r="M10016">
            <v>2</v>
          </cell>
          <cell r="R10016">
            <v>45888</v>
          </cell>
          <cell r="S10016">
            <v>223002</v>
          </cell>
        </row>
        <row r="10017">
          <cell r="K10017" t="str">
            <v>227012</v>
          </cell>
          <cell r="M10017">
            <v>2</v>
          </cell>
          <cell r="R10017">
            <v>45888</v>
          </cell>
          <cell r="S10017">
            <v>227012</v>
          </cell>
        </row>
        <row r="10018">
          <cell r="K10018" t="str">
            <v>205004</v>
          </cell>
          <cell r="M10018">
            <v>1</v>
          </cell>
          <cell r="R10018">
            <v>45888</v>
          </cell>
          <cell r="S10018">
            <v>205004</v>
          </cell>
        </row>
        <row r="10019">
          <cell r="K10019" t="str">
            <v>234001</v>
          </cell>
          <cell r="M10019">
            <v>1</v>
          </cell>
          <cell r="R10019">
            <v>45888</v>
          </cell>
          <cell r="S10019">
            <v>234001</v>
          </cell>
        </row>
        <row r="10020">
          <cell r="K10020" t="str">
            <v>234011</v>
          </cell>
          <cell r="M10020">
            <v>1</v>
          </cell>
          <cell r="R10020">
            <v>45888</v>
          </cell>
          <cell r="S10020">
            <v>234011</v>
          </cell>
        </row>
        <row r="10021">
          <cell r="K10021" t="str">
            <v>212010</v>
          </cell>
          <cell r="M10021">
            <v>20</v>
          </cell>
          <cell r="R10021">
            <v>45888</v>
          </cell>
          <cell r="S10021">
            <v>212010</v>
          </cell>
        </row>
        <row r="10022">
          <cell r="K10022" t="str">
            <v>261004</v>
          </cell>
          <cell r="M10022">
            <v>20</v>
          </cell>
          <cell r="R10022">
            <v>45888</v>
          </cell>
          <cell r="S10022">
            <v>261004</v>
          </cell>
        </row>
        <row r="10023">
          <cell r="K10023" t="str">
            <v>228001</v>
          </cell>
          <cell r="M10023">
            <v>15</v>
          </cell>
          <cell r="R10023">
            <v>45888</v>
          </cell>
          <cell r="S10023">
            <v>228001</v>
          </cell>
        </row>
        <row r="10024">
          <cell r="K10024" t="str">
            <v>213002</v>
          </cell>
          <cell r="M10024">
            <v>8</v>
          </cell>
          <cell r="R10024">
            <v>45888</v>
          </cell>
          <cell r="S10024">
            <v>213002</v>
          </cell>
        </row>
        <row r="10025">
          <cell r="K10025" t="str">
            <v>226001</v>
          </cell>
          <cell r="M10025">
            <v>1</v>
          </cell>
          <cell r="R10025">
            <v>45888</v>
          </cell>
          <cell r="S10025">
            <v>226001</v>
          </cell>
        </row>
        <row r="10026">
          <cell r="K10026" t="str">
            <v>228001</v>
          </cell>
          <cell r="M10026">
            <v>6</v>
          </cell>
          <cell r="R10026">
            <v>45888</v>
          </cell>
          <cell r="S10026">
            <v>228001</v>
          </cell>
        </row>
        <row r="10027">
          <cell r="K10027" t="str">
            <v>226001</v>
          </cell>
          <cell r="M10027">
            <v>4</v>
          </cell>
          <cell r="R10027">
            <v>45888</v>
          </cell>
          <cell r="S10027">
            <v>226001</v>
          </cell>
        </row>
        <row r="10028">
          <cell r="K10028" t="str">
            <v>223002</v>
          </cell>
          <cell r="M10028">
            <v>3</v>
          </cell>
          <cell r="R10028">
            <v>45887</v>
          </cell>
          <cell r="S10028">
            <v>223002</v>
          </cell>
        </row>
        <row r="10029">
          <cell r="K10029" t="str">
            <v>227012</v>
          </cell>
          <cell r="M10029">
            <v>3</v>
          </cell>
          <cell r="R10029">
            <v>45887</v>
          </cell>
          <cell r="S10029">
            <v>227012</v>
          </cell>
        </row>
        <row r="10030">
          <cell r="K10030" t="str">
            <v>226001</v>
          </cell>
          <cell r="M10030">
            <v>1</v>
          </cell>
          <cell r="R10030">
            <v>45888</v>
          </cell>
          <cell r="S10030">
            <v>226001</v>
          </cell>
        </row>
        <row r="10031">
          <cell r="K10031" t="str">
            <v>213006</v>
          </cell>
          <cell r="M10031">
            <v>2</v>
          </cell>
          <cell r="R10031">
            <v>45888</v>
          </cell>
          <cell r="S10031">
            <v>213006</v>
          </cell>
        </row>
        <row r="10032">
          <cell r="K10032" t="str">
            <v>213002</v>
          </cell>
          <cell r="M10032">
            <v>3</v>
          </cell>
          <cell r="R10032">
            <v>45888</v>
          </cell>
          <cell r="S10032">
            <v>213002</v>
          </cell>
        </row>
        <row r="10033">
          <cell r="K10033" t="str">
            <v>228001</v>
          </cell>
          <cell r="M10033">
            <v>60</v>
          </cell>
          <cell r="R10033">
            <v>45888</v>
          </cell>
          <cell r="S10033">
            <v>228001</v>
          </cell>
        </row>
        <row r="10034">
          <cell r="K10034" t="str">
            <v>228001</v>
          </cell>
          <cell r="M10034">
            <v>60</v>
          </cell>
          <cell r="R10034">
            <v>45888</v>
          </cell>
          <cell r="S10034">
            <v>228001</v>
          </cell>
        </row>
        <row r="10035">
          <cell r="K10035" t="str">
            <v>213003</v>
          </cell>
          <cell r="M10035">
            <v>2</v>
          </cell>
          <cell r="R10035">
            <v>45888</v>
          </cell>
          <cell r="S10035">
            <v>213003</v>
          </cell>
        </row>
        <row r="10036">
          <cell r="K10036" t="str">
            <v>228001</v>
          </cell>
          <cell r="M10036">
            <v>60</v>
          </cell>
          <cell r="R10036">
            <v>45888</v>
          </cell>
          <cell r="S10036">
            <v>228001</v>
          </cell>
        </row>
        <row r="10037">
          <cell r="K10037" t="str">
            <v>228001</v>
          </cell>
          <cell r="M10037">
            <v>10</v>
          </cell>
          <cell r="R10037">
            <v>45888</v>
          </cell>
          <cell r="S10037">
            <v>228001</v>
          </cell>
        </row>
        <row r="10038">
          <cell r="K10038" t="str">
            <v>209016</v>
          </cell>
          <cell r="M10038">
            <v>1</v>
          </cell>
          <cell r="R10038">
            <v>45888</v>
          </cell>
          <cell r="S10038">
            <v>209016</v>
          </cell>
        </row>
        <row r="10039">
          <cell r="K10039" t="str">
            <v>231012</v>
          </cell>
          <cell r="M10039">
            <v>2</v>
          </cell>
          <cell r="R10039">
            <v>45888</v>
          </cell>
          <cell r="S10039">
            <v>231012</v>
          </cell>
        </row>
        <row r="10040">
          <cell r="K10040" t="str">
            <v>203001</v>
          </cell>
          <cell r="M10040">
            <v>2</v>
          </cell>
          <cell r="R10040">
            <v>45888</v>
          </cell>
          <cell r="S10040">
            <v>203001</v>
          </cell>
        </row>
        <row r="10041">
          <cell r="K10041" t="str">
            <v>210013</v>
          </cell>
          <cell r="M10041">
            <v>1</v>
          </cell>
          <cell r="R10041">
            <v>45888</v>
          </cell>
          <cell r="S10041">
            <v>210013</v>
          </cell>
        </row>
        <row r="10042">
          <cell r="K10042" t="str">
            <v>201002</v>
          </cell>
          <cell r="M10042">
            <v>2</v>
          </cell>
          <cell r="R10042">
            <v>45888</v>
          </cell>
          <cell r="S10042">
            <v>201002</v>
          </cell>
        </row>
        <row r="10043">
          <cell r="K10043" t="str">
            <v>241001</v>
          </cell>
          <cell r="M10043">
            <v>10</v>
          </cell>
          <cell r="R10043">
            <v>45888</v>
          </cell>
          <cell r="S10043">
            <v>241001</v>
          </cell>
        </row>
        <row r="10044">
          <cell r="K10044" t="str">
            <v>241001</v>
          </cell>
          <cell r="M10044">
            <v>30</v>
          </cell>
          <cell r="R10044">
            <v>45888</v>
          </cell>
          <cell r="S10044">
            <v>241001</v>
          </cell>
        </row>
        <row r="10045">
          <cell r="K10045" t="str">
            <v>228001</v>
          </cell>
          <cell r="M10045">
            <v>13</v>
          </cell>
          <cell r="R10045">
            <v>45888</v>
          </cell>
          <cell r="S10045">
            <v>228001</v>
          </cell>
        </row>
        <row r="10046">
          <cell r="K10046" t="str">
            <v>201021</v>
          </cell>
          <cell r="M10046">
            <v>3</v>
          </cell>
          <cell r="R10046">
            <v>45888</v>
          </cell>
          <cell r="S10046">
            <v>201021</v>
          </cell>
        </row>
        <row r="10047">
          <cell r="K10047" t="str">
            <v>231012</v>
          </cell>
          <cell r="M10047">
            <v>1</v>
          </cell>
          <cell r="R10047">
            <v>45888</v>
          </cell>
          <cell r="S10047">
            <v>231012</v>
          </cell>
        </row>
        <row r="10048">
          <cell r="K10048" t="str">
            <v>226001</v>
          </cell>
          <cell r="M10048">
            <v>1</v>
          </cell>
          <cell r="R10048">
            <v>45888</v>
          </cell>
          <cell r="S10048">
            <v>226001</v>
          </cell>
        </row>
        <row r="10049">
          <cell r="K10049" t="str">
            <v>207002</v>
          </cell>
          <cell r="M10049">
            <v>1</v>
          </cell>
          <cell r="R10049">
            <v>45888</v>
          </cell>
          <cell r="S10049">
            <v>207002</v>
          </cell>
        </row>
        <row r="10050">
          <cell r="K10050" t="str">
            <v>217018</v>
          </cell>
          <cell r="M10050">
            <v>1</v>
          </cell>
          <cell r="R10050">
            <v>45888</v>
          </cell>
          <cell r="S10050">
            <v>217018</v>
          </cell>
        </row>
        <row r="10051">
          <cell r="K10051" t="str">
            <v>203003</v>
          </cell>
          <cell r="M10051">
            <v>1</v>
          </cell>
          <cell r="R10051">
            <v>45888</v>
          </cell>
          <cell r="S10051">
            <v>203003</v>
          </cell>
        </row>
        <row r="10052">
          <cell r="K10052" t="str">
            <v>201021</v>
          </cell>
          <cell r="M10052">
            <v>1</v>
          </cell>
          <cell r="R10052">
            <v>45888</v>
          </cell>
          <cell r="S10052">
            <v>201021</v>
          </cell>
        </row>
        <row r="10053">
          <cell r="K10053" t="str">
            <v>201021</v>
          </cell>
          <cell r="M10053">
            <v>1</v>
          </cell>
          <cell r="R10053">
            <v>45888</v>
          </cell>
          <cell r="S10053">
            <v>201021</v>
          </cell>
        </row>
        <row r="10054">
          <cell r="K10054" t="str">
            <v>223001</v>
          </cell>
          <cell r="M10054">
            <v>3</v>
          </cell>
          <cell r="R10054">
            <v>45888</v>
          </cell>
          <cell r="S10054">
            <v>223001</v>
          </cell>
        </row>
        <row r="10055">
          <cell r="K10055" t="str">
            <v>226001</v>
          </cell>
          <cell r="M10055">
            <v>4</v>
          </cell>
          <cell r="R10055">
            <v>45888</v>
          </cell>
          <cell r="S10055">
            <v>226001</v>
          </cell>
        </row>
        <row r="10056">
          <cell r="K10056" t="str">
            <v>201021</v>
          </cell>
          <cell r="M10056">
            <v>4</v>
          </cell>
          <cell r="R10056">
            <v>45888</v>
          </cell>
          <cell r="S10056">
            <v>201021</v>
          </cell>
        </row>
        <row r="10057">
          <cell r="K10057" t="str">
            <v>213003</v>
          </cell>
          <cell r="M10057">
            <v>1</v>
          </cell>
          <cell r="R10057">
            <v>45888</v>
          </cell>
          <cell r="S10057">
            <v>213003</v>
          </cell>
        </row>
        <row r="10058">
          <cell r="K10058" t="str">
            <v>201021</v>
          </cell>
          <cell r="M10058">
            <v>5</v>
          </cell>
          <cell r="R10058">
            <v>45888</v>
          </cell>
          <cell r="S10058">
            <v>201021</v>
          </cell>
        </row>
        <row r="10059">
          <cell r="K10059" t="str">
            <v>212035</v>
          </cell>
          <cell r="M10059">
            <v>1</v>
          </cell>
          <cell r="R10059">
            <v>45888</v>
          </cell>
          <cell r="S10059">
            <v>212035</v>
          </cell>
        </row>
        <row r="10060">
          <cell r="K10060" t="str">
            <v>229001</v>
          </cell>
          <cell r="M10060">
            <v>2</v>
          </cell>
          <cell r="R10060">
            <v>45889</v>
          </cell>
          <cell r="S10060">
            <v>229001</v>
          </cell>
        </row>
        <row r="10061">
          <cell r="K10061" t="str">
            <v>209004</v>
          </cell>
          <cell r="M10061">
            <v>1</v>
          </cell>
          <cell r="R10061">
            <v>45889</v>
          </cell>
          <cell r="S10061">
            <v>209004</v>
          </cell>
        </row>
        <row r="10062">
          <cell r="K10062" t="str">
            <v>212035</v>
          </cell>
          <cell r="M10062">
            <v>4</v>
          </cell>
          <cell r="R10062">
            <v>45889</v>
          </cell>
          <cell r="S10062">
            <v>212035</v>
          </cell>
        </row>
        <row r="10063">
          <cell r="K10063" t="str">
            <v>203001</v>
          </cell>
          <cell r="M10063">
            <v>4</v>
          </cell>
          <cell r="R10063">
            <v>45888</v>
          </cell>
          <cell r="S10063">
            <v>203001</v>
          </cell>
        </row>
        <row r="10064">
          <cell r="K10064" t="str">
            <v>234011</v>
          </cell>
          <cell r="M10064">
            <v>1</v>
          </cell>
          <cell r="R10064">
            <v>45888</v>
          </cell>
          <cell r="S10064">
            <v>234011</v>
          </cell>
        </row>
        <row r="10065">
          <cell r="K10065" t="str">
            <v>223001</v>
          </cell>
          <cell r="M10065">
            <v>1</v>
          </cell>
          <cell r="R10065">
            <v>45888</v>
          </cell>
          <cell r="S10065">
            <v>223001</v>
          </cell>
        </row>
        <row r="10066">
          <cell r="K10066" t="str">
            <v>241001</v>
          </cell>
          <cell r="M10066">
            <v>3</v>
          </cell>
          <cell r="R10066">
            <v>45888</v>
          </cell>
          <cell r="S10066">
            <v>241001</v>
          </cell>
        </row>
        <row r="10067">
          <cell r="K10067" t="str">
            <v>201021</v>
          </cell>
          <cell r="M10067">
            <v>2</v>
          </cell>
          <cell r="R10067">
            <v>45888</v>
          </cell>
          <cell r="S10067">
            <v>201021</v>
          </cell>
        </row>
        <row r="10068">
          <cell r="K10068" t="str">
            <v>201022</v>
          </cell>
          <cell r="M10068">
            <v>1</v>
          </cell>
          <cell r="R10068">
            <v>45888</v>
          </cell>
          <cell r="S10068">
            <v>201022</v>
          </cell>
        </row>
        <row r="10069">
          <cell r="K10069" t="str">
            <v>217002</v>
          </cell>
          <cell r="M10069">
            <v>1</v>
          </cell>
          <cell r="R10069">
            <v>45888</v>
          </cell>
          <cell r="S10069">
            <v>217002</v>
          </cell>
        </row>
        <row r="10070">
          <cell r="K10070" t="str">
            <v>201021</v>
          </cell>
          <cell r="M10070">
            <v>1</v>
          </cell>
          <cell r="R10070">
            <v>45888</v>
          </cell>
          <cell r="S10070">
            <v>201021</v>
          </cell>
        </row>
        <row r="10071">
          <cell r="K10071" t="str">
            <v>223001</v>
          </cell>
          <cell r="M10071">
            <v>2</v>
          </cell>
          <cell r="R10071">
            <v>45888</v>
          </cell>
          <cell r="S10071">
            <v>223001</v>
          </cell>
        </row>
        <row r="10072">
          <cell r="K10072" t="str">
            <v>213002</v>
          </cell>
          <cell r="M10072">
            <v>1</v>
          </cell>
          <cell r="R10072">
            <v>45888</v>
          </cell>
          <cell r="S10072">
            <v>213002</v>
          </cell>
        </row>
        <row r="10073">
          <cell r="K10073" t="str">
            <v>207017</v>
          </cell>
          <cell r="M10073">
            <v>1</v>
          </cell>
          <cell r="R10073">
            <v>45888</v>
          </cell>
          <cell r="S10073">
            <v>207017</v>
          </cell>
        </row>
        <row r="10074">
          <cell r="K10074" t="str">
            <v>231012</v>
          </cell>
          <cell r="M10074">
            <v>1</v>
          </cell>
          <cell r="R10074">
            <v>45888</v>
          </cell>
          <cell r="S10074">
            <v>231012</v>
          </cell>
        </row>
        <row r="10075">
          <cell r="K10075" t="str">
            <v>203003</v>
          </cell>
          <cell r="M10075">
            <v>2</v>
          </cell>
          <cell r="R10075">
            <v>45888</v>
          </cell>
          <cell r="S10075">
            <v>203003</v>
          </cell>
        </row>
        <row r="10076">
          <cell r="K10076" t="str">
            <v>201021</v>
          </cell>
          <cell r="M10076">
            <v>2</v>
          </cell>
          <cell r="R10076">
            <v>45888</v>
          </cell>
          <cell r="S10076">
            <v>201021</v>
          </cell>
        </row>
        <row r="10077">
          <cell r="K10077" t="str">
            <v>212035</v>
          </cell>
          <cell r="M10077">
            <v>14</v>
          </cell>
          <cell r="R10077">
            <v>45889</v>
          </cell>
          <cell r="S10077">
            <v>212035</v>
          </cell>
        </row>
        <row r="10078">
          <cell r="K10078" t="str">
            <v>228001</v>
          </cell>
          <cell r="M10078">
            <v>3</v>
          </cell>
          <cell r="R10078">
            <v>45889</v>
          </cell>
          <cell r="S10078">
            <v>228001</v>
          </cell>
        </row>
        <row r="10079">
          <cell r="K10079" t="str">
            <v>228001</v>
          </cell>
          <cell r="M10079">
            <v>3</v>
          </cell>
          <cell r="R10079">
            <v>45889</v>
          </cell>
          <cell r="S10079">
            <v>228001</v>
          </cell>
        </row>
        <row r="10080">
          <cell r="K10080" t="str">
            <v>207017</v>
          </cell>
          <cell r="M10080">
            <v>1</v>
          </cell>
          <cell r="R10080">
            <v>45889</v>
          </cell>
          <cell r="S10080">
            <v>207017</v>
          </cell>
        </row>
        <row r="10081">
          <cell r="K10081" t="str">
            <v>212002</v>
          </cell>
          <cell r="M10081">
            <v>1</v>
          </cell>
          <cell r="R10081">
            <v>45889</v>
          </cell>
          <cell r="S10081">
            <v>212002</v>
          </cell>
        </row>
        <row r="10082">
          <cell r="K10082" t="str">
            <v>209004</v>
          </cell>
          <cell r="M10082">
            <v>1</v>
          </cell>
          <cell r="R10082">
            <v>45889</v>
          </cell>
          <cell r="S10082">
            <v>209004</v>
          </cell>
        </row>
        <row r="10083">
          <cell r="K10083" t="str">
            <v>231012</v>
          </cell>
          <cell r="M10083">
            <v>1</v>
          </cell>
          <cell r="R10083">
            <v>45889</v>
          </cell>
          <cell r="S10083">
            <v>231012</v>
          </cell>
        </row>
        <row r="10084">
          <cell r="K10084" t="str">
            <v>223002</v>
          </cell>
          <cell r="M10084">
            <v>1</v>
          </cell>
          <cell r="R10084">
            <v>45889</v>
          </cell>
          <cell r="S10084">
            <v>223002</v>
          </cell>
        </row>
        <row r="10085">
          <cell r="K10085" t="str">
            <v>265001</v>
          </cell>
          <cell r="M10085">
            <v>1</v>
          </cell>
          <cell r="R10085">
            <v>45889</v>
          </cell>
          <cell r="S10085">
            <v>265001</v>
          </cell>
        </row>
        <row r="10086">
          <cell r="K10086" t="str">
            <v>207017</v>
          </cell>
          <cell r="M10086">
            <v>1</v>
          </cell>
          <cell r="R10086">
            <v>45889</v>
          </cell>
          <cell r="S10086">
            <v>207017</v>
          </cell>
        </row>
        <row r="10087">
          <cell r="K10087" t="str">
            <v>231012</v>
          </cell>
          <cell r="M10087">
            <v>1</v>
          </cell>
          <cell r="R10087">
            <v>45889</v>
          </cell>
          <cell r="S10087">
            <v>231012</v>
          </cell>
        </row>
        <row r="10088">
          <cell r="K10088" t="str">
            <v>203001</v>
          </cell>
          <cell r="M10088">
            <v>2</v>
          </cell>
          <cell r="R10088">
            <v>45889</v>
          </cell>
          <cell r="S10088">
            <v>203001</v>
          </cell>
        </row>
        <row r="10089">
          <cell r="K10089" t="str">
            <v>226031</v>
          </cell>
          <cell r="M10089">
            <v>1</v>
          </cell>
          <cell r="R10089">
            <v>45889</v>
          </cell>
          <cell r="S10089">
            <v>226031</v>
          </cell>
        </row>
        <row r="10090">
          <cell r="K10090" t="str">
            <v>228001</v>
          </cell>
          <cell r="M10090">
            <v>5</v>
          </cell>
          <cell r="R10090">
            <v>45889</v>
          </cell>
          <cell r="S10090">
            <v>228001</v>
          </cell>
        </row>
        <row r="10091">
          <cell r="K10091" t="str">
            <v>227012</v>
          </cell>
          <cell r="M10091">
            <v>1</v>
          </cell>
          <cell r="R10091">
            <v>45889</v>
          </cell>
          <cell r="S10091">
            <v>227012</v>
          </cell>
        </row>
        <row r="10092">
          <cell r="K10092" t="str">
            <v>205004</v>
          </cell>
          <cell r="M10092">
            <v>1</v>
          </cell>
          <cell r="R10092">
            <v>45889</v>
          </cell>
          <cell r="S10092">
            <v>205004</v>
          </cell>
        </row>
        <row r="10093">
          <cell r="K10093" t="str">
            <v>231012</v>
          </cell>
          <cell r="M10093">
            <v>10</v>
          </cell>
          <cell r="R10093">
            <v>45889</v>
          </cell>
          <cell r="S10093">
            <v>231012</v>
          </cell>
        </row>
        <row r="10094">
          <cell r="K10094" t="str">
            <v>223002</v>
          </cell>
          <cell r="M10094">
            <v>1</v>
          </cell>
          <cell r="R10094">
            <v>45889</v>
          </cell>
          <cell r="S10094">
            <v>223002</v>
          </cell>
        </row>
        <row r="10095">
          <cell r="K10095" t="str">
            <v>223001</v>
          </cell>
          <cell r="M10095">
            <v>4</v>
          </cell>
          <cell r="R10095">
            <v>45889</v>
          </cell>
          <cell r="S10095">
            <v>223001</v>
          </cell>
        </row>
        <row r="10096">
          <cell r="K10096" t="str">
            <v>227012</v>
          </cell>
          <cell r="M10096">
            <v>1</v>
          </cell>
          <cell r="R10096">
            <v>45889</v>
          </cell>
          <cell r="S10096">
            <v>227012</v>
          </cell>
        </row>
        <row r="10097">
          <cell r="K10097" t="str">
            <v>231004</v>
          </cell>
          <cell r="M10097">
            <v>1</v>
          </cell>
          <cell r="R10097">
            <v>45889</v>
          </cell>
          <cell r="S10097">
            <v>231004</v>
          </cell>
        </row>
        <row r="10098">
          <cell r="K10098" t="str">
            <v>213002</v>
          </cell>
          <cell r="M10098">
            <v>1</v>
          </cell>
          <cell r="R10098">
            <v>45889</v>
          </cell>
          <cell r="S10098">
            <v>213002</v>
          </cell>
        </row>
        <row r="10099">
          <cell r="K10099" t="str">
            <v>223001</v>
          </cell>
          <cell r="M10099">
            <v>2</v>
          </cell>
          <cell r="R10099">
            <v>45889</v>
          </cell>
          <cell r="S10099">
            <v>223001</v>
          </cell>
        </row>
        <row r="10100">
          <cell r="K10100" t="str">
            <v>223001</v>
          </cell>
          <cell r="M10100">
            <v>3</v>
          </cell>
          <cell r="R10100">
            <v>45889</v>
          </cell>
          <cell r="S10100">
            <v>223001</v>
          </cell>
        </row>
        <row r="10101">
          <cell r="K10101" t="str">
            <v>217006</v>
          </cell>
          <cell r="M10101">
            <v>1</v>
          </cell>
          <cell r="R10101">
            <v>45889</v>
          </cell>
          <cell r="S10101">
            <v>217006</v>
          </cell>
        </row>
        <row r="10102">
          <cell r="K10102" t="str">
            <v>213002</v>
          </cell>
          <cell r="M10102">
            <v>1</v>
          </cell>
          <cell r="R10102">
            <v>45889</v>
          </cell>
          <cell r="S10102">
            <v>213002</v>
          </cell>
        </row>
        <row r="10103">
          <cell r="K10103" t="str">
            <v>203001</v>
          </cell>
          <cell r="M10103">
            <v>1</v>
          </cell>
          <cell r="R10103">
            <v>45889</v>
          </cell>
          <cell r="S10103">
            <v>203001</v>
          </cell>
        </row>
        <row r="10104">
          <cell r="K10104" t="str">
            <v>217018</v>
          </cell>
          <cell r="M10104">
            <v>1</v>
          </cell>
          <cell r="R10104">
            <v>45888</v>
          </cell>
          <cell r="S10104">
            <v>217018</v>
          </cell>
        </row>
        <row r="10105">
          <cell r="K10105" t="str">
            <v>213006</v>
          </cell>
          <cell r="M10105">
            <v>4</v>
          </cell>
          <cell r="R10105">
            <v>45889</v>
          </cell>
          <cell r="S10105">
            <v>213006</v>
          </cell>
        </row>
        <row r="10106">
          <cell r="K10106" t="str">
            <v>213002</v>
          </cell>
          <cell r="M10106">
            <v>2</v>
          </cell>
          <cell r="R10106">
            <v>45889</v>
          </cell>
          <cell r="S10106">
            <v>213002</v>
          </cell>
        </row>
        <row r="10107">
          <cell r="K10107" t="str">
            <v>223001</v>
          </cell>
          <cell r="M10107">
            <v>2</v>
          </cell>
          <cell r="R10107">
            <v>45889</v>
          </cell>
          <cell r="S10107">
            <v>223001</v>
          </cell>
        </row>
        <row r="10108">
          <cell r="K10108" t="str">
            <v>217011</v>
          </cell>
          <cell r="M10108">
            <v>2</v>
          </cell>
          <cell r="R10108">
            <v>45889</v>
          </cell>
          <cell r="S10108">
            <v>217011</v>
          </cell>
        </row>
        <row r="10109">
          <cell r="K10109" t="str">
            <v>231012</v>
          </cell>
          <cell r="M10109">
            <v>1</v>
          </cell>
          <cell r="R10109">
            <v>45889</v>
          </cell>
          <cell r="S10109">
            <v>231012</v>
          </cell>
        </row>
        <row r="10110">
          <cell r="K10110" t="str">
            <v>227001</v>
          </cell>
          <cell r="M10110">
            <v>1</v>
          </cell>
          <cell r="R10110">
            <v>45889</v>
          </cell>
          <cell r="S10110">
            <v>227001</v>
          </cell>
        </row>
        <row r="10111">
          <cell r="K10111" t="str">
            <v>201003</v>
          </cell>
          <cell r="M10111">
            <v>1</v>
          </cell>
          <cell r="R10111">
            <v>45889</v>
          </cell>
          <cell r="S10111">
            <v>201003</v>
          </cell>
        </row>
        <row r="10112">
          <cell r="K10112" t="str">
            <v>226001</v>
          </cell>
          <cell r="M10112">
            <v>1</v>
          </cell>
          <cell r="R10112">
            <v>45889</v>
          </cell>
          <cell r="S10112">
            <v>226001</v>
          </cell>
        </row>
        <row r="10113">
          <cell r="K10113" t="str">
            <v>213002</v>
          </cell>
          <cell r="M10113">
            <v>15</v>
          </cell>
          <cell r="R10113">
            <v>45889</v>
          </cell>
          <cell r="S10113">
            <v>213002</v>
          </cell>
        </row>
        <row r="10114">
          <cell r="K10114" t="str">
            <v>223002</v>
          </cell>
          <cell r="M10114">
            <v>3</v>
          </cell>
          <cell r="R10114">
            <v>45889</v>
          </cell>
          <cell r="S10114">
            <v>223002</v>
          </cell>
        </row>
        <row r="10115">
          <cell r="K10115" t="str">
            <v>223002</v>
          </cell>
          <cell r="M10115">
            <v>1</v>
          </cell>
          <cell r="R10115">
            <v>45889</v>
          </cell>
          <cell r="S10115">
            <v>223002</v>
          </cell>
        </row>
        <row r="10116">
          <cell r="K10116" t="str">
            <v>218001</v>
          </cell>
          <cell r="M10116">
            <v>1</v>
          </cell>
          <cell r="R10116">
            <v>45889</v>
          </cell>
          <cell r="S10116">
            <v>218001</v>
          </cell>
        </row>
        <row r="10117">
          <cell r="K10117" t="str">
            <v>228001</v>
          </cell>
          <cell r="M10117">
            <v>1</v>
          </cell>
          <cell r="R10117">
            <v>45889</v>
          </cell>
          <cell r="S10117">
            <v>228001</v>
          </cell>
        </row>
        <row r="10118">
          <cell r="K10118" t="str">
            <v>217018</v>
          </cell>
          <cell r="M10118">
            <v>1</v>
          </cell>
          <cell r="R10118">
            <v>45889</v>
          </cell>
          <cell r="S10118">
            <v>217018</v>
          </cell>
        </row>
        <row r="10119">
          <cell r="K10119" t="str">
            <v>203003</v>
          </cell>
          <cell r="M10119">
            <v>1</v>
          </cell>
          <cell r="R10119">
            <v>45889</v>
          </cell>
          <cell r="S10119">
            <v>203003</v>
          </cell>
        </row>
        <row r="10120">
          <cell r="K10120" t="str">
            <v>234011</v>
          </cell>
          <cell r="M10120">
            <v>1</v>
          </cell>
          <cell r="R10120">
            <v>45889</v>
          </cell>
          <cell r="S10120">
            <v>234011</v>
          </cell>
        </row>
        <row r="10121">
          <cell r="K10121" t="str">
            <v>241001</v>
          </cell>
          <cell r="M10121">
            <v>2</v>
          </cell>
          <cell r="R10121">
            <v>45889</v>
          </cell>
          <cell r="S10121">
            <v>241001</v>
          </cell>
        </row>
        <row r="10122">
          <cell r="K10122" t="str">
            <v>210010</v>
          </cell>
          <cell r="M10122">
            <v>2</v>
          </cell>
          <cell r="R10122">
            <v>45883</v>
          </cell>
          <cell r="S10122">
            <v>210010</v>
          </cell>
        </row>
        <row r="10123">
          <cell r="K10123" t="str">
            <v>210013</v>
          </cell>
          <cell r="M10123">
            <v>9</v>
          </cell>
          <cell r="R10123">
            <v>45889</v>
          </cell>
          <cell r="S10123">
            <v>210013</v>
          </cell>
        </row>
        <row r="10124">
          <cell r="K10124" t="str">
            <v>223001</v>
          </cell>
          <cell r="M10124">
            <v>6</v>
          </cell>
          <cell r="R10124">
            <v>45889</v>
          </cell>
          <cell r="S10124">
            <v>223001</v>
          </cell>
        </row>
        <row r="10125">
          <cell r="K10125" t="str">
            <v>201002</v>
          </cell>
          <cell r="M10125">
            <v>3</v>
          </cell>
          <cell r="R10125">
            <v>45889</v>
          </cell>
          <cell r="S10125">
            <v>201002</v>
          </cell>
        </row>
        <row r="10126">
          <cell r="K10126" t="str">
            <v>201021</v>
          </cell>
          <cell r="M10126">
            <v>1</v>
          </cell>
          <cell r="R10126">
            <v>45889</v>
          </cell>
          <cell r="S10126">
            <v>201021</v>
          </cell>
        </row>
        <row r="10127">
          <cell r="K10127" t="str">
            <v>223001</v>
          </cell>
          <cell r="M10127">
            <v>2</v>
          </cell>
          <cell r="R10127">
            <v>45889</v>
          </cell>
          <cell r="S10127">
            <v>223001</v>
          </cell>
        </row>
        <row r="10128">
          <cell r="K10128" t="str">
            <v>223002</v>
          </cell>
          <cell r="M10128">
            <v>2</v>
          </cell>
          <cell r="R10128">
            <v>45889</v>
          </cell>
          <cell r="S10128">
            <v>223002</v>
          </cell>
        </row>
        <row r="10129">
          <cell r="K10129" t="str">
            <v>220002</v>
          </cell>
          <cell r="M10129">
            <v>1</v>
          </cell>
          <cell r="R10129">
            <v>45890</v>
          </cell>
          <cell r="S10129">
            <v>220002</v>
          </cell>
        </row>
        <row r="10130">
          <cell r="K10130" t="str">
            <v>201011</v>
          </cell>
          <cell r="M10130">
            <v>36</v>
          </cell>
          <cell r="R10130">
            <v>45890</v>
          </cell>
          <cell r="S10130">
            <v>201011</v>
          </cell>
        </row>
        <row r="10131">
          <cell r="K10131" t="str">
            <v>226001</v>
          </cell>
          <cell r="M10131">
            <v>1</v>
          </cell>
          <cell r="R10131">
            <v>45889</v>
          </cell>
          <cell r="S10131">
            <v>226001</v>
          </cell>
        </row>
        <row r="10132">
          <cell r="K10132" t="str">
            <v>227002</v>
          </cell>
          <cell r="M10132">
            <v>1</v>
          </cell>
          <cell r="R10132">
            <v>45889</v>
          </cell>
          <cell r="S10132">
            <v>227002</v>
          </cell>
        </row>
        <row r="10133">
          <cell r="K10133" t="str">
            <v>231012</v>
          </cell>
          <cell r="M10133">
            <v>1</v>
          </cell>
          <cell r="R10133">
            <v>45889</v>
          </cell>
          <cell r="S10133">
            <v>231012</v>
          </cell>
        </row>
        <row r="10134">
          <cell r="K10134" t="str">
            <v>201011</v>
          </cell>
          <cell r="M10134">
            <v>6</v>
          </cell>
          <cell r="R10134">
            <v>45890</v>
          </cell>
          <cell r="S10134">
            <v>201011</v>
          </cell>
        </row>
        <row r="10135">
          <cell r="K10135" t="str">
            <v>213002</v>
          </cell>
          <cell r="M10135">
            <v>3</v>
          </cell>
          <cell r="R10135">
            <v>45889</v>
          </cell>
          <cell r="S10135">
            <v>213002</v>
          </cell>
        </row>
        <row r="10136">
          <cell r="K10136" t="str">
            <v>201011</v>
          </cell>
          <cell r="M10136">
            <v>14</v>
          </cell>
          <cell r="R10136">
            <v>45890</v>
          </cell>
          <cell r="S10136">
            <v>201011</v>
          </cell>
        </row>
        <row r="10137">
          <cell r="K10137" t="str">
            <v>223002</v>
          </cell>
          <cell r="M10137">
            <v>3</v>
          </cell>
          <cell r="R10137">
            <v>45889</v>
          </cell>
          <cell r="S10137">
            <v>223002</v>
          </cell>
        </row>
        <row r="10138">
          <cell r="K10138" t="str">
            <v>217019</v>
          </cell>
          <cell r="M10138">
            <v>3</v>
          </cell>
          <cell r="R10138">
            <v>45890</v>
          </cell>
          <cell r="S10138">
            <v>217019</v>
          </cell>
        </row>
        <row r="10139">
          <cell r="K10139" t="str">
            <v>217022</v>
          </cell>
          <cell r="M10139">
            <v>2</v>
          </cell>
          <cell r="R10139">
            <v>45889</v>
          </cell>
          <cell r="S10139">
            <v>217022</v>
          </cell>
        </row>
        <row r="10140">
          <cell r="K10140" t="str">
            <v>209001</v>
          </cell>
          <cell r="M10140">
            <v>3</v>
          </cell>
          <cell r="R10140">
            <v>45889</v>
          </cell>
          <cell r="S10140">
            <v>209001</v>
          </cell>
        </row>
        <row r="10141">
          <cell r="K10141" t="str">
            <v>201021</v>
          </cell>
          <cell r="M10141">
            <v>1</v>
          </cell>
          <cell r="R10141">
            <v>45889</v>
          </cell>
          <cell r="S10141">
            <v>201021</v>
          </cell>
        </row>
        <row r="10142">
          <cell r="K10142" t="str">
            <v>213002</v>
          </cell>
          <cell r="M10142">
            <v>4</v>
          </cell>
          <cell r="R10142">
            <v>45890</v>
          </cell>
          <cell r="S10142">
            <v>213002</v>
          </cell>
        </row>
        <row r="10143">
          <cell r="K10143" t="str">
            <v>226001</v>
          </cell>
          <cell r="M10143">
            <v>4</v>
          </cell>
          <cell r="R10143">
            <v>45890</v>
          </cell>
          <cell r="S10143">
            <v>226001</v>
          </cell>
        </row>
        <row r="10144">
          <cell r="K10144" t="str">
            <v>226001</v>
          </cell>
          <cell r="M10144">
            <v>1</v>
          </cell>
          <cell r="R10144">
            <v>45890</v>
          </cell>
          <cell r="S10144">
            <v>226001</v>
          </cell>
        </row>
        <row r="10145">
          <cell r="K10145" t="str">
            <v>201021</v>
          </cell>
          <cell r="M10145">
            <v>2</v>
          </cell>
          <cell r="R10145">
            <v>45890</v>
          </cell>
          <cell r="S10145">
            <v>201021</v>
          </cell>
        </row>
        <row r="10146">
          <cell r="K10146" t="str">
            <v>203001</v>
          </cell>
          <cell r="M10146">
            <v>1</v>
          </cell>
          <cell r="R10146">
            <v>45890</v>
          </cell>
          <cell r="S10146">
            <v>203001</v>
          </cell>
        </row>
        <row r="10147">
          <cell r="K10147" t="str">
            <v>236008</v>
          </cell>
          <cell r="M10147">
            <v>1</v>
          </cell>
          <cell r="R10147">
            <v>45890</v>
          </cell>
          <cell r="S10147">
            <v>236008</v>
          </cell>
        </row>
        <row r="10148">
          <cell r="K10148" t="str">
            <v>236011</v>
          </cell>
          <cell r="M10148">
            <v>1</v>
          </cell>
          <cell r="R10148">
            <v>45890</v>
          </cell>
          <cell r="S10148">
            <v>236011</v>
          </cell>
        </row>
        <row r="10149">
          <cell r="K10149" t="str">
            <v>236010</v>
          </cell>
          <cell r="M10149">
            <v>1</v>
          </cell>
          <cell r="R10149">
            <v>45890</v>
          </cell>
          <cell r="S10149">
            <v>236010</v>
          </cell>
        </row>
        <row r="10150">
          <cell r="K10150" t="str">
            <v>227002</v>
          </cell>
          <cell r="M10150">
            <v>1</v>
          </cell>
          <cell r="R10150">
            <v>45890</v>
          </cell>
          <cell r="S10150">
            <v>227002</v>
          </cell>
        </row>
        <row r="10151">
          <cell r="K10151" t="str">
            <v>271002</v>
          </cell>
          <cell r="M10151">
            <v>1</v>
          </cell>
          <cell r="R10151">
            <v>45890</v>
          </cell>
          <cell r="S10151">
            <v>271002</v>
          </cell>
        </row>
        <row r="10152">
          <cell r="K10152" t="str">
            <v>209004</v>
          </cell>
          <cell r="M10152">
            <v>1</v>
          </cell>
          <cell r="R10152">
            <v>45890</v>
          </cell>
          <cell r="S10152">
            <v>209004</v>
          </cell>
        </row>
        <row r="10153">
          <cell r="K10153" t="str">
            <v>213002</v>
          </cell>
          <cell r="M10153">
            <v>1</v>
          </cell>
          <cell r="R10153">
            <v>45890</v>
          </cell>
          <cell r="S10153">
            <v>213002</v>
          </cell>
        </row>
        <row r="10154">
          <cell r="K10154" t="str">
            <v>241001</v>
          </cell>
          <cell r="M10154">
            <v>1</v>
          </cell>
          <cell r="R10154">
            <v>45890</v>
          </cell>
          <cell r="S10154">
            <v>241001</v>
          </cell>
        </row>
        <row r="10155">
          <cell r="K10155" t="str">
            <v>213005</v>
          </cell>
          <cell r="M10155">
            <v>1</v>
          </cell>
          <cell r="R10155">
            <v>45890</v>
          </cell>
          <cell r="S10155">
            <v>213005</v>
          </cell>
        </row>
        <row r="10156">
          <cell r="K10156" t="str">
            <v>223002</v>
          </cell>
          <cell r="M10156">
            <v>2</v>
          </cell>
          <cell r="R10156">
            <v>45890</v>
          </cell>
          <cell r="S10156">
            <v>223002</v>
          </cell>
        </row>
        <row r="10157">
          <cell r="K10157" t="str">
            <v>220002</v>
          </cell>
          <cell r="M10157">
            <v>4</v>
          </cell>
          <cell r="R10157">
            <v>45890</v>
          </cell>
          <cell r="S10157">
            <v>220002</v>
          </cell>
        </row>
        <row r="10158">
          <cell r="K10158" t="str">
            <v>209012</v>
          </cell>
          <cell r="M10158">
            <v>2</v>
          </cell>
          <cell r="R10158">
            <v>45890</v>
          </cell>
          <cell r="S10158">
            <v>209012</v>
          </cell>
        </row>
        <row r="10159">
          <cell r="K10159" t="str">
            <v>228001</v>
          </cell>
          <cell r="M10159">
            <v>2</v>
          </cell>
          <cell r="R10159">
            <v>45890</v>
          </cell>
          <cell r="S10159">
            <v>228001</v>
          </cell>
        </row>
        <row r="10160">
          <cell r="K10160" t="str">
            <v>201011</v>
          </cell>
          <cell r="M10160">
            <v>2</v>
          </cell>
          <cell r="R10160">
            <v>45890</v>
          </cell>
          <cell r="S10160">
            <v>201011</v>
          </cell>
        </row>
        <row r="10161">
          <cell r="K10161" t="str">
            <v>213006</v>
          </cell>
          <cell r="M10161">
            <v>3</v>
          </cell>
          <cell r="R10161">
            <v>45890</v>
          </cell>
          <cell r="S10161">
            <v>213006</v>
          </cell>
        </row>
        <row r="10162">
          <cell r="K10162" t="str">
            <v>223006</v>
          </cell>
          <cell r="M10162">
            <v>6</v>
          </cell>
          <cell r="R10162">
            <v>45890</v>
          </cell>
          <cell r="S10162">
            <v>223006</v>
          </cell>
        </row>
        <row r="10163">
          <cell r="K10163" t="str">
            <v>223001</v>
          </cell>
          <cell r="M10163">
            <v>6</v>
          </cell>
          <cell r="R10163">
            <v>45890</v>
          </cell>
          <cell r="S10163">
            <v>223001</v>
          </cell>
        </row>
        <row r="10164">
          <cell r="K10164" t="str">
            <v>223003</v>
          </cell>
          <cell r="M10164">
            <v>10</v>
          </cell>
          <cell r="R10164">
            <v>45890</v>
          </cell>
          <cell r="S10164">
            <v>223003</v>
          </cell>
        </row>
        <row r="10165">
          <cell r="K10165" t="str">
            <v>201011</v>
          </cell>
          <cell r="M10165">
            <v>1</v>
          </cell>
          <cell r="R10165">
            <v>45890</v>
          </cell>
          <cell r="S10165">
            <v>201011</v>
          </cell>
        </row>
        <row r="10166">
          <cell r="K10166" t="str">
            <v>213024</v>
          </cell>
          <cell r="M10166">
            <v>5</v>
          </cell>
          <cell r="R10166">
            <v>45890</v>
          </cell>
          <cell r="S10166">
            <v>213024</v>
          </cell>
        </row>
        <row r="10167">
          <cell r="K10167" t="str">
            <v>212035</v>
          </cell>
          <cell r="M10167">
            <v>6</v>
          </cell>
          <cell r="R10167">
            <v>45890</v>
          </cell>
          <cell r="S10167">
            <v>212035</v>
          </cell>
        </row>
        <row r="10168">
          <cell r="K10168" t="str">
            <v>209016</v>
          </cell>
          <cell r="M10168">
            <v>2</v>
          </cell>
          <cell r="R10168">
            <v>45890</v>
          </cell>
          <cell r="S10168">
            <v>209016</v>
          </cell>
        </row>
        <row r="10169">
          <cell r="K10169" t="str">
            <v>212035</v>
          </cell>
          <cell r="M10169">
            <v>3</v>
          </cell>
          <cell r="R10169">
            <v>45890</v>
          </cell>
          <cell r="S10169">
            <v>212035</v>
          </cell>
        </row>
        <row r="10170">
          <cell r="K10170" t="str">
            <v>228001</v>
          </cell>
          <cell r="M10170">
            <v>5</v>
          </cell>
          <cell r="R10170">
            <v>45890</v>
          </cell>
          <cell r="S10170">
            <v>228001</v>
          </cell>
        </row>
        <row r="10171">
          <cell r="K10171" t="str">
            <v>220002</v>
          </cell>
          <cell r="M10171">
            <v>1</v>
          </cell>
          <cell r="R10171">
            <v>45890</v>
          </cell>
          <cell r="S10171">
            <v>220002</v>
          </cell>
        </row>
        <row r="10172">
          <cell r="K10172" t="str">
            <v>231012</v>
          </cell>
          <cell r="M10172">
            <v>1</v>
          </cell>
          <cell r="R10172">
            <v>45890</v>
          </cell>
          <cell r="S10172">
            <v>231012</v>
          </cell>
        </row>
        <row r="10173">
          <cell r="K10173" t="str">
            <v>227002</v>
          </cell>
          <cell r="M10173">
            <v>1</v>
          </cell>
          <cell r="R10173">
            <v>45890</v>
          </cell>
          <cell r="S10173">
            <v>227002</v>
          </cell>
        </row>
        <row r="10174">
          <cell r="K10174" t="str">
            <v>226001</v>
          </cell>
          <cell r="M10174">
            <v>1</v>
          </cell>
          <cell r="R10174">
            <v>45890</v>
          </cell>
          <cell r="S10174">
            <v>226001</v>
          </cell>
        </row>
        <row r="10175">
          <cell r="K10175" t="str">
            <v>217019</v>
          </cell>
          <cell r="M10175">
            <v>1</v>
          </cell>
          <cell r="R10175">
            <v>45890</v>
          </cell>
          <cell r="S10175">
            <v>217019</v>
          </cell>
        </row>
        <row r="10176">
          <cell r="K10176" t="str">
            <v>201004</v>
          </cell>
          <cell r="M10176">
            <v>1</v>
          </cell>
          <cell r="R10176">
            <v>45890</v>
          </cell>
          <cell r="S10176">
            <v>201004</v>
          </cell>
        </row>
        <row r="10177">
          <cell r="K10177" t="str">
            <v>231012</v>
          </cell>
          <cell r="M10177">
            <v>5</v>
          </cell>
          <cell r="R10177">
            <v>45890</v>
          </cell>
          <cell r="S10177">
            <v>231012</v>
          </cell>
        </row>
        <row r="10178">
          <cell r="K10178" t="str">
            <v>231010</v>
          </cell>
          <cell r="M10178">
            <v>5</v>
          </cell>
          <cell r="R10178">
            <v>45890</v>
          </cell>
          <cell r="S10178">
            <v>231010</v>
          </cell>
        </row>
        <row r="10179">
          <cell r="K10179" t="str">
            <v>203003</v>
          </cell>
          <cell r="M10179">
            <v>1</v>
          </cell>
          <cell r="R10179">
            <v>45890</v>
          </cell>
          <cell r="S10179">
            <v>203003</v>
          </cell>
        </row>
        <row r="10180">
          <cell r="K10180" t="str">
            <v>223002</v>
          </cell>
          <cell r="M10180">
            <v>1</v>
          </cell>
          <cell r="R10180">
            <v>45890</v>
          </cell>
          <cell r="S10180">
            <v>223002</v>
          </cell>
        </row>
        <row r="10181">
          <cell r="K10181" t="str">
            <v>223006</v>
          </cell>
          <cell r="M10181">
            <v>2</v>
          </cell>
          <cell r="R10181">
            <v>45890</v>
          </cell>
          <cell r="S10181">
            <v>223006</v>
          </cell>
        </row>
        <row r="10182">
          <cell r="K10182" t="str">
            <v>223001</v>
          </cell>
          <cell r="M10182">
            <v>2</v>
          </cell>
          <cell r="R10182">
            <v>45890</v>
          </cell>
          <cell r="S10182">
            <v>223001</v>
          </cell>
        </row>
        <row r="10183">
          <cell r="K10183" t="str">
            <v>207017</v>
          </cell>
          <cell r="M10183">
            <v>1</v>
          </cell>
          <cell r="R10183">
            <v>45890</v>
          </cell>
          <cell r="S10183">
            <v>207017</v>
          </cell>
        </row>
        <row r="10184">
          <cell r="K10184" t="str">
            <v>208001</v>
          </cell>
          <cell r="M10184">
            <v>1</v>
          </cell>
          <cell r="R10184">
            <v>45890</v>
          </cell>
          <cell r="S10184">
            <v>208001</v>
          </cell>
        </row>
        <row r="10185">
          <cell r="K10185" t="str">
            <v>203001</v>
          </cell>
          <cell r="M10185">
            <v>2</v>
          </cell>
          <cell r="R10185">
            <v>45890</v>
          </cell>
          <cell r="S10185">
            <v>203001</v>
          </cell>
        </row>
        <row r="10186">
          <cell r="K10186" t="str">
            <v>202001</v>
          </cell>
          <cell r="M10186">
            <v>2</v>
          </cell>
          <cell r="R10186">
            <v>45890</v>
          </cell>
          <cell r="S10186">
            <v>202001</v>
          </cell>
        </row>
        <row r="10187">
          <cell r="K10187" t="str">
            <v>226001</v>
          </cell>
          <cell r="M10187">
            <v>1</v>
          </cell>
          <cell r="R10187">
            <v>45890</v>
          </cell>
          <cell r="S10187">
            <v>226001</v>
          </cell>
        </row>
        <row r="10188">
          <cell r="K10188" t="str">
            <v>223002</v>
          </cell>
          <cell r="M10188">
            <v>1</v>
          </cell>
          <cell r="R10188">
            <v>45890</v>
          </cell>
          <cell r="S10188">
            <v>223002</v>
          </cell>
        </row>
        <row r="10189">
          <cell r="K10189" t="str">
            <v>223006</v>
          </cell>
          <cell r="M10189">
            <v>3</v>
          </cell>
          <cell r="R10189">
            <v>45890</v>
          </cell>
          <cell r="S10189">
            <v>223006</v>
          </cell>
        </row>
        <row r="10190">
          <cell r="K10190" t="str">
            <v>223001</v>
          </cell>
          <cell r="M10190">
            <v>1</v>
          </cell>
          <cell r="R10190">
            <v>45890</v>
          </cell>
          <cell r="S10190">
            <v>223001</v>
          </cell>
        </row>
        <row r="10191">
          <cell r="K10191" t="str">
            <v>217022</v>
          </cell>
          <cell r="M10191">
            <v>1</v>
          </cell>
          <cell r="R10191">
            <v>45890</v>
          </cell>
          <cell r="S10191">
            <v>217022</v>
          </cell>
        </row>
        <row r="10192">
          <cell r="K10192" t="str">
            <v>231004</v>
          </cell>
          <cell r="M10192">
            <v>1</v>
          </cell>
          <cell r="R10192">
            <v>45890</v>
          </cell>
          <cell r="S10192">
            <v>231004</v>
          </cell>
        </row>
        <row r="10193">
          <cell r="K10193" t="str">
            <v>203001</v>
          </cell>
          <cell r="M10193">
            <v>1</v>
          </cell>
          <cell r="R10193">
            <v>45890</v>
          </cell>
          <cell r="S10193">
            <v>203001</v>
          </cell>
        </row>
        <row r="10194">
          <cell r="K10194" t="str">
            <v>213002</v>
          </cell>
          <cell r="M10194">
            <v>1</v>
          </cell>
          <cell r="R10194">
            <v>45890</v>
          </cell>
          <cell r="S10194">
            <v>213002</v>
          </cell>
        </row>
        <row r="10195">
          <cell r="K10195" t="str">
            <v>217006</v>
          </cell>
          <cell r="M10195">
            <v>1</v>
          </cell>
          <cell r="R10195">
            <v>45890</v>
          </cell>
          <cell r="S10195">
            <v>217006</v>
          </cell>
        </row>
        <row r="10196">
          <cell r="K10196" t="str">
            <v>210004</v>
          </cell>
          <cell r="M10196">
            <v>1</v>
          </cell>
          <cell r="R10196">
            <v>45890</v>
          </cell>
          <cell r="S10196">
            <v>210004</v>
          </cell>
        </row>
        <row r="10197">
          <cell r="K10197" t="str">
            <v>207017</v>
          </cell>
          <cell r="M10197">
            <v>1</v>
          </cell>
          <cell r="R10197">
            <v>45890</v>
          </cell>
          <cell r="S10197">
            <v>207017</v>
          </cell>
        </row>
        <row r="10198">
          <cell r="K10198" t="str">
            <v>228001</v>
          </cell>
          <cell r="M10198">
            <v>2</v>
          </cell>
          <cell r="R10198">
            <v>45890</v>
          </cell>
          <cell r="S10198">
            <v>228001</v>
          </cell>
        </row>
        <row r="10199">
          <cell r="K10199" t="str">
            <v>226001</v>
          </cell>
          <cell r="M10199">
            <v>3</v>
          </cell>
          <cell r="R10199">
            <v>45890</v>
          </cell>
          <cell r="S10199">
            <v>226001</v>
          </cell>
        </row>
        <row r="10200">
          <cell r="K10200" t="str">
            <v>223002</v>
          </cell>
          <cell r="M10200">
            <v>2</v>
          </cell>
          <cell r="R10200">
            <v>45890</v>
          </cell>
          <cell r="S10200">
            <v>223002</v>
          </cell>
        </row>
        <row r="10201">
          <cell r="K10201" t="str">
            <v>223006</v>
          </cell>
          <cell r="M10201">
            <v>2</v>
          </cell>
          <cell r="R10201">
            <v>45890</v>
          </cell>
          <cell r="S10201">
            <v>223006</v>
          </cell>
        </row>
        <row r="10202">
          <cell r="K10202" t="str">
            <v>223001</v>
          </cell>
          <cell r="M10202">
            <v>2</v>
          </cell>
          <cell r="R10202">
            <v>45890</v>
          </cell>
          <cell r="S10202">
            <v>223001</v>
          </cell>
        </row>
        <row r="10203">
          <cell r="K10203" t="str">
            <v>231004</v>
          </cell>
          <cell r="M10203">
            <v>1</v>
          </cell>
          <cell r="R10203">
            <v>45890</v>
          </cell>
          <cell r="S10203">
            <v>231004</v>
          </cell>
        </row>
        <row r="10204">
          <cell r="K10204" t="str">
            <v>203001</v>
          </cell>
          <cell r="M10204">
            <v>2</v>
          </cell>
          <cell r="R10204">
            <v>45890</v>
          </cell>
          <cell r="S10204">
            <v>203001</v>
          </cell>
        </row>
        <row r="10205">
          <cell r="K10205" t="str">
            <v>213002</v>
          </cell>
          <cell r="M10205">
            <v>1</v>
          </cell>
          <cell r="R10205">
            <v>45890</v>
          </cell>
          <cell r="S10205">
            <v>213002</v>
          </cell>
        </row>
        <row r="10206">
          <cell r="K10206" t="str">
            <v>218001</v>
          </cell>
          <cell r="M10206">
            <v>2</v>
          </cell>
          <cell r="R10206">
            <v>45890</v>
          </cell>
          <cell r="S10206">
            <v>218001</v>
          </cell>
        </row>
        <row r="10207">
          <cell r="K10207" t="str">
            <v>228001</v>
          </cell>
          <cell r="M10207">
            <v>1</v>
          </cell>
          <cell r="R10207">
            <v>45890</v>
          </cell>
          <cell r="S10207">
            <v>228001</v>
          </cell>
        </row>
        <row r="10208">
          <cell r="K10208" t="str">
            <v>226001</v>
          </cell>
          <cell r="M10208">
            <v>1</v>
          </cell>
          <cell r="R10208">
            <v>45890</v>
          </cell>
          <cell r="S10208">
            <v>226001</v>
          </cell>
        </row>
        <row r="10209">
          <cell r="K10209" t="str">
            <v>228001</v>
          </cell>
          <cell r="M10209">
            <v>1</v>
          </cell>
          <cell r="R10209">
            <v>45890</v>
          </cell>
          <cell r="S10209">
            <v>228001</v>
          </cell>
        </row>
        <row r="10210">
          <cell r="K10210" t="str">
            <v>217006</v>
          </cell>
          <cell r="M10210">
            <v>2</v>
          </cell>
          <cell r="R10210">
            <v>45890</v>
          </cell>
          <cell r="S10210">
            <v>217006</v>
          </cell>
        </row>
        <row r="10211">
          <cell r="K10211" t="str">
            <v>265002</v>
          </cell>
          <cell r="M10211">
            <v>1</v>
          </cell>
          <cell r="R10211">
            <v>45890</v>
          </cell>
          <cell r="S10211">
            <v>265002</v>
          </cell>
        </row>
        <row r="10212">
          <cell r="K10212" t="str">
            <v>228001</v>
          </cell>
          <cell r="M10212">
            <v>2</v>
          </cell>
          <cell r="R10212">
            <v>45890</v>
          </cell>
          <cell r="S10212">
            <v>228001</v>
          </cell>
        </row>
        <row r="10213">
          <cell r="K10213" t="str">
            <v>212002</v>
          </cell>
          <cell r="M10213">
            <v>1</v>
          </cell>
          <cell r="R10213">
            <v>45890</v>
          </cell>
          <cell r="S10213">
            <v>212002</v>
          </cell>
        </row>
        <row r="10214">
          <cell r="K10214" t="str">
            <v>212002</v>
          </cell>
          <cell r="M10214">
            <v>1</v>
          </cell>
          <cell r="R10214">
            <v>45890</v>
          </cell>
          <cell r="S10214">
            <v>212002</v>
          </cell>
        </row>
        <row r="10215">
          <cell r="K10215" t="str">
            <v>217022</v>
          </cell>
          <cell r="M10215">
            <v>7</v>
          </cell>
          <cell r="R10215">
            <v>45890</v>
          </cell>
          <cell r="S10215">
            <v>217022</v>
          </cell>
        </row>
        <row r="10216">
          <cell r="K10216" t="str">
            <v>241001</v>
          </cell>
          <cell r="M10216">
            <v>10</v>
          </cell>
          <cell r="R10216">
            <v>45890</v>
          </cell>
          <cell r="S10216">
            <v>241001</v>
          </cell>
        </row>
        <row r="10217">
          <cell r="K10217" t="str">
            <v>201011</v>
          </cell>
          <cell r="M10217">
            <v>6</v>
          </cell>
          <cell r="R10217">
            <v>45890</v>
          </cell>
          <cell r="S10217">
            <v>201011</v>
          </cell>
        </row>
        <row r="10218">
          <cell r="K10218" t="str">
            <v>201011</v>
          </cell>
          <cell r="M10218">
            <v>6</v>
          </cell>
          <cell r="R10218">
            <v>45890</v>
          </cell>
          <cell r="S10218">
            <v>201011</v>
          </cell>
        </row>
        <row r="10219">
          <cell r="K10219" t="str">
            <v>213006</v>
          </cell>
          <cell r="M10219">
            <v>2</v>
          </cell>
          <cell r="R10219">
            <v>45890</v>
          </cell>
          <cell r="S10219">
            <v>213006</v>
          </cell>
        </row>
        <row r="10220">
          <cell r="K10220" t="str">
            <v>222001</v>
          </cell>
          <cell r="M10220">
            <v>1</v>
          </cell>
          <cell r="R10220">
            <v>45890</v>
          </cell>
          <cell r="S10220">
            <v>222001</v>
          </cell>
        </row>
        <row r="10221">
          <cell r="K10221" t="str">
            <v>201011</v>
          </cell>
          <cell r="M10221">
            <v>6</v>
          </cell>
          <cell r="R10221">
            <v>45890</v>
          </cell>
          <cell r="S10221">
            <v>201011</v>
          </cell>
        </row>
        <row r="10222">
          <cell r="K10222" t="str">
            <v>201011</v>
          </cell>
          <cell r="M10222">
            <v>36</v>
          </cell>
          <cell r="R10222">
            <v>45890</v>
          </cell>
          <cell r="S10222">
            <v>201011</v>
          </cell>
        </row>
        <row r="10223">
          <cell r="K10223" t="str">
            <v>241001</v>
          </cell>
          <cell r="M10223">
            <v>3</v>
          </cell>
          <cell r="R10223">
            <v>45890</v>
          </cell>
          <cell r="S10223">
            <v>241001</v>
          </cell>
        </row>
        <row r="10224">
          <cell r="K10224" t="str">
            <v>261004</v>
          </cell>
          <cell r="M10224">
            <v>1</v>
          </cell>
          <cell r="R10224">
            <v>45890</v>
          </cell>
          <cell r="S10224">
            <v>261004</v>
          </cell>
        </row>
        <row r="10225">
          <cell r="K10225" t="str">
            <v>222001</v>
          </cell>
          <cell r="M10225">
            <v>5</v>
          </cell>
          <cell r="R10225">
            <v>45890</v>
          </cell>
          <cell r="S10225">
            <v>222001</v>
          </cell>
        </row>
        <row r="10226">
          <cell r="K10226" t="str">
            <v>201011</v>
          </cell>
          <cell r="M10226">
            <v>10</v>
          </cell>
          <cell r="R10226">
            <v>45890</v>
          </cell>
          <cell r="S10226">
            <v>201011</v>
          </cell>
        </row>
        <row r="10227">
          <cell r="K10227" t="str">
            <v>217011</v>
          </cell>
          <cell r="M10227">
            <v>2</v>
          </cell>
          <cell r="R10227">
            <v>45891</v>
          </cell>
          <cell r="S10227">
            <v>217011</v>
          </cell>
        </row>
        <row r="10228">
          <cell r="K10228" t="str">
            <v>213006</v>
          </cell>
          <cell r="M10228">
            <v>1</v>
          </cell>
          <cell r="R10228">
            <v>45891</v>
          </cell>
          <cell r="S10228">
            <v>213006</v>
          </cell>
        </row>
        <row r="10229">
          <cell r="K10229" t="str">
            <v>201011</v>
          </cell>
          <cell r="M10229">
            <v>35</v>
          </cell>
          <cell r="R10229">
            <v>45890</v>
          </cell>
          <cell r="S10229">
            <v>201011</v>
          </cell>
        </row>
        <row r="10230">
          <cell r="K10230" t="str">
            <v>201011</v>
          </cell>
          <cell r="M10230">
            <v>2</v>
          </cell>
          <cell r="R10230">
            <v>45890</v>
          </cell>
          <cell r="S10230">
            <v>201011</v>
          </cell>
        </row>
        <row r="10231">
          <cell r="K10231" t="str">
            <v>223006</v>
          </cell>
          <cell r="M10231">
            <v>4</v>
          </cell>
          <cell r="R10231">
            <v>45890</v>
          </cell>
          <cell r="S10231">
            <v>223006</v>
          </cell>
        </row>
        <row r="10232">
          <cell r="K10232" t="str">
            <v>201011</v>
          </cell>
          <cell r="M10232">
            <v>5</v>
          </cell>
          <cell r="R10232">
            <v>45890</v>
          </cell>
          <cell r="S10232">
            <v>201011</v>
          </cell>
        </row>
        <row r="10233">
          <cell r="K10233" t="str">
            <v>231012</v>
          </cell>
          <cell r="M10233">
            <v>1</v>
          </cell>
          <cell r="R10233">
            <v>45890</v>
          </cell>
          <cell r="S10233">
            <v>231012</v>
          </cell>
        </row>
        <row r="10234">
          <cell r="K10234" t="str">
            <v>207017</v>
          </cell>
          <cell r="M10234">
            <v>1</v>
          </cell>
          <cell r="R10234">
            <v>45890</v>
          </cell>
          <cell r="S10234">
            <v>207017</v>
          </cell>
        </row>
        <row r="10235">
          <cell r="K10235" t="str">
            <v>223002</v>
          </cell>
          <cell r="M10235">
            <v>1</v>
          </cell>
          <cell r="R10235">
            <v>45890</v>
          </cell>
          <cell r="S10235">
            <v>223002</v>
          </cell>
        </row>
        <row r="10236">
          <cell r="K10236" t="str">
            <v>203001</v>
          </cell>
          <cell r="M10236">
            <v>1</v>
          </cell>
          <cell r="R10236">
            <v>45890</v>
          </cell>
          <cell r="S10236">
            <v>203001</v>
          </cell>
        </row>
        <row r="10237">
          <cell r="K10237" t="str">
            <v>213002</v>
          </cell>
          <cell r="M10237">
            <v>1</v>
          </cell>
          <cell r="R10237">
            <v>45890</v>
          </cell>
          <cell r="S10237">
            <v>213002</v>
          </cell>
        </row>
        <row r="10238">
          <cell r="K10238" t="str">
            <v>201011</v>
          </cell>
          <cell r="M10238">
            <v>4</v>
          </cell>
          <cell r="R10238">
            <v>45891</v>
          </cell>
          <cell r="S10238">
            <v>201011</v>
          </cell>
        </row>
        <row r="10239">
          <cell r="K10239" t="str">
            <v>227014</v>
          </cell>
          <cell r="M10239">
            <v>1</v>
          </cell>
          <cell r="R10239">
            <v>45891</v>
          </cell>
          <cell r="S10239">
            <v>227014</v>
          </cell>
        </row>
        <row r="10240">
          <cell r="K10240" t="str">
            <v>209001</v>
          </cell>
          <cell r="M10240">
            <v>2</v>
          </cell>
          <cell r="R10240">
            <v>45891</v>
          </cell>
          <cell r="S10240">
            <v>209001</v>
          </cell>
        </row>
        <row r="10241">
          <cell r="K10241" t="str">
            <v>201011</v>
          </cell>
          <cell r="M10241">
            <v>3</v>
          </cell>
          <cell r="R10241">
            <v>45891</v>
          </cell>
          <cell r="S10241">
            <v>201011</v>
          </cell>
        </row>
        <row r="10242">
          <cell r="K10242" t="str">
            <v>201011</v>
          </cell>
          <cell r="M10242">
            <v>6</v>
          </cell>
          <cell r="R10242">
            <v>45891</v>
          </cell>
          <cell r="S10242">
            <v>201011</v>
          </cell>
        </row>
        <row r="10243">
          <cell r="K10243" t="str">
            <v>213030</v>
          </cell>
          <cell r="M10243">
            <v>6</v>
          </cell>
          <cell r="R10243">
            <v>45891</v>
          </cell>
          <cell r="S10243">
            <v>213030</v>
          </cell>
        </row>
        <row r="10244">
          <cell r="K10244" t="str">
            <v>229004</v>
          </cell>
          <cell r="M10244">
            <v>3</v>
          </cell>
          <cell r="R10244">
            <v>45891</v>
          </cell>
          <cell r="S10244">
            <v>229004</v>
          </cell>
        </row>
        <row r="10245">
          <cell r="K10245" t="str">
            <v>201011</v>
          </cell>
          <cell r="M10245">
            <v>14</v>
          </cell>
          <cell r="R10245">
            <v>45891</v>
          </cell>
          <cell r="S10245">
            <v>201011</v>
          </cell>
        </row>
        <row r="10246">
          <cell r="K10246" t="str">
            <v>228001</v>
          </cell>
          <cell r="M10246">
            <v>2</v>
          </cell>
          <cell r="R10246">
            <v>45891</v>
          </cell>
          <cell r="S10246">
            <v>228001</v>
          </cell>
        </row>
        <row r="10247">
          <cell r="K10247" t="str">
            <v>203003</v>
          </cell>
          <cell r="M10247">
            <v>1</v>
          </cell>
          <cell r="R10247">
            <v>45891</v>
          </cell>
          <cell r="S10247">
            <v>203003</v>
          </cell>
        </row>
        <row r="10248">
          <cell r="K10248" t="str">
            <v>231012</v>
          </cell>
          <cell r="M10248">
            <v>2</v>
          </cell>
          <cell r="R10248">
            <v>45891</v>
          </cell>
          <cell r="S10248">
            <v>231012</v>
          </cell>
        </row>
        <row r="10249">
          <cell r="K10249" t="str">
            <v>213006</v>
          </cell>
          <cell r="M10249">
            <v>2</v>
          </cell>
          <cell r="R10249">
            <v>45891</v>
          </cell>
          <cell r="S10249">
            <v>213006</v>
          </cell>
        </row>
        <row r="10250">
          <cell r="K10250" t="str">
            <v>213024</v>
          </cell>
          <cell r="M10250">
            <v>1</v>
          </cell>
          <cell r="R10250">
            <v>45891</v>
          </cell>
          <cell r="S10250">
            <v>213024</v>
          </cell>
        </row>
        <row r="10251">
          <cell r="K10251" t="str">
            <v>209004</v>
          </cell>
          <cell r="M10251">
            <v>10</v>
          </cell>
          <cell r="R10251">
            <v>45891</v>
          </cell>
          <cell r="S10251">
            <v>209004</v>
          </cell>
        </row>
        <row r="10252">
          <cell r="K10252" t="str">
            <v>231004</v>
          </cell>
          <cell r="M10252">
            <v>1</v>
          </cell>
          <cell r="R10252">
            <v>45891</v>
          </cell>
          <cell r="S10252">
            <v>231004</v>
          </cell>
        </row>
        <row r="10253">
          <cell r="K10253" t="str">
            <v>223002</v>
          </cell>
          <cell r="M10253">
            <v>1</v>
          </cell>
          <cell r="R10253">
            <v>45890</v>
          </cell>
          <cell r="S10253">
            <v>223002</v>
          </cell>
        </row>
        <row r="10254">
          <cell r="K10254" t="str">
            <v>209004</v>
          </cell>
          <cell r="M10254">
            <v>2</v>
          </cell>
          <cell r="R10254">
            <v>45891</v>
          </cell>
          <cell r="S10254">
            <v>209004</v>
          </cell>
        </row>
        <row r="10255">
          <cell r="K10255" t="str">
            <v>213002</v>
          </cell>
          <cell r="M10255">
            <v>4</v>
          </cell>
          <cell r="R10255">
            <v>45891</v>
          </cell>
          <cell r="S10255">
            <v>213002</v>
          </cell>
        </row>
        <row r="10256">
          <cell r="K10256" t="str">
            <v>201011</v>
          </cell>
          <cell r="M10256">
            <v>10</v>
          </cell>
          <cell r="R10256">
            <v>45892</v>
          </cell>
          <cell r="S10256">
            <v>201011</v>
          </cell>
        </row>
        <row r="10257">
          <cell r="K10257" t="str">
            <v>203001</v>
          </cell>
          <cell r="M10257">
            <v>4</v>
          </cell>
          <cell r="R10257">
            <v>45893</v>
          </cell>
          <cell r="S10257">
            <v>203001</v>
          </cell>
        </row>
        <row r="10258">
          <cell r="K10258" t="str">
            <v>231010</v>
          </cell>
          <cell r="M10258">
            <v>3</v>
          </cell>
          <cell r="R10258">
            <v>45893</v>
          </cell>
          <cell r="S10258">
            <v>231010</v>
          </cell>
        </row>
        <row r="10259">
          <cell r="K10259" t="str">
            <v>201021</v>
          </cell>
          <cell r="M10259">
            <v>1</v>
          </cell>
          <cell r="R10259">
            <v>45893</v>
          </cell>
          <cell r="S10259">
            <v>201021</v>
          </cell>
        </row>
        <row r="10260">
          <cell r="K10260" t="str">
            <v>223002</v>
          </cell>
          <cell r="M10260">
            <v>1</v>
          </cell>
          <cell r="R10260">
            <v>45893</v>
          </cell>
          <cell r="S10260">
            <v>223002</v>
          </cell>
        </row>
        <row r="10261">
          <cell r="K10261" t="str">
            <v>223001</v>
          </cell>
          <cell r="M10261">
            <v>10</v>
          </cell>
          <cell r="R10261">
            <v>45893</v>
          </cell>
          <cell r="S10261">
            <v>223001</v>
          </cell>
        </row>
        <row r="10262">
          <cell r="K10262" t="str">
            <v>227012</v>
          </cell>
          <cell r="M10262">
            <v>1</v>
          </cell>
          <cell r="R10262">
            <v>45893</v>
          </cell>
          <cell r="S10262">
            <v>227012</v>
          </cell>
        </row>
        <row r="10263">
          <cell r="K10263" t="str">
            <v>209022</v>
          </cell>
          <cell r="M10263">
            <v>5</v>
          </cell>
          <cell r="R10263">
            <v>45893</v>
          </cell>
          <cell r="S10263">
            <v>209022</v>
          </cell>
        </row>
        <row r="10264">
          <cell r="K10264" t="str">
            <v>223002</v>
          </cell>
          <cell r="M10264">
            <v>8</v>
          </cell>
          <cell r="R10264">
            <v>45894</v>
          </cell>
          <cell r="S10264">
            <v>223002</v>
          </cell>
        </row>
        <row r="10265">
          <cell r="K10265" t="str">
            <v>223001</v>
          </cell>
          <cell r="M10265">
            <v>10</v>
          </cell>
          <cell r="R10265">
            <v>45894</v>
          </cell>
          <cell r="S10265">
            <v>223001</v>
          </cell>
        </row>
        <row r="10266">
          <cell r="K10266" t="str">
            <v>223003</v>
          </cell>
          <cell r="M10266">
            <v>10</v>
          </cell>
          <cell r="R10266">
            <v>45894</v>
          </cell>
          <cell r="S10266">
            <v>223003</v>
          </cell>
        </row>
        <row r="10267">
          <cell r="K10267" t="str">
            <v>223006</v>
          </cell>
          <cell r="M10267">
            <v>10</v>
          </cell>
          <cell r="R10267">
            <v>45894</v>
          </cell>
          <cell r="S10267">
            <v>223006</v>
          </cell>
        </row>
        <row r="10268">
          <cell r="K10268" t="str">
            <v>209011</v>
          </cell>
          <cell r="M10268">
            <v>1</v>
          </cell>
          <cell r="R10268">
            <v>45894</v>
          </cell>
          <cell r="S10268">
            <v>209011</v>
          </cell>
        </row>
        <row r="10269">
          <cell r="K10269" t="str">
            <v>212035</v>
          </cell>
          <cell r="M10269">
            <v>2</v>
          </cell>
          <cell r="R10269">
            <v>45894</v>
          </cell>
          <cell r="S10269">
            <v>212035</v>
          </cell>
        </row>
        <row r="10270">
          <cell r="K10270" t="str">
            <v>231012</v>
          </cell>
          <cell r="M10270">
            <v>1</v>
          </cell>
          <cell r="R10270">
            <v>45894</v>
          </cell>
          <cell r="S10270">
            <v>231012</v>
          </cell>
        </row>
        <row r="10271">
          <cell r="K10271" t="str">
            <v>210002</v>
          </cell>
          <cell r="M10271">
            <v>10</v>
          </cell>
          <cell r="R10271">
            <v>45894</v>
          </cell>
          <cell r="S10271">
            <v>210002</v>
          </cell>
        </row>
        <row r="10272">
          <cell r="K10272" t="str">
            <v>231012</v>
          </cell>
          <cell r="M10272">
            <v>1</v>
          </cell>
          <cell r="R10272">
            <v>45894</v>
          </cell>
          <cell r="S10272">
            <v>231012</v>
          </cell>
        </row>
        <row r="10273">
          <cell r="K10273" t="str">
            <v>228001</v>
          </cell>
          <cell r="M10273">
            <v>5</v>
          </cell>
          <cell r="R10273">
            <v>45894</v>
          </cell>
          <cell r="S10273">
            <v>228001</v>
          </cell>
        </row>
        <row r="10274">
          <cell r="K10274" t="str">
            <v>217019</v>
          </cell>
          <cell r="M10274">
            <v>8</v>
          </cell>
          <cell r="R10274">
            <v>45894</v>
          </cell>
          <cell r="S10274">
            <v>217019</v>
          </cell>
        </row>
        <row r="10275">
          <cell r="K10275" t="str">
            <v>223002</v>
          </cell>
          <cell r="M10275">
            <v>2</v>
          </cell>
          <cell r="R10275">
            <v>45891</v>
          </cell>
          <cell r="S10275">
            <v>223002</v>
          </cell>
        </row>
        <row r="10276">
          <cell r="K10276" t="str">
            <v>213002</v>
          </cell>
          <cell r="M10276">
            <v>6</v>
          </cell>
          <cell r="R10276">
            <v>45891</v>
          </cell>
          <cell r="S10276">
            <v>213002</v>
          </cell>
        </row>
        <row r="10277">
          <cell r="K10277" t="str">
            <v>201021</v>
          </cell>
          <cell r="M10277">
            <v>5</v>
          </cell>
          <cell r="R10277">
            <v>45893</v>
          </cell>
          <cell r="S10277">
            <v>201021</v>
          </cell>
        </row>
        <row r="10278">
          <cell r="K10278" t="str">
            <v>228001</v>
          </cell>
          <cell r="M10278">
            <v>15</v>
          </cell>
          <cell r="R10278">
            <v>45893</v>
          </cell>
          <cell r="S10278">
            <v>228001</v>
          </cell>
        </row>
        <row r="10279">
          <cell r="K10279" t="str">
            <v>261004</v>
          </cell>
          <cell r="M10279">
            <v>20</v>
          </cell>
          <cell r="R10279">
            <v>45893</v>
          </cell>
          <cell r="S10279">
            <v>261004</v>
          </cell>
        </row>
        <row r="10280">
          <cell r="K10280" t="str">
            <v>212010</v>
          </cell>
          <cell r="M10280">
            <v>20</v>
          </cell>
          <cell r="R10280">
            <v>45893</v>
          </cell>
          <cell r="S10280">
            <v>212010</v>
          </cell>
        </row>
        <row r="10281">
          <cell r="K10281" t="str">
            <v>201011</v>
          </cell>
          <cell r="M10281">
            <v>36</v>
          </cell>
          <cell r="R10281">
            <v>45893</v>
          </cell>
          <cell r="S10281">
            <v>201011</v>
          </cell>
        </row>
        <row r="10282">
          <cell r="K10282" t="str">
            <v>228001</v>
          </cell>
          <cell r="M10282">
            <v>1</v>
          </cell>
          <cell r="R10282">
            <v>45892</v>
          </cell>
          <cell r="S10282">
            <v>228001</v>
          </cell>
        </row>
        <row r="10283">
          <cell r="K10283" t="str">
            <v>213002</v>
          </cell>
          <cell r="M10283">
            <v>3</v>
          </cell>
          <cell r="R10283">
            <v>45892</v>
          </cell>
          <cell r="S10283">
            <v>213002</v>
          </cell>
        </row>
        <row r="10284">
          <cell r="K10284" t="str">
            <v>223002</v>
          </cell>
          <cell r="M10284">
            <v>1</v>
          </cell>
          <cell r="R10284">
            <v>45894</v>
          </cell>
          <cell r="S10284">
            <v>223002</v>
          </cell>
        </row>
        <row r="10285">
          <cell r="K10285" t="str">
            <v>223001</v>
          </cell>
          <cell r="M10285">
            <v>1</v>
          </cell>
          <cell r="R10285">
            <v>45894</v>
          </cell>
          <cell r="S10285">
            <v>223001</v>
          </cell>
        </row>
        <row r="10286">
          <cell r="K10286" t="str">
            <v>241001</v>
          </cell>
          <cell r="M10286">
            <v>1</v>
          </cell>
          <cell r="R10286">
            <v>45894</v>
          </cell>
          <cell r="S10286">
            <v>241001</v>
          </cell>
        </row>
        <row r="10287">
          <cell r="K10287" t="str">
            <v>201011</v>
          </cell>
          <cell r="M10287">
            <v>2</v>
          </cell>
          <cell r="R10287">
            <v>45894</v>
          </cell>
          <cell r="S10287">
            <v>201011</v>
          </cell>
        </row>
        <row r="10288">
          <cell r="K10288" t="str">
            <v>201002</v>
          </cell>
          <cell r="M10288">
            <v>1</v>
          </cell>
          <cell r="R10288">
            <v>45894</v>
          </cell>
          <cell r="S10288">
            <v>201002</v>
          </cell>
        </row>
        <row r="10289">
          <cell r="K10289" t="str">
            <v>201011</v>
          </cell>
          <cell r="M10289">
            <v>1</v>
          </cell>
          <cell r="R10289">
            <v>45893</v>
          </cell>
          <cell r="S10289">
            <v>201011</v>
          </cell>
        </row>
        <row r="10290">
          <cell r="K10290" t="str">
            <v>223002</v>
          </cell>
          <cell r="M10290">
            <v>8</v>
          </cell>
          <cell r="R10290">
            <v>45893</v>
          </cell>
          <cell r="S10290">
            <v>223002</v>
          </cell>
        </row>
        <row r="10291">
          <cell r="K10291" t="str">
            <v>201011</v>
          </cell>
          <cell r="M10291">
            <v>1</v>
          </cell>
          <cell r="R10291">
            <v>45893</v>
          </cell>
          <cell r="S10291">
            <v>201011</v>
          </cell>
        </row>
        <row r="10292">
          <cell r="K10292" t="str">
            <v>231012</v>
          </cell>
          <cell r="M10292">
            <v>1</v>
          </cell>
          <cell r="R10292">
            <v>45893</v>
          </cell>
          <cell r="S10292">
            <v>231012</v>
          </cell>
        </row>
        <row r="10293">
          <cell r="K10293" t="str">
            <v>231004</v>
          </cell>
          <cell r="M10293">
            <v>1</v>
          </cell>
          <cell r="R10293">
            <v>45893</v>
          </cell>
          <cell r="S10293">
            <v>231004</v>
          </cell>
        </row>
        <row r="10294">
          <cell r="K10294" t="str">
            <v>203001</v>
          </cell>
          <cell r="M10294">
            <v>1</v>
          </cell>
          <cell r="R10294">
            <v>45893</v>
          </cell>
          <cell r="S10294">
            <v>203001</v>
          </cell>
        </row>
        <row r="10295">
          <cell r="K10295" t="str">
            <v>201011</v>
          </cell>
          <cell r="M10295">
            <v>7</v>
          </cell>
          <cell r="R10295">
            <v>45894</v>
          </cell>
          <cell r="S10295">
            <v>201011</v>
          </cell>
        </row>
        <row r="10296">
          <cell r="K10296" t="str">
            <v>231004</v>
          </cell>
          <cell r="M10296">
            <v>2</v>
          </cell>
          <cell r="R10296">
            <v>45894</v>
          </cell>
          <cell r="S10296">
            <v>231004</v>
          </cell>
        </row>
        <row r="10297">
          <cell r="K10297" t="str">
            <v>203001</v>
          </cell>
          <cell r="M10297">
            <v>1</v>
          </cell>
          <cell r="R10297">
            <v>45894</v>
          </cell>
          <cell r="S10297">
            <v>203001</v>
          </cell>
        </row>
        <row r="10298">
          <cell r="K10298" t="str">
            <v>213006</v>
          </cell>
          <cell r="M10298">
            <v>2</v>
          </cell>
          <cell r="R10298">
            <v>45892</v>
          </cell>
          <cell r="S10298">
            <v>213006</v>
          </cell>
        </row>
        <row r="10299">
          <cell r="K10299" t="str">
            <v>217018</v>
          </cell>
          <cell r="M10299">
            <v>2</v>
          </cell>
          <cell r="R10299">
            <v>45893</v>
          </cell>
          <cell r="S10299">
            <v>217018</v>
          </cell>
        </row>
        <row r="10300">
          <cell r="K10300" t="str">
            <v>223002</v>
          </cell>
          <cell r="M10300">
            <v>8</v>
          </cell>
          <cell r="R10300">
            <v>45894</v>
          </cell>
          <cell r="S10300">
            <v>223002</v>
          </cell>
        </row>
        <row r="10301">
          <cell r="K10301" t="str">
            <v>223001</v>
          </cell>
          <cell r="M10301">
            <v>2</v>
          </cell>
          <cell r="R10301">
            <v>45894</v>
          </cell>
          <cell r="S10301">
            <v>223001</v>
          </cell>
        </row>
        <row r="10302">
          <cell r="K10302" t="str">
            <v>220002</v>
          </cell>
          <cell r="M10302">
            <v>2</v>
          </cell>
          <cell r="R10302">
            <v>45894</v>
          </cell>
          <cell r="S10302">
            <v>220002</v>
          </cell>
        </row>
        <row r="10303">
          <cell r="K10303" t="str">
            <v>223001</v>
          </cell>
          <cell r="M10303">
            <v>1</v>
          </cell>
          <cell r="R10303">
            <v>45893</v>
          </cell>
          <cell r="S10303">
            <v>223001</v>
          </cell>
        </row>
        <row r="10304">
          <cell r="K10304" t="str">
            <v>223002</v>
          </cell>
          <cell r="M10304">
            <v>3</v>
          </cell>
          <cell r="R10304">
            <v>45893</v>
          </cell>
          <cell r="S10304">
            <v>223002</v>
          </cell>
        </row>
        <row r="10305">
          <cell r="K10305" t="str">
            <v>201011</v>
          </cell>
          <cell r="M10305">
            <v>2</v>
          </cell>
          <cell r="R10305">
            <v>45894</v>
          </cell>
          <cell r="S10305">
            <v>201011</v>
          </cell>
        </row>
        <row r="10306">
          <cell r="K10306" t="str">
            <v>222001</v>
          </cell>
          <cell r="M10306">
            <v>1</v>
          </cell>
          <cell r="R10306">
            <v>45894</v>
          </cell>
          <cell r="S10306">
            <v>222001</v>
          </cell>
        </row>
        <row r="10307">
          <cell r="K10307" t="str">
            <v>241001</v>
          </cell>
          <cell r="M10307">
            <v>4</v>
          </cell>
          <cell r="R10307">
            <v>45893</v>
          </cell>
          <cell r="S10307">
            <v>241001</v>
          </cell>
        </row>
        <row r="10308">
          <cell r="K10308" t="str">
            <v>234011</v>
          </cell>
          <cell r="M10308">
            <v>1</v>
          </cell>
          <cell r="R10308">
            <v>45893</v>
          </cell>
          <cell r="S10308">
            <v>234011</v>
          </cell>
        </row>
        <row r="10309">
          <cell r="K10309" t="str">
            <v>223002</v>
          </cell>
          <cell r="M10309">
            <v>2</v>
          </cell>
          <cell r="R10309">
            <v>45893</v>
          </cell>
          <cell r="S10309">
            <v>223002</v>
          </cell>
        </row>
        <row r="10310">
          <cell r="K10310" t="str">
            <v>213002</v>
          </cell>
          <cell r="M10310">
            <v>3</v>
          </cell>
          <cell r="R10310">
            <v>45893</v>
          </cell>
          <cell r="S10310">
            <v>213002</v>
          </cell>
        </row>
        <row r="10311">
          <cell r="K10311" t="str">
            <v>231012</v>
          </cell>
          <cell r="M10311">
            <v>1</v>
          </cell>
          <cell r="R10311">
            <v>45894</v>
          </cell>
          <cell r="S10311">
            <v>231012</v>
          </cell>
        </row>
        <row r="10312">
          <cell r="K10312" t="str">
            <v>210013</v>
          </cell>
          <cell r="M10312">
            <v>16</v>
          </cell>
          <cell r="R10312">
            <v>45891</v>
          </cell>
          <cell r="S10312">
            <v>210013</v>
          </cell>
        </row>
        <row r="10313">
          <cell r="K10313" t="str">
            <v>229004</v>
          </cell>
          <cell r="M10313">
            <v>4</v>
          </cell>
          <cell r="R10313">
            <v>45894</v>
          </cell>
          <cell r="S10313">
            <v>229004</v>
          </cell>
        </row>
        <row r="10314">
          <cell r="K10314" t="str">
            <v>217018</v>
          </cell>
          <cell r="M10314">
            <v>2</v>
          </cell>
          <cell r="R10314">
            <v>45891</v>
          </cell>
          <cell r="S10314">
            <v>217018</v>
          </cell>
        </row>
        <row r="10315">
          <cell r="K10315" t="str">
            <v>229001</v>
          </cell>
          <cell r="M10315">
            <v>15</v>
          </cell>
          <cell r="R10315">
            <v>45894</v>
          </cell>
          <cell r="S10315">
            <v>229001</v>
          </cell>
        </row>
        <row r="10316">
          <cell r="K10316" t="str">
            <v>241001</v>
          </cell>
          <cell r="M10316">
            <v>10</v>
          </cell>
          <cell r="R10316">
            <v>45894</v>
          </cell>
          <cell r="S10316">
            <v>241001</v>
          </cell>
        </row>
        <row r="10317">
          <cell r="K10317" t="str">
            <v>222005</v>
          </cell>
          <cell r="M10317">
            <v>1</v>
          </cell>
          <cell r="R10317">
            <v>45894</v>
          </cell>
          <cell r="S10317">
            <v>222005</v>
          </cell>
        </row>
        <row r="10318">
          <cell r="K10318" t="str">
            <v>213002</v>
          </cell>
          <cell r="M10318">
            <v>2</v>
          </cell>
          <cell r="R10318">
            <v>45894</v>
          </cell>
          <cell r="S10318">
            <v>213002</v>
          </cell>
        </row>
        <row r="10319">
          <cell r="K10319" t="str">
            <v>207017</v>
          </cell>
          <cell r="M10319">
            <v>1</v>
          </cell>
          <cell r="R10319">
            <v>45894</v>
          </cell>
          <cell r="S10319">
            <v>207017</v>
          </cell>
        </row>
        <row r="10320">
          <cell r="K10320" t="str">
            <v>217002</v>
          </cell>
          <cell r="M10320">
            <v>1</v>
          </cell>
          <cell r="R10320">
            <v>45894</v>
          </cell>
          <cell r="S10320">
            <v>217002</v>
          </cell>
        </row>
        <row r="10321">
          <cell r="K10321" t="str">
            <v>223002</v>
          </cell>
          <cell r="M10321">
            <v>3</v>
          </cell>
          <cell r="R10321">
            <v>45894</v>
          </cell>
          <cell r="S10321">
            <v>223002</v>
          </cell>
        </row>
        <row r="10322">
          <cell r="K10322" t="str">
            <v>223001</v>
          </cell>
          <cell r="M10322">
            <v>2</v>
          </cell>
          <cell r="R10322">
            <v>45894</v>
          </cell>
          <cell r="S10322">
            <v>223001</v>
          </cell>
        </row>
        <row r="10323">
          <cell r="K10323" t="str">
            <v>201003</v>
          </cell>
          <cell r="M10323">
            <v>3</v>
          </cell>
          <cell r="R10323">
            <v>45894</v>
          </cell>
          <cell r="S10323">
            <v>201003</v>
          </cell>
        </row>
        <row r="10324">
          <cell r="K10324" t="str">
            <v>228001</v>
          </cell>
          <cell r="M10324">
            <v>1</v>
          </cell>
          <cell r="R10324">
            <v>45894</v>
          </cell>
          <cell r="S10324">
            <v>228001</v>
          </cell>
        </row>
        <row r="10325">
          <cell r="K10325" t="str">
            <v>203003</v>
          </cell>
          <cell r="M10325">
            <v>2</v>
          </cell>
          <cell r="R10325">
            <v>45894</v>
          </cell>
          <cell r="S10325">
            <v>203003</v>
          </cell>
        </row>
        <row r="10326">
          <cell r="K10326" t="str">
            <v>226024</v>
          </cell>
          <cell r="M10326">
            <v>3</v>
          </cell>
          <cell r="R10326">
            <v>45894</v>
          </cell>
          <cell r="S10326">
            <v>226024</v>
          </cell>
        </row>
        <row r="10327">
          <cell r="K10327" t="str">
            <v>228001</v>
          </cell>
          <cell r="M10327">
            <v>12</v>
          </cell>
          <cell r="R10327">
            <v>45894</v>
          </cell>
          <cell r="S10327">
            <v>228001</v>
          </cell>
        </row>
        <row r="10328">
          <cell r="K10328" t="str">
            <v>203001</v>
          </cell>
          <cell r="M10328">
            <v>2</v>
          </cell>
          <cell r="R10328">
            <v>45894</v>
          </cell>
          <cell r="S10328">
            <v>203001</v>
          </cell>
        </row>
        <row r="10329">
          <cell r="K10329" t="str">
            <v>213005</v>
          </cell>
          <cell r="M10329">
            <v>1</v>
          </cell>
          <cell r="R10329">
            <v>45894</v>
          </cell>
          <cell r="S10329">
            <v>213005</v>
          </cell>
        </row>
        <row r="10330">
          <cell r="K10330" t="str">
            <v>213024</v>
          </cell>
          <cell r="M10330">
            <v>1</v>
          </cell>
          <cell r="R10330">
            <v>45894</v>
          </cell>
          <cell r="S10330">
            <v>213024</v>
          </cell>
        </row>
        <row r="10331">
          <cell r="K10331" t="str">
            <v>213006</v>
          </cell>
          <cell r="M10331">
            <v>1</v>
          </cell>
          <cell r="R10331">
            <v>45894</v>
          </cell>
          <cell r="S10331">
            <v>213006</v>
          </cell>
        </row>
        <row r="10332">
          <cell r="K10332" t="str">
            <v>223002</v>
          </cell>
          <cell r="M10332">
            <v>2</v>
          </cell>
          <cell r="R10332">
            <v>45894</v>
          </cell>
          <cell r="S10332">
            <v>223002</v>
          </cell>
        </row>
        <row r="10333">
          <cell r="K10333" t="str">
            <v>213002</v>
          </cell>
          <cell r="M10333">
            <v>6</v>
          </cell>
          <cell r="R10333">
            <v>45894</v>
          </cell>
          <cell r="S10333">
            <v>213002</v>
          </cell>
        </row>
        <row r="10334">
          <cell r="K10334" t="str">
            <v>213005</v>
          </cell>
          <cell r="M10334">
            <v>2</v>
          </cell>
          <cell r="R10334">
            <v>45894</v>
          </cell>
          <cell r="S10334">
            <v>213005</v>
          </cell>
        </row>
        <row r="10335">
          <cell r="K10335" t="str">
            <v>228001</v>
          </cell>
          <cell r="M10335">
            <v>2</v>
          </cell>
          <cell r="R10335">
            <v>45894</v>
          </cell>
          <cell r="S10335">
            <v>228001</v>
          </cell>
        </row>
        <row r="10336">
          <cell r="K10336" t="str">
            <v>228001</v>
          </cell>
          <cell r="M10336">
            <v>4</v>
          </cell>
          <cell r="R10336">
            <v>45894</v>
          </cell>
          <cell r="S10336">
            <v>228001</v>
          </cell>
        </row>
        <row r="10337">
          <cell r="K10337" t="str">
            <v>213005</v>
          </cell>
          <cell r="M10337">
            <v>1</v>
          </cell>
          <cell r="R10337">
            <v>45894</v>
          </cell>
          <cell r="S10337">
            <v>213005</v>
          </cell>
        </row>
        <row r="10338">
          <cell r="K10338" t="str">
            <v>228001</v>
          </cell>
          <cell r="M10338">
            <v>1</v>
          </cell>
          <cell r="R10338">
            <v>45894</v>
          </cell>
          <cell r="S10338">
            <v>228001</v>
          </cell>
        </row>
        <row r="10339">
          <cell r="K10339" t="str">
            <v>231012</v>
          </cell>
          <cell r="M10339">
            <v>1</v>
          </cell>
          <cell r="R10339">
            <v>45894</v>
          </cell>
          <cell r="S10339">
            <v>231012</v>
          </cell>
        </row>
        <row r="10340">
          <cell r="K10340" t="str">
            <v>220002</v>
          </cell>
          <cell r="M10340">
            <v>1</v>
          </cell>
          <cell r="R10340">
            <v>45894</v>
          </cell>
          <cell r="S10340">
            <v>220002</v>
          </cell>
        </row>
        <row r="10341">
          <cell r="K10341" t="str">
            <v>212035</v>
          </cell>
          <cell r="M10341">
            <v>1</v>
          </cell>
          <cell r="R10341">
            <v>45894</v>
          </cell>
          <cell r="S10341">
            <v>212035</v>
          </cell>
        </row>
        <row r="10342">
          <cell r="K10342" t="str">
            <v>201003</v>
          </cell>
          <cell r="M10342">
            <v>1</v>
          </cell>
          <cell r="R10342">
            <v>45894</v>
          </cell>
          <cell r="S10342">
            <v>201003</v>
          </cell>
        </row>
        <row r="10343">
          <cell r="K10343" t="str">
            <v>207017</v>
          </cell>
          <cell r="M10343">
            <v>1</v>
          </cell>
          <cell r="R10343">
            <v>45894</v>
          </cell>
          <cell r="S10343">
            <v>207017</v>
          </cell>
        </row>
        <row r="10344">
          <cell r="K10344" t="str">
            <v>209004</v>
          </cell>
          <cell r="M10344">
            <v>1</v>
          </cell>
          <cell r="R10344">
            <v>45894</v>
          </cell>
          <cell r="S10344">
            <v>209004</v>
          </cell>
        </row>
        <row r="10345">
          <cell r="K10345" t="str">
            <v>212002</v>
          </cell>
          <cell r="M10345">
            <v>1</v>
          </cell>
          <cell r="R10345">
            <v>45894</v>
          </cell>
          <cell r="S10345">
            <v>212002</v>
          </cell>
        </row>
        <row r="10346">
          <cell r="K10346" t="str">
            <v>223002</v>
          </cell>
          <cell r="M10346">
            <v>8</v>
          </cell>
          <cell r="R10346">
            <v>45894</v>
          </cell>
          <cell r="S10346">
            <v>223002</v>
          </cell>
        </row>
        <row r="10347">
          <cell r="K10347" t="str">
            <v>201003</v>
          </cell>
          <cell r="M10347">
            <v>4</v>
          </cell>
          <cell r="R10347">
            <v>45894</v>
          </cell>
          <cell r="S10347">
            <v>201003</v>
          </cell>
        </row>
        <row r="10348">
          <cell r="K10348" t="str">
            <v>201003</v>
          </cell>
          <cell r="M10348">
            <v>1</v>
          </cell>
          <cell r="R10348">
            <v>45894</v>
          </cell>
          <cell r="S10348">
            <v>201003</v>
          </cell>
        </row>
        <row r="10349">
          <cell r="K10349" t="str">
            <v>203001</v>
          </cell>
          <cell r="M10349">
            <v>1</v>
          </cell>
          <cell r="R10349">
            <v>45894</v>
          </cell>
          <cell r="S10349">
            <v>203001</v>
          </cell>
        </row>
        <row r="10350">
          <cell r="K10350" t="str">
            <v>209004</v>
          </cell>
          <cell r="M10350">
            <v>1</v>
          </cell>
          <cell r="R10350">
            <v>45894</v>
          </cell>
          <cell r="S10350">
            <v>209004</v>
          </cell>
        </row>
        <row r="10351">
          <cell r="K10351" t="str">
            <v>228001</v>
          </cell>
          <cell r="M10351">
            <v>2</v>
          </cell>
          <cell r="R10351">
            <v>45894</v>
          </cell>
          <cell r="S10351">
            <v>228001</v>
          </cell>
        </row>
        <row r="10352">
          <cell r="K10352" t="str">
            <v>201002</v>
          </cell>
          <cell r="M10352">
            <v>1</v>
          </cell>
          <cell r="R10352">
            <v>45894</v>
          </cell>
          <cell r="S10352">
            <v>201002</v>
          </cell>
        </row>
        <row r="10353">
          <cell r="K10353" t="str">
            <v>201011</v>
          </cell>
          <cell r="M10353">
            <v>1</v>
          </cell>
          <cell r="R10353">
            <v>45894</v>
          </cell>
          <cell r="S10353">
            <v>201011</v>
          </cell>
        </row>
        <row r="10354">
          <cell r="K10354" t="str">
            <v>210013</v>
          </cell>
          <cell r="M10354">
            <v>2</v>
          </cell>
          <cell r="R10354">
            <v>45894</v>
          </cell>
          <cell r="S10354">
            <v>210013</v>
          </cell>
        </row>
        <row r="10355">
          <cell r="K10355" t="str">
            <v>223002</v>
          </cell>
          <cell r="M10355">
            <v>2</v>
          </cell>
          <cell r="R10355">
            <v>45894</v>
          </cell>
          <cell r="S10355">
            <v>223002</v>
          </cell>
        </row>
        <row r="10356">
          <cell r="K10356" t="str">
            <v>207017</v>
          </cell>
          <cell r="M10356">
            <v>1</v>
          </cell>
          <cell r="R10356">
            <v>45894</v>
          </cell>
          <cell r="S10356">
            <v>207017</v>
          </cell>
        </row>
        <row r="10357">
          <cell r="K10357" t="str">
            <v>209006</v>
          </cell>
          <cell r="M10357">
            <v>1</v>
          </cell>
          <cell r="R10357">
            <v>45894</v>
          </cell>
          <cell r="S10357">
            <v>209006</v>
          </cell>
        </row>
        <row r="10358">
          <cell r="K10358" t="str">
            <v>209004</v>
          </cell>
          <cell r="M10358">
            <v>2</v>
          </cell>
          <cell r="R10358">
            <v>45894</v>
          </cell>
          <cell r="S10358">
            <v>209004</v>
          </cell>
        </row>
        <row r="10359">
          <cell r="K10359" t="str">
            <v>241001</v>
          </cell>
          <cell r="M10359">
            <v>3</v>
          </cell>
          <cell r="R10359">
            <v>45894</v>
          </cell>
          <cell r="S10359">
            <v>241001</v>
          </cell>
        </row>
        <row r="10360">
          <cell r="K10360" t="str">
            <v>261004</v>
          </cell>
          <cell r="M10360">
            <v>1</v>
          </cell>
          <cell r="R10360">
            <v>45894</v>
          </cell>
          <cell r="S10360">
            <v>261004</v>
          </cell>
        </row>
        <row r="10361">
          <cell r="K10361" t="str">
            <v>222001</v>
          </cell>
          <cell r="M10361">
            <v>5</v>
          </cell>
          <cell r="R10361">
            <v>45894</v>
          </cell>
          <cell r="S10361">
            <v>222001</v>
          </cell>
        </row>
        <row r="10362">
          <cell r="K10362" t="str">
            <v>222002</v>
          </cell>
          <cell r="M10362">
            <v>2</v>
          </cell>
          <cell r="R10362">
            <v>45894</v>
          </cell>
          <cell r="S10362">
            <v>222002</v>
          </cell>
        </row>
        <row r="10363">
          <cell r="K10363" t="str">
            <v>213005</v>
          </cell>
          <cell r="M10363">
            <v>1</v>
          </cell>
          <cell r="R10363">
            <v>45894</v>
          </cell>
          <cell r="S10363">
            <v>213005</v>
          </cell>
        </row>
        <row r="10364">
          <cell r="K10364" t="str">
            <v>201021</v>
          </cell>
          <cell r="M10364">
            <v>2</v>
          </cell>
          <cell r="R10364">
            <v>45894</v>
          </cell>
          <cell r="S10364">
            <v>201021</v>
          </cell>
        </row>
        <row r="10365">
          <cell r="K10365" t="str">
            <v>201002</v>
          </cell>
          <cell r="M10365">
            <v>3</v>
          </cell>
          <cell r="R10365">
            <v>45894</v>
          </cell>
          <cell r="S10365">
            <v>201002</v>
          </cell>
        </row>
        <row r="10366">
          <cell r="K10366" t="str">
            <v>241001</v>
          </cell>
          <cell r="M10366">
            <v>6</v>
          </cell>
          <cell r="R10366">
            <v>45894</v>
          </cell>
          <cell r="S10366">
            <v>241001</v>
          </cell>
        </row>
        <row r="10367">
          <cell r="K10367" t="str">
            <v>226030</v>
          </cell>
          <cell r="M10367">
            <v>2</v>
          </cell>
          <cell r="R10367">
            <v>45894</v>
          </cell>
          <cell r="S10367">
            <v>226030</v>
          </cell>
        </row>
        <row r="10368">
          <cell r="K10368" t="str">
            <v>210014</v>
          </cell>
          <cell r="M10368">
            <v>4</v>
          </cell>
          <cell r="R10368">
            <v>45894</v>
          </cell>
          <cell r="S10368">
            <v>210014</v>
          </cell>
        </row>
        <row r="10369">
          <cell r="K10369" t="str">
            <v>227012</v>
          </cell>
          <cell r="M10369">
            <v>3</v>
          </cell>
          <cell r="R10369">
            <v>45894</v>
          </cell>
          <cell r="S10369">
            <v>227012</v>
          </cell>
        </row>
        <row r="10370">
          <cell r="K10370" t="str">
            <v>223002</v>
          </cell>
          <cell r="M10370">
            <v>1</v>
          </cell>
          <cell r="R10370">
            <v>45894</v>
          </cell>
          <cell r="S10370">
            <v>223002</v>
          </cell>
        </row>
        <row r="10371">
          <cell r="K10371" t="str">
            <v>223001</v>
          </cell>
          <cell r="M10371">
            <v>12</v>
          </cell>
          <cell r="R10371">
            <v>45894</v>
          </cell>
          <cell r="S10371">
            <v>223001</v>
          </cell>
        </row>
        <row r="10372">
          <cell r="K10372" t="str">
            <v>226025</v>
          </cell>
          <cell r="M10372">
            <v>6</v>
          </cell>
          <cell r="R10372">
            <v>45894</v>
          </cell>
          <cell r="S10372">
            <v>226025</v>
          </cell>
        </row>
        <row r="10373">
          <cell r="K10373" t="str">
            <v>203001</v>
          </cell>
          <cell r="M10373">
            <v>1</v>
          </cell>
          <cell r="R10373">
            <v>45895</v>
          </cell>
          <cell r="S10373">
            <v>203001</v>
          </cell>
        </row>
        <row r="10374">
          <cell r="K10374" t="str">
            <v>222001</v>
          </cell>
          <cell r="M10374">
            <v>1</v>
          </cell>
          <cell r="R10374">
            <v>45895</v>
          </cell>
          <cell r="S10374">
            <v>222001</v>
          </cell>
        </row>
        <row r="10375">
          <cell r="K10375" t="str">
            <v>227012</v>
          </cell>
          <cell r="M10375">
            <v>1</v>
          </cell>
          <cell r="R10375">
            <v>45895</v>
          </cell>
          <cell r="S10375">
            <v>227012</v>
          </cell>
        </row>
        <row r="10376">
          <cell r="K10376" t="str">
            <v>203003</v>
          </cell>
          <cell r="M10376">
            <v>1</v>
          </cell>
          <cell r="R10376">
            <v>45895</v>
          </cell>
          <cell r="S10376">
            <v>203003</v>
          </cell>
        </row>
        <row r="10377">
          <cell r="K10377" t="str">
            <v>223001</v>
          </cell>
          <cell r="M10377">
            <v>4</v>
          </cell>
          <cell r="R10377">
            <v>45895</v>
          </cell>
          <cell r="S10377">
            <v>223001</v>
          </cell>
        </row>
        <row r="10378">
          <cell r="K10378" t="str">
            <v>210014</v>
          </cell>
          <cell r="M10378">
            <v>2</v>
          </cell>
          <cell r="R10378">
            <v>45895</v>
          </cell>
          <cell r="S10378">
            <v>210014</v>
          </cell>
        </row>
        <row r="10379">
          <cell r="K10379" t="str">
            <v>210003</v>
          </cell>
          <cell r="M10379">
            <v>1</v>
          </cell>
          <cell r="R10379">
            <v>45895</v>
          </cell>
          <cell r="S10379">
            <v>210003</v>
          </cell>
        </row>
        <row r="10380">
          <cell r="K10380" t="str">
            <v>271002</v>
          </cell>
          <cell r="M10380">
            <v>1</v>
          </cell>
          <cell r="R10380">
            <v>45895</v>
          </cell>
          <cell r="S10380">
            <v>271002</v>
          </cell>
        </row>
        <row r="10381">
          <cell r="K10381" t="str">
            <v>201011</v>
          </cell>
          <cell r="M10381">
            <v>1</v>
          </cell>
          <cell r="R10381">
            <v>45895</v>
          </cell>
          <cell r="S10381">
            <v>201011</v>
          </cell>
        </row>
        <row r="10382">
          <cell r="K10382" t="str">
            <v>223001</v>
          </cell>
          <cell r="M10382">
            <v>2</v>
          </cell>
          <cell r="R10382">
            <v>45894</v>
          </cell>
          <cell r="S10382">
            <v>223001</v>
          </cell>
        </row>
        <row r="10383">
          <cell r="K10383" t="str">
            <v>223002</v>
          </cell>
          <cell r="M10383">
            <v>1</v>
          </cell>
          <cell r="R10383">
            <v>45894</v>
          </cell>
          <cell r="S10383">
            <v>223002</v>
          </cell>
        </row>
        <row r="10384">
          <cell r="K10384" t="str">
            <v>217002</v>
          </cell>
          <cell r="M10384">
            <v>2</v>
          </cell>
          <cell r="R10384">
            <v>45894</v>
          </cell>
          <cell r="S10384">
            <v>217002</v>
          </cell>
        </row>
        <row r="10385">
          <cell r="K10385" t="str">
            <v>223002</v>
          </cell>
          <cell r="M10385">
            <v>1</v>
          </cell>
          <cell r="R10385">
            <v>45894</v>
          </cell>
          <cell r="S10385">
            <v>223002</v>
          </cell>
        </row>
        <row r="10386">
          <cell r="K10386" t="str">
            <v>226029</v>
          </cell>
          <cell r="M10386">
            <v>1</v>
          </cell>
          <cell r="R10386">
            <v>45894</v>
          </cell>
          <cell r="S10386">
            <v>226029</v>
          </cell>
        </row>
        <row r="10387">
          <cell r="K10387" t="str">
            <v>203003</v>
          </cell>
          <cell r="M10387">
            <v>1</v>
          </cell>
          <cell r="R10387">
            <v>45894</v>
          </cell>
          <cell r="S10387">
            <v>203003</v>
          </cell>
        </row>
        <row r="10388">
          <cell r="K10388" t="str">
            <v>209001</v>
          </cell>
          <cell r="M10388">
            <v>3</v>
          </cell>
          <cell r="R10388">
            <v>45894</v>
          </cell>
          <cell r="S10388">
            <v>209001</v>
          </cell>
        </row>
        <row r="10389">
          <cell r="K10389" t="str">
            <v>201021</v>
          </cell>
          <cell r="M10389">
            <v>1</v>
          </cell>
          <cell r="R10389">
            <v>45894</v>
          </cell>
          <cell r="S10389">
            <v>201021</v>
          </cell>
        </row>
        <row r="10390">
          <cell r="K10390" t="str">
            <v>213002</v>
          </cell>
          <cell r="M10390">
            <v>10</v>
          </cell>
          <cell r="R10390">
            <v>45894</v>
          </cell>
          <cell r="S10390">
            <v>213002</v>
          </cell>
        </row>
        <row r="10391">
          <cell r="K10391" t="str">
            <v>223018</v>
          </cell>
          <cell r="M10391">
            <v>1</v>
          </cell>
          <cell r="R10391">
            <v>45894</v>
          </cell>
          <cell r="S10391">
            <v>223018</v>
          </cell>
        </row>
        <row r="10392">
          <cell r="K10392" t="str">
            <v>203001</v>
          </cell>
          <cell r="M10392">
            <v>4</v>
          </cell>
          <cell r="R10392">
            <v>45894</v>
          </cell>
          <cell r="S10392">
            <v>203001</v>
          </cell>
        </row>
        <row r="10393">
          <cell r="K10393" t="str">
            <v>223018</v>
          </cell>
          <cell r="M10393">
            <v>5</v>
          </cell>
          <cell r="R10393">
            <v>45894</v>
          </cell>
          <cell r="S10393">
            <v>223018</v>
          </cell>
        </row>
        <row r="10394">
          <cell r="K10394" t="str">
            <v>207017</v>
          </cell>
          <cell r="M10394">
            <v>1</v>
          </cell>
          <cell r="R10394">
            <v>45894</v>
          </cell>
          <cell r="S10394">
            <v>207017</v>
          </cell>
        </row>
        <row r="10395">
          <cell r="K10395" t="str">
            <v>203003</v>
          </cell>
          <cell r="M10395">
            <v>3</v>
          </cell>
          <cell r="R10395">
            <v>45894</v>
          </cell>
          <cell r="S10395">
            <v>203003</v>
          </cell>
        </row>
        <row r="10396">
          <cell r="K10396" t="str">
            <v>231012</v>
          </cell>
          <cell r="M10396">
            <v>3</v>
          </cell>
          <cell r="R10396">
            <v>45894</v>
          </cell>
          <cell r="S10396">
            <v>231012</v>
          </cell>
        </row>
        <row r="10397">
          <cell r="K10397" t="str">
            <v>201021</v>
          </cell>
          <cell r="M10397">
            <v>2</v>
          </cell>
          <cell r="R10397">
            <v>45894</v>
          </cell>
          <cell r="S10397">
            <v>201021</v>
          </cell>
        </row>
        <row r="10398">
          <cell r="K10398" t="str">
            <v>226025</v>
          </cell>
          <cell r="M10398">
            <v>1</v>
          </cell>
          <cell r="R10398">
            <v>45895</v>
          </cell>
          <cell r="S10398">
            <v>226025</v>
          </cell>
        </row>
        <row r="10399">
          <cell r="K10399" t="str">
            <v>217002</v>
          </cell>
          <cell r="M10399">
            <v>1</v>
          </cell>
          <cell r="R10399">
            <v>45895</v>
          </cell>
          <cell r="S10399">
            <v>217002</v>
          </cell>
        </row>
        <row r="10400">
          <cell r="K10400" t="str">
            <v>213006</v>
          </cell>
          <cell r="M10400">
            <v>1</v>
          </cell>
          <cell r="R10400">
            <v>45895</v>
          </cell>
          <cell r="S10400">
            <v>213006</v>
          </cell>
        </row>
        <row r="10401">
          <cell r="K10401" t="str">
            <v>228001</v>
          </cell>
          <cell r="M10401">
            <v>240</v>
          </cell>
          <cell r="R10401">
            <v>45895</v>
          </cell>
          <cell r="S10401">
            <v>228001</v>
          </cell>
        </row>
        <row r="10402">
          <cell r="K10402" t="str">
            <v>210010</v>
          </cell>
          <cell r="M10402">
            <v>1</v>
          </cell>
          <cell r="R10402">
            <v>45895</v>
          </cell>
          <cell r="S10402">
            <v>210010</v>
          </cell>
        </row>
        <row r="10403">
          <cell r="K10403" t="str">
            <v>228001</v>
          </cell>
          <cell r="M10403">
            <v>3</v>
          </cell>
          <cell r="R10403">
            <v>45895</v>
          </cell>
          <cell r="S10403">
            <v>228001</v>
          </cell>
        </row>
        <row r="10404">
          <cell r="K10404" t="str">
            <v>218001</v>
          </cell>
          <cell r="M10404">
            <v>2</v>
          </cell>
          <cell r="R10404">
            <v>45895</v>
          </cell>
          <cell r="S10404">
            <v>218001</v>
          </cell>
        </row>
        <row r="10405">
          <cell r="K10405" t="str">
            <v>203003</v>
          </cell>
          <cell r="M10405">
            <v>1</v>
          </cell>
          <cell r="R10405">
            <v>45895</v>
          </cell>
          <cell r="S10405">
            <v>203003</v>
          </cell>
        </row>
        <row r="10406">
          <cell r="K10406" t="str">
            <v>231012</v>
          </cell>
          <cell r="M10406">
            <v>1</v>
          </cell>
          <cell r="R10406">
            <v>45895</v>
          </cell>
          <cell r="S10406">
            <v>231012</v>
          </cell>
        </row>
        <row r="10407">
          <cell r="K10407" t="str">
            <v>226024</v>
          </cell>
          <cell r="M10407">
            <v>1</v>
          </cell>
          <cell r="R10407">
            <v>45895</v>
          </cell>
          <cell r="S10407">
            <v>226024</v>
          </cell>
        </row>
        <row r="10408">
          <cell r="K10408" t="str">
            <v>227001</v>
          </cell>
          <cell r="M10408">
            <v>1</v>
          </cell>
          <cell r="R10408">
            <v>45895</v>
          </cell>
          <cell r="S10408">
            <v>227001</v>
          </cell>
        </row>
        <row r="10409">
          <cell r="K10409" t="str">
            <v>225001</v>
          </cell>
          <cell r="M10409">
            <v>1</v>
          </cell>
          <cell r="R10409">
            <v>45895</v>
          </cell>
          <cell r="S10409">
            <v>225001</v>
          </cell>
        </row>
        <row r="10410">
          <cell r="K10410" t="str">
            <v>212035</v>
          </cell>
          <cell r="M10410">
            <v>4</v>
          </cell>
          <cell r="R10410">
            <v>45895</v>
          </cell>
          <cell r="S10410">
            <v>212035</v>
          </cell>
        </row>
        <row r="10411">
          <cell r="K10411" t="str">
            <v>231010</v>
          </cell>
          <cell r="M10411">
            <v>1</v>
          </cell>
          <cell r="R10411">
            <v>45895</v>
          </cell>
          <cell r="S10411">
            <v>231010</v>
          </cell>
        </row>
        <row r="10412">
          <cell r="K10412" t="str">
            <v>203003</v>
          </cell>
          <cell r="M10412">
            <v>2</v>
          </cell>
          <cell r="R10412">
            <v>45895</v>
          </cell>
          <cell r="S10412">
            <v>203003</v>
          </cell>
        </row>
        <row r="10413">
          <cell r="K10413" t="str">
            <v>228001</v>
          </cell>
          <cell r="M10413">
            <v>1</v>
          </cell>
          <cell r="R10413">
            <v>45895</v>
          </cell>
          <cell r="S10413">
            <v>228001</v>
          </cell>
        </row>
        <row r="10414">
          <cell r="K10414" t="str">
            <v>217019</v>
          </cell>
          <cell r="M10414">
            <v>1</v>
          </cell>
          <cell r="R10414">
            <v>45895</v>
          </cell>
          <cell r="S10414">
            <v>217019</v>
          </cell>
        </row>
        <row r="10415">
          <cell r="K10415" t="str">
            <v>201003</v>
          </cell>
          <cell r="M10415">
            <v>2</v>
          </cell>
          <cell r="R10415">
            <v>45895</v>
          </cell>
          <cell r="S10415">
            <v>201003</v>
          </cell>
        </row>
        <row r="10416">
          <cell r="K10416" t="str">
            <v>234001</v>
          </cell>
          <cell r="M10416">
            <v>1</v>
          </cell>
          <cell r="R10416">
            <v>45895</v>
          </cell>
          <cell r="S10416">
            <v>234001</v>
          </cell>
        </row>
        <row r="10417">
          <cell r="K10417" t="str">
            <v>212035</v>
          </cell>
          <cell r="M10417">
            <v>1</v>
          </cell>
          <cell r="R10417">
            <v>45895</v>
          </cell>
          <cell r="S10417">
            <v>212035</v>
          </cell>
        </row>
        <row r="10418">
          <cell r="K10418" t="str">
            <v>201002</v>
          </cell>
          <cell r="M10418">
            <v>1</v>
          </cell>
          <cell r="R10418">
            <v>45895</v>
          </cell>
          <cell r="S10418">
            <v>201002</v>
          </cell>
        </row>
        <row r="10419">
          <cell r="K10419" t="str">
            <v>227012</v>
          </cell>
          <cell r="M10419">
            <v>3</v>
          </cell>
          <cell r="R10419">
            <v>45895</v>
          </cell>
          <cell r="S10419">
            <v>227012</v>
          </cell>
        </row>
        <row r="10420">
          <cell r="K10420" t="str">
            <v>220002</v>
          </cell>
          <cell r="M10420">
            <v>2</v>
          </cell>
          <cell r="R10420">
            <v>45895</v>
          </cell>
          <cell r="S10420">
            <v>220002</v>
          </cell>
        </row>
        <row r="10421">
          <cell r="K10421" t="str">
            <v>203001</v>
          </cell>
          <cell r="M10421">
            <v>4</v>
          </cell>
          <cell r="R10421">
            <v>45895</v>
          </cell>
          <cell r="S10421">
            <v>203001</v>
          </cell>
        </row>
        <row r="10422">
          <cell r="K10422" t="str">
            <v>228001</v>
          </cell>
          <cell r="M10422">
            <v>9</v>
          </cell>
          <cell r="R10422">
            <v>45895</v>
          </cell>
          <cell r="S10422">
            <v>228001</v>
          </cell>
        </row>
        <row r="10423">
          <cell r="K10423" t="str">
            <v>213006</v>
          </cell>
          <cell r="M10423">
            <v>4</v>
          </cell>
          <cell r="R10423">
            <v>45895</v>
          </cell>
          <cell r="S10423">
            <v>213006</v>
          </cell>
        </row>
        <row r="10424">
          <cell r="K10424" t="str">
            <v>203001</v>
          </cell>
          <cell r="M10424">
            <v>1</v>
          </cell>
          <cell r="R10424">
            <v>45895</v>
          </cell>
          <cell r="S10424">
            <v>203001</v>
          </cell>
        </row>
        <row r="10425">
          <cell r="K10425" t="str">
            <v>226001</v>
          </cell>
          <cell r="M10425">
            <v>2</v>
          </cell>
          <cell r="R10425">
            <v>45895</v>
          </cell>
          <cell r="S10425">
            <v>226001</v>
          </cell>
        </row>
        <row r="10426">
          <cell r="K10426" t="str">
            <v>223006</v>
          </cell>
          <cell r="M10426">
            <v>8</v>
          </cell>
          <cell r="R10426">
            <v>45895</v>
          </cell>
          <cell r="S10426">
            <v>223006</v>
          </cell>
        </row>
        <row r="10427">
          <cell r="K10427" t="str">
            <v>223001</v>
          </cell>
          <cell r="M10427">
            <v>8</v>
          </cell>
          <cell r="R10427">
            <v>45895</v>
          </cell>
          <cell r="S10427">
            <v>223001</v>
          </cell>
        </row>
        <row r="10428">
          <cell r="K10428" t="str">
            <v>223003</v>
          </cell>
          <cell r="M10428">
            <v>10</v>
          </cell>
          <cell r="R10428">
            <v>45895</v>
          </cell>
          <cell r="S10428">
            <v>223003</v>
          </cell>
        </row>
        <row r="10429">
          <cell r="K10429" t="str">
            <v>217018</v>
          </cell>
          <cell r="M10429">
            <v>1</v>
          </cell>
          <cell r="R10429">
            <v>45895</v>
          </cell>
          <cell r="S10429">
            <v>217018</v>
          </cell>
        </row>
        <row r="10430">
          <cell r="K10430" t="str">
            <v>228001</v>
          </cell>
          <cell r="M10430">
            <v>5</v>
          </cell>
          <cell r="R10430">
            <v>45895</v>
          </cell>
          <cell r="S10430">
            <v>228001</v>
          </cell>
        </row>
        <row r="10431">
          <cell r="K10431" t="str">
            <v>228001</v>
          </cell>
          <cell r="M10431">
            <v>240</v>
          </cell>
          <cell r="R10431">
            <v>45895</v>
          </cell>
          <cell r="S10431">
            <v>228001</v>
          </cell>
        </row>
        <row r="10432">
          <cell r="K10432" t="str">
            <v>271002</v>
          </cell>
          <cell r="M10432">
            <v>1</v>
          </cell>
          <cell r="R10432">
            <v>45895</v>
          </cell>
          <cell r="S10432">
            <v>271002</v>
          </cell>
        </row>
        <row r="10433">
          <cell r="K10433" t="str">
            <v>241001</v>
          </cell>
          <cell r="M10433">
            <v>1</v>
          </cell>
          <cell r="R10433">
            <v>45895</v>
          </cell>
          <cell r="S10433">
            <v>241001</v>
          </cell>
        </row>
        <row r="10434">
          <cell r="K10434" t="str">
            <v>223001</v>
          </cell>
          <cell r="M10434">
            <v>1</v>
          </cell>
          <cell r="R10434">
            <v>45895</v>
          </cell>
          <cell r="S10434">
            <v>223001</v>
          </cell>
        </row>
        <row r="10435">
          <cell r="K10435" t="str">
            <v>223002</v>
          </cell>
          <cell r="M10435">
            <v>1</v>
          </cell>
          <cell r="R10435">
            <v>45895</v>
          </cell>
          <cell r="S10435">
            <v>223002</v>
          </cell>
        </row>
        <row r="10436">
          <cell r="K10436" t="str">
            <v>227001</v>
          </cell>
          <cell r="M10436">
            <v>2</v>
          </cell>
          <cell r="R10436">
            <v>45895</v>
          </cell>
          <cell r="S10436">
            <v>227001</v>
          </cell>
        </row>
        <row r="10437">
          <cell r="K10437" t="str">
            <v>201021</v>
          </cell>
          <cell r="M10437">
            <v>1</v>
          </cell>
          <cell r="R10437">
            <v>45895</v>
          </cell>
          <cell r="S10437">
            <v>201021</v>
          </cell>
        </row>
        <row r="10438">
          <cell r="K10438" t="str">
            <v>229001</v>
          </cell>
          <cell r="M10438">
            <v>1</v>
          </cell>
          <cell r="R10438">
            <v>45895</v>
          </cell>
          <cell r="S10438">
            <v>229001</v>
          </cell>
        </row>
        <row r="10439">
          <cell r="K10439" t="str">
            <v>241001</v>
          </cell>
          <cell r="M10439">
            <v>1</v>
          </cell>
          <cell r="R10439">
            <v>45896</v>
          </cell>
          <cell r="S10439">
            <v>241001</v>
          </cell>
        </row>
        <row r="10440">
          <cell r="K10440" t="str">
            <v>234011</v>
          </cell>
          <cell r="M10440">
            <v>1</v>
          </cell>
          <cell r="R10440">
            <v>45896</v>
          </cell>
          <cell r="S10440">
            <v>234011</v>
          </cell>
        </row>
        <row r="10441">
          <cell r="K10441" t="str">
            <v>223002</v>
          </cell>
          <cell r="M10441">
            <v>1</v>
          </cell>
          <cell r="R10441">
            <v>45896</v>
          </cell>
          <cell r="S10441">
            <v>223002</v>
          </cell>
        </row>
        <row r="10442">
          <cell r="K10442" t="str">
            <v>209001</v>
          </cell>
          <cell r="M10442">
            <v>1</v>
          </cell>
          <cell r="R10442">
            <v>45896</v>
          </cell>
          <cell r="S10442">
            <v>209001</v>
          </cell>
        </row>
        <row r="10443">
          <cell r="K10443" t="str">
            <v>223002</v>
          </cell>
          <cell r="M10443">
            <v>1</v>
          </cell>
          <cell r="R10443">
            <v>45895</v>
          </cell>
          <cell r="S10443">
            <v>223002</v>
          </cell>
        </row>
        <row r="10444">
          <cell r="K10444" t="str">
            <v>223001</v>
          </cell>
          <cell r="M10444">
            <v>3</v>
          </cell>
          <cell r="R10444">
            <v>45895</v>
          </cell>
          <cell r="S10444">
            <v>223001</v>
          </cell>
        </row>
        <row r="10445">
          <cell r="K10445" t="str">
            <v>241001</v>
          </cell>
          <cell r="M10445">
            <v>1</v>
          </cell>
          <cell r="R10445">
            <v>45895</v>
          </cell>
          <cell r="S10445">
            <v>241001</v>
          </cell>
        </row>
        <row r="10446">
          <cell r="K10446" t="str">
            <v>209001</v>
          </cell>
          <cell r="M10446">
            <v>1</v>
          </cell>
          <cell r="R10446">
            <v>45895</v>
          </cell>
          <cell r="S10446">
            <v>209001</v>
          </cell>
        </row>
        <row r="10447">
          <cell r="K10447" t="str">
            <v>210010</v>
          </cell>
          <cell r="M10447">
            <v>2</v>
          </cell>
          <cell r="R10447">
            <v>45895</v>
          </cell>
          <cell r="S10447">
            <v>210010</v>
          </cell>
        </row>
        <row r="10448">
          <cell r="K10448" t="str">
            <v>226028</v>
          </cell>
          <cell r="M10448">
            <v>2</v>
          </cell>
          <cell r="R10448">
            <v>45895</v>
          </cell>
          <cell r="S10448">
            <v>226028</v>
          </cell>
        </row>
        <row r="10449">
          <cell r="K10449" t="str">
            <v>228001</v>
          </cell>
          <cell r="M10449">
            <v>60</v>
          </cell>
          <cell r="R10449">
            <v>45895</v>
          </cell>
          <cell r="S10449">
            <v>228001</v>
          </cell>
        </row>
        <row r="10450">
          <cell r="K10450" t="str">
            <v>203001</v>
          </cell>
          <cell r="M10450">
            <v>1</v>
          </cell>
          <cell r="R10450">
            <v>45896</v>
          </cell>
          <cell r="S10450">
            <v>203001</v>
          </cell>
        </row>
        <row r="10451">
          <cell r="K10451" t="str">
            <v>210010</v>
          </cell>
          <cell r="M10451">
            <v>1</v>
          </cell>
          <cell r="R10451">
            <v>45895</v>
          </cell>
          <cell r="S10451">
            <v>210010</v>
          </cell>
        </row>
        <row r="10452">
          <cell r="K10452" t="str">
            <v>222001</v>
          </cell>
          <cell r="M10452">
            <v>1</v>
          </cell>
          <cell r="R10452">
            <v>45896</v>
          </cell>
          <cell r="S10452">
            <v>222001</v>
          </cell>
        </row>
        <row r="10453">
          <cell r="K10453" t="str">
            <v>234001</v>
          </cell>
          <cell r="M10453">
            <v>1</v>
          </cell>
          <cell r="R10453">
            <v>45896</v>
          </cell>
          <cell r="S10453">
            <v>234001</v>
          </cell>
        </row>
        <row r="10454">
          <cell r="K10454" t="str">
            <v>202001</v>
          </cell>
          <cell r="M10454">
            <v>2</v>
          </cell>
          <cell r="R10454">
            <v>45896</v>
          </cell>
          <cell r="S10454">
            <v>202001</v>
          </cell>
        </row>
        <row r="10455">
          <cell r="K10455" t="str">
            <v>206006</v>
          </cell>
          <cell r="M10455">
            <v>1</v>
          </cell>
          <cell r="R10455">
            <v>45896</v>
          </cell>
          <cell r="S10455">
            <v>206006</v>
          </cell>
        </row>
        <row r="10456">
          <cell r="K10456" t="str">
            <v>206002</v>
          </cell>
          <cell r="M10456">
            <v>1</v>
          </cell>
          <cell r="R10456">
            <v>45896</v>
          </cell>
          <cell r="S10456">
            <v>206002</v>
          </cell>
        </row>
        <row r="10457">
          <cell r="K10457" t="str">
            <v>218001</v>
          </cell>
          <cell r="M10457">
            <v>2</v>
          </cell>
          <cell r="R10457">
            <v>45896</v>
          </cell>
          <cell r="S10457">
            <v>218001</v>
          </cell>
        </row>
        <row r="10458">
          <cell r="K10458" t="str">
            <v>206002</v>
          </cell>
          <cell r="M10458">
            <v>1</v>
          </cell>
          <cell r="R10458">
            <v>45896</v>
          </cell>
          <cell r="S10458">
            <v>206002</v>
          </cell>
        </row>
        <row r="10459">
          <cell r="K10459" t="str">
            <v>218001</v>
          </cell>
          <cell r="M10459">
            <v>1</v>
          </cell>
          <cell r="R10459">
            <v>45896</v>
          </cell>
          <cell r="S10459">
            <v>218001</v>
          </cell>
        </row>
        <row r="10460">
          <cell r="K10460" t="str">
            <v>226001</v>
          </cell>
          <cell r="M10460">
            <v>2</v>
          </cell>
          <cell r="R10460">
            <v>45896</v>
          </cell>
          <cell r="S10460">
            <v>226001</v>
          </cell>
        </row>
        <row r="10461">
          <cell r="K10461" t="str">
            <v>213006</v>
          </cell>
          <cell r="M10461">
            <v>1</v>
          </cell>
          <cell r="R10461">
            <v>45896</v>
          </cell>
          <cell r="S10461">
            <v>213006</v>
          </cell>
        </row>
        <row r="10462">
          <cell r="K10462" t="str">
            <v>213005</v>
          </cell>
          <cell r="M10462">
            <v>1</v>
          </cell>
          <cell r="R10462">
            <v>45896</v>
          </cell>
          <cell r="S10462">
            <v>213005</v>
          </cell>
        </row>
        <row r="10463">
          <cell r="K10463" t="str">
            <v>201002</v>
          </cell>
          <cell r="M10463">
            <v>1</v>
          </cell>
          <cell r="R10463">
            <v>45896</v>
          </cell>
          <cell r="S10463">
            <v>201002</v>
          </cell>
        </row>
        <row r="10464">
          <cell r="K10464" t="str">
            <v>201021</v>
          </cell>
          <cell r="M10464">
            <v>3</v>
          </cell>
          <cell r="R10464">
            <v>45896</v>
          </cell>
          <cell r="S10464">
            <v>201021</v>
          </cell>
        </row>
        <row r="10465">
          <cell r="K10465" t="str">
            <v>213002</v>
          </cell>
          <cell r="M10465">
            <v>15</v>
          </cell>
          <cell r="R10465">
            <v>45896</v>
          </cell>
          <cell r="S10465">
            <v>213002</v>
          </cell>
        </row>
        <row r="10466">
          <cell r="K10466" t="str">
            <v>203001</v>
          </cell>
          <cell r="M10466">
            <v>1</v>
          </cell>
          <cell r="R10466">
            <v>45896</v>
          </cell>
          <cell r="S10466">
            <v>203001</v>
          </cell>
        </row>
        <row r="10467">
          <cell r="K10467" t="str">
            <v>223002</v>
          </cell>
          <cell r="M10467">
            <v>3</v>
          </cell>
          <cell r="R10467">
            <v>45896</v>
          </cell>
          <cell r="S10467">
            <v>223002</v>
          </cell>
        </row>
        <row r="10468">
          <cell r="K10468" t="str">
            <v>217002</v>
          </cell>
          <cell r="M10468">
            <v>5</v>
          </cell>
          <cell r="R10468">
            <v>45896</v>
          </cell>
          <cell r="S10468">
            <v>217002</v>
          </cell>
        </row>
        <row r="10469">
          <cell r="K10469" t="str">
            <v>217022</v>
          </cell>
          <cell r="M10469">
            <v>5</v>
          </cell>
          <cell r="R10469">
            <v>45896</v>
          </cell>
          <cell r="S10469">
            <v>217022</v>
          </cell>
        </row>
        <row r="10470">
          <cell r="K10470" t="str">
            <v>226029</v>
          </cell>
          <cell r="M10470">
            <v>3</v>
          </cell>
          <cell r="R10470">
            <v>45896</v>
          </cell>
          <cell r="S10470">
            <v>226029</v>
          </cell>
        </row>
        <row r="10471">
          <cell r="K10471" t="str">
            <v>217011</v>
          </cell>
          <cell r="M10471">
            <v>2</v>
          </cell>
          <cell r="R10471">
            <v>45896</v>
          </cell>
          <cell r="S10471">
            <v>217011</v>
          </cell>
        </row>
        <row r="10472">
          <cell r="K10472" t="str">
            <v>228001</v>
          </cell>
          <cell r="M10472">
            <v>4</v>
          </cell>
          <cell r="R10472">
            <v>45896</v>
          </cell>
          <cell r="S10472">
            <v>228001</v>
          </cell>
        </row>
        <row r="10473">
          <cell r="K10473" t="str">
            <v>217018</v>
          </cell>
          <cell r="M10473">
            <v>1</v>
          </cell>
          <cell r="R10473">
            <v>45896</v>
          </cell>
          <cell r="S10473">
            <v>217018</v>
          </cell>
        </row>
        <row r="10474">
          <cell r="K10474" t="str">
            <v>213006</v>
          </cell>
          <cell r="M10474">
            <v>1</v>
          </cell>
          <cell r="R10474">
            <v>45896</v>
          </cell>
          <cell r="S10474">
            <v>213006</v>
          </cell>
        </row>
        <row r="10475">
          <cell r="K10475" t="str">
            <v>231012</v>
          </cell>
          <cell r="M10475">
            <v>3</v>
          </cell>
          <cell r="R10475">
            <v>45896</v>
          </cell>
          <cell r="S10475">
            <v>231012</v>
          </cell>
        </row>
        <row r="10476">
          <cell r="K10476" t="str">
            <v>201002</v>
          </cell>
          <cell r="M10476">
            <v>1</v>
          </cell>
          <cell r="R10476">
            <v>45896</v>
          </cell>
          <cell r="S10476">
            <v>201002</v>
          </cell>
        </row>
        <row r="10477">
          <cell r="K10477" t="str">
            <v>227002</v>
          </cell>
          <cell r="M10477">
            <v>2</v>
          </cell>
          <cell r="R10477">
            <v>45896</v>
          </cell>
          <cell r="S10477">
            <v>227002</v>
          </cell>
        </row>
        <row r="10478">
          <cell r="K10478" t="str">
            <v>228001</v>
          </cell>
          <cell r="M10478">
            <v>2</v>
          </cell>
          <cell r="R10478">
            <v>45896</v>
          </cell>
          <cell r="S10478">
            <v>228001</v>
          </cell>
        </row>
        <row r="10479">
          <cell r="K10479" t="str">
            <v>209016</v>
          </cell>
          <cell r="M10479">
            <v>2</v>
          </cell>
          <cell r="R10479">
            <v>45896</v>
          </cell>
          <cell r="S10479">
            <v>209016</v>
          </cell>
        </row>
        <row r="10480">
          <cell r="K10480" t="str">
            <v>241001</v>
          </cell>
          <cell r="M10480">
            <v>20</v>
          </cell>
          <cell r="R10480">
            <v>45896</v>
          </cell>
          <cell r="S10480">
            <v>241001</v>
          </cell>
        </row>
        <row r="10481">
          <cell r="K10481" t="str">
            <v>226001</v>
          </cell>
          <cell r="M10481">
            <v>1</v>
          </cell>
          <cell r="R10481">
            <v>45896</v>
          </cell>
          <cell r="S10481">
            <v>226001</v>
          </cell>
        </row>
        <row r="10482">
          <cell r="K10482" t="str">
            <v>201011</v>
          </cell>
          <cell r="M10482">
            <v>12</v>
          </cell>
          <cell r="R10482">
            <v>45896</v>
          </cell>
          <cell r="S10482">
            <v>201011</v>
          </cell>
        </row>
        <row r="10483">
          <cell r="K10483" t="str">
            <v>213006</v>
          </cell>
          <cell r="M10483">
            <v>1</v>
          </cell>
          <cell r="R10483">
            <v>45896</v>
          </cell>
          <cell r="S10483">
            <v>213006</v>
          </cell>
        </row>
        <row r="10484">
          <cell r="K10484" t="str">
            <v>212035</v>
          </cell>
          <cell r="M10484">
            <v>2</v>
          </cell>
          <cell r="R10484">
            <v>45896</v>
          </cell>
          <cell r="S10484">
            <v>212035</v>
          </cell>
        </row>
        <row r="10485">
          <cell r="K10485" t="str">
            <v>201011</v>
          </cell>
          <cell r="M10485">
            <v>1</v>
          </cell>
          <cell r="R10485">
            <v>45896</v>
          </cell>
          <cell r="S10485">
            <v>201011</v>
          </cell>
        </row>
        <row r="10486">
          <cell r="K10486" t="str">
            <v>210013</v>
          </cell>
          <cell r="M10486">
            <v>5</v>
          </cell>
          <cell r="R10486">
            <v>45897</v>
          </cell>
          <cell r="S10486">
            <v>210013</v>
          </cell>
        </row>
        <row r="10487">
          <cell r="K10487" t="str">
            <v>220002</v>
          </cell>
          <cell r="M10487">
            <v>2</v>
          </cell>
          <cell r="R10487">
            <v>45897</v>
          </cell>
          <cell r="S10487">
            <v>220002</v>
          </cell>
        </row>
        <row r="10488">
          <cell r="K10488" t="str">
            <v>217006</v>
          </cell>
          <cell r="M10488">
            <v>1</v>
          </cell>
          <cell r="R10488">
            <v>45896</v>
          </cell>
          <cell r="S10488">
            <v>217006</v>
          </cell>
        </row>
        <row r="10489">
          <cell r="K10489" t="str">
            <v>226001</v>
          </cell>
          <cell r="M10489">
            <v>1</v>
          </cell>
          <cell r="R10489">
            <v>45896</v>
          </cell>
          <cell r="S10489">
            <v>226001</v>
          </cell>
        </row>
        <row r="10490">
          <cell r="K10490" t="str">
            <v>223001</v>
          </cell>
          <cell r="M10490">
            <v>2</v>
          </cell>
          <cell r="R10490">
            <v>45897</v>
          </cell>
          <cell r="S10490">
            <v>223001</v>
          </cell>
        </row>
        <row r="10491">
          <cell r="K10491" t="str">
            <v>223002</v>
          </cell>
          <cell r="M10491">
            <v>2</v>
          </cell>
          <cell r="R10491">
            <v>45897</v>
          </cell>
          <cell r="S10491">
            <v>223002</v>
          </cell>
        </row>
        <row r="10492">
          <cell r="K10492" t="str">
            <v>226001</v>
          </cell>
          <cell r="M10492">
            <v>6</v>
          </cell>
          <cell r="R10492">
            <v>45896</v>
          </cell>
          <cell r="S10492">
            <v>226001</v>
          </cell>
        </row>
        <row r="10493">
          <cell r="K10493" t="str">
            <v>226001</v>
          </cell>
          <cell r="M10493">
            <v>1</v>
          </cell>
          <cell r="R10493">
            <v>45897</v>
          </cell>
          <cell r="S10493">
            <v>226001</v>
          </cell>
        </row>
        <row r="10494">
          <cell r="K10494" t="str">
            <v>201021</v>
          </cell>
          <cell r="M10494">
            <v>10</v>
          </cell>
          <cell r="R10494">
            <v>45896</v>
          </cell>
          <cell r="S10494">
            <v>201021</v>
          </cell>
        </row>
        <row r="10495">
          <cell r="K10495" t="str">
            <v>223006</v>
          </cell>
          <cell r="M10495">
            <v>4</v>
          </cell>
          <cell r="R10495">
            <v>45896</v>
          </cell>
          <cell r="S10495">
            <v>223006</v>
          </cell>
        </row>
        <row r="10496">
          <cell r="K10496" t="str">
            <v>217002</v>
          </cell>
          <cell r="M10496">
            <v>3</v>
          </cell>
          <cell r="R10496">
            <v>45896</v>
          </cell>
          <cell r="S10496">
            <v>217002</v>
          </cell>
        </row>
        <row r="10497">
          <cell r="K10497" t="str">
            <v>201011</v>
          </cell>
          <cell r="M10497">
            <v>8</v>
          </cell>
          <cell r="R10497">
            <v>45896</v>
          </cell>
          <cell r="S10497">
            <v>201011</v>
          </cell>
        </row>
        <row r="10498">
          <cell r="K10498" t="str">
            <v>201011</v>
          </cell>
          <cell r="M10498">
            <v>6</v>
          </cell>
          <cell r="R10498">
            <v>45896</v>
          </cell>
          <cell r="S10498">
            <v>201011</v>
          </cell>
        </row>
        <row r="10499">
          <cell r="K10499" t="str">
            <v>228001</v>
          </cell>
          <cell r="M10499">
            <v>15</v>
          </cell>
          <cell r="R10499">
            <v>45897</v>
          </cell>
          <cell r="S10499">
            <v>228001</v>
          </cell>
        </row>
        <row r="10500">
          <cell r="K10500" t="str">
            <v>212010</v>
          </cell>
          <cell r="M10500">
            <v>20</v>
          </cell>
          <cell r="R10500">
            <v>45897</v>
          </cell>
          <cell r="S10500">
            <v>212010</v>
          </cell>
        </row>
        <row r="10501">
          <cell r="K10501" t="str">
            <v>261004</v>
          </cell>
          <cell r="M10501">
            <v>20</v>
          </cell>
          <cell r="R10501">
            <v>45897</v>
          </cell>
          <cell r="S10501">
            <v>261004</v>
          </cell>
        </row>
        <row r="10502">
          <cell r="K10502" t="str">
            <v>210014</v>
          </cell>
          <cell r="M10502">
            <v>1</v>
          </cell>
          <cell r="R10502">
            <v>45897</v>
          </cell>
          <cell r="S10502">
            <v>210014</v>
          </cell>
        </row>
        <row r="10503">
          <cell r="K10503" t="str">
            <v>228001</v>
          </cell>
          <cell r="M10503">
            <v>1</v>
          </cell>
          <cell r="R10503">
            <v>45897</v>
          </cell>
          <cell r="S10503">
            <v>228001</v>
          </cell>
        </row>
        <row r="10504">
          <cell r="K10504" t="str">
            <v>212035</v>
          </cell>
          <cell r="M10504">
            <v>1</v>
          </cell>
          <cell r="R10504">
            <v>45897</v>
          </cell>
          <cell r="S10504">
            <v>212035</v>
          </cell>
        </row>
        <row r="10505">
          <cell r="K10505" t="str">
            <v>209012</v>
          </cell>
          <cell r="M10505">
            <v>1</v>
          </cell>
          <cell r="R10505">
            <v>45897</v>
          </cell>
          <cell r="S10505">
            <v>209012</v>
          </cell>
        </row>
        <row r="10506">
          <cell r="K10506" t="str">
            <v>226001</v>
          </cell>
          <cell r="M10506">
            <v>4</v>
          </cell>
          <cell r="R10506">
            <v>45897</v>
          </cell>
          <cell r="S10506">
            <v>226001</v>
          </cell>
        </row>
        <row r="10507">
          <cell r="K10507" t="str">
            <v>231012</v>
          </cell>
          <cell r="M10507">
            <v>2</v>
          </cell>
          <cell r="R10507">
            <v>45897</v>
          </cell>
          <cell r="S10507">
            <v>231012</v>
          </cell>
        </row>
        <row r="10508">
          <cell r="K10508" t="str">
            <v>203001</v>
          </cell>
          <cell r="M10508">
            <v>2</v>
          </cell>
          <cell r="R10508">
            <v>45897</v>
          </cell>
          <cell r="S10508">
            <v>203001</v>
          </cell>
        </row>
        <row r="10509">
          <cell r="K10509" t="str">
            <v>201021</v>
          </cell>
          <cell r="M10509">
            <v>5</v>
          </cell>
          <cell r="R10509">
            <v>45897</v>
          </cell>
          <cell r="S10509">
            <v>201021</v>
          </cell>
        </row>
        <row r="10510">
          <cell r="K10510" t="str">
            <v>241001</v>
          </cell>
          <cell r="M10510">
            <v>2</v>
          </cell>
          <cell r="R10510">
            <v>45897</v>
          </cell>
          <cell r="S10510">
            <v>241001</v>
          </cell>
        </row>
        <row r="10511">
          <cell r="K10511" t="str">
            <v>223001</v>
          </cell>
          <cell r="M10511">
            <v>3</v>
          </cell>
          <cell r="R10511">
            <v>45897</v>
          </cell>
          <cell r="S10511">
            <v>223001</v>
          </cell>
        </row>
        <row r="10512">
          <cell r="K10512" t="str">
            <v>227002</v>
          </cell>
          <cell r="M10512">
            <v>1</v>
          </cell>
          <cell r="R10512">
            <v>45897</v>
          </cell>
          <cell r="S10512">
            <v>227002</v>
          </cell>
        </row>
        <row r="10513">
          <cell r="K10513" t="str">
            <v>207017</v>
          </cell>
          <cell r="M10513">
            <v>1</v>
          </cell>
          <cell r="R10513">
            <v>45897</v>
          </cell>
          <cell r="S10513">
            <v>207017</v>
          </cell>
        </row>
        <row r="10514">
          <cell r="K10514" t="str">
            <v>201003</v>
          </cell>
          <cell r="M10514">
            <v>1</v>
          </cell>
          <cell r="R10514">
            <v>45897</v>
          </cell>
          <cell r="S10514">
            <v>201003</v>
          </cell>
        </row>
        <row r="10515">
          <cell r="K10515" t="str">
            <v>228001</v>
          </cell>
          <cell r="M10515">
            <v>3</v>
          </cell>
          <cell r="R10515">
            <v>45897</v>
          </cell>
          <cell r="S10515">
            <v>228001</v>
          </cell>
        </row>
        <row r="10516">
          <cell r="K10516" t="str">
            <v>213005</v>
          </cell>
          <cell r="M10516">
            <v>2</v>
          </cell>
          <cell r="R10516">
            <v>45897</v>
          </cell>
          <cell r="S10516">
            <v>213005</v>
          </cell>
        </row>
        <row r="10517">
          <cell r="K10517" t="str">
            <v>213002</v>
          </cell>
          <cell r="M10517">
            <v>4</v>
          </cell>
          <cell r="R10517">
            <v>45897</v>
          </cell>
          <cell r="S10517">
            <v>213002</v>
          </cell>
        </row>
        <row r="10518">
          <cell r="K10518" t="str">
            <v>228001</v>
          </cell>
          <cell r="M10518">
            <v>50</v>
          </cell>
          <cell r="R10518">
            <v>45897</v>
          </cell>
          <cell r="S10518">
            <v>228001</v>
          </cell>
        </row>
        <row r="10519">
          <cell r="K10519" t="str">
            <v>232001</v>
          </cell>
          <cell r="M10519">
            <v>1</v>
          </cell>
          <cell r="R10519">
            <v>45897</v>
          </cell>
          <cell r="S10519">
            <v>232001</v>
          </cell>
        </row>
        <row r="10520">
          <cell r="K10520" t="str">
            <v>228001</v>
          </cell>
          <cell r="M10520">
            <v>3</v>
          </cell>
          <cell r="R10520">
            <v>45897</v>
          </cell>
          <cell r="S10520">
            <v>228001</v>
          </cell>
        </row>
        <row r="10521">
          <cell r="K10521" t="str">
            <v>227012</v>
          </cell>
          <cell r="M10521">
            <v>1</v>
          </cell>
          <cell r="R10521">
            <v>45897</v>
          </cell>
          <cell r="S10521">
            <v>227012</v>
          </cell>
        </row>
        <row r="10522">
          <cell r="K10522" t="str">
            <v>227012</v>
          </cell>
          <cell r="M10522">
            <v>2</v>
          </cell>
          <cell r="R10522">
            <v>45897</v>
          </cell>
          <cell r="S10522">
            <v>227012</v>
          </cell>
        </row>
        <row r="10523">
          <cell r="K10523" t="str">
            <v>231002</v>
          </cell>
          <cell r="M10523">
            <v>2</v>
          </cell>
          <cell r="R10523">
            <v>45897</v>
          </cell>
          <cell r="S10523">
            <v>231002</v>
          </cell>
        </row>
        <row r="10524">
          <cell r="K10524" t="str">
            <v>201011</v>
          </cell>
          <cell r="M10524">
            <v>14</v>
          </cell>
          <cell r="R10524">
            <v>45896</v>
          </cell>
          <cell r="S10524">
            <v>201011</v>
          </cell>
        </row>
        <row r="10525">
          <cell r="K10525" t="str">
            <v>201002</v>
          </cell>
          <cell r="M10525">
            <v>2</v>
          </cell>
          <cell r="R10525">
            <v>45897</v>
          </cell>
          <cell r="S10525">
            <v>201002</v>
          </cell>
        </row>
        <row r="10526">
          <cell r="K10526" t="str">
            <v>271002</v>
          </cell>
          <cell r="M10526">
            <v>2</v>
          </cell>
          <cell r="R10526">
            <v>45897</v>
          </cell>
          <cell r="S10526">
            <v>271002</v>
          </cell>
        </row>
        <row r="10527">
          <cell r="K10527" t="str">
            <v>237001</v>
          </cell>
          <cell r="M10527">
            <v>1</v>
          </cell>
          <cell r="R10527">
            <v>45897</v>
          </cell>
          <cell r="S10527">
            <v>237001</v>
          </cell>
        </row>
        <row r="10528">
          <cell r="K10528" t="str">
            <v>229003</v>
          </cell>
          <cell r="M10528">
            <v>2</v>
          </cell>
          <cell r="R10528">
            <v>45897</v>
          </cell>
          <cell r="S10528">
            <v>229003</v>
          </cell>
        </row>
        <row r="10529">
          <cell r="K10529" t="str">
            <v>231012</v>
          </cell>
          <cell r="M10529">
            <v>1</v>
          </cell>
          <cell r="R10529">
            <v>45897</v>
          </cell>
          <cell r="S10529">
            <v>231012</v>
          </cell>
        </row>
        <row r="10530">
          <cell r="K10530" t="str">
            <v>228001</v>
          </cell>
          <cell r="M10530">
            <v>1</v>
          </cell>
          <cell r="R10530">
            <v>45897</v>
          </cell>
          <cell r="S10530">
            <v>228001</v>
          </cell>
        </row>
        <row r="10531">
          <cell r="K10531" t="str">
            <v>212035</v>
          </cell>
          <cell r="M10531">
            <v>1</v>
          </cell>
          <cell r="R10531">
            <v>45897</v>
          </cell>
          <cell r="S10531">
            <v>212035</v>
          </cell>
        </row>
        <row r="10532">
          <cell r="K10532" t="str">
            <v>241001</v>
          </cell>
          <cell r="M10532">
            <v>10</v>
          </cell>
          <cell r="R10532">
            <v>45897</v>
          </cell>
          <cell r="S10532">
            <v>241001</v>
          </cell>
        </row>
        <row r="10533">
          <cell r="K10533" t="str">
            <v>201002</v>
          </cell>
          <cell r="M10533">
            <v>1</v>
          </cell>
          <cell r="R10533">
            <v>45897</v>
          </cell>
          <cell r="S10533">
            <v>201002</v>
          </cell>
        </row>
        <row r="10534">
          <cell r="K10534" t="str">
            <v>227012</v>
          </cell>
          <cell r="M10534">
            <v>1</v>
          </cell>
          <cell r="R10534">
            <v>45897</v>
          </cell>
          <cell r="S10534">
            <v>227012</v>
          </cell>
        </row>
        <row r="10535">
          <cell r="K10535" t="str">
            <v>241001</v>
          </cell>
          <cell r="M10535">
            <v>2</v>
          </cell>
          <cell r="R10535">
            <v>45897</v>
          </cell>
          <cell r="S10535">
            <v>241001</v>
          </cell>
        </row>
        <row r="10536">
          <cell r="K10536" t="str">
            <v>213005</v>
          </cell>
          <cell r="M10536">
            <v>1</v>
          </cell>
          <cell r="R10536">
            <v>45897</v>
          </cell>
          <cell r="S10536">
            <v>213005</v>
          </cell>
        </row>
        <row r="10537">
          <cell r="K10537" t="str">
            <v>228001</v>
          </cell>
          <cell r="M10537">
            <v>1</v>
          </cell>
          <cell r="R10537">
            <v>45897</v>
          </cell>
          <cell r="S10537">
            <v>228001</v>
          </cell>
        </row>
        <row r="10538">
          <cell r="K10538" t="str">
            <v>226001</v>
          </cell>
          <cell r="M10538">
            <v>2</v>
          </cell>
          <cell r="R10538">
            <v>45897</v>
          </cell>
          <cell r="S10538">
            <v>226001</v>
          </cell>
        </row>
        <row r="10539">
          <cell r="K10539" t="str">
            <v>217020</v>
          </cell>
          <cell r="M10539">
            <v>6</v>
          </cell>
          <cell r="R10539">
            <v>45897</v>
          </cell>
          <cell r="S10539">
            <v>217020</v>
          </cell>
        </row>
        <row r="10540">
          <cell r="K10540" t="str">
            <v>213002</v>
          </cell>
          <cell r="M10540">
            <v>3</v>
          </cell>
          <cell r="R10540">
            <v>45897</v>
          </cell>
          <cell r="S10540">
            <v>213002</v>
          </cell>
        </row>
        <row r="10541">
          <cell r="K10541" t="str">
            <v>220002</v>
          </cell>
          <cell r="M10541">
            <v>1</v>
          </cell>
          <cell r="R10541">
            <v>45897</v>
          </cell>
          <cell r="S10541">
            <v>220002</v>
          </cell>
        </row>
        <row r="10542">
          <cell r="K10542" t="str">
            <v>226030</v>
          </cell>
          <cell r="M10542">
            <v>2</v>
          </cell>
          <cell r="R10542">
            <v>45897</v>
          </cell>
          <cell r="S10542">
            <v>226030</v>
          </cell>
        </row>
        <row r="10543">
          <cell r="K10543" t="str">
            <v>209001</v>
          </cell>
          <cell r="M10543">
            <v>3</v>
          </cell>
          <cell r="R10543">
            <v>45897</v>
          </cell>
          <cell r="S10543">
            <v>209001</v>
          </cell>
        </row>
        <row r="10544">
          <cell r="K10544" t="str">
            <v>226003</v>
          </cell>
          <cell r="M10544">
            <v>1</v>
          </cell>
          <cell r="R10544">
            <v>45897</v>
          </cell>
          <cell r="S10544">
            <v>226003</v>
          </cell>
        </row>
        <row r="10545">
          <cell r="K10545" t="str">
            <v>237001</v>
          </cell>
          <cell r="M10545">
            <v>2</v>
          </cell>
          <cell r="R10545">
            <v>45897</v>
          </cell>
          <cell r="S10545">
            <v>237001</v>
          </cell>
        </row>
        <row r="10546">
          <cell r="K10546" t="str">
            <v>203003</v>
          </cell>
          <cell r="M10546">
            <v>1</v>
          </cell>
          <cell r="R10546">
            <v>45898</v>
          </cell>
          <cell r="S10546">
            <v>203003</v>
          </cell>
        </row>
        <row r="10547">
          <cell r="K10547" t="str">
            <v>223002</v>
          </cell>
          <cell r="M10547">
            <v>2</v>
          </cell>
          <cell r="R10547">
            <v>45898</v>
          </cell>
          <cell r="S10547">
            <v>223002</v>
          </cell>
        </row>
        <row r="10548">
          <cell r="K10548" t="str">
            <v>209001</v>
          </cell>
          <cell r="M10548">
            <v>1</v>
          </cell>
          <cell r="R10548">
            <v>45898</v>
          </cell>
          <cell r="S10548">
            <v>209001</v>
          </cell>
        </row>
        <row r="10549">
          <cell r="K10549" t="str">
            <v>217002</v>
          </cell>
          <cell r="M10549">
            <v>1</v>
          </cell>
          <cell r="R10549">
            <v>45897</v>
          </cell>
          <cell r="S10549">
            <v>217002</v>
          </cell>
        </row>
        <row r="10550">
          <cell r="K10550" t="str">
            <v>226001</v>
          </cell>
          <cell r="M10550">
            <v>1</v>
          </cell>
          <cell r="R10550">
            <v>45897</v>
          </cell>
          <cell r="S10550">
            <v>226001</v>
          </cell>
        </row>
        <row r="10551">
          <cell r="K10551" t="str">
            <v>237001</v>
          </cell>
          <cell r="M10551">
            <v>1</v>
          </cell>
          <cell r="R10551">
            <v>45897</v>
          </cell>
          <cell r="S10551">
            <v>237001</v>
          </cell>
        </row>
        <row r="10552">
          <cell r="K10552" t="str">
            <v>217018</v>
          </cell>
          <cell r="M10552">
            <v>2</v>
          </cell>
          <cell r="R10552">
            <v>45897</v>
          </cell>
          <cell r="S10552">
            <v>217018</v>
          </cell>
        </row>
        <row r="10553">
          <cell r="K10553" t="str">
            <v>231004</v>
          </cell>
          <cell r="M10553">
            <v>1</v>
          </cell>
          <cell r="R10553">
            <v>45897</v>
          </cell>
          <cell r="S10553">
            <v>231004</v>
          </cell>
        </row>
        <row r="10554">
          <cell r="K10554" t="str">
            <v>241001</v>
          </cell>
          <cell r="M10554">
            <v>4</v>
          </cell>
          <cell r="R10554">
            <v>45897</v>
          </cell>
          <cell r="S10554">
            <v>241001</v>
          </cell>
        </row>
        <row r="10555">
          <cell r="K10555" t="str">
            <v>222001</v>
          </cell>
          <cell r="M10555">
            <v>4</v>
          </cell>
          <cell r="R10555">
            <v>45897</v>
          </cell>
          <cell r="S10555">
            <v>222001</v>
          </cell>
        </row>
        <row r="10556">
          <cell r="K10556" t="str">
            <v>222002</v>
          </cell>
          <cell r="M10556">
            <v>2</v>
          </cell>
          <cell r="R10556">
            <v>45897</v>
          </cell>
          <cell r="S10556">
            <v>222002</v>
          </cell>
        </row>
        <row r="10557">
          <cell r="K10557" t="str">
            <v>231012</v>
          </cell>
          <cell r="M10557">
            <v>1</v>
          </cell>
          <cell r="R10557">
            <v>45897</v>
          </cell>
          <cell r="S10557">
            <v>231012</v>
          </cell>
        </row>
        <row r="10558">
          <cell r="K10558" t="str">
            <v>226001</v>
          </cell>
          <cell r="M10558">
            <v>1</v>
          </cell>
          <cell r="R10558">
            <v>45897</v>
          </cell>
          <cell r="S10558">
            <v>226001</v>
          </cell>
        </row>
        <row r="10559">
          <cell r="K10559" t="str">
            <v>217019</v>
          </cell>
          <cell r="M10559">
            <v>1</v>
          </cell>
          <cell r="R10559">
            <v>45897</v>
          </cell>
          <cell r="S10559">
            <v>217019</v>
          </cell>
        </row>
        <row r="10560">
          <cell r="K10560" t="str">
            <v>217002</v>
          </cell>
          <cell r="M10560">
            <v>1</v>
          </cell>
          <cell r="R10560">
            <v>45897</v>
          </cell>
          <cell r="S10560">
            <v>217002</v>
          </cell>
        </row>
        <row r="10561">
          <cell r="K10561" t="str">
            <v>201021</v>
          </cell>
          <cell r="M10561">
            <v>3</v>
          </cell>
          <cell r="R10561">
            <v>45898</v>
          </cell>
          <cell r="S10561">
            <v>201021</v>
          </cell>
        </row>
        <row r="10562">
          <cell r="K10562" t="str">
            <v>201021</v>
          </cell>
          <cell r="M10562">
            <v>5</v>
          </cell>
          <cell r="R10562">
            <v>45897</v>
          </cell>
          <cell r="S10562">
            <v>201021</v>
          </cell>
        </row>
        <row r="10563">
          <cell r="K10563" t="str">
            <v>201021</v>
          </cell>
          <cell r="M10563">
            <v>2</v>
          </cell>
          <cell r="R10563">
            <v>45897</v>
          </cell>
          <cell r="S10563">
            <v>201021</v>
          </cell>
        </row>
        <row r="10564">
          <cell r="K10564" t="str">
            <v>241001</v>
          </cell>
          <cell r="M10564">
            <v>1</v>
          </cell>
          <cell r="R10564">
            <v>45897</v>
          </cell>
          <cell r="S10564">
            <v>241001</v>
          </cell>
        </row>
        <row r="10565">
          <cell r="K10565" t="str">
            <v>223001</v>
          </cell>
          <cell r="M10565">
            <v>2</v>
          </cell>
          <cell r="R10565">
            <v>45897</v>
          </cell>
          <cell r="S10565">
            <v>223001</v>
          </cell>
        </row>
        <row r="10566">
          <cell r="K10566" t="str">
            <v>228001</v>
          </cell>
          <cell r="M10566">
            <v>2</v>
          </cell>
          <cell r="R10566">
            <v>45897</v>
          </cell>
          <cell r="S10566">
            <v>228001</v>
          </cell>
        </row>
        <row r="10567">
          <cell r="K10567" t="str">
            <v>241001</v>
          </cell>
          <cell r="M10567">
            <v>1</v>
          </cell>
          <cell r="R10567">
            <v>45897</v>
          </cell>
          <cell r="S10567">
            <v>241001</v>
          </cell>
        </row>
        <row r="10568">
          <cell r="K10568" t="str">
            <v>212002</v>
          </cell>
          <cell r="M10568">
            <v>1</v>
          </cell>
          <cell r="R10568">
            <v>45897</v>
          </cell>
          <cell r="S10568">
            <v>212002</v>
          </cell>
        </row>
        <row r="10569">
          <cell r="K10569" t="str">
            <v>207017</v>
          </cell>
          <cell r="M10569">
            <v>1</v>
          </cell>
          <cell r="R10569">
            <v>45897</v>
          </cell>
          <cell r="S10569">
            <v>207017</v>
          </cell>
        </row>
        <row r="10570">
          <cell r="K10570" t="str">
            <v>213024</v>
          </cell>
          <cell r="M10570">
            <v>4</v>
          </cell>
          <cell r="R10570">
            <v>45897</v>
          </cell>
          <cell r="S10570">
            <v>213024</v>
          </cell>
        </row>
        <row r="10571">
          <cell r="K10571" t="str">
            <v>201011</v>
          </cell>
          <cell r="M10571">
            <v>3</v>
          </cell>
          <cell r="R10571">
            <v>45897</v>
          </cell>
          <cell r="S10571">
            <v>201011</v>
          </cell>
        </row>
        <row r="10572">
          <cell r="K10572" t="str">
            <v>231008</v>
          </cell>
          <cell r="M10572">
            <v>1</v>
          </cell>
          <cell r="R10572">
            <v>45897</v>
          </cell>
          <cell r="S10572">
            <v>231008</v>
          </cell>
        </row>
        <row r="10573">
          <cell r="K10573" t="str">
            <v>220002</v>
          </cell>
          <cell r="M10573">
            <v>2</v>
          </cell>
          <cell r="R10573">
            <v>45898</v>
          </cell>
          <cell r="S10573">
            <v>220002</v>
          </cell>
        </row>
        <row r="10574">
          <cell r="K10574" t="str">
            <v>217011</v>
          </cell>
          <cell r="M10574">
            <v>2</v>
          </cell>
          <cell r="R10574">
            <v>45898</v>
          </cell>
          <cell r="S10574">
            <v>217011</v>
          </cell>
        </row>
        <row r="10575">
          <cell r="K10575" t="str">
            <v>228001</v>
          </cell>
          <cell r="M10575">
            <v>2</v>
          </cell>
          <cell r="R10575">
            <v>45898</v>
          </cell>
          <cell r="S10575">
            <v>228001</v>
          </cell>
        </row>
        <row r="10576">
          <cell r="K10576" t="str">
            <v>209004</v>
          </cell>
          <cell r="M10576">
            <v>2</v>
          </cell>
          <cell r="R10576">
            <v>45898</v>
          </cell>
          <cell r="S10576">
            <v>209004</v>
          </cell>
        </row>
        <row r="10577">
          <cell r="K10577" t="str">
            <v>217011</v>
          </cell>
          <cell r="M10577">
            <v>1</v>
          </cell>
          <cell r="R10577">
            <v>45898</v>
          </cell>
          <cell r="S10577">
            <v>217011</v>
          </cell>
        </row>
        <row r="10578">
          <cell r="K10578" t="str">
            <v>201011</v>
          </cell>
          <cell r="M10578">
            <v>5</v>
          </cell>
          <cell r="R10578">
            <v>45898</v>
          </cell>
          <cell r="S10578">
            <v>201011</v>
          </cell>
        </row>
        <row r="10579">
          <cell r="K10579" t="str">
            <v>201011</v>
          </cell>
          <cell r="M10579">
            <v>2</v>
          </cell>
          <cell r="R10579">
            <v>45898</v>
          </cell>
          <cell r="S10579">
            <v>201011</v>
          </cell>
        </row>
        <row r="10580">
          <cell r="K10580" t="str">
            <v>226001</v>
          </cell>
          <cell r="M10580">
            <v>2</v>
          </cell>
          <cell r="R10580">
            <v>45898</v>
          </cell>
          <cell r="S10580">
            <v>226001</v>
          </cell>
        </row>
        <row r="10581">
          <cell r="K10581" t="str">
            <v>227002</v>
          </cell>
          <cell r="M10581">
            <v>1</v>
          </cell>
          <cell r="R10581">
            <v>45898</v>
          </cell>
          <cell r="S10581">
            <v>227002</v>
          </cell>
        </row>
        <row r="10582">
          <cell r="K10582" t="str">
            <v>201011</v>
          </cell>
          <cell r="M10582">
            <v>6</v>
          </cell>
          <cell r="R10582">
            <v>45898</v>
          </cell>
          <cell r="S10582">
            <v>201011</v>
          </cell>
        </row>
        <row r="10583">
          <cell r="K10583" t="str">
            <v>226001</v>
          </cell>
          <cell r="M10583">
            <v>2</v>
          </cell>
          <cell r="R10583">
            <v>45898</v>
          </cell>
          <cell r="S10583">
            <v>226001</v>
          </cell>
        </row>
        <row r="10584">
          <cell r="K10584" t="str">
            <v>203001</v>
          </cell>
          <cell r="M10584">
            <v>2</v>
          </cell>
          <cell r="R10584">
            <v>45898</v>
          </cell>
          <cell r="S10584">
            <v>203001</v>
          </cell>
        </row>
        <row r="10585">
          <cell r="K10585" t="str">
            <v>201011</v>
          </cell>
          <cell r="M10585">
            <v>5</v>
          </cell>
          <cell r="R10585">
            <v>45898</v>
          </cell>
          <cell r="S10585">
            <v>201011</v>
          </cell>
        </row>
        <row r="10586">
          <cell r="K10586" t="str">
            <v>203003</v>
          </cell>
          <cell r="M10586">
            <v>2</v>
          </cell>
          <cell r="R10586">
            <v>45898</v>
          </cell>
          <cell r="S10586">
            <v>203003</v>
          </cell>
        </row>
        <row r="10587">
          <cell r="K10587" t="str">
            <v>241001</v>
          </cell>
          <cell r="M10587">
            <v>80</v>
          </cell>
          <cell r="R10587">
            <v>45898</v>
          </cell>
          <cell r="S10587">
            <v>241001</v>
          </cell>
        </row>
        <row r="10588">
          <cell r="K10588" t="str">
            <v>213006</v>
          </cell>
          <cell r="M10588">
            <v>2</v>
          </cell>
          <cell r="R10588">
            <v>45898</v>
          </cell>
          <cell r="S10588">
            <v>213006</v>
          </cell>
        </row>
        <row r="10589">
          <cell r="K10589" t="str">
            <v>227002</v>
          </cell>
          <cell r="M10589">
            <v>1</v>
          </cell>
          <cell r="R10589">
            <v>45898</v>
          </cell>
          <cell r="S10589">
            <v>227002</v>
          </cell>
        </row>
        <row r="10590">
          <cell r="K10590" t="str">
            <v>228001</v>
          </cell>
          <cell r="M10590">
            <v>8</v>
          </cell>
          <cell r="R10590">
            <v>45898</v>
          </cell>
          <cell r="S10590">
            <v>228001</v>
          </cell>
        </row>
        <row r="10591">
          <cell r="K10591" t="str">
            <v>213024</v>
          </cell>
          <cell r="M10591">
            <v>1</v>
          </cell>
          <cell r="R10591">
            <v>45898</v>
          </cell>
          <cell r="S10591">
            <v>213024</v>
          </cell>
        </row>
        <row r="10592">
          <cell r="K10592" t="str">
            <v>213006</v>
          </cell>
          <cell r="M10592">
            <v>1</v>
          </cell>
          <cell r="R10592">
            <v>45898</v>
          </cell>
          <cell r="S10592">
            <v>213006</v>
          </cell>
        </row>
        <row r="10593">
          <cell r="K10593" t="str">
            <v>201011</v>
          </cell>
          <cell r="M10593">
            <v>5</v>
          </cell>
          <cell r="R10593">
            <v>45898</v>
          </cell>
          <cell r="S10593">
            <v>201011</v>
          </cell>
        </row>
        <row r="10594">
          <cell r="K10594" t="str">
            <v>213005</v>
          </cell>
          <cell r="M10594">
            <v>7</v>
          </cell>
          <cell r="R10594">
            <v>45898</v>
          </cell>
          <cell r="S10594">
            <v>213005</v>
          </cell>
        </row>
        <row r="10595">
          <cell r="K10595" t="str">
            <v>226001</v>
          </cell>
          <cell r="M10595">
            <v>6</v>
          </cell>
          <cell r="R10595">
            <v>45898</v>
          </cell>
          <cell r="S10595">
            <v>226001</v>
          </cell>
        </row>
        <row r="10596">
          <cell r="K10596" t="str">
            <v>217018</v>
          </cell>
          <cell r="M10596">
            <v>30</v>
          </cell>
          <cell r="R10596">
            <v>45898</v>
          </cell>
          <cell r="S10596">
            <v>217018</v>
          </cell>
        </row>
        <row r="10597">
          <cell r="K10597" t="str">
            <v>241001</v>
          </cell>
          <cell r="M10597">
            <v>10</v>
          </cell>
          <cell r="R10597">
            <v>45898</v>
          </cell>
          <cell r="S10597">
            <v>241001</v>
          </cell>
        </row>
        <row r="10598">
          <cell r="K10598" t="str">
            <v>229004</v>
          </cell>
          <cell r="M10598">
            <v>3</v>
          </cell>
          <cell r="R10598">
            <v>45898</v>
          </cell>
          <cell r="S10598">
            <v>229004</v>
          </cell>
        </row>
        <row r="10599">
          <cell r="K10599" t="str">
            <v>227012</v>
          </cell>
          <cell r="M10599">
            <v>2</v>
          </cell>
          <cell r="R10599">
            <v>45898</v>
          </cell>
          <cell r="S10599">
            <v>227012</v>
          </cell>
        </row>
        <row r="10600">
          <cell r="K10600" t="str">
            <v>228001</v>
          </cell>
          <cell r="M10600">
            <v>1</v>
          </cell>
          <cell r="R10600">
            <v>45898</v>
          </cell>
          <cell r="S10600">
            <v>228001</v>
          </cell>
        </row>
        <row r="10601">
          <cell r="K10601" t="str">
            <v>231010</v>
          </cell>
          <cell r="M10601">
            <v>2</v>
          </cell>
          <cell r="R10601">
            <v>45898</v>
          </cell>
          <cell r="S10601">
            <v>231010</v>
          </cell>
        </row>
        <row r="10602">
          <cell r="K10602" t="str">
            <v>228001</v>
          </cell>
          <cell r="M10602">
            <v>12</v>
          </cell>
          <cell r="R10602">
            <v>45898</v>
          </cell>
          <cell r="S10602">
            <v>228001</v>
          </cell>
        </row>
        <row r="10603">
          <cell r="K10603" t="str">
            <v>217002</v>
          </cell>
          <cell r="M10603">
            <v>1</v>
          </cell>
          <cell r="R10603">
            <v>45898</v>
          </cell>
          <cell r="S10603">
            <v>217002</v>
          </cell>
        </row>
        <row r="10604">
          <cell r="K10604" t="str">
            <v>217006</v>
          </cell>
          <cell r="M10604">
            <v>3</v>
          </cell>
          <cell r="R10604">
            <v>45898</v>
          </cell>
          <cell r="S10604">
            <v>217006</v>
          </cell>
        </row>
        <row r="10605">
          <cell r="K10605" t="str">
            <v>217006</v>
          </cell>
          <cell r="M10605">
            <v>1</v>
          </cell>
          <cell r="R10605">
            <v>45898</v>
          </cell>
          <cell r="S10605">
            <v>217006</v>
          </cell>
        </row>
        <row r="10606">
          <cell r="K10606" t="str">
            <v>212035</v>
          </cell>
          <cell r="M10606">
            <v>2</v>
          </cell>
          <cell r="R10606">
            <v>45898</v>
          </cell>
          <cell r="S10606">
            <v>212035</v>
          </cell>
        </row>
        <row r="10607">
          <cell r="K10607" t="str">
            <v>206005</v>
          </cell>
          <cell r="M10607">
            <v>2</v>
          </cell>
          <cell r="R10607">
            <v>45898</v>
          </cell>
          <cell r="S10607">
            <v>206005</v>
          </cell>
        </row>
        <row r="10608">
          <cell r="K10608" t="str">
            <v>206005</v>
          </cell>
          <cell r="M10608">
            <v>2</v>
          </cell>
          <cell r="R10608">
            <v>45898</v>
          </cell>
          <cell r="S10608">
            <v>206005</v>
          </cell>
        </row>
        <row r="10609">
          <cell r="K10609" t="str">
            <v>213005</v>
          </cell>
          <cell r="M10609">
            <v>1</v>
          </cell>
          <cell r="R10609">
            <v>45898</v>
          </cell>
          <cell r="S10609">
            <v>213005</v>
          </cell>
        </row>
        <row r="10610">
          <cell r="K10610" t="str">
            <v>208001</v>
          </cell>
          <cell r="M10610">
            <v>1</v>
          </cell>
          <cell r="R10610">
            <v>45898</v>
          </cell>
          <cell r="S10610">
            <v>208001</v>
          </cell>
        </row>
        <row r="10611">
          <cell r="K10611" t="str">
            <v>206002</v>
          </cell>
          <cell r="M10611">
            <v>1</v>
          </cell>
          <cell r="R10611">
            <v>45898</v>
          </cell>
          <cell r="S10611">
            <v>206002</v>
          </cell>
        </row>
        <row r="10612">
          <cell r="K10612" t="str">
            <v>218001</v>
          </cell>
          <cell r="M10612">
            <v>1</v>
          </cell>
          <cell r="R10612">
            <v>45898</v>
          </cell>
          <cell r="S10612">
            <v>218001</v>
          </cell>
        </row>
        <row r="10613">
          <cell r="K10613" t="str">
            <v>213006</v>
          </cell>
          <cell r="M10613">
            <v>2</v>
          </cell>
          <cell r="R10613">
            <v>45897</v>
          </cell>
          <cell r="S10613">
            <v>213006</v>
          </cell>
        </row>
        <row r="10614">
          <cell r="K10614" t="str">
            <v>213006</v>
          </cell>
          <cell r="M10614">
            <v>2</v>
          </cell>
          <cell r="R10614">
            <v>45898</v>
          </cell>
          <cell r="S10614">
            <v>213006</v>
          </cell>
        </row>
        <row r="10615">
          <cell r="K10615" t="str">
            <v>201011</v>
          </cell>
          <cell r="M10615">
            <v>36</v>
          </cell>
          <cell r="R10615">
            <v>45898</v>
          </cell>
          <cell r="S10615">
            <v>201011</v>
          </cell>
        </row>
        <row r="10616">
          <cell r="K10616" t="str">
            <v>201011</v>
          </cell>
          <cell r="M10616">
            <v>3</v>
          </cell>
          <cell r="R10616">
            <v>45898</v>
          </cell>
          <cell r="S10616">
            <v>201011</v>
          </cell>
        </row>
        <row r="10617">
          <cell r="K10617" t="str">
            <v>228001</v>
          </cell>
          <cell r="M10617">
            <v>1</v>
          </cell>
          <cell r="R10617">
            <v>45899</v>
          </cell>
          <cell r="S10617">
            <v>228001</v>
          </cell>
        </row>
        <row r="10618">
          <cell r="K10618" t="str">
            <v>212035</v>
          </cell>
          <cell r="M10618">
            <v>1</v>
          </cell>
          <cell r="R10618">
            <v>45899</v>
          </cell>
          <cell r="S10618">
            <v>212035</v>
          </cell>
        </row>
        <row r="10619">
          <cell r="K10619" t="str">
            <v>201021</v>
          </cell>
          <cell r="M10619">
            <v>2</v>
          </cell>
          <cell r="R10619">
            <v>45900</v>
          </cell>
          <cell r="S10619">
            <v>201021</v>
          </cell>
        </row>
        <row r="10620">
          <cell r="K10620" t="str">
            <v>231012</v>
          </cell>
          <cell r="M10620">
            <v>1</v>
          </cell>
          <cell r="R10620">
            <v>45901</v>
          </cell>
          <cell r="S10620">
            <v>231012</v>
          </cell>
        </row>
        <row r="10621">
          <cell r="K10621" t="str">
            <v>217018</v>
          </cell>
          <cell r="M10621">
            <v>1</v>
          </cell>
          <cell r="R10621">
            <v>45901</v>
          </cell>
          <cell r="S10621">
            <v>217018</v>
          </cell>
        </row>
        <row r="10622">
          <cell r="K10622" t="str">
            <v>203004</v>
          </cell>
          <cell r="M10622">
            <v>1</v>
          </cell>
          <cell r="R10622">
            <v>45901</v>
          </cell>
          <cell r="S10622">
            <v>203004</v>
          </cell>
        </row>
        <row r="10623">
          <cell r="K10623" t="str">
            <v>218001</v>
          </cell>
          <cell r="M10623">
            <v>2</v>
          </cell>
          <cell r="R10623">
            <v>45901</v>
          </cell>
          <cell r="S10623">
            <v>218001</v>
          </cell>
        </row>
        <row r="10624">
          <cell r="K10624" t="str">
            <v>201021</v>
          </cell>
          <cell r="M10624">
            <v>2</v>
          </cell>
          <cell r="R10624">
            <v>45901</v>
          </cell>
          <cell r="S10624">
            <v>201021</v>
          </cell>
        </row>
        <row r="10625">
          <cell r="K10625" t="str">
            <v>217011</v>
          </cell>
          <cell r="M10625">
            <v>1</v>
          </cell>
          <cell r="R10625">
            <v>45901</v>
          </cell>
          <cell r="S10625">
            <v>217011</v>
          </cell>
        </row>
        <row r="10626">
          <cell r="K10626" t="str">
            <v>209002</v>
          </cell>
          <cell r="M10626">
            <v>1</v>
          </cell>
          <cell r="R10626">
            <v>45901</v>
          </cell>
          <cell r="S10626">
            <v>209002</v>
          </cell>
        </row>
        <row r="10627">
          <cell r="K10627" t="str">
            <v>201011</v>
          </cell>
          <cell r="M10627">
            <v>6</v>
          </cell>
          <cell r="R10627">
            <v>45901</v>
          </cell>
          <cell r="S10627">
            <v>201011</v>
          </cell>
        </row>
        <row r="10628">
          <cell r="K10628" t="str">
            <v>207017</v>
          </cell>
          <cell r="M10628">
            <v>1</v>
          </cell>
          <cell r="R10628">
            <v>45901</v>
          </cell>
          <cell r="S10628">
            <v>207017</v>
          </cell>
        </row>
        <row r="10629">
          <cell r="K10629" t="str">
            <v>201004</v>
          </cell>
          <cell r="M10629">
            <v>1</v>
          </cell>
          <cell r="R10629">
            <v>45901</v>
          </cell>
          <cell r="S10629">
            <v>201004</v>
          </cell>
        </row>
        <row r="10630">
          <cell r="K10630" t="str">
            <v>226025</v>
          </cell>
          <cell r="M10630">
            <v>1</v>
          </cell>
          <cell r="R10630">
            <v>45901</v>
          </cell>
          <cell r="S10630">
            <v>226025</v>
          </cell>
        </row>
        <row r="10631">
          <cell r="K10631" t="str">
            <v>213002</v>
          </cell>
          <cell r="M10631">
            <v>2</v>
          </cell>
          <cell r="R10631">
            <v>45901</v>
          </cell>
          <cell r="S10631">
            <v>213002</v>
          </cell>
        </row>
        <row r="10632">
          <cell r="K10632" t="str">
            <v>201011</v>
          </cell>
          <cell r="M10632">
            <v>6</v>
          </cell>
          <cell r="R10632">
            <v>45901</v>
          </cell>
          <cell r="S10632">
            <v>201011</v>
          </cell>
        </row>
        <row r="10633">
          <cell r="K10633" t="str">
            <v>234011</v>
          </cell>
          <cell r="M10633">
            <v>3</v>
          </cell>
          <cell r="R10633">
            <v>45901</v>
          </cell>
          <cell r="S10633">
            <v>234011</v>
          </cell>
        </row>
        <row r="10634">
          <cell r="K10634" t="str">
            <v>213002</v>
          </cell>
          <cell r="M10634">
            <v>1</v>
          </cell>
          <cell r="R10634">
            <v>45901</v>
          </cell>
          <cell r="S10634">
            <v>213002</v>
          </cell>
        </row>
        <row r="10635">
          <cell r="K10635" t="str">
            <v>209001</v>
          </cell>
          <cell r="M10635">
            <v>1</v>
          </cell>
          <cell r="R10635">
            <v>45901</v>
          </cell>
          <cell r="S10635">
            <v>209001</v>
          </cell>
        </row>
        <row r="10636">
          <cell r="K10636" t="str">
            <v>201011</v>
          </cell>
          <cell r="M10636">
            <v>3</v>
          </cell>
          <cell r="R10636">
            <v>45901</v>
          </cell>
          <cell r="S10636">
            <v>201011</v>
          </cell>
        </row>
        <row r="10637">
          <cell r="K10637" t="str">
            <v>213002</v>
          </cell>
          <cell r="M10637">
            <v>1</v>
          </cell>
          <cell r="R10637">
            <v>45901</v>
          </cell>
          <cell r="S10637">
            <v>213002</v>
          </cell>
        </row>
        <row r="10638">
          <cell r="K10638" t="str">
            <v>203003</v>
          </cell>
          <cell r="M10638">
            <v>1</v>
          </cell>
          <cell r="R10638">
            <v>45901</v>
          </cell>
          <cell r="S10638">
            <v>203003</v>
          </cell>
        </row>
        <row r="10639">
          <cell r="K10639" t="str">
            <v>222001</v>
          </cell>
          <cell r="M10639">
            <v>1</v>
          </cell>
          <cell r="R10639">
            <v>45901</v>
          </cell>
          <cell r="S10639">
            <v>222001</v>
          </cell>
        </row>
        <row r="10640">
          <cell r="K10640" t="str">
            <v>209001</v>
          </cell>
          <cell r="M10640">
            <v>1</v>
          </cell>
          <cell r="R10640">
            <v>45901</v>
          </cell>
          <cell r="S10640">
            <v>209001</v>
          </cell>
        </row>
        <row r="10641">
          <cell r="K10641" t="str">
            <v>234011</v>
          </cell>
          <cell r="M10641">
            <v>3</v>
          </cell>
          <cell r="R10641">
            <v>45901</v>
          </cell>
          <cell r="S10641">
            <v>234011</v>
          </cell>
        </row>
        <row r="10642">
          <cell r="K10642" t="str">
            <v>213002</v>
          </cell>
          <cell r="M10642">
            <v>1</v>
          </cell>
          <cell r="R10642">
            <v>45901</v>
          </cell>
          <cell r="S10642">
            <v>213002</v>
          </cell>
        </row>
        <row r="10643">
          <cell r="K10643" t="str">
            <v>222001</v>
          </cell>
          <cell r="M10643">
            <v>1</v>
          </cell>
          <cell r="R10643">
            <v>45901</v>
          </cell>
          <cell r="S10643">
            <v>222001</v>
          </cell>
        </row>
        <row r="10644">
          <cell r="K10644" t="str">
            <v>223001</v>
          </cell>
          <cell r="M10644">
            <v>1</v>
          </cell>
          <cell r="R10644">
            <v>45901</v>
          </cell>
          <cell r="S10644">
            <v>223001</v>
          </cell>
        </row>
        <row r="10645">
          <cell r="K10645" t="str">
            <v>217022</v>
          </cell>
          <cell r="M10645">
            <v>1</v>
          </cell>
          <cell r="R10645">
            <v>45901</v>
          </cell>
          <cell r="S10645">
            <v>217022</v>
          </cell>
        </row>
        <row r="10646">
          <cell r="K10646" t="str">
            <v>209001</v>
          </cell>
          <cell r="M10646">
            <v>2</v>
          </cell>
          <cell r="R10646">
            <v>45901</v>
          </cell>
          <cell r="S10646">
            <v>209001</v>
          </cell>
        </row>
        <row r="10647">
          <cell r="K10647" t="str">
            <v>228001</v>
          </cell>
          <cell r="M10647">
            <v>10</v>
          </cell>
          <cell r="R10647">
            <v>45901</v>
          </cell>
          <cell r="S10647">
            <v>228001</v>
          </cell>
        </row>
        <row r="10648">
          <cell r="K10648" t="str">
            <v>217019</v>
          </cell>
          <cell r="M10648">
            <v>13</v>
          </cell>
          <cell r="R10648">
            <v>45901</v>
          </cell>
          <cell r="S10648">
            <v>217019</v>
          </cell>
        </row>
        <row r="10649">
          <cell r="K10649" t="str">
            <v>201011</v>
          </cell>
          <cell r="M10649">
            <v>36</v>
          </cell>
          <cell r="R10649">
            <v>45898</v>
          </cell>
          <cell r="S10649">
            <v>201011</v>
          </cell>
        </row>
        <row r="10650">
          <cell r="K10650" t="str">
            <v>231012</v>
          </cell>
          <cell r="M10650">
            <v>1</v>
          </cell>
          <cell r="R10650">
            <v>45901</v>
          </cell>
          <cell r="S10650">
            <v>231012</v>
          </cell>
        </row>
        <row r="10651">
          <cell r="K10651" t="str">
            <v>213002</v>
          </cell>
          <cell r="M10651">
            <v>6</v>
          </cell>
          <cell r="R10651">
            <v>45898</v>
          </cell>
          <cell r="S10651">
            <v>213002</v>
          </cell>
        </row>
        <row r="10652">
          <cell r="K10652" t="str">
            <v>228001</v>
          </cell>
          <cell r="M10652">
            <v>1</v>
          </cell>
          <cell r="R10652">
            <v>45901</v>
          </cell>
          <cell r="S10652">
            <v>228001</v>
          </cell>
        </row>
        <row r="10653">
          <cell r="K10653" t="str">
            <v>203003</v>
          </cell>
          <cell r="M10653">
            <v>2</v>
          </cell>
          <cell r="R10653">
            <v>45901</v>
          </cell>
          <cell r="S10653">
            <v>203003</v>
          </cell>
        </row>
        <row r="10654">
          <cell r="K10654" t="str">
            <v>213002</v>
          </cell>
          <cell r="M10654">
            <v>6</v>
          </cell>
          <cell r="R10654">
            <v>45901</v>
          </cell>
          <cell r="S10654">
            <v>213002</v>
          </cell>
        </row>
        <row r="10655">
          <cell r="K10655" t="str">
            <v>223002</v>
          </cell>
          <cell r="M10655">
            <v>5</v>
          </cell>
          <cell r="R10655">
            <v>45901</v>
          </cell>
          <cell r="S10655">
            <v>223002</v>
          </cell>
        </row>
        <row r="10656">
          <cell r="K10656" t="str">
            <v>223002</v>
          </cell>
          <cell r="M10656">
            <v>1</v>
          </cell>
          <cell r="R10656">
            <v>45901</v>
          </cell>
          <cell r="S10656">
            <v>223002</v>
          </cell>
        </row>
        <row r="10657">
          <cell r="K10657" t="str">
            <v>223002</v>
          </cell>
          <cell r="M10657">
            <v>1</v>
          </cell>
          <cell r="R10657">
            <v>45901</v>
          </cell>
          <cell r="S10657">
            <v>223002</v>
          </cell>
        </row>
        <row r="10658">
          <cell r="K10658" t="str">
            <v>223002</v>
          </cell>
          <cell r="M10658">
            <v>1</v>
          </cell>
          <cell r="R10658">
            <v>45901</v>
          </cell>
          <cell r="S10658">
            <v>223002</v>
          </cell>
        </row>
        <row r="10659">
          <cell r="K10659" t="str">
            <v>201011</v>
          </cell>
          <cell r="M10659">
            <v>2</v>
          </cell>
          <cell r="R10659">
            <v>45901</v>
          </cell>
          <cell r="S10659">
            <v>201011</v>
          </cell>
        </row>
        <row r="10660">
          <cell r="K10660" t="str">
            <v>223002</v>
          </cell>
          <cell r="M10660">
            <v>2</v>
          </cell>
          <cell r="R10660">
            <v>45901</v>
          </cell>
          <cell r="S10660">
            <v>223002</v>
          </cell>
        </row>
        <row r="10661">
          <cell r="K10661" t="str">
            <v>223001</v>
          </cell>
          <cell r="M10661">
            <v>5</v>
          </cell>
          <cell r="R10661">
            <v>45901</v>
          </cell>
          <cell r="S10661">
            <v>223001</v>
          </cell>
        </row>
        <row r="10662">
          <cell r="K10662" t="str">
            <v>223002</v>
          </cell>
          <cell r="M10662">
            <v>1</v>
          </cell>
          <cell r="R10662">
            <v>45901</v>
          </cell>
          <cell r="S10662">
            <v>223002</v>
          </cell>
        </row>
        <row r="10663">
          <cell r="K10663" t="str">
            <v>223002</v>
          </cell>
          <cell r="M10663">
            <v>3</v>
          </cell>
          <cell r="R10663">
            <v>45901</v>
          </cell>
          <cell r="S10663">
            <v>223002</v>
          </cell>
        </row>
        <row r="10664">
          <cell r="K10664" t="str">
            <v>223001</v>
          </cell>
          <cell r="M10664">
            <v>3</v>
          </cell>
          <cell r="R10664">
            <v>45901</v>
          </cell>
          <cell r="S10664">
            <v>223001</v>
          </cell>
        </row>
        <row r="10665">
          <cell r="K10665" t="str">
            <v>227012</v>
          </cell>
          <cell r="M10665">
            <v>1</v>
          </cell>
          <cell r="R10665">
            <v>45901</v>
          </cell>
          <cell r="S10665">
            <v>227012</v>
          </cell>
        </row>
        <row r="10666">
          <cell r="K10666" t="str">
            <v>223001</v>
          </cell>
          <cell r="M10666">
            <v>2</v>
          </cell>
          <cell r="R10666">
            <v>45901</v>
          </cell>
          <cell r="S10666">
            <v>223001</v>
          </cell>
        </row>
        <row r="10667">
          <cell r="K10667" t="str">
            <v>223002</v>
          </cell>
          <cell r="M10667">
            <v>3</v>
          </cell>
          <cell r="R10667">
            <v>45901</v>
          </cell>
          <cell r="S10667">
            <v>223002</v>
          </cell>
        </row>
        <row r="10668">
          <cell r="K10668" t="str">
            <v>201011</v>
          </cell>
          <cell r="M10668">
            <v>1</v>
          </cell>
          <cell r="R10668">
            <v>45901</v>
          </cell>
          <cell r="S10668">
            <v>201011</v>
          </cell>
        </row>
        <row r="10669">
          <cell r="K10669" t="str">
            <v>227012</v>
          </cell>
          <cell r="M10669">
            <v>1</v>
          </cell>
          <cell r="R10669">
            <v>45901</v>
          </cell>
          <cell r="S10669">
            <v>227012</v>
          </cell>
        </row>
        <row r="10670">
          <cell r="K10670" t="str">
            <v>201003</v>
          </cell>
          <cell r="M10670">
            <v>3</v>
          </cell>
          <cell r="R10670">
            <v>45901</v>
          </cell>
          <cell r="S10670">
            <v>201003</v>
          </cell>
        </row>
        <row r="10671">
          <cell r="K10671" t="str">
            <v>223002</v>
          </cell>
          <cell r="M10671">
            <v>4</v>
          </cell>
          <cell r="R10671">
            <v>45901</v>
          </cell>
          <cell r="S10671">
            <v>223002</v>
          </cell>
        </row>
        <row r="10672">
          <cell r="K10672" t="str">
            <v>223006</v>
          </cell>
          <cell r="M10672">
            <v>8</v>
          </cell>
          <cell r="R10672">
            <v>45901</v>
          </cell>
          <cell r="S10672">
            <v>223006</v>
          </cell>
        </row>
        <row r="10673">
          <cell r="K10673" t="str">
            <v>223001</v>
          </cell>
          <cell r="M10673">
            <v>8</v>
          </cell>
          <cell r="R10673">
            <v>45901</v>
          </cell>
          <cell r="S10673">
            <v>223001</v>
          </cell>
        </row>
        <row r="10674">
          <cell r="K10674" t="str">
            <v>223003</v>
          </cell>
          <cell r="M10674">
            <v>10</v>
          </cell>
          <cell r="R10674">
            <v>45901</v>
          </cell>
          <cell r="S10674">
            <v>223003</v>
          </cell>
        </row>
        <row r="10675">
          <cell r="K10675" t="str">
            <v>227012</v>
          </cell>
          <cell r="M10675">
            <v>2</v>
          </cell>
          <cell r="R10675">
            <v>45901</v>
          </cell>
          <cell r="S10675">
            <v>227012</v>
          </cell>
        </row>
        <row r="10676">
          <cell r="K10676" t="str">
            <v>201021</v>
          </cell>
          <cell r="M10676">
            <v>5</v>
          </cell>
          <cell r="R10676">
            <v>45901</v>
          </cell>
          <cell r="S10676">
            <v>201021</v>
          </cell>
        </row>
        <row r="10677">
          <cell r="K10677" t="str">
            <v>223002</v>
          </cell>
          <cell r="M10677">
            <v>8</v>
          </cell>
          <cell r="R10677">
            <v>45901</v>
          </cell>
          <cell r="S10677">
            <v>223002</v>
          </cell>
        </row>
        <row r="10678">
          <cell r="K10678" t="str">
            <v>201003</v>
          </cell>
          <cell r="M10678">
            <v>4</v>
          </cell>
          <cell r="R10678">
            <v>45901</v>
          </cell>
          <cell r="S10678">
            <v>201003</v>
          </cell>
        </row>
        <row r="10679">
          <cell r="K10679" t="str">
            <v>213006</v>
          </cell>
          <cell r="M10679">
            <v>1</v>
          </cell>
          <cell r="R10679">
            <v>45901</v>
          </cell>
          <cell r="S10679">
            <v>213006</v>
          </cell>
        </row>
        <row r="10680">
          <cell r="K10680" t="str">
            <v>201011</v>
          </cell>
          <cell r="M10680">
            <v>6</v>
          </cell>
          <cell r="R10680">
            <v>45901</v>
          </cell>
          <cell r="S10680">
            <v>201011</v>
          </cell>
        </row>
        <row r="10681">
          <cell r="K10681" t="str">
            <v>228001</v>
          </cell>
          <cell r="M10681">
            <v>2</v>
          </cell>
          <cell r="R10681">
            <v>45901</v>
          </cell>
          <cell r="S10681">
            <v>228001</v>
          </cell>
        </row>
        <row r="10682">
          <cell r="K10682" t="str">
            <v>228001</v>
          </cell>
          <cell r="M10682">
            <v>5</v>
          </cell>
          <cell r="R10682">
            <v>45901</v>
          </cell>
          <cell r="S10682">
            <v>228001</v>
          </cell>
        </row>
        <row r="10683">
          <cell r="K10683" t="str">
            <v>234001</v>
          </cell>
          <cell r="M10683">
            <v>1</v>
          </cell>
          <cell r="R10683">
            <v>45901</v>
          </cell>
          <cell r="S10683">
            <v>234001</v>
          </cell>
        </row>
        <row r="10684">
          <cell r="K10684" t="str">
            <v>222001</v>
          </cell>
          <cell r="M10684">
            <v>1</v>
          </cell>
          <cell r="R10684">
            <v>45901</v>
          </cell>
          <cell r="S10684">
            <v>222001</v>
          </cell>
        </row>
        <row r="10685">
          <cell r="K10685" t="str">
            <v>201011</v>
          </cell>
          <cell r="M10685">
            <v>7</v>
          </cell>
          <cell r="R10685">
            <v>45901</v>
          </cell>
          <cell r="S10685">
            <v>201011</v>
          </cell>
        </row>
        <row r="10686">
          <cell r="K10686" t="str">
            <v>217018</v>
          </cell>
          <cell r="M10686">
            <v>2</v>
          </cell>
          <cell r="R10686">
            <v>45901</v>
          </cell>
          <cell r="S10686">
            <v>217018</v>
          </cell>
        </row>
        <row r="10687">
          <cell r="K10687" t="str">
            <v>226001</v>
          </cell>
          <cell r="M10687">
            <v>3</v>
          </cell>
          <cell r="R10687">
            <v>45901</v>
          </cell>
          <cell r="S10687">
            <v>226001</v>
          </cell>
        </row>
        <row r="10688">
          <cell r="K10688" t="str">
            <v>213005</v>
          </cell>
          <cell r="M10688">
            <v>1</v>
          </cell>
          <cell r="R10688">
            <v>45901</v>
          </cell>
          <cell r="S10688">
            <v>213005</v>
          </cell>
        </row>
        <row r="10689">
          <cell r="K10689" t="str">
            <v>201021</v>
          </cell>
          <cell r="M10689">
            <v>2</v>
          </cell>
          <cell r="R10689">
            <v>45901</v>
          </cell>
          <cell r="S10689">
            <v>201021</v>
          </cell>
        </row>
        <row r="10690">
          <cell r="K10690" t="str">
            <v>203001</v>
          </cell>
          <cell r="M10690">
            <v>1</v>
          </cell>
          <cell r="R10690">
            <v>45901</v>
          </cell>
          <cell r="S10690">
            <v>203001</v>
          </cell>
        </row>
        <row r="10691">
          <cell r="K10691" t="str">
            <v>231012</v>
          </cell>
          <cell r="M10691">
            <v>1</v>
          </cell>
          <cell r="R10691">
            <v>45901</v>
          </cell>
          <cell r="S10691">
            <v>231012</v>
          </cell>
        </row>
        <row r="10692">
          <cell r="K10692" t="str">
            <v>201011</v>
          </cell>
          <cell r="M10692">
            <v>1</v>
          </cell>
          <cell r="R10692">
            <v>45901</v>
          </cell>
          <cell r="S10692">
            <v>201011</v>
          </cell>
        </row>
        <row r="10693">
          <cell r="K10693" t="str">
            <v>207017</v>
          </cell>
          <cell r="M10693">
            <v>1</v>
          </cell>
          <cell r="R10693">
            <v>45901</v>
          </cell>
          <cell r="S10693">
            <v>207017</v>
          </cell>
        </row>
        <row r="10694">
          <cell r="K10694" t="str">
            <v>213006</v>
          </cell>
          <cell r="M10694">
            <v>1</v>
          </cell>
          <cell r="R10694">
            <v>45901</v>
          </cell>
          <cell r="S10694">
            <v>213006</v>
          </cell>
        </row>
        <row r="10695">
          <cell r="K10695" t="str">
            <v>223002</v>
          </cell>
          <cell r="M10695">
            <v>4</v>
          </cell>
          <cell r="R10695">
            <v>45901</v>
          </cell>
          <cell r="S10695">
            <v>223002</v>
          </cell>
        </row>
        <row r="10696">
          <cell r="K10696" t="str">
            <v>217018</v>
          </cell>
          <cell r="M10696">
            <v>2</v>
          </cell>
          <cell r="R10696">
            <v>45901</v>
          </cell>
          <cell r="S10696">
            <v>217018</v>
          </cell>
        </row>
        <row r="10697">
          <cell r="K10697" t="str">
            <v>228001</v>
          </cell>
          <cell r="M10697">
            <v>2</v>
          </cell>
          <cell r="R10697">
            <v>45901</v>
          </cell>
          <cell r="S10697">
            <v>228001</v>
          </cell>
        </row>
        <row r="10698">
          <cell r="K10698" t="str">
            <v>212002</v>
          </cell>
          <cell r="M10698">
            <v>1</v>
          </cell>
          <cell r="R10698">
            <v>45901</v>
          </cell>
          <cell r="S10698">
            <v>212002</v>
          </cell>
        </row>
        <row r="10699">
          <cell r="K10699" t="str">
            <v>207017</v>
          </cell>
          <cell r="M10699">
            <v>1</v>
          </cell>
          <cell r="R10699">
            <v>45901</v>
          </cell>
          <cell r="S10699">
            <v>207017</v>
          </cell>
        </row>
        <row r="10700">
          <cell r="K10700" t="str">
            <v>201021</v>
          </cell>
          <cell r="M10700">
            <v>1</v>
          </cell>
          <cell r="R10700">
            <v>45901</v>
          </cell>
          <cell r="S10700">
            <v>201021</v>
          </cell>
        </row>
        <row r="10701">
          <cell r="K10701" t="str">
            <v>209004</v>
          </cell>
          <cell r="M10701">
            <v>1</v>
          </cell>
          <cell r="R10701">
            <v>45901</v>
          </cell>
          <cell r="S10701">
            <v>209004</v>
          </cell>
        </row>
        <row r="10702">
          <cell r="K10702" t="str">
            <v>217022</v>
          </cell>
          <cell r="M10702">
            <v>5</v>
          </cell>
          <cell r="R10702">
            <v>45901</v>
          </cell>
          <cell r="S10702">
            <v>217022</v>
          </cell>
        </row>
        <row r="10703">
          <cell r="K10703" t="str">
            <v>201011</v>
          </cell>
          <cell r="M10703">
            <v>2</v>
          </cell>
          <cell r="R10703">
            <v>45901</v>
          </cell>
          <cell r="S10703">
            <v>201011</v>
          </cell>
        </row>
        <row r="10704">
          <cell r="K10704" t="str">
            <v>223001</v>
          </cell>
          <cell r="M10704">
            <v>4</v>
          </cell>
          <cell r="R10704">
            <v>45901</v>
          </cell>
          <cell r="S10704">
            <v>223001</v>
          </cell>
        </row>
        <row r="10705">
          <cell r="K10705" t="str">
            <v>223002</v>
          </cell>
          <cell r="M10705">
            <v>1</v>
          </cell>
          <cell r="R10705">
            <v>45901</v>
          </cell>
          <cell r="S10705">
            <v>223002</v>
          </cell>
        </row>
        <row r="10706">
          <cell r="K10706" t="str">
            <v>271002</v>
          </cell>
          <cell r="M10706">
            <v>1</v>
          </cell>
          <cell r="R10706">
            <v>45901</v>
          </cell>
          <cell r="S10706">
            <v>271002</v>
          </cell>
        </row>
        <row r="10707">
          <cell r="K10707" t="str">
            <v>201011</v>
          </cell>
          <cell r="M10707">
            <v>2</v>
          </cell>
          <cell r="R10707">
            <v>45901</v>
          </cell>
          <cell r="S10707">
            <v>201011</v>
          </cell>
        </row>
        <row r="10708">
          <cell r="K10708" t="str">
            <v>201002</v>
          </cell>
          <cell r="M10708">
            <v>1</v>
          </cell>
          <cell r="R10708">
            <v>45901</v>
          </cell>
          <cell r="S10708">
            <v>201002</v>
          </cell>
        </row>
        <row r="10709">
          <cell r="K10709" t="str">
            <v>201011</v>
          </cell>
          <cell r="M10709">
            <v>20</v>
          </cell>
          <cell r="R10709">
            <v>45901</v>
          </cell>
          <cell r="S10709">
            <v>201011</v>
          </cell>
        </row>
        <row r="10710">
          <cell r="K10710" t="str">
            <v>222001</v>
          </cell>
          <cell r="M10710">
            <v>4</v>
          </cell>
          <cell r="R10710">
            <v>45901</v>
          </cell>
          <cell r="S10710">
            <v>222001</v>
          </cell>
        </row>
        <row r="10711">
          <cell r="K10711" t="str">
            <v>226001</v>
          </cell>
          <cell r="M10711">
            <v>1</v>
          </cell>
          <cell r="R10711">
            <v>45901</v>
          </cell>
          <cell r="S10711">
            <v>226001</v>
          </cell>
        </row>
        <row r="10712">
          <cell r="K10712" t="str">
            <v>237001</v>
          </cell>
          <cell r="M10712">
            <v>1</v>
          </cell>
          <cell r="R10712">
            <v>45901</v>
          </cell>
          <cell r="S10712">
            <v>237001</v>
          </cell>
        </row>
        <row r="10713">
          <cell r="K10713" t="str">
            <v>226004</v>
          </cell>
          <cell r="M10713">
            <v>1</v>
          </cell>
          <cell r="R10713">
            <v>45901</v>
          </cell>
          <cell r="S10713">
            <v>226004</v>
          </cell>
        </row>
        <row r="10714">
          <cell r="K10714" t="str">
            <v>222001</v>
          </cell>
          <cell r="M10714">
            <v>5</v>
          </cell>
          <cell r="R10714">
            <v>45901</v>
          </cell>
          <cell r="S10714">
            <v>222001</v>
          </cell>
        </row>
        <row r="10715">
          <cell r="K10715" t="str">
            <v>261004</v>
          </cell>
          <cell r="M10715">
            <v>1</v>
          </cell>
          <cell r="R10715">
            <v>45901</v>
          </cell>
          <cell r="S10715">
            <v>261004</v>
          </cell>
        </row>
        <row r="10716">
          <cell r="K10716" t="str">
            <v>226027</v>
          </cell>
          <cell r="M10716">
            <v>1</v>
          </cell>
          <cell r="R10716">
            <v>45901</v>
          </cell>
          <cell r="S10716">
            <v>226027</v>
          </cell>
        </row>
        <row r="10717">
          <cell r="K10717" t="str">
            <v>226030</v>
          </cell>
          <cell r="M10717">
            <v>2</v>
          </cell>
          <cell r="R10717">
            <v>45901</v>
          </cell>
          <cell r="S10717">
            <v>226030</v>
          </cell>
        </row>
        <row r="10718">
          <cell r="K10718" t="str">
            <v>227012</v>
          </cell>
          <cell r="M10718">
            <v>2</v>
          </cell>
          <cell r="R10718">
            <v>45901</v>
          </cell>
          <cell r="S10718">
            <v>227012</v>
          </cell>
        </row>
        <row r="10719">
          <cell r="K10719" t="str">
            <v>223002</v>
          </cell>
          <cell r="M10719">
            <v>1</v>
          </cell>
          <cell r="R10719">
            <v>45901</v>
          </cell>
          <cell r="S10719">
            <v>223002</v>
          </cell>
        </row>
        <row r="10720">
          <cell r="K10720" t="str">
            <v>223001</v>
          </cell>
          <cell r="M10720">
            <v>12</v>
          </cell>
          <cell r="R10720">
            <v>45901</v>
          </cell>
          <cell r="S10720">
            <v>223001</v>
          </cell>
        </row>
        <row r="10721">
          <cell r="K10721" t="str">
            <v>201002</v>
          </cell>
          <cell r="M10721">
            <v>1</v>
          </cell>
          <cell r="R10721">
            <v>45901</v>
          </cell>
          <cell r="S10721">
            <v>201002</v>
          </cell>
        </row>
        <row r="10722">
          <cell r="K10722" t="str">
            <v>261004</v>
          </cell>
          <cell r="M10722">
            <v>1</v>
          </cell>
          <cell r="R10722">
            <v>45901</v>
          </cell>
          <cell r="S10722">
            <v>261004</v>
          </cell>
        </row>
        <row r="10723">
          <cell r="K10723" t="str">
            <v>201002</v>
          </cell>
          <cell r="M10723">
            <v>2</v>
          </cell>
          <cell r="R10723">
            <v>45901</v>
          </cell>
          <cell r="S10723">
            <v>201002</v>
          </cell>
        </row>
        <row r="10724">
          <cell r="K10724" t="str">
            <v>201011</v>
          </cell>
          <cell r="M10724">
            <v>4</v>
          </cell>
          <cell r="R10724">
            <v>45901</v>
          </cell>
          <cell r="S10724">
            <v>201011</v>
          </cell>
        </row>
        <row r="10725">
          <cell r="K10725" t="str">
            <v>207017</v>
          </cell>
          <cell r="M10725">
            <v>1</v>
          </cell>
          <cell r="R10725">
            <v>45902</v>
          </cell>
          <cell r="S10725">
            <v>207017</v>
          </cell>
        </row>
        <row r="10726">
          <cell r="K10726" t="str">
            <v>223002</v>
          </cell>
          <cell r="M10726">
            <v>1</v>
          </cell>
          <cell r="R10726">
            <v>45901</v>
          </cell>
          <cell r="S10726">
            <v>223002</v>
          </cell>
        </row>
        <row r="10727">
          <cell r="K10727" t="str">
            <v>223001</v>
          </cell>
          <cell r="M10727">
            <v>1</v>
          </cell>
          <cell r="R10727">
            <v>45901</v>
          </cell>
          <cell r="S10727">
            <v>223001</v>
          </cell>
        </row>
        <row r="10728">
          <cell r="K10728" t="str">
            <v>227001</v>
          </cell>
          <cell r="M10728">
            <v>2</v>
          </cell>
          <cell r="R10728">
            <v>45901</v>
          </cell>
          <cell r="S10728">
            <v>227001</v>
          </cell>
        </row>
        <row r="10729">
          <cell r="K10729" t="str">
            <v>203001</v>
          </cell>
          <cell r="M10729">
            <v>1</v>
          </cell>
          <cell r="R10729">
            <v>45901</v>
          </cell>
          <cell r="S10729">
            <v>203001</v>
          </cell>
        </row>
        <row r="10730">
          <cell r="K10730" t="str">
            <v>201022</v>
          </cell>
          <cell r="M10730">
            <v>1</v>
          </cell>
          <cell r="R10730">
            <v>45901</v>
          </cell>
          <cell r="S10730">
            <v>201022</v>
          </cell>
        </row>
        <row r="10731">
          <cell r="K10731" t="str">
            <v>201011</v>
          </cell>
          <cell r="M10731">
            <v>1</v>
          </cell>
          <cell r="R10731">
            <v>45901</v>
          </cell>
          <cell r="S10731">
            <v>201011</v>
          </cell>
        </row>
        <row r="10732">
          <cell r="K10732" t="str">
            <v>223002</v>
          </cell>
          <cell r="M10732">
            <v>1</v>
          </cell>
          <cell r="R10732">
            <v>45901</v>
          </cell>
          <cell r="S10732">
            <v>223002</v>
          </cell>
        </row>
        <row r="10733">
          <cell r="K10733" t="str">
            <v>213006</v>
          </cell>
          <cell r="M10733">
            <v>1</v>
          </cell>
          <cell r="R10733">
            <v>45901</v>
          </cell>
          <cell r="S10733">
            <v>213006</v>
          </cell>
        </row>
        <row r="10734">
          <cell r="K10734" t="str">
            <v>203003</v>
          </cell>
          <cell r="M10734">
            <v>1</v>
          </cell>
          <cell r="R10734">
            <v>45901</v>
          </cell>
          <cell r="S10734">
            <v>203003</v>
          </cell>
        </row>
        <row r="10735">
          <cell r="K10735" t="str">
            <v>231012</v>
          </cell>
          <cell r="M10735">
            <v>1</v>
          </cell>
          <cell r="R10735">
            <v>45901</v>
          </cell>
          <cell r="S10735">
            <v>231012</v>
          </cell>
        </row>
        <row r="10736">
          <cell r="K10736" t="str">
            <v>217022</v>
          </cell>
          <cell r="M10736">
            <v>1</v>
          </cell>
          <cell r="R10736">
            <v>45901</v>
          </cell>
          <cell r="S10736">
            <v>217022</v>
          </cell>
        </row>
        <row r="10737">
          <cell r="K10737" t="str">
            <v>209001</v>
          </cell>
          <cell r="M10737">
            <v>2</v>
          </cell>
          <cell r="R10737">
            <v>45901</v>
          </cell>
          <cell r="S10737">
            <v>209001</v>
          </cell>
        </row>
        <row r="10738">
          <cell r="K10738" t="str">
            <v>201011</v>
          </cell>
          <cell r="M10738">
            <v>1</v>
          </cell>
          <cell r="R10738">
            <v>45902</v>
          </cell>
          <cell r="S10738">
            <v>201011</v>
          </cell>
        </row>
        <row r="10739">
          <cell r="K10739" t="str">
            <v>222001</v>
          </cell>
          <cell r="M10739">
            <v>1</v>
          </cell>
          <cell r="R10739">
            <v>45902</v>
          </cell>
          <cell r="S10739">
            <v>222001</v>
          </cell>
        </row>
        <row r="10740">
          <cell r="K10740" t="str">
            <v>227012</v>
          </cell>
          <cell r="M10740">
            <v>2</v>
          </cell>
          <cell r="R10740">
            <v>45901</v>
          </cell>
          <cell r="S10740">
            <v>227012</v>
          </cell>
        </row>
        <row r="10741">
          <cell r="K10741" t="str">
            <v>217018</v>
          </cell>
          <cell r="M10741">
            <v>5</v>
          </cell>
          <cell r="R10741">
            <v>45901</v>
          </cell>
          <cell r="S10741">
            <v>217018</v>
          </cell>
        </row>
        <row r="10742">
          <cell r="K10742" t="str">
            <v>217020</v>
          </cell>
          <cell r="M10742">
            <v>3</v>
          </cell>
          <cell r="R10742">
            <v>45901</v>
          </cell>
          <cell r="S10742">
            <v>217020</v>
          </cell>
        </row>
        <row r="10743">
          <cell r="K10743" t="str">
            <v>212010</v>
          </cell>
          <cell r="M10743">
            <v>20</v>
          </cell>
          <cell r="R10743">
            <v>45901</v>
          </cell>
          <cell r="S10743">
            <v>212010</v>
          </cell>
        </row>
        <row r="10744">
          <cell r="K10744" t="str">
            <v>261004</v>
          </cell>
          <cell r="M10744">
            <v>20</v>
          </cell>
          <cell r="R10744">
            <v>45901</v>
          </cell>
          <cell r="S10744">
            <v>261004</v>
          </cell>
        </row>
        <row r="10745">
          <cell r="K10745" t="str">
            <v>228001</v>
          </cell>
          <cell r="M10745">
            <v>15</v>
          </cell>
          <cell r="R10745">
            <v>45901</v>
          </cell>
          <cell r="S10745">
            <v>228001</v>
          </cell>
        </row>
        <row r="10746">
          <cell r="K10746" t="str">
            <v>227012</v>
          </cell>
          <cell r="M10746">
            <v>4</v>
          </cell>
          <cell r="R10746">
            <v>45901</v>
          </cell>
          <cell r="S10746">
            <v>227012</v>
          </cell>
        </row>
        <row r="10747">
          <cell r="K10747" t="str">
            <v>227012</v>
          </cell>
          <cell r="M10747">
            <v>2</v>
          </cell>
          <cell r="R10747">
            <v>45901</v>
          </cell>
          <cell r="S10747">
            <v>227012</v>
          </cell>
        </row>
        <row r="10748">
          <cell r="K10748" t="str">
            <v>213006</v>
          </cell>
          <cell r="M10748">
            <v>2</v>
          </cell>
          <cell r="R10748">
            <v>45902</v>
          </cell>
          <cell r="S10748">
            <v>213006</v>
          </cell>
        </row>
        <row r="10749">
          <cell r="K10749" t="str">
            <v>226001</v>
          </cell>
          <cell r="M10749">
            <v>1</v>
          </cell>
          <cell r="R10749">
            <v>45902</v>
          </cell>
          <cell r="S10749">
            <v>226001</v>
          </cell>
        </row>
        <row r="10750">
          <cell r="K10750" t="str">
            <v>217022</v>
          </cell>
          <cell r="M10750">
            <v>1</v>
          </cell>
          <cell r="R10750">
            <v>45902</v>
          </cell>
          <cell r="S10750">
            <v>217022</v>
          </cell>
        </row>
        <row r="10751">
          <cell r="K10751" t="str">
            <v>223002</v>
          </cell>
          <cell r="M10751">
            <v>2</v>
          </cell>
          <cell r="R10751">
            <v>45901</v>
          </cell>
          <cell r="S10751">
            <v>223002</v>
          </cell>
        </row>
        <row r="10752">
          <cell r="K10752" t="str">
            <v>227002</v>
          </cell>
          <cell r="M10752">
            <v>4</v>
          </cell>
          <cell r="R10752">
            <v>45902</v>
          </cell>
          <cell r="S10752">
            <v>227002</v>
          </cell>
        </row>
        <row r="10753">
          <cell r="K10753" t="str">
            <v>210013</v>
          </cell>
          <cell r="M10753">
            <v>1</v>
          </cell>
          <cell r="R10753">
            <v>45902</v>
          </cell>
          <cell r="S10753">
            <v>210013</v>
          </cell>
        </row>
        <row r="10754">
          <cell r="K10754" t="str">
            <v>223002</v>
          </cell>
          <cell r="M10754">
            <v>3</v>
          </cell>
          <cell r="R10754">
            <v>45902</v>
          </cell>
          <cell r="S10754">
            <v>223002</v>
          </cell>
        </row>
        <row r="10755">
          <cell r="K10755" t="str">
            <v>201011</v>
          </cell>
          <cell r="M10755">
            <v>3</v>
          </cell>
          <cell r="R10755">
            <v>45902</v>
          </cell>
          <cell r="S10755">
            <v>201011</v>
          </cell>
        </row>
        <row r="10756">
          <cell r="K10756" t="str">
            <v>201011</v>
          </cell>
          <cell r="M10756">
            <v>2</v>
          </cell>
          <cell r="R10756">
            <v>45902</v>
          </cell>
          <cell r="S10756">
            <v>201011</v>
          </cell>
        </row>
        <row r="10757">
          <cell r="K10757" t="str">
            <v>217022</v>
          </cell>
          <cell r="M10757">
            <v>1</v>
          </cell>
          <cell r="R10757">
            <v>45902</v>
          </cell>
          <cell r="S10757">
            <v>217022</v>
          </cell>
        </row>
        <row r="10758">
          <cell r="K10758" t="str">
            <v>227014</v>
          </cell>
          <cell r="M10758">
            <v>3</v>
          </cell>
          <cell r="R10758">
            <v>45902</v>
          </cell>
          <cell r="S10758">
            <v>227014</v>
          </cell>
        </row>
        <row r="10759">
          <cell r="K10759" t="str">
            <v>213002</v>
          </cell>
          <cell r="M10759">
            <v>4</v>
          </cell>
          <cell r="R10759">
            <v>45902</v>
          </cell>
          <cell r="S10759">
            <v>213002</v>
          </cell>
        </row>
        <row r="10760">
          <cell r="K10760" t="str">
            <v>201011</v>
          </cell>
          <cell r="M10760">
            <v>3</v>
          </cell>
          <cell r="R10760">
            <v>45902</v>
          </cell>
          <cell r="S10760">
            <v>201011</v>
          </cell>
        </row>
        <row r="10761">
          <cell r="K10761" t="str">
            <v>201011</v>
          </cell>
          <cell r="M10761">
            <v>1</v>
          </cell>
          <cell r="R10761">
            <v>45902</v>
          </cell>
          <cell r="S10761">
            <v>201011</v>
          </cell>
        </row>
        <row r="10762">
          <cell r="K10762" t="str">
            <v>201011</v>
          </cell>
          <cell r="M10762">
            <v>4</v>
          </cell>
          <cell r="R10762">
            <v>45902</v>
          </cell>
          <cell r="S10762">
            <v>201011</v>
          </cell>
        </row>
        <row r="10763">
          <cell r="K10763" t="str">
            <v>201011</v>
          </cell>
          <cell r="M10763">
            <v>5</v>
          </cell>
          <cell r="R10763">
            <v>45902</v>
          </cell>
          <cell r="S10763">
            <v>201011</v>
          </cell>
        </row>
        <row r="10764">
          <cell r="K10764" t="str">
            <v>271002</v>
          </cell>
          <cell r="M10764">
            <v>2</v>
          </cell>
          <cell r="R10764">
            <v>45902</v>
          </cell>
          <cell r="S10764">
            <v>271002</v>
          </cell>
        </row>
        <row r="10765">
          <cell r="K10765" t="str">
            <v>201011</v>
          </cell>
          <cell r="M10765">
            <v>14</v>
          </cell>
          <cell r="R10765">
            <v>45902</v>
          </cell>
          <cell r="S10765">
            <v>201011</v>
          </cell>
        </row>
        <row r="10766">
          <cell r="K10766" t="str">
            <v>226001</v>
          </cell>
          <cell r="M10766">
            <v>1</v>
          </cell>
          <cell r="R10766">
            <v>45902</v>
          </cell>
          <cell r="S10766">
            <v>226001</v>
          </cell>
        </row>
        <row r="10767">
          <cell r="K10767" t="str">
            <v>206006</v>
          </cell>
          <cell r="M10767">
            <v>1</v>
          </cell>
          <cell r="R10767">
            <v>45902</v>
          </cell>
          <cell r="S10767">
            <v>206006</v>
          </cell>
        </row>
        <row r="10768">
          <cell r="K10768" t="str">
            <v>208001</v>
          </cell>
          <cell r="M10768">
            <v>1</v>
          </cell>
          <cell r="R10768">
            <v>45902</v>
          </cell>
          <cell r="S10768">
            <v>208001</v>
          </cell>
        </row>
        <row r="10769">
          <cell r="K10769" t="str">
            <v>203004</v>
          </cell>
          <cell r="M10769">
            <v>1</v>
          </cell>
          <cell r="R10769">
            <v>45902</v>
          </cell>
          <cell r="S10769">
            <v>203004</v>
          </cell>
        </row>
        <row r="10770">
          <cell r="K10770" t="str">
            <v>213018</v>
          </cell>
          <cell r="M10770">
            <v>1</v>
          </cell>
          <cell r="R10770">
            <v>45902</v>
          </cell>
          <cell r="S10770">
            <v>213018</v>
          </cell>
        </row>
        <row r="10771">
          <cell r="K10771" t="str">
            <v>206002</v>
          </cell>
          <cell r="M10771">
            <v>1</v>
          </cell>
          <cell r="R10771">
            <v>45902</v>
          </cell>
          <cell r="S10771">
            <v>206002</v>
          </cell>
        </row>
        <row r="10772">
          <cell r="K10772" t="str">
            <v>208001</v>
          </cell>
          <cell r="M10772">
            <v>1</v>
          </cell>
          <cell r="R10772">
            <v>45902</v>
          </cell>
          <cell r="S10772">
            <v>208001</v>
          </cell>
        </row>
        <row r="10773">
          <cell r="K10773" t="str">
            <v>201011</v>
          </cell>
          <cell r="M10773">
            <v>36</v>
          </cell>
          <cell r="R10773">
            <v>45902</v>
          </cell>
          <cell r="S10773">
            <v>201011</v>
          </cell>
        </row>
        <row r="10774">
          <cell r="K10774" t="str">
            <v>226001</v>
          </cell>
          <cell r="M10774">
            <v>1</v>
          </cell>
          <cell r="R10774">
            <v>45902</v>
          </cell>
          <cell r="S10774">
            <v>226001</v>
          </cell>
        </row>
        <row r="10775">
          <cell r="K10775" t="str">
            <v>213002</v>
          </cell>
          <cell r="M10775">
            <v>10</v>
          </cell>
          <cell r="R10775">
            <v>45902</v>
          </cell>
          <cell r="S10775">
            <v>213002</v>
          </cell>
        </row>
        <row r="10776">
          <cell r="K10776" t="str">
            <v>201011</v>
          </cell>
          <cell r="M10776">
            <v>7</v>
          </cell>
          <cell r="R10776">
            <v>45901</v>
          </cell>
          <cell r="S10776">
            <v>201011</v>
          </cell>
        </row>
        <row r="10777">
          <cell r="K10777" t="str">
            <v>212035</v>
          </cell>
          <cell r="M10777">
            <v>3</v>
          </cell>
          <cell r="R10777">
            <v>45902</v>
          </cell>
          <cell r="S10777">
            <v>212035</v>
          </cell>
        </row>
        <row r="10778">
          <cell r="K10778" t="str">
            <v>201011</v>
          </cell>
          <cell r="M10778">
            <v>20</v>
          </cell>
          <cell r="R10778">
            <v>45902</v>
          </cell>
          <cell r="S10778">
            <v>201011</v>
          </cell>
        </row>
        <row r="10779">
          <cell r="K10779" t="str">
            <v>227001</v>
          </cell>
          <cell r="M10779">
            <v>2</v>
          </cell>
          <cell r="R10779">
            <v>45903</v>
          </cell>
          <cell r="S10779">
            <v>227001</v>
          </cell>
        </row>
        <row r="10780">
          <cell r="K10780" t="str">
            <v>201021</v>
          </cell>
          <cell r="M10780">
            <v>3</v>
          </cell>
          <cell r="R10780">
            <v>45903</v>
          </cell>
          <cell r="S10780">
            <v>201021</v>
          </cell>
        </row>
        <row r="10781">
          <cell r="K10781" t="str">
            <v>223002</v>
          </cell>
          <cell r="M10781">
            <v>3</v>
          </cell>
          <cell r="R10781">
            <v>45902</v>
          </cell>
          <cell r="S10781">
            <v>223002</v>
          </cell>
        </row>
        <row r="10782">
          <cell r="K10782" t="str">
            <v>201003</v>
          </cell>
          <cell r="M10782">
            <v>4</v>
          </cell>
          <cell r="R10782">
            <v>45902</v>
          </cell>
          <cell r="S10782">
            <v>201003</v>
          </cell>
        </row>
        <row r="10783">
          <cell r="K10783" t="str">
            <v>228001</v>
          </cell>
          <cell r="M10783">
            <v>5</v>
          </cell>
          <cell r="R10783">
            <v>45902</v>
          </cell>
          <cell r="S10783">
            <v>228001</v>
          </cell>
        </row>
        <row r="10784">
          <cell r="K10784" t="str">
            <v>228001</v>
          </cell>
          <cell r="M10784">
            <v>2</v>
          </cell>
          <cell r="R10784">
            <v>45902</v>
          </cell>
          <cell r="S10784">
            <v>228001</v>
          </cell>
        </row>
        <row r="10785">
          <cell r="K10785" t="str">
            <v>223002</v>
          </cell>
          <cell r="M10785">
            <v>2</v>
          </cell>
          <cell r="R10785">
            <v>45903</v>
          </cell>
          <cell r="S10785">
            <v>223002</v>
          </cell>
        </row>
        <row r="10786">
          <cell r="K10786" t="str">
            <v>207017</v>
          </cell>
          <cell r="M10786">
            <v>1</v>
          </cell>
          <cell r="R10786">
            <v>45902</v>
          </cell>
          <cell r="S10786">
            <v>207017</v>
          </cell>
        </row>
        <row r="10787">
          <cell r="K10787" t="str">
            <v>212002</v>
          </cell>
          <cell r="M10787">
            <v>1</v>
          </cell>
          <cell r="R10787">
            <v>45902</v>
          </cell>
          <cell r="S10787">
            <v>212002</v>
          </cell>
        </row>
        <row r="10788">
          <cell r="K10788" t="str">
            <v>228001</v>
          </cell>
          <cell r="M10788">
            <v>4</v>
          </cell>
          <cell r="R10788">
            <v>45902</v>
          </cell>
          <cell r="S10788">
            <v>228001</v>
          </cell>
        </row>
        <row r="10789">
          <cell r="K10789" t="str">
            <v>226001</v>
          </cell>
          <cell r="M10789">
            <v>1</v>
          </cell>
          <cell r="R10789">
            <v>45903</v>
          </cell>
          <cell r="S10789">
            <v>226001</v>
          </cell>
        </row>
        <row r="10790">
          <cell r="K10790" t="str">
            <v>231012</v>
          </cell>
          <cell r="M10790">
            <v>4</v>
          </cell>
          <cell r="R10790">
            <v>45903</v>
          </cell>
          <cell r="S10790">
            <v>231012</v>
          </cell>
        </row>
        <row r="10791">
          <cell r="K10791" t="str">
            <v>217020</v>
          </cell>
          <cell r="M10791">
            <v>1</v>
          </cell>
          <cell r="R10791">
            <v>45903</v>
          </cell>
          <cell r="S10791">
            <v>217020</v>
          </cell>
        </row>
        <row r="10792">
          <cell r="K10792" t="str">
            <v>210013</v>
          </cell>
          <cell r="M10792">
            <v>1</v>
          </cell>
          <cell r="R10792">
            <v>45903</v>
          </cell>
          <cell r="S10792">
            <v>210013</v>
          </cell>
        </row>
        <row r="10793">
          <cell r="K10793" t="str">
            <v>223002</v>
          </cell>
          <cell r="M10793">
            <v>4</v>
          </cell>
          <cell r="R10793">
            <v>45903</v>
          </cell>
          <cell r="S10793">
            <v>223002</v>
          </cell>
        </row>
        <row r="10794">
          <cell r="K10794" t="str">
            <v>223001</v>
          </cell>
          <cell r="M10794">
            <v>2</v>
          </cell>
          <cell r="R10794">
            <v>45903</v>
          </cell>
          <cell r="S10794">
            <v>223001</v>
          </cell>
        </row>
        <row r="10795">
          <cell r="K10795" t="str">
            <v>213006</v>
          </cell>
          <cell r="M10795">
            <v>2</v>
          </cell>
          <cell r="R10795">
            <v>45903</v>
          </cell>
          <cell r="S10795">
            <v>213006</v>
          </cell>
        </row>
        <row r="10796">
          <cell r="K10796" t="str">
            <v>213024</v>
          </cell>
          <cell r="M10796">
            <v>1</v>
          </cell>
          <cell r="R10796">
            <v>45903</v>
          </cell>
          <cell r="S10796">
            <v>213024</v>
          </cell>
        </row>
        <row r="10797">
          <cell r="K10797" t="str">
            <v>228001</v>
          </cell>
          <cell r="M10797">
            <v>7</v>
          </cell>
          <cell r="R10797">
            <v>45903</v>
          </cell>
          <cell r="S10797">
            <v>228001</v>
          </cell>
        </row>
        <row r="10798">
          <cell r="K10798" t="str">
            <v>201011</v>
          </cell>
          <cell r="M10798">
            <v>20</v>
          </cell>
          <cell r="R10798">
            <v>45903</v>
          </cell>
          <cell r="S10798">
            <v>201011</v>
          </cell>
        </row>
        <row r="10799">
          <cell r="K10799" t="str">
            <v>201011</v>
          </cell>
          <cell r="M10799">
            <v>2</v>
          </cell>
          <cell r="R10799">
            <v>45903</v>
          </cell>
          <cell r="S10799">
            <v>201011</v>
          </cell>
        </row>
        <row r="10800">
          <cell r="K10800" t="str">
            <v>203001</v>
          </cell>
          <cell r="M10800">
            <v>2</v>
          </cell>
          <cell r="R10800">
            <v>45903</v>
          </cell>
          <cell r="S10800">
            <v>203001</v>
          </cell>
        </row>
        <row r="10801">
          <cell r="K10801" t="str">
            <v>207002</v>
          </cell>
          <cell r="M10801">
            <v>1</v>
          </cell>
          <cell r="R10801">
            <v>45903</v>
          </cell>
          <cell r="S10801">
            <v>207002</v>
          </cell>
        </row>
        <row r="10802">
          <cell r="K10802" t="str">
            <v>231004</v>
          </cell>
          <cell r="M10802">
            <v>2</v>
          </cell>
          <cell r="R10802">
            <v>45903</v>
          </cell>
          <cell r="S10802">
            <v>231004</v>
          </cell>
        </row>
        <row r="10803">
          <cell r="K10803" t="str">
            <v>223001</v>
          </cell>
          <cell r="M10803">
            <v>6</v>
          </cell>
          <cell r="R10803">
            <v>45903</v>
          </cell>
          <cell r="S10803">
            <v>223001</v>
          </cell>
        </row>
        <row r="10804">
          <cell r="K10804" t="str">
            <v>213002</v>
          </cell>
          <cell r="M10804">
            <v>15</v>
          </cell>
          <cell r="R10804">
            <v>45903</v>
          </cell>
          <cell r="S10804">
            <v>213002</v>
          </cell>
        </row>
        <row r="10805">
          <cell r="K10805" t="str">
            <v>223002</v>
          </cell>
          <cell r="M10805">
            <v>4</v>
          </cell>
          <cell r="R10805">
            <v>45903</v>
          </cell>
          <cell r="S10805">
            <v>223002</v>
          </cell>
        </row>
        <row r="10806">
          <cell r="K10806" t="str">
            <v>228001</v>
          </cell>
          <cell r="M10806">
            <v>1</v>
          </cell>
          <cell r="R10806">
            <v>45903</v>
          </cell>
          <cell r="S10806">
            <v>228001</v>
          </cell>
        </row>
        <row r="10807">
          <cell r="K10807" t="str">
            <v>217018</v>
          </cell>
          <cell r="M10807">
            <v>14</v>
          </cell>
          <cell r="R10807">
            <v>45903</v>
          </cell>
          <cell r="S10807">
            <v>217018</v>
          </cell>
        </row>
        <row r="10808">
          <cell r="K10808" t="str">
            <v>213024</v>
          </cell>
          <cell r="M10808">
            <v>4</v>
          </cell>
          <cell r="R10808">
            <v>45903</v>
          </cell>
          <cell r="S10808">
            <v>213024</v>
          </cell>
        </row>
        <row r="10809">
          <cell r="K10809" t="str">
            <v>217006</v>
          </cell>
          <cell r="M10809">
            <v>1</v>
          </cell>
          <cell r="R10809">
            <v>45903</v>
          </cell>
          <cell r="S10809">
            <v>217006</v>
          </cell>
        </row>
        <row r="10810">
          <cell r="K10810" t="str">
            <v>228001</v>
          </cell>
          <cell r="M10810">
            <v>6</v>
          </cell>
          <cell r="R10810">
            <v>45903</v>
          </cell>
          <cell r="S10810">
            <v>228001</v>
          </cell>
        </row>
        <row r="10811">
          <cell r="K10811" t="str">
            <v>223002</v>
          </cell>
          <cell r="M10811">
            <v>1</v>
          </cell>
          <cell r="R10811">
            <v>45903</v>
          </cell>
          <cell r="S10811">
            <v>223002</v>
          </cell>
        </row>
        <row r="10812">
          <cell r="K10812" t="str">
            <v>217011</v>
          </cell>
          <cell r="M10812">
            <v>1</v>
          </cell>
          <cell r="R10812">
            <v>45904</v>
          </cell>
          <cell r="S10812">
            <v>217011</v>
          </cell>
        </row>
        <row r="10813">
          <cell r="K10813" t="str">
            <v>223002</v>
          </cell>
          <cell r="M10813">
            <v>1</v>
          </cell>
          <cell r="R10813">
            <v>45904</v>
          </cell>
          <cell r="S10813">
            <v>223002</v>
          </cell>
        </row>
        <row r="10814">
          <cell r="K10814" t="str">
            <v>235005</v>
          </cell>
          <cell r="M10814">
            <v>2</v>
          </cell>
          <cell r="R10814">
            <v>45904</v>
          </cell>
          <cell r="S10814">
            <v>235005</v>
          </cell>
        </row>
        <row r="10815">
          <cell r="K10815" t="str">
            <v>235004</v>
          </cell>
          <cell r="M10815">
            <v>1</v>
          </cell>
          <cell r="R10815">
            <v>45904</v>
          </cell>
          <cell r="S10815">
            <v>235004</v>
          </cell>
        </row>
        <row r="10816">
          <cell r="K10816" t="str">
            <v>237001</v>
          </cell>
          <cell r="M10816">
            <v>2</v>
          </cell>
          <cell r="R10816">
            <v>45904</v>
          </cell>
          <cell r="S10816">
            <v>237001</v>
          </cell>
        </row>
        <row r="10817">
          <cell r="K10817" t="str">
            <v>217011</v>
          </cell>
          <cell r="M10817">
            <v>1</v>
          </cell>
          <cell r="R10817">
            <v>45904</v>
          </cell>
          <cell r="S10817">
            <v>217011</v>
          </cell>
        </row>
        <row r="10818">
          <cell r="K10818" t="str">
            <v>209016</v>
          </cell>
          <cell r="M10818">
            <v>3</v>
          </cell>
          <cell r="R10818">
            <v>45904</v>
          </cell>
          <cell r="S10818">
            <v>209016</v>
          </cell>
        </row>
        <row r="10819">
          <cell r="K10819" t="str">
            <v>209017</v>
          </cell>
          <cell r="M10819">
            <v>3</v>
          </cell>
          <cell r="R10819">
            <v>45904</v>
          </cell>
          <cell r="S10819">
            <v>209017</v>
          </cell>
        </row>
        <row r="10820">
          <cell r="K10820" t="str">
            <v>231012</v>
          </cell>
          <cell r="M10820">
            <v>1</v>
          </cell>
          <cell r="R10820">
            <v>45904</v>
          </cell>
          <cell r="S10820">
            <v>231012</v>
          </cell>
        </row>
        <row r="10821">
          <cell r="K10821" t="str">
            <v>213024</v>
          </cell>
          <cell r="M10821">
            <v>1</v>
          </cell>
          <cell r="R10821">
            <v>45904</v>
          </cell>
          <cell r="S10821">
            <v>213024</v>
          </cell>
        </row>
        <row r="10822">
          <cell r="K10822" t="str">
            <v>201011</v>
          </cell>
          <cell r="M10822">
            <v>1</v>
          </cell>
          <cell r="R10822">
            <v>45903</v>
          </cell>
          <cell r="S10822">
            <v>201011</v>
          </cell>
        </row>
        <row r="10823">
          <cell r="K10823" t="str">
            <v>223001</v>
          </cell>
          <cell r="M10823">
            <v>3</v>
          </cell>
          <cell r="R10823">
            <v>45903</v>
          </cell>
          <cell r="S10823">
            <v>223001</v>
          </cell>
        </row>
        <row r="10824">
          <cell r="K10824" t="str">
            <v>201022</v>
          </cell>
          <cell r="M10824">
            <v>1</v>
          </cell>
          <cell r="R10824">
            <v>45903</v>
          </cell>
          <cell r="S10824">
            <v>201022</v>
          </cell>
        </row>
        <row r="10825">
          <cell r="K10825" t="str">
            <v>241001</v>
          </cell>
          <cell r="M10825">
            <v>4</v>
          </cell>
          <cell r="R10825">
            <v>45903</v>
          </cell>
          <cell r="S10825">
            <v>241001</v>
          </cell>
        </row>
        <row r="10826">
          <cell r="K10826" t="str">
            <v>201011</v>
          </cell>
          <cell r="M10826">
            <v>4</v>
          </cell>
          <cell r="R10826">
            <v>45903</v>
          </cell>
          <cell r="S10826">
            <v>201011</v>
          </cell>
        </row>
        <row r="10827">
          <cell r="K10827" t="str">
            <v>271002</v>
          </cell>
          <cell r="M10827">
            <v>1</v>
          </cell>
          <cell r="R10827">
            <v>45903</v>
          </cell>
          <cell r="S10827">
            <v>271002</v>
          </cell>
        </row>
        <row r="10828">
          <cell r="K10828" t="str">
            <v>203003</v>
          </cell>
          <cell r="M10828">
            <v>1</v>
          </cell>
          <cell r="R10828">
            <v>45903</v>
          </cell>
          <cell r="S10828">
            <v>203003</v>
          </cell>
        </row>
        <row r="10829">
          <cell r="K10829" t="str">
            <v>228001</v>
          </cell>
          <cell r="M10829">
            <v>3</v>
          </cell>
          <cell r="R10829">
            <v>45903</v>
          </cell>
          <cell r="S10829">
            <v>228001</v>
          </cell>
        </row>
        <row r="10830">
          <cell r="K10830" t="str">
            <v>203001</v>
          </cell>
          <cell r="M10830">
            <v>1</v>
          </cell>
          <cell r="R10830">
            <v>45903</v>
          </cell>
          <cell r="S10830">
            <v>203001</v>
          </cell>
        </row>
        <row r="10831">
          <cell r="K10831" t="str">
            <v>218001</v>
          </cell>
          <cell r="M10831">
            <v>1</v>
          </cell>
          <cell r="R10831">
            <v>45903</v>
          </cell>
          <cell r="S10831">
            <v>218001</v>
          </cell>
        </row>
        <row r="10832">
          <cell r="K10832" t="str">
            <v>228001</v>
          </cell>
          <cell r="M10832">
            <v>3</v>
          </cell>
          <cell r="R10832">
            <v>45903</v>
          </cell>
          <cell r="S10832">
            <v>228001</v>
          </cell>
        </row>
        <row r="10833">
          <cell r="K10833" t="str">
            <v>231012</v>
          </cell>
          <cell r="M10833">
            <v>1</v>
          </cell>
          <cell r="R10833">
            <v>45903</v>
          </cell>
          <cell r="S10833">
            <v>231012</v>
          </cell>
        </row>
        <row r="10834">
          <cell r="K10834" t="str">
            <v>212010</v>
          </cell>
          <cell r="M10834">
            <v>10</v>
          </cell>
          <cell r="R10834">
            <v>45903</v>
          </cell>
          <cell r="S10834">
            <v>212010</v>
          </cell>
        </row>
        <row r="10835">
          <cell r="K10835" t="str">
            <v>261004</v>
          </cell>
          <cell r="M10835">
            <v>15</v>
          </cell>
          <cell r="R10835">
            <v>45903</v>
          </cell>
          <cell r="S10835">
            <v>261004</v>
          </cell>
        </row>
        <row r="10836">
          <cell r="K10836" t="str">
            <v>228001</v>
          </cell>
          <cell r="M10836">
            <v>7</v>
          </cell>
          <cell r="R10836">
            <v>45903</v>
          </cell>
          <cell r="S10836">
            <v>228001</v>
          </cell>
        </row>
        <row r="10837">
          <cell r="K10837" t="str">
            <v>201021</v>
          </cell>
          <cell r="M10837">
            <v>7</v>
          </cell>
          <cell r="R10837">
            <v>45903</v>
          </cell>
          <cell r="S10837">
            <v>201021</v>
          </cell>
        </row>
        <row r="10838">
          <cell r="K10838" t="str">
            <v>228001</v>
          </cell>
          <cell r="M10838">
            <v>30</v>
          </cell>
          <cell r="R10838">
            <v>45903</v>
          </cell>
          <cell r="S10838">
            <v>228001</v>
          </cell>
        </row>
        <row r="10839">
          <cell r="K10839" t="str">
            <v>213002</v>
          </cell>
          <cell r="M10839">
            <v>5</v>
          </cell>
          <cell r="R10839">
            <v>45903</v>
          </cell>
          <cell r="S10839">
            <v>213002</v>
          </cell>
        </row>
        <row r="10840">
          <cell r="K10840" t="str">
            <v>241001</v>
          </cell>
          <cell r="M10840">
            <v>2</v>
          </cell>
          <cell r="R10840">
            <v>45904</v>
          </cell>
          <cell r="S10840">
            <v>241001</v>
          </cell>
        </row>
        <row r="10841">
          <cell r="K10841" t="str">
            <v>213005</v>
          </cell>
          <cell r="M10841">
            <v>2</v>
          </cell>
          <cell r="R10841">
            <v>45904</v>
          </cell>
          <cell r="S10841">
            <v>213005</v>
          </cell>
        </row>
        <row r="10842">
          <cell r="K10842" t="str">
            <v>201011</v>
          </cell>
          <cell r="M10842">
            <v>2</v>
          </cell>
          <cell r="R10842">
            <v>45904</v>
          </cell>
          <cell r="S10842">
            <v>201011</v>
          </cell>
        </row>
        <row r="10843">
          <cell r="K10843" t="str">
            <v>201011</v>
          </cell>
          <cell r="M10843">
            <v>2</v>
          </cell>
          <cell r="R10843">
            <v>45904</v>
          </cell>
          <cell r="S10843">
            <v>201011</v>
          </cell>
        </row>
        <row r="10844">
          <cell r="K10844" t="str">
            <v>231012</v>
          </cell>
          <cell r="M10844">
            <v>20</v>
          </cell>
          <cell r="R10844">
            <v>45904</v>
          </cell>
          <cell r="S10844">
            <v>231012</v>
          </cell>
        </row>
        <row r="10845">
          <cell r="K10845" t="str">
            <v>223002</v>
          </cell>
          <cell r="M10845">
            <v>2</v>
          </cell>
          <cell r="R10845">
            <v>45904</v>
          </cell>
          <cell r="S10845">
            <v>223002</v>
          </cell>
        </row>
        <row r="10846">
          <cell r="K10846" t="str">
            <v>205004</v>
          </cell>
          <cell r="M10846">
            <v>1</v>
          </cell>
          <cell r="R10846">
            <v>45904</v>
          </cell>
          <cell r="S10846">
            <v>205004</v>
          </cell>
        </row>
        <row r="10847">
          <cell r="K10847" t="str">
            <v>226025</v>
          </cell>
          <cell r="M10847">
            <v>3</v>
          </cell>
          <cell r="R10847">
            <v>45904</v>
          </cell>
          <cell r="S10847">
            <v>226025</v>
          </cell>
        </row>
        <row r="10848">
          <cell r="K10848" t="str">
            <v>226001</v>
          </cell>
          <cell r="M10848">
            <v>1</v>
          </cell>
          <cell r="R10848">
            <v>45904</v>
          </cell>
          <cell r="S10848">
            <v>226001</v>
          </cell>
        </row>
        <row r="10849">
          <cell r="K10849" t="str">
            <v>226001</v>
          </cell>
          <cell r="M10849">
            <v>3</v>
          </cell>
          <cell r="R10849">
            <v>45904</v>
          </cell>
          <cell r="S10849">
            <v>226001</v>
          </cell>
        </row>
        <row r="10850">
          <cell r="K10850" t="str">
            <v>226001</v>
          </cell>
          <cell r="M10850">
            <v>1</v>
          </cell>
          <cell r="R10850">
            <v>45904</v>
          </cell>
          <cell r="S10850">
            <v>226001</v>
          </cell>
        </row>
        <row r="10851">
          <cell r="K10851" t="str">
            <v>226001</v>
          </cell>
          <cell r="M10851">
            <v>1</v>
          </cell>
          <cell r="R10851">
            <v>45904</v>
          </cell>
          <cell r="S10851">
            <v>226001</v>
          </cell>
        </row>
        <row r="10852">
          <cell r="K10852" t="str">
            <v>201011</v>
          </cell>
          <cell r="M10852">
            <v>10</v>
          </cell>
          <cell r="R10852">
            <v>45904</v>
          </cell>
          <cell r="S10852">
            <v>201011</v>
          </cell>
        </row>
        <row r="10853">
          <cell r="K10853" t="str">
            <v>223002</v>
          </cell>
          <cell r="M10853">
            <v>2</v>
          </cell>
          <cell r="R10853">
            <v>45904</v>
          </cell>
          <cell r="S10853">
            <v>223002</v>
          </cell>
        </row>
        <row r="10854">
          <cell r="K10854" t="str">
            <v>223006</v>
          </cell>
          <cell r="M10854">
            <v>6</v>
          </cell>
          <cell r="R10854">
            <v>45904</v>
          </cell>
          <cell r="S10854">
            <v>223006</v>
          </cell>
        </row>
        <row r="10855">
          <cell r="K10855" t="str">
            <v>223001</v>
          </cell>
          <cell r="M10855">
            <v>6</v>
          </cell>
          <cell r="R10855">
            <v>45904</v>
          </cell>
          <cell r="S10855">
            <v>223001</v>
          </cell>
        </row>
        <row r="10856">
          <cell r="K10856" t="str">
            <v>223003</v>
          </cell>
          <cell r="M10856">
            <v>6</v>
          </cell>
          <cell r="R10856">
            <v>45904</v>
          </cell>
          <cell r="S10856">
            <v>223003</v>
          </cell>
        </row>
        <row r="10857">
          <cell r="K10857" t="str">
            <v>223002</v>
          </cell>
          <cell r="M10857">
            <v>2</v>
          </cell>
          <cell r="R10857">
            <v>45904</v>
          </cell>
          <cell r="S10857">
            <v>223002</v>
          </cell>
        </row>
        <row r="10858">
          <cell r="K10858" t="str">
            <v>228001</v>
          </cell>
          <cell r="M10858">
            <v>2</v>
          </cell>
          <cell r="R10858">
            <v>45904</v>
          </cell>
          <cell r="S10858">
            <v>228001</v>
          </cell>
        </row>
        <row r="10859">
          <cell r="K10859" t="str">
            <v>231012</v>
          </cell>
          <cell r="M10859">
            <v>1</v>
          </cell>
          <cell r="R10859">
            <v>45904</v>
          </cell>
          <cell r="S10859">
            <v>231012</v>
          </cell>
        </row>
        <row r="10860">
          <cell r="K10860" t="str">
            <v>212002</v>
          </cell>
          <cell r="M10860">
            <v>1</v>
          </cell>
          <cell r="R10860">
            <v>45904</v>
          </cell>
          <cell r="S10860">
            <v>212002</v>
          </cell>
        </row>
        <row r="10861">
          <cell r="K10861" t="str">
            <v>228001</v>
          </cell>
          <cell r="M10861">
            <v>3</v>
          </cell>
          <cell r="R10861">
            <v>45904</v>
          </cell>
          <cell r="S10861">
            <v>228001</v>
          </cell>
        </row>
        <row r="10862">
          <cell r="K10862" t="str">
            <v>201003</v>
          </cell>
          <cell r="M10862">
            <v>1</v>
          </cell>
          <cell r="R10862">
            <v>45904</v>
          </cell>
          <cell r="S10862">
            <v>201003</v>
          </cell>
        </row>
        <row r="10863">
          <cell r="K10863" t="str">
            <v>223002</v>
          </cell>
          <cell r="M10863">
            <v>1</v>
          </cell>
          <cell r="R10863">
            <v>45904</v>
          </cell>
          <cell r="S10863">
            <v>223002</v>
          </cell>
        </row>
        <row r="10864">
          <cell r="K10864" t="str">
            <v>213024</v>
          </cell>
          <cell r="M10864">
            <v>2</v>
          </cell>
          <cell r="R10864">
            <v>45904</v>
          </cell>
          <cell r="S10864">
            <v>213024</v>
          </cell>
        </row>
        <row r="10865">
          <cell r="K10865" t="str">
            <v>201011</v>
          </cell>
          <cell r="M10865">
            <v>8</v>
          </cell>
          <cell r="R10865">
            <v>45904</v>
          </cell>
          <cell r="S10865">
            <v>201011</v>
          </cell>
        </row>
        <row r="10866">
          <cell r="K10866" t="str">
            <v>223001</v>
          </cell>
          <cell r="M10866">
            <v>2</v>
          </cell>
          <cell r="R10866">
            <v>45904</v>
          </cell>
          <cell r="S10866">
            <v>223001</v>
          </cell>
        </row>
        <row r="10867">
          <cell r="K10867" t="str">
            <v>213002</v>
          </cell>
          <cell r="M10867">
            <v>3</v>
          </cell>
          <cell r="R10867">
            <v>45904</v>
          </cell>
          <cell r="S10867">
            <v>213002</v>
          </cell>
        </row>
        <row r="10868">
          <cell r="K10868" t="str">
            <v>217011</v>
          </cell>
          <cell r="M10868">
            <v>2</v>
          </cell>
          <cell r="R10868">
            <v>45904</v>
          </cell>
          <cell r="S10868">
            <v>217011</v>
          </cell>
        </row>
        <row r="10869">
          <cell r="K10869" t="str">
            <v>227012</v>
          </cell>
          <cell r="M10869">
            <v>2</v>
          </cell>
          <cell r="R10869">
            <v>45904</v>
          </cell>
          <cell r="S10869">
            <v>227012</v>
          </cell>
        </row>
        <row r="10870">
          <cell r="K10870" t="str">
            <v>227012</v>
          </cell>
          <cell r="M10870">
            <v>2</v>
          </cell>
          <cell r="R10870">
            <v>45904</v>
          </cell>
          <cell r="S10870">
            <v>227012</v>
          </cell>
        </row>
        <row r="10871">
          <cell r="K10871" t="str">
            <v>228001</v>
          </cell>
          <cell r="M10871">
            <v>1</v>
          </cell>
          <cell r="R10871">
            <v>45904</v>
          </cell>
          <cell r="S10871">
            <v>228001</v>
          </cell>
        </row>
        <row r="10872">
          <cell r="K10872" t="str">
            <v>201021</v>
          </cell>
          <cell r="M10872">
            <v>6</v>
          </cell>
          <cell r="R10872">
            <v>45904</v>
          </cell>
          <cell r="S10872">
            <v>201021</v>
          </cell>
        </row>
        <row r="10873">
          <cell r="K10873" t="str">
            <v>209001</v>
          </cell>
          <cell r="M10873">
            <v>1</v>
          </cell>
          <cell r="R10873">
            <v>45904</v>
          </cell>
          <cell r="S10873">
            <v>209001</v>
          </cell>
        </row>
        <row r="10874">
          <cell r="K10874" t="str">
            <v>234011</v>
          </cell>
          <cell r="M10874">
            <v>3</v>
          </cell>
          <cell r="R10874">
            <v>45904</v>
          </cell>
          <cell r="S10874">
            <v>234011</v>
          </cell>
        </row>
        <row r="10875">
          <cell r="K10875" t="str">
            <v>203003</v>
          </cell>
          <cell r="M10875">
            <v>1</v>
          </cell>
          <cell r="R10875">
            <v>45904</v>
          </cell>
          <cell r="S10875">
            <v>203003</v>
          </cell>
        </row>
        <row r="10876">
          <cell r="K10876" t="str">
            <v>241001</v>
          </cell>
          <cell r="M10876">
            <v>2</v>
          </cell>
          <cell r="R10876">
            <v>45904</v>
          </cell>
          <cell r="S10876">
            <v>241001</v>
          </cell>
        </row>
        <row r="10877">
          <cell r="K10877" t="str">
            <v>213030</v>
          </cell>
          <cell r="M10877">
            <v>10</v>
          </cell>
          <cell r="R10877">
            <v>45904</v>
          </cell>
          <cell r="S10877">
            <v>213030</v>
          </cell>
        </row>
        <row r="10878">
          <cell r="K10878" t="str">
            <v>201011</v>
          </cell>
          <cell r="M10878">
            <v>6</v>
          </cell>
          <cell r="R10878">
            <v>45904</v>
          </cell>
          <cell r="S10878">
            <v>201011</v>
          </cell>
        </row>
        <row r="10879">
          <cell r="K10879" t="str">
            <v>201011</v>
          </cell>
          <cell r="M10879">
            <v>1</v>
          </cell>
          <cell r="R10879">
            <v>45904</v>
          </cell>
          <cell r="S10879">
            <v>201011</v>
          </cell>
        </row>
        <row r="10880">
          <cell r="K10880" t="str">
            <v>223002</v>
          </cell>
          <cell r="M10880">
            <v>1</v>
          </cell>
          <cell r="R10880">
            <v>45904</v>
          </cell>
          <cell r="S10880">
            <v>223002</v>
          </cell>
        </row>
        <row r="10881">
          <cell r="K10881" t="str">
            <v>228001</v>
          </cell>
          <cell r="M10881">
            <v>3</v>
          </cell>
          <cell r="R10881">
            <v>45904</v>
          </cell>
          <cell r="S10881">
            <v>228001</v>
          </cell>
        </row>
        <row r="10882">
          <cell r="K10882" t="str">
            <v>222001</v>
          </cell>
          <cell r="M10882">
            <v>5</v>
          </cell>
          <cell r="R10882">
            <v>45904</v>
          </cell>
          <cell r="S10882">
            <v>222001</v>
          </cell>
        </row>
        <row r="10883">
          <cell r="K10883" t="str">
            <v>261004</v>
          </cell>
          <cell r="M10883">
            <v>1</v>
          </cell>
          <cell r="R10883">
            <v>45904</v>
          </cell>
          <cell r="S10883">
            <v>261004</v>
          </cell>
        </row>
        <row r="10884">
          <cell r="K10884" t="str">
            <v>241001</v>
          </cell>
          <cell r="M10884">
            <v>4</v>
          </cell>
          <cell r="R10884">
            <v>45904</v>
          </cell>
          <cell r="S10884">
            <v>241001</v>
          </cell>
        </row>
        <row r="10885">
          <cell r="K10885" t="str">
            <v>217011</v>
          </cell>
          <cell r="M10885">
            <v>9</v>
          </cell>
          <cell r="R10885">
            <v>45904</v>
          </cell>
          <cell r="S10885">
            <v>217011</v>
          </cell>
        </row>
        <row r="10886">
          <cell r="K10886" t="str">
            <v>226001</v>
          </cell>
          <cell r="M10886">
            <v>1</v>
          </cell>
          <cell r="R10886">
            <v>45904</v>
          </cell>
          <cell r="S10886">
            <v>226001</v>
          </cell>
        </row>
        <row r="10887">
          <cell r="K10887" t="str">
            <v>206005</v>
          </cell>
          <cell r="M10887">
            <v>1</v>
          </cell>
          <cell r="R10887">
            <v>45904</v>
          </cell>
          <cell r="S10887">
            <v>206005</v>
          </cell>
        </row>
        <row r="10888">
          <cell r="K10888" t="str">
            <v>226001</v>
          </cell>
          <cell r="M10888">
            <v>1</v>
          </cell>
          <cell r="R10888">
            <v>45904</v>
          </cell>
          <cell r="S10888">
            <v>226001</v>
          </cell>
        </row>
        <row r="10889">
          <cell r="K10889" t="str">
            <v>217019</v>
          </cell>
          <cell r="M10889">
            <v>1</v>
          </cell>
          <cell r="R10889">
            <v>45904</v>
          </cell>
          <cell r="S10889">
            <v>217019</v>
          </cell>
        </row>
        <row r="10890">
          <cell r="K10890" t="str">
            <v>217002</v>
          </cell>
          <cell r="M10890">
            <v>1</v>
          </cell>
          <cell r="R10890">
            <v>45904</v>
          </cell>
          <cell r="S10890">
            <v>217002</v>
          </cell>
        </row>
        <row r="10891">
          <cell r="K10891" t="str">
            <v>201004</v>
          </cell>
          <cell r="M10891">
            <v>2</v>
          </cell>
          <cell r="R10891">
            <v>45904</v>
          </cell>
          <cell r="S10891">
            <v>201004</v>
          </cell>
        </row>
        <row r="10892">
          <cell r="K10892" t="str">
            <v>201021</v>
          </cell>
          <cell r="M10892">
            <v>4</v>
          </cell>
          <cell r="R10892">
            <v>45904</v>
          </cell>
          <cell r="S10892">
            <v>201021</v>
          </cell>
        </row>
        <row r="10893">
          <cell r="K10893" t="str">
            <v>226025</v>
          </cell>
          <cell r="M10893">
            <v>1</v>
          </cell>
          <cell r="R10893">
            <v>45904</v>
          </cell>
          <cell r="S10893">
            <v>226025</v>
          </cell>
        </row>
        <row r="10894">
          <cell r="K10894" t="str">
            <v>217002</v>
          </cell>
          <cell r="M10894">
            <v>1</v>
          </cell>
          <cell r="R10894">
            <v>45904</v>
          </cell>
          <cell r="S10894">
            <v>217002</v>
          </cell>
        </row>
        <row r="10895">
          <cell r="K10895" t="str">
            <v>229003</v>
          </cell>
          <cell r="M10895">
            <v>1</v>
          </cell>
          <cell r="R10895">
            <v>45904</v>
          </cell>
          <cell r="S10895">
            <v>229003</v>
          </cell>
        </row>
        <row r="10896">
          <cell r="K10896" t="str">
            <v>226022</v>
          </cell>
          <cell r="M10896">
            <v>1</v>
          </cell>
          <cell r="R10896">
            <v>45905</v>
          </cell>
          <cell r="S10896">
            <v>226022</v>
          </cell>
        </row>
        <row r="10897">
          <cell r="K10897" t="str">
            <v>222001</v>
          </cell>
          <cell r="M10897">
            <v>5</v>
          </cell>
          <cell r="R10897">
            <v>45905</v>
          </cell>
          <cell r="S10897">
            <v>222001</v>
          </cell>
        </row>
        <row r="10898">
          <cell r="K10898" t="str">
            <v>261004</v>
          </cell>
          <cell r="M10898">
            <v>1</v>
          </cell>
          <cell r="R10898">
            <v>45905</v>
          </cell>
          <cell r="S10898">
            <v>261004</v>
          </cell>
        </row>
        <row r="10899">
          <cell r="K10899" t="str">
            <v>241001</v>
          </cell>
          <cell r="M10899">
            <v>4</v>
          </cell>
          <cell r="R10899">
            <v>45905</v>
          </cell>
          <cell r="S10899">
            <v>241001</v>
          </cell>
        </row>
        <row r="10900">
          <cell r="K10900" t="str">
            <v>228001</v>
          </cell>
          <cell r="M10900">
            <v>20</v>
          </cell>
          <cell r="R10900">
            <v>45904</v>
          </cell>
          <cell r="S10900">
            <v>228001</v>
          </cell>
        </row>
        <row r="10901">
          <cell r="K10901" t="str">
            <v>223002</v>
          </cell>
          <cell r="M10901">
            <v>2</v>
          </cell>
          <cell r="R10901">
            <v>45904</v>
          </cell>
          <cell r="S10901">
            <v>223002</v>
          </cell>
        </row>
        <row r="10902">
          <cell r="K10902" t="str">
            <v>223001</v>
          </cell>
          <cell r="M10902">
            <v>2</v>
          </cell>
          <cell r="R10902">
            <v>45904</v>
          </cell>
          <cell r="S10902">
            <v>223001</v>
          </cell>
        </row>
        <row r="10903">
          <cell r="K10903" t="str">
            <v>201011</v>
          </cell>
          <cell r="M10903">
            <v>4</v>
          </cell>
          <cell r="R10903">
            <v>45904</v>
          </cell>
          <cell r="S10903">
            <v>201011</v>
          </cell>
        </row>
        <row r="10904">
          <cell r="K10904" t="str">
            <v>234001</v>
          </cell>
          <cell r="M10904">
            <v>1</v>
          </cell>
          <cell r="R10904">
            <v>45905</v>
          </cell>
          <cell r="S10904">
            <v>234001</v>
          </cell>
        </row>
        <row r="10905">
          <cell r="K10905" t="str">
            <v>223002</v>
          </cell>
          <cell r="M10905">
            <v>1</v>
          </cell>
          <cell r="R10905">
            <v>45905</v>
          </cell>
          <cell r="S10905">
            <v>223002</v>
          </cell>
        </row>
        <row r="10906">
          <cell r="K10906" t="str">
            <v>223006</v>
          </cell>
          <cell r="M10906">
            <v>4</v>
          </cell>
          <cell r="R10906">
            <v>45905</v>
          </cell>
          <cell r="S10906">
            <v>223006</v>
          </cell>
        </row>
        <row r="10907">
          <cell r="K10907" t="str">
            <v>227012</v>
          </cell>
          <cell r="M10907">
            <v>1</v>
          </cell>
          <cell r="R10907">
            <v>45905</v>
          </cell>
          <cell r="S10907">
            <v>227012</v>
          </cell>
        </row>
        <row r="10908">
          <cell r="K10908" t="str">
            <v>213006</v>
          </cell>
          <cell r="M10908">
            <v>2</v>
          </cell>
          <cell r="R10908">
            <v>45905</v>
          </cell>
          <cell r="S10908">
            <v>213006</v>
          </cell>
        </row>
        <row r="10909">
          <cell r="K10909" t="str">
            <v>231004</v>
          </cell>
          <cell r="M10909">
            <v>1</v>
          </cell>
          <cell r="R10909">
            <v>45905</v>
          </cell>
          <cell r="S10909">
            <v>231004</v>
          </cell>
        </row>
        <row r="10910">
          <cell r="K10910" t="str">
            <v>226001</v>
          </cell>
          <cell r="M10910">
            <v>1</v>
          </cell>
          <cell r="R10910">
            <v>45905</v>
          </cell>
          <cell r="S10910">
            <v>226001</v>
          </cell>
        </row>
        <row r="10911">
          <cell r="K10911" t="str">
            <v>217022</v>
          </cell>
          <cell r="M10911">
            <v>1</v>
          </cell>
          <cell r="R10911">
            <v>45905</v>
          </cell>
          <cell r="S10911">
            <v>217022</v>
          </cell>
        </row>
        <row r="10912">
          <cell r="K10912" t="str">
            <v>223001</v>
          </cell>
          <cell r="M10912">
            <v>4</v>
          </cell>
          <cell r="R10912">
            <v>45905</v>
          </cell>
          <cell r="S10912">
            <v>223001</v>
          </cell>
        </row>
        <row r="10913">
          <cell r="K10913" t="str">
            <v>201021</v>
          </cell>
          <cell r="M10913">
            <v>3</v>
          </cell>
          <cell r="R10913">
            <v>45905</v>
          </cell>
          <cell r="S10913">
            <v>201021</v>
          </cell>
        </row>
        <row r="10914">
          <cell r="K10914" t="str">
            <v>220002</v>
          </cell>
          <cell r="M10914">
            <v>2</v>
          </cell>
          <cell r="R10914">
            <v>45905</v>
          </cell>
          <cell r="S10914">
            <v>220002</v>
          </cell>
        </row>
        <row r="10915">
          <cell r="K10915" t="str">
            <v>201003</v>
          </cell>
          <cell r="M10915">
            <v>1</v>
          </cell>
          <cell r="R10915">
            <v>45905</v>
          </cell>
          <cell r="S10915">
            <v>201003</v>
          </cell>
        </row>
        <row r="10916">
          <cell r="K10916" t="str">
            <v>231012</v>
          </cell>
          <cell r="M10916">
            <v>1</v>
          </cell>
          <cell r="R10916">
            <v>45905</v>
          </cell>
          <cell r="S10916">
            <v>231012</v>
          </cell>
        </row>
        <row r="10917">
          <cell r="K10917" t="str">
            <v>226025</v>
          </cell>
          <cell r="M10917">
            <v>3</v>
          </cell>
          <cell r="R10917">
            <v>45905</v>
          </cell>
          <cell r="S10917">
            <v>226025</v>
          </cell>
        </row>
        <row r="10918">
          <cell r="K10918" t="str">
            <v>226001</v>
          </cell>
          <cell r="M10918">
            <v>1</v>
          </cell>
          <cell r="R10918">
            <v>45905</v>
          </cell>
          <cell r="S10918">
            <v>226001</v>
          </cell>
        </row>
        <row r="10919">
          <cell r="K10919" t="str">
            <v>226001</v>
          </cell>
          <cell r="M10919">
            <v>1</v>
          </cell>
          <cell r="R10919">
            <v>45905</v>
          </cell>
          <cell r="S10919">
            <v>226001</v>
          </cell>
        </row>
        <row r="10920">
          <cell r="K10920" t="str">
            <v>203003</v>
          </cell>
          <cell r="M10920">
            <v>2</v>
          </cell>
          <cell r="R10920">
            <v>45905</v>
          </cell>
          <cell r="S10920">
            <v>203003</v>
          </cell>
        </row>
        <row r="10921">
          <cell r="K10921" t="str">
            <v>226001</v>
          </cell>
          <cell r="M10921">
            <v>4</v>
          </cell>
          <cell r="R10921">
            <v>45905</v>
          </cell>
          <cell r="S10921">
            <v>226001</v>
          </cell>
        </row>
        <row r="10922">
          <cell r="K10922" t="str">
            <v>220002</v>
          </cell>
          <cell r="M10922">
            <v>2</v>
          </cell>
          <cell r="R10922">
            <v>45905</v>
          </cell>
          <cell r="S10922">
            <v>220002</v>
          </cell>
        </row>
        <row r="10923">
          <cell r="K10923" t="str">
            <v>213024</v>
          </cell>
          <cell r="M10923">
            <v>10</v>
          </cell>
          <cell r="R10923">
            <v>45905</v>
          </cell>
          <cell r="S10923">
            <v>213024</v>
          </cell>
        </row>
        <row r="10924">
          <cell r="K10924" t="str">
            <v>231012</v>
          </cell>
          <cell r="M10924">
            <v>3</v>
          </cell>
          <cell r="R10924">
            <v>45905</v>
          </cell>
          <cell r="S10924">
            <v>231012</v>
          </cell>
        </row>
        <row r="10925">
          <cell r="K10925" t="str">
            <v>210013</v>
          </cell>
          <cell r="M10925">
            <v>2</v>
          </cell>
          <cell r="R10925">
            <v>45905</v>
          </cell>
          <cell r="S10925">
            <v>210013</v>
          </cell>
        </row>
        <row r="10926">
          <cell r="K10926" t="str">
            <v>213024</v>
          </cell>
          <cell r="M10926">
            <v>4</v>
          </cell>
          <cell r="R10926">
            <v>45905</v>
          </cell>
          <cell r="S10926">
            <v>213024</v>
          </cell>
        </row>
        <row r="10927">
          <cell r="K10927" t="str">
            <v>226004</v>
          </cell>
          <cell r="M10927">
            <v>1</v>
          </cell>
          <cell r="R10927">
            <v>45905</v>
          </cell>
          <cell r="S10927">
            <v>226004</v>
          </cell>
        </row>
        <row r="10928">
          <cell r="K10928" t="str">
            <v>227002</v>
          </cell>
          <cell r="M10928">
            <v>1</v>
          </cell>
          <cell r="R10928">
            <v>45905</v>
          </cell>
          <cell r="S10928">
            <v>227002</v>
          </cell>
        </row>
        <row r="10929">
          <cell r="K10929" t="str">
            <v>201011</v>
          </cell>
          <cell r="M10929">
            <v>26</v>
          </cell>
          <cell r="R10929">
            <v>45905</v>
          </cell>
          <cell r="S10929">
            <v>201011</v>
          </cell>
        </row>
        <row r="10930">
          <cell r="K10930" t="str">
            <v>228001</v>
          </cell>
          <cell r="M10930">
            <v>1</v>
          </cell>
          <cell r="R10930">
            <v>45907</v>
          </cell>
          <cell r="S10930">
            <v>228001</v>
          </cell>
        </row>
        <row r="10931">
          <cell r="K10931" t="str">
            <v>203003</v>
          </cell>
          <cell r="M10931">
            <v>3</v>
          </cell>
          <cell r="R10931">
            <v>45907</v>
          </cell>
          <cell r="S10931">
            <v>203003</v>
          </cell>
        </row>
        <row r="10932">
          <cell r="K10932" t="str">
            <v>223001</v>
          </cell>
          <cell r="M10932">
            <v>1</v>
          </cell>
          <cell r="R10932">
            <v>45907</v>
          </cell>
          <cell r="S10932">
            <v>223001</v>
          </cell>
        </row>
        <row r="10933">
          <cell r="K10933" t="str">
            <v>207017</v>
          </cell>
          <cell r="M10933">
            <v>1</v>
          </cell>
          <cell r="R10933">
            <v>45907</v>
          </cell>
          <cell r="S10933">
            <v>207017</v>
          </cell>
        </row>
        <row r="10934">
          <cell r="K10934" t="str">
            <v>201011</v>
          </cell>
          <cell r="M10934">
            <v>36</v>
          </cell>
          <cell r="R10934">
            <v>45907</v>
          </cell>
          <cell r="S10934">
            <v>201011</v>
          </cell>
        </row>
        <row r="10935">
          <cell r="K10935" t="str">
            <v>201011</v>
          </cell>
          <cell r="M10935">
            <v>36</v>
          </cell>
          <cell r="R10935">
            <v>45907</v>
          </cell>
          <cell r="S10935">
            <v>201011</v>
          </cell>
        </row>
        <row r="10936">
          <cell r="K10936" t="str">
            <v>237001</v>
          </cell>
          <cell r="M10936">
            <v>1</v>
          </cell>
          <cell r="R10936">
            <v>45908</v>
          </cell>
          <cell r="S10936">
            <v>237001</v>
          </cell>
        </row>
        <row r="10937">
          <cell r="K10937" t="str">
            <v>229003</v>
          </cell>
          <cell r="M10937">
            <v>4</v>
          </cell>
          <cell r="R10937">
            <v>45908</v>
          </cell>
          <cell r="S10937">
            <v>229003</v>
          </cell>
        </row>
        <row r="10938">
          <cell r="K10938" t="str">
            <v>212035</v>
          </cell>
          <cell r="M10938">
            <v>1</v>
          </cell>
          <cell r="R10938">
            <v>45908</v>
          </cell>
          <cell r="S10938">
            <v>212035</v>
          </cell>
        </row>
        <row r="10939">
          <cell r="K10939" t="str">
            <v>226025</v>
          </cell>
          <cell r="M10939">
            <v>1</v>
          </cell>
          <cell r="R10939">
            <v>45908</v>
          </cell>
          <cell r="S10939">
            <v>226025</v>
          </cell>
        </row>
        <row r="10940">
          <cell r="K10940" t="str">
            <v>203001</v>
          </cell>
          <cell r="M10940">
            <v>8</v>
          </cell>
          <cell r="R10940">
            <v>45908</v>
          </cell>
          <cell r="S10940">
            <v>203001</v>
          </cell>
        </row>
        <row r="10941">
          <cell r="K10941" t="str">
            <v>241001</v>
          </cell>
          <cell r="M10941">
            <v>3</v>
          </cell>
          <cell r="R10941">
            <v>45908</v>
          </cell>
          <cell r="S10941">
            <v>241001</v>
          </cell>
        </row>
        <row r="10942">
          <cell r="K10942" t="str">
            <v>231012</v>
          </cell>
          <cell r="M10942">
            <v>2</v>
          </cell>
          <cell r="R10942">
            <v>45908</v>
          </cell>
          <cell r="S10942">
            <v>231012</v>
          </cell>
        </row>
        <row r="10943">
          <cell r="K10943" t="str">
            <v>201003</v>
          </cell>
          <cell r="M10943">
            <v>2</v>
          </cell>
          <cell r="R10943">
            <v>45908</v>
          </cell>
          <cell r="S10943">
            <v>201003</v>
          </cell>
        </row>
        <row r="10944">
          <cell r="K10944" t="str">
            <v>223002</v>
          </cell>
          <cell r="M10944">
            <v>1</v>
          </cell>
          <cell r="R10944">
            <v>45908</v>
          </cell>
          <cell r="S10944">
            <v>223002</v>
          </cell>
        </row>
        <row r="10945">
          <cell r="K10945" t="str">
            <v>213002</v>
          </cell>
          <cell r="M10945">
            <v>2</v>
          </cell>
          <cell r="R10945">
            <v>45908</v>
          </cell>
          <cell r="S10945">
            <v>213002</v>
          </cell>
        </row>
        <row r="10946">
          <cell r="K10946" t="str">
            <v>222001</v>
          </cell>
          <cell r="M10946">
            <v>1</v>
          </cell>
          <cell r="R10946">
            <v>45908</v>
          </cell>
          <cell r="S10946">
            <v>222001</v>
          </cell>
        </row>
        <row r="10947">
          <cell r="K10947" t="str">
            <v>241001</v>
          </cell>
          <cell r="M10947">
            <v>3</v>
          </cell>
          <cell r="R10947">
            <v>45908</v>
          </cell>
          <cell r="S10947">
            <v>241001</v>
          </cell>
        </row>
        <row r="10948">
          <cell r="K10948" t="str">
            <v>222002</v>
          </cell>
          <cell r="M10948">
            <v>1</v>
          </cell>
          <cell r="R10948">
            <v>45908</v>
          </cell>
          <cell r="S10948">
            <v>222002</v>
          </cell>
        </row>
        <row r="10949">
          <cell r="K10949" t="str">
            <v>222001</v>
          </cell>
          <cell r="M10949">
            <v>1</v>
          </cell>
          <cell r="R10949">
            <v>45908</v>
          </cell>
          <cell r="S10949">
            <v>222001</v>
          </cell>
        </row>
        <row r="10950">
          <cell r="K10950" t="str">
            <v>201011</v>
          </cell>
          <cell r="M10950">
            <v>3</v>
          </cell>
          <cell r="R10950">
            <v>45908</v>
          </cell>
          <cell r="S10950">
            <v>201011</v>
          </cell>
        </row>
        <row r="10951">
          <cell r="K10951" t="str">
            <v>201021</v>
          </cell>
          <cell r="M10951">
            <v>4</v>
          </cell>
          <cell r="R10951">
            <v>45908</v>
          </cell>
          <cell r="S10951">
            <v>201021</v>
          </cell>
        </row>
        <row r="10952">
          <cell r="K10952" t="str">
            <v>234011</v>
          </cell>
          <cell r="M10952">
            <v>1</v>
          </cell>
          <cell r="R10952">
            <v>45908</v>
          </cell>
          <cell r="S10952">
            <v>234011</v>
          </cell>
        </row>
        <row r="10953">
          <cell r="K10953" t="str">
            <v>217022</v>
          </cell>
          <cell r="M10953">
            <v>2</v>
          </cell>
          <cell r="R10953">
            <v>45908</v>
          </cell>
          <cell r="S10953">
            <v>217022</v>
          </cell>
        </row>
        <row r="10954">
          <cell r="K10954" t="str">
            <v>201011</v>
          </cell>
          <cell r="M10954">
            <v>2</v>
          </cell>
          <cell r="R10954">
            <v>45908</v>
          </cell>
          <cell r="S10954">
            <v>201011</v>
          </cell>
        </row>
        <row r="10955">
          <cell r="K10955" t="str">
            <v>228001</v>
          </cell>
          <cell r="M10955">
            <v>4</v>
          </cell>
          <cell r="R10955">
            <v>45908</v>
          </cell>
          <cell r="S10955">
            <v>228001</v>
          </cell>
        </row>
        <row r="10956">
          <cell r="K10956" t="str">
            <v>231012</v>
          </cell>
          <cell r="M10956">
            <v>4</v>
          </cell>
          <cell r="R10956">
            <v>45908</v>
          </cell>
          <cell r="S10956">
            <v>231012</v>
          </cell>
        </row>
        <row r="10957">
          <cell r="K10957" t="str">
            <v>201021</v>
          </cell>
          <cell r="M10957">
            <v>7</v>
          </cell>
          <cell r="R10957">
            <v>45908</v>
          </cell>
          <cell r="S10957">
            <v>201021</v>
          </cell>
        </row>
        <row r="10958">
          <cell r="K10958" t="str">
            <v>203001</v>
          </cell>
          <cell r="M10958">
            <v>2</v>
          </cell>
          <cell r="R10958">
            <v>45908</v>
          </cell>
          <cell r="S10958">
            <v>203001</v>
          </cell>
        </row>
        <row r="10959">
          <cell r="K10959" t="str">
            <v>201011</v>
          </cell>
          <cell r="M10959">
            <v>1</v>
          </cell>
          <cell r="R10959">
            <v>45908</v>
          </cell>
          <cell r="S10959">
            <v>201011</v>
          </cell>
        </row>
        <row r="10960">
          <cell r="K10960" t="str">
            <v>223002</v>
          </cell>
          <cell r="M10960">
            <v>1</v>
          </cell>
          <cell r="R10960">
            <v>45908</v>
          </cell>
          <cell r="S10960">
            <v>223002</v>
          </cell>
        </row>
        <row r="10961">
          <cell r="K10961" t="str">
            <v>223001</v>
          </cell>
          <cell r="M10961">
            <v>6</v>
          </cell>
          <cell r="R10961">
            <v>45908</v>
          </cell>
          <cell r="S10961">
            <v>223001</v>
          </cell>
        </row>
        <row r="10962">
          <cell r="K10962" t="str">
            <v>227012</v>
          </cell>
          <cell r="M10962">
            <v>1</v>
          </cell>
          <cell r="R10962">
            <v>45908</v>
          </cell>
          <cell r="S10962">
            <v>227012</v>
          </cell>
        </row>
        <row r="10963">
          <cell r="K10963" t="str">
            <v>209022</v>
          </cell>
          <cell r="M10963">
            <v>4</v>
          </cell>
          <cell r="R10963">
            <v>45908</v>
          </cell>
          <cell r="S10963">
            <v>209022</v>
          </cell>
        </row>
        <row r="10964">
          <cell r="K10964" t="str">
            <v>223001</v>
          </cell>
          <cell r="M10964">
            <v>4</v>
          </cell>
          <cell r="R10964">
            <v>45908</v>
          </cell>
          <cell r="S10964">
            <v>223001</v>
          </cell>
        </row>
        <row r="10965">
          <cell r="K10965" t="str">
            <v>223002</v>
          </cell>
          <cell r="M10965">
            <v>1</v>
          </cell>
          <cell r="R10965">
            <v>45908</v>
          </cell>
          <cell r="S10965">
            <v>223002</v>
          </cell>
        </row>
        <row r="10966">
          <cell r="K10966" t="str">
            <v>209001</v>
          </cell>
          <cell r="M10966">
            <v>1</v>
          </cell>
          <cell r="R10966">
            <v>45908</v>
          </cell>
          <cell r="S10966">
            <v>209001</v>
          </cell>
        </row>
        <row r="10967">
          <cell r="K10967" t="str">
            <v>201021</v>
          </cell>
          <cell r="M10967">
            <v>2</v>
          </cell>
          <cell r="R10967">
            <v>45908</v>
          </cell>
          <cell r="S10967">
            <v>201021</v>
          </cell>
        </row>
        <row r="10968">
          <cell r="K10968" t="str">
            <v>201021</v>
          </cell>
          <cell r="M10968">
            <v>1</v>
          </cell>
          <cell r="R10968">
            <v>45908</v>
          </cell>
          <cell r="S10968">
            <v>201021</v>
          </cell>
        </row>
        <row r="10969">
          <cell r="K10969" t="str">
            <v>207017</v>
          </cell>
          <cell r="M10969">
            <v>1</v>
          </cell>
          <cell r="R10969">
            <v>45908</v>
          </cell>
          <cell r="S10969">
            <v>207017</v>
          </cell>
        </row>
        <row r="10970">
          <cell r="K10970" t="str">
            <v>217022</v>
          </cell>
          <cell r="M10970">
            <v>1</v>
          </cell>
          <cell r="R10970">
            <v>45908</v>
          </cell>
          <cell r="S10970">
            <v>217022</v>
          </cell>
        </row>
        <row r="10971">
          <cell r="K10971" t="str">
            <v>231012</v>
          </cell>
          <cell r="M10971">
            <v>1</v>
          </cell>
          <cell r="R10971">
            <v>45908</v>
          </cell>
          <cell r="S10971">
            <v>231012</v>
          </cell>
        </row>
        <row r="10972">
          <cell r="K10972" t="str">
            <v>213002</v>
          </cell>
          <cell r="M10972">
            <v>1</v>
          </cell>
          <cell r="R10972">
            <v>45908</v>
          </cell>
          <cell r="S10972">
            <v>213002</v>
          </cell>
        </row>
        <row r="10973">
          <cell r="K10973" t="str">
            <v>224001</v>
          </cell>
          <cell r="M10973">
            <v>1</v>
          </cell>
          <cell r="R10973">
            <v>45908</v>
          </cell>
          <cell r="S10973">
            <v>224001</v>
          </cell>
        </row>
        <row r="10974">
          <cell r="K10974" t="str">
            <v>201021</v>
          </cell>
          <cell r="M10974">
            <v>5</v>
          </cell>
          <cell r="R10974">
            <v>45908</v>
          </cell>
          <cell r="S10974">
            <v>201021</v>
          </cell>
        </row>
        <row r="10975">
          <cell r="K10975" t="str">
            <v>209001</v>
          </cell>
          <cell r="M10975">
            <v>2</v>
          </cell>
          <cell r="R10975">
            <v>45908</v>
          </cell>
          <cell r="S10975">
            <v>209001</v>
          </cell>
        </row>
        <row r="10976">
          <cell r="K10976" t="str">
            <v>234011</v>
          </cell>
          <cell r="M10976">
            <v>2</v>
          </cell>
          <cell r="R10976">
            <v>45908</v>
          </cell>
          <cell r="S10976">
            <v>234011</v>
          </cell>
        </row>
        <row r="10977">
          <cell r="K10977" t="str">
            <v>203003</v>
          </cell>
          <cell r="M10977">
            <v>1</v>
          </cell>
          <cell r="R10977">
            <v>45908</v>
          </cell>
          <cell r="S10977">
            <v>203003</v>
          </cell>
        </row>
        <row r="10978">
          <cell r="K10978" t="str">
            <v>241001</v>
          </cell>
          <cell r="M10978">
            <v>7</v>
          </cell>
          <cell r="R10978">
            <v>45908</v>
          </cell>
          <cell r="S10978">
            <v>241001</v>
          </cell>
        </row>
        <row r="10979">
          <cell r="K10979" t="str">
            <v>222001</v>
          </cell>
          <cell r="M10979">
            <v>1</v>
          </cell>
          <cell r="R10979">
            <v>45908</v>
          </cell>
          <cell r="S10979">
            <v>222001</v>
          </cell>
        </row>
        <row r="10980">
          <cell r="K10980" t="str">
            <v>201011</v>
          </cell>
          <cell r="M10980">
            <v>35</v>
          </cell>
          <cell r="R10980">
            <v>45906</v>
          </cell>
          <cell r="S10980">
            <v>201011</v>
          </cell>
        </row>
        <row r="10981">
          <cell r="K10981" t="str">
            <v>201021</v>
          </cell>
          <cell r="M10981">
            <v>10</v>
          </cell>
          <cell r="R10981">
            <v>45906</v>
          </cell>
          <cell r="S10981">
            <v>201021</v>
          </cell>
        </row>
        <row r="10982">
          <cell r="K10982" t="str">
            <v>241001</v>
          </cell>
          <cell r="M10982">
            <v>1</v>
          </cell>
          <cell r="R10982">
            <v>45906</v>
          </cell>
          <cell r="S10982">
            <v>241001</v>
          </cell>
        </row>
        <row r="10983">
          <cell r="K10983" t="str">
            <v>213002</v>
          </cell>
          <cell r="M10983">
            <v>3</v>
          </cell>
          <cell r="R10983">
            <v>45905</v>
          </cell>
          <cell r="S10983">
            <v>213002</v>
          </cell>
        </row>
        <row r="10984">
          <cell r="K10984" t="str">
            <v>223002</v>
          </cell>
          <cell r="M10984">
            <v>1</v>
          </cell>
          <cell r="R10984">
            <v>45906</v>
          </cell>
          <cell r="S10984">
            <v>223002</v>
          </cell>
        </row>
        <row r="10985">
          <cell r="K10985" t="str">
            <v>213002</v>
          </cell>
          <cell r="M10985">
            <v>3</v>
          </cell>
          <cell r="R10985">
            <v>45906</v>
          </cell>
          <cell r="S10985">
            <v>213002</v>
          </cell>
        </row>
        <row r="10986">
          <cell r="K10986" t="str">
            <v>201011</v>
          </cell>
          <cell r="M10986">
            <v>6</v>
          </cell>
          <cell r="R10986">
            <v>45908</v>
          </cell>
          <cell r="S10986">
            <v>201011</v>
          </cell>
        </row>
        <row r="10987">
          <cell r="K10987" t="str">
            <v>228001</v>
          </cell>
          <cell r="M10987">
            <v>3</v>
          </cell>
          <cell r="R10987">
            <v>45908</v>
          </cell>
          <cell r="S10987">
            <v>228001</v>
          </cell>
        </row>
        <row r="10988">
          <cell r="K10988" t="str">
            <v>237001</v>
          </cell>
          <cell r="M10988">
            <v>1</v>
          </cell>
          <cell r="R10988">
            <v>45908</v>
          </cell>
          <cell r="S10988">
            <v>237001</v>
          </cell>
        </row>
        <row r="10989">
          <cell r="K10989" t="str">
            <v>201011</v>
          </cell>
          <cell r="M10989">
            <v>1</v>
          </cell>
          <cell r="R10989">
            <v>45905</v>
          </cell>
          <cell r="S10989">
            <v>201011</v>
          </cell>
        </row>
        <row r="10990">
          <cell r="K10990" t="str">
            <v>210013</v>
          </cell>
          <cell r="M10990">
            <v>10</v>
          </cell>
          <cell r="R10990">
            <v>45905</v>
          </cell>
          <cell r="S10990">
            <v>210013</v>
          </cell>
        </row>
        <row r="10991">
          <cell r="K10991" t="str">
            <v>210010</v>
          </cell>
          <cell r="M10991">
            <v>1</v>
          </cell>
          <cell r="R10991">
            <v>45905</v>
          </cell>
          <cell r="S10991">
            <v>210010</v>
          </cell>
        </row>
        <row r="10992">
          <cell r="K10992" t="str">
            <v>228001</v>
          </cell>
          <cell r="M10992">
            <v>5</v>
          </cell>
          <cell r="R10992">
            <v>45905</v>
          </cell>
          <cell r="S10992">
            <v>228001</v>
          </cell>
        </row>
        <row r="10993">
          <cell r="K10993" t="str">
            <v>223002</v>
          </cell>
          <cell r="M10993">
            <v>4</v>
          </cell>
          <cell r="R10993">
            <v>45907</v>
          </cell>
          <cell r="S10993">
            <v>223002</v>
          </cell>
        </row>
        <row r="10994">
          <cell r="K10994" t="str">
            <v>223001</v>
          </cell>
          <cell r="M10994">
            <v>3</v>
          </cell>
          <cell r="R10994">
            <v>45907</v>
          </cell>
          <cell r="S10994">
            <v>223001</v>
          </cell>
        </row>
        <row r="10995">
          <cell r="K10995" t="str">
            <v>201003</v>
          </cell>
          <cell r="M10995">
            <v>4</v>
          </cell>
          <cell r="R10995">
            <v>45907</v>
          </cell>
          <cell r="S10995">
            <v>201003</v>
          </cell>
        </row>
        <row r="10996">
          <cell r="K10996" t="str">
            <v>229004</v>
          </cell>
          <cell r="M10996">
            <v>4</v>
          </cell>
          <cell r="R10996">
            <v>45908</v>
          </cell>
          <cell r="S10996">
            <v>229004</v>
          </cell>
        </row>
        <row r="10997">
          <cell r="K10997" t="str">
            <v>222001</v>
          </cell>
          <cell r="M10997">
            <v>1</v>
          </cell>
          <cell r="R10997">
            <v>45908</v>
          </cell>
          <cell r="S10997">
            <v>222001</v>
          </cell>
        </row>
        <row r="10998">
          <cell r="K10998" t="str">
            <v>241001</v>
          </cell>
          <cell r="M10998">
            <v>2</v>
          </cell>
          <cell r="R10998">
            <v>45908</v>
          </cell>
          <cell r="S10998">
            <v>241001</v>
          </cell>
        </row>
        <row r="10999">
          <cell r="K10999" t="str">
            <v>271002</v>
          </cell>
          <cell r="M10999">
            <v>1</v>
          </cell>
          <cell r="R10999">
            <v>45908</v>
          </cell>
          <cell r="S10999">
            <v>271002</v>
          </cell>
        </row>
        <row r="11000">
          <cell r="K11000" t="str">
            <v>220002</v>
          </cell>
          <cell r="M11000">
            <v>5</v>
          </cell>
          <cell r="R11000">
            <v>45908</v>
          </cell>
          <cell r="S11000">
            <v>220002</v>
          </cell>
        </row>
        <row r="11001">
          <cell r="K11001" t="str">
            <v>201011</v>
          </cell>
          <cell r="M11001">
            <v>3</v>
          </cell>
          <cell r="R11001">
            <v>45908</v>
          </cell>
          <cell r="S11001">
            <v>201011</v>
          </cell>
        </row>
        <row r="11002">
          <cell r="K11002" t="str">
            <v>213002</v>
          </cell>
          <cell r="M11002">
            <v>2</v>
          </cell>
          <cell r="R11002">
            <v>45908</v>
          </cell>
          <cell r="S11002">
            <v>213002</v>
          </cell>
        </row>
        <row r="11003">
          <cell r="K11003" t="str">
            <v>227002</v>
          </cell>
          <cell r="M11003">
            <v>1</v>
          </cell>
          <cell r="R11003">
            <v>45907</v>
          </cell>
          <cell r="S11003">
            <v>227002</v>
          </cell>
        </row>
        <row r="11004">
          <cell r="K11004" t="str">
            <v>223001</v>
          </cell>
          <cell r="M11004">
            <v>2</v>
          </cell>
          <cell r="R11004">
            <v>45907</v>
          </cell>
          <cell r="S11004">
            <v>223001</v>
          </cell>
        </row>
        <row r="11005">
          <cell r="K11005" t="str">
            <v>223002</v>
          </cell>
          <cell r="M11005">
            <v>2</v>
          </cell>
          <cell r="R11005">
            <v>45907</v>
          </cell>
          <cell r="S11005">
            <v>223002</v>
          </cell>
        </row>
        <row r="11006">
          <cell r="K11006" t="str">
            <v>210013</v>
          </cell>
          <cell r="M11006">
            <v>2</v>
          </cell>
          <cell r="R11006">
            <v>45908</v>
          </cell>
          <cell r="S11006">
            <v>210013</v>
          </cell>
        </row>
        <row r="11007">
          <cell r="K11007" t="str">
            <v>227012</v>
          </cell>
          <cell r="M11007">
            <v>2</v>
          </cell>
          <cell r="R11007">
            <v>45908</v>
          </cell>
          <cell r="S11007">
            <v>227012</v>
          </cell>
        </row>
        <row r="11008">
          <cell r="K11008" t="str">
            <v>213006</v>
          </cell>
          <cell r="M11008">
            <v>2</v>
          </cell>
          <cell r="R11008">
            <v>45908</v>
          </cell>
          <cell r="S11008">
            <v>213006</v>
          </cell>
        </row>
        <row r="11009">
          <cell r="K11009" t="str">
            <v>228001</v>
          </cell>
          <cell r="M11009">
            <v>5</v>
          </cell>
          <cell r="R11009">
            <v>45908</v>
          </cell>
          <cell r="S11009">
            <v>228001</v>
          </cell>
        </row>
        <row r="11010">
          <cell r="K11010" t="str">
            <v>222001</v>
          </cell>
          <cell r="M11010">
            <v>1</v>
          </cell>
          <cell r="R11010">
            <v>45908</v>
          </cell>
          <cell r="S11010">
            <v>222001</v>
          </cell>
        </row>
        <row r="11011">
          <cell r="K11011" t="str">
            <v>201021</v>
          </cell>
          <cell r="M11011">
            <v>1</v>
          </cell>
          <cell r="R11011">
            <v>45908</v>
          </cell>
          <cell r="S11011">
            <v>201021</v>
          </cell>
        </row>
        <row r="11012">
          <cell r="K11012" t="str">
            <v>203004</v>
          </cell>
          <cell r="M11012">
            <v>1</v>
          </cell>
          <cell r="R11012">
            <v>45908</v>
          </cell>
          <cell r="S11012">
            <v>203004</v>
          </cell>
        </row>
        <row r="11013">
          <cell r="K11013" t="str">
            <v>231004</v>
          </cell>
          <cell r="M11013">
            <v>1</v>
          </cell>
          <cell r="R11013">
            <v>45908</v>
          </cell>
          <cell r="S11013">
            <v>231004</v>
          </cell>
        </row>
        <row r="11014">
          <cell r="K11014" t="str">
            <v>223002</v>
          </cell>
          <cell r="M11014">
            <v>2</v>
          </cell>
          <cell r="R11014">
            <v>45908</v>
          </cell>
          <cell r="S11014">
            <v>223002</v>
          </cell>
        </row>
        <row r="11015">
          <cell r="K11015" t="str">
            <v>223006</v>
          </cell>
          <cell r="M11015">
            <v>6</v>
          </cell>
          <cell r="R11015">
            <v>45908</v>
          </cell>
          <cell r="S11015">
            <v>223006</v>
          </cell>
        </row>
        <row r="11016">
          <cell r="K11016" t="str">
            <v>223001</v>
          </cell>
          <cell r="M11016">
            <v>6</v>
          </cell>
          <cell r="R11016">
            <v>45908</v>
          </cell>
          <cell r="S11016">
            <v>223001</v>
          </cell>
        </row>
        <row r="11017">
          <cell r="K11017" t="str">
            <v>223003</v>
          </cell>
          <cell r="M11017">
            <v>8</v>
          </cell>
          <cell r="R11017">
            <v>45908</v>
          </cell>
          <cell r="S11017">
            <v>223003</v>
          </cell>
        </row>
        <row r="11018">
          <cell r="K11018" t="str">
            <v>227012</v>
          </cell>
          <cell r="M11018">
            <v>1</v>
          </cell>
          <cell r="R11018">
            <v>45908</v>
          </cell>
          <cell r="S11018">
            <v>227012</v>
          </cell>
        </row>
        <row r="11019">
          <cell r="K11019" t="str">
            <v>227012</v>
          </cell>
          <cell r="M11019">
            <v>1</v>
          </cell>
          <cell r="R11019">
            <v>45908</v>
          </cell>
          <cell r="S11019">
            <v>227012</v>
          </cell>
        </row>
        <row r="11020">
          <cell r="K11020" t="str">
            <v>223003</v>
          </cell>
          <cell r="M11020">
            <v>8</v>
          </cell>
          <cell r="R11020">
            <v>45908</v>
          </cell>
          <cell r="S11020">
            <v>223003</v>
          </cell>
        </row>
        <row r="11021">
          <cell r="K11021" t="str">
            <v>228001</v>
          </cell>
          <cell r="M11021">
            <v>2</v>
          </cell>
          <cell r="R11021">
            <v>45908</v>
          </cell>
          <cell r="S11021">
            <v>228001</v>
          </cell>
        </row>
        <row r="11022">
          <cell r="K11022" t="str">
            <v>201011</v>
          </cell>
          <cell r="M11022">
            <v>2</v>
          </cell>
          <cell r="R11022">
            <v>45908</v>
          </cell>
          <cell r="S11022">
            <v>201011</v>
          </cell>
        </row>
        <row r="11023">
          <cell r="K11023" t="str">
            <v>207017</v>
          </cell>
          <cell r="M11023">
            <v>1</v>
          </cell>
          <cell r="R11023">
            <v>45908</v>
          </cell>
          <cell r="S11023">
            <v>207017</v>
          </cell>
        </row>
        <row r="11024">
          <cell r="K11024" t="str">
            <v>213002</v>
          </cell>
          <cell r="M11024">
            <v>2</v>
          </cell>
          <cell r="R11024">
            <v>45908</v>
          </cell>
          <cell r="S11024">
            <v>213002</v>
          </cell>
        </row>
        <row r="11025">
          <cell r="K11025" t="str">
            <v>217022</v>
          </cell>
          <cell r="M11025">
            <v>2</v>
          </cell>
          <cell r="R11025">
            <v>45908</v>
          </cell>
          <cell r="S11025">
            <v>217022</v>
          </cell>
        </row>
        <row r="11026">
          <cell r="K11026" t="str">
            <v>213006</v>
          </cell>
          <cell r="M11026">
            <v>2</v>
          </cell>
          <cell r="R11026">
            <v>45907</v>
          </cell>
          <cell r="S11026">
            <v>213006</v>
          </cell>
        </row>
        <row r="11027">
          <cell r="K11027" t="str">
            <v>223001</v>
          </cell>
          <cell r="M11027">
            <v>3</v>
          </cell>
          <cell r="R11027">
            <v>45908</v>
          </cell>
          <cell r="S11027">
            <v>223001</v>
          </cell>
        </row>
        <row r="11028">
          <cell r="K11028" t="str">
            <v>201011</v>
          </cell>
          <cell r="M11028">
            <v>1</v>
          </cell>
          <cell r="R11028">
            <v>45908</v>
          </cell>
          <cell r="S11028">
            <v>201011</v>
          </cell>
        </row>
        <row r="11029">
          <cell r="K11029" t="str">
            <v>201022</v>
          </cell>
          <cell r="M11029">
            <v>2</v>
          </cell>
          <cell r="R11029">
            <v>45908</v>
          </cell>
          <cell r="S11029">
            <v>201022</v>
          </cell>
        </row>
        <row r="11030">
          <cell r="K11030" t="str">
            <v>213002</v>
          </cell>
          <cell r="M11030">
            <v>12</v>
          </cell>
          <cell r="R11030">
            <v>45908</v>
          </cell>
          <cell r="S11030">
            <v>213002</v>
          </cell>
        </row>
        <row r="11031">
          <cell r="K11031" t="str">
            <v>203003</v>
          </cell>
          <cell r="M11031">
            <v>1</v>
          </cell>
          <cell r="R11031">
            <v>45908</v>
          </cell>
          <cell r="S11031">
            <v>203003</v>
          </cell>
        </row>
        <row r="11032">
          <cell r="K11032" t="str">
            <v>201011</v>
          </cell>
          <cell r="M11032">
            <v>2</v>
          </cell>
          <cell r="R11032">
            <v>45908</v>
          </cell>
          <cell r="S11032">
            <v>201011</v>
          </cell>
        </row>
        <row r="11033">
          <cell r="K11033" t="str">
            <v>226001</v>
          </cell>
          <cell r="M11033">
            <v>2</v>
          </cell>
          <cell r="R11033">
            <v>45908</v>
          </cell>
          <cell r="S11033">
            <v>226001</v>
          </cell>
        </row>
        <row r="11034">
          <cell r="K11034" t="str">
            <v>213006</v>
          </cell>
          <cell r="M11034">
            <v>5</v>
          </cell>
          <cell r="R11034">
            <v>45908</v>
          </cell>
          <cell r="S11034">
            <v>213006</v>
          </cell>
        </row>
        <row r="11035">
          <cell r="K11035" t="str">
            <v>201011</v>
          </cell>
          <cell r="M11035">
            <v>6</v>
          </cell>
          <cell r="R11035">
            <v>45908</v>
          </cell>
          <cell r="S11035">
            <v>201011</v>
          </cell>
        </row>
        <row r="11036">
          <cell r="K11036" t="str">
            <v>228001</v>
          </cell>
          <cell r="M11036">
            <v>1</v>
          </cell>
          <cell r="R11036">
            <v>45908</v>
          </cell>
          <cell r="S11036">
            <v>228001</v>
          </cell>
        </row>
        <row r="11037">
          <cell r="K11037" t="str">
            <v>226024</v>
          </cell>
          <cell r="M11037">
            <v>1</v>
          </cell>
          <cell r="R11037">
            <v>45908</v>
          </cell>
          <cell r="S11037">
            <v>226024</v>
          </cell>
        </row>
        <row r="11038">
          <cell r="K11038" t="str">
            <v>227012</v>
          </cell>
          <cell r="M11038">
            <v>1</v>
          </cell>
          <cell r="R11038">
            <v>45908</v>
          </cell>
          <cell r="S11038">
            <v>227012</v>
          </cell>
        </row>
        <row r="11039">
          <cell r="K11039" t="str">
            <v>213005</v>
          </cell>
          <cell r="M11039">
            <v>1</v>
          </cell>
          <cell r="R11039">
            <v>45908</v>
          </cell>
          <cell r="S11039">
            <v>213005</v>
          </cell>
        </row>
        <row r="11040">
          <cell r="K11040" t="str">
            <v>201011</v>
          </cell>
          <cell r="M11040">
            <v>72</v>
          </cell>
          <cell r="R11040">
            <v>45908</v>
          </cell>
          <cell r="S11040">
            <v>201011</v>
          </cell>
        </row>
        <row r="11041">
          <cell r="K11041" t="str">
            <v>226001</v>
          </cell>
          <cell r="M11041">
            <v>2</v>
          </cell>
          <cell r="R11041">
            <v>45908</v>
          </cell>
          <cell r="S11041">
            <v>226001</v>
          </cell>
        </row>
        <row r="11042">
          <cell r="K11042" t="str">
            <v>231010</v>
          </cell>
          <cell r="M11042">
            <v>5</v>
          </cell>
          <cell r="R11042">
            <v>45908</v>
          </cell>
          <cell r="S11042">
            <v>231010</v>
          </cell>
        </row>
        <row r="11043">
          <cell r="K11043" t="str">
            <v>227012</v>
          </cell>
          <cell r="M11043">
            <v>4</v>
          </cell>
          <cell r="R11043">
            <v>45908</v>
          </cell>
          <cell r="S11043">
            <v>227012</v>
          </cell>
        </row>
        <row r="11044">
          <cell r="K11044" t="str">
            <v>212035</v>
          </cell>
          <cell r="M11044">
            <v>1</v>
          </cell>
          <cell r="R11044">
            <v>45908</v>
          </cell>
          <cell r="S11044">
            <v>212035</v>
          </cell>
        </row>
        <row r="11045">
          <cell r="K11045" t="str">
            <v>217020</v>
          </cell>
          <cell r="M11045">
            <v>1</v>
          </cell>
          <cell r="R11045">
            <v>45908</v>
          </cell>
          <cell r="S11045">
            <v>217020</v>
          </cell>
        </row>
        <row r="11046">
          <cell r="K11046" t="str">
            <v>228001</v>
          </cell>
          <cell r="M11046">
            <v>15</v>
          </cell>
          <cell r="R11046">
            <v>45908</v>
          </cell>
          <cell r="S11046">
            <v>228001</v>
          </cell>
        </row>
        <row r="11047">
          <cell r="K11047" t="str">
            <v>201011</v>
          </cell>
          <cell r="M11047">
            <v>6</v>
          </cell>
          <cell r="R11047">
            <v>45908</v>
          </cell>
          <cell r="S11047">
            <v>201011</v>
          </cell>
        </row>
        <row r="11048">
          <cell r="K11048" t="str">
            <v>217020</v>
          </cell>
          <cell r="M11048">
            <v>1</v>
          </cell>
          <cell r="R11048">
            <v>45908</v>
          </cell>
          <cell r="S11048">
            <v>217020</v>
          </cell>
        </row>
        <row r="11049">
          <cell r="K11049" t="str">
            <v>228001</v>
          </cell>
          <cell r="M11049">
            <v>4</v>
          </cell>
          <cell r="R11049">
            <v>45908</v>
          </cell>
          <cell r="S11049">
            <v>228001</v>
          </cell>
        </row>
        <row r="11050">
          <cell r="K11050" t="str">
            <v>228001</v>
          </cell>
          <cell r="M11050">
            <v>1</v>
          </cell>
          <cell r="R11050">
            <v>45908</v>
          </cell>
          <cell r="S11050">
            <v>228001</v>
          </cell>
        </row>
        <row r="11051">
          <cell r="K11051" t="str">
            <v>231012</v>
          </cell>
          <cell r="M11051">
            <v>4</v>
          </cell>
          <cell r="R11051">
            <v>45908</v>
          </cell>
          <cell r="S11051">
            <v>231012</v>
          </cell>
        </row>
        <row r="11052">
          <cell r="K11052" t="str">
            <v>222001</v>
          </cell>
          <cell r="M11052">
            <v>5</v>
          </cell>
          <cell r="R11052">
            <v>45908</v>
          </cell>
          <cell r="S11052">
            <v>222001</v>
          </cell>
        </row>
        <row r="11053">
          <cell r="K11053" t="str">
            <v>261004</v>
          </cell>
          <cell r="M11053">
            <v>1</v>
          </cell>
          <cell r="R11053">
            <v>45908</v>
          </cell>
          <cell r="S11053">
            <v>261004</v>
          </cell>
        </row>
        <row r="11054">
          <cell r="K11054" t="str">
            <v>241001</v>
          </cell>
          <cell r="M11054">
            <v>3</v>
          </cell>
          <cell r="R11054">
            <v>45908</v>
          </cell>
          <cell r="S11054">
            <v>241001</v>
          </cell>
        </row>
        <row r="11055">
          <cell r="K11055" t="str">
            <v>217022</v>
          </cell>
          <cell r="M11055">
            <v>5</v>
          </cell>
          <cell r="R11055">
            <v>45908</v>
          </cell>
          <cell r="S11055">
            <v>217022</v>
          </cell>
        </row>
        <row r="11056">
          <cell r="K11056" t="str">
            <v>201011</v>
          </cell>
          <cell r="M11056">
            <v>5</v>
          </cell>
          <cell r="R11056">
            <v>45908</v>
          </cell>
          <cell r="S11056">
            <v>201011</v>
          </cell>
        </row>
        <row r="11057">
          <cell r="K11057" t="str">
            <v>217018</v>
          </cell>
          <cell r="M11057">
            <v>5</v>
          </cell>
          <cell r="R11057">
            <v>45908</v>
          </cell>
          <cell r="S11057">
            <v>217018</v>
          </cell>
        </row>
        <row r="11058">
          <cell r="K11058" t="str">
            <v>261004</v>
          </cell>
          <cell r="M11058">
            <v>1</v>
          </cell>
          <cell r="R11058">
            <v>45908</v>
          </cell>
          <cell r="S11058">
            <v>261004</v>
          </cell>
        </row>
        <row r="11059">
          <cell r="K11059" t="str">
            <v>213024</v>
          </cell>
          <cell r="M11059">
            <v>2</v>
          </cell>
          <cell r="R11059">
            <v>45908</v>
          </cell>
          <cell r="S11059">
            <v>213024</v>
          </cell>
        </row>
        <row r="11060">
          <cell r="K11060" t="str">
            <v>241001</v>
          </cell>
          <cell r="M11060">
            <v>8</v>
          </cell>
          <cell r="R11060">
            <v>45908</v>
          </cell>
          <cell r="S11060">
            <v>241001</v>
          </cell>
        </row>
        <row r="11061">
          <cell r="K11061" t="str">
            <v>201011</v>
          </cell>
          <cell r="M11061">
            <v>2</v>
          </cell>
          <cell r="R11061">
            <v>45908</v>
          </cell>
          <cell r="S11061">
            <v>201011</v>
          </cell>
        </row>
        <row r="11062">
          <cell r="K11062" t="str">
            <v>217022</v>
          </cell>
          <cell r="M11062">
            <v>1</v>
          </cell>
          <cell r="R11062">
            <v>45908</v>
          </cell>
          <cell r="S11062">
            <v>217022</v>
          </cell>
        </row>
        <row r="11063">
          <cell r="K11063" t="str">
            <v>229003</v>
          </cell>
          <cell r="M11063">
            <v>1</v>
          </cell>
          <cell r="R11063">
            <v>45908</v>
          </cell>
          <cell r="S11063">
            <v>229003</v>
          </cell>
        </row>
        <row r="11064">
          <cell r="K11064" t="str">
            <v>227012</v>
          </cell>
          <cell r="M11064">
            <v>2</v>
          </cell>
          <cell r="R11064">
            <v>45908</v>
          </cell>
          <cell r="S11064">
            <v>227012</v>
          </cell>
        </row>
        <row r="11065">
          <cell r="K11065" t="str">
            <v>223002</v>
          </cell>
          <cell r="M11065">
            <v>3</v>
          </cell>
          <cell r="R11065">
            <v>45908</v>
          </cell>
          <cell r="S11065">
            <v>223002</v>
          </cell>
        </row>
        <row r="11066">
          <cell r="K11066" t="str">
            <v>210010</v>
          </cell>
          <cell r="M11066">
            <v>1</v>
          </cell>
          <cell r="R11066">
            <v>45908</v>
          </cell>
          <cell r="S11066">
            <v>210010</v>
          </cell>
        </row>
        <row r="11067">
          <cell r="K11067" t="str">
            <v>226027</v>
          </cell>
          <cell r="M11067">
            <v>2</v>
          </cell>
          <cell r="R11067">
            <v>45908</v>
          </cell>
          <cell r="S11067">
            <v>226027</v>
          </cell>
        </row>
        <row r="11068">
          <cell r="K11068" t="str">
            <v>226022</v>
          </cell>
          <cell r="M11068">
            <v>1</v>
          </cell>
          <cell r="R11068">
            <v>45908</v>
          </cell>
          <cell r="S11068">
            <v>226022</v>
          </cell>
        </row>
        <row r="11069">
          <cell r="K11069" t="str">
            <v>201011</v>
          </cell>
          <cell r="M11069">
            <v>3</v>
          </cell>
          <cell r="R11069">
            <v>45908</v>
          </cell>
          <cell r="S11069">
            <v>201011</v>
          </cell>
        </row>
        <row r="11070">
          <cell r="K11070" t="str">
            <v>228001</v>
          </cell>
          <cell r="M11070">
            <v>5</v>
          </cell>
          <cell r="R11070">
            <v>45908</v>
          </cell>
          <cell r="S11070">
            <v>228001</v>
          </cell>
        </row>
        <row r="11071">
          <cell r="K11071" t="str">
            <v>234001</v>
          </cell>
          <cell r="M11071">
            <v>1</v>
          </cell>
          <cell r="R11071">
            <v>45908</v>
          </cell>
          <cell r="S11071">
            <v>234001</v>
          </cell>
        </row>
        <row r="11072">
          <cell r="K11072" t="str">
            <v>222001</v>
          </cell>
          <cell r="M11072">
            <v>1</v>
          </cell>
          <cell r="R11072">
            <v>45908</v>
          </cell>
          <cell r="S11072">
            <v>222001</v>
          </cell>
        </row>
        <row r="11073">
          <cell r="K11073" t="str">
            <v>203001</v>
          </cell>
          <cell r="M11073">
            <v>4</v>
          </cell>
          <cell r="R11073">
            <v>45908</v>
          </cell>
          <cell r="S11073">
            <v>203001</v>
          </cell>
        </row>
        <row r="11074">
          <cell r="K11074" t="str">
            <v>227012</v>
          </cell>
          <cell r="M11074">
            <v>2</v>
          </cell>
          <cell r="R11074">
            <v>45908</v>
          </cell>
          <cell r="S11074">
            <v>227012</v>
          </cell>
        </row>
        <row r="11075">
          <cell r="K11075" t="str">
            <v>228001</v>
          </cell>
          <cell r="M11075">
            <v>1</v>
          </cell>
          <cell r="R11075">
            <v>45908</v>
          </cell>
          <cell r="S11075">
            <v>228001</v>
          </cell>
        </row>
        <row r="11076">
          <cell r="K11076" t="str">
            <v>231012</v>
          </cell>
          <cell r="M11076">
            <v>1</v>
          </cell>
          <cell r="R11076">
            <v>45908</v>
          </cell>
          <cell r="S11076">
            <v>231012</v>
          </cell>
        </row>
        <row r="11077">
          <cell r="K11077" t="str">
            <v>227012</v>
          </cell>
          <cell r="M11077">
            <v>1</v>
          </cell>
          <cell r="R11077">
            <v>45908</v>
          </cell>
          <cell r="S11077">
            <v>227012</v>
          </cell>
        </row>
        <row r="11078">
          <cell r="K11078" t="str">
            <v>209004</v>
          </cell>
          <cell r="M11078">
            <v>1</v>
          </cell>
          <cell r="R11078">
            <v>45908</v>
          </cell>
          <cell r="S11078">
            <v>209004</v>
          </cell>
        </row>
        <row r="11079">
          <cell r="K11079" t="str">
            <v>226001</v>
          </cell>
          <cell r="M11079">
            <v>1</v>
          </cell>
          <cell r="R11079">
            <v>45908</v>
          </cell>
          <cell r="S11079">
            <v>226001</v>
          </cell>
        </row>
        <row r="11080">
          <cell r="K11080" t="str">
            <v>213002</v>
          </cell>
          <cell r="M11080">
            <v>2</v>
          </cell>
          <cell r="R11080">
            <v>45908</v>
          </cell>
          <cell r="S11080">
            <v>213002</v>
          </cell>
        </row>
        <row r="11081">
          <cell r="K11081" t="str">
            <v>227012</v>
          </cell>
          <cell r="M11081">
            <v>2</v>
          </cell>
          <cell r="R11081">
            <v>45908</v>
          </cell>
          <cell r="S11081">
            <v>227012</v>
          </cell>
        </row>
        <row r="11082">
          <cell r="K11082" t="str">
            <v>234011</v>
          </cell>
          <cell r="M11082">
            <v>1</v>
          </cell>
          <cell r="R11082">
            <v>45908</v>
          </cell>
          <cell r="S11082">
            <v>234011</v>
          </cell>
        </row>
        <row r="11083">
          <cell r="K11083" t="str">
            <v>234001</v>
          </cell>
          <cell r="M11083">
            <v>1</v>
          </cell>
          <cell r="R11083">
            <v>45908</v>
          </cell>
          <cell r="S11083">
            <v>234001</v>
          </cell>
        </row>
        <row r="11084">
          <cell r="K11084" t="str">
            <v>205004</v>
          </cell>
          <cell r="M11084">
            <v>1</v>
          </cell>
          <cell r="R11084">
            <v>45908</v>
          </cell>
          <cell r="S11084">
            <v>205004</v>
          </cell>
        </row>
        <row r="11085">
          <cell r="K11085" t="str">
            <v>228001</v>
          </cell>
          <cell r="M11085">
            <v>2</v>
          </cell>
          <cell r="R11085">
            <v>45908</v>
          </cell>
          <cell r="S11085">
            <v>228001</v>
          </cell>
        </row>
        <row r="11086">
          <cell r="K11086" t="str">
            <v>201003</v>
          </cell>
          <cell r="M11086">
            <v>1</v>
          </cell>
          <cell r="R11086">
            <v>45908</v>
          </cell>
          <cell r="S11086">
            <v>201003</v>
          </cell>
        </row>
        <row r="11087">
          <cell r="K11087" t="str">
            <v>231012</v>
          </cell>
          <cell r="M11087">
            <v>1</v>
          </cell>
          <cell r="R11087">
            <v>45908</v>
          </cell>
          <cell r="S11087">
            <v>231012</v>
          </cell>
        </row>
        <row r="11088">
          <cell r="K11088" t="str">
            <v>201003</v>
          </cell>
          <cell r="M11088">
            <v>1</v>
          </cell>
          <cell r="R11088">
            <v>45908</v>
          </cell>
          <cell r="S11088">
            <v>201003</v>
          </cell>
        </row>
        <row r="11089">
          <cell r="K11089" t="str">
            <v>203001</v>
          </cell>
          <cell r="M11089">
            <v>1</v>
          </cell>
          <cell r="R11089">
            <v>45908</v>
          </cell>
          <cell r="S11089">
            <v>203001</v>
          </cell>
        </row>
        <row r="11090">
          <cell r="K11090" t="str">
            <v>212002</v>
          </cell>
          <cell r="M11090">
            <v>1</v>
          </cell>
          <cell r="R11090">
            <v>45908</v>
          </cell>
          <cell r="S11090">
            <v>212002</v>
          </cell>
        </row>
        <row r="11091">
          <cell r="K11091" t="str">
            <v>207017</v>
          </cell>
          <cell r="M11091">
            <v>1</v>
          </cell>
          <cell r="R11091">
            <v>45908</v>
          </cell>
          <cell r="S11091">
            <v>207017</v>
          </cell>
        </row>
        <row r="11092">
          <cell r="K11092" t="str">
            <v>228001</v>
          </cell>
          <cell r="M11092">
            <v>2</v>
          </cell>
          <cell r="R11092">
            <v>45908</v>
          </cell>
          <cell r="S11092">
            <v>228001</v>
          </cell>
        </row>
        <row r="11093">
          <cell r="K11093" t="str">
            <v>228001</v>
          </cell>
          <cell r="M11093">
            <v>1</v>
          </cell>
          <cell r="R11093">
            <v>45908</v>
          </cell>
          <cell r="S11093">
            <v>228001</v>
          </cell>
        </row>
        <row r="11094">
          <cell r="K11094" t="str">
            <v>203001</v>
          </cell>
          <cell r="M11094">
            <v>4</v>
          </cell>
          <cell r="R11094">
            <v>45908</v>
          </cell>
          <cell r="S11094">
            <v>203001</v>
          </cell>
        </row>
        <row r="11095">
          <cell r="K11095" t="str">
            <v>209001</v>
          </cell>
          <cell r="M11095">
            <v>3</v>
          </cell>
          <cell r="R11095">
            <v>45908</v>
          </cell>
          <cell r="S11095">
            <v>209001</v>
          </cell>
        </row>
        <row r="11096">
          <cell r="K11096" t="str">
            <v>223002</v>
          </cell>
          <cell r="M11096">
            <v>7</v>
          </cell>
          <cell r="R11096">
            <v>45908</v>
          </cell>
          <cell r="S11096">
            <v>223002</v>
          </cell>
        </row>
        <row r="11097">
          <cell r="K11097" t="str">
            <v>220002</v>
          </cell>
          <cell r="M11097">
            <v>2</v>
          </cell>
          <cell r="R11097">
            <v>45909</v>
          </cell>
          <cell r="S11097">
            <v>220002</v>
          </cell>
        </row>
        <row r="11098">
          <cell r="K11098" t="str">
            <v>217018</v>
          </cell>
          <cell r="M11098">
            <v>1</v>
          </cell>
          <cell r="R11098">
            <v>45909</v>
          </cell>
          <cell r="S11098">
            <v>217018</v>
          </cell>
        </row>
        <row r="11099">
          <cell r="K11099" t="str">
            <v>228001</v>
          </cell>
          <cell r="M11099">
            <v>3</v>
          </cell>
          <cell r="R11099">
            <v>45909</v>
          </cell>
          <cell r="S11099">
            <v>228001</v>
          </cell>
        </row>
        <row r="11100">
          <cell r="K11100" t="str">
            <v>227001</v>
          </cell>
          <cell r="M11100">
            <v>2</v>
          </cell>
          <cell r="R11100">
            <v>45909</v>
          </cell>
          <cell r="S11100">
            <v>227001</v>
          </cell>
        </row>
        <row r="11101">
          <cell r="K11101" t="str">
            <v>213002</v>
          </cell>
          <cell r="M11101">
            <v>4</v>
          </cell>
          <cell r="R11101">
            <v>45909</v>
          </cell>
          <cell r="S11101">
            <v>213002</v>
          </cell>
        </row>
        <row r="11102">
          <cell r="K11102" t="str">
            <v>231004</v>
          </cell>
          <cell r="M11102">
            <v>1</v>
          </cell>
          <cell r="R11102">
            <v>45909</v>
          </cell>
          <cell r="S11102">
            <v>231004</v>
          </cell>
        </row>
        <row r="11103">
          <cell r="K11103" t="str">
            <v>234001</v>
          </cell>
          <cell r="M11103">
            <v>1</v>
          </cell>
          <cell r="R11103">
            <v>45909</v>
          </cell>
          <cell r="S11103">
            <v>234001</v>
          </cell>
        </row>
        <row r="11104">
          <cell r="K11104" t="str">
            <v>212035</v>
          </cell>
          <cell r="M11104">
            <v>4</v>
          </cell>
          <cell r="R11104">
            <v>45909</v>
          </cell>
          <cell r="S11104">
            <v>212035</v>
          </cell>
        </row>
        <row r="11105">
          <cell r="K11105" t="str">
            <v>209004</v>
          </cell>
          <cell r="M11105">
            <v>3</v>
          </cell>
          <cell r="R11105">
            <v>45909</v>
          </cell>
          <cell r="S11105">
            <v>209004</v>
          </cell>
        </row>
        <row r="11106">
          <cell r="K11106" t="str">
            <v>217018</v>
          </cell>
          <cell r="M11106">
            <v>1</v>
          </cell>
          <cell r="R11106">
            <v>45909</v>
          </cell>
          <cell r="S11106">
            <v>217018</v>
          </cell>
        </row>
        <row r="11107">
          <cell r="K11107" t="str">
            <v>229003</v>
          </cell>
          <cell r="M11107">
            <v>1</v>
          </cell>
          <cell r="R11107">
            <v>45909</v>
          </cell>
          <cell r="S11107">
            <v>229003</v>
          </cell>
        </row>
        <row r="11108">
          <cell r="K11108" t="str">
            <v>213002</v>
          </cell>
          <cell r="M11108">
            <v>5</v>
          </cell>
          <cell r="R11108">
            <v>45909</v>
          </cell>
          <cell r="S11108">
            <v>213002</v>
          </cell>
        </row>
        <row r="11109">
          <cell r="K11109" t="str">
            <v>226024</v>
          </cell>
          <cell r="M11109">
            <v>1</v>
          </cell>
          <cell r="R11109">
            <v>45909</v>
          </cell>
          <cell r="S11109">
            <v>226024</v>
          </cell>
        </row>
        <row r="11110">
          <cell r="K11110" t="str">
            <v>207002</v>
          </cell>
          <cell r="M11110">
            <v>1</v>
          </cell>
          <cell r="R11110">
            <v>45909</v>
          </cell>
          <cell r="S11110">
            <v>207002</v>
          </cell>
        </row>
        <row r="11111">
          <cell r="K11111" t="str">
            <v>203003</v>
          </cell>
          <cell r="M11111">
            <v>1</v>
          </cell>
          <cell r="R11111">
            <v>45909</v>
          </cell>
          <cell r="S11111">
            <v>203003</v>
          </cell>
        </row>
        <row r="11112">
          <cell r="K11112" t="str">
            <v>231012</v>
          </cell>
          <cell r="M11112">
            <v>1</v>
          </cell>
          <cell r="R11112">
            <v>45909</v>
          </cell>
          <cell r="S11112">
            <v>231012</v>
          </cell>
        </row>
        <row r="11113">
          <cell r="K11113" t="str">
            <v>226001</v>
          </cell>
          <cell r="M11113">
            <v>4</v>
          </cell>
          <cell r="R11113">
            <v>45909</v>
          </cell>
          <cell r="S11113">
            <v>226001</v>
          </cell>
        </row>
        <row r="11114">
          <cell r="K11114" t="str">
            <v>231008</v>
          </cell>
          <cell r="M11114">
            <v>1</v>
          </cell>
          <cell r="R11114">
            <v>45909</v>
          </cell>
          <cell r="S11114">
            <v>231008</v>
          </cell>
        </row>
        <row r="11115">
          <cell r="K11115" t="str">
            <v>226001</v>
          </cell>
          <cell r="M11115">
            <v>1</v>
          </cell>
          <cell r="R11115">
            <v>45909</v>
          </cell>
          <cell r="S11115">
            <v>226001</v>
          </cell>
        </row>
        <row r="11116">
          <cell r="K11116" t="str">
            <v>206002</v>
          </cell>
          <cell r="M11116">
            <v>1</v>
          </cell>
          <cell r="R11116">
            <v>45909</v>
          </cell>
          <cell r="S11116">
            <v>206002</v>
          </cell>
        </row>
        <row r="11117">
          <cell r="K11117" t="str">
            <v>203004</v>
          </cell>
          <cell r="M11117">
            <v>1</v>
          </cell>
          <cell r="R11117">
            <v>45909</v>
          </cell>
          <cell r="S11117">
            <v>203004</v>
          </cell>
        </row>
        <row r="11118">
          <cell r="K11118" t="str">
            <v>207017</v>
          </cell>
          <cell r="M11118">
            <v>1</v>
          </cell>
          <cell r="R11118">
            <v>45909</v>
          </cell>
          <cell r="S11118">
            <v>207017</v>
          </cell>
        </row>
        <row r="11119">
          <cell r="K11119" t="str">
            <v>208001</v>
          </cell>
          <cell r="M11119">
            <v>1</v>
          </cell>
          <cell r="R11119">
            <v>45909</v>
          </cell>
          <cell r="S11119">
            <v>208001</v>
          </cell>
        </row>
        <row r="11120">
          <cell r="K11120" t="str">
            <v>206002</v>
          </cell>
          <cell r="M11120">
            <v>1</v>
          </cell>
          <cell r="R11120">
            <v>45909</v>
          </cell>
          <cell r="S11120">
            <v>206002</v>
          </cell>
        </row>
        <row r="11121">
          <cell r="K11121" t="str">
            <v>231012</v>
          </cell>
          <cell r="M11121">
            <v>1</v>
          </cell>
          <cell r="R11121">
            <v>45909</v>
          </cell>
          <cell r="S11121">
            <v>231012</v>
          </cell>
        </row>
        <row r="11122">
          <cell r="K11122" t="str">
            <v>234011</v>
          </cell>
          <cell r="M11122">
            <v>1</v>
          </cell>
          <cell r="R11122">
            <v>45909</v>
          </cell>
          <cell r="S11122">
            <v>234011</v>
          </cell>
        </row>
        <row r="11123">
          <cell r="K11123" t="str">
            <v>201011</v>
          </cell>
          <cell r="M11123">
            <v>3</v>
          </cell>
          <cell r="R11123">
            <v>45909</v>
          </cell>
          <cell r="S11123">
            <v>201011</v>
          </cell>
        </row>
        <row r="11124">
          <cell r="K11124" t="str">
            <v>222001</v>
          </cell>
          <cell r="M11124">
            <v>1</v>
          </cell>
          <cell r="R11124">
            <v>45909</v>
          </cell>
          <cell r="S11124">
            <v>222001</v>
          </cell>
        </row>
        <row r="11125">
          <cell r="K11125" t="str">
            <v>210013</v>
          </cell>
          <cell r="M11125">
            <v>1</v>
          </cell>
          <cell r="R11125">
            <v>45909</v>
          </cell>
          <cell r="S11125">
            <v>210013</v>
          </cell>
        </row>
        <row r="11126">
          <cell r="K11126" t="str">
            <v>201003</v>
          </cell>
          <cell r="M11126">
            <v>2</v>
          </cell>
          <cell r="R11126">
            <v>45909</v>
          </cell>
          <cell r="S11126">
            <v>201003</v>
          </cell>
        </row>
        <row r="11127">
          <cell r="K11127" t="str">
            <v>212035</v>
          </cell>
          <cell r="M11127">
            <v>1</v>
          </cell>
          <cell r="R11127">
            <v>45909</v>
          </cell>
          <cell r="S11127">
            <v>212035</v>
          </cell>
        </row>
        <row r="11128">
          <cell r="K11128" t="str">
            <v>203003</v>
          </cell>
          <cell r="M11128">
            <v>3</v>
          </cell>
          <cell r="R11128">
            <v>45909</v>
          </cell>
          <cell r="S11128">
            <v>203003</v>
          </cell>
        </row>
        <row r="11129">
          <cell r="K11129" t="str">
            <v>228001</v>
          </cell>
          <cell r="M11129">
            <v>1</v>
          </cell>
          <cell r="R11129">
            <v>45909</v>
          </cell>
          <cell r="S11129">
            <v>228001</v>
          </cell>
        </row>
        <row r="11130">
          <cell r="K11130" t="str">
            <v>217019</v>
          </cell>
          <cell r="M11130">
            <v>1</v>
          </cell>
          <cell r="R11130">
            <v>45909</v>
          </cell>
          <cell r="S11130">
            <v>217019</v>
          </cell>
        </row>
        <row r="11131">
          <cell r="K11131" t="str">
            <v>231010</v>
          </cell>
          <cell r="M11131">
            <v>1</v>
          </cell>
          <cell r="R11131">
            <v>45909</v>
          </cell>
          <cell r="S11131">
            <v>231010</v>
          </cell>
        </row>
        <row r="11132">
          <cell r="K11132" t="str">
            <v>228001</v>
          </cell>
          <cell r="M11132">
            <v>2</v>
          </cell>
          <cell r="R11132">
            <v>45908</v>
          </cell>
          <cell r="S11132">
            <v>228001</v>
          </cell>
        </row>
        <row r="11133">
          <cell r="K11133" t="str">
            <v>212035</v>
          </cell>
          <cell r="M11133">
            <v>3</v>
          </cell>
          <cell r="R11133">
            <v>45908</v>
          </cell>
          <cell r="S11133">
            <v>212035</v>
          </cell>
        </row>
        <row r="11134">
          <cell r="K11134" t="str">
            <v>209012</v>
          </cell>
          <cell r="M11134">
            <v>1</v>
          </cell>
          <cell r="R11134">
            <v>45908</v>
          </cell>
          <cell r="S11134">
            <v>209012</v>
          </cell>
        </row>
        <row r="11135">
          <cell r="K11135" t="str">
            <v>231012</v>
          </cell>
          <cell r="M11135">
            <v>1</v>
          </cell>
          <cell r="R11135">
            <v>45908</v>
          </cell>
          <cell r="S11135">
            <v>231012</v>
          </cell>
        </row>
        <row r="11136">
          <cell r="K11136" t="str">
            <v>217018</v>
          </cell>
          <cell r="M11136">
            <v>60</v>
          </cell>
          <cell r="R11136">
            <v>45909</v>
          </cell>
          <cell r="S11136">
            <v>217018</v>
          </cell>
        </row>
        <row r="11137">
          <cell r="K11137" t="str">
            <v>237001</v>
          </cell>
          <cell r="M11137">
            <v>1</v>
          </cell>
          <cell r="R11137">
            <v>45909</v>
          </cell>
          <cell r="S11137">
            <v>237001</v>
          </cell>
        </row>
        <row r="11138">
          <cell r="K11138" t="str">
            <v>213006</v>
          </cell>
          <cell r="M11138">
            <v>1</v>
          </cell>
          <cell r="R11138">
            <v>45907</v>
          </cell>
          <cell r="S11138">
            <v>213006</v>
          </cell>
        </row>
        <row r="11139">
          <cell r="K11139" t="str">
            <v>223002</v>
          </cell>
          <cell r="M11139">
            <v>1</v>
          </cell>
          <cell r="R11139">
            <v>45907</v>
          </cell>
          <cell r="S11139">
            <v>223002</v>
          </cell>
        </row>
        <row r="11140">
          <cell r="K11140" t="str">
            <v>213006</v>
          </cell>
          <cell r="M11140">
            <v>1</v>
          </cell>
          <cell r="R11140">
            <v>45908</v>
          </cell>
          <cell r="S11140">
            <v>213006</v>
          </cell>
        </row>
        <row r="11141">
          <cell r="K11141" t="str">
            <v>201011</v>
          </cell>
          <cell r="M11141">
            <v>3</v>
          </cell>
          <cell r="R11141">
            <v>45908</v>
          </cell>
          <cell r="S11141">
            <v>201011</v>
          </cell>
        </row>
        <row r="11142">
          <cell r="K11142" t="str">
            <v>231012</v>
          </cell>
          <cell r="M11142">
            <v>1</v>
          </cell>
          <cell r="R11142">
            <v>45909</v>
          </cell>
          <cell r="S11142">
            <v>231012</v>
          </cell>
        </row>
        <row r="11143">
          <cell r="K11143" t="str">
            <v>210001</v>
          </cell>
          <cell r="M11143">
            <v>2</v>
          </cell>
          <cell r="R11143">
            <v>45909</v>
          </cell>
          <cell r="S11143">
            <v>210001</v>
          </cell>
        </row>
        <row r="11144">
          <cell r="K11144" t="str">
            <v>201011</v>
          </cell>
          <cell r="M11144">
            <v>6</v>
          </cell>
          <cell r="R11144">
            <v>45909</v>
          </cell>
          <cell r="S11144">
            <v>201011</v>
          </cell>
        </row>
        <row r="11145">
          <cell r="K11145" t="str">
            <v>231004</v>
          </cell>
          <cell r="M11145">
            <v>1</v>
          </cell>
          <cell r="R11145">
            <v>45910</v>
          </cell>
          <cell r="S11145">
            <v>231004</v>
          </cell>
        </row>
        <row r="11146">
          <cell r="K11146" t="str">
            <v>228001</v>
          </cell>
          <cell r="M11146">
            <v>2</v>
          </cell>
          <cell r="R11146">
            <v>45910</v>
          </cell>
          <cell r="S11146">
            <v>228001</v>
          </cell>
        </row>
        <row r="11147">
          <cell r="K11147" t="str">
            <v>237001</v>
          </cell>
          <cell r="M11147">
            <v>1</v>
          </cell>
          <cell r="R11147">
            <v>45910</v>
          </cell>
          <cell r="S11147">
            <v>237001</v>
          </cell>
        </row>
        <row r="11148">
          <cell r="K11148" t="str">
            <v>223002</v>
          </cell>
          <cell r="M11148">
            <v>10</v>
          </cell>
          <cell r="R11148">
            <v>45910</v>
          </cell>
          <cell r="S11148">
            <v>223002</v>
          </cell>
        </row>
        <row r="11149">
          <cell r="K11149" t="str">
            <v>227012</v>
          </cell>
          <cell r="M11149">
            <v>1</v>
          </cell>
          <cell r="R11149">
            <v>45910</v>
          </cell>
          <cell r="S11149">
            <v>227012</v>
          </cell>
        </row>
        <row r="11150">
          <cell r="K11150" t="str">
            <v>223003</v>
          </cell>
          <cell r="M11150">
            <v>14</v>
          </cell>
          <cell r="R11150">
            <v>45910</v>
          </cell>
          <cell r="S11150">
            <v>223003</v>
          </cell>
        </row>
        <row r="11151">
          <cell r="K11151" t="str">
            <v>217022</v>
          </cell>
          <cell r="M11151">
            <v>10</v>
          </cell>
          <cell r="R11151">
            <v>45910</v>
          </cell>
          <cell r="S11151">
            <v>217022</v>
          </cell>
        </row>
        <row r="11152">
          <cell r="K11152" t="str">
            <v>201011</v>
          </cell>
          <cell r="M11152">
            <v>1</v>
          </cell>
          <cell r="R11152">
            <v>45909</v>
          </cell>
          <cell r="S11152">
            <v>201011</v>
          </cell>
        </row>
        <row r="11153">
          <cell r="K11153" t="str">
            <v>201022</v>
          </cell>
          <cell r="M11153">
            <v>1</v>
          </cell>
          <cell r="R11153">
            <v>45909</v>
          </cell>
          <cell r="S11153">
            <v>201022</v>
          </cell>
        </row>
        <row r="11154">
          <cell r="K11154" t="str">
            <v>227001</v>
          </cell>
          <cell r="M11154">
            <v>2</v>
          </cell>
          <cell r="R11154">
            <v>45909</v>
          </cell>
          <cell r="S11154">
            <v>227001</v>
          </cell>
        </row>
        <row r="11155">
          <cell r="K11155" t="str">
            <v>241001</v>
          </cell>
          <cell r="M11155">
            <v>2</v>
          </cell>
          <cell r="R11155">
            <v>45909</v>
          </cell>
          <cell r="S11155">
            <v>241001</v>
          </cell>
        </row>
        <row r="11156">
          <cell r="K11156" t="str">
            <v>271002</v>
          </cell>
          <cell r="M11156">
            <v>1</v>
          </cell>
          <cell r="R11156">
            <v>45909</v>
          </cell>
          <cell r="S11156">
            <v>271002</v>
          </cell>
        </row>
        <row r="11157">
          <cell r="K11157" t="str">
            <v>231004</v>
          </cell>
          <cell r="M11157">
            <v>1</v>
          </cell>
          <cell r="R11157">
            <v>45909</v>
          </cell>
          <cell r="S11157">
            <v>231004</v>
          </cell>
        </row>
        <row r="11158">
          <cell r="K11158" t="str">
            <v>201011</v>
          </cell>
          <cell r="M11158">
            <v>35</v>
          </cell>
          <cell r="R11158">
            <v>45908</v>
          </cell>
          <cell r="S11158">
            <v>201011</v>
          </cell>
        </row>
        <row r="11159">
          <cell r="K11159" t="str">
            <v>228001</v>
          </cell>
          <cell r="M11159">
            <v>60</v>
          </cell>
          <cell r="R11159">
            <v>45910</v>
          </cell>
          <cell r="S11159">
            <v>228001</v>
          </cell>
        </row>
        <row r="11160">
          <cell r="K11160" t="str">
            <v>237001</v>
          </cell>
          <cell r="M11160">
            <v>1</v>
          </cell>
          <cell r="R11160">
            <v>45910</v>
          </cell>
          <cell r="S11160">
            <v>237001</v>
          </cell>
        </row>
        <row r="11161">
          <cell r="K11161" t="str">
            <v>201011</v>
          </cell>
          <cell r="M11161">
            <v>6</v>
          </cell>
          <cell r="R11161">
            <v>45910</v>
          </cell>
          <cell r="S11161">
            <v>201011</v>
          </cell>
        </row>
        <row r="11162">
          <cell r="K11162" t="str">
            <v>209001</v>
          </cell>
          <cell r="M11162">
            <v>2</v>
          </cell>
          <cell r="R11162">
            <v>45910</v>
          </cell>
          <cell r="S11162">
            <v>209001</v>
          </cell>
        </row>
        <row r="11163">
          <cell r="K11163" t="str">
            <v>223001</v>
          </cell>
          <cell r="M11163">
            <v>1</v>
          </cell>
          <cell r="R11163">
            <v>45910</v>
          </cell>
          <cell r="S11163">
            <v>223001</v>
          </cell>
        </row>
        <row r="11164">
          <cell r="K11164" t="str">
            <v>223002</v>
          </cell>
          <cell r="M11164">
            <v>2</v>
          </cell>
          <cell r="R11164">
            <v>45910</v>
          </cell>
          <cell r="S11164">
            <v>223002</v>
          </cell>
        </row>
        <row r="11165">
          <cell r="K11165" t="str">
            <v>231012</v>
          </cell>
          <cell r="M11165">
            <v>1</v>
          </cell>
          <cell r="R11165">
            <v>45910</v>
          </cell>
          <cell r="S11165">
            <v>231012</v>
          </cell>
        </row>
        <row r="11166">
          <cell r="K11166" t="str">
            <v>212035</v>
          </cell>
          <cell r="M11166">
            <v>1</v>
          </cell>
          <cell r="R11166">
            <v>45910</v>
          </cell>
          <cell r="S11166">
            <v>212035</v>
          </cell>
        </row>
        <row r="11167">
          <cell r="K11167" t="str">
            <v>213006</v>
          </cell>
          <cell r="M11167">
            <v>1</v>
          </cell>
          <cell r="R11167">
            <v>45910</v>
          </cell>
          <cell r="S11167">
            <v>213006</v>
          </cell>
        </row>
        <row r="11168">
          <cell r="K11168" t="str">
            <v>231012</v>
          </cell>
          <cell r="M11168">
            <v>1</v>
          </cell>
          <cell r="R11168">
            <v>45910</v>
          </cell>
          <cell r="S11168">
            <v>231012</v>
          </cell>
        </row>
        <row r="11169">
          <cell r="K11169" t="str">
            <v>207017</v>
          </cell>
          <cell r="M11169">
            <v>2</v>
          </cell>
          <cell r="R11169">
            <v>45910</v>
          </cell>
          <cell r="S11169">
            <v>207017</v>
          </cell>
        </row>
        <row r="11170">
          <cell r="K11170" t="str">
            <v>203001</v>
          </cell>
          <cell r="M11170">
            <v>1</v>
          </cell>
          <cell r="R11170">
            <v>45910</v>
          </cell>
          <cell r="S11170">
            <v>203001</v>
          </cell>
        </row>
        <row r="11171">
          <cell r="K11171" t="str">
            <v>201011</v>
          </cell>
          <cell r="M11171">
            <v>3</v>
          </cell>
          <cell r="R11171">
            <v>45910</v>
          </cell>
          <cell r="S11171">
            <v>201011</v>
          </cell>
        </row>
        <row r="11172">
          <cell r="K11172" t="str">
            <v>213006</v>
          </cell>
          <cell r="M11172">
            <v>6</v>
          </cell>
          <cell r="R11172">
            <v>45910</v>
          </cell>
          <cell r="S11172">
            <v>213006</v>
          </cell>
        </row>
        <row r="11173">
          <cell r="K11173" t="str">
            <v>223002</v>
          </cell>
          <cell r="M11173">
            <v>2</v>
          </cell>
          <cell r="R11173">
            <v>45910</v>
          </cell>
          <cell r="S11173">
            <v>223002</v>
          </cell>
        </row>
        <row r="11174">
          <cell r="K11174" t="str">
            <v>201011</v>
          </cell>
          <cell r="M11174">
            <v>14</v>
          </cell>
          <cell r="R11174">
            <v>45910</v>
          </cell>
          <cell r="S11174">
            <v>201011</v>
          </cell>
        </row>
        <row r="11175">
          <cell r="K11175" t="str">
            <v>213024</v>
          </cell>
          <cell r="M11175">
            <v>2</v>
          </cell>
          <cell r="R11175">
            <v>45910</v>
          </cell>
          <cell r="S11175">
            <v>213024</v>
          </cell>
        </row>
        <row r="11176">
          <cell r="K11176" t="str">
            <v>231012</v>
          </cell>
          <cell r="M11176">
            <v>1</v>
          </cell>
          <cell r="R11176">
            <v>45910</v>
          </cell>
          <cell r="S11176">
            <v>231012</v>
          </cell>
        </row>
        <row r="11177">
          <cell r="K11177" t="str">
            <v>201011</v>
          </cell>
          <cell r="M11177">
            <v>1</v>
          </cell>
          <cell r="R11177">
            <v>45910</v>
          </cell>
          <cell r="S11177">
            <v>201011</v>
          </cell>
        </row>
        <row r="11178">
          <cell r="K11178" t="str">
            <v>227014</v>
          </cell>
          <cell r="M11178">
            <v>1</v>
          </cell>
          <cell r="R11178">
            <v>45910</v>
          </cell>
          <cell r="S11178">
            <v>227014</v>
          </cell>
        </row>
        <row r="11179">
          <cell r="K11179" t="str">
            <v>231012</v>
          </cell>
          <cell r="M11179">
            <v>1</v>
          </cell>
          <cell r="R11179">
            <v>45910</v>
          </cell>
          <cell r="S11179">
            <v>231012</v>
          </cell>
        </row>
        <row r="11180">
          <cell r="K11180" t="str">
            <v>231010</v>
          </cell>
          <cell r="M11180">
            <v>1</v>
          </cell>
          <cell r="R11180">
            <v>45910</v>
          </cell>
          <cell r="S11180">
            <v>231010</v>
          </cell>
        </row>
        <row r="11181">
          <cell r="K11181" t="str">
            <v>228001</v>
          </cell>
          <cell r="M11181">
            <v>1</v>
          </cell>
          <cell r="R11181">
            <v>45910</v>
          </cell>
          <cell r="S11181">
            <v>228001</v>
          </cell>
        </row>
        <row r="11182">
          <cell r="K11182" t="str">
            <v>237001</v>
          </cell>
          <cell r="M11182">
            <v>1</v>
          </cell>
          <cell r="R11182">
            <v>45910</v>
          </cell>
          <cell r="S11182">
            <v>237001</v>
          </cell>
        </row>
        <row r="11183">
          <cell r="K11183" t="str">
            <v>237001</v>
          </cell>
          <cell r="M11183">
            <v>1</v>
          </cell>
          <cell r="R11183">
            <v>45910</v>
          </cell>
          <cell r="S11183">
            <v>237001</v>
          </cell>
        </row>
        <row r="11184">
          <cell r="K11184" t="str">
            <v>201011</v>
          </cell>
          <cell r="M11184">
            <v>1</v>
          </cell>
          <cell r="R11184">
            <v>45910</v>
          </cell>
          <cell r="S11184">
            <v>201011</v>
          </cell>
        </row>
        <row r="11185">
          <cell r="K11185" t="str">
            <v>223001</v>
          </cell>
          <cell r="M11185">
            <v>1</v>
          </cell>
          <cell r="R11185">
            <v>45910</v>
          </cell>
          <cell r="S11185">
            <v>223001</v>
          </cell>
        </row>
        <row r="11186">
          <cell r="K11186" t="str">
            <v>223002</v>
          </cell>
          <cell r="M11186">
            <v>1</v>
          </cell>
          <cell r="R11186">
            <v>45910</v>
          </cell>
          <cell r="S11186">
            <v>223002</v>
          </cell>
        </row>
        <row r="11187">
          <cell r="K11187" t="str">
            <v>228001</v>
          </cell>
          <cell r="M11187">
            <v>8</v>
          </cell>
          <cell r="R11187">
            <v>45910</v>
          </cell>
          <cell r="S11187">
            <v>228001</v>
          </cell>
        </row>
        <row r="11188">
          <cell r="K11188" t="str">
            <v>241001</v>
          </cell>
          <cell r="M11188">
            <v>30</v>
          </cell>
          <cell r="R11188">
            <v>45910</v>
          </cell>
          <cell r="S11188">
            <v>241001</v>
          </cell>
        </row>
        <row r="11189">
          <cell r="K11189" t="str">
            <v>227014</v>
          </cell>
          <cell r="M11189">
            <v>4</v>
          </cell>
          <cell r="R11189">
            <v>45910</v>
          </cell>
          <cell r="S11189">
            <v>227014</v>
          </cell>
        </row>
        <row r="11190">
          <cell r="K11190" t="str">
            <v>223001</v>
          </cell>
          <cell r="M11190">
            <v>5</v>
          </cell>
          <cell r="R11190">
            <v>45910</v>
          </cell>
          <cell r="S11190">
            <v>223001</v>
          </cell>
        </row>
        <row r="11191">
          <cell r="K11191" t="str">
            <v>201021</v>
          </cell>
          <cell r="M11191">
            <v>1</v>
          </cell>
          <cell r="R11191">
            <v>45910</v>
          </cell>
          <cell r="S11191">
            <v>201021</v>
          </cell>
        </row>
        <row r="11192">
          <cell r="K11192" t="str">
            <v>201011</v>
          </cell>
          <cell r="M11192">
            <v>6</v>
          </cell>
          <cell r="R11192">
            <v>45910</v>
          </cell>
          <cell r="S11192">
            <v>201011</v>
          </cell>
        </row>
        <row r="11193">
          <cell r="K11193" t="str">
            <v>217018</v>
          </cell>
          <cell r="M11193">
            <v>1</v>
          </cell>
          <cell r="R11193">
            <v>45910</v>
          </cell>
          <cell r="S11193">
            <v>217018</v>
          </cell>
        </row>
        <row r="11194">
          <cell r="K11194" t="str">
            <v>237001</v>
          </cell>
          <cell r="M11194">
            <v>2</v>
          </cell>
          <cell r="R11194">
            <v>45911</v>
          </cell>
          <cell r="S11194">
            <v>237001</v>
          </cell>
        </row>
        <row r="11195">
          <cell r="K11195" t="str">
            <v>227002</v>
          </cell>
          <cell r="M11195">
            <v>2</v>
          </cell>
          <cell r="R11195">
            <v>45911</v>
          </cell>
          <cell r="S11195">
            <v>227002</v>
          </cell>
        </row>
        <row r="11196">
          <cell r="K11196" t="str">
            <v>228001</v>
          </cell>
          <cell r="M11196">
            <v>3</v>
          </cell>
          <cell r="R11196">
            <v>45910</v>
          </cell>
          <cell r="S11196">
            <v>228001</v>
          </cell>
        </row>
        <row r="11197">
          <cell r="K11197" t="str">
            <v>207017</v>
          </cell>
          <cell r="M11197">
            <v>1</v>
          </cell>
          <cell r="R11197">
            <v>45910</v>
          </cell>
          <cell r="S11197">
            <v>207017</v>
          </cell>
        </row>
        <row r="11198">
          <cell r="K11198" t="str">
            <v>231012</v>
          </cell>
          <cell r="M11198">
            <v>1</v>
          </cell>
          <cell r="R11198">
            <v>45910</v>
          </cell>
          <cell r="S11198">
            <v>231012</v>
          </cell>
        </row>
        <row r="11199">
          <cell r="K11199" t="str">
            <v>203001</v>
          </cell>
          <cell r="M11199">
            <v>1</v>
          </cell>
          <cell r="R11199">
            <v>45910</v>
          </cell>
          <cell r="S11199">
            <v>203001</v>
          </cell>
        </row>
        <row r="11200">
          <cell r="K11200" t="str">
            <v>209004</v>
          </cell>
          <cell r="M11200">
            <v>1</v>
          </cell>
          <cell r="R11200">
            <v>45910</v>
          </cell>
          <cell r="S11200">
            <v>209004</v>
          </cell>
        </row>
        <row r="11201">
          <cell r="K11201" t="str">
            <v>223001</v>
          </cell>
          <cell r="M11201">
            <v>4</v>
          </cell>
          <cell r="R11201">
            <v>45911</v>
          </cell>
          <cell r="S11201">
            <v>223001</v>
          </cell>
        </row>
        <row r="11202">
          <cell r="K11202" t="str">
            <v>223002</v>
          </cell>
          <cell r="M11202">
            <v>1</v>
          </cell>
          <cell r="R11202">
            <v>45911</v>
          </cell>
          <cell r="S11202">
            <v>223002</v>
          </cell>
        </row>
        <row r="11203">
          <cell r="K11203" t="str">
            <v>201021</v>
          </cell>
          <cell r="M11203">
            <v>3</v>
          </cell>
          <cell r="R11203">
            <v>45911</v>
          </cell>
          <cell r="S11203">
            <v>201021</v>
          </cell>
        </row>
        <row r="11204">
          <cell r="K11204" t="str">
            <v>209001</v>
          </cell>
          <cell r="M11204">
            <v>1</v>
          </cell>
          <cell r="R11204">
            <v>45911</v>
          </cell>
          <cell r="S11204">
            <v>209001</v>
          </cell>
        </row>
        <row r="11205">
          <cell r="K11205" t="str">
            <v>223001</v>
          </cell>
          <cell r="M11205">
            <v>12</v>
          </cell>
          <cell r="R11205">
            <v>45910</v>
          </cell>
          <cell r="S11205">
            <v>223001</v>
          </cell>
        </row>
        <row r="11206">
          <cell r="K11206" t="str">
            <v>229001</v>
          </cell>
          <cell r="M11206">
            <v>15</v>
          </cell>
          <cell r="R11206">
            <v>45911</v>
          </cell>
          <cell r="S11206">
            <v>229001</v>
          </cell>
        </row>
        <row r="11207">
          <cell r="K11207" t="str">
            <v>228001</v>
          </cell>
          <cell r="M11207">
            <v>6</v>
          </cell>
          <cell r="R11207">
            <v>45911</v>
          </cell>
          <cell r="S11207">
            <v>228001</v>
          </cell>
        </row>
        <row r="11208">
          <cell r="K11208" t="str">
            <v>217018</v>
          </cell>
          <cell r="M11208">
            <v>15</v>
          </cell>
          <cell r="R11208">
            <v>45911</v>
          </cell>
          <cell r="S11208">
            <v>217018</v>
          </cell>
        </row>
        <row r="11209">
          <cell r="K11209" t="str">
            <v>226001</v>
          </cell>
          <cell r="M11209">
            <v>6</v>
          </cell>
          <cell r="R11209">
            <v>45911</v>
          </cell>
          <cell r="S11209">
            <v>226001</v>
          </cell>
        </row>
        <row r="11210">
          <cell r="K11210" t="str">
            <v>201011</v>
          </cell>
          <cell r="M11210">
            <v>10</v>
          </cell>
          <cell r="R11210">
            <v>45911</v>
          </cell>
          <cell r="S11210">
            <v>201011</v>
          </cell>
        </row>
        <row r="11211">
          <cell r="K11211" t="str">
            <v>228001</v>
          </cell>
          <cell r="M11211">
            <v>2</v>
          </cell>
          <cell r="R11211">
            <v>45911</v>
          </cell>
          <cell r="S11211">
            <v>228001</v>
          </cell>
        </row>
        <row r="11212">
          <cell r="K11212" t="str">
            <v>212035</v>
          </cell>
          <cell r="M11212">
            <v>5</v>
          </cell>
          <cell r="R11212">
            <v>45911</v>
          </cell>
          <cell r="S11212">
            <v>212035</v>
          </cell>
        </row>
        <row r="11213">
          <cell r="K11213" t="str">
            <v>226001</v>
          </cell>
          <cell r="M11213">
            <v>1</v>
          </cell>
          <cell r="R11213">
            <v>45910</v>
          </cell>
          <cell r="S11213">
            <v>226001</v>
          </cell>
        </row>
        <row r="11214">
          <cell r="K11214" t="str">
            <v>223002</v>
          </cell>
          <cell r="M11214">
            <v>8</v>
          </cell>
          <cell r="R11214">
            <v>45907</v>
          </cell>
          <cell r="S11214">
            <v>223002</v>
          </cell>
        </row>
        <row r="11215">
          <cell r="K11215" t="str">
            <v>228001</v>
          </cell>
          <cell r="M11215">
            <v>12</v>
          </cell>
          <cell r="R11215">
            <v>45911</v>
          </cell>
          <cell r="S11215">
            <v>228001</v>
          </cell>
        </row>
        <row r="11216">
          <cell r="K11216" t="str">
            <v>226024</v>
          </cell>
          <cell r="M11216">
            <v>4</v>
          </cell>
          <cell r="R11216">
            <v>45911</v>
          </cell>
          <cell r="S11216">
            <v>226024</v>
          </cell>
        </row>
        <row r="11217">
          <cell r="K11217" t="str">
            <v>228001</v>
          </cell>
          <cell r="M11217">
            <v>2</v>
          </cell>
          <cell r="R11217">
            <v>45911</v>
          </cell>
          <cell r="S11217">
            <v>228001</v>
          </cell>
        </row>
        <row r="11218">
          <cell r="K11218" t="str">
            <v>228001</v>
          </cell>
          <cell r="M11218">
            <v>2</v>
          </cell>
          <cell r="R11218">
            <v>45911</v>
          </cell>
          <cell r="S11218">
            <v>228001</v>
          </cell>
        </row>
        <row r="11219">
          <cell r="K11219" t="str">
            <v>217022</v>
          </cell>
          <cell r="M11219">
            <v>5</v>
          </cell>
          <cell r="R11219">
            <v>45911</v>
          </cell>
          <cell r="S11219">
            <v>217022</v>
          </cell>
        </row>
        <row r="11220">
          <cell r="K11220" t="str">
            <v>217018</v>
          </cell>
          <cell r="M11220">
            <v>5</v>
          </cell>
          <cell r="R11220">
            <v>45911</v>
          </cell>
          <cell r="S11220">
            <v>217018</v>
          </cell>
        </row>
        <row r="11221">
          <cell r="K11221" t="str">
            <v>223002</v>
          </cell>
          <cell r="M11221">
            <v>3</v>
          </cell>
          <cell r="R11221">
            <v>45911</v>
          </cell>
          <cell r="S11221">
            <v>223002</v>
          </cell>
        </row>
        <row r="11222">
          <cell r="K11222" t="str">
            <v>222001</v>
          </cell>
          <cell r="M11222">
            <v>1</v>
          </cell>
          <cell r="R11222">
            <v>45911</v>
          </cell>
          <cell r="S11222">
            <v>222001</v>
          </cell>
        </row>
        <row r="11223">
          <cell r="K11223" t="str">
            <v>210013</v>
          </cell>
          <cell r="M11223">
            <v>1</v>
          </cell>
          <cell r="R11223">
            <v>45911</v>
          </cell>
          <cell r="S11223">
            <v>210013</v>
          </cell>
        </row>
        <row r="11224">
          <cell r="K11224" t="str">
            <v>223002</v>
          </cell>
          <cell r="M11224">
            <v>2</v>
          </cell>
          <cell r="R11224">
            <v>45911</v>
          </cell>
          <cell r="S11224">
            <v>223002</v>
          </cell>
        </row>
        <row r="11225">
          <cell r="K11225" t="str">
            <v>217011</v>
          </cell>
          <cell r="M11225">
            <v>2</v>
          </cell>
          <cell r="R11225">
            <v>45911</v>
          </cell>
          <cell r="S11225">
            <v>217011</v>
          </cell>
        </row>
        <row r="11226">
          <cell r="K11226" t="str">
            <v>231012</v>
          </cell>
          <cell r="M11226">
            <v>1</v>
          </cell>
          <cell r="R11226">
            <v>45911</v>
          </cell>
          <cell r="S11226">
            <v>231012</v>
          </cell>
        </row>
        <row r="11227">
          <cell r="K11227" t="str">
            <v>223002</v>
          </cell>
          <cell r="M11227">
            <v>2</v>
          </cell>
          <cell r="R11227">
            <v>45911</v>
          </cell>
          <cell r="S11227">
            <v>223002</v>
          </cell>
        </row>
        <row r="11228">
          <cell r="K11228" t="str">
            <v>237001</v>
          </cell>
          <cell r="M11228">
            <v>2</v>
          </cell>
          <cell r="R11228">
            <v>45911</v>
          </cell>
          <cell r="S11228">
            <v>237001</v>
          </cell>
        </row>
        <row r="11229">
          <cell r="K11229" t="str">
            <v>217019</v>
          </cell>
          <cell r="M11229">
            <v>5</v>
          </cell>
          <cell r="R11229">
            <v>45911</v>
          </cell>
          <cell r="S11229">
            <v>217019</v>
          </cell>
        </row>
        <row r="11230">
          <cell r="K11230" t="str">
            <v>217011</v>
          </cell>
          <cell r="M11230">
            <v>2</v>
          </cell>
          <cell r="R11230">
            <v>45911</v>
          </cell>
          <cell r="S11230">
            <v>217011</v>
          </cell>
        </row>
        <row r="11231">
          <cell r="K11231" t="str">
            <v>213002</v>
          </cell>
          <cell r="M11231">
            <v>15</v>
          </cell>
          <cell r="R11231">
            <v>45911</v>
          </cell>
          <cell r="S11231">
            <v>213002</v>
          </cell>
        </row>
        <row r="11232">
          <cell r="K11232" t="str">
            <v>203001</v>
          </cell>
          <cell r="M11232">
            <v>1</v>
          </cell>
          <cell r="R11232">
            <v>45911</v>
          </cell>
          <cell r="S11232">
            <v>203001</v>
          </cell>
        </row>
        <row r="11233">
          <cell r="K11233" t="str">
            <v>223002</v>
          </cell>
          <cell r="M11233">
            <v>4</v>
          </cell>
          <cell r="R11233">
            <v>45911</v>
          </cell>
          <cell r="S11233">
            <v>223002</v>
          </cell>
        </row>
        <row r="11234">
          <cell r="K11234" t="str">
            <v>201011</v>
          </cell>
          <cell r="M11234">
            <v>1</v>
          </cell>
          <cell r="R11234">
            <v>45911</v>
          </cell>
          <cell r="S11234">
            <v>201011</v>
          </cell>
        </row>
        <row r="11235">
          <cell r="K11235" t="str">
            <v>228001</v>
          </cell>
          <cell r="M11235">
            <v>1</v>
          </cell>
          <cell r="R11235">
            <v>45911</v>
          </cell>
          <cell r="S11235">
            <v>228001</v>
          </cell>
        </row>
        <row r="11236">
          <cell r="K11236" t="str">
            <v>209004</v>
          </cell>
          <cell r="M11236">
            <v>1</v>
          </cell>
          <cell r="R11236">
            <v>45911</v>
          </cell>
          <cell r="S11236">
            <v>209004</v>
          </cell>
        </row>
        <row r="11237">
          <cell r="K11237" t="str">
            <v>209017</v>
          </cell>
          <cell r="M11237">
            <v>1</v>
          </cell>
          <cell r="R11237">
            <v>45911</v>
          </cell>
          <cell r="S11237">
            <v>209017</v>
          </cell>
        </row>
        <row r="11238">
          <cell r="K11238" t="str">
            <v>234001</v>
          </cell>
          <cell r="M11238">
            <v>1</v>
          </cell>
          <cell r="R11238">
            <v>45911</v>
          </cell>
          <cell r="S11238">
            <v>234001</v>
          </cell>
        </row>
        <row r="11239">
          <cell r="K11239" t="str">
            <v>241001</v>
          </cell>
          <cell r="M11239">
            <v>1</v>
          </cell>
          <cell r="R11239">
            <v>45911</v>
          </cell>
          <cell r="S11239">
            <v>241001</v>
          </cell>
        </row>
        <row r="11240">
          <cell r="K11240" t="str">
            <v>217018</v>
          </cell>
          <cell r="M11240">
            <v>1</v>
          </cell>
          <cell r="R11240">
            <v>45911</v>
          </cell>
          <cell r="S11240">
            <v>217018</v>
          </cell>
        </row>
        <row r="11241">
          <cell r="K11241" t="str">
            <v>201011</v>
          </cell>
          <cell r="M11241">
            <v>1</v>
          </cell>
          <cell r="R11241">
            <v>45911</v>
          </cell>
          <cell r="S11241">
            <v>201011</v>
          </cell>
        </row>
        <row r="11242">
          <cell r="K11242" t="str">
            <v>210013</v>
          </cell>
          <cell r="M11242">
            <v>2</v>
          </cell>
          <cell r="R11242">
            <v>45911</v>
          </cell>
          <cell r="S11242">
            <v>210013</v>
          </cell>
        </row>
        <row r="11243">
          <cell r="K11243" t="str">
            <v>220002</v>
          </cell>
          <cell r="M11243">
            <v>5</v>
          </cell>
          <cell r="R11243">
            <v>45911</v>
          </cell>
          <cell r="S11243">
            <v>220002</v>
          </cell>
        </row>
        <row r="11244">
          <cell r="K11244" t="str">
            <v>201003</v>
          </cell>
          <cell r="M11244">
            <v>2</v>
          </cell>
          <cell r="R11244">
            <v>45911</v>
          </cell>
          <cell r="S11244">
            <v>201003</v>
          </cell>
        </row>
        <row r="11245">
          <cell r="K11245" t="str">
            <v>241001</v>
          </cell>
          <cell r="M11245">
            <v>4</v>
          </cell>
          <cell r="R11245">
            <v>45911</v>
          </cell>
          <cell r="S11245">
            <v>241001</v>
          </cell>
        </row>
        <row r="11246">
          <cell r="K11246" t="str">
            <v>227012</v>
          </cell>
          <cell r="M11246">
            <v>1</v>
          </cell>
          <cell r="R11246">
            <v>45911</v>
          </cell>
          <cell r="S11246">
            <v>227012</v>
          </cell>
        </row>
        <row r="11247">
          <cell r="K11247" t="str">
            <v>223002</v>
          </cell>
          <cell r="M11247">
            <v>3</v>
          </cell>
          <cell r="R11247">
            <v>45911</v>
          </cell>
          <cell r="S11247">
            <v>223002</v>
          </cell>
        </row>
        <row r="11248">
          <cell r="K11248" t="str">
            <v>223001</v>
          </cell>
          <cell r="M11248">
            <v>3</v>
          </cell>
          <cell r="R11248">
            <v>45911</v>
          </cell>
          <cell r="S11248">
            <v>223001</v>
          </cell>
        </row>
        <row r="11249">
          <cell r="K11249" t="str">
            <v>207017</v>
          </cell>
          <cell r="M11249">
            <v>1</v>
          </cell>
          <cell r="R11249">
            <v>45911</v>
          </cell>
          <cell r="S11249">
            <v>207017</v>
          </cell>
        </row>
        <row r="11250">
          <cell r="K11250" t="str">
            <v>231012</v>
          </cell>
          <cell r="M11250">
            <v>1</v>
          </cell>
          <cell r="R11250">
            <v>45911</v>
          </cell>
          <cell r="S11250">
            <v>231012</v>
          </cell>
        </row>
        <row r="11251">
          <cell r="K11251" t="str">
            <v>229003</v>
          </cell>
          <cell r="M11251">
            <v>1</v>
          </cell>
          <cell r="R11251">
            <v>45911</v>
          </cell>
          <cell r="S11251">
            <v>229003</v>
          </cell>
        </row>
        <row r="11252">
          <cell r="K11252" t="str">
            <v>218001</v>
          </cell>
          <cell r="M11252">
            <v>1</v>
          </cell>
          <cell r="R11252">
            <v>45911</v>
          </cell>
          <cell r="S11252">
            <v>218001</v>
          </cell>
        </row>
        <row r="11253">
          <cell r="K11253" t="str">
            <v>213005</v>
          </cell>
          <cell r="M11253">
            <v>1</v>
          </cell>
          <cell r="R11253">
            <v>45911</v>
          </cell>
          <cell r="S11253">
            <v>213005</v>
          </cell>
        </row>
        <row r="11254">
          <cell r="K11254" t="str">
            <v>217020</v>
          </cell>
          <cell r="M11254">
            <v>2</v>
          </cell>
          <cell r="R11254">
            <v>45911</v>
          </cell>
          <cell r="S11254">
            <v>217020</v>
          </cell>
        </row>
        <row r="11255">
          <cell r="K11255" t="str">
            <v>217019</v>
          </cell>
          <cell r="M11255">
            <v>3</v>
          </cell>
          <cell r="R11255">
            <v>45911</v>
          </cell>
          <cell r="S11255">
            <v>217019</v>
          </cell>
        </row>
        <row r="11256">
          <cell r="K11256" t="str">
            <v>201004</v>
          </cell>
          <cell r="M11256">
            <v>2</v>
          </cell>
          <cell r="R11256">
            <v>45911</v>
          </cell>
          <cell r="S11256">
            <v>201004</v>
          </cell>
        </row>
        <row r="11257">
          <cell r="K11257" t="str">
            <v>227002</v>
          </cell>
          <cell r="M11257">
            <v>1</v>
          </cell>
          <cell r="R11257">
            <v>45911</v>
          </cell>
          <cell r="S11257">
            <v>227002</v>
          </cell>
        </row>
        <row r="11258">
          <cell r="K11258" t="str">
            <v>217022</v>
          </cell>
          <cell r="M11258">
            <v>1</v>
          </cell>
          <cell r="R11258">
            <v>45911</v>
          </cell>
          <cell r="S11258">
            <v>217022</v>
          </cell>
        </row>
        <row r="11259">
          <cell r="K11259" t="str">
            <v>201011</v>
          </cell>
          <cell r="M11259">
            <v>4</v>
          </cell>
          <cell r="R11259">
            <v>45911</v>
          </cell>
          <cell r="S11259">
            <v>201011</v>
          </cell>
        </row>
        <row r="11260">
          <cell r="K11260" t="str">
            <v>241001</v>
          </cell>
          <cell r="M11260">
            <v>2</v>
          </cell>
          <cell r="R11260">
            <v>45911</v>
          </cell>
          <cell r="S11260">
            <v>241001</v>
          </cell>
        </row>
        <row r="11261">
          <cell r="K11261" t="str">
            <v>234011</v>
          </cell>
          <cell r="M11261">
            <v>1</v>
          </cell>
          <cell r="R11261">
            <v>45911</v>
          </cell>
          <cell r="S11261">
            <v>234011</v>
          </cell>
        </row>
        <row r="11262">
          <cell r="K11262" t="str">
            <v>203003</v>
          </cell>
          <cell r="M11262">
            <v>1</v>
          </cell>
          <cell r="R11262">
            <v>45911</v>
          </cell>
          <cell r="S11262">
            <v>203003</v>
          </cell>
        </row>
        <row r="11263">
          <cell r="K11263" t="str">
            <v>213002</v>
          </cell>
          <cell r="M11263">
            <v>1</v>
          </cell>
          <cell r="R11263">
            <v>45911</v>
          </cell>
          <cell r="S11263">
            <v>213002</v>
          </cell>
        </row>
        <row r="11264">
          <cell r="K11264" t="str">
            <v>203003</v>
          </cell>
          <cell r="M11264">
            <v>2</v>
          </cell>
          <cell r="R11264">
            <v>45911</v>
          </cell>
          <cell r="S11264">
            <v>203003</v>
          </cell>
        </row>
        <row r="11265">
          <cell r="K11265" t="str">
            <v>213005</v>
          </cell>
          <cell r="M11265">
            <v>2</v>
          </cell>
          <cell r="R11265">
            <v>45911</v>
          </cell>
          <cell r="S11265">
            <v>213005</v>
          </cell>
        </row>
        <row r="11266">
          <cell r="K11266" t="str">
            <v>210001</v>
          </cell>
          <cell r="M11266">
            <v>2</v>
          </cell>
          <cell r="R11266">
            <v>45911</v>
          </cell>
          <cell r="S11266">
            <v>210001</v>
          </cell>
        </row>
        <row r="11267">
          <cell r="K11267" t="str">
            <v>222001</v>
          </cell>
          <cell r="M11267">
            <v>5</v>
          </cell>
          <cell r="R11267">
            <v>45911</v>
          </cell>
          <cell r="S11267">
            <v>222001</v>
          </cell>
        </row>
        <row r="11268">
          <cell r="K11268" t="str">
            <v>241001</v>
          </cell>
          <cell r="M11268">
            <v>4</v>
          </cell>
          <cell r="R11268">
            <v>45911</v>
          </cell>
          <cell r="S11268">
            <v>241001</v>
          </cell>
        </row>
        <row r="11269">
          <cell r="K11269" t="str">
            <v>213005</v>
          </cell>
          <cell r="M11269">
            <v>1</v>
          </cell>
          <cell r="R11269">
            <v>45911</v>
          </cell>
          <cell r="S11269">
            <v>213005</v>
          </cell>
        </row>
        <row r="11270">
          <cell r="K11270" t="str">
            <v>229003</v>
          </cell>
          <cell r="M11270">
            <v>4</v>
          </cell>
          <cell r="R11270">
            <v>45912</v>
          </cell>
          <cell r="S11270">
            <v>229003</v>
          </cell>
        </row>
        <row r="11271">
          <cell r="K11271" t="str">
            <v>220002</v>
          </cell>
          <cell r="M11271">
            <v>2</v>
          </cell>
          <cell r="R11271">
            <v>45912</v>
          </cell>
          <cell r="S11271">
            <v>220002</v>
          </cell>
        </row>
        <row r="11272">
          <cell r="K11272" t="str">
            <v>217018</v>
          </cell>
          <cell r="M11272">
            <v>2</v>
          </cell>
          <cell r="R11272">
            <v>45911</v>
          </cell>
          <cell r="S11272">
            <v>217018</v>
          </cell>
        </row>
        <row r="11273">
          <cell r="K11273" t="str">
            <v>213002</v>
          </cell>
          <cell r="M11273">
            <v>2</v>
          </cell>
          <cell r="R11273">
            <v>45912</v>
          </cell>
          <cell r="S11273">
            <v>213002</v>
          </cell>
        </row>
        <row r="11274">
          <cell r="K11274" t="str">
            <v>206002</v>
          </cell>
          <cell r="M11274">
            <v>1</v>
          </cell>
          <cell r="R11274">
            <v>45911</v>
          </cell>
          <cell r="S11274">
            <v>206002</v>
          </cell>
        </row>
        <row r="11275">
          <cell r="K11275" t="str">
            <v>208001</v>
          </cell>
          <cell r="M11275">
            <v>1</v>
          </cell>
          <cell r="R11275">
            <v>45911</v>
          </cell>
          <cell r="S11275">
            <v>208001</v>
          </cell>
        </row>
        <row r="11276">
          <cell r="K11276" t="str">
            <v>209004</v>
          </cell>
          <cell r="M11276">
            <v>1</v>
          </cell>
          <cell r="R11276">
            <v>45911</v>
          </cell>
          <cell r="S11276">
            <v>209004</v>
          </cell>
        </row>
        <row r="11277">
          <cell r="K11277" t="str">
            <v>223003</v>
          </cell>
          <cell r="M11277">
            <v>5</v>
          </cell>
          <cell r="R11277">
            <v>45912</v>
          </cell>
          <cell r="S11277">
            <v>223003</v>
          </cell>
        </row>
        <row r="11278">
          <cell r="K11278" t="str">
            <v>207017</v>
          </cell>
          <cell r="M11278">
            <v>1</v>
          </cell>
          <cell r="R11278">
            <v>45911</v>
          </cell>
          <cell r="S11278">
            <v>207017</v>
          </cell>
        </row>
        <row r="11279">
          <cell r="K11279" t="str">
            <v>212002</v>
          </cell>
          <cell r="M11279">
            <v>1</v>
          </cell>
          <cell r="R11279">
            <v>45911</v>
          </cell>
          <cell r="S11279">
            <v>212002</v>
          </cell>
        </row>
        <row r="11280">
          <cell r="K11280" t="str">
            <v>209004</v>
          </cell>
          <cell r="M11280">
            <v>1</v>
          </cell>
          <cell r="R11280">
            <v>45911</v>
          </cell>
          <cell r="S11280">
            <v>209004</v>
          </cell>
        </row>
        <row r="11281">
          <cell r="K11281" t="str">
            <v>213005</v>
          </cell>
          <cell r="M11281">
            <v>1</v>
          </cell>
          <cell r="R11281">
            <v>45911</v>
          </cell>
          <cell r="S11281">
            <v>213005</v>
          </cell>
        </row>
        <row r="11282">
          <cell r="K11282" t="str">
            <v>223002</v>
          </cell>
          <cell r="M11282">
            <v>5</v>
          </cell>
          <cell r="R11282">
            <v>45912</v>
          </cell>
          <cell r="S11282">
            <v>223002</v>
          </cell>
        </row>
        <row r="11283">
          <cell r="K11283" t="str">
            <v>223001</v>
          </cell>
          <cell r="M11283">
            <v>8</v>
          </cell>
          <cell r="R11283">
            <v>45912</v>
          </cell>
          <cell r="S11283">
            <v>223001</v>
          </cell>
        </row>
        <row r="11284">
          <cell r="K11284" t="str">
            <v>223003</v>
          </cell>
          <cell r="M11284">
            <v>20</v>
          </cell>
          <cell r="R11284">
            <v>45912</v>
          </cell>
          <cell r="S11284">
            <v>223003</v>
          </cell>
        </row>
        <row r="11285">
          <cell r="K11285" t="str">
            <v>201003</v>
          </cell>
          <cell r="M11285">
            <v>1</v>
          </cell>
          <cell r="R11285">
            <v>45911</v>
          </cell>
          <cell r="S11285">
            <v>201003</v>
          </cell>
        </row>
        <row r="11286">
          <cell r="K11286" t="str">
            <v>217021</v>
          </cell>
          <cell r="M11286">
            <v>1</v>
          </cell>
          <cell r="R11286">
            <v>45911</v>
          </cell>
          <cell r="S11286">
            <v>217021</v>
          </cell>
        </row>
        <row r="11287">
          <cell r="K11287" t="str">
            <v>229004</v>
          </cell>
          <cell r="M11287">
            <v>1</v>
          </cell>
          <cell r="R11287">
            <v>45911</v>
          </cell>
          <cell r="S11287">
            <v>229004</v>
          </cell>
        </row>
        <row r="11288">
          <cell r="K11288" t="str">
            <v>208001</v>
          </cell>
          <cell r="M11288">
            <v>1</v>
          </cell>
          <cell r="R11288">
            <v>45911</v>
          </cell>
          <cell r="S11288">
            <v>208001</v>
          </cell>
        </row>
        <row r="11289">
          <cell r="K11289" t="str">
            <v>206002</v>
          </cell>
          <cell r="M11289">
            <v>1</v>
          </cell>
          <cell r="R11289">
            <v>45911</v>
          </cell>
          <cell r="S11289">
            <v>206002</v>
          </cell>
        </row>
        <row r="11290">
          <cell r="K11290" t="str">
            <v>203004</v>
          </cell>
          <cell r="M11290">
            <v>1</v>
          </cell>
          <cell r="R11290">
            <v>45911</v>
          </cell>
          <cell r="S11290">
            <v>203004</v>
          </cell>
        </row>
        <row r="11291">
          <cell r="K11291" t="str">
            <v>218001</v>
          </cell>
          <cell r="M11291">
            <v>1</v>
          </cell>
          <cell r="R11291">
            <v>45911</v>
          </cell>
          <cell r="S11291">
            <v>218001</v>
          </cell>
        </row>
        <row r="11292">
          <cell r="K11292" t="str">
            <v>206006</v>
          </cell>
          <cell r="M11292">
            <v>1</v>
          </cell>
          <cell r="R11292">
            <v>45911</v>
          </cell>
          <cell r="S11292">
            <v>206006</v>
          </cell>
        </row>
        <row r="11293">
          <cell r="K11293" t="str">
            <v>206002</v>
          </cell>
          <cell r="M11293">
            <v>1</v>
          </cell>
          <cell r="R11293">
            <v>45911</v>
          </cell>
          <cell r="S11293">
            <v>206002</v>
          </cell>
        </row>
        <row r="11294">
          <cell r="K11294" t="str">
            <v>208001</v>
          </cell>
          <cell r="M11294">
            <v>1</v>
          </cell>
          <cell r="R11294">
            <v>45911</v>
          </cell>
          <cell r="S11294">
            <v>208001</v>
          </cell>
        </row>
        <row r="11295">
          <cell r="K11295" t="str">
            <v>203004</v>
          </cell>
          <cell r="M11295">
            <v>1</v>
          </cell>
          <cell r="R11295">
            <v>45911</v>
          </cell>
          <cell r="S11295">
            <v>203004</v>
          </cell>
        </row>
        <row r="11296">
          <cell r="K11296" t="str">
            <v>210004</v>
          </cell>
          <cell r="M11296">
            <v>2</v>
          </cell>
          <cell r="R11296">
            <v>45911</v>
          </cell>
          <cell r="S11296">
            <v>210004</v>
          </cell>
        </row>
        <row r="11297">
          <cell r="K11297" t="str">
            <v>218001</v>
          </cell>
          <cell r="M11297">
            <v>2</v>
          </cell>
          <cell r="R11297">
            <v>45911</v>
          </cell>
          <cell r="S11297">
            <v>218001</v>
          </cell>
        </row>
        <row r="11298">
          <cell r="K11298" t="str">
            <v>229004</v>
          </cell>
          <cell r="M11298">
            <v>1</v>
          </cell>
          <cell r="R11298">
            <v>45911</v>
          </cell>
          <cell r="S11298">
            <v>229004</v>
          </cell>
        </row>
        <row r="11299">
          <cell r="K11299" t="str">
            <v>210002</v>
          </cell>
          <cell r="M11299">
            <v>3</v>
          </cell>
          <cell r="R11299">
            <v>45912</v>
          </cell>
          <cell r="S11299">
            <v>210002</v>
          </cell>
        </row>
        <row r="11300">
          <cell r="K11300" t="str">
            <v>213002</v>
          </cell>
          <cell r="M11300">
            <v>6</v>
          </cell>
          <cell r="R11300">
            <v>45912</v>
          </cell>
          <cell r="S11300">
            <v>213002</v>
          </cell>
        </row>
        <row r="11301">
          <cell r="K11301" t="str">
            <v>201011</v>
          </cell>
          <cell r="M11301">
            <v>6</v>
          </cell>
          <cell r="R11301">
            <v>45912</v>
          </cell>
          <cell r="S11301">
            <v>201011</v>
          </cell>
        </row>
        <row r="11302">
          <cell r="K11302" t="str">
            <v>223002</v>
          </cell>
          <cell r="M11302">
            <v>1</v>
          </cell>
          <cell r="R11302">
            <v>45912</v>
          </cell>
          <cell r="S11302">
            <v>223002</v>
          </cell>
        </row>
        <row r="11303">
          <cell r="K11303" t="str">
            <v>212035</v>
          </cell>
          <cell r="M11303">
            <v>2</v>
          </cell>
          <cell r="R11303">
            <v>45912</v>
          </cell>
          <cell r="S11303">
            <v>212035</v>
          </cell>
        </row>
        <row r="11304">
          <cell r="K11304" t="str">
            <v>231012</v>
          </cell>
          <cell r="M11304">
            <v>1</v>
          </cell>
          <cell r="R11304">
            <v>45912</v>
          </cell>
          <cell r="S11304">
            <v>231012</v>
          </cell>
        </row>
        <row r="11305">
          <cell r="K11305" t="str">
            <v>226001</v>
          </cell>
          <cell r="M11305">
            <v>2</v>
          </cell>
          <cell r="R11305">
            <v>45912</v>
          </cell>
          <cell r="S11305">
            <v>226001</v>
          </cell>
        </row>
        <row r="11306">
          <cell r="K11306" t="str">
            <v>212010</v>
          </cell>
          <cell r="M11306">
            <v>5</v>
          </cell>
          <cell r="R11306">
            <v>45912</v>
          </cell>
          <cell r="S11306">
            <v>212010</v>
          </cell>
        </row>
        <row r="11307">
          <cell r="K11307" t="str">
            <v>261004</v>
          </cell>
          <cell r="M11307">
            <v>4</v>
          </cell>
          <cell r="R11307">
            <v>45912</v>
          </cell>
          <cell r="S11307">
            <v>261004</v>
          </cell>
        </row>
        <row r="11308">
          <cell r="K11308" t="str">
            <v>212010</v>
          </cell>
          <cell r="M11308">
            <v>10</v>
          </cell>
          <cell r="R11308">
            <v>45912</v>
          </cell>
          <cell r="S11308">
            <v>212010</v>
          </cell>
        </row>
        <row r="11309">
          <cell r="K11309" t="str">
            <v>223002</v>
          </cell>
          <cell r="M11309">
            <v>3</v>
          </cell>
          <cell r="R11309">
            <v>45912</v>
          </cell>
          <cell r="S11309">
            <v>223002</v>
          </cell>
        </row>
        <row r="11310">
          <cell r="K11310" t="str">
            <v>217022</v>
          </cell>
          <cell r="M11310">
            <v>1</v>
          </cell>
          <cell r="R11310">
            <v>45912</v>
          </cell>
          <cell r="S11310">
            <v>217022</v>
          </cell>
        </row>
        <row r="11311">
          <cell r="K11311" t="str">
            <v>226001</v>
          </cell>
          <cell r="M11311">
            <v>1</v>
          </cell>
          <cell r="R11311">
            <v>45912</v>
          </cell>
          <cell r="S11311">
            <v>226001</v>
          </cell>
        </row>
        <row r="11312">
          <cell r="K11312" t="str">
            <v>226001</v>
          </cell>
          <cell r="M11312">
            <v>1</v>
          </cell>
          <cell r="R11312">
            <v>45912</v>
          </cell>
          <cell r="S11312">
            <v>226001</v>
          </cell>
        </row>
        <row r="11313">
          <cell r="K11313" t="str">
            <v>226001</v>
          </cell>
          <cell r="M11313">
            <v>4</v>
          </cell>
          <cell r="R11313">
            <v>45912</v>
          </cell>
          <cell r="S11313">
            <v>226001</v>
          </cell>
        </row>
        <row r="11314">
          <cell r="K11314" t="str">
            <v>237001</v>
          </cell>
          <cell r="M11314">
            <v>1</v>
          </cell>
          <cell r="R11314">
            <v>45912</v>
          </cell>
          <cell r="S11314">
            <v>237001</v>
          </cell>
        </row>
        <row r="11315">
          <cell r="K11315" t="str">
            <v>231012</v>
          </cell>
          <cell r="M11315">
            <v>6</v>
          </cell>
          <cell r="R11315">
            <v>45912</v>
          </cell>
          <cell r="S11315">
            <v>231012</v>
          </cell>
        </row>
        <row r="11316">
          <cell r="K11316" t="str">
            <v>228001</v>
          </cell>
          <cell r="M11316">
            <v>15</v>
          </cell>
          <cell r="R11316">
            <v>45913</v>
          </cell>
          <cell r="S11316">
            <v>228001</v>
          </cell>
        </row>
        <row r="11317">
          <cell r="K11317" t="str">
            <v>203001</v>
          </cell>
          <cell r="M11317">
            <v>4</v>
          </cell>
          <cell r="R11317">
            <v>45913</v>
          </cell>
          <cell r="S11317">
            <v>203001</v>
          </cell>
        </row>
        <row r="11318">
          <cell r="K11318" t="str">
            <v>231012</v>
          </cell>
          <cell r="M11318">
            <v>2</v>
          </cell>
          <cell r="R11318">
            <v>45913</v>
          </cell>
          <cell r="S11318">
            <v>231012</v>
          </cell>
        </row>
        <row r="11319">
          <cell r="K11319" t="str">
            <v>217020</v>
          </cell>
          <cell r="M11319">
            <v>2</v>
          </cell>
          <cell r="R11319">
            <v>45912</v>
          </cell>
          <cell r="S11319">
            <v>217020</v>
          </cell>
        </row>
        <row r="11320">
          <cell r="K11320" t="str">
            <v>228001</v>
          </cell>
          <cell r="M11320">
            <v>3</v>
          </cell>
          <cell r="R11320">
            <v>45913</v>
          </cell>
          <cell r="S11320">
            <v>228001</v>
          </cell>
        </row>
        <row r="11321">
          <cell r="K11321" t="str">
            <v>229004</v>
          </cell>
          <cell r="M11321">
            <v>4</v>
          </cell>
          <cell r="R11321">
            <v>45913</v>
          </cell>
          <cell r="S11321">
            <v>229004</v>
          </cell>
        </row>
        <row r="11322">
          <cell r="K11322" t="str">
            <v>201011</v>
          </cell>
          <cell r="M11322">
            <v>21</v>
          </cell>
          <cell r="R11322">
            <v>45913</v>
          </cell>
          <cell r="S11322">
            <v>201011</v>
          </cell>
        </row>
        <row r="11323">
          <cell r="K11323" t="str">
            <v>231010</v>
          </cell>
          <cell r="M11323">
            <v>3</v>
          </cell>
          <cell r="R11323">
            <v>45914</v>
          </cell>
          <cell r="S11323">
            <v>231010</v>
          </cell>
        </row>
        <row r="11324">
          <cell r="K11324" t="str">
            <v>201011</v>
          </cell>
          <cell r="M11324">
            <v>1</v>
          </cell>
          <cell r="R11324">
            <v>45914</v>
          </cell>
          <cell r="S11324">
            <v>201011</v>
          </cell>
        </row>
        <row r="11325">
          <cell r="K11325" t="str">
            <v>223002</v>
          </cell>
          <cell r="M11325">
            <v>2</v>
          </cell>
          <cell r="R11325">
            <v>45914</v>
          </cell>
          <cell r="S11325">
            <v>223002</v>
          </cell>
        </row>
        <row r="11326">
          <cell r="K11326" t="str">
            <v>223001</v>
          </cell>
          <cell r="M11326">
            <v>5</v>
          </cell>
          <cell r="R11326">
            <v>45914</v>
          </cell>
          <cell r="S11326">
            <v>223001</v>
          </cell>
        </row>
        <row r="11327">
          <cell r="K11327" t="str">
            <v>209022</v>
          </cell>
          <cell r="M11327">
            <v>4</v>
          </cell>
          <cell r="R11327">
            <v>45914</v>
          </cell>
          <cell r="S11327">
            <v>209022</v>
          </cell>
        </row>
        <row r="11328">
          <cell r="K11328" t="str">
            <v>227012</v>
          </cell>
          <cell r="M11328">
            <v>1</v>
          </cell>
          <cell r="R11328">
            <v>45914</v>
          </cell>
          <cell r="S11328">
            <v>227012</v>
          </cell>
        </row>
        <row r="11329">
          <cell r="K11329" t="str">
            <v>201011</v>
          </cell>
          <cell r="M11329">
            <v>6</v>
          </cell>
          <cell r="R11329">
            <v>45914</v>
          </cell>
          <cell r="S11329">
            <v>201011</v>
          </cell>
        </row>
        <row r="11330">
          <cell r="K11330" t="str">
            <v>203003</v>
          </cell>
          <cell r="M11330">
            <v>1</v>
          </cell>
          <cell r="R11330">
            <v>45914</v>
          </cell>
          <cell r="S11330">
            <v>203003</v>
          </cell>
        </row>
        <row r="11331">
          <cell r="K11331" t="str">
            <v>241001</v>
          </cell>
          <cell r="M11331">
            <v>5</v>
          </cell>
          <cell r="R11331">
            <v>45914</v>
          </cell>
          <cell r="S11331">
            <v>241001</v>
          </cell>
        </row>
        <row r="11332">
          <cell r="K11332" t="str">
            <v>234011</v>
          </cell>
          <cell r="M11332">
            <v>1</v>
          </cell>
          <cell r="R11332">
            <v>45914</v>
          </cell>
          <cell r="S11332">
            <v>234011</v>
          </cell>
        </row>
        <row r="11333">
          <cell r="K11333" t="str">
            <v>201011</v>
          </cell>
          <cell r="M11333">
            <v>4</v>
          </cell>
          <cell r="R11333">
            <v>45914</v>
          </cell>
          <cell r="S11333">
            <v>201011</v>
          </cell>
        </row>
        <row r="11334">
          <cell r="K11334" t="str">
            <v>241001</v>
          </cell>
          <cell r="M11334">
            <v>2</v>
          </cell>
          <cell r="R11334">
            <v>45914</v>
          </cell>
          <cell r="S11334">
            <v>241001</v>
          </cell>
        </row>
        <row r="11335">
          <cell r="K11335" t="str">
            <v>201011</v>
          </cell>
          <cell r="M11335">
            <v>5</v>
          </cell>
          <cell r="R11335">
            <v>45914</v>
          </cell>
          <cell r="S11335">
            <v>201011</v>
          </cell>
        </row>
        <row r="11336">
          <cell r="K11336" t="str">
            <v>241001</v>
          </cell>
          <cell r="M11336">
            <v>6</v>
          </cell>
          <cell r="R11336">
            <v>45914</v>
          </cell>
          <cell r="S11336">
            <v>241001</v>
          </cell>
        </row>
        <row r="11337">
          <cell r="K11337" t="str">
            <v>234011</v>
          </cell>
          <cell r="M11337">
            <v>2</v>
          </cell>
          <cell r="R11337">
            <v>45914</v>
          </cell>
          <cell r="S11337">
            <v>234011</v>
          </cell>
        </row>
        <row r="11338">
          <cell r="K11338" t="str">
            <v>203003</v>
          </cell>
          <cell r="M11338">
            <v>1</v>
          </cell>
          <cell r="R11338">
            <v>45914</v>
          </cell>
          <cell r="S11338">
            <v>203003</v>
          </cell>
        </row>
        <row r="11339">
          <cell r="K11339" t="str">
            <v>213002</v>
          </cell>
          <cell r="M11339">
            <v>1</v>
          </cell>
          <cell r="R11339">
            <v>45914</v>
          </cell>
          <cell r="S11339">
            <v>213002</v>
          </cell>
        </row>
        <row r="11340">
          <cell r="K11340" t="str">
            <v>223017</v>
          </cell>
          <cell r="M11340">
            <v>1</v>
          </cell>
          <cell r="R11340">
            <v>45914</v>
          </cell>
          <cell r="S11340">
            <v>223017</v>
          </cell>
        </row>
        <row r="11341">
          <cell r="K11341" t="str">
            <v>223001</v>
          </cell>
          <cell r="M11341">
            <v>4</v>
          </cell>
          <cell r="R11341">
            <v>45914</v>
          </cell>
          <cell r="S11341">
            <v>223001</v>
          </cell>
        </row>
        <row r="11342">
          <cell r="K11342" t="str">
            <v>241001</v>
          </cell>
          <cell r="M11342">
            <v>3</v>
          </cell>
          <cell r="R11342">
            <v>45914</v>
          </cell>
          <cell r="S11342">
            <v>241001</v>
          </cell>
        </row>
        <row r="11343">
          <cell r="K11343" t="str">
            <v>201011</v>
          </cell>
          <cell r="M11343">
            <v>3</v>
          </cell>
          <cell r="R11343">
            <v>45914</v>
          </cell>
          <cell r="S11343">
            <v>201011</v>
          </cell>
        </row>
        <row r="11344">
          <cell r="K11344" t="str">
            <v>201022</v>
          </cell>
          <cell r="M11344">
            <v>1</v>
          </cell>
          <cell r="R11344">
            <v>45914</v>
          </cell>
          <cell r="S11344">
            <v>201022</v>
          </cell>
        </row>
        <row r="11345">
          <cell r="K11345" t="str">
            <v>201011</v>
          </cell>
          <cell r="M11345">
            <v>6</v>
          </cell>
          <cell r="R11345">
            <v>45912</v>
          </cell>
          <cell r="S11345">
            <v>201011</v>
          </cell>
        </row>
        <row r="11346">
          <cell r="K11346" t="str">
            <v>203003</v>
          </cell>
          <cell r="M11346">
            <v>2</v>
          </cell>
          <cell r="R11346">
            <v>45913</v>
          </cell>
          <cell r="S11346">
            <v>203003</v>
          </cell>
        </row>
        <row r="11347">
          <cell r="K11347" t="str">
            <v>213002</v>
          </cell>
          <cell r="M11347">
            <v>1</v>
          </cell>
          <cell r="R11347">
            <v>45913</v>
          </cell>
          <cell r="S11347">
            <v>213002</v>
          </cell>
        </row>
        <row r="11348">
          <cell r="K11348" t="str">
            <v>213024</v>
          </cell>
          <cell r="M11348">
            <v>4</v>
          </cell>
          <cell r="R11348">
            <v>45914</v>
          </cell>
          <cell r="S11348">
            <v>213024</v>
          </cell>
        </row>
        <row r="11349">
          <cell r="K11349" t="str">
            <v>201011</v>
          </cell>
          <cell r="M11349">
            <v>8</v>
          </cell>
          <cell r="R11349">
            <v>45915</v>
          </cell>
          <cell r="S11349">
            <v>201011</v>
          </cell>
        </row>
        <row r="11350">
          <cell r="K11350" t="str">
            <v>227012</v>
          </cell>
          <cell r="M11350">
            <v>5</v>
          </cell>
          <cell r="R11350">
            <v>45914</v>
          </cell>
          <cell r="S11350">
            <v>227012</v>
          </cell>
        </row>
        <row r="11351">
          <cell r="K11351" t="str">
            <v>223002</v>
          </cell>
          <cell r="M11351">
            <v>3</v>
          </cell>
          <cell r="R11351">
            <v>45914</v>
          </cell>
          <cell r="S11351">
            <v>223002</v>
          </cell>
        </row>
        <row r="11352">
          <cell r="K11352" t="str">
            <v>223001</v>
          </cell>
          <cell r="M11352">
            <v>3</v>
          </cell>
          <cell r="R11352">
            <v>45914</v>
          </cell>
          <cell r="S11352">
            <v>223001</v>
          </cell>
        </row>
        <row r="11353">
          <cell r="K11353" t="str">
            <v>228001</v>
          </cell>
          <cell r="M11353">
            <v>5</v>
          </cell>
          <cell r="R11353">
            <v>45915</v>
          </cell>
          <cell r="S11353">
            <v>228001</v>
          </cell>
        </row>
        <row r="11354">
          <cell r="K11354" t="str">
            <v>213005</v>
          </cell>
          <cell r="M11354">
            <v>1</v>
          </cell>
          <cell r="R11354">
            <v>45914</v>
          </cell>
          <cell r="S11354">
            <v>213005</v>
          </cell>
        </row>
        <row r="11355">
          <cell r="K11355" t="str">
            <v>227012</v>
          </cell>
          <cell r="M11355">
            <v>1</v>
          </cell>
          <cell r="R11355">
            <v>45914</v>
          </cell>
          <cell r="S11355">
            <v>227012</v>
          </cell>
        </row>
        <row r="11356">
          <cell r="K11356" t="str">
            <v>213002</v>
          </cell>
          <cell r="M11356">
            <v>10</v>
          </cell>
          <cell r="R11356">
            <v>45912</v>
          </cell>
          <cell r="S11356">
            <v>213002</v>
          </cell>
        </row>
        <row r="11357">
          <cell r="K11357" t="str">
            <v>213005</v>
          </cell>
          <cell r="M11357">
            <v>2</v>
          </cell>
          <cell r="R11357">
            <v>45915</v>
          </cell>
          <cell r="S11357">
            <v>213005</v>
          </cell>
        </row>
        <row r="11358">
          <cell r="K11358" t="str">
            <v>201011</v>
          </cell>
          <cell r="M11358">
            <v>5</v>
          </cell>
          <cell r="R11358">
            <v>45915</v>
          </cell>
          <cell r="S11358">
            <v>201011</v>
          </cell>
        </row>
        <row r="11359">
          <cell r="K11359" t="str">
            <v>228001</v>
          </cell>
          <cell r="M11359">
            <v>1</v>
          </cell>
          <cell r="R11359">
            <v>45915</v>
          </cell>
          <cell r="S11359">
            <v>228001</v>
          </cell>
        </row>
        <row r="11360">
          <cell r="K11360" t="str">
            <v>203003</v>
          </cell>
          <cell r="M11360">
            <v>1</v>
          </cell>
          <cell r="R11360">
            <v>45915</v>
          </cell>
          <cell r="S11360">
            <v>203003</v>
          </cell>
        </row>
        <row r="11361">
          <cell r="K11361" t="str">
            <v>231010</v>
          </cell>
          <cell r="M11361">
            <v>1</v>
          </cell>
          <cell r="R11361">
            <v>45915</v>
          </cell>
          <cell r="S11361">
            <v>231010</v>
          </cell>
        </row>
        <row r="11362">
          <cell r="K11362" t="str">
            <v>226025</v>
          </cell>
          <cell r="M11362">
            <v>1</v>
          </cell>
          <cell r="R11362">
            <v>45915</v>
          </cell>
          <cell r="S11362">
            <v>226025</v>
          </cell>
        </row>
        <row r="11363">
          <cell r="K11363" t="str">
            <v>203003</v>
          </cell>
          <cell r="M11363">
            <v>1</v>
          </cell>
          <cell r="R11363">
            <v>45915</v>
          </cell>
          <cell r="S11363">
            <v>203003</v>
          </cell>
        </row>
        <row r="11364">
          <cell r="K11364" t="str">
            <v>207002</v>
          </cell>
          <cell r="M11364">
            <v>1</v>
          </cell>
          <cell r="R11364">
            <v>45915</v>
          </cell>
          <cell r="S11364">
            <v>207002</v>
          </cell>
        </row>
        <row r="11365">
          <cell r="K11365" t="str">
            <v>212035</v>
          </cell>
          <cell r="M11365">
            <v>1</v>
          </cell>
          <cell r="R11365">
            <v>45915</v>
          </cell>
          <cell r="S11365">
            <v>212035</v>
          </cell>
        </row>
        <row r="11366">
          <cell r="K11366" t="str">
            <v>271002</v>
          </cell>
          <cell r="M11366">
            <v>1</v>
          </cell>
          <cell r="R11366">
            <v>45915</v>
          </cell>
          <cell r="S11366">
            <v>271002</v>
          </cell>
        </row>
        <row r="11367">
          <cell r="K11367" t="str">
            <v>223001</v>
          </cell>
          <cell r="M11367">
            <v>1</v>
          </cell>
          <cell r="R11367">
            <v>45915</v>
          </cell>
          <cell r="S11367">
            <v>223001</v>
          </cell>
        </row>
        <row r="11368">
          <cell r="K11368" t="str">
            <v>228001</v>
          </cell>
          <cell r="M11368">
            <v>1</v>
          </cell>
          <cell r="R11368">
            <v>45915</v>
          </cell>
          <cell r="S11368">
            <v>228001</v>
          </cell>
        </row>
        <row r="11369">
          <cell r="K11369" t="str">
            <v>228001</v>
          </cell>
          <cell r="M11369">
            <v>6</v>
          </cell>
          <cell r="R11369">
            <v>45915</v>
          </cell>
          <cell r="S11369">
            <v>228001</v>
          </cell>
        </row>
        <row r="11370">
          <cell r="K11370" t="str">
            <v>231012</v>
          </cell>
          <cell r="M11370">
            <v>20</v>
          </cell>
          <cell r="R11370">
            <v>45915</v>
          </cell>
          <cell r="S11370">
            <v>231012</v>
          </cell>
        </row>
        <row r="11371">
          <cell r="K11371" t="str">
            <v>205004</v>
          </cell>
          <cell r="M11371">
            <v>2</v>
          </cell>
          <cell r="R11371">
            <v>45915</v>
          </cell>
          <cell r="S11371">
            <v>205004</v>
          </cell>
        </row>
        <row r="11372">
          <cell r="K11372" t="str">
            <v>234011</v>
          </cell>
          <cell r="M11372">
            <v>1</v>
          </cell>
          <cell r="R11372">
            <v>45915</v>
          </cell>
          <cell r="S11372">
            <v>234011</v>
          </cell>
        </row>
        <row r="11373">
          <cell r="K11373" t="str">
            <v>241001</v>
          </cell>
          <cell r="M11373">
            <v>5</v>
          </cell>
          <cell r="R11373">
            <v>45915</v>
          </cell>
          <cell r="S11373">
            <v>241001</v>
          </cell>
        </row>
        <row r="11374">
          <cell r="K11374" t="str">
            <v>223001</v>
          </cell>
          <cell r="M11374">
            <v>1</v>
          </cell>
          <cell r="R11374">
            <v>45915</v>
          </cell>
          <cell r="S11374">
            <v>223001</v>
          </cell>
        </row>
        <row r="11375">
          <cell r="K11375" t="str">
            <v>234001</v>
          </cell>
          <cell r="M11375">
            <v>1</v>
          </cell>
          <cell r="R11375">
            <v>45915</v>
          </cell>
          <cell r="S11375">
            <v>234001</v>
          </cell>
        </row>
        <row r="11376">
          <cell r="K11376" t="str">
            <v>228001</v>
          </cell>
          <cell r="M11376">
            <v>1</v>
          </cell>
          <cell r="R11376">
            <v>45915</v>
          </cell>
          <cell r="S11376">
            <v>228001</v>
          </cell>
        </row>
        <row r="11377">
          <cell r="K11377" t="str">
            <v>201011</v>
          </cell>
          <cell r="M11377">
            <v>2</v>
          </cell>
          <cell r="R11377">
            <v>45915</v>
          </cell>
          <cell r="S11377">
            <v>201011</v>
          </cell>
        </row>
        <row r="11378">
          <cell r="K11378" t="str">
            <v>227012</v>
          </cell>
          <cell r="M11378">
            <v>3</v>
          </cell>
          <cell r="R11378">
            <v>45915</v>
          </cell>
          <cell r="S11378">
            <v>227012</v>
          </cell>
        </row>
        <row r="11379">
          <cell r="K11379" t="str">
            <v>222001</v>
          </cell>
          <cell r="M11379">
            <v>1</v>
          </cell>
          <cell r="R11379">
            <v>45915</v>
          </cell>
          <cell r="S11379">
            <v>222001</v>
          </cell>
        </row>
        <row r="11380">
          <cell r="K11380" t="str">
            <v>223001</v>
          </cell>
          <cell r="M11380">
            <v>2</v>
          </cell>
          <cell r="R11380">
            <v>45915</v>
          </cell>
          <cell r="S11380">
            <v>223001</v>
          </cell>
        </row>
        <row r="11381">
          <cell r="K11381" t="str">
            <v>209012</v>
          </cell>
          <cell r="M11381">
            <v>1</v>
          </cell>
          <cell r="R11381">
            <v>45915</v>
          </cell>
          <cell r="S11381">
            <v>209012</v>
          </cell>
        </row>
        <row r="11382">
          <cell r="K11382" t="str">
            <v>227001</v>
          </cell>
          <cell r="M11382">
            <v>3</v>
          </cell>
          <cell r="R11382">
            <v>45915</v>
          </cell>
          <cell r="S11382">
            <v>227001</v>
          </cell>
        </row>
        <row r="11383">
          <cell r="K11383" t="str">
            <v>210001</v>
          </cell>
          <cell r="M11383">
            <v>2</v>
          </cell>
          <cell r="R11383">
            <v>45915</v>
          </cell>
          <cell r="S11383">
            <v>210001</v>
          </cell>
        </row>
        <row r="11384">
          <cell r="K11384" t="str">
            <v>201011</v>
          </cell>
          <cell r="M11384">
            <v>20</v>
          </cell>
          <cell r="R11384">
            <v>45915</v>
          </cell>
          <cell r="S11384">
            <v>201011</v>
          </cell>
        </row>
        <row r="11385">
          <cell r="K11385" t="str">
            <v>231004</v>
          </cell>
          <cell r="M11385">
            <v>1</v>
          </cell>
          <cell r="R11385">
            <v>45915</v>
          </cell>
          <cell r="S11385">
            <v>231004</v>
          </cell>
        </row>
        <row r="11386">
          <cell r="K11386" t="str">
            <v>212035</v>
          </cell>
          <cell r="M11386">
            <v>2</v>
          </cell>
          <cell r="R11386">
            <v>45915</v>
          </cell>
          <cell r="S11386">
            <v>212035</v>
          </cell>
        </row>
        <row r="11387">
          <cell r="K11387" t="str">
            <v>217022</v>
          </cell>
          <cell r="M11387">
            <v>2</v>
          </cell>
          <cell r="R11387">
            <v>45915</v>
          </cell>
          <cell r="S11387">
            <v>217022</v>
          </cell>
        </row>
        <row r="11388">
          <cell r="K11388" t="str">
            <v>213005</v>
          </cell>
          <cell r="M11388">
            <v>1</v>
          </cell>
          <cell r="R11388">
            <v>45915</v>
          </cell>
          <cell r="S11388">
            <v>213005</v>
          </cell>
        </row>
        <row r="11389">
          <cell r="K11389" t="str">
            <v>237001</v>
          </cell>
          <cell r="M11389">
            <v>1</v>
          </cell>
          <cell r="R11389">
            <v>45915</v>
          </cell>
          <cell r="S11389">
            <v>237001</v>
          </cell>
        </row>
        <row r="11390">
          <cell r="K11390" t="str">
            <v>237001</v>
          </cell>
          <cell r="M11390">
            <v>1</v>
          </cell>
          <cell r="R11390">
            <v>45915</v>
          </cell>
          <cell r="S11390">
            <v>237001</v>
          </cell>
        </row>
        <row r="11391">
          <cell r="K11391" t="str">
            <v>213002</v>
          </cell>
          <cell r="M11391">
            <v>4</v>
          </cell>
          <cell r="R11391">
            <v>45915</v>
          </cell>
          <cell r="S11391">
            <v>213002</v>
          </cell>
        </row>
        <row r="11392">
          <cell r="K11392" t="str">
            <v>210002</v>
          </cell>
          <cell r="M11392">
            <v>1</v>
          </cell>
          <cell r="R11392">
            <v>45915</v>
          </cell>
          <cell r="S11392">
            <v>210002</v>
          </cell>
        </row>
        <row r="11393">
          <cell r="K11393" t="str">
            <v>227012</v>
          </cell>
          <cell r="M11393">
            <v>1</v>
          </cell>
          <cell r="R11393">
            <v>45915</v>
          </cell>
          <cell r="S11393">
            <v>227012</v>
          </cell>
        </row>
        <row r="11394">
          <cell r="K11394" t="str">
            <v>223001</v>
          </cell>
          <cell r="M11394">
            <v>2</v>
          </cell>
          <cell r="R11394">
            <v>45915</v>
          </cell>
          <cell r="S11394">
            <v>223001</v>
          </cell>
        </row>
        <row r="11395">
          <cell r="K11395" t="str">
            <v>201011</v>
          </cell>
          <cell r="M11395">
            <v>3</v>
          </cell>
          <cell r="R11395">
            <v>45915</v>
          </cell>
          <cell r="S11395">
            <v>201011</v>
          </cell>
        </row>
        <row r="11396">
          <cell r="K11396" t="str">
            <v>223002</v>
          </cell>
          <cell r="M11396">
            <v>4</v>
          </cell>
          <cell r="R11396">
            <v>45914</v>
          </cell>
          <cell r="S11396">
            <v>223002</v>
          </cell>
        </row>
        <row r="11397">
          <cell r="K11397" t="str">
            <v>201003</v>
          </cell>
          <cell r="M11397">
            <v>2</v>
          </cell>
          <cell r="R11397">
            <v>45914</v>
          </cell>
          <cell r="S11397">
            <v>201003</v>
          </cell>
        </row>
        <row r="11398">
          <cell r="K11398" t="str">
            <v>201011</v>
          </cell>
          <cell r="M11398">
            <v>1</v>
          </cell>
          <cell r="R11398">
            <v>45915</v>
          </cell>
          <cell r="S11398">
            <v>201011</v>
          </cell>
        </row>
        <row r="11399">
          <cell r="K11399" t="str">
            <v>209001</v>
          </cell>
          <cell r="M11399">
            <v>3</v>
          </cell>
          <cell r="R11399">
            <v>45915</v>
          </cell>
          <cell r="S11399">
            <v>209001</v>
          </cell>
        </row>
        <row r="11400">
          <cell r="K11400" t="str">
            <v>213005</v>
          </cell>
          <cell r="M11400">
            <v>1</v>
          </cell>
          <cell r="R11400">
            <v>45915</v>
          </cell>
          <cell r="S11400">
            <v>213005</v>
          </cell>
        </row>
        <row r="11401">
          <cell r="K11401" t="str">
            <v>201011</v>
          </cell>
          <cell r="M11401">
            <v>1</v>
          </cell>
          <cell r="R11401">
            <v>45915</v>
          </cell>
          <cell r="S11401">
            <v>201011</v>
          </cell>
        </row>
        <row r="11402">
          <cell r="K11402" t="str">
            <v>237001</v>
          </cell>
          <cell r="M11402">
            <v>2</v>
          </cell>
          <cell r="R11402">
            <v>45915</v>
          </cell>
          <cell r="S11402">
            <v>237001</v>
          </cell>
        </row>
        <row r="11403">
          <cell r="K11403" t="str">
            <v>228001</v>
          </cell>
          <cell r="M11403">
            <v>3</v>
          </cell>
          <cell r="R11403">
            <v>45915</v>
          </cell>
          <cell r="S11403">
            <v>228001</v>
          </cell>
        </row>
        <row r="11404">
          <cell r="K11404" t="str">
            <v>201011</v>
          </cell>
          <cell r="M11404">
            <v>2</v>
          </cell>
          <cell r="R11404">
            <v>45915</v>
          </cell>
          <cell r="S11404">
            <v>201011</v>
          </cell>
        </row>
        <row r="11405">
          <cell r="K11405" t="str">
            <v>228001</v>
          </cell>
          <cell r="M11405">
            <v>3</v>
          </cell>
          <cell r="R11405">
            <v>45915</v>
          </cell>
          <cell r="S11405">
            <v>228001</v>
          </cell>
        </row>
        <row r="11406">
          <cell r="K11406" t="str">
            <v>201011</v>
          </cell>
          <cell r="M11406">
            <v>15</v>
          </cell>
          <cell r="R11406">
            <v>45915</v>
          </cell>
          <cell r="S11406">
            <v>201011</v>
          </cell>
        </row>
        <row r="11407">
          <cell r="K11407" t="str">
            <v>201003</v>
          </cell>
          <cell r="M11407">
            <v>1</v>
          </cell>
          <cell r="R11407">
            <v>45915</v>
          </cell>
          <cell r="S11407">
            <v>201003</v>
          </cell>
        </row>
        <row r="11408">
          <cell r="K11408" t="str">
            <v>212002</v>
          </cell>
          <cell r="M11408">
            <v>1</v>
          </cell>
          <cell r="R11408">
            <v>45915</v>
          </cell>
          <cell r="S11408">
            <v>212002</v>
          </cell>
        </row>
        <row r="11409">
          <cell r="K11409" t="str">
            <v>228001</v>
          </cell>
          <cell r="M11409">
            <v>2</v>
          </cell>
          <cell r="R11409">
            <v>45915</v>
          </cell>
          <cell r="S11409">
            <v>228001</v>
          </cell>
        </row>
        <row r="11410">
          <cell r="K11410" t="str">
            <v>212035</v>
          </cell>
          <cell r="M11410">
            <v>3</v>
          </cell>
          <cell r="R11410">
            <v>45915</v>
          </cell>
          <cell r="S11410">
            <v>212035</v>
          </cell>
        </row>
        <row r="11411">
          <cell r="K11411" t="str">
            <v>201011</v>
          </cell>
          <cell r="M11411">
            <v>4</v>
          </cell>
          <cell r="R11411">
            <v>45915</v>
          </cell>
          <cell r="S11411">
            <v>201011</v>
          </cell>
        </row>
        <row r="11412">
          <cell r="K11412" t="str">
            <v>228001</v>
          </cell>
          <cell r="M11412">
            <v>6</v>
          </cell>
          <cell r="R11412">
            <v>45915</v>
          </cell>
          <cell r="S11412">
            <v>228001</v>
          </cell>
        </row>
        <row r="11413">
          <cell r="K11413" t="str">
            <v>237001</v>
          </cell>
          <cell r="M11413">
            <v>1</v>
          </cell>
          <cell r="R11413">
            <v>45915</v>
          </cell>
          <cell r="S11413">
            <v>237001</v>
          </cell>
        </row>
        <row r="11414">
          <cell r="K11414" t="str">
            <v>226001</v>
          </cell>
          <cell r="M11414">
            <v>2</v>
          </cell>
          <cell r="R11414">
            <v>45915</v>
          </cell>
          <cell r="S11414">
            <v>226001</v>
          </cell>
        </row>
        <row r="11415">
          <cell r="K11415" t="str">
            <v>226004</v>
          </cell>
          <cell r="M11415">
            <v>1</v>
          </cell>
          <cell r="R11415">
            <v>45915</v>
          </cell>
          <cell r="S11415">
            <v>226004</v>
          </cell>
        </row>
        <row r="11416">
          <cell r="K11416" t="str">
            <v>227002</v>
          </cell>
          <cell r="M11416">
            <v>1</v>
          </cell>
          <cell r="R11416">
            <v>45915</v>
          </cell>
          <cell r="S11416">
            <v>227002</v>
          </cell>
        </row>
        <row r="11417">
          <cell r="K11417" t="str">
            <v>231010</v>
          </cell>
          <cell r="M11417">
            <v>1</v>
          </cell>
          <cell r="R11417">
            <v>45915</v>
          </cell>
          <cell r="S11417">
            <v>231010</v>
          </cell>
        </row>
        <row r="11418">
          <cell r="K11418" t="str">
            <v>217020</v>
          </cell>
          <cell r="M11418">
            <v>1</v>
          </cell>
          <cell r="R11418">
            <v>45915</v>
          </cell>
          <cell r="S11418">
            <v>217020</v>
          </cell>
        </row>
        <row r="11419">
          <cell r="K11419" t="str">
            <v>213002</v>
          </cell>
          <cell r="M11419">
            <v>2</v>
          </cell>
          <cell r="R11419">
            <v>45915</v>
          </cell>
          <cell r="S11419">
            <v>213002</v>
          </cell>
        </row>
        <row r="11420">
          <cell r="K11420" t="str">
            <v>217020</v>
          </cell>
          <cell r="M11420">
            <v>1</v>
          </cell>
          <cell r="R11420">
            <v>45915</v>
          </cell>
          <cell r="S11420">
            <v>217020</v>
          </cell>
        </row>
        <row r="11421">
          <cell r="K11421" t="str">
            <v>201021</v>
          </cell>
          <cell r="M11421">
            <v>2</v>
          </cell>
          <cell r="R11421">
            <v>45915</v>
          </cell>
          <cell r="S11421">
            <v>201021</v>
          </cell>
        </row>
        <row r="11422">
          <cell r="K11422" t="str">
            <v>222001</v>
          </cell>
          <cell r="M11422">
            <v>1</v>
          </cell>
          <cell r="R11422">
            <v>45915</v>
          </cell>
          <cell r="S11422">
            <v>222001</v>
          </cell>
        </row>
        <row r="11423">
          <cell r="K11423" t="str">
            <v>241001</v>
          </cell>
          <cell r="M11423">
            <v>2</v>
          </cell>
          <cell r="R11423">
            <v>45915</v>
          </cell>
          <cell r="S11423">
            <v>241001</v>
          </cell>
        </row>
        <row r="11424">
          <cell r="K11424" t="str">
            <v>222007</v>
          </cell>
          <cell r="M11424">
            <v>2</v>
          </cell>
          <cell r="R11424">
            <v>45915</v>
          </cell>
          <cell r="S11424">
            <v>222007</v>
          </cell>
        </row>
        <row r="11425">
          <cell r="K11425" t="str">
            <v>261004</v>
          </cell>
          <cell r="M11425">
            <v>1</v>
          </cell>
          <cell r="R11425">
            <v>45915</v>
          </cell>
          <cell r="S11425">
            <v>261004</v>
          </cell>
        </row>
        <row r="11426">
          <cell r="K11426" t="str">
            <v>222001</v>
          </cell>
          <cell r="M11426">
            <v>1</v>
          </cell>
          <cell r="R11426">
            <v>45915</v>
          </cell>
          <cell r="S11426">
            <v>222001</v>
          </cell>
        </row>
        <row r="11427">
          <cell r="K11427" t="str">
            <v>261004</v>
          </cell>
          <cell r="M11427">
            <v>1</v>
          </cell>
          <cell r="R11427">
            <v>45915</v>
          </cell>
          <cell r="S11427">
            <v>261004</v>
          </cell>
        </row>
        <row r="11428">
          <cell r="K11428" t="str">
            <v>213024</v>
          </cell>
          <cell r="M11428">
            <v>4</v>
          </cell>
          <cell r="R11428">
            <v>45915</v>
          </cell>
          <cell r="S11428">
            <v>213024</v>
          </cell>
        </row>
        <row r="11429">
          <cell r="K11429" t="str">
            <v>241001</v>
          </cell>
          <cell r="M11429">
            <v>6</v>
          </cell>
          <cell r="R11429">
            <v>45915</v>
          </cell>
          <cell r="S11429">
            <v>241001</v>
          </cell>
        </row>
        <row r="11430">
          <cell r="K11430" t="str">
            <v>201021</v>
          </cell>
          <cell r="M11430">
            <v>3</v>
          </cell>
          <cell r="R11430">
            <v>45915</v>
          </cell>
          <cell r="S11430">
            <v>201021</v>
          </cell>
        </row>
        <row r="11431">
          <cell r="K11431" t="str">
            <v>223001</v>
          </cell>
          <cell r="M11431">
            <v>10</v>
          </cell>
          <cell r="R11431">
            <v>45915</v>
          </cell>
          <cell r="S11431">
            <v>223001</v>
          </cell>
        </row>
        <row r="11432">
          <cell r="K11432" t="str">
            <v>226023</v>
          </cell>
          <cell r="M11432">
            <v>2</v>
          </cell>
          <cell r="R11432">
            <v>45915</v>
          </cell>
          <cell r="S11432">
            <v>226023</v>
          </cell>
        </row>
        <row r="11433">
          <cell r="K11433" t="str">
            <v>223002</v>
          </cell>
          <cell r="M11433">
            <v>2</v>
          </cell>
          <cell r="R11433">
            <v>45915</v>
          </cell>
          <cell r="S11433">
            <v>223002</v>
          </cell>
        </row>
        <row r="11434">
          <cell r="K11434" t="str">
            <v>227012</v>
          </cell>
          <cell r="M11434">
            <v>3</v>
          </cell>
          <cell r="R11434">
            <v>45915</v>
          </cell>
          <cell r="S11434">
            <v>227012</v>
          </cell>
        </row>
        <row r="11435">
          <cell r="K11435" t="str">
            <v>223002</v>
          </cell>
          <cell r="M11435">
            <v>1</v>
          </cell>
          <cell r="R11435">
            <v>45915</v>
          </cell>
          <cell r="S11435">
            <v>223002</v>
          </cell>
        </row>
        <row r="11436">
          <cell r="K11436" t="str">
            <v>223001</v>
          </cell>
          <cell r="M11436">
            <v>1</v>
          </cell>
          <cell r="R11436">
            <v>45915</v>
          </cell>
          <cell r="S11436">
            <v>223001</v>
          </cell>
        </row>
        <row r="11437">
          <cell r="K11437" t="str">
            <v>209001</v>
          </cell>
          <cell r="M11437">
            <v>1</v>
          </cell>
          <cell r="R11437">
            <v>45915</v>
          </cell>
          <cell r="S11437">
            <v>209001</v>
          </cell>
        </row>
        <row r="11438">
          <cell r="K11438" t="str">
            <v>227002</v>
          </cell>
          <cell r="M11438">
            <v>1</v>
          </cell>
          <cell r="R11438">
            <v>45915</v>
          </cell>
          <cell r="S11438">
            <v>227002</v>
          </cell>
        </row>
        <row r="11439">
          <cell r="K11439" t="str">
            <v>223001</v>
          </cell>
          <cell r="M11439">
            <v>2</v>
          </cell>
          <cell r="R11439">
            <v>45915</v>
          </cell>
          <cell r="S11439">
            <v>223001</v>
          </cell>
        </row>
        <row r="11440">
          <cell r="K11440" t="str">
            <v>201011</v>
          </cell>
          <cell r="M11440">
            <v>1</v>
          </cell>
          <cell r="R11440">
            <v>45915</v>
          </cell>
          <cell r="S11440">
            <v>201011</v>
          </cell>
        </row>
        <row r="11441">
          <cell r="K11441" t="str">
            <v>212010</v>
          </cell>
          <cell r="M11441">
            <v>20</v>
          </cell>
          <cell r="R11441">
            <v>45915</v>
          </cell>
          <cell r="S11441">
            <v>212010</v>
          </cell>
        </row>
        <row r="11442">
          <cell r="K11442" t="str">
            <v>261004</v>
          </cell>
          <cell r="M11442">
            <v>20</v>
          </cell>
          <cell r="R11442">
            <v>45915</v>
          </cell>
          <cell r="S11442">
            <v>261004</v>
          </cell>
        </row>
        <row r="11443">
          <cell r="K11443" t="str">
            <v>217022</v>
          </cell>
          <cell r="M11443">
            <v>2</v>
          </cell>
          <cell r="R11443">
            <v>45916</v>
          </cell>
          <cell r="S11443">
            <v>217022</v>
          </cell>
        </row>
        <row r="11444">
          <cell r="K11444" t="str">
            <v>212035</v>
          </cell>
          <cell r="M11444">
            <v>2</v>
          </cell>
          <cell r="R11444">
            <v>45916</v>
          </cell>
          <cell r="S11444">
            <v>212035</v>
          </cell>
        </row>
        <row r="11445">
          <cell r="K11445" t="str">
            <v>227002</v>
          </cell>
          <cell r="M11445">
            <v>1</v>
          </cell>
          <cell r="R11445">
            <v>45916</v>
          </cell>
          <cell r="S11445">
            <v>227002</v>
          </cell>
        </row>
        <row r="11446">
          <cell r="K11446" t="str">
            <v>241001</v>
          </cell>
          <cell r="M11446">
            <v>5</v>
          </cell>
          <cell r="R11446">
            <v>45916</v>
          </cell>
          <cell r="S11446">
            <v>241001</v>
          </cell>
        </row>
        <row r="11447">
          <cell r="K11447" t="str">
            <v>228001</v>
          </cell>
          <cell r="M11447">
            <v>8</v>
          </cell>
          <cell r="R11447">
            <v>45915</v>
          </cell>
          <cell r="S11447">
            <v>228001</v>
          </cell>
        </row>
        <row r="11448">
          <cell r="K11448" t="str">
            <v>217019</v>
          </cell>
          <cell r="M11448">
            <v>8</v>
          </cell>
          <cell r="R11448">
            <v>45915</v>
          </cell>
          <cell r="S11448">
            <v>217019</v>
          </cell>
        </row>
        <row r="11449">
          <cell r="K11449" t="str">
            <v>201011</v>
          </cell>
          <cell r="M11449">
            <v>36</v>
          </cell>
          <cell r="R11449">
            <v>45915</v>
          </cell>
          <cell r="S11449">
            <v>201011</v>
          </cell>
        </row>
        <row r="11450">
          <cell r="K11450" t="str">
            <v>213005</v>
          </cell>
          <cell r="M11450">
            <v>1</v>
          </cell>
          <cell r="R11450">
            <v>45916</v>
          </cell>
          <cell r="S11450">
            <v>213005</v>
          </cell>
        </row>
        <row r="11451">
          <cell r="K11451" t="str">
            <v>223002</v>
          </cell>
          <cell r="M11451">
            <v>1</v>
          </cell>
          <cell r="R11451">
            <v>45916</v>
          </cell>
          <cell r="S11451">
            <v>223002</v>
          </cell>
        </row>
        <row r="11452">
          <cell r="K11452" t="str">
            <v>223002</v>
          </cell>
          <cell r="M11452">
            <v>4</v>
          </cell>
          <cell r="R11452">
            <v>45915</v>
          </cell>
          <cell r="S11452">
            <v>223002</v>
          </cell>
        </row>
        <row r="11453">
          <cell r="K11453" t="str">
            <v>223002</v>
          </cell>
          <cell r="M11453">
            <v>4</v>
          </cell>
          <cell r="R11453">
            <v>45915</v>
          </cell>
          <cell r="S11453">
            <v>223002</v>
          </cell>
        </row>
        <row r="11454">
          <cell r="K11454" t="str">
            <v>223001</v>
          </cell>
          <cell r="M11454">
            <v>3</v>
          </cell>
          <cell r="R11454">
            <v>45915</v>
          </cell>
          <cell r="S11454">
            <v>223001</v>
          </cell>
        </row>
        <row r="11455">
          <cell r="K11455" t="str">
            <v>220002</v>
          </cell>
          <cell r="M11455">
            <v>2</v>
          </cell>
          <cell r="R11455">
            <v>45915</v>
          </cell>
          <cell r="S11455">
            <v>220002</v>
          </cell>
        </row>
        <row r="11456">
          <cell r="K11456" t="str">
            <v>228001</v>
          </cell>
          <cell r="M11456">
            <v>7</v>
          </cell>
          <cell r="R11456">
            <v>45915</v>
          </cell>
          <cell r="S11456">
            <v>228001</v>
          </cell>
        </row>
        <row r="11457">
          <cell r="K11457" t="str">
            <v>217018</v>
          </cell>
          <cell r="M11457">
            <v>1</v>
          </cell>
          <cell r="R11457">
            <v>45915</v>
          </cell>
          <cell r="S11457">
            <v>217018</v>
          </cell>
        </row>
        <row r="11458">
          <cell r="K11458" t="str">
            <v>223002</v>
          </cell>
          <cell r="M11458">
            <v>5</v>
          </cell>
          <cell r="R11458">
            <v>45915</v>
          </cell>
          <cell r="S11458">
            <v>223002</v>
          </cell>
        </row>
        <row r="11459">
          <cell r="K11459" t="str">
            <v>223001</v>
          </cell>
          <cell r="M11459">
            <v>3</v>
          </cell>
          <cell r="R11459">
            <v>45915</v>
          </cell>
          <cell r="S11459">
            <v>223001</v>
          </cell>
        </row>
        <row r="11460">
          <cell r="K11460" t="str">
            <v>227012</v>
          </cell>
          <cell r="M11460">
            <v>1</v>
          </cell>
          <cell r="R11460">
            <v>45915</v>
          </cell>
          <cell r="S11460">
            <v>227012</v>
          </cell>
        </row>
        <row r="11461">
          <cell r="K11461" t="str">
            <v>201003</v>
          </cell>
          <cell r="M11461">
            <v>4</v>
          </cell>
          <cell r="R11461">
            <v>45915</v>
          </cell>
          <cell r="S11461">
            <v>201003</v>
          </cell>
        </row>
        <row r="11462">
          <cell r="K11462" t="str">
            <v>213005</v>
          </cell>
          <cell r="M11462">
            <v>1</v>
          </cell>
          <cell r="R11462">
            <v>45916</v>
          </cell>
          <cell r="S11462">
            <v>213005</v>
          </cell>
        </row>
        <row r="11463">
          <cell r="K11463" t="str">
            <v>209001</v>
          </cell>
          <cell r="M11463">
            <v>2</v>
          </cell>
          <cell r="R11463">
            <v>45916</v>
          </cell>
          <cell r="S11463">
            <v>209001</v>
          </cell>
        </row>
        <row r="11464">
          <cell r="K11464" t="str">
            <v>210013</v>
          </cell>
          <cell r="M11464">
            <v>2</v>
          </cell>
          <cell r="R11464">
            <v>45916</v>
          </cell>
          <cell r="S11464">
            <v>210013</v>
          </cell>
        </row>
        <row r="11465">
          <cell r="K11465" t="str">
            <v>228001</v>
          </cell>
          <cell r="M11465">
            <v>1</v>
          </cell>
          <cell r="R11465">
            <v>45916</v>
          </cell>
          <cell r="S11465">
            <v>228001</v>
          </cell>
        </row>
        <row r="11466">
          <cell r="K11466" t="str">
            <v>223002</v>
          </cell>
          <cell r="M11466">
            <v>2</v>
          </cell>
          <cell r="R11466">
            <v>45916</v>
          </cell>
          <cell r="S11466">
            <v>223002</v>
          </cell>
        </row>
        <row r="11467">
          <cell r="K11467" t="str">
            <v>213002</v>
          </cell>
          <cell r="M11467">
            <v>3</v>
          </cell>
          <cell r="R11467">
            <v>45916</v>
          </cell>
          <cell r="S11467">
            <v>213002</v>
          </cell>
        </row>
        <row r="11468">
          <cell r="K11468" t="str">
            <v>228001</v>
          </cell>
          <cell r="M11468">
            <v>2</v>
          </cell>
          <cell r="R11468">
            <v>45916</v>
          </cell>
          <cell r="S11468">
            <v>228001</v>
          </cell>
        </row>
        <row r="11469">
          <cell r="K11469" t="str">
            <v>212002</v>
          </cell>
          <cell r="M11469">
            <v>1</v>
          </cell>
          <cell r="R11469">
            <v>45916</v>
          </cell>
          <cell r="S11469">
            <v>212002</v>
          </cell>
        </row>
        <row r="11470">
          <cell r="K11470" t="str">
            <v>226001</v>
          </cell>
          <cell r="M11470">
            <v>2</v>
          </cell>
          <cell r="R11470">
            <v>45916</v>
          </cell>
          <cell r="S11470">
            <v>226001</v>
          </cell>
        </row>
        <row r="11471">
          <cell r="K11471" t="str">
            <v>213024</v>
          </cell>
          <cell r="M11471">
            <v>4</v>
          </cell>
          <cell r="R11471">
            <v>45916</v>
          </cell>
          <cell r="S11471">
            <v>213024</v>
          </cell>
        </row>
        <row r="11472">
          <cell r="K11472" t="str">
            <v>226001</v>
          </cell>
          <cell r="M11472">
            <v>6</v>
          </cell>
          <cell r="R11472">
            <v>45916</v>
          </cell>
          <cell r="S11472">
            <v>226001</v>
          </cell>
        </row>
        <row r="11473">
          <cell r="K11473" t="str">
            <v>226001</v>
          </cell>
          <cell r="M11473">
            <v>2</v>
          </cell>
          <cell r="R11473">
            <v>45916</v>
          </cell>
          <cell r="S11473">
            <v>226001</v>
          </cell>
        </row>
        <row r="11474">
          <cell r="K11474" t="str">
            <v>228001</v>
          </cell>
          <cell r="M11474">
            <v>1</v>
          </cell>
          <cell r="R11474">
            <v>45916</v>
          </cell>
          <cell r="S11474">
            <v>228001</v>
          </cell>
        </row>
        <row r="11475">
          <cell r="K11475" t="str">
            <v>203003</v>
          </cell>
          <cell r="M11475">
            <v>1</v>
          </cell>
          <cell r="R11475">
            <v>45916</v>
          </cell>
          <cell r="S11475">
            <v>203003</v>
          </cell>
        </row>
        <row r="11476">
          <cell r="K11476" t="str">
            <v>226001</v>
          </cell>
          <cell r="M11476">
            <v>2</v>
          </cell>
          <cell r="R11476">
            <v>45916</v>
          </cell>
          <cell r="S11476">
            <v>226001</v>
          </cell>
        </row>
        <row r="11477">
          <cell r="K11477" t="str">
            <v>226001</v>
          </cell>
          <cell r="M11477">
            <v>4</v>
          </cell>
          <cell r="R11477">
            <v>45916</v>
          </cell>
          <cell r="S11477">
            <v>226001</v>
          </cell>
        </row>
        <row r="11478">
          <cell r="K11478" t="str">
            <v>226001</v>
          </cell>
          <cell r="M11478">
            <v>1</v>
          </cell>
          <cell r="R11478">
            <v>45916</v>
          </cell>
          <cell r="S11478">
            <v>226001</v>
          </cell>
        </row>
        <row r="11479">
          <cell r="K11479" t="str">
            <v>228001</v>
          </cell>
          <cell r="M11479">
            <v>1</v>
          </cell>
          <cell r="R11479">
            <v>45916</v>
          </cell>
          <cell r="S11479">
            <v>228001</v>
          </cell>
        </row>
        <row r="11480">
          <cell r="K11480" t="str">
            <v>227012</v>
          </cell>
          <cell r="M11480">
            <v>2</v>
          </cell>
          <cell r="R11480">
            <v>45916</v>
          </cell>
          <cell r="S11480">
            <v>227012</v>
          </cell>
        </row>
        <row r="11481">
          <cell r="K11481" t="str">
            <v>226024</v>
          </cell>
          <cell r="M11481">
            <v>1</v>
          </cell>
          <cell r="R11481">
            <v>45916</v>
          </cell>
          <cell r="S11481">
            <v>226024</v>
          </cell>
        </row>
        <row r="11482">
          <cell r="K11482" t="str">
            <v>223001</v>
          </cell>
          <cell r="M11482">
            <v>2</v>
          </cell>
          <cell r="R11482">
            <v>45916</v>
          </cell>
          <cell r="S11482">
            <v>223001</v>
          </cell>
        </row>
        <row r="11483">
          <cell r="K11483" t="str">
            <v>217018</v>
          </cell>
          <cell r="M11483">
            <v>1</v>
          </cell>
          <cell r="R11483">
            <v>45916</v>
          </cell>
          <cell r="S11483">
            <v>217018</v>
          </cell>
        </row>
        <row r="11484">
          <cell r="K11484" t="str">
            <v>228001</v>
          </cell>
          <cell r="M11484">
            <v>30</v>
          </cell>
          <cell r="R11484">
            <v>45916</v>
          </cell>
          <cell r="S11484">
            <v>228001</v>
          </cell>
        </row>
        <row r="11485">
          <cell r="K11485" t="str">
            <v>201011</v>
          </cell>
          <cell r="M11485">
            <v>6</v>
          </cell>
          <cell r="R11485">
            <v>45916</v>
          </cell>
          <cell r="S11485">
            <v>201011</v>
          </cell>
        </row>
        <row r="11486">
          <cell r="K11486" t="str">
            <v>241001</v>
          </cell>
          <cell r="M11486">
            <v>3</v>
          </cell>
          <cell r="R11486">
            <v>45916</v>
          </cell>
          <cell r="S11486">
            <v>241001</v>
          </cell>
        </row>
        <row r="11487">
          <cell r="K11487" t="str">
            <v>201011</v>
          </cell>
          <cell r="M11487">
            <v>3</v>
          </cell>
          <cell r="R11487">
            <v>45916</v>
          </cell>
          <cell r="S11487">
            <v>201011</v>
          </cell>
        </row>
        <row r="11488">
          <cell r="K11488" t="str">
            <v>201011</v>
          </cell>
          <cell r="M11488">
            <v>12</v>
          </cell>
          <cell r="R11488">
            <v>45916</v>
          </cell>
          <cell r="S11488">
            <v>201011</v>
          </cell>
        </row>
        <row r="11489">
          <cell r="K11489" t="str">
            <v>213002</v>
          </cell>
          <cell r="M11489">
            <v>15</v>
          </cell>
          <cell r="R11489">
            <v>45917</v>
          </cell>
          <cell r="S11489">
            <v>213002</v>
          </cell>
        </row>
        <row r="11490">
          <cell r="K11490" t="str">
            <v>213002</v>
          </cell>
          <cell r="M11490">
            <v>1</v>
          </cell>
          <cell r="R11490">
            <v>45917</v>
          </cell>
          <cell r="S11490">
            <v>213002</v>
          </cell>
        </row>
        <row r="11491">
          <cell r="K11491" t="str">
            <v>228001</v>
          </cell>
          <cell r="M11491">
            <v>5</v>
          </cell>
          <cell r="R11491">
            <v>45916</v>
          </cell>
          <cell r="S11491">
            <v>228001</v>
          </cell>
        </row>
        <row r="11492">
          <cell r="K11492" t="str">
            <v>231012</v>
          </cell>
          <cell r="M11492">
            <v>1</v>
          </cell>
          <cell r="R11492">
            <v>45916</v>
          </cell>
          <cell r="S11492">
            <v>231012</v>
          </cell>
        </row>
        <row r="11493">
          <cell r="K11493" t="str">
            <v>227001</v>
          </cell>
          <cell r="M11493">
            <v>1</v>
          </cell>
          <cell r="R11493">
            <v>45916</v>
          </cell>
          <cell r="S11493">
            <v>227001</v>
          </cell>
        </row>
        <row r="11494">
          <cell r="K11494" t="str">
            <v>223002</v>
          </cell>
          <cell r="M11494">
            <v>1</v>
          </cell>
          <cell r="R11494">
            <v>45916</v>
          </cell>
          <cell r="S11494">
            <v>223002</v>
          </cell>
        </row>
        <row r="11495">
          <cell r="K11495" t="str">
            <v>229001</v>
          </cell>
          <cell r="M11495">
            <v>1</v>
          </cell>
          <cell r="R11495">
            <v>45916</v>
          </cell>
          <cell r="S11495">
            <v>229001</v>
          </cell>
        </row>
        <row r="11496">
          <cell r="K11496" t="str">
            <v>201011</v>
          </cell>
          <cell r="M11496">
            <v>1</v>
          </cell>
          <cell r="R11496">
            <v>45916</v>
          </cell>
          <cell r="S11496">
            <v>201011</v>
          </cell>
        </row>
        <row r="11497">
          <cell r="K11497" t="str">
            <v>217011</v>
          </cell>
          <cell r="M11497">
            <v>1</v>
          </cell>
          <cell r="R11497">
            <v>45917</v>
          </cell>
          <cell r="S11497">
            <v>217011</v>
          </cell>
        </row>
        <row r="11498">
          <cell r="K11498" t="str">
            <v>213002</v>
          </cell>
          <cell r="M11498">
            <v>3</v>
          </cell>
          <cell r="R11498">
            <v>45917</v>
          </cell>
          <cell r="S11498">
            <v>213002</v>
          </cell>
        </row>
        <row r="11499">
          <cell r="K11499" t="str">
            <v>213002</v>
          </cell>
          <cell r="M11499">
            <v>3</v>
          </cell>
          <cell r="R11499">
            <v>45917</v>
          </cell>
          <cell r="S11499">
            <v>213002</v>
          </cell>
        </row>
        <row r="11500">
          <cell r="K11500" t="str">
            <v>227001</v>
          </cell>
          <cell r="M11500">
            <v>2</v>
          </cell>
          <cell r="R11500">
            <v>45917</v>
          </cell>
          <cell r="S11500">
            <v>227001</v>
          </cell>
        </row>
        <row r="11501">
          <cell r="K11501" t="str">
            <v>217022</v>
          </cell>
          <cell r="M11501">
            <v>2</v>
          </cell>
          <cell r="R11501">
            <v>45917</v>
          </cell>
          <cell r="S11501">
            <v>217022</v>
          </cell>
        </row>
        <row r="11502">
          <cell r="K11502" t="str">
            <v>217018</v>
          </cell>
          <cell r="M11502">
            <v>5</v>
          </cell>
          <cell r="R11502">
            <v>45917</v>
          </cell>
          <cell r="S11502">
            <v>217018</v>
          </cell>
        </row>
        <row r="11503">
          <cell r="K11503" t="str">
            <v>226029</v>
          </cell>
          <cell r="M11503">
            <v>5</v>
          </cell>
          <cell r="R11503">
            <v>45917</v>
          </cell>
          <cell r="S11503">
            <v>226029</v>
          </cell>
        </row>
        <row r="11504">
          <cell r="K11504" t="str">
            <v>223002</v>
          </cell>
          <cell r="M11504">
            <v>3</v>
          </cell>
          <cell r="R11504">
            <v>45917</v>
          </cell>
          <cell r="S11504">
            <v>223002</v>
          </cell>
        </row>
        <row r="11505">
          <cell r="K11505" t="str">
            <v>237001</v>
          </cell>
          <cell r="M11505">
            <v>1</v>
          </cell>
          <cell r="R11505">
            <v>45919</v>
          </cell>
          <cell r="S11505">
            <v>237001</v>
          </cell>
        </row>
        <row r="11506">
          <cell r="K11506" t="str">
            <v>201004</v>
          </cell>
          <cell r="M11506">
            <v>2</v>
          </cell>
          <cell r="R11506">
            <v>45919</v>
          </cell>
          <cell r="S11506">
            <v>201004</v>
          </cell>
        </row>
        <row r="11507">
          <cell r="K11507" t="str">
            <v>201003</v>
          </cell>
          <cell r="M11507">
            <v>4</v>
          </cell>
          <cell r="R11507">
            <v>45919</v>
          </cell>
          <cell r="S11507">
            <v>201003</v>
          </cell>
        </row>
        <row r="11508">
          <cell r="K11508" t="str">
            <v>201004</v>
          </cell>
          <cell r="M11508">
            <v>1</v>
          </cell>
          <cell r="R11508">
            <v>45919</v>
          </cell>
          <cell r="S11508">
            <v>201004</v>
          </cell>
        </row>
        <row r="11509">
          <cell r="K11509" t="str">
            <v>226025</v>
          </cell>
          <cell r="M11509">
            <v>1</v>
          </cell>
          <cell r="R11509">
            <v>45919</v>
          </cell>
          <cell r="S11509">
            <v>226025</v>
          </cell>
        </row>
        <row r="11510">
          <cell r="K11510" t="str">
            <v>201021</v>
          </cell>
          <cell r="M11510">
            <v>1</v>
          </cell>
          <cell r="R11510">
            <v>45919</v>
          </cell>
          <cell r="S11510">
            <v>201021</v>
          </cell>
        </row>
        <row r="11511">
          <cell r="K11511" t="str">
            <v>228001</v>
          </cell>
          <cell r="M11511">
            <v>1</v>
          </cell>
          <cell r="R11511">
            <v>45919</v>
          </cell>
          <cell r="S11511">
            <v>228001</v>
          </cell>
        </row>
        <row r="11512">
          <cell r="K11512" t="str">
            <v>222001</v>
          </cell>
          <cell r="M11512">
            <v>5</v>
          </cell>
          <cell r="R11512">
            <v>45919</v>
          </cell>
          <cell r="S11512">
            <v>222001</v>
          </cell>
        </row>
        <row r="11513">
          <cell r="K11513" t="str">
            <v>241001</v>
          </cell>
          <cell r="M11513">
            <v>3</v>
          </cell>
          <cell r="R11513">
            <v>45919</v>
          </cell>
          <cell r="S11513">
            <v>241001</v>
          </cell>
        </row>
        <row r="11514">
          <cell r="K11514" t="str">
            <v>213005</v>
          </cell>
          <cell r="M11514">
            <v>1</v>
          </cell>
          <cell r="R11514">
            <v>45919</v>
          </cell>
          <cell r="S11514">
            <v>213005</v>
          </cell>
        </row>
        <row r="11515">
          <cell r="K11515" t="str">
            <v>213005</v>
          </cell>
          <cell r="M11515">
            <v>1</v>
          </cell>
          <cell r="R11515">
            <v>45919</v>
          </cell>
          <cell r="S11515">
            <v>213005</v>
          </cell>
        </row>
        <row r="11516">
          <cell r="K11516" t="str">
            <v>226023</v>
          </cell>
          <cell r="M11516">
            <v>1</v>
          </cell>
          <cell r="R11516">
            <v>45919</v>
          </cell>
          <cell r="S11516">
            <v>226023</v>
          </cell>
        </row>
        <row r="11517">
          <cell r="K11517" t="str">
            <v>226025</v>
          </cell>
          <cell r="M11517">
            <v>3</v>
          </cell>
          <cell r="R11517">
            <v>45919</v>
          </cell>
          <cell r="S11517">
            <v>226025</v>
          </cell>
        </row>
        <row r="11518">
          <cell r="K11518" t="str">
            <v>228001</v>
          </cell>
          <cell r="M11518">
            <v>1</v>
          </cell>
          <cell r="R11518">
            <v>45919</v>
          </cell>
          <cell r="S11518">
            <v>228001</v>
          </cell>
        </row>
        <row r="11519">
          <cell r="K11519" t="str">
            <v>201011</v>
          </cell>
          <cell r="M11519">
            <v>3</v>
          </cell>
          <cell r="R11519">
            <v>45921</v>
          </cell>
          <cell r="S11519">
            <v>201011</v>
          </cell>
        </row>
        <row r="11520">
          <cell r="K11520" t="str">
            <v>231012</v>
          </cell>
          <cell r="M11520">
            <v>1</v>
          </cell>
          <cell r="R11520">
            <v>45921</v>
          </cell>
          <cell r="S11520">
            <v>231012</v>
          </cell>
        </row>
        <row r="11521">
          <cell r="K11521" t="str">
            <v>223002</v>
          </cell>
          <cell r="M11521">
            <v>7</v>
          </cell>
          <cell r="R11521">
            <v>45921</v>
          </cell>
          <cell r="S11521">
            <v>223002</v>
          </cell>
        </row>
        <row r="11522">
          <cell r="K11522" t="str">
            <v>220002</v>
          </cell>
          <cell r="M11522">
            <v>2</v>
          </cell>
          <cell r="R11522">
            <v>45921</v>
          </cell>
          <cell r="S11522">
            <v>220002</v>
          </cell>
        </row>
        <row r="11523">
          <cell r="K11523" t="str">
            <v>223001</v>
          </cell>
          <cell r="M11523">
            <v>2</v>
          </cell>
          <cell r="R11523">
            <v>45921</v>
          </cell>
          <cell r="S11523">
            <v>223001</v>
          </cell>
        </row>
        <row r="11524">
          <cell r="K11524" t="str">
            <v>223002</v>
          </cell>
          <cell r="M11524">
            <v>3</v>
          </cell>
          <cell r="R11524">
            <v>45921</v>
          </cell>
          <cell r="S11524">
            <v>223002</v>
          </cell>
        </row>
        <row r="11525">
          <cell r="K11525" t="str">
            <v>223001</v>
          </cell>
          <cell r="M11525">
            <v>5</v>
          </cell>
          <cell r="R11525">
            <v>45921</v>
          </cell>
          <cell r="S11525">
            <v>223001</v>
          </cell>
        </row>
        <row r="11526">
          <cell r="K11526" t="str">
            <v>201011</v>
          </cell>
          <cell r="M11526">
            <v>3</v>
          </cell>
          <cell r="R11526">
            <v>45921</v>
          </cell>
          <cell r="S11526">
            <v>201011</v>
          </cell>
        </row>
        <row r="11527">
          <cell r="K11527" t="str">
            <v>201022</v>
          </cell>
          <cell r="M11527">
            <v>1</v>
          </cell>
          <cell r="R11527">
            <v>45921</v>
          </cell>
          <cell r="S11527">
            <v>201022</v>
          </cell>
        </row>
        <row r="11528">
          <cell r="K11528" t="str">
            <v>209001</v>
          </cell>
          <cell r="M11528">
            <v>1</v>
          </cell>
          <cell r="R11528">
            <v>45921</v>
          </cell>
          <cell r="S11528">
            <v>209001</v>
          </cell>
        </row>
        <row r="11529">
          <cell r="K11529" t="str">
            <v>234011</v>
          </cell>
          <cell r="M11529">
            <v>1</v>
          </cell>
          <cell r="R11529">
            <v>45921</v>
          </cell>
          <cell r="S11529">
            <v>234011</v>
          </cell>
        </row>
        <row r="11530">
          <cell r="K11530" t="str">
            <v>201011</v>
          </cell>
          <cell r="M11530">
            <v>5</v>
          </cell>
          <cell r="R11530">
            <v>45921</v>
          </cell>
          <cell r="S11530">
            <v>201011</v>
          </cell>
        </row>
        <row r="11531">
          <cell r="K11531" t="str">
            <v>212010</v>
          </cell>
          <cell r="M11531">
            <v>10</v>
          </cell>
          <cell r="R11531">
            <v>45921</v>
          </cell>
          <cell r="S11531">
            <v>212010</v>
          </cell>
        </row>
        <row r="11532">
          <cell r="K11532" t="str">
            <v>261004</v>
          </cell>
          <cell r="M11532">
            <v>8</v>
          </cell>
          <cell r="R11532">
            <v>45921</v>
          </cell>
          <cell r="S11532">
            <v>261004</v>
          </cell>
        </row>
        <row r="11533">
          <cell r="K11533" t="str">
            <v>223002</v>
          </cell>
          <cell r="M11533">
            <v>2</v>
          </cell>
          <cell r="R11533">
            <v>45921</v>
          </cell>
          <cell r="S11533">
            <v>223002</v>
          </cell>
        </row>
        <row r="11534">
          <cell r="K11534" t="str">
            <v>223001</v>
          </cell>
          <cell r="M11534">
            <v>2</v>
          </cell>
          <cell r="R11534">
            <v>45921</v>
          </cell>
          <cell r="S11534">
            <v>223001</v>
          </cell>
        </row>
        <row r="11535">
          <cell r="K11535" t="str">
            <v>222001</v>
          </cell>
          <cell r="M11535">
            <v>1</v>
          </cell>
          <cell r="R11535">
            <v>45921</v>
          </cell>
          <cell r="S11535">
            <v>222001</v>
          </cell>
        </row>
        <row r="11536">
          <cell r="K11536" t="str">
            <v>234011</v>
          </cell>
          <cell r="M11536">
            <v>1</v>
          </cell>
          <cell r="R11536">
            <v>45921</v>
          </cell>
          <cell r="S11536">
            <v>234011</v>
          </cell>
        </row>
        <row r="11537">
          <cell r="K11537" t="str">
            <v>237001</v>
          </cell>
          <cell r="M11537">
            <v>1</v>
          </cell>
          <cell r="R11537">
            <v>45921</v>
          </cell>
          <cell r="S11537">
            <v>237001</v>
          </cell>
        </row>
        <row r="11538">
          <cell r="K11538" t="str">
            <v>201011</v>
          </cell>
          <cell r="M11538">
            <v>6</v>
          </cell>
          <cell r="R11538">
            <v>45921</v>
          </cell>
          <cell r="S11538">
            <v>201011</v>
          </cell>
        </row>
        <row r="11539">
          <cell r="K11539" t="str">
            <v>223002</v>
          </cell>
          <cell r="M11539">
            <v>3</v>
          </cell>
          <cell r="R11539">
            <v>45921</v>
          </cell>
          <cell r="S11539">
            <v>223002</v>
          </cell>
        </row>
        <row r="11540">
          <cell r="K11540" t="str">
            <v>228001</v>
          </cell>
          <cell r="M11540">
            <v>4</v>
          </cell>
          <cell r="R11540">
            <v>45922</v>
          </cell>
          <cell r="S11540">
            <v>228001</v>
          </cell>
        </row>
        <row r="11541">
          <cell r="K11541" t="str">
            <v>231012</v>
          </cell>
          <cell r="M11541">
            <v>4</v>
          </cell>
          <cell r="R11541">
            <v>45922</v>
          </cell>
          <cell r="S11541">
            <v>231012</v>
          </cell>
        </row>
        <row r="11542">
          <cell r="K11542" t="str">
            <v>217018</v>
          </cell>
          <cell r="M11542">
            <v>2</v>
          </cell>
          <cell r="R11542">
            <v>45921</v>
          </cell>
          <cell r="S11542">
            <v>217018</v>
          </cell>
        </row>
        <row r="11543">
          <cell r="K11543" t="str">
            <v>223002</v>
          </cell>
          <cell r="M11543">
            <v>1</v>
          </cell>
          <cell r="R11543">
            <v>45921</v>
          </cell>
          <cell r="S11543">
            <v>223002</v>
          </cell>
        </row>
        <row r="11544">
          <cell r="K11544" t="str">
            <v>226029</v>
          </cell>
          <cell r="M11544">
            <v>1</v>
          </cell>
          <cell r="R11544">
            <v>45921</v>
          </cell>
          <cell r="S11544">
            <v>226029</v>
          </cell>
        </row>
        <row r="11545">
          <cell r="K11545" t="str">
            <v>231004</v>
          </cell>
          <cell r="M11545">
            <v>1</v>
          </cell>
          <cell r="R11545">
            <v>45921</v>
          </cell>
          <cell r="S11545">
            <v>231004</v>
          </cell>
        </row>
        <row r="11546">
          <cell r="K11546" t="str">
            <v>213002</v>
          </cell>
          <cell r="M11546">
            <v>1</v>
          </cell>
          <cell r="R11546">
            <v>45921</v>
          </cell>
          <cell r="S11546">
            <v>213002</v>
          </cell>
        </row>
        <row r="11547">
          <cell r="K11547" t="str">
            <v>201021</v>
          </cell>
          <cell r="M11547">
            <v>2</v>
          </cell>
          <cell r="R11547">
            <v>45922</v>
          </cell>
          <cell r="S11547">
            <v>201021</v>
          </cell>
        </row>
        <row r="11548">
          <cell r="K11548" t="str">
            <v>223017</v>
          </cell>
          <cell r="M11548">
            <v>1</v>
          </cell>
          <cell r="R11548">
            <v>45922</v>
          </cell>
          <cell r="S11548">
            <v>223017</v>
          </cell>
        </row>
        <row r="11549">
          <cell r="K11549" t="str">
            <v>223002</v>
          </cell>
          <cell r="M11549">
            <v>8</v>
          </cell>
          <cell r="R11549">
            <v>45921</v>
          </cell>
          <cell r="S11549">
            <v>223002</v>
          </cell>
        </row>
        <row r="11550">
          <cell r="K11550" t="str">
            <v>201003</v>
          </cell>
          <cell r="M11550">
            <v>2</v>
          </cell>
          <cell r="R11550">
            <v>45921</v>
          </cell>
          <cell r="S11550">
            <v>201003</v>
          </cell>
        </row>
        <row r="11551">
          <cell r="K11551" t="str">
            <v>226001</v>
          </cell>
          <cell r="M11551">
            <v>1</v>
          </cell>
          <cell r="R11551">
            <v>45922</v>
          </cell>
          <cell r="S11551">
            <v>226001</v>
          </cell>
        </row>
        <row r="11552">
          <cell r="K11552" t="str">
            <v>227001</v>
          </cell>
          <cell r="M11552">
            <v>5</v>
          </cell>
          <cell r="R11552">
            <v>45922</v>
          </cell>
          <cell r="S11552">
            <v>227001</v>
          </cell>
        </row>
        <row r="11553">
          <cell r="K11553" t="str">
            <v>213002</v>
          </cell>
          <cell r="M11553">
            <v>2</v>
          </cell>
          <cell r="R11553">
            <v>45922</v>
          </cell>
          <cell r="S11553">
            <v>213002</v>
          </cell>
        </row>
        <row r="11554">
          <cell r="K11554" t="str">
            <v>213006</v>
          </cell>
          <cell r="M11554">
            <v>10</v>
          </cell>
          <cell r="R11554">
            <v>45922</v>
          </cell>
          <cell r="S11554">
            <v>213006</v>
          </cell>
        </row>
        <row r="11555">
          <cell r="K11555" t="str">
            <v>228001</v>
          </cell>
          <cell r="M11555">
            <v>4</v>
          </cell>
          <cell r="R11555">
            <v>45922</v>
          </cell>
          <cell r="S11555">
            <v>228001</v>
          </cell>
        </row>
        <row r="11556">
          <cell r="K11556" t="str">
            <v>209012</v>
          </cell>
          <cell r="M11556">
            <v>1</v>
          </cell>
          <cell r="R11556">
            <v>45922</v>
          </cell>
          <cell r="S11556">
            <v>209012</v>
          </cell>
        </row>
        <row r="11557">
          <cell r="K11557" t="str">
            <v>228001</v>
          </cell>
          <cell r="M11557">
            <v>12</v>
          </cell>
          <cell r="R11557">
            <v>45917</v>
          </cell>
          <cell r="S11557">
            <v>228001</v>
          </cell>
        </row>
        <row r="11558">
          <cell r="K11558" t="str">
            <v>201003</v>
          </cell>
          <cell r="M11558">
            <v>2</v>
          </cell>
          <cell r="R11558">
            <v>45922</v>
          </cell>
          <cell r="S11558">
            <v>201003</v>
          </cell>
        </row>
        <row r="11559">
          <cell r="K11559" t="str">
            <v>212035</v>
          </cell>
          <cell r="M11559">
            <v>2</v>
          </cell>
          <cell r="R11559">
            <v>45922</v>
          </cell>
          <cell r="S11559">
            <v>212035</v>
          </cell>
        </row>
        <row r="11560">
          <cell r="K11560" t="str">
            <v>234001</v>
          </cell>
          <cell r="M11560">
            <v>1</v>
          </cell>
          <cell r="R11560">
            <v>45922</v>
          </cell>
          <cell r="S11560">
            <v>234001</v>
          </cell>
        </row>
        <row r="11561">
          <cell r="K11561" t="str">
            <v>203003</v>
          </cell>
          <cell r="M11561">
            <v>3</v>
          </cell>
          <cell r="R11561">
            <v>45922</v>
          </cell>
          <cell r="S11561">
            <v>203003</v>
          </cell>
        </row>
        <row r="11562">
          <cell r="K11562" t="str">
            <v>213024</v>
          </cell>
          <cell r="M11562">
            <v>1</v>
          </cell>
          <cell r="R11562">
            <v>45922</v>
          </cell>
          <cell r="S11562">
            <v>213024</v>
          </cell>
        </row>
        <row r="11563">
          <cell r="K11563" t="str">
            <v>261004</v>
          </cell>
          <cell r="M11563">
            <v>20</v>
          </cell>
          <cell r="R11563">
            <v>45922</v>
          </cell>
          <cell r="S11563">
            <v>261004</v>
          </cell>
        </row>
        <row r="11564">
          <cell r="K11564" t="str">
            <v>213006</v>
          </cell>
          <cell r="M11564">
            <v>1</v>
          </cell>
          <cell r="R11564">
            <v>45922</v>
          </cell>
          <cell r="S11564">
            <v>213006</v>
          </cell>
        </row>
        <row r="11565">
          <cell r="K11565" t="str">
            <v>228001</v>
          </cell>
          <cell r="M11565">
            <v>5</v>
          </cell>
          <cell r="R11565">
            <v>45922</v>
          </cell>
          <cell r="S11565">
            <v>228001</v>
          </cell>
        </row>
        <row r="11566">
          <cell r="K11566" t="str">
            <v>213024</v>
          </cell>
          <cell r="M11566">
            <v>5</v>
          </cell>
          <cell r="R11566">
            <v>45922</v>
          </cell>
          <cell r="S11566">
            <v>213024</v>
          </cell>
        </row>
        <row r="11567">
          <cell r="K11567" t="str">
            <v>213002</v>
          </cell>
          <cell r="M11567">
            <v>12</v>
          </cell>
          <cell r="R11567">
            <v>45922</v>
          </cell>
          <cell r="S11567">
            <v>213002</v>
          </cell>
        </row>
        <row r="11568">
          <cell r="K11568" t="str">
            <v>229001</v>
          </cell>
          <cell r="M11568">
            <v>10</v>
          </cell>
          <cell r="R11568">
            <v>45922</v>
          </cell>
          <cell r="S11568">
            <v>229001</v>
          </cell>
        </row>
        <row r="11569">
          <cell r="K11569" t="str">
            <v>226029</v>
          </cell>
          <cell r="M11569">
            <v>1</v>
          </cell>
          <cell r="R11569">
            <v>45922</v>
          </cell>
          <cell r="S11569">
            <v>226029</v>
          </cell>
        </row>
        <row r="11570">
          <cell r="K11570" t="str">
            <v>209001</v>
          </cell>
          <cell r="M11570">
            <v>3</v>
          </cell>
          <cell r="R11570">
            <v>45922</v>
          </cell>
          <cell r="S11570">
            <v>209001</v>
          </cell>
        </row>
        <row r="11571">
          <cell r="K11571" t="str">
            <v>231012</v>
          </cell>
          <cell r="M11571">
            <v>1</v>
          </cell>
          <cell r="R11571">
            <v>45922</v>
          </cell>
          <cell r="S11571">
            <v>231012</v>
          </cell>
        </row>
        <row r="11572">
          <cell r="K11572" t="str">
            <v>203003</v>
          </cell>
          <cell r="M11572">
            <v>1</v>
          </cell>
          <cell r="R11572">
            <v>45922</v>
          </cell>
          <cell r="S11572">
            <v>203003</v>
          </cell>
        </row>
        <row r="11573">
          <cell r="K11573" t="str">
            <v>227002</v>
          </cell>
          <cell r="M11573">
            <v>1</v>
          </cell>
          <cell r="R11573">
            <v>45922</v>
          </cell>
          <cell r="S11573">
            <v>227002</v>
          </cell>
        </row>
        <row r="11574">
          <cell r="K11574" t="str">
            <v>213002</v>
          </cell>
          <cell r="M11574">
            <v>4</v>
          </cell>
          <cell r="R11574">
            <v>45922</v>
          </cell>
          <cell r="S11574">
            <v>213002</v>
          </cell>
        </row>
        <row r="11575">
          <cell r="K11575" t="str">
            <v>213006</v>
          </cell>
          <cell r="M11575">
            <v>3</v>
          </cell>
          <cell r="R11575">
            <v>45922</v>
          </cell>
          <cell r="S11575">
            <v>213006</v>
          </cell>
        </row>
        <row r="11576">
          <cell r="K11576" t="str">
            <v>201011</v>
          </cell>
          <cell r="M11576">
            <v>2</v>
          </cell>
          <cell r="R11576">
            <v>45922</v>
          </cell>
          <cell r="S11576">
            <v>201011</v>
          </cell>
        </row>
        <row r="11577">
          <cell r="K11577" t="str">
            <v>220003</v>
          </cell>
          <cell r="M11577">
            <v>1</v>
          </cell>
          <cell r="R11577">
            <v>45922</v>
          </cell>
          <cell r="S11577">
            <v>220003</v>
          </cell>
        </row>
        <row r="11578">
          <cell r="K11578" t="str">
            <v>226001</v>
          </cell>
          <cell r="M11578">
            <v>1</v>
          </cell>
          <cell r="R11578">
            <v>45922</v>
          </cell>
          <cell r="S11578">
            <v>226001</v>
          </cell>
        </row>
        <row r="11579">
          <cell r="K11579" t="str">
            <v>226001</v>
          </cell>
          <cell r="M11579">
            <v>2</v>
          </cell>
          <cell r="R11579">
            <v>45922</v>
          </cell>
          <cell r="S11579">
            <v>226001</v>
          </cell>
        </row>
        <row r="11580">
          <cell r="K11580" t="str">
            <v>226001</v>
          </cell>
          <cell r="M11580">
            <v>1</v>
          </cell>
          <cell r="R11580">
            <v>45922</v>
          </cell>
          <cell r="S11580">
            <v>226001</v>
          </cell>
        </row>
        <row r="11581">
          <cell r="K11581" t="str">
            <v>209004</v>
          </cell>
          <cell r="M11581">
            <v>2</v>
          </cell>
          <cell r="R11581">
            <v>45922</v>
          </cell>
          <cell r="S11581">
            <v>209004</v>
          </cell>
        </row>
        <row r="11582">
          <cell r="K11582" t="str">
            <v>228001</v>
          </cell>
          <cell r="M11582">
            <v>2</v>
          </cell>
          <cell r="R11582">
            <v>45922</v>
          </cell>
          <cell r="S11582">
            <v>228001</v>
          </cell>
        </row>
        <row r="11583">
          <cell r="K11583" t="str">
            <v>209004</v>
          </cell>
          <cell r="M11583">
            <v>2</v>
          </cell>
          <cell r="R11583">
            <v>45922</v>
          </cell>
          <cell r="S11583">
            <v>209004</v>
          </cell>
        </row>
        <row r="11584">
          <cell r="K11584" t="str">
            <v>213002</v>
          </cell>
          <cell r="M11584">
            <v>2</v>
          </cell>
          <cell r="R11584">
            <v>45922</v>
          </cell>
          <cell r="S11584">
            <v>213002</v>
          </cell>
        </row>
        <row r="11585">
          <cell r="K11585" t="str">
            <v>207017</v>
          </cell>
          <cell r="M11585">
            <v>1</v>
          </cell>
          <cell r="R11585">
            <v>45922</v>
          </cell>
          <cell r="S11585">
            <v>207017</v>
          </cell>
        </row>
        <row r="11586">
          <cell r="K11586" t="str">
            <v>203001</v>
          </cell>
          <cell r="M11586">
            <v>4</v>
          </cell>
          <cell r="R11586">
            <v>45922</v>
          </cell>
          <cell r="S11586">
            <v>203001</v>
          </cell>
        </row>
        <row r="11587">
          <cell r="K11587" t="str">
            <v>213002</v>
          </cell>
          <cell r="M11587">
            <v>5</v>
          </cell>
          <cell r="R11587">
            <v>45922</v>
          </cell>
          <cell r="S11587">
            <v>213002</v>
          </cell>
        </row>
        <row r="11588">
          <cell r="K11588" t="str">
            <v>201003</v>
          </cell>
          <cell r="M11588">
            <v>1</v>
          </cell>
          <cell r="R11588">
            <v>45922</v>
          </cell>
          <cell r="S11588">
            <v>201003</v>
          </cell>
        </row>
        <row r="11589">
          <cell r="K11589" t="str">
            <v>231012</v>
          </cell>
          <cell r="M11589">
            <v>1</v>
          </cell>
          <cell r="R11589">
            <v>45922</v>
          </cell>
          <cell r="S11589">
            <v>231012</v>
          </cell>
        </row>
        <row r="11590">
          <cell r="K11590" t="str">
            <v>201011</v>
          </cell>
          <cell r="M11590">
            <v>10</v>
          </cell>
          <cell r="R11590">
            <v>45919</v>
          </cell>
          <cell r="S11590">
            <v>201011</v>
          </cell>
        </row>
        <row r="11591">
          <cell r="K11591" t="str">
            <v>228001</v>
          </cell>
          <cell r="M11591">
            <v>2</v>
          </cell>
          <cell r="R11591">
            <v>45922</v>
          </cell>
          <cell r="S11591">
            <v>228001</v>
          </cell>
        </row>
        <row r="11592">
          <cell r="K11592" t="str">
            <v>228001</v>
          </cell>
          <cell r="M11592">
            <v>4</v>
          </cell>
          <cell r="R11592">
            <v>45918</v>
          </cell>
          <cell r="S11592">
            <v>228001</v>
          </cell>
        </row>
        <row r="11593">
          <cell r="K11593" t="str">
            <v>201003</v>
          </cell>
          <cell r="M11593">
            <v>1</v>
          </cell>
          <cell r="R11593">
            <v>45922</v>
          </cell>
          <cell r="S11593">
            <v>201003</v>
          </cell>
        </row>
        <row r="11594">
          <cell r="K11594" t="str">
            <v>212002</v>
          </cell>
          <cell r="M11594">
            <v>1</v>
          </cell>
          <cell r="R11594">
            <v>45922</v>
          </cell>
          <cell r="S11594">
            <v>212002</v>
          </cell>
        </row>
        <row r="11595">
          <cell r="K11595" t="str">
            <v>228001</v>
          </cell>
          <cell r="M11595">
            <v>2</v>
          </cell>
          <cell r="R11595">
            <v>45922</v>
          </cell>
          <cell r="S11595">
            <v>228001</v>
          </cell>
        </row>
        <row r="11596">
          <cell r="K11596" t="str">
            <v>220002</v>
          </cell>
          <cell r="M11596">
            <v>1</v>
          </cell>
          <cell r="R11596">
            <v>45922</v>
          </cell>
          <cell r="S11596">
            <v>220002</v>
          </cell>
        </row>
        <row r="11597">
          <cell r="K11597" t="str">
            <v>227012</v>
          </cell>
          <cell r="M11597">
            <v>3</v>
          </cell>
          <cell r="R11597">
            <v>45922</v>
          </cell>
          <cell r="S11597">
            <v>227012</v>
          </cell>
        </row>
        <row r="11598">
          <cell r="K11598" t="str">
            <v>229004</v>
          </cell>
          <cell r="M11598">
            <v>3</v>
          </cell>
          <cell r="R11598">
            <v>45922</v>
          </cell>
          <cell r="S11598">
            <v>229004</v>
          </cell>
        </row>
        <row r="11599">
          <cell r="K11599" t="str">
            <v>229004</v>
          </cell>
          <cell r="M11599">
            <v>2</v>
          </cell>
          <cell r="R11599">
            <v>45922</v>
          </cell>
          <cell r="S11599">
            <v>229004</v>
          </cell>
        </row>
        <row r="11600">
          <cell r="K11600" t="str">
            <v>226001</v>
          </cell>
          <cell r="M11600">
            <v>1</v>
          </cell>
          <cell r="R11600">
            <v>45922</v>
          </cell>
          <cell r="S11600">
            <v>226001</v>
          </cell>
        </row>
        <row r="11601">
          <cell r="K11601" t="str">
            <v>217019</v>
          </cell>
          <cell r="M11601">
            <v>4</v>
          </cell>
          <cell r="R11601">
            <v>45922</v>
          </cell>
          <cell r="S11601">
            <v>217019</v>
          </cell>
        </row>
        <row r="11602">
          <cell r="K11602" t="str">
            <v>217020</v>
          </cell>
          <cell r="M11602">
            <v>1</v>
          </cell>
          <cell r="R11602">
            <v>45922</v>
          </cell>
          <cell r="S11602">
            <v>217020</v>
          </cell>
        </row>
        <row r="11603">
          <cell r="K11603" t="str">
            <v>223002</v>
          </cell>
          <cell r="M11603">
            <v>1</v>
          </cell>
          <cell r="R11603">
            <v>45922</v>
          </cell>
          <cell r="S11603">
            <v>223002</v>
          </cell>
        </row>
        <row r="11604">
          <cell r="K11604" t="str">
            <v>201011</v>
          </cell>
          <cell r="M11604">
            <v>14</v>
          </cell>
          <cell r="R11604">
            <v>45922</v>
          </cell>
          <cell r="S11604">
            <v>201011</v>
          </cell>
        </row>
        <row r="11605">
          <cell r="K11605" t="str">
            <v>210010</v>
          </cell>
          <cell r="M11605">
            <v>3</v>
          </cell>
          <cell r="R11605">
            <v>45922</v>
          </cell>
          <cell r="S11605">
            <v>210010</v>
          </cell>
        </row>
        <row r="11606">
          <cell r="K11606" t="str">
            <v>217021</v>
          </cell>
          <cell r="M11606">
            <v>1</v>
          </cell>
          <cell r="R11606">
            <v>45922</v>
          </cell>
          <cell r="S11606">
            <v>217021</v>
          </cell>
        </row>
        <row r="11607">
          <cell r="K11607" t="str">
            <v>241001</v>
          </cell>
          <cell r="M11607">
            <v>3</v>
          </cell>
          <cell r="R11607">
            <v>45922</v>
          </cell>
          <cell r="S11607">
            <v>241001</v>
          </cell>
        </row>
        <row r="11608">
          <cell r="K11608" t="str">
            <v>222001</v>
          </cell>
          <cell r="M11608">
            <v>4</v>
          </cell>
          <cell r="R11608">
            <v>45922</v>
          </cell>
          <cell r="S11608">
            <v>222001</v>
          </cell>
        </row>
        <row r="11609">
          <cell r="K11609" t="str">
            <v>222007</v>
          </cell>
          <cell r="M11609">
            <v>3</v>
          </cell>
          <cell r="R11609">
            <v>45922</v>
          </cell>
          <cell r="S11609">
            <v>222007</v>
          </cell>
        </row>
        <row r="11610">
          <cell r="K11610" t="str">
            <v>213024</v>
          </cell>
          <cell r="M11610">
            <v>3</v>
          </cell>
          <cell r="R11610">
            <v>45922</v>
          </cell>
          <cell r="S11610">
            <v>213024</v>
          </cell>
        </row>
        <row r="11611">
          <cell r="K11611" t="str">
            <v>241001</v>
          </cell>
          <cell r="M11611">
            <v>6</v>
          </cell>
          <cell r="R11611">
            <v>45922</v>
          </cell>
          <cell r="S11611">
            <v>241001</v>
          </cell>
        </row>
        <row r="11612">
          <cell r="K11612" t="str">
            <v>234001</v>
          </cell>
          <cell r="M11612">
            <v>1</v>
          </cell>
          <cell r="R11612">
            <v>45923</v>
          </cell>
          <cell r="S11612">
            <v>234001</v>
          </cell>
        </row>
        <row r="11613">
          <cell r="K11613" t="str">
            <v>227012</v>
          </cell>
          <cell r="M11613">
            <v>2</v>
          </cell>
          <cell r="R11613">
            <v>45922</v>
          </cell>
          <cell r="S11613">
            <v>227012</v>
          </cell>
        </row>
        <row r="11614">
          <cell r="K11614" t="str">
            <v>241001</v>
          </cell>
          <cell r="M11614">
            <v>6</v>
          </cell>
          <cell r="R11614">
            <v>45923</v>
          </cell>
          <cell r="S11614">
            <v>241001</v>
          </cell>
        </row>
        <row r="11615">
          <cell r="K11615" t="str">
            <v>213018</v>
          </cell>
          <cell r="M11615">
            <v>1</v>
          </cell>
          <cell r="R11615">
            <v>45922</v>
          </cell>
          <cell r="S11615">
            <v>213018</v>
          </cell>
        </row>
        <row r="11616">
          <cell r="K11616" t="str">
            <v>213006</v>
          </cell>
          <cell r="M11616">
            <v>1</v>
          </cell>
          <cell r="R11616">
            <v>45922</v>
          </cell>
          <cell r="S11616">
            <v>213006</v>
          </cell>
        </row>
        <row r="11617">
          <cell r="K11617" t="str">
            <v>227012</v>
          </cell>
          <cell r="M11617">
            <v>2</v>
          </cell>
          <cell r="R11617">
            <v>45922</v>
          </cell>
          <cell r="S11617">
            <v>227012</v>
          </cell>
        </row>
        <row r="11618">
          <cell r="K11618" t="str">
            <v>228001</v>
          </cell>
          <cell r="M11618">
            <v>10</v>
          </cell>
          <cell r="R11618">
            <v>45923</v>
          </cell>
          <cell r="S11618">
            <v>228001</v>
          </cell>
        </row>
        <row r="11619">
          <cell r="K11619" t="str">
            <v>217019</v>
          </cell>
          <cell r="M11619">
            <v>6</v>
          </cell>
          <cell r="R11619">
            <v>45923</v>
          </cell>
          <cell r="S11619">
            <v>217019</v>
          </cell>
        </row>
        <row r="11620">
          <cell r="K11620" t="str">
            <v>231010</v>
          </cell>
          <cell r="M11620">
            <v>2</v>
          </cell>
          <cell r="R11620">
            <v>45922</v>
          </cell>
          <cell r="S11620">
            <v>231010</v>
          </cell>
        </row>
        <row r="11621">
          <cell r="K11621" t="str">
            <v>201011</v>
          </cell>
          <cell r="M11621">
            <v>1</v>
          </cell>
          <cell r="R11621">
            <v>45922</v>
          </cell>
          <cell r="S11621">
            <v>201011</v>
          </cell>
        </row>
        <row r="11622">
          <cell r="K11622" t="str">
            <v>223002</v>
          </cell>
          <cell r="M11622">
            <v>2</v>
          </cell>
          <cell r="R11622">
            <v>45922</v>
          </cell>
          <cell r="S11622">
            <v>223002</v>
          </cell>
        </row>
        <row r="11623">
          <cell r="K11623" t="str">
            <v>223001</v>
          </cell>
          <cell r="M11623">
            <v>1</v>
          </cell>
          <cell r="R11623">
            <v>45922</v>
          </cell>
          <cell r="S11623">
            <v>223001</v>
          </cell>
        </row>
        <row r="11624">
          <cell r="K11624" t="str">
            <v>227012</v>
          </cell>
          <cell r="M11624">
            <v>1</v>
          </cell>
          <cell r="R11624">
            <v>45922</v>
          </cell>
          <cell r="S11624">
            <v>227012</v>
          </cell>
        </row>
        <row r="11625">
          <cell r="K11625" t="str">
            <v>209022</v>
          </cell>
          <cell r="M11625">
            <v>4</v>
          </cell>
          <cell r="R11625">
            <v>45922</v>
          </cell>
          <cell r="S11625">
            <v>209022</v>
          </cell>
        </row>
        <row r="11626">
          <cell r="K11626" t="str">
            <v>203003</v>
          </cell>
          <cell r="M11626">
            <v>2</v>
          </cell>
          <cell r="R11626">
            <v>45923</v>
          </cell>
          <cell r="S11626">
            <v>203003</v>
          </cell>
        </row>
        <row r="11627">
          <cell r="K11627" t="str">
            <v>213006</v>
          </cell>
          <cell r="M11627">
            <v>1</v>
          </cell>
          <cell r="R11627">
            <v>45923</v>
          </cell>
          <cell r="S11627">
            <v>213006</v>
          </cell>
        </row>
        <row r="11628">
          <cell r="K11628" t="str">
            <v>207017</v>
          </cell>
          <cell r="M11628">
            <v>3</v>
          </cell>
          <cell r="R11628">
            <v>45923</v>
          </cell>
          <cell r="S11628">
            <v>207017</v>
          </cell>
        </row>
        <row r="11629">
          <cell r="K11629" t="str">
            <v>231012</v>
          </cell>
          <cell r="M11629">
            <v>2</v>
          </cell>
          <cell r="R11629">
            <v>45923</v>
          </cell>
          <cell r="S11629">
            <v>231012</v>
          </cell>
        </row>
        <row r="11630">
          <cell r="K11630" t="str">
            <v>237001</v>
          </cell>
          <cell r="M11630">
            <v>1</v>
          </cell>
          <cell r="R11630">
            <v>45923</v>
          </cell>
          <cell r="S11630">
            <v>237001</v>
          </cell>
        </row>
        <row r="11631">
          <cell r="K11631" t="str">
            <v>228001</v>
          </cell>
          <cell r="M11631">
            <v>2</v>
          </cell>
          <cell r="R11631">
            <v>45923</v>
          </cell>
          <cell r="S11631">
            <v>228001</v>
          </cell>
        </row>
        <row r="11632">
          <cell r="K11632" t="str">
            <v>201021</v>
          </cell>
          <cell r="M11632">
            <v>2</v>
          </cell>
          <cell r="R11632">
            <v>45923</v>
          </cell>
          <cell r="S11632">
            <v>201021</v>
          </cell>
        </row>
        <row r="11633">
          <cell r="K11633" t="str">
            <v>232001</v>
          </cell>
          <cell r="M11633">
            <v>1</v>
          </cell>
          <cell r="R11633">
            <v>45923</v>
          </cell>
          <cell r="S11633">
            <v>232001</v>
          </cell>
        </row>
        <row r="11634">
          <cell r="K11634" t="str">
            <v>213002</v>
          </cell>
          <cell r="M11634">
            <v>4</v>
          </cell>
          <cell r="R11634">
            <v>45922</v>
          </cell>
          <cell r="S11634">
            <v>213002</v>
          </cell>
        </row>
        <row r="11635">
          <cell r="K11635" t="str">
            <v>201021</v>
          </cell>
          <cell r="M11635">
            <v>2</v>
          </cell>
          <cell r="R11635">
            <v>45922</v>
          </cell>
          <cell r="S11635">
            <v>201021</v>
          </cell>
        </row>
        <row r="11636">
          <cell r="K11636" t="str">
            <v>213006</v>
          </cell>
          <cell r="M11636">
            <v>3</v>
          </cell>
          <cell r="R11636">
            <v>45923</v>
          </cell>
          <cell r="S11636">
            <v>213006</v>
          </cell>
        </row>
        <row r="11637">
          <cell r="K11637" t="str">
            <v>223001</v>
          </cell>
          <cell r="M11637">
            <v>4</v>
          </cell>
          <cell r="R11637">
            <v>45923</v>
          </cell>
          <cell r="S11637">
            <v>223001</v>
          </cell>
        </row>
        <row r="11638">
          <cell r="K11638" t="str">
            <v>201011</v>
          </cell>
          <cell r="M11638">
            <v>3</v>
          </cell>
          <cell r="R11638">
            <v>45923</v>
          </cell>
          <cell r="S11638">
            <v>201011</v>
          </cell>
        </row>
        <row r="11639">
          <cell r="K11639" t="str">
            <v>228001</v>
          </cell>
          <cell r="M11639">
            <v>54</v>
          </cell>
          <cell r="R11639">
            <v>45923</v>
          </cell>
          <cell r="S11639">
            <v>228001</v>
          </cell>
        </row>
        <row r="11640">
          <cell r="K11640" t="str">
            <v>228001</v>
          </cell>
          <cell r="M11640">
            <v>60</v>
          </cell>
          <cell r="R11640">
            <v>45923</v>
          </cell>
          <cell r="S11640">
            <v>228001</v>
          </cell>
        </row>
        <row r="11641">
          <cell r="K11641" t="str">
            <v>228001</v>
          </cell>
          <cell r="M11641">
            <v>60</v>
          </cell>
          <cell r="R11641">
            <v>45923</v>
          </cell>
          <cell r="S11641">
            <v>228001</v>
          </cell>
        </row>
        <row r="11642">
          <cell r="K11642" t="str">
            <v>201021</v>
          </cell>
          <cell r="M11642">
            <v>3</v>
          </cell>
          <cell r="R11642">
            <v>45923</v>
          </cell>
          <cell r="S11642">
            <v>201021</v>
          </cell>
        </row>
        <row r="11643">
          <cell r="K11643" t="str">
            <v>213006</v>
          </cell>
          <cell r="M11643">
            <v>2</v>
          </cell>
          <cell r="R11643">
            <v>45923</v>
          </cell>
          <cell r="S11643">
            <v>213006</v>
          </cell>
        </row>
        <row r="11644">
          <cell r="K11644" t="str">
            <v>228001</v>
          </cell>
          <cell r="M11644">
            <v>1</v>
          </cell>
          <cell r="R11644">
            <v>45923</v>
          </cell>
          <cell r="S11644">
            <v>228001</v>
          </cell>
        </row>
        <row r="11645">
          <cell r="K11645" t="str">
            <v>228001</v>
          </cell>
          <cell r="M11645">
            <v>3</v>
          </cell>
          <cell r="R11645">
            <v>45923</v>
          </cell>
          <cell r="S11645">
            <v>228001</v>
          </cell>
        </row>
        <row r="11646">
          <cell r="K11646" t="str">
            <v>231012</v>
          </cell>
          <cell r="M11646">
            <v>1</v>
          </cell>
          <cell r="R11646">
            <v>45923</v>
          </cell>
          <cell r="S11646">
            <v>231012</v>
          </cell>
        </row>
        <row r="11647">
          <cell r="K11647" t="str">
            <v>226001</v>
          </cell>
          <cell r="M11647">
            <v>1</v>
          </cell>
          <cell r="R11647">
            <v>45923</v>
          </cell>
          <cell r="S11647">
            <v>226001</v>
          </cell>
        </row>
        <row r="11648">
          <cell r="K11648" t="str">
            <v>217018</v>
          </cell>
          <cell r="M11648">
            <v>1</v>
          </cell>
          <cell r="R11648">
            <v>45923</v>
          </cell>
          <cell r="S11648">
            <v>217018</v>
          </cell>
        </row>
        <row r="11649">
          <cell r="K11649" t="str">
            <v>228001</v>
          </cell>
          <cell r="M11649">
            <v>4</v>
          </cell>
          <cell r="R11649">
            <v>45923</v>
          </cell>
          <cell r="S11649">
            <v>228001</v>
          </cell>
        </row>
        <row r="11650">
          <cell r="K11650" t="str">
            <v>228001</v>
          </cell>
          <cell r="M11650">
            <v>8</v>
          </cell>
          <cell r="R11650">
            <v>45923</v>
          </cell>
          <cell r="S11650">
            <v>228001</v>
          </cell>
        </row>
        <row r="11651">
          <cell r="K11651" t="str">
            <v>228001</v>
          </cell>
          <cell r="M11651">
            <v>15</v>
          </cell>
          <cell r="R11651">
            <v>45923</v>
          </cell>
          <cell r="S11651">
            <v>228001</v>
          </cell>
        </row>
        <row r="11652">
          <cell r="K11652" t="str">
            <v>241001</v>
          </cell>
          <cell r="M11652">
            <v>150</v>
          </cell>
          <cell r="R11652">
            <v>45923</v>
          </cell>
          <cell r="S11652">
            <v>241001</v>
          </cell>
        </row>
        <row r="11653">
          <cell r="K11653" t="str">
            <v>201011</v>
          </cell>
          <cell r="M11653">
            <v>8</v>
          </cell>
          <cell r="R11653">
            <v>45923</v>
          </cell>
          <cell r="S11653">
            <v>201011</v>
          </cell>
        </row>
        <row r="11654">
          <cell r="K11654" t="str">
            <v>201021</v>
          </cell>
          <cell r="M11654">
            <v>4</v>
          </cell>
          <cell r="R11654">
            <v>45922</v>
          </cell>
          <cell r="S11654">
            <v>201021</v>
          </cell>
        </row>
        <row r="11655">
          <cell r="K11655" t="str">
            <v>223002</v>
          </cell>
          <cell r="M11655">
            <v>7</v>
          </cell>
          <cell r="R11655">
            <v>45923</v>
          </cell>
          <cell r="S11655">
            <v>223002</v>
          </cell>
        </row>
        <row r="11656">
          <cell r="K11656" t="str">
            <v>223001</v>
          </cell>
          <cell r="M11656">
            <v>5</v>
          </cell>
          <cell r="R11656">
            <v>45923</v>
          </cell>
          <cell r="S11656">
            <v>223001</v>
          </cell>
        </row>
        <row r="11657">
          <cell r="K11657" t="str">
            <v>227012</v>
          </cell>
          <cell r="M11657">
            <v>1</v>
          </cell>
          <cell r="R11657">
            <v>45923</v>
          </cell>
          <cell r="S11657">
            <v>227012</v>
          </cell>
        </row>
        <row r="11658">
          <cell r="K11658" t="str">
            <v>217006</v>
          </cell>
          <cell r="M11658">
            <v>3</v>
          </cell>
          <cell r="R11658">
            <v>45923</v>
          </cell>
          <cell r="S11658">
            <v>217006</v>
          </cell>
        </row>
        <row r="11659">
          <cell r="K11659" t="str">
            <v>261004</v>
          </cell>
          <cell r="M11659">
            <v>24</v>
          </cell>
          <cell r="R11659">
            <v>45923</v>
          </cell>
          <cell r="S11659">
            <v>261004</v>
          </cell>
        </row>
        <row r="11660">
          <cell r="K11660" t="str">
            <v>201003</v>
          </cell>
          <cell r="M11660">
            <v>2</v>
          </cell>
          <cell r="R11660">
            <v>45923</v>
          </cell>
          <cell r="S11660">
            <v>201003</v>
          </cell>
        </row>
        <row r="11661">
          <cell r="K11661" t="str">
            <v>207017</v>
          </cell>
          <cell r="M11661">
            <v>1</v>
          </cell>
          <cell r="R11661">
            <v>45923</v>
          </cell>
          <cell r="S11661">
            <v>207017</v>
          </cell>
        </row>
        <row r="11662">
          <cell r="K11662" t="str">
            <v>203003</v>
          </cell>
          <cell r="M11662">
            <v>2</v>
          </cell>
          <cell r="R11662">
            <v>45923</v>
          </cell>
          <cell r="S11662">
            <v>203003</v>
          </cell>
        </row>
        <row r="11663">
          <cell r="K11663" t="str">
            <v>223002</v>
          </cell>
          <cell r="M11663">
            <v>1</v>
          </cell>
          <cell r="R11663">
            <v>45923</v>
          </cell>
          <cell r="S11663">
            <v>223002</v>
          </cell>
        </row>
        <row r="11664">
          <cell r="K11664" t="str">
            <v>231010</v>
          </cell>
          <cell r="M11664">
            <v>2</v>
          </cell>
          <cell r="R11664">
            <v>45924</v>
          </cell>
          <cell r="S11664">
            <v>231010</v>
          </cell>
        </row>
        <row r="11665">
          <cell r="K11665" t="str">
            <v>213002</v>
          </cell>
          <cell r="M11665">
            <v>5</v>
          </cell>
          <cell r="R11665">
            <v>45924</v>
          </cell>
          <cell r="S11665">
            <v>213002</v>
          </cell>
        </row>
        <row r="11666">
          <cell r="K11666" t="str">
            <v>223002</v>
          </cell>
          <cell r="M11666">
            <v>4</v>
          </cell>
          <cell r="R11666">
            <v>45924</v>
          </cell>
          <cell r="S11666">
            <v>223002</v>
          </cell>
        </row>
        <row r="11667">
          <cell r="K11667" t="str">
            <v>203001</v>
          </cell>
          <cell r="M11667">
            <v>1</v>
          </cell>
          <cell r="R11667">
            <v>45924</v>
          </cell>
          <cell r="S11667">
            <v>203001</v>
          </cell>
        </row>
        <row r="11668">
          <cell r="K11668" t="str">
            <v>212035</v>
          </cell>
          <cell r="M11668">
            <v>3</v>
          </cell>
          <cell r="R11668">
            <v>45924</v>
          </cell>
          <cell r="S11668">
            <v>212035</v>
          </cell>
        </row>
        <row r="11669">
          <cell r="K11669" t="str">
            <v>237001</v>
          </cell>
          <cell r="M11669">
            <v>1</v>
          </cell>
          <cell r="R11669">
            <v>45924</v>
          </cell>
          <cell r="S11669">
            <v>237001</v>
          </cell>
        </row>
        <row r="11670">
          <cell r="K11670" t="str">
            <v>228001</v>
          </cell>
          <cell r="M11670">
            <v>1</v>
          </cell>
          <cell r="R11670">
            <v>45924</v>
          </cell>
          <cell r="S11670">
            <v>228001</v>
          </cell>
        </row>
        <row r="11671">
          <cell r="K11671" t="str">
            <v>213005</v>
          </cell>
          <cell r="M11671">
            <v>1</v>
          </cell>
          <cell r="R11671">
            <v>45924</v>
          </cell>
          <cell r="S11671">
            <v>213005</v>
          </cell>
        </row>
        <row r="11672">
          <cell r="K11672" t="str">
            <v>220003</v>
          </cell>
          <cell r="M11672">
            <v>1</v>
          </cell>
          <cell r="R11672">
            <v>45924</v>
          </cell>
          <cell r="S11672">
            <v>220003</v>
          </cell>
        </row>
        <row r="11673">
          <cell r="K11673" t="str">
            <v>261004</v>
          </cell>
          <cell r="M11673">
            <v>1</v>
          </cell>
          <cell r="R11673">
            <v>45923</v>
          </cell>
          <cell r="S11673">
            <v>261004</v>
          </cell>
        </row>
        <row r="11674">
          <cell r="K11674" t="str">
            <v>201021</v>
          </cell>
          <cell r="M11674">
            <v>4</v>
          </cell>
          <cell r="R11674">
            <v>45924</v>
          </cell>
          <cell r="S11674">
            <v>201021</v>
          </cell>
        </row>
        <row r="11675">
          <cell r="K11675" t="str">
            <v>222001</v>
          </cell>
          <cell r="M11675">
            <v>1</v>
          </cell>
          <cell r="R11675">
            <v>45924</v>
          </cell>
          <cell r="S11675">
            <v>222001</v>
          </cell>
        </row>
        <row r="11676">
          <cell r="K11676" t="str">
            <v>213006</v>
          </cell>
          <cell r="M11676">
            <v>2</v>
          </cell>
          <cell r="R11676">
            <v>45924</v>
          </cell>
          <cell r="S11676">
            <v>213006</v>
          </cell>
        </row>
        <row r="11677">
          <cell r="K11677" t="str">
            <v>228001</v>
          </cell>
          <cell r="M11677">
            <v>1</v>
          </cell>
          <cell r="R11677">
            <v>45924</v>
          </cell>
          <cell r="S11677">
            <v>228001</v>
          </cell>
        </row>
        <row r="11678">
          <cell r="K11678" t="str">
            <v>201021</v>
          </cell>
          <cell r="M11678">
            <v>16</v>
          </cell>
          <cell r="R11678">
            <v>45923</v>
          </cell>
          <cell r="S11678">
            <v>201021</v>
          </cell>
        </row>
        <row r="11679">
          <cell r="K11679" t="str">
            <v>226027</v>
          </cell>
          <cell r="M11679">
            <v>1</v>
          </cell>
          <cell r="R11679">
            <v>45923</v>
          </cell>
          <cell r="S11679">
            <v>226027</v>
          </cell>
        </row>
        <row r="11680">
          <cell r="K11680" t="str">
            <v>223001</v>
          </cell>
          <cell r="M11680">
            <v>3</v>
          </cell>
          <cell r="R11680">
            <v>45923</v>
          </cell>
          <cell r="S11680">
            <v>223001</v>
          </cell>
        </row>
        <row r="11681">
          <cell r="K11681" t="str">
            <v>223002</v>
          </cell>
          <cell r="M11681">
            <v>1</v>
          </cell>
          <cell r="R11681">
            <v>45923</v>
          </cell>
          <cell r="S11681">
            <v>223002</v>
          </cell>
        </row>
        <row r="11682">
          <cell r="K11682" t="str">
            <v>227012</v>
          </cell>
          <cell r="M11682">
            <v>2</v>
          </cell>
          <cell r="R11682">
            <v>45923</v>
          </cell>
          <cell r="S11682">
            <v>227012</v>
          </cell>
        </row>
        <row r="11683">
          <cell r="K11683" t="str">
            <v>201011</v>
          </cell>
          <cell r="M11683">
            <v>5</v>
          </cell>
          <cell r="R11683">
            <v>45923</v>
          </cell>
          <cell r="S11683">
            <v>201011</v>
          </cell>
        </row>
        <row r="11684">
          <cell r="K11684" t="str">
            <v>201021</v>
          </cell>
          <cell r="M11684">
            <v>25</v>
          </cell>
          <cell r="R11684">
            <v>45923</v>
          </cell>
          <cell r="S11684">
            <v>201021</v>
          </cell>
        </row>
        <row r="11685">
          <cell r="K11685" t="str">
            <v>201021</v>
          </cell>
          <cell r="M11685">
            <v>5</v>
          </cell>
          <cell r="R11685">
            <v>45923</v>
          </cell>
          <cell r="S11685">
            <v>201021</v>
          </cell>
        </row>
        <row r="11686">
          <cell r="K11686" t="str">
            <v>201011</v>
          </cell>
          <cell r="M11686">
            <v>2</v>
          </cell>
          <cell r="R11686">
            <v>45923</v>
          </cell>
          <cell r="S11686">
            <v>201011</v>
          </cell>
        </row>
        <row r="11687">
          <cell r="K11687" t="str">
            <v>213005</v>
          </cell>
          <cell r="M11687">
            <v>1</v>
          </cell>
          <cell r="R11687">
            <v>45924</v>
          </cell>
          <cell r="S11687">
            <v>213005</v>
          </cell>
        </row>
        <row r="11688">
          <cell r="K11688" t="str">
            <v>217021</v>
          </cell>
          <cell r="M11688">
            <v>1</v>
          </cell>
          <cell r="R11688">
            <v>45924</v>
          </cell>
          <cell r="S11688">
            <v>217021</v>
          </cell>
        </row>
        <row r="11689">
          <cell r="K11689" t="str">
            <v>231012</v>
          </cell>
          <cell r="M11689">
            <v>1</v>
          </cell>
          <cell r="R11689">
            <v>45924</v>
          </cell>
          <cell r="S11689">
            <v>231012</v>
          </cell>
        </row>
        <row r="11690">
          <cell r="K11690" t="str">
            <v>201021</v>
          </cell>
          <cell r="M11690">
            <v>5</v>
          </cell>
          <cell r="R11690">
            <v>45924</v>
          </cell>
          <cell r="S11690">
            <v>201021</v>
          </cell>
        </row>
        <row r="11691">
          <cell r="K11691" t="str">
            <v>207017</v>
          </cell>
          <cell r="M11691">
            <v>1</v>
          </cell>
          <cell r="R11691">
            <v>45924</v>
          </cell>
          <cell r="S11691">
            <v>207017</v>
          </cell>
        </row>
        <row r="11692">
          <cell r="K11692" t="str">
            <v>227012</v>
          </cell>
          <cell r="M11692">
            <v>1</v>
          </cell>
          <cell r="R11692">
            <v>45924</v>
          </cell>
          <cell r="S11692">
            <v>227012</v>
          </cell>
        </row>
        <row r="11693">
          <cell r="K11693" t="str">
            <v>217011</v>
          </cell>
          <cell r="M11693">
            <v>1</v>
          </cell>
          <cell r="R11693">
            <v>45924</v>
          </cell>
          <cell r="S11693">
            <v>217011</v>
          </cell>
        </row>
        <row r="11694">
          <cell r="K11694" t="str">
            <v>261004</v>
          </cell>
          <cell r="M11694">
            <v>1</v>
          </cell>
          <cell r="R11694">
            <v>45923</v>
          </cell>
          <cell r="S11694">
            <v>261004</v>
          </cell>
        </row>
        <row r="11695">
          <cell r="K11695" t="str">
            <v>201021</v>
          </cell>
          <cell r="M11695">
            <v>1</v>
          </cell>
          <cell r="R11695">
            <v>45924</v>
          </cell>
          <cell r="S11695">
            <v>201021</v>
          </cell>
        </row>
        <row r="11696">
          <cell r="K11696" t="str">
            <v>226001</v>
          </cell>
          <cell r="M11696">
            <v>1</v>
          </cell>
          <cell r="R11696">
            <v>45924</v>
          </cell>
          <cell r="S11696">
            <v>226001</v>
          </cell>
        </row>
        <row r="11697">
          <cell r="K11697" t="str">
            <v>217022</v>
          </cell>
          <cell r="M11697">
            <v>10</v>
          </cell>
          <cell r="R11697">
            <v>45924</v>
          </cell>
          <cell r="S11697">
            <v>217022</v>
          </cell>
        </row>
        <row r="11698">
          <cell r="K11698" t="str">
            <v>227012</v>
          </cell>
          <cell r="M11698">
            <v>1</v>
          </cell>
          <cell r="R11698">
            <v>45924</v>
          </cell>
          <cell r="S11698">
            <v>227012</v>
          </cell>
        </row>
        <row r="11699">
          <cell r="K11699" t="str">
            <v>223002</v>
          </cell>
          <cell r="M11699">
            <v>3</v>
          </cell>
          <cell r="R11699">
            <v>45924</v>
          </cell>
          <cell r="S11699">
            <v>223002</v>
          </cell>
        </row>
        <row r="11700">
          <cell r="K11700" t="str">
            <v>223001</v>
          </cell>
          <cell r="M11700">
            <v>3</v>
          </cell>
          <cell r="R11700">
            <v>45924</v>
          </cell>
          <cell r="S11700">
            <v>223001</v>
          </cell>
        </row>
        <row r="11701">
          <cell r="K11701" t="str">
            <v>201021</v>
          </cell>
          <cell r="M11701">
            <v>2</v>
          </cell>
          <cell r="R11701">
            <v>45924</v>
          </cell>
          <cell r="S11701">
            <v>201021</v>
          </cell>
        </row>
        <row r="11702">
          <cell r="K11702" t="str">
            <v>201011</v>
          </cell>
          <cell r="M11702">
            <v>15</v>
          </cell>
          <cell r="R11702">
            <v>45924</v>
          </cell>
          <cell r="S11702">
            <v>201011</v>
          </cell>
        </row>
        <row r="11703">
          <cell r="K11703" t="str">
            <v>203001</v>
          </cell>
          <cell r="M11703">
            <v>4</v>
          </cell>
          <cell r="R11703">
            <v>45924</v>
          </cell>
          <cell r="S11703">
            <v>203001</v>
          </cell>
        </row>
        <row r="11704">
          <cell r="K11704" t="str">
            <v>223002</v>
          </cell>
          <cell r="M11704">
            <v>1</v>
          </cell>
          <cell r="R11704">
            <v>45924</v>
          </cell>
          <cell r="S11704">
            <v>223002</v>
          </cell>
        </row>
        <row r="11705">
          <cell r="K11705" t="str">
            <v>237001</v>
          </cell>
          <cell r="M11705">
            <v>1</v>
          </cell>
          <cell r="R11705">
            <v>45924</v>
          </cell>
          <cell r="S11705">
            <v>237001</v>
          </cell>
        </row>
        <row r="11706">
          <cell r="K11706" t="str">
            <v>241001</v>
          </cell>
          <cell r="M11706">
            <v>15</v>
          </cell>
          <cell r="R11706">
            <v>45924</v>
          </cell>
          <cell r="S11706">
            <v>241001</v>
          </cell>
        </row>
        <row r="11707">
          <cell r="K11707" t="str">
            <v>213006</v>
          </cell>
          <cell r="M11707">
            <v>1</v>
          </cell>
          <cell r="R11707">
            <v>45924</v>
          </cell>
          <cell r="S11707">
            <v>213006</v>
          </cell>
        </row>
        <row r="11708">
          <cell r="K11708" t="str">
            <v>201011</v>
          </cell>
          <cell r="M11708">
            <v>1</v>
          </cell>
          <cell r="R11708">
            <v>45924</v>
          </cell>
          <cell r="S11708">
            <v>201011</v>
          </cell>
        </row>
        <row r="11709">
          <cell r="K11709" t="str">
            <v>209017</v>
          </cell>
          <cell r="M11709">
            <v>1</v>
          </cell>
          <cell r="R11709">
            <v>45924</v>
          </cell>
          <cell r="S11709">
            <v>209017</v>
          </cell>
        </row>
        <row r="11710">
          <cell r="K11710" t="str">
            <v>201011</v>
          </cell>
          <cell r="M11710">
            <v>6</v>
          </cell>
          <cell r="R11710">
            <v>45924</v>
          </cell>
          <cell r="S11710">
            <v>201011</v>
          </cell>
        </row>
        <row r="11711">
          <cell r="K11711" t="str">
            <v>223001</v>
          </cell>
          <cell r="M11711">
            <v>1</v>
          </cell>
          <cell r="R11711">
            <v>45924</v>
          </cell>
          <cell r="S11711">
            <v>223001</v>
          </cell>
        </row>
        <row r="11712">
          <cell r="K11712" t="str">
            <v>201011</v>
          </cell>
          <cell r="M11712">
            <v>6</v>
          </cell>
          <cell r="R11712">
            <v>45924</v>
          </cell>
          <cell r="S11712">
            <v>201011</v>
          </cell>
        </row>
        <row r="11713">
          <cell r="K11713" t="str">
            <v>227001</v>
          </cell>
          <cell r="M11713">
            <v>1</v>
          </cell>
          <cell r="R11713">
            <v>45925</v>
          </cell>
          <cell r="S11713">
            <v>227001</v>
          </cell>
        </row>
        <row r="11714">
          <cell r="K11714" t="str">
            <v>227014</v>
          </cell>
          <cell r="M11714">
            <v>1</v>
          </cell>
          <cell r="R11714">
            <v>45925</v>
          </cell>
          <cell r="S11714">
            <v>227014</v>
          </cell>
        </row>
        <row r="11715">
          <cell r="K11715" t="str">
            <v>220002</v>
          </cell>
          <cell r="M11715">
            <v>1</v>
          </cell>
          <cell r="R11715">
            <v>45925</v>
          </cell>
          <cell r="S11715">
            <v>220002</v>
          </cell>
        </row>
        <row r="11716">
          <cell r="K11716" t="str">
            <v>237001</v>
          </cell>
          <cell r="M11716">
            <v>4</v>
          </cell>
          <cell r="R11716">
            <v>45925</v>
          </cell>
          <cell r="S11716">
            <v>237001</v>
          </cell>
        </row>
        <row r="11717">
          <cell r="K11717" t="str">
            <v>213002</v>
          </cell>
          <cell r="M11717">
            <v>3</v>
          </cell>
          <cell r="R11717">
            <v>45925</v>
          </cell>
          <cell r="S11717">
            <v>213002</v>
          </cell>
        </row>
        <row r="11718">
          <cell r="K11718" t="str">
            <v>226023</v>
          </cell>
          <cell r="M11718">
            <v>1</v>
          </cell>
          <cell r="R11718">
            <v>45925</v>
          </cell>
          <cell r="S11718">
            <v>226023</v>
          </cell>
        </row>
        <row r="11719">
          <cell r="K11719" t="str">
            <v>201011</v>
          </cell>
          <cell r="M11719">
            <v>2</v>
          </cell>
          <cell r="R11719">
            <v>45925</v>
          </cell>
          <cell r="S11719">
            <v>201011</v>
          </cell>
        </row>
        <row r="11720">
          <cell r="K11720" t="str">
            <v>223002</v>
          </cell>
          <cell r="M11720">
            <v>5</v>
          </cell>
          <cell r="R11720">
            <v>45924</v>
          </cell>
          <cell r="S11720">
            <v>223002</v>
          </cell>
        </row>
        <row r="11721">
          <cell r="K11721" t="str">
            <v>220002</v>
          </cell>
          <cell r="M11721">
            <v>1</v>
          </cell>
          <cell r="R11721">
            <v>45924</v>
          </cell>
          <cell r="S11721">
            <v>220002</v>
          </cell>
        </row>
        <row r="11722">
          <cell r="K11722" t="str">
            <v>223001</v>
          </cell>
          <cell r="M11722">
            <v>2</v>
          </cell>
          <cell r="R11722">
            <v>45924</v>
          </cell>
          <cell r="S11722">
            <v>223001</v>
          </cell>
        </row>
        <row r="11723">
          <cell r="K11723" t="str">
            <v>241001</v>
          </cell>
          <cell r="M11723">
            <v>3</v>
          </cell>
          <cell r="R11723">
            <v>45924</v>
          </cell>
          <cell r="S11723">
            <v>241001</v>
          </cell>
        </row>
        <row r="11724">
          <cell r="K11724" t="str">
            <v>201011</v>
          </cell>
          <cell r="M11724">
            <v>2</v>
          </cell>
          <cell r="R11724">
            <v>45924</v>
          </cell>
          <cell r="S11724">
            <v>201011</v>
          </cell>
        </row>
        <row r="11725">
          <cell r="K11725" t="str">
            <v>223001</v>
          </cell>
          <cell r="M11725">
            <v>2</v>
          </cell>
          <cell r="R11725">
            <v>45924</v>
          </cell>
          <cell r="S11725">
            <v>223001</v>
          </cell>
        </row>
        <row r="11726">
          <cell r="K11726" t="str">
            <v>201011</v>
          </cell>
          <cell r="M11726">
            <v>1</v>
          </cell>
          <cell r="R11726">
            <v>45925</v>
          </cell>
          <cell r="S11726">
            <v>201011</v>
          </cell>
        </row>
        <row r="11727">
          <cell r="K11727" t="str">
            <v>201011</v>
          </cell>
          <cell r="M11727">
            <v>20</v>
          </cell>
          <cell r="R11727">
            <v>45924</v>
          </cell>
          <cell r="S11727">
            <v>201011</v>
          </cell>
        </row>
        <row r="11728">
          <cell r="K11728" t="str">
            <v>209001</v>
          </cell>
          <cell r="M11728">
            <v>3</v>
          </cell>
          <cell r="R11728">
            <v>45924</v>
          </cell>
          <cell r="S11728">
            <v>209001</v>
          </cell>
        </row>
        <row r="11729">
          <cell r="K11729" t="str">
            <v>209024</v>
          </cell>
          <cell r="M11729">
            <v>1</v>
          </cell>
          <cell r="R11729">
            <v>45924</v>
          </cell>
          <cell r="S11729">
            <v>209024</v>
          </cell>
        </row>
        <row r="11730">
          <cell r="K11730" t="str">
            <v>223002</v>
          </cell>
          <cell r="M11730">
            <v>1</v>
          </cell>
          <cell r="R11730">
            <v>45924</v>
          </cell>
          <cell r="S11730">
            <v>223002</v>
          </cell>
        </row>
        <row r="11731">
          <cell r="K11731" t="str">
            <v>227012</v>
          </cell>
          <cell r="M11731">
            <v>1</v>
          </cell>
          <cell r="R11731">
            <v>45924</v>
          </cell>
          <cell r="S11731">
            <v>227012</v>
          </cell>
        </row>
        <row r="11732">
          <cell r="K11732" t="str">
            <v>226001</v>
          </cell>
          <cell r="M11732">
            <v>2</v>
          </cell>
          <cell r="R11732">
            <v>45925</v>
          </cell>
          <cell r="S11732">
            <v>226001</v>
          </cell>
        </row>
        <row r="11733">
          <cell r="K11733" t="str">
            <v>227002</v>
          </cell>
          <cell r="M11733">
            <v>1</v>
          </cell>
          <cell r="R11733">
            <v>45925</v>
          </cell>
          <cell r="S11733">
            <v>227002</v>
          </cell>
        </row>
        <row r="11734">
          <cell r="K11734" t="str">
            <v>201011</v>
          </cell>
          <cell r="M11734">
            <v>3</v>
          </cell>
          <cell r="R11734">
            <v>45925</v>
          </cell>
          <cell r="S11734">
            <v>201011</v>
          </cell>
        </row>
        <row r="11735">
          <cell r="K11735" t="str">
            <v>222001</v>
          </cell>
          <cell r="M11735">
            <v>1</v>
          </cell>
          <cell r="R11735">
            <v>45925</v>
          </cell>
          <cell r="S11735">
            <v>222001</v>
          </cell>
        </row>
        <row r="11736">
          <cell r="K11736" t="str">
            <v>201011</v>
          </cell>
          <cell r="M11736">
            <v>36</v>
          </cell>
          <cell r="R11736">
            <v>45925</v>
          </cell>
          <cell r="S11736">
            <v>201011</v>
          </cell>
        </row>
        <row r="11737">
          <cell r="K11737" t="str">
            <v>217018</v>
          </cell>
          <cell r="M11737">
            <v>3</v>
          </cell>
          <cell r="R11737">
            <v>45925</v>
          </cell>
          <cell r="S11737">
            <v>217018</v>
          </cell>
        </row>
        <row r="11738">
          <cell r="K11738" t="str">
            <v>220002</v>
          </cell>
          <cell r="M11738">
            <v>1</v>
          </cell>
          <cell r="R11738">
            <v>45925</v>
          </cell>
          <cell r="S11738">
            <v>220002</v>
          </cell>
        </row>
        <row r="11739">
          <cell r="K11739" t="str">
            <v>203003</v>
          </cell>
          <cell r="M11739">
            <v>1</v>
          </cell>
          <cell r="R11739">
            <v>45925</v>
          </cell>
          <cell r="S11739">
            <v>203003</v>
          </cell>
        </row>
        <row r="11740">
          <cell r="K11740" t="str">
            <v>231012</v>
          </cell>
          <cell r="M11740">
            <v>1</v>
          </cell>
          <cell r="R11740">
            <v>45925</v>
          </cell>
          <cell r="S11740">
            <v>231012</v>
          </cell>
        </row>
        <row r="11741">
          <cell r="K11741" t="str">
            <v>226001</v>
          </cell>
          <cell r="M11741">
            <v>1</v>
          </cell>
          <cell r="R11741">
            <v>45925</v>
          </cell>
          <cell r="S11741">
            <v>226001</v>
          </cell>
        </row>
        <row r="11742">
          <cell r="K11742" t="str">
            <v>226001</v>
          </cell>
          <cell r="M11742">
            <v>2</v>
          </cell>
          <cell r="R11742">
            <v>45925</v>
          </cell>
          <cell r="S11742">
            <v>226001</v>
          </cell>
        </row>
        <row r="11743">
          <cell r="K11743" t="str">
            <v>226001</v>
          </cell>
          <cell r="M11743">
            <v>1</v>
          </cell>
          <cell r="R11743">
            <v>45925</v>
          </cell>
          <cell r="S11743">
            <v>226001</v>
          </cell>
        </row>
        <row r="11744">
          <cell r="K11744" t="str">
            <v>226001</v>
          </cell>
          <cell r="M11744">
            <v>3</v>
          </cell>
          <cell r="R11744">
            <v>45925</v>
          </cell>
          <cell r="S11744">
            <v>226001</v>
          </cell>
        </row>
        <row r="11745">
          <cell r="K11745" t="str">
            <v>203003</v>
          </cell>
          <cell r="M11745">
            <v>2</v>
          </cell>
          <cell r="R11745">
            <v>45925</v>
          </cell>
          <cell r="S11745">
            <v>203003</v>
          </cell>
        </row>
        <row r="11746">
          <cell r="K11746" t="str">
            <v>265001</v>
          </cell>
          <cell r="M11746">
            <v>2</v>
          </cell>
          <cell r="R11746">
            <v>45925</v>
          </cell>
          <cell r="S11746">
            <v>265001</v>
          </cell>
        </row>
        <row r="11747">
          <cell r="K11747" t="str">
            <v>206002</v>
          </cell>
          <cell r="M11747">
            <v>1</v>
          </cell>
          <cell r="R11747">
            <v>45925</v>
          </cell>
          <cell r="S11747">
            <v>206002</v>
          </cell>
        </row>
        <row r="11748">
          <cell r="K11748" t="str">
            <v>208001</v>
          </cell>
          <cell r="M11748">
            <v>1</v>
          </cell>
          <cell r="R11748">
            <v>45925</v>
          </cell>
          <cell r="S11748">
            <v>208001</v>
          </cell>
        </row>
        <row r="11749">
          <cell r="K11749" t="str">
            <v>203004</v>
          </cell>
          <cell r="M11749">
            <v>2</v>
          </cell>
          <cell r="R11749">
            <v>45925</v>
          </cell>
          <cell r="S11749">
            <v>203004</v>
          </cell>
        </row>
        <row r="11750">
          <cell r="K11750" t="str">
            <v>229003</v>
          </cell>
          <cell r="M11750">
            <v>1</v>
          </cell>
          <cell r="R11750">
            <v>45925</v>
          </cell>
          <cell r="S11750">
            <v>229003</v>
          </cell>
        </row>
        <row r="11751">
          <cell r="K11751" t="str">
            <v>206005</v>
          </cell>
          <cell r="M11751">
            <v>2</v>
          </cell>
          <cell r="R11751">
            <v>45925</v>
          </cell>
          <cell r="S11751">
            <v>206005</v>
          </cell>
        </row>
        <row r="11752">
          <cell r="K11752" t="str">
            <v>206005</v>
          </cell>
          <cell r="M11752">
            <v>2</v>
          </cell>
          <cell r="R11752">
            <v>45925</v>
          </cell>
          <cell r="S11752">
            <v>206005</v>
          </cell>
        </row>
        <row r="11753">
          <cell r="K11753" t="str">
            <v>223002</v>
          </cell>
          <cell r="M11753">
            <v>1</v>
          </cell>
          <cell r="R11753">
            <v>45925</v>
          </cell>
          <cell r="S11753">
            <v>223002</v>
          </cell>
        </row>
        <row r="11754">
          <cell r="K11754" t="str">
            <v>213006</v>
          </cell>
          <cell r="M11754">
            <v>5</v>
          </cell>
          <cell r="R11754">
            <v>45925</v>
          </cell>
          <cell r="S11754">
            <v>213006</v>
          </cell>
        </row>
        <row r="11755">
          <cell r="K11755" t="str">
            <v>213006</v>
          </cell>
          <cell r="M11755">
            <v>5</v>
          </cell>
          <cell r="R11755">
            <v>45925</v>
          </cell>
          <cell r="S11755">
            <v>213006</v>
          </cell>
        </row>
        <row r="11756">
          <cell r="K11756" t="str">
            <v>228001</v>
          </cell>
          <cell r="M11756">
            <v>60</v>
          </cell>
          <cell r="R11756">
            <v>45925</v>
          </cell>
          <cell r="S11756">
            <v>228001</v>
          </cell>
        </row>
        <row r="11757">
          <cell r="K11757" t="str">
            <v>223002</v>
          </cell>
          <cell r="M11757">
            <v>1</v>
          </cell>
          <cell r="R11757">
            <v>45925</v>
          </cell>
          <cell r="S11757">
            <v>223002</v>
          </cell>
        </row>
        <row r="11758">
          <cell r="K11758" t="str">
            <v>223001</v>
          </cell>
          <cell r="M11758">
            <v>1</v>
          </cell>
          <cell r="R11758">
            <v>45925</v>
          </cell>
          <cell r="S11758">
            <v>223001</v>
          </cell>
        </row>
        <row r="11759">
          <cell r="K11759" t="str">
            <v>227001</v>
          </cell>
          <cell r="M11759">
            <v>1</v>
          </cell>
          <cell r="R11759">
            <v>45925</v>
          </cell>
          <cell r="S11759">
            <v>227001</v>
          </cell>
        </row>
        <row r="11760">
          <cell r="K11760" t="str">
            <v>271002</v>
          </cell>
          <cell r="M11760">
            <v>1</v>
          </cell>
          <cell r="R11760">
            <v>45925</v>
          </cell>
          <cell r="S11760">
            <v>271002</v>
          </cell>
        </row>
        <row r="11761">
          <cell r="K11761" t="str">
            <v>201011</v>
          </cell>
          <cell r="M11761">
            <v>1</v>
          </cell>
          <cell r="R11761">
            <v>45925</v>
          </cell>
          <cell r="S11761">
            <v>201011</v>
          </cell>
        </row>
        <row r="11762">
          <cell r="K11762" t="str">
            <v>201022</v>
          </cell>
          <cell r="M11762">
            <v>1</v>
          </cell>
          <cell r="R11762">
            <v>45925</v>
          </cell>
          <cell r="S11762">
            <v>201022</v>
          </cell>
        </row>
        <row r="11763">
          <cell r="K11763" t="str">
            <v>201021</v>
          </cell>
          <cell r="M11763">
            <v>2</v>
          </cell>
          <cell r="R11763">
            <v>45925</v>
          </cell>
          <cell r="S11763">
            <v>201021</v>
          </cell>
        </row>
        <row r="11764">
          <cell r="K11764" t="str">
            <v>237001</v>
          </cell>
          <cell r="M11764">
            <v>1</v>
          </cell>
          <cell r="R11764">
            <v>45925</v>
          </cell>
          <cell r="S11764">
            <v>237001</v>
          </cell>
        </row>
        <row r="11765">
          <cell r="K11765" t="str">
            <v>201011</v>
          </cell>
          <cell r="M11765">
            <v>72</v>
          </cell>
          <cell r="R11765">
            <v>45925</v>
          </cell>
          <cell r="S11765">
            <v>201011</v>
          </cell>
        </row>
        <row r="11766">
          <cell r="K11766" t="str">
            <v>213030</v>
          </cell>
          <cell r="M11766">
            <v>10</v>
          </cell>
          <cell r="R11766">
            <v>45925</v>
          </cell>
          <cell r="S11766">
            <v>213030</v>
          </cell>
        </row>
        <row r="11767">
          <cell r="K11767" t="str">
            <v>217021</v>
          </cell>
          <cell r="M11767">
            <v>1</v>
          </cell>
          <cell r="R11767">
            <v>45925</v>
          </cell>
          <cell r="S11767">
            <v>217021</v>
          </cell>
        </row>
        <row r="11768">
          <cell r="K11768" t="str">
            <v>201004</v>
          </cell>
          <cell r="M11768">
            <v>2</v>
          </cell>
          <cell r="R11768">
            <v>45925</v>
          </cell>
          <cell r="S11768">
            <v>201004</v>
          </cell>
        </row>
        <row r="11769">
          <cell r="K11769" t="str">
            <v>227002</v>
          </cell>
          <cell r="M11769">
            <v>1</v>
          </cell>
          <cell r="R11769">
            <v>45925</v>
          </cell>
          <cell r="S11769">
            <v>227002</v>
          </cell>
        </row>
        <row r="11770">
          <cell r="K11770" t="str">
            <v>217019</v>
          </cell>
          <cell r="M11770">
            <v>1</v>
          </cell>
          <cell r="R11770">
            <v>45925</v>
          </cell>
          <cell r="S11770">
            <v>217019</v>
          </cell>
        </row>
        <row r="11771">
          <cell r="K11771" t="str">
            <v>226001</v>
          </cell>
          <cell r="M11771">
            <v>2</v>
          </cell>
          <cell r="R11771">
            <v>45925</v>
          </cell>
          <cell r="S11771">
            <v>226001</v>
          </cell>
        </row>
        <row r="11772">
          <cell r="K11772" t="str">
            <v>217011</v>
          </cell>
          <cell r="M11772">
            <v>1</v>
          </cell>
          <cell r="R11772">
            <v>45925</v>
          </cell>
          <cell r="S11772">
            <v>217011</v>
          </cell>
        </row>
        <row r="11773">
          <cell r="K11773" t="str">
            <v>209001</v>
          </cell>
          <cell r="M11773">
            <v>3</v>
          </cell>
          <cell r="R11773">
            <v>45925</v>
          </cell>
          <cell r="S11773">
            <v>209001</v>
          </cell>
        </row>
        <row r="11774">
          <cell r="K11774" t="str">
            <v>201021</v>
          </cell>
          <cell r="M11774">
            <v>4</v>
          </cell>
          <cell r="R11774">
            <v>45925</v>
          </cell>
          <cell r="S11774">
            <v>201021</v>
          </cell>
        </row>
        <row r="11775">
          <cell r="K11775" t="str">
            <v>226001</v>
          </cell>
          <cell r="M11775">
            <v>1</v>
          </cell>
          <cell r="R11775">
            <v>45925</v>
          </cell>
          <cell r="S11775">
            <v>226001</v>
          </cell>
        </row>
        <row r="11776">
          <cell r="K11776" t="str">
            <v>201021</v>
          </cell>
          <cell r="M11776">
            <v>1</v>
          </cell>
          <cell r="R11776">
            <v>45925</v>
          </cell>
          <cell r="S11776">
            <v>201021</v>
          </cell>
        </row>
        <row r="11777">
          <cell r="K11777" t="str">
            <v>213002</v>
          </cell>
          <cell r="M11777">
            <v>2</v>
          </cell>
          <cell r="R11777">
            <v>45925</v>
          </cell>
          <cell r="S11777">
            <v>213002</v>
          </cell>
        </row>
        <row r="11778">
          <cell r="K11778" t="str">
            <v>223001</v>
          </cell>
          <cell r="M11778">
            <v>3</v>
          </cell>
          <cell r="R11778">
            <v>45925</v>
          </cell>
          <cell r="S11778">
            <v>223001</v>
          </cell>
        </row>
        <row r="11779">
          <cell r="K11779" t="str">
            <v>227002</v>
          </cell>
          <cell r="M11779">
            <v>1</v>
          </cell>
          <cell r="R11779">
            <v>45925</v>
          </cell>
          <cell r="S11779">
            <v>227002</v>
          </cell>
        </row>
        <row r="11780">
          <cell r="K11780" t="str">
            <v>241001</v>
          </cell>
          <cell r="M11780">
            <v>3</v>
          </cell>
          <cell r="R11780">
            <v>45925</v>
          </cell>
          <cell r="S11780">
            <v>241001</v>
          </cell>
        </row>
        <row r="11781">
          <cell r="K11781" t="str">
            <v>222001</v>
          </cell>
          <cell r="M11781">
            <v>5</v>
          </cell>
          <cell r="R11781">
            <v>45925</v>
          </cell>
          <cell r="S11781">
            <v>222001</v>
          </cell>
        </row>
        <row r="11782">
          <cell r="K11782" t="str">
            <v>213005</v>
          </cell>
          <cell r="M11782">
            <v>1</v>
          </cell>
          <cell r="R11782">
            <v>45925</v>
          </cell>
          <cell r="S11782">
            <v>213005</v>
          </cell>
        </row>
        <row r="11783">
          <cell r="K11783" t="str">
            <v>209001</v>
          </cell>
          <cell r="M11783">
            <v>1</v>
          </cell>
          <cell r="R11783">
            <v>45925</v>
          </cell>
          <cell r="S11783">
            <v>209001</v>
          </cell>
        </row>
        <row r="11784">
          <cell r="K11784" t="str">
            <v>203003</v>
          </cell>
          <cell r="M11784">
            <v>1</v>
          </cell>
          <cell r="R11784">
            <v>45925</v>
          </cell>
          <cell r="S11784">
            <v>203003</v>
          </cell>
        </row>
        <row r="11785">
          <cell r="K11785" t="str">
            <v>201011</v>
          </cell>
          <cell r="M11785">
            <v>10</v>
          </cell>
          <cell r="R11785">
            <v>45926</v>
          </cell>
          <cell r="S11785">
            <v>201011</v>
          </cell>
        </row>
        <row r="11786">
          <cell r="K11786" t="str">
            <v>231012</v>
          </cell>
          <cell r="M11786">
            <v>1</v>
          </cell>
          <cell r="R11786">
            <v>45925</v>
          </cell>
          <cell r="S11786">
            <v>231012</v>
          </cell>
        </row>
        <row r="11787">
          <cell r="K11787" t="str">
            <v>228001</v>
          </cell>
          <cell r="M11787">
            <v>1</v>
          </cell>
          <cell r="R11787">
            <v>45925</v>
          </cell>
          <cell r="S11787">
            <v>228001</v>
          </cell>
        </row>
        <row r="11788">
          <cell r="K11788" t="str">
            <v>209004</v>
          </cell>
          <cell r="M11788">
            <v>1</v>
          </cell>
          <cell r="R11788">
            <v>45925</v>
          </cell>
          <cell r="S11788">
            <v>209004</v>
          </cell>
        </row>
        <row r="11789">
          <cell r="K11789" t="str">
            <v>223006</v>
          </cell>
          <cell r="M11789">
            <v>3</v>
          </cell>
          <cell r="R11789">
            <v>45925</v>
          </cell>
          <cell r="S11789">
            <v>223006</v>
          </cell>
        </row>
        <row r="11790">
          <cell r="K11790" t="str">
            <v>227012</v>
          </cell>
          <cell r="M11790">
            <v>1</v>
          </cell>
          <cell r="R11790">
            <v>45925</v>
          </cell>
          <cell r="S11790">
            <v>227012</v>
          </cell>
        </row>
        <row r="11791">
          <cell r="K11791" t="str">
            <v>231012</v>
          </cell>
          <cell r="M11791">
            <v>1</v>
          </cell>
          <cell r="R11791">
            <v>45925</v>
          </cell>
          <cell r="S11791">
            <v>231012</v>
          </cell>
        </row>
        <row r="11792">
          <cell r="K11792" t="str">
            <v>228001</v>
          </cell>
          <cell r="M11792">
            <v>2</v>
          </cell>
          <cell r="R11792">
            <v>45925</v>
          </cell>
          <cell r="S11792">
            <v>228001</v>
          </cell>
        </row>
        <row r="11793">
          <cell r="K11793" t="str">
            <v>207017</v>
          </cell>
          <cell r="M11793">
            <v>1</v>
          </cell>
          <cell r="R11793">
            <v>45925</v>
          </cell>
          <cell r="S11793">
            <v>207017</v>
          </cell>
        </row>
        <row r="11794">
          <cell r="K11794" t="str">
            <v>226001</v>
          </cell>
          <cell r="M11794">
            <v>6</v>
          </cell>
          <cell r="R11794">
            <v>45926</v>
          </cell>
          <cell r="S11794">
            <v>226001</v>
          </cell>
        </row>
        <row r="11795">
          <cell r="K11795" t="str">
            <v>223002</v>
          </cell>
          <cell r="M11795">
            <v>2</v>
          </cell>
          <cell r="R11795">
            <v>45926</v>
          </cell>
          <cell r="S11795">
            <v>223002</v>
          </cell>
        </row>
        <row r="11796">
          <cell r="K11796" t="str">
            <v>231012</v>
          </cell>
          <cell r="M11796">
            <v>2</v>
          </cell>
          <cell r="R11796">
            <v>45926</v>
          </cell>
          <cell r="S11796">
            <v>231012</v>
          </cell>
        </row>
        <row r="11797">
          <cell r="K11797" t="str">
            <v>217011</v>
          </cell>
          <cell r="M11797">
            <v>1</v>
          </cell>
          <cell r="R11797">
            <v>45926</v>
          </cell>
          <cell r="S11797">
            <v>217011</v>
          </cell>
        </row>
        <row r="11798">
          <cell r="K11798" t="str">
            <v>231012</v>
          </cell>
          <cell r="M11798">
            <v>1</v>
          </cell>
          <cell r="R11798">
            <v>45926</v>
          </cell>
          <cell r="S11798">
            <v>231012</v>
          </cell>
        </row>
        <row r="11799">
          <cell r="K11799" t="str">
            <v>228001</v>
          </cell>
          <cell r="M11799">
            <v>1</v>
          </cell>
          <cell r="R11799">
            <v>45926</v>
          </cell>
          <cell r="S11799">
            <v>228001</v>
          </cell>
        </row>
        <row r="11800">
          <cell r="K11800" t="str">
            <v>212035</v>
          </cell>
          <cell r="M11800">
            <v>1</v>
          </cell>
          <cell r="R11800">
            <v>45926</v>
          </cell>
          <cell r="S11800">
            <v>212035</v>
          </cell>
        </row>
        <row r="11801">
          <cell r="K11801" t="str">
            <v>223002</v>
          </cell>
          <cell r="M11801">
            <v>1</v>
          </cell>
          <cell r="R11801">
            <v>45926</v>
          </cell>
          <cell r="S11801">
            <v>223002</v>
          </cell>
        </row>
        <row r="11802">
          <cell r="K11802" t="str">
            <v>223002</v>
          </cell>
          <cell r="M11802">
            <v>1</v>
          </cell>
          <cell r="R11802">
            <v>45926</v>
          </cell>
          <cell r="S11802">
            <v>223002</v>
          </cell>
        </row>
        <row r="11803">
          <cell r="K11803" t="str">
            <v>227014</v>
          </cell>
          <cell r="M11803">
            <v>2</v>
          </cell>
          <cell r="R11803">
            <v>45926</v>
          </cell>
          <cell r="S11803">
            <v>227014</v>
          </cell>
        </row>
        <row r="11804">
          <cell r="K11804" t="str">
            <v>226025</v>
          </cell>
          <cell r="M11804">
            <v>4</v>
          </cell>
          <cell r="R11804">
            <v>45926</v>
          </cell>
          <cell r="S11804">
            <v>226025</v>
          </cell>
        </row>
        <row r="11805">
          <cell r="K11805" t="str">
            <v>226001</v>
          </cell>
          <cell r="M11805">
            <v>3</v>
          </cell>
          <cell r="R11805">
            <v>45926</v>
          </cell>
          <cell r="S11805">
            <v>226001</v>
          </cell>
        </row>
        <row r="11806">
          <cell r="K11806" t="str">
            <v>213005</v>
          </cell>
          <cell r="M11806">
            <v>3</v>
          </cell>
          <cell r="R11806">
            <v>45926</v>
          </cell>
          <cell r="S11806">
            <v>213005</v>
          </cell>
        </row>
        <row r="11807">
          <cell r="K11807" t="str">
            <v>201011</v>
          </cell>
          <cell r="M11807">
            <v>6</v>
          </cell>
          <cell r="R11807">
            <v>45926</v>
          </cell>
          <cell r="S11807">
            <v>201011</v>
          </cell>
        </row>
        <row r="11808">
          <cell r="K11808" t="str">
            <v>223002</v>
          </cell>
          <cell r="M11808">
            <v>2</v>
          </cell>
          <cell r="R11808">
            <v>45926</v>
          </cell>
          <cell r="S11808">
            <v>223002</v>
          </cell>
        </row>
        <row r="11809">
          <cell r="K11809" t="str">
            <v>223001</v>
          </cell>
          <cell r="M11809">
            <v>2</v>
          </cell>
          <cell r="R11809">
            <v>45926</v>
          </cell>
          <cell r="S11809">
            <v>223001</v>
          </cell>
        </row>
        <row r="11810">
          <cell r="K11810" t="str">
            <v>217006</v>
          </cell>
          <cell r="M11810">
            <v>2</v>
          </cell>
          <cell r="R11810">
            <v>45926</v>
          </cell>
          <cell r="S11810">
            <v>217006</v>
          </cell>
        </row>
        <row r="11811">
          <cell r="K11811" t="str">
            <v>207017</v>
          </cell>
          <cell r="M11811">
            <v>1</v>
          </cell>
          <cell r="R11811">
            <v>45926</v>
          </cell>
          <cell r="S11811">
            <v>207017</v>
          </cell>
        </row>
        <row r="11812">
          <cell r="K11812" t="str">
            <v>228001</v>
          </cell>
          <cell r="M11812">
            <v>1</v>
          </cell>
          <cell r="R11812">
            <v>45926</v>
          </cell>
          <cell r="S11812">
            <v>228001</v>
          </cell>
        </row>
        <row r="11813">
          <cell r="K11813" t="str">
            <v>201011</v>
          </cell>
          <cell r="M11813">
            <v>2</v>
          </cell>
          <cell r="R11813">
            <v>45926</v>
          </cell>
          <cell r="S11813">
            <v>201011</v>
          </cell>
        </row>
        <row r="11814">
          <cell r="K11814" t="str">
            <v>220003</v>
          </cell>
          <cell r="M11814">
            <v>10</v>
          </cell>
          <cell r="R11814">
            <v>45926</v>
          </cell>
          <cell r="S11814">
            <v>220003</v>
          </cell>
        </row>
        <row r="11815">
          <cell r="K11815" t="str">
            <v>241001</v>
          </cell>
          <cell r="M11815">
            <v>10</v>
          </cell>
          <cell r="R11815">
            <v>45926</v>
          </cell>
          <cell r="S11815">
            <v>241001</v>
          </cell>
        </row>
        <row r="11816">
          <cell r="K11816" t="str">
            <v>209001</v>
          </cell>
          <cell r="M11816">
            <v>4</v>
          </cell>
          <cell r="R11816">
            <v>45926</v>
          </cell>
          <cell r="S11816">
            <v>209001</v>
          </cell>
        </row>
        <row r="11817">
          <cell r="K11817" t="str">
            <v>201011</v>
          </cell>
          <cell r="M11817">
            <v>4</v>
          </cell>
          <cell r="R11817">
            <v>45926</v>
          </cell>
          <cell r="S11817">
            <v>201011</v>
          </cell>
        </row>
        <row r="11818">
          <cell r="K11818" t="str">
            <v>237001</v>
          </cell>
          <cell r="M11818">
            <v>1</v>
          </cell>
          <cell r="R11818">
            <v>45927</v>
          </cell>
          <cell r="S11818">
            <v>237001</v>
          </cell>
        </row>
        <row r="11819">
          <cell r="K11819" t="str">
            <v>212035</v>
          </cell>
          <cell r="M11819">
            <v>1</v>
          </cell>
          <cell r="R11819">
            <v>45927</v>
          </cell>
          <cell r="S11819">
            <v>212035</v>
          </cell>
        </row>
        <row r="11820">
          <cell r="K11820" t="str">
            <v>217018</v>
          </cell>
          <cell r="M11820">
            <v>2</v>
          </cell>
          <cell r="R11820">
            <v>45928</v>
          </cell>
          <cell r="S11820">
            <v>217018</v>
          </cell>
        </row>
        <row r="11821">
          <cell r="K11821" t="str">
            <v>213006</v>
          </cell>
          <cell r="M11821">
            <v>1</v>
          </cell>
          <cell r="R11821">
            <v>45928</v>
          </cell>
          <cell r="S11821">
            <v>213006</v>
          </cell>
        </row>
        <row r="11822">
          <cell r="K11822" t="str">
            <v>223002</v>
          </cell>
          <cell r="M11822">
            <v>8</v>
          </cell>
          <cell r="R11822">
            <v>45928</v>
          </cell>
          <cell r="S11822">
            <v>223002</v>
          </cell>
        </row>
        <row r="11823">
          <cell r="K11823" t="str">
            <v>201011</v>
          </cell>
          <cell r="M11823">
            <v>6</v>
          </cell>
          <cell r="R11823">
            <v>45928</v>
          </cell>
          <cell r="S11823">
            <v>201011</v>
          </cell>
        </row>
        <row r="11824">
          <cell r="K11824" t="str">
            <v>228001</v>
          </cell>
          <cell r="M11824">
            <v>1</v>
          </cell>
          <cell r="R11824">
            <v>45928</v>
          </cell>
          <cell r="S11824">
            <v>228001</v>
          </cell>
        </row>
        <row r="11825">
          <cell r="K11825" t="str">
            <v>212035</v>
          </cell>
          <cell r="M11825">
            <v>1</v>
          </cell>
          <cell r="R11825">
            <v>45928</v>
          </cell>
          <cell r="S11825">
            <v>212035</v>
          </cell>
        </row>
        <row r="11826">
          <cell r="K11826" t="str">
            <v>261004</v>
          </cell>
          <cell r="M11826">
            <v>50</v>
          </cell>
          <cell r="R11826">
            <v>45928</v>
          </cell>
          <cell r="S11826">
            <v>261004</v>
          </cell>
        </row>
        <row r="11827">
          <cell r="K11827" t="str">
            <v>212010</v>
          </cell>
          <cell r="M11827">
            <v>50</v>
          </cell>
          <cell r="R11827">
            <v>45928</v>
          </cell>
          <cell r="S11827">
            <v>212010</v>
          </cell>
        </row>
        <row r="11828">
          <cell r="K11828" t="str">
            <v>201011</v>
          </cell>
          <cell r="M11828">
            <v>3</v>
          </cell>
          <cell r="R11828">
            <v>45928</v>
          </cell>
          <cell r="S11828">
            <v>201011</v>
          </cell>
        </row>
        <row r="11829">
          <cell r="K11829" t="str">
            <v>201011</v>
          </cell>
          <cell r="M11829">
            <v>4</v>
          </cell>
          <cell r="R11829">
            <v>45928</v>
          </cell>
          <cell r="S11829">
            <v>201011</v>
          </cell>
        </row>
        <row r="11830">
          <cell r="K11830" t="str">
            <v>209001</v>
          </cell>
          <cell r="M11830">
            <v>1</v>
          </cell>
          <cell r="R11830">
            <v>45928</v>
          </cell>
          <cell r="S11830">
            <v>209001</v>
          </cell>
        </row>
        <row r="11831">
          <cell r="K11831" t="str">
            <v>231010</v>
          </cell>
          <cell r="M11831">
            <v>4</v>
          </cell>
          <cell r="R11831">
            <v>45928</v>
          </cell>
          <cell r="S11831">
            <v>231010</v>
          </cell>
        </row>
        <row r="11832">
          <cell r="K11832" t="str">
            <v>201011</v>
          </cell>
          <cell r="M11832">
            <v>1</v>
          </cell>
          <cell r="R11832">
            <v>45928</v>
          </cell>
          <cell r="S11832">
            <v>201011</v>
          </cell>
        </row>
        <row r="11833">
          <cell r="K11833" t="str">
            <v>223002</v>
          </cell>
          <cell r="M11833">
            <v>1</v>
          </cell>
          <cell r="R11833">
            <v>45928</v>
          </cell>
          <cell r="S11833">
            <v>223002</v>
          </cell>
        </row>
        <row r="11834">
          <cell r="K11834" t="str">
            <v>223001</v>
          </cell>
          <cell r="M11834">
            <v>5</v>
          </cell>
          <cell r="R11834">
            <v>45928</v>
          </cell>
          <cell r="S11834">
            <v>223001</v>
          </cell>
        </row>
        <row r="11835">
          <cell r="K11835" t="str">
            <v>209022</v>
          </cell>
          <cell r="M11835">
            <v>3</v>
          </cell>
          <cell r="R11835">
            <v>45928</v>
          </cell>
          <cell r="S11835">
            <v>209022</v>
          </cell>
        </row>
        <row r="11836">
          <cell r="K11836" t="str">
            <v>201011</v>
          </cell>
          <cell r="M11836">
            <v>17</v>
          </cell>
          <cell r="R11836">
            <v>45929</v>
          </cell>
          <cell r="S11836">
            <v>201011</v>
          </cell>
        </row>
        <row r="11837">
          <cell r="K11837" t="str">
            <v>228001</v>
          </cell>
          <cell r="M11837">
            <v>5</v>
          </cell>
          <cell r="R11837">
            <v>45928</v>
          </cell>
          <cell r="S11837">
            <v>228001</v>
          </cell>
        </row>
        <row r="11838">
          <cell r="K11838" t="str">
            <v>217022</v>
          </cell>
          <cell r="M11838">
            <v>2</v>
          </cell>
          <cell r="R11838">
            <v>45928</v>
          </cell>
          <cell r="S11838">
            <v>217022</v>
          </cell>
        </row>
        <row r="11839">
          <cell r="K11839" t="str">
            <v>201011</v>
          </cell>
          <cell r="M11839">
            <v>36</v>
          </cell>
          <cell r="R11839">
            <v>45926</v>
          </cell>
          <cell r="S11839">
            <v>201011</v>
          </cell>
        </row>
        <row r="11840">
          <cell r="K11840" t="str">
            <v>201011</v>
          </cell>
          <cell r="M11840">
            <v>2</v>
          </cell>
          <cell r="R11840">
            <v>45929</v>
          </cell>
          <cell r="S11840">
            <v>201011</v>
          </cell>
        </row>
        <row r="11841">
          <cell r="K11841" t="str">
            <v>223017</v>
          </cell>
          <cell r="M11841">
            <v>1</v>
          </cell>
          <cell r="R11841">
            <v>45929</v>
          </cell>
          <cell r="S11841">
            <v>223017</v>
          </cell>
        </row>
        <row r="11842">
          <cell r="K11842" t="str">
            <v>201011</v>
          </cell>
          <cell r="M11842">
            <v>2</v>
          </cell>
          <cell r="R11842">
            <v>45929</v>
          </cell>
          <cell r="S11842">
            <v>201011</v>
          </cell>
        </row>
        <row r="11843">
          <cell r="K11843" t="str">
            <v>213002</v>
          </cell>
          <cell r="M11843">
            <v>1</v>
          </cell>
          <cell r="R11843">
            <v>45929</v>
          </cell>
          <cell r="S11843">
            <v>213002</v>
          </cell>
        </row>
        <row r="11844">
          <cell r="K11844" t="str">
            <v>226001</v>
          </cell>
          <cell r="M11844">
            <v>2</v>
          </cell>
          <cell r="R11844">
            <v>45929</v>
          </cell>
          <cell r="S11844">
            <v>226001</v>
          </cell>
        </row>
        <row r="11845">
          <cell r="K11845" t="str">
            <v>210013</v>
          </cell>
          <cell r="M11845">
            <v>1</v>
          </cell>
          <cell r="R11845">
            <v>45929</v>
          </cell>
          <cell r="S11845">
            <v>210013</v>
          </cell>
        </row>
        <row r="11846">
          <cell r="K11846" t="str">
            <v>209004</v>
          </cell>
          <cell r="M11846">
            <v>1</v>
          </cell>
          <cell r="R11846">
            <v>45929</v>
          </cell>
          <cell r="S11846">
            <v>209004</v>
          </cell>
        </row>
        <row r="11847">
          <cell r="K11847" t="str">
            <v>209016</v>
          </cell>
          <cell r="M11847">
            <v>1</v>
          </cell>
          <cell r="R11847">
            <v>45929</v>
          </cell>
          <cell r="S11847">
            <v>209016</v>
          </cell>
        </row>
        <row r="11848">
          <cell r="K11848" t="str">
            <v>201002</v>
          </cell>
          <cell r="M11848">
            <v>1</v>
          </cell>
          <cell r="R11848">
            <v>45929</v>
          </cell>
          <cell r="S11848">
            <v>201002</v>
          </cell>
        </row>
        <row r="11849">
          <cell r="K11849" t="str">
            <v>201011</v>
          </cell>
          <cell r="M11849">
            <v>2</v>
          </cell>
          <cell r="R11849">
            <v>45929</v>
          </cell>
          <cell r="S11849">
            <v>201011</v>
          </cell>
        </row>
        <row r="11850">
          <cell r="K11850" t="str">
            <v>259001</v>
          </cell>
          <cell r="M11850">
            <v>9</v>
          </cell>
          <cell r="R11850">
            <v>45929</v>
          </cell>
          <cell r="S11850">
            <v>259001</v>
          </cell>
        </row>
        <row r="11851">
          <cell r="K11851" t="str">
            <v>213002</v>
          </cell>
          <cell r="M11851">
            <v>4</v>
          </cell>
          <cell r="R11851">
            <v>45929</v>
          </cell>
          <cell r="S11851">
            <v>213002</v>
          </cell>
        </row>
        <row r="11852">
          <cell r="K11852" t="str">
            <v>209012</v>
          </cell>
          <cell r="M11852">
            <v>1</v>
          </cell>
          <cell r="R11852">
            <v>45929</v>
          </cell>
          <cell r="S11852">
            <v>209012</v>
          </cell>
        </row>
        <row r="11853">
          <cell r="K11853" t="str">
            <v>217022</v>
          </cell>
          <cell r="M11853">
            <v>2</v>
          </cell>
          <cell r="R11853">
            <v>45929</v>
          </cell>
          <cell r="S11853">
            <v>217022</v>
          </cell>
        </row>
        <row r="11854">
          <cell r="K11854" t="str">
            <v>228001</v>
          </cell>
          <cell r="M11854">
            <v>1</v>
          </cell>
          <cell r="R11854">
            <v>45929</v>
          </cell>
          <cell r="S11854">
            <v>228001</v>
          </cell>
        </row>
        <row r="11855">
          <cell r="K11855" t="str">
            <v>212035</v>
          </cell>
          <cell r="M11855">
            <v>1</v>
          </cell>
          <cell r="R11855">
            <v>45929</v>
          </cell>
          <cell r="S11855">
            <v>212035</v>
          </cell>
        </row>
        <row r="11856">
          <cell r="K11856" t="str">
            <v>209012</v>
          </cell>
          <cell r="M11856">
            <v>1</v>
          </cell>
          <cell r="R11856">
            <v>45929</v>
          </cell>
          <cell r="S11856">
            <v>209012</v>
          </cell>
        </row>
        <row r="11857">
          <cell r="K11857" t="str">
            <v>201011</v>
          </cell>
          <cell r="M11857">
            <v>5</v>
          </cell>
          <cell r="R11857">
            <v>45929</v>
          </cell>
          <cell r="S11857">
            <v>201011</v>
          </cell>
        </row>
        <row r="11858">
          <cell r="K11858" t="str">
            <v>209001</v>
          </cell>
          <cell r="M11858">
            <v>4</v>
          </cell>
          <cell r="R11858">
            <v>45929</v>
          </cell>
          <cell r="S11858">
            <v>209001</v>
          </cell>
        </row>
        <row r="11859">
          <cell r="K11859" t="str">
            <v>201011</v>
          </cell>
          <cell r="M11859">
            <v>2</v>
          </cell>
          <cell r="R11859">
            <v>45929</v>
          </cell>
          <cell r="S11859">
            <v>201011</v>
          </cell>
        </row>
        <row r="11860">
          <cell r="K11860" t="str">
            <v>203003</v>
          </cell>
          <cell r="M11860">
            <v>1</v>
          </cell>
          <cell r="R11860">
            <v>45929</v>
          </cell>
          <cell r="S11860">
            <v>203003</v>
          </cell>
        </row>
        <row r="11861">
          <cell r="K11861" t="str">
            <v>223002</v>
          </cell>
          <cell r="M11861">
            <v>1</v>
          </cell>
          <cell r="R11861">
            <v>45929</v>
          </cell>
          <cell r="S11861">
            <v>223002</v>
          </cell>
        </row>
        <row r="11862">
          <cell r="K11862" t="str">
            <v>213002</v>
          </cell>
          <cell r="M11862">
            <v>6</v>
          </cell>
          <cell r="R11862">
            <v>45929</v>
          </cell>
          <cell r="S11862">
            <v>213002</v>
          </cell>
        </row>
        <row r="11863">
          <cell r="K11863" t="str">
            <v>203001</v>
          </cell>
          <cell r="M11863">
            <v>2</v>
          </cell>
          <cell r="R11863">
            <v>45929</v>
          </cell>
          <cell r="S11863">
            <v>203001</v>
          </cell>
        </row>
        <row r="11864">
          <cell r="K11864" t="str">
            <v>220002</v>
          </cell>
          <cell r="M11864">
            <v>2</v>
          </cell>
          <cell r="R11864">
            <v>45929</v>
          </cell>
          <cell r="S11864">
            <v>220002</v>
          </cell>
        </row>
        <row r="11865">
          <cell r="K11865" t="str">
            <v>213002</v>
          </cell>
          <cell r="M11865">
            <v>6</v>
          </cell>
          <cell r="R11865">
            <v>45929</v>
          </cell>
          <cell r="S11865">
            <v>213002</v>
          </cell>
        </row>
        <row r="11866">
          <cell r="K11866" t="str">
            <v>213002</v>
          </cell>
          <cell r="M11866">
            <v>1</v>
          </cell>
          <cell r="R11866">
            <v>45929</v>
          </cell>
          <cell r="S11866">
            <v>213002</v>
          </cell>
        </row>
        <row r="11867">
          <cell r="K11867" t="str">
            <v>207017</v>
          </cell>
          <cell r="M11867">
            <v>2</v>
          </cell>
          <cell r="R11867">
            <v>45929</v>
          </cell>
          <cell r="S11867">
            <v>207017</v>
          </cell>
        </row>
        <row r="11868">
          <cell r="K11868" t="str">
            <v>217022</v>
          </cell>
          <cell r="M11868">
            <v>1</v>
          </cell>
          <cell r="R11868">
            <v>45929</v>
          </cell>
          <cell r="S11868">
            <v>217022</v>
          </cell>
        </row>
        <row r="11869">
          <cell r="K11869" t="str">
            <v>228001</v>
          </cell>
          <cell r="M11869">
            <v>1</v>
          </cell>
          <cell r="R11869">
            <v>45929</v>
          </cell>
          <cell r="S11869">
            <v>228001</v>
          </cell>
        </row>
        <row r="11870">
          <cell r="K11870" t="str">
            <v>203003</v>
          </cell>
          <cell r="M11870">
            <v>1</v>
          </cell>
          <cell r="R11870">
            <v>45929</v>
          </cell>
          <cell r="S11870">
            <v>203003</v>
          </cell>
        </row>
        <row r="11871">
          <cell r="K11871" t="str">
            <v>207017</v>
          </cell>
          <cell r="M11871">
            <v>3</v>
          </cell>
          <cell r="R11871">
            <v>45929</v>
          </cell>
          <cell r="S11871">
            <v>207017</v>
          </cell>
        </row>
        <row r="11872">
          <cell r="K11872" t="str">
            <v>210013</v>
          </cell>
          <cell r="M11872">
            <v>1</v>
          </cell>
          <cell r="R11872">
            <v>45929</v>
          </cell>
          <cell r="S11872">
            <v>210013</v>
          </cell>
        </row>
        <row r="11873">
          <cell r="K11873" t="str">
            <v>217022</v>
          </cell>
          <cell r="M11873">
            <v>1</v>
          </cell>
          <cell r="R11873">
            <v>45929</v>
          </cell>
          <cell r="S11873">
            <v>217022</v>
          </cell>
        </row>
        <row r="11874">
          <cell r="K11874" t="str">
            <v>231012</v>
          </cell>
          <cell r="M11874">
            <v>3</v>
          </cell>
          <cell r="R11874">
            <v>45929</v>
          </cell>
          <cell r="S11874">
            <v>231012</v>
          </cell>
        </row>
        <row r="11875">
          <cell r="K11875" t="str">
            <v>223001</v>
          </cell>
          <cell r="M11875">
            <v>1</v>
          </cell>
          <cell r="R11875">
            <v>45929</v>
          </cell>
          <cell r="S11875">
            <v>223001</v>
          </cell>
        </row>
        <row r="11876">
          <cell r="K11876" t="str">
            <v>223002</v>
          </cell>
          <cell r="M11876">
            <v>1</v>
          </cell>
          <cell r="R11876">
            <v>45929</v>
          </cell>
          <cell r="S11876">
            <v>223002</v>
          </cell>
        </row>
        <row r="11877">
          <cell r="K11877" t="str">
            <v>228001</v>
          </cell>
          <cell r="M11877">
            <v>4</v>
          </cell>
          <cell r="R11877">
            <v>45929</v>
          </cell>
          <cell r="S11877">
            <v>228001</v>
          </cell>
        </row>
        <row r="11878">
          <cell r="K11878" t="str">
            <v>201011</v>
          </cell>
          <cell r="M11878">
            <v>1</v>
          </cell>
          <cell r="R11878">
            <v>45929</v>
          </cell>
          <cell r="S11878">
            <v>201011</v>
          </cell>
        </row>
        <row r="11879">
          <cell r="K11879" t="str">
            <v>234001</v>
          </cell>
          <cell r="M11879">
            <v>1</v>
          </cell>
          <cell r="R11879">
            <v>45929</v>
          </cell>
          <cell r="S11879">
            <v>234001</v>
          </cell>
        </row>
        <row r="11880">
          <cell r="K11880" t="str">
            <v>231012</v>
          </cell>
          <cell r="M11880">
            <v>1</v>
          </cell>
          <cell r="R11880">
            <v>45929</v>
          </cell>
          <cell r="S11880">
            <v>231012</v>
          </cell>
        </row>
        <row r="11881">
          <cell r="K11881" t="str">
            <v>213006</v>
          </cell>
          <cell r="M11881">
            <v>1</v>
          </cell>
          <cell r="R11881">
            <v>45929</v>
          </cell>
          <cell r="S11881">
            <v>213006</v>
          </cell>
        </row>
        <row r="11882">
          <cell r="K11882" t="str">
            <v>212002</v>
          </cell>
          <cell r="M11882">
            <v>1</v>
          </cell>
          <cell r="R11882">
            <v>45929</v>
          </cell>
          <cell r="S11882">
            <v>212002</v>
          </cell>
        </row>
        <row r="11883">
          <cell r="K11883" t="str">
            <v>228001</v>
          </cell>
          <cell r="M11883">
            <v>2</v>
          </cell>
          <cell r="R11883">
            <v>45929</v>
          </cell>
          <cell r="S11883">
            <v>228001</v>
          </cell>
        </row>
        <row r="11884">
          <cell r="K11884" t="str">
            <v>228001</v>
          </cell>
          <cell r="M11884">
            <v>4</v>
          </cell>
          <cell r="R11884">
            <v>45929</v>
          </cell>
          <cell r="S11884">
            <v>228001</v>
          </cell>
        </row>
        <row r="11885">
          <cell r="K11885" t="str">
            <v>227012</v>
          </cell>
          <cell r="M11885">
            <v>1</v>
          </cell>
          <cell r="R11885">
            <v>45929</v>
          </cell>
          <cell r="S11885">
            <v>227012</v>
          </cell>
        </row>
        <row r="11886">
          <cell r="K11886" t="str">
            <v>213005</v>
          </cell>
          <cell r="M11886">
            <v>1</v>
          </cell>
          <cell r="R11886">
            <v>45929</v>
          </cell>
          <cell r="S11886">
            <v>213005</v>
          </cell>
        </row>
        <row r="11887">
          <cell r="K11887" t="str">
            <v>201003</v>
          </cell>
          <cell r="M11887">
            <v>1</v>
          </cell>
          <cell r="R11887">
            <v>45929</v>
          </cell>
          <cell r="S11887">
            <v>201003</v>
          </cell>
        </row>
        <row r="11888">
          <cell r="K11888" t="str">
            <v>207017</v>
          </cell>
          <cell r="M11888">
            <v>1</v>
          </cell>
          <cell r="R11888">
            <v>45929</v>
          </cell>
          <cell r="S11888">
            <v>207017</v>
          </cell>
        </row>
        <row r="11889">
          <cell r="K11889" t="str">
            <v>212002</v>
          </cell>
          <cell r="M11889">
            <v>1</v>
          </cell>
          <cell r="R11889">
            <v>45929</v>
          </cell>
          <cell r="S11889">
            <v>212002</v>
          </cell>
        </row>
        <row r="11890">
          <cell r="K11890" t="str">
            <v>209004</v>
          </cell>
          <cell r="M11890">
            <v>1</v>
          </cell>
          <cell r="R11890">
            <v>45929</v>
          </cell>
          <cell r="S11890">
            <v>209004</v>
          </cell>
        </row>
        <row r="11891">
          <cell r="K11891" t="str">
            <v>220003</v>
          </cell>
          <cell r="M11891">
            <v>1</v>
          </cell>
          <cell r="R11891">
            <v>45929</v>
          </cell>
          <cell r="S11891">
            <v>220003</v>
          </cell>
        </row>
        <row r="11892">
          <cell r="K11892" t="str">
            <v>201011</v>
          </cell>
          <cell r="M11892">
            <v>2</v>
          </cell>
          <cell r="R11892">
            <v>45929</v>
          </cell>
          <cell r="S11892">
            <v>201011</v>
          </cell>
        </row>
        <row r="11893">
          <cell r="K11893" t="str">
            <v>223002</v>
          </cell>
          <cell r="M11893">
            <v>2</v>
          </cell>
          <cell r="R11893">
            <v>45929</v>
          </cell>
          <cell r="S11893">
            <v>223002</v>
          </cell>
        </row>
        <row r="11894">
          <cell r="K11894" t="str">
            <v>227012</v>
          </cell>
          <cell r="M11894">
            <v>2</v>
          </cell>
          <cell r="R11894">
            <v>45929</v>
          </cell>
          <cell r="S11894">
            <v>227012</v>
          </cell>
        </row>
        <row r="11895">
          <cell r="K11895" t="str">
            <v>213005</v>
          </cell>
          <cell r="M11895">
            <v>2</v>
          </cell>
          <cell r="R11895">
            <v>45929</v>
          </cell>
          <cell r="S11895">
            <v>213005</v>
          </cell>
        </row>
        <row r="11896">
          <cell r="K11896" t="str">
            <v>201011</v>
          </cell>
          <cell r="M11896">
            <v>36</v>
          </cell>
          <cell r="R11896">
            <v>45929</v>
          </cell>
          <cell r="S11896">
            <v>201011</v>
          </cell>
        </row>
        <row r="11897">
          <cell r="K11897" t="str">
            <v>212035</v>
          </cell>
          <cell r="M11897">
            <v>1</v>
          </cell>
          <cell r="R11897">
            <v>45929</v>
          </cell>
          <cell r="S11897">
            <v>212035</v>
          </cell>
        </row>
        <row r="11898">
          <cell r="K11898" t="str">
            <v>213006</v>
          </cell>
          <cell r="M11898">
            <v>3</v>
          </cell>
          <cell r="R11898">
            <v>45929</v>
          </cell>
          <cell r="S11898">
            <v>213006</v>
          </cell>
        </row>
        <row r="11899">
          <cell r="K11899" t="str">
            <v>227012</v>
          </cell>
          <cell r="M11899">
            <v>2</v>
          </cell>
          <cell r="R11899">
            <v>45929</v>
          </cell>
          <cell r="S11899">
            <v>227012</v>
          </cell>
        </row>
        <row r="11900">
          <cell r="K11900" t="str">
            <v>201011</v>
          </cell>
          <cell r="M11900">
            <v>1</v>
          </cell>
          <cell r="R11900">
            <v>45929</v>
          </cell>
          <cell r="S11900">
            <v>201011</v>
          </cell>
        </row>
        <row r="11901">
          <cell r="K11901" t="str">
            <v>213006</v>
          </cell>
          <cell r="M11901">
            <v>2</v>
          </cell>
          <cell r="R11901">
            <v>45929</v>
          </cell>
          <cell r="S11901">
            <v>213006</v>
          </cell>
        </row>
        <row r="11902">
          <cell r="K11902" t="str">
            <v>228001</v>
          </cell>
          <cell r="M11902">
            <v>2</v>
          </cell>
          <cell r="R11902">
            <v>45929</v>
          </cell>
          <cell r="S11902">
            <v>228001</v>
          </cell>
        </row>
        <row r="11903">
          <cell r="K11903" t="str">
            <v>223001</v>
          </cell>
          <cell r="M11903">
            <v>1</v>
          </cell>
          <cell r="R11903">
            <v>45929</v>
          </cell>
          <cell r="S11903">
            <v>223001</v>
          </cell>
        </row>
        <row r="11904">
          <cell r="K11904" t="str">
            <v>228001</v>
          </cell>
          <cell r="M11904">
            <v>1</v>
          </cell>
          <cell r="R11904">
            <v>45929</v>
          </cell>
          <cell r="S11904">
            <v>228001</v>
          </cell>
        </row>
        <row r="11905">
          <cell r="K11905" t="str">
            <v>207017</v>
          </cell>
          <cell r="M11905">
            <v>1</v>
          </cell>
          <cell r="R11905">
            <v>45929</v>
          </cell>
          <cell r="S11905">
            <v>207017</v>
          </cell>
        </row>
        <row r="11906">
          <cell r="K11906" t="str">
            <v>213006</v>
          </cell>
          <cell r="M11906">
            <v>1</v>
          </cell>
          <cell r="R11906">
            <v>45929</v>
          </cell>
          <cell r="S11906">
            <v>213006</v>
          </cell>
        </row>
        <row r="11907">
          <cell r="K11907" t="str">
            <v>201011</v>
          </cell>
          <cell r="M11907">
            <v>1</v>
          </cell>
          <cell r="R11907">
            <v>45929</v>
          </cell>
          <cell r="S11907">
            <v>201011</v>
          </cell>
        </row>
        <row r="11908">
          <cell r="K11908" t="str">
            <v>226024</v>
          </cell>
          <cell r="M11908">
            <v>2</v>
          </cell>
          <cell r="R11908">
            <v>45930</v>
          </cell>
          <cell r="S11908">
            <v>226024</v>
          </cell>
        </row>
        <row r="11909">
          <cell r="K11909" t="str">
            <v>261004</v>
          </cell>
          <cell r="M11909">
            <v>1</v>
          </cell>
          <cell r="R11909">
            <v>45929</v>
          </cell>
          <cell r="S11909">
            <v>261004</v>
          </cell>
        </row>
        <row r="11910">
          <cell r="K11910" t="str">
            <v>241001</v>
          </cell>
          <cell r="M11910">
            <v>6</v>
          </cell>
          <cell r="R11910">
            <v>45929</v>
          </cell>
          <cell r="S11910">
            <v>241001</v>
          </cell>
        </row>
        <row r="11911">
          <cell r="K11911" t="str">
            <v>241001</v>
          </cell>
          <cell r="M11911">
            <v>3</v>
          </cell>
          <cell r="R11911">
            <v>45929</v>
          </cell>
          <cell r="S11911">
            <v>241001</v>
          </cell>
        </row>
        <row r="11912">
          <cell r="K11912" t="str">
            <v>222001</v>
          </cell>
          <cell r="M11912">
            <v>5</v>
          </cell>
          <cell r="R11912">
            <v>45929</v>
          </cell>
          <cell r="S11912">
            <v>222001</v>
          </cell>
        </row>
        <row r="11913">
          <cell r="K11913" t="str">
            <v>222007</v>
          </cell>
          <cell r="M11913">
            <v>1</v>
          </cell>
          <cell r="R11913">
            <v>45929</v>
          </cell>
          <cell r="S11913">
            <v>222007</v>
          </cell>
        </row>
        <row r="11914">
          <cell r="K11914" t="str">
            <v>213005</v>
          </cell>
          <cell r="M11914">
            <v>1</v>
          </cell>
          <cell r="R11914">
            <v>45929</v>
          </cell>
          <cell r="S11914">
            <v>213005</v>
          </cell>
        </row>
        <row r="11915">
          <cell r="K11915" t="str">
            <v>261004</v>
          </cell>
          <cell r="M11915">
            <v>1</v>
          </cell>
          <cell r="R11915">
            <v>45929</v>
          </cell>
          <cell r="S11915">
            <v>261004</v>
          </cell>
        </row>
        <row r="11916">
          <cell r="K11916" t="str">
            <v>228001</v>
          </cell>
          <cell r="M11916">
            <v>1</v>
          </cell>
          <cell r="R11916">
            <v>45929</v>
          </cell>
          <cell r="S11916">
            <v>228001</v>
          </cell>
        </row>
        <row r="11917">
          <cell r="K11917" t="str">
            <v>203003</v>
          </cell>
          <cell r="M11917">
            <v>3</v>
          </cell>
          <cell r="R11917">
            <v>45929</v>
          </cell>
          <cell r="S11917">
            <v>203003</v>
          </cell>
        </row>
        <row r="11918">
          <cell r="K11918" t="str">
            <v>217020</v>
          </cell>
          <cell r="M11918">
            <v>1</v>
          </cell>
          <cell r="R11918">
            <v>45929</v>
          </cell>
          <cell r="S11918">
            <v>217020</v>
          </cell>
        </row>
        <row r="11919">
          <cell r="K11919" t="str">
            <v>217022</v>
          </cell>
          <cell r="M11919">
            <v>1</v>
          </cell>
          <cell r="R11919">
            <v>45929</v>
          </cell>
          <cell r="S11919">
            <v>217022</v>
          </cell>
        </row>
        <row r="11920">
          <cell r="K11920" t="str">
            <v>222001</v>
          </cell>
          <cell r="M11920">
            <v>1</v>
          </cell>
          <cell r="R11920">
            <v>45930</v>
          </cell>
          <cell r="S11920">
            <v>222001</v>
          </cell>
        </row>
        <row r="11921">
          <cell r="K11921" t="str">
            <v>201021</v>
          </cell>
          <cell r="M11921">
            <v>1</v>
          </cell>
          <cell r="R11921">
            <v>45930</v>
          </cell>
          <cell r="S11921">
            <v>201021</v>
          </cell>
        </row>
        <row r="11922">
          <cell r="K11922" t="str">
            <v>222002</v>
          </cell>
          <cell r="M11922">
            <v>1</v>
          </cell>
          <cell r="R11922">
            <v>45930</v>
          </cell>
          <cell r="S11922">
            <v>222002</v>
          </cell>
        </row>
        <row r="11923">
          <cell r="K11923" t="str">
            <v>201011</v>
          </cell>
          <cell r="M11923">
            <v>10</v>
          </cell>
          <cell r="R11923">
            <v>45929</v>
          </cell>
          <cell r="S11923">
            <v>201011</v>
          </cell>
        </row>
        <row r="11924">
          <cell r="K11924" t="str">
            <v>201011</v>
          </cell>
          <cell r="M11924">
            <v>6</v>
          </cell>
          <cell r="R11924">
            <v>45929</v>
          </cell>
          <cell r="S11924">
            <v>201011</v>
          </cell>
        </row>
        <row r="11925">
          <cell r="K11925" t="str">
            <v>228001</v>
          </cell>
          <cell r="M11925">
            <v>12</v>
          </cell>
          <cell r="R11925">
            <v>45929</v>
          </cell>
          <cell r="S11925">
            <v>228001</v>
          </cell>
        </row>
        <row r="11926">
          <cell r="K11926" t="str">
            <v>217019</v>
          </cell>
          <cell r="M11926">
            <v>5</v>
          </cell>
          <cell r="R11926">
            <v>45929</v>
          </cell>
          <cell r="S11926">
            <v>217019</v>
          </cell>
        </row>
        <row r="11927">
          <cell r="K11927" t="str">
            <v>213002</v>
          </cell>
          <cell r="M11927">
            <v>14</v>
          </cell>
          <cell r="R11927">
            <v>45930</v>
          </cell>
          <cell r="S11927">
            <v>213002</v>
          </cell>
        </row>
        <row r="11928">
          <cell r="K11928" t="str">
            <v>241001</v>
          </cell>
          <cell r="M11928">
            <v>4</v>
          </cell>
          <cell r="R11928">
            <v>45930</v>
          </cell>
          <cell r="S11928">
            <v>241001</v>
          </cell>
        </row>
        <row r="11929">
          <cell r="K11929" t="str">
            <v>223001</v>
          </cell>
          <cell r="M11929">
            <v>2</v>
          </cell>
          <cell r="R11929">
            <v>45930</v>
          </cell>
          <cell r="S11929">
            <v>223001</v>
          </cell>
        </row>
        <row r="11930">
          <cell r="K11930" t="str">
            <v>217018</v>
          </cell>
          <cell r="M11930">
            <v>1</v>
          </cell>
          <cell r="R11930">
            <v>45930</v>
          </cell>
          <cell r="S11930">
            <v>217018</v>
          </cell>
        </row>
        <row r="11931">
          <cell r="K11931" t="str">
            <v>241001</v>
          </cell>
          <cell r="M11931">
            <v>12</v>
          </cell>
          <cell r="R11931">
            <v>45930</v>
          </cell>
          <cell r="S11931">
            <v>241001</v>
          </cell>
        </row>
        <row r="11932">
          <cell r="K11932" t="str">
            <v>213002</v>
          </cell>
          <cell r="M11932">
            <v>16</v>
          </cell>
          <cell r="R11932">
            <v>45930</v>
          </cell>
          <cell r="S11932">
            <v>213002</v>
          </cell>
        </row>
        <row r="11933">
          <cell r="K11933" t="str">
            <v>223002</v>
          </cell>
          <cell r="M11933">
            <v>6</v>
          </cell>
          <cell r="R11933">
            <v>45930</v>
          </cell>
          <cell r="S11933">
            <v>223002</v>
          </cell>
        </row>
        <row r="11934">
          <cell r="K11934" t="str">
            <v>229001</v>
          </cell>
          <cell r="M11934">
            <v>1</v>
          </cell>
          <cell r="R11934">
            <v>45930</v>
          </cell>
          <cell r="S11934">
            <v>229001</v>
          </cell>
        </row>
        <row r="11935">
          <cell r="K11935" t="str">
            <v>228001</v>
          </cell>
          <cell r="M11935">
            <v>3</v>
          </cell>
          <cell r="R11935">
            <v>45930</v>
          </cell>
          <cell r="S11935">
            <v>228001</v>
          </cell>
        </row>
        <row r="11936">
          <cell r="K11936" t="str">
            <v>228001</v>
          </cell>
          <cell r="M11936">
            <v>5</v>
          </cell>
          <cell r="R11936">
            <v>45930</v>
          </cell>
          <cell r="S11936">
            <v>228001</v>
          </cell>
        </row>
        <row r="11937">
          <cell r="K11937" t="str">
            <v>213006</v>
          </cell>
          <cell r="M11937">
            <v>2</v>
          </cell>
          <cell r="R11937">
            <v>45930</v>
          </cell>
          <cell r="S11937">
            <v>213006</v>
          </cell>
        </row>
        <row r="11938">
          <cell r="K11938" t="str">
            <v>228001</v>
          </cell>
          <cell r="M11938">
            <v>5</v>
          </cell>
          <cell r="R11938">
            <v>45930</v>
          </cell>
          <cell r="S11938">
            <v>228001</v>
          </cell>
        </row>
        <row r="11939">
          <cell r="K11939" t="str">
            <v>227014</v>
          </cell>
          <cell r="M11939">
            <v>1</v>
          </cell>
          <cell r="R11939">
            <v>45930</v>
          </cell>
          <cell r="S11939">
            <v>227014</v>
          </cell>
        </row>
        <row r="11940">
          <cell r="K11940" t="str">
            <v>222001</v>
          </cell>
          <cell r="M11940">
            <v>1</v>
          </cell>
          <cell r="R11940">
            <v>45930</v>
          </cell>
          <cell r="S11940">
            <v>222001</v>
          </cell>
        </row>
        <row r="11941">
          <cell r="K11941" t="str">
            <v>229004</v>
          </cell>
          <cell r="M11941">
            <v>3</v>
          </cell>
          <cell r="R11941">
            <v>45930</v>
          </cell>
          <cell r="S11941">
            <v>229004</v>
          </cell>
        </row>
        <row r="11942">
          <cell r="K11942" t="str">
            <v>223002</v>
          </cell>
          <cell r="M11942">
            <v>2</v>
          </cell>
          <cell r="R11942">
            <v>45930</v>
          </cell>
          <cell r="S11942">
            <v>223002</v>
          </cell>
        </row>
        <row r="11943">
          <cell r="K11943" t="str">
            <v>213002</v>
          </cell>
          <cell r="M11943">
            <v>3</v>
          </cell>
          <cell r="R11943">
            <v>45930</v>
          </cell>
          <cell r="S11943">
            <v>213002</v>
          </cell>
        </row>
        <row r="11944">
          <cell r="K11944" t="str">
            <v>213002</v>
          </cell>
          <cell r="M11944">
            <v>15</v>
          </cell>
          <cell r="R11944">
            <v>45930</v>
          </cell>
          <cell r="S11944">
            <v>213002</v>
          </cell>
        </row>
        <row r="11945">
          <cell r="K11945" t="str">
            <v>223002</v>
          </cell>
          <cell r="M11945">
            <v>4</v>
          </cell>
          <cell r="R11945">
            <v>45930</v>
          </cell>
          <cell r="S11945">
            <v>223002</v>
          </cell>
        </row>
        <row r="11946">
          <cell r="K11946" t="str">
            <v>213002</v>
          </cell>
          <cell r="M11946">
            <v>5</v>
          </cell>
          <cell r="R11946">
            <v>45930</v>
          </cell>
          <cell r="S11946">
            <v>213002</v>
          </cell>
        </row>
        <row r="11947">
          <cell r="K11947" t="str">
            <v>226001</v>
          </cell>
          <cell r="M11947">
            <v>1</v>
          </cell>
          <cell r="R11947">
            <v>45930</v>
          </cell>
          <cell r="S11947">
            <v>226001</v>
          </cell>
        </row>
        <row r="11948">
          <cell r="K11948" t="str">
            <v>226001</v>
          </cell>
          <cell r="M11948">
            <v>1</v>
          </cell>
          <cell r="R11948">
            <v>45930</v>
          </cell>
          <cell r="S11948">
            <v>226001</v>
          </cell>
        </row>
        <row r="11949">
          <cell r="K11949" t="str">
            <v>226001</v>
          </cell>
          <cell r="M11949">
            <v>4</v>
          </cell>
          <cell r="R11949">
            <v>45930</v>
          </cell>
          <cell r="S11949">
            <v>226001</v>
          </cell>
        </row>
        <row r="11950">
          <cell r="K11950" t="str">
            <v>226001</v>
          </cell>
          <cell r="M11950">
            <v>1</v>
          </cell>
          <cell r="R11950">
            <v>45930</v>
          </cell>
          <cell r="S11950">
            <v>226001</v>
          </cell>
        </row>
        <row r="11951">
          <cell r="K11951" t="str">
            <v>203001</v>
          </cell>
          <cell r="M11951">
            <v>4</v>
          </cell>
          <cell r="R11951">
            <v>45930</v>
          </cell>
          <cell r="S11951">
            <v>203001</v>
          </cell>
        </row>
        <row r="11952">
          <cell r="K11952" t="str">
            <v>223001</v>
          </cell>
          <cell r="M11952">
            <v>5</v>
          </cell>
          <cell r="R11952">
            <v>45930</v>
          </cell>
          <cell r="S11952">
            <v>223001</v>
          </cell>
        </row>
        <row r="11953">
          <cell r="K11953" t="str">
            <v>227012</v>
          </cell>
          <cell r="M11953">
            <v>1</v>
          </cell>
          <cell r="R11953">
            <v>45930</v>
          </cell>
          <cell r="S11953">
            <v>227012</v>
          </cell>
        </row>
        <row r="11954">
          <cell r="K11954" t="str">
            <v>213006</v>
          </cell>
          <cell r="M11954">
            <v>1</v>
          </cell>
          <cell r="R11954">
            <v>45930</v>
          </cell>
          <cell r="S11954">
            <v>213006</v>
          </cell>
        </row>
        <row r="11955">
          <cell r="K11955" t="str">
            <v>228001</v>
          </cell>
          <cell r="M11955">
            <v>1</v>
          </cell>
          <cell r="R11955">
            <v>45930</v>
          </cell>
          <cell r="S11955">
            <v>228001</v>
          </cell>
        </row>
        <row r="11956">
          <cell r="K11956" t="str">
            <v>209001</v>
          </cell>
          <cell r="M11956">
            <v>2</v>
          </cell>
          <cell r="R11956">
            <v>45930</v>
          </cell>
          <cell r="S11956">
            <v>209001</v>
          </cell>
        </row>
        <row r="11957">
          <cell r="K11957" t="str">
            <v>201011</v>
          </cell>
          <cell r="M11957">
            <v>10</v>
          </cell>
          <cell r="R11957">
            <v>45930</v>
          </cell>
          <cell r="S11957">
            <v>201011</v>
          </cell>
        </row>
        <row r="11958">
          <cell r="K11958" t="str">
            <v>213002</v>
          </cell>
          <cell r="M11958">
            <v>10</v>
          </cell>
          <cell r="R11958">
            <v>45930</v>
          </cell>
          <cell r="S11958">
            <v>213002</v>
          </cell>
        </row>
        <row r="11959">
          <cell r="K11959" t="str">
            <v>213006</v>
          </cell>
          <cell r="M11959">
            <v>10</v>
          </cell>
          <cell r="R11959">
            <v>45930</v>
          </cell>
          <cell r="S11959">
            <v>213006</v>
          </cell>
        </row>
        <row r="11960">
          <cell r="K11960" t="str">
            <v>222005</v>
          </cell>
          <cell r="M11960">
            <v>1</v>
          </cell>
          <cell r="R11960">
            <v>45930</v>
          </cell>
          <cell r="S11960">
            <v>222005</v>
          </cell>
        </row>
        <row r="11961">
          <cell r="K11961" t="str">
            <v>212035</v>
          </cell>
          <cell r="M11961">
            <v>2</v>
          </cell>
          <cell r="R11961">
            <v>45930</v>
          </cell>
          <cell r="S11961">
            <v>212035</v>
          </cell>
        </row>
        <row r="11962">
          <cell r="K11962" t="str">
            <v>228001</v>
          </cell>
          <cell r="M11962">
            <v>1</v>
          </cell>
          <cell r="R11962">
            <v>45930</v>
          </cell>
          <cell r="S11962">
            <v>228001</v>
          </cell>
        </row>
        <row r="11963">
          <cell r="K11963" t="str">
            <v>212035</v>
          </cell>
          <cell r="M11963">
            <v>2</v>
          </cell>
          <cell r="R11963">
            <v>45930</v>
          </cell>
          <cell r="S11963">
            <v>212035</v>
          </cell>
        </row>
        <row r="11964">
          <cell r="K11964" t="str">
            <v>206002</v>
          </cell>
          <cell r="M11964">
            <v>1</v>
          </cell>
          <cell r="R11964">
            <v>45930</v>
          </cell>
          <cell r="S11964">
            <v>206002</v>
          </cell>
        </row>
        <row r="11965">
          <cell r="K11965" t="str">
            <v>208001</v>
          </cell>
          <cell r="M11965">
            <v>1</v>
          </cell>
          <cell r="R11965">
            <v>45930</v>
          </cell>
          <cell r="S11965">
            <v>208001</v>
          </cell>
        </row>
        <row r="11966">
          <cell r="K11966" t="str">
            <v>226001</v>
          </cell>
          <cell r="M11966">
            <v>1</v>
          </cell>
          <cell r="R11966">
            <v>45930</v>
          </cell>
          <cell r="S11966">
            <v>226001</v>
          </cell>
        </row>
        <row r="11967">
          <cell r="K11967" t="str">
            <v>206002</v>
          </cell>
          <cell r="M11967">
            <v>1</v>
          </cell>
          <cell r="R11967">
            <v>45930</v>
          </cell>
          <cell r="S11967">
            <v>206002</v>
          </cell>
        </row>
        <row r="11968">
          <cell r="K11968" t="str">
            <v>201011</v>
          </cell>
          <cell r="M11968">
            <v>6</v>
          </cell>
          <cell r="R11968">
            <v>45930</v>
          </cell>
          <cell r="S11968">
            <v>201011</v>
          </cell>
        </row>
        <row r="11969">
          <cell r="K11969" t="str">
            <v>201011</v>
          </cell>
          <cell r="M11969">
            <v>26</v>
          </cell>
          <cell r="R11969">
            <v>45931</v>
          </cell>
          <cell r="S11969">
            <v>201011</v>
          </cell>
        </row>
        <row r="11970">
          <cell r="K11970" t="str">
            <v>213005</v>
          </cell>
          <cell r="M11970">
            <v>2</v>
          </cell>
          <cell r="R11970">
            <v>45930</v>
          </cell>
          <cell r="S11970">
            <v>213005</v>
          </cell>
        </row>
        <row r="11971">
          <cell r="K11971" t="str">
            <v>231012</v>
          </cell>
          <cell r="M11971">
            <v>1</v>
          </cell>
          <cell r="R11971">
            <v>45931</v>
          </cell>
          <cell r="S11971">
            <v>231012</v>
          </cell>
        </row>
        <row r="11972">
          <cell r="K11972" t="str">
            <v>207002</v>
          </cell>
          <cell r="M11972">
            <v>1</v>
          </cell>
          <cell r="R11972">
            <v>45931</v>
          </cell>
          <cell r="S11972">
            <v>207002</v>
          </cell>
        </row>
        <row r="11973">
          <cell r="K11973" t="str">
            <v>217011</v>
          </cell>
          <cell r="M11973">
            <v>2</v>
          </cell>
          <cell r="R11973">
            <v>45931</v>
          </cell>
          <cell r="S11973">
            <v>217011</v>
          </cell>
        </row>
        <row r="11974">
          <cell r="K11974" t="str">
            <v>222001</v>
          </cell>
          <cell r="M11974">
            <v>1</v>
          </cell>
          <cell r="R11974">
            <v>45931</v>
          </cell>
          <cell r="S11974">
            <v>222001</v>
          </cell>
        </row>
        <row r="11975">
          <cell r="K11975" t="str">
            <v>223002</v>
          </cell>
          <cell r="M11975">
            <v>1</v>
          </cell>
          <cell r="R11975">
            <v>45931</v>
          </cell>
          <cell r="S11975">
            <v>223002</v>
          </cell>
        </row>
        <row r="11976">
          <cell r="K11976" t="str">
            <v>223001</v>
          </cell>
          <cell r="M11976">
            <v>5</v>
          </cell>
          <cell r="R11976">
            <v>45931</v>
          </cell>
          <cell r="S11976">
            <v>223001</v>
          </cell>
        </row>
        <row r="11977">
          <cell r="K11977" t="str">
            <v>241001</v>
          </cell>
          <cell r="M11977">
            <v>3</v>
          </cell>
          <cell r="R11977">
            <v>45931</v>
          </cell>
          <cell r="S11977">
            <v>241001</v>
          </cell>
        </row>
        <row r="11978">
          <cell r="K11978" t="str">
            <v>201011</v>
          </cell>
          <cell r="M11978">
            <v>3</v>
          </cell>
          <cell r="R11978">
            <v>45931</v>
          </cell>
          <cell r="S11978">
            <v>201011</v>
          </cell>
        </row>
        <row r="11979">
          <cell r="K11979" t="str">
            <v>234011</v>
          </cell>
          <cell r="M11979">
            <v>1</v>
          </cell>
          <cell r="R11979">
            <v>45931</v>
          </cell>
          <cell r="S11979">
            <v>234011</v>
          </cell>
        </row>
        <row r="11980">
          <cell r="K11980" t="str">
            <v>201011</v>
          </cell>
          <cell r="M11980">
            <v>3</v>
          </cell>
          <cell r="R11980">
            <v>45931</v>
          </cell>
          <cell r="S11980">
            <v>201011</v>
          </cell>
        </row>
        <row r="11981">
          <cell r="K11981" t="str">
            <v>201011</v>
          </cell>
          <cell r="M11981">
            <v>4</v>
          </cell>
          <cell r="R11981">
            <v>45931</v>
          </cell>
          <cell r="S11981">
            <v>201011</v>
          </cell>
        </row>
        <row r="11982">
          <cell r="K11982" t="str">
            <v>228001</v>
          </cell>
          <cell r="M11982">
            <v>2</v>
          </cell>
          <cell r="R11982">
            <v>45931</v>
          </cell>
          <cell r="S11982">
            <v>228001</v>
          </cell>
        </row>
        <row r="11983">
          <cell r="K11983" t="str">
            <v>203001</v>
          </cell>
          <cell r="M11983">
            <v>1</v>
          </cell>
          <cell r="R11983">
            <v>45931</v>
          </cell>
          <cell r="S11983">
            <v>203001</v>
          </cell>
        </row>
        <row r="11984">
          <cell r="K11984" t="str">
            <v>213002</v>
          </cell>
          <cell r="M11984">
            <v>1</v>
          </cell>
          <cell r="R11984">
            <v>45931</v>
          </cell>
          <cell r="S11984">
            <v>213002</v>
          </cell>
        </row>
        <row r="11985">
          <cell r="K11985" t="str">
            <v>241001</v>
          </cell>
          <cell r="M11985">
            <v>3</v>
          </cell>
          <cell r="R11985">
            <v>45931</v>
          </cell>
          <cell r="S11985">
            <v>241001</v>
          </cell>
        </row>
        <row r="11986">
          <cell r="K11986" t="str">
            <v>227002</v>
          </cell>
          <cell r="M11986">
            <v>1</v>
          </cell>
          <cell r="R11986">
            <v>45931</v>
          </cell>
          <cell r="S11986">
            <v>227002</v>
          </cell>
        </row>
        <row r="11987">
          <cell r="K11987" t="str">
            <v>201011</v>
          </cell>
          <cell r="M11987">
            <v>2</v>
          </cell>
          <cell r="R11987">
            <v>45931</v>
          </cell>
          <cell r="S11987">
            <v>201011</v>
          </cell>
        </row>
        <row r="11988">
          <cell r="K11988" t="str">
            <v>234011</v>
          </cell>
          <cell r="M11988">
            <v>1</v>
          </cell>
          <cell r="R11988">
            <v>45931</v>
          </cell>
          <cell r="S11988">
            <v>234011</v>
          </cell>
        </row>
        <row r="11989">
          <cell r="K11989" t="str">
            <v>209001</v>
          </cell>
          <cell r="M11989">
            <v>2</v>
          </cell>
          <cell r="R11989">
            <v>45931</v>
          </cell>
          <cell r="S11989">
            <v>209001</v>
          </cell>
        </row>
        <row r="11990">
          <cell r="K11990" t="str">
            <v>234011</v>
          </cell>
          <cell r="M11990">
            <v>1</v>
          </cell>
          <cell r="R11990">
            <v>45931</v>
          </cell>
          <cell r="S11990">
            <v>234011</v>
          </cell>
        </row>
        <row r="11991">
          <cell r="K11991" t="str">
            <v>213002</v>
          </cell>
          <cell r="M11991">
            <v>2</v>
          </cell>
          <cell r="R11991">
            <v>45931</v>
          </cell>
          <cell r="S11991">
            <v>213002</v>
          </cell>
        </row>
        <row r="11992">
          <cell r="K11992" t="str">
            <v>241001</v>
          </cell>
          <cell r="M11992">
            <v>10</v>
          </cell>
          <cell r="R11992">
            <v>45931</v>
          </cell>
          <cell r="S11992">
            <v>241001</v>
          </cell>
        </row>
        <row r="11993">
          <cell r="K11993" t="str">
            <v>222001</v>
          </cell>
          <cell r="M11993">
            <v>1</v>
          </cell>
          <cell r="R11993">
            <v>45931</v>
          </cell>
          <cell r="S11993">
            <v>222001</v>
          </cell>
        </row>
        <row r="11994">
          <cell r="K11994" t="str">
            <v>203001</v>
          </cell>
          <cell r="M11994">
            <v>1</v>
          </cell>
          <cell r="R11994">
            <v>45931</v>
          </cell>
          <cell r="S11994">
            <v>203001</v>
          </cell>
        </row>
        <row r="11995">
          <cell r="K11995" t="str">
            <v>212035</v>
          </cell>
          <cell r="M11995">
            <v>7</v>
          </cell>
          <cell r="R11995">
            <v>45931</v>
          </cell>
          <cell r="S11995">
            <v>212035</v>
          </cell>
        </row>
        <row r="11996">
          <cell r="K11996" t="str">
            <v>228001</v>
          </cell>
          <cell r="M11996">
            <v>3</v>
          </cell>
          <cell r="R11996">
            <v>45931</v>
          </cell>
          <cell r="S11996">
            <v>228001</v>
          </cell>
        </row>
        <row r="11997">
          <cell r="K11997" t="str">
            <v>222001</v>
          </cell>
          <cell r="M11997">
            <v>1</v>
          </cell>
          <cell r="R11997">
            <v>45931</v>
          </cell>
          <cell r="S11997">
            <v>222001</v>
          </cell>
        </row>
        <row r="11998">
          <cell r="K11998" t="str">
            <v>241001</v>
          </cell>
          <cell r="M11998">
            <v>3</v>
          </cell>
          <cell r="R11998">
            <v>45931</v>
          </cell>
          <cell r="S11998">
            <v>241001</v>
          </cell>
        </row>
        <row r="11999">
          <cell r="K11999" t="str">
            <v>201011</v>
          </cell>
          <cell r="M11999">
            <v>2</v>
          </cell>
          <cell r="R11999">
            <v>45931</v>
          </cell>
          <cell r="S11999">
            <v>201011</v>
          </cell>
        </row>
        <row r="12000">
          <cell r="K12000" t="str">
            <v>213002</v>
          </cell>
          <cell r="M12000">
            <v>1</v>
          </cell>
          <cell r="R12000">
            <v>45931</v>
          </cell>
          <cell r="S12000">
            <v>213002</v>
          </cell>
        </row>
        <row r="12001">
          <cell r="K12001" t="str">
            <v>228001</v>
          </cell>
          <cell r="M12001">
            <v>15</v>
          </cell>
          <cell r="R12001">
            <v>45931</v>
          </cell>
          <cell r="S12001">
            <v>228001</v>
          </cell>
        </row>
        <row r="12002">
          <cell r="K12002" t="str">
            <v>231012</v>
          </cell>
          <cell r="M12002">
            <v>2</v>
          </cell>
          <cell r="R12002">
            <v>45931</v>
          </cell>
          <cell r="S12002">
            <v>231012</v>
          </cell>
        </row>
        <row r="12003">
          <cell r="K12003" t="str">
            <v>209012</v>
          </cell>
          <cell r="M12003">
            <v>1</v>
          </cell>
          <cell r="R12003">
            <v>45931</v>
          </cell>
          <cell r="S12003">
            <v>209012</v>
          </cell>
        </row>
        <row r="12004">
          <cell r="K12004" t="str">
            <v>231012</v>
          </cell>
          <cell r="M12004">
            <v>1</v>
          </cell>
          <cell r="R12004">
            <v>45931</v>
          </cell>
          <cell r="S12004">
            <v>231012</v>
          </cell>
        </row>
        <row r="12005">
          <cell r="K12005" t="str">
            <v>212035</v>
          </cell>
          <cell r="M12005">
            <v>2</v>
          </cell>
          <cell r="R12005">
            <v>45931</v>
          </cell>
          <cell r="S12005">
            <v>212035</v>
          </cell>
        </row>
        <row r="12006">
          <cell r="K12006" t="str">
            <v>220002</v>
          </cell>
          <cell r="M12006">
            <v>1</v>
          </cell>
          <cell r="R12006">
            <v>45931</v>
          </cell>
          <cell r="S12006">
            <v>220002</v>
          </cell>
        </row>
        <row r="12007">
          <cell r="K12007" t="str">
            <v>208001</v>
          </cell>
          <cell r="M12007">
            <v>1</v>
          </cell>
          <cell r="R12007">
            <v>45930</v>
          </cell>
          <cell r="S12007">
            <v>208001</v>
          </cell>
        </row>
        <row r="12008">
          <cell r="K12008" t="str">
            <v>203004</v>
          </cell>
          <cell r="M12008">
            <v>1</v>
          </cell>
          <cell r="R12008">
            <v>45930</v>
          </cell>
          <cell r="S12008">
            <v>203004</v>
          </cell>
        </row>
        <row r="12009">
          <cell r="K12009" t="str">
            <v>229004</v>
          </cell>
          <cell r="M12009">
            <v>1</v>
          </cell>
          <cell r="R12009">
            <v>45930</v>
          </cell>
          <cell r="S12009">
            <v>229004</v>
          </cell>
        </row>
        <row r="12010">
          <cell r="K12010" t="str">
            <v>226001</v>
          </cell>
          <cell r="M12010">
            <v>1</v>
          </cell>
          <cell r="R12010">
            <v>45931</v>
          </cell>
          <cell r="S12010">
            <v>226001</v>
          </cell>
        </row>
        <row r="12011">
          <cell r="K12011" t="str">
            <v>223001</v>
          </cell>
          <cell r="M12011">
            <v>3</v>
          </cell>
          <cell r="R12011">
            <v>45931</v>
          </cell>
          <cell r="S12011">
            <v>223001</v>
          </cell>
        </row>
        <row r="12012">
          <cell r="K12012" t="str">
            <v>223002</v>
          </cell>
          <cell r="M12012">
            <v>3</v>
          </cell>
          <cell r="R12012">
            <v>45931</v>
          </cell>
          <cell r="S12012">
            <v>223002</v>
          </cell>
        </row>
        <row r="12013">
          <cell r="K12013" t="str">
            <v>228001</v>
          </cell>
          <cell r="M12013">
            <v>8</v>
          </cell>
          <cell r="R12013">
            <v>45931</v>
          </cell>
          <cell r="S12013">
            <v>228001</v>
          </cell>
        </row>
        <row r="12014">
          <cell r="K12014" t="str">
            <v>220002</v>
          </cell>
          <cell r="M12014">
            <v>3</v>
          </cell>
          <cell r="R12014">
            <v>45931</v>
          </cell>
          <cell r="S12014">
            <v>220002</v>
          </cell>
        </row>
        <row r="12015">
          <cell r="K12015" t="str">
            <v>201011</v>
          </cell>
          <cell r="M12015">
            <v>2</v>
          </cell>
          <cell r="R12015">
            <v>45931</v>
          </cell>
          <cell r="S12015">
            <v>201011</v>
          </cell>
        </row>
        <row r="12016">
          <cell r="K12016" t="str">
            <v>212035</v>
          </cell>
          <cell r="M12016">
            <v>2</v>
          </cell>
          <cell r="R12016">
            <v>45931</v>
          </cell>
          <cell r="S12016">
            <v>212035</v>
          </cell>
        </row>
        <row r="12017">
          <cell r="K12017" t="str">
            <v>227012</v>
          </cell>
          <cell r="M12017">
            <v>2</v>
          </cell>
          <cell r="R12017">
            <v>45931</v>
          </cell>
          <cell r="S12017">
            <v>227012</v>
          </cell>
        </row>
        <row r="12018">
          <cell r="K12018" t="str">
            <v>227012</v>
          </cell>
          <cell r="M12018">
            <v>2</v>
          </cell>
          <cell r="R12018">
            <v>45931</v>
          </cell>
          <cell r="S12018">
            <v>227012</v>
          </cell>
        </row>
        <row r="12019">
          <cell r="K12019" t="str">
            <v>227012</v>
          </cell>
          <cell r="M12019">
            <v>1</v>
          </cell>
          <cell r="R12019">
            <v>45931</v>
          </cell>
          <cell r="S12019">
            <v>227012</v>
          </cell>
        </row>
        <row r="12020">
          <cell r="K12020" t="str">
            <v>223002</v>
          </cell>
          <cell r="M12020">
            <v>2</v>
          </cell>
          <cell r="R12020">
            <v>45931</v>
          </cell>
          <cell r="S12020">
            <v>223002</v>
          </cell>
        </row>
        <row r="12021">
          <cell r="K12021" t="str">
            <v>201011</v>
          </cell>
          <cell r="M12021">
            <v>1</v>
          </cell>
          <cell r="R12021">
            <v>45931</v>
          </cell>
          <cell r="S12021">
            <v>201011</v>
          </cell>
        </row>
        <row r="12022">
          <cell r="K12022" t="str">
            <v>201003</v>
          </cell>
          <cell r="M12022">
            <v>3</v>
          </cell>
          <cell r="R12022">
            <v>45931</v>
          </cell>
          <cell r="S12022">
            <v>201003</v>
          </cell>
        </row>
        <row r="12023">
          <cell r="K12023" t="str">
            <v>227012</v>
          </cell>
          <cell r="M12023">
            <v>1</v>
          </cell>
          <cell r="R12023">
            <v>45931</v>
          </cell>
          <cell r="S12023">
            <v>227012</v>
          </cell>
        </row>
        <row r="12024">
          <cell r="K12024" t="str">
            <v>209004</v>
          </cell>
          <cell r="M12024">
            <v>1</v>
          </cell>
          <cell r="R12024">
            <v>45931</v>
          </cell>
          <cell r="S12024">
            <v>209004</v>
          </cell>
        </row>
        <row r="12025">
          <cell r="K12025" t="str">
            <v>226024</v>
          </cell>
          <cell r="M12025">
            <v>3</v>
          </cell>
          <cell r="R12025">
            <v>45931</v>
          </cell>
          <cell r="S12025">
            <v>226024</v>
          </cell>
        </row>
        <row r="12026">
          <cell r="K12026" t="str">
            <v>217022</v>
          </cell>
          <cell r="M12026">
            <v>10</v>
          </cell>
          <cell r="R12026">
            <v>45931</v>
          </cell>
          <cell r="S12026">
            <v>217022</v>
          </cell>
        </row>
        <row r="12027">
          <cell r="K12027" t="str">
            <v>217011</v>
          </cell>
          <cell r="M12027">
            <v>2</v>
          </cell>
          <cell r="R12027">
            <v>45931</v>
          </cell>
          <cell r="S12027">
            <v>217011</v>
          </cell>
        </row>
        <row r="12028">
          <cell r="K12028" t="str">
            <v>220002</v>
          </cell>
          <cell r="M12028">
            <v>2</v>
          </cell>
          <cell r="R12028">
            <v>45932</v>
          </cell>
          <cell r="S12028">
            <v>220002</v>
          </cell>
        </row>
        <row r="12029">
          <cell r="K12029" t="str">
            <v>226028</v>
          </cell>
          <cell r="M12029">
            <v>1</v>
          </cell>
          <cell r="R12029">
            <v>45932</v>
          </cell>
          <cell r="S12029">
            <v>226028</v>
          </cell>
        </row>
        <row r="12030">
          <cell r="K12030" t="str">
            <v>210013</v>
          </cell>
          <cell r="M12030">
            <v>1</v>
          </cell>
          <cell r="R12030">
            <v>45932</v>
          </cell>
          <cell r="S12030">
            <v>210013</v>
          </cell>
        </row>
        <row r="12031">
          <cell r="K12031" t="str">
            <v>220003</v>
          </cell>
          <cell r="M12031">
            <v>1</v>
          </cell>
          <cell r="R12031">
            <v>45932</v>
          </cell>
          <cell r="S12031">
            <v>220003</v>
          </cell>
        </row>
        <row r="12032">
          <cell r="K12032" t="str">
            <v>201004</v>
          </cell>
          <cell r="M12032">
            <v>1</v>
          </cell>
          <cell r="R12032">
            <v>45932</v>
          </cell>
          <cell r="S12032">
            <v>201004</v>
          </cell>
        </row>
        <row r="12033">
          <cell r="K12033" t="str">
            <v>228001</v>
          </cell>
          <cell r="M12033">
            <v>1</v>
          </cell>
          <cell r="R12033">
            <v>45932</v>
          </cell>
          <cell r="S12033">
            <v>228001</v>
          </cell>
        </row>
        <row r="12034">
          <cell r="K12034" t="str">
            <v>201011</v>
          </cell>
          <cell r="M12034">
            <v>1</v>
          </cell>
          <cell r="R12034">
            <v>45931</v>
          </cell>
          <cell r="S12034">
            <v>201011</v>
          </cell>
        </row>
        <row r="12035">
          <cell r="K12035" t="str">
            <v>223001</v>
          </cell>
          <cell r="M12035">
            <v>4</v>
          </cell>
          <cell r="R12035">
            <v>45931</v>
          </cell>
          <cell r="S12035">
            <v>223001</v>
          </cell>
        </row>
        <row r="12036">
          <cell r="K12036" t="str">
            <v>220003</v>
          </cell>
          <cell r="M12036">
            <v>1</v>
          </cell>
          <cell r="R12036">
            <v>45932</v>
          </cell>
          <cell r="S12036">
            <v>220003</v>
          </cell>
        </row>
        <row r="12037">
          <cell r="K12037" t="str">
            <v>228001</v>
          </cell>
          <cell r="M12037">
            <v>1</v>
          </cell>
          <cell r="R12037">
            <v>45932</v>
          </cell>
          <cell r="S12037">
            <v>228001</v>
          </cell>
        </row>
        <row r="12038">
          <cell r="K12038" t="str">
            <v>231012</v>
          </cell>
          <cell r="M12038">
            <v>1</v>
          </cell>
          <cell r="R12038">
            <v>45932</v>
          </cell>
          <cell r="S12038">
            <v>231012</v>
          </cell>
        </row>
        <row r="12039">
          <cell r="K12039" t="str">
            <v>201022</v>
          </cell>
          <cell r="M12039">
            <v>1</v>
          </cell>
          <cell r="R12039">
            <v>45932</v>
          </cell>
          <cell r="S12039">
            <v>201022</v>
          </cell>
        </row>
        <row r="12040">
          <cell r="K12040" t="str">
            <v>210013</v>
          </cell>
          <cell r="M12040">
            <v>1</v>
          </cell>
          <cell r="R12040">
            <v>45932</v>
          </cell>
          <cell r="S12040">
            <v>210013</v>
          </cell>
        </row>
        <row r="12041">
          <cell r="K12041" t="str">
            <v>227001</v>
          </cell>
          <cell r="M12041">
            <v>2</v>
          </cell>
          <cell r="R12041">
            <v>45931</v>
          </cell>
          <cell r="S12041">
            <v>227001</v>
          </cell>
        </row>
        <row r="12042">
          <cell r="K12042" t="str">
            <v>223001</v>
          </cell>
          <cell r="M12042">
            <v>1</v>
          </cell>
          <cell r="R12042">
            <v>45931</v>
          </cell>
          <cell r="S12042">
            <v>223001</v>
          </cell>
        </row>
        <row r="12043">
          <cell r="K12043" t="str">
            <v>223002</v>
          </cell>
          <cell r="M12043">
            <v>1</v>
          </cell>
          <cell r="R12043">
            <v>45931</v>
          </cell>
          <cell r="S12043">
            <v>223002</v>
          </cell>
        </row>
        <row r="12044">
          <cell r="K12044" t="str">
            <v>241001</v>
          </cell>
          <cell r="M12044">
            <v>1</v>
          </cell>
          <cell r="R12044">
            <v>45931</v>
          </cell>
          <cell r="S12044">
            <v>241001</v>
          </cell>
        </row>
        <row r="12045">
          <cell r="K12045" t="str">
            <v>201011</v>
          </cell>
          <cell r="M12045">
            <v>1</v>
          </cell>
          <cell r="R12045">
            <v>45931</v>
          </cell>
          <cell r="S12045">
            <v>201011</v>
          </cell>
        </row>
        <row r="12046">
          <cell r="K12046" t="str">
            <v>201022</v>
          </cell>
          <cell r="M12046">
            <v>1</v>
          </cell>
          <cell r="R12046">
            <v>45931</v>
          </cell>
          <cell r="S12046">
            <v>201022</v>
          </cell>
        </row>
        <row r="12047">
          <cell r="K12047" t="str">
            <v>201011</v>
          </cell>
          <cell r="M12047">
            <v>2</v>
          </cell>
          <cell r="R12047">
            <v>45932</v>
          </cell>
          <cell r="S12047">
            <v>201011</v>
          </cell>
        </row>
        <row r="12048">
          <cell r="K12048" t="str">
            <v>223001</v>
          </cell>
          <cell r="M12048">
            <v>1</v>
          </cell>
          <cell r="R12048">
            <v>45932</v>
          </cell>
          <cell r="S12048">
            <v>223001</v>
          </cell>
        </row>
        <row r="12049">
          <cell r="K12049" t="str">
            <v>223002</v>
          </cell>
          <cell r="M12049">
            <v>1</v>
          </cell>
          <cell r="R12049">
            <v>45932</v>
          </cell>
          <cell r="S12049">
            <v>223002</v>
          </cell>
        </row>
        <row r="12050">
          <cell r="K12050" t="str">
            <v>228001</v>
          </cell>
          <cell r="M12050">
            <v>3</v>
          </cell>
          <cell r="R12050">
            <v>45932</v>
          </cell>
          <cell r="S12050">
            <v>228001</v>
          </cell>
        </row>
        <row r="12051">
          <cell r="K12051" t="str">
            <v>226001</v>
          </cell>
          <cell r="M12051">
            <v>1</v>
          </cell>
          <cell r="R12051">
            <v>45932</v>
          </cell>
          <cell r="S12051">
            <v>226001</v>
          </cell>
        </row>
        <row r="12052">
          <cell r="K12052" t="str">
            <v>228001</v>
          </cell>
          <cell r="M12052">
            <v>2</v>
          </cell>
          <cell r="R12052">
            <v>45932</v>
          </cell>
          <cell r="S12052">
            <v>228001</v>
          </cell>
        </row>
        <row r="12053">
          <cell r="K12053" t="str">
            <v>231012</v>
          </cell>
          <cell r="M12053">
            <v>1</v>
          </cell>
          <cell r="R12053">
            <v>45932</v>
          </cell>
          <cell r="S12053">
            <v>231012</v>
          </cell>
        </row>
        <row r="12054">
          <cell r="K12054" t="str">
            <v>212002</v>
          </cell>
          <cell r="M12054">
            <v>1</v>
          </cell>
          <cell r="R12054">
            <v>45932</v>
          </cell>
          <cell r="S12054">
            <v>212002</v>
          </cell>
        </row>
        <row r="12055">
          <cell r="K12055" t="str">
            <v>210010</v>
          </cell>
          <cell r="M12055">
            <v>2</v>
          </cell>
          <cell r="R12055">
            <v>45932</v>
          </cell>
          <cell r="S12055">
            <v>210010</v>
          </cell>
        </row>
        <row r="12056">
          <cell r="K12056" t="str">
            <v>223001</v>
          </cell>
          <cell r="M12056">
            <v>8</v>
          </cell>
          <cell r="R12056">
            <v>45932</v>
          </cell>
          <cell r="S12056">
            <v>223001</v>
          </cell>
        </row>
        <row r="12057">
          <cell r="K12057" t="str">
            <v>226027</v>
          </cell>
          <cell r="M12057">
            <v>2</v>
          </cell>
          <cell r="R12057">
            <v>45932</v>
          </cell>
          <cell r="S12057">
            <v>226027</v>
          </cell>
        </row>
        <row r="12058">
          <cell r="K12058" t="str">
            <v>227012</v>
          </cell>
          <cell r="M12058">
            <v>2</v>
          </cell>
          <cell r="R12058">
            <v>45932</v>
          </cell>
          <cell r="S12058">
            <v>227012</v>
          </cell>
        </row>
        <row r="12059">
          <cell r="K12059" t="str">
            <v>201021</v>
          </cell>
          <cell r="M12059">
            <v>2</v>
          </cell>
          <cell r="R12059">
            <v>45932</v>
          </cell>
          <cell r="S12059">
            <v>201021</v>
          </cell>
        </row>
        <row r="12060">
          <cell r="K12060" t="str">
            <v>234001</v>
          </cell>
          <cell r="M12060">
            <v>12</v>
          </cell>
          <cell r="R12060">
            <v>45932</v>
          </cell>
          <cell r="S12060">
            <v>234001</v>
          </cell>
        </row>
        <row r="12061">
          <cell r="K12061" t="str">
            <v>241001</v>
          </cell>
          <cell r="M12061">
            <v>3</v>
          </cell>
          <cell r="R12061">
            <v>45932</v>
          </cell>
          <cell r="S12061">
            <v>241001</v>
          </cell>
        </row>
        <row r="12062">
          <cell r="K12062" t="str">
            <v>201003</v>
          </cell>
          <cell r="M12062">
            <v>4</v>
          </cell>
          <cell r="R12062">
            <v>45932</v>
          </cell>
          <cell r="S12062">
            <v>201003</v>
          </cell>
        </row>
        <row r="12063">
          <cell r="K12063" t="str">
            <v>222001</v>
          </cell>
          <cell r="M12063">
            <v>1</v>
          </cell>
          <cell r="R12063">
            <v>45932</v>
          </cell>
          <cell r="S12063">
            <v>222001</v>
          </cell>
        </row>
        <row r="12064">
          <cell r="K12064" t="str">
            <v>228001</v>
          </cell>
          <cell r="M12064">
            <v>1</v>
          </cell>
          <cell r="R12064">
            <v>45932</v>
          </cell>
          <cell r="S12064">
            <v>228001</v>
          </cell>
        </row>
        <row r="12065">
          <cell r="K12065" t="str">
            <v>217020</v>
          </cell>
          <cell r="M12065">
            <v>1</v>
          </cell>
          <cell r="R12065">
            <v>45932</v>
          </cell>
          <cell r="S12065">
            <v>217020</v>
          </cell>
        </row>
        <row r="12066">
          <cell r="K12066" t="str">
            <v>226004</v>
          </cell>
          <cell r="M12066">
            <v>1</v>
          </cell>
          <cell r="R12066">
            <v>45932</v>
          </cell>
          <cell r="S12066">
            <v>226004</v>
          </cell>
        </row>
        <row r="12067">
          <cell r="K12067" t="str">
            <v>228001</v>
          </cell>
          <cell r="M12067">
            <v>8</v>
          </cell>
          <cell r="R12067">
            <v>45932</v>
          </cell>
          <cell r="S12067">
            <v>228001</v>
          </cell>
        </row>
        <row r="12068">
          <cell r="K12068" t="str">
            <v>228001</v>
          </cell>
          <cell r="M12068">
            <v>1</v>
          </cell>
          <cell r="R12068">
            <v>45932</v>
          </cell>
          <cell r="S12068">
            <v>228001</v>
          </cell>
        </row>
        <row r="12069">
          <cell r="K12069" t="str">
            <v>223002</v>
          </cell>
          <cell r="M12069">
            <v>1</v>
          </cell>
          <cell r="R12069">
            <v>45932</v>
          </cell>
          <cell r="S12069">
            <v>223002</v>
          </cell>
        </row>
        <row r="12070">
          <cell r="K12070" t="str">
            <v>217006</v>
          </cell>
          <cell r="M12070">
            <v>2</v>
          </cell>
          <cell r="R12070">
            <v>45932</v>
          </cell>
          <cell r="S12070">
            <v>217006</v>
          </cell>
        </row>
        <row r="12071">
          <cell r="K12071" t="str">
            <v>223006</v>
          </cell>
          <cell r="M12071">
            <v>8</v>
          </cell>
          <cell r="R12071">
            <v>45932</v>
          </cell>
          <cell r="S12071">
            <v>223006</v>
          </cell>
        </row>
        <row r="12072">
          <cell r="K12072" t="str">
            <v>201003</v>
          </cell>
          <cell r="M12072">
            <v>12</v>
          </cell>
          <cell r="R12072">
            <v>45932</v>
          </cell>
          <cell r="S12072">
            <v>201003</v>
          </cell>
        </row>
        <row r="12073">
          <cell r="K12073" t="str">
            <v>201004</v>
          </cell>
          <cell r="M12073">
            <v>5</v>
          </cell>
          <cell r="R12073">
            <v>45932</v>
          </cell>
          <cell r="S12073">
            <v>201004</v>
          </cell>
        </row>
        <row r="12074">
          <cell r="K12074" t="str">
            <v>223002</v>
          </cell>
          <cell r="M12074">
            <v>4</v>
          </cell>
          <cell r="R12074">
            <v>45932</v>
          </cell>
          <cell r="S12074">
            <v>223002</v>
          </cell>
        </row>
        <row r="12075">
          <cell r="K12075" t="str">
            <v>213006</v>
          </cell>
          <cell r="M12075">
            <v>2</v>
          </cell>
          <cell r="R12075">
            <v>45932</v>
          </cell>
          <cell r="S12075">
            <v>213006</v>
          </cell>
        </row>
        <row r="12076">
          <cell r="K12076" t="str">
            <v>223006</v>
          </cell>
          <cell r="M12076">
            <v>9</v>
          </cell>
          <cell r="R12076">
            <v>45932</v>
          </cell>
          <cell r="S12076">
            <v>223006</v>
          </cell>
        </row>
        <row r="12077">
          <cell r="K12077" t="str">
            <v>218001</v>
          </cell>
          <cell r="M12077">
            <v>3</v>
          </cell>
          <cell r="R12077">
            <v>45932</v>
          </cell>
          <cell r="S12077">
            <v>218001</v>
          </cell>
        </row>
        <row r="12078">
          <cell r="K12078" t="str">
            <v>223002</v>
          </cell>
          <cell r="M12078">
            <v>4</v>
          </cell>
          <cell r="R12078">
            <v>45932</v>
          </cell>
          <cell r="S12078">
            <v>223002</v>
          </cell>
        </row>
        <row r="12079">
          <cell r="K12079" t="str">
            <v>201011</v>
          </cell>
          <cell r="M12079">
            <v>4</v>
          </cell>
          <cell r="R12079">
            <v>45932</v>
          </cell>
          <cell r="S12079">
            <v>201011</v>
          </cell>
        </row>
        <row r="12080">
          <cell r="K12080" t="str">
            <v>201011</v>
          </cell>
          <cell r="M12080">
            <v>4</v>
          </cell>
          <cell r="R12080">
            <v>45932</v>
          </cell>
          <cell r="S12080">
            <v>201011</v>
          </cell>
        </row>
        <row r="12081">
          <cell r="K12081" t="str">
            <v>201011</v>
          </cell>
          <cell r="M12081">
            <v>14</v>
          </cell>
          <cell r="R12081">
            <v>45932</v>
          </cell>
          <cell r="S12081">
            <v>201011</v>
          </cell>
        </row>
        <row r="12082">
          <cell r="K12082" t="str">
            <v>241001</v>
          </cell>
          <cell r="M12082">
            <v>10</v>
          </cell>
          <cell r="R12082">
            <v>45932</v>
          </cell>
          <cell r="S12082">
            <v>241001</v>
          </cell>
        </row>
        <row r="12083">
          <cell r="K12083" t="str">
            <v>213006</v>
          </cell>
          <cell r="M12083">
            <v>15</v>
          </cell>
          <cell r="R12083">
            <v>45932</v>
          </cell>
          <cell r="S12083">
            <v>213006</v>
          </cell>
        </row>
        <row r="12084">
          <cell r="K12084" t="str">
            <v>223002</v>
          </cell>
          <cell r="M12084">
            <v>2</v>
          </cell>
          <cell r="R12084">
            <v>45932</v>
          </cell>
          <cell r="S12084">
            <v>223002</v>
          </cell>
        </row>
        <row r="12085">
          <cell r="K12085" t="str">
            <v>223001</v>
          </cell>
          <cell r="M12085">
            <v>2</v>
          </cell>
          <cell r="R12085">
            <v>45932</v>
          </cell>
          <cell r="S12085">
            <v>223001</v>
          </cell>
        </row>
        <row r="12086">
          <cell r="K12086" t="str">
            <v>227012</v>
          </cell>
          <cell r="M12086">
            <v>1</v>
          </cell>
          <cell r="R12086">
            <v>45932</v>
          </cell>
          <cell r="S12086">
            <v>227012</v>
          </cell>
        </row>
        <row r="12087">
          <cell r="K12087" t="str">
            <v>222001</v>
          </cell>
          <cell r="M12087">
            <v>1</v>
          </cell>
          <cell r="R12087">
            <v>45932</v>
          </cell>
          <cell r="S12087">
            <v>222001</v>
          </cell>
        </row>
        <row r="12088">
          <cell r="K12088" t="str">
            <v>201021</v>
          </cell>
          <cell r="M12088">
            <v>4</v>
          </cell>
          <cell r="R12088">
            <v>45932</v>
          </cell>
          <cell r="S12088">
            <v>201021</v>
          </cell>
        </row>
        <row r="12089">
          <cell r="K12089" t="str">
            <v>231012</v>
          </cell>
          <cell r="M12089">
            <v>2</v>
          </cell>
          <cell r="R12089">
            <v>45932</v>
          </cell>
          <cell r="S12089">
            <v>231012</v>
          </cell>
        </row>
        <row r="12090">
          <cell r="K12090" t="str">
            <v>223006</v>
          </cell>
          <cell r="M12090">
            <v>15</v>
          </cell>
          <cell r="R12090">
            <v>45932</v>
          </cell>
          <cell r="S12090">
            <v>223006</v>
          </cell>
        </row>
        <row r="12091">
          <cell r="K12091" t="str">
            <v>223003</v>
          </cell>
          <cell r="M12091">
            <v>15</v>
          </cell>
          <cell r="R12091">
            <v>45932</v>
          </cell>
          <cell r="S12091">
            <v>223003</v>
          </cell>
        </row>
        <row r="12092">
          <cell r="K12092" t="str">
            <v>223002</v>
          </cell>
          <cell r="M12092">
            <v>10</v>
          </cell>
          <cell r="R12092">
            <v>45932</v>
          </cell>
          <cell r="S12092">
            <v>223002</v>
          </cell>
        </row>
        <row r="12093">
          <cell r="K12093" t="str">
            <v>227012</v>
          </cell>
          <cell r="M12093">
            <v>2</v>
          </cell>
          <cell r="R12093">
            <v>45932</v>
          </cell>
          <cell r="S12093">
            <v>227012</v>
          </cell>
        </row>
        <row r="12094">
          <cell r="K12094" t="str">
            <v>223001</v>
          </cell>
          <cell r="M12094">
            <v>14</v>
          </cell>
          <cell r="R12094">
            <v>45932</v>
          </cell>
          <cell r="S12094">
            <v>223001</v>
          </cell>
        </row>
        <row r="12095">
          <cell r="K12095" t="str">
            <v>223001</v>
          </cell>
          <cell r="M12095">
            <v>1</v>
          </cell>
          <cell r="R12095">
            <v>45932</v>
          </cell>
          <cell r="S12095">
            <v>223001</v>
          </cell>
        </row>
        <row r="12096">
          <cell r="K12096" t="str">
            <v>217018</v>
          </cell>
          <cell r="M12096">
            <v>4</v>
          </cell>
          <cell r="R12096">
            <v>45932</v>
          </cell>
          <cell r="S12096">
            <v>217018</v>
          </cell>
        </row>
        <row r="12097">
          <cell r="K12097" t="str">
            <v>223002</v>
          </cell>
          <cell r="M12097">
            <v>1</v>
          </cell>
          <cell r="R12097">
            <v>45932</v>
          </cell>
          <cell r="S12097">
            <v>223002</v>
          </cell>
        </row>
        <row r="12098">
          <cell r="K12098" t="str">
            <v>203003</v>
          </cell>
          <cell r="M12098">
            <v>1</v>
          </cell>
          <cell r="R12098">
            <v>45932</v>
          </cell>
          <cell r="S12098">
            <v>203003</v>
          </cell>
        </row>
        <row r="12099">
          <cell r="K12099" t="str">
            <v>206002</v>
          </cell>
          <cell r="M12099">
            <v>3</v>
          </cell>
          <cell r="R12099">
            <v>45932</v>
          </cell>
          <cell r="S12099">
            <v>206002</v>
          </cell>
        </row>
        <row r="12100">
          <cell r="K12100" t="str">
            <v>201021</v>
          </cell>
          <cell r="M12100">
            <v>4</v>
          </cell>
          <cell r="R12100">
            <v>45932</v>
          </cell>
          <cell r="S12100">
            <v>201021</v>
          </cell>
        </row>
        <row r="12101">
          <cell r="K12101" t="str">
            <v>213006</v>
          </cell>
          <cell r="M12101">
            <v>1</v>
          </cell>
          <cell r="R12101">
            <v>45932</v>
          </cell>
          <cell r="S12101">
            <v>213006</v>
          </cell>
        </row>
        <row r="12102">
          <cell r="K12102" t="str">
            <v>223002</v>
          </cell>
          <cell r="M12102">
            <v>1</v>
          </cell>
          <cell r="R12102">
            <v>45932</v>
          </cell>
          <cell r="S12102">
            <v>223002</v>
          </cell>
        </row>
        <row r="12103">
          <cell r="K12103" t="str">
            <v>203003</v>
          </cell>
          <cell r="M12103">
            <v>1</v>
          </cell>
          <cell r="R12103">
            <v>45932</v>
          </cell>
          <cell r="S12103">
            <v>203003</v>
          </cell>
        </row>
        <row r="12104">
          <cell r="K12104" t="str">
            <v>217019</v>
          </cell>
          <cell r="M12104">
            <v>5</v>
          </cell>
          <cell r="R12104">
            <v>45932</v>
          </cell>
          <cell r="S12104">
            <v>217019</v>
          </cell>
        </row>
        <row r="12105">
          <cell r="K12105" t="str">
            <v>226001</v>
          </cell>
          <cell r="M12105">
            <v>1</v>
          </cell>
          <cell r="R12105">
            <v>45932</v>
          </cell>
          <cell r="S12105">
            <v>226001</v>
          </cell>
        </row>
        <row r="12106">
          <cell r="K12106" t="str">
            <v>201004</v>
          </cell>
          <cell r="M12106">
            <v>1</v>
          </cell>
          <cell r="R12106">
            <v>45932</v>
          </cell>
          <cell r="S12106">
            <v>201004</v>
          </cell>
        </row>
        <row r="12107">
          <cell r="K12107" t="str">
            <v>217021</v>
          </cell>
          <cell r="M12107">
            <v>1</v>
          </cell>
          <cell r="R12107">
            <v>45932</v>
          </cell>
          <cell r="S12107">
            <v>217021</v>
          </cell>
        </row>
        <row r="12108">
          <cell r="K12108" t="str">
            <v>217019</v>
          </cell>
          <cell r="M12108">
            <v>1</v>
          </cell>
          <cell r="R12108">
            <v>45932</v>
          </cell>
          <cell r="S12108">
            <v>217019</v>
          </cell>
        </row>
        <row r="12109">
          <cell r="K12109" t="str">
            <v>226001</v>
          </cell>
          <cell r="M12109">
            <v>1</v>
          </cell>
          <cell r="R12109">
            <v>45932</v>
          </cell>
          <cell r="S12109">
            <v>226001</v>
          </cell>
        </row>
        <row r="12110">
          <cell r="K12110" t="str">
            <v>226003</v>
          </cell>
          <cell r="M12110">
            <v>1</v>
          </cell>
          <cell r="R12110">
            <v>45932</v>
          </cell>
          <cell r="S12110">
            <v>226003</v>
          </cell>
        </row>
        <row r="12111">
          <cell r="K12111" t="str">
            <v>228001</v>
          </cell>
          <cell r="M12111">
            <v>24</v>
          </cell>
          <cell r="R12111">
            <v>45932</v>
          </cell>
          <cell r="S12111">
            <v>228001</v>
          </cell>
        </row>
        <row r="12112">
          <cell r="K12112" t="str">
            <v>228001</v>
          </cell>
          <cell r="M12112">
            <v>1</v>
          </cell>
          <cell r="R12112">
            <v>45932</v>
          </cell>
          <cell r="S12112">
            <v>228001</v>
          </cell>
        </row>
        <row r="12113">
          <cell r="K12113" t="str">
            <v>201011</v>
          </cell>
          <cell r="M12113">
            <v>3</v>
          </cell>
          <cell r="R12113">
            <v>45932</v>
          </cell>
          <cell r="S12113">
            <v>201011</v>
          </cell>
        </row>
        <row r="12114">
          <cell r="K12114" t="str">
            <v>213005</v>
          </cell>
          <cell r="M12114">
            <v>1</v>
          </cell>
          <cell r="R12114">
            <v>45932</v>
          </cell>
          <cell r="S12114">
            <v>213005</v>
          </cell>
        </row>
        <row r="12115">
          <cell r="K12115" t="str">
            <v>209001</v>
          </cell>
          <cell r="M12115">
            <v>2</v>
          </cell>
          <cell r="R12115">
            <v>45932</v>
          </cell>
          <cell r="S12115">
            <v>209001</v>
          </cell>
        </row>
        <row r="12116">
          <cell r="K12116" t="str">
            <v>210013</v>
          </cell>
          <cell r="M12116">
            <v>1</v>
          </cell>
          <cell r="R12116">
            <v>45932</v>
          </cell>
          <cell r="S12116">
            <v>210013</v>
          </cell>
        </row>
        <row r="12117">
          <cell r="K12117" t="str">
            <v>201011</v>
          </cell>
          <cell r="M12117">
            <v>5</v>
          </cell>
          <cell r="R12117">
            <v>45932</v>
          </cell>
          <cell r="S12117">
            <v>201011</v>
          </cell>
        </row>
        <row r="12118">
          <cell r="K12118" t="str">
            <v>217011</v>
          </cell>
          <cell r="M12118">
            <v>1</v>
          </cell>
          <cell r="R12118">
            <v>45932</v>
          </cell>
          <cell r="S12118">
            <v>217011</v>
          </cell>
        </row>
        <row r="12119">
          <cell r="K12119" t="str">
            <v>201021</v>
          </cell>
          <cell r="M12119">
            <v>3</v>
          </cell>
          <cell r="R12119">
            <v>45932</v>
          </cell>
          <cell r="S12119">
            <v>201021</v>
          </cell>
        </row>
        <row r="12120">
          <cell r="K12120" t="str">
            <v>213005</v>
          </cell>
          <cell r="M12120">
            <v>1</v>
          </cell>
          <cell r="R12120">
            <v>45932</v>
          </cell>
          <cell r="S12120">
            <v>213005</v>
          </cell>
        </row>
        <row r="12121">
          <cell r="K12121" t="str">
            <v>228001</v>
          </cell>
          <cell r="M12121">
            <v>2</v>
          </cell>
          <cell r="R12121">
            <v>45932</v>
          </cell>
          <cell r="S12121">
            <v>228001</v>
          </cell>
        </row>
        <row r="12122">
          <cell r="K12122" t="str">
            <v>231012</v>
          </cell>
          <cell r="M12122">
            <v>1</v>
          </cell>
          <cell r="R12122">
            <v>45932</v>
          </cell>
          <cell r="S12122">
            <v>231012</v>
          </cell>
        </row>
        <row r="12123">
          <cell r="K12123" t="str">
            <v>222001</v>
          </cell>
          <cell r="M12123">
            <v>5</v>
          </cell>
          <cell r="R12123">
            <v>45932</v>
          </cell>
          <cell r="S12123">
            <v>222001</v>
          </cell>
        </row>
        <row r="12124">
          <cell r="K12124" t="str">
            <v>222002</v>
          </cell>
          <cell r="M12124">
            <v>3</v>
          </cell>
          <cell r="R12124">
            <v>45932</v>
          </cell>
          <cell r="S12124">
            <v>222002</v>
          </cell>
        </row>
        <row r="12125">
          <cell r="K12125" t="str">
            <v>261004</v>
          </cell>
          <cell r="M12125">
            <v>1</v>
          </cell>
          <cell r="R12125">
            <v>45932</v>
          </cell>
          <cell r="S12125">
            <v>261004</v>
          </cell>
        </row>
        <row r="12126">
          <cell r="K12126" t="str">
            <v>241001</v>
          </cell>
          <cell r="M12126">
            <v>3</v>
          </cell>
          <cell r="R12126">
            <v>45932</v>
          </cell>
          <cell r="S12126">
            <v>241001</v>
          </cell>
        </row>
        <row r="12127">
          <cell r="K12127" t="str">
            <v>213002</v>
          </cell>
          <cell r="M12127">
            <v>5</v>
          </cell>
          <cell r="R12127">
            <v>45932</v>
          </cell>
          <cell r="S12127">
            <v>213002</v>
          </cell>
        </row>
        <row r="12128">
          <cell r="K12128" t="str">
            <v>226022</v>
          </cell>
          <cell r="M12128">
            <v>1</v>
          </cell>
          <cell r="R12128">
            <v>45932</v>
          </cell>
          <cell r="S12128">
            <v>226022</v>
          </cell>
        </row>
        <row r="12129">
          <cell r="K12129" t="str">
            <v>227002</v>
          </cell>
          <cell r="M12129">
            <v>2</v>
          </cell>
          <cell r="R12129">
            <v>45932</v>
          </cell>
          <cell r="S12129">
            <v>227002</v>
          </cell>
        </row>
        <row r="12130">
          <cell r="K12130" t="str">
            <v>217021</v>
          </cell>
          <cell r="M12130">
            <v>1</v>
          </cell>
          <cell r="R12130">
            <v>45932</v>
          </cell>
          <cell r="S12130">
            <v>217021</v>
          </cell>
        </row>
        <row r="12131">
          <cell r="K12131" t="str">
            <v>214002</v>
          </cell>
          <cell r="M12131">
            <v>1</v>
          </cell>
          <cell r="R12131">
            <v>45932</v>
          </cell>
          <cell r="S12131">
            <v>214002</v>
          </cell>
        </row>
        <row r="12132">
          <cell r="K12132" t="str">
            <v>228001</v>
          </cell>
          <cell r="M12132">
            <v>30</v>
          </cell>
          <cell r="R12132">
            <v>45933</v>
          </cell>
          <cell r="S12132">
            <v>228001</v>
          </cell>
        </row>
        <row r="12133">
          <cell r="K12133" t="str">
            <v>234011</v>
          </cell>
          <cell r="M12133">
            <v>3</v>
          </cell>
          <cell r="R12133">
            <v>45933</v>
          </cell>
          <cell r="S12133">
            <v>234011</v>
          </cell>
        </row>
        <row r="12134">
          <cell r="K12134" t="str">
            <v>228001</v>
          </cell>
          <cell r="M12134">
            <v>1</v>
          </cell>
          <cell r="R12134">
            <v>45933</v>
          </cell>
          <cell r="S12134">
            <v>228001</v>
          </cell>
        </row>
        <row r="12135">
          <cell r="K12135" t="str">
            <v>229001</v>
          </cell>
          <cell r="M12135">
            <v>1</v>
          </cell>
          <cell r="R12135">
            <v>45933</v>
          </cell>
          <cell r="S12135">
            <v>229001</v>
          </cell>
        </row>
        <row r="12136">
          <cell r="K12136" t="str">
            <v>227012</v>
          </cell>
          <cell r="M12136">
            <v>1</v>
          </cell>
          <cell r="R12136">
            <v>45933</v>
          </cell>
          <cell r="S12136">
            <v>227012</v>
          </cell>
        </row>
        <row r="12137">
          <cell r="K12137" t="str">
            <v>205004</v>
          </cell>
          <cell r="M12137">
            <v>1</v>
          </cell>
          <cell r="R12137">
            <v>45933</v>
          </cell>
          <cell r="S12137">
            <v>205004</v>
          </cell>
        </row>
        <row r="12138">
          <cell r="K12138" t="str">
            <v>223002</v>
          </cell>
          <cell r="M12138">
            <v>4</v>
          </cell>
          <cell r="R12138">
            <v>45933</v>
          </cell>
          <cell r="S12138">
            <v>223002</v>
          </cell>
        </row>
        <row r="12139">
          <cell r="K12139" t="str">
            <v>222001</v>
          </cell>
          <cell r="M12139">
            <v>1</v>
          </cell>
          <cell r="R12139">
            <v>45933</v>
          </cell>
          <cell r="S12139">
            <v>222001</v>
          </cell>
        </row>
        <row r="12140">
          <cell r="K12140" t="str">
            <v>220002</v>
          </cell>
          <cell r="M12140">
            <v>2</v>
          </cell>
          <cell r="R12140">
            <v>45933</v>
          </cell>
          <cell r="S12140">
            <v>220002</v>
          </cell>
        </row>
        <row r="12141">
          <cell r="K12141" t="str">
            <v>226001</v>
          </cell>
          <cell r="M12141">
            <v>2</v>
          </cell>
          <cell r="R12141">
            <v>45933</v>
          </cell>
          <cell r="S12141">
            <v>226001</v>
          </cell>
        </row>
        <row r="12142">
          <cell r="K12142" t="str">
            <v>207017</v>
          </cell>
          <cell r="M12142">
            <v>2</v>
          </cell>
          <cell r="R12142">
            <v>45933</v>
          </cell>
          <cell r="S12142">
            <v>207017</v>
          </cell>
        </row>
        <row r="12143">
          <cell r="K12143" t="str">
            <v>220002</v>
          </cell>
          <cell r="M12143">
            <v>2</v>
          </cell>
          <cell r="R12143">
            <v>45933</v>
          </cell>
          <cell r="S12143">
            <v>220002</v>
          </cell>
        </row>
        <row r="12144">
          <cell r="K12144" t="str">
            <v>207017</v>
          </cell>
          <cell r="M12144">
            <v>2</v>
          </cell>
          <cell r="R12144">
            <v>45933</v>
          </cell>
          <cell r="S12144">
            <v>207017</v>
          </cell>
        </row>
        <row r="12145">
          <cell r="K12145" t="str">
            <v>217022</v>
          </cell>
          <cell r="M12145">
            <v>2</v>
          </cell>
          <cell r="R12145">
            <v>45933</v>
          </cell>
          <cell r="S12145">
            <v>217022</v>
          </cell>
        </row>
        <row r="12146">
          <cell r="K12146" t="str">
            <v>231012</v>
          </cell>
          <cell r="M12146">
            <v>1</v>
          </cell>
          <cell r="R12146">
            <v>45933</v>
          </cell>
          <cell r="S12146">
            <v>231012</v>
          </cell>
        </row>
        <row r="12147">
          <cell r="K12147" t="str">
            <v>217006</v>
          </cell>
          <cell r="M12147">
            <v>1</v>
          </cell>
          <cell r="R12147">
            <v>45933</v>
          </cell>
          <cell r="S12147">
            <v>217006</v>
          </cell>
        </row>
        <row r="12148">
          <cell r="K12148" t="str">
            <v>213002</v>
          </cell>
          <cell r="M12148">
            <v>2</v>
          </cell>
          <cell r="R12148">
            <v>45933</v>
          </cell>
          <cell r="S12148">
            <v>213002</v>
          </cell>
        </row>
        <row r="12149">
          <cell r="K12149" t="str">
            <v>217006</v>
          </cell>
          <cell r="M12149">
            <v>1</v>
          </cell>
          <cell r="R12149">
            <v>45933</v>
          </cell>
          <cell r="S12149">
            <v>217006</v>
          </cell>
        </row>
        <row r="12150">
          <cell r="K12150" t="str">
            <v>226001</v>
          </cell>
          <cell r="M12150">
            <v>2</v>
          </cell>
          <cell r="R12150">
            <v>45933</v>
          </cell>
          <cell r="S12150">
            <v>226001</v>
          </cell>
        </row>
        <row r="12151">
          <cell r="K12151" t="str">
            <v>203003</v>
          </cell>
          <cell r="M12151">
            <v>2</v>
          </cell>
          <cell r="R12151">
            <v>45933</v>
          </cell>
          <cell r="S12151">
            <v>203003</v>
          </cell>
        </row>
        <row r="12152">
          <cell r="K12152" t="str">
            <v>231012</v>
          </cell>
          <cell r="M12152">
            <v>2</v>
          </cell>
          <cell r="R12152">
            <v>45933</v>
          </cell>
          <cell r="S12152">
            <v>231012</v>
          </cell>
        </row>
        <row r="12153">
          <cell r="K12153" t="str">
            <v>212035</v>
          </cell>
          <cell r="M12153">
            <v>64</v>
          </cell>
          <cell r="R12153">
            <v>45933</v>
          </cell>
          <cell r="S12153">
            <v>212035</v>
          </cell>
        </row>
        <row r="12154">
          <cell r="K12154" t="str">
            <v>217011</v>
          </cell>
          <cell r="M12154">
            <v>10</v>
          </cell>
          <cell r="R12154">
            <v>45933</v>
          </cell>
          <cell r="S12154">
            <v>217011</v>
          </cell>
        </row>
        <row r="12155">
          <cell r="K12155" t="str">
            <v>217022</v>
          </cell>
          <cell r="M12155">
            <v>12</v>
          </cell>
          <cell r="R12155">
            <v>45933</v>
          </cell>
          <cell r="S12155">
            <v>217022</v>
          </cell>
        </row>
        <row r="12156">
          <cell r="K12156" t="str">
            <v>226026</v>
          </cell>
          <cell r="M12156">
            <v>2</v>
          </cell>
          <cell r="R12156">
            <v>45933</v>
          </cell>
          <cell r="S12156">
            <v>226026</v>
          </cell>
        </row>
        <row r="12157">
          <cell r="K12157" t="str">
            <v>209006</v>
          </cell>
          <cell r="M12157">
            <v>2</v>
          </cell>
          <cell r="R12157">
            <v>45933</v>
          </cell>
          <cell r="S12157">
            <v>209006</v>
          </cell>
        </row>
        <row r="12158">
          <cell r="K12158" t="str">
            <v>207017</v>
          </cell>
          <cell r="M12158">
            <v>2</v>
          </cell>
          <cell r="R12158">
            <v>45933</v>
          </cell>
          <cell r="S12158">
            <v>207017</v>
          </cell>
        </row>
        <row r="12159">
          <cell r="K12159" t="str">
            <v>209004</v>
          </cell>
          <cell r="M12159">
            <v>2</v>
          </cell>
          <cell r="R12159">
            <v>45933</v>
          </cell>
          <cell r="S12159">
            <v>209004</v>
          </cell>
        </row>
        <row r="12160">
          <cell r="K12160" t="str">
            <v>201011</v>
          </cell>
          <cell r="M12160">
            <v>15</v>
          </cell>
          <cell r="R12160">
            <v>45933</v>
          </cell>
          <cell r="S12160">
            <v>201011</v>
          </cell>
        </row>
        <row r="12161">
          <cell r="K12161" t="str">
            <v>241001</v>
          </cell>
          <cell r="M12161">
            <v>1</v>
          </cell>
          <cell r="R12161">
            <v>45935</v>
          </cell>
          <cell r="S12161">
            <v>241001</v>
          </cell>
        </row>
        <row r="12162">
          <cell r="K12162" t="str">
            <v>213005</v>
          </cell>
          <cell r="M12162">
            <v>1</v>
          </cell>
          <cell r="R12162">
            <v>45935</v>
          </cell>
          <cell r="S12162">
            <v>213005</v>
          </cell>
        </row>
        <row r="12163">
          <cell r="K12163" t="str">
            <v>223002</v>
          </cell>
          <cell r="M12163">
            <v>2</v>
          </cell>
          <cell r="R12163">
            <v>45935</v>
          </cell>
          <cell r="S12163">
            <v>223002</v>
          </cell>
        </row>
        <row r="12164">
          <cell r="K12164" t="str">
            <v>213002</v>
          </cell>
          <cell r="M12164">
            <v>4</v>
          </cell>
          <cell r="R12164">
            <v>45935</v>
          </cell>
          <cell r="S12164">
            <v>213002</v>
          </cell>
        </row>
        <row r="12165">
          <cell r="K12165" t="str">
            <v>228001</v>
          </cell>
          <cell r="M12165">
            <v>5</v>
          </cell>
          <cell r="R12165">
            <v>45935</v>
          </cell>
          <cell r="S12165">
            <v>228001</v>
          </cell>
        </row>
        <row r="12166">
          <cell r="K12166" t="str">
            <v>217018</v>
          </cell>
          <cell r="M12166">
            <v>1</v>
          </cell>
          <cell r="R12166">
            <v>45935</v>
          </cell>
          <cell r="S12166">
            <v>217018</v>
          </cell>
        </row>
        <row r="12167">
          <cell r="K12167" t="str">
            <v>217018</v>
          </cell>
          <cell r="M12167">
            <v>3</v>
          </cell>
          <cell r="R12167">
            <v>45935</v>
          </cell>
          <cell r="S12167">
            <v>217018</v>
          </cell>
        </row>
        <row r="12168">
          <cell r="K12168" t="str">
            <v>213002</v>
          </cell>
          <cell r="M12168">
            <v>1</v>
          </cell>
          <cell r="R12168">
            <v>45935</v>
          </cell>
          <cell r="S12168">
            <v>213002</v>
          </cell>
        </row>
        <row r="12169">
          <cell r="K12169" t="str">
            <v>241001</v>
          </cell>
          <cell r="M12169">
            <v>1</v>
          </cell>
          <cell r="R12169">
            <v>45935</v>
          </cell>
          <cell r="S12169">
            <v>241001</v>
          </cell>
        </row>
        <row r="12170">
          <cell r="K12170" t="str">
            <v>201011</v>
          </cell>
          <cell r="M12170">
            <v>4</v>
          </cell>
          <cell r="R12170">
            <v>45935</v>
          </cell>
          <cell r="S12170">
            <v>201011</v>
          </cell>
        </row>
        <row r="12171">
          <cell r="K12171" t="str">
            <v>209001</v>
          </cell>
          <cell r="M12171">
            <v>3</v>
          </cell>
          <cell r="R12171">
            <v>45935</v>
          </cell>
          <cell r="S12171">
            <v>209001</v>
          </cell>
        </row>
        <row r="12172">
          <cell r="K12172" t="str">
            <v>234011</v>
          </cell>
          <cell r="M12172">
            <v>4</v>
          </cell>
          <cell r="R12172">
            <v>45935</v>
          </cell>
          <cell r="S12172">
            <v>234011</v>
          </cell>
        </row>
        <row r="12173">
          <cell r="K12173" t="str">
            <v>213002</v>
          </cell>
          <cell r="M12173">
            <v>1</v>
          </cell>
          <cell r="R12173">
            <v>45935</v>
          </cell>
          <cell r="S12173">
            <v>213002</v>
          </cell>
        </row>
        <row r="12174">
          <cell r="K12174" t="str">
            <v>241001</v>
          </cell>
          <cell r="M12174">
            <v>10</v>
          </cell>
          <cell r="R12174">
            <v>45935</v>
          </cell>
          <cell r="S12174">
            <v>241001</v>
          </cell>
        </row>
        <row r="12175">
          <cell r="K12175" t="str">
            <v>222001</v>
          </cell>
          <cell r="M12175">
            <v>1</v>
          </cell>
          <cell r="R12175">
            <v>45935</v>
          </cell>
          <cell r="S12175">
            <v>222001</v>
          </cell>
        </row>
        <row r="12176">
          <cell r="K12176" t="str">
            <v>203003</v>
          </cell>
          <cell r="M12176">
            <v>1</v>
          </cell>
          <cell r="R12176">
            <v>45935</v>
          </cell>
          <cell r="S12176">
            <v>203003</v>
          </cell>
        </row>
        <row r="12177">
          <cell r="K12177" t="str">
            <v>223002</v>
          </cell>
          <cell r="M12177">
            <v>1</v>
          </cell>
          <cell r="R12177">
            <v>45935</v>
          </cell>
          <cell r="S12177">
            <v>223002</v>
          </cell>
        </row>
        <row r="12178">
          <cell r="K12178" t="str">
            <v>227002</v>
          </cell>
          <cell r="M12178">
            <v>1</v>
          </cell>
          <cell r="R12178">
            <v>45935</v>
          </cell>
          <cell r="S12178">
            <v>227002</v>
          </cell>
        </row>
        <row r="12179">
          <cell r="K12179" t="str">
            <v>261004</v>
          </cell>
          <cell r="M12179">
            <v>40</v>
          </cell>
          <cell r="R12179">
            <v>45935</v>
          </cell>
          <cell r="S12179">
            <v>261004</v>
          </cell>
        </row>
        <row r="12180">
          <cell r="K12180" t="str">
            <v>212010</v>
          </cell>
          <cell r="M12180">
            <v>30</v>
          </cell>
          <cell r="R12180">
            <v>45935</v>
          </cell>
          <cell r="S12180">
            <v>212010</v>
          </cell>
        </row>
        <row r="12181">
          <cell r="K12181" t="str">
            <v>201011</v>
          </cell>
          <cell r="M12181">
            <v>3</v>
          </cell>
          <cell r="R12181">
            <v>45935</v>
          </cell>
          <cell r="S12181">
            <v>201011</v>
          </cell>
        </row>
        <row r="12182">
          <cell r="K12182" t="str">
            <v>201011</v>
          </cell>
          <cell r="M12182">
            <v>4</v>
          </cell>
          <cell r="R12182">
            <v>45935</v>
          </cell>
          <cell r="S12182">
            <v>201011</v>
          </cell>
        </row>
        <row r="12183">
          <cell r="K12183" t="str">
            <v>234011</v>
          </cell>
          <cell r="M12183">
            <v>1</v>
          </cell>
          <cell r="R12183">
            <v>45935</v>
          </cell>
          <cell r="S12183">
            <v>234011</v>
          </cell>
        </row>
        <row r="12184">
          <cell r="K12184" t="str">
            <v>213002</v>
          </cell>
          <cell r="M12184">
            <v>1</v>
          </cell>
          <cell r="R12184">
            <v>45935</v>
          </cell>
          <cell r="S12184">
            <v>213002</v>
          </cell>
        </row>
        <row r="12185">
          <cell r="K12185" t="str">
            <v>241001</v>
          </cell>
          <cell r="M12185">
            <v>1</v>
          </cell>
          <cell r="R12185">
            <v>45935</v>
          </cell>
          <cell r="S12185">
            <v>241001</v>
          </cell>
        </row>
        <row r="12186">
          <cell r="K12186" t="str">
            <v>228001</v>
          </cell>
          <cell r="M12186">
            <v>1</v>
          </cell>
          <cell r="R12186">
            <v>45935</v>
          </cell>
          <cell r="S12186">
            <v>228001</v>
          </cell>
        </row>
        <row r="12187">
          <cell r="K12187" t="str">
            <v>231010</v>
          </cell>
          <cell r="M12187">
            <v>4</v>
          </cell>
          <cell r="R12187">
            <v>45935</v>
          </cell>
          <cell r="S12187">
            <v>231010</v>
          </cell>
        </row>
        <row r="12188">
          <cell r="K12188" t="str">
            <v>223002</v>
          </cell>
          <cell r="M12188">
            <v>4</v>
          </cell>
          <cell r="R12188">
            <v>45935</v>
          </cell>
          <cell r="S12188">
            <v>223002</v>
          </cell>
        </row>
        <row r="12189">
          <cell r="K12189" t="str">
            <v>223001</v>
          </cell>
          <cell r="M12189">
            <v>7</v>
          </cell>
          <cell r="R12189">
            <v>45935</v>
          </cell>
          <cell r="S12189">
            <v>223001</v>
          </cell>
        </row>
        <row r="12190">
          <cell r="K12190" t="str">
            <v>227012</v>
          </cell>
          <cell r="M12190">
            <v>1</v>
          </cell>
          <cell r="R12190">
            <v>45935</v>
          </cell>
          <cell r="S12190">
            <v>227012</v>
          </cell>
        </row>
        <row r="12191">
          <cell r="K12191" t="str">
            <v>209022</v>
          </cell>
          <cell r="M12191">
            <v>4</v>
          </cell>
          <cell r="R12191">
            <v>45935</v>
          </cell>
          <cell r="S12191">
            <v>209022</v>
          </cell>
        </row>
        <row r="12192">
          <cell r="K12192" t="str">
            <v>226025</v>
          </cell>
          <cell r="M12192">
            <v>1</v>
          </cell>
          <cell r="R12192">
            <v>45936</v>
          </cell>
          <cell r="S12192">
            <v>226025</v>
          </cell>
        </row>
        <row r="12193">
          <cell r="K12193" t="str">
            <v>201011</v>
          </cell>
          <cell r="M12193">
            <v>6</v>
          </cell>
          <cell r="R12193">
            <v>45935</v>
          </cell>
          <cell r="S12193">
            <v>201011</v>
          </cell>
        </row>
        <row r="12194">
          <cell r="K12194" t="str">
            <v>228001</v>
          </cell>
          <cell r="M12194">
            <v>1</v>
          </cell>
          <cell r="R12194">
            <v>45935</v>
          </cell>
          <cell r="S12194">
            <v>228001</v>
          </cell>
        </row>
        <row r="12195">
          <cell r="K12195" t="str">
            <v>201021</v>
          </cell>
          <cell r="M12195">
            <v>8</v>
          </cell>
          <cell r="R12195">
            <v>45935</v>
          </cell>
          <cell r="S12195">
            <v>201021</v>
          </cell>
        </row>
        <row r="12196">
          <cell r="K12196" t="str">
            <v>217018</v>
          </cell>
          <cell r="M12196">
            <v>1</v>
          </cell>
          <cell r="R12196">
            <v>45934</v>
          </cell>
          <cell r="S12196">
            <v>217018</v>
          </cell>
        </row>
        <row r="12197">
          <cell r="K12197" t="str">
            <v>223001</v>
          </cell>
          <cell r="M12197">
            <v>3</v>
          </cell>
          <cell r="R12197">
            <v>45936</v>
          </cell>
          <cell r="S12197">
            <v>223001</v>
          </cell>
        </row>
        <row r="12198">
          <cell r="K12198" t="str">
            <v>223002</v>
          </cell>
          <cell r="M12198">
            <v>2</v>
          </cell>
          <cell r="R12198">
            <v>45936</v>
          </cell>
          <cell r="S12198">
            <v>223002</v>
          </cell>
        </row>
        <row r="12199">
          <cell r="K12199" t="str">
            <v>241001</v>
          </cell>
          <cell r="M12199">
            <v>3</v>
          </cell>
          <cell r="R12199">
            <v>45936</v>
          </cell>
          <cell r="S12199">
            <v>241001</v>
          </cell>
        </row>
        <row r="12200">
          <cell r="K12200" t="str">
            <v>201011</v>
          </cell>
          <cell r="M12200">
            <v>3</v>
          </cell>
          <cell r="R12200">
            <v>45936</v>
          </cell>
          <cell r="S12200">
            <v>201011</v>
          </cell>
        </row>
        <row r="12201">
          <cell r="K12201" t="str">
            <v>234011</v>
          </cell>
          <cell r="M12201">
            <v>1</v>
          </cell>
          <cell r="R12201">
            <v>45936</v>
          </cell>
          <cell r="S12201">
            <v>234011</v>
          </cell>
        </row>
        <row r="12202">
          <cell r="K12202" t="str">
            <v>231012</v>
          </cell>
          <cell r="M12202">
            <v>1</v>
          </cell>
          <cell r="R12202">
            <v>45935</v>
          </cell>
          <cell r="S12202">
            <v>231012</v>
          </cell>
        </row>
        <row r="12203">
          <cell r="K12203" t="str">
            <v>217022</v>
          </cell>
          <cell r="M12203">
            <v>2</v>
          </cell>
          <cell r="R12203">
            <v>45935</v>
          </cell>
          <cell r="S12203">
            <v>217022</v>
          </cell>
        </row>
        <row r="12204">
          <cell r="K12204" t="str">
            <v>228001</v>
          </cell>
          <cell r="M12204">
            <v>8</v>
          </cell>
          <cell r="R12204">
            <v>45936</v>
          </cell>
          <cell r="S12204">
            <v>228001</v>
          </cell>
        </row>
        <row r="12205">
          <cell r="K12205" t="str">
            <v>220002</v>
          </cell>
          <cell r="M12205">
            <v>4</v>
          </cell>
          <cell r="R12205">
            <v>45936</v>
          </cell>
          <cell r="S12205">
            <v>220002</v>
          </cell>
        </row>
        <row r="12206">
          <cell r="K12206" t="str">
            <v>210013</v>
          </cell>
          <cell r="M12206">
            <v>1</v>
          </cell>
          <cell r="R12206">
            <v>45936</v>
          </cell>
          <cell r="S12206">
            <v>210013</v>
          </cell>
        </row>
        <row r="12207">
          <cell r="K12207" t="str">
            <v>234001</v>
          </cell>
          <cell r="M12207">
            <v>1</v>
          </cell>
          <cell r="R12207">
            <v>45936</v>
          </cell>
          <cell r="S12207">
            <v>234001</v>
          </cell>
        </row>
        <row r="12208">
          <cell r="K12208" t="str">
            <v>234011</v>
          </cell>
          <cell r="M12208">
            <v>1</v>
          </cell>
          <cell r="R12208">
            <v>45936</v>
          </cell>
          <cell r="S12208">
            <v>234011</v>
          </cell>
        </row>
        <row r="12209">
          <cell r="K12209" t="str">
            <v>213002</v>
          </cell>
          <cell r="M12209">
            <v>3</v>
          </cell>
          <cell r="R12209">
            <v>45936</v>
          </cell>
          <cell r="S12209">
            <v>213002</v>
          </cell>
        </row>
        <row r="12210">
          <cell r="K12210" t="str">
            <v>201003</v>
          </cell>
          <cell r="M12210">
            <v>1</v>
          </cell>
          <cell r="R12210">
            <v>45936</v>
          </cell>
          <cell r="S12210">
            <v>201003</v>
          </cell>
        </row>
        <row r="12211">
          <cell r="K12211" t="str">
            <v>220003</v>
          </cell>
          <cell r="M12211">
            <v>1</v>
          </cell>
          <cell r="R12211">
            <v>45936</v>
          </cell>
          <cell r="S12211">
            <v>220003</v>
          </cell>
        </row>
        <row r="12212">
          <cell r="K12212" t="str">
            <v>201011</v>
          </cell>
          <cell r="M12212">
            <v>20</v>
          </cell>
          <cell r="R12212">
            <v>45936</v>
          </cell>
          <cell r="S12212">
            <v>201011</v>
          </cell>
        </row>
        <row r="12213">
          <cell r="K12213" t="str">
            <v>203003</v>
          </cell>
          <cell r="M12213">
            <v>4</v>
          </cell>
          <cell r="R12213">
            <v>45936</v>
          </cell>
          <cell r="S12213">
            <v>203003</v>
          </cell>
        </row>
        <row r="12214">
          <cell r="K12214" t="str">
            <v>228001</v>
          </cell>
          <cell r="M12214">
            <v>1</v>
          </cell>
          <cell r="R12214">
            <v>45936</v>
          </cell>
          <cell r="S12214">
            <v>228001</v>
          </cell>
        </row>
        <row r="12215">
          <cell r="K12215" t="str">
            <v>234001</v>
          </cell>
          <cell r="M12215">
            <v>1</v>
          </cell>
          <cell r="R12215">
            <v>45936</v>
          </cell>
          <cell r="S12215">
            <v>234001</v>
          </cell>
        </row>
        <row r="12216">
          <cell r="K12216" t="str">
            <v>217019</v>
          </cell>
          <cell r="M12216">
            <v>1</v>
          </cell>
          <cell r="R12216">
            <v>45936</v>
          </cell>
          <cell r="S12216">
            <v>217019</v>
          </cell>
        </row>
        <row r="12217">
          <cell r="K12217" t="str">
            <v>212035</v>
          </cell>
          <cell r="M12217">
            <v>3</v>
          </cell>
          <cell r="R12217">
            <v>45936</v>
          </cell>
          <cell r="S12217">
            <v>212035</v>
          </cell>
        </row>
        <row r="12218">
          <cell r="K12218" t="str">
            <v>201003</v>
          </cell>
          <cell r="M12218">
            <v>2</v>
          </cell>
          <cell r="R12218">
            <v>45936</v>
          </cell>
          <cell r="S12218">
            <v>201003</v>
          </cell>
        </row>
        <row r="12219">
          <cell r="K12219" t="str">
            <v>213002</v>
          </cell>
          <cell r="M12219">
            <v>2</v>
          </cell>
          <cell r="R12219">
            <v>45936</v>
          </cell>
          <cell r="S12219">
            <v>213002</v>
          </cell>
        </row>
        <row r="12220">
          <cell r="K12220" t="str">
            <v>201011</v>
          </cell>
          <cell r="M12220">
            <v>5</v>
          </cell>
          <cell r="R12220">
            <v>45936</v>
          </cell>
          <cell r="S12220">
            <v>201011</v>
          </cell>
        </row>
        <row r="12221">
          <cell r="K12221" t="str">
            <v>212035</v>
          </cell>
          <cell r="M12221">
            <v>1</v>
          </cell>
          <cell r="R12221">
            <v>45936</v>
          </cell>
          <cell r="S12221">
            <v>212035</v>
          </cell>
        </row>
        <row r="12222">
          <cell r="K12222" t="str">
            <v>228001</v>
          </cell>
          <cell r="M12222">
            <v>1</v>
          </cell>
          <cell r="R12222">
            <v>45936</v>
          </cell>
          <cell r="S12222">
            <v>228001</v>
          </cell>
        </row>
        <row r="12223">
          <cell r="K12223" t="str">
            <v>209017</v>
          </cell>
          <cell r="M12223">
            <v>1</v>
          </cell>
          <cell r="R12223">
            <v>45936</v>
          </cell>
          <cell r="S12223">
            <v>209017</v>
          </cell>
        </row>
        <row r="12224">
          <cell r="K12224" t="str">
            <v>222001</v>
          </cell>
          <cell r="M12224">
            <v>1</v>
          </cell>
          <cell r="R12224">
            <v>45936</v>
          </cell>
          <cell r="S12224">
            <v>222001</v>
          </cell>
        </row>
        <row r="12225">
          <cell r="K12225" t="str">
            <v>228001</v>
          </cell>
          <cell r="M12225">
            <v>4</v>
          </cell>
          <cell r="R12225">
            <v>45936</v>
          </cell>
          <cell r="S12225">
            <v>228001</v>
          </cell>
        </row>
        <row r="12226">
          <cell r="K12226" t="str">
            <v>228001</v>
          </cell>
          <cell r="M12226">
            <v>2</v>
          </cell>
          <cell r="R12226">
            <v>45936</v>
          </cell>
          <cell r="S12226">
            <v>228001</v>
          </cell>
        </row>
        <row r="12227">
          <cell r="K12227" t="str">
            <v>229001</v>
          </cell>
          <cell r="M12227">
            <v>15</v>
          </cell>
          <cell r="R12227">
            <v>45936</v>
          </cell>
          <cell r="S12227">
            <v>229001</v>
          </cell>
        </row>
        <row r="12228">
          <cell r="K12228" t="str">
            <v>213002</v>
          </cell>
          <cell r="M12228">
            <v>15</v>
          </cell>
          <cell r="R12228">
            <v>45936</v>
          </cell>
          <cell r="S12228">
            <v>213002</v>
          </cell>
        </row>
        <row r="12229">
          <cell r="K12229" t="str">
            <v>203001</v>
          </cell>
          <cell r="M12229">
            <v>1</v>
          </cell>
          <cell r="R12229">
            <v>45936</v>
          </cell>
          <cell r="S12229">
            <v>203001</v>
          </cell>
        </row>
        <row r="12230">
          <cell r="K12230" t="str">
            <v>223002</v>
          </cell>
          <cell r="M12230">
            <v>2</v>
          </cell>
          <cell r="R12230">
            <v>45936</v>
          </cell>
          <cell r="S12230">
            <v>223002</v>
          </cell>
        </row>
        <row r="12231">
          <cell r="K12231" t="str">
            <v>213002</v>
          </cell>
          <cell r="M12231">
            <v>4</v>
          </cell>
          <cell r="R12231">
            <v>45936</v>
          </cell>
          <cell r="S12231">
            <v>213002</v>
          </cell>
        </row>
        <row r="12232">
          <cell r="K12232" t="str">
            <v>217022</v>
          </cell>
          <cell r="M12232">
            <v>2</v>
          </cell>
          <cell r="R12232">
            <v>45936</v>
          </cell>
          <cell r="S12232">
            <v>217022</v>
          </cell>
        </row>
        <row r="12233">
          <cell r="K12233" t="str">
            <v>229004</v>
          </cell>
          <cell r="M12233">
            <v>4</v>
          </cell>
          <cell r="R12233">
            <v>45936</v>
          </cell>
          <cell r="S12233">
            <v>229004</v>
          </cell>
        </row>
        <row r="12234">
          <cell r="K12234" t="str">
            <v>226028</v>
          </cell>
          <cell r="M12234">
            <v>1</v>
          </cell>
          <cell r="R12234">
            <v>45936</v>
          </cell>
          <cell r="S12234">
            <v>226028</v>
          </cell>
        </row>
        <row r="12235">
          <cell r="K12235" t="str">
            <v>207017</v>
          </cell>
          <cell r="M12235">
            <v>1</v>
          </cell>
          <cell r="R12235">
            <v>45936</v>
          </cell>
          <cell r="S12235">
            <v>207017</v>
          </cell>
        </row>
        <row r="12236">
          <cell r="K12236" t="str">
            <v>213005</v>
          </cell>
          <cell r="M12236">
            <v>1</v>
          </cell>
          <cell r="R12236">
            <v>45936</v>
          </cell>
          <cell r="S12236">
            <v>213005</v>
          </cell>
        </row>
        <row r="12237">
          <cell r="K12237" t="str">
            <v>220003</v>
          </cell>
          <cell r="M12237">
            <v>1</v>
          </cell>
          <cell r="R12237">
            <v>45936</v>
          </cell>
          <cell r="S12237">
            <v>220003</v>
          </cell>
        </row>
        <row r="12238">
          <cell r="K12238" t="str">
            <v>223002</v>
          </cell>
          <cell r="M12238">
            <v>8</v>
          </cell>
          <cell r="R12238">
            <v>45936</v>
          </cell>
          <cell r="S12238">
            <v>223002</v>
          </cell>
        </row>
        <row r="12239">
          <cell r="K12239" t="str">
            <v>241001</v>
          </cell>
          <cell r="M12239">
            <v>10</v>
          </cell>
          <cell r="R12239">
            <v>45936</v>
          </cell>
          <cell r="S12239">
            <v>241001</v>
          </cell>
        </row>
        <row r="12240">
          <cell r="K12240" t="str">
            <v>201011</v>
          </cell>
          <cell r="M12240">
            <v>2</v>
          </cell>
          <cell r="R12240">
            <v>45936</v>
          </cell>
          <cell r="S12240">
            <v>201011</v>
          </cell>
        </row>
        <row r="12241">
          <cell r="K12241" t="str">
            <v>212035</v>
          </cell>
          <cell r="M12241">
            <v>2</v>
          </cell>
          <cell r="R12241">
            <v>45936</v>
          </cell>
          <cell r="S12241">
            <v>212035</v>
          </cell>
        </row>
        <row r="12242">
          <cell r="K12242" t="str">
            <v>226001</v>
          </cell>
          <cell r="M12242">
            <v>3</v>
          </cell>
          <cell r="R12242">
            <v>45936</v>
          </cell>
          <cell r="S12242">
            <v>226001</v>
          </cell>
        </row>
        <row r="12243">
          <cell r="K12243" t="str">
            <v>226001</v>
          </cell>
          <cell r="M12243">
            <v>1</v>
          </cell>
          <cell r="R12243">
            <v>45936</v>
          </cell>
          <cell r="S12243">
            <v>226001</v>
          </cell>
        </row>
        <row r="12244">
          <cell r="K12244" t="str">
            <v>201011</v>
          </cell>
          <cell r="M12244">
            <v>72</v>
          </cell>
          <cell r="R12244">
            <v>45936</v>
          </cell>
          <cell r="S12244">
            <v>201011</v>
          </cell>
        </row>
        <row r="12245">
          <cell r="K12245" t="str">
            <v>227012</v>
          </cell>
          <cell r="M12245">
            <v>3</v>
          </cell>
          <cell r="R12245">
            <v>45936</v>
          </cell>
          <cell r="S12245">
            <v>227012</v>
          </cell>
        </row>
        <row r="12246">
          <cell r="K12246" t="str">
            <v>226001</v>
          </cell>
          <cell r="M12246">
            <v>3</v>
          </cell>
          <cell r="R12246">
            <v>45936</v>
          </cell>
          <cell r="S12246">
            <v>226001</v>
          </cell>
        </row>
        <row r="12247">
          <cell r="K12247" t="str">
            <v>228001</v>
          </cell>
          <cell r="M12247">
            <v>2</v>
          </cell>
          <cell r="R12247">
            <v>45936</v>
          </cell>
          <cell r="S12247">
            <v>228001</v>
          </cell>
        </row>
        <row r="12248">
          <cell r="K12248" t="str">
            <v>201021</v>
          </cell>
          <cell r="M12248">
            <v>2</v>
          </cell>
          <cell r="R12248">
            <v>45936</v>
          </cell>
          <cell r="S12248">
            <v>201021</v>
          </cell>
        </row>
        <row r="12249">
          <cell r="K12249" t="str">
            <v>231012</v>
          </cell>
          <cell r="M12249">
            <v>2</v>
          </cell>
          <cell r="R12249">
            <v>45936</v>
          </cell>
          <cell r="S12249">
            <v>231012</v>
          </cell>
        </row>
        <row r="12250">
          <cell r="K12250" t="str">
            <v>227002</v>
          </cell>
          <cell r="M12250">
            <v>1</v>
          </cell>
          <cell r="R12250">
            <v>45936</v>
          </cell>
          <cell r="S12250">
            <v>227002</v>
          </cell>
        </row>
        <row r="12251">
          <cell r="K12251" t="str">
            <v>228001</v>
          </cell>
          <cell r="M12251">
            <v>3</v>
          </cell>
          <cell r="R12251">
            <v>45936</v>
          </cell>
          <cell r="S12251">
            <v>228001</v>
          </cell>
        </row>
        <row r="12252">
          <cell r="K12252" t="str">
            <v>228001</v>
          </cell>
          <cell r="M12252">
            <v>1</v>
          </cell>
          <cell r="R12252">
            <v>45936</v>
          </cell>
          <cell r="S12252">
            <v>228001</v>
          </cell>
        </row>
        <row r="12253">
          <cell r="K12253" t="str">
            <v>227012</v>
          </cell>
          <cell r="M12253">
            <v>2</v>
          </cell>
          <cell r="R12253">
            <v>45936</v>
          </cell>
          <cell r="S12253">
            <v>227012</v>
          </cell>
        </row>
        <row r="12254">
          <cell r="K12254" t="str">
            <v>223001</v>
          </cell>
          <cell r="M12254">
            <v>10</v>
          </cell>
          <cell r="R12254">
            <v>45936</v>
          </cell>
          <cell r="S12254">
            <v>223001</v>
          </cell>
        </row>
        <row r="12255">
          <cell r="K12255" t="str">
            <v>203001</v>
          </cell>
          <cell r="M12255">
            <v>4</v>
          </cell>
          <cell r="R12255">
            <v>45936</v>
          </cell>
          <cell r="S12255">
            <v>203001</v>
          </cell>
        </row>
        <row r="12256">
          <cell r="K12256" t="str">
            <v>203001</v>
          </cell>
          <cell r="M12256">
            <v>4</v>
          </cell>
          <cell r="R12256">
            <v>45936</v>
          </cell>
          <cell r="S12256">
            <v>203001</v>
          </cell>
        </row>
        <row r="12257">
          <cell r="K12257" t="str">
            <v>202001</v>
          </cell>
          <cell r="M12257">
            <v>1</v>
          </cell>
          <cell r="R12257">
            <v>45936</v>
          </cell>
          <cell r="S12257">
            <v>202001</v>
          </cell>
        </row>
        <row r="12258">
          <cell r="K12258" t="str">
            <v>217022</v>
          </cell>
          <cell r="M12258">
            <v>5</v>
          </cell>
          <cell r="R12258">
            <v>45936</v>
          </cell>
          <cell r="S12258">
            <v>217022</v>
          </cell>
        </row>
        <row r="12259">
          <cell r="K12259" t="str">
            <v>217021</v>
          </cell>
          <cell r="M12259">
            <v>2</v>
          </cell>
          <cell r="R12259">
            <v>45936</v>
          </cell>
          <cell r="S12259">
            <v>217021</v>
          </cell>
        </row>
        <row r="12260">
          <cell r="K12260" t="str">
            <v>217018</v>
          </cell>
          <cell r="M12260">
            <v>3</v>
          </cell>
          <cell r="R12260">
            <v>45936</v>
          </cell>
          <cell r="S12260">
            <v>217018</v>
          </cell>
        </row>
        <row r="12261">
          <cell r="K12261" t="str">
            <v>213005</v>
          </cell>
          <cell r="M12261">
            <v>1</v>
          </cell>
          <cell r="R12261">
            <v>45936</v>
          </cell>
          <cell r="S12261">
            <v>213005</v>
          </cell>
        </row>
        <row r="12262">
          <cell r="K12262" t="str">
            <v>223001</v>
          </cell>
          <cell r="M12262">
            <v>10</v>
          </cell>
          <cell r="R12262">
            <v>45936</v>
          </cell>
          <cell r="S12262">
            <v>223001</v>
          </cell>
        </row>
        <row r="12263">
          <cell r="K12263" t="str">
            <v>223006</v>
          </cell>
          <cell r="M12263">
            <v>10</v>
          </cell>
          <cell r="R12263">
            <v>45936</v>
          </cell>
          <cell r="S12263">
            <v>223006</v>
          </cell>
        </row>
        <row r="12264">
          <cell r="K12264" t="str">
            <v>223003</v>
          </cell>
          <cell r="M12264">
            <v>10</v>
          </cell>
          <cell r="R12264">
            <v>45936</v>
          </cell>
          <cell r="S12264">
            <v>223003</v>
          </cell>
        </row>
        <row r="12265">
          <cell r="K12265" t="str">
            <v>223002</v>
          </cell>
          <cell r="M12265">
            <v>5</v>
          </cell>
          <cell r="R12265">
            <v>45936</v>
          </cell>
          <cell r="S12265">
            <v>223002</v>
          </cell>
        </row>
        <row r="12266">
          <cell r="K12266" t="str">
            <v>203003</v>
          </cell>
          <cell r="M12266">
            <v>2</v>
          </cell>
          <cell r="R12266">
            <v>45936</v>
          </cell>
          <cell r="S12266">
            <v>203003</v>
          </cell>
        </row>
        <row r="12267">
          <cell r="K12267" t="str">
            <v>207017</v>
          </cell>
          <cell r="M12267">
            <v>3</v>
          </cell>
          <cell r="R12267">
            <v>45936</v>
          </cell>
          <cell r="S12267">
            <v>207017</v>
          </cell>
        </row>
        <row r="12268">
          <cell r="K12268" t="str">
            <v>231012</v>
          </cell>
          <cell r="M12268">
            <v>2</v>
          </cell>
          <cell r="R12268">
            <v>45936</v>
          </cell>
          <cell r="S12268">
            <v>231012</v>
          </cell>
        </row>
        <row r="12269">
          <cell r="K12269" t="str">
            <v>227012</v>
          </cell>
          <cell r="M12269">
            <v>4</v>
          </cell>
          <cell r="R12269">
            <v>45936</v>
          </cell>
          <cell r="S12269">
            <v>227012</v>
          </cell>
        </row>
        <row r="12270">
          <cell r="K12270" t="str">
            <v>201021</v>
          </cell>
          <cell r="M12270">
            <v>4</v>
          </cell>
          <cell r="R12270">
            <v>45936</v>
          </cell>
          <cell r="S12270">
            <v>201021</v>
          </cell>
        </row>
        <row r="12271">
          <cell r="K12271" t="str">
            <v>228001</v>
          </cell>
          <cell r="M12271">
            <v>2</v>
          </cell>
          <cell r="R12271">
            <v>45936</v>
          </cell>
          <cell r="S12271">
            <v>228001</v>
          </cell>
        </row>
        <row r="12272">
          <cell r="K12272" t="str">
            <v>201011</v>
          </cell>
          <cell r="M12272">
            <v>7</v>
          </cell>
          <cell r="R12272">
            <v>45936</v>
          </cell>
          <cell r="S12272">
            <v>201011</v>
          </cell>
        </row>
        <row r="12273">
          <cell r="K12273" t="str">
            <v>231012</v>
          </cell>
          <cell r="M12273">
            <v>1</v>
          </cell>
          <cell r="R12273">
            <v>45936</v>
          </cell>
          <cell r="S12273">
            <v>231012</v>
          </cell>
        </row>
        <row r="12274">
          <cell r="K12274" t="str">
            <v>207017</v>
          </cell>
          <cell r="M12274">
            <v>1</v>
          </cell>
          <cell r="R12274">
            <v>45936</v>
          </cell>
          <cell r="S12274">
            <v>207017</v>
          </cell>
        </row>
        <row r="12275">
          <cell r="K12275" t="str">
            <v>228001</v>
          </cell>
          <cell r="M12275">
            <v>1</v>
          </cell>
          <cell r="R12275">
            <v>45936</v>
          </cell>
          <cell r="S12275">
            <v>228001</v>
          </cell>
        </row>
        <row r="12276">
          <cell r="K12276" t="str">
            <v>231012</v>
          </cell>
          <cell r="M12276">
            <v>1</v>
          </cell>
          <cell r="R12276">
            <v>45936</v>
          </cell>
          <cell r="S12276">
            <v>231012</v>
          </cell>
        </row>
        <row r="12277">
          <cell r="K12277" t="str">
            <v>227012</v>
          </cell>
          <cell r="M12277">
            <v>1</v>
          </cell>
          <cell r="R12277">
            <v>45936</v>
          </cell>
          <cell r="S12277">
            <v>227012</v>
          </cell>
        </row>
        <row r="12278">
          <cell r="K12278" t="str">
            <v>217021</v>
          </cell>
          <cell r="M12278">
            <v>1</v>
          </cell>
          <cell r="R12278">
            <v>45936</v>
          </cell>
          <cell r="S12278">
            <v>217021</v>
          </cell>
        </row>
        <row r="12279">
          <cell r="K12279" t="str">
            <v>213005</v>
          </cell>
          <cell r="M12279">
            <v>3</v>
          </cell>
          <cell r="R12279">
            <v>45936</v>
          </cell>
          <cell r="S12279">
            <v>213005</v>
          </cell>
        </row>
        <row r="12280">
          <cell r="K12280" t="str">
            <v>228001</v>
          </cell>
          <cell r="M12280">
            <v>2</v>
          </cell>
          <cell r="R12280">
            <v>45936</v>
          </cell>
          <cell r="S12280">
            <v>228001</v>
          </cell>
        </row>
        <row r="12281">
          <cell r="K12281" t="str">
            <v>222001</v>
          </cell>
          <cell r="M12281">
            <v>5</v>
          </cell>
          <cell r="R12281">
            <v>45936</v>
          </cell>
          <cell r="S12281">
            <v>222001</v>
          </cell>
        </row>
        <row r="12282">
          <cell r="K12282" t="str">
            <v>261004</v>
          </cell>
          <cell r="M12282">
            <v>1</v>
          </cell>
          <cell r="R12282">
            <v>45936</v>
          </cell>
          <cell r="S12282">
            <v>261004</v>
          </cell>
        </row>
        <row r="12283">
          <cell r="K12283" t="str">
            <v>241001</v>
          </cell>
          <cell r="M12283">
            <v>4</v>
          </cell>
          <cell r="R12283">
            <v>45936</v>
          </cell>
          <cell r="S12283">
            <v>241001</v>
          </cell>
        </row>
        <row r="12284">
          <cell r="K12284" t="str">
            <v>228001</v>
          </cell>
          <cell r="M12284">
            <v>3</v>
          </cell>
          <cell r="R12284">
            <v>45936</v>
          </cell>
          <cell r="S12284">
            <v>228001</v>
          </cell>
        </row>
        <row r="12285">
          <cell r="K12285" t="str">
            <v>228001</v>
          </cell>
          <cell r="M12285">
            <v>2</v>
          </cell>
          <cell r="R12285">
            <v>45936</v>
          </cell>
          <cell r="S12285">
            <v>228001</v>
          </cell>
        </row>
        <row r="12286">
          <cell r="K12286" t="str">
            <v>212002</v>
          </cell>
          <cell r="M12286">
            <v>1</v>
          </cell>
          <cell r="R12286">
            <v>45936</v>
          </cell>
          <cell r="S12286">
            <v>212002</v>
          </cell>
        </row>
        <row r="12287">
          <cell r="K12287" t="str">
            <v>227012</v>
          </cell>
          <cell r="M12287">
            <v>2</v>
          </cell>
          <cell r="R12287">
            <v>45936</v>
          </cell>
          <cell r="S12287">
            <v>227012</v>
          </cell>
        </row>
        <row r="12288">
          <cell r="K12288" t="str">
            <v>227012</v>
          </cell>
          <cell r="M12288">
            <v>3</v>
          </cell>
          <cell r="R12288">
            <v>45936</v>
          </cell>
          <cell r="S12288">
            <v>227012</v>
          </cell>
        </row>
        <row r="12289">
          <cell r="K12289" t="str">
            <v>226001</v>
          </cell>
          <cell r="M12289">
            <v>6</v>
          </cell>
          <cell r="R12289">
            <v>45937</v>
          </cell>
          <cell r="S12289">
            <v>226001</v>
          </cell>
        </row>
        <row r="12290">
          <cell r="K12290" t="str">
            <v>203003</v>
          </cell>
          <cell r="M12290">
            <v>3</v>
          </cell>
          <cell r="R12290">
            <v>45936</v>
          </cell>
          <cell r="S12290">
            <v>203003</v>
          </cell>
        </row>
        <row r="12291">
          <cell r="K12291" t="str">
            <v>261004</v>
          </cell>
          <cell r="M12291">
            <v>1</v>
          </cell>
          <cell r="R12291">
            <v>45936</v>
          </cell>
          <cell r="S12291">
            <v>261004</v>
          </cell>
        </row>
        <row r="12292">
          <cell r="K12292" t="str">
            <v>241001</v>
          </cell>
          <cell r="M12292">
            <v>8</v>
          </cell>
          <cell r="R12292">
            <v>45936</v>
          </cell>
          <cell r="S12292">
            <v>241001</v>
          </cell>
        </row>
        <row r="12293">
          <cell r="K12293" t="str">
            <v>217011</v>
          </cell>
          <cell r="M12293">
            <v>1</v>
          </cell>
          <cell r="R12293">
            <v>45936</v>
          </cell>
          <cell r="S12293">
            <v>217011</v>
          </cell>
        </row>
        <row r="12294">
          <cell r="K12294" t="str">
            <v>201021</v>
          </cell>
          <cell r="M12294">
            <v>5</v>
          </cell>
          <cell r="R12294">
            <v>45936</v>
          </cell>
          <cell r="S12294">
            <v>201021</v>
          </cell>
        </row>
        <row r="12295">
          <cell r="K12295" t="str">
            <v>209001</v>
          </cell>
          <cell r="M12295">
            <v>3</v>
          </cell>
          <cell r="R12295">
            <v>45936</v>
          </cell>
          <cell r="S12295">
            <v>209001</v>
          </cell>
        </row>
        <row r="12296">
          <cell r="K12296" t="str">
            <v>203003</v>
          </cell>
          <cell r="M12296">
            <v>1</v>
          </cell>
          <cell r="R12296">
            <v>45936</v>
          </cell>
          <cell r="S12296">
            <v>203003</v>
          </cell>
        </row>
        <row r="12297">
          <cell r="K12297" t="str">
            <v>217018</v>
          </cell>
          <cell r="M12297">
            <v>10</v>
          </cell>
          <cell r="R12297">
            <v>45937</v>
          </cell>
          <cell r="S12297">
            <v>217018</v>
          </cell>
        </row>
        <row r="12298">
          <cell r="K12298" t="str">
            <v>209004</v>
          </cell>
          <cell r="M12298">
            <v>2</v>
          </cell>
          <cell r="R12298">
            <v>45937</v>
          </cell>
          <cell r="S12298">
            <v>209004</v>
          </cell>
        </row>
        <row r="12299">
          <cell r="K12299" t="str">
            <v>228001</v>
          </cell>
          <cell r="M12299">
            <v>2</v>
          </cell>
          <cell r="R12299">
            <v>45937</v>
          </cell>
          <cell r="S12299">
            <v>228001</v>
          </cell>
        </row>
        <row r="12300">
          <cell r="K12300" t="str">
            <v>213005</v>
          </cell>
          <cell r="M12300">
            <v>2</v>
          </cell>
          <cell r="R12300">
            <v>45937</v>
          </cell>
          <cell r="S12300">
            <v>213005</v>
          </cell>
        </row>
        <row r="12301">
          <cell r="K12301" t="str">
            <v>228001</v>
          </cell>
          <cell r="M12301">
            <v>1</v>
          </cell>
          <cell r="R12301">
            <v>45937</v>
          </cell>
          <cell r="S12301">
            <v>228001</v>
          </cell>
        </row>
        <row r="12302">
          <cell r="K12302" t="str">
            <v>226028</v>
          </cell>
          <cell r="M12302">
            <v>1</v>
          </cell>
          <cell r="R12302">
            <v>45937</v>
          </cell>
          <cell r="S12302">
            <v>226028</v>
          </cell>
        </row>
        <row r="12303">
          <cell r="K12303" t="str">
            <v>201011</v>
          </cell>
          <cell r="M12303">
            <v>36</v>
          </cell>
          <cell r="R12303">
            <v>45937</v>
          </cell>
          <cell r="S12303">
            <v>201011</v>
          </cell>
        </row>
        <row r="12304">
          <cell r="K12304" t="str">
            <v>227014</v>
          </cell>
          <cell r="M12304">
            <v>1</v>
          </cell>
          <cell r="R12304">
            <v>45937</v>
          </cell>
          <cell r="S12304">
            <v>227014</v>
          </cell>
        </row>
        <row r="12305">
          <cell r="K12305" t="str">
            <v>201011</v>
          </cell>
          <cell r="M12305">
            <v>20</v>
          </cell>
          <cell r="R12305">
            <v>45937</v>
          </cell>
          <cell r="S12305">
            <v>201011</v>
          </cell>
        </row>
        <row r="12306">
          <cell r="K12306" t="str">
            <v>203004</v>
          </cell>
          <cell r="M12306">
            <v>1</v>
          </cell>
          <cell r="R12306">
            <v>45937</v>
          </cell>
          <cell r="S12306">
            <v>203004</v>
          </cell>
        </row>
        <row r="12307">
          <cell r="K12307" t="str">
            <v>231008</v>
          </cell>
          <cell r="M12307">
            <v>1</v>
          </cell>
          <cell r="R12307">
            <v>45937</v>
          </cell>
          <cell r="S12307">
            <v>231008</v>
          </cell>
        </row>
        <row r="12308">
          <cell r="K12308" t="str">
            <v>214002</v>
          </cell>
          <cell r="M12308">
            <v>1</v>
          </cell>
          <cell r="R12308">
            <v>45937</v>
          </cell>
          <cell r="S12308">
            <v>214002</v>
          </cell>
        </row>
        <row r="12309">
          <cell r="K12309" t="str">
            <v>229001</v>
          </cell>
          <cell r="M12309">
            <v>2</v>
          </cell>
          <cell r="R12309">
            <v>45937</v>
          </cell>
          <cell r="S12309">
            <v>229001</v>
          </cell>
        </row>
        <row r="12310">
          <cell r="K12310" t="str">
            <v>231012</v>
          </cell>
          <cell r="M12310">
            <v>1</v>
          </cell>
          <cell r="R12310">
            <v>45937</v>
          </cell>
          <cell r="S12310">
            <v>231012</v>
          </cell>
        </row>
        <row r="12311">
          <cell r="K12311" t="str">
            <v>213002</v>
          </cell>
          <cell r="M12311">
            <v>3</v>
          </cell>
          <cell r="R12311">
            <v>45937</v>
          </cell>
          <cell r="S12311">
            <v>213002</v>
          </cell>
        </row>
        <row r="12312">
          <cell r="K12312" t="str">
            <v>201011</v>
          </cell>
          <cell r="M12312">
            <v>72</v>
          </cell>
          <cell r="R12312">
            <v>45937</v>
          </cell>
          <cell r="S12312">
            <v>201011</v>
          </cell>
        </row>
        <row r="12313">
          <cell r="K12313" t="str">
            <v>231012</v>
          </cell>
          <cell r="M12313">
            <v>1</v>
          </cell>
          <cell r="R12313">
            <v>45937</v>
          </cell>
          <cell r="S12313">
            <v>231012</v>
          </cell>
        </row>
        <row r="12314">
          <cell r="K12314" t="str">
            <v>226024</v>
          </cell>
          <cell r="M12314">
            <v>1</v>
          </cell>
          <cell r="R12314">
            <v>45937</v>
          </cell>
          <cell r="S12314">
            <v>226024</v>
          </cell>
        </row>
        <row r="12315">
          <cell r="K12315" t="str">
            <v>217018</v>
          </cell>
          <cell r="M12315">
            <v>1</v>
          </cell>
          <cell r="R12315">
            <v>45937</v>
          </cell>
          <cell r="S12315">
            <v>217018</v>
          </cell>
        </row>
        <row r="12316">
          <cell r="K12316" t="str">
            <v>203001</v>
          </cell>
          <cell r="M12316">
            <v>1</v>
          </cell>
          <cell r="R12316">
            <v>45937</v>
          </cell>
          <cell r="S12316">
            <v>203001</v>
          </cell>
        </row>
        <row r="12317">
          <cell r="K12317" t="str">
            <v>201011</v>
          </cell>
          <cell r="M12317">
            <v>10</v>
          </cell>
          <cell r="R12317">
            <v>45937</v>
          </cell>
          <cell r="S12317">
            <v>201011</v>
          </cell>
        </row>
        <row r="12318">
          <cell r="K12318" t="str">
            <v>226001</v>
          </cell>
          <cell r="M12318">
            <v>1</v>
          </cell>
          <cell r="R12318">
            <v>45937</v>
          </cell>
          <cell r="S12318">
            <v>226001</v>
          </cell>
        </row>
        <row r="12319">
          <cell r="K12319" t="str">
            <v>201011</v>
          </cell>
          <cell r="M12319">
            <v>20</v>
          </cell>
          <cell r="R12319">
            <v>45937</v>
          </cell>
          <cell r="S12319">
            <v>201011</v>
          </cell>
        </row>
        <row r="12320">
          <cell r="K12320" t="str">
            <v>226001</v>
          </cell>
          <cell r="M12320">
            <v>1</v>
          </cell>
          <cell r="R12320">
            <v>45937</v>
          </cell>
          <cell r="S12320">
            <v>226001</v>
          </cell>
        </row>
        <row r="12321">
          <cell r="K12321" t="str">
            <v>226001</v>
          </cell>
          <cell r="M12321">
            <v>2</v>
          </cell>
          <cell r="R12321">
            <v>45937</v>
          </cell>
          <cell r="S12321">
            <v>226001</v>
          </cell>
        </row>
        <row r="12322">
          <cell r="K12322" t="str">
            <v>203003</v>
          </cell>
          <cell r="M12322">
            <v>4</v>
          </cell>
          <cell r="R12322">
            <v>45937</v>
          </cell>
          <cell r="S12322">
            <v>203003</v>
          </cell>
        </row>
        <row r="12323">
          <cell r="K12323" t="str">
            <v>227002</v>
          </cell>
          <cell r="M12323">
            <v>2</v>
          </cell>
          <cell r="R12323">
            <v>45937</v>
          </cell>
          <cell r="S12323">
            <v>227002</v>
          </cell>
        </row>
        <row r="12324">
          <cell r="K12324" t="str">
            <v>210013</v>
          </cell>
          <cell r="M12324">
            <v>2</v>
          </cell>
          <cell r="R12324">
            <v>45937</v>
          </cell>
          <cell r="S12324">
            <v>210013</v>
          </cell>
        </row>
        <row r="12325">
          <cell r="K12325" t="str">
            <v>223002</v>
          </cell>
          <cell r="M12325">
            <v>4</v>
          </cell>
          <cell r="R12325">
            <v>45937</v>
          </cell>
          <cell r="S12325">
            <v>223002</v>
          </cell>
        </row>
        <row r="12326">
          <cell r="K12326" t="str">
            <v>201011</v>
          </cell>
          <cell r="M12326">
            <v>14</v>
          </cell>
          <cell r="R12326">
            <v>45937</v>
          </cell>
          <cell r="S12326">
            <v>201011</v>
          </cell>
        </row>
        <row r="12327">
          <cell r="K12327" t="str">
            <v>201021</v>
          </cell>
          <cell r="M12327">
            <v>4</v>
          </cell>
          <cell r="R12327">
            <v>45937</v>
          </cell>
          <cell r="S12327">
            <v>201021</v>
          </cell>
        </row>
        <row r="12328">
          <cell r="K12328" t="str">
            <v>209004</v>
          </cell>
          <cell r="M12328">
            <v>3</v>
          </cell>
          <cell r="R12328">
            <v>45937</v>
          </cell>
          <cell r="S12328">
            <v>209004</v>
          </cell>
        </row>
        <row r="12329">
          <cell r="K12329" t="str">
            <v>213005</v>
          </cell>
          <cell r="M12329">
            <v>1</v>
          </cell>
          <cell r="R12329">
            <v>45937</v>
          </cell>
          <cell r="S12329">
            <v>213005</v>
          </cell>
        </row>
        <row r="12330">
          <cell r="K12330" t="str">
            <v>210014</v>
          </cell>
          <cell r="M12330">
            <v>3</v>
          </cell>
          <cell r="R12330">
            <v>45937</v>
          </cell>
          <cell r="S12330">
            <v>210014</v>
          </cell>
        </row>
        <row r="12331">
          <cell r="K12331" t="str">
            <v>231012</v>
          </cell>
          <cell r="M12331">
            <v>1</v>
          </cell>
          <cell r="R12331">
            <v>45937</v>
          </cell>
          <cell r="S12331">
            <v>231012</v>
          </cell>
        </row>
        <row r="12332">
          <cell r="K12332" t="str">
            <v>212035</v>
          </cell>
          <cell r="M12332">
            <v>1</v>
          </cell>
          <cell r="R12332">
            <v>45937</v>
          </cell>
          <cell r="S12332">
            <v>212035</v>
          </cell>
        </row>
        <row r="12333">
          <cell r="K12333" t="str">
            <v>201003</v>
          </cell>
          <cell r="M12333">
            <v>1</v>
          </cell>
          <cell r="R12333">
            <v>45937</v>
          </cell>
          <cell r="S12333">
            <v>201003</v>
          </cell>
        </row>
        <row r="12334">
          <cell r="K12334" t="str">
            <v>228001</v>
          </cell>
          <cell r="M12334">
            <v>1</v>
          </cell>
          <cell r="R12334">
            <v>45937</v>
          </cell>
          <cell r="S12334">
            <v>228001</v>
          </cell>
        </row>
        <row r="12335">
          <cell r="K12335" t="str">
            <v>223002</v>
          </cell>
          <cell r="M12335">
            <v>2</v>
          </cell>
          <cell r="R12335">
            <v>45937</v>
          </cell>
          <cell r="S12335">
            <v>223002</v>
          </cell>
        </row>
        <row r="12336">
          <cell r="K12336" t="str">
            <v>201011</v>
          </cell>
          <cell r="M12336">
            <v>1</v>
          </cell>
          <cell r="R12336">
            <v>45937</v>
          </cell>
          <cell r="S12336">
            <v>201011</v>
          </cell>
        </row>
        <row r="12337">
          <cell r="K12337" t="str">
            <v>207017</v>
          </cell>
          <cell r="M12337">
            <v>2</v>
          </cell>
          <cell r="R12337">
            <v>45938</v>
          </cell>
          <cell r="S12337">
            <v>207017</v>
          </cell>
        </row>
        <row r="12338">
          <cell r="K12338" t="str">
            <v>203003</v>
          </cell>
          <cell r="M12338">
            <v>4</v>
          </cell>
          <cell r="R12338">
            <v>45938</v>
          </cell>
          <cell r="S12338">
            <v>203003</v>
          </cell>
        </row>
        <row r="12339">
          <cell r="K12339" t="str">
            <v>209012</v>
          </cell>
          <cell r="M12339">
            <v>2</v>
          </cell>
          <cell r="R12339">
            <v>45938</v>
          </cell>
          <cell r="S12339">
            <v>209012</v>
          </cell>
        </row>
        <row r="12340">
          <cell r="K12340" t="str">
            <v>217011</v>
          </cell>
          <cell r="M12340">
            <v>2</v>
          </cell>
          <cell r="R12340">
            <v>45938</v>
          </cell>
          <cell r="S12340">
            <v>217011</v>
          </cell>
        </row>
        <row r="12341">
          <cell r="K12341" t="str">
            <v>201011</v>
          </cell>
          <cell r="M12341">
            <v>9</v>
          </cell>
          <cell r="R12341">
            <v>45938</v>
          </cell>
          <cell r="S12341">
            <v>201011</v>
          </cell>
        </row>
        <row r="12342">
          <cell r="K12342" t="str">
            <v>223001</v>
          </cell>
          <cell r="M12342">
            <v>3</v>
          </cell>
          <cell r="R12342">
            <v>45938</v>
          </cell>
          <cell r="S12342">
            <v>223001</v>
          </cell>
        </row>
        <row r="12343">
          <cell r="K12343" t="str">
            <v>223002</v>
          </cell>
          <cell r="M12343">
            <v>2</v>
          </cell>
          <cell r="R12343">
            <v>45938</v>
          </cell>
          <cell r="S12343">
            <v>223002</v>
          </cell>
        </row>
        <row r="12344">
          <cell r="K12344" t="str">
            <v>201011</v>
          </cell>
          <cell r="M12344">
            <v>1</v>
          </cell>
          <cell r="R12344">
            <v>45938</v>
          </cell>
          <cell r="S12344">
            <v>201011</v>
          </cell>
        </row>
        <row r="12345">
          <cell r="K12345" t="str">
            <v>223001</v>
          </cell>
          <cell r="M12345">
            <v>3</v>
          </cell>
          <cell r="R12345">
            <v>45938</v>
          </cell>
          <cell r="S12345">
            <v>223001</v>
          </cell>
        </row>
        <row r="12346">
          <cell r="K12346" t="str">
            <v>201011</v>
          </cell>
          <cell r="M12346">
            <v>1</v>
          </cell>
          <cell r="R12346">
            <v>45938</v>
          </cell>
          <cell r="S12346">
            <v>201011</v>
          </cell>
        </row>
        <row r="12347">
          <cell r="K12347" t="str">
            <v>227002</v>
          </cell>
          <cell r="M12347">
            <v>1</v>
          </cell>
          <cell r="R12347">
            <v>45938</v>
          </cell>
          <cell r="S12347">
            <v>227002</v>
          </cell>
        </row>
        <row r="12348">
          <cell r="K12348" t="str">
            <v>228001</v>
          </cell>
          <cell r="M12348">
            <v>4</v>
          </cell>
          <cell r="R12348">
            <v>45938</v>
          </cell>
          <cell r="S12348">
            <v>228001</v>
          </cell>
        </row>
        <row r="12349">
          <cell r="K12349" t="str">
            <v>223001</v>
          </cell>
          <cell r="M12349">
            <v>1</v>
          </cell>
          <cell r="R12349">
            <v>45938</v>
          </cell>
          <cell r="S12349">
            <v>223001</v>
          </cell>
        </row>
        <row r="12350">
          <cell r="K12350" t="str">
            <v>205004</v>
          </cell>
          <cell r="M12350">
            <v>1</v>
          </cell>
          <cell r="R12350">
            <v>45938</v>
          </cell>
          <cell r="S12350">
            <v>205004</v>
          </cell>
        </row>
        <row r="12351">
          <cell r="K12351" t="str">
            <v>213002</v>
          </cell>
          <cell r="M12351">
            <v>3</v>
          </cell>
          <cell r="R12351">
            <v>45938</v>
          </cell>
          <cell r="S12351">
            <v>213002</v>
          </cell>
        </row>
        <row r="12352">
          <cell r="K12352" t="str">
            <v>231012</v>
          </cell>
          <cell r="M12352">
            <v>1</v>
          </cell>
          <cell r="R12352">
            <v>45938</v>
          </cell>
          <cell r="S12352">
            <v>231012</v>
          </cell>
        </row>
        <row r="12353">
          <cell r="K12353" t="str">
            <v>228001</v>
          </cell>
          <cell r="M12353">
            <v>1</v>
          </cell>
          <cell r="R12353">
            <v>45938</v>
          </cell>
          <cell r="S12353">
            <v>228001</v>
          </cell>
        </row>
        <row r="12354">
          <cell r="K12354" t="str">
            <v>203003</v>
          </cell>
          <cell r="M12354">
            <v>1</v>
          </cell>
          <cell r="R12354">
            <v>45938</v>
          </cell>
          <cell r="S12354">
            <v>203003</v>
          </cell>
        </row>
        <row r="12355">
          <cell r="K12355" t="str">
            <v>213002</v>
          </cell>
          <cell r="M12355">
            <v>1</v>
          </cell>
          <cell r="R12355">
            <v>45938</v>
          </cell>
          <cell r="S12355">
            <v>213002</v>
          </cell>
        </row>
        <row r="12356">
          <cell r="K12356" t="str">
            <v>213005</v>
          </cell>
          <cell r="M12356">
            <v>1</v>
          </cell>
          <cell r="R12356">
            <v>45938</v>
          </cell>
          <cell r="S12356">
            <v>213005</v>
          </cell>
        </row>
        <row r="12357">
          <cell r="K12357" t="str">
            <v>201011</v>
          </cell>
          <cell r="M12357">
            <v>7</v>
          </cell>
          <cell r="R12357">
            <v>45938</v>
          </cell>
          <cell r="S12357">
            <v>201011</v>
          </cell>
        </row>
        <row r="12358">
          <cell r="K12358" t="str">
            <v>217011</v>
          </cell>
          <cell r="M12358">
            <v>4</v>
          </cell>
          <cell r="R12358">
            <v>45937</v>
          </cell>
          <cell r="S12358">
            <v>217011</v>
          </cell>
        </row>
        <row r="12359">
          <cell r="K12359" t="str">
            <v>228001</v>
          </cell>
          <cell r="M12359">
            <v>12</v>
          </cell>
          <cell r="R12359">
            <v>45937</v>
          </cell>
          <cell r="S12359">
            <v>228001</v>
          </cell>
        </row>
        <row r="12360">
          <cell r="K12360" t="str">
            <v>223001</v>
          </cell>
          <cell r="M12360">
            <v>3</v>
          </cell>
          <cell r="R12360">
            <v>45937</v>
          </cell>
          <cell r="S12360">
            <v>223001</v>
          </cell>
        </row>
        <row r="12361">
          <cell r="K12361" t="str">
            <v>223002</v>
          </cell>
          <cell r="M12361">
            <v>3</v>
          </cell>
          <cell r="R12361">
            <v>45937</v>
          </cell>
          <cell r="S12361">
            <v>223002</v>
          </cell>
        </row>
        <row r="12362">
          <cell r="K12362" t="str">
            <v>228001</v>
          </cell>
          <cell r="M12362">
            <v>1</v>
          </cell>
          <cell r="R12362">
            <v>45938</v>
          </cell>
          <cell r="S12362">
            <v>228001</v>
          </cell>
        </row>
        <row r="12363">
          <cell r="K12363" t="str">
            <v>201011</v>
          </cell>
          <cell r="M12363">
            <v>20</v>
          </cell>
          <cell r="R12363">
            <v>45938</v>
          </cell>
          <cell r="S12363">
            <v>201011</v>
          </cell>
        </row>
        <row r="12364">
          <cell r="K12364" t="str">
            <v>228001</v>
          </cell>
          <cell r="M12364">
            <v>2</v>
          </cell>
          <cell r="R12364">
            <v>45938</v>
          </cell>
          <cell r="S12364">
            <v>228001</v>
          </cell>
        </row>
        <row r="12365">
          <cell r="K12365" t="str">
            <v>241001</v>
          </cell>
          <cell r="M12365">
            <v>10</v>
          </cell>
          <cell r="R12365">
            <v>45938</v>
          </cell>
          <cell r="S12365">
            <v>241001</v>
          </cell>
        </row>
        <row r="12366">
          <cell r="K12366" t="str">
            <v>228001</v>
          </cell>
          <cell r="M12366">
            <v>6</v>
          </cell>
          <cell r="R12366">
            <v>45938</v>
          </cell>
          <cell r="S12366">
            <v>228001</v>
          </cell>
        </row>
        <row r="12367">
          <cell r="K12367" t="str">
            <v>202001</v>
          </cell>
          <cell r="M12367">
            <v>1</v>
          </cell>
          <cell r="R12367">
            <v>45938</v>
          </cell>
          <cell r="S12367">
            <v>202001</v>
          </cell>
        </row>
        <row r="12368">
          <cell r="K12368" t="str">
            <v>226001</v>
          </cell>
          <cell r="M12368">
            <v>3</v>
          </cell>
          <cell r="R12368">
            <v>45938</v>
          </cell>
          <cell r="S12368">
            <v>226001</v>
          </cell>
        </row>
        <row r="12369">
          <cell r="K12369" t="str">
            <v>207017</v>
          </cell>
          <cell r="M12369">
            <v>1</v>
          </cell>
          <cell r="R12369">
            <v>45938</v>
          </cell>
          <cell r="S12369">
            <v>207017</v>
          </cell>
        </row>
        <row r="12370">
          <cell r="K12370" t="str">
            <v>231012</v>
          </cell>
          <cell r="M12370">
            <v>1</v>
          </cell>
          <cell r="R12370">
            <v>45938</v>
          </cell>
          <cell r="S12370">
            <v>231012</v>
          </cell>
        </row>
        <row r="12371">
          <cell r="K12371" t="str">
            <v>228001</v>
          </cell>
          <cell r="M12371">
            <v>1</v>
          </cell>
          <cell r="R12371">
            <v>45938</v>
          </cell>
          <cell r="S12371">
            <v>228001</v>
          </cell>
        </row>
        <row r="12372">
          <cell r="K12372" t="str">
            <v>217019</v>
          </cell>
          <cell r="M12372">
            <v>12</v>
          </cell>
          <cell r="R12372">
            <v>45936</v>
          </cell>
          <cell r="S12372">
            <v>217019</v>
          </cell>
        </row>
        <row r="12373">
          <cell r="K12373" t="str">
            <v>226028</v>
          </cell>
          <cell r="M12373">
            <v>1</v>
          </cell>
          <cell r="R12373">
            <v>45938</v>
          </cell>
          <cell r="S12373">
            <v>226028</v>
          </cell>
        </row>
        <row r="12374">
          <cell r="K12374" t="str">
            <v>210014</v>
          </cell>
          <cell r="M12374">
            <v>2</v>
          </cell>
          <cell r="R12374">
            <v>45938</v>
          </cell>
          <cell r="S12374">
            <v>210014</v>
          </cell>
        </row>
        <row r="12375">
          <cell r="K12375" t="str">
            <v>201011</v>
          </cell>
          <cell r="M12375">
            <v>2</v>
          </cell>
          <cell r="R12375">
            <v>45938</v>
          </cell>
          <cell r="S12375">
            <v>201011</v>
          </cell>
        </row>
        <row r="12376">
          <cell r="K12376" t="str">
            <v>236001</v>
          </cell>
          <cell r="M12376">
            <v>1</v>
          </cell>
          <cell r="R12376">
            <v>45938</v>
          </cell>
          <cell r="S12376">
            <v>236001</v>
          </cell>
        </row>
        <row r="12377">
          <cell r="K12377" t="str">
            <v>227001</v>
          </cell>
          <cell r="M12377">
            <v>2</v>
          </cell>
          <cell r="R12377">
            <v>45938</v>
          </cell>
          <cell r="S12377">
            <v>227001</v>
          </cell>
        </row>
        <row r="12378">
          <cell r="K12378" t="str">
            <v>227002</v>
          </cell>
          <cell r="M12378">
            <v>1</v>
          </cell>
          <cell r="R12378">
            <v>45938</v>
          </cell>
          <cell r="S12378">
            <v>227002</v>
          </cell>
        </row>
        <row r="12379">
          <cell r="K12379" t="str">
            <v>223002</v>
          </cell>
          <cell r="M12379">
            <v>1</v>
          </cell>
          <cell r="R12379">
            <v>45938</v>
          </cell>
          <cell r="S12379">
            <v>223002</v>
          </cell>
        </row>
        <row r="12380">
          <cell r="K12380" t="str">
            <v>223001</v>
          </cell>
          <cell r="M12380">
            <v>1</v>
          </cell>
          <cell r="R12380">
            <v>45938</v>
          </cell>
          <cell r="S12380">
            <v>223001</v>
          </cell>
        </row>
        <row r="12381">
          <cell r="K12381" t="str">
            <v>201011</v>
          </cell>
          <cell r="M12381">
            <v>1</v>
          </cell>
          <cell r="R12381">
            <v>45938</v>
          </cell>
          <cell r="S12381">
            <v>201011</v>
          </cell>
        </row>
        <row r="12382">
          <cell r="K12382" t="str">
            <v>201022</v>
          </cell>
          <cell r="M12382">
            <v>1</v>
          </cell>
          <cell r="R12382">
            <v>45938</v>
          </cell>
          <cell r="S12382">
            <v>201022</v>
          </cell>
        </row>
        <row r="12383">
          <cell r="K12383" t="str">
            <v>203003</v>
          </cell>
          <cell r="M12383">
            <v>1</v>
          </cell>
          <cell r="R12383">
            <v>45938</v>
          </cell>
          <cell r="S12383">
            <v>203003</v>
          </cell>
        </row>
        <row r="12384">
          <cell r="K12384" t="str">
            <v>231004</v>
          </cell>
          <cell r="M12384">
            <v>1</v>
          </cell>
          <cell r="R12384">
            <v>45938</v>
          </cell>
          <cell r="S12384">
            <v>231004</v>
          </cell>
        </row>
        <row r="12385">
          <cell r="K12385" t="str">
            <v>217018</v>
          </cell>
          <cell r="M12385">
            <v>50</v>
          </cell>
          <cell r="R12385">
            <v>45938</v>
          </cell>
          <cell r="S12385">
            <v>217018</v>
          </cell>
        </row>
        <row r="12386">
          <cell r="K12386" t="str">
            <v>220002</v>
          </cell>
          <cell r="M12386">
            <v>2</v>
          </cell>
          <cell r="R12386">
            <v>45938</v>
          </cell>
          <cell r="S12386">
            <v>220002</v>
          </cell>
        </row>
        <row r="12387">
          <cell r="K12387" t="str">
            <v>228001</v>
          </cell>
          <cell r="M12387">
            <v>11</v>
          </cell>
          <cell r="R12387">
            <v>45938</v>
          </cell>
          <cell r="S12387">
            <v>228001</v>
          </cell>
        </row>
        <row r="12388">
          <cell r="K12388" t="str">
            <v>217011</v>
          </cell>
          <cell r="M12388">
            <v>1</v>
          </cell>
          <cell r="R12388">
            <v>45938</v>
          </cell>
          <cell r="S12388">
            <v>217011</v>
          </cell>
        </row>
        <row r="12389">
          <cell r="K12389" t="str">
            <v>201011</v>
          </cell>
          <cell r="M12389">
            <v>5</v>
          </cell>
          <cell r="R12389">
            <v>45938</v>
          </cell>
          <cell r="S12389">
            <v>201011</v>
          </cell>
        </row>
        <row r="12390">
          <cell r="K12390" t="str">
            <v>229003</v>
          </cell>
          <cell r="M12390">
            <v>1</v>
          </cell>
          <cell r="R12390">
            <v>45939</v>
          </cell>
          <cell r="S12390">
            <v>229003</v>
          </cell>
        </row>
        <row r="12391">
          <cell r="K12391" t="str">
            <v>212035</v>
          </cell>
          <cell r="M12391">
            <v>1</v>
          </cell>
          <cell r="R12391">
            <v>45939</v>
          </cell>
          <cell r="S12391">
            <v>212035</v>
          </cell>
        </row>
        <row r="12392">
          <cell r="K12392" t="str">
            <v>228001</v>
          </cell>
          <cell r="M12392">
            <v>1</v>
          </cell>
          <cell r="R12392">
            <v>45939</v>
          </cell>
          <cell r="S12392">
            <v>228001</v>
          </cell>
        </row>
        <row r="12393">
          <cell r="K12393" t="str">
            <v>223002</v>
          </cell>
          <cell r="M12393">
            <v>1</v>
          </cell>
          <cell r="R12393">
            <v>45939</v>
          </cell>
          <cell r="S12393">
            <v>223002</v>
          </cell>
        </row>
        <row r="12394">
          <cell r="K12394" t="str">
            <v>209017</v>
          </cell>
          <cell r="M12394">
            <v>1</v>
          </cell>
          <cell r="R12394">
            <v>45939</v>
          </cell>
          <cell r="S12394">
            <v>209017</v>
          </cell>
        </row>
        <row r="12395">
          <cell r="K12395" t="str">
            <v>227014</v>
          </cell>
          <cell r="M12395">
            <v>1</v>
          </cell>
          <cell r="R12395">
            <v>45939</v>
          </cell>
          <cell r="S12395">
            <v>227014</v>
          </cell>
        </row>
        <row r="12396">
          <cell r="K12396" t="str">
            <v>201011</v>
          </cell>
          <cell r="M12396">
            <v>5</v>
          </cell>
          <cell r="R12396">
            <v>45938</v>
          </cell>
          <cell r="S12396">
            <v>201011</v>
          </cell>
        </row>
        <row r="12397">
          <cell r="K12397" t="str">
            <v>201011</v>
          </cell>
          <cell r="M12397">
            <v>3</v>
          </cell>
          <cell r="R12397">
            <v>45939</v>
          </cell>
          <cell r="S12397">
            <v>201011</v>
          </cell>
        </row>
        <row r="12398">
          <cell r="K12398" t="str">
            <v>234011</v>
          </cell>
          <cell r="M12398">
            <v>1</v>
          </cell>
          <cell r="R12398">
            <v>45939</v>
          </cell>
          <cell r="S12398">
            <v>234011</v>
          </cell>
        </row>
        <row r="12399">
          <cell r="K12399" t="str">
            <v>241001</v>
          </cell>
          <cell r="M12399">
            <v>1</v>
          </cell>
          <cell r="R12399">
            <v>45939</v>
          </cell>
          <cell r="S12399">
            <v>241001</v>
          </cell>
        </row>
        <row r="12400">
          <cell r="K12400" t="str">
            <v>241001</v>
          </cell>
          <cell r="M12400">
            <v>3</v>
          </cell>
          <cell r="R12400">
            <v>45938</v>
          </cell>
          <cell r="S12400">
            <v>241001</v>
          </cell>
        </row>
        <row r="12401">
          <cell r="K12401" t="str">
            <v>217018</v>
          </cell>
          <cell r="M12401">
            <v>45</v>
          </cell>
          <cell r="R12401">
            <v>45939</v>
          </cell>
          <cell r="S12401">
            <v>217018</v>
          </cell>
        </row>
        <row r="12402">
          <cell r="K12402" t="str">
            <v>212035</v>
          </cell>
          <cell r="M12402">
            <v>3</v>
          </cell>
          <cell r="R12402">
            <v>45938</v>
          </cell>
          <cell r="S12402">
            <v>212035</v>
          </cell>
        </row>
        <row r="12403">
          <cell r="K12403" t="str">
            <v>231004</v>
          </cell>
          <cell r="M12403">
            <v>3</v>
          </cell>
          <cell r="R12403">
            <v>45938</v>
          </cell>
          <cell r="S12403">
            <v>231004</v>
          </cell>
        </row>
        <row r="12404">
          <cell r="K12404" t="str">
            <v>231004</v>
          </cell>
          <cell r="M12404">
            <v>1</v>
          </cell>
          <cell r="R12404">
            <v>45938</v>
          </cell>
          <cell r="S12404">
            <v>231004</v>
          </cell>
        </row>
        <row r="12405">
          <cell r="K12405" t="str">
            <v>212035</v>
          </cell>
          <cell r="M12405">
            <v>3</v>
          </cell>
          <cell r="R12405">
            <v>45939</v>
          </cell>
          <cell r="S12405">
            <v>212035</v>
          </cell>
        </row>
        <row r="12406">
          <cell r="K12406" t="str">
            <v>201011</v>
          </cell>
          <cell r="M12406">
            <v>40</v>
          </cell>
          <cell r="R12406">
            <v>45938</v>
          </cell>
          <cell r="S12406">
            <v>201011</v>
          </cell>
        </row>
        <row r="12407">
          <cell r="K12407" t="str">
            <v>231012</v>
          </cell>
          <cell r="M12407">
            <v>4</v>
          </cell>
          <cell r="R12407">
            <v>45939</v>
          </cell>
          <cell r="S12407">
            <v>231012</v>
          </cell>
        </row>
        <row r="12408">
          <cell r="K12408" t="str">
            <v>231010</v>
          </cell>
          <cell r="M12408">
            <v>4</v>
          </cell>
          <cell r="R12408">
            <v>45939</v>
          </cell>
          <cell r="S12408">
            <v>231010</v>
          </cell>
        </row>
        <row r="12409">
          <cell r="K12409" t="str">
            <v>203003</v>
          </cell>
          <cell r="M12409">
            <v>3</v>
          </cell>
          <cell r="R12409">
            <v>45939</v>
          </cell>
          <cell r="S12409">
            <v>203003</v>
          </cell>
        </row>
        <row r="12410">
          <cell r="K12410" t="str">
            <v>228001</v>
          </cell>
          <cell r="M12410">
            <v>5</v>
          </cell>
          <cell r="R12410">
            <v>45939</v>
          </cell>
          <cell r="S12410">
            <v>228001</v>
          </cell>
        </row>
        <row r="12411">
          <cell r="K12411" t="str">
            <v>220002</v>
          </cell>
          <cell r="M12411">
            <v>2</v>
          </cell>
          <cell r="R12411">
            <v>45939</v>
          </cell>
          <cell r="S12411">
            <v>220002</v>
          </cell>
        </row>
        <row r="12412">
          <cell r="K12412" t="str">
            <v>223002</v>
          </cell>
          <cell r="M12412">
            <v>2</v>
          </cell>
          <cell r="R12412">
            <v>45939</v>
          </cell>
          <cell r="S12412">
            <v>223002</v>
          </cell>
        </row>
        <row r="12413">
          <cell r="K12413" t="str">
            <v>201011</v>
          </cell>
          <cell r="M12413">
            <v>1</v>
          </cell>
          <cell r="R12413">
            <v>45939</v>
          </cell>
          <cell r="S12413">
            <v>201011</v>
          </cell>
        </row>
        <row r="12414">
          <cell r="K12414" t="str">
            <v>228001</v>
          </cell>
          <cell r="M12414">
            <v>1</v>
          </cell>
          <cell r="R12414">
            <v>45939</v>
          </cell>
          <cell r="S12414">
            <v>228001</v>
          </cell>
        </row>
        <row r="12415">
          <cell r="K12415" t="str">
            <v>226001</v>
          </cell>
          <cell r="M12415">
            <v>2</v>
          </cell>
          <cell r="R12415">
            <v>45939</v>
          </cell>
          <cell r="S12415">
            <v>226001</v>
          </cell>
        </row>
        <row r="12416">
          <cell r="K12416" t="str">
            <v>228001</v>
          </cell>
          <cell r="M12416">
            <v>1</v>
          </cell>
          <cell r="R12416">
            <v>45939</v>
          </cell>
          <cell r="S12416">
            <v>228001</v>
          </cell>
        </row>
        <row r="12417">
          <cell r="K12417" t="str">
            <v>213002</v>
          </cell>
          <cell r="M12417">
            <v>1</v>
          </cell>
          <cell r="R12417">
            <v>45939</v>
          </cell>
          <cell r="S12417">
            <v>213002</v>
          </cell>
        </row>
        <row r="12418">
          <cell r="K12418" t="str">
            <v>208001</v>
          </cell>
          <cell r="M12418">
            <v>1</v>
          </cell>
          <cell r="R12418">
            <v>45939</v>
          </cell>
          <cell r="S12418">
            <v>208001</v>
          </cell>
        </row>
        <row r="12419">
          <cell r="K12419" t="str">
            <v>203003</v>
          </cell>
          <cell r="M12419">
            <v>1</v>
          </cell>
          <cell r="R12419">
            <v>45939</v>
          </cell>
          <cell r="S12419">
            <v>203003</v>
          </cell>
        </row>
        <row r="12420">
          <cell r="K12420" t="str">
            <v>210014</v>
          </cell>
          <cell r="M12420">
            <v>1</v>
          </cell>
          <cell r="R12420">
            <v>45939</v>
          </cell>
          <cell r="S12420">
            <v>210014</v>
          </cell>
        </row>
        <row r="12421">
          <cell r="K12421" t="str">
            <v>231012</v>
          </cell>
          <cell r="M12421">
            <v>1</v>
          </cell>
          <cell r="R12421">
            <v>45939</v>
          </cell>
          <cell r="S12421">
            <v>231012</v>
          </cell>
        </row>
        <row r="12422">
          <cell r="K12422" t="str">
            <v>213002</v>
          </cell>
          <cell r="M12422">
            <v>4</v>
          </cell>
          <cell r="R12422">
            <v>45939</v>
          </cell>
          <cell r="S12422">
            <v>213002</v>
          </cell>
        </row>
        <row r="12423">
          <cell r="K12423" t="str">
            <v>223001</v>
          </cell>
          <cell r="M12423">
            <v>5</v>
          </cell>
          <cell r="R12423">
            <v>45939</v>
          </cell>
          <cell r="S12423">
            <v>223001</v>
          </cell>
        </row>
        <row r="12424">
          <cell r="K12424" t="str">
            <v>241001</v>
          </cell>
          <cell r="M12424">
            <v>5</v>
          </cell>
          <cell r="R12424">
            <v>45939</v>
          </cell>
          <cell r="S12424">
            <v>241001</v>
          </cell>
        </row>
        <row r="12425">
          <cell r="K12425" t="str">
            <v>217011</v>
          </cell>
          <cell r="M12425">
            <v>1</v>
          </cell>
          <cell r="R12425">
            <v>45939</v>
          </cell>
          <cell r="S12425">
            <v>217011</v>
          </cell>
        </row>
        <row r="12426">
          <cell r="K12426" t="str">
            <v>201011</v>
          </cell>
          <cell r="M12426">
            <v>3</v>
          </cell>
          <cell r="R12426">
            <v>45939</v>
          </cell>
          <cell r="S12426">
            <v>201011</v>
          </cell>
        </row>
        <row r="12427">
          <cell r="K12427" t="str">
            <v>201011</v>
          </cell>
          <cell r="M12427">
            <v>36</v>
          </cell>
          <cell r="R12427">
            <v>45939</v>
          </cell>
          <cell r="S12427">
            <v>201011</v>
          </cell>
        </row>
        <row r="12428">
          <cell r="K12428" t="str">
            <v>226029</v>
          </cell>
          <cell r="M12428">
            <v>1</v>
          </cell>
          <cell r="R12428">
            <v>45939</v>
          </cell>
          <cell r="S12428">
            <v>226029</v>
          </cell>
        </row>
        <row r="12429">
          <cell r="K12429" t="str">
            <v>201011</v>
          </cell>
          <cell r="M12429">
            <v>1</v>
          </cell>
          <cell r="R12429">
            <v>45939</v>
          </cell>
          <cell r="S12429">
            <v>201011</v>
          </cell>
        </row>
        <row r="12430">
          <cell r="K12430" t="str">
            <v>228001</v>
          </cell>
          <cell r="M12430">
            <v>10</v>
          </cell>
          <cell r="R12430">
            <v>45939</v>
          </cell>
          <cell r="S12430">
            <v>228001</v>
          </cell>
        </row>
        <row r="12431">
          <cell r="K12431" t="str">
            <v>226001</v>
          </cell>
          <cell r="M12431">
            <v>1</v>
          </cell>
          <cell r="R12431">
            <v>45939</v>
          </cell>
          <cell r="S12431">
            <v>226001</v>
          </cell>
        </row>
        <row r="12432">
          <cell r="K12432" t="str">
            <v>223002</v>
          </cell>
          <cell r="M12432">
            <v>3</v>
          </cell>
          <cell r="R12432">
            <v>45939</v>
          </cell>
          <cell r="S12432">
            <v>223002</v>
          </cell>
        </row>
        <row r="12433">
          <cell r="K12433" t="str">
            <v>223001</v>
          </cell>
          <cell r="M12433">
            <v>2</v>
          </cell>
          <cell r="R12433">
            <v>45939</v>
          </cell>
          <cell r="S12433">
            <v>223001</v>
          </cell>
        </row>
        <row r="12434">
          <cell r="K12434" t="str">
            <v>201003</v>
          </cell>
          <cell r="M12434">
            <v>3</v>
          </cell>
          <cell r="R12434">
            <v>45939</v>
          </cell>
          <cell r="S12434">
            <v>201003</v>
          </cell>
        </row>
        <row r="12435">
          <cell r="K12435" t="str">
            <v>210014</v>
          </cell>
          <cell r="M12435">
            <v>4</v>
          </cell>
          <cell r="R12435">
            <v>45939</v>
          </cell>
          <cell r="S12435">
            <v>210014</v>
          </cell>
        </row>
        <row r="12436">
          <cell r="K12436" t="str">
            <v>228001</v>
          </cell>
          <cell r="M12436">
            <v>1</v>
          </cell>
          <cell r="R12436">
            <v>45939</v>
          </cell>
          <cell r="S12436">
            <v>228001</v>
          </cell>
        </row>
        <row r="12437">
          <cell r="K12437" t="str">
            <v>220002</v>
          </cell>
          <cell r="M12437">
            <v>1</v>
          </cell>
          <cell r="R12437">
            <v>45939</v>
          </cell>
          <cell r="S12437">
            <v>220002</v>
          </cell>
        </row>
        <row r="12438">
          <cell r="K12438" t="str">
            <v>241001</v>
          </cell>
          <cell r="M12438">
            <v>10</v>
          </cell>
          <cell r="R12438">
            <v>45939</v>
          </cell>
          <cell r="S12438">
            <v>241001</v>
          </cell>
        </row>
        <row r="12439">
          <cell r="K12439" t="str">
            <v>201011</v>
          </cell>
          <cell r="M12439">
            <v>6</v>
          </cell>
          <cell r="R12439">
            <v>45939</v>
          </cell>
          <cell r="S12439">
            <v>201011</v>
          </cell>
        </row>
        <row r="12440">
          <cell r="K12440" t="str">
            <v>201011</v>
          </cell>
          <cell r="M12440">
            <v>6</v>
          </cell>
          <cell r="R12440">
            <v>45939</v>
          </cell>
          <cell r="S12440">
            <v>201011</v>
          </cell>
        </row>
        <row r="12441">
          <cell r="K12441" t="str">
            <v>201011</v>
          </cell>
          <cell r="M12441">
            <v>4</v>
          </cell>
          <cell r="R12441">
            <v>45939</v>
          </cell>
          <cell r="S12441">
            <v>201011</v>
          </cell>
        </row>
        <row r="12442">
          <cell r="K12442" t="str">
            <v>228001</v>
          </cell>
          <cell r="M12442">
            <v>2</v>
          </cell>
          <cell r="R12442">
            <v>45939</v>
          </cell>
          <cell r="S12442">
            <v>228001</v>
          </cell>
        </row>
        <row r="12443">
          <cell r="K12443" t="str">
            <v>209004</v>
          </cell>
          <cell r="M12443">
            <v>1</v>
          </cell>
          <cell r="R12443">
            <v>45939</v>
          </cell>
          <cell r="S12443">
            <v>209004</v>
          </cell>
        </row>
        <row r="12444">
          <cell r="K12444" t="str">
            <v>212002</v>
          </cell>
          <cell r="M12444">
            <v>1</v>
          </cell>
          <cell r="R12444">
            <v>45939</v>
          </cell>
          <cell r="S12444">
            <v>212002</v>
          </cell>
        </row>
        <row r="12445">
          <cell r="K12445" t="str">
            <v>228001</v>
          </cell>
          <cell r="M12445">
            <v>1</v>
          </cell>
          <cell r="R12445">
            <v>45939</v>
          </cell>
          <cell r="S12445">
            <v>228001</v>
          </cell>
        </row>
        <row r="12446">
          <cell r="K12446" t="str">
            <v>212002</v>
          </cell>
          <cell r="M12446">
            <v>1</v>
          </cell>
          <cell r="R12446">
            <v>45939</v>
          </cell>
          <cell r="S12446">
            <v>212002</v>
          </cell>
        </row>
        <row r="12447">
          <cell r="K12447" t="str">
            <v>209012</v>
          </cell>
          <cell r="M12447">
            <v>1</v>
          </cell>
          <cell r="R12447">
            <v>45939</v>
          </cell>
          <cell r="S12447">
            <v>209012</v>
          </cell>
        </row>
        <row r="12448">
          <cell r="K12448" t="str">
            <v>234001</v>
          </cell>
          <cell r="M12448">
            <v>1</v>
          </cell>
          <cell r="R12448">
            <v>45939</v>
          </cell>
          <cell r="S12448">
            <v>234001</v>
          </cell>
        </row>
        <row r="12449">
          <cell r="K12449" t="str">
            <v>209004</v>
          </cell>
          <cell r="M12449">
            <v>1</v>
          </cell>
          <cell r="R12449">
            <v>45939</v>
          </cell>
          <cell r="S12449">
            <v>209004</v>
          </cell>
        </row>
        <row r="12450">
          <cell r="K12450" t="str">
            <v>203003</v>
          </cell>
          <cell r="M12450">
            <v>1</v>
          </cell>
          <cell r="R12450">
            <v>45939</v>
          </cell>
          <cell r="S12450">
            <v>203003</v>
          </cell>
        </row>
        <row r="12451">
          <cell r="K12451" t="str">
            <v>228001</v>
          </cell>
          <cell r="M12451">
            <v>2</v>
          </cell>
          <cell r="R12451">
            <v>45939</v>
          </cell>
          <cell r="S12451">
            <v>228001</v>
          </cell>
        </row>
        <row r="12452">
          <cell r="K12452" t="str">
            <v>223001</v>
          </cell>
          <cell r="M12452">
            <v>10</v>
          </cell>
          <cell r="R12452">
            <v>45939</v>
          </cell>
          <cell r="S12452">
            <v>223001</v>
          </cell>
        </row>
        <row r="12453">
          <cell r="K12453" t="str">
            <v>223003</v>
          </cell>
          <cell r="M12453">
            <v>10</v>
          </cell>
          <cell r="R12453">
            <v>45939</v>
          </cell>
          <cell r="S12453">
            <v>223003</v>
          </cell>
        </row>
        <row r="12454">
          <cell r="K12454" t="str">
            <v>223006</v>
          </cell>
          <cell r="M12454">
            <v>10</v>
          </cell>
          <cell r="R12454">
            <v>45939</v>
          </cell>
          <cell r="S12454">
            <v>223006</v>
          </cell>
        </row>
        <row r="12455">
          <cell r="K12455" t="str">
            <v>223002</v>
          </cell>
          <cell r="M12455">
            <v>7</v>
          </cell>
          <cell r="R12455">
            <v>45939</v>
          </cell>
          <cell r="S12455">
            <v>223002</v>
          </cell>
        </row>
        <row r="12456">
          <cell r="K12456" t="str">
            <v>217023</v>
          </cell>
          <cell r="M12456">
            <v>16</v>
          </cell>
          <cell r="R12456">
            <v>45939</v>
          </cell>
          <cell r="S12456">
            <v>217023</v>
          </cell>
        </row>
        <row r="12457">
          <cell r="K12457" t="str">
            <v>228001</v>
          </cell>
          <cell r="M12457">
            <v>3</v>
          </cell>
          <cell r="R12457">
            <v>45939</v>
          </cell>
          <cell r="S12457">
            <v>228001</v>
          </cell>
        </row>
        <row r="12458">
          <cell r="K12458" t="str">
            <v>203003</v>
          </cell>
          <cell r="M12458">
            <v>1</v>
          </cell>
          <cell r="R12458">
            <v>45939</v>
          </cell>
          <cell r="S12458">
            <v>203003</v>
          </cell>
        </row>
        <row r="12459">
          <cell r="K12459" t="str">
            <v>231012</v>
          </cell>
          <cell r="M12459">
            <v>1</v>
          </cell>
          <cell r="R12459">
            <v>45939</v>
          </cell>
          <cell r="S12459">
            <v>231012</v>
          </cell>
        </row>
        <row r="12460">
          <cell r="K12460" t="str">
            <v>207017</v>
          </cell>
          <cell r="M12460">
            <v>1</v>
          </cell>
          <cell r="R12460">
            <v>45939</v>
          </cell>
          <cell r="S12460">
            <v>207017</v>
          </cell>
        </row>
        <row r="12461">
          <cell r="K12461" t="str">
            <v>209012</v>
          </cell>
          <cell r="M12461">
            <v>1</v>
          </cell>
          <cell r="R12461">
            <v>45939</v>
          </cell>
          <cell r="S12461">
            <v>209012</v>
          </cell>
        </row>
        <row r="12462">
          <cell r="K12462" t="str">
            <v>223001</v>
          </cell>
          <cell r="M12462">
            <v>1</v>
          </cell>
          <cell r="R12462">
            <v>45939</v>
          </cell>
          <cell r="S12462">
            <v>223001</v>
          </cell>
        </row>
        <row r="12463">
          <cell r="K12463" t="str">
            <v>228001</v>
          </cell>
          <cell r="M12463">
            <v>5</v>
          </cell>
          <cell r="R12463">
            <v>45939</v>
          </cell>
          <cell r="S12463">
            <v>228001</v>
          </cell>
        </row>
        <row r="12464">
          <cell r="K12464" t="str">
            <v>228001</v>
          </cell>
          <cell r="M12464">
            <v>3</v>
          </cell>
          <cell r="R12464">
            <v>45939</v>
          </cell>
          <cell r="S12464">
            <v>228001</v>
          </cell>
        </row>
        <row r="12465">
          <cell r="K12465" t="str">
            <v>212035</v>
          </cell>
          <cell r="M12465">
            <v>1</v>
          </cell>
          <cell r="R12465">
            <v>45939</v>
          </cell>
          <cell r="S12465">
            <v>212035</v>
          </cell>
        </row>
        <row r="12466">
          <cell r="K12466" t="str">
            <v>209004</v>
          </cell>
          <cell r="M12466">
            <v>1</v>
          </cell>
          <cell r="R12466">
            <v>45939</v>
          </cell>
          <cell r="S12466">
            <v>209004</v>
          </cell>
        </row>
        <row r="12467">
          <cell r="K12467" t="str">
            <v>223001</v>
          </cell>
          <cell r="M12467">
            <v>3</v>
          </cell>
          <cell r="R12467">
            <v>45939</v>
          </cell>
          <cell r="S12467">
            <v>223001</v>
          </cell>
        </row>
        <row r="12468">
          <cell r="K12468" t="str">
            <v>223002</v>
          </cell>
          <cell r="M12468">
            <v>1</v>
          </cell>
          <cell r="R12468">
            <v>45939</v>
          </cell>
          <cell r="S12468">
            <v>223002</v>
          </cell>
        </row>
        <row r="12469">
          <cell r="K12469" t="str">
            <v>207002</v>
          </cell>
          <cell r="M12469">
            <v>1</v>
          </cell>
          <cell r="R12469">
            <v>45939</v>
          </cell>
          <cell r="S12469">
            <v>207002</v>
          </cell>
        </row>
        <row r="12470">
          <cell r="K12470" t="str">
            <v>228001</v>
          </cell>
          <cell r="M12470">
            <v>1</v>
          </cell>
          <cell r="R12470">
            <v>45939</v>
          </cell>
          <cell r="S12470">
            <v>228001</v>
          </cell>
        </row>
        <row r="12471">
          <cell r="K12471" t="str">
            <v>226001</v>
          </cell>
          <cell r="M12471">
            <v>2</v>
          </cell>
          <cell r="R12471">
            <v>45939</v>
          </cell>
          <cell r="S12471">
            <v>226001</v>
          </cell>
        </row>
        <row r="12472">
          <cell r="K12472" t="str">
            <v>226030</v>
          </cell>
          <cell r="M12472">
            <v>1</v>
          </cell>
          <cell r="R12472">
            <v>45939</v>
          </cell>
          <cell r="S12472">
            <v>226030</v>
          </cell>
        </row>
        <row r="12473">
          <cell r="K12473" t="str">
            <v>209001</v>
          </cell>
          <cell r="M12473">
            <v>2</v>
          </cell>
          <cell r="R12473">
            <v>45939</v>
          </cell>
          <cell r="S12473">
            <v>209001</v>
          </cell>
        </row>
        <row r="12474">
          <cell r="K12474" t="str">
            <v>223002</v>
          </cell>
          <cell r="M12474">
            <v>1</v>
          </cell>
          <cell r="R12474">
            <v>45939</v>
          </cell>
          <cell r="S12474">
            <v>223002</v>
          </cell>
        </row>
        <row r="12475">
          <cell r="K12475" t="str">
            <v>201011</v>
          </cell>
          <cell r="M12475">
            <v>5</v>
          </cell>
          <cell r="R12475">
            <v>45939</v>
          </cell>
          <cell r="S12475">
            <v>201011</v>
          </cell>
        </row>
        <row r="12476">
          <cell r="K12476" t="str">
            <v>231012</v>
          </cell>
          <cell r="M12476">
            <v>1</v>
          </cell>
          <cell r="R12476">
            <v>45939</v>
          </cell>
          <cell r="S12476">
            <v>231012</v>
          </cell>
        </row>
        <row r="12477">
          <cell r="K12477" t="str">
            <v>234011</v>
          </cell>
          <cell r="M12477">
            <v>2</v>
          </cell>
          <cell r="R12477">
            <v>45939</v>
          </cell>
          <cell r="S12477">
            <v>234011</v>
          </cell>
        </row>
        <row r="12478">
          <cell r="K12478" t="str">
            <v>226001</v>
          </cell>
          <cell r="M12478">
            <v>1</v>
          </cell>
          <cell r="R12478">
            <v>45939</v>
          </cell>
          <cell r="S12478">
            <v>226001</v>
          </cell>
        </row>
        <row r="12479">
          <cell r="K12479" t="str">
            <v>201004</v>
          </cell>
          <cell r="M12479">
            <v>2</v>
          </cell>
          <cell r="R12479">
            <v>45939</v>
          </cell>
          <cell r="S12479">
            <v>201004</v>
          </cell>
        </row>
        <row r="12480">
          <cell r="K12480" t="str">
            <v>227002</v>
          </cell>
          <cell r="M12480">
            <v>1</v>
          </cell>
          <cell r="R12480">
            <v>45939</v>
          </cell>
          <cell r="S12480">
            <v>227002</v>
          </cell>
        </row>
        <row r="12481">
          <cell r="K12481" t="str">
            <v>226025</v>
          </cell>
          <cell r="M12481">
            <v>1</v>
          </cell>
          <cell r="R12481">
            <v>45939</v>
          </cell>
          <cell r="S12481">
            <v>226025</v>
          </cell>
        </row>
        <row r="12482">
          <cell r="K12482" t="str">
            <v>217011</v>
          </cell>
          <cell r="M12482">
            <v>1</v>
          </cell>
          <cell r="R12482">
            <v>45939</v>
          </cell>
          <cell r="S12482">
            <v>217011</v>
          </cell>
        </row>
        <row r="12483">
          <cell r="K12483" t="str">
            <v>201011</v>
          </cell>
          <cell r="M12483">
            <v>2</v>
          </cell>
          <cell r="R12483">
            <v>45939</v>
          </cell>
          <cell r="S12483">
            <v>201011</v>
          </cell>
        </row>
        <row r="12484">
          <cell r="K12484" t="str">
            <v>212035</v>
          </cell>
          <cell r="M12484">
            <v>1</v>
          </cell>
          <cell r="R12484">
            <v>45940</v>
          </cell>
          <cell r="S12484">
            <v>212035</v>
          </cell>
        </row>
        <row r="12485">
          <cell r="K12485" t="str">
            <v>203003</v>
          </cell>
          <cell r="M12485">
            <v>1</v>
          </cell>
          <cell r="R12485">
            <v>45939</v>
          </cell>
          <cell r="S12485">
            <v>203003</v>
          </cell>
        </row>
        <row r="12486">
          <cell r="K12486" t="str">
            <v>226029</v>
          </cell>
          <cell r="M12486">
            <v>1</v>
          </cell>
          <cell r="R12486">
            <v>45939</v>
          </cell>
          <cell r="S12486">
            <v>226029</v>
          </cell>
        </row>
        <row r="12487">
          <cell r="K12487" t="str">
            <v>222001</v>
          </cell>
          <cell r="M12487">
            <v>1</v>
          </cell>
          <cell r="R12487">
            <v>45939</v>
          </cell>
          <cell r="S12487">
            <v>222001</v>
          </cell>
        </row>
        <row r="12488">
          <cell r="K12488" t="str">
            <v>201011</v>
          </cell>
          <cell r="M12488">
            <v>1</v>
          </cell>
          <cell r="R12488">
            <v>45939</v>
          </cell>
          <cell r="S12488">
            <v>201011</v>
          </cell>
        </row>
        <row r="12489">
          <cell r="K12489" t="str">
            <v>222001</v>
          </cell>
          <cell r="M12489">
            <v>5</v>
          </cell>
          <cell r="R12489">
            <v>45940</v>
          </cell>
          <cell r="S12489">
            <v>222001</v>
          </cell>
        </row>
        <row r="12490">
          <cell r="K12490" t="str">
            <v>241001</v>
          </cell>
          <cell r="M12490">
            <v>4</v>
          </cell>
          <cell r="R12490">
            <v>45940</v>
          </cell>
          <cell r="S12490">
            <v>241001</v>
          </cell>
        </row>
        <row r="12491">
          <cell r="K12491" t="str">
            <v>228001</v>
          </cell>
          <cell r="M12491">
            <v>10</v>
          </cell>
          <cell r="R12491">
            <v>45940</v>
          </cell>
          <cell r="S12491">
            <v>228001</v>
          </cell>
        </row>
        <row r="12492">
          <cell r="K12492" t="str">
            <v>212010</v>
          </cell>
          <cell r="M12492">
            <v>30</v>
          </cell>
          <cell r="R12492">
            <v>45940</v>
          </cell>
          <cell r="S12492">
            <v>212010</v>
          </cell>
        </row>
        <row r="12493">
          <cell r="K12493" t="str">
            <v>261004</v>
          </cell>
          <cell r="M12493">
            <v>40</v>
          </cell>
          <cell r="R12493">
            <v>45940</v>
          </cell>
          <cell r="S12493">
            <v>261004</v>
          </cell>
        </row>
        <row r="12494">
          <cell r="K12494" t="str">
            <v>228001</v>
          </cell>
          <cell r="M12494">
            <v>1</v>
          </cell>
          <cell r="R12494">
            <v>45940</v>
          </cell>
          <cell r="S12494">
            <v>228001</v>
          </cell>
        </row>
        <row r="12495">
          <cell r="K12495" t="str">
            <v>228001</v>
          </cell>
          <cell r="M12495">
            <v>1</v>
          </cell>
          <cell r="R12495">
            <v>45939</v>
          </cell>
          <cell r="S12495">
            <v>228001</v>
          </cell>
        </row>
        <row r="12496">
          <cell r="K12496" t="str">
            <v>228001</v>
          </cell>
          <cell r="M12496">
            <v>6</v>
          </cell>
          <cell r="R12496">
            <v>45940</v>
          </cell>
          <cell r="S12496">
            <v>228001</v>
          </cell>
        </row>
        <row r="12497">
          <cell r="K12497" t="str">
            <v>234001</v>
          </cell>
          <cell r="M12497">
            <v>1</v>
          </cell>
          <cell r="R12497">
            <v>45940</v>
          </cell>
          <cell r="S12497">
            <v>234001</v>
          </cell>
        </row>
        <row r="12498">
          <cell r="K12498" t="str">
            <v>222001</v>
          </cell>
          <cell r="M12498">
            <v>1</v>
          </cell>
          <cell r="R12498">
            <v>45940</v>
          </cell>
          <cell r="S12498">
            <v>222001</v>
          </cell>
        </row>
        <row r="12499">
          <cell r="K12499" t="str">
            <v>223002</v>
          </cell>
          <cell r="M12499">
            <v>2</v>
          </cell>
          <cell r="R12499">
            <v>45940</v>
          </cell>
          <cell r="S12499">
            <v>223002</v>
          </cell>
        </row>
        <row r="12500">
          <cell r="K12500" t="str">
            <v>228001</v>
          </cell>
          <cell r="M12500">
            <v>2</v>
          </cell>
          <cell r="R12500">
            <v>45940</v>
          </cell>
          <cell r="S12500">
            <v>228001</v>
          </cell>
        </row>
        <row r="12501">
          <cell r="K12501" t="str">
            <v>231012</v>
          </cell>
          <cell r="M12501">
            <v>1</v>
          </cell>
          <cell r="R12501">
            <v>45940</v>
          </cell>
          <cell r="S12501">
            <v>231012</v>
          </cell>
        </row>
        <row r="12502">
          <cell r="K12502" t="str">
            <v>207002</v>
          </cell>
          <cell r="M12502">
            <v>1</v>
          </cell>
          <cell r="R12502">
            <v>45940</v>
          </cell>
          <cell r="S12502">
            <v>207002</v>
          </cell>
        </row>
        <row r="12503">
          <cell r="K12503" t="str">
            <v>203003</v>
          </cell>
          <cell r="M12503">
            <v>1</v>
          </cell>
          <cell r="R12503">
            <v>45940</v>
          </cell>
          <cell r="S12503">
            <v>203003</v>
          </cell>
        </row>
        <row r="12504">
          <cell r="K12504" t="str">
            <v>226025</v>
          </cell>
          <cell r="M12504">
            <v>3</v>
          </cell>
          <cell r="R12504">
            <v>45940</v>
          </cell>
          <cell r="S12504">
            <v>226025</v>
          </cell>
        </row>
        <row r="12505">
          <cell r="K12505" t="str">
            <v>207017</v>
          </cell>
          <cell r="M12505">
            <v>1</v>
          </cell>
          <cell r="R12505">
            <v>45940</v>
          </cell>
          <cell r="S12505">
            <v>207017</v>
          </cell>
        </row>
        <row r="12506">
          <cell r="K12506" t="str">
            <v>226001</v>
          </cell>
          <cell r="M12506">
            <v>1</v>
          </cell>
          <cell r="R12506">
            <v>45940</v>
          </cell>
          <cell r="S12506">
            <v>226001</v>
          </cell>
        </row>
        <row r="12507">
          <cell r="K12507" t="str">
            <v>237002</v>
          </cell>
          <cell r="M12507">
            <v>1</v>
          </cell>
          <cell r="R12507">
            <v>45940</v>
          </cell>
          <cell r="S12507">
            <v>237002</v>
          </cell>
        </row>
        <row r="12508">
          <cell r="K12508" t="str">
            <v>226001</v>
          </cell>
          <cell r="M12508">
            <v>2</v>
          </cell>
          <cell r="R12508">
            <v>45940</v>
          </cell>
          <cell r="S12508">
            <v>226001</v>
          </cell>
        </row>
        <row r="12509">
          <cell r="K12509" t="str">
            <v>213005</v>
          </cell>
          <cell r="M12509">
            <v>1</v>
          </cell>
          <cell r="R12509">
            <v>45940</v>
          </cell>
          <cell r="S12509">
            <v>213005</v>
          </cell>
        </row>
        <row r="12510">
          <cell r="K12510" t="str">
            <v>213006</v>
          </cell>
          <cell r="M12510">
            <v>1</v>
          </cell>
          <cell r="R12510">
            <v>45940</v>
          </cell>
          <cell r="S12510">
            <v>213006</v>
          </cell>
        </row>
        <row r="12511">
          <cell r="K12511" t="str">
            <v>201021</v>
          </cell>
          <cell r="M12511">
            <v>1</v>
          </cell>
          <cell r="R12511">
            <v>45940</v>
          </cell>
          <cell r="S12511">
            <v>201021</v>
          </cell>
        </row>
        <row r="12512">
          <cell r="K12512" t="str">
            <v>201011</v>
          </cell>
          <cell r="M12512">
            <v>2</v>
          </cell>
          <cell r="R12512">
            <v>45940</v>
          </cell>
          <cell r="S12512">
            <v>201011</v>
          </cell>
        </row>
        <row r="12513">
          <cell r="K12513" t="str">
            <v>222001</v>
          </cell>
          <cell r="M12513">
            <v>1</v>
          </cell>
          <cell r="R12513">
            <v>45941</v>
          </cell>
          <cell r="S12513">
            <v>222001</v>
          </cell>
        </row>
        <row r="12514">
          <cell r="K12514" t="str">
            <v>220002</v>
          </cell>
          <cell r="M12514">
            <v>2</v>
          </cell>
          <cell r="R12514">
            <v>45941</v>
          </cell>
          <cell r="S12514">
            <v>220002</v>
          </cell>
        </row>
        <row r="12515">
          <cell r="K12515" t="str">
            <v>217019</v>
          </cell>
          <cell r="M12515">
            <v>1</v>
          </cell>
          <cell r="R12515">
            <v>45941</v>
          </cell>
          <cell r="S12515">
            <v>217019</v>
          </cell>
        </row>
        <row r="12516">
          <cell r="K12516" t="str">
            <v>222007</v>
          </cell>
          <cell r="M12516">
            <v>2</v>
          </cell>
          <cell r="R12516">
            <v>45940</v>
          </cell>
          <cell r="S12516">
            <v>222007</v>
          </cell>
        </row>
        <row r="12517">
          <cell r="K12517" t="str">
            <v>201011</v>
          </cell>
          <cell r="M12517">
            <v>2</v>
          </cell>
          <cell r="R12517">
            <v>45942</v>
          </cell>
          <cell r="S12517">
            <v>201011</v>
          </cell>
        </row>
        <row r="12518">
          <cell r="K12518" t="str">
            <v>201011</v>
          </cell>
          <cell r="M12518">
            <v>6</v>
          </cell>
          <cell r="R12518">
            <v>45942</v>
          </cell>
          <cell r="S12518">
            <v>201011</v>
          </cell>
        </row>
        <row r="12519">
          <cell r="K12519" t="str">
            <v>223001</v>
          </cell>
          <cell r="M12519">
            <v>2</v>
          </cell>
          <cell r="R12519">
            <v>45940</v>
          </cell>
          <cell r="S12519">
            <v>223001</v>
          </cell>
        </row>
        <row r="12520">
          <cell r="K12520" t="str">
            <v>223002</v>
          </cell>
          <cell r="M12520">
            <v>1</v>
          </cell>
          <cell r="R12520">
            <v>45940</v>
          </cell>
          <cell r="S12520">
            <v>223002</v>
          </cell>
        </row>
        <row r="12521">
          <cell r="K12521" t="str">
            <v>217006</v>
          </cell>
          <cell r="M12521">
            <v>1</v>
          </cell>
          <cell r="R12521">
            <v>45940</v>
          </cell>
          <cell r="S12521">
            <v>217006</v>
          </cell>
        </row>
        <row r="12522">
          <cell r="K12522" t="str">
            <v>220002</v>
          </cell>
          <cell r="M12522">
            <v>1</v>
          </cell>
          <cell r="R12522">
            <v>45943</v>
          </cell>
          <cell r="S12522">
            <v>220002</v>
          </cell>
        </row>
        <row r="12523">
          <cell r="K12523" t="str">
            <v>201011</v>
          </cell>
          <cell r="M12523">
            <v>4</v>
          </cell>
          <cell r="R12523">
            <v>45942</v>
          </cell>
          <cell r="S12523">
            <v>201011</v>
          </cell>
        </row>
        <row r="12524">
          <cell r="K12524" t="str">
            <v>241001</v>
          </cell>
          <cell r="M12524">
            <v>1</v>
          </cell>
          <cell r="R12524">
            <v>45942</v>
          </cell>
          <cell r="S12524">
            <v>241001</v>
          </cell>
        </row>
        <row r="12525">
          <cell r="K12525" t="str">
            <v>234011</v>
          </cell>
          <cell r="M12525">
            <v>1</v>
          </cell>
          <cell r="R12525">
            <v>45942</v>
          </cell>
          <cell r="S12525">
            <v>234011</v>
          </cell>
        </row>
        <row r="12526">
          <cell r="K12526" t="str">
            <v>203003</v>
          </cell>
          <cell r="M12526">
            <v>1</v>
          </cell>
          <cell r="R12526">
            <v>45942</v>
          </cell>
          <cell r="S12526">
            <v>203003</v>
          </cell>
        </row>
        <row r="12527">
          <cell r="K12527" t="str">
            <v>201011</v>
          </cell>
          <cell r="M12527">
            <v>4</v>
          </cell>
          <cell r="R12527">
            <v>45942</v>
          </cell>
          <cell r="S12527">
            <v>201011</v>
          </cell>
        </row>
        <row r="12528">
          <cell r="K12528" t="str">
            <v>223002</v>
          </cell>
          <cell r="M12528">
            <v>3</v>
          </cell>
          <cell r="R12528">
            <v>45940</v>
          </cell>
          <cell r="S12528">
            <v>223002</v>
          </cell>
        </row>
        <row r="12529">
          <cell r="K12529" t="str">
            <v>223001</v>
          </cell>
          <cell r="M12529">
            <v>1</v>
          </cell>
          <cell r="R12529">
            <v>45940</v>
          </cell>
          <cell r="S12529">
            <v>223001</v>
          </cell>
        </row>
        <row r="12530">
          <cell r="K12530" t="str">
            <v>227002</v>
          </cell>
          <cell r="M12530">
            <v>1</v>
          </cell>
          <cell r="R12530">
            <v>45940</v>
          </cell>
          <cell r="S12530">
            <v>227002</v>
          </cell>
        </row>
        <row r="12531">
          <cell r="K12531" t="str">
            <v>217023</v>
          </cell>
          <cell r="M12531">
            <v>4</v>
          </cell>
          <cell r="R12531">
            <v>45940</v>
          </cell>
          <cell r="S12531">
            <v>217023</v>
          </cell>
        </row>
        <row r="12532">
          <cell r="K12532" t="str">
            <v>231012</v>
          </cell>
          <cell r="M12532">
            <v>2</v>
          </cell>
          <cell r="R12532">
            <v>45940</v>
          </cell>
          <cell r="S12532">
            <v>231012</v>
          </cell>
        </row>
        <row r="12533">
          <cell r="K12533" t="str">
            <v>223018</v>
          </cell>
          <cell r="M12533">
            <v>3</v>
          </cell>
          <cell r="R12533">
            <v>45940</v>
          </cell>
          <cell r="S12533">
            <v>223018</v>
          </cell>
        </row>
        <row r="12534">
          <cell r="K12534" t="str">
            <v>223006</v>
          </cell>
          <cell r="M12534">
            <v>2</v>
          </cell>
          <cell r="R12534">
            <v>45940</v>
          </cell>
          <cell r="S12534">
            <v>223006</v>
          </cell>
        </row>
        <row r="12535">
          <cell r="K12535" t="str">
            <v>223006</v>
          </cell>
          <cell r="M12535">
            <v>3</v>
          </cell>
          <cell r="R12535">
            <v>45940</v>
          </cell>
          <cell r="S12535">
            <v>223006</v>
          </cell>
        </row>
        <row r="12536">
          <cell r="K12536" t="str">
            <v>223006</v>
          </cell>
          <cell r="M12536">
            <v>8</v>
          </cell>
          <cell r="R12536">
            <v>45940</v>
          </cell>
          <cell r="S12536">
            <v>223006</v>
          </cell>
        </row>
        <row r="12537">
          <cell r="K12537" t="str">
            <v>209001</v>
          </cell>
          <cell r="M12537">
            <v>2</v>
          </cell>
          <cell r="R12537">
            <v>45942</v>
          </cell>
          <cell r="S12537">
            <v>209001</v>
          </cell>
        </row>
        <row r="12538">
          <cell r="K12538" t="str">
            <v>234011</v>
          </cell>
          <cell r="M12538">
            <v>1</v>
          </cell>
          <cell r="R12538">
            <v>45942</v>
          </cell>
          <cell r="S12538">
            <v>234011</v>
          </cell>
        </row>
        <row r="12539">
          <cell r="K12539" t="str">
            <v>241001</v>
          </cell>
          <cell r="M12539">
            <v>10</v>
          </cell>
          <cell r="R12539">
            <v>45942</v>
          </cell>
          <cell r="S12539">
            <v>241001</v>
          </cell>
        </row>
        <row r="12540">
          <cell r="K12540" t="str">
            <v>213002</v>
          </cell>
          <cell r="M12540">
            <v>1</v>
          </cell>
          <cell r="R12540">
            <v>45942</v>
          </cell>
          <cell r="S12540">
            <v>213002</v>
          </cell>
        </row>
        <row r="12541">
          <cell r="K12541" t="str">
            <v>222001</v>
          </cell>
          <cell r="M12541">
            <v>1</v>
          </cell>
          <cell r="R12541">
            <v>45942</v>
          </cell>
          <cell r="S12541">
            <v>222001</v>
          </cell>
        </row>
        <row r="12542">
          <cell r="K12542" t="str">
            <v>210013</v>
          </cell>
          <cell r="M12542">
            <v>2</v>
          </cell>
          <cell r="R12542">
            <v>45942</v>
          </cell>
          <cell r="S12542">
            <v>210013</v>
          </cell>
        </row>
        <row r="12543">
          <cell r="K12543" t="str">
            <v>231010</v>
          </cell>
          <cell r="M12543">
            <v>4</v>
          </cell>
          <cell r="R12543">
            <v>45942</v>
          </cell>
          <cell r="S12543">
            <v>231010</v>
          </cell>
        </row>
        <row r="12544">
          <cell r="K12544" t="str">
            <v>223002</v>
          </cell>
          <cell r="M12544">
            <v>3</v>
          </cell>
          <cell r="R12544">
            <v>45942</v>
          </cell>
          <cell r="S12544">
            <v>223002</v>
          </cell>
        </row>
        <row r="12545">
          <cell r="K12545" t="str">
            <v>223001</v>
          </cell>
          <cell r="M12545">
            <v>10</v>
          </cell>
          <cell r="R12545">
            <v>45942</v>
          </cell>
          <cell r="S12545">
            <v>223001</v>
          </cell>
        </row>
        <row r="12546">
          <cell r="K12546" t="str">
            <v>227012</v>
          </cell>
          <cell r="M12546">
            <v>1</v>
          </cell>
          <cell r="R12546">
            <v>45942</v>
          </cell>
          <cell r="S12546">
            <v>227012</v>
          </cell>
        </row>
        <row r="12547">
          <cell r="K12547" t="str">
            <v>209022</v>
          </cell>
          <cell r="M12547">
            <v>3</v>
          </cell>
          <cell r="R12547">
            <v>45942</v>
          </cell>
          <cell r="S12547">
            <v>209022</v>
          </cell>
        </row>
        <row r="12548">
          <cell r="K12548" t="str">
            <v>207017</v>
          </cell>
          <cell r="M12548">
            <v>1</v>
          </cell>
          <cell r="R12548">
            <v>45940</v>
          </cell>
          <cell r="S12548">
            <v>207017</v>
          </cell>
        </row>
        <row r="12549">
          <cell r="K12549" t="str">
            <v>203003</v>
          </cell>
          <cell r="M12549">
            <v>1</v>
          </cell>
          <cell r="R12549">
            <v>45940</v>
          </cell>
          <cell r="S12549">
            <v>203003</v>
          </cell>
        </row>
        <row r="12550">
          <cell r="K12550" t="str">
            <v>228001</v>
          </cell>
          <cell r="M12550">
            <v>6</v>
          </cell>
          <cell r="R12550">
            <v>45943</v>
          </cell>
          <cell r="S12550">
            <v>228001</v>
          </cell>
        </row>
        <row r="12551">
          <cell r="K12551" t="str">
            <v>210013</v>
          </cell>
          <cell r="M12551">
            <v>1</v>
          </cell>
          <cell r="R12551">
            <v>45943</v>
          </cell>
          <cell r="S12551">
            <v>210013</v>
          </cell>
        </row>
        <row r="12552">
          <cell r="K12552" t="str">
            <v>222001</v>
          </cell>
          <cell r="M12552">
            <v>1</v>
          </cell>
          <cell r="R12552">
            <v>45943</v>
          </cell>
          <cell r="S12552">
            <v>222001</v>
          </cell>
        </row>
        <row r="12553">
          <cell r="K12553" t="str">
            <v>203003</v>
          </cell>
          <cell r="M12553">
            <v>2</v>
          </cell>
          <cell r="R12553">
            <v>45943</v>
          </cell>
          <cell r="S12553">
            <v>203003</v>
          </cell>
        </row>
        <row r="12554">
          <cell r="K12554" t="str">
            <v>217011</v>
          </cell>
          <cell r="M12554">
            <v>2</v>
          </cell>
          <cell r="R12554">
            <v>45943</v>
          </cell>
          <cell r="S12554">
            <v>217011</v>
          </cell>
        </row>
        <row r="12555">
          <cell r="K12555" t="str">
            <v>228001</v>
          </cell>
          <cell r="M12555">
            <v>1</v>
          </cell>
          <cell r="R12555">
            <v>45943</v>
          </cell>
          <cell r="S12555">
            <v>228001</v>
          </cell>
        </row>
        <row r="12556">
          <cell r="K12556" t="str">
            <v>217021</v>
          </cell>
          <cell r="M12556">
            <v>1</v>
          </cell>
          <cell r="R12556">
            <v>45943</v>
          </cell>
          <cell r="S12556">
            <v>217021</v>
          </cell>
        </row>
        <row r="12557">
          <cell r="K12557" t="str">
            <v>201011</v>
          </cell>
          <cell r="M12557">
            <v>3</v>
          </cell>
          <cell r="R12557">
            <v>45943</v>
          </cell>
          <cell r="S12557">
            <v>201011</v>
          </cell>
        </row>
        <row r="12558">
          <cell r="K12558" t="str">
            <v>213006</v>
          </cell>
          <cell r="M12558">
            <v>10</v>
          </cell>
          <cell r="R12558">
            <v>45941</v>
          </cell>
          <cell r="S12558">
            <v>213006</v>
          </cell>
        </row>
        <row r="12559">
          <cell r="K12559" t="str">
            <v>226024</v>
          </cell>
          <cell r="M12559">
            <v>2</v>
          </cell>
          <cell r="R12559">
            <v>45943</v>
          </cell>
          <cell r="S12559">
            <v>226024</v>
          </cell>
        </row>
        <row r="12560">
          <cell r="K12560" t="str">
            <v>201003</v>
          </cell>
          <cell r="M12560">
            <v>3</v>
          </cell>
          <cell r="R12560">
            <v>45940</v>
          </cell>
          <cell r="S12560">
            <v>201003</v>
          </cell>
        </row>
        <row r="12561">
          <cell r="K12561" t="str">
            <v>223002</v>
          </cell>
          <cell r="M12561">
            <v>3</v>
          </cell>
          <cell r="R12561">
            <v>45942</v>
          </cell>
          <cell r="S12561">
            <v>223002</v>
          </cell>
        </row>
        <row r="12562">
          <cell r="K12562" t="str">
            <v>223001</v>
          </cell>
          <cell r="M12562">
            <v>3</v>
          </cell>
          <cell r="R12562">
            <v>45942</v>
          </cell>
          <cell r="S12562">
            <v>223001</v>
          </cell>
        </row>
        <row r="12563">
          <cell r="K12563" t="str">
            <v>227012</v>
          </cell>
          <cell r="M12563">
            <v>1</v>
          </cell>
          <cell r="R12563">
            <v>45942</v>
          </cell>
          <cell r="S12563">
            <v>227012</v>
          </cell>
        </row>
        <row r="12564">
          <cell r="K12564" t="str">
            <v>223002</v>
          </cell>
          <cell r="M12564">
            <v>2</v>
          </cell>
          <cell r="R12564">
            <v>45942</v>
          </cell>
          <cell r="S12564">
            <v>223002</v>
          </cell>
        </row>
        <row r="12565">
          <cell r="K12565" t="str">
            <v>213002</v>
          </cell>
          <cell r="M12565">
            <v>5</v>
          </cell>
          <cell r="R12565">
            <v>45942</v>
          </cell>
          <cell r="S12565">
            <v>213002</v>
          </cell>
        </row>
        <row r="12566">
          <cell r="K12566" t="str">
            <v>201011</v>
          </cell>
          <cell r="M12566">
            <v>20</v>
          </cell>
          <cell r="R12566">
            <v>45943</v>
          </cell>
          <cell r="S12566">
            <v>201011</v>
          </cell>
        </row>
        <row r="12567">
          <cell r="K12567" t="str">
            <v>201011</v>
          </cell>
          <cell r="M12567">
            <v>6</v>
          </cell>
          <cell r="R12567">
            <v>45943</v>
          </cell>
          <cell r="S12567">
            <v>201011</v>
          </cell>
        </row>
        <row r="12568">
          <cell r="K12568" t="str">
            <v>213002</v>
          </cell>
          <cell r="M12568">
            <v>15</v>
          </cell>
          <cell r="R12568">
            <v>45943</v>
          </cell>
          <cell r="S12568">
            <v>213002</v>
          </cell>
        </row>
        <row r="12569">
          <cell r="K12569" t="str">
            <v>223002</v>
          </cell>
          <cell r="M12569">
            <v>2</v>
          </cell>
          <cell r="R12569">
            <v>45943</v>
          </cell>
          <cell r="S12569">
            <v>223002</v>
          </cell>
        </row>
        <row r="12570">
          <cell r="K12570" t="str">
            <v>201011</v>
          </cell>
          <cell r="M12570">
            <v>36</v>
          </cell>
          <cell r="R12570">
            <v>45943</v>
          </cell>
          <cell r="S12570">
            <v>201011</v>
          </cell>
        </row>
        <row r="12571">
          <cell r="K12571" t="str">
            <v>212035</v>
          </cell>
          <cell r="M12571">
            <v>2</v>
          </cell>
          <cell r="R12571">
            <v>45943</v>
          </cell>
          <cell r="S12571">
            <v>212035</v>
          </cell>
        </row>
        <row r="12572">
          <cell r="K12572" t="str">
            <v>228001</v>
          </cell>
          <cell r="M12572">
            <v>1</v>
          </cell>
          <cell r="R12572">
            <v>45943</v>
          </cell>
          <cell r="S12572">
            <v>228001</v>
          </cell>
        </row>
        <row r="12573">
          <cell r="K12573" t="str">
            <v>203003</v>
          </cell>
          <cell r="M12573">
            <v>2</v>
          </cell>
          <cell r="R12573">
            <v>45943</v>
          </cell>
          <cell r="S12573">
            <v>203003</v>
          </cell>
        </row>
        <row r="12574">
          <cell r="K12574" t="str">
            <v>217019</v>
          </cell>
          <cell r="M12574">
            <v>1</v>
          </cell>
          <cell r="R12574">
            <v>45943</v>
          </cell>
          <cell r="S12574">
            <v>217019</v>
          </cell>
        </row>
        <row r="12575">
          <cell r="K12575" t="str">
            <v>217022</v>
          </cell>
          <cell r="M12575">
            <v>10</v>
          </cell>
          <cell r="R12575">
            <v>45943</v>
          </cell>
          <cell r="S12575">
            <v>217022</v>
          </cell>
        </row>
        <row r="12576">
          <cell r="K12576" t="str">
            <v>226029</v>
          </cell>
          <cell r="M12576">
            <v>5</v>
          </cell>
          <cell r="R12576">
            <v>45943</v>
          </cell>
          <cell r="S12576">
            <v>226029</v>
          </cell>
        </row>
        <row r="12577">
          <cell r="K12577" t="str">
            <v>201011</v>
          </cell>
          <cell r="M12577">
            <v>2</v>
          </cell>
          <cell r="R12577">
            <v>45943</v>
          </cell>
          <cell r="S12577">
            <v>201011</v>
          </cell>
        </row>
        <row r="12578">
          <cell r="K12578" t="str">
            <v>203003</v>
          </cell>
          <cell r="M12578">
            <v>4</v>
          </cell>
          <cell r="R12578">
            <v>45943</v>
          </cell>
          <cell r="S12578">
            <v>203003</v>
          </cell>
        </row>
        <row r="12579">
          <cell r="K12579" t="str">
            <v>210013</v>
          </cell>
          <cell r="M12579">
            <v>1</v>
          </cell>
          <cell r="R12579">
            <v>45943</v>
          </cell>
          <cell r="S12579">
            <v>210013</v>
          </cell>
        </row>
        <row r="12580">
          <cell r="K12580" t="str">
            <v>201011</v>
          </cell>
          <cell r="M12580">
            <v>2</v>
          </cell>
          <cell r="R12580">
            <v>45943</v>
          </cell>
          <cell r="S12580">
            <v>201011</v>
          </cell>
        </row>
        <row r="12581">
          <cell r="K12581" t="str">
            <v>217018</v>
          </cell>
          <cell r="M12581">
            <v>3</v>
          </cell>
          <cell r="R12581">
            <v>45943</v>
          </cell>
          <cell r="S12581">
            <v>217018</v>
          </cell>
        </row>
        <row r="12582">
          <cell r="K12582" t="str">
            <v>223002</v>
          </cell>
          <cell r="M12582">
            <v>10</v>
          </cell>
          <cell r="R12582">
            <v>45943</v>
          </cell>
          <cell r="S12582">
            <v>223002</v>
          </cell>
        </row>
        <row r="12583">
          <cell r="K12583" t="str">
            <v>220002</v>
          </cell>
          <cell r="M12583">
            <v>3</v>
          </cell>
          <cell r="R12583">
            <v>45943</v>
          </cell>
          <cell r="S12583">
            <v>220002</v>
          </cell>
        </row>
        <row r="12584">
          <cell r="K12584" t="str">
            <v>223001</v>
          </cell>
          <cell r="M12584">
            <v>3</v>
          </cell>
          <cell r="R12584">
            <v>45943</v>
          </cell>
          <cell r="S12584">
            <v>223001</v>
          </cell>
        </row>
        <row r="12585">
          <cell r="K12585" t="str">
            <v>228001</v>
          </cell>
          <cell r="M12585">
            <v>1</v>
          </cell>
          <cell r="R12585">
            <v>45943</v>
          </cell>
          <cell r="S12585">
            <v>228001</v>
          </cell>
        </row>
        <row r="12586">
          <cell r="K12586" t="str">
            <v>213002</v>
          </cell>
          <cell r="M12586">
            <v>4</v>
          </cell>
          <cell r="R12586">
            <v>45943</v>
          </cell>
          <cell r="S12586">
            <v>213002</v>
          </cell>
        </row>
        <row r="12587">
          <cell r="K12587" t="str">
            <v>241001</v>
          </cell>
          <cell r="M12587">
            <v>10</v>
          </cell>
          <cell r="R12587">
            <v>45943</v>
          </cell>
          <cell r="S12587">
            <v>241001</v>
          </cell>
        </row>
        <row r="12588">
          <cell r="K12588" t="str">
            <v>201011</v>
          </cell>
          <cell r="M12588">
            <v>45</v>
          </cell>
          <cell r="R12588">
            <v>45943</v>
          </cell>
          <cell r="S12588">
            <v>201011</v>
          </cell>
        </row>
        <row r="12589">
          <cell r="K12589" t="str">
            <v>223006</v>
          </cell>
          <cell r="M12589">
            <v>12</v>
          </cell>
          <cell r="R12589">
            <v>45943</v>
          </cell>
          <cell r="S12589">
            <v>223006</v>
          </cell>
        </row>
        <row r="12590">
          <cell r="K12590" t="str">
            <v>213002</v>
          </cell>
          <cell r="M12590">
            <v>5</v>
          </cell>
          <cell r="R12590">
            <v>45943</v>
          </cell>
          <cell r="S12590">
            <v>213002</v>
          </cell>
        </row>
        <row r="12591">
          <cell r="K12591" t="str">
            <v>228001</v>
          </cell>
          <cell r="M12591">
            <v>8</v>
          </cell>
          <cell r="R12591">
            <v>45943</v>
          </cell>
          <cell r="S12591">
            <v>228001</v>
          </cell>
        </row>
        <row r="12592">
          <cell r="K12592" t="str">
            <v>229001</v>
          </cell>
          <cell r="M12592">
            <v>9</v>
          </cell>
          <cell r="R12592">
            <v>45943</v>
          </cell>
          <cell r="S12592">
            <v>229001</v>
          </cell>
        </row>
        <row r="12593">
          <cell r="K12593" t="str">
            <v>229001</v>
          </cell>
          <cell r="M12593">
            <v>1</v>
          </cell>
          <cell r="R12593">
            <v>45943</v>
          </cell>
          <cell r="S12593">
            <v>229001</v>
          </cell>
        </row>
        <row r="12594">
          <cell r="K12594" t="str">
            <v>201011</v>
          </cell>
          <cell r="M12594">
            <v>2</v>
          </cell>
          <cell r="R12594">
            <v>45943</v>
          </cell>
          <cell r="S12594">
            <v>201011</v>
          </cell>
        </row>
        <row r="12595">
          <cell r="K12595" t="str">
            <v>212002</v>
          </cell>
          <cell r="M12595">
            <v>1</v>
          </cell>
          <cell r="R12595">
            <v>45943</v>
          </cell>
          <cell r="S12595">
            <v>212002</v>
          </cell>
        </row>
        <row r="12596">
          <cell r="K12596" t="str">
            <v>209004</v>
          </cell>
          <cell r="M12596">
            <v>1</v>
          </cell>
          <cell r="R12596">
            <v>45943</v>
          </cell>
          <cell r="S12596">
            <v>209004</v>
          </cell>
        </row>
        <row r="12597">
          <cell r="K12597" t="str">
            <v>213006</v>
          </cell>
          <cell r="M12597">
            <v>1</v>
          </cell>
          <cell r="R12597">
            <v>45943</v>
          </cell>
          <cell r="S12597">
            <v>213006</v>
          </cell>
        </row>
        <row r="12598">
          <cell r="K12598" t="str">
            <v>201011</v>
          </cell>
          <cell r="M12598">
            <v>1</v>
          </cell>
          <cell r="R12598">
            <v>45943</v>
          </cell>
          <cell r="S12598">
            <v>201011</v>
          </cell>
        </row>
        <row r="12599">
          <cell r="K12599" t="str">
            <v>228001</v>
          </cell>
          <cell r="M12599">
            <v>3</v>
          </cell>
          <cell r="R12599">
            <v>45943</v>
          </cell>
          <cell r="S12599">
            <v>228001</v>
          </cell>
        </row>
        <row r="12600">
          <cell r="K12600" t="str">
            <v>228001</v>
          </cell>
          <cell r="M12600">
            <v>1</v>
          </cell>
          <cell r="R12600">
            <v>45943</v>
          </cell>
          <cell r="S12600">
            <v>228001</v>
          </cell>
        </row>
        <row r="12601">
          <cell r="K12601" t="str">
            <v>226001</v>
          </cell>
          <cell r="M12601">
            <v>3</v>
          </cell>
          <cell r="R12601">
            <v>45943</v>
          </cell>
          <cell r="S12601">
            <v>226001</v>
          </cell>
        </row>
        <row r="12602">
          <cell r="K12602" t="str">
            <v>226001</v>
          </cell>
          <cell r="M12602">
            <v>1</v>
          </cell>
          <cell r="R12602">
            <v>45943</v>
          </cell>
          <cell r="S12602">
            <v>226001</v>
          </cell>
        </row>
        <row r="12603">
          <cell r="K12603" t="str">
            <v>226001</v>
          </cell>
          <cell r="M12603">
            <v>1</v>
          </cell>
          <cell r="R12603">
            <v>45943</v>
          </cell>
          <cell r="S12603">
            <v>226001</v>
          </cell>
        </row>
        <row r="12604">
          <cell r="K12604" t="str">
            <v>228001</v>
          </cell>
          <cell r="M12604">
            <v>6</v>
          </cell>
          <cell r="R12604">
            <v>45943</v>
          </cell>
          <cell r="S12604">
            <v>228001</v>
          </cell>
        </row>
        <row r="12605">
          <cell r="K12605" t="str">
            <v>201011</v>
          </cell>
          <cell r="M12605">
            <v>36</v>
          </cell>
          <cell r="R12605">
            <v>45943</v>
          </cell>
          <cell r="S12605">
            <v>201011</v>
          </cell>
        </row>
        <row r="12606">
          <cell r="K12606" t="str">
            <v>226001</v>
          </cell>
          <cell r="M12606">
            <v>1</v>
          </cell>
          <cell r="R12606">
            <v>45943</v>
          </cell>
          <cell r="S12606">
            <v>226001</v>
          </cell>
        </row>
        <row r="12607">
          <cell r="K12607" t="str">
            <v>226001</v>
          </cell>
          <cell r="M12607">
            <v>1</v>
          </cell>
          <cell r="R12607">
            <v>45943</v>
          </cell>
          <cell r="S12607">
            <v>226001</v>
          </cell>
        </row>
        <row r="12608">
          <cell r="K12608" t="str">
            <v>223001</v>
          </cell>
          <cell r="M12608">
            <v>4</v>
          </cell>
          <cell r="R12608">
            <v>45942</v>
          </cell>
          <cell r="S12608">
            <v>223001</v>
          </cell>
        </row>
        <row r="12609">
          <cell r="K12609" t="str">
            <v>223002</v>
          </cell>
          <cell r="M12609">
            <v>1</v>
          </cell>
          <cell r="R12609">
            <v>45942</v>
          </cell>
          <cell r="S12609">
            <v>223002</v>
          </cell>
        </row>
        <row r="12610">
          <cell r="K12610" t="str">
            <v>271002</v>
          </cell>
          <cell r="M12610">
            <v>1</v>
          </cell>
          <cell r="R12610">
            <v>45942</v>
          </cell>
          <cell r="S12610">
            <v>271002</v>
          </cell>
        </row>
        <row r="12611">
          <cell r="K12611" t="str">
            <v>201011</v>
          </cell>
          <cell r="M12611">
            <v>3</v>
          </cell>
          <cell r="R12611">
            <v>45942</v>
          </cell>
          <cell r="S12611">
            <v>201011</v>
          </cell>
        </row>
        <row r="12612">
          <cell r="K12612" t="str">
            <v>207017</v>
          </cell>
          <cell r="M12612">
            <v>1</v>
          </cell>
          <cell r="R12612">
            <v>45943</v>
          </cell>
          <cell r="S12612">
            <v>207017</v>
          </cell>
        </row>
        <row r="12613">
          <cell r="K12613" t="str">
            <v>201003</v>
          </cell>
          <cell r="M12613">
            <v>1</v>
          </cell>
          <cell r="R12613">
            <v>45943</v>
          </cell>
          <cell r="S12613">
            <v>201003</v>
          </cell>
        </row>
        <row r="12614">
          <cell r="K12614" t="str">
            <v>213002</v>
          </cell>
          <cell r="M12614">
            <v>10</v>
          </cell>
          <cell r="R12614">
            <v>45943</v>
          </cell>
          <cell r="S12614">
            <v>213002</v>
          </cell>
        </row>
        <row r="12615">
          <cell r="K12615" t="str">
            <v>217018</v>
          </cell>
          <cell r="M12615">
            <v>20</v>
          </cell>
          <cell r="R12615">
            <v>45943</v>
          </cell>
          <cell r="S12615">
            <v>217018</v>
          </cell>
        </row>
        <row r="12616">
          <cell r="K12616" t="str">
            <v>213002</v>
          </cell>
          <cell r="M12616">
            <v>22</v>
          </cell>
          <cell r="R12616">
            <v>45943</v>
          </cell>
          <cell r="S12616">
            <v>213002</v>
          </cell>
        </row>
        <row r="12617">
          <cell r="K12617" t="str">
            <v>213002</v>
          </cell>
          <cell r="M12617">
            <v>8</v>
          </cell>
          <cell r="R12617">
            <v>45943</v>
          </cell>
          <cell r="S12617">
            <v>213002</v>
          </cell>
        </row>
        <row r="12618">
          <cell r="K12618" t="str">
            <v>222001</v>
          </cell>
          <cell r="M12618">
            <v>1</v>
          </cell>
          <cell r="R12618">
            <v>45943</v>
          </cell>
          <cell r="S12618">
            <v>222001</v>
          </cell>
        </row>
        <row r="12619">
          <cell r="K12619" t="str">
            <v>213002</v>
          </cell>
          <cell r="M12619">
            <v>6</v>
          </cell>
          <cell r="R12619">
            <v>45943</v>
          </cell>
          <cell r="S12619">
            <v>213002</v>
          </cell>
        </row>
        <row r="12620">
          <cell r="K12620" t="str">
            <v>203003</v>
          </cell>
          <cell r="M12620">
            <v>1</v>
          </cell>
          <cell r="R12620">
            <v>45943</v>
          </cell>
          <cell r="S12620">
            <v>203003</v>
          </cell>
        </row>
        <row r="12621">
          <cell r="K12621" t="str">
            <v>201003</v>
          </cell>
          <cell r="M12621">
            <v>1</v>
          </cell>
          <cell r="R12621">
            <v>45943</v>
          </cell>
          <cell r="S12621">
            <v>201003</v>
          </cell>
        </row>
        <row r="12622">
          <cell r="K12622" t="str">
            <v>207017</v>
          </cell>
          <cell r="M12622">
            <v>1</v>
          </cell>
          <cell r="R12622">
            <v>45943</v>
          </cell>
          <cell r="S12622">
            <v>207017</v>
          </cell>
        </row>
        <row r="12623">
          <cell r="K12623" t="str">
            <v>212002</v>
          </cell>
          <cell r="M12623">
            <v>1</v>
          </cell>
          <cell r="R12623">
            <v>45943</v>
          </cell>
          <cell r="S12623">
            <v>212002</v>
          </cell>
        </row>
        <row r="12624">
          <cell r="K12624" t="str">
            <v>228001</v>
          </cell>
          <cell r="M12624">
            <v>3</v>
          </cell>
          <cell r="R12624">
            <v>45943</v>
          </cell>
          <cell r="S12624">
            <v>228001</v>
          </cell>
        </row>
        <row r="12625">
          <cell r="K12625" t="str">
            <v>231012</v>
          </cell>
          <cell r="M12625">
            <v>1</v>
          </cell>
          <cell r="R12625">
            <v>45943</v>
          </cell>
          <cell r="S12625">
            <v>231012</v>
          </cell>
        </row>
        <row r="12626">
          <cell r="K12626" t="str">
            <v>228001</v>
          </cell>
          <cell r="M12626">
            <v>2</v>
          </cell>
          <cell r="R12626">
            <v>45943</v>
          </cell>
          <cell r="S12626">
            <v>228001</v>
          </cell>
        </row>
        <row r="12627">
          <cell r="K12627" t="str">
            <v>201011</v>
          </cell>
          <cell r="M12627">
            <v>6</v>
          </cell>
          <cell r="R12627">
            <v>45943</v>
          </cell>
          <cell r="S12627">
            <v>201011</v>
          </cell>
        </row>
        <row r="12628">
          <cell r="K12628" t="str">
            <v>231004</v>
          </cell>
          <cell r="M12628">
            <v>1</v>
          </cell>
          <cell r="R12628">
            <v>45943</v>
          </cell>
          <cell r="S12628">
            <v>231004</v>
          </cell>
        </row>
        <row r="12629">
          <cell r="K12629" t="str">
            <v>217022</v>
          </cell>
          <cell r="M12629">
            <v>2</v>
          </cell>
          <cell r="R12629">
            <v>45943</v>
          </cell>
          <cell r="S12629">
            <v>217022</v>
          </cell>
        </row>
        <row r="12630">
          <cell r="K12630" t="str">
            <v>207017</v>
          </cell>
          <cell r="M12630">
            <v>1</v>
          </cell>
          <cell r="R12630">
            <v>45943</v>
          </cell>
          <cell r="S12630">
            <v>207017</v>
          </cell>
        </row>
        <row r="12631">
          <cell r="K12631" t="str">
            <v>228001</v>
          </cell>
          <cell r="M12631">
            <v>1</v>
          </cell>
          <cell r="R12631">
            <v>45943</v>
          </cell>
          <cell r="S12631">
            <v>228001</v>
          </cell>
        </row>
        <row r="12632">
          <cell r="K12632" t="str">
            <v>228001</v>
          </cell>
          <cell r="M12632">
            <v>3</v>
          </cell>
          <cell r="R12632">
            <v>45943</v>
          </cell>
          <cell r="S12632">
            <v>228001</v>
          </cell>
        </row>
        <row r="12633">
          <cell r="K12633" t="str">
            <v>210014</v>
          </cell>
          <cell r="M12633">
            <v>5</v>
          </cell>
          <cell r="R12633">
            <v>45943</v>
          </cell>
          <cell r="S12633">
            <v>210014</v>
          </cell>
        </row>
        <row r="12634">
          <cell r="K12634" t="str">
            <v>223001</v>
          </cell>
          <cell r="M12634">
            <v>10</v>
          </cell>
          <cell r="R12634">
            <v>45943</v>
          </cell>
          <cell r="S12634">
            <v>223001</v>
          </cell>
        </row>
        <row r="12635">
          <cell r="K12635" t="str">
            <v>201021</v>
          </cell>
          <cell r="M12635">
            <v>1</v>
          </cell>
          <cell r="R12635">
            <v>45943</v>
          </cell>
          <cell r="S12635">
            <v>201021</v>
          </cell>
        </row>
        <row r="12636">
          <cell r="K12636" t="str">
            <v>226027</v>
          </cell>
          <cell r="M12636">
            <v>2</v>
          </cell>
          <cell r="R12636">
            <v>45943</v>
          </cell>
          <cell r="S12636">
            <v>226027</v>
          </cell>
        </row>
        <row r="12637">
          <cell r="K12637" t="str">
            <v>227012</v>
          </cell>
          <cell r="M12637">
            <v>1</v>
          </cell>
          <cell r="R12637">
            <v>45943</v>
          </cell>
          <cell r="S12637">
            <v>227012</v>
          </cell>
        </row>
        <row r="12638">
          <cell r="K12638" t="str">
            <v>201021</v>
          </cell>
          <cell r="M12638">
            <v>2</v>
          </cell>
          <cell r="R12638">
            <v>45943</v>
          </cell>
          <cell r="S12638">
            <v>201021</v>
          </cell>
        </row>
        <row r="12639">
          <cell r="K12639" t="str">
            <v>213006</v>
          </cell>
          <cell r="M12639">
            <v>1</v>
          </cell>
          <cell r="R12639">
            <v>45943</v>
          </cell>
          <cell r="S12639">
            <v>213006</v>
          </cell>
        </row>
        <row r="12640">
          <cell r="K12640" t="str">
            <v>201011</v>
          </cell>
          <cell r="M12640">
            <v>10</v>
          </cell>
          <cell r="R12640">
            <v>45943</v>
          </cell>
          <cell r="S12640">
            <v>201011</v>
          </cell>
        </row>
        <row r="12641">
          <cell r="K12641" t="str">
            <v>228001</v>
          </cell>
          <cell r="M12641">
            <v>1</v>
          </cell>
          <cell r="R12641">
            <v>45943</v>
          </cell>
          <cell r="S12641">
            <v>228001</v>
          </cell>
        </row>
        <row r="12642">
          <cell r="K12642" t="str">
            <v>223002</v>
          </cell>
          <cell r="M12642">
            <v>1</v>
          </cell>
          <cell r="R12642">
            <v>45943</v>
          </cell>
          <cell r="S12642">
            <v>223002</v>
          </cell>
        </row>
        <row r="12643">
          <cell r="K12643" t="str">
            <v>213005</v>
          </cell>
          <cell r="M12643">
            <v>1</v>
          </cell>
          <cell r="R12643">
            <v>45943</v>
          </cell>
          <cell r="S12643">
            <v>213005</v>
          </cell>
        </row>
        <row r="12644">
          <cell r="K12644" t="str">
            <v>226001</v>
          </cell>
          <cell r="M12644">
            <v>1</v>
          </cell>
          <cell r="R12644">
            <v>45943</v>
          </cell>
          <cell r="S12644">
            <v>226001</v>
          </cell>
        </row>
        <row r="12645">
          <cell r="K12645" t="str">
            <v>203004</v>
          </cell>
          <cell r="M12645">
            <v>1</v>
          </cell>
          <cell r="R12645">
            <v>45943</v>
          </cell>
          <cell r="S12645">
            <v>203004</v>
          </cell>
        </row>
        <row r="12646">
          <cell r="K12646" t="str">
            <v>217018</v>
          </cell>
          <cell r="M12646">
            <v>1</v>
          </cell>
          <cell r="R12646">
            <v>45943</v>
          </cell>
          <cell r="S12646">
            <v>217018</v>
          </cell>
        </row>
        <row r="12647">
          <cell r="K12647" t="str">
            <v>213002</v>
          </cell>
          <cell r="M12647">
            <v>3</v>
          </cell>
          <cell r="R12647">
            <v>45943</v>
          </cell>
          <cell r="S12647">
            <v>213002</v>
          </cell>
        </row>
        <row r="12648">
          <cell r="K12648" t="str">
            <v>226001</v>
          </cell>
          <cell r="M12648">
            <v>2</v>
          </cell>
          <cell r="R12648">
            <v>45943</v>
          </cell>
          <cell r="S12648">
            <v>226001</v>
          </cell>
        </row>
        <row r="12649">
          <cell r="K12649" t="str">
            <v>241001</v>
          </cell>
          <cell r="M12649">
            <v>4</v>
          </cell>
          <cell r="R12649">
            <v>45943</v>
          </cell>
          <cell r="S12649">
            <v>241001</v>
          </cell>
        </row>
        <row r="12650">
          <cell r="K12650" t="str">
            <v>222001</v>
          </cell>
          <cell r="M12650">
            <v>2</v>
          </cell>
          <cell r="R12650">
            <v>45943</v>
          </cell>
          <cell r="S12650">
            <v>222001</v>
          </cell>
        </row>
        <row r="12651">
          <cell r="K12651" t="str">
            <v>222007</v>
          </cell>
          <cell r="M12651">
            <v>2</v>
          </cell>
          <cell r="R12651">
            <v>45943</v>
          </cell>
          <cell r="S12651">
            <v>222007</v>
          </cell>
        </row>
        <row r="12652">
          <cell r="K12652" t="str">
            <v>261004</v>
          </cell>
          <cell r="M12652">
            <v>1</v>
          </cell>
          <cell r="R12652">
            <v>45943</v>
          </cell>
          <cell r="S12652">
            <v>261004</v>
          </cell>
        </row>
        <row r="12653">
          <cell r="K12653" t="str">
            <v>213005</v>
          </cell>
          <cell r="M12653">
            <v>2</v>
          </cell>
          <cell r="R12653">
            <v>45943</v>
          </cell>
          <cell r="S12653">
            <v>213005</v>
          </cell>
        </row>
        <row r="12654">
          <cell r="K12654" t="str">
            <v>217011</v>
          </cell>
          <cell r="M12654">
            <v>1</v>
          </cell>
          <cell r="R12654">
            <v>45943</v>
          </cell>
          <cell r="S12654">
            <v>217011</v>
          </cell>
        </row>
        <row r="12655">
          <cell r="K12655" t="str">
            <v>201011</v>
          </cell>
          <cell r="M12655">
            <v>1</v>
          </cell>
          <cell r="R12655">
            <v>45943</v>
          </cell>
          <cell r="S12655">
            <v>201011</v>
          </cell>
        </row>
        <row r="12656">
          <cell r="K12656" t="str">
            <v>223001</v>
          </cell>
          <cell r="M12656">
            <v>3</v>
          </cell>
          <cell r="R12656">
            <v>45943</v>
          </cell>
          <cell r="S12656">
            <v>223001</v>
          </cell>
        </row>
        <row r="12657">
          <cell r="K12657" t="str">
            <v>201022</v>
          </cell>
          <cell r="M12657">
            <v>1</v>
          </cell>
          <cell r="R12657">
            <v>45943</v>
          </cell>
          <cell r="S12657">
            <v>201022</v>
          </cell>
        </row>
        <row r="12658">
          <cell r="K12658" t="str">
            <v>241001</v>
          </cell>
          <cell r="M12658">
            <v>7</v>
          </cell>
          <cell r="R12658">
            <v>45943</v>
          </cell>
          <cell r="S12658">
            <v>241001</v>
          </cell>
        </row>
        <row r="12659">
          <cell r="K12659" t="str">
            <v>217011</v>
          </cell>
          <cell r="M12659">
            <v>1</v>
          </cell>
          <cell r="R12659">
            <v>45943</v>
          </cell>
          <cell r="S12659">
            <v>217011</v>
          </cell>
        </row>
        <row r="12660">
          <cell r="K12660" t="str">
            <v>227002</v>
          </cell>
          <cell r="M12660">
            <v>10</v>
          </cell>
          <cell r="R12660">
            <v>45943</v>
          </cell>
          <cell r="S12660">
            <v>227002</v>
          </cell>
        </row>
        <row r="12661">
          <cell r="K12661" t="str">
            <v>223002</v>
          </cell>
          <cell r="M12661">
            <v>2</v>
          </cell>
          <cell r="R12661">
            <v>45943</v>
          </cell>
          <cell r="S12661">
            <v>223002</v>
          </cell>
        </row>
        <row r="12662">
          <cell r="K12662" t="str">
            <v>217022</v>
          </cell>
          <cell r="M12662">
            <v>3</v>
          </cell>
          <cell r="R12662">
            <v>45943</v>
          </cell>
          <cell r="S12662">
            <v>217022</v>
          </cell>
        </row>
        <row r="12663">
          <cell r="K12663" t="str">
            <v>223003</v>
          </cell>
          <cell r="M12663">
            <v>6</v>
          </cell>
          <cell r="R12663">
            <v>45943</v>
          </cell>
          <cell r="S12663">
            <v>223003</v>
          </cell>
        </row>
        <row r="12664">
          <cell r="K12664" t="str">
            <v>223001</v>
          </cell>
          <cell r="M12664">
            <v>6</v>
          </cell>
          <cell r="R12664">
            <v>45943</v>
          </cell>
          <cell r="S12664">
            <v>223001</v>
          </cell>
        </row>
        <row r="12665">
          <cell r="K12665" t="str">
            <v>217018</v>
          </cell>
          <cell r="M12665">
            <v>3</v>
          </cell>
          <cell r="R12665">
            <v>45943</v>
          </cell>
          <cell r="S12665">
            <v>217018</v>
          </cell>
        </row>
        <row r="12666">
          <cell r="K12666" t="str">
            <v>223002</v>
          </cell>
          <cell r="M12666">
            <v>5</v>
          </cell>
          <cell r="R12666">
            <v>45943</v>
          </cell>
          <cell r="S12666">
            <v>223002</v>
          </cell>
        </row>
        <row r="12667">
          <cell r="K12667" t="str">
            <v>223006</v>
          </cell>
          <cell r="M12667">
            <v>10</v>
          </cell>
          <cell r="R12667">
            <v>45943</v>
          </cell>
          <cell r="S12667">
            <v>223006</v>
          </cell>
        </row>
        <row r="12668">
          <cell r="K12668" t="str">
            <v>217022</v>
          </cell>
          <cell r="M12668">
            <v>8</v>
          </cell>
          <cell r="R12668">
            <v>45943</v>
          </cell>
          <cell r="S12668">
            <v>217022</v>
          </cell>
        </row>
        <row r="12669">
          <cell r="K12669" t="str">
            <v>217018</v>
          </cell>
          <cell r="M12669">
            <v>3</v>
          </cell>
          <cell r="R12669">
            <v>45943</v>
          </cell>
          <cell r="S12669">
            <v>217018</v>
          </cell>
        </row>
        <row r="12670">
          <cell r="K12670" t="str">
            <v>226032</v>
          </cell>
          <cell r="M12670">
            <v>4</v>
          </cell>
          <cell r="R12670">
            <v>45943</v>
          </cell>
          <cell r="S12670">
            <v>226032</v>
          </cell>
        </row>
        <row r="12671">
          <cell r="K12671" t="str">
            <v>228001</v>
          </cell>
          <cell r="M12671">
            <v>50</v>
          </cell>
          <cell r="R12671">
            <v>45943</v>
          </cell>
          <cell r="S12671">
            <v>228001</v>
          </cell>
        </row>
        <row r="12672">
          <cell r="K12672" t="str">
            <v>241001</v>
          </cell>
          <cell r="M12672">
            <v>100</v>
          </cell>
          <cell r="R12672">
            <v>45943</v>
          </cell>
          <cell r="S12672">
            <v>241001</v>
          </cell>
        </row>
        <row r="12673">
          <cell r="K12673" t="str">
            <v>228001</v>
          </cell>
          <cell r="M12673">
            <v>2</v>
          </cell>
          <cell r="R12673">
            <v>45943</v>
          </cell>
          <cell r="S12673">
            <v>228001</v>
          </cell>
        </row>
        <row r="12674">
          <cell r="K12674" t="str">
            <v>201003</v>
          </cell>
          <cell r="M12674">
            <v>1</v>
          </cell>
          <cell r="R12674">
            <v>45943</v>
          </cell>
          <cell r="S12674">
            <v>201003</v>
          </cell>
        </row>
        <row r="12675">
          <cell r="K12675" t="str">
            <v>207017</v>
          </cell>
          <cell r="M12675">
            <v>1</v>
          </cell>
          <cell r="R12675">
            <v>45943</v>
          </cell>
          <cell r="S12675">
            <v>207017</v>
          </cell>
        </row>
        <row r="12676">
          <cell r="K12676" t="str">
            <v>223001</v>
          </cell>
          <cell r="M12676">
            <v>1</v>
          </cell>
          <cell r="R12676">
            <v>45943</v>
          </cell>
          <cell r="S12676">
            <v>223001</v>
          </cell>
        </row>
        <row r="12677">
          <cell r="K12677" t="str">
            <v>223002</v>
          </cell>
          <cell r="M12677">
            <v>2</v>
          </cell>
          <cell r="R12677">
            <v>45943</v>
          </cell>
          <cell r="S12677">
            <v>223002</v>
          </cell>
        </row>
        <row r="12678">
          <cell r="K12678" t="str">
            <v>201003</v>
          </cell>
          <cell r="M12678">
            <v>2</v>
          </cell>
          <cell r="R12678">
            <v>45943</v>
          </cell>
          <cell r="S12678">
            <v>201003</v>
          </cell>
        </row>
        <row r="12679">
          <cell r="K12679" t="str">
            <v>227012</v>
          </cell>
          <cell r="M12679">
            <v>1</v>
          </cell>
          <cell r="R12679">
            <v>45943</v>
          </cell>
          <cell r="S12679">
            <v>227012</v>
          </cell>
        </row>
        <row r="12680">
          <cell r="K12680" t="str">
            <v>228001</v>
          </cell>
          <cell r="M12680">
            <v>5</v>
          </cell>
          <cell r="R12680">
            <v>45943</v>
          </cell>
          <cell r="S12680">
            <v>228001</v>
          </cell>
        </row>
        <row r="12681">
          <cell r="K12681" t="str">
            <v>223002</v>
          </cell>
          <cell r="M12681">
            <v>1</v>
          </cell>
          <cell r="R12681">
            <v>45943</v>
          </cell>
          <cell r="S12681">
            <v>223002</v>
          </cell>
        </row>
        <row r="12682">
          <cell r="K12682" t="str">
            <v>207017</v>
          </cell>
          <cell r="M12682">
            <v>2</v>
          </cell>
          <cell r="R12682">
            <v>45943</v>
          </cell>
          <cell r="S12682">
            <v>207017</v>
          </cell>
        </row>
        <row r="12683">
          <cell r="K12683" t="str">
            <v>213006</v>
          </cell>
          <cell r="M12683">
            <v>1</v>
          </cell>
          <cell r="R12683">
            <v>45943</v>
          </cell>
          <cell r="S12683">
            <v>213006</v>
          </cell>
        </row>
        <row r="12684">
          <cell r="K12684" t="str">
            <v>226024</v>
          </cell>
          <cell r="M12684">
            <v>1</v>
          </cell>
          <cell r="R12684">
            <v>45943</v>
          </cell>
          <cell r="S12684">
            <v>226024</v>
          </cell>
        </row>
        <row r="12685">
          <cell r="K12685" t="str">
            <v>228001</v>
          </cell>
          <cell r="M12685">
            <v>5</v>
          </cell>
          <cell r="R12685">
            <v>45944</v>
          </cell>
          <cell r="S12685">
            <v>228001</v>
          </cell>
        </row>
        <row r="12686">
          <cell r="K12686" t="str">
            <v>201011</v>
          </cell>
          <cell r="M12686">
            <v>3</v>
          </cell>
          <cell r="R12686">
            <v>45944</v>
          </cell>
          <cell r="S12686">
            <v>201011</v>
          </cell>
        </row>
        <row r="12687">
          <cell r="K12687" t="str">
            <v>217018</v>
          </cell>
          <cell r="M12687">
            <v>1</v>
          </cell>
          <cell r="R12687">
            <v>45944</v>
          </cell>
          <cell r="S12687">
            <v>217018</v>
          </cell>
        </row>
        <row r="12688">
          <cell r="K12688" t="str">
            <v>228001</v>
          </cell>
          <cell r="M12688">
            <v>5</v>
          </cell>
          <cell r="R12688">
            <v>45944</v>
          </cell>
          <cell r="S12688">
            <v>228001</v>
          </cell>
        </row>
        <row r="12689">
          <cell r="K12689" t="str">
            <v>217018</v>
          </cell>
          <cell r="M12689">
            <v>5</v>
          </cell>
          <cell r="R12689">
            <v>45944</v>
          </cell>
          <cell r="S12689">
            <v>217018</v>
          </cell>
        </row>
        <row r="12690">
          <cell r="K12690" t="str">
            <v>213002</v>
          </cell>
          <cell r="M12690">
            <v>2</v>
          </cell>
          <cell r="R12690">
            <v>45944</v>
          </cell>
          <cell r="S12690">
            <v>213002</v>
          </cell>
        </row>
        <row r="12691">
          <cell r="K12691" t="str">
            <v>213002</v>
          </cell>
          <cell r="M12691">
            <v>16</v>
          </cell>
          <cell r="R12691">
            <v>45944</v>
          </cell>
          <cell r="S12691">
            <v>213002</v>
          </cell>
        </row>
        <row r="12692">
          <cell r="K12692" t="str">
            <v>217018</v>
          </cell>
          <cell r="M12692">
            <v>4</v>
          </cell>
          <cell r="R12692">
            <v>45944</v>
          </cell>
          <cell r="S12692">
            <v>217018</v>
          </cell>
        </row>
        <row r="12693">
          <cell r="K12693" t="str">
            <v>217023</v>
          </cell>
          <cell r="M12693">
            <v>1</v>
          </cell>
          <cell r="R12693">
            <v>45943</v>
          </cell>
          <cell r="S12693">
            <v>217023</v>
          </cell>
        </row>
        <row r="12694">
          <cell r="K12694" t="str">
            <v>226001</v>
          </cell>
          <cell r="M12694">
            <v>2</v>
          </cell>
          <cell r="R12694">
            <v>45944</v>
          </cell>
          <cell r="S12694">
            <v>226001</v>
          </cell>
        </row>
        <row r="12695">
          <cell r="K12695" t="str">
            <v>227002</v>
          </cell>
          <cell r="M12695">
            <v>1</v>
          </cell>
          <cell r="R12695">
            <v>45944</v>
          </cell>
          <cell r="S12695">
            <v>227002</v>
          </cell>
        </row>
        <row r="12696">
          <cell r="K12696" t="str">
            <v>203003</v>
          </cell>
          <cell r="M12696">
            <v>1</v>
          </cell>
          <cell r="R12696">
            <v>45944</v>
          </cell>
          <cell r="S12696">
            <v>203003</v>
          </cell>
        </row>
        <row r="12697">
          <cell r="K12697" t="str">
            <v>210013</v>
          </cell>
          <cell r="M12697">
            <v>1</v>
          </cell>
          <cell r="R12697">
            <v>45944</v>
          </cell>
          <cell r="S12697">
            <v>210013</v>
          </cell>
        </row>
        <row r="12698">
          <cell r="K12698" t="str">
            <v>207017</v>
          </cell>
          <cell r="M12698">
            <v>2</v>
          </cell>
          <cell r="R12698">
            <v>45944</v>
          </cell>
          <cell r="S12698">
            <v>207017</v>
          </cell>
        </row>
        <row r="12699">
          <cell r="K12699" t="str">
            <v>231012</v>
          </cell>
          <cell r="M12699">
            <v>2</v>
          </cell>
          <cell r="R12699">
            <v>45944</v>
          </cell>
          <cell r="S12699">
            <v>231012</v>
          </cell>
        </row>
        <row r="12700">
          <cell r="K12700" t="str">
            <v>203001</v>
          </cell>
          <cell r="M12700">
            <v>4</v>
          </cell>
          <cell r="R12700">
            <v>45944</v>
          </cell>
          <cell r="S12700">
            <v>203001</v>
          </cell>
        </row>
        <row r="12701">
          <cell r="K12701" t="str">
            <v>223001</v>
          </cell>
          <cell r="M12701">
            <v>2</v>
          </cell>
          <cell r="R12701">
            <v>45944</v>
          </cell>
          <cell r="S12701">
            <v>223001</v>
          </cell>
        </row>
        <row r="12702">
          <cell r="K12702" t="str">
            <v>202001</v>
          </cell>
          <cell r="M12702">
            <v>3</v>
          </cell>
          <cell r="R12702">
            <v>45944</v>
          </cell>
          <cell r="S12702">
            <v>202001</v>
          </cell>
        </row>
        <row r="12703">
          <cell r="K12703" t="str">
            <v>208001</v>
          </cell>
          <cell r="M12703">
            <v>4</v>
          </cell>
          <cell r="R12703">
            <v>45944</v>
          </cell>
          <cell r="S12703">
            <v>208001</v>
          </cell>
        </row>
        <row r="12704">
          <cell r="K12704" t="str">
            <v>227002</v>
          </cell>
          <cell r="M12704">
            <v>1</v>
          </cell>
          <cell r="R12704">
            <v>45944</v>
          </cell>
          <cell r="S12704">
            <v>227002</v>
          </cell>
        </row>
        <row r="12705">
          <cell r="K12705" t="str">
            <v>213006</v>
          </cell>
          <cell r="M12705">
            <v>1</v>
          </cell>
          <cell r="R12705">
            <v>45944</v>
          </cell>
          <cell r="S12705">
            <v>213006</v>
          </cell>
        </row>
        <row r="12706">
          <cell r="K12706" t="str">
            <v>213002</v>
          </cell>
          <cell r="M12706">
            <v>4</v>
          </cell>
          <cell r="R12706">
            <v>45944</v>
          </cell>
          <cell r="S12706">
            <v>213002</v>
          </cell>
        </row>
        <row r="12707">
          <cell r="K12707" t="str">
            <v>220003</v>
          </cell>
          <cell r="M12707">
            <v>1</v>
          </cell>
          <cell r="R12707">
            <v>45944</v>
          </cell>
          <cell r="S12707">
            <v>220003</v>
          </cell>
        </row>
        <row r="12708">
          <cell r="K12708" t="str">
            <v>201003</v>
          </cell>
          <cell r="M12708">
            <v>2</v>
          </cell>
          <cell r="R12708">
            <v>45944</v>
          </cell>
          <cell r="S12708">
            <v>201003</v>
          </cell>
        </row>
        <row r="12709">
          <cell r="K12709" t="str">
            <v>203001</v>
          </cell>
          <cell r="M12709">
            <v>1</v>
          </cell>
          <cell r="R12709">
            <v>45944</v>
          </cell>
          <cell r="S12709">
            <v>203001</v>
          </cell>
        </row>
        <row r="12710">
          <cell r="K12710" t="str">
            <v>212035</v>
          </cell>
          <cell r="M12710">
            <v>2</v>
          </cell>
          <cell r="R12710">
            <v>45944</v>
          </cell>
          <cell r="S12710">
            <v>212035</v>
          </cell>
        </row>
        <row r="12711">
          <cell r="K12711" t="str">
            <v>203001</v>
          </cell>
          <cell r="M12711">
            <v>1</v>
          </cell>
          <cell r="R12711">
            <v>45944</v>
          </cell>
          <cell r="S12711">
            <v>203001</v>
          </cell>
        </row>
        <row r="12712">
          <cell r="K12712" t="str">
            <v>241001</v>
          </cell>
          <cell r="M12712">
            <v>1</v>
          </cell>
          <cell r="R12712">
            <v>45944</v>
          </cell>
          <cell r="S12712">
            <v>241001</v>
          </cell>
        </row>
        <row r="12713">
          <cell r="K12713" t="str">
            <v>227012</v>
          </cell>
          <cell r="M12713">
            <v>4</v>
          </cell>
          <cell r="R12713">
            <v>45944</v>
          </cell>
          <cell r="S12713">
            <v>227012</v>
          </cell>
        </row>
        <row r="12714">
          <cell r="K12714" t="str">
            <v>201011</v>
          </cell>
          <cell r="M12714">
            <v>5</v>
          </cell>
          <cell r="R12714">
            <v>45944</v>
          </cell>
          <cell r="S12714">
            <v>201011</v>
          </cell>
        </row>
        <row r="12715">
          <cell r="K12715" t="str">
            <v>223001</v>
          </cell>
          <cell r="M12715">
            <v>4</v>
          </cell>
          <cell r="R12715">
            <v>45944</v>
          </cell>
          <cell r="S12715">
            <v>223001</v>
          </cell>
        </row>
        <row r="12716">
          <cell r="K12716" t="str">
            <v>227012</v>
          </cell>
          <cell r="M12716">
            <v>1</v>
          </cell>
          <cell r="R12716">
            <v>45944</v>
          </cell>
          <cell r="S12716">
            <v>227012</v>
          </cell>
        </row>
        <row r="12717">
          <cell r="K12717" t="str">
            <v>227012</v>
          </cell>
          <cell r="M12717">
            <v>2</v>
          </cell>
          <cell r="R12717">
            <v>45944</v>
          </cell>
          <cell r="S12717">
            <v>227012</v>
          </cell>
        </row>
        <row r="12718">
          <cell r="K12718" t="str">
            <v>223001</v>
          </cell>
          <cell r="M12718">
            <v>1</v>
          </cell>
          <cell r="R12718">
            <v>45944</v>
          </cell>
          <cell r="S12718">
            <v>223001</v>
          </cell>
        </row>
        <row r="12719">
          <cell r="K12719" t="str">
            <v>223002</v>
          </cell>
          <cell r="M12719">
            <v>2</v>
          </cell>
          <cell r="R12719">
            <v>45944</v>
          </cell>
          <cell r="S12719">
            <v>223002</v>
          </cell>
        </row>
        <row r="12720">
          <cell r="K12720" t="str">
            <v>234011</v>
          </cell>
          <cell r="M12720">
            <v>1</v>
          </cell>
          <cell r="R12720">
            <v>45944</v>
          </cell>
          <cell r="S12720">
            <v>234011</v>
          </cell>
        </row>
        <row r="12721">
          <cell r="K12721" t="str">
            <v>201011</v>
          </cell>
          <cell r="M12721">
            <v>7</v>
          </cell>
          <cell r="R12721">
            <v>45944</v>
          </cell>
          <cell r="S12721">
            <v>201011</v>
          </cell>
        </row>
        <row r="12722">
          <cell r="K12722" t="str">
            <v>228001</v>
          </cell>
          <cell r="M12722">
            <v>5</v>
          </cell>
          <cell r="R12722">
            <v>45944</v>
          </cell>
          <cell r="S12722">
            <v>228001</v>
          </cell>
        </row>
        <row r="12723">
          <cell r="K12723" t="str">
            <v>217022</v>
          </cell>
          <cell r="M12723">
            <v>2</v>
          </cell>
          <cell r="R12723">
            <v>45944</v>
          </cell>
          <cell r="S12723">
            <v>217022</v>
          </cell>
        </row>
        <row r="12724">
          <cell r="K12724" t="str">
            <v>222005</v>
          </cell>
          <cell r="M12724">
            <v>1</v>
          </cell>
          <cell r="R12724">
            <v>45944</v>
          </cell>
          <cell r="S12724">
            <v>222005</v>
          </cell>
        </row>
        <row r="12725">
          <cell r="K12725" t="str">
            <v>213002</v>
          </cell>
          <cell r="M12725">
            <v>10</v>
          </cell>
          <cell r="R12725">
            <v>45944</v>
          </cell>
          <cell r="S12725">
            <v>213002</v>
          </cell>
        </row>
        <row r="12726">
          <cell r="K12726" t="str">
            <v>201011</v>
          </cell>
          <cell r="M12726">
            <v>5</v>
          </cell>
          <cell r="R12726">
            <v>45944</v>
          </cell>
          <cell r="S12726">
            <v>201011</v>
          </cell>
        </row>
        <row r="12727">
          <cell r="K12727" t="str">
            <v>241001</v>
          </cell>
          <cell r="M12727">
            <v>3</v>
          </cell>
          <cell r="R12727">
            <v>45944</v>
          </cell>
          <cell r="S12727">
            <v>241001</v>
          </cell>
        </row>
        <row r="12728">
          <cell r="K12728" t="str">
            <v>226001</v>
          </cell>
          <cell r="M12728">
            <v>6</v>
          </cell>
          <cell r="R12728">
            <v>45944</v>
          </cell>
          <cell r="S12728">
            <v>226001</v>
          </cell>
        </row>
        <row r="12729">
          <cell r="K12729" t="str">
            <v>217018</v>
          </cell>
          <cell r="M12729">
            <v>2</v>
          </cell>
          <cell r="R12729">
            <v>45944</v>
          </cell>
          <cell r="S12729">
            <v>217018</v>
          </cell>
        </row>
        <row r="12730">
          <cell r="K12730" t="str">
            <v>217008</v>
          </cell>
          <cell r="M12730">
            <v>2</v>
          </cell>
          <cell r="R12730">
            <v>45944</v>
          </cell>
          <cell r="S12730">
            <v>217008</v>
          </cell>
        </row>
        <row r="12731">
          <cell r="K12731" t="str">
            <v>208001</v>
          </cell>
          <cell r="M12731">
            <v>1</v>
          </cell>
          <cell r="R12731">
            <v>45944</v>
          </cell>
          <cell r="S12731">
            <v>208001</v>
          </cell>
        </row>
        <row r="12732">
          <cell r="K12732" t="str">
            <v>206002</v>
          </cell>
          <cell r="M12732">
            <v>1</v>
          </cell>
          <cell r="R12732">
            <v>45944</v>
          </cell>
          <cell r="S12732">
            <v>206002</v>
          </cell>
        </row>
        <row r="12733">
          <cell r="K12733" t="str">
            <v>201011</v>
          </cell>
          <cell r="M12733">
            <v>2</v>
          </cell>
          <cell r="R12733">
            <v>45945</v>
          </cell>
          <cell r="S12733">
            <v>201011</v>
          </cell>
        </row>
        <row r="12734">
          <cell r="K12734" t="str">
            <v>227012</v>
          </cell>
          <cell r="M12734">
            <v>2</v>
          </cell>
          <cell r="R12734">
            <v>45945</v>
          </cell>
          <cell r="S12734">
            <v>227012</v>
          </cell>
        </row>
        <row r="12735">
          <cell r="K12735" t="str">
            <v>217011</v>
          </cell>
          <cell r="M12735">
            <v>1</v>
          </cell>
          <cell r="R12735">
            <v>45945</v>
          </cell>
          <cell r="S12735">
            <v>217011</v>
          </cell>
        </row>
        <row r="12736">
          <cell r="K12736" t="str">
            <v>209004</v>
          </cell>
          <cell r="M12736">
            <v>2</v>
          </cell>
          <cell r="R12736">
            <v>45945</v>
          </cell>
          <cell r="S12736">
            <v>209004</v>
          </cell>
        </row>
        <row r="12737">
          <cell r="K12737" t="str">
            <v>217011</v>
          </cell>
          <cell r="M12737">
            <v>2</v>
          </cell>
          <cell r="R12737">
            <v>45945</v>
          </cell>
          <cell r="S12737">
            <v>217011</v>
          </cell>
        </row>
        <row r="12738">
          <cell r="K12738" t="str">
            <v>209004</v>
          </cell>
          <cell r="M12738">
            <v>2</v>
          </cell>
          <cell r="R12738">
            <v>45945</v>
          </cell>
          <cell r="S12738">
            <v>209004</v>
          </cell>
        </row>
        <row r="12739">
          <cell r="K12739" t="str">
            <v>228001</v>
          </cell>
          <cell r="M12739">
            <v>2</v>
          </cell>
          <cell r="R12739">
            <v>45945</v>
          </cell>
          <cell r="S12739">
            <v>228001</v>
          </cell>
        </row>
        <row r="12740">
          <cell r="K12740" t="str">
            <v>217011</v>
          </cell>
          <cell r="M12740">
            <v>1</v>
          </cell>
          <cell r="R12740">
            <v>45945</v>
          </cell>
          <cell r="S12740">
            <v>217011</v>
          </cell>
        </row>
        <row r="12741">
          <cell r="K12741" t="str">
            <v>201021</v>
          </cell>
          <cell r="M12741">
            <v>4</v>
          </cell>
          <cell r="R12741">
            <v>45945</v>
          </cell>
          <cell r="S12741">
            <v>201021</v>
          </cell>
        </row>
        <row r="12742">
          <cell r="K12742" t="str">
            <v>210014</v>
          </cell>
          <cell r="M12742">
            <v>1</v>
          </cell>
          <cell r="R12742">
            <v>45945</v>
          </cell>
          <cell r="S12742">
            <v>210014</v>
          </cell>
        </row>
        <row r="12743">
          <cell r="K12743" t="str">
            <v>212035</v>
          </cell>
          <cell r="M12743">
            <v>3</v>
          </cell>
          <cell r="R12743">
            <v>45945</v>
          </cell>
          <cell r="S12743">
            <v>212035</v>
          </cell>
        </row>
        <row r="12744">
          <cell r="K12744" t="str">
            <v>209004</v>
          </cell>
          <cell r="M12744">
            <v>2</v>
          </cell>
          <cell r="R12744">
            <v>45945</v>
          </cell>
          <cell r="S12744">
            <v>209004</v>
          </cell>
        </row>
        <row r="12745">
          <cell r="K12745" t="str">
            <v>228001</v>
          </cell>
          <cell r="M12745">
            <v>2</v>
          </cell>
          <cell r="R12745">
            <v>45945</v>
          </cell>
          <cell r="S12745">
            <v>228001</v>
          </cell>
        </row>
        <row r="12746">
          <cell r="K12746" t="str">
            <v>228001</v>
          </cell>
          <cell r="M12746">
            <v>1</v>
          </cell>
          <cell r="R12746">
            <v>45945</v>
          </cell>
          <cell r="S12746">
            <v>228001</v>
          </cell>
        </row>
        <row r="12747">
          <cell r="K12747" t="str">
            <v>209016</v>
          </cell>
          <cell r="M12747">
            <v>2</v>
          </cell>
          <cell r="R12747">
            <v>45945</v>
          </cell>
          <cell r="S12747">
            <v>209016</v>
          </cell>
        </row>
        <row r="12748">
          <cell r="K12748" t="str">
            <v>201011</v>
          </cell>
          <cell r="M12748">
            <v>5</v>
          </cell>
          <cell r="R12748">
            <v>45945</v>
          </cell>
          <cell r="S12748">
            <v>201011</v>
          </cell>
        </row>
        <row r="12749">
          <cell r="K12749" t="str">
            <v>227010</v>
          </cell>
          <cell r="M12749">
            <v>4</v>
          </cell>
          <cell r="R12749">
            <v>45945</v>
          </cell>
          <cell r="S12749">
            <v>227010</v>
          </cell>
        </row>
        <row r="12750">
          <cell r="K12750" t="str">
            <v>228001</v>
          </cell>
          <cell r="M12750">
            <v>7</v>
          </cell>
          <cell r="R12750">
            <v>45945</v>
          </cell>
          <cell r="S12750">
            <v>228001</v>
          </cell>
        </row>
        <row r="12751">
          <cell r="K12751" t="str">
            <v>201011</v>
          </cell>
          <cell r="M12751">
            <v>5</v>
          </cell>
          <cell r="R12751">
            <v>45945</v>
          </cell>
          <cell r="S12751">
            <v>201011</v>
          </cell>
        </row>
        <row r="12752">
          <cell r="K12752" t="str">
            <v>241001</v>
          </cell>
          <cell r="M12752">
            <v>10</v>
          </cell>
          <cell r="R12752">
            <v>45945</v>
          </cell>
          <cell r="S12752">
            <v>241001</v>
          </cell>
        </row>
        <row r="12753">
          <cell r="K12753" t="str">
            <v>226001</v>
          </cell>
          <cell r="M12753">
            <v>1</v>
          </cell>
          <cell r="R12753">
            <v>45945</v>
          </cell>
          <cell r="S12753">
            <v>226001</v>
          </cell>
        </row>
        <row r="12754">
          <cell r="K12754" t="str">
            <v>226001</v>
          </cell>
          <cell r="M12754">
            <v>3</v>
          </cell>
          <cell r="R12754">
            <v>45945</v>
          </cell>
          <cell r="S12754">
            <v>226001</v>
          </cell>
        </row>
        <row r="12755">
          <cell r="K12755" t="str">
            <v>220003</v>
          </cell>
          <cell r="M12755">
            <v>2</v>
          </cell>
          <cell r="R12755">
            <v>45945</v>
          </cell>
          <cell r="S12755">
            <v>220003</v>
          </cell>
        </row>
        <row r="12756">
          <cell r="K12756" t="str">
            <v>201011</v>
          </cell>
          <cell r="M12756">
            <v>2</v>
          </cell>
          <cell r="R12756">
            <v>45945</v>
          </cell>
          <cell r="S12756">
            <v>201011</v>
          </cell>
        </row>
        <row r="12757">
          <cell r="K12757" t="str">
            <v>206006</v>
          </cell>
          <cell r="M12757">
            <v>1</v>
          </cell>
          <cell r="R12757">
            <v>45944</v>
          </cell>
          <cell r="S12757">
            <v>206006</v>
          </cell>
        </row>
        <row r="12758">
          <cell r="K12758" t="str">
            <v>206002</v>
          </cell>
          <cell r="M12758">
            <v>1</v>
          </cell>
          <cell r="R12758">
            <v>45944</v>
          </cell>
          <cell r="S12758">
            <v>206002</v>
          </cell>
        </row>
        <row r="12759">
          <cell r="K12759" t="str">
            <v>208001</v>
          </cell>
          <cell r="M12759">
            <v>1</v>
          </cell>
          <cell r="R12759">
            <v>45944</v>
          </cell>
          <cell r="S12759">
            <v>208001</v>
          </cell>
        </row>
        <row r="12760">
          <cell r="K12760" t="str">
            <v>203004</v>
          </cell>
          <cell r="M12760">
            <v>1</v>
          </cell>
          <cell r="R12760">
            <v>45944</v>
          </cell>
          <cell r="S12760">
            <v>203004</v>
          </cell>
        </row>
        <row r="12761">
          <cell r="K12761" t="str">
            <v>218001</v>
          </cell>
          <cell r="M12761">
            <v>1</v>
          </cell>
          <cell r="R12761">
            <v>45944</v>
          </cell>
          <cell r="S12761">
            <v>218001</v>
          </cell>
        </row>
        <row r="12762">
          <cell r="K12762" t="str">
            <v>201011</v>
          </cell>
          <cell r="M12762">
            <v>10</v>
          </cell>
          <cell r="R12762">
            <v>45945</v>
          </cell>
          <cell r="S12762">
            <v>201011</v>
          </cell>
        </row>
        <row r="12763">
          <cell r="K12763" t="str">
            <v>206002</v>
          </cell>
          <cell r="M12763">
            <v>2</v>
          </cell>
          <cell r="R12763">
            <v>45944</v>
          </cell>
          <cell r="S12763">
            <v>206002</v>
          </cell>
        </row>
        <row r="12764">
          <cell r="K12764" t="str">
            <v>208001</v>
          </cell>
          <cell r="M12764">
            <v>1</v>
          </cell>
          <cell r="R12764">
            <v>45944</v>
          </cell>
          <cell r="S12764">
            <v>208001</v>
          </cell>
        </row>
        <row r="12765">
          <cell r="K12765" t="str">
            <v>203004</v>
          </cell>
          <cell r="M12765">
            <v>1</v>
          </cell>
          <cell r="R12765">
            <v>45944</v>
          </cell>
          <cell r="S12765">
            <v>203004</v>
          </cell>
        </row>
        <row r="12766">
          <cell r="K12766" t="str">
            <v>218001</v>
          </cell>
          <cell r="M12766">
            <v>1</v>
          </cell>
          <cell r="R12766">
            <v>45944</v>
          </cell>
          <cell r="S12766">
            <v>218001</v>
          </cell>
        </row>
        <row r="12767">
          <cell r="K12767" t="str">
            <v>210004</v>
          </cell>
          <cell r="M12767">
            <v>2</v>
          </cell>
          <cell r="R12767">
            <v>45944</v>
          </cell>
          <cell r="S12767">
            <v>210004</v>
          </cell>
        </row>
        <row r="12768">
          <cell r="K12768" t="str">
            <v>213018</v>
          </cell>
          <cell r="M12768">
            <v>1</v>
          </cell>
          <cell r="R12768">
            <v>45945</v>
          </cell>
          <cell r="S12768">
            <v>213018</v>
          </cell>
        </row>
        <row r="12769">
          <cell r="K12769" t="str">
            <v>209012</v>
          </cell>
          <cell r="M12769">
            <v>2</v>
          </cell>
          <cell r="R12769">
            <v>45945</v>
          </cell>
          <cell r="S12769">
            <v>209012</v>
          </cell>
        </row>
        <row r="12770">
          <cell r="K12770" t="str">
            <v>201011</v>
          </cell>
          <cell r="M12770">
            <v>1</v>
          </cell>
          <cell r="R12770">
            <v>45945</v>
          </cell>
          <cell r="S12770">
            <v>201011</v>
          </cell>
        </row>
        <row r="12771">
          <cell r="K12771" t="str">
            <v>228001</v>
          </cell>
          <cell r="M12771">
            <v>2</v>
          </cell>
          <cell r="R12771">
            <v>45945</v>
          </cell>
          <cell r="S12771">
            <v>228001</v>
          </cell>
        </row>
        <row r="12772">
          <cell r="K12772" t="str">
            <v>209016</v>
          </cell>
          <cell r="M12772">
            <v>1</v>
          </cell>
          <cell r="R12772">
            <v>45945</v>
          </cell>
          <cell r="S12772">
            <v>209016</v>
          </cell>
        </row>
        <row r="12773">
          <cell r="K12773" t="str">
            <v>228001</v>
          </cell>
          <cell r="M12773">
            <v>30</v>
          </cell>
          <cell r="R12773">
            <v>45945</v>
          </cell>
          <cell r="S12773">
            <v>228001</v>
          </cell>
        </row>
        <row r="12774">
          <cell r="K12774" t="str">
            <v>213002</v>
          </cell>
          <cell r="M12774">
            <v>10</v>
          </cell>
          <cell r="R12774">
            <v>45945</v>
          </cell>
          <cell r="S12774">
            <v>213002</v>
          </cell>
        </row>
        <row r="12775">
          <cell r="K12775" t="str">
            <v>201003</v>
          </cell>
          <cell r="M12775">
            <v>1</v>
          </cell>
          <cell r="R12775">
            <v>45945</v>
          </cell>
          <cell r="S12775">
            <v>201003</v>
          </cell>
        </row>
        <row r="12776">
          <cell r="K12776" t="str">
            <v>201011</v>
          </cell>
          <cell r="M12776">
            <v>4</v>
          </cell>
          <cell r="R12776">
            <v>45945</v>
          </cell>
          <cell r="S12776">
            <v>201011</v>
          </cell>
        </row>
        <row r="12777">
          <cell r="K12777" t="str">
            <v>223002</v>
          </cell>
          <cell r="M12777">
            <v>1</v>
          </cell>
          <cell r="R12777">
            <v>45945</v>
          </cell>
          <cell r="S12777">
            <v>223002</v>
          </cell>
        </row>
        <row r="12778">
          <cell r="K12778" t="str">
            <v>207017</v>
          </cell>
          <cell r="M12778">
            <v>1</v>
          </cell>
          <cell r="R12778">
            <v>45945</v>
          </cell>
          <cell r="S12778">
            <v>207017</v>
          </cell>
        </row>
        <row r="12779">
          <cell r="K12779" t="str">
            <v>201003</v>
          </cell>
          <cell r="M12779">
            <v>1</v>
          </cell>
          <cell r="R12779">
            <v>45945</v>
          </cell>
          <cell r="S12779">
            <v>201003</v>
          </cell>
        </row>
        <row r="12780">
          <cell r="K12780" t="str">
            <v>228001</v>
          </cell>
          <cell r="M12780">
            <v>2</v>
          </cell>
          <cell r="R12780">
            <v>45945</v>
          </cell>
          <cell r="S12780">
            <v>228001</v>
          </cell>
        </row>
        <row r="12781">
          <cell r="K12781" t="str">
            <v>241001</v>
          </cell>
          <cell r="M12781">
            <v>3</v>
          </cell>
          <cell r="R12781">
            <v>45945</v>
          </cell>
          <cell r="S12781">
            <v>241001</v>
          </cell>
        </row>
        <row r="12782">
          <cell r="K12782" t="str">
            <v>223001</v>
          </cell>
          <cell r="M12782">
            <v>4</v>
          </cell>
          <cell r="R12782">
            <v>45945</v>
          </cell>
          <cell r="S12782">
            <v>223001</v>
          </cell>
        </row>
        <row r="12783">
          <cell r="K12783" t="str">
            <v>201011</v>
          </cell>
          <cell r="M12783">
            <v>3</v>
          </cell>
          <cell r="R12783">
            <v>45945</v>
          </cell>
          <cell r="S12783">
            <v>201011</v>
          </cell>
        </row>
        <row r="12784">
          <cell r="K12784" t="str">
            <v>234011</v>
          </cell>
          <cell r="M12784">
            <v>1</v>
          </cell>
          <cell r="R12784">
            <v>45945</v>
          </cell>
          <cell r="S12784">
            <v>234011</v>
          </cell>
        </row>
        <row r="12785">
          <cell r="K12785" t="str">
            <v>234011</v>
          </cell>
          <cell r="M12785">
            <v>2</v>
          </cell>
          <cell r="R12785">
            <v>45945</v>
          </cell>
          <cell r="S12785">
            <v>234011</v>
          </cell>
        </row>
        <row r="12786">
          <cell r="K12786" t="str">
            <v>201011</v>
          </cell>
          <cell r="M12786">
            <v>7</v>
          </cell>
          <cell r="R12786">
            <v>45945</v>
          </cell>
          <cell r="S12786">
            <v>201011</v>
          </cell>
        </row>
        <row r="12787">
          <cell r="K12787" t="str">
            <v>231012</v>
          </cell>
          <cell r="M12787">
            <v>2</v>
          </cell>
          <cell r="R12787">
            <v>45946</v>
          </cell>
          <cell r="S12787">
            <v>231012</v>
          </cell>
        </row>
        <row r="12788">
          <cell r="K12788" t="str">
            <v>209016</v>
          </cell>
          <cell r="M12788">
            <v>2</v>
          </cell>
          <cell r="R12788">
            <v>45946</v>
          </cell>
          <cell r="S12788">
            <v>209016</v>
          </cell>
        </row>
        <row r="12789">
          <cell r="K12789" t="str">
            <v>226001</v>
          </cell>
          <cell r="M12789">
            <v>1</v>
          </cell>
          <cell r="R12789">
            <v>45946</v>
          </cell>
          <cell r="S12789">
            <v>226001</v>
          </cell>
        </row>
        <row r="12790">
          <cell r="K12790" t="str">
            <v>213005</v>
          </cell>
          <cell r="M12790">
            <v>2</v>
          </cell>
          <cell r="R12790">
            <v>45946</v>
          </cell>
          <cell r="S12790">
            <v>213005</v>
          </cell>
        </row>
        <row r="12791">
          <cell r="K12791" t="str">
            <v>213006</v>
          </cell>
          <cell r="M12791">
            <v>1</v>
          </cell>
          <cell r="R12791">
            <v>45946</v>
          </cell>
          <cell r="S12791">
            <v>213006</v>
          </cell>
        </row>
        <row r="12792">
          <cell r="K12792" t="str">
            <v>220002</v>
          </cell>
          <cell r="M12792">
            <v>2</v>
          </cell>
          <cell r="R12792">
            <v>45946</v>
          </cell>
          <cell r="S12792">
            <v>220002</v>
          </cell>
        </row>
        <row r="12793">
          <cell r="K12793" t="str">
            <v>228001</v>
          </cell>
          <cell r="M12793">
            <v>3</v>
          </cell>
          <cell r="R12793">
            <v>45946</v>
          </cell>
          <cell r="S12793">
            <v>228001</v>
          </cell>
        </row>
        <row r="12794">
          <cell r="K12794" t="str">
            <v>212035</v>
          </cell>
          <cell r="M12794">
            <v>1</v>
          </cell>
          <cell r="R12794">
            <v>45946</v>
          </cell>
          <cell r="S12794">
            <v>212035</v>
          </cell>
        </row>
        <row r="12795">
          <cell r="K12795" t="str">
            <v>228001</v>
          </cell>
          <cell r="M12795">
            <v>1</v>
          </cell>
          <cell r="R12795">
            <v>45946</v>
          </cell>
          <cell r="S12795">
            <v>228001</v>
          </cell>
        </row>
        <row r="12796">
          <cell r="K12796" t="str">
            <v>228001</v>
          </cell>
          <cell r="M12796">
            <v>12</v>
          </cell>
          <cell r="R12796">
            <v>45945</v>
          </cell>
          <cell r="S12796">
            <v>228001</v>
          </cell>
        </row>
        <row r="12797">
          <cell r="K12797" t="str">
            <v>223002</v>
          </cell>
          <cell r="M12797">
            <v>1</v>
          </cell>
          <cell r="R12797">
            <v>45945</v>
          </cell>
          <cell r="S12797">
            <v>223002</v>
          </cell>
        </row>
        <row r="12798">
          <cell r="K12798" t="str">
            <v>201011</v>
          </cell>
          <cell r="M12798">
            <v>1</v>
          </cell>
          <cell r="R12798">
            <v>45945</v>
          </cell>
          <cell r="S12798">
            <v>201011</v>
          </cell>
        </row>
        <row r="12799">
          <cell r="K12799" t="str">
            <v>201022</v>
          </cell>
          <cell r="M12799">
            <v>1</v>
          </cell>
          <cell r="R12799">
            <v>45945</v>
          </cell>
          <cell r="S12799">
            <v>201022</v>
          </cell>
        </row>
        <row r="12800">
          <cell r="K12800" t="str">
            <v>227001</v>
          </cell>
          <cell r="M12800">
            <v>2</v>
          </cell>
          <cell r="R12800">
            <v>45945</v>
          </cell>
          <cell r="S12800">
            <v>227001</v>
          </cell>
        </row>
        <row r="12801">
          <cell r="K12801" t="str">
            <v>229001</v>
          </cell>
          <cell r="M12801">
            <v>1</v>
          </cell>
          <cell r="R12801">
            <v>45945</v>
          </cell>
          <cell r="S12801">
            <v>229001</v>
          </cell>
        </row>
        <row r="12802">
          <cell r="K12802" t="str">
            <v>213005</v>
          </cell>
          <cell r="M12802">
            <v>2</v>
          </cell>
          <cell r="R12802">
            <v>45945</v>
          </cell>
          <cell r="S12802">
            <v>213005</v>
          </cell>
        </row>
        <row r="12803">
          <cell r="K12803" t="str">
            <v>228001</v>
          </cell>
          <cell r="M12803">
            <v>4</v>
          </cell>
          <cell r="R12803">
            <v>45945</v>
          </cell>
          <cell r="S12803">
            <v>228001</v>
          </cell>
        </row>
        <row r="12804">
          <cell r="K12804" t="str">
            <v>217019</v>
          </cell>
          <cell r="M12804">
            <v>5</v>
          </cell>
          <cell r="R12804">
            <v>45945</v>
          </cell>
          <cell r="S12804">
            <v>217019</v>
          </cell>
        </row>
        <row r="12805">
          <cell r="K12805" t="str">
            <v>241001</v>
          </cell>
          <cell r="M12805">
            <v>15</v>
          </cell>
          <cell r="R12805">
            <v>45946</v>
          </cell>
          <cell r="S12805">
            <v>241001</v>
          </cell>
        </row>
        <row r="12806">
          <cell r="K12806" t="str">
            <v>217011</v>
          </cell>
          <cell r="M12806">
            <v>1</v>
          </cell>
          <cell r="R12806">
            <v>45946</v>
          </cell>
          <cell r="S12806">
            <v>217011</v>
          </cell>
        </row>
        <row r="12807">
          <cell r="K12807" t="str">
            <v>201021</v>
          </cell>
          <cell r="M12807">
            <v>2</v>
          </cell>
          <cell r="R12807">
            <v>45946</v>
          </cell>
          <cell r="S12807">
            <v>201021</v>
          </cell>
        </row>
        <row r="12808">
          <cell r="K12808" t="str">
            <v>223002</v>
          </cell>
          <cell r="M12808">
            <v>5</v>
          </cell>
          <cell r="R12808">
            <v>45946</v>
          </cell>
          <cell r="S12808">
            <v>223002</v>
          </cell>
        </row>
        <row r="12809">
          <cell r="K12809" t="str">
            <v>210014</v>
          </cell>
          <cell r="M12809">
            <v>1</v>
          </cell>
          <cell r="R12809">
            <v>45946</v>
          </cell>
          <cell r="S12809">
            <v>210014</v>
          </cell>
        </row>
        <row r="12810">
          <cell r="K12810" t="str">
            <v>226001</v>
          </cell>
          <cell r="M12810">
            <v>1</v>
          </cell>
          <cell r="R12810">
            <v>45946</v>
          </cell>
          <cell r="S12810">
            <v>226001</v>
          </cell>
        </row>
        <row r="12811">
          <cell r="K12811" t="str">
            <v>208001</v>
          </cell>
          <cell r="M12811">
            <v>1</v>
          </cell>
          <cell r="R12811">
            <v>45946</v>
          </cell>
          <cell r="S12811">
            <v>208001</v>
          </cell>
        </row>
        <row r="12812">
          <cell r="K12812" t="str">
            <v>226032</v>
          </cell>
          <cell r="M12812">
            <v>3</v>
          </cell>
          <cell r="R12812">
            <v>45946</v>
          </cell>
          <cell r="S12812">
            <v>226032</v>
          </cell>
        </row>
        <row r="12813">
          <cell r="K12813" t="str">
            <v>217018</v>
          </cell>
          <cell r="M12813">
            <v>2</v>
          </cell>
          <cell r="R12813">
            <v>45946</v>
          </cell>
          <cell r="S12813">
            <v>217018</v>
          </cell>
        </row>
        <row r="12814">
          <cell r="K12814" t="str">
            <v>223003</v>
          </cell>
          <cell r="M12814">
            <v>6</v>
          </cell>
          <cell r="R12814">
            <v>45946</v>
          </cell>
          <cell r="S12814">
            <v>223003</v>
          </cell>
        </row>
        <row r="12815">
          <cell r="K12815" t="str">
            <v>223006</v>
          </cell>
          <cell r="M12815">
            <v>6</v>
          </cell>
          <cell r="R12815">
            <v>45946</v>
          </cell>
          <cell r="S12815">
            <v>223006</v>
          </cell>
        </row>
        <row r="12816">
          <cell r="K12816" t="str">
            <v>223001</v>
          </cell>
          <cell r="M12816">
            <v>8</v>
          </cell>
          <cell r="R12816">
            <v>45946</v>
          </cell>
          <cell r="S12816">
            <v>223001</v>
          </cell>
        </row>
        <row r="12817">
          <cell r="K12817" t="str">
            <v>223002</v>
          </cell>
          <cell r="M12817">
            <v>5</v>
          </cell>
          <cell r="R12817">
            <v>45946</v>
          </cell>
          <cell r="S12817">
            <v>223002</v>
          </cell>
        </row>
        <row r="12818">
          <cell r="K12818" t="str">
            <v>217022</v>
          </cell>
          <cell r="M12818">
            <v>2</v>
          </cell>
          <cell r="R12818">
            <v>45946</v>
          </cell>
          <cell r="S12818">
            <v>217022</v>
          </cell>
        </row>
        <row r="12819">
          <cell r="K12819" t="str">
            <v>217018</v>
          </cell>
          <cell r="M12819">
            <v>2</v>
          </cell>
          <cell r="R12819">
            <v>45946</v>
          </cell>
          <cell r="S12819">
            <v>217018</v>
          </cell>
        </row>
        <row r="12820">
          <cell r="K12820" t="str">
            <v>223003</v>
          </cell>
          <cell r="M12820">
            <v>6</v>
          </cell>
          <cell r="R12820">
            <v>45946</v>
          </cell>
          <cell r="S12820">
            <v>223003</v>
          </cell>
        </row>
        <row r="12821">
          <cell r="K12821" t="str">
            <v>223006</v>
          </cell>
          <cell r="M12821">
            <v>6</v>
          </cell>
          <cell r="R12821">
            <v>45946</v>
          </cell>
          <cell r="S12821">
            <v>223006</v>
          </cell>
        </row>
        <row r="12822">
          <cell r="K12822" t="str">
            <v>223001</v>
          </cell>
          <cell r="M12822">
            <v>8</v>
          </cell>
          <cell r="R12822">
            <v>45946</v>
          </cell>
          <cell r="S12822">
            <v>223001</v>
          </cell>
        </row>
        <row r="12823">
          <cell r="K12823" t="str">
            <v>223002</v>
          </cell>
          <cell r="M12823">
            <v>5</v>
          </cell>
          <cell r="R12823">
            <v>45946</v>
          </cell>
          <cell r="S12823">
            <v>223002</v>
          </cell>
        </row>
        <row r="12824">
          <cell r="K12824" t="str">
            <v>213002</v>
          </cell>
          <cell r="M12824">
            <v>4</v>
          </cell>
          <cell r="R12824">
            <v>45946</v>
          </cell>
          <cell r="S12824">
            <v>213002</v>
          </cell>
        </row>
        <row r="12825">
          <cell r="K12825" t="str">
            <v>213002</v>
          </cell>
          <cell r="M12825">
            <v>2</v>
          </cell>
          <cell r="R12825">
            <v>45946</v>
          </cell>
          <cell r="S12825">
            <v>213002</v>
          </cell>
        </row>
        <row r="12826">
          <cell r="K12826" t="str">
            <v>213006</v>
          </cell>
          <cell r="M12826">
            <v>3</v>
          </cell>
          <cell r="R12826">
            <v>45946</v>
          </cell>
          <cell r="S12826">
            <v>213006</v>
          </cell>
        </row>
        <row r="12827">
          <cell r="K12827" t="str">
            <v>201011</v>
          </cell>
          <cell r="M12827">
            <v>36</v>
          </cell>
          <cell r="R12827">
            <v>45946</v>
          </cell>
          <cell r="S12827">
            <v>201011</v>
          </cell>
        </row>
        <row r="12828">
          <cell r="K12828" t="str">
            <v>209024</v>
          </cell>
          <cell r="M12828">
            <v>1</v>
          </cell>
          <cell r="R12828">
            <v>45946</v>
          </cell>
          <cell r="S12828">
            <v>209024</v>
          </cell>
        </row>
        <row r="12829">
          <cell r="K12829" t="str">
            <v>210002</v>
          </cell>
          <cell r="M12829">
            <v>16</v>
          </cell>
          <cell r="R12829">
            <v>45946</v>
          </cell>
          <cell r="S12829">
            <v>210002</v>
          </cell>
        </row>
        <row r="12830">
          <cell r="K12830" t="str">
            <v>210014</v>
          </cell>
          <cell r="M12830">
            <v>8</v>
          </cell>
          <cell r="R12830">
            <v>45946</v>
          </cell>
          <cell r="S12830">
            <v>210014</v>
          </cell>
        </row>
        <row r="12831">
          <cell r="K12831" t="str">
            <v>222001</v>
          </cell>
          <cell r="M12831">
            <v>1</v>
          </cell>
          <cell r="R12831">
            <v>45946</v>
          </cell>
          <cell r="S12831">
            <v>222001</v>
          </cell>
        </row>
        <row r="12832">
          <cell r="K12832" t="str">
            <v>231012</v>
          </cell>
          <cell r="M12832">
            <v>1</v>
          </cell>
          <cell r="R12832">
            <v>45946</v>
          </cell>
          <cell r="S12832">
            <v>231012</v>
          </cell>
        </row>
        <row r="12833">
          <cell r="K12833" t="str">
            <v>203001</v>
          </cell>
          <cell r="M12833">
            <v>4</v>
          </cell>
          <cell r="R12833">
            <v>45946</v>
          </cell>
          <cell r="S12833">
            <v>203001</v>
          </cell>
        </row>
        <row r="12834">
          <cell r="K12834" t="str">
            <v>203001</v>
          </cell>
          <cell r="M12834">
            <v>4</v>
          </cell>
          <cell r="R12834">
            <v>45946</v>
          </cell>
          <cell r="S12834">
            <v>203001</v>
          </cell>
        </row>
        <row r="12835">
          <cell r="K12835" t="str">
            <v>217019</v>
          </cell>
          <cell r="M12835">
            <v>5</v>
          </cell>
          <cell r="R12835">
            <v>45946</v>
          </cell>
          <cell r="S12835">
            <v>217019</v>
          </cell>
        </row>
        <row r="12836">
          <cell r="K12836" t="str">
            <v>209001</v>
          </cell>
          <cell r="M12836">
            <v>2</v>
          </cell>
          <cell r="R12836">
            <v>45946</v>
          </cell>
          <cell r="S12836">
            <v>209001</v>
          </cell>
        </row>
        <row r="12837">
          <cell r="K12837" t="str">
            <v>228001</v>
          </cell>
          <cell r="M12837">
            <v>1</v>
          </cell>
          <cell r="R12837">
            <v>45946</v>
          </cell>
          <cell r="S12837">
            <v>228001</v>
          </cell>
        </row>
        <row r="12838">
          <cell r="K12838" t="str">
            <v>210014</v>
          </cell>
          <cell r="M12838">
            <v>2</v>
          </cell>
          <cell r="R12838">
            <v>45946</v>
          </cell>
          <cell r="S12838">
            <v>210014</v>
          </cell>
        </row>
        <row r="12839">
          <cell r="K12839" t="str">
            <v>201011</v>
          </cell>
          <cell r="M12839">
            <v>3</v>
          </cell>
          <cell r="R12839">
            <v>45946</v>
          </cell>
          <cell r="S12839">
            <v>201011</v>
          </cell>
        </row>
        <row r="12840">
          <cell r="K12840" t="str">
            <v>234011</v>
          </cell>
          <cell r="M12840">
            <v>1</v>
          </cell>
          <cell r="R12840">
            <v>45946</v>
          </cell>
          <cell r="S12840">
            <v>234011</v>
          </cell>
        </row>
        <row r="12841">
          <cell r="K12841" t="str">
            <v>241001</v>
          </cell>
          <cell r="M12841">
            <v>1</v>
          </cell>
          <cell r="R12841">
            <v>45946</v>
          </cell>
          <cell r="S12841">
            <v>241001</v>
          </cell>
        </row>
        <row r="12842">
          <cell r="K12842" t="str">
            <v>213002</v>
          </cell>
          <cell r="M12842">
            <v>5</v>
          </cell>
          <cell r="R12842">
            <v>45946</v>
          </cell>
          <cell r="S12842">
            <v>213002</v>
          </cell>
        </row>
        <row r="12843">
          <cell r="K12843" t="str">
            <v>201004</v>
          </cell>
          <cell r="M12843">
            <v>1</v>
          </cell>
          <cell r="R12843">
            <v>45946</v>
          </cell>
          <cell r="S12843">
            <v>201004</v>
          </cell>
        </row>
        <row r="12844">
          <cell r="K12844" t="str">
            <v>237002</v>
          </cell>
          <cell r="M12844">
            <v>1</v>
          </cell>
          <cell r="R12844">
            <v>45946</v>
          </cell>
          <cell r="S12844">
            <v>237002</v>
          </cell>
        </row>
        <row r="12845">
          <cell r="K12845" t="str">
            <v>241001</v>
          </cell>
          <cell r="M12845">
            <v>3</v>
          </cell>
          <cell r="R12845">
            <v>45946</v>
          </cell>
          <cell r="S12845">
            <v>241001</v>
          </cell>
        </row>
        <row r="12846">
          <cell r="K12846" t="str">
            <v>222001</v>
          </cell>
          <cell r="M12846">
            <v>5</v>
          </cell>
          <cell r="R12846">
            <v>45946</v>
          </cell>
          <cell r="S12846">
            <v>222001</v>
          </cell>
        </row>
        <row r="12847">
          <cell r="K12847" t="str">
            <v>222007</v>
          </cell>
          <cell r="M12847">
            <v>2</v>
          </cell>
          <cell r="R12847">
            <v>45946</v>
          </cell>
          <cell r="S12847">
            <v>222007</v>
          </cell>
        </row>
        <row r="12848">
          <cell r="K12848" t="str">
            <v>261004</v>
          </cell>
          <cell r="M12848">
            <v>1</v>
          </cell>
          <cell r="R12848">
            <v>45946</v>
          </cell>
          <cell r="S12848">
            <v>261004</v>
          </cell>
        </row>
        <row r="12849">
          <cell r="K12849" t="str">
            <v>213005</v>
          </cell>
          <cell r="M12849">
            <v>2</v>
          </cell>
          <cell r="R12849">
            <v>45946</v>
          </cell>
          <cell r="S12849">
            <v>213005</v>
          </cell>
        </row>
        <row r="12850">
          <cell r="K12850" t="str">
            <v>217021</v>
          </cell>
          <cell r="M12850">
            <v>1</v>
          </cell>
          <cell r="R12850">
            <v>45946</v>
          </cell>
          <cell r="S12850">
            <v>217021</v>
          </cell>
        </row>
        <row r="12851">
          <cell r="K12851" t="str">
            <v>201004</v>
          </cell>
          <cell r="M12851">
            <v>2</v>
          </cell>
          <cell r="R12851">
            <v>45946</v>
          </cell>
          <cell r="S12851">
            <v>201004</v>
          </cell>
        </row>
        <row r="12852">
          <cell r="K12852" t="str">
            <v>227002</v>
          </cell>
          <cell r="M12852">
            <v>1</v>
          </cell>
          <cell r="R12852">
            <v>45946</v>
          </cell>
          <cell r="S12852">
            <v>227002</v>
          </cell>
        </row>
        <row r="12853">
          <cell r="K12853" t="str">
            <v>201003</v>
          </cell>
          <cell r="M12853">
            <v>4</v>
          </cell>
          <cell r="R12853">
            <v>45946</v>
          </cell>
          <cell r="S12853">
            <v>201003</v>
          </cell>
        </row>
        <row r="12854">
          <cell r="K12854" t="str">
            <v>231004</v>
          </cell>
          <cell r="M12854">
            <v>1</v>
          </cell>
          <cell r="R12854">
            <v>45946</v>
          </cell>
          <cell r="S12854">
            <v>231004</v>
          </cell>
        </row>
        <row r="12855">
          <cell r="K12855" t="str">
            <v>201004</v>
          </cell>
          <cell r="M12855">
            <v>1</v>
          </cell>
          <cell r="R12855">
            <v>45946</v>
          </cell>
          <cell r="S12855">
            <v>201004</v>
          </cell>
        </row>
        <row r="12856">
          <cell r="K12856" t="str">
            <v>237002</v>
          </cell>
          <cell r="M12856">
            <v>1</v>
          </cell>
          <cell r="R12856">
            <v>45946</v>
          </cell>
          <cell r="S12856">
            <v>237002</v>
          </cell>
        </row>
        <row r="12857">
          <cell r="K12857" t="str">
            <v>226001</v>
          </cell>
          <cell r="M12857">
            <v>1</v>
          </cell>
          <cell r="R12857">
            <v>45946</v>
          </cell>
          <cell r="S12857">
            <v>226001</v>
          </cell>
        </row>
        <row r="12858">
          <cell r="K12858" t="str">
            <v>261004</v>
          </cell>
          <cell r="M12858">
            <v>20</v>
          </cell>
          <cell r="R12858">
            <v>45946</v>
          </cell>
          <cell r="S12858">
            <v>261004</v>
          </cell>
        </row>
        <row r="12859">
          <cell r="K12859" t="str">
            <v>228001</v>
          </cell>
          <cell r="M12859">
            <v>1</v>
          </cell>
          <cell r="R12859">
            <v>45947</v>
          </cell>
          <cell r="S12859">
            <v>228001</v>
          </cell>
        </row>
        <row r="12860">
          <cell r="K12860" t="str">
            <v>201011</v>
          </cell>
          <cell r="M12860">
            <v>3</v>
          </cell>
          <cell r="R12860">
            <v>45947</v>
          </cell>
          <cell r="S12860">
            <v>201011</v>
          </cell>
        </row>
        <row r="12861">
          <cell r="K12861" t="str">
            <v>201011</v>
          </cell>
          <cell r="M12861">
            <v>1</v>
          </cell>
          <cell r="R12861">
            <v>45946</v>
          </cell>
          <cell r="S12861">
            <v>201011</v>
          </cell>
        </row>
        <row r="12862">
          <cell r="K12862" t="str">
            <v>222001</v>
          </cell>
          <cell r="M12862">
            <v>1</v>
          </cell>
          <cell r="R12862">
            <v>45946</v>
          </cell>
          <cell r="S12862">
            <v>222001</v>
          </cell>
        </row>
        <row r="12863">
          <cell r="K12863" t="str">
            <v>228001</v>
          </cell>
          <cell r="M12863">
            <v>1</v>
          </cell>
          <cell r="R12863">
            <v>45947</v>
          </cell>
          <cell r="S12863">
            <v>228001</v>
          </cell>
        </row>
        <row r="12864">
          <cell r="K12864" t="str">
            <v>210004</v>
          </cell>
          <cell r="M12864">
            <v>1</v>
          </cell>
          <cell r="R12864">
            <v>45946</v>
          </cell>
          <cell r="S12864">
            <v>210004</v>
          </cell>
        </row>
        <row r="12865">
          <cell r="K12865" t="str">
            <v>210003</v>
          </cell>
          <cell r="M12865">
            <v>1</v>
          </cell>
          <cell r="R12865">
            <v>45946</v>
          </cell>
          <cell r="S12865">
            <v>210003</v>
          </cell>
        </row>
        <row r="12866">
          <cell r="K12866" t="str">
            <v>207017</v>
          </cell>
          <cell r="M12866">
            <v>1</v>
          </cell>
          <cell r="R12866">
            <v>45947</v>
          </cell>
          <cell r="S12866">
            <v>207017</v>
          </cell>
        </row>
        <row r="12867">
          <cell r="K12867" t="str">
            <v>229001</v>
          </cell>
          <cell r="M12867">
            <v>3</v>
          </cell>
          <cell r="R12867">
            <v>45947</v>
          </cell>
          <cell r="S12867">
            <v>229001</v>
          </cell>
        </row>
        <row r="12868">
          <cell r="K12868" t="str">
            <v>231012</v>
          </cell>
          <cell r="M12868">
            <v>1</v>
          </cell>
          <cell r="R12868">
            <v>45947</v>
          </cell>
          <cell r="S12868">
            <v>231012</v>
          </cell>
        </row>
        <row r="12869">
          <cell r="K12869" t="str">
            <v>207002</v>
          </cell>
          <cell r="M12869">
            <v>1</v>
          </cell>
          <cell r="R12869">
            <v>45947</v>
          </cell>
          <cell r="S12869">
            <v>207002</v>
          </cell>
        </row>
        <row r="12870">
          <cell r="K12870" t="str">
            <v>226001</v>
          </cell>
          <cell r="M12870">
            <v>1</v>
          </cell>
          <cell r="R12870">
            <v>45947</v>
          </cell>
          <cell r="S12870">
            <v>226001</v>
          </cell>
        </row>
        <row r="12871">
          <cell r="K12871" t="str">
            <v>223002</v>
          </cell>
          <cell r="M12871">
            <v>3</v>
          </cell>
          <cell r="R12871">
            <v>45946</v>
          </cell>
          <cell r="S12871">
            <v>223002</v>
          </cell>
        </row>
        <row r="12872">
          <cell r="K12872" t="str">
            <v>223001</v>
          </cell>
          <cell r="M12872">
            <v>3</v>
          </cell>
          <cell r="R12872">
            <v>45946</v>
          </cell>
          <cell r="S12872">
            <v>223001</v>
          </cell>
        </row>
        <row r="12873">
          <cell r="K12873" t="str">
            <v>227012</v>
          </cell>
          <cell r="M12873">
            <v>1</v>
          </cell>
          <cell r="R12873">
            <v>45946</v>
          </cell>
          <cell r="S12873">
            <v>227012</v>
          </cell>
        </row>
        <row r="12874">
          <cell r="K12874" t="str">
            <v>227002</v>
          </cell>
          <cell r="M12874">
            <v>2</v>
          </cell>
          <cell r="R12874">
            <v>45947</v>
          </cell>
          <cell r="S12874">
            <v>227002</v>
          </cell>
        </row>
        <row r="12875">
          <cell r="K12875" t="str">
            <v>209001</v>
          </cell>
          <cell r="M12875">
            <v>3</v>
          </cell>
          <cell r="R12875">
            <v>45947</v>
          </cell>
          <cell r="S12875">
            <v>209001</v>
          </cell>
        </row>
        <row r="12876">
          <cell r="K12876" t="str">
            <v>213002</v>
          </cell>
          <cell r="M12876">
            <v>1</v>
          </cell>
          <cell r="R12876">
            <v>45947</v>
          </cell>
          <cell r="S12876">
            <v>213002</v>
          </cell>
        </row>
        <row r="12877">
          <cell r="K12877" t="str">
            <v>203003</v>
          </cell>
          <cell r="M12877">
            <v>1</v>
          </cell>
          <cell r="R12877">
            <v>45947</v>
          </cell>
          <cell r="S12877">
            <v>203003</v>
          </cell>
        </row>
        <row r="12878">
          <cell r="K12878" t="str">
            <v>241001</v>
          </cell>
          <cell r="M12878">
            <v>2</v>
          </cell>
          <cell r="R12878">
            <v>45947</v>
          </cell>
          <cell r="S12878">
            <v>241001</v>
          </cell>
        </row>
        <row r="12879">
          <cell r="K12879" t="str">
            <v>228001</v>
          </cell>
          <cell r="M12879">
            <v>5</v>
          </cell>
          <cell r="R12879">
            <v>45947</v>
          </cell>
          <cell r="S12879">
            <v>228001</v>
          </cell>
        </row>
        <row r="12880">
          <cell r="K12880" t="str">
            <v>210013</v>
          </cell>
          <cell r="M12880">
            <v>1</v>
          </cell>
          <cell r="R12880">
            <v>45947</v>
          </cell>
          <cell r="S12880">
            <v>210013</v>
          </cell>
        </row>
        <row r="12881">
          <cell r="K12881" t="str">
            <v>223002</v>
          </cell>
          <cell r="M12881">
            <v>2</v>
          </cell>
          <cell r="R12881">
            <v>45947</v>
          </cell>
          <cell r="S12881">
            <v>223002</v>
          </cell>
        </row>
        <row r="12882">
          <cell r="K12882" t="str">
            <v>205004</v>
          </cell>
          <cell r="M12882">
            <v>1</v>
          </cell>
          <cell r="R12882">
            <v>45947</v>
          </cell>
          <cell r="S12882">
            <v>205004</v>
          </cell>
        </row>
        <row r="12883">
          <cell r="K12883" t="str">
            <v>226001</v>
          </cell>
          <cell r="M12883">
            <v>2</v>
          </cell>
          <cell r="R12883">
            <v>45947</v>
          </cell>
          <cell r="S12883">
            <v>226001</v>
          </cell>
        </row>
        <row r="12884">
          <cell r="K12884" t="str">
            <v>231012</v>
          </cell>
          <cell r="M12884">
            <v>1</v>
          </cell>
          <cell r="R12884">
            <v>45947</v>
          </cell>
          <cell r="S12884">
            <v>231012</v>
          </cell>
        </row>
        <row r="12885">
          <cell r="K12885" t="str">
            <v>212002</v>
          </cell>
          <cell r="M12885">
            <v>1</v>
          </cell>
          <cell r="R12885">
            <v>45947</v>
          </cell>
          <cell r="S12885">
            <v>212002</v>
          </cell>
        </row>
        <row r="12886">
          <cell r="K12886" t="str">
            <v>218001</v>
          </cell>
          <cell r="M12886">
            <v>2</v>
          </cell>
          <cell r="R12886">
            <v>45947</v>
          </cell>
          <cell r="S12886">
            <v>218001</v>
          </cell>
        </row>
        <row r="12887">
          <cell r="K12887" t="str">
            <v>234001</v>
          </cell>
          <cell r="M12887">
            <v>1</v>
          </cell>
          <cell r="R12887">
            <v>45947</v>
          </cell>
          <cell r="S12887">
            <v>234001</v>
          </cell>
        </row>
        <row r="12888">
          <cell r="K12888" t="str">
            <v>213006</v>
          </cell>
          <cell r="M12888">
            <v>1</v>
          </cell>
          <cell r="R12888">
            <v>45947</v>
          </cell>
          <cell r="S12888">
            <v>213006</v>
          </cell>
        </row>
        <row r="12889">
          <cell r="K12889" t="str">
            <v>226001</v>
          </cell>
          <cell r="M12889">
            <v>3</v>
          </cell>
          <cell r="R12889">
            <v>45947</v>
          </cell>
          <cell r="S12889">
            <v>226001</v>
          </cell>
        </row>
        <row r="12890">
          <cell r="K12890" t="str">
            <v>226001</v>
          </cell>
          <cell r="M12890">
            <v>1</v>
          </cell>
          <cell r="R12890">
            <v>45947</v>
          </cell>
          <cell r="S12890">
            <v>226001</v>
          </cell>
        </row>
        <row r="12891">
          <cell r="K12891" t="str">
            <v>217022</v>
          </cell>
          <cell r="M12891">
            <v>4</v>
          </cell>
          <cell r="R12891">
            <v>45947</v>
          </cell>
          <cell r="S12891">
            <v>217022</v>
          </cell>
        </row>
        <row r="12892">
          <cell r="K12892" t="str">
            <v>213006</v>
          </cell>
          <cell r="M12892">
            <v>2</v>
          </cell>
          <cell r="R12892">
            <v>45947</v>
          </cell>
          <cell r="S12892">
            <v>213006</v>
          </cell>
        </row>
        <row r="12893">
          <cell r="K12893" t="str">
            <v>201011</v>
          </cell>
          <cell r="M12893">
            <v>5</v>
          </cell>
          <cell r="R12893">
            <v>45946</v>
          </cell>
          <cell r="S12893">
            <v>201011</v>
          </cell>
        </row>
        <row r="12894">
          <cell r="K12894" t="str">
            <v>201021</v>
          </cell>
          <cell r="M12894">
            <v>3</v>
          </cell>
          <cell r="R12894">
            <v>45946</v>
          </cell>
          <cell r="S12894">
            <v>201021</v>
          </cell>
        </row>
        <row r="12895">
          <cell r="K12895" t="str">
            <v>213002</v>
          </cell>
          <cell r="M12895">
            <v>2</v>
          </cell>
          <cell r="R12895">
            <v>45946</v>
          </cell>
          <cell r="S12895">
            <v>213002</v>
          </cell>
        </row>
        <row r="12896">
          <cell r="K12896" t="str">
            <v>261004</v>
          </cell>
          <cell r="M12896">
            <v>4</v>
          </cell>
          <cell r="R12896">
            <v>45947</v>
          </cell>
          <cell r="S12896">
            <v>261004</v>
          </cell>
        </row>
        <row r="12897">
          <cell r="K12897" t="str">
            <v>228001</v>
          </cell>
          <cell r="M12897">
            <v>50</v>
          </cell>
          <cell r="R12897">
            <v>45949</v>
          </cell>
          <cell r="S12897">
            <v>228001</v>
          </cell>
        </row>
        <row r="12898">
          <cell r="K12898" t="str">
            <v>217018</v>
          </cell>
          <cell r="M12898">
            <v>15</v>
          </cell>
          <cell r="R12898">
            <v>45949</v>
          </cell>
          <cell r="S12898">
            <v>217018</v>
          </cell>
        </row>
        <row r="12899">
          <cell r="K12899" t="str">
            <v>228001</v>
          </cell>
          <cell r="M12899">
            <v>2</v>
          </cell>
          <cell r="R12899">
            <v>45949</v>
          </cell>
          <cell r="S12899">
            <v>228001</v>
          </cell>
        </row>
        <row r="12900">
          <cell r="K12900" t="str">
            <v>241001</v>
          </cell>
          <cell r="M12900">
            <v>1</v>
          </cell>
          <cell r="R12900">
            <v>45949</v>
          </cell>
          <cell r="S12900">
            <v>241001</v>
          </cell>
        </row>
        <row r="12901">
          <cell r="K12901" t="str">
            <v>234011</v>
          </cell>
          <cell r="M12901">
            <v>1</v>
          </cell>
          <cell r="R12901">
            <v>45949</v>
          </cell>
          <cell r="S12901">
            <v>234011</v>
          </cell>
        </row>
        <row r="12902">
          <cell r="K12902" t="str">
            <v>231010</v>
          </cell>
          <cell r="M12902">
            <v>4</v>
          </cell>
          <cell r="R12902">
            <v>45949</v>
          </cell>
          <cell r="S12902">
            <v>231010</v>
          </cell>
        </row>
        <row r="12903">
          <cell r="K12903" t="str">
            <v>223002</v>
          </cell>
          <cell r="M12903">
            <v>1</v>
          </cell>
          <cell r="R12903">
            <v>45949</v>
          </cell>
          <cell r="S12903">
            <v>223002</v>
          </cell>
        </row>
        <row r="12904">
          <cell r="K12904" t="str">
            <v>223001</v>
          </cell>
          <cell r="M12904">
            <v>10</v>
          </cell>
          <cell r="R12904">
            <v>45949</v>
          </cell>
          <cell r="S12904">
            <v>223001</v>
          </cell>
        </row>
        <row r="12905">
          <cell r="K12905" t="str">
            <v>227012</v>
          </cell>
          <cell r="M12905">
            <v>1</v>
          </cell>
          <cell r="R12905">
            <v>45949</v>
          </cell>
          <cell r="S12905">
            <v>227012</v>
          </cell>
        </row>
        <row r="12906">
          <cell r="K12906" t="str">
            <v>209022</v>
          </cell>
          <cell r="M12906">
            <v>4</v>
          </cell>
          <cell r="R12906">
            <v>45949</v>
          </cell>
          <cell r="S12906">
            <v>209022</v>
          </cell>
        </row>
        <row r="12907">
          <cell r="K12907" t="str">
            <v>241001</v>
          </cell>
          <cell r="M12907">
            <v>10</v>
          </cell>
          <cell r="R12907">
            <v>45949</v>
          </cell>
          <cell r="S12907">
            <v>241001</v>
          </cell>
        </row>
        <row r="12908">
          <cell r="K12908" t="str">
            <v>203003</v>
          </cell>
          <cell r="M12908">
            <v>1</v>
          </cell>
          <cell r="R12908">
            <v>45949</v>
          </cell>
          <cell r="S12908">
            <v>203003</v>
          </cell>
        </row>
        <row r="12909">
          <cell r="K12909" t="str">
            <v>209001</v>
          </cell>
          <cell r="M12909">
            <v>2</v>
          </cell>
          <cell r="R12909">
            <v>45949</v>
          </cell>
          <cell r="S12909">
            <v>209001</v>
          </cell>
        </row>
        <row r="12910">
          <cell r="K12910" t="str">
            <v>222001</v>
          </cell>
          <cell r="M12910">
            <v>1</v>
          </cell>
          <cell r="R12910">
            <v>45949</v>
          </cell>
          <cell r="S12910">
            <v>222001</v>
          </cell>
        </row>
        <row r="12911">
          <cell r="K12911" t="str">
            <v>223002</v>
          </cell>
          <cell r="M12911">
            <v>1</v>
          </cell>
          <cell r="R12911">
            <v>45949</v>
          </cell>
          <cell r="S12911">
            <v>223002</v>
          </cell>
        </row>
        <row r="12912">
          <cell r="K12912" t="str">
            <v>223001</v>
          </cell>
          <cell r="M12912">
            <v>1</v>
          </cell>
          <cell r="R12912">
            <v>45949</v>
          </cell>
          <cell r="S12912">
            <v>223001</v>
          </cell>
        </row>
        <row r="12913">
          <cell r="K12913" t="str">
            <v>222001</v>
          </cell>
          <cell r="M12913">
            <v>1</v>
          </cell>
          <cell r="R12913">
            <v>45949</v>
          </cell>
          <cell r="S12913">
            <v>222001</v>
          </cell>
        </row>
        <row r="12914">
          <cell r="K12914" t="str">
            <v>223002</v>
          </cell>
          <cell r="M12914">
            <v>1</v>
          </cell>
          <cell r="R12914">
            <v>45949</v>
          </cell>
          <cell r="S12914">
            <v>223002</v>
          </cell>
        </row>
        <row r="12915">
          <cell r="K12915" t="str">
            <v>261004</v>
          </cell>
          <cell r="M12915">
            <v>25</v>
          </cell>
          <cell r="R12915">
            <v>45949</v>
          </cell>
          <cell r="S12915">
            <v>261004</v>
          </cell>
        </row>
        <row r="12916">
          <cell r="K12916" t="str">
            <v>201011</v>
          </cell>
          <cell r="M12916">
            <v>4</v>
          </cell>
          <cell r="R12916">
            <v>45949</v>
          </cell>
          <cell r="S12916">
            <v>201011</v>
          </cell>
        </row>
        <row r="12917">
          <cell r="K12917" t="str">
            <v>241001</v>
          </cell>
          <cell r="M12917">
            <v>3</v>
          </cell>
          <cell r="R12917">
            <v>45950</v>
          </cell>
          <cell r="S12917">
            <v>241001</v>
          </cell>
        </row>
        <row r="12918">
          <cell r="K12918" t="str">
            <v>223001</v>
          </cell>
          <cell r="M12918">
            <v>2</v>
          </cell>
          <cell r="R12918">
            <v>45950</v>
          </cell>
          <cell r="S12918">
            <v>223001</v>
          </cell>
        </row>
        <row r="12919">
          <cell r="K12919" t="str">
            <v>223017</v>
          </cell>
          <cell r="M12919">
            <v>10</v>
          </cell>
          <cell r="R12919">
            <v>45950</v>
          </cell>
          <cell r="S12919">
            <v>223017</v>
          </cell>
        </row>
        <row r="12920">
          <cell r="K12920" t="str">
            <v>227001</v>
          </cell>
          <cell r="M12920">
            <v>6</v>
          </cell>
          <cell r="R12920">
            <v>45950</v>
          </cell>
          <cell r="S12920">
            <v>227001</v>
          </cell>
        </row>
        <row r="12921">
          <cell r="K12921" t="str">
            <v>220003</v>
          </cell>
          <cell r="M12921">
            <v>10</v>
          </cell>
          <cell r="R12921">
            <v>45950</v>
          </cell>
          <cell r="S12921">
            <v>220003</v>
          </cell>
        </row>
        <row r="12922">
          <cell r="K12922" t="str">
            <v>220003</v>
          </cell>
          <cell r="M12922">
            <v>9</v>
          </cell>
          <cell r="R12922">
            <v>45950</v>
          </cell>
          <cell r="S12922">
            <v>220003</v>
          </cell>
        </row>
        <row r="12923">
          <cell r="K12923" t="str">
            <v>241001</v>
          </cell>
          <cell r="M12923">
            <v>100</v>
          </cell>
          <cell r="R12923">
            <v>45947</v>
          </cell>
          <cell r="S12923">
            <v>241001</v>
          </cell>
        </row>
        <row r="12924">
          <cell r="K12924" t="str">
            <v>217011</v>
          </cell>
          <cell r="M12924">
            <v>1</v>
          </cell>
          <cell r="R12924">
            <v>45947</v>
          </cell>
          <cell r="S12924">
            <v>217011</v>
          </cell>
        </row>
        <row r="12925">
          <cell r="K12925" t="str">
            <v>217023</v>
          </cell>
          <cell r="M12925">
            <v>1</v>
          </cell>
          <cell r="R12925">
            <v>45950</v>
          </cell>
          <cell r="S12925">
            <v>217023</v>
          </cell>
        </row>
        <row r="12926">
          <cell r="K12926" t="str">
            <v>224001</v>
          </cell>
          <cell r="M12926">
            <v>1</v>
          </cell>
          <cell r="R12926">
            <v>45950</v>
          </cell>
          <cell r="S12926">
            <v>224001</v>
          </cell>
        </row>
        <row r="12927">
          <cell r="K12927" t="str">
            <v>231012</v>
          </cell>
          <cell r="M12927">
            <v>1</v>
          </cell>
          <cell r="R12927">
            <v>45947</v>
          </cell>
          <cell r="S12927">
            <v>231012</v>
          </cell>
        </row>
        <row r="12928">
          <cell r="K12928" t="str">
            <v>201011</v>
          </cell>
          <cell r="M12928">
            <v>6</v>
          </cell>
          <cell r="R12928">
            <v>45949</v>
          </cell>
          <cell r="S12928">
            <v>201011</v>
          </cell>
        </row>
        <row r="12929">
          <cell r="K12929" t="str">
            <v>222005</v>
          </cell>
          <cell r="M12929">
            <v>3</v>
          </cell>
          <cell r="R12929">
            <v>45950</v>
          </cell>
          <cell r="S12929">
            <v>222005</v>
          </cell>
        </row>
        <row r="12930">
          <cell r="K12930" t="str">
            <v>223002</v>
          </cell>
          <cell r="M12930">
            <v>10</v>
          </cell>
          <cell r="R12930">
            <v>45950</v>
          </cell>
          <cell r="S12930">
            <v>223002</v>
          </cell>
        </row>
        <row r="12931">
          <cell r="K12931" t="str">
            <v>220002</v>
          </cell>
          <cell r="M12931">
            <v>1</v>
          </cell>
          <cell r="R12931">
            <v>45950</v>
          </cell>
          <cell r="S12931">
            <v>220002</v>
          </cell>
        </row>
        <row r="12932">
          <cell r="K12932" t="str">
            <v>223001</v>
          </cell>
          <cell r="M12932">
            <v>4</v>
          </cell>
          <cell r="R12932">
            <v>45950</v>
          </cell>
          <cell r="S12932">
            <v>223001</v>
          </cell>
        </row>
        <row r="12933">
          <cell r="K12933" t="str">
            <v>241001</v>
          </cell>
          <cell r="M12933">
            <v>1</v>
          </cell>
          <cell r="R12933">
            <v>45950</v>
          </cell>
          <cell r="S12933">
            <v>241001</v>
          </cell>
        </row>
        <row r="12934">
          <cell r="K12934" t="str">
            <v>271002</v>
          </cell>
          <cell r="M12934">
            <v>1</v>
          </cell>
          <cell r="R12934">
            <v>45950</v>
          </cell>
          <cell r="S12934">
            <v>271002</v>
          </cell>
        </row>
        <row r="12935">
          <cell r="K12935" t="str">
            <v>220003</v>
          </cell>
          <cell r="M12935">
            <v>10</v>
          </cell>
          <cell r="R12935">
            <v>45950</v>
          </cell>
          <cell r="S12935">
            <v>220003</v>
          </cell>
        </row>
        <row r="12936">
          <cell r="K12936" t="str">
            <v>217018</v>
          </cell>
          <cell r="M12936">
            <v>15</v>
          </cell>
          <cell r="R12936">
            <v>45950</v>
          </cell>
          <cell r="S12936">
            <v>217018</v>
          </cell>
        </row>
        <row r="12937">
          <cell r="K12937" t="str">
            <v>231012</v>
          </cell>
          <cell r="M12937">
            <v>3</v>
          </cell>
          <cell r="R12937">
            <v>45950</v>
          </cell>
          <cell r="S12937">
            <v>231012</v>
          </cell>
        </row>
        <row r="12938">
          <cell r="K12938" t="str">
            <v>217018</v>
          </cell>
          <cell r="M12938">
            <v>70</v>
          </cell>
          <cell r="R12938">
            <v>45950</v>
          </cell>
          <cell r="S12938">
            <v>217018</v>
          </cell>
        </row>
        <row r="12939">
          <cell r="K12939" t="str">
            <v>213002</v>
          </cell>
          <cell r="M12939">
            <v>2</v>
          </cell>
          <cell r="R12939">
            <v>45950</v>
          </cell>
          <cell r="S12939">
            <v>213002</v>
          </cell>
        </row>
        <row r="12940">
          <cell r="K12940" t="str">
            <v>217022</v>
          </cell>
          <cell r="M12940">
            <v>1</v>
          </cell>
          <cell r="R12940">
            <v>45950</v>
          </cell>
          <cell r="S12940">
            <v>217022</v>
          </cell>
        </row>
        <row r="12941">
          <cell r="K12941" t="str">
            <v>207017</v>
          </cell>
          <cell r="M12941">
            <v>1</v>
          </cell>
          <cell r="R12941">
            <v>45950</v>
          </cell>
          <cell r="S12941">
            <v>207017</v>
          </cell>
        </row>
        <row r="12942">
          <cell r="K12942" t="str">
            <v>241001</v>
          </cell>
          <cell r="M12942">
            <v>5</v>
          </cell>
          <cell r="R12942">
            <v>45950</v>
          </cell>
          <cell r="S12942">
            <v>241001</v>
          </cell>
        </row>
        <row r="12943">
          <cell r="K12943" t="str">
            <v>228001</v>
          </cell>
          <cell r="M12943">
            <v>1</v>
          </cell>
          <cell r="R12943">
            <v>45950</v>
          </cell>
          <cell r="S12943">
            <v>228001</v>
          </cell>
        </row>
        <row r="12944">
          <cell r="K12944" t="str">
            <v>212035</v>
          </cell>
          <cell r="M12944">
            <v>1</v>
          </cell>
          <cell r="R12944">
            <v>45950</v>
          </cell>
          <cell r="S12944">
            <v>212035</v>
          </cell>
        </row>
        <row r="12945">
          <cell r="K12945" t="str">
            <v>207017</v>
          </cell>
          <cell r="M12945">
            <v>2</v>
          </cell>
          <cell r="R12945">
            <v>45950</v>
          </cell>
          <cell r="S12945">
            <v>207017</v>
          </cell>
        </row>
        <row r="12946">
          <cell r="K12946" t="str">
            <v>203003</v>
          </cell>
          <cell r="M12946">
            <v>4</v>
          </cell>
          <cell r="R12946">
            <v>45950</v>
          </cell>
          <cell r="S12946">
            <v>203003</v>
          </cell>
        </row>
        <row r="12947">
          <cell r="K12947" t="str">
            <v>229001</v>
          </cell>
          <cell r="M12947">
            <v>11</v>
          </cell>
          <cell r="R12947">
            <v>45950</v>
          </cell>
          <cell r="S12947">
            <v>229001</v>
          </cell>
        </row>
        <row r="12948">
          <cell r="K12948" t="str">
            <v>213002</v>
          </cell>
          <cell r="M12948">
            <v>5</v>
          </cell>
          <cell r="R12948">
            <v>45950</v>
          </cell>
          <cell r="S12948">
            <v>213002</v>
          </cell>
        </row>
        <row r="12949">
          <cell r="K12949" t="str">
            <v>201011</v>
          </cell>
          <cell r="M12949">
            <v>10</v>
          </cell>
          <cell r="R12949">
            <v>45950</v>
          </cell>
          <cell r="S12949">
            <v>201011</v>
          </cell>
        </row>
        <row r="12950">
          <cell r="K12950" t="str">
            <v>210013</v>
          </cell>
          <cell r="M12950">
            <v>1</v>
          </cell>
          <cell r="R12950">
            <v>45950</v>
          </cell>
          <cell r="S12950">
            <v>210013</v>
          </cell>
        </row>
        <row r="12951">
          <cell r="K12951" t="str">
            <v>213030</v>
          </cell>
          <cell r="M12951">
            <v>10</v>
          </cell>
          <cell r="R12951">
            <v>45950</v>
          </cell>
          <cell r="S12951">
            <v>213030</v>
          </cell>
        </row>
        <row r="12952">
          <cell r="K12952" t="str">
            <v>201011</v>
          </cell>
          <cell r="M12952">
            <v>5</v>
          </cell>
          <cell r="R12952">
            <v>45950</v>
          </cell>
          <cell r="S12952">
            <v>201011</v>
          </cell>
        </row>
        <row r="12953">
          <cell r="K12953" t="str">
            <v>228001</v>
          </cell>
          <cell r="M12953">
            <v>1</v>
          </cell>
          <cell r="R12953">
            <v>45950</v>
          </cell>
          <cell r="S12953">
            <v>228001</v>
          </cell>
        </row>
        <row r="12954">
          <cell r="K12954" t="str">
            <v>201011</v>
          </cell>
          <cell r="M12954">
            <v>5</v>
          </cell>
          <cell r="R12954">
            <v>45950</v>
          </cell>
          <cell r="S12954">
            <v>201011</v>
          </cell>
        </row>
        <row r="12955">
          <cell r="K12955" t="str">
            <v>231012</v>
          </cell>
          <cell r="M12955">
            <v>1</v>
          </cell>
          <cell r="R12955">
            <v>45950</v>
          </cell>
          <cell r="S12955">
            <v>231012</v>
          </cell>
        </row>
        <row r="12956">
          <cell r="K12956" t="str">
            <v>222001</v>
          </cell>
          <cell r="M12956">
            <v>1</v>
          </cell>
          <cell r="R12956">
            <v>45950</v>
          </cell>
          <cell r="S12956">
            <v>222001</v>
          </cell>
        </row>
        <row r="12957">
          <cell r="K12957" t="str">
            <v>226001</v>
          </cell>
          <cell r="M12957">
            <v>2</v>
          </cell>
          <cell r="R12957">
            <v>45950</v>
          </cell>
          <cell r="S12957">
            <v>226001</v>
          </cell>
        </row>
        <row r="12958">
          <cell r="K12958" t="str">
            <v>226001</v>
          </cell>
          <cell r="M12958">
            <v>1</v>
          </cell>
          <cell r="R12958">
            <v>45950</v>
          </cell>
          <cell r="S12958">
            <v>226001</v>
          </cell>
        </row>
        <row r="12959">
          <cell r="K12959" t="str">
            <v>226001</v>
          </cell>
          <cell r="M12959">
            <v>1</v>
          </cell>
          <cell r="R12959">
            <v>45950</v>
          </cell>
          <cell r="S12959">
            <v>226001</v>
          </cell>
        </row>
        <row r="12960">
          <cell r="K12960" t="str">
            <v>228001</v>
          </cell>
          <cell r="M12960">
            <v>2</v>
          </cell>
          <cell r="R12960">
            <v>45950</v>
          </cell>
          <cell r="S12960">
            <v>228001</v>
          </cell>
        </row>
        <row r="12961">
          <cell r="K12961" t="str">
            <v>201003</v>
          </cell>
          <cell r="M12961">
            <v>1</v>
          </cell>
          <cell r="R12961">
            <v>45950</v>
          </cell>
          <cell r="S12961">
            <v>201003</v>
          </cell>
        </row>
        <row r="12962">
          <cell r="K12962" t="str">
            <v>231012</v>
          </cell>
          <cell r="M12962">
            <v>1</v>
          </cell>
          <cell r="R12962">
            <v>45950</v>
          </cell>
          <cell r="S12962">
            <v>231012</v>
          </cell>
        </row>
        <row r="12963">
          <cell r="K12963" t="str">
            <v>212002</v>
          </cell>
          <cell r="M12963">
            <v>1</v>
          </cell>
          <cell r="R12963">
            <v>45950</v>
          </cell>
          <cell r="S12963">
            <v>212002</v>
          </cell>
        </row>
        <row r="12964">
          <cell r="K12964" t="str">
            <v>226001</v>
          </cell>
          <cell r="M12964">
            <v>1</v>
          </cell>
          <cell r="R12964">
            <v>45950</v>
          </cell>
          <cell r="S12964">
            <v>226001</v>
          </cell>
        </row>
        <row r="12965">
          <cell r="K12965" t="str">
            <v>201003</v>
          </cell>
          <cell r="M12965">
            <v>1</v>
          </cell>
          <cell r="R12965">
            <v>45950</v>
          </cell>
          <cell r="S12965">
            <v>201003</v>
          </cell>
        </row>
        <row r="12966">
          <cell r="K12966" t="str">
            <v>207017</v>
          </cell>
          <cell r="M12966">
            <v>1</v>
          </cell>
          <cell r="R12966">
            <v>45950</v>
          </cell>
          <cell r="S12966">
            <v>207017</v>
          </cell>
        </row>
        <row r="12967">
          <cell r="K12967" t="str">
            <v>209004</v>
          </cell>
          <cell r="M12967">
            <v>1</v>
          </cell>
          <cell r="R12967">
            <v>45950</v>
          </cell>
          <cell r="S12967">
            <v>209004</v>
          </cell>
        </row>
        <row r="12968">
          <cell r="K12968" t="str">
            <v>212002</v>
          </cell>
          <cell r="M12968">
            <v>1</v>
          </cell>
          <cell r="R12968">
            <v>45950</v>
          </cell>
          <cell r="S12968">
            <v>212002</v>
          </cell>
        </row>
        <row r="12969">
          <cell r="K12969" t="str">
            <v>228001</v>
          </cell>
          <cell r="M12969">
            <v>3</v>
          </cell>
          <cell r="R12969">
            <v>45950</v>
          </cell>
          <cell r="S12969">
            <v>228001</v>
          </cell>
        </row>
        <row r="12970">
          <cell r="K12970" t="str">
            <v>227014</v>
          </cell>
          <cell r="M12970">
            <v>3</v>
          </cell>
          <cell r="R12970">
            <v>45950</v>
          </cell>
          <cell r="S12970">
            <v>227014</v>
          </cell>
        </row>
        <row r="12971">
          <cell r="K12971" t="str">
            <v>210013</v>
          </cell>
          <cell r="M12971">
            <v>1</v>
          </cell>
          <cell r="R12971">
            <v>45950</v>
          </cell>
          <cell r="S12971">
            <v>210013</v>
          </cell>
        </row>
        <row r="12972">
          <cell r="K12972" t="str">
            <v>231012</v>
          </cell>
          <cell r="M12972">
            <v>1</v>
          </cell>
          <cell r="R12972">
            <v>45950</v>
          </cell>
          <cell r="S12972">
            <v>231012</v>
          </cell>
        </row>
        <row r="12973">
          <cell r="K12973" t="str">
            <v>228001</v>
          </cell>
          <cell r="M12973">
            <v>9</v>
          </cell>
          <cell r="R12973">
            <v>45950</v>
          </cell>
          <cell r="S12973">
            <v>228001</v>
          </cell>
        </row>
        <row r="12974">
          <cell r="K12974" t="str">
            <v>209012</v>
          </cell>
          <cell r="M12974">
            <v>2</v>
          </cell>
          <cell r="R12974">
            <v>45950</v>
          </cell>
          <cell r="S12974">
            <v>209012</v>
          </cell>
        </row>
        <row r="12975">
          <cell r="K12975" t="str">
            <v>201011</v>
          </cell>
          <cell r="M12975">
            <v>2</v>
          </cell>
          <cell r="R12975">
            <v>45950</v>
          </cell>
          <cell r="S12975">
            <v>201011</v>
          </cell>
        </row>
        <row r="12976">
          <cell r="K12976" t="str">
            <v>212002</v>
          </cell>
          <cell r="M12976">
            <v>2</v>
          </cell>
          <cell r="R12976">
            <v>45950</v>
          </cell>
          <cell r="S12976">
            <v>212002</v>
          </cell>
        </row>
        <row r="12977">
          <cell r="K12977" t="str">
            <v>228001</v>
          </cell>
          <cell r="M12977">
            <v>3</v>
          </cell>
          <cell r="R12977">
            <v>45950</v>
          </cell>
          <cell r="S12977">
            <v>228001</v>
          </cell>
        </row>
        <row r="12978">
          <cell r="K12978" t="str">
            <v>223002</v>
          </cell>
          <cell r="M12978">
            <v>2</v>
          </cell>
          <cell r="R12978">
            <v>45949</v>
          </cell>
          <cell r="S12978">
            <v>223002</v>
          </cell>
        </row>
        <row r="12979">
          <cell r="K12979" t="str">
            <v>213002</v>
          </cell>
          <cell r="M12979">
            <v>5</v>
          </cell>
          <cell r="R12979">
            <v>45949</v>
          </cell>
          <cell r="S12979">
            <v>213002</v>
          </cell>
        </row>
        <row r="12980">
          <cell r="K12980" t="str">
            <v>223001</v>
          </cell>
          <cell r="M12980">
            <v>1</v>
          </cell>
          <cell r="R12980">
            <v>45949</v>
          </cell>
          <cell r="S12980">
            <v>223001</v>
          </cell>
        </row>
        <row r="12981">
          <cell r="K12981" t="str">
            <v>223004</v>
          </cell>
          <cell r="M12981">
            <v>1</v>
          </cell>
          <cell r="R12981">
            <v>45949</v>
          </cell>
          <cell r="S12981">
            <v>223004</v>
          </cell>
        </row>
        <row r="12982">
          <cell r="K12982" t="str">
            <v>201011</v>
          </cell>
          <cell r="M12982">
            <v>10</v>
          </cell>
          <cell r="R12982">
            <v>45950</v>
          </cell>
          <cell r="S12982">
            <v>201011</v>
          </cell>
        </row>
        <row r="12983">
          <cell r="K12983" t="str">
            <v>228001</v>
          </cell>
          <cell r="M12983">
            <v>2</v>
          </cell>
          <cell r="R12983">
            <v>45950</v>
          </cell>
          <cell r="S12983">
            <v>228001</v>
          </cell>
        </row>
        <row r="12984">
          <cell r="K12984" t="str">
            <v>209017</v>
          </cell>
          <cell r="M12984">
            <v>1</v>
          </cell>
          <cell r="R12984">
            <v>45950</v>
          </cell>
          <cell r="S12984">
            <v>209017</v>
          </cell>
        </row>
        <row r="12985">
          <cell r="K12985" t="str">
            <v>201011</v>
          </cell>
          <cell r="M12985">
            <v>1</v>
          </cell>
          <cell r="R12985">
            <v>45950</v>
          </cell>
          <cell r="S12985">
            <v>201011</v>
          </cell>
        </row>
        <row r="12986">
          <cell r="K12986" t="str">
            <v>220003</v>
          </cell>
          <cell r="M12986">
            <v>1</v>
          </cell>
          <cell r="R12986">
            <v>45950</v>
          </cell>
          <cell r="S12986">
            <v>220003</v>
          </cell>
        </row>
        <row r="12987">
          <cell r="K12987" t="str">
            <v>227012</v>
          </cell>
          <cell r="M12987">
            <v>3</v>
          </cell>
          <cell r="R12987">
            <v>45950</v>
          </cell>
          <cell r="S12987">
            <v>227012</v>
          </cell>
        </row>
        <row r="12988">
          <cell r="K12988" t="str">
            <v>201011</v>
          </cell>
          <cell r="M12988">
            <v>4</v>
          </cell>
          <cell r="R12988">
            <v>45950</v>
          </cell>
          <cell r="S12988">
            <v>201011</v>
          </cell>
        </row>
        <row r="12989">
          <cell r="K12989" t="str">
            <v>241001</v>
          </cell>
          <cell r="M12989">
            <v>30</v>
          </cell>
          <cell r="R12989">
            <v>45950</v>
          </cell>
          <cell r="S12989">
            <v>241001</v>
          </cell>
        </row>
        <row r="12990">
          <cell r="K12990" t="str">
            <v>213006</v>
          </cell>
          <cell r="M12990">
            <v>1</v>
          </cell>
          <cell r="R12990">
            <v>45950</v>
          </cell>
          <cell r="S12990">
            <v>213006</v>
          </cell>
        </row>
        <row r="12991">
          <cell r="K12991" t="str">
            <v>217022</v>
          </cell>
          <cell r="M12991">
            <v>4</v>
          </cell>
          <cell r="R12991">
            <v>45950</v>
          </cell>
          <cell r="S12991">
            <v>217022</v>
          </cell>
        </row>
        <row r="12992">
          <cell r="K12992" t="str">
            <v>217022</v>
          </cell>
          <cell r="M12992">
            <v>2</v>
          </cell>
          <cell r="R12992">
            <v>45950</v>
          </cell>
          <cell r="S12992">
            <v>217022</v>
          </cell>
        </row>
        <row r="12993">
          <cell r="K12993" t="str">
            <v>201011</v>
          </cell>
          <cell r="M12993">
            <v>20</v>
          </cell>
          <cell r="R12993">
            <v>45950</v>
          </cell>
          <cell r="S12993">
            <v>201011</v>
          </cell>
        </row>
        <row r="12994">
          <cell r="K12994" t="str">
            <v>220003</v>
          </cell>
          <cell r="M12994">
            <v>1</v>
          </cell>
          <cell r="R12994">
            <v>45950</v>
          </cell>
          <cell r="S12994">
            <v>220003</v>
          </cell>
        </row>
        <row r="12995">
          <cell r="K12995" t="str">
            <v>213005</v>
          </cell>
          <cell r="M12995">
            <v>1</v>
          </cell>
          <cell r="R12995">
            <v>45950</v>
          </cell>
          <cell r="S12995">
            <v>213005</v>
          </cell>
        </row>
        <row r="12996">
          <cell r="K12996" t="str">
            <v>226001</v>
          </cell>
          <cell r="M12996">
            <v>2</v>
          </cell>
          <cell r="R12996">
            <v>45950</v>
          </cell>
          <cell r="S12996">
            <v>226001</v>
          </cell>
        </row>
        <row r="12997">
          <cell r="K12997" t="str">
            <v>226024</v>
          </cell>
          <cell r="M12997">
            <v>1</v>
          </cell>
          <cell r="R12997">
            <v>45950</v>
          </cell>
          <cell r="S12997">
            <v>226024</v>
          </cell>
        </row>
        <row r="12998">
          <cell r="K12998" t="str">
            <v>210010</v>
          </cell>
          <cell r="M12998">
            <v>2</v>
          </cell>
          <cell r="R12998">
            <v>45950</v>
          </cell>
          <cell r="S12998">
            <v>210010</v>
          </cell>
        </row>
        <row r="12999">
          <cell r="K12999" t="str">
            <v>241001</v>
          </cell>
          <cell r="M12999">
            <v>7</v>
          </cell>
          <cell r="R12999">
            <v>45950</v>
          </cell>
          <cell r="S12999">
            <v>241001</v>
          </cell>
        </row>
        <row r="13000">
          <cell r="K13000" t="str">
            <v>226001</v>
          </cell>
          <cell r="M13000">
            <v>1</v>
          </cell>
          <cell r="R13000">
            <v>45950</v>
          </cell>
          <cell r="S13000">
            <v>226001</v>
          </cell>
        </row>
        <row r="13001">
          <cell r="K13001" t="str">
            <v>213005</v>
          </cell>
          <cell r="M13001">
            <v>1</v>
          </cell>
          <cell r="R13001">
            <v>45950</v>
          </cell>
          <cell r="S13001">
            <v>213005</v>
          </cell>
        </row>
        <row r="13002">
          <cell r="K13002" t="str">
            <v>201021</v>
          </cell>
          <cell r="M13002">
            <v>3</v>
          </cell>
          <cell r="R13002">
            <v>45950</v>
          </cell>
          <cell r="S13002">
            <v>201021</v>
          </cell>
        </row>
        <row r="13003">
          <cell r="K13003" t="str">
            <v>217019</v>
          </cell>
          <cell r="M13003">
            <v>4</v>
          </cell>
          <cell r="R13003">
            <v>45950</v>
          </cell>
          <cell r="S13003">
            <v>217019</v>
          </cell>
        </row>
        <row r="13004">
          <cell r="K13004" t="str">
            <v>241001</v>
          </cell>
          <cell r="M13004">
            <v>3</v>
          </cell>
          <cell r="R13004">
            <v>45950</v>
          </cell>
          <cell r="S13004">
            <v>241001</v>
          </cell>
        </row>
        <row r="13005">
          <cell r="K13005" t="str">
            <v>222001</v>
          </cell>
          <cell r="M13005">
            <v>5</v>
          </cell>
          <cell r="R13005">
            <v>45950</v>
          </cell>
          <cell r="S13005">
            <v>222001</v>
          </cell>
        </row>
        <row r="13006">
          <cell r="K13006" t="str">
            <v>222007</v>
          </cell>
          <cell r="M13006">
            <v>2</v>
          </cell>
          <cell r="R13006">
            <v>45950</v>
          </cell>
          <cell r="S13006">
            <v>222007</v>
          </cell>
        </row>
        <row r="13007">
          <cell r="K13007" t="str">
            <v>213005</v>
          </cell>
          <cell r="M13007">
            <v>2</v>
          </cell>
          <cell r="R13007">
            <v>45950</v>
          </cell>
          <cell r="S13007">
            <v>213005</v>
          </cell>
        </row>
        <row r="13008">
          <cell r="K13008" t="str">
            <v>223001</v>
          </cell>
          <cell r="M13008">
            <v>4</v>
          </cell>
          <cell r="R13008">
            <v>45950</v>
          </cell>
          <cell r="S13008">
            <v>223001</v>
          </cell>
        </row>
        <row r="13009">
          <cell r="K13009" t="str">
            <v>201011</v>
          </cell>
          <cell r="M13009">
            <v>3</v>
          </cell>
          <cell r="R13009">
            <v>45950</v>
          </cell>
          <cell r="S13009">
            <v>201011</v>
          </cell>
        </row>
        <row r="13010">
          <cell r="K13010" t="str">
            <v>241001</v>
          </cell>
          <cell r="M13010">
            <v>1</v>
          </cell>
          <cell r="R13010">
            <v>45950</v>
          </cell>
          <cell r="S13010">
            <v>241001</v>
          </cell>
        </row>
        <row r="13011">
          <cell r="K13011" t="str">
            <v>227012</v>
          </cell>
          <cell r="M13011">
            <v>2</v>
          </cell>
          <cell r="R13011">
            <v>45950</v>
          </cell>
          <cell r="S13011">
            <v>227012</v>
          </cell>
        </row>
        <row r="13012">
          <cell r="K13012" t="str">
            <v>227012</v>
          </cell>
          <cell r="M13012">
            <v>1</v>
          </cell>
          <cell r="R13012">
            <v>45950</v>
          </cell>
          <cell r="S13012">
            <v>227012</v>
          </cell>
        </row>
        <row r="13013">
          <cell r="K13013" t="str">
            <v>228001</v>
          </cell>
          <cell r="M13013">
            <v>1</v>
          </cell>
          <cell r="R13013">
            <v>45950</v>
          </cell>
          <cell r="S13013">
            <v>228001</v>
          </cell>
        </row>
        <row r="13014">
          <cell r="K13014" t="str">
            <v>231012</v>
          </cell>
          <cell r="M13014">
            <v>1</v>
          </cell>
          <cell r="R13014">
            <v>45951</v>
          </cell>
          <cell r="S13014">
            <v>231012</v>
          </cell>
        </row>
        <row r="13015">
          <cell r="K13015" t="str">
            <v>201021</v>
          </cell>
          <cell r="M13015">
            <v>2</v>
          </cell>
          <cell r="R13015">
            <v>45951</v>
          </cell>
          <cell r="S13015">
            <v>201021</v>
          </cell>
        </row>
        <row r="13016">
          <cell r="K13016" t="str">
            <v>271002</v>
          </cell>
          <cell r="M13016">
            <v>1</v>
          </cell>
          <cell r="R13016">
            <v>45951</v>
          </cell>
          <cell r="S13016">
            <v>271002</v>
          </cell>
        </row>
        <row r="13017">
          <cell r="K13017" t="str">
            <v>201022</v>
          </cell>
          <cell r="M13017">
            <v>1</v>
          </cell>
          <cell r="R13017">
            <v>45951</v>
          </cell>
          <cell r="S13017">
            <v>201022</v>
          </cell>
        </row>
        <row r="13018">
          <cell r="K13018" t="str">
            <v>223002</v>
          </cell>
          <cell r="M13018">
            <v>3</v>
          </cell>
          <cell r="R13018">
            <v>45951</v>
          </cell>
          <cell r="S13018">
            <v>223002</v>
          </cell>
        </row>
        <row r="13019">
          <cell r="K13019" t="str">
            <v>223001</v>
          </cell>
          <cell r="M13019">
            <v>1</v>
          </cell>
          <cell r="R13019">
            <v>45951</v>
          </cell>
          <cell r="S13019">
            <v>223001</v>
          </cell>
        </row>
        <row r="13020">
          <cell r="K13020" t="str">
            <v>201003</v>
          </cell>
          <cell r="M13020">
            <v>1</v>
          </cell>
          <cell r="R13020">
            <v>45951</v>
          </cell>
          <cell r="S13020">
            <v>201003</v>
          </cell>
        </row>
        <row r="13021">
          <cell r="K13021" t="str">
            <v>201011</v>
          </cell>
          <cell r="M13021">
            <v>1</v>
          </cell>
          <cell r="R13021">
            <v>45951</v>
          </cell>
          <cell r="S13021">
            <v>201011</v>
          </cell>
        </row>
        <row r="13022">
          <cell r="K13022" t="str">
            <v>201003</v>
          </cell>
          <cell r="M13022">
            <v>2</v>
          </cell>
          <cell r="R13022">
            <v>45951</v>
          </cell>
          <cell r="S13022">
            <v>201003</v>
          </cell>
        </row>
        <row r="13023">
          <cell r="K13023" t="str">
            <v>213002</v>
          </cell>
          <cell r="M13023">
            <v>15</v>
          </cell>
          <cell r="R13023">
            <v>45951</v>
          </cell>
          <cell r="S13023">
            <v>213002</v>
          </cell>
        </row>
        <row r="13024">
          <cell r="K13024" t="str">
            <v>223002</v>
          </cell>
          <cell r="M13024">
            <v>3</v>
          </cell>
          <cell r="R13024">
            <v>45951</v>
          </cell>
          <cell r="S13024">
            <v>223002</v>
          </cell>
        </row>
        <row r="13025">
          <cell r="K13025" t="str">
            <v>203001</v>
          </cell>
          <cell r="M13025">
            <v>1</v>
          </cell>
          <cell r="R13025">
            <v>45951</v>
          </cell>
          <cell r="S13025">
            <v>203001</v>
          </cell>
        </row>
        <row r="13026">
          <cell r="K13026" t="str">
            <v>210013</v>
          </cell>
          <cell r="M13026">
            <v>2</v>
          </cell>
          <cell r="R13026">
            <v>45951</v>
          </cell>
          <cell r="S13026">
            <v>210013</v>
          </cell>
        </row>
        <row r="13027">
          <cell r="K13027" t="str">
            <v>229003</v>
          </cell>
          <cell r="M13027">
            <v>2</v>
          </cell>
          <cell r="R13027">
            <v>45951</v>
          </cell>
          <cell r="S13027">
            <v>229003</v>
          </cell>
        </row>
        <row r="13028">
          <cell r="K13028" t="str">
            <v>228001</v>
          </cell>
          <cell r="M13028">
            <v>2</v>
          </cell>
          <cell r="R13028">
            <v>45951</v>
          </cell>
          <cell r="S13028">
            <v>228001</v>
          </cell>
        </row>
        <row r="13029">
          <cell r="K13029" t="str">
            <v>241001</v>
          </cell>
          <cell r="M13029">
            <v>3</v>
          </cell>
          <cell r="R13029">
            <v>45951</v>
          </cell>
          <cell r="S13029">
            <v>241001</v>
          </cell>
        </row>
        <row r="13030">
          <cell r="K13030" t="str">
            <v>228001</v>
          </cell>
          <cell r="M13030">
            <v>2</v>
          </cell>
          <cell r="R13030">
            <v>45951</v>
          </cell>
          <cell r="S13030">
            <v>228001</v>
          </cell>
        </row>
        <row r="13031">
          <cell r="K13031" t="str">
            <v>201021</v>
          </cell>
          <cell r="M13031">
            <v>2</v>
          </cell>
          <cell r="R13031">
            <v>45951</v>
          </cell>
          <cell r="S13031">
            <v>201021</v>
          </cell>
        </row>
        <row r="13032">
          <cell r="K13032" t="str">
            <v>228001</v>
          </cell>
          <cell r="M13032">
            <v>12</v>
          </cell>
          <cell r="R13032">
            <v>45951</v>
          </cell>
          <cell r="S13032">
            <v>228001</v>
          </cell>
        </row>
        <row r="13033">
          <cell r="K13033" t="str">
            <v>228001</v>
          </cell>
          <cell r="M13033">
            <v>6</v>
          </cell>
          <cell r="R13033">
            <v>45951</v>
          </cell>
          <cell r="S13033">
            <v>228001</v>
          </cell>
        </row>
        <row r="13034">
          <cell r="K13034" t="str">
            <v>213006</v>
          </cell>
          <cell r="M13034">
            <v>4</v>
          </cell>
          <cell r="R13034">
            <v>45951</v>
          </cell>
          <cell r="S13034">
            <v>213006</v>
          </cell>
        </row>
        <row r="13035">
          <cell r="K13035" t="str">
            <v>226001</v>
          </cell>
          <cell r="M13035">
            <v>3</v>
          </cell>
          <cell r="R13035">
            <v>45951</v>
          </cell>
          <cell r="S13035">
            <v>226001</v>
          </cell>
        </row>
        <row r="13036">
          <cell r="K13036" t="str">
            <v>201011</v>
          </cell>
          <cell r="M13036">
            <v>6</v>
          </cell>
          <cell r="R13036">
            <v>45951</v>
          </cell>
          <cell r="S13036">
            <v>201011</v>
          </cell>
        </row>
        <row r="13037">
          <cell r="K13037" t="str">
            <v>212035</v>
          </cell>
          <cell r="M13037">
            <v>1</v>
          </cell>
          <cell r="R13037">
            <v>45951</v>
          </cell>
          <cell r="S13037">
            <v>212035</v>
          </cell>
        </row>
        <row r="13038">
          <cell r="K13038" t="str">
            <v>213006</v>
          </cell>
          <cell r="M13038">
            <v>2</v>
          </cell>
          <cell r="R13038">
            <v>45951</v>
          </cell>
          <cell r="S13038">
            <v>213006</v>
          </cell>
        </row>
        <row r="13039">
          <cell r="K13039" t="str">
            <v>213002</v>
          </cell>
          <cell r="M13039">
            <v>5</v>
          </cell>
          <cell r="R13039">
            <v>45951</v>
          </cell>
          <cell r="S13039">
            <v>213002</v>
          </cell>
        </row>
        <row r="13040">
          <cell r="K13040" t="str">
            <v>217011</v>
          </cell>
          <cell r="M13040">
            <v>15</v>
          </cell>
          <cell r="R13040">
            <v>45951</v>
          </cell>
          <cell r="S13040">
            <v>217011</v>
          </cell>
        </row>
        <row r="13041">
          <cell r="K13041" t="str">
            <v>201011</v>
          </cell>
          <cell r="M13041">
            <v>36</v>
          </cell>
          <cell r="R13041">
            <v>45951</v>
          </cell>
          <cell r="S13041">
            <v>201011</v>
          </cell>
        </row>
        <row r="13042">
          <cell r="K13042" t="str">
            <v>201011</v>
          </cell>
          <cell r="M13042">
            <v>22</v>
          </cell>
          <cell r="R13042">
            <v>45951</v>
          </cell>
          <cell r="S13042">
            <v>201011</v>
          </cell>
        </row>
        <row r="13043">
          <cell r="K13043" t="str">
            <v>218001</v>
          </cell>
          <cell r="M13043">
            <v>1</v>
          </cell>
          <cell r="R13043">
            <v>45951</v>
          </cell>
          <cell r="S13043">
            <v>218001</v>
          </cell>
        </row>
        <row r="13044">
          <cell r="K13044" t="str">
            <v>231012</v>
          </cell>
          <cell r="M13044">
            <v>1</v>
          </cell>
          <cell r="R13044">
            <v>45951</v>
          </cell>
          <cell r="S13044">
            <v>231012</v>
          </cell>
        </row>
        <row r="13045">
          <cell r="K13045" t="str">
            <v>203003</v>
          </cell>
          <cell r="M13045">
            <v>1</v>
          </cell>
          <cell r="R13045">
            <v>45951</v>
          </cell>
          <cell r="S13045">
            <v>203003</v>
          </cell>
        </row>
        <row r="13046">
          <cell r="K13046" t="str">
            <v>207017</v>
          </cell>
          <cell r="M13046">
            <v>1</v>
          </cell>
          <cell r="R13046">
            <v>45951</v>
          </cell>
          <cell r="S13046">
            <v>207017</v>
          </cell>
        </row>
        <row r="13047">
          <cell r="K13047" t="str">
            <v>228001</v>
          </cell>
          <cell r="M13047">
            <v>3</v>
          </cell>
          <cell r="R13047">
            <v>45951</v>
          </cell>
          <cell r="S13047">
            <v>228001</v>
          </cell>
        </row>
        <row r="13048">
          <cell r="K13048" t="str">
            <v>212002</v>
          </cell>
          <cell r="M13048">
            <v>1</v>
          </cell>
          <cell r="R13048">
            <v>45951</v>
          </cell>
          <cell r="S13048">
            <v>212002</v>
          </cell>
        </row>
        <row r="13049">
          <cell r="K13049" t="str">
            <v>209012</v>
          </cell>
          <cell r="M13049">
            <v>2</v>
          </cell>
          <cell r="R13049">
            <v>45951</v>
          </cell>
          <cell r="S13049">
            <v>209012</v>
          </cell>
        </row>
        <row r="13050">
          <cell r="K13050" t="str">
            <v>228001</v>
          </cell>
          <cell r="M13050">
            <v>1</v>
          </cell>
          <cell r="R13050">
            <v>45951</v>
          </cell>
          <cell r="S13050">
            <v>228001</v>
          </cell>
        </row>
        <row r="13051">
          <cell r="K13051" t="str">
            <v>207017</v>
          </cell>
          <cell r="M13051">
            <v>1</v>
          </cell>
          <cell r="R13051">
            <v>45951</v>
          </cell>
          <cell r="S13051">
            <v>207017</v>
          </cell>
        </row>
        <row r="13052">
          <cell r="K13052" t="str">
            <v>203003</v>
          </cell>
          <cell r="M13052">
            <v>1</v>
          </cell>
          <cell r="R13052">
            <v>45951</v>
          </cell>
          <cell r="S13052">
            <v>203003</v>
          </cell>
        </row>
        <row r="13053">
          <cell r="K13053" t="str">
            <v>226001</v>
          </cell>
          <cell r="M13053">
            <v>6</v>
          </cell>
          <cell r="R13053">
            <v>45951</v>
          </cell>
          <cell r="S13053">
            <v>226001</v>
          </cell>
        </row>
        <row r="13054">
          <cell r="K13054" t="str">
            <v>228001</v>
          </cell>
          <cell r="M13054">
            <v>1</v>
          </cell>
          <cell r="R13054">
            <v>45951</v>
          </cell>
          <cell r="S13054">
            <v>228001</v>
          </cell>
        </row>
        <row r="13055">
          <cell r="K13055" t="str">
            <v>226001</v>
          </cell>
          <cell r="M13055">
            <v>1</v>
          </cell>
          <cell r="R13055">
            <v>45951</v>
          </cell>
          <cell r="S13055">
            <v>226001</v>
          </cell>
        </row>
        <row r="13056">
          <cell r="K13056" t="str">
            <v>237002</v>
          </cell>
          <cell r="M13056">
            <v>1</v>
          </cell>
          <cell r="R13056">
            <v>45952</v>
          </cell>
          <cell r="S13056">
            <v>237002</v>
          </cell>
        </row>
        <row r="13057">
          <cell r="K13057" t="str">
            <v>201011</v>
          </cell>
          <cell r="M13057">
            <v>5</v>
          </cell>
          <cell r="R13057">
            <v>45952</v>
          </cell>
          <cell r="S13057">
            <v>201011</v>
          </cell>
        </row>
        <row r="13058">
          <cell r="K13058" t="str">
            <v>217011</v>
          </cell>
          <cell r="M13058">
            <v>2</v>
          </cell>
          <cell r="R13058">
            <v>45952</v>
          </cell>
          <cell r="S13058">
            <v>217011</v>
          </cell>
        </row>
        <row r="13059">
          <cell r="K13059" t="str">
            <v>241001</v>
          </cell>
          <cell r="M13059">
            <v>4</v>
          </cell>
          <cell r="R13059">
            <v>45952</v>
          </cell>
          <cell r="S13059">
            <v>241001</v>
          </cell>
        </row>
        <row r="13060">
          <cell r="K13060" t="str">
            <v>228001</v>
          </cell>
          <cell r="M13060">
            <v>2</v>
          </cell>
          <cell r="R13060">
            <v>45952</v>
          </cell>
          <cell r="S13060">
            <v>228001</v>
          </cell>
        </row>
        <row r="13061">
          <cell r="K13061" t="str">
            <v>212035</v>
          </cell>
          <cell r="M13061">
            <v>3</v>
          </cell>
          <cell r="R13061">
            <v>45952</v>
          </cell>
          <cell r="S13061">
            <v>212035</v>
          </cell>
        </row>
        <row r="13062">
          <cell r="K13062" t="str">
            <v>228001</v>
          </cell>
          <cell r="M13062">
            <v>5</v>
          </cell>
          <cell r="R13062">
            <v>45952</v>
          </cell>
          <cell r="S13062">
            <v>228001</v>
          </cell>
        </row>
        <row r="13063">
          <cell r="K13063" t="str">
            <v>203003</v>
          </cell>
          <cell r="M13063">
            <v>4</v>
          </cell>
          <cell r="R13063">
            <v>45950</v>
          </cell>
          <cell r="S13063">
            <v>203003</v>
          </cell>
        </row>
        <row r="13064">
          <cell r="K13064" t="str">
            <v>207017</v>
          </cell>
          <cell r="M13064">
            <v>3</v>
          </cell>
          <cell r="R13064">
            <v>45950</v>
          </cell>
          <cell r="S13064">
            <v>207017</v>
          </cell>
        </row>
        <row r="13065">
          <cell r="K13065" t="str">
            <v>231012</v>
          </cell>
          <cell r="M13065">
            <v>4</v>
          </cell>
          <cell r="R13065">
            <v>45950</v>
          </cell>
          <cell r="S13065">
            <v>231012</v>
          </cell>
        </row>
        <row r="13066">
          <cell r="K13066" t="str">
            <v>223002</v>
          </cell>
          <cell r="M13066">
            <v>1</v>
          </cell>
          <cell r="R13066">
            <v>45951</v>
          </cell>
          <cell r="S13066">
            <v>223002</v>
          </cell>
        </row>
        <row r="13067">
          <cell r="K13067" t="str">
            <v>223001</v>
          </cell>
          <cell r="M13067">
            <v>1</v>
          </cell>
          <cell r="R13067">
            <v>45951</v>
          </cell>
          <cell r="S13067">
            <v>223001</v>
          </cell>
        </row>
        <row r="13068">
          <cell r="K13068" t="str">
            <v>227001</v>
          </cell>
          <cell r="M13068">
            <v>2</v>
          </cell>
          <cell r="R13068">
            <v>45951</v>
          </cell>
          <cell r="S13068">
            <v>227001</v>
          </cell>
        </row>
        <row r="13069">
          <cell r="K13069" t="str">
            <v>231012</v>
          </cell>
          <cell r="M13069">
            <v>1</v>
          </cell>
          <cell r="R13069">
            <v>45951</v>
          </cell>
          <cell r="S13069">
            <v>231012</v>
          </cell>
        </row>
        <row r="13070">
          <cell r="K13070" t="str">
            <v>217023</v>
          </cell>
          <cell r="M13070">
            <v>2</v>
          </cell>
          <cell r="R13070">
            <v>45951</v>
          </cell>
          <cell r="S13070">
            <v>217023</v>
          </cell>
        </row>
        <row r="13071">
          <cell r="K13071" t="str">
            <v>228001</v>
          </cell>
          <cell r="M13071">
            <v>5</v>
          </cell>
          <cell r="R13071">
            <v>45951</v>
          </cell>
          <cell r="S13071">
            <v>228001</v>
          </cell>
        </row>
        <row r="13072">
          <cell r="K13072" t="str">
            <v>213005</v>
          </cell>
          <cell r="M13072">
            <v>2</v>
          </cell>
          <cell r="R13072">
            <v>45952</v>
          </cell>
          <cell r="S13072">
            <v>213005</v>
          </cell>
        </row>
        <row r="13073">
          <cell r="K13073" t="str">
            <v>203001</v>
          </cell>
          <cell r="M13073">
            <v>8</v>
          </cell>
          <cell r="R13073">
            <v>45952</v>
          </cell>
          <cell r="S13073">
            <v>203001</v>
          </cell>
        </row>
        <row r="13074">
          <cell r="K13074" t="str">
            <v>210014</v>
          </cell>
          <cell r="M13074">
            <v>1</v>
          </cell>
          <cell r="R13074">
            <v>45952</v>
          </cell>
          <cell r="S13074">
            <v>210014</v>
          </cell>
        </row>
        <row r="13075">
          <cell r="K13075" t="str">
            <v>210014</v>
          </cell>
          <cell r="M13075">
            <v>2</v>
          </cell>
          <cell r="R13075">
            <v>45952</v>
          </cell>
          <cell r="S13075">
            <v>210014</v>
          </cell>
        </row>
        <row r="13076">
          <cell r="K13076" t="str">
            <v>228001</v>
          </cell>
          <cell r="M13076">
            <v>5</v>
          </cell>
          <cell r="R13076">
            <v>45952</v>
          </cell>
          <cell r="S13076">
            <v>228001</v>
          </cell>
        </row>
        <row r="13077">
          <cell r="K13077" t="str">
            <v>241001</v>
          </cell>
          <cell r="M13077">
            <v>10</v>
          </cell>
          <cell r="R13077">
            <v>45952</v>
          </cell>
          <cell r="S13077">
            <v>241001</v>
          </cell>
        </row>
        <row r="13078">
          <cell r="K13078" t="str">
            <v>213002</v>
          </cell>
          <cell r="M13078">
            <v>5</v>
          </cell>
          <cell r="R13078">
            <v>45952</v>
          </cell>
          <cell r="S13078">
            <v>213002</v>
          </cell>
        </row>
        <row r="13079">
          <cell r="K13079" t="str">
            <v>228001</v>
          </cell>
          <cell r="M13079">
            <v>1</v>
          </cell>
          <cell r="R13079">
            <v>45952</v>
          </cell>
          <cell r="S13079">
            <v>228001</v>
          </cell>
        </row>
        <row r="13080">
          <cell r="K13080" t="str">
            <v>231012</v>
          </cell>
          <cell r="M13080">
            <v>1</v>
          </cell>
          <cell r="R13080">
            <v>45952</v>
          </cell>
          <cell r="S13080">
            <v>231012</v>
          </cell>
        </row>
        <row r="13081">
          <cell r="K13081" t="str">
            <v>203003</v>
          </cell>
          <cell r="M13081">
            <v>1</v>
          </cell>
          <cell r="R13081">
            <v>45952</v>
          </cell>
          <cell r="S13081">
            <v>203003</v>
          </cell>
        </row>
        <row r="13082">
          <cell r="K13082" t="str">
            <v>229001</v>
          </cell>
          <cell r="M13082">
            <v>1</v>
          </cell>
          <cell r="R13082">
            <v>45952</v>
          </cell>
          <cell r="S13082">
            <v>229001</v>
          </cell>
        </row>
        <row r="13083">
          <cell r="K13083" t="str">
            <v>213006</v>
          </cell>
          <cell r="M13083">
            <v>1</v>
          </cell>
          <cell r="R13083">
            <v>45952</v>
          </cell>
          <cell r="S13083">
            <v>213006</v>
          </cell>
        </row>
        <row r="13084">
          <cell r="K13084" t="str">
            <v>228001</v>
          </cell>
          <cell r="M13084">
            <v>8</v>
          </cell>
          <cell r="R13084">
            <v>45952</v>
          </cell>
          <cell r="S13084">
            <v>228001</v>
          </cell>
        </row>
        <row r="13085">
          <cell r="K13085" t="str">
            <v>209001</v>
          </cell>
          <cell r="M13085">
            <v>3</v>
          </cell>
          <cell r="R13085">
            <v>45952</v>
          </cell>
          <cell r="S13085">
            <v>209001</v>
          </cell>
        </row>
        <row r="13086">
          <cell r="K13086" t="str">
            <v>231012</v>
          </cell>
          <cell r="M13086">
            <v>1</v>
          </cell>
          <cell r="R13086">
            <v>45952</v>
          </cell>
          <cell r="S13086">
            <v>231012</v>
          </cell>
        </row>
        <row r="13087">
          <cell r="K13087" t="str">
            <v>203003</v>
          </cell>
          <cell r="M13087">
            <v>1</v>
          </cell>
          <cell r="R13087">
            <v>45952</v>
          </cell>
          <cell r="S13087">
            <v>203003</v>
          </cell>
        </row>
        <row r="13088">
          <cell r="K13088" t="str">
            <v>217022</v>
          </cell>
          <cell r="M13088">
            <v>2</v>
          </cell>
          <cell r="R13088">
            <v>45952</v>
          </cell>
          <cell r="S13088">
            <v>217022</v>
          </cell>
        </row>
        <row r="13089">
          <cell r="K13089" t="str">
            <v>213005</v>
          </cell>
          <cell r="M13089">
            <v>1</v>
          </cell>
          <cell r="R13089">
            <v>45952</v>
          </cell>
          <cell r="S13089">
            <v>213005</v>
          </cell>
        </row>
        <row r="13090">
          <cell r="K13090" t="str">
            <v>201011</v>
          </cell>
          <cell r="M13090">
            <v>10</v>
          </cell>
          <cell r="R13090">
            <v>45952</v>
          </cell>
          <cell r="S13090">
            <v>201011</v>
          </cell>
        </row>
        <row r="13091">
          <cell r="K13091" t="str">
            <v>201011</v>
          </cell>
          <cell r="M13091">
            <v>6</v>
          </cell>
          <cell r="R13091">
            <v>45952</v>
          </cell>
          <cell r="S13091">
            <v>201011</v>
          </cell>
        </row>
        <row r="13092">
          <cell r="K13092" t="str">
            <v>201011</v>
          </cell>
          <cell r="M13092">
            <v>6</v>
          </cell>
          <cell r="R13092">
            <v>45952</v>
          </cell>
          <cell r="S13092">
            <v>201011</v>
          </cell>
        </row>
        <row r="13093">
          <cell r="K13093" t="str">
            <v>201011</v>
          </cell>
          <cell r="M13093">
            <v>6</v>
          </cell>
          <cell r="R13093">
            <v>45952</v>
          </cell>
          <cell r="S13093">
            <v>201011</v>
          </cell>
        </row>
        <row r="13094">
          <cell r="K13094" t="str">
            <v>228001</v>
          </cell>
          <cell r="M13094">
            <v>3</v>
          </cell>
          <cell r="R13094">
            <v>45952</v>
          </cell>
          <cell r="S13094">
            <v>228001</v>
          </cell>
        </row>
        <row r="13095">
          <cell r="K13095" t="str">
            <v>228001</v>
          </cell>
          <cell r="M13095">
            <v>3</v>
          </cell>
          <cell r="R13095">
            <v>45952</v>
          </cell>
          <cell r="S13095">
            <v>228001</v>
          </cell>
        </row>
        <row r="13096">
          <cell r="K13096" t="str">
            <v>207017</v>
          </cell>
          <cell r="M13096">
            <v>1</v>
          </cell>
          <cell r="R13096">
            <v>45952</v>
          </cell>
          <cell r="S13096">
            <v>207017</v>
          </cell>
        </row>
        <row r="13097">
          <cell r="K13097" t="str">
            <v>201011</v>
          </cell>
          <cell r="M13097">
            <v>2</v>
          </cell>
          <cell r="R13097">
            <v>45952</v>
          </cell>
          <cell r="S13097">
            <v>201011</v>
          </cell>
        </row>
        <row r="13098">
          <cell r="K13098" t="str">
            <v>213005</v>
          </cell>
          <cell r="M13098">
            <v>1</v>
          </cell>
          <cell r="R13098">
            <v>45952</v>
          </cell>
          <cell r="S13098">
            <v>213005</v>
          </cell>
        </row>
        <row r="13099">
          <cell r="K13099" t="str">
            <v>228001</v>
          </cell>
          <cell r="M13099">
            <v>4</v>
          </cell>
          <cell r="R13099">
            <v>45952</v>
          </cell>
          <cell r="S13099">
            <v>228001</v>
          </cell>
        </row>
        <row r="13100">
          <cell r="K13100" t="str">
            <v>217019</v>
          </cell>
          <cell r="M13100">
            <v>3</v>
          </cell>
          <cell r="R13100">
            <v>45952</v>
          </cell>
          <cell r="S13100">
            <v>217019</v>
          </cell>
        </row>
        <row r="13101">
          <cell r="K13101" t="str">
            <v>223001</v>
          </cell>
          <cell r="M13101">
            <v>2</v>
          </cell>
          <cell r="R13101">
            <v>45952</v>
          </cell>
          <cell r="S13101">
            <v>223001</v>
          </cell>
        </row>
        <row r="13102">
          <cell r="K13102" t="str">
            <v>223004</v>
          </cell>
          <cell r="M13102">
            <v>1</v>
          </cell>
          <cell r="R13102">
            <v>45952</v>
          </cell>
          <cell r="S13102">
            <v>223004</v>
          </cell>
        </row>
        <row r="13103">
          <cell r="K13103" t="str">
            <v>227014</v>
          </cell>
          <cell r="M13103">
            <v>1</v>
          </cell>
          <cell r="R13103">
            <v>45952</v>
          </cell>
          <cell r="S13103">
            <v>227014</v>
          </cell>
        </row>
        <row r="13104">
          <cell r="K13104" t="str">
            <v>241001</v>
          </cell>
          <cell r="M13104">
            <v>1</v>
          </cell>
          <cell r="R13104">
            <v>45952</v>
          </cell>
          <cell r="S13104">
            <v>241001</v>
          </cell>
        </row>
        <row r="13105">
          <cell r="K13105" t="str">
            <v>223002</v>
          </cell>
          <cell r="M13105">
            <v>1</v>
          </cell>
          <cell r="R13105">
            <v>45952</v>
          </cell>
          <cell r="S13105">
            <v>223002</v>
          </cell>
        </row>
        <row r="13106">
          <cell r="K13106" t="str">
            <v>203001</v>
          </cell>
          <cell r="M13106">
            <v>1</v>
          </cell>
          <cell r="R13106">
            <v>45952</v>
          </cell>
          <cell r="S13106">
            <v>203001</v>
          </cell>
        </row>
        <row r="13107">
          <cell r="K13107" t="str">
            <v>228001</v>
          </cell>
          <cell r="M13107">
            <v>3</v>
          </cell>
          <cell r="R13107">
            <v>45952</v>
          </cell>
          <cell r="S13107">
            <v>228001</v>
          </cell>
        </row>
        <row r="13108">
          <cell r="K13108" t="str">
            <v>231012</v>
          </cell>
          <cell r="M13108">
            <v>1</v>
          </cell>
          <cell r="R13108">
            <v>45952</v>
          </cell>
          <cell r="S13108">
            <v>231012</v>
          </cell>
        </row>
        <row r="13109">
          <cell r="K13109" t="str">
            <v>203003</v>
          </cell>
          <cell r="M13109">
            <v>1</v>
          </cell>
          <cell r="R13109">
            <v>45952</v>
          </cell>
          <cell r="S13109">
            <v>203003</v>
          </cell>
        </row>
        <row r="13110">
          <cell r="K13110" t="str">
            <v>212002</v>
          </cell>
          <cell r="M13110">
            <v>1</v>
          </cell>
          <cell r="R13110">
            <v>45952</v>
          </cell>
          <cell r="S13110">
            <v>212002</v>
          </cell>
        </row>
        <row r="13111">
          <cell r="K13111" t="str">
            <v>201021</v>
          </cell>
          <cell r="M13111">
            <v>15</v>
          </cell>
          <cell r="R13111">
            <v>45952</v>
          </cell>
          <cell r="S13111">
            <v>201021</v>
          </cell>
        </row>
        <row r="13112">
          <cell r="K13112" t="str">
            <v>213006</v>
          </cell>
          <cell r="M13112">
            <v>20</v>
          </cell>
          <cell r="R13112">
            <v>45952</v>
          </cell>
          <cell r="S13112">
            <v>213006</v>
          </cell>
        </row>
        <row r="13113">
          <cell r="K13113" t="str">
            <v>223002</v>
          </cell>
          <cell r="M13113">
            <v>2</v>
          </cell>
          <cell r="R13113">
            <v>45952</v>
          </cell>
          <cell r="S13113">
            <v>223002</v>
          </cell>
        </row>
        <row r="13114">
          <cell r="K13114" t="str">
            <v>223001</v>
          </cell>
          <cell r="M13114">
            <v>2</v>
          </cell>
          <cell r="R13114">
            <v>45952</v>
          </cell>
          <cell r="S13114">
            <v>223001</v>
          </cell>
        </row>
        <row r="13115">
          <cell r="K13115" t="str">
            <v>201003</v>
          </cell>
          <cell r="M13115">
            <v>6</v>
          </cell>
          <cell r="R13115">
            <v>45952</v>
          </cell>
          <cell r="S13115">
            <v>201003</v>
          </cell>
        </row>
        <row r="13116">
          <cell r="K13116" t="str">
            <v>217022</v>
          </cell>
          <cell r="M13116">
            <v>4</v>
          </cell>
          <cell r="R13116">
            <v>45952</v>
          </cell>
          <cell r="S13116">
            <v>217022</v>
          </cell>
        </row>
        <row r="13117">
          <cell r="K13117" t="str">
            <v>217018</v>
          </cell>
          <cell r="M13117">
            <v>2</v>
          </cell>
          <cell r="R13117">
            <v>45952</v>
          </cell>
          <cell r="S13117">
            <v>217018</v>
          </cell>
        </row>
        <row r="13118">
          <cell r="K13118" t="str">
            <v>227012</v>
          </cell>
          <cell r="M13118">
            <v>1</v>
          </cell>
          <cell r="R13118">
            <v>45952</v>
          </cell>
          <cell r="S13118">
            <v>227012</v>
          </cell>
        </row>
        <row r="13119">
          <cell r="K13119" t="str">
            <v>220003</v>
          </cell>
          <cell r="M13119">
            <v>10</v>
          </cell>
          <cell r="R13119">
            <v>45952</v>
          </cell>
          <cell r="S13119">
            <v>220003</v>
          </cell>
        </row>
        <row r="13120">
          <cell r="K13120" t="str">
            <v>220003</v>
          </cell>
          <cell r="M13120">
            <v>5</v>
          </cell>
          <cell r="R13120">
            <v>45952</v>
          </cell>
          <cell r="S13120">
            <v>220003</v>
          </cell>
        </row>
        <row r="13121">
          <cell r="K13121" t="str">
            <v>231012</v>
          </cell>
          <cell r="M13121">
            <v>1</v>
          </cell>
          <cell r="R13121">
            <v>45952</v>
          </cell>
          <cell r="S13121">
            <v>231012</v>
          </cell>
        </row>
        <row r="13122">
          <cell r="K13122" t="str">
            <v>220002</v>
          </cell>
          <cell r="M13122">
            <v>1</v>
          </cell>
          <cell r="R13122">
            <v>45952</v>
          </cell>
          <cell r="S13122">
            <v>220002</v>
          </cell>
        </row>
        <row r="13123">
          <cell r="K13123" t="str">
            <v>223002</v>
          </cell>
          <cell r="M13123">
            <v>8</v>
          </cell>
          <cell r="R13123">
            <v>45952</v>
          </cell>
          <cell r="S13123">
            <v>223002</v>
          </cell>
        </row>
        <row r="13124">
          <cell r="K13124" t="str">
            <v>201003</v>
          </cell>
          <cell r="M13124">
            <v>4</v>
          </cell>
          <cell r="R13124">
            <v>45952</v>
          </cell>
          <cell r="S13124">
            <v>201003</v>
          </cell>
        </row>
        <row r="13125">
          <cell r="K13125" t="str">
            <v>220002</v>
          </cell>
          <cell r="M13125">
            <v>1</v>
          </cell>
          <cell r="R13125">
            <v>45953</v>
          </cell>
          <cell r="S13125">
            <v>220002</v>
          </cell>
        </row>
        <row r="13126">
          <cell r="K13126" t="str">
            <v>227012</v>
          </cell>
          <cell r="M13126">
            <v>1</v>
          </cell>
          <cell r="R13126">
            <v>45953</v>
          </cell>
          <cell r="S13126">
            <v>227012</v>
          </cell>
        </row>
        <row r="13127">
          <cell r="K13127" t="str">
            <v>220002</v>
          </cell>
          <cell r="M13127">
            <v>1</v>
          </cell>
          <cell r="R13127">
            <v>45953</v>
          </cell>
          <cell r="S13127">
            <v>220002</v>
          </cell>
        </row>
        <row r="13128">
          <cell r="K13128" t="str">
            <v>241001</v>
          </cell>
          <cell r="M13128">
            <v>1</v>
          </cell>
          <cell r="R13128">
            <v>45952</v>
          </cell>
          <cell r="S13128">
            <v>241001</v>
          </cell>
        </row>
        <row r="13129">
          <cell r="K13129" t="str">
            <v>203003</v>
          </cell>
          <cell r="M13129">
            <v>1</v>
          </cell>
          <cell r="R13129">
            <v>45952</v>
          </cell>
          <cell r="S13129">
            <v>203003</v>
          </cell>
        </row>
        <row r="13130">
          <cell r="K13130" t="str">
            <v>227002</v>
          </cell>
          <cell r="M13130">
            <v>1</v>
          </cell>
          <cell r="R13130">
            <v>45952</v>
          </cell>
          <cell r="S13130">
            <v>227002</v>
          </cell>
        </row>
        <row r="13131">
          <cell r="K13131" t="str">
            <v>217011</v>
          </cell>
          <cell r="M13131">
            <v>1</v>
          </cell>
          <cell r="R13131">
            <v>45953</v>
          </cell>
          <cell r="S13131">
            <v>217011</v>
          </cell>
        </row>
        <row r="13132">
          <cell r="K13132" t="str">
            <v>220002</v>
          </cell>
          <cell r="M13132">
            <v>2</v>
          </cell>
          <cell r="R13132">
            <v>45953</v>
          </cell>
          <cell r="S13132">
            <v>220002</v>
          </cell>
        </row>
        <row r="13133">
          <cell r="K13133" t="str">
            <v>217011</v>
          </cell>
          <cell r="M13133">
            <v>1</v>
          </cell>
          <cell r="R13133">
            <v>45953</v>
          </cell>
          <cell r="S13133">
            <v>217011</v>
          </cell>
        </row>
        <row r="13134">
          <cell r="K13134" t="str">
            <v>241001</v>
          </cell>
          <cell r="M13134">
            <v>10</v>
          </cell>
          <cell r="R13134">
            <v>45953</v>
          </cell>
          <cell r="S13134">
            <v>241001</v>
          </cell>
        </row>
        <row r="13135">
          <cell r="K13135" t="str">
            <v>206005</v>
          </cell>
          <cell r="M13135">
            <v>2</v>
          </cell>
          <cell r="R13135">
            <v>45952</v>
          </cell>
          <cell r="S13135">
            <v>206005</v>
          </cell>
        </row>
        <row r="13136">
          <cell r="K13136" t="str">
            <v>218003</v>
          </cell>
          <cell r="M13136">
            <v>1</v>
          </cell>
          <cell r="R13136">
            <v>45952</v>
          </cell>
          <cell r="S13136">
            <v>218003</v>
          </cell>
        </row>
        <row r="13137">
          <cell r="K13137" t="str">
            <v>206002</v>
          </cell>
          <cell r="M13137">
            <v>1</v>
          </cell>
          <cell r="R13137">
            <v>45952</v>
          </cell>
          <cell r="S13137">
            <v>206002</v>
          </cell>
        </row>
        <row r="13138">
          <cell r="K13138" t="str">
            <v>208001</v>
          </cell>
          <cell r="M13138">
            <v>1</v>
          </cell>
          <cell r="R13138">
            <v>45952</v>
          </cell>
          <cell r="S13138">
            <v>208001</v>
          </cell>
        </row>
        <row r="13139">
          <cell r="K13139" t="str">
            <v>203004</v>
          </cell>
          <cell r="M13139">
            <v>1</v>
          </cell>
          <cell r="R13139">
            <v>45952</v>
          </cell>
          <cell r="S13139">
            <v>203004</v>
          </cell>
        </row>
        <row r="13140">
          <cell r="K13140" t="str">
            <v>228001</v>
          </cell>
          <cell r="M13140">
            <v>15</v>
          </cell>
          <cell r="R13140">
            <v>45953</v>
          </cell>
          <cell r="S13140">
            <v>228001</v>
          </cell>
        </row>
        <row r="13141">
          <cell r="K13141" t="str">
            <v>206006</v>
          </cell>
          <cell r="M13141">
            <v>1</v>
          </cell>
          <cell r="R13141">
            <v>45952</v>
          </cell>
          <cell r="S13141">
            <v>206006</v>
          </cell>
        </row>
        <row r="13142">
          <cell r="K13142" t="str">
            <v>206005</v>
          </cell>
          <cell r="M13142">
            <v>2</v>
          </cell>
          <cell r="R13142">
            <v>45952</v>
          </cell>
          <cell r="S13142">
            <v>206005</v>
          </cell>
        </row>
        <row r="13143">
          <cell r="K13143" t="str">
            <v>218003</v>
          </cell>
          <cell r="M13143">
            <v>1</v>
          </cell>
          <cell r="R13143">
            <v>45952</v>
          </cell>
          <cell r="S13143">
            <v>218003</v>
          </cell>
        </row>
        <row r="13144">
          <cell r="K13144" t="str">
            <v>206002</v>
          </cell>
          <cell r="M13144">
            <v>1</v>
          </cell>
          <cell r="R13144">
            <v>45952</v>
          </cell>
          <cell r="S13144">
            <v>206002</v>
          </cell>
        </row>
        <row r="13145">
          <cell r="K13145" t="str">
            <v>226001</v>
          </cell>
          <cell r="M13145">
            <v>2</v>
          </cell>
          <cell r="R13145">
            <v>45953</v>
          </cell>
          <cell r="S13145">
            <v>226001</v>
          </cell>
        </row>
        <row r="13146">
          <cell r="K13146" t="str">
            <v>231010</v>
          </cell>
          <cell r="M13146">
            <v>1</v>
          </cell>
          <cell r="R13146">
            <v>45953</v>
          </cell>
          <cell r="S13146">
            <v>231010</v>
          </cell>
        </row>
        <row r="13147">
          <cell r="K13147" t="str">
            <v>227012</v>
          </cell>
          <cell r="M13147">
            <v>1</v>
          </cell>
          <cell r="R13147">
            <v>45953</v>
          </cell>
          <cell r="S13147">
            <v>227012</v>
          </cell>
        </row>
        <row r="13148">
          <cell r="K13148" t="str">
            <v>223002</v>
          </cell>
          <cell r="M13148">
            <v>1</v>
          </cell>
          <cell r="R13148">
            <v>45953</v>
          </cell>
          <cell r="S13148">
            <v>223002</v>
          </cell>
        </row>
        <row r="13149">
          <cell r="K13149" t="str">
            <v>213002</v>
          </cell>
          <cell r="M13149">
            <v>1</v>
          </cell>
          <cell r="R13149">
            <v>45953</v>
          </cell>
          <cell r="S13149">
            <v>213002</v>
          </cell>
        </row>
        <row r="13150">
          <cell r="K13150" t="str">
            <v>210002</v>
          </cell>
          <cell r="M13150">
            <v>2</v>
          </cell>
          <cell r="R13150">
            <v>45953</v>
          </cell>
          <cell r="S13150">
            <v>210002</v>
          </cell>
        </row>
        <row r="13151">
          <cell r="K13151" t="str">
            <v>217018</v>
          </cell>
          <cell r="M13151">
            <v>1</v>
          </cell>
          <cell r="R13151">
            <v>45953</v>
          </cell>
          <cell r="S13151">
            <v>217018</v>
          </cell>
        </row>
        <row r="13152">
          <cell r="K13152" t="str">
            <v>203004</v>
          </cell>
          <cell r="M13152">
            <v>2</v>
          </cell>
          <cell r="R13152">
            <v>45953</v>
          </cell>
          <cell r="S13152">
            <v>203004</v>
          </cell>
        </row>
        <row r="13153">
          <cell r="K13153" t="str">
            <v>209006</v>
          </cell>
          <cell r="M13153">
            <v>2</v>
          </cell>
          <cell r="R13153">
            <v>45953</v>
          </cell>
          <cell r="S13153">
            <v>209006</v>
          </cell>
        </row>
        <row r="13154">
          <cell r="K13154" t="str">
            <v>226001</v>
          </cell>
          <cell r="M13154">
            <v>1</v>
          </cell>
          <cell r="R13154">
            <v>45953</v>
          </cell>
          <cell r="S13154">
            <v>226001</v>
          </cell>
        </row>
        <row r="13155">
          <cell r="K13155" t="str">
            <v>226001</v>
          </cell>
          <cell r="M13155">
            <v>1</v>
          </cell>
          <cell r="R13155">
            <v>45953</v>
          </cell>
          <cell r="S13155">
            <v>226001</v>
          </cell>
        </row>
        <row r="13156">
          <cell r="K13156" t="str">
            <v>231012</v>
          </cell>
          <cell r="M13156">
            <v>1</v>
          </cell>
          <cell r="R13156">
            <v>45953</v>
          </cell>
          <cell r="S13156">
            <v>231012</v>
          </cell>
        </row>
        <row r="13157">
          <cell r="K13157" t="str">
            <v>231010</v>
          </cell>
          <cell r="M13157">
            <v>1</v>
          </cell>
          <cell r="R13157">
            <v>45953</v>
          </cell>
          <cell r="S13157">
            <v>231010</v>
          </cell>
        </row>
        <row r="13158">
          <cell r="K13158" t="str">
            <v>228001</v>
          </cell>
          <cell r="M13158">
            <v>1</v>
          </cell>
          <cell r="R13158">
            <v>45953</v>
          </cell>
          <cell r="S13158">
            <v>228001</v>
          </cell>
        </row>
        <row r="13159">
          <cell r="K13159" t="str">
            <v>226001</v>
          </cell>
          <cell r="M13159">
            <v>1</v>
          </cell>
          <cell r="R13159">
            <v>45953</v>
          </cell>
          <cell r="S13159">
            <v>226001</v>
          </cell>
        </row>
        <row r="13160">
          <cell r="K13160" t="str">
            <v>231012</v>
          </cell>
          <cell r="M13160">
            <v>1</v>
          </cell>
          <cell r="R13160">
            <v>45953</v>
          </cell>
          <cell r="S13160">
            <v>231012</v>
          </cell>
        </row>
        <row r="13161">
          <cell r="K13161" t="str">
            <v>234001</v>
          </cell>
          <cell r="M13161">
            <v>2</v>
          </cell>
          <cell r="R13161">
            <v>45953</v>
          </cell>
          <cell r="S13161">
            <v>234001</v>
          </cell>
        </row>
        <row r="13162">
          <cell r="K13162" t="str">
            <v>212002</v>
          </cell>
          <cell r="M13162">
            <v>1</v>
          </cell>
          <cell r="R13162">
            <v>45953</v>
          </cell>
          <cell r="S13162">
            <v>212002</v>
          </cell>
        </row>
        <row r="13163">
          <cell r="K13163" t="str">
            <v>223007</v>
          </cell>
          <cell r="M13163">
            <v>1</v>
          </cell>
          <cell r="R13163">
            <v>45953</v>
          </cell>
          <cell r="S13163">
            <v>223007</v>
          </cell>
        </row>
        <row r="13164">
          <cell r="K13164" t="str">
            <v>213002</v>
          </cell>
          <cell r="M13164">
            <v>6</v>
          </cell>
          <cell r="R13164">
            <v>45953</v>
          </cell>
          <cell r="S13164">
            <v>213002</v>
          </cell>
        </row>
        <row r="13165">
          <cell r="K13165" t="str">
            <v>213002</v>
          </cell>
          <cell r="M13165">
            <v>4</v>
          </cell>
          <cell r="R13165">
            <v>45953</v>
          </cell>
          <cell r="S13165">
            <v>213002</v>
          </cell>
        </row>
        <row r="13166">
          <cell r="K13166" t="str">
            <v>227002</v>
          </cell>
          <cell r="M13166">
            <v>1</v>
          </cell>
          <cell r="R13166">
            <v>45953</v>
          </cell>
          <cell r="S13166">
            <v>227002</v>
          </cell>
        </row>
        <row r="13167">
          <cell r="K13167" t="str">
            <v>201022</v>
          </cell>
          <cell r="M13167">
            <v>1</v>
          </cell>
          <cell r="R13167">
            <v>45953</v>
          </cell>
          <cell r="S13167">
            <v>201022</v>
          </cell>
        </row>
        <row r="13168">
          <cell r="K13168" t="str">
            <v>223001</v>
          </cell>
          <cell r="M13168">
            <v>3</v>
          </cell>
          <cell r="R13168">
            <v>45953</v>
          </cell>
          <cell r="S13168">
            <v>223001</v>
          </cell>
        </row>
        <row r="13169">
          <cell r="K13169" t="str">
            <v>261004</v>
          </cell>
          <cell r="M13169">
            <v>40</v>
          </cell>
          <cell r="R13169">
            <v>45953</v>
          </cell>
          <cell r="S13169">
            <v>261004</v>
          </cell>
        </row>
        <row r="13170">
          <cell r="K13170" t="str">
            <v>212010</v>
          </cell>
          <cell r="M13170">
            <v>15</v>
          </cell>
          <cell r="R13170">
            <v>45953</v>
          </cell>
          <cell r="S13170">
            <v>212010</v>
          </cell>
        </row>
        <row r="13171">
          <cell r="K13171" t="str">
            <v>213002</v>
          </cell>
          <cell r="M13171">
            <v>10</v>
          </cell>
          <cell r="R13171">
            <v>45953</v>
          </cell>
          <cell r="S13171">
            <v>213002</v>
          </cell>
        </row>
        <row r="13172">
          <cell r="K13172" t="str">
            <v>223002</v>
          </cell>
          <cell r="M13172">
            <v>3</v>
          </cell>
          <cell r="R13172">
            <v>45953</v>
          </cell>
          <cell r="S13172">
            <v>223002</v>
          </cell>
        </row>
        <row r="13173">
          <cell r="K13173" t="str">
            <v>217021</v>
          </cell>
          <cell r="M13173">
            <v>1</v>
          </cell>
          <cell r="R13173">
            <v>45953</v>
          </cell>
          <cell r="S13173">
            <v>217021</v>
          </cell>
        </row>
        <row r="13174">
          <cell r="K13174" t="str">
            <v>265001</v>
          </cell>
          <cell r="M13174">
            <v>2</v>
          </cell>
          <cell r="R13174">
            <v>45953</v>
          </cell>
          <cell r="S13174">
            <v>265001</v>
          </cell>
        </row>
        <row r="13175">
          <cell r="K13175" t="str">
            <v>217018</v>
          </cell>
          <cell r="M13175">
            <v>1</v>
          </cell>
          <cell r="R13175">
            <v>45952</v>
          </cell>
          <cell r="S13175">
            <v>217018</v>
          </cell>
        </row>
        <row r="13176">
          <cell r="K13176" t="str">
            <v>226026</v>
          </cell>
          <cell r="M13176">
            <v>20</v>
          </cell>
          <cell r="R13176">
            <v>45953</v>
          </cell>
          <cell r="S13176">
            <v>226026</v>
          </cell>
        </row>
        <row r="13177">
          <cell r="K13177" t="str">
            <v>213005</v>
          </cell>
          <cell r="M13177">
            <v>1</v>
          </cell>
          <cell r="R13177">
            <v>45953</v>
          </cell>
          <cell r="S13177">
            <v>213005</v>
          </cell>
        </row>
        <row r="13178">
          <cell r="K13178" t="str">
            <v>213005</v>
          </cell>
          <cell r="M13178">
            <v>1</v>
          </cell>
          <cell r="R13178">
            <v>45953</v>
          </cell>
          <cell r="S13178">
            <v>213005</v>
          </cell>
        </row>
        <row r="13179">
          <cell r="K13179" t="str">
            <v>226001</v>
          </cell>
          <cell r="M13179">
            <v>1</v>
          </cell>
          <cell r="R13179">
            <v>45953</v>
          </cell>
          <cell r="S13179">
            <v>226001</v>
          </cell>
        </row>
        <row r="13180">
          <cell r="K13180" t="str">
            <v>213005</v>
          </cell>
          <cell r="M13180">
            <v>1</v>
          </cell>
          <cell r="R13180">
            <v>45953</v>
          </cell>
          <cell r="S13180">
            <v>213005</v>
          </cell>
        </row>
        <row r="13181">
          <cell r="K13181" t="str">
            <v>241001</v>
          </cell>
          <cell r="M13181">
            <v>1</v>
          </cell>
          <cell r="R13181">
            <v>45953</v>
          </cell>
          <cell r="S13181">
            <v>241001</v>
          </cell>
        </row>
        <row r="13182">
          <cell r="K13182" t="str">
            <v>226001</v>
          </cell>
          <cell r="M13182">
            <v>1</v>
          </cell>
          <cell r="R13182">
            <v>45953</v>
          </cell>
          <cell r="S13182">
            <v>226001</v>
          </cell>
        </row>
        <row r="13183">
          <cell r="K13183" t="str">
            <v>226001</v>
          </cell>
          <cell r="M13183">
            <v>1</v>
          </cell>
          <cell r="R13183">
            <v>45953</v>
          </cell>
          <cell r="S13183">
            <v>226001</v>
          </cell>
        </row>
        <row r="13184">
          <cell r="K13184" t="str">
            <v>229003</v>
          </cell>
          <cell r="M13184">
            <v>2</v>
          </cell>
          <cell r="R13184">
            <v>45953</v>
          </cell>
          <cell r="S13184">
            <v>229003</v>
          </cell>
        </row>
        <row r="13185">
          <cell r="K13185" t="str">
            <v>228001</v>
          </cell>
          <cell r="M13185">
            <v>1</v>
          </cell>
          <cell r="R13185">
            <v>45953</v>
          </cell>
          <cell r="S13185">
            <v>228001</v>
          </cell>
        </row>
        <row r="13186">
          <cell r="K13186" t="str">
            <v>213006</v>
          </cell>
          <cell r="M13186">
            <v>2</v>
          </cell>
          <cell r="R13186">
            <v>45953</v>
          </cell>
          <cell r="S13186">
            <v>213006</v>
          </cell>
        </row>
        <row r="13187">
          <cell r="K13187" t="str">
            <v>217021</v>
          </cell>
          <cell r="M13187">
            <v>1</v>
          </cell>
          <cell r="R13187">
            <v>45953</v>
          </cell>
          <cell r="S13187">
            <v>217021</v>
          </cell>
        </row>
        <row r="13188">
          <cell r="K13188" t="str">
            <v>201004</v>
          </cell>
          <cell r="M13188">
            <v>2</v>
          </cell>
          <cell r="R13188">
            <v>45953</v>
          </cell>
          <cell r="S13188">
            <v>201004</v>
          </cell>
        </row>
        <row r="13189">
          <cell r="K13189" t="str">
            <v>201003</v>
          </cell>
          <cell r="M13189">
            <v>2</v>
          </cell>
          <cell r="R13189">
            <v>45953</v>
          </cell>
          <cell r="S13189">
            <v>201003</v>
          </cell>
        </row>
        <row r="13190">
          <cell r="K13190" t="str">
            <v>226001</v>
          </cell>
          <cell r="M13190">
            <v>1</v>
          </cell>
          <cell r="R13190">
            <v>45953</v>
          </cell>
          <cell r="S13190">
            <v>226001</v>
          </cell>
        </row>
        <row r="13191">
          <cell r="K13191" t="str">
            <v>217021</v>
          </cell>
          <cell r="M13191">
            <v>1</v>
          </cell>
          <cell r="R13191">
            <v>45953</v>
          </cell>
          <cell r="S13191">
            <v>217021</v>
          </cell>
        </row>
        <row r="13192">
          <cell r="K13192" t="str">
            <v>226022</v>
          </cell>
          <cell r="M13192">
            <v>1</v>
          </cell>
          <cell r="R13192">
            <v>45953</v>
          </cell>
          <cell r="S13192">
            <v>226022</v>
          </cell>
        </row>
        <row r="13193">
          <cell r="K13193" t="str">
            <v>226025</v>
          </cell>
          <cell r="M13193">
            <v>3</v>
          </cell>
          <cell r="R13193">
            <v>45953</v>
          </cell>
          <cell r="S13193">
            <v>226025</v>
          </cell>
        </row>
        <row r="13194">
          <cell r="K13194" t="str">
            <v>201005</v>
          </cell>
          <cell r="M13194">
            <v>1</v>
          </cell>
          <cell r="R13194">
            <v>45953</v>
          </cell>
          <cell r="S13194">
            <v>201005</v>
          </cell>
        </row>
        <row r="13195">
          <cell r="K13195" t="str">
            <v>227012</v>
          </cell>
          <cell r="M13195">
            <v>2</v>
          </cell>
          <cell r="R13195">
            <v>45953</v>
          </cell>
          <cell r="S13195">
            <v>227012</v>
          </cell>
        </row>
        <row r="13196">
          <cell r="K13196" t="str">
            <v>209006</v>
          </cell>
          <cell r="M13196">
            <v>2</v>
          </cell>
          <cell r="R13196">
            <v>45953</v>
          </cell>
          <cell r="S13196">
            <v>209006</v>
          </cell>
        </row>
        <row r="13197">
          <cell r="K13197" t="str">
            <v>223001</v>
          </cell>
          <cell r="M13197">
            <v>2</v>
          </cell>
          <cell r="R13197">
            <v>45953</v>
          </cell>
          <cell r="S13197">
            <v>223001</v>
          </cell>
        </row>
        <row r="13198">
          <cell r="K13198" t="str">
            <v>261004</v>
          </cell>
          <cell r="M13198">
            <v>1</v>
          </cell>
          <cell r="R13198">
            <v>45953</v>
          </cell>
          <cell r="S13198">
            <v>261004</v>
          </cell>
        </row>
        <row r="13199">
          <cell r="K13199" t="str">
            <v>217023</v>
          </cell>
          <cell r="M13199">
            <v>2</v>
          </cell>
          <cell r="R13199">
            <v>45953</v>
          </cell>
          <cell r="S13199">
            <v>217023</v>
          </cell>
        </row>
        <row r="13200">
          <cell r="K13200" t="str">
            <v>226003</v>
          </cell>
          <cell r="M13200">
            <v>1</v>
          </cell>
          <cell r="R13200">
            <v>45953</v>
          </cell>
          <cell r="S13200">
            <v>226003</v>
          </cell>
        </row>
        <row r="13201">
          <cell r="K13201" t="str">
            <v>223007</v>
          </cell>
          <cell r="M13201">
            <v>6</v>
          </cell>
          <cell r="R13201">
            <v>45953</v>
          </cell>
          <cell r="S13201">
            <v>223007</v>
          </cell>
        </row>
        <row r="13202">
          <cell r="K13202" t="str">
            <v>220002</v>
          </cell>
          <cell r="M13202">
            <v>2</v>
          </cell>
          <cell r="R13202">
            <v>45953</v>
          </cell>
          <cell r="S13202">
            <v>220002</v>
          </cell>
        </row>
        <row r="13203">
          <cell r="K13203" t="str">
            <v>271002</v>
          </cell>
          <cell r="M13203">
            <v>3</v>
          </cell>
          <cell r="R13203">
            <v>45953</v>
          </cell>
          <cell r="S13203">
            <v>271002</v>
          </cell>
        </row>
        <row r="13204">
          <cell r="K13204" t="str">
            <v>226030</v>
          </cell>
          <cell r="M13204">
            <v>3</v>
          </cell>
          <cell r="R13204">
            <v>45953</v>
          </cell>
          <cell r="S13204">
            <v>226030</v>
          </cell>
        </row>
        <row r="13205">
          <cell r="K13205" t="str">
            <v>217011</v>
          </cell>
          <cell r="M13205">
            <v>2</v>
          </cell>
          <cell r="R13205">
            <v>45953</v>
          </cell>
          <cell r="S13205">
            <v>217011</v>
          </cell>
        </row>
        <row r="13206">
          <cell r="K13206" t="str">
            <v>213002</v>
          </cell>
          <cell r="M13206">
            <v>1</v>
          </cell>
          <cell r="R13206">
            <v>45954</v>
          </cell>
          <cell r="S13206">
            <v>213002</v>
          </cell>
        </row>
        <row r="13207">
          <cell r="K13207" t="str">
            <v>241001</v>
          </cell>
          <cell r="M13207">
            <v>3</v>
          </cell>
          <cell r="R13207">
            <v>45953</v>
          </cell>
          <cell r="S13207">
            <v>241001</v>
          </cell>
        </row>
        <row r="13208">
          <cell r="K13208" t="str">
            <v>222001</v>
          </cell>
          <cell r="M13208">
            <v>3</v>
          </cell>
          <cell r="R13208">
            <v>45953</v>
          </cell>
          <cell r="S13208">
            <v>222001</v>
          </cell>
        </row>
        <row r="13209">
          <cell r="K13209" t="str">
            <v>222007</v>
          </cell>
          <cell r="M13209">
            <v>1</v>
          </cell>
          <cell r="R13209">
            <v>45953</v>
          </cell>
          <cell r="S13209">
            <v>222007</v>
          </cell>
        </row>
        <row r="13210">
          <cell r="K13210" t="str">
            <v>213005</v>
          </cell>
          <cell r="M13210">
            <v>2</v>
          </cell>
          <cell r="R13210">
            <v>45953</v>
          </cell>
          <cell r="S13210">
            <v>213005</v>
          </cell>
        </row>
        <row r="13211">
          <cell r="K13211" t="str">
            <v>261004</v>
          </cell>
          <cell r="M13211">
            <v>1</v>
          </cell>
          <cell r="R13211">
            <v>45953</v>
          </cell>
          <cell r="S13211">
            <v>261004</v>
          </cell>
        </row>
        <row r="13212">
          <cell r="K13212" t="str">
            <v>217011</v>
          </cell>
          <cell r="M13212">
            <v>1</v>
          </cell>
          <cell r="R13212">
            <v>45953</v>
          </cell>
          <cell r="S13212">
            <v>217011</v>
          </cell>
        </row>
        <row r="13213">
          <cell r="K13213" t="str">
            <v>223001</v>
          </cell>
          <cell r="M13213">
            <v>5</v>
          </cell>
          <cell r="R13213">
            <v>45953</v>
          </cell>
          <cell r="S13213">
            <v>223001</v>
          </cell>
        </row>
        <row r="13214">
          <cell r="K13214" t="str">
            <v>226027</v>
          </cell>
          <cell r="M13214">
            <v>1</v>
          </cell>
          <cell r="R13214">
            <v>45953</v>
          </cell>
          <cell r="S13214">
            <v>226027</v>
          </cell>
        </row>
        <row r="13215">
          <cell r="K13215" t="str">
            <v>227012</v>
          </cell>
          <cell r="M13215">
            <v>2</v>
          </cell>
          <cell r="R13215">
            <v>45953</v>
          </cell>
          <cell r="S13215">
            <v>227012</v>
          </cell>
        </row>
        <row r="13216">
          <cell r="K13216" t="str">
            <v>201021</v>
          </cell>
          <cell r="M13216">
            <v>1</v>
          </cell>
          <cell r="R13216">
            <v>45953</v>
          </cell>
          <cell r="S13216">
            <v>201021</v>
          </cell>
        </row>
        <row r="13217">
          <cell r="K13217" t="str">
            <v>223001</v>
          </cell>
          <cell r="M13217">
            <v>2</v>
          </cell>
          <cell r="R13217">
            <v>45953</v>
          </cell>
          <cell r="S13217">
            <v>223001</v>
          </cell>
        </row>
        <row r="13218">
          <cell r="K13218" t="str">
            <v>241001</v>
          </cell>
          <cell r="M13218">
            <v>2</v>
          </cell>
          <cell r="R13218">
            <v>45953</v>
          </cell>
          <cell r="S13218">
            <v>241001</v>
          </cell>
        </row>
        <row r="13219">
          <cell r="K13219" t="str">
            <v>226023</v>
          </cell>
          <cell r="M13219">
            <v>1</v>
          </cell>
          <cell r="R13219">
            <v>45954</v>
          </cell>
          <cell r="S13219">
            <v>226023</v>
          </cell>
        </row>
        <row r="13220">
          <cell r="K13220" t="str">
            <v>201022</v>
          </cell>
          <cell r="M13220">
            <v>2</v>
          </cell>
          <cell r="R13220">
            <v>45954</v>
          </cell>
          <cell r="S13220">
            <v>201022</v>
          </cell>
        </row>
        <row r="13221">
          <cell r="K13221" t="str">
            <v>226028</v>
          </cell>
          <cell r="M13221">
            <v>1</v>
          </cell>
          <cell r="R13221">
            <v>45954</v>
          </cell>
          <cell r="S13221">
            <v>226028</v>
          </cell>
        </row>
        <row r="13222">
          <cell r="K13222" t="str">
            <v>228001</v>
          </cell>
          <cell r="M13222">
            <v>1</v>
          </cell>
          <cell r="R13222">
            <v>45954</v>
          </cell>
          <cell r="S13222">
            <v>228001</v>
          </cell>
        </row>
        <row r="13223">
          <cell r="K13223" t="str">
            <v>226024</v>
          </cell>
          <cell r="M13223">
            <v>1</v>
          </cell>
          <cell r="R13223">
            <v>45954</v>
          </cell>
          <cell r="S13223">
            <v>226024</v>
          </cell>
        </row>
        <row r="13224">
          <cell r="K13224" t="str">
            <v>220002</v>
          </cell>
          <cell r="M13224">
            <v>2</v>
          </cell>
          <cell r="R13224">
            <v>45954</v>
          </cell>
          <cell r="S13224">
            <v>220002</v>
          </cell>
        </row>
        <row r="13225">
          <cell r="K13225" t="str">
            <v>220002</v>
          </cell>
          <cell r="M13225">
            <v>1</v>
          </cell>
          <cell r="R13225">
            <v>45954</v>
          </cell>
          <cell r="S13225">
            <v>220002</v>
          </cell>
        </row>
        <row r="13226">
          <cell r="K13226" t="str">
            <v>223002</v>
          </cell>
          <cell r="M13226">
            <v>10</v>
          </cell>
          <cell r="R13226">
            <v>45954</v>
          </cell>
          <cell r="S13226">
            <v>223002</v>
          </cell>
        </row>
        <row r="13227">
          <cell r="K13227" t="str">
            <v>220002</v>
          </cell>
          <cell r="M13227">
            <v>3</v>
          </cell>
          <cell r="R13227">
            <v>45954</v>
          </cell>
          <cell r="S13227">
            <v>220002</v>
          </cell>
        </row>
        <row r="13228">
          <cell r="K13228" t="str">
            <v>223001</v>
          </cell>
          <cell r="M13228">
            <v>4</v>
          </cell>
          <cell r="R13228">
            <v>45954</v>
          </cell>
          <cell r="S13228">
            <v>223001</v>
          </cell>
        </row>
        <row r="13229">
          <cell r="K13229" t="str">
            <v>228001</v>
          </cell>
          <cell r="M13229">
            <v>1</v>
          </cell>
          <cell r="R13229">
            <v>45954</v>
          </cell>
          <cell r="S13229">
            <v>228001</v>
          </cell>
        </row>
        <row r="13230">
          <cell r="K13230" t="str">
            <v>226027</v>
          </cell>
          <cell r="M13230">
            <v>1</v>
          </cell>
          <cell r="R13230">
            <v>45954</v>
          </cell>
          <cell r="S13230">
            <v>226027</v>
          </cell>
        </row>
        <row r="13231">
          <cell r="K13231" t="str">
            <v>207002</v>
          </cell>
          <cell r="M13231">
            <v>1</v>
          </cell>
          <cell r="R13231">
            <v>45954</v>
          </cell>
          <cell r="S13231">
            <v>207002</v>
          </cell>
        </row>
        <row r="13232">
          <cell r="K13232" t="str">
            <v>231012</v>
          </cell>
          <cell r="M13232">
            <v>1</v>
          </cell>
          <cell r="R13232">
            <v>45954</v>
          </cell>
          <cell r="S13232">
            <v>231012</v>
          </cell>
        </row>
        <row r="13233">
          <cell r="K13233" t="str">
            <v>226001</v>
          </cell>
          <cell r="M13233">
            <v>1</v>
          </cell>
          <cell r="R13233">
            <v>45954</v>
          </cell>
          <cell r="S13233">
            <v>226001</v>
          </cell>
        </row>
        <row r="13234">
          <cell r="K13234" t="str">
            <v>207002</v>
          </cell>
          <cell r="M13234">
            <v>1</v>
          </cell>
          <cell r="R13234">
            <v>45954</v>
          </cell>
          <cell r="S13234">
            <v>207002</v>
          </cell>
        </row>
        <row r="13235">
          <cell r="K13235" t="str">
            <v>203003</v>
          </cell>
          <cell r="M13235">
            <v>1</v>
          </cell>
          <cell r="R13235">
            <v>45954</v>
          </cell>
          <cell r="S13235">
            <v>203003</v>
          </cell>
        </row>
        <row r="13236">
          <cell r="K13236" t="str">
            <v>213006</v>
          </cell>
          <cell r="M13236">
            <v>4</v>
          </cell>
          <cell r="R13236">
            <v>45954</v>
          </cell>
          <cell r="S13236">
            <v>213006</v>
          </cell>
        </row>
        <row r="13237">
          <cell r="K13237" t="str">
            <v>220003</v>
          </cell>
          <cell r="M13237">
            <v>15</v>
          </cell>
          <cell r="R13237">
            <v>45954</v>
          </cell>
          <cell r="S13237">
            <v>220003</v>
          </cell>
        </row>
        <row r="13238">
          <cell r="K13238" t="str">
            <v>226032</v>
          </cell>
          <cell r="M13238">
            <v>2</v>
          </cell>
          <cell r="R13238">
            <v>45954</v>
          </cell>
          <cell r="S13238">
            <v>226032</v>
          </cell>
        </row>
        <row r="13239">
          <cell r="K13239" t="str">
            <v>217018</v>
          </cell>
          <cell r="M13239">
            <v>2</v>
          </cell>
          <cell r="R13239">
            <v>45954</v>
          </cell>
          <cell r="S13239">
            <v>217018</v>
          </cell>
        </row>
        <row r="13240">
          <cell r="K13240" t="str">
            <v>217022</v>
          </cell>
          <cell r="M13240">
            <v>4</v>
          </cell>
          <cell r="R13240">
            <v>45954</v>
          </cell>
          <cell r="S13240">
            <v>217022</v>
          </cell>
        </row>
        <row r="13241">
          <cell r="K13241" t="str">
            <v>203001</v>
          </cell>
          <cell r="M13241">
            <v>2</v>
          </cell>
          <cell r="R13241">
            <v>45954</v>
          </cell>
          <cell r="S13241">
            <v>203001</v>
          </cell>
        </row>
        <row r="13242">
          <cell r="K13242" t="str">
            <v>206005</v>
          </cell>
          <cell r="M13242">
            <v>1</v>
          </cell>
          <cell r="R13242">
            <v>45954</v>
          </cell>
          <cell r="S13242">
            <v>206005</v>
          </cell>
        </row>
        <row r="13243">
          <cell r="K13243" t="str">
            <v>226001</v>
          </cell>
          <cell r="M13243">
            <v>3</v>
          </cell>
          <cell r="R13243">
            <v>45954</v>
          </cell>
          <cell r="S13243">
            <v>226001</v>
          </cell>
        </row>
        <row r="13244">
          <cell r="K13244" t="str">
            <v>226026</v>
          </cell>
          <cell r="M13244">
            <v>1</v>
          </cell>
          <cell r="R13244">
            <v>45954</v>
          </cell>
          <cell r="S13244">
            <v>226026</v>
          </cell>
        </row>
        <row r="13245">
          <cell r="K13245" t="str">
            <v>227001</v>
          </cell>
          <cell r="M13245">
            <v>2</v>
          </cell>
          <cell r="R13245">
            <v>45954</v>
          </cell>
          <cell r="S13245">
            <v>227001</v>
          </cell>
        </row>
        <row r="13246">
          <cell r="K13246" t="str">
            <v>213002</v>
          </cell>
          <cell r="M13246">
            <v>1</v>
          </cell>
          <cell r="R13246">
            <v>45954</v>
          </cell>
          <cell r="S13246">
            <v>213002</v>
          </cell>
        </row>
        <row r="13247">
          <cell r="K13247" t="str">
            <v>217011</v>
          </cell>
          <cell r="M13247">
            <v>2</v>
          </cell>
          <cell r="R13247">
            <v>45954</v>
          </cell>
          <cell r="S13247">
            <v>217011</v>
          </cell>
        </row>
        <row r="13248">
          <cell r="K13248" t="str">
            <v>210013</v>
          </cell>
          <cell r="M13248">
            <v>2</v>
          </cell>
          <cell r="R13248">
            <v>45954</v>
          </cell>
          <cell r="S13248">
            <v>210013</v>
          </cell>
        </row>
        <row r="13249">
          <cell r="K13249" t="str">
            <v>226001</v>
          </cell>
          <cell r="M13249">
            <v>2</v>
          </cell>
          <cell r="R13249">
            <v>45954</v>
          </cell>
          <cell r="S13249">
            <v>226001</v>
          </cell>
        </row>
        <row r="13250">
          <cell r="K13250" t="str">
            <v>217019</v>
          </cell>
          <cell r="M13250">
            <v>6</v>
          </cell>
          <cell r="R13250">
            <v>45954</v>
          </cell>
          <cell r="S13250">
            <v>217019</v>
          </cell>
        </row>
        <row r="13251">
          <cell r="K13251" t="str">
            <v>259001</v>
          </cell>
          <cell r="M13251">
            <v>3</v>
          </cell>
          <cell r="R13251">
            <v>45954</v>
          </cell>
          <cell r="S13251">
            <v>259001</v>
          </cell>
        </row>
        <row r="13252">
          <cell r="K13252" t="str">
            <v>210013</v>
          </cell>
          <cell r="M13252">
            <v>1</v>
          </cell>
          <cell r="R13252">
            <v>45954</v>
          </cell>
          <cell r="S13252">
            <v>210013</v>
          </cell>
        </row>
        <row r="13253">
          <cell r="K13253" t="str">
            <v>213018</v>
          </cell>
          <cell r="M13253">
            <v>1</v>
          </cell>
          <cell r="R13253">
            <v>45955</v>
          </cell>
          <cell r="S13253">
            <v>213018</v>
          </cell>
        </row>
        <row r="13254">
          <cell r="K13254" t="str">
            <v>217022</v>
          </cell>
          <cell r="M13254">
            <v>10</v>
          </cell>
          <cell r="R13254">
            <v>45956</v>
          </cell>
          <cell r="S13254">
            <v>217022</v>
          </cell>
        </row>
        <row r="13255">
          <cell r="K13255" t="str">
            <v>223002</v>
          </cell>
          <cell r="M13255">
            <v>4</v>
          </cell>
          <cell r="R13255">
            <v>45956</v>
          </cell>
          <cell r="S13255">
            <v>223002</v>
          </cell>
        </row>
        <row r="13256">
          <cell r="K13256" t="str">
            <v>201021</v>
          </cell>
          <cell r="M13256">
            <v>3</v>
          </cell>
          <cell r="R13256">
            <v>45956</v>
          </cell>
          <cell r="S13256">
            <v>201021</v>
          </cell>
        </row>
        <row r="13257">
          <cell r="K13257" t="str">
            <v>212035</v>
          </cell>
          <cell r="M13257">
            <v>3</v>
          </cell>
          <cell r="R13257">
            <v>45956</v>
          </cell>
          <cell r="S13257">
            <v>212035</v>
          </cell>
        </row>
        <row r="13258">
          <cell r="K13258" t="str">
            <v>231012</v>
          </cell>
          <cell r="M13258">
            <v>1</v>
          </cell>
          <cell r="R13258">
            <v>45956</v>
          </cell>
          <cell r="S13258">
            <v>231012</v>
          </cell>
        </row>
        <row r="13259">
          <cell r="K13259" t="str">
            <v>228001</v>
          </cell>
          <cell r="M13259">
            <v>1</v>
          </cell>
          <cell r="R13259">
            <v>45956</v>
          </cell>
          <cell r="S13259">
            <v>228001</v>
          </cell>
        </row>
        <row r="13260">
          <cell r="K13260" t="str">
            <v>228001</v>
          </cell>
          <cell r="M13260">
            <v>1</v>
          </cell>
          <cell r="R13260">
            <v>45956</v>
          </cell>
          <cell r="S13260">
            <v>228001</v>
          </cell>
        </row>
        <row r="13261">
          <cell r="K13261" t="str">
            <v>203001</v>
          </cell>
          <cell r="M13261">
            <v>2</v>
          </cell>
          <cell r="R13261">
            <v>45956</v>
          </cell>
          <cell r="S13261">
            <v>203001</v>
          </cell>
        </row>
        <row r="13262">
          <cell r="K13262" t="str">
            <v>228001</v>
          </cell>
          <cell r="M13262">
            <v>1</v>
          </cell>
          <cell r="R13262">
            <v>45956</v>
          </cell>
          <cell r="S13262">
            <v>228001</v>
          </cell>
        </row>
        <row r="13263">
          <cell r="K13263" t="str">
            <v>231010</v>
          </cell>
          <cell r="M13263">
            <v>4</v>
          </cell>
          <cell r="R13263">
            <v>45956</v>
          </cell>
          <cell r="S13263">
            <v>231010</v>
          </cell>
        </row>
        <row r="13264">
          <cell r="K13264" t="str">
            <v>201021</v>
          </cell>
          <cell r="M13264">
            <v>1</v>
          </cell>
          <cell r="R13264">
            <v>45956</v>
          </cell>
          <cell r="S13264">
            <v>201021</v>
          </cell>
        </row>
        <row r="13265">
          <cell r="K13265" t="str">
            <v>223002</v>
          </cell>
          <cell r="M13265">
            <v>2</v>
          </cell>
          <cell r="R13265">
            <v>45956</v>
          </cell>
          <cell r="S13265">
            <v>223002</v>
          </cell>
        </row>
        <row r="13266">
          <cell r="K13266" t="str">
            <v>223001</v>
          </cell>
          <cell r="M13266">
            <v>10</v>
          </cell>
          <cell r="R13266">
            <v>45956</v>
          </cell>
          <cell r="S13266">
            <v>223001</v>
          </cell>
        </row>
        <row r="13267">
          <cell r="K13267" t="str">
            <v>227012</v>
          </cell>
          <cell r="M13267">
            <v>1</v>
          </cell>
          <cell r="R13267">
            <v>45956</v>
          </cell>
          <cell r="S13267">
            <v>227012</v>
          </cell>
        </row>
        <row r="13268">
          <cell r="K13268" t="str">
            <v>209022</v>
          </cell>
          <cell r="M13268">
            <v>4</v>
          </cell>
          <cell r="R13268">
            <v>45956</v>
          </cell>
          <cell r="S13268">
            <v>209022</v>
          </cell>
        </row>
        <row r="13269">
          <cell r="K13269" t="str">
            <v>217022</v>
          </cell>
          <cell r="M13269">
            <v>3</v>
          </cell>
          <cell r="R13269">
            <v>45957</v>
          </cell>
          <cell r="S13269">
            <v>217022</v>
          </cell>
        </row>
        <row r="13270">
          <cell r="K13270" t="str">
            <v>226032</v>
          </cell>
          <cell r="M13270">
            <v>1</v>
          </cell>
          <cell r="R13270">
            <v>45957</v>
          </cell>
          <cell r="S13270">
            <v>226032</v>
          </cell>
        </row>
        <row r="13271">
          <cell r="K13271" t="str">
            <v>217018</v>
          </cell>
          <cell r="M13271">
            <v>1</v>
          </cell>
          <cell r="R13271">
            <v>45957</v>
          </cell>
          <cell r="S13271">
            <v>217018</v>
          </cell>
        </row>
        <row r="13272">
          <cell r="K13272" t="str">
            <v>220003</v>
          </cell>
          <cell r="M13272">
            <v>15</v>
          </cell>
          <cell r="R13272">
            <v>45957</v>
          </cell>
          <cell r="S13272">
            <v>220003</v>
          </cell>
        </row>
        <row r="13273">
          <cell r="K13273" t="str">
            <v>227002</v>
          </cell>
          <cell r="M13273">
            <v>2</v>
          </cell>
          <cell r="R13273">
            <v>45957</v>
          </cell>
          <cell r="S13273">
            <v>227002</v>
          </cell>
        </row>
        <row r="13274">
          <cell r="K13274" t="str">
            <v>203003</v>
          </cell>
          <cell r="M13274">
            <v>1</v>
          </cell>
          <cell r="R13274">
            <v>45956</v>
          </cell>
          <cell r="S13274">
            <v>203003</v>
          </cell>
        </row>
        <row r="13275">
          <cell r="K13275" t="str">
            <v>201021</v>
          </cell>
          <cell r="M13275">
            <v>3</v>
          </cell>
          <cell r="R13275">
            <v>45956</v>
          </cell>
          <cell r="S13275">
            <v>201021</v>
          </cell>
        </row>
        <row r="13276">
          <cell r="K13276" t="str">
            <v>223001</v>
          </cell>
          <cell r="M13276">
            <v>3</v>
          </cell>
          <cell r="R13276">
            <v>45956</v>
          </cell>
          <cell r="S13276">
            <v>223001</v>
          </cell>
        </row>
        <row r="13277">
          <cell r="K13277" t="str">
            <v>223002</v>
          </cell>
          <cell r="M13277">
            <v>2</v>
          </cell>
          <cell r="R13277">
            <v>45956</v>
          </cell>
          <cell r="S13277">
            <v>223002</v>
          </cell>
        </row>
        <row r="13278">
          <cell r="K13278" t="str">
            <v>201021</v>
          </cell>
          <cell r="M13278">
            <v>2</v>
          </cell>
          <cell r="R13278">
            <v>45956</v>
          </cell>
          <cell r="S13278">
            <v>201021</v>
          </cell>
        </row>
        <row r="13279">
          <cell r="K13279" t="str">
            <v>241001</v>
          </cell>
          <cell r="M13279">
            <v>2</v>
          </cell>
          <cell r="R13279">
            <v>45956</v>
          </cell>
          <cell r="S13279">
            <v>241001</v>
          </cell>
        </row>
        <row r="13280">
          <cell r="K13280" t="str">
            <v>209001</v>
          </cell>
          <cell r="M13280">
            <v>1</v>
          </cell>
          <cell r="R13280">
            <v>45956</v>
          </cell>
          <cell r="S13280">
            <v>209001</v>
          </cell>
        </row>
        <row r="13281">
          <cell r="K13281" t="str">
            <v>241001</v>
          </cell>
          <cell r="M13281">
            <v>2</v>
          </cell>
          <cell r="R13281">
            <v>45956</v>
          </cell>
          <cell r="S13281">
            <v>241001</v>
          </cell>
        </row>
        <row r="13282">
          <cell r="K13282" t="str">
            <v>203003</v>
          </cell>
          <cell r="M13282">
            <v>1</v>
          </cell>
          <cell r="R13282">
            <v>45956</v>
          </cell>
          <cell r="S13282">
            <v>203003</v>
          </cell>
        </row>
        <row r="13283">
          <cell r="K13283" t="str">
            <v>213002</v>
          </cell>
          <cell r="M13283">
            <v>1</v>
          </cell>
          <cell r="R13283">
            <v>45956</v>
          </cell>
          <cell r="S13283">
            <v>213002</v>
          </cell>
        </row>
        <row r="13284">
          <cell r="K13284" t="str">
            <v>201021</v>
          </cell>
          <cell r="M13284">
            <v>3</v>
          </cell>
          <cell r="R13284">
            <v>45956</v>
          </cell>
          <cell r="S13284">
            <v>201021</v>
          </cell>
        </row>
        <row r="13285">
          <cell r="K13285" t="str">
            <v>241001</v>
          </cell>
          <cell r="M13285">
            <v>7</v>
          </cell>
          <cell r="R13285">
            <v>45956</v>
          </cell>
          <cell r="S13285">
            <v>241001</v>
          </cell>
        </row>
        <row r="13286">
          <cell r="K13286" t="str">
            <v>234011</v>
          </cell>
          <cell r="M13286">
            <v>1</v>
          </cell>
          <cell r="R13286">
            <v>45956</v>
          </cell>
          <cell r="S13286">
            <v>234011</v>
          </cell>
        </row>
        <row r="13287">
          <cell r="K13287" t="str">
            <v>223002</v>
          </cell>
          <cell r="M13287">
            <v>2</v>
          </cell>
          <cell r="R13287">
            <v>45954</v>
          </cell>
          <cell r="S13287">
            <v>223002</v>
          </cell>
        </row>
        <row r="13288">
          <cell r="K13288" t="str">
            <v>223004</v>
          </cell>
          <cell r="M13288">
            <v>1</v>
          </cell>
          <cell r="R13288">
            <v>45954</v>
          </cell>
          <cell r="S13288">
            <v>223004</v>
          </cell>
        </row>
        <row r="13289">
          <cell r="K13289" t="str">
            <v>213002</v>
          </cell>
          <cell r="M13289">
            <v>12</v>
          </cell>
          <cell r="R13289">
            <v>45954</v>
          </cell>
          <cell r="S13289">
            <v>213002</v>
          </cell>
        </row>
        <row r="13290">
          <cell r="K13290" t="str">
            <v>228001</v>
          </cell>
          <cell r="M13290">
            <v>4</v>
          </cell>
          <cell r="R13290">
            <v>45956</v>
          </cell>
          <cell r="S13290">
            <v>228001</v>
          </cell>
        </row>
        <row r="13291">
          <cell r="K13291" t="str">
            <v>228001</v>
          </cell>
          <cell r="M13291">
            <v>2</v>
          </cell>
          <cell r="R13291">
            <v>45957</v>
          </cell>
          <cell r="S13291">
            <v>228001</v>
          </cell>
        </row>
        <row r="13292">
          <cell r="K13292" t="str">
            <v>209016</v>
          </cell>
          <cell r="M13292">
            <v>2</v>
          </cell>
          <cell r="R13292">
            <v>45957</v>
          </cell>
          <cell r="S13292">
            <v>209016</v>
          </cell>
        </row>
        <row r="13293">
          <cell r="K13293" t="str">
            <v>220003</v>
          </cell>
          <cell r="M13293">
            <v>1</v>
          </cell>
          <cell r="R13293">
            <v>45957</v>
          </cell>
          <cell r="S13293">
            <v>220003</v>
          </cell>
        </row>
        <row r="13294">
          <cell r="K13294" t="str">
            <v>213002</v>
          </cell>
          <cell r="M13294">
            <v>10</v>
          </cell>
          <cell r="R13294">
            <v>45957</v>
          </cell>
          <cell r="S13294">
            <v>213002</v>
          </cell>
        </row>
        <row r="13295">
          <cell r="K13295" t="str">
            <v>226001</v>
          </cell>
          <cell r="M13295">
            <v>2</v>
          </cell>
          <cell r="R13295">
            <v>45957</v>
          </cell>
          <cell r="S13295">
            <v>226001</v>
          </cell>
        </row>
        <row r="13296">
          <cell r="K13296" t="str">
            <v>241001</v>
          </cell>
          <cell r="M13296">
            <v>10</v>
          </cell>
          <cell r="R13296">
            <v>45957</v>
          </cell>
          <cell r="S13296">
            <v>241001</v>
          </cell>
        </row>
        <row r="13297">
          <cell r="K13297" t="str">
            <v>228001</v>
          </cell>
          <cell r="M13297">
            <v>3</v>
          </cell>
          <cell r="R13297">
            <v>45957</v>
          </cell>
          <cell r="S13297">
            <v>228001</v>
          </cell>
        </row>
        <row r="13298">
          <cell r="K13298" t="str">
            <v>212035</v>
          </cell>
          <cell r="M13298">
            <v>1</v>
          </cell>
          <cell r="R13298">
            <v>45957</v>
          </cell>
          <cell r="S13298">
            <v>212035</v>
          </cell>
        </row>
        <row r="13299">
          <cell r="K13299" t="str">
            <v>226001</v>
          </cell>
          <cell r="M13299">
            <v>1</v>
          </cell>
          <cell r="R13299">
            <v>45957</v>
          </cell>
          <cell r="S13299">
            <v>226001</v>
          </cell>
        </row>
        <row r="13300">
          <cell r="K13300" t="str">
            <v>212035</v>
          </cell>
          <cell r="M13300">
            <v>1</v>
          </cell>
          <cell r="R13300">
            <v>45957</v>
          </cell>
          <cell r="S13300">
            <v>212035</v>
          </cell>
        </row>
        <row r="13301">
          <cell r="K13301" t="str">
            <v>209004</v>
          </cell>
          <cell r="M13301">
            <v>2</v>
          </cell>
          <cell r="R13301">
            <v>45957</v>
          </cell>
          <cell r="S13301">
            <v>209004</v>
          </cell>
        </row>
        <row r="13302">
          <cell r="K13302" t="str">
            <v>228001</v>
          </cell>
          <cell r="M13302">
            <v>2</v>
          </cell>
          <cell r="R13302">
            <v>45957</v>
          </cell>
          <cell r="S13302">
            <v>228001</v>
          </cell>
        </row>
        <row r="13303">
          <cell r="K13303" t="str">
            <v>223002</v>
          </cell>
          <cell r="M13303">
            <v>1</v>
          </cell>
          <cell r="R13303">
            <v>45957</v>
          </cell>
          <cell r="S13303">
            <v>223002</v>
          </cell>
        </row>
        <row r="13304">
          <cell r="K13304" t="str">
            <v>234001</v>
          </cell>
          <cell r="M13304">
            <v>1</v>
          </cell>
          <cell r="R13304">
            <v>45957</v>
          </cell>
          <cell r="S13304">
            <v>234001</v>
          </cell>
        </row>
        <row r="13305">
          <cell r="K13305" t="str">
            <v>217022</v>
          </cell>
          <cell r="M13305">
            <v>3</v>
          </cell>
          <cell r="R13305">
            <v>45957</v>
          </cell>
          <cell r="S13305">
            <v>217022</v>
          </cell>
        </row>
        <row r="13306">
          <cell r="K13306" t="str">
            <v>228001</v>
          </cell>
          <cell r="M13306">
            <v>1</v>
          </cell>
          <cell r="R13306">
            <v>45957</v>
          </cell>
          <cell r="S13306">
            <v>228001</v>
          </cell>
        </row>
        <row r="13307">
          <cell r="K13307" t="str">
            <v>229004</v>
          </cell>
          <cell r="M13307">
            <v>4</v>
          </cell>
          <cell r="R13307">
            <v>45957</v>
          </cell>
          <cell r="S13307">
            <v>229004</v>
          </cell>
        </row>
        <row r="13308">
          <cell r="K13308" t="str">
            <v>217011</v>
          </cell>
          <cell r="M13308">
            <v>4</v>
          </cell>
          <cell r="R13308">
            <v>45957</v>
          </cell>
          <cell r="S13308">
            <v>217011</v>
          </cell>
        </row>
        <row r="13309">
          <cell r="K13309" t="str">
            <v>203004</v>
          </cell>
          <cell r="M13309">
            <v>1</v>
          </cell>
          <cell r="R13309">
            <v>45957</v>
          </cell>
          <cell r="S13309">
            <v>203004</v>
          </cell>
        </row>
        <row r="13310">
          <cell r="K13310" t="str">
            <v>201011</v>
          </cell>
          <cell r="M13310">
            <v>1</v>
          </cell>
          <cell r="R13310">
            <v>45957</v>
          </cell>
          <cell r="S13310">
            <v>201011</v>
          </cell>
        </row>
        <row r="13311">
          <cell r="K13311" t="str">
            <v>210001</v>
          </cell>
          <cell r="M13311">
            <v>1</v>
          </cell>
          <cell r="R13311">
            <v>45957</v>
          </cell>
          <cell r="S13311">
            <v>210001</v>
          </cell>
        </row>
        <row r="13312">
          <cell r="K13312" t="str">
            <v>212035</v>
          </cell>
          <cell r="M13312">
            <v>4</v>
          </cell>
          <cell r="R13312">
            <v>45957</v>
          </cell>
          <cell r="S13312">
            <v>212035</v>
          </cell>
        </row>
        <row r="13313">
          <cell r="K13313" t="str">
            <v>228001</v>
          </cell>
          <cell r="M13313">
            <v>1</v>
          </cell>
          <cell r="R13313">
            <v>45957</v>
          </cell>
          <cell r="S13313">
            <v>228001</v>
          </cell>
        </row>
        <row r="13314">
          <cell r="K13314" t="str">
            <v>203003</v>
          </cell>
          <cell r="M13314">
            <v>3</v>
          </cell>
          <cell r="R13314">
            <v>45957</v>
          </cell>
          <cell r="S13314">
            <v>203003</v>
          </cell>
        </row>
        <row r="13315">
          <cell r="K13315" t="str">
            <v>213005</v>
          </cell>
          <cell r="M13315">
            <v>1</v>
          </cell>
          <cell r="R13315">
            <v>45957</v>
          </cell>
          <cell r="S13315">
            <v>213005</v>
          </cell>
        </row>
        <row r="13316">
          <cell r="K13316" t="str">
            <v>201011</v>
          </cell>
          <cell r="M13316">
            <v>18</v>
          </cell>
          <cell r="R13316">
            <v>45957</v>
          </cell>
          <cell r="S13316">
            <v>201011</v>
          </cell>
        </row>
        <row r="13317">
          <cell r="K13317" t="str">
            <v>201011</v>
          </cell>
          <cell r="M13317">
            <v>10</v>
          </cell>
          <cell r="R13317">
            <v>45957</v>
          </cell>
          <cell r="S13317">
            <v>201011</v>
          </cell>
        </row>
        <row r="13318">
          <cell r="K13318" t="str">
            <v>228001</v>
          </cell>
          <cell r="M13318">
            <v>30</v>
          </cell>
          <cell r="R13318">
            <v>45957</v>
          </cell>
          <cell r="S13318">
            <v>228001</v>
          </cell>
        </row>
        <row r="13319">
          <cell r="K13319" t="str">
            <v>201011</v>
          </cell>
          <cell r="M13319">
            <v>10</v>
          </cell>
          <cell r="R13319">
            <v>45957</v>
          </cell>
          <cell r="S13319">
            <v>201011</v>
          </cell>
        </row>
        <row r="13320">
          <cell r="K13320" t="str">
            <v>213006</v>
          </cell>
          <cell r="M13320">
            <v>1</v>
          </cell>
          <cell r="R13320">
            <v>45957</v>
          </cell>
          <cell r="S13320">
            <v>213006</v>
          </cell>
        </row>
        <row r="13321">
          <cell r="K13321" t="str">
            <v>201011</v>
          </cell>
          <cell r="M13321">
            <v>1</v>
          </cell>
          <cell r="R13321">
            <v>45957</v>
          </cell>
          <cell r="S13321">
            <v>201011</v>
          </cell>
        </row>
        <row r="13322">
          <cell r="K13322" t="str">
            <v>201011</v>
          </cell>
          <cell r="M13322">
            <v>36</v>
          </cell>
          <cell r="R13322">
            <v>45957</v>
          </cell>
          <cell r="S13322">
            <v>201011</v>
          </cell>
        </row>
        <row r="13323">
          <cell r="K13323" t="str">
            <v>223002</v>
          </cell>
          <cell r="M13323">
            <v>2</v>
          </cell>
          <cell r="R13323">
            <v>45957</v>
          </cell>
          <cell r="S13323">
            <v>223002</v>
          </cell>
        </row>
        <row r="13324">
          <cell r="K13324" t="str">
            <v>223001</v>
          </cell>
          <cell r="M13324">
            <v>10</v>
          </cell>
          <cell r="R13324">
            <v>45957</v>
          </cell>
          <cell r="S13324">
            <v>223001</v>
          </cell>
        </row>
        <row r="13325">
          <cell r="K13325" t="str">
            <v>226027</v>
          </cell>
          <cell r="M13325">
            <v>1</v>
          </cell>
          <cell r="R13325">
            <v>45957</v>
          </cell>
          <cell r="S13325">
            <v>226027</v>
          </cell>
        </row>
        <row r="13326">
          <cell r="K13326" t="str">
            <v>226022</v>
          </cell>
          <cell r="M13326">
            <v>1</v>
          </cell>
          <cell r="R13326">
            <v>45957</v>
          </cell>
          <cell r="S13326">
            <v>226022</v>
          </cell>
        </row>
        <row r="13327">
          <cell r="K13327" t="str">
            <v>210014</v>
          </cell>
          <cell r="M13327">
            <v>2</v>
          </cell>
          <cell r="R13327">
            <v>45957</v>
          </cell>
          <cell r="S13327">
            <v>210014</v>
          </cell>
        </row>
        <row r="13328">
          <cell r="K13328" t="str">
            <v>227012</v>
          </cell>
          <cell r="M13328">
            <v>2</v>
          </cell>
          <cell r="R13328">
            <v>45957</v>
          </cell>
          <cell r="S13328">
            <v>227012</v>
          </cell>
        </row>
        <row r="13329">
          <cell r="K13329" t="str">
            <v>201011</v>
          </cell>
          <cell r="M13329">
            <v>20</v>
          </cell>
          <cell r="R13329">
            <v>45957</v>
          </cell>
          <cell r="S13329">
            <v>201011</v>
          </cell>
        </row>
        <row r="13330">
          <cell r="K13330" t="str">
            <v>228001</v>
          </cell>
          <cell r="M13330">
            <v>2</v>
          </cell>
          <cell r="R13330">
            <v>45957</v>
          </cell>
          <cell r="S13330">
            <v>228001</v>
          </cell>
        </row>
        <row r="13331">
          <cell r="K13331" t="str">
            <v>228001</v>
          </cell>
          <cell r="M13331">
            <v>20</v>
          </cell>
          <cell r="R13331">
            <v>45957</v>
          </cell>
          <cell r="S13331">
            <v>228001</v>
          </cell>
        </row>
        <row r="13332">
          <cell r="K13332" t="str">
            <v>229001</v>
          </cell>
          <cell r="M13332">
            <v>8</v>
          </cell>
          <cell r="R13332">
            <v>45957</v>
          </cell>
          <cell r="S13332">
            <v>229001</v>
          </cell>
        </row>
        <row r="13333">
          <cell r="K13333" t="str">
            <v>201011</v>
          </cell>
          <cell r="M13333">
            <v>3</v>
          </cell>
          <cell r="R13333">
            <v>45957</v>
          </cell>
          <cell r="S13333">
            <v>201011</v>
          </cell>
        </row>
        <row r="13334">
          <cell r="K13334" t="str">
            <v>201011</v>
          </cell>
          <cell r="M13334">
            <v>72</v>
          </cell>
          <cell r="R13334">
            <v>45957</v>
          </cell>
          <cell r="S13334">
            <v>201011</v>
          </cell>
        </row>
        <row r="13335">
          <cell r="K13335" t="str">
            <v>228001</v>
          </cell>
          <cell r="M13335">
            <v>2</v>
          </cell>
          <cell r="R13335">
            <v>45957</v>
          </cell>
          <cell r="S13335">
            <v>228001</v>
          </cell>
        </row>
        <row r="13336">
          <cell r="K13336" t="str">
            <v>201011</v>
          </cell>
          <cell r="M13336">
            <v>9</v>
          </cell>
          <cell r="R13336">
            <v>45957</v>
          </cell>
          <cell r="S13336">
            <v>201011</v>
          </cell>
        </row>
        <row r="13337">
          <cell r="K13337" t="str">
            <v>228001</v>
          </cell>
          <cell r="M13337">
            <v>5</v>
          </cell>
          <cell r="R13337">
            <v>45957</v>
          </cell>
          <cell r="S13337">
            <v>228001</v>
          </cell>
        </row>
        <row r="13338">
          <cell r="K13338" t="str">
            <v>217019</v>
          </cell>
          <cell r="M13338">
            <v>8</v>
          </cell>
          <cell r="R13338">
            <v>45957</v>
          </cell>
          <cell r="S13338">
            <v>217019</v>
          </cell>
        </row>
        <row r="13339">
          <cell r="K13339" t="str">
            <v>212002</v>
          </cell>
          <cell r="M13339">
            <v>1</v>
          </cell>
          <cell r="R13339">
            <v>45957</v>
          </cell>
          <cell r="S13339">
            <v>212002</v>
          </cell>
        </row>
        <row r="13340">
          <cell r="K13340" t="str">
            <v>201011</v>
          </cell>
          <cell r="M13340">
            <v>6</v>
          </cell>
          <cell r="R13340">
            <v>45957</v>
          </cell>
          <cell r="S13340">
            <v>201011</v>
          </cell>
        </row>
        <row r="13341">
          <cell r="K13341" t="str">
            <v>201003</v>
          </cell>
          <cell r="M13341">
            <v>1</v>
          </cell>
          <cell r="R13341">
            <v>45957</v>
          </cell>
          <cell r="S13341">
            <v>201003</v>
          </cell>
        </row>
        <row r="13342">
          <cell r="K13342" t="str">
            <v>212002</v>
          </cell>
          <cell r="M13342">
            <v>1</v>
          </cell>
          <cell r="R13342">
            <v>45957</v>
          </cell>
          <cell r="S13342">
            <v>212002</v>
          </cell>
        </row>
        <row r="13343">
          <cell r="K13343" t="str">
            <v>228001</v>
          </cell>
          <cell r="M13343">
            <v>4</v>
          </cell>
          <cell r="R13343">
            <v>45957</v>
          </cell>
          <cell r="S13343">
            <v>228001</v>
          </cell>
        </row>
        <row r="13344">
          <cell r="K13344" t="str">
            <v>228001</v>
          </cell>
          <cell r="M13344">
            <v>2</v>
          </cell>
          <cell r="R13344">
            <v>45957</v>
          </cell>
          <cell r="S13344">
            <v>228001</v>
          </cell>
        </row>
        <row r="13345">
          <cell r="K13345" t="str">
            <v>228001</v>
          </cell>
          <cell r="M13345">
            <v>3</v>
          </cell>
          <cell r="R13345">
            <v>45957</v>
          </cell>
          <cell r="S13345">
            <v>228001</v>
          </cell>
        </row>
        <row r="13346">
          <cell r="K13346" t="str">
            <v>223002</v>
          </cell>
          <cell r="M13346">
            <v>2</v>
          </cell>
          <cell r="R13346">
            <v>45957</v>
          </cell>
          <cell r="S13346">
            <v>223002</v>
          </cell>
        </row>
        <row r="13347">
          <cell r="K13347" t="str">
            <v>201011</v>
          </cell>
          <cell r="M13347">
            <v>28</v>
          </cell>
          <cell r="R13347">
            <v>45957</v>
          </cell>
          <cell r="S13347">
            <v>201011</v>
          </cell>
        </row>
        <row r="13348">
          <cell r="K13348" t="str">
            <v>213002</v>
          </cell>
          <cell r="M13348">
            <v>1</v>
          </cell>
          <cell r="R13348">
            <v>45957</v>
          </cell>
          <cell r="S13348">
            <v>213002</v>
          </cell>
        </row>
        <row r="13349">
          <cell r="K13349" t="str">
            <v>209001</v>
          </cell>
          <cell r="M13349">
            <v>1</v>
          </cell>
          <cell r="R13349">
            <v>45957</v>
          </cell>
          <cell r="S13349">
            <v>209001</v>
          </cell>
        </row>
        <row r="13350">
          <cell r="K13350" t="str">
            <v>217011</v>
          </cell>
          <cell r="M13350">
            <v>1</v>
          </cell>
          <cell r="R13350">
            <v>45957</v>
          </cell>
          <cell r="S13350">
            <v>217011</v>
          </cell>
        </row>
        <row r="13351">
          <cell r="K13351" t="str">
            <v>227014</v>
          </cell>
          <cell r="M13351">
            <v>1</v>
          </cell>
          <cell r="R13351">
            <v>45957</v>
          </cell>
          <cell r="S13351">
            <v>227014</v>
          </cell>
        </row>
        <row r="13352">
          <cell r="K13352" t="str">
            <v>220003</v>
          </cell>
          <cell r="M13352">
            <v>1</v>
          </cell>
          <cell r="R13352">
            <v>45957</v>
          </cell>
          <cell r="S13352">
            <v>220003</v>
          </cell>
        </row>
        <row r="13353">
          <cell r="K13353" t="str">
            <v>226030</v>
          </cell>
          <cell r="M13353">
            <v>4</v>
          </cell>
          <cell r="R13353">
            <v>45957</v>
          </cell>
          <cell r="S13353">
            <v>226030</v>
          </cell>
        </row>
        <row r="13354">
          <cell r="K13354" t="str">
            <v>223002</v>
          </cell>
          <cell r="M13354">
            <v>2</v>
          </cell>
          <cell r="R13354">
            <v>45957</v>
          </cell>
          <cell r="S13354">
            <v>223002</v>
          </cell>
        </row>
        <row r="13355">
          <cell r="K13355" t="str">
            <v>209001</v>
          </cell>
          <cell r="M13355">
            <v>3</v>
          </cell>
          <cell r="R13355">
            <v>45957</v>
          </cell>
          <cell r="S13355">
            <v>209001</v>
          </cell>
        </row>
        <row r="13356">
          <cell r="K13356" t="str">
            <v>201003</v>
          </cell>
          <cell r="M13356">
            <v>3</v>
          </cell>
          <cell r="R13356">
            <v>45957</v>
          </cell>
          <cell r="S13356">
            <v>201003</v>
          </cell>
        </row>
        <row r="13357">
          <cell r="K13357" t="str">
            <v>206002</v>
          </cell>
          <cell r="M13357">
            <v>1</v>
          </cell>
          <cell r="R13357">
            <v>45957</v>
          </cell>
          <cell r="S13357">
            <v>206002</v>
          </cell>
        </row>
        <row r="13358">
          <cell r="K13358" t="str">
            <v>208001</v>
          </cell>
          <cell r="M13358">
            <v>2</v>
          </cell>
          <cell r="R13358">
            <v>45957</v>
          </cell>
          <cell r="S13358">
            <v>208001</v>
          </cell>
        </row>
        <row r="13359">
          <cell r="K13359" t="str">
            <v>229003</v>
          </cell>
          <cell r="M13359">
            <v>2</v>
          </cell>
          <cell r="R13359">
            <v>45957</v>
          </cell>
          <cell r="S13359">
            <v>229003</v>
          </cell>
        </row>
        <row r="13360">
          <cell r="K13360" t="str">
            <v>223001</v>
          </cell>
          <cell r="M13360">
            <v>3</v>
          </cell>
          <cell r="R13360">
            <v>45957</v>
          </cell>
          <cell r="S13360">
            <v>223001</v>
          </cell>
        </row>
        <row r="13361">
          <cell r="K13361" t="str">
            <v>223002</v>
          </cell>
          <cell r="M13361">
            <v>1</v>
          </cell>
          <cell r="R13361">
            <v>45957</v>
          </cell>
          <cell r="S13361">
            <v>223002</v>
          </cell>
        </row>
        <row r="13362">
          <cell r="K13362" t="str">
            <v>241001</v>
          </cell>
          <cell r="M13362">
            <v>1</v>
          </cell>
          <cell r="R13362">
            <v>45957</v>
          </cell>
          <cell r="S13362">
            <v>241001</v>
          </cell>
        </row>
        <row r="13363">
          <cell r="K13363" t="str">
            <v>201011</v>
          </cell>
          <cell r="M13363">
            <v>5</v>
          </cell>
          <cell r="R13363">
            <v>45957</v>
          </cell>
          <cell r="S13363">
            <v>201011</v>
          </cell>
        </row>
        <row r="13364">
          <cell r="K13364" t="str">
            <v>213002</v>
          </cell>
          <cell r="M13364">
            <v>5</v>
          </cell>
          <cell r="R13364">
            <v>45957</v>
          </cell>
          <cell r="S13364">
            <v>213002</v>
          </cell>
        </row>
        <row r="13365">
          <cell r="K13365" t="str">
            <v>220002</v>
          </cell>
          <cell r="M13365">
            <v>2</v>
          </cell>
          <cell r="R13365">
            <v>45957</v>
          </cell>
          <cell r="S13365">
            <v>220002</v>
          </cell>
        </row>
        <row r="13366">
          <cell r="K13366" t="str">
            <v>241001</v>
          </cell>
          <cell r="M13366">
            <v>3</v>
          </cell>
          <cell r="R13366">
            <v>45957</v>
          </cell>
          <cell r="S13366">
            <v>241001</v>
          </cell>
        </row>
        <row r="13367">
          <cell r="K13367" t="str">
            <v>222001</v>
          </cell>
          <cell r="M13367">
            <v>3</v>
          </cell>
          <cell r="R13367">
            <v>45957</v>
          </cell>
          <cell r="S13367">
            <v>222001</v>
          </cell>
        </row>
        <row r="13368">
          <cell r="K13368" t="str">
            <v>222007</v>
          </cell>
          <cell r="M13368">
            <v>1</v>
          </cell>
          <cell r="R13368">
            <v>45957</v>
          </cell>
          <cell r="S13368">
            <v>222007</v>
          </cell>
        </row>
        <row r="13369">
          <cell r="K13369" t="str">
            <v>213005</v>
          </cell>
          <cell r="M13369">
            <v>2</v>
          </cell>
          <cell r="R13369">
            <v>45957</v>
          </cell>
          <cell r="S13369">
            <v>213005</v>
          </cell>
        </row>
        <row r="13370">
          <cell r="K13370" t="str">
            <v>231012</v>
          </cell>
          <cell r="M13370">
            <v>3</v>
          </cell>
          <cell r="R13370">
            <v>45957</v>
          </cell>
          <cell r="S13370">
            <v>231012</v>
          </cell>
        </row>
        <row r="13371">
          <cell r="K13371" t="str">
            <v>212035</v>
          </cell>
          <cell r="M13371">
            <v>1</v>
          </cell>
          <cell r="R13371">
            <v>45957</v>
          </cell>
          <cell r="S13371">
            <v>212035</v>
          </cell>
        </row>
        <row r="13372">
          <cell r="K13372" t="str">
            <v>227012</v>
          </cell>
          <cell r="M13372">
            <v>1</v>
          </cell>
          <cell r="R13372">
            <v>45958</v>
          </cell>
          <cell r="S13372">
            <v>227012</v>
          </cell>
        </row>
        <row r="13373">
          <cell r="K13373" t="str">
            <v>213005</v>
          </cell>
          <cell r="M13373">
            <v>2</v>
          </cell>
          <cell r="R13373">
            <v>45958</v>
          </cell>
          <cell r="S13373">
            <v>213005</v>
          </cell>
        </row>
        <row r="13374">
          <cell r="K13374" t="str">
            <v>217022</v>
          </cell>
          <cell r="M13374">
            <v>2</v>
          </cell>
          <cell r="R13374">
            <v>45958</v>
          </cell>
          <cell r="S13374">
            <v>217022</v>
          </cell>
        </row>
        <row r="13375">
          <cell r="K13375" t="str">
            <v>209001</v>
          </cell>
          <cell r="M13375">
            <v>3</v>
          </cell>
          <cell r="R13375">
            <v>45958</v>
          </cell>
          <cell r="S13375">
            <v>209001</v>
          </cell>
        </row>
        <row r="13376">
          <cell r="K13376" t="str">
            <v>218001</v>
          </cell>
          <cell r="M13376">
            <v>1</v>
          </cell>
          <cell r="R13376">
            <v>45958</v>
          </cell>
          <cell r="S13376">
            <v>218001</v>
          </cell>
        </row>
        <row r="13377">
          <cell r="K13377" t="str">
            <v>210014</v>
          </cell>
          <cell r="M13377">
            <v>1</v>
          </cell>
          <cell r="R13377">
            <v>45958</v>
          </cell>
          <cell r="S13377">
            <v>210014</v>
          </cell>
        </row>
        <row r="13378">
          <cell r="K13378" t="str">
            <v>203001</v>
          </cell>
          <cell r="M13378">
            <v>1</v>
          </cell>
          <cell r="R13378">
            <v>45958</v>
          </cell>
          <cell r="S13378">
            <v>203001</v>
          </cell>
        </row>
        <row r="13379">
          <cell r="K13379" t="str">
            <v>231012</v>
          </cell>
          <cell r="M13379">
            <v>1</v>
          </cell>
          <cell r="R13379">
            <v>45958</v>
          </cell>
          <cell r="S13379">
            <v>231012</v>
          </cell>
        </row>
        <row r="13380">
          <cell r="K13380" t="str">
            <v>213006</v>
          </cell>
          <cell r="M13380">
            <v>2</v>
          </cell>
          <cell r="R13380">
            <v>45958</v>
          </cell>
          <cell r="S13380">
            <v>213006</v>
          </cell>
        </row>
        <row r="13381">
          <cell r="K13381" t="str">
            <v>241001</v>
          </cell>
          <cell r="M13381">
            <v>10</v>
          </cell>
          <cell r="R13381">
            <v>45958</v>
          </cell>
          <cell r="S13381">
            <v>241001</v>
          </cell>
        </row>
        <row r="13382">
          <cell r="K13382" t="str">
            <v>217011</v>
          </cell>
          <cell r="M13382">
            <v>3</v>
          </cell>
          <cell r="R13382">
            <v>45958</v>
          </cell>
          <cell r="S13382">
            <v>217011</v>
          </cell>
        </row>
        <row r="13383">
          <cell r="K13383" t="str">
            <v>220003</v>
          </cell>
          <cell r="M13383">
            <v>10</v>
          </cell>
          <cell r="R13383">
            <v>45958</v>
          </cell>
          <cell r="S13383">
            <v>220003</v>
          </cell>
        </row>
        <row r="13384">
          <cell r="K13384" t="str">
            <v>201011</v>
          </cell>
          <cell r="M13384">
            <v>7</v>
          </cell>
          <cell r="R13384">
            <v>45958</v>
          </cell>
          <cell r="S13384">
            <v>201011</v>
          </cell>
        </row>
        <row r="13385">
          <cell r="K13385" t="str">
            <v>229001</v>
          </cell>
          <cell r="M13385">
            <v>2</v>
          </cell>
          <cell r="R13385">
            <v>45958</v>
          </cell>
          <cell r="S13385">
            <v>229001</v>
          </cell>
        </row>
        <row r="13386">
          <cell r="K13386" t="str">
            <v>213002</v>
          </cell>
          <cell r="M13386">
            <v>3</v>
          </cell>
          <cell r="R13386">
            <v>45958</v>
          </cell>
          <cell r="S13386">
            <v>213002</v>
          </cell>
        </row>
        <row r="13387">
          <cell r="K13387" t="str">
            <v>220003</v>
          </cell>
          <cell r="M13387">
            <v>1</v>
          </cell>
          <cell r="R13387">
            <v>45958</v>
          </cell>
          <cell r="S13387">
            <v>220003</v>
          </cell>
        </row>
        <row r="13388">
          <cell r="K13388" t="str">
            <v>228001</v>
          </cell>
          <cell r="M13388">
            <v>5</v>
          </cell>
          <cell r="R13388">
            <v>45958</v>
          </cell>
          <cell r="S13388">
            <v>228001</v>
          </cell>
        </row>
        <row r="13389">
          <cell r="K13389" t="str">
            <v>228001</v>
          </cell>
          <cell r="M13389">
            <v>1</v>
          </cell>
          <cell r="R13389">
            <v>45958</v>
          </cell>
          <cell r="S13389">
            <v>228001</v>
          </cell>
        </row>
        <row r="13390">
          <cell r="K13390" t="str">
            <v>228001</v>
          </cell>
          <cell r="M13390">
            <v>1</v>
          </cell>
          <cell r="R13390">
            <v>45958</v>
          </cell>
          <cell r="S13390">
            <v>228001</v>
          </cell>
        </row>
        <row r="13391">
          <cell r="K13391" t="str">
            <v>201011</v>
          </cell>
          <cell r="M13391">
            <v>1</v>
          </cell>
          <cell r="R13391">
            <v>45958</v>
          </cell>
          <cell r="S13391">
            <v>201011</v>
          </cell>
        </row>
        <row r="13392">
          <cell r="K13392" t="str">
            <v>228001</v>
          </cell>
          <cell r="M13392">
            <v>4</v>
          </cell>
          <cell r="R13392">
            <v>45958</v>
          </cell>
          <cell r="S13392">
            <v>228001</v>
          </cell>
        </row>
        <row r="13393">
          <cell r="K13393" t="str">
            <v>228001</v>
          </cell>
          <cell r="M13393">
            <v>4</v>
          </cell>
          <cell r="R13393">
            <v>45958</v>
          </cell>
          <cell r="S13393">
            <v>228001</v>
          </cell>
        </row>
        <row r="13394">
          <cell r="K13394" t="str">
            <v>217011</v>
          </cell>
          <cell r="M13394">
            <v>1</v>
          </cell>
          <cell r="R13394">
            <v>45958</v>
          </cell>
          <cell r="S13394">
            <v>217011</v>
          </cell>
        </row>
        <row r="13395">
          <cell r="K13395" t="str">
            <v>228001</v>
          </cell>
          <cell r="M13395">
            <v>3</v>
          </cell>
          <cell r="R13395">
            <v>45958</v>
          </cell>
          <cell r="S13395">
            <v>228001</v>
          </cell>
        </row>
        <row r="13396">
          <cell r="K13396" t="str">
            <v>212035</v>
          </cell>
          <cell r="M13396">
            <v>6</v>
          </cell>
          <cell r="R13396">
            <v>45958</v>
          </cell>
          <cell r="S13396">
            <v>212035</v>
          </cell>
        </row>
        <row r="13397">
          <cell r="K13397" t="str">
            <v>226024</v>
          </cell>
          <cell r="M13397">
            <v>3</v>
          </cell>
          <cell r="R13397">
            <v>45958</v>
          </cell>
          <cell r="S13397">
            <v>226024</v>
          </cell>
        </row>
        <row r="13398">
          <cell r="K13398" t="str">
            <v>228001</v>
          </cell>
          <cell r="M13398">
            <v>2</v>
          </cell>
          <cell r="R13398">
            <v>45958</v>
          </cell>
          <cell r="S13398">
            <v>228001</v>
          </cell>
        </row>
        <row r="13399">
          <cell r="K13399" t="str">
            <v>226024</v>
          </cell>
          <cell r="M13399">
            <v>1</v>
          </cell>
          <cell r="R13399">
            <v>45958</v>
          </cell>
          <cell r="S13399">
            <v>226024</v>
          </cell>
        </row>
        <row r="13400">
          <cell r="K13400" t="str">
            <v>202001</v>
          </cell>
          <cell r="M13400">
            <v>1</v>
          </cell>
          <cell r="R13400">
            <v>45958</v>
          </cell>
          <cell r="S13400">
            <v>202001</v>
          </cell>
        </row>
        <row r="13401">
          <cell r="K13401" t="str">
            <v>201011</v>
          </cell>
          <cell r="M13401">
            <v>3</v>
          </cell>
          <cell r="R13401">
            <v>45958</v>
          </cell>
          <cell r="S13401">
            <v>201011</v>
          </cell>
        </row>
        <row r="13402">
          <cell r="K13402" t="str">
            <v>209004</v>
          </cell>
          <cell r="M13402">
            <v>1</v>
          </cell>
          <cell r="R13402">
            <v>45958</v>
          </cell>
          <cell r="S13402">
            <v>209004</v>
          </cell>
        </row>
        <row r="13403">
          <cell r="K13403" t="str">
            <v>209001</v>
          </cell>
          <cell r="M13403">
            <v>1</v>
          </cell>
          <cell r="R13403">
            <v>45958</v>
          </cell>
          <cell r="S13403">
            <v>209001</v>
          </cell>
        </row>
        <row r="13404">
          <cell r="K13404" t="str">
            <v>227012</v>
          </cell>
          <cell r="M13404">
            <v>4</v>
          </cell>
          <cell r="R13404">
            <v>45958</v>
          </cell>
          <cell r="S13404">
            <v>227012</v>
          </cell>
        </row>
        <row r="13405">
          <cell r="K13405" t="str">
            <v>226001</v>
          </cell>
          <cell r="M13405">
            <v>1</v>
          </cell>
          <cell r="R13405">
            <v>45958</v>
          </cell>
          <cell r="S13405">
            <v>226001</v>
          </cell>
        </row>
        <row r="13406">
          <cell r="K13406" t="str">
            <v>226001</v>
          </cell>
          <cell r="M13406">
            <v>1</v>
          </cell>
          <cell r="R13406">
            <v>45958</v>
          </cell>
          <cell r="S13406">
            <v>226001</v>
          </cell>
        </row>
        <row r="13407">
          <cell r="K13407" t="str">
            <v>227012</v>
          </cell>
          <cell r="M13407">
            <v>2</v>
          </cell>
          <cell r="R13407">
            <v>45958</v>
          </cell>
          <cell r="S13407">
            <v>227012</v>
          </cell>
        </row>
        <row r="13408">
          <cell r="K13408" t="str">
            <v>227001</v>
          </cell>
          <cell r="M13408">
            <v>2</v>
          </cell>
          <cell r="R13408">
            <v>45958</v>
          </cell>
          <cell r="S13408">
            <v>227001</v>
          </cell>
        </row>
        <row r="13409">
          <cell r="K13409" t="str">
            <v>223002</v>
          </cell>
          <cell r="M13409">
            <v>1</v>
          </cell>
          <cell r="R13409">
            <v>45958</v>
          </cell>
          <cell r="S13409">
            <v>223002</v>
          </cell>
        </row>
        <row r="13410">
          <cell r="K13410" t="str">
            <v>203001</v>
          </cell>
          <cell r="M13410">
            <v>1</v>
          </cell>
          <cell r="R13410">
            <v>45958</v>
          </cell>
          <cell r="S13410">
            <v>203001</v>
          </cell>
        </row>
        <row r="13411">
          <cell r="K13411" t="str">
            <v>201011</v>
          </cell>
          <cell r="M13411">
            <v>1</v>
          </cell>
          <cell r="R13411">
            <v>45958</v>
          </cell>
          <cell r="S13411">
            <v>201011</v>
          </cell>
        </row>
        <row r="13412">
          <cell r="K13412" t="str">
            <v>271002</v>
          </cell>
          <cell r="M13412">
            <v>1</v>
          </cell>
          <cell r="R13412">
            <v>45958</v>
          </cell>
          <cell r="S13412">
            <v>271002</v>
          </cell>
        </row>
        <row r="13413">
          <cell r="K13413" t="str">
            <v>229001</v>
          </cell>
          <cell r="M13413">
            <v>1</v>
          </cell>
          <cell r="R13413">
            <v>45958</v>
          </cell>
          <cell r="S13413">
            <v>229001</v>
          </cell>
        </row>
        <row r="13414">
          <cell r="K13414" t="str">
            <v>227012</v>
          </cell>
          <cell r="M13414">
            <v>2</v>
          </cell>
          <cell r="R13414">
            <v>45958</v>
          </cell>
          <cell r="S13414">
            <v>227012</v>
          </cell>
        </row>
        <row r="13415">
          <cell r="K13415" t="str">
            <v>220002</v>
          </cell>
          <cell r="M13415">
            <v>1</v>
          </cell>
          <cell r="R13415">
            <v>45958</v>
          </cell>
          <cell r="S13415">
            <v>220002</v>
          </cell>
        </row>
        <row r="13416">
          <cell r="K13416" t="str">
            <v>226001</v>
          </cell>
          <cell r="M13416">
            <v>1</v>
          </cell>
          <cell r="R13416">
            <v>45958</v>
          </cell>
          <cell r="S13416">
            <v>226001</v>
          </cell>
        </row>
        <row r="13417">
          <cell r="K13417" t="str">
            <v>226001</v>
          </cell>
          <cell r="M13417">
            <v>3</v>
          </cell>
          <cell r="R13417">
            <v>45958</v>
          </cell>
          <cell r="S13417">
            <v>226001</v>
          </cell>
        </row>
        <row r="13418">
          <cell r="K13418" t="str">
            <v>226001</v>
          </cell>
          <cell r="M13418">
            <v>1</v>
          </cell>
          <cell r="R13418">
            <v>45958</v>
          </cell>
          <cell r="S13418">
            <v>226001</v>
          </cell>
        </row>
        <row r="13419">
          <cell r="K13419" t="str">
            <v>201011</v>
          </cell>
          <cell r="M13419">
            <v>10</v>
          </cell>
          <cell r="R13419">
            <v>45958</v>
          </cell>
          <cell r="S13419">
            <v>201011</v>
          </cell>
        </row>
        <row r="13420">
          <cell r="K13420" t="str">
            <v>203003</v>
          </cell>
          <cell r="M13420">
            <v>1</v>
          </cell>
          <cell r="R13420">
            <v>45957</v>
          </cell>
          <cell r="S13420">
            <v>203003</v>
          </cell>
        </row>
        <row r="13421">
          <cell r="K13421" t="str">
            <v>213002</v>
          </cell>
          <cell r="M13421">
            <v>6</v>
          </cell>
          <cell r="R13421">
            <v>45957</v>
          </cell>
          <cell r="S13421">
            <v>213002</v>
          </cell>
        </row>
        <row r="13422">
          <cell r="K13422" t="str">
            <v>207017</v>
          </cell>
          <cell r="M13422">
            <v>3</v>
          </cell>
          <cell r="R13422">
            <v>45957</v>
          </cell>
          <cell r="S13422">
            <v>207017</v>
          </cell>
        </row>
        <row r="13423">
          <cell r="K13423" t="str">
            <v>231012</v>
          </cell>
          <cell r="M13423">
            <v>2</v>
          </cell>
          <cell r="R13423">
            <v>45957</v>
          </cell>
          <cell r="S13423">
            <v>231012</v>
          </cell>
        </row>
        <row r="13424">
          <cell r="K13424" t="str">
            <v>203003</v>
          </cell>
          <cell r="M13424">
            <v>1</v>
          </cell>
          <cell r="R13424">
            <v>45958</v>
          </cell>
          <cell r="S13424">
            <v>203003</v>
          </cell>
        </row>
        <row r="13425">
          <cell r="K13425" t="str">
            <v>213006</v>
          </cell>
          <cell r="M13425">
            <v>1</v>
          </cell>
          <cell r="R13425">
            <v>45958</v>
          </cell>
          <cell r="S13425">
            <v>213006</v>
          </cell>
        </row>
        <row r="13426">
          <cell r="K13426" t="str">
            <v>237001</v>
          </cell>
          <cell r="M13426">
            <v>1</v>
          </cell>
          <cell r="R13426">
            <v>45958</v>
          </cell>
          <cell r="S13426">
            <v>237001</v>
          </cell>
        </row>
        <row r="13427">
          <cell r="K13427" t="str">
            <v>212010</v>
          </cell>
          <cell r="M13427">
            <v>35</v>
          </cell>
          <cell r="R13427">
            <v>45958</v>
          </cell>
          <cell r="S13427">
            <v>212010</v>
          </cell>
        </row>
        <row r="13428">
          <cell r="K13428" t="str">
            <v>261004</v>
          </cell>
          <cell r="M13428">
            <v>4</v>
          </cell>
          <cell r="R13428">
            <v>45958</v>
          </cell>
          <cell r="S13428">
            <v>261004</v>
          </cell>
        </row>
        <row r="13429">
          <cell r="K13429" t="str">
            <v>261004</v>
          </cell>
          <cell r="M13429">
            <v>10</v>
          </cell>
          <cell r="R13429">
            <v>45958</v>
          </cell>
          <cell r="S13429">
            <v>261004</v>
          </cell>
        </row>
        <row r="13430">
          <cell r="K13430" t="str">
            <v>261004</v>
          </cell>
          <cell r="M13430">
            <v>30</v>
          </cell>
          <cell r="R13430">
            <v>45958</v>
          </cell>
          <cell r="S13430">
            <v>261004</v>
          </cell>
        </row>
        <row r="13431">
          <cell r="K13431" t="str">
            <v>237001</v>
          </cell>
          <cell r="M13431">
            <v>1</v>
          </cell>
          <cell r="R13431">
            <v>45958</v>
          </cell>
          <cell r="S13431">
            <v>237001</v>
          </cell>
        </row>
        <row r="13432">
          <cell r="K13432" t="str">
            <v>223001</v>
          </cell>
          <cell r="M13432">
            <v>5</v>
          </cell>
          <cell r="R13432">
            <v>45958</v>
          </cell>
          <cell r="S13432">
            <v>223001</v>
          </cell>
        </row>
        <row r="13433">
          <cell r="K13433" t="str">
            <v>222001</v>
          </cell>
          <cell r="M13433">
            <v>2</v>
          </cell>
          <cell r="R13433">
            <v>45958</v>
          </cell>
          <cell r="S13433">
            <v>222001</v>
          </cell>
        </row>
        <row r="13434">
          <cell r="K13434" t="str">
            <v>241001</v>
          </cell>
          <cell r="M13434">
            <v>3</v>
          </cell>
          <cell r="R13434">
            <v>45958</v>
          </cell>
          <cell r="S13434">
            <v>241001</v>
          </cell>
        </row>
        <row r="13435">
          <cell r="K13435" t="str">
            <v>213002</v>
          </cell>
          <cell r="M13435">
            <v>1</v>
          </cell>
          <cell r="R13435">
            <v>45958</v>
          </cell>
          <cell r="S13435">
            <v>213002</v>
          </cell>
        </row>
        <row r="13436">
          <cell r="K13436" t="str">
            <v>203003</v>
          </cell>
          <cell r="M13436">
            <v>1</v>
          </cell>
          <cell r="R13436">
            <v>45958</v>
          </cell>
          <cell r="S13436">
            <v>203003</v>
          </cell>
        </row>
        <row r="13437">
          <cell r="K13437" t="str">
            <v>227002</v>
          </cell>
          <cell r="M13437">
            <v>1</v>
          </cell>
          <cell r="R13437">
            <v>45958</v>
          </cell>
          <cell r="S13437">
            <v>227002</v>
          </cell>
        </row>
        <row r="13438">
          <cell r="K13438" t="str">
            <v>223002</v>
          </cell>
          <cell r="M13438">
            <v>1</v>
          </cell>
          <cell r="R13438">
            <v>45958</v>
          </cell>
          <cell r="S13438">
            <v>223002</v>
          </cell>
        </row>
        <row r="13439">
          <cell r="K13439" t="str">
            <v>213005</v>
          </cell>
          <cell r="M13439">
            <v>2</v>
          </cell>
          <cell r="R13439">
            <v>45959</v>
          </cell>
          <cell r="S13439">
            <v>213005</v>
          </cell>
        </row>
        <row r="13440">
          <cell r="K13440" t="str">
            <v>231010</v>
          </cell>
          <cell r="M13440">
            <v>2</v>
          </cell>
          <cell r="R13440">
            <v>45959</v>
          </cell>
          <cell r="S13440">
            <v>231010</v>
          </cell>
        </row>
        <row r="13441">
          <cell r="K13441" t="str">
            <v>203003</v>
          </cell>
          <cell r="M13441">
            <v>4</v>
          </cell>
          <cell r="R13441">
            <v>45959</v>
          </cell>
          <cell r="S13441">
            <v>203003</v>
          </cell>
        </row>
        <row r="13442">
          <cell r="K13442" t="str">
            <v>228001</v>
          </cell>
          <cell r="M13442">
            <v>1</v>
          </cell>
          <cell r="R13442">
            <v>45959</v>
          </cell>
          <cell r="S13442">
            <v>228001</v>
          </cell>
        </row>
        <row r="13443">
          <cell r="K13443" t="str">
            <v>201003</v>
          </cell>
          <cell r="M13443">
            <v>4</v>
          </cell>
          <cell r="R13443">
            <v>45959</v>
          </cell>
          <cell r="S13443">
            <v>201003</v>
          </cell>
        </row>
        <row r="13444">
          <cell r="K13444" t="str">
            <v>234001</v>
          </cell>
          <cell r="M13444">
            <v>1</v>
          </cell>
          <cell r="R13444">
            <v>45959</v>
          </cell>
          <cell r="S13444">
            <v>234001</v>
          </cell>
        </row>
        <row r="13445">
          <cell r="K13445" t="str">
            <v>212035</v>
          </cell>
          <cell r="M13445">
            <v>2</v>
          </cell>
          <cell r="R13445">
            <v>45959</v>
          </cell>
          <cell r="S13445">
            <v>212035</v>
          </cell>
        </row>
        <row r="13446">
          <cell r="K13446" t="str">
            <v>228001</v>
          </cell>
          <cell r="M13446">
            <v>20</v>
          </cell>
          <cell r="R13446">
            <v>45959</v>
          </cell>
          <cell r="S13446">
            <v>228001</v>
          </cell>
        </row>
        <row r="13447">
          <cell r="K13447" t="str">
            <v>222001</v>
          </cell>
          <cell r="M13447">
            <v>3</v>
          </cell>
          <cell r="R13447">
            <v>45959</v>
          </cell>
          <cell r="S13447">
            <v>222001</v>
          </cell>
        </row>
        <row r="13448">
          <cell r="K13448" t="str">
            <v>207017</v>
          </cell>
          <cell r="M13448">
            <v>1</v>
          </cell>
          <cell r="R13448">
            <v>45958</v>
          </cell>
          <cell r="S13448">
            <v>207017</v>
          </cell>
        </row>
        <row r="13449">
          <cell r="K13449" t="str">
            <v>212035</v>
          </cell>
          <cell r="M13449">
            <v>3</v>
          </cell>
          <cell r="R13449">
            <v>45959</v>
          </cell>
          <cell r="S13449">
            <v>212035</v>
          </cell>
        </row>
        <row r="13450">
          <cell r="K13450" t="str">
            <v>229003</v>
          </cell>
          <cell r="M13450">
            <v>2</v>
          </cell>
          <cell r="R13450">
            <v>45959</v>
          </cell>
          <cell r="S13450">
            <v>229003</v>
          </cell>
        </row>
        <row r="13451">
          <cell r="K13451" t="str">
            <v>210013</v>
          </cell>
          <cell r="M13451">
            <v>2</v>
          </cell>
          <cell r="R13451">
            <v>45959</v>
          </cell>
          <cell r="S13451">
            <v>210013</v>
          </cell>
        </row>
        <row r="13452">
          <cell r="K13452" t="str">
            <v>228001</v>
          </cell>
          <cell r="M13452">
            <v>1</v>
          </cell>
          <cell r="R13452">
            <v>45959</v>
          </cell>
          <cell r="S13452">
            <v>228001</v>
          </cell>
        </row>
        <row r="13453">
          <cell r="K13453" t="str">
            <v>241001</v>
          </cell>
          <cell r="M13453">
            <v>10</v>
          </cell>
          <cell r="R13453">
            <v>45959</v>
          </cell>
          <cell r="S13453">
            <v>241001</v>
          </cell>
        </row>
        <row r="13454">
          <cell r="K13454" t="str">
            <v>217011</v>
          </cell>
          <cell r="M13454">
            <v>1</v>
          </cell>
          <cell r="R13454">
            <v>45959</v>
          </cell>
          <cell r="S13454">
            <v>217011</v>
          </cell>
        </row>
        <row r="13455">
          <cell r="K13455" t="str">
            <v>226001</v>
          </cell>
          <cell r="M13455">
            <v>1</v>
          </cell>
          <cell r="R13455">
            <v>45959</v>
          </cell>
          <cell r="S13455">
            <v>226001</v>
          </cell>
        </row>
        <row r="13456">
          <cell r="K13456" t="str">
            <v>227002</v>
          </cell>
          <cell r="M13456">
            <v>1</v>
          </cell>
          <cell r="R13456">
            <v>45959</v>
          </cell>
          <cell r="S13456">
            <v>227002</v>
          </cell>
        </row>
        <row r="13457">
          <cell r="K13457" t="str">
            <v>213002</v>
          </cell>
          <cell r="M13457">
            <v>1</v>
          </cell>
          <cell r="R13457">
            <v>45959</v>
          </cell>
          <cell r="S13457">
            <v>213002</v>
          </cell>
        </row>
        <row r="13458">
          <cell r="K13458" t="str">
            <v>201003</v>
          </cell>
          <cell r="M13458">
            <v>1</v>
          </cell>
          <cell r="R13458">
            <v>45959</v>
          </cell>
          <cell r="S13458">
            <v>201003</v>
          </cell>
        </row>
        <row r="13459">
          <cell r="K13459" t="str">
            <v>207017</v>
          </cell>
          <cell r="M13459">
            <v>1</v>
          </cell>
          <cell r="R13459">
            <v>45959</v>
          </cell>
          <cell r="S13459">
            <v>207017</v>
          </cell>
        </row>
        <row r="13460">
          <cell r="K13460" t="str">
            <v>209004</v>
          </cell>
          <cell r="M13460">
            <v>1</v>
          </cell>
          <cell r="R13460">
            <v>45959</v>
          </cell>
          <cell r="S13460">
            <v>209004</v>
          </cell>
        </row>
        <row r="13461">
          <cell r="K13461" t="str">
            <v>228001</v>
          </cell>
          <cell r="M13461">
            <v>3</v>
          </cell>
          <cell r="R13461">
            <v>45959</v>
          </cell>
          <cell r="S13461">
            <v>228001</v>
          </cell>
        </row>
        <row r="13462">
          <cell r="K13462" t="str">
            <v>207017</v>
          </cell>
          <cell r="M13462">
            <v>1</v>
          </cell>
          <cell r="R13462">
            <v>45959</v>
          </cell>
          <cell r="S13462">
            <v>207017</v>
          </cell>
        </row>
        <row r="13463">
          <cell r="K13463" t="str">
            <v>209004</v>
          </cell>
          <cell r="M13463">
            <v>1</v>
          </cell>
          <cell r="R13463">
            <v>45959</v>
          </cell>
          <cell r="S13463">
            <v>209004</v>
          </cell>
        </row>
        <row r="13464">
          <cell r="K13464" t="str">
            <v>228001</v>
          </cell>
          <cell r="M13464">
            <v>1</v>
          </cell>
          <cell r="R13464">
            <v>45959</v>
          </cell>
          <cell r="S13464">
            <v>228001</v>
          </cell>
        </row>
        <row r="13465">
          <cell r="K13465" t="str">
            <v>237001</v>
          </cell>
          <cell r="M13465">
            <v>1</v>
          </cell>
          <cell r="R13465">
            <v>45959</v>
          </cell>
          <cell r="S13465">
            <v>237001</v>
          </cell>
        </row>
        <row r="13466">
          <cell r="K13466" t="str">
            <v>217011</v>
          </cell>
          <cell r="M13466">
            <v>12</v>
          </cell>
          <cell r="R13466">
            <v>45959</v>
          </cell>
          <cell r="S13466">
            <v>217011</v>
          </cell>
        </row>
        <row r="13467">
          <cell r="K13467" t="str">
            <v>231012</v>
          </cell>
          <cell r="M13467">
            <v>1</v>
          </cell>
          <cell r="R13467">
            <v>45959</v>
          </cell>
          <cell r="S13467">
            <v>231012</v>
          </cell>
        </row>
        <row r="13468">
          <cell r="K13468" t="str">
            <v>201011</v>
          </cell>
          <cell r="M13468">
            <v>6</v>
          </cell>
          <cell r="R13468">
            <v>45959</v>
          </cell>
          <cell r="S13468">
            <v>201011</v>
          </cell>
        </row>
        <row r="13469">
          <cell r="K13469" t="str">
            <v>226001</v>
          </cell>
          <cell r="M13469">
            <v>1</v>
          </cell>
          <cell r="R13469">
            <v>45959</v>
          </cell>
          <cell r="S13469">
            <v>226001</v>
          </cell>
        </row>
        <row r="13470">
          <cell r="K13470" t="str">
            <v>213005</v>
          </cell>
          <cell r="M13470">
            <v>2</v>
          </cell>
          <cell r="R13470">
            <v>45959</v>
          </cell>
          <cell r="S13470">
            <v>213005</v>
          </cell>
        </row>
        <row r="13471">
          <cell r="K13471" t="str">
            <v>201011</v>
          </cell>
          <cell r="M13471">
            <v>6</v>
          </cell>
          <cell r="R13471">
            <v>45959</v>
          </cell>
          <cell r="S13471">
            <v>201011</v>
          </cell>
        </row>
        <row r="13472">
          <cell r="K13472" t="str">
            <v>213002</v>
          </cell>
          <cell r="M13472">
            <v>15</v>
          </cell>
          <cell r="R13472">
            <v>45959</v>
          </cell>
          <cell r="S13472">
            <v>213002</v>
          </cell>
        </row>
        <row r="13473">
          <cell r="K13473" t="str">
            <v>223002</v>
          </cell>
          <cell r="M13473">
            <v>4</v>
          </cell>
          <cell r="R13473">
            <v>45959</v>
          </cell>
          <cell r="S13473">
            <v>223002</v>
          </cell>
        </row>
        <row r="13474">
          <cell r="K13474" t="str">
            <v>203001</v>
          </cell>
          <cell r="M13474">
            <v>1</v>
          </cell>
          <cell r="R13474">
            <v>45959</v>
          </cell>
          <cell r="S13474">
            <v>203001</v>
          </cell>
        </row>
        <row r="13475">
          <cell r="K13475" t="str">
            <v>231012</v>
          </cell>
          <cell r="M13475">
            <v>1</v>
          </cell>
          <cell r="R13475">
            <v>45959</v>
          </cell>
          <cell r="S13475">
            <v>231012</v>
          </cell>
        </row>
        <row r="13476">
          <cell r="K13476" t="str">
            <v>223002</v>
          </cell>
          <cell r="M13476">
            <v>6</v>
          </cell>
          <cell r="R13476">
            <v>45959</v>
          </cell>
          <cell r="S13476">
            <v>223002</v>
          </cell>
        </row>
        <row r="13477">
          <cell r="K13477" t="str">
            <v>201011</v>
          </cell>
          <cell r="M13477">
            <v>6</v>
          </cell>
          <cell r="R13477">
            <v>45959</v>
          </cell>
          <cell r="S13477">
            <v>201011</v>
          </cell>
        </row>
        <row r="13478">
          <cell r="K13478" t="str">
            <v>227002</v>
          </cell>
          <cell r="M13478">
            <v>1</v>
          </cell>
          <cell r="R13478">
            <v>45959</v>
          </cell>
          <cell r="S13478">
            <v>227002</v>
          </cell>
        </row>
        <row r="13479">
          <cell r="K13479" t="str">
            <v>234011</v>
          </cell>
          <cell r="M13479">
            <v>1</v>
          </cell>
          <cell r="R13479">
            <v>45959</v>
          </cell>
          <cell r="S13479">
            <v>234011</v>
          </cell>
        </row>
        <row r="13480">
          <cell r="K13480" t="str">
            <v>203003</v>
          </cell>
          <cell r="M13480">
            <v>1</v>
          </cell>
          <cell r="R13480">
            <v>45959</v>
          </cell>
          <cell r="S13480">
            <v>203003</v>
          </cell>
        </row>
        <row r="13481">
          <cell r="K13481" t="str">
            <v>213002</v>
          </cell>
          <cell r="M13481">
            <v>1</v>
          </cell>
          <cell r="R13481">
            <v>45959</v>
          </cell>
          <cell r="S13481">
            <v>213002</v>
          </cell>
        </row>
        <row r="13482">
          <cell r="K13482" t="str">
            <v>209001</v>
          </cell>
          <cell r="M13482">
            <v>1</v>
          </cell>
          <cell r="R13482">
            <v>45959</v>
          </cell>
          <cell r="S13482">
            <v>209001</v>
          </cell>
        </row>
        <row r="13483">
          <cell r="K13483" t="str">
            <v>223001</v>
          </cell>
          <cell r="M13483">
            <v>3</v>
          </cell>
          <cell r="R13483">
            <v>45959</v>
          </cell>
          <cell r="S13483">
            <v>223001</v>
          </cell>
        </row>
        <row r="13484">
          <cell r="K13484" t="str">
            <v>223002</v>
          </cell>
          <cell r="M13484">
            <v>3</v>
          </cell>
          <cell r="R13484">
            <v>45959</v>
          </cell>
          <cell r="S13484">
            <v>223002</v>
          </cell>
        </row>
        <row r="13485">
          <cell r="K13485" t="str">
            <v>227012</v>
          </cell>
          <cell r="M13485">
            <v>1</v>
          </cell>
          <cell r="R13485">
            <v>45959</v>
          </cell>
          <cell r="S13485">
            <v>227012</v>
          </cell>
        </row>
        <row r="13486">
          <cell r="K13486" t="str">
            <v>201003</v>
          </cell>
          <cell r="M13486">
            <v>6</v>
          </cell>
          <cell r="R13486">
            <v>45959</v>
          </cell>
          <cell r="S13486">
            <v>201003</v>
          </cell>
        </row>
        <row r="13487">
          <cell r="K13487" t="str">
            <v>220003</v>
          </cell>
          <cell r="M13487">
            <v>2</v>
          </cell>
          <cell r="R13487">
            <v>45959</v>
          </cell>
          <cell r="S13487">
            <v>220003</v>
          </cell>
        </row>
        <row r="13488">
          <cell r="K13488" t="str">
            <v>201011</v>
          </cell>
          <cell r="M13488">
            <v>45</v>
          </cell>
          <cell r="R13488">
            <v>45959</v>
          </cell>
          <cell r="S13488">
            <v>201011</v>
          </cell>
        </row>
        <row r="13489">
          <cell r="K13489" t="str">
            <v>213006</v>
          </cell>
          <cell r="M13489">
            <v>4</v>
          </cell>
          <cell r="R13489">
            <v>45959</v>
          </cell>
          <cell r="S13489">
            <v>213006</v>
          </cell>
        </row>
        <row r="13490">
          <cell r="K13490" t="str">
            <v>217018</v>
          </cell>
          <cell r="M13490">
            <v>2</v>
          </cell>
          <cell r="R13490">
            <v>45959</v>
          </cell>
          <cell r="S13490">
            <v>217018</v>
          </cell>
        </row>
        <row r="13491">
          <cell r="K13491" t="str">
            <v>213006</v>
          </cell>
          <cell r="M13491">
            <v>1</v>
          </cell>
          <cell r="R13491">
            <v>45959</v>
          </cell>
          <cell r="S13491">
            <v>213006</v>
          </cell>
        </row>
        <row r="13492">
          <cell r="K13492" t="str">
            <v>223001</v>
          </cell>
          <cell r="M13492">
            <v>2</v>
          </cell>
          <cell r="R13492">
            <v>45959</v>
          </cell>
          <cell r="S13492">
            <v>223001</v>
          </cell>
        </row>
        <row r="13493">
          <cell r="K13493" t="str">
            <v>213002</v>
          </cell>
          <cell r="M13493">
            <v>1</v>
          </cell>
          <cell r="R13493">
            <v>45959</v>
          </cell>
          <cell r="S13493">
            <v>213002</v>
          </cell>
        </row>
        <row r="13494">
          <cell r="K13494" t="str">
            <v>201011</v>
          </cell>
          <cell r="M13494">
            <v>4</v>
          </cell>
          <cell r="R13494">
            <v>45959</v>
          </cell>
          <cell r="S13494">
            <v>201011</v>
          </cell>
        </row>
        <row r="13495">
          <cell r="K13495" t="str">
            <v>241001</v>
          </cell>
          <cell r="M13495">
            <v>1</v>
          </cell>
          <cell r="R13495">
            <v>45959</v>
          </cell>
          <cell r="S13495">
            <v>241001</v>
          </cell>
        </row>
        <row r="13496">
          <cell r="K13496" t="str">
            <v>226001</v>
          </cell>
          <cell r="M13496">
            <v>2</v>
          </cell>
          <cell r="R13496">
            <v>45959</v>
          </cell>
          <cell r="S13496">
            <v>226001</v>
          </cell>
        </row>
        <row r="13497">
          <cell r="K13497" t="str">
            <v>231010</v>
          </cell>
          <cell r="M13497">
            <v>1</v>
          </cell>
          <cell r="R13497">
            <v>45959</v>
          </cell>
          <cell r="S13497">
            <v>231010</v>
          </cell>
        </row>
        <row r="13498">
          <cell r="K13498" t="str">
            <v>221001</v>
          </cell>
          <cell r="M13498">
            <v>1</v>
          </cell>
          <cell r="R13498">
            <v>45959</v>
          </cell>
          <cell r="S13498">
            <v>221001</v>
          </cell>
        </row>
        <row r="13499">
          <cell r="K13499" t="str">
            <v>212035</v>
          </cell>
          <cell r="M13499">
            <v>1</v>
          </cell>
          <cell r="R13499">
            <v>45959</v>
          </cell>
          <cell r="S13499">
            <v>212035</v>
          </cell>
        </row>
        <row r="13500">
          <cell r="K13500" t="str">
            <v>228001</v>
          </cell>
          <cell r="M13500">
            <v>1</v>
          </cell>
          <cell r="R13500">
            <v>45959</v>
          </cell>
          <cell r="S13500">
            <v>228001</v>
          </cell>
        </row>
        <row r="13501">
          <cell r="K13501" t="str">
            <v>223002</v>
          </cell>
          <cell r="M13501">
            <v>1</v>
          </cell>
          <cell r="R13501">
            <v>45959</v>
          </cell>
          <cell r="S13501">
            <v>223002</v>
          </cell>
        </row>
        <row r="13502">
          <cell r="K13502" t="str">
            <v>201011</v>
          </cell>
          <cell r="M13502">
            <v>1</v>
          </cell>
          <cell r="R13502">
            <v>45959</v>
          </cell>
          <cell r="S13502">
            <v>201011</v>
          </cell>
        </row>
        <row r="13503">
          <cell r="K13503" t="str">
            <v>201022</v>
          </cell>
          <cell r="M13503">
            <v>1</v>
          </cell>
          <cell r="R13503">
            <v>45959</v>
          </cell>
          <cell r="S13503">
            <v>201022</v>
          </cell>
        </row>
        <row r="13504">
          <cell r="K13504" t="str">
            <v>226001</v>
          </cell>
          <cell r="M13504">
            <v>1</v>
          </cell>
          <cell r="R13504">
            <v>45959</v>
          </cell>
          <cell r="S13504">
            <v>226001</v>
          </cell>
        </row>
        <row r="13505">
          <cell r="K13505" t="str">
            <v>229004</v>
          </cell>
          <cell r="M13505">
            <v>1</v>
          </cell>
          <cell r="R13505">
            <v>45959</v>
          </cell>
          <cell r="S13505">
            <v>229004</v>
          </cell>
        </row>
        <row r="13506">
          <cell r="K13506" t="str">
            <v>226025</v>
          </cell>
          <cell r="M13506">
            <v>2</v>
          </cell>
          <cell r="R13506">
            <v>45959</v>
          </cell>
          <cell r="S13506">
            <v>226025</v>
          </cell>
        </row>
        <row r="13507">
          <cell r="K13507" t="str">
            <v>207017</v>
          </cell>
          <cell r="M13507">
            <v>2</v>
          </cell>
          <cell r="R13507">
            <v>45959</v>
          </cell>
          <cell r="S13507">
            <v>207017</v>
          </cell>
        </row>
        <row r="13508">
          <cell r="K13508" t="str">
            <v>217022</v>
          </cell>
          <cell r="M13508">
            <v>12</v>
          </cell>
          <cell r="R13508">
            <v>45959</v>
          </cell>
          <cell r="S13508">
            <v>217022</v>
          </cell>
        </row>
        <row r="13509">
          <cell r="K13509" t="str">
            <v>209004</v>
          </cell>
          <cell r="M13509">
            <v>2</v>
          </cell>
          <cell r="R13509">
            <v>45959</v>
          </cell>
          <cell r="S13509">
            <v>209004</v>
          </cell>
        </row>
        <row r="13510">
          <cell r="K13510" t="str">
            <v>209006</v>
          </cell>
          <cell r="M13510">
            <v>3</v>
          </cell>
          <cell r="R13510">
            <v>45959</v>
          </cell>
          <cell r="S13510">
            <v>209006</v>
          </cell>
        </row>
        <row r="13511">
          <cell r="K13511" t="str">
            <v>217018</v>
          </cell>
          <cell r="M13511">
            <v>1</v>
          </cell>
          <cell r="R13511">
            <v>45959</v>
          </cell>
          <cell r="S13511">
            <v>217018</v>
          </cell>
        </row>
        <row r="13512">
          <cell r="K13512" t="str">
            <v>203003</v>
          </cell>
          <cell r="M13512">
            <v>2</v>
          </cell>
          <cell r="R13512">
            <v>45959</v>
          </cell>
          <cell r="S13512">
            <v>203003</v>
          </cell>
        </row>
        <row r="13513">
          <cell r="K13513" t="str">
            <v>217011</v>
          </cell>
          <cell r="M13513">
            <v>2</v>
          </cell>
          <cell r="R13513">
            <v>45959</v>
          </cell>
          <cell r="S13513">
            <v>217011</v>
          </cell>
        </row>
        <row r="13514">
          <cell r="K13514" t="str">
            <v>226001</v>
          </cell>
          <cell r="M13514">
            <v>1</v>
          </cell>
          <cell r="R13514">
            <v>45959</v>
          </cell>
          <cell r="S13514">
            <v>226001</v>
          </cell>
        </row>
        <row r="13515">
          <cell r="K13515" t="str">
            <v>201004</v>
          </cell>
          <cell r="M13515">
            <v>2</v>
          </cell>
          <cell r="R13515">
            <v>45959</v>
          </cell>
          <cell r="S13515">
            <v>201004</v>
          </cell>
        </row>
        <row r="13516">
          <cell r="K13516" t="str">
            <v>201003</v>
          </cell>
          <cell r="M13516">
            <v>8</v>
          </cell>
          <cell r="R13516">
            <v>45959</v>
          </cell>
          <cell r="S13516">
            <v>201003</v>
          </cell>
        </row>
        <row r="13517">
          <cell r="K13517" t="str">
            <v>226001</v>
          </cell>
          <cell r="M13517">
            <v>1</v>
          </cell>
          <cell r="R13517">
            <v>45959</v>
          </cell>
          <cell r="S13517">
            <v>226001</v>
          </cell>
        </row>
        <row r="13518">
          <cell r="K13518" t="str">
            <v>226003</v>
          </cell>
          <cell r="M13518">
            <v>1</v>
          </cell>
          <cell r="R13518">
            <v>45959</v>
          </cell>
          <cell r="S13518">
            <v>226003</v>
          </cell>
        </row>
        <row r="13519">
          <cell r="K13519" t="str">
            <v>226004</v>
          </cell>
          <cell r="M13519">
            <v>1</v>
          </cell>
          <cell r="R13519">
            <v>45959</v>
          </cell>
          <cell r="S13519">
            <v>226004</v>
          </cell>
        </row>
        <row r="13520">
          <cell r="K13520" t="str">
            <v>223001</v>
          </cell>
          <cell r="M13520">
            <v>2</v>
          </cell>
          <cell r="R13520">
            <v>45959</v>
          </cell>
          <cell r="S13520">
            <v>223001</v>
          </cell>
        </row>
        <row r="13521">
          <cell r="K13521" t="str">
            <v>201011</v>
          </cell>
          <cell r="M13521">
            <v>36</v>
          </cell>
          <cell r="R13521">
            <v>45959</v>
          </cell>
          <cell r="S13521">
            <v>201011</v>
          </cell>
        </row>
        <row r="13522">
          <cell r="K13522" t="str">
            <v>229001</v>
          </cell>
          <cell r="M13522">
            <v>1</v>
          </cell>
          <cell r="R13522">
            <v>45959</v>
          </cell>
          <cell r="S13522">
            <v>229001</v>
          </cell>
        </row>
        <row r="13523">
          <cell r="K13523" t="str">
            <v>213005</v>
          </cell>
          <cell r="M13523">
            <v>1</v>
          </cell>
          <cell r="R13523">
            <v>45959</v>
          </cell>
          <cell r="S13523">
            <v>213005</v>
          </cell>
        </row>
        <row r="13524">
          <cell r="K13524" t="str">
            <v>241001</v>
          </cell>
          <cell r="M13524">
            <v>2</v>
          </cell>
          <cell r="R13524">
            <v>45959</v>
          </cell>
          <cell r="S13524">
            <v>241001</v>
          </cell>
        </row>
        <row r="13525">
          <cell r="K13525" t="str">
            <v>222001</v>
          </cell>
          <cell r="M13525">
            <v>3</v>
          </cell>
          <cell r="R13525">
            <v>45959</v>
          </cell>
          <cell r="S13525">
            <v>222001</v>
          </cell>
        </row>
        <row r="13526">
          <cell r="K13526" t="str">
            <v>222007</v>
          </cell>
          <cell r="M13526">
            <v>2</v>
          </cell>
          <cell r="R13526">
            <v>45959</v>
          </cell>
          <cell r="S13526">
            <v>222007</v>
          </cell>
        </row>
        <row r="13527">
          <cell r="K13527" t="str">
            <v>213005</v>
          </cell>
          <cell r="M13527">
            <v>1</v>
          </cell>
          <cell r="R13527">
            <v>45959</v>
          </cell>
          <cell r="S13527">
            <v>213005</v>
          </cell>
        </row>
        <row r="13528">
          <cell r="K13528" t="str">
            <v>226032</v>
          </cell>
          <cell r="M13528">
            <v>2</v>
          </cell>
          <cell r="R13528">
            <v>45959</v>
          </cell>
          <cell r="S13528">
            <v>226032</v>
          </cell>
        </row>
        <row r="13529">
          <cell r="K13529" t="str">
            <v>226001</v>
          </cell>
          <cell r="M13529">
            <v>3</v>
          </cell>
          <cell r="R13529">
            <v>45959</v>
          </cell>
          <cell r="S13529">
            <v>226001</v>
          </cell>
        </row>
        <row r="13530">
          <cell r="K13530" t="str">
            <v>231012</v>
          </cell>
          <cell r="M13530">
            <v>2</v>
          </cell>
          <cell r="R13530">
            <v>45959</v>
          </cell>
          <cell r="S13530">
            <v>231012</v>
          </cell>
        </row>
        <row r="13531">
          <cell r="K13531" t="str">
            <v>203001</v>
          </cell>
          <cell r="M13531">
            <v>2</v>
          </cell>
          <cell r="R13531">
            <v>45959</v>
          </cell>
          <cell r="S13531">
            <v>203001</v>
          </cell>
        </row>
        <row r="13532">
          <cell r="K13532" t="str">
            <v>209016</v>
          </cell>
          <cell r="M13532">
            <v>2</v>
          </cell>
          <cell r="R13532">
            <v>45959</v>
          </cell>
          <cell r="S13532">
            <v>209016</v>
          </cell>
        </row>
        <row r="13533">
          <cell r="K13533" t="str">
            <v>237001</v>
          </cell>
          <cell r="M13533">
            <v>3</v>
          </cell>
          <cell r="R13533">
            <v>45959</v>
          </cell>
          <cell r="S13533">
            <v>237001</v>
          </cell>
        </row>
        <row r="13534">
          <cell r="K13534" t="str">
            <v>223002</v>
          </cell>
          <cell r="M13534">
            <v>1</v>
          </cell>
          <cell r="R13534">
            <v>45959</v>
          </cell>
          <cell r="S13534">
            <v>223002</v>
          </cell>
        </row>
        <row r="13535">
          <cell r="K13535" t="str">
            <v>231012</v>
          </cell>
          <cell r="M13535">
            <v>1</v>
          </cell>
          <cell r="R13535">
            <v>45959</v>
          </cell>
          <cell r="S13535">
            <v>231012</v>
          </cell>
        </row>
        <row r="13536">
          <cell r="K13536" t="str">
            <v>231004</v>
          </cell>
          <cell r="M13536">
            <v>1</v>
          </cell>
          <cell r="R13536">
            <v>45959</v>
          </cell>
          <cell r="S13536">
            <v>231004</v>
          </cell>
        </row>
        <row r="13537">
          <cell r="K13537" t="str">
            <v>213002</v>
          </cell>
          <cell r="M13537">
            <v>1</v>
          </cell>
          <cell r="R13537">
            <v>45959</v>
          </cell>
          <cell r="S13537">
            <v>213002</v>
          </cell>
        </row>
        <row r="13538">
          <cell r="K13538" t="str">
            <v>212002</v>
          </cell>
          <cell r="M13538">
            <v>1</v>
          </cell>
          <cell r="R13538">
            <v>45959</v>
          </cell>
          <cell r="S13538">
            <v>212002</v>
          </cell>
        </row>
        <row r="13539">
          <cell r="K13539" t="str">
            <v>227012</v>
          </cell>
          <cell r="M13539">
            <v>2</v>
          </cell>
          <cell r="R13539">
            <v>45960</v>
          </cell>
          <cell r="S13539">
            <v>227012</v>
          </cell>
        </row>
        <row r="13540">
          <cell r="K13540" t="str">
            <v>201011</v>
          </cell>
          <cell r="M13540">
            <v>1</v>
          </cell>
          <cell r="R13540">
            <v>45960</v>
          </cell>
          <cell r="S13540">
            <v>201011</v>
          </cell>
        </row>
        <row r="13541">
          <cell r="K13541" t="str">
            <v>231012</v>
          </cell>
          <cell r="M13541">
            <v>1</v>
          </cell>
          <cell r="R13541">
            <v>45960</v>
          </cell>
          <cell r="S13541">
            <v>231012</v>
          </cell>
        </row>
        <row r="13542">
          <cell r="K13542" t="str">
            <v>203003</v>
          </cell>
          <cell r="M13542">
            <v>1</v>
          </cell>
          <cell r="R13542">
            <v>45960</v>
          </cell>
          <cell r="S13542">
            <v>203003</v>
          </cell>
        </row>
        <row r="13543">
          <cell r="K13543" t="str">
            <v>217018</v>
          </cell>
          <cell r="M13543">
            <v>1</v>
          </cell>
          <cell r="R13543">
            <v>45960</v>
          </cell>
          <cell r="S13543">
            <v>217018</v>
          </cell>
        </row>
        <row r="13544">
          <cell r="K13544" t="str">
            <v>223002</v>
          </cell>
          <cell r="M13544">
            <v>1</v>
          </cell>
          <cell r="R13544">
            <v>45960</v>
          </cell>
          <cell r="S13544">
            <v>223002</v>
          </cell>
        </row>
        <row r="13545">
          <cell r="K13545" t="str">
            <v>226001</v>
          </cell>
          <cell r="M13545">
            <v>1</v>
          </cell>
          <cell r="R13545">
            <v>45960</v>
          </cell>
          <cell r="S13545">
            <v>226001</v>
          </cell>
        </row>
        <row r="13546">
          <cell r="K13546" t="str">
            <v>203004</v>
          </cell>
          <cell r="M13546">
            <v>1</v>
          </cell>
          <cell r="R13546">
            <v>45960</v>
          </cell>
          <cell r="S13546">
            <v>203004</v>
          </cell>
        </row>
        <row r="13547">
          <cell r="K13547" t="str">
            <v>214002</v>
          </cell>
          <cell r="M13547">
            <v>1</v>
          </cell>
          <cell r="R13547">
            <v>45960</v>
          </cell>
          <cell r="S13547">
            <v>214002</v>
          </cell>
        </row>
        <row r="13548">
          <cell r="K13548" t="str">
            <v>220002</v>
          </cell>
          <cell r="M13548">
            <v>2</v>
          </cell>
          <cell r="R13548">
            <v>45960</v>
          </cell>
          <cell r="S13548">
            <v>220002</v>
          </cell>
        </row>
        <row r="13549">
          <cell r="K13549" t="str">
            <v>228001</v>
          </cell>
          <cell r="M13549">
            <v>1</v>
          </cell>
          <cell r="R13549">
            <v>45960</v>
          </cell>
          <cell r="S13549">
            <v>228001</v>
          </cell>
        </row>
        <row r="13550">
          <cell r="K13550" t="str">
            <v>228001</v>
          </cell>
          <cell r="M13550">
            <v>3</v>
          </cell>
          <cell r="R13550">
            <v>45960</v>
          </cell>
          <cell r="S13550">
            <v>228001</v>
          </cell>
        </row>
        <row r="13551">
          <cell r="K13551" t="str">
            <v>228001</v>
          </cell>
          <cell r="M13551">
            <v>1</v>
          </cell>
          <cell r="R13551">
            <v>45960</v>
          </cell>
          <cell r="S13551">
            <v>228001</v>
          </cell>
        </row>
        <row r="13552">
          <cell r="K13552" t="str">
            <v>234001</v>
          </cell>
          <cell r="M13552">
            <v>1</v>
          </cell>
          <cell r="R13552">
            <v>45960</v>
          </cell>
          <cell r="S13552">
            <v>234001</v>
          </cell>
        </row>
        <row r="13553">
          <cell r="K13553" t="str">
            <v>212035</v>
          </cell>
          <cell r="M13553">
            <v>1</v>
          </cell>
          <cell r="R13553">
            <v>45960</v>
          </cell>
          <cell r="S13553">
            <v>212035</v>
          </cell>
        </row>
        <row r="13554">
          <cell r="K13554" t="str">
            <v>212002</v>
          </cell>
          <cell r="M13554">
            <v>1</v>
          </cell>
          <cell r="R13554">
            <v>45960</v>
          </cell>
          <cell r="S13554">
            <v>212002</v>
          </cell>
        </row>
        <row r="13555">
          <cell r="K13555" t="str">
            <v>226001</v>
          </cell>
          <cell r="M13555">
            <v>1</v>
          </cell>
          <cell r="R13555">
            <v>45960</v>
          </cell>
          <cell r="S13555">
            <v>226001</v>
          </cell>
        </row>
        <row r="13556">
          <cell r="K13556" t="str">
            <v>261004</v>
          </cell>
          <cell r="M13556">
            <v>40</v>
          </cell>
          <cell r="R13556">
            <v>45960</v>
          </cell>
          <cell r="S13556">
            <v>261004</v>
          </cell>
        </row>
        <row r="13557">
          <cell r="K13557" t="str">
            <v>212010</v>
          </cell>
          <cell r="M13557">
            <v>25</v>
          </cell>
          <cell r="R13557">
            <v>45960</v>
          </cell>
          <cell r="S13557">
            <v>212010</v>
          </cell>
        </row>
        <row r="13558">
          <cell r="K13558" t="str">
            <v>203001</v>
          </cell>
          <cell r="M13558">
            <v>1</v>
          </cell>
          <cell r="R13558">
            <v>45960</v>
          </cell>
          <cell r="S13558">
            <v>203001</v>
          </cell>
        </row>
        <row r="13559">
          <cell r="K13559" t="str">
            <v>213002</v>
          </cell>
          <cell r="M13559">
            <v>5</v>
          </cell>
          <cell r="R13559">
            <v>45960</v>
          </cell>
          <cell r="S13559">
            <v>213002</v>
          </cell>
        </row>
        <row r="13560">
          <cell r="K13560" t="str">
            <v>226001</v>
          </cell>
          <cell r="M13560">
            <v>1</v>
          </cell>
          <cell r="R13560">
            <v>45960</v>
          </cell>
          <cell r="S13560">
            <v>226001</v>
          </cell>
        </row>
        <row r="13561">
          <cell r="K13561" t="str">
            <v>228001</v>
          </cell>
          <cell r="M13561">
            <v>2</v>
          </cell>
          <cell r="R13561">
            <v>45960</v>
          </cell>
          <cell r="S13561">
            <v>228001</v>
          </cell>
        </row>
        <row r="13562">
          <cell r="K13562" t="str">
            <v>201011</v>
          </cell>
          <cell r="M13562">
            <v>3</v>
          </cell>
          <cell r="R13562">
            <v>45960</v>
          </cell>
          <cell r="S13562">
            <v>201011</v>
          </cell>
        </row>
        <row r="13563">
          <cell r="K13563" t="str">
            <v>223002</v>
          </cell>
          <cell r="M13563">
            <v>1</v>
          </cell>
          <cell r="R13563">
            <v>45959</v>
          </cell>
          <cell r="S13563">
            <v>223002</v>
          </cell>
        </row>
        <row r="13564">
          <cell r="K13564" t="str">
            <v>235008</v>
          </cell>
          <cell r="M13564">
            <v>1</v>
          </cell>
          <cell r="R13564">
            <v>45960</v>
          </cell>
          <cell r="S13564">
            <v>235008</v>
          </cell>
        </row>
        <row r="13565">
          <cell r="K13565" t="str">
            <v>226001</v>
          </cell>
          <cell r="M13565">
            <v>4</v>
          </cell>
          <cell r="R13565">
            <v>45960</v>
          </cell>
          <cell r="S13565">
            <v>226001</v>
          </cell>
        </row>
        <row r="13566">
          <cell r="K13566" t="str">
            <v>217019</v>
          </cell>
          <cell r="M13566">
            <v>2</v>
          </cell>
          <cell r="R13566">
            <v>45960</v>
          </cell>
          <cell r="S13566">
            <v>217019</v>
          </cell>
        </row>
        <row r="13567">
          <cell r="K13567" t="str">
            <v>201011</v>
          </cell>
          <cell r="M13567">
            <v>1</v>
          </cell>
          <cell r="R13567">
            <v>45958</v>
          </cell>
          <cell r="S13567">
            <v>201011</v>
          </cell>
        </row>
        <row r="13568">
          <cell r="K13568" t="str">
            <v>237001</v>
          </cell>
          <cell r="M13568">
            <v>3</v>
          </cell>
          <cell r="R13568">
            <v>45958</v>
          </cell>
          <cell r="S13568">
            <v>237001</v>
          </cell>
        </row>
        <row r="13569">
          <cell r="K13569" t="str">
            <v>201011</v>
          </cell>
          <cell r="M13569">
            <v>4</v>
          </cell>
          <cell r="R13569">
            <v>45960</v>
          </cell>
          <cell r="S13569">
            <v>201011</v>
          </cell>
        </row>
        <row r="13570">
          <cell r="K13570" t="str">
            <v>223002</v>
          </cell>
          <cell r="M13570">
            <v>2</v>
          </cell>
          <cell r="R13570">
            <v>45960</v>
          </cell>
          <cell r="S13570">
            <v>223002</v>
          </cell>
        </row>
        <row r="13571">
          <cell r="K13571" t="str">
            <v>213002</v>
          </cell>
          <cell r="M13571">
            <v>5</v>
          </cell>
          <cell r="R13571">
            <v>45960</v>
          </cell>
          <cell r="S13571">
            <v>213002</v>
          </cell>
        </row>
        <row r="13572">
          <cell r="K13572" t="str">
            <v>213005</v>
          </cell>
          <cell r="M13572">
            <v>3</v>
          </cell>
          <cell r="R13572">
            <v>45960</v>
          </cell>
          <cell r="S13572">
            <v>213005</v>
          </cell>
        </row>
        <row r="13573">
          <cell r="K13573" t="str">
            <v>212035</v>
          </cell>
          <cell r="M13573">
            <v>10</v>
          </cell>
          <cell r="R13573">
            <v>45960</v>
          </cell>
          <cell r="S13573">
            <v>212035</v>
          </cell>
        </row>
        <row r="13574">
          <cell r="K13574" t="str">
            <v>228001</v>
          </cell>
          <cell r="M13574">
            <v>3</v>
          </cell>
          <cell r="R13574">
            <v>45960</v>
          </cell>
          <cell r="S13574">
            <v>228001</v>
          </cell>
        </row>
        <row r="13575">
          <cell r="K13575" t="str">
            <v>223002</v>
          </cell>
          <cell r="M13575">
            <v>1</v>
          </cell>
          <cell r="R13575">
            <v>45961</v>
          </cell>
          <cell r="S13575">
            <v>223002</v>
          </cell>
        </row>
        <row r="13576">
          <cell r="K13576" t="str">
            <v>201011</v>
          </cell>
          <cell r="M13576">
            <v>5</v>
          </cell>
          <cell r="R13576">
            <v>45962</v>
          </cell>
          <cell r="S13576">
            <v>201011</v>
          </cell>
        </row>
        <row r="13577">
          <cell r="K13577" t="str">
            <v>203001</v>
          </cell>
          <cell r="M13577">
            <v>-1</v>
          </cell>
          <cell r="R13577">
            <v>45963</v>
          </cell>
          <cell r="S13577">
            <v>203001</v>
          </cell>
        </row>
        <row r="13578">
          <cell r="K13578" t="str">
            <v>231010</v>
          </cell>
          <cell r="M13578">
            <v>4</v>
          </cell>
          <cell r="R13578">
            <v>45963</v>
          </cell>
          <cell r="S13578">
            <v>231010</v>
          </cell>
        </row>
        <row r="13579">
          <cell r="K13579" t="str">
            <v>223002</v>
          </cell>
          <cell r="M13579">
            <v>1</v>
          </cell>
          <cell r="R13579">
            <v>45963</v>
          </cell>
          <cell r="S13579">
            <v>223002</v>
          </cell>
        </row>
        <row r="13580">
          <cell r="K13580" t="str">
            <v>227002</v>
          </cell>
          <cell r="M13580">
            <v>2</v>
          </cell>
          <cell r="R13580">
            <v>45963</v>
          </cell>
          <cell r="S13580">
            <v>227002</v>
          </cell>
        </row>
        <row r="13581">
          <cell r="K13581" t="str">
            <v>241001</v>
          </cell>
          <cell r="M13581">
            <v>10</v>
          </cell>
          <cell r="R13581">
            <v>45962</v>
          </cell>
          <cell r="S13581">
            <v>241001</v>
          </cell>
        </row>
        <row r="13582">
          <cell r="K13582" t="str">
            <v>222001</v>
          </cell>
          <cell r="M13582">
            <v>1</v>
          </cell>
          <cell r="R13582">
            <v>45962</v>
          </cell>
          <cell r="S13582">
            <v>222001</v>
          </cell>
        </row>
        <row r="13583">
          <cell r="K13583" t="str">
            <v>234011</v>
          </cell>
          <cell r="M13583">
            <v>1</v>
          </cell>
          <cell r="R13583">
            <v>45962</v>
          </cell>
          <cell r="S13583">
            <v>234011</v>
          </cell>
        </row>
        <row r="13584">
          <cell r="K13584" t="str">
            <v>210013</v>
          </cell>
          <cell r="M13584">
            <v>1</v>
          </cell>
          <cell r="R13584">
            <v>45962</v>
          </cell>
          <cell r="S13584">
            <v>210013</v>
          </cell>
        </row>
        <row r="13585">
          <cell r="K13585" t="str">
            <v>201011</v>
          </cell>
          <cell r="M13585">
            <v>1</v>
          </cell>
          <cell r="R13585">
            <v>45962</v>
          </cell>
          <cell r="S13585">
            <v>201011</v>
          </cell>
        </row>
        <row r="13586">
          <cell r="K13586" t="str">
            <v>201022</v>
          </cell>
          <cell r="M13586">
            <v>1</v>
          </cell>
          <cell r="R13586">
            <v>45962</v>
          </cell>
          <cell r="S13586">
            <v>201022</v>
          </cell>
        </row>
        <row r="13587">
          <cell r="K13587" t="str">
            <v>227002</v>
          </cell>
          <cell r="M13587">
            <v>1</v>
          </cell>
          <cell r="R13587">
            <v>45962</v>
          </cell>
          <cell r="S13587">
            <v>227002</v>
          </cell>
        </row>
        <row r="13588">
          <cell r="K13588" t="str">
            <v>220002</v>
          </cell>
          <cell r="M13588">
            <v>1</v>
          </cell>
          <cell r="R13588">
            <v>45964</v>
          </cell>
          <cell r="S13588">
            <v>220002</v>
          </cell>
        </row>
        <row r="13589">
          <cell r="K13589" t="str">
            <v>208001</v>
          </cell>
          <cell r="M13589">
            <v>7</v>
          </cell>
          <cell r="R13589">
            <v>45964</v>
          </cell>
          <cell r="S13589">
            <v>208001</v>
          </cell>
        </row>
        <row r="13590">
          <cell r="K13590" t="str">
            <v>213002</v>
          </cell>
          <cell r="M13590">
            <v>2</v>
          </cell>
          <cell r="R13590">
            <v>45963</v>
          </cell>
          <cell r="S13590">
            <v>213002</v>
          </cell>
        </row>
        <row r="13591">
          <cell r="K13591" t="str">
            <v>241001</v>
          </cell>
          <cell r="M13591">
            <v>2</v>
          </cell>
          <cell r="R13591">
            <v>45963</v>
          </cell>
          <cell r="S13591">
            <v>241001</v>
          </cell>
        </row>
        <row r="13592">
          <cell r="K13592" t="str">
            <v>203003</v>
          </cell>
          <cell r="M13592">
            <v>1</v>
          </cell>
          <cell r="R13592">
            <v>45963</v>
          </cell>
          <cell r="S13592">
            <v>203003</v>
          </cell>
        </row>
        <row r="13593">
          <cell r="K13593" t="str">
            <v>213002</v>
          </cell>
          <cell r="M13593">
            <v>1</v>
          </cell>
          <cell r="R13593">
            <v>45963</v>
          </cell>
          <cell r="S13593">
            <v>213002</v>
          </cell>
        </row>
        <row r="13594">
          <cell r="K13594" t="str">
            <v>227002</v>
          </cell>
          <cell r="M13594">
            <v>1</v>
          </cell>
          <cell r="R13594">
            <v>45963</v>
          </cell>
          <cell r="S13594">
            <v>227002</v>
          </cell>
        </row>
        <row r="13595">
          <cell r="K13595" t="str">
            <v>213002</v>
          </cell>
          <cell r="M13595">
            <v>5</v>
          </cell>
          <cell r="R13595">
            <v>45964</v>
          </cell>
          <cell r="S13595">
            <v>213002</v>
          </cell>
        </row>
        <row r="13596">
          <cell r="K13596" t="str">
            <v>223002</v>
          </cell>
          <cell r="M13596">
            <v>1</v>
          </cell>
          <cell r="R13596">
            <v>45964</v>
          </cell>
          <cell r="S13596">
            <v>223002</v>
          </cell>
        </row>
        <row r="13597">
          <cell r="K13597" t="str">
            <v>223002</v>
          </cell>
          <cell r="M13597">
            <v>1</v>
          </cell>
          <cell r="R13597">
            <v>45963</v>
          </cell>
          <cell r="S13597">
            <v>223002</v>
          </cell>
        </row>
        <row r="13598">
          <cell r="K13598" t="str">
            <v>241001</v>
          </cell>
          <cell r="M13598">
            <v>2</v>
          </cell>
          <cell r="R13598">
            <v>45963</v>
          </cell>
          <cell r="S13598">
            <v>241001</v>
          </cell>
        </row>
        <row r="13599">
          <cell r="K13599" t="str">
            <v>223002</v>
          </cell>
          <cell r="M13599">
            <v>2</v>
          </cell>
          <cell r="R13599">
            <v>45964</v>
          </cell>
          <cell r="S13599">
            <v>223002</v>
          </cell>
        </row>
        <row r="13600">
          <cell r="K13600" t="str">
            <v>212035</v>
          </cell>
          <cell r="M13600">
            <v>2</v>
          </cell>
          <cell r="R13600">
            <v>45964</v>
          </cell>
          <cell r="S13600">
            <v>212035</v>
          </cell>
        </row>
        <row r="13601">
          <cell r="K13601" t="str">
            <v>209012</v>
          </cell>
          <cell r="M13601">
            <v>1</v>
          </cell>
          <cell r="R13601">
            <v>45964</v>
          </cell>
          <cell r="S13601">
            <v>209012</v>
          </cell>
        </row>
        <row r="13602">
          <cell r="K13602" t="str">
            <v>231012</v>
          </cell>
          <cell r="M13602">
            <v>1</v>
          </cell>
          <cell r="R13602">
            <v>45964</v>
          </cell>
          <cell r="S13602">
            <v>231012</v>
          </cell>
        </row>
        <row r="13603">
          <cell r="K13603" t="str">
            <v>220002</v>
          </cell>
          <cell r="M13603">
            <v>1</v>
          </cell>
          <cell r="R13603">
            <v>45964</v>
          </cell>
          <cell r="S13603">
            <v>220002</v>
          </cell>
        </row>
        <row r="13604">
          <cell r="K13604" t="str">
            <v>228001</v>
          </cell>
          <cell r="M13604">
            <v>2</v>
          </cell>
          <cell r="R13604">
            <v>45963</v>
          </cell>
          <cell r="S13604">
            <v>228001</v>
          </cell>
        </row>
        <row r="13605">
          <cell r="K13605" t="str">
            <v>228001</v>
          </cell>
          <cell r="M13605">
            <v>1</v>
          </cell>
          <cell r="R13605">
            <v>45963</v>
          </cell>
          <cell r="S13605">
            <v>228001</v>
          </cell>
        </row>
        <row r="13606">
          <cell r="K13606" t="str">
            <v>227002</v>
          </cell>
          <cell r="M13606">
            <v>3</v>
          </cell>
          <cell r="R13606">
            <v>45962</v>
          </cell>
          <cell r="S13606">
            <v>227002</v>
          </cell>
        </row>
        <row r="13607">
          <cell r="K13607" t="str">
            <v>223002</v>
          </cell>
          <cell r="M13607">
            <v>1</v>
          </cell>
          <cell r="R13607">
            <v>45962</v>
          </cell>
          <cell r="S13607">
            <v>223002</v>
          </cell>
        </row>
        <row r="13608">
          <cell r="K13608" t="str">
            <v>228001</v>
          </cell>
          <cell r="M13608">
            <v>6</v>
          </cell>
          <cell r="R13608">
            <v>45964</v>
          </cell>
          <cell r="S13608">
            <v>228001</v>
          </cell>
        </row>
        <row r="13609">
          <cell r="K13609" t="str">
            <v>222001</v>
          </cell>
          <cell r="M13609">
            <v>1</v>
          </cell>
          <cell r="R13609">
            <v>45964</v>
          </cell>
          <cell r="S13609">
            <v>222001</v>
          </cell>
        </row>
        <row r="13610">
          <cell r="K13610" t="str">
            <v>234011</v>
          </cell>
          <cell r="M13610">
            <v>1</v>
          </cell>
          <cell r="R13610">
            <v>45964</v>
          </cell>
          <cell r="S13610">
            <v>234011</v>
          </cell>
        </row>
        <row r="13611">
          <cell r="K13611" t="str">
            <v>228001</v>
          </cell>
          <cell r="M13611">
            <v>2</v>
          </cell>
          <cell r="R13611">
            <v>45964</v>
          </cell>
          <cell r="S13611">
            <v>228001</v>
          </cell>
        </row>
        <row r="13612">
          <cell r="K13612" t="str">
            <v>228001</v>
          </cell>
          <cell r="M13612">
            <v>4</v>
          </cell>
          <cell r="R13612">
            <v>45964</v>
          </cell>
          <cell r="S13612">
            <v>228001</v>
          </cell>
        </row>
        <row r="13613">
          <cell r="K13613" t="str">
            <v>228001</v>
          </cell>
          <cell r="M13613">
            <v>1</v>
          </cell>
          <cell r="R13613">
            <v>45964</v>
          </cell>
          <cell r="S13613">
            <v>228001</v>
          </cell>
        </row>
        <row r="13614">
          <cell r="K13614" t="str">
            <v>231012</v>
          </cell>
          <cell r="M13614">
            <v>1</v>
          </cell>
          <cell r="R13614">
            <v>45962</v>
          </cell>
          <cell r="S13614">
            <v>231012</v>
          </cell>
        </row>
        <row r="13615">
          <cell r="K13615" t="str">
            <v>212035</v>
          </cell>
          <cell r="M13615">
            <v>1</v>
          </cell>
          <cell r="R13615">
            <v>45962</v>
          </cell>
          <cell r="S13615">
            <v>212035</v>
          </cell>
        </row>
        <row r="13616">
          <cell r="K13616" t="str">
            <v>228001</v>
          </cell>
          <cell r="M13616">
            <v>1</v>
          </cell>
          <cell r="R13616">
            <v>45964</v>
          </cell>
          <cell r="S13616">
            <v>228001</v>
          </cell>
        </row>
        <row r="13617">
          <cell r="K13617" t="str">
            <v>209012</v>
          </cell>
          <cell r="M13617">
            <v>1</v>
          </cell>
          <cell r="R13617">
            <v>45964</v>
          </cell>
          <cell r="S13617">
            <v>209012</v>
          </cell>
        </row>
        <row r="13618">
          <cell r="K13618" t="str">
            <v>220002</v>
          </cell>
          <cell r="M13618">
            <v>5</v>
          </cell>
          <cell r="R13618">
            <v>45964</v>
          </cell>
          <cell r="S13618">
            <v>220002</v>
          </cell>
        </row>
        <row r="13619">
          <cell r="K13619" t="str">
            <v>241001</v>
          </cell>
          <cell r="M13619">
            <v>3</v>
          </cell>
          <cell r="R13619">
            <v>45964</v>
          </cell>
          <cell r="S13619">
            <v>241001</v>
          </cell>
        </row>
        <row r="13620">
          <cell r="K13620" t="str">
            <v>231010</v>
          </cell>
          <cell r="M13620">
            <v>4</v>
          </cell>
          <cell r="R13620">
            <v>45964</v>
          </cell>
          <cell r="S13620">
            <v>231010</v>
          </cell>
        </row>
        <row r="13621">
          <cell r="K13621" t="str">
            <v>203001</v>
          </cell>
          <cell r="M13621">
            <v>2</v>
          </cell>
          <cell r="R13621">
            <v>45964</v>
          </cell>
          <cell r="S13621">
            <v>203001</v>
          </cell>
        </row>
        <row r="13622">
          <cell r="K13622" t="str">
            <v>223002</v>
          </cell>
          <cell r="M13622">
            <v>1</v>
          </cell>
          <cell r="R13622">
            <v>45964</v>
          </cell>
          <cell r="S13622">
            <v>223002</v>
          </cell>
        </row>
        <row r="13623">
          <cell r="K13623" t="str">
            <v>227002</v>
          </cell>
          <cell r="M13623">
            <v>2</v>
          </cell>
          <cell r="R13623">
            <v>45964</v>
          </cell>
          <cell r="S13623">
            <v>227002</v>
          </cell>
        </row>
        <row r="13624">
          <cell r="K13624" t="str">
            <v>213002</v>
          </cell>
          <cell r="M13624">
            <v>4</v>
          </cell>
          <cell r="R13624">
            <v>45964</v>
          </cell>
          <cell r="S13624">
            <v>213002</v>
          </cell>
        </row>
        <row r="13625">
          <cell r="K13625" t="str">
            <v>228001</v>
          </cell>
          <cell r="M13625">
            <v>10</v>
          </cell>
          <cell r="R13625">
            <v>45964</v>
          </cell>
          <cell r="S13625">
            <v>228001</v>
          </cell>
        </row>
        <row r="13626">
          <cell r="K13626" t="str">
            <v>217023</v>
          </cell>
          <cell r="M13626">
            <v>1</v>
          </cell>
          <cell r="R13626">
            <v>45964</v>
          </cell>
          <cell r="S13626">
            <v>217023</v>
          </cell>
        </row>
        <row r="13627">
          <cell r="K13627" t="str">
            <v>229003</v>
          </cell>
          <cell r="M13627">
            <v>4</v>
          </cell>
          <cell r="R13627">
            <v>45964</v>
          </cell>
          <cell r="S13627">
            <v>229003</v>
          </cell>
        </row>
        <row r="13628">
          <cell r="K13628" t="str">
            <v>228001</v>
          </cell>
          <cell r="M13628">
            <v>4</v>
          </cell>
          <cell r="R13628">
            <v>45964</v>
          </cell>
          <cell r="S13628">
            <v>228001</v>
          </cell>
        </row>
        <row r="13629">
          <cell r="K13629" t="str">
            <v>241001</v>
          </cell>
          <cell r="M13629">
            <v>10</v>
          </cell>
          <cell r="R13629">
            <v>45964</v>
          </cell>
          <cell r="S13629">
            <v>241001</v>
          </cell>
        </row>
        <row r="13630">
          <cell r="K13630" t="str">
            <v>217022</v>
          </cell>
          <cell r="M13630">
            <v>2</v>
          </cell>
          <cell r="R13630">
            <v>45964</v>
          </cell>
          <cell r="S13630">
            <v>217022</v>
          </cell>
        </row>
        <row r="13631">
          <cell r="K13631" t="str">
            <v>213002</v>
          </cell>
          <cell r="M13631">
            <v>4</v>
          </cell>
          <cell r="R13631">
            <v>45964</v>
          </cell>
          <cell r="S13631">
            <v>213002</v>
          </cell>
        </row>
        <row r="13632">
          <cell r="K13632" t="str">
            <v>207017</v>
          </cell>
          <cell r="M13632">
            <v>1</v>
          </cell>
          <cell r="R13632">
            <v>45964</v>
          </cell>
          <cell r="S13632">
            <v>207017</v>
          </cell>
        </row>
        <row r="13633">
          <cell r="K13633" t="str">
            <v>227012</v>
          </cell>
          <cell r="M13633">
            <v>1</v>
          </cell>
          <cell r="R13633">
            <v>45964</v>
          </cell>
          <cell r="S13633">
            <v>227012</v>
          </cell>
        </row>
        <row r="13634">
          <cell r="K13634" t="str">
            <v>209012</v>
          </cell>
          <cell r="M13634">
            <v>4</v>
          </cell>
          <cell r="R13634">
            <v>45964</v>
          </cell>
          <cell r="S13634">
            <v>209012</v>
          </cell>
        </row>
        <row r="13635">
          <cell r="K13635" t="str">
            <v>271002</v>
          </cell>
          <cell r="M13635">
            <v>2</v>
          </cell>
          <cell r="R13635">
            <v>45964</v>
          </cell>
          <cell r="S13635">
            <v>271002</v>
          </cell>
        </row>
        <row r="13636">
          <cell r="K13636" t="str">
            <v>231012</v>
          </cell>
          <cell r="M13636">
            <v>2</v>
          </cell>
          <cell r="R13636">
            <v>45964</v>
          </cell>
          <cell r="S13636">
            <v>231012</v>
          </cell>
        </row>
        <row r="13637">
          <cell r="K13637" t="str">
            <v>212035</v>
          </cell>
          <cell r="M13637">
            <v>3</v>
          </cell>
          <cell r="R13637">
            <v>45964</v>
          </cell>
          <cell r="S13637">
            <v>212035</v>
          </cell>
        </row>
        <row r="13638">
          <cell r="K13638" t="str">
            <v>223001</v>
          </cell>
          <cell r="M13638">
            <v>8</v>
          </cell>
          <cell r="R13638">
            <v>45964</v>
          </cell>
          <cell r="S13638">
            <v>223001</v>
          </cell>
        </row>
        <row r="13639">
          <cell r="K13639" t="str">
            <v>217022</v>
          </cell>
          <cell r="M13639">
            <v>10</v>
          </cell>
          <cell r="R13639">
            <v>45964</v>
          </cell>
          <cell r="S13639">
            <v>217022</v>
          </cell>
        </row>
        <row r="13640">
          <cell r="K13640" t="str">
            <v>217018</v>
          </cell>
          <cell r="M13640">
            <v>3</v>
          </cell>
          <cell r="R13640">
            <v>45964</v>
          </cell>
          <cell r="S13640">
            <v>217018</v>
          </cell>
        </row>
        <row r="13641">
          <cell r="K13641" t="str">
            <v>226029</v>
          </cell>
          <cell r="M13641">
            <v>5</v>
          </cell>
          <cell r="R13641">
            <v>45964</v>
          </cell>
          <cell r="S13641">
            <v>226029</v>
          </cell>
        </row>
        <row r="13642">
          <cell r="K13642" t="str">
            <v>226025</v>
          </cell>
          <cell r="M13642">
            <v>1</v>
          </cell>
          <cell r="R13642">
            <v>45964</v>
          </cell>
          <cell r="S13642">
            <v>226025</v>
          </cell>
        </row>
        <row r="13643">
          <cell r="K13643" t="str">
            <v>228001</v>
          </cell>
          <cell r="M13643">
            <v>9</v>
          </cell>
          <cell r="R13643">
            <v>45964</v>
          </cell>
          <cell r="S13643">
            <v>228001</v>
          </cell>
        </row>
        <row r="13644">
          <cell r="K13644" t="str">
            <v>203003</v>
          </cell>
          <cell r="M13644">
            <v>1</v>
          </cell>
          <cell r="R13644">
            <v>45964</v>
          </cell>
          <cell r="S13644">
            <v>203003</v>
          </cell>
        </row>
        <row r="13645">
          <cell r="K13645" t="str">
            <v>231012</v>
          </cell>
          <cell r="M13645">
            <v>1</v>
          </cell>
          <cell r="R13645">
            <v>45964</v>
          </cell>
          <cell r="S13645">
            <v>231012</v>
          </cell>
        </row>
        <row r="13646">
          <cell r="K13646" t="str">
            <v>223001</v>
          </cell>
          <cell r="M13646">
            <v>4</v>
          </cell>
          <cell r="R13646">
            <v>45964</v>
          </cell>
          <cell r="S13646">
            <v>223001</v>
          </cell>
        </row>
        <row r="13647">
          <cell r="K13647" t="str">
            <v>223001</v>
          </cell>
          <cell r="M13647">
            <v>4</v>
          </cell>
          <cell r="R13647">
            <v>45964</v>
          </cell>
          <cell r="S13647">
            <v>223001</v>
          </cell>
        </row>
        <row r="13648">
          <cell r="K13648" t="str">
            <v>223002</v>
          </cell>
          <cell r="M13648">
            <v>3</v>
          </cell>
          <cell r="R13648">
            <v>45964</v>
          </cell>
          <cell r="S13648">
            <v>223002</v>
          </cell>
        </row>
        <row r="13649">
          <cell r="K13649" t="str">
            <v>223001</v>
          </cell>
          <cell r="M13649">
            <v>3</v>
          </cell>
          <cell r="R13649">
            <v>45964</v>
          </cell>
          <cell r="S13649">
            <v>223001</v>
          </cell>
        </row>
        <row r="13650">
          <cell r="K13650" t="str">
            <v>201003</v>
          </cell>
          <cell r="M13650">
            <v>7</v>
          </cell>
          <cell r="R13650">
            <v>45964</v>
          </cell>
          <cell r="S13650">
            <v>201003</v>
          </cell>
        </row>
        <row r="13651">
          <cell r="K13651" t="str">
            <v>227012</v>
          </cell>
          <cell r="M13651">
            <v>1</v>
          </cell>
          <cell r="R13651">
            <v>45964</v>
          </cell>
          <cell r="S13651">
            <v>227012</v>
          </cell>
        </row>
        <row r="13652">
          <cell r="K13652" t="str">
            <v>201003</v>
          </cell>
          <cell r="M13652">
            <v>4</v>
          </cell>
          <cell r="R13652">
            <v>45964</v>
          </cell>
          <cell r="S13652">
            <v>201003</v>
          </cell>
        </row>
        <row r="13653">
          <cell r="K13653" t="str">
            <v>223001</v>
          </cell>
          <cell r="M13653">
            <v>1</v>
          </cell>
          <cell r="R13653">
            <v>45964</v>
          </cell>
          <cell r="S13653">
            <v>223001</v>
          </cell>
        </row>
        <row r="13654">
          <cell r="K13654" t="str">
            <v>223001</v>
          </cell>
          <cell r="M13654">
            <v>14</v>
          </cell>
          <cell r="R13654">
            <v>45964</v>
          </cell>
          <cell r="S13654">
            <v>223001</v>
          </cell>
        </row>
        <row r="13655">
          <cell r="K13655" t="str">
            <v>223006</v>
          </cell>
          <cell r="M13655">
            <v>8</v>
          </cell>
          <cell r="R13655">
            <v>45964</v>
          </cell>
          <cell r="S13655">
            <v>223006</v>
          </cell>
        </row>
        <row r="13656">
          <cell r="K13656" t="str">
            <v>223003</v>
          </cell>
          <cell r="M13656">
            <v>8</v>
          </cell>
          <cell r="R13656">
            <v>45964</v>
          </cell>
          <cell r="S13656">
            <v>223003</v>
          </cell>
        </row>
        <row r="13657">
          <cell r="K13657" t="str">
            <v>223002</v>
          </cell>
          <cell r="M13657">
            <v>5</v>
          </cell>
          <cell r="R13657">
            <v>45964</v>
          </cell>
          <cell r="S13657">
            <v>223002</v>
          </cell>
        </row>
        <row r="13658">
          <cell r="K13658" t="str">
            <v>217018</v>
          </cell>
          <cell r="M13658">
            <v>4</v>
          </cell>
          <cell r="R13658">
            <v>45964</v>
          </cell>
          <cell r="S13658">
            <v>217018</v>
          </cell>
        </row>
        <row r="13659">
          <cell r="K13659" t="str">
            <v>227012</v>
          </cell>
          <cell r="M13659">
            <v>2</v>
          </cell>
          <cell r="R13659">
            <v>45964</v>
          </cell>
          <cell r="S13659">
            <v>227012</v>
          </cell>
        </row>
        <row r="13660">
          <cell r="K13660" t="str">
            <v>226032</v>
          </cell>
          <cell r="M13660">
            <v>3</v>
          </cell>
          <cell r="R13660">
            <v>45964</v>
          </cell>
          <cell r="S13660">
            <v>226032</v>
          </cell>
        </row>
        <row r="13661">
          <cell r="K13661" t="str">
            <v>226001</v>
          </cell>
          <cell r="M13661">
            <v>1</v>
          </cell>
          <cell r="R13661">
            <v>45964</v>
          </cell>
          <cell r="S13661">
            <v>226001</v>
          </cell>
        </row>
        <row r="13662">
          <cell r="K13662" t="str">
            <v>226001</v>
          </cell>
          <cell r="M13662">
            <v>1</v>
          </cell>
          <cell r="R13662">
            <v>45964</v>
          </cell>
          <cell r="S13662">
            <v>226001</v>
          </cell>
        </row>
        <row r="13663">
          <cell r="K13663" t="str">
            <v>203001</v>
          </cell>
          <cell r="M13663">
            <v>1</v>
          </cell>
          <cell r="R13663">
            <v>45964</v>
          </cell>
          <cell r="S13663">
            <v>203001</v>
          </cell>
        </row>
        <row r="13664">
          <cell r="K13664" t="str">
            <v>229001</v>
          </cell>
          <cell r="M13664">
            <v>7</v>
          </cell>
          <cell r="R13664">
            <v>45964</v>
          </cell>
          <cell r="S13664">
            <v>229001</v>
          </cell>
        </row>
        <row r="13665">
          <cell r="K13665" t="str">
            <v>227012</v>
          </cell>
          <cell r="M13665">
            <v>3</v>
          </cell>
          <cell r="R13665">
            <v>45964</v>
          </cell>
          <cell r="S13665">
            <v>227012</v>
          </cell>
        </row>
        <row r="13666">
          <cell r="K13666" t="str">
            <v>223002</v>
          </cell>
          <cell r="M13666">
            <v>3</v>
          </cell>
          <cell r="R13666">
            <v>45964</v>
          </cell>
          <cell r="S13666">
            <v>223002</v>
          </cell>
        </row>
        <row r="13667">
          <cell r="K13667" t="str">
            <v>223001</v>
          </cell>
          <cell r="M13667">
            <v>5</v>
          </cell>
          <cell r="R13667">
            <v>45964</v>
          </cell>
          <cell r="S13667">
            <v>223001</v>
          </cell>
        </row>
        <row r="13668">
          <cell r="K13668" t="str">
            <v>227012</v>
          </cell>
          <cell r="M13668">
            <v>2</v>
          </cell>
          <cell r="R13668">
            <v>45964</v>
          </cell>
          <cell r="S13668">
            <v>227012</v>
          </cell>
        </row>
        <row r="13669">
          <cell r="K13669" t="str">
            <v>231012</v>
          </cell>
          <cell r="M13669">
            <v>1</v>
          </cell>
          <cell r="R13669">
            <v>45964</v>
          </cell>
          <cell r="S13669">
            <v>231012</v>
          </cell>
        </row>
        <row r="13670">
          <cell r="K13670" t="str">
            <v>231004</v>
          </cell>
          <cell r="M13670">
            <v>1</v>
          </cell>
          <cell r="R13670">
            <v>45964</v>
          </cell>
          <cell r="S13670">
            <v>231004</v>
          </cell>
        </row>
        <row r="13671">
          <cell r="K13671" t="str">
            <v>203001</v>
          </cell>
          <cell r="M13671">
            <v>2</v>
          </cell>
          <cell r="R13671">
            <v>45964</v>
          </cell>
          <cell r="S13671">
            <v>203001</v>
          </cell>
        </row>
        <row r="13672">
          <cell r="K13672" t="str">
            <v>213006</v>
          </cell>
          <cell r="M13672">
            <v>2</v>
          </cell>
          <cell r="R13672">
            <v>45964</v>
          </cell>
          <cell r="S13672">
            <v>213006</v>
          </cell>
        </row>
        <row r="13673">
          <cell r="K13673" t="str">
            <v>217006</v>
          </cell>
          <cell r="M13673">
            <v>4</v>
          </cell>
          <cell r="R13673">
            <v>45964</v>
          </cell>
          <cell r="S13673">
            <v>217006</v>
          </cell>
        </row>
        <row r="13674">
          <cell r="K13674" t="str">
            <v>206002</v>
          </cell>
          <cell r="M13674">
            <v>4</v>
          </cell>
          <cell r="R13674">
            <v>45964</v>
          </cell>
          <cell r="S13674">
            <v>206002</v>
          </cell>
        </row>
        <row r="13675">
          <cell r="K13675" t="str">
            <v>227012</v>
          </cell>
          <cell r="M13675">
            <v>1</v>
          </cell>
          <cell r="R13675">
            <v>45964</v>
          </cell>
          <cell r="S13675">
            <v>227012</v>
          </cell>
        </row>
        <row r="13676">
          <cell r="K13676" t="str">
            <v>223002</v>
          </cell>
          <cell r="M13676">
            <v>1</v>
          </cell>
          <cell r="R13676">
            <v>45964</v>
          </cell>
          <cell r="S13676">
            <v>223002</v>
          </cell>
        </row>
        <row r="13677">
          <cell r="K13677" t="str">
            <v>227008</v>
          </cell>
          <cell r="M13677">
            <v>1</v>
          </cell>
          <cell r="R13677">
            <v>45964</v>
          </cell>
          <cell r="S13677">
            <v>227008</v>
          </cell>
        </row>
        <row r="13678">
          <cell r="K13678" t="str">
            <v>207017</v>
          </cell>
          <cell r="M13678">
            <v>1</v>
          </cell>
          <cell r="R13678">
            <v>45964</v>
          </cell>
          <cell r="S13678">
            <v>207017</v>
          </cell>
        </row>
        <row r="13679">
          <cell r="K13679" t="str">
            <v>217021</v>
          </cell>
          <cell r="M13679">
            <v>1</v>
          </cell>
          <cell r="R13679">
            <v>45964</v>
          </cell>
          <cell r="S13679">
            <v>217021</v>
          </cell>
        </row>
        <row r="13680">
          <cell r="K13680" t="str">
            <v>231012</v>
          </cell>
          <cell r="M13680">
            <v>1</v>
          </cell>
          <cell r="R13680">
            <v>45964</v>
          </cell>
          <cell r="S13680">
            <v>231012</v>
          </cell>
        </row>
        <row r="13681">
          <cell r="K13681" t="str">
            <v>231004</v>
          </cell>
          <cell r="M13681">
            <v>1</v>
          </cell>
          <cell r="R13681">
            <v>45964</v>
          </cell>
          <cell r="S13681">
            <v>231004</v>
          </cell>
        </row>
        <row r="13682">
          <cell r="K13682" t="str">
            <v>217006</v>
          </cell>
          <cell r="M13682">
            <v>1</v>
          </cell>
          <cell r="R13682">
            <v>45964</v>
          </cell>
          <cell r="S13682">
            <v>217006</v>
          </cell>
        </row>
        <row r="13683">
          <cell r="K13683" t="str">
            <v>223002</v>
          </cell>
          <cell r="M13683">
            <v>7</v>
          </cell>
          <cell r="R13683">
            <v>45964</v>
          </cell>
          <cell r="S13683">
            <v>223002</v>
          </cell>
        </row>
        <row r="13684">
          <cell r="K13684" t="str">
            <v>220002</v>
          </cell>
          <cell r="M13684">
            <v>3</v>
          </cell>
          <cell r="R13684">
            <v>45964</v>
          </cell>
          <cell r="S13684">
            <v>220002</v>
          </cell>
        </row>
        <row r="13685">
          <cell r="K13685" t="str">
            <v>223001</v>
          </cell>
          <cell r="M13685">
            <v>2</v>
          </cell>
          <cell r="R13685">
            <v>45964</v>
          </cell>
          <cell r="S13685">
            <v>223001</v>
          </cell>
        </row>
        <row r="13686">
          <cell r="K13686" t="str">
            <v>213006</v>
          </cell>
          <cell r="M13686">
            <v>30</v>
          </cell>
          <cell r="R13686">
            <v>45964</v>
          </cell>
          <cell r="S13686">
            <v>213006</v>
          </cell>
        </row>
        <row r="13687">
          <cell r="K13687" t="str">
            <v>213002</v>
          </cell>
          <cell r="M13687">
            <v>28</v>
          </cell>
          <cell r="R13687">
            <v>45964</v>
          </cell>
          <cell r="S13687">
            <v>213002</v>
          </cell>
        </row>
        <row r="13688">
          <cell r="K13688" t="str">
            <v>237001</v>
          </cell>
          <cell r="M13688">
            <v>2</v>
          </cell>
          <cell r="R13688">
            <v>45964</v>
          </cell>
          <cell r="S13688">
            <v>237001</v>
          </cell>
        </row>
        <row r="13689">
          <cell r="K13689" t="str">
            <v>209016</v>
          </cell>
          <cell r="M13689">
            <v>1</v>
          </cell>
          <cell r="R13689">
            <v>45964</v>
          </cell>
          <cell r="S13689">
            <v>209016</v>
          </cell>
        </row>
        <row r="13690">
          <cell r="K13690" t="str">
            <v>217018</v>
          </cell>
          <cell r="M13690">
            <v>1</v>
          </cell>
          <cell r="R13690">
            <v>45964</v>
          </cell>
          <cell r="S13690">
            <v>217018</v>
          </cell>
        </row>
        <row r="13691">
          <cell r="K13691" t="str">
            <v>223001</v>
          </cell>
          <cell r="M13691">
            <v>1</v>
          </cell>
          <cell r="R13691">
            <v>45964</v>
          </cell>
          <cell r="S13691">
            <v>223001</v>
          </cell>
        </row>
        <row r="13692">
          <cell r="K13692" t="str">
            <v>203003</v>
          </cell>
          <cell r="M13692">
            <v>2</v>
          </cell>
          <cell r="R13692">
            <v>45964</v>
          </cell>
          <cell r="S13692">
            <v>203003</v>
          </cell>
        </row>
        <row r="13693">
          <cell r="K13693" t="str">
            <v>212002</v>
          </cell>
          <cell r="M13693">
            <v>33</v>
          </cell>
          <cell r="R13693">
            <v>45964</v>
          </cell>
          <cell r="S13693">
            <v>212002</v>
          </cell>
        </row>
        <row r="13694">
          <cell r="K13694" t="str">
            <v>229004</v>
          </cell>
          <cell r="M13694">
            <v>4</v>
          </cell>
          <cell r="R13694">
            <v>45964</v>
          </cell>
          <cell r="S13694">
            <v>229004</v>
          </cell>
        </row>
        <row r="13695">
          <cell r="K13695" t="str">
            <v>217018</v>
          </cell>
          <cell r="M13695">
            <v>4</v>
          </cell>
          <cell r="R13695">
            <v>45964</v>
          </cell>
          <cell r="S13695">
            <v>217018</v>
          </cell>
        </row>
        <row r="13696">
          <cell r="K13696" t="str">
            <v>217018</v>
          </cell>
          <cell r="M13696">
            <v>2</v>
          </cell>
          <cell r="R13696">
            <v>45964</v>
          </cell>
          <cell r="S13696">
            <v>217018</v>
          </cell>
        </row>
        <row r="13697">
          <cell r="K13697" t="str">
            <v>213006</v>
          </cell>
          <cell r="M13697">
            <v>12</v>
          </cell>
          <cell r="R13697">
            <v>45964</v>
          </cell>
          <cell r="S13697">
            <v>213006</v>
          </cell>
        </row>
        <row r="13698">
          <cell r="K13698" t="str">
            <v>209016</v>
          </cell>
          <cell r="M13698">
            <v>1</v>
          </cell>
          <cell r="R13698">
            <v>45964</v>
          </cell>
          <cell r="S13698">
            <v>209016</v>
          </cell>
        </row>
        <row r="13699">
          <cell r="K13699" t="str">
            <v>209017</v>
          </cell>
          <cell r="M13699">
            <v>2</v>
          </cell>
          <cell r="R13699">
            <v>45964</v>
          </cell>
          <cell r="S13699">
            <v>209017</v>
          </cell>
        </row>
        <row r="13700">
          <cell r="K13700" t="str">
            <v>201003</v>
          </cell>
          <cell r="M13700">
            <v>1</v>
          </cell>
          <cell r="R13700">
            <v>45964</v>
          </cell>
          <cell r="S13700">
            <v>201003</v>
          </cell>
        </row>
        <row r="13701">
          <cell r="K13701" t="str">
            <v>212035</v>
          </cell>
          <cell r="M13701">
            <v>2</v>
          </cell>
          <cell r="R13701">
            <v>45964</v>
          </cell>
          <cell r="S13701">
            <v>212035</v>
          </cell>
        </row>
        <row r="13702">
          <cell r="K13702" t="str">
            <v>212002</v>
          </cell>
          <cell r="M13702">
            <v>1</v>
          </cell>
          <cell r="R13702">
            <v>45964</v>
          </cell>
          <cell r="S13702">
            <v>212002</v>
          </cell>
        </row>
        <row r="13703">
          <cell r="K13703" t="str">
            <v>203001</v>
          </cell>
          <cell r="M13703">
            <v>1</v>
          </cell>
          <cell r="R13703">
            <v>45964</v>
          </cell>
          <cell r="S13703">
            <v>203001</v>
          </cell>
        </row>
        <row r="13704">
          <cell r="K13704" t="str">
            <v>217023</v>
          </cell>
          <cell r="M13704">
            <v>10</v>
          </cell>
          <cell r="R13704">
            <v>45964</v>
          </cell>
          <cell r="S13704">
            <v>217023</v>
          </cell>
        </row>
        <row r="13705">
          <cell r="K13705" t="str">
            <v>206005</v>
          </cell>
          <cell r="M13705">
            <v>1</v>
          </cell>
          <cell r="R13705">
            <v>45964</v>
          </cell>
          <cell r="S13705">
            <v>206005</v>
          </cell>
        </row>
        <row r="13706">
          <cell r="K13706" t="str">
            <v>206002</v>
          </cell>
          <cell r="M13706">
            <v>1</v>
          </cell>
          <cell r="R13706">
            <v>45964</v>
          </cell>
          <cell r="S13706">
            <v>206002</v>
          </cell>
        </row>
        <row r="13707">
          <cell r="K13707" t="str">
            <v>203004</v>
          </cell>
          <cell r="M13707">
            <v>1</v>
          </cell>
          <cell r="R13707">
            <v>45964</v>
          </cell>
          <cell r="S13707">
            <v>203004</v>
          </cell>
        </row>
        <row r="13708">
          <cell r="K13708" t="str">
            <v>218001</v>
          </cell>
          <cell r="M13708">
            <v>1</v>
          </cell>
          <cell r="R13708">
            <v>45964</v>
          </cell>
          <cell r="S13708">
            <v>218001</v>
          </cell>
        </row>
        <row r="13709">
          <cell r="K13709" t="str">
            <v>206006</v>
          </cell>
          <cell r="M13709">
            <v>1</v>
          </cell>
          <cell r="R13709">
            <v>45964</v>
          </cell>
          <cell r="S13709">
            <v>206006</v>
          </cell>
        </row>
        <row r="13710">
          <cell r="K13710" t="str">
            <v>218003</v>
          </cell>
          <cell r="M13710">
            <v>1</v>
          </cell>
          <cell r="R13710">
            <v>45964</v>
          </cell>
          <cell r="S13710">
            <v>218003</v>
          </cell>
        </row>
        <row r="13711">
          <cell r="K13711" t="str">
            <v>206002</v>
          </cell>
          <cell r="M13711">
            <v>1</v>
          </cell>
          <cell r="R13711">
            <v>45964</v>
          </cell>
          <cell r="S13711">
            <v>206002</v>
          </cell>
        </row>
        <row r="13712">
          <cell r="K13712" t="str">
            <v>218001</v>
          </cell>
          <cell r="M13712">
            <v>1</v>
          </cell>
          <cell r="R13712">
            <v>45964</v>
          </cell>
          <cell r="S13712">
            <v>218001</v>
          </cell>
        </row>
        <row r="13713">
          <cell r="K13713" t="str">
            <v>229004</v>
          </cell>
          <cell r="M13713">
            <v>1</v>
          </cell>
          <cell r="R13713">
            <v>45964</v>
          </cell>
          <cell r="S13713">
            <v>229004</v>
          </cell>
        </row>
        <row r="13714">
          <cell r="K13714" t="str">
            <v>229003</v>
          </cell>
          <cell r="M13714">
            <v>1</v>
          </cell>
          <cell r="R13714">
            <v>45964</v>
          </cell>
          <cell r="S13714">
            <v>229003</v>
          </cell>
        </row>
        <row r="13715">
          <cell r="K13715" t="str">
            <v>217011</v>
          </cell>
          <cell r="M13715">
            <v>1</v>
          </cell>
          <cell r="R13715">
            <v>45965</v>
          </cell>
          <cell r="S13715">
            <v>217011</v>
          </cell>
        </row>
        <row r="13716">
          <cell r="K13716" t="str">
            <v>212002</v>
          </cell>
          <cell r="M13716">
            <v>1</v>
          </cell>
          <cell r="R13716">
            <v>45965</v>
          </cell>
          <cell r="S13716">
            <v>212002</v>
          </cell>
        </row>
        <row r="13717">
          <cell r="K13717" t="str">
            <v>241001</v>
          </cell>
          <cell r="M13717">
            <v>3</v>
          </cell>
          <cell r="R13717">
            <v>45964</v>
          </cell>
          <cell r="S13717">
            <v>241001</v>
          </cell>
        </row>
        <row r="13718">
          <cell r="K13718" t="str">
            <v>222001</v>
          </cell>
          <cell r="M13718">
            <v>4</v>
          </cell>
          <cell r="R13718">
            <v>45964</v>
          </cell>
          <cell r="S13718">
            <v>222001</v>
          </cell>
        </row>
        <row r="13719">
          <cell r="K13719" t="str">
            <v>222007</v>
          </cell>
          <cell r="M13719">
            <v>2</v>
          </cell>
          <cell r="R13719">
            <v>45964</v>
          </cell>
          <cell r="S13719">
            <v>222007</v>
          </cell>
        </row>
        <row r="13720">
          <cell r="K13720" t="str">
            <v>213005</v>
          </cell>
          <cell r="M13720">
            <v>1</v>
          </cell>
          <cell r="R13720">
            <v>45964</v>
          </cell>
          <cell r="S13720">
            <v>213005</v>
          </cell>
        </row>
        <row r="13721">
          <cell r="K13721" t="str">
            <v>261004</v>
          </cell>
          <cell r="M13721">
            <v>1</v>
          </cell>
          <cell r="R13721">
            <v>45964</v>
          </cell>
          <cell r="S13721">
            <v>261004</v>
          </cell>
        </row>
        <row r="13722">
          <cell r="K13722" t="str">
            <v>217011</v>
          </cell>
          <cell r="M13722">
            <v>1</v>
          </cell>
          <cell r="R13722">
            <v>45964</v>
          </cell>
          <cell r="S13722">
            <v>217011</v>
          </cell>
        </row>
        <row r="13723">
          <cell r="K13723" t="str">
            <v>234011</v>
          </cell>
          <cell r="M13723">
            <v>1</v>
          </cell>
          <cell r="R13723">
            <v>45964</v>
          </cell>
          <cell r="S13723">
            <v>234011</v>
          </cell>
        </row>
        <row r="13724">
          <cell r="K13724" t="str">
            <v>220003</v>
          </cell>
          <cell r="M13724">
            <v>3</v>
          </cell>
          <cell r="R13724">
            <v>45964</v>
          </cell>
          <cell r="S13724">
            <v>220003</v>
          </cell>
        </row>
        <row r="13725">
          <cell r="K13725" t="str">
            <v>203001</v>
          </cell>
          <cell r="M13725">
            <v>1</v>
          </cell>
          <cell r="R13725">
            <v>45964</v>
          </cell>
          <cell r="S13725">
            <v>203001</v>
          </cell>
        </row>
        <row r="13726">
          <cell r="K13726" t="str">
            <v>241001</v>
          </cell>
          <cell r="M13726">
            <v>3</v>
          </cell>
          <cell r="R13726">
            <v>45964</v>
          </cell>
          <cell r="S13726">
            <v>241001</v>
          </cell>
        </row>
        <row r="13727">
          <cell r="K13727" t="str">
            <v>241001</v>
          </cell>
          <cell r="M13727">
            <v>10</v>
          </cell>
          <cell r="R13727">
            <v>45964</v>
          </cell>
          <cell r="S13727">
            <v>241001</v>
          </cell>
        </row>
        <row r="13728">
          <cell r="K13728" t="str">
            <v>226030</v>
          </cell>
          <cell r="M13728">
            <v>3</v>
          </cell>
          <cell r="R13728">
            <v>45964</v>
          </cell>
          <cell r="S13728">
            <v>226030</v>
          </cell>
        </row>
        <row r="13729">
          <cell r="K13729" t="str">
            <v>213005</v>
          </cell>
          <cell r="M13729">
            <v>1</v>
          </cell>
          <cell r="R13729">
            <v>45965</v>
          </cell>
          <cell r="S13729">
            <v>213005</v>
          </cell>
        </row>
        <row r="13730">
          <cell r="K13730" t="str">
            <v>210014</v>
          </cell>
          <cell r="M13730">
            <v>2</v>
          </cell>
          <cell r="R13730">
            <v>45965</v>
          </cell>
          <cell r="S13730">
            <v>210014</v>
          </cell>
        </row>
        <row r="13731">
          <cell r="K13731" t="str">
            <v>227012</v>
          </cell>
          <cell r="M13731">
            <v>5</v>
          </cell>
          <cell r="R13731">
            <v>45964</v>
          </cell>
          <cell r="S13731">
            <v>227012</v>
          </cell>
        </row>
        <row r="13732">
          <cell r="K13732" t="str">
            <v>228001</v>
          </cell>
          <cell r="M13732">
            <v>8</v>
          </cell>
          <cell r="R13732">
            <v>45964</v>
          </cell>
          <cell r="S13732">
            <v>228001</v>
          </cell>
        </row>
        <row r="13733">
          <cell r="K13733" t="str">
            <v>217019</v>
          </cell>
          <cell r="M13733">
            <v>9</v>
          </cell>
          <cell r="R13733">
            <v>45964</v>
          </cell>
          <cell r="S13733">
            <v>217019</v>
          </cell>
        </row>
        <row r="13734">
          <cell r="K13734" t="str">
            <v>227012</v>
          </cell>
          <cell r="M13734">
            <v>2</v>
          </cell>
          <cell r="R13734">
            <v>45964</v>
          </cell>
          <cell r="S13734">
            <v>227012</v>
          </cell>
        </row>
        <row r="13735">
          <cell r="K13735" t="str">
            <v>201003</v>
          </cell>
          <cell r="M13735">
            <v>1</v>
          </cell>
          <cell r="R13735">
            <v>45964</v>
          </cell>
          <cell r="S13735">
            <v>201003</v>
          </cell>
        </row>
        <row r="13736">
          <cell r="K13736" t="str">
            <v>231012</v>
          </cell>
          <cell r="M13736">
            <v>1</v>
          </cell>
          <cell r="R13736">
            <v>45964</v>
          </cell>
          <cell r="S13736">
            <v>231012</v>
          </cell>
        </row>
        <row r="13737">
          <cell r="K13737" t="str">
            <v>213006</v>
          </cell>
          <cell r="M13737">
            <v>1</v>
          </cell>
          <cell r="R13737">
            <v>45964</v>
          </cell>
          <cell r="S13737">
            <v>213006</v>
          </cell>
        </row>
        <row r="13738">
          <cell r="K13738" t="str">
            <v>212002</v>
          </cell>
          <cell r="M13738">
            <v>1</v>
          </cell>
          <cell r="R13738">
            <v>45964</v>
          </cell>
          <cell r="S13738">
            <v>212002</v>
          </cell>
        </row>
        <row r="13739">
          <cell r="K13739" t="str">
            <v>207017</v>
          </cell>
          <cell r="M13739">
            <v>1</v>
          </cell>
          <cell r="R13739">
            <v>45964</v>
          </cell>
          <cell r="S13739">
            <v>207017</v>
          </cell>
        </row>
        <row r="13740">
          <cell r="K13740" t="str">
            <v>212002</v>
          </cell>
          <cell r="M13740">
            <v>1</v>
          </cell>
          <cell r="R13740">
            <v>45964</v>
          </cell>
          <cell r="S13740">
            <v>212002</v>
          </cell>
        </row>
        <row r="13741">
          <cell r="K13741" t="str">
            <v>213006</v>
          </cell>
          <cell r="M13741">
            <v>1</v>
          </cell>
          <cell r="R13741">
            <v>45964</v>
          </cell>
          <cell r="S13741">
            <v>213006</v>
          </cell>
        </row>
        <row r="13742">
          <cell r="K13742" t="str">
            <v>227012</v>
          </cell>
          <cell r="M13742">
            <v>2</v>
          </cell>
          <cell r="R13742">
            <v>45964</v>
          </cell>
          <cell r="S13742">
            <v>227012</v>
          </cell>
        </row>
        <row r="13743">
          <cell r="K13743" t="str">
            <v>231004</v>
          </cell>
          <cell r="M13743">
            <v>1</v>
          </cell>
          <cell r="R13743">
            <v>45964</v>
          </cell>
          <cell r="S13743">
            <v>231004</v>
          </cell>
        </row>
        <row r="13744">
          <cell r="K13744" t="str">
            <v>213006</v>
          </cell>
          <cell r="M13744">
            <v>1</v>
          </cell>
          <cell r="R13744">
            <v>45964</v>
          </cell>
          <cell r="S13744">
            <v>213006</v>
          </cell>
        </row>
        <row r="13745">
          <cell r="K13745" t="str">
            <v>227014</v>
          </cell>
          <cell r="M13745">
            <v>1</v>
          </cell>
          <cell r="R13745">
            <v>45964</v>
          </cell>
          <cell r="S13745">
            <v>227014</v>
          </cell>
        </row>
        <row r="13746">
          <cell r="K13746" t="str">
            <v>223002</v>
          </cell>
          <cell r="M13746">
            <v>1</v>
          </cell>
          <cell r="R13746">
            <v>45964</v>
          </cell>
          <cell r="S13746">
            <v>223002</v>
          </cell>
        </row>
        <row r="13747">
          <cell r="K13747" t="str">
            <v>223006</v>
          </cell>
          <cell r="M13747">
            <v>2</v>
          </cell>
          <cell r="R13747">
            <v>45964</v>
          </cell>
          <cell r="S13747">
            <v>223006</v>
          </cell>
        </row>
        <row r="13748">
          <cell r="K13748" t="str">
            <v>223001</v>
          </cell>
          <cell r="M13748">
            <v>1</v>
          </cell>
          <cell r="R13748">
            <v>45964</v>
          </cell>
          <cell r="S13748">
            <v>223001</v>
          </cell>
        </row>
        <row r="13749">
          <cell r="K13749" t="str">
            <v>227012</v>
          </cell>
          <cell r="M13749">
            <v>1</v>
          </cell>
          <cell r="R13749">
            <v>45964</v>
          </cell>
          <cell r="S13749">
            <v>227012</v>
          </cell>
        </row>
        <row r="13750">
          <cell r="K13750" t="str">
            <v>207017</v>
          </cell>
          <cell r="M13750">
            <v>1</v>
          </cell>
          <cell r="R13750">
            <v>45964</v>
          </cell>
          <cell r="S13750">
            <v>207017</v>
          </cell>
        </row>
        <row r="13751">
          <cell r="K13751" t="str">
            <v>217021</v>
          </cell>
          <cell r="M13751">
            <v>1</v>
          </cell>
          <cell r="R13751">
            <v>45964</v>
          </cell>
          <cell r="S13751">
            <v>217021</v>
          </cell>
        </row>
        <row r="13752">
          <cell r="K13752" t="str">
            <v>231012</v>
          </cell>
          <cell r="M13752">
            <v>2</v>
          </cell>
          <cell r="R13752">
            <v>45964</v>
          </cell>
          <cell r="S13752">
            <v>231012</v>
          </cell>
        </row>
        <row r="13753">
          <cell r="K13753" t="str">
            <v>203001</v>
          </cell>
          <cell r="M13753">
            <v>4</v>
          </cell>
          <cell r="R13753">
            <v>45964</v>
          </cell>
          <cell r="S13753">
            <v>203001</v>
          </cell>
        </row>
        <row r="13754">
          <cell r="K13754" t="str">
            <v>226024</v>
          </cell>
          <cell r="M13754">
            <v>1</v>
          </cell>
          <cell r="R13754">
            <v>45964</v>
          </cell>
          <cell r="S13754">
            <v>226024</v>
          </cell>
        </row>
        <row r="13755">
          <cell r="K13755" t="str">
            <v>202001</v>
          </cell>
          <cell r="M13755">
            <v>5</v>
          </cell>
          <cell r="R13755">
            <v>45964</v>
          </cell>
          <cell r="S13755">
            <v>202001</v>
          </cell>
        </row>
        <row r="13756">
          <cell r="K13756" t="str">
            <v>210013</v>
          </cell>
          <cell r="M13756">
            <v>1</v>
          </cell>
          <cell r="R13756">
            <v>45964</v>
          </cell>
          <cell r="S13756">
            <v>210013</v>
          </cell>
        </row>
        <row r="13757">
          <cell r="K13757" t="str">
            <v>213002</v>
          </cell>
          <cell r="M13757">
            <v>28</v>
          </cell>
          <cell r="R13757">
            <v>45965</v>
          </cell>
          <cell r="S13757">
            <v>213002</v>
          </cell>
        </row>
        <row r="13758">
          <cell r="K13758" t="str">
            <v>227012</v>
          </cell>
          <cell r="M13758">
            <v>1</v>
          </cell>
          <cell r="R13758">
            <v>45965</v>
          </cell>
          <cell r="S13758">
            <v>227012</v>
          </cell>
        </row>
        <row r="13759">
          <cell r="K13759" t="str">
            <v>241001</v>
          </cell>
          <cell r="M13759">
            <v>1</v>
          </cell>
          <cell r="R13759">
            <v>45965</v>
          </cell>
          <cell r="S13759">
            <v>241001</v>
          </cell>
        </row>
        <row r="13760">
          <cell r="K13760" t="str">
            <v>213006</v>
          </cell>
          <cell r="M13760">
            <v>1</v>
          </cell>
          <cell r="R13760">
            <v>45965</v>
          </cell>
          <cell r="S13760">
            <v>213006</v>
          </cell>
        </row>
        <row r="13761">
          <cell r="K13761" t="str">
            <v>213006</v>
          </cell>
          <cell r="M13761">
            <v>2</v>
          </cell>
          <cell r="R13761">
            <v>45965</v>
          </cell>
          <cell r="S13761">
            <v>213006</v>
          </cell>
        </row>
        <row r="13762">
          <cell r="K13762" t="str">
            <v>213002</v>
          </cell>
          <cell r="M13762">
            <v>1</v>
          </cell>
          <cell r="R13762">
            <v>45965</v>
          </cell>
          <cell r="S13762">
            <v>213002</v>
          </cell>
        </row>
        <row r="13763">
          <cell r="K13763" t="str">
            <v>213006</v>
          </cell>
          <cell r="M13763">
            <v>4</v>
          </cell>
          <cell r="R13763">
            <v>45965</v>
          </cell>
          <cell r="S13763">
            <v>213006</v>
          </cell>
        </row>
        <row r="13764">
          <cell r="K13764" t="str">
            <v>213005</v>
          </cell>
          <cell r="M13764">
            <v>2</v>
          </cell>
          <cell r="R13764">
            <v>45965</v>
          </cell>
          <cell r="S13764">
            <v>213005</v>
          </cell>
        </row>
        <row r="13765">
          <cell r="K13765" t="str">
            <v>241001</v>
          </cell>
          <cell r="M13765">
            <v>10</v>
          </cell>
          <cell r="R13765">
            <v>45965</v>
          </cell>
          <cell r="S13765">
            <v>241001</v>
          </cell>
        </row>
        <row r="13766">
          <cell r="K13766" t="str">
            <v>223002</v>
          </cell>
          <cell r="M13766">
            <v>1</v>
          </cell>
          <cell r="R13766">
            <v>45965</v>
          </cell>
          <cell r="S13766">
            <v>223002</v>
          </cell>
        </row>
        <row r="13767">
          <cell r="K13767" t="str">
            <v>209004</v>
          </cell>
          <cell r="M13767">
            <v>1</v>
          </cell>
          <cell r="R13767">
            <v>45965</v>
          </cell>
          <cell r="S13767">
            <v>209004</v>
          </cell>
        </row>
        <row r="13768">
          <cell r="K13768" t="str">
            <v>201011</v>
          </cell>
          <cell r="M13768">
            <v>36</v>
          </cell>
          <cell r="R13768">
            <v>45965</v>
          </cell>
          <cell r="S13768">
            <v>201011</v>
          </cell>
        </row>
        <row r="13769">
          <cell r="K13769" t="str">
            <v>226001</v>
          </cell>
          <cell r="M13769">
            <v>1</v>
          </cell>
          <cell r="R13769">
            <v>45965</v>
          </cell>
          <cell r="S13769">
            <v>226001</v>
          </cell>
        </row>
        <row r="13770">
          <cell r="K13770" t="str">
            <v>201011</v>
          </cell>
          <cell r="M13770">
            <v>6</v>
          </cell>
          <cell r="R13770">
            <v>45965</v>
          </cell>
          <cell r="S13770">
            <v>201011</v>
          </cell>
        </row>
        <row r="13771">
          <cell r="K13771" t="str">
            <v>201011</v>
          </cell>
          <cell r="M13771">
            <v>36</v>
          </cell>
          <cell r="R13771">
            <v>45965</v>
          </cell>
          <cell r="S13771">
            <v>201011</v>
          </cell>
        </row>
        <row r="13772">
          <cell r="K13772" t="str">
            <v>220003</v>
          </cell>
          <cell r="M13772">
            <v>1</v>
          </cell>
          <cell r="R13772">
            <v>45965</v>
          </cell>
          <cell r="S13772">
            <v>220003</v>
          </cell>
        </row>
        <row r="13773">
          <cell r="K13773" t="str">
            <v>201011</v>
          </cell>
          <cell r="M13773">
            <v>3</v>
          </cell>
          <cell r="R13773">
            <v>45965</v>
          </cell>
          <cell r="S13773">
            <v>201011</v>
          </cell>
        </row>
        <row r="13774">
          <cell r="K13774" t="str">
            <v>201011</v>
          </cell>
          <cell r="M13774">
            <v>1</v>
          </cell>
          <cell r="R13774">
            <v>45965</v>
          </cell>
          <cell r="S13774">
            <v>201011</v>
          </cell>
        </row>
        <row r="13775">
          <cell r="K13775" t="str">
            <v>201011</v>
          </cell>
          <cell r="M13775">
            <v>5</v>
          </cell>
          <cell r="R13775">
            <v>45965</v>
          </cell>
          <cell r="S13775">
            <v>201011</v>
          </cell>
        </row>
        <row r="13776">
          <cell r="K13776" t="str">
            <v>201011</v>
          </cell>
          <cell r="M13776">
            <v>10</v>
          </cell>
          <cell r="R13776">
            <v>45965</v>
          </cell>
          <cell r="S13776">
            <v>201011</v>
          </cell>
        </row>
        <row r="13777">
          <cell r="K13777" t="str">
            <v>201011</v>
          </cell>
          <cell r="M13777">
            <v>2</v>
          </cell>
          <cell r="R13777">
            <v>45965</v>
          </cell>
          <cell r="S13777">
            <v>201011</v>
          </cell>
        </row>
        <row r="13778">
          <cell r="K13778" t="str">
            <v>201011</v>
          </cell>
          <cell r="M13778">
            <v>8</v>
          </cell>
          <cell r="R13778">
            <v>45965</v>
          </cell>
          <cell r="S13778">
            <v>201011</v>
          </cell>
        </row>
        <row r="13779">
          <cell r="K13779" t="str">
            <v>226001</v>
          </cell>
          <cell r="M13779">
            <v>1</v>
          </cell>
          <cell r="R13779">
            <v>45965</v>
          </cell>
          <cell r="S13779">
            <v>226001</v>
          </cell>
        </row>
        <row r="13780">
          <cell r="K13780" t="str">
            <v>227014</v>
          </cell>
          <cell r="M13780">
            <v>3</v>
          </cell>
          <cell r="R13780">
            <v>45965</v>
          </cell>
          <cell r="S13780">
            <v>227014</v>
          </cell>
        </row>
        <row r="13781">
          <cell r="K13781" t="str">
            <v>231012</v>
          </cell>
          <cell r="M13781">
            <v>2</v>
          </cell>
          <cell r="R13781">
            <v>45965</v>
          </cell>
          <cell r="S13781">
            <v>231012</v>
          </cell>
        </row>
        <row r="13782">
          <cell r="K13782" t="str">
            <v>203003</v>
          </cell>
          <cell r="M13782">
            <v>1</v>
          </cell>
          <cell r="R13782">
            <v>45965</v>
          </cell>
          <cell r="S13782">
            <v>203003</v>
          </cell>
        </row>
        <row r="13783">
          <cell r="K13783" t="str">
            <v>201011</v>
          </cell>
          <cell r="M13783">
            <v>2</v>
          </cell>
          <cell r="R13783">
            <v>45965</v>
          </cell>
          <cell r="S13783">
            <v>201011</v>
          </cell>
        </row>
        <row r="13784">
          <cell r="K13784" t="str">
            <v>201011</v>
          </cell>
          <cell r="M13784">
            <v>4</v>
          </cell>
          <cell r="R13784">
            <v>45965</v>
          </cell>
          <cell r="S13784">
            <v>201011</v>
          </cell>
        </row>
        <row r="13785">
          <cell r="K13785" t="str">
            <v>201004</v>
          </cell>
          <cell r="M13785">
            <v>2</v>
          </cell>
          <cell r="R13785">
            <v>45965</v>
          </cell>
          <cell r="S13785">
            <v>201004</v>
          </cell>
        </row>
        <row r="13786">
          <cell r="K13786" t="str">
            <v>209004</v>
          </cell>
          <cell r="M13786">
            <v>1</v>
          </cell>
          <cell r="R13786">
            <v>45965</v>
          </cell>
          <cell r="S13786">
            <v>209004</v>
          </cell>
        </row>
        <row r="13787">
          <cell r="K13787" t="str">
            <v>201011</v>
          </cell>
          <cell r="M13787">
            <v>36</v>
          </cell>
          <cell r="R13787">
            <v>45965</v>
          </cell>
          <cell r="S13787">
            <v>201011</v>
          </cell>
        </row>
        <row r="13788">
          <cell r="K13788" t="str">
            <v>222001</v>
          </cell>
          <cell r="M13788">
            <v>1</v>
          </cell>
          <cell r="R13788">
            <v>45965</v>
          </cell>
          <cell r="S13788">
            <v>222001</v>
          </cell>
        </row>
        <row r="13789">
          <cell r="K13789" t="str">
            <v>201011</v>
          </cell>
          <cell r="M13789">
            <v>5</v>
          </cell>
          <cell r="R13789">
            <v>45965</v>
          </cell>
          <cell r="S13789">
            <v>201011</v>
          </cell>
        </row>
        <row r="13790">
          <cell r="K13790" t="str">
            <v>237001</v>
          </cell>
          <cell r="M13790">
            <v>1</v>
          </cell>
          <cell r="R13790">
            <v>45965</v>
          </cell>
          <cell r="S13790">
            <v>237001</v>
          </cell>
        </row>
        <row r="13791">
          <cell r="K13791" t="str">
            <v>213006</v>
          </cell>
          <cell r="M13791">
            <v>1</v>
          </cell>
          <cell r="R13791">
            <v>45965</v>
          </cell>
          <cell r="S13791">
            <v>213006</v>
          </cell>
        </row>
        <row r="13792">
          <cell r="K13792" t="str">
            <v>201011</v>
          </cell>
          <cell r="M13792">
            <v>1</v>
          </cell>
          <cell r="R13792">
            <v>45965</v>
          </cell>
          <cell r="S13792">
            <v>201011</v>
          </cell>
        </row>
        <row r="13793">
          <cell r="K13793" t="str">
            <v>201011</v>
          </cell>
          <cell r="M13793">
            <v>1</v>
          </cell>
          <cell r="R13793">
            <v>45965</v>
          </cell>
          <cell r="S13793">
            <v>201011</v>
          </cell>
        </row>
        <row r="13794">
          <cell r="K13794" t="str">
            <v>213006</v>
          </cell>
          <cell r="M13794">
            <v>5</v>
          </cell>
          <cell r="R13794">
            <v>45965</v>
          </cell>
          <cell r="S13794">
            <v>213006</v>
          </cell>
        </row>
        <row r="13795">
          <cell r="K13795" t="str">
            <v>213006</v>
          </cell>
          <cell r="M13795">
            <v>5</v>
          </cell>
          <cell r="R13795">
            <v>45965</v>
          </cell>
          <cell r="S13795">
            <v>213006</v>
          </cell>
        </row>
        <row r="13796">
          <cell r="K13796" t="str">
            <v>203003</v>
          </cell>
          <cell r="M13796">
            <v>4</v>
          </cell>
          <cell r="R13796">
            <v>45965</v>
          </cell>
          <cell r="S13796">
            <v>203003</v>
          </cell>
        </row>
        <row r="13797">
          <cell r="K13797" t="str">
            <v>207017</v>
          </cell>
          <cell r="M13797">
            <v>1</v>
          </cell>
          <cell r="R13797">
            <v>45965</v>
          </cell>
          <cell r="S13797">
            <v>207017</v>
          </cell>
        </row>
        <row r="13798">
          <cell r="K13798" t="str">
            <v>231012</v>
          </cell>
          <cell r="M13798">
            <v>2</v>
          </cell>
          <cell r="R13798">
            <v>45965</v>
          </cell>
          <cell r="S13798">
            <v>231012</v>
          </cell>
        </row>
        <row r="13799">
          <cell r="K13799" t="str">
            <v>210013</v>
          </cell>
          <cell r="M13799">
            <v>1</v>
          </cell>
          <cell r="R13799">
            <v>45965</v>
          </cell>
          <cell r="S13799">
            <v>210013</v>
          </cell>
        </row>
        <row r="13800">
          <cell r="K13800" t="str">
            <v>209024</v>
          </cell>
          <cell r="M13800">
            <v>1</v>
          </cell>
          <cell r="R13800">
            <v>45965</v>
          </cell>
          <cell r="S13800">
            <v>209024</v>
          </cell>
        </row>
        <row r="13801">
          <cell r="K13801" t="str">
            <v>213002</v>
          </cell>
          <cell r="M13801">
            <v>6</v>
          </cell>
          <cell r="R13801">
            <v>45965</v>
          </cell>
          <cell r="S13801">
            <v>213002</v>
          </cell>
        </row>
        <row r="13802">
          <cell r="K13802" t="str">
            <v>201011</v>
          </cell>
          <cell r="M13802">
            <v>28</v>
          </cell>
          <cell r="R13802">
            <v>45965</v>
          </cell>
          <cell r="S13802">
            <v>201011</v>
          </cell>
        </row>
        <row r="13803">
          <cell r="K13803" t="str">
            <v>201011</v>
          </cell>
          <cell r="M13803">
            <v>3</v>
          </cell>
          <cell r="R13803">
            <v>45965</v>
          </cell>
          <cell r="S13803">
            <v>201011</v>
          </cell>
        </row>
        <row r="13804">
          <cell r="K13804" t="str">
            <v>201011</v>
          </cell>
          <cell r="M13804">
            <v>4</v>
          </cell>
          <cell r="R13804">
            <v>45966</v>
          </cell>
          <cell r="S13804">
            <v>201011</v>
          </cell>
        </row>
        <row r="13805">
          <cell r="K13805" t="str">
            <v>209004</v>
          </cell>
          <cell r="M13805">
            <v>2</v>
          </cell>
          <cell r="R13805">
            <v>45966</v>
          </cell>
          <cell r="S13805">
            <v>209004</v>
          </cell>
        </row>
        <row r="13806">
          <cell r="K13806" t="str">
            <v>226024</v>
          </cell>
          <cell r="M13806">
            <v>2</v>
          </cell>
          <cell r="R13806">
            <v>45966</v>
          </cell>
          <cell r="S13806">
            <v>226024</v>
          </cell>
        </row>
        <row r="13807">
          <cell r="K13807" t="str">
            <v>212035</v>
          </cell>
          <cell r="M13807">
            <v>3</v>
          </cell>
          <cell r="R13807">
            <v>45966</v>
          </cell>
          <cell r="S13807">
            <v>212035</v>
          </cell>
        </row>
        <row r="13808">
          <cell r="K13808" t="str">
            <v>226029</v>
          </cell>
          <cell r="M13808">
            <v>2</v>
          </cell>
          <cell r="R13808">
            <v>45965</v>
          </cell>
          <cell r="S13808">
            <v>226029</v>
          </cell>
        </row>
        <row r="13809">
          <cell r="K13809" t="str">
            <v>228001</v>
          </cell>
          <cell r="M13809">
            <v>8</v>
          </cell>
          <cell r="R13809">
            <v>45966</v>
          </cell>
          <cell r="S13809">
            <v>228001</v>
          </cell>
        </row>
        <row r="13810">
          <cell r="K13810" t="str">
            <v>228001</v>
          </cell>
          <cell r="M13810">
            <v>4</v>
          </cell>
          <cell r="R13810">
            <v>45966</v>
          </cell>
          <cell r="S13810">
            <v>228001</v>
          </cell>
        </row>
        <row r="13811">
          <cell r="K13811" t="str">
            <v>226022</v>
          </cell>
          <cell r="M13811">
            <v>1</v>
          </cell>
          <cell r="R13811">
            <v>45966</v>
          </cell>
          <cell r="S13811">
            <v>226022</v>
          </cell>
        </row>
        <row r="13812">
          <cell r="K13812" t="str">
            <v>228001</v>
          </cell>
          <cell r="M13812">
            <v>1</v>
          </cell>
          <cell r="R13812">
            <v>45966</v>
          </cell>
          <cell r="S13812">
            <v>228001</v>
          </cell>
        </row>
        <row r="13813">
          <cell r="K13813" t="str">
            <v>228001</v>
          </cell>
          <cell r="M13813">
            <v>5</v>
          </cell>
          <cell r="R13813">
            <v>45966</v>
          </cell>
          <cell r="S13813">
            <v>228001</v>
          </cell>
        </row>
        <row r="13814">
          <cell r="K13814" t="str">
            <v>228001</v>
          </cell>
          <cell r="M13814">
            <v>2</v>
          </cell>
          <cell r="R13814">
            <v>45966</v>
          </cell>
          <cell r="S13814">
            <v>228001</v>
          </cell>
        </row>
        <row r="13815">
          <cell r="K13815" t="str">
            <v>212035</v>
          </cell>
          <cell r="M13815">
            <v>4</v>
          </cell>
          <cell r="R13815">
            <v>45966</v>
          </cell>
          <cell r="S13815">
            <v>212035</v>
          </cell>
        </row>
        <row r="13816">
          <cell r="K13816" t="str">
            <v>217021</v>
          </cell>
          <cell r="M13816">
            <v>1</v>
          </cell>
          <cell r="R13816">
            <v>45966</v>
          </cell>
          <cell r="S13816">
            <v>217021</v>
          </cell>
        </row>
        <row r="13817">
          <cell r="K13817" t="str">
            <v>228001</v>
          </cell>
          <cell r="M13817">
            <v>3</v>
          </cell>
          <cell r="R13817">
            <v>45966</v>
          </cell>
          <cell r="S13817">
            <v>228001</v>
          </cell>
        </row>
        <row r="13818">
          <cell r="K13818" t="str">
            <v>210013</v>
          </cell>
          <cell r="M13818">
            <v>1</v>
          </cell>
          <cell r="R13818">
            <v>45966</v>
          </cell>
          <cell r="S13818">
            <v>210013</v>
          </cell>
        </row>
        <row r="13819">
          <cell r="K13819" t="str">
            <v>217018</v>
          </cell>
          <cell r="M13819">
            <v>1</v>
          </cell>
          <cell r="R13819">
            <v>45966</v>
          </cell>
          <cell r="S13819">
            <v>217018</v>
          </cell>
        </row>
        <row r="13820">
          <cell r="K13820" t="str">
            <v>220003</v>
          </cell>
          <cell r="M13820">
            <v>2</v>
          </cell>
          <cell r="R13820">
            <v>45966</v>
          </cell>
          <cell r="S13820">
            <v>220003</v>
          </cell>
        </row>
        <row r="13821">
          <cell r="K13821" t="str">
            <v>223002</v>
          </cell>
          <cell r="M13821">
            <v>4</v>
          </cell>
          <cell r="R13821">
            <v>45966</v>
          </cell>
          <cell r="S13821">
            <v>223002</v>
          </cell>
        </row>
        <row r="13822">
          <cell r="K13822" t="str">
            <v>201011</v>
          </cell>
          <cell r="M13822">
            <v>10</v>
          </cell>
          <cell r="R13822">
            <v>45966</v>
          </cell>
          <cell r="S13822">
            <v>201011</v>
          </cell>
        </row>
        <row r="13823">
          <cell r="K13823" t="str">
            <v>228001</v>
          </cell>
          <cell r="M13823">
            <v>2</v>
          </cell>
          <cell r="R13823">
            <v>45966</v>
          </cell>
          <cell r="S13823">
            <v>228001</v>
          </cell>
        </row>
        <row r="13824">
          <cell r="K13824" t="str">
            <v>209004</v>
          </cell>
          <cell r="M13824">
            <v>2</v>
          </cell>
          <cell r="R13824">
            <v>45966</v>
          </cell>
          <cell r="S13824">
            <v>209004</v>
          </cell>
        </row>
        <row r="13825">
          <cell r="K13825" t="str">
            <v>228001</v>
          </cell>
          <cell r="M13825">
            <v>2</v>
          </cell>
          <cell r="R13825">
            <v>45966</v>
          </cell>
          <cell r="S13825">
            <v>228001</v>
          </cell>
        </row>
        <row r="13826">
          <cell r="K13826" t="str">
            <v>207017</v>
          </cell>
          <cell r="M13826">
            <v>1</v>
          </cell>
          <cell r="R13826">
            <v>45966</v>
          </cell>
          <cell r="S13826">
            <v>207017</v>
          </cell>
        </row>
        <row r="13827">
          <cell r="K13827" t="str">
            <v>231012</v>
          </cell>
          <cell r="M13827">
            <v>1</v>
          </cell>
          <cell r="R13827">
            <v>45966</v>
          </cell>
          <cell r="S13827">
            <v>231012</v>
          </cell>
        </row>
        <row r="13828">
          <cell r="K13828" t="str">
            <v>237001</v>
          </cell>
          <cell r="M13828">
            <v>1</v>
          </cell>
          <cell r="R13828">
            <v>45966</v>
          </cell>
          <cell r="S13828">
            <v>237001</v>
          </cell>
        </row>
        <row r="13829">
          <cell r="K13829" t="str">
            <v>241001</v>
          </cell>
          <cell r="M13829">
            <v>10</v>
          </cell>
          <cell r="R13829">
            <v>45966</v>
          </cell>
          <cell r="S13829">
            <v>241001</v>
          </cell>
        </row>
        <row r="13830">
          <cell r="K13830" t="str">
            <v>210014</v>
          </cell>
          <cell r="M13830">
            <v>6</v>
          </cell>
          <cell r="R13830">
            <v>45966</v>
          </cell>
          <cell r="S13830">
            <v>210014</v>
          </cell>
        </row>
        <row r="13831">
          <cell r="K13831" t="str">
            <v>228001</v>
          </cell>
          <cell r="M13831">
            <v>3</v>
          </cell>
          <cell r="R13831">
            <v>45966</v>
          </cell>
          <cell r="S13831">
            <v>228001</v>
          </cell>
        </row>
        <row r="13832">
          <cell r="K13832" t="str">
            <v>213006</v>
          </cell>
          <cell r="M13832">
            <v>1</v>
          </cell>
          <cell r="R13832">
            <v>45966</v>
          </cell>
          <cell r="S13832">
            <v>213006</v>
          </cell>
        </row>
        <row r="13833">
          <cell r="K13833" t="str">
            <v>227002</v>
          </cell>
          <cell r="M13833">
            <v>6</v>
          </cell>
          <cell r="R13833">
            <v>45966</v>
          </cell>
          <cell r="S13833">
            <v>227002</v>
          </cell>
        </row>
        <row r="13834">
          <cell r="K13834" t="str">
            <v>201011</v>
          </cell>
          <cell r="M13834">
            <v>14</v>
          </cell>
          <cell r="R13834">
            <v>45966</v>
          </cell>
          <cell r="S13834">
            <v>201011</v>
          </cell>
        </row>
        <row r="13835">
          <cell r="K13835" t="str">
            <v>265001</v>
          </cell>
          <cell r="M13835">
            <v>1</v>
          </cell>
          <cell r="R13835">
            <v>45966</v>
          </cell>
          <cell r="S13835">
            <v>265001</v>
          </cell>
        </row>
        <row r="13836">
          <cell r="K13836" t="str">
            <v>265001</v>
          </cell>
          <cell r="M13836">
            <v>1</v>
          </cell>
          <cell r="R13836">
            <v>45966</v>
          </cell>
          <cell r="S13836">
            <v>265001</v>
          </cell>
        </row>
        <row r="13837">
          <cell r="K13837" t="str">
            <v>213002</v>
          </cell>
          <cell r="M13837">
            <v>15</v>
          </cell>
          <cell r="R13837">
            <v>45966</v>
          </cell>
          <cell r="S13837">
            <v>213002</v>
          </cell>
        </row>
        <row r="13838">
          <cell r="K13838" t="str">
            <v>223002</v>
          </cell>
          <cell r="M13838">
            <v>2</v>
          </cell>
          <cell r="R13838">
            <v>45966</v>
          </cell>
          <cell r="S13838">
            <v>223002</v>
          </cell>
        </row>
        <row r="13839">
          <cell r="K13839" t="str">
            <v>201011</v>
          </cell>
          <cell r="M13839">
            <v>2</v>
          </cell>
          <cell r="R13839">
            <v>45966</v>
          </cell>
          <cell r="S13839">
            <v>201011</v>
          </cell>
        </row>
        <row r="13840">
          <cell r="K13840" t="str">
            <v>223001</v>
          </cell>
          <cell r="M13840">
            <v>2</v>
          </cell>
          <cell r="R13840">
            <v>45966</v>
          </cell>
          <cell r="S13840">
            <v>223001</v>
          </cell>
        </row>
        <row r="13841">
          <cell r="K13841" t="str">
            <v>223004</v>
          </cell>
          <cell r="M13841">
            <v>2</v>
          </cell>
          <cell r="R13841">
            <v>45966</v>
          </cell>
          <cell r="S13841">
            <v>223004</v>
          </cell>
        </row>
        <row r="13842">
          <cell r="K13842" t="str">
            <v>213002</v>
          </cell>
          <cell r="M13842">
            <v>5</v>
          </cell>
          <cell r="R13842">
            <v>45966</v>
          </cell>
          <cell r="S13842">
            <v>213002</v>
          </cell>
        </row>
        <row r="13843">
          <cell r="K13843" t="str">
            <v>210003</v>
          </cell>
          <cell r="M13843">
            <v>1</v>
          </cell>
          <cell r="R13843">
            <v>45966</v>
          </cell>
          <cell r="S13843">
            <v>210003</v>
          </cell>
        </row>
        <row r="13844">
          <cell r="K13844" t="str">
            <v>234011</v>
          </cell>
          <cell r="M13844">
            <v>1</v>
          </cell>
          <cell r="R13844">
            <v>45966</v>
          </cell>
          <cell r="S13844">
            <v>234011</v>
          </cell>
        </row>
        <row r="13845">
          <cell r="K13845" t="str">
            <v>220003</v>
          </cell>
          <cell r="M13845">
            <v>2</v>
          </cell>
          <cell r="R13845">
            <v>45966</v>
          </cell>
          <cell r="S13845">
            <v>220003</v>
          </cell>
        </row>
        <row r="13846">
          <cell r="K13846" t="str">
            <v>222001</v>
          </cell>
          <cell r="M13846">
            <v>1</v>
          </cell>
          <cell r="R13846">
            <v>45966</v>
          </cell>
          <cell r="S13846">
            <v>222001</v>
          </cell>
        </row>
        <row r="13847">
          <cell r="K13847" t="str">
            <v>210014</v>
          </cell>
          <cell r="M13847">
            <v>2</v>
          </cell>
          <cell r="R13847">
            <v>45966</v>
          </cell>
          <cell r="S13847">
            <v>210014</v>
          </cell>
        </row>
        <row r="13848">
          <cell r="K13848" t="str">
            <v>223001</v>
          </cell>
          <cell r="M13848">
            <v>8</v>
          </cell>
          <cell r="R13848">
            <v>45966</v>
          </cell>
          <cell r="S13848">
            <v>223001</v>
          </cell>
        </row>
        <row r="13849">
          <cell r="K13849" t="str">
            <v>213006</v>
          </cell>
          <cell r="M13849">
            <v>2</v>
          </cell>
          <cell r="R13849">
            <v>45966</v>
          </cell>
          <cell r="S13849">
            <v>213006</v>
          </cell>
        </row>
        <row r="13850">
          <cell r="K13850" t="str">
            <v>220003</v>
          </cell>
          <cell r="M13850">
            <v>20</v>
          </cell>
          <cell r="R13850">
            <v>45966</v>
          </cell>
          <cell r="S13850">
            <v>220003</v>
          </cell>
        </row>
        <row r="13851">
          <cell r="K13851" t="str">
            <v>228001</v>
          </cell>
          <cell r="M13851">
            <v>1</v>
          </cell>
          <cell r="R13851">
            <v>45966</v>
          </cell>
          <cell r="S13851">
            <v>228001</v>
          </cell>
        </row>
        <row r="13852">
          <cell r="K13852" t="str">
            <v>209016</v>
          </cell>
          <cell r="M13852">
            <v>1</v>
          </cell>
          <cell r="R13852">
            <v>45966</v>
          </cell>
          <cell r="S13852">
            <v>209016</v>
          </cell>
        </row>
        <row r="13853">
          <cell r="K13853" t="str">
            <v>228001</v>
          </cell>
          <cell r="M13853">
            <v>3</v>
          </cell>
          <cell r="R13853">
            <v>45966</v>
          </cell>
          <cell r="S13853">
            <v>228001</v>
          </cell>
        </row>
        <row r="13854">
          <cell r="K13854" t="str">
            <v>228001</v>
          </cell>
          <cell r="M13854">
            <v>1</v>
          </cell>
          <cell r="R13854">
            <v>45966</v>
          </cell>
          <cell r="S13854">
            <v>228001</v>
          </cell>
        </row>
        <row r="13855">
          <cell r="K13855" t="str">
            <v>228001</v>
          </cell>
          <cell r="M13855">
            <v>1</v>
          </cell>
          <cell r="R13855">
            <v>45966</v>
          </cell>
          <cell r="S13855">
            <v>228001</v>
          </cell>
        </row>
        <row r="13856">
          <cell r="K13856" t="str">
            <v>223001</v>
          </cell>
          <cell r="M13856">
            <v>1</v>
          </cell>
          <cell r="R13856">
            <v>45966</v>
          </cell>
          <cell r="S13856">
            <v>223001</v>
          </cell>
        </row>
        <row r="13857">
          <cell r="K13857" t="str">
            <v>213002</v>
          </cell>
          <cell r="M13857">
            <v>1</v>
          </cell>
          <cell r="R13857">
            <v>45966</v>
          </cell>
          <cell r="S13857">
            <v>213002</v>
          </cell>
        </row>
        <row r="13858">
          <cell r="K13858" t="str">
            <v>217011</v>
          </cell>
          <cell r="M13858">
            <v>1</v>
          </cell>
          <cell r="R13858">
            <v>45967</v>
          </cell>
          <cell r="S13858">
            <v>217011</v>
          </cell>
        </row>
        <row r="13859">
          <cell r="K13859" t="str">
            <v>209001</v>
          </cell>
          <cell r="M13859">
            <v>1</v>
          </cell>
          <cell r="R13859">
            <v>45967</v>
          </cell>
          <cell r="S13859">
            <v>209001</v>
          </cell>
        </row>
        <row r="13860">
          <cell r="K13860" t="str">
            <v>226025</v>
          </cell>
          <cell r="M13860">
            <v>1</v>
          </cell>
          <cell r="R13860">
            <v>45967</v>
          </cell>
          <cell r="S13860">
            <v>226025</v>
          </cell>
        </row>
        <row r="13861">
          <cell r="K13861" t="str">
            <v>217011</v>
          </cell>
          <cell r="M13861">
            <v>1</v>
          </cell>
          <cell r="R13861">
            <v>45967</v>
          </cell>
          <cell r="S13861">
            <v>217011</v>
          </cell>
        </row>
        <row r="13862">
          <cell r="K13862" t="str">
            <v>228001</v>
          </cell>
          <cell r="M13862">
            <v>3</v>
          </cell>
          <cell r="R13862">
            <v>45966</v>
          </cell>
          <cell r="S13862">
            <v>228001</v>
          </cell>
        </row>
        <row r="13863">
          <cell r="K13863" t="str">
            <v>201011</v>
          </cell>
          <cell r="M13863">
            <v>2</v>
          </cell>
          <cell r="R13863">
            <v>45966</v>
          </cell>
          <cell r="S13863">
            <v>201011</v>
          </cell>
        </row>
        <row r="13864">
          <cell r="K13864" t="str">
            <v>223002</v>
          </cell>
          <cell r="M13864">
            <v>1</v>
          </cell>
          <cell r="R13864">
            <v>45966</v>
          </cell>
          <cell r="S13864">
            <v>223002</v>
          </cell>
        </row>
        <row r="13865">
          <cell r="K13865" t="str">
            <v>227001</v>
          </cell>
          <cell r="M13865">
            <v>1</v>
          </cell>
          <cell r="R13865">
            <v>45966</v>
          </cell>
          <cell r="S13865">
            <v>227001</v>
          </cell>
        </row>
        <row r="13866">
          <cell r="K13866" t="str">
            <v>201011</v>
          </cell>
          <cell r="M13866">
            <v>1</v>
          </cell>
          <cell r="R13866">
            <v>45966</v>
          </cell>
          <cell r="S13866">
            <v>201011</v>
          </cell>
        </row>
        <row r="13867">
          <cell r="K13867" t="str">
            <v>201022</v>
          </cell>
          <cell r="M13867">
            <v>1</v>
          </cell>
          <cell r="R13867">
            <v>45966</v>
          </cell>
          <cell r="S13867">
            <v>201022</v>
          </cell>
        </row>
        <row r="13868">
          <cell r="K13868" t="str">
            <v>223001</v>
          </cell>
          <cell r="M13868">
            <v>1</v>
          </cell>
          <cell r="R13868">
            <v>45966</v>
          </cell>
          <cell r="S13868">
            <v>223001</v>
          </cell>
        </row>
        <row r="13869">
          <cell r="K13869" t="str">
            <v>201011</v>
          </cell>
          <cell r="M13869">
            <v>10</v>
          </cell>
          <cell r="R13869">
            <v>45966</v>
          </cell>
          <cell r="S13869">
            <v>201011</v>
          </cell>
        </row>
        <row r="13870">
          <cell r="K13870" t="str">
            <v>209001</v>
          </cell>
          <cell r="M13870">
            <v>3</v>
          </cell>
          <cell r="R13870">
            <v>45967</v>
          </cell>
          <cell r="S13870">
            <v>209001</v>
          </cell>
        </row>
        <row r="13871">
          <cell r="K13871" t="str">
            <v>201011</v>
          </cell>
          <cell r="M13871">
            <v>1</v>
          </cell>
          <cell r="R13871">
            <v>45967</v>
          </cell>
          <cell r="S13871">
            <v>201011</v>
          </cell>
        </row>
        <row r="13872">
          <cell r="K13872" t="str">
            <v>209012</v>
          </cell>
          <cell r="M13872">
            <v>1</v>
          </cell>
          <cell r="R13872">
            <v>45966</v>
          </cell>
          <cell r="S13872">
            <v>209012</v>
          </cell>
        </row>
        <row r="13873">
          <cell r="K13873" t="str">
            <v>213002</v>
          </cell>
          <cell r="M13873">
            <v>5</v>
          </cell>
          <cell r="R13873">
            <v>45967</v>
          </cell>
          <cell r="S13873">
            <v>213002</v>
          </cell>
        </row>
        <row r="13874">
          <cell r="K13874" t="str">
            <v>241001</v>
          </cell>
          <cell r="M13874">
            <v>100</v>
          </cell>
          <cell r="R13874">
            <v>45967</v>
          </cell>
          <cell r="S13874">
            <v>241001</v>
          </cell>
        </row>
        <row r="13875">
          <cell r="K13875" t="str">
            <v>201011</v>
          </cell>
          <cell r="M13875">
            <v>72</v>
          </cell>
          <cell r="R13875">
            <v>45967</v>
          </cell>
          <cell r="S13875">
            <v>201011</v>
          </cell>
        </row>
        <row r="13876">
          <cell r="K13876" t="str">
            <v>206002</v>
          </cell>
          <cell r="M13876">
            <v>1</v>
          </cell>
          <cell r="R13876">
            <v>45967</v>
          </cell>
          <cell r="S13876">
            <v>206002</v>
          </cell>
        </row>
        <row r="13877">
          <cell r="K13877" t="str">
            <v>241001</v>
          </cell>
          <cell r="M13877">
            <v>10</v>
          </cell>
          <cell r="R13877">
            <v>45967</v>
          </cell>
          <cell r="S13877">
            <v>241001</v>
          </cell>
        </row>
        <row r="13878">
          <cell r="K13878" t="str">
            <v>218001</v>
          </cell>
          <cell r="M13878">
            <v>1</v>
          </cell>
          <cell r="R13878">
            <v>45967</v>
          </cell>
          <cell r="S13878">
            <v>218001</v>
          </cell>
        </row>
        <row r="13879">
          <cell r="K13879" t="str">
            <v>226001</v>
          </cell>
          <cell r="M13879">
            <v>3</v>
          </cell>
          <cell r="R13879">
            <v>45967</v>
          </cell>
          <cell r="S13879">
            <v>226001</v>
          </cell>
        </row>
        <row r="13880">
          <cell r="K13880" t="str">
            <v>223006</v>
          </cell>
          <cell r="M13880">
            <v>4</v>
          </cell>
          <cell r="R13880">
            <v>45967</v>
          </cell>
          <cell r="S13880">
            <v>223006</v>
          </cell>
        </row>
        <row r="13881">
          <cell r="K13881" t="str">
            <v>228001</v>
          </cell>
          <cell r="M13881">
            <v>5</v>
          </cell>
          <cell r="R13881">
            <v>45967</v>
          </cell>
          <cell r="S13881">
            <v>228001</v>
          </cell>
        </row>
        <row r="13882">
          <cell r="K13882" t="str">
            <v>234001</v>
          </cell>
          <cell r="M13882">
            <v>2</v>
          </cell>
          <cell r="R13882">
            <v>45967</v>
          </cell>
          <cell r="S13882">
            <v>234001</v>
          </cell>
        </row>
        <row r="13883">
          <cell r="K13883" t="str">
            <v>201021</v>
          </cell>
          <cell r="M13883">
            <v>1</v>
          </cell>
          <cell r="R13883">
            <v>45967</v>
          </cell>
          <cell r="S13883">
            <v>201021</v>
          </cell>
        </row>
        <row r="13884">
          <cell r="K13884" t="str">
            <v>213006</v>
          </cell>
          <cell r="M13884">
            <v>1</v>
          </cell>
          <cell r="R13884">
            <v>45967</v>
          </cell>
          <cell r="S13884">
            <v>213006</v>
          </cell>
        </row>
        <row r="13885">
          <cell r="K13885" t="str">
            <v>226001</v>
          </cell>
          <cell r="M13885">
            <v>1</v>
          </cell>
          <cell r="R13885">
            <v>45967</v>
          </cell>
          <cell r="S13885">
            <v>226001</v>
          </cell>
        </row>
        <row r="13886">
          <cell r="K13886" t="str">
            <v>201003</v>
          </cell>
          <cell r="M13886">
            <v>11</v>
          </cell>
          <cell r="R13886">
            <v>45967</v>
          </cell>
          <cell r="S13886">
            <v>201003</v>
          </cell>
        </row>
        <row r="13887">
          <cell r="K13887" t="str">
            <v>226001</v>
          </cell>
          <cell r="M13887">
            <v>2</v>
          </cell>
          <cell r="R13887">
            <v>45967</v>
          </cell>
          <cell r="S13887">
            <v>226001</v>
          </cell>
        </row>
        <row r="13888">
          <cell r="K13888" t="str">
            <v>226001</v>
          </cell>
          <cell r="M13888">
            <v>2</v>
          </cell>
          <cell r="R13888">
            <v>45967</v>
          </cell>
          <cell r="S13888">
            <v>226001</v>
          </cell>
        </row>
        <row r="13889">
          <cell r="K13889" t="str">
            <v>226026</v>
          </cell>
          <cell r="M13889">
            <v>2</v>
          </cell>
          <cell r="R13889">
            <v>45967</v>
          </cell>
          <cell r="S13889">
            <v>226026</v>
          </cell>
        </row>
        <row r="13890">
          <cell r="K13890" t="str">
            <v>201011</v>
          </cell>
          <cell r="M13890">
            <v>6</v>
          </cell>
          <cell r="R13890">
            <v>45967</v>
          </cell>
          <cell r="S13890">
            <v>201011</v>
          </cell>
        </row>
        <row r="13891">
          <cell r="K13891" t="str">
            <v>201011</v>
          </cell>
          <cell r="M13891">
            <v>4</v>
          </cell>
          <cell r="R13891">
            <v>45967</v>
          </cell>
          <cell r="S13891">
            <v>201011</v>
          </cell>
        </row>
        <row r="13892">
          <cell r="K13892" t="str">
            <v>228001</v>
          </cell>
          <cell r="M13892">
            <v>3</v>
          </cell>
          <cell r="R13892">
            <v>45967</v>
          </cell>
          <cell r="S13892">
            <v>228001</v>
          </cell>
        </row>
        <row r="13893">
          <cell r="K13893" t="str">
            <v>223002</v>
          </cell>
          <cell r="M13893">
            <v>4</v>
          </cell>
          <cell r="R13893">
            <v>45967</v>
          </cell>
          <cell r="S13893">
            <v>223002</v>
          </cell>
        </row>
        <row r="13894">
          <cell r="K13894" t="str">
            <v>201003</v>
          </cell>
          <cell r="M13894">
            <v>4</v>
          </cell>
          <cell r="R13894">
            <v>45967</v>
          </cell>
          <cell r="S13894">
            <v>201003</v>
          </cell>
        </row>
        <row r="13895">
          <cell r="K13895" t="str">
            <v>228001</v>
          </cell>
          <cell r="M13895">
            <v>4</v>
          </cell>
          <cell r="R13895">
            <v>45967</v>
          </cell>
          <cell r="S13895">
            <v>228001</v>
          </cell>
        </row>
        <row r="13896">
          <cell r="K13896" t="str">
            <v>231012</v>
          </cell>
          <cell r="M13896">
            <v>10</v>
          </cell>
          <cell r="R13896">
            <v>45967</v>
          </cell>
          <cell r="S13896">
            <v>231012</v>
          </cell>
        </row>
        <row r="13897">
          <cell r="K13897" t="str">
            <v>261004</v>
          </cell>
          <cell r="M13897">
            <v>30</v>
          </cell>
          <cell r="R13897">
            <v>45967</v>
          </cell>
          <cell r="S13897">
            <v>261004</v>
          </cell>
        </row>
        <row r="13898">
          <cell r="K13898" t="str">
            <v>220002</v>
          </cell>
          <cell r="M13898">
            <v>4</v>
          </cell>
          <cell r="R13898">
            <v>45967</v>
          </cell>
          <cell r="S13898">
            <v>220002</v>
          </cell>
        </row>
        <row r="13899">
          <cell r="K13899" t="str">
            <v>220003</v>
          </cell>
          <cell r="M13899">
            <v>2</v>
          </cell>
          <cell r="R13899">
            <v>45967</v>
          </cell>
          <cell r="S13899">
            <v>220003</v>
          </cell>
        </row>
        <row r="13900">
          <cell r="K13900" t="str">
            <v>231004</v>
          </cell>
          <cell r="M13900">
            <v>1</v>
          </cell>
          <cell r="R13900">
            <v>45967</v>
          </cell>
          <cell r="S13900">
            <v>231004</v>
          </cell>
        </row>
        <row r="13901">
          <cell r="K13901" t="str">
            <v>235008</v>
          </cell>
          <cell r="M13901">
            <v>1</v>
          </cell>
          <cell r="R13901">
            <v>45967</v>
          </cell>
          <cell r="S13901">
            <v>235008</v>
          </cell>
        </row>
        <row r="13902">
          <cell r="K13902" t="str">
            <v>235005</v>
          </cell>
          <cell r="M13902">
            <v>1</v>
          </cell>
          <cell r="R13902">
            <v>45967</v>
          </cell>
          <cell r="S13902">
            <v>235005</v>
          </cell>
        </row>
        <row r="13903">
          <cell r="K13903" t="str">
            <v>228001</v>
          </cell>
          <cell r="M13903">
            <v>1</v>
          </cell>
          <cell r="R13903">
            <v>45967</v>
          </cell>
          <cell r="S13903">
            <v>228001</v>
          </cell>
        </row>
        <row r="13904">
          <cell r="K13904" t="str">
            <v>212035</v>
          </cell>
          <cell r="M13904">
            <v>1</v>
          </cell>
          <cell r="R13904">
            <v>45967</v>
          </cell>
          <cell r="S13904">
            <v>212035</v>
          </cell>
        </row>
        <row r="13905">
          <cell r="K13905" t="str">
            <v>201011</v>
          </cell>
          <cell r="M13905">
            <v>6</v>
          </cell>
          <cell r="R13905">
            <v>45967</v>
          </cell>
          <cell r="S13905">
            <v>201011</v>
          </cell>
        </row>
        <row r="13906">
          <cell r="K13906" t="str">
            <v>228001</v>
          </cell>
          <cell r="M13906">
            <v>5</v>
          </cell>
          <cell r="R13906">
            <v>45967</v>
          </cell>
          <cell r="S13906">
            <v>228001</v>
          </cell>
        </row>
        <row r="13907">
          <cell r="K13907" t="str">
            <v>227002</v>
          </cell>
          <cell r="M13907">
            <v>1</v>
          </cell>
          <cell r="R13907">
            <v>45967</v>
          </cell>
          <cell r="S13907">
            <v>227002</v>
          </cell>
        </row>
        <row r="13908">
          <cell r="K13908" t="str">
            <v>208001</v>
          </cell>
          <cell r="M13908">
            <v>18</v>
          </cell>
          <cell r="R13908">
            <v>45967</v>
          </cell>
          <cell r="S13908">
            <v>208001</v>
          </cell>
        </row>
        <row r="13909">
          <cell r="K13909" t="str">
            <v>201011</v>
          </cell>
          <cell r="M13909">
            <v>1</v>
          </cell>
          <cell r="R13909">
            <v>45967</v>
          </cell>
          <cell r="S13909">
            <v>201011</v>
          </cell>
        </row>
        <row r="13910">
          <cell r="K13910" t="str">
            <v>223002</v>
          </cell>
          <cell r="M13910">
            <v>2</v>
          </cell>
          <cell r="R13910">
            <v>45967</v>
          </cell>
          <cell r="S13910">
            <v>223002</v>
          </cell>
        </row>
        <row r="13911">
          <cell r="K13911" t="str">
            <v>223001</v>
          </cell>
          <cell r="M13911">
            <v>2</v>
          </cell>
          <cell r="R13911">
            <v>45967</v>
          </cell>
          <cell r="S13911">
            <v>223001</v>
          </cell>
        </row>
        <row r="13912">
          <cell r="K13912" t="str">
            <v>201011</v>
          </cell>
          <cell r="M13912">
            <v>15</v>
          </cell>
          <cell r="R13912">
            <v>45967</v>
          </cell>
          <cell r="S13912">
            <v>201011</v>
          </cell>
        </row>
        <row r="13913">
          <cell r="K13913" t="str">
            <v>231010</v>
          </cell>
          <cell r="M13913">
            <v>1</v>
          </cell>
          <cell r="R13913">
            <v>45967</v>
          </cell>
          <cell r="S13913">
            <v>231010</v>
          </cell>
        </row>
        <row r="13914">
          <cell r="K13914" t="str">
            <v>217019</v>
          </cell>
          <cell r="M13914">
            <v>4</v>
          </cell>
          <cell r="R13914">
            <v>45967</v>
          </cell>
          <cell r="S13914">
            <v>217019</v>
          </cell>
        </row>
        <row r="13915">
          <cell r="K13915" t="str">
            <v>209001</v>
          </cell>
          <cell r="M13915">
            <v>2</v>
          </cell>
          <cell r="R13915">
            <v>45967</v>
          </cell>
          <cell r="S13915">
            <v>209001</v>
          </cell>
        </row>
        <row r="13916">
          <cell r="K13916" t="str">
            <v>217011</v>
          </cell>
          <cell r="M13916">
            <v>2</v>
          </cell>
          <cell r="R13916">
            <v>45967</v>
          </cell>
          <cell r="S13916">
            <v>217011</v>
          </cell>
        </row>
        <row r="13917">
          <cell r="K13917" t="str">
            <v>226025</v>
          </cell>
          <cell r="M13917">
            <v>1</v>
          </cell>
          <cell r="R13917">
            <v>45967</v>
          </cell>
          <cell r="S13917">
            <v>226025</v>
          </cell>
        </row>
        <row r="13918">
          <cell r="K13918" t="str">
            <v>223001</v>
          </cell>
          <cell r="M13918">
            <v>10</v>
          </cell>
          <cell r="R13918">
            <v>45967</v>
          </cell>
          <cell r="S13918">
            <v>223001</v>
          </cell>
        </row>
        <row r="13919">
          <cell r="K13919" t="str">
            <v>227012</v>
          </cell>
          <cell r="M13919">
            <v>1</v>
          </cell>
          <cell r="R13919">
            <v>45967</v>
          </cell>
          <cell r="S13919">
            <v>227012</v>
          </cell>
        </row>
        <row r="13920">
          <cell r="K13920" t="str">
            <v>241001</v>
          </cell>
          <cell r="M13920">
            <v>3</v>
          </cell>
          <cell r="R13920">
            <v>45967</v>
          </cell>
          <cell r="S13920">
            <v>241001</v>
          </cell>
        </row>
        <row r="13921">
          <cell r="K13921" t="str">
            <v>222001</v>
          </cell>
          <cell r="M13921">
            <v>5</v>
          </cell>
          <cell r="R13921">
            <v>45967</v>
          </cell>
          <cell r="S13921">
            <v>222001</v>
          </cell>
        </row>
        <row r="13922">
          <cell r="K13922" t="str">
            <v>222007</v>
          </cell>
          <cell r="M13922">
            <v>1</v>
          </cell>
          <cell r="R13922">
            <v>45967</v>
          </cell>
          <cell r="S13922">
            <v>222007</v>
          </cell>
        </row>
        <row r="13923">
          <cell r="K13923" t="str">
            <v>213005</v>
          </cell>
          <cell r="M13923">
            <v>1</v>
          </cell>
          <cell r="R13923">
            <v>45967</v>
          </cell>
          <cell r="S13923">
            <v>213005</v>
          </cell>
        </row>
        <row r="13924">
          <cell r="K13924" t="str">
            <v>241001</v>
          </cell>
          <cell r="M13924">
            <v>1</v>
          </cell>
          <cell r="R13924">
            <v>45967</v>
          </cell>
          <cell r="S13924">
            <v>241001</v>
          </cell>
        </row>
        <row r="13925">
          <cell r="K13925" t="str">
            <v>203003</v>
          </cell>
          <cell r="M13925">
            <v>1</v>
          </cell>
          <cell r="R13925">
            <v>45967</v>
          </cell>
          <cell r="S13925">
            <v>203003</v>
          </cell>
        </row>
        <row r="13926">
          <cell r="K13926" t="str">
            <v>209001</v>
          </cell>
          <cell r="M13926">
            <v>1</v>
          </cell>
          <cell r="R13926">
            <v>45967</v>
          </cell>
          <cell r="S13926">
            <v>209001</v>
          </cell>
        </row>
        <row r="13927">
          <cell r="K13927" t="str">
            <v>222001</v>
          </cell>
          <cell r="M13927">
            <v>1</v>
          </cell>
          <cell r="R13927">
            <v>45967</v>
          </cell>
          <cell r="S13927">
            <v>222001</v>
          </cell>
        </row>
        <row r="13928">
          <cell r="K13928" t="str">
            <v>213006</v>
          </cell>
          <cell r="M13928">
            <v>1</v>
          </cell>
          <cell r="R13928">
            <v>45967</v>
          </cell>
          <cell r="S13928">
            <v>213006</v>
          </cell>
        </row>
        <row r="13929">
          <cell r="K13929" t="str">
            <v>201011</v>
          </cell>
          <cell r="M13929">
            <v>4</v>
          </cell>
          <cell r="R13929">
            <v>45967</v>
          </cell>
          <cell r="S13929">
            <v>201011</v>
          </cell>
        </row>
        <row r="13930">
          <cell r="K13930" t="str">
            <v>226001</v>
          </cell>
          <cell r="M13930">
            <v>2</v>
          </cell>
          <cell r="R13930">
            <v>45967</v>
          </cell>
          <cell r="S13930">
            <v>226001</v>
          </cell>
        </row>
        <row r="13931">
          <cell r="K13931" t="str">
            <v>261004</v>
          </cell>
          <cell r="M13931">
            <v>10</v>
          </cell>
          <cell r="R13931">
            <v>45967</v>
          </cell>
          <cell r="S13931">
            <v>261004</v>
          </cell>
        </row>
        <row r="13932">
          <cell r="K13932" t="str">
            <v>226001</v>
          </cell>
          <cell r="M13932">
            <v>1</v>
          </cell>
          <cell r="R13932">
            <v>45967</v>
          </cell>
          <cell r="S13932">
            <v>226001</v>
          </cell>
        </row>
        <row r="13933">
          <cell r="K13933" t="str">
            <v>227008</v>
          </cell>
          <cell r="M13933">
            <v>1</v>
          </cell>
          <cell r="R13933">
            <v>45967</v>
          </cell>
          <cell r="S13933">
            <v>227008</v>
          </cell>
        </row>
        <row r="13934">
          <cell r="K13934" t="str">
            <v>227012</v>
          </cell>
          <cell r="M13934">
            <v>1</v>
          </cell>
          <cell r="R13934">
            <v>45967</v>
          </cell>
          <cell r="S13934">
            <v>227012</v>
          </cell>
        </row>
        <row r="13935">
          <cell r="K13935" t="str">
            <v>203003</v>
          </cell>
          <cell r="M13935">
            <v>1</v>
          </cell>
          <cell r="R13935">
            <v>45967</v>
          </cell>
          <cell r="S13935">
            <v>203003</v>
          </cell>
        </row>
        <row r="13936">
          <cell r="K13936" t="str">
            <v>201011</v>
          </cell>
          <cell r="M13936">
            <v>6</v>
          </cell>
          <cell r="R13936">
            <v>45967</v>
          </cell>
          <cell r="S13936">
            <v>201011</v>
          </cell>
        </row>
        <row r="13937">
          <cell r="K13937" t="str">
            <v>223001</v>
          </cell>
          <cell r="M13937">
            <v>2</v>
          </cell>
          <cell r="R13937">
            <v>45967</v>
          </cell>
          <cell r="S13937">
            <v>223001</v>
          </cell>
        </row>
        <row r="13938">
          <cell r="K13938" t="str">
            <v>223001</v>
          </cell>
          <cell r="M13938">
            <v>1</v>
          </cell>
          <cell r="R13938">
            <v>45967</v>
          </cell>
          <cell r="S13938">
            <v>223001</v>
          </cell>
        </row>
        <row r="13939">
          <cell r="K13939" t="str">
            <v>201011</v>
          </cell>
          <cell r="M13939">
            <v>2</v>
          </cell>
          <cell r="R13939">
            <v>45967</v>
          </cell>
          <cell r="S13939">
            <v>201011</v>
          </cell>
        </row>
        <row r="13940">
          <cell r="K13940" t="str">
            <v>241001</v>
          </cell>
          <cell r="M13940">
            <v>3</v>
          </cell>
          <cell r="R13940">
            <v>45967</v>
          </cell>
          <cell r="S13940">
            <v>241001</v>
          </cell>
        </row>
        <row r="13941">
          <cell r="K13941" t="str">
            <v>217018</v>
          </cell>
          <cell r="M13941">
            <v>15</v>
          </cell>
          <cell r="R13941">
            <v>45968</v>
          </cell>
          <cell r="S13941">
            <v>217018</v>
          </cell>
        </row>
        <row r="13942">
          <cell r="K13942" t="str">
            <v>217011</v>
          </cell>
          <cell r="M13942">
            <v>2</v>
          </cell>
          <cell r="R13942">
            <v>45968</v>
          </cell>
          <cell r="S13942">
            <v>217011</v>
          </cell>
        </row>
        <row r="13943">
          <cell r="K13943" t="str">
            <v>217011</v>
          </cell>
          <cell r="M13943">
            <v>1</v>
          </cell>
          <cell r="R13943">
            <v>45968</v>
          </cell>
          <cell r="S13943">
            <v>217011</v>
          </cell>
        </row>
        <row r="13944">
          <cell r="K13944" t="str">
            <v>231012</v>
          </cell>
          <cell r="M13944">
            <v>1</v>
          </cell>
          <cell r="R13944">
            <v>45968</v>
          </cell>
          <cell r="S13944">
            <v>231012</v>
          </cell>
        </row>
        <row r="13945">
          <cell r="K13945" t="str">
            <v>217018</v>
          </cell>
          <cell r="M13945">
            <v>1</v>
          </cell>
          <cell r="R13945">
            <v>45967</v>
          </cell>
          <cell r="S13945">
            <v>217018</v>
          </cell>
        </row>
        <row r="13946">
          <cell r="K13946" t="str">
            <v>231012</v>
          </cell>
          <cell r="M13946">
            <v>1</v>
          </cell>
          <cell r="R13946">
            <v>45968</v>
          </cell>
          <cell r="S13946">
            <v>231012</v>
          </cell>
        </row>
        <row r="13947">
          <cell r="K13947" t="str">
            <v>228001</v>
          </cell>
          <cell r="M13947">
            <v>1</v>
          </cell>
          <cell r="R13947">
            <v>45968</v>
          </cell>
          <cell r="S13947">
            <v>228001</v>
          </cell>
        </row>
        <row r="13948">
          <cell r="K13948" t="str">
            <v>213005</v>
          </cell>
          <cell r="M13948">
            <v>2</v>
          </cell>
          <cell r="R13948">
            <v>45967</v>
          </cell>
          <cell r="S13948">
            <v>213005</v>
          </cell>
        </row>
        <row r="13949">
          <cell r="K13949" t="str">
            <v>213002</v>
          </cell>
          <cell r="M13949">
            <v>1</v>
          </cell>
          <cell r="R13949">
            <v>45967</v>
          </cell>
          <cell r="S13949">
            <v>213002</v>
          </cell>
        </row>
        <row r="13950">
          <cell r="K13950" t="str">
            <v>223001</v>
          </cell>
          <cell r="M13950">
            <v>1</v>
          </cell>
          <cell r="R13950">
            <v>45967</v>
          </cell>
          <cell r="S13950">
            <v>223001</v>
          </cell>
        </row>
        <row r="13951">
          <cell r="K13951" t="str">
            <v>213030</v>
          </cell>
          <cell r="M13951">
            <v>10</v>
          </cell>
          <cell r="R13951">
            <v>45968</v>
          </cell>
          <cell r="S13951">
            <v>213030</v>
          </cell>
        </row>
        <row r="13952">
          <cell r="K13952" t="str">
            <v>228001</v>
          </cell>
          <cell r="M13952">
            <v>5</v>
          </cell>
          <cell r="R13952">
            <v>45968</v>
          </cell>
          <cell r="S13952">
            <v>228001</v>
          </cell>
        </row>
        <row r="13953">
          <cell r="K13953" t="str">
            <v>231012</v>
          </cell>
          <cell r="M13953">
            <v>10</v>
          </cell>
          <cell r="R13953">
            <v>45968</v>
          </cell>
          <cell r="S13953">
            <v>231012</v>
          </cell>
        </row>
        <row r="13954">
          <cell r="K13954" t="str">
            <v>210013</v>
          </cell>
          <cell r="M13954">
            <v>1</v>
          </cell>
          <cell r="R13954">
            <v>45968</v>
          </cell>
          <cell r="S13954">
            <v>210013</v>
          </cell>
        </row>
        <row r="13955">
          <cell r="K13955" t="str">
            <v>222001</v>
          </cell>
          <cell r="M13955">
            <v>1</v>
          </cell>
          <cell r="R13955">
            <v>45968</v>
          </cell>
          <cell r="S13955">
            <v>222001</v>
          </cell>
        </row>
        <row r="13956">
          <cell r="K13956" t="str">
            <v>228001</v>
          </cell>
          <cell r="M13956">
            <v>15</v>
          </cell>
          <cell r="R13956">
            <v>45968</v>
          </cell>
          <cell r="S13956">
            <v>228001</v>
          </cell>
        </row>
        <row r="13957">
          <cell r="K13957" t="str">
            <v>201011</v>
          </cell>
          <cell r="M13957">
            <v>6</v>
          </cell>
          <cell r="R13957">
            <v>45968</v>
          </cell>
          <cell r="S13957">
            <v>201011</v>
          </cell>
        </row>
        <row r="13958">
          <cell r="K13958" t="str">
            <v>201011</v>
          </cell>
          <cell r="M13958">
            <v>20</v>
          </cell>
          <cell r="R13958">
            <v>45968</v>
          </cell>
          <cell r="S13958">
            <v>201011</v>
          </cell>
        </row>
        <row r="13959">
          <cell r="K13959" t="str">
            <v>210014</v>
          </cell>
          <cell r="M13959">
            <v>3</v>
          </cell>
          <cell r="R13959">
            <v>45968</v>
          </cell>
          <cell r="S13959">
            <v>210014</v>
          </cell>
        </row>
        <row r="13960">
          <cell r="K13960" t="str">
            <v>212002</v>
          </cell>
          <cell r="M13960">
            <v>1</v>
          </cell>
          <cell r="R13960">
            <v>45968</v>
          </cell>
          <cell r="S13960">
            <v>212002</v>
          </cell>
        </row>
        <row r="13961">
          <cell r="K13961" t="str">
            <v>213006</v>
          </cell>
          <cell r="M13961">
            <v>2</v>
          </cell>
          <cell r="R13961">
            <v>45968</v>
          </cell>
          <cell r="S13961">
            <v>213006</v>
          </cell>
        </row>
        <row r="13962">
          <cell r="K13962" t="str">
            <v>220003</v>
          </cell>
          <cell r="M13962">
            <v>20</v>
          </cell>
          <cell r="R13962">
            <v>45968</v>
          </cell>
          <cell r="S13962">
            <v>220003</v>
          </cell>
        </row>
        <row r="13963">
          <cell r="K13963" t="str">
            <v>223002</v>
          </cell>
          <cell r="M13963">
            <v>10</v>
          </cell>
          <cell r="R13963">
            <v>45968</v>
          </cell>
          <cell r="S13963">
            <v>223002</v>
          </cell>
        </row>
        <row r="13964">
          <cell r="K13964" t="str">
            <v>212035</v>
          </cell>
          <cell r="M13964">
            <v>7</v>
          </cell>
          <cell r="R13964">
            <v>45968</v>
          </cell>
          <cell r="S13964">
            <v>212035</v>
          </cell>
        </row>
        <row r="13965">
          <cell r="K13965" t="str">
            <v>201011</v>
          </cell>
          <cell r="M13965">
            <v>1</v>
          </cell>
          <cell r="R13965">
            <v>45968</v>
          </cell>
          <cell r="S13965">
            <v>201011</v>
          </cell>
        </row>
        <row r="13966">
          <cell r="K13966" t="str">
            <v>226001</v>
          </cell>
          <cell r="M13966">
            <v>1</v>
          </cell>
          <cell r="R13966">
            <v>45968</v>
          </cell>
          <cell r="S13966">
            <v>226001</v>
          </cell>
        </row>
        <row r="13967">
          <cell r="K13967" t="str">
            <v>226026</v>
          </cell>
          <cell r="M13967">
            <v>1</v>
          </cell>
          <cell r="R13967">
            <v>45968</v>
          </cell>
          <cell r="S13967">
            <v>226026</v>
          </cell>
        </row>
        <row r="13968">
          <cell r="K13968" t="str">
            <v>226001</v>
          </cell>
          <cell r="M13968">
            <v>1</v>
          </cell>
          <cell r="R13968">
            <v>45968</v>
          </cell>
          <cell r="S13968">
            <v>226001</v>
          </cell>
        </row>
        <row r="13969">
          <cell r="K13969" t="str">
            <v>223001</v>
          </cell>
          <cell r="M13969">
            <v>4</v>
          </cell>
          <cell r="R13969">
            <v>45968</v>
          </cell>
          <cell r="S13969">
            <v>223001</v>
          </cell>
        </row>
        <row r="13970">
          <cell r="K13970" t="str">
            <v>201011</v>
          </cell>
          <cell r="M13970">
            <v>1</v>
          </cell>
          <cell r="R13970">
            <v>45968</v>
          </cell>
          <cell r="S13970">
            <v>201011</v>
          </cell>
        </row>
        <row r="13971">
          <cell r="K13971" t="str">
            <v>228001</v>
          </cell>
          <cell r="M13971">
            <v>1</v>
          </cell>
          <cell r="R13971">
            <v>45968</v>
          </cell>
          <cell r="S13971">
            <v>228001</v>
          </cell>
        </row>
        <row r="13972">
          <cell r="K13972" t="str">
            <v>217006</v>
          </cell>
          <cell r="M13972">
            <v>1</v>
          </cell>
          <cell r="R13972">
            <v>45968</v>
          </cell>
          <cell r="S13972">
            <v>217006</v>
          </cell>
        </row>
        <row r="13973">
          <cell r="K13973" t="str">
            <v>223001</v>
          </cell>
          <cell r="M13973">
            <v>1</v>
          </cell>
          <cell r="R13973">
            <v>45968</v>
          </cell>
          <cell r="S13973">
            <v>223001</v>
          </cell>
        </row>
        <row r="13974">
          <cell r="K13974" t="str">
            <v>213002</v>
          </cell>
          <cell r="M13974">
            <v>10</v>
          </cell>
          <cell r="R13974">
            <v>45968</v>
          </cell>
          <cell r="S13974">
            <v>213002</v>
          </cell>
        </row>
        <row r="13975">
          <cell r="K13975" t="str">
            <v>209004</v>
          </cell>
          <cell r="M13975">
            <v>1</v>
          </cell>
          <cell r="R13975">
            <v>45968</v>
          </cell>
          <cell r="S13975">
            <v>209004</v>
          </cell>
        </row>
        <row r="13976">
          <cell r="K13976" t="str">
            <v>228001</v>
          </cell>
          <cell r="M13976">
            <v>15</v>
          </cell>
          <cell r="R13976">
            <v>45970</v>
          </cell>
          <cell r="S13976">
            <v>228001</v>
          </cell>
        </row>
        <row r="13977">
          <cell r="K13977" t="str">
            <v>209016</v>
          </cell>
          <cell r="M13977">
            <v>2</v>
          </cell>
          <cell r="R13977">
            <v>45970</v>
          </cell>
          <cell r="S13977">
            <v>209016</v>
          </cell>
        </row>
        <row r="13978">
          <cell r="K13978" t="str">
            <v>201011</v>
          </cell>
          <cell r="M13978">
            <v>6</v>
          </cell>
          <cell r="R13978">
            <v>45970</v>
          </cell>
          <cell r="S13978">
            <v>201011</v>
          </cell>
        </row>
        <row r="13979">
          <cell r="K13979" t="str">
            <v>223001</v>
          </cell>
          <cell r="M13979">
            <v>12</v>
          </cell>
          <cell r="R13979">
            <v>45970</v>
          </cell>
          <cell r="S13979">
            <v>223001</v>
          </cell>
        </row>
        <row r="13980">
          <cell r="K13980" t="str">
            <v>223003</v>
          </cell>
          <cell r="M13980">
            <v>8</v>
          </cell>
          <cell r="R13980">
            <v>45970</v>
          </cell>
          <cell r="S13980">
            <v>223003</v>
          </cell>
        </row>
        <row r="13981">
          <cell r="K13981" t="str">
            <v>223006</v>
          </cell>
          <cell r="M13981">
            <v>6</v>
          </cell>
          <cell r="R13981">
            <v>45970</v>
          </cell>
          <cell r="S13981">
            <v>223006</v>
          </cell>
        </row>
        <row r="13982">
          <cell r="K13982" t="str">
            <v>217022</v>
          </cell>
          <cell r="M13982">
            <v>5</v>
          </cell>
          <cell r="R13982">
            <v>45970</v>
          </cell>
          <cell r="S13982">
            <v>217022</v>
          </cell>
        </row>
        <row r="13983">
          <cell r="K13983" t="str">
            <v>241001</v>
          </cell>
          <cell r="M13983">
            <v>10</v>
          </cell>
          <cell r="R13983">
            <v>45970</v>
          </cell>
          <cell r="S13983">
            <v>241001</v>
          </cell>
        </row>
        <row r="13984">
          <cell r="K13984" t="str">
            <v>222001</v>
          </cell>
          <cell r="M13984">
            <v>1</v>
          </cell>
          <cell r="R13984">
            <v>45970</v>
          </cell>
          <cell r="S13984">
            <v>222001</v>
          </cell>
        </row>
        <row r="13985">
          <cell r="K13985" t="str">
            <v>210013</v>
          </cell>
          <cell r="M13985">
            <v>1</v>
          </cell>
          <cell r="R13985">
            <v>45970</v>
          </cell>
          <cell r="S13985">
            <v>210013</v>
          </cell>
        </row>
        <row r="13986">
          <cell r="K13986" t="str">
            <v>209001</v>
          </cell>
          <cell r="M13986">
            <v>2</v>
          </cell>
          <cell r="R13986">
            <v>45970</v>
          </cell>
          <cell r="S13986">
            <v>209001</v>
          </cell>
        </row>
        <row r="13987">
          <cell r="K13987" t="str">
            <v>222005</v>
          </cell>
          <cell r="M13987">
            <v>1</v>
          </cell>
          <cell r="R13987">
            <v>45970</v>
          </cell>
          <cell r="S13987">
            <v>222005</v>
          </cell>
        </row>
        <row r="13988">
          <cell r="K13988" t="str">
            <v>201011</v>
          </cell>
          <cell r="M13988">
            <v>4</v>
          </cell>
          <cell r="R13988">
            <v>45970</v>
          </cell>
          <cell r="S13988">
            <v>201011</v>
          </cell>
        </row>
        <row r="13989">
          <cell r="K13989" t="str">
            <v>241001</v>
          </cell>
          <cell r="M13989">
            <v>3</v>
          </cell>
          <cell r="R13989">
            <v>45970</v>
          </cell>
          <cell r="S13989">
            <v>241001</v>
          </cell>
        </row>
        <row r="13990">
          <cell r="K13990" t="str">
            <v>201011</v>
          </cell>
          <cell r="M13990">
            <v>3</v>
          </cell>
          <cell r="R13990">
            <v>45970</v>
          </cell>
          <cell r="S13990">
            <v>201011</v>
          </cell>
        </row>
        <row r="13991">
          <cell r="K13991" t="str">
            <v>228001</v>
          </cell>
          <cell r="M13991">
            <v>1</v>
          </cell>
          <cell r="R13991">
            <v>45971</v>
          </cell>
          <cell r="S13991">
            <v>228001</v>
          </cell>
        </row>
        <row r="13992">
          <cell r="K13992" t="str">
            <v>231010</v>
          </cell>
          <cell r="M13992">
            <v>4</v>
          </cell>
          <cell r="R13992">
            <v>45971</v>
          </cell>
          <cell r="S13992">
            <v>231010</v>
          </cell>
        </row>
        <row r="13993">
          <cell r="K13993" t="str">
            <v>223002</v>
          </cell>
          <cell r="M13993">
            <v>3</v>
          </cell>
          <cell r="R13993">
            <v>45971</v>
          </cell>
          <cell r="S13993">
            <v>223002</v>
          </cell>
        </row>
        <row r="13994">
          <cell r="K13994" t="str">
            <v>223001</v>
          </cell>
          <cell r="M13994">
            <v>15</v>
          </cell>
          <cell r="R13994">
            <v>45971</v>
          </cell>
          <cell r="S13994">
            <v>223001</v>
          </cell>
        </row>
        <row r="13995">
          <cell r="K13995" t="str">
            <v>227012</v>
          </cell>
          <cell r="M13995">
            <v>1</v>
          </cell>
          <cell r="R13995">
            <v>45971</v>
          </cell>
          <cell r="S13995">
            <v>227012</v>
          </cell>
        </row>
        <row r="13996">
          <cell r="K13996" t="str">
            <v>209022</v>
          </cell>
          <cell r="M13996">
            <v>4</v>
          </cell>
          <cell r="R13996">
            <v>45971</v>
          </cell>
          <cell r="S13996">
            <v>209022</v>
          </cell>
        </row>
        <row r="13997">
          <cell r="K13997" t="str">
            <v>220002</v>
          </cell>
          <cell r="M13997">
            <v>1</v>
          </cell>
          <cell r="R13997">
            <v>45971</v>
          </cell>
          <cell r="S13997">
            <v>220002</v>
          </cell>
        </row>
        <row r="13998">
          <cell r="K13998" t="str">
            <v>223001</v>
          </cell>
          <cell r="M13998">
            <v>1</v>
          </cell>
          <cell r="R13998">
            <v>45971</v>
          </cell>
          <cell r="S13998">
            <v>223001</v>
          </cell>
        </row>
        <row r="13999">
          <cell r="K13999" t="str">
            <v>223005</v>
          </cell>
          <cell r="M13999">
            <v>1</v>
          </cell>
          <cell r="R13999">
            <v>45971</v>
          </cell>
          <cell r="S13999">
            <v>223005</v>
          </cell>
        </row>
        <row r="14000">
          <cell r="K14000" t="str">
            <v>207017</v>
          </cell>
          <cell r="M14000">
            <v>1</v>
          </cell>
          <cell r="R14000">
            <v>45971</v>
          </cell>
          <cell r="S14000">
            <v>207017</v>
          </cell>
        </row>
        <row r="14001">
          <cell r="K14001" t="str">
            <v>228001</v>
          </cell>
          <cell r="M14001">
            <v>30</v>
          </cell>
          <cell r="R14001">
            <v>45971</v>
          </cell>
          <cell r="S14001">
            <v>228001</v>
          </cell>
        </row>
        <row r="14002">
          <cell r="K14002" t="str">
            <v>227002</v>
          </cell>
          <cell r="M14002">
            <v>2</v>
          </cell>
          <cell r="R14002">
            <v>45971</v>
          </cell>
          <cell r="S14002">
            <v>227002</v>
          </cell>
        </row>
        <row r="14003">
          <cell r="K14003" t="str">
            <v>210014</v>
          </cell>
          <cell r="M14003">
            <v>2</v>
          </cell>
          <cell r="R14003">
            <v>45971</v>
          </cell>
          <cell r="S14003">
            <v>210014</v>
          </cell>
        </row>
        <row r="14004">
          <cell r="K14004" t="str">
            <v>217023</v>
          </cell>
          <cell r="M14004">
            <v>1</v>
          </cell>
          <cell r="R14004">
            <v>45971</v>
          </cell>
          <cell r="S14004">
            <v>217023</v>
          </cell>
        </row>
        <row r="14005">
          <cell r="K14005" t="str">
            <v>209004</v>
          </cell>
          <cell r="M14005">
            <v>1</v>
          </cell>
          <cell r="R14005">
            <v>45971</v>
          </cell>
          <cell r="S14005">
            <v>209004</v>
          </cell>
        </row>
        <row r="14006">
          <cell r="K14006" t="str">
            <v>212035</v>
          </cell>
          <cell r="M14006">
            <v>2</v>
          </cell>
          <cell r="R14006">
            <v>45968</v>
          </cell>
          <cell r="S14006">
            <v>212035</v>
          </cell>
        </row>
        <row r="14007">
          <cell r="K14007" t="str">
            <v>201011</v>
          </cell>
          <cell r="M14007">
            <v>3</v>
          </cell>
          <cell r="R14007">
            <v>45971</v>
          </cell>
          <cell r="S14007">
            <v>201011</v>
          </cell>
        </row>
        <row r="14008">
          <cell r="K14008" t="str">
            <v>210014</v>
          </cell>
          <cell r="M14008">
            <v>1</v>
          </cell>
          <cell r="R14008">
            <v>45971</v>
          </cell>
          <cell r="S14008">
            <v>210014</v>
          </cell>
        </row>
        <row r="14009">
          <cell r="K14009" t="str">
            <v>228001</v>
          </cell>
          <cell r="M14009">
            <v>4</v>
          </cell>
          <cell r="R14009">
            <v>45970</v>
          </cell>
          <cell r="S14009">
            <v>228001</v>
          </cell>
        </row>
        <row r="14010">
          <cell r="K14010" t="str">
            <v>217019</v>
          </cell>
          <cell r="M14010">
            <v>13</v>
          </cell>
          <cell r="R14010">
            <v>45970</v>
          </cell>
          <cell r="S14010">
            <v>217019</v>
          </cell>
        </row>
        <row r="14011">
          <cell r="K14011" t="str">
            <v>228001</v>
          </cell>
          <cell r="M14011">
            <v>1</v>
          </cell>
          <cell r="R14011">
            <v>45970</v>
          </cell>
          <cell r="S14011">
            <v>228001</v>
          </cell>
        </row>
        <row r="14012">
          <cell r="K14012" t="str">
            <v>220003</v>
          </cell>
          <cell r="M14012">
            <v>1</v>
          </cell>
          <cell r="R14012">
            <v>45971</v>
          </cell>
          <cell r="S14012">
            <v>220003</v>
          </cell>
        </row>
        <row r="14013">
          <cell r="K14013" t="str">
            <v>227001</v>
          </cell>
          <cell r="M14013">
            <v>2</v>
          </cell>
          <cell r="R14013">
            <v>45971</v>
          </cell>
          <cell r="S14013">
            <v>227001</v>
          </cell>
        </row>
        <row r="14014">
          <cell r="K14014" t="str">
            <v>213005</v>
          </cell>
          <cell r="M14014">
            <v>1</v>
          </cell>
          <cell r="R14014">
            <v>45971</v>
          </cell>
          <cell r="S14014">
            <v>213005</v>
          </cell>
        </row>
        <row r="14015">
          <cell r="K14015" t="str">
            <v>209004</v>
          </cell>
          <cell r="M14015">
            <v>2</v>
          </cell>
          <cell r="R14015">
            <v>45971</v>
          </cell>
          <cell r="S14015">
            <v>209004</v>
          </cell>
        </row>
        <row r="14016">
          <cell r="K14016" t="str">
            <v>229004</v>
          </cell>
          <cell r="M14016">
            <v>3</v>
          </cell>
          <cell r="R14016">
            <v>45971</v>
          </cell>
          <cell r="S14016">
            <v>229004</v>
          </cell>
        </row>
        <row r="14017">
          <cell r="K14017" t="str">
            <v>228001</v>
          </cell>
          <cell r="M14017">
            <v>1</v>
          </cell>
          <cell r="R14017">
            <v>45971</v>
          </cell>
          <cell r="S14017">
            <v>228001</v>
          </cell>
        </row>
        <row r="14018">
          <cell r="K14018" t="str">
            <v>228001</v>
          </cell>
          <cell r="M14018">
            <v>3</v>
          </cell>
          <cell r="R14018">
            <v>45971</v>
          </cell>
          <cell r="S14018">
            <v>228001</v>
          </cell>
        </row>
        <row r="14019">
          <cell r="K14019" t="str">
            <v>220002</v>
          </cell>
          <cell r="M14019">
            <v>1</v>
          </cell>
          <cell r="R14019">
            <v>45971</v>
          </cell>
          <cell r="S14019">
            <v>220002</v>
          </cell>
        </row>
        <row r="14020">
          <cell r="K14020" t="str">
            <v>241001</v>
          </cell>
          <cell r="M14020">
            <v>10</v>
          </cell>
          <cell r="R14020">
            <v>45971</v>
          </cell>
          <cell r="S14020">
            <v>241001</v>
          </cell>
        </row>
        <row r="14021">
          <cell r="K14021" t="str">
            <v>228001</v>
          </cell>
          <cell r="M14021">
            <v>3</v>
          </cell>
          <cell r="R14021">
            <v>45971</v>
          </cell>
          <cell r="S14021">
            <v>228001</v>
          </cell>
        </row>
        <row r="14022">
          <cell r="K14022" t="str">
            <v>222001</v>
          </cell>
          <cell r="M14022">
            <v>1</v>
          </cell>
          <cell r="R14022">
            <v>45971</v>
          </cell>
          <cell r="S14022">
            <v>222001</v>
          </cell>
        </row>
        <row r="14023">
          <cell r="K14023" t="str">
            <v>229001</v>
          </cell>
          <cell r="M14023">
            <v>9</v>
          </cell>
          <cell r="R14023">
            <v>45971</v>
          </cell>
          <cell r="S14023">
            <v>229001</v>
          </cell>
        </row>
        <row r="14024">
          <cell r="K14024" t="str">
            <v>229004</v>
          </cell>
          <cell r="M14024">
            <v>1</v>
          </cell>
          <cell r="R14024">
            <v>45971</v>
          </cell>
          <cell r="S14024">
            <v>229004</v>
          </cell>
        </row>
        <row r="14025">
          <cell r="K14025" t="str">
            <v>201011</v>
          </cell>
          <cell r="M14025">
            <v>3</v>
          </cell>
          <cell r="R14025">
            <v>45971</v>
          </cell>
          <cell r="S14025">
            <v>201011</v>
          </cell>
        </row>
        <row r="14026">
          <cell r="K14026" t="str">
            <v>213002</v>
          </cell>
          <cell r="M14026">
            <v>4</v>
          </cell>
          <cell r="R14026">
            <v>45971</v>
          </cell>
          <cell r="S14026">
            <v>213002</v>
          </cell>
        </row>
        <row r="14027">
          <cell r="K14027" t="str">
            <v>228001</v>
          </cell>
          <cell r="M14027">
            <v>5</v>
          </cell>
          <cell r="R14027">
            <v>45971</v>
          </cell>
          <cell r="S14027">
            <v>228001</v>
          </cell>
        </row>
        <row r="14028">
          <cell r="K14028" t="str">
            <v>210014</v>
          </cell>
          <cell r="M14028">
            <v>1</v>
          </cell>
          <cell r="R14028">
            <v>45971</v>
          </cell>
          <cell r="S14028">
            <v>210014</v>
          </cell>
        </row>
        <row r="14029">
          <cell r="K14029" t="str">
            <v>201011</v>
          </cell>
          <cell r="M14029">
            <v>3</v>
          </cell>
          <cell r="R14029">
            <v>45971</v>
          </cell>
          <cell r="S14029">
            <v>201011</v>
          </cell>
        </row>
        <row r="14030">
          <cell r="K14030" t="str">
            <v>213002</v>
          </cell>
          <cell r="M14030">
            <v>6</v>
          </cell>
          <cell r="R14030">
            <v>45971</v>
          </cell>
          <cell r="S14030">
            <v>213002</v>
          </cell>
        </row>
        <row r="14031">
          <cell r="K14031" t="str">
            <v>213002</v>
          </cell>
          <cell r="M14031">
            <v>5</v>
          </cell>
          <cell r="R14031">
            <v>45971</v>
          </cell>
          <cell r="S14031">
            <v>213002</v>
          </cell>
        </row>
        <row r="14032">
          <cell r="K14032" t="str">
            <v>213002</v>
          </cell>
          <cell r="M14032">
            <v>12</v>
          </cell>
          <cell r="R14032">
            <v>45971</v>
          </cell>
          <cell r="S14032">
            <v>213002</v>
          </cell>
        </row>
        <row r="14033">
          <cell r="K14033" t="str">
            <v>220003</v>
          </cell>
          <cell r="M14033">
            <v>1</v>
          </cell>
          <cell r="R14033">
            <v>45971</v>
          </cell>
          <cell r="S14033">
            <v>220003</v>
          </cell>
        </row>
        <row r="14034">
          <cell r="K14034" t="str">
            <v>231012</v>
          </cell>
          <cell r="M14034">
            <v>1</v>
          </cell>
          <cell r="R14034">
            <v>45971</v>
          </cell>
          <cell r="S14034">
            <v>231012</v>
          </cell>
        </row>
        <row r="14035">
          <cell r="K14035" t="str">
            <v>217006</v>
          </cell>
          <cell r="M14035">
            <v>2</v>
          </cell>
          <cell r="R14035">
            <v>45971</v>
          </cell>
          <cell r="S14035">
            <v>217006</v>
          </cell>
        </row>
        <row r="14036">
          <cell r="K14036" t="str">
            <v>201003</v>
          </cell>
          <cell r="M14036">
            <v>1</v>
          </cell>
          <cell r="R14036">
            <v>45971</v>
          </cell>
          <cell r="S14036">
            <v>201003</v>
          </cell>
        </row>
        <row r="14037">
          <cell r="K14037" t="str">
            <v>227014</v>
          </cell>
          <cell r="M14037">
            <v>1</v>
          </cell>
          <cell r="R14037">
            <v>45971</v>
          </cell>
          <cell r="S14037">
            <v>227014</v>
          </cell>
        </row>
        <row r="14038">
          <cell r="K14038" t="str">
            <v>223001</v>
          </cell>
          <cell r="M14038">
            <v>3</v>
          </cell>
          <cell r="R14038">
            <v>45971</v>
          </cell>
          <cell r="S14038">
            <v>223001</v>
          </cell>
        </row>
        <row r="14039">
          <cell r="K14039" t="str">
            <v>226001</v>
          </cell>
          <cell r="M14039">
            <v>1</v>
          </cell>
          <cell r="R14039">
            <v>45971</v>
          </cell>
          <cell r="S14039">
            <v>226001</v>
          </cell>
        </row>
        <row r="14040">
          <cell r="K14040" t="str">
            <v>226001</v>
          </cell>
          <cell r="M14040">
            <v>3</v>
          </cell>
          <cell r="R14040">
            <v>45971</v>
          </cell>
          <cell r="S14040">
            <v>226001</v>
          </cell>
        </row>
        <row r="14041">
          <cell r="K14041" t="str">
            <v>226026</v>
          </cell>
          <cell r="M14041">
            <v>1</v>
          </cell>
          <cell r="R14041">
            <v>45971</v>
          </cell>
          <cell r="S14041">
            <v>226026</v>
          </cell>
        </row>
        <row r="14042">
          <cell r="K14042" t="str">
            <v>203003</v>
          </cell>
          <cell r="M14042">
            <v>3</v>
          </cell>
          <cell r="R14042">
            <v>45971</v>
          </cell>
          <cell r="S14042">
            <v>203003</v>
          </cell>
        </row>
        <row r="14043">
          <cell r="K14043" t="str">
            <v>231012</v>
          </cell>
          <cell r="M14043">
            <v>2</v>
          </cell>
          <cell r="R14043">
            <v>45971</v>
          </cell>
          <cell r="S14043">
            <v>231012</v>
          </cell>
        </row>
        <row r="14044">
          <cell r="K14044" t="str">
            <v>213002</v>
          </cell>
          <cell r="M14044">
            <v>1</v>
          </cell>
          <cell r="R14044">
            <v>45971</v>
          </cell>
          <cell r="S14044">
            <v>213002</v>
          </cell>
        </row>
        <row r="14045">
          <cell r="K14045" t="str">
            <v>226001</v>
          </cell>
          <cell r="M14045">
            <v>1</v>
          </cell>
          <cell r="R14045">
            <v>45971</v>
          </cell>
          <cell r="S14045">
            <v>226001</v>
          </cell>
        </row>
        <row r="14046">
          <cell r="K14046" t="str">
            <v>228001</v>
          </cell>
          <cell r="M14046">
            <v>2</v>
          </cell>
          <cell r="R14046">
            <v>45971</v>
          </cell>
          <cell r="S14046">
            <v>228001</v>
          </cell>
        </row>
        <row r="14047">
          <cell r="K14047" t="str">
            <v>231012</v>
          </cell>
          <cell r="M14047">
            <v>1</v>
          </cell>
          <cell r="R14047">
            <v>45971</v>
          </cell>
          <cell r="S14047">
            <v>231012</v>
          </cell>
        </row>
        <row r="14048">
          <cell r="K14048" t="str">
            <v>203001</v>
          </cell>
          <cell r="M14048">
            <v>1</v>
          </cell>
          <cell r="R14048">
            <v>45971</v>
          </cell>
          <cell r="S14048">
            <v>203001</v>
          </cell>
        </row>
        <row r="14049">
          <cell r="K14049" t="str">
            <v>207017</v>
          </cell>
          <cell r="M14049">
            <v>1</v>
          </cell>
          <cell r="R14049">
            <v>45971</v>
          </cell>
          <cell r="S14049">
            <v>207017</v>
          </cell>
        </row>
        <row r="14050">
          <cell r="K14050" t="str">
            <v>212002</v>
          </cell>
          <cell r="M14050">
            <v>1</v>
          </cell>
          <cell r="R14050">
            <v>45971</v>
          </cell>
          <cell r="S14050">
            <v>212002</v>
          </cell>
        </row>
        <row r="14051">
          <cell r="K14051" t="str">
            <v>228001</v>
          </cell>
          <cell r="M14051">
            <v>2</v>
          </cell>
          <cell r="R14051">
            <v>45971</v>
          </cell>
          <cell r="S14051">
            <v>228001</v>
          </cell>
        </row>
        <row r="14052">
          <cell r="K14052" t="str">
            <v>231012</v>
          </cell>
          <cell r="M14052">
            <v>1</v>
          </cell>
          <cell r="R14052">
            <v>45971</v>
          </cell>
          <cell r="S14052">
            <v>231012</v>
          </cell>
        </row>
        <row r="14053">
          <cell r="K14053" t="str">
            <v>212002</v>
          </cell>
          <cell r="M14053">
            <v>1</v>
          </cell>
          <cell r="R14053">
            <v>45971</v>
          </cell>
          <cell r="S14053">
            <v>212002</v>
          </cell>
        </row>
        <row r="14054">
          <cell r="K14054" t="str">
            <v>209004</v>
          </cell>
          <cell r="M14054">
            <v>1</v>
          </cell>
          <cell r="R14054">
            <v>45971</v>
          </cell>
          <cell r="S14054">
            <v>209004</v>
          </cell>
        </row>
        <row r="14055">
          <cell r="K14055" t="str">
            <v>218003</v>
          </cell>
          <cell r="M14055">
            <v>1</v>
          </cell>
          <cell r="R14055">
            <v>45971</v>
          </cell>
          <cell r="S14055">
            <v>218003</v>
          </cell>
        </row>
        <row r="14056">
          <cell r="K14056" t="str">
            <v>207017</v>
          </cell>
          <cell r="M14056">
            <v>1</v>
          </cell>
          <cell r="R14056">
            <v>45971</v>
          </cell>
          <cell r="S14056">
            <v>207017</v>
          </cell>
        </row>
        <row r="14057">
          <cell r="K14057" t="str">
            <v>224001</v>
          </cell>
          <cell r="M14057">
            <v>1</v>
          </cell>
          <cell r="R14057">
            <v>45971</v>
          </cell>
          <cell r="S14057">
            <v>224001</v>
          </cell>
        </row>
        <row r="14058">
          <cell r="K14058" t="str">
            <v>201011</v>
          </cell>
          <cell r="M14058">
            <v>8</v>
          </cell>
          <cell r="R14058">
            <v>45971</v>
          </cell>
          <cell r="S14058">
            <v>201011</v>
          </cell>
        </row>
        <row r="14059">
          <cell r="K14059" t="str">
            <v>223001</v>
          </cell>
          <cell r="M14059">
            <v>2</v>
          </cell>
          <cell r="R14059">
            <v>45971</v>
          </cell>
          <cell r="S14059">
            <v>223001</v>
          </cell>
        </row>
        <row r="14060">
          <cell r="K14060" t="str">
            <v>223002</v>
          </cell>
          <cell r="M14060">
            <v>1</v>
          </cell>
          <cell r="R14060">
            <v>45971</v>
          </cell>
          <cell r="S14060">
            <v>223002</v>
          </cell>
        </row>
        <row r="14061">
          <cell r="K14061" t="str">
            <v>201003</v>
          </cell>
          <cell r="M14061">
            <v>3</v>
          </cell>
          <cell r="R14061">
            <v>45971</v>
          </cell>
          <cell r="S14061">
            <v>201003</v>
          </cell>
        </row>
        <row r="14062">
          <cell r="K14062" t="str">
            <v>201011</v>
          </cell>
          <cell r="M14062">
            <v>1</v>
          </cell>
          <cell r="R14062">
            <v>45971</v>
          </cell>
          <cell r="S14062">
            <v>201011</v>
          </cell>
        </row>
        <row r="14063">
          <cell r="K14063" t="str">
            <v>220003</v>
          </cell>
          <cell r="M14063">
            <v>1</v>
          </cell>
          <cell r="R14063">
            <v>45971</v>
          </cell>
          <cell r="S14063">
            <v>220003</v>
          </cell>
        </row>
        <row r="14064">
          <cell r="K14064" t="str">
            <v>231010</v>
          </cell>
          <cell r="M14064">
            <v>2</v>
          </cell>
          <cell r="R14064">
            <v>45971</v>
          </cell>
          <cell r="S14064">
            <v>231010</v>
          </cell>
        </row>
        <row r="14065">
          <cell r="K14065" t="str">
            <v>203003</v>
          </cell>
          <cell r="M14065">
            <v>4</v>
          </cell>
          <cell r="R14065">
            <v>45971</v>
          </cell>
          <cell r="S14065">
            <v>203003</v>
          </cell>
        </row>
        <row r="14066">
          <cell r="K14066" t="str">
            <v>234001</v>
          </cell>
          <cell r="M14066">
            <v>2</v>
          </cell>
          <cell r="R14066">
            <v>45971</v>
          </cell>
          <cell r="S14066">
            <v>234001</v>
          </cell>
        </row>
        <row r="14067">
          <cell r="K14067" t="str">
            <v>212035</v>
          </cell>
          <cell r="M14067">
            <v>2</v>
          </cell>
          <cell r="R14067">
            <v>45971</v>
          </cell>
          <cell r="S14067">
            <v>212035</v>
          </cell>
        </row>
        <row r="14068">
          <cell r="K14068" t="str">
            <v>201003</v>
          </cell>
          <cell r="M14068">
            <v>2</v>
          </cell>
          <cell r="R14068">
            <v>45971</v>
          </cell>
          <cell r="S14068">
            <v>201003</v>
          </cell>
        </row>
        <row r="14069">
          <cell r="K14069" t="str">
            <v>220002</v>
          </cell>
          <cell r="M14069">
            <v>2</v>
          </cell>
          <cell r="R14069">
            <v>45971</v>
          </cell>
          <cell r="S14069">
            <v>220002</v>
          </cell>
        </row>
        <row r="14070">
          <cell r="K14070" t="str">
            <v>226001</v>
          </cell>
          <cell r="M14070">
            <v>2</v>
          </cell>
          <cell r="R14070">
            <v>45971</v>
          </cell>
          <cell r="S14070">
            <v>226001</v>
          </cell>
        </row>
        <row r="14071">
          <cell r="K14071" t="str">
            <v>213002</v>
          </cell>
          <cell r="M14071">
            <v>56</v>
          </cell>
          <cell r="R14071">
            <v>45971</v>
          </cell>
          <cell r="S14071">
            <v>213002</v>
          </cell>
        </row>
        <row r="14072">
          <cell r="K14072" t="str">
            <v>223002</v>
          </cell>
          <cell r="M14072">
            <v>10</v>
          </cell>
          <cell r="R14072">
            <v>45971</v>
          </cell>
          <cell r="S14072">
            <v>223002</v>
          </cell>
        </row>
        <row r="14073">
          <cell r="K14073" t="str">
            <v>223001</v>
          </cell>
          <cell r="M14073">
            <v>2</v>
          </cell>
          <cell r="R14073">
            <v>45971</v>
          </cell>
          <cell r="S14073">
            <v>223001</v>
          </cell>
        </row>
        <row r="14074">
          <cell r="K14074" t="str">
            <v>231012</v>
          </cell>
          <cell r="M14074">
            <v>1</v>
          </cell>
          <cell r="R14074">
            <v>45971</v>
          </cell>
          <cell r="S14074">
            <v>231012</v>
          </cell>
        </row>
        <row r="14075">
          <cell r="K14075" t="str">
            <v>227012</v>
          </cell>
          <cell r="M14075">
            <v>4</v>
          </cell>
          <cell r="R14075">
            <v>45971</v>
          </cell>
          <cell r="S14075">
            <v>227012</v>
          </cell>
        </row>
        <row r="14076">
          <cell r="K14076" t="str">
            <v>213005</v>
          </cell>
          <cell r="M14076">
            <v>1</v>
          </cell>
          <cell r="R14076">
            <v>45971</v>
          </cell>
          <cell r="S14076">
            <v>213005</v>
          </cell>
        </row>
        <row r="14077">
          <cell r="K14077" t="str">
            <v>212035</v>
          </cell>
          <cell r="M14077">
            <v>4</v>
          </cell>
          <cell r="R14077">
            <v>45971</v>
          </cell>
          <cell r="S14077">
            <v>212035</v>
          </cell>
        </row>
        <row r="14078">
          <cell r="K14078" t="str">
            <v>208001</v>
          </cell>
          <cell r="M14078">
            <v>1</v>
          </cell>
          <cell r="R14078">
            <v>45971</v>
          </cell>
          <cell r="S14078">
            <v>208001</v>
          </cell>
        </row>
        <row r="14079">
          <cell r="K14079" t="str">
            <v>206002</v>
          </cell>
          <cell r="M14079">
            <v>1</v>
          </cell>
          <cell r="R14079">
            <v>45971</v>
          </cell>
          <cell r="S14079">
            <v>206002</v>
          </cell>
        </row>
        <row r="14080">
          <cell r="K14080" t="str">
            <v>226001</v>
          </cell>
          <cell r="M14080">
            <v>1</v>
          </cell>
          <cell r="R14080">
            <v>45971</v>
          </cell>
          <cell r="S14080">
            <v>226001</v>
          </cell>
        </row>
        <row r="14081">
          <cell r="K14081" t="str">
            <v>217021</v>
          </cell>
          <cell r="M14081">
            <v>1</v>
          </cell>
          <cell r="R14081">
            <v>45971</v>
          </cell>
          <cell r="S14081">
            <v>217021</v>
          </cell>
        </row>
        <row r="14082">
          <cell r="K14082" t="str">
            <v>201004</v>
          </cell>
          <cell r="M14082">
            <v>3</v>
          </cell>
          <cell r="R14082">
            <v>45971</v>
          </cell>
          <cell r="S14082">
            <v>201004</v>
          </cell>
        </row>
        <row r="14083">
          <cell r="K14083" t="str">
            <v>228001</v>
          </cell>
          <cell r="M14083">
            <v>3</v>
          </cell>
          <cell r="R14083">
            <v>45971</v>
          </cell>
          <cell r="S14083">
            <v>228001</v>
          </cell>
        </row>
        <row r="14084">
          <cell r="K14084" t="str">
            <v>201003</v>
          </cell>
          <cell r="M14084">
            <v>2</v>
          </cell>
          <cell r="R14084">
            <v>45971</v>
          </cell>
          <cell r="S14084">
            <v>201003</v>
          </cell>
        </row>
        <row r="14085">
          <cell r="K14085" t="str">
            <v>201021</v>
          </cell>
          <cell r="M14085">
            <v>2</v>
          </cell>
          <cell r="R14085">
            <v>45971</v>
          </cell>
          <cell r="S14085">
            <v>201021</v>
          </cell>
        </row>
        <row r="14086">
          <cell r="K14086" t="str">
            <v>213005</v>
          </cell>
          <cell r="M14086">
            <v>1</v>
          </cell>
          <cell r="R14086">
            <v>45971</v>
          </cell>
          <cell r="S14086">
            <v>213005</v>
          </cell>
        </row>
        <row r="14087">
          <cell r="K14087" t="str">
            <v>209004</v>
          </cell>
          <cell r="M14087">
            <v>3</v>
          </cell>
          <cell r="R14087">
            <v>45971</v>
          </cell>
          <cell r="S14087">
            <v>209004</v>
          </cell>
        </row>
        <row r="14088">
          <cell r="K14088" t="str">
            <v>228001</v>
          </cell>
          <cell r="M14088">
            <v>1</v>
          </cell>
          <cell r="R14088">
            <v>45971</v>
          </cell>
          <cell r="S14088">
            <v>228001</v>
          </cell>
        </row>
        <row r="14089">
          <cell r="K14089" t="str">
            <v>203003</v>
          </cell>
          <cell r="M14089">
            <v>2</v>
          </cell>
          <cell r="R14089">
            <v>45971</v>
          </cell>
          <cell r="S14089">
            <v>203003</v>
          </cell>
        </row>
        <row r="14090">
          <cell r="K14090" t="str">
            <v>223001</v>
          </cell>
          <cell r="M14090">
            <v>1</v>
          </cell>
          <cell r="R14090">
            <v>45971</v>
          </cell>
          <cell r="S14090">
            <v>223001</v>
          </cell>
        </row>
        <row r="14091">
          <cell r="K14091" t="str">
            <v>201005</v>
          </cell>
          <cell r="M14091">
            <v>2</v>
          </cell>
          <cell r="R14091">
            <v>45971</v>
          </cell>
          <cell r="S14091">
            <v>201005</v>
          </cell>
        </row>
        <row r="14092">
          <cell r="K14092" t="str">
            <v>201004</v>
          </cell>
          <cell r="M14092">
            <v>1</v>
          </cell>
          <cell r="R14092">
            <v>45971</v>
          </cell>
          <cell r="S14092">
            <v>201004</v>
          </cell>
        </row>
        <row r="14093">
          <cell r="K14093" t="str">
            <v>237001</v>
          </cell>
          <cell r="M14093">
            <v>2</v>
          </cell>
          <cell r="R14093">
            <v>45971</v>
          </cell>
          <cell r="S14093">
            <v>237001</v>
          </cell>
        </row>
        <row r="14094">
          <cell r="K14094" t="str">
            <v>201005</v>
          </cell>
          <cell r="M14094">
            <v>2</v>
          </cell>
          <cell r="R14094">
            <v>45971</v>
          </cell>
          <cell r="S14094">
            <v>201005</v>
          </cell>
        </row>
        <row r="14095">
          <cell r="K14095" t="str">
            <v>201004</v>
          </cell>
          <cell r="M14095">
            <v>2</v>
          </cell>
          <cell r="R14095">
            <v>45971</v>
          </cell>
          <cell r="S14095">
            <v>201004</v>
          </cell>
        </row>
        <row r="14096">
          <cell r="K14096" t="str">
            <v>237001</v>
          </cell>
          <cell r="M14096">
            <v>2</v>
          </cell>
          <cell r="R14096">
            <v>45971</v>
          </cell>
          <cell r="S14096">
            <v>237001</v>
          </cell>
        </row>
        <row r="14097">
          <cell r="K14097" t="str">
            <v>217019</v>
          </cell>
          <cell r="M14097">
            <v>7</v>
          </cell>
          <cell r="R14097">
            <v>45971</v>
          </cell>
          <cell r="S14097">
            <v>217019</v>
          </cell>
        </row>
        <row r="14098">
          <cell r="K14098" t="str">
            <v>209001</v>
          </cell>
          <cell r="M14098">
            <v>2</v>
          </cell>
          <cell r="R14098">
            <v>45971</v>
          </cell>
          <cell r="S14098">
            <v>209001</v>
          </cell>
        </row>
        <row r="14099">
          <cell r="K14099" t="str">
            <v>218003</v>
          </cell>
          <cell r="M14099">
            <v>1</v>
          </cell>
          <cell r="R14099">
            <v>45971</v>
          </cell>
          <cell r="S14099">
            <v>218003</v>
          </cell>
        </row>
        <row r="14100">
          <cell r="K14100" t="str">
            <v>203004</v>
          </cell>
          <cell r="M14100">
            <v>1</v>
          </cell>
          <cell r="R14100">
            <v>45971</v>
          </cell>
          <cell r="S14100">
            <v>203004</v>
          </cell>
        </row>
        <row r="14101">
          <cell r="K14101" t="str">
            <v>206006</v>
          </cell>
          <cell r="M14101">
            <v>1</v>
          </cell>
          <cell r="R14101">
            <v>45971</v>
          </cell>
          <cell r="S14101">
            <v>206006</v>
          </cell>
        </row>
        <row r="14102">
          <cell r="K14102" t="str">
            <v>206002</v>
          </cell>
          <cell r="M14102">
            <v>1</v>
          </cell>
          <cell r="R14102">
            <v>45971</v>
          </cell>
          <cell r="S14102">
            <v>206002</v>
          </cell>
        </row>
        <row r="14103">
          <cell r="K14103" t="str">
            <v>213018</v>
          </cell>
          <cell r="M14103">
            <v>1</v>
          </cell>
          <cell r="R14103">
            <v>45971</v>
          </cell>
          <cell r="S14103">
            <v>213018</v>
          </cell>
        </row>
        <row r="14104">
          <cell r="K14104" t="str">
            <v>223001</v>
          </cell>
          <cell r="M14104">
            <v>4</v>
          </cell>
          <cell r="R14104">
            <v>45971</v>
          </cell>
          <cell r="S14104">
            <v>223001</v>
          </cell>
        </row>
        <row r="14105">
          <cell r="K14105" t="str">
            <v>223002</v>
          </cell>
          <cell r="M14105">
            <v>1</v>
          </cell>
          <cell r="R14105">
            <v>45971</v>
          </cell>
          <cell r="S14105">
            <v>223002</v>
          </cell>
        </row>
        <row r="14106">
          <cell r="K14106" t="str">
            <v>201011</v>
          </cell>
          <cell r="M14106">
            <v>3</v>
          </cell>
          <cell r="R14106">
            <v>45971</v>
          </cell>
          <cell r="S14106">
            <v>201011</v>
          </cell>
        </row>
        <row r="14107">
          <cell r="K14107" t="str">
            <v>241001</v>
          </cell>
          <cell r="M14107">
            <v>1</v>
          </cell>
          <cell r="R14107">
            <v>45971</v>
          </cell>
          <cell r="S14107">
            <v>241001</v>
          </cell>
        </row>
        <row r="14108">
          <cell r="K14108" t="str">
            <v>209001</v>
          </cell>
          <cell r="M14108">
            <v>1</v>
          </cell>
          <cell r="R14108">
            <v>45971</v>
          </cell>
          <cell r="S14108">
            <v>209001</v>
          </cell>
        </row>
        <row r="14109">
          <cell r="K14109" t="str">
            <v>226009</v>
          </cell>
          <cell r="M14109">
            <v>1</v>
          </cell>
          <cell r="R14109">
            <v>45971</v>
          </cell>
          <cell r="S14109">
            <v>226009</v>
          </cell>
        </row>
        <row r="14110">
          <cell r="K14110" t="str">
            <v>241001</v>
          </cell>
          <cell r="M14110">
            <v>2</v>
          </cell>
          <cell r="R14110">
            <v>45971</v>
          </cell>
          <cell r="S14110">
            <v>241001</v>
          </cell>
        </row>
        <row r="14111">
          <cell r="K14111" t="str">
            <v>201011</v>
          </cell>
          <cell r="M14111">
            <v>4</v>
          </cell>
          <cell r="R14111">
            <v>45971</v>
          </cell>
          <cell r="S14111">
            <v>201011</v>
          </cell>
        </row>
        <row r="14112">
          <cell r="K14112" t="str">
            <v>241001</v>
          </cell>
          <cell r="M14112">
            <v>5</v>
          </cell>
          <cell r="R14112">
            <v>45971</v>
          </cell>
          <cell r="S14112">
            <v>241001</v>
          </cell>
        </row>
        <row r="14113">
          <cell r="K14113" t="str">
            <v>222007</v>
          </cell>
          <cell r="M14113">
            <v>2</v>
          </cell>
          <cell r="R14113">
            <v>45971</v>
          </cell>
          <cell r="S14113">
            <v>222007</v>
          </cell>
        </row>
        <row r="14114">
          <cell r="K14114" t="str">
            <v>213005</v>
          </cell>
          <cell r="M14114">
            <v>2</v>
          </cell>
          <cell r="R14114">
            <v>45971</v>
          </cell>
          <cell r="S14114">
            <v>213005</v>
          </cell>
        </row>
        <row r="14115">
          <cell r="K14115" t="str">
            <v>261004</v>
          </cell>
          <cell r="M14115">
            <v>1</v>
          </cell>
          <cell r="R14115">
            <v>45971</v>
          </cell>
          <cell r="S14115">
            <v>261004</v>
          </cell>
        </row>
        <row r="14116">
          <cell r="K14116" t="str">
            <v>223002</v>
          </cell>
          <cell r="M14116">
            <v>2</v>
          </cell>
          <cell r="R14116">
            <v>45971</v>
          </cell>
          <cell r="S14116">
            <v>223002</v>
          </cell>
        </row>
        <row r="14117">
          <cell r="K14117" t="str">
            <v>203003</v>
          </cell>
          <cell r="M14117">
            <v>1</v>
          </cell>
          <cell r="R14117">
            <v>45971</v>
          </cell>
          <cell r="S14117">
            <v>203003</v>
          </cell>
        </row>
        <row r="14118">
          <cell r="K14118" t="str">
            <v>228001</v>
          </cell>
          <cell r="M14118">
            <v>60</v>
          </cell>
          <cell r="R14118">
            <v>45971</v>
          </cell>
          <cell r="S14118">
            <v>228001</v>
          </cell>
        </row>
        <row r="14119">
          <cell r="K14119" t="str">
            <v>223002</v>
          </cell>
          <cell r="M14119">
            <v>2</v>
          </cell>
          <cell r="R14119">
            <v>45971</v>
          </cell>
          <cell r="S14119">
            <v>223002</v>
          </cell>
        </row>
        <row r="14120">
          <cell r="K14120" t="str">
            <v>231004</v>
          </cell>
          <cell r="M14120">
            <v>1</v>
          </cell>
          <cell r="R14120">
            <v>45971</v>
          </cell>
          <cell r="S14120">
            <v>231004</v>
          </cell>
        </row>
        <row r="14121">
          <cell r="K14121" t="str">
            <v>227002</v>
          </cell>
          <cell r="M14121">
            <v>3</v>
          </cell>
          <cell r="R14121">
            <v>45971</v>
          </cell>
          <cell r="S14121">
            <v>227002</v>
          </cell>
        </row>
        <row r="14122">
          <cell r="K14122" t="str">
            <v>203003</v>
          </cell>
          <cell r="M14122">
            <v>5</v>
          </cell>
          <cell r="R14122">
            <v>45971</v>
          </cell>
          <cell r="S14122">
            <v>203003</v>
          </cell>
        </row>
        <row r="14123">
          <cell r="K14123" t="str">
            <v>206015</v>
          </cell>
          <cell r="M14123">
            <v>5</v>
          </cell>
          <cell r="R14123">
            <v>45971</v>
          </cell>
          <cell r="S14123">
            <v>206015</v>
          </cell>
        </row>
        <row r="14124">
          <cell r="K14124" t="str">
            <v>231012</v>
          </cell>
          <cell r="M14124">
            <v>2</v>
          </cell>
          <cell r="R14124">
            <v>45971</v>
          </cell>
          <cell r="S14124">
            <v>231012</v>
          </cell>
        </row>
        <row r="14125">
          <cell r="K14125" t="str">
            <v>207017</v>
          </cell>
          <cell r="M14125">
            <v>3</v>
          </cell>
          <cell r="R14125">
            <v>45971</v>
          </cell>
          <cell r="S14125">
            <v>207017</v>
          </cell>
        </row>
        <row r="14126">
          <cell r="K14126" t="str">
            <v>226001</v>
          </cell>
          <cell r="M14126">
            <v>1</v>
          </cell>
          <cell r="R14126">
            <v>45971</v>
          </cell>
          <cell r="S14126">
            <v>226001</v>
          </cell>
        </row>
        <row r="14127">
          <cell r="K14127" t="str">
            <v>217006</v>
          </cell>
          <cell r="M14127">
            <v>2</v>
          </cell>
          <cell r="R14127">
            <v>45971</v>
          </cell>
          <cell r="S14127">
            <v>217006</v>
          </cell>
        </row>
        <row r="14128">
          <cell r="K14128" t="str">
            <v>223001</v>
          </cell>
          <cell r="M14128">
            <v>4</v>
          </cell>
          <cell r="R14128">
            <v>45971</v>
          </cell>
          <cell r="S14128">
            <v>223001</v>
          </cell>
        </row>
        <row r="14129">
          <cell r="K14129" t="str">
            <v>223006</v>
          </cell>
          <cell r="M14129">
            <v>2</v>
          </cell>
          <cell r="R14129">
            <v>45971</v>
          </cell>
          <cell r="S14129">
            <v>223006</v>
          </cell>
        </row>
        <row r="14130">
          <cell r="K14130" t="str">
            <v>202001</v>
          </cell>
          <cell r="M14130">
            <v>2</v>
          </cell>
          <cell r="R14130">
            <v>45971</v>
          </cell>
          <cell r="S14130">
            <v>202001</v>
          </cell>
        </row>
        <row r="14131">
          <cell r="K14131" t="str">
            <v>202001</v>
          </cell>
          <cell r="M14131">
            <v>3</v>
          </cell>
          <cell r="R14131">
            <v>45971</v>
          </cell>
          <cell r="S14131">
            <v>202001</v>
          </cell>
        </row>
        <row r="14132">
          <cell r="K14132" t="str">
            <v>213005</v>
          </cell>
          <cell r="M14132">
            <v>1</v>
          </cell>
          <cell r="R14132">
            <v>45971</v>
          </cell>
          <cell r="S14132">
            <v>213005</v>
          </cell>
        </row>
        <row r="14133">
          <cell r="K14133" t="str">
            <v>228001</v>
          </cell>
          <cell r="M14133">
            <v>60</v>
          </cell>
          <cell r="R14133">
            <v>45971</v>
          </cell>
          <cell r="S14133">
            <v>228001</v>
          </cell>
        </row>
        <row r="14134">
          <cell r="K14134" t="str">
            <v>228001</v>
          </cell>
          <cell r="M14134">
            <v>6</v>
          </cell>
          <cell r="R14134">
            <v>45971</v>
          </cell>
          <cell r="S14134">
            <v>228001</v>
          </cell>
        </row>
        <row r="14135">
          <cell r="K14135" t="str">
            <v>231012</v>
          </cell>
          <cell r="M14135">
            <v>10</v>
          </cell>
          <cell r="R14135">
            <v>45971</v>
          </cell>
          <cell r="S14135">
            <v>231012</v>
          </cell>
        </row>
        <row r="14136">
          <cell r="K14136" t="str">
            <v>234001</v>
          </cell>
          <cell r="M14136">
            <v>1</v>
          </cell>
          <cell r="R14136">
            <v>45971</v>
          </cell>
          <cell r="S14136">
            <v>234001</v>
          </cell>
        </row>
        <row r="14137">
          <cell r="K14137" t="str">
            <v>220002</v>
          </cell>
          <cell r="M14137">
            <v>1</v>
          </cell>
          <cell r="R14137">
            <v>45971</v>
          </cell>
          <cell r="S14137">
            <v>220002</v>
          </cell>
        </row>
        <row r="14138">
          <cell r="K14138" t="str">
            <v>241001</v>
          </cell>
          <cell r="M14138">
            <v>7</v>
          </cell>
          <cell r="R14138">
            <v>45971</v>
          </cell>
          <cell r="S14138">
            <v>241001</v>
          </cell>
        </row>
        <row r="14139">
          <cell r="K14139" t="str">
            <v>210004</v>
          </cell>
          <cell r="M14139">
            <v>1</v>
          </cell>
          <cell r="R14139">
            <v>45971</v>
          </cell>
          <cell r="S14139">
            <v>210004</v>
          </cell>
        </row>
        <row r="14140">
          <cell r="K14140" t="str">
            <v>228001</v>
          </cell>
          <cell r="M14140">
            <v>1</v>
          </cell>
          <cell r="R14140">
            <v>45972</v>
          </cell>
          <cell r="S14140">
            <v>228001</v>
          </cell>
        </row>
        <row r="14141">
          <cell r="K14141" t="str">
            <v>222005</v>
          </cell>
          <cell r="M14141">
            <v>1</v>
          </cell>
          <cell r="R14141">
            <v>45971</v>
          </cell>
          <cell r="S14141">
            <v>222005</v>
          </cell>
        </row>
        <row r="14142">
          <cell r="K14142" t="str">
            <v>261005</v>
          </cell>
          <cell r="M14142">
            <v>1</v>
          </cell>
          <cell r="R14142">
            <v>45971</v>
          </cell>
          <cell r="S14142">
            <v>261005</v>
          </cell>
        </row>
        <row r="14143">
          <cell r="K14143" t="str">
            <v>227012</v>
          </cell>
          <cell r="M14143">
            <v>1</v>
          </cell>
          <cell r="R14143">
            <v>45971</v>
          </cell>
          <cell r="S14143">
            <v>227012</v>
          </cell>
        </row>
        <row r="14144">
          <cell r="K14144" t="str">
            <v>203003</v>
          </cell>
          <cell r="M14144">
            <v>4</v>
          </cell>
          <cell r="R14144">
            <v>45971</v>
          </cell>
          <cell r="S14144">
            <v>203003</v>
          </cell>
        </row>
        <row r="14145">
          <cell r="K14145" t="str">
            <v>213002</v>
          </cell>
          <cell r="M14145">
            <v>9</v>
          </cell>
          <cell r="R14145">
            <v>45971</v>
          </cell>
          <cell r="S14145">
            <v>213002</v>
          </cell>
        </row>
        <row r="14146">
          <cell r="K14146" t="str">
            <v>207017</v>
          </cell>
          <cell r="M14146">
            <v>3</v>
          </cell>
          <cell r="R14146">
            <v>45971</v>
          </cell>
          <cell r="S14146">
            <v>207017</v>
          </cell>
        </row>
        <row r="14147">
          <cell r="K14147" t="str">
            <v>231012</v>
          </cell>
          <cell r="M14147">
            <v>2</v>
          </cell>
          <cell r="R14147">
            <v>45971</v>
          </cell>
          <cell r="S14147">
            <v>231012</v>
          </cell>
        </row>
        <row r="14148">
          <cell r="K14148" t="str">
            <v>217018</v>
          </cell>
          <cell r="M14148">
            <v>1</v>
          </cell>
          <cell r="R14148">
            <v>45971</v>
          </cell>
          <cell r="S14148">
            <v>217018</v>
          </cell>
        </row>
        <row r="14149">
          <cell r="K14149" t="str">
            <v>227012</v>
          </cell>
          <cell r="M14149">
            <v>2</v>
          </cell>
          <cell r="R14149">
            <v>45971</v>
          </cell>
          <cell r="S14149">
            <v>227012</v>
          </cell>
        </row>
        <row r="14150">
          <cell r="K14150" t="str">
            <v>228001</v>
          </cell>
          <cell r="M14150">
            <v>3</v>
          </cell>
          <cell r="R14150">
            <v>45972</v>
          </cell>
          <cell r="S14150">
            <v>228001</v>
          </cell>
        </row>
        <row r="14151">
          <cell r="K14151" t="str">
            <v>201011</v>
          </cell>
          <cell r="M14151">
            <v>4</v>
          </cell>
          <cell r="R14151">
            <v>45972</v>
          </cell>
          <cell r="S14151">
            <v>201011</v>
          </cell>
        </row>
        <row r="14152">
          <cell r="K14152" t="str">
            <v>213002</v>
          </cell>
          <cell r="M14152">
            <v>15</v>
          </cell>
          <cell r="R14152">
            <v>45972</v>
          </cell>
          <cell r="S14152">
            <v>213002</v>
          </cell>
        </row>
        <row r="14153">
          <cell r="K14153" t="str">
            <v>203001</v>
          </cell>
          <cell r="M14153">
            <v>1</v>
          </cell>
          <cell r="R14153">
            <v>45972</v>
          </cell>
          <cell r="S14153">
            <v>203001</v>
          </cell>
        </row>
        <row r="14154">
          <cell r="K14154" t="str">
            <v>223002</v>
          </cell>
          <cell r="M14154">
            <v>4</v>
          </cell>
          <cell r="R14154">
            <v>45972</v>
          </cell>
          <cell r="S14154">
            <v>223002</v>
          </cell>
        </row>
        <row r="14155">
          <cell r="K14155" t="str">
            <v>212002</v>
          </cell>
          <cell r="M14155">
            <v>1</v>
          </cell>
          <cell r="R14155">
            <v>45971</v>
          </cell>
          <cell r="S14155">
            <v>212002</v>
          </cell>
        </row>
        <row r="14156">
          <cell r="K14156" t="str">
            <v>201011</v>
          </cell>
          <cell r="M14156">
            <v>2</v>
          </cell>
          <cell r="R14156">
            <v>45972</v>
          </cell>
          <cell r="S14156">
            <v>201011</v>
          </cell>
        </row>
        <row r="14157">
          <cell r="K14157" t="str">
            <v>231012</v>
          </cell>
          <cell r="M14157">
            <v>1</v>
          </cell>
          <cell r="R14157">
            <v>45972</v>
          </cell>
          <cell r="S14157">
            <v>231012</v>
          </cell>
        </row>
        <row r="14158">
          <cell r="K14158" t="str">
            <v>203003</v>
          </cell>
          <cell r="M14158">
            <v>1</v>
          </cell>
          <cell r="R14158">
            <v>45972</v>
          </cell>
          <cell r="S14158">
            <v>203003</v>
          </cell>
        </row>
        <row r="14159">
          <cell r="K14159" t="str">
            <v>209016</v>
          </cell>
          <cell r="M14159">
            <v>1</v>
          </cell>
          <cell r="R14159">
            <v>45972</v>
          </cell>
          <cell r="S14159">
            <v>209016</v>
          </cell>
        </row>
        <row r="14160">
          <cell r="K14160" t="str">
            <v>217019</v>
          </cell>
          <cell r="M14160">
            <v>1</v>
          </cell>
          <cell r="R14160">
            <v>45972</v>
          </cell>
          <cell r="S14160">
            <v>217019</v>
          </cell>
        </row>
        <row r="14161">
          <cell r="K14161" t="str">
            <v>210013</v>
          </cell>
          <cell r="M14161">
            <v>2</v>
          </cell>
          <cell r="R14161">
            <v>45972</v>
          </cell>
          <cell r="S14161">
            <v>210013</v>
          </cell>
        </row>
        <row r="14162">
          <cell r="K14162" t="str">
            <v>201021</v>
          </cell>
          <cell r="M14162">
            <v>1</v>
          </cell>
          <cell r="R14162">
            <v>45972</v>
          </cell>
          <cell r="S14162">
            <v>201021</v>
          </cell>
        </row>
        <row r="14163">
          <cell r="K14163" t="str">
            <v>228001</v>
          </cell>
          <cell r="M14163">
            <v>12</v>
          </cell>
          <cell r="R14163">
            <v>45972</v>
          </cell>
          <cell r="S14163">
            <v>228001</v>
          </cell>
        </row>
        <row r="14164">
          <cell r="K14164" t="str">
            <v>201011</v>
          </cell>
          <cell r="M14164">
            <v>6</v>
          </cell>
          <cell r="R14164">
            <v>45972</v>
          </cell>
          <cell r="S14164">
            <v>201011</v>
          </cell>
        </row>
        <row r="14165">
          <cell r="K14165" t="str">
            <v>228001</v>
          </cell>
          <cell r="M14165">
            <v>5</v>
          </cell>
          <cell r="R14165">
            <v>45972</v>
          </cell>
          <cell r="S14165">
            <v>228001</v>
          </cell>
        </row>
        <row r="14166">
          <cell r="K14166" t="str">
            <v>217018</v>
          </cell>
          <cell r="M14166">
            <v>1</v>
          </cell>
          <cell r="R14166">
            <v>45972</v>
          </cell>
          <cell r="S14166">
            <v>217018</v>
          </cell>
        </row>
        <row r="14167">
          <cell r="K14167" t="str">
            <v>228001</v>
          </cell>
          <cell r="M14167">
            <v>6</v>
          </cell>
          <cell r="R14167">
            <v>45972</v>
          </cell>
          <cell r="S14167">
            <v>228001</v>
          </cell>
        </row>
        <row r="14168">
          <cell r="K14168" t="str">
            <v>209012</v>
          </cell>
          <cell r="M14168">
            <v>2</v>
          </cell>
          <cell r="R14168">
            <v>45972</v>
          </cell>
          <cell r="S14168">
            <v>209012</v>
          </cell>
        </row>
        <row r="14169">
          <cell r="K14169" t="str">
            <v>213002</v>
          </cell>
          <cell r="M14169">
            <v>3</v>
          </cell>
          <cell r="R14169">
            <v>45972</v>
          </cell>
          <cell r="S14169">
            <v>213002</v>
          </cell>
        </row>
        <row r="14170">
          <cell r="K14170" t="str">
            <v>227014</v>
          </cell>
          <cell r="M14170">
            <v>1</v>
          </cell>
          <cell r="R14170">
            <v>45972</v>
          </cell>
          <cell r="S14170">
            <v>227014</v>
          </cell>
        </row>
        <row r="14171">
          <cell r="K14171" t="str">
            <v>201011</v>
          </cell>
          <cell r="M14171">
            <v>6</v>
          </cell>
          <cell r="R14171">
            <v>45972</v>
          </cell>
          <cell r="S14171">
            <v>201011</v>
          </cell>
        </row>
        <row r="14172">
          <cell r="K14172" t="str">
            <v>217022</v>
          </cell>
          <cell r="M14172">
            <v>1</v>
          </cell>
          <cell r="R14172">
            <v>45972</v>
          </cell>
          <cell r="S14172">
            <v>217022</v>
          </cell>
        </row>
        <row r="14173">
          <cell r="K14173" t="str">
            <v>207017</v>
          </cell>
          <cell r="M14173">
            <v>1</v>
          </cell>
          <cell r="R14173">
            <v>45972</v>
          </cell>
          <cell r="S14173">
            <v>207017</v>
          </cell>
        </row>
        <row r="14174">
          <cell r="K14174" t="str">
            <v>201011</v>
          </cell>
          <cell r="M14174">
            <v>36</v>
          </cell>
          <cell r="R14174">
            <v>45972</v>
          </cell>
          <cell r="S14174">
            <v>201011</v>
          </cell>
        </row>
        <row r="14175">
          <cell r="K14175" t="str">
            <v>228001</v>
          </cell>
          <cell r="M14175">
            <v>2</v>
          </cell>
          <cell r="R14175">
            <v>45972</v>
          </cell>
          <cell r="S14175">
            <v>228001</v>
          </cell>
        </row>
        <row r="14176">
          <cell r="K14176" t="str">
            <v>220002</v>
          </cell>
          <cell r="M14176">
            <v>3</v>
          </cell>
          <cell r="R14176">
            <v>45972</v>
          </cell>
          <cell r="S14176">
            <v>220002</v>
          </cell>
        </row>
        <row r="14177">
          <cell r="K14177" t="str">
            <v>228001</v>
          </cell>
          <cell r="M14177">
            <v>7</v>
          </cell>
          <cell r="R14177">
            <v>45972</v>
          </cell>
          <cell r="S14177">
            <v>228001</v>
          </cell>
        </row>
        <row r="14178">
          <cell r="K14178" t="str">
            <v>227002</v>
          </cell>
          <cell r="M14178">
            <v>10</v>
          </cell>
          <cell r="R14178">
            <v>45972</v>
          </cell>
          <cell r="S14178">
            <v>227002</v>
          </cell>
        </row>
        <row r="14179">
          <cell r="K14179" t="str">
            <v>223002</v>
          </cell>
          <cell r="M14179">
            <v>1</v>
          </cell>
          <cell r="R14179">
            <v>45972</v>
          </cell>
          <cell r="S14179">
            <v>223002</v>
          </cell>
        </row>
        <row r="14180">
          <cell r="K14180" t="str">
            <v>227001</v>
          </cell>
          <cell r="M14180">
            <v>2</v>
          </cell>
          <cell r="R14180">
            <v>45972</v>
          </cell>
          <cell r="S14180">
            <v>227001</v>
          </cell>
        </row>
        <row r="14181">
          <cell r="K14181" t="str">
            <v>201022</v>
          </cell>
          <cell r="M14181">
            <v>1</v>
          </cell>
          <cell r="R14181">
            <v>45972</v>
          </cell>
          <cell r="S14181">
            <v>201022</v>
          </cell>
        </row>
        <row r="14182">
          <cell r="K14182" t="str">
            <v>228001</v>
          </cell>
          <cell r="M14182">
            <v>2</v>
          </cell>
          <cell r="R14182">
            <v>45973</v>
          </cell>
          <cell r="S14182">
            <v>228001</v>
          </cell>
        </row>
        <row r="14183">
          <cell r="K14183" t="str">
            <v>228001</v>
          </cell>
          <cell r="M14183">
            <v>8</v>
          </cell>
          <cell r="R14183">
            <v>45973</v>
          </cell>
          <cell r="S14183">
            <v>228001</v>
          </cell>
        </row>
        <row r="14184">
          <cell r="K14184" t="str">
            <v>226001</v>
          </cell>
          <cell r="M14184">
            <v>2</v>
          </cell>
          <cell r="R14184">
            <v>45973</v>
          </cell>
          <cell r="S14184">
            <v>226001</v>
          </cell>
        </row>
        <row r="14185">
          <cell r="K14185" t="str">
            <v>213005</v>
          </cell>
          <cell r="M14185">
            <v>1</v>
          </cell>
          <cell r="R14185">
            <v>45973</v>
          </cell>
          <cell r="S14185">
            <v>213005</v>
          </cell>
        </row>
        <row r="14186">
          <cell r="K14186" t="str">
            <v>213005</v>
          </cell>
          <cell r="M14186">
            <v>3</v>
          </cell>
          <cell r="R14186">
            <v>45972</v>
          </cell>
          <cell r="S14186">
            <v>213005</v>
          </cell>
        </row>
        <row r="14187">
          <cell r="K14187" t="str">
            <v>231012</v>
          </cell>
          <cell r="M14187">
            <v>1</v>
          </cell>
          <cell r="R14187">
            <v>45973</v>
          </cell>
          <cell r="S14187">
            <v>231012</v>
          </cell>
        </row>
        <row r="14188">
          <cell r="K14188" t="str">
            <v>220002</v>
          </cell>
          <cell r="M14188">
            <v>1</v>
          </cell>
          <cell r="R14188">
            <v>45973</v>
          </cell>
          <cell r="S14188">
            <v>220002</v>
          </cell>
        </row>
        <row r="14189">
          <cell r="K14189" t="str">
            <v>201003</v>
          </cell>
          <cell r="M14189">
            <v>1</v>
          </cell>
          <cell r="R14189">
            <v>45973</v>
          </cell>
          <cell r="S14189">
            <v>201003</v>
          </cell>
        </row>
        <row r="14190">
          <cell r="K14190" t="str">
            <v>201011</v>
          </cell>
          <cell r="M14190">
            <v>1</v>
          </cell>
          <cell r="R14190">
            <v>45973</v>
          </cell>
          <cell r="S14190">
            <v>201011</v>
          </cell>
        </row>
        <row r="14191">
          <cell r="K14191" t="str">
            <v>228001</v>
          </cell>
          <cell r="M14191">
            <v>1</v>
          </cell>
          <cell r="R14191">
            <v>45973</v>
          </cell>
          <cell r="S14191">
            <v>228001</v>
          </cell>
        </row>
        <row r="14192">
          <cell r="K14192" t="str">
            <v>201011</v>
          </cell>
          <cell r="M14192">
            <v>1</v>
          </cell>
          <cell r="R14192">
            <v>45972</v>
          </cell>
          <cell r="S14192">
            <v>201011</v>
          </cell>
        </row>
        <row r="14193">
          <cell r="K14193" t="str">
            <v>222001</v>
          </cell>
          <cell r="M14193">
            <v>1</v>
          </cell>
          <cell r="R14193">
            <v>45972</v>
          </cell>
          <cell r="S14193">
            <v>222001</v>
          </cell>
        </row>
        <row r="14194">
          <cell r="K14194" t="str">
            <v>223002</v>
          </cell>
          <cell r="M14194">
            <v>4</v>
          </cell>
          <cell r="R14194">
            <v>45972</v>
          </cell>
          <cell r="S14194">
            <v>223002</v>
          </cell>
        </row>
        <row r="14195">
          <cell r="K14195" t="str">
            <v>223001</v>
          </cell>
          <cell r="M14195">
            <v>1</v>
          </cell>
          <cell r="R14195">
            <v>45972</v>
          </cell>
          <cell r="S14195">
            <v>223001</v>
          </cell>
        </row>
        <row r="14196">
          <cell r="K14196" t="str">
            <v>227012</v>
          </cell>
          <cell r="M14196">
            <v>1</v>
          </cell>
          <cell r="R14196">
            <v>45972</v>
          </cell>
          <cell r="S14196">
            <v>227012</v>
          </cell>
        </row>
        <row r="14197">
          <cell r="K14197" t="str">
            <v>201003</v>
          </cell>
          <cell r="M14197">
            <v>4</v>
          </cell>
          <cell r="R14197">
            <v>45972</v>
          </cell>
          <cell r="S14197">
            <v>201003</v>
          </cell>
        </row>
        <row r="14198">
          <cell r="K14198" t="str">
            <v>201011</v>
          </cell>
          <cell r="M14198">
            <v>10</v>
          </cell>
          <cell r="R14198">
            <v>45973</v>
          </cell>
          <cell r="S14198">
            <v>201011</v>
          </cell>
        </row>
        <row r="14199">
          <cell r="K14199" t="str">
            <v>217022</v>
          </cell>
          <cell r="M14199">
            <v>1</v>
          </cell>
          <cell r="R14199">
            <v>45972</v>
          </cell>
          <cell r="S14199">
            <v>217022</v>
          </cell>
        </row>
        <row r="14200">
          <cell r="K14200" t="str">
            <v>223001</v>
          </cell>
          <cell r="M14200">
            <v>2</v>
          </cell>
          <cell r="R14200">
            <v>45972</v>
          </cell>
          <cell r="S14200">
            <v>223001</v>
          </cell>
        </row>
        <row r="14201">
          <cell r="K14201" t="str">
            <v>223002</v>
          </cell>
          <cell r="M14201">
            <v>1</v>
          </cell>
          <cell r="R14201">
            <v>45972</v>
          </cell>
          <cell r="S14201">
            <v>223002</v>
          </cell>
        </row>
        <row r="14202">
          <cell r="K14202" t="str">
            <v>201003</v>
          </cell>
          <cell r="M14202">
            <v>3</v>
          </cell>
          <cell r="R14202">
            <v>45972</v>
          </cell>
          <cell r="S14202">
            <v>201003</v>
          </cell>
        </row>
        <row r="14203">
          <cell r="K14203" t="str">
            <v>228001</v>
          </cell>
          <cell r="M14203">
            <v>1</v>
          </cell>
          <cell r="R14203">
            <v>45972</v>
          </cell>
          <cell r="S14203">
            <v>228001</v>
          </cell>
        </row>
        <row r="14204">
          <cell r="K14204" t="str">
            <v>226028</v>
          </cell>
          <cell r="M14204">
            <v>1</v>
          </cell>
          <cell r="R14204">
            <v>45973</v>
          </cell>
          <cell r="S14204">
            <v>226028</v>
          </cell>
        </row>
        <row r="14205">
          <cell r="K14205" t="str">
            <v>201003</v>
          </cell>
          <cell r="M14205">
            <v>4</v>
          </cell>
          <cell r="R14205">
            <v>45973</v>
          </cell>
          <cell r="S14205">
            <v>201003</v>
          </cell>
        </row>
        <row r="14206">
          <cell r="K14206" t="str">
            <v>223002</v>
          </cell>
          <cell r="M14206">
            <v>6</v>
          </cell>
          <cell r="R14206">
            <v>45973</v>
          </cell>
          <cell r="S14206">
            <v>223002</v>
          </cell>
        </row>
        <row r="14207">
          <cell r="K14207" t="str">
            <v>201003</v>
          </cell>
          <cell r="M14207">
            <v>2</v>
          </cell>
          <cell r="R14207">
            <v>45973</v>
          </cell>
          <cell r="S14207">
            <v>201003</v>
          </cell>
        </row>
        <row r="14208">
          <cell r="K14208" t="str">
            <v>201011</v>
          </cell>
          <cell r="M14208">
            <v>14</v>
          </cell>
          <cell r="R14208">
            <v>45973</v>
          </cell>
          <cell r="S14208">
            <v>201011</v>
          </cell>
        </row>
        <row r="14209">
          <cell r="K14209" t="str">
            <v>227002</v>
          </cell>
          <cell r="M14209">
            <v>1</v>
          </cell>
          <cell r="R14209">
            <v>45973</v>
          </cell>
          <cell r="S14209">
            <v>227002</v>
          </cell>
        </row>
        <row r="14210">
          <cell r="K14210" t="str">
            <v>223007</v>
          </cell>
          <cell r="M14210">
            <v>1</v>
          </cell>
          <cell r="R14210">
            <v>45973</v>
          </cell>
          <cell r="S14210">
            <v>223007</v>
          </cell>
        </row>
        <row r="14211">
          <cell r="K14211" t="str">
            <v>217022</v>
          </cell>
          <cell r="M14211">
            <v>2</v>
          </cell>
          <cell r="R14211">
            <v>45973</v>
          </cell>
          <cell r="S14211">
            <v>217022</v>
          </cell>
        </row>
        <row r="14212">
          <cell r="K14212" t="str">
            <v>209001</v>
          </cell>
          <cell r="M14212">
            <v>3</v>
          </cell>
          <cell r="R14212">
            <v>45973</v>
          </cell>
          <cell r="S14212">
            <v>209001</v>
          </cell>
        </row>
        <row r="14213">
          <cell r="K14213" t="str">
            <v>203003</v>
          </cell>
          <cell r="M14213">
            <v>1</v>
          </cell>
          <cell r="R14213">
            <v>45973</v>
          </cell>
          <cell r="S14213">
            <v>203003</v>
          </cell>
        </row>
        <row r="14214">
          <cell r="K14214" t="str">
            <v>201011</v>
          </cell>
          <cell r="M14214">
            <v>1</v>
          </cell>
          <cell r="R14214">
            <v>45973</v>
          </cell>
          <cell r="S14214">
            <v>201011</v>
          </cell>
        </row>
        <row r="14215">
          <cell r="K14215" t="str">
            <v>213002</v>
          </cell>
          <cell r="M14215">
            <v>1</v>
          </cell>
          <cell r="R14215">
            <v>45973</v>
          </cell>
          <cell r="S14215">
            <v>213002</v>
          </cell>
        </row>
        <row r="14216">
          <cell r="K14216" t="str">
            <v>217011</v>
          </cell>
          <cell r="M14216">
            <v>1</v>
          </cell>
          <cell r="R14216">
            <v>45973</v>
          </cell>
          <cell r="S14216">
            <v>217011</v>
          </cell>
        </row>
        <row r="14217">
          <cell r="K14217" t="str">
            <v>217018</v>
          </cell>
          <cell r="M14217">
            <v>20</v>
          </cell>
          <cell r="R14217">
            <v>45973</v>
          </cell>
          <cell r="S14217">
            <v>217018</v>
          </cell>
        </row>
        <row r="14218">
          <cell r="K14218" t="str">
            <v>228001</v>
          </cell>
          <cell r="M14218">
            <v>4</v>
          </cell>
          <cell r="R14218">
            <v>45973</v>
          </cell>
          <cell r="S14218">
            <v>228001</v>
          </cell>
        </row>
        <row r="14219">
          <cell r="K14219" t="str">
            <v>220002</v>
          </cell>
          <cell r="M14219">
            <v>3</v>
          </cell>
          <cell r="R14219">
            <v>45973</v>
          </cell>
          <cell r="S14219">
            <v>220002</v>
          </cell>
        </row>
        <row r="14220">
          <cell r="K14220" t="str">
            <v>234011</v>
          </cell>
          <cell r="M14220">
            <v>1</v>
          </cell>
          <cell r="R14220">
            <v>45973</v>
          </cell>
          <cell r="S14220">
            <v>234011</v>
          </cell>
        </row>
        <row r="14221">
          <cell r="K14221" t="str">
            <v>212035</v>
          </cell>
          <cell r="M14221">
            <v>2</v>
          </cell>
          <cell r="R14221">
            <v>45973</v>
          </cell>
          <cell r="S14221">
            <v>212035</v>
          </cell>
        </row>
        <row r="14222">
          <cell r="K14222" t="str">
            <v>212002</v>
          </cell>
          <cell r="M14222">
            <v>1</v>
          </cell>
          <cell r="R14222">
            <v>45973</v>
          </cell>
          <cell r="S14222">
            <v>212002</v>
          </cell>
        </row>
        <row r="14223">
          <cell r="K14223" t="str">
            <v>203001</v>
          </cell>
          <cell r="M14223">
            <v>1</v>
          </cell>
          <cell r="R14223">
            <v>45973</v>
          </cell>
          <cell r="S14223">
            <v>203001</v>
          </cell>
        </row>
        <row r="14224">
          <cell r="K14224" t="str">
            <v>228001</v>
          </cell>
          <cell r="M14224">
            <v>2</v>
          </cell>
          <cell r="R14224">
            <v>45973</v>
          </cell>
          <cell r="S14224">
            <v>228001</v>
          </cell>
        </row>
        <row r="14225">
          <cell r="K14225" t="str">
            <v>217018</v>
          </cell>
          <cell r="M14225">
            <v>2</v>
          </cell>
          <cell r="R14225">
            <v>45973</v>
          </cell>
          <cell r="S14225">
            <v>217018</v>
          </cell>
        </row>
        <row r="14226">
          <cell r="K14226" t="str">
            <v>226001</v>
          </cell>
          <cell r="M14226">
            <v>1</v>
          </cell>
          <cell r="R14226">
            <v>45973</v>
          </cell>
          <cell r="S14226">
            <v>226001</v>
          </cell>
        </row>
        <row r="14227">
          <cell r="K14227" t="str">
            <v>201003</v>
          </cell>
          <cell r="M14227">
            <v>1</v>
          </cell>
          <cell r="R14227">
            <v>45973</v>
          </cell>
          <cell r="S14227">
            <v>201003</v>
          </cell>
        </row>
        <row r="14228">
          <cell r="K14228" t="str">
            <v>220003</v>
          </cell>
          <cell r="M14228">
            <v>2</v>
          </cell>
          <cell r="R14228">
            <v>45973</v>
          </cell>
          <cell r="S14228">
            <v>220003</v>
          </cell>
        </row>
        <row r="14229">
          <cell r="K14229" t="str">
            <v>223002</v>
          </cell>
          <cell r="M14229">
            <v>8</v>
          </cell>
          <cell r="R14229">
            <v>45973</v>
          </cell>
          <cell r="S14229">
            <v>223002</v>
          </cell>
        </row>
        <row r="14230">
          <cell r="K14230" t="str">
            <v>226032</v>
          </cell>
          <cell r="M14230">
            <v>3</v>
          </cell>
          <cell r="R14230">
            <v>45973</v>
          </cell>
          <cell r="S14230">
            <v>226032</v>
          </cell>
        </row>
        <row r="14231">
          <cell r="K14231" t="str">
            <v>227012</v>
          </cell>
          <cell r="M14231">
            <v>1</v>
          </cell>
          <cell r="R14231">
            <v>45973</v>
          </cell>
          <cell r="S14231">
            <v>227012</v>
          </cell>
        </row>
        <row r="14232">
          <cell r="K14232" t="str">
            <v>217018</v>
          </cell>
          <cell r="M14232">
            <v>3</v>
          </cell>
          <cell r="R14232">
            <v>45973</v>
          </cell>
          <cell r="S14232">
            <v>217018</v>
          </cell>
        </row>
        <row r="14233">
          <cell r="K14233" t="str">
            <v>217022</v>
          </cell>
          <cell r="M14233">
            <v>3</v>
          </cell>
          <cell r="R14233">
            <v>45973</v>
          </cell>
          <cell r="S14233">
            <v>217022</v>
          </cell>
        </row>
        <row r="14234">
          <cell r="K14234" t="str">
            <v>223003</v>
          </cell>
          <cell r="M14234">
            <v>12</v>
          </cell>
          <cell r="R14234">
            <v>45973</v>
          </cell>
          <cell r="S14234">
            <v>223003</v>
          </cell>
        </row>
        <row r="14235">
          <cell r="K14235" t="str">
            <v>226023</v>
          </cell>
          <cell r="M14235">
            <v>1</v>
          </cell>
          <cell r="R14235">
            <v>45973</v>
          </cell>
          <cell r="S14235">
            <v>226023</v>
          </cell>
        </row>
        <row r="14236">
          <cell r="K14236" t="str">
            <v>217022</v>
          </cell>
          <cell r="M14236">
            <v>6</v>
          </cell>
          <cell r="R14236">
            <v>45973</v>
          </cell>
          <cell r="S14236">
            <v>217022</v>
          </cell>
        </row>
        <row r="14237">
          <cell r="K14237" t="str">
            <v>228001</v>
          </cell>
          <cell r="M14237">
            <v>1</v>
          </cell>
          <cell r="R14237">
            <v>45973</v>
          </cell>
          <cell r="S14237">
            <v>228001</v>
          </cell>
        </row>
        <row r="14238">
          <cell r="K14238" t="str">
            <v>201011</v>
          </cell>
          <cell r="M14238">
            <v>36</v>
          </cell>
          <cell r="R14238">
            <v>45973</v>
          </cell>
          <cell r="S14238">
            <v>201011</v>
          </cell>
        </row>
        <row r="14239">
          <cell r="K14239" t="str">
            <v>241001</v>
          </cell>
          <cell r="M14239">
            <v>20</v>
          </cell>
          <cell r="R14239">
            <v>45973</v>
          </cell>
          <cell r="S14239">
            <v>241001</v>
          </cell>
        </row>
        <row r="14240">
          <cell r="K14240" t="str">
            <v>201011</v>
          </cell>
          <cell r="M14240">
            <v>30</v>
          </cell>
          <cell r="R14240">
            <v>45973</v>
          </cell>
          <cell r="S14240">
            <v>201011</v>
          </cell>
        </row>
        <row r="14241">
          <cell r="K14241" t="str">
            <v>209004</v>
          </cell>
          <cell r="M14241">
            <v>1</v>
          </cell>
          <cell r="R14241">
            <v>45973</v>
          </cell>
          <cell r="S14241">
            <v>209004</v>
          </cell>
        </row>
        <row r="14242">
          <cell r="K14242" t="str">
            <v>223001</v>
          </cell>
          <cell r="M14242">
            <v>2</v>
          </cell>
          <cell r="R14242">
            <v>45973</v>
          </cell>
          <cell r="S14242">
            <v>223001</v>
          </cell>
        </row>
        <row r="14243">
          <cell r="K14243" t="str">
            <v>223002</v>
          </cell>
          <cell r="M14243">
            <v>1</v>
          </cell>
          <cell r="R14243">
            <v>45973</v>
          </cell>
          <cell r="S14243">
            <v>223002</v>
          </cell>
        </row>
        <row r="14244">
          <cell r="K14244" t="str">
            <v>227002</v>
          </cell>
          <cell r="M14244">
            <v>1</v>
          </cell>
          <cell r="R14244">
            <v>45973</v>
          </cell>
          <cell r="S14244">
            <v>227002</v>
          </cell>
        </row>
        <row r="14245">
          <cell r="K14245" t="str">
            <v>207017</v>
          </cell>
          <cell r="M14245">
            <v>1</v>
          </cell>
          <cell r="R14245">
            <v>45973</v>
          </cell>
          <cell r="S14245">
            <v>207017</v>
          </cell>
        </row>
        <row r="14246">
          <cell r="K14246" t="str">
            <v>231012</v>
          </cell>
          <cell r="M14246">
            <v>1</v>
          </cell>
          <cell r="R14246">
            <v>45973</v>
          </cell>
          <cell r="S14246">
            <v>231012</v>
          </cell>
        </row>
        <row r="14247">
          <cell r="K14247" t="str">
            <v>213005</v>
          </cell>
          <cell r="M14247">
            <v>2</v>
          </cell>
          <cell r="R14247">
            <v>45973</v>
          </cell>
          <cell r="S14247">
            <v>213005</v>
          </cell>
        </row>
        <row r="14248">
          <cell r="K14248" t="str">
            <v>201011</v>
          </cell>
          <cell r="M14248">
            <v>3</v>
          </cell>
          <cell r="R14248">
            <v>45973</v>
          </cell>
          <cell r="S14248">
            <v>201011</v>
          </cell>
        </row>
        <row r="14249">
          <cell r="K14249" t="str">
            <v>228001</v>
          </cell>
          <cell r="M14249">
            <v>3</v>
          </cell>
          <cell r="R14249">
            <v>45974</v>
          </cell>
          <cell r="S14249">
            <v>228001</v>
          </cell>
        </row>
        <row r="14250">
          <cell r="K14250" t="str">
            <v>207017</v>
          </cell>
          <cell r="M14250">
            <v>1</v>
          </cell>
          <cell r="R14250">
            <v>45974</v>
          </cell>
          <cell r="S14250">
            <v>207017</v>
          </cell>
        </row>
        <row r="14251">
          <cell r="K14251" t="str">
            <v>203003</v>
          </cell>
          <cell r="M14251">
            <v>2</v>
          </cell>
          <cell r="R14251">
            <v>45974</v>
          </cell>
          <cell r="S14251">
            <v>203003</v>
          </cell>
        </row>
        <row r="14252">
          <cell r="K14252" t="str">
            <v>261004</v>
          </cell>
          <cell r="M14252">
            <v>27</v>
          </cell>
          <cell r="R14252">
            <v>45973</v>
          </cell>
          <cell r="S14252">
            <v>261004</v>
          </cell>
        </row>
        <row r="14253">
          <cell r="K14253" t="str">
            <v>212010</v>
          </cell>
          <cell r="M14253">
            <v>15</v>
          </cell>
          <cell r="R14253">
            <v>45973</v>
          </cell>
          <cell r="S14253">
            <v>212010</v>
          </cell>
        </row>
        <row r="14254">
          <cell r="K14254" t="str">
            <v>241001</v>
          </cell>
          <cell r="M14254">
            <v>3</v>
          </cell>
          <cell r="R14254">
            <v>45974</v>
          </cell>
          <cell r="S14254">
            <v>241001</v>
          </cell>
        </row>
        <row r="14255">
          <cell r="K14255" t="str">
            <v>201011</v>
          </cell>
          <cell r="M14255">
            <v>2</v>
          </cell>
          <cell r="R14255">
            <v>45974</v>
          </cell>
          <cell r="S14255">
            <v>201011</v>
          </cell>
        </row>
        <row r="14256">
          <cell r="K14256" t="str">
            <v>213002</v>
          </cell>
          <cell r="M14256">
            <v>1</v>
          </cell>
          <cell r="R14256">
            <v>45974</v>
          </cell>
          <cell r="S14256">
            <v>213002</v>
          </cell>
        </row>
        <row r="14257">
          <cell r="K14257" t="str">
            <v>210014</v>
          </cell>
          <cell r="M14257">
            <v>1</v>
          </cell>
          <cell r="R14257">
            <v>45973</v>
          </cell>
          <cell r="S14257">
            <v>210014</v>
          </cell>
        </row>
        <row r="14258">
          <cell r="K14258" t="str">
            <v>210010</v>
          </cell>
          <cell r="M14258">
            <v>2</v>
          </cell>
          <cell r="R14258">
            <v>45973</v>
          </cell>
          <cell r="S14258">
            <v>210010</v>
          </cell>
        </row>
        <row r="14259">
          <cell r="K14259" t="str">
            <v>223002</v>
          </cell>
          <cell r="M14259">
            <v>1</v>
          </cell>
          <cell r="R14259">
            <v>45973</v>
          </cell>
          <cell r="S14259">
            <v>223002</v>
          </cell>
        </row>
        <row r="14260">
          <cell r="K14260" t="str">
            <v>227012</v>
          </cell>
          <cell r="M14260">
            <v>2</v>
          </cell>
          <cell r="R14260">
            <v>45973</v>
          </cell>
          <cell r="S14260">
            <v>227012</v>
          </cell>
        </row>
        <row r="14261">
          <cell r="K14261" t="str">
            <v>223001</v>
          </cell>
          <cell r="M14261">
            <v>1</v>
          </cell>
          <cell r="R14261">
            <v>45973</v>
          </cell>
          <cell r="S14261">
            <v>223001</v>
          </cell>
        </row>
        <row r="14262">
          <cell r="K14262" t="str">
            <v>226022</v>
          </cell>
          <cell r="M14262">
            <v>1</v>
          </cell>
          <cell r="R14262">
            <v>45973</v>
          </cell>
          <cell r="S14262">
            <v>226022</v>
          </cell>
        </row>
        <row r="14263">
          <cell r="K14263" t="str">
            <v>226027</v>
          </cell>
          <cell r="M14263">
            <v>1</v>
          </cell>
          <cell r="R14263">
            <v>45973</v>
          </cell>
          <cell r="S14263">
            <v>226027</v>
          </cell>
        </row>
        <row r="14264">
          <cell r="K14264" t="str">
            <v>201011</v>
          </cell>
          <cell r="M14264">
            <v>3</v>
          </cell>
          <cell r="R14264">
            <v>45973</v>
          </cell>
          <cell r="S14264">
            <v>201011</v>
          </cell>
        </row>
        <row r="14265">
          <cell r="K14265" t="str">
            <v>223001</v>
          </cell>
          <cell r="M14265">
            <v>3</v>
          </cell>
          <cell r="R14265">
            <v>45973</v>
          </cell>
          <cell r="S14265">
            <v>223001</v>
          </cell>
        </row>
        <row r="14266">
          <cell r="K14266" t="str">
            <v>241001</v>
          </cell>
          <cell r="M14266">
            <v>1</v>
          </cell>
          <cell r="R14266">
            <v>45973</v>
          </cell>
          <cell r="S14266">
            <v>241001</v>
          </cell>
        </row>
        <row r="14267">
          <cell r="K14267" t="str">
            <v>234011</v>
          </cell>
          <cell r="M14267">
            <v>1</v>
          </cell>
          <cell r="R14267">
            <v>45973</v>
          </cell>
          <cell r="S14267">
            <v>234011</v>
          </cell>
        </row>
        <row r="14268">
          <cell r="K14268" t="str">
            <v>206002</v>
          </cell>
          <cell r="M14268">
            <v>1</v>
          </cell>
          <cell r="R14268">
            <v>45974</v>
          </cell>
          <cell r="S14268">
            <v>206002</v>
          </cell>
        </row>
        <row r="14269">
          <cell r="K14269" t="str">
            <v>217011</v>
          </cell>
          <cell r="M14269">
            <v>1</v>
          </cell>
          <cell r="R14269">
            <v>45974</v>
          </cell>
          <cell r="S14269">
            <v>217011</v>
          </cell>
        </row>
        <row r="14270">
          <cell r="K14270" t="str">
            <v>201011</v>
          </cell>
          <cell r="M14270">
            <v>1</v>
          </cell>
          <cell r="R14270">
            <v>45974</v>
          </cell>
          <cell r="S14270">
            <v>201011</v>
          </cell>
        </row>
        <row r="14271">
          <cell r="K14271" t="str">
            <v>212035</v>
          </cell>
          <cell r="M14271">
            <v>2</v>
          </cell>
          <cell r="R14271">
            <v>45974</v>
          </cell>
          <cell r="S14271">
            <v>212035</v>
          </cell>
        </row>
        <row r="14272">
          <cell r="K14272" t="str">
            <v>217011</v>
          </cell>
          <cell r="M14272">
            <v>2</v>
          </cell>
          <cell r="R14272">
            <v>45974</v>
          </cell>
          <cell r="S14272">
            <v>217011</v>
          </cell>
        </row>
        <row r="14273">
          <cell r="K14273" t="str">
            <v>210013</v>
          </cell>
          <cell r="M14273">
            <v>2</v>
          </cell>
          <cell r="R14273">
            <v>45974</v>
          </cell>
          <cell r="S14273">
            <v>210013</v>
          </cell>
        </row>
        <row r="14274">
          <cell r="K14274" t="str">
            <v>209001</v>
          </cell>
          <cell r="M14274">
            <v>1</v>
          </cell>
          <cell r="R14274">
            <v>45974</v>
          </cell>
          <cell r="S14274">
            <v>209001</v>
          </cell>
        </row>
        <row r="14275">
          <cell r="K14275" t="str">
            <v>201011</v>
          </cell>
          <cell r="M14275">
            <v>2</v>
          </cell>
          <cell r="R14275">
            <v>45974</v>
          </cell>
          <cell r="S14275">
            <v>201011</v>
          </cell>
        </row>
        <row r="14276">
          <cell r="K14276" t="str">
            <v>228001</v>
          </cell>
          <cell r="M14276">
            <v>1</v>
          </cell>
          <cell r="R14276">
            <v>45974</v>
          </cell>
          <cell r="S14276">
            <v>228001</v>
          </cell>
        </row>
        <row r="14277">
          <cell r="K14277" t="str">
            <v>223002</v>
          </cell>
          <cell r="M14277">
            <v>3</v>
          </cell>
          <cell r="R14277">
            <v>45974</v>
          </cell>
          <cell r="S14277">
            <v>223002</v>
          </cell>
        </row>
        <row r="14278">
          <cell r="K14278" t="str">
            <v>213002</v>
          </cell>
          <cell r="M14278">
            <v>4</v>
          </cell>
          <cell r="R14278">
            <v>45974</v>
          </cell>
          <cell r="S14278">
            <v>213002</v>
          </cell>
        </row>
        <row r="14279">
          <cell r="K14279" t="str">
            <v>206002</v>
          </cell>
          <cell r="M14279">
            <v>1</v>
          </cell>
          <cell r="R14279">
            <v>45974</v>
          </cell>
          <cell r="S14279">
            <v>206002</v>
          </cell>
        </row>
        <row r="14280">
          <cell r="K14280" t="str">
            <v>203003</v>
          </cell>
          <cell r="M14280">
            <v>4</v>
          </cell>
          <cell r="R14280">
            <v>45974</v>
          </cell>
          <cell r="S14280">
            <v>203003</v>
          </cell>
        </row>
        <row r="14281">
          <cell r="K14281" t="str">
            <v>226001</v>
          </cell>
          <cell r="M14281">
            <v>2</v>
          </cell>
          <cell r="R14281">
            <v>45974</v>
          </cell>
          <cell r="S14281">
            <v>226001</v>
          </cell>
        </row>
        <row r="14282">
          <cell r="K14282" t="str">
            <v>226001</v>
          </cell>
          <cell r="M14282">
            <v>2</v>
          </cell>
          <cell r="R14282">
            <v>45974</v>
          </cell>
          <cell r="S14282">
            <v>226001</v>
          </cell>
        </row>
        <row r="14283">
          <cell r="K14283" t="str">
            <v>231012</v>
          </cell>
          <cell r="M14283">
            <v>1</v>
          </cell>
          <cell r="R14283">
            <v>45974</v>
          </cell>
          <cell r="S14283">
            <v>231012</v>
          </cell>
        </row>
        <row r="14284">
          <cell r="K14284" t="str">
            <v>223017</v>
          </cell>
          <cell r="M14284">
            <v>3</v>
          </cell>
          <cell r="R14284">
            <v>45974</v>
          </cell>
          <cell r="S14284">
            <v>223017</v>
          </cell>
        </row>
        <row r="14285">
          <cell r="K14285" t="str">
            <v>201003</v>
          </cell>
          <cell r="M14285">
            <v>4</v>
          </cell>
          <cell r="R14285">
            <v>45974</v>
          </cell>
          <cell r="S14285">
            <v>201003</v>
          </cell>
        </row>
        <row r="14286">
          <cell r="K14286" t="str">
            <v>208002</v>
          </cell>
          <cell r="M14286">
            <v>1</v>
          </cell>
          <cell r="R14286">
            <v>45974</v>
          </cell>
          <cell r="S14286">
            <v>208002</v>
          </cell>
        </row>
        <row r="14287">
          <cell r="K14287" t="str">
            <v>237001</v>
          </cell>
          <cell r="M14287">
            <v>2</v>
          </cell>
          <cell r="R14287">
            <v>45974</v>
          </cell>
          <cell r="S14287">
            <v>237001</v>
          </cell>
        </row>
        <row r="14288">
          <cell r="K14288" t="str">
            <v>237001</v>
          </cell>
          <cell r="M14288">
            <v>1</v>
          </cell>
          <cell r="R14288">
            <v>45974</v>
          </cell>
          <cell r="S14288">
            <v>237001</v>
          </cell>
        </row>
        <row r="14289">
          <cell r="K14289" t="str">
            <v>227012</v>
          </cell>
          <cell r="M14289">
            <v>2</v>
          </cell>
          <cell r="R14289">
            <v>45974</v>
          </cell>
          <cell r="S14289">
            <v>227012</v>
          </cell>
        </row>
        <row r="14290">
          <cell r="K14290" t="str">
            <v>228001</v>
          </cell>
          <cell r="M14290">
            <v>2</v>
          </cell>
          <cell r="R14290">
            <v>45974</v>
          </cell>
          <cell r="S14290">
            <v>228001</v>
          </cell>
        </row>
        <row r="14291">
          <cell r="K14291" t="str">
            <v>209017</v>
          </cell>
          <cell r="M14291">
            <v>1</v>
          </cell>
          <cell r="R14291">
            <v>45974</v>
          </cell>
          <cell r="S14291">
            <v>209017</v>
          </cell>
        </row>
        <row r="14292">
          <cell r="K14292" t="str">
            <v>231012</v>
          </cell>
          <cell r="M14292">
            <v>2</v>
          </cell>
          <cell r="R14292">
            <v>45974</v>
          </cell>
          <cell r="S14292">
            <v>231012</v>
          </cell>
        </row>
        <row r="14293">
          <cell r="K14293" t="str">
            <v>223001</v>
          </cell>
          <cell r="M14293">
            <v>9</v>
          </cell>
          <cell r="R14293">
            <v>45974</v>
          </cell>
          <cell r="S14293">
            <v>223001</v>
          </cell>
        </row>
        <row r="14294">
          <cell r="K14294" t="str">
            <v>228001</v>
          </cell>
          <cell r="M14294">
            <v>1</v>
          </cell>
          <cell r="R14294">
            <v>45974</v>
          </cell>
          <cell r="S14294">
            <v>228001</v>
          </cell>
        </row>
        <row r="14295">
          <cell r="K14295" t="str">
            <v>234001</v>
          </cell>
          <cell r="M14295">
            <v>1</v>
          </cell>
          <cell r="R14295">
            <v>45974</v>
          </cell>
          <cell r="S14295">
            <v>234001</v>
          </cell>
        </row>
        <row r="14296">
          <cell r="K14296" t="str">
            <v>201011</v>
          </cell>
          <cell r="M14296">
            <v>36</v>
          </cell>
          <cell r="R14296">
            <v>45974</v>
          </cell>
          <cell r="S14296">
            <v>201011</v>
          </cell>
        </row>
        <row r="14297">
          <cell r="K14297" t="str">
            <v>201011</v>
          </cell>
          <cell r="M14297">
            <v>23</v>
          </cell>
          <cell r="R14297">
            <v>45974</v>
          </cell>
          <cell r="S14297">
            <v>201011</v>
          </cell>
        </row>
        <row r="14298">
          <cell r="K14298" t="str">
            <v>223001</v>
          </cell>
          <cell r="M14298">
            <v>8</v>
          </cell>
          <cell r="R14298">
            <v>45974</v>
          </cell>
          <cell r="S14298">
            <v>223001</v>
          </cell>
        </row>
        <row r="14299">
          <cell r="K14299" t="str">
            <v>227012</v>
          </cell>
          <cell r="M14299">
            <v>1</v>
          </cell>
          <cell r="R14299">
            <v>45974</v>
          </cell>
          <cell r="S14299">
            <v>227012</v>
          </cell>
        </row>
        <row r="14300">
          <cell r="K14300" t="str">
            <v>217018</v>
          </cell>
          <cell r="M14300">
            <v>2</v>
          </cell>
          <cell r="R14300">
            <v>45974</v>
          </cell>
          <cell r="S14300">
            <v>217018</v>
          </cell>
        </row>
        <row r="14301">
          <cell r="K14301" t="str">
            <v>213002</v>
          </cell>
          <cell r="M14301">
            <v>6</v>
          </cell>
          <cell r="R14301">
            <v>45974</v>
          </cell>
          <cell r="S14301">
            <v>213002</v>
          </cell>
        </row>
        <row r="14302">
          <cell r="K14302" t="str">
            <v>223002</v>
          </cell>
          <cell r="M14302">
            <v>2</v>
          </cell>
          <cell r="R14302">
            <v>45974</v>
          </cell>
          <cell r="S14302">
            <v>223002</v>
          </cell>
        </row>
        <row r="14303">
          <cell r="K14303" t="str">
            <v>217011</v>
          </cell>
          <cell r="M14303">
            <v>2</v>
          </cell>
          <cell r="R14303">
            <v>45974</v>
          </cell>
          <cell r="S14303">
            <v>217011</v>
          </cell>
        </row>
        <row r="14304">
          <cell r="K14304" t="str">
            <v>217018</v>
          </cell>
          <cell r="M14304">
            <v>1</v>
          </cell>
          <cell r="R14304">
            <v>45974</v>
          </cell>
          <cell r="S14304">
            <v>217018</v>
          </cell>
        </row>
        <row r="14305">
          <cell r="K14305" t="str">
            <v>223001</v>
          </cell>
          <cell r="M14305">
            <v>1</v>
          </cell>
          <cell r="R14305">
            <v>45974</v>
          </cell>
          <cell r="S14305">
            <v>223001</v>
          </cell>
        </row>
        <row r="14306">
          <cell r="K14306" t="str">
            <v>223005</v>
          </cell>
          <cell r="M14306">
            <v>1</v>
          </cell>
          <cell r="R14306">
            <v>45974</v>
          </cell>
          <cell r="S14306">
            <v>223005</v>
          </cell>
        </row>
        <row r="14307">
          <cell r="K14307" t="str">
            <v>220002</v>
          </cell>
          <cell r="M14307">
            <v>2</v>
          </cell>
          <cell r="R14307">
            <v>45974</v>
          </cell>
          <cell r="S14307">
            <v>220002</v>
          </cell>
        </row>
        <row r="14308">
          <cell r="K14308" t="str">
            <v>213005</v>
          </cell>
          <cell r="M14308">
            <v>1</v>
          </cell>
          <cell r="R14308">
            <v>45974</v>
          </cell>
          <cell r="S14308">
            <v>213005</v>
          </cell>
        </row>
        <row r="14309">
          <cell r="K14309" t="str">
            <v>241001</v>
          </cell>
          <cell r="M14309">
            <v>1</v>
          </cell>
          <cell r="R14309">
            <v>45974</v>
          </cell>
          <cell r="S14309">
            <v>241001</v>
          </cell>
        </row>
        <row r="14310">
          <cell r="K14310" t="str">
            <v>217021</v>
          </cell>
          <cell r="M14310">
            <v>1</v>
          </cell>
          <cell r="R14310">
            <v>45974</v>
          </cell>
          <cell r="S14310">
            <v>217021</v>
          </cell>
        </row>
        <row r="14311">
          <cell r="K14311" t="str">
            <v>226001</v>
          </cell>
          <cell r="M14311">
            <v>1</v>
          </cell>
          <cell r="R14311">
            <v>45974</v>
          </cell>
          <cell r="S14311">
            <v>226001</v>
          </cell>
        </row>
        <row r="14312">
          <cell r="K14312" t="str">
            <v>227002</v>
          </cell>
          <cell r="M14312">
            <v>1</v>
          </cell>
          <cell r="R14312">
            <v>45974</v>
          </cell>
          <cell r="S14312">
            <v>227002</v>
          </cell>
        </row>
        <row r="14313">
          <cell r="K14313" t="str">
            <v>228001</v>
          </cell>
          <cell r="M14313">
            <v>1</v>
          </cell>
          <cell r="R14313">
            <v>45974</v>
          </cell>
          <cell r="S14313">
            <v>228001</v>
          </cell>
        </row>
        <row r="14314">
          <cell r="K14314" t="str">
            <v>209016</v>
          </cell>
          <cell r="M14314">
            <v>2</v>
          </cell>
          <cell r="R14314">
            <v>45974</v>
          </cell>
          <cell r="S14314">
            <v>209016</v>
          </cell>
        </row>
        <row r="14315">
          <cell r="K14315" t="str">
            <v>234001</v>
          </cell>
          <cell r="M14315">
            <v>1</v>
          </cell>
          <cell r="R14315">
            <v>45974</v>
          </cell>
          <cell r="S14315">
            <v>234001</v>
          </cell>
        </row>
        <row r="14316">
          <cell r="K14316" t="str">
            <v>223001</v>
          </cell>
          <cell r="M14316">
            <v>1</v>
          </cell>
          <cell r="R14316">
            <v>45974</v>
          </cell>
          <cell r="S14316">
            <v>223001</v>
          </cell>
        </row>
        <row r="14317">
          <cell r="K14317" t="str">
            <v>223002</v>
          </cell>
          <cell r="M14317">
            <v>1</v>
          </cell>
          <cell r="R14317">
            <v>45974</v>
          </cell>
          <cell r="S14317">
            <v>223002</v>
          </cell>
        </row>
        <row r="14318">
          <cell r="K14318" t="str">
            <v>226001</v>
          </cell>
          <cell r="M14318">
            <v>1</v>
          </cell>
          <cell r="R14318">
            <v>45974</v>
          </cell>
          <cell r="S14318">
            <v>226001</v>
          </cell>
        </row>
        <row r="14319">
          <cell r="K14319" t="str">
            <v>213002</v>
          </cell>
          <cell r="M14319">
            <v>1</v>
          </cell>
          <cell r="R14319">
            <v>45974</v>
          </cell>
          <cell r="S14319">
            <v>213002</v>
          </cell>
        </row>
        <row r="14320">
          <cell r="K14320" t="str">
            <v>203003</v>
          </cell>
          <cell r="M14320">
            <v>1</v>
          </cell>
          <cell r="R14320">
            <v>45974</v>
          </cell>
          <cell r="S14320">
            <v>203003</v>
          </cell>
        </row>
        <row r="14321">
          <cell r="K14321" t="str">
            <v>227002</v>
          </cell>
          <cell r="M14321">
            <v>1</v>
          </cell>
          <cell r="R14321">
            <v>45974</v>
          </cell>
          <cell r="S14321">
            <v>227002</v>
          </cell>
        </row>
        <row r="14322">
          <cell r="K14322" t="str">
            <v>207017</v>
          </cell>
          <cell r="M14322">
            <v>1</v>
          </cell>
          <cell r="R14322">
            <v>45974</v>
          </cell>
          <cell r="S14322">
            <v>207017</v>
          </cell>
        </row>
        <row r="14323">
          <cell r="K14323" t="str">
            <v>220003</v>
          </cell>
          <cell r="M14323">
            <v>1</v>
          </cell>
          <cell r="R14323">
            <v>45974</v>
          </cell>
          <cell r="S14323">
            <v>220003</v>
          </cell>
        </row>
        <row r="14324">
          <cell r="K14324" t="str">
            <v>231012</v>
          </cell>
          <cell r="M14324">
            <v>1</v>
          </cell>
          <cell r="R14324">
            <v>45974</v>
          </cell>
          <cell r="S14324">
            <v>231012</v>
          </cell>
        </row>
        <row r="14325">
          <cell r="K14325" t="str">
            <v>231012</v>
          </cell>
          <cell r="M14325">
            <v>1</v>
          </cell>
          <cell r="R14325">
            <v>45975</v>
          </cell>
          <cell r="S14325">
            <v>231012</v>
          </cell>
        </row>
        <row r="14326">
          <cell r="K14326" t="str">
            <v>241001</v>
          </cell>
          <cell r="M14326">
            <v>2</v>
          </cell>
          <cell r="R14326">
            <v>45975</v>
          </cell>
          <cell r="S14326">
            <v>241001</v>
          </cell>
        </row>
        <row r="14327">
          <cell r="K14327" t="str">
            <v>201011</v>
          </cell>
          <cell r="M14327">
            <v>3</v>
          </cell>
          <cell r="R14327">
            <v>45975</v>
          </cell>
          <cell r="S14327">
            <v>201011</v>
          </cell>
        </row>
        <row r="14328">
          <cell r="K14328" t="str">
            <v>201022</v>
          </cell>
          <cell r="M14328">
            <v>1</v>
          </cell>
          <cell r="R14328">
            <v>45974</v>
          </cell>
          <cell r="S14328">
            <v>201022</v>
          </cell>
        </row>
        <row r="14329">
          <cell r="K14329" t="str">
            <v>201011</v>
          </cell>
          <cell r="M14329">
            <v>1</v>
          </cell>
          <cell r="R14329">
            <v>45974</v>
          </cell>
          <cell r="S14329">
            <v>201011</v>
          </cell>
        </row>
        <row r="14330">
          <cell r="K14330" t="str">
            <v>223001</v>
          </cell>
          <cell r="M14330">
            <v>2</v>
          </cell>
          <cell r="R14330">
            <v>45974</v>
          </cell>
          <cell r="S14330">
            <v>223001</v>
          </cell>
        </row>
        <row r="14331">
          <cell r="K14331" t="str">
            <v>213002</v>
          </cell>
          <cell r="M14331">
            <v>3</v>
          </cell>
          <cell r="R14331">
            <v>45974</v>
          </cell>
          <cell r="S14331">
            <v>213002</v>
          </cell>
        </row>
        <row r="14332">
          <cell r="K14332" t="str">
            <v>261004</v>
          </cell>
          <cell r="M14332">
            <v>13</v>
          </cell>
          <cell r="R14332">
            <v>45974</v>
          </cell>
          <cell r="S14332">
            <v>261004</v>
          </cell>
        </row>
        <row r="14333">
          <cell r="K14333" t="str">
            <v>241001</v>
          </cell>
          <cell r="M14333">
            <v>3</v>
          </cell>
          <cell r="R14333">
            <v>45974</v>
          </cell>
          <cell r="S14333">
            <v>241001</v>
          </cell>
        </row>
        <row r="14334">
          <cell r="K14334" t="str">
            <v>222007</v>
          </cell>
          <cell r="M14334">
            <v>1</v>
          </cell>
          <cell r="R14334">
            <v>45974</v>
          </cell>
          <cell r="S14334">
            <v>222007</v>
          </cell>
        </row>
        <row r="14335">
          <cell r="K14335" t="str">
            <v>213005</v>
          </cell>
          <cell r="M14335">
            <v>2</v>
          </cell>
          <cell r="R14335">
            <v>45974</v>
          </cell>
          <cell r="S14335">
            <v>213005</v>
          </cell>
        </row>
        <row r="14336">
          <cell r="K14336" t="str">
            <v>261004</v>
          </cell>
          <cell r="M14336">
            <v>1</v>
          </cell>
          <cell r="R14336">
            <v>45974</v>
          </cell>
          <cell r="S14336">
            <v>261004</v>
          </cell>
        </row>
        <row r="14337">
          <cell r="K14337" t="str">
            <v>226025</v>
          </cell>
          <cell r="M14337">
            <v>1</v>
          </cell>
          <cell r="R14337">
            <v>45974</v>
          </cell>
          <cell r="S14337">
            <v>226025</v>
          </cell>
        </row>
        <row r="14338">
          <cell r="K14338" t="str">
            <v>227001</v>
          </cell>
          <cell r="M14338">
            <v>1</v>
          </cell>
          <cell r="R14338">
            <v>45975</v>
          </cell>
          <cell r="S14338">
            <v>227001</v>
          </cell>
        </row>
        <row r="14339">
          <cell r="K14339" t="str">
            <v>201021</v>
          </cell>
          <cell r="M14339">
            <v>3</v>
          </cell>
          <cell r="R14339">
            <v>45975</v>
          </cell>
          <cell r="S14339">
            <v>201021</v>
          </cell>
        </row>
        <row r="14340">
          <cell r="K14340" t="str">
            <v>220003</v>
          </cell>
          <cell r="M14340">
            <v>1</v>
          </cell>
          <cell r="R14340">
            <v>45975</v>
          </cell>
          <cell r="S14340">
            <v>220003</v>
          </cell>
        </row>
        <row r="14341">
          <cell r="K14341" t="str">
            <v>220003</v>
          </cell>
          <cell r="M14341">
            <v>2</v>
          </cell>
          <cell r="R14341">
            <v>45975</v>
          </cell>
          <cell r="S14341">
            <v>220003</v>
          </cell>
        </row>
        <row r="14342">
          <cell r="K14342" t="str">
            <v>213005</v>
          </cell>
          <cell r="M14342">
            <v>1</v>
          </cell>
          <cell r="R14342">
            <v>45975</v>
          </cell>
          <cell r="S14342">
            <v>213005</v>
          </cell>
        </row>
        <row r="14343">
          <cell r="K14343" t="str">
            <v>228001</v>
          </cell>
          <cell r="M14343">
            <v>1</v>
          </cell>
          <cell r="R14343">
            <v>45975</v>
          </cell>
          <cell r="S14343">
            <v>228001</v>
          </cell>
        </row>
        <row r="14344">
          <cell r="K14344" t="str">
            <v>209016</v>
          </cell>
          <cell r="M14344">
            <v>1</v>
          </cell>
          <cell r="R14344">
            <v>45975</v>
          </cell>
          <cell r="S14344">
            <v>209016</v>
          </cell>
        </row>
        <row r="14345">
          <cell r="K14345" t="str">
            <v>209004</v>
          </cell>
          <cell r="M14345">
            <v>1</v>
          </cell>
          <cell r="R14345">
            <v>45975</v>
          </cell>
          <cell r="S14345">
            <v>209004</v>
          </cell>
        </row>
        <row r="14346">
          <cell r="K14346" t="str">
            <v>209012</v>
          </cell>
          <cell r="M14346">
            <v>1</v>
          </cell>
          <cell r="R14346">
            <v>45975</v>
          </cell>
          <cell r="S14346">
            <v>209012</v>
          </cell>
        </row>
        <row r="14347">
          <cell r="K14347" t="str">
            <v>213005</v>
          </cell>
          <cell r="M14347">
            <v>2</v>
          </cell>
          <cell r="R14347">
            <v>45974</v>
          </cell>
          <cell r="S14347">
            <v>213005</v>
          </cell>
        </row>
        <row r="14348">
          <cell r="K14348" t="str">
            <v>212035</v>
          </cell>
          <cell r="M14348">
            <v>1</v>
          </cell>
          <cell r="R14348">
            <v>45975</v>
          </cell>
          <cell r="S14348">
            <v>212035</v>
          </cell>
        </row>
        <row r="14349">
          <cell r="K14349" t="str">
            <v>228001</v>
          </cell>
          <cell r="M14349">
            <v>1</v>
          </cell>
          <cell r="R14349">
            <v>45975</v>
          </cell>
          <cell r="S14349">
            <v>228001</v>
          </cell>
        </row>
        <row r="14350">
          <cell r="K14350" t="str">
            <v>226026</v>
          </cell>
          <cell r="M14350">
            <v>1</v>
          </cell>
          <cell r="R14350">
            <v>45975</v>
          </cell>
          <cell r="S14350">
            <v>226026</v>
          </cell>
        </row>
        <row r="14351">
          <cell r="K14351" t="str">
            <v>228001</v>
          </cell>
          <cell r="M14351">
            <v>1</v>
          </cell>
          <cell r="R14351">
            <v>45975</v>
          </cell>
          <cell r="S14351">
            <v>228001</v>
          </cell>
        </row>
        <row r="14352">
          <cell r="K14352" t="str">
            <v>229001</v>
          </cell>
          <cell r="M14352">
            <v>1</v>
          </cell>
          <cell r="R14352">
            <v>45975</v>
          </cell>
          <cell r="S14352">
            <v>229001</v>
          </cell>
        </row>
        <row r="14353">
          <cell r="K14353" t="str">
            <v>201011</v>
          </cell>
          <cell r="M14353">
            <v>6</v>
          </cell>
          <cell r="R14353">
            <v>45975</v>
          </cell>
          <cell r="S14353">
            <v>201011</v>
          </cell>
        </row>
        <row r="14354">
          <cell r="K14354" t="str">
            <v>241001</v>
          </cell>
          <cell r="M14354">
            <v>10</v>
          </cell>
          <cell r="R14354">
            <v>45975</v>
          </cell>
          <cell r="S14354">
            <v>241001</v>
          </cell>
        </row>
        <row r="14355">
          <cell r="K14355" t="str">
            <v>223002</v>
          </cell>
          <cell r="M14355">
            <v>1</v>
          </cell>
          <cell r="R14355">
            <v>45975</v>
          </cell>
          <cell r="S14355">
            <v>223002</v>
          </cell>
        </row>
        <row r="14356">
          <cell r="K14356" t="str">
            <v>213006</v>
          </cell>
          <cell r="M14356">
            <v>4</v>
          </cell>
          <cell r="R14356">
            <v>45975</v>
          </cell>
          <cell r="S14356">
            <v>213006</v>
          </cell>
        </row>
        <row r="14357">
          <cell r="K14357" t="str">
            <v>241001</v>
          </cell>
          <cell r="M14357">
            <v>5</v>
          </cell>
          <cell r="R14357">
            <v>45975</v>
          </cell>
          <cell r="S14357">
            <v>241001</v>
          </cell>
        </row>
        <row r="14358">
          <cell r="K14358" t="str">
            <v>226001</v>
          </cell>
          <cell r="M14358">
            <v>1</v>
          </cell>
          <cell r="R14358">
            <v>45975</v>
          </cell>
          <cell r="S14358">
            <v>226001</v>
          </cell>
        </row>
        <row r="14359">
          <cell r="K14359" t="str">
            <v>226001</v>
          </cell>
          <cell r="M14359">
            <v>1</v>
          </cell>
          <cell r="R14359">
            <v>45975</v>
          </cell>
          <cell r="S14359">
            <v>226001</v>
          </cell>
        </row>
        <row r="14360">
          <cell r="K14360" t="str">
            <v>223002</v>
          </cell>
          <cell r="M14360">
            <v>2</v>
          </cell>
          <cell r="R14360">
            <v>45975</v>
          </cell>
          <cell r="S14360">
            <v>223002</v>
          </cell>
        </row>
        <row r="14361">
          <cell r="K14361" t="str">
            <v>223004</v>
          </cell>
          <cell r="M14361">
            <v>1</v>
          </cell>
          <cell r="R14361">
            <v>45975</v>
          </cell>
          <cell r="S14361">
            <v>223004</v>
          </cell>
        </row>
        <row r="14362">
          <cell r="K14362" t="str">
            <v>213002</v>
          </cell>
          <cell r="M14362">
            <v>4</v>
          </cell>
          <cell r="R14362">
            <v>45975</v>
          </cell>
          <cell r="S14362">
            <v>213002</v>
          </cell>
        </row>
        <row r="14363">
          <cell r="K14363" t="str">
            <v>213002</v>
          </cell>
          <cell r="M14363">
            <v>33</v>
          </cell>
          <cell r="R14363">
            <v>45975</v>
          </cell>
          <cell r="S14363">
            <v>213002</v>
          </cell>
        </row>
        <row r="14364">
          <cell r="K14364" t="str">
            <v>220002</v>
          </cell>
          <cell r="M14364">
            <v>2</v>
          </cell>
          <cell r="R14364">
            <v>45975</v>
          </cell>
          <cell r="S14364">
            <v>220002</v>
          </cell>
        </row>
        <row r="14365">
          <cell r="K14365" t="str">
            <v>223002</v>
          </cell>
          <cell r="M14365">
            <v>4</v>
          </cell>
          <cell r="R14365">
            <v>45975</v>
          </cell>
          <cell r="S14365">
            <v>223002</v>
          </cell>
        </row>
        <row r="14366">
          <cell r="K14366" t="str">
            <v>228001</v>
          </cell>
          <cell r="M14366">
            <v>1</v>
          </cell>
          <cell r="R14366">
            <v>45975</v>
          </cell>
          <cell r="S14366">
            <v>228001</v>
          </cell>
        </row>
        <row r="14367">
          <cell r="K14367" t="str">
            <v>228001</v>
          </cell>
          <cell r="M14367">
            <v>5</v>
          </cell>
          <cell r="R14367">
            <v>45975</v>
          </cell>
          <cell r="S14367">
            <v>228001</v>
          </cell>
        </row>
        <row r="14368">
          <cell r="K14368" t="str">
            <v>201021</v>
          </cell>
          <cell r="M14368">
            <v>4</v>
          </cell>
          <cell r="R14368">
            <v>45975</v>
          </cell>
          <cell r="S14368">
            <v>201021</v>
          </cell>
        </row>
        <row r="14369">
          <cell r="K14369" t="str">
            <v>228001</v>
          </cell>
          <cell r="M14369">
            <v>1</v>
          </cell>
          <cell r="R14369">
            <v>45976</v>
          </cell>
          <cell r="S14369">
            <v>228001</v>
          </cell>
        </row>
        <row r="14370">
          <cell r="K14370" t="str">
            <v>227012</v>
          </cell>
          <cell r="M14370">
            <v>2</v>
          </cell>
          <cell r="R14370">
            <v>45977</v>
          </cell>
          <cell r="S14370">
            <v>227012</v>
          </cell>
        </row>
        <row r="14371">
          <cell r="K14371" t="str">
            <v>226024</v>
          </cell>
          <cell r="M14371">
            <v>3</v>
          </cell>
          <cell r="R14371">
            <v>45977</v>
          </cell>
          <cell r="S14371">
            <v>226024</v>
          </cell>
        </row>
        <row r="14372">
          <cell r="K14372" t="str">
            <v>201021</v>
          </cell>
          <cell r="M14372">
            <v>6</v>
          </cell>
          <cell r="R14372">
            <v>45977</v>
          </cell>
          <cell r="S14372">
            <v>201021</v>
          </cell>
        </row>
        <row r="14373">
          <cell r="K14373" t="str">
            <v>231012</v>
          </cell>
          <cell r="M14373">
            <v>1</v>
          </cell>
          <cell r="R14373">
            <v>45977</v>
          </cell>
          <cell r="S14373">
            <v>231012</v>
          </cell>
        </row>
        <row r="14374">
          <cell r="K14374" t="str">
            <v>231010</v>
          </cell>
          <cell r="M14374">
            <v>2</v>
          </cell>
          <cell r="R14374">
            <v>45977</v>
          </cell>
          <cell r="S14374">
            <v>231010</v>
          </cell>
        </row>
        <row r="14375">
          <cell r="K14375" t="str">
            <v>201021</v>
          </cell>
          <cell r="M14375">
            <v>1</v>
          </cell>
          <cell r="R14375">
            <v>45977</v>
          </cell>
          <cell r="S14375">
            <v>201021</v>
          </cell>
        </row>
        <row r="14376">
          <cell r="K14376" t="str">
            <v>223002</v>
          </cell>
          <cell r="M14376">
            <v>3</v>
          </cell>
          <cell r="R14376">
            <v>45977</v>
          </cell>
          <cell r="S14376">
            <v>223002</v>
          </cell>
        </row>
        <row r="14377">
          <cell r="K14377" t="str">
            <v>223001</v>
          </cell>
          <cell r="M14377">
            <v>10</v>
          </cell>
          <cell r="R14377">
            <v>45977</v>
          </cell>
          <cell r="S14377">
            <v>223001</v>
          </cell>
        </row>
        <row r="14378">
          <cell r="K14378" t="str">
            <v>209022</v>
          </cell>
          <cell r="M14378">
            <v>6</v>
          </cell>
          <cell r="R14378">
            <v>45977</v>
          </cell>
          <cell r="S14378">
            <v>209022</v>
          </cell>
        </row>
        <row r="14379">
          <cell r="K14379" t="str">
            <v>201021</v>
          </cell>
          <cell r="M14379">
            <v>22</v>
          </cell>
          <cell r="R14379">
            <v>45978</v>
          </cell>
          <cell r="S14379">
            <v>201021</v>
          </cell>
        </row>
        <row r="14380">
          <cell r="K14380" t="str">
            <v>201011</v>
          </cell>
          <cell r="M14380">
            <v>10</v>
          </cell>
          <cell r="R14380">
            <v>45975</v>
          </cell>
          <cell r="S14380">
            <v>201011</v>
          </cell>
        </row>
        <row r="14381">
          <cell r="K14381" t="str">
            <v>223002</v>
          </cell>
          <cell r="M14381">
            <v>1</v>
          </cell>
          <cell r="R14381">
            <v>45977</v>
          </cell>
          <cell r="S14381">
            <v>223002</v>
          </cell>
        </row>
        <row r="14382">
          <cell r="K14382" t="str">
            <v>223006</v>
          </cell>
          <cell r="M14382">
            <v>2</v>
          </cell>
          <cell r="R14382">
            <v>45977</v>
          </cell>
          <cell r="S14382">
            <v>223006</v>
          </cell>
        </row>
        <row r="14383">
          <cell r="K14383" t="str">
            <v>217022</v>
          </cell>
          <cell r="M14383">
            <v>1</v>
          </cell>
          <cell r="R14383">
            <v>45977</v>
          </cell>
          <cell r="S14383">
            <v>217022</v>
          </cell>
        </row>
        <row r="14384">
          <cell r="K14384" t="str">
            <v>203001</v>
          </cell>
          <cell r="M14384">
            <v>2</v>
          </cell>
          <cell r="R14384">
            <v>45977</v>
          </cell>
          <cell r="S14384">
            <v>203001</v>
          </cell>
        </row>
        <row r="14385">
          <cell r="K14385" t="str">
            <v>232001</v>
          </cell>
          <cell r="M14385">
            <v>1</v>
          </cell>
          <cell r="R14385">
            <v>45977</v>
          </cell>
          <cell r="S14385">
            <v>232001</v>
          </cell>
        </row>
        <row r="14386">
          <cell r="K14386" t="str">
            <v>223002</v>
          </cell>
          <cell r="M14386">
            <v>1</v>
          </cell>
          <cell r="R14386">
            <v>45977</v>
          </cell>
          <cell r="S14386">
            <v>223002</v>
          </cell>
        </row>
        <row r="14387">
          <cell r="K14387" t="str">
            <v>223006</v>
          </cell>
          <cell r="M14387">
            <v>1</v>
          </cell>
          <cell r="R14387">
            <v>45977</v>
          </cell>
          <cell r="S14387">
            <v>223006</v>
          </cell>
        </row>
        <row r="14388">
          <cell r="K14388" t="str">
            <v>223018</v>
          </cell>
          <cell r="M14388">
            <v>1</v>
          </cell>
          <cell r="R14388">
            <v>45977</v>
          </cell>
          <cell r="S14388">
            <v>223018</v>
          </cell>
        </row>
        <row r="14389">
          <cell r="K14389" t="str">
            <v>223002</v>
          </cell>
          <cell r="M14389">
            <v>2</v>
          </cell>
          <cell r="R14389">
            <v>45977</v>
          </cell>
          <cell r="S14389">
            <v>223002</v>
          </cell>
        </row>
        <row r="14390">
          <cell r="K14390" t="str">
            <v>217022</v>
          </cell>
          <cell r="M14390">
            <v>1</v>
          </cell>
          <cell r="R14390">
            <v>45977</v>
          </cell>
          <cell r="S14390">
            <v>217022</v>
          </cell>
        </row>
        <row r="14391">
          <cell r="K14391" t="str">
            <v>213006</v>
          </cell>
          <cell r="M14391">
            <v>1</v>
          </cell>
          <cell r="R14391">
            <v>45977</v>
          </cell>
          <cell r="S14391">
            <v>213006</v>
          </cell>
        </row>
        <row r="14392">
          <cell r="K14392" t="str">
            <v>217006</v>
          </cell>
          <cell r="M14392">
            <v>2</v>
          </cell>
          <cell r="R14392">
            <v>45977</v>
          </cell>
          <cell r="S14392">
            <v>217006</v>
          </cell>
        </row>
        <row r="14393">
          <cell r="K14393" t="str">
            <v>232001</v>
          </cell>
          <cell r="M14393">
            <v>1</v>
          </cell>
          <cell r="R14393">
            <v>45977</v>
          </cell>
          <cell r="S14393">
            <v>232001</v>
          </cell>
        </row>
        <row r="14394">
          <cell r="K14394" t="str">
            <v>206002</v>
          </cell>
          <cell r="M14394">
            <v>3</v>
          </cell>
          <cell r="R14394">
            <v>45977</v>
          </cell>
          <cell r="S14394">
            <v>206002</v>
          </cell>
        </row>
        <row r="14395">
          <cell r="K14395" t="str">
            <v>201011</v>
          </cell>
          <cell r="M14395">
            <v>16</v>
          </cell>
          <cell r="R14395">
            <v>45975</v>
          </cell>
          <cell r="S14395">
            <v>201011</v>
          </cell>
        </row>
        <row r="14396">
          <cell r="K14396" t="str">
            <v>212035</v>
          </cell>
          <cell r="M14396">
            <v>4</v>
          </cell>
          <cell r="R14396">
            <v>45978</v>
          </cell>
          <cell r="S14396">
            <v>212035</v>
          </cell>
        </row>
        <row r="14397">
          <cell r="K14397" t="str">
            <v>213005</v>
          </cell>
          <cell r="M14397">
            <v>2</v>
          </cell>
          <cell r="R14397">
            <v>45978</v>
          </cell>
          <cell r="S14397">
            <v>213005</v>
          </cell>
        </row>
        <row r="14398">
          <cell r="K14398" t="str">
            <v>227012</v>
          </cell>
          <cell r="M14398">
            <v>5</v>
          </cell>
          <cell r="R14398">
            <v>45977</v>
          </cell>
          <cell r="S14398">
            <v>227012</v>
          </cell>
        </row>
        <row r="14399">
          <cell r="K14399" t="str">
            <v>227012</v>
          </cell>
          <cell r="M14399">
            <v>2</v>
          </cell>
          <cell r="R14399">
            <v>45977</v>
          </cell>
          <cell r="S14399">
            <v>227012</v>
          </cell>
        </row>
        <row r="14400">
          <cell r="K14400" t="str">
            <v>213005</v>
          </cell>
          <cell r="M14400">
            <v>1</v>
          </cell>
          <cell r="R14400">
            <v>45978</v>
          </cell>
          <cell r="S14400">
            <v>213005</v>
          </cell>
        </row>
        <row r="14401">
          <cell r="K14401" t="str">
            <v>212035</v>
          </cell>
          <cell r="M14401">
            <v>1</v>
          </cell>
          <cell r="R14401">
            <v>45978</v>
          </cell>
          <cell r="S14401">
            <v>212035</v>
          </cell>
        </row>
        <row r="14402">
          <cell r="K14402" t="str">
            <v>209017</v>
          </cell>
          <cell r="M14402">
            <v>3</v>
          </cell>
          <cell r="R14402">
            <v>45978</v>
          </cell>
          <cell r="S14402">
            <v>209017</v>
          </cell>
        </row>
        <row r="14403">
          <cell r="K14403" t="str">
            <v>228001</v>
          </cell>
          <cell r="M14403">
            <v>2</v>
          </cell>
          <cell r="R14403">
            <v>45978</v>
          </cell>
          <cell r="S14403">
            <v>228001</v>
          </cell>
        </row>
        <row r="14404">
          <cell r="K14404" t="str">
            <v>241001</v>
          </cell>
          <cell r="M14404">
            <v>10</v>
          </cell>
          <cell r="R14404">
            <v>45978</v>
          </cell>
          <cell r="S14404">
            <v>241001</v>
          </cell>
        </row>
        <row r="14405">
          <cell r="K14405" t="str">
            <v>222001</v>
          </cell>
          <cell r="M14405">
            <v>1</v>
          </cell>
          <cell r="R14405">
            <v>45978</v>
          </cell>
          <cell r="S14405">
            <v>222001</v>
          </cell>
        </row>
        <row r="14406">
          <cell r="K14406" t="str">
            <v>234011</v>
          </cell>
          <cell r="M14406">
            <v>1</v>
          </cell>
          <cell r="R14406">
            <v>45978</v>
          </cell>
          <cell r="S14406">
            <v>234011</v>
          </cell>
        </row>
        <row r="14407">
          <cell r="K14407" t="str">
            <v>201021</v>
          </cell>
          <cell r="M14407">
            <v>3</v>
          </cell>
          <cell r="R14407">
            <v>45978</v>
          </cell>
          <cell r="S14407">
            <v>201021</v>
          </cell>
        </row>
        <row r="14408">
          <cell r="K14408" t="str">
            <v>226001</v>
          </cell>
          <cell r="M14408">
            <v>2</v>
          </cell>
          <cell r="R14408">
            <v>45978</v>
          </cell>
          <cell r="S14408">
            <v>226001</v>
          </cell>
        </row>
        <row r="14409">
          <cell r="K14409" t="str">
            <v>241001</v>
          </cell>
          <cell r="M14409">
            <v>5</v>
          </cell>
          <cell r="R14409">
            <v>45978</v>
          </cell>
          <cell r="S14409">
            <v>241001</v>
          </cell>
        </row>
        <row r="14410">
          <cell r="K14410" t="str">
            <v>228001</v>
          </cell>
          <cell r="M14410">
            <v>2</v>
          </cell>
          <cell r="R14410">
            <v>45978</v>
          </cell>
          <cell r="S14410">
            <v>228001</v>
          </cell>
        </row>
        <row r="14411">
          <cell r="K14411" t="str">
            <v>213002</v>
          </cell>
          <cell r="M14411">
            <v>2</v>
          </cell>
          <cell r="R14411">
            <v>45978</v>
          </cell>
          <cell r="S14411">
            <v>213002</v>
          </cell>
        </row>
        <row r="14412">
          <cell r="K14412" t="str">
            <v>213002</v>
          </cell>
          <cell r="M14412">
            <v>4</v>
          </cell>
          <cell r="R14412">
            <v>45978</v>
          </cell>
          <cell r="S14412">
            <v>213002</v>
          </cell>
        </row>
        <row r="14413">
          <cell r="K14413" t="str">
            <v>217022</v>
          </cell>
          <cell r="M14413">
            <v>2</v>
          </cell>
          <cell r="R14413">
            <v>45978</v>
          </cell>
          <cell r="S14413">
            <v>217022</v>
          </cell>
        </row>
        <row r="14414">
          <cell r="K14414" t="str">
            <v>213002</v>
          </cell>
          <cell r="M14414">
            <v>4</v>
          </cell>
          <cell r="R14414">
            <v>45978</v>
          </cell>
          <cell r="S14414">
            <v>213002</v>
          </cell>
        </row>
        <row r="14415">
          <cell r="K14415" t="str">
            <v>201021</v>
          </cell>
          <cell r="M14415">
            <v>5</v>
          </cell>
          <cell r="R14415">
            <v>45978</v>
          </cell>
          <cell r="S14415">
            <v>201021</v>
          </cell>
        </row>
        <row r="14416">
          <cell r="K14416" t="str">
            <v>227002</v>
          </cell>
          <cell r="M14416">
            <v>2</v>
          </cell>
          <cell r="R14416">
            <v>45978</v>
          </cell>
          <cell r="S14416">
            <v>227002</v>
          </cell>
        </row>
        <row r="14417">
          <cell r="K14417" t="str">
            <v>231012</v>
          </cell>
          <cell r="M14417">
            <v>2</v>
          </cell>
          <cell r="R14417">
            <v>45978</v>
          </cell>
          <cell r="S14417">
            <v>231012</v>
          </cell>
        </row>
        <row r="14418">
          <cell r="K14418" t="str">
            <v>236010</v>
          </cell>
          <cell r="M14418">
            <v>1</v>
          </cell>
          <cell r="R14418">
            <v>45978</v>
          </cell>
          <cell r="S14418">
            <v>236010</v>
          </cell>
        </row>
        <row r="14419">
          <cell r="K14419" t="str">
            <v>226001</v>
          </cell>
          <cell r="M14419">
            <v>1</v>
          </cell>
          <cell r="R14419">
            <v>45978</v>
          </cell>
          <cell r="S14419">
            <v>226001</v>
          </cell>
        </row>
        <row r="14420">
          <cell r="K14420" t="str">
            <v>212035</v>
          </cell>
          <cell r="M14420">
            <v>1</v>
          </cell>
          <cell r="R14420">
            <v>45978</v>
          </cell>
          <cell r="S14420">
            <v>212035</v>
          </cell>
        </row>
        <row r="14421">
          <cell r="K14421" t="str">
            <v>229001</v>
          </cell>
          <cell r="M14421">
            <v>1</v>
          </cell>
          <cell r="R14421">
            <v>45978</v>
          </cell>
          <cell r="S14421">
            <v>229001</v>
          </cell>
        </row>
        <row r="14422">
          <cell r="K14422" t="str">
            <v>229001</v>
          </cell>
          <cell r="M14422">
            <v>10</v>
          </cell>
          <cell r="R14422">
            <v>45978</v>
          </cell>
          <cell r="S14422">
            <v>229001</v>
          </cell>
        </row>
        <row r="14423">
          <cell r="K14423" t="str">
            <v>203003</v>
          </cell>
          <cell r="M14423">
            <v>3</v>
          </cell>
          <cell r="R14423">
            <v>45978</v>
          </cell>
          <cell r="S14423">
            <v>203003</v>
          </cell>
        </row>
        <row r="14424">
          <cell r="K14424" t="str">
            <v>210013</v>
          </cell>
          <cell r="M14424">
            <v>1</v>
          </cell>
          <cell r="R14424">
            <v>45978</v>
          </cell>
          <cell r="S14424">
            <v>210013</v>
          </cell>
        </row>
        <row r="14425">
          <cell r="K14425" t="str">
            <v>213002</v>
          </cell>
          <cell r="M14425">
            <v>9</v>
          </cell>
          <cell r="R14425">
            <v>45978</v>
          </cell>
          <cell r="S14425">
            <v>213002</v>
          </cell>
        </row>
        <row r="14426">
          <cell r="K14426" t="str">
            <v>207017</v>
          </cell>
          <cell r="M14426">
            <v>3</v>
          </cell>
          <cell r="R14426">
            <v>45978</v>
          </cell>
          <cell r="S14426">
            <v>207017</v>
          </cell>
        </row>
        <row r="14427">
          <cell r="K14427" t="str">
            <v>231012</v>
          </cell>
          <cell r="M14427">
            <v>3</v>
          </cell>
          <cell r="R14427">
            <v>45978</v>
          </cell>
          <cell r="S14427">
            <v>231012</v>
          </cell>
        </row>
        <row r="14428">
          <cell r="K14428" t="str">
            <v>213006</v>
          </cell>
          <cell r="M14428">
            <v>1</v>
          </cell>
          <cell r="R14428">
            <v>45978</v>
          </cell>
          <cell r="S14428">
            <v>213006</v>
          </cell>
        </row>
        <row r="14429">
          <cell r="K14429" t="str">
            <v>228001</v>
          </cell>
          <cell r="M14429">
            <v>4</v>
          </cell>
          <cell r="R14429">
            <v>45978</v>
          </cell>
          <cell r="S14429">
            <v>228001</v>
          </cell>
        </row>
        <row r="14430">
          <cell r="K14430" t="str">
            <v>209012</v>
          </cell>
          <cell r="M14430">
            <v>4</v>
          </cell>
          <cell r="R14430">
            <v>45978</v>
          </cell>
          <cell r="S14430">
            <v>209012</v>
          </cell>
        </row>
        <row r="14431">
          <cell r="K14431" t="str">
            <v>228001</v>
          </cell>
          <cell r="M14431">
            <v>10</v>
          </cell>
          <cell r="R14431">
            <v>45978</v>
          </cell>
          <cell r="S14431">
            <v>228001</v>
          </cell>
        </row>
        <row r="14432">
          <cell r="K14432" t="str">
            <v>226001</v>
          </cell>
          <cell r="M14432">
            <v>1</v>
          </cell>
          <cell r="R14432">
            <v>45978</v>
          </cell>
          <cell r="S14432">
            <v>226001</v>
          </cell>
        </row>
        <row r="14433">
          <cell r="K14433" t="str">
            <v>226001</v>
          </cell>
          <cell r="M14433">
            <v>2</v>
          </cell>
          <cell r="R14433">
            <v>45978</v>
          </cell>
          <cell r="S14433">
            <v>226001</v>
          </cell>
        </row>
        <row r="14434">
          <cell r="K14434" t="str">
            <v>226001</v>
          </cell>
          <cell r="M14434">
            <v>1</v>
          </cell>
          <cell r="R14434">
            <v>45978</v>
          </cell>
          <cell r="S14434">
            <v>226001</v>
          </cell>
        </row>
        <row r="14435">
          <cell r="K14435" t="str">
            <v>226001</v>
          </cell>
          <cell r="M14435">
            <v>1</v>
          </cell>
          <cell r="R14435">
            <v>45978</v>
          </cell>
          <cell r="S14435">
            <v>226001</v>
          </cell>
        </row>
        <row r="14436">
          <cell r="K14436" t="str">
            <v>210014</v>
          </cell>
          <cell r="M14436">
            <v>4</v>
          </cell>
          <cell r="R14436">
            <v>45978</v>
          </cell>
          <cell r="S14436">
            <v>210014</v>
          </cell>
        </row>
        <row r="14437">
          <cell r="K14437" t="str">
            <v>213002</v>
          </cell>
          <cell r="M14437">
            <v>30</v>
          </cell>
          <cell r="R14437">
            <v>45978</v>
          </cell>
          <cell r="S14437">
            <v>213002</v>
          </cell>
        </row>
        <row r="14438">
          <cell r="K14438" t="str">
            <v>227014</v>
          </cell>
          <cell r="M14438">
            <v>5</v>
          </cell>
          <cell r="R14438">
            <v>45978</v>
          </cell>
          <cell r="S14438">
            <v>227014</v>
          </cell>
        </row>
        <row r="14439">
          <cell r="K14439" t="str">
            <v>220002</v>
          </cell>
          <cell r="M14439">
            <v>5</v>
          </cell>
          <cell r="R14439">
            <v>45978</v>
          </cell>
          <cell r="S14439">
            <v>220002</v>
          </cell>
        </row>
        <row r="14440">
          <cell r="K14440" t="str">
            <v>271002</v>
          </cell>
          <cell r="M14440">
            <v>1</v>
          </cell>
          <cell r="R14440">
            <v>45978</v>
          </cell>
          <cell r="S14440">
            <v>271002</v>
          </cell>
        </row>
        <row r="14441">
          <cell r="K14441" t="str">
            <v>241001</v>
          </cell>
          <cell r="M14441">
            <v>1</v>
          </cell>
          <cell r="R14441">
            <v>45978</v>
          </cell>
          <cell r="S14441">
            <v>241001</v>
          </cell>
        </row>
        <row r="14442">
          <cell r="K14442" t="str">
            <v>234011</v>
          </cell>
          <cell r="M14442">
            <v>1</v>
          </cell>
          <cell r="R14442">
            <v>45978</v>
          </cell>
          <cell r="S14442">
            <v>234011</v>
          </cell>
        </row>
        <row r="14443">
          <cell r="K14443" t="str">
            <v>234001</v>
          </cell>
          <cell r="M14443">
            <v>1</v>
          </cell>
          <cell r="R14443">
            <v>45978</v>
          </cell>
          <cell r="S14443">
            <v>234001</v>
          </cell>
        </row>
        <row r="14444">
          <cell r="K14444" t="str">
            <v>223002</v>
          </cell>
          <cell r="M14444">
            <v>2</v>
          </cell>
          <cell r="R14444">
            <v>45978</v>
          </cell>
          <cell r="S14444">
            <v>223002</v>
          </cell>
        </row>
        <row r="14445">
          <cell r="K14445" t="str">
            <v>228001</v>
          </cell>
          <cell r="M14445">
            <v>7</v>
          </cell>
          <cell r="R14445">
            <v>45978</v>
          </cell>
          <cell r="S14445">
            <v>228001</v>
          </cell>
        </row>
        <row r="14446">
          <cell r="K14446" t="str">
            <v>227012</v>
          </cell>
          <cell r="M14446">
            <v>1</v>
          </cell>
          <cell r="R14446">
            <v>45978</v>
          </cell>
          <cell r="S14446">
            <v>227012</v>
          </cell>
        </row>
        <row r="14447">
          <cell r="K14447" t="str">
            <v>213005</v>
          </cell>
          <cell r="M14447">
            <v>2</v>
          </cell>
          <cell r="R14447">
            <v>45978</v>
          </cell>
          <cell r="S14447">
            <v>213005</v>
          </cell>
        </row>
        <row r="14448">
          <cell r="K14448" t="str">
            <v>228001</v>
          </cell>
          <cell r="M14448">
            <v>2</v>
          </cell>
          <cell r="R14448">
            <v>45978</v>
          </cell>
          <cell r="S14448">
            <v>228001</v>
          </cell>
        </row>
        <row r="14449">
          <cell r="K14449" t="str">
            <v>207017</v>
          </cell>
          <cell r="M14449">
            <v>1</v>
          </cell>
          <cell r="R14449">
            <v>45978</v>
          </cell>
          <cell r="S14449">
            <v>207017</v>
          </cell>
        </row>
        <row r="14450">
          <cell r="K14450" t="str">
            <v>228001</v>
          </cell>
          <cell r="M14450">
            <v>1</v>
          </cell>
          <cell r="R14450">
            <v>45978</v>
          </cell>
          <cell r="S14450">
            <v>228001</v>
          </cell>
        </row>
        <row r="14451">
          <cell r="K14451" t="str">
            <v>222001</v>
          </cell>
          <cell r="M14451">
            <v>1</v>
          </cell>
          <cell r="R14451">
            <v>45978</v>
          </cell>
          <cell r="S14451">
            <v>222001</v>
          </cell>
        </row>
        <row r="14452">
          <cell r="K14452" t="str">
            <v>223001</v>
          </cell>
          <cell r="M14452">
            <v>10</v>
          </cell>
          <cell r="R14452">
            <v>45978</v>
          </cell>
          <cell r="S14452">
            <v>223001</v>
          </cell>
        </row>
        <row r="14453">
          <cell r="K14453" t="str">
            <v>223006</v>
          </cell>
          <cell r="M14453">
            <v>8</v>
          </cell>
          <cell r="R14453">
            <v>45978</v>
          </cell>
          <cell r="S14453">
            <v>223006</v>
          </cell>
        </row>
        <row r="14454">
          <cell r="K14454" t="str">
            <v>223002</v>
          </cell>
          <cell r="M14454">
            <v>10</v>
          </cell>
          <cell r="R14454">
            <v>45978</v>
          </cell>
          <cell r="S14454">
            <v>223002</v>
          </cell>
        </row>
        <row r="14455">
          <cell r="K14455" t="str">
            <v>226032</v>
          </cell>
          <cell r="M14455">
            <v>2</v>
          </cell>
          <cell r="R14455">
            <v>45978</v>
          </cell>
          <cell r="S14455">
            <v>226032</v>
          </cell>
        </row>
        <row r="14456">
          <cell r="K14456" t="str">
            <v>213006</v>
          </cell>
          <cell r="M14456">
            <v>2</v>
          </cell>
          <cell r="R14456">
            <v>45978</v>
          </cell>
          <cell r="S14456">
            <v>213006</v>
          </cell>
        </row>
        <row r="14457">
          <cell r="K14457" t="str">
            <v>227012</v>
          </cell>
          <cell r="M14457">
            <v>2</v>
          </cell>
          <cell r="R14457">
            <v>45978</v>
          </cell>
          <cell r="S14457">
            <v>227012</v>
          </cell>
        </row>
        <row r="14458">
          <cell r="K14458" t="str">
            <v>217018</v>
          </cell>
          <cell r="M14458">
            <v>2</v>
          </cell>
          <cell r="R14458">
            <v>45978</v>
          </cell>
          <cell r="S14458">
            <v>217018</v>
          </cell>
        </row>
        <row r="14459">
          <cell r="K14459" t="str">
            <v>217022</v>
          </cell>
          <cell r="M14459">
            <v>4</v>
          </cell>
          <cell r="R14459">
            <v>45978</v>
          </cell>
          <cell r="S14459">
            <v>217022</v>
          </cell>
        </row>
        <row r="14460">
          <cell r="K14460" t="str">
            <v>220002</v>
          </cell>
          <cell r="M14460">
            <v>2</v>
          </cell>
          <cell r="R14460">
            <v>45978</v>
          </cell>
          <cell r="S14460">
            <v>220002</v>
          </cell>
        </row>
        <row r="14461">
          <cell r="K14461" t="str">
            <v>217011</v>
          </cell>
          <cell r="M14461">
            <v>1</v>
          </cell>
          <cell r="R14461">
            <v>45978</v>
          </cell>
          <cell r="S14461">
            <v>217011</v>
          </cell>
        </row>
        <row r="14462">
          <cell r="K14462" t="str">
            <v>212035</v>
          </cell>
          <cell r="M14462">
            <v>2</v>
          </cell>
          <cell r="R14462">
            <v>45978</v>
          </cell>
          <cell r="S14462">
            <v>212035</v>
          </cell>
        </row>
        <row r="14463">
          <cell r="K14463" t="str">
            <v>228001</v>
          </cell>
          <cell r="M14463">
            <v>1</v>
          </cell>
          <cell r="R14463">
            <v>45978</v>
          </cell>
          <cell r="S14463">
            <v>228001</v>
          </cell>
        </row>
        <row r="14464">
          <cell r="K14464" t="str">
            <v>210013</v>
          </cell>
          <cell r="M14464">
            <v>1</v>
          </cell>
          <cell r="R14464">
            <v>45978</v>
          </cell>
          <cell r="S14464">
            <v>210013</v>
          </cell>
        </row>
        <row r="14465">
          <cell r="K14465" t="str">
            <v>228001</v>
          </cell>
          <cell r="M14465">
            <v>1</v>
          </cell>
          <cell r="R14465">
            <v>45978</v>
          </cell>
          <cell r="S14465">
            <v>228001</v>
          </cell>
        </row>
        <row r="14466">
          <cell r="K14466" t="str">
            <v>228001</v>
          </cell>
          <cell r="M14466">
            <v>3</v>
          </cell>
          <cell r="R14466">
            <v>45978</v>
          </cell>
          <cell r="S14466">
            <v>228001</v>
          </cell>
        </row>
        <row r="14467">
          <cell r="K14467" t="str">
            <v>201003</v>
          </cell>
          <cell r="M14467">
            <v>1</v>
          </cell>
          <cell r="R14467">
            <v>45978</v>
          </cell>
          <cell r="S14467">
            <v>201003</v>
          </cell>
        </row>
        <row r="14468">
          <cell r="K14468" t="str">
            <v>203003</v>
          </cell>
          <cell r="M14468">
            <v>2</v>
          </cell>
          <cell r="R14468">
            <v>45978</v>
          </cell>
          <cell r="S14468">
            <v>203003</v>
          </cell>
        </row>
        <row r="14469">
          <cell r="K14469" t="str">
            <v>217011</v>
          </cell>
          <cell r="M14469">
            <v>2</v>
          </cell>
          <cell r="R14469">
            <v>45978</v>
          </cell>
          <cell r="S14469">
            <v>217011</v>
          </cell>
        </row>
        <row r="14470">
          <cell r="K14470" t="str">
            <v>213005</v>
          </cell>
          <cell r="M14470">
            <v>1</v>
          </cell>
          <cell r="R14470">
            <v>45978</v>
          </cell>
          <cell r="S14470">
            <v>213005</v>
          </cell>
        </row>
        <row r="14471">
          <cell r="K14471" t="str">
            <v>210004</v>
          </cell>
          <cell r="M14471">
            <v>1</v>
          </cell>
          <cell r="R14471">
            <v>45978</v>
          </cell>
          <cell r="S14471">
            <v>210004</v>
          </cell>
        </row>
        <row r="14472">
          <cell r="K14472" t="str">
            <v>217011</v>
          </cell>
          <cell r="M14472">
            <v>1</v>
          </cell>
          <cell r="R14472">
            <v>45978</v>
          </cell>
          <cell r="S14472">
            <v>217011</v>
          </cell>
        </row>
        <row r="14473">
          <cell r="K14473" t="str">
            <v>228001</v>
          </cell>
          <cell r="M14473">
            <v>15</v>
          </cell>
          <cell r="R14473">
            <v>45978</v>
          </cell>
          <cell r="S14473">
            <v>228001</v>
          </cell>
        </row>
        <row r="14474">
          <cell r="K14474" t="str">
            <v>203001</v>
          </cell>
          <cell r="M14474">
            <v>3</v>
          </cell>
          <cell r="R14474">
            <v>45978</v>
          </cell>
          <cell r="S14474">
            <v>203001</v>
          </cell>
        </row>
        <row r="14475">
          <cell r="K14475" t="str">
            <v>237001</v>
          </cell>
          <cell r="M14475">
            <v>1</v>
          </cell>
          <cell r="R14475">
            <v>45978</v>
          </cell>
          <cell r="S14475">
            <v>237001</v>
          </cell>
        </row>
        <row r="14476">
          <cell r="K14476" t="str">
            <v>228001</v>
          </cell>
          <cell r="M14476">
            <v>3</v>
          </cell>
          <cell r="R14476">
            <v>45978</v>
          </cell>
          <cell r="S14476">
            <v>228001</v>
          </cell>
        </row>
        <row r="14477">
          <cell r="K14477" t="str">
            <v>228001</v>
          </cell>
          <cell r="M14477">
            <v>3</v>
          </cell>
          <cell r="R14477">
            <v>45978</v>
          </cell>
          <cell r="S14477">
            <v>228001</v>
          </cell>
        </row>
        <row r="14478">
          <cell r="K14478" t="str">
            <v>201003</v>
          </cell>
          <cell r="M14478">
            <v>1</v>
          </cell>
          <cell r="R14478">
            <v>45978</v>
          </cell>
          <cell r="S14478">
            <v>201003</v>
          </cell>
        </row>
        <row r="14479">
          <cell r="K14479" t="str">
            <v>207017</v>
          </cell>
          <cell r="M14479">
            <v>1</v>
          </cell>
          <cell r="R14479">
            <v>45978</v>
          </cell>
          <cell r="S14479">
            <v>207017</v>
          </cell>
        </row>
        <row r="14480">
          <cell r="K14480" t="str">
            <v>231012</v>
          </cell>
          <cell r="M14480">
            <v>1</v>
          </cell>
          <cell r="R14480">
            <v>45979</v>
          </cell>
          <cell r="S14480">
            <v>231012</v>
          </cell>
        </row>
        <row r="14481">
          <cell r="K14481" t="str">
            <v>217019</v>
          </cell>
          <cell r="M14481">
            <v>6</v>
          </cell>
          <cell r="R14481">
            <v>45978</v>
          </cell>
          <cell r="S14481">
            <v>217019</v>
          </cell>
        </row>
        <row r="14482">
          <cell r="K14482" t="str">
            <v>223001</v>
          </cell>
          <cell r="M14482">
            <v>1</v>
          </cell>
          <cell r="R14482">
            <v>45978</v>
          </cell>
          <cell r="S14482">
            <v>223001</v>
          </cell>
        </row>
        <row r="14483">
          <cell r="K14483" t="str">
            <v>209001</v>
          </cell>
          <cell r="M14483">
            <v>2</v>
          </cell>
          <cell r="R14483">
            <v>45978</v>
          </cell>
          <cell r="S14483">
            <v>209001</v>
          </cell>
        </row>
        <row r="14484">
          <cell r="K14484" t="str">
            <v>222001</v>
          </cell>
          <cell r="M14484">
            <v>4</v>
          </cell>
          <cell r="R14484">
            <v>45978</v>
          </cell>
          <cell r="S14484">
            <v>222001</v>
          </cell>
        </row>
        <row r="14485">
          <cell r="K14485" t="str">
            <v>241001</v>
          </cell>
          <cell r="M14485">
            <v>4</v>
          </cell>
          <cell r="R14485">
            <v>45978</v>
          </cell>
          <cell r="S14485">
            <v>241001</v>
          </cell>
        </row>
        <row r="14486">
          <cell r="K14486" t="str">
            <v>213006</v>
          </cell>
          <cell r="M14486">
            <v>2</v>
          </cell>
          <cell r="R14486">
            <v>45978</v>
          </cell>
          <cell r="S14486">
            <v>213006</v>
          </cell>
        </row>
        <row r="14487">
          <cell r="K14487" t="str">
            <v>213002</v>
          </cell>
          <cell r="M14487">
            <v>1</v>
          </cell>
          <cell r="R14487">
            <v>45978</v>
          </cell>
          <cell r="S14487">
            <v>213002</v>
          </cell>
        </row>
        <row r="14488">
          <cell r="K14488" t="str">
            <v>201022</v>
          </cell>
          <cell r="M14488">
            <v>1</v>
          </cell>
          <cell r="R14488">
            <v>45978</v>
          </cell>
          <cell r="S14488">
            <v>201022</v>
          </cell>
        </row>
        <row r="14489">
          <cell r="K14489" t="str">
            <v>227002</v>
          </cell>
          <cell r="M14489">
            <v>1</v>
          </cell>
          <cell r="R14489">
            <v>45978</v>
          </cell>
          <cell r="S14489">
            <v>227002</v>
          </cell>
        </row>
        <row r="14490">
          <cell r="K14490" t="str">
            <v>223002</v>
          </cell>
          <cell r="M14490">
            <v>1</v>
          </cell>
          <cell r="R14490">
            <v>45978</v>
          </cell>
          <cell r="S14490">
            <v>223002</v>
          </cell>
        </row>
        <row r="14491">
          <cell r="K14491" t="str">
            <v>271002</v>
          </cell>
          <cell r="M14491">
            <v>1</v>
          </cell>
          <cell r="R14491">
            <v>45978</v>
          </cell>
          <cell r="S14491">
            <v>271002</v>
          </cell>
        </row>
        <row r="14492">
          <cell r="K14492" t="str">
            <v>234011</v>
          </cell>
          <cell r="M14492">
            <v>1</v>
          </cell>
          <cell r="R14492">
            <v>45978</v>
          </cell>
          <cell r="S14492">
            <v>234011</v>
          </cell>
        </row>
        <row r="14493">
          <cell r="K14493" t="str">
            <v>201022</v>
          </cell>
          <cell r="M14493">
            <v>1</v>
          </cell>
          <cell r="R14493">
            <v>45978</v>
          </cell>
          <cell r="S14493">
            <v>201022</v>
          </cell>
        </row>
        <row r="14494">
          <cell r="K14494" t="str">
            <v>213006</v>
          </cell>
          <cell r="M14494">
            <v>1</v>
          </cell>
          <cell r="R14494">
            <v>45979</v>
          </cell>
          <cell r="S14494">
            <v>213006</v>
          </cell>
        </row>
        <row r="14495">
          <cell r="K14495" t="str">
            <v>231012</v>
          </cell>
          <cell r="M14495">
            <v>1</v>
          </cell>
          <cell r="R14495">
            <v>45979</v>
          </cell>
          <cell r="S14495">
            <v>231012</v>
          </cell>
        </row>
        <row r="14496">
          <cell r="K14496" t="str">
            <v>207002</v>
          </cell>
          <cell r="M14496">
            <v>1</v>
          </cell>
          <cell r="R14496">
            <v>45979</v>
          </cell>
          <cell r="S14496">
            <v>207002</v>
          </cell>
        </row>
        <row r="14497">
          <cell r="K14497" t="str">
            <v>203003</v>
          </cell>
          <cell r="M14497">
            <v>1</v>
          </cell>
          <cell r="R14497">
            <v>45979</v>
          </cell>
          <cell r="S14497">
            <v>203003</v>
          </cell>
        </row>
        <row r="14498">
          <cell r="K14498" t="str">
            <v>213002</v>
          </cell>
          <cell r="M14498">
            <v>15</v>
          </cell>
          <cell r="R14498">
            <v>45979</v>
          </cell>
          <cell r="S14498">
            <v>213002</v>
          </cell>
        </row>
        <row r="14499">
          <cell r="K14499" t="str">
            <v>223002</v>
          </cell>
          <cell r="M14499">
            <v>1</v>
          </cell>
          <cell r="R14499">
            <v>45979</v>
          </cell>
          <cell r="S14499">
            <v>223002</v>
          </cell>
        </row>
        <row r="14500">
          <cell r="K14500" t="str">
            <v>203001</v>
          </cell>
          <cell r="M14500">
            <v>1</v>
          </cell>
          <cell r="R14500">
            <v>45979</v>
          </cell>
          <cell r="S14500">
            <v>203001</v>
          </cell>
        </row>
        <row r="14501">
          <cell r="K14501" t="str">
            <v>231012</v>
          </cell>
          <cell r="M14501">
            <v>1</v>
          </cell>
          <cell r="R14501">
            <v>45979</v>
          </cell>
          <cell r="S14501">
            <v>231012</v>
          </cell>
        </row>
        <row r="14502">
          <cell r="K14502" t="str">
            <v>220003</v>
          </cell>
          <cell r="M14502">
            <v>2</v>
          </cell>
          <cell r="R14502">
            <v>45979</v>
          </cell>
          <cell r="S14502">
            <v>220003</v>
          </cell>
        </row>
        <row r="14503">
          <cell r="K14503" t="str">
            <v>217008</v>
          </cell>
          <cell r="M14503">
            <v>1</v>
          </cell>
          <cell r="R14503">
            <v>45979</v>
          </cell>
          <cell r="S14503">
            <v>217008</v>
          </cell>
        </row>
        <row r="14504">
          <cell r="K14504" t="str">
            <v>231010</v>
          </cell>
          <cell r="M14504">
            <v>2</v>
          </cell>
          <cell r="R14504">
            <v>45979</v>
          </cell>
          <cell r="S14504">
            <v>231010</v>
          </cell>
        </row>
        <row r="14505">
          <cell r="K14505" t="str">
            <v>228001</v>
          </cell>
          <cell r="M14505">
            <v>1</v>
          </cell>
          <cell r="R14505">
            <v>45979</v>
          </cell>
          <cell r="S14505">
            <v>228001</v>
          </cell>
        </row>
        <row r="14506">
          <cell r="K14506" t="str">
            <v>201024</v>
          </cell>
          <cell r="M14506">
            <v>2</v>
          </cell>
          <cell r="R14506">
            <v>45979</v>
          </cell>
          <cell r="S14506">
            <v>201024</v>
          </cell>
        </row>
        <row r="14507">
          <cell r="K14507" t="str">
            <v>212035</v>
          </cell>
          <cell r="M14507">
            <v>1</v>
          </cell>
          <cell r="R14507">
            <v>45979</v>
          </cell>
          <cell r="S14507">
            <v>212035</v>
          </cell>
        </row>
        <row r="14508">
          <cell r="K14508" t="str">
            <v>228001</v>
          </cell>
          <cell r="M14508">
            <v>1</v>
          </cell>
          <cell r="R14508">
            <v>45979</v>
          </cell>
          <cell r="S14508">
            <v>228001</v>
          </cell>
        </row>
        <row r="14509">
          <cell r="K14509" t="str">
            <v>213030</v>
          </cell>
          <cell r="M14509">
            <v>10</v>
          </cell>
          <cell r="R14509">
            <v>45979</v>
          </cell>
          <cell r="S14509">
            <v>213030</v>
          </cell>
        </row>
        <row r="14510">
          <cell r="K14510" t="str">
            <v>234001</v>
          </cell>
          <cell r="M14510">
            <v>1</v>
          </cell>
          <cell r="R14510">
            <v>45979</v>
          </cell>
          <cell r="S14510">
            <v>234001</v>
          </cell>
        </row>
        <row r="14511">
          <cell r="K14511" t="str">
            <v>228001</v>
          </cell>
          <cell r="M14511">
            <v>5</v>
          </cell>
          <cell r="R14511">
            <v>45979</v>
          </cell>
          <cell r="S14511">
            <v>228001</v>
          </cell>
        </row>
        <row r="14512">
          <cell r="K14512" t="str">
            <v>231012</v>
          </cell>
          <cell r="M14512">
            <v>10</v>
          </cell>
          <cell r="R14512">
            <v>45979</v>
          </cell>
          <cell r="S14512">
            <v>231012</v>
          </cell>
        </row>
        <row r="14513">
          <cell r="K14513" t="str">
            <v>222001</v>
          </cell>
          <cell r="M14513">
            <v>1</v>
          </cell>
          <cell r="R14513">
            <v>45979</v>
          </cell>
          <cell r="S14513">
            <v>222001</v>
          </cell>
        </row>
        <row r="14514">
          <cell r="K14514" t="str">
            <v>223002</v>
          </cell>
          <cell r="M14514">
            <v>1</v>
          </cell>
          <cell r="R14514">
            <v>45979</v>
          </cell>
          <cell r="S14514">
            <v>223002</v>
          </cell>
        </row>
        <row r="14515">
          <cell r="K14515" t="str">
            <v>228001</v>
          </cell>
          <cell r="M14515">
            <v>1</v>
          </cell>
          <cell r="R14515">
            <v>45979</v>
          </cell>
          <cell r="S14515">
            <v>228001</v>
          </cell>
        </row>
        <row r="14516">
          <cell r="K14516" t="str">
            <v>213006</v>
          </cell>
          <cell r="M14516">
            <v>1</v>
          </cell>
          <cell r="R14516">
            <v>45979</v>
          </cell>
          <cell r="S14516">
            <v>213006</v>
          </cell>
        </row>
        <row r="14517">
          <cell r="K14517" t="str">
            <v>228001</v>
          </cell>
          <cell r="M14517">
            <v>8</v>
          </cell>
          <cell r="R14517">
            <v>45979</v>
          </cell>
          <cell r="S14517">
            <v>228001</v>
          </cell>
        </row>
        <row r="14518">
          <cell r="K14518" t="str">
            <v>231012</v>
          </cell>
          <cell r="M14518">
            <v>2</v>
          </cell>
          <cell r="R14518">
            <v>45979</v>
          </cell>
          <cell r="S14518">
            <v>231012</v>
          </cell>
        </row>
        <row r="14519">
          <cell r="K14519" t="str">
            <v>201011</v>
          </cell>
          <cell r="M14519">
            <v>10</v>
          </cell>
          <cell r="R14519">
            <v>45979</v>
          </cell>
          <cell r="S14519">
            <v>201011</v>
          </cell>
        </row>
        <row r="14520">
          <cell r="K14520" t="str">
            <v>201011</v>
          </cell>
          <cell r="M14520">
            <v>5</v>
          </cell>
          <cell r="R14520">
            <v>45979</v>
          </cell>
          <cell r="S14520">
            <v>201011</v>
          </cell>
        </row>
        <row r="14521">
          <cell r="K14521" t="str">
            <v>228001</v>
          </cell>
          <cell r="M14521">
            <v>2</v>
          </cell>
          <cell r="R14521">
            <v>45979</v>
          </cell>
          <cell r="S14521">
            <v>228001</v>
          </cell>
        </row>
        <row r="14522">
          <cell r="K14522" t="str">
            <v>201011</v>
          </cell>
          <cell r="M14522">
            <v>2</v>
          </cell>
          <cell r="R14522">
            <v>45979</v>
          </cell>
          <cell r="S14522">
            <v>201011</v>
          </cell>
        </row>
        <row r="14523">
          <cell r="K14523" t="str">
            <v>201011</v>
          </cell>
          <cell r="M14523">
            <v>20</v>
          </cell>
          <cell r="R14523">
            <v>45979</v>
          </cell>
          <cell r="S14523">
            <v>201011</v>
          </cell>
        </row>
        <row r="14524">
          <cell r="K14524" t="str">
            <v>206002</v>
          </cell>
          <cell r="M14524">
            <v>2</v>
          </cell>
          <cell r="R14524">
            <v>45979</v>
          </cell>
          <cell r="S14524">
            <v>206002</v>
          </cell>
        </row>
        <row r="14525">
          <cell r="K14525" t="str">
            <v>201011</v>
          </cell>
          <cell r="M14525">
            <v>1</v>
          </cell>
          <cell r="R14525">
            <v>45979</v>
          </cell>
          <cell r="S14525">
            <v>201011</v>
          </cell>
        </row>
        <row r="14526">
          <cell r="K14526" t="str">
            <v>201011</v>
          </cell>
          <cell r="M14526">
            <v>1</v>
          </cell>
          <cell r="R14526">
            <v>45979</v>
          </cell>
          <cell r="S14526">
            <v>201011</v>
          </cell>
        </row>
        <row r="14527">
          <cell r="K14527" t="str">
            <v>209001</v>
          </cell>
          <cell r="M14527">
            <v>3</v>
          </cell>
          <cell r="R14527">
            <v>45979</v>
          </cell>
          <cell r="S14527">
            <v>209001</v>
          </cell>
        </row>
        <row r="14528">
          <cell r="K14528" t="str">
            <v>217022</v>
          </cell>
          <cell r="M14528">
            <v>1</v>
          </cell>
          <cell r="R14528">
            <v>45979</v>
          </cell>
          <cell r="S14528">
            <v>217022</v>
          </cell>
        </row>
        <row r="14529">
          <cell r="K14529" t="str">
            <v>203003</v>
          </cell>
          <cell r="M14529">
            <v>1</v>
          </cell>
          <cell r="R14529">
            <v>45979</v>
          </cell>
          <cell r="S14529">
            <v>203003</v>
          </cell>
        </row>
        <row r="14530">
          <cell r="K14530" t="str">
            <v>231012</v>
          </cell>
          <cell r="M14530">
            <v>1</v>
          </cell>
          <cell r="R14530">
            <v>45979</v>
          </cell>
          <cell r="S14530">
            <v>231012</v>
          </cell>
        </row>
        <row r="14531">
          <cell r="K14531" t="str">
            <v>203003</v>
          </cell>
          <cell r="M14531">
            <v>1</v>
          </cell>
          <cell r="R14531">
            <v>45979</v>
          </cell>
          <cell r="S14531">
            <v>203003</v>
          </cell>
        </row>
        <row r="14532">
          <cell r="K14532" t="str">
            <v>208002</v>
          </cell>
          <cell r="M14532">
            <v>1</v>
          </cell>
          <cell r="R14532">
            <v>45979</v>
          </cell>
          <cell r="S14532">
            <v>208002</v>
          </cell>
        </row>
        <row r="14533">
          <cell r="K14533" t="str">
            <v>201011</v>
          </cell>
          <cell r="M14533">
            <v>4</v>
          </cell>
          <cell r="R14533">
            <v>45979</v>
          </cell>
          <cell r="S14533">
            <v>201011</v>
          </cell>
        </row>
        <row r="14534">
          <cell r="K14534" t="str">
            <v>201011</v>
          </cell>
          <cell r="M14534">
            <v>1</v>
          </cell>
          <cell r="R14534">
            <v>45979</v>
          </cell>
          <cell r="S14534">
            <v>201011</v>
          </cell>
        </row>
        <row r="14535">
          <cell r="K14535" t="str">
            <v>201011</v>
          </cell>
          <cell r="M14535">
            <v>6</v>
          </cell>
          <cell r="R14535">
            <v>45979</v>
          </cell>
          <cell r="S14535">
            <v>201011</v>
          </cell>
        </row>
        <row r="14536">
          <cell r="K14536" t="str">
            <v>201011</v>
          </cell>
          <cell r="M14536">
            <v>14</v>
          </cell>
          <cell r="R14536">
            <v>45979</v>
          </cell>
          <cell r="S14536">
            <v>201011</v>
          </cell>
        </row>
        <row r="14537">
          <cell r="K14537" t="str">
            <v>213002</v>
          </cell>
          <cell r="M14537">
            <v>10</v>
          </cell>
          <cell r="R14537">
            <v>45979</v>
          </cell>
          <cell r="S14537">
            <v>213002</v>
          </cell>
        </row>
        <row r="14538">
          <cell r="K14538" t="str">
            <v>228001</v>
          </cell>
          <cell r="M14538">
            <v>30</v>
          </cell>
          <cell r="R14538">
            <v>45979</v>
          </cell>
          <cell r="S14538">
            <v>228001</v>
          </cell>
        </row>
        <row r="14539">
          <cell r="K14539" t="str">
            <v>201011</v>
          </cell>
          <cell r="M14539">
            <v>3</v>
          </cell>
          <cell r="R14539">
            <v>45979</v>
          </cell>
          <cell r="S14539">
            <v>201011</v>
          </cell>
        </row>
        <row r="14540">
          <cell r="K14540" t="str">
            <v>226001</v>
          </cell>
          <cell r="M14540">
            <v>1</v>
          </cell>
          <cell r="R14540">
            <v>45979</v>
          </cell>
          <cell r="S14540">
            <v>226001</v>
          </cell>
        </row>
        <row r="14541">
          <cell r="K14541" t="str">
            <v>226001</v>
          </cell>
          <cell r="M14541">
            <v>1</v>
          </cell>
          <cell r="R14541">
            <v>45979</v>
          </cell>
          <cell r="S14541">
            <v>226001</v>
          </cell>
        </row>
        <row r="14542">
          <cell r="K14542" t="str">
            <v>226001</v>
          </cell>
          <cell r="M14542">
            <v>1</v>
          </cell>
          <cell r="R14542">
            <v>45979</v>
          </cell>
          <cell r="S14542">
            <v>226001</v>
          </cell>
        </row>
        <row r="14543">
          <cell r="K14543" t="str">
            <v>226001</v>
          </cell>
          <cell r="M14543">
            <v>1</v>
          </cell>
          <cell r="R14543">
            <v>45979</v>
          </cell>
          <cell r="S14543">
            <v>226001</v>
          </cell>
        </row>
        <row r="14544">
          <cell r="K14544" t="str">
            <v>226001</v>
          </cell>
          <cell r="M14544">
            <v>3</v>
          </cell>
          <cell r="R14544">
            <v>45979</v>
          </cell>
          <cell r="S14544">
            <v>226001</v>
          </cell>
        </row>
        <row r="14545">
          <cell r="K14545" t="str">
            <v>226001</v>
          </cell>
          <cell r="M14545">
            <v>2</v>
          </cell>
          <cell r="R14545">
            <v>45979</v>
          </cell>
          <cell r="S14545">
            <v>226001</v>
          </cell>
        </row>
        <row r="14546">
          <cell r="K14546" t="str">
            <v>226026</v>
          </cell>
          <cell r="M14546">
            <v>1</v>
          </cell>
          <cell r="R14546">
            <v>45979</v>
          </cell>
          <cell r="S14546">
            <v>226026</v>
          </cell>
        </row>
        <row r="14547">
          <cell r="K14547" t="str">
            <v>227001</v>
          </cell>
          <cell r="M14547">
            <v>3</v>
          </cell>
          <cell r="R14547">
            <v>45979</v>
          </cell>
          <cell r="S14547">
            <v>227001</v>
          </cell>
        </row>
        <row r="14548">
          <cell r="K14548" t="str">
            <v>222005</v>
          </cell>
          <cell r="M14548">
            <v>1</v>
          </cell>
          <cell r="R14548">
            <v>45979</v>
          </cell>
          <cell r="S14548">
            <v>222005</v>
          </cell>
        </row>
        <row r="14549">
          <cell r="K14549" t="str">
            <v>203001</v>
          </cell>
          <cell r="M14549">
            <v>3</v>
          </cell>
          <cell r="R14549">
            <v>45979</v>
          </cell>
          <cell r="S14549">
            <v>203001</v>
          </cell>
        </row>
        <row r="14550">
          <cell r="K14550" t="str">
            <v>241001</v>
          </cell>
          <cell r="M14550">
            <v>10</v>
          </cell>
          <cell r="R14550">
            <v>45979</v>
          </cell>
          <cell r="S14550">
            <v>241001</v>
          </cell>
        </row>
        <row r="14551">
          <cell r="K14551" t="str">
            <v>229003</v>
          </cell>
          <cell r="M14551">
            <v>4</v>
          </cell>
          <cell r="R14551">
            <v>45979</v>
          </cell>
          <cell r="S14551">
            <v>229003</v>
          </cell>
        </row>
        <row r="14552">
          <cell r="K14552" t="str">
            <v>228001</v>
          </cell>
          <cell r="M14552">
            <v>2</v>
          </cell>
          <cell r="R14552">
            <v>45979</v>
          </cell>
          <cell r="S14552">
            <v>228001</v>
          </cell>
        </row>
        <row r="14553">
          <cell r="K14553" t="str">
            <v>209004</v>
          </cell>
          <cell r="M14553">
            <v>1</v>
          </cell>
          <cell r="R14553">
            <v>45979</v>
          </cell>
          <cell r="S14553">
            <v>209004</v>
          </cell>
        </row>
        <row r="14554">
          <cell r="K14554" t="str">
            <v>231012</v>
          </cell>
          <cell r="M14554">
            <v>1</v>
          </cell>
          <cell r="R14554">
            <v>45979</v>
          </cell>
          <cell r="S14554">
            <v>231012</v>
          </cell>
        </row>
        <row r="14555">
          <cell r="K14555" t="str">
            <v>206002</v>
          </cell>
          <cell r="M14555">
            <v>1</v>
          </cell>
          <cell r="R14555">
            <v>45979</v>
          </cell>
          <cell r="S14555">
            <v>206002</v>
          </cell>
        </row>
        <row r="14556">
          <cell r="K14556" t="str">
            <v>208001</v>
          </cell>
          <cell r="M14556">
            <v>1</v>
          </cell>
          <cell r="R14556">
            <v>45979</v>
          </cell>
          <cell r="S14556">
            <v>208001</v>
          </cell>
        </row>
        <row r="14557">
          <cell r="K14557" t="str">
            <v>203004</v>
          </cell>
          <cell r="M14557">
            <v>1</v>
          </cell>
          <cell r="R14557">
            <v>45979</v>
          </cell>
          <cell r="S14557">
            <v>203004</v>
          </cell>
        </row>
        <row r="14558">
          <cell r="K14558" t="str">
            <v>206006</v>
          </cell>
          <cell r="M14558">
            <v>1</v>
          </cell>
          <cell r="R14558">
            <v>45979</v>
          </cell>
          <cell r="S14558">
            <v>206006</v>
          </cell>
        </row>
        <row r="14559">
          <cell r="K14559" t="str">
            <v>206005</v>
          </cell>
          <cell r="M14559">
            <v>2</v>
          </cell>
          <cell r="R14559">
            <v>45979</v>
          </cell>
          <cell r="S14559">
            <v>206005</v>
          </cell>
        </row>
        <row r="14560">
          <cell r="K14560" t="str">
            <v>206005</v>
          </cell>
          <cell r="M14560">
            <v>2</v>
          </cell>
          <cell r="R14560">
            <v>45979</v>
          </cell>
          <cell r="S14560">
            <v>206005</v>
          </cell>
        </row>
        <row r="14561">
          <cell r="K14561" t="str">
            <v>206002</v>
          </cell>
          <cell r="M14561">
            <v>1</v>
          </cell>
          <cell r="R14561">
            <v>45979</v>
          </cell>
          <cell r="S14561">
            <v>206002</v>
          </cell>
        </row>
        <row r="14562">
          <cell r="K14562" t="str">
            <v>208001</v>
          </cell>
          <cell r="M14562">
            <v>1</v>
          </cell>
          <cell r="R14562">
            <v>45979</v>
          </cell>
          <cell r="S14562">
            <v>208001</v>
          </cell>
        </row>
        <row r="14563">
          <cell r="K14563" t="str">
            <v>218001</v>
          </cell>
          <cell r="M14563">
            <v>1</v>
          </cell>
          <cell r="R14563">
            <v>45979</v>
          </cell>
          <cell r="S14563">
            <v>218001</v>
          </cell>
        </row>
        <row r="14564">
          <cell r="K14564" t="str">
            <v>201011</v>
          </cell>
          <cell r="M14564">
            <v>1</v>
          </cell>
          <cell r="R14564">
            <v>45979</v>
          </cell>
          <cell r="S14564">
            <v>201011</v>
          </cell>
        </row>
        <row r="14565">
          <cell r="K14565" t="str">
            <v>220003</v>
          </cell>
          <cell r="M14565">
            <v>1</v>
          </cell>
          <cell r="R14565">
            <v>45979</v>
          </cell>
          <cell r="S14565">
            <v>220003</v>
          </cell>
        </row>
        <row r="14566">
          <cell r="K14566" t="str">
            <v>213006</v>
          </cell>
          <cell r="M14566">
            <v>1</v>
          </cell>
          <cell r="R14566">
            <v>45979</v>
          </cell>
          <cell r="S14566">
            <v>213006</v>
          </cell>
        </row>
        <row r="14567">
          <cell r="K14567" t="str">
            <v>213006</v>
          </cell>
          <cell r="M14567">
            <v>4</v>
          </cell>
          <cell r="R14567">
            <v>45979</v>
          </cell>
          <cell r="S14567">
            <v>213006</v>
          </cell>
        </row>
        <row r="14568">
          <cell r="K14568" t="str">
            <v>228001</v>
          </cell>
          <cell r="M14568">
            <v>1</v>
          </cell>
          <cell r="R14568">
            <v>45979</v>
          </cell>
          <cell r="S14568">
            <v>228001</v>
          </cell>
        </row>
        <row r="14569">
          <cell r="K14569" t="str">
            <v>210014</v>
          </cell>
          <cell r="M14569">
            <v>2</v>
          </cell>
          <cell r="R14569">
            <v>45980</v>
          </cell>
          <cell r="S14569">
            <v>210014</v>
          </cell>
        </row>
        <row r="14570">
          <cell r="K14570" t="str">
            <v>234001</v>
          </cell>
          <cell r="M14570">
            <v>3</v>
          </cell>
          <cell r="R14570">
            <v>45980</v>
          </cell>
          <cell r="S14570">
            <v>234001</v>
          </cell>
        </row>
        <row r="14571">
          <cell r="K14571" t="str">
            <v>209004</v>
          </cell>
          <cell r="M14571">
            <v>2</v>
          </cell>
          <cell r="R14571">
            <v>45980</v>
          </cell>
          <cell r="S14571">
            <v>209004</v>
          </cell>
        </row>
        <row r="14572">
          <cell r="K14572" t="str">
            <v>201011</v>
          </cell>
          <cell r="M14572">
            <v>23</v>
          </cell>
          <cell r="R14572">
            <v>45980</v>
          </cell>
          <cell r="S14572">
            <v>201011</v>
          </cell>
        </row>
        <row r="14573">
          <cell r="K14573" t="str">
            <v>201011</v>
          </cell>
          <cell r="M14573">
            <v>36</v>
          </cell>
          <cell r="R14573">
            <v>45980</v>
          </cell>
          <cell r="S14573">
            <v>201011</v>
          </cell>
        </row>
        <row r="14574">
          <cell r="K14574" t="str">
            <v>217011</v>
          </cell>
          <cell r="M14574">
            <v>2</v>
          </cell>
          <cell r="R14574">
            <v>45980</v>
          </cell>
          <cell r="S14574">
            <v>217011</v>
          </cell>
        </row>
        <row r="14575">
          <cell r="K14575" t="str">
            <v>226001</v>
          </cell>
          <cell r="M14575">
            <v>3</v>
          </cell>
          <cell r="R14575">
            <v>45980</v>
          </cell>
          <cell r="S14575">
            <v>226001</v>
          </cell>
        </row>
        <row r="14576">
          <cell r="K14576" t="str">
            <v>241001</v>
          </cell>
          <cell r="M14576">
            <v>14</v>
          </cell>
          <cell r="R14576">
            <v>45980</v>
          </cell>
          <cell r="S14576">
            <v>241001</v>
          </cell>
        </row>
        <row r="14577">
          <cell r="K14577" t="str">
            <v>220003</v>
          </cell>
          <cell r="M14577">
            <v>1</v>
          </cell>
          <cell r="R14577">
            <v>45980</v>
          </cell>
          <cell r="S14577">
            <v>220003</v>
          </cell>
        </row>
        <row r="14578">
          <cell r="K14578" t="str">
            <v>241001</v>
          </cell>
          <cell r="M14578">
            <v>3</v>
          </cell>
          <cell r="R14578">
            <v>45979</v>
          </cell>
          <cell r="S14578">
            <v>241001</v>
          </cell>
        </row>
        <row r="14579">
          <cell r="K14579" t="str">
            <v>213002</v>
          </cell>
          <cell r="M14579">
            <v>1</v>
          </cell>
          <cell r="R14579">
            <v>45979</v>
          </cell>
          <cell r="S14579">
            <v>213002</v>
          </cell>
        </row>
        <row r="14580">
          <cell r="K14580" t="str">
            <v>203003</v>
          </cell>
          <cell r="M14580">
            <v>1</v>
          </cell>
          <cell r="R14580">
            <v>45979</v>
          </cell>
          <cell r="S14580">
            <v>203003</v>
          </cell>
        </row>
        <row r="14581">
          <cell r="K14581" t="str">
            <v>201011</v>
          </cell>
          <cell r="M14581">
            <v>3</v>
          </cell>
          <cell r="R14581">
            <v>45979</v>
          </cell>
          <cell r="S14581">
            <v>201011</v>
          </cell>
        </row>
        <row r="14582">
          <cell r="K14582" t="str">
            <v>241001</v>
          </cell>
          <cell r="M14582">
            <v>3</v>
          </cell>
          <cell r="R14582">
            <v>45980</v>
          </cell>
          <cell r="S14582">
            <v>241001</v>
          </cell>
        </row>
        <row r="14583">
          <cell r="K14583" t="str">
            <v>213002</v>
          </cell>
          <cell r="M14583">
            <v>3</v>
          </cell>
          <cell r="R14583">
            <v>45979</v>
          </cell>
          <cell r="S14583">
            <v>213002</v>
          </cell>
        </row>
        <row r="14584">
          <cell r="K14584" t="str">
            <v>213002</v>
          </cell>
          <cell r="M14584">
            <v>6</v>
          </cell>
          <cell r="R14584">
            <v>45980</v>
          </cell>
          <cell r="S14584">
            <v>213002</v>
          </cell>
        </row>
        <row r="14585">
          <cell r="K14585" t="str">
            <v>228001</v>
          </cell>
          <cell r="M14585">
            <v>1</v>
          </cell>
          <cell r="R14585">
            <v>45980</v>
          </cell>
          <cell r="S14585">
            <v>228001</v>
          </cell>
        </row>
        <row r="14586">
          <cell r="K14586" t="str">
            <v>231012</v>
          </cell>
          <cell r="M14586">
            <v>1</v>
          </cell>
          <cell r="R14586">
            <v>45980</v>
          </cell>
          <cell r="S14586">
            <v>231012</v>
          </cell>
        </row>
        <row r="14587">
          <cell r="K14587" t="str">
            <v>210013</v>
          </cell>
          <cell r="M14587">
            <v>1</v>
          </cell>
          <cell r="R14587">
            <v>45980</v>
          </cell>
          <cell r="S14587">
            <v>210013</v>
          </cell>
        </row>
        <row r="14588">
          <cell r="K14588" t="str">
            <v>203001</v>
          </cell>
          <cell r="M14588">
            <v>1</v>
          </cell>
          <cell r="R14588">
            <v>45980</v>
          </cell>
          <cell r="S14588">
            <v>203001</v>
          </cell>
        </row>
        <row r="14589">
          <cell r="K14589" t="str">
            <v>227012</v>
          </cell>
          <cell r="M14589">
            <v>1</v>
          </cell>
          <cell r="R14589">
            <v>45978</v>
          </cell>
          <cell r="S14589">
            <v>227012</v>
          </cell>
        </row>
        <row r="14590">
          <cell r="K14590" t="str">
            <v>201003</v>
          </cell>
          <cell r="M14590">
            <v>4</v>
          </cell>
          <cell r="R14590">
            <v>45978</v>
          </cell>
          <cell r="S14590">
            <v>201003</v>
          </cell>
        </row>
        <row r="14591">
          <cell r="K14591" t="str">
            <v>228001</v>
          </cell>
          <cell r="M14591">
            <v>4</v>
          </cell>
          <cell r="R14591">
            <v>45980</v>
          </cell>
          <cell r="S14591">
            <v>228001</v>
          </cell>
        </row>
        <row r="14592">
          <cell r="K14592" t="str">
            <v>228001</v>
          </cell>
          <cell r="M14592">
            <v>2</v>
          </cell>
          <cell r="R14592">
            <v>45979</v>
          </cell>
          <cell r="S14592">
            <v>228001</v>
          </cell>
        </row>
        <row r="14593">
          <cell r="K14593" t="str">
            <v>201011</v>
          </cell>
          <cell r="M14593">
            <v>6</v>
          </cell>
          <cell r="R14593">
            <v>45980</v>
          </cell>
          <cell r="S14593">
            <v>201011</v>
          </cell>
        </row>
        <row r="14594">
          <cell r="K14594" t="str">
            <v>209004</v>
          </cell>
          <cell r="M14594">
            <v>2</v>
          </cell>
          <cell r="R14594">
            <v>45980</v>
          </cell>
          <cell r="S14594">
            <v>209004</v>
          </cell>
        </row>
        <row r="14595">
          <cell r="K14595" t="str">
            <v>209006</v>
          </cell>
          <cell r="M14595">
            <v>2</v>
          </cell>
          <cell r="R14595">
            <v>45980</v>
          </cell>
          <cell r="S14595">
            <v>209006</v>
          </cell>
        </row>
        <row r="14596">
          <cell r="K14596" t="str">
            <v>218001</v>
          </cell>
          <cell r="M14596">
            <v>1</v>
          </cell>
          <cell r="R14596">
            <v>45980</v>
          </cell>
          <cell r="S14596">
            <v>218001</v>
          </cell>
        </row>
        <row r="14597">
          <cell r="K14597" t="str">
            <v>203004</v>
          </cell>
          <cell r="M14597">
            <v>2</v>
          </cell>
          <cell r="R14597">
            <v>45980</v>
          </cell>
          <cell r="S14597">
            <v>203004</v>
          </cell>
        </row>
        <row r="14598">
          <cell r="K14598" t="str">
            <v>217018</v>
          </cell>
          <cell r="M14598">
            <v>1</v>
          </cell>
          <cell r="R14598">
            <v>45980</v>
          </cell>
          <cell r="S14598">
            <v>217018</v>
          </cell>
        </row>
        <row r="14599">
          <cell r="K14599" t="str">
            <v>213002</v>
          </cell>
          <cell r="M14599">
            <v>10</v>
          </cell>
          <cell r="R14599">
            <v>45980</v>
          </cell>
          <cell r="S14599">
            <v>213002</v>
          </cell>
        </row>
        <row r="14600">
          <cell r="K14600" t="str">
            <v>228001</v>
          </cell>
          <cell r="M14600">
            <v>4</v>
          </cell>
          <cell r="R14600">
            <v>45980</v>
          </cell>
          <cell r="S14600">
            <v>228001</v>
          </cell>
        </row>
        <row r="14601">
          <cell r="K14601" t="str">
            <v>209006</v>
          </cell>
          <cell r="M14601">
            <v>1</v>
          </cell>
          <cell r="R14601">
            <v>45980</v>
          </cell>
          <cell r="S14601">
            <v>209006</v>
          </cell>
        </row>
        <row r="14602">
          <cell r="K14602" t="str">
            <v>207017</v>
          </cell>
          <cell r="M14602">
            <v>2</v>
          </cell>
          <cell r="R14602">
            <v>45980</v>
          </cell>
          <cell r="S14602">
            <v>207017</v>
          </cell>
        </row>
        <row r="14603">
          <cell r="K14603" t="str">
            <v>231012</v>
          </cell>
          <cell r="M14603">
            <v>1</v>
          </cell>
          <cell r="R14603">
            <v>45980</v>
          </cell>
          <cell r="S14603">
            <v>231012</v>
          </cell>
        </row>
        <row r="14604">
          <cell r="K14604" t="str">
            <v>203001</v>
          </cell>
          <cell r="M14604">
            <v>1</v>
          </cell>
          <cell r="R14604">
            <v>45980</v>
          </cell>
          <cell r="S14604">
            <v>203001</v>
          </cell>
        </row>
        <row r="14605">
          <cell r="K14605" t="str">
            <v>217019</v>
          </cell>
          <cell r="M14605">
            <v>9</v>
          </cell>
          <cell r="R14605">
            <v>45980</v>
          </cell>
          <cell r="S14605">
            <v>217019</v>
          </cell>
        </row>
        <row r="14606">
          <cell r="K14606" t="str">
            <v>223002</v>
          </cell>
          <cell r="M14606">
            <v>1</v>
          </cell>
          <cell r="R14606">
            <v>45980</v>
          </cell>
          <cell r="S14606">
            <v>223002</v>
          </cell>
        </row>
        <row r="14607">
          <cell r="K14607" t="str">
            <v>212035</v>
          </cell>
          <cell r="M14607">
            <v>42</v>
          </cell>
          <cell r="R14607">
            <v>45980</v>
          </cell>
          <cell r="S14607">
            <v>212035</v>
          </cell>
        </row>
        <row r="14608">
          <cell r="K14608" t="str">
            <v>201011</v>
          </cell>
          <cell r="M14608">
            <v>3</v>
          </cell>
          <cell r="R14608">
            <v>45980</v>
          </cell>
          <cell r="S14608">
            <v>201011</v>
          </cell>
        </row>
        <row r="14609">
          <cell r="K14609" t="str">
            <v>223001</v>
          </cell>
          <cell r="M14609">
            <v>1</v>
          </cell>
          <cell r="R14609">
            <v>45980</v>
          </cell>
          <cell r="S14609">
            <v>223001</v>
          </cell>
        </row>
        <row r="14610">
          <cell r="K14610" t="str">
            <v>223002</v>
          </cell>
          <cell r="M14610">
            <v>1</v>
          </cell>
          <cell r="R14610">
            <v>45980</v>
          </cell>
          <cell r="S14610">
            <v>223002</v>
          </cell>
        </row>
        <row r="14611">
          <cell r="K14611" t="str">
            <v>227012</v>
          </cell>
          <cell r="M14611">
            <v>1</v>
          </cell>
          <cell r="R14611">
            <v>45980</v>
          </cell>
          <cell r="S14611">
            <v>227012</v>
          </cell>
        </row>
        <row r="14612">
          <cell r="K14612" t="str">
            <v>201011</v>
          </cell>
          <cell r="M14612">
            <v>3</v>
          </cell>
          <cell r="R14612">
            <v>45980</v>
          </cell>
          <cell r="S14612">
            <v>201011</v>
          </cell>
        </row>
        <row r="14613">
          <cell r="K14613" t="str">
            <v>226001</v>
          </cell>
          <cell r="M14613">
            <v>1</v>
          </cell>
          <cell r="R14613">
            <v>45980</v>
          </cell>
          <cell r="S14613">
            <v>226001</v>
          </cell>
        </row>
        <row r="14614">
          <cell r="K14614" t="str">
            <v>213002</v>
          </cell>
          <cell r="M14614">
            <v>6</v>
          </cell>
          <cell r="R14614">
            <v>45980</v>
          </cell>
          <cell r="S14614">
            <v>213002</v>
          </cell>
        </row>
        <row r="14615">
          <cell r="K14615" t="str">
            <v>213006</v>
          </cell>
          <cell r="M14615">
            <v>1</v>
          </cell>
          <cell r="R14615">
            <v>45980</v>
          </cell>
          <cell r="S14615">
            <v>213006</v>
          </cell>
        </row>
        <row r="14616">
          <cell r="K14616" t="str">
            <v>231010</v>
          </cell>
          <cell r="M14616">
            <v>2</v>
          </cell>
          <cell r="R14616">
            <v>45980</v>
          </cell>
          <cell r="S14616">
            <v>231010</v>
          </cell>
        </row>
        <row r="14617">
          <cell r="K14617" t="str">
            <v>213006</v>
          </cell>
          <cell r="M14617">
            <v>3</v>
          </cell>
          <cell r="R14617">
            <v>45980</v>
          </cell>
          <cell r="S14617">
            <v>213006</v>
          </cell>
        </row>
        <row r="14618">
          <cell r="K14618" t="str">
            <v>226001</v>
          </cell>
          <cell r="M14618">
            <v>1</v>
          </cell>
          <cell r="R14618">
            <v>45980</v>
          </cell>
          <cell r="S14618">
            <v>226001</v>
          </cell>
        </row>
        <row r="14619">
          <cell r="K14619" t="str">
            <v>228001</v>
          </cell>
          <cell r="M14619">
            <v>7</v>
          </cell>
          <cell r="R14619">
            <v>45980</v>
          </cell>
          <cell r="S14619">
            <v>228001</v>
          </cell>
        </row>
        <row r="14620">
          <cell r="K14620" t="str">
            <v>234011</v>
          </cell>
          <cell r="M14620">
            <v>1</v>
          </cell>
          <cell r="R14620">
            <v>45980</v>
          </cell>
          <cell r="S14620">
            <v>234011</v>
          </cell>
        </row>
        <row r="14621">
          <cell r="K14621" t="str">
            <v>205004</v>
          </cell>
          <cell r="M14621">
            <v>1</v>
          </cell>
          <cell r="R14621">
            <v>45980</v>
          </cell>
          <cell r="S14621">
            <v>205004</v>
          </cell>
        </row>
        <row r="14622">
          <cell r="K14622" t="str">
            <v>203003</v>
          </cell>
          <cell r="M14622">
            <v>2</v>
          </cell>
          <cell r="R14622">
            <v>45980</v>
          </cell>
          <cell r="S14622">
            <v>203003</v>
          </cell>
        </row>
        <row r="14623">
          <cell r="K14623" t="str">
            <v>217022</v>
          </cell>
          <cell r="M14623">
            <v>3</v>
          </cell>
          <cell r="R14623">
            <v>45980</v>
          </cell>
          <cell r="S14623">
            <v>217022</v>
          </cell>
        </row>
        <row r="14624">
          <cell r="K14624" t="str">
            <v>217018</v>
          </cell>
          <cell r="M14624">
            <v>3</v>
          </cell>
          <cell r="R14624">
            <v>45980</v>
          </cell>
          <cell r="S14624">
            <v>217018</v>
          </cell>
        </row>
        <row r="14625">
          <cell r="K14625" t="str">
            <v>231012</v>
          </cell>
          <cell r="M14625">
            <v>1</v>
          </cell>
          <cell r="R14625">
            <v>45980</v>
          </cell>
          <cell r="S14625">
            <v>231012</v>
          </cell>
        </row>
        <row r="14626">
          <cell r="K14626" t="str">
            <v>227012</v>
          </cell>
          <cell r="M14626">
            <v>1</v>
          </cell>
          <cell r="R14626">
            <v>45980</v>
          </cell>
          <cell r="S14626">
            <v>227012</v>
          </cell>
        </row>
        <row r="14627">
          <cell r="K14627" t="str">
            <v>201009</v>
          </cell>
          <cell r="M14627">
            <v>7</v>
          </cell>
          <cell r="R14627">
            <v>45980</v>
          </cell>
          <cell r="S14627">
            <v>201009</v>
          </cell>
        </row>
        <row r="14628">
          <cell r="K14628" t="str">
            <v>201011</v>
          </cell>
          <cell r="M14628">
            <v>2</v>
          </cell>
          <cell r="R14628">
            <v>45980</v>
          </cell>
          <cell r="S14628">
            <v>201011</v>
          </cell>
        </row>
        <row r="14629">
          <cell r="K14629" t="str">
            <v>212035</v>
          </cell>
          <cell r="M14629">
            <v>1</v>
          </cell>
          <cell r="R14629">
            <v>45980</v>
          </cell>
          <cell r="S14629">
            <v>212035</v>
          </cell>
        </row>
        <row r="14630">
          <cell r="K14630" t="str">
            <v>210013</v>
          </cell>
          <cell r="M14630">
            <v>1</v>
          </cell>
          <cell r="R14630">
            <v>45980</v>
          </cell>
          <cell r="S14630">
            <v>210013</v>
          </cell>
        </row>
        <row r="14631">
          <cell r="K14631" t="str">
            <v>201011</v>
          </cell>
          <cell r="M14631">
            <v>1</v>
          </cell>
          <cell r="R14631">
            <v>45980</v>
          </cell>
          <cell r="S14631">
            <v>201011</v>
          </cell>
        </row>
        <row r="14632">
          <cell r="K14632" t="str">
            <v>228001</v>
          </cell>
          <cell r="M14632">
            <v>1</v>
          </cell>
          <cell r="R14632">
            <v>45980</v>
          </cell>
          <cell r="S14632">
            <v>228001</v>
          </cell>
        </row>
        <row r="14633">
          <cell r="K14633" t="str">
            <v>201011</v>
          </cell>
          <cell r="M14633">
            <v>1</v>
          </cell>
          <cell r="R14633">
            <v>45980</v>
          </cell>
          <cell r="S14633">
            <v>201011</v>
          </cell>
        </row>
        <row r="14634">
          <cell r="K14634" t="str">
            <v>223002</v>
          </cell>
          <cell r="M14634">
            <v>6</v>
          </cell>
          <cell r="R14634">
            <v>45980</v>
          </cell>
          <cell r="S14634">
            <v>223002</v>
          </cell>
        </row>
        <row r="14635">
          <cell r="K14635" t="str">
            <v>228001</v>
          </cell>
          <cell r="M14635">
            <v>1</v>
          </cell>
          <cell r="R14635">
            <v>45980</v>
          </cell>
          <cell r="S14635">
            <v>228001</v>
          </cell>
        </row>
        <row r="14636">
          <cell r="K14636" t="str">
            <v>213006</v>
          </cell>
          <cell r="M14636">
            <v>3</v>
          </cell>
          <cell r="R14636">
            <v>45980</v>
          </cell>
          <cell r="S14636">
            <v>213006</v>
          </cell>
        </row>
        <row r="14637">
          <cell r="K14637" t="str">
            <v>203001</v>
          </cell>
          <cell r="M14637">
            <v>4</v>
          </cell>
          <cell r="R14637">
            <v>45980</v>
          </cell>
          <cell r="S14637">
            <v>203001</v>
          </cell>
        </row>
        <row r="14638">
          <cell r="K14638" t="str">
            <v>209001</v>
          </cell>
          <cell r="M14638">
            <v>1</v>
          </cell>
          <cell r="R14638">
            <v>45980</v>
          </cell>
          <cell r="S14638">
            <v>209001</v>
          </cell>
        </row>
        <row r="14639">
          <cell r="K14639" t="str">
            <v>223002</v>
          </cell>
          <cell r="M14639">
            <v>1</v>
          </cell>
          <cell r="R14639">
            <v>45980</v>
          </cell>
          <cell r="S14639">
            <v>223002</v>
          </cell>
        </row>
        <row r="14640">
          <cell r="K14640" t="str">
            <v>223001</v>
          </cell>
          <cell r="M14640">
            <v>1</v>
          </cell>
          <cell r="R14640">
            <v>45980</v>
          </cell>
          <cell r="S14640">
            <v>223001</v>
          </cell>
        </row>
        <row r="14641">
          <cell r="K14641" t="str">
            <v>227001</v>
          </cell>
          <cell r="M14641">
            <v>2</v>
          </cell>
          <cell r="R14641">
            <v>45980</v>
          </cell>
          <cell r="S14641">
            <v>227001</v>
          </cell>
        </row>
        <row r="14642">
          <cell r="K14642" t="str">
            <v>201011</v>
          </cell>
          <cell r="M14642">
            <v>1</v>
          </cell>
          <cell r="R14642">
            <v>45980</v>
          </cell>
          <cell r="S14642">
            <v>201011</v>
          </cell>
        </row>
        <row r="14643">
          <cell r="K14643" t="str">
            <v>201022</v>
          </cell>
          <cell r="M14643">
            <v>1</v>
          </cell>
          <cell r="R14643">
            <v>45980</v>
          </cell>
          <cell r="S14643">
            <v>201022</v>
          </cell>
        </row>
        <row r="14644">
          <cell r="K14644" t="str">
            <v>231012</v>
          </cell>
          <cell r="M14644">
            <v>1</v>
          </cell>
          <cell r="R14644">
            <v>45980</v>
          </cell>
          <cell r="S14644">
            <v>231012</v>
          </cell>
        </row>
        <row r="14645">
          <cell r="K14645" t="str">
            <v>212035</v>
          </cell>
          <cell r="M14645">
            <v>4</v>
          </cell>
          <cell r="R14645">
            <v>45981</v>
          </cell>
          <cell r="S14645">
            <v>212035</v>
          </cell>
        </row>
        <row r="14646">
          <cell r="K14646" t="str">
            <v>220003</v>
          </cell>
          <cell r="M14646">
            <v>10</v>
          </cell>
          <cell r="R14646">
            <v>45981</v>
          </cell>
          <cell r="S14646">
            <v>220003</v>
          </cell>
        </row>
        <row r="14647">
          <cell r="K14647" t="str">
            <v>209001</v>
          </cell>
          <cell r="M14647">
            <v>1</v>
          </cell>
          <cell r="R14647">
            <v>45980</v>
          </cell>
          <cell r="S14647">
            <v>209001</v>
          </cell>
        </row>
        <row r="14648">
          <cell r="K14648" t="str">
            <v>203003</v>
          </cell>
          <cell r="M14648">
            <v>1</v>
          </cell>
          <cell r="R14648">
            <v>45980</v>
          </cell>
          <cell r="S14648">
            <v>203003</v>
          </cell>
        </row>
        <row r="14649">
          <cell r="K14649" t="str">
            <v>213002</v>
          </cell>
          <cell r="M14649">
            <v>1</v>
          </cell>
          <cell r="R14649">
            <v>45980</v>
          </cell>
          <cell r="S14649">
            <v>213002</v>
          </cell>
        </row>
        <row r="14650">
          <cell r="K14650" t="str">
            <v>201011</v>
          </cell>
          <cell r="M14650">
            <v>3</v>
          </cell>
          <cell r="R14650">
            <v>45980</v>
          </cell>
          <cell r="S14650">
            <v>201011</v>
          </cell>
        </row>
        <row r="14651">
          <cell r="K14651" t="str">
            <v>225001</v>
          </cell>
          <cell r="M14651">
            <v>2</v>
          </cell>
          <cell r="R14651">
            <v>45981</v>
          </cell>
          <cell r="S14651">
            <v>225001</v>
          </cell>
        </row>
        <row r="14652">
          <cell r="K14652" t="str">
            <v>227001</v>
          </cell>
          <cell r="M14652">
            <v>1</v>
          </cell>
          <cell r="R14652">
            <v>45981</v>
          </cell>
          <cell r="S14652">
            <v>227001</v>
          </cell>
        </row>
        <row r="14653">
          <cell r="K14653" t="str">
            <v>210002</v>
          </cell>
          <cell r="M14653">
            <v>2</v>
          </cell>
          <cell r="R14653">
            <v>45981</v>
          </cell>
          <cell r="S14653">
            <v>210002</v>
          </cell>
        </row>
        <row r="14654">
          <cell r="K14654" t="str">
            <v>210014</v>
          </cell>
          <cell r="M14654">
            <v>2</v>
          </cell>
          <cell r="R14654">
            <v>45980</v>
          </cell>
          <cell r="S14654">
            <v>210014</v>
          </cell>
        </row>
        <row r="14655">
          <cell r="K14655" t="str">
            <v>223001</v>
          </cell>
          <cell r="M14655">
            <v>6</v>
          </cell>
          <cell r="R14655">
            <v>45980</v>
          </cell>
          <cell r="S14655">
            <v>223001</v>
          </cell>
        </row>
        <row r="14656">
          <cell r="K14656" t="str">
            <v>213002</v>
          </cell>
          <cell r="M14656">
            <v>1</v>
          </cell>
          <cell r="R14656">
            <v>45981</v>
          </cell>
          <cell r="S14656">
            <v>213002</v>
          </cell>
        </row>
        <row r="14657">
          <cell r="K14657" t="str">
            <v>241001</v>
          </cell>
          <cell r="M14657">
            <v>3</v>
          </cell>
          <cell r="R14657">
            <v>45981</v>
          </cell>
          <cell r="S14657">
            <v>241001</v>
          </cell>
        </row>
        <row r="14658">
          <cell r="K14658" t="str">
            <v>213006</v>
          </cell>
          <cell r="M14658">
            <v>1</v>
          </cell>
          <cell r="R14658">
            <v>45981</v>
          </cell>
          <cell r="S14658">
            <v>213006</v>
          </cell>
        </row>
        <row r="14659">
          <cell r="K14659" t="str">
            <v>228001</v>
          </cell>
          <cell r="M14659">
            <v>1</v>
          </cell>
          <cell r="R14659">
            <v>45981</v>
          </cell>
          <cell r="S14659">
            <v>228001</v>
          </cell>
        </row>
        <row r="14660">
          <cell r="K14660" t="str">
            <v>234001</v>
          </cell>
          <cell r="M14660">
            <v>1</v>
          </cell>
          <cell r="R14660">
            <v>45981</v>
          </cell>
          <cell r="S14660">
            <v>234001</v>
          </cell>
        </row>
        <row r="14661">
          <cell r="K14661" t="str">
            <v>210013</v>
          </cell>
          <cell r="M14661">
            <v>2</v>
          </cell>
          <cell r="R14661">
            <v>45981</v>
          </cell>
          <cell r="S14661">
            <v>210013</v>
          </cell>
        </row>
        <row r="14662">
          <cell r="K14662" t="str">
            <v>209004</v>
          </cell>
          <cell r="M14662">
            <v>1</v>
          </cell>
          <cell r="R14662">
            <v>45981</v>
          </cell>
          <cell r="S14662">
            <v>209004</v>
          </cell>
        </row>
        <row r="14663">
          <cell r="K14663" t="str">
            <v>227012</v>
          </cell>
          <cell r="M14663">
            <v>6</v>
          </cell>
          <cell r="R14663">
            <v>45981</v>
          </cell>
          <cell r="S14663">
            <v>227012</v>
          </cell>
        </row>
        <row r="14664">
          <cell r="K14664" t="str">
            <v>227014</v>
          </cell>
          <cell r="M14664">
            <v>2</v>
          </cell>
          <cell r="R14664">
            <v>45981</v>
          </cell>
          <cell r="S14664">
            <v>227014</v>
          </cell>
        </row>
        <row r="14665">
          <cell r="K14665" t="str">
            <v>212035</v>
          </cell>
          <cell r="M14665">
            <v>3</v>
          </cell>
          <cell r="R14665">
            <v>45981</v>
          </cell>
          <cell r="S14665">
            <v>212035</v>
          </cell>
        </row>
        <row r="14666">
          <cell r="K14666" t="str">
            <v>209004</v>
          </cell>
          <cell r="M14666">
            <v>2</v>
          </cell>
          <cell r="R14666">
            <v>45981</v>
          </cell>
          <cell r="S14666">
            <v>209004</v>
          </cell>
        </row>
        <row r="14667">
          <cell r="K14667" t="str">
            <v>201011</v>
          </cell>
          <cell r="M14667">
            <v>2</v>
          </cell>
          <cell r="R14667">
            <v>45981</v>
          </cell>
          <cell r="S14667">
            <v>201011</v>
          </cell>
        </row>
        <row r="14668">
          <cell r="K14668" t="str">
            <v>226001</v>
          </cell>
          <cell r="M14668">
            <v>1</v>
          </cell>
          <cell r="R14668">
            <v>45981</v>
          </cell>
          <cell r="S14668">
            <v>226001</v>
          </cell>
        </row>
        <row r="14669">
          <cell r="K14669" t="str">
            <v>226001</v>
          </cell>
          <cell r="M14669">
            <v>1</v>
          </cell>
          <cell r="R14669">
            <v>45981</v>
          </cell>
          <cell r="S14669">
            <v>226001</v>
          </cell>
        </row>
        <row r="14670">
          <cell r="K14670" t="str">
            <v>209004</v>
          </cell>
          <cell r="M14670">
            <v>1</v>
          </cell>
          <cell r="R14670">
            <v>45981</v>
          </cell>
          <cell r="S14670">
            <v>209004</v>
          </cell>
        </row>
        <row r="14671">
          <cell r="K14671" t="str">
            <v>228001</v>
          </cell>
          <cell r="M14671">
            <v>8</v>
          </cell>
          <cell r="R14671">
            <v>45981</v>
          </cell>
          <cell r="S14671">
            <v>228001</v>
          </cell>
        </row>
        <row r="14672">
          <cell r="K14672" t="str">
            <v>217018</v>
          </cell>
          <cell r="M14672">
            <v>70</v>
          </cell>
          <cell r="R14672">
            <v>45981</v>
          </cell>
          <cell r="S14672">
            <v>217018</v>
          </cell>
        </row>
        <row r="14673">
          <cell r="K14673" t="str">
            <v>227012</v>
          </cell>
          <cell r="M14673">
            <v>1</v>
          </cell>
          <cell r="R14673">
            <v>45981</v>
          </cell>
          <cell r="S14673">
            <v>227012</v>
          </cell>
        </row>
        <row r="14674">
          <cell r="K14674" t="str">
            <v>220002</v>
          </cell>
          <cell r="M14674">
            <v>6</v>
          </cell>
          <cell r="R14674">
            <v>45981</v>
          </cell>
          <cell r="S14674">
            <v>220002</v>
          </cell>
        </row>
        <row r="14675">
          <cell r="K14675" t="str">
            <v>226025</v>
          </cell>
          <cell r="M14675">
            <v>2</v>
          </cell>
          <cell r="R14675">
            <v>45981</v>
          </cell>
          <cell r="S14675">
            <v>226025</v>
          </cell>
        </row>
        <row r="14676">
          <cell r="K14676" t="str">
            <v>241001</v>
          </cell>
          <cell r="M14676">
            <v>12</v>
          </cell>
          <cell r="R14676">
            <v>45981</v>
          </cell>
          <cell r="S14676">
            <v>241001</v>
          </cell>
        </row>
        <row r="14677">
          <cell r="K14677" t="str">
            <v>228001</v>
          </cell>
          <cell r="M14677">
            <v>2</v>
          </cell>
          <cell r="R14677">
            <v>45981</v>
          </cell>
          <cell r="S14677">
            <v>228001</v>
          </cell>
        </row>
        <row r="14678">
          <cell r="K14678" t="str">
            <v>201011</v>
          </cell>
          <cell r="M14678">
            <v>1</v>
          </cell>
          <cell r="R14678">
            <v>45981</v>
          </cell>
          <cell r="S14678">
            <v>201011</v>
          </cell>
        </row>
        <row r="14679">
          <cell r="K14679" t="str">
            <v>217018</v>
          </cell>
          <cell r="M14679">
            <v>2</v>
          </cell>
          <cell r="R14679">
            <v>45981</v>
          </cell>
          <cell r="S14679">
            <v>217018</v>
          </cell>
        </row>
        <row r="14680">
          <cell r="K14680" t="str">
            <v>228001</v>
          </cell>
          <cell r="M14680">
            <v>4</v>
          </cell>
          <cell r="R14680">
            <v>45981</v>
          </cell>
          <cell r="S14680">
            <v>228001</v>
          </cell>
        </row>
        <row r="14681">
          <cell r="K14681" t="str">
            <v>209012</v>
          </cell>
          <cell r="M14681">
            <v>2</v>
          </cell>
          <cell r="R14681">
            <v>45981</v>
          </cell>
          <cell r="S14681">
            <v>209012</v>
          </cell>
        </row>
        <row r="14682">
          <cell r="K14682" t="str">
            <v>212002</v>
          </cell>
          <cell r="M14682">
            <v>1</v>
          </cell>
          <cell r="R14682">
            <v>45981</v>
          </cell>
          <cell r="S14682">
            <v>212002</v>
          </cell>
        </row>
        <row r="14683">
          <cell r="K14683" t="str">
            <v>217011</v>
          </cell>
          <cell r="M14683">
            <v>1</v>
          </cell>
          <cell r="R14683">
            <v>45981</v>
          </cell>
          <cell r="S14683">
            <v>217011</v>
          </cell>
        </row>
        <row r="14684">
          <cell r="K14684" t="str">
            <v>228001</v>
          </cell>
          <cell r="M14684">
            <v>2</v>
          </cell>
          <cell r="R14684">
            <v>45981</v>
          </cell>
          <cell r="S14684">
            <v>228001</v>
          </cell>
        </row>
        <row r="14685">
          <cell r="K14685" t="str">
            <v>217022</v>
          </cell>
          <cell r="M14685">
            <v>1</v>
          </cell>
          <cell r="R14685">
            <v>45981</v>
          </cell>
          <cell r="S14685">
            <v>217022</v>
          </cell>
        </row>
        <row r="14686">
          <cell r="K14686" t="str">
            <v>212002</v>
          </cell>
          <cell r="M14686">
            <v>1</v>
          </cell>
          <cell r="R14686">
            <v>45981</v>
          </cell>
          <cell r="S14686">
            <v>212002</v>
          </cell>
        </row>
        <row r="14687">
          <cell r="K14687" t="str">
            <v>209004</v>
          </cell>
          <cell r="M14687">
            <v>1</v>
          </cell>
          <cell r="R14687">
            <v>45981</v>
          </cell>
          <cell r="S14687">
            <v>209004</v>
          </cell>
        </row>
        <row r="14688">
          <cell r="K14688" t="str">
            <v>207017</v>
          </cell>
          <cell r="M14688">
            <v>1</v>
          </cell>
          <cell r="R14688">
            <v>45981</v>
          </cell>
          <cell r="S14688">
            <v>207017</v>
          </cell>
        </row>
        <row r="14689">
          <cell r="K14689" t="str">
            <v>213002</v>
          </cell>
          <cell r="M14689">
            <v>6</v>
          </cell>
          <cell r="R14689">
            <v>45981</v>
          </cell>
          <cell r="S14689">
            <v>213002</v>
          </cell>
        </row>
        <row r="14690">
          <cell r="K14690" t="str">
            <v>226026</v>
          </cell>
          <cell r="M14690">
            <v>1</v>
          </cell>
          <cell r="R14690">
            <v>45981</v>
          </cell>
          <cell r="S14690">
            <v>226026</v>
          </cell>
        </row>
        <row r="14691">
          <cell r="K14691" t="str">
            <v>217021</v>
          </cell>
          <cell r="M14691">
            <v>1</v>
          </cell>
          <cell r="R14691">
            <v>45981</v>
          </cell>
          <cell r="S14691">
            <v>217021</v>
          </cell>
        </row>
        <row r="14692">
          <cell r="K14692" t="str">
            <v>206002</v>
          </cell>
          <cell r="M14692">
            <v>1</v>
          </cell>
          <cell r="R14692">
            <v>45981</v>
          </cell>
          <cell r="S14692">
            <v>206002</v>
          </cell>
        </row>
        <row r="14693">
          <cell r="K14693" t="str">
            <v>208001</v>
          </cell>
          <cell r="M14693">
            <v>1</v>
          </cell>
          <cell r="R14693">
            <v>45981</v>
          </cell>
          <cell r="S14693">
            <v>208001</v>
          </cell>
        </row>
        <row r="14694">
          <cell r="K14694" t="str">
            <v>209004</v>
          </cell>
          <cell r="M14694">
            <v>1</v>
          </cell>
          <cell r="R14694">
            <v>45981</v>
          </cell>
          <cell r="S14694">
            <v>209004</v>
          </cell>
        </row>
        <row r="14695">
          <cell r="K14695" t="str">
            <v>229004</v>
          </cell>
          <cell r="M14695">
            <v>1</v>
          </cell>
          <cell r="R14695">
            <v>45981</v>
          </cell>
          <cell r="S14695">
            <v>229004</v>
          </cell>
        </row>
        <row r="14696">
          <cell r="K14696" t="str">
            <v>228001</v>
          </cell>
          <cell r="M14696">
            <v>1</v>
          </cell>
          <cell r="R14696">
            <v>45981</v>
          </cell>
          <cell r="S14696">
            <v>228001</v>
          </cell>
        </row>
        <row r="14697">
          <cell r="K14697" t="str">
            <v>237001</v>
          </cell>
          <cell r="M14697">
            <v>1</v>
          </cell>
          <cell r="R14697">
            <v>45981</v>
          </cell>
          <cell r="S14697">
            <v>237001</v>
          </cell>
        </row>
        <row r="14698">
          <cell r="K14698" t="str">
            <v>217019</v>
          </cell>
          <cell r="M14698">
            <v>4</v>
          </cell>
          <cell r="R14698">
            <v>45981</v>
          </cell>
          <cell r="S14698">
            <v>217019</v>
          </cell>
        </row>
        <row r="14699">
          <cell r="K14699" t="str">
            <v>217019</v>
          </cell>
          <cell r="M14699">
            <v>4</v>
          </cell>
          <cell r="R14699">
            <v>45981</v>
          </cell>
          <cell r="S14699">
            <v>217019</v>
          </cell>
        </row>
        <row r="14700">
          <cell r="K14700" t="str">
            <v>226025</v>
          </cell>
          <cell r="M14700">
            <v>1</v>
          </cell>
          <cell r="R14700">
            <v>45981</v>
          </cell>
          <cell r="S14700">
            <v>226025</v>
          </cell>
        </row>
        <row r="14701">
          <cell r="K14701" t="str">
            <v>226022</v>
          </cell>
          <cell r="M14701">
            <v>1</v>
          </cell>
          <cell r="R14701">
            <v>45981</v>
          </cell>
          <cell r="S14701">
            <v>226022</v>
          </cell>
        </row>
        <row r="14702">
          <cell r="K14702" t="str">
            <v>227002</v>
          </cell>
          <cell r="M14702">
            <v>2</v>
          </cell>
          <cell r="R14702">
            <v>45981</v>
          </cell>
          <cell r="S14702">
            <v>227002</v>
          </cell>
        </row>
        <row r="14703">
          <cell r="K14703" t="str">
            <v>217011</v>
          </cell>
          <cell r="M14703">
            <v>2</v>
          </cell>
          <cell r="R14703">
            <v>45981</v>
          </cell>
          <cell r="S14703">
            <v>217011</v>
          </cell>
        </row>
        <row r="14704">
          <cell r="K14704" t="str">
            <v>241001</v>
          </cell>
          <cell r="M14704">
            <v>2</v>
          </cell>
          <cell r="R14704">
            <v>45981</v>
          </cell>
          <cell r="S14704">
            <v>241001</v>
          </cell>
        </row>
        <row r="14705">
          <cell r="K14705" t="str">
            <v>222001</v>
          </cell>
          <cell r="M14705">
            <v>2</v>
          </cell>
          <cell r="R14705">
            <v>45981</v>
          </cell>
          <cell r="S14705">
            <v>222001</v>
          </cell>
        </row>
        <row r="14706">
          <cell r="K14706" t="str">
            <v>222002</v>
          </cell>
          <cell r="M14706">
            <v>2</v>
          </cell>
          <cell r="R14706">
            <v>45981</v>
          </cell>
          <cell r="S14706">
            <v>222002</v>
          </cell>
        </row>
        <row r="14707">
          <cell r="K14707" t="str">
            <v>261004</v>
          </cell>
          <cell r="M14707">
            <v>1</v>
          </cell>
          <cell r="R14707">
            <v>45981</v>
          </cell>
          <cell r="S14707">
            <v>261004</v>
          </cell>
        </row>
        <row r="14708">
          <cell r="K14708" t="str">
            <v>228001</v>
          </cell>
          <cell r="M14708">
            <v>1</v>
          </cell>
          <cell r="R14708">
            <v>45981</v>
          </cell>
          <cell r="S14708">
            <v>228001</v>
          </cell>
        </row>
        <row r="14709">
          <cell r="K14709" t="str">
            <v>210014</v>
          </cell>
          <cell r="M14709">
            <v>1</v>
          </cell>
          <cell r="R14709">
            <v>45981</v>
          </cell>
          <cell r="S14709">
            <v>210014</v>
          </cell>
        </row>
        <row r="14710">
          <cell r="K14710" t="str">
            <v>210015</v>
          </cell>
          <cell r="M14710">
            <v>2</v>
          </cell>
          <cell r="R14710">
            <v>45981</v>
          </cell>
          <cell r="S14710">
            <v>210015</v>
          </cell>
        </row>
        <row r="14711">
          <cell r="K14711" t="str">
            <v>220003</v>
          </cell>
          <cell r="M14711">
            <v>1</v>
          </cell>
          <cell r="R14711">
            <v>45981</v>
          </cell>
          <cell r="S14711">
            <v>220003</v>
          </cell>
        </row>
        <row r="14712">
          <cell r="K14712" t="str">
            <v>213002</v>
          </cell>
          <cell r="M14712">
            <v>2</v>
          </cell>
          <cell r="R14712">
            <v>45981</v>
          </cell>
          <cell r="S14712">
            <v>213002</v>
          </cell>
        </row>
        <row r="14713">
          <cell r="K14713" t="str">
            <v>217011</v>
          </cell>
          <cell r="M14713">
            <v>1</v>
          </cell>
          <cell r="R14713">
            <v>45981</v>
          </cell>
          <cell r="S14713">
            <v>217011</v>
          </cell>
        </row>
        <row r="14714">
          <cell r="K14714" t="str">
            <v>228001</v>
          </cell>
          <cell r="M14714">
            <v>3</v>
          </cell>
          <cell r="R14714">
            <v>45982</v>
          </cell>
          <cell r="S14714">
            <v>228001</v>
          </cell>
        </row>
        <row r="14715">
          <cell r="K14715" t="str">
            <v>203003</v>
          </cell>
          <cell r="M14715">
            <v>1</v>
          </cell>
          <cell r="R14715">
            <v>45982</v>
          </cell>
          <cell r="S14715">
            <v>203003</v>
          </cell>
        </row>
        <row r="14716">
          <cell r="K14716" t="str">
            <v>207017</v>
          </cell>
          <cell r="M14716">
            <v>1</v>
          </cell>
          <cell r="R14716">
            <v>45982</v>
          </cell>
          <cell r="S14716">
            <v>207017</v>
          </cell>
        </row>
        <row r="14717">
          <cell r="K14717" t="str">
            <v>201027</v>
          </cell>
          <cell r="M14717">
            <v>3</v>
          </cell>
          <cell r="R14717">
            <v>45981</v>
          </cell>
          <cell r="S14717">
            <v>201027</v>
          </cell>
        </row>
        <row r="14718">
          <cell r="K14718" t="str">
            <v>227002</v>
          </cell>
          <cell r="M14718">
            <v>1</v>
          </cell>
          <cell r="R14718">
            <v>45981</v>
          </cell>
          <cell r="S14718">
            <v>227002</v>
          </cell>
        </row>
        <row r="14719">
          <cell r="K14719" t="str">
            <v>241001</v>
          </cell>
          <cell r="M14719">
            <v>10</v>
          </cell>
          <cell r="R14719">
            <v>45981</v>
          </cell>
          <cell r="S14719">
            <v>241001</v>
          </cell>
        </row>
        <row r="14720">
          <cell r="K14720" t="str">
            <v>217011</v>
          </cell>
          <cell r="M14720">
            <v>1</v>
          </cell>
          <cell r="R14720">
            <v>45982</v>
          </cell>
          <cell r="S14720">
            <v>217011</v>
          </cell>
        </row>
        <row r="14721">
          <cell r="K14721" t="str">
            <v>241001</v>
          </cell>
          <cell r="M14721">
            <v>3</v>
          </cell>
          <cell r="R14721">
            <v>45982</v>
          </cell>
          <cell r="S14721">
            <v>241001</v>
          </cell>
        </row>
        <row r="14722">
          <cell r="K14722" t="str">
            <v>203001</v>
          </cell>
          <cell r="M14722">
            <v>5</v>
          </cell>
          <cell r="R14722">
            <v>45981</v>
          </cell>
          <cell r="S14722">
            <v>203001</v>
          </cell>
        </row>
        <row r="14723">
          <cell r="K14723" t="str">
            <v>210013</v>
          </cell>
          <cell r="M14723">
            <v>13</v>
          </cell>
          <cell r="R14723">
            <v>45981</v>
          </cell>
          <cell r="S14723">
            <v>210013</v>
          </cell>
        </row>
        <row r="14724">
          <cell r="K14724" t="str">
            <v>210003</v>
          </cell>
          <cell r="M14724">
            <v>2</v>
          </cell>
          <cell r="R14724">
            <v>45981</v>
          </cell>
          <cell r="S14724">
            <v>210003</v>
          </cell>
        </row>
        <row r="14725">
          <cell r="K14725" t="str">
            <v>206002</v>
          </cell>
          <cell r="M14725">
            <v>7</v>
          </cell>
          <cell r="R14725">
            <v>45981</v>
          </cell>
          <cell r="S14725">
            <v>206002</v>
          </cell>
        </row>
        <row r="14726">
          <cell r="K14726" t="str">
            <v>210003</v>
          </cell>
          <cell r="M14726">
            <v>2</v>
          </cell>
          <cell r="R14726">
            <v>45981</v>
          </cell>
          <cell r="S14726">
            <v>210003</v>
          </cell>
        </row>
        <row r="14727">
          <cell r="K14727" t="str">
            <v>228001</v>
          </cell>
          <cell r="M14727">
            <v>12</v>
          </cell>
          <cell r="R14727">
            <v>45981</v>
          </cell>
          <cell r="S14727">
            <v>228001</v>
          </cell>
        </row>
        <row r="14728">
          <cell r="K14728" t="str">
            <v>231004</v>
          </cell>
          <cell r="M14728">
            <v>2</v>
          </cell>
          <cell r="R14728">
            <v>45981</v>
          </cell>
          <cell r="S14728">
            <v>231004</v>
          </cell>
        </row>
        <row r="14729">
          <cell r="K14729" t="str">
            <v>237001</v>
          </cell>
          <cell r="M14729">
            <v>1</v>
          </cell>
          <cell r="R14729">
            <v>45981</v>
          </cell>
          <cell r="S14729">
            <v>237001</v>
          </cell>
        </row>
        <row r="14730">
          <cell r="K14730" t="str">
            <v>201011</v>
          </cell>
          <cell r="M14730">
            <v>4</v>
          </cell>
          <cell r="R14730">
            <v>45982</v>
          </cell>
          <cell r="S14730">
            <v>201011</v>
          </cell>
        </row>
        <row r="14731">
          <cell r="K14731" t="str">
            <v>228001</v>
          </cell>
          <cell r="M14731">
            <v>2</v>
          </cell>
          <cell r="R14731">
            <v>45982</v>
          </cell>
          <cell r="S14731">
            <v>228001</v>
          </cell>
        </row>
        <row r="14732">
          <cell r="K14732" t="str">
            <v>201011</v>
          </cell>
          <cell r="M14732">
            <v>2</v>
          </cell>
          <cell r="R14732">
            <v>45982</v>
          </cell>
          <cell r="S14732">
            <v>201011</v>
          </cell>
        </row>
        <row r="14733">
          <cell r="K14733" t="str">
            <v>201011</v>
          </cell>
          <cell r="M14733">
            <v>4</v>
          </cell>
          <cell r="R14733">
            <v>45982</v>
          </cell>
          <cell r="S14733">
            <v>201011</v>
          </cell>
        </row>
        <row r="14734">
          <cell r="K14734" t="str">
            <v>223006</v>
          </cell>
          <cell r="M14734">
            <v>15</v>
          </cell>
          <cell r="R14734">
            <v>45982</v>
          </cell>
          <cell r="S14734">
            <v>223006</v>
          </cell>
        </row>
        <row r="14735">
          <cell r="K14735" t="str">
            <v>223001</v>
          </cell>
          <cell r="M14735">
            <v>8</v>
          </cell>
          <cell r="R14735">
            <v>45982</v>
          </cell>
          <cell r="S14735">
            <v>223001</v>
          </cell>
        </row>
        <row r="14736">
          <cell r="K14736" t="str">
            <v>217022</v>
          </cell>
          <cell r="M14736">
            <v>10</v>
          </cell>
          <cell r="R14736">
            <v>45982</v>
          </cell>
          <cell r="S14736">
            <v>217022</v>
          </cell>
        </row>
        <row r="14737">
          <cell r="K14737" t="str">
            <v>201011</v>
          </cell>
          <cell r="M14737">
            <v>20</v>
          </cell>
          <cell r="R14737">
            <v>45982</v>
          </cell>
          <cell r="S14737">
            <v>201011</v>
          </cell>
        </row>
        <row r="14738">
          <cell r="K14738" t="str">
            <v>213006</v>
          </cell>
          <cell r="M14738">
            <v>1</v>
          </cell>
          <cell r="R14738">
            <v>45982</v>
          </cell>
          <cell r="S14738">
            <v>213006</v>
          </cell>
        </row>
        <row r="14739">
          <cell r="K14739" t="str">
            <v>201011</v>
          </cell>
          <cell r="M14739">
            <v>5</v>
          </cell>
          <cell r="R14739">
            <v>45982</v>
          </cell>
          <cell r="S14739">
            <v>201011</v>
          </cell>
        </row>
        <row r="14740">
          <cell r="K14740" t="str">
            <v>223001</v>
          </cell>
          <cell r="M14740">
            <v>1</v>
          </cell>
          <cell r="R14740">
            <v>45982</v>
          </cell>
          <cell r="S14740">
            <v>223001</v>
          </cell>
        </row>
        <row r="14741">
          <cell r="K14741" t="str">
            <v>223004</v>
          </cell>
          <cell r="M14741">
            <v>1</v>
          </cell>
          <cell r="R14741">
            <v>45982</v>
          </cell>
          <cell r="S14741">
            <v>223004</v>
          </cell>
        </row>
        <row r="14742">
          <cell r="K14742" t="str">
            <v>209012</v>
          </cell>
          <cell r="M14742">
            <v>1</v>
          </cell>
          <cell r="R14742">
            <v>45982</v>
          </cell>
          <cell r="S14742">
            <v>209012</v>
          </cell>
        </row>
        <row r="14743">
          <cell r="K14743" t="str">
            <v>234001</v>
          </cell>
          <cell r="M14743">
            <v>1</v>
          </cell>
          <cell r="R14743">
            <v>45982</v>
          </cell>
          <cell r="S14743">
            <v>234001</v>
          </cell>
        </row>
        <row r="14744">
          <cell r="K14744" t="str">
            <v>213006</v>
          </cell>
          <cell r="M14744">
            <v>1</v>
          </cell>
          <cell r="R14744">
            <v>45982</v>
          </cell>
          <cell r="S14744">
            <v>213006</v>
          </cell>
        </row>
        <row r="14745">
          <cell r="K14745" t="str">
            <v>210014</v>
          </cell>
          <cell r="M14745">
            <v>3</v>
          </cell>
          <cell r="R14745">
            <v>45982</v>
          </cell>
          <cell r="S14745">
            <v>210014</v>
          </cell>
        </row>
        <row r="14746">
          <cell r="K14746" t="str">
            <v>213006</v>
          </cell>
          <cell r="M14746">
            <v>2</v>
          </cell>
          <cell r="R14746">
            <v>45982</v>
          </cell>
          <cell r="S14746">
            <v>213006</v>
          </cell>
        </row>
        <row r="14747">
          <cell r="K14747" t="str">
            <v>210010</v>
          </cell>
          <cell r="M14747">
            <v>1</v>
          </cell>
          <cell r="R14747">
            <v>45982</v>
          </cell>
          <cell r="S14747">
            <v>210010</v>
          </cell>
        </row>
        <row r="14748">
          <cell r="K14748" t="str">
            <v>220002</v>
          </cell>
          <cell r="M14748">
            <v>2</v>
          </cell>
          <cell r="R14748">
            <v>45982</v>
          </cell>
          <cell r="S14748">
            <v>220002</v>
          </cell>
        </row>
        <row r="14749">
          <cell r="K14749" t="str">
            <v>231008</v>
          </cell>
          <cell r="M14749">
            <v>1</v>
          </cell>
          <cell r="R14749">
            <v>45982</v>
          </cell>
          <cell r="S14749">
            <v>231008</v>
          </cell>
        </row>
        <row r="14750">
          <cell r="K14750" t="str">
            <v>203004</v>
          </cell>
          <cell r="M14750">
            <v>1</v>
          </cell>
          <cell r="R14750">
            <v>45982</v>
          </cell>
          <cell r="S14750">
            <v>203004</v>
          </cell>
        </row>
        <row r="14751">
          <cell r="K14751" t="str">
            <v>201011</v>
          </cell>
          <cell r="M14751">
            <v>10</v>
          </cell>
          <cell r="R14751">
            <v>45983</v>
          </cell>
          <cell r="S14751">
            <v>201011</v>
          </cell>
        </row>
        <row r="14752">
          <cell r="K14752" t="str">
            <v>212002</v>
          </cell>
          <cell r="M14752">
            <v>1</v>
          </cell>
          <cell r="R14752">
            <v>45983</v>
          </cell>
          <cell r="S14752">
            <v>212002</v>
          </cell>
        </row>
        <row r="14753">
          <cell r="K14753" t="str">
            <v>228001</v>
          </cell>
          <cell r="M14753">
            <v>3</v>
          </cell>
          <cell r="R14753">
            <v>45983</v>
          </cell>
          <cell r="S14753">
            <v>228001</v>
          </cell>
        </row>
        <row r="14754">
          <cell r="K14754" t="str">
            <v>227012</v>
          </cell>
          <cell r="M14754">
            <v>2</v>
          </cell>
          <cell r="R14754">
            <v>45984</v>
          </cell>
          <cell r="S14754">
            <v>227012</v>
          </cell>
        </row>
        <row r="14755">
          <cell r="K14755" t="str">
            <v>213002</v>
          </cell>
          <cell r="M14755">
            <v>6</v>
          </cell>
          <cell r="R14755">
            <v>45984</v>
          </cell>
          <cell r="S14755">
            <v>213002</v>
          </cell>
        </row>
        <row r="14756">
          <cell r="K14756" t="str">
            <v>217018</v>
          </cell>
          <cell r="M14756">
            <v>2</v>
          </cell>
          <cell r="R14756">
            <v>45984</v>
          </cell>
          <cell r="S14756">
            <v>217018</v>
          </cell>
        </row>
        <row r="14757">
          <cell r="K14757" t="str">
            <v>203001</v>
          </cell>
          <cell r="M14757">
            <v>2</v>
          </cell>
          <cell r="R14757">
            <v>45984</v>
          </cell>
          <cell r="S14757">
            <v>203001</v>
          </cell>
        </row>
        <row r="14758">
          <cell r="K14758" t="str">
            <v>231010</v>
          </cell>
          <cell r="M14758">
            <v>2</v>
          </cell>
          <cell r="R14758">
            <v>45984</v>
          </cell>
          <cell r="S14758">
            <v>231010</v>
          </cell>
        </row>
        <row r="14759">
          <cell r="K14759" t="str">
            <v>223002</v>
          </cell>
          <cell r="M14759">
            <v>3</v>
          </cell>
          <cell r="R14759">
            <v>45984</v>
          </cell>
          <cell r="S14759">
            <v>223002</v>
          </cell>
        </row>
        <row r="14760">
          <cell r="K14760" t="str">
            <v>223001</v>
          </cell>
          <cell r="M14760">
            <v>10</v>
          </cell>
          <cell r="R14760">
            <v>45984</v>
          </cell>
          <cell r="S14760">
            <v>223001</v>
          </cell>
        </row>
        <row r="14761">
          <cell r="K14761" t="str">
            <v>227012</v>
          </cell>
          <cell r="M14761">
            <v>1</v>
          </cell>
          <cell r="R14761">
            <v>45984</v>
          </cell>
          <cell r="S14761">
            <v>227012</v>
          </cell>
        </row>
        <row r="14762">
          <cell r="K14762" t="str">
            <v>209022</v>
          </cell>
          <cell r="M14762">
            <v>2</v>
          </cell>
          <cell r="R14762">
            <v>45984</v>
          </cell>
          <cell r="S14762">
            <v>209022</v>
          </cell>
        </row>
        <row r="14763">
          <cell r="K14763" t="str">
            <v>223002</v>
          </cell>
          <cell r="M14763">
            <v>2</v>
          </cell>
          <cell r="R14763">
            <v>45985</v>
          </cell>
          <cell r="S14763">
            <v>223002</v>
          </cell>
        </row>
        <row r="14764">
          <cell r="K14764" t="str">
            <v>231010</v>
          </cell>
          <cell r="M14764">
            <v>1</v>
          </cell>
          <cell r="R14764">
            <v>45985</v>
          </cell>
          <cell r="S14764">
            <v>231010</v>
          </cell>
        </row>
        <row r="14765">
          <cell r="K14765" t="str">
            <v>222001</v>
          </cell>
          <cell r="M14765">
            <v>1</v>
          </cell>
          <cell r="R14765">
            <v>45985</v>
          </cell>
          <cell r="S14765">
            <v>222001</v>
          </cell>
        </row>
        <row r="14766">
          <cell r="K14766" t="str">
            <v>201011</v>
          </cell>
          <cell r="M14766">
            <v>2</v>
          </cell>
          <cell r="R14766">
            <v>45984</v>
          </cell>
          <cell r="S14766">
            <v>201011</v>
          </cell>
        </row>
        <row r="14767">
          <cell r="K14767" t="str">
            <v>201011</v>
          </cell>
          <cell r="M14767">
            <v>1</v>
          </cell>
          <cell r="R14767">
            <v>45985</v>
          </cell>
          <cell r="S14767">
            <v>201011</v>
          </cell>
        </row>
        <row r="14768">
          <cell r="K14768" t="str">
            <v>217022</v>
          </cell>
          <cell r="M14768">
            <v>2</v>
          </cell>
          <cell r="R14768">
            <v>45985</v>
          </cell>
          <cell r="S14768">
            <v>217022</v>
          </cell>
        </row>
        <row r="14769">
          <cell r="K14769" t="str">
            <v>231012</v>
          </cell>
          <cell r="M14769">
            <v>1</v>
          </cell>
          <cell r="R14769">
            <v>45985</v>
          </cell>
          <cell r="S14769">
            <v>231012</v>
          </cell>
        </row>
        <row r="14770">
          <cell r="K14770" t="str">
            <v>203003</v>
          </cell>
          <cell r="M14770">
            <v>1</v>
          </cell>
          <cell r="R14770">
            <v>45985</v>
          </cell>
          <cell r="S14770">
            <v>203003</v>
          </cell>
        </row>
        <row r="14771">
          <cell r="K14771" t="str">
            <v>201011</v>
          </cell>
          <cell r="M14771">
            <v>2</v>
          </cell>
          <cell r="R14771">
            <v>45985</v>
          </cell>
          <cell r="S14771">
            <v>201011</v>
          </cell>
        </row>
        <row r="14772">
          <cell r="K14772" t="str">
            <v>209001</v>
          </cell>
          <cell r="M14772">
            <v>1</v>
          </cell>
          <cell r="R14772">
            <v>45985</v>
          </cell>
          <cell r="S14772">
            <v>209001</v>
          </cell>
        </row>
        <row r="14773">
          <cell r="K14773" t="str">
            <v>213002</v>
          </cell>
          <cell r="M14773">
            <v>1</v>
          </cell>
          <cell r="R14773">
            <v>45985</v>
          </cell>
          <cell r="S14773">
            <v>213002</v>
          </cell>
        </row>
        <row r="14774">
          <cell r="K14774" t="str">
            <v>203003</v>
          </cell>
          <cell r="M14774">
            <v>1</v>
          </cell>
          <cell r="R14774">
            <v>45985</v>
          </cell>
          <cell r="S14774">
            <v>203003</v>
          </cell>
        </row>
        <row r="14775">
          <cell r="K14775" t="str">
            <v>210015</v>
          </cell>
          <cell r="M14775">
            <v>3</v>
          </cell>
          <cell r="R14775">
            <v>45985</v>
          </cell>
          <cell r="S14775">
            <v>210015</v>
          </cell>
        </row>
        <row r="14776">
          <cell r="K14776" t="str">
            <v>241001</v>
          </cell>
          <cell r="M14776">
            <v>10</v>
          </cell>
          <cell r="R14776">
            <v>45985</v>
          </cell>
          <cell r="S14776">
            <v>241001</v>
          </cell>
        </row>
        <row r="14777">
          <cell r="K14777" t="str">
            <v>213002</v>
          </cell>
          <cell r="M14777">
            <v>1</v>
          </cell>
          <cell r="R14777">
            <v>45984</v>
          </cell>
          <cell r="S14777">
            <v>213002</v>
          </cell>
        </row>
        <row r="14778">
          <cell r="K14778" t="str">
            <v>241001</v>
          </cell>
          <cell r="M14778">
            <v>2</v>
          </cell>
          <cell r="R14778">
            <v>45984</v>
          </cell>
          <cell r="S14778">
            <v>241001</v>
          </cell>
        </row>
        <row r="14779">
          <cell r="K14779" t="str">
            <v>209004</v>
          </cell>
          <cell r="M14779">
            <v>1</v>
          </cell>
          <cell r="R14779">
            <v>45985</v>
          </cell>
          <cell r="S14779">
            <v>209004</v>
          </cell>
        </row>
        <row r="14780">
          <cell r="K14780" t="str">
            <v>261004</v>
          </cell>
          <cell r="M14780">
            <v>1</v>
          </cell>
          <cell r="R14780">
            <v>45985</v>
          </cell>
          <cell r="S14780">
            <v>261004</v>
          </cell>
        </row>
        <row r="14781">
          <cell r="K14781" t="str">
            <v>223001</v>
          </cell>
          <cell r="M14781">
            <v>2</v>
          </cell>
          <cell r="R14781">
            <v>45985</v>
          </cell>
          <cell r="S14781">
            <v>223001</v>
          </cell>
        </row>
        <row r="14782">
          <cell r="K14782" t="str">
            <v>220003</v>
          </cell>
          <cell r="M14782">
            <v>1</v>
          </cell>
          <cell r="R14782">
            <v>45985</v>
          </cell>
          <cell r="S14782">
            <v>220003</v>
          </cell>
        </row>
        <row r="14783">
          <cell r="K14783" t="str">
            <v>223002</v>
          </cell>
          <cell r="M14783">
            <v>1</v>
          </cell>
          <cell r="R14783">
            <v>45985</v>
          </cell>
          <cell r="S14783">
            <v>223002</v>
          </cell>
        </row>
        <row r="14784">
          <cell r="K14784" t="str">
            <v>201011</v>
          </cell>
          <cell r="M14784">
            <v>3</v>
          </cell>
          <cell r="R14784">
            <v>45985</v>
          </cell>
          <cell r="S14784">
            <v>201011</v>
          </cell>
        </row>
        <row r="14785">
          <cell r="K14785" t="str">
            <v>241001</v>
          </cell>
          <cell r="M14785">
            <v>1</v>
          </cell>
          <cell r="R14785">
            <v>45985</v>
          </cell>
          <cell r="S14785">
            <v>241001</v>
          </cell>
        </row>
        <row r="14786">
          <cell r="K14786" t="str">
            <v>223006</v>
          </cell>
          <cell r="M14786">
            <v>7</v>
          </cell>
          <cell r="R14786">
            <v>45982</v>
          </cell>
          <cell r="S14786">
            <v>223006</v>
          </cell>
        </row>
        <row r="14787">
          <cell r="K14787" t="str">
            <v>223001</v>
          </cell>
          <cell r="M14787">
            <v>3</v>
          </cell>
          <cell r="R14787">
            <v>45982</v>
          </cell>
          <cell r="S14787">
            <v>223001</v>
          </cell>
        </row>
        <row r="14788">
          <cell r="K14788" t="str">
            <v>227014</v>
          </cell>
          <cell r="M14788">
            <v>1</v>
          </cell>
          <cell r="R14788">
            <v>45982</v>
          </cell>
          <cell r="S14788">
            <v>227014</v>
          </cell>
        </row>
        <row r="14789">
          <cell r="K14789" t="str">
            <v>217022</v>
          </cell>
          <cell r="M14789">
            <v>1</v>
          </cell>
          <cell r="R14789">
            <v>45982</v>
          </cell>
          <cell r="S14789">
            <v>217022</v>
          </cell>
        </row>
        <row r="14790">
          <cell r="K14790" t="str">
            <v>201011</v>
          </cell>
          <cell r="M14790">
            <v>4</v>
          </cell>
          <cell r="R14790">
            <v>45985</v>
          </cell>
          <cell r="S14790">
            <v>201011</v>
          </cell>
        </row>
        <row r="14791">
          <cell r="K14791" t="str">
            <v>227012</v>
          </cell>
          <cell r="M14791">
            <v>5</v>
          </cell>
          <cell r="R14791">
            <v>45984</v>
          </cell>
          <cell r="S14791">
            <v>227012</v>
          </cell>
        </row>
        <row r="14792">
          <cell r="K14792" t="str">
            <v>227012</v>
          </cell>
          <cell r="M14792">
            <v>2</v>
          </cell>
          <cell r="R14792">
            <v>45984</v>
          </cell>
          <cell r="S14792">
            <v>227012</v>
          </cell>
        </row>
        <row r="14793">
          <cell r="K14793" t="str">
            <v>223001</v>
          </cell>
          <cell r="M14793">
            <v>3</v>
          </cell>
          <cell r="R14793">
            <v>45984</v>
          </cell>
          <cell r="S14793">
            <v>223001</v>
          </cell>
        </row>
        <row r="14794">
          <cell r="K14794" t="str">
            <v>223002</v>
          </cell>
          <cell r="M14794">
            <v>4</v>
          </cell>
          <cell r="R14794">
            <v>45984</v>
          </cell>
          <cell r="S14794">
            <v>223002</v>
          </cell>
        </row>
        <row r="14795">
          <cell r="K14795" t="str">
            <v>227012</v>
          </cell>
          <cell r="M14795">
            <v>1</v>
          </cell>
          <cell r="R14795">
            <v>45984</v>
          </cell>
          <cell r="S14795">
            <v>227012</v>
          </cell>
        </row>
        <row r="14796">
          <cell r="K14796" t="str">
            <v>228001</v>
          </cell>
          <cell r="M14796">
            <v>4</v>
          </cell>
          <cell r="R14796">
            <v>45984</v>
          </cell>
          <cell r="S14796">
            <v>228001</v>
          </cell>
        </row>
        <row r="14797">
          <cell r="K14797" t="str">
            <v>231012</v>
          </cell>
          <cell r="M14797">
            <v>1</v>
          </cell>
          <cell r="R14797">
            <v>45984</v>
          </cell>
          <cell r="S14797">
            <v>231012</v>
          </cell>
        </row>
        <row r="14798">
          <cell r="K14798" t="str">
            <v>201011</v>
          </cell>
          <cell r="M14798">
            <v>1</v>
          </cell>
          <cell r="R14798">
            <v>45984</v>
          </cell>
          <cell r="S14798">
            <v>201011</v>
          </cell>
        </row>
        <row r="14799">
          <cell r="K14799" t="str">
            <v>220002</v>
          </cell>
          <cell r="M14799">
            <v>1</v>
          </cell>
          <cell r="R14799">
            <v>45984</v>
          </cell>
          <cell r="S14799">
            <v>220002</v>
          </cell>
        </row>
        <row r="14800">
          <cell r="K14800" t="str">
            <v>232001</v>
          </cell>
          <cell r="M14800">
            <v>3</v>
          </cell>
          <cell r="R14800">
            <v>45985</v>
          </cell>
          <cell r="S14800">
            <v>232001</v>
          </cell>
        </row>
        <row r="14801">
          <cell r="K14801" t="str">
            <v>228001</v>
          </cell>
          <cell r="M14801">
            <v>3</v>
          </cell>
          <cell r="R14801">
            <v>45985</v>
          </cell>
          <cell r="S14801">
            <v>228001</v>
          </cell>
        </row>
        <row r="14802">
          <cell r="K14802" t="str">
            <v>223002</v>
          </cell>
          <cell r="M14802">
            <v>2</v>
          </cell>
          <cell r="R14802">
            <v>45985</v>
          </cell>
          <cell r="S14802">
            <v>223002</v>
          </cell>
        </row>
        <row r="14803">
          <cell r="K14803" t="str">
            <v>213002</v>
          </cell>
          <cell r="M14803">
            <v>1</v>
          </cell>
          <cell r="R14803">
            <v>45985</v>
          </cell>
          <cell r="S14803">
            <v>213002</v>
          </cell>
        </row>
        <row r="14804">
          <cell r="K14804" t="str">
            <v>228001</v>
          </cell>
          <cell r="M14804">
            <v>1</v>
          </cell>
          <cell r="R14804">
            <v>45985</v>
          </cell>
          <cell r="S14804">
            <v>228001</v>
          </cell>
        </row>
        <row r="14805">
          <cell r="K14805" t="str">
            <v>231012</v>
          </cell>
          <cell r="M14805">
            <v>1</v>
          </cell>
          <cell r="R14805">
            <v>45985</v>
          </cell>
          <cell r="S14805">
            <v>231012</v>
          </cell>
        </row>
        <row r="14806">
          <cell r="K14806" t="str">
            <v>227001</v>
          </cell>
          <cell r="M14806">
            <v>6</v>
          </cell>
          <cell r="R14806">
            <v>45985</v>
          </cell>
          <cell r="S14806">
            <v>227001</v>
          </cell>
        </row>
        <row r="14807">
          <cell r="K14807" t="str">
            <v>201011</v>
          </cell>
          <cell r="M14807">
            <v>10</v>
          </cell>
          <cell r="R14807">
            <v>45985</v>
          </cell>
          <cell r="S14807">
            <v>201011</v>
          </cell>
        </row>
        <row r="14808">
          <cell r="K14808" t="str">
            <v>227002</v>
          </cell>
          <cell r="M14808">
            <v>1</v>
          </cell>
          <cell r="R14808">
            <v>45985</v>
          </cell>
          <cell r="S14808">
            <v>227002</v>
          </cell>
        </row>
        <row r="14809">
          <cell r="K14809" t="str">
            <v>201024</v>
          </cell>
          <cell r="M14809">
            <v>1</v>
          </cell>
          <cell r="R14809">
            <v>45985</v>
          </cell>
          <cell r="S14809">
            <v>201024</v>
          </cell>
        </row>
        <row r="14810">
          <cell r="K14810" t="str">
            <v>203003</v>
          </cell>
          <cell r="M14810">
            <v>4</v>
          </cell>
          <cell r="R14810">
            <v>45985</v>
          </cell>
          <cell r="S14810">
            <v>203003</v>
          </cell>
        </row>
        <row r="14811">
          <cell r="K14811" t="str">
            <v>213002</v>
          </cell>
          <cell r="M14811">
            <v>16</v>
          </cell>
          <cell r="R14811">
            <v>45985</v>
          </cell>
          <cell r="S14811">
            <v>213002</v>
          </cell>
        </row>
        <row r="14812">
          <cell r="K14812" t="str">
            <v>207017</v>
          </cell>
          <cell r="M14812">
            <v>6</v>
          </cell>
          <cell r="R14812">
            <v>45985</v>
          </cell>
          <cell r="S14812">
            <v>207017</v>
          </cell>
        </row>
        <row r="14813">
          <cell r="K14813" t="str">
            <v>214002</v>
          </cell>
          <cell r="M14813">
            <v>1</v>
          </cell>
          <cell r="R14813">
            <v>45985</v>
          </cell>
          <cell r="S14813">
            <v>214002</v>
          </cell>
        </row>
        <row r="14814">
          <cell r="K14814" t="str">
            <v>218001</v>
          </cell>
          <cell r="M14814">
            <v>1</v>
          </cell>
          <cell r="R14814">
            <v>45985</v>
          </cell>
          <cell r="S14814">
            <v>218001</v>
          </cell>
        </row>
        <row r="14815">
          <cell r="K14815" t="str">
            <v>212035</v>
          </cell>
          <cell r="M14815">
            <v>2</v>
          </cell>
          <cell r="R14815">
            <v>45985</v>
          </cell>
          <cell r="S14815">
            <v>212035</v>
          </cell>
        </row>
        <row r="14816">
          <cell r="K14816" t="str">
            <v>228001</v>
          </cell>
          <cell r="M14816">
            <v>1</v>
          </cell>
          <cell r="R14816">
            <v>45985</v>
          </cell>
          <cell r="S14816">
            <v>228001</v>
          </cell>
        </row>
        <row r="14817">
          <cell r="K14817" t="str">
            <v>231012</v>
          </cell>
          <cell r="M14817">
            <v>2</v>
          </cell>
          <cell r="R14817">
            <v>45985</v>
          </cell>
          <cell r="S14817">
            <v>231012</v>
          </cell>
        </row>
        <row r="14818">
          <cell r="K14818" t="str">
            <v>241001</v>
          </cell>
          <cell r="M14818">
            <v>3</v>
          </cell>
          <cell r="R14818">
            <v>45985</v>
          </cell>
          <cell r="S14818">
            <v>241001</v>
          </cell>
        </row>
        <row r="14819">
          <cell r="K14819" t="str">
            <v>201011</v>
          </cell>
          <cell r="M14819">
            <v>4</v>
          </cell>
          <cell r="R14819">
            <v>45985</v>
          </cell>
          <cell r="S14819">
            <v>201011</v>
          </cell>
        </row>
        <row r="14820">
          <cell r="K14820" t="str">
            <v>241001</v>
          </cell>
          <cell r="M14820">
            <v>10</v>
          </cell>
          <cell r="R14820">
            <v>45985</v>
          </cell>
          <cell r="S14820">
            <v>241001</v>
          </cell>
        </row>
        <row r="14821">
          <cell r="K14821" t="str">
            <v>201011</v>
          </cell>
          <cell r="M14821">
            <v>1</v>
          </cell>
          <cell r="R14821">
            <v>45985</v>
          </cell>
          <cell r="S14821">
            <v>201011</v>
          </cell>
        </row>
        <row r="14822">
          <cell r="K14822" t="str">
            <v>228001</v>
          </cell>
          <cell r="M14822">
            <v>2</v>
          </cell>
          <cell r="R14822">
            <v>45985</v>
          </cell>
          <cell r="S14822">
            <v>228001</v>
          </cell>
        </row>
        <row r="14823">
          <cell r="K14823" t="str">
            <v>237001</v>
          </cell>
          <cell r="M14823">
            <v>1</v>
          </cell>
          <cell r="R14823">
            <v>45985</v>
          </cell>
          <cell r="S14823">
            <v>237001</v>
          </cell>
        </row>
        <row r="14824">
          <cell r="K14824" t="str">
            <v>229001</v>
          </cell>
          <cell r="M14824">
            <v>1</v>
          </cell>
          <cell r="R14824">
            <v>45985</v>
          </cell>
          <cell r="S14824">
            <v>229001</v>
          </cell>
        </row>
        <row r="14825">
          <cell r="K14825" t="str">
            <v>229004</v>
          </cell>
          <cell r="M14825">
            <v>3</v>
          </cell>
          <cell r="R14825">
            <v>45985</v>
          </cell>
          <cell r="S14825">
            <v>229004</v>
          </cell>
        </row>
        <row r="14826">
          <cell r="K14826" t="str">
            <v>213006</v>
          </cell>
          <cell r="M14826">
            <v>1</v>
          </cell>
          <cell r="R14826">
            <v>45985</v>
          </cell>
          <cell r="S14826">
            <v>213006</v>
          </cell>
        </row>
        <row r="14827">
          <cell r="K14827" t="str">
            <v>201011</v>
          </cell>
          <cell r="M14827">
            <v>1</v>
          </cell>
          <cell r="R14827">
            <v>45985</v>
          </cell>
          <cell r="S14827">
            <v>201011</v>
          </cell>
        </row>
        <row r="14828">
          <cell r="K14828" t="str">
            <v>213002</v>
          </cell>
          <cell r="M14828">
            <v>3</v>
          </cell>
          <cell r="R14828">
            <v>45985</v>
          </cell>
          <cell r="S14828">
            <v>213002</v>
          </cell>
        </row>
        <row r="14829">
          <cell r="K14829" t="str">
            <v>203003</v>
          </cell>
          <cell r="M14829">
            <v>2</v>
          </cell>
          <cell r="R14829">
            <v>45985</v>
          </cell>
          <cell r="S14829">
            <v>203003</v>
          </cell>
        </row>
        <row r="14830">
          <cell r="K14830" t="str">
            <v>223001</v>
          </cell>
          <cell r="M14830">
            <v>1</v>
          </cell>
          <cell r="R14830">
            <v>45985</v>
          </cell>
          <cell r="S14830">
            <v>223001</v>
          </cell>
        </row>
        <row r="14831">
          <cell r="K14831" t="str">
            <v>201011</v>
          </cell>
          <cell r="M14831">
            <v>5</v>
          </cell>
          <cell r="R14831">
            <v>45985</v>
          </cell>
          <cell r="S14831">
            <v>201011</v>
          </cell>
        </row>
        <row r="14832">
          <cell r="K14832" t="str">
            <v>201024</v>
          </cell>
          <cell r="M14832">
            <v>1</v>
          </cell>
          <cell r="R14832">
            <v>45985</v>
          </cell>
          <cell r="S14832">
            <v>201024</v>
          </cell>
        </row>
        <row r="14833">
          <cell r="K14833" t="str">
            <v>207017</v>
          </cell>
          <cell r="M14833">
            <v>1</v>
          </cell>
          <cell r="R14833">
            <v>45985</v>
          </cell>
          <cell r="S14833">
            <v>207017</v>
          </cell>
        </row>
        <row r="14834">
          <cell r="K14834" t="str">
            <v>212002</v>
          </cell>
          <cell r="M14834">
            <v>1</v>
          </cell>
          <cell r="R14834">
            <v>45985</v>
          </cell>
          <cell r="S14834">
            <v>212002</v>
          </cell>
        </row>
        <row r="14835">
          <cell r="K14835" t="str">
            <v>228001</v>
          </cell>
          <cell r="M14835">
            <v>1</v>
          </cell>
          <cell r="R14835">
            <v>45985</v>
          </cell>
          <cell r="S14835">
            <v>228001</v>
          </cell>
        </row>
        <row r="14836">
          <cell r="K14836" t="str">
            <v>228001</v>
          </cell>
          <cell r="M14836">
            <v>3</v>
          </cell>
          <cell r="R14836">
            <v>45985</v>
          </cell>
          <cell r="S14836">
            <v>228001</v>
          </cell>
        </row>
        <row r="14837">
          <cell r="K14837" t="str">
            <v>212035</v>
          </cell>
          <cell r="M14837">
            <v>2</v>
          </cell>
          <cell r="R14837">
            <v>45985</v>
          </cell>
          <cell r="S14837">
            <v>212035</v>
          </cell>
        </row>
        <row r="14838">
          <cell r="K14838" t="str">
            <v>231012</v>
          </cell>
          <cell r="M14838">
            <v>4</v>
          </cell>
          <cell r="R14838">
            <v>45985</v>
          </cell>
          <cell r="S14838">
            <v>231012</v>
          </cell>
        </row>
        <row r="14839">
          <cell r="K14839" t="str">
            <v>228001</v>
          </cell>
          <cell r="M14839">
            <v>2</v>
          </cell>
          <cell r="R14839">
            <v>45985</v>
          </cell>
          <cell r="S14839">
            <v>228001</v>
          </cell>
        </row>
        <row r="14840">
          <cell r="K14840" t="str">
            <v>201024</v>
          </cell>
          <cell r="M14840">
            <v>1</v>
          </cell>
          <cell r="R14840">
            <v>45985</v>
          </cell>
          <cell r="S14840">
            <v>201024</v>
          </cell>
        </row>
        <row r="14841">
          <cell r="K14841" t="str">
            <v>231012</v>
          </cell>
          <cell r="M14841">
            <v>1</v>
          </cell>
          <cell r="R14841">
            <v>45985</v>
          </cell>
          <cell r="S14841">
            <v>231012</v>
          </cell>
        </row>
        <row r="14842">
          <cell r="K14842" t="str">
            <v>209004</v>
          </cell>
          <cell r="M14842">
            <v>1</v>
          </cell>
          <cell r="R14842">
            <v>45985</v>
          </cell>
          <cell r="S14842">
            <v>209004</v>
          </cell>
        </row>
        <row r="14843">
          <cell r="K14843" t="str">
            <v>228001</v>
          </cell>
          <cell r="M14843">
            <v>1</v>
          </cell>
          <cell r="R14843">
            <v>45985</v>
          </cell>
          <cell r="S14843">
            <v>228001</v>
          </cell>
        </row>
        <row r="14844">
          <cell r="K14844" t="str">
            <v>201011</v>
          </cell>
          <cell r="M14844">
            <v>9</v>
          </cell>
          <cell r="R14844">
            <v>45985</v>
          </cell>
          <cell r="S14844">
            <v>201011</v>
          </cell>
        </row>
        <row r="14845">
          <cell r="K14845" t="str">
            <v>223001</v>
          </cell>
          <cell r="M14845">
            <v>10</v>
          </cell>
          <cell r="R14845">
            <v>45985</v>
          </cell>
          <cell r="S14845">
            <v>223001</v>
          </cell>
        </row>
        <row r="14846">
          <cell r="K14846" t="str">
            <v>223003</v>
          </cell>
          <cell r="M14846">
            <v>4</v>
          </cell>
          <cell r="R14846">
            <v>45985</v>
          </cell>
          <cell r="S14846">
            <v>223003</v>
          </cell>
        </row>
        <row r="14847">
          <cell r="K14847" t="str">
            <v>223006</v>
          </cell>
          <cell r="M14847">
            <v>8</v>
          </cell>
          <cell r="R14847">
            <v>45985</v>
          </cell>
          <cell r="S14847">
            <v>223006</v>
          </cell>
        </row>
        <row r="14848">
          <cell r="K14848" t="str">
            <v>223002</v>
          </cell>
          <cell r="M14848">
            <v>10</v>
          </cell>
          <cell r="R14848">
            <v>45985</v>
          </cell>
          <cell r="S14848">
            <v>223002</v>
          </cell>
        </row>
        <row r="14849">
          <cell r="K14849" t="str">
            <v>213006</v>
          </cell>
          <cell r="M14849">
            <v>2</v>
          </cell>
          <cell r="R14849">
            <v>45985</v>
          </cell>
          <cell r="S14849">
            <v>213006</v>
          </cell>
        </row>
        <row r="14850">
          <cell r="K14850" t="str">
            <v>213002</v>
          </cell>
          <cell r="M14850">
            <v>2</v>
          </cell>
          <cell r="R14850">
            <v>45985</v>
          </cell>
          <cell r="S14850">
            <v>213002</v>
          </cell>
        </row>
        <row r="14851">
          <cell r="K14851" t="str">
            <v>231012</v>
          </cell>
          <cell r="M14851">
            <v>1</v>
          </cell>
          <cell r="R14851">
            <v>45985</v>
          </cell>
          <cell r="S14851">
            <v>231012</v>
          </cell>
        </row>
        <row r="14852">
          <cell r="K14852" t="str">
            <v>203001</v>
          </cell>
          <cell r="M14852">
            <v>4</v>
          </cell>
          <cell r="R14852">
            <v>45985</v>
          </cell>
          <cell r="S14852">
            <v>203001</v>
          </cell>
        </row>
        <row r="14853">
          <cell r="K14853" t="str">
            <v>228001</v>
          </cell>
          <cell r="M14853">
            <v>3</v>
          </cell>
          <cell r="R14853">
            <v>45985</v>
          </cell>
          <cell r="S14853">
            <v>228001</v>
          </cell>
        </row>
        <row r="14854">
          <cell r="K14854" t="str">
            <v>228001</v>
          </cell>
          <cell r="M14854">
            <v>4</v>
          </cell>
          <cell r="R14854">
            <v>45985</v>
          </cell>
          <cell r="S14854">
            <v>228001</v>
          </cell>
        </row>
        <row r="14855">
          <cell r="K14855" t="str">
            <v>209012</v>
          </cell>
          <cell r="M14855">
            <v>3</v>
          </cell>
          <cell r="R14855">
            <v>45985</v>
          </cell>
          <cell r="S14855">
            <v>209012</v>
          </cell>
        </row>
        <row r="14856">
          <cell r="K14856" t="str">
            <v>228001</v>
          </cell>
          <cell r="M14856">
            <v>3</v>
          </cell>
          <cell r="R14856">
            <v>45985</v>
          </cell>
          <cell r="S14856">
            <v>228001</v>
          </cell>
        </row>
        <row r="14857">
          <cell r="K14857" t="str">
            <v>231012</v>
          </cell>
          <cell r="M14857">
            <v>3</v>
          </cell>
          <cell r="R14857">
            <v>45985</v>
          </cell>
          <cell r="S14857">
            <v>231012</v>
          </cell>
        </row>
        <row r="14858">
          <cell r="K14858" t="str">
            <v>228001</v>
          </cell>
          <cell r="M14858">
            <v>3</v>
          </cell>
          <cell r="R14858">
            <v>45985</v>
          </cell>
          <cell r="S14858">
            <v>228001</v>
          </cell>
        </row>
        <row r="14859">
          <cell r="K14859" t="str">
            <v>213002</v>
          </cell>
          <cell r="M14859">
            <v>2</v>
          </cell>
          <cell r="R14859">
            <v>45985</v>
          </cell>
          <cell r="S14859">
            <v>213002</v>
          </cell>
        </row>
        <row r="14860">
          <cell r="K14860" t="str">
            <v>231012</v>
          </cell>
          <cell r="M14860">
            <v>1</v>
          </cell>
          <cell r="R14860">
            <v>45985</v>
          </cell>
          <cell r="S14860">
            <v>231012</v>
          </cell>
        </row>
        <row r="14861">
          <cell r="K14861" t="str">
            <v>226026</v>
          </cell>
          <cell r="M14861">
            <v>1</v>
          </cell>
          <cell r="R14861">
            <v>45985</v>
          </cell>
          <cell r="S14861">
            <v>226026</v>
          </cell>
        </row>
        <row r="14862">
          <cell r="K14862" t="str">
            <v>226031</v>
          </cell>
          <cell r="M14862">
            <v>1</v>
          </cell>
          <cell r="R14862">
            <v>45985</v>
          </cell>
          <cell r="S14862">
            <v>226031</v>
          </cell>
        </row>
        <row r="14863">
          <cell r="K14863" t="str">
            <v>226003</v>
          </cell>
          <cell r="M14863">
            <v>1</v>
          </cell>
          <cell r="R14863">
            <v>45985</v>
          </cell>
          <cell r="S14863">
            <v>226003</v>
          </cell>
        </row>
        <row r="14864">
          <cell r="K14864" t="str">
            <v>222001</v>
          </cell>
          <cell r="M14864">
            <v>1</v>
          </cell>
          <cell r="R14864">
            <v>45985</v>
          </cell>
          <cell r="S14864">
            <v>222001</v>
          </cell>
        </row>
        <row r="14865">
          <cell r="K14865" t="str">
            <v>227012</v>
          </cell>
          <cell r="M14865">
            <v>1</v>
          </cell>
          <cell r="R14865">
            <v>45985</v>
          </cell>
          <cell r="S14865">
            <v>227012</v>
          </cell>
        </row>
        <row r="14866">
          <cell r="K14866" t="str">
            <v>231004</v>
          </cell>
          <cell r="M14866">
            <v>1</v>
          </cell>
          <cell r="R14866">
            <v>45985</v>
          </cell>
          <cell r="S14866">
            <v>231004</v>
          </cell>
        </row>
        <row r="14867">
          <cell r="K14867" t="str">
            <v>201011</v>
          </cell>
          <cell r="M14867">
            <v>20</v>
          </cell>
          <cell r="R14867">
            <v>45986</v>
          </cell>
          <cell r="S14867">
            <v>201011</v>
          </cell>
        </row>
        <row r="14868">
          <cell r="K14868" t="str">
            <v>210015</v>
          </cell>
          <cell r="M14868">
            <v>12</v>
          </cell>
          <cell r="R14868">
            <v>45986</v>
          </cell>
          <cell r="S14868">
            <v>210015</v>
          </cell>
        </row>
        <row r="14869">
          <cell r="K14869" t="str">
            <v>231012</v>
          </cell>
          <cell r="M14869">
            <v>1</v>
          </cell>
          <cell r="R14869">
            <v>45986</v>
          </cell>
          <cell r="S14869">
            <v>231012</v>
          </cell>
        </row>
        <row r="14870">
          <cell r="K14870" t="str">
            <v>207017</v>
          </cell>
          <cell r="M14870">
            <v>1</v>
          </cell>
          <cell r="R14870">
            <v>45986</v>
          </cell>
          <cell r="S14870">
            <v>207017</v>
          </cell>
        </row>
        <row r="14871">
          <cell r="K14871" t="str">
            <v>226003</v>
          </cell>
          <cell r="M14871">
            <v>1</v>
          </cell>
          <cell r="R14871">
            <v>45986</v>
          </cell>
          <cell r="S14871">
            <v>226003</v>
          </cell>
        </row>
        <row r="14872">
          <cell r="K14872" t="str">
            <v>203003</v>
          </cell>
          <cell r="M14872">
            <v>1</v>
          </cell>
          <cell r="R14872">
            <v>45986</v>
          </cell>
          <cell r="S14872">
            <v>203003</v>
          </cell>
        </row>
        <row r="14873">
          <cell r="K14873" t="str">
            <v>217018</v>
          </cell>
          <cell r="M14873">
            <v>1</v>
          </cell>
          <cell r="R14873">
            <v>45986</v>
          </cell>
          <cell r="S14873">
            <v>217018</v>
          </cell>
        </row>
        <row r="14874">
          <cell r="K14874" t="str">
            <v>201024</v>
          </cell>
          <cell r="M14874">
            <v>1</v>
          </cell>
          <cell r="R14874">
            <v>45986</v>
          </cell>
          <cell r="S14874">
            <v>201024</v>
          </cell>
        </row>
        <row r="14875">
          <cell r="K14875" t="str">
            <v>228001</v>
          </cell>
          <cell r="M14875">
            <v>6</v>
          </cell>
          <cell r="R14875">
            <v>45986</v>
          </cell>
          <cell r="S14875">
            <v>228001</v>
          </cell>
        </row>
        <row r="14876">
          <cell r="K14876" t="str">
            <v>222001</v>
          </cell>
          <cell r="M14876">
            <v>1</v>
          </cell>
          <cell r="R14876">
            <v>45986</v>
          </cell>
          <cell r="S14876">
            <v>222001</v>
          </cell>
        </row>
        <row r="14877">
          <cell r="K14877" t="str">
            <v>220003</v>
          </cell>
          <cell r="M14877">
            <v>2</v>
          </cell>
          <cell r="R14877">
            <v>45986</v>
          </cell>
          <cell r="S14877">
            <v>220003</v>
          </cell>
        </row>
        <row r="14878">
          <cell r="K14878" t="str">
            <v>213006</v>
          </cell>
          <cell r="M14878">
            <v>1</v>
          </cell>
          <cell r="R14878">
            <v>45986</v>
          </cell>
          <cell r="S14878">
            <v>213006</v>
          </cell>
        </row>
        <row r="14879">
          <cell r="K14879" t="str">
            <v>201011</v>
          </cell>
          <cell r="M14879">
            <v>2</v>
          </cell>
          <cell r="R14879">
            <v>45986</v>
          </cell>
          <cell r="S14879">
            <v>201011</v>
          </cell>
        </row>
        <row r="14880">
          <cell r="K14880" t="str">
            <v>228001</v>
          </cell>
          <cell r="M14880">
            <v>3</v>
          </cell>
          <cell r="R14880">
            <v>45986</v>
          </cell>
          <cell r="S14880">
            <v>228001</v>
          </cell>
        </row>
        <row r="14881">
          <cell r="K14881" t="str">
            <v>220003</v>
          </cell>
          <cell r="M14881">
            <v>2</v>
          </cell>
          <cell r="R14881">
            <v>45986</v>
          </cell>
          <cell r="S14881">
            <v>220003</v>
          </cell>
        </row>
        <row r="14882">
          <cell r="K14882" t="str">
            <v>237001</v>
          </cell>
          <cell r="M14882">
            <v>1</v>
          </cell>
          <cell r="R14882">
            <v>45986</v>
          </cell>
          <cell r="S14882">
            <v>237001</v>
          </cell>
        </row>
        <row r="14883">
          <cell r="K14883" t="str">
            <v>212002</v>
          </cell>
          <cell r="M14883">
            <v>1</v>
          </cell>
          <cell r="R14883">
            <v>45986</v>
          </cell>
          <cell r="S14883">
            <v>212002</v>
          </cell>
        </row>
        <row r="14884">
          <cell r="K14884" t="str">
            <v>209004</v>
          </cell>
          <cell r="M14884">
            <v>1</v>
          </cell>
          <cell r="R14884">
            <v>45986</v>
          </cell>
          <cell r="S14884">
            <v>209004</v>
          </cell>
        </row>
        <row r="14885">
          <cell r="K14885" t="str">
            <v>210015</v>
          </cell>
          <cell r="M14885">
            <v>2</v>
          </cell>
          <cell r="R14885">
            <v>45986</v>
          </cell>
          <cell r="S14885">
            <v>210015</v>
          </cell>
        </row>
        <row r="14886">
          <cell r="K14886" t="str">
            <v>223002</v>
          </cell>
          <cell r="M14886">
            <v>1</v>
          </cell>
          <cell r="R14886">
            <v>45986</v>
          </cell>
          <cell r="S14886">
            <v>223002</v>
          </cell>
        </row>
        <row r="14887">
          <cell r="K14887" t="str">
            <v>223001</v>
          </cell>
          <cell r="M14887">
            <v>2</v>
          </cell>
          <cell r="R14887">
            <v>45986</v>
          </cell>
          <cell r="S14887">
            <v>223001</v>
          </cell>
        </row>
        <row r="14888">
          <cell r="K14888" t="str">
            <v>217023</v>
          </cell>
          <cell r="M14888">
            <v>3</v>
          </cell>
          <cell r="R14888">
            <v>45986</v>
          </cell>
          <cell r="S14888">
            <v>217023</v>
          </cell>
        </row>
        <row r="14889">
          <cell r="K14889" t="str">
            <v>210003</v>
          </cell>
          <cell r="M14889">
            <v>10</v>
          </cell>
          <cell r="R14889">
            <v>45986</v>
          </cell>
          <cell r="S14889">
            <v>210003</v>
          </cell>
        </row>
        <row r="14890">
          <cell r="K14890" t="str">
            <v>206002</v>
          </cell>
          <cell r="M14890">
            <v>9</v>
          </cell>
          <cell r="R14890">
            <v>45986</v>
          </cell>
          <cell r="S14890">
            <v>206002</v>
          </cell>
        </row>
        <row r="14891">
          <cell r="K14891" t="str">
            <v>201011</v>
          </cell>
          <cell r="M14891">
            <v>36</v>
          </cell>
          <cell r="R14891">
            <v>45986</v>
          </cell>
          <cell r="S14891">
            <v>201011</v>
          </cell>
        </row>
        <row r="14892">
          <cell r="K14892" t="str">
            <v>209004</v>
          </cell>
          <cell r="M14892">
            <v>4</v>
          </cell>
          <cell r="R14892">
            <v>45986</v>
          </cell>
          <cell r="S14892">
            <v>209004</v>
          </cell>
        </row>
        <row r="14893">
          <cell r="K14893" t="str">
            <v>229001</v>
          </cell>
          <cell r="M14893">
            <v>10</v>
          </cell>
          <cell r="R14893">
            <v>45986</v>
          </cell>
          <cell r="S14893">
            <v>229001</v>
          </cell>
        </row>
        <row r="14894">
          <cell r="K14894" t="str">
            <v>228001</v>
          </cell>
          <cell r="M14894">
            <v>2</v>
          </cell>
          <cell r="R14894">
            <v>45986</v>
          </cell>
          <cell r="S14894">
            <v>228001</v>
          </cell>
        </row>
        <row r="14895">
          <cell r="K14895" t="str">
            <v>227002</v>
          </cell>
          <cell r="M14895">
            <v>2</v>
          </cell>
          <cell r="R14895">
            <v>45986</v>
          </cell>
          <cell r="S14895">
            <v>227002</v>
          </cell>
        </row>
        <row r="14896">
          <cell r="K14896" t="str">
            <v>213002</v>
          </cell>
          <cell r="M14896">
            <v>6</v>
          </cell>
          <cell r="R14896">
            <v>45986</v>
          </cell>
          <cell r="S14896">
            <v>213002</v>
          </cell>
        </row>
        <row r="14897">
          <cell r="K14897" t="str">
            <v>228001</v>
          </cell>
          <cell r="M14897">
            <v>1</v>
          </cell>
          <cell r="R14897">
            <v>45986</v>
          </cell>
          <cell r="S14897">
            <v>228001</v>
          </cell>
        </row>
        <row r="14898">
          <cell r="K14898" t="str">
            <v>201011</v>
          </cell>
          <cell r="M14898">
            <v>3</v>
          </cell>
          <cell r="R14898">
            <v>45986</v>
          </cell>
          <cell r="S14898">
            <v>201011</v>
          </cell>
        </row>
        <row r="14899">
          <cell r="K14899" t="str">
            <v>223002</v>
          </cell>
          <cell r="M14899">
            <v>1</v>
          </cell>
          <cell r="R14899">
            <v>45985</v>
          </cell>
          <cell r="S14899">
            <v>223002</v>
          </cell>
        </row>
        <row r="14900">
          <cell r="K14900" t="str">
            <v>223002</v>
          </cell>
          <cell r="M14900">
            <v>2</v>
          </cell>
          <cell r="R14900">
            <v>45985</v>
          </cell>
          <cell r="S14900">
            <v>223002</v>
          </cell>
        </row>
        <row r="14901">
          <cell r="K14901" t="str">
            <v>223001</v>
          </cell>
          <cell r="M14901">
            <v>2</v>
          </cell>
          <cell r="R14901">
            <v>45985</v>
          </cell>
          <cell r="S14901">
            <v>223001</v>
          </cell>
        </row>
        <row r="14902">
          <cell r="K14902" t="str">
            <v>201024</v>
          </cell>
          <cell r="M14902">
            <v>1</v>
          </cell>
          <cell r="R14902">
            <v>45985</v>
          </cell>
          <cell r="S14902">
            <v>201024</v>
          </cell>
        </row>
        <row r="14903">
          <cell r="K14903" t="str">
            <v>206006</v>
          </cell>
          <cell r="M14903">
            <v>1</v>
          </cell>
          <cell r="R14903">
            <v>45986</v>
          </cell>
          <cell r="S14903">
            <v>206006</v>
          </cell>
        </row>
        <row r="14904">
          <cell r="K14904" t="str">
            <v>206002</v>
          </cell>
          <cell r="M14904">
            <v>1</v>
          </cell>
          <cell r="R14904">
            <v>45986</v>
          </cell>
          <cell r="S14904">
            <v>206002</v>
          </cell>
        </row>
        <row r="14905">
          <cell r="K14905" t="str">
            <v>203004</v>
          </cell>
          <cell r="M14905">
            <v>1</v>
          </cell>
          <cell r="R14905">
            <v>45986</v>
          </cell>
          <cell r="S14905">
            <v>203004</v>
          </cell>
        </row>
        <row r="14906">
          <cell r="K14906" t="str">
            <v>210004</v>
          </cell>
          <cell r="M14906">
            <v>1</v>
          </cell>
          <cell r="R14906">
            <v>45986</v>
          </cell>
          <cell r="S14906">
            <v>210004</v>
          </cell>
        </row>
        <row r="14907">
          <cell r="K14907" t="str">
            <v>206002</v>
          </cell>
          <cell r="M14907">
            <v>1</v>
          </cell>
          <cell r="R14907">
            <v>45986</v>
          </cell>
          <cell r="S14907">
            <v>206002</v>
          </cell>
        </row>
        <row r="14908">
          <cell r="K14908" t="str">
            <v>218001</v>
          </cell>
          <cell r="M14908">
            <v>1</v>
          </cell>
          <cell r="R14908">
            <v>45986</v>
          </cell>
          <cell r="S14908">
            <v>218001</v>
          </cell>
        </row>
        <row r="14909">
          <cell r="K14909" t="str">
            <v>201011</v>
          </cell>
          <cell r="M14909">
            <v>14</v>
          </cell>
          <cell r="R14909">
            <v>45986</v>
          </cell>
          <cell r="S14909">
            <v>201011</v>
          </cell>
        </row>
        <row r="14910">
          <cell r="K14910" t="str">
            <v>228001</v>
          </cell>
          <cell r="M14910">
            <v>15</v>
          </cell>
          <cell r="R14910">
            <v>45986</v>
          </cell>
          <cell r="S14910">
            <v>228001</v>
          </cell>
        </row>
        <row r="14911">
          <cell r="K14911" t="str">
            <v>213002</v>
          </cell>
          <cell r="M14911">
            <v>1</v>
          </cell>
          <cell r="R14911">
            <v>45986</v>
          </cell>
          <cell r="S14911">
            <v>213002</v>
          </cell>
        </row>
        <row r="14912">
          <cell r="K14912" t="str">
            <v>213030</v>
          </cell>
          <cell r="M14912">
            <v>3</v>
          </cell>
          <cell r="R14912">
            <v>45986</v>
          </cell>
          <cell r="S14912">
            <v>213030</v>
          </cell>
        </row>
        <row r="14913">
          <cell r="K14913" t="str">
            <v>217011</v>
          </cell>
          <cell r="M14913">
            <v>9</v>
          </cell>
          <cell r="R14913">
            <v>45986</v>
          </cell>
          <cell r="S14913">
            <v>217011</v>
          </cell>
        </row>
        <row r="14914">
          <cell r="K14914" t="str">
            <v>226001</v>
          </cell>
          <cell r="M14914">
            <v>2</v>
          </cell>
          <cell r="R14914">
            <v>45986</v>
          </cell>
          <cell r="S14914">
            <v>226001</v>
          </cell>
        </row>
        <row r="14915">
          <cell r="K14915" t="str">
            <v>226001</v>
          </cell>
          <cell r="M14915">
            <v>1</v>
          </cell>
          <cell r="R14915">
            <v>45986</v>
          </cell>
          <cell r="S14915">
            <v>226001</v>
          </cell>
        </row>
        <row r="14916">
          <cell r="K14916" t="str">
            <v>228001</v>
          </cell>
          <cell r="M14916">
            <v>6</v>
          </cell>
          <cell r="R14916">
            <v>45986</v>
          </cell>
          <cell r="S14916">
            <v>228001</v>
          </cell>
        </row>
        <row r="14917">
          <cell r="K14917" t="str">
            <v>203001</v>
          </cell>
          <cell r="M14917">
            <v>1</v>
          </cell>
          <cell r="R14917">
            <v>45986</v>
          </cell>
          <cell r="S14917">
            <v>203001</v>
          </cell>
        </row>
        <row r="14918">
          <cell r="K14918" t="str">
            <v>226001</v>
          </cell>
          <cell r="M14918">
            <v>1</v>
          </cell>
          <cell r="R14918">
            <v>45986</v>
          </cell>
          <cell r="S14918">
            <v>226001</v>
          </cell>
        </row>
        <row r="14919">
          <cell r="K14919" t="str">
            <v>228001</v>
          </cell>
          <cell r="M14919">
            <v>4</v>
          </cell>
          <cell r="R14919">
            <v>45986</v>
          </cell>
          <cell r="S14919">
            <v>228001</v>
          </cell>
        </row>
        <row r="14920">
          <cell r="K14920" t="str">
            <v>226001</v>
          </cell>
          <cell r="M14920">
            <v>3</v>
          </cell>
          <cell r="R14920">
            <v>45986</v>
          </cell>
          <cell r="S14920">
            <v>226001</v>
          </cell>
        </row>
        <row r="14921">
          <cell r="K14921" t="str">
            <v>226001</v>
          </cell>
          <cell r="M14921">
            <v>1</v>
          </cell>
          <cell r="R14921">
            <v>45986</v>
          </cell>
          <cell r="S14921">
            <v>226001</v>
          </cell>
        </row>
        <row r="14922">
          <cell r="K14922" t="str">
            <v>226001</v>
          </cell>
          <cell r="M14922">
            <v>1</v>
          </cell>
          <cell r="R14922">
            <v>45986</v>
          </cell>
          <cell r="S14922">
            <v>226001</v>
          </cell>
        </row>
        <row r="14923">
          <cell r="K14923" t="str">
            <v>226001</v>
          </cell>
          <cell r="M14923">
            <v>2</v>
          </cell>
          <cell r="R14923">
            <v>45986</v>
          </cell>
          <cell r="S14923">
            <v>226001</v>
          </cell>
        </row>
        <row r="14924">
          <cell r="K14924" t="str">
            <v>228001</v>
          </cell>
          <cell r="M14924">
            <v>100</v>
          </cell>
          <cell r="R14924">
            <v>45986</v>
          </cell>
          <cell r="S14924">
            <v>228001</v>
          </cell>
        </row>
        <row r="14925">
          <cell r="K14925" t="str">
            <v>228001</v>
          </cell>
          <cell r="M14925">
            <v>1</v>
          </cell>
          <cell r="R14925">
            <v>45986</v>
          </cell>
          <cell r="S14925">
            <v>228001</v>
          </cell>
        </row>
        <row r="14926">
          <cell r="K14926" t="str">
            <v>212010</v>
          </cell>
          <cell r="M14926">
            <v>10</v>
          </cell>
          <cell r="R14926">
            <v>45986</v>
          </cell>
          <cell r="S14926">
            <v>212010</v>
          </cell>
        </row>
        <row r="14927">
          <cell r="K14927" t="str">
            <v>261004</v>
          </cell>
          <cell r="M14927">
            <v>20</v>
          </cell>
          <cell r="R14927">
            <v>45986</v>
          </cell>
          <cell r="S14927">
            <v>261004</v>
          </cell>
        </row>
        <row r="14928">
          <cell r="K14928" t="str">
            <v>228001</v>
          </cell>
          <cell r="M14928">
            <v>3</v>
          </cell>
          <cell r="R14928">
            <v>45986</v>
          </cell>
          <cell r="S14928">
            <v>228001</v>
          </cell>
        </row>
        <row r="14929">
          <cell r="K14929" t="str">
            <v>213006</v>
          </cell>
          <cell r="M14929">
            <v>2</v>
          </cell>
          <cell r="R14929">
            <v>45986</v>
          </cell>
          <cell r="S14929">
            <v>213006</v>
          </cell>
        </row>
        <row r="14930">
          <cell r="K14930" t="str">
            <v>218003</v>
          </cell>
          <cell r="M14930">
            <v>1</v>
          </cell>
          <cell r="R14930">
            <v>45986</v>
          </cell>
          <cell r="S14930">
            <v>218003</v>
          </cell>
        </row>
        <row r="14931">
          <cell r="K14931" t="str">
            <v>241001</v>
          </cell>
          <cell r="M14931">
            <v>10</v>
          </cell>
          <cell r="R14931">
            <v>45986</v>
          </cell>
          <cell r="S14931">
            <v>241001</v>
          </cell>
        </row>
        <row r="14932">
          <cell r="K14932" t="str">
            <v>228001</v>
          </cell>
          <cell r="M14932">
            <v>8</v>
          </cell>
          <cell r="R14932">
            <v>45986</v>
          </cell>
          <cell r="S14932">
            <v>228001</v>
          </cell>
        </row>
        <row r="14933">
          <cell r="K14933" t="str">
            <v>227001</v>
          </cell>
          <cell r="M14933">
            <v>2</v>
          </cell>
          <cell r="R14933">
            <v>45986</v>
          </cell>
          <cell r="S14933">
            <v>227001</v>
          </cell>
        </row>
        <row r="14934">
          <cell r="K14934" t="str">
            <v>227002</v>
          </cell>
          <cell r="M14934">
            <v>1</v>
          </cell>
          <cell r="R14934">
            <v>45986</v>
          </cell>
          <cell r="S14934">
            <v>227002</v>
          </cell>
        </row>
        <row r="14935">
          <cell r="K14935" t="str">
            <v>203001</v>
          </cell>
          <cell r="M14935">
            <v>1</v>
          </cell>
          <cell r="R14935">
            <v>45986</v>
          </cell>
          <cell r="S14935">
            <v>203001</v>
          </cell>
        </row>
        <row r="14936">
          <cell r="K14936" t="str">
            <v>223002</v>
          </cell>
          <cell r="M14936">
            <v>1</v>
          </cell>
          <cell r="R14936">
            <v>45986</v>
          </cell>
          <cell r="S14936">
            <v>223002</v>
          </cell>
        </row>
        <row r="14937">
          <cell r="K14937" t="str">
            <v>201011</v>
          </cell>
          <cell r="M14937">
            <v>1</v>
          </cell>
          <cell r="R14937">
            <v>45986</v>
          </cell>
          <cell r="S14937">
            <v>201011</v>
          </cell>
        </row>
        <row r="14938">
          <cell r="K14938" t="str">
            <v>201022</v>
          </cell>
          <cell r="M14938">
            <v>1</v>
          </cell>
          <cell r="R14938">
            <v>45986</v>
          </cell>
          <cell r="S14938">
            <v>201022</v>
          </cell>
        </row>
        <row r="14939">
          <cell r="K14939" t="str">
            <v>209004</v>
          </cell>
          <cell r="M14939">
            <v>1</v>
          </cell>
          <cell r="R14939">
            <v>45987</v>
          </cell>
          <cell r="S14939">
            <v>209004</v>
          </cell>
        </row>
        <row r="14940">
          <cell r="K14940" t="str">
            <v>226026</v>
          </cell>
          <cell r="M14940">
            <v>1</v>
          </cell>
          <cell r="R14940">
            <v>45987</v>
          </cell>
          <cell r="S14940">
            <v>226026</v>
          </cell>
        </row>
        <row r="14941">
          <cell r="K14941" t="str">
            <v>226026</v>
          </cell>
          <cell r="M14941">
            <v>30</v>
          </cell>
          <cell r="R14941">
            <v>45987</v>
          </cell>
          <cell r="S14941">
            <v>226026</v>
          </cell>
        </row>
        <row r="14942">
          <cell r="K14942" t="str">
            <v>213006</v>
          </cell>
          <cell r="M14942">
            <v>3</v>
          </cell>
          <cell r="R14942">
            <v>45987</v>
          </cell>
          <cell r="S14942">
            <v>213006</v>
          </cell>
        </row>
        <row r="14943">
          <cell r="K14943" t="str">
            <v>227002</v>
          </cell>
          <cell r="M14943">
            <v>6</v>
          </cell>
          <cell r="R14943">
            <v>45987</v>
          </cell>
          <cell r="S14943">
            <v>227002</v>
          </cell>
        </row>
        <row r="14944">
          <cell r="K14944" t="str">
            <v>228001</v>
          </cell>
          <cell r="M14944">
            <v>29</v>
          </cell>
          <cell r="R14944">
            <v>45987</v>
          </cell>
          <cell r="S14944">
            <v>228001</v>
          </cell>
        </row>
        <row r="14945">
          <cell r="K14945" t="str">
            <v>217008</v>
          </cell>
          <cell r="M14945">
            <v>6</v>
          </cell>
          <cell r="R14945">
            <v>45987</v>
          </cell>
          <cell r="S14945">
            <v>217008</v>
          </cell>
        </row>
        <row r="14946">
          <cell r="K14946" t="str">
            <v>217011</v>
          </cell>
          <cell r="M14946">
            <v>2</v>
          </cell>
          <cell r="R14946">
            <v>45987</v>
          </cell>
          <cell r="S14946">
            <v>217011</v>
          </cell>
        </row>
        <row r="14947">
          <cell r="K14947" t="str">
            <v>223004</v>
          </cell>
          <cell r="M14947">
            <v>2</v>
          </cell>
          <cell r="R14947">
            <v>45987</v>
          </cell>
          <cell r="S14947">
            <v>223004</v>
          </cell>
        </row>
        <row r="14948">
          <cell r="K14948" t="str">
            <v>223001</v>
          </cell>
          <cell r="M14948">
            <v>1</v>
          </cell>
          <cell r="R14948">
            <v>45987</v>
          </cell>
          <cell r="S14948">
            <v>223001</v>
          </cell>
        </row>
        <row r="14949">
          <cell r="K14949" t="str">
            <v>231012</v>
          </cell>
          <cell r="M14949">
            <v>1</v>
          </cell>
          <cell r="R14949">
            <v>45987</v>
          </cell>
          <cell r="S14949">
            <v>231012</v>
          </cell>
        </row>
        <row r="14950">
          <cell r="K14950" t="str">
            <v>228001</v>
          </cell>
          <cell r="M14950">
            <v>5</v>
          </cell>
          <cell r="R14950">
            <v>45987</v>
          </cell>
          <cell r="S14950">
            <v>228001</v>
          </cell>
        </row>
        <row r="14951">
          <cell r="K14951" t="str">
            <v>203001</v>
          </cell>
          <cell r="M14951">
            <v>1</v>
          </cell>
          <cell r="R14951">
            <v>45987</v>
          </cell>
          <cell r="S14951">
            <v>203001</v>
          </cell>
        </row>
        <row r="14952">
          <cell r="K14952" t="str">
            <v>231006</v>
          </cell>
          <cell r="M14952">
            <v>1</v>
          </cell>
          <cell r="R14952">
            <v>45987</v>
          </cell>
          <cell r="S14952">
            <v>231006</v>
          </cell>
        </row>
        <row r="14953">
          <cell r="K14953" t="str">
            <v>201011</v>
          </cell>
          <cell r="M14953">
            <v>1</v>
          </cell>
          <cell r="R14953">
            <v>45987</v>
          </cell>
          <cell r="S14953">
            <v>201011</v>
          </cell>
        </row>
        <row r="14954">
          <cell r="K14954" t="str">
            <v>234001</v>
          </cell>
          <cell r="M14954">
            <v>1</v>
          </cell>
          <cell r="R14954">
            <v>45987</v>
          </cell>
          <cell r="S14954">
            <v>234001</v>
          </cell>
        </row>
        <row r="14955">
          <cell r="K14955" t="str">
            <v>210015</v>
          </cell>
          <cell r="M14955">
            <v>1</v>
          </cell>
          <cell r="R14955">
            <v>45986</v>
          </cell>
          <cell r="S14955">
            <v>210015</v>
          </cell>
        </row>
        <row r="14956">
          <cell r="K14956" t="str">
            <v>223002</v>
          </cell>
          <cell r="M14956">
            <v>4</v>
          </cell>
          <cell r="R14956">
            <v>45986</v>
          </cell>
          <cell r="S14956">
            <v>223002</v>
          </cell>
        </row>
        <row r="14957">
          <cell r="K14957" t="str">
            <v>227012</v>
          </cell>
          <cell r="M14957">
            <v>2</v>
          </cell>
          <cell r="R14957">
            <v>45986</v>
          </cell>
          <cell r="S14957">
            <v>227012</v>
          </cell>
        </row>
        <row r="14958">
          <cell r="K14958" t="str">
            <v>207017</v>
          </cell>
          <cell r="M14958">
            <v>1</v>
          </cell>
          <cell r="R14958">
            <v>45986</v>
          </cell>
          <cell r="S14958">
            <v>207017</v>
          </cell>
        </row>
        <row r="14959">
          <cell r="K14959" t="str">
            <v>203003</v>
          </cell>
          <cell r="M14959">
            <v>1</v>
          </cell>
          <cell r="R14959">
            <v>45986</v>
          </cell>
          <cell r="S14959">
            <v>203003</v>
          </cell>
        </row>
        <row r="14960">
          <cell r="K14960" t="str">
            <v>213006</v>
          </cell>
          <cell r="M14960">
            <v>1</v>
          </cell>
          <cell r="R14960">
            <v>45986</v>
          </cell>
          <cell r="S14960">
            <v>213006</v>
          </cell>
        </row>
        <row r="14961">
          <cell r="K14961" t="str">
            <v>228001</v>
          </cell>
          <cell r="M14961">
            <v>5</v>
          </cell>
          <cell r="R14961">
            <v>45986</v>
          </cell>
          <cell r="S14961">
            <v>228001</v>
          </cell>
        </row>
        <row r="14962">
          <cell r="K14962" t="str">
            <v>213002</v>
          </cell>
          <cell r="M14962">
            <v>22</v>
          </cell>
          <cell r="R14962">
            <v>45987</v>
          </cell>
          <cell r="S14962">
            <v>213002</v>
          </cell>
        </row>
        <row r="14963">
          <cell r="K14963" t="str">
            <v>223002</v>
          </cell>
          <cell r="M14963">
            <v>8</v>
          </cell>
          <cell r="R14963">
            <v>45987</v>
          </cell>
          <cell r="S14963">
            <v>223002</v>
          </cell>
        </row>
        <row r="14964">
          <cell r="K14964" t="str">
            <v>223001</v>
          </cell>
          <cell r="M14964">
            <v>3</v>
          </cell>
          <cell r="R14964">
            <v>45986</v>
          </cell>
          <cell r="S14964">
            <v>223001</v>
          </cell>
        </row>
        <row r="14965">
          <cell r="K14965" t="str">
            <v>217011</v>
          </cell>
          <cell r="M14965">
            <v>1</v>
          </cell>
          <cell r="R14965">
            <v>45987</v>
          </cell>
          <cell r="S14965">
            <v>217011</v>
          </cell>
        </row>
        <row r="14966">
          <cell r="K14966" t="str">
            <v>228001</v>
          </cell>
          <cell r="M14966">
            <v>4</v>
          </cell>
          <cell r="R14966">
            <v>45987</v>
          </cell>
          <cell r="S14966">
            <v>228001</v>
          </cell>
        </row>
        <row r="14967">
          <cell r="K14967" t="str">
            <v>217022</v>
          </cell>
          <cell r="M14967">
            <v>5</v>
          </cell>
          <cell r="R14967">
            <v>45987</v>
          </cell>
          <cell r="S14967">
            <v>217022</v>
          </cell>
        </row>
        <row r="14968">
          <cell r="K14968" t="str">
            <v>217018</v>
          </cell>
          <cell r="M14968">
            <v>5</v>
          </cell>
          <cell r="R14968">
            <v>45987</v>
          </cell>
          <cell r="S14968">
            <v>217018</v>
          </cell>
        </row>
        <row r="14969">
          <cell r="K14969" t="str">
            <v>223002</v>
          </cell>
          <cell r="M14969">
            <v>3</v>
          </cell>
          <cell r="R14969">
            <v>45987</v>
          </cell>
          <cell r="S14969">
            <v>223002</v>
          </cell>
        </row>
        <row r="14970">
          <cell r="K14970" t="str">
            <v>213006</v>
          </cell>
          <cell r="M14970">
            <v>2</v>
          </cell>
          <cell r="R14970">
            <v>45987</v>
          </cell>
          <cell r="S14970">
            <v>213006</v>
          </cell>
        </row>
        <row r="14971">
          <cell r="K14971" t="str">
            <v>222005</v>
          </cell>
          <cell r="M14971">
            <v>1</v>
          </cell>
          <cell r="R14971">
            <v>45987</v>
          </cell>
          <cell r="S14971">
            <v>222005</v>
          </cell>
        </row>
        <row r="14972">
          <cell r="K14972" t="str">
            <v>201011</v>
          </cell>
          <cell r="M14972">
            <v>4</v>
          </cell>
          <cell r="R14972">
            <v>45987</v>
          </cell>
          <cell r="S14972">
            <v>201011</v>
          </cell>
        </row>
        <row r="14973">
          <cell r="K14973" t="str">
            <v>220002</v>
          </cell>
          <cell r="M14973">
            <v>1</v>
          </cell>
          <cell r="R14973">
            <v>45987</v>
          </cell>
          <cell r="S14973">
            <v>220002</v>
          </cell>
        </row>
        <row r="14974">
          <cell r="K14974" t="str">
            <v>213006</v>
          </cell>
          <cell r="M14974">
            <v>1</v>
          </cell>
          <cell r="R14974">
            <v>45987</v>
          </cell>
          <cell r="S14974">
            <v>213006</v>
          </cell>
        </row>
        <row r="14975">
          <cell r="K14975" t="str">
            <v>223002</v>
          </cell>
          <cell r="M14975">
            <v>1</v>
          </cell>
          <cell r="R14975">
            <v>45987</v>
          </cell>
          <cell r="S14975">
            <v>223002</v>
          </cell>
        </row>
        <row r="14976">
          <cell r="K14976" t="str">
            <v>209004</v>
          </cell>
          <cell r="M14976">
            <v>3</v>
          </cell>
          <cell r="R14976">
            <v>45987</v>
          </cell>
          <cell r="S14976">
            <v>209004</v>
          </cell>
        </row>
        <row r="14977">
          <cell r="K14977" t="str">
            <v>218001</v>
          </cell>
          <cell r="M14977">
            <v>2</v>
          </cell>
          <cell r="R14977">
            <v>45987</v>
          </cell>
          <cell r="S14977">
            <v>218001</v>
          </cell>
        </row>
        <row r="14978">
          <cell r="K14978" t="str">
            <v>228001</v>
          </cell>
          <cell r="M14978">
            <v>3</v>
          </cell>
          <cell r="R14978">
            <v>45987</v>
          </cell>
          <cell r="S14978">
            <v>228001</v>
          </cell>
        </row>
        <row r="14979">
          <cell r="K14979" t="str">
            <v>231012</v>
          </cell>
          <cell r="M14979">
            <v>1</v>
          </cell>
          <cell r="R14979">
            <v>45987</v>
          </cell>
          <cell r="S14979">
            <v>231012</v>
          </cell>
        </row>
        <row r="14980">
          <cell r="K14980" t="str">
            <v>226001</v>
          </cell>
          <cell r="M14980">
            <v>3</v>
          </cell>
          <cell r="R14980">
            <v>45987</v>
          </cell>
          <cell r="S14980">
            <v>226001</v>
          </cell>
        </row>
        <row r="14981">
          <cell r="K14981" t="str">
            <v>228001</v>
          </cell>
          <cell r="M14981">
            <v>3</v>
          </cell>
          <cell r="R14981">
            <v>45987</v>
          </cell>
          <cell r="S14981">
            <v>228001</v>
          </cell>
        </row>
        <row r="14982">
          <cell r="K14982" t="str">
            <v>217019</v>
          </cell>
          <cell r="M14982">
            <v>1</v>
          </cell>
          <cell r="R14982">
            <v>45987</v>
          </cell>
          <cell r="S14982">
            <v>217019</v>
          </cell>
        </row>
        <row r="14983">
          <cell r="K14983" t="str">
            <v>228001</v>
          </cell>
          <cell r="M14983">
            <v>1</v>
          </cell>
          <cell r="R14983">
            <v>45987</v>
          </cell>
          <cell r="S14983">
            <v>228001</v>
          </cell>
        </row>
        <row r="14984">
          <cell r="K14984" t="str">
            <v>217019</v>
          </cell>
          <cell r="M14984">
            <v>1</v>
          </cell>
          <cell r="R14984">
            <v>45987</v>
          </cell>
          <cell r="S14984">
            <v>217019</v>
          </cell>
        </row>
        <row r="14985">
          <cell r="K14985" t="str">
            <v>228001</v>
          </cell>
          <cell r="M14985">
            <v>1</v>
          </cell>
          <cell r="R14985">
            <v>45987</v>
          </cell>
          <cell r="S14985">
            <v>228001</v>
          </cell>
        </row>
        <row r="14986">
          <cell r="K14986" t="str">
            <v>217019</v>
          </cell>
          <cell r="M14986">
            <v>1</v>
          </cell>
          <cell r="R14986">
            <v>45987</v>
          </cell>
          <cell r="S14986">
            <v>217019</v>
          </cell>
        </row>
        <row r="14987">
          <cell r="K14987" t="str">
            <v>228001</v>
          </cell>
          <cell r="M14987">
            <v>1</v>
          </cell>
          <cell r="R14987">
            <v>45987</v>
          </cell>
          <cell r="S14987">
            <v>228001</v>
          </cell>
        </row>
        <row r="14988">
          <cell r="K14988" t="str">
            <v>265001</v>
          </cell>
          <cell r="M14988">
            <v>2</v>
          </cell>
          <cell r="R14988">
            <v>45987</v>
          </cell>
          <cell r="S14988">
            <v>265001</v>
          </cell>
        </row>
        <row r="14989">
          <cell r="K14989" t="str">
            <v>201011</v>
          </cell>
          <cell r="M14989">
            <v>36</v>
          </cell>
          <cell r="R14989">
            <v>45987</v>
          </cell>
          <cell r="S14989">
            <v>201011</v>
          </cell>
        </row>
        <row r="14990">
          <cell r="K14990" t="str">
            <v>241001</v>
          </cell>
          <cell r="M14990">
            <v>5</v>
          </cell>
          <cell r="R14990">
            <v>45987</v>
          </cell>
          <cell r="S14990">
            <v>241001</v>
          </cell>
        </row>
        <row r="14991">
          <cell r="K14991" t="str">
            <v>261004</v>
          </cell>
          <cell r="M14991">
            <v>1</v>
          </cell>
          <cell r="R14991">
            <v>45987</v>
          </cell>
          <cell r="S14991">
            <v>261004</v>
          </cell>
        </row>
        <row r="14992">
          <cell r="K14992" t="str">
            <v>222007</v>
          </cell>
          <cell r="M14992">
            <v>3</v>
          </cell>
          <cell r="R14992">
            <v>45987</v>
          </cell>
          <cell r="S14992">
            <v>222007</v>
          </cell>
        </row>
        <row r="14993">
          <cell r="K14993" t="str">
            <v>241001</v>
          </cell>
          <cell r="M14993">
            <v>115</v>
          </cell>
          <cell r="R14993">
            <v>45987</v>
          </cell>
          <cell r="S14993">
            <v>241001</v>
          </cell>
        </row>
        <row r="14994">
          <cell r="K14994" t="str">
            <v>241001</v>
          </cell>
          <cell r="M14994">
            <v>5</v>
          </cell>
          <cell r="R14994">
            <v>45987</v>
          </cell>
          <cell r="S14994">
            <v>241001</v>
          </cell>
        </row>
        <row r="14995">
          <cell r="K14995" t="str">
            <v>217018</v>
          </cell>
          <cell r="M14995">
            <v>1</v>
          </cell>
          <cell r="R14995">
            <v>45987</v>
          </cell>
          <cell r="S14995">
            <v>217018</v>
          </cell>
        </row>
        <row r="14996">
          <cell r="K14996" t="str">
            <v>210014</v>
          </cell>
          <cell r="M14996">
            <v>1</v>
          </cell>
          <cell r="R14996">
            <v>45987</v>
          </cell>
          <cell r="S14996">
            <v>210014</v>
          </cell>
        </row>
        <row r="14997">
          <cell r="K14997" t="str">
            <v>241001</v>
          </cell>
          <cell r="M14997">
            <v>5</v>
          </cell>
          <cell r="R14997">
            <v>45987</v>
          </cell>
          <cell r="S14997">
            <v>241001</v>
          </cell>
        </row>
        <row r="14998">
          <cell r="K14998" t="str">
            <v>201011</v>
          </cell>
          <cell r="M14998">
            <v>20</v>
          </cell>
          <cell r="R14998">
            <v>45987</v>
          </cell>
          <cell r="S14998">
            <v>201011</v>
          </cell>
        </row>
        <row r="14999">
          <cell r="K14999" t="str">
            <v>228001</v>
          </cell>
          <cell r="M14999">
            <v>1</v>
          </cell>
          <cell r="R14999">
            <v>45987</v>
          </cell>
          <cell r="S14999">
            <v>228001</v>
          </cell>
        </row>
        <row r="15000">
          <cell r="K15000" t="str">
            <v>209017</v>
          </cell>
          <cell r="M15000">
            <v>1</v>
          </cell>
          <cell r="R15000">
            <v>45987</v>
          </cell>
          <cell r="S15000">
            <v>209017</v>
          </cell>
        </row>
        <row r="15001">
          <cell r="K15001" t="str">
            <v>228001</v>
          </cell>
          <cell r="M15001">
            <v>1</v>
          </cell>
          <cell r="R15001">
            <v>45987</v>
          </cell>
          <cell r="S15001">
            <v>228001</v>
          </cell>
        </row>
        <row r="15002">
          <cell r="K15002" t="str">
            <v>234001</v>
          </cell>
          <cell r="M15002">
            <v>1</v>
          </cell>
          <cell r="R15002">
            <v>45987</v>
          </cell>
          <cell r="S15002">
            <v>234001</v>
          </cell>
        </row>
        <row r="15003">
          <cell r="K15003" t="str">
            <v>212002</v>
          </cell>
          <cell r="M15003">
            <v>1</v>
          </cell>
          <cell r="R15003">
            <v>45987</v>
          </cell>
          <cell r="S15003">
            <v>212002</v>
          </cell>
        </row>
        <row r="15004">
          <cell r="K15004" t="str">
            <v>228001</v>
          </cell>
          <cell r="M15004">
            <v>8</v>
          </cell>
          <cell r="R15004">
            <v>45987</v>
          </cell>
          <cell r="S15004">
            <v>228001</v>
          </cell>
        </row>
        <row r="15005">
          <cell r="K15005" t="str">
            <v>201011</v>
          </cell>
          <cell r="M15005">
            <v>30</v>
          </cell>
          <cell r="R15005">
            <v>45987</v>
          </cell>
          <cell r="S15005">
            <v>201011</v>
          </cell>
        </row>
        <row r="15006">
          <cell r="K15006" t="str">
            <v>201011</v>
          </cell>
          <cell r="M15006">
            <v>20</v>
          </cell>
          <cell r="R15006">
            <v>45987</v>
          </cell>
          <cell r="S15006">
            <v>201011</v>
          </cell>
        </row>
        <row r="15007">
          <cell r="K15007" t="str">
            <v>228001</v>
          </cell>
          <cell r="M15007">
            <v>1</v>
          </cell>
          <cell r="R15007">
            <v>45987</v>
          </cell>
          <cell r="S15007">
            <v>228001</v>
          </cell>
        </row>
        <row r="15008">
          <cell r="K15008" t="str">
            <v>201024</v>
          </cell>
          <cell r="M15008">
            <v>4</v>
          </cell>
          <cell r="R15008">
            <v>45987</v>
          </cell>
          <cell r="S15008">
            <v>201024</v>
          </cell>
        </row>
        <row r="15009">
          <cell r="K15009" t="str">
            <v>217018</v>
          </cell>
          <cell r="M15009">
            <v>1</v>
          </cell>
          <cell r="R15009">
            <v>45987</v>
          </cell>
          <cell r="S15009">
            <v>217018</v>
          </cell>
        </row>
        <row r="15010">
          <cell r="K15010" t="str">
            <v>223002</v>
          </cell>
          <cell r="M15010">
            <v>2</v>
          </cell>
          <cell r="R15010">
            <v>45987</v>
          </cell>
          <cell r="S15010">
            <v>223002</v>
          </cell>
        </row>
        <row r="15011">
          <cell r="K15011" t="str">
            <v>231012</v>
          </cell>
          <cell r="M15011">
            <v>1</v>
          </cell>
          <cell r="R15011">
            <v>45987</v>
          </cell>
          <cell r="S15011">
            <v>231012</v>
          </cell>
        </row>
        <row r="15012">
          <cell r="K15012" t="str">
            <v>213006</v>
          </cell>
          <cell r="M15012">
            <v>1</v>
          </cell>
          <cell r="R15012">
            <v>45987</v>
          </cell>
          <cell r="S15012">
            <v>213006</v>
          </cell>
        </row>
        <row r="15013">
          <cell r="K15013" t="str">
            <v>223002</v>
          </cell>
          <cell r="M15013">
            <v>4</v>
          </cell>
          <cell r="R15013">
            <v>45988</v>
          </cell>
          <cell r="S15013">
            <v>223002</v>
          </cell>
        </row>
        <row r="15014">
          <cell r="K15014" t="str">
            <v>201011</v>
          </cell>
          <cell r="M15014">
            <v>2</v>
          </cell>
          <cell r="R15014">
            <v>45988</v>
          </cell>
          <cell r="S15014">
            <v>201011</v>
          </cell>
        </row>
        <row r="15015">
          <cell r="K15015" t="str">
            <v>201024</v>
          </cell>
          <cell r="M15015">
            <v>1</v>
          </cell>
          <cell r="R15015">
            <v>45988</v>
          </cell>
          <cell r="S15015">
            <v>201024</v>
          </cell>
        </row>
        <row r="15016">
          <cell r="K15016" t="str">
            <v>231012</v>
          </cell>
          <cell r="M15016">
            <v>1</v>
          </cell>
          <cell r="R15016">
            <v>45988</v>
          </cell>
          <cell r="S15016">
            <v>231012</v>
          </cell>
        </row>
        <row r="15017">
          <cell r="K15017" t="str">
            <v>227010</v>
          </cell>
          <cell r="M15017">
            <v>2</v>
          </cell>
          <cell r="R15017">
            <v>45988</v>
          </cell>
          <cell r="S15017">
            <v>227010</v>
          </cell>
        </row>
        <row r="15018">
          <cell r="K15018" t="str">
            <v>209001</v>
          </cell>
          <cell r="M15018">
            <v>1</v>
          </cell>
          <cell r="R15018">
            <v>45988</v>
          </cell>
          <cell r="S15018">
            <v>209001</v>
          </cell>
        </row>
        <row r="15019">
          <cell r="K15019" t="str">
            <v>234011</v>
          </cell>
          <cell r="M15019">
            <v>1</v>
          </cell>
          <cell r="R15019">
            <v>45988</v>
          </cell>
          <cell r="S15019">
            <v>234011</v>
          </cell>
        </row>
        <row r="15020">
          <cell r="K15020" t="str">
            <v>223001</v>
          </cell>
          <cell r="M15020">
            <v>3</v>
          </cell>
          <cell r="R15020">
            <v>45987</v>
          </cell>
          <cell r="S15020">
            <v>223001</v>
          </cell>
        </row>
        <row r="15021">
          <cell r="K15021" t="str">
            <v>223002</v>
          </cell>
          <cell r="M15021">
            <v>2</v>
          </cell>
          <cell r="R15021">
            <v>45987</v>
          </cell>
          <cell r="S15021">
            <v>223002</v>
          </cell>
        </row>
        <row r="15022">
          <cell r="K15022" t="str">
            <v>241001</v>
          </cell>
          <cell r="M15022">
            <v>2</v>
          </cell>
          <cell r="R15022">
            <v>45987</v>
          </cell>
          <cell r="S15022">
            <v>241001</v>
          </cell>
        </row>
        <row r="15023">
          <cell r="K15023" t="str">
            <v>201011</v>
          </cell>
          <cell r="M15023">
            <v>2</v>
          </cell>
          <cell r="R15023">
            <v>45987</v>
          </cell>
          <cell r="S15023">
            <v>201011</v>
          </cell>
        </row>
        <row r="15024">
          <cell r="K15024" t="str">
            <v>220003</v>
          </cell>
          <cell r="M15024">
            <v>1</v>
          </cell>
          <cell r="R15024">
            <v>45987</v>
          </cell>
          <cell r="S15024">
            <v>220003</v>
          </cell>
        </row>
        <row r="15025">
          <cell r="K15025" t="str">
            <v>234011</v>
          </cell>
          <cell r="M15025">
            <v>1</v>
          </cell>
          <cell r="R15025">
            <v>45987</v>
          </cell>
          <cell r="S15025">
            <v>234011</v>
          </cell>
        </row>
        <row r="15026">
          <cell r="K15026" t="str">
            <v>201011</v>
          </cell>
          <cell r="M15026">
            <v>3</v>
          </cell>
          <cell r="R15026">
            <v>45988</v>
          </cell>
          <cell r="S15026">
            <v>201011</v>
          </cell>
        </row>
        <row r="15027">
          <cell r="K15027" t="str">
            <v>241001</v>
          </cell>
          <cell r="M15027">
            <v>2</v>
          </cell>
          <cell r="R15027">
            <v>45988</v>
          </cell>
          <cell r="S15027">
            <v>241001</v>
          </cell>
        </row>
        <row r="15028">
          <cell r="K15028" t="str">
            <v>201011</v>
          </cell>
          <cell r="M15028">
            <v>3</v>
          </cell>
          <cell r="R15028">
            <v>45988</v>
          </cell>
          <cell r="S15028">
            <v>201011</v>
          </cell>
        </row>
        <row r="15029">
          <cell r="K15029" t="str">
            <v>210010</v>
          </cell>
          <cell r="M15029">
            <v>1</v>
          </cell>
          <cell r="R15029">
            <v>45987</v>
          </cell>
          <cell r="S15029">
            <v>210010</v>
          </cell>
        </row>
        <row r="15030">
          <cell r="K15030" t="str">
            <v>223002</v>
          </cell>
          <cell r="M15030">
            <v>2</v>
          </cell>
          <cell r="R15030">
            <v>45987</v>
          </cell>
          <cell r="S15030">
            <v>223002</v>
          </cell>
        </row>
        <row r="15031">
          <cell r="K15031" t="str">
            <v>223003</v>
          </cell>
          <cell r="M15031">
            <v>1</v>
          </cell>
          <cell r="R15031">
            <v>45987</v>
          </cell>
          <cell r="S15031">
            <v>223003</v>
          </cell>
        </row>
        <row r="15032">
          <cell r="K15032" t="str">
            <v>223001</v>
          </cell>
          <cell r="M15032">
            <v>5</v>
          </cell>
          <cell r="R15032">
            <v>45987</v>
          </cell>
          <cell r="S15032">
            <v>223001</v>
          </cell>
        </row>
        <row r="15033">
          <cell r="K15033" t="str">
            <v>226027</v>
          </cell>
          <cell r="M15033">
            <v>1</v>
          </cell>
          <cell r="R15033">
            <v>45987</v>
          </cell>
          <cell r="S15033">
            <v>226027</v>
          </cell>
        </row>
        <row r="15034">
          <cell r="K15034" t="str">
            <v>210014</v>
          </cell>
          <cell r="M15034">
            <v>1</v>
          </cell>
          <cell r="R15034">
            <v>45987</v>
          </cell>
          <cell r="S15034">
            <v>210014</v>
          </cell>
        </row>
        <row r="15035">
          <cell r="K15035" t="str">
            <v>227012</v>
          </cell>
          <cell r="M15035">
            <v>2</v>
          </cell>
          <cell r="R15035">
            <v>45987</v>
          </cell>
          <cell r="S15035">
            <v>227012</v>
          </cell>
        </row>
        <row r="15036">
          <cell r="K15036" t="str">
            <v>210010</v>
          </cell>
          <cell r="M15036">
            <v>1</v>
          </cell>
          <cell r="R15036">
            <v>45987</v>
          </cell>
          <cell r="S15036">
            <v>210010</v>
          </cell>
        </row>
        <row r="15037">
          <cell r="K15037" t="str">
            <v>209001</v>
          </cell>
          <cell r="M15037">
            <v>3</v>
          </cell>
          <cell r="R15037">
            <v>45987</v>
          </cell>
          <cell r="S15037">
            <v>209001</v>
          </cell>
        </row>
        <row r="15038">
          <cell r="K15038" t="str">
            <v>201011</v>
          </cell>
          <cell r="M15038">
            <v>7</v>
          </cell>
          <cell r="R15038">
            <v>45987</v>
          </cell>
          <cell r="S15038">
            <v>201011</v>
          </cell>
        </row>
        <row r="15039">
          <cell r="K15039" t="str">
            <v>213006</v>
          </cell>
          <cell r="M15039">
            <v>1</v>
          </cell>
          <cell r="R15039">
            <v>45987</v>
          </cell>
          <cell r="S15039">
            <v>213006</v>
          </cell>
        </row>
        <row r="15040">
          <cell r="K15040" t="str">
            <v>209016</v>
          </cell>
          <cell r="M15040">
            <v>2</v>
          </cell>
          <cell r="R15040">
            <v>45988</v>
          </cell>
          <cell r="S15040">
            <v>209016</v>
          </cell>
        </row>
        <row r="15041">
          <cell r="K15041" t="str">
            <v>217022</v>
          </cell>
          <cell r="M15041">
            <v>1</v>
          </cell>
          <cell r="R15041">
            <v>45987</v>
          </cell>
          <cell r="S15041">
            <v>217022</v>
          </cell>
        </row>
        <row r="15042">
          <cell r="K15042" t="str">
            <v>207017</v>
          </cell>
          <cell r="M15042">
            <v>1</v>
          </cell>
          <cell r="R15042">
            <v>45987</v>
          </cell>
          <cell r="S15042">
            <v>207017</v>
          </cell>
        </row>
        <row r="15043">
          <cell r="K15043" t="str">
            <v>210014</v>
          </cell>
          <cell r="M15043">
            <v>4</v>
          </cell>
          <cell r="R15043">
            <v>45987</v>
          </cell>
          <cell r="S15043">
            <v>210014</v>
          </cell>
        </row>
        <row r="15044">
          <cell r="K15044" t="str">
            <v>201024</v>
          </cell>
          <cell r="M15044">
            <v>2</v>
          </cell>
          <cell r="R15044">
            <v>45987</v>
          </cell>
          <cell r="S15044">
            <v>201024</v>
          </cell>
        </row>
        <row r="15045">
          <cell r="K15045" t="str">
            <v>228001</v>
          </cell>
          <cell r="M15045">
            <v>1</v>
          </cell>
          <cell r="R15045">
            <v>45988</v>
          </cell>
          <cell r="S15045">
            <v>228001</v>
          </cell>
        </row>
        <row r="15046">
          <cell r="K15046" t="str">
            <v>231010</v>
          </cell>
          <cell r="M15046">
            <v>1</v>
          </cell>
          <cell r="R15046">
            <v>45988</v>
          </cell>
          <cell r="S15046">
            <v>231010</v>
          </cell>
        </row>
        <row r="15047">
          <cell r="K15047" t="str">
            <v>220003</v>
          </cell>
          <cell r="M15047">
            <v>5</v>
          </cell>
          <cell r="R15047">
            <v>45988</v>
          </cell>
          <cell r="S15047">
            <v>220003</v>
          </cell>
        </row>
        <row r="15048">
          <cell r="K15048" t="str">
            <v>201024</v>
          </cell>
          <cell r="M15048">
            <v>1</v>
          </cell>
          <cell r="R15048">
            <v>45988</v>
          </cell>
          <cell r="S15048">
            <v>201024</v>
          </cell>
        </row>
        <row r="15049">
          <cell r="K15049" t="str">
            <v>227012</v>
          </cell>
          <cell r="M15049">
            <v>1</v>
          </cell>
          <cell r="R15049">
            <v>45988</v>
          </cell>
          <cell r="S15049">
            <v>227012</v>
          </cell>
        </row>
        <row r="15050">
          <cell r="K15050" t="str">
            <v>201011</v>
          </cell>
          <cell r="M15050">
            <v>15</v>
          </cell>
          <cell r="R15050">
            <v>45988</v>
          </cell>
          <cell r="S15050">
            <v>201011</v>
          </cell>
        </row>
        <row r="15051">
          <cell r="K15051" t="str">
            <v>241001</v>
          </cell>
          <cell r="M15051">
            <v>10</v>
          </cell>
          <cell r="R15051">
            <v>45988</v>
          </cell>
          <cell r="S15051">
            <v>241001</v>
          </cell>
        </row>
        <row r="15052">
          <cell r="K15052" t="str">
            <v>231010</v>
          </cell>
          <cell r="M15052">
            <v>1</v>
          </cell>
          <cell r="R15052">
            <v>45988</v>
          </cell>
          <cell r="S15052">
            <v>231010</v>
          </cell>
        </row>
        <row r="15053">
          <cell r="K15053" t="str">
            <v>231012</v>
          </cell>
          <cell r="M15053">
            <v>1</v>
          </cell>
          <cell r="R15053">
            <v>45988</v>
          </cell>
          <cell r="S15053">
            <v>231012</v>
          </cell>
        </row>
        <row r="15054">
          <cell r="K15054" t="str">
            <v>229003</v>
          </cell>
          <cell r="M15054">
            <v>3</v>
          </cell>
          <cell r="R15054">
            <v>45988</v>
          </cell>
          <cell r="S15054">
            <v>229003</v>
          </cell>
        </row>
        <row r="15055">
          <cell r="K15055" t="str">
            <v>231006</v>
          </cell>
          <cell r="M15055">
            <v>3</v>
          </cell>
          <cell r="R15055">
            <v>45988</v>
          </cell>
          <cell r="S15055">
            <v>231006</v>
          </cell>
        </row>
        <row r="15056">
          <cell r="K15056" t="str">
            <v>217019</v>
          </cell>
          <cell r="M15056">
            <v>2</v>
          </cell>
          <cell r="R15056">
            <v>45988</v>
          </cell>
          <cell r="S15056">
            <v>217019</v>
          </cell>
        </row>
        <row r="15057">
          <cell r="K15057" t="str">
            <v>226001</v>
          </cell>
          <cell r="M15057">
            <v>1</v>
          </cell>
          <cell r="R15057">
            <v>45988</v>
          </cell>
          <cell r="S15057">
            <v>226001</v>
          </cell>
        </row>
        <row r="15058">
          <cell r="K15058" t="str">
            <v>217022</v>
          </cell>
          <cell r="M15058">
            <v>1</v>
          </cell>
          <cell r="R15058">
            <v>45988</v>
          </cell>
          <cell r="S15058">
            <v>217022</v>
          </cell>
        </row>
        <row r="15059">
          <cell r="K15059" t="str">
            <v>213002</v>
          </cell>
          <cell r="M15059">
            <v>15</v>
          </cell>
          <cell r="R15059">
            <v>45988</v>
          </cell>
          <cell r="S15059">
            <v>213002</v>
          </cell>
        </row>
        <row r="15060">
          <cell r="K15060" t="str">
            <v>223002</v>
          </cell>
          <cell r="M15060">
            <v>4</v>
          </cell>
          <cell r="R15060">
            <v>45988</v>
          </cell>
          <cell r="S15060">
            <v>223002</v>
          </cell>
        </row>
        <row r="15061">
          <cell r="K15061" t="str">
            <v>226026</v>
          </cell>
          <cell r="M15061">
            <v>1</v>
          </cell>
          <cell r="R15061">
            <v>45988</v>
          </cell>
          <cell r="S15061">
            <v>226026</v>
          </cell>
        </row>
        <row r="15062">
          <cell r="K15062" t="str">
            <v>226001</v>
          </cell>
          <cell r="M15062">
            <v>3</v>
          </cell>
          <cell r="R15062">
            <v>45988</v>
          </cell>
          <cell r="S15062">
            <v>226001</v>
          </cell>
        </row>
        <row r="15063">
          <cell r="K15063" t="str">
            <v>213002</v>
          </cell>
          <cell r="M15063">
            <v>37</v>
          </cell>
          <cell r="R15063">
            <v>45988</v>
          </cell>
          <cell r="S15063">
            <v>213002</v>
          </cell>
        </row>
        <row r="15064">
          <cell r="K15064" t="str">
            <v>226004</v>
          </cell>
          <cell r="M15064">
            <v>1</v>
          </cell>
          <cell r="R15064">
            <v>45988</v>
          </cell>
          <cell r="S15064">
            <v>226004</v>
          </cell>
        </row>
        <row r="15065">
          <cell r="K15065" t="str">
            <v>227002</v>
          </cell>
          <cell r="M15065">
            <v>1</v>
          </cell>
          <cell r="R15065">
            <v>45988</v>
          </cell>
          <cell r="S15065">
            <v>227002</v>
          </cell>
        </row>
        <row r="15066">
          <cell r="K15066" t="str">
            <v>201004</v>
          </cell>
          <cell r="M15066">
            <v>1</v>
          </cell>
          <cell r="R15066">
            <v>45988</v>
          </cell>
          <cell r="S15066">
            <v>201004</v>
          </cell>
        </row>
        <row r="15067">
          <cell r="K15067" t="str">
            <v>201005</v>
          </cell>
          <cell r="M15067">
            <v>1</v>
          </cell>
          <cell r="R15067">
            <v>45988</v>
          </cell>
          <cell r="S15067">
            <v>201005</v>
          </cell>
        </row>
        <row r="15068">
          <cell r="K15068" t="str">
            <v>228001</v>
          </cell>
          <cell r="M15068">
            <v>1</v>
          </cell>
          <cell r="R15068">
            <v>45988</v>
          </cell>
          <cell r="S15068">
            <v>228001</v>
          </cell>
        </row>
        <row r="15069">
          <cell r="K15069" t="str">
            <v>203003</v>
          </cell>
          <cell r="M15069">
            <v>1</v>
          </cell>
          <cell r="R15069">
            <v>45988</v>
          </cell>
          <cell r="S15069">
            <v>203003</v>
          </cell>
        </row>
        <row r="15070">
          <cell r="K15070" t="str">
            <v>231010</v>
          </cell>
          <cell r="M15070">
            <v>1</v>
          </cell>
          <cell r="R15070">
            <v>45988</v>
          </cell>
          <cell r="S15070">
            <v>231010</v>
          </cell>
        </row>
        <row r="15071">
          <cell r="K15071" t="str">
            <v>217011</v>
          </cell>
          <cell r="M15071">
            <v>1</v>
          </cell>
          <cell r="R15071">
            <v>45988</v>
          </cell>
          <cell r="S15071">
            <v>217011</v>
          </cell>
        </row>
        <row r="15072">
          <cell r="K15072" t="str">
            <v>227010</v>
          </cell>
          <cell r="M15072">
            <v>1</v>
          </cell>
          <cell r="R15072">
            <v>45988</v>
          </cell>
          <cell r="S15072">
            <v>227010</v>
          </cell>
        </row>
        <row r="15073">
          <cell r="K15073" t="str">
            <v>201011</v>
          </cell>
          <cell r="M15073">
            <v>1</v>
          </cell>
          <cell r="R15073">
            <v>45988</v>
          </cell>
          <cell r="S15073">
            <v>201011</v>
          </cell>
        </row>
        <row r="15074">
          <cell r="K15074" t="str">
            <v>226025</v>
          </cell>
          <cell r="M15074">
            <v>3</v>
          </cell>
          <cell r="R15074">
            <v>45988</v>
          </cell>
          <cell r="S15074">
            <v>226025</v>
          </cell>
        </row>
        <row r="15075">
          <cell r="K15075" t="str">
            <v>217018</v>
          </cell>
          <cell r="M15075">
            <v>2</v>
          </cell>
          <cell r="R15075">
            <v>45988</v>
          </cell>
          <cell r="S15075">
            <v>217018</v>
          </cell>
        </row>
        <row r="15076">
          <cell r="K15076" t="str">
            <v>231004</v>
          </cell>
          <cell r="M15076">
            <v>1</v>
          </cell>
          <cell r="R15076">
            <v>45988</v>
          </cell>
          <cell r="S15076">
            <v>231004</v>
          </cell>
        </row>
        <row r="15077">
          <cell r="K15077" t="str">
            <v>201027</v>
          </cell>
          <cell r="M15077">
            <v>2</v>
          </cell>
          <cell r="R15077">
            <v>45988</v>
          </cell>
          <cell r="S15077">
            <v>201027</v>
          </cell>
        </row>
        <row r="15078">
          <cell r="K15078" t="str">
            <v>217021</v>
          </cell>
          <cell r="M15078">
            <v>1</v>
          </cell>
          <cell r="R15078">
            <v>45988</v>
          </cell>
          <cell r="S15078">
            <v>217021</v>
          </cell>
        </row>
        <row r="15079">
          <cell r="K15079" t="str">
            <v>217019</v>
          </cell>
          <cell r="M15079">
            <v>1</v>
          </cell>
          <cell r="R15079">
            <v>45988</v>
          </cell>
          <cell r="S15079">
            <v>217019</v>
          </cell>
        </row>
        <row r="15080">
          <cell r="K15080" t="str">
            <v>227002</v>
          </cell>
          <cell r="M15080">
            <v>1</v>
          </cell>
          <cell r="R15080">
            <v>45988</v>
          </cell>
          <cell r="S15080">
            <v>227002</v>
          </cell>
        </row>
        <row r="15081">
          <cell r="K15081" t="str">
            <v>226001</v>
          </cell>
          <cell r="M15081">
            <v>2</v>
          </cell>
          <cell r="R15081">
            <v>45988</v>
          </cell>
          <cell r="S15081">
            <v>226001</v>
          </cell>
        </row>
        <row r="15082">
          <cell r="K15082" t="str">
            <v>201011</v>
          </cell>
          <cell r="M15082">
            <v>3</v>
          </cell>
          <cell r="R15082">
            <v>45988</v>
          </cell>
          <cell r="S15082">
            <v>201011</v>
          </cell>
        </row>
        <row r="15083">
          <cell r="K15083" t="str">
            <v>241001</v>
          </cell>
          <cell r="M15083">
            <v>4</v>
          </cell>
          <cell r="R15083">
            <v>45988</v>
          </cell>
          <cell r="S15083">
            <v>241001</v>
          </cell>
        </row>
        <row r="15084">
          <cell r="K15084" t="str">
            <v>203003</v>
          </cell>
          <cell r="M15084">
            <v>1</v>
          </cell>
          <cell r="R15084">
            <v>45988</v>
          </cell>
          <cell r="S15084">
            <v>203003</v>
          </cell>
        </row>
        <row r="15085">
          <cell r="K15085" t="str">
            <v>228001</v>
          </cell>
          <cell r="M15085">
            <v>10</v>
          </cell>
          <cell r="R15085">
            <v>45988</v>
          </cell>
          <cell r="S15085">
            <v>228001</v>
          </cell>
        </row>
        <row r="15086">
          <cell r="K15086" t="str">
            <v>226001</v>
          </cell>
          <cell r="M15086">
            <v>6</v>
          </cell>
          <cell r="R15086">
            <v>45988</v>
          </cell>
          <cell r="S15086">
            <v>226001</v>
          </cell>
        </row>
        <row r="15087">
          <cell r="K15087" t="str">
            <v>201009</v>
          </cell>
          <cell r="M15087">
            <v>4</v>
          </cell>
          <cell r="R15087">
            <v>45988</v>
          </cell>
          <cell r="S15087">
            <v>201009</v>
          </cell>
        </row>
        <row r="15088">
          <cell r="K15088" t="str">
            <v>201024</v>
          </cell>
          <cell r="M15088">
            <v>2</v>
          </cell>
          <cell r="R15088">
            <v>45988</v>
          </cell>
          <cell r="S15088">
            <v>201024</v>
          </cell>
        </row>
        <row r="15089">
          <cell r="K15089" t="str">
            <v>227002</v>
          </cell>
          <cell r="M15089">
            <v>6</v>
          </cell>
          <cell r="R15089">
            <v>45988</v>
          </cell>
          <cell r="S15089">
            <v>227002</v>
          </cell>
        </row>
        <row r="15090">
          <cell r="K15090" t="str">
            <v>226022</v>
          </cell>
          <cell r="M15090">
            <v>1</v>
          </cell>
          <cell r="R15090">
            <v>45988</v>
          </cell>
          <cell r="S15090">
            <v>226022</v>
          </cell>
        </row>
        <row r="15091">
          <cell r="K15091" t="str">
            <v>208001</v>
          </cell>
          <cell r="M15091">
            <v>1</v>
          </cell>
          <cell r="R15091">
            <v>45988</v>
          </cell>
          <cell r="S15091">
            <v>208001</v>
          </cell>
        </row>
        <row r="15092">
          <cell r="K15092" t="str">
            <v>218003</v>
          </cell>
          <cell r="M15092">
            <v>1</v>
          </cell>
          <cell r="R15092">
            <v>45988</v>
          </cell>
          <cell r="S15092">
            <v>218003</v>
          </cell>
        </row>
        <row r="15093">
          <cell r="K15093" t="str">
            <v>229004</v>
          </cell>
          <cell r="M15093">
            <v>1</v>
          </cell>
          <cell r="R15093">
            <v>45988</v>
          </cell>
          <cell r="S15093">
            <v>229004</v>
          </cell>
        </row>
        <row r="15094">
          <cell r="K15094" t="str">
            <v>227002</v>
          </cell>
          <cell r="M15094">
            <v>1</v>
          </cell>
          <cell r="R15094">
            <v>45988</v>
          </cell>
          <cell r="S15094">
            <v>227002</v>
          </cell>
        </row>
        <row r="15095">
          <cell r="K15095" t="str">
            <v>222005</v>
          </cell>
          <cell r="M15095">
            <v>1</v>
          </cell>
          <cell r="R15095">
            <v>45988</v>
          </cell>
          <cell r="S15095">
            <v>222005</v>
          </cell>
        </row>
        <row r="15096">
          <cell r="K15096" t="str">
            <v>228001</v>
          </cell>
          <cell r="M15096">
            <v>1</v>
          </cell>
          <cell r="R15096">
            <v>45988</v>
          </cell>
          <cell r="S15096">
            <v>228001</v>
          </cell>
        </row>
        <row r="15097">
          <cell r="K15097" t="str">
            <v>235005</v>
          </cell>
          <cell r="M15097">
            <v>1</v>
          </cell>
          <cell r="R15097">
            <v>45988</v>
          </cell>
          <cell r="S15097">
            <v>235005</v>
          </cell>
        </row>
        <row r="15098">
          <cell r="K15098" t="str">
            <v>223001</v>
          </cell>
          <cell r="M15098">
            <v>1</v>
          </cell>
          <cell r="R15098">
            <v>45988</v>
          </cell>
          <cell r="S15098">
            <v>223001</v>
          </cell>
        </row>
        <row r="15099">
          <cell r="K15099" t="str">
            <v>223005</v>
          </cell>
          <cell r="M15099">
            <v>1</v>
          </cell>
          <cell r="R15099">
            <v>45988</v>
          </cell>
          <cell r="S15099">
            <v>223005</v>
          </cell>
        </row>
        <row r="15100">
          <cell r="K15100" t="str">
            <v>201011</v>
          </cell>
          <cell r="M15100">
            <v>3</v>
          </cell>
          <cell r="R15100">
            <v>45988</v>
          </cell>
          <cell r="S15100">
            <v>201011</v>
          </cell>
        </row>
        <row r="15101">
          <cell r="K15101" t="str">
            <v>201011</v>
          </cell>
          <cell r="M15101">
            <v>3</v>
          </cell>
          <cell r="R15101">
            <v>45988</v>
          </cell>
          <cell r="S15101">
            <v>201011</v>
          </cell>
        </row>
        <row r="15102">
          <cell r="K15102" t="str">
            <v>261004</v>
          </cell>
          <cell r="M15102">
            <v>20</v>
          </cell>
          <cell r="R15102">
            <v>45988</v>
          </cell>
          <cell r="S15102">
            <v>261004</v>
          </cell>
        </row>
        <row r="15103">
          <cell r="K15103" t="str">
            <v>212010</v>
          </cell>
          <cell r="M15103">
            <v>10</v>
          </cell>
          <cell r="R15103">
            <v>45988</v>
          </cell>
          <cell r="S15103">
            <v>212010</v>
          </cell>
        </row>
        <row r="15104">
          <cell r="K15104" t="str">
            <v>213002</v>
          </cell>
          <cell r="M15104">
            <v>4</v>
          </cell>
          <cell r="R15104">
            <v>45988</v>
          </cell>
          <cell r="S15104">
            <v>213002</v>
          </cell>
        </row>
        <row r="15105">
          <cell r="K15105" t="str">
            <v>207017</v>
          </cell>
          <cell r="M15105">
            <v>1</v>
          </cell>
          <cell r="R15105">
            <v>45988</v>
          </cell>
          <cell r="S15105">
            <v>207017</v>
          </cell>
        </row>
        <row r="15106">
          <cell r="K15106" t="str">
            <v>212002</v>
          </cell>
          <cell r="M15106">
            <v>1</v>
          </cell>
          <cell r="R15106">
            <v>45988</v>
          </cell>
          <cell r="S15106">
            <v>212002</v>
          </cell>
        </row>
        <row r="15107">
          <cell r="K15107" t="str">
            <v>228001</v>
          </cell>
          <cell r="M15107">
            <v>1</v>
          </cell>
          <cell r="R15107">
            <v>45988</v>
          </cell>
          <cell r="S15107">
            <v>228001</v>
          </cell>
        </row>
        <row r="15108">
          <cell r="K15108" t="str">
            <v>217019</v>
          </cell>
          <cell r="M15108">
            <v>5</v>
          </cell>
          <cell r="R15108">
            <v>45988</v>
          </cell>
          <cell r="S15108">
            <v>217019</v>
          </cell>
        </row>
        <row r="15109">
          <cell r="K15109" t="str">
            <v>209001</v>
          </cell>
          <cell r="M15109">
            <v>1</v>
          </cell>
          <cell r="R15109">
            <v>45988</v>
          </cell>
          <cell r="S15109">
            <v>209001</v>
          </cell>
        </row>
        <row r="15110">
          <cell r="K15110" t="str">
            <v>223002</v>
          </cell>
          <cell r="M15110">
            <v>1</v>
          </cell>
          <cell r="R15110">
            <v>45988</v>
          </cell>
          <cell r="S15110">
            <v>223002</v>
          </cell>
        </row>
        <row r="15111">
          <cell r="K15111" t="str">
            <v>226001</v>
          </cell>
          <cell r="M15111">
            <v>1</v>
          </cell>
          <cell r="R15111">
            <v>45988</v>
          </cell>
          <cell r="S15111">
            <v>226001</v>
          </cell>
        </row>
        <row r="15112">
          <cell r="K15112" t="str">
            <v>213002</v>
          </cell>
          <cell r="M15112">
            <v>10</v>
          </cell>
          <cell r="R15112">
            <v>45988</v>
          </cell>
          <cell r="S15112">
            <v>213002</v>
          </cell>
        </row>
        <row r="15113">
          <cell r="K15113" t="str">
            <v>201024</v>
          </cell>
          <cell r="M15113">
            <v>2</v>
          </cell>
          <cell r="R15113">
            <v>45988</v>
          </cell>
          <cell r="S15113">
            <v>201024</v>
          </cell>
        </row>
        <row r="15114">
          <cell r="K15114" t="str">
            <v>228001</v>
          </cell>
          <cell r="M15114">
            <v>2</v>
          </cell>
          <cell r="R15114">
            <v>45988</v>
          </cell>
          <cell r="S15114">
            <v>228001</v>
          </cell>
        </row>
        <row r="15115">
          <cell r="K15115" t="str">
            <v>228001</v>
          </cell>
          <cell r="M15115">
            <v>20</v>
          </cell>
          <cell r="R15115">
            <v>45988</v>
          </cell>
          <cell r="S15115">
            <v>228001</v>
          </cell>
        </row>
        <row r="15116">
          <cell r="K15116" t="str">
            <v>241001</v>
          </cell>
          <cell r="M15116">
            <v>5</v>
          </cell>
          <cell r="R15116">
            <v>45988</v>
          </cell>
          <cell r="S15116">
            <v>241001</v>
          </cell>
        </row>
        <row r="15117">
          <cell r="K15117" t="str">
            <v>209001</v>
          </cell>
          <cell r="M15117">
            <v>1</v>
          </cell>
          <cell r="R15117">
            <v>45988</v>
          </cell>
          <cell r="S15117">
            <v>209001</v>
          </cell>
        </row>
        <row r="15118">
          <cell r="K15118" t="str">
            <v>241001</v>
          </cell>
          <cell r="M15118">
            <v>3</v>
          </cell>
          <cell r="R15118">
            <v>45988</v>
          </cell>
          <cell r="S15118">
            <v>241001</v>
          </cell>
        </row>
        <row r="15119">
          <cell r="K15119" t="str">
            <v>222007</v>
          </cell>
          <cell r="M15119">
            <v>1</v>
          </cell>
          <cell r="R15119">
            <v>45988</v>
          </cell>
          <cell r="S15119">
            <v>222007</v>
          </cell>
        </row>
        <row r="15120">
          <cell r="K15120" t="str">
            <v>222001</v>
          </cell>
          <cell r="M15120">
            <v>4</v>
          </cell>
          <cell r="R15120">
            <v>45988</v>
          </cell>
          <cell r="S15120">
            <v>222001</v>
          </cell>
        </row>
        <row r="15121">
          <cell r="K15121" t="str">
            <v>222001</v>
          </cell>
          <cell r="M15121">
            <v>1</v>
          </cell>
          <cell r="R15121">
            <v>45988</v>
          </cell>
          <cell r="S15121">
            <v>222001</v>
          </cell>
        </row>
        <row r="15122">
          <cell r="K15122" t="str">
            <v>213002</v>
          </cell>
          <cell r="M15122">
            <v>1</v>
          </cell>
          <cell r="R15122">
            <v>45988</v>
          </cell>
          <cell r="S15122">
            <v>213002</v>
          </cell>
        </row>
        <row r="15123">
          <cell r="K15123" t="str">
            <v>203003</v>
          </cell>
          <cell r="M15123">
            <v>1</v>
          </cell>
          <cell r="R15123">
            <v>45988</v>
          </cell>
          <cell r="S15123">
            <v>203003</v>
          </cell>
        </row>
        <row r="15124">
          <cell r="K15124" t="str">
            <v>241001</v>
          </cell>
          <cell r="M15124">
            <v>2</v>
          </cell>
          <cell r="R15124">
            <v>45988</v>
          </cell>
          <cell r="S15124">
            <v>241001</v>
          </cell>
        </row>
        <row r="15125">
          <cell r="K15125" t="str">
            <v>226025</v>
          </cell>
          <cell r="M15125">
            <v>1</v>
          </cell>
          <cell r="R15125">
            <v>45988</v>
          </cell>
          <cell r="S15125">
            <v>226025</v>
          </cell>
        </row>
        <row r="15126">
          <cell r="K15126" t="str">
            <v>231012</v>
          </cell>
          <cell r="M15126">
            <v>3</v>
          </cell>
          <cell r="R15126">
            <v>45988</v>
          </cell>
          <cell r="S15126">
            <v>231012</v>
          </cell>
        </row>
        <row r="15127">
          <cell r="K15127" t="str">
            <v>220002</v>
          </cell>
          <cell r="M15127">
            <v>3</v>
          </cell>
          <cell r="R15127">
            <v>45989</v>
          </cell>
          <cell r="S15127">
            <v>220002</v>
          </cell>
        </row>
        <row r="15128">
          <cell r="K15128" t="str">
            <v>223002</v>
          </cell>
          <cell r="M15128">
            <v>2</v>
          </cell>
          <cell r="R15128">
            <v>45988</v>
          </cell>
          <cell r="S15128">
            <v>223002</v>
          </cell>
        </row>
        <row r="15129">
          <cell r="K15129" t="str">
            <v>213002</v>
          </cell>
          <cell r="M15129">
            <v>2</v>
          </cell>
          <cell r="R15129">
            <v>45988</v>
          </cell>
          <cell r="S15129">
            <v>213002</v>
          </cell>
        </row>
        <row r="15130">
          <cell r="K15130" t="str">
            <v>212035</v>
          </cell>
          <cell r="M15130">
            <v>12</v>
          </cell>
          <cell r="R15130">
            <v>45989</v>
          </cell>
          <cell r="S15130">
            <v>212035</v>
          </cell>
        </row>
        <row r="15131">
          <cell r="K15131" t="str">
            <v>228001</v>
          </cell>
          <cell r="M15131">
            <v>4</v>
          </cell>
          <cell r="R15131">
            <v>45989</v>
          </cell>
          <cell r="S15131">
            <v>228001</v>
          </cell>
        </row>
        <row r="15132">
          <cell r="K15132" t="str">
            <v>201011</v>
          </cell>
          <cell r="M15132">
            <v>4</v>
          </cell>
          <cell r="R15132">
            <v>45988</v>
          </cell>
          <cell r="S15132">
            <v>201011</v>
          </cell>
        </row>
        <row r="15133">
          <cell r="K15133" t="str">
            <v>213002</v>
          </cell>
          <cell r="M15133">
            <v>3</v>
          </cell>
          <cell r="R15133">
            <v>45988</v>
          </cell>
          <cell r="S15133">
            <v>213002</v>
          </cell>
        </row>
        <row r="15134">
          <cell r="K15134" t="str">
            <v>217011</v>
          </cell>
          <cell r="M15134">
            <v>2</v>
          </cell>
          <cell r="R15134">
            <v>45989</v>
          </cell>
          <cell r="S15134">
            <v>217011</v>
          </cell>
        </row>
        <row r="15135">
          <cell r="K15135" t="str">
            <v>209012</v>
          </cell>
          <cell r="M15135">
            <v>1</v>
          </cell>
          <cell r="R15135">
            <v>45989</v>
          </cell>
          <cell r="S15135">
            <v>209012</v>
          </cell>
        </row>
        <row r="15136">
          <cell r="K15136" t="str">
            <v>228001</v>
          </cell>
          <cell r="M15136">
            <v>1</v>
          </cell>
          <cell r="R15136">
            <v>45989</v>
          </cell>
          <cell r="S15136">
            <v>228001</v>
          </cell>
        </row>
        <row r="15137">
          <cell r="K15137" t="str">
            <v>201011</v>
          </cell>
          <cell r="M15137">
            <v>1</v>
          </cell>
          <cell r="R15137">
            <v>45989</v>
          </cell>
          <cell r="S15137">
            <v>201011</v>
          </cell>
        </row>
        <row r="15138">
          <cell r="K15138" t="str">
            <v>201024</v>
          </cell>
          <cell r="M15138">
            <v>1</v>
          </cell>
          <cell r="R15138">
            <v>45989</v>
          </cell>
          <cell r="S15138">
            <v>201024</v>
          </cell>
        </row>
        <row r="15139">
          <cell r="K15139" t="str">
            <v>220002</v>
          </cell>
          <cell r="M15139">
            <v>1</v>
          </cell>
          <cell r="R15139">
            <v>45989</v>
          </cell>
          <cell r="S15139">
            <v>220002</v>
          </cell>
        </row>
        <row r="15140">
          <cell r="K15140" t="str">
            <v>212035</v>
          </cell>
          <cell r="M15140">
            <v>2</v>
          </cell>
          <cell r="R15140">
            <v>45989</v>
          </cell>
          <cell r="S15140">
            <v>212035</v>
          </cell>
        </row>
        <row r="15141">
          <cell r="K15141" t="str">
            <v>223002</v>
          </cell>
          <cell r="M15141">
            <v>2</v>
          </cell>
          <cell r="R15141">
            <v>45989</v>
          </cell>
          <cell r="S15141">
            <v>223002</v>
          </cell>
        </row>
        <row r="15142">
          <cell r="K15142" t="str">
            <v>212002</v>
          </cell>
          <cell r="M15142">
            <v>1</v>
          </cell>
          <cell r="R15142">
            <v>45989</v>
          </cell>
          <cell r="S15142">
            <v>212002</v>
          </cell>
        </row>
        <row r="15143">
          <cell r="K15143" t="str">
            <v>217011</v>
          </cell>
          <cell r="M15143">
            <v>1</v>
          </cell>
          <cell r="R15143">
            <v>45989</v>
          </cell>
          <cell r="S15143">
            <v>217011</v>
          </cell>
        </row>
        <row r="15144">
          <cell r="K15144" t="str">
            <v>223002</v>
          </cell>
          <cell r="M15144">
            <v>2</v>
          </cell>
          <cell r="R15144">
            <v>45989</v>
          </cell>
          <cell r="S15144">
            <v>223002</v>
          </cell>
        </row>
        <row r="15145">
          <cell r="K15145" t="str">
            <v>227012</v>
          </cell>
          <cell r="M15145">
            <v>2</v>
          </cell>
          <cell r="R15145">
            <v>45989</v>
          </cell>
          <cell r="S15145">
            <v>227012</v>
          </cell>
        </row>
        <row r="15146">
          <cell r="K15146" t="str">
            <v>227002</v>
          </cell>
          <cell r="M15146">
            <v>1</v>
          </cell>
          <cell r="R15146">
            <v>45989</v>
          </cell>
          <cell r="S15146">
            <v>227002</v>
          </cell>
        </row>
        <row r="15147">
          <cell r="K15147" t="str">
            <v>226025</v>
          </cell>
          <cell r="M15147">
            <v>1</v>
          </cell>
          <cell r="R15147">
            <v>45989</v>
          </cell>
          <cell r="S15147">
            <v>226025</v>
          </cell>
        </row>
        <row r="15148">
          <cell r="K15148" t="str">
            <v>223002</v>
          </cell>
          <cell r="M15148">
            <v>1</v>
          </cell>
          <cell r="R15148">
            <v>45989</v>
          </cell>
          <cell r="S15148">
            <v>223002</v>
          </cell>
        </row>
        <row r="15149">
          <cell r="K15149" t="str">
            <v>203003</v>
          </cell>
          <cell r="M15149">
            <v>1</v>
          </cell>
          <cell r="R15149">
            <v>45989</v>
          </cell>
          <cell r="S15149">
            <v>203003</v>
          </cell>
        </row>
        <row r="15150">
          <cell r="K15150" t="str">
            <v>231010</v>
          </cell>
          <cell r="M15150">
            <v>1</v>
          </cell>
          <cell r="R15150">
            <v>45989</v>
          </cell>
          <cell r="S15150">
            <v>231010</v>
          </cell>
        </row>
        <row r="15151">
          <cell r="K15151" t="str">
            <v>227012</v>
          </cell>
          <cell r="M15151">
            <v>1</v>
          </cell>
          <cell r="R15151">
            <v>45989</v>
          </cell>
          <cell r="S15151">
            <v>227012</v>
          </cell>
        </row>
        <row r="15152">
          <cell r="K15152" t="str">
            <v>201022</v>
          </cell>
          <cell r="M15152">
            <v>3</v>
          </cell>
          <cell r="R15152">
            <v>45989</v>
          </cell>
          <cell r="S15152">
            <v>201022</v>
          </cell>
        </row>
        <row r="15153">
          <cell r="K15153" t="str">
            <v>223007</v>
          </cell>
          <cell r="M15153">
            <v>4</v>
          </cell>
          <cell r="R15153">
            <v>45989</v>
          </cell>
          <cell r="S15153">
            <v>223007</v>
          </cell>
        </row>
        <row r="15154">
          <cell r="K15154" t="str">
            <v>223017</v>
          </cell>
          <cell r="M15154">
            <v>4</v>
          </cell>
          <cell r="R15154">
            <v>45989</v>
          </cell>
          <cell r="S15154">
            <v>223017</v>
          </cell>
        </row>
        <row r="15155">
          <cell r="K15155" t="str">
            <v>231012</v>
          </cell>
          <cell r="M15155">
            <v>1</v>
          </cell>
          <cell r="R15155">
            <v>45989</v>
          </cell>
          <cell r="S15155">
            <v>231012</v>
          </cell>
        </row>
        <row r="15156">
          <cell r="K15156" t="str">
            <v>217023</v>
          </cell>
          <cell r="M15156">
            <v>1</v>
          </cell>
          <cell r="R15156">
            <v>45989</v>
          </cell>
          <cell r="S15156">
            <v>217023</v>
          </cell>
        </row>
        <row r="15157">
          <cell r="K15157" t="str">
            <v>261003</v>
          </cell>
          <cell r="M15157">
            <v>2</v>
          </cell>
          <cell r="R15157">
            <v>45989</v>
          </cell>
          <cell r="S15157">
            <v>261003</v>
          </cell>
        </row>
        <row r="15158">
          <cell r="K15158" t="str">
            <v>223002</v>
          </cell>
          <cell r="M15158">
            <v>2</v>
          </cell>
          <cell r="R15158">
            <v>45989</v>
          </cell>
          <cell r="S15158">
            <v>223002</v>
          </cell>
        </row>
        <row r="15159">
          <cell r="K15159" t="str">
            <v>223001</v>
          </cell>
          <cell r="M15159">
            <v>2</v>
          </cell>
          <cell r="R15159">
            <v>45989</v>
          </cell>
          <cell r="S15159">
            <v>223001</v>
          </cell>
        </row>
        <row r="15160">
          <cell r="K15160" t="str">
            <v>213002</v>
          </cell>
          <cell r="M15160">
            <v>7</v>
          </cell>
          <cell r="R15160">
            <v>45989</v>
          </cell>
          <cell r="S15160">
            <v>213002</v>
          </cell>
        </row>
        <row r="15161">
          <cell r="K15161" t="str">
            <v>223002</v>
          </cell>
          <cell r="M15161">
            <v>2</v>
          </cell>
          <cell r="R15161">
            <v>45989</v>
          </cell>
          <cell r="S15161">
            <v>223002</v>
          </cell>
        </row>
        <row r="15162">
          <cell r="K15162" t="str">
            <v>201011</v>
          </cell>
          <cell r="M15162">
            <v>1</v>
          </cell>
          <cell r="R15162">
            <v>45989</v>
          </cell>
          <cell r="S15162">
            <v>201011</v>
          </cell>
        </row>
        <row r="15163">
          <cell r="K15163" t="str">
            <v>212035</v>
          </cell>
          <cell r="M15163">
            <v>1</v>
          </cell>
          <cell r="R15163">
            <v>45989</v>
          </cell>
          <cell r="S15163">
            <v>212035</v>
          </cell>
        </row>
        <row r="15164">
          <cell r="K15164" t="str">
            <v>231012</v>
          </cell>
          <cell r="M15164">
            <v>2</v>
          </cell>
          <cell r="R15164">
            <v>45989</v>
          </cell>
          <cell r="S15164">
            <v>231012</v>
          </cell>
        </row>
        <row r="15165">
          <cell r="K15165" t="str">
            <v>228001</v>
          </cell>
          <cell r="M15165">
            <v>20</v>
          </cell>
          <cell r="R15165">
            <v>45991</v>
          </cell>
          <cell r="S15165">
            <v>228001</v>
          </cell>
        </row>
        <row r="15166">
          <cell r="K15166" t="str">
            <v>228001</v>
          </cell>
          <cell r="M15166">
            <v>1</v>
          </cell>
          <cell r="R15166">
            <v>45991</v>
          </cell>
          <cell r="S15166">
            <v>228001</v>
          </cell>
        </row>
        <row r="15167">
          <cell r="K15167" t="str">
            <v>212035</v>
          </cell>
          <cell r="M15167">
            <v>1</v>
          </cell>
          <cell r="R15167">
            <v>45991</v>
          </cell>
          <cell r="S15167">
            <v>212035</v>
          </cell>
        </row>
        <row r="15168">
          <cell r="K15168" t="str">
            <v>231012</v>
          </cell>
          <cell r="M15168">
            <v>1</v>
          </cell>
          <cell r="R15168">
            <v>45991</v>
          </cell>
          <cell r="S15168">
            <v>231012</v>
          </cell>
        </row>
        <row r="15169">
          <cell r="K15169" t="str">
            <v>201011</v>
          </cell>
          <cell r="M15169">
            <v>1</v>
          </cell>
          <cell r="R15169">
            <v>45991</v>
          </cell>
          <cell r="S15169">
            <v>201011</v>
          </cell>
        </row>
        <row r="15170">
          <cell r="K15170" t="str">
            <v>222001</v>
          </cell>
          <cell r="M15170">
            <v>1</v>
          </cell>
          <cell r="R15170">
            <v>45991</v>
          </cell>
          <cell r="S15170">
            <v>222001</v>
          </cell>
        </row>
        <row r="15171">
          <cell r="K15171" t="str">
            <v>209012</v>
          </cell>
          <cell r="M15171">
            <v>1</v>
          </cell>
          <cell r="R15171">
            <v>45991</v>
          </cell>
          <cell r="S15171">
            <v>209012</v>
          </cell>
        </row>
        <row r="15172">
          <cell r="K15172" t="str">
            <v>212002</v>
          </cell>
          <cell r="M15172">
            <v>1</v>
          </cell>
          <cell r="R15172">
            <v>45991</v>
          </cell>
          <cell r="S15172">
            <v>212002</v>
          </cell>
        </row>
        <row r="15173">
          <cell r="K15173" t="str">
            <v>228001</v>
          </cell>
          <cell r="M15173">
            <v>2</v>
          </cell>
          <cell r="R15173">
            <v>45991</v>
          </cell>
          <cell r="S15173">
            <v>228001</v>
          </cell>
        </row>
        <row r="15174">
          <cell r="K15174" t="str">
            <v>209012</v>
          </cell>
          <cell r="M15174">
            <v>2</v>
          </cell>
          <cell r="R15174">
            <v>45991</v>
          </cell>
          <cell r="S15174">
            <v>209012</v>
          </cell>
        </row>
        <row r="15175">
          <cell r="K15175" t="str">
            <v>207017</v>
          </cell>
          <cell r="M15175">
            <v>1</v>
          </cell>
          <cell r="R15175">
            <v>45992</v>
          </cell>
          <cell r="S15175">
            <v>207017</v>
          </cell>
        </row>
        <row r="15176">
          <cell r="K15176" t="str">
            <v>217022</v>
          </cell>
          <cell r="M15176">
            <v>1</v>
          </cell>
          <cell r="R15176">
            <v>45992</v>
          </cell>
          <cell r="S15176">
            <v>217022</v>
          </cell>
        </row>
        <row r="15177">
          <cell r="K15177" t="str">
            <v>228001</v>
          </cell>
          <cell r="M15177">
            <v>1</v>
          </cell>
          <cell r="R15177">
            <v>45992</v>
          </cell>
          <cell r="S15177">
            <v>228001</v>
          </cell>
        </row>
        <row r="15178">
          <cell r="K15178" t="str">
            <v>209001</v>
          </cell>
          <cell r="M15178">
            <v>1</v>
          </cell>
          <cell r="R15178">
            <v>45992</v>
          </cell>
          <cell r="S15178">
            <v>209001</v>
          </cell>
        </row>
        <row r="15179">
          <cell r="K15179" t="str">
            <v>241001</v>
          </cell>
          <cell r="M15179">
            <v>10</v>
          </cell>
          <cell r="R15179">
            <v>45992</v>
          </cell>
          <cell r="S15179">
            <v>241001</v>
          </cell>
        </row>
        <row r="15180">
          <cell r="K15180" t="str">
            <v>210015</v>
          </cell>
          <cell r="M15180">
            <v>2</v>
          </cell>
          <cell r="R15180">
            <v>45992</v>
          </cell>
          <cell r="S15180">
            <v>210015</v>
          </cell>
        </row>
        <row r="15181">
          <cell r="K15181" t="str">
            <v>203003</v>
          </cell>
          <cell r="M15181">
            <v>1</v>
          </cell>
          <cell r="R15181">
            <v>45992</v>
          </cell>
          <cell r="S15181">
            <v>203003</v>
          </cell>
        </row>
        <row r="15182">
          <cell r="K15182" t="str">
            <v>234011</v>
          </cell>
          <cell r="M15182">
            <v>1</v>
          </cell>
          <cell r="R15182">
            <v>45992</v>
          </cell>
          <cell r="S15182">
            <v>234011</v>
          </cell>
        </row>
        <row r="15183">
          <cell r="K15183" t="str">
            <v>222001</v>
          </cell>
          <cell r="M15183">
            <v>1</v>
          </cell>
          <cell r="R15183">
            <v>45992</v>
          </cell>
          <cell r="S15183">
            <v>222001</v>
          </cell>
        </row>
        <row r="15184">
          <cell r="K15184" t="str">
            <v>210015</v>
          </cell>
          <cell r="M15184">
            <v>2</v>
          </cell>
          <cell r="R15184">
            <v>45992</v>
          </cell>
          <cell r="S15184">
            <v>210015</v>
          </cell>
        </row>
        <row r="15185">
          <cell r="K15185" t="str">
            <v>231010</v>
          </cell>
          <cell r="M15185">
            <v>4</v>
          </cell>
          <cell r="R15185">
            <v>45992</v>
          </cell>
          <cell r="S15185">
            <v>231010</v>
          </cell>
        </row>
        <row r="15186">
          <cell r="K15186" t="str">
            <v>223001</v>
          </cell>
          <cell r="M15186">
            <v>10</v>
          </cell>
          <cell r="R15186">
            <v>45992</v>
          </cell>
          <cell r="S15186">
            <v>223001</v>
          </cell>
        </row>
        <row r="15187">
          <cell r="K15187" t="str">
            <v>209022</v>
          </cell>
          <cell r="M15187">
            <v>4</v>
          </cell>
          <cell r="R15187">
            <v>45992</v>
          </cell>
          <cell r="S15187">
            <v>209022</v>
          </cell>
        </row>
        <row r="15188">
          <cell r="K15188" t="str">
            <v>241001</v>
          </cell>
          <cell r="M15188">
            <v>4</v>
          </cell>
          <cell r="R15188">
            <v>45992</v>
          </cell>
          <cell r="S15188">
            <v>241001</v>
          </cell>
        </row>
        <row r="15189">
          <cell r="K15189" t="str">
            <v>203003</v>
          </cell>
          <cell r="M15189">
            <v>1</v>
          </cell>
          <cell r="R15189">
            <v>45992</v>
          </cell>
          <cell r="S15189">
            <v>203003</v>
          </cell>
        </row>
        <row r="15190">
          <cell r="K15190" t="str">
            <v>213002</v>
          </cell>
          <cell r="M15190">
            <v>1</v>
          </cell>
          <cell r="R15190">
            <v>45992</v>
          </cell>
          <cell r="S15190">
            <v>213002</v>
          </cell>
        </row>
        <row r="15191">
          <cell r="K15191" t="str">
            <v>223001</v>
          </cell>
          <cell r="M15191">
            <v>3</v>
          </cell>
          <cell r="R15191">
            <v>45992</v>
          </cell>
          <cell r="S15191">
            <v>223001</v>
          </cell>
        </row>
        <row r="15192">
          <cell r="K15192" t="str">
            <v>220003</v>
          </cell>
          <cell r="M15192">
            <v>2</v>
          </cell>
          <cell r="R15192">
            <v>45992</v>
          </cell>
          <cell r="S15192">
            <v>220003</v>
          </cell>
        </row>
        <row r="15193">
          <cell r="K15193" t="str">
            <v>241001</v>
          </cell>
          <cell r="M15193">
            <v>2</v>
          </cell>
          <cell r="R15193">
            <v>45992</v>
          </cell>
          <cell r="S15193">
            <v>241001</v>
          </cell>
        </row>
        <row r="15194">
          <cell r="K15194" t="str">
            <v>222001</v>
          </cell>
          <cell r="M15194">
            <v>1</v>
          </cell>
          <cell r="R15194">
            <v>45992</v>
          </cell>
          <cell r="S15194">
            <v>222001</v>
          </cell>
        </row>
        <row r="15195">
          <cell r="K15195" t="str">
            <v>231012</v>
          </cell>
          <cell r="M15195">
            <v>1</v>
          </cell>
          <cell r="R15195">
            <v>45992</v>
          </cell>
          <cell r="S15195">
            <v>231012</v>
          </cell>
        </row>
        <row r="15196">
          <cell r="K15196" t="str">
            <v>228001</v>
          </cell>
          <cell r="M15196">
            <v>8</v>
          </cell>
          <cell r="R15196">
            <v>45992</v>
          </cell>
          <cell r="S15196">
            <v>228001</v>
          </cell>
        </row>
        <row r="15197">
          <cell r="K15197" t="str">
            <v>231012</v>
          </cell>
          <cell r="M15197">
            <v>8</v>
          </cell>
          <cell r="R15197">
            <v>45992</v>
          </cell>
          <cell r="S15197">
            <v>231012</v>
          </cell>
        </row>
        <row r="15198">
          <cell r="K15198" t="str">
            <v>220002</v>
          </cell>
          <cell r="M15198">
            <v>2</v>
          </cell>
          <cell r="R15198">
            <v>45992</v>
          </cell>
          <cell r="S15198">
            <v>220002</v>
          </cell>
        </row>
        <row r="15199">
          <cell r="K15199" t="str">
            <v>223002</v>
          </cell>
          <cell r="M15199">
            <v>3</v>
          </cell>
          <cell r="R15199">
            <v>45992</v>
          </cell>
          <cell r="S15199">
            <v>223002</v>
          </cell>
        </row>
        <row r="15200">
          <cell r="K15200" t="str">
            <v>210015</v>
          </cell>
          <cell r="M15200">
            <v>4</v>
          </cell>
          <cell r="R15200">
            <v>45992</v>
          </cell>
          <cell r="S15200">
            <v>210015</v>
          </cell>
        </row>
        <row r="15201">
          <cell r="K15201" t="str">
            <v>227012</v>
          </cell>
          <cell r="M15201">
            <v>2</v>
          </cell>
          <cell r="R15201">
            <v>45991</v>
          </cell>
          <cell r="S15201">
            <v>227012</v>
          </cell>
        </row>
        <row r="15202">
          <cell r="K15202" t="str">
            <v>227012</v>
          </cell>
          <cell r="M15202">
            <v>2</v>
          </cell>
          <cell r="R15202">
            <v>45991</v>
          </cell>
          <cell r="S15202">
            <v>227012</v>
          </cell>
        </row>
        <row r="15203">
          <cell r="K15203" t="str">
            <v>228001</v>
          </cell>
          <cell r="M15203">
            <v>7</v>
          </cell>
          <cell r="R15203">
            <v>45991</v>
          </cell>
          <cell r="S15203">
            <v>228001</v>
          </cell>
        </row>
        <row r="15204">
          <cell r="K15204" t="str">
            <v>227012</v>
          </cell>
          <cell r="M15204">
            <v>5</v>
          </cell>
          <cell r="R15204">
            <v>45991</v>
          </cell>
          <cell r="S15204">
            <v>227012</v>
          </cell>
        </row>
        <row r="15205">
          <cell r="K15205" t="str">
            <v>223001</v>
          </cell>
          <cell r="M15205">
            <v>3</v>
          </cell>
          <cell r="R15205">
            <v>45991</v>
          </cell>
          <cell r="S15205">
            <v>223001</v>
          </cell>
        </row>
        <row r="15206">
          <cell r="K15206" t="str">
            <v>223002</v>
          </cell>
          <cell r="M15206">
            <v>4</v>
          </cell>
          <cell r="R15206">
            <v>45991</v>
          </cell>
          <cell r="S15206">
            <v>223002</v>
          </cell>
        </row>
        <row r="15207">
          <cell r="K15207" t="str">
            <v>223004</v>
          </cell>
          <cell r="M15207">
            <v>4</v>
          </cell>
          <cell r="R15207">
            <v>45992</v>
          </cell>
          <cell r="S15207">
            <v>223004</v>
          </cell>
        </row>
        <row r="15208">
          <cell r="K15208" t="str">
            <v>223007</v>
          </cell>
          <cell r="M15208">
            <v>2</v>
          </cell>
          <cell r="R15208">
            <v>45992</v>
          </cell>
          <cell r="S15208">
            <v>223007</v>
          </cell>
        </row>
        <row r="15209">
          <cell r="K15209" t="str">
            <v>223002</v>
          </cell>
          <cell r="M15209">
            <v>1</v>
          </cell>
          <cell r="R15209">
            <v>45992</v>
          </cell>
          <cell r="S15209">
            <v>223002</v>
          </cell>
        </row>
        <row r="15210">
          <cell r="K15210" t="str">
            <v>227014</v>
          </cell>
          <cell r="M15210">
            <v>3</v>
          </cell>
          <cell r="R15210">
            <v>45992</v>
          </cell>
          <cell r="S15210">
            <v>227014</v>
          </cell>
        </row>
        <row r="15211">
          <cell r="K15211" t="str">
            <v>231010</v>
          </cell>
          <cell r="M15211">
            <v>1</v>
          </cell>
          <cell r="R15211">
            <v>45992</v>
          </cell>
          <cell r="S15211">
            <v>231010</v>
          </cell>
        </row>
        <row r="15212">
          <cell r="K15212" t="str">
            <v>223017</v>
          </cell>
          <cell r="M15212">
            <v>1</v>
          </cell>
          <cell r="R15212">
            <v>45992</v>
          </cell>
          <cell r="S15212">
            <v>223017</v>
          </cell>
        </row>
        <row r="15213">
          <cell r="K15213" t="str">
            <v>212035</v>
          </cell>
          <cell r="M15213">
            <v>1</v>
          </cell>
          <cell r="R15213">
            <v>45992</v>
          </cell>
          <cell r="S15213">
            <v>212035</v>
          </cell>
        </row>
        <row r="15214">
          <cell r="K15214" t="str">
            <v>207017</v>
          </cell>
          <cell r="M15214">
            <v>1</v>
          </cell>
          <cell r="R15214">
            <v>45992</v>
          </cell>
          <cell r="S15214">
            <v>207017</v>
          </cell>
        </row>
        <row r="15215">
          <cell r="K15215" t="str">
            <v>228001</v>
          </cell>
          <cell r="M15215">
            <v>1</v>
          </cell>
          <cell r="R15215">
            <v>45992</v>
          </cell>
          <cell r="S15215">
            <v>228001</v>
          </cell>
        </row>
        <row r="15216">
          <cell r="K15216" t="str">
            <v>241001</v>
          </cell>
          <cell r="M15216">
            <v>1</v>
          </cell>
          <cell r="R15216">
            <v>45992</v>
          </cell>
          <cell r="S15216">
            <v>241001</v>
          </cell>
        </row>
        <row r="15217">
          <cell r="K15217" t="str">
            <v>223001</v>
          </cell>
          <cell r="M15217">
            <v>1</v>
          </cell>
          <cell r="R15217">
            <v>45992</v>
          </cell>
          <cell r="S15217">
            <v>223001</v>
          </cell>
        </row>
        <row r="15218">
          <cell r="K15218" t="str">
            <v>223002</v>
          </cell>
          <cell r="M15218">
            <v>1</v>
          </cell>
          <cell r="R15218">
            <v>45992</v>
          </cell>
          <cell r="S15218">
            <v>223002</v>
          </cell>
        </row>
        <row r="15219">
          <cell r="K15219" t="str">
            <v>223002</v>
          </cell>
          <cell r="M15219">
            <v>1</v>
          </cell>
          <cell r="R15219">
            <v>45992</v>
          </cell>
          <cell r="S15219">
            <v>223002</v>
          </cell>
        </row>
        <row r="15220">
          <cell r="K15220" t="str">
            <v>220002</v>
          </cell>
          <cell r="M15220">
            <v>4</v>
          </cell>
          <cell r="R15220">
            <v>45992</v>
          </cell>
          <cell r="S15220">
            <v>220002</v>
          </cell>
        </row>
        <row r="15221">
          <cell r="K15221" t="str">
            <v>223002</v>
          </cell>
          <cell r="M15221">
            <v>1</v>
          </cell>
          <cell r="R15221">
            <v>45992</v>
          </cell>
          <cell r="S15221">
            <v>223002</v>
          </cell>
        </row>
        <row r="15222">
          <cell r="K15222" t="str">
            <v>213002</v>
          </cell>
          <cell r="M15222">
            <v>9</v>
          </cell>
          <cell r="R15222">
            <v>45992</v>
          </cell>
          <cell r="S15222">
            <v>213002</v>
          </cell>
        </row>
        <row r="15223">
          <cell r="K15223" t="str">
            <v>209012</v>
          </cell>
          <cell r="M15223">
            <v>1</v>
          </cell>
          <cell r="R15223">
            <v>45992</v>
          </cell>
          <cell r="S15223">
            <v>209012</v>
          </cell>
        </row>
        <row r="15224">
          <cell r="K15224" t="str">
            <v>213002</v>
          </cell>
          <cell r="M15224">
            <v>4</v>
          </cell>
          <cell r="R15224">
            <v>45992</v>
          </cell>
          <cell r="S15224">
            <v>213002</v>
          </cell>
        </row>
        <row r="15225">
          <cell r="K15225" t="str">
            <v>228001</v>
          </cell>
          <cell r="M15225">
            <v>4</v>
          </cell>
          <cell r="R15225">
            <v>45992</v>
          </cell>
          <cell r="S15225">
            <v>228001</v>
          </cell>
        </row>
        <row r="15226">
          <cell r="K15226" t="str">
            <v>210013</v>
          </cell>
          <cell r="M15226">
            <v>1</v>
          </cell>
          <cell r="R15226">
            <v>45992</v>
          </cell>
          <cell r="S15226">
            <v>210013</v>
          </cell>
        </row>
        <row r="15227">
          <cell r="K15227" t="str">
            <v>228001</v>
          </cell>
          <cell r="M15227">
            <v>2</v>
          </cell>
          <cell r="R15227">
            <v>45992</v>
          </cell>
          <cell r="S15227">
            <v>228001</v>
          </cell>
        </row>
        <row r="15228">
          <cell r="K15228" t="str">
            <v>231012</v>
          </cell>
          <cell r="M15228">
            <v>1</v>
          </cell>
          <cell r="R15228">
            <v>45992</v>
          </cell>
          <cell r="S15228">
            <v>231012</v>
          </cell>
        </row>
        <row r="15229">
          <cell r="K15229" t="str">
            <v>231012</v>
          </cell>
          <cell r="M15229">
            <v>1</v>
          </cell>
          <cell r="R15229">
            <v>45992</v>
          </cell>
          <cell r="S15229">
            <v>231012</v>
          </cell>
        </row>
        <row r="15230">
          <cell r="K15230" t="str">
            <v>227002</v>
          </cell>
          <cell r="M15230">
            <v>1</v>
          </cell>
          <cell r="R15230">
            <v>45992</v>
          </cell>
          <cell r="S15230">
            <v>227002</v>
          </cell>
        </row>
        <row r="15231">
          <cell r="K15231" t="str">
            <v>201022</v>
          </cell>
          <cell r="M15231">
            <v>1</v>
          </cell>
          <cell r="R15231">
            <v>45992</v>
          </cell>
          <cell r="S15231">
            <v>201022</v>
          </cell>
        </row>
        <row r="15232">
          <cell r="K15232" t="str">
            <v>223001</v>
          </cell>
          <cell r="M15232">
            <v>3</v>
          </cell>
          <cell r="R15232">
            <v>45992</v>
          </cell>
          <cell r="S15232">
            <v>223001</v>
          </cell>
        </row>
        <row r="15233">
          <cell r="K15233" t="str">
            <v>203001</v>
          </cell>
          <cell r="M15233">
            <v>4</v>
          </cell>
          <cell r="R15233">
            <v>45992</v>
          </cell>
          <cell r="S15233">
            <v>203001</v>
          </cell>
        </row>
        <row r="15234">
          <cell r="K15234" t="str">
            <v>228001</v>
          </cell>
          <cell r="M15234">
            <v>2</v>
          </cell>
          <cell r="R15234">
            <v>45992</v>
          </cell>
          <cell r="S15234">
            <v>228001</v>
          </cell>
        </row>
        <row r="15235">
          <cell r="K15235" t="str">
            <v>203003</v>
          </cell>
          <cell r="M15235">
            <v>4</v>
          </cell>
          <cell r="R15235">
            <v>45992</v>
          </cell>
          <cell r="S15235">
            <v>203003</v>
          </cell>
        </row>
        <row r="15236">
          <cell r="K15236" t="str">
            <v>213002</v>
          </cell>
          <cell r="M15236">
            <v>9</v>
          </cell>
          <cell r="R15236">
            <v>45992</v>
          </cell>
          <cell r="S15236">
            <v>213002</v>
          </cell>
        </row>
        <row r="15237">
          <cell r="K15237" t="str">
            <v>207017</v>
          </cell>
          <cell r="M15237">
            <v>3</v>
          </cell>
          <cell r="R15237">
            <v>45992</v>
          </cell>
          <cell r="S15237">
            <v>207017</v>
          </cell>
        </row>
        <row r="15238">
          <cell r="K15238" t="str">
            <v>231012</v>
          </cell>
          <cell r="M15238">
            <v>2</v>
          </cell>
          <cell r="R15238">
            <v>45992</v>
          </cell>
          <cell r="S15238">
            <v>231012</v>
          </cell>
        </row>
        <row r="15239">
          <cell r="K15239" t="str">
            <v>223002</v>
          </cell>
          <cell r="M15239">
            <v>2</v>
          </cell>
          <cell r="R15239">
            <v>45992</v>
          </cell>
          <cell r="S15239">
            <v>223002</v>
          </cell>
        </row>
        <row r="15240">
          <cell r="K15240" t="str">
            <v>241001</v>
          </cell>
          <cell r="M15240">
            <v>1</v>
          </cell>
          <cell r="R15240">
            <v>45992</v>
          </cell>
          <cell r="S15240">
            <v>241001</v>
          </cell>
        </row>
        <row r="15241">
          <cell r="K15241" t="str">
            <v>201022</v>
          </cell>
          <cell r="M15241">
            <v>1</v>
          </cell>
          <cell r="R15241">
            <v>45992</v>
          </cell>
          <cell r="S15241">
            <v>201022</v>
          </cell>
        </row>
        <row r="15242">
          <cell r="K15242" t="str">
            <v>217019</v>
          </cell>
          <cell r="M15242">
            <v>8</v>
          </cell>
          <cell r="R15242">
            <v>45992</v>
          </cell>
          <cell r="S15242">
            <v>217019</v>
          </cell>
        </row>
        <row r="15243">
          <cell r="K15243" t="str">
            <v>209001</v>
          </cell>
          <cell r="M15243">
            <v>2</v>
          </cell>
          <cell r="R15243">
            <v>45992</v>
          </cell>
          <cell r="S15243">
            <v>209001</v>
          </cell>
        </row>
        <row r="15244">
          <cell r="K15244" t="str">
            <v>217011</v>
          </cell>
          <cell r="M15244">
            <v>1</v>
          </cell>
          <cell r="R15244">
            <v>45992</v>
          </cell>
          <cell r="S15244">
            <v>217011</v>
          </cell>
        </row>
        <row r="15245">
          <cell r="K15245" t="str">
            <v>229004</v>
          </cell>
          <cell r="M15245">
            <v>4</v>
          </cell>
          <cell r="R15245">
            <v>45992</v>
          </cell>
          <cell r="S15245">
            <v>229004</v>
          </cell>
        </row>
        <row r="15246">
          <cell r="K15246" t="str">
            <v>241001</v>
          </cell>
          <cell r="M15246">
            <v>12</v>
          </cell>
          <cell r="R15246">
            <v>45992</v>
          </cell>
          <cell r="S15246">
            <v>241001</v>
          </cell>
        </row>
        <row r="15247">
          <cell r="K15247" t="str">
            <v>203004</v>
          </cell>
          <cell r="M15247">
            <v>2</v>
          </cell>
          <cell r="R15247">
            <v>45992</v>
          </cell>
          <cell r="S15247">
            <v>203004</v>
          </cell>
        </row>
        <row r="15248">
          <cell r="K15248" t="str">
            <v>213018</v>
          </cell>
          <cell r="M15248">
            <v>1</v>
          </cell>
          <cell r="R15248">
            <v>45992</v>
          </cell>
          <cell r="S15248">
            <v>213018</v>
          </cell>
        </row>
        <row r="15249">
          <cell r="K15249" t="str">
            <v>207017</v>
          </cell>
          <cell r="M15249">
            <v>1</v>
          </cell>
          <cell r="R15249">
            <v>45992</v>
          </cell>
          <cell r="S15249">
            <v>207017</v>
          </cell>
        </row>
        <row r="15250">
          <cell r="K15250" t="str">
            <v>217019</v>
          </cell>
          <cell r="M15250">
            <v>9</v>
          </cell>
          <cell r="R15250">
            <v>45992</v>
          </cell>
          <cell r="S15250">
            <v>217019</v>
          </cell>
        </row>
        <row r="15251">
          <cell r="K15251" t="str">
            <v>228001</v>
          </cell>
          <cell r="M15251">
            <v>1</v>
          </cell>
          <cell r="R15251">
            <v>45992</v>
          </cell>
          <cell r="S15251">
            <v>228001</v>
          </cell>
        </row>
        <row r="15252">
          <cell r="K15252" t="str">
            <v>212035</v>
          </cell>
          <cell r="M15252">
            <v>1</v>
          </cell>
          <cell r="R15252">
            <v>45992</v>
          </cell>
          <cell r="S15252">
            <v>212035</v>
          </cell>
        </row>
        <row r="15253">
          <cell r="K15253" t="str">
            <v>209012</v>
          </cell>
          <cell r="M15253">
            <v>1</v>
          </cell>
          <cell r="R15253">
            <v>45992</v>
          </cell>
          <cell r="S15253">
            <v>209012</v>
          </cell>
        </row>
        <row r="15254">
          <cell r="K15254" t="str">
            <v>217019</v>
          </cell>
          <cell r="M15254">
            <v>1</v>
          </cell>
          <cell r="R15254">
            <v>45992</v>
          </cell>
          <cell r="S15254">
            <v>217019</v>
          </cell>
        </row>
        <row r="15255">
          <cell r="K15255" t="str">
            <v>228001</v>
          </cell>
          <cell r="M15255">
            <v>2</v>
          </cell>
          <cell r="R15255">
            <v>45992</v>
          </cell>
          <cell r="S15255">
            <v>228001</v>
          </cell>
        </row>
        <row r="15256">
          <cell r="K15256" t="str">
            <v>213002</v>
          </cell>
          <cell r="M15256">
            <v>2</v>
          </cell>
          <cell r="R15256">
            <v>45992</v>
          </cell>
          <cell r="S15256">
            <v>213002</v>
          </cell>
        </row>
        <row r="15257">
          <cell r="K15257" t="str">
            <v>203003</v>
          </cell>
          <cell r="M15257">
            <v>1</v>
          </cell>
          <cell r="R15257">
            <v>45992</v>
          </cell>
          <cell r="S15257">
            <v>203003</v>
          </cell>
        </row>
        <row r="15258">
          <cell r="K15258" t="str">
            <v>209001</v>
          </cell>
          <cell r="M15258">
            <v>3</v>
          </cell>
          <cell r="R15258">
            <v>45992</v>
          </cell>
          <cell r="S15258">
            <v>209001</v>
          </cell>
        </row>
        <row r="15259">
          <cell r="K15259" t="str">
            <v>208001</v>
          </cell>
          <cell r="M15259">
            <v>1</v>
          </cell>
          <cell r="R15259">
            <v>45992</v>
          </cell>
          <cell r="S15259">
            <v>208001</v>
          </cell>
        </row>
        <row r="15260">
          <cell r="K15260" t="str">
            <v>229004</v>
          </cell>
          <cell r="M15260">
            <v>1</v>
          </cell>
          <cell r="R15260">
            <v>45992</v>
          </cell>
          <cell r="S15260">
            <v>229004</v>
          </cell>
        </row>
        <row r="15261">
          <cell r="K15261" t="str">
            <v>228001</v>
          </cell>
          <cell r="M15261">
            <v>1</v>
          </cell>
          <cell r="R15261">
            <v>45992</v>
          </cell>
          <cell r="S15261">
            <v>228001</v>
          </cell>
        </row>
        <row r="15262">
          <cell r="K15262" t="str">
            <v>217018</v>
          </cell>
          <cell r="M15262">
            <v>1</v>
          </cell>
          <cell r="R15262">
            <v>45992</v>
          </cell>
          <cell r="S15262">
            <v>217018</v>
          </cell>
        </row>
        <row r="15263">
          <cell r="K15263" t="str">
            <v>228001</v>
          </cell>
          <cell r="M15263">
            <v>1</v>
          </cell>
          <cell r="R15263">
            <v>45992</v>
          </cell>
          <cell r="S15263">
            <v>228001</v>
          </cell>
        </row>
        <row r="15264">
          <cell r="K15264" t="str">
            <v>203003</v>
          </cell>
          <cell r="M15264">
            <v>3</v>
          </cell>
          <cell r="R15264">
            <v>45992</v>
          </cell>
          <cell r="S15264">
            <v>203003</v>
          </cell>
        </row>
        <row r="15265">
          <cell r="K15265" t="str">
            <v>217011</v>
          </cell>
          <cell r="M15265">
            <v>2</v>
          </cell>
          <cell r="R15265">
            <v>45992</v>
          </cell>
          <cell r="S15265">
            <v>217011</v>
          </cell>
        </row>
        <row r="15266">
          <cell r="K15266" t="str">
            <v>223001</v>
          </cell>
          <cell r="M15266">
            <v>10</v>
          </cell>
          <cell r="R15266">
            <v>45992</v>
          </cell>
          <cell r="S15266">
            <v>223001</v>
          </cell>
        </row>
        <row r="15267">
          <cell r="K15267" t="str">
            <v>223003</v>
          </cell>
          <cell r="M15267">
            <v>10</v>
          </cell>
          <cell r="R15267">
            <v>45992</v>
          </cell>
          <cell r="S15267">
            <v>223003</v>
          </cell>
        </row>
        <row r="15268">
          <cell r="K15268" t="str">
            <v>223006</v>
          </cell>
          <cell r="M15268">
            <v>6</v>
          </cell>
          <cell r="R15268">
            <v>45992</v>
          </cell>
          <cell r="S15268">
            <v>223006</v>
          </cell>
        </row>
        <row r="15269">
          <cell r="K15269" t="str">
            <v>223002</v>
          </cell>
          <cell r="M15269">
            <v>10</v>
          </cell>
          <cell r="R15269">
            <v>45992</v>
          </cell>
          <cell r="S15269">
            <v>223002</v>
          </cell>
        </row>
        <row r="15270">
          <cell r="K15270" t="str">
            <v>213002</v>
          </cell>
          <cell r="M15270">
            <v>6</v>
          </cell>
          <cell r="R15270">
            <v>45992</v>
          </cell>
          <cell r="S15270">
            <v>213002</v>
          </cell>
        </row>
        <row r="15271">
          <cell r="K15271" t="str">
            <v>227012</v>
          </cell>
          <cell r="M15271">
            <v>3</v>
          </cell>
          <cell r="R15271">
            <v>45992</v>
          </cell>
          <cell r="S15271">
            <v>227012</v>
          </cell>
        </row>
        <row r="15272">
          <cell r="K15272" t="str">
            <v>222007</v>
          </cell>
          <cell r="M15272">
            <v>1</v>
          </cell>
          <cell r="R15272">
            <v>45992</v>
          </cell>
          <cell r="S15272">
            <v>222007</v>
          </cell>
        </row>
        <row r="15273">
          <cell r="K15273" t="str">
            <v>217018</v>
          </cell>
          <cell r="M15273">
            <v>4</v>
          </cell>
          <cell r="R15273">
            <v>45992</v>
          </cell>
          <cell r="S15273">
            <v>217018</v>
          </cell>
        </row>
        <row r="15274">
          <cell r="K15274" t="str">
            <v>223002</v>
          </cell>
          <cell r="M15274">
            <v>3</v>
          </cell>
          <cell r="R15274">
            <v>45992</v>
          </cell>
          <cell r="S15274">
            <v>223002</v>
          </cell>
        </row>
        <row r="15275">
          <cell r="K15275" t="str">
            <v>227012</v>
          </cell>
          <cell r="M15275">
            <v>3</v>
          </cell>
          <cell r="R15275">
            <v>45992</v>
          </cell>
          <cell r="S15275">
            <v>227012</v>
          </cell>
        </row>
        <row r="15276">
          <cell r="K15276" t="str">
            <v>207017</v>
          </cell>
          <cell r="M15276">
            <v>6</v>
          </cell>
          <cell r="R15276">
            <v>45992</v>
          </cell>
          <cell r="S15276">
            <v>207017</v>
          </cell>
        </row>
        <row r="15277">
          <cell r="K15277" t="str">
            <v>217022</v>
          </cell>
          <cell r="M15277">
            <v>2</v>
          </cell>
          <cell r="R15277">
            <v>45992</v>
          </cell>
          <cell r="S15277">
            <v>217022</v>
          </cell>
        </row>
        <row r="15278">
          <cell r="K15278" t="str">
            <v>203001</v>
          </cell>
          <cell r="M15278">
            <v>8</v>
          </cell>
          <cell r="R15278">
            <v>45992</v>
          </cell>
          <cell r="S15278">
            <v>203001</v>
          </cell>
        </row>
        <row r="15279">
          <cell r="K15279" t="str">
            <v>208001</v>
          </cell>
          <cell r="M15279">
            <v>3</v>
          </cell>
          <cell r="R15279">
            <v>45992</v>
          </cell>
          <cell r="S15279">
            <v>208001</v>
          </cell>
        </row>
        <row r="15280">
          <cell r="K15280" t="str">
            <v>241001</v>
          </cell>
          <cell r="M15280">
            <v>2</v>
          </cell>
          <cell r="R15280">
            <v>45992</v>
          </cell>
          <cell r="S15280">
            <v>241001</v>
          </cell>
        </row>
        <row r="15281">
          <cell r="K15281" t="str">
            <v>222007</v>
          </cell>
          <cell r="M15281">
            <v>1</v>
          </cell>
          <cell r="R15281">
            <v>45992</v>
          </cell>
          <cell r="S15281">
            <v>222007</v>
          </cell>
        </row>
        <row r="15282">
          <cell r="K15282" t="str">
            <v>222001</v>
          </cell>
          <cell r="M15282">
            <v>4</v>
          </cell>
          <cell r="R15282">
            <v>45992</v>
          </cell>
          <cell r="S15282">
            <v>222001</v>
          </cell>
        </row>
        <row r="15283">
          <cell r="K15283" t="str">
            <v>208001</v>
          </cell>
          <cell r="M15283">
            <v>4</v>
          </cell>
          <cell r="R15283">
            <v>45992</v>
          </cell>
          <cell r="S15283">
            <v>208001</v>
          </cell>
        </row>
        <row r="15284">
          <cell r="K15284" t="str">
            <v>229001</v>
          </cell>
          <cell r="M15284">
            <v>8</v>
          </cell>
          <cell r="R15284">
            <v>45992</v>
          </cell>
          <cell r="S15284">
            <v>229001</v>
          </cell>
        </row>
        <row r="15285">
          <cell r="K15285" t="str">
            <v>222001</v>
          </cell>
          <cell r="M15285">
            <v>1</v>
          </cell>
          <cell r="R15285">
            <v>45992</v>
          </cell>
          <cell r="S15285">
            <v>222001</v>
          </cell>
        </row>
        <row r="15286">
          <cell r="K15286" t="str">
            <v>217018</v>
          </cell>
          <cell r="M15286">
            <v>1</v>
          </cell>
          <cell r="R15286">
            <v>45992</v>
          </cell>
          <cell r="S15286">
            <v>217018</v>
          </cell>
        </row>
        <row r="15287">
          <cell r="K15287" t="str">
            <v>217022</v>
          </cell>
          <cell r="M15287">
            <v>5</v>
          </cell>
          <cell r="R15287">
            <v>45992</v>
          </cell>
          <cell r="S15287">
            <v>217022</v>
          </cell>
        </row>
        <row r="15288">
          <cell r="K15288" t="str">
            <v>213002</v>
          </cell>
          <cell r="M15288">
            <v>30</v>
          </cell>
          <cell r="R15288">
            <v>45993</v>
          </cell>
          <cell r="S15288">
            <v>213002</v>
          </cell>
        </row>
        <row r="15289">
          <cell r="K15289" t="str">
            <v>217019</v>
          </cell>
          <cell r="M15289">
            <v>1</v>
          </cell>
          <cell r="R15289">
            <v>45993</v>
          </cell>
          <cell r="S15289">
            <v>217019</v>
          </cell>
        </row>
        <row r="15290">
          <cell r="K15290" t="str">
            <v>217019</v>
          </cell>
          <cell r="M15290">
            <v>3</v>
          </cell>
          <cell r="R15290">
            <v>45993</v>
          </cell>
          <cell r="S15290">
            <v>217019</v>
          </cell>
        </row>
        <row r="15291">
          <cell r="K15291" t="str">
            <v>220003</v>
          </cell>
          <cell r="M15291">
            <v>10</v>
          </cell>
          <cell r="R15291">
            <v>45993</v>
          </cell>
          <cell r="S15291">
            <v>220003</v>
          </cell>
        </row>
        <row r="15292">
          <cell r="K15292" t="str">
            <v>229001</v>
          </cell>
          <cell r="M15292">
            <v>1</v>
          </cell>
          <cell r="R15292">
            <v>45992</v>
          </cell>
          <cell r="S15292">
            <v>229001</v>
          </cell>
        </row>
        <row r="15293">
          <cell r="K15293" t="str">
            <v>209001</v>
          </cell>
          <cell r="M15293">
            <v>1</v>
          </cell>
          <cell r="R15293">
            <v>45992</v>
          </cell>
          <cell r="S15293">
            <v>209001</v>
          </cell>
        </row>
        <row r="15294">
          <cell r="K15294" t="str">
            <v>220002</v>
          </cell>
          <cell r="M15294">
            <v>2</v>
          </cell>
          <cell r="R15294">
            <v>45993</v>
          </cell>
          <cell r="S15294">
            <v>220002</v>
          </cell>
        </row>
        <row r="15295">
          <cell r="K15295" t="str">
            <v>228001</v>
          </cell>
          <cell r="M15295">
            <v>1</v>
          </cell>
          <cell r="R15295">
            <v>45993</v>
          </cell>
          <cell r="S15295">
            <v>228001</v>
          </cell>
        </row>
        <row r="15296">
          <cell r="K15296" t="str">
            <v>203003</v>
          </cell>
          <cell r="M15296">
            <v>4</v>
          </cell>
          <cell r="R15296">
            <v>45993</v>
          </cell>
          <cell r="S15296">
            <v>203003</v>
          </cell>
        </row>
        <row r="15297">
          <cell r="K15297" t="str">
            <v>212035</v>
          </cell>
          <cell r="M15297">
            <v>1</v>
          </cell>
          <cell r="R15297">
            <v>45993</v>
          </cell>
          <cell r="S15297">
            <v>212035</v>
          </cell>
        </row>
        <row r="15298">
          <cell r="K15298" t="str">
            <v>231010</v>
          </cell>
          <cell r="M15298">
            <v>2</v>
          </cell>
          <cell r="R15298">
            <v>45993</v>
          </cell>
          <cell r="S15298">
            <v>231010</v>
          </cell>
        </row>
        <row r="15299">
          <cell r="K15299" t="str">
            <v>210015</v>
          </cell>
          <cell r="M15299">
            <v>1</v>
          </cell>
          <cell r="R15299">
            <v>45993</v>
          </cell>
          <cell r="S15299">
            <v>210015</v>
          </cell>
        </row>
        <row r="15300">
          <cell r="K15300" t="str">
            <v>201022</v>
          </cell>
          <cell r="M15300">
            <v>1</v>
          </cell>
          <cell r="R15300">
            <v>45993</v>
          </cell>
          <cell r="S15300">
            <v>201022</v>
          </cell>
        </row>
        <row r="15301">
          <cell r="K15301" t="str">
            <v>228001</v>
          </cell>
          <cell r="M15301">
            <v>4</v>
          </cell>
          <cell r="R15301">
            <v>45993</v>
          </cell>
          <cell r="S15301">
            <v>228001</v>
          </cell>
        </row>
        <row r="15302">
          <cell r="K15302" t="str">
            <v>220003</v>
          </cell>
          <cell r="M15302">
            <v>1</v>
          </cell>
          <cell r="R15302">
            <v>45993</v>
          </cell>
          <cell r="S15302">
            <v>220003</v>
          </cell>
        </row>
        <row r="15303">
          <cell r="K15303" t="str">
            <v>213002</v>
          </cell>
          <cell r="M15303">
            <v>15</v>
          </cell>
          <cell r="R15303">
            <v>45993</v>
          </cell>
          <cell r="S15303">
            <v>213002</v>
          </cell>
        </row>
        <row r="15304">
          <cell r="K15304" t="str">
            <v>223002</v>
          </cell>
          <cell r="M15304">
            <v>4</v>
          </cell>
          <cell r="R15304">
            <v>45993</v>
          </cell>
          <cell r="S15304">
            <v>223002</v>
          </cell>
        </row>
        <row r="15305">
          <cell r="K15305" t="str">
            <v>203001</v>
          </cell>
          <cell r="M15305">
            <v>1</v>
          </cell>
          <cell r="R15305">
            <v>45993</v>
          </cell>
          <cell r="S15305">
            <v>203001</v>
          </cell>
        </row>
        <row r="15306">
          <cell r="K15306" t="str">
            <v>217011</v>
          </cell>
          <cell r="M15306">
            <v>1</v>
          </cell>
          <cell r="R15306">
            <v>45993</v>
          </cell>
          <cell r="S15306">
            <v>217011</v>
          </cell>
        </row>
        <row r="15307">
          <cell r="K15307" t="str">
            <v>220003</v>
          </cell>
          <cell r="M15307">
            <v>2</v>
          </cell>
          <cell r="R15307">
            <v>45993</v>
          </cell>
          <cell r="S15307">
            <v>220003</v>
          </cell>
        </row>
        <row r="15308">
          <cell r="K15308" t="str">
            <v>217011</v>
          </cell>
          <cell r="M15308">
            <v>2</v>
          </cell>
          <cell r="R15308">
            <v>45993</v>
          </cell>
          <cell r="S15308">
            <v>217011</v>
          </cell>
        </row>
        <row r="15309">
          <cell r="K15309" t="str">
            <v>228001</v>
          </cell>
          <cell r="M15309">
            <v>15</v>
          </cell>
          <cell r="R15309">
            <v>45993</v>
          </cell>
          <cell r="S15309">
            <v>228001</v>
          </cell>
        </row>
        <row r="15310">
          <cell r="K15310" t="str">
            <v>203001</v>
          </cell>
          <cell r="M15310">
            <v>4</v>
          </cell>
          <cell r="R15310">
            <v>45993</v>
          </cell>
          <cell r="S15310">
            <v>203001</v>
          </cell>
        </row>
        <row r="15311">
          <cell r="K15311" t="str">
            <v>213002</v>
          </cell>
          <cell r="M15311">
            <v>3</v>
          </cell>
          <cell r="R15311">
            <v>45993</v>
          </cell>
          <cell r="S15311">
            <v>213002</v>
          </cell>
        </row>
        <row r="15312">
          <cell r="K15312" t="str">
            <v>217018</v>
          </cell>
          <cell r="M15312">
            <v>1</v>
          </cell>
          <cell r="R15312">
            <v>45993</v>
          </cell>
          <cell r="S15312">
            <v>217018</v>
          </cell>
        </row>
        <row r="15313">
          <cell r="K15313" t="str">
            <v>217018</v>
          </cell>
          <cell r="M15313">
            <v>25</v>
          </cell>
          <cell r="R15313">
            <v>45993</v>
          </cell>
          <cell r="S15313">
            <v>217018</v>
          </cell>
        </row>
        <row r="15314">
          <cell r="K15314" t="str">
            <v>223006</v>
          </cell>
          <cell r="M15314">
            <v>1</v>
          </cell>
          <cell r="R15314">
            <v>45993</v>
          </cell>
          <cell r="S15314">
            <v>223006</v>
          </cell>
        </row>
        <row r="15315">
          <cell r="K15315" t="str">
            <v>223002</v>
          </cell>
          <cell r="M15315">
            <v>1</v>
          </cell>
          <cell r="R15315">
            <v>45993</v>
          </cell>
          <cell r="S15315">
            <v>223002</v>
          </cell>
        </row>
        <row r="15316">
          <cell r="K15316" t="str">
            <v>226022</v>
          </cell>
          <cell r="M15316">
            <v>1</v>
          </cell>
          <cell r="R15316">
            <v>45993</v>
          </cell>
          <cell r="S15316">
            <v>226022</v>
          </cell>
        </row>
        <row r="15317">
          <cell r="K15317" t="str">
            <v>227014</v>
          </cell>
          <cell r="M15317">
            <v>1</v>
          </cell>
          <cell r="R15317">
            <v>45993</v>
          </cell>
          <cell r="S15317">
            <v>227014</v>
          </cell>
        </row>
        <row r="15318">
          <cell r="K15318" t="str">
            <v>226027</v>
          </cell>
          <cell r="M15318">
            <v>1</v>
          </cell>
          <cell r="R15318">
            <v>45993</v>
          </cell>
          <cell r="S15318">
            <v>226027</v>
          </cell>
        </row>
        <row r="15319">
          <cell r="K15319" t="str">
            <v>223001</v>
          </cell>
          <cell r="M15319">
            <v>10</v>
          </cell>
          <cell r="R15319">
            <v>45993</v>
          </cell>
          <cell r="S15319">
            <v>223001</v>
          </cell>
        </row>
        <row r="15320">
          <cell r="K15320" t="str">
            <v>210014</v>
          </cell>
          <cell r="M15320">
            <v>1</v>
          </cell>
          <cell r="R15320">
            <v>45993</v>
          </cell>
          <cell r="S15320">
            <v>210014</v>
          </cell>
        </row>
        <row r="15321">
          <cell r="K15321" t="str">
            <v>231012</v>
          </cell>
          <cell r="M15321">
            <v>1</v>
          </cell>
          <cell r="R15321">
            <v>45993</v>
          </cell>
          <cell r="S15321">
            <v>231012</v>
          </cell>
        </row>
        <row r="15322">
          <cell r="K15322" t="str">
            <v>220003</v>
          </cell>
          <cell r="M15322">
            <v>1</v>
          </cell>
          <cell r="R15322">
            <v>45993</v>
          </cell>
          <cell r="S15322">
            <v>220003</v>
          </cell>
        </row>
        <row r="15323">
          <cell r="K15323" t="str">
            <v>223006</v>
          </cell>
          <cell r="M15323">
            <v>1</v>
          </cell>
          <cell r="R15323">
            <v>45993</v>
          </cell>
          <cell r="S15323">
            <v>223006</v>
          </cell>
        </row>
        <row r="15324">
          <cell r="K15324" t="str">
            <v>223002</v>
          </cell>
          <cell r="M15324">
            <v>1</v>
          </cell>
          <cell r="R15324">
            <v>45993</v>
          </cell>
          <cell r="S15324">
            <v>223002</v>
          </cell>
        </row>
        <row r="15325">
          <cell r="K15325" t="str">
            <v>226022</v>
          </cell>
          <cell r="M15325">
            <v>1</v>
          </cell>
          <cell r="R15325">
            <v>45993</v>
          </cell>
          <cell r="S15325">
            <v>226022</v>
          </cell>
        </row>
        <row r="15326">
          <cell r="K15326" t="str">
            <v>227014</v>
          </cell>
          <cell r="M15326">
            <v>1</v>
          </cell>
          <cell r="R15326">
            <v>45993</v>
          </cell>
          <cell r="S15326">
            <v>227014</v>
          </cell>
        </row>
        <row r="15327">
          <cell r="K15327" t="str">
            <v>226027</v>
          </cell>
          <cell r="M15327">
            <v>1</v>
          </cell>
          <cell r="R15327">
            <v>45993</v>
          </cell>
          <cell r="S15327">
            <v>226027</v>
          </cell>
        </row>
        <row r="15328">
          <cell r="K15328" t="str">
            <v>223001</v>
          </cell>
          <cell r="M15328">
            <v>2</v>
          </cell>
          <cell r="R15328">
            <v>45993</v>
          </cell>
          <cell r="S15328">
            <v>223001</v>
          </cell>
        </row>
        <row r="15329">
          <cell r="K15329" t="str">
            <v>210014</v>
          </cell>
          <cell r="M15329">
            <v>1</v>
          </cell>
          <cell r="R15329">
            <v>45993</v>
          </cell>
          <cell r="S15329">
            <v>210014</v>
          </cell>
        </row>
        <row r="15330">
          <cell r="K15330" t="str">
            <v>209004</v>
          </cell>
          <cell r="M15330">
            <v>4</v>
          </cell>
          <cell r="R15330">
            <v>45993</v>
          </cell>
          <cell r="S15330">
            <v>209004</v>
          </cell>
        </row>
        <row r="15331">
          <cell r="K15331" t="str">
            <v>226026</v>
          </cell>
          <cell r="M15331">
            <v>2</v>
          </cell>
          <cell r="R15331">
            <v>45993</v>
          </cell>
          <cell r="S15331">
            <v>226026</v>
          </cell>
        </row>
        <row r="15332">
          <cell r="K15332" t="str">
            <v>226001</v>
          </cell>
          <cell r="M15332">
            <v>4</v>
          </cell>
          <cell r="R15332">
            <v>45993</v>
          </cell>
          <cell r="S15332">
            <v>226001</v>
          </cell>
        </row>
        <row r="15333">
          <cell r="K15333" t="str">
            <v>226001</v>
          </cell>
          <cell r="M15333">
            <v>2</v>
          </cell>
          <cell r="R15333">
            <v>45993</v>
          </cell>
          <cell r="S15333">
            <v>226001</v>
          </cell>
        </row>
        <row r="15334">
          <cell r="K15334" t="str">
            <v>201001</v>
          </cell>
          <cell r="M15334">
            <v>10</v>
          </cell>
          <cell r="R15334">
            <v>45993</v>
          </cell>
          <cell r="S15334">
            <v>201001</v>
          </cell>
        </row>
        <row r="15335">
          <cell r="K15335" t="str">
            <v>226001</v>
          </cell>
          <cell r="M15335">
            <v>1</v>
          </cell>
          <cell r="R15335">
            <v>45993</v>
          </cell>
          <cell r="S15335">
            <v>226001</v>
          </cell>
        </row>
        <row r="15336">
          <cell r="K15336" t="str">
            <v>226001</v>
          </cell>
          <cell r="M15336">
            <v>1</v>
          </cell>
          <cell r="R15336">
            <v>45993</v>
          </cell>
          <cell r="S15336">
            <v>226001</v>
          </cell>
        </row>
        <row r="15337">
          <cell r="K15337" t="str">
            <v>226001</v>
          </cell>
          <cell r="M15337">
            <v>1</v>
          </cell>
          <cell r="R15337">
            <v>45993</v>
          </cell>
          <cell r="S15337">
            <v>226001</v>
          </cell>
        </row>
        <row r="15338">
          <cell r="K15338" t="str">
            <v>217021</v>
          </cell>
          <cell r="M15338">
            <v>1</v>
          </cell>
          <cell r="R15338">
            <v>45993</v>
          </cell>
          <cell r="S15338">
            <v>217021</v>
          </cell>
        </row>
        <row r="15339">
          <cell r="K15339" t="str">
            <v>226001</v>
          </cell>
          <cell r="M15339">
            <v>1</v>
          </cell>
          <cell r="R15339">
            <v>45993</v>
          </cell>
          <cell r="S15339">
            <v>226001</v>
          </cell>
        </row>
        <row r="15340">
          <cell r="K15340" t="str">
            <v>213002</v>
          </cell>
          <cell r="M15340">
            <v>4</v>
          </cell>
          <cell r="R15340">
            <v>45993</v>
          </cell>
          <cell r="S15340">
            <v>213002</v>
          </cell>
        </row>
        <row r="15341">
          <cell r="K15341" t="str">
            <v>217022</v>
          </cell>
          <cell r="M15341">
            <v>2</v>
          </cell>
          <cell r="R15341">
            <v>45993</v>
          </cell>
          <cell r="S15341">
            <v>217022</v>
          </cell>
        </row>
        <row r="15342">
          <cell r="K15342" t="str">
            <v>207017</v>
          </cell>
          <cell r="M15342">
            <v>1</v>
          </cell>
          <cell r="R15342">
            <v>45993</v>
          </cell>
          <cell r="S15342">
            <v>207017</v>
          </cell>
        </row>
        <row r="15343">
          <cell r="K15343" t="str">
            <v>201001</v>
          </cell>
          <cell r="M15343">
            <v>5</v>
          </cell>
          <cell r="R15343">
            <v>45993</v>
          </cell>
          <cell r="S15343">
            <v>201001</v>
          </cell>
        </row>
        <row r="15344">
          <cell r="K15344" t="str">
            <v>241001</v>
          </cell>
          <cell r="M15344">
            <v>10</v>
          </cell>
          <cell r="R15344">
            <v>45993</v>
          </cell>
          <cell r="S15344">
            <v>241001</v>
          </cell>
        </row>
        <row r="15345">
          <cell r="K15345" t="str">
            <v>228001</v>
          </cell>
          <cell r="M15345">
            <v>1</v>
          </cell>
          <cell r="R15345">
            <v>45993</v>
          </cell>
          <cell r="S15345">
            <v>228001</v>
          </cell>
        </row>
        <row r="15346">
          <cell r="K15346" t="str">
            <v>201001</v>
          </cell>
          <cell r="M15346">
            <v>3</v>
          </cell>
          <cell r="R15346">
            <v>45993</v>
          </cell>
          <cell r="S15346">
            <v>201001</v>
          </cell>
        </row>
        <row r="15347">
          <cell r="K15347" t="str">
            <v>201001</v>
          </cell>
          <cell r="M15347">
            <v>4</v>
          </cell>
          <cell r="R15347">
            <v>45993</v>
          </cell>
          <cell r="S15347">
            <v>201001</v>
          </cell>
        </row>
        <row r="15348">
          <cell r="K15348" t="str">
            <v>223002</v>
          </cell>
          <cell r="M15348">
            <v>2</v>
          </cell>
          <cell r="R15348">
            <v>45993</v>
          </cell>
          <cell r="S15348">
            <v>223002</v>
          </cell>
        </row>
        <row r="15349">
          <cell r="K15349" t="str">
            <v>201024</v>
          </cell>
          <cell r="M15349">
            <v>3</v>
          </cell>
          <cell r="R15349">
            <v>45993</v>
          </cell>
          <cell r="S15349">
            <v>201024</v>
          </cell>
        </row>
        <row r="15350">
          <cell r="K15350" t="str">
            <v>201001</v>
          </cell>
          <cell r="M15350">
            <v>4</v>
          </cell>
          <cell r="R15350">
            <v>45993</v>
          </cell>
          <cell r="S15350">
            <v>201001</v>
          </cell>
        </row>
        <row r="15351">
          <cell r="K15351" t="str">
            <v>201001</v>
          </cell>
          <cell r="M15351">
            <v>1</v>
          </cell>
          <cell r="R15351">
            <v>45993</v>
          </cell>
          <cell r="S15351">
            <v>201001</v>
          </cell>
        </row>
        <row r="15352">
          <cell r="K15352" t="str">
            <v>228001</v>
          </cell>
          <cell r="M15352">
            <v>1</v>
          </cell>
          <cell r="R15352">
            <v>45993</v>
          </cell>
          <cell r="S15352">
            <v>228001</v>
          </cell>
        </row>
        <row r="15353">
          <cell r="K15353" t="str">
            <v>207017</v>
          </cell>
          <cell r="M15353">
            <v>1</v>
          </cell>
          <cell r="R15353">
            <v>45993</v>
          </cell>
          <cell r="S15353">
            <v>207017</v>
          </cell>
        </row>
        <row r="15354">
          <cell r="K15354" t="str">
            <v>212002</v>
          </cell>
          <cell r="M15354">
            <v>1</v>
          </cell>
          <cell r="R15354">
            <v>45993</v>
          </cell>
          <cell r="S15354">
            <v>212002</v>
          </cell>
        </row>
        <row r="15355">
          <cell r="K15355" t="str">
            <v>209004</v>
          </cell>
          <cell r="M15355">
            <v>1</v>
          </cell>
          <cell r="R15355">
            <v>45993</v>
          </cell>
          <cell r="S15355">
            <v>209004</v>
          </cell>
        </row>
        <row r="15356">
          <cell r="K15356" t="str">
            <v>228001</v>
          </cell>
          <cell r="M15356">
            <v>3</v>
          </cell>
          <cell r="R15356">
            <v>45993</v>
          </cell>
          <cell r="S15356">
            <v>228001</v>
          </cell>
        </row>
        <row r="15357">
          <cell r="K15357" t="str">
            <v>226001</v>
          </cell>
          <cell r="M15357">
            <v>2</v>
          </cell>
          <cell r="R15357">
            <v>45993</v>
          </cell>
          <cell r="S15357">
            <v>226001</v>
          </cell>
        </row>
        <row r="15358">
          <cell r="K15358" t="str">
            <v>231012</v>
          </cell>
          <cell r="M15358">
            <v>1</v>
          </cell>
          <cell r="R15358">
            <v>45993</v>
          </cell>
          <cell r="S15358">
            <v>231012</v>
          </cell>
        </row>
        <row r="15359">
          <cell r="K15359" t="str">
            <v>220003</v>
          </cell>
          <cell r="M15359">
            <v>1</v>
          </cell>
          <cell r="R15359">
            <v>45993</v>
          </cell>
          <cell r="S15359">
            <v>220003</v>
          </cell>
        </row>
        <row r="15360">
          <cell r="K15360" t="str">
            <v>228001</v>
          </cell>
          <cell r="M15360">
            <v>2</v>
          </cell>
          <cell r="R15360">
            <v>45993</v>
          </cell>
          <cell r="S15360">
            <v>228001</v>
          </cell>
        </row>
        <row r="15361">
          <cell r="K15361" t="str">
            <v>231006</v>
          </cell>
          <cell r="M15361">
            <v>20</v>
          </cell>
          <cell r="R15361">
            <v>45993</v>
          </cell>
          <cell r="S15361">
            <v>231006</v>
          </cell>
        </row>
        <row r="15362">
          <cell r="K15362" t="str">
            <v>201001</v>
          </cell>
          <cell r="M15362">
            <v>8</v>
          </cell>
          <cell r="R15362">
            <v>45993</v>
          </cell>
          <cell r="S15362">
            <v>201001</v>
          </cell>
        </row>
        <row r="15363">
          <cell r="K15363" t="str">
            <v>207017</v>
          </cell>
          <cell r="M15363">
            <v>1</v>
          </cell>
          <cell r="R15363">
            <v>45993</v>
          </cell>
          <cell r="S15363">
            <v>207017</v>
          </cell>
        </row>
        <row r="15364">
          <cell r="K15364" t="str">
            <v>203001</v>
          </cell>
          <cell r="M15364">
            <v>1</v>
          </cell>
          <cell r="R15364">
            <v>45993</v>
          </cell>
          <cell r="S15364">
            <v>203001</v>
          </cell>
        </row>
        <row r="15365">
          <cell r="K15365" t="str">
            <v>201001</v>
          </cell>
          <cell r="M15365">
            <v>4</v>
          </cell>
          <cell r="R15365">
            <v>45993</v>
          </cell>
          <cell r="S15365">
            <v>201001</v>
          </cell>
        </row>
        <row r="15366">
          <cell r="K15366" t="str">
            <v>201001</v>
          </cell>
          <cell r="M15366">
            <v>4</v>
          </cell>
          <cell r="R15366">
            <v>45993</v>
          </cell>
          <cell r="S15366">
            <v>201001</v>
          </cell>
        </row>
        <row r="15367">
          <cell r="K15367" t="str">
            <v>214002</v>
          </cell>
          <cell r="M15367">
            <v>5</v>
          </cell>
          <cell r="R15367">
            <v>45993</v>
          </cell>
          <cell r="S15367">
            <v>214002</v>
          </cell>
        </row>
        <row r="15368">
          <cell r="K15368" t="str">
            <v>261004</v>
          </cell>
          <cell r="M15368">
            <v>5</v>
          </cell>
          <cell r="R15368">
            <v>45993</v>
          </cell>
          <cell r="S15368">
            <v>261004</v>
          </cell>
        </row>
        <row r="15369">
          <cell r="K15369" t="str">
            <v>207013</v>
          </cell>
          <cell r="M15369">
            <v>4</v>
          </cell>
          <cell r="R15369">
            <v>45993</v>
          </cell>
          <cell r="S15369">
            <v>207013</v>
          </cell>
        </row>
        <row r="15370">
          <cell r="K15370" t="str">
            <v>228001</v>
          </cell>
          <cell r="M15370">
            <v>2</v>
          </cell>
          <cell r="R15370">
            <v>45993</v>
          </cell>
          <cell r="S15370">
            <v>228001</v>
          </cell>
        </row>
        <row r="15371">
          <cell r="K15371" t="str">
            <v>235008</v>
          </cell>
          <cell r="M15371">
            <v>19</v>
          </cell>
          <cell r="R15371">
            <v>45993</v>
          </cell>
          <cell r="S15371">
            <v>235008</v>
          </cell>
        </row>
        <row r="15372">
          <cell r="K15372" t="str">
            <v>228001</v>
          </cell>
          <cell r="M15372">
            <v>1</v>
          </cell>
          <cell r="R15372">
            <v>45994</v>
          </cell>
          <cell r="S15372">
            <v>228001</v>
          </cell>
        </row>
        <row r="15373">
          <cell r="K15373" t="str">
            <v>212035</v>
          </cell>
          <cell r="M15373">
            <v>1</v>
          </cell>
          <cell r="R15373">
            <v>45994</v>
          </cell>
          <cell r="S15373">
            <v>212035</v>
          </cell>
        </row>
        <row r="15374">
          <cell r="K15374" t="str">
            <v>209001</v>
          </cell>
          <cell r="M15374">
            <v>1</v>
          </cell>
          <cell r="R15374">
            <v>45994</v>
          </cell>
          <cell r="S15374">
            <v>209001</v>
          </cell>
        </row>
        <row r="15375">
          <cell r="K15375" t="str">
            <v>220002</v>
          </cell>
          <cell r="M15375">
            <v>1</v>
          </cell>
          <cell r="R15375">
            <v>45994</v>
          </cell>
          <cell r="S15375">
            <v>220002</v>
          </cell>
        </row>
        <row r="15376">
          <cell r="K15376" t="str">
            <v>227014</v>
          </cell>
          <cell r="M15376">
            <v>1</v>
          </cell>
          <cell r="R15376">
            <v>45994</v>
          </cell>
          <cell r="S15376">
            <v>227014</v>
          </cell>
        </row>
        <row r="15377">
          <cell r="K15377" t="str">
            <v>228001</v>
          </cell>
          <cell r="M15377">
            <v>1</v>
          </cell>
          <cell r="R15377">
            <v>45994</v>
          </cell>
          <cell r="S15377">
            <v>228001</v>
          </cell>
        </row>
        <row r="15378">
          <cell r="K15378" t="str">
            <v>227001</v>
          </cell>
          <cell r="M15378">
            <v>2</v>
          </cell>
          <cell r="R15378">
            <v>45994</v>
          </cell>
          <cell r="S15378">
            <v>227001</v>
          </cell>
        </row>
        <row r="15379">
          <cell r="K15379" t="str">
            <v>228001</v>
          </cell>
          <cell r="M15379">
            <v>3</v>
          </cell>
          <cell r="R15379">
            <v>45994</v>
          </cell>
          <cell r="S15379">
            <v>228001</v>
          </cell>
        </row>
        <row r="15380">
          <cell r="K15380" t="str">
            <v>210013</v>
          </cell>
          <cell r="M15380">
            <v>2</v>
          </cell>
          <cell r="R15380">
            <v>45994</v>
          </cell>
          <cell r="S15380">
            <v>210013</v>
          </cell>
        </row>
        <row r="15381">
          <cell r="K15381" t="str">
            <v>231012</v>
          </cell>
          <cell r="M15381">
            <v>1</v>
          </cell>
          <cell r="R15381">
            <v>45994</v>
          </cell>
          <cell r="S15381">
            <v>231012</v>
          </cell>
        </row>
        <row r="15382">
          <cell r="K15382" t="str">
            <v>229001</v>
          </cell>
          <cell r="M15382">
            <v>4</v>
          </cell>
          <cell r="R15382">
            <v>45993</v>
          </cell>
          <cell r="S15382">
            <v>229001</v>
          </cell>
        </row>
        <row r="15383">
          <cell r="K15383" t="str">
            <v>213002</v>
          </cell>
          <cell r="M15383">
            <v>1</v>
          </cell>
          <cell r="R15383">
            <v>45994</v>
          </cell>
          <cell r="S15383">
            <v>213002</v>
          </cell>
        </row>
        <row r="15384">
          <cell r="K15384" t="str">
            <v>217018</v>
          </cell>
          <cell r="M15384">
            <v>1</v>
          </cell>
          <cell r="R15384">
            <v>45994</v>
          </cell>
          <cell r="S15384">
            <v>217018</v>
          </cell>
        </row>
        <row r="15385">
          <cell r="K15385" t="str">
            <v>209004</v>
          </cell>
          <cell r="M15385">
            <v>2</v>
          </cell>
          <cell r="R15385">
            <v>45994</v>
          </cell>
          <cell r="S15385">
            <v>209004</v>
          </cell>
        </row>
        <row r="15386">
          <cell r="K15386" t="str">
            <v>228001</v>
          </cell>
          <cell r="M15386">
            <v>2</v>
          </cell>
          <cell r="R15386">
            <v>45994</v>
          </cell>
          <cell r="S15386">
            <v>228001</v>
          </cell>
        </row>
        <row r="15387">
          <cell r="K15387" t="str">
            <v>209004</v>
          </cell>
          <cell r="M15387">
            <v>2</v>
          </cell>
          <cell r="R15387">
            <v>45994</v>
          </cell>
          <cell r="S15387">
            <v>209004</v>
          </cell>
        </row>
        <row r="15388">
          <cell r="K15388" t="str">
            <v>203001</v>
          </cell>
          <cell r="M15388">
            <v>2</v>
          </cell>
          <cell r="R15388">
            <v>45994</v>
          </cell>
          <cell r="S15388">
            <v>203001</v>
          </cell>
        </row>
        <row r="15389">
          <cell r="K15389" t="str">
            <v>223002</v>
          </cell>
          <cell r="M15389">
            <v>2</v>
          </cell>
          <cell r="R15389">
            <v>45993</v>
          </cell>
          <cell r="S15389">
            <v>223002</v>
          </cell>
        </row>
        <row r="15390">
          <cell r="K15390" t="str">
            <v>201001</v>
          </cell>
          <cell r="M15390">
            <v>1</v>
          </cell>
          <cell r="R15390">
            <v>45993</v>
          </cell>
          <cell r="S15390">
            <v>201001</v>
          </cell>
        </row>
        <row r="15391">
          <cell r="K15391" t="str">
            <v>228001</v>
          </cell>
          <cell r="M15391">
            <v>2</v>
          </cell>
          <cell r="R15391">
            <v>45993</v>
          </cell>
          <cell r="S15391">
            <v>228001</v>
          </cell>
        </row>
        <row r="15392">
          <cell r="K15392" t="str">
            <v>209012</v>
          </cell>
          <cell r="M15392">
            <v>1</v>
          </cell>
          <cell r="R15392">
            <v>45993</v>
          </cell>
          <cell r="S15392">
            <v>209012</v>
          </cell>
        </row>
        <row r="15393">
          <cell r="K15393" t="str">
            <v>201001</v>
          </cell>
          <cell r="M15393">
            <v>16</v>
          </cell>
          <cell r="R15393">
            <v>45993</v>
          </cell>
          <cell r="S15393">
            <v>201001</v>
          </cell>
        </row>
        <row r="15394">
          <cell r="K15394" t="str">
            <v>223001</v>
          </cell>
          <cell r="M15394">
            <v>3</v>
          </cell>
          <cell r="R15394">
            <v>45994</v>
          </cell>
          <cell r="S15394">
            <v>223001</v>
          </cell>
        </row>
        <row r="15395">
          <cell r="K15395" t="str">
            <v>241001</v>
          </cell>
          <cell r="M15395">
            <v>2</v>
          </cell>
          <cell r="R15395">
            <v>45994</v>
          </cell>
          <cell r="S15395">
            <v>241001</v>
          </cell>
        </row>
        <row r="15396">
          <cell r="K15396" t="str">
            <v>201001</v>
          </cell>
          <cell r="M15396">
            <v>4</v>
          </cell>
          <cell r="R15396">
            <v>45993</v>
          </cell>
          <cell r="S15396">
            <v>201001</v>
          </cell>
        </row>
        <row r="15397">
          <cell r="K15397" t="str">
            <v>231012</v>
          </cell>
          <cell r="M15397">
            <v>1</v>
          </cell>
          <cell r="R15397">
            <v>45993</v>
          </cell>
          <cell r="S15397">
            <v>231012</v>
          </cell>
        </row>
        <row r="15398">
          <cell r="K15398" t="str">
            <v>228001</v>
          </cell>
          <cell r="M15398">
            <v>1</v>
          </cell>
          <cell r="R15398">
            <v>45994</v>
          </cell>
          <cell r="S15398">
            <v>228001</v>
          </cell>
        </row>
        <row r="15399">
          <cell r="K15399" t="str">
            <v>220003</v>
          </cell>
          <cell r="M15399">
            <v>1</v>
          </cell>
          <cell r="R15399">
            <v>45994</v>
          </cell>
          <cell r="S15399">
            <v>220003</v>
          </cell>
        </row>
        <row r="15400">
          <cell r="K15400" t="str">
            <v>209004</v>
          </cell>
          <cell r="M15400">
            <v>2</v>
          </cell>
          <cell r="R15400">
            <v>45994</v>
          </cell>
          <cell r="S15400">
            <v>209004</v>
          </cell>
        </row>
        <row r="15401">
          <cell r="K15401" t="str">
            <v>227001</v>
          </cell>
          <cell r="M15401">
            <v>2</v>
          </cell>
          <cell r="R15401">
            <v>45994</v>
          </cell>
          <cell r="S15401">
            <v>227001</v>
          </cell>
        </row>
        <row r="15402">
          <cell r="K15402" t="str">
            <v>226001</v>
          </cell>
          <cell r="M15402">
            <v>3</v>
          </cell>
          <cell r="R15402">
            <v>45994</v>
          </cell>
          <cell r="S15402">
            <v>226001</v>
          </cell>
        </row>
        <row r="15403">
          <cell r="K15403" t="str">
            <v>213002</v>
          </cell>
          <cell r="M15403">
            <v>6</v>
          </cell>
          <cell r="R15403">
            <v>45994</v>
          </cell>
          <cell r="S15403">
            <v>213002</v>
          </cell>
        </row>
        <row r="15404">
          <cell r="K15404" t="str">
            <v>201001</v>
          </cell>
          <cell r="M15404">
            <v>1</v>
          </cell>
          <cell r="R15404">
            <v>45994</v>
          </cell>
          <cell r="S15404">
            <v>201001</v>
          </cell>
        </row>
        <row r="15405">
          <cell r="K15405" t="str">
            <v>222001</v>
          </cell>
          <cell r="M15405">
            <v>1</v>
          </cell>
          <cell r="R15405">
            <v>45994</v>
          </cell>
          <cell r="S15405">
            <v>222001</v>
          </cell>
        </row>
        <row r="15406">
          <cell r="K15406" t="str">
            <v>228001</v>
          </cell>
          <cell r="M15406">
            <v>5</v>
          </cell>
          <cell r="R15406">
            <v>45994</v>
          </cell>
          <cell r="S15406">
            <v>228001</v>
          </cell>
        </row>
        <row r="15407">
          <cell r="K15407" t="str">
            <v>201001</v>
          </cell>
          <cell r="M15407">
            <v>6</v>
          </cell>
          <cell r="R15407">
            <v>45994</v>
          </cell>
          <cell r="S15407">
            <v>201001</v>
          </cell>
        </row>
        <row r="15408">
          <cell r="K15408" t="str">
            <v>201001</v>
          </cell>
          <cell r="M15408">
            <v>6</v>
          </cell>
          <cell r="R15408">
            <v>45994</v>
          </cell>
          <cell r="S15408">
            <v>201001</v>
          </cell>
        </row>
        <row r="15409">
          <cell r="K15409" t="str">
            <v>231012</v>
          </cell>
          <cell r="M15409">
            <v>3</v>
          </cell>
          <cell r="R15409">
            <v>45994</v>
          </cell>
          <cell r="S15409">
            <v>231012</v>
          </cell>
        </row>
        <row r="15410">
          <cell r="K15410" t="str">
            <v>231010</v>
          </cell>
          <cell r="M15410">
            <v>3</v>
          </cell>
          <cell r="R15410">
            <v>45994</v>
          </cell>
          <cell r="S15410">
            <v>231010</v>
          </cell>
        </row>
        <row r="15411">
          <cell r="K15411" t="str">
            <v>213006</v>
          </cell>
          <cell r="M15411">
            <v>1</v>
          </cell>
          <cell r="R15411">
            <v>45994</v>
          </cell>
          <cell r="S15411">
            <v>213006</v>
          </cell>
        </row>
        <row r="15412">
          <cell r="K15412" t="str">
            <v>210015</v>
          </cell>
          <cell r="M15412">
            <v>4</v>
          </cell>
          <cell r="R15412">
            <v>45994</v>
          </cell>
          <cell r="S15412">
            <v>210015</v>
          </cell>
        </row>
        <row r="15413">
          <cell r="K15413" t="str">
            <v>213006</v>
          </cell>
          <cell r="M15413">
            <v>1</v>
          </cell>
          <cell r="R15413">
            <v>45994</v>
          </cell>
          <cell r="S15413">
            <v>213006</v>
          </cell>
        </row>
        <row r="15414">
          <cell r="K15414" t="str">
            <v>201001</v>
          </cell>
          <cell r="M15414">
            <v>1</v>
          </cell>
          <cell r="R15414">
            <v>45994</v>
          </cell>
          <cell r="S15414">
            <v>201001</v>
          </cell>
        </row>
        <row r="15415">
          <cell r="K15415" t="str">
            <v>228001</v>
          </cell>
          <cell r="M15415">
            <v>5</v>
          </cell>
          <cell r="R15415">
            <v>45994</v>
          </cell>
          <cell r="S15415">
            <v>228001</v>
          </cell>
        </row>
        <row r="15416">
          <cell r="K15416" t="str">
            <v>209012</v>
          </cell>
          <cell r="M15416">
            <v>3</v>
          </cell>
          <cell r="R15416">
            <v>45994</v>
          </cell>
          <cell r="S15416">
            <v>209012</v>
          </cell>
        </row>
        <row r="15417">
          <cell r="K15417" t="str">
            <v>231012</v>
          </cell>
          <cell r="M15417">
            <v>2</v>
          </cell>
          <cell r="R15417">
            <v>45994</v>
          </cell>
          <cell r="S15417">
            <v>231012</v>
          </cell>
        </row>
        <row r="15418">
          <cell r="K15418" t="str">
            <v>227014</v>
          </cell>
          <cell r="M15418">
            <v>2</v>
          </cell>
          <cell r="R15418">
            <v>45994</v>
          </cell>
          <cell r="S15418">
            <v>227014</v>
          </cell>
        </row>
        <row r="15419">
          <cell r="K15419" t="str">
            <v>227001</v>
          </cell>
          <cell r="M15419">
            <v>1</v>
          </cell>
          <cell r="R15419">
            <v>45994</v>
          </cell>
          <cell r="S15419">
            <v>227001</v>
          </cell>
        </row>
        <row r="15420">
          <cell r="K15420" t="str">
            <v>226001</v>
          </cell>
          <cell r="M15420">
            <v>1</v>
          </cell>
          <cell r="R15420">
            <v>45994</v>
          </cell>
          <cell r="S15420">
            <v>226001</v>
          </cell>
        </row>
        <row r="15421">
          <cell r="K15421" t="str">
            <v>226001</v>
          </cell>
          <cell r="M15421">
            <v>2</v>
          </cell>
          <cell r="R15421">
            <v>45994</v>
          </cell>
          <cell r="S15421">
            <v>226001</v>
          </cell>
        </row>
        <row r="15422">
          <cell r="K15422" t="str">
            <v>209017</v>
          </cell>
          <cell r="M15422">
            <v>1</v>
          </cell>
          <cell r="R15422">
            <v>45994</v>
          </cell>
          <cell r="S15422">
            <v>209017</v>
          </cell>
        </row>
        <row r="15423">
          <cell r="K15423" t="str">
            <v>209012</v>
          </cell>
          <cell r="M15423">
            <v>1</v>
          </cell>
          <cell r="R15423">
            <v>45994</v>
          </cell>
          <cell r="S15423">
            <v>209012</v>
          </cell>
        </row>
        <row r="15424">
          <cell r="K15424" t="str">
            <v>227001</v>
          </cell>
          <cell r="M15424">
            <v>2</v>
          </cell>
          <cell r="R15424">
            <v>45994</v>
          </cell>
          <cell r="S15424">
            <v>227001</v>
          </cell>
        </row>
        <row r="15425">
          <cell r="K15425" t="str">
            <v>220002</v>
          </cell>
          <cell r="M15425">
            <v>1</v>
          </cell>
          <cell r="R15425">
            <v>45994</v>
          </cell>
          <cell r="S15425">
            <v>220002</v>
          </cell>
        </row>
        <row r="15426">
          <cell r="K15426" t="str">
            <v>209016</v>
          </cell>
          <cell r="M15426">
            <v>1</v>
          </cell>
          <cell r="R15426">
            <v>45994</v>
          </cell>
          <cell r="S15426">
            <v>209016</v>
          </cell>
        </row>
        <row r="15427">
          <cell r="K15427" t="str">
            <v>209001</v>
          </cell>
          <cell r="M15427">
            <v>1</v>
          </cell>
          <cell r="R15427">
            <v>45994</v>
          </cell>
          <cell r="S15427">
            <v>209001</v>
          </cell>
        </row>
        <row r="15428">
          <cell r="K15428" t="str">
            <v>210014</v>
          </cell>
          <cell r="M15428">
            <v>4</v>
          </cell>
          <cell r="R15428">
            <v>45994</v>
          </cell>
          <cell r="S15428">
            <v>210014</v>
          </cell>
        </row>
        <row r="15429">
          <cell r="K15429" t="str">
            <v>223002</v>
          </cell>
          <cell r="M15429">
            <v>2</v>
          </cell>
          <cell r="R15429">
            <v>45994</v>
          </cell>
          <cell r="S15429">
            <v>223002</v>
          </cell>
        </row>
        <row r="15430">
          <cell r="K15430" t="str">
            <v>227012</v>
          </cell>
          <cell r="M15430">
            <v>1</v>
          </cell>
          <cell r="R15430">
            <v>45994</v>
          </cell>
          <cell r="S15430">
            <v>227012</v>
          </cell>
        </row>
        <row r="15431">
          <cell r="K15431" t="str">
            <v>231012</v>
          </cell>
          <cell r="M15431">
            <v>1</v>
          </cell>
          <cell r="R15431">
            <v>45994</v>
          </cell>
          <cell r="S15431">
            <v>231012</v>
          </cell>
        </row>
        <row r="15432">
          <cell r="K15432" t="str">
            <v>212002</v>
          </cell>
          <cell r="M15432">
            <v>1</v>
          </cell>
          <cell r="R15432">
            <v>45994</v>
          </cell>
          <cell r="S15432">
            <v>212002</v>
          </cell>
        </row>
        <row r="15433">
          <cell r="K15433" t="str">
            <v>223001</v>
          </cell>
          <cell r="M15433">
            <v>12</v>
          </cell>
          <cell r="R15433">
            <v>45994</v>
          </cell>
          <cell r="S15433">
            <v>223001</v>
          </cell>
        </row>
        <row r="15434">
          <cell r="K15434" t="str">
            <v>223003</v>
          </cell>
          <cell r="M15434">
            <v>6</v>
          </cell>
          <cell r="R15434">
            <v>45994</v>
          </cell>
          <cell r="S15434">
            <v>223003</v>
          </cell>
        </row>
        <row r="15435">
          <cell r="K15435" t="str">
            <v>223006</v>
          </cell>
          <cell r="M15435">
            <v>6</v>
          </cell>
          <cell r="R15435">
            <v>45994</v>
          </cell>
          <cell r="S15435">
            <v>223006</v>
          </cell>
        </row>
        <row r="15436">
          <cell r="K15436" t="str">
            <v>223002</v>
          </cell>
          <cell r="M15436">
            <v>6</v>
          </cell>
          <cell r="R15436">
            <v>45994</v>
          </cell>
          <cell r="S15436">
            <v>223002</v>
          </cell>
        </row>
        <row r="15437">
          <cell r="K15437" t="str">
            <v>213002</v>
          </cell>
          <cell r="M15437">
            <v>4</v>
          </cell>
          <cell r="R15437">
            <v>45994</v>
          </cell>
          <cell r="S15437">
            <v>213002</v>
          </cell>
        </row>
        <row r="15438">
          <cell r="K15438" t="str">
            <v>227012</v>
          </cell>
          <cell r="M15438">
            <v>1</v>
          </cell>
          <cell r="R15438">
            <v>45994</v>
          </cell>
          <cell r="S15438">
            <v>227012</v>
          </cell>
        </row>
        <row r="15439">
          <cell r="K15439" t="str">
            <v>217018</v>
          </cell>
          <cell r="M15439">
            <v>4</v>
          </cell>
          <cell r="R15439">
            <v>45994</v>
          </cell>
          <cell r="S15439">
            <v>217018</v>
          </cell>
        </row>
        <row r="15440">
          <cell r="K15440" t="str">
            <v>223002</v>
          </cell>
          <cell r="M15440">
            <v>2</v>
          </cell>
          <cell r="R15440">
            <v>45994</v>
          </cell>
          <cell r="S15440">
            <v>223002</v>
          </cell>
        </row>
        <row r="15441">
          <cell r="K15441" t="str">
            <v>227012</v>
          </cell>
          <cell r="M15441">
            <v>1</v>
          </cell>
          <cell r="R15441">
            <v>45994</v>
          </cell>
          <cell r="S15441">
            <v>227012</v>
          </cell>
        </row>
        <row r="15442">
          <cell r="K15442" t="str">
            <v>223002</v>
          </cell>
          <cell r="M15442">
            <v>1</v>
          </cell>
          <cell r="R15442">
            <v>45994</v>
          </cell>
          <cell r="S15442">
            <v>223002</v>
          </cell>
        </row>
        <row r="15443">
          <cell r="K15443" t="str">
            <v>223001</v>
          </cell>
          <cell r="M15443">
            <v>1</v>
          </cell>
          <cell r="R15443">
            <v>45994</v>
          </cell>
          <cell r="S15443">
            <v>223001</v>
          </cell>
        </row>
        <row r="15444">
          <cell r="K15444" t="str">
            <v>227001</v>
          </cell>
          <cell r="M15444">
            <v>2</v>
          </cell>
          <cell r="R15444">
            <v>45994</v>
          </cell>
          <cell r="S15444">
            <v>227001</v>
          </cell>
        </row>
        <row r="15445">
          <cell r="K15445" t="str">
            <v>201001</v>
          </cell>
          <cell r="M15445">
            <v>1</v>
          </cell>
          <cell r="R15445">
            <v>45994</v>
          </cell>
          <cell r="S15445">
            <v>201001</v>
          </cell>
        </row>
        <row r="15446">
          <cell r="K15446" t="str">
            <v>201022</v>
          </cell>
          <cell r="M15446">
            <v>1</v>
          </cell>
          <cell r="R15446">
            <v>45994</v>
          </cell>
          <cell r="S15446">
            <v>201022</v>
          </cell>
        </row>
        <row r="15447">
          <cell r="K15447" t="str">
            <v>271002</v>
          </cell>
          <cell r="M15447">
            <v>1</v>
          </cell>
          <cell r="R15447">
            <v>45994</v>
          </cell>
          <cell r="S15447">
            <v>271002</v>
          </cell>
        </row>
        <row r="15448">
          <cell r="K15448" t="str">
            <v>222001</v>
          </cell>
          <cell r="M15448">
            <v>1</v>
          </cell>
          <cell r="R15448">
            <v>45994</v>
          </cell>
          <cell r="S15448">
            <v>222001</v>
          </cell>
        </row>
        <row r="15449">
          <cell r="K15449" t="str">
            <v>234011</v>
          </cell>
          <cell r="M15449">
            <v>1</v>
          </cell>
          <cell r="R15449">
            <v>45994</v>
          </cell>
          <cell r="S15449">
            <v>234011</v>
          </cell>
        </row>
        <row r="15450">
          <cell r="K15450" t="str">
            <v>234001</v>
          </cell>
          <cell r="M15450">
            <v>1</v>
          </cell>
          <cell r="R15450">
            <v>45994</v>
          </cell>
          <cell r="S15450">
            <v>234001</v>
          </cell>
        </row>
        <row r="15451">
          <cell r="K15451" t="str">
            <v>205004</v>
          </cell>
          <cell r="M15451">
            <v>1</v>
          </cell>
          <cell r="R15451">
            <v>45994</v>
          </cell>
          <cell r="S15451">
            <v>205004</v>
          </cell>
        </row>
        <row r="15452">
          <cell r="K15452" t="str">
            <v>209012</v>
          </cell>
          <cell r="M15452">
            <v>1</v>
          </cell>
          <cell r="R15452">
            <v>45995</v>
          </cell>
          <cell r="S15452">
            <v>209012</v>
          </cell>
        </row>
        <row r="15453">
          <cell r="K15453" t="str">
            <v>228001</v>
          </cell>
          <cell r="M15453">
            <v>1</v>
          </cell>
          <cell r="R15453">
            <v>45994</v>
          </cell>
          <cell r="S15453">
            <v>228001</v>
          </cell>
        </row>
        <row r="15454">
          <cell r="K15454" t="str">
            <v>209016</v>
          </cell>
          <cell r="M15454">
            <v>1</v>
          </cell>
          <cell r="R15454">
            <v>45994</v>
          </cell>
          <cell r="S15454">
            <v>209016</v>
          </cell>
        </row>
        <row r="15455">
          <cell r="K15455" t="str">
            <v>210015</v>
          </cell>
          <cell r="M15455">
            <v>1</v>
          </cell>
          <cell r="R15455">
            <v>45994</v>
          </cell>
          <cell r="S15455">
            <v>210015</v>
          </cell>
        </row>
        <row r="15456">
          <cell r="K15456" t="str">
            <v>213002</v>
          </cell>
          <cell r="M15456">
            <v>2</v>
          </cell>
          <cell r="R15456">
            <v>45994</v>
          </cell>
          <cell r="S15456">
            <v>213002</v>
          </cell>
        </row>
        <row r="15457">
          <cell r="K15457" t="str">
            <v>201024</v>
          </cell>
          <cell r="M15457">
            <v>1</v>
          </cell>
          <cell r="R15457">
            <v>45994</v>
          </cell>
          <cell r="S15457">
            <v>201024</v>
          </cell>
        </row>
        <row r="15458">
          <cell r="K15458" t="str">
            <v>227001</v>
          </cell>
          <cell r="M15458">
            <v>1</v>
          </cell>
          <cell r="R15458">
            <v>45994</v>
          </cell>
          <cell r="S15458">
            <v>227001</v>
          </cell>
        </row>
        <row r="15459">
          <cell r="K15459" t="str">
            <v>223002</v>
          </cell>
          <cell r="M15459">
            <v>8</v>
          </cell>
          <cell r="R15459">
            <v>45994</v>
          </cell>
          <cell r="S15459">
            <v>223002</v>
          </cell>
        </row>
        <row r="15460">
          <cell r="K15460" t="str">
            <v>201024</v>
          </cell>
          <cell r="M15460">
            <v>6</v>
          </cell>
          <cell r="R15460">
            <v>45994</v>
          </cell>
          <cell r="S15460">
            <v>201024</v>
          </cell>
        </row>
        <row r="15461">
          <cell r="K15461" t="str">
            <v>228001</v>
          </cell>
          <cell r="M15461">
            <v>4</v>
          </cell>
          <cell r="R15461">
            <v>45994</v>
          </cell>
          <cell r="S15461">
            <v>228001</v>
          </cell>
        </row>
        <row r="15462">
          <cell r="K15462" t="str">
            <v>212035</v>
          </cell>
          <cell r="M15462">
            <v>1</v>
          </cell>
          <cell r="R15462">
            <v>45994</v>
          </cell>
          <cell r="S15462">
            <v>212035</v>
          </cell>
        </row>
        <row r="15463">
          <cell r="K15463" t="str">
            <v>201001</v>
          </cell>
          <cell r="M15463">
            <v>20</v>
          </cell>
          <cell r="R15463">
            <v>45994</v>
          </cell>
          <cell r="S15463">
            <v>201001</v>
          </cell>
        </row>
        <row r="15464">
          <cell r="K15464" t="str">
            <v>228001</v>
          </cell>
          <cell r="M15464">
            <v>1</v>
          </cell>
          <cell r="R15464">
            <v>45994</v>
          </cell>
          <cell r="S15464">
            <v>228001</v>
          </cell>
        </row>
        <row r="15465">
          <cell r="K15465" t="str">
            <v>229004</v>
          </cell>
          <cell r="M15465">
            <v>4</v>
          </cell>
          <cell r="R15465">
            <v>45994</v>
          </cell>
          <cell r="S15465">
            <v>229004</v>
          </cell>
        </row>
        <row r="15466">
          <cell r="K15466" t="str">
            <v>212035</v>
          </cell>
          <cell r="M15466">
            <v>3</v>
          </cell>
          <cell r="R15466">
            <v>45995</v>
          </cell>
          <cell r="S15466">
            <v>212035</v>
          </cell>
        </row>
        <row r="15467">
          <cell r="K15467" t="str">
            <v>237001</v>
          </cell>
          <cell r="M15467">
            <v>1</v>
          </cell>
          <cell r="R15467">
            <v>45995</v>
          </cell>
          <cell r="S15467">
            <v>237001</v>
          </cell>
        </row>
        <row r="15468">
          <cell r="K15468" t="str">
            <v>209012</v>
          </cell>
          <cell r="M15468">
            <v>4</v>
          </cell>
          <cell r="R15468">
            <v>45995</v>
          </cell>
          <cell r="S15468">
            <v>209012</v>
          </cell>
        </row>
        <row r="15469">
          <cell r="K15469" t="str">
            <v>228001</v>
          </cell>
          <cell r="M15469">
            <v>4</v>
          </cell>
          <cell r="R15469">
            <v>45995</v>
          </cell>
          <cell r="S15469">
            <v>228001</v>
          </cell>
        </row>
        <row r="15470">
          <cell r="K15470" t="str">
            <v>228001</v>
          </cell>
          <cell r="M15470">
            <v>10</v>
          </cell>
          <cell r="R15470">
            <v>45995</v>
          </cell>
          <cell r="S15470">
            <v>228001</v>
          </cell>
        </row>
        <row r="15471">
          <cell r="K15471" t="str">
            <v>228001</v>
          </cell>
          <cell r="M15471">
            <v>12</v>
          </cell>
          <cell r="R15471">
            <v>45995</v>
          </cell>
          <cell r="S15471">
            <v>228001</v>
          </cell>
        </row>
        <row r="15472">
          <cell r="K15472" t="str">
            <v>220002</v>
          </cell>
          <cell r="M15472">
            <v>5</v>
          </cell>
          <cell r="R15472">
            <v>45995</v>
          </cell>
          <cell r="S15472">
            <v>220002</v>
          </cell>
        </row>
        <row r="15473">
          <cell r="K15473" t="str">
            <v>227014</v>
          </cell>
          <cell r="M15473">
            <v>2</v>
          </cell>
          <cell r="R15473">
            <v>45995</v>
          </cell>
          <cell r="S15473">
            <v>227014</v>
          </cell>
        </row>
        <row r="15474">
          <cell r="K15474" t="str">
            <v>220002</v>
          </cell>
          <cell r="M15474">
            <v>2</v>
          </cell>
          <cell r="R15474">
            <v>45995</v>
          </cell>
          <cell r="S15474">
            <v>220002</v>
          </cell>
        </row>
        <row r="15475">
          <cell r="K15475" t="str">
            <v>217011</v>
          </cell>
          <cell r="M15475">
            <v>1</v>
          </cell>
          <cell r="R15475">
            <v>45995</v>
          </cell>
          <cell r="S15475">
            <v>217011</v>
          </cell>
        </row>
        <row r="15476">
          <cell r="K15476" t="str">
            <v>228001</v>
          </cell>
          <cell r="M15476">
            <v>1</v>
          </cell>
          <cell r="R15476">
            <v>45995</v>
          </cell>
          <cell r="S15476">
            <v>228001</v>
          </cell>
        </row>
        <row r="15477">
          <cell r="K15477" t="str">
            <v>220002</v>
          </cell>
          <cell r="M15477">
            <v>1</v>
          </cell>
          <cell r="R15477">
            <v>45995</v>
          </cell>
          <cell r="S15477">
            <v>220002</v>
          </cell>
        </row>
        <row r="15478">
          <cell r="K15478" t="str">
            <v>227014</v>
          </cell>
          <cell r="M15478">
            <v>5</v>
          </cell>
          <cell r="R15478">
            <v>45995</v>
          </cell>
          <cell r="S15478">
            <v>227014</v>
          </cell>
        </row>
        <row r="15479">
          <cell r="K15479" t="str">
            <v>226001</v>
          </cell>
          <cell r="M15479">
            <v>1</v>
          </cell>
          <cell r="R15479">
            <v>45995</v>
          </cell>
          <cell r="S15479">
            <v>226001</v>
          </cell>
        </row>
        <row r="15480">
          <cell r="K15480" t="str">
            <v>227012</v>
          </cell>
          <cell r="M15480">
            <v>2</v>
          </cell>
          <cell r="R15480">
            <v>45995</v>
          </cell>
          <cell r="S15480">
            <v>227012</v>
          </cell>
        </row>
        <row r="15481">
          <cell r="K15481" t="str">
            <v>226001</v>
          </cell>
          <cell r="M15481">
            <v>1</v>
          </cell>
          <cell r="R15481">
            <v>45995</v>
          </cell>
          <cell r="S15481">
            <v>226001</v>
          </cell>
        </row>
        <row r="15482">
          <cell r="K15482" t="str">
            <v>209004</v>
          </cell>
          <cell r="M15482">
            <v>2</v>
          </cell>
          <cell r="R15482">
            <v>45995</v>
          </cell>
          <cell r="S15482">
            <v>209004</v>
          </cell>
        </row>
        <row r="15483">
          <cell r="K15483" t="str">
            <v>228001</v>
          </cell>
          <cell r="M15483">
            <v>2</v>
          </cell>
          <cell r="R15483">
            <v>45995</v>
          </cell>
          <cell r="S15483">
            <v>228001</v>
          </cell>
        </row>
        <row r="15484">
          <cell r="K15484" t="str">
            <v>217011</v>
          </cell>
          <cell r="M15484">
            <v>2</v>
          </cell>
          <cell r="R15484">
            <v>45995</v>
          </cell>
          <cell r="S15484">
            <v>217011</v>
          </cell>
        </row>
        <row r="15485">
          <cell r="K15485" t="str">
            <v>226001</v>
          </cell>
          <cell r="M15485">
            <v>5</v>
          </cell>
          <cell r="R15485">
            <v>45995</v>
          </cell>
          <cell r="S15485">
            <v>226001</v>
          </cell>
        </row>
        <row r="15486">
          <cell r="K15486" t="str">
            <v>241001</v>
          </cell>
          <cell r="M15486">
            <v>2</v>
          </cell>
          <cell r="R15486">
            <v>45995</v>
          </cell>
          <cell r="S15486">
            <v>241001</v>
          </cell>
        </row>
        <row r="15487">
          <cell r="K15487" t="str">
            <v>222001</v>
          </cell>
          <cell r="M15487">
            <v>4</v>
          </cell>
          <cell r="R15487">
            <v>45995</v>
          </cell>
          <cell r="S15487">
            <v>222001</v>
          </cell>
        </row>
        <row r="15488">
          <cell r="K15488" t="str">
            <v>222007</v>
          </cell>
          <cell r="M15488">
            <v>3</v>
          </cell>
          <cell r="R15488">
            <v>45995</v>
          </cell>
          <cell r="S15488">
            <v>222007</v>
          </cell>
        </row>
        <row r="15489">
          <cell r="K15489" t="str">
            <v>241001</v>
          </cell>
          <cell r="M15489">
            <v>10</v>
          </cell>
          <cell r="R15489">
            <v>45995</v>
          </cell>
          <cell r="S15489">
            <v>241001</v>
          </cell>
        </row>
        <row r="15490">
          <cell r="K15490" t="str">
            <v>205004</v>
          </cell>
          <cell r="M15490">
            <v>1</v>
          </cell>
          <cell r="R15490">
            <v>45995</v>
          </cell>
          <cell r="S15490">
            <v>205004</v>
          </cell>
        </row>
        <row r="15491">
          <cell r="K15491" t="str">
            <v>223002</v>
          </cell>
          <cell r="M15491">
            <v>2</v>
          </cell>
          <cell r="R15491">
            <v>45995</v>
          </cell>
          <cell r="S15491">
            <v>223002</v>
          </cell>
        </row>
        <row r="15492">
          <cell r="K15492" t="str">
            <v>228001</v>
          </cell>
          <cell r="M15492">
            <v>12</v>
          </cell>
          <cell r="R15492">
            <v>45995</v>
          </cell>
          <cell r="S15492">
            <v>228001</v>
          </cell>
        </row>
        <row r="15493">
          <cell r="K15493" t="str">
            <v>201011</v>
          </cell>
          <cell r="M15493">
            <v>1</v>
          </cell>
          <cell r="R15493">
            <v>45995</v>
          </cell>
          <cell r="S15493">
            <v>201011</v>
          </cell>
        </row>
        <row r="15494">
          <cell r="K15494" t="str">
            <v>228001</v>
          </cell>
          <cell r="M15494">
            <v>1</v>
          </cell>
          <cell r="R15494">
            <v>45995</v>
          </cell>
          <cell r="S15494">
            <v>228001</v>
          </cell>
        </row>
        <row r="15495">
          <cell r="K15495" t="str">
            <v>231010</v>
          </cell>
          <cell r="M15495">
            <v>1</v>
          </cell>
          <cell r="R15495">
            <v>45995</v>
          </cell>
          <cell r="S15495">
            <v>231010</v>
          </cell>
        </row>
        <row r="15496">
          <cell r="K15496" t="str">
            <v>209001</v>
          </cell>
          <cell r="M15496">
            <v>1</v>
          </cell>
          <cell r="R15496">
            <v>45995</v>
          </cell>
          <cell r="S15496">
            <v>209001</v>
          </cell>
        </row>
        <row r="15497">
          <cell r="K15497" t="str">
            <v>203001</v>
          </cell>
          <cell r="M15497">
            <v>4</v>
          </cell>
          <cell r="R15497">
            <v>45995</v>
          </cell>
          <cell r="S15497">
            <v>203001</v>
          </cell>
        </row>
        <row r="15498">
          <cell r="K15498" t="str">
            <v>218003</v>
          </cell>
          <cell r="M15498">
            <v>1</v>
          </cell>
          <cell r="R15498">
            <v>45995</v>
          </cell>
          <cell r="S15498">
            <v>218003</v>
          </cell>
        </row>
        <row r="15499">
          <cell r="K15499" t="str">
            <v>208001</v>
          </cell>
          <cell r="M15499">
            <v>1</v>
          </cell>
          <cell r="R15499">
            <v>45995</v>
          </cell>
          <cell r="S15499">
            <v>208001</v>
          </cell>
        </row>
        <row r="15500">
          <cell r="K15500" t="str">
            <v>206002</v>
          </cell>
          <cell r="M15500">
            <v>1</v>
          </cell>
          <cell r="R15500">
            <v>45995</v>
          </cell>
          <cell r="S15500">
            <v>206002</v>
          </cell>
        </row>
        <row r="15501">
          <cell r="K15501" t="str">
            <v>217018</v>
          </cell>
          <cell r="M15501">
            <v>1</v>
          </cell>
          <cell r="R15501">
            <v>45995</v>
          </cell>
          <cell r="S15501">
            <v>217018</v>
          </cell>
        </row>
        <row r="15502">
          <cell r="K15502" t="str">
            <v>201001</v>
          </cell>
          <cell r="M15502">
            <v>2</v>
          </cell>
          <cell r="R15502">
            <v>45995</v>
          </cell>
          <cell r="S15502">
            <v>201001</v>
          </cell>
        </row>
        <row r="15503">
          <cell r="K15503" t="str">
            <v>271002</v>
          </cell>
          <cell r="M15503">
            <v>1</v>
          </cell>
          <cell r="R15503">
            <v>45995</v>
          </cell>
          <cell r="S15503">
            <v>271002</v>
          </cell>
        </row>
        <row r="15504">
          <cell r="K15504" t="str">
            <v>241001</v>
          </cell>
          <cell r="M15504">
            <v>1</v>
          </cell>
          <cell r="R15504">
            <v>45995</v>
          </cell>
          <cell r="S15504">
            <v>241001</v>
          </cell>
        </row>
        <row r="15505">
          <cell r="K15505" t="str">
            <v>234011</v>
          </cell>
          <cell r="M15505">
            <v>1</v>
          </cell>
          <cell r="R15505">
            <v>45995</v>
          </cell>
          <cell r="S15505">
            <v>234011</v>
          </cell>
        </row>
        <row r="15506">
          <cell r="K15506" t="str">
            <v>223001</v>
          </cell>
          <cell r="M15506">
            <v>1</v>
          </cell>
          <cell r="R15506">
            <v>45995</v>
          </cell>
          <cell r="S15506">
            <v>223001</v>
          </cell>
        </row>
        <row r="15507">
          <cell r="K15507" t="str">
            <v>210015</v>
          </cell>
          <cell r="M15507">
            <v>2</v>
          </cell>
          <cell r="R15507">
            <v>45995</v>
          </cell>
          <cell r="S15507">
            <v>210015</v>
          </cell>
        </row>
        <row r="15508">
          <cell r="K15508" t="str">
            <v>217019</v>
          </cell>
          <cell r="M15508">
            <v>8</v>
          </cell>
          <cell r="R15508">
            <v>45996</v>
          </cell>
          <cell r="S15508">
            <v>217019</v>
          </cell>
        </row>
        <row r="15509">
          <cell r="K15509" t="str">
            <v>209001</v>
          </cell>
          <cell r="M15509">
            <v>2</v>
          </cell>
          <cell r="R15509">
            <v>45996</v>
          </cell>
          <cell r="S15509">
            <v>209001</v>
          </cell>
        </row>
        <row r="15510">
          <cell r="K15510" t="str">
            <v>217011</v>
          </cell>
          <cell r="M15510">
            <v>1</v>
          </cell>
          <cell r="R15510">
            <v>45996</v>
          </cell>
          <cell r="S15510">
            <v>217011</v>
          </cell>
        </row>
        <row r="15511">
          <cell r="K15511" t="str">
            <v>217011</v>
          </cell>
          <cell r="M15511">
            <v>1</v>
          </cell>
          <cell r="R15511">
            <v>45996</v>
          </cell>
          <cell r="S15511">
            <v>217011</v>
          </cell>
        </row>
        <row r="15512">
          <cell r="K15512" t="str">
            <v>231010</v>
          </cell>
          <cell r="M15512">
            <v>1</v>
          </cell>
          <cell r="R15512">
            <v>45996</v>
          </cell>
          <cell r="S15512">
            <v>231010</v>
          </cell>
        </row>
        <row r="15513">
          <cell r="K15513" t="str">
            <v>213002</v>
          </cell>
          <cell r="M15513">
            <v>3</v>
          </cell>
          <cell r="R15513">
            <v>45996</v>
          </cell>
          <cell r="S15513">
            <v>213002</v>
          </cell>
        </row>
        <row r="15514">
          <cell r="K15514" t="str">
            <v>228001</v>
          </cell>
          <cell r="M15514">
            <v>1</v>
          </cell>
          <cell r="R15514">
            <v>45996</v>
          </cell>
          <cell r="S15514">
            <v>228001</v>
          </cell>
        </row>
        <row r="15515">
          <cell r="K15515" t="str">
            <v>220003</v>
          </cell>
          <cell r="M15515">
            <v>1</v>
          </cell>
          <cell r="R15515">
            <v>45996</v>
          </cell>
          <cell r="S15515">
            <v>220003</v>
          </cell>
        </row>
        <row r="15516">
          <cell r="K15516" t="str">
            <v>226025</v>
          </cell>
          <cell r="M15516">
            <v>2</v>
          </cell>
          <cell r="R15516">
            <v>45996</v>
          </cell>
          <cell r="S15516">
            <v>226025</v>
          </cell>
        </row>
        <row r="15517">
          <cell r="K15517" t="str">
            <v>213002</v>
          </cell>
          <cell r="M15517">
            <v>1</v>
          </cell>
          <cell r="R15517">
            <v>45995</v>
          </cell>
          <cell r="S15517">
            <v>213002</v>
          </cell>
        </row>
        <row r="15518">
          <cell r="K15518" t="str">
            <v>241001</v>
          </cell>
          <cell r="M15518">
            <v>3</v>
          </cell>
          <cell r="R15518">
            <v>45995</v>
          </cell>
          <cell r="S15518">
            <v>241001</v>
          </cell>
        </row>
        <row r="15519">
          <cell r="K15519" t="str">
            <v>201001</v>
          </cell>
          <cell r="M15519">
            <v>2</v>
          </cell>
          <cell r="R15519">
            <v>45996</v>
          </cell>
          <cell r="S15519">
            <v>201001</v>
          </cell>
        </row>
        <row r="15520">
          <cell r="K15520" t="str">
            <v>223001</v>
          </cell>
          <cell r="M15520">
            <v>1</v>
          </cell>
          <cell r="R15520">
            <v>45996</v>
          </cell>
          <cell r="S15520">
            <v>223001</v>
          </cell>
        </row>
        <row r="15521">
          <cell r="K15521" t="str">
            <v>223002</v>
          </cell>
          <cell r="M15521">
            <v>1</v>
          </cell>
          <cell r="R15521">
            <v>45996</v>
          </cell>
          <cell r="S15521">
            <v>223002</v>
          </cell>
        </row>
        <row r="15522">
          <cell r="K15522" t="str">
            <v>201001</v>
          </cell>
          <cell r="M15522">
            <v>3</v>
          </cell>
          <cell r="R15522">
            <v>45995</v>
          </cell>
          <cell r="S15522">
            <v>201001</v>
          </cell>
        </row>
        <row r="15523">
          <cell r="K15523" t="str">
            <v>201027</v>
          </cell>
          <cell r="M15523">
            <v>2</v>
          </cell>
          <cell r="R15523">
            <v>45996</v>
          </cell>
          <cell r="S15523">
            <v>201027</v>
          </cell>
        </row>
        <row r="15524">
          <cell r="K15524" t="str">
            <v>231012</v>
          </cell>
          <cell r="M15524">
            <v>1</v>
          </cell>
          <cell r="R15524">
            <v>45996</v>
          </cell>
          <cell r="S15524">
            <v>231012</v>
          </cell>
        </row>
        <row r="15525">
          <cell r="K15525" t="str">
            <v>227002</v>
          </cell>
          <cell r="M15525">
            <v>1</v>
          </cell>
          <cell r="R15525">
            <v>45996</v>
          </cell>
          <cell r="S15525">
            <v>227002</v>
          </cell>
        </row>
        <row r="15526">
          <cell r="K15526" t="str">
            <v>217011</v>
          </cell>
          <cell r="M15526">
            <v>1</v>
          </cell>
          <cell r="R15526">
            <v>45996</v>
          </cell>
          <cell r="S15526">
            <v>217011</v>
          </cell>
        </row>
        <row r="15527">
          <cell r="K15527" t="str">
            <v>227012</v>
          </cell>
          <cell r="M15527">
            <v>1</v>
          </cell>
          <cell r="R15527">
            <v>45996</v>
          </cell>
          <cell r="S15527">
            <v>227012</v>
          </cell>
        </row>
        <row r="15528">
          <cell r="K15528" t="str">
            <v>228001</v>
          </cell>
          <cell r="M15528">
            <v>1</v>
          </cell>
          <cell r="R15528">
            <v>45996</v>
          </cell>
          <cell r="S15528">
            <v>228001</v>
          </cell>
        </row>
        <row r="15529">
          <cell r="K15529" t="str">
            <v>212002</v>
          </cell>
          <cell r="M15529">
            <v>1</v>
          </cell>
          <cell r="R15529">
            <v>45996</v>
          </cell>
          <cell r="S15529">
            <v>212002</v>
          </cell>
        </row>
        <row r="15530">
          <cell r="K15530" t="str">
            <v>207017</v>
          </cell>
          <cell r="M15530">
            <v>1</v>
          </cell>
          <cell r="R15530">
            <v>45996</v>
          </cell>
          <cell r="S15530">
            <v>207017</v>
          </cell>
        </row>
        <row r="15531">
          <cell r="K15531" t="str">
            <v>223002</v>
          </cell>
          <cell r="M15531">
            <v>3</v>
          </cell>
          <cell r="R15531">
            <v>45995</v>
          </cell>
          <cell r="S15531">
            <v>223002</v>
          </cell>
        </row>
        <row r="15532">
          <cell r="K15532" t="str">
            <v>223001</v>
          </cell>
          <cell r="M15532">
            <v>3</v>
          </cell>
          <cell r="R15532">
            <v>45995</v>
          </cell>
          <cell r="S15532">
            <v>223001</v>
          </cell>
        </row>
        <row r="15533">
          <cell r="K15533" t="str">
            <v>201024</v>
          </cell>
          <cell r="M15533">
            <v>5</v>
          </cell>
          <cell r="R15533">
            <v>45995</v>
          </cell>
          <cell r="S15533">
            <v>201024</v>
          </cell>
        </row>
        <row r="15534">
          <cell r="K15534" t="str">
            <v>209004</v>
          </cell>
          <cell r="M15534">
            <v>1</v>
          </cell>
          <cell r="R15534">
            <v>45996</v>
          </cell>
          <cell r="S15534">
            <v>209004</v>
          </cell>
        </row>
        <row r="15535">
          <cell r="K15535" t="str">
            <v>213002</v>
          </cell>
          <cell r="M15535">
            <v>15</v>
          </cell>
          <cell r="R15535">
            <v>45996</v>
          </cell>
          <cell r="S15535">
            <v>213002</v>
          </cell>
        </row>
        <row r="15536">
          <cell r="K15536" t="str">
            <v>223002</v>
          </cell>
          <cell r="M15536">
            <v>5</v>
          </cell>
          <cell r="R15536">
            <v>45996</v>
          </cell>
          <cell r="S15536">
            <v>223002</v>
          </cell>
        </row>
        <row r="15537">
          <cell r="K15537" t="str">
            <v>228001</v>
          </cell>
          <cell r="M15537">
            <v>2</v>
          </cell>
          <cell r="R15537">
            <v>45996</v>
          </cell>
          <cell r="S15537">
            <v>228001</v>
          </cell>
        </row>
        <row r="15538">
          <cell r="K15538" t="str">
            <v>228001</v>
          </cell>
          <cell r="M15538">
            <v>1</v>
          </cell>
          <cell r="R15538">
            <v>45996</v>
          </cell>
          <cell r="S15538">
            <v>228001</v>
          </cell>
        </row>
        <row r="15539">
          <cell r="K15539" t="str">
            <v>210015</v>
          </cell>
          <cell r="M15539">
            <v>4</v>
          </cell>
          <cell r="R15539">
            <v>45996</v>
          </cell>
          <cell r="S15539">
            <v>210015</v>
          </cell>
        </row>
        <row r="15540">
          <cell r="K15540" t="str">
            <v>212002</v>
          </cell>
          <cell r="M15540">
            <v>1</v>
          </cell>
          <cell r="R15540">
            <v>45996</v>
          </cell>
          <cell r="S15540">
            <v>212002</v>
          </cell>
        </row>
        <row r="15541">
          <cell r="K15541" t="str">
            <v>209001</v>
          </cell>
          <cell r="M15541">
            <v>1</v>
          </cell>
          <cell r="R15541">
            <v>45996</v>
          </cell>
          <cell r="S15541">
            <v>209001</v>
          </cell>
        </row>
        <row r="15542">
          <cell r="K15542" t="str">
            <v>203003</v>
          </cell>
          <cell r="M15542">
            <v>1</v>
          </cell>
          <cell r="R15542">
            <v>45996</v>
          </cell>
          <cell r="S15542">
            <v>203003</v>
          </cell>
        </row>
        <row r="15543">
          <cell r="K15543" t="str">
            <v>234011</v>
          </cell>
          <cell r="M15543">
            <v>1</v>
          </cell>
          <cell r="R15543">
            <v>45996</v>
          </cell>
          <cell r="S15543">
            <v>234011</v>
          </cell>
        </row>
        <row r="15544">
          <cell r="K15544" t="str">
            <v>201001</v>
          </cell>
          <cell r="M15544">
            <v>4</v>
          </cell>
          <cell r="R15544">
            <v>45996</v>
          </cell>
          <cell r="S15544">
            <v>201001</v>
          </cell>
        </row>
        <row r="15545">
          <cell r="K15545" t="str">
            <v>201011</v>
          </cell>
          <cell r="M15545">
            <v>36</v>
          </cell>
          <cell r="R15545">
            <v>45995</v>
          </cell>
          <cell r="S15545">
            <v>201011</v>
          </cell>
        </row>
        <row r="15546">
          <cell r="K15546" t="str">
            <v>201011</v>
          </cell>
          <cell r="M15546">
            <v>36</v>
          </cell>
          <cell r="R15546">
            <v>45995</v>
          </cell>
          <cell r="S15546">
            <v>201011</v>
          </cell>
        </row>
        <row r="15547">
          <cell r="K15547" t="str">
            <v>201011</v>
          </cell>
          <cell r="M15547">
            <v>20</v>
          </cell>
          <cell r="R15547">
            <v>45995</v>
          </cell>
          <cell r="S15547">
            <v>201011</v>
          </cell>
        </row>
        <row r="15548">
          <cell r="K15548" t="str">
            <v>201011</v>
          </cell>
          <cell r="M15548">
            <v>6</v>
          </cell>
          <cell r="R15548">
            <v>45995</v>
          </cell>
          <cell r="S15548">
            <v>201011</v>
          </cell>
        </row>
        <row r="15549">
          <cell r="K15549" t="str">
            <v>217022</v>
          </cell>
          <cell r="M15549">
            <v>1</v>
          </cell>
          <cell r="R15549">
            <v>45995</v>
          </cell>
          <cell r="S15549">
            <v>217022</v>
          </cell>
        </row>
        <row r="15550">
          <cell r="K15550" t="str">
            <v>231012</v>
          </cell>
          <cell r="M15550">
            <v>1</v>
          </cell>
          <cell r="R15550">
            <v>45996</v>
          </cell>
          <cell r="S15550">
            <v>231012</v>
          </cell>
        </row>
        <row r="15551">
          <cell r="K15551" t="str">
            <v>201011</v>
          </cell>
          <cell r="M15551">
            <v>1</v>
          </cell>
          <cell r="R15551">
            <v>45996</v>
          </cell>
          <cell r="S15551">
            <v>201011</v>
          </cell>
        </row>
        <row r="15552">
          <cell r="K15552" t="str">
            <v>226001</v>
          </cell>
          <cell r="M15552">
            <v>1</v>
          </cell>
          <cell r="R15552">
            <v>45996</v>
          </cell>
          <cell r="S15552">
            <v>226001</v>
          </cell>
        </row>
        <row r="15553">
          <cell r="K15553" t="str">
            <v>217021</v>
          </cell>
          <cell r="M15553">
            <v>1</v>
          </cell>
          <cell r="R15553">
            <v>45996</v>
          </cell>
          <cell r="S15553">
            <v>217021</v>
          </cell>
        </row>
        <row r="15554">
          <cell r="K15554" t="str">
            <v>206002</v>
          </cell>
          <cell r="M15554">
            <v>1</v>
          </cell>
          <cell r="R15554">
            <v>45996</v>
          </cell>
          <cell r="S15554">
            <v>206002</v>
          </cell>
        </row>
        <row r="15555">
          <cell r="K15555" t="str">
            <v>217011</v>
          </cell>
          <cell r="M15555">
            <v>2</v>
          </cell>
          <cell r="R15555">
            <v>45996</v>
          </cell>
          <cell r="S15555">
            <v>217011</v>
          </cell>
        </row>
        <row r="15556">
          <cell r="K15556" t="str">
            <v>220002</v>
          </cell>
          <cell r="M15556">
            <v>1</v>
          </cell>
          <cell r="R15556">
            <v>45996</v>
          </cell>
          <cell r="S15556">
            <v>220002</v>
          </cell>
        </row>
        <row r="15557">
          <cell r="K15557" t="str">
            <v>231012</v>
          </cell>
          <cell r="M15557">
            <v>2</v>
          </cell>
          <cell r="R15557">
            <v>45996</v>
          </cell>
          <cell r="S15557">
            <v>231012</v>
          </cell>
        </row>
        <row r="15558">
          <cell r="K15558" t="str">
            <v>217011</v>
          </cell>
          <cell r="M15558">
            <v>1</v>
          </cell>
          <cell r="R15558">
            <v>45996</v>
          </cell>
          <cell r="S15558">
            <v>217011</v>
          </cell>
        </row>
        <row r="15559">
          <cell r="K15559" t="str">
            <v>229001</v>
          </cell>
          <cell r="M15559">
            <v>1</v>
          </cell>
          <cell r="R15559">
            <v>45996</v>
          </cell>
          <cell r="S15559">
            <v>229001</v>
          </cell>
        </row>
        <row r="15560">
          <cell r="K15560" t="str">
            <v>229003</v>
          </cell>
          <cell r="M15560">
            <v>3</v>
          </cell>
          <cell r="R15560">
            <v>45996</v>
          </cell>
          <cell r="S15560">
            <v>229003</v>
          </cell>
        </row>
        <row r="15561">
          <cell r="K15561" t="str">
            <v>229003</v>
          </cell>
          <cell r="M15561">
            <v>1</v>
          </cell>
          <cell r="R15561">
            <v>45996</v>
          </cell>
          <cell r="S15561">
            <v>229003</v>
          </cell>
        </row>
        <row r="15562">
          <cell r="K15562" t="str">
            <v>201001</v>
          </cell>
          <cell r="M15562">
            <v>2</v>
          </cell>
          <cell r="R15562">
            <v>45996</v>
          </cell>
          <cell r="S15562">
            <v>201001</v>
          </cell>
        </row>
        <row r="15563">
          <cell r="K15563" t="str">
            <v>241001</v>
          </cell>
          <cell r="M15563">
            <v>10</v>
          </cell>
          <cell r="R15563">
            <v>45996</v>
          </cell>
          <cell r="S15563">
            <v>241001</v>
          </cell>
        </row>
        <row r="15564">
          <cell r="K15564" t="str">
            <v>227002</v>
          </cell>
          <cell r="M15564">
            <v>2</v>
          </cell>
          <cell r="R15564">
            <v>45996</v>
          </cell>
          <cell r="S15564">
            <v>227002</v>
          </cell>
        </row>
        <row r="15565">
          <cell r="K15565" t="str">
            <v>228001</v>
          </cell>
          <cell r="M15565">
            <v>5</v>
          </cell>
          <cell r="R15565">
            <v>45996</v>
          </cell>
          <cell r="S15565">
            <v>228001</v>
          </cell>
        </row>
        <row r="15566">
          <cell r="K15566" t="str">
            <v>226001</v>
          </cell>
          <cell r="M15566">
            <v>2</v>
          </cell>
          <cell r="R15566">
            <v>45996</v>
          </cell>
          <cell r="S15566">
            <v>226001</v>
          </cell>
        </row>
        <row r="15567">
          <cell r="K15567" t="str">
            <v>226001</v>
          </cell>
          <cell r="M15567">
            <v>2</v>
          </cell>
          <cell r="R15567">
            <v>45996</v>
          </cell>
          <cell r="S15567">
            <v>226001</v>
          </cell>
        </row>
        <row r="15568">
          <cell r="K15568" t="str">
            <v>203003</v>
          </cell>
          <cell r="M15568">
            <v>2</v>
          </cell>
          <cell r="R15568">
            <v>45996</v>
          </cell>
          <cell r="S15568">
            <v>203003</v>
          </cell>
        </row>
        <row r="15569">
          <cell r="K15569" t="str">
            <v>231010</v>
          </cell>
          <cell r="M15569">
            <v>1</v>
          </cell>
          <cell r="R15569">
            <v>45996</v>
          </cell>
          <cell r="S15569">
            <v>231010</v>
          </cell>
        </row>
        <row r="15570">
          <cell r="K15570" t="str">
            <v>226001</v>
          </cell>
          <cell r="M15570">
            <v>1</v>
          </cell>
          <cell r="R15570">
            <v>45996</v>
          </cell>
          <cell r="S15570">
            <v>226001</v>
          </cell>
        </row>
        <row r="15571">
          <cell r="K15571" t="str">
            <v>220002</v>
          </cell>
          <cell r="M15571">
            <v>1</v>
          </cell>
          <cell r="R15571">
            <v>45996</v>
          </cell>
          <cell r="S15571">
            <v>220002</v>
          </cell>
        </row>
        <row r="15572">
          <cell r="K15572" t="str">
            <v>217011</v>
          </cell>
          <cell r="M15572">
            <v>1</v>
          </cell>
          <cell r="R15572">
            <v>45996</v>
          </cell>
          <cell r="S15572">
            <v>217011</v>
          </cell>
        </row>
        <row r="15573">
          <cell r="K15573" t="str">
            <v>203003</v>
          </cell>
          <cell r="M15573">
            <v>4</v>
          </cell>
          <cell r="R15573">
            <v>45996</v>
          </cell>
          <cell r="S15573">
            <v>203003</v>
          </cell>
        </row>
        <row r="15574">
          <cell r="K15574" t="str">
            <v>210015</v>
          </cell>
          <cell r="M15574">
            <v>1</v>
          </cell>
          <cell r="R15574">
            <v>45996</v>
          </cell>
          <cell r="S15574">
            <v>210015</v>
          </cell>
        </row>
        <row r="15575">
          <cell r="K15575" t="str">
            <v>213002</v>
          </cell>
          <cell r="M15575">
            <v>17</v>
          </cell>
          <cell r="R15575">
            <v>45996</v>
          </cell>
          <cell r="S15575">
            <v>213002</v>
          </cell>
        </row>
        <row r="15576">
          <cell r="K15576" t="str">
            <v>207017</v>
          </cell>
          <cell r="M15576">
            <v>6</v>
          </cell>
          <cell r="R15576">
            <v>45996</v>
          </cell>
          <cell r="S15576">
            <v>207017</v>
          </cell>
        </row>
        <row r="15577">
          <cell r="K15577" t="str">
            <v>231012</v>
          </cell>
          <cell r="M15577">
            <v>6</v>
          </cell>
          <cell r="R15577">
            <v>45996</v>
          </cell>
          <cell r="S15577">
            <v>231012</v>
          </cell>
        </row>
        <row r="15578">
          <cell r="K15578" t="str">
            <v>213002</v>
          </cell>
          <cell r="M15578">
            <v>1</v>
          </cell>
          <cell r="R15578">
            <v>45996</v>
          </cell>
          <cell r="S15578">
            <v>213002</v>
          </cell>
        </row>
        <row r="15579">
          <cell r="K15579" t="str">
            <v>206002</v>
          </cell>
          <cell r="M15579">
            <v>1</v>
          </cell>
          <cell r="R15579">
            <v>45998</v>
          </cell>
          <cell r="S15579">
            <v>206002</v>
          </cell>
        </row>
        <row r="15580">
          <cell r="K15580" t="str">
            <v>208001</v>
          </cell>
          <cell r="M15580">
            <v>1</v>
          </cell>
          <cell r="R15580">
            <v>45998</v>
          </cell>
          <cell r="S15580">
            <v>208001</v>
          </cell>
        </row>
        <row r="15581">
          <cell r="K15581" t="str">
            <v>228001</v>
          </cell>
          <cell r="M15581">
            <v>4</v>
          </cell>
          <cell r="R15581">
            <v>45999</v>
          </cell>
          <cell r="S15581">
            <v>228001</v>
          </cell>
        </row>
        <row r="15582">
          <cell r="K15582" t="str">
            <v>209012</v>
          </cell>
          <cell r="M15582">
            <v>1</v>
          </cell>
          <cell r="R15582">
            <v>45999</v>
          </cell>
          <cell r="S15582">
            <v>209012</v>
          </cell>
        </row>
        <row r="15583">
          <cell r="K15583" t="str">
            <v>212035</v>
          </cell>
          <cell r="M15583">
            <v>3</v>
          </cell>
          <cell r="R15583">
            <v>45999</v>
          </cell>
          <cell r="S15583">
            <v>212035</v>
          </cell>
        </row>
        <row r="15584">
          <cell r="K15584" t="str">
            <v>201024</v>
          </cell>
          <cell r="M15584">
            <v>2</v>
          </cell>
          <cell r="R15584">
            <v>45999</v>
          </cell>
          <cell r="S15584">
            <v>201024</v>
          </cell>
        </row>
        <row r="15585">
          <cell r="K15585" t="str">
            <v>217019</v>
          </cell>
          <cell r="M15585">
            <v>7</v>
          </cell>
          <cell r="R15585">
            <v>45999</v>
          </cell>
          <cell r="S15585">
            <v>217019</v>
          </cell>
        </row>
        <row r="15586">
          <cell r="K15586" t="str">
            <v>209001</v>
          </cell>
          <cell r="M15586">
            <v>1</v>
          </cell>
          <cell r="R15586">
            <v>45999</v>
          </cell>
          <cell r="S15586">
            <v>209001</v>
          </cell>
        </row>
        <row r="15587">
          <cell r="K15587" t="str">
            <v>226025</v>
          </cell>
          <cell r="M15587">
            <v>1</v>
          </cell>
          <cell r="R15587">
            <v>45999</v>
          </cell>
          <cell r="S15587">
            <v>226025</v>
          </cell>
        </row>
        <row r="15588">
          <cell r="K15588" t="str">
            <v>217011</v>
          </cell>
          <cell r="M15588">
            <v>1</v>
          </cell>
          <cell r="R15588">
            <v>45999</v>
          </cell>
          <cell r="S15588">
            <v>217011</v>
          </cell>
        </row>
        <row r="15589">
          <cell r="K15589" t="str">
            <v>228001</v>
          </cell>
          <cell r="M15589">
            <v>4</v>
          </cell>
          <cell r="R15589">
            <v>45999</v>
          </cell>
          <cell r="S15589">
            <v>228001</v>
          </cell>
        </row>
        <row r="15590">
          <cell r="K15590" t="str">
            <v>209012</v>
          </cell>
          <cell r="M15590">
            <v>1</v>
          </cell>
          <cell r="R15590">
            <v>45999</v>
          </cell>
          <cell r="S15590">
            <v>209012</v>
          </cell>
        </row>
        <row r="15591">
          <cell r="K15591" t="str">
            <v>209012</v>
          </cell>
          <cell r="M15591">
            <v>1</v>
          </cell>
          <cell r="R15591">
            <v>45999</v>
          </cell>
          <cell r="S15591">
            <v>209012</v>
          </cell>
        </row>
        <row r="15592">
          <cell r="K15592" t="str">
            <v>209001</v>
          </cell>
          <cell r="M15592">
            <v>3</v>
          </cell>
          <cell r="R15592">
            <v>45999</v>
          </cell>
          <cell r="S15592">
            <v>209001</v>
          </cell>
        </row>
        <row r="15593">
          <cell r="K15593" t="str">
            <v>201001</v>
          </cell>
          <cell r="M15593">
            <v>3</v>
          </cell>
          <cell r="R15593">
            <v>45999</v>
          </cell>
          <cell r="S15593">
            <v>201001</v>
          </cell>
        </row>
        <row r="15594">
          <cell r="K15594" t="str">
            <v>201011</v>
          </cell>
          <cell r="M15594">
            <v>45</v>
          </cell>
          <cell r="R15594">
            <v>46000</v>
          </cell>
          <cell r="S15594">
            <v>201011</v>
          </cell>
        </row>
        <row r="15595">
          <cell r="K15595" t="str">
            <v>209001</v>
          </cell>
          <cell r="M15595">
            <v>1</v>
          </cell>
          <cell r="R15595">
            <v>45999</v>
          </cell>
          <cell r="S15595">
            <v>209001</v>
          </cell>
        </row>
        <row r="15596">
          <cell r="K15596" t="str">
            <v>201001</v>
          </cell>
          <cell r="M15596">
            <v>2</v>
          </cell>
          <cell r="R15596">
            <v>45999</v>
          </cell>
          <cell r="S15596">
            <v>201001</v>
          </cell>
        </row>
        <row r="15597">
          <cell r="K15597" t="str">
            <v>241001</v>
          </cell>
          <cell r="M15597">
            <v>2</v>
          </cell>
          <cell r="R15597">
            <v>45999</v>
          </cell>
          <cell r="S15597">
            <v>241001</v>
          </cell>
        </row>
        <row r="15598">
          <cell r="K15598" t="str">
            <v>223001</v>
          </cell>
          <cell r="M15598">
            <v>4</v>
          </cell>
          <cell r="R15598">
            <v>45999</v>
          </cell>
          <cell r="S15598">
            <v>223001</v>
          </cell>
        </row>
        <row r="15599">
          <cell r="K15599" t="str">
            <v>220002</v>
          </cell>
          <cell r="M15599">
            <v>1</v>
          </cell>
          <cell r="R15599">
            <v>45999</v>
          </cell>
          <cell r="S15599">
            <v>220002</v>
          </cell>
        </row>
        <row r="15600">
          <cell r="K15600" t="str">
            <v>201001</v>
          </cell>
          <cell r="M15600">
            <v>6</v>
          </cell>
          <cell r="R15600">
            <v>46000</v>
          </cell>
          <cell r="S15600">
            <v>201001</v>
          </cell>
        </row>
        <row r="15601">
          <cell r="K15601" t="str">
            <v>223001</v>
          </cell>
          <cell r="M15601">
            <v>12</v>
          </cell>
          <cell r="R15601">
            <v>45998</v>
          </cell>
          <cell r="S15601">
            <v>223001</v>
          </cell>
        </row>
        <row r="15602">
          <cell r="K15602" t="str">
            <v>223002</v>
          </cell>
          <cell r="M15602">
            <v>12</v>
          </cell>
          <cell r="R15602">
            <v>45998</v>
          </cell>
          <cell r="S15602">
            <v>223002</v>
          </cell>
        </row>
        <row r="15603">
          <cell r="K15603" t="str">
            <v>213002</v>
          </cell>
          <cell r="M15603">
            <v>1</v>
          </cell>
          <cell r="R15603">
            <v>45998</v>
          </cell>
          <cell r="S15603">
            <v>213002</v>
          </cell>
        </row>
        <row r="15604">
          <cell r="K15604" t="str">
            <v>217018</v>
          </cell>
          <cell r="M15604">
            <v>5</v>
          </cell>
          <cell r="R15604">
            <v>45998</v>
          </cell>
          <cell r="S15604">
            <v>217018</v>
          </cell>
        </row>
        <row r="15605">
          <cell r="K15605" t="str">
            <v>209001</v>
          </cell>
          <cell r="M15605">
            <v>3</v>
          </cell>
          <cell r="R15605">
            <v>45999</v>
          </cell>
          <cell r="S15605">
            <v>209001</v>
          </cell>
        </row>
        <row r="15606">
          <cell r="K15606" t="str">
            <v>203003</v>
          </cell>
          <cell r="M15606">
            <v>1</v>
          </cell>
          <cell r="R15606">
            <v>45999</v>
          </cell>
          <cell r="S15606">
            <v>203003</v>
          </cell>
        </row>
        <row r="15607">
          <cell r="K15607" t="str">
            <v>241001</v>
          </cell>
          <cell r="M15607">
            <v>10</v>
          </cell>
          <cell r="R15607">
            <v>45998</v>
          </cell>
          <cell r="S15607">
            <v>241001</v>
          </cell>
        </row>
        <row r="15608">
          <cell r="K15608" t="str">
            <v>223002</v>
          </cell>
          <cell r="M15608">
            <v>2</v>
          </cell>
          <cell r="R15608">
            <v>45998</v>
          </cell>
          <cell r="S15608">
            <v>223002</v>
          </cell>
        </row>
        <row r="15609">
          <cell r="K15609" t="str">
            <v>222001</v>
          </cell>
          <cell r="M15609">
            <v>1</v>
          </cell>
          <cell r="R15609">
            <v>45998</v>
          </cell>
          <cell r="S15609">
            <v>222001</v>
          </cell>
        </row>
        <row r="15610">
          <cell r="K15610" t="str">
            <v>234011</v>
          </cell>
          <cell r="M15610">
            <v>1</v>
          </cell>
          <cell r="R15610">
            <v>45998</v>
          </cell>
          <cell r="S15610">
            <v>234011</v>
          </cell>
        </row>
        <row r="15611">
          <cell r="K15611" t="str">
            <v>209001</v>
          </cell>
          <cell r="M15611">
            <v>2</v>
          </cell>
          <cell r="R15611">
            <v>45998</v>
          </cell>
          <cell r="S15611">
            <v>209001</v>
          </cell>
        </row>
        <row r="15612">
          <cell r="K15612" t="str">
            <v>210015</v>
          </cell>
          <cell r="M15612">
            <v>2</v>
          </cell>
          <cell r="R15612">
            <v>45998</v>
          </cell>
          <cell r="S15612">
            <v>210015</v>
          </cell>
        </row>
        <row r="15613">
          <cell r="K15613" t="str">
            <v>201001</v>
          </cell>
          <cell r="M15613">
            <v>4</v>
          </cell>
          <cell r="R15613">
            <v>45998</v>
          </cell>
          <cell r="S15613">
            <v>201001</v>
          </cell>
        </row>
        <row r="15614">
          <cell r="K15614" t="str">
            <v>222002</v>
          </cell>
          <cell r="M15614">
            <v>1</v>
          </cell>
          <cell r="R15614">
            <v>45998</v>
          </cell>
          <cell r="S15614">
            <v>222002</v>
          </cell>
        </row>
        <row r="15615">
          <cell r="K15615" t="str">
            <v>222001</v>
          </cell>
          <cell r="M15615">
            <v>1</v>
          </cell>
          <cell r="R15615">
            <v>45998</v>
          </cell>
          <cell r="S15615">
            <v>222001</v>
          </cell>
        </row>
        <row r="15616">
          <cell r="K15616" t="str">
            <v>241001</v>
          </cell>
          <cell r="M15616">
            <v>1</v>
          </cell>
          <cell r="R15616">
            <v>45998</v>
          </cell>
          <cell r="S15616">
            <v>241001</v>
          </cell>
        </row>
        <row r="15617">
          <cell r="K15617" t="str">
            <v>201001</v>
          </cell>
          <cell r="M15617">
            <v>3</v>
          </cell>
          <cell r="R15617">
            <v>45998</v>
          </cell>
          <cell r="S15617">
            <v>201001</v>
          </cell>
        </row>
        <row r="15618">
          <cell r="K15618" t="str">
            <v>201001</v>
          </cell>
          <cell r="M15618">
            <v>5</v>
          </cell>
          <cell r="R15618">
            <v>45999</v>
          </cell>
          <cell r="S15618">
            <v>201001</v>
          </cell>
        </row>
        <row r="15619">
          <cell r="K15619" t="str">
            <v>241001</v>
          </cell>
          <cell r="M15619">
            <v>3</v>
          </cell>
          <cell r="R15619">
            <v>45999</v>
          </cell>
          <cell r="S15619">
            <v>241001</v>
          </cell>
        </row>
        <row r="15620">
          <cell r="K15620" t="str">
            <v>234011</v>
          </cell>
          <cell r="M15620">
            <v>1</v>
          </cell>
          <cell r="R15620">
            <v>45999</v>
          </cell>
          <cell r="S15620">
            <v>234011</v>
          </cell>
        </row>
        <row r="15621">
          <cell r="K15621" t="str">
            <v>228001</v>
          </cell>
          <cell r="M15621">
            <v>1</v>
          </cell>
          <cell r="R15621">
            <v>45999</v>
          </cell>
          <cell r="S15621">
            <v>228001</v>
          </cell>
        </row>
        <row r="15622">
          <cell r="K15622" t="str">
            <v>229004</v>
          </cell>
          <cell r="M15622">
            <v>4</v>
          </cell>
          <cell r="R15622">
            <v>45999</v>
          </cell>
          <cell r="S15622">
            <v>229004</v>
          </cell>
        </row>
        <row r="15623">
          <cell r="K15623" t="str">
            <v>223002</v>
          </cell>
          <cell r="M15623">
            <v>4</v>
          </cell>
          <cell r="R15623">
            <v>46000</v>
          </cell>
          <cell r="S15623">
            <v>223002</v>
          </cell>
        </row>
        <row r="15624">
          <cell r="K15624" t="str">
            <v>223006</v>
          </cell>
          <cell r="M15624">
            <v>8</v>
          </cell>
          <cell r="R15624">
            <v>46000</v>
          </cell>
          <cell r="S15624">
            <v>223006</v>
          </cell>
        </row>
        <row r="15625">
          <cell r="K15625" t="str">
            <v>227012</v>
          </cell>
          <cell r="M15625">
            <v>2</v>
          </cell>
          <cell r="R15625">
            <v>46000</v>
          </cell>
          <cell r="S15625">
            <v>227012</v>
          </cell>
        </row>
        <row r="15626">
          <cell r="K15626" t="str">
            <v>217022</v>
          </cell>
          <cell r="M15626">
            <v>2</v>
          </cell>
          <cell r="R15626">
            <v>46000</v>
          </cell>
          <cell r="S15626">
            <v>217022</v>
          </cell>
        </row>
        <row r="15627">
          <cell r="K15627" t="str">
            <v>231004</v>
          </cell>
          <cell r="M15627">
            <v>1</v>
          </cell>
          <cell r="R15627">
            <v>46000</v>
          </cell>
          <cell r="S15627">
            <v>231004</v>
          </cell>
        </row>
        <row r="15628">
          <cell r="K15628" t="str">
            <v>231004</v>
          </cell>
          <cell r="M15628">
            <v>4</v>
          </cell>
          <cell r="R15628">
            <v>46000</v>
          </cell>
          <cell r="S15628">
            <v>231004</v>
          </cell>
        </row>
        <row r="15629">
          <cell r="K15629" t="str">
            <v>228001</v>
          </cell>
          <cell r="M15629">
            <v>1</v>
          </cell>
          <cell r="R15629">
            <v>45999</v>
          </cell>
          <cell r="S15629">
            <v>228001</v>
          </cell>
        </row>
        <row r="15630">
          <cell r="K15630" t="str">
            <v>203003</v>
          </cell>
          <cell r="M15630">
            <v>2</v>
          </cell>
          <cell r="R15630">
            <v>45999</v>
          </cell>
          <cell r="S15630">
            <v>203003</v>
          </cell>
        </row>
        <row r="15631">
          <cell r="K15631" t="str">
            <v>217022</v>
          </cell>
          <cell r="M15631">
            <v>1</v>
          </cell>
          <cell r="R15631">
            <v>46000</v>
          </cell>
          <cell r="S15631">
            <v>217022</v>
          </cell>
        </row>
        <row r="15632">
          <cell r="K15632" t="str">
            <v>227002</v>
          </cell>
          <cell r="M15632">
            <v>1</v>
          </cell>
          <cell r="R15632">
            <v>46000</v>
          </cell>
          <cell r="S15632">
            <v>227002</v>
          </cell>
        </row>
        <row r="15633">
          <cell r="K15633" t="str">
            <v>213002</v>
          </cell>
          <cell r="M15633">
            <v>8</v>
          </cell>
          <cell r="R15633">
            <v>45998</v>
          </cell>
          <cell r="S15633">
            <v>213002</v>
          </cell>
        </row>
        <row r="15634">
          <cell r="K15634" t="str">
            <v>217022</v>
          </cell>
          <cell r="M15634">
            <v>7</v>
          </cell>
          <cell r="R15634">
            <v>45999</v>
          </cell>
          <cell r="S15634">
            <v>217022</v>
          </cell>
        </row>
        <row r="15635">
          <cell r="K15635" t="str">
            <v>231012</v>
          </cell>
          <cell r="M15635">
            <v>2</v>
          </cell>
          <cell r="R15635">
            <v>45999</v>
          </cell>
          <cell r="S15635">
            <v>231012</v>
          </cell>
        </row>
        <row r="15636">
          <cell r="K15636" t="str">
            <v>226001</v>
          </cell>
          <cell r="M15636">
            <v>1</v>
          </cell>
          <cell r="R15636">
            <v>45999</v>
          </cell>
          <cell r="S15636">
            <v>226001</v>
          </cell>
        </row>
        <row r="15637">
          <cell r="K15637" t="str">
            <v>227002</v>
          </cell>
          <cell r="M15637">
            <v>1</v>
          </cell>
          <cell r="R15637">
            <v>45999</v>
          </cell>
          <cell r="S15637">
            <v>227002</v>
          </cell>
        </row>
        <row r="15638">
          <cell r="K15638" t="str">
            <v>261004</v>
          </cell>
          <cell r="M15638">
            <v>1</v>
          </cell>
          <cell r="R15638">
            <v>45999</v>
          </cell>
          <cell r="S15638">
            <v>261004</v>
          </cell>
        </row>
        <row r="15639">
          <cell r="K15639" t="str">
            <v>241001</v>
          </cell>
          <cell r="M15639">
            <v>4</v>
          </cell>
          <cell r="R15639">
            <v>45999</v>
          </cell>
          <cell r="S15639">
            <v>241001</v>
          </cell>
        </row>
        <row r="15640">
          <cell r="K15640" t="str">
            <v>222001</v>
          </cell>
          <cell r="M15640">
            <v>4</v>
          </cell>
          <cell r="R15640">
            <v>45999</v>
          </cell>
          <cell r="S15640">
            <v>222001</v>
          </cell>
        </row>
        <row r="15641">
          <cell r="K15641" t="str">
            <v>222007</v>
          </cell>
          <cell r="M15641">
            <v>1</v>
          </cell>
          <cell r="R15641">
            <v>45999</v>
          </cell>
          <cell r="S15641">
            <v>222007</v>
          </cell>
        </row>
        <row r="15642">
          <cell r="K15642" t="str">
            <v>203001</v>
          </cell>
          <cell r="M15642">
            <v>4</v>
          </cell>
          <cell r="R15642">
            <v>45999</v>
          </cell>
          <cell r="S15642">
            <v>203001</v>
          </cell>
        </row>
        <row r="15643">
          <cell r="K15643" t="str">
            <v>231010</v>
          </cell>
          <cell r="M15643">
            <v>4</v>
          </cell>
          <cell r="R15643">
            <v>45999</v>
          </cell>
          <cell r="S15643">
            <v>231010</v>
          </cell>
        </row>
        <row r="15644">
          <cell r="K15644" t="str">
            <v>201001</v>
          </cell>
          <cell r="M15644">
            <v>1</v>
          </cell>
          <cell r="R15644">
            <v>45999</v>
          </cell>
          <cell r="S15644">
            <v>201001</v>
          </cell>
        </row>
        <row r="15645">
          <cell r="K15645" t="str">
            <v>223002</v>
          </cell>
          <cell r="M15645">
            <v>2</v>
          </cell>
          <cell r="R15645">
            <v>45999</v>
          </cell>
          <cell r="S15645">
            <v>223002</v>
          </cell>
        </row>
        <row r="15646">
          <cell r="K15646" t="str">
            <v>223001</v>
          </cell>
          <cell r="M15646">
            <v>10</v>
          </cell>
          <cell r="R15646">
            <v>45999</v>
          </cell>
          <cell r="S15646">
            <v>223001</v>
          </cell>
        </row>
        <row r="15647">
          <cell r="K15647" t="str">
            <v>227012</v>
          </cell>
          <cell r="M15647">
            <v>2</v>
          </cell>
          <cell r="R15647">
            <v>45999</v>
          </cell>
          <cell r="S15647">
            <v>227012</v>
          </cell>
        </row>
        <row r="15648">
          <cell r="K15648" t="str">
            <v>209022</v>
          </cell>
          <cell r="M15648">
            <v>5</v>
          </cell>
          <cell r="R15648">
            <v>45999</v>
          </cell>
          <cell r="S15648">
            <v>209022</v>
          </cell>
        </row>
        <row r="15649">
          <cell r="K15649" t="str">
            <v>228001</v>
          </cell>
          <cell r="M15649">
            <v>8</v>
          </cell>
          <cell r="R15649">
            <v>45999</v>
          </cell>
          <cell r="S15649">
            <v>228001</v>
          </cell>
        </row>
        <row r="15650">
          <cell r="K15650" t="str">
            <v>227012</v>
          </cell>
          <cell r="M15650">
            <v>1</v>
          </cell>
          <cell r="R15650">
            <v>45999</v>
          </cell>
          <cell r="S15650">
            <v>227012</v>
          </cell>
        </row>
        <row r="15651">
          <cell r="K15651" t="str">
            <v>220002</v>
          </cell>
          <cell r="M15651">
            <v>5</v>
          </cell>
          <cell r="R15651">
            <v>45999</v>
          </cell>
          <cell r="S15651">
            <v>220002</v>
          </cell>
        </row>
        <row r="15652">
          <cell r="K15652" t="str">
            <v>234011</v>
          </cell>
          <cell r="M15652">
            <v>1</v>
          </cell>
          <cell r="R15652">
            <v>45999</v>
          </cell>
          <cell r="S15652">
            <v>234011</v>
          </cell>
        </row>
        <row r="15653">
          <cell r="K15653" t="str">
            <v>228001</v>
          </cell>
          <cell r="M15653">
            <v>15</v>
          </cell>
          <cell r="R15653">
            <v>45997</v>
          </cell>
          <cell r="S15653">
            <v>228001</v>
          </cell>
        </row>
        <row r="15654">
          <cell r="K15654" t="str">
            <v>231010</v>
          </cell>
          <cell r="M15654">
            <v>1</v>
          </cell>
          <cell r="R15654">
            <v>46000</v>
          </cell>
          <cell r="S15654">
            <v>231010</v>
          </cell>
        </row>
        <row r="15655">
          <cell r="K15655" t="str">
            <v>226003</v>
          </cell>
          <cell r="M15655">
            <v>1</v>
          </cell>
          <cell r="R15655">
            <v>46000</v>
          </cell>
          <cell r="S15655">
            <v>226003</v>
          </cell>
        </row>
        <row r="15656">
          <cell r="K15656" t="str">
            <v>217018</v>
          </cell>
          <cell r="M15656">
            <v>1</v>
          </cell>
          <cell r="R15656">
            <v>46000</v>
          </cell>
          <cell r="S15656">
            <v>217018</v>
          </cell>
        </row>
        <row r="15657">
          <cell r="K15657" t="str">
            <v>203003</v>
          </cell>
          <cell r="M15657">
            <v>1</v>
          </cell>
          <cell r="R15657">
            <v>46000</v>
          </cell>
          <cell r="S15657">
            <v>203003</v>
          </cell>
        </row>
        <row r="15658">
          <cell r="K15658" t="str">
            <v>207002</v>
          </cell>
          <cell r="M15658">
            <v>1</v>
          </cell>
          <cell r="R15658">
            <v>46000</v>
          </cell>
          <cell r="S15658">
            <v>207002</v>
          </cell>
        </row>
        <row r="15659">
          <cell r="K15659" t="str">
            <v>222005</v>
          </cell>
          <cell r="M15659">
            <v>1</v>
          </cell>
          <cell r="R15659">
            <v>46000</v>
          </cell>
          <cell r="S15659">
            <v>222005</v>
          </cell>
        </row>
        <row r="15660">
          <cell r="K15660" t="str">
            <v>228001</v>
          </cell>
          <cell r="M15660">
            <v>1</v>
          </cell>
          <cell r="R15660">
            <v>45999</v>
          </cell>
          <cell r="S15660">
            <v>228001</v>
          </cell>
        </row>
        <row r="15661">
          <cell r="K15661" t="str">
            <v>217019</v>
          </cell>
          <cell r="M15661">
            <v>1</v>
          </cell>
          <cell r="R15661">
            <v>45999</v>
          </cell>
          <cell r="S15661">
            <v>217019</v>
          </cell>
        </row>
        <row r="15662">
          <cell r="K15662" t="str">
            <v>228001</v>
          </cell>
          <cell r="M15662">
            <v>1</v>
          </cell>
          <cell r="R15662">
            <v>45999</v>
          </cell>
          <cell r="S15662">
            <v>228001</v>
          </cell>
        </row>
        <row r="15663">
          <cell r="K15663" t="str">
            <v>232001</v>
          </cell>
          <cell r="M15663">
            <v>2</v>
          </cell>
          <cell r="R15663">
            <v>46000</v>
          </cell>
          <cell r="S15663">
            <v>232001</v>
          </cell>
        </row>
        <row r="15664">
          <cell r="K15664" t="str">
            <v>227012</v>
          </cell>
          <cell r="M15664">
            <v>4</v>
          </cell>
          <cell r="R15664">
            <v>45999</v>
          </cell>
          <cell r="S15664">
            <v>227012</v>
          </cell>
        </row>
        <row r="15665">
          <cell r="K15665" t="str">
            <v>213002</v>
          </cell>
          <cell r="M15665">
            <v>2</v>
          </cell>
          <cell r="R15665">
            <v>46000</v>
          </cell>
          <cell r="S15665">
            <v>213002</v>
          </cell>
        </row>
        <row r="15666">
          <cell r="K15666" t="str">
            <v>227012</v>
          </cell>
          <cell r="M15666">
            <v>2</v>
          </cell>
          <cell r="R15666">
            <v>45999</v>
          </cell>
          <cell r="S15666">
            <v>227012</v>
          </cell>
        </row>
        <row r="15667">
          <cell r="K15667" t="str">
            <v>232001</v>
          </cell>
          <cell r="M15667">
            <v>1</v>
          </cell>
          <cell r="R15667">
            <v>46000</v>
          </cell>
          <cell r="S15667">
            <v>232001</v>
          </cell>
        </row>
        <row r="15668">
          <cell r="K15668" t="str">
            <v>228001</v>
          </cell>
          <cell r="M15668">
            <v>2</v>
          </cell>
          <cell r="R15668">
            <v>45999</v>
          </cell>
          <cell r="S15668">
            <v>228001</v>
          </cell>
        </row>
        <row r="15669">
          <cell r="K15669" t="str">
            <v>217019</v>
          </cell>
          <cell r="M15669">
            <v>1</v>
          </cell>
          <cell r="R15669">
            <v>45999</v>
          </cell>
          <cell r="S15669">
            <v>217019</v>
          </cell>
        </row>
        <row r="15670">
          <cell r="K15670" t="str">
            <v>228001</v>
          </cell>
          <cell r="M15670">
            <v>4</v>
          </cell>
          <cell r="R15670">
            <v>45999</v>
          </cell>
          <cell r="S15670">
            <v>228001</v>
          </cell>
        </row>
        <row r="15671">
          <cell r="K15671" t="str">
            <v>217019</v>
          </cell>
          <cell r="M15671">
            <v>1</v>
          </cell>
          <cell r="R15671">
            <v>45999</v>
          </cell>
          <cell r="S15671">
            <v>217019</v>
          </cell>
        </row>
        <row r="15672">
          <cell r="K15672" t="str">
            <v>201001</v>
          </cell>
          <cell r="M15672">
            <v>6</v>
          </cell>
          <cell r="R15672">
            <v>45998</v>
          </cell>
          <cell r="S15672">
            <v>201001</v>
          </cell>
        </row>
        <row r="15673">
          <cell r="K15673" t="str">
            <v>229001</v>
          </cell>
          <cell r="M15673">
            <v>1</v>
          </cell>
          <cell r="R15673">
            <v>45999</v>
          </cell>
          <cell r="S15673">
            <v>229001</v>
          </cell>
        </row>
        <row r="15674">
          <cell r="K15674" t="str">
            <v>209001</v>
          </cell>
          <cell r="M15674">
            <v>1</v>
          </cell>
          <cell r="R15674">
            <v>45999</v>
          </cell>
          <cell r="S15674">
            <v>209001</v>
          </cell>
        </row>
        <row r="15675">
          <cell r="K15675" t="str">
            <v>201001</v>
          </cell>
          <cell r="M15675">
            <v>10</v>
          </cell>
          <cell r="R15675">
            <v>45998</v>
          </cell>
          <cell r="S15675">
            <v>201001</v>
          </cell>
        </row>
        <row r="15676">
          <cell r="K15676" t="str">
            <v>201001</v>
          </cell>
          <cell r="M15676">
            <v>10</v>
          </cell>
          <cell r="R15676">
            <v>45996</v>
          </cell>
          <cell r="S15676">
            <v>201001</v>
          </cell>
        </row>
        <row r="15677">
          <cell r="K15677" t="str">
            <v>228001</v>
          </cell>
          <cell r="M15677">
            <v>10</v>
          </cell>
          <cell r="R15677">
            <v>45996</v>
          </cell>
          <cell r="S15677">
            <v>228001</v>
          </cell>
        </row>
        <row r="15678">
          <cell r="K15678" t="str">
            <v>220003</v>
          </cell>
          <cell r="M15678">
            <v>3</v>
          </cell>
          <cell r="R15678">
            <v>45996</v>
          </cell>
          <cell r="S15678">
            <v>220003</v>
          </cell>
        </row>
        <row r="15679">
          <cell r="K15679" t="str">
            <v>227012</v>
          </cell>
          <cell r="M15679">
            <v>2</v>
          </cell>
          <cell r="R15679">
            <v>45999</v>
          </cell>
          <cell r="S15679">
            <v>227012</v>
          </cell>
        </row>
        <row r="15680">
          <cell r="K15680" t="str">
            <v>201001</v>
          </cell>
          <cell r="M15680">
            <v>5</v>
          </cell>
          <cell r="R15680">
            <v>46000</v>
          </cell>
          <cell r="S15680">
            <v>201001</v>
          </cell>
        </row>
        <row r="15681">
          <cell r="K15681" t="str">
            <v>228001</v>
          </cell>
          <cell r="M15681">
            <v>1</v>
          </cell>
          <cell r="R15681">
            <v>46000</v>
          </cell>
          <cell r="S15681">
            <v>228001</v>
          </cell>
        </row>
        <row r="15682">
          <cell r="K15682" t="str">
            <v>228001</v>
          </cell>
          <cell r="M15682">
            <v>2</v>
          </cell>
          <cell r="R15682">
            <v>46000</v>
          </cell>
          <cell r="S15682">
            <v>228001</v>
          </cell>
        </row>
        <row r="15683">
          <cell r="K15683" t="str">
            <v>223002</v>
          </cell>
          <cell r="M15683">
            <v>8</v>
          </cell>
          <cell r="R15683">
            <v>45999</v>
          </cell>
          <cell r="S15683">
            <v>223002</v>
          </cell>
        </row>
        <row r="15684">
          <cell r="K15684" t="str">
            <v>201024</v>
          </cell>
          <cell r="M15684">
            <v>2</v>
          </cell>
          <cell r="R15684">
            <v>45999</v>
          </cell>
          <cell r="S15684">
            <v>201024</v>
          </cell>
        </row>
        <row r="15685">
          <cell r="K15685" t="str">
            <v>201011</v>
          </cell>
          <cell r="M15685">
            <v>1</v>
          </cell>
          <cell r="R15685">
            <v>45999</v>
          </cell>
          <cell r="S15685">
            <v>201011</v>
          </cell>
        </row>
        <row r="15686">
          <cell r="K15686" t="str">
            <v>228001</v>
          </cell>
          <cell r="M15686">
            <v>2</v>
          </cell>
          <cell r="R15686">
            <v>46000</v>
          </cell>
          <cell r="S15686">
            <v>228001</v>
          </cell>
        </row>
        <row r="15687">
          <cell r="K15687" t="str">
            <v>226001</v>
          </cell>
          <cell r="M15687">
            <v>2</v>
          </cell>
          <cell r="R15687">
            <v>46000</v>
          </cell>
          <cell r="S15687">
            <v>226001</v>
          </cell>
        </row>
        <row r="15688">
          <cell r="K15688" t="str">
            <v>228001</v>
          </cell>
          <cell r="M15688">
            <v>2</v>
          </cell>
          <cell r="R15688">
            <v>46000</v>
          </cell>
          <cell r="S15688">
            <v>228001</v>
          </cell>
        </row>
        <row r="15689">
          <cell r="K15689" t="str">
            <v>228001</v>
          </cell>
          <cell r="M15689">
            <v>2</v>
          </cell>
          <cell r="R15689">
            <v>45998</v>
          </cell>
          <cell r="S15689">
            <v>228001</v>
          </cell>
        </row>
        <row r="15690">
          <cell r="K15690" t="str">
            <v>209016</v>
          </cell>
          <cell r="M15690">
            <v>1</v>
          </cell>
          <cell r="R15690">
            <v>45998</v>
          </cell>
          <cell r="S15690">
            <v>209016</v>
          </cell>
        </row>
        <row r="15691">
          <cell r="K15691" t="str">
            <v>234001</v>
          </cell>
          <cell r="M15691">
            <v>1</v>
          </cell>
          <cell r="R15691">
            <v>45998</v>
          </cell>
          <cell r="S15691">
            <v>234001</v>
          </cell>
        </row>
        <row r="15692">
          <cell r="K15692" t="str">
            <v>228001</v>
          </cell>
          <cell r="M15692">
            <v>3</v>
          </cell>
          <cell r="R15692">
            <v>46000</v>
          </cell>
          <cell r="S15692">
            <v>228001</v>
          </cell>
        </row>
        <row r="15693">
          <cell r="K15693" t="str">
            <v>207017</v>
          </cell>
          <cell r="M15693">
            <v>1</v>
          </cell>
          <cell r="R15693">
            <v>46000</v>
          </cell>
          <cell r="S15693">
            <v>207017</v>
          </cell>
        </row>
        <row r="15694">
          <cell r="K15694" t="str">
            <v>231012</v>
          </cell>
          <cell r="M15694">
            <v>1</v>
          </cell>
          <cell r="R15694">
            <v>46000</v>
          </cell>
          <cell r="S15694">
            <v>231012</v>
          </cell>
        </row>
        <row r="15695">
          <cell r="K15695" t="str">
            <v>203003</v>
          </cell>
          <cell r="M15695">
            <v>1</v>
          </cell>
          <cell r="R15695">
            <v>46000</v>
          </cell>
          <cell r="S15695">
            <v>203003</v>
          </cell>
        </row>
        <row r="15696">
          <cell r="K15696" t="str">
            <v>201001</v>
          </cell>
          <cell r="M15696">
            <v>1</v>
          </cell>
          <cell r="R15696">
            <v>46000</v>
          </cell>
          <cell r="S15696">
            <v>201001</v>
          </cell>
        </row>
        <row r="15697">
          <cell r="K15697" t="str">
            <v>222001</v>
          </cell>
          <cell r="M15697">
            <v>1</v>
          </cell>
          <cell r="R15697">
            <v>46000</v>
          </cell>
          <cell r="S15697">
            <v>222001</v>
          </cell>
        </row>
        <row r="15698">
          <cell r="K15698" t="str">
            <v>223002</v>
          </cell>
          <cell r="M15698">
            <v>1</v>
          </cell>
          <cell r="R15698">
            <v>46000</v>
          </cell>
          <cell r="S15698">
            <v>223002</v>
          </cell>
        </row>
        <row r="15699">
          <cell r="K15699" t="str">
            <v>209004</v>
          </cell>
          <cell r="M15699">
            <v>1</v>
          </cell>
          <cell r="R15699">
            <v>46000</v>
          </cell>
          <cell r="S15699">
            <v>209004</v>
          </cell>
        </row>
        <row r="15700">
          <cell r="K15700" t="str">
            <v>228001</v>
          </cell>
          <cell r="M15700">
            <v>2</v>
          </cell>
          <cell r="R15700">
            <v>46000</v>
          </cell>
          <cell r="S15700">
            <v>228001</v>
          </cell>
        </row>
        <row r="15701">
          <cell r="K15701" t="str">
            <v>231010</v>
          </cell>
          <cell r="M15701">
            <v>2</v>
          </cell>
          <cell r="R15701">
            <v>46000</v>
          </cell>
          <cell r="S15701">
            <v>231010</v>
          </cell>
        </row>
        <row r="15702">
          <cell r="K15702" t="str">
            <v>217018</v>
          </cell>
          <cell r="M15702">
            <v>2</v>
          </cell>
          <cell r="R15702">
            <v>46000</v>
          </cell>
          <cell r="S15702">
            <v>217018</v>
          </cell>
        </row>
        <row r="15703">
          <cell r="K15703" t="str">
            <v>203003</v>
          </cell>
          <cell r="M15703">
            <v>4</v>
          </cell>
          <cell r="R15703">
            <v>46000</v>
          </cell>
          <cell r="S15703">
            <v>203003</v>
          </cell>
        </row>
        <row r="15704">
          <cell r="K15704" t="str">
            <v>228001</v>
          </cell>
          <cell r="M15704">
            <v>1</v>
          </cell>
          <cell r="R15704">
            <v>46000</v>
          </cell>
          <cell r="S15704">
            <v>228001</v>
          </cell>
        </row>
        <row r="15705">
          <cell r="K15705" t="str">
            <v>201024</v>
          </cell>
          <cell r="M15705">
            <v>2</v>
          </cell>
          <cell r="R15705">
            <v>46000</v>
          </cell>
          <cell r="S15705">
            <v>201024</v>
          </cell>
        </row>
        <row r="15706">
          <cell r="K15706" t="str">
            <v>212035</v>
          </cell>
          <cell r="M15706">
            <v>2</v>
          </cell>
          <cell r="R15706">
            <v>46000</v>
          </cell>
          <cell r="S15706">
            <v>212035</v>
          </cell>
        </row>
        <row r="15707">
          <cell r="K15707" t="str">
            <v>234001</v>
          </cell>
          <cell r="M15707">
            <v>1</v>
          </cell>
          <cell r="R15707">
            <v>46000</v>
          </cell>
          <cell r="S15707">
            <v>234001</v>
          </cell>
        </row>
        <row r="15708">
          <cell r="K15708" t="str">
            <v>220003</v>
          </cell>
          <cell r="M15708">
            <v>1</v>
          </cell>
          <cell r="R15708">
            <v>46000</v>
          </cell>
          <cell r="S15708">
            <v>220003</v>
          </cell>
        </row>
        <row r="15709">
          <cell r="K15709" t="str">
            <v>220003</v>
          </cell>
          <cell r="M15709">
            <v>2</v>
          </cell>
          <cell r="R15709">
            <v>46000</v>
          </cell>
          <cell r="S15709">
            <v>220003</v>
          </cell>
        </row>
        <row r="15710">
          <cell r="K15710" t="str">
            <v>227012</v>
          </cell>
          <cell r="M15710">
            <v>2</v>
          </cell>
          <cell r="R15710">
            <v>46000</v>
          </cell>
          <cell r="S15710">
            <v>227012</v>
          </cell>
        </row>
        <row r="15711">
          <cell r="K15711" t="str">
            <v>201001</v>
          </cell>
          <cell r="M15711">
            <v>3</v>
          </cell>
          <cell r="R15711">
            <v>46000</v>
          </cell>
          <cell r="S15711">
            <v>201001</v>
          </cell>
        </row>
        <row r="15712">
          <cell r="K15712" t="str">
            <v>201001</v>
          </cell>
          <cell r="M15712">
            <v>4</v>
          </cell>
          <cell r="R15712">
            <v>46000</v>
          </cell>
          <cell r="S15712">
            <v>201001</v>
          </cell>
        </row>
        <row r="15713">
          <cell r="K15713" t="str">
            <v>201001</v>
          </cell>
          <cell r="M15713">
            <v>2</v>
          </cell>
          <cell r="R15713">
            <v>46000</v>
          </cell>
          <cell r="S15713">
            <v>201001</v>
          </cell>
        </row>
        <row r="15714">
          <cell r="K15714" t="str">
            <v>228001</v>
          </cell>
          <cell r="M15714">
            <v>1</v>
          </cell>
          <cell r="R15714">
            <v>46000</v>
          </cell>
          <cell r="S15714">
            <v>228001</v>
          </cell>
        </row>
        <row r="15715">
          <cell r="K15715" t="str">
            <v>228001</v>
          </cell>
          <cell r="M15715">
            <v>1</v>
          </cell>
          <cell r="R15715">
            <v>46000</v>
          </cell>
          <cell r="S15715">
            <v>228001</v>
          </cell>
        </row>
        <row r="15716">
          <cell r="K15716" t="str">
            <v>213002</v>
          </cell>
          <cell r="M15716">
            <v>4</v>
          </cell>
          <cell r="R15716">
            <v>46000</v>
          </cell>
          <cell r="S15716">
            <v>213002</v>
          </cell>
        </row>
        <row r="15717">
          <cell r="K15717" t="str">
            <v>218003</v>
          </cell>
          <cell r="M15717">
            <v>3</v>
          </cell>
          <cell r="R15717">
            <v>46000</v>
          </cell>
          <cell r="S15717">
            <v>218003</v>
          </cell>
        </row>
        <row r="15718">
          <cell r="K15718" t="str">
            <v>223002</v>
          </cell>
          <cell r="M15718">
            <v>4</v>
          </cell>
          <cell r="R15718">
            <v>46000</v>
          </cell>
          <cell r="S15718">
            <v>223002</v>
          </cell>
        </row>
        <row r="15719">
          <cell r="K15719" t="str">
            <v>228001</v>
          </cell>
          <cell r="M15719">
            <v>15</v>
          </cell>
          <cell r="R15719">
            <v>46000</v>
          </cell>
          <cell r="S15719">
            <v>228001</v>
          </cell>
        </row>
        <row r="15720">
          <cell r="K15720" t="str">
            <v>231012</v>
          </cell>
          <cell r="M15720">
            <v>2</v>
          </cell>
          <cell r="R15720">
            <v>46000</v>
          </cell>
          <cell r="S15720">
            <v>231012</v>
          </cell>
        </row>
        <row r="15721">
          <cell r="K15721" t="str">
            <v>209016</v>
          </cell>
          <cell r="M15721">
            <v>2</v>
          </cell>
          <cell r="R15721">
            <v>46000</v>
          </cell>
          <cell r="S15721">
            <v>209016</v>
          </cell>
        </row>
        <row r="15722">
          <cell r="K15722" t="str">
            <v>228001</v>
          </cell>
          <cell r="M15722">
            <v>1</v>
          </cell>
          <cell r="R15722">
            <v>46000</v>
          </cell>
          <cell r="S15722">
            <v>228001</v>
          </cell>
        </row>
        <row r="15723">
          <cell r="K15723" t="str">
            <v>229001</v>
          </cell>
          <cell r="M15723">
            <v>10</v>
          </cell>
          <cell r="R15723">
            <v>46000</v>
          </cell>
          <cell r="S15723">
            <v>229001</v>
          </cell>
        </row>
        <row r="15724">
          <cell r="K15724" t="str">
            <v>220002</v>
          </cell>
          <cell r="M15724">
            <v>4</v>
          </cell>
          <cell r="R15724">
            <v>46000</v>
          </cell>
          <cell r="S15724">
            <v>220002</v>
          </cell>
        </row>
        <row r="15725">
          <cell r="K15725" t="str">
            <v>223002</v>
          </cell>
          <cell r="M15725">
            <v>2</v>
          </cell>
          <cell r="R15725">
            <v>46000</v>
          </cell>
          <cell r="S15725">
            <v>223002</v>
          </cell>
        </row>
        <row r="15726">
          <cell r="K15726" t="str">
            <v>213002</v>
          </cell>
          <cell r="M15726">
            <v>4</v>
          </cell>
          <cell r="R15726">
            <v>46000</v>
          </cell>
          <cell r="S15726">
            <v>213002</v>
          </cell>
        </row>
        <row r="15727">
          <cell r="K15727" t="str">
            <v>213002</v>
          </cell>
          <cell r="M15727">
            <v>6</v>
          </cell>
          <cell r="R15727">
            <v>46000</v>
          </cell>
          <cell r="S15727">
            <v>213002</v>
          </cell>
        </row>
        <row r="15728">
          <cell r="K15728" t="str">
            <v>213002</v>
          </cell>
          <cell r="M15728">
            <v>10</v>
          </cell>
          <cell r="R15728">
            <v>46000</v>
          </cell>
          <cell r="S15728">
            <v>213002</v>
          </cell>
        </row>
        <row r="15729">
          <cell r="K15729" t="str">
            <v>213002</v>
          </cell>
          <cell r="M15729">
            <v>6</v>
          </cell>
          <cell r="R15729">
            <v>46000</v>
          </cell>
          <cell r="S15729">
            <v>213002</v>
          </cell>
        </row>
        <row r="15730">
          <cell r="K15730" t="str">
            <v>228001</v>
          </cell>
          <cell r="M15730">
            <v>2</v>
          </cell>
          <cell r="R15730">
            <v>46000</v>
          </cell>
          <cell r="S15730">
            <v>228001</v>
          </cell>
        </row>
        <row r="15731">
          <cell r="K15731" t="str">
            <v>217023</v>
          </cell>
          <cell r="M15731">
            <v>1</v>
          </cell>
          <cell r="R15731">
            <v>46000</v>
          </cell>
          <cell r="S15731">
            <v>217023</v>
          </cell>
        </row>
        <row r="15732">
          <cell r="K15732" t="str">
            <v>241001</v>
          </cell>
          <cell r="M15732">
            <v>15</v>
          </cell>
          <cell r="R15732">
            <v>46000</v>
          </cell>
          <cell r="S15732">
            <v>241001</v>
          </cell>
        </row>
        <row r="15733">
          <cell r="K15733" t="str">
            <v>226001</v>
          </cell>
          <cell r="M15733">
            <v>2</v>
          </cell>
          <cell r="R15733">
            <v>46000</v>
          </cell>
          <cell r="S15733">
            <v>226001</v>
          </cell>
        </row>
        <row r="15734">
          <cell r="K15734" t="str">
            <v>226001</v>
          </cell>
          <cell r="M15734">
            <v>1</v>
          </cell>
          <cell r="R15734">
            <v>46000</v>
          </cell>
          <cell r="S15734">
            <v>226001</v>
          </cell>
        </row>
        <row r="15735">
          <cell r="K15735" t="str">
            <v>226001</v>
          </cell>
          <cell r="M15735">
            <v>1</v>
          </cell>
          <cell r="R15735">
            <v>46000</v>
          </cell>
          <cell r="S15735">
            <v>226001</v>
          </cell>
        </row>
        <row r="15736">
          <cell r="K15736" t="str">
            <v>217018</v>
          </cell>
          <cell r="M15736">
            <v>2</v>
          </cell>
          <cell r="R15736">
            <v>46000</v>
          </cell>
          <cell r="S15736">
            <v>217018</v>
          </cell>
        </row>
        <row r="15737">
          <cell r="K15737" t="str">
            <v>222005</v>
          </cell>
          <cell r="M15737">
            <v>1</v>
          </cell>
          <cell r="R15737">
            <v>46000</v>
          </cell>
          <cell r="S15737">
            <v>222005</v>
          </cell>
        </row>
        <row r="15738">
          <cell r="K15738" t="str">
            <v>228001</v>
          </cell>
          <cell r="M15738">
            <v>1</v>
          </cell>
          <cell r="R15738">
            <v>46000</v>
          </cell>
          <cell r="S15738">
            <v>228001</v>
          </cell>
        </row>
        <row r="15739">
          <cell r="K15739" t="str">
            <v>222005</v>
          </cell>
          <cell r="M15739">
            <v>1</v>
          </cell>
          <cell r="R15739">
            <v>46000</v>
          </cell>
          <cell r="S15739">
            <v>222005</v>
          </cell>
        </row>
        <row r="15740">
          <cell r="K15740" t="str">
            <v>222031</v>
          </cell>
          <cell r="M15740">
            <v>1</v>
          </cell>
          <cell r="R15740">
            <v>46000</v>
          </cell>
          <cell r="S15740">
            <v>222031</v>
          </cell>
        </row>
        <row r="15741">
          <cell r="K15741" t="str">
            <v>212010</v>
          </cell>
          <cell r="M15741">
            <v>10</v>
          </cell>
          <cell r="R15741">
            <v>46000</v>
          </cell>
          <cell r="S15741">
            <v>212010</v>
          </cell>
        </row>
        <row r="15742">
          <cell r="K15742" t="str">
            <v>213002</v>
          </cell>
          <cell r="M15742">
            <v>4</v>
          </cell>
          <cell r="R15742">
            <v>46000</v>
          </cell>
          <cell r="S15742">
            <v>213002</v>
          </cell>
        </row>
        <row r="15743">
          <cell r="K15743" t="str">
            <v>217018</v>
          </cell>
          <cell r="M15743">
            <v>1</v>
          </cell>
          <cell r="R15743">
            <v>46000</v>
          </cell>
          <cell r="S15743">
            <v>217018</v>
          </cell>
        </row>
        <row r="15744">
          <cell r="K15744" t="str">
            <v>201024</v>
          </cell>
          <cell r="M15744">
            <v>1</v>
          </cell>
          <cell r="R15744">
            <v>46000</v>
          </cell>
          <cell r="S15744">
            <v>201024</v>
          </cell>
        </row>
        <row r="15745">
          <cell r="K15745" t="str">
            <v>231012</v>
          </cell>
          <cell r="M15745">
            <v>1</v>
          </cell>
          <cell r="R15745">
            <v>46000</v>
          </cell>
          <cell r="S15745">
            <v>231012</v>
          </cell>
        </row>
        <row r="15746">
          <cell r="K15746" t="str">
            <v>203001</v>
          </cell>
          <cell r="M15746">
            <v>1</v>
          </cell>
          <cell r="R15746">
            <v>46000</v>
          </cell>
          <cell r="S15746">
            <v>203001</v>
          </cell>
        </row>
        <row r="15747">
          <cell r="K15747" t="str">
            <v>213002</v>
          </cell>
          <cell r="M15747">
            <v>1</v>
          </cell>
          <cell r="R15747">
            <v>46000</v>
          </cell>
          <cell r="S15747">
            <v>213002</v>
          </cell>
        </row>
        <row r="15748">
          <cell r="K15748" t="str">
            <v>207017</v>
          </cell>
          <cell r="M15748">
            <v>1</v>
          </cell>
          <cell r="R15748">
            <v>46000</v>
          </cell>
          <cell r="S15748">
            <v>207017</v>
          </cell>
        </row>
        <row r="15749">
          <cell r="K15749" t="str">
            <v>203001</v>
          </cell>
          <cell r="M15749">
            <v>1</v>
          </cell>
          <cell r="R15749">
            <v>46000</v>
          </cell>
          <cell r="S15749">
            <v>203001</v>
          </cell>
        </row>
        <row r="15750">
          <cell r="K15750" t="str">
            <v>213002</v>
          </cell>
          <cell r="M15750">
            <v>1</v>
          </cell>
          <cell r="R15750">
            <v>46000</v>
          </cell>
          <cell r="S15750">
            <v>213002</v>
          </cell>
        </row>
        <row r="15751">
          <cell r="K15751" t="str">
            <v>231012</v>
          </cell>
          <cell r="M15751">
            <v>1</v>
          </cell>
          <cell r="R15751">
            <v>46000</v>
          </cell>
          <cell r="S15751">
            <v>231012</v>
          </cell>
        </row>
        <row r="15752">
          <cell r="K15752" t="str">
            <v>209004</v>
          </cell>
          <cell r="M15752">
            <v>1</v>
          </cell>
          <cell r="R15752">
            <v>46000</v>
          </cell>
          <cell r="S15752">
            <v>209004</v>
          </cell>
        </row>
        <row r="15753">
          <cell r="K15753" t="str">
            <v>209012</v>
          </cell>
          <cell r="M15753">
            <v>1</v>
          </cell>
          <cell r="R15753">
            <v>46000</v>
          </cell>
          <cell r="S15753">
            <v>209012</v>
          </cell>
        </row>
        <row r="15754">
          <cell r="K15754" t="str">
            <v>223002</v>
          </cell>
          <cell r="M15754">
            <v>2</v>
          </cell>
          <cell r="R15754">
            <v>46000</v>
          </cell>
          <cell r="S15754">
            <v>223002</v>
          </cell>
        </row>
        <row r="15755">
          <cell r="K15755" t="str">
            <v>223001</v>
          </cell>
          <cell r="M15755">
            <v>1</v>
          </cell>
          <cell r="R15755">
            <v>46000</v>
          </cell>
          <cell r="S15755">
            <v>223001</v>
          </cell>
        </row>
        <row r="15756">
          <cell r="K15756" t="str">
            <v>227002</v>
          </cell>
          <cell r="M15756">
            <v>1</v>
          </cell>
          <cell r="R15756">
            <v>46000</v>
          </cell>
          <cell r="S15756">
            <v>227002</v>
          </cell>
        </row>
        <row r="15757">
          <cell r="K15757" t="str">
            <v>213002</v>
          </cell>
          <cell r="M15757">
            <v>2</v>
          </cell>
          <cell r="R15757">
            <v>46000</v>
          </cell>
          <cell r="S15757">
            <v>213002</v>
          </cell>
        </row>
        <row r="15758">
          <cell r="K15758" t="str">
            <v>208001</v>
          </cell>
          <cell r="M15758">
            <v>5</v>
          </cell>
          <cell r="R15758">
            <v>46000</v>
          </cell>
          <cell r="S15758">
            <v>208001</v>
          </cell>
        </row>
        <row r="15759">
          <cell r="K15759" t="str">
            <v>202001</v>
          </cell>
          <cell r="M15759">
            <v>2</v>
          </cell>
          <cell r="R15759">
            <v>46000</v>
          </cell>
          <cell r="S15759">
            <v>202001</v>
          </cell>
        </row>
        <row r="15760">
          <cell r="K15760" t="str">
            <v>226024</v>
          </cell>
          <cell r="M15760">
            <v>1</v>
          </cell>
          <cell r="R15760">
            <v>46000</v>
          </cell>
          <cell r="S15760">
            <v>226024</v>
          </cell>
        </row>
        <row r="15761">
          <cell r="K15761" t="str">
            <v>228001</v>
          </cell>
          <cell r="M15761">
            <v>1</v>
          </cell>
          <cell r="R15761">
            <v>46000</v>
          </cell>
          <cell r="S15761">
            <v>228001</v>
          </cell>
        </row>
        <row r="15762">
          <cell r="K15762" t="str">
            <v>201022</v>
          </cell>
          <cell r="M15762">
            <v>1</v>
          </cell>
          <cell r="R15762">
            <v>46000</v>
          </cell>
          <cell r="S15762">
            <v>201022</v>
          </cell>
        </row>
        <row r="15763">
          <cell r="K15763" t="str">
            <v>227002</v>
          </cell>
          <cell r="M15763">
            <v>1</v>
          </cell>
          <cell r="R15763">
            <v>46000</v>
          </cell>
          <cell r="S15763">
            <v>227002</v>
          </cell>
        </row>
        <row r="15764">
          <cell r="K15764" t="str">
            <v>223001</v>
          </cell>
          <cell r="M15764">
            <v>3</v>
          </cell>
          <cell r="R15764">
            <v>46000</v>
          </cell>
          <cell r="S15764">
            <v>223001</v>
          </cell>
        </row>
        <row r="15765">
          <cell r="K15765" t="str">
            <v>212035</v>
          </cell>
          <cell r="M15765">
            <v>4</v>
          </cell>
          <cell r="R15765">
            <v>46000</v>
          </cell>
          <cell r="S15765">
            <v>212035</v>
          </cell>
        </row>
        <row r="15766">
          <cell r="K15766" t="str">
            <v>231012</v>
          </cell>
          <cell r="M15766">
            <v>1</v>
          </cell>
          <cell r="R15766">
            <v>46000</v>
          </cell>
          <cell r="S15766">
            <v>231012</v>
          </cell>
        </row>
        <row r="15767">
          <cell r="K15767" t="str">
            <v>203001</v>
          </cell>
          <cell r="M15767">
            <v>1</v>
          </cell>
          <cell r="R15767">
            <v>46000</v>
          </cell>
          <cell r="S15767">
            <v>203001</v>
          </cell>
        </row>
        <row r="15768">
          <cell r="K15768" t="str">
            <v>223001</v>
          </cell>
          <cell r="M15768">
            <v>1</v>
          </cell>
          <cell r="R15768">
            <v>46000</v>
          </cell>
          <cell r="S15768">
            <v>223001</v>
          </cell>
        </row>
        <row r="15769">
          <cell r="K15769" t="str">
            <v>223005</v>
          </cell>
          <cell r="M15769">
            <v>1</v>
          </cell>
          <cell r="R15769">
            <v>46000</v>
          </cell>
          <cell r="S15769">
            <v>223005</v>
          </cell>
        </row>
        <row r="15770">
          <cell r="K15770" t="str">
            <v>206005</v>
          </cell>
          <cell r="M15770">
            <v>1</v>
          </cell>
          <cell r="R15770">
            <v>46000</v>
          </cell>
          <cell r="S15770">
            <v>206005</v>
          </cell>
        </row>
        <row r="15771">
          <cell r="K15771" t="str">
            <v>201001</v>
          </cell>
          <cell r="M15771">
            <v>36</v>
          </cell>
          <cell r="R15771">
            <v>46000</v>
          </cell>
          <cell r="S15771">
            <v>201001</v>
          </cell>
        </row>
        <row r="15772">
          <cell r="K15772" t="str">
            <v>210010</v>
          </cell>
          <cell r="M15772">
            <v>3</v>
          </cell>
          <cell r="R15772">
            <v>46000</v>
          </cell>
          <cell r="S15772">
            <v>210010</v>
          </cell>
        </row>
        <row r="15773">
          <cell r="K15773" t="str">
            <v>223002</v>
          </cell>
          <cell r="M15773">
            <v>1</v>
          </cell>
          <cell r="R15773">
            <v>46000</v>
          </cell>
          <cell r="S15773">
            <v>223002</v>
          </cell>
        </row>
        <row r="15774">
          <cell r="K15774" t="str">
            <v>223001</v>
          </cell>
          <cell r="M15774">
            <v>2</v>
          </cell>
          <cell r="R15774">
            <v>46000</v>
          </cell>
          <cell r="S15774">
            <v>223001</v>
          </cell>
        </row>
        <row r="15775">
          <cell r="K15775" t="str">
            <v>227012</v>
          </cell>
          <cell r="M15775">
            <v>1</v>
          </cell>
          <cell r="R15775">
            <v>46000</v>
          </cell>
          <cell r="S15775">
            <v>227012</v>
          </cell>
        </row>
        <row r="15776">
          <cell r="K15776" t="str">
            <v>213002</v>
          </cell>
          <cell r="M15776">
            <v>1</v>
          </cell>
          <cell r="R15776">
            <v>46000</v>
          </cell>
          <cell r="S15776">
            <v>213002</v>
          </cell>
        </row>
        <row r="15777">
          <cell r="K15777" t="str">
            <v>227014</v>
          </cell>
          <cell r="M15777">
            <v>1</v>
          </cell>
          <cell r="R15777">
            <v>46000</v>
          </cell>
          <cell r="S15777">
            <v>227014</v>
          </cell>
        </row>
        <row r="15778">
          <cell r="K15778" t="str">
            <v>223007</v>
          </cell>
          <cell r="M15778">
            <v>4</v>
          </cell>
          <cell r="R15778">
            <v>46000</v>
          </cell>
          <cell r="S15778">
            <v>223007</v>
          </cell>
        </row>
        <row r="15779">
          <cell r="K15779" t="str">
            <v>223002</v>
          </cell>
          <cell r="M15779">
            <v>1</v>
          </cell>
          <cell r="R15779">
            <v>46000</v>
          </cell>
          <cell r="S15779">
            <v>223002</v>
          </cell>
        </row>
        <row r="15780">
          <cell r="K15780" t="str">
            <v>227012</v>
          </cell>
          <cell r="M15780">
            <v>1</v>
          </cell>
          <cell r="R15780">
            <v>46000</v>
          </cell>
          <cell r="S15780">
            <v>227012</v>
          </cell>
        </row>
        <row r="15781">
          <cell r="K15781" t="str">
            <v>207017</v>
          </cell>
          <cell r="M15781">
            <v>1</v>
          </cell>
          <cell r="R15781">
            <v>46000</v>
          </cell>
          <cell r="S15781">
            <v>207017</v>
          </cell>
        </row>
        <row r="15782">
          <cell r="K15782" t="str">
            <v>231012</v>
          </cell>
          <cell r="M15782">
            <v>1</v>
          </cell>
          <cell r="R15782">
            <v>46000</v>
          </cell>
          <cell r="S15782">
            <v>231012</v>
          </cell>
        </row>
        <row r="15783">
          <cell r="K15783" t="str">
            <v>231004</v>
          </cell>
          <cell r="M15783">
            <v>1</v>
          </cell>
          <cell r="R15783">
            <v>46000</v>
          </cell>
          <cell r="S15783">
            <v>231004</v>
          </cell>
        </row>
        <row r="15784">
          <cell r="K15784" t="str">
            <v>231004</v>
          </cell>
          <cell r="M15784">
            <v>1</v>
          </cell>
          <cell r="R15784">
            <v>46000</v>
          </cell>
          <cell r="S15784">
            <v>231004</v>
          </cell>
        </row>
        <row r="15785">
          <cell r="K15785" t="str">
            <v>208001</v>
          </cell>
          <cell r="M15785">
            <v>2</v>
          </cell>
          <cell r="R15785">
            <v>46000</v>
          </cell>
          <cell r="S15785">
            <v>208001</v>
          </cell>
        </row>
        <row r="15786">
          <cell r="K15786" t="str">
            <v>223002</v>
          </cell>
          <cell r="M15786">
            <v>1</v>
          </cell>
          <cell r="R15786">
            <v>46000</v>
          </cell>
          <cell r="S15786">
            <v>223002</v>
          </cell>
        </row>
        <row r="15787">
          <cell r="K15787" t="str">
            <v>227002</v>
          </cell>
          <cell r="M15787">
            <v>1</v>
          </cell>
          <cell r="R15787">
            <v>46000</v>
          </cell>
          <cell r="S15787">
            <v>227002</v>
          </cell>
        </row>
        <row r="15788">
          <cell r="K15788" t="str">
            <v>213002</v>
          </cell>
          <cell r="M15788">
            <v>1</v>
          </cell>
          <cell r="R15788">
            <v>46000</v>
          </cell>
          <cell r="S15788">
            <v>213002</v>
          </cell>
        </row>
        <row r="15789">
          <cell r="K15789" t="str">
            <v>232001</v>
          </cell>
          <cell r="M15789">
            <v>1</v>
          </cell>
          <cell r="R15789">
            <v>46000</v>
          </cell>
          <cell r="S15789">
            <v>232001</v>
          </cell>
        </row>
        <row r="15790">
          <cell r="K15790" t="str">
            <v>223002</v>
          </cell>
          <cell r="M15790">
            <v>6</v>
          </cell>
          <cell r="R15790">
            <v>46000</v>
          </cell>
          <cell r="S15790">
            <v>223002</v>
          </cell>
        </row>
        <row r="15791">
          <cell r="K15791" t="str">
            <v>223001</v>
          </cell>
          <cell r="M15791">
            <v>1</v>
          </cell>
          <cell r="R15791">
            <v>46000</v>
          </cell>
          <cell r="S15791">
            <v>223001</v>
          </cell>
        </row>
        <row r="15792">
          <cell r="K15792" t="str">
            <v>227012</v>
          </cell>
          <cell r="M15792">
            <v>3</v>
          </cell>
          <cell r="R15792">
            <v>46000</v>
          </cell>
          <cell r="S15792">
            <v>227012</v>
          </cell>
        </row>
        <row r="15793">
          <cell r="K15793" t="str">
            <v>217022</v>
          </cell>
          <cell r="M15793">
            <v>3</v>
          </cell>
          <cell r="R15793">
            <v>46000</v>
          </cell>
          <cell r="S15793">
            <v>217022</v>
          </cell>
        </row>
        <row r="15794">
          <cell r="K15794" t="str">
            <v>231004</v>
          </cell>
          <cell r="M15794">
            <v>1</v>
          </cell>
          <cell r="R15794">
            <v>46000</v>
          </cell>
          <cell r="S15794">
            <v>231004</v>
          </cell>
        </row>
        <row r="15795">
          <cell r="K15795" t="str">
            <v>213002</v>
          </cell>
          <cell r="M15795">
            <v>1</v>
          </cell>
          <cell r="R15795">
            <v>46000</v>
          </cell>
          <cell r="S15795">
            <v>213002</v>
          </cell>
        </row>
        <row r="15796">
          <cell r="K15796" t="str">
            <v>223007</v>
          </cell>
          <cell r="M15796">
            <v>4</v>
          </cell>
          <cell r="R15796">
            <v>46000</v>
          </cell>
          <cell r="S15796">
            <v>223007</v>
          </cell>
        </row>
        <row r="15797">
          <cell r="K15797" t="str">
            <v>231010</v>
          </cell>
          <cell r="M15797">
            <v>1</v>
          </cell>
          <cell r="R15797">
            <v>46001</v>
          </cell>
          <cell r="S15797">
            <v>231010</v>
          </cell>
        </row>
        <row r="15798">
          <cell r="K15798" t="str">
            <v>210013</v>
          </cell>
          <cell r="M15798">
            <v>2</v>
          </cell>
          <cell r="R15798">
            <v>46001</v>
          </cell>
          <cell r="S15798">
            <v>210013</v>
          </cell>
        </row>
        <row r="15799">
          <cell r="K15799" t="str">
            <v>226026</v>
          </cell>
          <cell r="M15799">
            <v>3</v>
          </cell>
          <cell r="R15799">
            <v>46000</v>
          </cell>
          <cell r="S15799">
            <v>226026</v>
          </cell>
        </row>
        <row r="15800">
          <cell r="K15800" t="str">
            <v>234001</v>
          </cell>
          <cell r="M15800">
            <v>10</v>
          </cell>
          <cell r="R15800">
            <v>46000</v>
          </cell>
          <cell r="S15800">
            <v>234001</v>
          </cell>
        </row>
        <row r="15801">
          <cell r="K15801" t="str">
            <v>241001</v>
          </cell>
          <cell r="M15801">
            <v>4</v>
          </cell>
          <cell r="R15801">
            <v>46000</v>
          </cell>
          <cell r="S15801">
            <v>241001</v>
          </cell>
        </row>
        <row r="15802">
          <cell r="K15802" t="str">
            <v>210015</v>
          </cell>
          <cell r="M15802">
            <v>2</v>
          </cell>
          <cell r="R15802">
            <v>46000</v>
          </cell>
          <cell r="S15802">
            <v>210015</v>
          </cell>
        </row>
        <row r="15803">
          <cell r="K15803" t="str">
            <v>228001</v>
          </cell>
          <cell r="M15803">
            <v>2</v>
          </cell>
          <cell r="R15803">
            <v>46000</v>
          </cell>
          <cell r="S15803">
            <v>228001</v>
          </cell>
        </row>
        <row r="15804">
          <cell r="K15804" t="str">
            <v>220002</v>
          </cell>
          <cell r="M15804">
            <v>1</v>
          </cell>
          <cell r="R15804">
            <v>46000</v>
          </cell>
          <cell r="S15804">
            <v>220002</v>
          </cell>
        </row>
        <row r="15805">
          <cell r="K15805" t="str">
            <v>207017</v>
          </cell>
          <cell r="M15805">
            <v>1</v>
          </cell>
          <cell r="R15805">
            <v>46000</v>
          </cell>
          <cell r="S15805">
            <v>207017</v>
          </cell>
        </row>
        <row r="15806">
          <cell r="K15806" t="str">
            <v>226024</v>
          </cell>
          <cell r="M15806">
            <v>2</v>
          </cell>
          <cell r="R15806">
            <v>46000</v>
          </cell>
          <cell r="S15806">
            <v>226024</v>
          </cell>
        </row>
        <row r="15807">
          <cell r="K15807" t="str">
            <v>226001</v>
          </cell>
          <cell r="M15807">
            <v>2</v>
          </cell>
          <cell r="R15807">
            <v>46001</v>
          </cell>
          <cell r="S15807">
            <v>226001</v>
          </cell>
        </row>
        <row r="15808">
          <cell r="K15808" t="str">
            <v>228001</v>
          </cell>
          <cell r="M15808">
            <v>1</v>
          </cell>
          <cell r="R15808">
            <v>46001</v>
          </cell>
          <cell r="S15808">
            <v>228001</v>
          </cell>
        </row>
        <row r="15809">
          <cell r="K15809" t="str">
            <v>228001</v>
          </cell>
          <cell r="M15809">
            <v>1</v>
          </cell>
          <cell r="R15809">
            <v>46001</v>
          </cell>
          <cell r="S15809">
            <v>228001</v>
          </cell>
        </row>
        <row r="15810">
          <cell r="K15810" t="str">
            <v>213002</v>
          </cell>
          <cell r="M15810">
            <v>2</v>
          </cell>
          <cell r="R15810">
            <v>46001</v>
          </cell>
          <cell r="S15810">
            <v>213002</v>
          </cell>
        </row>
        <row r="15811">
          <cell r="K15811" t="str">
            <v>220002</v>
          </cell>
          <cell r="M15811">
            <v>1</v>
          </cell>
          <cell r="R15811">
            <v>46001</v>
          </cell>
          <cell r="S15811">
            <v>220002</v>
          </cell>
        </row>
        <row r="15812">
          <cell r="K15812" t="str">
            <v>223003</v>
          </cell>
          <cell r="M15812">
            <v>1</v>
          </cell>
          <cell r="R15812">
            <v>46001</v>
          </cell>
          <cell r="S15812">
            <v>223003</v>
          </cell>
        </row>
        <row r="15813">
          <cell r="K15813" t="str">
            <v>241001</v>
          </cell>
          <cell r="M15813">
            <v>5</v>
          </cell>
          <cell r="R15813">
            <v>46001</v>
          </cell>
          <cell r="S15813">
            <v>241001</v>
          </cell>
        </row>
        <row r="15814">
          <cell r="K15814" t="str">
            <v>228001</v>
          </cell>
          <cell r="M15814">
            <v>5</v>
          </cell>
          <cell r="R15814">
            <v>46001</v>
          </cell>
          <cell r="S15814">
            <v>228001</v>
          </cell>
        </row>
        <row r="15815">
          <cell r="K15815" t="str">
            <v>227014</v>
          </cell>
          <cell r="M15815">
            <v>2</v>
          </cell>
          <cell r="R15815">
            <v>46001</v>
          </cell>
          <cell r="S15815">
            <v>227014</v>
          </cell>
        </row>
        <row r="15816">
          <cell r="K15816" t="str">
            <v>227012</v>
          </cell>
          <cell r="M15816">
            <v>2</v>
          </cell>
          <cell r="R15816">
            <v>46001</v>
          </cell>
          <cell r="S15816">
            <v>227012</v>
          </cell>
        </row>
        <row r="15817">
          <cell r="K15817" t="str">
            <v>217006</v>
          </cell>
          <cell r="M15817">
            <v>2</v>
          </cell>
          <cell r="R15817">
            <v>46001</v>
          </cell>
          <cell r="S15817">
            <v>217006</v>
          </cell>
        </row>
        <row r="15818">
          <cell r="K15818" t="str">
            <v>217011</v>
          </cell>
          <cell r="M15818">
            <v>2</v>
          </cell>
          <cell r="R15818">
            <v>46001</v>
          </cell>
          <cell r="S15818">
            <v>217011</v>
          </cell>
        </row>
        <row r="15819">
          <cell r="K15819" t="str">
            <v>206002</v>
          </cell>
          <cell r="M15819">
            <v>3</v>
          </cell>
          <cell r="R15819">
            <v>46001</v>
          </cell>
          <cell r="S15819">
            <v>206002</v>
          </cell>
        </row>
        <row r="15820">
          <cell r="K15820" t="str">
            <v>229004</v>
          </cell>
          <cell r="M15820">
            <v>10</v>
          </cell>
          <cell r="R15820">
            <v>46001</v>
          </cell>
          <cell r="S15820">
            <v>229004</v>
          </cell>
        </row>
        <row r="15821">
          <cell r="K15821" t="str">
            <v>228001</v>
          </cell>
          <cell r="M15821">
            <v>60</v>
          </cell>
          <cell r="R15821">
            <v>46001</v>
          </cell>
          <cell r="S15821">
            <v>228001</v>
          </cell>
        </row>
        <row r="15822">
          <cell r="K15822" t="str">
            <v>213002</v>
          </cell>
          <cell r="M15822">
            <v>6</v>
          </cell>
          <cell r="R15822">
            <v>46001</v>
          </cell>
          <cell r="S15822">
            <v>213002</v>
          </cell>
        </row>
        <row r="15823">
          <cell r="K15823" t="str">
            <v>213002</v>
          </cell>
          <cell r="M15823">
            <v>10</v>
          </cell>
          <cell r="R15823">
            <v>46001</v>
          </cell>
          <cell r="S15823">
            <v>213002</v>
          </cell>
        </row>
        <row r="15824">
          <cell r="K15824" t="str">
            <v>213030</v>
          </cell>
          <cell r="M15824">
            <v>1</v>
          </cell>
          <cell r="R15824">
            <v>46001</v>
          </cell>
          <cell r="S15824">
            <v>213030</v>
          </cell>
        </row>
        <row r="15825">
          <cell r="K15825" t="str">
            <v>228001</v>
          </cell>
          <cell r="M15825">
            <v>25</v>
          </cell>
          <cell r="R15825">
            <v>46001</v>
          </cell>
          <cell r="S15825">
            <v>228001</v>
          </cell>
        </row>
        <row r="15826">
          <cell r="K15826" t="str">
            <v>201001</v>
          </cell>
          <cell r="M15826">
            <v>17</v>
          </cell>
          <cell r="R15826">
            <v>46001</v>
          </cell>
          <cell r="S15826">
            <v>201001</v>
          </cell>
        </row>
        <row r="15827">
          <cell r="K15827" t="str">
            <v>201001</v>
          </cell>
          <cell r="M15827">
            <v>16</v>
          </cell>
          <cell r="R15827">
            <v>46001</v>
          </cell>
          <cell r="S15827">
            <v>201001</v>
          </cell>
        </row>
        <row r="15828">
          <cell r="K15828" t="str">
            <v>231010</v>
          </cell>
          <cell r="M15828">
            <v>1</v>
          </cell>
          <cell r="R15828">
            <v>46001</v>
          </cell>
          <cell r="S15828">
            <v>231010</v>
          </cell>
        </row>
        <row r="15829">
          <cell r="K15829" t="str">
            <v>228001</v>
          </cell>
          <cell r="M15829">
            <v>1</v>
          </cell>
          <cell r="R15829">
            <v>46002</v>
          </cell>
          <cell r="S15829">
            <v>228001</v>
          </cell>
        </row>
        <row r="15830">
          <cell r="K15830" t="str">
            <v>231012</v>
          </cell>
          <cell r="M15830">
            <v>1</v>
          </cell>
          <cell r="R15830">
            <v>46002</v>
          </cell>
          <cell r="S15830">
            <v>231012</v>
          </cell>
        </row>
        <row r="15831">
          <cell r="K15831" t="str">
            <v>226022</v>
          </cell>
          <cell r="M15831">
            <v>1</v>
          </cell>
          <cell r="R15831">
            <v>46002</v>
          </cell>
          <cell r="S15831">
            <v>226022</v>
          </cell>
        </row>
        <row r="15832">
          <cell r="K15832" t="str">
            <v>203003</v>
          </cell>
          <cell r="M15832">
            <v>1</v>
          </cell>
          <cell r="R15832">
            <v>46002</v>
          </cell>
          <cell r="S15832">
            <v>203003</v>
          </cell>
        </row>
        <row r="15833">
          <cell r="K15833" t="str">
            <v>207017</v>
          </cell>
          <cell r="M15833">
            <v>1</v>
          </cell>
          <cell r="R15833">
            <v>46002</v>
          </cell>
          <cell r="S15833">
            <v>207017</v>
          </cell>
        </row>
        <row r="15834">
          <cell r="K15834" t="str">
            <v>217022</v>
          </cell>
          <cell r="M15834">
            <v>2</v>
          </cell>
          <cell r="R15834">
            <v>46001</v>
          </cell>
          <cell r="S15834">
            <v>217022</v>
          </cell>
        </row>
        <row r="15835">
          <cell r="K15835" t="str">
            <v>228001</v>
          </cell>
          <cell r="M15835">
            <v>2</v>
          </cell>
          <cell r="R15835">
            <v>46001</v>
          </cell>
          <cell r="S15835">
            <v>228001</v>
          </cell>
        </row>
        <row r="15836">
          <cell r="K15836" t="str">
            <v>207017</v>
          </cell>
          <cell r="M15836">
            <v>1</v>
          </cell>
          <cell r="R15836">
            <v>46001</v>
          </cell>
          <cell r="S15836">
            <v>207017</v>
          </cell>
        </row>
        <row r="15837">
          <cell r="K15837" t="str">
            <v>231010</v>
          </cell>
          <cell r="M15837">
            <v>1</v>
          </cell>
          <cell r="R15837">
            <v>46001</v>
          </cell>
          <cell r="S15837">
            <v>231010</v>
          </cell>
        </row>
        <row r="15838">
          <cell r="K15838" t="str">
            <v>212002</v>
          </cell>
          <cell r="M15838">
            <v>1</v>
          </cell>
          <cell r="R15838">
            <v>46001</v>
          </cell>
          <cell r="S15838">
            <v>212002</v>
          </cell>
        </row>
        <row r="15839">
          <cell r="K15839" t="str">
            <v>226023</v>
          </cell>
          <cell r="M15839">
            <v>1</v>
          </cell>
          <cell r="R15839">
            <v>46002</v>
          </cell>
          <cell r="S15839">
            <v>226023</v>
          </cell>
        </row>
        <row r="15840">
          <cell r="K15840" t="str">
            <v>226025</v>
          </cell>
          <cell r="M15840">
            <v>2</v>
          </cell>
          <cell r="R15840">
            <v>46002</v>
          </cell>
          <cell r="S15840">
            <v>226025</v>
          </cell>
        </row>
        <row r="15841">
          <cell r="K15841" t="str">
            <v>223002</v>
          </cell>
          <cell r="M15841">
            <v>1</v>
          </cell>
          <cell r="R15841">
            <v>46001</v>
          </cell>
          <cell r="S15841">
            <v>223002</v>
          </cell>
        </row>
        <row r="15842">
          <cell r="K15842" t="str">
            <v>223001</v>
          </cell>
          <cell r="M15842">
            <v>1</v>
          </cell>
          <cell r="R15842">
            <v>46001</v>
          </cell>
          <cell r="S15842">
            <v>223001</v>
          </cell>
        </row>
        <row r="15843">
          <cell r="K15843" t="str">
            <v>227001</v>
          </cell>
          <cell r="M15843">
            <v>1</v>
          </cell>
          <cell r="R15843">
            <v>46001</v>
          </cell>
          <cell r="S15843">
            <v>227001</v>
          </cell>
        </row>
        <row r="15844">
          <cell r="K15844" t="str">
            <v>229001</v>
          </cell>
          <cell r="M15844">
            <v>1</v>
          </cell>
          <cell r="R15844">
            <v>46001</v>
          </cell>
          <cell r="S15844">
            <v>229001</v>
          </cell>
        </row>
        <row r="15845">
          <cell r="K15845" t="str">
            <v>210014</v>
          </cell>
          <cell r="M15845">
            <v>2</v>
          </cell>
          <cell r="R15845">
            <v>46002</v>
          </cell>
          <cell r="S15845">
            <v>210014</v>
          </cell>
        </row>
        <row r="15846">
          <cell r="K15846" t="str">
            <v>228001</v>
          </cell>
          <cell r="M15846">
            <v>4</v>
          </cell>
          <cell r="R15846">
            <v>46002</v>
          </cell>
          <cell r="S15846">
            <v>228001</v>
          </cell>
        </row>
        <row r="15847">
          <cell r="K15847" t="str">
            <v>223002</v>
          </cell>
          <cell r="M15847">
            <v>2</v>
          </cell>
          <cell r="R15847">
            <v>46002</v>
          </cell>
          <cell r="S15847">
            <v>223002</v>
          </cell>
        </row>
        <row r="15848">
          <cell r="K15848" t="str">
            <v>228001</v>
          </cell>
          <cell r="M15848">
            <v>1</v>
          </cell>
          <cell r="R15848">
            <v>46002</v>
          </cell>
          <cell r="S15848">
            <v>228001</v>
          </cell>
        </row>
        <row r="15849">
          <cell r="K15849" t="str">
            <v>212035</v>
          </cell>
          <cell r="M15849">
            <v>2</v>
          </cell>
          <cell r="R15849">
            <v>46002</v>
          </cell>
          <cell r="S15849">
            <v>212035</v>
          </cell>
        </row>
        <row r="15850">
          <cell r="K15850" t="str">
            <v>228001</v>
          </cell>
          <cell r="M15850">
            <v>2</v>
          </cell>
          <cell r="R15850">
            <v>46002</v>
          </cell>
          <cell r="S15850">
            <v>228001</v>
          </cell>
        </row>
        <row r="15851">
          <cell r="K15851" t="str">
            <v>212035</v>
          </cell>
          <cell r="M15851">
            <v>2</v>
          </cell>
          <cell r="R15851">
            <v>46002</v>
          </cell>
          <cell r="S15851">
            <v>212035</v>
          </cell>
        </row>
        <row r="15852">
          <cell r="K15852" t="str">
            <v>201009</v>
          </cell>
          <cell r="M15852">
            <v>1</v>
          </cell>
          <cell r="R15852">
            <v>46002</v>
          </cell>
          <cell r="S15852">
            <v>201009</v>
          </cell>
        </row>
        <row r="15853">
          <cell r="K15853" t="str">
            <v>209017</v>
          </cell>
          <cell r="M15853">
            <v>2</v>
          </cell>
          <cell r="R15853">
            <v>46002</v>
          </cell>
          <cell r="S15853">
            <v>209017</v>
          </cell>
        </row>
        <row r="15854">
          <cell r="K15854" t="str">
            <v>231010</v>
          </cell>
          <cell r="M15854">
            <v>1</v>
          </cell>
          <cell r="R15854">
            <v>46002</v>
          </cell>
          <cell r="S15854">
            <v>231010</v>
          </cell>
        </row>
        <row r="15855">
          <cell r="K15855" t="str">
            <v>203003</v>
          </cell>
          <cell r="M15855">
            <v>1</v>
          </cell>
          <cell r="R15855">
            <v>46002</v>
          </cell>
          <cell r="S15855">
            <v>203003</v>
          </cell>
        </row>
        <row r="15856">
          <cell r="K15856" t="str">
            <v>226022</v>
          </cell>
          <cell r="M15856">
            <v>1</v>
          </cell>
          <cell r="R15856">
            <v>46002</v>
          </cell>
          <cell r="S15856">
            <v>226022</v>
          </cell>
        </row>
        <row r="15857">
          <cell r="K15857" t="str">
            <v>218003</v>
          </cell>
          <cell r="M15857">
            <v>1</v>
          </cell>
          <cell r="R15857">
            <v>46002</v>
          </cell>
          <cell r="S15857">
            <v>218003</v>
          </cell>
        </row>
        <row r="15858">
          <cell r="K15858" t="str">
            <v>227002</v>
          </cell>
          <cell r="M15858">
            <v>1</v>
          </cell>
          <cell r="R15858">
            <v>46002</v>
          </cell>
          <cell r="S15858">
            <v>227002</v>
          </cell>
        </row>
        <row r="15859">
          <cell r="K15859" t="str">
            <v>224001</v>
          </cell>
          <cell r="M15859">
            <v>1</v>
          </cell>
          <cell r="R15859">
            <v>46002</v>
          </cell>
          <cell r="S15859">
            <v>224001</v>
          </cell>
        </row>
        <row r="15860">
          <cell r="K15860" t="str">
            <v>212002</v>
          </cell>
          <cell r="M15860">
            <v>1</v>
          </cell>
          <cell r="R15860">
            <v>46002</v>
          </cell>
          <cell r="S15860">
            <v>212002</v>
          </cell>
        </row>
        <row r="15861">
          <cell r="K15861" t="str">
            <v>203004</v>
          </cell>
          <cell r="M15861">
            <v>1</v>
          </cell>
          <cell r="R15861">
            <v>46002</v>
          </cell>
          <cell r="S15861">
            <v>203004</v>
          </cell>
        </row>
        <row r="15862">
          <cell r="K15862" t="str">
            <v>234011</v>
          </cell>
          <cell r="M15862">
            <v>1</v>
          </cell>
          <cell r="R15862">
            <v>46002</v>
          </cell>
          <cell r="S15862">
            <v>234011</v>
          </cell>
        </row>
        <row r="15863">
          <cell r="K15863" t="str">
            <v>220002</v>
          </cell>
          <cell r="M15863">
            <v>2</v>
          </cell>
          <cell r="R15863">
            <v>46002</v>
          </cell>
          <cell r="S15863">
            <v>220002</v>
          </cell>
        </row>
        <row r="15864">
          <cell r="K15864" t="str">
            <v>209001</v>
          </cell>
          <cell r="M15864">
            <v>1</v>
          </cell>
          <cell r="R15864">
            <v>46002</v>
          </cell>
          <cell r="S15864">
            <v>209001</v>
          </cell>
        </row>
        <row r="15865">
          <cell r="K15865" t="str">
            <v>201011</v>
          </cell>
          <cell r="M15865">
            <v>5</v>
          </cell>
          <cell r="R15865">
            <v>46002</v>
          </cell>
          <cell r="S15865">
            <v>201011</v>
          </cell>
        </row>
        <row r="15866">
          <cell r="K15866" t="str">
            <v>228001</v>
          </cell>
          <cell r="M15866">
            <v>8</v>
          </cell>
          <cell r="R15866">
            <v>46002</v>
          </cell>
          <cell r="S15866">
            <v>228001</v>
          </cell>
        </row>
        <row r="15867">
          <cell r="K15867" t="str">
            <v>220002</v>
          </cell>
          <cell r="M15867">
            <v>4</v>
          </cell>
          <cell r="R15867">
            <v>46002</v>
          </cell>
          <cell r="S15867">
            <v>220002</v>
          </cell>
        </row>
        <row r="15868">
          <cell r="K15868" t="str">
            <v>241001</v>
          </cell>
          <cell r="M15868">
            <v>16</v>
          </cell>
          <cell r="R15868">
            <v>46002</v>
          </cell>
          <cell r="S15868">
            <v>241001</v>
          </cell>
        </row>
        <row r="15869">
          <cell r="K15869" t="str">
            <v>201024</v>
          </cell>
          <cell r="M15869">
            <v>2</v>
          </cell>
          <cell r="R15869">
            <v>46002</v>
          </cell>
          <cell r="S15869">
            <v>201024</v>
          </cell>
        </row>
        <row r="15870">
          <cell r="K15870" t="str">
            <v>201024</v>
          </cell>
          <cell r="M15870">
            <v>3</v>
          </cell>
          <cell r="R15870">
            <v>46002</v>
          </cell>
          <cell r="S15870">
            <v>201024</v>
          </cell>
        </row>
        <row r="15871">
          <cell r="K15871" t="str">
            <v>217018</v>
          </cell>
          <cell r="M15871">
            <v>2</v>
          </cell>
          <cell r="R15871">
            <v>46002</v>
          </cell>
          <cell r="S15871">
            <v>217018</v>
          </cell>
        </row>
        <row r="15872">
          <cell r="K15872" t="str">
            <v>209001</v>
          </cell>
          <cell r="M15872">
            <v>2</v>
          </cell>
          <cell r="R15872">
            <v>46002</v>
          </cell>
          <cell r="S15872">
            <v>209001</v>
          </cell>
        </row>
        <row r="15873">
          <cell r="K15873" t="str">
            <v>209012</v>
          </cell>
          <cell r="M15873">
            <v>1</v>
          </cell>
          <cell r="R15873">
            <v>46002</v>
          </cell>
          <cell r="S15873">
            <v>209012</v>
          </cell>
        </row>
        <row r="15874">
          <cell r="K15874" t="str">
            <v>228001</v>
          </cell>
          <cell r="M15874">
            <v>1</v>
          </cell>
          <cell r="R15874">
            <v>46002</v>
          </cell>
          <cell r="S15874">
            <v>228001</v>
          </cell>
        </row>
        <row r="15875">
          <cell r="K15875" t="str">
            <v>220002</v>
          </cell>
          <cell r="M15875">
            <v>1</v>
          </cell>
          <cell r="R15875">
            <v>46002</v>
          </cell>
          <cell r="S15875">
            <v>220002</v>
          </cell>
        </row>
        <row r="15876">
          <cell r="K15876" t="str">
            <v>217021</v>
          </cell>
          <cell r="M15876">
            <v>1</v>
          </cell>
          <cell r="R15876">
            <v>46002</v>
          </cell>
          <cell r="S15876">
            <v>217021</v>
          </cell>
        </row>
        <row r="15877">
          <cell r="K15877" t="str">
            <v>201027</v>
          </cell>
          <cell r="M15877">
            <v>2</v>
          </cell>
          <cell r="R15877">
            <v>46002</v>
          </cell>
          <cell r="S15877">
            <v>201027</v>
          </cell>
        </row>
        <row r="15878">
          <cell r="K15878" t="str">
            <v>217019</v>
          </cell>
          <cell r="M15878">
            <v>1</v>
          </cell>
          <cell r="R15878">
            <v>46002</v>
          </cell>
          <cell r="S15878">
            <v>217019</v>
          </cell>
        </row>
        <row r="15879">
          <cell r="K15879" t="str">
            <v>227012</v>
          </cell>
          <cell r="M15879">
            <v>2</v>
          </cell>
          <cell r="R15879">
            <v>46002</v>
          </cell>
          <cell r="S15879">
            <v>227012</v>
          </cell>
        </row>
        <row r="15880">
          <cell r="K15880" t="str">
            <v>226027</v>
          </cell>
          <cell r="M15880">
            <v>1</v>
          </cell>
          <cell r="R15880">
            <v>46002</v>
          </cell>
          <cell r="S15880">
            <v>226027</v>
          </cell>
        </row>
        <row r="15881">
          <cell r="K15881" t="str">
            <v>223001</v>
          </cell>
          <cell r="M15881">
            <v>7</v>
          </cell>
          <cell r="R15881">
            <v>46002</v>
          </cell>
          <cell r="S15881">
            <v>223001</v>
          </cell>
        </row>
        <row r="15882">
          <cell r="K15882" t="str">
            <v>210014</v>
          </cell>
          <cell r="M15882">
            <v>2</v>
          </cell>
          <cell r="R15882">
            <v>46002</v>
          </cell>
          <cell r="S15882">
            <v>210014</v>
          </cell>
        </row>
        <row r="15883">
          <cell r="K15883" t="str">
            <v>228001</v>
          </cell>
          <cell r="M15883">
            <v>6</v>
          </cell>
          <cell r="R15883">
            <v>46002</v>
          </cell>
          <cell r="S15883">
            <v>228001</v>
          </cell>
        </row>
        <row r="15884">
          <cell r="K15884" t="str">
            <v>209012</v>
          </cell>
          <cell r="M15884">
            <v>1</v>
          </cell>
          <cell r="R15884">
            <v>46002</v>
          </cell>
          <cell r="S15884">
            <v>209012</v>
          </cell>
        </row>
        <row r="15885">
          <cell r="K15885" t="str">
            <v>220002</v>
          </cell>
          <cell r="M15885">
            <v>6</v>
          </cell>
          <cell r="R15885">
            <v>46002</v>
          </cell>
          <cell r="S15885">
            <v>220002</v>
          </cell>
        </row>
        <row r="15886">
          <cell r="K15886" t="str">
            <v>223002</v>
          </cell>
          <cell r="M15886">
            <v>3</v>
          </cell>
          <cell r="R15886">
            <v>46002</v>
          </cell>
          <cell r="S15886">
            <v>223002</v>
          </cell>
        </row>
        <row r="15887">
          <cell r="K15887" t="str">
            <v>223007</v>
          </cell>
          <cell r="M15887">
            <v>5</v>
          </cell>
          <cell r="R15887">
            <v>46002</v>
          </cell>
          <cell r="S15887">
            <v>223007</v>
          </cell>
        </row>
        <row r="15888">
          <cell r="K15888" t="str">
            <v>227012</v>
          </cell>
          <cell r="M15888">
            <v>1</v>
          </cell>
          <cell r="R15888">
            <v>46002</v>
          </cell>
          <cell r="S15888">
            <v>227012</v>
          </cell>
        </row>
        <row r="15889">
          <cell r="K15889" t="str">
            <v>217022</v>
          </cell>
          <cell r="M15889">
            <v>2</v>
          </cell>
          <cell r="R15889">
            <v>46002</v>
          </cell>
          <cell r="S15889">
            <v>217022</v>
          </cell>
        </row>
        <row r="15890">
          <cell r="K15890" t="str">
            <v>231010</v>
          </cell>
          <cell r="M15890">
            <v>1</v>
          </cell>
          <cell r="R15890">
            <v>46002</v>
          </cell>
          <cell r="S15890">
            <v>231010</v>
          </cell>
        </row>
        <row r="15891">
          <cell r="K15891" t="str">
            <v>231004</v>
          </cell>
          <cell r="M15891">
            <v>1</v>
          </cell>
          <cell r="R15891">
            <v>46002</v>
          </cell>
          <cell r="S15891">
            <v>231004</v>
          </cell>
        </row>
        <row r="15892">
          <cell r="K15892" t="str">
            <v>213002</v>
          </cell>
          <cell r="M15892">
            <v>6</v>
          </cell>
          <cell r="R15892">
            <v>46002</v>
          </cell>
          <cell r="S15892">
            <v>213002</v>
          </cell>
        </row>
        <row r="15893">
          <cell r="K15893" t="str">
            <v>232001</v>
          </cell>
          <cell r="M15893">
            <v>1</v>
          </cell>
          <cell r="R15893">
            <v>46002</v>
          </cell>
          <cell r="S15893">
            <v>232001</v>
          </cell>
        </row>
        <row r="15894">
          <cell r="K15894" t="str">
            <v>213002</v>
          </cell>
          <cell r="M15894">
            <v>2</v>
          </cell>
          <cell r="R15894">
            <v>46002</v>
          </cell>
          <cell r="S15894">
            <v>213002</v>
          </cell>
        </row>
        <row r="15895">
          <cell r="K15895" t="str">
            <v>217018</v>
          </cell>
          <cell r="M15895">
            <v>25</v>
          </cell>
          <cell r="R15895">
            <v>46002</v>
          </cell>
          <cell r="S15895">
            <v>217018</v>
          </cell>
        </row>
        <row r="15896">
          <cell r="K15896" t="str">
            <v>220002</v>
          </cell>
          <cell r="M15896">
            <v>1</v>
          </cell>
          <cell r="R15896">
            <v>46002</v>
          </cell>
          <cell r="S15896">
            <v>220002</v>
          </cell>
        </row>
        <row r="15897">
          <cell r="K15897" t="str">
            <v>201001</v>
          </cell>
          <cell r="M15897">
            <v>19</v>
          </cell>
          <cell r="R15897">
            <v>46002</v>
          </cell>
          <cell r="S15897">
            <v>201001</v>
          </cell>
        </row>
        <row r="15898">
          <cell r="K15898" t="str">
            <v>226001</v>
          </cell>
          <cell r="M15898">
            <v>2</v>
          </cell>
          <cell r="R15898">
            <v>46002</v>
          </cell>
          <cell r="S15898">
            <v>226001</v>
          </cell>
        </row>
        <row r="15899">
          <cell r="K15899" t="str">
            <v>203003</v>
          </cell>
          <cell r="M15899">
            <v>2</v>
          </cell>
          <cell r="R15899">
            <v>46002</v>
          </cell>
          <cell r="S15899">
            <v>203003</v>
          </cell>
        </row>
        <row r="15900">
          <cell r="K15900" t="str">
            <v>231010</v>
          </cell>
          <cell r="M15900">
            <v>1</v>
          </cell>
          <cell r="R15900">
            <v>46002</v>
          </cell>
          <cell r="S15900">
            <v>231010</v>
          </cell>
        </row>
        <row r="15901">
          <cell r="K15901" t="str">
            <v>271002</v>
          </cell>
          <cell r="M15901">
            <v>200</v>
          </cell>
          <cell r="R15901">
            <v>46002</v>
          </cell>
          <cell r="S15901">
            <v>271002</v>
          </cell>
        </row>
        <row r="15902">
          <cell r="K15902" t="str">
            <v>226001</v>
          </cell>
          <cell r="M15902">
            <v>1</v>
          </cell>
          <cell r="R15902">
            <v>46002</v>
          </cell>
          <cell r="S15902">
            <v>226001</v>
          </cell>
        </row>
        <row r="15903">
          <cell r="K15903" t="str">
            <v>217021</v>
          </cell>
          <cell r="M15903">
            <v>1</v>
          </cell>
          <cell r="R15903">
            <v>46002</v>
          </cell>
          <cell r="S15903">
            <v>217021</v>
          </cell>
        </row>
        <row r="15904">
          <cell r="K15904" t="str">
            <v>212035</v>
          </cell>
          <cell r="M15904">
            <v>1</v>
          </cell>
          <cell r="R15904">
            <v>46002</v>
          </cell>
          <cell r="S15904">
            <v>212035</v>
          </cell>
        </row>
        <row r="15905">
          <cell r="K15905" t="str">
            <v>228001</v>
          </cell>
          <cell r="M15905">
            <v>1</v>
          </cell>
          <cell r="R15905">
            <v>46002</v>
          </cell>
          <cell r="S15905">
            <v>228001</v>
          </cell>
        </row>
        <row r="15906">
          <cell r="K15906" t="str">
            <v>228001</v>
          </cell>
          <cell r="M15906">
            <v>2</v>
          </cell>
          <cell r="R15906">
            <v>46002</v>
          </cell>
          <cell r="S15906">
            <v>228001</v>
          </cell>
        </row>
        <row r="15907">
          <cell r="K15907" t="str">
            <v>228001</v>
          </cell>
          <cell r="M15907">
            <v>3</v>
          </cell>
          <cell r="R15907">
            <v>46002</v>
          </cell>
          <cell r="S15907">
            <v>228001</v>
          </cell>
        </row>
        <row r="15908">
          <cell r="K15908" t="str">
            <v>201001</v>
          </cell>
          <cell r="M15908">
            <v>1</v>
          </cell>
          <cell r="R15908">
            <v>46002</v>
          </cell>
          <cell r="S15908">
            <v>201001</v>
          </cell>
        </row>
        <row r="15909">
          <cell r="K15909" t="str">
            <v>231010</v>
          </cell>
          <cell r="M15909">
            <v>1</v>
          </cell>
          <cell r="R15909">
            <v>46002</v>
          </cell>
          <cell r="S15909">
            <v>231010</v>
          </cell>
        </row>
        <row r="15910">
          <cell r="K15910" t="str">
            <v>228001</v>
          </cell>
          <cell r="M15910">
            <v>19</v>
          </cell>
          <cell r="R15910">
            <v>46002</v>
          </cell>
          <cell r="S15910">
            <v>228001</v>
          </cell>
        </row>
        <row r="15911">
          <cell r="K15911" t="str">
            <v>201001</v>
          </cell>
          <cell r="M15911">
            <v>7</v>
          </cell>
          <cell r="R15911">
            <v>46002</v>
          </cell>
          <cell r="S15911">
            <v>201001</v>
          </cell>
        </row>
        <row r="15912">
          <cell r="K15912" t="str">
            <v>217011</v>
          </cell>
          <cell r="M15912">
            <v>2</v>
          </cell>
          <cell r="R15912">
            <v>46002</v>
          </cell>
          <cell r="S15912">
            <v>217011</v>
          </cell>
        </row>
        <row r="15913">
          <cell r="K15913" t="str">
            <v>223001</v>
          </cell>
          <cell r="M15913">
            <v>1</v>
          </cell>
          <cell r="R15913">
            <v>46002</v>
          </cell>
          <cell r="S15913">
            <v>223001</v>
          </cell>
        </row>
        <row r="15914">
          <cell r="K15914" t="str">
            <v>203003</v>
          </cell>
          <cell r="M15914">
            <v>1</v>
          </cell>
          <cell r="R15914">
            <v>46002</v>
          </cell>
          <cell r="S15914">
            <v>203003</v>
          </cell>
        </row>
        <row r="15915">
          <cell r="K15915" t="str">
            <v>201001</v>
          </cell>
          <cell r="M15915">
            <v>36</v>
          </cell>
          <cell r="R15915">
            <v>46002</v>
          </cell>
          <cell r="S15915">
            <v>201001</v>
          </cell>
        </row>
        <row r="15916">
          <cell r="K15916" t="str">
            <v>228001</v>
          </cell>
          <cell r="M15916">
            <v>3</v>
          </cell>
          <cell r="R15916">
            <v>46002</v>
          </cell>
          <cell r="S15916">
            <v>228001</v>
          </cell>
        </row>
        <row r="15917">
          <cell r="K15917" t="str">
            <v>261004</v>
          </cell>
          <cell r="M15917">
            <v>2</v>
          </cell>
          <cell r="R15917">
            <v>46002</v>
          </cell>
          <cell r="S15917">
            <v>261004</v>
          </cell>
        </row>
        <row r="15918">
          <cell r="K15918" t="str">
            <v>261004</v>
          </cell>
          <cell r="M15918">
            <v>14</v>
          </cell>
          <cell r="R15918">
            <v>46002</v>
          </cell>
          <cell r="S15918">
            <v>261004</v>
          </cell>
        </row>
        <row r="15919">
          <cell r="K15919" t="str">
            <v>228001</v>
          </cell>
          <cell r="M15919">
            <v>4</v>
          </cell>
          <cell r="R15919">
            <v>46002</v>
          </cell>
          <cell r="S15919">
            <v>228001</v>
          </cell>
        </row>
        <row r="15920">
          <cell r="K15920" t="str">
            <v>210014</v>
          </cell>
          <cell r="M15920">
            <v>1</v>
          </cell>
          <cell r="R15920">
            <v>46002</v>
          </cell>
          <cell r="S15920">
            <v>210014</v>
          </cell>
        </row>
        <row r="15921">
          <cell r="K15921" t="str">
            <v>241001</v>
          </cell>
          <cell r="M15921">
            <v>4</v>
          </cell>
          <cell r="R15921">
            <v>46002</v>
          </cell>
          <cell r="S15921">
            <v>241001</v>
          </cell>
        </row>
        <row r="15922">
          <cell r="K15922" t="str">
            <v>222001</v>
          </cell>
          <cell r="M15922">
            <v>4</v>
          </cell>
          <cell r="R15922">
            <v>46002</v>
          </cell>
          <cell r="S15922">
            <v>222001</v>
          </cell>
        </row>
        <row r="15923">
          <cell r="K15923" t="str">
            <v>222007</v>
          </cell>
          <cell r="M15923">
            <v>1</v>
          </cell>
          <cell r="R15923">
            <v>46002</v>
          </cell>
          <cell r="S15923">
            <v>222007</v>
          </cell>
        </row>
        <row r="15924">
          <cell r="K15924" t="str">
            <v>223001</v>
          </cell>
          <cell r="M15924">
            <v>2</v>
          </cell>
          <cell r="R15924">
            <v>46002</v>
          </cell>
          <cell r="S15924">
            <v>223001</v>
          </cell>
        </row>
        <row r="15925">
          <cell r="K15925" t="str">
            <v>223001</v>
          </cell>
          <cell r="M15925">
            <v>1</v>
          </cell>
          <cell r="R15925">
            <v>46002</v>
          </cell>
          <cell r="S15925">
            <v>223001</v>
          </cell>
        </row>
        <row r="15926">
          <cell r="K15926" t="str">
            <v>223002</v>
          </cell>
          <cell r="M15926">
            <v>3</v>
          </cell>
          <cell r="R15926">
            <v>46002</v>
          </cell>
          <cell r="S15926">
            <v>223002</v>
          </cell>
        </row>
        <row r="15927">
          <cell r="K15927" t="str">
            <v>227012</v>
          </cell>
          <cell r="M15927">
            <v>1</v>
          </cell>
          <cell r="R15927">
            <v>46002</v>
          </cell>
          <cell r="S15927">
            <v>227012</v>
          </cell>
        </row>
        <row r="15928">
          <cell r="K15928" t="str">
            <v>201028</v>
          </cell>
          <cell r="M15928">
            <v>3</v>
          </cell>
          <cell r="R15928">
            <v>46002</v>
          </cell>
          <cell r="S15928">
            <v>201028</v>
          </cell>
        </row>
        <row r="15929">
          <cell r="K15929" t="str">
            <v>201011</v>
          </cell>
          <cell r="M15929">
            <v>36</v>
          </cell>
          <cell r="R15929">
            <v>46002</v>
          </cell>
          <cell r="S15929">
            <v>201011</v>
          </cell>
        </row>
        <row r="15930">
          <cell r="K15930" t="str">
            <v>201011</v>
          </cell>
          <cell r="M15930">
            <v>36</v>
          </cell>
          <cell r="R15930">
            <v>46002</v>
          </cell>
          <cell r="S15930">
            <v>201011</v>
          </cell>
        </row>
        <row r="15931">
          <cell r="K15931" t="str">
            <v>201011</v>
          </cell>
          <cell r="M15931">
            <v>36</v>
          </cell>
          <cell r="R15931">
            <v>46002</v>
          </cell>
          <cell r="S15931">
            <v>201011</v>
          </cell>
        </row>
        <row r="15932">
          <cell r="K15932" t="str">
            <v>227002</v>
          </cell>
          <cell r="M15932">
            <v>1</v>
          </cell>
          <cell r="R15932">
            <v>46002</v>
          </cell>
          <cell r="S15932">
            <v>227002</v>
          </cell>
        </row>
        <row r="15933">
          <cell r="K15933" t="str">
            <v>207017</v>
          </cell>
          <cell r="M15933">
            <v>1</v>
          </cell>
          <cell r="R15933">
            <v>46002</v>
          </cell>
          <cell r="S15933">
            <v>207017</v>
          </cell>
        </row>
        <row r="15934">
          <cell r="K15934" t="str">
            <v>229004</v>
          </cell>
          <cell r="M15934">
            <v>1</v>
          </cell>
          <cell r="R15934">
            <v>46002</v>
          </cell>
          <cell r="S15934">
            <v>229004</v>
          </cell>
        </row>
        <row r="15935">
          <cell r="K15935" t="str">
            <v>223001</v>
          </cell>
          <cell r="M15935">
            <v>2</v>
          </cell>
          <cell r="R15935">
            <v>46002</v>
          </cell>
          <cell r="S15935">
            <v>223001</v>
          </cell>
        </row>
        <row r="15936">
          <cell r="K15936" t="str">
            <v>209004</v>
          </cell>
          <cell r="M15936">
            <v>1</v>
          </cell>
          <cell r="R15936">
            <v>46002</v>
          </cell>
          <cell r="S15936">
            <v>209004</v>
          </cell>
        </row>
        <row r="15937">
          <cell r="K15937" t="str">
            <v>201024</v>
          </cell>
          <cell r="M15937">
            <v>2</v>
          </cell>
          <cell r="R15937">
            <v>46002</v>
          </cell>
          <cell r="S15937">
            <v>201024</v>
          </cell>
        </row>
        <row r="15938">
          <cell r="K15938" t="str">
            <v>201001</v>
          </cell>
          <cell r="M15938">
            <v>4</v>
          </cell>
          <cell r="R15938">
            <v>46002</v>
          </cell>
          <cell r="S15938">
            <v>201001</v>
          </cell>
        </row>
        <row r="15939">
          <cell r="K15939" t="str">
            <v>201001</v>
          </cell>
          <cell r="M15939">
            <v>1</v>
          </cell>
          <cell r="R15939">
            <v>46002</v>
          </cell>
          <cell r="S15939">
            <v>201001</v>
          </cell>
        </row>
        <row r="15940">
          <cell r="K15940" t="str">
            <v>228001</v>
          </cell>
          <cell r="M15940">
            <v>30</v>
          </cell>
          <cell r="R15940">
            <v>46002</v>
          </cell>
          <cell r="S15940">
            <v>228001</v>
          </cell>
        </row>
        <row r="15941">
          <cell r="K15941" t="str">
            <v>201011</v>
          </cell>
          <cell r="M15941">
            <v>12</v>
          </cell>
          <cell r="R15941">
            <v>46002</v>
          </cell>
          <cell r="S15941">
            <v>201011</v>
          </cell>
        </row>
        <row r="15942">
          <cell r="K15942" t="str">
            <v>201011</v>
          </cell>
          <cell r="M15942">
            <v>12</v>
          </cell>
          <cell r="R15942">
            <v>46002</v>
          </cell>
          <cell r="S15942">
            <v>201011</v>
          </cell>
        </row>
        <row r="15943">
          <cell r="K15943" t="str">
            <v>201011</v>
          </cell>
          <cell r="M15943">
            <v>12</v>
          </cell>
          <cell r="R15943">
            <v>46002</v>
          </cell>
          <cell r="S15943">
            <v>201011</v>
          </cell>
        </row>
        <row r="15944">
          <cell r="K15944" t="str">
            <v>201001</v>
          </cell>
          <cell r="M15944">
            <v>3</v>
          </cell>
          <cell r="R15944">
            <v>46002</v>
          </cell>
          <cell r="S15944">
            <v>201001</v>
          </cell>
        </row>
        <row r="15945">
          <cell r="K15945" t="str">
            <v>203003</v>
          </cell>
          <cell r="M15945">
            <v>1</v>
          </cell>
          <cell r="R15945">
            <v>46002</v>
          </cell>
          <cell r="S15945">
            <v>203003</v>
          </cell>
        </row>
        <row r="15946">
          <cell r="K15946" t="str">
            <v>234011</v>
          </cell>
          <cell r="M15946">
            <v>1</v>
          </cell>
          <cell r="R15946">
            <v>46002</v>
          </cell>
          <cell r="S15946">
            <v>234011</v>
          </cell>
        </row>
        <row r="15947">
          <cell r="K15947" t="str">
            <v>220002</v>
          </cell>
          <cell r="M15947">
            <v>10</v>
          </cell>
          <cell r="R15947">
            <v>46002</v>
          </cell>
          <cell r="S15947">
            <v>220002</v>
          </cell>
        </row>
        <row r="15948">
          <cell r="K15948" t="str">
            <v>223003</v>
          </cell>
          <cell r="M15948">
            <v>10</v>
          </cell>
          <cell r="R15948">
            <v>46002</v>
          </cell>
          <cell r="S15948">
            <v>223003</v>
          </cell>
        </row>
        <row r="15949">
          <cell r="K15949" t="str">
            <v>223002</v>
          </cell>
          <cell r="M15949">
            <v>12</v>
          </cell>
          <cell r="R15949">
            <v>46002</v>
          </cell>
          <cell r="S15949">
            <v>223002</v>
          </cell>
        </row>
        <row r="15950">
          <cell r="K15950" t="str">
            <v>227012</v>
          </cell>
          <cell r="M15950">
            <v>1</v>
          </cell>
          <cell r="R15950">
            <v>46002</v>
          </cell>
          <cell r="S15950">
            <v>227012</v>
          </cell>
        </row>
        <row r="15951">
          <cell r="K15951" t="str">
            <v>217018</v>
          </cell>
          <cell r="M15951">
            <v>2</v>
          </cell>
          <cell r="R15951">
            <v>46002</v>
          </cell>
          <cell r="S15951">
            <v>217018</v>
          </cell>
        </row>
        <row r="15952">
          <cell r="K15952" t="str">
            <v>201011</v>
          </cell>
          <cell r="M15952">
            <v>12</v>
          </cell>
          <cell r="R15952">
            <v>46002</v>
          </cell>
          <cell r="S15952">
            <v>201011</v>
          </cell>
        </row>
        <row r="15953">
          <cell r="K15953" t="str">
            <v>207017</v>
          </cell>
          <cell r="M15953">
            <v>1</v>
          </cell>
          <cell r="R15953">
            <v>46002</v>
          </cell>
          <cell r="S15953">
            <v>207017</v>
          </cell>
        </row>
        <row r="15954">
          <cell r="K15954" t="str">
            <v>203003</v>
          </cell>
          <cell r="M15954">
            <v>1</v>
          </cell>
          <cell r="R15954">
            <v>46002</v>
          </cell>
          <cell r="S15954">
            <v>203003</v>
          </cell>
        </row>
        <row r="15955">
          <cell r="K15955" t="str">
            <v>213002</v>
          </cell>
          <cell r="M15955">
            <v>1</v>
          </cell>
          <cell r="R15955">
            <v>46002</v>
          </cell>
          <cell r="S15955">
            <v>213002</v>
          </cell>
        </row>
        <row r="15956">
          <cell r="K15956" t="str">
            <v>213002</v>
          </cell>
          <cell r="M15956">
            <v>1</v>
          </cell>
          <cell r="R15956">
            <v>46002</v>
          </cell>
          <cell r="S15956">
            <v>213002</v>
          </cell>
        </row>
        <row r="15957">
          <cell r="K15957" t="str">
            <v>203003</v>
          </cell>
          <cell r="M15957">
            <v>1</v>
          </cell>
          <cell r="R15957">
            <v>46002</v>
          </cell>
          <cell r="S15957">
            <v>203003</v>
          </cell>
        </row>
        <row r="15958">
          <cell r="K15958" t="str">
            <v>241001</v>
          </cell>
          <cell r="M15958">
            <v>3</v>
          </cell>
          <cell r="R15958">
            <v>46002</v>
          </cell>
          <cell r="S15958">
            <v>241001</v>
          </cell>
        </row>
        <row r="15959">
          <cell r="K15959" t="str">
            <v>201001</v>
          </cell>
          <cell r="M15959">
            <v>5</v>
          </cell>
          <cell r="R15959">
            <v>46002</v>
          </cell>
          <cell r="S15959">
            <v>201001</v>
          </cell>
        </row>
        <row r="15960">
          <cell r="K15960" t="str">
            <v>213002</v>
          </cell>
          <cell r="M15960">
            <v>3</v>
          </cell>
          <cell r="R15960">
            <v>46003</v>
          </cell>
          <cell r="S15960">
            <v>213002</v>
          </cell>
        </row>
        <row r="15961">
          <cell r="K15961" t="str">
            <v>217011</v>
          </cell>
          <cell r="M15961">
            <v>1</v>
          </cell>
          <cell r="R15961">
            <v>46003</v>
          </cell>
          <cell r="S15961">
            <v>217011</v>
          </cell>
        </row>
        <row r="15962">
          <cell r="K15962" t="str">
            <v>209012</v>
          </cell>
          <cell r="M15962">
            <v>1</v>
          </cell>
          <cell r="R15962">
            <v>46003</v>
          </cell>
          <cell r="S15962">
            <v>209012</v>
          </cell>
        </row>
        <row r="15963">
          <cell r="K15963" t="str">
            <v>222007</v>
          </cell>
          <cell r="M15963">
            <v>1</v>
          </cell>
          <cell r="R15963">
            <v>46003</v>
          </cell>
          <cell r="S15963">
            <v>222007</v>
          </cell>
        </row>
        <row r="15964">
          <cell r="K15964" t="str">
            <v>201011</v>
          </cell>
          <cell r="M15964">
            <v>6</v>
          </cell>
          <cell r="R15964">
            <v>46003</v>
          </cell>
          <cell r="S15964">
            <v>201011</v>
          </cell>
        </row>
        <row r="15965">
          <cell r="K15965" t="str">
            <v>228001</v>
          </cell>
          <cell r="M15965">
            <v>2</v>
          </cell>
          <cell r="R15965">
            <v>46002</v>
          </cell>
          <cell r="S15965">
            <v>228001</v>
          </cell>
        </row>
        <row r="15966">
          <cell r="K15966" t="str">
            <v>228001</v>
          </cell>
          <cell r="M15966">
            <v>8</v>
          </cell>
          <cell r="R15966">
            <v>46003</v>
          </cell>
          <cell r="S15966">
            <v>228001</v>
          </cell>
        </row>
        <row r="15967">
          <cell r="K15967" t="str">
            <v>213018</v>
          </cell>
          <cell r="M15967">
            <v>1</v>
          </cell>
          <cell r="R15967">
            <v>46003</v>
          </cell>
          <cell r="S15967">
            <v>213018</v>
          </cell>
        </row>
        <row r="15968">
          <cell r="K15968" t="str">
            <v>228001</v>
          </cell>
          <cell r="M15968">
            <v>4</v>
          </cell>
          <cell r="R15968">
            <v>46003</v>
          </cell>
          <cell r="S15968">
            <v>228001</v>
          </cell>
        </row>
        <row r="15969">
          <cell r="K15969" t="str">
            <v>206006</v>
          </cell>
          <cell r="M15969">
            <v>4</v>
          </cell>
          <cell r="R15969">
            <v>46003</v>
          </cell>
          <cell r="S15969">
            <v>206006</v>
          </cell>
        </row>
        <row r="15970">
          <cell r="K15970" t="str">
            <v>208001</v>
          </cell>
          <cell r="M15970">
            <v>1</v>
          </cell>
          <cell r="R15970">
            <v>46003</v>
          </cell>
          <cell r="S15970">
            <v>208001</v>
          </cell>
        </row>
        <row r="15971">
          <cell r="K15971" t="str">
            <v>217011</v>
          </cell>
          <cell r="M15971">
            <v>1</v>
          </cell>
          <cell r="R15971">
            <v>46003</v>
          </cell>
          <cell r="S15971">
            <v>217011</v>
          </cell>
        </row>
        <row r="15972">
          <cell r="K15972" t="str">
            <v>241001</v>
          </cell>
          <cell r="M15972">
            <v>14</v>
          </cell>
          <cell r="R15972">
            <v>46003</v>
          </cell>
          <cell r="S15972">
            <v>241001</v>
          </cell>
        </row>
        <row r="15973">
          <cell r="K15973" t="str">
            <v>231010</v>
          </cell>
          <cell r="M15973">
            <v>1</v>
          </cell>
          <cell r="R15973">
            <v>46003</v>
          </cell>
          <cell r="S15973">
            <v>231010</v>
          </cell>
        </row>
        <row r="15974">
          <cell r="K15974" t="str">
            <v>210002</v>
          </cell>
          <cell r="M15974">
            <v>1</v>
          </cell>
          <cell r="R15974">
            <v>46003</v>
          </cell>
          <cell r="S15974">
            <v>210002</v>
          </cell>
        </row>
        <row r="15975">
          <cell r="K15975" t="str">
            <v>222001</v>
          </cell>
          <cell r="M15975">
            <v>1</v>
          </cell>
          <cell r="R15975">
            <v>46003</v>
          </cell>
          <cell r="S15975">
            <v>222001</v>
          </cell>
        </row>
        <row r="15976">
          <cell r="K15976" t="str">
            <v>209001</v>
          </cell>
          <cell r="M15976">
            <v>1</v>
          </cell>
          <cell r="R15976">
            <v>46003</v>
          </cell>
          <cell r="S15976">
            <v>209001</v>
          </cell>
        </row>
        <row r="15977">
          <cell r="K15977" t="str">
            <v>231012</v>
          </cell>
          <cell r="M15977">
            <v>6</v>
          </cell>
          <cell r="R15977">
            <v>46003</v>
          </cell>
          <cell r="S15977">
            <v>231012</v>
          </cell>
        </row>
        <row r="15978">
          <cell r="K15978" t="str">
            <v>213002</v>
          </cell>
          <cell r="M15978">
            <v>3</v>
          </cell>
          <cell r="R15978">
            <v>46003</v>
          </cell>
          <cell r="S15978">
            <v>213002</v>
          </cell>
        </row>
        <row r="15979">
          <cell r="K15979" t="str">
            <v>220002</v>
          </cell>
          <cell r="M15979">
            <v>2</v>
          </cell>
          <cell r="R15979">
            <v>46003</v>
          </cell>
          <cell r="S15979">
            <v>220002</v>
          </cell>
        </row>
        <row r="15980">
          <cell r="K15980" t="str">
            <v>213002</v>
          </cell>
          <cell r="M15980">
            <v>15</v>
          </cell>
          <cell r="R15980">
            <v>46003</v>
          </cell>
          <cell r="S15980">
            <v>213002</v>
          </cell>
        </row>
        <row r="15981">
          <cell r="K15981" t="str">
            <v>223002</v>
          </cell>
          <cell r="M15981">
            <v>4</v>
          </cell>
          <cell r="R15981">
            <v>46003</v>
          </cell>
          <cell r="S15981">
            <v>223002</v>
          </cell>
        </row>
        <row r="15982">
          <cell r="K15982" t="str">
            <v>203001</v>
          </cell>
          <cell r="M15982">
            <v>1</v>
          </cell>
          <cell r="R15982">
            <v>46003</v>
          </cell>
          <cell r="S15982">
            <v>203001</v>
          </cell>
        </row>
        <row r="15983">
          <cell r="K15983" t="str">
            <v>226026</v>
          </cell>
          <cell r="M15983">
            <v>1</v>
          </cell>
          <cell r="R15983">
            <v>46003</v>
          </cell>
          <cell r="S15983">
            <v>226026</v>
          </cell>
        </row>
        <row r="15984">
          <cell r="K15984" t="str">
            <v>226001</v>
          </cell>
          <cell r="M15984">
            <v>2</v>
          </cell>
          <cell r="R15984">
            <v>46003</v>
          </cell>
          <cell r="S15984">
            <v>226001</v>
          </cell>
        </row>
        <row r="15985">
          <cell r="K15985" t="str">
            <v>217018</v>
          </cell>
          <cell r="M15985">
            <v>1</v>
          </cell>
          <cell r="R15985">
            <v>46003</v>
          </cell>
          <cell r="S15985">
            <v>217018</v>
          </cell>
        </row>
        <row r="15986">
          <cell r="K15986" t="str">
            <v>228001</v>
          </cell>
          <cell r="M15986">
            <v>2</v>
          </cell>
          <cell r="R15986">
            <v>46003</v>
          </cell>
          <cell r="S15986">
            <v>228001</v>
          </cell>
        </row>
        <row r="15987">
          <cell r="K15987" t="str">
            <v>209001</v>
          </cell>
          <cell r="M15987">
            <v>2</v>
          </cell>
          <cell r="R15987">
            <v>46003</v>
          </cell>
          <cell r="S15987">
            <v>209001</v>
          </cell>
        </row>
        <row r="15988">
          <cell r="K15988" t="str">
            <v>223002</v>
          </cell>
          <cell r="M15988">
            <v>1</v>
          </cell>
          <cell r="R15988">
            <v>46003</v>
          </cell>
          <cell r="S15988">
            <v>223002</v>
          </cell>
        </row>
        <row r="15989">
          <cell r="K15989" t="str">
            <v>228001</v>
          </cell>
          <cell r="M15989">
            <v>4</v>
          </cell>
          <cell r="R15989">
            <v>46003</v>
          </cell>
          <cell r="S15989">
            <v>228001</v>
          </cell>
        </row>
        <row r="15990">
          <cell r="K15990" t="str">
            <v>209012</v>
          </cell>
          <cell r="M15990">
            <v>1</v>
          </cell>
          <cell r="R15990">
            <v>46003</v>
          </cell>
          <cell r="S15990">
            <v>209012</v>
          </cell>
        </row>
        <row r="15991">
          <cell r="K15991" t="str">
            <v>201011</v>
          </cell>
          <cell r="M15991">
            <v>1</v>
          </cell>
          <cell r="R15991">
            <v>46003</v>
          </cell>
          <cell r="S15991">
            <v>201011</v>
          </cell>
        </row>
        <row r="15992">
          <cell r="K15992" t="str">
            <v>228001</v>
          </cell>
          <cell r="M15992">
            <v>1</v>
          </cell>
          <cell r="R15992">
            <v>46003</v>
          </cell>
          <cell r="S15992">
            <v>228001</v>
          </cell>
        </row>
        <row r="15993">
          <cell r="K15993" t="str">
            <v>212002</v>
          </cell>
          <cell r="M15993">
            <v>1</v>
          </cell>
          <cell r="R15993">
            <v>46003</v>
          </cell>
          <cell r="S15993">
            <v>212002</v>
          </cell>
        </row>
        <row r="15994">
          <cell r="K15994" t="str">
            <v>226001</v>
          </cell>
          <cell r="M15994">
            <v>1</v>
          </cell>
          <cell r="R15994">
            <v>46003</v>
          </cell>
          <cell r="S15994">
            <v>226001</v>
          </cell>
        </row>
        <row r="15995">
          <cell r="K15995" t="str">
            <v>203004</v>
          </cell>
          <cell r="M15995">
            <v>1</v>
          </cell>
          <cell r="R15995">
            <v>46003</v>
          </cell>
          <cell r="S15995">
            <v>203004</v>
          </cell>
        </row>
        <row r="15996">
          <cell r="K15996" t="str">
            <v>223017</v>
          </cell>
          <cell r="M15996">
            <v>2</v>
          </cell>
          <cell r="R15996">
            <v>46004</v>
          </cell>
          <cell r="S15996">
            <v>223017</v>
          </cell>
        </row>
        <row r="15997">
          <cell r="K15997" t="str">
            <v>223007</v>
          </cell>
          <cell r="M15997">
            <v>2</v>
          </cell>
          <cell r="R15997">
            <v>46004</v>
          </cell>
          <cell r="S15997">
            <v>223007</v>
          </cell>
        </row>
        <row r="15998">
          <cell r="K15998" t="str">
            <v>225001</v>
          </cell>
          <cell r="M15998">
            <v>1</v>
          </cell>
          <cell r="R15998">
            <v>46004</v>
          </cell>
          <cell r="S15998">
            <v>225001</v>
          </cell>
        </row>
        <row r="15999">
          <cell r="K15999" t="str">
            <v>210015</v>
          </cell>
          <cell r="M15999">
            <v>2</v>
          </cell>
          <cell r="R15999">
            <v>46004</v>
          </cell>
          <cell r="S15999">
            <v>210015</v>
          </cell>
        </row>
        <row r="16000">
          <cell r="K16000" t="str">
            <v>213002</v>
          </cell>
          <cell r="M16000">
            <v>2</v>
          </cell>
          <cell r="R16000">
            <v>46003</v>
          </cell>
          <cell r="S16000">
            <v>213002</v>
          </cell>
        </row>
        <row r="16001">
          <cell r="K16001" t="str">
            <v>226025</v>
          </cell>
          <cell r="M16001">
            <v>3</v>
          </cell>
          <cell r="R16001">
            <v>46003</v>
          </cell>
          <cell r="S16001">
            <v>226025</v>
          </cell>
        </row>
        <row r="16002">
          <cell r="K16002" t="str">
            <v>210015</v>
          </cell>
          <cell r="M16002">
            <v>1</v>
          </cell>
          <cell r="R16002">
            <v>46003</v>
          </cell>
          <cell r="S16002">
            <v>210015</v>
          </cell>
        </row>
        <row r="16003">
          <cell r="K16003" t="str">
            <v>213030</v>
          </cell>
          <cell r="M16003">
            <v>1</v>
          </cell>
          <cell r="R16003">
            <v>46006</v>
          </cell>
          <cell r="S16003">
            <v>213030</v>
          </cell>
        </row>
        <row r="16004">
          <cell r="K16004" t="str">
            <v>209001</v>
          </cell>
          <cell r="M16004">
            <v>1</v>
          </cell>
          <cell r="R16004">
            <v>46006</v>
          </cell>
          <cell r="S16004">
            <v>209001</v>
          </cell>
        </row>
        <row r="16005">
          <cell r="K16005" t="str">
            <v>201001</v>
          </cell>
          <cell r="M16005">
            <v>3</v>
          </cell>
          <cell r="R16005">
            <v>46006</v>
          </cell>
          <cell r="S16005">
            <v>201001</v>
          </cell>
        </row>
        <row r="16006">
          <cell r="K16006" t="str">
            <v>241001</v>
          </cell>
          <cell r="M16006">
            <v>2</v>
          </cell>
          <cell r="R16006">
            <v>46006</v>
          </cell>
          <cell r="S16006">
            <v>241001</v>
          </cell>
        </row>
        <row r="16007">
          <cell r="K16007" t="str">
            <v>223001</v>
          </cell>
          <cell r="M16007">
            <v>4</v>
          </cell>
          <cell r="R16007">
            <v>46006</v>
          </cell>
          <cell r="S16007">
            <v>223001</v>
          </cell>
        </row>
        <row r="16008">
          <cell r="K16008" t="str">
            <v>234011</v>
          </cell>
          <cell r="M16008">
            <v>1</v>
          </cell>
          <cell r="R16008">
            <v>46006</v>
          </cell>
          <cell r="S16008">
            <v>234011</v>
          </cell>
        </row>
        <row r="16009">
          <cell r="K16009" t="str">
            <v>271002</v>
          </cell>
          <cell r="M16009">
            <v>1</v>
          </cell>
          <cell r="R16009">
            <v>46006</v>
          </cell>
          <cell r="S16009">
            <v>271002</v>
          </cell>
        </row>
        <row r="16010">
          <cell r="K16010" t="str">
            <v>222001</v>
          </cell>
          <cell r="M16010">
            <v>1</v>
          </cell>
          <cell r="R16010">
            <v>46006</v>
          </cell>
          <cell r="S16010">
            <v>222001</v>
          </cell>
        </row>
        <row r="16011">
          <cell r="K16011" t="str">
            <v>201001</v>
          </cell>
          <cell r="M16011">
            <v>4</v>
          </cell>
          <cell r="R16011">
            <v>46005</v>
          </cell>
          <cell r="S16011">
            <v>201001</v>
          </cell>
        </row>
        <row r="16012">
          <cell r="K16012" t="str">
            <v>228001</v>
          </cell>
          <cell r="M16012">
            <v>1</v>
          </cell>
          <cell r="R16012">
            <v>46005</v>
          </cell>
          <cell r="S16012">
            <v>228001</v>
          </cell>
        </row>
        <row r="16013">
          <cell r="K16013" t="str">
            <v>231010</v>
          </cell>
          <cell r="M16013">
            <v>4</v>
          </cell>
          <cell r="R16013">
            <v>46005</v>
          </cell>
          <cell r="S16013">
            <v>231010</v>
          </cell>
        </row>
        <row r="16014">
          <cell r="K16014" t="str">
            <v>201011</v>
          </cell>
          <cell r="M16014">
            <v>1</v>
          </cell>
          <cell r="R16014">
            <v>46005</v>
          </cell>
          <cell r="S16014">
            <v>201011</v>
          </cell>
        </row>
        <row r="16015">
          <cell r="K16015" t="str">
            <v>223001</v>
          </cell>
          <cell r="M16015">
            <v>10</v>
          </cell>
          <cell r="R16015">
            <v>46005</v>
          </cell>
          <cell r="S16015">
            <v>223001</v>
          </cell>
        </row>
        <row r="16016">
          <cell r="K16016" t="str">
            <v>209022</v>
          </cell>
          <cell r="M16016">
            <v>2</v>
          </cell>
          <cell r="R16016">
            <v>46005</v>
          </cell>
          <cell r="S16016">
            <v>209022</v>
          </cell>
        </row>
        <row r="16017">
          <cell r="K16017" t="str">
            <v>217022</v>
          </cell>
          <cell r="M16017">
            <v>6</v>
          </cell>
          <cell r="R16017">
            <v>46005</v>
          </cell>
          <cell r="S16017">
            <v>217022</v>
          </cell>
        </row>
        <row r="16018">
          <cell r="K16018" t="str">
            <v>223001</v>
          </cell>
          <cell r="M16018">
            <v>12</v>
          </cell>
          <cell r="R16018">
            <v>46005</v>
          </cell>
          <cell r="S16018">
            <v>223001</v>
          </cell>
        </row>
        <row r="16019">
          <cell r="K16019" t="str">
            <v>213002</v>
          </cell>
          <cell r="M16019">
            <v>1</v>
          </cell>
          <cell r="R16019">
            <v>46005</v>
          </cell>
          <cell r="S16019">
            <v>213002</v>
          </cell>
        </row>
        <row r="16020">
          <cell r="K16020" t="str">
            <v>201001</v>
          </cell>
          <cell r="M16020">
            <v>4</v>
          </cell>
          <cell r="R16020">
            <v>46006</v>
          </cell>
          <cell r="S16020">
            <v>201001</v>
          </cell>
        </row>
        <row r="16021">
          <cell r="K16021" t="str">
            <v>226001</v>
          </cell>
          <cell r="M16021">
            <v>2</v>
          </cell>
          <cell r="R16021">
            <v>46005</v>
          </cell>
          <cell r="S16021">
            <v>226001</v>
          </cell>
        </row>
        <row r="16022">
          <cell r="K16022" t="str">
            <v>241001</v>
          </cell>
          <cell r="M16022">
            <v>10</v>
          </cell>
          <cell r="R16022">
            <v>46006</v>
          </cell>
          <cell r="S16022">
            <v>241001</v>
          </cell>
        </row>
        <row r="16023">
          <cell r="K16023" t="str">
            <v>209001</v>
          </cell>
          <cell r="M16023">
            <v>1</v>
          </cell>
          <cell r="R16023">
            <v>46006</v>
          </cell>
          <cell r="S16023">
            <v>209001</v>
          </cell>
        </row>
        <row r="16024">
          <cell r="K16024" t="str">
            <v>222001</v>
          </cell>
          <cell r="M16024">
            <v>1</v>
          </cell>
          <cell r="R16024">
            <v>46006</v>
          </cell>
          <cell r="S16024">
            <v>222001</v>
          </cell>
        </row>
        <row r="16025">
          <cell r="K16025" t="str">
            <v>213002</v>
          </cell>
          <cell r="M16025">
            <v>1</v>
          </cell>
          <cell r="R16025">
            <v>46006</v>
          </cell>
          <cell r="S16025">
            <v>213002</v>
          </cell>
        </row>
        <row r="16026">
          <cell r="K16026" t="str">
            <v>203003</v>
          </cell>
          <cell r="M16026">
            <v>1</v>
          </cell>
          <cell r="R16026">
            <v>46006</v>
          </cell>
          <cell r="S16026">
            <v>203003</v>
          </cell>
        </row>
        <row r="16027">
          <cell r="K16027" t="str">
            <v>228001</v>
          </cell>
          <cell r="M16027">
            <v>5</v>
          </cell>
          <cell r="R16027">
            <v>46005</v>
          </cell>
          <cell r="S16027">
            <v>228001</v>
          </cell>
        </row>
        <row r="16028">
          <cell r="K16028" t="str">
            <v>227001</v>
          </cell>
          <cell r="M16028">
            <v>1</v>
          </cell>
          <cell r="R16028">
            <v>46006</v>
          </cell>
          <cell r="S16028">
            <v>227001</v>
          </cell>
        </row>
        <row r="16029">
          <cell r="K16029" t="str">
            <v>223002</v>
          </cell>
          <cell r="M16029">
            <v>2</v>
          </cell>
          <cell r="R16029">
            <v>46004</v>
          </cell>
          <cell r="S16029">
            <v>223002</v>
          </cell>
        </row>
        <row r="16030">
          <cell r="K16030" t="str">
            <v>213002</v>
          </cell>
          <cell r="M16030">
            <v>5</v>
          </cell>
          <cell r="R16030">
            <v>46004</v>
          </cell>
          <cell r="S16030">
            <v>213002</v>
          </cell>
        </row>
        <row r="16031">
          <cell r="K16031" t="str">
            <v>217019</v>
          </cell>
          <cell r="M16031">
            <v>2</v>
          </cell>
          <cell r="R16031">
            <v>46005</v>
          </cell>
          <cell r="S16031">
            <v>217019</v>
          </cell>
        </row>
        <row r="16032">
          <cell r="K16032" t="str">
            <v>228001</v>
          </cell>
          <cell r="M16032">
            <v>1</v>
          </cell>
          <cell r="R16032">
            <v>46004</v>
          </cell>
          <cell r="S16032">
            <v>228001</v>
          </cell>
        </row>
        <row r="16033">
          <cell r="K16033" t="str">
            <v>201011</v>
          </cell>
          <cell r="M16033">
            <v>10</v>
          </cell>
          <cell r="R16033">
            <v>46004</v>
          </cell>
          <cell r="S16033">
            <v>201011</v>
          </cell>
        </row>
        <row r="16034">
          <cell r="K16034" t="str">
            <v>201005</v>
          </cell>
          <cell r="M16034">
            <v>1</v>
          </cell>
          <cell r="R16034">
            <v>46004</v>
          </cell>
          <cell r="S16034">
            <v>201005</v>
          </cell>
        </row>
        <row r="16035">
          <cell r="K16035" t="str">
            <v>228001</v>
          </cell>
          <cell r="M16035">
            <v>8</v>
          </cell>
          <cell r="R16035">
            <v>46004</v>
          </cell>
          <cell r="S16035">
            <v>228001</v>
          </cell>
        </row>
        <row r="16036">
          <cell r="K16036" t="str">
            <v>201024</v>
          </cell>
          <cell r="M16036">
            <v>1</v>
          </cell>
          <cell r="R16036">
            <v>46006</v>
          </cell>
          <cell r="S16036">
            <v>201024</v>
          </cell>
        </row>
        <row r="16037">
          <cell r="K16037" t="str">
            <v>203003</v>
          </cell>
          <cell r="M16037">
            <v>1</v>
          </cell>
          <cell r="R16037">
            <v>46006</v>
          </cell>
          <cell r="S16037">
            <v>203003</v>
          </cell>
        </row>
        <row r="16038">
          <cell r="K16038" t="str">
            <v>227012</v>
          </cell>
          <cell r="M16038">
            <v>4</v>
          </cell>
          <cell r="R16038">
            <v>46005</v>
          </cell>
          <cell r="S16038">
            <v>227012</v>
          </cell>
        </row>
        <row r="16039">
          <cell r="K16039" t="str">
            <v>217019</v>
          </cell>
          <cell r="M16039">
            <v>6</v>
          </cell>
          <cell r="R16039">
            <v>46005</v>
          </cell>
          <cell r="S16039">
            <v>217019</v>
          </cell>
        </row>
        <row r="16040">
          <cell r="K16040" t="str">
            <v>217019</v>
          </cell>
          <cell r="M16040">
            <v>2</v>
          </cell>
          <cell r="R16040">
            <v>46005</v>
          </cell>
          <cell r="S16040">
            <v>217019</v>
          </cell>
        </row>
        <row r="16041">
          <cell r="K16041" t="str">
            <v>223001</v>
          </cell>
          <cell r="M16041">
            <v>2</v>
          </cell>
          <cell r="R16041">
            <v>46005</v>
          </cell>
          <cell r="S16041">
            <v>223001</v>
          </cell>
        </row>
        <row r="16042">
          <cell r="K16042" t="str">
            <v>223002</v>
          </cell>
          <cell r="M16042">
            <v>2</v>
          </cell>
          <cell r="R16042">
            <v>46005</v>
          </cell>
          <cell r="S16042">
            <v>223002</v>
          </cell>
        </row>
        <row r="16043">
          <cell r="K16043" t="str">
            <v>201024</v>
          </cell>
          <cell r="M16043">
            <v>4</v>
          </cell>
          <cell r="R16043">
            <v>46005</v>
          </cell>
          <cell r="S16043">
            <v>201024</v>
          </cell>
        </row>
        <row r="16044">
          <cell r="K16044" t="str">
            <v>201011</v>
          </cell>
          <cell r="M16044">
            <v>2</v>
          </cell>
          <cell r="R16044">
            <v>46005</v>
          </cell>
          <cell r="S16044">
            <v>201011</v>
          </cell>
        </row>
        <row r="16045">
          <cell r="K16045" t="str">
            <v>213002</v>
          </cell>
          <cell r="M16045">
            <v>3</v>
          </cell>
          <cell r="R16045">
            <v>46005</v>
          </cell>
          <cell r="S16045">
            <v>213002</v>
          </cell>
        </row>
        <row r="16046">
          <cell r="K16046" t="str">
            <v>227012</v>
          </cell>
          <cell r="M16046">
            <v>2</v>
          </cell>
          <cell r="R16046">
            <v>46005</v>
          </cell>
          <cell r="S16046">
            <v>227012</v>
          </cell>
        </row>
        <row r="16047">
          <cell r="K16047" t="str">
            <v>228001</v>
          </cell>
          <cell r="M16047">
            <v>3</v>
          </cell>
          <cell r="R16047">
            <v>46005</v>
          </cell>
          <cell r="S16047">
            <v>228001</v>
          </cell>
        </row>
        <row r="16048">
          <cell r="K16048" t="str">
            <v>212002</v>
          </cell>
          <cell r="M16048">
            <v>1</v>
          </cell>
          <cell r="R16048">
            <v>46005</v>
          </cell>
          <cell r="S16048">
            <v>212002</v>
          </cell>
        </row>
        <row r="16049">
          <cell r="K16049" t="str">
            <v>227001</v>
          </cell>
          <cell r="M16049">
            <v>3</v>
          </cell>
          <cell r="R16049">
            <v>46006</v>
          </cell>
          <cell r="S16049">
            <v>227001</v>
          </cell>
        </row>
        <row r="16050">
          <cell r="K16050" t="str">
            <v>227012</v>
          </cell>
          <cell r="M16050">
            <v>1</v>
          </cell>
          <cell r="R16050">
            <v>46006</v>
          </cell>
          <cell r="S16050">
            <v>227012</v>
          </cell>
        </row>
        <row r="16051">
          <cell r="K16051" t="str">
            <v>228001</v>
          </cell>
          <cell r="M16051">
            <v>5</v>
          </cell>
          <cell r="R16051">
            <v>46006</v>
          </cell>
          <cell r="S16051">
            <v>228001</v>
          </cell>
        </row>
        <row r="16052">
          <cell r="K16052" t="str">
            <v>234001</v>
          </cell>
          <cell r="M16052">
            <v>1</v>
          </cell>
          <cell r="R16052">
            <v>46006</v>
          </cell>
          <cell r="S16052">
            <v>234001</v>
          </cell>
        </row>
        <row r="16053">
          <cell r="K16053" t="str">
            <v>234011</v>
          </cell>
          <cell r="M16053">
            <v>1</v>
          </cell>
          <cell r="R16053">
            <v>46006</v>
          </cell>
          <cell r="S16053">
            <v>234011</v>
          </cell>
        </row>
        <row r="16054">
          <cell r="K16054" t="str">
            <v>213022</v>
          </cell>
          <cell r="M16054">
            <v>10</v>
          </cell>
          <cell r="R16054">
            <v>46006</v>
          </cell>
          <cell r="S16054">
            <v>213022</v>
          </cell>
        </row>
        <row r="16055">
          <cell r="K16055" t="str">
            <v>228001</v>
          </cell>
          <cell r="M16055">
            <v>1</v>
          </cell>
          <cell r="R16055">
            <v>46006</v>
          </cell>
          <cell r="S16055">
            <v>228001</v>
          </cell>
        </row>
        <row r="16056">
          <cell r="K16056" t="str">
            <v>213022</v>
          </cell>
          <cell r="M16056">
            <v>2</v>
          </cell>
          <cell r="R16056">
            <v>46006</v>
          </cell>
          <cell r="S16056">
            <v>213022</v>
          </cell>
        </row>
        <row r="16057">
          <cell r="K16057" t="str">
            <v>201011</v>
          </cell>
          <cell r="M16057">
            <v>1</v>
          </cell>
          <cell r="R16057">
            <v>46006</v>
          </cell>
          <cell r="S16057">
            <v>201011</v>
          </cell>
        </row>
        <row r="16058">
          <cell r="K16058" t="str">
            <v>203003</v>
          </cell>
          <cell r="M16058">
            <v>5</v>
          </cell>
          <cell r="R16058">
            <v>46006</v>
          </cell>
          <cell r="S16058">
            <v>203003</v>
          </cell>
        </row>
        <row r="16059">
          <cell r="K16059" t="str">
            <v>217018</v>
          </cell>
          <cell r="M16059">
            <v>1</v>
          </cell>
          <cell r="R16059">
            <v>46006</v>
          </cell>
          <cell r="S16059">
            <v>217018</v>
          </cell>
        </row>
        <row r="16060">
          <cell r="K16060" t="str">
            <v>228001</v>
          </cell>
          <cell r="M16060">
            <v>1</v>
          </cell>
          <cell r="R16060">
            <v>46006</v>
          </cell>
          <cell r="S16060">
            <v>228001</v>
          </cell>
        </row>
        <row r="16061">
          <cell r="K16061" t="str">
            <v>201024</v>
          </cell>
          <cell r="M16061">
            <v>4</v>
          </cell>
          <cell r="R16061">
            <v>46006</v>
          </cell>
          <cell r="S16061">
            <v>201024</v>
          </cell>
        </row>
        <row r="16062">
          <cell r="K16062" t="str">
            <v>212035</v>
          </cell>
          <cell r="M16062">
            <v>3</v>
          </cell>
          <cell r="R16062">
            <v>46006</v>
          </cell>
          <cell r="S16062">
            <v>212035</v>
          </cell>
        </row>
        <row r="16063">
          <cell r="K16063" t="str">
            <v>234001</v>
          </cell>
          <cell r="M16063">
            <v>1</v>
          </cell>
          <cell r="R16063">
            <v>46006</v>
          </cell>
          <cell r="S16063">
            <v>234001</v>
          </cell>
        </row>
        <row r="16064">
          <cell r="K16064" t="str">
            <v>201011</v>
          </cell>
          <cell r="M16064">
            <v>6</v>
          </cell>
          <cell r="R16064">
            <v>46006</v>
          </cell>
          <cell r="S16064">
            <v>201011</v>
          </cell>
        </row>
        <row r="16065">
          <cell r="K16065" t="str">
            <v>213002</v>
          </cell>
          <cell r="M16065">
            <v>1</v>
          </cell>
          <cell r="R16065">
            <v>46006</v>
          </cell>
          <cell r="S16065">
            <v>213002</v>
          </cell>
        </row>
        <row r="16066">
          <cell r="K16066" t="str">
            <v>223002</v>
          </cell>
          <cell r="M16066">
            <v>2</v>
          </cell>
          <cell r="R16066">
            <v>46006</v>
          </cell>
          <cell r="S16066">
            <v>223002</v>
          </cell>
        </row>
        <row r="16067">
          <cell r="K16067" t="str">
            <v>223001</v>
          </cell>
          <cell r="M16067">
            <v>2</v>
          </cell>
          <cell r="R16067">
            <v>46006</v>
          </cell>
          <cell r="S16067">
            <v>223001</v>
          </cell>
        </row>
        <row r="16068">
          <cell r="K16068" t="str">
            <v>201024</v>
          </cell>
          <cell r="M16068">
            <v>4</v>
          </cell>
          <cell r="R16068">
            <v>46006</v>
          </cell>
          <cell r="S16068">
            <v>201024</v>
          </cell>
        </row>
        <row r="16069">
          <cell r="K16069" t="str">
            <v>213022</v>
          </cell>
          <cell r="M16069">
            <v>81</v>
          </cell>
          <cell r="R16069">
            <v>46006</v>
          </cell>
          <cell r="S16069">
            <v>213022</v>
          </cell>
        </row>
        <row r="16070">
          <cell r="K16070" t="str">
            <v>207017</v>
          </cell>
          <cell r="M16070">
            <v>2</v>
          </cell>
          <cell r="R16070">
            <v>46006</v>
          </cell>
          <cell r="S16070">
            <v>207017</v>
          </cell>
        </row>
        <row r="16071">
          <cell r="K16071" t="str">
            <v>226024</v>
          </cell>
          <cell r="M16071">
            <v>1</v>
          </cell>
          <cell r="R16071">
            <v>46006</v>
          </cell>
          <cell r="S16071">
            <v>226024</v>
          </cell>
        </row>
        <row r="16072">
          <cell r="K16072" t="str">
            <v>226022</v>
          </cell>
          <cell r="M16072">
            <v>1</v>
          </cell>
          <cell r="R16072">
            <v>46006</v>
          </cell>
          <cell r="S16072">
            <v>226022</v>
          </cell>
        </row>
        <row r="16073">
          <cell r="K16073" t="str">
            <v>209006</v>
          </cell>
          <cell r="M16073">
            <v>3</v>
          </cell>
          <cell r="R16073">
            <v>46006</v>
          </cell>
          <cell r="S16073">
            <v>209006</v>
          </cell>
        </row>
        <row r="16074">
          <cell r="K16074" t="str">
            <v>209004</v>
          </cell>
          <cell r="M16074">
            <v>1</v>
          </cell>
          <cell r="R16074">
            <v>46006</v>
          </cell>
          <cell r="S16074">
            <v>209004</v>
          </cell>
        </row>
        <row r="16075">
          <cell r="K16075" t="str">
            <v>213022</v>
          </cell>
          <cell r="M16075">
            <v>1</v>
          </cell>
          <cell r="R16075">
            <v>46006</v>
          </cell>
          <cell r="S16075">
            <v>213022</v>
          </cell>
        </row>
        <row r="16076">
          <cell r="K16076" t="str">
            <v>228001</v>
          </cell>
          <cell r="M16076">
            <v>2</v>
          </cell>
          <cell r="R16076">
            <v>46006</v>
          </cell>
          <cell r="S16076">
            <v>228001</v>
          </cell>
        </row>
        <row r="16077">
          <cell r="K16077" t="str">
            <v>223001</v>
          </cell>
          <cell r="M16077">
            <v>1</v>
          </cell>
          <cell r="R16077">
            <v>46006</v>
          </cell>
          <cell r="S16077">
            <v>223001</v>
          </cell>
        </row>
        <row r="16078">
          <cell r="K16078" t="str">
            <v>228001</v>
          </cell>
          <cell r="M16078">
            <v>1</v>
          </cell>
          <cell r="R16078">
            <v>46006</v>
          </cell>
          <cell r="S16078">
            <v>228001</v>
          </cell>
        </row>
        <row r="16079">
          <cell r="K16079" t="str">
            <v>203003</v>
          </cell>
          <cell r="M16079">
            <v>2</v>
          </cell>
          <cell r="R16079">
            <v>46006</v>
          </cell>
          <cell r="S16079">
            <v>203003</v>
          </cell>
        </row>
        <row r="16080">
          <cell r="K16080" t="str">
            <v>228001</v>
          </cell>
          <cell r="M16080">
            <v>2</v>
          </cell>
          <cell r="R16080">
            <v>46006</v>
          </cell>
          <cell r="S16080">
            <v>228001</v>
          </cell>
        </row>
        <row r="16081">
          <cell r="K16081" t="str">
            <v>231012</v>
          </cell>
          <cell r="M16081">
            <v>1</v>
          </cell>
          <cell r="R16081">
            <v>46006</v>
          </cell>
          <cell r="S16081">
            <v>231012</v>
          </cell>
        </row>
        <row r="16082">
          <cell r="K16082" t="str">
            <v>217018</v>
          </cell>
          <cell r="M16082">
            <v>1</v>
          </cell>
          <cell r="R16082">
            <v>46006</v>
          </cell>
          <cell r="S16082">
            <v>217018</v>
          </cell>
        </row>
        <row r="16083">
          <cell r="K16083" t="str">
            <v>213002</v>
          </cell>
          <cell r="M16083">
            <v>2</v>
          </cell>
          <cell r="R16083">
            <v>46006</v>
          </cell>
          <cell r="S16083">
            <v>213002</v>
          </cell>
        </row>
        <row r="16084">
          <cell r="K16084" t="str">
            <v>201028</v>
          </cell>
          <cell r="M16084">
            <v>3</v>
          </cell>
          <cell r="R16084">
            <v>46006</v>
          </cell>
          <cell r="S16084">
            <v>201028</v>
          </cell>
        </row>
        <row r="16085">
          <cell r="K16085" t="str">
            <v>201001</v>
          </cell>
          <cell r="M16085">
            <v>4</v>
          </cell>
          <cell r="R16085">
            <v>46006</v>
          </cell>
          <cell r="S16085">
            <v>201001</v>
          </cell>
        </row>
        <row r="16086">
          <cell r="K16086" t="str">
            <v>213002</v>
          </cell>
          <cell r="M16086">
            <v>5</v>
          </cell>
          <cell r="R16086">
            <v>46006</v>
          </cell>
          <cell r="S16086">
            <v>213002</v>
          </cell>
        </row>
        <row r="16087">
          <cell r="K16087" t="str">
            <v>213022</v>
          </cell>
          <cell r="M16087">
            <v>1</v>
          </cell>
          <cell r="R16087">
            <v>46006</v>
          </cell>
          <cell r="S16087">
            <v>213022</v>
          </cell>
        </row>
        <row r="16088">
          <cell r="K16088" t="str">
            <v>201011</v>
          </cell>
          <cell r="M16088">
            <v>1</v>
          </cell>
          <cell r="R16088">
            <v>46006</v>
          </cell>
          <cell r="S16088">
            <v>201011</v>
          </cell>
        </row>
        <row r="16089">
          <cell r="K16089" t="str">
            <v>206002</v>
          </cell>
          <cell r="M16089">
            <v>3</v>
          </cell>
          <cell r="R16089">
            <v>46006</v>
          </cell>
          <cell r="S16089">
            <v>206002</v>
          </cell>
        </row>
        <row r="16090">
          <cell r="K16090" t="str">
            <v>208001</v>
          </cell>
          <cell r="M16090">
            <v>1</v>
          </cell>
          <cell r="R16090">
            <v>46006</v>
          </cell>
          <cell r="S16090">
            <v>208001</v>
          </cell>
        </row>
        <row r="16091">
          <cell r="K16091" t="str">
            <v>206006</v>
          </cell>
          <cell r="M16091">
            <v>2</v>
          </cell>
          <cell r="R16091">
            <v>46006</v>
          </cell>
          <cell r="S16091">
            <v>206006</v>
          </cell>
        </row>
        <row r="16092">
          <cell r="K16092" t="str">
            <v>218003</v>
          </cell>
          <cell r="M16092">
            <v>2</v>
          </cell>
          <cell r="R16092">
            <v>46006</v>
          </cell>
          <cell r="S16092">
            <v>218003</v>
          </cell>
        </row>
        <row r="16093">
          <cell r="K16093" t="str">
            <v>206005</v>
          </cell>
          <cell r="M16093">
            <v>2</v>
          </cell>
          <cell r="R16093">
            <v>46006</v>
          </cell>
          <cell r="S16093">
            <v>206005</v>
          </cell>
        </row>
        <row r="16094">
          <cell r="K16094" t="str">
            <v>208001</v>
          </cell>
          <cell r="M16094">
            <v>1</v>
          </cell>
          <cell r="R16094">
            <v>46006</v>
          </cell>
          <cell r="S16094">
            <v>208001</v>
          </cell>
        </row>
        <row r="16095">
          <cell r="K16095" t="str">
            <v>206002</v>
          </cell>
          <cell r="M16095">
            <v>3</v>
          </cell>
          <cell r="R16095">
            <v>46006</v>
          </cell>
          <cell r="S16095">
            <v>206002</v>
          </cell>
        </row>
        <row r="16096">
          <cell r="K16096" t="str">
            <v>228001</v>
          </cell>
          <cell r="M16096">
            <v>4</v>
          </cell>
          <cell r="R16096">
            <v>46006</v>
          </cell>
          <cell r="S16096">
            <v>228001</v>
          </cell>
        </row>
        <row r="16097">
          <cell r="K16097" t="str">
            <v>227001</v>
          </cell>
          <cell r="M16097">
            <v>2</v>
          </cell>
          <cell r="R16097">
            <v>46006</v>
          </cell>
          <cell r="S16097">
            <v>227001</v>
          </cell>
        </row>
        <row r="16098">
          <cell r="K16098" t="str">
            <v>213022</v>
          </cell>
          <cell r="M16098">
            <v>3</v>
          </cell>
          <cell r="R16098">
            <v>46006</v>
          </cell>
          <cell r="S16098">
            <v>213022</v>
          </cell>
        </row>
        <row r="16099">
          <cell r="K16099" t="str">
            <v>213022</v>
          </cell>
          <cell r="M16099">
            <v>10</v>
          </cell>
          <cell r="R16099">
            <v>46006</v>
          </cell>
          <cell r="S16099">
            <v>213022</v>
          </cell>
        </row>
        <row r="16100">
          <cell r="K16100" t="str">
            <v>201027</v>
          </cell>
          <cell r="M16100">
            <v>3</v>
          </cell>
          <cell r="R16100">
            <v>46006</v>
          </cell>
          <cell r="S16100">
            <v>201027</v>
          </cell>
        </row>
        <row r="16101">
          <cell r="K16101" t="str">
            <v>217022</v>
          </cell>
          <cell r="M16101">
            <v>2</v>
          </cell>
          <cell r="R16101">
            <v>46006</v>
          </cell>
          <cell r="S16101">
            <v>217022</v>
          </cell>
        </row>
        <row r="16102">
          <cell r="K16102" t="str">
            <v>207017</v>
          </cell>
          <cell r="M16102">
            <v>1</v>
          </cell>
          <cell r="R16102">
            <v>46006</v>
          </cell>
          <cell r="S16102">
            <v>207017</v>
          </cell>
        </row>
        <row r="16103">
          <cell r="K16103" t="str">
            <v>241001</v>
          </cell>
          <cell r="M16103">
            <v>3</v>
          </cell>
          <cell r="R16103">
            <v>46006</v>
          </cell>
          <cell r="S16103">
            <v>241001</v>
          </cell>
        </row>
        <row r="16104">
          <cell r="K16104" t="str">
            <v>222007</v>
          </cell>
          <cell r="M16104">
            <v>2</v>
          </cell>
          <cell r="R16104">
            <v>46006</v>
          </cell>
          <cell r="S16104">
            <v>222007</v>
          </cell>
        </row>
        <row r="16105">
          <cell r="K16105" t="str">
            <v>261004</v>
          </cell>
          <cell r="M16105">
            <v>1</v>
          </cell>
          <cell r="R16105">
            <v>46006</v>
          </cell>
          <cell r="S16105">
            <v>261004</v>
          </cell>
        </row>
        <row r="16106">
          <cell r="K16106" t="str">
            <v>222001</v>
          </cell>
          <cell r="M16106">
            <v>4</v>
          </cell>
          <cell r="R16106">
            <v>46006</v>
          </cell>
          <cell r="S16106">
            <v>222001</v>
          </cell>
        </row>
        <row r="16107">
          <cell r="K16107" t="str">
            <v>228001</v>
          </cell>
          <cell r="M16107">
            <v>2</v>
          </cell>
          <cell r="R16107">
            <v>46006</v>
          </cell>
          <cell r="S16107">
            <v>228001</v>
          </cell>
        </row>
        <row r="16108">
          <cell r="K16108" t="str">
            <v>203001</v>
          </cell>
          <cell r="M16108">
            <v>4</v>
          </cell>
          <cell r="R16108">
            <v>46006</v>
          </cell>
          <cell r="S16108">
            <v>203001</v>
          </cell>
        </row>
        <row r="16109">
          <cell r="K16109" t="str">
            <v>228001</v>
          </cell>
          <cell r="M16109">
            <v>10</v>
          </cell>
          <cell r="R16109">
            <v>46006</v>
          </cell>
          <cell r="S16109">
            <v>228001</v>
          </cell>
        </row>
        <row r="16110">
          <cell r="K16110" t="str">
            <v>209012</v>
          </cell>
          <cell r="M16110">
            <v>6</v>
          </cell>
          <cell r="R16110">
            <v>46006</v>
          </cell>
          <cell r="S16110">
            <v>209012</v>
          </cell>
        </row>
        <row r="16111">
          <cell r="K16111" t="str">
            <v>234001</v>
          </cell>
          <cell r="M16111">
            <v>10</v>
          </cell>
          <cell r="R16111">
            <v>46006</v>
          </cell>
          <cell r="S16111">
            <v>234001</v>
          </cell>
        </row>
        <row r="16112">
          <cell r="K16112" t="str">
            <v>261005</v>
          </cell>
          <cell r="M16112">
            <v>1</v>
          </cell>
          <cell r="R16112">
            <v>46006</v>
          </cell>
          <cell r="S16112">
            <v>261005</v>
          </cell>
        </row>
        <row r="16113">
          <cell r="K16113" t="str">
            <v>217022</v>
          </cell>
          <cell r="M16113">
            <v>2</v>
          </cell>
          <cell r="R16113">
            <v>46006</v>
          </cell>
          <cell r="S16113">
            <v>217022</v>
          </cell>
        </row>
        <row r="16114">
          <cell r="K16114" t="str">
            <v>217018</v>
          </cell>
          <cell r="M16114">
            <v>3</v>
          </cell>
          <cell r="R16114">
            <v>46006</v>
          </cell>
          <cell r="S16114">
            <v>217018</v>
          </cell>
        </row>
        <row r="16115">
          <cell r="K16115" t="str">
            <v>203001</v>
          </cell>
          <cell r="M16115">
            <v>4</v>
          </cell>
          <cell r="R16115">
            <v>46006</v>
          </cell>
          <cell r="S16115">
            <v>203001</v>
          </cell>
        </row>
        <row r="16116">
          <cell r="K16116" t="str">
            <v>210014</v>
          </cell>
          <cell r="M16116">
            <v>4</v>
          </cell>
          <cell r="R16116">
            <v>46006</v>
          </cell>
          <cell r="S16116">
            <v>210014</v>
          </cell>
        </row>
        <row r="16117">
          <cell r="K16117" t="str">
            <v>201011</v>
          </cell>
          <cell r="M16117">
            <v>1</v>
          </cell>
          <cell r="R16117">
            <v>46006</v>
          </cell>
          <cell r="S16117">
            <v>201011</v>
          </cell>
        </row>
        <row r="16118">
          <cell r="K16118" t="str">
            <v>201024</v>
          </cell>
          <cell r="M16118">
            <v>1</v>
          </cell>
          <cell r="R16118">
            <v>46006</v>
          </cell>
          <cell r="S16118">
            <v>201024</v>
          </cell>
        </row>
        <row r="16119">
          <cell r="K16119" t="str">
            <v>212002</v>
          </cell>
          <cell r="M16119">
            <v>1</v>
          </cell>
          <cell r="R16119">
            <v>46006</v>
          </cell>
          <cell r="S16119">
            <v>212002</v>
          </cell>
        </row>
        <row r="16120">
          <cell r="K16120" t="str">
            <v>228001</v>
          </cell>
          <cell r="M16120">
            <v>2</v>
          </cell>
          <cell r="R16120">
            <v>46006</v>
          </cell>
          <cell r="S16120">
            <v>228001</v>
          </cell>
        </row>
        <row r="16121">
          <cell r="K16121" t="str">
            <v>228001</v>
          </cell>
          <cell r="M16121">
            <v>1</v>
          </cell>
          <cell r="R16121">
            <v>46006</v>
          </cell>
          <cell r="S16121">
            <v>228001</v>
          </cell>
        </row>
        <row r="16122">
          <cell r="K16122" t="str">
            <v>228001</v>
          </cell>
          <cell r="M16122">
            <v>2</v>
          </cell>
          <cell r="R16122">
            <v>46006</v>
          </cell>
          <cell r="S16122">
            <v>228001</v>
          </cell>
        </row>
        <row r="16123">
          <cell r="K16123" t="str">
            <v>228001</v>
          </cell>
          <cell r="M16123">
            <v>4</v>
          </cell>
          <cell r="R16123">
            <v>46006</v>
          </cell>
          <cell r="S16123">
            <v>228001</v>
          </cell>
        </row>
        <row r="16124">
          <cell r="K16124" t="str">
            <v>222001</v>
          </cell>
          <cell r="M16124">
            <v>1</v>
          </cell>
          <cell r="R16124">
            <v>46006</v>
          </cell>
          <cell r="S16124">
            <v>222001</v>
          </cell>
        </row>
        <row r="16125">
          <cell r="K16125" t="str">
            <v>223002</v>
          </cell>
          <cell r="M16125">
            <v>2</v>
          </cell>
          <cell r="R16125">
            <v>46006</v>
          </cell>
          <cell r="S16125">
            <v>223002</v>
          </cell>
        </row>
        <row r="16126">
          <cell r="K16126" t="str">
            <v>228001</v>
          </cell>
          <cell r="M16126">
            <v>6</v>
          </cell>
          <cell r="R16126">
            <v>46006</v>
          </cell>
          <cell r="S16126">
            <v>228001</v>
          </cell>
        </row>
        <row r="16127">
          <cell r="K16127" t="str">
            <v>201011</v>
          </cell>
          <cell r="M16127">
            <v>2</v>
          </cell>
          <cell r="R16127">
            <v>46006</v>
          </cell>
          <cell r="S16127">
            <v>201011</v>
          </cell>
        </row>
        <row r="16128">
          <cell r="K16128" t="str">
            <v>223004</v>
          </cell>
          <cell r="M16128">
            <v>2</v>
          </cell>
          <cell r="R16128">
            <v>46006</v>
          </cell>
          <cell r="S16128">
            <v>223004</v>
          </cell>
        </row>
        <row r="16129">
          <cell r="K16129" t="str">
            <v>229003</v>
          </cell>
          <cell r="M16129">
            <v>4</v>
          </cell>
          <cell r="R16129">
            <v>46006</v>
          </cell>
          <cell r="S16129">
            <v>229003</v>
          </cell>
        </row>
        <row r="16130">
          <cell r="K16130" t="str">
            <v>201001</v>
          </cell>
          <cell r="M16130">
            <v>1</v>
          </cell>
          <cell r="R16130">
            <v>46006</v>
          </cell>
          <cell r="S16130">
            <v>201001</v>
          </cell>
        </row>
        <row r="16131">
          <cell r="K16131" t="str">
            <v>213022</v>
          </cell>
          <cell r="M16131">
            <v>1</v>
          </cell>
          <cell r="R16131">
            <v>46006</v>
          </cell>
          <cell r="S16131">
            <v>213022</v>
          </cell>
        </row>
        <row r="16132">
          <cell r="K16132" t="str">
            <v>271002</v>
          </cell>
          <cell r="M16132">
            <v>40</v>
          </cell>
          <cell r="R16132">
            <v>46006</v>
          </cell>
          <cell r="S16132">
            <v>271002</v>
          </cell>
        </row>
        <row r="16133">
          <cell r="K16133" t="str">
            <v>210013</v>
          </cell>
          <cell r="M16133">
            <v>1</v>
          </cell>
          <cell r="R16133">
            <v>46006</v>
          </cell>
          <cell r="S16133">
            <v>210013</v>
          </cell>
        </row>
        <row r="16134">
          <cell r="K16134" t="str">
            <v>213002</v>
          </cell>
          <cell r="M16134">
            <v>4</v>
          </cell>
          <cell r="R16134">
            <v>46006</v>
          </cell>
          <cell r="S16134">
            <v>213002</v>
          </cell>
        </row>
        <row r="16135">
          <cell r="K16135" t="str">
            <v>213002</v>
          </cell>
          <cell r="M16135">
            <v>2</v>
          </cell>
          <cell r="R16135">
            <v>46006</v>
          </cell>
          <cell r="S16135">
            <v>213002</v>
          </cell>
        </row>
        <row r="16136">
          <cell r="K16136" t="str">
            <v>201001</v>
          </cell>
          <cell r="M16136">
            <v>2</v>
          </cell>
          <cell r="R16136">
            <v>46006</v>
          </cell>
          <cell r="S16136">
            <v>201001</v>
          </cell>
        </row>
        <row r="16137">
          <cell r="K16137" t="str">
            <v>228001</v>
          </cell>
          <cell r="M16137">
            <v>1</v>
          </cell>
          <cell r="R16137">
            <v>46006</v>
          </cell>
          <cell r="S16137">
            <v>228001</v>
          </cell>
        </row>
        <row r="16138">
          <cell r="K16138" t="str">
            <v>203003</v>
          </cell>
          <cell r="M16138">
            <v>2</v>
          </cell>
          <cell r="R16138">
            <v>46006</v>
          </cell>
          <cell r="S16138">
            <v>203003</v>
          </cell>
        </row>
        <row r="16139">
          <cell r="K16139" t="str">
            <v>210013</v>
          </cell>
          <cell r="M16139">
            <v>1</v>
          </cell>
          <cell r="R16139">
            <v>46006</v>
          </cell>
          <cell r="S16139">
            <v>210013</v>
          </cell>
        </row>
        <row r="16140">
          <cell r="K16140" t="str">
            <v>213002</v>
          </cell>
          <cell r="M16140">
            <v>4</v>
          </cell>
          <cell r="R16140">
            <v>46006</v>
          </cell>
          <cell r="S16140">
            <v>213002</v>
          </cell>
        </row>
        <row r="16141">
          <cell r="K16141" t="str">
            <v>226001</v>
          </cell>
          <cell r="M16141">
            <v>1</v>
          </cell>
          <cell r="R16141">
            <v>46006</v>
          </cell>
          <cell r="S16141">
            <v>226001</v>
          </cell>
        </row>
        <row r="16142">
          <cell r="K16142" t="str">
            <v>201024</v>
          </cell>
          <cell r="M16142">
            <v>1</v>
          </cell>
          <cell r="R16142">
            <v>46006</v>
          </cell>
          <cell r="S16142">
            <v>201024</v>
          </cell>
        </row>
        <row r="16143">
          <cell r="K16143" t="str">
            <v>217011</v>
          </cell>
          <cell r="M16143">
            <v>2</v>
          </cell>
          <cell r="R16143">
            <v>46007</v>
          </cell>
          <cell r="S16143">
            <v>217011</v>
          </cell>
        </row>
        <row r="16144">
          <cell r="K16144" t="str">
            <v>226001</v>
          </cell>
          <cell r="M16144">
            <v>4</v>
          </cell>
          <cell r="R16144">
            <v>46006</v>
          </cell>
          <cell r="S16144">
            <v>226001</v>
          </cell>
        </row>
        <row r="16145">
          <cell r="K16145" t="str">
            <v>228001</v>
          </cell>
          <cell r="M16145">
            <v>1</v>
          </cell>
          <cell r="R16145">
            <v>46006</v>
          </cell>
          <cell r="S16145">
            <v>228001</v>
          </cell>
        </row>
        <row r="16146">
          <cell r="K16146" t="str">
            <v>228001</v>
          </cell>
          <cell r="M16146">
            <v>3</v>
          </cell>
          <cell r="R16146">
            <v>46006</v>
          </cell>
          <cell r="S16146">
            <v>228001</v>
          </cell>
        </row>
        <row r="16147">
          <cell r="K16147" t="str">
            <v>223001</v>
          </cell>
          <cell r="M16147">
            <v>6</v>
          </cell>
          <cell r="R16147">
            <v>46006</v>
          </cell>
          <cell r="S16147">
            <v>223001</v>
          </cell>
        </row>
        <row r="16148">
          <cell r="K16148" t="str">
            <v>223002</v>
          </cell>
          <cell r="M16148">
            <v>10</v>
          </cell>
          <cell r="R16148">
            <v>46006</v>
          </cell>
          <cell r="S16148">
            <v>223002</v>
          </cell>
        </row>
        <row r="16149">
          <cell r="K16149" t="str">
            <v>213022</v>
          </cell>
          <cell r="M16149">
            <v>2</v>
          </cell>
          <cell r="R16149">
            <v>46006</v>
          </cell>
          <cell r="S16149">
            <v>213022</v>
          </cell>
        </row>
        <row r="16150">
          <cell r="K16150" t="str">
            <v>217018</v>
          </cell>
          <cell r="M16150">
            <v>2</v>
          </cell>
          <cell r="R16150">
            <v>46006</v>
          </cell>
          <cell r="S16150">
            <v>217018</v>
          </cell>
        </row>
        <row r="16151">
          <cell r="K16151" t="str">
            <v>217011</v>
          </cell>
          <cell r="M16151">
            <v>1</v>
          </cell>
          <cell r="R16151">
            <v>46007</v>
          </cell>
          <cell r="S16151">
            <v>217011</v>
          </cell>
        </row>
        <row r="16152">
          <cell r="K16152" t="str">
            <v>213022</v>
          </cell>
          <cell r="M16152">
            <v>1</v>
          </cell>
          <cell r="R16152">
            <v>46006</v>
          </cell>
          <cell r="S16152">
            <v>213022</v>
          </cell>
        </row>
        <row r="16153">
          <cell r="K16153" t="str">
            <v>212002</v>
          </cell>
          <cell r="M16153">
            <v>1</v>
          </cell>
          <cell r="R16153">
            <v>46006</v>
          </cell>
          <cell r="S16153">
            <v>212002</v>
          </cell>
        </row>
        <row r="16154">
          <cell r="K16154" t="str">
            <v>209004</v>
          </cell>
          <cell r="M16154">
            <v>1</v>
          </cell>
          <cell r="R16154">
            <v>46006</v>
          </cell>
          <cell r="S16154">
            <v>209004</v>
          </cell>
        </row>
        <row r="16155">
          <cell r="K16155" t="str">
            <v>223001</v>
          </cell>
          <cell r="M16155">
            <v>2</v>
          </cell>
          <cell r="R16155">
            <v>46007</v>
          </cell>
          <cell r="S16155">
            <v>223001</v>
          </cell>
        </row>
        <row r="16156">
          <cell r="K16156" t="str">
            <v>228001</v>
          </cell>
          <cell r="M16156">
            <v>3</v>
          </cell>
          <cell r="R16156">
            <v>46006</v>
          </cell>
          <cell r="S16156">
            <v>228001</v>
          </cell>
        </row>
        <row r="16157">
          <cell r="K16157" t="str">
            <v>201011</v>
          </cell>
          <cell r="M16157">
            <v>6</v>
          </cell>
          <cell r="R16157">
            <v>46006</v>
          </cell>
          <cell r="S16157">
            <v>201011</v>
          </cell>
        </row>
        <row r="16158">
          <cell r="K16158" t="str">
            <v>201011</v>
          </cell>
          <cell r="M16158">
            <v>5</v>
          </cell>
          <cell r="R16158">
            <v>46006</v>
          </cell>
          <cell r="S16158">
            <v>201011</v>
          </cell>
        </row>
        <row r="16159">
          <cell r="K16159" t="str">
            <v>209004</v>
          </cell>
          <cell r="M16159">
            <v>1</v>
          </cell>
          <cell r="R16159">
            <v>46006</v>
          </cell>
          <cell r="S16159">
            <v>209004</v>
          </cell>
        </row>
        <row r="16160">
          <cell r="K16160" t="str">
            <v>207017</v>
          </cell>
          <cell r="M16160">
            <v>1</v>
          </cell>
          <cell r="R16160">
            <v>46006</v>
          </cell>
          <cell r="S16160">
            <v>207017</v>
          </cell>
        </row>
        <row r="16161">
          <cell r="K16161" t="str">
            <v>203003</v>
          </cell>
          <cell r="M16161">
            <v>2</v>
          </cell>
          <cell r="R16161">
            <v>46006</v>
          </cell>
          <cell r="S16161">
            <v>203003</v>
          </cell>
        </row>
        <row r="16162">
          <cell r="K16162" t="str">
            <v>226001</v>
          </cell>
          <cell r="M16162">
            <v>1</v>
          </cell>
          <cell r="R16162">
            <v>46006</v>
          </cell>
          <cell r="S16162">
            <v>226001</v>
          </cell>
        </row>
        <row r="16163">
          <cell r="K16163" t="str">
            <v>213002</v>
          </cell>
          <cell r="M16163">
            <v>2</v>
          </cell>
          <cell r="R16163">
            <v>46006</v>
          </cell>
          <cell r="S16163">
            <v>213002</v>
          </cell>
        </row>
        <row r="16164">
          <cell r="K16164" t="str">
            <v>209016</v>
          </cell>
          <cell r="M16164">
            <v>2</v>
          </cell>
          <cell r="R16164">
            <v>46006</v>
          </cell>
          <cell r="S16164">
            <v>209016</v>
          </cell>
        </row>
        <row r="16165">
          <cell r="K16165" t="str">
            <v>231012</v>
          </cell>
          <cell r="M16165">
            <v>1</v>
          </cell>
          <cell r="R16165">
            <v>46006</v>
          </cell>
          <cell r="S16165">
            <v>231012</v>
          </cell>
        </row>
        <row r="16166">
          <cell r="K16166" t="str">
            <v>223002</v>
          </cell>
          <cell r="M16166">
            <v>4</v>
          </cell>
          <cell r="R16166">
            <v>46007</v>
          </cell>
          <cell r="S16166">
            <v>223002</v>
          </cell>
        </row>
        <row r="16167">
          <cell r="K16167" t="str">
            <v>223001</v>
          </cell>
          <cell r="M16167">
            <v>2</v>
          </cell>
          <cell r="R16167">
            <v>46007</v>
          </cell>
          <cell r="S16167">
            <v>223001</v>
          </cell>
        </row>
        <row r="16168">
          <cell r="K16168" t="str">
            <v>209004</v>
          </cell>
          <cell r="M16168">
            <v>2</v>
          </cell>
          <cell r="R16168">
            <v>46007</v>
          </cell>
          <cell r="S16168">
            <v>209004</v>
          </cell>
        </row>
        <row r="16169">
          <cell r="K16169" t="str">
            <v>209004</v>
          </cell>
          <cell r="M16169">
            <v>1</v>
          </cell>
          <cell r="R16169">
            <v>46007</v>
          </cell>
          <cell r="S16169">
            <v>209004</v>
          </cell>
        </row>
        <row r="16170">
          <cell r="K16170" t="str">
            <v>228001</v>
          </cell>
          <cell r="M16170">
            <v>2</v>
          </cell>
          <cell r="R16170">
            <v>46007</v>
          </cell>
          <cell r="S16170">
            <v>228001</v>
          </cell>
        </row>
        <row r="16171">
          <cell r="K16171" t="str">
            <v>201011</v>
          </cell>
          <cell r="M16171">
            <v>4</v>
          </cell>
          <cell r="R16171">
            <v>46007</v>
          </cell>
          <cell r="S16171">
            <v>201011</v>
          </cell>
        </row>
        <row r="16172">
          <cell r="K16172" t="str">
            <v>241001</v>
          </cell>
          <cell r="M16172">
            <v>5</v>
          </cell>
          <cell r="R16172">
            <v>46007</v>
          </cell>
          <cell r="S16172">
            <v>241001</v>
          </cell>
        </row>
        <row r="16173">
          <cell r="K16173" t="str">
            <v>203003</v>
          </cell>
          <cell r="M16173">
            <v>1</v>
          </cell>
          <cell r="R16173">
            <v>46007</v>
          </cell>
          <cell r="S16173">
            <v>203003</v>
          </cell>
        </row>
        <row r="16174">
          <cell r="K16174" t="str">
            <v>226025</v>
          </cell>
          <cell r="M16174">
            <v>5</v>
          </cell>
          <cell r="R16174">
            <v>46007</v>
          </cell>
          <cell r="S16174">
            <v>226025</v>
          </cell>
        </row>
        <row r="16175">
          <cell r="K16175" t="str">
            <v>209012</v>
          </cell>
          <cell r="M16175">
            <v>1</v>
          </cell>
          <cell r="R16175">
            <v>46007</v>
          </cell>
          <cell r="S16175">
            <v>209012</v>
          </cell>
        </row>
        <row r="16176">
          <cell r="K16176" t="str">
            <v>209002</v>
          </cell>
          <cell r="M16176">
            <v>1</v>
          </cell>
          <cell r="R16176">
            <v>46007</v>
          </cell>
          <cell r="S16176">
            <v>209002</v>
          </cell>
        </row>
        <row r="16177">
          <cell r="K16177" t="str">
            <v>212035</v>
          </cell>
          <cell r="M16177">
            <v>2</v>
          </cell>
          <cell r="R16177">
            <v>46007</v>
          </cell>
          <cell r="S16177">
            <v>212035</v>
          </cell>
        </row>
        <row r="16178">
          <cell r="K16178" t="str">
            <v>203001</v>
          </cell>
          <cell r="M16178">
            <v>8</v>
          </cell>
          <cell r="R16178">
            <v>46007</v>
          </cell>
          <cell r="S16178">
            <v>203001</v>
          </cell>
        </row>
        <row r="16179">
          <cell r="K16179" t="str">
            <v>231012</v>
          </cell>
          <cell r="M16179">
            <v>2</v>
          </cell>
          <cell r="R16179">
            <v>46007</v>
          </cell>
          <cell r="S16179">
            <v>231012</v>
          </cell>
        </row>
        <row r="16180">
          <cell r="K16180" t="str">
            <v>228001</v>
          </cell>
          <cell r="M16180">
            <v>12</v>
          </cell>
          <cell r="R16180">
            <v>46007</v>
          </cell>
          <cell r="S16180">
            <v>228001</v>
          </cell>
        </row>
        <row r="16181">
          <cell r="K16181" t="str">
            <v>209016</v>
          </cell>
          <cell r="M16181">
            <v>2</v>
          </cell>
          <cell r="R16181">
            <v>46007</v>
          </cell>
          <cell r="S16181">
            <v>209016</v>
          </cell>
        </row>
        <row r="16182">
          <cell r="K16182" t="str">
            <v>229001</v>
          </cell>
          <cell r="M16182">
            <v>9</v>
          </cell>
          <cell r="R16182">
            <v>46007</v>
          </cell>
          <cell r="S16182">
            <v>229001</v>
          </cell>
        </row>
        <row r="16183">
          <cell r="K16183" t="str">
            <v>217022</v>
          </cell>
          <cell r="M16183">
            <v>4</v>
          </cell>
          <cell r="R16183">
            <v>46007</v>
          </cell>
          <cell r="S16183">
            <v>217022</v>
          </cell>
        </row>
        <row r="16184">
          <cell r="K16184" t="str">
            <v>217022</v>
          </cell>
          <cell r="M16184">
            <v>3</v>
          </cell>
          <cell r="R16184">
            <v>46007</v>
          </cell>
          <cell r="S16184">
            <v>217022</v>
          </cell>
        </row>
        <row r="16185">
          <cell r="K16185" t="str">
            <v>209012</v>
          </cell>
          <cell r="M16185">
            <v>1</v>
          </cell>
          <cell r="R16185">
            <v>46007</v>
          </cell>
          <cell r="S16185">
            <v>209012</v>
          </cell>
        </row>
        <row r="16186">
          <cell r="K16186" t="str">
            <v>213022</v>
          </cell>
          <cell r="M16186">
            <v>1</v>
          </cell>
          <cell r="R16186">
            <v>46007</v>
          </cell>
          <cell r="S16186">
            <v>213022</v>
          </cell>
        </row>
        <row r="16187">
          <cell r="K16187" t="str">
            <v>203001</v>
          </cell>
          <cell r="M16187">
            <v>1</v>
          </cell>
          <cell r="R16187">
            <v>46007</v>
          </cell>
          <cell r="S16187">
            <v>203001</v>
          </cell>
        </row>
        <row r="16188">
          <cell r="K16188" t="str">
            <v>229004</v>
          </cell>
          <cell r="M16188">
            <v>4</v>
          </cell>
          <cell r="R16188">
            <v>46007</v>
          </cell>
          <cell r="S16188">
            <v>229004</v>
          </cell>
        </row>
        <row r="16189">
          <cell r="K16189" t="str">
            <v>208001</v>
          </cell>
          <cell r="M16189">
            <v>1</v>
          </cell>
          <cell r="R16189">
            <v>46007</v>
          </cell>
          <cell r="S16189">
            <v>208001</v>
          </cell>
        </row>
        <row r="16190">
          <cell r="K16190" t="str">
            <v>208001</v>
          </cell>
          <cell r="M16190">
            <v>3</v>
          </cell>
          <cell r="R16190">
            <v>46007</v>
          </cell>
          <cell r="S16190">
            <v>208001</v>
          </cell>
        </row>
        <row r="16191">
          <cell r="K16191" t="str">
            <v>226001</v>
          </cell>
          <cell r="M16191">
            <v>4</v>
          </cell>
          <cell r="R16191">
            <v>46007</v>
          </cell>
          <cell r="S16191">
            <v>226001</v>
          </cell>
        </row>
        <row r="16192">
          <cell r="K16192" t="str">
            <v>213002</v>
          </cell>
          <cell r="M16192">
            <v>2</v>
          </cell>
          <cell r="R16192">
            <v>46007</v>
          </cell>
          <cell r="S16192">
            <v>213002</v>
          </cell>
        </row>
        <row r="16193">
          <cell r="K16193" t="str">
            <v>226001</v>
          </cell>
          <cell r="M16193">
            <v>4</v>
          </cell>
          <cell r="R16193">
            <v>46007</v>
          </cell>
          <cell r="S16193">
            <v>226001</v>
          </cell>
        </row>
        <row r="16194">
          <cell r="K16194" t="str">
            <v>226001</v>
          </cell>
          <cell r="M16194">
            <v>1</v>
          </cell>
          <cell r="R16194">
            <v>46007</v>
          </cell>
          <cell r="S16194">
            <v>226001</v>
          </cell>
        </row>
        <row r="16195">
          <cell r="K16195" t="str">
            <v>226001</v>
          </cell>
          <cell r="M16195">
            <v>1</v>
          </cell>
          <cell r="R16195">
            <v>46007</v>
          </cell>
          <cell r="S16195">
            <v>226001</v>
          </cell>
        </row>
        <row r="16196">
          <cell r="K16196" t="str">
            <v>226001</v>
          </cell>
          <cell r="M16196">
            <v>1</v>
          </cell>
          <cell r="R16196">
            <v>46007</v>
          </cell>
          <cell r="S16196">
            <v>226001</v>
          </cell>
        </row>
        <row r="16197">
          <cell r="K16197" t="str">
            <v>226001</v>
          </cell>
          <cell r="M16197">
            <v>1</v>
          </cell>
          <cell r="R16197">
            <v>46007</v>
          </cell>
          <cell r="S16197">
            <v>226001</v>
          </cell>
        </row>
        <row r="16198">
          <cell r="K16198" t="str">
            <v>223002</v>
          </cell>
          <cell r="M16198">
            <v>1</v>
          </cell>
          <cell r="R16198">
            <v>46007</v>
          </cell>
          <cell r="S16198">
            <v>223002</v>
          </cell>
        </row>
        <row r="16199">
          <cell r="K16199" t="str">
            <v>226001</v>
          </cell>
          <cell r="M16199">
            <v>1</v>
          </cell>
          <cell r="R16199">
            <v>46007</v>
          </cell>
          <cell r="S16199">
            <v>226001</v>
          </cell>
        </row>
        <row r="16200">
          <cell r="K16200" t="str">
            <v>228001</v>
          </cell>
          <cell r="M16200">
            <v>1</v>
          </cell>
          <cell r="R16200">
            <v>46007</v>
          </cell>
          <cell r="S16200">
            <v>228001</v>
          </cell>
        </row>
        <row r="16201">
          <cell r="K16201" t="str">
            <v>228001</v>
          </cell>
          <cell r="M16201">
            <v>10</v>
          </cell>
          <cell r="R16201">
            <v>46007</v>
          </cell>
          <cell r="S16201">
            <v>228001</v>
          </cell>
        </row>
        <row r="16202">
          <cell r="K16202" t="str">
            <v>217011</v>
          </cell>
          <cell r="M16202">
            <v>1</v>
          </cell>
          <cell r="R16202">
            <v>46007</v>
          </cell>
          <cell r="S16202">
            <v>217011</v>
          </cell>
        </row>
        <row r="16203">
          <cell r="K16203" t="str">
            <v>228001</v>
          </cell>
          <cell r="M16203">
            <v>5</v>
          </cell>
          <cell r="R16203">
            <v>46007</v>
          </cell>
          <cell r="S16203">
            <v>228001</v>
          </cell>
        </row>
        <row r="16204">
          <cell r="K16204" t="str">
            <v>228001</v>
          </cell>
          <cell r="M16204">
            <v>5</v>
          </cell>
          <cell r="R16204">
            <v>46007</v>
          </cell>
          <cell r="S16204">
            <v>228001</v>
          </cell>
        </row>
        <row r="16205">
          <cell r="K16205" t="str">
            <v>228001</v>
          </cell>
          <cell r="M16205">
            <v>14</v>
          </cell>
          <cell r="R16205">
            <v>46007</v>
          </cell>
          <cell r="S16205">
            <v>228001</v>
          </cell>
        </row>
        <row r="16206">
          <cell r="K16206" t="str">
            <v>223001</v>
          </cell>
          <cell r="M16206">
            <v>3</v>
          </cell>
          <cell r="R16206">
            <v>46007</v>
          </cell>
          <cell r="S16206">
            <v>223001</v>
          </cell>
        </row>
        <row r="16207">
          <cell r="K16207" t="str">
            <v>234011</v>
          </cell>
          <cell r="M16207">
            <v>2</v>
          </cell>
          <cell r="R16207">
            <v>46007</v>
          </cell>
          <cell r="S16207">
            <v>234011</v>
          </cell>
        </row>
        <row r="16208">
          <cell r="K16208" t="str">
            <v>234001</v>
          </cell>
          <cell r="M16208">
            <v>4</v>
          </cell>
          <cell r="R16208">
            <v>46007</v>
          </cell>
          <cell r="S16208">
            <v>234001</v>
          </cell>
        </row>
        <row r="16209">
          <cell r="K16209" t="str">
            <v>241001</v>
          </cell>
          <cell r="M16209">
            <v>2</v>
          </cell>
          <cell r="R16209">
            <v>46007</v>
          </cell>
          <cell r="S16209">
            <v>241001</v>
          </cell>
        </row>
        <row r="16210">
          <cell r="K16210" t="str">
            <v>210015</v>
          </cell>
          <cell r="M16210">
            <v>2</v>
          </cell>
          <cell r="R16210">
            <v>46007</v>
          </cell>
          <cell r="S16210">
            <v>210015</v>
          </cell>
        </row>
        <row r="16211">
          <cell r="K16211" t="str">
            <v>231012</v>
          </cell>
          <cell r="M16211">
            <v>1</v>
          </cell>
          <cell r="R16211">
            <v>46007</v>
          </cell>
          <cell r="S16211">
            <v>231012</v>
          </cell>
        </row>
        <row r="16212">
          <cell r="K16212" t="str">
            <v>228001</v>
          </cell>
          <cell r="M16212">
            <v>5</v>
          </cell>
          <cell r="R16212">
            <v>46007</v>
          </cell>
          <cell r="S16212">
            <v>228001</v>
          </cell>
        </row>
        <row r="16213">
          <cell r="K16213" t="str">
            <v>201001</v>
          </cell>
          <cell r="M16213">
            <v>1</v>
          </cell>
          <cell r="R16213">
            <v>46007</v>
          </cell>
          <cell r="S16213">
            <v>201001</v>
          </cell>
        </row>
        <row r="16214">
          <cell r="K16214" t="str">
            <v>201022</v>
          </cell>
          <cell r="M16214">
            <v>1</v>
          </cell>
          <cell r="R16214">
            <v>46007</v>
          </cell>
          <cell r="S16214">
            <v>201022</v>
          </cell>
        </row>
        <row r="16215">
          <cell r="K16215" t="str">
            <v>227002</v>
          </cell>
          <cell r="M16215">
            <v>1</v>
          </cell>
          <cell r="R16215">
            <v>46007</v>
          </cell>
          <cell r="S16215">
            <v>227002</v>
          </cell>
        </row>
        <row r="16216">
          <cell r="K16216" t="str">
            <v>222007</v>
          </cell>
          <cell r="M16216">
            <v>1</v>
          </cell>
          <cell r="R16216">
            <v>46007</v>
          </cell>
          <cell r="S16216">
            <v>222007</v>
          </cell>
        </row>
        <row r="16217">
          <cell r="K16217" t="str">
            <v>226001</v>
          </cell>
          <cell r="M16217">
            <v>6</v>
          </cell>
          <cell r="R16217">
            <v>46007</v>
          </cell>
          <cell r="S16217">
            <v>226001</v>
          </cell>
        </row>
        <row r="16218">
          <cell r="K16218" t="str">
            <v>226001</v>
          </cell>
          <cell r="M16218">
            <v>2</v>
          </cell>
          <cell r="R16218">
            <v>46007</v>
          </cell>
          <cell r="S16218">
            <v>226001</v>
          </cell>
        </row>
        <row r="16219">
          <cell r="K16219" t="str">
            <v>210010</v>
          </cell>
          <cell r="M16219">
            <v>1</v>
          </cell>
          <cell r="R16219">
            <v>46007</v>
          </cell>
          <cell r="S16219">
            <v>210010</v>
          </cell>
        </row>
        <row r="16220">
          <cell r="K16220" t="str">
            <v>223001</v>
          </cell>
          <cell r="M16220">
            <v>8</v>
          </cell>
          <cell r="R16220">
            <v>46007</v>
          </cell>
          <cell r="S16220">
            <v>223001</v>
          </cell>
        </row>
        <row r="16221">
          <cell r="K16221" t="str">
            <v>227012</v>
          </cell>
          <cell r="M16221">
            <v>2</v>
          </cell>
          <cell r="R16221">
            <v>46007</v>
          </cell>
          <cell r="S16221">
            <v>227012</v>
          </cell>
        </row>
        <row r="16222">
          <cell r="K16222" t="str">
            <v>210014</v>
          </cell>
          <cell r="M16222">
            <v>4</v>
          </cell>
          <cell r="R16222">
            <v>46007</v>
          </cell>
          <cell r="S16222">
            <v>210014</v>
          </cell>
        </row>
        <row r="16223">
          <cell r="K16223" t="str">
            <v>201011</v>
          </cell>
          <cell r="M16223">
            <v>22</v>
          </cell>
          <cell r="R16223">
            <v>46007</v>
          </cell>
          <cell r="S16223">
            <v>201011</v>
          </cell>
        </row>
        <row r="16224">
          <cell r="K16224" t="str">
            <v>201011</v>
          </cell>
          <cell r="M16224">
            <v>7</v>
          </cell>
          <cell r="R16224">
            <v>46007</v>
          </cell>
          <cell r="S16224">
            <v>201011</v>
          </cell>
        </row>
        <row r="16225">
          <cell r="K16225" t="str">
            <v>203003</v>
          </cell>
          <cell r="M16225">
            <v>4</v>
          </cell>
          <cell r="R16225">
            <v>46007</v>
          </cell>
          <cell r="S16225">
            <v>203003</v>
          </cell>
        </row>
        <row r="16226">
          <cell r="K16226" t="str">
            <v>210013</v>
          </cell>
          <cell r="M16226">
            <v>1</v>
          </cell>
          <cell r="R16226">
            <v>46007</v>
          </cell>
          <cell r="S16226">
            <v>210013</v>
          </cell>
        </row>
        <row r="16227">
          <cell r="K16227" t="str">
            <v>231012</v>
          </cell>
          <cell r="M16227">
            <v>3</v>
          </cell>
          <cell r="R16227">
            <v>46007</v>
          </cell>
          <cell r="S16227">
            <v>231012</v>
          </cell>
        </row>
        <row r="16228">
          <cell r="K16228" t="str">
            <v>213002</v>
          </cell>
          <cell r="M16228">
            <v>6</v>
          </cell>
          <cell r="R16228">
            <v>46007</v>
          </cell>
          <cell r="S16228">
            <v>213002</v>
          </cell>
        </row>
        <row r="16229">
          <cell r="K16229" t="str">
            <v>226026</v>
          </cell>
          <cell r="M16229">
            <v>6</v>
          </cell>
          <cell r="R16229">
            <v>46007</v>
          </cell>
          <cell r="S16229">
            <v>226026</v>
          </cell>
        </row>
        <row r="16230">
          <cell r="K16230" t="str">
            <v>226026</v>
          </cell>
          <cell r="M16230">
            <v>19</v>
          </cell>
          <cell r="R16230">
            <v>46007</v>
          </cell>
          <cell r="S16230">
            <v>226026</v>
          </cell>
        </row>
        <row r="16231">
          <cell r="K16231" t="str">
            <v>228001</v>
          </cell>
          <cell r="M16231">
            <v>2</v>
          </cell>
          <cell r="R16231">
            <v>46007</v>
          </cell>
          <cell r="S16231">
            <v>228001</v>
          </cell>
        </row>
        <row r="16232">
          <cell r="K16232" t="str">
            <v>203003</v>
          </cell>
          <cell r="M16232">
            <v>1</v>
          </cell>
          <cell r="R16232">
            <v>46007</v>
          </cell>
          <cell r="S16232">
            <v>203003</v>
          </cell>
        </row>
        <row r="16233">
          <cell r="K16233" t="str">
            <v>241001</v>
          </cell>
          <cell r="M16233">
            <v>3</v>
          </cell>
          <cell r="R16233">
            <v>46007</v>
          </cell>
          <cell r="S16233">
            <v>241001</v>
          </cell>
        </row>
        <row r="16234">
          <cell r="K16234" t="str">
            <v>201011</v>
          </cell>
          <cell r="M16234">
            <v>72</v>
          </cell>
          <cell r="R16234">
            <v>46007</v>
          </cell>
          <cell r="S16234">
            <v>201011</v>
          </cell>
        </row>
        <row r="16235">
          <cell r="K16235" t="str">
            <v>201011</v>
          </cell>
          <cell r="M16235">
            <v>72</v>
          </cell>
          <cell r="R16235">
            <v>46007</v>
          </cell>
          <cell r="S16235">
            <v>201011</v>
          </cell>
        </row>
        <row r="16236">
          <cell r="K16236" t="str">
            <v>228001</v>
          </cell>
          <cell r="M16236">
            <v>8</v>
          </cell>
          <cell r="R16236">
            <v>46008</v>
          </cell>
          <cell r="S16236">
            <v>228001</v>
          </cell>
        </row>
        <row r="16237">
          <cell r="K16237" t="str">
            <v>223001</v>
          </cell>
          <cell r="M16237">
            <v>3</v>
          </cell>
          <cell r="R16237">
            <v>46008</v>
          </cell>
          <cell r="S16237">
            <v>223001</v>
          </cell>
        </row>
        <row r="16238">
          <cell r="K16238" t="str">
            <v>209001</v>
          </cell>
          <cell r="M16238">
            <v>1</v>
          </cell>
          <cell r="R16238">
            <v>46008</v>
          </cell>
          <cell r="S16238">
            <v>209001</v>
          </cell>
        </row>
        <row r="16239">
          <cell r="K16239" t="str">
            <v>223002</v>
          </cell>
          <cell r="M16239">
            <v>2</v>
          </cell>
          <cell r="R16239">
            <v>46008</v>
          </cell>
          <cell r="S16239">
            <v>223002</v>
          </cell>
        </row>
        <row r="16240">
          <cell r="K16240" t="str">
            <v>213002</v>
          </cell>
          <cell r="M16240">
            <v>10</v>
          </cell>
          <cell r="R16240">
            <v>46008</v>
          </cell>
          <cell r="S16240">
            <v>213002</v>
          </cell>
        </row>
        <row r="16241">
          <cell r="K16241" t="str">
            <v>223002</v>
          </cell>
          <cell r="M16241">
            <v>1</v>
          </cell>
          <cell r="R16241">
            <v>46008</v>
          </cell>
          <cell r="S16241">
            <v>223002</v>
          </cell>
        </row>
        <row r="16242">
          <cell r="K16242" t="str">
            <v>228001</v>
          </cell>
          <cell r="M16242">
            <v>1</v>
          </cell>
          <cell r="R16242">
            <v>46007</v>
          </cell>
          <cell r="S16242">
            <v>228001</v>
          </cell>
        </row>
        <row r="16243">
          <cell r="K16243" t="str">
            <v>201011</v>
          </cell>
          <cell r="M16243">
            <v>16</v>
          </cell>
          <cell r="R16243">
            <v>46007</v>
          </cell>
          <cell r="S16243">
            <v>201011</v>
          </cell>
        </row>
        <row r="16244">
          <cell r="K16244" t="str">
            <v>223002</v>
          </cell>
          <cell r="M16244">
            <v>4</v>
          </cell>
          <cell r="R16244">
            <v>46007</v>
          </cell>
          <cell r="S16244">
            <v>223002</v>
          </cell>
        </row>
        <row r="16245">
          <cell r="K16245" t="str">
            <v>201024</v>
          </cell>
          <cell r="M16245">
            <v>5</v>
          </cell>
          <cell r="R16245">
            <v>46007</v>
          </cell>
          <cell r="S16245">
            <v>201024</v>
          </cell>
        </row>
        <row r="16246">
          <cell r="K16246" t="str">
            <v>228001</v>
          </cell>
          <cell r="M16246">
            <v>1</v>
          </cell>
          <cell r="R16246">
            <v>46008</v>
          </cell>
          <cell r="S16246">
            <v>228001</v>
          </cell>
        </row>
        <row r="16247">
          <cell r="K16247" t="str">
            <v>201011</v>
          </cell>
          <cell r="M16247">
            <v>1</v>
          </cell>
          <cell r="R16247">
            <v>46008</v>
          </cell>
          <cell r="S16247">
            <v>201011</v>
          </cell>
        </row>
        <row r="16248">
          <cell r="K16248" t="str">
            <v>201011</v>
          </cell>
          <cell r="M16248">
            <v>30</v>
          </cell>
          <cell r="R16248">
            <v>46007</v>
          </cell>
          <cell r="S16248">
            <v>201011</v>
          </cell>
        </row>
        <row r="16249">
          <cell r="K16249" t="str">
            <v>201011</v>
          </cell>
          <cell r="M16249">
            <v>25</v>
          </cell>
          <cell r="R16249">
            <v>46007</v>
          </cell>
          <cell r="S16249">
            <v>201011</v>
          </cell>
        </row>
        <row r="16250">
          <cell r="K16250" t="str">
            <v>234001</v>
          </cell>
          <cell r="M16250">
            <v>2</v>
          </cell>
          <cell r="R16250">
            <v>46007</v>
          </cell>
          <cell r="S16250">
            <v>234001</v>
          </cell>
        </row>
        <row r="16251">
          <cell r="K16251" t="str">
            <v>201011</v>
          </cell>
          <cell r="M16251">
            <v>4</v>
          </cell>
          <cell r="R16251">
            <v>46007</v>
          </cell>
          <cell r="S16251">
            <v>201011</v>
          </cell>
        </row>
        <row r="16252">
          <cell r="K16252" t="str">
            <v>201011</v>
          </cell>
          <cell r="M16252">
            <v>20</v>
          </cell>
          <cell r="R16252">
            <v>46007</v>
          </cell>
          <cell r="S16252">
            <v>201011</v>
          </cell>
        </row>
        <row r="16253">
          <cell r="K16253" t="str">
            <v>223004</v>
          </cell>
          <cell r="M16253">
            <v>2</v>
          </cell>
          <cell r="R16253">
            <v>46007</v>
          </cell>
          <cell r="S16253">
            <v>223004</v>
          </cell>
        </row>
        <row r="16254">
          <cell r="K16254" t="str">
            <v>210015</v>
          </cell>
          <cell r="M16254">
            <v>2</v>
          </cell>
          <cell r="R16254">
            <v>46008</v>
          </cell>
          <cell r="S16254">
            <v>210015</v>
          </cell>
        </row>
        <row r="16255">
          <cell r="K16255" t="str">
            <v>201011</v>
          </cell>
          <cell r="M16255">
            <v>20</v>
          </cell>
          <cell r="R16255">
            <v>46007</v>
          </cell>
          <cell r="S16255">
            <v>201011</v>
          </cell>
        </row>
        <row r="16256">
          <cell r="K16256" t="str">
            <v>222005</v>
          </cell>
          <cell r="M16256">
            <v>2</v>
          </cell>
          <cell r="R16256">
            <v>46007</v>
          </cell>
          <cell r="S16256">
            <v>222005</v>
          </cell>
        </row>
        <row r="16257">
          <cell r="K16257" t="str">
            <v>241001</v>
          </cell>
          <cell r="M16257">
            <v>15</v>
          </cell>
          <cell r="R16257">
            <v>46008</v>
          </cell>
          <cell r="S16257">
            <v>241001</v>
          </cell>
        </row>
        <row r="16258">
          <cell r="K16258" t="str">
            <v>207017</v>
          </cell>
          <cell r="M16258">
            <v>2</v>
          </cell>
          <cell r="R16258">
            <v>46008</v>
          </cell>
          <cell r="S16258">
            <v>207017</v>
          </cell>
        </row>
        <row r="16259">
          <cell r="K16259" t="str">
            <v>237001</v>
          </cell>
          <cell r="M16259">
            <v>1</v>
          </cell>
          <cell r="R16259">
            <v>46008</v>
          </cell>
          <cell r="S16259">
            <v>237001</v>
          </cell>
        </row>
        <row r="16260">
          <cell r="K16260" t="str">
            <v>217018</v>
          </cell>
          <cell r="M16260">
            <v>1</v>
          </cell>
          <cell r="R16260">
            <v>46008</v>
          </cell>
          <cell r="S16260">
            <v>217018</v>
          </cell>
        </row>
        <row r="16261">
          <cell r="K16261" t="str">
            <v>226003</v>
          </cell>
          <cell r="M16261">
            <v>1</v>
          </cell>
          <cell r="R16261">
            <v>46008</v>
          </cell>
          <cell r="S16261">
            <v>226003</v>
          </cell>
        </row>
        <row r="16262">
          <cell r="K16262" t="str">
            <v>226004</v>
          </cell>
          <cell r="M16262">
            <v>1</v>
          </cell>
          <cell r="R16262">
            <v>46008</v>
          </cell>
          <cell r="S16262">
            <v>226004</v>
          </cell>
        </row>
        <row r="16263">
          <cell r="K16263" t="str">
            <v>227012</v>
          </cell>
          <cell r="M16263">
            <v>1</v>
          </cell>
          <cell r="R16263">
            <v>46008</v>
          </cell>
          <cell r="S16263">
            <v>227012</v>
          </cell>
        </row>
        <row r="16264">
          <cell r="K16264" t="str">
            <v>228001</v>
          </cell>
          <cell r="M16264">
            <v>1</v>
          </cell>
          <cell r="R16264">
            <v>46008</v>
          </cell>
          <cell r="S16264">
            <v>228001</v>
          </cell>
        </row>
        <row r="16265">
          <cell r="K16265" t="str">
            <v>213022</v>
          </cell>
          <cell r="M16265">
            <v>5</v>
          </cell>
          <cell r="R16265">
            <v>46008</v>
          </cell>
          <cell r="S16265">
            <v>213022</v>
          </cell>
        </row>
        <row r="16266">
          <cell r="K16266" t="str">
            <v>213022</v>
          </cell>
          <cell r="M16266">
            <v>5</v>
          </cell>
          <cell r="R16266">
            <v>46008</v>
          </cell>
          <cell r="S16266">
            <v>213022</v>
          </cell>
        </row>
        <row r="16267">
          <cell r="K16267" t="str">
            <v>209012</v>
          </cell>
          <cell r="M16267">
            <v>3</v>
          </cell>
          <cell r="R16267">
            <v>46008</v>
          </cell>
          <cell r="S16267">
            <v>209012</v>
          </cell>
        </row>
        <row r="16268">
          <cell r="K16268" t="str">
            <v>223001</v>
          </cell>
          <cell r="M16268">
            <v>2</v>
          </cell>
          <cell r="R16268">
            <v>46008</v>
          </cell>
          <cell r="S16268">
            <v>223001</v>
          </cell>
        </row>
        <row r="16269">
          <cell r="K16269" t="str">
            <v>213002</v>
          </cell>
          <cell r="M16269">
            <v>4</v>
          </cell>
          <cell r="R16269">
            <v>46008</v>
          </cell>
          <cell r="S16269">
            <v>213002</v>
          </cell>
        </row>
        <row r="16270">
          <cell r="K16270" t="str">
            <v>231012</v>
          </cell>
          <cell r="M16270">
            <v>2</v>
          </cell>
          <cell r="R16270">
            <v>46008</v>
          </cell>
          <cell r="S16270">
            <v>231012</v>
          </cell>
        </row>
        <row r="16271">
          <cell r="K16271" t="str">
            <v>223001</v>
          </cell>
          <cell r="M16271">
            <v>2</v>
          </cell>
          <cell r="R16271">
            <v>46008</v>
          </cell>
          <cell r="S16271">
            <v>223001</v>
          </cell>
        </row>
        <row r="16272">
          <cell r="K16272" t="str">
            <v>227001</v>
          </cell>
          <cell r="M16272">
            <v>2</v>
          </cell>
          <cell r="R16272">
            <v>46008</v>
          </cell>
          <cell r="S16272">
            <v>227001</v>
          </cell>
        </row>
        <row r="16273">
          <cell r="K16273" t="str">
            <v>226025</v>
          </cell>
          <cell r="M16273">
            <v>3</v>
          </cell>
          <cell r="R16273">
            <v>46008</v>
          </cell>
          <cell r="S16273">
            <v>226025</v>
          </cell>
        </row>
        <row r="16274">
          <cell r="K16274" t="str">
            <v>228001</v>
          </cell>
          <cell r="M16274">
            <v>3</v>
          </cell>
          <cell r="R16274">
            <v>46008</v>
          </cell>
          <cell r="S16274">
            <v>228001</v>
          </cell>
        </row>
        <row r="16275">
          <cell r="K16275" t="str">
            <v>212035</v>
          </cell>
          <cell r="M16275">
            <v>2</v>
          </cell>
          <cell r="R16275">
            <v>46008</v>
          </cell>
          <cell r="S16275">
            <v>212035</v>
          </cell>
        </row>
        <row r="16276">
          <cell r="K16276" t="str">
            <v>227001</v>
          </cell>
          <cell r="M16276">
            <v>2</v>
          </cell>
          <cell r="R16276">
            <v>46008</v>
          </cell>
          <cell r="S16276">
            <v>227001</v>
          </cell>
        </row>
        <row r="16277">
          <cell r="K16277" t="str">
            <v>223002</v>
          </cell>
          <cell r="M16277">
            <v>1</v>
          </cell>
          <cell r="R16277">
            <v>46008</v>
          </cell>
          <cell r="S16277">
            <v>223002</v>
          </cell>
        </row>
        <row r="16278">
          <cell r="K16278" t="str">
            <v>223001</v>
          </cell>
          <cell r="M16278">
            <v>1</v>
          </cell>
          <cell r="R16278">
            <v>46008</v>
          </cell>
          <cell r="S16278">
            <v>223001</v>
          </cell>
        </row>
        <row r="16279">
          <cell r="K16279" t="str">
            <v>271002</v>
          </cell>
          <cell r="M16279">
            <v>1</v>
          </cell>
          <cell r="R16279">
            <v>46008</v>
          </cell>
          <cell r="S16279">
            <v>271002</v>
          </cell>
        </row>
        <row r="16280">
          <cell r="K16280" t="str">
            <v>241001</v>
          </cell>
          <cell r="M16280">
            <v>1</v>
          </cell>
          <cell r="R16280">
            <v>46008</v>
          </cell>
          <cell r="S16280">
            <v>241001</v>
          </cell>
        </row>
        <row r="16281">
          <cell r="K16281" t="str">
            <v>201001</v>
          </cell>
          <cell r="M16281">
            <v>1</v>
          </cell>
          <cell r="R16281">
            <v>46008</v>
          </cell>
          <cell r="S16281">
            <v>201001</v>
          </cell>
        </row>
        <row r="16282">
          <cell r="K16282" t="str">
            <v>201022</v>
          </cell>
          <cell r="M16282">
            <v>1</v>
          </cell>
          <cell r="R16282">
            <v>46008</v>
          </cell>
          <cell r="S16282">
            <v>201022</v>
          </cell>
        </row>
        <row r="16283">
          <cell r="K16283" t="str">
            <v>212010</v>
          </cell>
          <cell r="M16283">
            <v>20</v>
          </cell>
          <cell r="R16283">
            <v>46008</v>
          </cell>
          <cell r="S16283">
            <v>212010</v>
          </cell>
        </row>
        <row r="16284">
          <cell r="K16284" t="str">
            <v>228001</v>
          </cell>
          <cell r="M16284">
            <v>3</v>
          </cell>
          <cell r="R16284">
            <v>46008</v>
          </cell>
          <cell r="S16284">
            <v>228001</v>
          </cell>
        </row>
        <row r="16285">
          <cell r="K16285" t="str">
            <v>217022</v>
          </cell>
          <cell r="M16285">
            <v>10</v>
          </cell>
          <cell r="R16285">
            <v>46008</v>
          </cell>
          <cell r="S16285">
            <v>217022</v>
          </cell>
        </row>
        <row r="16286">
          <cell r="K16286" t="str">
            <v>203003</v>
          </cell>
          <cell r="M16286">
            <v>2</v>
          </cell>
          <cell r="R16286">
            <v>46008</v>
          </cell>
          <cell r="S16286">
            <v>203003</v>
          </cell>
        </row>
        <row r="16287">
          <cell r="K16287" t="str">
            <v>271002</v>
          </cell>
          <cell r="M16287">
            <v>1</v>
          </cell>
          <cell r="R16287">
            <v>46008</v>
          </cell>
          <cell r="S16287">
            <v>271002</v>
          </cell>
        </row>
        <row r="16288">
          <cell r="K16288" t="str">
            <v>241001</v>
          </cell>
          <cell r="M16288">
            <v>1</v>
          </cell>
          <cell r="R16288">
            <v>46008</v>
          </cell>
          <cell r="S16288">
            <v>241001</v>
          </cell>
        </row>
        <row r="16289">
          <cell r="K16289" t="str">
            <v>212035</v>
          </cell>
          <cell r="M16289">
            <v>2</v>
          </cell>
          <cell r="R16289">
            <v>46008</v>
          </cell>
          <cell r="S16289">
            <v>212035</v>
          </cell>
        </row>
        <row r="16290">
          <cell r="K16290" t="str">
            <v>201011</v>
          </cell>
          <cell r="M16290">
            <v>3</v>
          </cell>
          <cell r="R16290">
            <v>46008</v>
          </cell>
          <cell r="S16290">
            <v>201011</v>
          </cell>
        </row>
        <row r="16291">
          <cell r="K16291" t="str">
            <v>223001</v>
          </cell>
          <cell r="M16291">
            <v>4</v>
          </cell>
          <cell r="R16291">
            <v>46008</v>
          </cell>
          <cell r="S16291">
            <v>223001</v>
          </cell>
        </row>
        <row r="16292">
          <cell r="K16292" t="str">
            <v>241001</v>
          </cell>
          <cell r="M16292">
            <v>3</v>
          </cell>
          <cell r="R16292">
            <v>46008</v>
          </cell>
          <cell r="S16292">
            <v>241001</v>
          </cell>
        </row>
        <row r="16293">
          <cell r="K16293" t="str">
            <v>234011</v>
          </cell>
          <cell r="M16293">
            <v>1</v>
          </cell>
          <cell r="R16293">
            <v>46008</v>
          </cell>
          <cell r="S16293">
            <v>234011</v>
          </cell>
        </row>
        <row r="16294">
          <cell r="K16294" t="str">
            <v>223002</v>
          </cell>
          <cell r="M16294">
            <v>1</v>
          </cell>
          <cell r="R16294">
            <v>46008</v>
          </cell>
          <cell r="S16294">
            <v>223002</v>
          </cell>
        </row>
        <row r="16295">
          <cell r="K16295" t="str">
            <v>228001</v>
          </cell>
          <cell r="M16295">
            <v>1</v>
          </cell>
          <cell r="R16295">
            <v>46008</v>
          </cell>
          <cell r="S16295">
            <v>228001</v>
          </cell>
        </row>
        <row r="16296">
          <cell r="K16296" t="str">
            <v>231012</v>
          </cell>
          <cell r="M16296">
            <v>1</v>
          </cell>
          <cell r="R16296">
            <v>46008</v>
          </cell>
          <cell r="S16296">
            <v>231012</v>
          </cell>
        </row>
        <row r="16297">
          <cell r="K16297" t="str">
            <v>213002</v>
          </cell>
          <cell r="M16297">
            <v>15</v>
          </cell>
          <cell r="R16297">
            <v>46008</v>
          </cell>
          <cell r="S16297">
            <v>213002</v>
          </cell>
        </row>
        <row r="16298">
          <cell r="K16298" t="str">
            <v>223001</v>
          </cell>
          <cell r="M16298">
            <v>6</v>
          </cell>
          <cell r="R16298">
            <v>46008</v>
          </cell>
          <cell r="S16298">
            <v>223001</v>
          </cell>
        </row>
        <row r="16299">
          <cell r="K16299" t="str">
            <v>223004</v>
          </cell>
          <cell r="M16299">
            <v>6</v>
          </cell>
          <cell r="R16299">
            <v>46008</v>
          </cell>
          <cell r="S16299">
            <v>223004</v>
          </cell>
        </row>
        <row r="16300">
          <cell r="K16300" t="str">
            <v>228001</v>
          </cell>
          <cell r="M16300">
            <v>1</v>
          </cell>
          <cell r="R16300">
            <v>46009</v>
          </cell>
          <cell r="S16300">
            <v>228001</v>
          </cell>
        </row>
        <row r="16301">
          <cell r="K16301" t="str">
            <v>228001</v>
          </cell>
          <cell r="M16301">
            <v>1</v>
          </cell>
          <cell r="R16301">
            <v>46009</v>
          </cell>
          <cell r="S16301">
            <v>228001</v>
          </cell>
        </row>
        <row r="16302">
          <cell r="K16302" t="str">
            <v>213022</v>
          </cell>
          <cell r="M16302">
            <v>1</v>
          </cell>
          <cell r="R16302">
            <v>46009</v>
          </cell>
          <cell r="S16302">
            <v>213022</v>
          </cell>
        </row>
        <row r="16303">
          <cell r="K16303" t="str">
            <v>217011</v>
          </cell>
          <cell r="M16303">
            <v>2</v>
          </cell>
          <cell r="R16303">
            <v>46009</v>
          </cell>
          <cell r="S16303">
            <v>217011</v>
          </cell>
        </row>
        <row r="16304">
          <cell r="K16304" t="str">
            <v>228001</v>
          </cell>
          <cell r="M16304">
            <v>1</v>
          </cell>
          <cell r="R16304">
            <v>46008</v>
          </cell>
          <cell r="S16304">
            <v>228001</v>
          </cell>
        </row>
        <row r="16305">
          <cell r="K16305" t="str">
            <v>223001</v>
          </cell>
          <cell r="M16305">
            <v>1</v>
          </cell>
          <cell r="R16305">
            <v>46008</v>
          </cell>
          <cell r="S16305">
            <v>223001</v>
          </cell>
        </row>
        <row r="16306">
          <cell r="K16306" t="str">
            <v>203003</v>
          </cell>
          <cell r="M16306">
            <v>1</v>
          </cell>
          <cell r="R16306">
            <v>46008</v>
          </cell>
          <cell r="S16306">
            <v>203003</v>
          </cell>
        </row>
        <row r="16307">
          <cell r="K16307" t="str">
            <v>223001</v>
          </cell>
          <cell r="M16307">
            <v>3</v>
          </cell>
          <cell r="R16307">
            <v>46009</v>
          </cell>
          <cell r="S16307">
            <v>223001</v>
          </cell>
        </row>
        <row r="16308">
          <cell r="K16308" t="str">
            <v>209004</v>
          </cell>
          <cell r="M16308">
            <v>4</v>
          </cell>
          <cell r="R16308">
            <v>46009</v>
          </cell>
          <cell r="S16308">
            <v>209004</v>
          </cell>
        </row>
        <row r="16309">
          <cell r="K16309" t="str">
            <v>223002</v>
          </cell>
          <cell r="M16309">
            <v>6</v>
          </cell>
          <cell r="R16309">
            <v>46009</v>
          </cell>
          <cell r="S16309">
            <v>223002</v>
          </cell>
        </row>
        <row r="16310">
          <cell r="K16310" t="str">
            <v>201024</v>
          </cell>
          <cell r="M16310">
            <v>4</v>
          </cell>
          <cell r="R16310">
            <v>46009</v>
          </cell>
          <cell r="S16310">
            <v>201024</v>
          </cell>
        </row>
        <row r="16311">
          <cell r="K16311" t="str">
            <v>213022</v>
          </cell>
          <cell r="M16311">
            <v>3</v>
          </cell>
          <cell r="R16311">
            <v>46009</v>
          </cell>
          <cell r="S16311">
            <v>213022</v>
          </cell>
        </row>
        <row r="16312">
          <cell r="K16312" t="str">
            <v>207017</v>
          </cell>
          <cell r="M16312">
            <v>3</v>
          </cell>
          <cell r="R16312">
            <v>46009</v>
          </cell>
          <cell r="S16312">
            <v>207017</v>
          </cell>
        </row>
        <row r="16313">
          <cell r="K16313" t="str">
            <v>213002</v>
          </cell>
          <cell r="M16313">
            <v>4</v>
          </cell>
          <cell r="R16313">
            <v>46009</v>
          </cell>
          <cell r="S16313">
            <v>213002</v>
          </cell>
        </row>
        <row r="16314">
          <cell r="K16314" t="str">
            <v>201024</v>
          </cell>
          <cell r="M16314">
            <v>1</v>
          </cell>
          <cell r="R16314">
            <v>46009</v>
          </cell>
          <cell r="S16314">
            <v>201024</v>
          </cell>
        </row>
        <row r="16315">
          <cell r="K16315" t="str">
            <v>209004</v>
          </cell>
          <cell r="M16315">
            <v>1</v>
          </cell>
          <cell r="R16315">
            <v>46009</v>
          </cell>
          <cell r="S16315">
            <v>209004</v>
          </cell>
        </row>
        <row r="16316">
          <cell r="K16316" t="str">
            <v>228001</v>
          </cell>
          <cell r="M16316">
            <v>3</v>
          </cell>
          <cell r="R16316">
            <v>46009</v>
          </cell>
          <cell r="S16316">
            <v>228001</v>
          </cell>
        </row>
        <row r="16317">
          <cell r="K16317" t="str">
            <v>209001</v>
          </cell>
          <cell r="M16317">
            <v>1</v>
          </cell>
          <cell r="R16317">
            <v>46009</v>
          </cell>
          <cell r="S16317">
            <v>209001</v>
          </cell>
        </row>
        <row r="16318">
          <cell r="K16318" t="str">
            <v>213022</v>
          </cell>
          <cell r="M16318">
            <v>1</v>
          </cell>
          <cell r="R16318">
            <v>46009</v>
          </cell>
          <cell r="S16318">
            <v>213022</v>
          </cell>
        </row>
        <row r="16319">
          <cell r="K16319" t="str">
            <v>241001</v>
          </cell>
          <cell r="M16319">
            <v>5</v>
          </cell>
          <cell r="R16319">
            <v>46009</v>
          </cell>
          <cell r="S16319">
            <v>241001</v>
          </cell>
        </row>
        <row r="16320">
          <cell r="K16320" t="str">
            <v>228001</v>
          </cell>
          <cell r="M16320">
            <v>8</v>
          </cell>
          <cell r="R16320">
            <v>46009</v>
          </cell>
          <cell r="S16320">
            <v>228001</v>
          </cell>
        </row>
        <row r="16321">
          <cell r="K16321" t="str">
            <v>241001</v>
          </cell>
          <cell r="M16321">
            <v>4</v>
          </cell>
          <cell r="R16321">
            <v>46009</v>
          </cell>
          <cell r="S16321">
            <v>241001</v>
          </cell>
        </row>
        <row r="16322">
          <cell r="K16322" t="str">
            <v>222007</v>
          </cell>
          <cell r="M16322">
            <v>2</v>
          </cell>
          <cell r="R16322">
            <v>46009</v>
          </cell>
          <cell r="S16322">
            <v>222007</v>
          </cell>
        </row>
        <row r="16323">
          <cell r="K16323" t="str">
            <v>222001</v>
          </cell>
          <cell r="M16323">
            <v>4</v>
          </cell>
          <cell r="R16323">
            <v>46009</v>
          </cell>
          <cell r="S16323">
            <v>222001</v>
          </cell>
        </row>
        <row r="16324">
          <cell r="K16324" t="str">
            <v>228001</v>
          </cell>
          <cell r="M16324">
            <v>1</v>
          </cell>
          <cell r="R16324">
            <v>46009</v>
          </cell>
          <cell r="S16324">
            <v>228001</v>
          </cell>
        </row>
        <row r="16325">
          <cell r="K16325" t="str">
            <v>209012</v>
          </cell>
          <cell r="M16325">
            <v>1</v>
          </cell>
          <cell r="R16325">
            <v>46009</v>
          </cell>
          <cell r="S16325">
            <v>209012</v>
          </cell>
        </row>
        <row r="16326">
          <cell r="K16326" t="str">
            <v>231012</v>
          </cell>
          <cell r="M16326">
            <v>1</v>
          </cell>
          <cell r="R16326">
            <v>46009</v>
          </cell>
          <cell r="S16326">
            <v>231012</v>
          </cell>
        </row>
        <row r="16327">
          <cell r="K16327" t="str">
            <v>226001</v>
          </cell>
          <cell r="M16327">
            <v>2</v>
          </cell>
          <cell r="R16327">
            <v>46009</v>
          </cell>
          <cell r="S16327">
            <v>226001</v>
          </cell>
        </row>
        <row r="16328">
          <cell r="K16328" t="str">
            <v>227014</v>
          </cell>
          <cell r="M16328">
            <v>4</v>
          </cell>
          <cell r="R16328">
            <v>46009</v>
          </cell>
          <cell r="S16328">
            <v>227014</v>
          </cell>
        </row>
        <row r="16329">
          <cell r="K16329" t="str">
            <v>217021</v>
          </cell>
          <cell r="M16329">
            <v>1</v>
          </cell>
          <cell r="R16329">
            <v>46009</v>
          </cell>
          <cell r="S16329">
            <v>217021</v>
          </cell>
        </row>
        <row r="16330">
          <cell r="K16330" t="str">
            <v>209004</v>
          </cell>
          <cell r="M16330">
            <v>2</v>
          </cell>
          <cell r="R16330">
            <v>46009</v>
          </cell>
          <cell r="S16330">
            <v>209004</v>
          </cell>
        </row>
        <row r="16331">
          <cell r="K16331" t="str">
            <v>214002</v>
          </cell>
          <cell r="M16331">
            <v>1</v>
          </cell>
          <cell r="R16331">
            <v>46009</v>
          </cell>
          <cell r="S16331">
            <v>214002</v>
          </cell>
        </row>
        <row r="16332">
          <cell r="K16332" t="str">
            <v>203004</v>
          </cell>
          <cell r="M16332">
            <v>1</v>
          </cell>
          <cell r="R16332">
            <v>46009</v>
          </cell>
          <cell r="S16332">
            <v>203004</v>
          </cell>
        </row>
        <row r="16333">
          <cell r="K16333" t="str">
            <v>226001</v>
          </cell>
          <cell r="M16333">
            <v>1</v>
          </cell>
          <cell r="R16333">
            <v>46009</v>
          </cell>
          <cell r="S16333">
            <v>226001</v>
          </cell>
        </row>
        <row r="16334">
          <cell r="K16334" t="str">
            <v>228001</v>
          </cell>
          <cell r="M16334">
            <v>10</v>
          </cell>
          <cell r="R16334">
            <v>46009</v>
          </cell>
          <cell r="S16334">
            <v>228001</v>
          </cell>
        </row>
        <row r="16335">
          <cell r="K16335" t="str">
            <v>231012</v>
          </cell>
          <cell r="M16335">
            <v>2</v>
          </cell>
          <cell r="R16335">
            <v>46009</v>
          </cell>
          <cell r="S16335">
            <v>231012</v>
          </cell>
        </row>
        <row r="16336">
          <cell r="K16336" t="str">
            <v>207017</v>
          </cell>
          <cell r="M16336">
            <v>3</v>
          </cell>
          <cell r="R16336">
            <v>46009</v>
          </cell>
          <cell r="S16336">
            <v>207017</v>
          </cell>
        </row>
        <row r="16337">
          <cell r="K16337" t="str">
            <v>203003</v>
          </cell>
          <cell r="M16337">
            <v>1</v>
          </cell>
          <cell r="R16337">
            <v>46009</v>
          </cell>
          <cell r="S16337">
            <v>203003</v>
          </cell>
        </row>
        <row r="16338">
          <cell r="K16338" t="str">
            <v>209012</v>
          </cell>
          <cell r="M16338">
            <v>1</v>
          </cell>
          <cell r="R16338">
            <v>46009</v>
          </cell>
          <cell r="S16338">
            <v>209012</v>
          </cell>
        </row>
        <row r="16339">
          <cell r="K16339" t="str">
            <v>223001</v>
          </cell>
          <cell r="M16339">
            <v>12</v>
          </cell>
          <cell r="R16339">
            <v>46009</v>
          </cell>
          <cell r="S16339">
            <v>223001</v>
          </cell>
        </row>
        <row r="16340">
          <cell r="K16340" t="str">
            <v>223002</v>
          </cell>
          <cell r="M16340">
            <v>12</v>
          </cell>
          <cell r="R16340">
            <v>46009</v>
          </cell>
          <cell r="S16340">
            <v>223002</v>
          </cell>
        </row>
        <row r="16341">
          <cell r="K16341" t="str">
            <v>217018</v>
          </cell>
          <cell r="M16341">
            <v>3</v>
          </cell>
          <cell r="R16341">
            <v>46009</v>
          </cell>
          <cell r="S16341">
            <v>217018</v>
          </cell>
        </row>
        <row r="16342">
          <cell r="K16342" t="str">
            <v>223001</v>
          </cell>
          <cell r="M16342">
            <v>12</v>
          </cell>
          <cell r="R16342">
            <v>46009</v>
          </cell>
          <cell r="S16342">
            <v>223001</v>
          </cell>
        </row>
        <row r="16343">
          <cell r="K16343" t="str">
            <v>223002</v>
          </cell>
          <cell r="M16343">
            <v>12</v>
          </cell>
          <cell r="R16343">
            <v>46009</v>
          </cell>
          <cell r="S16343">
            <v>223002</v>
          </cell>
        </row>
        <row r="16344">
          <cell r="K16344" t="str">
            <v>217018</v>
          </cell>
          <cell r="M16344">
            <v>3</v>
          </cell>
          <cell r="R16344">
            <v>46009</v>
          </cell>
          <cell r="S16344">
            <v>217018</v>
          </cell>
        </row>
        <row r="16345">
          <cell r="K16345" t="str">
            <v>227012</v>
          </cell>
          <cell r="M16345">
            <v>4</v>
          </cell>
          <cell r="R16345">
            <v>46009</v>
          </cell>
          <cell r="S16345">
            <v>227012</v>
          </cell>
        </row>
        <row r="16346">
          <cell r="K16346" t="str">
            <v>212002</v>
          </cell>
          <cell r="M16346">
            <v>1</v>
          </cell>
          <cell r="R16346">
            <v>46009</v>
          </cell>
          <cell r="S16346">
            <v>212002</v>
          </cell>
        </row>
        <row r="16347">
          <cell r="K16347" t="str">
            <v>228001</v>
          </cell>
          <cell r="M16347">
            <v>2</v>
          </cell>
          <cell r="R16347">
            <v>46009</v>
          </cell>
          <cell r="S16347">
            <v>228001</v>
          </cell>
        </row>
        <row r="16348">
          <cell r="K16348" t="str">
            <v>209001</v>
          </cell>
          <cell r="M16348">
            <v>3</v>
          </cell>
          <cell r="R16348">
            <v>46009</v>
          </cell>
          <cell r="S16348">
            <v>209001</v>
          </cell>
        </row>
        <row r="16349">
          <cell r="K16349" t="str">
            <v>217022</v>
          </cell>
          <cell r="M16349">
            <v>2</v>
          </cell>
          <cell r="R16349">
            <v>46009</v>
          </cell>
          <cell r="S16349">
            <v>217022</v>
          </cell>
        </row>
        <row r="16350">
          <cell r="K16350" t="str">
            <v>231012</v>
          </cell>
          <cell r="M16350">
            <v>1</v>
          </cell>
          <cell r="R16350">
            <v>46009</v>
          </cell>
          <cell r="S16350">
            <v>231012</v>
          </cell>
        </row>
        <row r="16351">
          <cell r="K16351" t="str">
            <v>203003</v>
          </cell>
          <cell r="M16351">
            <v>1</v>
          </cell>
          <cell r="R16351">
            <v>46009</v>
          </cell>
          <cell r="S16351">
            <v>203003</v>
          </cell>
        </row>
        <row r="16352">
          <cell r="K16352" t="str">
            <v>222001</v>
          </cell>
          <cell r="M16352">
            <v>1</v>
          </cell>
          <cell r="R16352">
            <v>46009</v>
          </cell>
          <cell r="S16352">
            <v>222001</v>
          </cell>
        </row>
        <row r="16353">
          <cell r="K16353" t="str">
            <v>227012</v>
          </cell>
          <cell r="M16353">
            <v>2</v>
          </cell>
          <cell r="R16353">
            <v>46009</v>
          </cell>
          <cell r="S16353">
            <v>227012</v>
          </cell>
        </row>
        <row r="16354">
          <cell r="K16354" t="str">
            <v>209004</v>
          </cell>
          <cell r="M16354">
            <v>1</v>
          </cell>
          <cell r="R16354">
            <v>46009</v>
          </cell>
          <cell r="S16354">
            <v>209004</v>
          </cell>
        </row>
        <row r="16355">
          <cell r="K16355" t="str">
            <v>228001</v>
          </cell>
          <cell r="M16355">
            <v>3</v>
          </cell>
          <cell r="R16355">
            <v>46009</v>
          </cell>
          <cell r="S16355">
            <v>228001</v>
          </cell>
        </row>
        <row r="16356">
          <cell r="K16356" t="str">
            <v>228001</v>
          </cell>
          <cell r="M16356">
            <v>3</v>
          </cell>
          <cell r="R16356">
            <v>46009</v>
          </cell>
          <cell r="S16356">
            <v>228001</v>
          </cell>
        </row>
        <row r="16357">
          <cell r="K16357" t="str">
            <v>209001</v>
          </cell>
          <cell r="M16357">
            <v>2</v>
          </cell>
          <cell r="R16357">
            <v>46009</v>
          </cell>
          <cell r="S16357">
            <v>209001</v>
          </cell>
        </row>
        <row r="16358">
          <cell r="K16358" t="str">
            <v>210015</v>
          </cell>
          <cell r="M16358">
            <v>1</v>
          </cell>
          <cell r="R16358">
            <v>46009</v>
          </cell>
          <cell r="S16358">
            <v>210015</v>
          </cell>
        </row>
        <row r="16359">
          <cell r="K16359" t="str">
            <v>217011</v>
          </cell>
          <cell r="M16359">
            <v>1</v>
          </cell>
          <cell r="R16359">
            <v>46009</v>
          </cell>
          <cell r="S16359">
            <v>217011</v>
          </cell>
        </row>
        <row r="16360">
          <cell r="K16360" t="str">
            <v>227001</v>
          </cell>
          <cell r="M16360">
            <v>4</v>
          </cell>
          <cell r="R16360">
            <v>46009</v>
          </cell>
          <cell r="S16360">
            <v>227001</v>
          </cell>
        </row>
        <row r="16361">
          <cell r="K16361" t="str">
            <v>228001</v>
          </cell>
          <cell r="M16361">
            <v>3</v>
          </cell>
          <cell r="R16361">
            <v>46009</v>
          </cell>
          <cell r="S16361">
            <v>228001</v>
          </cell>
        </row>
        <row r="16362">
          <cell r="K16362" t="str">
            <v>223001</v>
          </cell>
          <cell r="M16362">
            <v>3</v>
          </cell>
          <cell r="R16362">
            <v>46009</v>
          </cell>
          <cell r="S16362">
            <v>223001</v>
          </cell>
        </row>
        <row r="16363">
          <cell r="K16363" t="str">
            <v>223002</v>
          </cell>
          <cell r="M16363">
            <v>3</v>
          </cell>
          <cell r="R16363">
            <v>46009</v>
          </cell>
          <cell r="S16363">
            <v>223002</v>
          </cell>
        </row>
        <row r="16364">
          <cell r="K16364" t="str">
            <v>227012</v>
          </cell>
          <cell r="M16364">
            <v>1</v>
          </cell>
          <cell r="R16364">
            <v>46009</v>
          </cell>
          <cell r="S16364">
            <v>227012</v>
          </cell>
        </row>
        <row r="16365">
          <cell r="K16365" t="str">
            <v>201001</v>
          </cell>
          <cell r="M16365">
            <v>5</v>
          </cell>
          <cell r="R16365">
            <v>46009</v>
          </cell>
          <cell r="S16365">
            <v>201001</v>
          </cell>
        </row>
        <row r="16366">
          <cell r="K16366" t="str">
            <v>228001</v>
          </cell>
          <cell r="M16366">
            <v>1</v>
          </cell>
          <cell r="R16366">
            <v>46009</v>
          </cell>
          <cell r="S16366">
            <v>228001</v>
          </cell>
        </row>
        <row r="16367">
          <cell r="K16367" t="str">
            <v>203003</v>
          </cell>
          <cell r="M16367">
            <v>1</v>
          </cell>
          <cell r="R16367">
            <v>46009</v>
          </cell>
          <cell r="S16367">
            <v>203003</v>
          </cell>
        </row>
        <row r="16368">
          <cell r="K16368" t="str">
            <v>210015</v>
          </cell>
          <cell r="M16368">
            <v>2</v>
          </cell>
          <cell r="R16368">
            <v>46009</v>
          </cell>
          <cell r="S16368">
            <v>210015</v>
          </cell>
        </row>
        <row r="16369">
          <cell r="K16369" t="str">
            <v>228001</v>
          </cell>
          <cell r="M16369">
            <v>2</v>
          </cell>
          <cell r="R16369">
            <v>46009</v>
          </cell>
          <cell r="S16369">
            <v>228001</v>
          </cell>
        </row>
        <row r="16370">
          <cell r="K16370" t="str">
            <v>209017</v>
          </cell>
          <cell r="M16370">
            <v>2</v>
          </cell>
          <cell r="R16370">
            <v>46009</v>
          </cell>
          <cell r="S16370">
            <v>209017</v>
          </cell>
        </row>
        <row r="16371">
          <cell r="K16371" t="str">
            <v>228001</v>
          </cell>
          <cell r="M16371">
            <v>25</v>
          </cell>
          <cell r="R16371">
            <v>46009</v>
          </cell>
          <cell r="S16371">
            <v>228001</v>
          </cell>
        </row>
        <row r="16372">
          <cell r="K16372" t="str">
            <v>228001</v>
          </cell>
          <cell r="M16372">
            <v>3</v>
          </cell>
          <cell r="R16372">
            <v>46009</v>
          </cell>
          <cell r="S16372">
            <v>228001</v>
          </cell>
        </row>
        <row r="16373">
          <cell r="K16373" t="str">
            <v>209016</v>
          </cell>
          <cell r="M16373">
            <v>1</v>
          </cell>
          <cell r="R16373">
            <v>46009</v>
          </cell>
          <cell r="S16373">
            <v>209016</v>
          </cell>
        </row>
        <row r="16374">
          <cell r="K16374" t="str">
            <v>227012</v>
          </cell>
          <cell r="M16374">
            <v>2</v>
          </cell>
          <cell r="R16374">
            <v>46010</v>
          </cell>
          <cell r="S16374">
            <v>227012</v>
          </cell>
        </row>
        <row r="16375">
          <cell r="K16375" t="str">
            <v>217011</v>
          </cell>
          <cell r="M16375">
            <v>1</v>
          </cell>
          <cell r="R16375">
            <v>46010</v>
          </cell>
          <cell r="S16375">
            <v>217011</v>
          </cell>
        </row>
        <row r="16376">
          <cell r="K16376" t="str">
            <v>201001</v>
          </cell>
          <cell r="M16376">
            <v>4</v>
          </cell>
          <cell r="R16376">
            <v>46010</v>
          </cell>
          <cell r="S16376">
            <v>201001</v>
          </cell>
        </row>
        <row r="16377">
          <cell r="K16377" t="str">
            <v>223002</v>
          </cell>
          <cell r="M16377">
            <v>1</v>
          </cell>
          <cell r="R16377">
            <v>46010</v>
          </cell>
          <cell r="S16377">
            <v>223002</v>
          </cell>
        </row>
        <row r="16378">
          <cell r="K16378" t="str">
            <v>213002</v>
          </cell>
          <cell r="M16378">
            <v>2</v>
          </cell>
          <cell r="R16378">
            <v>46010</v>
          </cell>
          <cell r="S16378">
            <v>213002</v>
          </cell>
        </row>
        <row r="16379">
          <cell r="K16379" t="str">
            <v>241001</v>
          </cell>
          <cell r="M16379">
            <v>3</v>
          </cell>
          <cell r="R16379">
            <v>46010</v>
          </cell>
          <cell r="S16379">
            <v>241001</v>
          </cell>
        </row>
        <row r="16380">
          <cell r="K16380" t="str">
            <v>217011</v>
          </cell>
          <cell r="M16380">
            <v>1</v>
          </cell>
          <cell r="R16380">
            <v>46010</v>
          </cell>
          <cell r="S16380">
            <v>217011</v>
          </cell>
        </row>
        <row r="16381">
          <cell r="K16381" t="str">
            <v>201011</v>
          </cell>
          <cell r="M16381">
            <v>2</v>
          </cell>
          <cell r="R16381">
            <v>46010</v>
          </cell>
          <cell r="S16381">
            <v>201011</v>
          </cell>
        </row>
        <row r="16382">
          <cell r="K16382" t="str">
            <v>213022</v>
          </cell>
          <cell r="M16382">
            <v>1</v>
          </cell>
          <cell r="R16382">
            <v>46010</v>
          </cell>
          <cell r="S16382">
            <v>213022</v>
          </cell>
        </row>
        <row r="16383">
          <cell r="K16383" t="str">
            <v>226001</v>
          </cell>
          <cell r="M16383">
            <v>2</v>
          </cell>
          <cell r="R16383">
            <v>46010</v>
          </cell>
          <cell r="S16383">
            <v>226001</v>
          </cell>
        </row>
        <row r="16384">
          <cell r="K16384" t="str">
            <v>201024</v>
          </cell>
          <cell r="M16384">
            <v>10</v>
          </cell>
          <cell r="R16384">
            <v>46010</v>
          </cell>
          <cell r="S16384">
            <v>201024</v>
          </cell>
        </row>
        <row r="16385">
          <cell r="K16385" t="str">
            <v>220002</v>
          </cell>
          <cell r="M16385">
            <v>2</v>
          </cell>
          <cell r="R16385">
            <v>46010</v>
          </cell>
          <cell r="S16385">
            <v>220002</v>
          </cell>
        </row>
        <row r="16386">
          <cell r="K16386" t="str">
            <v>212002</v>
          </cell>
          <cell r="M16386">
            <v>1</v>
          </cell>
          <cell r="R16386">
            <v>46010</v>
          </cell>
          <cell r="S16386">
            <v>212002</v>
          </cell>
        </row>
        <row r="16387">
          <cell r="K16387" t="str">
            <v>220002</v>
          </cell>
          <cell r="M16387">
            <v>1</v>
          </cell>
          <cell r="R16387">
            <v>46010</v>
          </cell>
          <cell r="S16387">
            <v>220002</v>
          </cell>
        </row>
        <row r="16388">
          <cell r="K16388" t="str">
            <v>227012</v>
          </cell>
          <cell r="M16388">
            <v>2</v>
          </cell>
          <cell r="R16388">
            <v>46010</v>
          </cell>
          <cell r="S16388">
            <v>227012</v>
          </cell>
        </row>
        <row r="16389">
          <cell r="K16389" t="str">
            <v>213002</v>
          </cell>
          <cell r="M16389">
            <v>10</v>
          </cell>
          <cell r="R16389">
            <v>46010</v>
          </cell>
          <cell r="S16389">
            <v>213002</v>
          </cell>
        </row>
        <row r="16390">
          <cell r="K16390" t="str">
            <v>226001</v>
          </cell>
          <cell r="M16390">
            <v>1</v>
          </cell>
          <cell r="R16390">
            <v>46010</v>
          </cell>
          <cell r="S16390">
            <v>226001</v>
          </cell>
        </row>
        <row r="16391">
          <cell r="K16391" t="str">
            <v>203003</v>
          </cell>
          <cell r="M16391">
            <v>4</v>
          </cell>
          <cell r="R16391">
            <v>46010</v>
          </cell>
          <cell r="S16391">
            <v>203003</v>
          </cell>
        </row>
        <row r="16392">
          <cell r="K16392" t="str">
            <v>228001</v>
          </cell>
          <cell r="M16392">
            <v>1</v>
          </cell>
          <cell r="R16392">
            <v>46010</v>
          </cell>
          <cell r="S16392">
            <v>228001</v>
          </cell>
        </row>
        <row r="16393">
          <cell r="K16393" t="str">
            <v>213022</v>
          </cell>
          <cell r="M16393">
            <v>2</v>
          </cell>
          <cell r="R16393">
            <v>46010</v>
          </cell>
          <cell r="S16393">
            <v>213022</v>
          </cell>
        </row>
        <row r="16394">
          <cell r="K16394" t="str">
            <v>237001</v>
          </cell>
          <cell r="M16394">
            <v>1</v>
          </cell>
          <cell r="R16394">
            <v>46011</v>
          </cell>
          <cell r="S16394">
            <v>237001</v>
          </cell>
        </row>
        <row r="16395">
          <cell r="K16395" t="str">
            <v>201001</v>
          </cell>
          <cell r="M16395">
            <v>3</v>
          </cell>
          <cell r="R16395">
            <v>46012</v>
          </cell>
          <cell r="S16395">
            <v>201001</v>
          </cell>
        </row>
        <row r="16396">
          <cell r="K16396" t="str">
            <v>237001</v>
          </cell>
          <cell r="M16396">
            <v>1</v>
          </cell>
          <cell r="R16396">
            <v>46012</v>
          </cell>
          <cell r="S16396">
            <v>237001</v>
          </cell>
        </row>
        <row r="16397">
          <cell r="K16397" t="str">
            <v>212010</v>
          </cell>
          <cell r="M16397">
            <v>20</v>
          </cell>
          <cell r="R16397">
            <v>46012</v>
          </cell>
          <cell r="S16397">
            <v>212010</v>
          </cell>
        </row>
        <row r="16398">
          <cell r="K16398" t="str">
            <v>261004</v>
          </cell>
          <cell r="M16398">
            <v>40</v>
          </cell>
          <cell r="R16398">
            <v>46012</v>
          </cell>
          <cell r="S16398">
            <v>261004</v>
          </cell>
        </row>
        <row r="16399">
          <cell r="K16399" t="str">
            <v>228001</v>
          </cell>
          <cell r="M16399">
            <v>6</v>
          </cell>
          <cell r="R16399">
            <v>46012</v>
          </cell>
          <cell r="S16399">
            <v>228001</v>
          </cell>
        </row>
        <row r="16400">
          <cell r="K16400" t="str">
            <v>212035</v>
          </cell>
          <cell r="M16400">
            <v>1</v>
          </cell>
          <cell r="R16400">
            <v>46012</v>
          </cell>
          <cell r="S16400">
            <v>212035</v>
          </cell>
        </row>
        <row r="16401">
          <cell r="K16401" t="str">
            <v>213002</v>
          </cell>
          <cell r="M16401">
            <v>2</v>
          </cell>
          <cell r="R16401">
            <v>46012</v>
          </cell>
          <cell r="S16401">
            <v>213002</v>
          </cell>
        </row>
        <row r="16402">
          <cell r="K16402" t="str">
            <v>228001</v>
          </cell>
          <cell r="M16402">
            <v>60</v>
          </cell>
          <cell r="R16402">
            <v>46013</v>
          </cell>
          <cell r="S16402">
            <v>228001</v>
          </cell>
        </row>
        <row r="16403">
          <cell r="K16403" t="str">
            <v>228001</v>
          </cell>
          <cell r="M16403">
            <v>60</v>
          </cell>
          <cell r="R16403">
            <v>46013</v>
          </cell>
          <cell r="S16403">
            <v>228001</v>
          </cell>
        </row>
        <row r="16404">
          <cell r="K16404" t="str">
            <v>213022</v>
          </cell>
          <cell r="M16404">
            <v>5</v>
          </cell>
          <cell r="R16404">
            <v>46013</v>
          </cell>
          <cell r="S16404">
            <v>213022</v>
          </cell>
        </row>
        <row r="16405">
          <cell r="K16405" t="str">
            <v>201001</v>
          </cell>
          <cell r="M16405">
            <v>5</v>
          </cell>
          <cell r="R16405">
            <v>46010</v>
          </cell>
          <cell r="S16405">
            <v>201001</v>
          </cell>
        </row>
        <row r="16406">
          <cell r="K16406" t="str">
            <v>201001</v>
          </cell>
          <cell r="M16406">
            <v>4</v>
          </cell>
          <cell r="R16406">
            <v>46012</v>
          </cell>
          <cell r="S16406">
            <v>201001</v>
          </cell>
        </row>
        <row r="16407">
          <cell r="K16407" t="str">
            <v>203001</v>
          </cell>
          <cell r="M16407">
            <v>4</v>
          </cell>
          <cell r="R16407">
            <v>46012</v>
          </cell>
          <cell r="S16407">
            <v>203001</v>
          </cell>
        </row>
        <row r="16408">
          <cell r="K16408" t="str">
            <v>231010</v>
          </cell>
          <cell r="M16408">
            <v>6</v>
          </cell>
          <cell r="R16408">
            <v>46012</v>
          </cell>
          <cell r="S16408">
            <v>231010</v>
          </cell>
        </row>
        <row r="16409">
          <cell r="K16409" t="str">
            <v>223002</v>
          </cell>
          <cell r="M16409">
            <v>1</v>
          </cell>
          <cell r="R16409">
            <v>46012</v>
          </cell>
          <cell r="S16409">
            <v>223002</v>
          </cell>
        </row>
        <row r="16410">
          <cell r="K16410" t="str">
            <v>223001</v>
          </cell>
          <cell r="M16410">
            <v>6</v>
          </cell>
          <cell r="R16410">
            <v>46012</v>
          </cell>
          <cell r="S16410">
            <v>223001</v>
          </cell>
        </row>
        <row r="16411">
          <cell r="K16411" t="str">
            <v>227012</v>
          </cell>
          <cell r="M16411">
            <v>1</v>
          </cell>
          <cell r="R16411">
            <v>46012</v>
          </cell>
          <cell r="S16411">
            <v>227012</v>
          </cell>
        </row>
        <row r="16412">
          <cell r="K16412" t="str">
            <v>241001</v>
          </cell>
          <cell r="M16412">
            <v>10</v>
          </cell>
          <cell r="R16412">
            <v>46012</v>
          </cell>
          <cell r="S16412">
            <v>241001</v>
          </cell>
        </row>
        <row r="16413">
          <cell r="K16413" t="str">
            <v>203003</v>
          </cell>
          <cell r="M16413">
            <v>1</v>
          </cell>
          <cell r="R16413">
            <v>46012</v>
          </cell>
          <cell r="S16413">
            <v>203003</v>
          </cell>
        </row>
        <row r="16414">
          <cell r="K16414" t="str">
            <v>222001</v>
          </cell>
          <cell r="M16414">
            <v>1</v>
          </cell>
          <cell r="R16414">
            <v>46012</v>
          </cell>
          <cell r="S16414">
            <v>222001</v>
          </cell>
        </row>
        <row r="16415">
          <cell r="K16415" t="str">
            <v>213002</v>
          </cell>
          <cell r="M16415">
            <v>1</v>
          </cell>
          <cell r="R16415">
            <v>46012</v>
          </cell>
          <cell r="S16415">
            <v>213002</v>
          </cell>
        </row>
        <row r="16416">
          <cell r="K16416" t="str">
            <v>223001</v>
          </cell>
          <cell r="M16416">
            <v>12</v>
          </cell>
          <cell r="R16416">
            <v>46013</v>
          </cell>
          <cell r="S16416">
            <v>223001</v>
          </cell>
        </row>
        <row r="16417">
          <cell r="K16417" t="str">
            <v>223002</v>
          </cell>
          <cell r="M16417">
            <v>6</v>
          </cell>
          <cell r="R16417">
            <v>46013</v>
          </cell>
          <cell r="S16417">
            <v>223002</v>
          </cell>
        </row>
        <row r="16418">
          <cell r="K16418" t="str">
            <v>217018</v>
          </cell>
          <cell r="M16418">
            <v>1</v>
          </cell>
          <cell r="R16418">
            <v>46013</v>
          </cell>
          <cell r="S16418">
            <v>217018</v>
          </cell>
        </row>
        <row r="16419">
          <cell r="K16419" t="str">
            <v>201001</v>
          </cell>
          <cell r="M16419">
            <v>4</v>
          </cell>
          <cell r="R16419">
            <v>46013</v>
          </cell>
          <cell r="S16419">
            <v>201001</v>
          </cell>
        </row>
        <row r="16420">
          <cell r="K16420" t="str">
            <v>223003</v>
          </cell>
          <cell r="M16420">
            <v>12</v>
          </cell>
          <cell r="R16420">
            <v>46013</v>
          </cell>
          <cell r="S16420">
            <v>223003</v>
          </cell>
        </row>
        <row r="16421">
          <cell r="K16421" t="str">
            <v>223007</v>
          </cell>
          <cell r="M16421">
            <v>6</v>
          </cell>
          <cell r="R16421">
            <v>46013</v>
          </cell>
          <cell r="S16421">
            <v>223007</v>
          </cell>
        </row>
        <row r="16422">
          <cell r="K16422" t="str">
            <v>226030</v>
          </cell>
          <cell r="M16422">
            <v>1</v>
          </cell>
          <cell r="R16422">
            <v>46013</v>
          </cell>
          <cell r="S16422">
            <v>226030</v>
          </cell>
        </row>
        <row r="16423">
          <cell r="K16423" t="str">
            <v>213022</v>
          </cell>
          <cell r="M16423">
            <v>2</v>
          </cell>
          <cell r="R16423">
            <v>46013</v>
          </cell>
          <cell r="S16423">
            <v>213022</v>
          </cell>
        </row>
        <row r="16424">
          <cell r="K16424" t="str">
            <v>227012</v>
          </cell>
          <cell r="M16424">
            <v>2</v>
          </cell>
          <cell r="R16424">
            <v>46013</v>
          </cell>
          <cell r="S16424">
            <v>227012</v>
          </cell>
        </row>
        <row r="16425">
          <cell r="K16425" t="str">
            <v>222007</v>
          </cell>
          <cell r="M16425">
            <v>1</v>
          </cell>
          <cell r="R16425">
            <v>46013</v>
          </cell>
          <cell r="S16425">
            <v>222007</v>
          </cell>
        </row>
        <row r="16426">
          <cell r="K16426" t="str">
            <v>217018</v>
          </cell>
          <cell r="M16426">
            <v>3</v>
          </cell>
          <cell r="R16426">
            <v>46013</v>
          </cell>
          <cell r="S16426">
            <v>217018</v>
          </cell>
        </row>
        <row r="16427">
          <cell r="K16427" t="str">
            <v>217022</v>
          </cell>
          <cell r="M16427">
            <v>6</v>
          </cell>
          <cell r="R16427">
            <v>46013</v>
          </cell>
          <cell r="S16427">
            <v>217022</v>
          </cell>
        </row>
        <row r="16428">
          <cell r="K16428" t="str">
            <v>222001</v>
          </cell>
          <cell r="M16428">
            <v>1</v>
          </cell>
          <cell r="R16428">
            <v>46012</v>
          </cell>
          <cell r="S16428">
            <v>222001</v>
          </cell>
        </row>
        <row r="16429">
          <cell r="K16429" t="str">
            <v>223002</v>
          </cell>
          <cell r="M16429">
            <v>2</v>
          </cell>
          <cell r="R16429">
            <v>46012</v>
          </cell>
          <cell r="S16429">
            <v>223002</v>
          </cell>
        </row>
        <row r="16430">
          <cell r="K16430" t="str">
            <v>227012</v>
          </cell>
          <cell r="M16430">
            <v>1</v>
          </cell>
          <cell r="R16430">
            <v>46012</v>
          </cell>
          <cell r="S16430">
            <v>227012</v>
          </cell>
        </row>
        <row r="16431">
          <cell r="K16431" t="str">
            <v>201001</v>
          </cell>
          <cell r="M16431">
            <v>3</v>
          </cell>
          <cell r="R16431">
            <v>46013</v>
          </cell>
          <cell r="S16431">
            <v>201001</v>
          </cell>
        </row>
        <row r="16432">
          <cell r="K16432" t="str">
            <v>222001</v>
          </cell>
          <cell r="M16432">
            <v>1</v>
          </cell>
          <cell r="R16432">
            <v>46013</v>
          </cell>
          <cell r="S16432">
            <v>222001</v>
          </cell>
        </row>
        <row r="16433">
          <cell r="K16433" t="str">
            <v>223001</v>
          </cell>
          <cell r="M16433">
            <v>3</v>
          </cell>
          <cell r="R16433">
            <v>46013</v>
          </cell>
          <cell r="S16433">
            <v>223001</v>
          </cell>
        </row>
        <row r="16434">
          <cell r="K16434" t="str">
            <v>241001</v>
          </cell>
          <cell r="M16434">
            <v>2</v>
          </cell>
          <cell r="R16434">
            <v>46013</v>
          </cell>
          <cell r="S16434">
            <v>241001</v>
          </cell>
        </row>
        <row r="16435">
          <cell r="K16435" t="str">
            <v>228001</v>
          </cell>
          <cell r="M16435">
            <v>10</v>
          </cell>
          <cell r="R16435">
            <v>46013</v>
          </cell>
          <cell r="S16435">
            <v>228001</v>
          </cell>
        </row>
        <row r="16436">
          <cell r="K16436" t="str">
            <v>220002</v>
          </cell>
          <cell r="M16436">
            <v>3</v>
          </cell>
          <cell r="R16436">
            <v>46013</v>
          </cell>
          <cell r="S16436">
            <v>220002</v>
          </cell>
        </row>
        <row r="16437">
          <cell r="K16437" t="str">
            <v>241001</v>
          </cell>
          <cell r="M16437">
            <v>3</v>
          </cell>
          <cell r="R16437">
            <v>46012</v>
          </cell>
          <cell r="S16437">
            <v>241001</v>
          </cell>
        </row>
        <row r="16438">
          <cell r="K16438" t="str">
            <v>201001</v>
          </cell>
          <cell r="M16438">
            <v>4</v>
          </cell>
          <cell r="R16438">
            <v>46012</v>
          </cell>
          <cell r="S16438">
            <v>201001</v>
          </cell>
        </row>
        <row r="16439">
          <cell r="K16439" t="str">
            <v>213002</v>
          </cell>
          <cell r="M16439">
            <v>1</v>
          </cell>
          <cell r="R16439">
            <v>46012</v>
          </cell>
          <cell r="S16439">
            <v>213002</v>
          </cell>
        </row>
        <row r="16440">
          <cell r="K16440" t="str">
            <v>234011</v>
          </cell>
          <cell r="M16440">
            <v>1</v>
          </cell>
          <cell r="R16440">
            <v>46012</v>
          </cell>
          <cell r="S16440">
            <v>234011</v>
          </cell>
        </row>
        <row r="16441">
          <cell r="K16441" t="str">
            <v>228001</v>
          </cell>
          <cell r="M16441">
            <v>2</v>
          </cell>
          <cell r="R16441">
            <v>46012</v>
          </cell>
          <cell r="S16441">
            <v>228001</v>
          </cell>
        </row>
        <row r="16442">
          <cell r="K16442" t="str">
            <v>228001</v>
          </cell>
          <cell r="M16442">
            <v>2</v>
          </cell>
          <cell r="R16442">
            <v>46012</v>
          </cell>
          <cell r="S16442">
            <v>228001</v>
          </cell>
        </row>
        <row r="16443">
          <cell r="K16443" t="str">
            <v>217019</v>
          </cell>
          <cell r="M16443">
            <v>3</v>
          </cell>
          <cell r="R16443">
            <v>46012</v>
          </cell>
          <cell r="S16443">
            <v>217019</v>
          </cell>
        </row>
        <row r="16444">
          <cell r="K16444" t="str">
            <v>217019</v>
          </cell>
          <cell r="M16444">
            <v>10</v>
          </cell>
          <cell r="R16444">
            <v>46012</v>
          </cell>
          <cell r="S16444">
            <v>217019</v>
          </cell>
        </row>
        <row r="16445">
          <cell r="K16445" t="str">
            <v>217019</v>
          </cell>
          <cell r="M16445">
            <v>2</v>
          </cell>
          <cell r="R16445">
            <v>46012</v>
          </cell>
          <cell r="S16445">
            <v>217019</v>
          </cell>
        </row>
        <row r="16446">
          <cell r="K16446" t="str">
            <v>228001</v>
          </cell>
          <cell r="M16446">
            <v>2</v>
          </cell>
          <cell r="R16446">
            <v>46012</v>
          </cell>
          <cell r="S16446">
            <v>228001</v>
          </cell>
        </row>
        <row r="16447">
          <cell r="K16447" t="str">
            <v>220002</v>
          </cell>
          <cell r="M16447">
            <v>6</v>
          </cell>
          <cell r="R16447">
            <v>46013</v>
          </cell>
          <cell r="S16447">
            <v>220002</v>
          </cell>
        </row>
        <row r="16448">
          <cell r="K16448" t="str">
            <v>226001</v>
          </cell>
          <cell r="M16448">
            <v>1</v>
          </cell>
          <cell r="R16448">
            <v>46013</v>
          </cell>
          <cell r="S16448">
            <v>226001</v>
          </cell>
        </row>
        <row r="16449">
          <cell r="K16449" t="str">
            <v>201001</v>
          </cell>
          <cell r="M16449">
            <v>6</v>
          </cell>
          <cell r="R16449">
            <v>46013</v>
          </cell>
          <cell r="S16449">
            <v>201001</v>
          </cell>
        </row>
        <row r="16450">
          <cell r="K16450" t="str">
            <v>228001</v>
          </cell>
          <cell r="M16450">
            <v>1</v>
          </cell>
          <cell r="R16450">
            <v>46013</v>
          </cell>
          <cell r="S16450">
            <v>228001</v>
          </cell>
        </row>
        <row r="16451">
          <cell r="K16451" t="str">
            <v>217011</v>
          </cell>
          <cell r="M16451">
            <v>1</v>
          </cell>
          <cell r="R16451">
            <v>46013</v>
          </cell>
          <cell r="S16451">
            <v>217011</v>
          </cell>
        </row>
        <row r="16452">
          <cell r="K16452" t="str">
            <v>217018</v>
          </cell>
          <cell r="M16452">
            <v>2</v>
          </cell>
          <cell r="R16452">
            <v>46012</v>
          </cell>
          <cell r="S16452">
            <v>217018</v>
          </cell>
        </row>
        <row r="16453">
          <cell r="K16453" t="str">
            <v>227012</v>
          </cell>
          <cell r="M16453">
            <v>1</v>
          </cell>
          <cell r="R16453">
            <v>46013</v>
          </cell>
          <cell r="S16453">
            <v>227012</v>
          </cell>
        </row>
        <row r="16454">
          <cell r="K16454" t="str">
            <v>213022</v>
          </cell>
          <cell r="M16454">
            <v>2</v>
          </cell>
          <cell r="R16454">
            <v>46013</v>
          </cell>
          <cell r="S16454">
            <v>213022</v>
          </cell>
        </row>
        <row r="16455">
          <cell r="K16455" t="str">
            <v>223002</v>
          </cell>
          <cell r="M16455">
            <v>2</v>
          </cell>
          <cell r="R16455">
            <v>46013</v>
          </cell>
          <cell r="S16455">
            <v>223002</v>
          </cell>
        </row>
        <row r="16456">
          <cell r="K16456" t="str">
            <v>228001</v>
          </cell>
          <cell r="M16456">
            <v>1</v>
          </cell>
          <cell r="R16456">
            <v>46012</v>
          </cell>
          <cell r="S16456">
            <v>228001</v>
          </cell>
        </row>
        <row r="16457">
          <cell r="K16457" t="str">
            <v>203003</v>
          </cell>
          <cell r="M16457">
            <v>3</v>
          </cell>
          <cell r="R16457">
            <v>46012</v>
          </cell>
          <cell r="S16457">
            <v>203003</v>
          </cell>
        </row>
        <row r="16458">
          <cell r="K16458" t="str">
            <v>223001</v>
          </cell>
          <cell r="M16458">
            <v>1</v>
          </cell>
          <cell r="R16458">
            <v>46012</v>
          </cell>
          <cell r="S16458">
            <v>223001</v>
          </cell>
        </row>
        <row r="16459">
          <cell r="K16459" t="str">
            <v>217018</v>
          </cell>
          <cell r="M16459">
            <v>16</v>
          </cell>
          <cell r="R16459">
            <v>46013</v>
          </cell>
          <cell r="S16459">
            <v>217018</v>
          </cell>
        </row>
        <row r="16460">
          <cell r="K16460" t="str">
            <v>217018</v>
          </cell>
          <cell r="M16460">
            <v>19</v>
          </cell>
          <cell r="R16460">
            <v>46013</v>
          </cell>
          <cell r="S16460">
            <v>217018</v>
          </cell>
        </row>
        <row r="16461">
          <cell r="K16461" t="str">
            <v>228001</v>
          </cell>
          <cell r="M16461">
            <v>7</v>
          </cell>
          <cell r="R16461">
            <v>46013</v>
          </cell>
          <cell r="S16461">
            <v>228001</v>
          </cell>
        </row>
        <row r="16462">
          <cell r="K16462" t="str">
            <v>231010</v>
          </cell>
          <cell r="M16462">
            <v>1</v>
          </cell>
          <cell r="R16462">
            <v>46013</v>
          </cell>
          <cell r="S16462">
            <v>231010</v>
          </cell>
        </row>
        <row r="16463">
          <cell r="K16463" t="str">
            <v>203003</v>
          </cell>
          <cell r="M16463">
            <v>1</v>
          </cell>
          <cell r="R16463">
            <v>46013</v>
          </cell>
          <cell r="S16463">
            <v>203003</v>
          </cell>
        </row>
        <row r="16464">
          <cell r="K16464" t="str">
            <v>231012</v>
          </cell>
          <cell r="M16464">
            <v>1</v>
          </cell>
          <cell r="R16464">
            <v>46011</v>
          </cell>
          <cell r="S16464">
            <v>231012</v>
          </cell>
        </row>
        <row r="16465">
          <cell r="K16465" t="str">
            <v>228001</v>
          </cell>
          <cell r="M16465">
            <v>8</v>
          </cell>
          <cell r="R16465">
            <v>46012</v>
          </cell>
          <cell r="S16465">
            <v>228001</v>
          </cell>
        </row>
        <row r="16466">
          <cell r="K16466" t="str">
            <v>228001</v>
          </cell>
          <cell r="M16466">
            <v>10</v>
          </cell>
          <cell r="R16466">
            <v>46012</v>
          </cell>
          <cell r="S16466">
            <v>228001</v>
          </cell>
        </row>
        <row r="16467">
          <cell r="K16467" t="str">
            <v>228001</v>
          </cell>
          <cell r="M16467">
            <v>1</v>
          </cell>
          <cell r="R16467">
            <v>46013</v>
          </cell>
          <cell r="S16467">
            <v>228001</v>
          </cell>
        </row>
        <row r="16468">
          <cell r="K16468" t="str">
            <v>207017</v>
          </cell>
          <cell r="M16468">
            <v>2</v>
          </cell>
          <cell r="R16468">
            <v>46013</v>
          </cell>
          <cell r="S16468">
            <v>207017</v>
          </cell>
        </row>
        <row r="16469">
          <cell r="K16469" t="str">
            <v>212035</v>
          </cell>
          <cell r="M16469">
            <v>4</v>
          </cell>
          <cell r="R16469">
            <v>46013</v>
          </cell>
          <cell r="S16469">
            <v>212035</v>
          </cell>
        </row>
        <row r="16470">
          <cell r="K16470" t="str">
            <v>231012</v>
          </cell>
          <cell r="M16470">
            <v>1</v>
          </cell>
          <cell r="R16470">
            <v>46013</v>
          </cell>
          <cell r="S16470">
            <v>231012</v>
          </cell>
        </row>
        <row r="16471">
          <cell r="K16471" t="str">
            <v>228001</v>
          </cell>
          <cell r="M16471">
            <v>3</v>
          </cell>
          <cell r="R16471">
            <v>46013</v>
          </cell>
          <cell r="S16471">
            <v>228001</v>
          </cell>
        </row>
        <row r="16472">
          <cell r="K16472" t="str">
            <v>201001</v>
          </cell>
          <cell r="M16472">
            <v>2</v>
          </cell>
          <cell r="R16472">
            <v>46013</v>
          </cell>
          <cell r="S16472">
            <v>201001</v>
          </cell>
        </row>
        <row r="16473">
          <cell r="K16473" t="str">
            <v>201011</v>
          </cell>
          <cell r="M16473">
            <v>2</v>
          </cell>
          <cell r="R16473">
            <v>46013</v>
          </cell>
          <cell r="S16473">
            <v>201011</v>
          </cell>
        </row>
        <row r="16474">
          <cell r="K16474" t="str">
            <v>201001</v>
          </cell>
          <cell r="M16474">
            <v>10</v>
          </cell>
          <cell r="R16474">
            <v>46013</v>
          </cell>
          <cell r="S16474">
            <v>201001</v>
          </cell>
        </row>
        <row r="16475">
          <cell r="K16475" t="str">
            <v>201001</v>
          </cell>
          <cell r="M16475">
            <v>12</v>
          </cell>
          <cell r="R16475">
            <v>46013</v>
          </cell>
          <cell r="S16475">
            <v>201001</v>
          </cell>
        </row>
        <row r="16476">
          <cell r="K16476" t="str">
            <v>223002</v>
          </cell>
          <cell r="M16476">
            <v>4</v>
          </cell>
          <cell r="R16476">
            <v>46012</v>
          </cell>
          <cell r="S16476">
            <v>223002</v>
          </cell>
        </row>
        <row r="16477">
          <cell r="K16477" t="str">
            <v>223001</v>
          </cell>
          <cell r="M16477">
            <v>4</v>
          </cell>
          <cell r="R16477">
            <v>46012</v>
          </cell>
          <cell r="S16477">
            <v>223001</v>
          </cell>
        </row>
        <row r="16478">
          <cell r="K16478" t="str">
            <v>201024</v>
          </cell>
          <cell r="M16478">
            <v>7</v>
          </cell>
          <cell r="R16478">
            <v>46012</v>
          </cell>
          <cell r="S16478">
            <v>201024</v>
          </cell>
        </row>
        <row r="16479">
          <cell r="K16479" t="str">
            <v>227012</v>
          </cell>
          <cell r="M16479">
            <v>1</v>
          </cell>
          <cell r="R16479">
            <v>46012</v>
          </cell>
          <cell r="S16479">
            <v>227012</v>
          </cell>
        </row>
        <row r="16480">
          <cell r="K16480" t="str">
            <v>201001</v>
          </cell>
          <cell r="M16480">
            <v>16</v>
          </cell>
          <cell r="R16480">
            <v>46013</v>
          </cell>
          <cell r="S16480">
            <v>201001</v>
          </cell>
        </row>
        <row r="16481">
          <cell r="K16481" t="str">
            <v>201001</v>
          </cell>
          <cell r="M16481">
            <v>6</v>
          </cell>
          <cell r="R16481">
            <v>46013</v>
          </cell>
          <cell r="S16481">
            <v>201001</v>
          </cell>
        </row>
        <row r="16482">
          <cell r="K16482" t="str">
            <v>201001</v>
          </cell>
          <cell r="M16482">
            <v>36</v>
          </cell>
          <cell r="R16482">
            <v>46013</v>
          </cell>
          <cell r="S16482">
            <v>201001</v>
          </cell>
        </row>
        <row r="16483">
          <cell r="K16483" t="str">
            <v>210014</v>
          </cell>
          <cell r="M16483">
            <v>4</v>
          </cell>
          <cell r="R16483">
            <v>46013</v>
          </cell>
          <cell r="S16483">
            <v>210014</v>
          </cell>
        </row>
        <row r="16484">
          <cell r="K16484" t="str">
            <v>213002</v>
          </cell>
          <cell r="M16484">
            <v>3</v>
          </cell>
          <cell r="R16484">
            <v>46013</v>
          </cell>
          <cell r="S16484">
            <v>213002</v>
          </cell>
        </row>
        <row r="16485">
          <cell r="K16485" t="str">
            <v>231012</v>
          </cell>
          <cell r="M16485">
            <v>3</v>
          </cell>
          <cell r="R16485">
            <v>46013</v>
          </cell>
          <cell r="S16485">
            <v>231012</v>
          </cell>
        </row>
        <row r="16486">
          <cell r="K16486" t="str">
            <v>226001</v>
          </cell>
          <cell r="M16486">
            <v>1</v>
          </cell>
          <cell r="R16486">
            <v>46013</v>
          </cell>
          <cell r="S16486">
            <v>226001</v>
          </cell>
        </row>
        <row r="16487">
          <cell r="K16487" t="str">
            <v>227002</v>
          </cell>
          <cell r="M16487">
            <v>1</v>
          </cell>
          <cell r="R16487">
            <v>46013</v>
          </cell>
          <cell r="S16487">
            <v>227002</v>
          </cell>
        </row>
        <row r="16488">
          <cell r="K16488" t="str">
            <v>213002</v>
          </cell>
          <cell r="M16488">
            <v>5</v>
          </cell>
          <cell r="R16488">
            <v>46013</v>
          </cell>
          <cell r="S16488">
            <v>213002</v>
          </cell>
        </row>
        <row r="16489">
          <cell r="K16489" t="str">
            <v>228001</v>
          </cell>
          <cell r="M16489">
            <v>6</v>
          </cell>
          <cell r="R16489">
            <v>46013</v>
          </cell>
          <cell r="S16489">
            <v>228001</v>
          </cell>
        </row>
        <row r="16490">
          <cell r="K16490" t="str">
            <v>241001</v>
          </cell>
          <cell r="M16490">
            <v>3</v>
          </cell>
          <cell r="R16490">
            <v>46013</v>
          </cell>
          <cell r="S16490">
            <v>241001</v>
          </cell>
        </row>
        <row r="16491">
          <cell r="K16491" t="str">
            <v>222007</v>
          </cell>
          <cell r="M16491">
            <v>2</v>
          </cell>
          <cell r="R16491">
            <v>46013</v>
          </cell>
          <cell r="S16491">
            <v>222007</v>
          </cell>
        </row>
        <row r="16492">
          <cell r="K16492" t="str">
            <v>222001</v>
          </cell>
          <cell r="M16492">
            <v>4</v>
          </cell>
          <cell r="R16492">
            <v>46013</v>
          </cell>
          <cell r="S16492">
            <v>222001</v>
          </cell>
        </row>
        <row r="16493">
          <cell r="K16493" t="str">
            <v>261004</v>
          </cell>
          <cell r="M16493">
            <v>1</v>
          </cell>
          <cell r="R16493">
            <v>46013</v>
          </cell>
          <cell r="S16493">
            <v>261004</v>
          </cell>
        </row>
        <row r="16494">
          <cell r="K16494" t="str">
            <v>228001</v>
          </cell>
          <cell r="M16494">
            <v>2</v>
          </cell>
          <cell r="R16494">
            <v>46013</v>
          </cell>
          <cell r="S16494">
            <v>228001</v>
          </cell>
        </row>
        <row r="16495">
          <cell r="K16495" t="str">
            <v>223002</v>
          </cell>
          <cell r="M16495">
            <v>1</v>
          </cell>
          <cell r="R16495">
            <v>46013</v>
          </cell>
          <cell r="S16495">
            <v>223002</v>
          </cell>
        </row>
        <row r="16496">
          <cell r="K16496" t="str">
            <v>241001</v>
          </cell>
          <cell r="M16496">
            <v>1</v>
          </cell>
          <cell r="R16496">
            <v>46013</v>
          </cell>
          <cell r="S16496">
            <v>241001</v>
          </cell>
        </row>
        <row r="16497">
          <cell r="K16497" t="str">
            <v>261005</v>
          </cell>
          <cell r="M16497">
            <v>1</v>
          </cell>
          <cell r="R16497">
            <v>46013</v>
          </cell>
          <cell r="S16497">
            <v>261005</v>
          </cell>
        </row>
        <row r="16498">
          <cell r="K16498" t="str">
            <v>231004</v>
          </cell>
          <cell r="M16498">
            <v>1</v>
          </cell>
          <cell r="R16498">
            <v>46013</v>
          </cell>
          <cell r="S16498">
            <v>231004</v>
          </cell>
        </row>
        <row r="16499">
          <cell r="K16499" t="str">
            <v>237001</v>
          </cell>
          <cell r="M16499">
            <v>1</v>
          </cell>
          <cell r="R16499">
            <v>46013</v>
          </cell>
          <cell r="S16499">
            <v>237001</v>
          </cell>
        </row>
        <row r="16500">
          <cell r="K16500" t="str">
            <v>217022</v>
          </cell>
          <cell r="M16500">
            <v>7</v>
          </cell>
          <cell r="R16500">
            <v>46013</v>
          </cell>
          <cell r="S16500">
            <v>217022</v>
          </cell>
        </row>
        <row r="16501">
          <cell r="K16501" t="str">
            <v>223002</v>
          </cell>
          <cell r="M16501">
            <v>3</v>
          </cell>
          <cell r="R16501">
            <v>46013</v>
          </cell>
          <cell r="S16501">
            <v>223002</v>
          </cell>
        </row>
        <row r="16502">
          <cell r="K16502" t="str">
            <v>226001</v>
          </cell>
          <cell r="M16502">
            <v>3</v>
          </cell>
          <cell r="R16502">
            <v>46013</v>
          </cell>
          <cell r="S16502">
            <v>226001</v>
          </cell>
        </row>
        <row r="16503">
          <cell r="K16503" t="str">
            <v>226001</v>
          </cell>
          <cell r="M16503">
            <v>1</v>
          </cell>
          <cell r="R16503">
            <v>46013</v>
          </cell>
          <cell r="S16503">
            <v>226001</v>
          </cell>
        </row>
        <row r="16504">
          <cell r="K16504" t="str">
            <v>203001</v>
          </cell>
          <cell r="M16504">
            <v>1</v>
          </cell>
          <cell r="R16504">
            <v>46013</v>
          </cell>
          <cell r="S16504">
            <v>203001</v>
          </cell>
        </row>
        <row r="16505">
          <cell r="K16505" t="str">
            <v>226001</v>
          </cell>
          <cell r="M16505">
            <v>1</v>
          </cell>
          <cell r="R16505">
            <v>46013</v>
          </cell>
          <cell r="S16505">
            <v>226001</v>
          </cell>
        </row>
        <row r="16506">
          <cell r="K16506" t="str">
            <v>228001</v>
          </cell>
          <cell r="M16506">
            <v>4</v>
          </cell>
          <cell r="R16506">
            <v>46013</v>
          </cell>
          <cell r="S16506">
            <v>228001</v>
          </cell>
        </row>
        <row r="16507">
          <cell r="K16507" t="str">
            <v>212035</v>
          </cell>
          <cell r="M16507">
            <v>3</v>
          </cell>
          <cell r="R16507">
            <v>46013</v>
          </cell>
          <cell r="S16507">
            <v>212035</v>
          </cell>
        </row>
        <row r="16508">
          <cell r="K16508" t="str">
            <v>212002</v>
          </cell>
          <cell r="M16508">
            <v>1</v>
          </cell>
          <cell r="R16508">
            <v>46013</v>
          </cell>
          <cell r="S16508">
            <v>212002</v>
          </cell>
        </row>
        <row r="16509">
          <cell r="K16509" t="str">
            <v>201024</v>
          </cell>
          <cell r="M16509">
            <v>1</v>
          </cell>
          <cell r="R16509">
            <v>46013</v>
          </cell>
          <cell r="S16509">
            <v>201024</v>
          </cell>
        </row>
        <row r="16510">
          <cell r="K16510" t="str">
            <v>201001</v>
          </cell>
          <cell r="M16510">
            <v>12</v>
          </cell>
          <cell r="R16510">
            <v>46013</v>
          </cell>
          <cell r="S16510">
            <v>201001</v>
          </cell>
        </row>
        <row r="16511">
          <cell r="K16511" t="str">
            <v>220002</v>
          </cell>
          <cell r="M16511">
            <v>1</v>
          </cell>
          <cell r="R16511">
            <v>46013</v>
          </cell>
          <cell r="S16511">
            <v>220002</v>
          </cell>
        </row>
        <row r="16512">
          <cell r="K16512" t="str">
            <v>209012</v>
          </cell>
          <cell r="M16512">
            <v>9</v>
          </cell>
          <cell r="R16512">
            <v>46013</v>
          </cell>
          <cell r="S16512">
            <v>209012</v>
          </cell>
        </row>
        <row r="16513">
          <cell r="K16513" t="str">
            <v>231012</v>
          </cell>
          <cell r="M16513">
            <v>1</v>
          </cell>
          <cell r="R16513">
            <v>46013</v>
          </cell>
          <cell r="S16513">
            <v>231012</v>
          </cell>
        </row>
        <row r="16514">
          <cell r="K16514" t="str">
            <v>229001</v>
          </cell>
          <cell r="M16514">
            <v>1</v>
          </cell>
          <cell r="R16514">
            <v>46013</v>
          </cell>
          <cell r="S16514">
            <v>229001</v>
          </cell>
        </row>
        <row r="16515">
          <cell r="K16515" t="str">
            <v>203003</v>
          </cell>
          <cell r="M16515">
            <v>1</v>
          </cell>
          <cell r="R16515">
            <v>46013</v>
          </cell>
          <cell r="S16515">
            <v>203003</v>
          </cell>
        </row>
        <row r="16516">
          <cell r="K16516" t="str">
            <v>201027</v>
          </cell>
          <cell r="M16516">
            <v>1</v>
          </cell>
          <cell r="R16516">
            <v>46013</v>
          </cell>
          <cell r="S16516">
            <v>201027</v>
          </cell>
        </row>
        <row r="16517">
          <cell r="K16517" t="str">
            <v>227002</v>
          </cell>
          <cell r="M16517">
            <v>1</v>
          </cell>
          <cell r="R16517">
            <v>46013</v>
          </cell>
          <cell r="S16517">
            <v>227002</v>
          </cell>
        </row>
        <row r="16518">
          <cell r="K16518" t="str">
            <v>227014</v>
          </cell>
          <cell r="M16518">
            <v>7</v>
          </cell>
          <cell r="R16518">
            <v>46013</v>
          </cell>
          <cell r="S16518">
            <v>227014</v>
          </cell>
        </row>
        <row r="16519">
          <cell r="K16519" t="str">
            <v>227012</v>
          </cell>
          <cell r="M16519">
            <v>8</v>
          </cell>
          <cell r="R16519">
            <v>46013</v>
          </cell>
          <cell r="S16519">
            <v>227012</v>
          </cell>
        </row>
        <row r="16520">
          <cell r="K16520" t="str">
            <v>228001</v>
          </cell>
          <cell r="M16520">
            <v>1</v>
          </cell>
          <cell r="R16520">
            <v>46013</v>
          </cell>
          <cell r="S16520">
            <v>228001</v>
          </cell>
        </row>
        <row r="16521">
          <cell r="K16521" t="str">
            <v>228001</v>
          </cell>
          <cell r="M16521">
            <v>1</v>
          </cell>
          <cell r="R16521">
            <v>46013</v>
          </cell>
          <cell r="S16521">
            <v>228001</v>
          </cell>
        </row>
        <row r="16522">
          <cell r="K16522" t="str">
            <v>203001</v>
          </cell>
          <cell r="M16522">
            <v>4</v>
          </cell>
          <cell r="R16522">
            <v>46013</v>
          </cell>
          <cell r="S16522">
            <v>203001</v>
          </cell>
        </row>
        <row r="16523">
          <cell r="K16523" t="str">
            <v>203001</v>
          </cell>
          <cell r="M16523">
            <v>4</v>
          </cell>
          <cell r="R16523">
            <v>46013</v>
          </cell>
          <cell r="S16523">
            <v>203001</v>
          </cell>
        </row>
        <row r="16524">
          <cell r="K16524" t="str">
            <v>212010</v>
          </cell>
          <cell r="M16524">
            <v>15</v>
          </cell>
          <cell r="R16524">
            <v>46013</v>
          </cell>
          <cell r="S16524">
            <v>212010</v>
          </cell>
        </row>
        <row r="16525">
          <cell r="K16525" t="str">
            <v>261004</v>
          </cell>
          <cell r="M16525">
            <v>40</v>
          </cell>
          <cell r="R16525">
            <v>46013</v>
          </cell>
          <cell r="S16525">
            <v>261004</v>
          </cell>
        </row>
        <row r="16526">
          <cell r="K16526" t="str">
            <v>228001</v>
          </cell>
          <cell r="M16526">
            <v>6</v>
          </cell>
          <cell r="R16526">
            <v>46013</v>
          </cell>
          <cell r="S16526">
            <v>228001</v>
          </cell>
        </row>
        <row r="16527">
          <cell r="K16527" t="str">
            <v>203003</v>
          </cell>
          <cell r="M16527">
            <v>2</v>
          </cell>
          <cell r="R16527">
            <v>46013</v>
          </cell>
          <cell r="S16527">
            <v>203003</v>
          </cell>
        </row>
        <row r="16528">
          <cell r="K16528" t="str">
            <v>217018</v>
          </cell>
          <cell r="M16528">
            <v>1</v>
          </cell>
          <cell r="R16528">
            <v>46013</v>
          </cell>
          <cell r="S16528">
            <v>217018</v>
          </cell>
        </row>
        <row r="16529">
          <cell r="K16529" t="str">
            <v>228001</v>
          </cell>
          <cell r="M16529">
            <v>1</v>
          </cell>
          <cell r="R16529">
            <v>46013</v>
          </cell>
          <cell r="S16529">
            <v>228001</v>
          </cell>
        </row>
        <row r="16530">
          <cell r="K16530" t="str">
            <v>201024</v>
          </cell>
          <cell r="M16530">
            <v>2</v>
          </cell>
          <cell r="R16530">
            <v>46013</v>
          </cell>
          <cell r="S16530">
            <v>201024</v>
          </cell>
        </row>
        <row r="16531">
          <cell r="K16531" t="str">
            <v>212035</v>
          </cell>
          <cell r="M16531">
            <v>3</v>
          </cell>
          <cell r="R16531">
            <v>46013</v>
          </cell>
          <cell r="S16531">
            <v>212035</v>
          </cell>
        </row>
        <row r="16532">
          <cell r="K16532" t="str">
            <v>234001</v>
          </cell>
          <cell r="M16532">
            <v>1</v>
          </cell>
          <cell r="R16532">
            <v>46013</v>
          </cell>
          <cell r="S16532">
            <v>234001</v>
          </cell>
        </row>
        <row r="16533">
          <cell r="K16533" t="str">
            <v>226026</v>
          </cell>
          <cell r="M16533">
            <v>30</v>
          </cell>
          <cell r="R16533">
            <v>46013</v>
          </cell>
          <cell r="S16533">
            <v>226026</v>
          </cell>
        </row>
        <row r="16534">
          <cell r="K16534" t="str">
            <v>226026</v>
          </cell>
          <cell r="M16534">
            <v>1</v>
          </cell>
          <cell r="R16534">
            <v>46013</v>
          </cell>
          <cell r="S16534">
            <v>226026</v>
          </cell>
        </row>
        <row r="16535">
          <cell r="K16535" t="str">
            <v>228001</v>
          </cell>
          <cell r="M16535">
            <v>3</v>
          </cell>
          <cell r="R16535">
            <v>46013</v>
          </cell>
          <cell r="S16535">
            <v>228001</v>
          </cell>
        </row>
        <row r="16536">
          <cell r="K16536" t="str">
            <v>212035</v>
          </cell>
          <cell r="M16536">
            <v>2</v>
          </cell>
          <cell r="R16536">
            <v>46013</v>
          </cell>
          <cell r="S16536">
            <v>212035</v>
          </cell>
        </row>
        <row r="16537">
          <cell r="K16537" t="str">
            <v>228001</v>
          </cell>
          <cell r="M16537">
            <v>1</v>
          </cell>
          <cell r="R16537">
            <v>46013</v>
          </cell>
          <cell r="S16537">
            <v>228001</v>
          </cell>
        </row>
        <row r="16538">
          <cell r="K16538" t="str">
            <v>228001</v>
          </cell>
          <cell r="M16538">
            <v>2</v>
          </cell>
          <cell r="R16538">
            <v>46013</v>
          </cell>
          <cell r="S16538">
            <v>228001</v>
          </cell>
        </row>
        <row r="16539">
          <cell r="K16539" t="str">
            <v>228001</v>
          </cell>
          <cell r="M16539">
            <v>2</v>
          </cell>
          <cell r="R16539">
            <v>46013</v>
          </cell>
          <cell r="S16539">
            <v>228001</v>
          </cell>
        </row>
        <row r="16540">
          <cell r="K16540" t="str">
            <v>228001</v>
          </cell>
          <cell r="M16540">
            <v>1</v>
          </cell>
          <cell r="R16540">
            <v>46013</v>
          </cell>
          <cell r="S16540">
            <v>228001</v>
          </cell>
        </row>
        <row r="16541">
          <cell r="K16541" t="str">
            <v>212002</v>
          </cell>
          <cell r="M16541">
            <v>1</v>
          </cell>
          <cell r="R16541">
            <v>46013</v>
          </cell>
          <cell r="S16541">
            <v>212002</v>
          </cell>
        </row>
        <row r="16542">
          <cell r="K16542" t="str">
            <v>201024</v>
          </cell>
          <cell r="M16542">
            <v>1</v>
          </cell>
          <cell r="R16542">
            <v>46013</v>
          </cell>
          <cell r="S16542">
            <v>201024</v>
          </cell>
        </row>
        <row r="16543">
          <cell r="K16543" t="str">
            <v>228001</v>
          </cell>
          <cell r="M16543">
            <v>3</v>
          </cell>
          <cell r="R16543">
            <v>46013</v>
          </cell>
          <cell r="S16543">
            <v>228001</v>
          </cell>
        </row>
        <row r="16544">
          <cell r="K16544" t="str">
            <v>228001</v>
          </cell>
          <cell r="M16544">
            <v>3</v>
          </cell>
          <cell r="R16544">
            <v>46013</v>
          </cell>
          <cell r="S16544">
            <v>228001</v>
          </cell>
        </row>
        <row r="16545">
          <cell r="K16545" t="str">
            <v>201001</v>
          </cell>
          <cell r="M16545">
            <v>1</v>
          </cell>
          <cell r="R16545">
            <v>46013</v>
          </cell>
          <cell r="S16545">
            <v>201001</v>
          </cell>
        </row>
        <row r="16546">
          <cell r="K16546" t="str">
            <v>213022</v>
          </cell>
          <cell r="M16546">
            <v>1</v>
          </cell>
          <cell r="R16546">
            <v>46013</v>
          </cell>
          <cell r="S16546">
            <v>213022</v>
          </cell>
        </row>
        <row r="16547">
          <cell r="K16547" t="str">
            <v>228001</v>
          </cell>
          <cell r="M16547">
            <v>10</v>
          </cell>
          <cell r="R16547">
            <v>46013</v>
          </cell>
          <cell r="S16547">
            <v>228001</v>
          </cell>
        </row>
        <row r="16548">
          <cell r="K16548" t="str">
            <v>213002</v>
          </cell>
          <cell r="M16548">
            <v>15</v>
          </cell>
          <cell r="R16548">
            <v>46013</v>
          </cell>
          <cell r="S16548">
            <v>213002</v>
          </cell>
        </row>
        <row r="16549">
          <cell r="K16549" t="str">
            <v>223002</v>
          </cell>
          <cell r="M16549">
            <v>4</v>
          </cell>
          <cell r="R16549">
            <v>46013</v>
          </cell>
          <cell r="S16549">
            <v>223002</v>
          </cell>
        </row>
        <row r="16550">
          <cell r="K16550" t="str">
            <v>203001</v>
          </cell>
          <cell r="M16550">
            <v>2</v>
          </cell>
          <cell r="R16550">
            <v>46013</v>
          </cell>
          <cell r="S16550">
            <v>203001</v>
          </cell>
        </row>
        <row r="16551">
          <cell r="K16551" t="str">
            <v>209017</v>
          </cell>
          <cell r="M16551">
            <v>3</v>
          </cell>
          <cell r="R16551">
            <v>46013</v>
          </cell>
          <cell r="S16551">
            <v>209017</v>
          </cell>
        </row>
        <row r="16552">
          <cell r="K16552" t="str">
            <v>231012</v>
          </cell>
          <cell r="M16552">
            <v>5</v>
          </cell>
          <cell r="R16552">
            <v>46013</v>
          </cell>
          <cell r="S16552">
            <v>231012</v>
          </cell>
        </row>
        <row r="16553">
          <cell r="K16553" t="str">
            <v>231010</v>
          </cell>
          <cell r="M16553">
            <v>5</v>
          </cell>
          <cell r="R16553">
            <v>46013</v>
          </cell>
          <cell r="S16553">
            <v>231010</v>
          </cell>
        </row>
        <row r="16554">
          <cell r="K16554" t="str">
            <v>213022</v>
          </cell>
          <cell r="M16554">
            <v>2</v>
          </cell>
          <cell r="R16554">
            <v>46013</v>
          </cell>
          <cell r="S16554">
            <v>213022</v>
          </cell>
        </row>
        <row r="16555">
          <cell r="K16555" t="str">
            <v>217011</v>
          </cell>
          <cell r="M16555">
            <v>1</v>
          </cell>
          <cell r="R16555">
            <v>46013</v>
          </cell>
          <cell r="S16555">
            <v>217011</v>
          </cell>
        </row>
        <row r="16556">
          <cell r="K16556" t="str">
            <v>213022</v>
          </cell>
          <cell r="M16556">
            <v>1</v>
          </cell>
          <cell r="R16556">
            <v>46013</v>
          </cell>
          <cell r="S16556">
            <v>213022</v>
          </cell>
        </row>
        <row r="16557">
          <cell r="K16557" t="str">
            <v>228001</v>
          </cell>
          <cell r="M16557">
            <v>1</v>
          </cell>
          <cell r="R16557">
            <v>46013</v>
          </cell>
          <cell r="S16557">
            <v>228001</v>
          </cell>
        </row>
        <row r="16558">
          <cell r="K16558" t="str">
            <v>201024</v>
          </cell>
          <cell r="M16558">
            <v>1</v>
          </cell>
          <cell r="R16558">
            <v>46013</v>
          </cell>
          <cell r="S16558">
            <v>201024</v>
          </cell>
        </row>
        <row r="16559">
          <cell r="K16559" t="str">
            <v>231012</v>
          </cell>
          <cell r="M16559">
            <v>1</v>
          </cell>
          <cell r="R16559">
            <v>46013</v>
          </cell>
          <cell r="S16559">
            <v>231012</v>
          </cell>
        </row>
        <row r="16560">
          <cell r="K16560" t="str">
            <v>212002</v>
          </cell>
          <cell r="M16560">
            <v>1</v>
          </cell>
          <cell r="R16560">
            <v>46013</v>
          </cell>
          <cell r="S16560">
            <v>212002</v>
          </cell>
        </row>
        <row r="16561">
          <cell r="K16561" t="str">
            <v>213002</v>
          </cell>
          <cell r="M16561">
            <v>1</v>
          </cell>
          <cell r="R16561">
            <v>46013</v>
          </cell>
          <cell r="S16561">
            <v>213002</v>
          </cell>
        </row>
        <row r="16562">
          <cell r="K16562" t="str">
            <v>228001</v>
          </cell>
          <cell r="M16562">
            <v>2</v>
          </cell>
          <cell r="R16562">
            <v>46013</v>
          </cell>
          <cell r="S16562">
            <v>228001</v>
          </cell>
        </row>
        <row r="16563">
          <cell r="K16563" t="str">
            <v>201022</v>
          </cell>
          <cell r="M16563">
            <v>1</v>
          </cell>
          <cell r="R16563">
            <v>46013</v>
          </cell>
          <cell r="S16563">
            <v>201022</v>
          </cell>
        </row>
        <row r="16564">
          <cell r="K16564" t="str">
            <v>201001</v>
          </cell>
          <cell r="M16564">
            <v>1</v>
          </cell>
          <cell r="R16564">
            <v>46013</v>
          </cell>
          <cell r="S16564">
            <v>201001</v>
          </cell>
        </row>
        <row r="16565">
          <cell r="K16565" t="str">
            <v>223001</v>
          </cell>
          <cell r="M16565">
            <v>4</v>
          </cell>
          <cell r="R16565">
            <v>46013</v>
          </cell>
          <cell r="S16565">
            <v>223001</v>
          </cell>
        </row>
        <row r="16566">
          <cell r="K16566" t="str">
            <v>229004</v>
          </cell>
          <cell r="M16566">
            <v>1</v>
          </cell>
          <cell r="R16566">
            <v>46013</v>
          </cell>
          <cell r="S16566">
            <v>229004</v>
          </cell>
        </row>
        <row r="16567">
          <cell r="K16567" t="str">
            <v>203004</v>
          </cell>
          <cell r="M16567">
            <v>1</v>
          </cell>
          <cell r="R16567">
            <v>46013</v>
          </cell>
          <cell r="S16567">
            <v>203004</v>
          </cell>
        </row>
        <row r="16568">
          <cell r="K16568" t="str">
            <v>206005</v>
          </cell>
          <cell r="M16568">
            <v>1</v>
          </cell>
          <cell r="R16568">
            <v>46013</v>
          </cell>
          <cell r="S16568">
            <v>206005</v>
          </cell>
        </row>
        <row r="16569">
          <cell r="K16569" t="str">
            <v>206002</v>
          </cell>
          <cell r="M16569">
            <v>1</v>
          </cell>
          <cell r="R16569">
            <v>46013</v>
          </cell>
          <cell r="S16569">
            <v>206002</v>
          </cell>
        </row>
        <row r="16570">
          <cell r="K16570" t="str">
            <v>228001</v>
          </cell>
          <cell r="M16570">
            <v>1</v>
          </cell>
          <cell r="R16570">
            <v>46013</v>
          </cell>
          <cell r="S16570">
            <v>228001</v>
          </cell>
        </row>
        <row r="16571">
          <cell r="K16571" t="str">
            <v>201001</v>
          </cell>
          <cell r="M16571">
            <v>1</v>
          </cell>
          <cell r="R16571">
            <v>46014</v>
          </cell>
          <cell r="S16571">
            <v>201001</v>
          </cell>
        </row>
        <row r="16572">
          <cell r="K16572" t="str">
            <v>223001</v>
          </cell>
          <cell r="M16572">
            <v>3</v>
          </cell>
          <cell r="R16572">
            <v>46014</v>
          </cell>
          <cell r="S16572">
            <v>223001</v>
          </cell>
        </row>
        <row r="16573">
          <cell r="K16573" t="str">
            <v>241001</v>
          </cell>
          <cell r="M16573">
            <v>1</v>
          </cell>
          <cell r="R16573">
            <v>46014</v>
          </cell>
          <cell r="S16573">
            <v>241001</v>
          </cell>
        </row>
        <row r="16574">
          <cell r="K16574" t="str">
            <v>223002</v>
          </cell>
          <cell r="M16574">
            <v>2</v>
          </cell>
          <cell r="R16574">
            <v>46014</v>
          </cell>
          <cell r="S16574">
            <v>223002</v>
          </cell>
        </row>
        <row r="16575">
          <cell r="K16575" t="str">
            <v>220002</v>
          </cell>
          <cell r="M16575">
            <v>1</v>
          </cell>
          <cell r="R16575">
            <v>46014</v>
          </cell>
          <cell r="S16575">
            <v>220002</v>
          </cell>
        </row>
        <row r="16576">
          <cell r="K16576" t="str">
            <v>229003</v>
          </cell>
          <cell r="M16576">
            <v>1</v>
          </cell>
          <cell r="R16576">
            <v>46014</v>
          </cell>
          <cell r="S16576">
            <v>229003</v>
          </cell>
        </row>
        <row r="16577">
          <cell r="K16577" t="str">
            <v>224001</v>
          </cell>
          <cell r="M16577">
            <v>1</v>
          </cell>
          <cell r="R16577">
            <v>46014</v>
          </cell>
          <cell r="S16577">
            <v>224001</v>
          </cell>
        </row>
        <row r="16578">
          <cell r="K16578" t="str">
            <v>227012</v>
          </cell>
          <cell r="M16578">
            <v>2</v>
          </cell>
          <cell r="R16578">
            <v>46013</v>
          </cell>
          <cell r="S16578">
            <v>227012</v>
          </cell>
        </row>
        <row r="16579">
          <cell r="K16579" t="str">
            <v>201001</v>
          </cell>
          <cell r="M16579">
            <v>4</v>
          </cell>
          <cell r="R16579">
            <v>46014</v>
          </cell>
          <cell r="S16579">
            <v>201001</v>
          </cell>
        </row>
        <row r="16580">
          <cell r="K16580" t="str">
            <v>213022</v>
          </cell>
          <cell r="M16580">
            <v>2</v>
          </cell>
          <cell r="R16580">
            <v>46014</v>
          </cell>
          <cell r="S16580">
            <v>213022</v>
          </cell>
        </row>
        <row r="16581">
          <cell r="K16581" t="str">
            <v>229001</v>
          </cell>
          <cell r="M16581">
            <v>10</v>
          </cell>
          <cell r="R16581">
            <v>46013</v>
          </cell>
          <cell r="S16581">
            <v>229001</v>
          </cell>
        </row>
        <row r="16582">
          <cell r="K16582" t="str">
            <v>229004</v>
          </cell>
          <cell r="M16582">
            <v>1</v>
          </cell>
          <cell r="R16582">
            <v>46013</v>
          </cell>
          <cell r="S16582">
            <v>229004</v>
          </cell>
        </row>
        <row r="16583">
          <cell r="K16583" t="str">
            <v>201001</v>
          </cell>
          <cell r="M16583">
            <v>2</v>
          </cell>
          <cell r="R16583">
            <v>46013</v>
          </cell>
          <cell r="S16583">
            <v>201001</v>
          </cell>
        </row>
        <row r="16584">
          <cell r="K16584" t="str">
            <v>227012</v>
          </cell>
          <cell r="M16584">
            <v>4</v>
          </cell>
          <cell r="R16584">
            <v>46013</v>
          </cell>
          <cell r="S16584">
            <v>227012</v>
          </cell>
        </row>
        <row r="16585">
          <cell r="K16585" t="str">
            <v>231012</v>
          </cell>
          <cell r="M16585">
            <v>1</v>
          </cell>
          <cell r="R16585">
            <v>46013</v>
          </cell>
          <cell r="S16585">
            <v>231012</v>
          </cell>
        </row>
        <row r="16586">
          <cell r="K16586" t="str">
            <v>213002</v>
          </cell>
          <cell r="M16586">
            <v>4</v>
          </cell>
          <cell r="R16586">
            <v>46013</v>
          </cell>
          <cell r="S16586">
            <v>213002</v>
          </cell>
        </row>
        <row r="16587">
          <cell r="K16587" t="str">
            <v>207017</v>
          </cell>
          <cell r="M16587">
            <v>1</v>
          </cell>
          <cell r="R16587">
            <v>46013</v>
          </cell>
          <cell r="S16587">
            <v>207017</v>
          </cell>
        </row>
        <row r="16588">
          <cell r="K16588" t="str">
            <v>227012</v>
          </cell>
          <cell r="M16588">
            <v>2</v>
          </cell>
          <cell r="R16588">
            <v>46013</v>
          </cell>
          <cell r="S16588">
            <v>227012</v>
          </cell>
        </row>
        <row r="16589">
          <cell r="K16589" t="str">
            <v>209004</v>
          </cell>
          <cell r="M16589">
            <v>4</v>
          </cell>
          <cell r="R16589">
            <v>46014</v>
          </cell>
          <cell r="S16589">
            <v>209004</v>
          </cell>
        </row>
        <row r="16590">
          <cell r="K16590" t="str">
            <v>213022</v>
          </cell>
          <cell r="M16590">
            <v>5</v>
          </cell>
          <cell r="R16590">
            <v>46013</v>
          </cell>
          <cell r="S16590">
            <v>213022</v>
          </cell>
        </row>
        <row r="16591">
          <cell r="K16591" t="str">
            <v>217011</v>
          </cell>
          <cell r="M16591">
            <v>1</v>
          </cell>
          <cell r="R16591">
            <v>46014</v>
          </cell>
          <cell r="S16591">
            <v>217011</v>
          </cell>
        </row>
        <row r="16592">
          <cell r="K16592" t="str">
            <v>213022</v>
          </cell>
          <cell r="M16592">
            <v>2</v>
          </cell>
          <cell r="R16592">
            <v>46014</v>
          </cell>
          <cell r="S16592">
            <v>213022</v>
          </cell>
        </row>
        <row r="16593">
          <cell r="K16593" t="str">
            <v>226001</v>
          </cell>
          <cell r="M16593">
            <v>2</v>
          </cell>
          <cell r="R16593">
            <v>46014</v>
          </cell>
          <cell r="S16593">
            <v>226001</v>
          </cell>
        </row>
        <row r="16594">
          <cell r="K16594" t="str">
            <v>208001</v>
          </cell>
          <cell r="M16594">
            <v>1</v>
          </cell>
          <cell r="R16594">
            <v>46014</v>
          </cell>
          <cell r="S16594">
            <v>208001</v>
          </cell>
        </row>
        <row r="16595">
          <cell r="K16595" t="str">
            <v>226001</v>
          </cell>
          <cell r="M16595">
            <v>1</v>
          </cell>
          <cell r="R16595">
            <v>46014</v>
          </cell>
          <cell r="S16595">
            <v>226001</v>
          </cell>
        </row>
        <row r="16596">
          <cell r="K16596" t="str">
            <v>227001</v>
          </cell>
          <cell r="M16596">
            <v>1</v>
          </cell>
          <cell r="R16596">
            <v>46014</v>
          </cell>
          <cell r="S16596">
            <v>227001</v>
          </cell>
        </row>
        <row r="16597">
          <cell r="K16597" t="str">
            <v>223003</v>
          </cell>
          <cell r="M16597">
            <v>1</v>
          </cell>
          <cell r="R16597">
            <v>46014</v>
          </cell>
          <cell r="S16597">
            <v>223003</v>
          </cell>
        </row>
        <row r="16598">
          <cell r="K16598" t="str">
            <v>228001</v>
          </cell>
          <cell r="M16598">
            <v>2</v>
          </cell>
          <cell r="R16598">
            <v>46014</v>
          </cell>
          <cell r="S16598">
            <v>228001</v>
          </cell>
        </row>
        <row r="16599">
          <cell r="K16599" t="str">
            <v>213022</v>
          </cell>
          <cell r="M16599">
            <v>2</v>
          </cell>
          <cell r="R16599">
            <v>46014</v>
          </cell>
          <cell r="S16599">
            <v>213022</v>
          </cell>
        </row>
        <row r="16600">
          <cell r="K16600" t="str">
            <v>220002</v>
          </cell>
          <cell r="M16600">
            <v>2</v>
          </cell>
          <cell r="R16600">
            <v>46014</v>
          </cell>
          <cell r="S16600">
            <v>220002</v>
          </cell>
        </row>
        <row r="16601">
          <cell r="K16601" t="str">
            <v>223002</v>
          </cell>
          <cell r="M16601">
            <v>1</v>
          </cell>
          <cell r="R16601">
            <v>46014</v>
          </cell>
          <cell r="S16601">
            <v>223002</v>
          </cell>
        </row>
        <row r="16602">
          <cell r="K16602" t="str">
            <v>223001</v>
          </cell>
          <cell r="M16602">
            <v>8</v>
          </cell>
          <cell r="R16602">
            <v>46014</v>
          </cell>
          <cell r="S16602">
            <v>223001</v>
          </cell>
        </row>
        <row r="16603">
          <cell r="K16603" t="str">
            <v>227012</v>
          </cell>
          <cell r="M16603">
            <v>2</v>
          </cell>
          <cell r="R16603">
            <v>46014</v>
          </cell>
          <cell r="S16603">
            <v>227012</v>
          </cell>
        </row>
        <row r="16604">
          <cell r="K16604" t="str">
            <v>210014</v>
          </cell>
          <cell r="M16604">
            <v>2</v>
          </cell>
          <cell r="R16604">
            <v>46014</v>
          </cell>
          <cell r="S16604">
            <v>210014</v>
          </cell>
        </row>
        <row r="16605">
          <cell r="K16605" t="str">
            <v>228001</v>
          </cell>
          <cell r="M16605">
            <v>2</v>
          </cell>
          <cell r="R16605">
            <v>46014</v>
          </cell>
          <cell r="S16605">
            <v>228001</v>
          </cell>
        </row>
        <row r="16606">
          <cell r="K16606" t="str">
            <v>212002</v>
          </cell>
          <cell r="M16606">
            <v>1</v>
          </cell>
          <cell r="R16606">
            <v>46014</v>
          </cell>
          <cell r="S16606">
            <v>212002</v>
          </cell>
        </row>
        <row r="16607">
          <cell r="K16607" t="str">
            <v>226001</v>
          </cell>
          <cell r="M16607">
            <v>3</v>
          </cell>
          <cell r="R16607">
            <v>46014</v>
          </cell>
          <cell r="S16607">
            <v>226001</v>
          </cell>
        </row>
        <row r="16608">
          <cell r="K16608" t="str">
            <v>231012</v>
          </cell>
          <cell r="M16608">
            <v>1</v>
          </cell>
          <cell r="R16608">
            <v>46014</v>
          </cell>
          <cell r="S16608">
            <v>231012</v>
          </cell>
        </row>
        <row r="16609">
          <cell r="K16609" t="str">
            <v>203003</v>
          </cell>
          <cell r="M16609">
            <v>1</v>
          </cell>
          <cell r="R16609">
            <v>46014</v>
          </cell>
          <cell r="S16609">
            <v>203003</v>
          </cell>
        </row>
        <row r="16610">
          <cell r="K16610" t="str">
            <v>226001</v>
          </cell>
          <cell r="M16610">
            <v>1</v>
          </cell>
          <cell r="R16610">
            <v>46014</v>
          </cell>
          <cell r="S16610">
            <v>226001</v>
          </cell>
        </row>
        <row r="16611">
          <cell r="K16611" t="str">
            <v>231010</v>
          </cell>
          <cell r="M16611">
            <v>1</v>
          </cell>
          <cell r="R16611">
            <v>46014</v>
          </cell>
          <cell r="S16611">
            <v>231010</v>
          </cell>
        </row>
        <row r="16612">
          <cell r="K16612" t="str">
            <v>226001</v>
          </cell>
          <cell r="M16612">
            <v>1</v>
          </cell>
          <cell r="R16612">
            <v>46014</v>
          </cell>
          <cell r="S16612">
            <v>226001</v>
          </cell>
        </row>
        <row r="16613">
          <cell r="K16613" t="str">
            <v>212002</v>
          </cell>
          <cell r="M16613">
            <v>1</v>
          </cell>
          <cell r="R16613">
            <v>46014</v>
          </cell>
          <cell r="S16613">
            <v>212002</v>
          </cell>
        </row>
        <row r="16614">
          <cell r="K16614" t="str">
            <v>209004</v>
          </cell>
          <cell r="M16614">
            <v>1</v>
          </cell>
          <cell r="R16614">
            <v>46014</v>
          </cell>
          <cell r="S16614">
            <v>209004</v>
          </cell>
        </row>
        <row r="16615">
          <cell r="K16615" t="str">
            <v>203003</v>
          </cell>
          <cell r="M16615">
            <v>3</v>
          </cell>
          <cell r="R16615">
            <v>46014</v>
          </cell>
          <cell r="S16615">
            <v>203003</v>
          </cell>
        </row>
        <row r="16616">
          <cell r="K16616" t="str">
            <v>231012</v>
          </cell>
          <cell r="M16616">
            <v>2</v>
          </cell>
          <cell r="R16616">
            <v>46014</v>
          </cell>
          <cell r="S16616">
            <v>231012</v>
          </cell>
        </row>
        <row r="16617">
          <cell r="K16617" t="str">
            <v>207017</v>
          </cell>
          <cell r="M16617">
            <v>3</v>
          </cell>
          <cell r="R16617">
            <v>46014</v>
          </cell>
          <cell r="S16617">
            <v>207017</v>
          </cell>
        </row>
        <row r="16618">
          <cell r="K16618" t="str">
            <v>228001</v>
          </cell>
          <cell r="M16618">
            <v>1</v>
          </cell>
          <cell r="R16618">
            <v>46014</v>
          </cell>
          <cell r="S16618">
            <v>228001</v>
          </cell>
        </row>
        <row r="16619">
          <cell r="K16619" t="str">
            <v>203003</v>
          </cell>
          <cell r="M16619">
            <v>1</v>
          </cell>
          <cell r="R16619">
            <v>46014</v>
          </cell>
          <cell r="S16619">
            <v>203003</v>
          </cell>
        </row>
        <row r="16620">
          <cell r="K16620" t="str">
            <v>217018</v>
          </cell>
          <cell r="M16620">
            <v>8</v>
          </cell>
          <cell r="R16620">
            <v>46014</v>
          </cell>
          <cell r="S16620">
            <v>217018</v>
          </cell>
        </row>
        <row r="16621">
          <cell r="K16621" t="str">
            <v>223002</v>
          </cell>
          <cell r="M16621">
            <v>1</v>
          </cell>
          <cell r="R16621">
            <v>46014</v>
          </cell>
          <cell r="S16621">
            <v>223002</v>
          </cell>
        </row>
        <row r="16622">
          <cell r="K16622" t="str">
            <v>203003</v>
          </cell>
          <cell r="M16622">
            <v>1</v>
          </cell>
          <cell r="R16622">
            <v>46014</v>
          </cell>
          <cell r="S16622">
            <v>203003</v>
          </cell>
        </row>
        <row r="16623">
          <cell r="K16623" t="str">
            <v>210013</v>
          </cell>
          <cell r="M16623">
            <v>1</v>
          </cell>
          <cell r="R16623">
            <v>46014</v>
          </cell>
          <cell r="S16623">
            <v>210013</v>
          </cell>
        </row>
        <row r="16624">
          <cell r="K16624" t="str">
            <v>201001</v>
          </cell>
          <cell r="M16624">
            <v>5</v>
          </cell>
          <cell r="R16624">
            <v>46014</v>
          </cell>
          <cell r="S16624">
            <v>201001</v>
          </cell>
        </row>
        <row r="16625">
          <cell r="K16625" t="str">
            <v>212035</v>
          </cell>
          <cell r="M16625">
            <v>1</v>
          </cell>
          <cell r="R16625">
            <v>46014</v>
          </cell>
          <cell r="S16625">
            <v>212035</v>
          </cell>
        </row>
        <row r="16626">
          <cell r="K16626" t="str">
            <v>213022</v>
          </cell>
          <cell r="M16626">
            <v>3</v>
          </cell>
          <cell r="R16626">
            <v>46014</v>
          </cell>
          <cell r="S16626">
            <v>213022</v>
          </cell>
        </row>
        <row r="16627">
          <cell r="K16627" t="str">
            <v>227001</v>
          </cell>
          <cell r="M16627">
            <v>2</v>
          </cell>
          <cell r="R16627">
            <v>46014</v>
          </cell>
          <cell r="S16627">
            <v>227001</v>
          </cell>
        </row>
        <row r="16628">
          <cell r="K16628" t="str">
            <v>231012</v>
          </cell>
          <cell r="M16628">
            <v>1</v>
          </cell>
          <cell r="R16628">
            <v>46014</v>
          </cell>
          <cell r="S16628">
            <v>231012</v>
          </cell>
        </row>
        <row r="16629">
          <cell r="K16629" t="str">
            <v>223002</v>
          </cell>
          <cell r="M16629">
            <v>1</v>
          </cell>
          <cell r="R16629">
            <v>46014</v>
          </cell>
          <cell r="S16629">
            <v>223002</v>
          </cell>
        </row>
        <row r="16630">
          <cell r="K16630" t="str">
            <v>201001</v>
          </cell>
          <cell r="M16630">
            <v>1</v>
          </cell>
          <cell r="R16630">
            <v>46014</v>
          </cell>
          <cell r="S16630">
            <v>201001</v>
          </cell>
        </row>
        <row r="16631">
          <cell r="K16631" t="str">
            <v>231012</v>
          </cell>
          <cell r="M16631">
            <v>1</v>
          </cell>
          <cell r="R16631">
            <v>46014</v>
          </cell>
          <cell r="S16631">
            <v>231012</v>
          </cell>
        </row>
        <row r="16632">
          <cell r="K16632" t="str">
            <v>213002</v>
          </cell>
          <cell r="M16632">
            <v>6</v>
          </cell>
          <cell r="R16632">
            <v>46010</v>
          </cell>
          <cell r="S16632">
            <v>213002</v>
          </cell>
        </row>
        <row r="16633">
          <cell r="K16633" t="str">
            <v>223002</v>
          </cell>
          <cell r="M16633">
            <v>2</v>
          </cell>
          <cell r="R16633">
            <v>46010</v>
          </cell>
          <cell r="S16633">
            <v>223002</v>
          </cell>
        </row>
        <row r="16634">
          <cell r="K16634" t="str">
            <v>223001</v>
          </cell>
          <cell r="M16634">
            <v>8</v>
          </cell>
          <cell r="R16634">
            <v>46014</v>
          </cell>
          <cell r="S16634">
            <v>223001</v>
          </cell>
        </row>
        <row r="16635">
          <cell r="K16635" t="str">
            <v>223002</v>
          </cell>
          <cell r="M16635">
            <v>6</v>
          </cell>
          <cell r="R16635">
            <v>46014</v>
          </cell>
          <cell r="S16635">
            <v>223002</v>
          </cell>
        </row>
        <row r="16636">
          <cell r="K16636" t="str">
            <v>213022</v>
          </cell>
          <cell r="M16636">
            <v>2</v>
          </cell>
          <cell r="R16636">
            <v>46014</v>
          </cell>
          <cell r="S16636">
            <v>213022</v>
          </cell>
        </row>
        <row r="16637">
          <cell r="K16637" t="str">
            <v>227012</v>
          </cell>
          <cell r="M16637">
            <v>2</v>
          </cell>
          <cell r="R16637">
            <v>46014</v>
          </cell>
          <cell r="S16637">
            <v>227012</v>
          </cell>
        </row>
        <row r="16638">
          <cell r="K16638" t="str">
            <v>217018</v>
          </cell>
          <cell r="M16638">
            <v>2</v>
          </cell>
          <cell r="R16638">
            <v>46014</v>
          </cell>
          <cell r="S16638">
            <v>217018</v>
          </cell>
        </row>
        <row r="16639">
          <cell r="K16639" t="str">
            <v>217022</v>
          </cell>
          <cell r="M16639">
            <v>6</v>
          </cell>
          <cell r="R16639">
            <v>46014</v>
          </cell>
          <cell r="S16639">
            <v>217022</v>
          </cell>
        </row>
        <row r="16640">
          <cell r="K16640" t="str">
            <v>217011</v>
          </cell>
          <cell r="M16640">
            <v>1</v>
          </cell>
          <cell r="R16640">
            <v>46015</v>
          </cell>
          <cell r="S16640">
            <v>217011</v>
          </cell>
        </row>
        <row r="16641">
          <cell r="K16641" t="str">
            <v>210013</v>
          </cell>
          <cell r="M16641">
            <v>2</v>
          </cell>
          <cell r="R16641">
            <v>46015</v>
          </cell>
          <cell r="S16641">
            <v>210013</v>
          </cell>
        </row>
        <row r="16642">
          <cell r="K16642" t="str">
            <v>217011</v>
          </cell>
          <cell r="M16642">
            <v>1</v>
          </cell>
          <cell r="R16642">
            <v>46015</v>
          </cell>
          <cell r="S16642">
            <v>217011</v>
          </cell>
        </row>
        <row r="16643">
          <cell r="K16643" t="str">
            <v>213022</v>
          </cell>
          <cell r="M16643">
            <v>1</v>
          </cell>
          <cell r="R16643">
            <v>46014</v>
          </cell>
          <cell r="S16643">
            <v>213022</v>
          </cell>
        </row>
        <row r="16644">
          <cell r="K16644" t="str">
            <v>228001</v>
          </cell>
          <cell r="M16644">
            <v>15</v>
          </cell>
          <cell r="R16644">
            <v>46015</v>
          </cell>
          <cell r="S16644">
            <v>228001</v>
          </cell>
        </row>
        <row r="16645">
          <cell r="K16645" t="str">
            <v>228001</v>
          </cell>
          <cell r="M16645">
            <v>5</v>
          </cell>
          <cell r="R16645">
            <v>46015</v>
          </cell>
          <cell r="S16645">
            <v>228001</v>
          </cell>
        </row>
        <row r="16646">
          <cell r="K16646" t="str">
            <v>223002</v>
          </cell>
          <cell r="M16646">
            <v>4</v>
          </cell>
          <cell r="R16646">
            <v>46015</v>
          </cell>
          <cell r="S16646">
            <v>223002</v>
          </cell>
        </row>
        <row r="16647">
          <cell r="K16647" t="str">
            <v>205004</v>
          </cell>
          <cell r="M16647">
            <v>2</v>
          </cell>
          <cell r="R16647">
            <v>46015</v>
          </cell>
          <cell r="S16647">
            <v>205004</v>
          </cell>
        </row>
        <row r="16648">
          <cell r="K16648" t="str">
            <v>207017</v>
          </cell>
          <cell r="M16648">
            <v>1</v>
          </cell>
          <cell r="R16648">
            <v>46015</v>
          </cell>
          <cell r="S16648">
            <v>207017</v>
          </cell>
        </row>
        <row r="16649">
          <cell r="K16649" t="str">
            <v>228001</v>
          </cell>
          <cell r="M16649">
            <v>3</v>
          </cell>
          <cell r="R16649">
            <v>46015</v>
          </cell>
          <cell r="S16649">
            <v>228001</v>
          </cell>
        </row>
        <row r="16650">
          <cell r="K16650" t="str">
            <v>220002</v>
          </cell>
          <cell r="M16650">
            <v>3</v>
          </cell>
          <cell r="R16650">
            <v>46015</v>
          </cell>
          <cell r="S16650">
            <v>220002</v>
          </cell>
        </row>
        <row r="16651">
          <cell r="K16651" t="str">
            <v>231012</v>
          </cell>
          <cell r="M16651">
            <v>1</v>
          </cell>
          <cell r="R16651">
            <v>46015</v>
          </cell>
          <cell r="S16651">
            <v>231012</v>
          </cell>
        </row>
        <row r="16652">
          <cell r="K16652" t="str">
            <v>207017</v>
          </cell>
          <cell r="M16652">
            <v>1</v>
          </cell>
          <cell r="R16652">
            <v>46015</v>
          </cell>
          <cell r="S16652">
            <v>207017</v>
          </cell>
        </row>
        <row r="16653">
          <cell r="K16653" t="str">
            <v>210015</v>
          </cell>
          <cell r="M16653">
            <v>1</v>
          </cell>
          <cell r="R16653">
            <v>46015</v>
          </cell>
          <cell r="S16653">
            <v>210015</v>
          </cell>
        </row>
        <row r="16654">
          <cell r="K16654" t="str">
            <v>217022</v>
          </cell>
          <cell r="M16654">
            <v>2</v>
          </cell>
          <cell r="R16654">
            <v>46015</v>
          </cell>
          <cell r="S16654">
            <v>217022</v>
          </cell>
        </row>
        <row r="16655">
          <cell r="K16655" t="str">
            <v>203003</v>
          </cell>
          <cell r="M16655">
            <v>1</v>
          </cell>
          <cell r="R16655">
            <v>46015</v>
          </cell>
          <cell r="S16655">
            <v>203003</v>
          </cell>
        </row>
        <row r="16656">
          <cell r="K16656" t="str">
            <v>220002</v>
          </cell>
          <cell r="M16656">
            <v>6</v>
          </cell>
          <cell r="R16656">
            <v>46015</v>
          </cell>
          <cell r="S16656">
            <v>220002</v>
          </cell>
        </row>
        <row r="16657">
          <cell r="K16657" t="str">
            <v>209001</v>
          </cell>
          <cell r="M16657">
            <v>3</v>
          </cell>
          <cell r="R16657">
            <v>46015</v>
          </cell>
          <cell r="S16657">
            <v>209001</v>
          </cell>
        </row>
        <row r="16658">
          <cell r="K16658" t="str">
            <v>223001</v>
          </cell>
          <cell r="M16658">
            <v>1</v>
          </cell>
          <cell r="R16658">
            <v>46015</v>
          </cell>
          <cell r="S16658">
            <v>223001</v>
          </cell>
        </row>
        <row r="16659">
          <cell r="K16659" t="str">
            <v>223002</v>
          </cell>
          <cell r="M16659">
            <v>1</v>
          </cell>
          <cell r="R16659">
            <v>46015</v>
          </cell>
          <cell r="S16659">
            <v>223002</v>
          </cell>
        </row>
        <row r="16660">
          <cell r="K16660" t="str">
            <v>201009</v>
          </cell>
          <cell r="M16660">
            <v>1</v>
          </cell>
          <cell r="R16660">
            <v>46015</v>
          </cell>
          <cell r="S16660">
            <v>201009</v>
          </cell>
        </row>
        <row r="16661">
          <cell r="K16661" t="str">
            <v>220002</v>
          </cell>
          <cell r="M16661">
            <v>1</v>
          </cell>
          <cell r="R16661">
            <v>46015</v>
          </cell>
          <cell r="S16661">
            <v>220002</v>
          </cell>
        </row>
        <row r="16662">
          <cell r="K16662" t="str">
            <v>217024</v>
          </cell>
          <cell r="M16662">
            <v>1</v>
          </cell>
          <cell r="R16662">
            <v>46015</v>
          </cell>
          <cell r="S16662">
            <v>217024</v>
          </cell>
        </row>
        <row r="16663">
          <cell r="K16663" t="str">
            <v>227001</v>
          </cell>
          <cell r="M16663">
            <v>2</v>
          </cell>
          <cell r="R16663">
            <v>46015</v>
          </cell>
          <cell r="S16663">
            <v>227001</v>
          </cell>
        </row>
        <row r="16664">
          <cell r="K16664" t="str">
            <v>217023</v>
          </cell>
          <cell r="M16664">
            <v>2</v>
          </cell>
          <cell r="R16664">
            <v>46015</v>
          </cell>
          <cell r="S16664">
            <v>217023</v>
          </cell>
        </row>
        <row r="16665">
          <cell r="K16665" t="str">
            <v>228001</v>
          </cell>
          <cell r="M16665">
            <v>1</v>
          </cell>
          <cell r="R16665">
            <v>46015</v>
          </cell>
          <cell r="S16665">
            <v>228001</v>
          </cell>
        </row>
        <row r="16666">
          <cell r="K16666" t="str">
            <v>228001</v>
          </cell>
          <cell r="M16666">
            <v>6</v>
          </cell>
          <cell r="R16666">
            <v>46015</v>
          </cell>
          <cell r="S16666">
            <v>228001</v>
          </cell>
        </row>
        <row r="16667">
          <cell r="K16667" t="str">
            <v>217022</v>
          </cell>
          <cell r="M16667">
            <v>10</v>
          </cell>
          <cell r="R16667">
            <v>46015</v>
          </cell>
          <cell r="S16667">
            <v>217022</v>
          </cell>
        </row>
        <row r="16668">
          <cell r="K16668" t="str">
            <v>226025</v>
          </cell>
          <cell r="M16668">
            <v>1</v>
          </cell>
          <cell r="R16668">
            <v>46016</v>
          </cell>
          <cell r="S16668">
            <v>226025</v>
          </cell>
        </row>
        <row r="16669">
          <cell r="K16669" t="str">
            <v>228001</v>
          </cell>
          <cell r="M16669">
            <v>3</v>
          </cell>
          <cell r="R16669">
            <v>46016</v>
          </cell>
          <cell r="S16669">
            <v>228001</v>
          </cell>
        </row>
        <row r="16670">
          <cell r="K16670" t="str">
            <v>209001</v>
          </cell>
          <cell r="M16670">
            <v>1</v>
          </cell>
          <cell r="R16670">
            <v>46016</v>
          </cell>
          <cell r="S16670">
            <v>209001</v>
          </cell>
        </row>
        <row r="16671">
          <cell r="K16671" t="str">
            <v>222001</v>
          </cell>
          <cell r="M16671">
            <v>4</v>
          </cell>
          <cell r="R16671">
            <v>46016</v>
          </cell>
          <cell r="S16671">
            <v>222001</v>
          </cell>
        </row>
        <row r="16672">
          <cell r="K16672" t="str">
            <v>241001</v>
          </cell>
          <cell r="M16672">
            <v>4</v>
          </cell>
          <cell r="R16672">
            <v>46016</v>
          </cell>
          <cell r="S16672">
            <v>241001</v>
          </cell>
        </row>
        <row r="16673">
          <cell r="K16673" t="str">
            <v>222007</v>
          </cell>
          <cell r="M16673">
            <v>1</v>
          </cell>
          <cell r="R16673">
            <v>46016</v>
          </cell>
          <cell r="S16673">
            <v>222007</v>
          </cell>
        </row>
        <row r="16674">
          <cell r="K16674" t="str">
            <v>226025</v>
          </cell>
          <cell r="M16674">
            <v>3</v>
          </cell>
          <cell r="R16674">
            <v>46016</v>
          </cell>
          <cell r="S16674">
            <v>226025</v>
          </cell>
        </row>
        <row r="16675">
          <cell r="K16675" t="str">
            <v>228001</v>
          </cell>
          <cell r="M16675">
            <v>3</v>
          </cell>
          <cell r="R16675">
            <v>46016</v>
          </cell>
          <cell r="S16675">
            <v>228001</v>
          </cell>
        </row>
        <row r="16676">
          <cell r="K16676" t="str">
            <v>231012</v>
          </cell>
          <cell r="M16676">
            <v>3</v>
          </cell>
          <cell r="R16676">
            <v>46017</v>
          </cell>
          <cell r="S16676">
            <v>231012</v>
          </cell>
        </row>
        <row r="16677">
          <cell r="K16677" t="str">
            <v>220002</v>
          </cell>
          <cell r="M16677">
            <v>2</v>
          </cell>
          <cell r="R16677">
            <v>46017</v>
          </cell>
          <cell r="S16677">
            <v>220002</v>
          </cell>
        </row>
        <row r="16678">
          <cell r="K16678" t="str">
            <v>217011</v>
          </cell>
          <cell r="M16678">
            <v>1</v>
          </cell>
          <cell r="R16678">
            <v>46017</v>
          </cell>
          <cell r="S16678">
            <v>217011</v>
          </cell>
        </row>
        <row r="16679">
          <cell r="K16679" t="str">
            <v>209004</v>
          </cell>
          <cell r="M16679">
            <v>2</v>
          </cell>
          <cell r="R16679">
            <v>46017</v>
          </cell>
          <cell r="S16679">
            <v>209004</v>
          </cell>
        </row>
        <row r="16680">
          <cell r="K16680" t="str">
            <v>217018</v>
          </cell>
          <cell r="M16680">
            <v>4</v>
          </cell>
          <cell r="R16680">
            <v>46017</v>
          </cell>
          <cell r="S16680">
            <v>217018</v>
          </cell>
        </row>
        <row r="16681">
          <cell r="K16681" t="str">
            <v>213022</v>
          </cell>
          <cell r="M16681">
            <v>10</v>
          </cell>
          <cell r="R16681">
            <v>46017</v>
          </cell>
          <cell r="S16681">
            <v>213022</v>
          </cell>
        </row>
        <row r="16682">
          <cell r="K16682" t="str">
            <v>213021</v>
          </cell>
          <cell r="M16682">
            <v>2</v>
          </cell>
          <cell r="R16682">
            <v>46017</v>
          </cell>
          <cell r="S16682">
            <v>213021</v>
          </cell>
        </row>
        <row r="16683">
          <cell r="K16683" t="str">
            <v>217024</v>
          </cell>
          <cell r="M16683">
            <v>1</v>
          </cell>
          <cell r="R16683">
            <v>46017</v>
          </cell>
          <cell r="S16683">
            <v>217024</v>
          </cell>
        </row>
        <row r="16684">
          <cell r="K16684" t="str">
            <v>227012</v>
          </cell>
          <cell r="M16684">
            <v>2</v>
          </cell>
          <cell r="R16684">
            <v>46017</v>
          </cell>
          <cell r="S16684">
            <v>227012</v>
          </cell>
        </row>
        <row r="16685">
          <cell r="K16685" t="str">
            <v>241001</v>
          </cell>
          <cell r="M16685">
            <v>4</v>
          </cell>
          <cell r="R16685">
            <v>46017</v>
          </cell>
          <cell r="S16685">
            <v>241001</v>
          </cell>
        </row>
        <row r="16686">
          <cell r="K16686" t="str">
            <v>212035</v>
          </cell>
          <cell r="M16686">
            <v>1</v>
          </cell>
          <cell r="R16686">
            <v>46017</v>
          </cell>
          <cell r="S16686">
            <v>212035</v>
          </cell>
        </row>
        <row r="16687">
          <cell r="K16687" t="str">
            <v>228001</v>
          </cell>
          <cell r="M16687">
            <v>1</v>
          </cell>
          <cell r="R16687">
            <v>46016</v>
          </cell>
          <cell r="S16687">
            <v>228001</v>
          </cell>
        </row>
        <row r="16688">
          <cell r="K16688" t="str">
            <v>213022</v>
          </cell>
          <cell r="M16688">
            <v>1</v>
          </cell>
          <cell r="R16688">
            <v>46016</v>
          </cell>
          <cell r="S16688">
            <v>213022</v>
          </cell>
        </row>
        <row r="16689">
          <cell r="K16689" t="str">
            <v>212035</v>
          </cell>
          <cell r="M16689">
            <v>10</v>
          </cell>
          <cell r="R16689">
            <v>46017</v>
          </cell>
          <cell r="S16689">
            <v>212035</v>
          </cell>
        </row>
        <row r="16690">
          <cell r="K16690" t="str">
            <v>228001</v>
          </cell>
          <cell r="M16690">
            <v>10</v>
          </cell>
          <cell r="R16690">
            <v>46015</v>
          </cell>
          <cell r="S16690">
            <v>228001</v>
          </cell>
        </row>
        <row r="16691">
          <cell r="K16691" t="str">
            <v>241001</v>
          </cell>
          <cell r="M16691">
            <v>2</v>
          </cell>
          <cell r="R16691">
            <v>46017</v>
          </cell>
          <cell r="S16691">
            <v>241001</v>
          </cell>
        </row>
        <row r="16692">
          <cell r="K16692" t="str">
            <v>201001</v>
          </cell>
          <cell r="M16692">
            <v>4</v>
          </cell>
          <cell r="R16692">
            <v>46017</v>
          </cell>
          <cell r="S16692">
            <v>201001</v>
          </cell>
        </row>
        <row r="16693">
          <cell r="K16693" t="str">
            <v>201001</v>
          </cell>
          <cell r="M16693">
            <v>1</v>
          </cell>
          <cell r="R16693">
            <v>46017</v>
          </cell>
          <cell r="S16693">
            <v>201001</v>
          </cell>
        </row>
        <row r="16694">
          <cell r="K16694" t="str">
            <v>231010</v>
          </cell>
          <cell r="M16694">
            <v>1</v>
          </cell>
          <cell r="R16694">
            <v>46017</v>
          </cell>
          <cell r="S16694">
            <v>231010</v>
          </cell>
        </row>
        <row r="16695">
          <cell r="K16695" t="str">
            <v>220002</v>
          </cell>
          <cell r="M16695">
            <v>1</v>
          </cell>
          <cell r="R16695">
            <v>46017</v>
          </cell>
          <cell r="S16695">
            <v>220002</v>
          </cell>
        </row>
        <row r="16696">
          <cell r="K16696" t="str">
            <v>228001</v>
          </cell>
          <cell r="M16696">
            <v>1</v>
          </cell>
          <cell r="R16696">
            <v>46017</v>
          </cell>
          <cell r="S16696">
            <v>228001</v>
          </cell>
        </row>
        <row r="16697">
          <cell r="K16697" t="str">
            <v>209001</v>
          </cell>
          <cell r="M16697">
            <v>2</v>
          </cell>
          <cell r="R16697">
            <v>46017</v>
          </cell>
          <cell r="S16697">
            <v>209001</v>
          </cell>
        </row>
        <row r="16698">
          <cell r="K16698" t="str">
            <v>209017</v>
          </cell>
          <cell r="M16698">
            <v>2</v>
          </cell>
          <cell r="R16698">
            <v>46017</v>
          </cell>
          <cell r="S16698">
            <v>209017</v>
          </cell>
        </row>
        <row r="16699">
          <cell r="K16699" t="str">
            <v>217021</v>
          </cell>
          <cell r="M16699">
            <v>1</v>
          </cell>
          <cell r="R16699">
            <v>46017</v>
          </cell>
          <cell r="S16699">
            <v>217021</v>
          </cell>
        </row>
        <row r="16700">
          <cell r="K16700" t="str">
            <v>206002</v>
          </cell>
          <cell r="M16700">
            <v>1</v>
          </cell>
          <cell r="R16700">
            <v>46017</v>
          </cell>
          <cell r="S16700">
            <v>206002</v>
          </cell>
        </row>
        <row r="16701">
          <cell r="K16701" t="str">
            <v>208001</v>
          </cell>
          <cell r="M16701">
            <v>1</v>
          </cell>
          <cell r="R16701">
            <v>46017</v>
          </cell>
          <cell r="S16701">
            <v>208001</v>
          </cell>
        </row>
        <row r="16702">
          <cell r="K16702" t="str">
            <v>227001</v>
          </cell>
          <cell r="M16702">
            <v>1</v>
          </cell>
          <cell r="R16702">
            <v>46017</v>
          </cell>
          <cell r="S16702">
            <v>227001</v>
          </cell>
        </row>
        <row r="16703">
          <cell r="K16703" t="str">
            <v>228001</v>
          </cell>
          <cell r="M16703">
            <v>2</v>
          </cell>
          <cell r="R16703">
            <v>46017</v>
          </cell>
          <cell r="S16703">
            <v>228001</v>
          </cell>
        </row>
        <row r="16704">
          <cell r="K16704" t="str">
            <v>209012</v>
          </cell>
          <cell r="M16704">
            <v>1</v>
          </cell>
          <cell r="R16704">
            <v>46017</v>
          </cell>
          <cell r="S16704">
            <v>209012</v>
          </cell>
        </row>
        <row r="16705">
          <cell r="K16705" t="str">
            <v>228001</v>
          </cell>
          <cell r="M16705">
            <v>1</v>
          </cell>
          <cell r="R16705">
            <v>46017</v>
          </cell>
          <cell r="S16705">
            <v>228001</v>
          </cell>
        </row>
        <row r="16706">
          <cell r="K16706" t="str">
            <v>201001</v>
          </cell>
          <cell r="M16706">
            <v>2</v>
          </cell>
          <cell r="R16706">
            <v>46017</v>
          </cell>
          <cell r="S16706">
            <v>201001</v>
          </cell>
        </row>
        <row r="16707">
          <cell r="K16707" t="str">
            <v>231010</v>
          </cell>
          <cell r="M16707">
            <v>2</v>
          </cell>
          <cell r="R16707">
            <v>46017</v>
          </cell>
          <cell r="S16707">
            <v>231010</v>
          </cell>
        </row>
        <row r="16708">
          <cell r="K16708" t="str">
            <v>210013</v>
          </cell>
          <cell r="M16708">
            <v>2</v>
          </cell>
          <cell r="R16708">
            <v>46017</v>
          </cell>
          <cell r="S16708">
            <v>210013</v>
          </cell>
        </row>
        <row r="16709">
          <cell r="K16709" t="str">
            <v>217019</v>
          </cell>
          <cell r="M16709">
            <v>1</v>
          </cell>
          <cell r="R16709">
            <v>46017</v>
          </cell>
          <cell r="S16709">
            <v>217019</v>
          </cell>
        </row>
        <row r="16710">
          <cell r="K16710" t="str">
            <v>201024</v>
          </cell>
          <cell r="M16710">
            <v>2</v>
          </cell>
          <cell r="R16710">
            <v>46017</v>
          </cell>
          <cell r="S16710">
            <v>201024</v>
          </cell>
        </row>
        <row r="16711">
          <cell r="K16711" t="str">
            <v>223002</v>
          </cell>
          <cell r="M16711">
            <v>2</v>
          </cell>
          <cell r="R16711">
            <v>46017</v>
          </cell>
          <cell r="S16711">
            <v>223002</v>
          </cell>
        </row>
        <row r="16712">
          <cell r="K16712" t="str">
            <v>231012</v>
          </cell>
          <cell r="M16712">
            <v>1</v>
          </cell>
          <cell r="R16712">
            <v>46017</v>
          </cell>
          <cell r="S16712">
            <v>231012</v>
          </cell>
        </row>
        <row r="16713">
          <cell r="K16713" t="str">
            <v>209001</v>
          </cell>
          <cell r="M16713">
            <v>2</v>
          </cell>
          <cell r="R16713">
            <v>46017</v>
          </cell>
          <cell r="S16713">
            <v>209001</v>
          </cell>
        </row>
        <row r="16714">
          <cell r="K16714" t="str">
            <v>206002</v>
          </cell>
          <cell r="M16714">
            <v>1</v>
          </cell>
          <cell r="R16714">
            <v>46018</v>
          </cell>
          <cell r="S16714">
            <v>206002</v>
          </cell>
        </row>
        <row r="16715">
          <cell r="K16715" t="str">
            <v>208001</v>
          </cell>
          <cell r="M16715">
            <v>1</v>
          </cell>
          <cell r="R16715">
            <v>46018</v>
          </cell>
          <cell r="S16715">
            <v>208001</v>
          </cell>
        </row>
        <row r="16716">
          <cell r="K16716" t="str">
            <v>206006</v>
          </cell>
          <cell r="M16716">
            <v>1</v>
          </cell>
          <cell r="R16716">
            <v>46018</v>
          </cell>
          <cell r="S16716">
            <v>206006</v>
          </cell>
        </row>
        <row r="16717">
          <cell r="K16717" t="str">
            <v>201001</v>
          </cell>
          <cell r="M16717">
            <v>2</v>
          </cell>
          <cell r="R16717">
            <v>46018</v>
          </cell>
          <cell r="S16717">
            <v>201001</v>
          </cell>
        </row>
        <row r="16718">
          <cell r="K16718" t="str">
            <v>261004</v>
          </cell>
          <cell r="M16718">
            <v>42</v>
          </cell>
          <cell r="R16718">
            <v>46019</v>
          </cell>
          <cell r="S16718">
            <v>261004</v>
          </cell>
        </row>
        <row r="16719">
          <cell r="K16719" t="str">
            <v>212010</v>
          </cell>
          <cell r="M16719">
            <v>24</v>
          </cell>
          <cell r="R16719">
            <v>46019</v>
          </cell>
          <cell r="S16719">
            <v>212010</v>
          </cell>
        </row>
        <row r="16720">
          <cell r="K16720" t="str">
            <v>228001</v>
          </cell>
          <cell r="M16720">
            <v>3</v>
          </cell>
          <cell r="R16720">
            <v>46019</v>
          </cell>
          <cell r="S16720">
            <v>228001</v>
          </cell>
        </row>
        <row r="16721">
          <cell r="K16721" t="str">
            <v>217018</v>
          </cell>
          <cell r="M16721">
            <v>2</v>
          </cell>
          <cell r="R16721">
            <v>46019</v>
          </cell>
          <cell r="S16721">
            <v>217018</v>
          </cell>
        </row>
        <row r="16722">
          <cell r="K16722" t="str">
            <v>223001</v>
          </cell>
          <cell r="M16722">
            <v>5</v>
          </cell>
          <cell r="R16722">
            <v>46019</v>
          </cell>
          <cell r="S16722">
            <v>223001</v>
          </cell>
        </row>
        <row r="16723">
          <cell r="K16723" t="str">
            <v>223002</v>
          </cell>
          <cell r="M16723">
            <v>2</v>
          </cell>
          <cell r="R16723">
            <v>46019</v>
          </cell>
          <cell r="S16723">
            <v>223002</v>
          </cell>
        </row>
        <row r="16724">
          <cell r="K16724" t="str">
            <v>227002</v>
          </cell>
          <cell r="M16724">
            <v>1</v>
          </cell>
          <cell r="R16724">
            <v>46019</v>
          </cell>
          <cell r="S16724">
            <v>227002</v>
          </cell>
        </row>
        <row r="16725">
          <cell r="K16725" t="str">
            <v>208001</v>
          </cell>
          <cell r="M16725">
            <v>1</v>
          </cell>
          <cell r="R16725">
            <v>46019</v>
          </cell>
          <cell r="S16725">
            <v>208001</v>
          </cell>
        </row>
        <row r="16726">
          <cell r="K16726" t="str">
            <v>206002</v>
          </cell>
          <cell r="M16726">
            <v>1</v>
          </cell>
          <cell r="R16726">
            <v>46019</v>
          </cell>
          <cell r="S16726">
            <v>206002</v>
          </cell>
        </row>
        <row r="16727">
          <cell r="K16727" t="str">
            <v>229004</v>
          </cell>
          <cell r="M16727">
            <v>1</v>
          </cell>
          <cell r="R16727">
            <v>46019</v>
          </cell>
          <cell r="S16727">
            <v>229004</v>
          </cell>
        </row>
        <row r="16728">
          <cell r="K16728" t="str">
            <v>231012</v>
          </cell>
          <cell r="M16728">
            <v>1</v>
          </cell>
          <cell r="R16728">
            <v>46019</v>
          </cell>
          <cell r="S16728">
            <v>231012</v>
          </cell>
        </row>
        <row r="16729">
          <cell r="K16729" t="str">
            <v>201024</v>
          </cell>
          <cell r="M16729">
            <v>2</v>
          </cell>
          <cell r="R16729">
            <v>46019</v>
          </cell>
          <cell r="S16729">
            <v>201024</v>
          </cell>
        </row>
        <row r="16730">
          <cell r="K16730" t="str">
            <v>241001</v>
          </cell>
          <cell r="M16730">
            <v>2</v>
          </cell>
          <cell r="R16730">
            <v>46019</v>
          </cell>
          <cell r="S16730">
            <v>241001</v>
          </cell>
        </row>
        <row r="16731">
          <cell r="K16731" t="str">
            <v>271002</v>
          </cell>
          <cell r="M16731">
            <v>1</v>
          </cell>
          <cell r="R16731">
            <v>46019</v>
          </cell>
          <cell r="S16731">
            <v>271002</v>
          </cell>
        </row>
        <row r="16732">
          <cell r="K16732" t="str">
            <v>228001</v>
          </cell>
          <cell r="M16732">
            <v>3</v>
          </cell>
          <cell r="R16732">
            <v>46020</v>
          </cell>
          <cell r="S16732">
            <v>228001</v>
          </cell>
        </row>
        <row r="16733">
          <cell r="K16733" t="str">
            <v>210013</v>
          </cell>
          <cell r="M16733">
            <v>1</v>
          </cell>
          <cell r="R16733">
            <v>46020</v>
          </cell>
          <cell r="S16733">
            <v>210013</v>
          </cell>
        </row>
        <row r="16734">
          <cell r="K16734" t="str">
            <v>227002</v>
          </cell>
          <cell r="M16734">
            <v>2</v>
          </cell>
          <cell r="R16734">
            <v>46020</v>
          </cell>
          <cell r="S16734">
            <v>227002</v>
          </cell>
        </row>
        <row r="16735">
          <cell r="K16735" t="str">
            <v>208001</v>
          </cell>
          <cell r="M16735">
            <v>2</v>
          </cell>
          <cell r="R16735">
            <v>46019</v>
          </cell>
          <cell r="S16735">
            <v>208001</v>
          </cell>
        </row>
        <row r="16736">
          <cell r="K16736" t="str">
            <v>206002</v>
          </cell>
          <cell r="M16736">
            <v>1</v>
          </cell>
          <cell r="R16736">
            <v>46019</v>
          </cell>
          <cell r="S16736">
            <v>206002</v>
          </cell>
        </row>
        <row r="16737">
          <cell r="K16737" t="str">
            <v>228001</v>
          </cell>
          <cell r="M16737">
            <v>1</v>
          </cell>
          <cell r="R16737">
            <v>46019</v>
          </cell>
          <cell r="S16737">
            <v>228001</v>
          </cell>
        </row>
        <row r="16738">
          <cell r="K16738" t="str">
            <v>217019</v>
          </cell>
          <cell r="M16738">
            <v>2</v>
          </cell>
          <cell r="R16738">
            <v>46019</v>
          </cell>
          <cell r="S16738">
            <v>217019</v>
          </cell>
        </row>
        <row r="16739">
          <cell r="K16739" t="str">
            <v>201024</v>
          </cell>
          <cell r="M16739">
            <v>2</v>
          </cell>
          <cell r="R16739">
            <v>46019</v>
          </cell>
          <cell r="S16739">
            <v>201024</v>
          </cell>
        </row>
        <row r="16740">
          <cell r="K16740" t="str">
            <v>228001</v>
          </cell>
          <cell r="M16740">
            <v>2</v>
          </cell>
          <cell r="R16740">
            <v>46019</v>
          </cell>
          <cell r="S16740">
            <v>228001</v>
          </cell>
        </row>
        <row r="16741">
          <cell r="K16741" t="str">
            <v>217019</v>
          </cell>
          <cell r="M16741">
            <v>4</v>
          </cell>
          <cell r="R16741">
            <v>46019</v>
          </cell>
          <cell r="S16741">
            <v>217019</v>
          </cell>
        </row>
        <row r="16742">
          <cell r="K16742" t="str">
            <v>231010</v>
          </cell>
          <cell r="M16742">
            <v>4</v>
          </cell>
          <cell r="R16742">
            <v>46020</v>
          </cell>
          <cell r="S16742">
            <v>231010</v>
          </cell>
        </row>
        <row r="16743">
          <cell r="K16743" t="str">
            <v>223002</v>
          </cell>
          <cell r="M16743">
            <v>2</v>
          </cell>
          <cell r="R16743">
            <v>46020</v>
          </cell>
          <cell r="S16743">
            <v>223002</v>
          </cell>
        </row>
        <row r="16744">
          <cell r="K16744" t="str">
            <v>223001</v>
          </cell>
          <cell r="M16744">
            <v>6</v>
          </cell>
          <cell r="R16744">
            <v>46020</v>
          </cell>
          <cell r="S16744">
            <v>223001</v>
          </cell>
        </row>
        <row r="16745">
          <cell r="K16745" t="str">
            <v>227012</v>
          </cell>
          <cell r="M16745">
            <v>1</v>
          </cell>
          <cell r="R16745">
            <v>46020</v>
          </cell>
          <cell r="S16745">
            <v>227012</v>
          </cell>
        </row>
        <row r="16746">
          <cell r="K16746" t="str">
            <v>206014</v>
          </cell>
          <cell r="M16746">
            <v>1</v>
          </cell>
          <cell r="R16746">
            <v>46019</v>
          </cell>
          <cell r="S16746">
            <v>206014</v>
          </cell>
        </row>
        <row r="16747">
          <cell r="K16747" t="str">
            <v>206006</v>
          </cell>
          <cell r="M16747">
            <v>1</v>
          </cell>
          <cell r="R16747">
            <v>46019</v>
          </cell>
          <cell r="S16747">
            <v>206006</v>
          </cell>
        </row>
        <row r="16748">
          <cell r="K16748" t="str">
            <v>208001</v>
          </cell>
          <cell r="M16748">
            <v>1</v>
          </cell>
          <cell r="R16748">
            <v>46019</v>
          </cell>
          <cell r="S16748">
            <v>208001</v>
          </cell>
        </row>
        <row r="16749">
          <cell r="K16749" t="str">
            <v>213018</v>
          </cell>
          <cell r="M16749">
            <v>1</v>
          </cell>
          <cell r="R16749">
            <v>46019</v>
          </cell>
          <cell r="S16749">
            <v>213018</v>
          </cell>
        </row>
        <row r="16750">
          <cell r="K16750" t="str">
            <v>223001</v>
          </cell>
          <cell r="M16750">
            <v>2</v>
          </cell>
          <cell r="R16750">
            <v>46020</v>
          </cell>
          <cell r="S16750">
            <v>223001</v>
          </cell>
        </row>
        <row r="16751">
          <cell r="K16751" t="str">
            <v>241001</v>
          </cell>
          <cell r="M16751">
            <v>2</v>
          </cell>
          <cell r="R16751">
            <v>46020</v>
          </cell>
          <cell r="S16751">
            <v>241001</v>
          </cell>
        </row>
        <row r="16752">
          <cell r="K16752" t="str">
            <v>201001</v>
          </cell>
          <cell r="M16752">
            <v>1</v>
          </cell>
          <cell r="R16752">
            <v>46020</v>
          </cell>
          <cell r="S16752">
            <v>201001</v>
          </cell>
        </row>
        <row r="16753">
          <cell r="K16753" t="str">
            <v>220002</v>
          </cell>
          <cell r="M16753">
            <v>1</v>
          </cell>
          <cell r="R16753">
            <v>46020</v>
          </cell>
          <cell r="S16753">
            <v>220002</v>
          </cell>
        </row>
        <row r="16754">
          <cell r="K16754" t="str">
            <v>201001</v>
          </cell>
          <cell r="M16754">
            <v>4</v>
          </cell>
          <cell r="R16754">
            <v>46020</v>
          </cell>
          <cell r="S16754">
            <v>201001</v>
          </cell>
        </row>
        <row r="16755">
          <cell r="K16755" t="str">
            <v>229001</v>
          </cell>
          <cell r="M16755">
            <v>10</v>
          </cell>
          <cell r="R16755">
            <v>46019</v>
          </cell>
          <cell r="S16755">
            <v>229001</v>
          </cell>
        </row>
        <row r="16756">
          <cell r="K16756" t="str">
            <v>228001</v>
          </cell>
          <cell r="M16756">
            <v>4</v>
          </cell>
          <cell r="R16756">
            <v>46019</v>
          </cell>
          <cell r="S16756">
            <v>228001</v>
          </cell>
        </row>
        <row r="16757">
          <cell r="K16757" t="str">
            <v>228001</v>
          </cell>
          <cell r="M16757">
            <v>3</v>
          </cell>
          <cell r="R16757">
            <v>46019</v>
          </cell>
          <cell r="S16757">
            <v>228001</v>
          </cell>
        </row>
        <row r="16758">
          <cell r="K16758" t="str">
            <v>217019</v>
          </cell>
          <cell r="M16758">
            <v>10</v>
          </cell>
          <cell r="R16758">
            <v>46019</v>
          </cell>
          <cell r="S16758">
            <v>217019</v>
          </cell>
        </row>
        <row r="16759">
          <cell r="K16759" t="str">
            <v>217011</v>
          </cell>
          <cell r="M16759">
            <v>1</v>
          </cell>
          <cell r="R16759">
            <v>46020</v>
          </cell>
          <cell r="S16759">
            <v>217011</v>
          </cell>
        </row>
        <row r="16760">
          <cell r="K16760" t="str">
            <v>210014</v>
          </cell>
          <cell r="M16760">
            <v>1</v>
          </cell>
          <cell r="R16760">
            <v>46020</v>
          </cell>
          <cell r="S16760">
            <v>210014</v>
          </cell>
        </row>
        <row r="16761">
          <cell r="K16761" t="str">
            <v>209016</v>
          </cell>
          <cell r="M16761">
            <v>1</v>
          </cell>
          <cell r="R16761">
            <v>46020</v>
          </cell>
          <cell r="S16761">
            <v>209016</v>
          </cell>
        </row>
        <row r="16762">
          <cell r="K16762" t="str">
            <v>228001</v>
          </cell>
          <cell r="M16762">
            <v>1</v>
          </cell>
          <cell r="R16762">
            <v>46020</v>
          </cell>
          <cell r="S16762">
            <v>228001</v>
          </cell>
        </row>
        <row r="16763">
          <cell r="K16763" t="str">
            <v>237001</v>
          </cell>
          <cell r="M16763">
            <v>1</v>
          </cell>
          <cell r="R16763">
            <v>46020</v>
          </cell>
          <cell r="S16763">
            <v>237001</v>
          </cell>
        </row>
        <row r="16764">
          <cell r="K16764" t="str">
            <v>212035</v>
          </cell>
          <cell r="M16764">
            <v>1</v>
          </cell>
          <cell r="R16764">
            <v>46020</v>
          </cell>
          <cell r="S16764">
            <v>212035</v>
          </cell>
        </row>
        <row r="16765">
          <cell r="K16765" t="str">
            <v>220002</v>
          </cell>
          <cell r="M16765">
            <v>1</v>
          </cell>
          <cell r="R16765">
            <v>46020</v>
          </cell>
          <cell r="S16765">
            <v>220002</v>
          </cell>
        </row>
        <row r="16766">
          <cell r="K16766" t="str">
            <v>228001</v>
          </cell>
          <cell r="M16766">
            <v>2</v>
          </cell>
          <cell r="R16766">
            <v>46019</v>
          </cell>
          <cell r="S16766">
            <v>228001</v>
          </cell>
        </row>
        <row r="16767">
          <cell r="K16767" t="str">
            <v>212035</v>
          </cell>
          <cell r="M16767">
            <v>2</v>
          </cell>
          <cell r="R16767">
            <v>46019</v>
          </cell>
          <cell r="S16767">
            <v>212035</v>
          </cell>
        </row>
        <row r="16768">
          <cell r="K16768" t="str">
            <v>228001</v>
          </cell>
          <cell r="M16768">
            <v>1</v>
          </cell>
          <cell r="R16768">
            <v>46020</v>
          </cell>
          <cell r="S16768">
            <v>228001</v>
          </cell>
        </row>
        <row r="16769">
          <cell r="K16769" t="str">
            <v>223001</v>
          </cell>
          <cell r="M16769">
            <v>1</v>
          </cell>
          <cell r="R16769">
            <v>46020</v>
          </cell>
          <cell r="S16769">
            <v>223001</v>
          </cell>
        </row>
        <row r="16770">
          <cell r="K16770" t="str">
            <v>203003</v>
          </cell>
          <cell r="M16770">
            <v>1</v>
          </cell>
          <cell r="R16770">
            <v>46020</v>
          </cell>
          <cell r="S16770">
            <v>203003</v>
          </cell>
        </row>
        <row r="16771">
          <cell r="K16771" t="str">
            <v>228001</v>
          </cell>
          <cell r="M16771">
            <v>3</v>
          </cell>
          <cell r="R16771">
            <v>46020</v>
          </cell>
          <cell r="S16771">
            <v>228001</v>
          </cell>
        </row>
        <row r="16772">
          <cell r="K16772" t="str">
            <v>209001</v>
          </cell>
          <cell r="M16772">
            <v>3</v>
          </cell>
          <cell r="R16772">
            <v>46020</v>
          </cell>
          <cell r="S16772">
            <v>209001</v>
          </cell>
        </row>
        <row r="16773">
          <cell r="K16773" t="str">
            <v>223002</v>
          </cell>
          <cell r="M16773">
            <v>1</v>
          </cell>
          <cell r="R16773">
            <v>46020</v>
          </cell>
          <cell r="S16773">
            <v>223002</v>
          </cell>
        </row>
        <row r="16774">
          <cell r="K16774" t="str">
            <v>241001</v>
          </cell>
          <cell r="M16774">
            <v>1</v>
          </cell>
          <cell r="R16774">
            <v>46020</v>
          </cell>
          <cell r="S16774">
            <v>241001</v>
          </cell>
        </row>
        <row r="16775">
          <cell r="K16775" t="str">
            <v>213022</v>
          </cell>
          <cell r="M16775">
            <v>1</v>
          </cell>
          <cell r="R16775">
            <v>46020</v>
          </cell>
          <cell r="S16775">
            <v>213022</v>
          </cell>
        </row>
        <row r="16776">
          <cell r="K16776" t="str">
            <v>220002</v>
          </cell>
          <cell r="M16776">
            <v>4</v>
          </cell>
          <cell r="R16776">
            <v>46020</v>
          </cell>
          <cell r="S16776">
            <v>220002</v>
          </cell>
        </row>
        <row r="16777">
          <cell r="K16777" t="str">
            <v>228001</v>
          </cell>
          <cell r="M16777">
            <v>8</v>
          </cell>
          <cell r="R16777">
            <v>46020</v>
          </cell>
          <cell r="S16777">
            <v>228001</v>
          </cell>
        </row>
        <row r="16778">
          <cell r="K16778" t="str">
            <v>213022</v>
          </cell>
          <cell r="M16778">
            <v>1</v>
          </cell>
          <cell r="R16778">
            <v>46020</v>
          </cell>
          <cell r="S16778">
            <v>213022</v>
          </cell>
        </row>
        <row r="16779">
          <cell r="K16779" t="str">
            <v>213022</v>
          </cell>
          <cell r="M16779">
            <v>2</v>
          </cell>
          <cell r="R16779">
            <v>46020</v>
          </cell>
          <cell r="S16779">
            <v>213022</v>
          </cell>
        </row>
        <row r="16780">
          <cell r="K16780" t="str">
            <v>212035</v>
          </cell>
          <cell r="M16780">
            <v>3</v>
          </cell>
          <cell r="R16780">
            <v>46020</v>
          </cell>
          <cell r="S16780">
            <v>212035</v>
          </cell>
        </row>
        <row r="16781">
          <cell r="K16781" t="str">
            <v>226001</v>
          </cell>
          <cell r="M16781">
            <v>2</v>
          </cell>
          <cell r="R16781">
            <v>46020</v>
          </cell>
          <cell r="S16781">
            <v>226001</v>
          </cell>
        </row>
        <row r="16782">
          <cell r="K16782" t="str">
            <v>207017</v>
          </cell>
          <cell r="M16782">
            <v>1</v>
          </cell>
          <cell r="R16782">
            <v>46020</v>
          </cell>
          <cell r="S16782">
            <v>207017</v>
          </cell>
        </row>
        <row r="16783">
          <cell r="K16783" t="str">
            <v>231012</v>
          </cell>
          <cell r="M16783">
            <v>1</v>
          </cell>
          <cell r="R16783">
            <v>46020</v>
          </cell>
          <cell r="S16783">
            <v>231012</v>
          </cell>
        </row>
        <row r="16784">
          <cell r="K16784" t="str">
            <v>201011</v>
          </cell>
          <cell r="M16784">
            <v>4</v>
          </cell>
          <cell r="R16784">
            <v>46020</v>
          </cell>
          <cell r="S16784">
            <v>201011</v>
          </cell>
        </row>
        <row r="16785">
          <cell r="K16785" t="str">
            <v>228001</v>
          </cell>
          <cell r="M16785">
            <v>7</v>
          </cell>
          <cell r="R16785">
            <v>46020</v>
          </cell>
          <cell r="S16785">
            <v>228001</v>
          </cell>
        </row>
        <row r="16786">
          <cell r="K16786" t="str">
            <v>213022</v>
          </cell>
          <cell r="M16786">
            <v>2</v>
          </cell>
          <cell r="R16786">
            <v>46020</v>
          </cell>
          <cell r="S16786">
            <v>213022</v>
          </cell>
        </row>
        <row r="16787">
          <cell r="K16787" t="str">
            <v>228001</v>
          </cell>
          <cell r="M16787">
            <v>2</v>
          </cell>
          <cell r="R16787">
            <v>46020</v>
          </cell>
          <cell r="S16787">
            <v>228001</v>
          </cell>
        </row>
        <row r="16788">
          <cell r="K16788" t="str">
            <v>201011</v>
          </cell>
          <cell r="M16788">
            <v>36</v>
          </cell>
          <cell r="R16788">
            <v>46020</v>
          </cell>
          <cell r="S16788">
            <v>201011</v>
          </cell>
        </row>
        <row r="16789">
          <cell r="K16789" t="str">
            <v>201011</v>
          </cell>
          <cell r="M16789">
            <v>6</v>
          </cell>
          <cell r="R16789">
            <v>46020</v>
          </cell>
          <cell r="S16789">
            <v>201011</v>
          </cell>
        </row>
        <row r="16790">
          <cell r="K16790" t="str">
            <v>201011</v>
          </cell>
          <cell r="M16790">
            <v>14</v>
          </cell>
          <cell r="R16790">
            <v>46020</v>
          </cell>
          <cell r="S16790">
            <v>201011</v>
          </cell>
        </row>
        <row r="16791">
          <cell r="K16791" t="str">
            <v>261004</v>
          </cell>
          <cell r="M16791">
            <v>42</v>
          </cell>
          <cell r="R16791">
            <v>46020</v>
          </cell>
          <cell r="S16791">
            <v>261004</v>
          </cell>
        </row>
        <row r="16792">
          <cell r="K16792" t="str">
            <v>212010</v>
          </cell>
          <cell r="M16792">
            <v>24</v>
          </cell>
          <cell r="R16792">
            <v>46020</v>
          </cell>
          <cell r="S16792">
            <v>212010</v>
          </cell>
        </row>
        <row r="16793">
          <cell r="K16793" t="str">
            <v>201011</v>
          </cell>
          <cell r="M16793">
            <v>4</v>
          </cell>
          <cell r="R16793">
            <v>46020</v>
          </cell>
          <cell r="S16793">
            <v>201011</v>
          </cell>
        </row>
        <row r="16794">
          <cell r="K16794" t="str">
            <v>210014</v>
          </cell>
          <cell r="M16794">
            <v>6</v>
          </cell>
          <cell r="R16794">
            <v>46020</v>
          </cell>
          <cell r="S16794">
            <v>210014</v>
          </cell>
        </row>
        <row r="16795">
          <cell r="K16795" t="str">
            <v>228001</v>
          </cell>
          <cell r="M16795">
            <v>3</v>
          </cell>
          <cell r="R16795">
            <v>46020</v>
          </cell>
          <cell r="S16795">
            <v>228001</v>
          </cell>
        </row>
        <row r="16796">
          <cell r="K16796" t="str">
            <v>228001</v>
          </cell>
          <cell r="M16796">
            <v>10</v>
          </cell>
          <cell r="R16796">
            <v>46020</v>
          </cell>
          <cell r="S16796">
            <v>228001</v>
          </cell>
        </row>
        <row r="16797">
          <cell r="K16797" t="str">
            <v>261004</v>
          </cell>
          <cell r="M16797">
            <v>1</v>
          </cell>
          <cell r="R16797">
            <v>46020</v>
          </cell>
          <cell r="S16797">
            <v>261004</v>
          </cell>
        </row>
        <row r="16798">
          <cell r="K16798" t="str">
            <v>241001</v>
          </cell>
          <cell r="M16798">
            <v>3</v>
          </cell>
          <cell r="R16798">
            <v>46020</v>
          </cell>
          <cell r="S16798">
            <v>241001</v>
          </cell>
        </row>
        <row r="16799">
          <cell r="K16799" t="str">
            <v>222001</v>
          </cell>
          <cell r="M16799">
            <v>4</v>
          </cell>
          <cell r="R16799">
            <v>46020</v>
          </cell>
          <cell r="S16799">
            <v>222001</v>
          </cell>
        </row>
        <row r="16800">
          <cell r="K16800" t="str">
            <v>222007</v>
          </cell>
          <cell r="M16800">
            <v>1</v>
          </cell>
          <cell r="R16800">
            <v>46020</v>
          </cell>
          <cell r="S16800">
            <v>222007</v>
          </cell>
        </row>
        <row r="16801">
          <cell r="K16801" t="str">
            <v>213022</v>
          </cell>
          <cell r="M16801">
            <v>1</v>
          </cell>
          <cell r="R16801">
            <v>46020</v>
          </cell>
          <cell r="S16801">
            <v>213022</v>
          </cell>
        </row>
        <row r="16802">
          <cell r="K16802" t="str">
            <v>201001</v>
          </cell>
          <cell r="M16802">
            <v>1</v>
          </cell>
          <cell r="R16802">
            <v>46020</v>
          </cell>
          <cell r="S16802">
            <v>201001</v>
          </cell>
        </row>
        <row r="16803">
          <cell r="K16803" t="str">
            <v>226001</v>
          </cell>
          <cell r="M16803">
            <v>1</v>
          </cell>
          <cell r="R16803">
            <v>46020</v>
          </cell>
          <cell r="S16803">
            <v>226001</v>
          </cell>
        </row>
        <row r="16804">
          <cell r="K16804" t="str">
            <v>203003</v>
          </cell>
          <cell r="M16804">
            <v>4</v>
          </cell>
          <cell r="R16804">
            <v>46020</v>
          </cell>
          <cell r="S16804">
            <v>203003</v>
          </cell>
        </row>
        <row r="16805">
          <cell r="K16805" t="str">
            <v>231010</v>
          </cell>
          <cell r="M16805">
            <v>1</v>
          </cell>
          <cell r="R16805">
            <v>46020</v>
          </cell>
          <cell r="S16805">
            <v>231010</v>
          </cell>
        </row>
        <row r="16806">
          <cell r="K16806" t="str">
            <v>226001</v>
          </cell>
          <cell r="M16806">
            <v>4</v>
          </cell>
          <cell r="R16806">
            <v>46020</v>
          </cell>
          <cell r="S16806">
            <v>226001</v>
          </cell>
        </row>
        <row r="16807">
          <cell r="K16807" t="str">
            <v>226001</v>
          </cell>
          <cell r="M16807">
            <v>1</v>
          </cell>
          <cell r="R16807">
            <v>46020</v>
          </cell>
          <cell r="S16807">
            <v>226001</v>
          </cell>
        </row>
        <row r="16808">
          <cell r="K16808" t="str">
            <v>217021</v>
          </cell>
          <cell r="M16808">
            <v>1</v>
          </cell>
          <cell r="R16808">
            <v>46020</v>
          </cell>
          <cell r="S16808">
            <v>217021</v>
          </cell>
        </row>
        <row r="16809">
          <cell r="K16809" t="str">
            <v>229001</v>
          </cell>
          <cell r="M16809">
            <v>1</v>
          </cell>
          <cell r="R16809">
            <v>46020</v>
          </cell>
          <cell r="S16809">
            <v>229001</v>
          </cell>
        </row>
        <row r="16810">
          <cell r="K16810" t="str">
            <v>228001</v>
          </cell>
          <cell r="M16810">
            <v>7</v>
          </cell>
          <cell r="R16810">
            <v>46020</v>
          </cell>
          <cell r="S16810">
            <v>228001</v>
          </cell>
        </row>
        <row r="16811">
          <cell r="K16811" t="str">
            <v>201011</v>
          </cell>
          <cell r="M16811">
            <v>36</v>
          </cell>
          <cell r="R16811">
            <v>46020</v>
          </cell>
          <cell r="S16811">
            <v>201011</v>
          </cell>
        </row>
        <row r="16812">
          <cell r="K16812" t="str">
            <v>209012</v>
          </cell>
          <cell r="M16812">
            <v>2</v>
          </cell>
          <cell r="R16812">
            <v>46020</v>
          </cell>
          <cell r="S16812">
            <v>209012</v>
          </cell>
        </row>
        <row r="16813">
          <cell r="K16813" t="str">
            <v>228001</v>
          </cell>
          <cell r="M16813">
            <v>3</v>
          </cell>
          <cell r="R16813">
            <v>46020</v>
          </cell>
          <cell r="S16813">
            <v>228001</v>
          </cell>
        </row>
        <row r="16814">
          <cell r="K16814" t="str">
            <v>226001</v>
          </cell>
          <cell r="M16814">
            <v>5</v>
          </cell>
          <cell r="R16814">
            <v>46020</v>
          </cell>
          <cell r="S16814">
            <v>226001</v>
          </cell>
        </row>
        <row r="16815">
          <cell r="K16815" t="str">
            <v>201027</v>
          </cell>
          <cell r="M16815">
            <v>4</v>
          </cell>
          <cell r="R16815">
            <v>46020</v>
          </cell>
          <cell r="S16815">
            <v>201027</v>
          </cell>
        </row>
        <row r="16816">
          <cell r="K16816" t="str">
            <v>201026</v>
          </cell>
          <cell r="M16816">
            <v>4</v>
          </cell>
          <cell r="R16816">
            <v>46020</v>
          </cell>
          <cell r="S16816">
            <v>201026</v>
          </cell>
        </row>
        <row r="16817">
          <cell r="K16817" t="str">
            <v>201024</v>
          </cell>
          <cell r="M16817">
            <v>16</v>
          </cell>
          <cell r="R16817">
            <v>46020</v>
          </cell>
          <cell r="S16817">
            <v>201024</v>
          </cell>
        </row>
        <row r="16818">
          <cell r="K16818" t="str">
            <v>201001</v>
          </cell>
          <cell r="M16818">
            <v>1</v>
          </cell>
          <cell r="R16818">
            <v>46020</v>
          </cell>
          <cell r="S16818">
            <v>201001</v>
          </cell>
        </row>
        <row r="16819">
          <cell r="K16819" t="str">
            <v>213022</v>
          </cell>
          <cell r="M16819">
            <v>1</v>
          </cell>
          <cell r="R16819">
            <v>46020</v>
          </cell>
          <cell r="S16819">
            <v>213022</v>
          </cell>
        </row>
        <row r="16820">
          <cell r="K16820" t="str">
            <v>209001</v>
          </cell>
          <cell r="M16820">
            <v>3</v>
          </cell>
          <cell r="R16820">
            <v>46020</v>
          </cell>
          <cell r="S16820">
            <v>209001</v>
          </cell>
        </row>
        <row r="16821">
          <cell r="K16821" t="str">
            <v>228001</v>
          </cell>
          <cell r="M16821">
            <v>5</v>
          </cell>
          <cell r="R16821">
            <v>46020</v>
          </cell>
          <cell r="S16821">
            <v>228001</v>
          </cell>
        </row>
        <row r="16822">
          <cell r="K16822" t="str">
            <v>217022</v>
          </cell>
          <cell r="M16822">
            <v>8</v>
          </cell>
          <cell r="R16822">
            <v>46020</v>
          </cell>
          <cell r="S16822">
            <v>217022</v>
          </cell>
        </row>
        <row r="16823">
          <cell r="K16823" t="str">
            <v>228001</v>
          </cell>
          <cell r="M16823">
            <v>4</v>
          </cell>
          <cell r="R16823">
            <v>46020</v>
          </cell>
          <cell r="S16823">
            <v>228001</v>
          </cell>
        </row>
        <row r="16824">
          <cell r="K16824" t="str">
            <v>228001</v>
          </cell>
          <cell r="M16824">
            <v>3</v>
          </cell>
          <cell r="R16824">
            <v>46020</v>
          </cell>
          <cell r="S16824">
            <v>228001</v>
          </cell>
        </row>
        <row r="16825">
          <cell r="K16825" t="str">
            <v>228001</v>
          </cell>
          <cell r="M16825">
            <v>3</v>
          </cell>
          <cell r="R16825">
            <v>46020</v>
          </cell>
          <cell r="S16825">
            <v>228001</v>
          </cell>
        </row>
        <row r="16826">
          <cell r="K16826" t="str">
            <v>209004</v>
          </cell>
          <cell r="M16826">
            <v>1</v>
          </cell>
          <cell r="R16826">
            <v>46020</v>
          </cell>
          <cell r="S16826">
            <v>209004</v>
          </cell>
        </row>
        <row r="16827">
          <cell r="K16827" t="str">
            <v>231012</v>
          </cell>
          <cell r="M16827">
            <v>1</v>
          </cell>
          <cell r="R16827">
            <v>46020</v>
          </cell>
          <cell r="S16827">
            <v>231012</v>
          </cell>
        </row>
        <row r="16828">
          <cell r="K16828" t="str">
            <v>241001</v>
          </cell>
          <cell r="M16828">
            <v>100</v>
          </cell>
          <cell r="R16828">
            <v>46020</v>
          </cell>
          <cell r="S16828">
            <v>241001</v>
          </cell>
        </row>
        <row r="16829">
          <cell r="K16829" t="str">
            <v>203003</v>
          </cell>
          <cell r="M16829">
            <v>1</v>
          </cell>
          <cell r="R16829">
            <v>46020</v>
          </cell>
          <cell r="S16829">
            <v>203003</v>
          </cell>
        </row>
        <row r="16830">
          <cell r="K16830" t="str">
            <v>227002</v>
          </cell>
          <cell r="M16830">
            <v>1</v>
          </cell>
          <cell r="R16830">
            <v>46020</v>
          </cell>
          <cell r="S16830">
            <v>227002</v>
          </cell>
        </row>
        <row r="16831">
          <cell r="K16831" t="str">
            <v>217019</v>
          </cell>
          <cell r="M16831">
            <v>1</v>
          </cell>
          <cell r="R16831">
            <v>46020</v>
          </cell>
          <cell r="S16831">
            <v>217019</v>
          </cell>
        </row>
        <row r="16832">
          <cell r="K16832" t="str">
            <v>201027</v>
          </cell>
          <cell r="M16832">
            <v>1</v>
          </cell>
          <cell r="R16832">
            <v>46020</v>
          </cell>
          <cell r="S16832">
            <v>201027</v>
          </cell>
        </row>
        <row r="16833">
          <cell r="K16833" t="str">
            <v>213022</v>
          </cell>
          <cell r="M16833">
            <v>1</v>
          </cell>
          <cell r="R16833">
            <v>46020</v>
          </cell>
          <cell r="S16833">
            <v>213022</v>
          </cell>
        </row>
        <row r="16834">
          <cell r="K16834" t="str">
            <v>227012</v>
          </cell>
          <cell r="M16834">
            <v>2</v>
          </cell>
          <cell r="R16834">
            <v>46020</v>
          </cell>
          <cell r="S16834">
            <v>227012</v>
          </cell>
        </row>
        <row r="16835">
          <cell r="K16835" t="str">
            <v>227012</v>
          </cell>
          <cell r="M16835">
            <v>5</v>
          </cell>
          <cell r="R16835">
            <v>46020</v>
          </cell>
          <cell r="S16835">
            <v>227012</v>
          </cell>
        </row>
        <row r="16836">
          <cell r="K16836" t="str">
            <v>217011</v>
          </cell>
          <cell r="M16836">
            <v>2</v>
          </cell>
          <cell r="R16836">
            <v>46020</v>
          </cell>
          <cell r="S16836">
            <v>217011</v>
          </cell>
        </row>
        <row r="16837">
          <cell r="K16837" t="str">
            <v>228001</v>
          </cell>
          <cell r="M16837">
            <v>1</v>
          </cell>
          <cell r="R16837">
            <v>46020</v>
          </cell>
          <cell r="S16837">
            <v>228001</v>
          </cell>
        </row>
        <row r="16838">
          <cell r="K16838" t="str">
            <v>203001</v>
          </cell>
          <cell r="M16838">
            <v>1</v>
          </cell>
          <cell r="R16838">
            <v>46020</v>
          </cell>
          <cell r="S16838">
            <v>203001</v>
          </cell>
        </row>
        <row r="16839">
          <cell r="K16839" t="str">
            <v>231012</v>
          </cell>
          <cell r="M16839">
            <v>1</v>
          </cell>
          <cell r="R16839">
            <v>46020</v>
          </cell>
          <cell r="S16839">
            <v>231012</v>
          </cell>
        </row>
        <row r="16840">
          <cell r="K16840" t="str">
            <v>228001</v>
          </cell>
          <cell r="M16840">
            <v>25</v>
          </cell>
          <cell r="R16840">
            <v>46020</v>
          </cell>
          <cell r="S16840">
            <v>228001</v>
          </cell>
        </row>
        <row r="16841">
          <cell r="K16841" t="str">
            <v>227012</v>
          </cell>
          <cell r="M16841">
            <v>2</v>
          </cell>
          <cell r="R16841">
            <v>46020</v>
          </cell>
          <cell r="S16841">
            <v>227012</v>
          </cell>
        </row>
        <row r="16842">
          <cell r="K16842" t="str">
            <v>228001</v>
          </cell>
          <cell r="M16842">
            <v>30</v>
          </cell>
          <cell r="R16842">
            <v>46020</v>
          </cell>
          <cell r="S16842">
            <v>228001</v>
          </cell>
        </row>
        <row r="16843">
          <cell r="K16843" t="str">
            <v>231012</v>
          </cell>
          <cell r="M16843">
            <v>12</v>
          </cell>
          <cell r="R16843">
            <v>46020</v>
          </cell>
          <cell r="S16843">
            <v>231012</v>
          </cell>
        </row>
        <row r="16844">
          <cell r="K16844" t="str">
            <v>209004</v>
          </cell>
          <cell r="M16844">
            <v>4</v>
          </cell>
          <cell r="R16844">
            <v>46020</v>
          </cell>
          <cell r="S16844">
            <v>209004</v>
          </cell>
        </row>
        <row r="16845">
          <cell r="K16845" t="str">
            <v>228001</v>
          </cell>
          <cell r="M16845">
            <v>3</v>
          </cell>
          <cell r="R16845">
            <v>46020</v>
          </cell>
          <cell r="S16845">
            <v>228001</v>
          </cell>
        </row>
        <row r="16846">
          <cell r="K16846" t="str">
            <v>228001</v>
          </cell>
          <cell r="M16846">
            <v>6</v>
          </cell>
          <cell r="R16846">
            <v>46020</v>
          </cell>
          <cell r="S16846">
            <v>228001</v>
          </cell>
        </row>
        <row r="16847">
          <cell r="K16847" t="str">
            <v>203001</v>
          </cell>
          <cell r="M16847">
            <v>4</v>
          </cell>
          <cell r="R16847">
            <v>46020</v>
          </cell>
          <cell r="S16847">
            <v>203001</v>
          </cell>
        </row>
        <row r="16848">
          <cell r="K16848" t="str">
            <v>201011</v>
          </cell>
          <cell r="M16848">
            <v>36</v>
          </cell>
          <cell r="R16848">
            <v>46020</v>
          </cell>
          <cell r="S16848">
            <v>201011</v>
          </cell>
        </row>
        <row r="16849">
          <cell r="K16849" t="str">
            <v>217011</v>
          </cell>
          <cell r="M16849">
            <v>1</v>
          </cell>
          <cell r="R16849">
            <v>46020</v>
          </cell>
          <cell r="S16849">
            <v>217011</v>
          </cell>
        </row>
        <row r="16850">
          <cell r="K16850" t="str">
            <v>228001</v>
          </cell>
          <cell r="M16850">
            <v>1</v>
          </cell>
          <cell r="R16850">
            <v>46020</v>
          </cell>
          <cell r="S16850">
            <v>228001</v>
          </cell>
        </row>
        <row r="16851">
          <cell r="K16851" t="str">
            <v>209012</v>
          </cell>
          <cell r="M16851">
            <v>1</v>
          </cell>
          <cell r="R16851">
            <v>46020</v>
          </cell>
          <cell r="S16851">
            <v>209012</v>
          </cell>
        </row>
        <row r="16852">
          <cell r="K16852" t="str">
            <v>201011</v>
          </cell>
          <cell r="M16852">
            <v>20</v>
          </cell>
          <cell r="R16852">
            <v>46020</v>
          </cell>
          <cell r="S16852">
            <v>201011</v>
          </cell>
        </row>
        <row r="16853">
          <cell r="K16853" t="str">
            <v>226001</v>
          </cell>
          <cell r="M16853">
            <v>1</v>
          </cell>
          <cell r="R16853">
            <v>46020</v>
          </cell>
          <cell r="S16853">
            <v>226001</v>
          </cell>
        </row>
        <row r="16854">
          <cell r="K16854" t="str">
            <v>223001</v>
          </cell>
          <cell r="M16854">
            <v>2</v>
          </cell>
          <cell r="R16854">
            <v>46020</v>
          </cell>
          <cell r="S16854">
            <v>223001</v>
          </cell>
        </row>
        <row r="16855">
          <cell r="K16855" t="str">
            <v>223005</v>
          </cell>
          <cell r="M16855">
            <v>1</v>
          </cell>
          <cell r="R16855">
            <v>46020</v>
          </cell>
          <cell r="S16855">
            <v>223005</v>
          </cell>
        </row>
        <row r="16856">
          <cell r="K16856" t="str">
            <v>223004</v>
          </cell>
          <cell r="M16856">
            <v>1</v>
          </cell>
          <cell r="R16856">
            <v>46020</v>
          </cell>
          <cell r="S16856">
            <v>223004</v>
          </cell>
        </row>
        <row r="16857">
          <cell r="K16857" t="str">
            <v>223007</v>
          </cell>
          <cell r="M16857">
            <v>1</v>
          </cell>
          <cell r="R16857">
            <v>46020</v>
          </cell>
          <cell r="S16857">
            <v>223007</v>
          </cell>
        </row>
        <row r="16858">
          <cell r="K16858" t="str">
            <v>223002</v>
          </cell>
          <cell r="M16858">
            <v>2</v>
          </cell>
          <cell r="R16858">
            <v>46020</v>
          </cell>
          <cell r="S16858">
            <v>223002</v>
          </cell>
        </row>
        <row r="16859">
          <cell r="K16859" t="str">
            <v>229003</v>
          </cell>
          <cell r="M16859">
            <v>1</v>
          </cell>
          <cell r="R16859">
            <v>46020</v>
          </cell>
          <cell r="S16859">
            <v>229003</v>
          </cell>
        </row>
        <row r="16860">
          <cell r="K16860" t="str">
            <v>223002</v>
          </cell>
          <cell r="M16860">
            <v>1</v>
          </cell>
          <cell r="R16860">
            <v>46020</v>
          </cell>
          <cell r="S16860">
            <v>223002</v>
          </cell>
        </row>
        <row r="16861">
          <cell r="K16861" t="str">
            <v>231010</v>
          </cell>
          <cell r="M16861">
            <v>1</v>
          </cell>
          <cell r="R16861">
            <v>46020</v>
          </cell>
          <cell r="S16861">
            <v>231010</v>
          </cell>
        </row>
        <row r="16862">
          <cell r="K16862" t="str">
            <v>203004</v>
          </cell>
          <cell r="M16862">
            <v>1</v>
          </cell>
          <cell r="R16862">
            <v>46020</v>
          </cell>
          <cell r="S16862">
            <v>203004</v>
          </cell>
        </row>
        <row r="16863">
          <cell r="K16863" t="str">
            <v>229003</v>
          </cell>
          <cell r="M16863">
            <v>1</v>
          </cell>
          <cell r="R16863">
            <v>46020</v>
          </cell>
          <cell r="S16863">
            <v>229003</v>
          </cell>
        </row>
        <row r="16864">
          <cell r="K16864" t="str">
            <v>203003</v>
          </cell>
          <cell r="M16864">
            <v>1</v>
          </cell>
          <cell r="R16864">
            <v>46020</v>
          </cell>
          <cell r="S16864">
            <v>203003</v>
          </cell>
        </row>
        <row r="16865">
          <cell r="K16865" t="str">
            <v>228001</v>
          </cell>
          <cell r="M16865">
            <v>5</v>
          </cell>
          <cell r="R16865">
            <v>46020</v>
          </cell>
          <cell r="S16865">
            <v>228001</v>
          </cell>
        </row>
        <row r="16866">
          <cell r="K16866" t="str">
            <v>203003</v>
          </cell>
          <cell r="M16866">
            <v>1</v>
          </cell>
          <cell r="R16866">
            <v>46020</v>
          </cell>
          <cell r="S16866">
            <v>203003</v>
          </cell>
        </row>
        <row r="16867">
          <cell r="K16867" t="str">
            <v>231012</v>
          </cell>
          <cell r="M16867">
            <v>1</v>
          </cell>
          <cell r="R16867">
            <v>46020</v>
          </cell>
          <cell r="S16867">
            <v>231012</v>
          </cell>
        </row>
        <row r="16868">
          <cell r="K16868" t="str">
            <v>209004</v>
          </cell>
          <cell r="M16868">
            <v>1</v>
          </cell>
          <cell r="R16868">
            <v>46020</v>
          </cell>
          <cell r="S16868">
            <v>209004</v>
          </cell>
        </row>
        <row r="16869">
          <cell r="K16869" t="str">
            <v>210013</v>
          </cell>
          <cell r="M16869">
            <v>1</v>
          </cell>
          <cell r="R16869">
            <v>46020</v>
          </cell>
          <cell r="S16869">
            <v>210013</v>
          </cell>
        </row>
        <row r="16870">
          <cell r="K16870" t="str">
            <v>201001</v>
          </cell>
          <cell r="M16870">
            <v>4</v>
          </cell>
          <cell r="R16870">
            <v>46020</v>
          </cell>
          <cell r="S16870">
            <v>201001</v>
          </cell>
        </row>
        <row r="16871">
          <cell r="K16871" t="str">
            <v>224001</v>
          </cell>
          <cell r="M16871">
            <v>1</v>
          </cell>
          <cell r="R16871">
            <v>46020</v>
          </cell>
          <cell r="S16871">
            <v>224001</v>
          </cell>
        </row>
        <row r="16872">
          <cell r="K16872" t="str">
            <v>207013</v>
          </cell>
          <cell r="M16872">
            <v>1</v>
          </cell>
          <cell r="R16872">
            <v>46020</v>
          </cell>
          <cell r="S16872">
            <v>207013</v>
          </cell>
        </row>
        <row r="16873">
          <cell r="K16873" t="str">
            <v>235005</v>
          </cell>
          <cell r="M16873">
            <v>1</v>
          </cell>
          <cell r="R16873">
            <v>46020</v>
          </cell>
          <cell r="S16873">
            <v>235005</v>
          </cell>
        </row>
        <row r="16874">
          <cell r="K16874" t="str">
            <v>226023</v>
          </cell>
          <cell r="M16874">
            <v>1</v>
          </cell>
          <cell r="R16874">
            <v>46020</v>
          </cell>
          <cell r="S16874">
            <v>226023</v>
          </cell>
        </row>
        <row r="16875">
          <cell r="K16875" t="str">
            <v>207017</v>
          </cell>
          <cell r="M16875">
            <v>1</v>
          </cell>
          <cell r="R16875">
            <v>46020</v>
          </cell>
          <cell r="S16875">
            <v>207017</v>
          </cell>
        </row>
        <row r="16876">
          <cell r="K16876" t="str">
            <v>212002</v>
          </cell>
          <cell r="M16876">
            <v>1</v>
          </cell>
          <cell r="R16876">
            <v>46020</v>
          </cell>
          <cell r="S16876">
            <v>212002</v>
          </cell>
        </row>
        <row r="16877">
          <cell r="K16877" t="str">
            <v>229003</v>
          </cell>
          <cell r="M16877">
            <v>1</v>
          </cell>
          <cell r="R16877">
            <v>46020</v>
          </cell>
          <cell r="S16877">
            <v>229003</v>
          </cell>
        </row>
        <row r="16878">
          <cell r="K16878" t="str">
            <v>227002</v>
          </cell>
          <cell r="M16878">
            <v>2</v>
          </cell>
          <cell r="R16878">
            <v>46020</v>
          </cell>
          <cell r="S16878">
            <v>227002</v>
          </cell>
        </row>
        <row r="16879">
          <cell r="K16879" t="str">
            <v>228001</v>
          </cell>
          <cell r="M16879">
            <v>1</v>
          </cell>
          <cell r="R16879">
            <v>46020</v>
          </cell>
          <cell r="S16879">
            <v>228001</v>
          </cell>
        </row>
        <row r="16880">
          <cell r="K16880" t="str">
            <v>231012</v>
          </cell>
          <cell r="M16880">
            <v>3</v>
          </cell>
          <cell r="R16880">
            <v>46020</v>
          </cell>
          <cell r="S16880">
            <v>231012</v>
          </cell>
        </row>
        <row r="16881">
          <cell r="K16881" t="str">
            <v>226001</v>
          </cell>
          <cell r="M16881">
            <v>2</v>
          </cell>
          <cell r="R16881">
            <v>46020</v>
          </cell>
          <cell r="S16881">
            <v>226001</v>
          </cell>
        </row>
        <row r="16882">
          <cell r="K16882" t="str">
            <v>212035</v>
          </cell>
          <cell r="M16882">
            <v>1</v>
          </cell>
          <cell r="R16882">
            <v>46020</v>
          </cell>
          <cell r="S16882">
            <v>212035</v>
          </cell>
        </row>
        <row r="16883">
          <cell r="K16883" t="str">
            <v>210010</v>
          </cell>
          <cell r="M16883">
            <v>2</v>
          </cell>
          <cell r="R16883">
            <v>46020</v>
          </cell>
          <cell r="S16883">
            <v>210010</v>
          </cell>
        </row>
        <row r="16884">
          <cell r="K16884" t="str">
            <v>223002</v>
          </cell>
          <cell r="M16884">
            <v>1</v>
          </cell>
          <cell r="R16884">
            <v>46020</v>
          </cell>
          <cell r="S16884">
            <v>223002</v>
          </cell>
        </row>
        <row r="16885">
          <cell r="K16885" t="str">
            <v>227014</v>
          </cell>
          <cell r="M16885">
            <v>1</v>
          </cell>
          <cell r="R16885">
            <v>46020</v>
          </cell>
          <cell r="S16885">
            <v>227014</v>
          </cell>
        </row>
        <row r="16886">
          <cell r="K16886" t="str">
            <v>201001</v>
          </cell>
          <cell r="M16886">
            <v>4</v>
          </cell>
          <cell r="R16886">
            <v>46020</v>
          </cell>
          <cell r="S16886">
            <v>201001</v>
          </cell>
        </row>
        <row r="16887">
          <cell r="K16887" t="str">
            <v>231012</v>
          </cell>
          <cell r="M16887">
            <v>1</v>
          </cell>
          <cell r="R16887">
            <v>46020</v>
          </cell>
          <cell r="S16887">
            <v>231012</v>
          </cell>
        </row>
        <row r="16888">
          <cell r="K16888" t="str">
            <v>228001</v>
          </cell>
          <cell r="M16888">
            <v>3</v>
          </cell>
          <cell r="R16888">
            <v>46020</v>
          </cell>
          <cell r="S16888">
            <v>228001</v>
          </cell>
        </row>
        <row r="16889">
          <cell r="K16889" t="str">
            <v>228001</v>
          </cell>
          <cell r="M16889">
            <v>1</v>
          </cell>
          <cell r="R16889">
            <v>46020</v>
          </cell>
          <cell r="S16889">
            <v>228001</v>
          </cell>
        </row>
        <row r="16890">
          <cell r="K16890" t="str">
            <v>203003</v>
          </cell>
          <cell r="M16890">
            <v>1</v>
          </cell>
          <cell r="R16890">
            <v>46020</v>
          </cell>
          <cell r="S16890">
            <v>203003</v>
          </cell>
        </row>
        <row r="16891">
          <cell r="K16891" t="str">
            <v>207017</v>
          </cell>
          <cell r="M16891">
            <v>1</v>
          </cell>
          <cell r="R16891">
            <v>46020</v>
          </cell>
          <cell r="S16891">
            <v>207017</v>
          </cell>
        </row>
        <row r="16892">
          <cell r="K16892" t="str">
            <v>213022</v>
          </cell>
          <cell r="M16892">
            <v>1</v>
          </cell>
          <cell r="R16892">
            <v>46021</v>
          </cell>
          <cell r="S16892">
            <v>213022</v>
          </cell>
        </row>
        <row r="16893">
          <cell r="K16893" t="str">
            <v>236005</v>
          </cell>
          <cell r="M16893">
            <v>1</v>
          </cell>
          <cell r="R16893">
            <v>46021</v>
          </cell>
          <cell r="S16893">
            <v>236005</v>
          </cell>
        </row>
        <row r="16894">
          <cell r="K16894" t="str">
            <v>228001</v>
          </cell>
          <cell r="M16894">
            <v>3</v>
          </cell>
          <cell r="R16894">
            <v>46021</v>
          </cell>
          <cell r="S16894">
            <v>228001</v>
          </cell>
        </row>
        <row r="16895">
          <cell r="K16895" t="str">
            <v>212002</v>
          </cell>
          <cell r="M16895">
            <v>1</v>
          </cell>
          <cell r="R16895">
            <v>46021</v>
          </cell>
          <cell r="S16895">
            <v>212002</v>
          </cell>
        </row>
        <row r="16896">
          <cell r="K16896" t="str">
            <v>228001</v>
          </cell>
          <cell r="M16896">
            <v>1</v>
          </cell>
          <cell r="R16896">
            <v>46021</v>
          </cell>
          <cell r="S16896">
            <v>228001</v>
          </cell>
        </row>
        <row r="16897">
          <cell r="K16897" t="str">
            <v>213022</v>
          </cell>
          <cell r="M16897">
            <v>1</v>
          </cell>
          <cell r="R16897">
            <v>46021</v>
          </cell>
          <cell r="S16897">
            <v>213022</v>
          </cell>
        </row>
        <row r="16898">
          <cell r="K16898" t="str">
            <v>226025</v>
          </cell>
          <cell r="M16898">
            <v>3</v>
          </cell>
          <cell r="R16898">
            <v>46021</v>
          </cell>
          <cell r="S16898">
            <v>226025</v>
          </cell>
        </row>
        <row r="16899">
          <cell r="K16899" t="str">
            <v>201022</v>
          </cell>
          <cell r="M16899">
            <v>3</v>
          </cell>
          <cell r="R16899">
            <v>46021</v>
          </cell>
          <cell r="S16899">
            <v>201022</v>
          </cell>
        </row>
        <row r="16900">
          <cell r="K16900" t="str">
            <v>201011</v>
          </cell>
          <cell r="M16900">
            <v>20</v>
          </cell>
          <cell r="R16900">
            <v>46020</v>
          </cell>
          <cell r="S16900">
            <v>201011</v>
          </cell>
        </row>
        <row r="16901">
          <cell r="K16901" t="str">
            <v>201001</v>
          </cell>
          <cell r="M16901">
            <v>5</v>
          </cell>
          <cell r="R16901">
            <v>46020</v>
          </cell>
          <cell r="S16901">
            <v>201001</v>
          </cell>
        </row>
        <row r="16902">
          <cell r="K16902" t="str">
            <v>201024</v>
          </cell>
          <cell r="M16902">
            <v>4</v>
          </cell>
          <cell r="R16902">
            <v>46020</v>
          </cell>
          <cell r="S16902">
            <v>201024</v>
          </cell>
        </row>
        <row r="16903">
          <cell r="K16903" t="str">
            <v>223002</v>
          </cell>
          <cell r="M16903">
            <v>4</v>
          </cell>
          <cell r="R16903">
            <v>46020</v>
          </cell>
          <cell r="S16903">
            <v>223002</v>
          </cell>
        </row>
        <row r="16904">
          <cell r="K16904" t="str">
            <v>217022</v>
          </cell>
          <cell r="M16904">
            <v>2</v>
          </cell>
          <cell r="R16904">
            <v>46020</v>
          </cell>
          <cell r="S16904">
            <v>217022</v>
          </cell>
        </row>
        <row r="16905">
          <cell r="K16905" t="str">
            <v>203003</v>
          </cell>
          <cell r="M16905">
            <v>1</v>
          </cell>
          <cell r="R16905">
            <v>46020</v>
          </cell>
          <cell r="S16905">
            <v>203003</v>
          </cell>
        </row>
        <row r="16906">
          <cell r="K16906" t="str">
            <v>201001</v>
          </cell>
          <cell r="M16906">
            <v>3</v>
          </cell>
          <cell r="R16906">
            <v>46020</v>
          </cell>
          <cell r="S16906">
            <v>201001</v>
          </cell>
        </row>
        <row r="16907">
          <cell r="K16907" t="str">
            <v>228001</v>
          </cell>
          <cell r="M16907">
            <v>1</v>
          </cell>
          <cell r="R16907">
            <v>46020</v>
          </cell>
          <cell r="S16907">
            <v>228001</v>
          </cell>
        </row>
        <row r="16908">
          <cell r="K16908" t="str">
            <v>223002</v>
          </cell>
          <cell r="M16908">
            <v>2</v>
          </cell>
          <cell r="R16908">
            <v>46019</v>
          </cell>
          <cell r="S16908">
            <v>223002</v>
          </cell>
        </row>
        <row r="16909">
          <cell r="K16909" t="str">
            <v>223001</v>
          </cell>
          <cell r="M16909">
            <v>2</v>
          </cell>
          <cell r="R16909">
            <v>46019</v>
          </cell>
          <cell r="S16909">
            <v>223001</v>
          </cell>
        </row>
        <row r="16910">
          <cell r="K16910" t="str">
            <v>201024</v>
          </cell>
          <cell r="M16910">
            <v>4</v>
          </cell>
          <cell r="R16910">
            <v>46019</v>
          </cell>
          <cell r="S16910">
            <v>201024</v>
          </cell>
        </row>
        <row r="16911">
          <cell r="K16911" t="str">
            <v>231010</v>
          </cell>
          <cell r="M16911">
            <v>1</v>
          </cell>
          <cell r="R16911">
            <v>46021</v>
          </cell>
          <cell r="S16911">
            <v>231010</v>
          </cell>
        </row>
        <row r="16912">
          <cell r="K16912" t="str">
            <v>228001</v>
          </cell>
          <cell r="M16912">
            <v>1</v>
          </cell>
          <cell r="R16912">
            <v>46021</v>
          </cell>
          <cell r="S16912">
            <v>228001</v>
          </cell>
        </row>
        <row r="16913">
          <cell r="K16913" t="str">
            <v>223004</v>
          </cell>
          <cell r="M16913">
            <v>1</v>
          </cell>
          <cell r="R16913">
            <v>46021</v>
          </cell>
          <cell r="S16913">
            <v>223004</v>
          </cell>
        </row>
        <row r="16914">
          <cell r="K16914" t="str">
            <v>226001</v>
          </cell>
          <cell r="M16914">
            <v>2</v>
          </cell>
          <cell r="R16914">
            <v>46021</v>
          </cell>
          <cell r="S16914">
            <v>226001</v>
          </cell>
        </row>
        <row r="16915">
          <cell r="K16915" t="str">
            <v>201011</v>
          </cell>
          <cell r="M16915">
            <v>2</v>
          </cell>
          <cell r="R16915">
            <v>46021</v>
          </cell>
          <cell r="S16915">
            <v>201011</v>
          </cell>
        </row>
        <row r="16916">
          <cell r="K16916" t="str">
            <v>209004</v>
          </cell>
          <cell r="M16916">
            <v>2</v>
          </cell>
          <cell r="R16916">
            <v>46021</v>
          </cell>
          <cell r="S16916">
            <v>209004</v>
          </cell>
        </row>
        <row r="16917">
          <cell r="K16917" t="str">
            <v>228001</v>
          </cell>
          <cell r="M16917">
            <v>2</v>
          </cell>
          <cell r="R16917">
            <v>46021</v>
          </cell>
          <cell r="S16917">
            <v>228001</v>
          </cell>
        </row>
        <row r="16918">
          <cell r="K16918" t="str">
            <v>217018</v>
          </cell>
          <cell r="M16918">
            <v>35</v>
          </cell>
          <cell r="R16918">
            <v>46021</v>
          </cell>
          <cell r="S16918">
            <v>217018</v>
          </cell>
        </row>
        <row r="16919">
          <cell r="K16919" t="str">
            <v>217011</v>
          </cell>
          <cell r="M16919">
            <v>1</v>
          </cell>
          <cell r="R16919">
            <v>46021</v>
          </cell>
          <cell r="S16919">
            <v>217011</v>
          </cell>
        </row>
        <row r="16920">
          <cell r="K16920" t="str">
            <v>228001</v>
          </cell>
          <cell r="M16920">
            <v>2</v>
          </cell>
          <cell r="R16920">
            <v>46021</v>
          </cell>
          <cell r="S16920">
            <v>228001</v>
          </cell>
        </row>
        <row r="16921">
          <cell r="K16921" t="str">
            <v>231012</v>
          </cell>
          <cell r="M16921">
            <v>1</v>
          </cell>
          <cell r="R16921">
            <v>46021</v>
          </cell>
          <cell r="S16921">
            <v>231012</v>
          </cell>
        </row>
        <row r="16922">
          <cell r="K16922" t="str">
            <v>207017</v>
          </cell>
          <cell r="M16922">
            <v>1</v>
          </cell>
          <cell r="R16922">
            <v>46021</v>
          </cell>
          <cell r="S16922">
            <v>207017</v>
          </cell>
        </row>
        <row r="16923">
          <cell r="K16923" t="str">
            <v>231012</v>
          </cell>
          <cell r="M16923">
            <v>1</v>
          </cell>
          <cell r="R16923">
            <v>46021</v>
          </cell>
          <cell r="S16923">
            <v>231012</v>
          </cell>
        </row>
        <row r="16924">
          <cell r="K16924" t="str">
            <v>217022</v>
          </cell>
          <cell r="M16924">
            <v>10</v>
          </cell>
          <cell r="R16924">
            <v>46021</v>
          </cell>
          <cell r="S16924">
            <v>217022</v>
          </cell>
        </row>
        <row r="16925">
          <cell r="K16925" t="str">
            <v>213002</v>
          </cell>
          <cell r="M16925">
            <v>5</v>
          </cell>
          <cell r="R16925">
            <v>46021</v>
          </cell>
          <cell r="S16925">
            <v>213002</v>
          </cell>
        </row>
        <row r="16926">
          <cell r="K16926" t="str">
            <v>203004</v>
          </cell>
          <cell r="M16926">
            <v>1</v>
          </cell>
          <cell r="R16926">
            <v>46021</v>
          </cell>
          <cell r="S16926">
            <v>203004</v>
          </cell>
        </row>
        <row r="16927">
          <cell r="K16927" t="str">
            <v>203004</v>
          </cell>
          <cell r="M16927">
            <v>1</v>
          </cell>
          <cell r="R16927">
            <v>46021</v>
          </cell>
          <cell r="S16927">
            <v>203004</v>
          </cell>
        </row>
        <row r="16928">
          <cell r="K16928" t="str">
            <v>218001</v>
          </cell>
          <cell r="M16928">
            <v>2</v>
          </cell>
          <cell r="R16928">
            <v>46021</v>
          </cell>
          <cell r="S16928">
            <v>218001</v>
          </cell>
        </row>
        <row r="16929">
          <cell r="K16929" t="str">
            <v>229004</v>
          </cell>
          <cell r="M16929">
            <v>2</v>
          </cell>
          <cell r="R16929">
            <v>46021</v>
          </cell>
          <cell r="S16929">
            <v>229004</v>
          </cell>
        </row>
        <row r="16930">
          <cell r="K16930" t="str">
            <v>203003</v>
          </cell>
          <cell r="M16930">
            <v>1</v>
          </cell>
          <cell r="R16930">
            <v>46021</v>
          </cell>
          <cell r="S16930">
            <v>203003</v>
          </cell>
        </row>
        <row r="16931">
          <cell r="K16931" t="str">
            <v>213002</v>
          </cell>
          <cell r="M16931">
            <v>1</v>
          </cell>
          <cell r="R16931">
            <v>46021</v>
          </cell>
          <cell r="S16931">
            <v>213002</v>
          </cell>
        </row>
        <row r="16932">
          <cell r="K16932" t="str">
            <v>241001</v>
          </cell>
          <cell r="M16932">
            <v>10</v>
          </cell>
          <cell r="R16932">
            <v>46021</v>
          </cell>
          <cell r="S16932">
            <v>241001</v>
          </cell>
        </row>
        <row r="16933">
          <cell r="K16933" t="str">
            <v>222001</v>
          </cell>
          <cell r="M16933">
            <v>1</v>
          </cell>
          <cell r="R16933">
            <v>46021</v>
          </cell>
          <cell r="S16933">
            <v>222001</v>
          </cell>
        </row>
        <row r="16934">
          <cell r="K16934" t="str">
            <v>210013</v>
          </cell>
          <cell r="M16934">
            <v>1</v>
          </cell>
          <cell r="R16934">
            <v>46021</v>
          </cell>
          <cell r="S16934">
            <v>210013</v>
          </cell>
        </row>
        <row r="16935">
          <cell r="K16935" t="str">
            <v>234011</v>
          </cell>
          <cell r="M16935">
            <v>1</v>
          </cell>
          <cell r="R16935">
            <v>46021</v>
          </cell>
          <cell r="S16935">
            <v>234011</v>
          </cell>
        </row>
        <row r="16936">
          <cell r="K16936" t="str">
            <v>203003</v>
          </cell>
          <cell r="M16936">
            <v>1</v>
          </cell>
          <cell r="R16936">
            <v>46021</v>
          </cell>
          <cell r="S16936">
            <v>203003</v>
          </cell>
        </row>
        <row r="16937">
          <cell r="K16937" t="str">
            <v>213002</v>
          </cell>
          <cell r="M16937">
            <v>2</v>
          </cell>
          <cell r="R16937">
            <v>46021</v>
          </cell>
          <cell r="S16937">
            <v>213002</v>
          </cell>
        </row>
        <row r="16938">
          <cell r="K16938" t="str">
            <v>222001</v>
          </cell>
          <cell r="M16938">
            <v>1</v>
          </cell>
          <cell r="R16938">
            <v>46021</v>
          </cell>
          <cell r="S16938">
            <v>222001</v>
          </cell>
        </row>
        <row r="16939">
          <cell r="K16939" t="str">
            <v>223002</v>
          </cell>
          <cell r="M16939">
            <v>2</v>
          </cell>
          <cell r="R16939">
            <v>46021</v>
          </cell>
          <cell r="S16939">
            <v>223002</v>
          </cell>
        </row>
        <row r="16940">
          <cell r="K16940" t="str">
            <v>213002</v>
          </cell>
          <cell r="M16940">
            <v>6</v>
          </cell>
          <cell r="R16940">
            <v>46021</v>
          </cell>
          <cell r="S16940">
            <v>213002</v>
          </cell>
        </row>
        <row r="16941">
          <cell r="K16941" t="str">
            <v>201001</v>
          </cell>
          <cell r="M16941">
            <v>2</v>
          </cell>
          <cell r="R16941">
            <v>46021</v>
          </cell>
          <cell r="S16941">
            <v>201001</v>
          </cell>
        </row>
        <row r="16942">
          <cell r="K16942" t="str">
            <v>201001</v>
          </cell>
          <cell r="M16942">
            <v>4</v>
          </cell>
          <cell r="R16942">
            <v>46021</v>
          </cell>
          <cell r="S16942">
            <v>201001</v>
          </cell>
        </row>
        <row r="16943">
          <cell r="K16943" t="str">
            <v>201011</v>
          </cell>
          <cell r="M16943">
            <v>1</v>
          </cell>
          <cell r="R16943">
            <v>46022</v>
          </cell>
          <cell r="S16943">
            <v>201011</v>
          </cell>
        </row>
        <row r="16944">
          <cell r="K16944" t="str">
            <v>228001</v>
          </cell>
          <cell r="M16944">
            <v>2</v>
          </cell>
          <cell r="R16944">
            <v>46022</v>
          </cell>
          <cell r="S16944">
            <v>228001</v>
          </cell>
        </row>
        <row r="16945">
          <cell r="K16945" t="str">
            <v>234001</v>
          </cell>
          <cell r="M16945">
            <v>1</v>
          </cell>
          <cell r="R16945">
            <v>46022</v>
          </cell>
          <cell r="S16945">
            <v>234001</v>
          </cell>
        </row>
        <row r="16946">
          <cell r="K16946" t="str">
            <v>209016</v>
          </cell>
          <cell r="M16946">
            <v>1</v>
          </cell>
          <cell r="R16946">
            <v>46022</v>
          </cell>
          <cell r="S16946">
            <v>209016</v>
          </cell>
        </row>
        <row r="16947">
          <cell r="K16947" t="str">
            <v>226024</v>
          </cell>
          <cell r="M16947">
            <v>2</v>
          </cell>
          <cell r="R16947">
            <v>46021</v>
          </cell>
          <cell r="S16947">
            <v>226024</v>
          </cell>
        </row>
        <row r="16948">
          <cell r="K16948" t="str">
            <v>223002</v>
          </cell>
          <cell r="M16948">
            <v>4</v>
          </cell>
          <cell r="R16948">
            <v>46014</v>
          </cell>
          <cell r="S16948">
            <v>223002</v>
          </cell>
        </row>
        <row r="16949">
          <cell r="K16949" t="str">
            <v>201024</v>
          </cell>
          <cell r="M16949">
            <v>2</v>
          </cell>
          <cell r="R16949">
            <v>46014</v>
          </cell>
          <cell r="S16949">
            <v>201024</v>
          </cell>
        </row>
        <row r="16950">
          <cell r="K16950" t="str">
            <v>226001</v>
          </cell>
          <cell r="M16950">
            <v>1</v>
          </cell>
          <cell r="R16950">
            <v>46022</v>
          </cell>
          <cell r="S16950">
            <v>226001</v>
          </cell>
        </row>
        <row r="16951">
          <cell r="K16951" t="str">
            <v>213002</v>
          </cell>
          <cell r="M16951">
            <v>3</v>
          </cell>
          <cell r="R16951">
            <v>46022</v>
          </cell>
          <cell r="S16951">
            <v>213002</v>
          </cell>
        </row>
        <row r="16952">
          <cell r="K16952" t="str">
            <v>201001</v>
          </cell>
          <cell r="M16952">
            <v>1</v>
          </cell>
          <cell r="R16952">
            <v>46022</v>
          </cell>
          <cell r="S16952">
            <v>201001</v>
          </cell>
        </row>
        <row r="16953">
          <cell r="K16953" t="str">
            <v>213022</v>
          </cell>
          <cell r="M16953">
            <v>1</v>
          </cell>
          <cell r="R16953">
            <v>46022</v>
          </cell>
          <cell r="S16953">
            <v>213022</v>
          </cell>
        </row>
        <row r="16954">
          <cell r="K16954" t="str">
            <v>212035</v>
          </cell>
          <cell r="M16954">
            <v>2</v>
          </cell>
          <cell r="R16954">
            <v>46022</v>
          </cell>
          <cell r="S16954">
            <v>212035</v>
          </cell>
        </row>
        <row r="16955">
          <cell r="K16955" t="str">
            <v>213002</v>
          </cell>
          <cell r="M16955">
            <v>3</v>
          </cell>
          <cell r="R16955">
            <v>46021</v>
          </cell>
          <cell r="S16955">
            <v>213002</v>
          </cell>
        </row>
        <row r="16956">
          <cell r="K16956" t="str">
            <v>217018</v>
          </cell>
          <cell r="M16956">
            <v>1</v>
          </cell>
          <cell r="R16956">
            <v>46022</v>
          </cell>
          <cell r="S16956">
            <v>217018</v>
          </cell>
        </row>
        <row r="16957">
          <cell r="K16957" t="str">
            <v>217018</v>
          </cell>
          <cell r="M16957">
            <v>1</v>
          </cell>
          <cell r="R16957">
            <v>46022</v>
          </cell>
          <cell r="S16957">
            <v>217018</v>
          </cell>
        </row>
        <row r="16958">
          <cell r="K16958" t="str">
            <v>203003</v>
          </cell>
          <cell r="M16958">
            <v>2</v>
          </cell>
          <cell r="R16958">
            <v>46022</v>
          </cell>
          <cell r="S16958">
            <v>203003</v>
          </cell>
        </row>
        <row r="16959">
          <cell r="K16959" t="str">
            <v>226001</v>
          </cell>
          <cell r="M16959">
            <v>3</v>
          </cell>
          <cell r="R16959">
            <v>46022</v>
          </cell>
          <cell r="S16959">
            <v>226001</v>
          </cell>
        </row>
        <row r="16960">
          <cell r="K16960" t="str">
            <v>228001</v>
          </cell>
          <cell r="M16960">
            <v>1</v>
          </cell>
          <cell r="R16960">
            <v>46022</v>
          </cell>
          <cell r="S16960">
            <v>228001</v>
          </cell>
        </row>
        <row r="16961">
          <cell r="K16961" t="str">
            <v>201001</v>
          </cell>
          <cell r="M16961">
            <v>1</v>
          </cell>
          <cell r="R16961">
            <v>46022</v>
          </cell>
          <cell r="S16961">
            <v>201001</v>
          </cell>
        </row>
        <row r="16962">
          <cell r="K16962" t="str">
            <v>217024</v>
          </cell>
          <cell r="M16962">
            <v>1</v>
          </cell>
          <cell r="R16962">
            <v>46022</v>
          </cell>
          <cell r="S16962">
            <v>217024</v>
          </cell>
        </row>
        <row r="16963">
          <cell r="K16963" t="str">
            <v>217011</v>
          </cell>
          <cell r="M16963">
            <v>1</v>
          </cell>
          <cell r="R16963">
            <v>46022</v>
          </cell>
          <cell r="S16963">
            <v>217011</v>
          </cell>
        </row>
        <row r="16964">
          <cell r="K16964" t="str">
            <v>213022</v>
          </cell>
          <cell r="M16964">
            <v>1</v>
          </cell>
          <cell r="R16964">
            <v>46022</v>
          </cell>
          <cell r="S16964">
            <v>213022</v>
          </cell>
        </row>
        <row r="16965">
          <cell r="K16965" t="str">
            <v>241001</v>
          </cell>
          <cell r="M16965">
            <v>1</v>
          </cell>
          <cell r="R16965">
            <v>46022</v>
          </cell>
          <cell r="S16965">
            <v>241001</v>
          </cell>
        </row>
        <row r="16966">
          <cell r="K16966" t="str">
            <v>228001</v>
          </cell>
          <cell r="M16966">
            <v>5</v>
          </cell>
          <cell r="R16966">
            <v>46023</v>
          </cell>
          <cell r="S16966">
            <v>228001</v>
          </cell>
        </row>
        <row r="16967">
          <cell r="K16967" t="str">
            <v>209001</v>
          </cell>
          <cell r="M16967">
            <v>1</v>
          </cell>
          <cell r="R16967">
            <v>46023</v>
          </cell>
          <cell r="S16967">
            <v>209001</v>
          </cell>
        </row>
        <row r="16968">
          <cell r="K16968" t="str">
            <v>217011</v>
          </cell>
          <cell r="M16968">
            <v>1</v>
          </cell>
          <cell r="R16968">
            <v>46023</v>
          </cell>
          <cell r="S16968">
            <v>217011</v>
          </cell>
        </row>
        <row r="16969">
          <cell r="K16969" t="str">
            <v>209001</v>
          </cell>
          <cell r="M16969">
            <v>3</v>
          </cell>
          <cell r="R16969">
            <v>46022</v>
          </cell>
          <cell r="S16969">
            <v>209001</v>
          </cell>
        </row>
        <row r="16970">
          <cell r="K16970" t="str">
            <v>203003</v>
          </cell>
          <cell r="M16970">
            <v>2</v>
          </cell>
          <cell r="R16970">
            <v>46023</v>
          </cell>
          <cell r="S16970">
            <v>203003</v>
          </cell>
        </row>
        <row r="16971">
          <cell r="K16971" t="str">
            <v>213002</v>
          </cell>
          <cell r="M16971">
            <v>5</v>
          </cell>
          <cell r="R16971">
            <v>46023</v>
          </cell>
          <cell r="S16971">
            <v>213002</v>
          </cell>
        </row>
        <row r="16972">
          <cell r="K16972" t="str">
            <v>207017</v>
          </cell>
          <cell r="M16972">
            <v>3</v>
          </cell>
          <cell r="R16972">
            <v>46023</v>
          </cell>
          <cell r="S16972">
            <v>207017</v>
          </cell>
        </row>
        <row r="16973">
          <cell r="K16973" t="str">
            <v>217022</v>
          </cell>
          <cell r="M16973">
            <v>1</v>
          </cell>
          <cell r="R16973">
            <v>46023</v>
          </cell>
          <cell r="S16973">
            <v>217022</v>
          </cell>
        </row>
        <row r="16974">
          <cell r="K16974" t="str">
            <v>231012</v>
          </cell>
          <cell r="M16974">
            <v>2</v>
          </cell>
          <cell r="R16974">
            <v>46023</v>
          </cell>
          <cell r="S16974">
            <v>231012</v>
          </cell>
        </row>
        <row r="16975">
          <cell r="K16975" t="str">
            <v>217011</v>
          </cell>
          <cell r="M16975">
            <v>1</v>
          </cell>
          <cell r="R16975">
            <v>46023</v>
          </cell>
          <cell r="S16975">
            <v>217011</v>
          </cell>
        </row>
        <row r="16976">
          <cell r="K16976" t="str">
            <v>210015</v>
          </cell>
          <cell r="M16976">
            <v>1</v>
          </cell>
          <cell r="R16976">
            <v>46023</v>
          </cell>
          <cell r="S16976">
            <v>210015</v>
          </cell>
        </row>
        <row r="16977">
          <cell r="K16977" t="str">
            <v>241001</v>
          </cell>
          <cell r="M16977">
            <v>3</v>
          </cell>
          <cell r="R16977">
            <v>46023</v>
          </cell>
          <cell r="S16977">
            <v>241001</v>
          </cell>
        </row>
        <row r="16978">
          <cell r="K16978" t="str">
            <v>203003</v>
          </cell>
          <cell r="M16978">
            <v>1</v>
          </cell>
          <cell r="R16978">
            <v>46023</v>
          </cell>
          <cell r="S16978">
            <v>203003</v>
          </cell>
        </row>
        <row r="16979">
          <cell r="K16979" t="str">
            <v>209001</v>
          </cell>
          <cell r="M16979">
            <v>1</v>
          </cell>
          <cell r="R16979">
            <v>46023</v>
          </cell>
          <cell r="S16979">
            <v>209001</v>
          </cell>
        </row>
        <row r="16980">
          <cell r="K16980" t="str">
            <v>213002</v>
          </cell>
          <cell r="M16980">
            <v>1</v>
          </cell>
          <cell r="R16980">
            <v>46023</v>
          </cell>
          <cell r="S16980">
            <v>213002</v>
          </cell>
        </row>
        <row r="16981">
          <cell r="K16981" t="str">
            <v>201001</v>
          </cell>
          <cell r="M16981">
            <v>5</v>
          </cell>
          <cell r="R16981">
            <v>46023</v>
          </cell>
          <cell r="S16981">
            <v>201001</v>
          </cell>
        </row>
        <row r="16982">
          <cell r="K16982" t="str">
            <v>223001</v>
          </cell>
          <cell r="M16982">
            <v>8</v>
          </cell>
          <cell r="R16982">
            <v>46023</v>
          </cell>
          <cell r="S16982">
            <v>223001</v>
          </cell>
        </row>
        <row r="16983">
          <cell r="K16983" t="str">
            <v>223003</v>
          </cell>
          <cell r="M16983">
            <v>6</v>
          </cell>
          <cell r="R16983">
            <v>46023</v>
          </cell>
          <cell r="S16983">
            <v>223003</v>
          </cell>
        </row>
        <row r="16984">
          <cell r="K16984" t="str">
            <v>223002</v>
          </cell>
          <cell r="M16984">
            <v>8</v>
          </cell>
          <cell r="R16984">
            <v>46023</v>
          </cell>
          <cell r="S16984">
            <v>223002</v>
          </cell>
        </row>
        <row r="16985">
          <cell r="K16985" t="str">
            <v>213022</v>
          </cell>
          <cell r="M16985">
            <v>2</v>
          </cell>
          <cell r="R16985">
            <v>46023</v>
          </cell>
          <cell r="S16985">
            <v>213022</v>
          </cell>
        </row>
        <row r="16986">
          <cell r="K16986" t="str">
            <v>227012</v>
          </cell>
          <cell r="M16986">
            <v>2</v>
          </cell>
          <cell r="R16986">
            <v>46023</v>
          </cell>
          <cell r="S16986">
            <v>227012</v>
          </cell>
        </row>
        <row r="16987">
          <cell r="K16987" t="str">
            <v>222007</v>
          </cell>
          <cell r="M16987">
            <v>1</v>
          </cell>
          <cell r="R16987">
            <v>46023</v>
          </cell>
          <cell r="S16987">
            <v>222007</v>
          </cell>
        </row>
        <row r="16988">
          <cell r="K16988" t="str">
            <v>217018</v>
          </cell>
          <cell r="M16988">
            <v>2</v>
          </cell>
          <cell r="R16988">
            <v>46023</v>
          </cell>
          <cell r="S16988">
            <v>217018</v>
          </cell>
        </row>
        <row r="16989">
          <cell r="K16989" t="str">
            <v>217022</v>
          </cell>
          <cell r="M16989">
            <v>6</v>
          </cell>
          <cell r="R16989">
            <v>46023</v>
          </cell>
          <cell r="S16989">
            <v>217022</v>
          </cell>
        </row>
        <row r="16990">
          <cell r="K16990" t="str">
            <v>226030</v>
          </cell>
          <cell r="M16990">
            <v>2</v>
          </cell>
          <cell r="R16990">
            <v>46023</v>
          </cell>
          <cell r="S16990">
            <v>226030</v>
          </cell>
        </row>
        <row r="16991">
          <cell r="K16991" t="str">
            <v>213002</v>
          </cell>
          <cell r="M16991">
            <v>2</v>
          </cell>
          <cell r="R16991">
            <v>46023</v>
          </cell>
          <cell r="S16991">
            <v>213002</v>
          </cell>
        </row>
        <row r="16992">
          <cell r="K16992" t="str">
            <v>223001</v>
          </cell>
          <cell r="M16992">
            <v>4</v>
          </cell>
          <cell r="R16992">
            <v>46023</v>
          </cell>
          <cell r="S16992">
            <v>223001</v>
          </cell>
        </row>
        <row r="16993">
          <cell r="K16993" t="str">
            <v>223002</v>
          </cell>
          <cell r="M16993">
            <v>3</v>
          </cell>
          <cell r="R16993">
            <v>46023</v>
          </cell>
          <cell r="S16993">
            <v>223002</v>
          </cell>
        </row>
        <row r="16994">
          <cell r="K16994" t="str">
            <v>220002</v>
          </cell>
          <cell r="M16994">
            <v>2</v>
          </cell>
          <cell r="R16994">
            <v>46023</v>
          </cell>
          <cell r="S16994">
            <v>220002</v>
          </cell>
        </row>
        <row r="16995">
          <cell r="K16995" t="str">
            <v>201001</v>
          </cell>
          <cell r="M16995">
            <v>3</v>
          </cell>
          <cell r="R16995">
            <v>46023</v>
          </cell>
          <cell r="S16995">
            <v>201001</v>
          </cell>
        </row>
        <row r="16996">
          <cell r="K16996" t="str">
            <v>241001</v>
          </cell>
          <cell r="M16996">
            <v>3</v>
          </cell>
          <cell r="R16996">
            <v>46023</v>
          </cell>
          <cell r="S16996">
            <v>241001</v>
          </cell>
        </row>
        <row r="16997">
          <cell r="K16997" t="str">
            <v>234011</v>
          </cell>
          <cell r="M16997">
            <v>1</v>
          </cell>
          <cell r="R16997">
            <v>46023</v>
          </cell>
          <cell r="S16997">
            <v>234011</v>
          </cell>
        </row>
        <row r="16998">
          <cell r="K16998" t="str">
            <v>222001</v>
          </cell>
          <cell r="M16998">
            <v>1</v>
          </cell>
          <cell r="R16998">
            <v>46023</v>
          </cell>
          <cell r="S16998">
            <v>222001</v>
          </cell>
        </row>
        <row r="16999">
          <cell r="K16999" t="str">
            <v>209001</v>
          </cell>
          <cell r="M16999">
            <v>1</v>
          </cell>
          <cell r="R16999">
            <v>46023</v>
          </cell>
          <cell r="S16999">
            <v>209001</v>
          </cell>
        </row>
        <row r="17000">
          <cell r="K17000" t="str">
            <v>227012</v>
          </cell>
          <cell r="M17000">
            <v>1</v>
          </cell>
          <cell r="R17000">
            <v>46023</v>
          </cell>
          <cell r="S17000">
            <v>227012</v>
          </cell>
        </row>
        <row r="17001">
          <cell r="K17001" t="str">
            <v>223001</v>
          </cell>
          <cell r="M17001">
            <v>6</v>
          </cell>
          <cell r="R17001">
            <v>46023</v>
          </cell>
          <cell r="S17001">
            <v>223001</v>
          </cell>
        </row>
        <row r="17002">
          <cell r="K17002" t="str">
            <v>223002</v>
          </cell>
          <cell r="M17002">
            <v>6</v>
          </cell>
          <cell r="R17002">
            <v>46023</v>
          </cell>
          <cell r="S17002">
            <v>223002</v>
          </cell>
        </row>
        <row r="17003">
          <cell r="K17003" t="str">
            <v>217018</v>
          </cell>
          <cell r="M17003">
            <v>1</v>
          </cell>
          <cell r="R17003">
            <v>46023</v>
          </cell>
          <cell r="S17003">
            <v>217018</v>
          </cell>
        </row>
        <row r="17004">
          <cell r="K17004" t="str">
            <v>228001</v>
          </cell>
          <cell r="M17004">
            <v>1</v>
          </cell>
          <cell r="R17004">
            <v>46023</v>
          </cell>
          <cell r="S17004">
            <v>228001</v>
          </cell>
        </row>
        <row r="17005">
          <cell r="K17005" t="str">
            <v>203003</v>
          </cell>
          <cell r="M17005">
            <v>1</v>
          </cell>
          <cell r="R17005">
            <v>46023</v>
          </cell>
          <cell r="S17005">
            <v>203003</v>
          </cell>
        </row>
        <row r="17006">
          <cell r="K17006" t="str">
            <v>213022</v>
          </cell>
          <cell r="M17006">
            <v>1</v>
          </cell>
          <cell r="R17006">
            <v>46023</v>
          </cell>
          <cell r="S17006">
            <v>213022</v>
          </cell>
        </row>
        <row r="17007">
          <cell r="K17007" t="str">
            <v>241001</v>
          </cell>
          <cell r="M17007">
            <v>2</v>
          </cell>
          <cell r="R17007">
            <v>46023</v>
          </cell>
          <cell r="S17007">
            <v>241001</v>
          </cell>
        </row>
        <row r="17008">
          <cell r="K17008" t="str">
            <v>222001</v>
          </cell>
          <cell r="M17008">
            <v>3</v>
          </cell>
          <cell r="R17008">
            <v>46023</v>
          </cell>
          <cell r="S17008">
            <v>222001</v>
          </cell>
        </row>
        <row r="17009">
          <cell r="K17009" t="str">
            <v>222007</v>
          </cell>
          <cell r="M17009">
            <v>1</v>
          </cell>
          <cell r="R17009">
            <v>46023</v>
          </cell>
          <cell r="S17009">
            <v>222007</v>
          </cell>
        </row>
        <row r="17010">
          <cell r="K17010" t="str">
            <v>261004</v>
          </cell>
          <cell r="M17010">
            <v>1</v>
          </cell>
          <cell r="R17010">
            <v>46023</v>
          </cell>
          <cell r="S17010">
            <v>261004</v>
          </cell>
        </row>
        <row r="17011">
          <cell r="K17011" t="str">
            <v>222001</v>
          </cell>
          <cell r="M17011">
            <v>1</v>
          </cell>
          <cell r="R17011">
            <v>46023</v>
          </cell>
          <cell r="S17011">
            <v>222001</v>
          </cell>
        </row>
        <row r="17012">
          <cell r="K17012" t="str">
            <v>210015</v>
          </cell>
          <cell r="M17012">
            <v>1</v>
          </cell>
          <cell r="R17012">
            <v>46023</v>
          </cell>
          <cell r="S17012">
            <v>210015</v>
          </cell>
        </row>
        <row r="17013">
          <cell r="K17013" t="str">
            <v>223002</v>
          </cell>
          <cell r="M17013">
            <v>1</v>
          </cell>
          <cell r="R17013">
            <v>46023</v>
          </cell>
          <cell r="S17013">
            <v>223002</v>
          </cell>
        </row>
        <row r="17014">
          <cell r="K17014" t="str">
            <v>223001</v>
          </cell>
          <cell r="M17014">
            <v>1</v>
          </cell>
          <cell r="R17014">
            <v>46023</v>
          </cell>
          <cell r="S17014">
            <v>223001</v>
          </cell>
        </row>
        <row r="17015">
          <cell r="K17015" t="str">
            <v>228001</v>
          </cell>
          <cell r="M17015">
            <v>2</v>
          </cell>
          <cell r="R17015">
            <v>46024</v>
          </cell>
          <cell r="S17015">
            <v>228001</v>
          </cell>
        </row>
        <row r="17016">
          <cell r="K17016" t="str">
            <v>201011</v>
          </cell>
          <cell r="M17016">
            <v>2</v>
          </cell>
          <cell r="R17016">
            <v>46024</v>
          </cell>
          <cell r="S17016">
            <v>201011</v>
          </cell>
        </row>
        <row r="17017">
          <cell r="K17017" t="str">
            <v>209001</v>
          </cell>
          <cell r="M17017">
            <v>2</v>
          </cell>
          <cell r="R17017">
            <v>46024</v>
          </cell>
          <cell r="S17017">
            <v>209001</v>
          </cell>
        </row>
        <row r="17018">
          <cell r="K17018" t="str">
            <v>223001</v>
          </cell>
          <cell r="M17018">
            <v>2</v>
          </cell>
          <cell r="R17018">
            <v>46024</v>
          </cell>
          <cell r="S17018">
            <v>223001</v>
          </cell>
        </row>
        <row r="17019">
          <cell r="K17019" t="str">
            <v>223002</v>
          </cell>
          <cell r="M17019">
            <v>2</v>
          </cell>
          <cell r="R17019">
            <v>46024</v>
          </cell>
          <cell r="S17019">
            <v>223002</v>
          </cell>
        </row>
        <row r="17020">
          <cell r="K17020" t="str">
            <v>234001</v>
          </cell>
          <cell r="M17020">
            <v>1</v>
          </cell>
          <cell r="R17020">
            <v>46024</v>
          </cell>
          <cell r="S17020">
            <v>234001</v>
          </cell>
        </row>
        <row r="17021">
          <cell r="K17021" t="str">
            <v>234011</v>
          </cell>
          <cell r="M17021">
            <v>1</v>
          </cell>
          <cell r="R17021">
            <v>46024</v>
          </cell>
          <cell r="S17021">
            <v>234011</v>
          </cell>
        </row>
        <row r="17022">
          <cell r="K17022" t="str">
            <v>228001</v>
          </cell>
          <cell r="M17022">
            <v>7</v>
          </cell>
          <cell r="R17022">
            <v>46024</v>
          </cell>
          <cell r="S17022">
            <v>228001</v>
          </cell>
        </row>
        <row r="17023">
          <cell r="K17023" t="str">
            <v>213022</v>
          </cell>
          <cell r="M17023">
            <v>1</v>
          </cell>
          <cell r="R17023">
            <v>46024</v>
          </cell>
          <cell r="S17023">
            <v>213022</v>
          </cell>
        </row>
        <row r="17024">
          <cell r="K17024" t="str">
            <v>220002</v>
          </cell>
          <cell r="M17024">
            <v>4</v>
          </cell>
          <cell r="R17024">
            <v>46024</v>
          </cell>
          <cell r="S17024">
            <v>220002</v>
          </cell>
        </row>
        <row r="17025">
          <cell r="K17025" t="str">
            <v>223002</v>
          </cell>
          <cell r="M17025">
            <v>2</v>
          </cell>
          <cell r="R17025">
            <v>46024</v>
          </cell>
          <cell r="S17025">
            <v>223002</v>
          </cell>
        </row>
        <row r="17026">
          <cell r="K17026" t="str">
            <v>201001</v>
          </cell>
          <cell r="M17026">
            <v>2</v>
          </cell>
          <cell r="R17026">
            <v>46024</v>
          </cell>
          <cell r="S17026">
            <v>201001</v>
          </cell>
        </row>
        <row r="17027">
          <cell r="K17027" t="str">
            <v>228001</v>
          </cell>
          <cell r="M17027">
            <v>1</v>
          </cell>
          <cell r="R17027">
            <v>46024</v>
          </cell>
          <cell r="S17027">
            <v>228001</v>
          </cell>
        </row>
        <row r="17028">
          <cell r="K17028" t="str">
            <v>228001</v>
          </cell>
          <cell r="M17028">
            <v>1</v>
          </cell>
          <cell r="R17028">
            <v>46024</v>
          </cell>
          <cell r="S17028">
            <v>228001</v>
          </cell>
        </row>
        <row r="17029">
          <cell r="K17029" t="str">
            <v>231012</v>
          </cell>
          <cell r="M17029">
            <v>1</v>
          </cell>
          <cell r="R17029">
            <v>46024</v>
          </cell>
          <cell r="S17029">
            <v>231012</v>
          </cell>
        </row>
        <row r="17030">
          <cell r="K17030" t="str">
            <v>201024</v>
          </cell>
          <cell r="M17030">
            <v>2</v>
          </cell>
          <cell r="R17030">
            <v>46024</v>
          </cell>
          <cell r="S17030">
            <v>201024</v>
          </cell>
        </row>
        <row r="17031">
          <cell r="K17031" t="str">
            <v>217024</v>
          </cell>
          <cell r="M17031">
            <v>1</v>
          </cell>
          <cell r="R17031">
            <v>46024</v>
          </cell>
          <cell r="S17031">
            <v>217024</v>
          </cell>
        </row>
        <row r="17032">
          <cell r="K17032" t="str">
            <v>228001</v>
          </cell>
          <cell r="M17032">
            <v>2</v>
          </cell>
          <cell r="R17032">
            <v>46024</v>
          </cell>
          <cell r="S17032">
            <v>228001</v>
          </cell>
        </row>
        <row r="17033">
          <cell r="K17033" t="str">
            <v>217011</v>
          </cell>
          <cell r="M17033">
            <v>1</v>
          </cell>
          <cell r="R17033">
            <v>46024</v>
          </cell>
          <cell r="S17033">
            <v>217011</v>
          </cell>
        </row>
        <row r="17034">
          <cell r="K17034" t="str">
            <v>205004</v>
          </cell>
          <cell r="M17034">
            <v>1</v>
          </cell>
          <cell r="R17034">
            <v>46024</v>
          </cell>
          <cell r="S17034">
            <v>205004</v>
          </cell>
        </row>
        <row r="17035">
          <cell r="K17035" t="str">
            <v>231004</v>
          </cell>
          <cell r="M17035">
            <v>3</v>
          </cell>
          <cell r="R17035">
            <v>46024</v>
          </cell>
          <cell r="S17035">
            <v>231004</v>
          </cell>
        </row>
        <row r="17036">
          <cell r="K17036" t="str">
            <v>213021</v>
          </cell>
          <cell r="M17036">
            <v>1</v>
          </cell>
          <cell r="R17036">
            <v>46024</v>
          </cell>
          <cell r="S17036">
            <v>213021</v>
          </cell>
        </row>
        <row r="17037">
          <cell r="K17037" t="str">
            <v>201001</v>
          </cell>
          <cell r="M17037">
            <v>1</v>
          </cell>
          <cell r="R17037">
            <v>46024</v>
          </cell>
          <cell r="S17037">
            <v>201001</v>
          </cell>
        </row>
        <row r="17038">
          <cell r="K17038" t="str">
            <v>226001</v>
          </cell>
          <cell r="M17038">
            <v>1</v>
          </cell>
          <cell r="R17038">
            <v>46024</v>
          </cell>
          <cell r="S17038">
            <v>226001</v>
          </cell>
        </row>
        <row r="17039">
          <cell r="K17039" t="str">
            <v>201011</v>
          </cell>
          <cell r="M17039">
            <v>2</v>
          </cell>
          <cell r="R17039">
            <v>46024</v>
          </cell>
          <cell r="S17039">
            <v>201011</v>
          </cell>
        </row>
        <row r="17040">
          <cell r="K17040" t="str">
            <v>223001</v>
          </cell>
          <cell r="M17040">
            <v>4</v>
          </cell>
          <cell r="R17040">
            <v>46024</v>
          </cell>
          <cell r="S17040">
            <v>223001</v>
          </cell>
        </row>
        <row r="17041">
          <cell r="K17041" t="str">
            <v>201001</v>
          </cell>
          <cell r="M17041">
            <v>1</v>
          </cell>
          <cell r="R17041">
            <v>46024</v>
          </cell>
          <cell r="S17041">
            <v>201001</v>
          </cell>
        </row>
        <row r="17042">
          <cell r="K17042" t="str">
            <v>201022</v>
          </cell>
          <cell r="M17042">
            <v>1</v>
          </cell>
          <cell r="R17042">
            <v>46024</v>
          </cell>
          <cell r="S17042">
            <v>201022</v>
          </cell>
        </row>
        <row r="17043">
          <cell r="K17043" t="str">
            <v>227002</v>
          </cell>
          <cell r="M17043">
            <v>1</v>
          </cell>
          <cell r="R17043">
            <v>46024</v>
          </cell>
          <cell r="S17043">
            <v>227002</v>
          </cell>
        </row>
        <row r="17044">
          <cell r="K17044" t="str">
            <v>203004</v>
          </cell>
          <cell r="M17044">
            <v>1</v>
          </cell>
          <cell r="R17044">
            <v>46024</v>
          </cell>
          <cell r="S17044">
            <v>203004</v>
          </cell>
        </row>
        <row r="17045">
          <cell r="K17045" t="str">
            <v>218001</v>
          </cell>
          <cell r="M17045">
            <v>1</v>
          </cell>
          <cell r="R17045">
            <v>46024</v>
          </cell>
          <cell r="S17045">
            <v>218001</v>
          </cell>
        </row>
        <row r="17046">
          <cell r="K17046" t="str">
            <v>227012</v>
          </cell>
          <cell r="M17046">
            <v>1</v>
          </cell>
          <cell r="R17046">
            <v>46024</v>
          </cell>
          <cell r="S17046">
            <v>227012</v>
          </cell>
        </row>
        <row r="17047">
          <cell r="K17047" t="str">
            <v>228001</v>
          </cell>
          <cell r="M17047">
            <v>7</v>
          </cell>
          <cell r="R17047">
            <v>46024</v>
          </cell>
          <cell r="S17047">
            <v>228001</v>
          </cell>
        </row>
        <row r="17048">
          <cell r="K17048" t="str">
            <v>213022</v>
          </cell>
          <cell r="M17048">
            <v>3</v>
          </cell>
          <cell r="R17048">
            <v>46024</v>
          </cell>
          <cell r="S17048">
            <v>213022</v>
          </cell>
        </row>
        <row r="17049">
          <cell r="K17049" t="str">
            <v>217011</v>
          </cell>
          <cell r="M17049">
            <v>3</v>
          </cell>
          <cell r="R17049">
            <v>46024</v>
          </cell>
          <cell r="S17049">
            <v>217011</v>
          </cell>
        </row>
        <row r="17050">
          <cell r="K17050" t="str">
            <v>212035</v>
          </cell>
          <cell r="M17050">
            <v>5</v>
          </cell>
          <cell r="R17050">
            <v>46024</v>
          </cell>
          <cell r="S17050">
            <v>212035</v>
          </cell>
        </row>
        <row r="17051">
          <cell r="K17051" t="str">
            <v>207017</v>
          </cell>
          <cell r="M17051">
            <v>2</v>
          </cell>
          <cell r="R17051">
            <v>46024</v>
          </cell>
          <cell r="S17051">
            <v>207017</v>
          </cell>
        </row>
        <row r="17052">
          <cell r="K17052" t="str">
            <v>228001</v>
          </cell>
          <cell r="M17052">
            <v>1</v>
          </cell>
          <cell r="R17052">
            <v>46024</v>
          </cell>
          <cell r="S17052">
            <v>228001</v>
          </cell>
        </row>
        <row r="17053">
          <cell r="K17053" t="str">
            <v>203001</v>
          </cell>
          <cell r="M17053">
            <v>4</v>
          </cell>
          <cell r="R17053">
            <v>46024</v>
          </cell>
          <cell r="S17053">
            <v>203001</v>
          </cell>
        </row>
        <row r="17054">
          <cell r="K17054" t="str">
            <v>201001</v>
          </cell>
          <cell r="M17054">
            <v>8</v>
          </cell>
          <cell r="R17054">
            <v>46024</v>
          </cell>
          <cell r="S17054">
            <v>201001</v>
          </cell>
        </row>
        <row r="17055">
          <cell r="K17055" t="str">
            <v>220002</v>
          </cell>
          <cell r="M17055">
            <v>2</v>
          </cell>
          <cell r="R17055">
            <v>46024</v>
          </cell>
          <cell r="S17055">
            <v>220002</v>
          </cell>
        </row>
        <row r="17056">
          <cell r="K17056" t="str">
            <v>212035</v>
          </cell>
          <cell r="M17056">
            <v>1</v>
          </cell>
          <cell r="R17056">
            <v>46026</v>
          </cell>
          <cell r="S17056">
            <v>212035</v>
          </cell>
        </row>
        <row r="17057">
          <cell r="K17057" t="str">
            <v>236011</v>
          </cell>
          <cell r="M17057">
            <v>1</v>
          </cell>
          <cell r="R17057">
            <v>46026</v>
          </cell>
          <cell r="S17057">
            <v>236011</v>
          </cell>
        </row>
        <row r="17058">
          <cell r="K17058" t="str">
            <v>201001</v>
          </cell>
          <cell r="M17058">
            <v>3</v>
          </cell>
          <cell r="R17058">
            <v>46026</v>
          </cell>
          <cell r="S17058">
            <v>201001</v>
          </cell>
        </row>
        <row r="17059">
          <cell r="K17059" t="str">
            <v>228001</v>
          </cell>
          <cell r="M17059">
            <v>8</v>
          </cell>
          <cell r="R17059">
            <v>46027</v>
          </cell>
          <cell r="S17059">
            <v>228001</v>
          </cell>
        </row>
        <row r="17060">
          <cell r="K17060" t="str">
            <v>209004</v>
          </cell>
          <cell r="M17060">
            <v>1</v>
          </cell>
          <cell r="R17060">
            <v>46027</v>
          </cell>
          <cell r="S17060">
            <v>209004</v>
          </cell>
        </row>
        <row r="17061">
          <cell r="K17061" t="str">
            <v>210015</v>
          </cell>
          <cell r="M17061">
            <v>3</v>
          </cell>
          <cell r="R17061">
            <v>46027</v>
          </cell>
          <cell r="S17061">
            <v>210015</v>
          </cell>
        </row>
        <row r="17062">
          <cell r="K17062" t="str">
            <v>203003</v>
          </cell>
          <cell r="M17062">
            <v>1</v>
          </cell>
          <cell r="R17062">
            <v>46027</v>
          </cell>
          <cell r="S17062">
            <v>203003</v>
          </cell>
        </row>
        <row r="17063">
          <cell r="K17063" t="str">
            <v>220002</v>
          </cell>
          <cell r="M17063">
            <v>2</v>
          </cell>
          <cell r="R17063">
            <v>46027</v>
          </cell>
          <cell r="S17063">
            <v>220002</v>
          </cell>
        </row>
        <row r="17064">
          <cell r="K17064" t="str">
            <v>231012</v>
          </cell>
          <cell r="M17064">
            <v>2</v>
          </cell>
          <cell r="R17064">
            <v>46027</v>
          </cell>
          <cell r="S17064">
            <v>231012</v>
          </cell>
        </row>
        <row r="17065">
          <cell r="K17065" t="str">
            <v>231010</v>
          </cell>
          <cell r="M17065">
            <v>4</v>
          </cell>
          <cell r="R17065">
            <v>46026</v>
          </cell>
          <cell r="S17065">
            <v>231010</v>
          </cell>
        </row>
        <row r="17066">
          <cell r="K17066" t="str">
            <v>201001</v>
          </cell>
          <cell r="M17066">
            <v>1</v>
          </cell>
          <cell r="R17066">
            <v>46026</v>
          </cell>
          <cell r="S17066">
            <v>201001</v>
          </cell>
        </row>
        <row r="17067">
          <cell r="K17067" t="str">
            <v>223002</v>
          </cell>
          <cell r="M17067">
            <v>4</v>
          </cell>
          <cell r="R17067">
            <v>46026</v>
          </cell>
          <cell r="S17067">
            <v>223002</v>
          </cell>
        </row>
        <row r="17068">
          <cell r="K17068" t="str">
            <v>223001</v>
          </cell>
          <cell r="M17068">
            <v>10</v>
          </cell>
          <cell r="R17068">
            <v>46026</v>
          </cell>
          <cell r="S17068">
            <v>223001</v>
          </cell>
        </row>
        <row r="17069">
          <cell r="K17069" t="str">
            <v>227012</v>
          </cell>
          <cell r="M17069">
            <v>2</v>
          </cell>
          <cell r="R17069">
            <v>46026</v>
          </cell>
          <cell r="S17069">
            <v>227012</v>
          </cell>
        </row>
        <row r="17070">
          <cell r="K17070" t="str">
            <v>209022</v>
          </cell>
          <cell r="M17070">
            <v>7</v>
          </cell>
          <cell r="R17070">
            <v>46026</v>
          </cell>
          <cell r="S17070">
            <v>209022</v>
          </cell>
        </row>
        <row r="17071">
          <cell r="K17071" t="str">
            <v>222001</v>
          </cell>
          <cell r="M17071">
            <v>1</v>
          </cell>
          <cell r="R17071">
            <v>46024</v>
          </cell>
          <cell r="S17071">
            <v>222001</v>
          </cell>
        </row>
        <row r="17072">
          <cell r="K17072" t="str">
            <v>201001</v>
          </cell>
          <cell r="M17072">
            <v>4</v>
          </cell>
          <cell r="R17072">
            <v>46026</v>
          </cell>
          <cell r="S17072">
            <v>201001</v>
          </cell>
        </row>
        <row r="17073">
          <cell r="K17073" t="str">
            <v>213002</v>
          </cell>
          <cell r="M17073">
            <v>10</v>
          </cell>
          <cell r="R17073">
            <v>46026</v>
          </cell>
          <cell r="S17073">
            <v>213002</v>
          </cell>
        </row>
        <row r="17074">
          <cell r="K17074" t="str">
            <v>228001</v>
          </cell>
          <cell r="M17074">
            <v>4</v>
          </cell>
          <cell r="R17074">
            <v>46026</v>
          </cell>
          <cell r="S17074">
            <v>228001</v>
          </cell>
        </row>
        <row r="17075">
          <cell r="K17075" t="str">
            <v>217019</v>
          </cell>
          <cell r="M17075">
            <v>11</v>
          </cell>
          <cell r="R17075">
            <v>46026</v>
          </cell>
          <cell r="S17075">
            <v>217019</v>
          </cell>
        </row>
        <row r="17076">
          <cell r="K17076" t="str">
            <v>213022</v>
          </cell>
          <cell r="M17076">
            <v>10</v>
          </cell>
          <cell r="R17076">
            <v>46024</v>
          </cell>
          <cell r="S17076">
            <v>213022</v>
          </cell>
        </row>
        <row r="17077">
          <cell r="K17077" t="str">
            <v>201001</v>
          </cell>
          <cell r="M17077">
            <v>4</v>
          </cell>
          <cell r="R17077">
            <v>46026</v>
          </cell>
          <cell r="S17077">
            <v>201001</v>
          </cell>
        </row>
        <row r="17078">
          <cell r="K17078" t="str">
            <v>241001</v>
          </cell>
          <cell r="M17078">
            <v>5</v>
          </cell>
          <cell r="R17078">
            <v>46026</v>
          </cell>
          <cell r="S17078">
            <v>241001</v>
          </cell>
        </row>
        <row r="17079">
          <cell r="K17079" t="str">
            <v>213002</v>
          </cell>
          <cell r="M17079">
            <v>1</v>
          </cell>
          <cell r="R17079">
            <v>46026</v>
          </cell>
          <cell r="S17079">
            <v>213002</v>
          </cell>
        </row>
        <row r="17080">
          <cell r="K17080" t="str">
            <v>222005</v>
          </cell>
          <cell r="M17080">
            <v>1</v>
          </cell>
          <cell r="R17080">
            <v>46026</v>
          </cell>
          <cell r="S17080">
            <v>222005</v>
          </cell>
        </row>
        <row r="17081">
          <cell r="K17081" t="str">
            <v>210014</v>
          </cell>
          <cell r="M17081">
            <v>2</v>
          </cell>
          <cell r="R17081">
            <v>46024</v>
          </cell>
          <cell r="S17081">
            <v>210014</v>
          </cell>
        </row>
        <row r="17082">
          <cell r="K17082" t="str">
            <v>223001</v>
          </cell>
          <cell r="M17082">
            <v>8</v>
          </cell>
          <cell r="R17082">
            <v>46024</v>
          </cell>
          <cell r="S17082">
            <v>223001</v>
          </cell>
        </row>
        <row r="17083">
          <cell r="K17083" t="str">
            <v>227012</v>
          </cell>
          <cell r="M17083">
            <v>2</v>
          </cell>
          <cell r="R17083">
            <v>46024</v>
          </cell>
          <cell r="S17083">
            <v>227012</v>
          </cell>
        </row>
        <row r="17084">
          <cell r="K17084" t="str">
            <v>223002</v>
          </cell>
          <cell r="M17084">
            <v>1</v>
          </cell>
          <cell r="R17084">
            <v>46024</v>
          </cell>
          <cell r="S17084">
            <v>223002</v>
          </cell>
        </row>
        <row r="17085">
          <cell r="K17085" t="str">
            <v>226027</v>
          </cell>
          <cell r="M17085">
            <v>1</v>
          </cell>
          <cell r="R17085">
            <v>46024</v>
          </cell>
          <cell r="S17085">
            <v>226027</v>
          </cell>
        </row>
        <row r="17086">
          <cell r="K17086" t="str">
            <v>226022</v>
          </cell>
          <cell r="M17086">
            <v>1</v>
          </cell>
          <cell r="R17086">
            <v>46024</v>
          </cell>
          <cell r="S17086">
            <v>226022</v>
          </cell>
        </row>
        <row r="17087">
          <cell r="K17087" t="str">
            <v>217022</v>
          </cell>
          <cell r="M17087">
            <v>3</v>
          </cell>
          <cell r="R17087">
            <v>46024</v>
          </cell>
          <cell r="S17087">
            <v>217022</v>
          </cell>
        </row>
        <row r="17088">
          <cell r="K17088" t="str">
            <v>203003</v>
          </cell>
          <cell r="M17088">
            <v>1</v>
          </cell>
          <cell r="R17088">
            <v>46026</v>
          </cell>
          <cell r="S17088">
            <v>203003</v>
          </cell>
        </row>
        <row r="17089">
          <cell r="K17089" t="str">
            <v>241001</v>
          </cell>
          <cell r="M17089">
            <v>7</v>
          </cell>
          <cell r="R17089">
            <v>46026</v>
          </cell>
          <cell r="S17089">
            <v>241001</v>
          </cell>
        </row>
        <row r="17090">
          <cell r="K17090" t="str">
            <v>210015</v>
          </cell>
          <cell r="M17090">
            <v>2</v>
          </cell>
          <cell r="R17090">
            <v>46026</v>
          </cell>
          <cell r="S17090">
            <v>210015</v>
          </cell>
        </row>
        <row r="17091">
          <cell r="K17091" t="str">
            <v>220002</v>
          </cell>
          <cell r="M17091">
            <v>2</v>
          </cell>
          <cell r="R17091">
            <v>46027</v>
          </cell>
          <cell r="S17091">
            <v>220002</v>
          </cell>
        </row>
        <row r="17092">
          <cell r="K17092" t="str">
            <v>209004</v>
          </cell>
          <cell r="M17092">
            <v>1</v>
          </cell>
          <cell r="R17092">
            <v>46027</v>
          </cell>
          <cell r="S17092">
            <v>209004</v>
          </cell>
        </row>
        <row r="17093">
          <cell r="K17093" t="str">
            <v>210015</v>
          </cell>
          <cell r="M17093">
            <v>2</v>
          </cell>
          <cell r="R17093">
            <v>46027</v>
          </cell>
          <cell r="S17093">
            <v>210015</v>
          </cell>
        </row>
        <row r="17094">
          <cell r="K17094" t="str">
            <v>201001</v>
          </cell>
          <cell r="M17094">
            <v>1</v>
          </cell>
          <cell r="R17094">
            <v>46027</v>
          </cell>
          <cell r="S17094">
            <v>201001</v>
          </cell>
        </row>
        <row r="17095">
          <cell r="K17095" t="str">
            <v>220002</v>
          </cell>
          <cell r="M17095">
            <v>1</v>
          </cell>
          <cell r="R17095">
            <v>46027</v>
          </cell>
          <cell r="S17095">
            <v>220002</v>
          </cell>
        </row>
        <row r="17096">
          <cell r="K17096" t="str">
            <v>226022</v>
          </cell>
          <cell r="M17096">
            <v>1</v>
          </cell>
          <cell r="R17096">
            <v>46027</v>
          </cell>
          <cell r="S17096">
            <v>226022</v>
          </cell>
        </row>
        <row r="17097">
          <cell r="K17097" t="str">
            <v>226027</v>
          </cell>
          <cell r="M17097">
            <v>1</v>
          </cell>
          <cell r="R17097">
            <v>46027</v>
          </cell>
          <cell r="S17097">
            <v>226027</v>
          </cell>
        </row>
        <row r="17098">
          <cell r="K17098" t="str">
            <v>223001</v>
          </cell>
          <cell r="M17098">
            <v>3</v>
          </cell>
          <cell r="R17098">
            <v>46026</v>
          </cell>
          <cell r="S17098">
            <v>223001</v>
          </cell>
        </row>
        <row r="17099">
          <cell r="K17099" t="str">
            <v>223002</v>
          </cell>
          <cell r="M17099">
            <v>3</v>
          </cell>
          <cell r="R17099">
            <v>46026</v>
          </cell>
          <cell r="S17099">
            <v>223002</v>
          </cell>
        </row>
        <row r="17100">
          <cell r="K17100" t="str">
            <v>227012</v>
          </cell>
          <cell r="M17100">
            <v>1</v>
          </cell>
          <cell r="R17100">
            <v>46026</v>
          </cell>
          <cell r="S17100">
            <v>227012</v>
          </cell>
        </row>
        <row r="17101">
          <cell r="K17101" t="str">
            <v>201024</v>
          </cell>
          <cell r="M17101">
            <v>5</v>
          </cell>
          <cell r="R17101">
            <v>46026</v>
          </cell>
          <cell r="S17101">
            <v>201024</v>
          </cell>
        </row>
        <row r="17102">
          <cell r="K17102" t="str">
            <v>228001</v>
          </cell>
          <cell r="M17102">
            <v>8</v>
          </cell>
          <cell r="R17102">
            <v>46026</v>
          </cell>
          <cell r="S17102">
            <v>228001</v>
          </cell>
        </row>
        <row r="17103">
          <cell r="K17103" t="str">
            <v>223001</v>
          </cell>
          <cell r="M17103">
            <v>1</v>
          </cell>
          <cell r="R17103">
            <v>46026</v>
          </cell>
          <cell r="S17103">
            <v>223001</v>
          </cell>
        </row>
        <row r="17104">
          <cell r="K17104" t="str">
            <v>223004</v>
          </cell>
          <cell r="M17104">
            <v>1</v>
          </cell>
          <cell r="R17104">
            <v>46026</v>
          </cell>
          <cell r="S17104">
            <v>223004</v>
          </cell>
        </row>
        <row r="17105">
          <cell r="K17105" t="str">
            <v>201011</v>
          </cell>
          <cell r="M17105">
            <v>2</v>
          </cell>
          <cell r="R17105">
            <v>46026</v>
          </cell>
          <cell r="S17105">
            <v>201011</v>
          </cell>
        </row>
        <row r="17106">
          <cell r="K17106" t="str">
            <v>223001</v>
          </cell>
          <cell r="M17106">
            <v>1</v>
          </cell>
          <cell r="R17106">
            <v>46026</v>
          </cell>
          <cell r="S17106">
            <v>223001</v>
          </cell>
        </row>
        <row r="17107">
          <cell r="K17107" t="str">
            <v>228001</v>
          </cell>
          <cell r="M17107">
            <v>7</v>
          </cell>
          <cell r="R17107">
            <v>46026</v>
          </cell>
          <cell r="S17107">
            <v>228001</v>
          </cell>
        </row>
        <row r="17108">
          <cell r="K17108" t="str">
            <v>237001</v>
          </cell>
          <cell r="M17108">
            <v>6</v>
          </cell>
          <cell r="R17108">
            <v>46026</v>
          </cell>
          <cell r="S17108">
            <v>237001</v>
          </cell>
        </row>
        <row r="17109">
          <cell r="K17109" t="str">
            <v>201011</v>
          </cell>
          <cell r="M17109">
            <v>10</v>
          </cell>
          <cell r="R17109">
            <v>46026</v>
          </cell>
          <cell r="S17109">
            <v>201011</v>
          </cell>
        </row>
        <row r="17110">
          <cell r="K17110" t="str">
            <v>223001</v>
          </cell>
          <cell r="M17110">
            <v>2</v>
          </cell>
          <cell r="R17110">
            <v>46027</v>
          </cell>
          <cell r="S17110">
            <v>223001</v>
          </cell>
        </row>
        <row r="17111">
          <cell r="K17111" t="str">
            <v>223002</v>
          </cell>
          <cell r="M17111">
            <v>2</v>
          </cell>
          <cell r="R17111">
            <v>46027</v>
          </cell>
          <cell r="S17111">
            <v>223002</v>
          </cell>
        </row>
        <row r="17112">
          <cell r="K17112" t="str">
            <v>228001</v>
          </cell>
          <cell r="M17112">
            <v>1</v>
          </cell>
          <cell r="R17112">
            <v>46026</v>
          </cell>
          <cell r="S17112">
            <v>228001</v>
          </cell>
        </row>
        <row r="17113">
          <cell r="K17113" t="str">
            <v>213022</v>
          </cell>
          <cell r="M17113">
            <v>2</v>
          </cell>
          <cell r="R17113">
            <v>46026</v>
          </cell>
          <cell r="S17113">
            <v>213022</v>
          </cell>
        </row>
        <row r="17114">
          <cell r="K17114" t="str">
            <v>228001</v>
          </cell>
          <cell r="M17114">
            <v>3</v>
          </cell>
          <cell r="R17114">
            <v>46026</v>
          </cell>
          <cell r="S17114">
            <v>228001</v>
          </cell>
        </row>
        <row r="17115">
          <cell r="K17115" t="str">
            <v>201011</v>
          </cell>
          <cell r="M17115">
            <v>12</v>
          </cell>
          <cell r="R17115">
            <v>46027</v>
          </cell>
          <cell r="S17115">
            <v>201011</v>
          </cell>
        </row>
        <row r="17116">
          <cell r="K17116" t="str">
            <v>228001</v>
          </cell>
          <cell r="M17116">
            <v>2</v>
          </cell>
          <cell r="R17116">
            <v>46027</v>
          </cell>
          <cell r="S17116">
            <v>228001</v>
          </cell>
        </row>
        <row r="17117">
          <cell r="K17117" t="str">
            <v>201011</v>
          </cell>
          <cell r="M17117">
            <v>12</v>
          </cell>
          <cell r="R17117">
            <v>46027</v>
          </cell>
          <cell r="S17117">
            <v>201011</v>
          </cell>
        </row>
        <row r="17118">
          <cell r="K17118" t="str">
            <v>201011</v>
          </cell>
          <cell r="M17118">
            <v>8</v>
          </cell>
          <cell r="R17118">
            <v>46027</v>
          </cell>
          <cell r="S17118">
            <v>201011</v>
          </cell>
        </row>
        <row r="17119">
          <cell r="K17119" t="str">
            <v>228001</v>
          </cell>
          <cell r="M17119">
            <v>2</v>
          </cell>
          <cell r="R17119">
            <v>46026</v>
          </cell>
          <cell r="S17119">
            <v>228001</v>
          </cell>
        </row>
        <row r="17120">
          <cell r="K17120" t="str">
            <v>228001</v>
          </cell>
          <cell r="M17120">
            <v>1</v>
          </cell>
          <cell r="R17120">
            <v>46026</v>
          </cell>
          <cell r="S17120">
            <v>228001</v>
          </cell>
        </row>
        <row r="17121">
          <cell r="K17121" t="str">
            <v>228001</v>
          </cell>
          <cell r="M17121">
            <v>2</v>
          </cell>
          <cell r="R17121">
            <v>46026</v>
          </cell>
          <cell r="S17121">
            <v>228001</v>
          </cell>
        </row>
        <row r="17122">
          <cell r="K17122" t="str">
            <v>228001</v>
          </cell>
          <cell r="M17122">
            <v>4</v>
          </cell>
          <cell r="R17122">
            <v>46026</v>
          </cell>
          <cell r="S17122">
            <v>228001</v>
          </cell>
        </row>
        <row r="17123">
          <cell r="K17123" t="str">
            <v>237001</v>
          </cell>
          <cell r="M17123">
            <v>1</v>
          </cell>
          <cell r="R17123">
            <v>46024</v>
          </cell>
          <cell r="S17123">
            <v>237001</v>
          </cell>
        </row>
        <row r="17124">
          <cell r="K17124" t="str">
            <v>228001</v>
          </cell>
          <cell r="M17124">
            <v>1</v>
          </cell>
          <cell r="R17124">
            <v>46026</v>
          </cell>
          <cell r="S17124">
            <v>228001</v>
          </cell>
        </row>
        <row r="17125">
          <cell r="K17125" t="str">
            <v>231012</v>
          </cell>
          <cell r="M17125">
            <v>1</v>
          </cell>
          <cell r="R17125">
            <v>46026</v>
          </cell>
          <cell r="S17125">
            <v>231012</v>
          </cell>
        </row>
        <row r="17126">
          <cell r="K17126" t="str">
            <v>209012</v>
          </cell>
          <cell r="M17126">
            <v>3</v>
          </cell>
          <cell r="R17126">
            <v>46027</v>
          </cell>
          <cell r="S17126">
            <v>209012</v>
          </cell>
        </row>
        <row r="17127">
          <cell r="K17127" t="str">
            <v>213002</v>
          </cell>
          <cell r="M17127">
            <v>2</v>
          </cell>
          <cell r="R17127">
            <v>46027</v>
          </cell>
          <cell r="S17127">
            <v>213002</v>
          </cell>
        </row>
        <row r="17128">
          <cell r="K17128" t="str">
            <v>231012</v>
          </cell>
          <cell r="M17128">
            <v>2</v>
          </cell>
          <cell r="R17128">
            <v>46027</v>
          </cell>
          <cell r="S17128">
            <v>231012</v>
          </cell>
        </row>
        <row r="17129">
          <cell r="K17129" t="str">
            <v>217022</v>
          </cell>
          <cell r="M17129">
            <v>2</v>
          </cell>
          <cell r="R17129">
            <v>46027</v>
          </cell>
          <cell r="S17129">
            <v>217022</v>
          </cell>
        </row>
        <row r="17130">
          <cell r="K17130" t="str">
            <v>207017</v>
          </cell>
          <cell r="M17130">
            <v>1</v>
          </cell>
          <cell r="R17130">
            <v>46027</v>
          </cell>
          <cell r="S17130">
            <v>207017</v>
          </cell>
        </row>
        <row r="17131">
          <cell r="K17131" t="str">
            <v>213002</v>
          </cell>
          <cell r="M17131">
            <v>4</v>
          </cell>
          <cell r="R17131">
            <v>46027</v>
          </cell>
          <cell r="S17131">
            <v>213002</v>
          </cell>
        </row>
        <row r="17132">
          <cell r="K17132" t="str">
            <v>209012</v>
          </cell>
          <cell r="M17132">
            <v>1</v>
          </cell>
          <cell r="R17132">
            <v>46020</v>
          </cell>
          <cell r="S17132">
            <v>209012</v>
          </cell>
        </row>
        <row r="17133">
          <cell r="K17133" t="str">
            <v>212035</v>
          </cell>
          <cell r="M17133">
            <v>1</v>
          </cell>
          <cell r="R17133">
            <v>46027</v>
          </cell>
          <cell r="S17133">
            <v>212035</v>
          </cell>
        </row>
        <row r="17134">
          <cell r="K17134" t="str">
            <v>228001</v>
          </cell>
          <cell r="M17134">
            <v>2</v>
          </cell>
          <cell r="R17134">
            <v>46027</v>
          </cell>
          <cell r="S17134">
            <v>228001</v>
          </cell>
        </row>
        <row r="17135">
          <cell r="K17135" t="str">
            <v>209004</v>
          </cell>
          <cell r="M17135">
            <v>1</v>
          </cell>
          <cell r="R17135">
            <v>46027</v>
          </cell>
          <cell r="S17135">
            <v>209004</v>
          </cell>
        </row>
        <row r="17136">
          <cell r="K17136" t="str">
            <v>228001</v>
          </cell>
          <cell r="M17136">
            <v>1</v>
          </cell>
          <cell r="R17136">
            <v>46027</v>
          </cell>
          <cell r="S17136">
            <v>228001</v>
          </cell>
        </row>
        <row r="17137">
          <cell r="K17137" t="str">
            <v>223001</v>
          </cell>
          <cell r="M17137">
            <v>1</v>
          </cell>
          <cell r="R17137">
            <v>46027</v>
          </cell>
          <cell r="S17137">
            <v>223001</v>
          </cell>
        </row>
        <row r="17138">
          <cell r="K17138" t="str">
            <v>203003</v>
          </cell>
          <cell r="M17138">
            <v>2</v>
          </cell>
          <cell r="R17138">
            <v>46027</v>
          </cell>
          <cell r="S17138">
            <v>203003</v>
          </cell>
        </row>
        <row r="17139">
          <cell r="K17139" t="str">
            <v>203003</v>
          </cell>
          <cell r="M17139">
            <v>2</v>
          </cell>
          <cell r="R17139">
            <v>46027</v>
          </cell>
          <cell r="S17139">
            <v>203003</v>
          </cell>
        </row>
        <row r="17140">
          <cell r="K17140" t="str">
            <v>201024</v>
          </cell>
          <cell r="M17140">
            <v>2</v>
          </cell>
          <cell r="R17140">
            <v>46027</v>
          </cell>
          <cell r="S17140">
            <v>201024</v>
          </cell>
        </row>
        <row r="17141">
          <cell r="K17141" t="str">
            <v>212035</v>
          </cell>
          <cell r="M17141">
            <v>2</v>
          </cell>
          <cell r="R17141">
            <v>46027</v>
          </cell>
          <cell r="S17141">
            <v>212035</v>
          </cell>
        </row>
        <row r="17142">
          <cell r="K17142" t="str">
            <v>231010</v>
          </cell>
          <cell r="M17142">
            <v>3</v>
          </cell>
          <cell r="R17142">
            <v>46027</v>
          </cell>
          <cell r="S17142">
            <v>231010</v>
          </cell>
        </row>
        <row r="17143">
          <cell r="K17143" t="str">
            <v>213022</v>
          </cell>
          <cell r="M17143">
            <v>1</v>
          </cell>
          <cell r="R17143">
            <v>46027</v>
          </cell>
          <cell r="S17143">
            <v>213022</v>
          </cell>
        </row>
        <row r="17144">
          <cell r="K17144" t="str">
            <v>234001</v>
          </cell>
          <cell r="M17144">
            <v>1</v>
          </cell>
          <cell r="R17144">
            <v>46027</v>
          </cell>
          <cell r="S17144">
            <v>234001</v>
          </cell>
        </row>
        <row r="17145">
          <cell r="K17145" t="str">
            <v>209012</v>
          </cell>
          <cell r="M17145">
            <v>1</v>
          </cell>
          <cell r="R17145">
            <v>46027</v>
          </cell>
          <cell r="S17145">
            <v>209012</v>
          </cell>
        </row>
        <row r="17146">
          <cell r="K17146" t="str">
            <v>228001</v>
          </cell>
          <cell r="M17146">
            <v>1</v>
          </cell>
          <cell r="R17146">
            <v>46027</v>
          </cell>
          <cell r="S17146">
            <v>228001</v>
          </cell>
        </row>
        <row r="17147">
          <cell r="K17147" t="str">
            <v>228001</v>
          </cell>
          <cell r="M17147">
            <v>15</v>
          </cell>
          <cell r="R17147">
            <v>46027</v>
          </cell>
          <cell r="S17147">
            <v>228001</v>
          </cell>
        </row>
        <row r="17148">
          <cell r="K17148" t="str">
            <v>203001</v>
          </cell>
          <cell r="M17148">
            <v>2</v>
          </cell>
          <cell r="R17148">
            <v>46027</v>
          </cell>
          <cell r="S17148">
            <v>203001</v>
          </cell>
        </row>
        <row r="17149">
          <cell r="K17149" t="str">
            <v>231012</v>
          </cell>
          <cell r="M17149">
            <v>2</v>
          </cell>
          <cell r="R17149">
            <v>46027</v>
          </cell>
          <cell r="S17149">
            <v>231012</v>
          </cell>
        </row>
        <row r="17150">
          <cell r="K17150" t="str">
            <v>234001</v>
          </cell>
          <cell r="M17150">
            <v>1</v>
          </cell>
          <cell r="R17150">
            <v>46027</v>
          </cell>
          <cell r="S17150">
            <v>234001</v>
          </cell>
        </row>
        <row r="17151">
          <cell r="K17151" t="str">
            <v>201027</v>
          </cell>
          <cell r="M17151">
            <v>2</v>
          </cell>
          <cell r="R17151">
            <v>46027</v>
          </cell>
          <cell r="S17151">
            <v>201027</v>
          </cell>
        </row>
        <row r="17152">
          <cell r="K17152" t="str">
            <v>231012</v>
          </cell>
          <cell r="M17152">
            <v>2</v>
          </cell>
          <cell r="R17152">
            <v>46027</v>
          </cell>
          <cell r="S17152">
            <v>231012</v>
          </cell>
        </row>
        <row r="17153">
          <cell r="K17153" t="str">
            <v>229001</v>
          </cell>
          <cell r="M17153">
            <v>4</v>
          </cell>
          <cell r="R17153">
            <v>46027</v>
          </cell>
          <cell r="S17153">
            <v>229001</v>
          </cell>
        </row>
        <row r="17154">
          <cell r="K17154" t="str">
            <v>229001</v>
          </cell>
          <cell r="M17154">
            <v>2</v>
          </cell>
          <cell r="R17154">
            <v>46027</v>
          </cell>
          <cell r="S17154">
            <v>229001</v>
          </cell>
        </row>
        <row r="17155">
          <cell r="K17155" t="str">
            <v>229001</v>
          </cell>
          <cell r="M17155">
            <v>4</v>
          </cell>
          <cell r="R17155">
            <v>46027</v>
          </cell>
          <cell r="S17155">
            <v>229001</v>
          </cell>
        </row>
        <row r="17156">
          <cell r="K17156" t="str">
            <v>213022</v>
          </cell>
          <cell r="M17156">
            <v>1</v>
          </cell>
          <cell r="R17156">
            <v>46027</v>
          </cell>
          <cell r="S17156">
            <v>213022</v>
          </cell>
        </row>
        <row r="17157">
          <cell r="K17157" t="str">
            <v>223001</v>
          </cell>
          <cell r="M17157">
            <v>1</v>
          </cell>
          <cell r="R17157">
            <v>46027</v>
          </cell>
          <cell r="S17157">
            <v>223001</v>
          </cell>
        </row>
        <row r="17158">
          <cell r="K17158" t="str">
            <v>201011</v>
          </cell>
          <cell r="M17158">
            <v>36</v>
          </cell>
          <cell r="R17158">
            <v>46027</v>
          </cell>
          <cell r="S17158">
            <v>201011</v>
          </cell>
        </row>
        <row r="17159">
          <cell r="K17159" t="str">
            <v>227002</v>
          </cell>
          <cell r="M17159">
            <v>1</v>
          </cell>
          <cell r="R17159">
            <v>46027</v>
          </cell>
          <cell r="S17159">
            <v>227002</v>
          </cell>
        </row>
        <row r="17160">
          <cell r="K17160" t="str">
            <v>227001</v>
          </cell>
          <cell r="M17160">
            <v>2</v>
          </cell>
          <cell r="R17160">
            <v>46027</v>
          </cell>
          <cell r="S17160">
            <v>227001</v>
          </cell>
        </row>
        <row r="17161">
          <cell r="K17161" t="str">
            <v>241001</v>
          </cell>
          <cell r="M17161">
            <v>1</v>
          </cell>
          <cell r="R17161">
            <v>46027</v>
          </cell>
          <cell r="S17161">
            <v>241001</v>
          </cell>
        </row>
        <row r="17162">
          <cell r="K17162" t="str">
            <v>201022</v>
          </cell>
          <cell r="M17162">
            <v>1</v>
          </cell>
          <cell r="R17162">
            <v>46027</v>
          </cell>
          <cell r="S17162">
            <v>201022</v>
          </cell>
        </row>
        <row r="17163">
          <cell r="K17163" t="str">
            <v>201001</v>
          </cell>
          <cell r="M17163">
            <v>1</v>
          </cell>
          <cell r="R17163">
            <v>46027</v>
          </cell>
          <cell r="S17163">
            <v>201001</v>
          </cell>
        </row>
        <row r="17164">
          <cell r="K17164" t="str">
            <v>229004</v>
          </cell>
          <cell r="M17164">
            <v>1</v>
          </cell>
          <cell r="R17164">
            <v>46027</v>
          </cell>
          <cell r="S17164">
            <v>229004</v>
          </cell>
        </row>
        <row r="17165">
          <cell r="K17165" t="str">
            <v>201011</v>
          </cell>
          <cell r="M17165">
            <v>6</v>
          </cell>
          <cell r="R17165">
            <v>46027</v>
          </cell>
          <cell r="S17165">
            <v>201011</v>
          </cell>
        </row>
        <row r="17166">
          <cell r="K17166" t="str">
            <v>220002</v>
          </cell>
          <cell r="M17166">
            <v>1</v>
          </cell>
          <cell r="R17166">
            <v>46027</v>
          </cell>
          <cell r="S17166">
            <v>220002</v>
          </cell>
        </row>
        <row r="17167">
          <cell r="K17167" t="str">
            <v>201011</v>
          </cell>
          <cell r="M17167">
            <v>45</v>
          </cell>
          <cell r="R17167">
            <v>46029</v>
          </cell>
          <cell r="S17167">
            <v>201011</v>
          </cell>
        </row>
        <row r="17168">
          <cell r="K17168" t="str">
            <v>226001</v>
          </cell>
          <cell r="M17168">
            <v>2</v>
          </cell>
          <cell r="R17168">
            <v>46027</v>
          </cell>
          <cell r="S17168">
            <v>226001</v>
          </cell>
        </row>
        <row r="17169">
          <cell r="K17169" t="str">
            <v>226001</v>
          </cell>
          <cell r="M17169">
            <v>1</v>
          </cell>
          <cell r="R17169">
            <v>46027</v>
          </cell>
          <cell r="S17169">
            <v>226001</v>
          </cell>
        </row>
        <row r="17170">
          <cell r="K17170" t="str">
            <v>226001</v>
          </cell>
          <cell r="M17170">
            <v>1</v>
          </cell>
          <cell r="R17170">
            <v>46027</v>
          </cell>
          <cell r="S17170">
            <v>226001</v>
          </cell>
        </row>
        <row r="17171">
          <cell r="K17171" t="str">
            <v>228001</v>
          </cell>
          <cell r="M17171">
            <v>8</v>
          </cell>
          <cell r="R17171">
            <v>46027</v>
          </cell>
          <cell r="S17171">
            <v>228001</v>
          </cell>
        </row>
        <row r="17172">
          <cell r="K17172" t="str">
            <v>228001</v>
          </cell>
          <cell r="M17172">
            <v>5</v>
          </cell>
          <cell r="R17172">
            <v>46027</v>
          </cell>
          <cell r="S17172">
            <v>228001</v>
          </cell>
        </row>
        <row r="17173">
          <cell r="K17173" t="str">
            <v>209001</v>
          </cell>
          <cell r="M17173">
            <v>1</v>
          </cell>
          <cell r="R17173">
            <v>46027</v>
          </cell>
          <cell r="S17173">
            <v>209001</v>
          </cell>
        </row>
        <row r="17174">
          <cell r="K17174" t="str">
            <v>228001</v>
          </cell>
          <cell r="M17174">
            <v>2</v>
          </cell>
          <cell r="R17174">
            <v>46027</v>
          </cell>
          <cell r="S17174">
            <v>228001</v>
          </cell>
        </row>
        <row r="17175">
          <cell r="K17175" t="str">
            <v>220002</v>
          </cell>
          <cell r="M17175">
            <v>1</v>
          </cell>
          <cell r="R17175">
            <v>46027</v>
          </cell>
          <cell r="S17175">
            <v>220002</v>
          </cell>
        </row>
        <row r="17176">
          <cell r="K17176" t="str">
            <v>241001</v>
          </cell>
          <cell r="M17176">
            <v>1</v>
          </cell>
          <cell r="R17176">
            <v>46027</v>
          </cell>
          <cell r="S17176">
            <v>241001</v>
          </cell>
        </row>
        <row r="17177">
          <cell r="K17177" t="str">
            <v>228001</v>
          </cell>
          <cell r="M17177">
            <v>10</v>
          </cell>
          <cell r="R17177">
            <v>46027</v>
          </cell>
          <cell r="S17177">
            <v>228001</v>
          </cell>
        </row>
        <row r="17178">
          <cell r="K17178" t="str">
            <v>201001</v>
          </cell>
          <cell r="M17178">
            <v>1</v>
          </cell>
          <cell r="R17178">
            <v>46027</v>
          </cell>
          <cell r="S17178">
            <v>201001</v>
          </cell>
        </row>
        <row r="17179">
          <cell r="K17179" t="str">
            <v>213022</v>
          </cell>
          <cell r="M17179">
            <v>1</v>
          </cell>
          <cell r="R17179">
            <v>46027</v>
          </cell>
          <cell r="S17179">
            <v>213022</v>
          </cell>
        </row>
        <row r="17180">
          <cell r="K17180" t="str">
            <v>201011</v>
          </cell>
          <cell r="M17180">
            <v>20</v>
          </cell>
          <cell r="R17180">
            <v>46027</v>
          </cell>
          <cell r="S17180">
            <v>201011</v>
          </cell>
        </row>
        <row r="17181">
          <cell r="K17181" t="str">
            <v>228001</v>
          </cell>
          <cell r="M17181">
            <v>4</v>
          </cell>
          <cell r="R17181">
            <v>46027</v>
          </cell>
          <cell r="S17181">
            <v>228001</v>
          </cell>
        </row>
        <row r="17182">
          <cell r="K17182" t="str">
            <v>223001</v>
          </cell>
          <cell r="M17182">
            <v>6</v>
          </cell>
          <cell r="R17182">
            <v>46027</v>
          </cell>
          <cell r="S17182">
            <v>223001</v>
          </cell>
        </row>
        <row r="17183">
          <cell r="K17183" t="str">
            <v>223002</v>
          </cell>
          <cell r="M17183">
            <v>8</v>
          </cell>
          <cell r="R17183">
            <v>46027</v>
          </cell>
          <cell r="S17183">
            <v>223002</v>
          </cell>
        </row>
        <row r="17184">
          <cell r="K17184" t="str">
            <v>217018</v>
          </cell>
          <cell r="M17184">
            <v>1</v>
          </cell>
          <cell r="R17184">
            <v>46027</v>
          </cell>
          <cell r="S17184">
            <v>217018</v>
          </cell>
        </row>
        <row r="17185">
          <cell r="K17185" t="str">
            <v>223001</v>
          </cell>
          <cell r="M17185">
            <v>6</v>
          </cell>
          <cell r="R17185">
            <v>46027</v>
          </cell>
          <cell r="S17185">
            <v>223001</v>
          </cell>
        </row>
        <row r="17186">
          <cell r="K17186" t="str">
            <v>223003</v>
          </cell>
          <cell r="M17186">
            <v>6</v>
          </cell>
          <cell r="R17186">
            <v>46027</v>
          </cell>
          <cell r="S17186">
            <v>223003</v>
          </cell>
        </row>
        <row r="17187">
          <cell r="K17187" t="str">
            <v>223007</v>
          </cell>
          <cell r="M17187">
            <v>6</v>
          </cell>
          <cell r="R17187">
            <v>46027</v>
          </cell>
          <cell r="S17187">
            <v>223007</v>
          </cell>
        </row>
        <row r="17188">
          <cell r="K17188" t="str">
            <v>213022</v>
          </cell>
          <cell r="M17188">
            <v>1</v>
          </cell>
          <cell r="R17188">
            <v>46027</v>
          </cell>
          <cell r="S17188">
            <v>213022</v>
          </cell>
        </row>
        <row r="17189">
          <cell r="K17189" t="str">
            <v>227012</v>
          </cell>
          <cell r="M17189">
            <v>2</v>
          </cell>
          <cell r="R17189">
            <v>46027</v>
          </cell>
          <cell r="S17189">
            <v>227012</v>
          </cell>
        </row>
        <row r="17190">
          <cell r="K17190" t="str">
            <v>222007</v>
          </cell>
          <cell r="M17190">
            <v>1</v>
          </cell>
          <cell r="R17190">
            <v>46027</v>
          </cell>
          <cell r="S17190">
            <v>222007</v>
          </cell>
        </row>
        <row r="17191">
          <cell r="K17191" t="str">
            <v>217018</v>
          </cell>
          <cell r="M17191">
            <v>2</v>
          </cell>
          <cell r="R17191">
            <v>46027</v>
          </cell>
          <cell r="S17191">
            <v>217018</v>
          </cell>
        </row>
        <row r="17192">
          <cell r="K17192" t="str">
            <v>226030</v>
          </cell>
          <cell r="M17192">
            <v>2</v>
          </cell>
          <cell r="R17192">
            <v>46027</v>
          </cell>
          <cell r="S17192">
            <v>226030</v>
          </cell>
        </row>
        <row r="17193">
          <cell r="K17193" t="str">
            <v>217022</v>
          </cell>
          <cell r="M17193">
            <v>12</v>
          </cell>
          <cell r="R17193">
            <v>46027</v>
          </cell>
          <cell r="S17193">
            <v>217022</v>
          </cell>
        </row>
        <row r="17194">
          <cell r="K17194" t="str">
            <v>223002</v>
          </cell>
          <cell r="M17194">
            <v>4</v>
          </cell>
          <cell r="R17194">
            <v>46027</v>
          </cell>
          <cell r="S17194">
            <v>223002</v>
          </cell>
        </row>
        <row r="17195">
          <cell r="K17195" t="str">
            <v>223001</v>
          </cell>
          <cell r="M17195">
            <v>4</v>
          </cell>
          <cell r="R17195">
            <v>46027</v>
          </cell>
          <cell r="S17195">
            <v>223001</v>
          </cell>
        </row>
        <row r="17196">
          <cell r="K17196" t="str">
            <v>227012</v>
          </cell>
          <cell r="M17196">
            <v>1</v>
          </cell>
          <cell r="R17196">
            <v>46027</v>
          </cell>
          <cell r="S17196">
            <v>227012</v>
          </cell>
        </row>
        <row r="17197">
          <cell r="K17197" t="str">
            <v>201024</v>
          </cell>
          <cell r="M17197">
            <v>5</v>
          </cell>
          <cell r="R17197">
            <v>46027</v>
          </cell>
          <cell r="S17197">
            <v>201024</v>
          </cell>
        </row>
        <row r="17198">
          <cell r="K17198" t="str">
            <v>201011</v>
          </cell>
          <cell r="M17198">
            <v>36</v>
          </cell>
          <cell r="R17198">
            <v>46027</v>
          </cell>
          <cell r="S17198">
            <v>201011</v>
          </cell>
        </row>
        <row r="17199">
          <cell r="K17199" t="str">
            <v>228001</v>
          </cell>
          <cell r="M17199">
            <v>2</v>
          </cell>
          <cell r="R17199">
            <v>46027</v>
          </cell>
          <cell r="S17199">
            <v>228001</v>
          </cell>
        </row>
        <row r="17200">
          <cell r="K17200" t="str">
            <v>231012</v>
          </cell>
          <cell r="M17200">
            <v>1</v>
          </cell>
          <cell r="R17200">
            <v>46027</v>
          </cell>
          <cell r="S17200">
            <v>231012</v>
          </cell>
        </row>
        <row r="17201">
          <cell r="K17201" t="str">
            <v>213002</v>
          </cell>
          <cell r="M17201">
            <v>1</v>
          </cell>
          <cell r="R17201">
            <v>46027</v>
          </cell>
          <cell r="S17201">
            <v>213002</v>
          </cell>
        </row>
        <row r="17202">
          <cell r="K17202" t="str">
            <v>226001</v>
          </cell>
          <cell r="M17202">
            <v>3</v>
          </cell>
          <cell r="R17202">
            <v>46027</v>
          </cell>
          <cell r="S17202">
            <v>226001</v>
          </cell>
        </row>
        <row r="17203">
          <cell r="K17203" t="str">
            <v>201028</v>
          </cell>
          <cell r="M17203">
            <v>3</v>
          </cell>
          <cell r="R17203">
            <v>46027</v>
          </cell>
          <cell r="S17203">
            <v>201028</v>
          </cell>
        </row>
        <row r="17204">
          <cell r="K17204" t="str">
            <v>228001</v>
          </cell>
          <cell r="M17204">
            <v>2</v>
          </cell>
          <cell r="R17204">
            <v>46027</v>
          </cell>
          <cell r="S17204">
            <v>228001</v>
          </cell>
        </row>
        <row r="17205">
          <cell r="K17205" t="str">
            <v>212002</v>
          </cell>
          <cell r="M17205">
            <v>1</v>
          </cell>
          <cell r="R17205">
            <v>46027</v>
          </cell>
          <cell r="S17205">
            <v>212002</v>
          </cell>
        </row>
        <row r="17206">
          <cell r="K17206" t="str">
            <v>213022</v>
          </cell>
          <cell r="M17206">
            <v>3</v>
          </cell>
          <cell r="R17206">
            <v>46027</v>
          </cell>
          <cell r="S17206">
            <v>213022</v>
          </cell>
        </row>
        <row r="17207">
          <cell r="K17207" t="str">
            <v>231012</v>
          </cell>
          <cell r="M17207">
            <v>2</v>
          </cell>
          <cell r="R17207">
            <v>46027</v>
          </cell>
          <cell r="S17207">
            <v>231012</v>
          </cell>
        </row>
        <row r="17208">
          <cell r="K17208" t="str">
            <v>227012</v>
          </cell>
          <cell r="M17208">
            <v>2</v>
          </cell>
          <cell r="R17208">
            <v>46027</v>
          </cell>
          <cell r="S17208">
            <v>227012</v>
          </cell>
        </row>
        <row r="17209">
          <cell r="K17209" t="str">
            <v>227012</v>
          </cell>
          <cell r="M17209">
            <v>3</v>
          </cell>
          <cell r="R17209">
            <v>46027</v>
          </cell>
          <cell r="S17209">
            <v>227012</v>
          </cell>
        </row>
        <row r="17210">
          <cell r="K17210" t="str">
            <v>201011</v>
          </cell>
          <cell r="M17210">
            <v>6</v>
          </cell>
          <cell r="R17210">
            <v>46027</v>
          </cell>
          <cell r="S17210">
            <v>201011</v>
          </cell>
        </row>
        <row r="17211">
          <cell r="K17211" t="str">
            <v>228001</v>
          </cell>
          <cell r="M17211">
            <v>2</v>
          </cell>
          <cell r="R17211">
            <v>46027</v>
          </cell>
          <cell r="S17211">
            <v>228001</v>
          </cell>
        </row>
        <row r="17212">
          <cell r="K17212" t="str">
            <v>241001</v>
          </cell>
          <cell r="M17212">
            <v>4</v>
          </cell>
          <cell r="R17212">
            <v>46027</v>
          </cell>
          <cell r="S17212">
            <v>241001</v>
          </cell>
        </row>
        <row r="17213">
          <cell r="K17213" t="str">
            <v>222001</v>
          </cell>
          <cell r="M17213">
            <v>5</v>
          </cell>
          <cell r="R17213">
            <v>46027</v>
          </cell>
          <cell r="S17213">
            <v>222001</v>
          </cell>
        </row>
        <row r="17214">
          <cell r="K17214" t="str">
            <v>222007</v>
          </cell>
          <cell r="M17214">
            <v>2</v>
          </cell>
          <cell r="R17214">
            <v>46027</v>
          </cell>
          <cell r="S17214">
            <v>222007</v>
          </cell>
        </row>
        <row r="17215">
          <cell r="K17215" t="str">
            <v>228001</v>
          </cell>
          <cell r="M17215">
            <v>2</v>
          </cell>
          <cell r="R17215">
            <v>46027</v>
          </cell>
          <cell r="S17215">
            <v>228001</v>
          </cell>
        </row>
        <row r="17216">
          <cell r="K17216" t="str">
            <v>212035</v>
          </cell>
          <cell r="M17216">
            <v>1</v>
          </cell>
          <cell r="R17216">
            <v>46027</v>
          </cell>
          <cell r="S17216">
            <v>212035</v>
          </cell>
        </row>
        <row r="17217">
          <cell r="K17217" t="str">
            <v>231012</v>
          </cell>
          <cell r="M17217">
            <v>1</v>
          </cell>
          <cell r="R17217">
            <v>46027</v>
          </cell>
          <cell r="S17217">
            <v>231012</v>
          </cell>
        </row>
        <row r="17218">
          <cell r="K17218" t="str">
            <v>229004</v>
          </cell>
          <cell r="M17218">
            <v>2</v>
          </cell>
          <cell r="R17218">
            <v>46027</v>
          </cell>
          <cell r="S17218">
            <v>229004</v>
          </cell>
        </row>
        <row r="17219">
          <cell r="K17219" t="str">
            <v>228001</v>
          </cell>
          <cell r="M17219">
            <v>2</v>
          </cell>
          <cell r="R17219">
            <v>46027</v>
          </cell>
          <cell r="S17219">
            <v>228001</v>
          </cell>
        </row>
        <row r="17220">
          <cell r="K17220" t="str">
            <v>231012</v>
          </cell>
          <cell r="M17220">
            <v>5</v>
          </cell>
          <cell r="R17220">
            <v>46027</v>
          </cell>
          <cell r="S17220">
            <v>231012</v>
          </cell>
        </row>
        <row r="17221">
          <cell r="K17221" t="str">
            <v>231010</v>
          </cell>
          <cell r="M17221">
            <v>5</v>
          </cell>
          <cell r="R17221">
            <v>46027</v>
          </cell>
          <cell r="S17221">
            <v>231010</v>
          </cell>
        </row>
        <row r="17222">
          <cell r="K17222" t="str">
            <v>223001</v>
          </cell>
          <cell r="M17222">
            <v>2</v>
          </cell>
          <cell r="R17222">
            <v>46027</v>
          </cell>
          <cell r="S17222">
            <v>223001</v>
          </cell>
        </row>
        <row r="17223">
          <cell r="K17223" t="str">
            <v>223005</v>
          </cell>
          <cell r="M17223">
            <v>1</v>
          </cell>
          <cell r="R17223">
            <v>46027</v>
          </cell>
          <cell r="S17223">
            <v>223005</v>
          </cell>
        </row>
        <row r="17224">
          <cell r="K17224" t="str">
            <v>223004</v>
          </cell>
          <cell r="M17224">
            <v>1</v>
          </cell>
          <cell r="R17224">
            <v>46027</v>
          </cell>
          <cell r="S17224">
            <v>223004</v>
          </cell>
        </row>
        <row r="17225">
          <cell r="K17225" t="str">
            <v>223007</v>
          </cell>
          <cell r="M17225">
            <v>1</v>
          </cell>
          <cell r="R17225">
            <v>46027</v>
          </cell>
          <cell r="S17225">
            <v>223007</v>
          </cell>
        </row>
        <row r="17226">
          <cell r="K17226" t="str">
            <v>228001</v>
          </cell>
          <cell r="M17226">
            <v>3</v>
          </cell>
          <cell r="R17226">
            <v>46027</v>
          </cell>
          <cell r="S17226">
            <v>228001</v>
          </cell>
        </row>
        <row r="17227">
          <cell r="K17227" t="str">
            <v>209012</v>
          </cell>
          <cell r="M17227">
            <v>1</v>
          </cell>
          <cell r="R17227">
            <v>46027</v>
          </cell>
          <cell r="S17227">
            <v>209012</v>
          </cell>
        </row>
        <row r="17228">
          <cell r="K17228" t="str">
            <v>212035</v>
          </cell>
          <cell r="M17228">
            <v>1</v>
          </cell>
          <cell r="R17228">
            <v>46027</v>
          </cell>
          <cell r="S17228">
            <v>212035</v>
          </cell>
        </row>
        <row r="17229">
          <cell r="K17229" t="str">
            <v>212035</v>
          </cell>
          <cell r="M17229">
            <v>1</v>
          </cell>
          <cell r="R17229">
            <v>46027</v>
          </cell>
          <cell r="S17229">
            <v>212035</v>
          </cell>
        </row>
        <row r="17230">
          <cell r="K17230" t="str">
            <v>231012</v>
          </cell>
          <cell r="M17230">
            <v>1</v>
          </cell>
          <cell r="R17230">
            <v>46027</v>
          </cell>
          <cell r="S17230">
            <v>231012</v>
          </cell>
        </row>
        <row r="17231">
          <cell r="K17231" t="str">
            <v>217011</v>
          </cell>
          <cell r="M17231">
            <v>1</v>
          </cell>
          <cell r="R17231">
            <v>46027</v>
          </cell>
          <cell r="S17231">
            <v>217011</v>
          </cell>
        </row>
        <row r="17232">
          <cell r="K17232" t="str">
            <v>226025</v>
          </cell>
          <cell r="M17232">
            <v>1</v>
          </cell>
          <cell r="R17232">
            <v>46027</v>
          </cell>
          <cell r="S17232">
            <v>226025</v>
          </cell>
        </row>
        <row r="17233">
          <cell r="K17233" t="str">
            <v>210015</v>
          </cell>
          <cell r="M17233">
            <v>1</v>
          </cell>
          <cell r="R17233">
            <v>46027</v>
          </cell>
          <cell r="S17233">
            <v>210015</v>
          </cell>
        </row>
        <row r="17234">
          <cell r="K17234" t="str">
            <v>228001</v>
          </cell>
          <cell r="M17234">
            <v>1</v>
          </cell>
          <cell r="R17234">
            <v>46027</v>
          </cell>
          <cell r="S17234">
            <v>228001</v>
          </cell>
        </row>
        <row r="17235">
          <cell r="K17235" t="str">
            <v>222005</v>
          </cell>
          <cell r="M17235">
            <v>1</v>
          </cell>
          <cell r="R17235">
            <v>46027</v>
          </cell>
          <cell r="S17235">
            <v>222005</v>
          </cell>
        </row>
        <row r="17236">
          <cell r="K17236" t="str">
            <v>227002</v>
          </cell>
          <cell r="M17236">
            <v>1</v>
          </cell>
          <cell r="R17236">
            <v>46027</v>
          </cell>
          <cell r="S17236">
            <v>227002</v>
          </cell>
        </row>
        <row r="17237">
          <cell r="K17237" t="str">
            <v>235008</v>
          </cell>
          <cell r="M17237">
            <v>1</v>
          </cell>
          <cell r="R17237">
            <v>46027</v>
          </cell>
          <cell r="S17237">
            <v>235008</v>
          </cell>
        </row>
        <row r="17238">
          <cell r="K17238" t="str">
            <v>201028</v>
          </cell>
          <cell r="M17238">
            <v>1</v>
          </cell>
          <cell r="R17238">
            <v>46027</v>
          </cell>
          <cell r="S17238">
            <v>201028</v>
          </cell>
        </row>
        <row r="17239">
          <cell r="K17239" t="str">
            <v>207017</v>
          </cell>
          <cell r="M17239">
            <v>2</v>
          </cell>
          <cell r="R17239">
            <v>46027</v>
          </cell>
          <cell r="S17239">
            <v>207017</v>
          </cell>
        </row>
        <row r="17240">
          <cell r="K17240" t="str">
            <v>226022</v>
          </cell>
          <cell r="M17240">
            <v>1</v>
          </cell>
          <cell r="R17240">
            <v>46027</v>
          </cell>
          <cell r="S17240">
            <v>226022</v>
          </cell>
        </row>
        <row r="17241">
          <cell r="K17241" t="str">
            <v>241001</v>
          </cell>
          <cell r="M17241">
            <v>2</v>
          </cell>
          <cell r="R17241">
            <v>46027</v>
          </cell>
          <cell r="S17241">
            <v>241001</v>
          </cell>
        </row>
        <row r="17242">
          <cell r="K17242" t="str">
            <v>228001</v>
          </cell>
          <cell r="M17242">
            <v>10</v>
          </cell>
          <cell r="R17242">
            <v>46027</v>
          </cell>
          <cell r="S17242">
            <v>228001</v>
          </cell>
        </row>
        <row r="17243">
          <cell r="K17243" t="str">
            <v>209001</v>
          </cell>
          <cell r="M17243">
            <v>2</v>
          </cell>
          <cell r="R17243">
            <v>46027</v>
          </cell>
          <cell r="S17243">
            <v>209001</v>
          </cell>
        </row>
        <row r="17244">
          <cell r="K17244" t="str">
            <v>213022</v>
          </cell>
          <cell r="M17244">
            <v>1</v>
          </cell>
          <cell r="R17244">
            <v>46027</v>
          </cell>
          <cell r="S17244">
            <v>213022</v>
          </cell>
        </row>
        <row r="17245">
          <cell r="K17245" t="str">
            <v>203003</v>
          </cell>
          <cell r="M17245">
            <v>1</v>
          </cell>
          <cell r="R17245">
            <v>46027</v>
          </cell>
          <cell r="S17245">
            <v>203003</v>
          </cell>
        </row>
        <row r="17246">
          <cell r="K17246" t="str">
            <v>201024</v>
          </cell>
          <cell r="M17246">
            <v>1</v>
          </cell>
          <cell r="R17246">
            <v>46027</v>
          </cell>
          <cell r="S17246">
            <v>201024</v>
          </cell>
        </row>
        <row r="17247">
          <cell r="K17247" t="str">
            <v>209012</v>
          </cell>
          <cell r="M17247">
            <v>1</v>
          </cell>
          <cell r="R17247">
            <v>46027</v>
          </cell>
          <cell r="S17247">
            <v>209012</v>
          </cell>
        </row>
        <row r="17248">
          <cell r="K17248" t="str">
            <v>209004</v>
          </cell>
          <cell r="M17248">
            <v>1</v>
          </cell>
          <cell r="R17248">
            <v>46027</v>
          </cell>
          <cell r="S17248">
            <v>209004</v>
          </cell>
        </row>
        <row r="17249">
          <cell r="K17249" t="str">
            <v>209016</v>
          </cell>
          <cell r="M17249">
            <v>1</v>
          </cell>
          <cell r="R17249">
            <v>46027</v>
          </cell>
          <cell r="S17249">
            <v>209016</v>
          </cell>
        </row>
        <row r="17250">
          <cell r="K17250" t="str">
            <v>234001</v>
          </cell>
          <cell r="M17250">
            <v>1</v>
          </cell>
          <cell r="R17250">
            <v>46027</v>
          </cell>
          <cell r="S17250">
            <v>234001</v>
          </cell>
        </row>
        <row r="17251">
          <cell r="K17251" t="str">
            <v>212035</v>
          </cell>
          <cell r="M17251">
            <v>3</v>
          </cell>
          <cell r="R17251">
            <v>46027</v>
          </cell>
          <cell r="S17251">
            <v>212035</v>
          </cell>
        </row>
        <row r="17252">
          <cell r="K17252" t="str">
            <v>212002</v>
          </cell>
          <cell r="M17252">
            <v>1</v>
          </cell>
          <cell r="R17252">
            <v>46027</v>
          </cell>
          <cell r="S17252">
            <v>212002</v>
          </cell>
        </row>
        <row r="17253">
          <cell r="K17253" t="str">
            <v>209011</v>
          </cell>
          <cell r="M17253">
            <v>1</v>
          </cell>
          <cell r="R17253">
            <v>46028</v>
          </cell>
          <cell r="S17253">
            <v>209011</v>
          </cell>
        </row>
        <row r="17254">
          <cell r="K17254" t="str">
            <v>210013</v>
          </cell>
          <cell r="M17254">
            <v>1</v>
          </cell>
          <cell r="R17254">
            <v>46028</v>
          </cell>
          <cell r="S17254">
            <v>210013</v>
          </cell>
        </row>
        <row r="17255">
          <cell r="K17255" t="str">
            <v>228001</v>
          </cell>
          <cell r="M17255">
            <v>6</v>
          </cell>
          <cell r="R17255">
            <v>46027</v>
          </cell>
          <cell r="S17255">
            <v>228001</v>
          </cell>
        </row>
        <row r="17256">
          <cell r="K17256" t="str">
            <v>228001</v>
          </cell>
          <cell r="M17256">
            <v>25</v>
          </cell>
          <cell r="R17256">
            <v>46027</v>
          </cell>
          <cell r="S17256">
            <v>228001</v>
          </cell>
        </row>
        <row r="17257">
          <cell r="K17257" t="str">
            <v>231012</v>
          </cell>
          <cell r="M17257">
            <v>12</v>
          </cell>
          <cell r="R17257">
            <v>46027</v>
          </cell>
          <cell r="S17257">
            <v>231012</v>
          </cell>
        </row>
        <row r="17258">
          <cell r="K17258" t="str">
            <v>210015</v>
          </cell>
          <cell r="M17258">
            <v>6</v>
          </cell>
          <cell r="R17258">
            <v>46027</v>
          </cell>
          <cell r="S17258">
            <v>210015</v>
          </cell>
        </row>
        <row r="17259">
          <cell r="K17259" t="str">
            <v>226033</v>
          </cell>
          <cell r="M17259">
            <v>14</v>
          </cell>
          <cell r="R17259">
            <v>46027</v>
          </cell>
          <cell r="S17259">
            <v>226033</v>
          </cell>
        </row>
        <row r="17260">
          <cell r="K17260" t="str">
            <v>209012</v>
          </cell>
          <cell r="M17260">
            <v>6</v>
          </cell>
          <cell r="R17260">
            <v>46027</v>
          </cell>
          <cell r="S17260">
            <v>209012</v>
          </cell>
        </row>
        <row r="17261">
          <cell r="K17261" t="str">
            <v>228001</v>
          </cell>
          <cell r="M17261">
            <v>3</v>
          </cell>
          <cell r="R17261">
            <v>46027</v>
          </cell>
          <cell r="S17261">
            <v>228001</v>
          </cell>
        </row>
        <row r="17262">
          <cell r="K17262" t="str">
            <v>228001</v>
          </cell>
          <cell r="M17262">
            <v>3</v>
          </cell>
          <cell r="R17262">
            <v>46027</v>
          </cell>
          <cell r="S17262">
            <v>228001</v>
          </cell>
        </row>
        <row r="17263">
          <cell r="K17263" t="str">
            <v>223002</v>
          </cell>
          <cell r="M17263">
            <v>1</v>
          </cell>
          <cell r="R17263">
            <v>46027</v>
          </cell>
          <cell r="S17263">
            <v>223002</v>
          </cell>
        </row>
        <row r="17264">
          <cell r="K17264" t="str">
            <v>223001</v>
          </cell>
          <cell r="M17264">
            <v>1</v>
          </cell>
          <cell r="R17264">
            <v>46027</v>
          </cell>
          <cell r="S17264">
            <v>223001</v>
          </cell>
        </row>
        <row r="17265">
          <cell r="K17265" t="str">
            <v>223001</v>
          </cell>
          <cell r="M17265">
            <v>3</v>
          </cell>
          <cell r="R17265">
            <v>46028</v>
          </cell>
          <cell r="S17265">
            <v>223001</v>
          </cell>
        </row>
        <row r="17266">
          <cell r="K17266" t="str">
            <v>223002</v>
          </cell>
          <cell r="M17266">
            <v>2</v>
          </cell>
          <cell r="R17266">
            <v>46028</v>
          </cell>
          <cell r="S17266">
            <v>223002</v>
          </cell>
        </row>
        <row r="17267">
          <cell r="K17267" t="str">
            <v>241001</v>
          </cell>
          <cell r="M17267">
            <v>2</v>
          </cell>
          <cell r="R17267">
            <v>46028</v>
          </cell>
          <cell r="S17267">
            <v>241001</v>
          </cell>
        </row>
        <row r="17268">
          <cell r="K17268" t="str">
            <v>220002</v>
          </cell>
          <cell r="M17268">
            <v>1</v>
          </cell>
          <cell r="R17268">
            <v>46028</v>
          </cell>
          <cell r="S17268">
            <v>220002</v>
          </cell>
        </row>
        <row r="17269">
          <cell r="K17269" t="str">
            <v>201024</v>
          </cell>
          <cell r="M17269">
            <v>1</v>
          </cell>
          <cell r="R17269">
            <v>46027</v>
          </cell>
          <cell r="S17269">
            <v>201024</v>
          </cell>
        </row>
        <row r="17270">
          <cell r="K17270" t="str">
            <v>213002</v>
          </cell>
          <cell r="M17270">
            <v>1</v>
          </cell>
          <cell r="R17270">
            <v>46027</v>
          </cell>
          <cell r="S17270">
            <v>213002</v>
          </cell>
        </row>
        <row r="17271">
          <cell r="K17271" t="str">
            <v>212002</v>
          </cell>
          <cell r="M17271">
            <v>1</v>
          </cell>
          <cell r="R17271">
            <v>46027</v>
          </cell>
          <cell r="S17271">
            <v>212002</v>
          </cell>
        </row>
        <row r="17272">
          <cell r="K17272" t="str">
            <v>203001</v>
          </cell>
          <cell r="M17272">
            <v>1</v>
          </cell>
          <cell r="R17272">
            <v>46027</v>
          </cell>
          <cell r="S17272">
            <v>203001</v>
          </cell>
        </row>
        <row r="17273">
          <cell r="K17273" t="str">
            <v>212002</v>
          </cell>
          <cell r="M17273">
            <v>1</v>
          </cell>
          <cell r="R17273">
            <v>46027</v>
          </cell>
          <cell r="S17273">
            <v>212002</v>
          </cell>
        </row>
        <row r="17274">
          <cell r="K17274" t="str">
            <v>209004</v>
          </cell>
          <cell r="M17274">
            <v>1</v>
          </cell>
          <cell r="R17274">
            <v>46027</v>
          </cell>
          <cell r="S17274">
            <v>209004</v>
          </cell>
        </row>
        <row r="17275">
          <cell r="K17275" t="str">
            <v>228001</v>
          </cell>
          <cell r="M17275">
            <v>1</v>
          </cell>
          <cell r="R17275">
            <v>46028</v>
          </cell>
          <cell r="S17275">
            <v>228001</v>
          </cell>
        </row>
        <row r="17276">
          <cell r="K17276" t="str">
            <v>226001</v>
          </cell>
          <cell r="M17276">
            <v>5</v>
          </cell>
          <cell r="R17276">
            <v>46028</v>
          </cell>
          <cell r="S17276">
            <v>226001</v>
          </cell>
        </row>
        <row r="17277">
          <cell r="K17277" t="str">
            <v>228001</v>
          </cell>
          <cell r="M17277">
            <v>5</v>
          </cell>
          <cell r="R17277">
            <v>46027</v>
          </cell>
          <cell r="S17277">
            <v>228001</v>
          </cell>
        </row>
        <row r="17278">
          <cell r="K17278" t="str">
            <v>231012</v>
          </cell>
          <cell r="M17278">
            <v>1</v>
          </cell>
          <cell r="R17278">
            <v>46027</v>
          </cell>
          <cell r="S17278">
            <v>231012</v>
          </cell>
        </row>
        <row r="17279">
          <cell r="K17279" t="str">
            <v>220002</v>
          </cell>
          <cell r="M17279">
            <v>1</v>
          </cell>
          <cell r="R17279">
            <v>46027</v>
          </cell>
          <cell r="S17279">
            <v>220002</v>
          </cell>
        </row>
        <row r="17280">
          <cell r="K17280" t="str">
            <v>223004</v>
          </cell>
          <cell r="M17280">
            <v>1</v>
          </cell>
          <cell r="R17280">
            <v>46027</v>
          </cell>
          <cell r="S17280">
            <v>223004</v>
          </cell>
        </row>
        <row r="17281">
          <cell r="K17281" t="str">
            <v>228001</v>
          </cell>
          <cell r="M17281">
            <v>1</v>
          </cell>
          <cell r="R17281">
            <v>46028</v>
          </cell>
          <cell r="S17281">
            <v>228001</v>
          </cell>
        </row>
        <row r="17282">
          <cell r="K17282" t="str">
            <v>212002</v>
          </cell>
          <cell r="M17282">
            <v>1</v>
          </cell>
          <cell r="R17282">
            <v>46028</v>
          </cell>
          <cell r="S17282">
            <v>212002</v>
          </cell>
        </row>
        <row r="17283">
          <cell r="K17283" t="str">
            <v>201001</v>
          </cell>
          <cell r="M17283">
            <v>1</v>
          </cell>
          <cell r="R17283">
            <v>46028</v>
          </cell>
          <cell r="S17283">
            <v>201001</v>
          </cell>
        </row>
        <row r="17284">
          <cell r="K17284" t="str">
            <v>223002</v>
          </cell>
          <cell r="M17284">
            <v>2</v>
          </cell>
          <cell r="R17284">
            <v>46028</v>
          </cell>
          <cell r="S17284">
            <v>223002</v>
          </cell>
        </row>
        <row r="17285">
          <cell r="K17285" t="str">
            <v>220002</v>
          </cell>
          <cell r="M17285">
            <v>1</v>
          </cell>
          <cell r="R17285">
            <v>46028</v>
          </cell>
          <cell r="S17285">
            <v>220002</v>
          </cell>
        </row>
        <row r="17286">
          <cell r="K17286" t="str">
            <v>226001</v>
          </cell>
          <cell r="M17286">
            <v>1</v>
          </cell>
          <cell r="R17286">
            <v>46028</v>
          </cell>
          <cell r="S17286">
            <v>226001</v>
          </cell>
        </row>
        <row r="17287">
          <cell r="K17287" t="str">
            <v>231008</v>
          </cell>
          <cell r="M17287">
            <v>1</v>
          </cell>
          <cell r="R17287">
            <v>46028</v>
          </cell>
          <cell r="S17287">
            <v>231008</v>
          </cell>
        </row>
        <row r="17288">
          <cell r="K17288" t="str">
            <v>214002</v>
          </cell>
          <cell r="M17288">
            <v>1</v>
          </cell>
          <cell r="R17288">
            <v>46028</v>
          </cell>
          <cell r="S17288">
            <v>214002</v>
          </cell>
        </row>
        <row r="17289">
          <cell r="K17289" t="str">
            <v>223003</v>
          </cell>
          <cell r="M17289">
            <v>1</v>
          </cell>
          <cell r="R17289">
            <v>46028</v>
          </cell>
          <cell r="S17289">
            <v>223003</v>
          </cell>
        </row>
        <row r="17290">
          <cell r="K17290" t="str">
            <v>227012</v>
          </cell>
          <cell r="M17290">
            <v>1</v>
          </cell>
          <cell r="R17290">
            <v>46027</v>
          </cell>
          <cell r="S17290">
            <v>227012</v>
          </cell>
        </row>
        <row r="17291">
          <cell r="K17291" t="str">
            <v>222001</v>
          </cell>
          <cell r="M17291">
            <v>1</v>
          </cell>
          <cell r="R17291">
            <v>46028</v>
          </cell>
          <cell r="S17291">
            <v>222001</v>
          </cell>
        </row>
        <row r="17292">
          <cell r="K17292" t="str">
            <v>220002</v>
          </cell>
          <cell r="M17292">
            <v>1</v>
          </cell>
          <cell r="R17292">
            <v>46028</v>
          </cell>
          <cell r="S17292">
            <v>220002</v>
          </cell>
        </row>
        <row r="17293">
          <cell r="K17293" t="str">
            <v>209004</v>
          </cell>
          <cell r="M17293">
            <v>1</v>
          </cell>
          <cell r="R17293">
            <v>46028</v>
          </cell>
          <cell r="S17293">
            <v>209004</v>
          </cell>
        </row>
        <row r="17294">
          <cell r="K17294" t="str">
            <v>223002</v>
          </cell>
          <cell r="M17294">
            <v>2</v>
          </cell>
          <cell r="R17294">
            <v>46028</v>
          </cell>
          <cell r="S17294">
            <v>223002</v>
          </cell>
        </row>
        <row r="17295">
          <cell r="K17295" t="str">
            <v>220002</v>
          </cell>
          <cell r="M17295">
            <v>4</v>
          </cell>
          <cell r="R17295">
            <v>46028</v>
          </cell>
          <cell r="S17295">
            <v>220002</v>
          </cell>
        </row>
        <row r="17296">
          <cell r="K17296" t="str">
            <v>201011</v>
          </cell>
          <cell r="M17296">
            <v>2</v>
          </cell>
          <cell r="R17296">
            <v>46028</v>
          </cell>
          <cell r="S17296">
            <v>201011</v>
          </cell>
        </row>
        <row r="17297">
          <cell r="K17297" t="str">
            <v>228001</v>
          </cell>
          <cell r="M17297">
            <v>2</v>
          </cell>
          <cell r="R17297">
            <v>46028</v>
          </cell>
          <cell r="S17297">
            <v>228001</v>
          </cell>
        </row>
        <row r="17298">
          <cell r="K17298" t="str">
            <v>237001</v>
          </cell>
          <cell r="M17298">
            <v>1</v>
          </cell>
          <cell r="R17298">
            <v>46028</v>
          </cell>
          <cell r="S17298">
            <v>237001</v>
          </cell>
        </row>
        <row r="17299">
          <cell r="K17299" t="str">
            <v>220002</v>
          </cell>
          <cell r="M17299">
            <v>10</v>
          </cell>
          <cell r="R17299">
            <v>46028</v>
          </cell>
          <cell r="S17299">
            <v>220002</v>
          </cell>
        </row>
        <row r="17300">
          <cell r="K17300" t="str">
            <v>213022</v>
          </cell>
          <cell r="M17300">
            <v>2</v>
          </cell>
          <cell r="R17300">
            <v>46028</v>
          </cell>
          <cell r="S17300">
            <v>213022</v>
          </cell>
        </row>
        <row r="17301">
          <cell r="K17301" t="str">
            <v>231012</v>
          </cell>
          <cell r="M17301">
            <v>1</v>
          </cell>
          <cell r="R17301">
            <v>46028</v>
          </cell>
          <cell r="S17301">
            <v>231012</v>
          </cell>
        </row>
        <row r="17302">
          <cell r="K17302" t="str">
            <v>228001</v>
          </cell>
          <cell r="M17302">
            <v>1</v>
          </cell>
          <cell r="R17302">
            <v>46028</v>
          </cell>
          <cell r="S17302">
            <v>228001</v>
          </cell>
        </row>
        <row r="17303">
          <cell r="K17303" t="str">
            <v>227002</v>
          </cell>
          <cell r="M17303">
            <v>10</v>
          </cell>
          <cell r="R17303">
            <v>46028</v>
          </cell>
          <cell r="S17303">
            <v>227002</v>
          </cell>
        </row>
        <row r="17304">
          <cell r="K17304" t="str">
            <v>228001</v>
          </cell>
          <cell r="M17304">
            <v>60</v>
          </cell>
          <cell r="R17304">
            <v>46028</v>
          </cell>
          <cell r="S17304">
            <v>228001</v>
          </cell>
        </row>
        <row r="17305">
          <cell r="K17305" t="str">
            <v>228001</v>
          </cell>
          <cell r="M17305">
            <v>2</v>
          </cell>
          <cell r="R17305">
            <v>46028</v>
          </cell>
          <cell r="S17305">
            <v>228001</v>
          </cell>
        </row>
        <row r="17306">
          <cell r="K17306" t="str">
            <v>213022</v>
          </cell>
          <cell r="M17306">
            <v>2</v>
          </cell>
          <cell r="R17306">
            <v>46028</v>
          </cell>
          <cell r="S17306">
            <v>213022</v>
          </cell>
        </row>
        <row r="17307">
          <cell r="K17307" t="str">
            <v>201001</v>
          </cell>
          <cell r="M17307">
            <v>5</v>
          </cell>
          <cell r="R17307">
            <v>46028</v>
          </cell>
          <cell r="S17307">
            <v>201001</v>
          </cell>
        </row>
        <row r="17308">
          <cell r="K17308" t="str">
            <v>201001</v>
          </cell>
          <cell r="M17308">
            <v>5</v>
          </cell>
          <cell r="R17308">
            <v>46028</v>
          </cell>
          <cell r="S17308">
            <v>201001</v>
          </cell>
        </row>
        <row r="17309">
          <cell r="K17309" t="str">
            <v>222001</v>
          </cell>
          <cell r="M17309">
            <v>1</v>
          </cell>
          <cell r="R17309">
            <v>46028</v>
          </cell>
          <cell r="S17309">
            <v>222001</v>
          </cell>
        </row>
        <row r="17310">
          <cell r="K17310" t="str">
            <v>210013</v>
          </cell>
          <cell r="M17310">
            <v>1</v>
          </cell>
          <cell r="R17310">
            <v>46028</v>
          </cell>
          <cell r="S17310">
            <v>210013</v>
          </cell>
        </row>
        <row r="17311">
          <cell r="K17311" t="str">
            <v>228001</v>
          </cell>
          <cell r="M17311">
            <v>6</v>
          </cell>
          <cell r="R17311">
            <v>46028</v>
          </cell>
          <cell r="S17311">
            <v>228001</v>
          </cell>
        </row>
        <row r="17312">
          <cell r="K17312" t="str">
            <v>220002</v>
          </cell>
          <cell r="M17312">
            <v>3</v>
          </cell>
          <cell r="R17312">
            <v>46028</v>
          </cell>
          <cell r="S17312">
            <v>220002</v>
          </cell>
        </row>
        <row r="17313">
          <cell r="K17313" t="str">
            <v>241001</v>
          </cell>
          <cell r="M17313">
            <v>1</v>
          </cell>
          <cell r="R17313">
            <v>46028</v>
          </cell>
          <cell r="S17313">
            <v>241001</v>
          </cell>
        </row>
        <row r="17314">
          <cell r="K17314" t="str">
            <v>228001</v>
          </cell>
          <cell r="M17314">
            <v>7</v>
          </cell>
          <cell r="R17314">
            <v>46028</v>
          </cell>
          <cell r="S17314">
            <v>228001</v>
          </cell>
        </row>
        <row r="17315">
          <cell r="K17315" t="str">
            <v>213002</v>
          </cell>
          <cell r="M17315">
            <v>1</v>
          </cell>
          <cell r="R17315">
            <v>46028</v>
          </cell>
          <cell r="S17315">
            <v>213002</v>
          </cell>
        </row>
        <row r="17316">
          <cell r="K17316" t="str">
            <v>227002</v>
          </cell>
          <cell r="M17316">
            <v>1</v>
          </cell>
          <cell r="R17316">
            <v>46028</v>
          </cell>
          <cell r="S17316">
            <v>227002</v>
          </cell>
        </row>
        <row r="17317">
          <cell r="K17317" t="str">
            <v>207017</v>
          </cell>
          <cell r="M17317">
            <v>1</v>
          </cell>
          <cell r="R17317">
            <v>46028</v>
          </cell>
          <cell r="S17317">
            <v>207017</v>
          </cell>
        </row>
        <row r="17318">
          <cell r="K17318" t="str">
            <v>201001</v>
          </cell>
          <cell r="M17318">
            <v>6</v>
          </cell>
          <cell r="R17318">
            <v>46028</v>
          </cell>
          <cell r="S17318">
            <v>201001</v>
          </cell>
        </row>
        <row r="17319">
          <cell r="K17319" t="str">
            <v>212002</v>
          </cell>
          <cell r="M17319">
            <v>2</v>
          </cell>
          <cell r="R17319">
            <v>46028</v>
          </cell>
          <cell r="S17319">
            <v>212002</v>
          </cell>
        </row>
        <row r="17320">
          <cell r="K17320" t="str">
            <v>228001</v>
          </cell>
          <cell r="M17320">
            <v>10</v>
          </cell>
          <cell r="R17320">
            <v>46028</v>
          </cell>
          <cell r="S17320">
            <v>228001</v>
          </cell>
        </row>
        <row r="17321">
          <cell r="K17321" t="str">
            <v>231012</v>
          </cell>
          <cell r="M17321">
            <v>2</v>
          </cell>
          <cell r="R17321">
            <v>46028</v>
          </cell>
          <cell r="S17321">
            <v>231012</v>
          </cell>
        </row>
        <row r="17322">
          <cell r="K17322" t="str">
            <v>210015</v>
          </cell>
          <cell r="M17322">
            <v>3</v>
          </cell>
          <cell r="R17322">
            <v>46028</v>
          </cell>
          <cell r="S17322">
            <v>210015</v>
          </cell>
        </row>
        <row r="17323">
          <cell r="K17323" t="str">
            <v>241001</v>
          </cell>
          <cell r="M17323">
            <v>2</v>
          </cell>
          <cell r="R17323">
            <v>46028</v>
          </cell>
          <cell r="S17323">
            <v>241001</v>
          </cell>
        </row>
        <row r="17324">
          <cell r="K17324" t="str">
            <v>234001</v>
          </cell>
          <cell r="M17324">
            <v>3</v>
          </cell>
          <cell r="R17324">
            <v>46028</v>
          </cell>
          <cell r="S17324">
            <v>234001</v>
          </cell>
        </row>
        <row r="17325">
          <cell r="K17325" t="str">
            <v>234011</v>
          </cell>
          <cell r="M17325">
            <v>2</v>
          </cell>
          <cell r="R17325">
            <v>46028</v>
          </cell>
          <cell r="S17325">
            <v>234011</v>
          </cell>
        </row>
        <row r="17326">
          <cell r="K17326" t="str">
            <v>201001</v>
          </cell>
          <cell r="M17326">
            <v>4</v>
          </cell>
          <cell r="R17326">
            <v>46029</v>
          </cell>
          <cell r="S17326">
            <v>201001</v>
          </cell>
        </row>
        <row r="17327">
          <cell r="K17327" t="str">
            <v>227002</v>
          </cell>
          <cell r="M17327">
            <v>1</v>
          </cell>
          <cell r="R17327">
            <v>46029</v>
          </cell>
          <cell r="S17327">
            <v>227002</v>
          </cell>
        </row>
        <row r="17328">
          <cell r="K17328" t="str">
            <v>231012</v>
          </cell>
          <cell r="M17328">
            <v>1</v>
          </cell>
          <cell r="R17328">
            <v>46029</v>
          </cell>
          <cell r="S17328">
            <v>231012</v>
          </cell>
        </row>
        <row r="17329">
          <cell r="K17329" t="str">
            <v>231012</v>
          </cell>
          <cell r="M17329">
            <v>1</v>
          </cell>
          <cell r="R17329">
            <v>46029</v>
          </cell>
          <cell r="S17329">
            <v>231012</v>
          </cell>
        </row>
        <row r="17330">
          <cell r="K17330" t="str">
            <v>210002</v>
          </cell>
          <cell r="M17330">
            <v>2</v>
          </cell>
          <cell r="R17330">
            <v>46029</v>
          </cell>
          <cell r="S17330">
            <v>210002</v>
          </cell>
        </row>
        <row r="17331">
          <cell r="K17331" t="str">
            <v>210013</v>
          </cell>
          <cell r="M17331">
            <v>2</v>
          </cell>
          <cell r="R17331">
            <v>46029</v>
          </cell>
          <cell r="S17331">
            <v>210013</v>
          </cell>
        </row>
        <row r="17332">
          <cell r="K17332" t="str">
            <v>231010</v>
          </cell>
          <cell r="M17332">
            <v>1</v>
          </cell>
          <cell r="R17332">
            <v>46029</v>
          </cell>
          <cell r="S17332">
            <v>231010</v>
          </cell>
        </row>
        <row r="17333">
          <cell r="K17333" t="str">
            <v>203001</v>
          </cell>
          <cell r="M17333">
            <v>4</v>
          </cell>
          <cell r="R17333">
            <v>46029</v>
          </cell>
          <cell r="S17333">
            <v>203001</v>
          </cell>
        </row>
        <row r="17334">
          <cell r="K17334" t="str">
            <v>220002</v>
          </cell>
          <cell r="M17334">
            <v>1</v>
          </cell>
          <cell r="R17334">
            <v>46029</v>
          </cell>
          <cell r="S17334">
            <v>220002</v>
          </cell>
        </row>
        <row r="17335">
          <cell r="K17335" t="str">
            <v>223001</v>
          </cell>
          <cell r="M17335">
            <v>2</v>
          </cell>
          <cell r="R17335">
            <v>46029</v>
          </cell>
          <cell r="S17335">
            <v>223001</v>
          </cell>
        </row>
        <row r="17336">
          <cell r="K17336" t="str">
            <v>223002</v>
          </cell>
          <cell r="M17336">
            <v>1</v>
          </cell>
          <cell r="R17336">
            <v>46029</v>
          </cell>
          <cell r="S17336">
            <v>223002</v>
          </cell>
        </row>
        <row r="17337">
          <cell r="K17337" t="str">
            <v>201001</v>
          </cell>
          <cell r="M17337">
            <v>3</v>
          </cell>
          <cell r="R17337">
            <v>46029</v>
          </cell>
          <cell r="S17337">
            <v>201001</v>
          </cell>
        </row>
        <row r="17338">
          <cell r="K17338" t="str">
            <v>226022</v>
          </cell>
          <cell r="M17338">
            <v>1</v>
          </cell>
          <cell r="R17338">
            <v>46028</v>
          </cell>
          <cell r="S17338">
            <v>226022</v>
          </cell>
        </row>
        <row r="17339">
          <cell r="K17339" t="str">
            <v>217021</v>
          </cell>
          <cell r="M17339">
            <v>1</v>
          </cell>
          <cell r="R17339">
            <v>46028</v>
          </cell>
          <cell r="S17339">
            <v>217021</v>
          </cell>
        </row>
        <row r="17340">
          <cell r="K17340" t="str">
            <v>227002</v>
          </cell>
          <cell r="M17340">
            <v>2</v>
          </cell>
          <cell r="R17340">
            <v>46028</v>
          </cell>
          <cell r="S17340">
            <v>227002</v>
          </cell>
        </row>
        <row r="17341">
          <cell r="K17341" t="str">
            <v>226025</v>
          </cell>
          <cell r="M17341">
            <v>2</v>
          </cell>
          <cell r="R17341">
            <v>46028</v>
          </cell>
          <cell r="S17341">
            <v>226025</v>
          </cell>
        </row>
        <row r="17342">
          <cell r="K17342" t="str">
            <v>201001</v>
          </cell>
          <cell r="M17342">
            <v>1</v>
          </cell>
          <cell r="R17342">
            <v>46029</v>
          </cell>
          <cell r="S17342">
            <v>201001</v>
          </cell>
        </row>
        <row r="17343">
          <cell r="K17343" t="str">
            <v>213022</v>
          </cell>
          <cell r="M17343">
            <v>1</v>
          </cell>
          <cell r="R17343">
            <v>46029</v>
          </cell>
          <cell r="S17343">
            <v>213022</v>
          </cell>
        </row>
        <row r="17344">
          <cell r="K17344" t="str">
            <v>213022</v>
          </cell>
          <cell r="M17344">
            <v>1</v>
          </cell>
          <cell r="R17344">
            <v>46029</v>
          </cell>
          <cell r="S17344">
            <v>213022</v>
          </cell>
        </row>
        <row r="17345">
          <cell r="K17345" t="str">
            <v>213022</v>
          </cell>
          <cell r="M17345">
            <v>1</v>
          </cell>
          <cell r="R17345">
            <v>46029</v>
          </cell>
          <cell r="S17345">
            <v>213022</v>
          </cell>
        </row>
        <row r="17346">
          <cell r="K17346" t="str">
            <v>213002</v>
          </cell>
          <cell r="M17346">
            <v>4</v>
          </cell>
          <cell r="R17346">
            <v>46029</v>
          </cell>
          <cell r="S17346">
            <v>213002</v>
          </cell>
        </row>
        <row r="17347">
          <cell r="K17347" t="str">
            <v>226023</v>
          </cell>
          <cell r="M17347">
            <v>1</v>
          </cell>
          <cell r="R17347">
            <v>46029</v>
          </cell>
          <cell r="S17347">
            <v>226023</v>
          </cell>
        </row>
        <row r="17348">
          <cell r="K17348" t="str">
            <v>228001</v>
          </cell>
          <cell r="M17348">
            <v>1</v>
          </cell>
          <cell r="R17348">
            <v>46028</v>
          </cell>
          <cell r="S17348">
            <v>228001</v>
          </cell>
        </row>
        <row r="17349">
          <cell r="K17349" t="str">
            <v>231012</v>
          </cell>
          <cell r="M17349">
            <v>1</v>
          </cell>
          <cell r="R17349">
            <v>46028</v>
          </cell>
          <cell r="S17349">
            <v>231012</v>
          </cell>
        </row>
        <row r="17350">
          <cell r="K17350" t="str">
            <v>203003</v>
          </cell>
          <cell r="M17350">
            <v>1</v>
          </cell>
          <cell r="R17350">
            <v>46028</v>
          </cell>
          <cell r="S17350">
            <v>203003</v>
          </cell>
        </row>
        <row r="17351">
          <cell r="K17351" t="str">
            <v>226022</v>
          </cell>
          <cell r="M17351">
            <v>1</v>
          </cell>
          <cell r="R17351">
            <v>46028</v>
          </cell>
          <cell r="S17351">
            <v>226022</v>
          </cell>
        </row>
        <row r="17352">
          <cell r="K17352" t="str">
            <v>213002</v>
          </cell>
          <cell r="M17352">
            <v>4</v>
          </cell>
          <cell r="R17352">
            <v>46029</v>
          </cell>
          <cell r="S17352">
            <v>213002</v>
          </cell>
        </row>
        <row r="17353">
          <cell r="K17353" t="str">
            <v>207017</v>
          </cell>
          <cell r="M17353">
            <v>3</v>
          </cell>
          <cell r="R17353">
            <v>46029</v>
          </cell>
          <cell r="S17353">
            <v>207017</v>
          </cell>
        </row>
        <row r="17354">
          <cell r="K17354" t="str">
            <v>227012</v>
          </cell>
          <cell r="M17354">
            <v>1</v>
          </cell>
          <cell r="R17354">
            <v>46029</v>
          </cell>
          <cell r="S17354">
            <v>227012</v>
          </cell>
        </row>
        <row r="17355">
          <cell r="K17355" t="str">
            <v>201024</v>
          </cell>
          <cell r="M17355">
            <v>2</v>
          </cell>
          <cell r="R17355">
            <v>46029</v>
          </cell>
          <cell r="S17355">
            <v>201024</v>
          </cell>
        </row>
        <row r="17356">
          <cell r="K17356" t="str">
            <v>213002</v>
          </cell>
          <cell r="M17356">
            <v>2</v>
          </cell>
          <cell r="R17356">
            <v>46029</v>
          </cell>
          <cell r="S17356">
            <v>213002</v>
          </cell>
        </row>
        <row r="17357">
          <cell r="K17357" t="str">
            <v>227014</v>
          </cell>
          <cell r="M17357">
            <v>2</v>
          </cell>
          <cell r="R17357">
            <v>46029</v>
          </cell>
          <cell r="S17357">
            <v>227014</v>
          </cell>
        </row>
        <row r="17358">
          <cell r="K17358" t="str">
            <v>223005</v>
          </cell>
          <cell r="M17358">
            <v>2</v>
          </cell>
          <cell r="R17358">
            <v>46029</v>
          </cell>
          <cell r="S17358">
            <v>223005</v>
          </cell>
        </row>
        <row r="17359">
          <cell r="K17359" t="str">
            <v>213002</v>
          </cell>
          <cell r="M17359">
            <v>1</v>
          </cell>
          <cell r="R17359">
            <v>46029</v>
          </cell>
          <cell r="S17359">
            <v>213002</v>
          </cell>
        </row>
        <row r="17360">
          <cell r="K17360" t="str">
            <v>226025</v>
          </cell>
          <cell r="M17360">
            <v>2</v>
          </cell>
          <cell r="R17360">
            <v>46029</v>
          </cell>
          <cell r="S17360">
            <v>226025</v>
          </cell>
        </row>
        <row r="17361">
          <cell r="K17361" t="str">
            <v>226001</v>
          </cell>
          <cell r="M17361">
            <v>3</v>
          </cell>
          <cell r="R17361">
            <v>46029</v>
          </cell>
          <cell r="S17361">
            <v>226001</v>
          </cell>
        </row>
        <row r="17362">
          <cell r="K17362" t="str">
            <v>226001</v>
          </cell>
          <cell r="M17362">
            <v>3</v>
          </cell>
          <cell r="R17362">
            <v>46029</v>
          </cell>
          <cell r="S17362">
            <v>226001</v>
          </cell>
        </row>
        <row r="17363">
          <cell r="K17363" t="str">
            <v>231012</v>
          </cell>
          <cell r="M17363">
            <v>1</v>
          </cell>
          <cell r="R17363">
            <v>46029</v>
          </cell>
          <cell r="S17363">
            <v>231012</v>
          </cell>
        </row>
        <row r="17364">
          <cell r="K17364" t="str">
            <v>226001</v>
          </cell>
          <cell r="M17364">
            <v>1</v>
          </cell>
          <cell r="R17364">
            <v>46029</v>
          </cell>
          <cell r="S17364">
            <v>226001</v>
          </cell>
        </row>
        <row r="17365">
          <cell r="K17365" t="str">
            <v>226001</v>
          </cell>
          <cell r="M17365">
            <v>1</v>
          </cell>
          <cell r="R17365">
            <v>46029</v>
          </cell>
          <cell r="S17365">
            <v>226001</v>
          </cell>
        </row>
        <row r="17366">
          <cell r="K17366" t="str">
            <v>213002</v>
          </cell>
          <cell r="M17366">
            <v>10</v>
          </cell>
          <cell r="R17366">
            <v>46029</v>
          </cell>
          <cell r="S17366">
            <v>213002</v>
          </cell>
        </row>
        <row r="17367">
          <cell r="K17367" t="str">
            <v>210015</v>
          </cell>
          <cell r="M17367">
            <v>25</v>
          </cell>
          <cell r="R17367">
            <v>46029</v>
          </cell>
          <cell r="S17367">
            <v>210015</v>
          </cell>
        </row>
        <row r="17368">
          <cell r="K17368" t="str">
            <v>231012</v>
          </cell>
          <cell r="M17368">
            <v>1</v>
          </cell>
          <cell r="R17368">
            <v>46029</v>
          </cell>
          <cell r="S17368">
            <v>231012</v>
          </cell>
        </row>
        <row r="17369">
          <cell r="K17369" t="str">
            <v>212035</v>
          </cell>
          <cell r="M17369">
            <v>1</v>
          </cell>
          <cell r="R17369">
            <v>46029</v>
          </cell>
          <cell r="S17369">
            <v>212035</v>
          </cell>
        </row>
        <row r="17370">
          <cell r="K17370" t="str">
            <v>209001</v>
          </cell>
          <cell r="M17370">
            <v>1</v>
          </cell>
          <cell r="R17370">
            <v>46029</v>
          </cell>
          <cell r="S17370">
            <v>209001</v>
          </cell>
        </row>
        <row r="17371">
          <cell r="K17371" t="str">
            <v>234011</v>
          </cell>
          <cell r="M17371">
            <v>1</v>
          </cell>
          <cell r="R17371">
            <v>46029</v>
          </cell>
          <cell r="S17371">
            <v>234011</v>
          </cell>
        </row>
        <row r="17372">
          <cell r="K17372" t="str">
            <v>223002</v>
          </cell>
          <cell r="M17372">
            <v>3</v>
          </cell>
          <cell r="R17372">
            <v>46029</v>
          </cell>
          <cell r="S17372">
            <v>223002</v>
          </cell>
        </row>
        <row r="17373">
          <cell r="K17373" t="str">
            <v>223001</v>
          </cell>
          <cell r="M17373">
            <v>2</v>
          </cell>
          <cell r="R17373">
            <v>46029</v>
          </cell>
          <cell r="S17373">
            <v>223001</v>
          </cell>
        </row>
        <row r="17374">
          <cell r="K17374" t="str">
            <v>227012</v>
          </cell>
          <cell r="M17374">
            <v>2</v>
          </cell>
          <cell r="R17374">
            <v>46029</v>
          </cell>
          <cell r="S17374">
            <v>227012</v>
          </cell>
        </row>
        <row r="17375">
          <cell r="K17375" t="str">
            <v>210015</v>
          </cell>
          <cell r="M17375">
            <v>1</v>
          </cell>
          <cell r="R17375">
            <v>46029</v>
          </cell>
          <cell r="S17375">
            <v>210015</v>
          </cell>
        </row>
        <row r="17376">
          <cell r="K17376" t="str">
            <v>227014</v>
          </cell>
          <cell r="M17376">
            <v>1</v>
          </cell>
          <cell r="R17376">
            <v>46029</v>
          </cell>
          <cell r="S17376">
            <v>227014</v>
          </cell>
        </row>
        <row r="17377">
          <cell r="K17377" t="str">
            <v>213002</v>
          </cell>
          <cell r="M17377">
            <v>10</v>
          </cell>
          <cell r="R17377">
            <v>46029</v>
          </cell>
          <cell r="S17377">
            <v>213002</v>
          </cell>
        </row>
        <row r="17378">
          <cell r="K17378" t="str">
            <v>223001</v>
          </cell>
          <cell r="M17378">
            <v>2</v>
          </cell>
          <cell r="R17378">
            <v>46029</v>
          </cell>
          <cell r="S17378">
            <v>223001</v>
          </cell>
        </row>
        <row r="17379">
          <cell r="K17379" t="str">
            <v>223002</v>
          </cell>
          <cell r="M17379">
            <v>2</v>
          </cell>
          <cell r="R17379">
            <v>46029</v>
          </cell>
          <cell r="S17379">
            <v>223002</v>
          </cell>
        </row>
        <row r="17380">
          <cell r="K17380" t="str">
            <v>227002</v>
          </cell>
          <cell r="M17380">
            <v>1</v>
          </cell>
          <cell r="R17380">
            <v>46029</v>
          </cell>
          <cell r="S17380">
            <v>227002</v>
          </cell>
        </row>
        <row r="17381">
          <cell r="K17381" t="str">
            <v>241001</v>
          </cell>
          <cell r="M17381">
            <v>6</v>
          </cell>
          <cell r="R17381">
            <v>46029</v>
          </cell>
          <cell r="S17381">
            <v>241001</v>
          </cell>
        </row>
        <row r="17382">
          <cell r="K17382" t="str">
            <v>213002</v>
          </cell>
          <cell r="M17382">
            <v>1</v>
          </cell>
          <cell r="R17382">
            <v>46029</v>
          </cell>
          <cell r="S17382">
            <v>213002</v>
          </cell>
        </row>
        <row r="17383">
          <cell r="K17383" t="str">
            <v>201001</v>
          </cell>
          <cell r="M17383">
            <v>10</v>
          </cell>
          <cell r="R17383">
            <v>46029</v>
          </cell>
          <cell r="S17383">
            <v>201001</v>
          </cell>
        </row>
        <row r="17384">
          <cell r="K17384" t="str">
            <v>223002</v>
          </cell>
          <cell r="M17384">
            <v>1</v>
          </cell>
          <cell r="R17384">
            <v>46029</v>
          </cell>
          <cell r="S17384">
            <v>223002</v>
          </cell>
        </row>
        <row r="17385">
          <cell r="K17385" t="str">
            <v>223001</v>
          </cell>
          <cell r="M17385">
            <v>1</v>
          </cell>
          <cell r="R17385">
            <v>46029</v>
          </cell>
          <cell r="S17385">
            <v>223001</v>
          </cell>
        </row>
        <row r="17386">
          <cell r="K17386" t="str">
            <v>217022</v>
          </cell>
          <cell r="M17386">
            <v>1</v>
          </cell>
          <cell r="R17386">
            <v>46029</v>
          </cell>
          <cell r="S17386">
            <v>217022</v>
          </cell>
        </row>
        <row r="17387">
          <cell r="K17387" t="str">
            <v>209001</v>
          </cell>
          <cell r="M17387">
            <v>3</v>
          </cell>
          <cell r="R17387">
            <v>46029</v>
          </cell>
          <cell r="S17387">
            <v>209001</v>
          </cell>
        </row>
        <row r="17388">
          <cell r="K17388" t="str">
            <v>231012</v>
          </cell>
          <cell r="M17388">
            <v>1</v>
          </cell>
          <cell r="R17388">
            <v>46029</v>
          </cell>
          <cell r="S17388">
            <v>231012</v>
          </cell>
        </row>
        <row r="17389">
          <cell r="K17389" t="str">
            <v>228001</v>
          </cell>
          <cell r="M17389">
            <v>2</v>
          </cell>
          <cell r="R17389">
            <v>46030</v>
          </cell>
          <cell r="S17389">
            <v>228001</v>
          </cell>
        </row>
        <row r="17390">
          <cell r="K17390" t="str">
            <v>212002</v>
          </cell>
          <cell r="M17390">
            <v>1</v>
          </cell>
          <cell r="R17390">
            <v>46030</v>
          </cell>
          <cell r="S17390">
            <v>212002</v>
          </cell>
        </row>
        <row r="17391">
          <cell r="K17391" t="str">
            <v>217011</v>
          </cell>
          <cell r="M17391">
            <v>1</v>
          </cell>
          <cell r="R17391">
            <v>46030</v>
          </cell>
          <cell r="S17391">
            <v>217011</v>
          </cell>
        </row>
        <row r="17392">
          <cell r="K17392" t="str">
            <v>209004</v>
          </cell>
          <cell r="M17392">
            <v>1</v>
          </cell>
          <cell r="R17392">
            <v>46030</v>
          </cell>
          <cell r="S17392">
            <v>209004</v>
          </cell>
        </row>
        <row r="17393">
          <cell r="K17393" t="str">
            <v>228001</v>
          </cell>
          <cell r="M17393">
            <v>2</v>
          </cell>
          <cell r="R17393">
            <v>46030</v>
          </cell>
          <cell r="S17393">
            <v>228001</v>
          </cell>
        </row>
        <row r="17394">
          <cell r="K17394" t="str">
            <v>223002</v>
          </cell>
          <cell r="M17394">
            <v>4</v>
          </cell>
          <cell r="R17394">
            <v>46030</v>
          </cell>
          <cell r="S17394">
            <v>223002</v>
          </cell>
        </row>
        <row r="17395">
          <cell r="K17395" t="str">
            <v>220002</v>
          </cell>
          <cell r="M17395">
            <v>1</v>
          </cell>
          <cell r="R17395">
            <v>46030</v>
          </cell>
          <cell r="S17395">
            <v>220002</v>
          </cell>
        </row>
        <row r="17396">
          <cell r="K17396" t="str">
            <v>220002</v>
          </cell>
          <cell r="M17396">
            <v>2</v>
          </cell>
          <cell r="R17396">
            <v>46030</v>
          </cell>
          <cell r="S17396">
            <v>220002</v>
          </cell>
        </row>
        <row r="17397">
          <cell r="K17397" t="str">
            <v>217011</v>
          </cell>
          <cell r="M17397">
            <v>2</v>
          </cell>
          <cell r="R17397">
            <v>46030</v>
          </cell>
          <cell r="S17397">
            <v>217011</v>
          </cell>
        </row>
        <row r="17398">
          <cell r="K17398" t="str">
            <v>226024</v>
          </cell>
          <cell r="M17398">
            <v>2</v>
          </cell>
          <cell r="R17398">
            <v>46029</v>
          </cell>
          <cell r="S17398">
            <v>226024</v>
          </cell>
        </row>
        <row r="17399">
          <cell r="K17399" t="str">
            <v>228001</v>
          </cell>
          <cell r="M17399">
            <v>7</v>
          </cell>
          <cell r="R17399">
            <v>46030</v>
          </cell>
          <cell r="S17399">
            <v>228001</v>
          </cell>
        </row>
        <row r="17400">
          <cell r="K17400" t="str">
            <v>231012</v>
          </cell>
          <cell r="M17400">
            <v>12</v>
          </cell>
          <cell r="R17400">
            <v>46030</v>
          </cell>
          <cell r="S17400">
            <v>231012</v>
          </cell>
        </row>
        <row r="17401">
          <cell r="K17401" t="str">
            <v>226004</v>
          </cell>
          <cell r="M17401">
            <v>1</v>
          </cell>
          <cell r="R17401">
            <v>46029</v>
          </cell>
          <cell r="S17401">
            <v>226004</v>
          </cell>
        </row>
        <row r="17402">
          <cell r="K17402" t="str">
            <v>209004</v>
          </cell>
          <cell r="M17402">
            <v>3</v>
          </cell>
          <cell r="R17402">
            <v>46029</v>
          </cell>
          <cell r="S17402">
            <v>209004</v>
          </cell>
        </row>
        <row r="17403">
          <cell r="K17403" t="str">
            <v>228001</v>
          </cell>
          <cell r="M17403">
            <v>1</v>
          </cell>
          <cell r="R17403">
            <v>46029</v>
          </cell>
          <cell r="S17403">
            <v>228001</v>
          </cell>
        </row>
        <row r="17404">
          <cell r="K17404" t="str">
            <v>231010</v>
          </cell>
          <cell r="M17404">
            <v>4</v>
          </cell>
          <cell r="R17404">
            <v>46029</v>
          </cell>
          <cell r="S17404">
            <v>231010</v>
          </cell>
        </row>
        <row r="17405">
          <cell r="K17405" t="str">
            <v>223002</v>
          </cell>
          <cell r="M17405">
            <v>2</v>
          </cell>
          <cell r="R17405">
            <v>46029</v>
          </cell>
          <cell r="S17405">
            <v>223002</v>
          </cell>
        </row>
        <row r="17406">
          <cell r="K17406" t="str">
            <v>223001</v>
          </cell>
          <cell r="M17406">
            <v>2</v>
          </cell>
          <cell r="R17406">
            <v>46029</v>
          </cell>
          <cell r="S17406">
            <v>223001</v>
          </cell>
        </row>
        <row r="17407">
          <cell r="K17407" t="str">
            <v>217018</v>
          </cell>
          <cell r="M17407">
            <v>2</v>
          </cell>
          <cell r="R17407">
            <v>46029</v>
          </cell>
          <cell r="S17407">
            <v>217018</v>
          </cell>
        </row>
        <row r="17408">
          <cell r="K17408" t="str">
            <v>213022</v>
          </cell>
          <cell r="M17408">
            <v>2</v>
          </cell>
          <cell r="R17408">
            <v>46030</v>
          </cell>
          <cell r="S17408">
            <v>213022</v>
          </cell>
        </row>
        <row r="17409">
          <cell r="K17409" t="str">
            <v>228001</v>
          </cell>
          <cell r="M17409">
            <v>2</v>
          </cell>
          <cell r="R17409">
            <v>46029</v>
          </cell>
          <cell r="S17409">
            <v>228001</v>
          </cell>
        </row>
        <row r="17410">
          <cell r="K17410" t="str">
            <v>209012</v>
          </cell>
          <cell r="M17410">
            <v>1</v>
          </cell>
          <cell r="R17410">
            <v>46029</v>
          </cell>
          <cell r="S17410">
            <v>209012</v>
          </cell>
        </row>
        <row r="17411">
          <cell r="K17411" t="str">
            <v>226023</v>
          </cell>
          <cell r="M17411">
            <v>1</v>
          </cell>
          <cell r="R17411">
            <v>46030</v>
          </cell>
          <cell r="S17411">
            <v>226023</v>
          </cell>
        </row>
        <row r="17412">
          <cell r="K17412" t="str">
            <v>228001</v>
          </cell>
          <cell r="M17412">
            <v>25</v>
          </cell>
          <cell r="R17412">
            <v>46030</v>
          </cell>
          <cell r="S17412">
            <v>228001</v>
          </cell>
        </row>
        <row r="17413">
          <cell r="K17413" t="str">
            <v>226001</v>
          </cell>
          <cell r="M17413">
            <v>2</v>
          </cell>
          <cell r="R17413">
            <v>46030</v>
          </cell>
          <cell r="S17413">
            <v>226001</v>
          </cell>
        </row>
        <row r="17414">
          <cell r="K17414" t="str">
            <v>228001</v>
          </cell>
          <cell r="M17414">
            <v>1</v>
          </cell>
          <cell r="R17414">
            <v>46030</v>
          </cell>
          <cell r="S17414">
            <v>228001</v>
          </cell>
        </row>
        <row r="17415">
          <cell r="K17415" t="str">
            <v>209012</v>
          </cell>
          <cell r="M17415">
            <v>1</v>
          </cell>
          <cell r="R17415">
            <v>46030</v>
          </cell>
          <cell r="S17415">
            <v>209012</v>
          </cell>
        </row>
        <row r="17416">
          <cell r="K17416" t="str">
            <v>220002</v>
          </cell>
          <cell r="M17416">
            <v>1</v>
          </cell>
          <cell r="R17416">
            <v>46030</v>
          </cell>
          <cell r="S17416">
            <v>220002</v>
          </cell>
        </row>
        <row r="17417">
          <cell r="K17417" t="str">
            <v>223002</v>
          </cell>
          <cell r="M17417">
            <v>1</v>
          </cell>
          <cell r="R17417">
            <v>46030</v>
          </cell>
          <cell r="S17417">
            <v>223002</v>
          </cell>
        </row>
        <row r="17418">
          <cell r="K17418" t="str">
            <v>223001</v>
          </cell>
          <cell r="M17418">
            <v>10</v>
          </cell>
          <cell r="R17418">
            <v>46030</v>
          </cell>
          <cell r="S17418">
            <v>223001</v>
          </cell>
        </row>
        <row r="17419">
          <cell r="K17419" t="str">
            <v>223004</v>
          </cell>
          <cell r="M17419">
            <v>2</v>
          </cell>
          <cell r="R17419">
            <v>46030</v>
          </cell>
          <cell r="S17419">
            <v>223004</v>
          </cell>
        </row>
        <row r="17420">
          <cell r="K17420" t="str">
            <v>227012</v>
          </cell>
          <cell r="M17420">
            <v>2</v>
          </cell>
          <cell r="R17420">
            <v>46030</v>
          </cell>
          <cell r="S17420">
            <v>227012</v>
          </cell>
        </row>
        <row r="17421">
          <cell r="K17421" t="str">
            <v>210014</v>
          </cell>
          <cell r="M17421">
            <v>4</v>
          </cell>
          <cell r="R17421">
            <v>46030</v>
          </cell>
          <cell r="S17421">
            <v>210014</v>
          </cell>
        </row>
        <row r="17422">
          <cell r="K17422" t="str">
            <v>210010</v>
          </cell>
          <cell r="M17422">
            <v>1</v>
          </cell>
          <cell r="R17422">
            <v>46030</v>
          </cell>
          <cell r="S17422">
            <v>210010</v>
          </cell>
        </row>
        <row r="17423">
          <cell r="K17423" t="str">
            <v>226027</v>
          </cell>
          <cell r="M17423">
            <v>1</v>
          </cell>
          <cell r="R17423">
            <v>46030</v>
          </cell>
          <cell r="S17423">
            <v>226027</v>
          </cell>
        </row>
        <row r="17424">
          <cell r="K17424" t="str">
            <v>226023</v>
          </cell>
          <cell r="M17424">
            <v>2</v>
          </cell>
          <cell r="R17424">
            <v>46030</v>
          </cell>
          <cell r="S17424">
            <v>226023</v>
          </cell>
        </row>
        <row r="17425">
          <cell r="K17425" t="str">
            <v>228001</v>
          </cell>
          <cell r="M17425">
            <v>2</v>
          </cell>
          <cell r="R17425">
            <v>46030</v>
          </cell>
          <cell r="S17425">
            <v>228001</v>
          </cell>
        </row>
        <row r="17426">
          <cell r="K17426" t="str">
            <v>226001</v>
          </cell>
          <cell r="M17426">
            <v>1</v>
          </cell>
          <cell r="R17426">
            <v>46030</v>
          </cell>
          <cell r="S17426">
            <v>226001</v>
          </cell>
        </row>
        <row r="17427">
          <cell r="K17427" t="str">
            <v>217022</v>
          </cell>
          <cell r="M17427">
            <v>1</v>
          </cell>
          <cell r="R17427">
            <v>46030</v>
          </cell>
          <cell r="S17427">
            <v>217022</v>
          </cell>
        </row>
        <row r="17428">
          <cell r="K17428" t="str">
            <v>201027</v>
          </cell>
          <cell r="M17428">
            <v>1</v>
          </cell>
          <cell r="R17428">
            <v>46030</v>
          </cell>
          <cell r="S17428">
            <v>201027</v>
          </cell>
        </row>
        <row r="17429">
          <cell r="K17429" t="str">
            <v>212002</v>
          </cell>
          <cell r="M17429">
            <v>3</v>
          </cell>
          <cell r="R17429">
            <v>46030</v>
          </cell>
          <cell r="S17429">
            <v>212002</v>
          </cell>
        </row>
        <row r="17430">
          <cell r="K17430" t="str">
            <v>210015</v>
          </cell>
          <cell r="M17430">
            <v>1</v>
          </cell>
          <cell r="R17430">
            <v>46030</v>
          </cell>
          <cell r="S17430">
            <v>210015</v>
          </cell>
        </row>
        <row r="17431">
          <cell r="K17431" t="str">
            <v>234001</v>
          </cell>
          <cell r="M17431">
            <v>2</v>
          </cell>
          <cell r="R17431">
            <v>46030</v>
          </cell>
          <cell r="S17431">
            <v>234001</v>
          </cell>
        </row>
        <row r="17432">
          <cell r="K17432" t="str">
            <v>228001</v>
          </cell>
          <cell r="M17432">
            <v>5</v>
          </cell>
          <cell r="R17432">
            <v>46030</v>
          </cell>
          <cell r="S17432">
            <v>228001</v>
          </cell>
        </row>
        <row r="17433">
          <cell r="K17433" t="str">
            <v>231012</v>
          </cell>
          <cell r="M17433">
            <v>1</v>
          </cell>
          <cell r="R17433">
            <v>46030</v>
          </cell>
          <cell r="S17433">
            <v>231012</v>
          </cell>
        </row>
        <row r="17434">
          <cell r="K17434" t="str">
            <v>223002</v>
          </cell>
          <cell r="M17434">
            <v>3</v>
          </cell>
          <cell r="R17434">
            <v>46030</v>
          </cell>
          <cell r="S17434">
            <v>223002</v>
          </cell>
        </row>
        <row r="17435">
          <cell r="K17435" t="str">
            <v>217022</v>
          </cell>
          <cell r="M17435">
            <v>6</v>
          </cell>
          <cell r="R17435">
            <v>46030</v>
          </cell>
          <cell r="S17435">
            <v>217022</v>
          </cell>
        </row>
        <row r="17436">
          <cell r="K17436" t="str">
            <v>217018</v>
          </cell>
          <cell r="M17436">
            <v>5</v>
          </cell>
          <cell r="R17436">
            <v>46030</v>
          </cell>
          <cell r="S17436">
            <v>217018</v>
          </cell>
        </row>
        <row r="17437">
          <cell r="K17437" t="str">
            <v>208001</v>
          </cell>
          <cell r="M17437">
            <v>1</v>
          </cell>
          <cell r="R17437">
            <v>46030</v>
          </cell>
          <cell r="S17437">
            <v>208001</v>
          </cell>
        </row>
        <row r="17438">
          <cell r="K17438" t="str">
            <v>207017</v>
          </cell>
          <cell r="M17438">
            <v>1</v>
          </cell>
          <cell r="R17438">
            <v>46030</v>
          </cell>
          <cell r="S17438">
            <v>207017</v>
          </cell>
        </row>
        <row r="17439">
          <cell r="K17439" t="str">
            <v>217018</v>
          </cell>
          <cell r="M17439">
            <v>3</v>
          </cell>
          <cell r="R17439">
            <v>46030</v>
          </cell>
          <cell r="S17439">
            <v>217018</v>
          </cell>
        </row>
        <row r="17440">
          <cell r="K17440" t="str">
            <v>228001</v>
          </cell>
          <cell r="M17440">
            <v>2</v>
          </cell>
          <cell r="R17440">
            <v>46030</v>
          </cell>
          <cell r="S17440">
            <v>228001</v>
          </cell>
        </row>
        <row r="17441">
          <cell r="K17441" t="str">
            <v>212002</v>
          </cell>
          <cell r="M17441">
            <v>1</v>
          </cell>
          <cell r="R17441">
            <v>46030</v>
          </cell>
          <cell r="S17441">
            <v>212002</v>
          </cell>
        </row>
        <row r="17442">
          <cell r="K17442" t="str">
            <v>228001</v>
          </cell>
          <cell r="M17442">
            <v>2</v>
          </cell>
          <cell r="R17442">
            <v>46030</v>
          </cell>
          <cell r="S17442">
            <v>228001</v>
          </cell>
        </row>
        <row r="17443">
          <cell r="K17443" t="str">
            <v>222007</v>
          </cell>
          <cell r="M17443">
            <v>1</v>
          </cell>
          <cell r="R17443">
            <v>46030</v>
          </cell>
          <cell r="S17443">
            <v>222007</v>
          </cell>
        </row>
        <row r="17444">
          <cell r="K17444" t="str">
            <v>261004</v>
          </cell>
          <cell r="M17444">
            <v>1</v>
          </cell>
          <cell r="R17444">
            <v>46030</v>
          </cell>
          <cell r="S17444">
            <v>261004</v>
          </cell>
        </row>
        <row r="17445">
          <cell r="K17445" t="str">
            <v>222001</v>
          </cell>
          <cell r="M17445">
            <v>5</v>
          </cell>
          <cell r="R17445">
            <v>46030</v>
          </cell>
          <cell r="S17445">
            <v>222001</v>
          </cell>
        </row>
        <row r="17446">
          <cell r="K17446" t="str">
            <v>241001</v>
          </cell>
          <cell r="M17446">
            <v>4</v>
          </cell>
          <cell r="R17446">
            <v>46030</v>
          </cell>
          <cell r="S17446">
            <v>241001</v>
          </cell>
        </row>
        <row r="17447">
          <cell r="K17447" t="str">
            <v>228001</v>
          </cell>
          <cell r="M17447">
            <v>2</v>
          </cell>
          <cell r="R17447">
            <v>46030</v>
          </cell>
          <cell r="S17447">
            <v>228001</v>
          </cell>
        </row>
        <row r="17448">
          <cell r="K17448" t="str">
            <v>226001</v>
          </cell>
          <cell r="M17448">
            <v>5</v>
          </cell>
          <cell r="R17448">
            <v>46030</v>
          </cell>
          <cell r="S17448">
            <v>226001</v>
          </cell>
        </row>
        <row r="17449">
          <cell r="K17449" t="str">
            <v>234011</v>
          </cell>
          <cell r="M17449">
            <v>2</v>
          </cell>
          <cell r="R17449">
            <v>46030</v>
          </cell>
          <cell r="S17449">
            <v>234011</v>
          </cell>
        </row>
        <row r="17450">
          <cell r="K17450" t="str">
            <v>231012</v>
          </cell>
          <cell r="M17450">
            <v>12</v>
          </cell>
          <cell r="R17450">
            <v>46030</v>
          </cell>
          <cell r="S17450">
            <v>231012</v>
          </cell>
        </row>
        <row r="17451">
          <cell r="K17451" t="str">
            <v>226001</v>
          </cell>
          <cell r="M17451">
            <v>1</v>
          </cell>
          <cell r="R17451">
            <v>46030</v>
          </cell>
          <cell r="S17451">
            <v>226001</v>
          </cell>
        </row>
        <row r="17452">
          <cell r="K17452" t="str">
            <v>210004</v>
          </cell>
          <cell r="M17452">
            <v>1</v>
          </cell>
          <cell r="R17452">
            <v>46030</v>
          </cell>
          <cell r="S17452">
            <v>210004</v>
          </cell>
        </row>
        <row r="17453">
          <cell r="K17453" t="str">
            <v>213002</v>
          </cell>
          <cell r="M17453">
            <v>4</v>
          </cell>
          <cell r="R17453">
            <v>46030</v>
          </cell>
          <cell r="S17453">
            <v>213002</v>
          </cell>
        </row>
        <row r="17454">
          <cell r="K17454" t="str">
            <v>231004</v>
          </cell>
          <cell r="M17454">
            <v>1</v>
          </cell>
          <cell r="R17454">
            <v>46030</v>
          </cell>
          <cell r="S17454">
            <v>231004</v>
          </cell>
        </row>
        <row r="17455">
          <cell r="K17455" t="str">
            <v>228001</v>
          </cell>
          <cell r="M17455">
            <v>1</v>
          </cell>
          <cell r="R17455">
            <v>46030</v>
          </cell>
          <cell r="S17455">
            <v>228001</v>
          </cell>
        </row>
        <row r="17456">
          <cell r="K17456" t="str">
            <v>209017</v>
          </cell>
          <cell r="M17456">
            <v>1</v>
          </cell>
          <cell r="R17456">
            <v>46030</v>
          </cell>
          <cell r="S17456">
            <v>209017</v>
          </cell>
        </row>
        <row r="17457">
          <cell r="K17457" t="str">
            <v>222001</v>
          </cell>
          <cell r="M17457">
            <v>1</v>
          </cell>
          <cell r="R17457">
            <v>46030</v>
          </cell>
          <cell r="S17457">
            <v>222001</v>
          </cell>
        </row>
        <row r="17458">
          <cell r="K17458" t="str">
            <v>241001</v>
          </cell>
          <cell r="M17458">
            <v>2</v>
          </cell>
          <cell r="R17458">
            <v>46030</v>
          </cell>
          <cell r="S17458">
            <v>241001</v>
          </cell>
        </row>
        <row r="17459">
          <cell r="K17459" t="str">
            <v>201001</v>
          </cell>
          <cell r="M17459">
            <v>2</v>
          </cell>
          <cell r="R17459">
            <v>46030</v>
          </cell>
          <cell r="S17459">
            <v>201001</v>
          </cell>
        </row>
        <row r="17460">
          <cell r="K17460" t="str">
            <v>223001</v>
          </cell>
          <cell r="M17460">
            <v>2</v>
          </cell>
          <cell r="R17460">
            <v>46030</v>
          </cell>
          <cell r="S17460">
            <v>223001</v>
          </cell>
        </row>
        <row r="17461">
          <cell r="K17461" t="str">
            <v>223002</v>
          </cell>
          <cell r="M17461">
            <v>3</v>
          </cell>
          <cell r="R17461">
            <v>46030</v>
          </cell>
          <cell r="S17461">
            <v>223002</v>
          </cell>
        </row>
        <row r="17462">
          <cell r="K17462" t="str">
            <v>209001</v>
          </cell>
          <cell r="M17462">
            <v>3</v>
          </cell>
          <cell r="R17462">
            <v>46030</v>
          </cell>
          <cell r="S17462">
            <v>209001</v>
          </cell>
        </row>
        <row r="17463">
          <cell r="K17463" t="str">
            <v>213022</v>
          </cell>
          <cell r="M17463">
            <v>1</v>
          </cell>
          <cell r="R17463">
            <v>46030</v>
          </cell>
          <cell r="S17463">
            <v>213022</v>
          </cell>
        </row>
        <row r="17464">
          <cell r="K17464" t="str">
            <v>228001</v>
          </cell>
          <cell r="M17464">
            <v>1</v>
          </cell>
          <cell r="R17464">
            <v>46030</v>
          </cell>
          <cell r="S17464">
            <v>228001</v>
          </cell>
        </row>
        <row r="17465">
          <cell r="K17465" t="str">
            <v>213022</v>
          </cell>
          <cell r="M17465">
            <v>1</v>
          </cell>
          <cell r="R17465">
            <v>46030</v>
          </cell>
          <cell r="S17465">
            <v>213022</v>
          </cell>
        </row>
        <row r="17466">
          <cell r="K17466" t="str">
            <v>228001</v>
          </cell>
          <cell r="M17466">
            <v>2</v>
          </cell>
          <cell r="R17466">
            <v>46030</v>
          </cell>
          <cell r="S17466">
            <v>228001</v>
          </cell>
        </row>
        <row r="17467">
          <cell r="K17467" t="str">
            <v>228001</v>
          </cell>
          <cell r="M17467">
            <v>4</v>
          </cell>
          <cell r="R17467">
            <v>46031</v>
          </cell>
          <cell r="S17467">
            <v>228001</v>
          </cell>
        </row>
        <row r="17468">
          <cell r="K17468" t="str">
            <v>209001</v>
          </cell>
          <cell r="M17468">
            <v>1</v>
          </cell>
          <cell r="R17468">
            <v>46031</v>
          </cell>
          <cell r="S17468">
            <v>209001</v>
          </cell>
        </row>
        <row r="17469">
          <cell r="K17469" t="str">
            <v>213022</v>
          </cell>
          <cell r="M17469">
            <v>1</v>
          </cell>
          <cell r="R17469">
            <v>46030</v>
          </cell>
          <cell r="S17469">
            <v>213022</v>
          </cell>
        </row>
        <row r="17470">
          <cell r="K17470" t="str">
            <v>241001</v>
          </cell>
          <cell r="M17470">
            <v>6</v>
          </cell>
          <cell r="R17470">
            <v>46030</v>
          </cell>
          <cell r="S17470">
            <v>241001</v>
          </cell>
        </row>
        <row r="17471">
          <cell r="K17471" t="str">
            <v>223002</v>
          </cell>
          <cell r="M17471">
            <v>1</v>
          </cell>
          <cell r="R17471">
            <v>46030</v>
          </cell>
          <cell r="S17471">
            <v>223002</v>
          </cell>
        </row>
        <row r="17472">
          <cell r="K17472" t="str">
            <v>228001</v>
          </cell>
          <cell r="M17472">
            <v>1</v>
          </cell>
          <cell r="R17472">
            <v>46030</v>
          </cell>
          <cell r="S17472">
            <v>228001</v>
          </cell>
        </row>
        <row r="17473">
          <cell r="K17473" t="str">
            <v>227012</v>
          </cell>
          <cell r="M17473">
            <v>2</v>
          </cell>
          <cell r="R17473">
            <v>46030</v>
          </cell>
          <cell r="S17473">
            <v>227012</v>
          </cell>
        </row>
        <row r="17474">
          <cell r="K17474" t="str">
            <v>213002</v>
          </cell>
          <cell r="M17474">
            <v>10</v>
          </cell>
          <cell r="R17474">
            <v>46030</v>
          </cell>
          <cell r="S17474">
            <v>213002</v>
          </cell>
        </row>
        <row r="17475">
          <cell r="K17475" t="str">
            <v>203001</v>
          </cell>
          <cell r="M17475">
            <v>2</v>
          </cell>
          <cell r="R17475">
            <v>46030</v>
          </cell>
          <cell r="S17475">
            <v>203001</v>
          </cell>
        </row>
        <row r="17476">
          <cell r="K17476" t="str">
            <v>201024</v>
          </cell>
          <cell r="M17476">
            <v>1</v>
          </cell>
          <cell r="R17476">
            <v>46030</v>
          </cell>
          <cell r="S17476">
            <v>201024</v>
          </cell>
        </row>
        <row r="17477">
          <cell r="K17477" t="str">
            <v>212035</v>
          </cell>
          <cell r="M17477">
            <v>2</v>
          </cell>
          <cell r="R17477">
            <v>46031</v>
          </cell>
          <cell r="S17477">
            <v>212035</v>
          </cell>
        </row>
        <row r="17478">
          <cell r="K17478" t="str">
            <v>231012</v>
          </cell>
          <cell r="M17478">
            <v>1</v>
          </cell>
          <cell r="R17478">
            <v>46031</v>
          </cell>
          <cell r="S17478">
            <v>231012</v>
          </cell>
        </row>
        <row r="17479">
          <cell r="K17479" t="str">
            <v>217018</v>
          </cell>
          <cell r="M17479">
            <v>1</v>
          </cell>
          <cell r="R17479">
            <v>46031</v>
          </cell>
          <cell r="S17479">
            <v>217018</v>
          </cell>
        </row>
        <row r="17480">
          <cell r="K17480" t="str">
            <v>226026</v>
          </cell>
          <cell r="M17480">
            <v>1</v>
          </cell>
          <cell r="R17480">
            <v>46031</v>
          </cell>
          <cell r="S17480">
            <v>226026</v>
          </cell>
        </row>
        <row r="17481">
          <cell r="K17481" t="str">
            <v>203003</v>
          </cell>
          <cell r="M17481">
            <v>1</v>
          </cell>
          <cell r="R17481">
            <v>46031</v>
          </cell>
          <cell r="S17481">
            <v>203003</v>
          </cell>
        </row>
        <row r="17482">
          <cell r="K17482" t="str">
            <v>207002</v>
          </cell>
          <cell r="M17482">
            <v>1</v>
          </cell>
          <cell r="R17482">
            <v>46031</v>
          </cell>
          <cell r="S17482">
            <v>207002</v>
          </cell>
        </row>
        <row r="17483">
          <cell r="K17483" t="str">
            <v>202001</v>
          </cell>
          <cell r="M17483">
            <v>2</v>
          </cell>
          <cell r="R17483">
            <v>46031</v>
          </cell>
          <cell r="S17483">
            <v>202001</v>
          </cell>
        </row>
        <row r="17484">
          <cell r="K17484" t="str">
            <v>226001</v>
          </cell>
          <cell r="M17484">
            <v>2</v>
          </cell>
          <cell r="R17484">
            <v>46031</v>
          </cell>
          <cell r="S17484">
            <v>226001</v>
          </cell>
        </row>
        <row r="17485">
          <cell r="K17485" t="str">
            <v>217018</v>
          </cell>
          <cell r="M17485">
            <v>1</v>
          </cell>
          <cell r="R17485">
            <v>46031</v>
          </cell>
          <cell r="S17485">
            <v>217018</v>
          </cell>
        </row>
        <row r="17486">
          <cell r="K17486" t="str">
            <v>213022</v>
          </cell>
          <cell r="M17486">
            <v>2</v>
          </cell>
          <cell r="R17486">
            <v>46031</v>
          </cell>
          <cell r="S17486">
            <v>213022</v>
          </cell>
        </row>
        <row r="17487">
          <cell r="K17487" t="str">
            <v>217018</v>
          </cell>
          <cell r="M17487">
            <v>3</v>
          </cell>
          <cell r="R17487">
            <v>46031</v>
          </cell>
          <cell r="S17487">
            <v>217018</v>
          </cell>
        </row>
        <row r="17488">
          <cell r="K17488" t="str">
            <v>223001</v>
          </cell>
          <cell r="M17488">
            <v>6</v>
          </cell>
          <cell r="R17488">
            <v>46031</v>
          </cell>
          <cell r="S17488">
            <v>223001</v>
          </cell>
        </row>
        <row r="17489">
          <cell r="K17489" t="str">
            <v>223002</v>
          </cell>
          <cell r="M17489">
            <v>6</v>
          </cell>
          <cell r="R17489">
            <v>46031</v>
          </cell>
          <cell r="S17489">
            <v>223002</v>
          </cell>
        </row>
        <row r="17490">
          <cell r="K17490" t="str">
            <v>201011</v>
          </cell>
          <cell r="M17490">
            <v>8</v>
          </cell>
          <cell r="R17490">
            <v>46031</v>
          </cell>
          <cell r="S17490">
            <v>201011</v>
          </cell>
        </row>
        <row r="17491">
          <cell r="K17491" t="str">
            <v>213022</v>
          </cell>
          <cell r="M17491">
            <v>2</v>
          </cell>
          <cell r="R17491">
            <v>46031</v>
          </cell>
          <cell r="S17491">
            <v>213022</v>
          </cell>
        </row>
        <row r="17492">
          <cell r="K17492" t="str">
            <v>261004</v>
          </cell>
          <cell r="M17492">
            <v>2</v>
          </cell>
          <cell r="R17492">
            <v>46031</v>
          </cell>
          <cell r="S17492">
            <v>261004</v>
          </cell>
        </row>
        <row r="17493">
          <cell r="K17493" t="str">
            <v>201011</v>
          </cell>
          <cell r="M17493">
            <v>12</v>
          </cell>
          <cell r="R17493">
            <v>46031</v>
          </cell>
          <cell r="S17493">
            <v>201011</v>
          </cell>
        </row>
        <row r="17494">
          <cell r="K17494" t="str">
            <v>201011</v>
          </cell>
          <cell r="M17494">
            <v>12</v>
          </cell>
          <cell r="R17494">
            <v>46031</v>
          </cell>
          <cell r="S17494">
            <v>201011</v>
          </cell>
        </row>
        <row r="17495">
          <cell r="K17495" t="str">
            <v>223001</v>
          </cell>
          <cell r="M17495">
            <v>6</v>
          </cell>
          <cell r="R17495">
            <v>46031</v>
          </cell>
          <cell r="S17495">
            <v>223001</v>
          </cell>
        </row>
        <row r="17496">
          <cell r="K17496" t="str">
            <v>223003</v>
          </cell>
          <cell r="M17496">
            <v>6</v>
          </cell>
          <cell r="R17496">
            <v>46031</v>
          </cell>
          <cell r="S17496">
            <v>223003</v>
          </cell>
        </row>
        <row r="17497">
          <cell r="K17497" t="str">
            <v>223006</v>
          </cell>
          <cell r="M17497">
            <v>6</v>
          </cell>
          <cell r="R17497">
            <v>46031</v>
          </cell>
          <cell r="S17497">
            <v>223006</v>
          </cell>
        </row>
        <row r="17498">
          <cell r="K17498" t="str">
            <v>223002</v>
          </cell>
          <cell r="M17498">
            <v>6</v>
          </cell>
          <cell r="R17498">
            <v>46031</v>
          </cell>
          <cell r="S17498">
            <v>223002</v>
          </cell>
        </row>
        <row r="17499">
          <cell r="K17499" t="str">
            <v>227012</v>
          </cell>
          <cell r="M17499">
            <v>1</v>
          </cell>
          <cell r="R17499">
            <v>46031</v>
          </cell>
          <cell r="S17499">
            <v>227012</v>
          </cell>
        </row>
        <row r="17500">
          <cell r="K17500" t="str">
            <v>228001</v>
          </cell>
          <cell r="M17500">
            <v>1</v>
          </cell>
          <cell r="R17500">
            <v>46031</v>
          </cell>
          <cell r="S17500">
            <v>228001</v>
          </cell>
        </row>
        <row r="17501">
          <cell r="K17501" t="str">
            <v>209017</v>
          </cell>
          <cell r="M17501">
            <v>1</v>
          </cell>
          <cell r="R17501">
            <v>46031</v>
          </cell>
          <cell r="S17501">
            <v>209017</v>
          </cell>
        </row>
        <row r="17502">
          <cell r="K17502" t="str">
            <v>209016</v>
          </cell>
          <cell r="M17502">
            <v>1</v>
          </cell>
          <cell r="R17502">
            <v>46031</v>
          </cell>
          <cell r="S17502">
            <v>209016</v>
          </cell>
        </row>
        <row r="17503">
          <cell r="K17503" t="str">
            <v>201024</v>
          </cell>
          <cell r="M17503">
            <v>1</v>
          </cell>
          <cell r="R17503">
            <v>46031</v>
          </cell>
          <cell r="S17503">
            <v>201024</v>
          </cell>
        </row>
        <row r="17504">
          <cell r="K17504" t="str">
            <v>228001</v>
          </cell>
          <cell r="M17504">
            <v>6</v>
          </cell>
          <cell r="R17504">
            <v>46031</v>
          </cell>
          <cell r="S17504">
            <v>228001</v>
          </cell>
        </row>
        <row r="17505">
          <cell r="K17505" t="str">
            <v>261004</v>
          </cell>
          <cell r="M17505">
            <v>50</v>
          </cell>
          <cell r="R17505">
            <v>46031</v>
          </cell>
          <cell r="S17505">
            <v>261004</v>
          </cell>
        </row>
        <row r="17506">
          <cell r="K17506" t="str">
            <v>212010</v>
          </cell>
          <cell r="M17506">
            <v>20</v>
          </cell>
          <cell r="R17506">
            <v>46031</v>
          </cell>
          <cell r="S17506">
            <v>212010</v>
          </cell>
        </row>
        <row r="17507">
          <cell r="K17507" t="str">
            <v>207013</v>
          </cell>
          <cell r="M17507">
            <v>1</v>
          </cell>
          <cell r="R17507">
            <v>46032</v>
          </cell>
          <cell r="S17507">
            <v>207013</v>
          </cell>
        </row>
        <row r="17508">
          <cell r="K17508" t="str">
            <v>231006</v>
          </cell>
          <cell r="M17508">
            <v>2</v>
          </cell>
          <cell r="R17508">
            <v>46032</v>
          </cell>
          <cell r="S17508">
            <v>231006</v>
          </cell>
        </row>
        <row r="17509">
          <cell r="K17509" t="str">
            <v>227014</v>
          </cell>
          <cell r="M17509">
            <v>1</v>
          </cell>
          <cell r="R17509">
            <v>46032</v>
          </cell>
          <cell r="S17509">
            <v>227014</v>
          </cell>
        </row>
        <row r="17510">
          <cell r="K17510" t="str">
            <v>208001</v>
          </cell>
          <cell r="M17510">
            <v>1</v>
          </cell>
          <cell r="R17510">
            <v>46032</v>
          </cell>
          <cell r="S17510">
            <v>208001</v>
          </cell>
        </row>
        <row r="17511">
          <cell r="K17511" t="str">
            <v>215001</v>
          </cell>
          <cell r="M17511">
            <v>1</v>
          </cell>
          <cell r="R17511">
            <v>46032</v>
          </cell>
          <cell r="S17511">
            <v>215001</v>
          </cell>
        </row>
        <row r="17512">
          <cell r="K17512" t="str">
            <v>223003</v>
          </cell>
          <cell r="M17512">
            <v>1</v>
          </cell>
          <cell r="R17512">
            <v>46032</v>
          </cell>
          <cell r="S17512">
            <v>223003</v>
          </cell>
        </row>
        <row r="17513">
          <cell r="K17513" t="str">
            <v>223001</v>
          </cell>
          <cell r="M17513">
            <v>1</v>
          </cell>
          <cell r="R17513">
            <v>46032</v>
          </cell>
          <cell r="S17513">
            <v>223001</v>
          </cell>
        </row>
        <row r="17514">
          <cell r="K17514" t="str">
            <v>223002</v>
          </cell>
          <cell r="M17514">
            <v>2</v>
          </cell>
          <cell r="R17514">
            <v>46032</v>
          </cell>
          <cell r="S17514">
            <v>223002</v>
          </cell>
        </row>
        <row r="17515">
          <cell r="K17515" t="str">
            <v>231010</v>
          </cell>
          <cell r="M17515">
            <v>1</v>
          </cell>
          <cell r="R17515">
            <v>46032</v>
          </cell>
          <cell r="S17515">
            <v>231010</v>
          </cell>
        </row>
        <row r="17516">
          <cell r="K17516" t="str">
            <v>201011</v>
          </cell>
          <cell r="M17516">
            <v>36</v>
          </cell>
          <cell r="R17516">
            <v>46033</v>
          </cell>
          <cell r="S17516">
            <v>201011</v>
          </cell>
        </row>
        <row r="17517">
          <cell r="K17517" t="str">
            <v>201011</v>
          </cell>
          <cell r="M17517">
            <v>36</v>
          </cell>
          <cell r="R17517">
            <v>46033</v>
          </cell>
          <cell r="S17517">
            <v>201011</v>
          </cell>
        </row>
        <row r="17518">
          <cell r="K17518" t="str">
            <v>217011</v>
          </cell>
          <cell r="M17518">
            <v>1</v>
          </cell>
          <cell r="R17518">
            <v>46034</v>
          </cell>
          <cell r="S17518">
            <v>217011</v>
          </cell>
        </row>
        <row r="17519">
          <cell r="K17519" t="str">
            <v>209004</v>
          </cell>
          <cell r="M17519">
            <v>1</v>
          </cell>
          <cell r="R17519">
            <v>46034</v>
          </cell>
          <cell r="S17519">
            <v>209004</v>
          </cell>
        </row>
        <row r="17520">
          <cell r="K17520" t="str">
            <v>231010</v>
          </cell>
          <cell r="M17520">
            <v>2</v>
          </cell>
          <cell r="R17520">
            <v>46034</v>
          </cell>
          <cell r="S17520">
            <v>231010</v>
          </cell>
        </row>
        <row r="17521">
          <cell r="K17521" t="str">
            <v>213002</v>
          </cell>
          <cell r="M17521">
            <v>1</v>
          </cell>
          <cell r="R17521">
            <v>46033</v>
          </cell>
          <cell r="S17521">
            <v>213002</v>
          </cell>
        </row>
        <row r="17522">
          <cell r="K17522" t="str">
            <v>241001</v>
          </cell>
          <cell r="M17522">
            <v>10</v>
          </cell>
          <cell r="R17522">
            <v>46033</v>
          </cell>
          <cell r="S17522">
            <v>241001</v>
          </cell>
        </row>
        <row r="17523">
          <cell r="K17523" t="str">
            <v>222001</v>
          </cell>
          <cell r="M17523">
            <v>2</v>
          </cell>
          <cell r="R17523">
            <v>46033</v>
          </cell>
          <cell r="S17523">
            <v>222001</v>
          </cell>
        </row>
        <row r="17524">
          <cell r="K17524" t="str">
            <v>234011</v>
          </cell>
          <cell r="M17524">
            <v>1</v>
          </cell>
          <cell r="R17524">
            <v>46033</v>
          </cell>
          <cell r="S17524">
            <v>234011</v>
          </cell>
        </row>
        <row r="17525">
          <cell r="K17525" t="str">
            <v>209001</v>
          </cell>
          <cell r="M17525">
            <v>1</v>
          </cell>
          <cell r="R17525">
            <v>46033</v>
          </cell>
          <cell r="S17525">
            <v>209001</v>
          </cell>
        </row>
        <row r="17526">
          <cell r="K17526" t="str">
            <v>203001</v>
          </cell>
          <cell r="M17526">
            <v>4</v>
          </cell>
          <cell r="R17526">
            <v>46033</v>
          </cell>
          <cell r="S17526">
            <v>203001</v>
          </cell>
        </row>
        <row r="17527">
          <cell r="K17527" t="str">
            <v>228001</v>
          </cell>
          <cell r="M17527">
            <v>1</v>
          </cell>
          <cell r="R17527">
            <v>46033</v>
          </cell>
          <cell r="S17527">
            <v>228001</v>
          </cell>
        </row>
        <row r="17528">
          <cell r="K17528" t="str">
            <v>231010</v>
          </cell>
          <cell r="M17528">
            <v>6</v>
          </cell>
          <cell r="R17528">
            <v>46033</v>
          </cell>
          <cell r="S17528">
            <v>231010</v>
          </cell>
        </row>
        <row r="17529">
          <cell r="K17529" t="str">
            <v>201001</v>
          </cell>
          <cell r="M17529">
            <v>1</v>
          </cell>
          <cell r="R17529">
            <v>46033</v>
          </cell>
          <cell r="S17529">
            <v>201001</v>
          </cell>
        </row>
        <row r="17530">
          <cell r="K17530" t="str">
            <v>223002</v>
          </cell>
          <cell r="M17530">
            <v>1</v>
          </cell>
          <cell r="R17530">
            <v>46033</v>
          </cell>
          <cell r="S17530">
            <v>223002</v>
          </cell>
        </row>
        <row r="17531">
          <cell r="K17531" t="str">
            <v>223001</v>
          </cell>
          <cell r="M17531">
            <v>10</v>
          </cell>
          <cell r="R17531">
            <v>46033</v>
          </cell>
          <cell r="S17531">
            <v>223001</v>
          </cell>
        </row>
        <row r="17532">
          <cell r="K17532" t="str">
            <v>227012</v>
          </cell>
          <cell r="M17532">
            <v>1</v>
          </cell>
          <cell r="R17532">
            <v>46033</v>
          </cell>
          <cell r="S17532">
            <v>227012</v>
          </cell>
        </row>
        <row r="17533">
          <cell r="K17533" t="str">
            <v>209022</v>
          </cell>
          <cell r="M17533">
            <v>2</v>
          </cell>
          <cell r="R17533">
            <v>46033</v>
          </cell>
          <cell r="S17533">
            <v>209022</v>
          </cell>
        </row>
        <row r="17534">
          <cell r="K17534" t="str">
            <v>229001</v>
          </cell>
          <cell r="M17534">
            <v>10</v>
          </cell>
          <cell r="R17534">
            <v>46037</v>
          </cell>
          <cell r="S17534">
            <v>229001</v>
          </cell>
        </row>
        <row r="17535">
          <cell r="K17535" t="str">
            <v>201001</v>
          </cell>
          <cell r="M17535">
            <v>4</v>
          </cell>
          <cell r="R17535">
            <v>46033</v>
          </cell>
          <cell r="S17535">
            <v>201001</v>
          </cell>
        </row>
        <row r="17536">
          <cell r="K17536" t="str">
            <v>228001</v>
          </cell>
          <cell r="M17536">
            <v>13</v>
          </cell>
          <cell r="R17536">
            <v>46034</v>
          </cell>
          <cell r="S17536">
            <v>228001</v>
          </cell>
        </row>
        <row r="17537">
          <cell r="K17537" t="str">
            <v>231012</v>
          </cell>
          <cell r="M17537">
            <v>12</v>
          </cell>
          <cell r="R17537">
            <v>46034</v>
          </cell>
          <cell r="S17537">
            <v>231012</v>
          </cell>
        </row>
        <row r="17538">
          <cell r="K17538" t="str">
            <v>223002</v>
          </cell>
          <cell r="M17538">
            <v>1</v>
          </cell>
          <cell r="R17538">
            <v>46034</v>
          </cell>
          <cell r="S17538">
            <v>223002</v>
          </cell>
        </row>
        <row r="17539">
          <cell r="K17539" t="str">
            <v>234001</v>
          </cell>
          <cell r="M17539">
            <v>1</v>
          </cell>
          <cell r="R17539">
            <v>46034</v>
          </cell>
          <cell r="S17539">
            <v>234001</v>
          </cell>
        </row>
        <row r="17540">
          <cell r="K17540" t="str">
            <v>209016</v>
          </cell>
          <cell r="M17540">
            <v>1</v>
          </cell>
          <cell r="R17540">
            <v>46034</v>
          </cell>
          <cell r="S17540">
            <v>209016</v>
          </cell>
        </row>
        <row r="17541">
          <cell r="K17541" t="str">
            <v>213022</v>
          </cell>
          <cell r="M17541">
            <v>2</v>
          </cell>
          <cell r="R17541">
            <v>46034</v>
          </cell>
          <cell r="S17541">
            <v>213022</v>
          </cell>
        </row>
        <row r="17542">
          <cell r="K17542" t="str">
            <v>217019</v>
          </cell>
          <cell r="M17542">
            <v>3</v>
          </cell>
          <cell r="R17542">
            <v>46033</v>
          </cell>
          <cell r="S17542">
            <v>217019</v>
          </cell>
        </row>
        <row r="17543">
          <cell r="K17543" t="str">
            <v>213022</v>
          </cell>
          <cell r="M17543">
            <v>2</v>
          </cell>
          <cell r="R17543">
            <v>46033</v>
          </cell>
          <cell r="S17543">
            <v>213022</v>
          </cell>
        </row>
        <row r="17544">
          <cell r="K17544" t="str">
            <v>231012</v>
          </cell>
          <cell r="M17544">
            <v>1</v>
          </cell>
          <cell r="R17544">
            <v>46033</v>
          </cell>
          <cell r="S17544">
            <v>231012</v>
          </cell>
        </row>
        <row r="17545">
          <cell r="K17545" t="str">
            <v>228001</v>
          </cell>
          <cell r="M17545">
            <v>1</v>
          </cell>
          <cell r="R17545">
            <v>46033</v>
          </cell>
          <cell r="S17545">
            <v>228001</v>
          </cell>
        </row>
        <row r="17546">
          <cell r="K17546" t="str">
            <v>217019</v>
          </cell>
          <cell r="M17546">
            <v>2</v>
          </cell>
          <cell r="R17546">
            <v>46033</v>
          </cell>
          <cell r="S17546">
            <v>217019</v>
          </cell>
        </row>
        <row r="17547">
          <cell r="K17547" t="str">
            <v>201011</v>
          </cell>
          <cell r="M17547">
            <v>15</v>
          </cell>
          <cell r="R17547">
            <v>46032</v>
          </cell>
          <cell r="S17547">
            <v>201011</v>
          </cell>
        </row>
        <row r="17548">
          <cell r="K17548" t="str">
            <v>223001</v>
          </cell>
          <cell r="M17548">
            <v>2</v>
          </cell>
          <cell r="R17548">
            <v>46033</v>
          </cell>
          <cell r="S17548">
            <v>223001</v>
          </cell>
        </row>
        <row r="17549">
          <cell r="K17549" t="str">
            <v>203003</v>
          </cell>
          <cell r="M17549">
            <v>1</v>
          </cell>
          <cell r="R17549">
            <v>46033</v>
          </cell>
          <cell r="S17549">
            <v>203003</v>
          </cell>
        </row>
        <row r="17550">
          <cell r="K17550" t="str">
            <v>223001</v>
          </cell>
          <cell r="M17550">
            <v>3</v>
          </cell>
          <cell r="R17550">
            <v>46034</v>
          </cell>
          <cell r="S17550">
            <v>223001</v>
          </cell>
        </row>
        <row r="17551">
          <cell r="K17551" t="str">
            <v>223002</v>
          </cell>
          <cell r="M17551">
            <v>2</v>
          </cell>
          <cell r="R17551">
            <v>46034</v>
          </cell>
          <cell r="S17551">
            <v>223002</v>
          </cell>
        </row>
        <row r="17552">
          <cell r="K17552" t="str">
            <v>201001</v>
          </cell>
          <cell r="M17552">
            <v>2</v>
          </cell>
          <cell r="R17552">
            <v>46034</v>
          </cell>
          <cell r="S17552">
            <v>201001</v>
          </cell>
        </row>
        <row r="17553">
          <cell r="K17553" t="str">
            <v>271002</v>
          </cell>
          <cell r="M17553">
            <v>1</v>
          </cell>
          <cell r="R17553">
            <v>46034</v>
          </cell>
          <cell r="S17553">
            <v>271002</v>
          </cell>
        </row>
        <row r="17554">
          <cell r="K17554" t="str">
            <v>241001</v>
          </cell>
          <cell r="M17554">
            <v>1</v>
          </cell>
          <cell r="R17554">
            <v>46034</v>
          </cell>
          <cell r="S17554">
            <v>241001</v>
          </cell>
        </row>
        <row r="17555">
          <cell r="K17555" t="str">
            <v>213022</v>
          </cell>
          <cell r="M17555">
            <v>2</v>
          </cell>
          <cell r="R17555">
            <v>46033</v>
          </cell>
          <cell r="S17555">
            <v>213022</v>
          </cell>
        </row>
        <row r="17556">
          <cell r="K17556" t="str">
            <v>231012</v>
          </cell>
          <cell r="M17556">
            <v>1</v>
          </cell>
          <cell r="R17556">
            <v>46033</v>
          </cell>
          <cell r="S17556">
            <v>231012</v>
          </cell>
        </row>
        <row r="17557">
          <cell r="K17557" t="str">
            <v>228001</v>
          </cell>
          <cell r="M17557">
            <v>3</v>
          </cell>
          <cell r="R17557">
            <v>46033</v>
          </cell>
          <cell r="S17557">
            <v>228001</v>
          </cell>
        </row>
        <row r="17558">
          <cell r="K17558" t="str">
            <v>217019</v>
          </cell>
          <cell r="M17558">
            <v>6</v>
          </cell>
          <cell r="R17558">
            <v>46033</v>
          </cell>
          <cell r="S17558">
            <v>217019</v>
          </cell>
        </row>
        <row r="17559">
          <cell r="K17559" t="str">
            <v>201001</v>
          </cell>
          <cell r="M17559">
            <v>2</v>
          </cell>
          <cell r="R17559">
            <v>46034</v>
          </cell>
          <cell r="S17559">
            <v>201001</v>
          </cell>
        </row>
        <row r="17560">
          <cell r="K17560" t="str">
            <v>223001</v>
          </cell>
          <cell r="M17560">
            <v>4</v>
          </cell>
          <cell r="R17560">
            <v>46033</v>
          </cell>
          <cell r="S17560">
            <v>223001</v>
          </cell>
        </row>
        <row r="17561">
          <cell r="K17561" t="str">
            <v>223002</v>
          </cell>
          <cell r="M17561">
            <v>4</v>
          </cell>
          <cell r="R17561">
            <v>46033</v>
          </cell>
          <cell r="S17561">
            <v>223002</v>
          </cell>
        </row>
        <row r="17562">
          <cell r="K17562" t="str">
            <v>223002</v>
          </cell>
          <cell r="M17562">
            <v>2</v>
          </cell>
          <cell r="R17562">
            <v>46033</v>
          </cell>
          <cell r="S17562">
            <v>223002</v>
          </cell>
        </row>
        <row r="17563">
          <cell r="K17563" t="str">
            <v>228001</v>
          </cell>
          <cell r="M17563">
            <v>1</v>
          </cell>
          <cell r="R17563">
            <v>46033</v>
          </cell>
          <cell r="S17563">
            <v>228001</v>
          </cell>
        </row>
        <row r="17564">
          <cell r="K17564" t="str">
            <v>209017</v>
          </cell>
          <cell r="M17564">
            <v>1</v>
          </cell>
          <cell r="R17564">
            <v>46033</v>
          </cell>
          <cell r="S17564">
            <v>209017</v>
          </cell>
        </row>
        <row r="17565">
          <cell r="K17565" t="str">
            <v>231010</v>
          </cell>
          <cell r="M17565">
            <v>3</v>
          </cell>
          <cell r="R17565">
            <v>46034</v>
          </cell>
          <cell r="S17565">
            <v>231010</v>
          </cell>
        </row>
        <row r="17566">
          <cell r="K17566" t="str">
            <v>201024</v>
          </cell>
          <cell r="M17566">
            <v>1</v>
          </cell>
          <cell r="R17566">
            <v>46034</v>
          </cell>
          <cell r="S17566">
            <v>201024</v>
          </cell>
        </row>
        <row r="17567">
          <cell r="K17567" t="str">
            <v>237001</v>
          </cell>
          <cell r="M17567">
            <v>1</v>
          </cell>
          <cell r="R17567">
            <v>46034</v>
          </cell>
          <cell r="S17567">
            <v>237001</v>
          </cell>
        </row>
        <row r="17568">
          <cell r="K17568" t="str">
            <v>227014</v>
          </cell>
          <cell r="M17568">
            <v>2</v>
          </cell>
          <cell r="R17568">
            <v>46034</v>
          </cell>
          <cell r="S17568">
            <v>227014</v>
          </cell>
        </row>
        <row r="17569">
          <cell r="K17569" t="str">
            <v>223001</v>
          </cell>
          <cell r="M17569">
            <v>2</v>
          </cell>
          <cell r="R17569">
            <v>46034</v>
          </cell>
          <cell r="S17569">
            <v>223001</v>
          </cell>
        </row>
        <row r="17570">
          <cell r="K17570" t="str">
            <v>223002</v>
          </cell>
          <cell r="M17570">
            <v>1</v>
          </cell>
          <cell r="R17570">
            <v>46034</v>
          </cell>
          <cell r="S17570">
            <v>223002</v>
          </cell>
        </row>
        <row r="17571">
          <cell r="K17571" t="str">
            <v>209001</v>
          </cell>
          <cell r="M17571">
            <v>2</v>
          </cell>
          <cell r="R17571">
            <v>46034</v>
          </cell>
          <cell r="S17571">
            <v>209001</v>
          </cell>
        </row>
        <row r="17572">
          <cell r="K17572" t="str">
            <v>227012</v>
          </cell>
          <cell r="M17572">
            <v>1</v>
          </cell>
          <cell r="R17572">
            <v>46034</v>
          </cell>
          <cell r="S17572">
            <v>227012</v>
          </cell>
        </row>
        <row r="17573">
          <cell r="K17573" t="str">
            <v>228001</v>
          </cell>
          <cell r="M17573">
            <v>1</v>
          </cell>
          <cell r="R17573">
            <v>46034</v>
          </cell>
          <cell r="S17573">
            <v>228001</v>
          </cell>
        </row>
        <row r="17574">
          <cell r="K17574" t="str">
            <v>212035</v>
          </cell>
          <cell r="M17574">
            <v>2</v>
          </cell>
          <cell r="R17574">
            <v>46034</v>
          </cell>
          <cell r="S17574">
            <v>212035</v>
          </cell>
        </row>
        <row r="17575">
          <cell r="K17575" t="str">
            <v>201001</v>
          </cell>
          <cell r="M17575">
            <v>1</v>
          </cell>
          <cell r="R17575">
            <v>46034</v>
          </cell>
          <cell r="S17575">
            <v>201001</v>
          </cell>
        </row>
        <row r="17576">
          <cell r="K17576" t="str">
            <v>201024</v>
          </cell>
          <cell r="M17576">
            <v>1</v>
          </cell>
          <cell r="R17576">
            <v>46034</v>
          </cell>
          <cell r="S17576">
            <v>201024</v>
          </cell>
        </row>
        <row r="17577">
          <cell r="K17577" t="str">
            <v>207017</v>
          </cell>
          <cell r="M17577">
            <v>1</v>
          </cell>
          <cell r="R17577">
            <v>46034</v>
          </cell>
          <cell r="S17577">
            <v>207017</v>
          </cell>
        </row>
        <row r="17578">
          <cell r="K17578" t="str">
            <v>228001</v>
          </cell>
          <cell r="M17578">
            <v>1</v>
          </cell>
          <cell r="R17578">
            <v>46034</v>
          </cell>
          <cell r="S17578">
            <v>228001</v>
          </cell>
        </row>
        <row r="17579">
          <cell r="K17579" t="str">
            <v>212035</v>
          </cell>
          <cell r="M17579">
            <v>2</v>
          </cell>
          <cell r="R17579">
            <v>46034</v>
          </cell>
          <cell r="S17579">
            <v>212035</v>
          </cell>
        </row>
        <row r="17580">
          <cell r="K17580" t="str">
            <v>212035</v>
          </cell>
          <cell r="M17580">
            <v>1</v>
          </cell>
          <cell r="R17580">
            <v>46034</v>
          </cell>
          <cell r="S17580">
            <v>212035</v>
          </cell>
        </row>
        <row r="17581">
          <cell r="K17581" t="str">
            <v>227012</v>
          </cell>
          <cell r="M17581">
            <v>2</v>
          </cell>
          <cell r="R17581">
            <v>46034</v>
          </cell>
          <cell r="S17581">
            <v>227012</v>
          </cell>
        </row>
        <row r="17582">
          <cell r="K17582" t="str">
            <v>228001</v>
          </cell>
          <cell r="M17582">
            <v>3</v>
          </cell>
          <cell r="R17582">
            <v>46034</v>
          </cell>
          <cell r="S17582">
            <v>228001</v>
          </cell>
        </row>
        <row r="17583">
          <cell r="K17583" t="str">
            <v>209001</v>
          </cell>
          <cell r="M17583">
            <v>3</v>
          </cell>
          <cell r="R17583">
            <v>46034</v>
          </cell>
          <cell r="S17583">
            <v>209001</v>
          </cell>
        </row>
        <row r="17584">
          <cell r="K17584" t="str">
            <v>223002</v>
          </cell>
          <cell r="M17584">
            <v>1</v>
          </cell>
          <cell r="R17584">
            <v>46034</v>
          </cell>
          <cell r="S17584">
            <v>223002</v>
          </cell>
        </row>
        <row r="17585">
          <cell r="K17585" t="str">
            <v>241001</v>
          </cell>
          <cell r="M17585">
            <v>1</v>
          </cell>
          <cell r="R17585">
            <v>46034</v>
          </cell>
          <cell r="S17585">
            <v>241001</v>
          </cell>
        </row>
        <row r="17586">
          <cell r="K17586" t="str">
            <v>203003</v>
          </cell>
          <cell r="M17586">
            <v>4</v>
          </cell>
          <cell r="R17586">
            <v>46034</v>
          </cell>
          <cell r="S17586">
            <v>203003</v>
          </cell>
        </row>
        <row r="17587">
          <cell r="K17587" t="str">
            <v>217018</v>
          </cell>
          <cell r="M17587">
            <v>1</v>
          </cell>
          <cell r="R17587">
            <v>46034</v>
          </cell>
          <cell r="S17587">
            <v>217018</v>
          </cell>
        </row>
        <row r="17588">
          <cell r="K17588" t="str">
            <v>228001</v>
          </cell>
          <cell r="M17588">
            <v>1</v>
          </cell>
          <cell r="R17588">
            <v>46034</v>
          </cell>
          <cell r="S17588">
            <v>228001</v>
          </cell>
        </row>
        <row r="17589">
          <cell r="K17589" t="str">
            <v>231010</v>
          </cell>
          <cell r="M17589">
            <v>3</v>
          </cell>
          <cell r="R17589">
            <v>46034</v>
          </cell>
          <cell r="S17589">
            <v>231010</v>
          </cell>
        </row>
        <row r="17590">
          <cell r="K17590" t="str">
            <v>213022</v>
          </cell>
          <cell r="M17590">
            <v>1</v>
          </cell>
          <cell r="R17590">
            <v>46034</v>
          </cell>
          <cell r="S17590">
            <v>213022</v>
          </cell>
        </row>
        <row r="17591">
          <cell r="K17591" t="str">
            <v>212035</v>
          </cell>
          <cell r="M17591">
            <v>3</v>
          </cell>
          <cell r="R17591">
            <v>46034</v>
          </cell>
          <cell r="S17591">
            <v>212035</v>
          </cell>
        </row>
        <row r="17592">
          <cell r="K17592" t="str">
            <v>234001</v>
          </cell>
          <cell r="M17592">
            <v>1</v>
          </cell>
          <cell r="R17592">
            <v>46034</v>
          </cell>
          <cell r="S17592">
            <v>234001</v>
          </cell>
        </row>
        <row r="17593">
          <cell r="K17593" t="str">
            <v>201024</v>
          </cell>
          <cell r="M17593">
            <v>2</v>
          </cell>
          <cell r="R17593">
            <v>46034</v>
          </cell>
          <cell r="S17593">
            <v>201024</v>
          </cell>
        </row>
        <row r="17594">
          <cell r="K17594" t="str">
            <v>228001</v>
          </cell>
          <cell r="M17594">
            <v>2</v>
          </cell>
          <cell r="R17594">
            <v>46034</v>
          </cell>
          <cell r="S17594">
            <v>228001</v>
          </cell>
        </row>
        <row r="17595">
          <cell r="K17595" t="str">
            <v>212035</v>
          </cell>
          <cell r="M17595">
            <v>2</v>
          </cell>
          <cell r="R17595">
            <v>46034</v>
          </cell>
          <cell r="S17595">
            <v>212035</v>
          </cell>
        </row>
        <row r="17596">
          <cell r="K17596" t="str">
            <v>226001</v>
          </cell>
          <cell r="M17596">
            <v>3</v>
          </cell>
          <cell r="R17596">
            <v>46034</v>
          </cell>
          <cell r="S17596">
            <v>226001</v>
          </cell>
        </row>
        <row r="17597">
          <cell r="K17597" t="str">
            <v>227002</v>
          </cell>
          <cell r="M17597">
            <v>3</v>
          </cell>
          <cell r="R17597">
            <v>46034</v>
          </cell>
          <cell r="S17597">
            <v>227002</v>
          </cell>
        </row>
        <row r="17598">
          <cell r="K17598" t="str">
            <v>231012</v>
          </cell>
          <cell r="M17598">
            <v>3</v>
          </cell>
          <cell r="R17598">
            <v>46034</v>
          </cell>
          <cell r="S17598">
            <v>231012</v>
          </cell>
        </row>
        <row r="17599">
          <cell r="K17599" t="str">
            <v>228001</v>
          </cell>
          <cell r="M17599">
            <v>13</v>
          </cell>
          <cell r="R17599">
            <v>46034</v>
          </cell>
          <cell r="S17599">
            <v>228001</v>
          </cell>
        </row>
        <row r="17600">
          <cell r="K17600" t="str">
            <v>228001</v>
          </cell>
          <cell r="M17600">
            <v>3</v>
          </cell>
          <cell r="R17600">
            <v>46034</v>
          </cell>
          <cell r="S17600">
            <v>228001</v>
          </cell>
        </row>
        <row r="17601">
          <cell r="K17601" t="str">
            <v>201027</v>
          </cell>
          <cell r="M17601">
            <v>1</v>
          </cell>
          <cell r="R17601">
            <v>46034</v>
          </cell>
          <cell r="S17601">
            <v>201027</v>
          </cell>
        </row>
        <row r="17602">
          <cell r="K17602" t="str">
            <v>201026</v>
          </cell>
          <cell r="M17602">
            <v>1</v>
          </cell>
          <cell r="R17602">
            <v>46034</v>
          </cell>
          <cell r="S17602">
            <v>201026</v>
          </cell>
        </row>
        <row r="17603">
          <cell r="K17603" t="str">
            <v>201011</v>
          </cell>
          <cell r="M17603">
            <v>36</v>
          </cell>
          <cell r="R17603">
            <v>46034</v>
          </cell>
          <cell r="S17603">
            <v>201011</v>
          </cell>
        </row>
        <row r="17604">
          <cell r="K17604" t="str">
            <v>223001</v>
          </cell>
          <cell r="M17604">
            <v>6</v>
          </cell>
          <cell r="R17604">
            <v>46034</v>
          </cell>
          <cell r="S17604">
            <v>223001</v>
          </cell>
        </row>
        <row r="17605">
          <cell r="K17605" t="str">
            <v>223002</v>
          </cell>
          <cell r="M17605">
            <v>6</v>
          </cell>
          <cell r="R17605">
            <v>46034</v>
          </cell>
          <cell r="S17605">
            <v>223002</v>
          </cell>
        </row>
        <row r="17606">
          <cell r="K17606" t="str">
            <v>217018</v>
          </cell>
          <cell r="M17606">
            <v>2</v>
          </cell>
          <cell r="R17606">
            <v>46034</v>
          </cell>
          <cell r="S17606">
            <v>217018</v>
          </cell>
        </row>
        <row r="17607">
          <cell r="K17607" t="str">
            <v>206006</v>
          </cell>
          <cell r="M17607">
            <v>1</v>
          </cell>
          <cell r="R17607">
            <v>46034</v>
          </cell>
          <cell r="S17607">
            <v>206006</v>
          </cell>
        </row>
        <row r="17608">
          <cell r="K17608" t="str">
            <v>206005</v>
          </cell>
          <cell r="M17608">
            <v>1</v>
          </cell>
          <cell r="R17608">
            <v>46034</v>
          </cell>
          <cell r="S17608">
            <v>206005</v>
          </cell>
        </row>
        <row r="17609">
          <cell r="K17609" t="str">
            <v>228001</v>
          </cell>
          <cell r="M17609">
            <v>1</v>
          </cell>
          <cell r="R17609">
            <v>46033</v>
          </cell>
          <cell r="S17609">
            <v>228001</v>
          </cell>
        </row>
        <row r="17610">
          <cell r="K17610" t="str">
            <v>209012</v>
          </cell>
          <cell r="M17610">
            <v>1</v>
          </cell>
          <cell r="R17610">
            <v>46033</v>
          </cell>
          <cell r="S17610">
            <v>209012</v>
          </cell>
        </row>
        <row r="17611">
          <cell r="K17611" t="str">
            <v>223001</v>
          </cell>
          <cell r="M17611">
            <v>6</v>
          </cell>
          <cell r="R17611">
            <v>46034</v>
          </cell>
          <cell r="S17611">
            <v>223001</v>
          </cell>
        </row>
        <row r="17612">
          <cell r="K17612" t="str">
            <v>223005</v>
          </cell>
          <cell r="M17612">
            <v>4</v>
          </cell>
          <cell r="R17612">
            <v>46034</v>
          </cell>
          <cell r="S17612">
            <v>223005</v>
          </cell>
        </row>
        <row r="17613">
          <cell r="K17613" t="str">
            <v>223006</v>
          </cell>
          <cell r="M17613">
            <v>4</v>
          </cell>
          <cell r="R17613">
            <v>46034</v>
          </cell>
          <cell r="S17613">
            <v>223006</v>
          </cell>
        </row>
        <row r="17614">
          <cell r="K17614" t="str">
            <v>223002</v>
          </cell>
          <cell r="M17614">
            <v>6</v>
          </cell>
          <cell r="R17614">
            <v>46034</v>
          </cell>
          <cell r="S17614">
            <v>223002</v>
          </cell>
        </row>
        <row r="17615">
          <cell r="K17615" t="str">
            <v>213022</v>
          </cell>
          <cell r="M17615">
            <v>3</v>
          </cell>
          <cell r="R17615">
            <v>46034</v>
          </cell>
          <cell r="S17615">
            <v>213022</v>
          </cell>
        </row>
        <row r="17616">
          <cell r="K17616" t="str">
            <v>217018</v>
          </cell>
          <cell r="M17616">
            <v>4</v>
          </cell>
          <cell r="R17616">
            <v>46034</v>
          </cell>
          <cell r="S17616">
            <v>217018</v>
          </cell>
        </row>
        <row r="17617">
          <cell r="K17617" t="str">
            <v>226030</v>
          </cell>
          <cell r="M17617">
            <v>1</v>
          </cell>
          <cell r="R17617">
            <v>46034</v>
          </cell>
          <cell r="S17617">
            <v>226030</v>
          </cell>
        </row>
        <row r="17618">
          <cell r="K17618" t="str">
            <v>217022</v>
          </cell>
          <cell r="M17618">
            <v>6</v>
          </cell>
          <cell r="R17618">
            <v>46034</v>
          </cell>
          <cell r="S17618">
            <v>217022</v>
          </cell>
        </row>
        <row r="17619">
          <cell r="K17619" t="str">
            <v>206002</v>
          </cell>
          <cell r="M17619">
            <v>1</v>
          </cell>
          <cell r="R17619">
            <v>46034</v>
          </cell>
          <cell r="S17619">
            <v>206002</v>
          </cell>
        </row>
        <row r="17620">
          <cell r="K17620" t="str">
            <v>228001</v>
          </cell>
          <cell r="M17620">
            <v>4</v>
          </cell>
          <cell r="R17620">
            <v>46034</v>
          </cell>
          <cell r="S17620">
            <v>228001</v>
          </cell>
        </row>
        <row r="17621">
          <cell r="K17621" t="str">
            <v>226001</v>
          </cell>
          <cell r="M17621">
            <v>3</v>
          </cell>
          <cell r="R17621">
            <v>46034</v>
          </cell>
          <cell r="S17621">
            <v>226001</v>
          </cell>
        </row>
        <row r="17622">
          <cell r="K17622" t="str">
            <v>226001</v>
          </cell>
          <cell r="M17622">
            <v>2</v>
          </cell>
          <cell r="R17622">
            <v>46034</v>
          </cell>
          <cell r="S17622">
            <v>226001</v>
          </cell>
        </row>
        <row r="17623">
          <cell r="K17623" t="str">
            <v>226001</v>
          </cell>
          <cell r="M17623">
            <v>1</v>
          </cell>
          <cell r="R17623">
            <v>46034</v>
          </cell>
          <cell r="S17623">
            <v>226001</v>
          </cell>
        </row>
        <row r="17624">
          <cell r="K17624" t="str">
            <v>228001</v>
          </cell>
          <cell r="M17624">
            <v>7</v>
          </cell>
          <cell r="R17624">
            <v>46034</v>
          </cell>
          <cell r="S17624">
            <v>228001</v>
          </cell>
        </row>
        <row r="17625">
          <cell r="K17625" t="str">
            <v>228001</v>
          </cell>
          <cell r="M17625">
            <v>3</v>
          </cell>
          <cell r="R17625">
            <v>46034</v>
          </cell>
          <cell r="S17625">
            <v>228001</v>
          </cell>
        </row>
        <row r="17626">
          <cell r="K17626" t="str">
            <v>201024</v>
          </cell>
          <cell r="M17626">
            <v>2</v>
          </cell>
          <cell r="R17626">
            <v>46034</v>
          </cell>
          <cell r="S17626">
            <v>201024</v>
          </cell>
        </row>
        <row r="17627">
          <cell r="K17627" t="str">
            <v>212035</v>
          </cell>
          <cell r="M17627">
            <v>2</v>
          </cell>
          <cell r="R17627">
            <v>46034</v>
          </cell>
          <cell r="S17627">
            <v>212035</v>
          </cell>
        </row>
        <row r="17628">
          <cell r="K17628" t="str">
            <v>212002</v>
          </cell>
          <cell r="M17628">
            <v>1</v>
          </cell>
          <cell r="R17628">
            <v>46034</v>
          </cell>
          <cell r="S17628">
            <v>212002</v>
          </cell>
        </row>
        <row r="17629">
          <cell r="K17629" t="str">
            <v>231012</v>
          </cell>
          <cell r="M17629">
            <v>1</v>
          </cell>
          <cell r="R17629">
            <v>46034</v>
          </cell>
          <cell r="S17629">
            <v>231012</v>
          </cell>
        </row>
        <row r="17630">
          <cell r="K17630" t="str">
            <v>226001</v>
          </cell>
          <cell r="M17630">
            <v>2</v>
          </cell>
          <cell r="R17630">
            <v>46034</v>
          </cell>
          <cell r="S17630">
            <v>226001</v>
          </cell>
        </row>
        <row r="17631">
          <cell r="K17631" t="str">
            <v>228001</v>
          </cell>
          <cell r="M17631">
            <v>1</v>
          </cell>
          <cell r="R17631">
            <v>46034</v>
          </cell>
          <cell r="S17631">
            <v>228001</v>
          </cell>
        </row>
        <row r="17632">
          <cell r="K17632" t="str">
            <v>209016</v>
          </cell>
          <cell r="M17632">
            <v>2</v>
          </cell>
          <cell r="R17632">
            <v>46034</v>
          </cell>
          <cell r="S17632">
            <v>209016</v>
          </cell>
        </row>
        <row r="17633">
          <cell r="K17633" t="str">
            <v>209012</v>
          </cell>
          <cell r="M17633">
            <v>1</v>
          </cell>
          <cell r="R17633">
            <v>46034</v>
          </cell>
          <cell r="S17633">
            <v>209012</v>
          </cell>
        </row>
        <row r="17634">
          <cell r="K17634" t="str">
            <v>213002</v>
          </cell>
          <cell r="M17634">
            <v>1</v>
          </cell>
          <cell r="R17634">
            <v>46034</v>
          </cell>
          <cell r="S17634">
            <v>213002</v>
          </cell>
        </row>
        <row r="17635">
          <cell r="K17635" t="str">
            <v>231012</v>
          </cell>
          <cell r="M17635">
            <v>1</v>
          </cell>
          <cell r="R17635">
            <v>46034</v>
          </cell>
          <cell r="S17635">
            <v>231012</v>
          </cell>
        </row>
        <row r="17636">
          <cell r="K17636" t="str">
            <v>227002</v>
          </cell>
          <cell r="M17636">
            <v>1</v>
          </cell>
          <cell r="R17636">
            <v>46034</v>
          </cell>
          <cell r="S17636">
            <v>227002</v>
          </cell>
        </row>
        <row r="17637">
          <cell r="K17637" t="str">
            <v>223002</v>
          </cell>
          <cell r="M17637">
            <v>1</v>
          </cell>
          <cell r="R17637">
            <v>46034</v>
          </cell>
          <cell r="S17637">
            <v>223002</v>
          </cell>
        </row>
        <row r="17638">
          <cell r="K17638" t="str">
            <v>223001</v>
          </cell>
          <cell r="M17638">
            <v>1</v>
          </cell>
          <cell r="R17638">
            <v>46034</v>
          </cell>
          <cell r="S17638">
            <v>223001</v>
          </cell>
        </row>
        <row r="17639">
          <cell r="K17639" t="str">
            <v>226024</v>
          </cell>
          <cell r="M17639">
            <v>1</v>
          </cell>
          <cell r="R17639">
            <v>46034</v>
          </cell>
          <cell r="S17639">
            <v>226024</v>
          </cell>
        </row>
        <row r="17640">
          <cell r="K17640" t="str">
            <v>227012</v>
          </cell>
          <cell r="M17640">
            <v>4</v>
          </cell>
          <cell r="R17640">
            <v>46034</v>
          </cell>
          <cell r="S17640">
            <v>227012</v>
          </cell>
        </row>
        <row r="17641">
          <cell r="K17641" t="str">
            <v>227012</v>
          </cell>
          <cell r="M17641">
            <v>1</v>
          </cell>
          <cell r="R17641">
            <v>46034</v>
          </cell>
          <cell r="S17641">
            <v>227012</v>
          </cell>
        </row>
        <row r="17642">
          <cell r="K17642" t="str">
            <v>227012</v>
          </cell>
          <cell r="M17642">
            <v>1</v>
          </cell>
          <cell r="R17642">
            <v>46034</v>
          </cell>
          <cell r="S17642">
            <v>227012</v>
          </cell>
        </row>
        <row r="17643">
          <cell r="K17643" t="str">
            <v>228001</v>
          </cell>
          <cell r="M17643">
            <v>3</v>
          </cell>
          <cell r="R17643">
            <v>46034</v>
          </cell>
          <cell r="S17643">
            <v>228001</v>
          </cell>
        </row>
        <row r="17644">
          <cell r="K17644" t="str">
            <v>213002</v>
          </cell>
          <cell r="M17644">
            <v>15</v>
          </cell>
          <cell r="R17644">
            <v>46034</v>
          </cell>
          <cell r="S17644">
            <v>213002</v>
          </cell>
        </row>
        <row r="17645">
          <cell r="K17645" t="str">
            <v>223002</v>
          </cell>
          <cell r="M17645">
            <v>4</v>
          </cell>
          <cell r="R17645">
            <v>46034</v>
          </cell>
          <cell r="S17645">
            <v>223002</v>
          </cell>
        </row>
        <row r="17646">
          <cell r="K17646" t="str">
            <v>241001</v>
          </cell>
          <cell r="M17646">
            <v>3</v>
          </cell>
          <cell r="R17646">
            <v>46034</v>
          </cell>
          <cell r="S17646">
            <v>241001</v>
          </cell>
        </row>
        <row r="17647">
          <cell r="K17647" t="str">
            <v>222001</v>
          </cell>
          <cell r="M17647">
            <v>5</v>
          </cell>
          <cell r="R17647">
            <v>46034</v>
          </cell>
          <cell r="S17647">
            <v>222001</v>
          </cell>
        </row>
        <row r="17648">
          <cell r="K17648" t="str">
            <v>222007</v>
          </cell>
          <cell r="M17648">
            <v>2</v>
          </cell>
          <cell r="R17648">
            <v>46034</v>
          </cell>
          <cell r="S17648">
            <v>222007</v>
          </cell>
        </row>
        <row r="17649">
          <cell r="K17649" t="str">
            <v>223001</v>
          </cell>
          <cell r="M17649">
            <v>4</v>
          </cell>
          <cell r="R17649">
            <v>46034</v>
          </cell>
          <cell r="S17649">
            <v>223001</v>
          </cell>
        </row>
        <row r="17650">
          <cell r="K17650" t="str">
            <v>227002</v>
          </cell>
          <cell r="M17650">
            <v>1</v>
          </cell>
          <cell r="R17650">
            <v>46034</v>
          </cell>
          <cell r="S17650">
            <v>227002</v>
          </cell>
        </row>
        <row r="17651">
          <cell r="K17651" t="str">
            <v>201022</v>
          </cell>
          <cell r="M17651">
            <v>1</v>
          </cell>
          <cell r="R17651">
            <v>46034</v>
          </cell>
          <cell r="S17651">
            <v>201022</v>
          </cell>
        </row>
        <row r="17652">
          <cell r="K17652" t="str">
            <v>201001</v>
          </cell>
          <cell r="M17652">
            <v>1</v>
          </cell>
          <cell r="R17652">
            <v>46034</v>
          </cell>
          <cell r="S17652">
            <v>201001</v>
          </cell>
        </row>
        <row r="17653">
          <cell r="K17653" t="str">
            <v>201024</v>
          </cell>
          <cell r="M17653">
            <v>4</v>
          </cell>
          <cell r="R17653">
            <v>46034</v>
          </cell>
          <cell r="S17653">
            <v>201024</v>
          </cell>
        </row>
        <row r="17654">
          <cell r="K17654" t="str">
            <v>201022</v>
          </cell>
          <cell r="M17654">
            <v>1</v>
          </cell>
          <cell r="R17654">
            <v>46034</v>
          </cell>
          <cell r="S17654">
            <v>201022</v>
          </cell>
        </row>
        <row r="17655">
          <cell r="K17655" t="str">
            <v>234001</v>
          </cell>
          <cell r="M17655">
            <v>1</v>
          </cell>
          <cell r="R17655">
            <v>46034</v>
          </cell>
          <cell r="S17655">
            <v>234001</v>
          </cell>
        </row>
        <row r="17656">
          <cell r="K17656" t="str">
            <v>209004</v>
          </cell>
          <cell r="M17656">
            <v>2</v>
          </cell>
          <cell r="R17656">
            <v>46034</v>
          </cell>
          <cell r="S17656">
            <v>209004</v>
          </cell>
        </row>
        <row r="17657">
          <cell r="K17657" t="str">
            <v>227002</v>
          </cell>
          <cell r="M17657">
            <v>1</v>
          </cell>
          <cell r="R17657">
            <v>46034</v>
          </cell>
          <cell r="S17657">
            <v>227002</v>
          </cell>
        </row>
        <row r="17658">
          <cell r="K17658" t="str">
            <v>208001</v>
          </cell>
          <cell r="M17658">
            <v>1</v>
          </cell>
          <cell r="R17658">
            <v>46034</v>
          </cell>
          <cell r="S17658">
            <v>208001</v>
          </cell>
        </row>
        <row r="17659">
          <cell r="K17659" t="str">
            <v>213022</v>
          </cell>
          <cell r="M17659">
            <v>1</v>
          </cell>
          <cell r="R17659">
            <v>46034</v>
          </cell>
          <cell r="S17659">
            <v>213022</v>
          </cell>
        </row>
        <row r="17660">
          <cell r="K17660" t="str">
            <v>207017</v>
          </cell>
          <cell r="M17660">
            <v>2</v>
          </cell>
          <cell r="R17660">
            <v>46034</v>
          </cell>
          <cell r="S17660">
            <v>207017</v>
          </cell>
        </row>
        <row r="17661">
          <cell r="K17661" t="str">
            <v>231012</v>
          </cell>
          <cell r="M17661">
            <v>2</v>
          </cell>
          <cell r="R17661">
            <v>46034</v>
          </cell>
          <cell r="S17661">
            <v>231012</v>
          </cell>
        </row>
        <row r="17662">
          <cell r="K17662" t="str">
            <v>229004</v>
          </cell>
          <cell r="M17662">
            <v>1</v>
          </cell>
          <cell r="R17662">
            <v>46034</v>
          </cell>
          <cell r="S17662">
            <v>229004</v>
          </cell>
        </row>
        <row r="17663">
          <cell r="K17663" t="str">
            <v>261004</v>
          </cell>
          <cell r="M17663">
            <v>1</v>
          </cell>
          <cell r="R17663">
            <v>46034</v>
          </cell>
          <cell r="S17663">
            <v>261004</v>
          </cell>
        </row>
        <row r="17664">
          <cell r="K17664" t="str">
            <v>228001</v>
          </cell>
          <cell r="M17664">
            <v>6</v>
          </cell>
          <cell r="R17664">
            <v>46034</v>
          </cell>
          <cell r="S17664">
            <v>228001</v>
          </cell>
        </row>
        <row r="17665">
          <cell r="K17665" t="str">
            <v>261004</v>
          </cell>
          <cell r="M17665">
            <v>12</v>
          </cell>
          <cell r="R17665">
            <v>46034</v>
          </cell>
          <cell r="S17665">
            <v>261004</v>
          </cell>
        </row>
        <row r="17666">
          <cell r="K17666" t="str">
            <v>212010</v>
          </cell>
          <cell r="M17666">
            <v>8</v>
          </cell>
          <cell r="R17666">
            <v>46034</v>
          </cell>
          <cell r="S17666">
            <v>212010</v>
          </cell>
        </row>
        <row r="17667">
          <cell r="K17667" t="str">
            <v>201027</v>
          </cell>
          <cell r="M17667">
            <v>1</v>
          </cell>
          <cell r="R17667">
            <v>46034</v>
          </cell>
          <cell r="S17667">
            <v>201027</v>
          </cell>
        </row>
        <row r="17668">
          <cell r="K17668" t="str">
            <v>201026</v>
          </cell>
          <cell r="M17668">
            <v>1</v>
          </cell>
          <cell r="R17668">
            <v>46034</v>
          </cell>
          <cell r="S17668">
            <v>201026</v>
          </cell>
        </row>
        <row r="17669">
          <cell r="K17669" t="str">
            <v>201027</v>
          </cell>
          <cell r="M17669">
            <v>1</v>
          </cell>
          <cell r="R17669">
            <v>46034</v>
          </cell>
          <cell r="S17669">
            <v>201027</v>
          </cell>
        </row>
        <row r="17670">
          <cell r="K17670" t="str">
            <v>201026</v>
          </cell>
          <cell r="M17670">
            <v>1</v>
          </cell>
          <cell r="R17670">
            <v>46034</v>
          </cell>
          <cell r="S17670">
            <v>201026</v>
          </cell>
        </row>
        <row r="17671">
          <cell r="K17671" t="str">
            <v>228001</v>
          </cell>
          <cell r="M17671">
            <v>5</v>
          </cell>
          <cell r="R17671">
            <v>46034</v>
          </cell>
          <cell r="S17671">
            <v>228001</v>
          </cell>
        </row>
        <row r="17672">
          <cell r="K17672" t="str">
            <v>213022</v>
          </cell>
          <cell r="M17672">
            <v>1</v>
          </cell>
          <cell r="R17672">
            <v>46034</v>
          </cell>
          <cell r="S17672">
            <v>213022</v>
          </cell>
        </row>
        <row r="17673">
          <cell r="K17673" t="str">
            <v>210015</v>
          </cell>
          <cell r="M17673">
            <v>18</v>
          </cell>
          <cell r="R17673">
            <v>46034</v>
          </cell>
          <cell r="S17673">
            <v>210015</v>
          </cell>
        </row>
        <row r="17674">
          <cell r="K17674" t="str">
            <v>213022</v>
          </cell>
          <cell r="M17674">
            <v>1</v>
          </cell>
          <cell r="R17674">
            <v>46034</v>
          </cell>
          <cell r="S17674">
            <v>213022</v>
          </cell>
        </row>
        <row r="17675">
          <cell r="K17675" t="str">
            <v>213022</v>
          </cell>
          <cell r="M17675">
            <v>1</v>
          </cell>
          <cell r="R17675">
            <v>46034</v>
          </cell>
          <cell r="S17675">
            <v>213022</v>
          </cell>
        </row>
        <row r="17676">
          <cell r="K17676" t="str">
            <v>241001</v>
          </cell>
          <cell r="M17676">
            <v>3</v>
          </cell>
          <cell r="R17676">
            <v>46034</v>
          </cell>
          <cell r="S17676">
            <v>241001</v>
          </cell>
        </row>
        <row r="17677">
          <cell r="K17677" t="str">
            <v>213022</v>
          </cell>
          <cell r="M17677">
            <v>1</v>
          </cell>
          <cell r="R17677">
            <v>46034</v>
          </cell>
          <cell r="S17677">
            <v>213022</v>
          </cell>
        </row>
        <row r="17678">
          <cell r="K17678" t="str">
            <v>241001</v>
          </cell>
          <cell r="M17678">
            <v>3</v>
          </cell>
          <cell r="R17678">
            <v>46034</v>
          </cell>
          <cell r="S17678">
            <v>241001</v>
          </cell>
        </row>
        <row r="17679">
          <cell r="K17679" t="str">
            <v>213022</v>
          </cell>
          <cell r="M17679">
            <v>1</v>
          </cell>
          <cell r="R17679">
            <v>46034</v>
          </cell>
          <cell r="S17679">
            <v>213022</v>
          </cell>
        </row>
        <row r="17680">
          <cell r="K17680" t="str">
            <v>241001</v>
          </cell>
          <cell r="M17680">
            <v>4</v>
          </cell>
          <cell r="R17680">
            <v>46034</v>
          </cell>
          <cell r="S17680">
            <v>241001</v>
          </cell>
        </row>
        <row r="17681">
          <cell r="K17681" t="str">
            <v>217011</v>
          </cell>
          <cell r="M17681">
            <v>1</v>
          </cell>
          <cell r="R17681">
            <v>46034</v>
          </cell>
          <cell r="S17681">
            <v>217011</v>
          </cell>
        </row>
        <row r="17682">
          <cell r="K17682" t="str">
            <v>201024</v>
          </cell>
          <cell r="M17682">
            <v>1</v>
          </cell>
          <cell r="R17682">
            <v>46034</v>
          </cell>
          <cell r="S17682">
            <v>201024</v>
          </cell>
        </row>
        <row r="17683">
          <cell r="K17683" t="str">
            <v>231012</v>
          </cell>
          <cell r="M17683">
            <v>1</v>
          </cell>
          <cell r="R17683">
            <v>46034</v>
          </cell>
          <cell r="S17683">
            <v>231012</v>
          </cell>
        </row>
        <row r="17684">
          <cell r="K17684" t="str">
            <v>212002</v>
          </cell>
          <cell r="M17684">
            <v>1</v>
          </cell>
          <cell r="R17684">
            <v>46034</v>
          </cell>
          <cell r="S17684">
            <v>212002</v>
          </cell>
        </row>
        <row r="17685">
          <cell r="K17685" t="str">
            <v>231012</v>
          </cell>
          <cell r="M17685">
            <v>1</v>
          </cell>
          <cell r="R17685">
            <v>46034</v>
          </cell>
          <cell r="S17685">
            <v>231012</v>
          </cell>
        </row>
        <row r="17686">
          <cell r="K17686" t="str">
            <v>213002</v>
          </cell>
          <cell r="M17686">
            <v>1</v>
          </cell>
          <cell r="R17686">
            <v>46034</v>
          </cell>
          <cell r="S17686">
            <v>213002</v>
          </cell>
        </row>
        <row r="17687">
          <cell r="K17687" t="str">
            <v>212002</v>
          </cell>
          <cell r="M17687">
            <v>1</v>
          </cell>
          <cell r="R17687">
            <v>46034</v>
          </cell>
          <cell r="S17687">
            <v>212002</v>
          </cell>
        </row>
        <row r="17688">
          <cell r="K17688" t="str">
            <v>228001</v>
          </cell>
          <cell r="M17688">
            <v>3</v>
          </cell>
          <cell r="R17688">
            <v>46034</v>
          </cell>
          <cell r="S17688">
            <v>228001</v>
          </cell>
        </row>
        <row r="17689">
          <cell r="K17689" t="str">
            <v>228001</v>
          </cell>
          <cell r="M17689">
            <v>6</v>
          </cell>
          <cell r="R17689">
            <v>46034</v>
          </cell>
          <cell r="S17689">
            <v>228001</v>
          </cell>
        </row>
        <row r="17690">
          <cell r="K17690" t="str">
            <v>223001</v>
          </cell>
          <cell r="M17690">
            <v>1</v>
          </cell>
          <cell r="R17690">
            <v>46034</v>
          </cell>
          <cell r="S17690">
            <v>223001</v>
          </cell>
        </row>
        <row r="17691">
          <cell r="K17691" t="str">
            <v>223002</v>
          </cell>
          <cell r="M17691">
            <v>1</v>
          </cell>
          <cell r="R17691">
            <v>46034</v>
          </cell>
          <cell r="S17691">
            <v>223002</v>
          </cell>
        </row>
        <row r="17692">
          <cell r="K17692" t="str">
            <v>213022</v>
          </cell>
          <cell r="M17692">
            <v>1</v>
          </cell>
          <cell r="R17692">
            <v>46035</v>
          </cell>
          <cell r="S17692">
            <v>213022</v>
          </cell>
        </row>
        <row r="17693">
          <cell r="K17693" t="str">
            <v>228001</v>
          </cell>
          <cell r="M17693">
            <v>3</v>
          </cell>
          <cell r="R17693">
            <v>46034</v>
          </cell>
          <cell r="S17693">
            <v>228001</v>
          </cell>
        </row>
        <row r="17694">
          <cell r="K17694" t="str">
            <v>228001</v>
          </cell>
          <cell r="M17694">
            <v>4</v>
          </cell>
          <cell r="R17694">
            <v>46034</v>
          </cell>
          <cell r="S17694">
            <v>228001</v>
          </cell>
        </row>
        <row r="17695">
          <cell r="K17695" t="str">
            <v>231012</v>
          </cell>
          <cell r="M17695">
            <v>1</v>
          </cell>
          <cell r="R17695">
            <v>46034</v>
          </cell>
          <cell r="S17695">
            <v>231012</v>
          </cell>
        </row>
        <row r="17696">
          <cell r="K17696" t="str">
            <v>227002</v>
          </cell>
          <cell r="M17696">
            <v>1</v>
          </cell>
          <cell r="R17696">
            <v>46035</v>
          </cell>
          <cell r="S17696">
            <v>227002</v>
          </cell>
        </row>
        <row r="17697">
          <cell r="K17697" t="str">
            <v>223002</v>
          </cell>
          <cell r="M17697">
            <v>2</v>
          </cell>
          <cell r="R17697">
            <v>46035</v>
          </cell>
          <cell r="S17697">
            <v>223002</v>
          </cell>
        </row>
        <row r="17698">
          <cell r="K17698" t="str">
            <v>234011</v>
          </cell>
          <cell r="M17698">
            <v>1</v>
          </cell>
          <cell r="R17698">
            <v>46035</v>
          </cell>
          <cell r="S17698">
            <v>234011</v>
          </cell>
        </row>
        <row r="17699">
          <cell r="K17699" t="str">
            <v>222001</v>
          </cell>
          <cell r="M17699">
            <v>1</v>
          </cell>
          <cell r="R17699">
            <v>46035</v>
          </cell>
          <cell r="S17699">
            <v>222001</v>
          </cell>
        </row>
        <row r="17700">
          <cell r="K17700" t="str">
            <v>201001</v>
          </cell>
          <cell r="M17700">
            <v>1</v>
          </cell>
          <cell r="R17700">
            <v>46035</v>
          </cell>
          <cell r="S17700">
            <v>201001</v>
          </cell>
        </row>
        <row r="17701">
          <cell r="K17701" t="str">
            <v>209001</v>
          </cell>
          <cell r="M17701">
            <v>1</v>
          </cell>
          <cell r="R17701">
            <v>46035</v>
          </cell>
          <cell r="S17701">
            <v>209001</v>
          </cell>
        </row>
        <row r="17702">
          <cell r="K17702" t="str">
            <v>217022</v>
          </cell>
          <cell r="M17702">
            <v>1</v>
          </cell>
          <cell r="R17702">
            <v>46034</v>
          </cell>
          <cell r="S17702">
            <v>217022</v>
          </cell>
        </row>
        <row r="17703">
          <cell r="K17703" t="str">
            <v>201011</v>
          </cell>
          <cell r="M17703">
            <v>6</v>
          </cell>
          <cell r="R17703">
            <v>46034</v>
          </cell>
          <cell r="S17703">
            <v>201011</v>
          </cell>
        </row>
        <row r="17704">
          <cell r="K17704" t="str">
            <v>229004</v>
          </cell>
          <cell r="M17704">
            <v>4</v>
          </cell>
          <cell r="R17704">
            <v>46034</v>
          </cell>
          <cell r="S17704">
            <v>229004</v>
          </cell>
        </row>
        <row r="17705">
          <cell r="K17705" t="str">
            <v>213022</v>
          </cell>
          <cell r="M17705">
            <v>3</v>
          </cell>
          <cell r="R17705">
            <v>46034</v>
          </cell>
          <cell r="S17705">
            <v>213022</v>
          </cell>
        </row>
        <row r="17706">
          <cell r="K17706" t="str">
            <v>231012</v>
          </cell>
          <cell r="M17706">
            <v>1</v>
          </cell>
          <cell r="R17706">
            <v>46034</v>
          </cell>
          <cell r="S17706">
            <v>231012</v>
          </cell>
        </row>
        <row r="17707">
          <cell r="K17707" t="str">
            <v>217022</v>
          </cell>
          <cell r="M17707">
            <v>1</v>
          </cell>
          <cell r="R17707">
            <v>46034</v>
          </cell>
          <cell r="S17707">
            <v>217022</v>
          </cell>
        </row>
        <row r="17708">
          <cell r="K17708" t="str">
            <v>207017</v>
          </cell>
          <cell r="M17708">
            <v>1</v>
          </cell>
          <cell r="R17708">
            <v>46034</v>
          </cell>
          <cell r="S17708">
            <v>207017</v>
          </cell>
        </row>
        <row r="17709">
          <cell r="K17709" t="str">
            <v>209001</v>
          </cell>
          <cell r="M17709">
            <v>3</v>
          </cell>
          <cell r="R17709">
            <v>46034</v>
          </cell>
          <cell r="S17709">
            <v>209001</v>
          </cell>
        </row>
        <row r="17710">
          <cell r="K17710" t="str">
            <v>217022</v>
          </cell>
          <cell r="M17710">
            <v>2</v>
          </cell>
          <cell r="R17710">
            <v>46034</v>
          </cell>
          <cell r="S17710">
            <v>217022</v>
          </cell>
        </row>
        <row r="17711">
          <cell r="K17711" t="str">
            <v>206005</v>
          </cell>
          <cell r="M17711">
            <v>1</v>
          </cell>
          <cell r="R17711">
            <v>46035</v>
          </cell>
          <cell r="S17711">
            <v>206005</v>
          </cell>
        </row>
        <row r="17712">
          <cell r="K17712" t="str">
            <v>237001</v>
          </cell>
          <cell r="M17712">
            <v>1</v>
          </cell>
          <cell r="R17712">
            <v>46035</v>
          </cell>
          <cell r="S17712">
            <v>237001</v>
          </cell>
        </row>
        <row r="17713">
          <cell r="K17713" t="str">
            <v>201011</v>
          </cell>
          <cell r="M17713">
            <v>2</v>
          </cell>
          <cell r="R17713">
            <v>46035</v>
          </cell>
          <cell r="S17713">
            <v>201011</v>
          </cell>
        </row>
        <row r="17714">
          <cell r="K17714" t="str">
            <v>227012</v>
          </cell>
          <cell r="M17714">
            <v>1</v>
          </cell>
          <cell r="R17714">
            <v>46035</v>
          </cell>
          <cell r="S17714">
            <v>227012</v>
          </cell>
        </row>
        <row r="17715">
          <cell r="K17715" t="str">
            <v>234001</v>
          </cell>
          <cell r="M17715">
            <v>1</v>
          </cell>
          <cell r="R17715">
            <v>46035</v>
          </cell>
          <cell r="S17715">
            <v>234001</v>
          </cell>
        </row>
        <row r="17716">
          <cell r="K17716" t="str">
            <v>201011</v>
          </cell>
          <cell r="M17716">
            <v>6</v>
          </cell>
          <cell r="R17716">
            <v>46035</v>
          </cell>
          <cell r="S17716">
            <v>201011</v>
          </cell>
        </row>
        <row r="17717">
          <cell r="K17717" t="str">
            <v>226001</v>
          </cell>
          <cell r="M17717">
            <v>2</v>
          </cell>
          <cell r="R17717">
            <v>46035</v>
          </cell>
          <cell r="S17717">
            <v>226001</v>
          </cell>
        </row>
        <row r="17718">
          <cell r="K17718" t="str">
            <v>201011</v>
          </cell>
          <cell r="M17718">
            <v>6</v>
          </cell>
          <cell r="R17718">
            <v>46035</v>
          </cell>
          <cell r="S17718">
            <v>201011</v>
          </cell>
        </row>
        <row r="17719">
          <cell r="K17719" t="str">
            <v>228001</v>
          </cell>
          <cell r="M17719">
            <v>2</v>
          </cell>
          <cell r="R17719">
            <v>46035</v>
          </cell>
          <cell r="S17719">
            <v>228001</v>
          </cell>
        </row>
        <row r="17720">
          <cell r="K17720" t="str">
            <v>201011</v>
          </cell>
          <cell r="M17720">
            <v>14</v>
          </cell>
          <cell r="R17720">
            <v>46036</v>
          </cell>
          <cell r="S17720">
            <v>201011</v>
          </cell>
        </row>
        <row r="17721">
          <cell r="K17721" t="str">
            <v>227012</v>
          </cell>
          <cell r="M17721">
            <v>1</v>
          </cell>
          <cell r="R17721">
            <v>46035</v>
          </cell>
          <cell r="S17721">
            <v>227012</v>
          </cell>
        </row>
        <row r="17722">
          <cell r="K17722" t="str">
            <v>213002</v>
          </cell>
          <cell r="M17722">
            <v>3</v>
          </cell>
          <cell r="R17722">
            <v>46035</v>
          </cell>
          <cell r="S17722">
            <v>213002</v>
          </cell>
        </row>
        <row r="17723">
          <cell r="K17723" t="str">
            <v>203003</v>
          </cell>
          <cell r="M17723">
            <v>1</v>
          </cell>
          <cell r="R17723">
            <v>46035</v>
          </cell>
          <cell r="S17723">
            <v>203003</v>
          </cell>
        </row>
        <row r="17724">
          <cell r="K17724" t="str">
            <v>213002</v>
          </cell>
          <cell r="M17724">
            <v>3</v>
          </cell>
          <cell r="R17724">
            <v>46035</v>
          </cell>
          <cell r="S17724">
            <v>213002</v>
          </cell>
        </row>
        <row r="17725">
          <cell r="K17725" t="str">
            <v>207017</v>
          </cell>
          <cell r="M17725">
            <v>2</v>
          </cell>
          <cell r="R17725">
            <v>46035</v>
          </cell>
          <cell r="S17725">
            <v>207017</v>
          </cell>
        </row>
        <row r="17726">
          <cell r="K17726" t="str">
            <v>231012</v>
          </cell>
          <cell r="M17726">
            <v>1</v>
          </cell>
          <cell r="R17726">
            <v>46035</v>
          </cell>
          <cell r="S17726">
            <v>231012</v>
          </cell>
        </row>
        <row r="17727">
          <cell r="K17727" t="str">
            <v>228001</v>
          </cell>
          <cell r="M17727">
            <v>6</v>
          </cell>
          <cell r="R17727">
            <v>46035</v>
          </cell>
          <cell r="S17727">
            <v>228001</v>
          </cell>
        </row>
        <row r="17728">
          <cell r="K17728" t="str">
            <v>209016</v>
          </cell>
          <cell r="M17728">
            <v>1</v>
          </cell>
          <cell r="R17728">
            <v>46035</v>
          </cell>
          <cell r="S17728">
            <v>209016</v>
          </cell>
        </row>
        <row r="17729">
          <cell r="K17729" t="str">
            <v>209004</v>
          </cell>
          <cell r="M17729">
            <v>1</v>
          </cell>
          <cell r="R17729">
            <v>46035</v>
          </cell>
          <cell r="S17729">
            <v>209004</v>
          </cell>
        </row>
        <row r="17730">
          <cell r="K17730" t="str">
            <v>201011</v>
          </cell>
          <cell r="M17730">
            <v>2</v>
          </cell>
          <cell r="R17730">
            <v>46035</v>
          </cell>
          <cell r="S17730">
            <v>201011</v>
          </cell>
        </row>
        <row r="17731">
          <cell r="K17731" t="str">
            <v>231012</v>
          </cell>
          <cell r="M17731">
            <v>2</v>
          </cell>
          <cell r="R17731">
            <v>46035</v>
          </cell>
          <cell r="S17731">
            <v>231012</v>
          </cell>
        </row>
        <row r="17732">
          <cell r="K17732" t="str">
            <v>207017</v>
          </cell>
          <cell r="M17732">
            <v>2</v>
          </cell>
          <cell r="R17732">
            <v>46035</v>
          </cell>
          <cell r="S17732">
            <v>207017</v>
          </cell>
        </row>
        <row r="17733">
          <cell r="K17733" t="str">
            <v>203003</v>
          </cell>
          <cell r="M17733">
            <v>4</v>
          </cell>
          <cell r="R17733">
            <v>46035</v>
          </cell>
          <cell r="S17733">
            <v>203003</v>
          </cell>
        </row>
        <row r="17734">
          <cell r="K17734" t="str">
            <v>231012</v>
          </cell>
          <cell r="M17734">
            <v>1</v>
          </cell>
          <cell r="R17734">
            <v>46035</v>
          </cell>
          <cell r="S17734">
            <v>231012</v>
          </cell>
        </row>
        <row r="17735">
          <cell r="K17735" t="str">
            <v>220002</v>
          </cell>
          <cell r="M17735">
            <v>2</v>
          </cell>
          <cell r="R17735">
            <v>46035</v>
          </cell>
          <cell r="S17735">
            <v>220002</v>
          </cell>
        </row>
        <row r="17736">
          <cell r="K17736" t="str">
            <v>207017</v>
          </cell>
          <cell r="M17736">
            <v>1</v>
          </cell>
          <cell r="R17736">
            <v>46035</v>
          </cell>
          <cell r="S17736">
            <v>207017</v>
          </cell>
        </row>
        <row r="17737">
          <cell r="K17737" t="str">
            <v>228001</v>
          </cell>
          <cell r="M17737">
            <v>5</v>
          </cell>
          <cell r="R17737">
            <v>46035</v>
          </cell>
          <cell r="S17737">
            <v>228001</v>
          </cell>
        </row>
        <row r="17738">
          <cell r="K17738" t="str">
            <v>223004</v>
          </cell>
          <cell r="M17738">
            <v>1</v>
          </cell>
          <cell r="R17738">
            <v>46035</v>
          </cell>
          <cell r="S17738">
            <v>223004</v>
          </cell>
        </row>
        <row r="17739">
          <cell r="K17739" t="str">
            <v>201011</v>
          </cell>
          <cell r="M17739">
            <v>1</v>
          </cell>
          <cell r="R17739">
            <v>46035</v>
          </cell>
          <cell r="S17739">
            <v>201011</v>
          </cell>
        </row>
        <row r="17740">
          <cell r="K17740" t="str">
            <v>234001</v>
          </cell>
          <cell r="M17740">
            <v>1</v>
          </cell>
          <cell r="R17740">
            <v>46035</v>
          </cell>
          <cell r="S17740">
            <v>234001</v>
          </cell>
        </row>
        <row r="17741">
          <cell r="K17741" t="str">
            <v>201011</v>
          </cell>
          <cell r="M17741">
            <v>10</v>
          </cell>
          <cell r="R17741">
            <v>46035</v>
          </cell>
          <cell r="S17741">
            <v>201011</v>
          </cell>
        </row>
        <row r="17742">
          <cell r="K17742" t="str">
            <v>213022</v>
          </cell>
          <cell r="M17742">
            <v>2</v>
          </cell>
          <cell r="R17742">
            <v>46035</v>
          </cell>
          <cell r="S17742">
            <v>213022</v>
          </cell>
        </row>
        <row r="17743">
          <cell r="K17743" t="str">
            <v>223001</v>
          </cell>
          <cell r="M17743">
            <v>2</v>
          </cell>
          <cell r="R17743">
            <v>46035</v>
          </cell>
          <cell r="S17743">
            <v>223001</v>
          </cell>
        </row>
        <row r="17744">
          <cell r="K17744" t="str">
            <v>228001</v>
          </cell>
          <cell r="M17744">
            <v>2</v>
          </cell>
          <cell r="R17744">
            <v>46035</v>
          </cell>
          <cell r="S17744">
            <v>228001</v>
          </cell>
        </row>
        <row r="17745">
          <cell r="K17745" t="str">
            <v>227012</v>
          </cell>
          <cell r="M17745">
            <v>1</v>
          </cell>
          <cell r="R17745">
            <v>46035</v>
          </cell>
          <cell r="S17745">
            <v>227012</v>
          </cell>
        </row>
        <row r="17746">
          <cell r="K17746" t="str">
            <v>231012</v>
          </cell>
          <cell r="M17746">
            <v>2</v>
          </cell>
          <cell r="R17746">
            <v>46035</v>
          </cell>
          <cell r="S17746">
            <v>231012</v>
          </cell>
        </row>
        <row r="17747">
          <cell r="K17747" t="str">
            <v>222007</v>
          </cell>
          <cell r="M17747">
            <v>1</v>
          </cell>
          <cell r="R17747">
            <v>46035</v>
          </cell>
          <cell r="S17747">
            <v>222007</v>
          </cell>
        </row>
        <row r="17748">
          <cell r="K17748" t="str">
            <v>209004</v>
          </cell>
          <cell r="M17748">
            <v>1</v>
          </cell>
          <cell r="R17748">
            <v>46035</v>
          </cell>
          <cell r="S17748">
            <v>209004</v>
          </cell>
        </row>
        <row r="17749">
          <cell r="K17749" t="str">
            <v>201011</v>
          </cell>
          <cell r="M17749">
            <v>5</v>
          </cell>
          <cell r="R17749">
            <v>46035</v>
          </cell>
          <cell r="S17749">
            <v>201011</v>
          </cell>
        </row>
        <row r="17750">
          <cell r="K17750" t="str">
            <v>201001</v>
          </cell>
          <cell r="M17750">
            <v>5</v>
          </cell>
          <cell r="R17750">
            <v>46035</v>
          </cell>
          <cell r="S17750">
            <v>201001</v>
          </cell>
        </row>
        <row r="17751">
          <cell r="K17751" t="str">
            <v>209004</v>
          </cell>
          <cell r="M17751">
            <v>4</v>
          </cell>
          <cell r="R17751">
            <v>46035</v>
          </cell>
          <cell r="S17751">
            <v>209004</v>
          </cell>
        </row>
        <row r="17752">
          <cell r="K17752" t="str">
            <v>228001</v>
          </cell>
          <cell r="M17752">
            <v>6</v>
          </cell>
          <cell r="R17752">
            <v>46035</v>
          </cell>
          <cell r="S17752">
            <v>228001</v>
          </cell>
        </row>
        <row r="17753">
          <cell r="K17753" t="str">
            <v>231012</v>
          </cell>
          <cell r="M17753">
            <v>12</v>
          </cell>
          <cell r="R17753">
            <v>46035</v>
          </cell>
          <cell r="S17753">
            <v>231012</v>
          </cell>
        </row>
        <row r="17754">
          <cell r="K17754" t="str">
            <v>201001</v>
          </cell>
          <cell r="M17754">
            <v>36</v>
          </cell>
          <cell r="R17754">
            <v>46032</v>
          </cell>
          <cell r="S17754">
            <v>201001</v>
          </cell>
        </row>
        <row r="17755">
          <cell r="K17755" t="str">
            <v>222005</v>
          </cell>
          <cell r="M17755">
            <v>3</v>
          </cell>
          <cell r="R17755">
            <v>46032</v>
          </cell>
          <cell r="S17755">
            <v>222005</v>
          </cell>
        </row>
        <row r="17756">
          <cell r="K17756" t="str">
            <v>229004</v>
          </cell>
          <cell r="M17756">
            <v>4</v>
          </cell>
          <cell r="R17756">
            <v>46032</v>
          </cell>
          <cell r="S17756">
            <v>229004</v>
          </cell>
        </row>
        <row r="17757">
          <cell r="K17757" t="str">
            <v>228001</v>
          </cell>
          <cell r="M17757">
            <v>1</v>
          </cell>
          <cell r="R17757">
            <v>46032</v>
          </cell>
          <cell r="S17757">
            <v>228001</v>
          </cell>
        </row>
        <row r="17758">
          <cell r="K17758" t="str">
            <v>223001</v>
          </cell>
          <cell r="M17758">
            <v>6</v>
          </cell>
          <cell r="R17758">
            <v>46035</v>
          </cell>
          <cell r="S17758">
            <v>223001</v>
          </cell>
        </row>
        <row r="17759">
          <cell r="K17759" t="str">
            <v>223005</v>
          </cell>
          <cell r="M17759">
            <v>5</v>
          </cell>
          <cell r="R17759">
            <v>46035</v>
          </cell>
          <cell r="S17759">
            <v>223005</v>
          </cell>
        </row>
        <row r="17760">
          <cell r="K17760" t="str">
            <v>241001</v>
          </cell>
          <cell r="M17760">
            <v>1</v>
          </cell>
          <cell r="R17760">
            <v>46035</v>
          </cell>
          <cell r="S17760">
            <v>241001</v>
          </cell>
        </row>
        <row r="17761">
          <cell r="K17761" t="str">
            <v>213022</v>
          </cell>
          <cell r="M17761">
            <v>2</v>
          </cell>
          <cell r="R17761">
            <v>46035</v>
          </cell>
          <cell r="S17761">
            <v>213022</v>
          </cell>
        </row>
        <row r="17762">
          <cell r="K17762" t="str">
            <v>213022</v>
          </cell>
          <cell r="M17762">
            <v>1</v>
          </cell>
          <cell r="R17762">
            <v>46035</v>
          </cell>
          <cell r="S17762">
            <v>213022</v>
          </cell>
        </row>
        <row r="17763">
          <cell r="K17763" t="str">
            <v>224001</v>
          </cell>
          <cell r="M17763">
            <v>1</v>
          </cell>
          <cell r="R17763">
            <v>46035</v>
          </cell>
          <cell r="S17763">
            <v>224001</v>
          </cell>
        </row>
        <row r="17764">
          <cell r="K17764" t="str">
            <v>235008</v>
          </cell>
          <cell r="M17764">
            <v>1</v>
          </cell>
          <cell r="R17764">
            <v>46035</v>
          </cell>
          <cell r="S17764">
            <v>235008</v>
          </cell>
        </row>
        <row r="17765">
          <cell r="K17765" t="str">
            <v>218001</v>
          </cell>
          <cell r="M17765">
            <v>1</v>
          </cell>
          <cell r="R17765">
            <v>46035</v>
          </cell>
          <cell r="S17765">
            <v>218001</v>
          </cell>
        </row>
        <row r="17766">
          <cell r="K17766" t="str">
            <v>231008</v>
          </cell>
          <cell r="M17766">
            <v>1</v>
          </cell>
          <cell r="R17766">
            <v>46035</v>
          </cell>
          <cell r="S17766">
            <v>231008</v>
          </cell>
        </row>
        <row r="17767">
          <cell r="K17767" t="str">
            <v>223001</v>
          </cell>
          <cell r="M17767">
            <v>3</v>
          </cell>
          <cell r="R17767">
            <v>46035</v>
          </cell>
          <cell r="S17767">
            <v>223001</v>
          </cell>
        </row>
        <row r="17768">
          <cell r="K17768" t="str">
            <v>223001</v>
          </cell>
          <cell r="M17768">
            <v>1</v>
          </cell>
          <cell r="R17768">
            <v>46035</v>
          </cell>
          <cell r="S17768">
            <v>223001</v>
          </cell>
        </row>
        <row r="17769">
          <cell r="K17769" t="str">
            <v>235008</v>
          </cell>
          <cell r="M17769">
            <v>1</v>
          </cell>
          <cell r="R17769">
            <v>46035</v>
          </cell>
          <cell r="S17769">
            <v>235008</v>
          </cell>
        </row>
        <row r="17770">
          <cell r="K17770" t="str">
            <v>231006</v>
          </cell>
          <cell r="M17770">
            <v>1</v>
          </cell>
          <cell r="R17770">
            <v>46035</v>
          </cell>
          <cell r="S17770">
            <v>231006</v>
          </cell>
        </row>
        <row r="17771">
          <cell r="K17771" t="str">
            <v>206002</v>
          </cell>
          <cell r="M17771">
            <v>1</v>
          </cell>
          <cell r="R17771">
            <v>46035</v>
          </cell>
          <cell r="S17771">
            <v>206002</v>
          </cell>
        </row>
        <row r="17772">
          <cell r="K17772" t="str">
            <v>208001</v>
          </cell>
          <cell r="M17772">
            <v>1</v>
          </cell>
          <cell r="R17772">
            <v>46035</v>
          </cell>
          <cell r="S17772">
            <v>208001</v>
          </cell>
        </row>
        <row r="17773">
          <cell r="K17773" t="str">
            <v>229003</v>
          </cell>
          <cell r="M17773">
            <v>1</v>
          </cell>
          <cell r="R17773">
            <v>46035</v>
          </cell>
          <cell r="S17773">
            <v>229003</v>
          </cell>
        </row>
        <row r="17774">
          <cell r="K17774" t="str">
            <v>265001</v>
          </cell>
          <cell r="M17774">
            <v>1</v>
          </cell>
          <cell r="R17774">
            <v>46035</v>
          </cell>
          <cell r="S17774">
            <v>265001</v>
          </cell>
        </row>
        <row r="17775">
          <cell r="K17775" t="str">
            <v>228001</v>
          </cell>
          <cell r="M17775">
            <v>1</v>
          </cell>
          <cell r="R17775">
            <v>46035</v>
          </cell>
          <cell r="S17775">
            <v>228001</v>
          </cell>
        </row>
        <row r="17776">
          <cell r="K17776" t="str">
            <v>212035</v>
          </cell>
          <cell r="M17776">
            <v>5</v>
          </cell>
          <cell r="R17776">
            <v>46035</v>
          </cell>
          <cell r="S17776">
            <v>212035</v>
          </cell>
        </row>
        <row r="17777">
          <cell r="K17777" t="str">
            <v>231012</v>
          </cell>
          <cell r="M17777">
            <v>1</v>
          </cell>
          <cell r="R17777">
            <v>46035</v>
          </cell>
          <cell r="S17777">
            <v>231012</v>
          </cell>
        </row>
        <row r="17778">
          <cell r="K17778" t="str">
            <v>223002</v>
          </cell>
          <cell r="M17778">
            <v>3</v>
          </cell>
          <cell r="R17778">
            <v>46035</v>
          </cell>
          <cell r="S17778">
            <v>223002</v>
          </cell>
        </row>
        <row r="17779">
          <cell r="K17779" t="str">
            <v>223001</v>
          </cell>
          <cell r="M17779">
            <v>1</v>
          </cell>
          <cell r="R17779">
            <v>46035</v>
          </cell>
          <cell r="S17779">
            <v>223001</v>
          </cell>
        </row>
        <row r="17780">
          <cell r="K17780" t="str">
            <v>241001</v>
          </cell>
          <cell r="M17780">
            <v>1</v>
          </cell>
          <cell r="R17780">
            <v>46035</v>
          </cell>
          <cell r="S17780">
            <v>241001</v>
          </cell>
        </row>
        <row r="17781">
          <cell r="K17781" t="str">
            <v>231012</v>
          </cell>
          <cell r="M17781">
            <v>12</v>
          </cell>
          <cell r="R17781">
            <v>46036</v>
          </cell>
          <cell r="S17781">
            <v>231012</v>
          </cell>
        </row>
        <row r="17782">
          <cell r="K17782" t="str">
            <v>226026</v>
          </cell>
          <cell r="M17782">
            <v>1</v>
          </cell>
          <cell r="R17782">
            <v>46036</v>
          </cell>
          <cell r="S17782">
            <v>226026</v>
          </cell>
        </row>
        <row r="17783">
          <cell r="K17783" t="str">
            <v>209004</v>
          </cell>
          <cell r="M17783">
            <v>3</v>
          </cell>
          <cell r="R17783">
            <v>46036</v>
          </cell>
          <cell r="S17783">
            <v>209004</v>
          </cell>
        </row>
        <row r="17784">
          <cell r="K17784" t="str">
            <v>231012</v>
          </cell>
          <cell r="M17784">
            <v>1</v>
          </cell>
          <cell r="R17784">
            <v>46036</v>
          </cell>
          <cell r="S17784">
            <v>231012</v>
          </cell>
        </row>
        <row r="17785">
          <cell r="K17785" t="str">
            <v>209004</v>
          </cell>
          <cell r="M17785">
            <v>1</v>
          </cell>
          <cell r="R17785">
            <v>46036</v>
          </cell>
          <cell r="S17785">
            <v>209004</v>
          </cell>
        </row>
        <row r="17786">
          <cell r="K17786" t="str">
            <v>228001</v>
          </cell>
          <cell r="M17786">
            <v>8</v>
          </cell>
          <cell r="R17786">
            <v>46036</v>
          </cell>
          <cell r="S17786">
            <v>228001</v>
          </cell>
        </row>
        <row r="17787">
          <cell r="K17787" t="str">
            <v>228001</v>
          </cell>
          <cell r="M17787">
            <v>4</v>
          </cell>
          <cell r="R17787">
            <v>46036</v>
          </cell>
          <cell r="S17787">
            <v>228001</v>
          </cell>
        </row>
        <row r="17788">
          <cell r="K17788" t="str">
            <v>228001</v>
          </cell>
          <cell r="M17788">
            <v>1</v>
          </cell>
          <cell r="R17788">
            <v>46036</v>
          </cell>
          <cell r="S17788">
            <v>228001</v>
          </cell>
        </row>
        <row r="17789">
          <cell r="K17789" t="str">
            <v>228001</v>
          </cell>
          <cell r="M17789">
            <v>5</v>
          </cell>
          <cell r="R17789">
            <v>46036</v>
          </cell>
          <cell r="S17789">
            <v>228001</v>
          </cell>
        </row>
        <row r="17790">
          <cell r="K17790" t="str">
            <v>228001</v>
          </cell>
          <cell r="M17790">
            <v>2</v>
          </cell>
          <cell r="R17790">
            <v>46036</v>
          </cell>
          <cell r="S17790">
            <v>228001</v>
          </cell>
        </row>
        <row r="17791">
          <cell r="K17791" t="str">
            <v>203003</v>
          </cell>
          <cell r="M17791">
            <v>1</v>
          </cell>
          <cell r="R17791">
            <v>46036</v>
          </cell>
          <cell r="S17791">
            <v>203003</v>
          </cell>
        </row>
        <row r="17792">
          <cell r="K17792" t="str">
            <v>213002</v>
          </cell>
          <cell r="M17792">
            <v>6</v>
          </cell>
          <cell r="R17792">
            <v>46036</v>
          </cell>
          <cell r="S17792">
            <v>213002</v>
          </cell>
        </row>
        <row r="17793">
          <cell r="K17793" t="str">
            <v>228001</v>
          </cell>
          <cell r="M17793">
            <v>9</v>
          </cell>
          <cell r="R17793">
            <v>46036</v>
          </cell>
          <cell r="S17793">
            <v>228001</v>
          </cell>
        </row>
        <row r="17794">
          <cell r="K17794" t="str">
            <v>213002</v>
          </cell>
          <cell r="M17794">
            <v>6</v>
          </cell>
          <cell r="R17794">
            <v>46034</v>
          </cell>
          <cell r="S17794">
            <v>213002</v>
          </cell>
        </row>
        <row r="17795">
          <cell r="K17795" t="str">
            <v>228001</v>
          </cell>
          <cell r="M17795">
            <v>1</v>
          </cell>
          <cell r="R17795">
            <v>46036</v>
          </cell>
          <cell r="S17795">
            <v>228001</v>
          </cell>
        </row>
        <row r="17796">
          <cell r="K17796" t="str">
            <v>213002</v>
          </cell>
          <cell r="M17796">
            <v>6</v>
          </cell>
          <cell r="R17796">
            <v>46036</v>
          </cell>
          <cell r="S17796">
            <v>213002</v>
          </cell>
        </row>
        <row r="17797">
          <cell r="K17797" t="str">
            <v>228001</v>
          </cell>
          <cell r="M17797">
            <v>14</v>
          </cell>
          <cell r="R17797">
            <v>46036</v>
          </cell>
          <cell r="S17797">
            <v>228001</v>
          </cell>
        </row>
        <row r="17798">
          <cell r="K17798" t="str">
            <v>231010</v>
          </cell>
          <cell r="M17798">
            <v>1</v>
          </cell>
          <cell r="R17798">
            <v>46036</v>
          </cell>
          <cell r="S17798">
            <v>231010</v>
          </cell>
        </row>
        <row r="17799">
          <cell r="K17799" t="str">
            <v>210015</v>
          </cell>
          <cell r="M17799">
            <v>4</v>
          </cell>
          <cell r="R17799">
            <v>46036</v>
          </cell>
          <cell r="S17799">
            <v>210015</v>
          </cell>
        </row>
        <row r="17800">
          <cell r="K17800" t="str">
            <v>234001</v>
          </cell>
          <cell r="M17800">
            <v>5</v>
          </cell>
          <cell r="R17800">
            <v>46036</v>
          </cell>
          <cell r="S17800">
            <v>234001</v>
          </cell>
        </row>
        <row r="17801">
          <cell r="K17801" t="str">
            <v>210003</v>
          </cell>
          <cell r="M17801">
            <v>1</v>
          </cell>
          <cell r="R17801">
            <v>46036</v>
          </cell>
          <cell r="S17801">
            <v>210003</v>
          </cell>
        </row>
        <row r="17802">
          <cell r="K17802" t="str">
            <v>209004</v>
          </cell>
          <cell r="M17802">
            <v>1</v>
          </cell>
          <cell r="R17802">
            <v>46036</v>
          </cell>
          <cell r="S17802">
            <v>209004</v>
          </cell>
        </row>
        <row r="17803">
          <cell r="K17803" t="str">
            <v>213002</v>
          </cell>
          <cell r="M17803">
            <v>2</v>
          </cell>
          <cell r="R17803">
            <v>46036</v>
          </cell>
          <cell r="S17803">
            <v>213002</v>
          </cell>
        </row>
        <row r="17804">
          <cell r="K17804" t="str">
            <v>212035</v>
          </cell>
          <cell r="M17804">
            <v>10</v>
          </cell>
          <cell r="R17804">
            <v>46036</v>
          </cell>
          <cell r="S17804">
            <v>212035</v>
          </cell>
        </row>
        <row r="17805">
          <cell r="K17805" t="str">
            <v>228001</v>
          </cell>
          <cell r="M17805">
            <v>4</v>
          </cell>
          <cell r="R17805">
            <v>46036</v>
          </cell>
          <cell r="S17805">
            <v>228001</v>
          </cell>
        </row>
        <row r="17806">
          <cell r="K17806" t="str">
            <v>217023</v>
          </cell>
          <cell r="M17806">
            <v>2</v>
          </cell>
          <cell r="R17806">
            <v>46036</v>
          </cell>
          <cell r="S17806">
            <v>217023</v>
          </cell>
        </row>
        <row r="17807">
          <cell r="K17807" t="str">
            <v>217011</v>
          </cell>
          <cell r="M17807">
            <v>1</v>
          </cell>
          <cell r="R17807">
            <v>46036</v>
          </cell>
          <cell r="S17807">
            <v>217011</v>
          </cell>
        </row>
        <row r="17808">
          <cell r="K17808" t="str">
            <v>220002</v>
          </cell>
          <cell r="M17808">
            <v>1</v>
          </cell>
          <cell r="R17808">
            <v>46036</v>
          </cell>
          <cell r="S17808">
            <v>220002</v>
          </cell>
        </row>
        <row r="17809">
          <cell r="K17809" t="str">
            <v>210015</v>
          </cell>
          <cell r="M17809">
            <v>10</v>
          </cell>
          <cell r="R17809">
            <v>46036</v>
          </cell>
          <cell r="S17809">
            <v>210015</v>
          </cell>
        </row>
        <row r="17810">
          <cell r="K17810" t="str">
            <v>203001</v>
          </cell>
          <cell r="M17810">
            <v>4</v>
          </cell>
          <cell r="R17810">
            <v>46036</v>
          </cell>
          <cell r="S17810">
            <v>203001</v>
          </cell>
        </row>
        <row r="17811">
          <cell r="K17811" t="str">
            <v>213002</v>
          </cell>
          <cell r="M17811">
            <v>4</v>
          </cell>
          <cell r="R17811">
            <v>46036</v>
          </cell>
          <cell r="S17811">
            <v>213002</v>
          </cell>
        </row>
        <row r="17812">
          <cell r="K17812" t="str">
            <v>231004</v>
          </cell>
          <cell r="M17812">
            <v>2</v>
          </cell>
          <cell r="R17812">
            <v>46036</v>
          </cell>
          <cell r="S17812">
            <v>231004</v>
          </cell>
        </row>
        <row r="17813">
          <cell r="K17813" t="str">
            <v>241001</v>
          </cell>
          <cell r="M17813">
            <v>10</v>
          </cell>
          <cell r="R17813">
            <v>46036</v>
          </cell>
          <cell r="S17813">
            <v>241001</v>
          </cell>
        </row>
        <row r="17814">
          <cell r="K17814" t="str">
            <v>231010</v>
          </cell>
          <cell r="M17814">
            <v>2</v>
          </cell>
          <cell r="R17814">
            <v>46036</v>
          </cell>
          <cell r="S17814">
            <v>231010</v>
          </cell>
        </row>
        <row r="17815">
          <cell r="K17815" t="str">
            <v>228001</v>
          </cell>
          <cell r="M17815">
            <v>3</v>
          </cell>
          <cell r="R17815">
            <v>46036</v>
          </cell>
          <cell r="S17815">
            <v>228001</v>
          </cell>
        </row>
        <row r="17816">
          <cell r="K17816" t="str">
            <v>209012</v>
          </cell>
          <cell r="M17816">
            <v>2</v>
          </cell>
          <cell r="R17816">
            <v>46036</v>
          </cell>
          <cell r="S17816">
            <v>209012</v>
          </cell>
        </row>
        <row r="17817">
          <cell r="K17817" t="str">
            <v>226001</v>
          </cell>
          <cell r="M17817">
            <v>1</v>
          </cell>
          <cell r="R17817">
            <v>46036</v>
          </cell>
          <cell r="S17817">
            <v>226001</v>
          </cell>
        </row>
        <row r="17818">
          <cell r="K17818" t="str">
            <v>218001</v>
          </cell>
          <cell r="M17818">
            <v>1</v>
          </cell>
          <cell r="R17818">
            <v>46036</v>
          </cell>
          <cell r="S17818">
            <v>218001</v>
          </cell>
        </row>
        <row r="17819">
          <cell r="K17819" t="str">
            <v>206002</v>
          </cell>
          <cell r="M17819">
            <v>1</v>
          </cell>
          <cell r="R17819">
            <v>46036</v>
          </cell>
          <cell r="S17819">
            <v>206002</v>
          </cell>
        </row>
        <row r="17820">
          <cell r="K17820" t="str">
            <v>208001</v>
          </cell>
          <cell r="M17820">
            <v>1</v>
          </cell>
          <cell r="R17820">
            <v>46036</v>
          </cell>
          <cell r="S17820">
            <v>208001</v>
          </cell>
        </row>
        <row r="17821">
          <cell r="K17821" t="str">
            <v>228001</v>
          </cell>
          <cell r="M17821">
            <v>1</v>
          </cell>
          <cell r="R17821">
            <v>46036</v>
          </cell>
          <cell r="S17821">
            <v>228001</v>
          </cell>
        </row>
        <row r="17822">
          <cell r="K17822" t="str">
            <v>231010</v>
          </cell>
          <cell r="M17822">
            <v>1</v>
          </cell>
          <cell r="R17822">
            <v>46036</v>
          </cell>
          <cell r="S17822">
            <v>231010</v>
          </cell>
        </row>
        <row r="17823">
          <cell r="K17823" t="str">
            <v>209016</v>
          </cell>
          <cell r="M17823">
            <v>1</v>
          </cell>
          <cell r="R17823">
            <v>46036</v>
          </cell>
          <cell r="S17823">
            <v>209016</v>
          </cell>
        </row>
        <row r="17824">
          <cell r="K17824" t="str">
            <v>261004</v>
          </cell>
          <cell r="M17824">
            <v>20</v>
          </cell>
          <cell r="R17824">
            <v>46038</v>
          </cell>
          <cell r="S17824">
            <v>261004</v>
          </cell>
        </row>
        <row r="17825">
          <cell r="K17825" t="str">
            <v>212010</v>
          </cell>
          <cell r="M17825">
            <v>8</v>
          </cell>
          <cell r="R17825">
            <v>46038</v>
          </cell>
          <cell r="S17825">
            <v>212010</v>
          </cell>
        </row>
        <row r="17826">
          <cell r="K17826" t="str">
            <v>213002</v>
          </cell>
          <cell r="M17826">
            <v>2</v>
          </cell>
          <cell r="R17826">
            <v>46036</v>
          </cell>
          <cell r="S17826">
            <v>213002</v>
          </cell>
        </row>
        <row r="17827">
          <cell r="K17827" t="str">
            <v>201001</v>
          </cell>
          <cell r="M17827">
            <v>14</v>
          </cell>
          <cell r="R17827">
            <v>46036</v>
          </cell>
          <cell r="S17827">
            <v>201001</v>
          </cell>
        </row>
        <row r="17828">
          <cell r="K17828" t="str">
            <v>223002</v>
          </cell>
          <cell r="M17828">
            <v>1</v>
          </cell>
          <cell r="R17828">
            <v>46037</v>
          </cell>
          <cell r="S17828">
            <v>223002</v>
          </cell>
        </row>
        <row r="17829">
          <cell r="K17829" t="str">
            <v>223001</v>
          </cell>
          <cell r="M17829">
            <v>8</v>
          </cell>
          <cell r="R17829">
            <v>46037</v>
          </cell>
          <cell r="S17829">
            <v>223001</v>
          </cell>
        </row>
        <row r="17830">
          <cell r="K17830" t="str">
            <v>223004</v>
          </cell>
          <cell r="M17830">
            <v>1</v>
          </cell>
          <cell r="R17830">
            <v>46037</v>
          </cell>
          <cell r="S17830">
            <v>223004</v>
          </cell>
        </row>
        <row r="17831">
          <cell r="K17831" t="str">
            <v>227012</v>
          </cell>
          <cell r="M17831">
            <v>3</v>
          </cell>
          <cell r="R17831">
            <v>46037</v>
          </cell>
          <cell r="S17831">
            <v>227012</v>
          </cell>
        </row>
        <row r="17832">
          <cell r="K17832" t="str">
            <v>210014</v>
          </cell>
          <cell r="M17832">
            <v>4</v>
          </cell>
          <cell r="R17832">
            <v>46037</v>
          </cell>
          <cell r="S17832">
            <v>210014</v>
          </cell>
        </row>
        <row r="17833">
          <cell r="K17833" t="str">
            <v>210010</v>
          </cell>
          <cell r="M17833">
            <v>1</v>
          </cell>
          <cell r="R17833">
            <v>46037</v>
          </cell>
          <cell r="S17833">
            <v>210010</v>
          </cell>
        </row>
        <row r="17834">
          <cell r="K17834" t="str">
            <v>226022</v>
          </cell>
          <cell r="M17834">
            <v>1</v>
          </cell>
          <cell r="R17834">
            <v>46037</v>
          </cell>
          <cell r="S17834">
            <v>226022</v>
          </cell>
        </row>
        <row r="17835">
          <cell r="K17835" t="str">
            <v>228001</v>
          </cell>
          <cell r="M17835">
            <v>2</v>
          </cell>
          <cell r="R17835">
            <v>46036</v>
          </cell>
          <cell r="S17835">
            <v>228001</v>
          </cell>
        </row>
        <row r="17836">
          <cell r="K17836" t="str">
            <v>210014</v>
          </cell>
          <cell r="M17836">
            <v>7</v>
          </cell>
          <cell r="R17836">
            <v>46037</v>
          </cell>
          <cell r="S17836">
            <v>210014</v>
          </cell>
        </row>
        <row r="17837">
          <cell r="K17837" t="str">
            <v>210014</v>
          </cell>
          <cell r="M17837">
            <v>1</v>
          </cell>
          <cell r="R17837">
            <v>46037</v>
          </cell>
          <cell r="S17837">
            <v>210014</v>
          </cell>
        </row>
        <row r="17838">
          <cell r="K17838" t="str">
            <v>212035</v>
          </cell>
          <cell r="M17838">
            <v>1</v>
          </cell>
          <cell r="R17838">
            <v>46037</v>
          </cell>
          <cell r="S17838">
            <v>212035</v>
          </cell>
        </row>
        <row r="17839">
          <cell r="K17839" t="str">
            <v>228001</v>
          </cell>
          <cell r="M17839">
            <v>2</v>
          </cell>
          <cell r="R17839">
            <v>46037</v>
          </cell>
          <cell r="S17839">
            <v>228001</v>
          </cell>
        </row>
        <row r="17840">
          <cell r="K17840" t="str">
            <v>212035</v>
          </cell>
          <cell r="M17840">
            <v>3</v>
          </cell>
          <cell r="R17840">
            <v>46037</v>
          </cell>
          <cell r="S17840">
            <v>212035</v>
          </cell>
        </row>
        <row r="17841">
          <cell r="K17841" t="str">
            <v>220002</v>
          </cell>
          <cell r="M17841">
            <v>1</v>
          </cell>
          <cell r="R17841">
            <v>46037</v>
          </cell>
          <cell r="S17841">
            <v>220002</v>
          </cell>
        </row>
        <row r="17842">
          <cell r="K17842" t="str">
            <v>223002</v>
          </cell>
          <cell r="M17842">
            <v>3</v>
          </cell>
          <cell r="R17842">
            <v>46037</v>
          </cell>
          <cell r="S17842">
            <v>223002</v>
          </cell>
        </row>
        <row r="17843">
          <cell r="K17843" t="str">
            <v>271002</v>
          </cell>
          <cell r="M17843">
            <v>1</v>
          </cell>
          <cell r="R17843">
            <v>46036</v>
          </cell>
          <cell r="S17843">
            <v>271002</v>
          </cell>
        </row>
        <row r="17844">
          <cell r="K17844" t="str">
            <v>241001</v>
          </cell>
          <cell r="M17844">
            <v>1</v>
          </cell>
          <cell r="R17844">
            <v>46036</v>
          </cell>
          <cell r="S17844">
            <v>241001</v>
          </cell>
        </row>
        <row r="17845">
          <cell r="K17845" t="str">
            <v>201001</v>
          </cell>
          <cell r="M17845">
            <v>1</v>
          </cell>
          <cell r="R17845">
            <v>46036</v>
          </cell>
          <cell r="S17845">
            <v>201001</v>
          </cell>
        </row>
        <row r="17846">
          <cell r="K17846" t="str">
            <v>201022</v>
          </cell>
          <cell r="M17846">
            <v>1</v>
          </cell>
          <cell r="R17846">
            <v>46036</v>
          </cell>
          <cell r="S17846">
            <v>201022</v>
          </cell>
        </row>
        <row r="17847">
          <cell r="K17847" t="str">
            <v>227001</v>
          </cell>
          <cell r="M17847">
            <v>1</v>
          </cell>
          <cell r="R17847">
            <v>46036</v>
          </cell>
          <cell r="S17847">
            <v>227001</v>
          </cell>
        </row>
        <row r="17848">
          <cell r="K17848" t="str">
            <v>203001</v>
          </cell>
          <cell r="M17848">
            <v>1</v>
          </cell>
          <cell r="R17848">
            <v>46036</v>
          </cell>
          <cell r="S17848">
            <v>203001</v>
          </cell>
        </row>
        <row r="17849">
          <cell r="K17849" t="str">
            <v>223002</v>
          </cell>
          <cell r="M17849">
            <v>1</v>
          </cell>
          <cell r="R17849">
            <v>46036</v>
          </cell>
          <cell r="S17849">
            <v>223002</v>
          </cell>
        </row>
        <row r="17850">
          <cell r="K17850" t="str">
            <v>223001</v>
          </cell>
          <cell r="M17850">
            <v>1</v>
          </cell>
          <cell r="R17850">
            <v>46036</v>
          </cell>
          <cell r="S17850">
            <v>223001</v>
          </cell>
        </row>
        <row r="17851">
          <cell r="K17851" t="str">
            <v>201024</v>
          </cell>
          <cell r="M17851">
            <v>2</v>
          </cell>
          <cell r="R17851">
            <v>46036</v>
          </cell>
          <cell r="S17851">
            <v>201024</v>
          </cell>
        </row>
        <row r="17852">
          <cell r="K17852" t="str">
            <v>223002</v>
          </cell>
          <cell r="M17852">
            <v>1</v>
          </cell>
          <cell r="R17852">
            <v>46036</v>
          </cell>
          <cell r="S17852">
            <v>223002</v>
          </cell>
        </row>
        <row r="17853">
          <cell r="K17853" t="str">
            <v>223001</v>
          </cell>
          <cell r="M17853">
            <v>3</v>
          </cell>
          <cell r="R17853">
            <v>46036</v>
          </cell>
          <cell r="S17853">
            <v>223001</v>
          </cell>
        </row>
        <row r="17854">
          <cell r="K17854" t="str">
            <v>201022</v>
          </cell>
          <cell r="M17854">
            <v>4</v>
          </cell>
          <cell r="R17854">
            <v>46036</v>
          </cell>
          <cell r="S17854">
            <v>201022</v>
          </cell>
        </row>
        <row r="17855">
          <cell r="K17855" t="str">
            <v>241001</v>
          </cell>
          <cell r="M17855">
            <v>10</v>
          </cell>
          <cell r="R17855">
            <v>46036</v>
          </cell>
          <cell r="S17855">
            <v>241001</v>
          </cell>
        </row>
        <row r="17856">
          <cell r="K17856" t="str">
            <v>223001</v>
          </cell>
          <cell r="M17856">
            <v>12</v>
          </cell>
          <cell r="R17856">
            <v>46036</v>
          </cell>
          <cell r="S17856">
            <v>223001</v>
          </cell>
        </row>
        <row r="17857">
          <cell r="K17857" t="str">
            <v>203003</v>
          </cell>
          <cell r="M17857">
            <v>6</v>
          </cell>
          <cell r="R17857">
            <v>46036</v>
          </cell>
          <cell r="S17857">
            <v>203003</v>
          </cell>
        </row>
        <row r="17858">
          <cell r="K17858" t="str">
            <v>213002</v>
          </cell>
          <cell r="M17858">
            <v>5</v>
          </cell>
          <cell r="R17858">
            <v>46036</v>
          </cell>
          <cell r="S17858">
            <v>213002</v>
          </cell>
        </row>
        <row r="17859">
          <cell r="K17859" t="str">
            <v>207017</v>
          </cell>
          <cell r="M17859">
            <v>3</v>
          </cell>
          <cell r="R17859">
            <v>46036</v>
          </cell>
          <cell r="S17859">
            <v>207017</v>
          </cell>
        </row>
        <row r="17860">
          <cell r="K17860" t="str">
            <v>226001</v>
          </cell>
          <cell r="M17860">
            <v>2</v>
          </cell>
          <cell r="R17860">
            <v>46036</v>
          </cell>
          <cell r="S17860">
            <v>226001</v>
          </cell>
        </row>
        <row r="17861">
          <cell r="K17861" t="str">
            <v>231010</v>
          </cell>
          <cell r="M17861">
            <v>2</v>
          </cell>
          <cell r="R17861">
            <v>46036</v>
          </cell>
          <cell r="S17861">
            <v>231010</v>
          </cell>
        </row>
        <row r="17862">
          <cell r="K17862" t="str">
            <v>209004</v>
          </cell>
          <cell r="M17862">
            <v>2</v>
          </cell>
          <cell r="R17862">
            <v>46036</v>
          </cell>
          <cell r="S17862">
            <v>209004</v>
          </cell>
        </row>
        <row r="17863">
          <cell r="K17863" t="str">
            <v>228001</v>
          </cell>
          <cell r="M17863">
            <v>3</v>
          </cell>
          <cell r="R17863">
            <v>46036</v>
          </cell>
          <cell r="S17863">
            <v>228001</v>
          </cell>
        </row>
        <row r="17864">
          <cell r="K17864" t="str">
            <v>228001</v>
          </cell>
          <cell r="M17864">
            <v>2</v>
          </cell>
          <cell r="R17864">
            <v>46037</v>
          </cell>
          <cell r="S17864">
            <v>228001</v>
          </cell>
        </row>
        <row r="17865">
          <cell r="K17865" t="str">
            <v>207017</v>
          </cell>
          <cell r="M17865">
            <v>1</v>
          </cell>
          <cell r="R17865">
            <v>46037</v>
          </cell>
          <cell r="S17865">
            <v>207017</v>
          </cell>
        </row>
        <row r="17866">
          <cell r="K17866" t="str">
            <v>203001</v>
          </cell>
          <cell r="M17866">
            <v>1</v>
          </cell>
          <cell r="R17866">
            <v>46037</v>
          </cell>
          <cell r="S17866">
            <v>203001</v>
          </cell>
        </row>
        <row r="17867">
          <cell r="K17867" t="str">
            <v>212002</v>
          </cell>
          <cell r="M17867">
            <v>1</v>
          </cell>
          <cell r="R17867">
            <v>46037</v>
          </cell>
          <cell r="S17867">
            <v>212002</v>
          </cell>
        </row>
        <row r="17868">
          <cell r="K17868" t="str">
            <v>207017</v>
          </cell>
          <cell r="M17868">
            <v>1</v>
          </cell>
          <cell r="R17868">
            <v>46037</v>
          </cell>
          <cell r="S17868">
            <v>207017</v>
          </cell>
        </row>
        <row r="17869">
          <cell r="K17869" t="str">
            <v>218001</v>
          </cell>
          <cell r="M17869">
            <v>1</v>
          </cell>
          <cell r="R17869">
            <v>46037</v>
          </cell>
          <cell r="S17869">
            <v>218001</v>
          </cell>
        </row>
        <row r="17870">
          <cell r="K17870" t="str">
            <v>226001</v>
          </cell>
          <cell r="M17870">
            <v>2</v>
          </cell>
          <cell r="R17870">
            <v>46037</v>
          </cell>
          <cell r="S17870">
            <v>226001</v>
          </cell>
        </row>
        <row r="17871">
          <cell r="K17871" t="str">
            <v>207017</v>
          </cell>
          <cell r="M17871">
            <v>1</v>
          </cell>
          <cell r="R17871">
            <v>46037</v>
          </cell>
          <cell r="S17871">
            <v>207017</v>
          </cell>
        </row>
        <row r="17872">
          <cell r="K17872" t="str">
            <v>228001</v>
          </cell>
          <cell r="M17872">
            <v>1</v>
          </cell>
          <cell r="R17872">
            <v>46037</v>
          </cell>
          <cell r="S17872">
            <v>228001</v>
          </cell>
        </row>
        <row r="17873">
          <cell r="K17873" t="str">
            <v>201024</v>
          </cell>
          <cell r="M17873">
            <v>4</v>
          </cell>
          <cell r="R17873">
            <v>46037</v>
          </cell>
          <cell r="S17873">
            <v>201024</v>
          </cell>
        </row>
        <row r="17874">
          <cell r="K17874" t="str">
            <v>201027</v>
          </cell>
          <cell r="M17874">
            <v>2</v>
          </cell>
          <cell r="R17874">
            <v>46037</v>
          </cell>
          <cell r="S17874">
            <v>201027</v>
          </cell>
        </row>
        <row r="17875">
          <cell r="K17875" t="str">
            <v>227002</v>
          </cell>
          <cell r="M17875">
            <v>1</v>
          </cell>
          <cell r="R17875">
            <v>46037</v>
          </cell>
          <cell r="S17875">
            <v>227002</v>
          </cell>
        </row>
        <row r="17876">
          <cell r="K17876" t="str">
            <v>226001</v>
          </cell>
          <cell r="M17876">
            <v>1</v>
          </cell>
          <cell r="R17876">
            <v>46037</v>
          </cell>
          <cell r="S17876">
            <v>226001</v>
          </cell>
        </row>
        <row r="17877">
          <cell r="K17877" t="str">
            <v>228001</v>
          </cell>
          <cell r="M17877">
            <v>1</v>
          </cell>
          <cell r="R17877">
            <v>46037</v>
          </cell>
          <cell r="S17877">
            <v>228001</v>
          </cell>
        </row>
        <row r="17878">
          <cell r="K17878" t="str">
            <v>210015</v>
          </cell>
          <cell r="M17878">
            <v>8</v>
          </cell>
          <cell r="R17878">
            <v>46037</v>
          </cell>
          <cell r="S17878">
            <v>210015</v>
          </cell>
        </row>
        <row r="17879">
          <cell r="K17879" t="str">
            <v>213022</v>
          </cell>
          <cell r="M17879">
            <v>1</v>
          </cell>
          <cell r="R17879">
            <v>46037</v>
          </cell>
          <cell r="S17879">
            <v>213022</v>
          </cell>
        </row>
        <row r="17880">
          <cell r="K17880" t="str">
            <v>241001</v>
          </cell>
          <cell r="M17880">
            <v>1</v>
          </cell>
          <cell r="R17880">
            <v>46037</v>
          </cell>
          <cell r="S17880">
            <v>241001</v>
          </cell>
        </row>
        <row r="17881">
          <cell r="K17881" t="str">
            <v>229003</v>
          </cell>
          <cell r="M17881">
            <v>1</v>
          </cell>
          <cell r="R17881">
            <v>46037</v>
          </cell>
          <cell r="S17881">
            <v>229003</v>
          </cell>
        </row>
        <row r="17882">
          <cell r="K17882" t="str">
            <v>210015</v>
          </cell>
          <cell r="M17882">
            <v>1</v>
          </cell>
          <cell r="R17882">
            <v>46037</v>
          </cell>
          <cell r="S17882">
            <v>210015</v>
          </cell>
        </row>
        <row r="17883">
          <cell r="K17883" t="str">
            <v>217022</v>
          </cell>
          <cell r="M17883">
            <v>8</v>
          </cell>
          <cell r="R17883">
            <v>46037</v>
          </cell>
          <cell r="S17883">
            <v>217022</v>
          </cell>
        </row>
        <row r="17884">
          <cell r="K17884" t="str">
            <v>226029</v>
          </cell>
          <cell r="M17884">
            <v>5</v>
          </cell>
          <cell r="R17884">
            <v>46037</v>
          </cell>
          <cell r="S17884">
            <v>226029</v>
          </cell>
        </row>
        <row r="17885">
          <cell r="K17885" t="str">
            <v>213022</v>
          </cell>
          <cell r="M17885">
            <v>2</v>
          </cell>
          <cell r="R17885">
            <v>46037</v>
          </cell>
          <cell r="S17885">
            <v>213022</v>
          </cell>
        </row>
        <row r="17886">
          <cell r="K17886" t="str">
            <v>227012</v>
          </cell>
          <cell r="M17886">
            <v>1</v>
          </cell>
          <cell r="R17886">
            <v>46037</v>
          </cell>
          <cell r="S17886">
            <v>227012</v>
          </cell>
        </row>
        <row r="17887">
          <cell r="K17887" t="str">
            <v>215001</v>
          </cell>
          <cell r="M17887">
            <v>1</v>
          </cell>
          <cell r="R17887">
            <v>46037</v>
          </cell>
          <cell r="S17887">
            <v>215001</v>
          </cell>
        </row>
        <row r="17888">
          <cell r="K17888" t="str">
            <v>201009</v>
          </cell>
          <cell r="M17888">
            <v>1</v>
          </cell>
          <cell r="R17888">
            <v>46037</v>
          </cell>
          <cell r="S17888">
            <v>201009</v>
          </cell>
        </row>
        <row r="17889">
          <cell r="K17889" t="str">
            <v>217011</v>
          </cell>
          <cell r="M17889">
            <v>2</v>
          </cell>
          <cell r="R17889">
            <v>46037</v>
          </cell>
          <cell r="S17889">
            <v>217011</v>
          </cell>
        </row>
        <row r="17890">
          <cell r="K17890" t="str">
            <v>209016</v>
          </cell>
          <cell r="M17890">
            <v>1</v>
          </cell>
          <cell r="R17890">
            <v>46037</v>
          </cell>
          <cell r="S17890">
            <v>209016</v>
          </cell>
        </row>
        <row r="17891">
          <cell r="K17891" t="str">
            <v>228001</v>
          </cell>
          <cell r="M17891">
            <v>1</v>
          </cell>
          <cell r="R17891">
            <v>46037</v>
          </cell>
          <cell r="S17891">
            <v>228001</v>
          </cell>
        </row>
        <row r="17892">
          <cell r="K17892" t="str">
            <v>201001</v>
          </cell>
          <cell r="M17892">
            <v>12</v>
          </cell>
          <cell r="R17892">
            <v>46037</v>
          </cell>
          <cell r="S17892">
            <v>201001</v>
          </cell>
        </row>
        <row r="17893">
          <cell r="K17893" t="str">
            <v>201001</v>
          </cell>
          <cell r="M17893">
            <v>12</v>
          </cell>
          <cell r="R17893">
            <v>46037</v>
          </cell>
          <cell r="S17893">
            <v>201001</v>
          </cell>
        </row>
        <row r="17894">
          <cell r="K17894" t="str">
            <v>217011</v>
          </cell>
          <cell r="M17894">
            <v>1</v>
          </cell>
          <cell r="R17894">
            <v>46037</v>
          </cell>
          <cell r="S17894">
            <v>217011</v>
          </cell>
        </row>
        <row r="17895">
          <cell r="K17895" t="str">
            <v>227002</v>
          </cell>
          <cell r="M17895">
            <v>1</v>
          </cell>
          <cell r="R17895">
            <v>46037</v>
          </cell>
          <cell r="S17895">
            <v>227002</v>
          </cell>
        </row>
        <row r="17896">
          <cell r="K17896" t="str">
            <v>226025</v>
          </cell>
          <cell r="M17896">
            <v>1</v>
          </cell>
          <cell r="R17896">
            <v>46037</v>
          </cell>
          <cell r="S17896">
            <v>226025</v>
          </cell>
        </row>
        <row r="17897">
          <cell r="K17897" t="str">
            <v>231012</v>
          </cell>
          <cell r="M17897">
            <v>5</v>
          </cell>
          <cell r="R17897">
            <v>46037</v>
          </cell>
          <cell r="S17897">
            <v>231012</v>
          </cell>
        </row>
        <row r="17898">
          <cell r="K17898" t="str">
            <v>231010</v>
          </cell>
          <cell r="M17898">
            <v>5</v>
          </cell>
          <cell r="R17898">
            <v>46037</v>
          </cell>
          <cell r="S17898">
            <v>231010</v>
          </cell>
        </row>
        <row r="17899">
          <cell r="K17899" t="str">
            <v>220002</v>
          </cell>
          <cell r="M17899">
            <v>2</v>
          </cell>
          <cell r="R17899">
            <v>46037</v>
          </cell>
          <cell r="S17899">
            <v>220002</v>
          </cell>
        </row>
        <row r="17900">
          <cell r="K17900" t="str">
            <v>231012</v>
          </cell>
          <cell r="M17900">
            <v>6</v>
          </cell>
          <cell r="R17900">
            <v>46037</v>
          </cell>
          <cell r="S17900">
            <v>231012</v>
          </cell>
        </row>
        <row r="17901">
          <cell r="K17901" t="str">
            <v>229003</v>
          </cell>
          <cell r="M17901">
            <v>4</v>
          </cell>
          <cell r="R17901">
            <v>46037</v>
          </cell>
          <cell r="S17901">
            <v>229003</v>
          </cell>
        </row>
        <row r="17902">
          <cell r="K17902" t="str">
            <v>213002</v>
          </cell>
          <cell r="M17902">
            <v>1</v>
          </cell>
          <cell r="R17902">
            <v>46037</v>
          </cell>
          <cell r="S17902">
            <v>213002</v>
          </cell>
        </row>
        <row r="17903">
          <cell r="K17903" t="str">
            <v>220002</v>
          </cell>
          <cell r="M17903">
            <v>1</v>
          </cell>
          <cell r="R17903">
            <v>46037</v>
          </cell>
          <cell r="S17903">
            <v>220002</v>
          </cell>
        </row>
        <row r="17904">
          <cell r="K17904" t="str">
            <v>217023</v>
          </cell>
          <cell r="M17904">
            <v>1</v>
          </cell>
          <cell r="R17904">
            <v>46037</v>
          </cell>
          <cell r="S17904">
            <v>217023</v>
          </cell>
        </row>
        <row r="17905">
          <cell r="K17905" t="str">
            <v>227001</v>
          </cell>
          <cell r="M17905">
            <v>1</v>
          </cell>
          <cell r="R17905">
            <v>46037</v>
          </cell>
          <cell r="S17905">
            <v>227001</v>
          </cell>
        </row>
        <row r="17906">
          <cell r="K17906" t="str">
            <v>213002</v>
          </cell>
          <cell r="M17906">
            <v>4</v>
          </cell>
          <cell r="R17906">
            <v>46037</v>
          </cell>
          <cell r="S17906">
            <v>213002</v>
          </cell>
        </row>
        <row r="17907">
          <cell r="K17907" t="str">
            <v>241001</v>
          </cell>
          <cell r="M17907">
            <v>3</v>
          </cell>
          <cell r="R17907">
            <v>46037</v>
          </cell>
          <cell r="S17907">
            <v>241001</v>
          </cell>
        </row>
        <row r="17908">
          <cell r="K17908" t="str">
            <v>222001</v>
          </cell>
          <cell r="M17908">
            <v>5</v>
          </cell>
          <cell r="R17908">
            <v>46037</v>
          </cell>
          <cell r="S17908">
            <v>222001</v>
          </cell>
        </row>
        <row r="17909">
          <cell r="K17909" t="str">
            <v>222007</v>
          </cell>
          <cell r="M17909">
            <v>1</v>
          </cell>
          <cell r="R17909">
            <v>46037</v>
          </cell>
          <cell r="S17909">
            <v>222007</v>
          </cell>
        </row>
        <row r="17910">
          <cell r="K17910" t="str">
            <v>231010</v>
          </cell>
          <cell r="M17910">
            <v>4</v>
          </cell>
          <cell r="R17910">
            <v>46037</v>
          </cell>
          <cell r="S17910">
            <v>231010</v>
          </cell>
        </row>
        <row r="17911">
          <cell r="K17911" t="str">
            <v>228001</v>
          </cell>
          <cell r="M17911">
            <v>3</v>
          </cell>
          <cell r="R17911">
            <v>46037</v>
          </cell>
          <cell r="S17911">
            <v>228001</v>
          </cell>
        </row>
        <row r="17912">
          <cell r="K17912" t="str">
            <v>210001</v>
          </cell>
          <cell r="M17912">
            <v>2</v>
          </cell>
          <cell r="R17912">
            <v>46037</v>
          </cell>
          <cell r="S17912">
            <v>210001</v>
          </cell>
        </row>
        <row r="17913">
          <cell r="K17913" t="str">
            <v>222001</v>
          </cell>
          <cell r="M17913">
            <v>1</v>
          </cell>
          <cell r="R17913">
            <v>46037</v>
          </cell>
          <cell r="S17913">
            <v>222001</v>
          </cell>
        </row>
        <row r="17914">
          <cell r="K17914" t="str">
            <v>228001</v>
          </cell>
          <cell r="M17914">
            <v>5</v>
          </cell>
          <cell r="R17914">
            <v>46037</v>
          </cell>
          <cell r="S17914">
            <v>228001</v>
          </cell>
        </row>
        <row r="17915">
          <cell r="K17915" t="str">
            <v>209001</v>
          </cell>
          <cell r="M17915">
            <v>1</v>
          </cell>
          <cell r="R17915">
            <v>46037</v>
          </cell>
          <cell r="S17915">
            <v>209001</v>
          </cell>
        </row>
        <row r="17916">
          <cell r="K17916" t="str">
            <v>220002</v>
          </cell>
          <cell r="M17916">
            <v>1</v>
          </cell>
          <cell r="R17916">
            <v>46037</v>
          </cell>
          <cell r="S17916">
            <v>220002</v>
          </cell>
        </row>
        <row r="17917">
          <cell r="K17917" t="str">
            <v>223001</v>
          </cell>
          <cell r="M17917">
            <v>6</v>
          </cell>
          <cell r="R17917">
            <v>46037</v>
          </cell>
          <cell r="S17917">
            <v>223001</v>
          </cell>
        </row>
        <row r="17918">
          <cell r="K17918" t="str">
            <v>223002</v>
          </cell>
          <cell r="M17918">
            <v>6</v>
          </cell>
          <cell r="R17918">
            <v>46037</v>
          </cell>
          <cell r="S17918">
            <v>223002</v>
          </cell>
        </row>
        <row r="17919">
          <cell r="K17919" t="str">
            <v>217018</v>
          </cell>
          <cell r="M17919">
            <v>1</v>
          </cell>
          <cell r="R17919">
            <v>46037</v>
          </cell>
          <cell r="S17919">
            <v>217018</v>
          </cell>
        </row>
        <row r="17920">
          <cell r="K17920" t="str">
            <v>223002</v>
          </cell>
          <cell r="M17920">
            <v>4</v>
          </cell>
          <cell r="R17920">
            <v>46037</v>
          </cell>
          <cell r="S17920">
            <v>223002</v>
          </cell>
        </row>
        <row r="17921">
          <cell r="K17921" t="str">
            <v>223001</v>
          </cell>
          <cell r="M17921">
            <v>4</v>
          </cell>
          <cell r="R17921">
            <v>46037</v>
          </cell>
          <cell r="S17921">
            <v>223001</v>
          </cell>
        </row>
        <row r="17922">
          <cell r="K17922" t="str">
            <v>201001</v>
          </cell>
          <cell r="M17922">
            <v>3</v>
          </cell>
          <cell r="R17922">
            <v>46037</v>
          </cell>
          <cell r="S17922">
            <v>201001</v>
          </cell>
        </row>
        <row r="17923">
          <cell r="K17923" t="str">
            <v>220002</v>
          </cell>
          <cell r="M17923">
            <v>1</v>
          </cell>
          <cell r="R17923">
            <v>46037</v>
          </cell>
          <cell r="S17923">
            <v>220002</v>
          </cell>
        </row>
        <row r="17924">
          <cell r="K17924" t="str">
            <v>213022</v>
          </cell>
          <cell r="M17924">
            <v>1</v>
          </cell>
          <cell r="R17924">
            <v>46037</v>
          </cell>
          <cell r="S17924">
            <v>213022</v>
          </cell>
        </row>
        <row r="17925">
          <cell r="K17925" t="str">
            <v>227012</v>
          </cell>
          <cell r="M17925">
            <v>2</v>
          </cell>
          <cell r="R17925">
            <v>46037</v>
          </cell>
          <cell r="S17925">
            <v>227012</v>
          </cell>
        </row>
        <row r="17926">
          <cell r="K17926" t="str">
            <v>222007</v>
          </cell>
          <cell r="M17926">
            <v>1</v>
          </cell>
          <cell r="R17926">
            <v>46037</v>
          </cell>
          <cell r="S17926">
            <v>222007</v>
          </cell>
        </row>
        <row r="17927">
          <cell r="K17927" t="str">
            <v>217018</v>
          </cell>
          <cell r="M17927">
            <v>2</v>
          </cell>
          <cell r="R17927">
            <v>46037</v>
          </cell>
          <cell r="S17927">
            <v>217018</v>
          </cell>
        </row>
        <row r="17928">
          <cell r="K17928" t="str">
            <v>226030</v>
          </cell>
          <cell r="M17928">
            <v>1</v>
          </cell>
          <cell r="R17928">
            <v>46037</v>
          </cell>
          <cell r="S17928">
            <v>226030</v>
          </cell>
        </row>
        <row r="17929">
          <cell r="K17929" t="str">
            <v>217022</v>
          </cell>
          <cell r="M17929">
            <v>5</v>
          </cell>
          <cell r="R17929">
            <v>46037</v>
          </cell>
          <cell r="S17929">
            <v>217022</v>
          </cell>
        </row>
        <row r="17930">
          <cell r="K17930" t="str">
            <v>223001</v>
          </cell>
          <cell r="M17930">
            <v>3</v>
          </cell>
          <cell r="R17930">
            <v>46037</v>
          </cell>
          <cell r="S17930">
            <v>223001</v>
          </cell>
        </row>
        <row r="17931">
          <cell r="K17931" t="str">
            <v>213002</v>
          </cell>
          <cell r="M17931">
            <v>3</v>
          </cell>
          <cell r="R17931">
            <v>46037</v>
          </cell>
          <cell r="S17931">
            <v>213002</v>
          </cell>
        </row>
        <row r="17932">
          <cell r="K17932" t="str">
            <v>201001</v>
          </cell>
          <cell r="M17932">
            <v>36</v>
          </cell>
          <cell r="R17932">
            <v>46037</v>
          </cell>
          <cell r="S17932">
            <v>201001</v>
          </cell>
        </row>
        <row r="17933">
          <cell r="K17933" t="str">
            <v>228001</v>
          </cell>
          <cell r="M17933">
            <v>8</v>
          </cell>
          <cell r="R17933">
            <v>46037</v>
          </cell>
          <cell r="S17933">
            <v>228001</v>
          </cell>
        </row>
        <row r="17934">
          <cell r="K17934" t="str">
            <v>228001</v>
          </cell>
          <cell r="M17934">
            <v>2</v>
          </cell>
          <cell r="R17934">
            <v>46037</v>
          </cell>
          <cell r="S17934">
            <v>228001</v>
          </cell>
        </row>
        <row r="17935">
          <cell r="K17935" t="str">
            <v>231010</v>
          </cell>
          <cell r="M17935">
            <v>1</v>
          </cell>
          <cell r="R17935">
            <v>46037</v>
          </cell>
          <cell r="S17935">
            <v>231010</v>
          </cell>
        </row>
        <row r="17936">
          <cell r="K17936" t="str">
            <v>226001</v>
          </cell>
          <cell r="M17936">
            <v>1</v>
          </cell>
          <cell r="R17936">
            <v>46037</v>
          </cell>
          <cell r="S17936">
            <v>226001</v>
          </cell>
        </row>
        <row r="17937">
          <cell r="K17937" t="str">
            <v>210001</v>
          </cell>
          <cell r="M17937">
            <v>1</v>
          </cell>
          <cell r="R17937">
            <v>46037</v>
          </cell>
          <cell r="S17937">
            <v>210001</v>
          </cell>
        </row>
        <row r="17938">
          <cell r="K17938" t="str">
            <v>228001</v>
          </cell>
          <cell r="M17938">
            <v>1</v>
          </cell>
          <cell r="R17938">
            <v>46037</v>
          </cell>
          <cell r="S17938">
            <v>228001</v>
          </cell>
        </row>
        <row r="17939">
          <cell r="K17939" t="str">
            <v>217011</v>
          </cell>
          <cell r="M17939">
            <v>1</v>
          </cell>
          <cell r="R17939">
            <v>46038</v>
          </cell>
          <cell r="S17939">
            <v>217011</v>
          </cell>
        </row>
        <row r="17940">
          <cell r="K17940" t="str">
            <v>213002</v>
          </cell>
          <cell r="M17940">
            <v>15</v>
          </cell>
          <cell r="R17940">
            <v>46037</v>
          </cell>
          <cell r="S17940">
            <v>213002</v>
          </cell>
        </row>
        <row r="17941">
          <cell r="K17941" t="str">
            <v>223002</v>
          </cell>
          <cell r="M17941">
            <v>4</v>
          </cell>
          <cell r="R17941">
            <v>46037</v>
          </cell>
          <cell r="S17941">
            <v>223002</v>
          </cell>
        </row>
        <row r="17942">
          <cell r="K17942" t="str">
            <v>203001</v>
          </cell>
          <cell r="M17942">
            <v>1</v>
          </cell>
          <cell r="R17942">
            <v>46037</v>
          </cell>
          <cell r="S17942">
            <v>203001</v>
          </cell>
        </row>
        <row r="17943">
          <cell r="K17943" t="str">
            <v>217018</v>
          </cell>
          <cell r="M17943">
            <v>40</v>
          </cell>
          <cell r="R17943">
            <v>46037</v>
          </cell>
          <cell r="S17943">
            <v>217018</v>
          </cell>
        </row>
        <row r="17944">
          <cell r="K17944" t="str">
            <v>227012</v>
          </cell>
          <cell r="M17944">
            <v>1</v>
          </cell>
          <cell r="R17944">
            <v>46037</v>
          </cell>
          <cell r="S17944">
            <v>227012</v>
          </cell>
        </row>
        <row r="17945">
          <cell r="K17945" t="str">
            <v>209016</v>
          </cell>
          <cell r="M17945">
            <v>3</v>
          </cell>
          <cell r="R17945">
            <v>46037</v>
          </cell>
          <cell r="S17945">
            <v>209016</v>
          </cell>
        </row>
        <row r="17946">
          <cell r="K17946" t="str">
            <v>201001</v>
          </cell>
          <cell r="M17946">
            <v>1</v>
          </cell>
          <cell r="R17946">
            <v>46038</v>
          </cell>
          <cell r="S17946">
            <v>201001</v>
          </cell>
        </row>
        <row r="17947">
          <cell r="K17947" t="str">
            <v>231012</v>
          </cell>
          <cell r="M17947">
            <v>1</v>
          </cell>
          <cell r="R17947">
            <v>46038</v>
          </cell>
          <cell r="S17947">
            <v>231012</v>
          </cell>
        </row>
        <row r="17948">
          <cell r="K17948" t="str">
            <v>220002</v>
          </cell>
          <cell r="M17948">
            <v>1</v>
          </cell>
          <cell r="R17948">
            <v>46038</v>
          </cell>
          <cell r="S17948">
            <v>220002</v>
          </cell>
        </row>
        <row r="17949">
          <cell r="K17949" t="str">
            <v>228001</v>
          </cell>
          <cell r="M17949">
            <v>2</v>
          </cell>
          <cell r="R17949">
            <v>46038</v>
          </cell>
          <cell r="S17949">
            <v>228001</v>
          </cell>
        </row>
        <row r="17950">
          <cell r="K17950" t="str">
            <v>228001</v>
          </cell>
          <cell r="M17950">
            <v>2</v>
          </cell>
          <cell r="R17950">
            <v>46038</v>
          </cell>
          <cell r="S17950">
            <v>228001</v>
          </cell>
        </row>
        <row r="17951">
          <cell r="K17951" t="str">
            <v>231012</v>
          </cell>
          <cell r="M17951">
            <v>6</v>
          </cell>
          <cell r="R17951">
            <v>46038</v>
          </cell>
          <cell r="S17951">
            <v>231012</v>
          </cell>
        </row>
        <row r="17952">
          <cell r="K17952" t="str">
            <v>228001</v>
          </cell>
          <cell r="M17952">
            <v>6</v>
          </cell>
          <cell r="R17952">
            <v>46038</v>
          </cell>
          <cell r="S17952">
            <v>228001</v>
          </cell>
        </row>
        <row r="17953">
          <cell r="K17953" t="str">
            <v>212035</v>
          </cell>
          <cell r="M17953">
            <v>1</v>
          </cell>
          <cell r="R17953">
            <v>46038</v>
          </cell>
          <cell r="S17953">
            <v>212035</v>
          </cell>
        </row>
        <row r="17954">
          <cell r="K17954" t="str">
            <v>209017</v>
          </cell>
          <cell r="M17954">
            <v>1</v>
          </cell>
          <cell r="R17954">
            <v>46038</v>
          </cell>
          <cell r="S17954">
            <v>209017</v>
          </cell>
        </row>
        <row r="17955">
          <cell r="K17955" t="str">
            <v>222001</v>
          </cell>
          <cell r="M17955">
            <v>1</v>
          </cell>
          <cell r="R17955">
            <v>46038</v>
          </cell>
          <cell r="S17955">
            <v>222001</v>
          </cell>
        </row>
        <row r="17956">
          <cell r="K17956" t="str">
            <v>201001</v>
          </cell>
          <cell r="M17956">
            <v>2</v>
          </cell>
          <cell r="R17956">
            <v>46038</v>
          </cell>
          <cell r="S17956">
            <v>201001</v>
          </cell>
        </row>
        <row r="17957">
          <cell r="K17957" t="str">
            <v>212002</v>
          </cell>
          <cell r="M17957">
            <v>33</v>
          </cell>
          <cell r="R17957">
            <v>46038</v>
          </cell>
          <cell r="S17957">
            <v>212002</v>
          </cell>
        </row>
        <row r="17958">
          <cell r="K17958" t="str">
            <v>234001</v>
          </cell>
          <cell r="M17958">
            <v>3</v>
          </cell>
          <cell r="R17958">
            <v>46038</v>
          </cell>
          <cell r="S17958">
            <v>234001</v>
          </cell>
        </row>
        <row r="17959">
          <cell r="K17959" t="str">
            <v>222001</v>
          </cell>
          <cell r="M17959">
            <v>1</v>
          </cell>
          <cell r="R17959">
            <v>46038</v>
          </cell>
          <cell r="S17959">
            <v>222001</v>
          </cell>
        </row>
        <row r="17960">
          <cell r="K17960" t="str">
            <v>261005</v>
          </cell>
          <cell r="M17960">
            <v>2</v>
          </cell>
          <cell r="R17960">
            <v>46038</v>
          </cell>
          <cell r="S17960">
            <v>261005</v>
          </cell>
        </row>
        <row r="17961">
          <cell r="K17961" t="str">
            <v>201001</v>
          </cell>
          <cell r="M17961">
            <v>3</v>
          </cell>
          <cell r="R17961">
            <v>46038</v>
          </cell>
          <cell r="S17961">
            <v>201001</v>
          </cell>
        </row>
        <row r="17962">
          <cell r="K17962" t="str">
            <v>228001</v>
          </cell>
          <cell r="M17962">
            <v>2</v>
          </cell>
          <cell r="R17962">
            <v>46038</v>
          </cell>
          <cell r="S17962">
            <v>228001</v>
          </cell>
        </row>
        <row r="17963">
          <cell r="K17963" t="str">
            <v>228001</v>
          </cell>
          <cell r="M17963">
            <v>25</v>
          </cell>
          <cell r="R17963">
            <v>46038</v>
          </cell>
          <cell r="S17963">
            <v>228001</v>
          </cell>
        </row>
        <row r="17964">
          <cell r="K17964" t="str">
            <v>231012</v>
          </cell>
          <cell r="M17964">
            <v>1</v>
          </cell>
          <cell r="R17964">
            <v>46038</v>
          </cell>
          <cell r="S17964">
            <v>231012</v>
          </cell>
        </row>
        <row r="17965">
          <cell r="K17965" t="str">
            <v>213002</v>
          </cell>
          <cell r="M17965">
            <v>5</v>
          </cell>
          <cell r="R17965">
            <v>46038</v>
          </cell>
          <cell r="S17965">
            <v>213002</v>
          </cell>
        </row>
        <row r="17966">
          <cell r="K17966" t="str">
            <v>228001</v>
          </cell>
          <cell r="M17966">
            <v>5</v>
          </cell>
          <cell r="R17966">
            <v>46038</v>
          </cell>
          <cell r="S17966">
            <v>228001</v>
          </cell>
        </row>
        <row r="17967">
          <cell r="K17967" t="str">
            <v>228001</v>
          </cell>
          <cell r="M17967">
            <v>13</v>
          </cell>
          <cell r="R17967">
            <v>46038</v>
          </cell>
          <cell r="S17967">
            <v>228001</v>
          </cell>
        </row>
        <row r="17968">
          <cell r="K17968" t="str">
            <v>241001</v>
          </cell>
          <cell r="M17968">
            <v>5</v>
          </cell>
          <cell r="R17968">
            <v>46038</v>
          </cell>
          <cell r="S17968">
            <v>241001</v>
          </cell>
        </row>
        <row r="17969">
          <cell r="K17969" t="str">
            <v>228001</v>
          </cell>
          <cell r="M17969">
            <v>3</v>
          </cell>
          <cell r="R17969">
            <v>46041</v>
          </cell>
          <cell r="S17969">
            <v>228001</v>
          </cell>
        </row>
        <row r="17970">
          <cell r="K17970" t="str">
            <v>228001</v>
          </cell>
          <cell r="M17970">
            <v>6</v>
          </cell>
          <cell r="R17970">
            <v>46041</v>
          </cell>
          <cell r="S17970">
            <v>228001</v>
          </cell>
        </row>
        <row r="17971">
          <cell r="K17971" t="str">
            <v>261004</v>
          </cell>
          <cell r="M17971">
            <v>17</v>
          </cell>
          <cell r="R17971">
            <v>46041</v>
          </cell>
          <cell r="S17971">
            <v>261004</v>
          </cell>
        </row>
        <row r="17972">
          <cell r="K17972" t="str">
            <v>212010</v>
          </cell>
          <cell r="M17972">
            <v>10</v>
          </cell>
          <cell r="R17972">
            <v>46041</v>
          </cell>
          <cell r="S17972">
            <v>212010</v>
          </cell>
        </row>
        <row r="17973">
          <cell r="K17973" t="str">
            <v>226001</v>
          </cell>
          <cell r="M17973">
            <v>3</v>
          </cell>
          <cell r="R17973">
            <v>46038</v>
          </cell>
          <cell r="S17973">
            <v>226001</v>
          </cell>
        </row>
        <row r="17974">
          <cell r="K17974" t="str">
            <v>226001</v>
          </cell>
          <cell r="M17974">
            <v>2</v>
          </cell>
          <cell r="R17974">
            <v>46038</v>
          </cell>
          <cell r="S17974">
            <v>226001</v>
          </cell>
        </row>
        <row r="17975">
          <cell r="K17975" t="str">
            <v>203003</v>
          </cell>
          <cell r="M17975">
            <v>2</v>
          </cell>
          <cell r="R17975">
            <v>46038</v>
          </cell>
          <cell r="S17975">
            <v>203003</v>
          </cell>
        </row>
        <row r="17976">
          <cell r="K17976" t="str">
            <v>231010</v>
          </cell>
          <cell r="M17976">
            <v>2</v>
          </cell>
          <cell r="R17976">
            <v>46038</v>
          </cell>
          <cell r="S17976">
            <v>231010</v>
          </cell>
        </row>
        <row r="17977">
          <cell r="K17977" t="str">
            <v>217021</v>
          </cell>
          <cell r="M17977">
            <v>1</v>
          </cell>
          <cell r="R17977">
            <v>46038</v>
          </cell>
          <cell r="S17977">
            <v>217021</v>
          </cell>
        </row>
        <row r="17978">
          <cell r="K17978" t="str">
            <v>213002</v>
          </cell>
          <cell r="M17978">
            <v>10</v>
          </cell>
          <cell r="R17978">
            <v>46039</v>
          </cell>
          <cell r="S17978">
            <v>213002</v>
          </cell>
        </row>
        <row r="17979">
          <cell r="K17979" t="str">
            <v>201001</v>
          </cell>
          <cell r="M17979">
            <v>3</v>
          </cell>
          <cell r="R17979">
            <v>46040</v>
          </cell>
          <cell r="S17979">
            <v>201001</v>
          </cell>
        </row>
        <row r="17980">
          <cell r="K17980" t="str">
            <v>237001</v>
          </cell>
          <cell r="M17980">
            <v>1</v>
          </cell>
          <cell r="R17980">
            <v>46040</v>
          </cell>
          <cell r="S17980">
            <v>237001</v>
          </cell>
        </row>
        <row r="17981">
          <cell r="K17981" t="str">
            <v>228001</v>
          </cell>
          <cell r="M17981">
            <v>2</v>
          </cell>
          <cell r="R17981">
            <v>46040</v>
          </cell>
          <cell r="S17981">
            <v>228001</v>
          </cell>
        </row>
        <row r="17982">
          <cell r="K17982" t="str">
            <v>217011</v>
          </cell>
          <cell r="M17982">
            <v>2</v>
          </cell>
          <cell r="R17982">
            <v>46040</v>
          </cell>
          <cell r="S17982">
            <v>217011</v>
          </cell>
        </row>
        <row r="17983">
          <cell r="K17983" t="str">
            <v>201001</v>
          </cell>
          <cell r="M17983">
            <v>12</v>
          </cell>
          <cell r="R17983">
            <v>46040</v>
          </cell>
          <cell r="S17983">
            <v>201001</v>
          </cell>
        </row>
        <row r="17984">
          <cell r="K17984" t="str">
            <v>203001</v>
          </cell>
          <cell r="M17984">
            <v>4</v>
          </cell>
          <cell r="R17984">
            <v>46041</v>
          </cell>
          <cell r="S17984">
            <v>203001</v>
          </cell>
        </row>
        <row r="17985">
          <cell r="K17985" t="str">
            <v>231010</v>
          </cell>
          <cell r="M17985">
            <v>5</v>
          </cell>
          <cell r="R17985">
            <v>46041</v>
          </cell>
          <cell r="S17985">
            <v>231010</v>
          </cell>
        </row>
        <row r="17986">
          <cell r="K17986" t="str">
            <v>223002</v>
          </cell>
          <cell r="M17986">
            <v>1</v>
          </cell>
          <cell r="R17986">
            <v>46041</v>
          </cell>
          <cell r="S17986">
            <v>223002</v>
          </cell>
        </row>
        <row r="17987">
          <cell r="K17987" t="str">
            <v>223001</v>
          </cell>
          <cell r="M17987">
            <v>10</v>
          </cell>
          <cell r="R17987">
            <v>46041</v>
          </cell>
          <cell r="S17987">
            <v>223001</v>
          </cell>
        </row>
        <row r="17988">
          <cell r="K17988" t="str">
            <v>227012</v>
          </cell>
          <cell r="M17988">
            <v>1</v>
          </cell>
          <cell r="R17988">
            <v>46041</v>
          </cell>
          <cell r="S17988">
            <v>227012</v>
          </cell>
        </row>
        <row r="17989">
          <cell r="K17989" t="str">
            <v>209022</v>
          </cell>
          <cell r="M17989">
            <v>4</v>
          </cell>
          <cell r="R17989">
            <v>46041</v>
          </cell>
          <cell r="S17989">
            <v>209022</v>
          </cell>
        </row>
        <row r="17990">
          <cell r="K17990" t="str">
            <v>241001</v>
          </cell>
          <cell r="M17990">
            <v>10</v>
          </cell>
          <cell r="R17990">
            <v>46040</v>
          </cell>
          <cell r="S17990">
            <v>241001</v>
          </cell>
        </row>
        <row r="17991">
          <cell r="K17991" t="str">
            <v>213022</v>
          </cell>
          <cell r="M17991">
            <v>1</v>
          </cell>
          <cell r="R17991">
            <v>46040</v>
          </cell>
          <cell r="S17991">
            <v>213022</v>
          </cell>
        </row>
        <row r="17992">
          <cell r="K17992" t="str">
            <v>226030</v>
          </cell>
          <cell r="M17992">
            <v>2</v>
          </cell>
          <cell r="R17992">
            <v>46040</v>
          </cell>
          <cell r="S17992">
            <v>226030</v>
          </cell>
        </row>
        <row r="17993">
          <cell r="K17993" t="str">
            <v>217022</v>
          </cell>
          <cell r="M17993">
            <v>8</v>
          </cell>
          <cell r="R17993">
            <v>46040</v>
          </cell>
          <cell r="S17993">
            <v>217022</v>
          </cell>
        </row>
        <row r="17994">
          <cell r="K17994" t="str">
            <v>209001</v>
          </cell>
          <cell r="M17994">
            <v>2</v>
          </cell>
          <cell r="R17994">
            <v>46039</v>
          </cell>
          <cell r="S17994">
            <v>209001</v>
          </cell>
        </row>
        <row r="17995">
          <cell r="K17995" t="str">
            <v>222001</v>
          </cell>
          <cell r="M17995">
            <v>1</v>
          </cell>
          <cell r="R17995">
            <v>46039</v>
          </cell>
          <cell r="S17995">
            <v>222001</v>
          </cell>
        </row>
        <row r="17996">
          <cell r="K17996" t="str">
            <v>223002</v>
          </cell>
          <cell r="M17996">
            <v>3</v>
          </cell>
          <cell r="R17996">
            <v>46041</v>
          </cell>
          <cell r="S17996">
            <v>223002</v>
          </cell>
        </row>
        <row r="17997">
          <cell r="K17997" t="str">
            <v>223001</v>
          </cell>
          <cell r="M17997">
            <v>3</v>
          </cell>
          <cell r="R17997">
            <v>46041</v>
          </cell>
          <cell r="S17997">
            <v>223001</v>
          </cell>
        </row>
        <row r="17998">
          <cell r="K17998" t="str">
            <v>201024</v>
          </cell>
          <cell r="M17998">
            <v>6</v>
          </cell>
          <cell r="R17998">
            <v>46041</v>
          </cell>
          <cell r="S17998">
            <v>201024</v>
          </cell>
        </row>
        <row r="17999">
          <cell r="K17999" t="str">
            <v>223002</v>
          </cell>
          <cell r="M17999">
            <v>8</v>
          </cell>
          <cell r="R17999">
            <v>46041</v>
          </cell>
          <cell r="S17999">
            <v>223002</v>
          </cell>
        </row>
        <row r="18000">
          <cell r="K18000" t="str">
            <v>201024</v>
          </cell>
          <cell r="M18000">
            <v>4</v>
          </cell>
          <cell r="R18000">
            <v>46041</v>
          </cell>
          <cell r="S18000">
            <v>201024</v>
          </cell>
        </row>
        <row r="18001">
          <cell r="K18001" t="str">
            <v>223002</v>
          </cell>
          <cell r="M18001">
            <v>2</v>
          </cell>
          <cell r="R18001">
            <v>46041</v>
          </cell>
          <cell r="S18001">
            <v>223002</v>
          </cell>
        </row>
        <row r="18002">
          <cell r="K18002" t="str">
            <v>227012</v>
          </cell>
          <cell r="M18002">
            <v>1</v>
          </cell>
          <cell r="R18002">
            <v>46041</v>
          </cell>
          <cell r="S18002">
            <v>227012</v>
          </cell>
        </row>
        <row r="18003">
          <cell r="K18003" t="str">
            <v>209001</v>
          </cell>
          <cell r="M18003">
            <v>3</v>
          </cell>
          <cell r="R18003">
            <v>46040</v>
          </cell>
          <cell r="S18003">
            <v>209001</v>
          </cell>
        </row>
        <row r="18004">
          <cell r="K18004" t="str">
            <v>228001</v>
          </cell>
          <cell r="M18004">
            <v>3</v>
          </cell>
          <cell r="R18004">
            <v>46039</v>
          </cell>
          <cell r="S18004">
            <v>228001</v>
          </cell>
        </row>
        <row r="18005">
          <cell r="K18005" t="str">
            <v>212002</v>
          </cell>
          <cell r="M18005">
            <v>1</v>
          </cell>
          <cell r="R18005">
            <v>46039</v>
          </cell>
          <cell r="S18005">
            <v>212002</v>
          </cell>
        </row>
        <row r="18006">
          <cell r="K18006" t="str">
            <v>213022</v>
          </cell>
          <cell r="M18006">
            <v>1</v>
          </cell>
          <cell r="R18006">
            <v>46041</v>
          </cell>
          <cell r="S18006">
            <v>213022</v>
          </cell>
        </row>
        <row r="18007">
          <cell r="K18007" t="str">
            <v>231012</v>
          </cell>
          <cell r="M18007">
            <v>1</v>
          </cell>
          <cell r="R18007">
            <v>46041</v>
          </cell>
          <cell r="S18007">
            <v>231012</v>
          </cell>
        </row>
        <row r="18008">
          <cell r="K18008" t="str">
            <v>203003</v>
          </cell>
          <cell r="M18008">
            <v>1</v>
          </cell>
          <cell r="R18008">
            <v>46041</v>
          </cell>
          <cell r="S18008">
            <v>203003</v>
          </cell>
        </row>
        <row r="18009">
          <cell r="K18009" t="str">
            <v>217019</v>
          </cell>
          <cell r="M18009">
            <v>5</v>
          </cell>
          <cell r="R18009">
            <v>46040</v>
          </cell>
          <cell r="S18009">
            <v>217019</v>
          </cell>
        </row>
        <row r="18010">
          <cell r="K18010" t="str">
            <v>228001</v>
          </cell>
          <cell r="M18010">
            <v>3</v>
          </cell>
          <cell r="R18010">
            <v>46040</v>
          </cell>
          <cell r="S18010">
            <v>228001</v>
          </cell>
        </row>
        <row r="18011">
          <cell r="K18011" t="str">
            <v>228001</v>
          </cell>
          <cell r="M18011">
            <v>2</v>
          </cell>
          <cell r="R18011">
            <v>46038</v>
          </cell>
          <cell r="S18011">
            <v>228001</v>
          </cell>
        </row>
        <row r="18012">
          <cell r="K18012" t="str">
            <v>231012</v>
          </cell>
          <cell r="M18012">
            <v>1</v>
          </cell>
          <cell r="R18012">
            <v>46038</v>
          </cell>
          <cell r="S18012">
            <v>231012</v>
          </cell>
        </row>
        <row r="18013">
          <cell r="K18013" t="str">
            <v>217019</v>
          </cell>
          <cell r="M18013">
            <v>2</v>
          </cell>
          <cell r="R18013">
            <v>46040</v>
          </cell>
          <cell r="S18013">
            <v>217019</v>
          </cell>
        </row>
        <row r="18014">
          <cell r="K18014" t="str">
            <v>228001</v>
          </cell>
          <cell r="M18014">
            <v>2</v>
          </cell>
          <cell r="R18014">
            <v>46040</v>
          </cell>
          <cell r="S18014">
            <v>228001</v>
          </cell>
        </row>
        <row r="18015">
          <cell r="K18015" t="str">
            <v>228001</v>
          </cell>
          <cell r="M18015">
            <v>1</v>
          </cell>
          <cell r="R18015">
            <v>46040</v>
          </cell>
          <cell r="S18015">
            <v>228001</v>
          </cell>
        </row>
        <row r="18016">
          <cell r="K18016" t="str">
            <v>223001</v>
          </cell>
          <cell r="M18016">
            <v>1</v>
          </cell>
          <cell r="R18016">
            <v>46040</v>
          </cell>
          <cell r="S18016">
            <v>223001</v>
          </cell>
        </row>
        <row r="18017">
          <cell r="K18017" t="str">
            <v>203003</v>
          </cell>
          <cell r="M18017">
            <v>2</v>
          </cell>
          <cell r="R18017">
            <v>46040</v>
          </cell>
          <cell r="S18017">
            <v>203003</v>
          </cell>
        </row>
        <row r="18018">
          <cell r="K18018" t="str">
            <v>213022</v>
          </cell>
          <cell r="M18018">
            <v>2</v>
          </cell>
          <cell r="R18018">
            <v>46040</v>
          </cell>
          <cell r="S18018">
            <v>213022</v>
          </cell>
        </row>
        <row r="18019">
          <cell r="K18019" t="str">
            <v>213022</v>
          </cell>
          <cell r="M18019">
            <v>2</v>
          </cell>
          <cell r="R18019">
            <v>46040</v>
          </cell>
          <cell r="S18019">
            <v>213022</v>
          </cell>
        </row>
        <row r="18020">
          <cell r="K18020" t="str">
            <v>217019</v>
          </cell>
          <cell r="M18020">
            <v>3</v>
          </cell>
          <cell r="R18020">
            <v>46040</v>
          </cell>
          <cell r="S18020">
            <v>217019</v>
          </cell>
        </row>
        <row r="18021">
          <cell r="K18021" t="str">
            <v>228001</v>
          </cell>
          <cell r="M18021">
            <v>1</v>
          </cell>
          <cell r="R18021">
            <v>46040</v>
          </cell>
          <cell r="S18021">
            <v>228001</v>
          </cell>
        </row>
        <row r="18022">
          <cell r="K18022" t="str">
            <v>213022</v>
          </cell>
          <cell r="M18022">
            <v>1</v>
          </cell>
          <cell r="R18022">
            <v>46041</v>
          </cell>
          <cell r="S18022">
            <v>213022</v>
          </cell>
        </row>
        <row r="18023">
          <cell r="K18023" t="str">
            <v>223002</v>
          </cell>
          <cell r="M18023">
            <v>2</v>
          </cell>
          <cell r="R18023">
            <v>46041</v>
          </cell>
          <cell r="S18023">
            <v>223002</v>
          </cell>
        </row>
        <row r="18024">
          <cell r="K18024" t="str">
            <v>231012</v>
          </cell>
          <cell r="M18024">
            <v>15</v>
          </cell>
          <cell r="R18024">
            <v>46041</v>
          </cell>
          <cell r="S18024">
            <v>231012</v>
          </cell>
        </row>
        <row r="18025">
          <cell r="K18025" t="str">
            <v>223002</v>
          </cell>
          <cell r="M18025">
            <v>2</v>
          </cell>
          <cell r="R18025">
            <v>46041</v>
          </cell>
          <cell r="S18025">
            <v>223002</v>
          </cell>
        </row>
        <row r="18026">
          <cell r="K18026" t="str">
            <v>223001</v>
          </cell>
          <cell r="M18026">
            <v>3</v>
          </cell>
          <cell r="R18026">
            <v>46041</v>
          </cell>
          <cell r="S18026">
            <v>223001</v>
          </cell>
        </row>
        <row r="18027">
          <cell r="K18027" t="str">
            <v>213002</v>
          </cell>
          <cell r="M18027">
            <v>6</v>
          </cell>
          <cell r="R18027">
            <v>46040</v>
          </cell>
          <cell r="S18027">
            <v>213002</v>
          </cell>
        </row>
        <row r="18028">
          <cell r="K18028" t="str">
            <v>222005</v>
          </cell>
          <cell r="M18028">
            <v>1</v>
          </cell>
          <cell r="R18028">
            <v>46040</v>
          </cell>
          <cell r="S18028">
            <v>222005</v>
          </cell>
        </row>
        <row r="18029">
          <cell r="K18029" t="str">
            <v>201001</v>
          </cell>
          <cell r="M18029">
            <v>6</v>
          </cell>
          <cell r="R18029">
            <v>46041</v>
          </cell>
          <cell r="S18029">
            <v>201001</v>
          </cell>
        </row>
        <row r="18030">
          <cell r="K18030" t="str">
            <v>203001</v>
          </cell>
          <cell r="M18030">
            <v>4</v>
          </cell>
          <cell r="R18030">
            <v>46041</v>
          </cell>
          <cell r="S18030">
            <v>203001</v>
          </cell>
        </row>
        <row r="18031">
          <cell r="K18031" t="str">
            <v>226001</v>
          </cell>
          <cell r="M18031">
            <v>10</v>
          </cell>
          <cell r="R18031">
            <v>46041</v>
          </cell>
          <cell r="S18031">
            <v>226001</v>
          </cell>
        </row>
        <row r="18032">
          <cell r="K18032" t="str">
            <v>201001</v>
          </cell>
          <cell r="M18032">
            <v>2</v>
          </cell>
          <cell r="R18032">
            <v>46041</v>
          </cell>
          <cell r="S18032">
            <v>201001</v>
          </cell>
        </row>
        <row r="18033">
          <cell r="K18033" t="str">
            <v>229004</v>
          </cell>
          <cell r="M18033">
            <v>3</v>
          </cell>
          <cell r="R18033">
            <v>46041</v>
          </cell>
          <cell r="S18033">
            <v>229004</v>
          </cell>
        </row>
        <row r="18034">
          <cell r="K18034" t="str">
            <v>212035</v>
          </cell>
          <cell r="M18034">
            <v>1</v>
          </cell>
          <cell r="R18034">
            <v>46041</v>
          </cell>
          <cell r="S18034">
            <v>212035</v>
          </cell>
        </row>
        <row r="18035">
          <cell r="K18035" t="str">
            <v>226001</v>
          </cell>
          <cell r="M18035">
            <v>3</v>
          </cell>
          <cell r="R18035">
            <v>46041</v>
          </cell>
          <cell r="S18035">
            <v>226001</v>
          </cell>
        </row>
        <row r="18036">
          <cell r="K18036" t="str">
            <v>226001</v>
          </cell>
          <cell r="M18036">
            <v>1</v>
          </cell>
          <cell r="R18036">
            <v>46041</v>
          </cell>
          <cell r="S18036">
            <v>226001</v>
          </cell>
        </row>
        <row r="18037">
          <cell r="K18037" t="str">
            <v>226001</v>
          </cell>
          <cell r="M18037">
            <v>1</v>
          </cell>
          <cell r="R18037">
            <v>46041</v>
          </cell>
          <cell r="S18037">
            <v>226001</v>
          </cell>
        </row>
        <row r="18038">
          <cell r="K18038" t="str">
            <v>201001</v>
          </cell>
          <cell r="M18038">
            <v>6</v>
          </cell>
          <cell r="R18038">
            <v>46041</v>
          </cell>
          <cell r="S18038">
            <v>201001</v>
          </cell>
        </row>
        <row r="18039">
          <cell r="K18039" t="str">
            <v>261004</v>
          </cell>
          <cell r="M18039">
            <v>1</v>
          </cell>
          <cell r="R18039">
            <v>46041</v>
          </cell>
          <cell r="S18039">
            <v>261004</v>
          </cell>
        </row>
        <row r="18040">
          <cell r="K18040" t="str">
            <v>241001</v>
          </cell>
          <cell r="M18040">
            <v>3</v>
          </cell>
          <cell r="R18040">
            <v>46041</v>
          </cell>
          <cell r="S18040">
            <v>241001</v>
          </cell>
        </row>
        <row r="18041">
          <cell r="K18041" t="str">
            <v>222001</v>
          </cell>
          <cell r="M18041">
            <v>5</v>
          </cell>
          <cell r="R18041">
            <v>46041</v>
          </cell>
          <cell r="S18041">
            <v>222001</v>
          </cell>
        </row>
        <row r="18042">
          <cell r="K18042" t="str">
            <v>222007</v>
          </cell>
          <cell r="M18042">
            <v>2</v>
          </cell>
          <cell r="R18042">
            <v>46041</v>
          </cell>
          <cell r="S18042">
            <v>222007</v>
          </cell>
        </row>
        <row r="18043">
          <cell r="K18043" t="str">
            <v>226001</v>
          </cell>
          <cell r="M18043">
            <v>1</v>
          </cell>
          <cell r="R18043">
            <v>46041</v>
          </cell>
          <cell r="S18043">
            <v>226001</v>
          </cell>
        </row>
        <row r="18044">
          <cell r="K18044" t="str">
            <v>226001</v>
          </cell>
          <cell r="M18044">
            <v>1</v>
          </cell>
          <cell r="R18044">
            <v>46041</v>
          </cell>
          <cell r="S18044">
            <v>226001</v>
          </cell>
        </row>
        <row r="18045">
          <cell r="K18045" t="str">
            <v>226001</v>
          </cell>
          <cell r="M18045">
            <v>1</v>
          </cell>
          <cell r="R18045">
            <v>46041</v>
          </cell>
          <cell r="S18045">
            <v>226001</v>
          </cell>
        </row>
        <row r="18046">
          <cell r="K18046" t="str">
            <v>210015</v>
          </cell>
          <cell r="M18046">
            <v>25</v>
          </cell>
          <cell r="R18046">
            <v>46041</v>
          </cell>
          <cell r="S18046">
            <v>210015</v>
          </cell>
        </row>
        <row r="18047">
          <cell r="K18047" t="str">
            <v>213022</v>
          </cell>
          <cell r="M18047">
            <v>1</v>
          </cell>
          <cell r="R18047">
            <v>46041</v>
          </cell>
          <cell r="S18047">
            <v>213022</v>
          </cell>
        </row>
        <row r="18048">
          <cell r="K18048" t="str">
            <v>217022</v>
          </cell>
          <cell r="M18048">
            <v>2</v>
          </cell>
          <cell r="R18048">
            <v>46041</v>
          </cell>
          <cell r="S18048">
            <v>217022</v>
          </cell>
        </row>
        <row r="18049">
          <cell r="K18049" t="str">
            <v>207017</v>
          </cell>
          <cell r="M18049">
            <v>1</v>
          </cell>
          <cell r="R18049">
            <v>46041</v>
          </cell>
          <cell r="S18049">
            <v>207017</v>
          </cell>
        </row>
        <row r="18050">
          <cell r="K18050" t="str">
            <v>261004</v>
          </cell>
          <cell r="M18050">
            <v>30</v>
          </cell>
          <cell r="R18050">
            <v>46041</v>
          </cell>
          <cell r="S18050">
            <v>261004</v>
          </cell>
        </row>
        <row r="18051">
          <cell r="K18051" t="str">
            <v>212010</v>
          </cell>
          <cell r="M18051">
            <v>24</v>
          </cell>
          <cell r="R18051">
            <v>46041</v>
          </cell>
          <cell r="S18051">
            <v>212010</v>
          </cell>
        </row>
        <row r="18052">
          <cell r="K18052" t="str">
            <v>203001</v>
          </cell>
          <cell r="M18052">
            <v>4</v>
          </cell>
          <cell r="R18052">
            <v>46041</v>
          </cell>
          <cell r="S18052">
            <v>203001</v>
          </cell>
        </row>
        <row r="18053">
          <cell r="K18053" t="str">
            <v>203001</v>
          </cell>
          <cell r="M18053">
            <v>4</v>
          </cell>
          <cell r="R18053">
            <v>46041</v>
          </cell>
          <cell r="S18053">
            <v>203001</v>
          </cell>
        </row>
        <row r="18054">
          <cell r="K18054" t="str">
            <v>226001</v>
          </cell>
          <cell r="M18054">
            <v>3</v>
          </cell>
          <cell r="R18054">
            <v>46041</v>
          </cell>
          <cell r="S18054">
            <v>226001</v>
          </cell>
        </row>
        <row r="18055">
          <cell r="K18055" t="str">
            <v>220002</v>
          </cell>
          <cell r="M18055">
            <v>2</v>
          </cell>
          <cell r="R18055">
            <v>46041</v>
          </cell>
          <cell r="S18055">
            <v>220002</v>
          </cell>
        </row>
        <row r="18056">
          <cell r="K18056" t="str">
            <v>227012</v>
          </cell>
          <cell r="M18056">
            <v>2</v>
          </cell>
          <cell r="R18056">
            <v>46041</v>
          </cell>
          <cell r="S18056">
            <v>227012</v>
          </cell>
        </row>
        <row r="18057">
          <cell r="K18057" t="str">
            <v>213022</v>
          </cell>
          <cell r="M18057">
            <v>3</v>
          </cell>
          <cell r="R18057">
            <v>46041</v>
          </cell>
          <cell r="S18057">
            <v>213022</v>
          </cell>
        </row>
        <row r="18058">
          <cell r="K18058" t="str">
            <v>201027</v>
          </cell>
          <cell r="M18058">
            <v>2</v>
          </cell>
          <cell r="R18058">
            <v>46041</v>
          </cell>
          <cell r="S18058">
            <v>201027</v>
          </cell>
        </row>
        <row r="18059">
          <cell r="K18059" t="str">
            <v>226001</v>
          </cell>
          <cell r="M18059">
            <v>1</v>
          </cell>
          <cell r="R18059">
            <v>46041</v>
          </cell>
          <cell r="S18059">
            <v>226001</v>
          </cell>
        </row>
        <row r="18060">
          <cell r="K18060" t="str">
            <v>217021</v>
          </cell>
          <cell r="M18060">
            <v>1</v>
          </cell>
          <cell r="R18060">
            <v>46041</v>
          </cell>
          <cell r="S18060">
            <v>217021</v>
          </cell>
        </row>
        <row r="18061">
          <cell r="K18061" t="str">
            <v>217022</v>
          </cell>
          <cell r="M18061">
            <v>2</v>
          </cell>
          <cell r="R18061">
            <v>46041</v>
          </cell>
          <cell r="S18061">
            <v>217022</v>
          </cell>
        </row>
        <row r="18062">
          <cell r="K18062" t="str">
            <v>203003</v>
          </cell>
          <cell r="M18062">
            <v>1</v>
          </cell>
          <cell r="R18062">
            <v>46041</v>
          </cell>
          <cell r="S18062">
            <v>203003</v>
          </cell>
        </row>
        <row r="18063">
          <cell r="K18063" t="str">
            <v>227012</v>
          </cell>
          <cell r="M18063">
            <v>4</v>
          </cell>
          <cell r="R18063">
            <v>46041</v>
          </cell>
          <cell r="S18063">
            <v>227012</v>
          </cell>
        </row>
        <row r="18064">
          <cell r="K18064" t="str">
            <v>231012</v>
          </cell>
          <cell r="M18064">
            <v>1</v>
          </cell>
          <cell r="R18064">
            <v>46041</v>
          </cell>
          <cell r="S18064">
            <v>231012</v>
          </cell>
        </row>
        <row r="18065">
          <cell r="K18065" t="str">
            <v>226001</v>
          </cell>
          <cell r="M18065">
            <v>1</v>
          </cell>
          <cell r="R18065">
            <v>46041</v>
          </cell>
          <cell r="S18065">
            <v>226001</v>
          </cell>
        </row>
        <row r="18066">
          <cell r="K18066" t="str">
            <v>213022</v>
          </cell>
          <cell r="M18066">
            <v>1</v>
          </cell>
          <cell r="R18066">
            <v>46041</v>
          </cell>
          <cell r="S18066">
            <v>213022</v>
          </cell>
        </row>
        <row r="18067">
          <cell r="K18067" t="str">
            <v>223002</v>
          </cell>
          <cell r="M18067">
            <v>1</v>
          </cell>
          <cell r="R18067">
            <v>46041</v>
          </cell>
          <cell r="S18067">
            <v>223002</v>
          </cell>
        </row>
        <row r="18068">
          <cell r="K18068" t="str">
            <v>212035</v>
          </cell>
          <cell r="M18068">
            <v>3</v>
          </cell>
          <cell r="R18068">
            <v>46041</v>
          </cell>
          <cell r="S18068">
            <v>212035</v>
          </cell>
        </row>
        <row r="18069">
          <cell r="K18069" t="str">
            <v>201024</v>
          </cell>
          <cell r="M18069">
            <v>1</v>
          </cell>
          <cell r="R18069">
            <v>46041</v>
          </cell>
          <cell r="S18069">
            <v>201024</v>
          </cell>
        </row>
        <row r="18070">
          <cell r="K18070" t="str">
            <v>209001</v>
          </cell>
          <cell r="M18070">
            <v>3</v>
          </cell>
          <cell r="R18070">
            <v>46041</v>
          </cell>
          <cell r="S18070">
            <v>209001</v>
          </cell>
        </row>
        <row r="18071">
          <cell r="K18071" t="str">
            <v>223002</v>
          </cell>
          <cell r="M18071">
            <v>1</v>
          </cell>
          <cell r="R18071">
            <v>46041</v>
          </cell>
          <cell r="S18071">
            <v>223002</v>
          </cell>
        </row>
        <row r="18072">
          <cell r="K18072" t="str">
            <v>241001</v>
          </cell>
          <cell r="M18072">
            <v>1</v>
          </cell>
          <cell r="R18072">
            <v>46041</v>
          </cell>
          <cell r="S18072">
            <v>241001</v>
          </cell>
        </row>
        <row r="18073">
          <cell r="K18073" t="str">
            <v>201024</v>
          </cell>
          <cell r="M18073">
            <v>2</v>
          </cell>
          <cell r="R18073">
            <v>46041</v>
          </cell>
          <cell r="S18073">
            <v>201024</v>
          </cell>
        </row>
        <row r="18074">
          <cell r="K18074" t="str">
            <v>212002</v>
          </cell>
          <cell r="M18074">
            <v>1</v>
          </cell>
          <cell r="R18074">
            <v>46041</v>
          </cell>
          <cell r="S18074">
            <v>212002</v>
          </cell>
        </row>
        <row r="18075">
          <cell r="K18075" t="str">
            <v>209012</v>
          </cell>
          <cell r="M18075">
            <v>1</v>
          </cell>
          <cell r="R18075">
            <v>46041</v>
          </cell>
          <cell r="S18075">
            <v>209012</v>
          </cell>
        </row>
        <row r="18076">
          <cell r="K18076" t="str">
            <v>201024</v>
          </cell>
          <cell r="M18076">
            <v>1</v>
          </cell>
          <cell r="R18076">
            <v>46041</v>
          </cell>
          <cell r="S18076">
            <v>201024</v>
          </cell>
        </row>
        <row r="18077">
          <cell r="K18077" t="str">
            <v>231012</v>
          </cell>
          <cell r="M18077">
            <v>1</v>
          </cell>
          <cell r="R18077">
            <v>46041</v>
          </cell>
          <cell r="S18077">
            <v>231012</v>
          </cell>
        </row>
        <row r="18078">
          <cell r="K18078" t="str">
            <v>223001</v>
          </cell>
          <cell r="M18078">
            <v>3</v>
          </cell>
          <cell r="R18078">
            <v>46041</v>
          </cell>
          <cell r="S18078">
            <v>223001</v>
          </cell>
        </row>
        <row r="18079">
          <cell r="K18079" t="str">
            <v>201022</v>
          </cell>
          <cell r="M18079">
            <v>1</v>
          </cell>
          <cell r="R18079">
            <v>46041</v>
          </cell>
          <cell r="S18079">
            <v>201022</v>
          </cell>
        </row>
        <row r="18080">
          <cell r="K18080" t="str">
            <v>201001</v>
          </cell>
          <cell r="M18080">
            <v>1</v>
          </cell>
          <cell r="R18080">
            <v>46041</v>
          </cell>
          <cell r="S18080">
            <v>201001</v>
          </cell>
        </row>
        <row r="18081">
          <cell r="K18081" t="str">
            <v>208001</v>
          </cell>
          <cell r="M18081">
            <v>1</v>
          </cell>
          <cell r="R18081">
            <v>46041</v>
          </cell>
          <cell r="S18081">
            <v>208001</v>
          </cell>
        </row>
        <row r="18082">
          <cell r="K18082" t="str">
            <v>218001</v>
          </cell>
          <cell r="M18082">
            <v>1</v>
          </cell>
          <cell r="R18082">
            <v>46041</v>
          </cell>
          <cell r="S18082">
            <v>218001</v>
          </cell>
        </row>
        <row r="18083">
          <cell r="K18083" t="str">
            <v>210004</v>
          </cell>
          <cell r="M18083">
            <v>1</v>
          </cell>
          <cell r="R18083">
            <v>46041</v>
          </cell>
          <cell r="S18083">
            <v>210004</v>
          </cell>
        </row>
        <row r="18084">
          <cell r="K18084" t="str">
            <v>208001</v>
          </cell>
          <cell r="M18084">
            <v>1</v>
          </cell>
          <cell r="R18084">
            <v>46041</v>
          </cell>
          <cell r="S18084">
            <v>208001</v>
          </cell>
        </row>
        <row r="18085">
          <cell r="K18085" t="str">
            <v>217022</v>
          </cell>
          <cell r="M18085">
            <v>1</v>
          </cell>
          <cell r="R18085">
            <v>46041</v>
          </cell>
          <cell r="S18085">
            <v>217022</v>
          </cell>
        </row>
        <row r="18086">
          <cell r="K18086" t="str">
            <v>227001</v>
          </cell>
          <cell r="M18086">
            <v>1</v>
          </cell>
          <cell r="R18086">
            <v>46042</v>
          </cell>
          <cell r="S18086">
            <v>227001</v>
          </cell>
        </row>
        <row r="18087">
          <cell r="K18087" t="str">
            <v>213022</v>
          </cell>
          <cell r="M18087">
            <v>10</v>
          </cell>
          <cell r="R18087">
            <v>46041</v>
          </cell>
          <cell r="S18087">
            <v>213022</v>
          </cell>
        </row>
        <row r="18088">
          <cell r="K18088" t="str">
            <v>231012</v>
          </cell>
          <cell r="M18088">
            <v>1</v>
          </cell>
          <cell r="R18088">
            <v>46041</v>
          </cell>
          <cell r="S18088">
            <v>231012</v>
          </cell>
        </row>
        <row r="18089">
          <cell r="K18089" t="str">
            <v>227002</v>
          </cell>
          <cell r="M18089">
            <v>1</v>
          </cell>
          <cell r="R18089">
            <v>46042</v>
          </cell>
          <cell r="S18089">
            <v>227002</v>
          </cell>
        </row>
        <row r="18090">
          <cell r="K18090" t="str">
            <v>223001</v>
          </cell>
          <cell r="M18090">
            <v>2</v>
          </cell>
          <cell r="R18090">
            <v>46042</v>
          </cell>
          <cell r="S18090">
            <v>223001</v>
          </cell>
        </row>
        <row r="18091">
          <cell r="K18091" t="str">
            <v>223002</v>
          </cell>
          <cell r="M18091">
            <v>1</v>
          </cell>
          <cell r="R18091">
            <v>46042</v>
          </cell>
          <cell r="S18091">
            <v>223002</v>
          </cell>
        </row>
        <row r="18092">
          <cell r="K18092" t="str">
            <v>227014</v>
          </cell>
          <cell r="M18092">
            <v>4</v>
          </cell>
          <cell r="R18092">
            <v>46042</v>
          </cell>
          <cell r="S18092">
            <v>227014</v>
          </cell>
        </row>
        <row r="18093">
          <cell r="K18093" t="str">
            <v>220002</v>
          </cell>
          <cell r="M18093">
            <v>4</v>
          </cell>
          <cell r="R18093">
            <v>46042</v>
          </cell>
          <cell r="S18093">
            <v>220002</v>
          </cell>
        </row>
        <row r="18094">
          <cell r="K18094" t="str">
            <v>209004</v>
          </cell>
          <cell r="M18094">
            <v>1</v>
          </cell>
          <cell r="R18094">
            <v>46042</v>
          </cell>
          <cell r="S18094">
            <v>209004</v>
          </cell>
        </row>
        <row r="18095">
          <cell r="K18095" t="str">
            <v>231012</v>
          </cell>
          <cell r="M18095">
            <v>2</v>
          </cell>
          <cell r="R18095">
            <v>46042</v>
          </cell>
          <cell r="S18095">
            <v>231012</v>
          </cell>
        </row>
        <row r="18096">
          <cell r="K18096" t="str">
            <v>220002</v>
          </cell>
          <cell r="M18096">
            <v>2</v>
          </cell>
          <cell r="R18096">
            <v>46042</v>
          </cell>
          <cell r="S18096">
            <v>220002</v>
          </cell>
        </row>
        <row r="18097">
          <cell r="K18097" t="str">
            <v>228001</v>
          </cell>
          <cell r="M18097">
            <v>4</v>
          </cell>
          <cell r="R18097">
            <v>46042</v>
          </cell>
          <cell r="S18097">
            <v>228001</v>
          </cell>
        </row>
        <row r="18098">
          <cell r="K18098" t="str">
            <v>207017</v>
          </cell>
          <cell r="M18098">
            <v>1</v>
          </cell>
          <cell r="R18098">
            <v>46042</v>
          </cell>
          <cell r="S18098">
            <v>207017</v>
          </cell>
        </row>
        <row r="18099">
          <cell r="K18099" t="str">
            <v>203003</v>
          </cell>
          <cell r="M18099">
            <v>1</v>
          </cell>
          <cell r="R18099">
            <v>46042</v>
          </cell>
          <cell r="S18099">
            <v>203003</v>
          </cell>
        </row>
        <row r="18100">
          <cell r="K18100" t="str">
            <v>203003</v>
          </cell>
          <cell r="M18100">
            <v>1</v>
          </cell>
          <cell r="R18100">
            <v>46042</v>
          </cell>
          <cell r="S18100">
            <v>203003</v>
          </cell>
        </row>
        <row r="18101">
          <cell r="K18101" t="str">
            <v>226001</v>
          </cell>
          <cell r="M18101">
            <v>2</v>
          </cell>
          <cell r="R18101">
            <v>46042</v>
          </cell>
          <cell r="S18101">
            <v>226001</v>
          </cell>
        </row>
        <row r="18102">
          <cell r="K18102" t="str">
            <v>217011</v>
          </cell>
          <cell r="M18102">
            <v>2</v>
          </cell>
          <cell r="R18102">
            <v>46042</v>
          </cell>
          <cell r="S18102">
            <v>217011</v>
          </cell>
        </row>
        <row r="18103">
          <cell r="K18103" t="str">
            <v>234011</v>
          </cell>
          <cell r="M18103">
            <v>1</v>
          </cell>
          <cell r="R18103">
            <v>46042</v>
          </cell>
          <cell r="S18103">
            <v>234011</v>
          </cell>
        </row>
        <row r="18104">
          <cell r="K18104" t="str">
            <v>203003</v>
          </cell>
          <cell r="M18104">
            <v>1</v>
          </cell>
          <cell r="R18104">
            <v>46042</v>
          </cell>
          <cell r="S18104">
            <v>203003</v>
          </cell>
        </row>
        <row r="18105">
          <cell r="K18105" t="str">
            <v>231012</v>
          </cell>
          <cell r="M18105">
            <v>2</v>
          </cell>
          <cell r="R18105">
            <v>46042</v>
          </cell>
          <cell r="S18105">
            <v>231012</v>
          </cell>
        </row>
        <row r="18106">
          <cell r="K18106" t="str">
            <v>212035</v>
          </cell>
          <cell r="M18106">
            <v>4</v>
          </cell>
          <cell r="R18106">
            <v>46042</v>
          </cell>
          <cell r="S18106">
            <v>212035</v>
          </cell>
        </row>
        <row r="18107">
          <cell r="K18107" t="str">
            <v>228001</v>
          </cell>
          <cell r="M18107">
            <v>1</v>
          </cell>
          <cell r="R18107">
            <v>46042</v>
          </cell>
          <cell r="S18107">
            <v>228001</v>
          </cell>
        </row>
        <row r="18108">
          <cell r="K18108" t="str">
            <v>223001</v>
          </cell>
          <cell r="M18108">
            <v>2</v>
          </cell>
          <cell r="R18108">
            <v>46042</v>
          </cell>
          <cell r="S18108">
            <v>223001</v>
          </cell>
        </row>
        <row r="18109">
          <cell r="K18109" t="str">
            <v>223004</v>
          </cell>
          <cell r="M18109">
            <v>2</v>
          </cell>
          <cell r="R18109">
            <v>46042</v>
          </cell>
          <cell r="S18109">
            <v>223004</v>
          </cell>
        </row>
        <row r="18110">
          <cell r="K18110" t="str">
            <v>223003</v>
          </cell>
          <cell r="M18110">
            <v>2</v>
          </cell>
          <cell r="R18110">
            <v>46042</v>
          </cell>
          <cell r="S18110">
            <v>223003</v>
          </cell>
        </row>
        <row r="18111">
          <cell r="K18111" t="str">
            <v>206005</v>
          </cell>
          <cell r="M18111">
            <v>1</v>
          </cell>
          <cell r="R18111">
            <v>46042</v>
          </cell>
          <cell r="S18111">
            <v>206005</v>
          </cell>
        </row>
        <row r="18112">
          <cell r="K18112" t="str">
            <v>226001</v>
          </cell>
          <cell r="M18112">
            <v>1</v>
          </cell>
          <cell r="R18112">
            <v>46042</v>
          </cell>
          <cell r="S18112">
            <v>226001</v>
          </cell>
        </row>
        <row r="18113">
          <cell r="K18113" t="str">
            <v>228001</v>
          </cell>
          <cell r="M18113">
            <v>1</v>
          </cell>
          <cell r="R18113">
            <v>46042</v>
          </cell>
          <cell r="S18113">
            <v>228001</v>
          </cell>
        </row>
        <row r="18114">
          <cell r="K18114" t="str">
            <v>213002</v>
          </cell>
          <cell r="M18114">
            <v>2</v>
          </cell>
          <cell r="R18114">
            <v>46042</v>
          </cell>
          <cell r="S18114">
            <v>213002</v>
          </cell>
        </row>
        <row r="18115">
          <cell r="K18115" t="str">
            <v>228001</v>
          </cell>
          <cell r="M18115">
            <v>7</v>
          </cell>
          <cell r="R18115">
            <v>46042</v>
          </cell>
          <cell r="S18115">
            <v>228001</v>
          </cell>
        </row>
        <row r="18116">
          <cell r="K18116" t="str">
            <v>210015</v>
          </cell>
          <cell r="M18116">
            <v>3</v>
          </cell>
          <cell r="R18116">
            <v>46042</v>
          </cell>
          <cell r="S18116">
            <v>210015</v>
          </cell>
        </row>
        <row r="18117">
          <cell r="K18117" t="str">
            <v>231012</v>
          </cell>
          <cell r="M18117">
            <v>1</v>
          </cell>
          <cell r="R18117">
            <v>46042</v>
          </cell>
          <cell r="S18117">
            <v>231012</v>
          </cell>
        </row>
        <row r="18118">
          <cell r="K18118" t="str">
            <v>228001</v>
          </cell>
          <cell r="M18118">
            <v>5</v>
          </cell>
          <cell r="R18118">
            <v>46042</v>
          </cell>
          <cell r="S18118">
            <v>228001</v>
          </cell>
        </row>
        <row r="18119">
          <cell r="K18119" t="str">
            <v>212002</v>
          </cell>
          <cell r="M18119">
            <v>2</v>
          </cell>
          <cell r="R18119">
            <v>46042</v>
          </cell>
          <cell r="S18119">
            <v>212002</v>
          </cell>
        </row>
        <row r="18120">
          <cell r="K18120" t="str">
            <v>234001</v>
          </cell>
          <cell r="M18120">
            <v>2</v>
          </cell>
          <cell r="R18120">
            <v>46042</v>
          </cell>
          <cell r="S18120">
            <v>234001</v>
          </cell>
        </row>
        <row r="18121">
          <cell r="K18121" t="str">
            <v>228001</v>
          </cell>
          <cell r="M18121">
            <v>5</v>
          </cell>
          <cell r="R18121">
            <v>46042</v>
          </cell>
          <cell r="S18121">
            <v>228001</v>
          </cell>
        </row>
        <row r="18122">
          <cell r="K18122" t="str">
            <v>212002</v>
          </cell>
          <cell r="M18122">
            <v>1</v>
          </cell>
          <cell r="R18122">
            <v>46042</v>
          </cell>
          <cell r="S18122">
            <v>212002</v>
          </cell>
        </row>
        <row r="18123">
          <cell r="K18123" t="str">
            <v>234001</v>
          </cell>
          <cell r="M18123">
            <v>1</v>
          </cell>
          <cell r="R18123">
            <v>46042</v>
          </cell>
          <cell r="S18123">
            <v>234001</v>
          </cell>
        </row>
        <row r="18124">
          <cell r="K18124" t="str">
            <v>228001</v>
          </cell>
          <cell r="M18124">
            <v>5</v>
          </cell>
          <cell r="R18124">
            <v>46042</v>
          </cell>
          <cell r="S18124">
            <v>228001</v>
          </cell>
        </row>
        <row r="18125">
          <cell r="K18125" t="str">
            <v>212002</v>
          </cell>
          <cell r="M18125">
            <v>3</v>
          </cell>
          <cell r="R18125">
            <v>46042</v>
          </cell>
          <cell r="S18125">
            <v>212002</v>
          </cell>
        </row>
        <row r="18126">
          <cell r="K18126" t="str">
            <v>234001</v>
          </cell>
          <cell r="M18126">
            <v>3</v>
          </cell>
          <cell r="R18126">
            <v>46042</v>
          </cell>
          <cell r="S18126">
            <v>234001</v>
          </cell>
        </row>
        <row r="18127">
          <cell r="K18127" t="str">
            <v>228001</v>
          </cell>
          <cell r="M18127">
            <v>1</v>
          </cell>
          <cell r="R18127">
            <v>46042</v>
          </cell>
          <cell r="S18127">
            <v>228001</v>
          </cell>
        </row>
        <row r="18128">
          <cell r="K18128" t="str">
            <v>212035</v>
          </cell>
          <cell r="M18128">
            <v>2</v>
          </cell>
          <cell r="R18128">
            <v>46042</v>
          </cell>
          <cell r="S18128">
            <v>212035</v>
          </cell>
        </row>
        <row r="18129">
          <cell r="K18129" t="str">
            <v>220002</v>
          </cell>
          <cell r="M18129">
            <v>1</v>
          </cell>
          <cell r="R18129">
            <v>46042</v>
          </cell>
          <cell r="S18129">
            <v>220002</v>
          </cell>
        </row>
        <row r="18130">
          <cell r="K18130" t="str">
            <v>210014</v>
          </cell>
          <cell r="M18130">
            <v>1</v>
          </cell>
          <cell r="R18130">
            <v>46042</v>
          </cell>
          <cell r="S18130">
            <v>210014</v>
          </cell>
        </row>
        <row r="18131">
          <cell r="K18131" t="str">
            <v>220002</v>
          </cell>
          <cell r="M18131">
            <v>1</v>
          </cell>
          <cell r="R18131">
            <v>46042</v>
          </cell>
          <cell r="S18131">
            <v>220002</v>
          </cell>
        </row>
        <row r="18132">
          <cell r="K18132" t="str">
            <v>218003</v>
          </cell>
          <cell r="M18132">
            <v>1</v>
          </cell>
          <cell r="R18132">
            <v>46042</v>
          </cell>
          <cell r="S18132">
            <v>218003</v>
          </cell>
        </row>
        <row r="18133">
          <cell r="K18133" t="str">
            <v>206002</v>
          </cell>
          <cell r="M18133">
            <v>1</v>
          </cell>
          <cell r="R18133">
            <v>46042</v>
          </cell>
          <cell r="S18133">
            <v>206002</v>
          </cell>
        </row>
        <row r="18134">
          <cell r="K18134" t="str">
            <v>228001</v>
          </cell>
          <cell r="M18134">
            <v>1</v>
          </cell>
          <cell r="R18134">
            <v>46042</v>
          </cell>
          <cell r="S18134">
            <v>228001</v>
          </cell>
        </row>
        <row r="18135">
          <cell r="K18135" t="str">
            <v>213022</v>
          </cell>
          <cell r="M18135">
            <v>2</v>
          </cell>
          <cell r="R18135">
            <v>46042</v>
          </cell>
          <cell r="S18135">
            <v>213022</v>
          </cell>
        </row>
        <row r="18136">
          <cell r="K18136" t="str">
            <v>241001</v>
          </cell>
          <cell r="M18136">
            <v>10</v>
          </cell>
          <cell r="R18136">
            <v>46042</v>
          </cell>
          <cell r="S18136">
            <v>241001</v>
          </cell>
        </row>
        <row r="18137">
          <cell r="K18137" t="str">
            <v>213002</v>
          </cell>
          <cell r="M18137">
            <v>3</v>
          </cell>
          <cell r="R18137">
            <v>46042</v>
          </cell>
          <cell r="S18137">
            <v>213002</v>
          </cell>
        </row>
        <row r="18138">
          <cell r="K18138" t="str">
            <v>227012</v>
          </cell>
          <cell r="M18138">
            <v>1</v>
          </cell>
          <cell r="R18138">
            <v>46042</v>
          </cell>
          <cell r="S18138">
            <v>227012</v>
          </cell>
        </row>
        <row r="18139">
          <cell r="K18139" t="str">
            <v>227012</v>
          </cell>
          <cell r="M18139">
            <v>2</v>
          </cell>
          <cell r="R18139">
            <v>46042</v>
          </cell>
          <cell r="S18139">
            <v>227012</v>
          </cell>
        </row>
        <row r="18140">
          <cell r="K18140" t="str">
            <v>201024</v>
          </cell>
          <cell r="M18140">
            <v>1</v>
          </cell>
          <cell r="R18140">
            <v>46042</v>
          </cell>
          <cell r="S18140">
            <v>201024</v>
          </cell>
        </row>
        <row r="18141">
          <cell r="K18141" t="str">
            <v>229001</v>
          </cell>
          <cell r="M18141">
            <v>10</v>
          </cell>
          <cell r="R18141">
            <v>46042</v>
          </cell>
          <cell r="S18141">
            <v>229001</v>
          </cell>
        </row>
        <row r="18142">
          <cell r="K18142" t="str">
            <v>228001</v>
          </cell>
          <cell r="M18142">
            <v>1</v>
          </cell>
          <cell r="R18142">
            <v>46042</v>
          </cell>
          <cell r="S18142">
            <v>228001</v>
          </cell>
        </row>
        <row r="18143">
          <cell r="K18143" t="str">
            <v>203003</v>
          </cell>
          <cell r="M18143">
            <v>1</v>
          </cell>
          <cell r="R18143">
            <v>46042</v>
          </cell>
          <cell r="S18143">
            <v>203003</v>
          </cell>
        </row>
        <row r="18144">
          <cell r="K18144" t="str">
            <v>213002</v>
          </cell>
          <cell r="M18144">
            <v>4</v>
          </cell>
          <cell r="R18144">
            <v>46042</v>
          </cell>
          <cell r="S18144">
            <v>213002</v>
          </cell>
        </row>
        <row r="18145">
          <cell r="K18145" t="str">
            <v>261004</v>
          </cell>
          <cell r="M18145">
            <v>3</v>
          </cell>
          <cell r="R18145">
            <v>46042</v>
          </cell>
          <cell r="S18145">
            <v>261004</v>
          </cell>
        </row>
        <row r="18146">
          <cell r="K18146" t="str">
            <v>212010</v>
          </cell>
          <cell r="M18146">
            <v>32</v>
          </cell>
          <cell r="R18146">
            <v>46042</v>
          </cell>
          <cell r="S18146">
            <v>212010</v>
          </cell>
        </row>
        <row r="18147">
          <cell r="K18147" t="str">
            <v>228001</v>
          </cell>
          <cell r="M18147">
            <v>3</v>
          </cell>
          <cell r="R18147">
            <v>46042</v>
          </cell>
          <cell r="S18147">
            <v>228001</v>
          </cell>
        </row>
        <row r="18148">
          <cell r="K18148" t="str">
            <v>261004</v>
          </cell>
          <cell r="M18148">
            <v>13</v>
          </cell>
          <cell r="R18148">
            <v>46042</v>
          </cell>
          <cell r="S18148">
            <v>261004</v>
          </cell>
        </row>
        <row r="18149">
          <cell r="K18149" t="str">
            <v>203001</v>
          </cell>
          <cell r="M18149">
            <v>1</v>
          </cell>
          <cell r="R18149">
            <v>46042</v>
          </cell>
          <cell r="S18149">
            <v>203001</v>
          </cell>
        </row>
        <row r="18150">
          <cell r="K18150" t="str">
            <v>209006</v>
          </cell>
          <cell r="M18150">
            <v>1</v>
          </cell>
          <cell r="R18150">
            <v>46042</v>
          </cell>
          <cell r="S18150">
            <v>209006</v>
          </cell>
        </row>
        <row r="18151">
          <cell r="K18151" t="str">
            <v>212035</v>
          </cell>
          <cell r="M18151">
            <v>1</v>
          </cell>
          <cell r="R18151">
            <v>46042</v>
          </cell>
          <cell r="S18151">
            <v>212035</v>
          </cell>
        </row>
        <row r="18152">
          <cell r="K18152" t="str">
            <v>231004</v>
          </cell>
          <cell r="M18152">
            <v>1</v>
          </cell>
          <cell r="R18152">
            <v>46042</v>
          </cell>
          <cell r="S18152">
            <v>231004</v>
          </cell>
        </row>
        <row r="18153">
          <cell r="K18153" t="str">
            <v>203003</v>
          </cell>
          <cell r="M18153">
            <v>1</v>
          </cell>
          <cell r="R18153">
            <v>46042</v>
          </cell>
          <cell r="S18153">
            <v>203003</v>
          </cell>
        </row>
        <row r="18154">
          <cell r="K18154" t="str">
            <v>217023</v>
          </cell>
          <cell r="M18154">
            <v>1</v>
          </cell>
          <cell r="R18154">
            <v>46042</v>
          </cell>
          <cell r="S18154">
            <v>217023</v>
          </cell>
        </row>
        <row r="18155">
          <cell r="K18155" t="str">
            <v>209001</v>
          </cell>
          <cell r="M18155">
            <v>1</v>
          </cell>
          <cell r="R18155">
            <v>46042</v>
          </cell>
          <cell r="S18155">
            <v>209001</v>
          </cell>
        </row>
        <row r="18156">
          <cell r="K18156" t="str">
            <v>210015</v>
          </cell>
          <cell r="M18156">
            <v>1</v>
          </cell>
          <cell r="R18156">
            <v>46042</v>
          </cell>
          <cell r="S18156">
            <v>210015</v>
          </cell>
        </row>
        <row r="18157">
          <cell r="K18157" t="str">
            <v>217011</v>
          </cell>
          <cell r="M18157">
            <v>2</v>
          </cell>
          <cell r="R18157">
            <v>46042</v>
          </cell>
          <cell r="S18157">
            <v>217011</v>
          </cell>
        </row>
        <row r="18158">
          <cell r="K18158" t="str">
            <v>231012</v>
          </cell>
          <cell r="M18158">
            <v>3</v>
          </cell>
          <cell r="R18158">
            <v>46042</v>
          </cell>
          <cell r="S18158">
            <v>231012</v>
          </cell>
        </row>
        <row r="18159">
          <cell r="K18159" t="str">
            <v>226025</v>
          </cell>
          <cell r="M18159">
            <v>3</v>
          </cell>
          <cell r="R18159">
            <v>46042</v>
          </cell>
          <cell r="S18159">
            <v>226025</v>
          </cell>
        </row>
        <row r="18160">
          <cell r="K18160" t="str">
            <v>220002</v>
          </cell>
          <cell r="M18160">
            <v>3</v>
          </cell>
          <cell r="R18160">
            <v>46042</v>
          </cell>
          <cell r="S18160">
            <v>220002</v>
          </cell>
        </row>
        <row r="18161">
          <cell r="K18161" t="str">
            <v>229001</v>
          </cell>
          <cell r="M18161">
            <v>3</v>
          </cell>
          <cell r="R18161">
            <v>46042</v>
          </cell>
          <cell r="S18161">
            <v>229001</v>
          </cell>
        </row>
        <row r="18162">
          <cell r="K18162" t="str">
            <v>209012</v>
          </cell>
          <cell r="M18162">
            <v>1</v>
          </cell>
          <cell r="R18162">
            <v>46042</v>
          </cell>
          <cell r="S18162">
            <v>209012</v>
          </cell>
        </row>
        <row r="18163">
          <cell r="K18163" t="str">
            <v>212035</v>
          </cell>
          <cell r="M18163">
            <v>1</v>
          </cell>
          <cell r="R18163">
            <v>46042</v>
          </cell>
          <cell r="S18163">
            <v>212035</v>
          </cell>
        </row>
        <row r="18164">
          <cell r="K18164" t="str">
            <v>213002</v>
          </cell>
          <cell r="M18164">
            <v>1</v>
          </cell>
          <cell r="R18164">
            <v>46042</v>
          </cell>
          <cell r="S18164">
            <v>213002</v>
          </cell>
        </row>
        <row r="18165">
          <cell r="K18165" t="str">
            <v>207017</v>
          </cell>
          <cell r="M18165">
            <v>1</v>
          </cell>
          <cell r="R18165">
            <v>46042</v>
          </cell>
          <cell r="S18165">
            <v>207017</v>
          </cell>
        </row>
        <row r="18166">
          <cell r="K18166" t="str">
            <v>223003</v>
          </cell>
          <cell r="M18166">
            <v>2</v>
          </cell>
          <cell r="R18166">
            <v>46042</v>
          </cell>
          <cell r="S18166">
            <v>223003</v>
          </cell>
        </row>
        <row r="18167">
          <cell r="K18167" t="str">
            <v>231010</v>
          </cell>
          <cell r="M18167">
            <v>1</v>
          </cell>
          <cell r="R18167">
            <v>46042</v>
          </cell>
          <cell r="S18167">
            <v>231010</v>
          </cell>
        </row>
        <row r="18168">
          <cell r="K18168" t="str">
            <v>201024</v>
          </cell>
          <cell r="M18168">
            <v>4</v>
          </cell>
          <cell r="R18168">
            <v>46043</v>
          </cell>
          <cell r="S18168">
            <v>201024</v>
          </cell>
        </row>
        <row r="18169">
          <cell r="K18169" t="str">
            <v>223004</v>
          </cell>
          <cell r="M18169">
            <v>12</v>
          </cell>
          <cell r="R18169">
            <v>46042</v>
          </cell>
          <cell r="S18169">
            <v>223004</v>
          </cell>
        </row>
        <row r="18170">
          <cell r="K18170" t="str">
            <v>228001</v>
          </cell>
          <cell r="M18170">
            <v>30</v>
          </cell>
          <cell r="R18170">
            <v>46042</v>
          </cell>
          <cell r="S18170">
            <v>228001</v>
          </cell>
        </row>
        <row r="18171">
          <cell r="K18171" t="str">
            <v>223001</v>
          </cell>
          <cell r="M18171">
            <v>6</v>
          </cell>
          <cell r="R18171">
            <v>46042</v>
          </cell>
          <cell r="S18171">
            <v>223001</v>
          </cell>
        </row>
        <row r="18172">
          <cell r="K18172" t="str">
            <v>223003</v>
          </cell>
          <cell r="M18172">
            <v>12</v>
          </cell>
          <cell r="R18172">
            <v>46042</v>
          </cell>
          <cell r="S18172">
            <v>223003</v>
          </cell>
        </row>
        <row r="18173">
          <cell r="K18173" t="str">
            <v>223006</v>
          </cell>
          <cell r="M18173">
            <v>6</v>
          </cell>
          <cell r="R18173">
            <v>46042</v>
          </cell>
          <cell r="S18173">
            <v>223006</v>
          </cell>
        </row>
        <row r="18174">
          <cell r="K18174" t="str">
            <v>213022</v>
          </cell>
          <cell r="M18174">
            <v>2</v>
          </cell>
          <cell r="R18174">
            <v>46042</v>
          </cell>
          <cell r="S18174">
            <v>213022</v>
          </cell>
        </row>
        <row r="18175">
          <cell r="K18175" t="str">
            <v>227012</v>
          </cell>
          <cell r="M18175">
            <v>1</v>
          </cell>
          <cell r="R18175">
            <v>46042</v>
          </cell>
          <cell r="S18175">
            <v>227012</v>
          </cell>
        </row>
        <row r="18176">
          <cell r="K18176" t="str">
            <v>222007</v>
          </cell>
          <cell r="M18176">
            <v>1</v>
          </cell>
          <cell r="R18176">
            <v>46042</v>
          </cell>
          <cell r="S18176">
            <v>222007</v>
          </cell>
        </row>
        <row r="18177">
          <cell r="K18177" t="str">
            <v>217018</v>
          </cell>
          <cell r="M18177">
            <v>3</v>
          </cell>
          <cell r="R18177">
            <v>46042</v>
          </cell>
          <cell r="S18177">
            <v>217018</v>
          </cell>
        </row>
        <row r="18178">
          <cell r="K18178" t="str">
            <v>226030</v>
          </cell>
          <cell r="M18178">
            <v>1</v>
          </cell>
          <cell r="R18178">
            <v>46042</v>
          </cell>
          <cell r="S18178">
            <v>226030</v>
          </cell>
        </row>
        <row r="18179">
          <cell r="K18179" t="str">
            <v>217022</v>
          </cell>
          <cell r="M18179">
            <v>8</v>
          </cell>
          <cell r="R18179">
            <v>46042</v>
          </cell>
          <cell r="S18179">
            <v>217022</v>
          </cell>
        </row>
        <row r="18180">
          <cell r="K18180" t="str">
            <v>223001</v>
          </cell>
          <cell r="M18180">
            <v>6</v>
          </cell>
          <cell r="R18180">
            <v>46042</v>
          </cell>
          <cell r="S18180">
            <v>223001</v>
          </cell>
        </row>
        <row r="18181">
          <cell r="K18181" t="str">
            <v>223002</v>
          </cell>
          <cell r="M18181">
            <v>6</v>
          </cell>
          <cell r="R18181">
            <v>46042</v>
          </cell>
          <cell r="S18181">
            <v>223002</v>
          </cell>
        </row>
        <row r="18182">
          <cell r="K18182" t="str">
            <v>217018</v>
          </cell>
          <cell r="M18182">
            <v>2</v>
          </cell>
          <cell r="R18182">
            <v>46042</v>
          </cell>
          <cell r="S18182">
            <v>217018</v>
          </cell>
        </row>
        <row r="18183">
          <cell r="K18183" t="str">
            <v>213002</v>
          </cell>
          <cell r="M18183">
            <v>1</v>
          </cell>
          <cell r="R18183">
            <v>46042</v>
          </cell>
          <cell r="S18183">
            <v>213002</v>
          </cell>
        </row>
        <row r="18184">
          <cell r="K18184" t="str">
            <v>222001</v>
          </cell>
          <cell r="M18184">
            <v>2</v>
          </cell>
          <cell r="R18184">
            <v>46042</v>
          </cell>
          <cell r="S18184">
            <v>222001</v>
          </cell>
        </row>
        <row r="18185">
          <cell r="K18185" t="str">
            <v>226024</v>
          </cell>
          <cell r="M18185">
            <v>2</v>
          </cell>
          <cell r="R18185">
            <v>46042</v>
          </cell>
          <cell r="S18185">
            <v>226024</v>
          </cell>
        </row>
        <row r="18186">
          <cell r="K18186" t="str">
            <v>210002</v>
          </cell>
          <cell r="M18186">
            <v>1</v>
          </cell>
          <cell r="R18186">
            <v>46042</v>
          </cell>
          <cell r="S18186">
            <v>210002</v>
          </cell>
        </row>
        <row r="18187">
          <cell r="K18187" t="str">
            <v>222001</v>
          </cell>
          <cell r="M18187">
            <v>1</v>
          </cell>
          <cell r="R18187">
            <v>46042</v>
          </cell>
          <cell r="S18187">
            <v>222001</v>
          </cell>
        </row>
        <row r="18188">
          <cell r="K18188" t="str">
            <v>228001</v>
          </cell>
          <cell r="M18188">
            <v>10</v>
          </cell>
          <cell r="R18188">
            <v>46042</v>
          </cell>
          <cell r="S18188">
            <v>228001</v>
          </cell>
        </row>
        <row r="18189">
          <cell r="K18189" t="str">
            <v>229003</v>
          </cell>
          <cell r="M18189">
            <v>1</v>
          </cell>
          <cell r="R18189">
            <v>46042</v>
          </cell>
          <cell r="S18189">
            <v>229003</v>
          </cell>
        </row>
        <row r="18190">
          <cell r="K18190" t="str">
            <v>226022</v>
          </cell>
          <cell r="M18190">
            <v>1</v>
          </cell>
          <cell r="R18190">
            <v>46042</v>
          </cell>
          <cell r="S18190">
            <v>226022</v>
          </cell>
        </row>
        <row r="18191">
          <cell r="K18191" t="str">
            <v>212035</v>
          </cell>
          <cell r="M18191">
            <v>2</v>
          </cell>
          <cell r="R18191">
            <v>46042</v>
          </cell>
          <cell r="S18191">
            <v>212035</v>
          </cell>
        </row>
        <row r="18192">
          <cell r="K18192" t="str">
            <v>210015</v>
          </cell>
          <cell r="M18192">
            <v>1</v>
          </cell>
          <cell r="R18192">
            <v>46043</v>
          </cell>
          <cell r="S18192">
            <v>210015</v>
          </cell>
        </row>
        <row r="18193">
          <cell r="K18193" t="str">
            <v>205004</v>
          </cell>
          <cell r="M18193">
            <v>1</v>
          </cell>
          <cell r="R18193">
            <v>46043</v>
          </cell>
          <cell r="S18193">
            <v>205004</v>
          </cell>
        </row>
        <row r="18194">
          <cell r="K18194" t="str">
            <v>234001</v>
          </cell>
          <cell r="M18194">
            <v>1</v>
          </cell>
          <cell r="R18194">
            <v>46043</v>
          </cell>
          <cell r="S18194">
            <v>234001</v>
          </cell>
        </row>
        <row r="18195">
          <cell r="K18195" t="str">
            <v>231012</v>
          </cell>
          <cell r="M18195">
            <v>6</v>
          </cell>
          <cell r="R18195">
            <v>46043</v>
          </cell>
          <cell r="S18195">
            <v>231012</v>
          </cell>
        </row>
        <row r="18196">
          <cell r="K18196" t="str">
            <v>223001</v>
          </cell>
          <cell r="M18196">
            <v>3</v>
          </cell>
          <cell r="R18196">
            <v>46043</v>
          </cell>
          <cell r="S18196">
            <v>223001</v>
          </cell>
        </row>
        <row r="18197">
          <cell r="K18197" t="str">
            <v>218003</v>
          </cell>
          <cell r="M18197">
            <v>1</v>
          </cell>
          <cell r="R18197">
            <v>46043</v>
          </cell>
          <cell r="S18197">
            <v>218003</v>
          </cell>
        </row>
        <row r="18198">
          <cell r="K18198" t="str">
            <v>209004</v>
          </cell>
          <cell r="M18198">
            <v>2</v>
          </cell>
          <cell r="R18198">
            <v>46043</v>
          </cell>
          <cell r="S18198">
            <v>209004</v>
          </cell>
        </row>
        <row r="18199">
          <cell r="K18199" t="str">
            <v>228001</v>
          </cell>
          <cell r="M18199">
            <v>2</v>
          </cell>
          <cell r="R18199">
            <v>46043</v>
          </cell>
          <cell r="S18199">
            <v>228001</v>
          </cell>
        </row>
        <row r="18200">
          <cell r="K18200" t="str">
            <v>209004</v>
          </cell>
          <cell r="M18200">
            <v>1</v>
          </cell>
          <cell r="R18200">
            <v>46043</v>
          </cell>
          <cell r="S18200">
            <v>209004</v>
          </cell>
        </row>
        <row r="18201">
          <cell r="K18201" t="str">
            <v>203003</v>
          </cell>
          <cell r="M18201">
            <v>2</v>
          </cell>
          <cell r="R18201">
            <v>46043</v>
          </cell>
          <cell r="S18201">
            <v>203003</v>
          </cell>
        </row>
        <row r="18202">
          <cell r="K18202" t="str">
            <v>234001</v>
          </cell>
          <cell r="M18202">
            <v>1</v>
          </cell>
          <cell r="R18202">
            <v>46043</v>
          </cell>
          <cell r="S18202">
            <v>234001</v>
          </cell>
        </row>
        <row r="18203">
          <cell r="K18203" t="str">
            <v>212035</v>
          </cell>
          <cell r="M18203">
            <v>2</v>
          </cell>
          <cell r="R18203">
            <v>46043</v>
          </cell>
          <cell r="S18203">
            <v>212035</v>
          </cell>
        </row>
        <row r="18204">
          <cell r="K18204" t="str">
            <v>223001</v>
          </cell>
          <cell r="M18204">
            <v>2</v>
          </cell>
          <cell r="R18204">
            <v>46043</v>
          </cell>
          <cell r="S18204">
            <v>223001</v>
          </cell>
        </row>
        <row r="18205">
          <cell r="K18205" t="str">
            <v>223004</v>
          </cell>
          <cell r="M18205">
            <v>1</v>
          </cell>
          <cell r="R18205">
            <v>46043</v>
          </cell>
          <cell r="S18205">
            <v>223004</v>
          </cell>
        </row>
        <row r="18206">
          <cell r="K18206" t="str">
            <v>222001</v>
          </cell>
          <cell r="M18206">
            <v>1</v>
          </cell>
          <cell r="R18206">
            <v>46043</v>
          </cell>
          <cell r="S18206">
            <v>222001</v>
          </cell>
        </row>
        <row r="18207">
          <cell r="K18207" t="str">
            <v>226001</v>
          </cell>
          <cell r="M18207">
            <v>2</v>
          </cell>
          <cell r="R18207">
            <v>46043</v>
          </cell>
          <cell r="S18207">
            <v>226001</v>
          </cell>
        </row>
        <row r="18208">
          <cell r="K18208" t="str">
            <v>201022</v>
          </cell>
          <cell r="M18208">
            <v>1</v>
          </cell>
          <cell r="R18208">
            <v>46043</v>
          </cell>
          <cell r="S18208">
            <v>201022</v>
          </cell>
        </row>
        <row r="18209">
          <cell r="K18209" t="str">
            <v>213022</v>
          </cell>
          <cell r="M18209">
            <v>2</v>
          </cell>
          <cell r="R18209">
            <v>46043</v>
          </cell>
          <cell r="S18209">
            <v>213022</v>
          </cell>
        </row>
        <row r="18210">
          <cell r="K18210" t="str">
            <v>241001</v>
          </cell>
          <cell r="M18210">
            <v>1</v>
          </cell>
          <cell r="R18210">
            <v>46043</v>
          </cell>
          <cell r="S18210">
            <v>241001</v>
          </cell>
        </row>
        <row r="18211">
          <cell r="K18211" t="str">
            <v>213022</v>
          </cell>
          <cell r="M18211">
            <v>1</v>
          </cell>
          <cell r="R18211">
            <v>46043</v>
          </cell>
          <cell r="S18211">
            <v>213022</v>
          </cell>
        </row>
        <row r="18212">
          <cell r="K18212" t="str">
            <v>241001</v>
          </cell>
          <cell r="M18212">
            <v>2</v>
          </cell>
          <cell r="R18212">
            <v>46043</v>
          </cell>
          <cell r="S18212">
            <v>241001</v>
          </cell>
        </row>
        <row r="18213">
          <cell r="K18213" t="str">
            <v>241001</v>
          </cell>
          <cell r="M18213">
            <v>2</v>
          </cell>
          <cell r="R18213">
            <v>46043</v>
          </cell>
          <cell r="S18213">
            <v>241001</v>
          </cell>
        </row>
        <row r="18214">
          <cell r="K18214" t="str">
            <v>213002</v>
          </cell>
          <cell r="M18214">
            <v>5</v>
          </cell>
          <cell r="R18214">
            <v>46043</v>
          </cell>
          <cell r="S18214">
            <v>213002</v>
          </cell>
        </row>
        <row r="18215">
          <cell r="K18215" t="str">
            <v>223002</v>
          </cell>
          <cell r="M18215">
            <v>4</v>
          </cell>
          <cell r="R18215">
            <v>46043</v>
          </cell>
          <cell r="S18215">
            <v>223002</v>
          </cell>
        </row>
        <row r="18216">
          <cell r="K18216" t="str">
            <v>213022</v>
          </cell>
          <cell r="M18216">
            <v>2</v>
          </cell>
          <cell r="R18216">
            <v>46043</v>
          </cell>
          <cell r="S18216">
            <v>213022</v>
          </cell>
        </row>
        <row r="18217">
          <cell r="K18217" t="str">
            <v>226001</v>
          </cell>
          <cell r="M18217">
            <v>2</v>
          </cell>
          <cell r="R18217">
            <v>46043</v>
          </cell>
          <cell r="S18217">
            <v>226001</v>
          </cell>
        </row>
        <row r="18218">
          <cell r="K18218" t="str">
            <v>223001</v>
          </cell>
          <cell r="M18218">
            <v>3</v>
          </cell>
          <cell r="R18218">
            <v>46043</v>
          </cell>
          <cell r="S18218">
            <v>223001</v>
          </cell>
        </row>
        <row r="18219">
          <cell r="K18219" t="str">
            <v>223002</v>
          </cell>
          <cell r="M18219">
            <v>2</v>
          </cell>
          <cell r="R18219">
            <v>46043</v>
          </cell>
          <cell r="S18219">
            <v>223002</v>
          </cell>
        </row>
        <row r="18220">
          <cell r="K18220" t="str">
            <v>227012</v>
          </cell>
          <cell r="M18220">
            <v>1</v>
          </cell>
          <cell r="R18220">
            <v>46043</v>
          </cell>
          <cell r="S18220">
            <v>227012</v>
          </cell>
        </row>
        <row r="18221">
          <cell r="K18221" t="str">
            <v>223001</v>
          </cell>
          <cell r="M18221">
            <v>6</v>
          </cell>
          <cell r="R18221">
            <v>46043</v>
          </cell>
          <cell r="S18221">
            <v>223001</v>
          </cell>
        </row>
        <row r="18222">
          <cell r="K18222" t="str">
            <v>223002</v>
          </cell>
          <cell r="M18222">
            <v>3</v>
          </cell>
          <cell r="R18222">
            <v>46043</v>
          </cell>
          <cell r="S18222">
            <v>223002</v>
          </cell>
        </row>
        <row r="18223">
          <cell r="K18223" t="str">
            <v>222007</v>
          </cell>
          <cell r="M18223">
            <v>1</v>
          </cell>
          <cell r="R18223">
            <v>46043</v>
          </cell>
          <cell r="S18223">
            <v>222007</v>
          </cell>
        </row>
        <row r="18224">
          <cell r="K18224" t="str">
            <v>217018</v>
          </cell>
          <cell r="M18224">
            <v>3</v>
          </cell>
          <cell r="R18224">
            <v>46043</v>
          </cell>
          <cell r="S18224">
            <v>217018</v>
          </cell>
        </row>
        <row r="18225">
          <cell r="K18225" t="str">
            <v>210002</v>
          </cell>
          <cell r="M18225">
            <v>1</v>
          </cell>
          <cell r="R18225">
            <v>46043</v>
          </cell>
          <cell r="S18225">
            <v>210002</v>
          </cell>
        </row>
        <row r="18226">
          <cell r="K18226" t="str">
            <v>237001</v>
          </cell>
          <cell r="M18226">
            <v>1</v>
          </cell>
          <cell r="R18226">
            <v>46044</v>
          </cell>
          <cell r="S18226">
            <v>237001</v>
          </cell>
        </row>
        <row r="18227">
          <cell r="K18227" t="str">
            <v>228001</v>
          </cell>
          <cell r="M18227">
            <v>2</v>
          </cell>
          <cell r="R18227">
            <v>46044</v>
          </cell>
          <cell r="S18227">
            <v>228001</v>
          </cell>
        </row>
        <row r="18228">
          <cell r="K18228" t="str">
            <v>209004</v>
          </cell>
          <cell r="M18228">
            <v>1</v>
          </cell>
          <cell r="R18228">
            <v>46044</v>
          </cell>
          <cell r="S18228">
            <v>209004</v>
          </cell>
        </row>
        <row r="18229">
          <cell r="K18229" t="str">
            <v>228001</v>
          </cell>
          <cell r="M18229">
            <v>25</v>
          </cell>
          <cell r="R18229">
            <v>46045</v>
          </cell>
          <cell r="S18229">
            <v>228001</v>
          </cell>
        </row>
        <row r="18230">
          <cell r="K18230" t="str">
            <v>237001</v>
          </cell>
          <cell r="M18230">
            <v>2</v>
          </cell>
          <cell r="R18230">
            <v>46044</v>
          </cell>
          <cell r="S18230">
            <v>237001</v>
          </cell>
        </row>
        <row r="18231">
          <cell r="K18231" t="str">
            <v>228001</v>
          </cell>
          <cell r="M18231">
            <v>1</v>
          </cell>
          <cell r="R18231">
            <v>46043</v>
          </cell>
          <cell r="S18231">
            <v>228001</v>
          </cell>
        </row>
        <row r="18232">
          <cell r="K18232" t="str">
            <v>228001</v>
          </cell>
          <cell r="M18232">
            <v>7</v>
          </cell>
          <cell r="R18232">
            <v>46044</v>
          </cell>
          <cell r="S18232">
            <v>228001</v>
          </cell>
        </row>
        <row r="18233">
          <cell r="K18233" t="str">
            <v>228001</v>
          </cell>
          <cell r="M18233">
            <v>2</v>
          </cell>
          <cell r="R18233">
            <v>46043</v>
          </cell>
          <cell r="S18233">
            <v>228001</v>
          </cell>
        </row>
        <row r="18234">
          <cell r="K18234" t="str">
            <v>226026</v>
          </cell>
          <cell r="M18234">
            <v>10</v>
          </cell>
          <cell r="R18234">
            <v>46044</v>
          </cell>
          <cell r="S18234">
            <v>226026</v>
          </cell>
        </row>
        <row r="18235">
          <cell r="K18235" t="str">
            <v>226026</v>
          </cell>
          <cell r="M18235">
            <v>3</v>
          </cell>
          <cell r="R18235">
            <v>46044</v>
          </cell>
          <cell r="S18235">
            <v>226026</v>
          </cell>
        </row>
        <row r="18236">
          <cell r="K18236" t="str">
            <v>203001</v>
          </cell>
          <cell r="M18236">
            <v>12</v>
          </cell>
          <cell r="R18236">
            <v>46044</v>
          </cell>
          <cell r="S18236">
            <v>203001</v>
          </cell>
        </row>
        <row r="18237">
          <cell r="K18237" t="str">
            <v>231004</v>
          </cell>
          <cell r="M18237">
            <v>2</v>
          </cell>
          <cell r="R18237">
            <v>46044</v>
          </cell>
          <cell r="S18237">
            <v>231004</v>
          </cell>
        </row>
        <row r="18238">
          <cell r="K18238" t="str">
            <v>217011</v>
          </cell>
          <cell r="M18238">
            <v>1</v>
          </cell>
          <cell r="R18238">
            <v>46044</v>
          </cell>
          <cell r="S18238">
            <v>217011</v>
          </cell>
        </row>
        <row r="18239">
          <cell r="K18239" t="str">
            <v>223001</v>
          </cell>
          <cell r="M18239">
            <v>1</v>
          </cell>
          <cell r="R18239">
            <v>46044</v>
          </cell>
          <cell r="S18239">
            <v>223001</v>
          </cell>
        </row>
        <row r="18240">
          <cell r="K18240" t="str">
            <v>226026</v>
          </cell>
          <cell r="M18240">
            <v>10</v>
          </cell>
          <cell r="R18240">
            <v>46044</v>
          </cell>
          <cell r="S18240">
            <v>226026</v>
          </cell>
        </row>
        <row r="18241">
          <cell r="K18241" t="str">
            <v>226026</v>
          </cell>
          <cell r="M18241">
            <v>3</v>
          </cell>
          <cell r="R18241">
            <v>46044</v>
          </cell>
          <cell r="S18241">
            <v>226026</v>
          </cell>
        </row>
        <row r="18242">
          <cell r="K18242" t="str">
            <v>203001</v>
          </cell>
          <cell r="M18242">
            <v>12</v>
          </cell>
          <cell r="R18242">
            <v>46044</v>
          </cell>
          <cell r="S18242">
            <v>203001</v>
          </cell>
        </row>
        <row r="18243">
          <cell r="K18243" t="str">
            <v>226001</v>
          </cell>
          <cell r="M18243">
            <v>1</v>
          </cell>
          <cell r="R18243">
            <v>46044</v>
          </cell>
          <cell r="S18243">
            <v>226001</v>
          </cell>
        </row>
        <row r="18244">
          <cell r="K18244" t="str">
            <v>201011</v>
          </cell>
          <cell r="M18244">
            <v>8</v>
          </cell>
          <cell r="R18244">
            <v>46044</v>
          </cell>
          <cell r="S18244">
            <v>201011</v>
          </cell>
        </row>
        <row r="18245">
          <cell r="K18245" t="str">
            <v>201011</v>
          </cell>
          <cell r="M18245">
            <v>14</v>
          </cell>
          <cell r="R18245">
            <v>46044</v>
          </cell>
          <cell r="S18245">
            <v>201011</v>
          </cell>
        </row>
        <row r="18246">
          <cell r="K18246" t="str">
            <v>201022</v>
          </cell>
          <cell r="M18246">
            <v>1</v>
          </cell>
          <cell r="R18246">
            <v>46044</v>
          </cell>
          <cell r="S18246">
            <v>201022</v>
          </cell>
        </row>
        <row r="18247">
          <cell r="K18247" t="str">
            <v>227001</v>
          </cell>
          <cell r="M18247">
            <v>2</v>
          </cell>
          <cell r="R18247">
            <v>46044</v>
          </cell>
          <cell r="S18247">
            <v>227001</v>
          </cell>
        </row>
        <row r="18248">
          <cell r="K18248" t="str">
            <v>201001</v>
          </cell>
          <cell r="M18248">
            <v>1</v>
          </cell>
          <cell r="R18248">
            <v>46044</v>
          </cell>
          <cell r="S18248">
            <v>201001</v>
          </cell>
        </row>
        <row r="18249">
          <cell r="K18249" t="str">
            <v>223001</v>
          </cell>
          <cell r="M18249">
            <v>4</v>
          </cell>
          <cell r="R18249">
            <v>46044</v>
          </cell>
          <cell r="S18249">
            <v>223001</v>
          </cell>
        </row>
        <row r="18250">
          <cell r="K18250" t="str">
            <v>227012</v>
          </cell>
          <cell r="M18250">
            <v>2</v>
          </cell>
          <cell r="R18250">
            <v>46044</v>
          </cell>
          <cell r="S18250">
            <v>227012</v>
          </cell>
        </row>
        <row r="18251">
          <cell r="K18251" t="str">
            <v>210014</v>
          </cell>
          <cell r="M18251">
            <v>3</v>
          </cell>
          <cell r="R18251">
            <v>46044</v>
          </cell>
          <cell r="S18251">
            <v>210014</v>
          </cell>
        </row>
        <row r="18252">
          <cell r="K18252" t="str">
            <v>228001</v>
          </cell>
          <cell r="M18252">
            <v>10</v>
          </cell>
          <cell r="R18252">
            <v>46044</v>
          </cell>
          <cell r="S18252">
            <v>228001</v>
          </cell>
        </row>
        <row r="18253">
          <cell r="K18253" t="str">
            <v>201011</v>
          </cell>
          <cell r="M18253">
            <v>20</v>
          </cell>
          <cell r="R18253">
            <v>46044</v>
          </cell>
          <cell r="S18253">
            <v>201011</v>
          </cell>
        </row>
        <row r="18254">
          <cell r="K18254" t="str">
            <v>217018</v>
          </cell>
          <cell r="M18254">
            <v>30</v>
          </cell>
          <cell r="R18254">
            <v>46044</v>
          </cell>
          <cell r="S18254">
            <v>217018</v>
          </cell>
        </row>
        <row r="18255">
          <cell r="K18255" t="str">
            <v>217018</v>
          </cell>
          <cell r="M18255">
            <v>1</v>
          </cell>
          <cell r="R18255">
            <v>46044</v>
          </cell>
          <cell r="S18255">
            <v>217018</v>
          </cell>
        </row>
        <row r="18256">
          <cell r="K18256" t="str">
            <v>228001</v>
          </cell>
          <cell r="M18256">
            <v>3</v>
          </cell>
          <cell r="R18256">
            <v>46044</v>
          </cell>
          <cell r="S18256">
            <v>228001</v>
          </cell>
        </row>
        <row r="18257">
          <cell r="K18257" t="str">
            <v>217018</v>
          </cell>
          <cell r="M18257">
            <v>2</v>
          </cell>
          <cell r="R18257">
            <v>46044</v>
          </cell>
          <cell r="S18257">
            <v>217018</v>
          </cell>
        </row>
        <row r="18258">
          <cell r="K18258" t="str">
            <v>265001</v>
          </cell>
          <cell r="M18258">
            <v>1</v>
          </cell>
          <cell r="R18258">
            <v>46044</v>
          </cell>
          <cell r="S18258">
            <v>265001</v>
          </cell>
        </row>
        <row r="18259">
          <cell r="K18259" t="str">
            <v>228001</v>
          </cell>
          <cell r="M18259">
            <v>1</v>
          </cell>
          <cell r="R18259">
            <v>46044</v>
          </cell>
          <cell r="S18259">
            <v>228001</v>
          </cell>
        </row>
        <row r="18260">
          <cell r="K18260" t="str">
            <v>201011</v>
          </cell>
          <cell r="M18260">
            <v>2</v>
          </cell>
          <cell r="R18260">
            <v>46044</v>
          </cell>
          <cell r="S18260">
            <v>201011</v>
          </cell>
        </row>
        <row r="18261">
          <cell r="K18261" t="str">
            <v>201011</v>
          </cell>
          <cell r="M18261">
            <v>36</v>
          </cell>
          <cell r="R18261">
            <v>46044</v>
          </cell>
          <cell r="S18261">
            <v>201011</v>
          </cell>
        </row>
        <row r="18262">
          <cell r="K18262" t="str">
            <v>201001</v>
          </cell>
          <cell r="M18262">
            <v>20</v>
          </cell>
          <cell r="R18262">
            <v>46044</v>
          </cell>
          <cell r="S18262">
            <v>201001</v>
          </cell>
        </row>
        <row r="18263">
          <cell r="K18263" t="str">
            <v>213022</v>
          </cell>
          <cell r="M18263">
            <v>1</v>
          </cell>
          <cell r="R18263">
            <v>46044</v>
          </cell>
          <cell r="S18263">
            <v>213022</v>
          </cell>
        </row>
        <row r="18264">
          <cell r="K18264" t="str">
            <v>210015</v>
          </cell>
          <cell r="M18264">
            <v>25</v>
          </cell>
          <cell r="R18264">
            <v>46044</v>
          </cell>
          <cell r="S18264">
            <v>210015</v>
          </cell>
        </row>
        <row r="18265">
          <cell r="K18265" t="str">
            <v>234001</v>
          </cell>
          <cell r="M18265">
            <v>5</v>
          </cell>
          <cell r="R18265">
            <v>46044</v>
          </cell>
          <cell r="S18265">
            <v>234001</v>
          </cell>
        </row>
        <row r="18266">
          <cell r="K18266" t="str">
            <v>231012</v>
          </cell>
          <cell r="M18266">
            <v>3</v>
          </cell>
          <cell r="R18266">
            <v>46044</v>
          </cell>
          <cell r="S18266">
            <v>231012</v>
          </cell>
        </row>
        <row r="18267">
          <cell r="K18267" t="str">
            <v>228001</v>
          </cell>
          <cell r="M18267">
            <v>4</v>
          </cell>
          <cell r="R18267">
            <v>46044</v>
          </cell>
          <cell r="S18267">
            <v>228001</v>
          </cell>
        </row>
        <row r="18268">
          <cell r="K18268" t="str">
            <v>220002</v>
          </cell>
          <cell r="M18268">
            <v>1</v>
          </cell>
          <cell r="R18268">
            <v>46044</v>
          </cell>
          <cell r="S18268">
            <v>220002</v>
          </cell>
        </row>
        <row r="18269">
          <cell r="K18269" t="str">
            <v>209001</v>
          </cell>
          <cell r="M18269">
            <v>2</v>
          </cell>
          <cell r="R18269">
            <v>46044</v>
          </cell>
          <cell r="S18269">
            <v>209001</v>
          </cell>
        </row>
        <row r="18270">
          <cell r="K18270" t="str">
            <v>261005</v>
          </cell>
          <cell r="M18270">
            <v>1</v>
          </cell>
          <cell r="R18270">
            <v>46044</v>
          </cell>
          <cell r="S18270">
            <v>261005</v>
          </cell>
        </row>
        <row r="18271">
          <cell r="K18271" t="str">
            <v>212035</v>
          </cell>
          <cell r="M18271">
            <v>1</v>
          </cell>
          <cell r="R18271">
            <v>46044</v>
          </cell>
          <cell r="S18271">
            <v>212035</v>
          </cell>
        </row>
        <row r="18272">
          <cell r="K18272" t="str">
            <v>226001</v>
          </cell>
          <cell r="M18272">
            <v>1</v>
          </cell>
          <cell r="R18272">
            <v>46044</v>
          </cell>
          <cell r="S18272">
            <v>226001</v>
          </cell>
        </row>
        <row r="18273">
          <cell r="K18273" t="str">
            <v>203004</v>
          </cell>
          <cell r="M18273">
            <v>1</v>
          </cell>
          <cell r="R18273">
            <v>46044</v>
          </cell>
          <cell r="S18273">
            <v>203004</v>
          </cell>
        </row>
        <row r="18274">
          <cell r="K18274" t="str">
            <v>203004</v>
          </cell>
          <cell r="M18274">
            <v>1</v>
          </cell>
          <cell r="R18274">
            <v>46044</v>
          </cell>
          <cell r="S18274">
            <v>203004</v>
          </cell>
        </row>
        <row r="18275">
          <cell r="K18275" t="str">
            <v>206002</v>
          </cell>
          <cell r="M18275">
            <v>1</v>
          </cell>
          <cell r="R18275">
            <v>46044</v>
          </cell>
          <cell r="S18275">
            <v>206002</v>
          </cell>
        </row>
        <row r="18276">
          <cell r="K18276" t="str">
            <v>203004</v>
          </cell>
          <cell r="M18276">
            <v>1</v>
          </cell>
          <cell r="R18276">
            <v>46044</v>
          </cell>
          <cell r="S18276">
            <v>203004</v>
          </cell>
        </row>
        <row r="18277">
          <cell r="K18277" t="str">
            <v>228001</v>
          </cell>
          <cell r="M18277">
            <v>10</v>
          </cell>
          <cell r="R18277">
            <v>46044</v>
          </cell>
          <cell r="S18277">
            <v>228001</v>
          </cell>
        </row>
        <row r="18278">
          <cell r="K18278" t="str">
            <v>237001</v>
          </cell>
          <cell r="M18278">
            <v>1</v>
          </cell>
          <cell r="R18278">
            <v>46044</v>
          </cell>
          <cell r="S18278">
            <v>237001</v>
          </cell>
        </row>
        <row r="18279">
          <cell r="K18279" t="str">
            <v>213022</v>
          </cell>
          <cell r="M18279">
            <v>1</v>
          </cell>
          <cell r="R18279">
            <v>46045</v>
          </cell>
          <cell r="S18279">
            <v>213022</v>
          </cell>
        </row>
        <row r="18280">
          <cell r="K18280" t="str">
            <v>241001</v>
          </cell>
          <cell r="M18280">
            <v>1</v>
          </cell>
          <cell r="R18280">
            <v>46045</v>
          </cell>
          <cell r="S18280">
            <v>241001</v>
          </cell>
        </row>
        <row r="18281">
          <cell r="K18281" t="str">
            <v>223001</v>
          </cell>
          <cell r="M18281">
            <v>2</v>
          </cell>
          <cell r="R18281">
            <v>46044</v>
          </cell>
          <cell r="S18281">
            <v>223001</v>
          </cell>
        </row>
        <row r="18282">
          <cell r="K18282" t="str">
            <v>201022</v>
          </cell>
          <cell r="M18282">
            <v>1</v>
          </cell>
          <cell r="R18282">
            <v>46044</v>
          </cell>
          <cell r="S18282">
            <v>201022</v>
          </cell>
        </row>
        <row r="18283">
          <cell r="K18283" t="str">
            <v>223001</v>
          </cell>
          <cell r="M18283">
            <v>4</v>
          </cell>
          <cell r="R18283">
            <v>46044</v>
          </cell>
          <cell r="S18283">
            <v>223001</v>
          </cell>
        </row>
        <row r="18284">
          <cell r="K18284" t="str">
            <v>209001</v>
          </cell>
          <cell r="M18284">
            <v>1</v>
          </cell>
          <cell r="R18284">
            <v>46044</v>
          </cell>
          <cell r="S18284">
            <v>209001</v>
          </cell>
        </row>
        <row r="18285">
          <cell r="K18285" t="str">
            <v>201001</v>
          </cell>
          <cell r="M18285">
            <v>3</v>
          </cell>
          <cell r="R18285">
            <v>46044</v>
          </cell>
          <cell r="S18285">
            <v>201001</v>
          </cell>
        </row>
        <row r="18286">
          <cell r="K18286" t="str">
            <v>234011</v>
          </cell>
          <cell r="M18286">
            <v>1</v>
          </cell>
          <cell r="R18286">
            <v>46044</v>
          </cell>
          <cell r="S18286">
            <v>234011</v>
          </cell>
        </row>
        <row r="18287">
          <cell r="K18287" t="str">
            <v>241001</v>
          </cell>
          <cell r="M18287">
            <v>2</v>
          </cell>
          <cell r="R18287">
            <v>46044</v>
          </cell>
          <cell r="S18287">
            <v>241001</v>
          </cell>
        </row>
        <row r="18288">
          <cell r="K18288" t="str">
            <v>241001</v>
          </cell>
          <cell r="M18288">
            <v>10</v>
          </cell>
          <cell r="R18288">
            <v>46044</v>
          </cell>
          <cell r="S18288">
            <v>241001</v>
          </cell>
        </row>
        <row r="18289">
          <cell r="K18289" t="str">
            <v>217018</v>
          </cell>
          <cell r="M18289">
            <v>4</v>
          </cell>
          <cell r="R18289">
            <v>46044</v>
          </cell>
          <cell r="S18289">
            <v>217018</v>
          </cell>
        </row>
        <row r="18290">
          <cell r="K18290" t="str">
            <v>201001</v>
          </cell>
          <cell r="M18290">
            <v>8</v>
          </cell>
          <cell r="R18290">
            <v>46044</v>
          </cell>
          <cell r="S18290">
            <v>201001</v>
          </cell>
        </row>
        <row r="18291">
          <cell r="K18291" t="str">
            <v>228001</v>
          </cell>
          <cell r="M18291">
            <v>4</v>
          </cell>
          <cell r="R18291">
            <v>46044</v>
          </cell>
          <cell r="S18291">
            <v>228001</v>
          </cell>
        </row>
        <row r="18292">
          <cell r="K18292" t="str">
            <v>227001</v>
          </cell>
          <cell r="M18292">
            <v>3</v>
          </cell>
          <cell r="R18292">
            <v>46044</v>
          </cell>
          <cell r="S18292">
            <v>227001</v>
          </cell>
        </row>
        <row r="18293">
          <cell r="K18293" t="str">
            <v>203003</v>
          </cell>
          <cell r="M18293">
            <v>1</v>
          </cell>
          <cell r="R18293">
            <v>46044</v>
          </cell>
          <cell r="S18293">
            <v>203003</v>
          </cell>
        </row>
        <row r="18294">
          <cell r="K18294" t="str">
            <v>228001</v>
          </cell>
          <cell r="M18294">
            <v>1</v>
          </cell>
          <cell r="R18294">
            <v>46044</v>
          </cell>
          <cell r="S18294">
            <v>228001</v>
          </cell>
        </row>
        <row r="18295">
          <cell r="K18295" t="str">
            <v>228001</v>
          </cell>
          <cell r="M18295">
            <v>2</v>
          </cell>
          <cell r="R18295">
            <v>46044</v>
          </cell>
          <cell r="S18295">
            <v>228001</v>
          </cell>
        </row>
        <row r="18296">
          <cell r="K18296" t="str">
            <v>217018</v>
          </cell>
          <cell r="M18296">
            <v>1</v>
          </cell>
          <cell r="R18296">
            <v>46045</v>
          </cell>
          <cell r="S18296">
            <v>217018</v>
          </cell>
        </row>
        <row r="18297">
          <cell r="K18297" t="str">
            <v>228001</v>
          </cell>
          <cell r="M18297">
            <v>1</v>
          </cell>
          <cell r="R18297">
            <v>46045</v>
          </cell>
          <cell r="S18297">
            <v>228001</v>
          </cell>
        </row>
        <row r="18298">
          <cell r="K18298" t="str">
            <v>213002</v>
          </cell>
          <cell r="M18298">
            <v>1</v>
          </cell>
          <cell r="R18298">
            <v>46045</v>
          </cell>
          <cell r="S18298">
            <v>213002</v>
          </cell>
        </row>
        <row r="18299">
          <cell r="K18299" t="str">
            <v>223004</v>
          </cell>
          <cell r="M18299">
            <v>4</v>
          </cell>
          <cell r="R18299">
            <v>46045</v>
          </cell>
          <cell r="S18299">
            <v>223004</v>
          </cell>
        </row>
        <row r="18300">
          <cell r="K18300" t="str">
            <v>217023</v>
          </cell>
          <cell r="M18300">
            <v>1</v>
          </cell>
          <cell r="R18300">
            <v>46045</v>
          </cell>
          <cell r="S18300">
            <v>217023</v>
          </cell>
        </row>
        <row r="18301">
          <cell r="K18301" t="str">
            <v>228001</v>
          </cell>
          <cell r="M18301">
            <v>1</v>
          </cell>
          <cell r="R18301">
            <v>46045</v>
          </cell>
          <cell r="S18301">
            <v>228001</v>
          </cell>
        </row>
        <row r="18302">
          <cell r="K18302" t="str">
            <v>209017</v>
          </cell>
          <cell r="M18302">
            <v>1</v>
          </cell>
          <cell r="R18302">
            <v>46045</v>
          </cell>
          <cell r="S18302">
            <v>209017</v>
          </cell>
        </row>
        <row r="18303">
          <cell r="K18303" t="str">
            <v>213022</v>
          </cell>
          <cell r="M18303">
            <v>1</v>
          </cell>
          <cell r="R18303">
            <v>46045</v>
          </cell>
          <cell r="S18303">
            <v>213022</v>
          </cell>
        </row>
        <row r="18304">
          <cell r="K18304" t="str">
            <v>217011</v>
          </cell>
          <cell r="M18304">
            <v>1</v>
          </cell>
          <cell r="R18304">
            <v>46045</v>
          </cell>
          <cell r="S18304">
            <v>217011</v>
          </cell>
        </row>
        <row r="18305">
          <cell r="K18305" t="str">
            <v>228001</v>
          </cell>
          <cell r="M18305">
            <v>1</v>
          </cell>
          <cell r="R18305">
            <v>46045</v>
          </cell>
          <cell r="S18305">
            <v>228001</v>
          </cell>
        </row>
        <row r="18306">
          <cell r="K18306" t="str">
            <v>231012</v>
          </cell>
          <cell r="M18306">
            <v>1</v>
          </cell>
          <cell r="R18306">
            <v>46045</v>
          </cell>
          <cell r="S18306">
            <v>231012</v>
          </cell>
        </row>
        <row r="18307">
          <cell r="K18307" t="str">
            <v>220002</v>
          </cell>
          <cell r="M18307">
            <v>1</v>
          </cell>
          <cell r="R18307">
            <v>46045</v>
          </cell>
          <cell r="S18307">
            <v>220002</v>
          </cell>
        </row>
        <row r="18308">
          <cell r="K18308" t="str">
            <v>212035</v>
          </cell>
          <cell r="M18308">
            <v>2</v>
          </cell>
          <cell r="R18308">
            <v>46045</v>
          </cell>
          <cell r="S18308">
            <v>212035</v>
          </cell>
        </row>
        <row r="18309">
          <cell r="K18309" t="str">
            <v>201024</v>
          </cell>
          <cell r="M18309">
            <v>1</v>
          </cell>
          <cell r="R18309">
            <v>46045</v>
          </cell>
          <cell r="S18309">
            <v>201024</v>
          </cell>
        </row>
        <row r="18310">
          <cell r="K18310" t="str">
            <v>201011</v>
          </cell>
          <cell r="M18310">
            <v>36</v>
          </cell>
          <cell r="R18310">
            <v>46045</v>
          </cell>
          <cell r="S18310">
            <v>201011</v>
          </cell>
        </row>
        <row r="18311">
          <cell r="K18311" t="str">
            <v>210015</v>
          </cell>
          <cell r="M18311">
            <v>15</v>
          </cell>
          <cell r="R18311">
            <v>46045</v>
          </cell>
          <cell r="S18311">
            <v>210015</v>
          </cell>
        </row>
        <row r="18312">
          <cell r="K18312" t="str">
            <v>217011</v>
          </cell>
          <cell r="M18312">
            <v>1</v>
          </cell>
          <cell r="R18312">
            <v>46045</v>
          </cell>
          <cell r="S18312">
            <v>217011</v>
          </cell>
        </row>
        <row r="18313">
          <cell r="K18313" t="str">
            <v>213002</v>
          </cell>
          <cell r="M18313">
            <v>2</v>
          </cell>
          <cell r="R18313">
            <v>46045</v>
          </cell>
          <cell r="S18313">
            <v>213002</v>
          </cell>
        </row>
        <row r="18314">
          <cell r="K18314" t="str">
            <v>234001</v>
          </cell>
          <cell r="M18314">
            <v>2</v>
          </cell>
          <cell r="R18314">
            <v>46045</v>
          </cell>
          <cell r="S18314">
            <v>234001</v>
          </cell>
        </row>
        <row r="18315">
          <cell r="K18315" t="str">
            <v>209016</v>
          </cell>
          <cell r="M18315">
            <v>1</v>
          </cell>
          <cell r="R18315">
            <v>46045</v>
          </cell>
          <cell r="S18315">
            <v>209016</v>
          </cell>
        </row>
        <row r="18316">
          <cell r="K18316" t="str">
            <v>210015</v>
          </cell>
          <cell r="M18316">
            <v>1</v>
          </cell>
          <cell r="R18316">
            <v>46045</v>
          </cell>
          <cell r="S18316">
            <v>210015</v>
          </cell>
        </row>
        <row r="18317">
          <cell r="K18317" t="str">
            <v>213022</v>
          </cell>
          <cell r="M18317">
            <v>2</v>
          </cell>
          <cell r="R18317">
            <v>46045</v>
          </cell>
          <cell r="S18317">
            <v>213022</v>
          </cell>
        </row>
        <row r="18318">
          <cell r="K18318" t="str">
            <v>261004</v>
          </cell>
          <cell r="M18318">
            <v>50</v>
          </cell>
          <cell r="R18318">
            <v>46048</v>
          </cell>
          <cell r="S18318">
            <v>261004</v>
          </cell>
        </row>
        <row r="18319">
          <cell r="K18319" t="str">
            <v>228001</v>
          </cell>
          <cell r="M18319">
            <v>4</v>
          </cell>
          <cell r="R18319">
            <v>46048</v>
          </cell>
          <cell r="S18319">
            <v>228001</v>
          </cell>
        </row>
        <row r="18320">
          <cell r="K18320" t="str">
            <v>228001</v>
          </cell>
          <cell r="M18320">
            <v>3</v>
          </cell>
          <cell r="R18320">
            <v>46048</v>
          </cell>
          <cell r="S18320">
            <v>228001</v>
          </cell>
        </row>
        <row r="18321">
          <cell r="K18321" t="str">
            <v>201024</v>
          </cell>
          <cell r="M18321">
            <v>4</v>
          </cell>
          <cell r="R18321">
            <v>46045</v>
          </cell>
          <cell r="S18321">
            <v>201024</v>
          </cell>
        </row>
        <row r="18322">
          <cell r="K18322" t="str">
            <v>201024</v>
          </cell>
          <cell r="M18322">
            <v>4</v>
          </cell>
          <cell r="R18322">
            <v>46045</v>
          </cell>
          <cell r="S18322">
            <v>201024</v>
          </cell>
        </row>
        <row r="18323">
          <cell r="K18323" t="str">
            <v>231012</v>
          </cell>
          <cell r="M18323">
            <v>4</v>
          </cell>
          <cell r="R18323">
            <v>46045</v>
          </cell>
          <cell r="S18323">
            <v>231012</v>
          </cell>
        </row>
        <row r="18324">
          <cell r="K18324" t="str">
            <v>209016</v>
          </cell>
          <cell r="M18324">
            <v>2</v>
          </cell>
          <cell r="R18324">
            <v>46045</v>
          </cell>
          <cell r="S18324">
            <v>209016</v>
          </cell>
        </row>
        <row r="18325">
          <cell r="K18325" t="str">
            <v>261004</v>
          </cell>
          <cell r="M18325">
            <v>1</v>
          </cell>
          <cell r="R18325">
            <v>46045</v>
          </cell>
          <cell r="S18325">
            <v>261004</v>
          </cell>
        </row>
        <row r="18326">
          <cell r="K18326" t="str">
            <v>241001</v>
          </cell>
          <cell r="M18326">
            <v>4</v>
          </cell>
          <cell r="R18326">
            <v>46045</v>
          </cell>
          <cell r="S18326">
            <v>241001</v>
          </cell>
        </row>
        <row r="18327">
          <cell r="K18327" t="str">
            <v>222007</v>
          </cell>
          <cell r="M18327">
            <v>2</v>
          </cell>
          <cell r="R18327">
            <v>46045</v>
          </cell>
          <cell r="S18327">
            <v>222007</v>
          </cell>
        </row>
        <row r="18328">
          <cell r="K18328" t="str">
            <v>213002</v>
          </cell>
          <cell r="M18328">
            <v>4</v>
          </cell>
          <cell r="R18328">
            <v>46047</v>
          </cell>
          <cell r="S18328">
            <v>213002</v>
          </cell>
        </row>
        <row r="18329">
          <cell r="K18329" t="str">
            <v>228001</v>
          </cell>
          <cell r="M18329">
            <v>3</v>
          </cell>
          <cell r="R18329">
            <v>46047</v>
          </cell>
          <cell r="S18329">
            <v>228001</v>
          </cell>
        </row>
        <row r="18330">
          <cell r="K18330" t="str">
            <v>212035</v>
          </cell>
          <cell r="M18330">
            <v>2</v>
          </cell>
          <cell r="R18330">
            <v>46047</v>
          </cell>
          <cell r="S18330">
            <v>212035</v>
          </cell>
        </row>
        <row r="18331">
          <cell r="K18331" t="str">
            <v>203004</v>
          </cell>
          <cell r="M18331">
            <v>1</v>
          </cell>
          <cell r="R18331">
            <v>46047</v>
          </cell>
          <cell r="S18331">
            <v>203004</v>
          </cell>
        </row>
        <row r="18332">
          <cell r="K18332" t="str">
            <v>223001</v>
          </cell>
          <cell r="M18332">
            <v>6</v>
          </cell>
          <cell r="R18332">
            <v>46047</v>
          </cell>
          <cell r="S18332">
            <v>223001</v>
          </cell>
        </row>
        <row r="18333">
          <cell r="K18333" t="str">
            <v>223002</v>
          </cell>
          <cell r="M18333">
            <v>6</v>
          </cell>
          <cell r="R18333">
            <v>46047</v>
          </cell>
          <cell r="S18333">
            <v>223002</v>
          </cell>
        </row>
        <row r="18334">
          <cell r="K18334" t="str">
            <v>217018</v>
          </cell>
          <cell r="M18334">
            <v>2</v>
          </cell>
          <cell r="R18334">
            <v>46047</v>
          </cell>
          <cell r="S18334">
            <v>217018</v>
          </cell>
        </row>
        <row r="18335">
          <cell r="K18335" t="str">
            <v>201001</v>
          </cell>
          <cell r="M18335">
            <v>8</v>
          </cell>
          <cell r="R18335">
            <v>46047</v>
          </cell>
          <cell r="S18335">
            <v>201001</v>
          </cell>
        </row>
        <row r="18336">
          <cell r="K18336" t="str">
            <v>231010</v>
          </cell>
          <cell r="M18336">
            <v>4</v>
          </cell>
          <cell r="R18336">
            <v>46047</v>
          </cell>
          <cell r="S18336">
            <v>231010</v>
          </cell>
        </row>
        <row r="18337">
          <cell r="K18337" t="str">
            <v>223002</v>
          </cell>
          <cell r="M18337">
            <v>2</v>
          </cell>
          <cell r="R18337">
            <v>46047</v>
          </cell>
          <cell r="S18337">
            <v>223002</v>
          </cell>
        </row>
        <row r="18338">
          <cell r="K18338" t="str">
            <v>223001</v>
          </cell>
          <cell r="M18338">
            <v>8</v>
          </cell>
          <cell r="R18338">
            <v>46047</v>
          </cell>
          <cell r="S18338">
            <v>223001</v>
          </cell>
        </row>
        <row r="18339">
          <cell r="K18339" t="str">
            <v>209022</v>
          </cell>
          <cell r="M18339">
            <v>2</v>
          </cell>
          <cell r="R18339">
            <v>46047</v>
          </cell>
          <cell r="S18339">
            <v>209022</v>
          </cell>
        </row>
        <row r="18340">
          <cell r="K18340" t="str">
            <v>241001</v>
          </cell>
          <cell r="M18340">
            <v>10</v>
          </cell>
          <cell r="R18340">
            <v>46047</v>
          </cell>
          <cell r="S18340">
            <v>241001</v>
          </cell>
        </row>
        <row r="18341">
          <cell r="K18341" t="str">
            <v>223002</v>
          </cell>
          <cell r="M18341">
            <v>6</v>
          </cell>
          <cell r="R18341">
            <v>46047</v>
          </cell>
          <cell r="S18341">
            <v>223002</v>
          </cell>
        </row>
        <row r="18342">
          <cell r="K18342" t="str">
            <v>213022</v>
          </cell>
          <cell r="M18342">
            <v>3</v>
          </cell>
          <cell r="R18342">
            <v>46047</v>
          </cell>
          <cell r="S18342">
            <v>213022</v>
          </cell>
        </row>
        <row r="18343">
          <cell r="K18343" t="str">
            <v>227012</v>
          </cell>
          <cell r="M18343">
            <v>1</v>
          </cell>
          <cell r="R18343">
            <v>46047</v>
          </cell>
          <cell r="S18343">
            <v>227012</v>
          </cell>
        </row>
        <row r="18344">
          <cell r="K18344" t="str">
            <v>217018</v>
          </cell>
          <cell r="M18344">
            <v>2</v>
          </cell>
          <cell r="R18344">
            <v>46047</v>
          </cell>
          <cell r="S18344">
            <v>217018</v>
          </cell>
        </row>
        <row r="18345">
          <cell r="K18345" t="str">
            <v>226030</v>
          </cell>
          <cell r="M18345">
            <v>2</v>
          </cell>
          <cell r="R18345">
            <v>46047</v>
          </cell>
          <cell r="S18345">
            <v>226030</v>
          </cell>
        </row>
        <row r="18346">
          <cell r="K18346" t="str">
            <v>217022</v>
          </cell>
          <cell r="M18346">
            <v>9</v>
          </cell>
          <cell r="R18346">
            <v>46047</v>
          </cell>
          <cell r="S18346">
            <v>217022</v>
          </cell>
        </row>
        <row r="18347">
          <cell r="K18347" t="str">
            <v>226001</v>
          </cell>
          <cell r="M18347">
            <v>2</v>
          </cell>
          <cell r="R18347">
            <v>46047</v>
          </cell>
          <cell r="S18347">
            <v>226001</v>
          </cell>
        </row>
        <row r="18348">
          <cell r="K18348" t="str">
            <v>227002</v>
          </cell>
          <cell r="M18348">
            <v>1</v>
          </cell>
          <cell r="R18348">
            <v>46047</v>
          </cell>
          <cell r="S18348">
            <v>227002</v>
          </cell>
        </row>
        <row r="18349">
          <cell r="K18349" t="str">
            <v>223002</v>
          </cell>
          <cell r="M18349">
            <v>3</v>
          </cell>
          <cell r="R18349">
            <v>46047</v>
          </cell>
          <cell r="S18349">
            <v>223002</v>
          </cell>
        </row>
        <row r="18350">
          <cell r="K18350" t="str">
            <v>223001</v>
          </cell>
          <cell r="M18350">
            <v>3</v>
          </cell>
          <cell r="R18350">
            <v>46047</v>
          </cell>
          <cell r="S18350">
            <v>223001</v>
          </cell>
        </row>
        <row r="18351">
          <cell r="K18351" t="str">
            <v>241001</v>
          </cell>
          <cell r="M18351">
            <v>1</v>
          </cell>
          <cell r="R18351">
            <v>46047</v>
          </cell>
          <cell r="S18351">
            <v>241001</v>
          </cell>
        </row>
        <row r="18352">
          <cell r="K18352" t="str">
            <v>223001</v>
          </cell>
          <cell r="M18352">
            <v>1</v>
          </cell>
          <cell r="R18352">
            <v>46047</v>
          </cell>
          <cell r="S18352">
            <v>223001</v>
          </cell>
        </row>
        <row r="18353">
          <cell r="K18353" t="str">
            <v>223004</v>
          </cell>
          <cell r="M18353">
            <v>1</v>
          </cell>
          <cell r="R18353">
            <v>46047</v>
          </cell>
          <cell r="S18353">
            <v>223004</v>
          </cell>
        </row>
        <row r="18354">
          <cell r="K18354" t="str">
            <v>228001</v>
          </cell>
          <cell r="M18354">
            <v>1</v>
          </cell>
          <cell r="R18354">
            <v>46047</v>
          </cell>
          <cell r="S18354">
            <v>228001</v>
          </cell>
        </row>
        <row r="18355">
          <cell r="K18355" t="str">
            <v>212002</v>
          </cell>
          <cell r="M18355">
            <v>1</v>
          </cell>
          <cell r="R18355">
            <v>46047</v>
          </cell>
          <cell r="S18355">
            <v>212002</v>
          </cell>
        </row>
        <row r="18356">
          <cell r="K18356" t="str">
            <v>213002</v>
          </cell>
          <cell r="M18356">
            <v>2</v>
          </cell>
          <cell r="R18356">
            <v>46047</v>
          </cell>
          <cell r="S18356">
            <v>213002</v>
          </cell>
        </row>
        <row r="18357">
          <cell r="K18357" t="str">
            <v>228001</v>
          </cell>
          <cell r="M18357">
            <v>1</v>
          </cell>
          <cell r="R18357">
            <v>46048</v>
          </cell>
          <cell r="S18357">
            <v>228001</v>
          </cell>
        </row>
        <row r="18358">
          <cell r="K18358" t="str">
            <v>212035</v>
          </cell>
          <cell r="M18358">
            <v>1</v>
          </cell>
          <cell r="R18358">
            <v>46048</v>
          </cell>
          <cell r="S18358">
            <v>212035</v>
          </cell>
        </row>
        <row r="18359">
          <cell r="K18359" t="str">
            <v>228001</v>
          </cell>
          <cell r="M18359">
            <v>2</v>
          </cell>
          <cell r="R18359">
            <v>46048</v>
          </cell>
          <cell r="S18359">
            <v>228001</v>
          </cell>
        </row>
        <row r="18360">
          <cell r="K18360" t="str">
            <v>201001</v>
          </cell>
          <cell r="M18360">
            <v>3</v>
          </cell>
          <cell r="R18360">
            <v>46048</v>
          </cell>
          <cell r="S18360">
            <v>201001</v>
          </cell>
        </row>
        <row r="18361">
          <cell r="K18361" t="str">
            <v>213022</v>
          </cell>
          <cell r="M18361">
            <v>1</v>
          </cell>
          <cell r="R18361">
            <v>46047</v>
          </cell>
          <cell r="S18361">
            <v>213022</v>
          </cell>
        </row>
        <row r="18362">
          <cell r="K18362" t="str">
            <v>227012</v>
          </cell>
          <cell r="M18362">
            <v>5</v>
          </cell>
          <cell r="R18362">
            <v>46047</v>
          </cell>
          <cell r="S18362">
            <v>227012</v>
          </cell>
        </row>
        <row r="18363">
          <cell r="K18363" t="str">
            <v>228001</v>
          </cell>
          <cell r="M18363">
            <v>3</v>
          </cell>
          <cell r="R18363">
            <v>46047</v>
          </cell>
          <cell r="S18363">
            <v>228001</v>
          </cell>
        </row>
        <row r="18364">
          <cell r="K18364" t="str">
            <v>228001</v>
          </cell>
          <cell r="M18364">
            <v>2</v>
          </cell>
          <cell r="R18364">
            <v>46047</v>
          </cell>
          <cell r="S18364">
            <v>228001</v>
          </cell>
        </row>
        <row r="18365">
          <cell r="K18365" t="str">
            <v>227012</v>
          </cell>
          <cell r="M18365">
            <v>2</v>
          </cell>
          <cell r="R18365">
            <v>46047</v>
          </cell>
          <cell r="S18365">
            <v>227012</v>
          </cell>
        </row>
        <row r="18366">
          <cell r="K18366" t="str">
            <v>227012</v>
          </cell>
          <cell r="M18366">
            <v>2</v>
          </cell>
          <cell r="R18366">
            <v>46047</v>
          </cell>
          <cell r="S18366">
            <v>227012</v>
          </cell>
        </row>
        <row r="18367">
          <cell r="K18367" t="str">
            <v>228001</v>
          </cell>
          <cell r="M18367">
            <v>1</v>
          </cell>
          <cell r="R18367">
            <v>46047</v>
          </cell>
          <cell r="S18367">
            <v>228001</v>
          </cell>
        </row>
        <row r="18368">
          <cell r="K18368" t="str">
            <v>223001</v>
          </cell>
          <cell r="M18368">
            <v>1</v>
          </cell>
          <cell r="R18368">
            <v>46048</v>
          </cell>
          <cell r="S18368">
            <v>223001</v>
          </cell>
        </row>
        <row r="18369">
          <cell r="K18369" t="str">
            <v>223003</v>
          </cell>
          <cell r="M18369">
            <v>1</v>
          </cell>
          <cell r="R18369">
            <v>46048</v>
          </cell>
          <cell r="S18369">
            <v>223003</v>
          </cell>
        </row>
        <row r="18370">
          <cell r="K18370" t="str">
            <v>228001</v>
          </cell>
          <cell r="M18370">
            <v>1</v>
          </cell>
          <cell r="R18370">
            <v>46048</v>
          </cell>
          <cell r="S18370">
            <v>228001</v>
          </cell>
        </row>
        <row r="18371">
          <cell r="K18371" t="str">
            <v>220002</v>
          </cell>
          <cell r="M18371">
            <v>2</v>
          </cell>
          <cell r="R18371">
            <v>46048</v>
          </cell>
          <cell r="S18371">
            <v>220002</v>
          </cell>
        </row>
        <row r="18372">
          <cell r="K18372" t="str">
            <v>226001</v>
          </cell>
          <cell r="M18372">
            <v>2</v>
          </cell>
          <cell r="R18372">
            <v>46048</v>
          </cell>
          <cell r="S18372">
            <v>226001</v>
          </cell>
        </row>
        <row r="18373">
          <cell r="K18373" t="str">
            <v>228001</v>
          </cell>
          <cell r="M18373">
            <v>8</v>
          </cell>
          <cell r="R18373">
            <v>46048</v>
          </cell>
          <cell r="S18373">
            <v>228001</v>
          </cell>
        </row>
        <row r="18374">
          <cell r="K18374" t="str">
            <v>213002</v>
          </cell>
          <cell r="M18374">
            <v>1</v>
          </cell>
          <cell r="R18374">
            <v>46048</v>
          </cell>
          <cell r="S18374">
            <v>213002</v>
          </cell>
        </row>
        <row r="18375">
          <cell r="K18375" t="str">
            <v>227014</v>
          </cell>
          <cell r="M18375">
            <v>1</v>
          </cell>
          <cell r="R18375">
            <v>46048</v>
          </cell>
          <cell r="S18375">
            <v>227014</v>
          </cell>
        </row>
        <row r="18376">
          <cell r="K18376" t="str">
            <v>223002</v>
          </cell>
          <cell r="M18376">
            <v>4</v>
          </cell>
          <cell r="R18376">
            <v>46048</v>
          </cell>
          <cell r="S18376">
            <v>223002</v>
          </cell>
        </row>
        <row r="18377">
          <cell r="K18377" t="str">
            <v>201024</v>
          </cell>
          <cell r="M18377">
            <v>4</v>
          </cell>
          <cell r="R18377">
            <v>46048</v>
          </cell>
          <cell r="S18377">
            <v>201024</v>
          </cell>
        </row>
        <row r="18378">
          <cell r="K18378" t="str">
            <v>227001</v>
          </cell>
          <cell r="M18378">
            <v>2</v>
          </cell>
          <cell r="R18378">
            <v>46048</v>
          </cell>
          <cell r="S18378">
            <v>227001</v>
          </cell>
        </row>
        <row r="18379">
          <cell r="K18379" t="str">
            <v>228001</v>
          </cell>
          <cell r="M18379">
            <v>1</v>
          </cell>
          <cell r="R18379">
            <v>46048</v>
          </cell>
          <cell r="S18379">
            <v>228001</v>
          </cell>
        </row>
        <row r="18380">
          <cell r="K18380" t="str">
            <v>227010</v>
          </cell>
          <cell r="M18380">
            <v>1</v>
          </cell>
          <cell r="R18380">
            <v>46048</v>
          </cell>
          <cell r="S18380">
            <v>227010</v>
          </cell>
        </row>
        <row r="18381">
          <cell r="K18381" t="str">
            <v>228001</v>
          </cell>
          <cell r="M18381">
            <v>3</v>
          </cell>
          <cell r="R18381">
            <v>46048</v>
          </cell>
          <cell r="S18381">
            <v>228001</v>
          </cell>
        </row>
        <row r="18382">
          <cell r="K18382" t="str">
            <v>228001</v>
          </cell>
          <cell r="M18382">
            <v>1</v>
          </cell>
          <cell r="R18382">
            <v>46048</v>
          </cell>
          <cell r="S18382">
            <v>228001</v>
          </cell>
        </row>
        <row r="18383">
          <cell r="K18383" t="str">
            <v>201027</v>
          </cell>
          <cell r="M18383">
            <v>1</v>
          </cell>
          <cell r="R18383">
            <v>46048</v>
          </cell>
          <cell r="S18383">
            <v>201027</v>
          </cell>
        </row>
        <row r="18384">
          <cell r="K18384" t="str">
            <v>231012</v>
          </cell>
          <cell r="M18384">
            <v>2</v>
          </cell>
          <cell r="R18384">
            <v>46048</v>
          </cell>
          <cell r="S18384">
            <v>231012</v>
          </cell>
        </row>
        <row r="18385">
          <cell r="K18385" t="str">
            <v>226025</v>
          </cell>
          <cell r="M18385">
            <v>1</v>
          </cell>
          <cell r="R18385">
            <v>46048</v>
          </cell>
          <cell r="S18385">
            <v>226025</v>
          </cell>
        </row>
        <row r="18386">
          <cell r="K18386" t="str">
            <v>226022</v>
          </cell>
          <cell r="M18386">
            <v>1</v>
          </cell>
          <cell r="R18386">
            <v>46048</v>
          </cell>
          <cell r="S18386">
            <v>226022</v>
          </cell>
        </row>
        <row r="18387">
          <cell r="K18387" t="str">
            <v>217021</v>
          </cell>
          <cell r="M18387">
            <v>1</v>
          </cell>
          <cell r="R18387">
            <v>46048</v>
          </cell>
          <cell r="S18387">
            <v>217021</v>
          </cell>
        </row>
        <row r="18388">
          <cell r="K18388" t="str">
            <v>210014</v>
          </cell>
          <cell r="M18388">
            <v>6</v>
          </cell>
          <cell r="R18388">
            <v>46048</v>
          </cell>
          <cell r="S18388">
            <v>210014</v>
          </cell>
        </row>
        <row r="18389">
          <cell r="K18389" t="str">
            <v>228001</v>
          </cell>
          <cell r="M18389">
            <v>2</v>
          </cell>
          <cell r="R18389">
            <v>46048</v>
          </cell>
          <cell r="S18389">
            <v>228001</v>
          </cell>
        </row>
        <row r="18390">
          <cell r="K18390" t="str">
            <v>201028</v>
          </cell>
          <cell r="M18390">
            <v>3</v>
          </cell>
          <cell r="R18390">
            <v>46048</v>
          </cell>
          <cell r="S18390">
            <v>201028</v>
          </cell>
        </row>
        <row r="18391">
          <cell r="K18391" t="str">
            <v>220002</v>
          </cell>
          <cell r="M18391">
            <v>2</v>
          </cell>
          <cell r="R18391">
            <v>46048</v>
          </cell>
          <cell r="S18391">
            <v>220002</v>
          </cell>
        </row>
        <row r="18392">
          <cell r="K18392" t="str">
            <v>228001</v>
          </cell>
          <cell r="M18392">
            <v>4</v>
          </cell>
          <cell r="R18392">
            <v>46048</v>
          </cell>
          <cell r="S18392">
            <v>228001</v>
          </cell>
        </row>
        <row r="18393">
          <cell r="K18393" t="str">
            <v>201027</v>
          </cell>
          <cell r="M18393">
            <v>1</v>
          </cell>
          <cell r="R18393">
            <v>46048</v>
          </cell>
          <cell r="S18393">
            <v>201027</v>
          </cell>
        </row>
        <row r="18394">
          <cell r="K18394" t="str">
            <v>201026</v>
          </cell>
          <cell r="M18394">
            <v>1</v>
          </cell>
          <cell r="R18394">
            <v>46048</v>
          </cell>
          <cell r="S18394">
            <v>201026</v>
          </cell>
        </row>
        <row r="18395">
          <cell r="K18395" t="str">
            <v>217025</v>
          </cell>
          <cell r="M18395">
            <v>7</v>
          </cell>
          <cell r="R18395">
            <v>46048</v>
          </cell>
          <cell r="S18395">
            <v>217025</v>
          </cell>
        </row>
        <row r="18396">
          <cell r="K18396" t="str">
            <v>201001</v>
          </cell>
          <cell r="M18396">
            <v>5</v>
          </cell>
          <cell r="R18396">
            <v>46048</v>
          </cell>
          <cell r="S18396">
            <v>201001</v>
          </cell>
        </row>
        <row r="18397">
          <cell r="K18397" t="str">
            <v>201011</v>
          </cell>
          <cell r="M18397">
            <v>6</v>
          </cell>
          <cell r="R18397">
            <v>46048</v>
          </cell>
          <cell r="S18397">
            <v>201011</v>
          </cell>
        </row>
        <row r="18398">
          <cell r="K18398" t="str">
            <v>212035</v>
          </cell>
          <cell r="M18398">
            <v>2</v>
          </cell>
          <cell r="R18398">
            <v>46048</v>
          </cell>
          <cell r="S18398">
            <v>212035</v>
          </cell>
        </row>
        <row r="18399">
          <cell r="K18399" t="str">
            <v>226001</v>
          </cell>
          <cell r="M18399">
            <v>1</v>
          </cell>
          <cell r="R18399">
            <v>46048</v>
          </cell>
          <cell r="S18399">
            <v>226001</v>
          </cell>
        </row>
        <row r="18400">
          <cell r="K18400" t="str">
            <v>261004</v>
          </cell>
          <cell r="M18400">
            <v>1</v>
          </cell>
          <cell r="R18400">
            <v>46048</v>
          </cell>
          <cell r="S18400">
            <v>261004</v>
          </cell>
        </row>
        <row r="18401">
          <cell r="K18401" t="str">
            <v>241001</v>
          </cell>
          <cell r="M18401">
            <v>3</v>
          </cell>
          <cell r="R18401">
            <v>46048</v>
          </cell>
          <cell r="S18401">
            <v>241001</v>
          </cell>
        </row>
        <row r="18402">
          <cell r="K18402" t="str">
            <v>222007</v>
          </cell>
          <cell r="M18402">
            <v>1</v>
          </cell>
          <cell r="R18402">
            <v>46048</v>
          </cell>
          <cell r="S18402">
            <v>222007</v>
          </cell>
        </row>
        <row r="18403">
          <cell r="K18403" t="str">
            <v>213022</v>
          </cell>
          <cell r="M18403">
            <v>1</v>
          </cell>
          <cell r="R18403">
            <v>46048</v>
          </cell>
          <cell r="S18403">
            <v>213022</v>
          </cell>
        </row>
        <row r="18404">
          <cell r="K18404" t="str">
            <v>213002</v>
          </cell>
          <cell r="M18404">
            <v>6</v>
          </cell>
          <cell r="R18404">
            <v>46048</v>
          </cell>
          <cell r="S18404">
            <v>213002</v>
          </cell>
        </row>
        <row r="18405">
          <cell r="K18405" t="str">
            <v>228001</v>
          </cell>
          <cell r="M18405">
            <v>4</v>
          </cell>
          <cell r="R18405">
            <v>46048</v>
          </cell>
          <cell r="S18405">
            <v>228001</v>
          </cell>
        </row>
        <row r="18406">
          <cell r="K18406" t="str">
            <v>228001</v>
          </cell>
          <cell r="M18406">
            <v>1</v>
          </cell>
          <cell r="R18406">
            <v>46048</v>
          </cell>
          <cell r="S18406">
            <v>228001</v>
          </cell>
        </row>
        <row r="18407">
          <cell r="K18407" t="str">
            <v>226001</v>
          </cell>
          <cell r="M18407">
            <v>1</v>
          </cell>
          <cell r="R18407">
            <v>46048</v>
          </cell>
          <cell r="S18407">
            <v>226001</v>
          </cell>
        </row>
        <row r="18408">
          <cell r="K18408" t="str">
            <v>228001</v>
          </cell>
          <cell r="M18408">
            <v>7</v>
          </cell>
          <cell r="R18408">
            <v>46048</v>
          </cell>
          <cell r="S18408">
            <v>228001</v>
          </cell>
        </row>
        <row r="18409">
          <cell r="K18409" t="str">
            <v>213022</v>
          </cell>
          <cell r="M18409">
            <v>1</v>
          </cell>
          <cell r="R18409">
            <v>46048</v>
          </cell>
          <cell r="S18409">
            <v>213022</v>
          </cell>
        </row>
        <row r="18410">
          <cell r="K18410" t="str">
            <v>213022</v>
          </cell>
          <cell r="M18410">
            <v>2</v>
          </cell>
          <cell r="R18410">
            <v>46048</v>
          </cell>
          <cell r="S18410">
            <v>213022</v>
          </cell>
        </row>
        <row r="18411">
          <cell r="K18411" t="str">
            <v>206002</v>
          </cell>
          <cell r="M18411">
            <v>1</v>
          </cell>
          <cell r="R18411">
            <v>46048</v>
          </cell>
          <cell r="S18411">
            <v>206002</v>
          </cell>
        </row>
        <row r="18412">
          <cell r="K18412" t="str">
            <v>228001</v>
          </cell>
          <cell r="M18412">
            <v>2</v>
          </cell>
          <cell r="R18412">
            <v>46048</v>
          </cell>
          <cell r="S18412">
            <v>228001</v>
          </cell>
        </row>
        <row r="18413">
          <cell r="K18413" t="str">
            <v>261004</v>
          </cell>
          <cell r="M18413">
            <v>38</v>
          </cell>
          <cell r="R18413">
            <v>46048</v>
          </cell>
          <cell r="S18413">
            <v>261004</v>
          </cell>
        </row>
        <row r="18414">
          <cell r="K18414" t="str">
            <v>212010</v>
          </cell>
          <cell r="M18414">
            <v>50</v>
          </cell>
          <cell r="R18414">
            <v>46048</v>
          </cell>
          <cell r="S18414">
            <v>212010</v>
          </cell>
        </row>
        <row r="18415">
          <cell r="K18415" t="str">
            <v>228001</v>
          </cell>
          <cell r="M18415">
            <v>8</v>
          </cell>
          <cell r="R18415">
            <v>46048</v>
          </cell>
          <cell r="S18415">
            <v>228001</v>
          </cell>
        </row>
        <row r="18416">
          <cell r="K18416" t="str">
            <v>228001</v>
          </cell>
          <cell r="M18416">
            <v>1</v>
          </cell>
          <cell r="R18416">
            <v>46048</v>
          </cell>
          <cell r="S18416">
            <v>228001</v>
          </cell>
        </row>
        <row r="18417">
          <cell r="K18417" t="str">
            <v>212035</v>
          </cell>
          <cell r="M18417">
            <v>4</v>
          </cell>
          <cell r="R18417">
            <v>46048</v>
          </cell>
          <cell r="S18417">
            <v>212035</v>
          </cell>
        </row>
        <row r="18418">
          <cell r="K18418" t="str">
            <v>212035</v>
          </cell>
          <cell r="M18418">
            <v>1</v>
          </cell>
          <cell r="R18418">
            <v>46048</v>
          </cell>
          <cell r="S18418">
            <v>212035</v>
          </cell>
        </row>
        <row r="18419">
          <cell r="K18419" t="str">
            <v>231012</v>
          </cell>
          <cell r="M18419">
            <v>1</v>
          </cell>
          <cell r="R18419">
            <v>46048</v>
          </cell>
          <cell r="S18419">
            <v>231012</v>
          </cell>
        </row>
        <row r="18420">
          <cell r="K18420" t="str">
            <v>213022</v>
          </cell>
          <cell r="M18420">
            <v>1</v>
          </cell>
          <cell r="R18420">
            <v>46048</v>
          </cell>
          <cell r="S18420">
            <v>213022</v>
          </cell>
        </row>
        <row r="18421">
          <cell r="K18421" t="str">
            <v>228001</v>
          </cell>
          <cell r="M18421">
            <v>2</v>
          </cell>
          <cell r="R18421">
            <v>46048</v>
          </cell>
          <cell r="S18421">
            <v>228001</v>
          </cell>
        </row>
        <row r="18422">
          <cell r="K18422" t="str">
            <v>228001</v>
          </cell>
          <cell r="M18422">
            <v>2</v>
          </cell>
          <cell r="R18422">
            <v>46048</v>
          </cell>
          <cell r="S18422">
            <v>228001</v>
          </cell>
        </row>
        <row r="18423">
          <cell r="K18423" t="str">
            <v>229004</v>
          </cell>
          <cell r="M18423">
            <v>2</v>
          </cell>
          <cell r="R18423">
            <v>46048</v>
          </cell>
          <cell r="S18423">
            <v>229004</v>
          </cell>
        </row>
        <row r="18424">
          <cell r="K18424" t="str">
            <v>231012</v>
          </cell>
          <cell r="M18424">
            <v>1</v>
          </cell>
          <cell r="R18424">
            <v>46048</v>
          </cell>
          <cell r="S18424">
            <v>231012</v>
          </cell>
        </row>
        <row r="18425">
          <cell r="K18425" t="str">
            <v>201011</v>
          </cell>
          <cell r="M18425">
            <v>4</v>
          </cell>
          <cell r="R18425">
            <v>46048</v>
          </cell>
          <cell r="S18425">
            <v>201011</v>
          </cell>
        </row>
        <row r="18426">
          <cell r="K18426" t="str">
            <v>228001</v>
          </cell>
          <cell r="M18426">
            <v>4</v>
          </cell>
          <cell r="R18426">
            <v>46048</v>
          </cell>
          <cell r="S18426">
            <v>228001</v>
          </cell>
        </row>
        <row r="18427">
          <cell r="K18427" t="str">
            <v>209001</v>
          </cell>
          <cell r="M18427">
            <v>2</v>
          </cell>
          <cell r="R18427">
            <v>46048</v>
          </cell>
          <cell r="S18427">
            <v>209001</v>
          </cell>
        </row>
        <row r="18428">
          <cell r="K18428" t="str">
            <v>210015</v>
          </cell>
          <cell r="M18428">
            <v>9</v>
          </cell>
          <cell r="R18428">
            <v>46048</v>
          </cell>
          <cell r="S18428">
            <v>210015</v>
          </cell>
        </row>
        <row r="18429">
          <cell r="K18429" t="str">
            <v>217011</v>
          </cell>
          <cell r="M18429">
            <v>2</v>
          </cell>
          <cell r="R18429">
            <v>46048</v>
          </cell>
          <cell r="S18429">
            <v>217011</v>
          </cell>
        </row>
        <row r="18430">
          <cell r="K18430" t="str">
            <v>226023</v>
          </cell>
          <cell r="M18430">
            <v>1</v>
          </cell>
          <cell r="R18430">
            <v>46049</v>
          </cell>
          <cell r="S18430">
            <v>226023</v>
          </cell>
        </row>
        <row r="18431">
          <cell r="K18431" t="str">
            <v>228001</v>
          </cell>
          <cell r="M18431">
            <v>1</v>
          </cell>
          <cell r="R18431">
            <v>46049</v>
          </cell>
          <cell r="S18431">
            <v>228001</v>
          </cell>
        </row>
        <row r="18432">
          <cell r="K18432" t="str">
            <v>228001</v>
          </cell>
          <cell r="M18432">
            <v>3</v>
          </cell>
          <cell r="R18432">
            <v>46048</v>
          </cell>
          <cell r="S18432">
            <v>228001</v>
          </cell>
        </row>
        <row r="18433">
          <cell r="K18433" t="str">
            <v>228001</v>
          </cell>
          <cell r="M18433">
            <v>1</v>
          </cell>
          <cell r="R18433">
            <v>46049</v>
          </cell>
          <cell r="S18433">
            <v>228001</v>
          </cell>
        </row>
        <row r="18434">
          <cell r="K18434" t="str">
            <v>209017</v>
          </cell>
          <cell r="M18434">
            <v>1</v>
          </cell>
          <cell r="R18434">
            <v>46049</v>
          </cell>
          <cell r="S18434">
            <v>209017</v>
          </cell>
        </row>
        <row r="18435">
          <cell r="K18435" t="str">
            <v>212002</v>
          </cell>
          <cell r="M18435">
            <v>1</v>
          </cell>
          <cell r="R18435">
            <v>46048</v>
          </cell>
          <cell r="S18435">
            <v>212002</v>
          </cell>
        </row>
        <row r="18436">
          <cell r="K18436" t="str">
            <v>209004</v>
          </cell>
          <cell r="M18436">
            <v>1</v>
          </cell>
          <cell r="R18436">
            <v>46048</v>
          </cell>
          <cell r="S18436">
            <v>209004</v>
          </cell>
        </row>
        <row r="18437">
          <cell r="K18437" t="str">
            <v>213002</v>
          </cell>
          <cell r="M18437">
            <v>1</v>
          </cell>
          <cell r="R18437">
            <v>46048</v>
          </cell>
          <cell r="S18437">
            <v>213002</v>
          </cell>
        </row>
        <row r="18438">
          <cell r="K18438" t="str">
            <v>228001</v>
          </cell>
          <cell r="M18438">
            <v>3</v>
          </cell>
          <cell r="R18438">
            <v>46048</v>
          </cell>
          <cell r="S18438">
            <v>228001</v>
          </cell>
        </row>
        <row r="18439">
          <cell r="K18439" t="str">
            <v>223001</v>
          </cell>
          <cell r="M18439">
            <v>4</v>
          </cell>
          <cell r="R18439">
            <v>46049</v>
          </cell>
          <cell r="S18439">
            <v>223001</v>
          </cell>
        </row>
        <row r="18440">
          <cell r="K18440" t="str">
            <v>209001</v>
          </cell>
          <cell r="M18440">
            <v>1</v>
          </cell>
          <cell r="R18440">
            <v>46049</v>
          </cell>
          <cell r="S18440">
            <v>209001</v>
          </cell>
        </row>
        <row r="18441">
          <cell r="K18441" t="str">
            <v>201001</v>
          </cell>
          <cell r="M18441">
            <v>3</v>
          </cell>
          <cell r="R18441">
            <v>46049</v>
          </cell>
          <cell r="S18441">
            <v>201001</v>
          </cell>
        </row>
        <row r="18442">
          <cell r="K18442" t="str">
            <v>241001</v>
          </cell>
          <cell r="M18442">
            <v>2</v>
          </cell>
          <cell r="R18442">
            <v>46049</v>
          </cell>
          <cell r="S18442">
            <v>241001</v>
          </cell>
        </row>
        <row r="18443">
          <cell r="K18443" t="str">
            <v>231012</v>
          </cell>
          <cell r="M18443">
            <v>3</v>
          </cell>
          <cell r="R18443">
            <v>46048</v>
          </cell>
          <cell r="S18443">
            <v>231012</v>
          </cell>
        </row>
        <row r="18444">
          <cell r="K18444" t="str">
            <v>226001</v>
          </cell>
          <cell r="M18444">
            <v>1</v>
          </cell>
          <cell r="R18444">
            <v>46048</v>
          </cell>
          <cell r="S18444">
            <v>226001</v>
          </cell>
        </row>
        <row r="18445">
          <cell r="K18445" t="str">
            <v>227002</v>
          </cell>
          <cell r="M18445">
            <v>2</v>
          </cell>
          <cell r="R18445">
            <v>46048</v>
          </cell>
          <cell r="S18445">
            <v>227002</v>
          </cell>
        </row>
        <row r="18446">
          <cell r="K18446" t="str">
            <v>217018</v>
          </cell>
          <cell r="M18446">
            <v>2</v>
          </cell>
          <cell r="R18446">
            <v>46049</v>
          </cell>
          <cell r="S18446">
            <v>217018</v>
          </cell>
        </row>
        <row r="18447">
          <cell r="K18447" t="str">
            <v>209001</v>
          </cell>
          <cell r="M18447">
            <v>4</v>
          </cell>
          <cell r="R18447">
            <v>46048</v>
          </cell>
          <cell r="S18447">
            <v>209001</v>
          </cell>
        </row>
        <row r="18448">
          <cell r="K18448" t="str">
            <v>228001</v>
          </cell>
          <cell r="M18448">
            <v>1</v>
          </cell>
          <cell r="R18448">
            <v>46048</v>
          </cell>
          <cell r="S18448">
            <v>228001</v>
          </cell>
        </row>
        <row r="18449">
          <cell r="K18449" t="str">
            <v>212002</v>
          </cell>
          <cell r="M18449">
            <v>1</v>
          </cell>
          <cell r="R18449">
            <v>46048</v>
          </cell>
          <cell r="S18449">
            <v>212002</v>
          </cell>
        </row>
        <row r="18450">
          <cell r="K18450" t="str">
            <v>213022</v>
          </cell>
          <cell r="M18450">
            <v>1</v>
          </cell>
          <cell r="R18450">
            <v>46048</v>
          </cell>
          <cell r="S18450">
            <v>213022</v>
          </cell>
        </row>
        <row r="18451">
          <cell r="K18451" t="str">
            <v>209004</v>
          </cell>
          <cell r="M18451">
            <v>1</v>
          </cell>
          <cell r="R18451">
            <v>46048</v>
          </cell>
          <cell r="S18451">
            <v>209004</v>
          </cell>
        </row>
        <row r="18452">
          <cell r="K18452" t="str">
            <v>213022</v>
          </cell>
          <cell r="M18452">
            <v>1</v>
          </cell>
          <cell r="R18452">
            <v>46047</v>
          </cell>
          <cell r="S18452">
            <v>213022</v>
          </cell>
        </row>
        <row r="18453">
          <cell r="K18453" t="str">
            <v>213022</v>
          </cell>
          <cell r="M18453">
            <v>4</v>
          </cell>
          <cell r="R18453">
            <v>46049</v>
          </cell>
          <cell r="S18453">
            <v>213022</v>
          </cell>
        </row>
        <row r="18454">
          <cell r="K18454" t="str">
            <v>229001</v>
          </cell>
          <cell r="M18454">
            <v>1</v>
          </cell>
          <cell r="R18454">
            <v>46049</v>
          </cell>
          <cell r="S18454">
            <v>229001</v>
          </cell>
        </row>
        <row r="18455">
          <cell r="K18455" t="str">
            <v>228001</v>
          </cell>
          <cell r="M18455">
            <v>2</v>
          </cell>
          <cell r="R18455">
            <v>46049</v>
          </cell>
          <cell r="S18455">
            <v>228001</v>
          </cell>
        </row>
        <row r="18456">
          <cell r="K18456" t="str">
            <v>213002</v>
          </cell>
          <cell r="M18456">
            <v>1</v>
          </cell>
          <cell r="R18456">
            <v>46049</v>
          </cell>
          <cell r="S18456">
            <v>213002</v>
          </cell>
        </row>
        <row r="18457">
          <cell r="K18457" t="str">
            <v>231012</v>
          </cell>
          <cell r="M18457">
            <v>1</v>
          </cell>
          <cell r="R18457">
            <v>46049</v>
          </cell>
          <cell r="S18457">
            <v>231012</v>
          </cell>
        </row>
        <row r="18458">
          <cell r="K18458" t="str">
            <v>228001</v>
          </cell>
          <cell r="M18458">
            <v>1</v>
          </cell>
          <cell r="R18458">
            <v>46048</v>
          </cell>
          <cell r="S18458">
            <v>228001</v>
          </cell>
        </row>
        <row r="18459">
          <cell r="K18459" t="str">
            <v>223002</v>
          </cell>
          <cell r="M18459">
            <v>1</v>
          </cell>
          <cell r="R18459">
            <v>46049</v>
          </cell>
          <cell r="S18459">
            <v>223002</v>
          </cell>
        </row>
        <row r="18460">
          <cell r="K18460" t="str">
            <v>201001</v>
          </cell>
          <cell r="M18460">
            <v>1</v>
          </cell>
          <cell r="R18460">
            <v>46049</v>
          </cell>
          <cell r="S18460">
            <v>201001</v>
          </cell>
        </row>
        <row r="18461">
          <cell r="K18461" t="str">
            <v>231010</v>
          </cell>
          <cell r="M18461">
            <v>1</v>
          </cell>
          <cell r="R18461">
            <v>46049</v>
          </cell>
          <cell r="S18461">
            <v>231010</v>
          </cell>
        </row>
        <row r="18462">
          <cell r="K18462" t="str">
            <v>203003</v>
          </cell>
          <cell r="M18462">
            <v>2</v>
          </cell>
          <cell r="R18462">
            <v>46049</v>
          </cell>
          <cell r="S18462">
            <v>203003</v>
          </cell>
        </row>
        <row r="18463">
          <cell r="K18463" t="str">
            <v>217023</v>
          </cell>
          <cell r="M18463">
            <v>1</v>
          </cell>
          <cell r="R18463">
            <v>46049</v>
          </cell>
          <cell r="S18463">
            <v>217023</v>
          </cell>
        </row>
        <row r="18464">
          <cell r="K18464" t="str">
            <v>223003</v>
          </cell>
          <cell r="M18464">
            <v>1</v>
          </cell>
          <cell r="R18464">
            <v>46049</v>
          </cell>
          <cell r="S18464">
            <v>223003</v>
          </cell>
        </row>
        <row r="18465">
          <cell r="K18465" t="str">
            <v>228001</v>
          </cell>
          <cell r="M18465">
            <v>9</v>
          </cell>
          <cell r="R18465">
            <v>46049</v>
          </cell>
          <cell r="S18465">
            <v>228001</v>
          </cell>
        </row>
        <row r="18466">
          <cell r="K18466" t="str">
            <v>228001</v>
          </cell>
          <cell r="M18466">
            <v>7</v>
          </cell>
          <cell r="R18466">
            <v>46049</v>
          </cell>
          <cell r="S18466">
            <v>228001</v>
          </cell>
        </row>
        <row r="18467">
          <cell r="K18467" t="str">
            <v>201011</v>
          </cell>
          <cell r="M18467">
            <v>2</v>
          </cell>
          <cell r="R18467">
            <v>46049</v>
          </cell>
          <cell r="S18467">
            <v>201011</v>
          </cell>
        </row>
        <row r="18468">
          <cell r="K18468" t="str">
            <v>241001</v>
          </cell>
          <cell r="M18468">
            <v>6</v>
          </cell>
          <cell r="R18468">
            <v>46049</v>
          </cell>
          <cell r="S18468">
            <v>241001</v>
          </cell>
        </row>
        <row r="18469">
          <cell r="K18469" t="str">
            <v>227012</v>
          </cell>
          <cell r="M18469">
            <v>1</v>
          </cell>
          <cell r="R18469">
            <v>46049</v>
          </cell>
          <cell r="S18469">
            <v>227012</v>
          </cell>
        </row>
        <row r="18470">
          <cell r="K18470" t="str">
            <v>228001</v>
          </cell>
          <cell r="M18470">
            <v>1</v>
          </cell>
          <cell r="R18470">
            <v>46049</v>
          </cell>
          <cell r="S18470">
            <v>228001</v>
          </cell>
        </row>
        <row r="18471">
          <cell r="K18471" t="str">
            <v>226001</v>
          </cell>
          <cell r="M18471">
            <v>2</v>
          </cell>
          <cell r="R18471">
            <v>46049</v>
          </cell>
          <cell r="S18471">
            <v>226001</v>
          </cell>
        </row>
        <row r="18472">
          <cell r="K18472" t="str">
            <v>201011</v>
          </cell>
          <cell r="M18472">
            <v>10</v>
          </cell>
          <cell r="R18472">
            <v>46049</v>
          </cell>
          <cell r="S18472">
            <v>201011</v>
          </cell>
        </row>
        <row r="18473">
          <cell r="K18473" t="str">
            <v>220002</v>
          </cell>
          <cell r="M18473">
            <v>1</v>
          </cell>
          <cell r="R18473">
            <v>46049</v>
          </cell>
          <cell r="S18473">
            <v>220002</v>
          </cell>
        </row>
        <row r="18474">
          <cell r="K18474" t="str">
            <v>212035</v>
          </cell>
          <cell r="M18474">
            <v>3</v>
          </cell>
          <cell r="R18474">
            <v>46049</v>
          </cell>
          <cell r="S18474">
            <v>212035</v>
          </cell>
        </row>
        <row r="18475">
          <cell r="K18475" t="str">
            <v>201024</v>
          </cell>
          <cell r="M18475">
            <v>6</v>
          </cell>
          <cell r="R18475">
            <v>46049</v>
          </cell>
          <cell r="S18475">
            <v>201024</v>
          </cell>
        </row>
        <row r="18476">
          <cell r="K18476" t="str">
            <v>217018</v>
          </cell>
          <cell r="M18476">
            <v>1</v>
          </cell>
          <cell r="R18476">
            <v>46049</v>
          </cell>
          <cell r="S18476">
            <v>217018</v>
          </cell>
        </row>
        <row r="18477">
          <cell r="K18477" t="str">
            <v>203003</v>
          </cell>
          <cell r="M18477">
            <v>2</v>
          </cell>
          <cell r="R18477">
            <v>46049</v>
          </cell>
          <cell r="S18477">
            <v>203003</v>
          </cell>
        </row>
        <row r="18478">
          <cell r="K18478" t="str">
            <v>231010</v>
          </cell>
          <cell r="M18478">
            <v>4</v>
          </cell>
          <cell r="R18478">
            <v>46049</v>
          </cell>
          <cell r="S18478">
            <v>231010</v>
          </cell>
        </row>
        <row r="18479">
          <cell r="K18479" t="str">
            <v>213022</v>
          </cell>
          <cell r="M18479">
            <v>1</v>
          </cell>
          <cell r="R18479">
            <v>46049</v>
          </cell>
          <cell r="S18479">
            <v>213022</v>
          </cell>
        </row>
        <row r="18480">
          <cell r="K18480" t="str">
            <v>229001</v>
          </cell>
          <cell r="M18480">
            <v>10</v>
          </cell>
          <cell r="R18480">
            <v>46049</v>
          </cell>
          <cell r="S18480">
            <v>229001</v>
          </cell>
        </row>
        <row r="18481">
          <cell r="K18481" t="str">
            <v>207017</v>
          </cell>
          <cell r="M18481">
            <v>1</v>
          </cell>
          <cell r="R18481">
            <v>46049</v>
          </cell>
          <cell r="S18481">
            <v>207017</v>
          </cell>
        </row>
        <row r="18482">
          <cell r="K18482" t="str">
            <v>212002</v>
          </cell>
          <cell r="M18482">
            <v>1</v>
          </cell>
          <cell r="R18482">
            <v>46049</v>
          </cell>
          <cell r="S18482">
            <v>212002</v>
          </cell>
        </row>
        <row r="18483">
          <cell r="K18483" t="str">
            <v>226001</v>
          </cell>
          <cell r="M18483">
            <v>2</v>
          </cell>
          <cell r="R18483">
            <v>46049</v>
          </cell>
          <cell r="S18483">
            <v>226001</v>
          </cell>
        </row>
        <row r="18484">
          <cell r="K18484" t="str">
            <v>217011</v>
          </cell>
          <cell r="M18484">
            <v>3</v>
          </cell>
          <cell r="R18484">
            <v>46049</v>
          </cell>
          <cell r="S18484">
            <v>217011</v>
          </cell>
        </row>
        <row r="18485">
          <cell r="K18485" t="str">
            <v>213002</v>
          </cell>
          <cell r="M18485">
            <v>12</v>
          </cell>
          <cell r="R18485">
            <v>46049</v>
          </cell>
          <cell r="S18485">
            <v>213002</v>
          </cell>
        </row>
        <row r="18486">
          <cell r="K18486" t="str">
            <v>223002</v>
          </cell>
          <cell r="M18486">
            <v>6</v>
          </cell>
          <cell r="R18486">
            <v>46049</v>
          </cell>
          <cell r="S18486">
            <v>223002</v>
          </cell>
        </row>
        <row r="18487">
          <cell r="K18487" t="str">
            <v>203001</v>
          </cell>
          <cell r="M18487">
            <v>1</v>
          </cell>
          <cell r="R18487">
            <v>46049</v>
          </cell>
          <cell r="S18487">
            <v>203001</v>
          </cell>
        </row>
        <row r="18488">
          <cell r="K18488" t="str">
            <v>201011</v>
          </cell>
          <cell r="M18488">
            <v>36</v>
          </cell>
          <cell r="R18488">
            <v>46049</v>
          </cell>
          <cell r="S18488">
            <v>201011</v>
          </cell>
        </row>
        <row r="18489">
          <cell r="K18489" t="str">
            <v>203001</v>
          </cell>
          <cell r="M18489">
            <v>4</v>
          </cell>
          <cell r="R18489">
            <v>46049</v>
          </cell>
          <cell r="S18489">
            <v>203001</v>
          </cell>
        </row>
        <row r="18490">
          <cell r="K18490" t="str">
            <v>203001</v>
          </cell>
          <cell r="M18490">
            <v>4</v>
          </cell>
          <cell r="R18490">
            <v>46049</v>
          </cell>
          <cell r="S18490">
            <v>203001</v>
          </cell>
        </row>
        <row r="18491">
          <cell r="K18491" t="str">
            <v>231012</v>
          </cell>
          <cell r="M18491">
            <v>1</v>
          </cell>
          <cell r="R18491">
            <v>46049</v>
          </cell>
          <cell r="S18491">
            <v>231012</v>
          </cell>
        </row>
        <row r="18492">
          <cell r="K18492" t="str">
            <v>201011</v>
          </cell>
          <cell r="M18492">
            <v>1</v>
          </cell>
          <cell r="R18492">
            <v>46049</v>
          </cell>
          <cell r="S18492">
            <v>201011</v>
          </cell>
        </row>
        <row r="18493">
          <cell r="K18493" t="str">
            <v>223001</v>
          </cell>
          <cell r="M18493">
            <v>2</v>
          </cell>
          <cell r="R18493">
            <v>46049</v>
          </cell>
          <cell r="S18493">
            <v>223001</v>
          </cell>
        </row>
        <row r="18494">
          <cell r="K18494" t="str">
            <v>223003</v>
          </cell>
          <cell r="M18494">
            <v>1</v>
          </cell>
          <cell r="R18494">
            <v>46049</v>
          </cell>
          <cell r="S18494">
            <v>223003</v>
          </cell>
        </row>
        <row r="18495">
          <cell r="K18495" t="str">
            <v>223002</v>
          </cell>
          <cell r="M18495">
            <v>2</v>
          </cell>
          <cell r="R18495">
            <v>46049</v>
          </cell>
          <cell r="S18495">
            <v>223002</v>
          </cell>
        </row>
        <row r="18496">
          <cell r="K18496" t="str">
            <v>223001</v>
          </cell>
          <cell r="M18496">
            <v>2</v>
          </cell>
          <cell r="R18496">
            <v>46049</v>
          </cell>
          <cell r="S18496">
            <v>223001</v>
          </cell>
        </row>
        <row r="18497">
          <cell r="K18497" t="str">
            <v>223003</v>
          </cell>
          <cell r="M18497">
            <v>4</v>
          </cell>
          <cell r="R18497">
            <v>46049</v>
          </cell>
          <cell r="S18497">
            <v>223003</v>
          </cell>
        </row>
        <row r="18498">
          <cell r="K18498" t="str">
            <v>226029</v>
          </cell>
          <cell r="M18498">
            <v>1</v>
          </cell>
          <cell r="R18498">
            <v>46049</v>
          </cell>
          <cell r="S18498">
            <v>226029</v>
          </cell>
        </row>
        <row r="18499">
          <cell r="K18499" t="str">
            <v>226022</v>
          </cell>
          <cell r="M18499">
            <v>1</v>
          </cell>
          <cell r="R18499">
            <v>46049</v>
          </cell>
          <cell r="S18499">
            <v>226022</v>
          </cell>
        </row>
        <row r="18500">
          <cell r="K18500" t="str">
            <v>231006</v>
          </cell>
          <cell r="M18500">
            <v>1</v>
          </cell>
          <cell r="R18500">
            <v>46049</v>
          </cell>
          <cell r="S18500">
            <v>231006</v>
          </cell>
        </row>
        <row r="18501">
          <cell r="K18501" t="str">
            <v>207017</v>
          </cell>
          <cell r="M18501">
            <v>2</v>
          </cell>
          <cell r="R18501">
            <v>46049</v>
          </cell>
          <cell r="S18501">
            <v>207017</v>
          </cell>
        </row>
        <row r="18502">
          <cell r="K18502" t="str">
            <v>229003</v>
          </cell>
          <cell r="M18502">
            <v>1</v>
          </cell>
          <cell r="R18502">
            <v>46049</v>
          </cell>
          <cell r="S18502">
            <v>229003</v>
          </cell>
        </row>
        <row r="18503">
          <cell r="K18503" t="str">
            <v>203004</v>
          </cell>
          <cell r="M18503">
            <v>1</v>
          </cell>
          <cell r="R18503">
            <v>46049</v>
          </cell>
          <cell r="S18503">
            <v>203004</v>
          </cell>
        </row>
        <row r="18504">
          <cell r="K18504" t="str">
            <v>201028</v>
          </cell>
          <cell r="M18504">
            <v>2</v>
          </cell>
          <cell r="R18504">
            <v>46049</v>
          </cell>
          <cell r="S18504">
            <v>201028</v>
          </cell>
        </row>
        <row r="18505">
          <cell r="K18505" t="str">
            <v>227002</v>
          </cell>
          <cell r="M18505">
            <v>1</v>
          </cell>
          <cell r="R18505">
            <v>46049</v>
          </cell>
          <cell r="S18505">
            <v>227002</v>
          </cell>
        </row>
        <row r="18506">
          <cell r="K18506" t="str">
            <v>217024</v>
          </cell>
          <cell r="M18506">
            <v>1</v>
          </cell>
          <cell r="R18506">
            <v>46049</v>
          </cell>
          <cell r="S18506">
            <v>217024</v>
          </cell>
        </row>
        <row r="18507">
          <cell r="K18507" t="str">
            <v>224001</v>
          </cell>
          <cell r="M18507">
            <v>1</v>
          </cell>
          <cell r="R18507">
            <v>46049</v>
          </cell>
          <cell r="S18507">
            <v>224001</v>
          </cell>
        </row>
        <row r="18508">
          <cell r="K18508" t="str">
            <v>212002</v>
          </cell>
          <cell r="M18508">
            <v>1</v>
          </cell>
          <cell r="R18508">
            <v>46049</v>
          </cell>
          <cell r="S18508">
            <v>212002</v>
          </cell>
        </row>
        <row r="18509">
          <cell r="K18509" t="str">
            <v>210013</v>
          </cell>
          <cell r="M18509">
            <v>3</v>
          </cell>
          <cell r="R18509">
            <v>46049</v>
          </cell>
          <cell r="S18509">
            <v>210013</v>
          </cell>
        </row>
        <row r="18510">
          <cell r="K18510" t="str">
            <v>220002</v>
          </cell>
          <cell r="M18510">
            <v>2</v>
          </cell>
          <cell r="R18510">
            <v>46049</v>
          </cell>
          <cell r="S18510">
            <v>220002</v>
          </cell>
        </row>
        <row r="18511">
          <cell r="K18511" t="str">
            <v>231012</v>
          </cell>
          <cell r="M18511">
            <v>2</v>
          </cell>
          <cell r="R18511">
            <v>46049</v>
          </cell>
          <cell r="S18511">
            <v>231012</v>
          </cell>
        </row>
        <row r="18512">
          <cell r="K18512" t="str">
            <v>228001</v>
          </cell>
          <cell r="M18512">
            <v>5</v>
          </cell>
          <cell r="R18512">
            <v>46049</v>
          </cell>
          <cell r="S18512">
            <v>228001</v>
          </cell>
        </row>
        <row r="18513">
          <cell r="K18513" t="str">
            <v>210013</v>
          </cell>
          <cell r="M18513">
            <v>2</v>
          </cell>
          <cell r="R18513">
            <v>46049</v>
          </cell>
          <cell r="S18513">
            <v>210013</v>
          </cell>
        </row>
        <row r="18514">
          <cell r="K18514" t="str">
            <v>217022</v>
          </cell>
          <cell r="M18514">
            <v>2</v>
          </cell>
          <cell r="R18514">
            <v>46049</v>
          </cell>
          <cell r="S18514">
            <v>217022</v>
          </cell>
        </row>
        <row r="18515">
          <cell r="K18515" t="str">
            <v>203001</v>
          </cell>
          <cell r="M18515">
            <v>1</v>
          </cell>
          <cell r="R18515">
            <v>46049</v>
          </cell>
          <cell r="S18515">
            <v>203001</v>
          </cell>
        </row>
        <row r="18516">
          <cell r="K18516" t="str">
            <v>201001</v>
          </cell>
          <cell r="M18516">
            <v>4</v>
          </cell>
          <cell r="R18516">
            <v>46049</v>
          </cell>
          <cell r="S18516">
            <v>201001</v>
          </cell>
        </row>
        <row r="18517">
          <cell r="K18517" t="str">
            <v>213002</v>
          </cell>
          <cell r="M18517">
            <v>2</v>
          </cell>
          <cell r="R18517">
            <v>46049</v>
          </cell>
          <cell r="S18517">
            <v>213002</v>
          </cell>
        </row>
        <row r="18518">
          <cell r="K18518" t="str">
            <v>222001</v>
          </cell>
          <cell r="M18518">
            <v>1</v>
          </cell>
          <cell r="R18518">
            <v>46049</v>
          </cell>
          <cell r="S18518">
            <v>222001</v>
          </cell>
        </row>
        <row r="18519">
          <cell r="K18519" t="str">
            <v>228001</v>
          </cell>
          <cell r="M18519">
            <v>1</v>
          </cell>
          <cell r="R18519">
            <v>46050</v>
          </cell>
          <cell r="S18519">
            <v>228001</v>
          </cell>
        </row>
        <row r="18520">
          <cell r="K18520" t="str">
            <v>231006</v>
          </cell>
          <cell r="M18520">
            <v>1</v>
          </cell>
          <cell r="R18520">
            <v>46050</v>
          </cell>
          <cell r="S18520">
            <v>231006</v>
          </cell>
        </row>
        <row r="18521">
          <cell r="K18521" t="str">
            <v>202001</v>
          </cell>
          <cell r="M18521">
            <v>1</v>
          </cell>
          <cell r="R18521">
            <v>46050</v>
          </cell>
          <cell r="S18521">
            <v>202001</v>
          </cell>
        </row>
        <row r="18522">
          <cell r="K18522" t="str">
            <v>203003</v>
          </cell>
          <cell r="M18522">
            <v>1</v>
          </cell>
          <cell r="R18522">
            <v>46050</v>
          </cell>
          <cell r="S18522">
            <v>203003</v>
          </cell>
        </row>
        <row r="18523">
          <cell r="K18523" t="str">
            <v>228001</v>
          </cell>
          <cell r="M18523">
            <v>1</v>
          </cell>
          <cell r="R18523">
            <v>46049</v>
          </cell>
          <cell r="S18523">
            <v>228001</v>
          </cell>
        </row>
        <row r="18524">
          <cell r="K18524" t="str">
            <v>201011</v>
          </cell>
          <cell r="M18524">
            <v>14</v>
          </cell>
          <cell r="R18524">
            <v>46049</v>
          </cell>
          <cell r="S18524">
            <v>201011</v>
          </cell>
        </row>
        <row r="18525">
          <cell r="K18525" t="str">
            <v>223003</v>
          </cell>
          <cell r="M18525">
            <v>6</v>
          </cell>
          <cell r="R18525">
            <v>46050</v>
          </cell>
          <cell r="S18525">
            <v>223003</v>
          </cell>
        </row>
        <row r="18526">
          <cell r="K18526" t="str">
            <v>223006</v>
          </cell>
          <cell r="M18526">
            <v>1</v>
          </cell>
          <cell r="R18526">
            <v>46050</v>
          </cell>
          <cell r="S18526">
            <v>223006</v>
          </cell>
        </row>
        <row r="18527">
          <cell r="K18527" t="str">
            <v>213022</v>
          </cell>
          <cell r="M18527">
            <v>2</v>
          </cell>
          <cell r="R18527">
            <v>46050</v>
          </cell>
          <cell r="S18527">
            <v>213022</v>
          </cell>
        </row>
        <row r="18528">
          <cell r="K18528" t="str">
            <v>227012</v>
          </cell>
          <cell r="M18528">
            <v>1</v>
          </cell>
          <cell r="R18528">
            <v>46050</v>
          </cell>
          <cell r="S18528">
            <v>227012</v>
          </cell>
        </row>
        <row r="18529">
          <cell r="K18529" t="str">
            <v>226030</v>
          </cell>
          <cell r="M18529">
            <v>1</v>
          </cell>
          <cell r="R18529">
            <v>46050</v>
          </cell>
          <cell r="S18529">
            <v>226030</v>
          </cell>
        </row>
        <row r="18530">
          <cell r="K18530" t="str">
            <v>217022</v>
          </cell>
          <cell r="M18530">
            <v>5</v>
          </cell>
          <cell r="R18530">
            <v>46050</v>
          </cell>
          <cell r="S18530">
            <v>217022</v>
          </cell>
        </row>
        <row r="18531">
          <cell r="K18531" t="str">
            <v>231012</v>
          </cell>
          <cell r="M18531">
            <v>16</v>
          </cell>
          <cell r="R18531">
            <v>46049</v>
          </cell>
          <cell r="S18531">
            <v>231012</v>
          </cell>
        </row>
        <row r="18532">
          <cell r="K18532" t="str">
            <v>209012</v>
          </cell>
          <cell r="M18532">
            <v>4</v>
          </cell>
          <cell r="R18532">
            <v>46049</v>
          </cell>
          <cell r="S18532">
            <v>209012</v>
          </cell>
        </row>
        <row r="18533">
          <cell r="K18533" t="str">
            <v>209004</v>
          </cell>
          <cell r="M18533">
            <v>6</v>
          </cell>
          <cell r="R18533">
            <v>46049</v>
          </cell>
          <cell r="S18533">
            <v>209004</v>
          </cell>
        </row>
        <row r="18534">
          <cell r="K18534" t="str">
            <v>223002</v>
          </cell>
          <cell r="M18534">
            <v>1</v>
          </cell>
          <cell r="R18534">
            <v>46048</v>
          </cell>
          <cell r="S18534">
            <v>223002</v>
          </cell>
        </row>
        <row r="18535">
          <cell r="K18535" t="str">
            <v>223001</v>
          </cell>
          <cell r="M18535">
            <v>8</v>
          </cell>
          <cell r="R18535">
            <v>46050</v>
          </cell>
          <cell r="S18535">
            <v>223001</v>
          </cell>
        </row>
        <row r="18536">
          <cell r="K18536" t="str">
            <v>223002</v>
          </cell>
          <cell r="M18536">
            <v>6</v>
          </cell>
          <cell r="R18536">
            <v>46050</v>
          </cell>
          <cell r="S18536">
            <v>223002</v>
          </cell>
        </row>
        <row r="18537">
          <cell r="K18537" t="str">
            <v>217018</v>
          </cell>
          <cell r="M18537">
            <v>1</v>
          </cell>
          <cell r="R18537">
            <v>46050</v>
          </cell>
          <cell r="S18537">
            <v>217018</v>
          </cell>
        </row>
        <row r="18538">
          <cell r="K18538" t="str">
            <v>226025</v>
          </cell>
          <cell r="M18538">
            <v>2</v>
          </cell>
          <cell r="R18538">
            <v>46050</v>
          </cell>
          <cell r="S18538">
            <v>226025</v>
          </cell>
        </row>
        <row r="18539">
          <cell r="K18539" t="str">
            <v>217011</v>
          </cell>
          <cell r="M18539">
            <v>2</v>
          </cell>
          <cell r="R18539">
            <v>46050</v>
          </cell>
          <cell r="S18539">
            <v>217011</v>
          </cell>
        </row>
        <row r="18540">
          <cell r="K18540" t="str">
            <v>217022</v>
          </cell>
          <cell r="M18540">
            <v>8</v>
          </cell>
          <cell r="R18540">
            <v>46050</v>
          </cell>
          <cell r="S18540">
            <v>217022</v>
          </cell>
        </row>
        <row r="18541">
          <cell r="K18541" t="str">
            <v>217018</v>
          </cell>
          <cell r="M18541">
            <v>3</v>
          </cell>
          <cell r="R18541">
            <v>46050</v>
          </cell>
          <cell r="S18541">
            <v>217018</v>
          </cell>
        </row>
        <row r="18542">
          <cell r="K18542" t="str">
            <v>217021</v>
          </cell>
          <cell r="M18542">
            <v>1</v>
          </cell>
          <cell r="R18542">
            <v>46050</v>
          </cell>
          <cell r="S18542">
            <v>217021</v>
          </cell>
        </row>
        <row r="18543">
          <cell r="K18543" t="str">
            <v>231008</v>
          </cell>
          <cell r="M18543">
            <v>1</v>
          </cell>
          <cell r="R18543">
            <v>46050</v>
          </cell>
          <cell r="S18543">
            <v>231008</v>
          </cell>
        </row>
        <row r="18544">
          <cell r="K18544" t="str">
            <v>228001</v>
          </cell>
          <cell r="M18544">
            <v>3</v>
          </cell>
          <cell r="R18544">
            <v>46051</v>
          </cell>
          <cell r="S18544">
            <v>228001</v>
          </cell>
        </row>
        <row r="18545">
          <cell r="K18545" t="str">
            <v>223002</v>
          </cell>
          <cell r="M18545">
            <v>1</v>
          </cell>
          <cell r="R18545">
            <v>46050</v>
          </cell>
          <cell r="S18545">
            <v>223002</v>
          </cell>
        </row>
        <row r="18546">
          <cell r="K18546" t="str">
            <v>213002</v>
          </cell>
          <cell r="M18546">
            <v>6</v>
          </cell>
          <cell r="R18546">
            <v>46050</v>
          </cell>
          <cell r="S18546">
            <v>213002</v>
          </cell>
        </row>
        <row r="18547">
          <cell r="K18547" t="str">
            <v>228001</v>
          </cell>
          <cell r="M18547">
            <v>6</v>
          </cell>
          <cell r="R18547">
            <v>46050</v>
          </cell>
          <cell r="S18547">
            <v>228001</v>
          </cell>
        </row>
        <row r="18548">
          <cell r="K18548" t="str">
            <v>220002</v>
          </cell>
          <cell r="M18548">
            <v>10</v>
          </cell>
          <cell r="R18548">
            <v>46050</v>
          </cell>
          <cell r="S18548">
            <v>220002</v>
          </cell>
        </row>
        <row r="18549">
          <cell r="K18549" t="str">
            <v>231012</v>
          </cell>
          <cell r="M18549">
            <v>2</v>
          </cell>
          <cell r="R18549">
            <v>46050</v>
          </cell>
          <cell r="S18549">
            <v>231012</v>
          </cell>
        </row>
        <row r="18550">
          <cell r="K18550" t="str">
            <v>210015</v>
          </cell>
          <cell r="M18550">
            <v>6</v>
          </cell>
          <cell r="R18550">
            <v>46050</v>
          </cell>
          <cell r="S18550">
            <v>210015</v>
          </cell>
        </row>
        <row r="18551">
          <cell r="K18551" t="str">
            <v>217011</v>
          </cell>
          <cell r="M18551">
            <v>2</v>
          </cell>
          <cell r="R18551">
            <v>46050</v>
          </cell>
          <cell r="S18551">
            <v>217011</v>
          </cell>
        </row>
        <row r="18552">
          <cell r="K18552" t="str">
            <v>213022</v>
          </cell>
          <cell r="M18552">
            <v>41</v>
          </cell>
          <cell r="R18552">
            <v>46050</v>
          </cell>
          <cell r="S18552">
            <v>213022</v>
          </cell>
        </row>
        <row r="18553">
          <cell r="K18553" t="str">
            <v>227012</v>
          </cell>
          <cell r="M18553">
            <v>2</v>
          </cell>
          <cell r="R18553">
            <v>46050</v>
          </cell>
          <cell r="S18553">
            <v>227012</v>
          </cell>
        </row>
        <row r="18554">
          <cell r="K18554" t="str">
            <v>226001</v>
          </cell>
          <cell r="M18554">
            <v>3</v>
          </cell>
          <cell r="R18554">
            <v>46050</v>
          </cell>
          <cell r="S18554">
            <v>226001</v>
          </cell>
        </row>
        <row r="18555">
          <cell r="K18555" t="str">
            <v>226001</v>
          </cell>
          <cell r="M18555">
            <v>1</v>
          </cell>
          <cell r="R18555">
            <v>46050</v>
          </cell>
          <cell r="S18555">
            <v>226001</v>
          </cell>
        </row>
        <row r="18556">
          <cell r="K18556" t="str">
            <v>231010</v>
          </cell>
          <cell r="M18556">
            <v>1</v>
          </cell>
          <cell r="R18556">
            <v>46050</v>
          </cell>
          <cell r="S18556">
            <v>231010</v>
          </cell>
        </row>
        <row r="18557">
          <cell r="K18557" t="str">
            <v>226001</v>
          </cell>
          <cell r="M18557">
            <v>4</v>
          </cell>
          <cell r="R18557">
            <v>46050</v>
          </cell>
          <cell r="S18557">
            <v>226001</v>
          </cell>
        </row>
        <row r="18558">
          <cell r="K18558" t="str">
            <v>201001</v>
          </cell>
          <cell r="M18558">
            <v>2</v>
          </cell>
          <cell r="R18558">
            <v>46050</v>
          </cell>
          <cell r="S18558">
            <v>201001</v>
          </cell>
        </row>
        <row r="18559">
          <cell r="K18559" t="str">
            <v>228001</v>
          </cell>
          <cell r="M18559">
            <v>14</v>
          </cell>
          <cell r="R18559">
            <v>46050</v>
          </cell>
          <cell r="S18559">
            <v>228001</v>
          </cell>
        </row>
        <row r="18560">
          <cell r="K18560" t="str">
            <v>212002</v>
          </cell>
          <cell r="M18560">
            <v>4</v>
          </cell>
          <cell r="R18560">
            <v>46050</v>
          </cell>
          <cell r="S18560">
            <v>212002</v>
          </cell>
        </row>
        <row r="18561">
          <cell r="K18561" t="str">
            <v>231012</v>
          </cell>
          <cell r="M18561">
            <v>1</v>
          </cell>
          <cell r="R18561">
            <v>46050</v>
          </cell>
          <cell r="S18561">
            <v>231012</v>
          </cell>
        </row>
        <row r="18562">
          <cell r="K18562" t="str">
            <v>234011</v>
          </cell>
          <cell r="M18562">
            <v>2</v>
          </cell>
          <cell r="R18562">
            <v>46050</v>
          </cell>
          <cell r="S18562">
            <v>234011</v>
          </cell>
        </row>
        <row r="18563">
          <cell r="K18563" t="str">
            <v>201011</v>
          </cell>
          <cell r="M18563">
            <v>6</v>
          </cell>
          <cell r="R18563">
            <v>46050</v>
          </cell>
          <cell r="S18563">
            <v>201011</v>
          </cell>
        </row>
        <row r="18564">
          <cell r="K18564" t="str">
            <v>223002</v>
          </cell>
          <cell r="M18564">
            <v>1</v>
          </cell>
          <cell r="R18564">
            <v>46051</v>
          </cell>
          <cell r="S18564">
            <v>223002</v>
          </cell>
        </row>
        <row r="18565">
          <cell r="K18565" t="str">
            <v>223006</v>
          </cell>
          <cell r="M18565">
            <v>1</v>
          </cell>
          <cell r="R18565">
            <v>46051</v>
          </cell>
          <cell r="S18565">
            <v>223006</v>
          </cell>
        </row>
        <row r="18566">
          <cell r="K18566" t="str">
            <v>223001</v>
          </cell>
          <cell r="M18566">
            <v>8</v>
          </cell>
          <cell r="R18566">
            <v>46051</v>
          </cell>
          <cell r="S18566">
            <v>223001</v>
          </cell>
        </row>
        <row r="18567">
          <cell r="K18567" t="str">
            <v>227014</v>
          </cell>
          <cell r="M18567">
            <v>1</v>
          </cell>
          <cell r="R18567">
            <v>46051</v>
          </cell>
          <cell r="S18567">
            <v>227014</v>
          </cell>
        </row>
        <row r="18568">
          <cell r="K18568" t="str">
            <v>210014</v>
          </cell>
          <cell r="M18568">
            <v>1</v>
          </cell>
          <cell r="R18568">
            <v>46051</v>
          </cell>
          <cell r="S18568">
            <v>210014</v>
          </cell>
        </row>
        <row r="18569">
          <cell r="K18569" t="str">
            <v>210010</v>
          </cell>
          <cell r="M18569">
            <v>1</v>
          </cell>
          <cell r="R18569">
            <v>46051</v>
          </cell>
          <cell r="S18569">
            <v>210010</v>
          </cell>
        </row>
        <row r="18570">
          <cell r="K18570" t="str">
            <v>213022</v>
          </cell>
          <cell r="M18570">
            <v>1</v>
          </cell>
          <cell r="R18570">
            <v>46050</v>
          </cell>
          <cell r="S18570">
            <v>213022</v>
          </cell>
        </row>
        <row r="18571">
          <cell r="K18571" t="str">
            <v>261004</v>
          </cell>
          <cell r="M18571">
            <v>50</v>
          </cell>
          <cell r="R18571">
            <v>46050</v>
          </cell>
          <cell r="S18571">
            <v>261004</v>
          </cell>
        </row>
        <row r="18572">
          <cell r="K18572" t="str">
            <v>231004</v>
          </cell>
          <cell r="M18572">
            <v>1</v>
          </cell>
          <cell r="R18572">
            <v>46050</v>
          </cell>
          <cell r="S18572">
            <v>231004</v>
          </cell>
        </row>
        <row r="18573">
          <cell r="K18573" t="str">
            <v>231012</v>
          </cell>
          <cell r="M18573">
            <v>10</v>
          </cell>
          <cell r="R18573">
            <v>46050</v>
          </cell>
          <cell r="S18573">
            <v>231012</v>
          </cell>
        </row>
        <row r="18574">
          <cell r="K18574" t="str">
            <v>231004</v>
          </cell>
          <cell r="M18574">
            <v>2</v>
          </cell>
          <cell r="R18574">
            <v>46050</v>
          </cell>
          <cell r="S18574">
            <v>231004</v>
          </cell>
        </row>
        <row r="18575">
          <cell r="K18575" t="str">
            <v>231010</v>
          </cell>
          <cell r="M18575">
            <v>1</v>
          </cell>
          <cell r="R18575">
            <v>46051</v>
          </cell>
          <cell r="S18575">
            <v>231010</v>
          </cell>
        </row>
        <row r="18576">
          <cell r="K18576" t="str">
            <v>201011</v>
          </cell>
          <cell r="M18576">
            <v>1</v>
          </cell>
          <cell r="R18576">
            <v>46051</v>
          </cell>
          <cell r="S18576">
            <v>201011</v>
          </cell>
        </row>
        <row r="18577">
          <cell r="K18577" t="str">
            <v>223001</v>
          </cell>
          <cell r="M18577">
            <v>1</v>
          </cell>
          <cell r="R18577">
            <v>46050</v>
          </cell>
          <cell r="S18577">
            <v>223001</v>
          </cell>
        </row>
        <row r="18578">
          <cell r="K18578" t="str">
            <v>223006</v>
          </cell>
          <cell r="M18578">
            <v>1</v>
          </cell>
          <cell r="R18578">
            <v>46050</v>
          </cell>
          <cell r="S18578">
            <v>223006</v>
          </cell>
        </row>
        <row r="18579">
          <cell r="K18579" t="str">
            <v>223003</v>
          </cell>
          <cell r="M18579">
            <v>1</v>
          </cell>
          <cell r="R18579">
            <v>46050</v>
          </cell>
          <cell r="S18579">
            <v>223003</v>
          </cell>
        </row>
        <row r="18580">
          <cell r="K18580" t="str">
            <v>223001</v>
          </cell>
          <cell r="M18580">
            <v>1</v>
          </cell>
          <cell r="R18580">
            <v>46051</v>
          </cell>
          <cell r="S18580">
            <v>223001</v>
          </cell>
        </row>
        <row r="18581">
          <cell r="K18581" t="str">
            <v>241001</v>
          </cell>
          <cell r="M18581">
            <v>1</v>
          </cell>
          <cell r="R18581">
            <v>46051</v>
          </cell>
          <cell r="S18581">
            <v>241001</v>
          </cell>
        </row>
        <row r="18582">
          <cell r="K18582" t="str">
            <v>223002</v>
          </cell>
          <cell r="M18582">
            <v>1</v>
          </cell>
          <cell r="R18582">
            <v>46051</v>
          </cell>
          <cell r="S18582">
            <v>223002</v>
          </cell>
        </row>
        <row r="18583">
          <cell r="K18583" t="str">
            <v>227002</v>
          </cell>
          <cell r="M18583">
            <v>1</v>
          </cell>
          <cell r="R18583">
            <v>46051</v>
          </cell>
          <cell r="S18583">
            <v>227002</v>
          </cell>
        </row>
        <row r="18584">
          <cell r="K18584" t="str">
            <v>228001</v>
          </cell>
          <cell r="M18584">
            <v>1</v>
          </cell>
          <cell r="R18584">
            <v>46051</v>
          </cell>
          <cell r="S18584">
            <v>228001</v>
          </cell>
        </row>
        <row r="18585">
          <cell r="K18585" t="str">
            <v>212035</v>
          </cell>
          <cell r="M18585">
            <v>2</v>
          </cell>
          <cell r="R18585">
            <v>46051</v>
          </cell>
          <cell r="S18585">
            <v>212035</v>
          </cell>
        </row>
        <row r="18586">
          <cell r="K18586" t="str">
            <v>223001</v>
          </cell>
          <cell r="M18586">
            <v>1</v>
          </cell>
          <cell r="R18586">
            <v>46051</v>
          </cell>
          <cell r="S18586">
            <v>223001</v>
          </cell>
        </row>
        <row r="18587">
          <cell r="K18587" t="str">
            <v>223004</v>
          </cell>
          <cell r="M18587">
            <v>1</v>
          </cell>
          <cell r="R18587">
            <v>46051</v>
          </cell>
          <cell r="S18587">
            <v>223004</v>
          </cell>
        </row>
        <row r="18588">
          <cell r="K18588" t="str">
            <v>213022</v>
          </cell>
          <cell r="M18588">
            <v>1</v>
          </cell>
          <cell r="R18588">
            <v>46050</v>
          </cell>
          <cell r="S18588">
            <v>213022</v>
          </cell>
        </row>
        <row r="18589">
          <cell r="K18589" t="str">
            <v>234001</v>
          </cell>
          <cell r="M18589">
            <v>4</v>
          </cell>
          <cell r="R18589">
            <v>46051</v>
          </cell>
          <cell r="S18589">
            <v>234001</v>
          </cell>
        </row>
        <row r="18590">
          <cell r="K18590" t="str">
            <v>203001</v>
          </cell>
          <cell r="M18590">
            <v>1</v>
          </cell>
          <cell r="R18590">
            <v>46051</v>
          </cell>
          <cell r="S18590">
            <v>203001</v>
          </cell>
        </row>
        <row r="18591">
          <cell r="K18591" t="str">
            <v>231012</v>
          </cell>
          <cell r="M18591">
            <v>1</v>
          </cell>
          <cell r="R18591">
            <v>46051</v>
          </cell>
          <cell r="S18591">
            <v>231012</v>
          </cell>
        </row>
        <row r="18592">
          <cell r="K18592" t="str">
            <v>217022</v>
          </cell>
          <cell r="M18592">
            <v>2</v>
          </cell>
          <cell r="R18592">
            <v>46051</v>
          </cell>
          <cell r="S18592">
            <v>217022</v>
          </cell>
        </row>
        <row r="18593">
          <cell r="K18593" t="str">
            <v>226001</v>
          </cell>
          <cell r="M18593">
            <v>2</v>
          </cell>
          <cell r="R18593">
            <v>46051</v>
          </cell>
          <cell r="S18593">
            <v>226001</v>
          </cell>
        </row>
        <row r="18594">
          <cell r="K18594" t="str">
            <v>201011</v>
          </cell>
          <cell r="M18594">
            <v>20</v>
          </cell>
          <cell r="R18594">
            <v>46051</v>
          </cell>
          <cell r="S18594">
            <v>201011</v>
          </cell>
        </row>
        <row r="18595">
          <cell r="K18595" t="str">
            <v>227012</v>
          </cell>
          <cell r="M18595">
            <v>2</v>
          </cell>
          <cell r="R18595">
            <v>46051</v>
          </cell>
          <cell r="S18595">
            <v>227012</v>
          </cell>
        </row>
        <row r="18596">
          <cell r="K18596" t="str">
            <v>228001</v>
          </cell>
          <cell r="M18596">
            <v>1</v>
          </cell>
          <cell r="R18596">
            <v>46051</v>
          </cell>
          <cell r="S18596">
            <v>228001</v>
          </cell>
        </row>
        <row r="18597">
          <cell r="K18597" t="str">
            <v>207017</v>
          </cell>
          <cell r="M18597">
            <v>1</v>
          </cell>
          <cell r="R18597">
            <v>46051</v>
          </cell>
          <cell r="S18597">
            <v>207017</v>
          </cell>
        </row>
        <row r="18598">
          <cell r="K18598" t="str">
            <v>203001</v>
          </cell>
          <cell r="M18598">
            <v>1</v>
          </cell>
          <cell r="R18598">
            <v>46051</v>
          </cell>
          <cell r="S18598">
            <v>203001</v>
          </cell>
        </row>
        <row r="18599">
          <cell r="K18599" t="str">
            <v>231012</v>
          </cell>
          <cell r="M18599">
            <v>1</v>
          </cell>
          <cell r="R18599">
            <v>46051</v>
          </cell>
          <cell r="S18599">
            <v>231012</v>
          </cell>
        </row>
        <row r="18600">
          <cell r="K18600" t="str">
            <v>228001</v>
          </cell>
          <cell r="M18600">
            <v>1</v>
          </cell>
          <cell r="R18600">
            <v>46051</v>
          </cell>
          <cell r="S18600">
            <v>228001</v>
          </cell>
        </row>
        <row r="18601">
          <cell r="K18601" t="str">
            <v>228001</v>
          </cell>
          <cell r="M18601">
            <v>1</v>
          </cell>
          <cell r="R18601">
            <v>46051</v>
          </cell>
          <cell r="S18601">
            <v>228001</v>
          </cell>
        </row>
        <row r="18602">
          <cell r="K18602" t="str">
            <v>213002</v>
          </cell>
          <cell r="M18602">
            <v>1</v>
          </cell>
          <cell r="R18602">
            <v>46051</v>
          </cell>
          <cell r="S18602">
            <v>213002</v>
          </cell>
        </row>
        <row r="18603">
          <cell r="K18603" t="str">
            <v>241001</v>
          </cell>
          <cell r="M18603">
            <v>3</v>
          </cell>
          <cell r="R18603">
            <v>46051</v>
          </cell>
          <cell r="S18603">
            <v>241001</v>
          </cell>
        </row>
        <row r="18604">
          <cell r="K18604" t="str">
            <v>222007</v>
          </cell>
          <cell r="M18604">
            <v>1</v>
          </cell>
          <cell r="R18604">
            <v>46051</v>
          </cell>
          <cell r="S18604">
            <v>222007</v>
          </cell>
        </row>
        <row r="18605">
          <cell r="K18605" t="str">
            <v>213022</v>
          </cell>
          <cell r="M18605">
            <v>1</v>
          </cell>
          <cell r="R18605">
            <v>46051</v>
          </cell>
          <cell r="S18605">
            <v>213022</v>
          </cell>
        </row>
        <row r="18606">
          <cell r="K18606" t="str">
            <v>227012</v>
          </cell>
          <cell r="M18606">
            <v>4</v>
          </cell>
          <cell r="R18606">
            <v>46051</v>
          </cell>
          <cell r="S18606">
            <v>227012</v>
          </cell>
        </row>
        <row r="18607">
          <cell r="K18607" t="str">
            <v>227014</v>
          </cell>
          <cell r="M18607">
            <v>4</v>
          </cell>
          <cell r="R18607">
            <v>46051</v>
          </cell>
          <cell r="S18607">
            <v>227014</v>
          </cell>
        </row>
        <row r="18608">
          <cell r="K18608" t="str">
            <v>231012</v>
          </cell>
          <cell r="M18608">
            <v>2</v>
          </cell>
          <cell r="R18608">
            <v>46051</v>
          </cell>
          <cell r="S18608">
            <v>231012</v>
          </cell>
        </row>
        <row r="18609">
          <cell r="K18609" t="str">
            <v>228001</v>
          </cell>
          <cell r="M18609">
            <v>1</v>
          </cell>
          <cell r="R18609">
            <v>46051</v>
          </cell>
          <cell r="S18609">
            <v>228001</v>
          </cell>
        </row>
        <row r="18610">
          <cell r="K18610" t="str">
            <v>201011</v>
          </cell>
          <cell r="M18610">
            <v>5</v>
          </cell>
          <cell r="R18610">
            <v>46051</v>
          </cell>
          <cell r="S18610">
            <v>201011</v>
          </cell>
        </row>
        <row r="18611">
          <cell r="K18611" t="str">
            <v>271002</v>
          </cell>
          <cell r="M18611">
            <v>1</v>
          </cell>
          <cell r="R18611">
            <v>46051</v>
          </cell>
          <cell r="S18611">
            <v>271002</v>
          </cell>
        </row>
        <row r="18612">
          <cell r="K18612" t="str">
            <v>201022</v>
          </cell>
          <cell r="M18612">
            <v>1</v>
          </cell>
          <cell r="R18612">
            <v>46051</v>
          </cell>
          <cell r="S18612">
            <v>201022</v>
          </cell>
        </row>
        <row r="18613">
          <cell r="K18613" t="str">
            <v>201001</v>
          </cell>
          <cell r="M18613">
            <v>1</v>
          </cell>
          <cell r="R18613">
            <v>46051</v>
          </cell>
          <cell r="S18613">
            <v>201001</v>
          </cell>
        </row>
        <row r="18614">
          <cell r="K18614" t="str">
            <v>227001</v>
          </cell>
          <cell r="M18614">
            <v>1</v>
          </cell>
          <cell r="R18614">
            <v>46051</v>
          </cell>
          <cell r="S18614">
            <v>227001</v>
          </cell>
        </row>
        <row r="18615">
          <cell r="K18615" t="str">
            <v>231012</v>
          </cell>
          <cell r="M18615">
            <v>1</v>
          </cell>
          <cell r="R18615">
            <v>46051</v>
          </cell>
          <cell r="S18615">
            <v>231012</v>
          </cell>
        </row>
        <row r="18616">
          <cell r="K18616" t="str">
            <v>241001</v>
          </cell>
          <cell r="M18616">
            <v>4</v>
          </cell>
          <cell r="R18616">
            <v>46051</v>
          </cell>
          <cell r="S18616">
            <v>241001</v>
          </cell>
        </row>
        <row r="18617">
          <cell r="K18617" t="str">
            <v>213022</v>
          </cell>
          <cell r="M18617">
            <v>1</v>
          </cell>
          <cell r="R18617">
            <v>46051</v>
          </cell>
          <cell r="S18617">
            <v>213022</v>
          </cell>
        </row>
        <row r="18618">
          <cell r="K18618" t="str">
            <v>241001</v>
          </cell>
          <cell r="M18618">
            <v>1</v>
          </cell>
          <cell r="R18618">
            <v>46051</v>
          </cell>
          <cell r="S18618">
            <v>241001</v>
          </cell>
        </row>
        <row r="18619">
          <cell r="K18619" t="str">
            <v>213022</v>
          </cell>
          <cell r="M18619">
            <v>1</v>
          </cell>
          <cell r="R18619">
            <v>46051</v>
          </cell>
          <cell r="S18619">
            <v>213022</v>
          </cell>
        </row>
        <row r="18620">
          <cell r="K18620" t="str">
            <v>213030</v>
          </cell>
          <cell r="M18620">
            <v>6</v>
          </cell>
          <cell r="R18620">
            <v>46051</v>
          </cell>
          <cell r="S18620">
            <v>213030</v>
          </cell>
        </row>
        <row r="18621">
          <cell r="K18621" t="str">
            <v>228001</v>
          </cell>
          <cell r="M18621">
            <v>2</v>
          </cell>
          <cell r="R18621">
            <v>46051</v>
          </cell>
          <cell r="S18621">
            <v>228001</v>
          </cell>
        </row>
        <row r="18622">
          <cell r="K18622" t="str">
            <v>223002</v>
          </cell>
          <cell r="M18622">
            <v>1</v>
          </cell>
          <cell r="R18622">
            <v>46051</v>
          </cell>
          <cell r="S18622">
            <v>223002</v>
          </cell>
        </row>
        <row r="18623">
          <cell r="K18623" t="str">
            <v>223001</v>
          </cell>
          <cell r="M18623">
            <v>1</v>
          </cell>
          <cell r="R18623">
            <v>46051</v>
          </cell>
          <cell r="S18623">
            <v>223001</v>
          </cell>
        </row>
        <row r="18624">
          <cell r="K18624" t="str">
            <v>226025</v>
          </cell>
          <cell r="M18624">
            <v>2</v>
          </cell>
          <cell r="R18624">
            <v>46051</v>
          </cell>
          <cell r="S18624">
            <v>226025</v>
          </cell>
        </row>
        <row r="18625">
          <cell r="K18625" t="str">
            <v>226027</v>
          </cell>
          <cell r="M18625">
            <v>1</v>
          </cell>
          <cell r="R18625">
            <v>46051</v>
          </cell>
          <cell r="S18625">
            <v>226027</v>
          </cell>
        </row>
        <row r="18626">
          <cell r="K18626" t="str">
            <v>201026</v>
          </cell>
          <cell r="M18626">
            <v>1</v>
          </cell>
          <cell r="R18626">
            <v>46051</v>
          </cell>
          <cell r="S18626">
            <v>201026</v>
          </cell>
        </row>
        <row r="18627">
          <cell r="K18627" t="str">
            <v>261004</v>
          </cell>
          <cell r="M18627">
            <v>1</v>
          </cell>
          <cell r="R18627">
            <v>46051</v>
          </cell>
          <cell r="S18627">
            <v>261004</v>
          </cell>
        </row>
        <row r="18628">
          <cell r="K18628" t="str">
            <v>212010</v>
          </cell>
          <cell r="M18628">
            <v>1</v>
          </cell>
          <cell r="R18628">
            <v>46051</v>
          </cell>
          <cell r="S18628">
            <v>212010</v>
          </cell>
        </row>
        <row r="18629">
          <cell r="K18629" t="str">
            <v>228001</v>
          </cell>
          <cell r="M18629">
            <v>2</v>
          </cell>
          <cell r="R18629">
            <v>46051</v>
          </cell>
          <cell r="S18629">
            <v>228001</v>
          </cell>
        </row>
        <row r="18630">
          <cell r="K18630" t="str">
            <v>261004</v>
          </cell>
          <cell r="M18630">
            <v>50</v>
          </cell>
          <cell r="R18630">
            <v>46051</v>
          </cell>
          <cell r="S18630">
            <v>261004</v>
          </cell>
        </row>
        <row r="18631">
          <cell r="K18631" t="str">
            <v>212010</v>
          </cell>
          <cell r="M18631">
            <v>25</v>
          </cell>
          <cell r="R18631">
            <v>46051</v>
          </cell>
          <cell r="S18631">
            <v>212010</v>
          </cell>
        </row>
        <row r="18632">
          <cell r="K18632" t="str">
            <v>217018</v>
          </cell>
          <cell r="M18632">
            <v>1</v>
          </cell>
          <cell r="R18632">
            <v>46051</v>
          </cell>
          <cell r="S18632">
            <v>217018</v>
          </cell>
        </row>
        <row r="18633">
          <cell r="K18633" t="str">
            <v>201024</v>
          </cell>
          <cell r="M18633">
            <v>4</v>
          </cell>
          <cell r="R18633">
            <v>46051</v>
          </cell>
          <cell r="S18633">
            <v>201024</v>
          </cell>
        </row>
        <row r="18634">
          <cell r="K18634" t="str">
            <v>231012</v>
          </cell>
          <cell r="M18634">
            <v>1</v>
          </cell>
          <cell r="R18634">
            <v>46051</v>
          </cell>
          <cell r="S18634">
            <v>231012</v>
          </cell>
        </row>
        <row r="18635">
          <cell r="K18635" t="str">
            <v>227002</v>
          </cell>
          <cell r="M18635">
            <v>1</v>
          </cell>
          <cell r="R18635">
            <v>46051</v>
          </cell>
          <cell r="S18635">
            <v>227002</v>
          </cell>
        </row>
        <row r="18636">
          <cell r="K18636" t="str">
            <v>201026</v>
          </cell>
          <cell r="M18636">
            <v>1</v>
          </cell>
          <cell r="R18636">
            <v>46051</v>
          </cell>
          <cell r="S18636">
            <v>201026</v>
          </cell>
        </row>
        <row r="18637">
          <cell r="K18637" t="str">
            <v>217022</v>
          </cell>
          <cell r="M18637">
            <v>1</v>
          </cell>
          <cell r="R18637">
            <v>46051</v>
          </cell>
          <cell r="S18637">
            <v>217022</v>
          </cell>
        </row>
        <row r="18638">
          <cell r="K18638" t="str">
            <v>228001</v>
          </cell>
          <cell r="M18638">
            <v>3</v>
          </cell>
          <cell r="R18638">
            <v>46051</v>
          </cell>
          <cell r="S18638">
            <v>228001</v>
          </cell>
        </row>
        <row r="18639">
          <cell r="K18639" t="str">
            <v>228001</v>
          </cell>
          <cell r="M18639">
            <v>4</v>
          </cell>
          <cell r="R18639">
            <v>46051</v>
          </cell>
          <cell r="S18639">
            <v>228001</v>
          </cell>
        </row>
        <row r="18640">
          <cell r="K18640" t="str">
            <v>209001</v>
          </cell>
          <cell r="M18640">
            <v>2</v>
          </cell>
          <cell r="R18640">
            <v>46051</v>
          </cell>
          <cell r="S18640">
            <v>209001</v>
          </cell>
        </row>
        <row r="18641">
          <cell r="K18641" t="str">
            <v>223002</v>
          </cell>
          <cell r="M18641">
            <v>1</v>
          </cell>
          <cell r="R18641">
            <v>46051</v>
          </cell>
          <cell r="S18641">
            <v>223002</v>
          </cell>
        </row>
        <row r="18642">
          <cell r="K18642" t="str">
            <v>220002</v>
          </cell>
          <cell r="M18642">
            <v>1</v>
          </cell>
          <cell r="R18642">
            <v>46051</v>
          </cell>
          <cell r="S18642">
            <v>220002</v>
          </cell>
        </row>
        <row r="18643">
          <cell r="K18643" t="str">
            <v>223001</v>
          </cell>
          <cell r="M18643">
            <v>12</v>
          </cell>
          <cell r="R18643">
            <v>46051</v>
          </cell>
          <cell r="S18643">
            <v>223001</v>
          </cell>
        </row>
        <row r="18644">
          <cell r="K18644" t="str">
            <v>228001</v>
          </cell>
          <cell r="M18644">
            <v>6</v>
          </cell>
          <cell r="R18644">
            <v>46051</v>
          </cell>
          <cell r="S18644">
            <v>228001</v>
          </cell>
        </row>
        <row r="18645">
          <cell r="K18645" t="str">
            <v>228001</v>
          </cell>
          <cell r="M18645">
            <v>2</v>
          </cell>
          <cell r="R18645">
            <v>46051</v>
          </cell>
          <cell r="S18645">
            <v>228001</v>
          </cell>
        </row>
        <row r="18646">
          <cell r="K18646" t="str">
            <v>228001</v>
          </cell>
          <cell r="M18646">
            <v>2</v>
          </cell>
          <cell r="R18646">
            <v>46051</v>
          </cell>
          <cell r="S18646">
            <v>228001</v>
          </cell>
        </row>
        <row r="18647">
          <cell r="K18647" t="str">
            <v>228001</v>
          </cell>
          <cell r="M18647">
            <v>5</v>
          </cell>
          <cell r="R18647">
            <v>46051</v>
          </cell>
          <cell r="S18647">
            <v>228001</v>
          </cell>
        </row>
        <row r="18648">
          <cell r="K18648" t="str">
            <v>226025</v>
          </cell>
          <cell r="M18648">
            <v>3</v>
          </cell>
          <cell r="R18648">
            <v>46051</v>
          </cell>
          <cell r="S18648">
            <v>226025</v>
          </cell>
        </row>
        <row r="18649">
          <cell r="K18649" t="str">
            <v>213022</v>
          </cell>
          <cell r="M18649">
            <v>1</v>
          </cell>
          <cell r="R18649">
            <v>46051</v>
          </cell>
          <cell r="S18649">
            <v>213022</v>
          </cell>
        </row>
        <row r="18650">
          <cell r="K18650" t="str">
            <v>201011</v>
          </cell>
          <cell r="M18650">
            <v>1</v>
          </cell>
          <cell r="R18650">
            <v>46051</v>
          </cell>
          <cell r="S18650">
            <v>201011</v>
          </cell>
        </row>
        <row r="18651">
          <cell r="K18651" t="str">
            <v>223001</v>
          </cell>
          <cell r="M18651">
            <v>4</v>
          </cell>
          <cell r="R18651">
            <v>46052</v>
          </cell>
          <cell r="S18651">
            <v>223001</v>
          </cell>
        </row>
        <row r="18652">
          <cell r="K18652" t="str">
            <v>241001</v>
          </cell>
          <cell r="M18652">
            <v>2</v>
          </cell>
          <cell r="R18652">
            <v>46052</v>
          </cell>
          <cell r="S18652">
            <v>241001</v>
          </cell>
        </row>
        <row r="18653">
          <cell r="K18653" t="str">
            <v>223002</v>
          </cell>
          <cell r="M18653">
            <v>1</v>
          </cell>
          <cell r="R18653">
            <v>46052</v>
          </cell>
          <cell r="S18653">
            <v>223002</v>
          </cell>
        </row>
        <row r="18654">
          <cell r="K18654" t="str">
            <v>234011</v>
          </cell>
          <cell r="M18654">
            <v>1</v>
          </cell>
          <cell r="R18654">
            <v>46052</v>
          </cell>
          <cell r="S18654">
            <v>234011</v>
          </cell>
        </row>
        <row r="18655">
          <cell r="K18655" t="str">
            <v>222001</v>
          </cell>
          <cell r="M18655">
            <v>1</v>
          </cell>
          <cell r="R18655">
            <v>46052</v>
          </cell>
          <cell r="S18655">
            <v>222001</v>
          </cell>
        </row>
        <row r="18656">
          <cell r="K18656" t="str">
            <v>201001</v>
          </cell>
          <cell r="M18656">
            <v>3</v>
          </cell>
          <cell r="R18656">
            <v>46052</v>
          </cell>
          <cell r="S18656">
            <v>201001</v>
          </cell>
        </row>
        <row r="18657">
          <cell r="K18657" t="str">
            <v>228001</v>
          </cell>
          <cell r="M18657">
            <v>2</v>
          </cell>
          <cell r="R18657">
            <v>46052</v>
          </cell>
          <cell r="S18657">
            <v>228001</v>
          </cell>
        </row>
        <row r="18658">
          <cell r="K18658" t="str">
            <v>212002</v>
          </cell>
          <cell r="M18658">
            <v>1</v>
          </cell>
          <cell r="R18658">
            <v>46051</v>
          </cell>
          <cell r="S18658">
            <v>212002</v>
          </cell>
        </row>
        <row r="18659">
          <cell r="K18659" t="str">
            <v>234001</v>
          </cell>
          <cell r="M18659">
            <v>1</v>
          </cell>
          <cell r="R18659">
            <v>46051</v>
          </cell>
          <cell r="S18659">
            <v>234001</v>
          </cell>
        </row>
        <row r="18660">
          <cell r="K18660" t="str">
            <v>201001</v>
          </cell>
          <cell r="M18660">
            <v>1</v>
          </cell>
          <cell r="R18660">
            <v>46052</v>
          </cell>
          <cell r="S18660">
            <v>201001</v>
          </cell>
        </row>
        <row r="18661">
          <cell r="K18661" t="str">
            <v>213021</v>
          </cell>
          <cell r="M18661">
            <v>1</v>
          </cell>
          <cell r="R18661">
            <v>46052</v>
          </cell>
          <cell r="S18661">
            <v>213021</v>
          </cell>
        </row>
        <row r="18662">
          <cell r="K18662" t="str">
            <v>237001</v>
          </cell>
          <cell r="M18662">
            <v>1</v>
          </cell>
          <cell r="R18662">
            <v>46051</v>
          </cell>
          <cell r="S18662">
            <v>237001</v>
          </cell>
        </row>
        <row r="18663">
          <cell r="K18663" t="str">
            <v>228001</v>
          </cell>
          <cell r="M18663">
            <v>5</v>
          </cell>
          <cell r="R18663">
            <v>46050</v>
          </cell>
          <cell r="S18663">
            <v>228001</v>
          </cell>
        </row>
        <row r="18664">
          <cell r="K18664" t="str">
            <v>228001</v>
          </cell>
          <cell r="M18664">
            <v>2</v>
          </cell>
          <cell r="R18664">
            <v>46052</v>
          </cell>
          <cell r="S18664">
            <v>228001</v>
          </cell>
        </row>
        <row r="18665">
          <cell r="K18665" t="str">
            <v>228001</v>
          </cell>
          <cell r="M18665">
            <v>1</v>
          </cell>
          <cell r="R18665">
            <v>46052</v>
          </cell>
          <cell r="S18665">
            <v>228001</v>
          </cell>
        </row>
        <row r="18666">
          <cell r="K18666" t="str">
            <v>223004</v>
          </cell>
          <cell r="M18666">
            <v>2</v>
          </cell>
          <cell r="R18666">
            <v>46052</v>
          </cell>
          <cell r="S18666">
            <v>223004</v>
          </cell>
        </row>
        <row r="18667">
          <cell r="K18667" t="str">
            <v>203001</v>
          </cell>
          <cell r="M18667">
            <v>4</v>
          </cell>
          <cell r="R18667">
            <v>46052</v>
          </cell>
          <cell r="S18667">
            <v>203001</v>
          </cell>
        </row>
        <row r="18668">
          <cell r="K18668" t="str">
            <v>202001</v>
          </cell>
          <cell r="M18668">
            <v>3</v>
          </cell>
          <cell r="R18668">
            <v>46052</v>
          </cell>
          <cell r="S18668">
            <v>202001</v>
          </cell>
        </row>
        <row r="18669">
          <cell r="K18669" t="str">
            <v>223002</v>
          </cell>
          <cell r="M18669">
            <v>2</v>
          </cell>
          <cell r="R18669">
            <v>46052</v>
          </cell>
          <cell r="S18669">
            <v>223002</v>
          </cell>
        </row>
        <row r="18670">
          <cell r="K18670" t="str">
            <v>201024</v>
          </cell>
          <cell r="M18670">
            <v>1</v>
          </cell>
          <cell r="R18670">
            <v>46052</v>
          </cell>
          <cell r="S18670">
            <v>201024</v>
          </cell>
        </row>
        <row r="18671">
          <cell r="K18671" t="str">
            <v>228001</v>
          </cell>
          <cell r="M18671">
            <v>1</v>
          </cell>
          <cell r="R18671">
            <v>46052</v>
          </cell>
          <cell r="S18671">
            <v>228001</v>
          </cell>
        </row>
        <row r="18672">
          <cell r="K18672" t="str">
            <v>231012</v>
          </cell>
          <cell r="M18672">
            <v>1</v>
          </cell>
          <cell r="R18672">
            <v>46052</v>
          </cell>
          <cell r="S18672">
            <v>231012</v>
          </cell>
        </row>
        <row r="18673">
          <cell r="K18673" t="str">
            <v>228001</v>
          </cell>
          <cell r="M18673">
            <v>1</v>
          </cell>
          <cell r="R18673">
            <v>46052</v>
          </cell>
          <cell r="S18673">
            <v>228001</v>
          </cell>
        </row>
        <row r="18674">
          <cell r="K18674" t="str">
            <v>226001</v>
          </cell>
          <cell r="M18674">
            <v>1</v>
          </cell>
          <cell r="R18674">
            <v>46052</v>
          </cell>
          <cell r="S18674">
            <v>226001</v>
          </cell>
        </row>
        <row r="18675">
          <cell r="K18675" t="str">
            <v>226001</v>
          </cell>
          <cell r="M18675">
            <v>2</v>
          </cell>
          <cell r="R18675">
            <v>46052</v>
          </cell>
          <cell r="S18675">
            <v>226001</v>
          </cell>
        </row>
        <row r="18676">
          <cell r="K18676" t="str">
            <v>226001</v>
          </cell>
          <cell r="M18676">
            <v>1</v>
          </cell>
          <cell r="R18676">
            <v>46052</v>
          </cell>
          <cell r="S18676">
            <v>226001</v>
          </cell>
        </row>
        <row r="18677">
          <cell r="K18677" t="str">
            <v>217014</v>
          </cell>
          <cell r="M18677">
            <v>1</v>
          </cell>
          <cell r="R18677">
            <v>46052</v>
          </cell>
          <cell r="S18677">
            <v>217014</v>
          </cell>
        </row>
        <row r="18678">
          <cell r="K18678" t="str">
            <v>231012</v>
          </cell>
          <cell r="M18678">
            <v>1</v>
          </cell>
          <cell r="R18678">
            <v>46052</v>
          </cell>
          <cell r="S18678">
            <v>231012</v>
          </cell>
        </row>
        <row r="18679">
          <cell r="K18679" t="str">
            <v>201001</v>
          </cell>
          <cell r="M18679">
            <v>8</v>
          </cell>
          <cell r="R18679">
            <v>46052</v>
          </cell>
          <cell r="S18679">
            <v>201001</v>
          </cell>
        </row>
        <row r="18680">
          <cell r="K18680" t="str">
            <v>213002</v>
          </cell>
          <cell r="M18680">
            <v>2</v>
          </cell>
          <cell r="R18680">
            <v>46052</v>
          </cell>
          <cell r="S18680">
            <v>213002</v>
          </cell>
        </row>
        <row r="18681">
          <cell r="K18681" t="str">
            <v>209001</v>
          </cell>
          <cell r="M18681">
            <v>1</v>
          </cell>
          <cell r="R18681">
            <v>46052</v>
          </cell>
          <cell r="S18681">
            <v>209001</v>
          </cell>
        </row>
        <row r="18682">
          <cell r="K18682" t="str">
            <v>227002</v>
          </cell>
          <cell r="M18682">
            <v>1</v>
          </cell>
          <cell r="R18682">
            <v>46052</v>
          </cell>
          <cell r="S18682">
            <v>227002</v>
          </cell>
        </row>
        <row r="18683">
          <cell r="K18683" t="str">
            <v>201001</v>
          </cell>
          <cell r="M18683">
            <v>8</v>
          </cell>
          <cell r="R18683">
            <v>46052</v>
          </cell>
          <cell r="S18683">
            <v>201001</v>
          </cell>
        </row>
        <row r="18684">
          <cell r="K18684" t="str">
            <v>201011</v>
          </cell>
          <cell r="M18684">
            <v>2</v>
          </cell>
          <cell r="R18684">
            <v>46052</v>
          </cell>
          <cell r="S18684">
            <v>201011</v>
          </cell>
        </row>
        <row r="18685">
          <cell r="K18685" t="str">
            <v>201011</v>
          </cell>
          <cell r="M18685">
            <v>72</v>
          </cell>
          <cell r="R18685">
            <v>46052</v>
          </cell>
          <cell r="S18685">
            <v>201011</v>
          </cell>
        </row>
        <row r="18686">
          <cell r="K18686" t="str">
            <v>228001</v>
          </cell>
          <cell r="M18686">
            <v>69</v>
          </cell>
          <cell r="R18686">
            <v>46053</v>
          </cell>
          <cell r="S18686">
            <v>228001</v>
          </cell>
        </row>
        <row r="18687">
          <cell r="K18687" t="str">
            <v>213022</v>
          </cell>
          <cell r="M18687">
            <v>1</v>
          </cell>
          <cell r="R18687">
            <v>46053</v>
          </cell>
          <cell r="S18687">
            <v>213022</v>
          </cell>
        </row>
        <row r="18688">
          <cell r="K18688" t="str">
            <v>201011</v>
          </cell>
          <cell r="M18688">
            <v>202</v>
          </cell>
          <cell r="R18688">
            <v>46053</v>
          </cell>
          <cell r="S18688">
            <v>201011</v>
          </cell>
        </row>
        <row r="18689">
          <cell r="K18689" t="str">
            <v>201011</v>
          </cell>
          <cell r="M18689">
            <v>15</v>
          </cell>
          <cell r="R18689">
            <v>46053</v>
          </cell>
          <cell r="S18689">
            <v>201011</v>
          </cell>
        </row>
        <row r="18690">
          <cell r="K18690" t="str">
            <v>201011</v>
          </cell>
          <cell r="M18690">
            <v>71</v>
          </cell>
          <cell r="R18690">
            <v>46053</v>
          </cell>
          <cell r="S18690">
            <v>201011</v>
          </cell>
        </row>
        <row r="18691">
          <cell r="K18691" t="str">
            <v>213002</v>
          </cell>
          <cell r="M18691">
            <v>3</v>
          </cell>
          <cell r="R18691">
            <v>46054</v>
          </cell>
          <cell r="S18691">
            <v>213002</v>
          </cell>
        </row>
        <row r="18692">
          <cell r="K18692" t="str">
            <v>228001</v>
          </cell>
          <cell r="M18692">
            <v>1</v>
          </cell>
          <cell r="R18692">
            <v>46054</v>
          </cell>
          <cell r="S18692">
            <v>228001</v>
          </cell>
        </row>
        <row r="18693">
          <cell r="K18693" t="str">
            <v>212035</v>
          </cell>
          <cell r="M18693">
            <v>5</v>
          </cell>
          <cell r="R18693">
            <v>46054</v>
          </cell>
          <cell r="S18693">
            <v>212035</v>
          </cell>
        </row>
        <row r="18694">
          <cell r="K18694" t="str">
            <v>228001</v>
          </cell>
          <cell r="M18694">
            <v>1</v>
          </cell>
          <cell r="R18694">
            <v>46054</v>
          </cell>
          <cell r="S18694">
            <v>228001</v>
          </cell>
        </row>
        <row r="18695">
          <cell r="K18695" t="str">
            <v>231012</v>
          </cell>
          <cell r="M18695">
            <v>1</v>
          </cell>
          <cell r="R18695">
            <v>46054</v>
          </cell>
          <cell r="S18695">
            <v>231012</v>
          </cell>
        </row>
        <row r="18696">
          <cell r="K18696" t="str">
            <v>207017</v>
          </cell>
          <cell r="M18696">
            <v>1</v>
          </cell>
          <cell r="R18696">
            <v>46054</v>
          </cell>
          <cell r="S18696">
            <v>207017</v>
          </cell>
        </row>
        <row r="18697">
          <cell r="K18697" t="str">
            <v>207017</v>
          </cell>
          <cell r="M18697">
            <v>1</v>
          </cell>
          <cell r="R18697">
            <v>46054</v>
          </cell>
          <cell r="S18697">
            <v>207017</v>
          </cell>
        </row>
        <row r="18698">
          <cell r="K18698" t="str">
            <v>213002</v>
          </cell>
          <cell r="M18698">
            <v>1</v>
          </cell>
          <cell r="R18698">
            <v>46054</v>
          </cell>
          <cell r="S18698">
            <v>213002</v>
          </cell>
        </row>
        <row r="18699">
          <cell r="K18699" t="str">
            <v>209004</v>
          </cell>
          <cell r="M18699">
            <v>1</v>
          </cell>
          <cell r="R18699">
            <v>46054</v>
          </cell>
          <cell r="S18699">
            <v>209004</v>
          </cell>
        </row>
        <row r="18700">
          <cell r="K18700" t="str">
            <v>228001</v>
          </cell>
          <cell r="M18700">
            <v>3</v>
          </cell>
          <cell r="R18700">
            <v>46054</v>
          </cell>
          <cell r="S18700">
            <v>228001</v>
          </cell>
        </row>
        <row r="18701">
          <cell r="K18701" t="str">
            <v>212035</v>
          </cell>
          <cell r="M18701">
            <v>2</v>
          </cell>
          <cell r="R18701">
            <v>46054</v>
          </cell>
          <cell r="S18701">
            <v>212035</v>
          </cell>
        </row>
        <row r="18702">
          <cell r="K18702" t="str">
            <v>223002</v>
          </cell>
          <cell r="M18702">
            <v>1</v>
          </cell>
          <cell r="R18702">
            <v>46054</v>
          </cell>
          <cell r="S18702">
            <v>223002</v>
          </cell>
        </row>
        <row r="18703">
          <cell r="K18703" t="str">
            <v>217011</v>
          </cell>
          <cell r="M18703">
            <v>1</v>
          </cell>
          <cell r="R18703">
            <v>46055</v>
          </cell>
          <cell r="S18703">
            <v>217011</v>
          </cell>
        </row>
        <row r="18704">
          <cell r="K18704" t="str">
            <v>220002</v>
          </cell>
          <cell r="M18704">
            <v>1</v>
          </cell>
          <cell r="R18704">
            <v>46055</v>
          </cell>
          <cell r="S18704">
            <v>220002</v>
          </cell>
        </row>
        <row r="18705">
          <cell r="K18705" t="str">
            <v>217023</v>
          </cell>
          <cell r="M18705">
            <v>2</v>
          </cell>
          <cell r="R18705">
            <v>46055</v>
          </cell>
          <cell r="S18705">
            <v>217023</v>
          </cell>
        </row>
        <row r="18706">
          <cell r="K18706" t="str">
            <v>201011</v>
          </cell>
          <cell r="M18706">
            <v>1</v>
          </cell>
          <cell r="R18706">
            <v>46055</v>
          </cell>
          <cell r="S18706">
            <v>201011</v>
          </cell>
        </row>
        <row r="18707">
          <cell r="K18707" t="str">
            <v>223001</v>
          </cell>
          <cell r="M18707">
            <v>4</v>
          </cell>
          <cell r="R18707">
            <v>46054</v>
          </cell>
          <cell r="S18707">
            <v>223001</v>
          </cell>
        </row>
        <row r="18708">
          <cell r="K18708" t="str">
            <v>201022</v>
          </cell>
          <cell r="M18708">
            <v>1</v>
          </cell>
          <cell r="R18708">
            <v>46054</v>
          </cell>
          <cell r="S18708">
            <v>201022</v>
          </cell>
        </row>
        <row r="18709">
          <cell r="K18709" t="str">
            <v>227002</v>
          </cell>
          <cell r="M18709">
            <v>1</v>
          </cell>
          <cell r="R18709">
            <v>46054</v>
          </cell>
          <cell r="S18709">
            <v>227002</v>
          </cell>
        </row>
        <row r="18710">
          <cell r="K18710" t="str">
            <v>201001</v>
          </cell>
          <cell r="M18710">
            <v>1</v>
          </cell>
          <cell r="R18710">
            <v>46054</v>
          </cell>
          <cell r="S18710">
            <v>201001</v>
          </cell>
        </row>
        <row r="18711">
          <cell r="K18711" t="str">
            <v>228001</v>
          </cell>
          <cell r="M18711">
            <v>10</v>
          </cell>
          <cell r="R18711">
            <v>46054</v>
          </cell>
          <cell r="S18711">
            <v>228001</v>
          </cell>
        </row>
        <row r="18712">
          <cell r="K18712" t="str">
            <v>213022</v>
          </cell>
          <cell r="M18712">
            <v>2</v>
          </cell>
          <cell r="R18712">
            <v>46054</v>
          </cell>
          <cell r="S18712">
            <v>213022</v>
          </cell>
        </row>
        <row r="18713">
          <cell r="K18713" t="str">
            <v>223002</v>
          </cell>
          <cell r="M18713">
            <v>3</v>
          </cell>
          <cell r="R18713">
            <v>46054</v>
          </cell>
          <cell r="S18713">
            <v>223002</v>
          </cell>
        </row>
        <row r="18714">
          <cell r="K18714" t="str">
            <v>210015</v>
          </cell>
          <cell r="M18714">
            <v>4</v>
          </cell>
          <cell r="R18714">
            <v>46054</v>
          </cell>
          <cell r="S18714">
            <v>210015</v>
          </cell>
        </row>
        <row r="18715">
          <cell r="K18715" t="str">
            <v>213002</v>
          </cell>
          <cell r="M18715">
            <v>2</v>
          </cell>
          <cell r="R18715">
            <v>46054</v>
          </cell>
          <cell r="S18715">
            <v>213002</v>
          </cell>
        </row>
        <row r="18716">
          <cell r="K18716" t="str">
            <v>209001</v>
          </cell>
          <cell r="M18716">
            <v>2</v>
          </cell>
          <cell r="R18716">
            <v>46054</v>
          </cell>
          <cell r="S18716">
            <v>209001</v>
          </cell>
        </row>
        <row r="18717">
          <cell r="K18717" t="str">
            <v>241001</v>
          </cell>
          <cell r="M18717">
            <v>10</v>
          </cell>
          <cell r="R18717">
            <v>46054</v>
          </cell>
          <cell r="S18717">
            <v>241001</v>
          </cell>
        </row>
        <row r="18718">
          <cell r="K18718" t="str">
            <v>222001</v>
          </cell>
          <cell r="M18718">
            <v>1</v>
          </cell>
          <cell r="R18718">
            <v>46054</v>
          </cell>
          <cell r="S18718">
            <v>222001</v>
          </cell>
        </row>
        <row r="18719">
          <cell r="K18719" t="str">
            <v>210015</v>
          </cell>
          <cell r="M18719">
            <v>2</v>
          </cell>
          <cell r="R18719">
            <v>46054</v>
          </cell>
          <cell r="S18719">
            <v>210015</v>
          </cell>
        </row>
        <row r="18720">
          <cell r="K18720" t="str">
            <v>223002</v>
          </cell>
          <cell r="M18720">
            <v>1</v>
          </cell>
          <cell r="R18720">
            <v>46054</v>
          </cell>
          <cell r="S18720">
            <v>223002</v>
          </cell>
        </row>
        <row r="18721">
          <cell r="K18721" t="str">
            <v>223001</v>
          </cell>
          <cell r="M18721">
            <v>1</v>
          </cell>
          <cell r="R18721">
            <v>46054</v>
          </cell>
          <cell r="S18721">
            <v>223001</v>
          </cell>
        </row>
        <row r="18722">
          <cell r="K18722" t="str">
            <v>201001</v>
          </cell>
          <cell r="M18722">
            <v>8</v>
          </cell>
          <cell r="R18722">
            <v>46054</v>
          </cell>
          <cell r="S18722">
            <v>201001</v>
          </cell>
        </row>
        <row r="18723">
          <cell r="K18723" t="str">
            <v>217019</v>
          </cell>
          <cell r="M18723">
            <v>5</v>
          </cell>
          <cell r="R18723">
            <v>46054</v>
          </cell>
          <cell r="S18723">
            <v>217019</v>
          </cell>
        </row>
        <row r="18724">
          <cell r="K18724" t="str">
            <v>217019</v>
          </cell>
          <cell r="M18724">
            <v>3</v>
          </cell>
          <cell r="R18724">
            <v>46054</v>
          </cell>
          <cell r="S18724">
            <v>217019</v>
          </cell>
        </row>
        <row r="18725">
          <cell r="K18725" t="str">
            <v>227012</v>
          </cell>
          <cell r="M18725">
            <v>2</v>
          </cell>
          <cell r="R18725">
            <v>46054</v>
          </cell>
          <cell r="S18725">
            <v>227012</v>
          </cell>
        </row>
        <row r="18726">
          <cell r="K18726" t="str">
            <v>223001</v>
          </cell>
          <cell r="M18726">
            <v>6</v>
          </cell>
          <cell r="R18726">
            <v>46054</v>
          </cell>
          <cell r="S18726">
            <v>223001</v>
          </cell>
        </row>
        <row r="18727">
          <cell r="K18727" t="str">
            <v>223003</v>
          </cell>
          <cell r="M18727">
            <v>4</v>
          </cell>
          <cell r="R18727">
            <v>46054</v>
          </cell>
          <cell r="S18727">
            <v>223003</v>
          </cell>
        </row>
        <row r="18728">
          <cell r="K18728" t="str">
            <v>223002</v>
          </cell>
          <cell r="M18728">
            <v>6</v>
          </cell>
          <cell r="R18728">
            <v>46054</v>
          </cell>
          <cell r="S18728">
            <v>223002</v>
          </cell>
        </row>
        <row r="18729">
          <cell r="K18729" t="str">
            <v>213022</v>
          </cell>
          <cell r="M18729">
            <v>3</v>
          </cell>
          <cell r="R18729">
            <v>46054</v>
          </cell>
          <cell r="S18729">
            <v>213022</v>
          </cell>
        </row>
        <row r="18730">
          <cell r="K18730" t="str">
            <v>227012</v>
          </cell>
          <cell r="M18730">
            <v>1</v>
          </cell>
          <cell r="R18730">
            <v>46054</v>
          </cell>
          <cell r="S18730">
            <v>227012</v>
          </cell>
        </row>
        <row r="18731">
          <cell r="K18731" t="str">
            <v>222002</v>
          </cell>
          <cell r="M18731">
            <v>1</v>
          </cell>
          <cell r="R18731">
            <v>46054</v>
          </cell>
          <cell r="S18731">
            <v>222002</v>
          </cell>
        </row>
        <row r="18732">
          <cell r="K18732" t="str">
            <v>217018</v>
          </cell>
          <cell r="M18732">
            <v>3</v>
          </cell>
          <cell r="R18732">
            <v>46054</v>
          </cell>
          <cell r="S18732">
            <v>217018</v>
          </cell>
        </row>
        <row r="18733">
          <cell r="K18733" t="str">
            <v>226030</v>
          </cell>
          <cell r="M18733">
            <v>2</v>
          </cell>
          <cell r="R18733">
            <v>46054</v>
          </cell>
          <cell r="S18733">
            <v>226030</v>
          </cell>
        </row>
        <row r="18734">
          <cell r="K18734" t="str">
            <v>217022</v>
          </cell>
          <cell r="M18734">
            <v>6</v>
          </cell>
          <cell r="R18734">
            <v>46054</v>
          </cell>
          <cell r="S18734">
            <v>217022</v>
          </cell>
        </row>
        <row r="18735">
          <cell r="K18735" t="str">
            <v>227012</v>
          </cell>
          <cell r="M18735">
            <v>4</v>
          </cell>
          <cell r="R18735">
            <v>46054</v>
          </cell>
          <cell r="S18735">
            <v>227012</v>
          </cell>
        </row>
        <row r="18736">
          <cell r="K18736" t="str">
            <v>223001</v>
          </cell>
          <cell r="M18736">
            <v>6</v>
          </cell>
          <cell r="R18736">
            <v>46054</v>
          </cell>
          <cell r="S18736">
            <v>223001</v>
          </cell>
        </row>
        <row r="18737">
          <cell r="K18737" t="str">
            <v>223002</v>
          </cell>
          <cell r="M18737">
            <v>6</v>
          </cell>
          <cell r="R18737">
            <v>46054</v>
          </cell>
          <cell r="S18737">
            <v>223002</v>
          </cell>
        </row>
        <row r="18738">
          <cell r="K18738" t="str">
            <v>217018</v>
          </cell>
          <cell r="M18738">
            <v>1</v>
          </cell>
          <cell r="R18738">
            <v>46054</v>
          </cell>
          <cell r="S18738">
            <v>217018</v>
          </cell>
        </row>
        <row r="18739">
          <cell r="K18739" t="str">
            <v>231010</v>
          </cell>
          <cell r="M18739">
            <v>4</v>
          </cell>
          <cell r="R18739">
            <v>46055</v>
          </cell>
          <cell r="S18739">
            <v>231010</v>
          </cell>
        </row>
        <row r="18740">
          <cell r="K18740" t="str">
            <v>201001</v>
          </cell>
          <cell r="M18740">
            <v>1</v>
          </cell>
          <cell r="R18740">
            <v>46055</v>
          </cell>
          <cell r="S18740">
            <v>201001</v>
          </cell>
        </row>
        <row r="18741">
          <cell r="K18741" t="str">
            <v>223002</v>
          </cell>
          <cell r="M18741">
            <v>3</v>
          </cell>
          <cell r="R18741">
            <v>46055</v>
          </cell>
          <cell r="S18741">
            <v>223002</v>
          </cell>
        </row>
        <row r="18742">
          <cell r="K18742" t="str">
            <v>223001</v>
          </cell>
          <cell r="M18742">
            <v>7</v>
          </cell>
          <cell r="R18742">
            <v>46055</v>
          </cell>
          <cell r="S18742">
            <v>223001</v>
          </cell>
        </row>
        <row r="18743">
          <cell r="K18743" t="str">
            <v>227012</v>
          </cell>
          <cell r="M18743">
            <v>1</v>
          </cell>
          <cell r="R18743">
            <v>46055</v>
          </cell>
          <cell r="S18743">
            <v>227012</v>
          </cell>
        </row>
        <row r="18744">
          <cell r="K18744" t="str">
            <v>227012</v>
          </cell>
          <cell r="M18744">
            <v>2</v>
          </cell>
          <cell r="R18744">
            <v>46054</v>
          </cell>
          <cell r="S18744">
            <v>227012</v>
          </cell>
        </row>
        <row r="18745">
          <cell r="K18745" t="str">
            <v>217019</v>
          </cell>
          <cell r="M18745">
            <v>5</v>
          </cell>
          <cell r="R18745">
            <v>46054</v>
          </cell>
          <cell r="S18745">
            <v>217019</v>
          </cell>
        </row>
        <row r="18746">
          <cell r="K18746" t="str">
            <v>228001</v>
          </cell>
          <cell r="M18746">
            <v>4</v>
          </cell>
          <cell r="R18746">
            <v>46054</v>
          </cell>
          <cell r="S18746">
            <v>228001</v>
          </cell>
        </row>
        <row r="18747">
          <cell r="K18747" t="str">
            <v>228001</v>
          </cell>
          <cell r="M18747">
            <v>7</v>
          </cell>
          <cell r="R18747">
            <v>46054</v>
          </cell>
          <cell r="S18747">
            <v>228001</v>
          </cell>
        </row>
        <row r="18748">
          <cell r="K18748" t="str">
            <v>212035</v>
          </cell>
          <cell r="M18748">
            <v>1</v>
          </cell>
          <cell r="R18748">
            <v>46054</v>
          </cell>
          <cell r="S18748">
            <v>212035</v>
          </cell>
        </row>
        <row r="18749">
          <cell r="K18749" t="str">
            <v>231010</v>
          </cell>
          <cell r="M18749">
            <v>2</v>
          </cell>
          <cell r="R18749">
            <v>46054</v>
          </cell>
          <cell r="S18749">
            <v>231010</v>
          </cell>
        </row>
        <row r="18750">
          <cell r="K18750" t="str">
            <v>228001</v>
          </cell>
          <cell r="M18750">
            <v>1</v>
          </cell>
          <cell r="R18750">
            <v>46054</v>
          </cell>
          <cell r="S18750">
            <v>228001</v>
          </cell>
        </row>
        <row r="18751">
          <cell r="K18751" t="str">
            <v>201011</v>
          </cell>
          <cell r="M18751">
            <v>36</v>
          </cell>
          <cell r="R18751">
            <v>46052</v>
          </cell>
          <cell r="S18751">
            <v>201011</v>
          </cell>
        </row>
        <row r="18752">
          <cell r="K18752" t="str">
            <v>201011</v>
          </cell>
          <cell r="M18752">
            <v>6</v>
          </cell>
          <cell r="R18752">
            <v>46054</v>
          </cell>
          <cell r="S18752">
            <v>201011</v>
          </cell>
        </row>
        <row r="18753">
          <cell r="K18753" t="str">
            <v>213022</v>
          </cell>
          <cell r="M18753">
            <v>2</v>
          </cell>
          <cell r="R18753">
            <v>46054</v>
          </cell>
          <cell r="S18753">
            <v>213022</v>
          </cell>
        </row>
        <row r="18754">
          <cell r="K18754" t="str">
            <v>223001</v>
          </cell>
          <cell r="M18754">
            <v>2</v>
          </cell>
          <cell r="R18754">
            <v>46055</v>
          </cell>
          <cell r="S18754">
            <v>223001</v>
          </cell>
        </row>
        <row r="18755">
          <cell r="K18755" t="str">
            <v>223002</v>
          </cell>
          <cell r="M18755">
            <v>2</v>
          </cell>
          <cell r="R18755">
            <v>46055</v>
          </cell>
          <cell r="S18755">
            <v>223002</v>
          </cell>
        </row>
        <row r="18756">
          <cell r="K18756" t="str">
            <v>223002</v>
          </cell>
          <cell r="M18756">
            <v>8</v>
          </cell>
          <cell r="R18756">
            <v>46055</v>
          </cell>
          <cell r="S18756">
            <v>223002</v>
          </cell>
        </row>
        <row r="18757">
          <cell r="K18757" t="str">
            <v>231012</v>
          </cell>
          <cell r="M18757">
            <v>1</v>
          </cell>
          <cell r="R18757">
            <v>46055</v>
          </cell>
          <cell r="S18757">
            <v>231012</v>
          </cell>
        </row>
        <row r="18758">
          <cell r="K18758" t="str">
            <v>220002</v>
          </cell>
          <cell r="M18758">
            <v>1</v>
          </cell>
          <cell r="R18758">
            <v>46055</v>
          </cell>
          <cell r="S18758">
            <v>220002</v>
          </cell>
        </row>
        <row r="18759">
          <cell r="K18759" t="str">
            <v>223002</v>
          </cell>
          <cell r="M18759">
            <v>1</v>
          </cell>
          <cell r="R18759">
            <v>46055</v>
          </cell>
          <cell r="S18759">
            <v>223002</v>
          </cell>
        </row>
        <row r="18760">
          <cell r="K18760" t="str">
            <v>237001</v>
          </cell>
          <cell r="M18760">
            <v>1</v>
          </cell>
          <cell r="R18760">
            <v>46055</v>
          </cell>
          <cell r="S18760">
            <v>237001</v>
          </cell>
        </row>
        <row r="18761">
          <cell r="K18761" t="str">
            <v>203001</v>
          </cell>
          <cell r="M18761">
            <v>4</v>
          </cell>
          <cell r="R18761">
            <v>46055</v>
          </cell>
          <cell r="S18761">
            <v>203001</v>
          </cell>
        </row>
        <row r="18762">
          <cell r="K18762" t="str">
            <v>213022</v>
          </cell>
          <cell r="M18762">
            <v>324</v>
          </cell>
          <cell r="R18762">
            <v>46055</v>
          </cell>
          <cell r="S18762">
            <v>213022</v>
          </cell>
        </row>
        <row r="18763">
          <cell r="K18763" t="str">
            <v>201001</v>
          </cell>
          <cell r="M18763">
            <v>6</v>
          </cell>
          <cell r="R18763">
            <v>46055</v>
          </cell>
          <cell r="S18763">
            <v>201001</v>
          </cell>
        </row>
        <row r="18764">
          <cell r="K18764" t="str">
            <v>228001</v>
          </cell>
          <cell r="M18764">
            <v>1</v>
          </cell>
          <cell r="R18764">
            <v>46055</v>
          </cell>
          <cell r="S18764">
            <v>228001</v>
          </cell>
        </row>
        <row r="18765">
          <cell r="K18765" t="str">
            <v>227002</v>
          </cell>
          <cell r="M18765">
            <v>2</v>
          </cell>
          <cell r="R18765">
            <v>46055</v>
          </cell>
          <cell r="S18765">
            <v>227002</v>
          </cell>
        </row>
        <row r="18766">
          <cell r="K18766" t="str">
            <v>201001</v>
          </cell>
          <cell r="M18766">
            <v>1</v>
          </cell>
          <cell r="R18766">
            <v>46055</v>
          </cell>
          <cell r="S18766">
            <v>201001</v>
          </cell>
        </row>
        <row r="18767">
          <cell r="K18767" t="str">
            <v>213002</v>
          </cell>
          <cell r="M18767">
            <v>4</v>
          </cell>
          <cell r="R18767">
            <v>46055</v>
          </cell>
          <cell r="S18767">
            <v>213002</v>
          </cell>
        </row>
        <row r="18768">
          <cell r="K18768" t="str">
            <v>207017</v>
          </cell>
          <cell r="M18768">
            <v>1</v>
          </cell>
          <cell r="R18768">
            <v>46055</v>
          </cell>
          <cell r="S18768">
            <v>207017</v>
          </cell>
        </row>
        <row r="18769">
          <cell r="K18769" t="str">
            <v>226001</v>
          </cell>
          <cell r="M18769">
            <v>8</v>
          </cell>
          <cell r="R18769">
            <v>46055</v>
          </cell>
          <cell r="S18769">
            <v>226001</v>
          </cell>
        </row>
        <row r="18770">
          <cell r="K18770" t="str">
            <v>213002</v>
          </cell>
          <cell r="M18770">
            <v>4</v>
          </cell>
          <cell r="R18770">
            <v>46055</v>
          </cell>
          <cell r="S18770">
            <v>213002</v>
          </cell>
        </row>
        <row r="18771">
          <cell r="K18771" t="str">
            <v>213022</v>
          </cell>
          <cell r="M18771">
            <v>1</v>
          </cell>
          <cell r="R18771">
            <v>46055</v>
          </cell>
          <cell r="S18771">
            <v>213022</v>
          </cell>
        </row>
        <row r="18772">
          <cell r="K18772" t="str">
            <v>213022</v>
          </cell>
          <cell r="M18772">
            <v>1</v>
          </cell>
          <cell r="R18772">
            <v>46055</v>
          </cell>
          <cell r="S18772">
            <v>213022</v>
          </cell>
        </row>
        <row r="18773">
          <cell r="K18773" t="str">
            <v>201001</v>
          </cell>
          <cell r="M18773">
            <v>2</v>
          </cell>
          <cell r="R18773">
            <v>46055</v>
          </cell>
          <cell r="S18773">
            <v>201001</v>
          </cell>
        </row>
        <row r="18774">
          <cell r="K18774" t="str">
            <v>201001</v>
          </cell>
          <cell r="M18774">
            <v>2</v>
          </cell>
          <cell r="R18774">
            <v>46055</v>
          </cell>
          <cell r="S18774">
            <v>201001</v>
          </cell>
        </row>
        <row r="18775">
          <cell r="K18775" t="str">
            <v>213002</v>
          </cell>
          <cell r="M18775">
            <v>10</v>
          </cell>
          <cell r="R18775">
            <v>46055</v>
          </cell>
          <cell r="S18775">
            <v>213002</v>
          </cell>
        </row>
        <row r="18776">
          <cell r="K18776" t="str">
            <v>231012</v>
          </cell>
          <cell r="M18776">
            <v>1</v>
          </cell>
          <cell r="R18776">
            <v>46055</v>
          </cell>
          <cell r="S18776">
            <v>231012</v>
          </cell>
        </row>
        <row r="18777">
          <cell r="K18777" t="str">
            <v>220002</v>
          </cell>
          <cell r="M18777">
            <v>1</v>
          </cell>
          <cell r="R18777">
            <v>46055</v>
          </cell>
          <cell r="S18777">
            <v>220002</v>
          </cell>
        </row>
        <row r="18778">
          <cell r="K18778" t="str">
            <v>201011</v>
          </cell>
          <cell r="M18778">
            <v>6</v>
          </cell>
          <cell r="R18778">
            <v>46055</v>
          </cell>
          <cell r="S18778">
            <v>201011</v>
          </cell>
        </row>
        <row r="18779">
          <cell r="K18779" t="str">
            <v>261004</v>
          </cell>
          <cell r="M18779">
            <v>18</v>
          </cell>
          <cell r="R18779">
            <v>46055</v>
          </cell>
          <cell r="S18779">
            <v>261004</v>
          </cell>
        </row>
        <row r="18780">
          <cell r="K18780" t="str">
            <v>261006</v>
          </cell>
          <cell r="M18780">
            <v>10</v>
          </cell>
          <cell r="R18780">
            <v>46055</v>
          </cell>
          <cell r="S18780">
            <v>261006</v>
          </cell>
        </row>
        <row r="18781">
          <cell r="K18781" t="str">
            <v>212010</v>
          </cell>
          <cell r="M18781">
            <v>24</v>
          </cell>
          <cell r="R18781">
            <v>46055</v>
          </cell>
          <cell r="S18781">
            <v>212010</v>
          </cell>
        </row>
        <row r="18782">
          <cell r="K18782" t="str">
            <v>261006</v>
          </cell>
          <cell r="M18782">
            <v>14</v>
          </cell>
          <cell r="R18782">
            <v>46055</v>
          </cell>
          <cell r="S18782">
            <v>261006</v>
          </cell>
        </row>
        <row r="18783">
          <cell r="K18783" t="str">
            <v>228001</v>
          </cell>
          <cell r="M18783">
            <v>2</v>
          </cell>
          <cell r="R18783">
            <v>46055</v>
          </cell>
          <cell r="S18783">
            <v>228001</v>
          </cell>
        </row>
        <row r="18784">
          <cell r="K18784" t="str">
            <v>241001</v>
          </cell>
          <cell r="M18784">
            <v>4</v>
          </cell>
          <cell r="R18784">
            <v>46055</v>
          </cell>
          <cell r="S18784">
            <v>241001</v>
          </cell>
        </row>
        <row r="18785">
          <cell r="K18785" t="str">
            <v>261004</v>
          </cell>
          <cell r="M18785">
            <v>1</v>
          </cell>
          <cell r="R18785">
            <v>46055</v>
          </cell>
          <cell r="S18785">
            <v>261004</v>
          </cell>
        </row>
        <row r="18786">
          <cell r="K18786" t="str">
            <v>213022</v>
          </cell>
          <cell r="M18786">
            <v>1</v>
          </cell>
          <cell r="R18786">
            <v>46055</v>
          </cell>
          <cell r="S18786">
            <v>213022</v>
          </cell>
        </row>
        <row r="18787">
          <cell r="K18787" t="str">
            <v>213002</v>
          </cell>
          <cell r="M18787">
            <v>3</v>
          </cell>
          <cell r="R18787">
            <v>46055</v>
          </cell>
          <cell r="S18787">
            <v>213002</v>
          </cell>
        </row>
        <row r="18788">
          <cell r="K18788" t="str">
            <v>213002</v>
          </cell>
          <cell r="M18788">
            <v>15</v>
          </cell>
          <cell r="R18788">
            <v>46055</v>
          </cell>
          <cell r="S18788">
            <v>213002</v>
          </cell>
        </row>
        <row r="18789">
          <cell r="K18789" t="str">
            <v>201027</v>
          </cell>
          <cell r="M18789">
            <v>1</v>
          </cell>
          <cell r="R18789">
            <v>46055</v>
          </cell>
          <cell r="S18789">
            <v>201027</v>
          </cell>
        </row>
        <row r="18790">
          <cell r="K18790" t="str">
            <v>231012</v>
          </cell>
          <cell r="M18790">
            <v>1</v>
          </cell>
          <cell r="R18790">
            <v>46055</v>
          </cell>
          <cell r="S18790">
            <v>231012</v>
          </cell>
        </row>
        <row r="18791">
          <cell r="K18791" t="str">
            <v>227002</v>
          </cell>
          <cell r="M18791">
            <v>1</v>
          </cell>
          <cell r="R18791">
            <v>46055</v>
          </cell>
          <cell r="S18791">
            <v>227002</v>
          </cell>
        </row>
        <row r="18792">
          <cell r="K18792" t="str">
            <v>201024</v>
          </cell>
          <cell r="M18792">
            <v>2</v>
          </cell>
          <cell r="R18792">
            <v>46055</v>
          </cell>
          <cell r="S18792">
            <v>201024</v>
          </cell>
        </row>
        <row r="18793">
          <cell r="K18793" t="str">
            <v>201024</v>
          </cell>
          <cell r="M18793">
            <v>5</v>
          </cell>
          <cell r="R18793">
            <v>46055</v>
          </cell>
          <cell r="S18793">
            <v>201024</v>
          </cell>
        </row>
        <row r="18794">
          <cell r="K18794" t="str">
            <v>213002</v>
          </cell>
          <cell r="M18794">
            <v>6</v>
          </cell>
          <cell r="R18794">
            <v>46055</v>
          </cell>
          <cell r="S18794">
            <v>213002</v>
          </cell>
        </row>
        <row r="18795">
          <cell r="K18795" t="str">
            <v>223002</v>
          </cell>
          <cell r="M18795">
            <v>3</v>
          </cell>
          <cell r="R18795">
            <v>46055</v>
          </cell>
          <cell r="S18795">
            <v>223002</v>
          </cell>
        </row>
        <row r="18796">
          <cell r="K18796" t="str">
            <v>228001</v>
          </cell>
          <cell r="M18796">
            <v>1</v>
          </cell>
          <cell r="R18796">
            <v>46055</v>
          </cell>
          <cell r="S18796">
            <v>228001</v>
          </cell>
        </row>
        <row r="18797">
          <cell r="K18797" t="str">
            <v>209012</v>
          </cell>
          <cell r="M18797">
            <v>1</v>
          </cell>
          <cell r="R18797">
            <v>46055</v>
          </cell>
          <cell r="S18797">
            <v>209012</v>
          </cell>
        </row>
        <row r="18798">
          <cell r="K18798" t="str">
            <v>228001</v>
          </cell>
          <cell r="M18798">
            <v>2</v>
          </cell>
          <cell r="R18798">
            <v>46055</v>
          </cell>
          <cell r="S18798">
            <v>228001</v>
          </cell>
        </row>
        <row r="18799">
          <cell r="K18799" t="str">
            <v>231012</v>
          </cell>
          <cell r="M18799">
            <v>1</v>
          </cell>
          <cell r="R18799">
            <v>46055</v>
          </cell>
          <cell r="S18799">
            <v>231012</v>
          </cell>
        </row>
        <row r="18800">
          <cell r="K18800" t="str">
            <v>212035</v>
          </cell>
          <cell r="M18800">
            <v>1</v>
          </cell>
          <cell r="R18800">
            <v>46055</v>
          </cell>
          <cell r="S18800">
            <v>212035</v>
          </cell>
        </row>
        <row r="18801">
          <cell r="K18801" t="str">
            <v>209012</v>
          </cell>
          <cell r="M18801">
            <v>1</v>
          </cell>
          <cell r="R18801">
            <v>46055</v>
          </cell>
          <cell r="S18801">
            <v>209012</v>
          </cell>
        </row>
        <row r="18802">
          <cell r="K18802" t="str">
            <v>212035</v>
          </cell>
          <cell r="M18802">
            <v>3</v>
          </cell>
          <cell r="R18802">
            <v>46055</v>
          </cell>
          <cell r="S18802">
            <v>212035</v>
          </cell>
        </row>
        <row r="18803">
          <cell r="K18803" t="str">
            <v>212035</v>
          </cell>
          <cell r="M18803">
            <v>1</v>
          </cell>
          <cell r="R18803">
            <v>46055</v>
          </cell>
          <cell r="S18803">
            <v>212035</v>
          </cell>
        </row>
        <row r="18804">
          <cell r="K18804" t="str">
            <v>228001</v>
          </cell>
          <cell r="M18804">
            <v>4</v>
          </cell>
          <cell r="R18804">
            <v>46055</v>
          </cell>
          <cell r="S18804">
            <v>228001</v>
          </cell>
        </row>
        <row r="18805">
          <cell r="K18805" t="str">
            <v>228001</v>
          </cell>
          <cell r="M18805">
            <v>5</v>
          </cell>
          <cell r="R18805">
            <v>46055</v>
          </cell>
          <cell r="S18805">
            <v>228001</v>
          </cell>
        </row>
        <row r="18806">
          <cell r="K18806" t="str">
            <v>228001</v>
          </cell>
          <cell r="M18806">
            <v>3</v>
          </cell>
          <cell r="R18806">
            <v>46055</v>
          </cell>
          <cell r="S18806">
            <v>228001</v>
          </cell>
        </row>
        <row r="18807">
          <cell r="K18807" t="str">
            <v>210015</v>
          </cell>
          <cell r="M18807">
            <v>25</v>
          </cell>
          <cell r="R18807">
            <v>46056</v>
          </cell>
          <cell r="S18807">
            <v>210015</v>
          </cell>
        </row>
        <row r="18808">
          <cell r="K18808" t="str">
            <v>228001</v>
          </cell>
          <cell r="M18808">
            <v>25</v>
          </cell>
          <cell r="R18808">
            <v>46055</v>
          </cell>
          <cell r="S18808">
            <v>228001</v>
          </cell>
        </row>
        <row r="18809">
          <cell r="K18809" t="str">
            <v>201027</v>
          </cell>
          <cell r="M18809">
            <v>2</v>
          </cell>
          <cell r="R18809">
            <v>46055</v>
          </cell>
          <cell r="S18809">
            <v>201027</v>
          </cell>
        </row>
        <row r="18810">
          <cell r="K18810" t="str">
            <v>213022</v>
          </cell>
          <cell r="M18810">
            <v>3</v>
          </cell>
          <cell r="R18810">
            <v>46055</v>
          </cell>
          <cell r="S18810">
            <v>213022</v>
          </cell>
        </row>
        <row r="18811">
          <cell r="K18811" t="str">
            <v>231012</v>
          </cell>
          <cell r="M18811">
            <v>1</v>
          </cell>
          <cell r="R18811">
            <v>46055</v>
          </cell>
          <cell r="S18811">
            <v>231012</v>
          </cell>
        </row>
        <row r="18812">
          <cell r="K18812" t="str">
            <v>228001</v>
          </cell>
          <cell r="M18812">
            <v>5</v>
          </cell>
          <cell r="R18812">
            <v>46055</v>
          </cell>
          <cell r="S18812">
            <v>228001</v>
          </cell>
        </row>
        <row r="18813">
          <cell r="K18813" t="str">
            <v>226001</v>
          </cell>
          <cell r="M18813">
            <v>2</v>
          </cell>
          <cell r="R18813">
            <v>46055</v>
          </cell>
          <cell r="S18813">
            <v>226001</v>
          </cell>
        </row>
        <row r="18814">
          <cell r="K18814" t="str">
            <v>201001</v>
          </cell>
          <cell r="M18814">
            <v>2</v>
          </cell>
          <cell r="R18814">
            <v>46055</v>
          </cell>
          <cell r="S18814">
            <v>201001</v>
          </cell>
        </row>
        <row r="18815">
          <cell r="K18815" t="str">
            <v>228001</v>
          </cell>
          <cell r="M18815">
            <v>20</v>
          </cell>
          <cell r="R18815">
            <v>46055</v>
          </cell>
          <cell r="S18815">
            <v>228001</v>
          </cell>
        </row>
        <row r="18816">
          <cell r="K18816" t="str">
            <v>209016</v>
          </cell>
          <cell r="M18816">
            <v>1</v>
          </cell>
          <cell r="R18816">
            <v>46055</v>
          </cell>
          <cell r="S18816">
            <v>209016</v>
          </cell>
        </row>
        <row r="18817">
          <cell r="K18817" t="str">
            <v>222001</v>
          </cell>
          <cell r="M18817">
            <v>1</v>
          </cell>
          <cell r="R18817">
            <v>46055</v>
          </cell>
          <cell r="S18817">
            <v>222001</v>
          </cell>
        </row>
        <row r="18818">
          <cell r="K18818" t="str">
            <v>237001</v>
          </cell>
          <cell r="M18818">
            <v>1</v>
          </cell>
          <cell r="R18818">
            <v>46055</v>
          </cell>
          <cell r="S18818">
            <v>237001</v>
          </cell>
        </row>
        <row r="18819">
          <cell r="K18819" t="str">
            <v>213022</v>
          </cell>
          <cell r="M18819">
            <v>1</v>
          </cell>
          <cell r="R18819">
            <v>46056</v>
          </cell>
          <cell r="S18819">
            <v>213022</v>
          </cell>
        </row>
        <row r="18820">
          <cell r="K18820" t="str">
            <v>241001</v>
          </cell>
          <cell r="M18820">
            <v>1</v>
          </cell>
          <cell r="R18820">
            <v>46056</v>
          </cell>
          <cell r="S18820">
            <v>241001</v>
          </cell>
        </row>
        <row r="18821">
          <cell r="K18821" t="str">
            <v>226001</v>
          </cell>
          <cell r="M18821">
            <v>1</v>
          </cell>
          <cell r="R18821">
            <v>46056</v>
          </cell>
          <cell r="S18821">
            <v>226001</v>
          </cell>
        </row>
        <row r="18822">
          <cell r="K18822" t="str">
            <v>220002</v>
          </cell>
          <cell r="M18822">
            <v>1</v>
          </cell>
          <cell r="R18822">
            <v>46056</v>
          </cell>
          <cell r="S18822">
            <v>220002</v>
          </cell>
        </row>
        <row r="18823">
          <cell r="K18823" t="str">
            <v>210015</v>
          </cell>
          <cell r="M18823">
            <v>4</v>
          </cell>
          <cell r="R18823">
            <v>46056</v>
          </cell>
          <cell r="S18823">
            <v>210015</v>
          </cell>
        </row>
        <row r="18824">
          <cell r="K18824" t="str">
            <v>231012</v>
          </cell>
          <cell r="M18824">
            <v>2</v>
          </cell>
          <cell r="R18824">
            <v>46056</v>
          </cell>
          <cell r="S18824">
            <v>231012</v>
          </cell>
        </row>
        <row r="18825">
          <cell r="K18825" t="str">
            <v>220002</v>
          </cell>
          <cell r="M18825">
            <v>2</v>
          </cell>
          <cell r="R18825">
            <v>46056</v>
          </cell>
          <cell r="S18825">
            <v>220002</v>
          </cell>
        </row>
        <row r="18826">
          <cell r="K18826" t="str">
            <v>217011</v>
          </cell>
          <cell r="M18826">
            <v>2</v>
          </cell>
          <cell r="R18826">
            <v>46056</v>
          </cell>
          <cell r="S18826">
            <v>217011</v>
          </cell>
        </row>
        <row r="18827">
          <cell r="K18827" t="str">
            <v>222002</v>
          </cell>
          <cell r="M18827">
            <v>2</v>
          </cell>
          <cell r="R18827">
            <v>46055</v>
          </cell>
          <cell r="S18827">
            <v>222002</v>
          </cell>
        </row>
        <row r="18828">
          <cell r="K18828" t="str">
            <v>228001</v>
          </cell>
          <cell r="M18828">
            <v>4</v>
          </cell>
          <cell r="R18828">
            <v>46055</v>
          </cell>
          <cell r="S18828">
            <v>228001</v>
          </cell>
        </row>
        <row r="18829">
          <cell r="K18829" t="str">
            <v>213002</v>
          </cell>
          <cell r="M18829">
            <v>10</v>
          </cell>
          <cell r="R18829">
            <v>46055</v>
          </cell>
          <cell r="S18829">
            <v>213002</v>
          </cell>
        </row>
        <row r="18830">
          <cell r="K18830" t="str">
            <v>227012</v>
          </cell>
          <cell r="M18830">
            <v>1</v>
          </cell>
          <cell r="R18830">
            <v>46055</v>
          </cell>
          <cell r="S18830">
            <v>227012</v>
          </cell>
        </row>
        <row r="18831">
          <cell r="K18831" t="str">
            <v>220002</v>
          </cell>
          <cell r="M18831">
            <v>12</v>
          </cell>
          <cell r="R18831">
            <v>46055</v>
          </cell>
          <cell r="S18831">
            <v>220002</v>
          </cell>
        </row>
        <row r="18832">
          <cell r="K18832" t="str">
            <v>201011</v>
          </cell>
          <cell r="M18832">
            <v>14</v>
          </cell>
          <cell r="R18832">
            <v>46055</v>
          </cell>
          <cell r="S18832">
            <v>201011</v>
          </cell>
        </row>
        <row r="18833">
          <cell r="K18833" t="str">
            <v>212035</v>
          </cell>
          <cell r="M18833">
            <v>5</v>
          </cell>
          <cell r="R18833">
            <v>46055</v>
          </cell>
          <cell r="S18833">
            <v>212035</v>
          </cell>
        </row>
        <row r="18834">
          <cell r="K18834" t="str">
            <v>209012</v>
          </cell>
          <cell r="M18834">
            <v>2</v>
          </cell>
          <cell r="R18834">
            <v>46055</v>
          </cell>
          <cell r="S18834">
            <v>209012</v>
          </cell>
        </row>
        <row r="18835">
          <cell r="K18835" t="str">
            <v>229004</v>
          </cell>
          <cell r="M18835">
            <v>2</v>
          </cell>
          <cell r="R18835">
            <v>46055</v>
          </cell>
          <cell r="S18835">
            <v>229004</v>
          </cell>
        </row>
        <row r="18836">
          <cell r="K18836" t="str">
            <v>223002</v>
          </cell>
          <cell r="M18836">
            <v>2</v>
          </cell>
          <cell r="R18836">
            <v>46055</v>
          </cell>
          <cell r="S18836">
            <v>223002</v>
          </cell>
        </row>
        <row r="18837">
          <cell r="K18837" t="str">
            <v>206006</v>
          </cell>
          <cell r="M18837">
            <v>1</v>
          </cell>
          <cell r="R18837">
            <v>46055</v>
          </cell>
          <cell r="S18837">
            <v>206006</v>
          </cell>
        </row>
        <row r="18838">
          <cell r="K18838" t="str">
            <v>206005</v>
          </cell>
          <cell r="M18838">
            <v>1</v>
          </cell>
          <cell r="R18838">
            <v>46055</v>
          </cell>
          <cell r="S18838">
            <v>206005</v>
          </cell>
        </row>
        <row r="18839">
          <cell r="K18839" t="str">
            <v>206002</v>
          </cell>
          <cell r="M18839">
            <v>1</v>
          </cell>
          <cell r="R18839">
            <v>46055</v>
          </cell>
          <cell r="S18839">
            <v>206002</v>
          </cell>
        </row>
        <row r="18840">
          <cell r="K18840" t="str">
            <v>203004</v>
          </cell>
          <cell r="M18840">
            <v>1</v>
          </cell>
          <cell r="R18840">
            <v>46055</v>
          </cell>
          <cell r="S18840">
            <v>203004</v>
          </cell>
        </row>
        <row r="18841">
          <cell r="K18841" t="str">
            <v>218001</v>
          </cell>
          <cell r="M18841">
            <v>1</v>
          </cell>
          <cell r="R18841">
            <v>46055</v>
          </cell>
          <cell r="S18841">
            <v>218001</v>
          </cell>
        </row>
        <row r="18842">
          <cell r="K18842" t="str">
            <v>229004</v>
          </cell>
          <cell r="M18842">
            <v>1</v>
          </cell>
          <cell r="R18842">
            <v>46055</v>
          </cell>
          <cell r="S18842">
            <v>229004</v>
          </cell>
        </row>
        <row r="18843">
          <cell r="K18843" t="str">
            <v>213018</v>
          </cell>
          <cell r="M18843">
            <v>1</v>
          </cell>
          <cell r="R18843">
            <v>46055</v>
          </cell>
          <cell r="S18843">
            <v>213018</v>
          </cell>
        </row>
        <row r="18844">
          <cell r="K18844" t="str">
            <v>229004</v>
          </cell>
          <cell r="M18844">
            <v>1</v>
          </cell>
          <cell r="R18844">
            <v>46055</v>
          </cell>
          <cell r="S18844">
            <v>229004</v>
          </cell>
        </row>
        <row r="18845">
          <cell r="K18845" t="str">
            <v>206005</v>
          </cell>
          <cell r="M18845">
            <v>1</v>
          </cell>
          <cell r="R18845">
            <v>46055</v>
          </cell>
          <cell r="S18845">
            <v>206005</v>
          </cell>
        </row>
        <row r="18846">
          <cell r="K18846" t="str">
            <v>218003</v>
          </cell>
          <cell r="M18846">
            <v>1</v>
          </cell>
          <cell r="R18846">
            <v>46055</v>
          </cell>
          <cell r="S18846">
            <v>218003</v>
          </cell>
        </row>
        <row r="18847">
          <cell r="K18847" t="str">
            <v>206002</v>
          </cell>
          <cell r="M18847">
            <v>1</v>
          </cell>
          <cell r="R18847">
            <v>46055</v>
          </cell>
          <cell r="S18847">
            <v>206002</v>
          </cell>
        </row>
        <row r="18848">
          <cell r="K18848" t="str">
            <v>208001</v>
          </cell>
          <cell r="M18848">
            <v>1</v>
          </cell>
          <cell r="R18848">
            <v>46055</v>
          </cell>
          <cell r="S18848">
            <v>208001</v>
          </cell>
        </row>
        <row r="18849">
          <cell r="K18849" t="str">
            <v>210004</v>
          </cell>
          <cell r="M18849">
            <v>1</v>
          </cell>
          <cell r="R18849">
            <v>46055</v>
          </cell>
          <cell r="S18849">
            <v>210004</v>
          </cell>
        </row>
        <row r="18850">
          <cell r="K18850" t="str">
            <v>201001</v>
          </cell>
          <cell r="M18850">
            <v>3</v>
          </cell>
          <cell r="R18850">
            <v>46056</v>
          </cell>
          <cell r="S18850">
            <v>201001</v>
          </cell>
        </row>
        <row r="18851">
          <cell r="K18851" t="str">
            <v>241001</v>
          </cell>
          <cell r="M18851">
            <v>2</v>
          </cell>
          <cell r="R18851">
            <v>46056</v>
          </cell>
          <cell r="S18851">
            <v>241001</v>
          </cell>
        </row>
        <row r="18852">
          <cell r="K18852" t="str">
            <v>227012</v>
          </cell>
          <cell r="M18852">
            <v>1</v>
          </cell>
          <cell r="R18852">
            <v>46056</v>
          </cell>
          <cell r="S18852">
            <v>227012</v>
          </cell>
        </row>
        <row r="18853">
          <cell r="K18853" t="str">
            <v>223001</v>
          </cell>
          <cell r="M18853">
            <v>1</v>
          </cell>
          <cell r="R18853">
            <v>46056</v>
          </cell>
          <cell r="S18853">
            <v>223001</v>
          </cell>
        </row>
        <row r="18854">
          <cell r="K18854" t="str">
            <v>227001</v>
          </cell>
          <cell r="M18854">
            <v>3</v>
          </cell>
          <cell r="R18854">
            <v>46056</v>
          </cell>
          <cell r="S18854">
            <v>227001</v>
          </cell>
        </row>
        <row r="18855">
          <cell r="K18855" t="str">
            <v>231012</v>
          </cell>
          <cell r="M18855">
            <v>20</v>
          </cell>
          <cell r="R18855">
            <v>46056</v>
          </cell>
          <cell r="S18855">
            <v>231012</v>
          </cell>
        </row>
        <row r="18856">
          <cell r="K18856" t="str">
            <v>205004</v>
          </cell>
          <cell r="M18856">
            <v>1</v>
          </cell>
          <cell r="R18856">
            <v>46056</v>
          </cell>
          <cell r="S18856">
            <v>205004</v>
          </cell>
        </row>
        <row r="18857">
          <cell r="K18857" t="str">
            <v>217018</v>
          </cell>
          <cell r="M18857">
            <v>1</v>
          </cell>
          <cell r="R18857">
            <v>46056</v>
          </cell>
          <cell r="S18857">
            <v>217018</v>
          </cell>
        </row>
        <row r="18858">
          <cell r="K18858" t="str">
            <v>201009</v>
          </cell>
          <cell r="M18858">
            <v>1</v>
          </cell>
          <cell r="R18858">
            <v>46056</v>
          </cell>
          <cell r="S18858">
            <v>201009</v>
          </cell>
        </row>
        <row r="18859">
          <cell r="K18859" t="str">
            <v>212002</v>
          </cell>
          <cell r="M18859">
            <v>1</v>
          </cell>
          <cell r="R18859">
            <v>46056</v>
          </cell>
          <cell r="S18859">
            <v>212002</v>
          </cell>
        </row>
        <row r="18860">
          <cell r="K18860" t="str">
            <v>231012</v>
          </cell>
          <cell r="M18860">
            <v>2</v>
          </cell>
          <cell r="R18860">
            <v>46056</v>
          </cell>
          <cell r="S18860">
            <v>231012</v>
          </cell>
        </row>
        <row r="18861">
          <cell r="K18861" t="str">
            <v>227001</v>
          </cell>
          <cell r="M18861">
            <v>1</v>
          </cell>
          <cell r="R18861">
            <v>46056</v>
          </cell>
          <cell r="S18861">
            <v>227001</v>
          </cell>
        </row>
        <row r="18862">
          <cell r="K18862" t="str">
            <v>201011</v>
          </cell>
          <cell r="M18862">
            <v>2</v>
          </cell>
          <cell r="R18862">
            <v>46056</v>
          </cell>
          <cell r="S18862">
            <v>201011</v>
          </cell>
        </row>
        <row r="18863">
          <cell r="K18863" t="str">
            <v>201001</v>
          </cell>
          <cell r="M18863">
            <v>36</v>
          </cell>
          <cell r="R18863">
            <v>46056</v>
          </cell>
          <cell r="S18863">
            <v>201001</v>
          </cell>
        </row>
        <row r="18864">
          <cell r="K18864" t="str">
            <v>217011</v>
          </cell>
          <cell r="M18864">
            <v>2</v>
          </cell>
          <cell r="R18864">
            <v>46056</v>
          </cell>
          <cell r="S18864">
            <v>217011</v>
          </cell>
        </row>
        <row r="18865">
          <cell r="K18865" t="str">
            <v>226001</v>
          </cell>
          <cell r="M18865">
            <v>2</v>
          </cell>
          <cell r="R18865">
            <v>46056</v>
          </cell>
          <cell r="S18865">
            <v>226001</v>
          </cell>
        </row>
        <row r="18866">
          <cell r="K18866" t="str">
            <v>209004</v>
          </cell>
          <cell r="M18866">
            <v>1</v>
          </cell>
          <cell r="R18866">
            <v>46056</v>
          </cell>
          <cell r="S18866">
            <v>209004</v>
          </cell>
        </row>
        <row r="18867">
          <cell r="K18867" t="str">
            <v>217011</v>
          </cell>
          <cell r="M18867">
            <v>1</v>
          </cell>
          <cell r="R18867">
            <v>46056</v>
          </cell>
          <cell r="S18867">
            <v>217011</v>
          </cell>
        </row>
        <row r="18868">
          <cell r="K18868" t="str">
            <v>220002</v>
          </cell>
          <cell r="M18868">
            <v>2</v>
          </cell>
          <cell r="R18868">
            <v>46056</v>
          </cell>
          <cell r="S18868">
            <v>220002</v>
          </cell>
        </row>
        <row r="18869">
          <cell r="K18869" t="str">
            <v>213002</v>
          </cell>
          <cell r="M18869">
            <v>5</v>
          </cell>
          <cell r="R18869">
            <v>46056</v>
          </cell>
          <cell r="S18869">
            <v>213002</v>
          </cell>
        </row>
        <row r="18870">
          <cell r="K18870" t="str">
            <v>212002</v>
          </cell>
          <cell r="M18870">
            <v>10</v>
          </cell>
          <cell r="R18870">
            <v>46056</v>
          </cell>
          <cell r="S18870">
            <v>212002</v>
          </cell>
        </row>
        <row r="18871">
          <cell r="K18871" t="str">
            <v>231012</v>
          </cell>
          <cell r="M18871">
            <v>1</v>
          </cell>
          <cell r="R18871">
            <v>46056</v>
          </cell>
          <cell r="S18871">
            <v>231012</v>
          </cell>
        </row>
        <row r="18872">
          <cell r="K18872" t="str">
            <v>234001</v>
          </cell>
          <cell r="M18872">
            <v>10</v>
          </cell>
          <cell r="R18872">
            <v>46056</v>
          </cell>
          <cell r="S18872">
            <v>234001</v>
          </cell>
        </row>
        <row r="18873">
          <cell r="K18873" t="str">
            <v>235008</v>
          </cell>
          <cell r="M18873">
            <v>1</v>
          </cell>
          <cell r="R18873">
            <v>46056</v>
          </cell>
          <cell r="S18873">
            <v>235008</v>
          </cell>
        </row>
        <row r="18874">
          <cell r="K18874" t="str">
            <v>210015</v>
          </cell>
          <cell r="M18874">
            <v>5</v>
          </cell>
          <cell r="R18874">
            <v>46056</v>
          </cell>
          <cell r="S18874">
            <v>210015</v>
          </cell>
        </row>
        <row r="18875">
          <cell r="K18875" t="str">
            <v>213002</v>
          </cell>
          <cell r="M18875">
            <v>2</v>
          </cell>
          <cell r="R18875">
            <v>46056</v>
          </cell>
          <cell r="S18875">
            <v>213002</v>
          </cell>
        </row>
        <row r="18876">
          <cell r="K18876" t="str">
            <v>217022</v>
          </cell>
          <cell r="M18876">
            <v>8</v>
          </cell>
          <cell r="R18876">
            <v>46056</v>
          </cell>
          <cell r="S18876">
            <v>217022</v>
          </cell>
        </row>
        <row r="18877">
          <cell r="K18877" t="str">
            <v>223002</v>
          </cell>
          <cell r="M18877">
            <v>4</v>
          </cell>
          <cell r="R18877">
            <v>46056</v>
          </cell>
          <cell r="S18877">
            <v>223002</v>
          </cell>
        </row>
        <row r="18878">
          <cell r="K18878" t="str">
            <v>223002</v>
          </cell>
          <cell r="M18878">
            <v>3</v>
          </cell>
          <cell r="R18878">
            <v>46056</v>
          </cell>
          <cell r="S18878">
            <v>223002</v>
          </cell>
        </row>
        <row r="18879">
          <cell r="K18879" t="str">
            <v>227012</v>
          </cell>
          <cell r="M18879">
            <v>1</v>
          </cell>
          <cell r="R18879">
            <v>46056</v>
          </cell>
          <cell r="S18879">
            <v>227012</v>
          </cell>
        </row>
        <row r="18880">
          <cell r="K18880" t="str">
            <v>209012</v>
          </cell>
          <cell r="M18880">
            <v>1</v>
          </cell>
          <cell r="R18880">
            <v>46056</v>
          </cell>
          <cell r="S18880">
            <v>209012</v>
          </cell>
        </row>
        <row r="18881">
          <cell r="K18881" t="str">
            <v>212035</v>
          </cell>
          <cell r="M18881">
            <v>4</v>
          </cell>
          <cell r="R18881">
            <v>46056</v>
          </cell>
          <cell r="S18881">
            <v>212035</v>
          </cell>
        </row>
        <row r="18882">
          <cell r="K18882" t="str">
            <v>209003</v>
          </cell>
          <cell r="M18882">
            <v>1</v>
          </cell>
          <cell r="R18882">
            <v>46056</v>
          </cell>
          <cell r="S18882">
            <v>209003</v>
          </cell>
        </row>
        <row r="18883">
          <cell r="K18883" t="str">
            <v>201024</v>
          </cell>
          <cell r="M18883">
            <v>1</v>
          </cell>
          <cell r="R18883">
            <v>46056</v>
          </cell>
          <cell r="S18883">
            <v>201024</v>
          </cell>
        </row>
        <row r="18884">
          <cell r="K18884" t="str">
            <v>223002</v>
          </cell>
          <cell r="M18884">
            <v>10</v>
          </cell>
          <cell r="R18884">
            <v>46056</v>
          </cell>
          <cell r="S18884">
            <v>223002</v>
          </cell>
        </row>
        <row r="18885">
          <cell r="K18885" t="str">
            <v>213022</v>
          </cell>
          <cell r="M18885">
            <v>2</v>
          </cell>
          <cell r="R18885">
            <v>46056</v>
          </cell>
          <cell r="S18885">
            <v>213022</v>
          </cell>
        </row>
        <row r="18886">
          <cell r="K18886" t="str">
            <v>227012</v>
          </cell>
          <cell r="M18886">
            <v>1</v>
          </cell>
          <cell r="R18886">
            <v>46056</v>
          </cell>
          <cell r="S18886">
            <v>227012</v>
          </cell>
        </row>
        <row r="18887">
          <cell r="K18887" t="str">
            <v>222002</v>
          </cell>
          <cell r="M18887">
            <v>1</v>
          </cell>
          <cell r="R18887">
            <v>46056</v>
          </cell>
          <cell r="S18887">
            <v>222002</v>
          </cell>
        </row>
        <row r="18888">
          <cell r="K18888" t="str">
            <v>217018</v>
          </cell>
          <cell r="M18888">
            <v>6</v>
          </cell>
          <cell r="R18888">
            <v>46056</v>
          </cell>
          <cell r="S18888">
            <v>217018</v>
          </cell>
        </row>
        <row r="18889">
          <cell r="K18889" t="str">
            <v>217022</v>
          </cell>
          <cell r="M18889">
            <v>5</v>
          </cell>
          <cell r="R18889">
            <v>46056</v>
          </cell>
          <cell r="S18889">
            <v>217022</v>
          </cell>
        </row>
        <row r="18890">
          <cell r="K18890" t="str">
            <v>226001</v>
          </cell>
          <cell r="M18890">
            <v>3</v>
          </cell>
          <cell r="R18890">
            <v>46058</v>
          </cell>
          <cell r="S18890">
            <v>226001</v>
          </cell>
        </row>
        <row r="18891">
          <cell r="K18891" t="str">
            <v>201001</v>
          </cell>
          <cell r="M18891">
            <v>1</v>
          </cell>
          <cell r="R18891">
            <v>46056</v>
          </cell>
          <cell r="S18891">
            <v>201001</v>
          </cell>
        </row>
        <row r="18892">
          <cell r="K18892" t="str">
            <v>201022</v>
          </cell>
          <cell r="M18892">
            <v>1</v>
          </cell>
          <cell r="R18892">
            <v>46056</v>
          </cell>
          <cell r="S18892">
            <v>201022</v>
          </cell>
        </row>
        <row r="18893">
          <cell r="K18893" t="str">
            <v>229001</v>
          </cell>
          <cell r="M18893">
            <v>1</v>
          </cell>
          <cell r="R18893">
            <v>46056</v>
          </cell>
          <cell r="S18893">
            <v>229001</v>
          </cell>
        </row>
        <row r="18894">
          <cell r="K18894" t="str">
            <v>223002</v>
          </cell>
          <cell r="M18894">
            <v>2</v>
          </cell>
          <cell r="R18894">
            <v>46056</v>
          </cell>
          <cell r="S18894">
            <v>223002</v>
          </cell>
        </row>
        <row r="18895">
          <cell r="K18895" t="str">
            <v>241001</v>
          </cell>
          <cell r="M18895">
            <v>2</v>
          </cell>
          <cell r="R18895">
            <v>46056</v>
          </cell>
          <cell r="S18895">
            <v>241001</v>
          </cell>
        </row>
        <row r="18896">
          <cell r="K18896" t="str">
            <v>227001</v>
          </cell>
          <cell r="M18896">
            <v>2</v>
          </cell>
          <cell r="R18896">
            <v>46056</v>
          </cell>
          <cell r="S18896">
            <v>227001</v>
          </cell>
        </row>
        <row r="18897">
          <cell r="K18897" t="str">
            <v>227002</v>
          </cell>
          <cell r="M18897">
            <v>1</v>
          </cell>
          <cell r="R18897">
            <v>46056</v>
          </cell>
          <cell r="S18897">
            <v>227002</v>
          </cell>
        </row>
        <row r="18898">
          <cell r="K18898" t="str">
            <v>229001</v>
          </cell>
          <cell r="M18898">
            <v>10</v>
          </cell>
          <cell r="R18898">
            <v>46055</v>
          </cell>
          <cell r="S18898">
            <v>229001</v>
          </cell>
        </row>
        <row r="18899">
          <cell r="K18899" t="str">
            <v>201024</v>
          </cell>
          <cell r="M18899">
            <v>3</v>
          </cell>
          <cell r="R18899">
            <v>46056</v>
          </cell>
          <cell r="S18899">
            <v>201024</v>
          </cell>
        </row>
        <row r="18900">
          <cell r="K18900" t="str">
            <v>231010</v>
          </cell>
          <cell r="M18900">
            <v>1</v>
          </cell>
          <cell r="R18900">
            <v>46057</v>
          </cell>
          <cell r="S18900">
            <v>231010</v>
          </cell>
        </row>
        <row r="18901">
          <cell r="K18901" t="str">
            <v>223002</v>
          </cell>
          <cell r="M18901">
            <v>1</v>
          </cell>
          <cell r="R18901">
            <v>46057</v>
          </cell>
          <cell r="S18901">
            <v>223002</v>
          </cell>
        </row>
        <row r="18902">
          <cell r="K18902" t="str">
            <v>231012</v>
          </cell>
          <cell r="M18902">
            <v>1</v>
          </cell>
          <cell r="R18902">
            <v>46057</v>
          </cell>
          <cell r="S18902">
            <v>231012</v>
          </cell>
        </row>
        <row r="18903">
          <cell r="K18903" t="str">
            <v>212035</v>
          </cell>
          <cell r="M18903">
            <v>1</v>
          </cell>
          <cell r="R18903">
            <v>46057</v>
          </cell>
          <cell r="S18903">
            <v>212035</v>
          </cell>
        </row>
        <row r="18904">
          <cell r="K18904" t="str">
            <v>207017</v>
          </cell>
          <cell r="M18904">
            <v>1</v>
          </cell>
          <cell r="R18904">
            <v>46057</v>
          </cell>
          <cell r="S18904">
            <v>207017</v>
          </cell>
        </row>
        <row r="18905">
          <cell r="K18905" t="str">
            <v>217022</v>
          </cell>
          <cell r="M18905">
            <v>11</v>
          </cell>
          <cell r="R18905">
            <v>46057</v>
          </cell>
          <cell r="S18905">
            <v>217022</v>
          </cell>
        </row>
        <row r="18906">
          <cell r="K18906" t="str">
            <v>217023</v>
          </cell>
          <cell r="M18906">
            <v>1</v>
          </cell>
          <cell r="R18906">
            <v>46057</v>
          </cell>
          <cell r="S18906">
            <v>217023</v>
          </cell>
        </row>
        <row r="18907">
          <cell r="K18907" t="str">
            <v>217011</v>
          </cell>
          <cell r="M18907">
            <v>6</v>
          </cell>
          <cell r="R18907">
            <v>46057</v>
          </cell>
          <cell r="S18907">
            <v>217011</v>
          </cell>
        </row>
        <row r="18908">
          <cell r="K18908" t="str">
            <v>231012</v>
          </cell>
          <cell r="M18908">
            <v>10</v>
          </cell>
          <cell r="R18908">
            <v>46056</v>
          </cell>
          <cell r="S18908">
            <v>231012</v>
          </cell>
        </row>
        <row r="18909">
          <cell r="K18909" t="str">
            <v>210009</v>
          </cell>
          <cell r="M18909">
            <v>5</v>
          </cell>
          <cell r="R18909">
            <v>46056</v>
          </cell>
          <cell r="S18909">
            <v>210009</v>
          </cell>
        </row>
        <row r="18910">
          <cell r="K18910" t="str">
            <v>227012</v>
          </cell>
          <cell r="M18910">
            <v>1</v>
          </cell>
          <cell r="R18910">
            <v>46056</v>
          </cell>
          <cell r="S18910">
            <v>227012</v>
          </cell>
        </row>
        <row r="18911">
          <cell r="K18911" t="str">
            <v>209016</v>
          </cell>
          <cell r="M18911">
            <v>1</v>
          </cell>
          <cell r="R18911">
            <v>46057</v>
          </cell>
          <cell r="S18911">
            <v>209016</v>
          </cell>
        </row>
        <row r="18912">
          <cell r="K18912" t="str">
            <v>207017</v>
          </cell>
          <cell r="M18912">
            <v>1</v>
          </cell>
          <cell r="R18912">
            <v>46057</v>
          </cell>
          <cell r="S18912">
            <v>207017</v>
          </cell>
        </row>
        <row r="18913">
          <cell r="K18913" t="str">
            <v>227001</v>
          </cell>
          <cell r="M18913">
            <v>7</v>
          </cell>
          <cell r="R18913">
            <v>46057</v>
          </cell>
          <cell r="S18913">
            <v>227001</v>
          </cell>
        </row>
        <row r="18914">
          <cell r="K18914" t="str">
            <v>201024</v>
          </cell>
          <cell r="M18914">
            <v>4</v>
          </cell>
          <cell r="R18914">
            <v>46056</v>
          </cell>
          <cell r="S18914">
            <v>201024</v>
          </cell>
        </row>
        <row r="18915">
          <cell r="K18915" t="str">
            <v>201024</v>
          </cell>
          <cell r="M18915">
            <v>2</v>
          </cell>
          <cell r="R18915">
            <v>46056</v>
          </cell>
          <cell r="S18915">
            <v>201024</v>
          </cell>
        </row>
        <row r="18916">
          <cell r="K18916" t="str">
            <v>234011</v>
          </cell>
          <cell r="M18916">
            <v>1</v>
          </cell>
          <cell r="R18916">
            <v>46057</v>
          </cell>
          <cell r="S18916">
            <v>234011</v>
          </cell>
        </row>
        <row r="18917">
          <cell r="K18917" t="str">
            <v>213022</v>
          </cell>
          <cell r="M18917">
            <v>1</v>
          </cell>
          <cell r="R18917">
            <v>46057</v>
          </cell>
          <cell r="S18917">
            <v>213022</v>
          </cell>
        </row>
        <row r="18918">
          <cell r="K18918" t="str">
            <v>210015</v>
          </cell>
          <cell r="M18918">
            <v>3</v>
          </cell>
          <cell r="R18918">
            <v>46057</v>
          </cell>
          <cell r="S18918">
            <v>210015</v>
          </cell>
        </row>
        <row r="18919">
          <cell r="K18919" t="str">
            <v>209016</v>
          </cell>
          <cell r="M18919">
            <v>1</v>
          </cell>
          <cell r="R18919">
            <v>46057</v>
          </cell>
          <cell r="S18919">
            <v>209016</v>
          </cell>
        </row>
        <row r="18920">
          <cell r="K18920" t="str">
            <v>210015</v>
          </cell>
          <cell r="M18920">
            <v>10</v>
          </cell>
          <cell r="R18920">
            <v>46057</v>
          </cell>
          <cell r="S18920">
            <v>210015</v>
          </cell>
        </row>
        <row r="18921">
          <cell r="K18921" t="str">
            <v>231004</v>
          </cell>
          <cell r="M18921">
            <v>1</v>
          </cell>
          <cell r="R18921">
            <v>46057</v>
          </cell>
          <cell r="S18921">
            <v>231004</v>
          </cell>
        </row>
        <row r="18922">
          <cell r="K18922" t="str">
            <v>223002</v>
          </cell>
          <cell r="M18922">
            <v>1</v>
          </cell>
          <cell r="R18922">
            <v>46057</v>
          </cell>
          <cell r="S18922">
            <v>223002</v>
          </cell>
        </row>
        <row r="18923">
          <cell r="K18923" t="str">
            <v>223003</v>
          </cell>
          <cell r="M18923">
            <v>1</v>
          </cell>
          <cell r="R18923">
            <v>46057</v>
          </cell>
          <cell r="S18923">
            <v>223003</v>
          </cell>
        </row>
        <row r="18924">
          <cell r="K18924" t="str">
            <v>201028</v>
          </cell>
          <cell r="M18924">
            <v>3</v>
          </cell>
          <cell r="R18924">
            <v>46057</v>
          </cell>
          <cell r="S18924">
            <v>201028</v>
          </cell>
        </row>
        <row r="18925">
          <cell r="K18925" t="str">
            <v>223001</v>
          </cell>
          <cell r="M18925">
            <v>14</v>
          </cell>
          <cell r="R18925">
            <v>46057</v>
          </cell>
          <cell r="S18925">
            <v>223001</v>
          </cell>
        </row>
        <row r="18926">
          <cell r="K18926" t="str">
            <v>223004</v>
          </cell>
          <cell r="M18926">
            <v>1</v>
          </cell>
          <cell r="R18926">
            <v>46057</v>
          </cell>
          <cell r="S18926">
            <v>223004</v>
          </cell>
        </row>
        <row r="18927">
          <cell r="K18927" t="str">
            <v>227012</v>
          </cell>
          <cell r="M18927">
            <v>2</v>
          </cell>
          <cell r="R18927">
            <v>46057</v>
          </cell>
          <cell r="S18927">
            <v>227012</v>
          </cell>
        </row>
        <row r="18928">
          <cell r="K18928" t="str">
            <v>210014</v>
          </cell>
          <cell r="M18928">
            <v>3</v>
          </cell>
          <cell r="R18928">
            <v>46057</v>
          </cell>
          <cell r="S18928">
            <v>210014</v>
          </cell>
        </row>
        <row r="18929">
          <cell r="K18929" t="str">
            <v>226027</v>
          </cell>
          <cell r="M18929">
            <v>1</v>
          </cell>
          <cell r="R18929">
            <v>46057</v>
          </cell>
          <cell r="S18929">
            <v>226027</v>
          </cell>
        </row>
        <row r="18930">
          <cell r="K18930" t="str">
            <v>209001</v>
          </cell>
          <cell r="M18930">
            <v>4</v>
          </cell>
          <cell r="R18930">
            <v>46057</v>
          </cell>
          <cell r="S18930">
            <v>209001</v>
          </cell>
        </row>
        <row r="18931">
          <cell r="K18931" t="str">
            <v>217022</v>
          </cell>
          <cell r="M18931">
            <v>2</v>
          </cell>
          <cell r="R18931">
            <v>46057</v>
          </cell>
          <cell r="S18931">
            <v>217022</v>
          </cell>
        </row>
        <row r="18932">
          <cell r="K18932" t="str">
            <v>226004</v>
          </cell>
          <cell r="M18932">
            <v>1</v>
          </cell>
          <cell r="R18932">
            <v>46057</v>
          </cell>
          <cell r="S18932">
            <v>226004</v>
          </cell>
        </row>
        <row r="18933">
          <cell r="K18933" t="str">
            <v>217019</v>
          </cell>
          <cell r="M18933">
            <v>4</v>
          </cell>
          <cell r="R18933">
            <v>46057</v>
          </cell>
          <cell r="S18933">
            <v>217019</v>
          </cell>
        </row>
        <row r="18934">
          <cell r="K18934" t="str">
            <v>226001</v>
          </cell>
          <cell r="M18934">
            <v>5</v>
          </cell>
          <cell r="R18934">
            <v>46057</v>
          </cell>
          <cell r="S18934">
            <v>226001</v>
          </cell>
        </row>
        <row r="18935">
          <cell r="K18935" t="str">
            <v>223003</v>
          </cell>
          <cell r="M18935">
            <v>1</v>
          </cell>
          <cell r="R18935">
            <v>46057</v>
          </cell>
          <cell r="S18935">
            <v>223003</v>
          </cell>
        </row>
        <row r="18936">
          <cell r="K18936" t="str">
            <v>223001</v>
          </cell>
          <cell r="M18936">
            <v>1</v>
          </cell>
          <cell r="R18936">
            <v>46057</v>
          </cell>
          <cell r="S18936">
            <v>223001</v>
          </cell>
        </row>
        <row r="18937">
          <cell r="K18937" t="str">
            <v>226001</v>
          </cell>
          <cell r="M18937">
            <v>1</v>
          </cell>
          <cell r="R18937">
            <v>46057</v>
          </cell>
          <cell r="S18937">
            <v>226001</v>
          </cell>
        </row>
        <row r="18938">
          <cell r="K18938" t="str">
            <v>217011</v>
          </cell>
          <cell r="M18938">
            <v>2</v>
          </cell>
          <cell r="R18938">
            <v>46057</v>
          </cell>
          <cell r="S18938">
            <v>217011</v>
          </cell>
        </row>
        <row r="18939">
          <cell r="K18939" t="str">
            <v>226001</v>
          </cell>
          <cell r="M18939">
            <v>2</v>
          </cell>
          <cell r="R18939">
            <v>46057</v>
          </cell>
          <cell r="S18939">
            <v>226001</v>
          </cell>
        </row>
        <row r="18940">
          <cell r="K18940" t="str">
            <v>227010</v>
          </cell>
          <cell r="M18940">
            <v>2</v>
          </cell>
          <cell r="R18940">
            <v>46057</v>
          </cell>
          <cell r="S18940">
            <v>227010</v>
          </cell>
        </row>
        <row r="18941">
          <cell r="K18941" t="str">
            <v>261004</v>
          </cell>
          <cell r="M18941">
            <v>50</v>
          </cell>
          <cell r="R18941">
            <v>46057</v>
          </cell>
          <cell r="S18941">
            <v>261004</v>
          </cell>
        </row>
        <row r="18942">
          <cell r="K18942" t="str">
            <v>201011</v>
          </cell>
          <cell r="M18942">
            <v>4</v>
          </cell>
          <cell r="R18942">
            <v>46057</v>
          </cell>
          <cell r="S18942">
            <v>201011</v>
          </cell>
        </row>
        <row r="18943">
          <cell r="K18943" t="str">
            <v>237001</v>
          </cell>
          <cell r="M18943">
            <v>1</v>
          </cell>
          <cell r="R18943">
            <v>46057</v>
          </cell>
          <cell r="S18943">
            <v>237001</v>
          </cell>
        </row>
        <row r="18944">
          <cell r="K18944" t="str">
            <v>231004</v>
          </cell>
          <cell r="M18944">
            <v>4</v>
          </cell>
          <cell r="R18944">
            <v>46057</v>
          </cell>
          <cell r="S18944">
            <v>231004</v>
          </cell>
        </row>
        <row r="18945">
          <cell r="K18945" t="str">
            <v>212035</v>
          </cell>
          <cell r="M18945">
            <v>2</v>
          </cell>
          <cell r="R18945">
            <v>46058</v>
          </cell>
          <cell r="S18945">
            <v>212035</v>
          </cell>
        </row>
        <row r="18946">
          <cell r="K18946" t="str">
            <v>223001</v>
          </cell>
          <cell r="M18946">
            <v>50</v>
          </cell>
          <cell r="R18946">
            <v>46058</v>
          </cell>
          <cell r="S18946">
            <v>223001</v>
          </cell>
        </row>
        <row r="18947">
          <cell r="K18947" t="str">
            <v>210014</v>
          </cell>
          <cell r="M18947">
            <v>3</v>
          </cell>
          <cell r="R18947">
            <v>46058</v>
          </cell>
          <cell r="S18947">
            <v>210014</v>
          </cell>
        </row>
        <row r="18948">
          <cell r="K18948" t="str">
            <v>201011</v>
          </cell>
          <cell r="M18948">
            <v>1</v>
          </cell>
          <cell r="R18948">
            <v>46058</v>
          </cell>
          <cell r="S18948">
            <v>201011</v>
          </cell>
        </row>
        <row r="18949">
          <cell r="K18949" t="str">
            <v>210015</v>
          </cell>
          <cell r="M18949">
            <v>1</v>
          </cell>
          <cell r="R18949">
            <v>46058</v>
          </cell>
          <cell r="S18949">
            <v>210015</v>
          </cell>
        </row>
        <row r="18950">
          <cell r="K18950" t="str">
            <v>212035</v>
          </cell>
          <cell r="M18950">
            <v>2</v>
          </cell>
          <cell r="R18950">
            <v>46058</v>
          </cell>
          <cell r="S18950">
            <v>212035</v>
          </cell>
        </row>
        <row r="18951">
          <cell r="K18951" t="str">
            <v>228001</v>
          </cell>
          <cell r="M18951">
            <v>1</v>
          </cell>
          <cell r="R18951">
            <v>46058</v>
          </cell>
          <cell r="S18951">
            <v>228001</v>
          </cell>
        </row>
        <row r="18952">
          <cell r="K18952" t="str">
            <v>228001</v>
          </cell>
          <cell r="M18952">
            <v>24</v>
          </cell>
          <cell r="R18952">
            <v>46058</v>
          </cell>
          <cell r="S18952">
            <v>228001</v>
          </cell>
        </row>
        <row r="18953">
          <cell r="K18953" t="str">
            <v>234011</v>
          </cell>
          <cell r="M18953">
            <v>2</v>
          </cell>
          <cell r="R18953">
            <v>46058</v>
          </cell>
          <cell r="S18953">
            <v>234011</v>
          </cell>
        </row>
        <row r="18954">
          <cell r="K18954" t="str">
            <v>226024</v>
          </cell>
          <cell r="M18954">
            <v>2</v>
          </cell>
          <cell r="R18954">
            <v>46058</v>
          </cell>
          <cell r="S18954">
            <v>226024</v>
          </cell>
        </row>
        <row r="18955">
          <cell r="K18955" t="str">
            <v>213022</v>
          </cell>
          <cell r="M18955">
            <v>2</v>
          </cell>
          <cell r="R18955">
            <v>46058</v>
          </cell>
          <cell r="S18955">
            <v>213022</v>
          </cell>
        </row>
        <row r="18956">
          <cell r="K18956" t="str">
            <v>241001</v>
          </cell>
          <cell r="M18956">
            <v>4</v>
          </cell>
          <cell r="R18956">
            <v>46058</v>
          </cell>
          <cell r="S18956">
            <v>241001</v>
          </cell>
        </row>
        <row r="18957">
          <cell r="K18957" t="str">
            <v>271002</v>
          </cell>
          <cell r="M18957">
            <v>1</v>
          </cell>
          <cell r="R18957">
            <v>46058</v>
          </cell>
          <cell r="S18957">
            <v>271002</v>
          </cell>
        </row>
        <row r="18958">
          <cell r="K18958" t="str">
            <v>228001</v>
          </cell>
          <cell r="M18958">
            <v>1</v>
          </cell>
          <cell r="R18958">
            <v>46058</v>
          </cell>
          <cell r="S18958">
            <v>228001</v>
          </cell>
        </row>
        <row r="18959">
          <cell r="K18959" t="str">
            <v>209004</v>
          </cell>
          <cell r="M18959">
            <v>1</v>
          </cell>
          <cell r="R18959">
            <v>46058</v>
          </cell>
          <cell r="S18959">
            <v>209004</v>
          </cell>
        </row>
        <row r="18960">
          <cell r="K18960" t="str">
            <v>209004</v>
          </cell>
          <cell r="M18960">
            <v>2</v>
          </cell>
          <cell r="R18960">
            <v>46058</v>
          </cell>
          <cell r="S18960">
            <v>209004</v>
          </cell>
        </row>
        <row r="18961">
          <cell r="K18961" t="str">
            <v>212035</v>
          </cell>
          <cell r="M18961">
            <v>1</v>
          </cell>
          <cell r="R18961">
            <v>46058</v>
          </cell>
          <cell r="S18961">
            <v>212035</v>
          </cell>
        </row>
        <row r="18962">
          <cell r="K18962" t="str">
            <v>228001</v>
          </cell>
          <cell r="M18962">
            <v>3</v>
          </cell>
          <cell r="R18962">
            <v>46058</v>
          </cell>
          <cell r="S18962">
            <v>228001</v>
          </cell>
        </row>
        <row r="18963">
          <cell r="K18963" t="str">
            <v>213022</v>
          </cell>
          <cell r="M18963">
            <v>1</v>
          </cell>
          <cell r="R18963">
            <v>46058</v>
          </cell>
          <cell r="S18963">
            <v>213022</v>
          </cell>
        </row>
        <row r="18964">
          <cell r="K18964" t="str">
            <v>210015</v>
          </cell>
          <cell r="M18964">
            <v>2</v>
          </cell>
          <cell r="R18964">
            <v>46058</v>
          </cell>
          <cell r="S18964">
            <v>210015</v>
          </cell>
        </row>
        <row r="18965">
          <cell r="K18965" t="str">
            <v>228001</v>
          </cell>
          <cell r="M18965">
            <v>1</v>
          </cell>
          <cell r="R18965">
            <v>46058</v>
          </cell>
          <cell r="S18965">
            <v>228001</v>
          </cell>
        </row>
        <row r="18966">
          <cell r="K18966" t="str">
            <v>228001</v>
          </cell>
          <cell r="M18966">
            <v>2</v>
          </cell>
          <cell r="R18966">
            <v>46058</v>
          </cell>
          <cell r="S18966">
            <v>228001</v>
          </cell>
        </row>
        <row r="18967">
          <cell r="K18967" t="str">
            <v>213022</v>
          </cell>
          <cell r="M18967">
            <v>1</v>
          </cell>
          <cell r="R18967">
            <v>46058</v>
          </cell>
          <cell r="S18967">
            <v>213022</v>
          </cell>
        </row>
        <row r="18968">
          <cell r="K18968" t="str">
            <v>223001</v>
          </cell>
          <cell r="M18968">
            <v>4</v>
          </cell>
          <cell r="R18968">
            <v>46058</v>
          </cell>
          <cell r="S18968">
            <v>223001</v>
          </cell>
        </row>
        <row r="18969">
          <cell r="K18969" t="str">
            <v>223002</v>
          </cell>
          <cell r="M18969">
            <v>2</v>
          </cell>
          <cell r="R18969">
            <v>46058</v>
          </cell>
          <cell r="S18969">
            <v>223002</v>
          </cell>
        </row>
        <row r="18970">
          <cell r="K18970" t="str">
            <v>241001</v>
          </cell>
          <cell r="M18970">
            <v>2</v>
          </cell>
          <cell r="R18970">
            <v>46058</v>
          </cell>
          <cell r="S18970">
            <v>241001</v>
          </cell>
        </row>
        <row r="18971">
          <cell r="K18971" t="str">
            <v>201001</v>
          </cell>
          <cell r="M18971">
            <v>2</v>
          </cell>
          <cell r="R18971">
            <v>46058</v>
          </cell>
          <cell r="S18971">
            <v>201001</v>
          </cell>
        </row>
        <row r="18972">
          <cell r="K18972" t="str">
            <v>228001</v>
          </cell>
          <cell r="M18972">
            <v>1</v>
          </cell>
          <cell r="R18972">
            <v>46058</v>
          </cell>
          <cell r="S18972">
            <v>228001</v>
          </cell>
        </row>
        <row r="18973">
          <cell r="K18973" t="str">
            <v>228001</v>
          </cell>
          <cell r="M18973">
            <v>1</v>
          </cell>
          <cell r="R18973">
            <v>46058</v>
          </cell>
          <cell r="S18973">
            <v>228001</v>
          </cell>
        </row>
        <row r="18974">
          <cell r="K18974" t="str">
            <v>207017</v>
          </cell>
          <cell r="M18974">
            <v>1</v>
          </cell>
          <cell r="R18974">
            <v>46058</v>
          </cell>
          <cell r="S18974">
            <v>207017</v>
          </cell>
        </row>
        <row r="18975">
          <cell r="K18975" t="str">
            <v>210015</v>
          </cell>
          <cell r="M18975">
            <v>1</v>
          </cell>
          <cell r="R18975">
            <v>46058</v>
          </cell>
          <cell r="S18975">
            <v>210015</v>
          </cell>
        </row>
        <row r="18976">
          <cell r="K18976" t="str">
            <v>226023</v>
          </cell>
          <cell r="M18976">
            <v>1</v>
          </cell>
          <cell r="R18976">
            <v>46058</v>
          </cell>
          <cell r="S18976">
            <v>226023</v>
          </cell>
        </row>
        <row r="18977">
          <cell r="K18977" t="str">
            <v>229001</v>
          </cell>
          <cell r="M18977">
            <v>2</v>
          </cell>
          <cell r="R18977">
            <v>46058</v>
          </cell>
          <cell r="S18977">
            <v>229001</v>
          </cell>
        </row>
        <row r="18978">
          <cell r="K18978" t="str">
            <v>213022</v>
          </cell>
          <cell r="M18978">
            <v>2</v>
          </cell>
          <cell r="R18978">
            <v>46058</v>
          </cell>
          <cell r="S18978">
            <v>213022</v>
          </cell>
        </row>
        <row r="18979">
          <cell r="K18979" t="str">
            <v>201011</v>
          </cell>
          <cell r="M18979">
            <v>1</v>
          </cell>
          <cell r="R18979">
            <v>46058</v>
          </cell>
          <cell r="S18979">
            <v>201011</v>
          </cell>
        </row>
        <row r="18980">
          <cell r="K18980" t="str">
            <v>201001</v>
          </cell>
          <cell r="M18980">
            <v>1</v>
          </cell>
          <cell r="R18980">
            <v>46058</v>
          </cell>
          <cell r="S18980">
            <v>201001</v>
          </cell>
        </row>
        <row r="18981">
          <cell r="K18981" t="str">
            <v>222001</v>
          </cell>
          <cell r="M18981">
            <v>1</v>
          </cell>
          <cell r="R18981">
            <v>46058</v>
          </cell>
          <cell r="S18981">
            <v>222001</v>
          </cell>
        </row>
        <row r="18982">
          <cell r="K18982" t="str">
            <v>226023</v>
          </cell>
          <cell r="M18982">
            <v>1</v>
          </cell>
          <cell r="R18982">
            <v>46058</v>
          </cell>
          <cell r="S18982">
            <v>226023</v>
          </cell>
        </row>
        <row r="18983">
          <cell r="K18983" t="str">
            <v>201001</v>
          </cell>
          <cell r="M18983">
            <v>9</v>
          </cell>
          <cell r="R18983">
            <v>46058</v>
          </cell>
          <cell r="S18983">
            <v>201001</v>
          </cell>
        </row>
        <row r="18984">
          <cell r="K18984" t="str">
            <v>222002</v>
          </cell>
          <cell r="M18984">
            <v>1</v>
          </cell>
          <cell r="R18984">
            <v>46058</v>
          </cell>
          <cell r="S18984">
            <v>222002</v>
          </cell>
        </row>
        <row r="18985">
          <cell r="K18985" t="str">
            <v>213002</v>
          </cell>
          <cell r="M18985">
            <v>1</v>
          </cell>
          <cell r="R18985">
            <v>46058</v>
          </cell>
          <cell r="S18985">
            <v>213002</v>
          </cell>
        </row>
        <row r="18986">
          <cell r="K18986" t="str">
            <v>231012</v>
          </cell>
          <cell r="M18986">
            <v>12</v>
          </cell>
          <cell r="R18986">
            <v>46058</v>
          </cell>
          <cell r="S18986">
            <v>231012</v>
          </cell>
        </row>
        <row r="18987">
          <cell r="K18987" t="str">
            <v>241001</v>
          </cell>
          <cell r="M18987">
            <v>6</v>
          </cell>
          <cell r="R18987">
            <v>46058</v>
          </cell>
          <cell r="S18987">
            <v>241001</v>
          </cell>
        </row>
        <row r="18988">
          <cell r="K18988" t="str">
            <v>209016</v>
          </cell>
          <cell r="M18988">
            <v>1</v>
          </cell>
          <cell r="R18988">
            <v>46058</v>
          </cell>
          <cell r="S18988">
            <v>209016</v>
          </cell>
        </row>
        <row r="18989">
          <cell r="K18989" t="str">
            <v>212035</v>
          </cell>
          <cell r="M18989">
            <v>1</v>
          </cell>
          <cell r="R18989">
            <v>46058</v>
          </cell>
          <cell r="S18989">
            <v>212035</v>
          </cell>
        </row>
        <row r="18990">
          <cell r="K18990" t="str">
            <v>201011</v>
          </cell>
          <cell r="M18990">
            <v>8</v>
          </cell>
          <cell r="R18990">
            <v>46058</v>
          </cell>
          <cell r="S18990">
            <v>201011</v>
          </cell>
        </row>
        <row r="18991">
          <cell r="K18991" t="str">
            <v>228001</v>
          </cell>
          <cell r="M18991">
            <v>2</v>
          </cell>
          <cell r="R18991">
            <v>46058</v>
          </cell>
          <cell r="S18991">
            <v>228001</v>
          </cell>
        </row>
        <row r="18992">
          <cell r="K18992" t="str">
            <v>228001</v>
          </cell>
          <cell r="M18992">
            <v>7</v>
          </cell>
          <cell r="R18992">
            <v>46058</v>
          </cell>
          <cell r="S18992">
            <v>228001</v>
          </cell>
        </row>
        <row r="18993">
          <cell r="K18993" t="str">
            <v>201011</v>
          </cell>
          <cell r="M18993">
            <v>1</v>
          </cell>
          <cell r="R18993">
            <v>46058</v>
          </cell>
          <cell r="S18993">
            <v>201011</v>
          </cell>
        </row>
        <row r="18994">
          <cell r="K18994" t="str">
            <v>222001</v>
          </cell>
          <cell r="M18994">
            <v>1</v>
          </cell>
          <cell r="R18994">
            <v>46058</v>
          </cell>
          <cell r="S18994">
            <v>222001</v>
          </cell>
        </row>
        <row r="18995">
          <cell r="K18995" t="str">
            <v>223004</v>
          </cell>
          <cell r="M18995">
            <v>2</v>
          </cell>
          <cell r="R18995">
            <v>46058</v>
          </cell>
          <cell r="S18995">
            <v>223004</v>
          </cell>
        </row>
        <row r="18996">
          <cell r="K18996" t="str">
            <v>213021</v>
          </cell>
          <cell r="M18996">
            <v>4</v>
          </cell>
          <cell r="R18996">
            <v>46058</v>
          </cell>
          <cell r="S18996">
            <v>213021</v>
          </cell>
        </row>
        <row r="18997">
          <cell r="K18997" t="str">
            <v>210014</v>
          </cell>
          <cell r="M18997">
            <v>2</v>
          </cell>
          <cell r="R18997">
            <v>46058</v>
          </cell>
          <cell r="S18997">
            <v>210014</v>
          </cell>
        </row>
        <row r="18998">
          <cell r="K18998" t="str">
            <v>228001</v>
          </cell>
          <cell r="M18998">
            <v>10</v>
          </cell>
          <cell r="R18998">
            <v>46058</v>
          </cell>
          <cell r="S18998">
            <v>228001</v>
          </cell>
        </row>
        <row r="18999">
          <cell r="K18999" t="str">
            <v>228001</v>
          </cell>
          <cell r="M18999">
            <v>2</v>
          </cell>
          <cell r="R18999">
            <v>46058</v>
          </cell>
          <cell r="S18999">
            <v>228001</v>
          </cell>
        </row>
        <row r="19000">
          <cell r="K19000" t="str">
            <v>228001</v>
          </cell>
          <cell r="M19000">
            <v>1</v>
          </cell>
          <cell r="R19000">
            <v>46058</v>
          </cell>
          <cell r="S19000">
            <v>228001</v>
          </cell>
        </row>
        <row r="19001">
          <cell r="K19001" t="str">
            <v>227001</v>
          </cell>
          <cell r="M19001">
            <v>1</v>
          </cell>
          <cell r="R19001">
            <v>46058</v>
          </cell>
          <cell r="S19001">
            <v>227001</v>
          </cell>
        </row>
        <row r="19002">
          <cell r="K19002" t="str">
            <v>228001</v>
          </cell>
          <cell r="M19002">
            <v>5</v>
          </cell>
          <cell r="R19002">
            <v>46058</v>
          </cell>
          <cell r="S19002">
            <v>228001</v>
          </cell>
        </row>
        <row r="19003">
          <cell r="K19003" t="str">
            <v>209001</v>
          </cell>
          <cell r="M19003">
            <v>3</v>
          </cell>
          <cell r="R19003">
            <v>46058</v>
          </cell>
          <cell r="S19003">
            <v>209001</v>
          </cell>
        </row>
        <row r="19004">
          <cell r="K19004" t="str">
            <v>228001</v>
          </cell>
          <cell r="M19004">
            <v>2</v>
          </cell>
          <cell r="R19004">
            <v>46058</v>
          </cell>
          <cell r="S19004">
            <v>228001</v>
          </cell>
        </row>
        <row r="19005">
          <cell r="K19005" t="str">
            <v>241001</v>
          </cell>
          <cell r="M19005">
            <v>4</v>
          </cell>
          <cell r="R19005">
            <v>46058</v>
          </cell>
          <cell r="S19005">
            <v>241001</v>
          </cell>
        </row>
        <row r="19006">
          <cell r="K19006" t="str">
            <v>213022</v>
          </cell>
          <cell r="M19006">
            <v>1</v>
          </cell>
          <cell r="R19006">
            <v>46058</v>
          </cell>
          <cell r="S19006">
            <v>213022</v>
          </cell>
        </row>
        <row r="19007">
          <cell r="K19007" t="str">
            <v>241001</v>
          </cell>
          <cell r="M19007">
            <v>2</v>
          </cell>
          <cell r="R19007">
            <v>46058</v>
          </cell>
          <cell r="S19007">
            <v>241001</v>
          </cell>
        </row>
        <row r="19008">
          <cell r="K19008" t="str">
            <v>213022</v>
          </cell>
          <cell r="M19008">
            <v>1</v>
          </cell>
          <cell r="R19008">
            <v>46058</v>
          </cell>
          <cell r="S19008">
            <v>213022</v>
          </cell>
        </row>
        <row r="19009">
          <cell r="K19009" t="str">
            <v>261004</v>
          </cell>
          <cell r="M19009">
            <v>1</v>
          </cell>
          <cell r="R19009">
            <v>46058</v>
          </cell>
          <cell r="S19009">
            <v>261004</v>
          </cell>
        </row>
        <row r="19010">
          <cell r="K19010" t="str">
            <v>241001</v>
          </cell>
          <cell r="M19010">
            <v>4</v>
          </cell>
          <cell r="R19010">
            <v>46058</v>
          </cell>
          <cell r="S19010">
            <v>241001</v>
          </cell>
        </row>
        <row r="19011">
          <cell r="K19011" t="str">
            <v>222002</v>
          </cell>
          <cell r="M19011">
            <v>1</v>
          </cell>
          <cell r="R19011">
            <v>46058</v>
          </cell>
          <cell r="S19011">
            <v>222002</v>
          </cell>
        </row>
        <row r="19012">
          <cell r="K19012" t="str">
            <v>213022</v>
          </cell>
          <cell r="M19012">
            <v>1</v>
          </cell>
          <cell r="R19012">
            <v>46058</v>
          </cell>
          <cell r="S19012">
            <v>213022</v>
          </cell>
        </row>
        <row r="19013">
          <cell r="K19013" t="str">
            <v>228001</v>
          </cell>
          <cell r="M19013">
            <v>3</v>
          </cell>
          <cell r="R19013">
            <v>46058</v>
          </cell>
          <cell r="S19013">
            <v>228001</v>
          </cell>
        </row>
        <row r="19014">
          <cell r="K19014" t="str">
            <v>226025</v>
          </cell>
          <cell r="M19014">
            <v>1</v>
          </cell>
          <cell r="R19014">
            <v>46058</v>
          </cell>
          <cell r="S19014">
            <v>226025</v>
          </cell>
        </row>
        <row r="19015">
          <cell r="K19015" t="str">
            <v>201027</v>
          </cell>
          <cell r="M19015">
            <v>1</v>
          </cell>
          <cell r="R19015">
            <v>46058</v>
          </cell>
          <cell r="S19015">
            <v>201027</v>
          </cell>
        </row>
        <row r="19016">
          <cell r="K19016" t="str">
            <v>213022</v>
          </cell>
          <cell r="M19016">
            <v>1</v>
          </cell>
          <cell r="R19016">
            <v>46058</v>
          </cell>
          <cell r="S19016">
            <v>213022</v>
          </cell>
        </row>
        <row r="19017">
          <cell r="K19017" t="str">
            <v>210015</v>
          </cell>
          <cell r="M19017">
            <v>1</v>
          </cell>
          <cell r="R19017">
            <v>46058</v>
          </cell>
          <cell r="S19017">
            <v>210015</v>
          </cell>
        </row>
        <row r="19018">
          <cell r="K19018" t="str">
            <v>228001</v>
          </cell>
          <cell r="M19018">
            <v>1</v>
          </cell>
          <cell r="R19018">
            <v>46058</v>
          </cell>
          <cell r="S19018">
            <v>228001</v>
          </cell>
        </row>
        <row r="19019">
          <cell r="K19019" t="str">
            <v>201011</v>
          </cell>
          <cell r="M19019">
            <v>10</v>
          </cell>
          <cell r="R19019">
            <v>46058</v>
          </cell>
          <cell r="S19019">
            <v>201011</v>
          </cell>
        </row>
        <row r="19020">
          <cell r="K19020" t="str">
            <v>228001</v>
          </cell>
          <cell r="M19020">
            <v>3</v>
          </cell>
          <cell r="R19020">
            <v>46058</v>
          </cell>
          <cell r="S19020">
            <v>228001</v>
          </cell>
        </row>
        <row r="19021">
          <cell r="K19021" t="str">
            <v>212035</v>
          </cell>
          <cell r="M19021">
            <v>2</v>
          </cell>
          <cell r="R19021">
            <v>46058</v>
          </cell>
          <cell r="S19021">
            <v>212035</v>
          </cell>
        </row>
        <row r="19022">
          <cell r="K19022" t="str">
            <v>201011</v>
          </cell>
          <cell r="M19022">
            <v>36</v>
          </cell>
          <cell r="R19022">
            <v>46058</v>
          </cell>
          <cell r="S19022">
            <v>201011</v>
          </cell>
        </row>
        <row r="19023">
          <cell r="K19023" t="str">
            <v>229004</v>
          </cell>
          <cell r="M19023">
            <v>2</v>
          </cell>
          <cell r="R19023">
            <v>46058</v>
          </cell>
          <cell r="S19023">
            <v>229004</v>
          </cell>
        </row>
        <row r="19024">
          <cell r="K19024" t="str">
            <v>228001</v>
          </cell>
          <cell r="M19024">
            <v>1</v>
          </cell>
          <cell r="R19024">
            <v>46058</v>
          </cell>
          <cell r="S19024">
            <v>228001</v>
          </cell>
        </row>
        <row r="19025">
          <cell r="K19025" t="str">
            <v>217018</v>
          </cell>
          <cell r="M19025">
            <v>2</v>
          </cell>
          <cell r="R19025">
            <v>46058</v>
          </cell>
          <cell r="S19025">
            <v>217018</v>
          </cell>
        </row>
        <row r="19026">
          <cell r="K19026" t="str">
            <v>228001</v>
          </cell>
          <cell r="M19026">
            <v>8</v>
          </cell>
          <cell r="R19026">
            <v>46058</v>
          </cell>
          <cell r="S19026">
            <v>228001</v>
          </cell>
        </row>
        <row r="19027">
          <cell r="K19027" t="str">
            <v>201011</v>
          </cell>
          <cell r="M19027">
            <v>10</v>
          </cell>
          <cell r="R19027">
            <v>46058</v>
          </cell>
          <cell r="S19027">
            <v>201011</v>
          </cell>
        </row>
        <row r="19028">
          <cell r="K19028" t="str">
            <v>210001</v>
          </cell>
          <cell r="M19028">
            <v>1</v>
          </cell>
          <cell r="R19028">
            <v>46058</v>
          </cell>
          <cell r="S19028">
            <v>210001</v>
          </cell>
        </row>
        <row r="19029">
          <cell r="K19029" t="str">
            <v>231008</v>
          </cell>
          <cell r="M19029">
            <v>1</v>
          </cell>
          <cell r="R19029">
            <v>46058</v>
          </cell>
          <cell r="S19029">
            <v>231008</v>
          </cell>
        </row>
        <row r="19030">
          <cell r="K19030" t="str">
            <v>212002</v>
          </cell>
          <cell r="M19030">
            <v>1</v>
          </cell>
          <cell r="R19030">
            <v>46058</v>
          </cell>
          <cell r="S19030">
            <v>212002</v>
          </cell>
        </row>
        <row r="19031">
          <cell r="K19031" t="str">
            <v>218001</v>
          </cell>
          <cell r="M19031">
            <v>1</v>
          </cell>
          <cell r="R19031">
            <v>46058</v>
          </cell>
          <cell r="S19031">
            <v>218001</v>
          </cell>
        </row>
        <row r="19032">
          <cell r="K19032" t="str">
            <v>213022</v>
          </cell>
          <cell r="M19032">
            <v>1</v>
          </cell>
          <cell r="R19032">
            <v>46058</v>
          </cell>
          <cell r="S19032">
            <v>213022</v>
          </cell>
        </row>
        <row r="19033">
          <cell r="K19033" t="str">
            <v>223001</v>
          </cell>
          <cell r="M19033">
            <v>6</v>
          </cell>
          <cell r="R19033">
            <v>46058</v>
          </cell>
          <cell r="S19033">
            <v>223001</v>
          </cell>
        </row>
        <row r="19034">
          <cell r="K19034" t="str">
            <v>223004</v>
          </cell>
          <cell r="M19034">
            <v>4</v>
          </cell>
          <cell r="R19034">
            <v>46058</v>
          </cell>
          <cell r="S19034">
            <v>223004</v>
          </cell>
        </row>
        <row r="19035">
          <cell r="K19035" t="str">
            <v>228001</v>
          </cell>
          <cell r="M19035">
            <v>2</v>
          </cell>
          <cell r="R19035">
            <v>46058</v>
          </cell>
          <cell r="S19035">
            <v>228001</v>
          </cell>
        </row>
        <row r="19036">
          <cell r="K19036" t="str">
            <v>209016</v>
          </cell>
          <cell r="M19036">
            <v>1</v>
          </cell>
          <cell r="R19036">
            <v>46058</v>
          </cell>
          <cell r="S19036">
            <v>209016</v>
          </cell>
        </row>
        <row r="19037">
          <cell r="K19037" t="str">
            <v>226001</v>
          </cell>
          <cell r="M19037">
            <v>1</v>
          </cell>
          <cell r="R19037">
            <v>46058</v>
          </cell>
          <cell r="S19037">
            <v>226001</v>
          </cell>
        </row>
        <row r="19038">
          <cell r="K19038" t="str">
            <v>213002</v>
          </cell>
          <cell r="M19038">
            <v>2</v>
          </cell>
          <cell r="R19038">
            <v>46058</v>
          </cell>
          <cell r="S19038">
            <v>213002</v>
          </cell>
        </row>
        <row r="19039">
          <cell r="K19039" t="str">
            <v>223002</v>
          </cell>
          <cell r="M19039">
            <v>1</v>
          </cell>
          <cell r="R19039">
            <v>46058</v>
          </cell>
          <cell r="S19039">
            <v>223002</v>
          </cell>
        </row>
        <row r="19040">
          <cell r="K19040" t="str">
            <v>201011</v>
          </cell>
          <cell r="M19040">
            <v>2</v>
          </cell>
          <cell r="R19040">
            <v>46059</v>
          </cell>
          <cell r="S19040">
            <v>201011</v>
          </cell>
        </row>
        <row r="19041">
          <cell r="K19041" t="str">
            <v>217022</v>
          </cell>
          <cell r="M19041">
            <v>1</v>
          </cell>
          <cell r="R19041">
            <v>46058</v>
          </cell>
          <cell r="S19041">
            <v>217022</v>
          </cell>
        </row>
        <row r="19042">
          <cell r="K19042" t="str">
            <v>223002</v>
          </cell>
          <cell r="M19042">
            <v>14</v>
          </cell>
          <cell r="R19042">
            <v>46058</v>
          </cell>
          <cell r="S19042">
            <v>223002</v>
          </cell>
        </row>
        <row r="19043">
          <cell r="K19043" t="str">
            <v>213022</v>
          </cell>
          <cell r="M19043">
            <v>3</v>
          </cell>
          <cell r="R19043">
            <v>46058</v>
          </cell>
          <cell r="S19043">
            <v>213022</v>
          </cell>
        </row>
        <row r="19044">
          <cell r="K19044" t="str">
            <v>217018</v>
          </cell>
          <cell r="M19044">
            <v>5</v>
          </cell>
          <cell r="R19044">
            <v>46058</v>
          </cell>
          <cell r="S19044">
            <v>217018</v>
          </cell>
        </row>
        <row r="19045">
          <cell r="K19045" t="str">
            <v>226030</v>
          </cell>
          <cell r="M19045">
            <v>1</v>
          </cell>
          <cell r="R19045">
            <v>46058</v>
          </cell>
          <cell r="S19045">
            <v>226030</v>
          </cell>
        </row>
        <row r="19046">
          <cell r="K19046" t="str">
            <v>228001</v>
          </cell>
          <cell r="M19046">
            <v>2</v>
          </cell>
          <cell r="R19046">
            <v>46058</v>
          </cell>
          <cell r="S19046">
            <v>228001</v>
          </cell>
        </row>
        <row r="19047">
          <cell r="K19047" t="str">
            <v>223002</v>
          </cell>
          <cell r="M19047">
            <v>3</v>
          </cell>
          <cell r="R19047">
            <v>46058</v>
          </cell>
          <cell r="S19047">
            <v>223002</v>
          </cell>
        </row>
        <row r="19048">
          <cell r="K19048" t="str">
            <v>223001</v>
          </cell>
          <cell r="M19048">
            <v>3</v>
          </cell>
          <cell r="R19048">
            <v>46058</v>
          </cell>
          <cell r="S19048">
            <v>223001</v>
          </cell>
        </row>
        <row r="19049">
          <cell r="K19049" t="str">
            <v>227012</v>
          </cell>
          <cell r="M19049">
            <v>1</v>
          </cell>
          <cell r="R19049">
            <v>46058</v>
          </cell>
          <cell r="S19049">
            <v>227012</v>
          </cell>
        </row>
        <row r="19050">
          <cell r="K19050" t="str">
            <v>203004</v>
          </cell>
          <cell r="M19050">
            <v>1</v>
          </cell>
          <cell r="R19050">
            <v>46059</v>
          </cell>
          <cell r="S19050">
            <v>203004</v>
          </cell>
        </row>
        <row r="19051">
          <cell r="K19051" t="str">
            <v>218001</v>
          </cell>
          <cell r="M19051">
            <v>1</v>
          </cell>
          <cell r="R19051">
            <v>46059</v>
          </cell>
          <cell r="S19051">
            <v>218001</v>
          </cell>
        </row>
        <row r="19052">
          <cell r="K19052" t="str">
            <v>217018</v>
          </cell>
          <cell r="M19052">
            <v>1</v>
          </cell>
          <cell r="R19052">
            <v>46059</v>
          </cell>
          <cell r="S19052">
            <v>217018</v>
          </cell>
        </row>
        <row r="19053">
          <cell r="K19053" t="str">
            <v>212002</v>
          </cell>
          <cell r="M19053">
            <v>2</v>
          </cell>
          <cell r="R19053">
            <v>46059</v>
          </cell>
          <cell r="S19053">
            <v>212002</v>
          </cell>
        </row>
        <row r="19054">
          <cell r="K19054" t="str">
            <v>228001</v>
          </cell>
          <cell r="M19054">
            <v>2</v>
          </cell>
          <cell r="R19054">
            <v>46058</v>
          </cell>
          <cell r="S19054">
            <v>228001</v>
          </cell>
        </row>
        <row r="19055">
          <cell r="K19055" t="str">
            <v>223001</v>
          </cell>
          <cell r="M19055">
            <v>2</v>
          </cell>
          <cell r="R19055">
            <v>46059</v>
          </cell>
          <cell r="S19055">
            <v>223001</v>
          </cell>
        </row>
        <row r="19056">
          <cell r="K19056" t="str">
            <v>223002</v>
          </cell>
          <cell r="M19056">
            <v>2</v>
          </cell>
          <cell r="R19056">
            <v>46059</v>
          </cell>
          <cell r="S19056">
            <v>223002</v>
          </cell>
        </row>
        <row r="19057">
          <cell r="K19057" t="str">
            <v>234011</v>
          </cell>
          <cell r="M19057">
            <v>1</v>
          </cell>
          <cell r="R19057">
            <v>46059</v>
          </cell>
          <cell r="S19057">
            <v>234011</v>
          </cell>
        </row>
        <row r="19058">
          <cell r="K19058" t="str">
            <v>222001</v>
          </cell>
          <cell r="M19058">
            <v>1</v>
          </cell>
          <cell r="R19058">
            <v>46059</v>
          </cell>
          <cell r="S19058">
            <v>222001</v>
          </cell>
        </row>
        <row r="19059">
          <cell r="K19059" t="str">
            <v>201001</v>
          </cell>
          <cell r="M19059">
            <v>2</v>
          </cell>
          <cell r="R19059">
            <v>46059</v>
          </cell>
          <cell r="S19059">
            <v>201001</v>
          </cell>
        </row>
        <row r="19060">
          <cell r="K19060" t="str">
            <v>209001</v>
          </cell>
          <cell r="M19060">
            <v>1</v>
          </cell>
          <cell r="R19060">
            <v>46059</v>
          </cell>
          <cell r="S19060">
            <v>209001</v>
          </cell>
        </row>
        <row r="19061">
          <cell r="K19061" t="str">
            <v>228001</v>
          </cell>
          <cell r="M19061">
            <v>8</v>
          </cell>
          <cell r="R19061">
            <v>46059</v>
          </cell>
          <cell r="S19061">
            <v>228001</v>
          </cell>
        </row>
        <row r="19062">
          <cell r="K19062" t="str">
            <v>223002</v>
          </cell>
          <cell r="M19062">
            <v>2</v>
          </cell>
          <cell r="R19062">
            <v>46059</v>
          </cell>
          <cell r="S19062">
            <v>223002</v>
          </cell>
        </row>
        <row r="19063">
          <cell r="K19063" t="str">
            <v>201009</v>
          </cell>
          <cell r="M19063">
            <v>2</v>
          </cell>
          <cell r="R19063">
            <v>46059</v>
          </cell>
          <cell r="S19063">
            <v>201009</v>
          </cell>
        </row>
        <row r="19064">
          <cell r="K19064" t="str">
            <v>209004</v>
          </cell>
          <cell r="M19064">
            <v>1</v>
          </cell>
          <cell r="R19064">
            <v>46059</v>
          </cell>
          <cell r="S19064">
            <v>209004</v>
          </cell>
        </row>
        <row r="19065">
          <cell r="K19065" t="str">
            <v>201024</v>
          </cell>
          <cell r="M19065">
            <v>2</v>
          </cell>
          <cell r="R19065">
            <v>46059</v>
          </cell>
          <cell r="S19065">
            <v>201024</v>
          </cell>
        </row>
        <row r="19066">
          <cell r="K19066" t="str">
            <v>228001</v>
          </cell>
          <cell r="M19066">
            <v>2</v>
          </cell>
          <cell r="R19066">
            <v>46059</v>
          </cell>
          <cell r="S19066">
            <v>228001</v>
          </cell>
        </row>
        <row r="19067">
          <cell r="K19067" t="str">
            <v>228001</v>
          </cell>
          <cell r="M19067">
            <v>5</v>
          </cell>
          <cell r="R19067">
            <v>46059</v>
          </cell>
          <cell r="S19067">
            <v>228001</v>
          </cell>
        </row>
        <row r="19068">
          <cell r="K19068" t="str">
            <v>237001</v>
          </cell>
          <cell r="M19068">
            <v>1</v>
          </cell>
          <cell r="R19068">
            <v>46059</v>
          </cell>
          <cell r="S19068">
            <v>237001</v>
          </cell>
        </row>
        <row r="19069">
          <cell r="K19069" t="str">
            <v>227001</v>
          </cell>
          <cell r="M19069">
            <v>2</v>
          </cell>
          <cell r="R19069">
            <v>46059</v>
          </cell>
          <cell r="S19069">
            <v>227001</v>
          </cell>
        </row>
        <row r="19070">
          <cell r="K19070" t="str">
            <v>210002</v>
          </cell>
          <cell r="M19070">
            <v>1</v>
          </cell>
          <cell r="R19070">
            <v>46059</v>
          </cell>
          <cell r="S19070">
            <v>210002</v>
          </cell>
        </row>
        <row r="19071">
          <cell r="K19071" t="str">
            <v>213002</v>
          </cell>
          <cell r="M19071">
            <v>1</v>
          </cell>
          <cell r="R19071">
            <v>46059</v>
          </cell>
          <cell r="S19071">
            <v>213002</v>
          </cell>
        </row>
        <row r="19072">
          <cell r="K19072" t="str">
            <v>220002</v>
          </cell>
          <cell r="M19072">
            <v>1</v>
          </cell>
          <cell r="R19072">
            <v>46059</v>
          </cell>
          <cell r="S19072">
            <v>220002</v>
          </cell>
        </row>
        <row r="19073">
          <cell r="K19073" t="str">
            <v>213022</v>
          </cell>
          <cell r="M19073">
            <v>1</v>
          </cell>
          <cell r="R19073">
            <v>46059</v>
          </cell>
          <cell r="S19073">
            <v>213022</v>
          </cell>
        </row>
        <row r="19074">
          <cell r="K19074" t="str">
            <v>201011</v>
          </cell>
          <cell r="M19074">
            <v>20</v>
          </cell>
          <cell r="R19074">
            <v>46062</v>
          </cell>
          <cell r="S19074">
            <v>201011</v>
          </cell>
        </row>
        <row r="19075">
          <cell r="K19075" t="str">
            <v>226001</v>
          </cell>
          <cell r="M19075">
            <v>1</v>
          </cell>
          <cell r="R19075">
            <v>46059</v>
          </cell>
          <cell r="S19075">
            <v>226001</v>
          </cell>
        </row>
        <row r="19076">
          <cell r="K19076" t="str">
            <v>226001</v>
          </cell>
          <cell r="M19076">
            <v>1</v>
          </cell>
          <cell r="R19076">
            <v>46059</v>
          </cell>
          <cell r="S19076">
            <v>226001</v>
          </cell>
        </row>
        <row r="19077">
          <cell r="K19077" t="str">
            <v>227012</v>
          </cell>
          <cell r="M19077">
            <v>2</v>
          </cell>
          <cell r="R19077">
            <v>46059</v>
          </cell>
          <cell r="S19077">
            <v>227012</v>
          </cell>
        </row>
        <row r="19078">
          <cell r="K19078" t="str">
            <v>226001</v>
          </cell>
          <cell r="M19078">
            <v>1</v>
          </cell>
          <cell r="R19078">
            <v>46059</v>
          </cell>
          <cell r="S19078">
            <v>226001</v>
          </cell>
        </row>
        <row r="19079">
          <cell r="K19079" t="str">
            <v>201011</v>
          </cell>
          <cell r="M19079">
            <v>10</v>
          </cell>
          <cell r="R19079">
            <v>46062</v>
          </cell>
          <cell r="S19079">
            <v>201011</v>
          </cell>
        </row>
        <row r="19080">
          <cell r="K19080" t="str">
            <v>209011</v>
          </cell>
          <cell r="M19080">
            <v>1</v>
          </cell>
          <cell r="R19080">
            <v>46059</v>
          </cell>
          <cell r="S19080">
            <v>209011</v>
          </cell>
        </row>
        <row r="19081">
          <cell r="K19081" t="str">
            <v>228001</v>
          </cell>
          <cell r="M19081">
            <v>4</v>
          </cell>
          <cell r="R19081">
            <v>46059</v>
          </cell>
          <cell r="S19081">
            <v>228001</v>
          </cell>
        </row>
        <row r="19082">
          <cell r="K19082" t="str">
            <v>261004</v>
          </cell>
          <cell r="M19082">
            <v>20</v>
          </cell>
          <cell r="R19082">
            <v>46059</v>
          </cell>
          <cell r="S19082">
            <v>261004</v>
          </cell>
        </row>
        <row r="19083">
          <cell r="K19083" t="str">
            <v>212010</v>
          </cell>
          <cell r="M19083">
            <v>10</v>
          </cell>
          <cell r="R19083">
            <v>46059</v>
          </cell>
          <cell r="S19083">
            <v>212010</v>
          </cell>
        </row>
        <row r="19084">
          <cell r="K19084" t="str">
            <v>201011</v>
          </cell>
          <cell r="M19084">
            <v>36</v>
          </cell>
          <cell r="R19084">
            <v>46061</v>
          </cell>
          <cell r="S19084">
            <v>201011</v>
          </cell>
        </row>
        <row r="19085">
          <cell r="K19085" t="str">
            <v>201001</v>
          </cell>
          <cell r="M19085">
            <v>36</v>
          </cell>
          <cell r="R19085">
            <v>46061</v>
          </cell>
          <cell r="S19085">
            <v>201001</v>
          </cell>
        </row>
        <row r="19086">
          <cell r="K19086" t="str">
            <v>201011</v>
          </cell>
          <cell r="M19086">
            <v>36</v>
          </cell>
          <cell r="R19086">
            <v>46061</v>
          </cell>
          <cell r="S19086">
            <v>201011</v>
          </cell>
        </row>
        <row r="19087">
          <cell r="K19087" t="str">
            <v>213022</v>
          </cell>
          <cell r="M19087">
            <v>1</v>
          </cell>
          <cell r="R19087">
            <v>46061</v>
          </cell>
          <cell r="S19087">
            <v>213022</v>
          </cell>
        </row>
        <row r="19088">
          <cell r="K19088" t="str">
            <v>213002</v>
          </cell>
          <cell r="M19088">
            <v>1</v>
          </cell>
          <cell r="R19088">
            <v>46061</v>
          </cell>
          <cell r="S19088">
            <v>213002</v>
          </cell>
        </row>
        <row r="19089">
          <cell r="K19089" t="str">
            <v>241001</v>
          </cell>
          <cell r="M19089">
            <v>15</v>
          </cell>
          <cell r="R19089">
            <v>46061</v>
          </cell>
          <cell r="S19089">
            <v>241001</v>
          </cell>
        </row>
        <row r="19090">
          <cell r="K19090" t="str">
            <v>222001</v>
          </cell>
          <cell r="M19090">
            <v>1</v>
          </cell>
          <cell r="R19090">
            <v>46061</v>
          </cell>
          <cell r="S19090">
            <v>222001</v>
          </cell>
        </row>
        <row r="19091">
          <cell r="K19091" t="str">
            <v>217019</v>
          </cell>
          <cell r="M19091">
            <v>2</v>
          </cell>
          <cell r="R19091">
            <v>46061</v>
          </cell>
          <cell r="S19091">
            <v>217019</v>
          </cell>
        </row>
        <row r="19092">
          <cell r="K19092" t="str">
            <v>228001</v>
          </cell>
          <cell r="M19092">
            <v>1</v>
          </cell>
          <cell r="R19092">
            <v>46061</v>
          </cell>
          <cell r="S19092">
            <v>228001</v>
          </cell>
        </row>
        <row r="19093">
          <cell r="K19093" t="str">
            <v>217019</v>
          </cell>
          <cell r="M19093">
            <v>2</v>
          </cell>
          <cell r="R19093">
            <v>46061</v>
          </cell>
          <cell r="S19093">
            <v>217019</v>
          </cell>
        </row>
        <row r="19094">
          <cell r="K19094" t="str">
            <v>228001</v>
          </cell>
          <cell r="M19094">
            <v>3</v>
          </cell>
          <cell r="R19094">
            <v>46061</v>
          </cell>
          <cell r="S19094">
            <v>228001</v>
          </cell>
        </row>
        <row r="19095">
          <cell r="K19095" t="str">
            <v>217018</v>
          </cell>
          <cell r="M19095">
            <v>3</v>
          </cell>
          <cell r="R19095">
            <v>46061</v>
          </cell>
          <cell r="S19095">
            <v>217018</v>
          </cell>
        </row>
        <row r="19096">
          <cell r="K19096" t="str">
            <v>226030</v>
          </cell>
          <cell r="M19096">
            <v>2</v>
          </cell>
          <cell r="R19096">
            <v>46061</v>
          </cell>
          <cell r="S19096">
            <v>226030</v>
          </cell>
        </row>
        <row r="19097">
          <cell r="K19097" t="str">
            <v>213022</v>
          </cell>
          <cell r="M19097">
            <v>2</v>
          </cell>
          <cell r="R19097">
            <v>46061</v>
          </cell>
          <cell r="S19097">
            <v>213022</v>
          </cell>
        </row>
        <row r="19098">
          <cell r="K19098" t="str">
            <v>217022</v>
          </cell>
          <cell r="M19098">
            <v>9</v>
          </cell>
          <cell r="R19098">
            <v>46061</v>
          </cell>
          <cell r="S19098">
            <v>217022</v>
          </cell>
        </row>
        <row r="19099">
          <cell r="K19099" t="str">
            <v>220002</v>
          </cell>
          <cell r="M19099">
            <v>1</v>
          </cell>
          <cell r="R19099">
            <v>46061</v>
          </cell>
          <cell r="S19099">
            <v>220002</v>
          </cell>
        </row>
        <row r="19100">
          <cell r="K19100" t="str">
            <v>201001</v>
          </cell>
          <cell r="M19100">
            <v>10</v>
          </cell>
          <cell r="R19100">
            <v>46061</v>
          </cell>
          <cell r="S19100">
            <v>201001</v>
          </cell>
        </row>
        <row r="19101">
          <cell r="K19101" t="str">
            <v>217019</v>
          </cell>
          <cell r="M19101">
            <v>4</v>
          </cell>
          <cell r="R19101">
            <v>46061</v>
          </cell>
          <cell r="S19101">
            <v>217019</v>
          </cell>
        </row>
        <row r="19102">
          <cell r="K19102" t="str">
            <v>228001</v>
          </cell>
          <cell r="M19102">
            <v>1</v>
          </cell>
          <cell r="R19102">
            <v>46061</v>
          </cell>
          <cell r="S19102">
            <v>228001</v>
          </cell>
        </row>
        <row r="19103">
          <cell r="K19103" t="str">
            <v>213022</v>
          </cell>
          <cell r="M19103">
            <v>2</v>
          </cell>
          <cell r="R19103">
            <v>46061</v>
          </cell>
          <cell r="S19103">
            <v>213022</v>
          </cell>
        </row>
        <row r="19104">
          <cell r="K19104" t="str">
            <v>213022</v>
          </cell>
          <cell r="M19104">
            <v>2</v>
          </cell>
          <cell r="R19104">
            <v>46061</v>
          </cell>
          <cell r="S19104">
            <v>213022</v>
          </cell>
        </row>
        <row r="19105">
          <cell r="K19105" t="str">
            <v>213002</v>
          </cell>
          <cell r="M19105">
            <v>6</v>
          </cell>
          <cell r="R19105">
            <v>46061</v>
          </cell>
          <cell r="S19105">
            <v>213002</v>
          </cell>
        </row>
        <row r="19106">
          <cell r="K19106" t="str">
            <v>223002</v>
          </cell>
          <cell r="M19106">
            <v>3</v>
          </cell>
          <cell r="R19106">
            <v>46061</v>
          </cell>
          <cell r="S19106">
            <v>223002</v>
          </cell>
        </row>
        <row r="19107">
          <cell r="K19107" t="str">
            <v>223001</v>
          </cell>
          <cell r="M19107">
            <v>1</v>
          </cell>
          <cell r="R19107">
            <v>46061</v>
          </cell>
          <cell r="S19107">
            <v>223001</v>
          </cell>
        </row>
        <row r="19108">
          <cell r="K19108" t="str">
            <v>223004</v>
          </cell>
          <cell r="M19108">
            <v>1</v>
          </cell>
          <cell r="R19108">
            <v>46061</v>
          </cell>
          <cell r="S19108">
            <v>223004</v>
          </cell>
        </row>
        <row r="19109">
          <cell r="K19109" t="str">
            <v>217022</v>
          </cell>
          <cell r="M19109">
            <v>3</v>
          </cell>
          <cell r="R19109">
            <v>46061</v>
          </cell>
          <cell r="S19109">
            <v>217022</v>
          </cell>
        </row>
        <row r="19110">
          <cell r="K19110" t="str">
            <v>217018</v>
          </cell>
          <cell r="M19110">
            <v>5</v>
          </cell>
          <cell r="R19110">
            <v>46061</v>
          </cell>
          <cell r="S19110">
            <v>217018</v>
          </cell>
        </row>
        <row r="19111">
          <cell r="K19111" t="str">
            <v>223002</v>
          </cell>
          <cell r="M19111">
            <v>2</v>
          </cell>
          <cell r="R19111">
            <v>46061</v>
          </cell>
          <cell r="S19111">
            <v>223002</v>
          </cell>
        </row>
        <row r="19112">
          <cell r="K19112" t="str">
            <v>201024</v>
          </cell>
          <cell r="M19112">
            <v>5</v>
          </cell>
          <cell r="R19112">
            <v>46061</v>
          </cell>
          <cell r="S19112">
            <v>201024</v>
          </cell>
        </row>
        <row r="19113">
          <cell r="K19113" t="str">
            <v>228001</v>
          </cell>
          <cell r="M19113">
            <v>1</v>
          </cell>
          <cell r="R19113">
            <v>46061</v>
          </cell>
          <cell r="S19113">
            <v>228001</v>
          </cell>
        </row>
        <row r="19114">
          <cell r="K19114" t="str">
            <v>231010</v>
          </cell>
          <cell r="M19114">
            <v>6</v>
          </cell>
          <cell r="R19114">
            <v>46061</v>
          </cell>
          <cell r="S19114">
            <v>231010</v>
          </cell>
        </row>
        <row r="19115">
          <cell r="K19115" t="str">
            <v>223002</v>
          </cell>
          <cell r="M19115">
            <v>3</v>
          </cell>
          <cell r="R19115">
            <v>46061</v>
          </cell>
          <cell r="S19115">
            <v>223002</v>
          </cell>
        </row>
        <row r="19116">
          <cell r="K19116" t="str">
            <v>223001</v>
          </cell>
          <cell r="M19116">
            <v>7</v>
          </cell>
          <cell r="R19116">
            <v>46061</v>
          </cell>
          <cell r="S19116">
            <v>223001</v>
          </cell>
        </row>
        <row r="19117">
          <cell r="K19117" t="str">
            <v>227012</v>
          </cell>
          <cell r="M19117">
            <v>1</v>
          </cell>
          <cell r="R19117">
            <v>46061</v>
          </cell>
          <cell r="S19117">
            <v>227012</v>
          </cell>
        </row>
        <row r="19118">
          <cell r="K19118" t="str">
            <v>228001</v>
          </cell>
          <cell r="M19118">
            <v>4</v>
          </cell>
          <cell r="R19118">
            <v>46061</v>
          </cell>
          <cell r="S19118">
            <v>228001</v>
          </cell>
        </row>
        <row r="19119">
          <cell r="K19119" t="str">
            <v>226023</v>
          </cell>
          <cell r="M19119">
            <v>1</v>
          </cell>
          <cell r="R19119">
            <v>46062</v>
          </cell>
          <cell r="S19119">
            <v>226023</v>
          </cell>
        </row>
        <row r="19120">
          <cell r="K19120" t="str">
            <v>223007</v>
          </cell>
          <cell r="M19120">
            <v>1</v>
          </cell>
          <cell r="R19120">
            <v>46062</v>
          </cell>
          <cell r="S19120">
            <v>223007</v>
          </cell>
        </row>
        <row r="19121">
          <cell r="K19121" t="str">
            <v>231012</v>
          </cell>
          <cell r="M19121">
            <v>30</v>
          </cell>
          <cell r="R19121">
            <v>46062</v>
          </cell>
          <cell r="S19121">
            <v>231012</v>
          </cell>
        </row>
        <row r="19122">
          <cell r="K19122" t="str">
            <v>234011</v>
          </cell>
          <cell r="M19122">
            <v>1</v>
          </cell>
          <cell r="R19122">
            <v>46062</v>
          </cell>
          <cell r="S19122">
            <v>234011</v>
          </cell>
        </row>
        <row r="19123">
          <cell r="K19123" t="str">
            <v>234001</v>
          </cell>
          <cell r="M19123">
            <v>1</v>
          </cell>
          <cell r="R19123">
            <v>46062</v>
          </cell>
          <cell r="S19123">
            <v>234001</v>
          </cell>
        </row>
        <row r="19124">
          <cell r="K19124" t="str">
            <v>213022</v>
          </cell>
          <cell r="M19124">
            <v>2</v>
          </cell>
          <cell r="R19124">
            <v>46062</v>
          </cell>
          <cell r="S19124">
            <v>213022</v>
          </cell>
        </row>
        <row r="19125">
          <cell r="K19125" t="str">
            <v>201011</v>
          </cell>
          <cell r="M19125">
            <v>1</v>
          </cell>
          <cell r="R19125">
            <v>46062</v>
          </cell>
          <cell r="S19125">
            <v>201011</v>
          </cell>
        </row>
        <row r="19126">
          <cell r="K19126" t="str">
            <v>228001</v>
          </cell>
          <cell r="M19126">
            <v>1</v>
          </cell>
          <cell r="R19126">
            <v>46062</v>
          </cell>
          <cell r="S19126">
            <v>228001</v>
          </cell>
        </row>
        <row r="19127">
          <cell r="K19127" t="str">
            <v>201001</v>
          </cell>
          <cell r="M19127">
            <v>1</v>
          </cell>
          <cell r="R19127">
            <v>46062</v>
          </cell>
          <cell r="S19127">
            <v>201001</v>
          </cell>
        </row>
        <row r="19128">
          <cell r="K19128" t="str">
            <v>209012</v>
          </cell>
          <cell r="M19128">
            <v>1</v>
          </cell>
          <cell r="R19128">
            <v>46062</v>
          </cell>
          <cell r="S19128">
            <v>209012</v>
          </cell>
        </row>
        <row r="19129">
          <cell r="K19129" t="str">
            <v>220002</v>
          </cell>
          <cell r="M19129">
            <v>1</v>
          </cell>
          <cell r="R19129">
            <v>46062</v>
          </cell>
          <cell r="S19129">
            <v>220002</v>
          </cell>
        </row>
        <row r="19130">
          <cell r="K19130" t="str">
            <v>231010</v>
          </cell>
          <cell r="M19130">
            <v>1</v>
          </cell>
          <cell r="R19130">
            <v>46062</v>
          </cell>
          <cell r="S19130">
            <v>231010</v>
          </cell>
        </row>
        <row r="19131">
          <cell r="K19131" t="str">
            <v>228001</v>
          </cell>
          <cell r="M19131">
            <v>3</v>
          </cell>
          <cell r="R19131">
            <v>46062</v>
          </cell>
          <cell r="S19131">
            <v>228001</v>
          </cell>
        </row>
        <row r="19132">
          <cell r="K19132" t="str">
            <v>210010</v>
          </cell>
          <cell r="M19132">
            <v>1</v>
          </cell>
          <cell r="R19132">
            <v>46062</v>
          </cell>
          <cell r="S19132">
            <v>210010</v>
          </cell>
        </row>
        <row r="19133">
          <cell r="K19133" t="str">
            <v>223002</v>
          </cell>
          <cell r="M19133">
            <v>1</v>
          </cell>
          <cell r="R19133">
            <v>46062</v>
          </cell>
          <cell r="S19133">
            <v>223002</v>
          </cell>
        </row>
        <row r="19134">
          <cell r="K19134" t="str">
            <v>217018</v>
          </cell>
          <cell r="M19134">
            <v>1</v>
          </cell>
          <cell r="R19134">
            <v>46062</v>
          </cell>
          <cell r="S19134">
            <v>217018</v>
          </cell>
        </row>
        <row r="19135">
          <cell r="K19135" t="str">
            <v>213022</v>
          </cell>
          <cell r="M19135">
            <v>1</v>
          </cell>
          <cell r="R19135">
            <v>46062</v>
          </cell>
          <cell r="S19135">
            <v>213022</v>
          </cell>
        </row>
        <row r="19136">
          <cell r="K19136" t="str">
            <v>212035</v>
          </cell>
          <cell r="M19136">
            <v>3</v>
          </cell>
          <cell r="R19136">
            <v>46062</v>
          </cell>
          <cell r="S19136">
            <v>212035</v>
          </cell>
        </row>
        <row r="19137">
          <cell r="K19137" t="str">
            <v>201024</v>
          </cell>
          <cell r="M19137">
            <v>4</v>
          </cell>
          <cell r="R19137">
            <v>46062</v>
          </cell>
          <cell r="S19137">
            <v>201024</v>
          </cell>
        </row>
        <row r="19138">
          <cell r="K19138" t="str">
            <v>231010</v>
          </cell>
          <cell r="M19138">
            <v>3</v>
          </cell>
          <cell r="R19138">
            <v>46062</v>
          </cell>
          <cell r="S19138">
            <v>231010</v>
          </cell>
        </row>
        <row r="19139">
          <cell r="K19139" t="str">
            <v>210013</v>
          </cell>
          <cell r="M19139">
            <v>2</v>
          </cell>
          <cell r="R19139">
            <v>46062</v>
          </cell>
          <cell r="S19139">
            <v>210013</v>
          </cell>
        </row>
        <row r="19140">
          <cell r="K19140" t="str">
            <v>201001</v>
          </cell>
          <cell r="M19140">
            <v>1</v>
          </cell>
          <cell r="R19140">
            <v>46062</v>
          </cell>
          <cell r="S19140">
            <v>201001</v>
          </cell>
        </row>
        <row r="19141">
          <cell r="K19141" t="str">
            <v>210013</v>
          </cell>
          <cell r="M19141">
            <v>1</v>
          </cell>
          <cell r="R19141">
            <v>46062</v>
          </cell>
          <cell r="S19141">
            <v>210013</v>
          </cell>
        </row>
        <row r="19142">
          <cell r="K19142" t="str">
            <v>210015</v>
          </cell>
          <cell r="M19142">
            <v>50</v>
          </cell>
          <cell r="R19142">
            <v>46063</v>
          </cell>
          <cell r="S19142">
            <v>210015</v>
          </cell>
        </row>
        <row r="19143">
          <cell r="K19143" t="str">
            <v>201001</v>
          </cell>
          <cell r="M19143">
            <v>6</v>
          </cell>
          <cell r="R19143">
            <v>46062</v>
          </cell>
          <cell r="S19143">
            <v>201001</v>
          </cell>
        </row>
        <row r="19144">
          <cell r="K19144" t="str">
            <v>201001</v>
          </cell>
          <cell r="M19144">
            <v>3</v>
          </cell>
          <cell r="R19144">
            <v>46062</v>
          </cell>
          <cell r="S19144">
            <v>201001</v>
          </cell>
        </row>
        <row r="19145">
          <cell r="K19145" t="str">
            <v>201011</v>
          </cell>
          <cell r="M19145">
            <v>45</v>
          </cell>
          <cell r="R19145">
            <v>46063</v>
          </cell>
          <cell r="S19145">
            <v>201011</v>
          </cell>
        </row>
        <row r="19146">
          <cell r="K19146" t="str">
            <v>223003</v>
          </cell>
          <cell r="M19146">
            <v>10</v>
          </cell>
          <cell r="R19146">
            <v>46062</v>
          </cell>
          <cell r="S19146">
            <v>223003</v>
          </cell>
        </row>
        <row r="19147">
          <cell r="K19147" t="str">
            <v>223002</v>
          </cell>
          <cell r="M19147">
            <v>15</v>
          </cell>
          <cell r="R19147">
            <v>46062</v>
          </cell>
          <cell r="S19147">
            <v>223002</v>
          </cell>
        </row>
        <row r="19148">
          <cell r="K19148" t="str">
            <v>213022</v>
          </cell>
          <cell r="M19148">
            <v>2</v>
          </cell>
          <cell r="R19148">
            <v>46062</v>
          </cell>
          <cell r="S19148">
            <v>213022</v>
          </cell>
        </row>
        <row r="19149">
          <cell r="K19149" t="str">
            <v>227012</v>
          </cell>
          <cell r="M19149">
            <v>1</v>
          </cell>
          <cell r="R19149">
            <v>46062</v>
          </cell>
          <cell r="S19149">
            <v>227012</v>
          </cell>
        </row>
        <row r="19150">
          <cell r="K19150" t="str">
            <v>222002</v>
          </cell>
          <cell r="M19150">
            <v>1</v>
          </cell>
          <cell r="R19150">
            <v>46062</v>
          </cell>
          <cell r="S19150">
            <v>222002</v>
          </cell>
        </row>
        <row r="19151">
          <cell r="K19151" t="str">
            <v>201011</v>
          </cell>
          <cell r="M19151">
            <v>36</v>
          </cell>
          <cell r="R19151">
            <v>46062</v>
          </cell>
          <cell r="S19151">
            <v>201011</v>
          </cell>
        </row>
        <row r="19152">
          <cell r="K19152" t="str">
            <v>223001</v>
          </cell>
          <cell r="M19152">
            <v>4</v>
          </cell>
          <cell r="R19152">
            <v>46062</v>
          </cell>
          <cell r="S19152">
            <v>223001</v>
          </cell>
        </row>
        <row r="19153">
          <cell r="K19153" t="str">
            <v>227002</v>
          </cell>
          <cell r="M19153">
            <v>1</v>
          </cell>
          <cell r="R19153">
            <v>46062</v>
          </cell>
          <cell r="S19153">
            <v>227002</v>
          </cell>
        </row>
        <row r="19154">
          <cell r="K19154" t="str">
            <v>201028</v>
          </cell>
          <cell r="M19154">
            <v>1</v>
          </cell>
          <cell r="R19154">
            <v>46062</v>
          </cell>
          <cell r="S19154">
            <v>201028</v>
          </cell>
        </row>
        <row r="19155">
          <cell r="K19155" t="str">
            <v>201022</v>
          </cell>
          <cell r="M19155">
            <v>1</v>
          </cell>
          <cell r="R19155">
            <v>46062</v>
          </cell>
          <cell r="S19155">
            <v>201022</v>
          </cell>
        </row>
        <row r="19156">
          <cell r="K19156" t="str">
            <v>201001</v>
          </cell>
          <cell r="M19156">
            <v>1</v>
          </cell>
          <cell r="R19156">
            <v>46062</v>
          </cell>
          <cell r="S19156">
            <v>201001</v>
          </cell>
        </row>
        <row r="19157">
          <cell r="K19157" t="str">
            <v>201011</v>
          </cell>
          <cell r="M19157">
            <v>14</v>
          </cell>
          <cell r="R19157">
            <v>46062</v>
          </cell>
          <cell r="S19157">
            <v>201011</v>
          </cell>
        </row>
        <row r="19158">
          <cell r="K19158" t="str">
            <v>201011</v>
          </cell>
          <cell r="M19158">
            <v>6</v>
          </cell>
          <cell r="R19158">
            <v>46062</v>
          </cell>
          <cell r="S19158">
            <v>201011</v>
          </cell>
        </row>
        <row r="19159">
          <cell r="K19159" t="str">
            <v>231012</v>
          </cell>
          <cell r="M19159">
            <v>1</v>
          </cell>
          <cell r="R19159">
            <v>46062</v>
          </cell>
          <cell r="S19159">
            <v>231012</v>
          </cell>
        </row>
        <row r="19160">
          <cell r="K19160" t="str">
            <v>222001</v>
          </cell>
          <cell r="M19160">
            <v>4</v>
          </cell>
          <cell r="R19160">
            <v>46062</v>
          </cell>
          <cell r="S19160">
            <v>222001</v>
          </cell>
        </row>
        <row r="19161">
          <cell r="K19161" t="str">
            <v>213022</v>
          </cell>
          <cell r="M19161">
            <v>5</v>
          </cell>
          <cell r="R19161">
            <v>46062</v>
          </cell>
          <cell r="S19161">
            <v>213022</v>
          </cell>
        </row>
        <row r="19162">
          <cell r="K19162" t="str">
            <v>213002</v>
          </cell>
          <cell r="M19162">
            <v>15</v>
          </cell>
          <cell r="R19162">
            <v>46062</v>
          </cell>
          <cell r="S19162">
            <v>213002</v>
          </cell>
        </row>
        <row r="19163">
          <cell r="K19163" t="str">
            <v>227012</v>
          </cell>
          <cell r="M19163">
            <v>4</v>
          </cell>
          <cell r="R19163">
            <v>46062</v>
          </cell>
          <cell r="S19163">
            <v>227012</v>
          </cell>
        </row>
        <row r="19164">
          <cell r="K19164" t="str">
            <v>228001</v>
          </cell>
          <cell r="M19164">
            <v>5</v>
          </cell>
          <cell r="R19164">
            <v>46062</v>
          </cell>
          <cell r="S19164">
            <v>228001</v>
          </cell>
        </row>
        <row r="19165">
          <cell r="K19165" t="str">
            <v>227012</v>
          </cell>
          <cell r="M19165">
            <v>1</v>
          </cell>
          <cell r="R19165">
            <v>46062</v>
          </cell>
          <cell r="S19165">
            <v>227012</v>
          </cell>
        </row>
        <row r="19166">
          <cell r="K19166" t="str">
            <v>228001</v>
          </cell>
          <cell r="M19166">
            <v>10</v>
          </cell>
          <cell r="R19166">
            <v>46062</v>
          </cell>
          <cell r="S19166">
            <v>228001</v>
          </cell>
        </row>
        <row r="19167">
          <cell r="K19167" t="str">
            <v>228001</v>
          </cell>
          <cell r="M19167">
            <v>10</v>
          </cell>
          <cell r="R19167">
            <v>46062</v>
          </cell>
          <cell r="S19167">
            <v>228001</v>
          </cell>
        </row>
        <row r="19168">
          <cell r="K19168" t="str">
            <v>212035</v>
          </cell>
          <cell r="M19168">
            <v>6</v>
          </cell>
          <cell r="R19168">
            <v>46062</v>
          </cell>
          <cell r="S19168">
            <v>212035</v>
          </cell>
        </row>
        <row r="19169">
          <cell r="K19169" t="str">
            <v>209004</v>
          </cell>
          <cell r="M19169">
            <v>7</v>
          </cell>
          <cell r="R19169">
            <v>46062</v>
          </cell>
          <cell r="S19169">
            <v>209004</v>
          </cell>
        </row>
        <row r="19170">
          <cell r="K19170" t="str">
            <v>209004</v>
          </cell>
          <cell r="M19170">
            <v>1</v>
          </cell>
          <cell r="R19170">
            <v>46062</v>
          </cell>
          <cell r="S19170">
            <v>209004</v>
          </cell>
        </row>
        <row r="19171">
          <cell r="K19171" t="str">
            <v>228001</v>
          </cell>
          <cell r="M19171">
            <v>7</v>
          </cell>
          <cell r="R19171">
            <v>46062</v>
          </cell>
          <cell r="S19171">
            <v>228001</v>
          </cell>
        </row>
        <row r="19172">
          <cell r="K19172" t="str">
            <v>209001</v>
          </cell>
          <cell r="M19172">
            <v>3</v>
          </cell>
          <cell r="R19172">
            <v>46062</v>
          </cell>
          <cell r="S19172">
            <v>209001</v>
          </cell>
        </row>
        <row r="19173">
          <cell r="K19173" t="str">
            <v>223002</v>
          </cell>
          <cell r="M19173">
            <v>1</v>
          </cell>
          <cell r="R19173">
            <v>46062</v>
          </cell>
          <cell r="S19173">
            <v>223002</v>
          </cell>
        </row>
        <row r="19174">
          <cell r="K19174" t="str">
            <v>241001</v>
          </cell>
          <cell r="M19174">
            <v>1</v>
          </cell>
          <cell r="R19174">
            <v>46062</v>
          </cell>
          <cell r="S19174">
            <v>241001</v>
          </cell>
        </row>
        <row r="19175">
          <cell r="K19175" t="str">
            <v>217011</v>
          </cell>
          <cell r="M19175">
            <v>2</v>
          </cell>
          <cell r="R19175">
            <v>46062</v>
          </cell>
          <cell r="S19175">
            <v>217011</v>
          </cell>
        </row>
        <row r="19176">
          <cell r="K19176" t="str">
            <v>222001</v>
          </cell>
          <cell r="M19176">
            <v>2</v>
          </cell>
          <cell r="R19176">
            <v>46062</v>
          </cell>
          <cell r="S19176">
            <v>222001</v>
          </cell>
        </row>
        <row r="19177">
          <cell r="K19177" t="str">
            <v>213022</v>
          </cell>
          <cell r="M19177">
            <v>3</v>
          </cell>
          <cell r="R19177">
            <v>46062</v>
          </cell>
          <cell r="S19177">
            <v>213022</v>
          </cell>
        </row>
        <row r="19178">
          <cell r="K19178" t="str">
            <v>222001</v>
          </cell>
          <cell r="M19178">
            <v>3</v>
          </cell>
          <cell r="R19178">
            <v>46062</v>
          </cell>
          <cell r="S19178">
            <v>222001</v>
          </cell>
        </row>
        <row r="19179">
          <cell r="K19179" t="str">
            <v>213022</v>
          </cell>
          <cell r="M19179">
            <v>3</v>
          </cell>
          <cell r="R19179">
            <v>46062</v>
          </cell>
          <cell r="S19179">
            <v>213022</v>
          </cell>
        </row>
        <row r="19180">
          <cell r="K19180" t="str">
            <v>223001</v>
          </cell>
          <cell r="M19180">
            <v>2</v>
          </cell>
          <cell r="R19180">
            <v>46062</v>
          </cell>
          <cell r="S19180">
            <v>223001</v>
          </cell>
        </row>
        <row r="19181">
          <cell r="K19181" t="str">
            <v>223002</v>
          </cell>
          <cell r="M19181">
            <v>2</v>
          </cell>
          <cell r="R19181">
            <v>46062</v>
          </cell>
          <cell r="S19181">
            <v>223002</v>
          </cell>
        </row>
        <row r="19182">
          <cell r="K19182" t="str">
            <v>227012</v>
          </cell>
          <cell r="M19182">
            <v>1</v>
          </cell>
          <cell r="R19182">
            <v>46062</v>
          </cell>
          <cell r="S19182">
            <v>227012</v>
          </cell>
        </row>
        <row r="19183">
          <cell r="K19183" t="str">
            <v>201024</v>
          </cell>
          <cell r="M19183">
            <v>3</v>
          </cell>
          <cell r="R19183">
            <v>46062</v>
          </cell>
          <cell r="S19183">
            <v>201024</v>
          </cell>
        </row>
        <row r="19184">
          <cell r="K19184" t="str">
            <v>227012</v>
          </cell>
          <cell r="M19184">
            <v>3</v>
          </cell>
          <cell r="R19184">
            <v>46062</v>
          </cell>
          <cell r="S19184">
            <v>227012</v>
          </cell>
        </row>
        <row r="19185">
          <cell r="K19185" t="str">
            <v>231010</v>
          </cell>
          <cell r="M19185">
            <v>1</v>
          </cell>
          <cell r="R19185">
            <v>46062</v>
          </cell>
          <cell r="S19185">
            <v>231010</v>
          </cell>
        </row>
        <row r="19186">
          <cell r="K19186" t="str">
            <v>207017</v>
          </cell>
          <cell r="M19186">
            <v>2</v>
          </cell>
          <cell r="R19186">
            <v>46062</v>
          </cell>
          <cell r="S19186">
            <v>207017</v>
          </cell>
        </row>
        <row r="19187">
          <cell r="K19187" t="str">
            <v>213002</v>
          </cell>
          <cell r="M19187">
            <v>6</v>
          </cell>
          <cell r="R19187">
            <v>46062</v>
          </cell>
          <cell r="S19187">
            <v>213002</v>
          </cell>
        </row>
        <row r="19188">
          <cell r="K19188" t="str">
            <v>228001</v>
          </cell>
          <cell r="M19188">
            <v>2</v>
          </cell>
          <cell r="R19188">
            <v>46062</v>
          </cell>
          <cell r="S19188">
            <v>228001</v>
          </cell>
        </row>
        <row r="19189">
          <cell r="K19189" t="str">
            <v>201011</v>
          </cell>
          <cell r="M19189">
            <v>3</v>
          </cell>
          <cell r="R19189">
            <v>46062</v>
          </cell>
          <cell r="S19189">
            <v>201011</v>
          </cell>
        </row>
        <row r="19190">
          <cell r="K19190" t="str">
            <v>228001</v>
          </cell>
          <cell r="M19190">
            <v>3</v>
          </cell>
          <cell r="R19190">
            <v>46062</v>
          </cell>
          <cell r="S19190">
            <v>228001</v>
          </cell>
        </row>
        <row r="19191">
          <cell r="K19191" t="str">
            <v>213022</v>
          </cell>
          <cell r="M19191">
            <v>4</v>
          </cell>
          <cell r="R19191">
            <v>46062</v>
          </cell>
          <cell r="S19191">
            <v>213022</v>
          </cell>
        </row>
        <row r="19192">
          <cell r="K19192" t="str">
            <v>261004</v>
          </cell>
          <cell r="M19192">
            <v>1</v>
          </cell>
          <cell r="R19192">
            <v>46062</v>
          </cell>
          <cell r="S19192">
            <v>261004</v>
          </cell>
        </row>
        <row r="19193">
          <cell r="K19193" t="str">
            <v>241001</v>
          </cell>
          <cell r="M19193">
            <v>4</v>
          </cell>
          <cell r="R19193">
            <v>46062</v>
          </cell>
          <cell r="S19193">
            <v>241001</v>
          </cell>
        </row>
        <row r="19194">
          <cell r="K19194" t="str">
            <v>222002</v>
          </cell>
          <cell r="M19194">
            <v>2</v>
          </cell>
          <cell r="R19194">
            <v>46062</v>
          </cell>
          <cell r="S19194">
            <v>222002</v>
          </cell>
        </row>
        <row r="19195">
          <cell r="K19195" t="str">
            <v>213022</v>
          </cell>
          <cell r="M19195">
            <v>1</v>
          </cell>
          <cell r="R19195">
            <v>46062</v>
          </cell>
          <cell r="S19195">
            <v>213022</v>
          </cell>
        </row>
        <row r="19196">
          <cell r="K19196" t="str">
            <v>223001</v>
          </cell>
          <cell r="M19196">
            <v>6</v>
          </cell>
          <cell r="R19196">
            <v>46062</v>
          </cell>
          <cell r="S19196">
            <v>223001</v>
          </cell>
        </row>
        <row r="19197">
          <cell r="K19197" t="str">
            <v>241001</v>
          </cell>
          <cell r="M19197">
            <v>3</v>
          </cell>
          <cell r="R19197">
            <v>46062</v>
          </cell>
          <cell r="S19197">
            <v>241001</v>
          </cell>
        </row>
        <row r="19198">
          <cell r="K19198" t="str">
            <v>223002</v>
          </cell>
          <cell r="M19198">
            <v>1</v>
          </cell>
          <cell r="R19198">
            <v>46062</v>
          </cell>
          <cell r="S19198">
            <v>223002</v>
          </cell>
        </row>
        <row r="19199">
          <cell r="K19199" t="str">
            <v>234011</v>
          </cell>
          <cell r="M19199">
            <v>1</v>
          </cell>
          <cell r="R19199">
            <v>46062</v>
          </cell>
          <cell r="S19199">
            <v>234011</v>
          </cell>
        </row>
        <row r="19200">
          <cell r="K19200" t="str">
            <v>222001</v>
          </cell>
          <cell r="M19200">
            <v>1</v>
          </cell>
          <cell r="R19200">
            <v>46062</v>
          </cell>
          <cell r="S19200">
            <v>222001</v>
          </cell>
        </row>
        <row r="19201">
          <cell r="K19201" t="str">
            <v>201001</v>
          </cell>
          <cell r="M19201">
            <v>2</v>
          </cell>
          <cell r="R19201">
            <v>46062</v>
          </cell>
          <cell r="S19201">
            <v>201001</v>
          </cell>
        </row>
        <row r="19202">
          <cell r="K19202" t="str">
            <v>209001</v>
          </cell>
          <cell r="M19202">
            <v>1</v>
          </cell>
          <cell r="R19202">
            <v>46062</v>
          </cell>
          <cell r="S19202">
            <v>209001</v>
          </cell>
        </row>
        <row r="19203">
          <cell r="K19203" t="str">
            <v>210015</v>
          </cell>
          <cell r="M19203">
            <v>1</v>
          </cell>
          <cell r="R19203">
            <v>46062</v>
          </cell>
          <cell r="S19203">
            <v>210015</v>
          </cell>
        </row>
        <row r="19204">
          <cell r="K19204" t="str">
            <v>261004</v>
          </cell>
          <cell r="M19204">
            <v>60</v>
          </cell>
          <cell r="R19204">
            <v>46062</v>
          </cell>
          <cell r="S19204">
            <v>261004</v>
          </cell>
        </row>
        <row r="19205">
          <cell r="K19205" t="str">
            <v>201011</v>
          </cell>
          <cell r="M19205">
            <v>1</v>
          </cell>
          <cell r="R19205">
            <v>46062</v>
          </cell>
          <cell r="S19205">
            <v>201011</v>
          </cell>
        </row>
        <row r="19206">
          <cell r="K19206" t="str">
            <v>226033</v>
          </cell>
          <cell r="M19206">
            <v>30</v>
          </cell>
          <cell r="R19206">
            <v>46062</v>
          </cell>
          <cell r="S19206">
            <v>226033</v>
          </cell>
        </row>
        <row r="19207">
          <cell r="K19207" t="str">
            <v>201024</v>
          </cell>
          <cell r="M19207">
            <v>2</v>
          </cell>
          <cell r="R19207">
            <v>46062</v>
          </cell>
          <cell r="S19207">
            <v>201024</v>
          </cell>
        </row>
        <row r="19208">
          <cell r="K19208" t="str">
            <v>212002</v>
          </cell>
          <cell r="M19208">
            <v>1</v>
          </cell>
          <cell r="R19208">
            <v>46062</v>
          </cell>
          <cell r="S19208">
            <v>212002</v>
          </cell>
        </row>
        <row r="19209">
          <cell r="K19209" t="str">
            <v>201024</v>
          </cell>
          <cell r="M19209">
            <v>1</v>
          </cell>
          <cell r="R19209">
            <v>46062</v>
          </cell>
          <cell r="S19209">
            <v>201024</v>
          </cell>
        </row>
        <row r="19210">
          <cell r="K19210" t="str">
            <v>212002</v>
          </cell>
          <cell r="M19210">
            <v>1</v>
          </cell>
          <cell r="R19210">
            <v>46062</v>
          </cell>
          <cell r="S19210">
            <v>212002</v>
          </cell>
        </row>
        <row r="19211">
          <cell r="K19211" t="str">
            <v>201011</v>
          </cell>
          <cell r="M19211">
            <v>3</v>
          </cell>
          <cell r="R19211">
            <v>46062</v>
          </cell>
          <cell r="S19211">
            <v>201011</v>
          </cell>
        </row>
        <row r="19212">
          <cell r="K19212" t="str">
            <v>212035</v>
          </cell>
          <cell r="M19212">
            <v>3</v>
          </cell>
          <cell r="R19212">
            <v>46062</v>
          </cell>
          <cell r="S19212">
            <v>212035</v>
          </cell>
        </row>
        <row r="19213">
          <cell r="K19213" t="str">
            <v>201011</v>
          </cell>
          <cell r="M19213">
            <v>6</v>
          </cell>
          <cell r="R19213">
            <v>46062</v>
          </cell>
          <cell r="S19213">
            <v>201011</v>
          </cell>
        </row>
        <row r="19214">
          <cell r="K19214" t="str">
            <v>212002</v>
          </cell>
          <cell r="M19214">
            <v>1</v>
          </cell>
          <cell r="R19214">
            <v>46062</v>
          </cell>
          <cell r="S19214">
            <v>212002</v>
          </cell>
        </row>
        <row r="19215">
          <cell r="K19215" t="str">
            <v>217022</v>
          </cell>
          <cell r="M19215">
            <v>1</v>
          </cell>
          <cell r="R19215">
            <v>46062</v>
          </cell>
          <cell r="S19215">
            <v>217022</v>
          </cell>
        </row>
        <row r="19216">
          <cell r="K19216" t="str">
            <v>201011</v>
          </cell>
          <cell r="M19216">
            <v>25</v>
          </cell>
          <cell r="R19216">
            <v>46062</v>
          </cell>
          <cell r="S19216">
            <v>201011</v>
          </cell>
        </row>
        <row r="19217">
          <cell r="K19217" t="str">
            <v>231010</v>
          </cell>
          <cell r="M19217">
            <v>1</v>
          </cell>
          <cell r="R19217">
            <v>46062</v>
          </cell>
          <cell r="S19217">
            <v>231010</v>
          </cell>
        </row>
        <row r="19218">
          <cell r="K19218" t="str">
            <v>217018</v>
          </cell>
          <cell r="M19218">
            <v>1</v>
          </cell>
          <cell r="R19218">
            <v>46062</v>
          </cell>
          <cell r="S19218">
            <v>217018</v>
          </cell>
        </row>
        <row r="19219">
          <cell r="K19219" t="str">
            <v>223001</v>
          </cell>
          <cell r="M19219">
            <v>3</v>
          </cell>
          <cell r="R19219">
            <v>46062</v>
          </cell>
          <cell r="S19219">
            <v>223001</v>
          </cell>
        </row>
        <row r="19220">
          <cell r="K19220" t="str">
            <v>223002</v>
          </cell>
          <cell r="M19220">
            <v>3</v>
          </cell>
          <cell r="R19220">
            <v>46062</v>
          </cell>
          <cell r="S19220">
            <v>223002</v>
          </cell>
        </row>
        <row r="19221">
          <cell r="K19221" t="str">
            <v>201024</v>
          </cell>
          <cell r="M19221">
            <v>5</v>
          </cell>
          <cell r="R19221">
            <v>46062</v>
          </cell>
          <cell r="S19221">
            <v>201024</v>
          </cell>
        </row>
        <row r="19222">
          <cell r="K19222" t="str">
            <v>227012</v>
          </cell>
          <cell r="M19222">
            <v>1</v>
          </cell>
          <cell r="R19222">
            <v>46063</v>
          </cell>
          <cell r="S19222">
            <v>227012</v>
          </cell>
        </row>
        <row r="19223">
          <cell r="K19223" t="str">
            <v>223004</v>
          </cell>
          <cell r="M19223">
            <v>2</v>
          </cell>
          <cell r="R19223">
            <v>46063</v>
          </cell>
          <cell r="S19223">
            <v>223004</v>
          </cell>
        </row>
        <row r="19224">
          <cell r="K19224" t="str">
            <v>201011</v>
          </cell>
          <cell r="M19224">
            <v>2</v>
          </cell>
          <cell r="R19224">
            <v>46063</v>
          </cell>
          <cell r="S19224">
            <v>201011</v>
          </cell>
        </row>
        <row r="19225">
          <cell r="K19225" t="str">
            <v>229003</v>
          </cell>
          <cell r="M19225">
            <v>1</v>
          </cell>
          <cell r="R19225">
            <v>46063</v>
          </cell>
          <cell r="S19225">
            <v>229003</v>
          </cell>
        </row>
        <row r="19226">
          <cell r="K19226" t="str">
            <v>212002</v>
          </cell>
          <cell r="M19226">
            <v>1</v>
          </cell>
          <cell r="R19226">
            <v>46062</v>
          </cell>
          <cell r="S19226">
            <v>212002</v>
          </cell>
        </row>
        <row r="19227">
          <cell r="K19227" t="str">
            <v>229004</v>
          </cell>
          <cell r="M19227">
            <v>2</v>
          </cell>
          <cell r="R19227">
            <v>46063</v>
          </cell>
          <cell r="S19227">
            <v>229004</v>
          </cell>
        </row>
        <row r="19228">
          <cell r="K19228" t="str">
            <v>213002</v>
          </cell>
          <cell r="M19228">
            <v>4</v>
          </cell>
          <cell r="R19228">
            <v>46063</v>
          </cell>
          <cell r="S19228">
            <v>213002</v>
          </cell>
        </row>
        <row r="19229">
          <cell r="K19229" t="str">
            <v>213022</v>
          </cell>
          <cell r="M19229">
            <v>1</v>
          </cell>
          <cell r="R19229">
            <v>46063</v>
          </cell>
          <cell r="S19229">
            <v>213022</v>
          </cell>
        </row>
        <row r="19230">
          <cell r="K19230" t="str">
            <v>241001</v>
          </cell>
          <cell r="M19230">
            <v>15</v>
          </cell>
          <cell r="R19230">
            <v>46063</v>
          </cell>
          <cell r="S19230">
            <v>241001</v>
          </cell>
        </row>
        <row r="19231">
          <cell r="K19231" t="str">
            <v>228001</v>
          </cell>
          <cell r="M19231">
            <v>15</v>
          </cell>
          <cell r="R19231">
            <v>46063</v>
          </cell>
          <cell r="S19231">
            <v>228001</v>
          </cell>
        </row>
        <row r="19232">
          <cell r="K19232" t="str">
            <v>209016</v>
          </cell>
          <cell r="M19232">
            <v>2</v>
          </cell>
          <cell r="R19232">
            <v>46063</v>
          </cell>
          <cell r="S19232">
            <v>209016</v>
          </cell>
        </row>
        <row r="19233">
          <cell r="K19233" t="str">
            <v>228001</v>
          </cell>
          <cell r="M19233">
            <v>5</v>
          </cell>
          <cell r="R19233">
            <v>46063</v>
          </cell>
          <cell r="S19233">
            <v>228001</v>
          </cell>
        </row>
        <row r="19234">
          <cell r="K19234" t="str">
            <v>228001</v>
          </cell>
          <cell r="M19234">
            <v>1</v>
          </cell>
          <cell r="R19234">
            <v>46063</v>
          </cell>
          <cell r="S19234">
            <v>228001</v>
          </cell>
        </row>
        <row r="19235">
          <cell r="K19235" t="str">
            <v>217022</v>
          </cell>
          <cell r="M19235">
            <v>2</v>
          </cell>
          <cell r="R19235">
            <v>46063</v>
          </cell>
          <cell r="S19235">
            <v>217022</v>
          </cell>
        </row>
        <row r="19236">
          <cell r="K19236" t="str">
            <v>207017</v>
          </cell>
          <cell r="M19236">
            <v>1</v>
          </cell>
          <cell r="R19236">
            <v>46063</v>
          </cell>
          <cell r="S19236">
            <v>207017</v>
          </cell>
        </row>
        <row r="19237">
          <cell r="K19237" t="str">
            <v>228001</v>
          </cell>
          <cell r="M19237">
            <v>25</v>
          </cell>
          <cell r="R19237">
            <v>46063</v>
          </cell>
          <cell r="S19237">
            <v>228001</v>
          </cell>
        </row>
        <row r="19238">
          <cell r="K19238" t="str">
            <v>201001</v>
          </cell>
          <cell r="M19238">
            <v>10</v>
          </cell>
          <cell r="R19238">
            <v>46063</v>
          </cell>
          <cell r="S19238">
            <v>201001</v>
          </cell>
        </row>
        <row r="19239">
          <cell r="K19239" t="str">
            <v>213002</v>
          </cell>
          <cell r="M19239">
            <v>5</v>
          </cell>
          <cell r="R19239">
            <v>46063</v>
          </cell>
          <cell r="S19239">
            <v>213002</v>
          </cell>
        </row>
        <row r="19240">
          <cell r="K19240" t="str">
            <v>228001</v>
          </cell>
          <cell r="M19240">
            <v>1</v>
          </cell>
          <cell r="R19240">
            <v>46063</v>
          </cell>
          <cell r="S19240">
            <v>228001</v>
          </cell>
        </row>
        <row r="19241">
          <cell r="K19241" t="str">
            <v>228001</v>
          </cell>
          <cell r="M19241">
            <v>9</v>
          </cell>
          <cell r="R19241">
            <v>46063</v>
          </cell>
          <cell r="S19241">
            <v>228001</v>
          </cell>
        </row>
        <row r="19242">
          <cell r="K19242" t="str">
            <v>212002</v>
          </cell>
          <cell r="M19242">
            <v>2</v>
          </cell>
          <cell r="R19242">
            <v>46063</v>
          </cell>
          <cell r="S19242">
            <v>212002</v>
          </cell>
        </row>
        <row r="19243">
          <cell r="K19243" t="str">
            <v>234001</v>
          </cell>
          <cell r="M19243">
            <v>2</v>
          </cell>
          <cell r="R19243">
            <v>46063</v>
          </cell>
          <cell r="S19243">
            <v>234001</v>
          </cell>
        </row>
        <row r="19244">
          <cell r="K19244" t="str">
            <v>210015</v>
          </cell>
          <cell r="M19244">
            <v>10</v>
          </cell>
          <cell r="R19244">
            <v>46063</v>
          </cell>
          <cell r="S19244">
            <v>210015</v>
          </cell>
        </row>
        <row r="19245">
          <cell r="K19245" t="str">
            <v>228001</v>
          </cell>
          <cell r="M19245">
            <v>7</v>
          </cell>
          <cell r="R19245">
            <v>46063</v>
          </cell>
          <cell r="S19245">
            <v>228001</v>
          </cell>
        </row>
        <row r="19246">
          <cell r="K19246" t="str">
            <v>212002</v>
          </cell>
          <cell r="M19246">
            <v>2</v>
          </cell>
          <cell r="R19246">
            <v>46063</v>
          </cell>
          <cell r="S19246">
            <v>212002</v>
          </cell>
        </row>
        <row r="19247">
          <cell r="K19247" t="str">
            <v>234001</v>
          </cell>
          <cell r="M19247">
            <v>2</v>
          </cell>
          <cell r="R19247">
            <v>46063</v>
          </cell>
          <cell r="S19247">
            <v>234001</v>
          </cell>
        </row>
        <row r="19248">
          <cell r="K19248" t="str">
            <v>228001</v>
          </cell>
          <cell r="M19248">
            <v>9</v>
          </cell>
          <cell r="R19248">
            <v>46063</v>
          </cell>
          <cell r="S19248">
            <v>228001</v>
          </cell>
        </row>
        <row r="19249">
          <cell r="K19249" t="str">
            <v>210015</v>
          </cell>
          <cell r="M19249">
            <v>4</v>
          </cell>
          <cell r="R19249">
            <v>46063</v>
          </cell>
          <cell r="S19249">
            <v>210015</v>
          </cell>
        </row>
        <row r="19250">
          <cell r="K19250" t="str">
            <v>234011</v>
          </cell>
          <cell r="M19250">
            <v>2</v>
          </cell>
          <cell r="R19250">
            <v>46063</v>
          </cell>
          <cell r="S19250">
            <v>234011</v>
          </cell>
        </row>
        <row r="19251">
          <cell r="K19251" t="str">
            <v>231010</v>
          </cell>
          <cell r="M19251">
            <v>1</v>
          </cell>
          <cell r="R19251">
            <v>46063</v>
          </cell>
          <cell r="S19251">
            <v>231010</v>
          </cell>
        </row>
        <row r="19252">
          <cell r="K19252" t="str">
            <v>228001</v>
          </cell>
          <cell r="M19252">
            <v>5</v>
          </cell>
          <cell r="R19252">
            <v>46063</v>
          </cell>
          <cell r="S19252">
            <v>228001</v>
          </cell>
        </row>
        <row r="19253">
          <cell r="K19253" t="str">
            <v>212002</v>
          </cell>
          <cell r="M19253">
            <v>2</v>
          </cell>
          <cell r="R19253">
            <v>46063</v>
          </cell>
          <cell r="S19253">
            <v>212002</v>
          </cell>
        </row>
        <row r="19254">
          <cell r="K19254" t="str">
            <v>234001</v>
          </cell>
          <cell r="M19254">
            <v>1</v>
          </cell>
          <cell r="R19254">
            <v>46063</v>
          </cell>
          <cell r="S19254">
            <v>234001</v>
          </cell>
        </row>
        <row r="19255">
          <cell r="K19255" t="str">
            <v>228001</v>
          </cell>
          <cell r="M19255">
            <v>8</v>
          </cell>
          <cell r="R19255">
            <v>46063</v>
          </cell>
          <cell r="S19255">
            <v>228001</v>
          </cell>
        </row>
        <row r="19256">
          <cell r="K19256" t="str">
            <v>228001</v>
          </cell>
          <cell r="M19256">
            <v>1</v>
          </cell>
          <cell r="R19256">
            <v>46062</v>
          </cell>
          <cell r="S19256">
            <v>228001</v>
          </cell>
        </row>
        <row r="19257">
          <cell r="K19257" t="str">
            <v>212035</v>
          </cell>
          <cell r="M19257">
            <v>1</v>
          </cell>
          <cell r="R19257">
            <v>46062</v>
          </cell>
          <cell r="S19257">
            <v>212035</v>
          </cell>
        </row>
        <row r="19258">
          <cell r="K19258" t="str">
            <v>209017</v>
          </cell>
          <cell r="M19258">
            <v>1</v>
          </cell>
          <cell r="R19258">
            <v>46062</v>
          </cell>
          <cell r="S19258">
            <v>209017</v>
          </cell>
        </row>
        <row r="19259">
          <cell r="K19259" t="str">
            <v>201011</v>
          </cell>
          <cell r="M19259">
            <v>17</v>
          </cell>
          <cell r="R19259">
            <v>46063</v>
          </cell>
          <cell r="S19259">
            <v>201011</v>
          </cell>
        </row>
        <row r="19260">
          <cell r="K19260" t="str">
            <v>228001</v>
          </cell>
          <cell r="M19260">
            <v>1</v>
          </cell>
          <cell r="R19260">
            <v>46063</v>
          </cell>
          <cell r="S19260">
            <v>228001</v>
          </cell>
        </row>
        <row r="19261">
          <cell r="K19261" t="str">
            <v>217022</v>
          </cell>
          <cell r="M19261">
            <v>1</v>
          </cell>
          <cell r="R19261">
            <v>46063</v>
          </cell>
          <cell r="S19261">
            <v>217022</v>
          </cell>
        </row>
        <row r="19262">
          <cell r="K19262" t="str">
            <v>241001</v>
          </cell>
          <cell r="M19262">
            <v>1</v>
          </cell>
          <cell r="R19262">
            <v>46063</v>
          </cell>
          <cell r="S19262">
            <v>241001</v>
          </cell>
        </row>
        <row r="19263">
          <cell r="K19263" t="str">
            <v>234001</v>
          </cell>
          <cell r="M19263">
            <v>1</v>
          </cell>
          <cell r="R19263">
            <v>46063</v>
          </cell>
          <cell r="S19263">
            <v>234001</v>
          </cell>
        </row>
        <row r="19264">
          <cell r="K19264" t="str">
            <v>209012</v>
          </cell>
          <cell r="M19264">
            <v>1</v>
          </cell>
          <cell r="R19264">
            <v>46063</v>
          </cell>
          <cell r="S19264">
            <v>209012</v>
          </cell>
        </row>
        <row r="19265">
          <cell r="K19265" t="str">
            <v>213002</v>
          </cell>
          <cell r="M19265">
            <v>1</v>
          </cell>
          <cell r="R19265">
            <v>46063</v>
          </cell>
          <cell r="S19265">
            <v>213002</v>
          </cell>
        </row>
        <row r="19266">
          <cell r="K19266" t="str">
            <v>212035</v>
          </cell>
          <cell r="M19266">
            <v>6</v>
          </cell>
          <cell r="R19266">
            <v>46063</v>
          </cell>
          <cell r="S19266">
            <v>212035</v>
          </cell>
        </row>
        <row r="19267">
          <cell r="K19267" t="str">
            <v>228001</v>
          </cell>
          <cell r="M19267">
            <v>1</v>
          </cell>
          <cell r="R19267">
            <v>46063</v>
          </cell>
          <cell r="S19267">
            <v>228001</v>
          </cell>
        </row>
        <row r="19268">
          <cell r="K19268" t="str">
            <v>231010</v>
          </cell>
          <cell r="M19268">
            <v>1</v>
          </cell>
          <cell r="R19268">
            <v>46063</v>
          </cell>
          <cell r="S19268">
            <v>231010</v>
          </cell>
        </row>
        <row r="19269">
          <cell r="K19269" t="str">
            <v>213022</v>
          </cell>
          <cell r="M19269">
            <v>41</v>
          </cell>
          <cell r="R19269">
            <v>46063</v>
          </cell>
          <cell r="S19269">
            <v>213022</v>
          </cell>
        </row>
        <row r="19270">
          <cell r="K19270" t="str">
            <v>228001</v>
          </cell>
          <cell r="M19270">
            <v>1</v>
          </cell>
          <cell r="R19270">
            <v>46063</v>
          </cell>
          <cell r="S19270">
            <v>228001</v>
          </cell>
        </row>
        <row r="19271">
          <cell r="K19271" t="str">
            <v>237001</v>
          </cell>
          <cell r="M19271">
            <v>1</v>
          </cell>
          <cell r="R19271">
            <v>46063</v>
          </cell>
          <cell r="S19271">
            <v>237001</v>
          </cell>
        </row>
        <row r="19272">
          <cell r="K19272" t="str">
            <v>206002</v>
          </cell>
          <cell r="M19272">
            <v>1</v>
          </cell>
          <cell r="R19272">
            <v>46063</v>
          </cell>
          <cell r="S19272">
            <v>206002</v>
          </cell>
        </row>
        <row r="19273">
          <cell r="K19273" t="str">
            <v>208001</v>
          </cell>
          <cell r="M19273">
            <v>1</v>
          </cell>
          <cell r="R19273">
            <v>46063</v>
          </cell>
          <cell r="S19273">
            <v>208001</v>
          </cell>
        </row>
        <row r="19274">
          <cell r="K19274" t="str">
            <v>203004</v>
          </cell>
          <cell r="M19274">
            <v>1</v>
          </cell>
          <cell r="R19274">
            <v>46063</v>
          </cell>
          <cell r="S19274">
            <v>203004</v>
          </cell>
        </row>
        <row r="19275">
          <cell r="K19275" t="str">
            <v>227012</v>
          </cell>
          <cell r="M19275">
            <v>1</v>
          </cell>
          <cell r="R19275">
            <v>46063</v>
          </cell>
          <cell r="S19275">
            <v>227012</v>
          </cell>
        </row>
        <row r="19276">
          <cell r="K19276" t="str">
            <v>227012</v>
          </cell>
          <cell r="M19276">
            <v>1</v>
          </cell>
          <cell r="R19276">
            <v>46063</v>
          </cell>
          <cell r="S19276">
            <v>227012</v>
          </cell>
        </row>
        <row r="19277">
          <cell r="K19277" t="str">
            <v>201024</v>
          </cell>
          <cell r="M19277">
            <v>2</v>
          </cell>
          <cell r="R19277">
            <v>46063</v>
          </cell>
          <cell r="S19277">
            <v>201024</v>
          </cell>
        </row>
        <row r="19278">
          <cell r="K19278" t="str">
            <v>229003</v>
          </cell>
          <cell r="M19278">
            <v>1</v>
          </cell>
          <cell r="R19278">
            <v>46063</v>
          </cell>
          <cell r="S19278">
            <v>229003</v>
          </cell>
        </row>
        <row r="19279">
          <cell r="K19279" t="str">
            <v>223001</v>
          </cell>
          <cell r="M19279">
            <v>4</v>
          </cell>
          <cell r="R19279">
            <v>46063</v>
          </cell>
          <cell r="S19279">
            <v>223001</v>
          </cell>
        </row>
        <row r="19280">
          <cell r="K19280" t="str">
            <v>223004</v>
          </cell>
          <cell r="M19280">
            <v>4</v>
          </cell>
          <cell r="R19280">
            <v>46063</v>
          </cell>
          <cell r="S19280">
            <v>223004</v>
          </cell>
        </row>
        <row r="19281">
          <cell r="K19281" t="str">
            <v>241001</v>
          </cell>
          <cell r="M19281">
            <v>4</v>
          </cell>
          <cell r="R19281">
            <v>46063</v>
          </cell>
          <cell r="S19281">
            <v>241001</v>
          </cell>
        </row>
        <row r="19282">
          <cell r="K19282" t="str">
            <v>223002</v>
          </cell>
          <cell r="M19282">
            <v>1</v>
          </cell>
          <cell r="R19282">
            <v>46063</v>
          </cell>
          <cell r="S19282">
            <v>223002</v>
          </cell>
        </row>
        <row r="19283">
          <cell r="K19283" t="str">
            <v>222005</v>
          </cell>
          <cell r="M19283">
            <v>1</v>
          </cell>
          <cell r="R19283">
            <v>46063</v>
          </cell>
          <cell r="S19283">
            <v>222005</v>
          </cell>
        </row>
        <row r="19284">
          <cell r="K19284" t="str">
            <v>226022</v>
          </cell>
          <cell r="M19284">
            <v>1</v>
          </cell>
          <cell r="R19284">
            <v>46063</v>
          </cell>
          <cell r="S19284">
            <v>226022</v>
          </cell>
        </row>
        <row r="19285">
          <cell r="K19285" t="str">
            <v>212002</v>
          </cell>
          <cell r="M19285">
            <v>1</v>
          </cell>
          <cell r="R19285">
            <v>46063</v>
          </cell>
          <cell r="S19285">
            <v>212002</v>
          </cell>
        </row>
        <row r="19286">
          <cell r="K19286" t="str">
            <v>218001</v>
          </cell>
          <cell r="M19286">
            <v>1</v>
          </cell>
          <cell r="R19286">
            <v>46063</v>
          </cell>
          <cell r="S19286">
            <v>218001</v>
          </cell>
        </row>
        <row r="19287">
          <cell r="K19287" t="str">
            <v>223003</v>
          </cell>
          <cell r="M19287">
            <v>1</v>
          </cell>
          <cell r="R19287">
            <v>46063</v>
          </cell>
          <cell r="S19287">
            <v>223003</v>
          </cell>
        </row>
        <row r="19288">
          <cell r="K19288" t="str">
            <v>223001</v>
          </cell>
          <cell r="M19288">
            <v>2</v>
          </cell>
          <cell r="R19288">
            <v>46063</v>
          </cell>
          <cell r="S19288">
            <v>223001</v>
          </cell>
        </row>
        <row r="19289">
          <cell r="K19289" t="str">
            <v>208001</v>
          </cell>
          <cell r="M19289">
            <v>1</v>
          </cell>
          <cell r="R19289">
            <v>46063</v>
          </cell>
          <cell r="S19289">
            <v>208001</v>
          </cell>
        </row>
        <row r="19290">
          <cell r="K19290" t="str">
            <v>227002</v>
          </cell>
          <cell r="M19290">
            <v>1</v>
          </cell>
          <cell r="R19290">
            <v>46063</v>
          </cell>
          <cell r="S19290">
            <v>227002</v>
          </cell>
        </row>
        <row r="19291">
          <cell r="K19291" t="str">
            <v>217022</v>
          </cell>
          <cell r="M19291">
            <v>1</v>
          </cell>
          <cell r="R19291">
            <v>46063</v>
          </cell>
          <cell r="S19291">
            <v>217022</v>
          </cell>
        </row>
        <row r="19292">
          <cell r="K19292" t="str">
            <v>226029</v>
          </cell>
          <cell r="M19292">
            <v>1</v>
          </cell>
          <cell r="R19292">
            <v>46063</v>
          </cell>
          <cell r="S19292">
            <v>226029</v>
          </cell>
        </row>
        <row r="19293">
          <cell r="K19293" t="str">
            <v>207017</v>
          </cell>
          <cell r="M19293">
            <v>2</v>
          </cell>
          <cell r="R19293">
            <v>46063</v>
          </cell>
          <cell r="S19293">
            <v>207017</v>
          </cell>
        </row>
        <row r="19294">
          <cell r="K19294" t="str">
            <v>229003</v>
          </cell>
          <cell r="M19294">
            <v>1</v>
          </cell>
          <cell r="R19294">
            <v>46063</v>
          </cell>
          <cell r="S19294">
            <v>229003</v>
          </cell>
        </row>
        <row r="19295">
          <cell r="K19295" t="str">
            <v>210015</v>
          </cell>
          <cell r="M19295">
            <v>2</v>
          </cell>
          <cell r="R19295">
            <v>46063</v>
          </cell>
          <cell r="S19295">
            <v>210015</v>
          </cell>
        </row>
        <row r="19296">
          <cell r="K19296" t="str">
            <v>212002</v>
          </cell>
          <cell r="M19296">
            <v>1</v>
          </cell>
          <cell r="R19296">
            <v>46063</v>
          </cell>
          <cell r="S19296">
            <v>212002</v>
          </cell>
        </row>
        <row r="19297">
          <cell r="K19297" t="str">
            <v>207017</v>
          </cell>
          <cell r="M19297">
            <v>2</v>
          </cell>
          <cell r="R19297">
            <v>46063</v>
          </cell>
          <cell r="S19297">
            <v>207017</v>
          </cell>
        </row>
        <row r="19298">
          <cell r="K19298" t="str">
            <v>210015</v>
          </cell>
          <cell r="M19298">
            <v>2</v>
          </cell>
          <cell r="R19298">
            <v>46063</v>
          </cell>
          <cell r="S19298">
            <v>210015</v>
          </cell>
        </row>
        <row r="19299">
          <cell r="K19299" t="str">
            <v>209004</v>
          </cell>
          <cell r="M19299">
            <v>1</v>
          </cell>
          <cell r="R19299">
            <v>46063</v>
          </cell>
          <cell r="S19299">
            <v>209004</v>
          </cell>
        </row>
        <row r="19300">
          <cell r="K19300" t="str">
            <v>227012</v>
          </cell>
          <cell r="M19300">
            <v>2</v>
          </cell>
          <cell r="R19300">
            <v>46063</v>
          </cell>
          <cell r="S19300">
            <v>227012</v>
          </cell>
        </row>
        <row r="19301">
          <cell r="K19301" t="str">
            <v>209012</v>
          </cell>
          <cell r="M19301">
            <v>1</v>
          </cell>
          <cell r="R19301">
            <v>46063</v>
          </cell>
          <cell r="S19301">
            <v>209012</v>
          </cell>
        </row>
        <row r="19302">
          <cell r="K19302" t="str">
            <v>223001</v>
          </cell>
          <cell r="M19302">
            <v>2</v>
          </cell>
          <cell r="R19302">
            <v>46063</v>
          </cell>
          <cell r="S19302">
            <v>223001</v>
          </cell>
        </row>
        <row r="19303">
          <cell r="K19303" t="str">
            <v>223004</v>
          </cell>
          <cell r="M19303">
            <v>2</v>
          </cell>
          <cell r="R19303">
            <v>46063</v>
          </cell>
          <cell r="S19303">
            <v>223004</v>
          </cell>
        </row>
        <row r="19304">
          <cell r="K19304" t="str">
            <v>223003</v>
          </cell>
          <cell r="M19304">
            <v>1</v>
          </cell>
          <cell r="R19304">
            <v>46063</v>
          </cell>
          <cell r="S19304">
            <v>223003</v>
          </cell>
        </row>
        <row r="19305">
          <cell r="K19305" t="str">
            <v>209012</v>
          </cell>
          <cell r="M19305">
            <v>1</v>
          </cell>
          <cell r="R19305">
            <v>46063</v>
          </cell>
          <cell r="S19305">
            <v>209012</v>
          </cell>
        </row>
        <row r="19306">
          <cell r="K19306" t="str">
            <v>241001</v>
          </cell>
          <cell r="M19306">
            <v>1</v>
          </cell>
          <cell r="R19306">
            <v>46063</v>
          </cell>
          <cell r="S19306">
            <v>241001</v>
          </cell>
        </row>
        <row r="19307">
          <cell r="K19307" t="str">
            <v>223001</v>
          </cell>
          <cell r="M19307">
            <v>1</v>
          </cell>
          <cell r="R19307">
            <v>46063</v>
          </cell>
          <cell r="S19307">
            <v>223001</v>
          </cell>
        </row>
        <row r="19308">
          <cell r="K19308" t="str">
            <v>265001</v>
          </cell>
          <cell r="M19308">
            <v>1</v>
          </cell>
          <cell r="R19308">
            <v>46064</v>
          </cell>
          <cell r="S19308">
            <v>265001</v>
          </cell>
        </row>
        <row r="19309">
          <cell r="K19309" t="str">
            <v>209011</v>
          </cell>
          <cell r="M19309">
            <v>2</v>
          </cell>
          <cell r="R19309">
            <v>46064</v>
          </cell>
          <cell r="S19309">
            <v>209011</v>
          </cell>
        </row>
        <row r="19310">
          <cell r="K19310" t="str">
            <v>209017</v>
          </cell>
          <cell r="M19310">
            <v>1</v>
          </cell>
          <cell r="R19310">
            <v>46064</v>
          </cell>
          <cell r="S19310">
            <v>209017</v>
          </cell>
        </row>
        <row r="19311">
          <cell r="K19311" t="str">
            <v>231010</v>
          </cell>
          <cell r="M19311">
            <v>1</v>
          </cell>
          <cell r="R19311">
            <v>46063</v>
          </cell>
          <cell r="S19311">
            <v>231010</v>
          </cell>
        </row>
        <row r="19312">
          <cell r="K19312" t="str">
            <v>217019</v>
          </cell>
          <cell r="M19312">
            <v>7</v>
          </cell>
          <cell r="R19312">
            <v>46063</v>
          </cell>
          <cell r="S19312">
            <v>217019</v>
          </cell>
        </row>
        <row r="19313">
          <cell r="K19313" t="str">
            <v>201027</v>
          </cell>
          <cell r="M19313">
            <v>3</v>
          </cell>
          <cell r="R19313">
            <v>46063</v>
          </cell>
          <cell r="S19313">
            <v>201027</v>
          </cell>
        </row>
        <row r="19314">
          <cell r="K19314" t="str">
            <v>201026</v>
          </cell>
          <cell r="M19314">
            <v>3</v>
          </cell>
          <cell r="R19314">
            <v>46063</v>
          </cell>
          <cell r="S19314">
            <v>201026</v>
          </cell>
        </row>
        <row r="19315">
          <cell r="K19315" t="str">
            <v>201024</v>
          </cell>
          <cell r="M19315">
            <v>12</v>
          </cell>
          <cell r="R19315">
            <v>46063</v>
          </cell>
          <cell r="S19315">
            <v>201024</v>
          </cell>
        </row>
        <row r="19316">
          <cell r="K19316" t="str">
            <v>210009</v>
          </cell>
          <cell r="M19316">
            <v>6</v>
          </cell>
          <cell r="R19316">
            <v>46063</v>
          </cell>
          <cell r="S19316">
            <v>210009</v>
          </cell>
        </row>
        <row r="19317">
          <cell r="K19317" t="str">
            <v>212002</v>
          </cell>
          <cell r="M19317">
            <v>3</v>
          </cell>
          <cell r="R19317">
            <v>46063</v>
          </cell>
          <cell r="S19317">
            <v>212002</v>
          </cell>
        </row>
        <row r="19318">
          <cell r="K19318" t="str">
            <v>201011</v>
          </cell>
          <cell r="M19318">
            <v>12</v>
          </cell>
          <cell r="R19318">
            <v>46063</v>
          </cell>
          <cell r="S19318">
            <v>201011</v>
          </cell>
        </row>
        <row r="19319">
          <cell r="K19319" t="str">
            <v>201011</v>
          </cell>
          <cell r="M19319">
            <v>2</v>
          </cell>
          <cell r="R19319">
            <v>46064</v>
          </cell>
          <cell r="S19319">
            <v>201011</v>
          </cell>
        </row>
        <row r="19320">
          <cell r="K19320" t="str">
            <v>228001</v>
          </cell>
          <cell r="M19320">
            <v>2</v>
          </cell>
          <cell r="R19320">
            <v>46064</v>
          </cell>
          <cell r="S19320">
            <v>228001</v>
          </cell>
        </row>
        <row r="19321">
          <cell r="K19321" t="str">
            <v>226001</v>
          </cell>
          <cell r="M19321">
            <v>2</v>
          </cell>
          <cell r="R19321">
            <v>46064</v>
          </cell>
          <cell r="S19321">
            <v>226001</v>
          </cell>
        </row>
        <row r="19322">
          <cell r="K19322" t="str">
            <v>228001</v>
          </cell>
          <cell r="M19322">
            <v>3</v>
          </cell>
          <cell r="R19322">
            <v>46064</v>
          </cell>
          <cell r="S19322">
            <v>228001</v>
          </cell>
        </row>
        <row r="19323">
          <cell r="K19323" t="str">
            <v>228001</v>
          </cell>
          <cell r="M19323">
            <v>2</v>
          </cell>
          <cell r="R19323">
            <v>46064</v>
          </cell>
          <cell r="S19323">
            <v>228001</v>
          </cell>
        </row>
        <row r="19324">
          <cell r="K19324" t="str">
            <v>223001</v>
          </cell>
          <cell r="M19324">
            <v>50</v>
          </cell>
          <cell r="R19324">
            <v>46064</v>
          </cell>
          <cell r="S19324">
            <v>223001</v>
          </cell>
        </row>
        <row r="19325">
          <cell r="K19325" t="str">
            <v>227012</v>
          </cell>
          <cell r="M19325">
            <v>3</v>
          </cell>
          <cell r="R19325">
            <v>46064</v>
          </cell>
          <cell r="S19325">
            <v>227012</v>
          </cell>
        </row>
        <row r="19326">
          <cell r="K19326" t="str">
            <v>227014</v>
          </cell>
          <cell r="M19326">
            <v>5</v>
          </cell>
          <cell r="R19326">
            <v>46064</v>
          </cell>
          <cell r="S19326">
            <v>227014</v>
          </cell>
        </row>
        <row r="19327">
          <cell r="K19327" t="str">
            <v>217021</v>
          </cell>
          <cell r="M19327">
            <v>1</v>
          </cell>
          <cell r="R19327">
            <v>46064</v>
          </cell>
          <cell r="S19327">
            <v>217021</v>
          </cell>
        </row>
        <row r="19328">
          <cell r="K19328" t="str">
            <v>234011</v>
          </cell>
          <cell r="M19328">
            <v>1</v>
          </cell>
          <cell r="R19328">
            <v>46064</v>
          </cell>
          <cell r="S19328">
            <v>234011</v>
          </cell>
        </row>
        <row r="19329">
          <cell r="K19329" t="str">
            <v>222001</v>
          </cell>
          <cell r="M19329">
            <v>1</v>
          </cell>
          <cell r="R19329">
            <v>46064</v>
          </cell>
          <cell r="S19329">
            <v>222001</v>
          </cell>
        </row>
        <row r="19330">
          <cell r="K19330" t="str">
            <v>228001</v>
          </cell>
          <cell r="M19330">
            <v>50</v>
          </cell>
          <cell r="R19330">
            <v>46064</v>
          </cell>
          <cell r="S19330">
            <v>228001</v>
          </cell>
        </row>
        <row r="19331">
          <cell r="K19331" t="str">
            <v>228001</v>
          </cell>
          <cell r="M19331">
            <v>30</v>
          </cell>
          <cell r="R19331">
            <v>46064</v>
          </cell>
          <cell r="S19331">
            <v>228001</v>
          </cell>
        </row>
        <row r="19332">
          <cell r="K19332" t="str">
            <v>228001</v>
          </cell>
          <cell r="M19332">
            <v>20</v>
          </cell>
          <cell r="R19332">
            <v>46064</v>
          </cell>
          <cell r="S19332">
            <v>228001</v>
          </cell>
        </row>
        <row r="19333">
          <cell r="K19333" t="str">
            <v>228001</v>
          </cell>
          <cell r="M19333">
            <v>3</v>
          </cell>
          <cell r="R19333">
            <v>46064</v>
          </cell>
          <cell r="S19333">
            <v>228001</v>
          </cell>
        </row>
        <row r="19334">
          <cell r="K19334" t="str">
            <v>212002</v>
          </cell>
          <cell r="M19334">
            <v>1</v>
          </cell>
          <cell r="R19334">
            <v>46064</v>
          </cell>
          <cell r="S19334">
            <v>212002</v>
          </cell>
        </row>
        <row r="19335">
          <cell r="K19335" t="str">
            <v>228001</v>
          </cell>
          <cell r="M19335">
            <v>6</v>
          </cell>
          <cell r="R19335">
            <v>46064</v>
          </cell>
          <cell r="S19335">
            <v>228001</v>
          </cell>
        </row>
        <row r="19336">
          <cell r="K19336" t="str">
            <v>228001</v>
          </cell>
          <cell r="M19336">
            <v>1</v>
          </cell>
          <cell r="R19336">
            <v>46064</v>
          </cell>
          <cell r="S19336">
            <v>228001</v>
          </cell>
        </row>
        <row r="19337">
          <cell r="K19337" t="str">
            <v>228001</v>
          </cell>
          <cell r="M19337">
            <v>4</v>
          </cell>
          <cell r="R19337">
            <v>46064</v>
          </cell>
          <cell r="S19337">
            <v>228001</v>
          </cell>
        </row>
        <row r="19338">
          <cell r="K19338" t="str">
            <v>212035</v>
          </cell>
          <cell r="M19338">
            <v>2</v>
          </cell>
          <cell r="R19338">
            <v>46064</v>
          </cell>
          <cell r="S19338">
            <v>212035</v>
          </cell>
        </row>
        <row r="19339">
          <cell r="K19339" t="str">
            <v>217022</v>
          </cell>
          <cell r="M19339">
            <v>2</v>
          </cell>
          <cell r="R19339">
            <v>46064</v>
          </cell>
          <cell r="S19339">
            <v>217022</v>
          </cell>
        </row>
        <row r="19340">
          <cell r="K19340" t="str">
            <v>209001</v>
          </cell>
          <cell r="M19340">
            <v>3</v>
          </cell>
          <cell r="R19340">
            <v>46064</v>
          </cell>
          <cell r="S19340">
            <v>209001</v>
          </cell>
        </row>
        <row r="19341">
          <cell r="K19341" t="str">
            <v>201001</v>
          </cell>
          <cell r="M19341">
            <v>1</v>
          </cell>
          <cell r="R19341">
            <v>46064</v>
          </cell>
          <cell r="S19341">
            <v>201001</v>
          </cell>
        </row>
        <row r="19342">
          <cell r="K19342" t="str">
            <v>228001</v>
          </cell>
          <cell r="M19342">
            <v>3</v>
          </cell>
          <cell r="R19342">
            <v>46064</v>
          </cell>
          <cell r="S19342">
            <v>228001</v>
          </cell>
        </row>
        <row r="19343">
          <cell r="K19343" t="str">
            <v>261004</v>
          </cell>
          <cell r="M19343">
            <v>80</v>
          </cell>
          <cell r="R19343">
            <v>46064</v>
          </cell>
          <cell r="S19343">
            <v>261004</v>
          </cell>
        </row>
        <row r="19344">
          <cell r="K19344" t="str">
            <v>212010</v>
          </cell>
          <cell r="M19344">
            <v>30</v>
          </cell>
          <cell r="R19344">
            <v>46064</v>
          </cell>
          <cell r="S19344">
            <v>212010</v>
          </cell>
        </row>
        <row r="19345">
          <cell r="K19345" t="str">
            <v>228001</v>
          </cell>
          <cell r="M19345">
            <v>3</v>
          </cell>
          <cell r="R19345">
            <v>46064</v>
          </cell>
          <cell r="S19345">
            <v>228001</v>
          </cell>
        </row>
        <row r="19346">
          <cell r="K19346" t="str">
            <v>261006</v>
          </cell>
          <cell r="M19346">
            <v>6</v>
          </cell>
          <cell r="R19346">
            <v>46064</v>
          </cell>
          <cell r="S19346">
            <v>261006</v>
          </cell>
        </row>
        <row r="19347">
          <cell r="K19347" t="str">
            <v>212010</v>
          </cell>
          <cell r="M19347">
            <v>18</v>
          </cell>
          <cell r="R19347">
            <v>46064</v>
          </cell>
          <cell r="S19347">
            <v>212010</v>
          </cell>
        </row>
        <row r="19348">
          <cell r="K19348" t="str">
            <v>261006</v>
          </cell>
          <cell r="M19348">
            <v>10</v>
          </cell>
          <cell r="R19348">
            <v>46064</v>
          </cell>
          <cell r="S19348">
            <v>261006</v>
          </cell>
        </row>
        <row r="19349">
          <cell r="K19349" t="str">
            <v>222005</v>
          </cell>
          <cell r="M19349">
            <v>1</v>
          </cell>
          <cell r="R19349">
            <v>46064</v>
          </cell>
          <cell r="S19349">
            <v>222005</v>
          </cell>
        </row>
        <row r="19350">
          <cell r="K19350" t="str">
            <v>212035</v>
          </cell>
          <cell r="M19350">
            <v>2</v>
          </cell>
          <cell r="R19350">
            <v>46064</v>
          </cell>
          <cell r="S19350">
            <v>212035</v>
          </cell>
        </row>
        <row r="19351">
          <cell r="K19351" t="str">
            <v>213022</v>
          </cell>
          <cell r="M19351">
            <v>2</v>
          </cell>
          <cell r="R19351">
            <v>46064</v>
          </cell>
          <cell r="S19351">
            <v>213022</v>
          </cell>
        </row>
        <row r="19352">
          <cell r="K19352" t="str">
            <v>201011</v>
          </cell>
          <cell r="M19352">
            <v>36</v>
          </cell>
          <cell r="R19352">
            <v>46064</v>
          </cell>
          <cell r="S19352">
            <v>201011</v>
          </cell>
        </row>
        <row r="19353">
          <cell r="K19353" t="str">
            <v>217011</v>
          </cell>
          <cell r="M19353">
            <v>4</v>
          </cell>
          <cell r="R19353">
            <v>46064</v>
          </cell>
          <cell r="S19353">
            <v>217011</v>
          </cell>
        </row>
        <row r="19354">
          <cell r="K19354" t="str">
            <v>234011</v>
          </cell>
          <cell r="M19354">
            <v>2</v>
          </cell>
          <cell r="R19354">
            <v>46064</v>
          </cell>
          <cell r="S19354">
            <v>234011</v>
          </cell>
        </row>
        <row r="19355">
          <cell r="K19355" t="str">
            <v>223002</v>
          </cell>
          <cell r="M19355">
            <v>1</v>
          </cell>
          <cell r="R19355">
            <v>46065</v>
          </cell>
          <cell r="S19355">
            <v>223002</v>
          </cell>
        </row>
        <row r="19356">
          <cell r="K19356" t="str">
            <v>209004</v>
          </cell>
          <cell r="M19356">
            <v>1</v>
          </cell>
          <cell r="R19356">
            <v>46065</v>
          </cell>
          <cell r="S19356">
            <v>209004</v>
          </cell>
        </row>
        <row r="19357">
          <cell r="K19357" t="str">
            <v>223004</v>
          </cell>
          <cell r="M19357">
            <v>1</v>
          </cell>
          <cell r="R19357">
            <v>46065</v>
          </cell>
          <cell r="S19357">
            <v>223004</v>
          </cell>
        </row>
        <row r="19358">
          <cell r="K19358" t="str">
            <v>223003</v>
          </cell>
          <cell r="M19358">
            <v>1</v>
          </cell>
          <cell r="R19358">
            <v>46065</v>
          </cell>
          <cell r="S19358">
            <v>223003</v>
          </cell>
        </row>
        <row r="19359">
          <cell r="K19359" t="str">
            <v>237001</v>
          </cell>
          <cell r="M19359">
            <v>1</v>
          </cell>
          <cell r="R19359">
            <v>46065</v>
          </cell>
          <cell r="S19359">
            <v>237001</v>
          </cell>
        </row>
        <row r="19360">
          <cell r="K19360" t="str">
            <v>229001</v>
          </cell>
          <cell r="M19360">
            <v>6</v>
          </cell>
          <cell r="R19360">
            <v>46063</v>
          </cell>
          <cell r="S19360">
            <v>229001</v>
          </cell>
        </row>
        <row r="19361">
          <cell r="K19361" t="str">
            <v>229001</v>
          </cell>
          <cell r="M19361">
            <v>6</v>
          </cell>
          <cell r="R19361">
            <v>46063</v>
          </cell>
          <cell r="S19361">
            <v>229001</v>
          </cell>
        </row>
        <row r="19362">
          <cell r="K19362" t="str">
            <v>217011</v>
          </cell>
          <cell r="M19362">
            <v>1</v>
          </cell>
          <cell r="R19362">
            <v>46065</v>
          </cell>
          <cell r="S19362">
            <v>217011</v>
          </cell>
        </row>
        <row r="19363">
          <cell r="K19363" t="str">
            <v>217011</v>
          </cell>
          <cell r="M19363">
            <v>1</v>
          </cell>
          <cell r="R19363">
            <v>46065</v>
          </cell>
          <cell r="S19363">
            <v>217011</v>
          </cell>
        </row>
        <row r="19364">
          <cell r="K19364" t="str">
            <v>205004</v>
          </cell>
          <cell r="M19364">
            <v>2</v>
          </cell>
          <cell r="R19364">
            <v>46065</v>
          </cell>
          <cell r="S19364">
            <v>205004</v>
          </cell>
        </row>
        <row r="19365">
          <cell r="K19365" t="str">
            <v>213022</v>
          </cell>
          <cell r="M19365">
            <v>2</v>
          </cell>
          <cell r="R19365">
            <v>46065</v>
          </cell>
          <cell r="S19365">
            <v>213022</v>
          </cell>
        </row>
        <row r="19366">
          <cell r="K19366" t="str">
            <v>234011</v>
          </cell>
          <cell r="M19366">
            <v>1</v>
          </cell>
          <cell r="R19366">
            <v>46065</v>
          </cell>
          <cell r="S19366">
            <v>234011</v>
          </cell>
        </row>
        <row r="19367">
          <cell r="K19367" t="str">
            <v>201024</v>
          </cell>
          <cell r="M19367">
            <v>1</v>
          </cell>
          <cell r="R19367">
            <v>46065</v>
          </cell>
          <cell r="S19367">
            <v>201024</v>
          </cell>
        </row>
        <row r="19368">
          <cell r="K19368" t="str">
            <v>212002</v>
          </cell>
          <cell r="M19368">
            <v>1</v>
          </cell>
          <cell r="R19368">
            <v>46065</v>
          </cell>
          <cell r="S19368">
            <v>212002</v>
          </cell>
        </row>
        <row r="19369">
          <cell r="K19369" t="str">
            <v>209011</v>
          </cell>
          <cell r="M19369">
            <v>1</v>
          </cell>
          <cell r="R19369">
            <v>46065</v>
          </cell>
          <cell r="S19369">
            <v>209011</v>
          </cell>
        </row>
        <row r="19370">
          <cell r="K19370" t="str">
            <v>209012</v>
          </cell>
          <cell r="M19370">
            <v>1</v>
          </cell>
          <cell r="R19370">
            <v>46065</v>
          </cell>
          <cell r="S19370">
            <v>209012</v>
          </cell>
        </row>
        <row r="19371">
          <cell r="K19371" t="str">
            <v>237001</v>
          </cell>
          <cell r="M19371">
            <v>1</v>
          </cell>
          <cell r="R19371">
            <v>46065</v>
          </cell>
          <cell r="S19371">
            <v>237001</v>
          </cell>
        </row>
        <row r="19372">
          <cell r="K19372" t="str">
            <v>209004</v>
          </cell>
          <cell r="M19372">
            <v>1</v>
          </cell>
          <cell r="R19372">
            <v>46065</v>
          </cell>
          <cell r="S19372">
            <v>209004</v>
          </cell>
        </row>
        <row r="19373">
          <cell r="K19373" t="str">
            <v>227014</v>
          </cell>
          <cell r="M19373">
            <v>1</v>
          </cell>
          <cell r="R19373">
            <v>46065</v>
          </cell>
          <cell r="S19373">
            <v>227014</v>
          </cell>
        </row>
        <row r="19374">
          <cell r="K19374" t="str">
            <v>220002</v>
          </cell>
          <cell r="M19374">
            <v>15</v>
          </cell>
          <cell r="R19374">
            <v>46065</v>
          </cell>
          <cell r="S19374">
            <v>220002</v>
          </cell>
        </row>
        <row r="19375">
          <cell r="K19375" t="str">
            <v>201011</v>
          </cell>
          <cell r="M19375">
            <v>3</v>
          </cell>
          <cell r="R19375">
            <v>46065</v>
          </cell>
          <cell r="S19375">
            <v>201011</v>
          </cell>
        </row>
        <row r="19376">
          <cell r="K19376" t="str">
            <v>210010</v>
          </cell>
          <cell r="M19376">
            <v>2</v>
          </cell>
          <cell r="R19376">
            <v>46065</v>
          </cell>
          <cell r="S19376">
            <v>210010</v>
          </cell>
        </row>
        <row r="19377">
          <cell r="K19377" t="str">
            <v>223002</v>
          </cell>
          <cell r="M19377">
            <v>1</v>
          </cell>
          <cell r="R19377">
            <v>46065</v>
          </cell>
          <cell r="S19377">
            <v>223002</v>
          </cell>
        </row>
        <row r="19378">
          <cell r="K19378" t="str">
            <v>223004</v>
          </cell>
          <cell r="M19378">
            <v>1</v>
          </cell>
          <cell r="R19378">
            <v>46065</v>
          </cell>
          <cell r="S19378">
            <v>223004</v>
          </cell>
        </row>
        <row r="19379">
          <cell r="K19379" t="str">
            <v>210014</v>
          </cell>
          <cell r="M19379">
            <v>2</v>
          </cell>
          <cell r="R19379">
            <v>46065</v>
          </cell>
          <cell r="S19379">
            <v>210014</v>
          </cell>
        </row>
        <row r="19380">
          <cell r="K19380" t="str">
            <v>226022</v>
          </cell>
          <cell r="M19380">
            <v>1</v>
          </cell>
          <cell r="R19380">
            <v>46065</v>
          </cell>
          <cell r="S19380">
            <v>226022</v>
          </cell>
        </row>
        <row r="19381">
          <cell r="K19381" t="str">
            <v>226027</v>
          </cell>
          <cell r="M19381">
            <v>1</v>
          </cell>
          <cell r="R19381">
            <v>46065</v>
          </cell>
          <cell r="S19381">
            <v>226027</v>
          </cell>
        </row>
        <row r="19382">
          <cell r="K19382" t="str">
            <v>217022</v>
          </cell>
          <cell r="M19382">
            <v>2</v>
          </cell>
          <cell r="R19382">
            <v>46065</v>
          </cell>
          <cell r="S19382">
            <v>217022</v>
          </cell>
        </row>
        <row r="19383">
          <cell r="K19383" t="str">
            <v>213022</v>
          </cell>
          <cell r="M19383">
            <v>1</v>
          </cell>
          <cell r="R19383">
            <v>46065</v>
          </cell>
          <cell r="S19383">
            <v>213022</v>
          </cell>
        </row>
        <row r="19384">
          <cell r="K19384" t="str">
            <v>223001</v>
          </cell>
          <cell r="M19384">
            <v>5</v>
          </cell>
          <cell r="R19384">
            <v>46065</v>
          </cell>
          <cell r="S19384">
            <v>223001</v>
          </cell>
        </row>
        <row r="19385">
          <cell r="K19385" t="str">
            <v>227012</v>
          </cell>
          <cell r="M19385">
            <v>2</v>
          </cell>
          <cell r="R19385">
            <v>46065</v>
          </cell>
          <cell r="S19385">
            <v>227012</v>
          </cell>
        </row>
        <row r="19386">
          <cell r="K19386" t="str">
            <v>206002</v>
          </cell>
          <cell r="M19386">
            <v>1</v>
          </cell>
          <cell r="R19386">
            <v>46065</v>
          </cell>
          <cell r="S19386">
            <v>206002</v>
          </cell>
        </row>
        <row r="19387">
          <cell r="K19387" t="str">
            <v>207017</v>
          </cell>
          <cell r="M19387">
            <v>1</v>
          </cell>
          <cell r="R19387">
            <v>46065</v>
          </cell>
          <cell r="S19387">
            <v>207017</v>
          </cell>
        </row>
        <row r="19388">
          <cell r="K19388" t="str">
            <v>210014</v>
          </cell>
          <cell r="M19388">
            <v>8</v>
          </cell>
          <cell r="R19388">
            <v>46065</v>
          </cell>
          <cell r="S19388">
            <v>210014</v>
          </cell>
        </row>
        <row r="19389">
          <cell r="K19389" t="str">
            <v>213022</v>
          </cell>
          <cell r="M19389">
            <v>1</v>
          </cell>
          <cell r="R19389">
            <v>46065</v>
          </cell>
          <cell r="S19389">
            <v>213022</v>
          </cell>
        </row>
        <row r="19390">
          <cell r="K19390" t="str">
            <v>241001</v>
          </cell>
          <cell r="M19390">
            <v>3</v>
          </cell>
          <cell r="R19390">
            <v>46065</v>
          </cell>
          <cell r="S19390">
            <v>241001</v>
          </cell>
        </row>
        <row r="19391">
          <cell r="K19391" t="str">
            <v>213022</v>
          </cell>
          <cell r="M19391">
            <v>1</v>
          </cell>
          <cell r="R19391">
            <v>46065</v>
          </cell>
          <cell r="S19391">
            <v>213022</v>
          </cell>
        </row>
        <row r="19392">
          <cell r="K19392" t="str">
            <v>241001</v>
          </cell>
          <cell r="M19392">
            <v>2</v>
          </cell>
          <cell r="R19392">
            <v>46065</v>
          </cell>
          <cell r="S19392">
            <v>241001</v>
          </cell>
        </row>
        <row r="19393">
          <cell r="K19393" t="str">
            <v>241001</v>
          </cell>
          <cell r="M19393">
            <v>4</v>
          </cell>
          <cell r="R19393">
            <v>46065</v>
          </cell>
          <cell r="S19393">
            <v>241001</v>
          </cell>
        </row>
        <row r="19394">
          <cell r="K19394" t="str">
            <v>261004</v>
          </cell>
          <cell r="M19394">
            <v>1</v>
          </cell>
          <cell r="R19394">
            <v>46065</v>
          </cell>
          <cell r="S19394">
            <v>261004</v>
          </cell>
        </row>
        <row r="19395">
          <cell r="K19395" t="str">
            <v>222002</v>
          </cell>
          <cell r="M19395">
            <v>2</v>
          </cell>
          <cell r="R19395">
            <v>46065</v>
          </cell>
          <cell r="S19395">
            <v>222002</v>
          </cell>
        </row>
        <row r="19396">
          <cell r="K19396" t="str">
            <v>213022</v>
          </cell>
          <cell r="M19396">
            <v>2</v>
          </cell>
          <cell r="R19396">
            <v>46065</v>
          </cell>
          <cell r="S19396">
            <v>213022</v>
          </cell>
        </row>
        <row r="19397">
          <cell r="K19397" t="str">
            <v>228001</v>
          </cell>
          <cell r="M19397">
            <v>10</v>
          </cell>
          <cell r="R19397">
            <v>46065</v>
          </cell>
          <cell r="S19397">
            <v>228001</v>
          </cell>
        </row>
        <row r="19398">
          <cell r="K19398" t="str">
            <v>228001</v>
          </cell>
          <cell r="M19398">
            <v>1</v>
          </cell>
          <cell r="R19398">
            <v>46065</v>
          </cell>
          <cell r="S19398">
            <v>228001</v>
          </cell>
        </row>
        <row r="19399">
          <cell r="K19399" t="str">
            <v>228001</v>
          </cell>
          <cell r="M19399">
            <v>3</v>
          </cell>
          <cell r="R19399">
            <v>46065</v>
          </cell>
          <cell r="S19399">
            <v>228001</v>
          </cell>
        </row>
        <row r="19400">
          <cell r="K19400" t="str">
            <v>206002</v>
          </cell>
          <cell r="M19400">
            <v>1</v>
          </cell>
          <cell r="R19400">
            <v>46065</v>
          </cell>
          <cell r="S19400">
            <v>206002</v>
          </cell>
        </row>
        <row r="19401">
          <cell r="K19401" t="str">
            <v>223002</v>
          </cell>
          <cell r="M19401">
            <v>3</v>
          </cell>
          <cell r="R19401">
            <v>46065</v>
          </cell>
          <cell r="S19401">
            <v>223002</v>
          </cell>
        </row>
        <row r="19402">
          <cell r="K19402" t="str">
            <v>223001</v>
          </cell>
          <cell r="M19402">
            <v>2</v>
          </cell>
          <cell r="R19402">
            <v>46065</v>
          </cell>
          <cell r="S19402">
            <v>223001</v>
          </cell>
        </row>
        <row r="19403">
          <cell r="K19403" t="str">
            <v>229004</v>
          </cell>
          <cell r="M19403">
            <v>2</v>
          </cell>
          <cell r="R19403">
            <v>46065</v>
          </cell>
          <cell r="S19403">
            <v>229004</v>
          </cell>
        </row>
        <row r="19404">
          <cell r="K19404" t="str">
            <v>207017</v>
          </cell>
          <cell r="M19404">
            <v>1</v>
          </cell>
          <cell r="R19404">
            <v>46065</v>
          </cell>
          <cell r="S19404">
            <v>207017</v>
          </cell>
        </row>
        <row r="19405">
          <cell r="K19405" t="str">
            <v>223001</v>
          </cell>
          <cell r="M19405">
            <v>2</v>
          </cell>
          <cell r="R19405">
            <v>46065</v>
          </cell>
          <cell r="S19405">
            <v>223001</v>
          </cell>
        </row>
        <row r="19406">
          <cell r="K19406" t="str">
            <v>226001</v>
          </cell>
          <cell r="M19406">
            <v>4</v>
          </cell>
          <cell r="R19406">
            <v>46064</v>
          </cell>
          <cell r="S19406">
            <v>226001</v>
          </cell>
        </row>
        <row r="19407">
          <cell r="K19407" t="str">
            <v>207017</v>
          </cell>
          <cell r="M19407">
            <v>1</v>
          </cell>
          <cell r="R19407">
            <v>46064</v>
          </cell>
          <cell r="S19407">
            <v>207017</v>
          </cell>
        </row>
        <row r="19408">
          <cell r="K19408" t="str">
            <v>213002</v>
          </cell>
          <cell r="M19408">
            <v>3</v>
          </cell>
          <cell r="R19408">
            <v>46064</v>
          </cell>
          <cell r="S19408">
            <v>213002</v>
          </cell>
        </row>
        <row r="19409">
          <cell r="K19409" t="str">
            <v>209004</v>
          </cell>
          <cell r="M19409">
            <v>3</v>
          </cell>
          <cell r="R19409">
            <v>46064</v>
          </cell>
          <cell r="S19409">
            <v>209004</v>
          </cell>
        </row>
        <row r="19410">
          <cell r="K19410" t="str">
            <v>231010</v>
          </cell>
          <cell r="M19410">
            <v>1</v>
          </cell>
          <cell r="R19410">
            <v>46064</v>
          </cell>
          <cell r="S19410">
            <v>231010</v>
          </cell>
        </row>
        <row r="19411">
          <cell r="K19411" t="str">
            <v>223001</v>
          </cell>
          <cell r="M19411">
            <v>1</v>
          </cell>
          <cell r="R19411">
            <v>46065</v>
          </cell>
          <cell r="S19411">
            <v>223001</v>
          </cell>
        </row>
        <row r="19412">
          <cell r="K19412" t="str">
            <v>223002</v>
          </cell>
          <cell r="M19412">
            <v>8</v>
          </cell>
          <cell r="R19412">
            <v>46065</v>
          </cell>
          <cell r="S19412">
            <v>223002</v>
          </cell>
        </row>
        <row r="19413">
          <cell r="K19413" t="str">
            <v>217018</v>
          </cell>
          <cell r="M19413">
            <v>1</v>
          </cell>
          <cell r="R19413">
            <v>46065</v>
          </cell>
          <cell r="S19413">
            <v>217018</v>
          </cell>
        </row>
        <row r="19414">
          <cell r="K19414" t="str">
            <v>228001</v>
          </cell>
          <cell r="M19414">
            <v>4</v>
          </cell>
          <cell r="R19414">
            <v>46065</v>
          </cell>
          <cell r="S19414">
            <v>228001</v>
          </cell>
        </row>
        <row r="19415">
          <cell r="K19415" t="str">
            <v>228001</v>
          </cell>
          <cell r="M19415">
            <v>4</v>
          </cell>
          <cell r="R19415">
            <v>46065</v>
          </cell>
          <cell r="S19415">
            <v>228001</v>
          </cell>
        </row>
        <row r="19416">
          <cell r="K19416" t="str">
            <v>228001</v>
          </cell>
          <cell r="M19416">
            <v>1</v>
          </cell>
          <cell r="R19416">
            <v>46065</v>
          </cell>
          <cell r="S19416">
            <v>228001</v>
          </cell>
        </row>
        <row r="19417">
          <cell r="K19417" t="str">
            <v>223003</v>
          </cell>
          <cell r="M19417">
            <v>6</v>
          </cell>
          <cell r="R19417">
            <v>46065</v>
          </cell>
          <cell r="S19417">
            <v>223003</v>
          </cell>
        </row>
        <row r="19418">
          <cell r="K19418" t="str">
            <v>223006</v>
          </cell>
          <cell r="M19418">
            <v>6</v>
          </cell>
          <cell r="R19418">
            <v>46065</v>
          </cell>
          <cell r="S19418">
            <v>223006</v>
          </cell>
        </row>
        <row r="19419">
          <cell r="K19419" t="str">
            <v>223002</v>
          </cell>
          <cell r="M19419">
            <v>10</v>
          </cell>
          <cell r="R19419">
            <v>46065</v>
          </cell>
          <cell r="S19419">
            <v>223002</v>
          </cell>
        </row>
        <row r="19420">
          <cell r="K19420" t="str">
            <v>213022</v>
          </cell>
          <cell r="M19420">
            <v>3</v>
          </cell>
          <cell r="R19420">
            <v>46065</v>
          </cell>
          <cell r="S19420">
            <v>213022</v>
          </cell>
        </row>
        <row r="19421">
          <cell r="K19421" t="str">
            <v>227014</v>
          </cell>
          <cell r="M19421">
            <v>1</v>
          </cell>
          <cell r="R19421">
            <v>46065</v>
          </cell>
          <cell r="S19421">
            <v>227014</v>
          </cell>
        </row>
        <row r="19422">
          <cell r="K19422" t="str">
            <v>222002</v>
          </cell>
          <cell r="M19422">
            <v>1</v>
          </cell>
          <cell r="R19422">
            <v>46065</v>
          </cell>
          <cell r="S19422">
            <v>222002</v>
          </cell>
        </row>
        <row r="19423">
          <cell r="K19423" t="str">
            <v>226030</v>
          </cell>
          <cell r="M19423">
            <v>2</v>
          </cell>
          <cell r="R19423">
            <v>46065</v>
          </cell>
          <cell r="S19423">
            <v>226030</v>
          </cell>
        </row>
        <row r="19424">
          <cell r="K19424" t="str">
            <v>217022</v>
          </cell>
          <cell r="M19424">
            <v>7</v>
          </cell>
          <cell r="R19424">
            <v>46065</v>
          </cell>
          <cell r="S19424">
            <v>217022</v>
          </cell>
        </row>
        <row r="19425">
          <cell r="K19425" t="str">
            <v>228001</v>
          </cell>
          <cell r="M19425">
            <v>1</v>
          </cell>
          <cell r="R19425">
            <v>46065</v>
          </cell>
          <cell r="S19425">
            <v>228001</v>
          </cell>
        </row>
        <row r="19426">
          <cell r="K19426" t="str">
            <v>228001</v>
          </cell>
          <cell r="M19426">
            <v>2</v>
          </cell>
          <cell r="R19426">
            <v>46065</v>
          </cell>
          <cell r="S19426">
            <v>228001</v>
          </cell>
        </row>
        <row r="19427">
          <cell r="K19427" t="str">
            <v>227012</v>
          </cell>
          <cell r="M19427">
            <v>2</v>
          </cell>
          <cell r="R19427">
            <v>46065</v>
          </cell>
          <cell r="S19427">
            <v>227012</v>
          </cell>
        </row>
        <row r="19428">
          <cell r="K19428" t="str">
            <v>209012</v>
          </cell>
          <cell r="M19428">
            <v>4</v>
          </cell>
          <cell r="R19428">
            <v>46065</v>
          </cell>
          <cell r="S19428">
            <v>209012</v>
          </cell>
        </row>
        <row r="19429">
          <cell r="K19429" t="str">
            <v>241001</v>
          </cell>
          <cell r="M19429">
            <v>10</v>
          </cell>
          <cell r="R19429">
            <v>46065</v>
          </cell>
          <cell r="S19429">
            <v>241001</v>
          </cell>
        </row>
        <row r="19430">
          <cell r="K19430" t="str">
            <v>222001</v>
          </cell>
          <cell r="M19430">
            <v>1</v>
          </cell>
          <cell r="R19430">
            <v>46065</v>
          </cell>
          <cell r="S19430">
            <v>222001</v>
          </cell>
        </row>
        <row r="19431">
          <cell r="K19431" t="str">
            <v>209001</v>
          </cell>
          <cell r="M19431">
            <v>1</v>
          </cell>
          <cell r="R19431">
            <v>46065</v>
          </cell>
          <cell r="S19431">
            <v>209001</v>
          </cell>
        </row>
        <row r="19432">
          <cell r="K19432" t="str">
            <v>217019</v>
          </cell>
          <cell r="M19432">
            <v>2</v>
          </cell>
          <cell r="R19432">
            <v>46065</v>
          </cell>
          <cell r="S19432">
            <v>217019</v>
          </cell>
        </row>
        <row r="19433">
          <cell r="K19433" t="str">
            <v>201027</v>
          </cell>
          <cell r="M19433">
            <v>2</v>
          </cell>
          <cell r="R19433">
            <v>46065</v>
          </cell>
          <cell r="S19433">
            <v>201027</v>
          </cell>
        </row>
        <row r="19434">
          <cell r="K19434" t="str">
            <v>231010</v>
          </cell>
          <cell r="M19434">
            <v>4</v>
          </cell>
          <cell r="R19434">
            <v>46065</v>
          </cell>
          <cell r="S19434">
            <v>231010</v>
          </cell>
        </row>
        <row r="19435">
          <cell r="K19435" t="str">
            <v>213022</v>
          </cell>
          <cell r="M19435">
            <v>2</v>
          </cell>
          <cell r="R19435">
            <v>46065</v>
          </cell>
          <cell r="S19435">
            <v>213022</v>
          </cell>
        </row>
        <row r="19436">
          <cell r="K19436" t="str">
            <v>210015</v>
          </cell>
          <cell r="M19436">
            <v>2</v>
          </cell>
          <cell r="R19436">
            <v>46065</v>
          </cell>
          <cell r="S19436">
            <v>210015</v>
          </cell>
        </row>
        <row r="19437">
          <cell r="K19437" t="str">
            <v>201001</v>
          </cell>
          <cell r="M19437">
            <v>6</v>
          </cell>
          <cell r="R19437">
            <v>46065</v>
          </cell>
          <cell r="S19437">
            <v>201001</v>
          </cell>
        </row>
        <row r="19438">
          <cell r="K19438" t="str">
            <v>213002</v>
          </cell>
          <cell r="M19438">
            <v>3</v>
          </cell>
          <cell r="R19438">
            <v>46065</v>
          </cell>
          <cell r="S19438">
            <v>213002</v>
          </cell>
        </row>
        <row r="19439">
          <cell r="K19439" t="str">
            <v>213022</v>
          </cell>
          <cell r="M19439">
            <v>1</v>
          </cell>
          <cell r="R19439">
            <v>46065</v>
          </cell>
          <cell r="S19439">
            <v>213022</v>
          </cell>
        </row>
        <row r="19440">
          <cell r="K19440" t="str">
            <v>210015</v>
          </cell>
          <cell r="M19440">
            <v>8</v>
          </cell>
          <cell r="R19440">
            <v>46065</v>
          </cell>
          <cell r="S19440">
            <v>210015</v>
          </cell>
        </row>
        <row r="19441">
          <cell r="K19441" t="str">
            <v>241001</v>
          </cell>
          <cell r="M19441">
            <v>120</v>
          </cell>
          <cell r="R19441">
            <v>46066</v>
          </cell>
          <cell r="S19441">
            <v>241001</v>
          </cell>
        </row>
        <row r="19442">
          <cell r="K19442" t="str">
            <v>213002</v>
          </cell>
          <cell r="M19442">
            <v>5</v>
          </cell>
          <cell r="R19442">
            <v>46065</v>
          </cell>
          <cell r="S19442">
            <v>213002</v>
          </cell>
        </row>
        <row r="19443">
          <cell r="K19443" t="str">
            <v>210015</v>
          </cell>
          <cell r="M19443">
            <v>2</v>
          </cell>
          <cell r="R19443">
            <v>46065</v>
          </cell>
          <cell r="S19443">
            <v>210015</v>
          </cell>
        </row>
        <row r="19444">
          <cell r="K19444" t="str">
            <v>213002</v>
          </cell>
          <cell r="M19444">
            <v>10</v>
          </cell>
          <cell r="R19444">
            <v>46065</v>
          </cell>
          <cell r="S19444">
            <v>213002</v>
          </cell>
        </row>
        <row r="19445">
          <cell r="K19445" t="str">
            <v>210015</v>
          </cell>
          <cell r="M19445">
            <v>1</v>
          </cell>
          <cell r="R19445">
            <v>46065</v>
          </cell>
          <cell r="S19445">
            <v>210015</v>
          </cell>
        </row>
        <row r="19446">
          <cell r="K19446" t="str">
            <v>213022</v>
          </cell>
          <cell r="M19446">
            <v>1</v>
          </cell>
          <cell r="R19446">
            <v>46065</v>
          </cell>
          <cell r="S19446">
            <v>213022</v>
          </cell>
        </row>
        <row r="19447">
          <cell r="K19447" t="str">
            <v>201001</v>
          </cell>
          <cell r="M19447">
            <v>2</v>
          </cell>
          <cell r="R19447">
            <v>46065</v>
          </cell>
          <cell r="S19447">
            <v>201001</v>
          </cell>
        </row>
        <row r="19448">
          <cell r="K19448" t="str">
            <v>241001</v>
          </cell>
          <cell r="M19448">
            <v>5</v>
          </cell>
          <cell r="R19448">
            <v>46065</v>
          </cell>
          <cell r="S19448">
            <v>241001</v>
          </cell>
        </row>
        <row r="19449">
          <cell r="K19449" t="str">
            <v>213022</v>
          </cell>
          <cell r="M19449">
            <v>1</v>
          </cell>
          <cell r="R19449">
            <v>46065</v>
          </cell>
          <cell r="S19449">
            <v>213022</v>
          </cell>
        </row>
        <row r="19450">
          <cell r="K19450" t="str">
            <v>218003</v>
          </cell>
          <cell r="M19450">
            <v>1</v>
          </cell>
          <cell r="R19450">
            <v>45660</v>
          </cell>
          <cell r="S19450">
            <v>218003</v>
          </cell>
        </row>
        <row r="19451">
          <cell r="K19451" t="str">
            <v>226026</v>
          </cell>
          <cell r="M19451">
            <v>1</v>
          </cell>
          <cell r="R19451">
            <v>45664</v>
          </cell>
          <cell r="S19451">
            <v>226026</v>
          </cell>
        </row>
        <row r="19452">
          <cell r="K19452" t="str">
            <v>213022</v>
          </cell>
          <cell r="M19452">
            <v>1</v>
          </cell>
          <cell r="R19452">
            <v>45664</v>
          </cell>
          <cell r="S19452">
            <v>213022</v>
          </cell>
        </row>
        <row r="19453">
          <cell r="K19453" t="str">
            <v>245004</v>
          </cell>
          <cell r="M19453">
            <v>1</v>
          </cell>
          <cell r="R19453">
            <v>45666</v>
          </cell>
          <cell r="S19453">
            <v>245004</v>
          </cell>
        </row>
        <row r="19454">
          <cell r="K19454" t="str">
            <v>226001</v>
          </cell>
          <cell r="M19454">
            <v>1</v>
          </cell>
          <cell r="R19454">
            <v>45666</v>
          </cell>
          <cell r="S19454">
            <v>226001</v>
          </cell>
        </row>
        <row r="19455">
          <cell r="K19455" t="str">
            <v>203001</v>
          </cell>
          <cell r="M19455">
            <v>3</v>
          </cell>
          <cell r="R19455">
            <v>45666</v>
          </cell>
          <cell r="S19455">
            <v>203001</v>
          </cell>
        </row>
        <row r="19456">
          <cell r="K19456" t="str">
            <v>231012</v>
          </cell>
          <cell r="M19456">
            <v>2</v>
          </cell>
          <cell r="R19456">
            <v>45666</v>
          </cell>
          <cell r="S19456">
            <v>231012</v>
          </cell>
        </row>
        <row r="19457">
          <cell r="K19457" t="str">
            <v>207017</v>
          </cell>
          <cell r="M19457">
            <v>1</v>
          </cell>
          <cell r="R19457">
            <v>45665</v>
          </cell>
          <cell r="S19457">
            <v>207017</v>
          </cell>
        </row>
        <row r="19458">
          <cell r="K19458" t="str">
            <v>209006</v>
          </cell>
          <cell r="M19458">
            <v>1</v>
          </cell>
          <cell r="R19458">
            <v>45665</v>
          </cell>
          <cell r="S19458">
            <v>209006</v>
          </cell>
        </row>
        <row r="19459">
          <cell r="K19459" t="str">
            <v>226028</v>
          </cell>
          <cell r="M19459">
            <v>1</v>
          </cell>
          <cell r="R19459">
            <v>45665</v>
          </cell>
          <cell r="S19459">
            <v>226028</v>
          </cell>
        </row>
        <row r="19460">
          <cell r="K19460" t="str">
            <v>213003</v>
          </cell>
          <cell r="M19460">
            <v>1</v>
          </cell>
          <cell r="R19460">
            <v>45664</v>
          </cell>
          <cell r="S19460">
            <v>213003</v>
          </cell>
        </row>
        <row r="19461">
          <cell r="K19461" t="str">
            <v>213022</v>
          </cell>
          <cell r="M19461">
            <v>1</v>
          </cell>
          <cell r="R19461">
            <v>45669</v>
          </cell>
          <cell r="S19461">
            <v>213022</v>
          </cell>
        </row>
        <row r="19462">
          <cell r="K19462" t="str">
            <v>229001</v>
          </cell>
          <cell r="M19462">
            <v>3</v>
          </cell>
          <cell r="R19462">
            <v>45670</v>
          </cell>
          <cell r="S19462">
            <v>229001</v>
          </cell>
        </row>
        <row r="19463">
          <cell r="K19463" t="str">
            <v>223002</v>
          </cell>
          <cell r="M19463">
            <v>1</v>
          </cell>
          <cell r="R19463">
            <v>45670</v>
          </cell>
          <cell r="S19463">
            <v>223002</v>
          </cell>
        </row>
        <row r="19464">
          <cell r="K19464" t="str">
            <v>220003</v>
          </cell>
          <cell r="M19464">
            <v>2</v>
          </cell>
          <cell r="R19464">
            <v>45670</v>
          </cell>
          <cell r="S19464">
            <v>220003</v>
          </cell>
        </row>
        <row r="19465">
          <cell r="K19465" t="str">
            <v>212030</v>
          </cell>
          <cell r="M19465">
            <v>1</v>
          </cell>
          <cell r="R19465">
            <v>45671</v>
          </cell>
          <cell r="S19465">
            <v>212030</v>
          </cell>
        </row>
        <row r="19466">
          <cell r="K19466" t="str">
            <v>209004</v>
          </cell>
          <cell r="M19466">
            <v>1</v>
          </cell>
          <cell r="R19466">
            <v>45671</v>
          </cell>
          <cell r="S19466">
            <v>209004</v>
          </cell>
        </row>
        <row r="19467">
          <cell r="K19467" t="str">
            <v>220002</v>
          </cell>
          <cell r="M19467">
            <v>5</v>
          </cell>
          <cell r="R19467">
            <v>45671</v>
          </cell>
          <cell r="S19467">
            <v>220002</v>
          </cell>
        </row>
        <row r="19468">
          <cell r="K19468" t="str">
            <v>220002</v>
          </cell>
          <cell r="M19468">
            <v>1</v>
          </cell>
          <cell r="R19468">
            <v>45671</v>
          </cell>
          <cell r="S19468">
            <v>220002</v>
          </cell>
        </row>
        <row r="19469">
          <cell r="K19469" t="str">
            <v>220002</v>
          </cell>
          <cell r="M19469">
            <v>1</v>
          </cell>
          <cell r="R19469">
            <v>45671</v>
          </cell>
          <cell r="S19469">
            <v>220002</v>
          </cell>
        </row>
        <row r="19470">
          <cell r="K19470" t="str">
            <v>210001</v>
          </cell>
          <cell r="M19470">
            <v>15</v>
          </cell>
          <cell r="R19470">
            <v>45671</v>
          </cell>
          <cell r="S19470">
            <v>210001</v>
          </cell>
        </row>
        <row r="19471">
          <cell r="K19471" t="str">
            <v>210003</v>
          </cell>
          <cell r="M19471">
            <v>2</v>
          </cell>
          <cell r="R19471">
            <v>45671</v>
          </cell>
          <cell r="S19471">
            <v>210003</v>
          </cell>
        </row>
        <row r="19472">
          <cell r="K19472" t="str">
            <v>210003</v>
          </cell>
          <cell r="M19472">
            <v>2</v>
          </cell>
          <cell r="R19472">
            <v>45671</v>
          </cell>
          <cell r="S19472">
            <v>210003</v>
          </cell>
        </row>
        <row r="19473">
          <cell r="K19473" t="str">
            <v>203001</v>
          </cell>
          <cell r="M19473">
            <v>1</v>
          </cell>
          <cell r="R19473">
            <v>45671</v>
          </cell>
          <cell r="S19473">
            <v>203001</v>
          </cell>
        </row>
        <row r="19474">
          <cell r="K19474" t="str">
            <v>220002</v>
          </cell>
          <cell r="M19474">
            <v>1</v>
          </cell>
          <cell r="R19474">
            <v>45673</v>
          </cell>
          <cell r="S19474">
            <v>220002</v>
          </cell>
        </row>
        <row r="19475">
          <cell r="K19475" t="str">
            <v>222007</v>
          </cell>
          <cell r="M19475">
            <v>2</v>
          </cell>
          <cell r="R19475">
            <v>45673</v>
          </cell>
          <cell r="S19475">
            <v>222007</v>
          </cell>
        </row>
        <row r="19476">
          <cell r="K19476" t="str">
            <v>201002</v>
          </cell>
          <cell r="M19476">
            <v>10</v>
          </cell>
          <cell r="R19476">
            <v>45674</v>
          </cell>
          <cell r="S19476">
            <v>201002</v>
          </cell>
        </row>
        <row r="19477">
          <cell r="K19477" t="str">
            <v>231012</v>
          </cell>
          <cell r="M19477">
            <v>2</v>
          </cell>
          <cell r="R19477">
            <v>45677</v>
          </cell>
          <cell r="S19477">
            <v>231012</v>
          </cell>
        </row>
        <row r="19478">
          <cell r="K19478" t="str">
            <v>228001</v>
          </cell>
          <cell r="M19478">
            <v>1</v>
          </cell>
          <cell r="R19478">
            <v>45678</v>
          </cell>
          <cell r="S19478">
            <v>228001</v>
          </cell>
        </row>
        <row r="19479">
          <cell r="K19479" t="str">
            <v>223001</v>
          </cell>
          <cell r="M19479">
            <v>16</v>
          </cell>
          <cell r="R19479">
            <v>45678</v>
          </cell>
          <cell r="S19479">
            <v>223001</v>
          </cell>
        </row>
        <row r="19480">
          <cell r="K19480" t="str">
            <v>226028</v>
          </cell>
          <cell r="M19480">
            <v>2</v>
          </cell>
          <cell r="R19480">
            <v>45681</v>
          </cell>
          <cell r="S19480">
            <v>226028</v>
          </cell>
        </row>
        <row r="19481">
          <cell r="K19481" t="str">
            <v>231012</v>
          </cell>
          <cell r="M19481">
            <v>1</v>
          </cell>
          <cell r="R19481">
            <v>45684</v>
          </cell>
          <cell r="S19481">
            <v>231012</v>
          </cell>
        </row>
        <row r="19482">
          <cell r="K19482" t="str">
            <v>217018</v>
          </cell>
          <cell r="M19482">
            <v>8</v>
          </cell>
          <cell r="R19482">
            <v>45685</v>
          </cell>
          <cell r="S19482">
            <v>217018</v>
          </cell>
        </row>
        <row r="19483">
          <cell r="K19483" t="str">
            <v>228001</v>
          </cell>
          <cell r="M19483">
            <v>1</v>
          </cell>
          <cell r="R19483">
            <v>45686</v>
          </cell>
          <cell r="S19483">
            <v>228001</v>
          </cell>
        </row>
        <row r="19484">
          <cell r="K19484" t="str">
            <v>201011</v>
          </cell>
          <cell r="M19484">
            <v>6</v>
          </cell>
          <cell r="R19484">
            <v>45686</v>
          </cell>
          <cell r="S19484">
            <v>201011</v>
          </cell>
        </row>
        <row r="19485">
          <cell r="K19485" t="str">
            <v>203001</v>
          </cell>
          <cell r="M19485">
            <v>1</v>
          </cell>
          <cell r="R19485">
            <v>45687</v>
          </cell>
          <cell r="S19485">
            <v>203001</v>
          </cell>
        </row>
        <row r="19486">
          <cell r="K19486" t="str">
            <v>217011</v>
          </cell>
          <cell r="M19486">
            <v>1</v>
          </cell>
          <cell r="R19486">
            <v>45687</v>
          </cell>
          <cell r="S19486">
            <v>217011</v>
          </cell>
        </row>
        <row r="19487">
          <cell r="K19487" t="str">
            <v>201005</v>
          </cell>
          <cell r="M19487">
            <v>2</v>
          </cell>
          <cell r="R19487">
            <v>45687</v>
          </cell>
          <cell r="S19487">
            <v>201005</v>
          </cell>
        </row>
        <row r="19488">
          <cell r="K19488" t="str">
            <v>224002</v>
          </cell>
          <cell r="M19488">
            <v>3</v>
          </cell>
          <cell r="R19488">
            <v>45688</v>
          </cell>
          <cell r="S19488">
            <v>224002</v>
          </cell>
        </row>
        <row r="19489">
          <cell r="K19489" t="str">
            <v>221001</v>
          </cell>
          <cell r="M19489">
            <v>3</v>
          </cell>
          <cell r="R19489">
            <v>45688</v>
          </cell>
          <cell r="S19489">
            <v>221001</v>
          </cell>
        </row>
        <row r="19490">
          <cell r="K19490" t="str">
            <v>218002</v>
          </cell>
          <cell r="M19490">
            <v>1</v>
          </cell>
          <cell r="R19490">
            <v>45688</v>
          </cell>
          <cell r="S19490">
            <v>218002</v>
          </cell>
        </row>
        <row r="19491">
          <cell r="K19491" t="str">
            <v>223002</v>
          </cell>
          <cell r="M19491">
            <v>4</v>
          </cell>
          <cell r="R19491">
            <v>45688</v>
          </cell>
          <cell r="S19491">
            <v>223002</v>
          </cell>
        </row>
        <row r="19492">
          <cell r="K19492" t="str">
            <v>223001</v>
          </cell>
          <cell r="M19492">
            <v>4</v>
          </cell>
          <cell r="R19492">
            <v>45688</v>
          </cell>
          <cell r="S19492">
            <v>223001</v>
          </cell>
        </row>
        <row r="19493">
          <cell r="K19493" t="str">
            <v>222001</v>
          </cell>
          <cell r="M19493">
            <v>1</v>
          </cell>
          <cell r="R19493">
            <v>45688</v>
          </cell>
          <cell r="S19493">
            <v>222001</v>
          </cell>
        </row>
        <row r="19494">
          <cell r="K19494" t="str">
            <v>201022</v>
          </cell>
          <cell r="M19494">
            <v>2</v>
          </cell>
          <cell r="R19494">
            <v>45688</v>
          </cell>
          <cell r="S19494">
            <v>201022</v>
          </cell>
        </row>
        <row r="19495">
          <cell r="K19495" t="str">
            <v>235004</v>
          </cell>
          <cell r="M19495">
            <v>1</v>
          </cell>
          <cell r="R19495">
            <v>45688</v>
          </cell>
          <cell r="S19495">
            <v>235004</v>
          </cell>
        </row>
        <row r="19496">
          <cell r="K19496" t="str">
            <v>213003</v>
          </cell>
          <cell r="M19496">
            <v>1</v>
          </cell>
          <cell r="R19496">
            <v>45691</v>
          </cell>
          <cell r="S19496">
            <v>213003</v>
          </cell>
        </row>
        <row r="19497">
          <cell r="K19497" t="str">
            <v>239006</v>
          </cell>
          <cell r="M19497">
            <v>1</v>
          </cell>
          <cell r="R19497">
            <v>45691</v>
          </cell>
          <cell r="S19497">
            <v>239006</v>
          </cell>
        </row>
        <row r="19498">
          <cell r="K19498" t="str">
            <v>206006</v>
          </cell>
          <cell r="M19498">
            <v>1</v>
          </cell>
          <cell r="R19498">
            <v>45691</v>
          </cell>
          <cell r="S19498">
            <v>206006</v>
          </cell>
        </row>
        <row r="19499">
          <cell r="K19499" t="str">
            <v>213003</v>
          </cell>
          <cell r="M19499">
            <v>1</v>
          </cell>
          <cell r="R19499">
            <v>45692</v>
          </cell>
          <cell r="S19499">
            <v>213003</v>
          </cell>
        </row>
        <row r="19500">
          <cell r="K19500" t="str">
            <v>217019</v>
          </cell>
          <cell r="M19500">
            <v>2</v>
          </cell>
          <cell r="R19500">
            <v>45692</v>
          </cell>
          <cell r="S19500">
            <v>217019</v>
          </cell>
        </row>
        <row r="19501">
          <cell r="K19501" t="str">
            <v>224002</v>
          </cell>
          <cell r="M19501">
            <v>3</v>
          </cell>
          <cell r="R19501">
            <v>45693</v>
          </cell>
          <cell r="S19501">
            <v>224002</v>
          </cell>
        </row>
        <row r="19502">
          <cell r="K19502" t="str">
            <v>221001</v>
          </cell>
          <cell r="M19502">
            <v>3</v>
          </cell>
          <cell r="R19502">
            <v>45693</v>
          </cell>
          <cell r="S19502">
            <v>221001</v>
          </cell>
        </row>
        <row r="19503">
          <cell r="K19503" t="str">
            <v>218002</v>
          </cell>
          <cell r="M19503">
            <v>1</v>
          </cell>
          <cell r="R19503">
            <v>45693</v>
          </cell>
          <cell r="S19503">
            <v>218002</v>
          </cell>
        </row>
        <row r="19504">
          <cell r="K19504" t="str">
            <v>226026</v>
          </cell>
          <cell r="M19504">
            <v>15</v>
          </cell>
          <cell r="R19504">
            <v>45695</v>
          </cell>
          <cell r="S19504">
            <v>226026</v>
          </cell>
        </row>
        <row r="19505">
          <cell r="K19505" t="str">
            <v>213002</v>
          </cell>
          <cell r="M19505">
            <v>4</v>
          </cell>
          <cell r="R19505">
            <v>45695</v>
          </cell>
          <cell r="S19505">
            <v>213002</v>
          </cell>
        </row>
        <row r="19506">
          <cell r="K19506" t="str">
            <v>213002</v>
          </cell>
          <cell r="M19506">
            <v>2</v>
          </cell>
          <cell r="R19506">
            <v>45695</v>
          </cell>
          <cell r="S19506">
            <v>213002</v>
          </cell>
        </row>
        <row r="19507">
          <cell r="K19507" t="str">
            <v>213002</v>
          </cell>
          <cell r="M19507">
            <v>1</v>
          </cell>
          <cell r="R19507">
            <v>45705</v>
          </cell>
          <cell r="S19507">
            <v>213002</v>
          </cell>
        </row>
        <row r="19508">
          <cell r="K19508" t="str">
            <v>229001</v>
          </cell>
          <cell r="M19508">
            <v>1</v>
          </cell>
          <cell r="R19508">
            <v>45705</v>
          </cell>
          <cell r="S19508">
            <v>229001</v>
          </cell>
        </row>
        <row r="19509">
          <cell r="K19509" t="str">
            <v>203001</v>
          </cell>
          <cell r="M19509">
            <v>1</v>
          </cell>
          <cell r="R19509">
            <v>45705</v>
          </cell>
          <cell r="S19509">
            <v>203001</v>
          </cell>
        </row>
        <row r="19510">
          <cell r="K19510" t="str">
            <v>213024</v>
          </cell>
          <cell r="M19510">
            <v>1</v>
          </cell>
          <cell r="R19510">
            <v>45707</v>
          </cell>
          <cell r="S19510">
            <v>213024</v>
          </cell>
        </row>
        <row r="19511">
          <cell r="K19511" t="str">
            <v>213002</v>
          </cell>
          <cell r="M19511">
            <v>3</v>
          </cell>
          <cell r="R19511">
            <v>45707</v>
          </cell>
          <cell r="S19511">
            <v>213002</v>
          </cell>
        </row>
        <row r="19512">
          <cell r="K19512" t="str">
            <v>226026</v>
          </cell>
          <cell r="M19512">
            <v>3</v>
          </cell>
          <cell r="R19512">
            <v>45707</v>
          </cell>
          <cell r="S19512">
            <v>226026</v>
          </cell>
        </row>
        <row r="19513">
          <cell r="K19513" t="str">
            <v>226026</v>
          </cell>
          <cell r="M19513">
            <v>12</v>
          </cell>
          <cell r="R19513">
            <v>45707</v>
          </cell>
          <cell r="S19513">
            <v>226026</v>
          </cell>
        </row>
        <row r="19514">
          <cell r="K19514" t="str">
            <v>201011</v>
          </cell>
          <cell r="M19514">
            <v>36</v>
          </cell>
          <cell r="R19514">
            <v>45709</v>
          </cell>
          <cell r="S19514">
            <v>201011</v>
          </cell>
        </row>
        <row r="19515">
          <cell r="K19515" t="str">
            <v>213002</v>
          </cell>
          <cell r="M19515">
            <v>4</v>
          </cell>
          <cell r="R19515">
            <v>45714</v>
          </cell>
          <cell r="S19515">
            <v>213002</v>
          </cell>
        </row>
        <row r="19516">
          <cell r="K19516" t="str">
            <v>226026</v>
          </cell>
          <cell r="M19516">
            <v>1</v>
          </cell>
          <cell r="R19516">
            <v>45715</v>
          </cell>
          <cell r="S19516">
            <v>226026</v>
          </cell>
        </row>
        <row r="19517">
          <cell r="K19517" t="str">
            <v>227001</v>
          </cell>
          <cell r="M19517">
            <v>2</v>
          </cell>
          <cell r="R19517">
            <v>45716</v>
          </cell>
          <cell r="S19517">
            <v>227001</v>
          </cell>
        </row>
        <row r="19518">
          <cell r="K19518" t="str">
            <v>227001</v>
          </cell>
          <cell r="M19518">
            <v>3</v>
          </cell>
          <cell r="R19518">
            <v>45716</v>
          </cell>
          <cell r="S19518">
            <v>227001</v>
          </cell>
        </row>
        <row r="19519">
          <cell r="K19519" t="str">
            <v>201011</v>
          </cell>
          <cell r="M19519">
            <v>10</v>
          </cell>
          <cell r="R19519">
            <v>45726</v>
          </cell>
          <cell r="S19519">
            <v>201011</v>
          </cell>
        </row>
        <row r="19520">
          <cell r="K19520" t="str">
            <v>222001</v>
          </cell>
          <cell r="M19520">
            <v>1</v>
          </cell>
          <cell r="R19520">
            <v>45726</v>
          </cell>
          <cell r="S19520">
            <v>222001</v>
          </cell>
        </row>
        <row r="19521">
          <cell r="K19521" t="str">
            <v>222001</v>
          </cell>
          <cell r="M19521">
            <v>1</v>
          </cell>
          <cell r="R19521">
            <v>45726</v>
          </cell>
          <cell r="S19521">
            <v>222001</v>
          </cell>
        </row>
        <row r="19522">
          <cell r="K19522" t="str">
            <v>213002</v>
          </cell>
          <cell r="M19522">
            <v>2</v>
          </cell>
          <cell r="R19522">
            <v>45729</v>
          </cell>
          <cell r="S19522">
            <v>213002</v>
          </cell>
        </row>
        <row r="19523">
          <cell r="K19523" t="str">
            <v>213002</v>
          </cell>
          <cell r="M19523">
            <v>3</v>
          </cell>
          <cell r="R19523">
            <v>45729</v>
          </cell>
          <cell r="S19523">
            <v>213002</v>
          </cell>
        </row>
        <row r="19524">
          <cell r="K19524" t="str">
            <v>217011</v>
          </cell>
          <cell r="M19524">
            <v>1</v>
          </cell>
          <cell r="R19524">
            <v>45733</v>
          </cell>
          <cell r="S19524">
            <v>217011</v>
          </cell>
        </row>
        <row r="19525">
          <cell r="K19525" t="str">
            <v>226001</v>
          </cell>
          <cell r="M19525">
            <v>1</v>
          </cell>
          <cell r="R19525">
            <v>45733</v>
          </cell>
          <cell r="S19525">
            <v>226001</v>
          </cell>
        </row>
        <row r="19526">
          <cell r="K19526" t="str">
            <v>217011</v>
          </cell>
          <cell r="M19526">
            <v>1</v>
          </cell>
          <cell r="R19526">
            <v>45741</v>
          </cell>
          <cell r="S19526">
            <v>217011</v>
          </cell>
        </row>
        <row r="19527">
          <cell r="K19527" t="str">
            <v>223001</v>
          </cell>
          <cell r="M19527">
            <v>1</v>
          </cell>
          <cell r="R19527">
            <v>45741</v>
          </cell>
          <cell r="S19527">
            <v>223001</v>
          </cell>
        </row>
        <row r="19528">
          <cell r="K19528" t="str">
            <v>213002</v>
          </cell>
          <cell r="M19528">
            <v>1</v>
          </cell>
          <cell r="R19528">
            <v>45741</v>
          </cell>
          <cell r="S19528">
            <v>213002</v>
          </cell>
        </row>
        <row r="19529">
          <cell r="K19529" t="str">
            <v>223001</v>
          </cell>
          <cell r="M19529">
            <v>10</v>
          </cell>
          <cell r="R19529">
            <v>45748</v>
          </cell>
          <cell r="S19529">
            <v>223001</v>
          </cell>
        </row>
        <row r="19530">
          <cell r="K19530" t="str">
            <v>227012</v>
          </cell>
          <cell r="M19530">
            <v>1</v>
          </cell>
          <cell r="R19530">
            <v>45748</v>
          </cell>
          <cell r="S19530">
            <v>227012</v>
          </cell>
        </row>
        <row r="19531">
          <cell r="K19531" t="str">
            <v>213017</v>
          </cell>
          <cell r="M19531">
            <v>4</v>
          </cell>
          <cell r="R19531">
            <v>45751</v>
          </cell>
          <cell r="S19531">
            <v>213017</v>
          </cell>
        </row>
        <row r="19532">
          <cell r="K19532" t="str">
            <v>213018</v>
          </cell>
          <cell r="M19532">
            <v>15</v>
          </cell>
          <cell r="R19532">
            <v>45751</v>
          </cell>
          <cell r="S19532">
            <v>213018</v>
          </cell>
        </row>
        <row r="19533">
          <cell r="K19533" t="str">
            <v>213017</v>
          </cell>
          <cell r="M19533">
            <v>3</v>
          </cell>
          <cell r="R19533">
            <v>45751</v>
          </cell>
          <cell r="S19533">
            <v>213017</v>
          </cell>
        </row>
        <row r="19534">
          <cell r="K19534" t="str">
            <v>227010</v>
          </cell>
          <cell r="M19534">
            <v>5</v>
          </cell>
          <cell r="R19534">
            <v>45751</v>
          </cell>
          <cell r="S19534">
            <v>227010</v>
          </cell>
        </row>
        <row r="19535">
          <cell r="K19535" t="str">
            <v>213002</v>
          </cell>
          <cell r="M19535">
            <v>1</v>
          </cell>
          <cell r="R19535">
            <v>45754</v>
          </cell>
          <cell r="S19535">
            <v>213002</v>
          </cell>
        </row>
        <row r="19536">
          <cell r="K19536" t="str">
            <v>228017</v>
          </cell>
          <cell r="M19536">
            <v>2</v>
          </cell>
          <cell r="R19536">
            <v>45754</v>
          </cell>
          <cell r="S19536">
            <v>228017</v>
          </cell>
        </row>
        <row r="19537">
          <cell r="K19537" t="str">
            <v>231012</v>
          </cell>
          <cell r="M19537">
            <v>10</v>
          </cell>
          <cell r="R19537">
            <v>45754</v>
          </cell>
          <cell r="S19537">
            <v>231012</v>
          </cell>
        </row>
        <row r="19538">
          <cell r="K19538" t="str">
            <v>213017</v>
          </cell>
          <cell r="M19538">
            <v>1</v>
          </cell>
          <cell r="R19538">
            <v>45755</v>
          </cell>
          <cell r="S19538">
            <v>213017</v>
          </cell>
        </row>
        <row r="19539">
          <cell r="K19539" t="str">
            <v>223002</v>
          </cell>
          <cell r="M19539">
            <v>10</v>
          </cell>
          <cell r="R19539">
            <v>45755</v>
          </cell>
          <cell r="S19539">
            <v>223002</v>
          </cell>
        </row>
        <row r="19540">
          <cell r="K19540" t="str">
            <v>228001</v>
          </cell>
          <cell r="M19540">
            <v>4</v>
          </cell>
          <cell r="R19540">
            <v>45755</v>
          </cell>
          <cell r="S19540">
            <v>228001</v>
          </cell>
        </row>
        <row r="19541">
          <cell r="K19541" t="str">
            <v>203004</v>
          </cell>
          <cell r="M19541">
            <v>1</v>
          </cell>
          <cell r="R19541">
            <v>45755</v>
          </cell>
          <cell r="S19541">
            <v>203004</v>
          </cell>
        </row>
        <row r="19542">
          <cell r="K19542" t="str">
            <v>237001</v>
          </cell>
          <cell r="M19542">
            <v>1</v>
          </cell>
          <cell r="R19542">
            <v>45755</v>
          </cell>
          <cell r="S19542">
            <v>237001</v>
          </cell>
        </row>
        <row r="19543">
          <cell r="K19543" t="str">
            <v>231012</v>
          </cell>
          <cell r="M19543">
            <v>1</v>
          </cell>
          <cell r="R19543">
            <v>45756</v>
          </cell>
          <cell r="S19543">
            <v>231012</v>
          </cell>
        </row>
        <row r="19544">
          <cell r="K19544" t="str">
            <v>223001</v>
          </cell>
          <cell r="M19544">
            <v>6</v>
          </cell>
          <cell r="R19544">
            <v>45758</v>
          </cell>
          <cell r="S19544">
            <v>223001</v>
          </cell>
        </row>
        <row r="19545">
          <cell r="K19545" t="str">
            <v>213002</v>
          </cell>
          <cell r="M19545">
            <v>2</v>
          </cell>
          <cell r="R19545">
            <v>45761</v>
          </cell>
          <cell r="S19545">
            <v>213002</v>
          </cell>
        </row>
        <row r="19546">
          <cell r="K19546" t="str">
            <v>213003</v>
          </cell>
          <cell r="M19546">
            <v>1</v>
          </cell>
          <cell r="R19546">
            <v>45761</v>
          </cell>
          <cell r="S19546">
            <v>213003</v>
          </cell>
        </row>
        <row r="19547">
          <cell r="K19547" t="str">
            <v>222002</v>
          </cell>
          <cell r="M19547">
            <v>1</v>
          </cell>
          <cell r="R19547">
            <v>45762</v>
          </cell>
          <cell r="S19547">
            <v>222002</v>
          </cell>
        </row>
        <row r="19548">
          <cell r="K19548" t="str">
            <v>228001</v>
          </cell>
          <cell r="M19548">
            <v>3</v>
          </cell>
          <cell r="R19548">
            <v>45762</v>
          </cell>
          <cell r="S19548">
            <v>228001</v>
          </cell>
        </row>
        <row r="19549">
          <cell r="K19549" t="str">
            <v>212035</v>
          </cell>
          <cell r="M19549">
            <v>2</v>
          </cell>
          <cell r="R19549">
            <v>45763</v>
          </cell>
          <cell r="S19549">
            <v>212035</v>
          </cell>
        </row>
        <row r="19550">
          <cell r="K19550" t="str">
            <v>223001</v>
          </cell>
          <cell r="M19550">
            <v>2</v>
          </cell>
          <cell r="R19550">
            <v>45763</v>
          </cell>
          <cell r="S19550">
            <v>223001</v>
          </cell>
        </row>
        <row r="19551">
          <cell r="K19551" t="str">
            <v>220003</v>
          </cell>
          <cell r="M19551">
            <v>1</v>
          </cell>
          <cell r="R19551">
            <v>45763</v>
          </cell>
          <cell r="S19551">
            <v>220003</v>
          </cell>
        </row>
        <row r="19552">
          <cell r="K19552" t="str">
            <v>226001</v>
          </cell>
          <cell r="M19552">
            <v>1</v>
          </cell>
          <cell r="R19552">
            <v>45763</v>
          </cell>
          <cell r="S19552">
            <v>226001</v>
          </cell>
        </row>
        <row r="19553">
          <cell r="K19553" t="str">
            <v>207002</v>
          </cell>
          <cell r="M19553">
            <v>1</v>
          </cell>
          <cell r="R19553">
            <v>45763</v>
          </cell>
          <cell r="S19553">
            <v>207002</v>
          </cell>
        </row>
        <row r="19554">
          <cell r="K19554" t="str">
            <v>223001</v>
          </cell>
          <cell r="M19554">
            <v>5</v>
          </cell>
          <cell r="R19554">
            <v>45768</v>
          </cell>
          <cell r="S19554">
            <v>223001</v>
          </cell>
        </row>
        <row r="19555">
          <cell r="K19555" t="str">
            <v>223002</v>
          </cell>
          <cell r="M19555">
            <v>5</v>
          </cell>
          <cell r="R19555">
            <v>45768</v>
          </cell>
          <cell r="S19555">
            <v>223002</v>
          </cell>
        </row>
        <row r="19556">
          <cell r="K19556" t="str">
            <v>223002</v>
          </cell>
          <cell r="M19556">
            <v>6</v>
          </cell>
          <cell r="R19556">
            <v>45768</v>
          </cell>
          <cell r="S19556">
            <v>223002</v>
          </cell>
        </row>
        <row r="19557">
          <cell r="K19557" t="str">
            <v>228001</v>
          </cell>
          <cell r="M19557">
            <v>10</v>
          </cell>
          <cell r="R19557">
            <v>45768</v>
          </cell>
          <cell r="S19557">
            <v>228001</v>
          </cell>
        </row>
        <row r="19558">
          <cell r="K19558" t="str">
            <v>203001</v>
          </cell>
          <cell r="M19558">
            <v>4</v>
          </cell>
          <cell r="R19558">
            <v>45768</v>
          </cell>
          <cell r="S19558">
            <v>203001</v>
          </cell>
        </row>
        <row r="19559">
          <cell r="K19559" t="str">
            <v>217002</v>
          </cell>
          <cell r="M19559">
            <v>1</v>
          </cell>
          <cell r="R19559">
            <v>45769</v>
          </cell>
          <cell r="S19559">
            <v>217002</v>
          </cell>
        </row>
        <row r="19560">
          <cell r="K19560" t="str">
            <v>226023</v>
          </cell>
          <cell r="M19560">
            <v>1</v>
          </cell>
          <cell r="R19560">
            <v>45769</v>
          </cell>
          <cell r="S19560">
            <v>226023</v>
          </cell>
        </row>
        <row r="19561">
          <cell r="K19561" t="str">
            <v>203003</v>
          </cell>
          <cell r="M19561">
            <v>1</v>
          </cell>
          <cell r="R19561">
            <v>45770</v>
          </cell>
          <cell r="S19561">
            <v>203003</v>
          </cell>
        </row>
        <row r="19562">
          <cell r="K19562" t="str">
            <v>213017</v>
          </cell>
          <cell r="M19562">
            <v>1</v>
          </cell>
          <cell r="R19562">
            <v>45772</v>
          </cell>
          <cell r="S19562">
            <v>213017</v>
          </cell>
        </row>
        <row r="19563">
          <cell r="K19563" t="str">
            <v>201011</v>
          </cell>
          <cell r="M19563">
            <v>1</v>
          </cell>
          <cell r="R19563">
            <v>45772</v>
          </cell>
          <cell r="S19563">
            <v>201011</v>
          </cell>
        </row>
        <row r="19564">
          <cell r="K19564" t="str">
            <v>213002</v>
          </cell>
          <cell r="M19564">
            <v>1</v>
          </cell>
          <cell r="R19564">
            <v>45772</v>
          </cell>
          <cell r="S19564">
            <v>213002</v>
          </cell>
        </row>
        <row r="19565">
          <cell r="K19565" t="str">
            <v>210013</v>
          </cell>
          <cell r="M19565">
            <v>1</v>
          </cell>
          <cell r="R19565">
            <v>45772</v>
          </cell>
          <cell r="S19565">
            <v>210013</v>
          </cell>
        </row>
        <row r="19566">
          <cell r="K19566" t="str">
            <v>220003</v>
          </cell>
          <cell r="M19566">
            <v>1</v>
          </cell>
          <cell r="R19566">
            <v>45772</v>
          </cell>
          <cell r="S19566">
            <v>220003</v>
          </cell>
        </row>
        <row r="19567">
          <cell r="K19567" t="str">
            <v>213002</v>
          </cell>
          <cell r="M19567">
            <v>3</v>
          </cell>
          <cell r="R19567">
            <v>45772</v>
          </cell>
          <cell r="S19567">
            <v>213002</v>
          </cell>
        </row>
        <row r="19568">
          <cell r="K19568" t="str">
            <v>228001</v>
          </cell>
          <cell r="M19568">
            <v>1</v>
          </cell>
          <cell r="R19568">
            <v>45772</v>
          </cell>
          <cell r="S19568">
            <v>228001</v>
          </cell>
        </row>
        <row r="19569">
          <cell r="K19569" t="str">
            <v>213002</v>
          </cell>
          <cell r="M19569">
            <v>4</v>
          </cell>
          <cell r="R19569">
            <v>45775</v>
          </cell>
          <cell r="S19569">
            <v>213002</v>
          </cell>
        </row>
        <row r="19570">
          <cell r="K19570" t="str">
            <v>210014</v>
          </cell>
          <cell r="M19570">
            <v>1</v>
          </cell>
          <cell r="R19570">
            <v>45775</v>
          </cell>
          <cell r="S19570">
            <v>210014</v>
          </cell>
        </row>
        <row r="19571">
          <cell r="K19571" t="str">
            <v>217019</v>
          </cell>
          <cell r="M19571">
            <v>1</v>
          </cell>
          <cell r="R19571">
            <v>45775</v>
          </cell>
          <cell r="S19571">
            <v>217019</v>
          </cell>
        </row>
        <row r="19572">
          <cell r="K19572" t="str">
            <v>217002</v>
          </cell>
          <cell r="M19572">
            <v>1</v>
          </cell>
          <cell r="R19572">
            <v>45776</v>
          </cell>
          <cell r="S19572">
            <v>217002</v>
          </cell>
        </row>
        <row r="19573">
          <cell r="K19573" t="str">
            <v>203004</v>
          </cell>
          <cell r="M19573">
            <v>1</v>
          </cell>
          <cell r="R19573">
            <v>45776</v>
          </cell>
          <cell r="S19573">
            <v>203004</v>
          </cell>
        </row>
        <row r="19574">
          <cell r="K19574" t="str">
            <v>231012</v>
          </cell>
          <cell r="M19574">
            <v>1</v>
          </cell>
          <cell r="R19574">
            <v>45776</v>
          </cell>
          <cell r="S19574">
            <v>231012</v>
          </cell>
        </row>
        <row r="19575">
          <cell r="K19575" t="str">
            <v>231003</v>
          </cell>
          <cell r="M19575">
            <v>1</v>
          </cell>
          <cell r="R19575">
            <v>45776</v>
          </cell>
          <cell r="S19575">
            <v>231003</v>
          </cell>
        </row>
        <row r="19576">
          <cell r="K19576" t="str">
            <v>217002</v>
          </cell>
          <cell r="M19576">
            <v>12</v>
          </cell>
          <cell r="R19576">
            <v>45777</v>
          </cell>
          <cell r="S19576">
            <v>217002</v>
          </cell>
        </row>
        <row r="19577">
          <cell r="K19577" t="str">
            <v>213002</v>
          </cell>
          <cell r="M19577">
            <v>30</v>
          </cell>
          <cell r="R19577">
            <v>45777</v>
          </cell>
          <cell r="S19577">
            <v>213002</v>
          </cell>
        </row>
        <row r="19578">
          <cell r="K19578" t="str">
            <v>226001</v>
          </cell>
          <cell r="M19578">
            <v>4</v>
          </cell>
          <cell r="R19578">
            <v>45782</v>
          </cell>
          <cell r="S19578">
            <v>226001</v>
          </cell>
        </row>
        <row r="19579">
          <cell r="K19579" t="str">
            <v>226001</v>
          </cell>
          <cell r="M19579">
            <v>2</v>
          </cell>
          <cell r="R19579">
            <v>45783</v>
          </cell>
          <cell r="S19579">
            <v>226001</v>
          </cell>
        </row>
        <row r="19580">
          <cell r="K19580" t="str">
            <v>201011</v>
          </cell>
          <cell r="M19580">
            <v>2</v>
          </cell>
          <cell r="R19580">
            <v>45783</v>
          </cell>
          <cell r="S19580">
            <v>201011</v>
          </cell>
        </row>
        <row r="19581">
          <cell r="K19581" t="str">
            <v>227001</v>
          </cell>
          <cell r="M19581">
            <v>3</v>
          </cell>
          <cell r="R19581">
            <v>45784</v>
          </cell>
          <cell r="S19581">
            <v>227001</v>
          </cell>
        </row>
        <row r="19582">
          <cell r="K19582" t="str">
            <v>227002</v>
          </cell>
          <cell r="M19582">
            <v>1</v>
          </cell>
          <cell r="R19582">
            <v>45785</v>
          </cell>
          <cell r="S19582">
            <v>227002</v>
          </cell>
        </row>
        <row r="19583">
          <cell r="K19583" t="str">
            <v>241001</v>
          </cell>
          <cell r="M19583">
            <v>2</v>
          </cell>
          <cell r="R19583">
            <v>45785</v>
          </cell>
          <cell r="S19583">
            <v>241001</v>
          </cell>
        </row>
        <row r="19584">
          <cell r="K19584" t="str">
            <v>213003</v>
          </cell>
          <cell r="M19584">
            <v>1</v>
          </cell>
          <cell r="R19584">
            <v>45785</v>
          </cell>
          <cell r="S19584">
            <v>213003</v>
          </cell>
        </row>
        <row r="19585">
          <cell r="K19585" t="str">
            <v>210014</v>
          </cell>
          <cell r="M19585">
            <v>1</v>
          </cell>
          <cell r="R19585">
            <v>45786</v>
          </cell>
          <cell r="S19585">
            <v>210014</v>
          </cell>
        </row>
        <row r="19586">
          <cell r="K19586" t="str">
            <v>201011</v>
          </cell>
          <cell r="M19586">
            <v>1</v>
          </cell>
          <cell r="R19586">
            <v>45786</v>
          </cell>
          <cell r="S19586">
            <v>201011</v>
          </cell>
        </row>
        <row r="19587">
          <cell r="K19587" t="str">
            <v>201011</v>
          </cell>
          <cell r="M19587">
            <v>36</v>
          </cell>
          <cell r="R19587">
            <v>45790</v>
          </cell>
          <cell r="S19587">
            <v>201011</v>
          </cell>
        </row>
        <row r="19588">
          <cell r="K19588" t="str">
            <v>241001</v>
          </cell>
          <cell r="M19588">
            <v>50</v>
          </cell>
          <cell r="R19588">
            <v>45790</v>
          </cell>
          <cell r="S19588">
            <v>241001</v>
          </cell>
        </row>
        <row r="19589">
          <cell r="K19589" t="str">
            <v>201003</v>
          </cell>
          <cell r="M19589">
            <v>8</v>
          </cell>
          <cell r="R19589">
            <v>45790</v>
          </cell>
          <cell r="S19589">
            <v>201003</v>
          </cell>
        </row>
        <row r="19590">
          <cell r="K19590" t="str">
            <v>271002</v>
          </cell>
          <cell r="M19590">
            <v>10</v>
          </cell>
          <cell r="R19590">
            <v>45790</v>
          </cell>
          <cell r="S19590">
            <v>271002</v>
          </cell>
        </row>
        <row r="19591">
          <cell r="K19591" t="str">
            <v>213003</v>
          </cell>
          <cell r="M19591">
            <v>2</v>
          </cell>
          <cell r="R19591">
            <v>45790</v>
          </cell>
          <cell r="S19591">
            <v>213003</v>
          </cell>
        </row>
        <row r="19592">
          <cell r="K19592" t="str">
            <v>213030</v>
          </cell>
          <cell r="M19592">
            <v>9</v>
          </cell>
          <cell r="R19592">
            <v>45791</v>
          </cell>
          <cell r="S19592">
            <v>213030</v>
          </cell>
        </row>
        <row r="19593">
          <cell r="K19593" t="str">
            <v>212035</v>
          </cell>
          <cell r="M19593">
            <v>4</v>
          </cell>
          <cell r="R19593">
            <v>45791</v>
          </cell>
          <cell r="S19593">
            <v>212035</v>
          </cell>
        </row>
        <row r="19594">
          <cell r="K19594" t="str">
            <v>217020</v>
          </cell>
          <cell r="M19594">
            <v>1</v>
          </cell>
          <cell r="R19594">
            <v>45793</v>
          </cell>
          <cell r="S19594">
            <v>217020</v>
          </cell>
        </row>
        <row r="19595">
          <cell r="K19595" t="str">
            <v>226001</v>
          </cell>
          <cell r="M19595">
            <v>1</v>
          </cell>
          <cell r="R19595">
            <v>45793</v>
          </cell>
          <cell r="S19595">
            <v>226001</v>
          </cell>
        </row>
        <row r="19596">
          <cell r="K19596" t="str">
            <v>231012</v>
          </cell>
          <cell r="M19596">
            <v>1</v>
          </cell>
          <cell r="R19596">
            <v>45799</v>
          </cell>
          <cell r="S19596">
            <v>231012</v>
          </cell>
        </row>
        <row r="19597">
          <cell r="K19597" t="str">
            <v>213003</v>
          </cell>
          <cell r="M19597">
            <v>3</v>
          </cell>
          <cell r="R19597">
            <v>45799</v>
          </cell>
          <cell r="S19597">
            <v>213003</v>
          </cell>
        </row>
        <row r="19598">
          <cell r="K19598" t="str">
            <v>226001</v>
          </cell>
          <cell r="M19598">
            <v>1</v>
          </cell>
          <cell r="R19598">
            <v>45800</v>
          </cell>
          <cell r="S19598">
            <v>226001</v>
          </cell>
        </row>
        <row r="19599">
          <cell r="K19599" t="str">
            <v>223002</v>
          </cell>
          <cell r="M19599">
            <v>3</v>
          </cell>
          <cell r="R19599">
            <v>45805</v>
          </cell>
          <cell r="S19599">
            <v>223002</v>
          </cell>
        </row>
        <row r="19600">
          <cell r="K19600" t="str">
            <v>223001</v>
          </cell>
          <cell r="M19600">
            <v>3</v>
          </cell>
          <cell r="R19600">
            <v>45805</v>
          </cell>
          <cell r="S19600">
            <v>223001</v>
          </cell>
        </row>
        <row r="19601">
          <cell r="K19601" t="str">
            <v>227012</v>
          </cell>
          <cell r="M19601">
            <v>1</v>
          </cell>
          <cell r="R19601">
            <v>45805</v>
          </cell>
          <cell r="S19601">
            <v>227012</v>
          </cell>
        </row>
        <row r="19602">
          <cell r="K19602" t="str">
            <v>201011</v>
          </cell>
          <cell r="M19602">
            <v>2</v>
          </cell>
          <cell r="R19602">
            <v>45805</v>
          </cell>
          <cell r="S19602">
            <v>201011</v>
          </cell>
        </row>
        <row r="19603">
          <cell r="K19603" t="str">
            <v>210014</v>
          </cell>
          <cell r="M19603">
            <v>4</v>
          </cell>
          <cell r="R19603">
            <v>45806</v>
          </cell>
          <cell r="S19603">
            <v>210014</v>
          </cell>
        </row>
        <row r="19604">
          <cell r="K19604" t="str">
            <v>203003</v>
          </cell>
          <cell r="M19604">
            <v>1</v>
          </cell>
          <cell r="R19604">
            <v>45810</v>
          </cell>
          <cell r="S19604">
            <v>203003</v>
          </cell>
        </row>
        <row r="19605">
          <cell r="K19605" t="str">
            <v>202001</v>
          </cell>
          <cell r="M19605">
            <v>1</v>
          </cell>
          <cell r="R19605">
            <v>45810</v>
          </cell>
          <cell r="S19605">
            <v>202001</v>
          </cell>
        </row>
        <row r="19606">
          <cell r="K19606" t="str">
            <v>201011</v>
          </cell>
          <cell r="M19606">
            <v>5</v>
          </cell>
          <cell r="R19606">
            <v>45810</v>
          </cell>
          <cell r="S19606">
            <v>201011</v>
          </cell>
        </row>
        <row r="19607">
          <cell r="K19607" t="str">
            <v>213002</v>
          </cell>
          <cell r="M19607">
            <v>2</v>
          </cell>
          <cell r="R19607">
            <v>45811</v>
          </cell>
          <cell r="S19607">
            <v>213002</v>
          </cell>
        </row>
        <row r="19608">
          <cell r="K19608" t="str">
            <v>241001</v>
          </cell>
          <cell r="M19608">
            <v>3</v>
          </cell>
          <cell r="R19608">
            <v>45811</v>
          </cell>
          <cell r="S19608">
            <v>241001</v>
          </cell>
        </row>
        <row r="19609">
          <cell r="K19609" t="str">
            <v>222002</v>
          </cell>
          <cell r="M19609">
            <v>1</v>
          </cell>
          <cell r="R19609">
            <v>45811</v>
          </cell>
          <cell r="S19609">
            <v>222002</v>
          </cell>
        </row>
        <row r="19610">
          <cell r="K19610" t="str">
            <v>226001</v>
          </cell>
          <cell r="M19610">
            <v>3</v>
          </cell>
          <cell r="R19610">
            <v>45811</v>
          </cell>
          <cell r="S19610">
            <v>226001</v>
          </cell>
        </row>
        <row r="19611">
          <cell r="K19611" t="str">
            <v>213003</v>
          </cell>
          <cell r="M19611">
            <v>1</v>
          </cell>
          <cell r="R19611">
            <v>45812</v>
          </cell>
          <cell r="S19611">
            <v>213003</v>
          </cell>
        </row>
        <row r="19612">
          <cell r="K19612" t="str">
            <v>201011</v>
          </cell>
          <cell r="M19612">
            <v>2</v>
          </cell>
          <cell r="R19612">
            <v>45813</v>
          </cell>
          <cell r="S19612">
            <v>201011</v>
          </cell>
        </row>
        <row r="19613">
          <cell r="K19613" t="str">
            <v>231010</v>
          </cell>
          <cell r="M19613">
            <v>1</v>
          </cell>
          <cell r="R19613">
            <v>45813</v>
          </cell>
          <cell r="S19613">
            <v>231010</v>
          </cell>
        </row>
        <row r="19614">
          <cell r="K19614" t="str">
            <v>226004</v>
          </cell>
          <cell r="M19614">
            <v>1</v>
          </cell>
          <cell r="R19614">
            <v>45813</v>
          </cell>
          <cell r="S19614">
            <v>226004</v>
          </cell>
        </row>
        <row r="19615">
          <cell r="K19615" t="str">
            <v>227012</v>
          </cell>
          <cell r="M19615">
            <v>3</v>
          </cell>
          <cell r="R19615">
            <v>45818</v>
          </cell>
          <cell r="S19615">
            <v>227012</v>
          </cell>
        </row>
        <row r="19616">
          <cell r="K19616" t="str">
            <v>226028</v>
          </cell>
          <cell r="M19616">
            <v>2</v>
          </cell>
          <cell r="R19616">
            <v>45818</v>
          </cell>
          <cell r="S19616">
            <v>226028</v>
          </cell>
        </row>
        <row r="19617">
          <cell r="K19617" t="str">
            <v>223002</v>
          </cell>
          <cell r="M19617">
            <v>1</v>
          </cell>
          <cell r="R19617">
            <v>45819</v>
          </cell>
          <cell r="S19617">
            <v>223002</v>
          </cell>
        </row>
        <row r="19618">
          <cell r="K19618" t="str">
            <v>226026</v>
          </cell>
          <cell r="M19618">
            <v>1</v>
          </cell>
          <cell r="R19618">
            <v>45819</v>
          </cell>
          <cell r="S19618">
            <v>226026</v>
          </cell>
        </row>
        <row r="19619">
          <cell r="K19619" t="str">
            <v>201011</v>
          </cell>
          <cell r="M19619">
            <v>1</v>
          </cell>
          <cell r="R19619">
            <v>45824</v>
          </cell>
          <cell r="S19619">
            <v>201011</v>
          </cell>
        </row>
        <row r="19620">
          <cell r="K19620" t="str">
            <v>226001</v>
          </cell>
          <cell r="M19620">
            <v>1</v>
          </cell>
          <cell r="R19620">
            <v>45826</v>
          </cell>
          <cell r="S19620">
            <v>226001</v>
          </cell>
        </row>
        <row r="19621">
          <cell r="K19621" t="str">
            <v>223002</v>
          </cell>
          <cell r="M19621">
            <v>2</v>
          </cell>
          <cell r="R19621">
            <v>45826</v>
          </cell>
          <cell r="S19621">
            <v>223002</v>
          </cell>
        </row>
        <row r="19622">
          <cell r="K19622" t="str">
            <v>203003</v>
          </cell>
          <cell r="M19622">
            <v>1</v>
          </cell>
          <cell r="R19622">
            <v>45830</v>
          </cell>
          <cell r="S19622">
            <v>203003</v>
          </cell>
        </row>
        <row r="19623">
          <cell r="K19623" t="str">
            <v>212035</v>
          </cell>
          <cell r="M19623">
            <v>6</v>
          </cell>
          <cell r="R19623">
            <v>45831</v>
          </cell>
          <cell r="S19623">
            <v>212035</v>
          </cell>
        </row>
        <row r="19624">
          <cell r="K19624" t="str">
            <v>201011</v>
          </cell>
          <cell r="M19624">
            <v>36</v>
          </cell>
          <cell r="R19624">
            <v>45833</v>
          </cell>
          <cell r="S19624">
            <v>201011</v>
          </cell>
        </row>
        <row r="19625">
          <cell r="K19625" t="str">
            <v>217019</v>
          </cell>
          <cell r="M19625">
            <v>1</v>
          </cell>
          <cell r="R19625">
            <v>45834</v>
          </cell>
          <cell r="S19625">
            <v>217019</v>
          </cell>
        </row>
        <row r="19626">
          <cell r="K19626" t="str">
            <v>222001</v>
          </cell>
          <cell r="M19626">
            <v>1</v>
          </cell>
          <cell r="R19626">
            <v>45838</v>
          </cell>
          <cell r="S19626">
            <v>222001</v>
          </cell>
        </row>
        <row r="19627">
          <cell r="K19627" t="str">
            <v>213003</v>
          </cell>
          <cell r="M19627">
            <v>3</v>
          </cell>
          <cell r="R19627">
            <v>45838</v>
          </cell>
          <cell r="S19627">
            <v>213003</v>
          </cell>
        </row>
        <row r="19628">
          <cell r="K19628" t="str">
            <v>227012</v>
          </cell>
          <cell r="M19628">
            <v>1</v>
          </cell>
          <cell r="R19628">
            <v>45838</v>
          </cell>
          <cell r="S19628">
            <v>227012</v>
          </cell>
        </row>
        <row r="19629">
          <cell r="K19629" t="str">
            <v>223002</v>
          </cell>
          <cell r="M19629">
            <v>2</v>
          </cell>
          <cell r="R19629">
            <v>45838</v>
          </cell>
          <cell r="S19629">
            <v>223002</v>
          </cell>
        </row>
        <row r="19630">
          <cell r="K19630" t="str">
            <v>223001</v>
          </cell>
          <cell r="M19630">
            <v>4</v>
          </cell>
          <cell r="R19630">
            <v>45838</v>
          </cell>
          <cell r="S19630">
            <v>223001</v>
          </cell>
        </row>
        <row r="19631">
          <cell r="K19631" t="str">
            <v>226001</v>
          </cell>
          <cell r="M19631">
            <v>5</v>
          </cell>
          <cell r="R19631">
            <v>45838</v>
          </cell>
          <cell r="S19631">
            <v>226001</v>
          </cell>
        </row>
        <row r="19632">
          <cell r="K19632" t="str">
            <v>217019</v>
          </cell>
          <cell r="M19632">
            <v>7</v>
          </cell>
          <cell r="R19632">
            <v>45840</v>
          </cell>
          <cell r="S19632">
            <v>217019</v>
          </cell>
        </row>
        <row r="19633">
          <cell r="K19633" t="str">
            <v>213024</v>
          </cell>
          <cell r="M19633">
            <v>1</v>
          </cell>
          <cell r="R19633">
            <v>45840</v>
          </cell>
          <cell r="S19633">
            <v>213024</v>
          </cell>
        </row>
        <row r="19634">
          <cell r="K19634" t="str">
            <v>222002</v>
          </cell>
          <cell r="M19634">
            <v>8</v>
          </cell>
          <cell r="R19634">
            <v>45840</v>
          </cell>
          <cell r="S19634">
            <v>222002</v>
          </cell>
        </row>
        <row r="19635">
          <cell r="K19635" t="str">
            <v>213003</v>
          </cell>
          <cell r="M19635">
            <v>2</v>
          </cell>
          <cell r="R19635">
            <v>45845</v>
          </cell>
          <cell r="S19635">
            <v>213003</v>
          </cell>
        </row>
        <row r="19636">
          <cell r="K19636" t="str">
            <v>220002</v>
          </cell>
          <cell r="M19636">
            <v>1</v>
          </cell>
          <cell r="R19636">
            <v>45845</v>
          </cell>
          <cell r="S19636">
            <v>220002</v>
          </cell>
        </row>
        <row r="19637">
          <cell r="K19637" t="str">
            <v>217019</v>
          </cell>
          <cell r="M19637">
            <v>32</v>
          </cell>
          <cell r="R19637">
            <v>45846</v>
          </cell>
          <cell r="S19637">
            <v>217019</v>
          </cell>
        </row>
        <row r="19638">
          <cell r="K19638" t="str">
            <v>217019</v>
          </cell>
          <cell r="M19638">
            <v>1</v>
          </cell>
          <cell r="R19638">
            <v>45846</v>
          </cell>
          <cell r="S19638">
            <v>217019</v>
          </cell>
        </row>
        <row r="19639">
          <cell r="K19639" t="str">
            <v>201021</v>
          </cell>
          <cell r="M19639">
            <v>2</v>
          </cell>
          <cell r="R19639">
            <v>45846</v>
          </cell>
          <cell r="S19639">
            <v>201021</v>
          </cell>
        </row>
        <row r="19640">
          <cell r="K19640" t="str">
            <v>201011</v>
          </cell>
          <cell r="M19640">
            <v>10</v>
          </cell>
          <cell r="R19640">
            <v>45846</v>
          </cell>
          <cell r="S19640">
            <v>201011</v>
          </cell>
        </row>
        <row r="19641">
          <cell r="K19641" t="str">
            <v>201011</v>
          </cell>
          <cell r="M19641">
            <v>15</v>
          </cell>
          <cell r="R19641">
            <v>45846</v>
          </cell>
          <cell r="S19641">
            <v>201011</v>
          </cell>
        </row>
        <row r="19642">
          <cell r="K19642" t="str">
            <v>217011</v>
          </cell>
          <cell r="M19642">
            <v>1</v>
          </cell>
          <cell r="R19642">
            <v>45848</v>
          </cell>
          <cell r="S19642">
            <v>217011</v>
          </cell>
        </row>
        <row r="19643">
          <cell r="K19643" t="str">
            <v>201011</v>
          </cell>
          <cell r="M19643">
            <v>6</v>
          </cell>
          <cell r="R19643">
            <v>45853</v>
          </cell>
          <cell r="S19643">
            <v>201011</v>
          </cell>
        </row>
        <row r="19644">
          <cell r="K19644" t="str">
            <v>217018</v>
          </cell>
          <cell r="M19644">
            <v>1</v>
          </cell>
          <cell r="R19644">
            <v>45853</v>
          </cell>
          <cell r="S19644">
            <v>217018</v>
          </cell>
        </row>
        <row r="19645">
          <cell r="K19645" t="str">
            <v>217019</v>
          </cell>
          <cell r="M19645">
            <v>16</v>
          </cell>
          <cell r="R19645">
            <v>45854</v>
          </cell>
          <cell r="S19645">
            <v>217019</v>
          </cell>
        </row>
        <row r="19646">
          <cell r="K19646" t="str">
            <v>231010</v>
          </cell>
          <cell r="M19646">
            <v>2</v>
          </cell>
          <cell r="R19646">
            <v>45855</v>
          </cell>
          <cell r="S19646">
            <v>231010</v>
          </cell>
        </row>
        <row r="19647">
          <cell r="K19647" t="str">
            <v>213005</v>
          </cell>
          <cell r="M19647">
            <v>1</v>
          </cell>
          <cell r="R19647">
            <v>45856</v>
          </cell>
          <cell r="S19647">
            <v>213005</v>
          </cell>
        </row>
        <row r="19648">
          <cell r="K19648" t="str">
            <v>203004</v>
          </cell>
          <cell r="M19648">
            <v>1</v>
          </cell>
          <cell r="R19648">
            <v>45856</v>
          </cell>
          <cell r="S19648">
            <v>203004</v>
          </cell>
        </row>
        <row r="19649">
          <cell r="K19649" t="str">
            <v>217019</v>
          </cell>
          <cell r="M19649">
            <v>2</v>
          </cell>
          <cell r="R19649">
            <v>45859</v>
          </cell>
          <cell r="S19649">
            <v>217019</v>
          </cell>
        </row>
        <row r="19650">
          <cell r="K19650" t="str">
            <v>217022</v>
          </cell>
          <cell r="M19650">
            <v>10</v>
          </cell>
          <cell r="R19650">
            <v>45860</v>
          </cell>
          <cell r="S19650">
            <v>217022</v>
          </cell>
        </row>
        <row r="19651">
          <cell r="K19651" t="str">
            <v>213003</v>
          </cell>
          <cell r="M19651">
            <v>5</v>
          </cell>
          <cell r="R19651">
            <v>45860</v>
          </cell>
          <cell r="S19651">
            <v>213003</v>
          </cell>
        </row>
        <row r="19652">
          <cell r="K19652" t="str">
            <v>220002</v>
          </cell>
          <cell r="M19652">
            <v>2</v>
          </cell>
          <cell r="R19652">
            <v>45860</v>
          </cell>
          <cell r="S19652">
            <v>220002</v>
          </cell>
        </row>
        <row r="19653">
          <cell r="K19653" t="str">
            <v>217011</v>
          </cell>
          <cell r="M19653">
            <v>9</v>
          </cell>
          <cell r="R19653">
            <v>45861</v>
          </cell>
          <cell r="S19653">
            <v>217011</v>
          </cell>
        </row>
        <row r="19654">
          <cell r="K19654" t="str">
            <v>224002</v>
          </cell>
          <cell r="M19654">
            <v>1</v>
          </cell>
          <cell r="R19654">
            <v>45861</v>
          </cell>
          <cell r="S19654">
            <v>224002</v>
          </cell>
        </row>
        <row r="19655">
          <cell r="K19655" t="str">
            <v>226001</v>
          </cell>
          <cell r="M19655">
            <v>1</v>
          </cell>
          <cell r="R19655">
            <v>45861</v>
          </cell>
          <cell r="S19655">
            <v>226001</v>
          </cell>
        </row>
        <row r="19656">
          <cell r="K19656" t="str">
            <v>228001</v>
          </cell>
          <cell r="M19656">
            <v>2</v>
          </cell>
          <cell r="R19656">
            <v>45862</v>
          </cell>
          <cell r="S19656">
            <v>228001</v>
          </cell>
        </row>
        <row r="19657">
          <cell r="K19657" t="str">
            <v>228001</v>
          </cell>
          <cell r="M19657">
            <v>2</v>
          </cell>
          <cell r="R19657">
            <v>45862</v>
          </cell>
          <cell r="S19657">
            <v>228001</v>
          </cell>
        </row>
        <row r="19658">
          <cell r="K19658" t="str">
            <v>212002</v>
          </cell>
          <cell r="M19658">
            <v>1</v>
          </cell>
          <cell r="R19658">
            <v>45862</v>
          </cell>
          <cell r="S19658">
            <v>212002</v>
          </cell>
        </row>
        <row r="19659">
          <cell r="K19659" t="str">
            <v>226001</v>
          </cell>
          <cell r="M19659">
            <v>1</v>
          </cell>
          <cell r="R19659">
            <v>45862</v>
          </cell>
          <cell r="S19659">
            <v>226001</v>
          </cell>
        </row>
        <row r="19660">
          <cell r="K19660" t="str">
            <v>226030</v>
          </cell>
          <cell r="M19660">
            <v>1</v>
          </cell>
          <cell r="R19660">
            <v>45862</v>
          </cell>
          <cell r="S19660">
            <v>226030</v>
          </cell>
        </row>
        <row r="19661">
          <cell r="K19661" t="str">
            <v>228001</v>
          </cell>
          <cell r="M19661">
            <v>15</v>
          </cell>
          <cell r="R19661">
            <v>45866</v>
          </cell>
          <cell r="S19661">
            <v>228001</v>
          </cell>
        </row>
        <row r="19662">
          <cell r="K19662" t="str">
            <v>261004</v>
          </cell>
          <cell r="M19662">
            <v>30</v>
          </cell>
          <cell r="R19662">
            <v>45866</v>
          </cell>
          <cell r="S19662">
            <v>261004</v>
          </cell>
        </row>
        <row r="19663">
          <cell r="K19663" t="str">
            <v>212010</v>
          </cell>
          <cell r="M19663">
            <v>20</v>
          </cell>
          <cell r="R19663">
            <v>45866</v>
          </cell>
          <cell r="S19663">
            <v>212010</v>
          </cell>
        </row>
        <row r="19664">
          <cell r="K19664" t="str">
            <v>209016</v>
          </cell>
          <cell r="M19664">
            <v>1</v>
          </cell>
          <cell r="R19664">
            <v>45866</v>
          </cell>
          <cell r="S19664">
            <v>209016</v>
          </cell>
        </row>
        <row r="19665">
          <cell r="K19665" t="str">
            <v>209006</v>
          </cell>
          <cell r="M19665">
            <v>1</v>
          </cell>
          <cell r="R19665">
            <v>45866</v>
          </cell>
          <cell r="S19665">
            <v>209006</v>
          </cell>
        </row>
        <row r="19666">
          <cell r="K19666" t="str">
            <v>201011</v>
          </cell>
          <cell r="M19666">
            <v>17</v>
          </cell>
          <cell r="R19666">
            <v>45866</v>
          </cell>
          <cell r="S19666">
            <v>201011</v>
          </cell>
        </row>
        <row r="19667">
          <cell r="K19667" t="str">
            <v>201011</v>
          </cell>
          <cell r="M19667">
            <v>20</v>
          </cell>
          <cell r="R19667">
            <v>45866</v>
          </cell>
          <cell r="S19667">
            <v>201011</v>
          </cell>
        </row>
        <row r="19668">
          <cell r="K19668" t="str">
            <v>223001</v>
          </cell>
          <cell r="M19668">
            <v>8</v>
          </cell>
          <cell r="R19668">
            <v>45867</v>
          </cell>
          <cell r="S19668">
            <v>223001</v>
          </cell>
        </row>
        <row r="19669">
          <cell r="K19669" t="str">
            <v>223002</v>
          </cell>
          <cell r="M19669">
            <v>3</v>
          </cell>
          <cell r="R19669">
            <v>45868</v>
          </cell>
          <cell r="S19669">
            <v>223002</v>
          </cell>
        </row>
        <row r="19670">
          <cell r="K19670" t="str">
            <v>227012</v>
          </cell>
          <cell r="M19670">
            <v>1</v>
          </cell>
          <cell r="R19670">
            <v>45868</v>
          </cell>
          <cell r="S19670">
            <v>227012</v>
          </cell>
        </row>
        <row r="19671">
          <cell r="K19671" t="str">
            <v>223002</v>
          </cell>
          <cell r="M19671">
            <v>10</v>
          </cell>
          <cell r="R19671">
            <v>45868</v>
          </cell>
          <cell r="S19671">
            <v>223002</v>
          </cell>
        </row>
        <row r="19672">
          <cell r="K19672" t="str">
            <v>207017</v>
          </cell>
          <cell r="M19672">
            <v>2</v>
          </cell>
          <cell r="R19672">
            <v>45870</v>
          </cell>
          <cell r="S19672">
            <v>207017</v>
          </cell>
        </row>
        <row r="19673">
          <cell r="K19673" t="str">
            <v>231012</v>
          </cell>
          <cell r="M19673">
            <v>2</v>
          </cell>
          <cell r="R19673">
            <v>45870</v>
          </cell>
          <cell r="S19673">
            <v>231012</v>
          </cell>
        </row>
        <row r="19674">
          <cell r="K19674" t="str">
            <v>217019</v>
          </cell>
          <cell r="M19674">
            <v>10</v>
          </cell>
          <cell r="R19674">
            <v>45870</v>
          </cell>
          <cell r="S19674">
            <v>217019</v>
          </cell>
        </row>
        <row r="19675">
          <cell r="K19675" t="str">
            <v>217022</v>
          </cell>
          <cell r="M19675">
            <v>10</v>
          </cell>
          <cell r="R19675">
            <v>45873</v>
          </cell>
          <cell r="S19675">
            <v>217022</v>
          </cell>
        </row>
        <row r="19676">
          <cell r="K19676" t="str">
            <v>217018</v>
          </cell>
          <cell r="M19676">
            <v>1</v>
          </cell>
          <cell r="R19676">
            <v>45873</v>
          </cell>
          <cell r="S19676">
            <v>217018</v>
          </cell>
        </row>
        <row r="19677">
          <cell r="K19677" t="str">
            <v>217002</v>
          </cell>
          <cell r="M19677">
            <v>1</v>
          </cell>
          <cell r="R19677">
            <v>45873</v>
          </cell>
          <cell r="S19677">
            <v>217002</v>
          </cell>
        </row>
        <row r="19678">
          <cell r="K19678" t="str">
            <v>226030</v>
          </cell>
          <cell r="M19678">
            <v>1</v>
          </cell>
          <cell r="R19678">
            <v>45874</v>
          </cell>
          <cell r="S19678">
            <v>226030</v>
          </cell>
        </row>
        <row r="19679">
          <cell r="K19679" t="str">
            <v>217002</v>
          </cell>
          <cell r="M19679">
            <v>1</v>
          </cell>
          <cell r="R19679">
            <v>45875</v>
          </cell>
          <cell r="S19679">
            <v>217002</v>
          </cell>
        </row>
        <row r="19680">
          <cell r="K19680" t="str">
            <v>226001</v>
          </cell>
          <cell r="M19680">
            <v>1</v>
          </cell>
          <cell r="R19680">
            <v>45875</v>
          </cell>
          <cell r="S19680">
            <v>226001</v>
          </cell>
        </row>
        <row r="19681">
          <cell r="K19681" t="str">
            <v>203003</v>
          </cell>
          <cell r="M19681">
            <v>1</v>
          </cell>
          <cell r="R19681">
            <v>45875</v>
          </cell>
          <cell r="S19681">
            <v>203003</v>
          </cell>
        </row>
        <row r="19682">
          <cell r="K19682" t="str">
            <v>220002</v>
          </cell>
          <cell r="M19682">
            <v>10</v>
          </cell>
          <cell r="R19682">
            <v>45876</v>
          </cell>
          <cell r="S19682">
            <v>220002</v>
          </cell>
        </row>
        <row r="19683">
          <cell r="K19683" t="str">
            <v>241001</v>
          </cell>
          <cell r="M19683">
            <v>5</v>
          </cell>
          <cell r="R19683">
            <v>45876</v>
          </cell>
          <cell r="S19683">
            <v>241001</v>
          </cell>
        </row>
        <row r="19684">
          <cell r="K19684" t="str">
            <v>223002</v>
          </cell>
          <cell r="M19684">
            <v>12</v>
          </cell>
          <cell r="R19684">
            <v>45876</v>
          </cell>
          <cell r="S19684">
            <v>223002</v>
          </cell>
        </row>
        <row r="19685">
          <cell r="K19685" t="str">
            <v>225001</v>
          </cell>
          <cell r="M19685">
            <v>1</v>
          </cell>
          <cell r="R19685">
            <v>45879</v>
          </cell>
          <cell r="S19685">
            <v>225001</v>
          </cell>
        </row>
        <row r="19686">
          <cell r="K19686" t="str">
            <v>231012</v>
          </cell>
          <cell r="M19686">
            <v>3</v>
          </cell>
          <cell r="R19686">
            <v>45881</v>
          </cell>
          <cell r="S19686">
            <v>231012</v>
          </cell>
        </row>
        <row r="19687">
          <cell r="K19687" t="str">
            <v>206005</v>
          </cell>
          <cell r="M19687">
            <v>1</v>
          </cell>
          <cell r="R19687">
            <v>45882</v>
          </cell>
          <cell r="S19687">
            <v>206005</v>
          </cell>
        </row>
        <row r="19688">
          <cell r="K19688" t="str">
            <v>201011</v>
          </cell>
          <cell r="M19688">
            <v>1</v>
          </cell>
          <cell r="R19688">
            <v>45882</v>
          </cell>
          <cell r="S19688">
            <v>201011</v>
          </cell>
        </row>
        <row r="19689">
          <cell r="K19689" t="str">
            <v>226001</v>
          </cell>
          <cell r="M19689">
            <v>1</v>
          </cell>
          <cell r="R19689">
            <v>45882</v>
          </cell>
          <cell r="S19689">
            <v>226001</v>
          </cell>
        </row>
        <row r="19690">
          <cell r="K19690" t="str">
            <v>227012</v>
          </cell>
          <cell r="M19690">
            <v>6</v>
          </cell>
          <cell r="R19690">
            <v>45887</v>
          </cell>
          <cell r="S19690">
            <v>227012</v>
          </cell>
        </row>
        <row r="19691">
          <cell r="K19691" t="str">
            <v>201011</v>
          </cell>
          <cell r="M19691">
            <v>5</v>
          </cell>
          <cell r="R19691">
            <v>45887</v>
          </cell>
          <cell r="S19691">
            <v>201011</v>
          </cell>
        </row>
        <row r="19692">
          <cell r="K19692" t="str">
            <v>237001</v>
          </cell>
          <cell r="M19692">
            <v>1</v>
          </cell>
          <cell r="R19692">
            <v>45887</v>
          </cell>
          <cell r="S19692">
            <v>237001</v>
          </cell>
        </row>
        <row r="19693">
          <cell r="K19693" t="str">
            <v>226001</v>
          </cell>
          <cell r="M19693">
            <v>1</v>
          </cell>
          <cell r="R19693">
            <v>45887</v>
          </cell>
          <cell r="S19693">
            <v>226001</v>
          </cell>
        </row>
        <row r="19694">
          <cell r="K19694" t="str">
            <v>207002</v>
          </cell>
          <cell r="M19694">
            <v>1</v>
          </cell>
          <cell r="R19694">
            <v>45887</v>
          </cell>
          <cell r="S19694">
            <v>207002</v>
          </cell>
        </row>
        <row r="19695">
          <cell r="K19695" t="str">
            <v>226004</v>
          </cell>
          <cell r="M19695">
            <v>1</v>
          </cell>
          <cell r="R19695">
            <v>45887</v>
          </cell>
          <cell r="S19695">
            <v>226004</v>
          </cell>
        </row>
        <row r="19696">
          <cell r="K19696" t="str">
            <v>213003</v>
          </cell>
          <cell r="M19696">
            <v>3</v>
          </cell>
          <cell r="R19696">
            <v>45888</v>
          </cell>
          <cell r="S19696">
            <v>213003</v>
          </cell>
        </row>
        <row r="19697">
          <cell r="K19697" t="str">
            <v>206005</v>
          </cell>
          <cell r="M19697">
            <v>1</v>
          </cell>
          <cell r="R19697">
            <v>45889</v>
          </cell>
          <cell r="S19697">
            <v>206005</v>
          </cell>
        </row>
        <row r="19698">
          <cell r="K19698" t="str">
            <v>201011</v>
          </cell>
          <cell r="M19698">
            <v>10</v>
          </cell>
          <cell r="R19698">
            <v>45889</v>
          </cell>
          <cell r="S19698">
            <v>201011</v>
          </cell>
        </row>
        <row r="19699">
          <cell r="K19699" t="str">
            <v>201021</v>
          </cell>
          <cell r="M19699">
            <v>1</v>
          </cell>
          <cell r="R19699">
            <v>45890</v>
          </cell>
          <cell r="S19699">
            <v>201021</v>
          </cell>
        </row>
        <row r="19700">
          <cell r="K19700" t="str">
            <v>240005</v>
          </cell>
          <cell r="M19700">
            <v>1</v>
          </cell>
          <cell r="R19700">
            <v>45890</v>
          </cell>
          <cell r="S19700">
            <v>240005</v>
          </cell>
        </row>
        <row r="19701">
          <cell r="K19701" t="str">
            <v>226001</v>
          </cell>
          <cell r="M19701">
            <v>4</v>
          </cell>
          <cell r="R19701">
            <v>45890</v>
          </cell>
          <cell r="S19701">
            <v>226001</v>
          </cell>
        </row>
        <row r="19702">
          <cell r="K19702" t="str">
            <v>228001</v>
          </cell>
          <cell r="M19702">
            <v>15</v>
          </cell>
          <cell r="R19702">
            <v>45890</v>
          </cell>
          <cell r="S19702">
            <v>228001</v>
          </cell>
        </row>
        <row r="19703">
          <cell r="K19703" t="str">
            <v>203001</v>
          </cell>
          <cell r="M19703">
            <v>1</v>
          </cell>
          <cell r="R19703">
            <v>45890</v>
          </cell>
          <cell r="S19703">
            <v>203001</v>
          </cell>
        </row>
        <row r="19704">
          <cell r="K19704" t="str">
            <v>236008</v>
          </cell>
          <cell r="M19704">
            <v>1</v>
          </cell>
          <cell r="R19704">
            <v>45890</v>
          </cell>
          <cell r="S19704">
            <v>236008</v>
          </cell>
        </row>
        <row r="19705">
          <cell r="K19705" t="str">
            <v>236011</v>
          </cell>
          <cell r="M19705">
            <v>1</v>
          </cell>
          <cell r="R19705">
            <v>45890</v>
          </cell>
          <cell r="S19705">
            <v>236011</v>
          </cell>
        </row>
        <row r="19706">
          <cell r="K19706" t="str">
            <v>236010</v>
          </cell>
          <cell r="M19706">
            <v>1</v>
          </cell>
          <cell r="R19706">
            <v>45890</v>
          </cell>
          <cell r="S19706">
            <v>236010</v>
          </cell>
        </row>
        <row r="19707">
          <cell r="K19707" t="str">
            <v>227002</v>
          </cell>
          <cell r="M19707">
            <v>1</v>
          </cell>
          <cell r="R19707">
            <v>45890</v>
          </cell>
          <cell r="S19707">
            <v>227002</v>
          </cell>
        </row>
        <row r="19708">
          <cell r="K19708" t="str">
            <v>271002</v>
          </cell>
          <cell r="M19708">
            <v>1</v>
          </cell>
          <cell r="R19708">
            <v>45890</v>
          </cell>
          <cell r="S19708">
            <v>271002</v>
          </cell>
        </row>
        <row r="19709">
          <cell r="K19709" t="str">
            <v>209004</v>
          </cell>
          <cell r="M19709">
            <v>1</v>
          </cell>
          <cell r="R19709">
            <v>45890</v>
          </cell>
          <cell r="S19709">
            <v>209004</v>
          </cell>
        </row>
        <row r="19710">
          <cell r="K19710" t="str">
            <v>213002</v>
          </cell>
          <cell r="M19710">
            <v>1</v>
          </cell>
          <cell r="R19710">
            <v>45890</v>
          </cell>
          <cell r="S19710">
            <v>213002</v>
          </cell>
        </row>
        <row r="19711">
          <cell r="K19711" t="str">
            <v>201011</v>
          </cell>
          <cell r="M19711">
            <v>14</v>
          </cell>
          <cell r="R19711">
            <v>45891</v>
          </cell>
          <cell r="S19711">
            <v>201011</v>
          </cell>
        </row>
        <row r="19712">
          <cell r="K19712" t="str">
            <v>201011</v>
          </cell>
          <cell r="M19712">
            <v>10</v>
          </cell>
          <cell r="R19712">
            <v>45891</v>
          </cell>
          <cell r="S19712">
            <v>201011</v>
          </cell>
        </row>
        <row r="19713">
          <cell r="K19713" t="str">
            <v>201011</v>
          </cell>
          <cell r="M19713">
            <v>12</v>
          </cell>
          <cell r="R19713">
            <v>45891</v>
          </cell>
          <cell r="S19713">
            <v>201011</v>
          </cell>
        </row>
        <row r="19714">
          <cell r="K19714" t="str">
            <v>201011</v>
          </cell>
          <cell r="M19714">
            <v>35</v>
          </cell>
          <cell r="R19714">
            <v>45891</v>
          </cell>
          <cell r="S19714">
            <v>201011</v>
          </cell>
        </row>
        <row r="19715">
          <cell r="K19715" t="str">
            <v>209004</v>
          </cell>
          <cell r="M19715">
            <v>10</v>
          </cell>
          <cell r="R19715">
            <v>45891</v>
          </cell>
          <cell r="S19715">
            <v>209004</v>
          </cell>
        </row>
        <row r="19716">
          <cell r="K19716" t="str">
            <v>223002</v>
          </cell>
          <cell r="M19716">
            <v>8</v>
          </cell>
          <cell r="R19716">
            <v>45894</v>
          </cell>
          <cell r="S19716">
            <v>223002</v>
          </cell>
        </row>
        <row r="19717">
          <cell r="K19717" t="str">
            <v>201011</v>
          </cell>
          <cell r="M19717">
            <v>1</v>
          </cell>
          <cell r="R19717">
            <v>45894</v>
          </cell>
          <cell r="S19717">
            <v>201011</v>
          </cell>
        </row>
        <row r="19718">
          <cell r="K19718" t="str">
            <v>213005</v>
          </cell>
          <cell r="M19718">
            <v>1</v>
          </cell>
          <cell r="R19718">
            <v>45894</v>
          </cell>
          <cell r="S19718">
            <v>213005</v>
          </cell>
        </row>
        <row r="19719">
          <cell r="K19719" t="str">
            <v>203001</v>
          </cell>
          <cell r="M19719">
            <v>1</v>
          </cell>
          <cell r="R19719">
            <v>45894</v>
          </cell>
          <cell r="S19719">
            <v>203001</v>
          </cell>
        </row>
        <row r="19720">
          <cell r="K19720" t="str">
            <v>226030</v>
          </cell>
          <cell r="M19720">
            <v>1</v>
          </cell>
          <cell r="R19720">
            <v>45894</v>
          </cell>
          <cell r="S19720">
            <v>226030</v>
          </cell>
        </row>
        <row r="19721">
          <cell r="K19721" t="str">
            <v>217018</v>
          </cell>
          <cell r="M19721">
            <v>2</v>
          </cell>
          <cell r="R19721">
            <v>45895</v>
          </cell>
          <cell r="S19721">
            <v>217018</v>
          </cell>
        </row>
        <row r="19722">
          <cell r="K19722" t="str">
            <v>212035</v>
          </cell>
          <cell r="M19722">
            <v>2</v>
          </cell>
          <cell r="R19722">
            <v>45895</v>
          </cell>
          <cell r="S19722">
            <v>212035</v>
          </cell>
        </row>
        <row r="19723">
          <cell r="K19723" t="str">
            <v>228001</v>
          </cell>
          <cell r="M19723">
            <v>240</v>
          </cell>
          <cell r="R19723">
            <v>45895</v>
          </cell>
          <cell r="S19723">
            <v>228001</v>
          </cell>
        </row>
        <row r="19724">
          <cell r="K19724" t="str">
            <v>201011</v>
          </cell>
          <cell r="M19724">
            <v>1</v>
          </cell>
          <cell r="R19724">
            <v>45895</v>
          </cell>
          <cell r="S19724">
            <v>201011</v>
          </cell>
        </row>
        <row r="19725">
          <cell r="K19725" t="str">
            <v>228001</v>
          </cell>
          <cell r="M19725">
            <v>1</v>
          </cell>
          <cell r="R19725">
            <v>45897</v>
          </cell>
          <cell r="S19725">
            <v>228001</v>
          </cell>
        </row>
        <row r="19726">
          <cell r="K19726" t="str">
            <v>213002</v>
          </cell>
          <cell r="M19726">
            <v>3</v>
          </cell>
          <cell r="R19726">
            <v>45897</v>
          </cell>
          <cell r="S19726">
            <v>213002</v>
          </cell>
        </row>
        <row r="19727">
          <cell r="K19727" t="str">
            <v>203001</v>
          </cell>
          <cell r="M19727">
            <v>1</v>
          </cell>
          <cell r="R19727">
            <v>45898</v>
          </cell>
          <cell r="S19727">
            <v>203001</v>
          </cell>
        </row>
        <row r="19728">
          <cell r="K19728" t="str">
            <v>203001</v>
          </cell>
          <cell r="M19728">
            <v>2</v>
          </cell>
          <cell r="R19728">
            <v>45901</v>
          </cell>
          <cell r="S19728">
            <v>203001</v>
          </cell>
        </row>
        <row r="19729">
          <cell r="K19729" t="str">
            <v>205004</v>
          </cell>
          <cell r="M19729">
            <v>1</v>
          </cell>
          <cell r="R19729">
            <v>45902</v>
          </cell>
          <cell r="S19729">
            <v>205004</v>
          </cell>
        </row>
        <row r="19730">
          <cell r="K19730" t="str">
            <v>201011</v>
          </cell>
          <cell r="M19730">
            <v>1</v>
          </cell>
          <cell r="R19730">
            <v>45902</v>
          </cell>
          <cell r="S19730">
            <v>201011</v>
          </cell>
        </row>
        <row r="19731">
          <cell r="K19731" t="str">
            <v>226001</v>
          </cell>
          <cell r="M19731">
            <v>1</v>
          </cell>
          <cell r="R19731">
            <v>45903</v>
          </cell>
          <cell r="S19731">
            <v>226001</v>
          </cell>
        </row>
        <row r="19732">
          <cell r="K19732" t="str">
            <v>217022</v>
          </cell>
          <cell r="M19732">
            <v>1</v>
          </cell>
          <cell r="R19732">
            <v>45903</v>
          </cell>
          <cell r="S19732">
            <v>217022</v>
          </cell>
        </row>
        <row r="19733">
          <cell r="K19733" t="str">
            <v>222001</v>
          </cell>
          <cell r="M19733">
            <v>5</v>
          </cell>
          <cell r="R19733">
            <v>45905</v>
          </cell>
          <cell r="S19733">
            <v>222001</v>
          </cell>
        </row>
        <row r="19734">
          <cell r="K19734" t="str">
            <v>261004</v>
          </cell>
          <cell r="M19734">
            <v>1</v>
          </cell>
          <cell r="R19734">
            <v>45905</v>
          </cell>
          <cell r="S19734">
            <v>261004</v>
          </cell>
        </row>
        <row r="19735">
          <cell r="K19735" t="str">
            <v>241001</v>
          </cell>
          <cell r="M19735">
            <v>4</v>
          </cell>
          <cell r="R19735">
            <v>45905</v>
          </cell>
          <cell r="S19735">
            <v>241001</v>
          </cell>
        </row>
        <row r="19736">
          <cell r="K19736" t="str">
            <v>217018</v>
          </cell>
          <cell r="M19736">
            <v>26</v>
          </cell>
          <cell r="R19736">
            <v>45905</v>
          </cell>
          <cell r="S19736">
            <v>217018</v>
          </cell>
        </row>
        <row r="19737">
          <cell r="K19737" t="str">
            <v>217019</v>
          </cell>
          <cell r="M19737">
            <v>3</v>
          </cell>
          <cell r="R19737">
            <v>45905</v>
          </cell>
          <cell r="S19737">
            <v>217019</v>
          </cell>
        </row>
        <row r="19738">
          <cell r="K19738" t="str">
            <v>201011</v>
          </cell>
          <cell r="M19738">
            <v>6</v>
          </cell>
          <cell r="R19738">
            <v>45908</v>
          </cell>
          <cell r="S19738">
            <v>201011</v>
          </cell>
        </row>
        <row r="19739">
          <cell r="K19739" t="str">
            <v>228001</v>
          </cell>
          <cell r="M19739">
            <v>1</v>
          </cell>
          <cell r="R19739">
            <v>45908</v>
          </cell>
          <cell r="S19739">
            <v>228001</v>
          </cell>
        </row>
        <row r="19740">
          <cell r="K19740" t="str">
            <v>228001</v>
          </cell>
          <cell r="M19740">
            <v>5</v>
          </cell>
          <cell r="R19740">
            <v>45908</v>
          </cell>
          <cell r="S19740">
            <v>228001</v>
          </cell>
        </row>
        <row r="19741">
          <cell r="K19741" t="str">
            <v>234001</v>
          </cell>
          <cell r="M19741">
            <v>1</v>
          </cell>
          <cell r="R19741">
            <v>45908</v>
          </cell>
          <cell r="S19741">
            <v>234001</v>
          </cell>
        </row>
        <row r="19742">
          <cell r="K19742" t="str">
            <v>222001</v>
          </cell>
          <cell r="M19742">
            <v>1</v>
          </cell>
          <cell r="R19742">
            <v>45908</v>
          </cell>
          <cell r="S19742">
            <v>222001</v>
          </cell>
        </row>
        <row r="19743">
          <cell r="K19743" t="str">
            <v>237001</v>
          </cell>
          <cell r="M19743">
            <v>1</v>
          </cell>
          <cell r="R19743">
            <v>45909</v>
          </cell>
          <cell r="S19743">
            <v>237001</v>
          </cell>
        </row>
        <row r="19744">
          <cell r="K19744" t="str">
            <v>213006</v>
          </cell>
          <cell r="M19744">
            <v>2</v>
          </cell>
          <cell r="R19744">
            <v>45912</v>
          </cell>
          <cell r="S19744">
            <v>213006</v>
          </cell>
        </row>
        <row r="19745">
          <cell r="K19745" t="str">
            <v>241001</v>
          </cell>
          <cell r="M19745">
            <v>2</v>
          </cell>
          <cell r="R19745">
            <v>45912</v>
          </cell>
          <cell r="S19745">
            <v>241001</v>
          </cell>
        </row>
        <row r="19746">
          <cell r="K19746" t="str">
            <v>203003</v>
          </cell>
          <cell r="M19746">
            <v>1</v>
          </cell>
          <cell r="R19746">
            <v>45912</v>
          </cell>
          <cell r="S19746">
            <v>203003</v>
          </cell>
        </row>
        <row r="19747">
          <cell r="K19747" t="str">
            <v>218001</v>
          </cell>
          <cell r="M19747">
            <v>1</v>
          </cell>
          <cell r="R19747">
            <v>45912</v>
          </cell>
          <cell r="S19747">
            <v>218001</v>
          </cell>
        </row>
        <row r="19748">
          <cell r="K19748" t="str">
            <v>201002</v>
          </cell>
          <cell r="M19748">
            <v>1</v>
          </cell>
          <cell r="R19748">
            <v>45915</v>
          </cell>
          <cell r="S19748">
            <v>201002</v>
          </cell>
        </row>
        <row r="19749">
          <cell r="K19749" t="str">
            <v>209002</v>
          </cell>
          <cell r="M19749">
            <v>1</v>
          </cell>
          <cell r="R19749">
            <v>45917</v>
          </cell>
          <cell r="S19749">
            <v>209002</v>
          </cell>
        </row>
        <row r="19750">
          <cell r="K19750" t="str">
            <v>226024</v>
          </cell>
          <cell r="M19750">
            <v>1</v>
          </cell>
          <cell r="R19750">
            <v>45923</v>
          </cell>
          <cell r="S19750">
            <v>226024</v>
          </cell>
        </row>
        <row r="19751">
          <cell r="K19751" t="str">
            <v>213005</v>
          </cell>
          <cell r="M19751">
            <v>1</v>
          </cell>
          <cell r="R19751">
            <v>45924</v>
          </cell>
          <cell r="S19751">
            <v>213005</v>
          </cell>
        </row>
        <row r="19752">
          <cell r="K19752" t="str">
            <v>241001</v>
          </cell>
          <cell r="M19752">
            <v>135</v>
          </cell>
          <cell r="R19752">
            <v>45924</v>
          </cell>
          <cell r="S19752">
            <v>241001</v>
          </cell>
        </row>
        <row r="19753">
          <cell r="K19753" t="str">
            <v>228001</v>
          </cell>
          <cell r="M19753">
            <v>1</v>
          </cell>
          <cell r="R19753">
            <v>45929</v>
          </cell>
          <cell r="S19753">
            <v>228001</v>
          </cell>
        </row>
        <row r="19754">
          <cell r="K19754" t="str">
            <v>212035</v>
          </cell>
          <cell r="M19754">
            <v>1</v>
          </cell>
          <cell r="R19754">
            <v>45929</v>
          </cell>
          <cell r="S19754">
            <v>212035</v>
          </cell>
        </row>
        <row r="19755">
          <cell r="K19755" t="str">
            <v>209012</v>
          </cell>
          <cell r="M19755">
            <v>1</v>
          </cell>
          <cell r="R19755">
            <v>45929</v>
          </cell>
          <cell r="S19755">
            <v>209012</v>
          </cell>
        </row>
        <row r="19756">
          <cell r="K19756" t="str">
            <v>223002</v>
          </cell>
          <cell r="M19756">
            <v>1</v>
          </cell>
          <cell r="R19756">
            <v>45930</v>
          </cell>
          <cell r="S19756">
            <v>223002</v>
          </cell>
        </row>
        <row r="19757">
          <cell r="K19757" t="str">
            <v>213024</v>
          </cell>
          <cell r="M19757">
            <v>4</v>
          </cell>
          <cell r="R19757">
            <v>45931</v>
          </cell>
          <cell r="S19757">
            <v>213024</v>
          </cell>
        </row>
        <row r="19758">
          <cell r="K19758" t="str">
            <v>234001</v>
          </cell>
          <cell r="M19758">
            <v>1</v>
          </cell>
          <cell r="R19758">
            <v>45932</v>
          </cell>
          <cell r="S19758">
            <v>234001</v>
          </cell>
        </row>
        <row r="19759">
          <cell r="K19759" t="str">
            <v>223002</v>
          </cell>
          <cell r="M19759">
            <v>4</v>
          </cell>
          <cell r="R19759">
            <v>45932</v>
          </cell>
          <cell r="S19759">
            <v>223002</v>
          </cell>
        </row>
        <row r="19760">
          <cell r="K19760" t="str">
            <v>213006</v>
          </cell>
          <cell r="M19760">
            <v>8</v>
          </cell>
          <cell r="R19760">
            <v>45936</v>
          </cell>
          <cell r="S19760">
            <v>213006</v>
          </cell>
        </row>
        <row r="19761">
          <cell r="K19761" t="str">
            <v>228001</v>
          </cell>
          <cell r="M19761">
            <v>24</v>
          </cell>
          <cell r="R19761">
            <v>45936</v>
          </cell>
          <cell r="S19761">
            <v>228001</v>
          </cell>
        </row>
        <row r="19762">
          <cell r="K19762" t="str">
            <v>237001</v>
          </cell>
          <cell r="M19762">
            <v>1</v>
          </cell>
          <cell r="R19762">
            <v>45937</v>
          </cell>
          <cell r="S19762">
            <v>237001</v>
          </cell>
        </row>
        <row r="19763">
          <cell r="K19763" t="str">
            <v>226026</v>
          </cell>
          <cell r="M19763">
            <v>2</v>
          </cell>
          <cell r="R19763">
            <v>45938</v>
          </cell>
          <cell r="S19763">
            <v>226026</v>
          </cell>
        </row>
        <row r="19764">
          <cell r="K19764" t="str">
            <v>223001</v>
          </cell>
          <cell r="M19764">
            <v>3</v>
          </cell>
          <cell r="R19764">
            <v>45938</v>
          </cell>
          <cell r="S19764">
            <v>223001</v>
          </cell>
        </row>
        <row r="19765">
          <cell r="K19765" t="str">
            <v>223002</v>
          </cell>
          <cell r="M19765">
            <v>3</v>
          </cell>
          <cell r="R19765">
            <v>45938</v>
          </cell>
          <cell r="S19765">
            <v>223002</v>
          </cell>
        </row>
        <row r="19766">
          <cell r="K19766" t="str">
            <v>209017</v>
          </cell>
          <cell r="M19766">
            <v>1</v>
          </cell>
          <cell r="R19766">
            <v>45938</v>
          </cell>
          <cell r="S19766">
            <v>209017</v>
          </cell>
        </row>
        <row r="19767">
          <cell r="K19767" t="str">
            <v>217018</v>
          </cell>
          <cell r="M19767">
            <v>50</v>
          </cell>
          <cell r="R19767">
            <v>45938</v>
          </cell>
          <cell r="S19767">
            <v>217018</v>
          </cell>
        </row>
        <row r="19768">
          <cell r="K19768" t="str">
            <v>201003</v>
          </cell>
          <cell r="M19768">
            <v>3</v>
          </cell>
          <cell r="R19768">
            <v>45939</v>
          </cell>
          <cell r="S19768">
            <v>201003</v>
          </cell>
        </row>
        <row r="19769">
          <cell r="K19769" t="str">
            <v>201003</v>
          </cell>
          <cell r="M19769">
            <v>1</v>
          </cell>
          <cell r="R19769">
            <v>45939</v>
          </cell>
          <cell r="S19769">
            <v>201003</v>
          </cell>
        </row>
        <row r="19770">
          <cell r="K19770" t="str">
            <v>213007</v>
          </cell>
          <cell r="M19770">
            <v>50</v>
          </cell>
          <cell r="R19770">
            <v>45940</v>
          </cell>
          <cell r="S19770">
            <v>213007</v>
          </cell>
        </row>
        <row r="19771">
          <cell r="K19771" t="str">
            <v>207002</v>
          </cell>
          <cell r="M19771">
            <v>1</v>
          </cell>
          <cell r="R19771">
            <v>45943</v>
          </cell>
          <cell r="S19771">
            <v>207002</v>
          </cell>
        </row>
        <row r="19772">
          <cell r="K19772" t="str">
            <v>223001</v>
          </cell>
          <cell r="M19772">
            <v>1</v>
          </cell>
          <cell r="R19772">
            <v>45944</v>
          </cell>
          <cell r="S19772">
            <v>223001</v>
          </cell>
        </row>
        <row r="19773">
          <cell r="K19773" t="str">
            <v>209004</v>
          </cell>
          <cell r="M19773">
            <v>2</v>
          </cell>
          <cell r="R19773">
            <v>45945</v>
          </cell>
          <cell r="S19773">
            <v>209004</v>
          </cell>
        </row>
        <row r="19774">
          <cell r="K19774" t="str">
            <v>228001</v>
          </cell>
          <cell r="M19774">
            <v>2</v>
          </cell>
          <cell r="R19774">
            <v>45945</v>
          </cell>
          <cell r="S19774">
            <v>228001</v>
          </cell>
        </row>
        <row r="19775">
          <cell r="K19775" t="str">
            <v>226001</v>
          </cell>
          <cell r="M19775">
            <v>2</v>
          </cell>
          <cell r="R19775">
            <v>45945</v>
          </cell>
          <cell r="S19775">
            <v>226001</v>
          </cell>
        </row>
        <row r="19776">
          <cell r="K19776" t="str">
            <v>201003</v>
          </cell>
          <cell r="M19776">
            <v>10</v>
          </cell>
          <cell r="R19776">
            <v>45946</v>
          </cell>
          <cell r="S19776">
            <v>201003</v>
          </cell>
        </row>
        <row r="19777">
          <cell r="K19777" t="str">
            <v>217022</v>
          </cell>
          <cell r="M19777">
            <v>2</v>
          </cell>
          <cell r="R19777">
            <v>45946</v>
          </cell>
          <cell r="S19777">
            <v>217022</v>
          </cell>
        </row>
        <row r="19778">
          <cell r="K19778" t="str">
            <v>217018</v>
          </cell>
          <cell r="M19778">
            <v>2</v>
          </cell>
          <cell r="R19778">
            <v>45946</v>
          </cell>
          <cell r="S19778">
            <v>217018</v>
          </cell>
        </row>
        <row r="19779">
          <cell r="K19779" t="str">
            <v>223003</v>
          </cell>
          <cell r="M19779">
            <v>6</v>
          </cell>
          <cell r="R19779">
            <v>45946</v>
          </cell>
          <cell r="S19779">
            <v>223003</v>
          </cell>
        </row>
        <row r="19780">
          <cell r="K19780" t="str">
            <v>223006</v>
          </cell>
          <cell r="M19780">
            <v>6</v>
          </cell>
          <cell r="R19780">
            <v>45946</v>
          </cell>
          <cell r="S19780">
            <v>223006</v>
          </cell>
        </row>
        <row r="19781">
          <cell r="K19781" t="str">
            <v>223001</v>
          </cell>
          <cell r="M19781">
            <v>8</v>
          </cell>
          <cell r="R19781">
            <v>45946</v>
          </cell>
          <cell r="S19781">
            <v>223001</v>
          </cell>
        </row>
        <row r="19782">
          <cell r="K19782" t="str">
            <v>223002</v>
          </cell>
          <cell r="M19782">
            <v>5</v>
          </cell>
          <cell r="R19782">
            <v>45946</v>
          </cell>
          <cell r="S19782">
            <v>223002</v>
          </cell>
        </row>
        <row r="19783">
          <cell r="K19783" t="str">
            <v>201003</v>
          </cell>
          <cell r="M19783">
            <v>10</v>
          </cell>
          <cell r="R19783">
            <v>45947</v>
          </cell>
          <cell r="S19783">
            <v>201003</v>
          </cell>
        </row>
        <row r="19784">
          <cell r="K19784" t="str">
            <v>323001</v>
          </cell>
          <cell r="M19784">
            <v>5</v>
          </cell>
          <cell r="R19784">
            <v>45947</v>
          </cell>
          <cell r="S19784">
            <v>323001</v>
          </cell>
        </row>
        <row r="19785">
          <cell r="K19785" t="str">
            <v>241001</v>
          </cell>
          <cell r="M19785">
            <v>1</v>
          </cell>
          <cell r="R19785">
            <v>45950</v>
          </cell>
          <cell r="S19785">
            <v>241001</v>
          </cell>
        </row>
        <row r="19786">
          <cell r="K19786" t="str">
            <v>220003</v>
          </cell>
          <cell r="M19786">
            <v>10</v>
          </cell>
          <cell r="R19786">
            <v>45950</v>
          </cell>
          <cell r="S19786">
            <v>220003</v>
          </cell>
        </row>
        <row r="19787">
          <cell r="K19787" t="str">
            <v>220003</v>
          </cell>
          <cell r="M19787">
            <v>9</v>
          </cell>
          <cell r="R19787">
            <v>45950</v>
          </cell>
          <cell r="S19787">
            <v>220003</v>
          </cell>
        </row>
        <row r="19788">
          <cell r="K19788" t="str">
            <v>261003</v>
          </cell>
          <cell r="M19788">
            <v>1</v>
          </cell>
          <cell r="R19788">
            <v>45950</v>
          </cell>
          <cell r="S19788">
            <v>261003</v>
          </cell>
        </row>
        <row r="19789">
          <cell r="K19789" t="str">
            <v>220003</v>
          </cell>
          <cell r="M19789">
            <v>1</v>
          </cell>
          <cell r="R19789">
            <v>45951</v>
          </cell>
          <cell r="S19789">
            <v>220003</v>
          </cell>
        </row>
        <row r="19790">
          <cell r="K19790" t="str">
            <v>241001</v>
          </cell>
          <cell r="M19790">
            <v>30</v>
          </cell>
          <cell r="R19790">
            <v>45951</v>
          </cell>
          <cell r="S19790">
            <v>241001</v>
          </cell>
        </row>
        <row r="19791">
          <cell r="K19791" t="str">
            <v>217011</v>
          </cell>
          <cell r="M19791">
            <v>2</v>
          </cell>
          <cell r="R19791">
            <v>45953</v>
          </cell>
          <cell r="S19791">
            <v>217011</v>
          </cell>
        </row>
        <row r="19792">
          <cell r="K19792" t="str">
            <v>226001</v>
          </cell>
          <cell r="M19792">
            <v>2</v>
          </cell>
          <cell r="R19792">
            <v>45953</v>
          </cell>
          <cell r="S19792">
            <v>226001</v>
          </cell>
        </row>
        <row r="19793">
          <cell r="K19793" t="str">
            <v>217018</v>
          </cell>
          <cell r="M19793">
            <v>1</v>
          </cell>
          <cell r="R19793">
            <v>45953</v>
          </cell>
          <cell r="S19793">
            <v>217018</v>
          </cell>
        </row>
        <row r="19794">
          <cell r="K19794" t="str">
            <v>210013</v>
          </cell>
          <cell r="M19794">
            <v>1</v>
          </cell>
          <cell r="R19794">
            <v>45953</v>
          </cell>
          <cell r="S19794">
            <v>210013</v>
          </cell>
        </row>
        <row r="19795">
          <cell r="K19795" t="str">
            <v>210003</v>
          </cell>
          <cell r="M19795">
            <v>1</v>
          </cell>
          <cell r="R19795">
            <v>45953</v>
          </cell>
          <cell r="S19795">
            <v>210003</v>
          </cell>
        </row>
        <row r="19796">
          <cell r="K19796" t="str">
            <v>231012</v>
          </cell>
          <cell r="M19796">
            <v>6</v>
          </cell>
          <cell r="R19796">
            <v>45953</v>
          </cell>
          <cell r="S19796">
            <v>231012</v>
          </cell>
        </row>
        <row r="19797">
          <cell r="K19797" t="str">
            <v>217019</v>
          </cell>
          <cell r="M19797">
            <v>3</v>
          </cell>
          <cell r="R19797">
            <v>45954</v>
          </cell>
          <cell r="S19797">
            <v>217019</v>
          </cell>
        </row>
        <row r="19798">
          <cell r="K19798" t="str">
            <v>213002</v>
          </cell>
          <cell r="M19798">
            <v>8</v>
          </cell>
          <cell r="R19798">
            <v>45957</v>
          </cell>
          <cell r="S19798">
            <v>213002</v>
          </cell>
        </row>
        <row r="19799">
          <cell r="K19799" t="str">
            <v>265001</v>
          </cell>
          <cell r="M19799">
            <v>1</v>
          </cell>
          <cell r="R19799">
            <v>45957</v>
          </cell>
          <cell r="S19799">
            <v>265001</v>
          </cell>
        </row>
        <row r="19800">
          <cell r="K19800" t="str">
            <v>226001</v>
          </cell>
          <cell r="M19800">
            <v>1</v>
          </cell>
          <cell r="R19800">
            <v>45958</v>
          </cell>
          <cell r="S19800">
            <v>226001</v>
          </cell>
        </row>
        <row r="19801">
          <cell r="K19801" t="str">
            <v>237001</v>
          </cell>
          <cell r="M19801">
            <v>1</v>
          </cell>
          <cell r="R19801">
            <v>45958</v>
          </cell>
          <cell r="S19801">
            <v>237001</v>
          </cell>
        </row>
        <row r="19802">
          <cell r="K19802" t="str">
            <v>226030</v>
          </cell>
          <cell r="M19802">
            <v>4</v>
          </cell>
          <cell r="R19802">
            <v>45958</v>
          </cell>
          <cell r="S19802">
            <v>226030</v>
          </cell>
        </row>
        <row r="19803">
          <cell r="K19803" t="str">
            <v>217022</v>
          </cell>
          <cell r="M19803">
            <v>3</v>
          </cell>
          <cell r="R19803">
            <v>45958</v>
          </cell>
          <cell r="S19803">
            <v>217022</v>
          </cell>
        </row>
        <row r="19804">
          <cell r="K19804" t="str">
            <v>226032</v>
          </cell>
          <cell r="M19804">
            <v>1</v>
          </cell>
          <cell r="R19804">
            <v>45958</v>
          </cell>
          <cell r="S19804">
            <v>226032</v>
          </cell>
        </row>
        <row r="19805">
          <cell r="K19805" t="str">
            <v>217018</v>
          </cell>
          <cell r="M19805">
            <v>1</v>
          </cell>
          <cell r="R19805">
            <v>45958</v>
          </cell>
          <cell r="S19805">
            <v>217018</v>
          </cell>
        </row>
        <row r="19806">
          <cell r="K19806" t="str">
            <v>220003</v>
          </cell>
          <cell r="M19806">
            <v>15</v>
          </cell>
          <cell r="R19806">
            <v>45958</v>
          </cell>
          <cell r="S19806">
            <v>220003</v>
          </cell>
        </row>
        <row r="19807">
          <cell r="K19807" t="str">
            <v>229003</v>
          </cell>
          <cell r="M19807">
            <v>2</v>
          </cell>
          <cell r="R19807">
            <v>45959</v>
          </cell>
          <cell r="S19807">
            <v>229003</v>
          </cell>
        </row>
        <row r="19808">
          <cell r="K19808" t="str">
            <v>226001</v>
          </cell>
          <cell r="M19808">
            <v>1</v>
          </cell>
          <cell r="R19808">
            <v>45959</v>
          </cell>
          <cell r="S19808">
            <v>226001</v>
          </cell>
        </row>
        <row r="19809">
          <cell r="K19809" t="str">
            <v>210014</v>
          </cell>
          <cell r="M19809">
            <v>1</v>
          </cell>
          <cell r="R19809">
            <v>45959</v>
          </cell>
          <cell r="S19809">
            <v>210014</v>
          </cell>
        </row>
        <row r="19810">
          <cell r="K19810" t="str">
            <v>226025</v>
          </cell>
          <cell r="M19810">
            <v>2</v>
          </cell>
          <cell r="R19810">
            <v>45959</v>
          </cell>
          <cell r="S19810">
            <v>226025</v>
          </cell>
        </row>
        <row r="19811">
          <cell r="K19811" t="str">
            <v>207017</v>
          </cell>
          <cell r="M19811">
            <v>2</v>
          </cell>
          <cell r="R19811">
            <v>45959</v>
          </cell>
          <cell r="S19811">
            <v>207017</v>
          </cell>
        </row>
        <row r="19812">
          <cell r="K19812" t="str">
            <v>217022</v>
          </cell>
          <cell r="M19812">
            <v>12</v>
          </cell>
          <cell r="R19812">
            <v>45959</v>
          </cell>
          <cell r="S19812">
            <v>217022</v>
          </cell>
        </row>
        <row r="19813">
          <cell r="K19813" t="str">
            <v>209004</v>
          </cell>
          <cell r="M19813">
            <v>2</v>
          </cell>
          <cell r="R19813">
            <v>45959</v>
          </cell>
          <cell r="S19813">
            <v>209004</v>
          </cell>
        </row>
        <row r="19814">
          <cell r="K19814" t="str">
            <v>209006</v>
          </cell>
          <cell r="M19814">
            <v>3</v>
          </cell>
          <cell r="R19814">
            <v>45959</v>
          </cell>
          <cell r="S19814">
            <v>209006</v>
          </cell>
        </row>
        <row r="19815">
          <cell r="K19815" t="str">
            <v>223007</v>
          </cell>
          <cell r="M19815">
            <v>1</v>
          </cell>
          <cell r="R19815">
            <v>45960</v>
          </cell>
          <cell r="S19815">
            <v>223007</v>
          </cell>
        </row>
        <row r="19816">
          <cell r="K19816" t="str">
            <v>223004</v>
          </cell>
          <cell r="M19816">
            <v>1</v>
          </cell>
          <cell r="R19816">
            <v>45960</v>
          </cell>
          <cell r="S19816">
            <v>223004</v>
          </cell>
        </row>
        <row r="19817">
          <cell r="K19817" t="str">
            <v>231010</v>
          </cell>
          <cell r="M19817">
            <v>4</v>
          </cell>
          <cell r="R19817">
            <v>45964</v>
          </cell>
          <cell r="S19817">
            <v>231010</v>
          </cell>
        </row>
        <row r="19818">
          <cell r="K19818" t="str">
            <v>223002</v>
          </cell>
          <cell r="M19818">
            <v>1</v>
          </cell>
          <cell r="R19818">
            <v>45964</v>
          </cell>
          <cell r="S19818">
            <v>223002</v>
          </cell>
        </row>
        <row r="19819">
          <cell r="K19819" t="str">
            <v>227002</v>
          </cell>
          <cell r="M19819">
            <v>2</v>
          </cell>
          <cell r="R19819">
            <v>45964</v>
          </cell>
          <cell r="S19819">
            <v>227002</v>
          </cell>
        </row>
        <row r="19820">
          <cell r="K19820" t="str">
            <v>203001</v>
          </cell>
          <cell r="M19820">
            <v>-1</v>
          </cell>
          <cell r="R19820">
            <v>45964</v>
          </cell>
          <cell r="S19820">
            <v>203001</v>
          </cell>
        </row>
        <row r="19821">
          <cell r="K19821" t="str">
            <v>217018</v>
          </cell>
          <cell r="M19821">
            <v>4</v>
          </cell>
          <cell r="R19821">
            <v>45964</v>
          </cell>
          <cell r="S19821">
            <v>217018</v>
          </cell>
        </row>
        <row r="19822">
          <cell r="K19822" t="str">
            <v>217011</v>
          </cell>
          <cell r="M19822">
            <v>1</v>
          </cell>
          <cell r="R19822">
            <v>45964</v>
          </cell>
          <cell r="S19822">
            <v>217011</v>
          </cell>
        </row>
        <row r="19823">
          <cell r="K19823" t="str">
            <v>201004</v>
          </cell>
          <cell r="M19823">
            <v>1</v>
          </cell>
          <cell r="R19823">
            <v>45966</v>
          </cell>
          <cell r="S19823">
            <v>201004</v>
          </cell>
        </row>
        <row r="19824">
          <cell r="K19824" t="str">
            <v>226001</v>
          </cell>
          <cell r="M19824">
            <v>2</v>
          </cell>
          <cell r="R19824">
            <v>45971</v>
          </cell>
          <cell r="S19824">
            <v>226001</v>
          </cell>
        </row>
        <row r="19825">
          <cell r="K19825" t="str">
            <v>223001</v>
          </cell>
          <cell r="M19825">
            <v>2</v>
          </cell>
          <cell r="R19825">
            <v>45972</v>
          </cell>
          <cell r="S19825">
            <v>223001</v>
          </cell>
        </row>
        <row r="19826">
          <cell r="K19826" t="str">
            <v>223002</v>
          </cell>
          <cell r="M19826">
            <v>1</v>
          </cell>
          <cell r="R19826">
            <v>45972</v>
          </cell>
          <cell r="S19826">
            <v>223002</v>
          </cell>
        </row>
        <row r="19827">
          <cell r="K19827" t="str">
            <v>201003</v>
          </cell>
          <cell r="M19827">
            <v>3</v>
          </cell>
          <cell r="R19827">
            <v>45972</v>
          </cell>
          <cell r="S19827">
            <v>201003</v>
          </cell>
        </row>
        <row r="19828">
          <cell r="K19828" t="str">
            <v>226028</v>
          </cell>
          <cell r="M19828">
            <v>1</v>
          </cell>
          <cell r="R19828">
            <v>45974</v>
          </cell>
          <cell r="S19828">
            <v>226028</v>
          </cell>
        </row>
        <row r="19829">
          <cell r="K19829" t="str">
            <v>206005</v>
          </cell>
          <cell r="M19829">
            <v>1</v>
          </cell>
          <cell r="R19829">
            <v>45974</v>
          </cell>
          <cell r="S19829">
            <v>206005</v>
          </cell>
        </row>
        <row r="19830">
          <cell r="K19830" t="str">
            <v>217019</v>
          </cell>
          <cell r="M19830">
            <v>13</v>
          </cell>
          <cell r="R19830">
            <v>45974</v>
          </cell>
          <cell r="S19830">
            <v>217019</v>
          </cell>
        </row>
        <row r="19831">
          <cell r="K19831" t="str">
            <v>232001</v>
          </cell>
          <cell r="M19831">
            <v>1</v>
          </cell>
          <cell r="R19831">
            <v>45978</v>
          </cell>
          <cell r="S19831">
            <v>232001</v>
          </cell>
        </row>
        <row r="19832">
          <cell r="K19832" t="str">
            <v>223018</v>
          </cell>
          <cell r="M19832">
            <v>1</v>
          </cell>
          <cell r="R19832">
            <v>45978</v>
          </cell>
          <cell r="S19832">
            <v>223018</v>
          </cell>
        </row>
        <row r="19833">
          <cell r="K19833" t="str">
            <v>232001</v>
          </cell>
          <cell r="M19833">
            <v>1</v>
          </cell>
          <cell r="R19833">
            <v>45978</v>
          </cell>
          <cell r="S19833">
            <v>232001</v>
          </cell>
        </row>
        <row r="19834">
          <cell r="K19834" t="str">
            <v>213002</v>
          </cell>
          <cell r="M19834">
            <v>3</v>
          </cell>
          <cell r="R19834">
            <v>45978</v>
          </cell>
          <cell r="S19834">
            <v>213002</v>
          </cell>
        </row>
        <row r="19835">
          <cell r="K19835" t="str">
            <v>261004</v>
          </cell>
          <cell r="M19835">
            <v>1</v>
          </cell>
          <cell r="R19835">
            <v>45978</v>
          </cell>
          <cell r="S19835">
            <v>261004</v>
          </cell>
        </row>
        <row r="19836">
          <cell r="K19836" t="str">
            <v>220003</v>
          </cell>
          <cell r="M19836">
            <v>1</v>
          </cell>
          <cell r="R19836">
            <v>45979</v>
          </cell>
          <cell r="S19836">
            <v>220003</v>
          </cell>
        </row>
        <row r="19837">
          <cell r="K19837" t="str">
            <v>227012</v>
          </cell>
          <cell r="M19837">
            <v>1</v>
          </cell>
          <cell r="R19837">
            <v>45980</v>
          </cell>
          <cell r="S19837">
            <v>227012</v>
          </cell>
        </row>
        <row r="19838">
          <cell r="K19838" t="str">
            <v>201003</v>
          </cell>
          <cell r="M19838">
            <v>4</v>
          </cell>
          <cell r="R19838">
            <v>45980</v>
          </cell>
          <cell r="S19838">
            <v>201003</v>
          </cell>
        </row>
        <row r="19839">
          <cell r="K19839" t="str">
            <v>223001</v>
          </cell>
          <cell r="M19839">
            <v>1</v>
          </cell>
          <cell r="R19839">
            <v>45980</v>
          </cell>
          <cell r="S19839">
            <v>223001</v>
          </cell>
        </row>
        <row r="19840">
          <cell r="K19840" t="str">
            <v>241001</v>
          </cell>
          <cell r="M19840">
            <v>13</v>
          </cell>
          <cell r="R19840">
            <v>45981</v>
          </cell>
          <cell r="S19840">
            <v>241001</v>
          </cell>
        </row>
        <row r="19841">
          <cell r="K19841" t="str">
            <v>217021</v>
          </cell>
          <cell r="M19841">
            <v>1</v>
          </cell>
          <cell r="R19841">
            <v>45985</v>
          </cell>
          <cell r="S19841">
            <v>217021</v>
          </cell>
        </row>
        <row r="19842">
          <cell r="K19842" t="str">
            <v>206002</v>
          </cell>
          <cell r="M19842">
            <v>1</v>
          </cell>
          <cell r="R19842">
            <v>45985</v>
          </cell>
          <cell r="S19842">
            <v>206002</v>
          </cell>
        </row>
        <row r="19843">
          <cell r="K19843" t="str">
            <v>208001</v>
          </cell>
          <cell r="M19843">
            <v>1</v>
          </cell>
          <cell r="R19843">
            <v>45985</v>
          </cell>
          <cell r="S19843">
            <v>208001</v>
          </cell>
        </row>
        <row r="19844">
          <cell r="K19844" t="str">
            <v>203003</v>
          </cell>
          <cell r="M19844">
            <v>2</v>
          </cell>
          <cell r="R19844">
            <v>45985</v>
          </cell>
          <cell r="S19844">
            <v>203003</v>
          </cell>
        </row>
        <row r="19845">
          <cell r="K19845" t="str">
            <v>213002</v>
          </cell>
          <cell r="M19845">
            <v>2</v>
          </cell>
          <cell r="R19845">
            <v>45985</v>
          </cell>
          <cell r="S19845">
            <v>213002</v>
          </cell>
        </row>
        <row r="19846">
          <cell r="K19846" t="str">
            <v>231012</v>
          </cell>
          <cell r="M19846">
            <v>1</v>
          </cell>
          <cell r="R19846">
            <v>45985</v>
          </cell>
          <cell r="S19846">
            <v>231012</v>
          </cell>
        </row>
        <row r="19847">
          <cell r="K19847" t="str">
            <v>228001</v>
          </cell>
          <cell r="M19847">
            <v>1</v>
          </cell>
          <cell r="R19847">
            <v>45987</v>
          </cell>
          <cell r="S19847">
            <v>228001</v>
          </cell>
        </row>
        <row r="19848">
          <cell r="K19848" t="str">
            <v>231012</v>
          </cell>
          <cell r="M19848">
            <v>20</v>
          </cell>
          <cell r="R19848">
            <v>45988</v>
          </cell>
          <cell r="S19848">
            <v>231012</v>
          </cell>
        </row>
        <row r="19849">
          <cell r="K19849" t="str">
            <v>226030</v>
          </cell>
          <cell r="M19849">
            <v>4</v>
          </cell>
          <cell r="R19849">
            <v>45988</v>
          </cell>
          <cell r="S19849">
            <v>226030</v>
          </cell>
        </row>
        <row r="19850">
          <cell r="K19850" t="str">
            <v>213006</v>
          </cell>
          <cell r="M19850">
            <v>3</v>
          </cell>
          <cell r="R19850">
            <v>45988</v>
          </cell>
          <cell r="S19850">
            <v>213006</v>
          </cell>
        </row>
        <row r="19851">
          <cell r="K19851" t="str">
            <v>213006</v>
          </cell>
          <cell r="M19851">
            <v>3</v>
          </cell>
          <cell r="R19851">
            <v>45992</v>
          </cell>
          <cell r="S19851">
            <v>213006</v>
          </cell>
        </row>
        <row r="19852">
          <cell r="K19852" t="str">
            <v>227002</v>
          </cell>
          <cell r="M19852">
            <v>6</v>
          </cell>
          <cell r="R19852">
            <v>45992</v>
          </cell>
          <cell r="S19852">
            <v>227002</v>
          </cell>
        </row>
        <row r="19853">
          <cell r="K19853" t="str">
            <v>220002</v>
          </cell>
          <cell r="M19853">
            <v>4</v>
          </cell>
          <cell r="R19853">
            <v>45992</v>
          </cell>
          <cell r="S19853">
            <v>220002</v>
          </cell>
        </row>
        <row r="19854">
          <cell r="K19854" t="str">
            <v>226001</v>
          </cell>
          <cell r="M19854">
            <v>1</v>
          </cell>
          <cell r="R19854">
            <v>45993</v>
          </cell>
          <cell r="S19854">
            <v>226001</v>
          </cell>
        </row>
        <row r="19855">
          <cell r="K19855" t="str">
            <v>231012</v>
          </cell>
          <cell r="M19855">
            <v>1</v>
          </cell>
          <cell r="R19855">
            <v>45994</v>
          </cell>
          <cell r="S19855">
            <v>231012</v>
          </cell>
        </row>
        <row r="19856">
          <cell r="K19856" t="str">
            <v>227001</v>
          </cell>
          <cell r="M19856">
            <v>1</v>
          </cell>
          <cell r="R19856">
            <v>45995</v>
          </cell>
          <cell r="S19856">
            <v>227001</v>
          </cell>
        </row>
        <row r="19857">
          <cell r="K19857" t="str">
            <v>201011</v>
          </cell>
          <cell r="M19857">
            <v>6</v>
          </cell>
          <cell r="R19857">
            <v>45996</v>
          </cell>
          <cell r="S19857">
            <v>201011</v>
          </cell>
        </row>
        <row r="19858">
          <cell r="K19858" t="str">
            <v>201011</v>
          </cell>
          <cell r="M19858">
            <v>4</v>
          </cell>
          <cell r="R19858">
            <v>45996</v>
          </cell>
          <cell r="S19858">
            <v>201011</v>
          </cell>
        </row>
        <row r="19859">
          <cell r="K19859" t="str">
            <v>213002</v>
          </cell>
          <cell r="M19859">
            <v>3</v>
          </cell>
          <cell r="R19859">
            <v>45996</v>
          </cell>
          <cell r="S19859">
            <v>213002</v>
          </cell>
        </row>
        <row r="19860">
          <cell r="K19860" t="str">
            <v>213006</v>
          </cell>
          <cell r="M19860">
            <v>1</v>
          </cell>
          <cell r="R19860">
            <v>45998</v>
          </cell>
          <cell r="S19860">
            <v>213006</v>
          </cell>
        </row>
        <row r="19861">
          <cell r="K19861" t="str">
            <v>213002</v>
          </cell>
          <cell r="M19861">
            <v>6</v>
          </cell>
          <cell r="R19861">
            <v>46000</v>
          </cell>
          <cell r="S19861">
            <v>213002</v>
          </cell>
        </row>
        <row r="19862">
          <cell r="K19862" t="str">
            <v>227014</v>
          </cell>
          <cell r="M19862">
            <v>2</v>
          </cell>
          <cell r="R19862">
            <v>46001</v>
          </cell>
          <cell r="S19862">
            <v>227014</v>
          </cell>
        </row>
        <row r="19863">
          <cell r="K19863" t="str">
            <v>227012</v>
          </cell>
          <cell r="M19863">
            <v>2</v>
          </cell>
          <cell r="R19863">
            <v>46001</v>
          </cell>
          <cell r="S19863">
            <v>227012</v>
          </cell>
        </row>
        <row r="19864">
          <cell r="K19864" t="str">
            <v>231004</v>
          </cell>
          <cell r="M19864">
            <v>1</v>
          </cell>
          <cell r="R19864">
            <v>46001</v>
          </cell>
          <cell r="S19864">
            <v>231004</v>
          </cell>
        </row>
        <row r="19865">
          <cell r="K19865" t="str">
            <v>231004</v>
          </cell>
          <cell r="M19865">
            <v>4</v>
          </cell>
          <cell r="R19865">
            <v>46001</v>
          </cell>
          <cell r="S19865">
            <v>231004</v>
          </cell>
        </row>
        <row r="19866">
          <cell r="K19866" t="str">
            <v>231012</v>
          </cell>
          <cell r="M19866">
            <v>1</v>
          </cell>
          <cell r="R19866">
            <v>46001</v>
          </cell>
          <cell r="S19866">
            <v>231012</v>
          </cell>
        </row>
        <row r="19867">
          <cell r="K19867" t="str">
            <v>231004</v>
          </cell>
          <cell r="M19867">
            <v>1</v>
          </cell>
          <cell r="R19867">
            <v>46001</v>
          </cell>
          <cell r="S19867">
            <v>231004</v>
          </cell>
        </row>
        <row r="19868">
          <cell r="K19868" t="str">
            <v>231004</v>
          </cell>
          <cell r="M19868">
            <v>1</v>
          </cell>
          <cell r="R19868">
            <v>46001</v>
          </cell>
          <cell r="S19868">
            <v>231004</v>
          </cell>
        </row>
        <row r="19869">
          <cell r="K19869" t="str">
            <v>228001</v>
          </cell>
          <cell r="M19869">
            <v>3</v>
          </cell>
          <cell r="R19869">
            <v>46006</v>
          </cell>
          <cell r="S19869">
            <v>228001</v>
          </cell>
        </row>
        <row r="19870">
          <cell r="K19870" t="str">
            <v>220003</v>
          </cell>
          <cell r="M19870">
            <v>3</v>
          </cell>
          <cell r="R19870">
            <v>46006</v>
          </cell>
          <cell r="S19870">
            <v>220003</v>
          </cell>
        </row>
        <row r="19871">
          <cell r="K19871" t="str">
            <v>237001</v>
          </cell>
          <cell r="M19871">
            <v>1</v>
          </cell>
          <cell r="R19871">
            <v>46006</v>
          </cell>
          <cell r="S19871">
            <v>237001</v>
          </cell>
        </row>
        <row r="19872">
          <cell r="K19872" t="str">
            <v>234001</v>
          </cell>
          <cell r="M19872">
            <v>10</v>
          </cell>
          <cell r="R19872">
            <v>46006</v>
          </cell>
          <cell r="S19872">
            <v>234001</v>
          </cell>
        </row>
        <row r="19873">
          <cell r="K19873" t="str">
            <v>241001</v>
          </cell>
          <cell r="M19873">
            <v>4</v>
          </cell>
          <cell r="R19873">
            <v>46006</v>
          </cell>
          <cell r="S19873">
            <v>241001</v>
          </cell>
        </row>
        <row r="19874">
          <cell r="K19874" t="str">
            <v>223001</v>
          </cell>
          <cell r="M19874">
            <v>2</v>
          </cell>
          <cell r="R19874">
            <v>46007</v>
          </cell>
          <cell r="S19874">
            <v>223001</v>
          </cell>
        </row>
        <row r="19875">
          <cell r="K19875" t="str">
            <v>226026</v>
          </cell>
          <cell r="M19875">
            <v>1</v>
          </cell>
          <cell r="R19875">
            <v>46007</v>
          </cell>
          <cell r="S19875">
            <v>226026</v>
          </cell>
        </row>
        <row r="19876">
          <cell r="K19876" t="str">
            <v>226026</v>
          </cell>
          <cell r="M19876">
            <v>1</v>
          </cell>
          <cell r="R19876">
            <v>46009</v>
          </cell>
          <cell r="S19876">
            <v>226026</v>
          </cell>
        </row>
        <row r="19877">
          <cell r="K19877" t="str">
            <v>231012</v>
          </cell>
          <cell r="M19877">
            <v>1</v>
          </cell>
          <cell r="R19877">
            <v>46008</v>
          </cell>
          <cell r="S19877">
            <v>231012</v>
          </cell>
        </row>
        <row r="19878">
          <cell r="K19878" t="str">
            <v>213002</v>
          </cell>
          <cell r="M19878">
            <v>1</v>
          </cell>
          <cell r="R19878">
            <v>46009</v>
          </cell>
          <cell r="S19878">
            <v>213002</v>
          </cell>
        </row>
        <row r="19879">
          <cell r="K19879" t="str">
            <v>223001</v>
          </cell>
          <cell r="M19879">
            <v>12</v>
          </cell>
          <cell r="R19879">
            <v>46009</v>
          </cell>
          <cell r="S19879">
            <v>223001</v>
          </cell>
        </row>
        <row r="19880">
          <cell r="K19880" t="str">
            <v>223002</v>
          </cell>
          <cell r="M19880">
            <v>12</v>
          </cell>
          <cell r="R19880">
            <v>46009</v>
          </cell>
          <cell r="S19880">
            <v>223002</v>
          </cell>
        </row>
        <row r="19881">
          <cell r="K19881" t="str">
            <v>217018</v>
          </cell>
          <cell r="M19881">
            <v>3</v>
          </cell>
          <cell r="R19881">
            <v>46009</v>
          </cell>
          <cell r="S19881">
            <v>217018</v>
          </cell>
        </row>
        <row r="19882">
          <cell r="K19882" t="str">
            <v>212035</v>
          </cell>
          <cell r="M19882">
            <v>1</v>
          </cell>
          <cell r="R19882">
            <v>46013</v>
          </cell>
          <cell r="S19882">
            <v>212035</v>
          </cell>
        </row>
        <row r="19883">
          <cell r="K19883" t="str">
            <v>220002</v>
          </cell>
          <cell r="M19883">
            <v>3</v>
          </cell>
          <cell r="R19883">
            <v>46013</v>
          </cell>
          <cell r="S19883">
            <v>220002</v>
          </cell>
        </row>
        <row r="19884">
          <cell r="K19884" t="str">
            <v>228001</v>
          </cell>
          <cell r="M19884">
            <v>1</v>
          </cell>
          <cell r="R19884">
            <v>46013</v>
          </cell>
          <cell r="S19884">
            <v>228001</v>
          </cell>
        </row>
        <row r="19885">
          <cell r="K19885" t="str">
            <v>213002</v>
          </cell>
          <cell r="M19885">
            <v>4</v>
          </cell>
          <cell r="R19885">
            <v>46014</v>
          </cell>
          <cell r="S19885">
            <v>213002</v>
          </cell>
        </row>
        <row r="19886">
          <cell r="K19886" t="str">
            <v>213002</v>
          </cell>
          <cell r="M19886">
            <v>1</v>
          </cell>
          <cell r="R19886">
            <v>46015</v>
          </cell>
          <cell r="S19886">
            <v>213002</v>
          </cell>
        </row>
        <row r="19887">
          <cell r="K19887" t="str">
            <v>231012</v>
          </cell>
          <cell r="M19887">
            <v>1</v>
          </cell>
          <cell r="R19887">
            <v>46017</v>
          </cell>
          <cell r="S19887">
            <v>231012</v>
          </cell>
        </row>
        <row r="19888">
          <cell r="K19888" t="str">
            <v>228001</v>
          </cell>
          <cell r="M19888">
            <v>1</v>
          </cell>
          <cell r="R19888">
            <v>46019</v>
          </cell>
          <cell r="S19888">
            <v>228001</v>
          </cell>
        </row>
        <row r="19889">
          <cell r="K19889" t="str">
            <v>206014</v>
          </cell>
          <cell r="M19889">
            <v>1</v>
          </cell>
          <cell r="R19889">
            <v>46020</v>
          </cell>
          <cell r="S19889">
            <v>206014</v>
          </cell>
        </row>
        <row r="19890">
          <cell r="K19890" t="str">
            <v>208001</v>
          </cell>
          <cell r="M19890">
            <v>1</v>
          </cell>
          <cell r="R19890">
            <v>46021</v>
          </cell>
          <cell r="S19890">
            <v>208001</v>
          </cell>
        </row>
        <row r="19891">
          <cell r="K19891" t="str">
            <v>213022</v>
          </cell>
          <cell r="M19891">
            <v>81</v>
          </cell>
          <cell r="R19891">
            <v>46014</v>
          </cell>
          <cell r="S19891">
            <v>213022</v>
          </cell>
        </row>
        <row r="19892">
          <cell r="K19892" t="str">
            <v>217011</v>
          </cell>
          <cell r="M19892">
            <v>1</v>
          </cell>
          <cell r="R19892">
            <v>46021</v>
          </cell>
          <cell r="S19892">
            <v>217011</v>
          </cell>
        </row>
        <row r="19893">
          <cell r="K19893" t="str">
            <v>213022</v>
          </cell>
          <cell r="M19893">
            <v>1</v>
          </cell>
          <cell r="R19893">
            <v>46026</v>
          </cell>
          <cell r="S19893">
            <v>213022</v>
          </cell>
        </row>
        <row r="19894">
          <cell r="K19894" t="str">
            <v>228001</v>
          </cell>
          <cell r="M19894">
            <v>1</v>
          </cell>
          <cell r="R19894">
            <v>46027</v>
          </cell>
          <cell r="S19894">
            <v>228001</v>
          </cell>
        </row>
        <row r="19895">
          <cell r="K19895" t="str">
            <v>234001</v>
          </cell>
          <cell r="M19895">
            <v>1</v>
          </cell>
          <cell r="R19895">
            <v>46028</v>
          </cell>
          <cell r="S19895">
            <v>234001</v>
          </cell>
        </row>
        <row r="19896">
          <cell r="K19896" t="str">
            <v>212002</v>
          </cell>
          <cell r="M19896">
            <v>1</v>
          </cell>
          <cell r="R19896">
            <v>46028</v>
          </cell>
          <cell r="S19896">
            <v>212002</v>
          </cell>
        </row>
        <row r="19897">
          <cell r="K19897" t="str">
            <v>237001</v>
          </cell>
          <cell r="M19897">
            <v>2</v>
          </cell>
          <cell r="R19897">
            <v>46028</v>
          </cell>
          <cell r="S19897">
            <v>237001</v>
          </cell>
        </row>
        <row r="19898">
          <cell r="K19898" t="str">
            <v>226026</v>
          </cell>
          <cell r="M19898">
            <v>3</v>
          </cell>
          <cell r="R19898">
            <v>46029</v>
          </cell>
          <cell r="S19898">
            <v>226026</v>
          </cell>
        </row>
        <row r="19899">
          <cell r="K19899" t="str">
            <v>222001</v>
          </cell>
          <cell r="M19899">
            <v>1</v>
          </cell>
          <cell r="R19899">
            <v>46029</v>
          </cell>
          <cell r="S19899">
            <v>222001</v>
          </cell>
        </row>
        <row r="19900">
          <cell r="K19900" t="str">
            <v>226022</v>
          </cell>
          <cell r="M19900">
            <v>1</v>
          </cell>
          <cell r="R19900">
            <v>46030</v>
          </cell>
          <cell r="S19900">
            <v>226022</v>
          </cell>
        </row>
        <row r="19901">
          <cell r="K19901" t="str">
            <v>227001</v>
          </cell>
          <cell r="M19901">
            <v>2</v>
          </cell>
          <cell r="R19901">
            <v>46031</v>
          </cell>
          <cell r="S19901">
            <v>227001</v>
          </cell>
        </row>
        <row r="19902">
          <cell r="K19902" t="str">
            <v>228001</v>
          </cell>
          <cell r="M19902">
            <v>1</v>
          </cell>
          <cell r="R19902">
            <v>46033</v>
          </cell>
          <cell r="S19902">
            <v>228001</v>
          </cell>
        </row>
        <row r="19903">
          <cell r="K19903" t="str">
            <v>210013</v>
          </cell>
          <cell r="M19903">
            <v>1</v>
          </cell>
          <cell r="R19903">
            <v>46033</v>
          </cell>
          <cell r="S19903">
            <v>210013</v>
          </cell>
        </row>
        <row r="19904">
          <cell r="K19904" t="str">
            <v>220002</v>
          </cell>
          <cell r="M19904">
            <v>1</v>
          </cell>
          <cell r="R19904">
            <v>46033</v>
          </cell>
          <cell r="S19904">
            <v>220002</v>
          </cell>
        </row>
        <row r="19905">
          <cell r="K19905" t="str">
            <v>213022</v>
          </cell>
          <cell r="M19905">
            <v>1</v>
          </cell>
          <cell r="R19905">
            <v>46033</v>
          </cell>
          <cell r="S19905">
            <v>213022</v>
          </cell>
        </row>
        <row r="19906">
          <cell r="K19906" t="str">
            <v>213022</v>
          </cell>
          <cell r="M19906">
            <v>1</v>
          </cell>
          <cell r="R19906">
            <v>46033</v>
          </cell>
          <cell r="S19906">
            <v>213022</v>
          </cell>
        </row>
        <row r="19907">
          <cell r="K19907" t="str">
            <v>228001</v>
          </cell>
          <cell r="M19907">
            <v>1</v>
          </cell>
          <cell r="R19907">
            <v>46034</v>
          </cell>
          <cell r="S19907">
            <v>228001</v>
          </cell>
        </row>
        <row r="19908">
          <cell r="K19908" t="str">
            <v>213022</v>
          </cell>
          <cell r="M19908">
            <v>1</v>
          </cell>
          <cell r="R19908">
            <v>46034</v>
          </cell>
          <cell r="S19908">
            <v>213022</v>
          </cell>
        </row>
        <row r="19909">
          <cell r="K19909" t="str">
            <v>241001</v>
          </cell>
          <cell r="M19909">
            <v>3</v>
          </cell>
          <cell r="R19909">
            <v>46034</v>
          </cell>
          <cell r="S19909">
            <v>241001</v>
          </cell>
        </row>
        <row r="19910">
          <cell r="K19910" t="str">
            <v>227008</v>
          </cell>
          <cell r="M19910">
            <v>1</v>
          </cell>
          <cell r="R19910">
            <v>46030</v>
          </cell>
          <cell r="S19910">
            <v>227008</v>
          </cell>
        </row>
        <row r="19911">
          <cell r="K19911" t="str">
            <v>201009</v>
          </cell>
          <cell r="M19911">
            <v>1</v>
          </cell>
          <cell r="R19911">
            <v>46035</v>
          </cell>
          <cell r="S19911">
            <v>201009</v>
          </cell>
        </row>
        <row r="19912">
          <cell r="K19912" t="str">
            <v>223001</v>
          </cell>
          <cell r="M19912">
            <v>1</v>
          </cell>
          <cell r="R19912">
            <v>46035</v>
          </cell>
          <cell r="S19912">
            <v>223001</v>
          </cell>
        </row>
        <row r="19913">
          <cell r="K19913" t="str">
            <v>231006</v>
          </cell>
          <cell r="M19913">
            <v>2</v>
          </cell>
          <cell r="R19913">
            <v>46036</v>
          </cell>
          <cell r="S19913">
            <v>231006</v>
          </cell>
        </row>
        <row r="19914">
          <cell r="K19914" t="str">
            <v>209012</v>
          </cell>
          <cell r="M19914">
            <v>2</v>
          </cell>
          <cell r="R19914">
            <v>46038</v>
          </cell>
          <cell r="S19914">
            <v>209012</v>
          </cell>
        </row>
        <row r="19915">
          <cell r="K19915" t="str">
            <v>201005</v>
          </cell>
          <cell r="M19915">
            <v>1</v>
          </cell>
          <cell r="R19915">
            <v>46038</v>
          </cell>
          <cell r="S19915">
            <v>201005</v>
          </cell>
        </row>
        <row r="19916">
          <cell r="K19916" t="str">
            <v>213002</v>
          </cell>
          <cell r="M19916">
            <v>2</v>
          </cell>
          <cell r="R19916">
            <v>46037</v>
          </cell>
          <cell r="S19916">
            <v>213002</v>
          </cell>
        </row>
        <row r="19917">
          <cell r="K19917" t="str">
            <v>226001</v>
          </cell>
          <cell r="M19917">
            <v>1</v>
          </cell>
          <cell r="R19917">
            <v>46043</v>
          </cell>
          <cell r="S19917">
            <v>226001</v>
          </cell>
        </row>
        <row r="19918">
          <cell r="K19918" t="str">
            <v>226026</v>
          </cell>
          <cell r="M19918">
            <v>10</v>
          </cell>
          <cell r="R19918">
            <v>46044</v>
          </cell>
          <cell r="S19918">
            <v>226026</v>
          </cell>
        </row>
        <row r="19919">
          <cell r="K19919" t="str">
            <v>226026</v>
          </cell>
          <cell r="M19919">
            <v>3</v>
          </cell>
          <cell r="R19919">
            <v>46044</v>
          </cell>
          <cell r="S19919">
            <v>226026</v>
          </cell>
        </row>
        <row r="19920">
          <cell r="K19920" t="str">
            <v>203001</v>
          </cell>
          <cell r="M19920">
            <v>12</v>
          </cell>
          <cell r="R19920">
            <v>46044</v>
          </cell>
          <cell r="S19920">
            <v>203001</v>
          </cell>
        </row>
        <row r="19921">
          <cell r="K19921" t="str">
            <v>210014</v>
          </cell>
          <cell r="M19921">
            <v>1</v>
          </cell>
          <cell r="R19921">
            <v>46044</v>
          </cell>
          <cell r="S19921">
            <v>210014</v>
          </cell>
        </row>
        <row r="19922">
          <cell r="K19922" t="str">
            <v>223001</v>
          </cell>
          <cell r="M19922">
            <v>1</v>
          </cell>
          <cell r="R19922">
            <v>46048</v>
          </cell>
          <cell r="S19922">
            <v>223001</v>
          </cell>
        </row>
        <row r="19923">
          <cell r="K19923" t="str">
            <v>226001</v>
          </cell>
          <cell r="M19923">
            <v>1</v>
          </cell>
          <cell r="R19923">
            <v>46048</v>
          </cell>
          <cell r="S19923">
            <v>226001</v>
          </cell>
        </row>
        <row r="19924">
          <cell r="K19924" t="str">
            <v>217011</v>
          </cell>
          <cell r="M19924">
            <v>1</v>
          </cell>
          <cell r="R19924">
            <v>46049</v>
          </cell>
          <cell r="S19924">
            <v>217011</v>
          </cell>
        </row>
        <row r="19925">
          <cell r="K19925" t="str">
            <v>209017</v>
          </cell>
          <cell r="M19925">
            <v>1</v>
          </cell>
          <cell r="R19925">
            <v>46049</v>
          </cell>
          <cell r="S19925">
            <v>209017</v>
          </cell>
        </row>
        <row r="19926">
          <cell r="K19926" t="str">
            <v>213022</v>
          </cell>
          <cell r="M19926">
            <v>41</v>
          </cell>
          <cell r="R19926">
            <v>46050</v>
          </cell>
          <cell r="S19926">
            <v>213022</v>
          </cell>
        </row>
        <row r="19927">
          <cell r="K19927" t="str">
            <v>228001</v>
          </cell>
          <cell r="M19927">
            <v>1</v>
          </cell>
          <cell r="R19927">
            <v>46051</v>
          </cell>
          <cell r="S19927">
            <v>228001</v>
          </cell>
        </row>
        <row r="19928">
          <cell r="K19928" t="str">
            <v>223001</v>
          </cell>
          <cell r="M19928">
            <v>6</v>
          </cell>
          <cell r="R19928">
            <v>46051</v>
          </cell>
          <cell r="S19928">
            <v>223001</v>
          </cell>
        </row>
        <row r="19929">
          <cell r="K19929" t="str">
            <v>223002</v>
          </cell>
          <cell r="M19929">
            <v>6</v>
          </cell>
          <cell r="R19929">
            <v>46051</v>
          </cell>
          <cell r="S19929">
            <v>223002</v>
          </cell>
        </row>
        <row r="19930">
          <cell r="K19930" t="str">
            <v>217018</v>
          </cell>
          <cell r="M19930">
            <v>2</v>
          </cell>
          <cell r="R19930">
            <v>46051</v>
          </cell>
          <cell r="S19930">
            <v>217018</v>
          </cell>
        </row>
        <row r="19931">
          <cell r="K19931" t="str">
            <v>223001</v>
          </cell>
          <cell r="M19931">
            <v>8</v>
          </cell>
          <cell r="R19931">
            <v>46051</v>
          </cell>
          <cell r="S19931">
            <v>223001</v>
          </cell>
        </row>
        <row r="19932">
          <cell r="K19932" t="str">
            <v>223002</v>
          </cell>
          <cell r="M19932">
            <v>6</v>
          </cell>
          <cell r="R19932">
            <v>46051</v>
          </cell>
          <cell r="S19932">
            <v>223002</v>
          </cell>
        </row>
        <row r="19933">
          <cell r="K19933" t="str">
            <v>217018</v>
          </cell>
          <cell r="M19933">
            <v>1</v>
          </cell>
          <cell r="R19933">
            <v>46051</v>
          </cell>
          <cell r="S19933">
            <v>217018</v>
          </cell>
        </row>
        <row r="19934">
          <cell r="K19934" t="str">
            <v>226001</v>
          </cell>
          <cell r="M19934">
            <v>1</v>
          </cell>
          <cell r="R19934">
            <v>46051</v>
          </cell>
          <cell r="S19934">
            <v>226001</v>
          </cell>
        </row>
        <row r="19935">
          <cell r="K19935" t="str">
            <v>231012</v>
          </cell>
          <cell r="M19935">
            <v>10</v>
          </cell>
          <cell r="R19935">
            <v>46051</v>
          </cell>
          <cell r="S19935">
            <v>231012</v>
          </cell>
        </row>
        <row r="19936">
          <cell r="K19936" t="str">
            <v>231004</v>
          </cell>
          <cell r="M19936">
            <v>2</v>
          </cell>
          <cell r="R19936">
            <v>46051</v>
          </cell>
          <cell r="S19936">
            <v>231004</v>
          </cell>
        </row>
        <row r="19937">
          <cell r="K19937" t="str">
            <v>228001</v>
          </cell>
          <cell r="M19937">
            <v>2</v>
          </cell>
          <cell r="R19937">
            <v>46051</v>
          </cell>
          <cell r="S19937">
            <v>228001</v>
          </cell>
        </row>
        <row r="19938">
          <cell r="K19938" t="str">
            <v>201001</v>
          </cell>
          <cell r="M19938">
            <v>13</v>
          </cell>
          <cell r="R19938">
            <v>46056</v>
          </cell>
          <cell r="S19938">
            <v>201001</v>
          </cell>
        </row>
        <row r="19939">
          <cell r="K19939" t="str">
            <v>210015</v>
          </cell>
          <cell r="M19939">
            <v>1</v>
          </cell>
          <cell r="R19939">
            <v>46057</v>
          </cell>
          <cell r="S19939">
            <v>210015</v>
          </cell>
        </row>
        <row r="19940">
          <cell r="K19940" t="str">
            <v>223001</v>
          </cell>
          <cell r="M19940">
            <v>3</v>
          </cell>
          <cell r="R19940">
            <v>46042</v>
          </cell>
          <cell r="S19940">
            <v>223001</v>
          </cell>
        </row>
        <row r="19941">
          <cell r="K19941" t="str">
            <v>226009</v>
          </cell>
          <cell r="M19941">
            <v>1</v>
          </cell>
          <cell r="R19941">
            <v>46057</v>
          </cell>
          <cell r="S19941">
            <v>226009</v>
          </cell>
        </row>
        <row r="19942">
          <cell r="K19942" t="str">
            <v>217024</v>
          </cell>
          <cell r="M19942">
            <v>1</v>
          </cell>
          <cell r="R19942">
            <v>46057</v>
          </cell>
          <cell r="S19942">
            <v>217024</v>
          </cell>
        </row>
        <row r="19943">
          <cell r="K19943" t="str">
            <v>226001</v>
          </cell>
          <cell r="M19943">
            <v>1</v>
          </cell>
          <cell r="R19943">
            <v>46058</v>
          </cell>
          <cell r="S19943">
            <v>226001</v>
          </cell>
        </row>
        <row r="19944">
          <cell r="K19944" t="str">
            <v>227012</v>
          </cell>
          <cell r="M19944">
            <v>1</v>
          </cell>
          <cell r="R19944">
            <v>46058</v>
          </cell>
          <cell r="S19944">
            <v>227012</v>
          </cell>
        </row>
        <row r="19945">
          <cell r="K19945" t="str">
            <v>234001</v>
          </cell>
          <cell r="M19945">
            <v>4</v>
          </cell>
          <cell r="R19945">
            <v>46059</v>
          </cell>
          <cell r="S19945">
            <v>234001</v>
          </cell>
        </row>
        <row r="19946">
          <cell r="K19946" t="str">
            <v>217022</v>
          </cell>
          <cell r="M19946">
            <v>5</v>
          </cell>
          <cell r="R19946">
            <v>46059</v>
          </cell>
          <cell r="S19946">
            <v>217022</v>
          </cell>
        </row>
        <row r="19947">
          <cell r="K19947" t="str">
            <v>217023</v>
          </cell>
          <cell r="M19947">
            <v>1</v>
          </cell>
          <cell r="R19947">
            <v>46059</v>
          </cell>
          <cell r="S19947">
            <v>217023</v>
          </cell>
        </row>
        <row r="19948">
          <cell r="K19948" t="str">
            <v>210013</v>
          </cell>
          <cell r="M19948">
            <v>1</v>
          </cell>
          <cell r="R19948">
            <v>46062</v>
          </cell>
          <cell r="S19948">
            <v>210013</v>
          </cell>
        </row>
        <row r="19949">
          <cell r="K19949" t="str">
            <v>226033</v>
          </cell>
          <cell r="M19949">
            <v>30</v>
          </cell>
          <cell r="R19949">
            <v>46062</v>
          </cell>
          <cell r="S19949">
            <v>226033</v>
          </cell>
        </row>
        <row r="19950">
          <cell r="K19950" t="str">
            <v>226033</v>
          </cell>
          <cell r="M19950">
            <v>1</v>
          </cell>
          <cell r="R19950">
            <v>46063</v>
          </cell>
          <cell r="S19950">
            <v>226033</v>
          </cell>
        </row>
        <row r="19951">
          <cell r="K19951" t="str">
            <v>201001</v>
          </cell>
          <cell r="M19951">
            <v>36</v>
          </cell>
          <cell r="R19951">
            <v>46063</v>
          </cell>
          <cell r="S19951">
            <v>201001</v>
          </cell>
        </row>
        <row r="19952">
          <cell r="K19952" t="str">
            <v>265001</v>
          </cell>
          <cell r="M19952">
            <v>1</v>
          </cell>
          <cell r="R19952">
            <v>46064</v>
          </cell>
          <cell r="S19952">
            <v>265001</v>
          </cell>
        </row>
        <row r="19953">
          <cell r="K19953" t="str">
            <v>212010</v>
          </cell>
          <cell r="M19953">
            <v>10</v>
          </cell>
          <cell r="R19953">
            <v>46064</v>
          </cell>
          <cell r="S19953">
            <v>212010</v>
          </cell>
        </row>
        <row r="19954">
          <cell r="K19954" t="str">
            <v>228001</v>
          </cell>
          <cell r="M19954">
            <v>1</v>
          </cell>
          <cell r="R19954">
            <v>46064</v>
          </cell>
          <cell r="S19954">
            <v>228001</v>
          </cell>
        </row>
        <row r="19955">
          <cell r="K19955" t="str">
            <v>212035</v>
          </cell>
          <cell r="M19955">
            <v>1</v>
          </cell>
          <cell r="R19955">
            <v>46065</v>
          </cell>
          <cell r="S19955">
            <v>212035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E612-7F26-4258-83BE-55BF31C7BBAA}">
  <dimension ref="A1:AX229"/>
  <sheetViews>
    <sheetView workbookViewId="0">
      <pane xSplit="2" ySplit="2" topLeftCell="AL195" activePane="bottomRight" state="frozen"/>
      <selection pane="topRight" activeCell="C1" sqref="C1"/>
      <selection pane="bottomLeft" activeCell="A3" sqref="A3"/>
      <selection pane="bottomRight" activeCell="AU195" sqref="AU195:AX229"/>
    </sheetView>
  </sheetViews>
  <sheetFormatPr baseColWidth="10" defaultRowHeight="15" x14ac:dyDescent="0.25"/>
  <cols>
    <col min="2" max="2" width="82.42578125" bestFit="1" customWidth="1"/>
    <col min="4" max="4" width="12.7109375" bestFit="1" customWidth="1"/>
    <col min="8" max="8" width="12.7109375" bestFit="1" customWidth="1"/>
    <col min="12" max="12" width="12.7109375" bestFit="1" customWidth="1"/>
    <col min="13" max="14" width="10.42578125" bestFit="1" customWidth="1"/>
    <col min="16" max="16" width="12.7109375" bestFit="1" customWidth="1"/>
    <col min="17" max="18" width="10.42578125" bestFit="1" customWidth="1"/>
    <col min="20" max="20" width="12.7109375" bestFit="1" customWidth="1"/>
    <col min="24" max="24" width="12.7109375" bestFit="1" customWidth="1"/>
    <col min="25" max="26" width="10.42578125" bestFit="1" customWidth="1"/>
    <col min="28" max="28" width="12.7109375" bestFit="1" customWidth="1"/>
    <col min="29" max="30" width="10.42578125" bestFit="1" customWidth="1"/>
    <col min="32" max="32" width="12.7109375" bestFit="1" customWidth="1"/>
    <col min="33" max="34" width="10.42578125" bestFit="1" customWidth="1"/>
    <col min="36" max="36" width="12.7109375" bestFit="1" customWidth="1"/>
    <col min="37" max="38" width="10.42578125" bestFit="1" customWidth="1"/>
    <col min="40" max="40" width="12.7109375" bestFit="1" customWidth="1"/>
    <col min="41" max="42" width="10.42578125" bestFit="1" customWidth="1"/>
    <col min="44" max="44" width="12.7109375" bestFit="1" customWidth="1"/>
    <col min="45" max="46" width="10.42578125" bestFit="1" customWidth="1"/>
    <col min="48" max="48" width="12.7109375" bestFit="1" customWidth="1"/>
    <col min="49" max="50" width="10.42578125" bestFit="1" customWidth="1"/>
  </cols>
  <sheetData>
    <row r="1" spans="1:50" x14ac:dyDescent="0.25">
      <c r="C1" s="14" t="s">
        <v>236</v>
      </c>
      <c r="D1" s="14"/>
      <c r="E1" s="7">
        <v>45658</v>
      </c>
      <c r="F1" s="7">
        <v>45688</v>
      </c>
      <c r="G1" s="14" t="s">
        <v>237</v>
      </c>
      <c r="H1" s="14"/>
      <c r="I1" s="7">
        <v>45689</v>
      </c>
      <c r="J1" s="7">
        <v>45716</v>
      </c>
      <c r="K1" s="14" t="s">
        <v>238</v>
      </c>
      <c r="L1" s="14"/>
      <c r="M1" s="7">
        <v>45717</v>
      </c>
      <c r="N1" s="7">
        <v>45747</v>
      </c>
      <c r="O1" s="15" t="s">
        <v>239</v>
      </c>
      <c r="P1" s="14"/>
      <c r="Q1" s="7">
        <v>45748</v>
      </c>
      <c r="R1" s="7">
        <v>45777</v>
      </c>
      <c r="S1" s="14" t="s">
        <v>240</v>
      </c>
      <c r="T1" s="14"/>
      <c r="U1" s="7">
        <v>45778</v>
      </c>
      <c r="V1" s="7">
        <v>45808</v>
      </c>
      <c r="W1" s="14" t="s">
        <v>241</v>
      </c>
      <c r="X1" s="14"/>
      <c r="Y1" s="7">
        <v>45809</v>
      </c>
      <c r="Z1" s="7" t="s">
        <v>243</v>
      </c>
      <c r="AA1" s="14" t="s">
        <v>242</v>
      </c>
      <c r="AB1" s="14"/>
      <c r="AC1" s="7">
        <v>45839</v>
      </c>
      <c r="AD1" s="7">
        <v>45869</v>
      </c>
      <c r="AE1" s="14" t="s">
        <v>244</v>
      </c>
      <c r="AF1" s="14"/>
      <c r="AG1" s="7">
        <v>45870</v>
      </c>
      <c r="AH1" s="7">
        <v>45900</v>
      </c>
      <c r="AI1" s="14" t="s">
        <v>245</v>
      </c>
      <c r="AJ1" s="14"/>
      <c r="AK1" s="7">
        <v>45901</v>
      </c>
      <c r="AL1" s="7">
        <v>45930</v>
      </c>
      <c r="AM1" s="14" t="s">
        <v>246</v>
      </c>
      <c r="AN1" s="14"/>
      <c r="AO1" s="7">
        <v>45931</v>
      </c>
      <c r="AP1" s="7">
        <v>45961</v>
      </c>
      <c r="AQ1" s="14" t="s">
        <v>248</v>
      </c>
      <c r="AR1" s="14"/>
      <c r="AS1" s="7">
        <v>45962</v>
      </c>
      <c r="AT1" s="7">
        <v>45991</v>
      </c>
      <c r="AU1" s="14" t="s">
        <v>247</v>
      </c>
      <c r="AV1" s="14"/>
      <c r="AW1" s="7">
        <v>45992</v>
      </c>
      <c r="AX1" s="7">
        <v>46022</v>
      </c>
    </row>
    <row r="2" spans="1:50" x14ac:dyDescent="0.25">
      <c r="C2" s="5" t="s">
        <v>227</v>
      </c>
      <c r="D2" s="5" t="s">
        <v>228</v>
      </c>
      <c r="E2" s="5" t="s">
        <v>230</v>
      </c>
      <c r="F2" s="5" t="s">
        <v>229</v>
      </c>
      <c r="G2" s="5" t="s">
        <v>227</v>
      </c>
      <c r="H2" s="5" t="s">
        <v>228</v>
      </c>
      <c r="I2" s="5" t="s">
        <v>230</v>
      </c>
      <c r="J2" s="5" t="s">
        <v>229</v>
      </c>
      <c r="K2" s="5" t="s">
        <v>227</v>
      </c>
      <c r="L2" s="5" t="s">
        <v>228</v>
      </c>
      <c r="M2" s="5" t="s">
        <v>230</v>
      </c>
      <c r="N2" s="5" t="s">
        <v>229</v>
      </c>
      <c r="O2" s="11" t="s">
        <v>227</v>
      </c>
      <c r="P2" s="5" t="s">
        <v>228</v>
      </c>
      <c r="Q2" s="5" t="s">
        <v>230</v>
      </c>
      <c r="R2" s="5" t="s">
        <v>229</v>
      </c>
      <c r="S2" s="5" t="s">
        <v>227</v>
      </c>
      <c r="T2" s="5" t="s">
        <v>228</v>
      </c>
      <c r="U2" s="5" t="s">
        <v>230</v>
      </c>
      <c r="V2" s="5" t="s">
        <v>229</v>
      </c>
      <c r="W2" s="5" t="s">
        <v>227</v>
      </c>
      <c r="X2" s="5" t="s">
        <v>228</v>
      </c>
      <c r="Y2" s="5" t="s">
        <v>230</v>
      </c>
      <c r="Z2" s="5" t="s">
        <v>229</v>
      </c>
      <c r="AA2" s="5" t="s">
        <v>227</v>
      </c>
      <c r="AB2" s="5" t="s">
        <v>228</v>
      </c>
      <c r="AC2" s="5" t="s">
        <v>230</v>
      </c>
      <c r="AD2" s="5" t="s">
        <v>229</v>
      </c>
      <c r="AE2" s="5" t="s">
        <v>227</v>
      </c>
      <c r="AF2" s="5" t="s">
        <v>228</v>
      </c>
      <c r="AG2" s="5" t="s">
        <v>230</v>
      </c>
      <c r="AH2" s="5" t="s">
        <v>229</v>
      </c>
      <c r="AI2" s="5" t="s">
        <v>227</v>
      </c>
      <c r="AJ2" s="5" t="s">
        <v>228</v>
      </c>
      <c r="AK2" s="5" t="s">
        <v>230</v>
      </c>
      <c r="AL2" s="5" t="s">
        <v>229</v>
      </c>
      <c r="AM2" s="5" t="s">
        <v>227</v>
      </c>
      <c r="AN2" s="5" t="s">
        <v>228</v>
      </c>
      <c r="AO2" s="5" t="s">
        <v>230</v>
      </c>
      <c r="AP2" s="5" t="s">
        <v>229</v>
      </c>
      <c r="AQ2" s="5" t="s">
        <v>227</v>
      </c>
      <c r="AR2" s="5" t="s">
        <v>228</v>
      </c>
      <c r="AS2" s="5" t="s">
        <v>230</v>
      </c>
      <c r="AT2" s="5" t="s">
        <v>229</v>
      </c>
      <c r="AU2" s="5" t="s">
        <v>227</v>
      </c>
      <c r="AV2" s="5" t="s">
        <v>228</v>
      </c>
      <c r="AW2" s="5" t="s">
        <v>230</v>
      </c>
      <c r="AX2" s="5" t="s">
        <v>229</v>
      </c>
    </row>
    <row r="3" spans="1:50" x14ac:dyDescent="0.25">
      <c r="A3" s="5">
        <v>201001</v>
      </c>
      <c r="B3" s="6" t="s">
        <v>0</v>
      </c>
      <c r="C3" s="1" t="e">
        <f>SUMIFS(#REF!,#REF!,
 $A3,#REF!,
 "&gt;="&amp;INT($E$1),#REF!,
 "&lt;"&amp;INT($F$1+1)
)</f>
        <v>#REF!</v>
      </c>
      <c r="D3" s="1" t="str">
        <f>""</f>
        <v/>
      </c>
      <c r="F3" s="2"/>
      <c r="G3" s="1" t="e">
        <f>SUMIFS(#REF!,#REF!,
 $A3,#REF!,
 "&gt;="&amp;INT($I$1),#REF!,
 "&lt;"&amp;INT($J$1+1)
)</f>
        <v>#REF!</v>
      </c>
      <c r="H3" s="1" t="e">
        <f>IF(
    OR(ISBLANK(C3),ISBLANK(G3)),
    "",
    ROUND(AVERAGE(C3,G3),0)
)</f>
        <v>#REF!</v>
      </c>
      <c r="I3" s="1"/>
      <c r="J3" s="2"/>
      <c r="K3" s="1" t="e">
        <f>SUMIFS(#REF!,#REF!,
 $A3,#REF!,
 "&gt;="&amp;INT($M$1),#REF!,
 "&lt;"&amp;INT($N$1+1)
)</f>
        <v>#REF!</v>
      </c>
      <c r="L3" s="1" t="e">
        <f>IF(
    OR(ISBLANK(G3),ISBLANK(K3)),
    "",
    AVERAGE(G3,K3)
)</f>
        <v>#REF!</v>
      </c>
      <c r="M3" s="9" t="e">
        <f>IF(
  OR(ISBLANK(L3),ISBLANK(G3),ISBLANK(K3),ISBLANK(C3)),
  "",
    L3 - 1.96*_xlfn.STDEV.S(
    G3-AVERAGE(C3,G3),
    K3-AVERAGE(G3,K3)
  )
)</f>
        <v>#REF!</v>
      </c>
      <c r="N3" s="10" t="e">
        <f>IF(
  OR(ISBLANK(L3),ISBLANK(G3),ISBLANK(K3),ISBLANK(C3)),
  "",
  L3 + 1.96*_xlfn.STDEV.S(
    G3-AVERAGE(C3,G3),
    K3-AVERAGE(G3,K3)
  )
)</f>
        <v>#REF!</v>
      </c>
      <c r="O3" s="1" t="e">
        <f>SUMIFS(#REF!,#REF!,
 $A3,#REF!,
 "&gt;="&amp;INT($Q$1),#REF!,
 "&lt;="&amp;INT($R$1)
)</f>
        <v>#REF!</v>
      </c>
      <c r="P3" s="1" t="e">
        <f>IF(
    OR(ISBLANK(K3),ISBLANK(O3)),
    "",
    AVERAGE(K3,O3)
)</f>
        <v>#REF!</v>
      </c>
      <c r="Q3" s="9" t="e">
        <f xml:space="preserve"> P3 - 1.96*_xlfn.STDEV.S(
  G3-AVERAGE(C3,G3),
  K3-AVERAGE(G3,K3),
  O3-AVERAGE(K3,O3)
)</f>
        <v>#REF!</v>
      </c>
      <c r="R3" s="10" t="e">
        <f xml:space="preserve"> P3 + 1.96*_xlfn.STDEV.S(
  G3-AVERAGE(C3,G3),
  K3-AVERAGE(G3,K3),
  O3-AVERAGE(K3,O3)
)</f>
        <v>#REF!</v>
      </c>
      <c r="S3" s="1" t="e">
        <f>SUMIFS(#REF!,#REF!,
 $A3,#REF!,
 "&gt;="&amp;INT($U$1),#REF!,
 "&lt;="&amp;INT($V$1)
)</f>
        <v>#REF!</v>
      </c>
      <c r="T3" s="1" t="e">
        <f>IF(
    OR(ISBLANK(O3),ISBLANK(S3)),
    "",
    ROUND(AVERAGE(O3,S3),0)
)</f>
        <v>#REF!</v>
      </c>
      <c r="U3" s="9" t="e">
        <f xml:space="preserve"> T3 - 1.96*_xlfn.STDEV.S(
  G3-AVERAGE(C3,G3),
  K3-AVERAGE(G3,K3),
  O3-AVERAGE(K3,O3),
  S3-AVERAGE(3,S3)
)</f>
        <v>#REF!</v>
      </c>
      <c r="V3" s="10" t="e">
        <f xml:space="preserve"> T3 + 1.96*_xlfn.STDEV.S(
  G3-AVERAGE(C3,G3),
  K3-AVERAGE(G3,K3),
  O3-AVERAGE(K3,O3),
  S3-AVERAGE(3,S3)
)</f>
        <v>#REF!</v>
      </c>
      <c r="W3" s="1" t="e">
        <f>SUMIFS(#REF!,#REF!,
 $A3,#REF!,
 "&gt;="&amp;INT($Y$1),#REF!,
 "&lt;="&amp;INT($Z$1)
)</f>
        <v>#REF!</v>
      </c>
      <c r="X3" s="1" t="e">
        <f>IF(
    OR(ISBLANK(S3),ISBLANK(W3)),
    "",
    ROUND(AVERAGE(S3,W3),0)
)</f>
        <v>#REF!</v>
      </c>
      <c r="Y3" s="9" t="e">
        <f xml:space="preserve"> X3 - 1.96*_xlfn.STDEV.S(
  G3-AVERAGE(C3,G3),
  K3-AVERAGE(G3,K3),
  O3-AVERAGE(K3,O3),
  S3-AVERAGE(O3,S3),
  W3-AVERAGE(S3,W3)
)</f>
        <v>#REF!</v>
      </c>
      <c r="Z3" s="10" t="e">
        <f xml:space="preserve"> X3 + 1.96*_xlfn.STDEV.S(
  G3-AVERAGE(C3,G3),
  K3-AVERAGE(G3,K3),
  O3-AVERAGE(K3,O3),
  S3-AVERAGE(O3,S3),
  W3-AVERAGE(S3,W3)
)</f>
        <v>#REF!</v>
      </c>
      <c r="AA3" s="1" t="e">
        <f>SUMIFS(#REF!,#REF!,
 $A3,#REF!,
 "&gt;="&amp;INT($AC$1),#REF!,
 "&lt;="&amp;INT($AD$1)
)</f>
        <v>#REF!</v>
      </c>
      <c r="AB3" s="1" t="e">
        <f>IF(
    OR(ISBLANK(W3),ISBLANK(AA3)),
    "",
    ROUND(AVERAGE(W3,AA3),0)
)</f>
        <v>#REF!</v>
      </c>
      <c r="AC3" s="9" t="e">
        <f xml:space="preserve"> AB3 - 1.96*_xlfn.STDEV.S(
  G3-AVERAGE(C3,G3),
  K3-AVERAGE(G3,K3),
  O3-AVERAGE(K3,O3),
  S3-AVERAGE(O3,S3),
  W3-AVERAGE(S3,W3),
  AA3-AVERAGE(W3,AA3)
)</f>
        <v>#REF!</v>
      </c>
      <c r="AD3" s="10" t="e">
        <f xml:space="preserve"> AB3 + 1.96*_xlfn.STDEV.S(
  G3-AVERAGE(C3,G3),
  K3-AVERAGE(G3,K3),
  O3-AVERAGE(K3,O3),
  S3-AVERAGE(O3,S3),
  W3-AVERAGE(S3,W3),
  AA3-AVERAGE(W3,AA3)
)</f>
        <v>#REF!</v>
      </c>
      <c r="AE3" s="1" t="e">
        <f>SUMIFS(#REF!,#REF!,
 $A3,#REF!,
 "&gt;="&amp;INT($AG$1),#REF!,
 "&lt;="&amp;INT($AH$1)
)</f>
        <v>#REF!</v>
      </c>
      <c r="AF3" s="1" t="e">
        <f>IF(
    OR(ISBLANK(AA3),ISBLANK(AE3)),
    "",
    ROUND(AVERAGE(AA3,AE3),0)
)</f>
        <v>#REF!</v>
      </c>
      <c r="AG3" s="9" t="e">
        <f xml:space="preserve"> AF3 - 1.96*_xlfn.STDEV.S(
  G3-AVERAGE(C3,G3),
  K3-AVERAGE(G3,K3),
  O3-AVERAGE(K3,O3),
  S3-AVERAGE(O3,S3),
  W3-AVERAGE(S3,W3),
  AA3-AVERAGE(W3,AA3),
  AE3-AVERAGE(AA3,AE3)
)</f>
        <v>#REF!</v>
      </c>
      <c r="AH3" s="10" t="e">
        <f xml:space="preserve"> AF3 + 1.96*_xlfn.STDEV.S(
  G3-AVERAGE(C3,G3),
  K3-AVERAGE(G3,K3),
  O3-AVERAGE(K3,O3),
  S3-AVERAGE(O3,S3),
  W3-AVERAGE(S3,W3),
  AA3-AVERAGE(W3,AA3),
  AE3-AVERAGE(AA3,AE3)
)</f>
        <v>#REF!</v>
      </c>
      <c r="AI3" s="1" t="e">
        <f>SUMIFS(#REF!,#REF!,
 $A3,#REF!,
 "&gt;="&amp;INT($AK$1),#REF!,
 "&lt;="&amp;INT($AL$1)
)</f>
        <v>#REF!</v>
      </c>
      <c r="AJ3" s="1" t="e">
        <f>IF(
    OR(ISBLANK(AE3),ISBLANK(AI3)),
    "",
    ROUND(AVERAGE(AE3,AI3),0)
)</f>
        <v>#REF!</v>
      </c>
      <c r="AK3" s="9" t="e">
        <f xml:space="preserve"> AJ3 - 1.96*_xlfn.STDEV.S(
  G3-AVERAGE(C3,G3),
  K3-AVERAGE(G3,K3),
  O3-AVERAGE(K3,O3),
  S3-AVERAGE(O3,S3),
  W3-AVERAGE(S3,W3),
  AA3-AVERAGE(W3,AA3),
  AE3-AVERAGE(AA3,AE3),
  AI3-AVERAGE(AE3,AI3)
)</f>
        <v>#REF!</v>
      </c>
      <c r="AL3" s="10" t="e">
        <f xml:space="preserve"> AJ3 + 1.96*_xlfn.STDEV.S(
  G3-AVERAGE(C3,G3),
  K3-AVERAGE(G3,K3),
  O3-AVERAGE(K3,O3),
  S3-AVERAGE(O3,S3),
  W3-AVERAGE(S3,W3),
  AA3-AVERAGE(W3,AA3),
  AE3-AVERAGE(AA3,AE3),
  AI3-AVERAGE(AE3,AI3)
)</f>
        <v>#REF!</v>
      </c>
      <c r="AM3" s="1" t="e">
        <f>SUMIFS(#REF!,#REF!,
 $A3,#REF!,
 "&gt;="&amp;INT($AO$1),#REF!,
 "&lt;="&amp;INT($AP$1)
)</f>
        <v>#REF!</v>
      </c>
      <c r="AN3" s="1" t="e">
        <f>IF(
    OR(ISBLANK(AI3),ISBLANK(AM3)),
    "",
    ROUND(AVERAGE(AI3,AM3),0)
)</f>
        <v>#REF!</v>
      </c>
      <c r="AO3" s="9" t="e">
        <f xml:space="preserve"> AN3 - 1.96*_xlfn.STDEV.S(
  G3-AVERAGE(C3,G3),
  K3-AVERAGE(G3,K3),
  O3-AVERAGE(K3,O3),
  S3-AVERAGE(O3,S3),
  W3-AVERAGE(S3,W3),
  AA3-AVERAGE(W3,AA3),
  AE3-AVERAGE(AA3,AE3),
  AI3-AVERAGE(AE3,AI3),
  AN3-AVERAGE(AI3,AN3)
)</f>
        <v>#REF!</v>
      </c>
      <c r="AP3" s="10" t="e">
        <f xml:space="preserve"> AN3 + 1.96*_xlfn.STDEV.S(
  G3-AVERAGE(C3,G3),
  K3-AVERAGE(G3,K3),
  O3-AVERAGE(K3,O3),
  S3-AVERAGE(O3,S3),
  W3-AVERAGE(S3,W3),
  AA3-AVERAGE(W3,AA3),
  AE3-AVERAGE(AA3,AE3),
  AI3-AVERAGE(AE3,AI3),
  AN3-AVERAGE(AI3,AN3)
)</f>
        <v>#REF!</v>
      </c>
      <c r="AQ3" s="1" t="e">
        <f>SUMIFS(#REF!,#REF!,
 $A3,#REF!,
 "&gt;="&amp;INT($AS$1),#REF!,
 "&lt;="&amp;INT($AT$1)
)</f>
        <v>#REF!</v>
      </c>
      <c r="AR3" s="1" t="e">
        <f>IF(
    OR(ISBLANK(AM3),ISBLANK(AQ3)),
    "",
    ROUND(AVERAGE(AM3,AQ3),0)
)</f>
        <v>#REF!</v>
      </c>
      <c r="AS3" s="9" t="e">
        <f xml:space="preserve"> AR3 - 1.96*_xlfn.STDEV.S(
  G3-AVERAGE(C3,G3),
  K3-AVERAGE(G3,K3),
  O3-AVERAGE(K3,O3),
  S3-AVERAGE(O3,S3),
  W3-AVERAGE(S3,W3),
  AA3-AVERAGE(W3,AA3),
  AE3-AVERAGE(AA3,AE3),
  AI3-AVERAGE(AE3,AI3),
  AN3-AVERAGE(AI3,AN3),
  AR3-AVERAGE(AN3,AR3)
)</f>
        <v>#REF!</v>
      </c>
      <c r="AT3" s="10" t="e">
        <f xml:space="preserve"> AR3 + 1.96*_xlfn.STDEV.S(
  G3-AVERAGE(C3,G3),
  K3-AVERAGE(G3,K3),
  O3-AVERAGE(K3,O3),
  S3-AVERAGE(O3,S3),
  W3-AVERAGE(S3,W3),
  AA3-AVERAGE(W3,AA3),
  AE3-AVERAGE(AA3,AE3),
  AI3-AVERAGE(AE3,AI3),
  AN3-AVERAGE(AI3,AN3),
  AR3-AVERAGE(AN3,AR3)
)</f>
        <v>#REF!</v>
      </c>
      <c r="AU3" s="1" t="e">
        <f>SUMIFS(#REF!,#REF!,
 $A3,#REF!,
 "&gt;="&amp;INT($AW$1),#REF!,
 "&lt;="&amp;INT($AX$1)
)</f>
        <v>#REF!</v>
      </c>
      <c r="AV3" s="1" t="e">
        <f>IF(
    OR(ISBLANK(AQ3),ISBLANK(AU3)),
    "",
    ROUND(AVERAGE(AQ3,AU3),0)
)</f>
        <v>#REF!</v>
      </c>
      <c r="AW3" s="9" t="e">
        <f xml:space="preserve"> AV3 - 1.96*_xlfn.STDEV.S(
  G3-AVERAGE(C3,G3),
  K3-AVERAGE(G3,K3),
  O3-AVERAGE(K3,O3),
  S3-AVERAGE(O3,S3),
  W3-AVERAGE(S3,W3),
  AA3-AVERAGE(W3,AA3),
  AE3-AVERAGE(AA3,AE3),
  AI3-AVERAGE(AE3,AI3),
  AN3-AVERAGE(AI3,AN3),
  AR3-AVERAGE(AN3,AR3),
  AV3-AVERAGE(AR3,AV3)
)</f>
        <v>#REF!</v>
      </c>
      <c r="AX3" s="10" t="e">
        <f xml:space="preserve"> AV3 + 1.96*_xlfn.STDEV.S(
  G3-AVERAGE(C3,G3),
  K3-AVERAGE(G3,K3),
  O3-AVERAGE(K3,O3),
  S3-AVERAGE(O3,S3),
  W3-AVERAGE(S3,W3),
  AA3-AVERAGE(W3,AA3),
  AE3-AVERAGE(AA3,AE3),
  AI3-AVERAGE(AE3,AI3),
  AN3-AVERAGE(AI3,AN3),
  AR3-AVERAGE(AN3,AR3),
  AV3-AVERAGE(AR3,AV3)
)</f>
        <v>#REF!</v>
      </c>
    </row>
    <row r="4" spans="1:50" x14ac:dyDescent="0.25">
      <c r="A4" s="5">
        <v>201021</v>
      </c>
      <c r="B4" s="6" t="s">
        <v>1</v>
      </c>
      <c r="C4" s="1" t="e">
        <f>SUMIFS(#REF!,#REF!,
 $A4,#REF!,
 "&gt;="&amp;INT($E$1),#REF!,
 "&lt;"&amp;INT($F$1+1)
)</f>
        <v>#REF!</v>
      </c>
      <c r="D4" s="1" t="str">
        <f>""</f>
        <v/>
      </c>
      <c r="F4" s="2"/>
      <c r="G4" s="1" t="e">
        <f>SUMIFS(#REF!,#REF!,
 $A4,#REF!,
 "&gt;="&amp;INT($I$1),#REF!,
 "&lt;"&amp;INT($J$1+1)
)</f>
        <v>#REF!</v>
      </c>
      <c r="H4" s="1" t="e">
        <f t="shared" ref="H4:H67" si="0">IF(OR(ISBLANK(C4),ISBLANK(G4)),"",AVERAGE(C4,G4))</f>
        <v>#REF!</v>
      </c>
      <c r="I4" s="1"/>
      <c r="J4" s="2"/>
      <c r="K4" s="1" t="e">
        <f>SUMIFS(#REF!,#REF!,
 $A4,#REF!,
 "&gt;="&amp;INT($M$1),#REF!,
 "&lt;"&amp;INT($N$1+1)
)</f>
        <v>#REF!</v>
      </c>
      <c r="L4" s="1" t="e">
        <f t="shared" ref="L4:L67" si="1">IF(
    OR(ISBLANK(G4),ISBLANK(K4)),
    "",
    AVERAGE(G4,K4)
)</f>
        <v>#REF!</v>
      </c>
      <c r="M4" s="9" t="e">
        <f t="shared" ref="M4:M67" si="2">IF(
  OR(ISBLANK(L4),ISBLANK(G4),ISBLANK(K4),ISBLANK(C4)),
  "",
  L4 - 1.96*_xlfn.STDEV.S(
    G4-AVERAGE(C4,G4),
    K4-AVERAGE(G4,K4)
  )
)</f>
        <v>#REF!</v>
      </c>
      <c r="N4" s="10" t="e">
        <f t="shared" ref="N4:N67" si="3">IF(
  OR(ISBLANK(L4),ISBLANK(G4),ISBLANK(K4),ISBLANK(C4)),
  "",
  L4 + 1.96*_xlfn.STDEV.S(
    G4-AVERAGE(C4,G4),
    K4-AVERAGE(G4,K4)
  )
)</f>
        <v>#REF!</v>
      </c>
      <c r="O4" s="1" t="e">
        <f>SUMIFS(#REF!,#REF!,
 $A4,#REF!,
 "&gt;="&amp;INT($Q$1),#REF!,
 "&lt;="&amp;INT($R$1)
)</f>
        <v>#REF!</v>
      </c>
      <c r="P4" s="1" t="e">
        <f t="shared" ref="P4:P67" si="4">IF(
    OR(ISBLANK(K4),ISBLANK(O4)),
    "",
    AVERAGE(K4,O4)
)</f>
        <v>#REF!</v>
      </c>
      <c r="Q4" s="9" t="e">
        <f t="shared" ref="Q4:Q67" si="5" xml:space="preserve"> P4 - 1.96*_xlfn.STDEV.S(
  G4-AVERAGE(C4,G4),
  K4-AVERAGE(G4,K4),
  O4-AVERAGE(K4,O4)
)</f>
        <v>#REF!</v>
      </c>
      <c r="R4" s="10" t="e">
        <f t="shared" ref="R4:R67" si="6" xml:space="preserve"> P4 + 1.96*_xlfn.STDEV.S(
  G4-AVERAGE(C4,G4),
  K4-AVERAGE(G4,K4),
  O4-AVERAGE(K4,O4)
)</f>
        <v>#REF!</v>
      </c>
      <c r="S4" s="1" t="e">
        <f>SUMIFS(#REF!,#REF!,
 $A4,#REF!,
 "&gt;="&amp;INT($U$1),#REF!,
 "&lt;="&amp;INT($V$1)
)</f>
        <v>#REF!</v>
      </c>
      <c r="T4" s="1" t="e">
        <f t="shared" ref="T4:T67" si="7">IF(
    OR(ISBLANK(O4),ISBLANK(S4)),
    "",
    ROUND(AVERAGE(O4,S4),0)
)</f>
        <v>#REF!</v>
      </c>
      <c r="U4" s="9" t="e">
        <f t="shared" ref="U4:U67" si="8" xml:space="preserve"> T4 - 1.96*_xlfn.STDEV.S(
  G4-AVERAGE(C4,G4),
  K4-AVERAGE(G4,K4),
  O4-AVERAGE(K4,O4),
  S4-AVERAGE(3,S4)
)</f>
        <v>#REF!</v>
      </c>
      <c r="V4" s="10" t="e">
        <f t="shared" ref="V4:V67" si="9" xml:space="preserve"> T4 + 1.96*_xlfn.STDEV.S(
  G4-AVERAGE(C4,G4),
  K4-AVERAGE(G4,K4),
  O4-AVERAGE(K4,O4),
  S4-AVERAGE(3,S4)
)</f>
        <v>#REF!</v>
      </c>
      <c r="W4" s="1" t="e">
        <f>SUMIFS(#REF!,#REF!,
 $A4,#REF!,
 "&gt;="&amp;INT($Y$1),#REF!,
 "&lt;="&amp;INT($Z$1)
)</f>
        <v>#REF!</v>
      </c>
      <c r="X4" s="1" t="e">
        <f t="shared" ref="X4:X67" si="10">IF(
    OR(ISBLANK(S4),ISBLANK(W4)),
    "",
    ROUND(AVERAGE(S4,W4),0)
)</f>
        <v>#REF!</v>
      </c>
      <c r="Y4" s="9" t="e">
        <f t="shared" ref="Y4:Y67" si="11" xml:space="preserve"> X4 - 1.96*_xlfn.STDEV.S(
  G4-AVERAGE(C4,G4),
  K4-AVERAGE(G4,K4),
  O4-AVERAGE(K4,O4),
  S4-AVERAGE(O4,S4),
  W4-AVERAGE(S4,W4)
)</f>
        <v>#REF!</v>
      </c>
      <c r="Z4" s="10" t="e">
        <f t="shared" ref="Z4:Z67" si="12" xml:space="preserve"> X4 + 1.96*_xlfn.STDEV.S(
  G4-AVERAGE(C4,G4),
  K4-AVERAGE(G4,K4),
  O4-AVERAGE(K4,O4),
  S4-AVERAGE(O4,S4),
  W4-AVERAGE(S4,W4)
)</f>
        <v>#REF!</v>
      </c>
      <c r="AA4" s="1" t="e">
        <f>SUMIFS(#REF!,#REF!,
 $A4,#REF!,
 "&gt;="&amp;INT($AC$1),#REF!,
 "&lt;="&amp;INT($AD$1)
)</f>
        <v>#REF!</v>
      </c>
      <c r="AB4" s="1" t="e">
        <f t="shared" ref="AB4:AB67" si="13">IF(
    OR(ISBLANK(W4),ISBLANK(AA4)),
    "",
    ROUND(AVERAGE(W4,AA4),0)
)</f>
        <v>#REF!</v>
      </c>
      <c r="AC4" s="9" t="e">
        <f t="shared" ref="AC4:AC67" si="14" xml:space="preserve"> AB4 - 1.96*_xlfn.STDEV.S(
  G4-AVERAGE(C4,G4),
  K4-AVERAGE(G4,K4),
  O4-AVERAGE(K4,O4),
  S4-AVERAGE(O4,S4),
  W4-AVERAGE(S4,W4),
  AA4-AVERAGE(W4,AA4)
)</f>
        <v>#REF!</v>
      </c>
      <c r="AD4" s="10" t="e">
        <f t="shared" ref="AD4:AD67" si="15" xml:space="preserve"> AB4 + 1.96*_xlfn.STDEV.S(
  G4-AVERAGE(C4,G4),
  K4-AVERAGE(G4,K4),
  O4-AVERAGE(K4,O4),
  S4-AVERAGE(O4,S4),
  W4-AVERAGE(S4,W4),
  AA4-AVERAGE(W4,AA4)
)</f>
        <v>#REF!</v>
      </c>
      <c r="AE4" s="1" t="e">
        <f>SUMIFS(#REF!,#REF!,
 $A4,#REF!,
 "&gt;="&amp;INT($AG$1),#REF!,
 "&lt;="&amp;INT($AH$1)
)</f>
        <v>#REF!</v>
      </c>
      <c r="AF4" s="1" t="e">
        <f t="shared" ref="AF4:AF67" si="16">IF(
    OR(ISBLANK(AA4),ISBLANK(AE4)),
    "",
    ROUND(AVERAGE(AA4,AE4),0)
)</f>
        <v>#REF!</v>
      </c>
      <c r="AG4" s="9" t="e">
        <f t="shared" ref="AG4:AG67" si="17" xml:space="preserve"> AF4 - 1.96*_xlfn.STDEV.S(
  G4-AVERAGE(C4,G4),
  K4-AVERAGE(G4,K4),
  O4-AVERAGE(K4,O4),
  S4-AVERAGE(O4,S4),
  W4-AVERAGE(S4,W4),
  AA4-AVERAGE(W4,AA4),
  AE4-AVERAGE(AA4,AE4)
)</f>
        <v>#REF!</v>
      </c>
      <c r="AH4" s="10" t="e">
        <f t="shared" ref="AH4:AH67" si="18" xml:space="preserve"> AF4 + 1.96*_xlfn.STDEV.S(
  G4-AVERAGE(C4,G4),
  K4-AVERAGE(G4,K4),
  O4-AVERAGE(K4,O4),
  S4-AVERAGE(O4,S4),
  W4-AVERAGE(S4,W4),
  AA4-AVERAGE(W4,AA4),
  AE4-AVERAGE(AA4,AE4)
)</f>
        <v>#REF!</v>
      </c>
      <c r="AI4" s="1" t="e">
        <f>SUMIFS(#REF!,#REF!,
 $A4,#REF!,
 "&gt;="&amp;INT($AK$1),#REF!,
 "&lt;="&amp;INT($AL$1)
)</f>
        <v>#REF!</v>
      </c>
      <c r="AJ4" s="1" t="e">
        <f t="shared" ref="AJ4:AJ67" si="19">IF(
    OR(ISBLANK(AE4),ISBLANK(AI4)),
    "",
    ROUND(AVERAGE(AE4,AI4),0)
)</f>
        <v>#REF!</v>
      </c>
      <c r="AK4" s="9" t="e">
        <f t="shared" ref="AK4:AK67" si="20" xml:space="preserve"> AJ4 - 1.96*_xlfn.STDEV.S(
  G4-AVERAGE(C4,G4),
  K4-AVERAGE(G4,K4),
  O4-AVERAGE(K4,O4),
  S4-AVERAGE(O4,S4),
  W4-AVERAGE(S4,W4),
  AA4-AVERAGE(W4,AA4),
  AE4-AVERAGE(AA4,AE4),
  AI4-AVERAGE(AE4,AI4)
)</f>
        <v>#REF!</v>
      </c>
      <c r="AL4" s="10" t="e">
        <f t="shared" ref="AL4:AL67" si="21" xml:space="preserve"> AJ4 + 1.96*_xlfn.STDEV.S(
  G4-AVERAGE(C4,G4),
  K4-AVERAGE(G4,K4),
  O4-AVERAGE(K4,O4),
  S4-AVERAGE(O4,S4),
  W4-AVERAGE(S4,W4),
  AA4-AVERAGE(W4,AA4),
  AE4-AVERAGE(AA4,AE4),
  AI4-AVERAGE(AE4,AI4)
)</f>
        <v>#REF!</v>
      </c>
      <c r="AM4" s="1" t="e">
        <f>SUMIFS(#REF!,#REF!,
 $A4,#REF!,
 "&gt;="&amp;INT($AO$1),#REF!,
 "&lt;="&amp;INT($AP$1)
)</f>
        <v>#REF!</v>
      </c>
      <c r="AN4" s="1" t="e">
        <f t="shared" ref="AN4:AN67" si="22">IF(
    OR(ISBLANK(AI4),ISBLANK(AM4)),
    "",
    ROUND(AVERAGE(AI4,AM4),0)
)</f>
        <v>#REF!</v>
      </c>
      <c r="AO4" s="9" t="e">
        <f t="shared" ref="AO4:AO67" si="23" xml:space="preserve"> AN4 - 1.96*_xlfn.STDEV.S(
  G4-AVERAGE(C4,G4),
  K4-AVERAGE(G4,K4),
  O4-AVERAGE(K4,O4),
  S4-AVERAGE(O4,S4),
  W4-AVERAGE(S4,W4),
  AA4-AVERAGE(W4,AA4),
  AE4-AVERAGE(AA4,AE4),
  AI4-AVERAGE(AE4,AI4),
  AN4-AVERAGE(AI4,AN4)
)</f>
        <v>#REF!</v>
      </c>
      <c r="AP4" s="10" t="e">
        <f t="shared" ref="AP4:AP67" si="24" xml:space="preserve"> AN4 + 1.96*_xlfn.STDEV.S(
  G4-AVERAGE(C4,G4),
  K4-AVERAGE(G4,K4),
  O4-AVERAGE(K4,O4),
  S4-AVERAGE(O4,S4),
  W4-AVERAGE(S4,W4),
  AA4-AVERAGE(W4,AA4),
  AE4-AVERAGE(AA4,AE4),
  AI4-AVERAGE(AE4,AI4),
  AN4-AVERAGE(AI4,AN4)
)</f>
        <v>#REF!</v>
      </c>
      <c r="AQ4" s="1" t="e">
        <f>SUMIFS(#REF!,#REF!,
 $A4,#REF!,
 "&gt;="&amp;INT($AS$1),#REF!,
 "&lt;="&amp;INT($AT$1)
)</f>
        <v>#REF!</v>
      </c>
      <c r="AR4" s="1" t="e">
        <f t="shared" ref="AR4:AR67" si="25">IF(
    OR(ISBLANK(AM4),ISBLANK(AQ4)),
    "",
    ROUND(AVERAGE(AM4,AQ4),0)
)</f>
        <v>#REF!</v>
      </c>
      <c r="AS4" s="9" t="e">
        <f t="shared" ref="AS4:AS67" si="26" xml:space="preserve"> AR4 - 1.96*_xlfn.STDEV.S(
  G4-AVERAGE(C4,G4),
  K4-AVERAGE(G4,K4),
  O4-AVERAGE(K4,O4),
  S4-AVERAGE(O4,S4),
  W4-AVERAGE(S4,W4),
  AA4-AVERAGE(W4,AA4),
  AE4-AVERAGE(AA4,AE4),
  AI4-AVERAGE(AE4,AI4),
  AN4-AVERAGE(AI4,AN4),
  AR4-AVERAGE(AN4,AR4)
)</f>
        <v>#REF!</v>
      </c>
      <c r="AT4" s="10" t="e">
        <f t="shared" ref="AT4:AT67" si="27" xml:space="preserve"> AR4 + 1.96*_xlfn.STDEV.S(
  G4-AVERAGE(C4,G4),
  K4-AVERAGE(G4,K4),
  O4-AVERAGE(K4,O4),
  S4-AVERAGE(O4,S4),
  W4-AVERAGE(S4,W4),
  AA4-AVERAGE(W4,AA4),
  AE4-AVERAGE(AA4,AE4),
  AI4-AVERAGE(AE4,AI4),
  AN4-AVERAGE(AI4,AN4),
  AR4-AVERAGE(AN4,AR4)
)</f>
        <v>#REF!</v>
      </c>
      <c r="AU4" s="1" t="e">
        <f>SUMIFS(#REF!,#REF!,
 $A4,#REF!,
 "&gt;="&amp;INT($AW$1),#REF!,
 "&lt;="&amp;INT($AX$1)
)</f>
        <v>#REF!</v>
      </c>
      <c r="AV4" s="1" t="e">
        <f t="shared" ref="AV4:AV67" si="28">IF(
    OR(ISBLANK(AQ4),ISBLANK(AU4)),
    "",
    ROUND(AVERAGE(AQ4,AU4),0)
)</f>
        <v>#REF!</v>
      </c>
      <c r="AW4" s="9" t="e">
        <f t="shared" ref="AW4:AW67" si="29" xml:space="preserve"> AV4 - 1.96*_xlfn.STDEV.S(
  G4-AVERAGE(C4,G4),
  K4-AVERAGE(G4,K4),
  O4-AVERAGE(K4,O4),
  S4-AVERAGE(O4,S4),
  W4-AVERAGE(S4,W4),
  AA4-AVERAGE(W4,AA4),
  AE4-AVERAGE(AA4,AE4),
  AI4-AVERAGE(AE4,AI4),
  AN4-AVERAGE(AI4,AN4),
  AR4-AVERAGE(AN4,AR4),
  AV4-AVERAGE(AR4,AV4)
)</f>
        <v>#REF!</v>
      </c>
      <c r="AX4" s="10" t="e">
        <f t="shared" ref="AX4:AX67" si="30" xml:space="preserve"> AV4 + 1.96*_xlfn.STDEV.S(
  G4-AVERAGE(C4,G4),
  K4-AVERAGE(G4,K4),
  O4-AVERAGE(K4,O4),
  S4-AVERAGE(O4,S4),
  W4-AVERAGE(S4,W4),
  AA4-AVERAGE(W4,AA4),
  AE4-AVERAGE(AA4,AE4),
  AI4-AVERAGE(AE4,AI4),
  AN4-AVERAGE(AI4,AN4),
  AR4-AVERAGE(AN4,AR4),
  AV4-AVERAGE(AR4,AV4)
)</f>
        <v>#REF!</v>
      </c>
    </row>
    <row r="5" spans="1:50" x14ac:dyDescent="0.25">
      <c r="A5" s="5">
        <v>201022</v>
      </c>
      <c r="B5" s="6" t="s">
        <v>2</v>
      </c>
      <c r="C5" s="1" t="e">
        <f>SUMIFS(#REF!,#REF!,
 $A5,#REF!,
 "&gt;="&amp;INT($E$1),#REF!,
 "&lt;"&amp;INT($F$1+1)
)</f>
        <v>#REF!</v>
      </c>
      <c r="D5" s="1" t="str">
        <f>""</f>
        <v/>
      </c>
      <c r="F5" s="2"/>
      <c r="G5" s="1" t="e">
        <f>SUMIFS(#REF!,#REF!,
 $A5,#REF!,
 "&gt;="&amp;INT($I$1),#REF!,
 "&lt;"&amp;INT($J$1+1)
)</f>
        <v>#REF!</v>
      </c>
      <c r="H5" s="1" t="e">
        <f t="shared" si="0"/>
        <v>#REF!</v>
      </c>
      <c r="I5" s="1"/>
      <c r="J5" s="2"/>
      <c r="K5" s="1" t="e">
        <f>SUMIFS(#REF!,#REF!,
 $A5,#REF!,
 "&gt;="&amp;INT($M$1),#REF!,
 "&lt;"&amp;INT($N$1+1)
)</f>
        <v>#REF!</v>
      </c>
      <c r="L5" s="1" t="e">
        <f t="shared" si="1"/>
        <v>#REF!</v>
      </c>
      <c r="M5" s="9" t="e">
        <f t="shared" si="2"/>
        <v>#REF!</v>
      </c>
      <c r="N5" s="10" t="e">
        <f t="shared" si="3"/>
        <v>#REF!</v>
      </c>
      <c r="O5" s="1" t="e">
        <f>SUMIFS(#REF!,#REF!,
 $A5,#REF!,
 "&gt;="&amp;INT($Q$1),#REF!,
 "&lt;="&amp;INT($R$1)
)</f>
        <v>#REF!</v>
      </c>
      <c r="P5" s="1" t="e">
        <f t="shared" si="4"/>
        <v>#REF!</v>
      </c>
      <c r="Q5" s="9" t="e">
        <f t="shared" si="5"/>
        <v>#REF!</v>
      </c>
      <c r="R5" s="10" t="e">
        <f t="shared" si="6"/>
        <v>#REF!</v>
      </c>
      <c r="S5" s="1" t="e">
        <f>SUMIFS(#REF!,#REF!,
 $A5,#REF!,
 "&gt;="&amp;INT($U$1),#REF!,
 "&lt;="&amp;INT($V$1)
)</f>
        <v>#REF!</v>
      </c>
      <c r="T5" s="1" t="e">
        <f t="shared" si="7"/>
        <v>#REF!</v>
      </c>
      <c r="U5" s="9" t="e">
        <f t="shared" si="8"/>
        <v>#REF!</v>
      </c>
      <c r="V5" s="10" t="e">
        <f t="shared" si="9"/>
        <v>#REF!</v>
      </c>
      <c r="W5" s="1" t="e">
        <f>SUMIFS(#REF!,#REF!,
 $A5,#REF!,
 "&gt;="&amp;INT($Y$1),#REF!,
 "&lt;="&amp;INT($Z$1)
)</f>
        <v>#REF!</v>
      </c>
      <c r="X5" s="1" t="e">
        <f t="shared" si="10"/>
        <v>#REF!</v>
      </c>
      <c r="Y5" s="9" t="e">
        <f t="shared" si="11"/>
        <v>#REF!</v>
      </c>
      <c r="Z5" s="10" t="e">
        <f t="shared" si="12"/>
        <v>#REF!</v>
      </c>
      <c r="AA5" s="1" t="e">
        <f>SUMIFS(#REF!,#REF!,
 $A5,#REF!,
 "&gt;="&amp;INT($AC$1),#REF!,
 "&lt;="&amp;INT($AD$1)
)</f>
        <v>#REF!</v>
      </c>
      <c r="AB5" s="1" t="e">
        <f t="shared" si="13"/>
        <v>#REF!</v>
      </c>
      <c r="AC5" s="9" t="e">
        <f t="shared" si="14"/>
        <v>#REF!</v>
      </c>
      <c r="AD5" s="10" t="e">
        <f t="shared" si="15"/>
        <v>#REF!</v>
      </c>
      <c r="AE5" s="1" t="e">
        <f>SUMIFS(#REF!,#REF!,
 $A5,#REF!,
 "&gt;="&amp;INT($AG$1),#REF!,
 "&lt;="&amp;INT($AH$1)
)</f>
        <v>#REF!</v>
      </c>
      <c r="AF5" s="1" t="e">
        <f t="shared" si="16"/>
        <v>#REF!</v>
      </c>
      <c r="AG5" s="9" t="e">
        <f t="shared" si="17"/>
        <v>#REF!</v>
      </c>
      <c r="AH5" s="10" t="e">
        <f t="shared" si="18"/>
        <v>#REF!</v>
      </c>
      <c r="AI5" s="1" t="e">
        <f>SUMIFS(#REF!,#REF!,
 $A5,#REF!,
 "&gt;="&amp;INT($AK$1),#REF!,
 "&lt;="&amp;INT($AL$1)
)</f>
        <v>#REF!</v>
      </c>
      <c r="AJ5" s="1" t="e">
        <f t="shared" si="19"/>
        <v>#REF!</v>
      </c>
      <c r="AK5" s="9" t="e">
        <f t="shared" si="20"/>
        <v>#REF!</v>
      </c>
      <c r="AL5" s="10" t="e">
        <f t="shared" si="21"/>
        <v>#REF!</v>
      </c>
      <c r="AM5" s="1" t="e">
        <f>SUMIFS(#REF!,#REF!,
 $A5,#REF!,
 "&gt;="&amp;INT($AO$1),#REF!,
 "&lt;="&amp;INT($AP$1)
)</f>
        <v>#REF!</v>
      </c>
      <c r="AN5" s="1" t="e">
        <f t="shared" si="22"/>
        <v>#REF!</v>
      </c>
      <c r="AO5" s="9" t="e">
        <f t="shared" si="23"/>
        <v>#REF!</v>
      </c>
      <c r="AP5" s="10" t="e">
        <f t="shared" si="24"/>
        <v>#REF!</v>
      </c>
      <c r="AQ5" s="1" t="e">
        <f>SUMIFS(#REF!,#REF!,
 $A5,#REF!,
 "&gt;="&amp;INT($AS$1),#REF!,
 "&lt;="&amp;INT($AT$1)
)</f>
        <v>#REF!</v>
      </c>
      <c r="AR5" s="1" t="e">
        <f t="shared" si="25"/>
        <v>#REF!</v>
      </c>
      <c r="AS5" s="9" t="e">
        <f t="shared" si="26"/>
        <v>#REF!</v>
      </c>
      <c r="AT5" s="10" t="e">
        <f t="shared" si="27"/>
        <v>#REF!</v>
      </c>
      <c r="AU5" s="1" t="e">
        <f>SUMIFS(#REF!,#REF!,
 $A5,#REF!,
 "&gt;="&amp;INT($AW$1),#REF!,
 "&lt;="&amp;INT($AX$1)
)</f>
        <v>#REF!</v>
      </c>
      <c r="AV5" s="1" t="e">
        <f t="shared" si="28"/>
        <v>#REF!</v>
      </c>
      <c r="AW5" s="9" t="e">
        <f t="shared" si="29"/>
        <v>#REF!</v>
      </c>
      <c r="AX5" s="10" t="e">
        <f t="shared" si="30"/>
        <v>#REF!</v>
      </c>
    </row>
    <row r="6" spans="1:50" x14ac:dyDescent="0.25">
      <c r="A6" s="5">
        <v>201024</v>
      </c>
      <c r="B6" s="6" t="s">
        <v>3</v>
      </c>
      <c r="C6" s="1" t="e">
        <f>SUMIFS(#REF!,#REF!,
 $A6,#REF!,
 "&gt;="&amp;INT($E$1),#REF!,
 "&lt;"&amp;INT($F$1+1)
)</f>
        <v>#REF!</v>
      </c>
      <c r="D6" s="1" t="str">
        <f>""</f>
        <v/>
      </c>
      <c r="F6" s="2"/>
      <c r="G6" s="1" t="e">
        <f>SUMIFS(#REF!,#REF!,
 $A6,#REF!,
 "&gt;="&amp;INT($I$1),#REF!,
 "&lt;"&amp;INT($J$1+1)
)</f>
        <v>#REF!</v>
      </c>
      <c r="H6" s="1" t="e">
        <f t="shared" si="0"/>
        <v>#REF!</v>
      </c>
      <c r="I6" s="1"/>
      <c r="J6" s="2"/>
      <c r="K6" s="1" t="e">
        <f>SUMIFS(#REF!,#REF!,
 $A6,#REF!,
 "&gt;="&amp;INT($M$1),#REF!,
 "&lt;"&amp;INT($N$1+1)
)</f>
        <v>#REF!</v>
      </c>
      <c r="L6" s="1" t="e">
        <f t="shared" si="1"/>
        <v>#REF!</v>
      </c>
      <c r="M6" s="9" t="e">
        <f t="shared" si="2"/>
        <v>#REF!</v>
      </c>
      <c r="N6" s="10" t="e">
        <f t="shared" si="3"/>
        <v>#REF!</v>
      </c>
      <c r="O6" s="1" t="e">
        <f>SUMIFS(#REF!,#REF!,
 $A6,#REF!,
 "&gt;="&amp;INT($Q$1),#REF!,
 "&lt;="&amp;INT($R$1)
)</f>
        <v>#REF!</v>
      </c>
      <c r="P6" s="1" t="e">
        <f t="shared" si="4"/>
        <v>#REF!</v>
      </c>
      <c r="Q6" s="9" t="e">
        <f t="shared" si="5"/>
        <v>#REF!</v>
      </c>
      <c r="R6" s="10" t="e">
        <f t="shared" si="6"/>
        <v>#REF!</v>
      </c>
      <c r="S6" s="1" t="e">
        <f>SUMIFS(#REF!,#REF!,
 $A6,#REF!,
 "&gt;="&amp;INT($U$1),#REF!,
 "&lt;="&amp;INT($V$1)
)</f>
        <v>#REF!</v>
      </c>
      <c r="T6" s="1" t="e">
        <f t="shared" si="7"/>
        <v>#REF!</v>
      </c>
      <c r="U6" s="9" t="e">
        <f t="shared" si="8"/>
        <v>#REF!</v>
      </c>
      <c r="V6" s="10" t="e">
        <f t="shared" si="9"/>
        <v>#REF!</v>
      </c>
      <c r="W6" s="1" t="e">
        <f>SUMIFS(#REF!,#REF!,
 $A6,#REF!,
 "&gt;="&amp;INT($Y$1),#REF!,
 "&lt;="&amp;INT($Z$1)
)</f>
        <v>#REF!</v>
      </c>
      <c r="X6" s="1" t="e">
        <f t="shared" si="10"/>
        <v>#REF!</v>
      </c>
      <c r="Y6" s="9" t="e">
        <f t="shared" si="11"/>
        <v>#REF!</v>
      </c>
      <c r="Z6" s="10" t="e">
        <f t="shared" si="12"/>
        <v>#REF!</v>
      </c>
      <c r="AA6" s="1" t="e">
        <f>SUMIFS(#REF!,#REF!,
 $A6,#REF!,
 "&gt;="&amp;INT($AC$1),#REF!,
 "&lt;="&amp;INT($AD$1)
)</f>
        <v>#REF!</v>
      </c>
      <c r="AB6" s="1" t="e">
        <f t="shared" si="13"/>
        <v>#REF!</v>
      </c>
      <c r="AC6" s="9" t="e">
        <f t="shared" si="14"/>
        <v>#REF!</v>
      </c>
      <c r="AD6" s="10" t="e">
        <f t="shared" si="15"/>
        <v>#REF!</v>
      </c>
      <c r="AE6" s="1" t="e">
        <f>SUMIFS(#REF!,#REF!,
 $A6,#REF!,
 "&gt;="&amp;INT($AG$1),#REF!,
 "&lt;="&amp;INT($AH$1)
)</f>
        <v>#REF!</v>
      </c>
      <c r="AF6" s="1" t="e">
        <f t="shared" si="16"/>
        <v>#REF!</v>
      </c>
      <c r="AG6" s="9" t="e">
        <f t="shared" si="17"/>
        <v>#REF!</v>
      </c>
      <c r="AH6" s="10" t="e">
        <f t="shared" si="18"/>
        <v>#REF!</v>
      </c>
      <c r="AI6" s="1" t="e">
        <f>SUMIFS(#REF!,#REF!,
 $A6,#REF!,
 "&gt;="&amp;INT($AK$1),#REF!,
 "&lt;="&amp;INT($AL$1)
)</f>
        <v>#REF!</v>
      </c>
      <c r="AJ6" s="1" t="e">
        <f t="shared" si="19"/>
        <v>#REF!</v>
      </c>
      <c r="AK6" s="9" t="e">
        <f t="shared" si="20"/>
        <v>#REF!</v>
      </c>
      <c r="AL6" s="10" t="e">
        <f t="shared" si="21"/>
        <v>#REF!</v>
      </c>
      <c r="AM6" s="1" t="e">
        <f>SUMIFS(#REF!,#REF!,
 $A6,#REF!,
 "&gt;="&amp;INT($AO$1),#REF!,
 "&lt;="&amp;INT($AP$1)
)</f>
        <v>#REF!</v>
      </c>
      <c r="AN6" s="1" t="e">
        <f t="shared" si="22"/>
        <v>#REF!</v>
      </c>
      <c r="AO6" s="9" t="e">
        <f t="shared" si="23"/>
        <v>#REF!</v>
      </c>
      <c r="AP6" s="10" t="e">
        <f t="shared" si="24"/>
        <v>#REF!</v>
      </c>
      <c r="AQ6" s="1" t="e">
        <f>SUMIFS(#REF!,#REF!,
 $A6,#REF!,
 "&gt;="&amp;INT($AS$1),#REF!,
 "&lt;="&amp;INT($AT$1)
)</f>
        <v>#REF!</v>
      </c>
      <c r="AR6" s="1" t="e">
        <f t="shared" si="25"/>
        <v>#REF!</v>
      </c>
      <c r="AS6" s="9" t="e">
        <f t="shared" si="26"/>
        <v>#REF!</v>
      </c>
      <c r="AT6" s="10" t="e">
        <f t="shared" si="27"/>
        <v>#REF!</v>
      </c>
      <c r="AU6" s="1" t="e">
        <f>SUMIFS(#REF!,#REF!,
 $A6,#REF!,
 "&gt;="&amp;INT($AW$1),#REF!,
 "&lt;="&amp;INT($AX$1)
)</f>
        <v>#REF!</v>
      </c>
      <c r="AV6" s="1" t="e">
        <f t="shared" si="28"/>
        <v>#REF!</v>
      </c>
      <c r="AW6" s="9" t="e">
        <f t="shared" si="29"/>
        <v>#REF!</v>
      </c>
      <c r="AX6" s="10" t="e">
        <f t="shared" si="30"/>
        <v>#REF!</v>
      </c>
    </row>
    <row r="7" spans="1:50" x14ac:dyDescent="0.25">
      <c r="A7" s="5">
        <v>207017</v>
      </c>
      <c r="B7" s="6" t="s">
        <v>4</v>
      </c>
      <c r="C7" s="1" t="e">
        <f>SUMIFS(#REF!,#REF!,
 $A7,#REF!,
 "&gt;="&amp;INT($E$1),#REF!,
 "&lt;"&amp;INT($F$1+1)
)</f>
        <v>#REF!</v>
      </c>
      <c r="D7" s="1" t="str">
        <f>""</f>
        <v/>
      </c>
      <c r="F7" s="2"/>
      <c r="G7" s="1" t="e">
        <f>SUMIFS(#REF!,#REF!,
 $A7,#REF!,
 "&gt;="&amp;INT($I$1),#REF!,
 "&lt;"&amp;INT($J$1+1)
)</f>
        <v>#REF!</v>
      </c>
      <c r="H7" s="1" t="e">
        <f t="shared" si="0"/>
        <v>#REF!</v>
      </c>
      <c r="I7" s="1"/>
      <c r="J7" s="2"/>
      <c r="K7" s="1" t="e">
        <f>SUMIFS(#REF!,#REF!,
 $A7,#REF!,
 "&gt;="&amp;INT($M$1),#REF!,
 "&lt;"&amp;INT($N$1+1)
)</f>
        <v>#REF!</v>
      </c>
      <c r="L7" s="1" t="e">
        <f t="shared" si="1"/>
        <v>#REF!</v>
      </c>
      <c r="M7" s="9" t="e">
        <f t="shared" si="2"/>
        <v>#REF!</v>
      </c>
      <c r="N7" s="10" t="e">
        <f t="shared" si="3"/>
        <v>#REF!</v>
      </c>
      <c r="O7" s="1" t="e">
        <f>SUMIFS(#REF!,#REF!,
 $A7,#REF!,
 "&gt;="&amp;INT($Q$1),#REF!,
 "&lt;="&amp;INT($R$1)
)</f>
        <v>#REF!</v>
      </c>
      <c r="P7" s="1" t="e">
        <f t="shared" si="4"/>
        <v>#REF!</v>
      </c>
      <c r="Q7" s="9" t="e">
        <f t="shared" si="5"/>
        <v>#REF!</v>
      </c>
      <c r="R7" s="10" t="e">
        <f t="shared" si="6"/>
        <v>#REF!</v>
      </c>
      <c r="S7" s="1" t="e">
        <f>SUMIFS(#REF!,#REF!,
 $A7,#REF!,
 "&gt;="&amp;INT($U$1),#REF!,
 "&lt;="&amp;INT($V$1)
)</f>
        <v>#REF!</v>
      </c>
      <c r="T7" s="1" t="e">
        <f t="shared" si="7"/>
        <v>#REF!</v>
      </c>
      <c r="U7" s="9" t="e">
        <f t="shared" si="8"/>
        <v>#REF!</v>
      </c>
      <c r="V7" s="10" t="e">
        <f t="shared" si="9"/>
        <v>#REF!</v>
      </c>
      <c r="W7" s="1" t="e">
        <f>SUMIFS(#REF!,#REF!,
 $A7,#REF!,
 "&gt;="&amp;INT($Y$1),#REF!,
 "&lt;="&amp;INT($Z$1)
)</f>
        <v>#REF!</v>
      </c>
      <c r="X7" s="1" t="e">
        <f t="shared" si="10"/>
        <v>#REF!</v>
      </c>
      <c r="Y7" s="9" t="e">
        <f t="shared" si="11"/>
        <v>#REF!</v>
      </c>
      <c r="Z7" s="10" t="e">
        <f t="shared" si="12"/>
        <v>#REF!</v>
      </c>
      <c r="AA7" s="1" t="e">
        <f>SUMIFS(#REF!,#REF!,
 $A7,#REF!,
 "&gt;="&amp;INT($AC$1),#REF!,
 "&lt;="&amp;INT($AD$1)
)</f>
        <v>#REF!</v>
      </c>
      <c r="AB7" s="1" t="e">
        <f t="shared" si="13"/>
        <v>#REF!</v>
      </c>
      <c r="AC7" s="9" t="e">
        <f t="shared" si="14"/>
        <v>#REF!</v>
      </c>
      <c r="AD7" s="10" t="e">
        <f t="shared" si="15"/>
        <v>#REF!</v>
      </c>
      <c r="AE7" s="1" t="e">
        <f>SUMIFS(#REF!,#REF!,
 $A7,#REF!,
 "&gt;="&amp;INT($AG$1),#REF!,
 "&lt;="&amp;INT($AH$1)
)</f>
        <v>#REF!</v>
      </c>
      <c r="AF7" s="1" t="e">
        <f t="shared" si="16"/>
        <v>#REF!</v>
      </c>
      <c r="AG7" s="9" t="e">
        <f t="shared" si="17"/>
        <v>#REF!</v>
      </c>
      <c r="AH7" s="10" t="e">
        <f t="shared" si="18"/>
        <v>#REF!</v>
      </c>
      <c r="AI7" s="1" t="e">
        <f>SUMIFS(#REF!,#REF!,
 $A7,#REF!,
 "&gt;="&amp;INT($AK$1),#REF!,
 "&lt;="&amp;INT($AL$1)
)</f>
        <v>#REF!</v>
      </c>
      <c r="AJ7" s="1" t="e">
        <f t="shared" si="19"/>
        <v>#REF!</v>
      </c>
      <c r="AK7" s="9" t="e">
        <f t="shared" si="20"/>
        <v>#REF!</v>
      </c>
      <c r="AL7" s="10" t="e">
        <f t="shared" si="21"/>
        <v>#REF!</v>
      </c>
      <c r="AM7" s="1" t="e">
        <f>SUMIFS(#REF!,#REF!,
 $A7,#REF!,
 "&gt;="&amp;INT($AO$1),#REF!,
 "&lt;="&amp;INT($AP$1)
)</f>
        <v>#REF!</v>
      </c>
      <c r="AN7" s="1" t="e">
        <f t="shared" si="22"/>
        <v>#REF!</v>
      </c>
      <c r="AO7" s="9" t="e">
        <f t="shared" si="23"/>
        <v>#REF!</v>
      </c>
      <c r="AP7" s="10" t="e">
        <f t="shared" si="24"/>
        <v>#REF!</v>
      </c>
      <c r="AQ7" s="1" t="e">
        <f>SUMIFS(#REF!,#REF!,
 $A7,#REF!,
 "&gt;="&amp;INT($AS$1),#REF!,
 "&lt;="&amp;INT($AT$1)
)</f>
        <v>#REF!</v>
      </c>
      <c r="AR7" s="1" t="e">
        <f t="shared" si="25"/>
        <v>#REF!</v>
      </c>
      <c r="AS7" s="9" t="e">
        <f t="shared" si="26"/>
        <v>#REF!</v>
      </c>
      <c r="AT7" s="10" t="e">
        <f t="shared" si="27"/>
        <v>#REF!</v>
      </c>
      <c r="AU7" s="1" t="e">
        <f>SUMIFS(#REF!,#REF!,
 $A7,#REF!,
 "&gt;="&amp;INT($AW$1),#REF!,
 "&lt;="&amp;INT($AX$1)
)</f>
        <v>#REF!</v>
      </c>
      <c r="AV7" s="1" t="e">
        <f t="shared" si="28"/>
        <v>#REF!</v>
      </c>
      <c r="AW7" s="9" t="e">
        <f t="shared" si="29"/>
        <v>#REF!</v>
      </c>
      <c r="AX7" s="10" t="e">
        <f t="shared" si="30"/>
        <v>#REF!</v>
      </c>
    </row>
    <row r="8" spans="1:50" x14ac:dyDescent="0.25">
      <c r="A8" s="5">
        <v>209011</v>
      </c>
      <c r="B8" s="6" t="s">
        <v>5</v>
      </c>
      <c r="C8" s="1" t="e">
        <f>SUMIFS(#REF!,#REF!,
 $A8,#REF!,
 "&gt;="&amp;INT($E$1),#REF!,
 "&lt;"&amp;INT($F$1+1)
)</f>
        <v>#REF!</v>
      </c>
      <c r="D8" s="1" t="str">
        <f>""</f>
        <v/>
      </c>
      <c r="F8" s="2"/>
      <c r="G8" s="1" t="e">
        <f>SUMIFS(#REF!,#REF!,
 $A8,#REF!,
 "&gt;="&amp;INT($I$1),#REF!,
 "&lt;"&amp;INT($J$1+1)
)</f>
        <v>#REF!</v>
      </c>
      <c r="H8" s="1" t="e">
        <f t="shared" si="0"/>
        <v>#REF!</v>
      </c>
      <c r="I8" s="1"/>
      <c r="J8" s="2"/>
      <c r="K8" s="1" t="e">
        <f>SUMIFS(#REF!,#REF!,
 $A8,#REF!,
 "&gt;="&amp;INT($M$1),#REF!,
 "&lt;"&amp;INT($N$1+1)
)</f>
        <v>#REF!</v>
      </c>
      <c r="L8" s="1" t="e">
        <f t="shared" si="1"/>
        <v>#REF!</v>
      </c>
      <c r="M8" s="9" t="e">
        <f t="shared" si="2"/>
        <v>#REF!</v>
      </c>
      <c r="N8" s="10" t="e">
        <f t="shared" si="3"/>
        <v>#REF!</v>
      </c>
      <c r="O8" s="1" t="e">
        <f>SUMIFS(#REF!,#REF!,
 $A8,#REF!,
 "&gt;="&amp;INT($Q$1),#REF!,
 "&lt;="&amp;INT($R$1)
)</f>
        <v>#REF!</v>
      </c>
      <c r="P8" s="1" t="e">
        <f t="shared" si="4"/>
        <v>#REF!</v>
      </c>
      <c r="Q8" s="9" t="e">
        <f t="shared" si="5"/>
        <v>#REF!</v>
      </c>
      <c r="R8" s="10" t="e">
        <f t="shared" si="6"/>
        <v>#REF!</v>
      </c>
      <c r="S8" s="1" t="e">
        <f>SUMIFS(#REF!,#REF!,
 $A8,#REF!,
 "&gt;="&amp;INT($U$1),#REF!,
 "&lt;="&amp;INT($V$1)
)</f>
        <v>#REF!</v>
      </c>
      <c r="T8" s="1" t="e">
        <f t="shared" si="7"/>
        <v>#REF!</v>
      </c>
      <c r="U8" s="9" t="e">
        <f t="shared" si="8"/>
        <v>#REF!</v>
      </c>
      <c r="V8" s="10" t="e">
        <f t="shared" si="9"/>
        <v>#REF!</v>
      </c>
      <c r="W8" s="1" t="e">
        <f>SUMIFS(#REF!,#REF!,
 $A8,#REF!,
 "&gt;="&amp;INT($Y$1),#REF!,
 "&lt;="&amp;INT($Z$1)
)</f>
        <v>#REF!</v>
      </c>
      <c r="X8" s="1" t="e">
        <f t="shared" si="10"/>
        <v>#REF!</v>
      </c>
      <c r="Y8" s="9" t="e">
        <f t="shared" si="11"/>
        <v>#REF!</v>
      </c>
      <c r="Z8" s="10" t="e">
        <f t="shared" si="12"/>
        <v>#REF!</v>
      </c>
      <c r="AA8" s="1" t="e">
        <f>SUMIFS(#REF!,#REF!,
 $A8,#REF!,
 "&gt;="&amp;INT($AC$1),#REF!,
 "&lt;="&amp;INT($AD$1)
)</f>
        <v>#REF!</v>
      </c>
      <c r="AB8" s="1" t="e">
        <f t="shared" si="13"/>
        <v>#REF!</v>
      </c>
      <c r="AC8" s="9" t="e">
        <f t="shared" si="14"/>
        <v>#REF!</v>
      </c>
      <c r="AD8" s="10" t="e">
        <f t="shared" si="15"/>
        <v>#REF!</v>
      </c>
      <c r="AE8" s="1" t="e">
        <f>SUMIFS(#REF!,#REF!,
 $A8,#REF!,
 "&gt;="&amp;INT($AG$1),#REF!,
 "&lt;="&amp;INT($AH$1)
)</f>
        <v>#REF!</v>
      </c>
      <c r="AF8" s="1" t="e">
        <f t="shared" si="16"/>
        <v>#REF!</v>
      </c>
      <c r="AG8" s="9" t="e">
        <f t="shared" si="17"/>
        <v>#REF!</v>
      </c>
      <c r="AH8" s="10" t="e">
        <f t="shared" si="18"/>
        <v>#REF!</v>
      </c>
      <c r="AI8" s="1" t="e">
        <f>SUMIFS(#REF!,#REF!,
 $A8,#REF!,
 "&gt;="&amp;INT($AK$1),#REF!,
 "&lt;="&amp;INT($AL$1)
)</f>
        <v>#REF!</v>
      </c>
      <c r="AJ8" s="1" t="e">
        <f t="shared" si="19"/>
        <v>#REF!</v>
      </c>
      <c r="AK8" s="9" t="e">
        <f t="shared" si="20"/>
        <v>#REF!</v>
      </c>
      <c r="AL8" s="10" t="e">
        <f t="shared" si="21"/>
        <v>#REF!</v>
      </c>
      <c r="AM8" s="1" t="e">
        <f>SUMIFS(#REF!,#REF!,
 $A8,#REF!,
 "&gt;="&amp;INT($AO$1),#REF!,
 "&lt;="&amp;INT($AP$1)
)</f>
        <v>#REF!</v>
      </c>
      <c r="AN8" s="1" t="e">
        <f t="shared" si="22"/>
        <v>#REF!</v>
      </c>
      <c r="AO8" s="9" t="e">
        <f t="shared" si="23"/>
        <v>#REF!</v>
      </c>
      <c r="AP8" s="10" t="e">
        <f t="shared" si="24"/>
        <v>#REF!</v>
      </c>
      <c r="AQ8" s="1" t="e">
        <f>SUMIFS(#REF!,#REF!,
 $A8,#REF!,
 "&gt;="&amp;INT($AS$1),#REF!,
 "&lt;="&amp;INT($AT$1)
)</f>
        <v>#REF!</v>
      </c>
      <c r="AR8" s="1" t="e">
        <f t="shared" si="25"/>
        <v>#REF!</v>
      </c>
      <c r="AS8" s="9" t="e">
        <f t="shared" si="26"/>
        <v>#REF!</v>
      </c>
      <c r="AT8" s="10" t="e">
        <f t="shared" si="27"/>
        <v>#REF!</v>
      </c>
      <c r="AU8" s="1" t="e">
        <f>SUMIFS(#REF!,#REF!,
 $A8,#REF!,
 "&gt;="&amp;INT($AW$1),#REF!,
 "&lt;="&amp;INT($AX$1)
)</f>
        <v>#REF!</v>
      </c>
      <c r="AV8" s="1" t="e">
        <f t="shared" si="28"/>
        <v>#REF!</v>
      </c>
      <c r="AW8" s="9" t="e">
        <f t="shared" si="29"/>
        <v>#REF!</v>
      </c>
      <c r="AX8" s="10" t="e">
        <f t="shared" si="30"/>
        <v>#REF!</v>
      </c>
    </row>
    <row r="9" spans="1:50" x14ac:dyDescent="0.25">
      <c r="A9" s="5">
        <v>210001</v>
      </c>
      <c r="B9" s="6" t="s">
        <v>6</v>
      </c>
      <c r="C9" s="1" t="e">
        <f>SUMIFS(#REF!,#REF!,
 $A9,#REF!,
 "&gt;="&amp;INT($E$1),#REF!,
 "&lt;"&amp;INT($F$1+1)
)</f>
        <v>#REF!</v>
      </c>
      <c r="D9" s="1" t="str">
        <f>""</f>
        <v/>
      </c>
      <c r="F9" s="2"/>
      <c r="G9" s="1" t="e">
        <f>SUMIFS(#REF!,#REF!,
 $A9,#REF!,
 "&gt;="&amp;INT($I$1),#REF!,
 "&lt;"&amp;INT($J$1+1)
)</f>
        <v>#REF!</v>
      </c>
      <c r="H9" s="1" t="e">
        <f t="shared" si="0"/>
        <v>#REF!</v>
      </c>
      <c r="I9" s="1"/>
      <c r="J9" s="2"/>
      <c r="K9" s="1" t="e">
        <f>SUMIFS(#REF!,#REF!,
 $A9,#REF!,
 "&gt;="&amp;INT($M$1),#REF!,
 "&lt;"&amp;INT($N$1+1)
)</f>
        <v>#REF!</v>
      </c>
      <c r="L9" s="1" t="e">
        <f t="shared" si="1"/>
        <v>#REF!</v>
      </c>
      <c r="M9" s="9" t="e">
        <f t="shared" si="2"/>
        <v>#REF!</v>
      </c>
      <c r="N9" s="10" t="e">
        <f t="shared" si="3"/>
        <v>#REF!</v>
      </c>
      <c r="O9" s="1" t="e">
        <f>SUMIFS(#REF!,#REF!,
 $A9,#REF!,
 "&gt;="&amp;INT($Q$1),#REF!,
 "&lt;="&amp;INT($R$1)
)</f>
        <v>#REF!</v>
      </c>
      <c r="P9" s="1" t="e">
        <f t="shared" si="4"/>
        <v>#REF!</v>
      </c>
      <c r="Q9" s="9" t="e">
        <f t="shared" si="5"/>
        <v>#REF!</v>
      </c>
      <c r="R9" s="10" t="e">
        <f t="shared" si="6"/>
        <v>#REF!</v>
      </c>
      <c r="S9" s="1" t="e">
        <f>SUMIFS(#REF!,#REF!,
 $A9,#REF!,
 "&gt;="&amp;INT($U$1),#REF!,
 "&lt;="&amp;INT($V$1)
)</f>
        <v>#REF!</v>
      </c>
      <c r="T9" s="1" t="e">
        <f t="shared" si="7"/>
        <v>#REF!</v>
      </c>
      <c r="U9" s="9" t="e">
        <f t="shared" si="8"/>
        <v>#REF!</v>
      </c>
      <c r="V9" s="10" t="e">
        <f t="shared" si="9"/>
        <v>#REF!</v>
      </c>
      <c r="W9" s="1" t="e">
        <f>SUMIFS(#REF!,#REF!,
 $A9,#REF!,
 "&gt;="&amp;INT($Y$1),#REF!,
 "&lt;="&amp;INT($Z$1)
)</f>
        <v>#REF!</v>
      </c>
      <c r="X9" s="1" t="e">
        <f t="shared" si="10"/>
        <v>#REF!</v>
      </c>
      <c r="Y9" s="9" t="e">
        <f t="shared" si="11"/>
        <v>#REF!</v>
      </c>
      <c r="Z9" s="10" t="e">
        <f t="shared" si="12"/>
        <v>#REF!</v>
      </c>
      <c r="AA9" s="1" t="e">
        <f>SUMIFS(#REF!,#REF!,
 $A9,#REF!,
 "&gt;="&amp;INT($AC$1),#REF!,
 "&lt;="&amp;INT($AD$1)
)</f>
        <v>#REF!</v>
      </c>
      <c r="AB9" s="1" t="e">
        <f t="shared" si="13"/>
        <v>#REF!</v>
      </c>
      <c r="AC9" s="9" t="e">
        <f t="shared" si="14"/>
        <v>#REF!</v>
      </c>
      <c r="AD9" s="10" t="e">
        <f t="shared" si="15"/>
        <v>#REF!</v>
      </c>
      <c r="AE9" s="1" t="e">
        <f>SUMIFS(#REF!,#REF!,
 $A9,#REF!,
 "&gt;="&amp;INT($AG$1),#REF!,
 "&lt;="&amp;INT($AH$1)
)</f>
        <v>#REF!</v>
      </c>
      <c r="AF9" s="1" t="e">
        <f t="shared" si="16"/>
        <v>#REF!</v>
      </c>
      <c r="AG9" s="9" t="e">
        <f t="shared" si="17"/>
        <v>#REF!</v>
      </c>
      <c r="AH9" s="10" t="e">
        <f t="shared" si="18"/>
        <v>#REF!</v>
      </c>
      <c r="AI9" s="1" t="e">
        <f>SUMIFS(#REF!,#REF!,
 $A9,#REF!,
 "&gt;="&amp;INT($AK$1),#REF!,
 "&lt;="&amp;INT($AL$1)
)</f>
        <v>#REF!</v>
      </c>
      <c r="AJ9" s="1" t="e">
        <f t="shared" si="19"/>
        <v>#REF!</v>
      </c>
      <c r="AK9" s="9" t="e">
        <f t="shared" si="20"/>
        <v>#REF!</v>
      </c>
      <c r="AL9" s="10" t="e">
        <f t="shared" si="21"/>
        <v>#REF!</v>
      </c>
      <c r="AM9" s="1" t="e">
        <f>SUMIFS(#REF!,#REF!,
 $A9,#REF!,
 "&gt;="&amp;INT($AO$1),#REF!,
 "&lt;="&amp;INT($AP$1)
)</f>
        <v>#REF!</v>
      </c>
      <c r="AN9" s="1" t="e">
        <f t="shared" si="22"/>
        <v>#REF!</v>
      </c>
      <c r="AO9" s="9" t="e">
        <f t="shared" si="23"/>
        <v>#REF!</v>
      </c>
      <c r="AP9" s="10" t="e">
        <f t="shared" si="24"/>
        <v>#REF!</v>
      </c>
      <c r="AQ9" s="1" t="e">
        <f>SUMIFS(#REF!,#REF!,
 $A9,#REF!,
 "&gt;="&amp;INT($AS$1),#REF!,
 "&lt;="&amp;INT($AT$1)
)</f>
        <v>#REF!</v>
      </c>
      <c r="AR9" s="1" t="e">
        <f t="shared" si="25"/>
        <v>#REF!</v>
      </c>
      <c r="AS9" s="9" t="e">
        <f t="shared" si="26"/>
        <v>#REF!</v>
      </c>
      <c r="AT9" s="10" t="e">
        <f t="shared" si="27"/>
        <v>#REF!</v>
      </c>
      <c r="AU9" s="1" t="e">
        <f>SUMIFS(#REF!,#REF!,
 $A9,#REF!,
 "&gt;="&amp;INT($AW$1),#REF!,
 "&lt;="&amp;INT($AX$1)
)</f>
        <v>#REF!</v>
      </c>
      <c r="AV9" s="1" t="e">
        <f t="shared" si="28"/>
        <v>#REF!</v>
      </c>
      <c r="AW9" s="9" t="e">
        <f t="shared" si="29"/>
        <v>#REF!</v>
      </c>
      <c r="AX9" s="10" t="e">
        <f t="shared" si="30"/>
        <v>#REF!</v>
      </c>
    </row>
    <row r="10" spans="1:50" x14ac:dyDescent="0.25">
      <c r="A10" s="5">
        <v>220002</v>
      </c>
      <c r="B10" s="6" t="s">
        <v>7</v>
      </c>
      <c r="C10" s="1" t="e">
        <f>SUMIFS(#REF!,#REF!,
 $A10,#REF!,
 "&gt;="&amp;INT($E$1),#REF!,
 "&lt;"&amp;INT($F$1+1)
)</f>
        <v>#REF!</v>
      </c>
      <c r="D10" s="1" t="str">
        <f>""</f>
        <v/>
      </c>
      <c r="F10" s="2"/>
      <c r="G10" s="1" t="e">
        <f>SUMIFS(#REF!,#REF!,
 $A10,#REF!,
 "&gt;="&amp;INT($I$1),#REF!,
 "&lt;"&amp;INT($J$1+1)
)</f>
        <v>#REF!</v>
      </c>
      <c r="H10" s="1" t="e">
        <f t="shared" si="0"/>
        <v>#REF!</v>
      </c>
      <c r="I10" s="1"/>
      <c r="J10" s="2"/>
      <c r="K10" s="1" t="e">
        <f>SUMIFS(#REF!,#REF!,
 $A10,#REF!,
 "&gt;="&amp;INT($M$1),#REF!,
 "&lt;"&amp;INT($N$1+1)
)</f>
        <v>#REF!</v>
      </c>
      <c r="L10" s="1" t="e">
        <f t="shared" si="1"/>
        <v>#REF!</v>
      </c>
      <c r="M10" s="9" t="e">
        <f t="shared" si="2"/>
        <v>#REF!</v>
      </c>
      <c r="N10" s="10" t="e">
        <f t="shared" si="3"/>
        <v>#REF!</v>
      </c>
      <c r="O10" s="1" t="e">
        <f>SUMIFS(#REF!,#REF!,
 $A10,#REF!,
 "&gt;="&amp;INT($Q$1),#REF!,
 "&lt;="&amp;INT($R$1)
)</f>
        <v>#REF!</v>
      </c>
      <c r="P10" s="1" t="e">
        <f t="shared" si="4"/>
        <v>#REF!</v>
      </c>
      <c r="Q10" s="9" t="e">
        <f t="shared" si="5"/>
        <v>#REF!</v>
      </c>
      <c r="R10" s="10" t="e">
        <f t="shared" si="6"/>
        <v>#REF!</v>
      </c>
      <c r="S10" s="1" t="e">
        <f>SUMIFS(#REF!,#REF!,
 $A10,#REF!,
 "&gt;="&amp;INT($U$1),#REF!,
 "&lt;="&amp;INT($V$1)
)</f>
        <v>#REF!</v>
      </c>
      <c r="T10" s="1" t="e">
        <f t="shared" si="7"/>
        <v>#REF!</v>
      </c>
      <c r="U10" s="9" t="e">
        <f t="shared" si="8"/>
        <v>#REF!</v>
      </c>
      <c r="V10" s="10" t="e">
        <f t="shared" si="9"/>
        <v>#REF!</v>
      </c>
      <c r="W10" s="1" t="e">
        <f>SUMIFS(#REF!,#REF!,
 $A10,#REF!,
 "&gt;="&amp;INT($Y$1),#REF!,
 "&lt;="&amp;INT($Z$1)
)</f>
        <v>#REF!</v>
      </c>
      <c r="X10" s="1" t="e">
        <f t="shared" si="10"/>
        <v>#REF!</v>
      </c>
      <c r="Y10" s="9" t="e">
        <f t="shared" si="11"/>
        <v>#REF!</v>
      </c>
      <c r="Z10" s="10" t="e">
        <f t="shared" si="12"/>
        <v>#REF!</v>
      </c>
      <c r="AA10" s="1" t="e">
        <f>SUMIFS(#REF!,#REF!,
 $A10,#REF!,
 "&gt;="&amp;INT($AC$1),#REF!,
 "&lt;="&amp;INT($AD$1)
)</f>
        <v>#REF!</v>
      </c>
      <c r="AB10" s="1" t="e">
        <f t="shared" si="13"/>
        <v>#REF!</v>
      </c>
      <c r="AC10" s="9" t="e">
        <f t="shared" si="14"/>
        <v>#REF!</v>
      </c>
      <c r="AD10" s="10" t="e">
        <f t="shared" si="15"/>
        <v>#REF!</v>
      </c>
      <c r="AE10" s="1" t="e">
        <f>SUMIFS(#REF!,#REF!,
 $A10,#REF!,
 "&gt;="&amp;INT($AG$1),#REF!,
 "&lt;="&amp;INT($AH$1)
)</f>
        <v>#REF!</v>
      </c>
      <c r="AF10" s="1" t="e">
        <f t="shared" si="16"/>
        <v>#REF!</v>
      </c>
      <c r="AG10" s="9" t="e">
        <f t="shared" si="17"/>
        <v>#REF!</v>
      </c>
      <c r="AH10" s="10" t="e">
        <f t="shared" si="18"/>
        <v>#REF!</v>
      </c>
      <c r="AI10" s="1" t="e">
        <f>SUMIFS(#REF!,#REF!,
 $A10,#REF!,
 "&gt;="&amp;INT($AK$1),#REF!,
 "&lt;="&amp;INT($AL$1)
)</f>
        <v>#REF!</v>
      </c>
      <c r="AJ10" s="1" t="e">
        <f t="shared" si="19"/>
        <v>#REF!</v>
      </c>
      <c r="AK10" s="9" t="e">
        <f t="shared" si="20"/>
        <v>#REF!</v>
      </c>
      <c r="AL10" s="10" t="e">
        <f t="shared" si="21"/>
        <v>#REF!</v>
      </c>
      <c r="AM10" s="1" t="e">
        <f>SUMIFS(#REF!,#REF!,
 $A10,#REF!,
 "&gt;="&amp;INT($AO$1),#REF!,
 "&lt;="&amp;INT($AP$1)
)</f>
        <v>#REF!</v>
      </c>
      <c r="AN10" s="1" t="e">
        <f t="shared" si="22"/>
        <v>#REF!</v>
      </c>
      <c r="AO10" s="9" t="e">
        <f t="shared" si="23"/>
        <v>#REF!</v>
      </c>
      <c r="AP10" s="10" t="e">
        <f t="shared" si="24"/>
        <v>#REF!</v>
      </c>
      <c r="AQ10" s="1" t="e">
        <f>SUMIFS(#REF!,#REF!,
 $A10,#REF!,
 "&gt;="&amp;INT($AS$1),#REF!,
 "&lt;="&amp;INT($AT$1)
)</f>
        <v>#REF!</v>
      </c>
      <c r="AR10" s="1" t="e">
        <f t="shared" si="25"/>
        <v>#REF!</v>
      </c>
      <c r="AS10" s="9" t="e">
        <f t="shared" si="26"/>
        <v>#REF!</v>
      </c>
      <c r="AT10" s="10" t="e">
        <f t="shared" si="27"/>
        <v>#REF!</v>
      </c>
      <c r="AU10" s="1" t="e">
        <f>SUMIFS(#REF!,#REF!,
 $A10,#REF!,
 "&gt;="&amp;INT($AW$1),#REF!,
 "&lt;="&amp;INT($AX$1)
)</f>
        <v>#REF!</v>
      </c>
      <c r="AV10" s="1" t="e">
        <f t="shared" si="28"/>
        <v>#REF!</v>
      </c>
      <c r="AW10" s="9" t="e">
        <f t="shared" si="29"/>
        <v>#REF!</v>
      </c>
      <c r="AX10" s="10" t="e">
        <f t="shared" si="30"/>
        <v>#REF!</v>
      </c>
    </row>
    <row r="11" spans="1:50" x14ac:dyDescent="0.25">
      <c r="A11" s="5">
        <v>227015</v>
      </c>
      <c r="B11" s="6" t="s">
        <v>8</v>
      </c>
      <c r="C11" s="1" t="e">
        <f>SUMIFS(#REF!,#REF!,
 $A11,#REF!,
 "&gt;="&amp;INT($E$1),#REF!,
 "&lt;"&amp;INT($F$1+1)
)</f>
        <v>#REF!</v>
      </c>
      <c r="D11" s="1" t="str">
        <f>""</f>
        <v/>
      </c>
      <c r="F11" s="2"/>
      <c r="G11" s="1" t="e">
        <f>SUMIFS(#REF!,#REF!,
 $A11,#REF!,
 "&gt;="&amp;INT($I$1),#REF!,
 "&lt;"&amp;INT($J$1+1)
)</f>
        <v>#REF!</v>
      </c>
      <c r="H11" s="1" t="e">
        <f t="shared" si="0"/>
        <v>#REF!</v>
      </c>
      <c r="I11" s="1"/>
      <c r="J11" s="2"/>
      <c r="K11" s="1" t="e">
        <f>SUMIFS(#REF!,#REF!,
 $A11,#REF!,
 "&gt;="&amp;INT($M$1),#REF!,
 "&lt;"&amp;INT($N$1+1)
)</f>
        <v>#REF!</v>
      </c>
      <c r="L11" s="1" t="e">
        <f t="shared" si="1"/>
        <v>#REF!</v>
      </c>
      <c r="M11" s="9" t="e">
        <f t="shared" si="2"/>
        <v>#REF!</v>
      </c>
      <c r="N11" s="10" t="e">
        <f t="shared" si="3"/>
        <v>#REF!</v>
      </c>
      <c r="O11" s="1" t="e">
        <f>SUMIFS(#REF!,#REF!,
 $A11,#REF!,
 "&gt;="&amp;INT($Q$1),#REF!,
 "&lt;="&amp;INT($R$1)
)</f>
        <v>#REF!</v>
      </c>
      <c r="P11" s="1" t="e">
        <f t="shared" si="4"/>
        <v>#REF!</v>
      </c>
      <c r="Q11" s="9" t="e">
        <f t="shared" si="5"/>
        <v>#REF!</v>
      </c>
      <c r="R11" s="10" t="e">
        <f t="shared" si="6"/>
        <v>#REF!</v>
      </c>
      <c r="S11" s="1" t="e">
        <f>SUMIFS(#REF!,#REF!,
 $A11,#REF!,
 "&gt;="&amp;INT($U$1),#REF!,
 "&lt;="&amp;INT($V$1)
)</f>
        <v>#REF!</v>
      </c>
      <c r="T11" s="1" t="e">
        <f t="shared" si="7"/>
        <v>#REF!</v>
      </c>
      <c r="U11" s="9" t="e">
        <f t="shared" si="8"/>
        <v>#REF!</v>
      </c>
      <c r="V11" s="10" t="e">
        <f t="shared" si="9"/>
        <v>#REF!</v>
      </c>
      <c r="W11" s="1" t="e">
        <f>SUMIFS(#REF!,#REF!,
 $A11,#REF!,
 "&gt;="&amp;INT($Y$1),#REF!,
 "&lt;="&amp;INT($Z$1)
)</f>
        <v>#REF!</v>
      </c>
      <c r="X11" s="1" t="e">
        <f t="shared" si="10"/>
        <v>#REF!</v>
      </c>
      <c r="Y11" s="9" t="e">
        <f t="shared" si="11"/>
        <v>#REF!</v>
      </c>
      <c r="Z11" s="10" t="e">
        <f t="shared" si="12"/>
        <v>#REF!</v>
      </c>
      <c r="AA11" s="1" t="e">
        <f>SUMIFS(#REF!,#REF!,
 $A11,#REF!,
 "&gt;="&amp;INT($AC$1),#REF!,
 "&lt;="&amp;INT($AD$1)
)</f>
        <v>#REF!</v>
      </c>
      <c r="AB11" s="1" t="e">
        <f t="shared" si="13"/>
        <v>#REF!</v>
      </c>
      <c r="AC11" s="9" t="e">
        <f t="shared" si="14"/>
        <v>#REF!</v>
      </c>
      <c r="AD11" s="10" t="e">
        <f t="shared" si="15"/>
        <v>#REF!</v>
      </c>
      <c r="AE11" s="1" t="e">
        <f>SUMIFS(#REF!,#REF!,
 $A11,#REF!,
 "&gt;="&amp;INT($AG$1),#REF!,
 "&lt;="&amp;INT($AH$1)
)</f>
        <v>#REF!</v>
      </c>
      <c r="AF11" s="1" t="e">
        <f t="shared" si="16"/>
        <v>#REF!</v>
      </c>
      <c r="AG11" s="9" t="e">
        <f t="shared" si="17"/>
        <v>#REF!</v>
      </c>
      <c r="AH11" s="10" t="e">
        <f t="shared" si="18"/>
        <v>#REF!</v>
      </c>
      <c r="AI11" s="1" t="e">
        <f>SUMIFS(#REF!,#REF!,
 $A11,#REF!,
 "&gt;="&amp;INT($AK$1),#REF!,
 "&lt;="&amp;INT($AL$1)
)</f>
        <v>#REF!</v>
      </c>
      <c r="AJ11" s="1" t="e">
        <f t="shared" si="19"/>
        <v>#REF!</v>
      </c>
      <c r="AK11" s="9" t="e">
        <f t="shared" si="20"/>
        <v>#REF!</v>
      </c>
      <c r="AL11" s="10" t="e">
        <f t="shared" si="21"/>
        <v>#REF!</v>
      </c>
      <c r="AM11" s="1" t="e">
        <f>SUMIFS(#REF!,#REF!,
 $A11,#REF!,
 "&gt;="&amp;INT($AO$1),#REF!,
 "&lt;="&amp;INT($AP$1)
)</f>
        <v>#REF!</v>
      </c>
      <c r="AN11" s="1" t="e">
        <f t="shared" si="22"/>
        <v>#REF!</v>
      </c>
      <c r="AO11" s="9" t="e">
        <f t="shared" si="23"/>
        <v>#REF!</v>
      </c>
      <c r="AP11" s="10" t="e">
        <f t="shared" si="24"/>
        <v>#REF!</v>
      </c>
      <c r="AQ11" s="1" t="e">
        <f>SUMIFS(#REF!,#REF!,
 $A11,#REF!,
 "&gt;="&amp;INT($AS$1),#REF!,
 "&lt;="&amp;INT($AT$1)
)</f>
        <v>#REF!</v>
      </c>
      <c r="AR11" s="1" t="e">
        <f t="shared" si="25"/>
        <v>#REF!</v>
      </c>
      <c r="AS11" s="9" t="e">
        <f t="shared" si="26"/>
        <v>#REF!</v>
      </c>
      <c r="AT11" s="10" t="e">
        <f t="shared" si="27"/>
        <v>#REF!</v>
      </c>
      <c r="AU11" s="1" t="e">
        <f>SUMIFS(#REF!,#REF!,
 $A11,#REF!,
 "&gt;="&amp;INT($AW$1),#REF!,
 "&lt;="&amp;INT($AX$1)
)</f>
        <v>#REF!</v>
      </c>
      <c r="AV11" s="1" t="e">
        <f t="shared" si="28"/>
        <v>#REF!</v>
      </c>
      <c r="AW11" s="9" t="e">
        <f t="shared" si="29"/>
        <v>#REF!</v>
      </c>
      <c r="AX11" s="10" t="e">
        <f t="shared" si="30"/>
        <v>#REF!</v>
      </c>
    </row>
    <row r="12" spans="1:50" x14ac:dyDescent="0.25">
      <c r="A12" s="5">
        <v>228001</v>
      </c>
      <c r="B12" s="6" t="s">
        <v>9</v>
      </c>
      <c r="C12" s="1" t="e">
        <f>SUMIFS(#REF!,#REF!,
 $A12,#REF!,
 "&gt;="&amp;INT($E$1),#REF!,
 "&lt;"&amp;INT($F$1+1)
)</f>
        <v>#REF!</v>
      </c>
      <c r="D12" s="1" t="str">
        <f>""</f>
        <v/>
      </c>
      <c r="F12" s="2"/>
      <c r="G12" s="1" t="e">
        <f>SUMIFS(#REF!,#REF!,
 $A12,#REF!,
 "&gt;="&amp;INT($I$1),#REF!,
 "&lt;"&amp;INT($J$1+1)
)</f>
        <v>#REF!</v>
      </c>
      <c r="H12" s="1" t="e">
        <f t="shared" si="0"/>
        <v>#REF!</v>
      </c>
      <c r="I12" s="1"/>
      <c r="J12" s="2"/>
      <c r="K12" s="1" t="e">
        <f>SUMIFS(#REF!,#REF!,
 $A12,#REF!,
 "&gt;="&amp;INT($M$1),#REF!,
 "&lt;"&amp;INT($N$1+1)
)</f>
        <v>#REF!</v>
      </c>
      <c r="L12" s="1" t="e">
        <f t="shared" si="1"/>
        <v>#REF!</v>
      </c>
      <c r="M12" s="9" t="e">
        <f t="shared" si="2"/>
        <v>#REF!</v>
      </c>
      <c r="N12" s="10" t="e">
        <f t="shared" si="3"/>
        <v>#REF!</v>
      </c>
      <c r="O12" s="1" t="e">
        <f>SUMIFS(#REF!,#REF!,
 $A12,#REF!,
 "&gt;="&amp;INT($Q$1),#REF!,
 "&lt;="&amp;INT($R$1)
)</f>
        <v>#REF!</v>
      </c>
      <c r="P12" s="1" t="e">
        <f t="shared" si="4"/>
        <v>#REF!</v>
      </c>
      <c r="Q12" s="9" t="e">
        <f t="shared" si="5"/>
        <v>#REF!</v>
      </c>
      <c r="R12" s="10" t="e">
        <f t="shared" si="6"/>
        <v>#REF!</v>
      </c>
      <c r="S12" s="1" t="e">
        <f>SUMIFS(#REF!,#REF!,
 $A12,#REF!,
 "&gt;="&amp;INT($U$1),#REF!,
 "&lt;="&amp;INT($V$1)
)</f>
        <v>#REF!</v>
      </c>
      <c r="T12" s="1" t="e">
        <f t="shared" si="7"/>
        <v>#REF!</v>
      </c>
      <c r="U12" s="9" t="e">
        <f t="shared" si="8"/>
        <v>#REF!</v>
      </c>
      <c r="V12" s="10" t="e">
        <f t="shared" si="9"/>
        <v>#REF!</v>
      </c>
      <c r="W12" s="1" t="e">
        <f>SUMIFS(#REF!,#REF!,
 $A12,#REF!,
 "&gt;="&amp;INT($Y$1),#REF!,
 "&lt;="&amp;INT($Z$1)
)</f>
        <v>#REF!</v>
      </c>
      <c r="X12" s="1" t="e">
        <f t="shared" si="10"/>
        <v>#REF!</v>
      </c>
      <c r="Y12" s="9" t="e">
        <f t="shared" si="11"/>
        <v>#REF!</v>
      </c>
      <c r="Z12" s="10" t="e">
        <f t="shared" si="12"/>
        <v>#REF!</v>
      </c>
      <c r="AA12" s="1" t="e">
        <f>SUMIFS(#REF!,#REF!,
 $A12,#REF!,
 "&gt;="&amp;INT($AC$1),#REF!,
 "&lt;="&amp;INT($AD$1)
)</f>
        <v>#REF!</v>
      </c>
      <c r="AB12" s="1" t="e">
        <f t="shared" si="13"/>
        <v>#REF!</v>
      </c>
      <c r="AC12" s="9" t="e">
        <f t="shared" si="14"/>
        <v>#REF!</v>
      </c>
      <c r="AD12" s="10" t="e">
        <f t="shared" si="15"/>
        <v>#REF!</v>
      </c>
      <c r="AE12" s="1" t="e">
        <f>SUMIFS(#REF!,#REF!,
 $A12,#REF!,
 "&gt;="&amp;INT($AG$1),#REF!,
 "&lt;="&amp;INT($AH$1)
)</f>
        <v>#REF!</v>
      </c>
      <c r="AF12" s="1" t="e">
        <f t="shared" si="16"/>
        <v>#REF!</v>
      </c>
      <c r="AG12" s="9" t="e">
        <f t="shared" si="17"/>
        <v>#REF!</v>
      </c>
      <c r="AH12" s="10" t="e">
        <f t="shared" si="18"/>
        <v>#REF!</v>
      </c>
      <c r="AI12" s="1" t="e">
        <f>SUMIFS(#REF!,#REF!,
 $A12,#REF!,
 "&gt;="&amp;INT($AK$1),#REF!,
 "&lt;="&amp;INT($AL$1)
)</f>
        <v>#REF!</v>
      </c>
      <c r="AJ12" s="1" t="e">
        <f t="shared" si="19"/>
        <v>#REF!</v>
      </c>
      <c r="AK12" s="9" t="e">
        <f t="shared" si="20"/>
        <v>#REF!</v>
      </c>
      <c r="AL12" s="10" t="e">
        <f t="shared" si="21"/>
        <v>#REF!</v>
      </c>
      <c r="AM12" s="1" t="e">
        <f>SUMIFS(#REF!,#REF!,
 $A12,#REF!,
 "&gt;="&amp;INT($AO$1),#REF!,
 "&lt;="&amp;INT($AP$1)
)</f>
        <v>#REF!</v>
      </c>
      <c r="AN12" s="1" t="e">
        <f t="shared" si="22"/>
        <v>#REF!</v>
      </c>
      <c r="AO12" s="9" t="e">
        <f t="shared" si="23"/>
        <v>#REF!</v>
      </c>
      <c r="AP12" s="10" t="e">
        <f t="shared" si="24"/>
        <v>#REF!</v>
      </c>
      <c r="AQ12" s="1" t="e">
        <f>SUMIFS(#REF!,#REF!,
 $A12,#REF!,
 "&gt;="&amp;INT($AS$1),#REF!,
 "&lt;="&amp;INT($AT$1)
)</f>
        <v>#REF!</v>
      </c>
      <c r="AR12" s="1" t="e">
        <f t="shared" si="25"/>
        <v>#REF!</v>
      </c>
      <c r="AS12" s="9" t="e">
        <f t="shared" si="26"/>
        <v>#REF!</v>
      </c>
      <c r="AT12" s="10" t="e">
        <f t="shared" si="27"/>
        <v>#REF!</v>
      </c>
      <c r="AU12" s="1" t="e">
        <f>SUMIFS(#REF!,#REF!,
 $A12,#REF!,
 "&gt;="&amp;INT($AW$1),#REF!,
 "&lt;="&amp;INT($AX$1)
)</f>
        <v>#REF!</v>
      </c>
      <c r="AV12" s="1" t="e">
        <f t="shared" si="28"/>
        <v>#REF!</v>
      </c>
      <c r="AW12" s="9" t="e">
        <f t="shared" si="29"/>
        <v>#REF!</v>
      </c>
      <c r="AX12" s="10" t="e">
        <f t="shared" si="30"/>
        <v>#REF!</v>
      </c>
    </row>
    <row r="13" spans="1:50" x14ac:dyDescent="0.25">
      <c r="A13" s="5">
        <v>237004</v>
      </c>
      <c r="B13" s="6" t="s">
        <v>10</v>
      </c>
      <c r="C13" s="1" t="e">
        <f>SUMIFS(#REF!,#REF!,
 $A13,#REF!,
 "&gt;="&amp;INT($E$1),#REF!,
 "&lt;"&amp;INT($F$1+1)
)</f>
        <v>#REF!</v>
      </c>
      <c r="D13" s="1" t="str">
        <f>""</f>
        <v/>
      </c>
      <c r="F13" s="2"/>
      <c r="G13" s="1" t="e">
        <f>SUMIFS(#REF!,#REF!,
 $A13,#REF!,
 "&gt;="&amp;INT($I$1),#REF!,
 "&lt;"&amp;INT($J$1+1)
)</f>
        <v>#REF!</v>
      </c>
      <c r="H13" s="1" t="e">
        <f t="shared" si="0"/>
        <v>#REF!</v>
      </c>
      <c r="I13" s="1"/>
      <c r="J13" s="2"/>
      <c r="K13" s="1" t="e">
        <f>SUMIFS(#REF!,#REF!,
 $A13,#REF!,
 "&gt;="&amp;INT($M$1),#REF!,
 "&lt;"&amp;INT($N$1+1)
)</f>
        <v>#REF!</v>
      </c>
      <c r="L13" s="1" t="e">
        <f t="shared" si="1"/>
        <v>#REF!</v>
      </c>
      <c r="M13" s="9" t="e">
        <f t="shared" si="2"/>
        <v>#REF!</v>
      </c>
      <c r="N13" s="10" t="e">
        <f t="shared" si="3"/>
        <v>#REF!</v>
      </c>
      <c r="O13" s="1" t="e">
        <f>SUMIFS(#REF!,#REF!,
 $A13,#REF!,
 "&gt;="&amp;INT($Q$1),#REF!,
 "&lt;="&amp;INT($R$1)
)</f>
        <v>#REF!</v>
      </c>
      <c r="P13" s="1" t="e">
        <f t="shared" si="4"/>
        <v>#REF!</v>
      </c>
      <c r="Q13" s="9" t="e">
        <f t="shared" si="5"/>
        <v>#REF!</v>
      </c>
      <c r="R13" s="10" t="e">
        <f t="shared" si="6"/>
        <v>#REF!</v>
      </c>
      <c r="S13" s="1" t="e">
        <f>SUMIFS(#REF!,#REF!,
 $A13,#REF!,
 "&gt;="&amp;INT($U$1),#REF!,
 "&lt;="&amp;INT($V$1)
)</f>
        <v>#REF!</v>
      </c>
      <c r="T13" s="1" t="e">
        <f t="shared" si="7"/>
        <v>#REF!</v>
      </c>
      <c r="U13" s="9" t="e">
        <f t="shared" si="8"/>
        <v>#REF!</v>
      </c>
      <c r="V13" s="10" t="e">
        <f t="shared" si="9"/>
        <v>#REF!</v>
      </c>
      <c r="W13" s="1" t="e">
        <f>SUMIFS(#REF!,#REF!,
 $A13,#REF!,
 "&gt;="&amp;INT($Y$1),#REF!,
 "&lt;="&amp;INT($Z$1)
)</f>
        <v>#REF!</v>
      </c>
      <c r="X13" s="1" t="e">
        <f t="shared" si="10"/>
        <v>#REF!</v>
      </c>
      <c r="Y13" s="9" t="e">
        <f t="shared" si="11"/>
        <v>#REF!</v>
      </c>
      <c r="Z13" s="10" t="e">
        <f t="shared" si="12"/>
        <v>#REF!</v>
      </c>
      <c r="AA13" s="1" t="e">
        <f>SUMIFS(#REF!,#REF!,
 $A13,#REF!,
 "&gt;="&amp;INT($AC$1),#REF!,
 "&lt;="&amp;INT($AD$1)
)</f>
        <v>#REF!</v>
      </c>
      <c r="AB13" s="1" t="e">
        <f t="shared" si="13"/>
        <v>#REF!</v>
      </c>
      <c r="AC13" s="9" t="e">
        <f t="shared" si="14"/>
        <v>#REF!</v>
      </c>
      <c r="AD13" s="10" t="e">
        <f t="shared" si="15"/>
        <v>#REF!</v>
      </c>
      <c r="AE13" s="1" t="e">
        <f>SUMIFS(#REF!,#REF!,
 $A13,#REF!,
 "&gt;="&amp;INT($AG$1),#REF!,
 "&lt;="&amp;INT($AH$1)
)</f>
        <v>#REF!</v>
      </c>
      <c r="AF13" s="1" t="e">
        <f t="shared" si="16"/>
        <v>#REF!</v>
      </c>
      <c r="AG13" s="9" t="e">
        <f t="shared" si="17"/>
        <v>#REF!</v>
      </c>
      <c r="AH13" s="10" t="e">
        <f t="shared" si="18"/>
        <v>#REF!</v>
      </c>
      <c r="AI13" s="1" t="e">
        <f>SUMIFS(#REF!,#REF!,
 $A13,#REF!,
 "&gt;="&amp;INT($AK$1),#REF!,
 "&lt;="&amp;INT($AL$1)
)</f>
        <v>#REF!</v>
      </c>
      <c r="AJ13" s="1" t="e">
        <f t="shared" si="19"/>
        <v>#REF!</v>
      </c>
      <c r="AK13" s="9" t="e">
        <f t="shared" si="20"/>
        <v>#REF!</v>
      </c>
      <c r="AL13" s="10" t="e">
        <f t="shared" si="21"/>
        <v>#REF!</v>
      </c>
      <c r="AM13" s="1" t="e">
        <f>SUMIFS(#REF!,#REF!,
 $A13,#REF!,
 "&gt;="&amp;INT($AO$1),#REF!,
 "&lt;="&amp;INT($AP$1)
)</f>
        <v>#REF!</v>
      </c>
      <c r="AN13" s="1" t="e">
        <f t="shared" si="22"/>
        <v>#REF!</v>
      </c>
      <c r="AO13" s="9" t="e">
        <f t="shared" si="23"/>
        <v>#REF!</v>
      </c>
      <c r="AP13" s="10" t="e">
        <f t="shared" si="24"/>
        <v>#REF!</v>
      </c>
      <c r="AQ13" s="1" t="e">
        <f>SUMIFS(#REF!,#REF!,
 $A13,#REF!,
 "&gt;="&amp;INT($AS$1),#REF!,
 "&lt;="&amp;INT($AT$1)
)</f>
        <v>#REF!</v>
      </c>
      <c r="AR13" s="1" t="e">
        <f t="shared" si="25"/>
        <v>#REF!</v>
      </c>
      <c r="AS13" s="9" t="e">
        <f t="shared" si="26"/>
        <v>#REF!</v>
      </c>
      <c r="AT13" s="10" t="e">
        <f t="shared" si="27"/>
        <v>#REF!</v>
      </c>
      <c r="AU13" s="1" t="e">
        <f>SUMIFS(#REF!,#REF!,
 $A13,#REF!,
 "&gt;="&amp;INT($AW$1),#REF!,
 "&lt;="&amp;INT($AX$1)
)</f>
        <v>#REF!</v>
      </c>
      <c r="AV13" s="1" t="e">
        <f t="shared" si="28"/>
        <v>#REF!</v>
      </c>
      <c r="AW13" s="9" t="e">
        <f t="shared" si="29"/>
        <v>#REF!</v>
      </c>
      <c r="AX13" s="10" t="e">
        <f t="shared" si="30"/>
        <v>#REF!</v>
      </c>
    </row>
    <row r="14" spans="1:50" x14ac:dyDescent="0.25">
      <c r="A14" s="5">
        <v>201002</v>
      </c>
      <c r="B14" s="6" t="s">
        <v>11</v>
      </c>
      <c r="C14" s="1" t="e">
        <f>SUMIFS(#REF!,#REF!,
 $A14,#REF!,
 "&gt;="&amp;INT($E$1),#REF!,
 "&lt;"&amp;INT($F$1+1)
)</f>
        <v>#REF!</v>
      </c>
      <c r="D14" s="1" t="str">
        <f>""</f>
        <v/>
      </c>
      <c r="F14" s="2"/>
      <c r="G14" s="1" t="e">
        <f>SUMIFS(#REF!,#REF!,
 $A14,#REF!,
 "&gt;="&amp;INT($I$1),#REF!,
 "&lt;"&amp;INT($J$1+1)
)</f>
        <v>#REF!</v>
      </c>
      <c r="H14" s="1" t="e">
        <f t="shared" si="0"/>
        <v>#REF!</v>
      </c>
      <c r="I14" s="1"/>
      <c r="J14" s="2"/>
      <c r="K14" s="1" t="e">
        <f>SUMIFS(#REF!,#REF!,
 $A14,#REF!,
 "&gt;="&amp;INT($M$1),#REF!,
 "&lt;"&amp;INT($N$1+1)
)</f>
        <v>#REF!</v>
      </c>
      <c r="L14" s="1" t="e">
        <f t="shared" si="1"/>
        <v>#REF!</v>
      </c>
      <c r="M14" s="9" t="e">
        <f t="shared" si="2"/>
        <v>#REF!</v>
      </c>
      <c r="N14" s="10" t="e">
        <f t="shared" si="3"/>
        <v>#REF!</v>
      </c>
      <c r="O14" s="1" t="e">
        <f>SUMIFS(#REF!,#REF!,
 $A14,#REF!,
 "&gt;="&amp;INT($Q$1),#REF!,
 "&lt;="&amp;INT($R$1)
)</f>
        <v>#REF!</v>
      </c>
      <c r="P14" s="1" t="e">
        <f t="shared" si="4"/>
        <v>#REF!</v>
      </c>
      <c r="Q14" s="9" t="e">
        <f t="shared" si="5"/>
        <v>#REF!</v>
      </c>
      <c r="R14" s="10" t="e">
        <f t="shared" si="6"/>
        <v>#REF!</v>
      </c>
      <c r="S14" s="1" t="e">
        <f>SUMIFS(#REF!,#REF!,
 $A14,#REF!,
 "&gt;="&amp;INT($U$1),#REF!,
 "&lt;="&amp;INT($V$1)
)</f>
        <v>#REF!</v>
      </c>
      <c r="T14" s="1" t="e">
        <f t="shared" si="7"/>
        <v>#REF!</v>
      </c>
      <c r="U14" s="9" t="e">
        <f t="shared" si="8"/>
        <v>#REF!</v>
      </c>
      <c r="V14" s="10" t="e">
        <f t="shared" si="9"/>
        <v>#REF!</v>
      </c>
      <c r="W14" s="1" t="e">
        <f>SUMIFS(#REF!,#REF!,
 $A14,#REF!,
 "&gt;="&amp;INT($Y$1),#REF!,
 "&lt;="&amp;INT($Z$1)
)</f>
        <v>#REF!</v>
      </c>
      <c r="X14" s="1" t="e">
        <f t="shared" si="10"/>
        <v>#REF!</v>
      </c>
      <c r="Y14" s="9" t="e">
        <f t="shared" si="11"/>
        <v>#REF!</v>
      </c>
      <c r="Z14" s="10" t="e">
        <f t="shared" si="12"/>
        <v>#REF!</v>
      </c>
      <c r="AA14" s="1" t="e">
        <f>SUMIFS(#REF!,#REF!,
 $A14,#REF!,
 "&gt;="&amp;INT($AC$1),#REF!,
 "&lt;="&amp;INT($AD$1)
)</f>
        <v>#REF!</v>
      </c>
      <c r="AB14" s="1" t="e">
        <f t="shared" si="13"/>
        <v>#REF!</v>
      </c>
      <c r="AC14" s="9" t="e">
        <f t="shared" si="14"/>
        <v>#REF!</v>
      </c>
      <c r="AD14" s="10" t="e">
        <f t="shared" si="15"/>
        <v>#REF!</v>
      </c>
      <c r="AE14" s="1" t="e">
        <f>SUMIFS(#REF!,#REF!,
 $A14,#REF!,
 "&gt;="&amp;INT($AG$1),#REF!,
 "&lt;="&amp;INT($AH$1)
)</f>
        <v>#REF!</v>
      </c>
      <c r="AF14" s="1" t="e">
        <f t="shared" si="16"/>
        <v>#REF!</v>
      </c>
      <c r="AG14" s="9" t="e">
        <f t="shared" si="17"/>
        <v>#REF!</v>
      </c>
      <c r="AH14" s="10" t="e">
        <f t="shared" si="18"/>
        <v>#REF!</v>
      </c>
      <c r="AI14" s="1" t="e">
        <f>SUMIFS(#REF!,#REF!,
 $A14,#REF!,
 "&gt;="&amp;INT($AK$1),#REF!,
 "&lt;="&amp;INT($AL$1)
)</f>
        <v>#REF!</v>
      </c>
      <c r="AJ14" s="1" t="e">
        <f t="shared" si="19"/>
        <v>#REF!</v>
      </c>
      <c r="AK14" s="9" t="e">
        <f t="shared" si="20"/>
        <v>#REF!</v>
      </c>
      <c r="AL14" s="10" t="e">
        <f t="shared" si="21"/>
        <v>#REF!</v>
      </c>
      <c r="AM14" s="1" t="e">
        <f>SUMIFS(#REF!,#REF!,
 $A14,#REF!,
 "&gt;="&amp;INT($AO$1),#REF!,
 "&lt;="&amp;INT($AP$1)
)</f>
        <v>#REF!</v>
      </c>
      <c r="AN14" s="1" t="e">
        <f t="shared" si="22"/>
        <v>#REF!</v>
      </c>
      <c r="AO14" s="9" t="e">
        <f t="shared" si="23"/>
        <v>#REF!</v>
      </c>
      <c r="AP14" s="10" t="e">
        <f t="shared" si="24"/>
        <v>#REF!</v>
      </c>
      <c r="AQ14" s="1" t="e">
        <f>SUMIFS(#REF!,#REF!,
 $A14,#REF!,
 "&gt;="&amp;INT($AS$1),#REF!,
 "&lt;="&amp;INT($AT$1)
)</f>
        <v>#REF!</v>
      </c>
      <c r="AR14" s="1" t="e">
        <f t="shared" si="25"/>
        <v>#REF!</v>
      </c>
      <c r="AS14" s="9" t="e">
        <f t="shared" si="26"/>
        <v>#REF!</v>
      </c>
      <c r="AT14" s="10" t="e">
        <f t="shared" si="27"/>
        <v>#REF!</v>
      </c>
      <c r="AU14" s="1" t="e">
        <f>SUMIFS(#REF!,#REF!,
 $A14,#REF!,
 "&gt;="&amp;INT($AW$1),#REF!,
 "&lt;="&amp;INT($AX$1)
)</f>
        <v>#REF!</v>
      </c>
      <c r="AV14" s="1" t="e">
        <f t="shared" si="28"/>
        <v>#REF!</v>
      </c>
      <c r="AW14" s="9" t="e">
        <f t="shared" si="29"/>
        <v>#REF!</v>
      </c>
      <c r="AX14" s="10" t="e">
        <f t="shared" si="30"/>
        <v>#REF!</v>
      </c>
    </row>
    <row r="15" spans="1:50" x14ac:dyDescent="0.25">
      <c r="A15" s="5">
        <v>201003</v>
      </c>
      <c r="B15" s="6" t="s">
        <v>12</v>
      </c>
      <c r="C15" s="1" t="e">
        <f>SUMIFS(#REF!,#REF!,
 $A15,#REF!,
 "&gt;="&amp;INT($E$1),#REF!,
 "&lt;"&amp;INT($F$1+1)
)</f>
        <v>#REF!</v>
      </c>
      <c r="D15" s="1" t="str">
        <f>""</f>
        <v/>
      </c>
      <c r="F15" s="2"/>
      <c r="G15" s="1" t="e">
        <f>SUMIFS(#REF!,#REF!,
 $A15,#REF!,
 "&gt;="&amp;INT($I$1),#REF!,
 "&lt;"&amp;INT($J$1+1)
)</f>
        <v>#REF!</v>
      </c>
      <c r="H15" s="1" t="e">
        <f t="shared" si="0"/>
        <v>#REF!</v>
      </c>
      <c r="I15" s="1"/>
      <c r="J15" s="2"/>
      <c r="K15" s="1" t="e">
        <f>SUMIFS(#REF!,#REF!,
 $A15,#REF!,
 "&gt;="&amp;INT($M$1),#REF!,
 "&lt;"&amp;INT($N$1+1)
)</f>
        <v>#REF!</v>
      </c>
      <c r="L15" s="1" t="e">
        <f t="shared" si="1"/>
        <v>#REF!</v>
      </c>
      <c r="M15" s="9" t="e">
        <f t="shared" si="2"/>
        <v>#REF!</v>
      </c>
      <c r="N15" s="10" t="e">
        <f t="shared" si="3"/>
        <v>#REF!</v>
      </c>
      <c r="O15" s="1" t="e">
        <f>SUMIFS(#REF!,#REF!,
 $A15,#REF!,
 "&gt;="&amp;INT($Q$1),#REF!,
 "&lt;="&amp;INT($R$1)
)</f>
        <v>#REF!</v>
      </c>
      <c r="P15" s="1" t="e">
        <f t="shared" si="4"/>
        <v>#REF!</v>
      </c>
      <c r="Q15" s="9" t="e">
        <f t="shared" si="5"/>
        <v>#REF!</v>
      </c>
      <c r="R15" s="10" t="e">
        <f t="shared" si="6"/>
        <v>#REF!</v>
      </c>
      <c r="S15" s="1" t="e">
        <f>SUMIFS(#REF!,#REF!,
 $A15,#REF!,
 "&gt;="&amp;INT($U$1),#REF!,
 "&lt;="&amp;INT($V$1)
)</f>
        <v>#REF!</v>
      </c>
      <c r="T15" s="1" t="e">
        <f t="shared" si="7"/>
        <v>#REF!</v>
      </c>
      <c r="U15" s="9" t="e">
        <f t="shared" si="8"/>
        <v>#REF!</v>
      </c>
      <c r="V15" s="10" t="e">
        <f t="shared" si="9"/>
        <v>#REF!</v>
      </c>
      <c r="W15" s="1" t="e">
        <f>SUMIFS(#REF!,#REF!,
 $A15,#REF!,
 "&gt;="&amp;INT($Y$1),#REF!,
 "&lt;="&amp;INT($Z$1)
)</f>
        <v>#REF!</v>
      </c>
      <c r="X15" s="1" t="e">
        <f t="shared" si="10"/>
        <v>#REF!</v>
      </c>
      <c r="Y15" s="9" t="e">
        <f t="shared" si="11"/>
        <v>#REF!</v>
      </c>
      <c r="Z15" s="10" t="e">
        <f t="shared" si="12"/>
        <v>#REF!</v>
      </c>
      <c r="AA15" s="1" t="e">
        <f>SUMIFS(#REF!,#REF!,
 $A15,#REF!,
 "&gt;="&amp;INT($AC$1),#REF!,
 "&lt;="&amp;INT($AD$1)
)</f>
        <v>#REF!</v>
      </c>
      <c r="AB15" s="1" t="e">
        <f t="shared" si="13"/>
        <v>#REF!</v>
      </c>
      <c r="AC15" s="9" t="e">
        <f t="shared" si="14"/>
        <v>#REF!</v>
      </c>
      <c r="AD15" s="10" t="e">
        <f t="shared" si="15"/>
        <v>#REF!</v>
      </c>
      <c r="AE15" s="1" t="e">
        <f>SUMIFS(#REF!,#REF!,
 $A15,#REF!,
 "&gt;="&amp;INT($AG$1),#REF!,
 "&lt;="&amp;INT($AH$1)
)</f>
        <v>#REF!</v>
      </c>
      <c r="AF15" s="1" t="e">
        <f t="shared" si="16"/>
        <v>#REF!</v>
      </c>
      <c r="AG15" s="9" t="e">
        <f t="shared" si="17"/>
        <v>#REF!</v>
      </c>
      <c r="AH15" s="10" t="e">
        <f t="shared" si="18"/>
        <v>#REF!</v>
      </c>
      <c r="AI15" s="1" t="e">
        <f>SUMIFS(#REF!,#REF!,
 $A15,#REF!,
 "&gt;="&amp;INT($AK$1),#REF!,
 "&lt;="&amp;INT($AL$1)
)</f>
        <v>#REF!</v>
      </c>
      <c r="AJ15" s="1" t="e">
        <f t="shared" si="19"/>
        <v>#REF!</v>
      </c>
      <c r="AK15" s="9" t="e">
        <f t="shared" si="20"/>
        <v>#REF!</v>
      </c>
      <c r="AL15" s="10" t="e">
        <f t="shared" si="21"/>
        <v>#REF!</v>
      </c>
      <c r="AM15" s="1" t="e">
        <f>SUMIFS(#REF!,#REF!,
 $A15,#REF!,
 "&gt;="&amp;INT($AO$1),#REF!,
 "&lt;="&amp;INT($AP$1)
)</f>
        <v>#REF!</v>
      </c>
      <c r="AN15" s="1" t="e">
        <f t="shared" si="22"/>
        <v>#REF!</v>
      </c>
      <c r="AO15" s="9" t="e">
        <f t="shared" si="23"/>
        <v>#REF!</v>
      </c>
      <c r="AP15" s="10" t="e">
        <f t="shared" si="24"/>
        <v>#REF!</v>
      </c>
      <c r="AQ15" s="1" t="e">
        <f>SUMIFS(#REF!,#REF!,
 $A15,#REF!,
 "&gt;="&amp;INT($AS$1),#REF!,
 "&lt;="&amp;INT($AT$1)
)</f>
        <v>#REF!</v>
      </c>
      <c r="AR15" s="1" t="e">
        <f t="shared" si="25"/>
        <v>#REF!</v>
      </c>
      <c r="AS15" s="9" t="e">
        <f t="shared" si="26"/>
        <v>#REF!</v>
      </c>
      <c r="AT15" s="10" t="e">
        <f t="shared" si="27"/>
        <v>#REF!</v>
      </c>
      <c r="AU15" s="1" t="e">
        <f>SUMIFS(#REF!,#REF!,
 $A15,#REF!,
 "&gt;="&amp;INT($AW$1),#REF!,
 "&lt;="&amp;INT($AX$1)
)</f>
        <v>#REF!</v>
      </c>
      <c r="AV15" s="1" t="e">
        <f t="shared" si="28"/>
        <v>#REF!</v>
      </c>
      <c r="AW15" s="9" t="e">
        <f t="shared" si="29"/>
        <v>#REF!</v>
      </c>
      <c r="AX15" s="10" t="e">
        <f t="shared" si="30"/>
        <v>#REF!</v>
      </c>
    </row>
    <row r="16" spans="1:50" x14ac:dyDescent="0.25">
      <c r="A16" s="5">
        <v>201004</v>
      </c>
      <c r="B16" s="6" t="s">
        <v>13</v>
      </c>
      <c r="C16" s="1" t="e">
        <f>SUMIFS(#REF!,#REF!,
 $A16,#REF!,
 "&gt;="&amp;INT($E$1),#REF!,
 "&lt;"&amp;INT($F$1+1)
)</f>
        <v>#REF!</v>
      </c>
      <c r="D16" s="1" t="str">
        <f>""</f>
        <v/>
      </c>
      <c r="F16" s="2"/>
      <c r="G16" s="1" t="e">
        <f>SUMIFS(#REF!,#REF!,
 $A16,#REF!,
 "&gt;="&amp;INT($I$1),#REF!,
 "&lt;"&amp;INT($J$1+1)
)</f>
        <v>#REF!</v>
      </c>
      <c r="H16" s="1" t="e">
        <f t="shared" si="0"/>
        <v>#REF!</v>
      </c>
      <c r="I16" s="1"/>
      <c r="J16" s="2"/>
      <c r="K16" s="1" t="e">
        <f>SUMIFS(#REF!,#REF!,
 $A16,#REF!,
 "&gt;="&amp;INT($M$1),#REF!,
 "&lt;"&amp;INT($N$1+1)
)</f>
        <v>#REF!</v>
      </c>
      <c r="L16" s="1" t="e">
        <f t="shared" si="1"/>
        <v>#REF!</v>
      </c>
      <c r="M16" s="9" t="e">
        <f t="shared" si="2"/>
        <v>#REF!</v>
      </c>
      <c r="N16" s="10" t="e">
        <f t="shared" si="3"/>
        <v>#REF!</v>
      </c>
      <c r="O16" s="1" t="e">
        <f>SUMIFS(#REF!,#REF!,
 $A16,#REF!,
 "&gt;="&amp;INT($Q$1),#REF!,
 "&lt;="&amp;INT($R$1)
)</f>
        <v>#REF!</v>
      </c>
      <c r="P16" s="1" t="e">
        <f t="shared" si="4"/>
        <v>#REF!</v>
      </c>
      <c r="Q16" s="9" t="e">
        <f t="shared" si="5"/>
        <v>#REF!</v>
      </c>
      <c r="R16" s="10" t="e">
        <f t="shared" si="6"/>
        <v>#REF!</v>
      </c>
      <c r="S16" s="1" t="e">
        <f>SUMIFS(#REF!,#REF!,
 $A16,#REF!,
 "&gt;="&amp;INT($U$1),#REF!,
 "&lt;="&amp;INT($V$1)
)</f>
        <v>#REF!</v>
      </c>
      <c r="T16" s="1" t="e">
        <f t="shared" si="7"/>
        <v>#REF!</v>
      </c>
      <c r="U16" s="9" t="e">
        <f t="shared" si="8"/>
        <v>#REF!</v>
      </c>
      <c r="V16" s="10" t="e">
        <f t="shared" si="9"/>
        <v>#REF!</v>
      </c>
      <c r="W16" s="1" t="e">
        <f>SUMIFS(#REF!,#REF!,
 $A16,#REF!,
 "&gt;="&amp;INT($Y$1),#REF!,
 "&lt;="&amp;INT($Z$1)
)</f>
        <v>#REF!</v>
      </c>
      <c r="X16" s="1" t="e">
        <f t="shared" si="10"/>
        <v>#REF!</v>
      </c>
      <c r="Y16" s="9" t="e">
        <f t="shared" si="11"/>
        <v>#REF!</v>
      </c>
      <c r="Z16" s="10" t="e">
        <f t="shared" si="12"/>
        <v>#REF!</v>
      </c>
      <c r="AA16" s="1" t="e">
        <f>SUMIFS(#REF!,#REF!,
 $A16,#REF!,
 "&gt;="&amp;INT($AC$1),#REF!,
 "&lt;="&amp;INT($AD$1)
)</f>
        <v>#REF!</v>
      </c>
      <c r="AB16" s="1" t="e">
        <f t="shared" si="13"/>
        <v>#REF!</v>
      </c>
      <c r="AC16" s="9" t="e">
        <f t="shared" si="14"/>
        <v>#REF!</v>
      </c>
      <c r="AD16" s="10" t="e">
        <f t="shared" si="15"/>
        <v>#REF!</v>
      </c>
      <c r="AE16" s="1" t="e">
        <f>SUMIFS(#REF!,#REF!,
 $A16,#REF!,
 "&gt;="&amp;INT($AG$1),#REF!,
 "&lt;="&amp;INT($AH$1)
)</f>
        <v>#REF!</v>
      </c>
      <c r="AF16" s="1" t="e">
        <f t="shared" si="16"/>
        <v>#REF!</v>
      </c>
      <c r="AG16" s="9" t="e">
        <f t="shared" si="17"/>
        <v>#REF!</v>
      </c>
      <c r="AH16" s="10" t="e">
        <f t="shared" si="18"/>
        <v>#REF!</v>
      </c>
      <c r="AI16" s="1" t="e">
        <f>SUMIFS(#REF!,#REF!,
 $A16,#REF!,
 "&gt;="&amp;INT($AK$1),#REF!,
 "&lt;="&amp;INT($AL$1)
)</f>
        <v>#REF!</v>
      </c>
      <c r="AJ16" s="1" t="e">
        <f t="shared" si="19"/>
        <v>#REF!</v>
      </c>
      <c r="AK16" s="9" t="e">
        <f t="shared" si="20"/>
        <v>#REF!</v>
      </c>
      <c r="AL16" s="10" t="e">
        <f t="shared" si="21"/>
        <v>#REF!</v>
      </c>
      <c r="AM16" s="1" t="e">
        <f>SUMIFS(#REF!,#REF!,
 $A16,#REF!,
 "&gt;="&amp;INT($AO$1),#REF!,
 "&lt;="&amp;INT($AP$1)
)</f>
        <v>#REF!</v>
      </c>
      <c r="AN16" s="1" t="e">
        <f t="shared" si="22"/>
        <v>#REF!</v>
      </c>
      <c r="AO16" s="9" t="e">
        <f t="shared" si="23"/>
        <v>#REF!</v>
      </c>
      <c r="AP16" s="10" t="e">
        <f t="shared" si="24"/>
        <v>#REF!</v>
      </c>
      <c r="AQ16" s="1" t="e">
        <f>SUMIFS(#REF!,#REF!,
 $A16,#REF!,
 "&gt;="&amp;INT($AS$1),#REF!,
 "&lt;="&amp;INT($AT$1)
)</f>
        <v>#REF!</v>
      </c>
      <c r="AR16" s="1" t="e">
        <f t="shared" si="25"/>
        <v>#REF!</v>
      </c>
      <c r="AS16" s="9" t="e">
        <f t="shared" si="26"/>
        <v>#REF!</v>
      </c>
      <c r="AT16" s="10" t="e">
        <f t="shared" si="27"/>
        <v>#REF!</v>
      </c>
      <c r="AU16" s="1" t="e">
        <f>SUMIFS(#REF!,#REF!,
 $A16,#REF!,
 "&gt;="&amp;INT($AW$1),#REF!,
 "&lt;="&amp;INT($AX$1)
)</f>
        <v>#REF!</v>
      </c>
      <c r="AV16" s="1" t="e">
        <f t="shared" si="28"/>
        <v>#REF!</v>
      </c>
      <c r="AW16" s="9" t="e">
        <f t="shared" si="29"/>
        <v>#REF!</v>
      </c>
      <c r="AX16" s="10" t="e">
        <f t="shared" si="30"/>
        <v>#REF!</v>
      </c>
    </row>
    <row r="17" spans="1:50" x14ac:dyDescent="0.25">
      <c r="A17" s="5">
        <v>201005</v>
      </c>
      <c r="B17" s="6" t="s">
        <v>14</v>
      </c>
      <c r="C17" s="1" t="e">
        <f>SUMIFS(#REF!,#REF!,
 $A17,#REF!,
 "&gt;="&amp;INT($E$1),#REF!,
 "&lt;"&amp;INT($F$1+1)
)</f>
        <v>#REF!</v>
      </c>
      <c r="D17" s="1" t="str">
        <f>""</f>
        <v/>
      </c>
      <c r="F17" s="2"/>
      <c r="G17" s="1" t="e">
        <f>SUMIFS(#REF!,#REF!,
 $A17,#REF!,
 "&gt;="&amp;INT($I$1),#REF!,
 "&lt;"&amp;INT($J$1+1)
)</f>
        <v>#REF!</v>
      </c>
      <c r="H17" s="1" t="e">
        <f t="shared" si="0"/>
        <v>#REF!</v>
      </c>
      <c r="I17" s="1"/>
      <c r="J17" s="2"/>
      <c r="K17" s="1" t="e">
        <f>SUMIFS(#REF!,#REF!,
 $A17,#REF!,
 "&gt;="&amp;INT($M$1),#REF!,
 "&lt;"&amp;INT($N$1+1)
)</f>
        <v>#REF!</v>
      </c>
      <c r="L17" s="1" t="e">
        <f t="shared" si="1"/>
        <v>#REF!</v>
      </c>
      <c r="M17" s="9" t="e">
        <f t="shared" si="2"/>
        <v>#REF!</v>
      </c>
      <c r="N17" s="10" t="e">
        <f t="shared" si="3"/>
        <v>#REF!</v>
      </c>
      <c r="O17" s="1" t="e">
        <f>SUMIFS(#REF!,#REF!,
 $A17,#REF!,
 "&gt;="&amp;INT($Q$1),#REF!,
 "&lt;="&amp;INT($R$1)
)</f>
        <v>#REF!</v>
      </c>
      <c r="P17" s="1" t="e">
        <f t="shared" si="4"/>
        <v>#REF!</v>
      </c>
      <c r="Q17" s="9" t="e">
        <f t="shared" si="5"/>
        <v>#REF!</v>
      </c>
      <c r="R17" s="10" t="e">
        <f t="shared" si="6"/>
        <v>#REF!</v>
      </c>
      <c r="S17" s="1" t="e">
        <f>SUMIFS(#REF!,#REF!,
 $A17,#REF!,
 "&gt;="&amp;INT($U$1),#REF!,
 "&lt;="&amp;INT($V$1)
)</f>
        <v>#REF!</v>
      </c>
      <c r="T17" s="1" t="e">
        <f t="shared" si="7"/>
        <v>#REF!</v>
      </c>
      <c r="U17" s="9" t="e">
        <f t="shared" si="8"/>
        <v>#REF!</v>
      </c>
      <c r="V17" s="10" t="e">
        <f t="shared" si="9"/>
        <v>#REF!</v>
      </c>
      <c r="W17" s="1" t="e">
        <f>SUMIFS(#REF!,#REF!,
 $A17,#REF!,
 "&gt;="&amp;INT($Y$1),#REF!,
 "&lt;="&amp;INT($Z$1)
)</f>
        <v>#REF!</v>
      </c>
      <c r="X17" s="1" t="e">
        <f t="shared" si="10"/>
        <v>#REF!</v>
      </c>
      <c r="Y17" s="9" t="e">
        <f t="shared" si="11"/>
        <v>#REF!</v>
      </c>
      <c r="Z17" s="10" t="e">
        <f t="shared" si="12"/>
        <v>#REF!</v>
      </c>
      <c r="AA17" s="1" t="e">
        <f>SUMIFS(#REF!,#REF!,
 $A17,#REF!,
 "&gt;="&amp;INT($AC$1),#REF!,
 "&lt;="&amp;INT($AD$1)
)</f>
        <v>#REF!</v>
      </c>
      <c r="AB17" s="1" t="e">
        <f t="shared" si="13"/>
        <v>#REF!</v>
      </c>
      <c r="AC17" s="9" t="e">
        <f t="shared" si="14"/>
        <v>#REF!</v>
      </c>
      <c r="AD17" s="10" t="e">
        <f t="shared" si="15"/>
        <v>#REF!</v>
      </c>
      <c r="AE17" s="1" t="e">
        <f>SUMIFS(#REF!,#REF!,
 $A17,#REF!,
 "&gt;="&amp;INT($AG$1),#REF!,
 "&lt;="&amp;INT($AH$1)
)</f>
        <v>#REF!</v>
      </c>
      <c r="AF17" s="1" t="e">
        <f t="shared" si="16"/>
        <v>#REF!</v>
      </c>
      <c r="AG17" s="9" t="e">
        <f t="shared" si="17"/>
        <v>#REF!</v>
      </c>
      <c r="AH17" s="10" t="e">
        <f t="shared" si="18"/>
        <v>#REF!</v>
      </c>
      <c r="AI17" s="1" t="e">
        <f>SUMIFS(#REF!,#REF!,
 $A17,#REF!,
 "&gt;="&amp;INT($AK$1),#REF!,
 "&lt;="&amp;INT($AL$1)
)</f>
        <v>#REF!</v>
      </c>
      <c r="AJ17" s="1" t="e">
        <f t="shared" si="19"/>
        <v>#REF!</v>
      </c>
      <c r="AK17" s="9" t="e">
        <f t="shared" si="20"/>
        <v>#REF!</v>
      </c>
      <c r="AL17" s="10" t="e">
        <f t="shared" si="21"/>
        <v>#REF!</v>
      </c>
      <c r="AM17" s="1" t="e">
        <f>SUMIFS(#REF!,#REF!,
 $A17,#REF!,
 "&gt;="&amp;INT($AO$1),#REF!,
 "&lt;="&amp;INT($AP$1)
)</f>
        <v>#REF!</v>
      </c>
      <c r="AN17" s="1" t="e">
        <f t="shared" si="22"/>
        <v>#REF!</v>
      </c>
      <c r="AO17" s="9" t="e">
        <f t="shared" si="23"/>
        <v>#REF!</v>
      </c>
      <c r="AP17" s="10" t="e">
        <f t="shared" si="24"/>
        <v>#REF!</v>
      </c>
      <c r="AQ17" s="1" t="e">
        <f>SUMIFS(#REF!,#REF!,
 $A17,#REF!,
 "&gt;="&amp;INT($AS$1),#REF!,
 "&lt;="&amp;INT($AT$1)
)</f>
        <v>#REF!</v>
      </c>
      <c r="AR17" s="1" t="e">
        <f t="shared" si="25"/>
        <v>#REF!</v>
      </c>
      <c r="AS17" s="9" t="e">
        <f t="shared" si="26"/>
        <v>#REF!</v>
      </c>
      <c r="AT17" s="10" t="e">
        <f t="shared" si="27"/>
        <v>#REF!</v>
      </c>
      <c r="AU17" s="1" t="e">
        <f>SUMIFS(#REF!,#REF!,
 $A17,#REF!,
 "&gt;="&amp;INT($AW$1),#REF!,
 "&lt;="&amp;INT($AX$1)
)</f>
        <v>#REF!</v>
      </c>
      <c r="AV17" s="1" t="e">
        <f t="shared" si="28"/>
        <v>#REF!</v>
      </c>
      <c r="AW17" s="9" t="e">
        <f t="shared" si="29"/>
        <v>#REF!</v>
      </c>
      <c r="AX17" s="10" t="e">
        <f t="shared" si="30"/>
        <v>#REF!</v>
      </c>
    </row>
    <row r="18" spans="1:50" x14ac:dyDescent="0.25">
      <c r="A18" s="5">
        <v>201009</v>
      </c>
      <c r="B18" s="6" t="s">
        <v>15</v>
      </c>
      <c r="C18" s="1" t="e">
        <f>SUMIFS(#REF!,#REF!,
 $A18,#REF!,
 "&gt;="&amp;INT($E$1),#REF!,
 "&lt;"&amp;INT($F$1+1)
)</f>
        <v>#REF!</v>
      </c>
      <c r="D18" s="1" t="str">
        <f>""</f>
        <v/>
      </c>
      <c r="F18" s="2"/>
      <c r="G18" s="1" t="e">
        <f>SUMIFS(#REF!,#REF!,
 $A18,#REF!,
 "&gt;="&amp;INT($I$1),#REF!,
 "&lt;"&amp;INT($J$1+1)
)</f>
        <v>#REF!</v>
      </c>
      <c r="H18" s="1" t="e">
        <f t="shared" si="0"/>
        <v>#REF!</v>
      </c>
      <c r="I18" s="1"/>
      <c r="J18" s="2"/>
      <c r="K18" s="1" t="e">
        <f>SUMIFS(#REF!,#REF!,
 $A18,#REF!,
 "&gt;="&amp;INT($M$1),#REF!,
 "&lt;"&amp;INT($N$1+1)
)</f>
        <v>#REF!</v>
      </c>
      <c r="L18" s="1" t="e">
        <f t="shared" si="1"/>
        <v>#REF!</v>
      </c>
      <c r="M18" s="9" t="e">
        <f t="shared" si="2"/>
        <v>#REF!</v>
      </c>
      <c r="N18" s="10" t="e">
        <f t="shared" si="3"/>
        <v>#REF!</v>
      </c>
      <c r="O18" s="1" t="e">
        <f>SUMIFS(#REF!,#REF!,
 $A18,#REF!,
 "&gt;="&amp;INT($Q$1),#REF!,
 "&lt;="&amp;INT($R$1)
)</f>
        <v>#REF!</v>
      </c>
      <c r="P18" s="1" t="e">
        <f t="shared" si="4"/>
        <v>#REF!</v>
      </c>
      <c r="Q18" s="9" t="e">
        <f t="shared" si="5"/>
        <v>#REF!</v>
      </c>
      <c r="R18" s="10" t="e">
        <f t="shared" si="6"/>
        <v>#REF!</v>
      </c>
      <c r="S18" s="1" t="e">
        <f>SUMIFS(#REF!,#REF!,
 $A18,#REF!,
 "&gt;="&amp;INT($U$1),#REF!,
 "&lt;="&amp;INT($V$1)
)</f>
        <v>#REF!</v>
      </c>
      <c r="T18" s="1" t="e">
        <f t="shared" si="7"/>
        <v>#REF!</v>
      </c>
      <c r="U18" s="9" t="e">
        <f t="shared" si="8"/>
        <v>#REF!</v>
      </c>
      <c r="V18" s="10" t="e">
        <f t="shared" si="9"/>
        <v>#REF!</v>
      </c>
      <c r="W18" s="1" t="e">
        <f>SUMIFS(#REF!,#REF!,
 $A18,#REF!,
 "&gt;="&amp;INT($Y$1),#REF!,
 "&lt;="&amp;INT($Z$1)
)</f>
        <v>#REF!</v>
      </c>
      <c r="X18" s="1" t="e">
        <f t="shared" si="10"/>
        <v>#REF!</v>
      </c>
      <c r="Y18" s="9" t="e">
        <f t="shared" si="11"/>
        <v>#REF!</v>
      </c>
      <c r="Z18" s="10" t="e">
        <f t="shared" si="12"/>
        <v>#REF!</v>
      </c>
      <c r="AA18" s="1" t="e">
        <f>SUMIFS(#REF!,#REF!,
 $A18,#REF!,
 "&gt;="&amp;INT($AC$1),#REF!,
 "&lt;="&amp;INT($AD$1)
)</f>
        <v>#REF!</v>
      </c>
      <c r="AB18" s="1" t="e">
        <f t="shared" si="13"/>
        <v>#REF!</v>
      </c>
      <c r="AC18" s="9" t="e">
        <f t="shared" si="14"/>
        <v>#REF!</v>
      </c>
      <c r="AD18" s="10" t="e">
        <f t="shared" si="15"/>
        <v>#REF!</v>
      </c>
      <c r="AE18" s="1" t="e">
        <f>SUMIFS(#REF!,#REF!,
 $A18,#REF!,
 "&gt;="&amp;INT($AG$1),#REF!,
 "&lt;="&amp;INT($AH$1)
)</f>
        <v>#REF!</v>
      </c>
      <c r="AF18" s="1" t="e">
        <f t="shared" si="16"/>
        <v>#REF!</v>
      </c>
      <c r="AG18" s="9" t="e">
        <f t="shared" si="17"/>
        <v>#REF!</v>
      </c>
      <c r="AH18" s="10" t="e">
        <f t="shared" si="18"/>
        <v>#REF!</v>
      </c>
      <c r="AI18" s="1" t="e">
        <f>SUMIFS(#REF!,#REF!,
 $A18,#REF!,
 "&gt;="&amp;INT($AK$1),#REF!,
 "&lt;="&amp;INT($AL$1)
)</f>
        <v>#REF!</v>
      </c>
      <c r="AJ18" s="1" t="e">
        <f t="shared" si="19"/>
        <v>#REF!</v>
      </c>
      <c r="AK18" s="9" t="e">
        <f t="shared" si="20"/>
        <v>#REF!</v>
      </c>
      <c r="AL18" s="10" t="e">
        <f t="shared" si="21"/>
        <v>#REF!</v>
      </c>
      <c r="AM18" s="1" t="e">
        <f>SUMIFS(#REF!,#REF!,
 $A18,#REF!,
 "&gt;="&amp;INT($AO$1),#REF!,
 "&lt;="&amp;INT($AP$1)
)</f>
        <v>#REF!</v>
      </c>
      <c r="AN18" s="1" t="e">
        <f t="shared" si="22"/>
        <v>#REF!</v>
      </c>
      <c r="AO18" s="9" t="e">
        <f t="shared" si="23"/>
        <v>#REF!</v>
      </c>
      <c r="AP18" s="10" t="e">
        <f t="shared" si="24"/>
        <v>#REF!</v>
      </c>
      <c r="AQ18" s="1" t="e">
        <f>SUMIFS(#REF!,#REF!,
 $A18,#REF!,
 "&gt;="&amp;INT($AS$1),#REF!,
 "&lt;="&amp;INT($AT$1)
)</f>
        <v>#REF!</v>
      </c>
      <c r="AR18" s="1" t="e">
        <f t="shared" si="25"/>
        <v>#REF!</v>
      </c>
      <c r="AS18" s="9" t="e">
        <f t="shared" si="26"/>
        <v>#REF!</v>
      </c>
      <c r="AT18" s="10" t="e">
        <f t="shared" si="27"/>
        <v>#REF!</v>
      </c>
      <c r="AU18" s="1" t="e">
        <f>SUMIFS(#REF!,#REF!,
 $A18,#REF!,
 "&gt;="&amp;INT($AW$1),#REF!,
 "&lt;="&amp;INT($AX$1)
)</f>
        <v>#REF!</v>
      </c>
      <c r="AV18" s="1" t="e">
        <f t="shared" si="28"/>
        <v>#REF!</v>
      </c>
      <c r="AW18" s="9" t="e">
        <f t="shared" si="29"/>
        <v>#REF!</v>
      </c>
      <c r="AX18" s="10" t="e">
        <f t="shared" si="30"/>
        <v>#REF!</v>
      </c>
    </row>
    <row r="19" spans="1:50" x14ac:dyDescent="0.25">
      <c r="A19" s="5">
        <v>201011</v>
      </c>
      <c r="B19" s="6" t="s">
        <v>16</v>
      </c>
      <c r="C19" s="1" t="e">
        <f>SUMIFS(#REF!,#REF!,
 $A19,#REF!,
 "&gt;="&amp;INT($E$1),#REF!,
 "&lt;"&amp;INT($F$1+1)
)</f>
        <v>#REF!</v>
      </c>
      <c r="D19" s="1" t="str">
        <f>""</f>
        <v/>
      </c>
      <c r="F19" s="2"/>
      <c r="G19" s="1" t="e">
        <f>SUMIFS(#REF!,#REF!,
 $A19,#REF!,
 "&gt;="&amp;INT($I$1),#REF!,
 "&lt;"&amp;INT($J$1+1)
)</f>
        <v>#REF!</v>
      </c>
      <c r="H19" s="1" t="e">
        <f t="shared" si="0"/>
        <v>#REF!</v>
      </c>
      <c r="I19" s="1"/>
      <c r="J19" s="2"/>
      <c r="K19" s="1" t="e">
        <f>SUMIFS(#REF!,#REF!,
 $A19,#REF!,
 "&gt;="&amp;INT($M$1),#REF!,
 "&lt;"&amp;INT($N$1+1)
)</f>
        <v>#REF!</v>
      </c>
      <c r="L19" s="1" t="e">
        <f t="shared" si="1"/>
        <v>#REF!</v>
      </c>
      <c r="M19" s="9" t="e">
        <f t="shared" si="2"/>
        <v>#REF!</v>
      </c>
      <c r="N19" s="10" t="e">
        <f t="shared" si="3"/>
        <v>#REF!</v>
      </c>
      <c r="O19" s="1" t="e">
        <f>SUMIFS(#REF!,#REF!,
 $A19,#REF!,
 "&gt;="&amp;INT($Q$1),#REF!,
 "&lt;="&amp;INT($R$1)
)</f>
        <v>#REF!</v>
      </c>
      <c r="P19" s="1" t="e">
        <f t="shared" si="4"/>
        <v>#REF!</v>
      </c>
      <c r="Q19" s="9" t="e">
        <f t="shared" si="5"/>
        <v>#REF!</v>
      </c>
      <c r="R19" s="10" t="e">
        <f t="shared" si="6"/>
        <v>#REF!</v>
      </c>
      <c r="S19" s="1" t="e">
        <f>SUMIFS(#REF!,#REF!,
 $A19,#REF!,
 "&gt;="&amp;INT($U$1),#REF!,
 "&lt;="&amp;INT($V$1)
)</f>
        <v>#REF!</v>
      </c>
      <c r="T19" s="1" t="e">
        <f t="shared" si="7"/>
        <v>#REF!</v>
      </c>
      <c r="U19" s="9" t="e">
        <f t="shared" si="8"/>
        <v>#REF!</v>
      </c>
      <c r="V19" s="10" t="e">
        <f t="shared" si="9"/>
        <v>#REF!</v>
      </c>
      <c r="W19" s="1" t="e">
        <f>SUMIFS(#REF!,#REF!,
 $A19,#REF!,
 "&gt;="&amp;INT($Y$1),#REF!,
 "&lt;="&amp;INT($Z$1)
)</f>
        <v>#REF!</v>
      </c>
      <c r="X19" s="1" t="e">
        <f t="shared" si="10"/>
        <v>#REF!</v>
      </c>
      <c r="Y19" s="9" t="e">
        <f t="shared" si="11"/>
        <v>#REF!</v>
      </c>
      <c r="Z19" s="10" t="e">
        <f t="shared" si="12"/>
        <v>#REF!</v>
      </c>
      <c r="AA19" s="1" t="e">
        <f>SUMIFS(#REF!,#REF!,
 $A19,#REF!,
 "&gt;="&amp;INT($AC$1),#REF!,
 "&lt;="&amp;INT($AD$1)
)</f>
        <v>#REF!</v>
      </c>
      <c r="AB19" s="1" t="e">
        <f t="shared" si="13"/>
        <v>#REF!</v>
      </c>
      <c r="AC19" s="9" t="e">
        <f t="shared" si="14"/>
        <v>#REF!</v>
      </c>
      <c r="AD19" s="10" t="e">
        <f t="shared" si="15"/>
        <v>#REF!</v>
      </c>
      <c r="AE19" s="1" t="e">
        <f>SUMIFS(#REF!,#REF!,
 $A19,#REF!,
 "&gt;="&amp;INT($AG$1),#REF!,
 "&lt;="&amp;INT($AH$1)
)</f>
        <v>#REF!</v>
      </c>
      <c r="AF19" s="1" t="e">
        <f t="shared" si="16"/>
        <v>#REF!</v>
      </c>
      <c r="AG19" s="9" t="e">
        <f t="shared" si="17"/>
        <v>#REF!</v>
      </c>
      <c r="AH19" s="10" t="e">
        <f t="shared" si="18"/>
        <v>#REF!</v>
      </c>
      <c r="AI19" s="1" t="e">
        <f>SUMIFS(#REF!,#REF!,
 $A19,#REF!,
 "&gt;="&amp;INT($AK$1),#REF!,
 "&lt;="&amp;INT($AL$1)
)</f>
        <v>#REF!</v>
      </c>
      <c r="AJ19" s="1" t="e">
        <f t="shared" si="19"/>
        <v>#REF!</v>
      </c>
      <c r="AK19" s="9" t="e">
        <f t="shared" si="20"/>
        <v>#REF!</v>
      </c>
      <c r="AL19" s="10" t="e">
        <f t="shared" si="21"/>
        <v>#REF!</v>
      </c>
      <c r="AM19" s="1" t="e">
        <f>SUMIFS(#REF!,#REF!,
 $A19,#REF!,
 "&gt;="&amp;INT($AO$1),#REF!,
 "&lt;="&amp;INT($AP$1)
)</f>
        <v>#REF!</v>
      </c>
      <c r="AN19" s="1" t="e">
        <f t="shared" si="22"/>
        <v>#REF!</v>
      </c>
      <c r="AO19" s="9" t="e">
        <f t="shared" si="23"/>
        <v>#REF!</v>
      </c>
      <c r="AP19" s="10" t="e">
        <f t="shared" si="24"/>
        <v>#REF!</v>
      </c>
      <c r="AQ19" s="1" t="e">
        <f>SUMIFS(#REF!,#REF!,
 $A19,#REF!,
 "&gt;="&amp;INT($AS$1),#REF!,
 "&lt;="&amp;INT($AT$1)
)</f>
        <v>#REF!</v>
      </c>
      <c r="AR19" s="1" t="e">
        <f t="shared" si="25"/>
        <v>#REF!</v>
      </c>
      <c r="AS19" s="9" t="e">
        <f t="shared" si="26"/>
        <v>#REF!</v>
      </c>
      <c r="AT19" s="10" t="e">
        <f t="shared" si="27"/>
        <v>#REF!</v>
      </c>
      <c r="AU19" s="1" t="e">
        <f>SUMIFS(#REF!,#REF!,
 $A19,#REF!,
 "&gt;="&amp;INT($AW$1),#REF!,
 "&lt;="&amp;INT($AX$1)
)</f>
        <v>#REF!</v>
      </c>
      <c r="AV19" s="1" t="e">
        <f t="shared" si="28"/>
        <v>#REF!</v>
      </c>
      <c r="AW19" s="9" t="e">
        <f t="shared" si="29"/>
        <v>#REF!</v>
      </c>
      <c r="AX19" s="10" t="e">
        <f t="shared" si="30"/>
        <v>#REF!</v>
      </c>
    </row>
    <row r="20" spans="1:50" x14ac:dyDescent="0.25">
      <c r="A20" s="5">
        <v>201020</v>
      </c>
      <c r="B20" s="6" t="s">
        <v>17</v>
      </c>
      <c r="C20" s="1" t="e">
        <f>SUMIFS(#REF!,#REF!,
 $A20,#REF!,
 "&gt;="&amp;INT($E$1),#REF!,
 "&lt;"&amp;INT($F$1+1)
)</f>
        <v>#REF!</v>
      </c>
      <c r="D20" s="1" t="str">
        <f>""</f>
        <v/>
      </c>
      <c r="F20" s="2"/>
      <c r="G20" s="1" t="e">
        <f>SUMIFS(#REF!,#REF!,
 $A20,#REF!,
 "&gt;="&amp;INT($I$1),#REF!,
 "&lt;"&amp;INT($J$1+1)
)</f>
        <v>#REF!</v>
      </c>
      <c r="H20" s="1" t="e">
        <f t="shared" si="0"/>
        <v>#REF!</v>
      </c>
      <c r="I20" s="1"/>
      <c r="J20" s="2"/>
      <c r="K20" s="1" t="e">
        <f>SUMIFS(#REF!,#REF!,
 $A20,#REF!,
 "&gt;="&amp;INT($M$1),#REF!,
 "&lt;"&amp;INT($N$1+1)
)</f>
        <v>#REF!</v>
      </c>
      <c r="L20" s="1" t="e">
        <f t="shared" si="1"/>
        <v>#REF!</v>
      </c>
      <c r="M20" s="9" t="e">
        <f t="shared" si="2"/>
        <v>#REF!</v>
      </c>
      <c r="N20" s="10" t="e">
        <f t="shared" si="3"/>
        <v>#REF!</v>
      </c>
      <c r="O20" s="1" t="e">
        <f>SUMIFS(#REF!,#REF!,
 $A20,#REF!,
 "&gt;="&amp;INT($Q$1),#REF!,
 "&lt;="&amp;INT($R$1)
)</f>
        <v>#REF!</v>
      </c>
      <c r="P20" s="1" t="e">
        <f t="shared" si="4"/>
        <v>#REF!</v>
      </c>
      <c r="Q20" s="9" t="e">
        <f t="shared" si="5"/>
        <v>#REF!</v>
      </c>
      <c r="R20" s="10" t="e">
        <f t="shared" si="6"/>
        <v>#REF!</v>
      </c>
      <c r="S20" s="1" t="e">
        <f>SUMIFS(#REF!,#REF!,
 $A20,#REF!,
 "&gt;="&amp;INT($U$1),#REF!,
 "&lt;="&amp;INT($V$1)
)</f>
        <v>#REF!</v>
      </c>
      <c r="T20" s="1" t="e">
        <f t="shared" si="7"/>
        <v>#REF!</v>
      </c>
      <c r="U20" s="9" t="e">
        <f t="shared" si="8"/>
        <v>#REF!</v>
      </c>
      <c r="V20" s="10" t="e">
        <f t="shared" si="9"/>
        <v>#REF!</v>
      </c>
      <c r="W20" s="1" t="e">
        <f>SUMIFS(#REF!,#REF!,
 $A20,#REF!,
 "&gt;="&amp;INT($Y$1),#REF!,
 "&lt;="&amp;INT($Z$1)
)</f>
        <v>#REF!</v>
      </c>
      <c r="X20" s="1" t="e">
        <f t="shared" si="10"/>
        <v>#REF!</v>
      </c>
      <c r="Y20" s="9" t="e">
        <f t="shared" si="11"/>
        <v>#REF!</v>
      </c>
      <c r="Z20" s="10" t="e">
        <f t="shared" si="12"/>
        <v>#REF!</v>
      </c>
      <c r="AA20" s="1" t="e">
        <f>SUMIFS(#REF!,#REF!,
 $A20,#REF!,
 "&gt;="&amp;INT($AC$1),#REF!,
 "&lt;="&amp;INT($AD$1)
)</f>
        <v>#REF!</v>
      </c>
      <c r="AB20" s="1" t="e">
        <f t="shared" si="13"/>
        <v>#REF!</v>
      </c>
      <c r="AC20" s="9" t="e">
        <f t="shared" si="14"/>
        <v>#REF!</v>
      </c>
      <c r="AD20" s="10" t="e">
        <f t="shared" si="15"/>
        <v>#REF!</v>
      </c>
      <c r="AE20" s="1" t="e">
        <f>SUMIFS(#REF!,#REF!,
 $A20,#REF!,
 "&gt;="&amp;INT($AG$1),#REF!,
 "&lt;="&amp;INT($AH$1)
)</f>
        <v>#REF!</v>
      </c>
      <c r="AF20" s="1" t="e">
        <f t="shared" si="16"/>
        <v>#REF!</v>
      </c>
      <c r="AG20" s="9" t="e">
        <f t="shared" si="17"/>
        <v>#REF!</v>
      </c>
      <c r="AH20" s="10" t="e">
        <f t="shared" si="18"/>
        <v>#REF!</v>
      </c>
      <c r="AI20" s="1" t="e">
        <f>SUMIFS(#REF!,#REF!,
 $A20,#REF!,
 "&gt;="&amp;INT($AK$1),#REF!,
 "&lt;="&amp;INT($AL$1)
)</f>
        <v>#REF!</v>
      </c>
      <c r="AJ20" s="1" t="e">
        <f t="shared" si="19"/>
        <v>#REF!</v>
      </c>
      <c r="AK20" s="9" t="e">
        <f t="shared" si="20"/>
        <v>#REF!</v>
      </c>
      <c r="AL20" s="10" t="e">
        <f t="shared" si="21"/>
        <v>#REF!</v>
      </c>
      <c r="AM20" s="1" t="e">
        <f>SUMIFS(#REF!,#REF!,
 $A20,#REF!,
 "&gt;="&amp;INT($AO$1),#REF!,
 "&lt;="&amp;INT($AP$1)
)</f>
        <v>#REF!</v>
      </c>
      <c r="AN20" s="1" t="e">
        <f t="shared" si="22"/>
        <v>#REF!</v>
      </c>
      <c r="AO20" s="9" t="e">
        <f t="shared" si="23"/>
        <v>#REF!</v>
      </c>
      <c r="AP20" s="10" t="e">
        <f t="shared" si="24"/>
        <v>#REF!</v>
      </c>
      <c r="AQ20" s="1" t="e">
        <f>SUMIFS(#REF!,#REF!,
 $A20,#REF!,
 "&gt;="&amp;INT($AS$1),#REF!,
 "&lt;="&amp;INT($AT$1)
)</f>
        <v>#REF!</v>
      </c>
      <c r="AR20" s="1" t="e">
        <f t="shared" si="25"/>
        <v>#REF!</v>
      </c>
      <c r="AS20" s="9" t="e">
        <f t="shared" si="26"/>
        <v>#REF!</v>
      </c>
      <c r="AT20" s="10" t="e">
        <f t="shared" si="27"/>
        <v>#REF!</v>
      </c>
      <c r="AU20" s="1" t="e">
        <f>SUMIFS(#REF!,#REF!,
 $A20,#REF!,
 "&gt;="&amp;INT($AW$1),#REF!,
 "&lt;="&amp;INT($AX$1)
)</f>
        <v>#REF!</v>
      </c>
      <c r="AV20" s="1" t="e">
        <f t="shared" si="28"/>
        <v>#REF!</v>
      </c>
      <c r="AW20" s="9" t="e">
        <f t="shared" si="29"/>
        <v>#REF!</v>
      </c>
      <c r="AX20" s="10" t="e">
        <f t="shared" si="30"/>
        <v>#REF!</v>
      </c>
    </row>
    <row r="21" spans="1:50" x14ac:dyDescent="0.25">
      <c r="A21" s="5">
        <v>201025</v>
      </c>
      <c r="B21" s="6" t="s">
        <v>18</v>
      </c>
      <c r="C21" s="1" t="e">
        <f>SUMIFS(#REF!,#REF!,
 $A21,#REF!,
 "&gt;="&amp;INT($E$1),#REF!,
 "&lt;"&amp;INT($F$1+1)
)</f>
        <v>#REF!</v>
      </c>
      <c r="D21" s="1" t="str">
        <f>""</f>
        <v/>
      </c>
      <c r="F21" s="2"/>
      <c r="G21" s="1" t="e">
        <f>SUMIFS(#REF!,#REF!,
 $A21,#REF!,
 "&gt;="&amp;INT($I$1),#REF!,
 "&lt;"&amp;INT($J$1+1)
)</f>
        <v>#REF!</v>
      </c>
      <c r="H21" s="1" t="e">
        <f t="shared" si="0"/>
        <v>#REF!</v>
      </c>
      <c r="I21" s="1"/>
      <c r="J21" s="2"/>
      <c r="K21" s="1" t="e">
        <f>SUMIFS(#REF!,#REF!,
 $A21,#REF!,
 "&gt;="&amp;INT($M$1),#REF!,
 "&lt;"&amp;INT($N$1+1)
)</f>
        <v>#REF!</v>
      </c>
      <c r="L21" s="1" t="e">
        <f t="shared" si="1"/>
        <v>#REF!</v>
      </c>
      <c r="M21" s="9" t="e">
        <f t="shared" si="2"/>
        <v>#REF!</v>
      </c>
      <c r="N21" s="10" t="e">
        <f t="shared" si="3"/>
        <v>#REF!</v>
      </c>
      <c r="O21" s="1" t="e">
        <f>SUMIFS(#REF!,#REF!,
 $A21,#REF!,
 "&gt;="&amp;INT($Q$1),#REF!,
 "&lt;="&amp;INT($R$1)
)</f>
        <v>#REF!</v>
      </c>
      <c r="P21" s="1" t="e">
        <f t="shared" si="4"/>
        <v>#REF!</v>
      </c>
      <c r="Q21" s="9" t="e">
        <f t="shared" si="5"/>
        <v>#REF!</v>
      </c>
      <c r="R21" s="10" t="e">
        <f t="shared" si="6"/>
        <v>#REF!</v>
      </c>
      <c r="S21" s="1" t="e">
        <f>SUMIFS(#REF!,#REF!,
 $A21,#REF!,
 "&gt;="&amp;INT($U$1),#REF!,
 "&lt;="&amp;INT($V$1)
)</f>
        <v>#REF!</v>
      </c>
      <c r="T21" s="1" t="e">
        <f t="shared" si="7"/>
        <v>#REF!</v>
      </c>
      <c r="U21" s="9" t="e">
        <f t="shared" si="8"/>
        <v>#REF!</v>
      </c>
      <c r="V21" s="10" t="e">
        <f t="shared" si="9"/>
        <v>#REF!</v>
      </c>
      <c r="W21" s="1" t="e">
        <f>SUMIFS(#REF!,#REF!,
 $A21,#REF!,
 "&gt;="&amp;INT($Y$1),#REF!,
 "&lt;="&amp;INT($Z$1)
)</f>
        <v>#REF!</v>
      </c>
      <c r="X21" s="1" t="e">
        <f t="shared" si="10"/>
        <v>#REF!</v>
      </c>
      <c r="Y21" s="9" t="e">
        <f t="shared" si="11"/>
        <v>#REF!</v>
      </c>
      <c r="Z21" s="10" t="e">
        <f t="shared" si="12"/>
        <v>#REF!</v>
      </c>
      <c r="AA21" s="1" t="e">
        <f>SUMIFS(#REF!,#REF!,
 $A21,#REF!,
 "&gt;="&amp;INT($AC$1),#REF!,
 "&lt;="&amp;INT($AD$1)
)</f>
        <v>#REF!</v>
      </c>
      <c r="AB21" s="1" t="e">
        <f t="shared" si="13"/>
        <v>#REF!</v>
      </c>
      <c r="AC21" s="9" t="e">
        <f t="shared" si="14"/>
        <v>#REF!</v>
      </c>
      <c r="AD21" s="10" t="e">
        <f t="shared" si="15"/>
        <v>#REF!</v>
      </c>
      <c r="AE21" s="1" t="e">
        <f>SUMIFS(#REF!,#REF!,
 $A21,#REF!,
 "&gt;="&amp;INT($AG$1),#REF!,
 "&lt;="&amp;INT($AH$1)
)</f>
        <v>#REF!</v>
      </c>
      <c r="AF21" s="1" t="e">
        <f t="shared" si="16"/>
        <v>#REF!</v>
      </c>
      <c r="AG21" s="9" t="e">
        <f t="shared" si="17"/>
        <v>#REF!</v>
      </c>
      <c r="AH21" s="10" t="e">
        <f t="shared" si="18"/>
        <v>#REF!</v>
      </c>
      <c r="AI21" s="1" t="e">
        <f>SUMIFS(#REF!,#REF!,
 $A21,#REF!,
 "&gt;="&amp;INT($AK$1),#REF!,
 "&lt;="&amp;INT($AL$1)
)</f>
        <v>#REF!</v>
      </c>
      <c r="AJ21" s="1" t="e">
        <f t="shared" si="19"/>
        <v>#REF!</v>
      </c>
      <c r="AK21" s="9" t="e">
        <f t="shared" si="20"/>
        <v>#REF!</v>
      </c>
      <c r="AL21" s="10" t="e">
        <f t="shared" si="21"/>
        <v>#REF!</v>
      </c>
      <c r="AM21" s="1" t="e">
        <f>SUMIFS(#REF!,#REF!,
 $A21,#REF!,
 "&gt;="&amp;INT($AO$1),#REF!,
 "&lt;="&amp;INT($AP$1)
)</f>
        <v>#REF!</v>
      </c>
      <c r="AN21" s="1" t="e">
        <f t="shared" si="22"/>
        <v>#REF!</v>
      </c>
      <c r="AO21" s="9" t="e">
        <f t="shared" si="23"/>
        <v>#REF!</v>
      </c>
      <c r="AP21" s="10" t="e">
        <f t="shared" si="24"/>
        <v>#REF!</v>
      </c>
      <c r="AQ21" s="1" t="e">
        <f>SUMIFS(#REF!,#REF!,
 $A21,#REF!,
 "&gt;="&amp;INT($AS$1),#REF!,
 "&lt;="&amp;INT($AT$1)
)</f>
        <v>#REF!</v>
      </c>
      <c r="AR21" s="1" t="e">
        <f t="shared" si="25"/>
        <v>#REF!</v>
      </c>
      <c r="AS21" s="9" t="e">
        <f t="shared" si="26"/>
        <v>#REF!</v>
      </c>
      <c r="AT21" s="10" t="e">
        <f t="shared" si="27"/>
        <v>#REF!</v>
      </c>
      <c r="AU21" s="1" t="e">
        <f>SUMIFS(#REF!,#REF!,
 $A21,#REF!,
 "&gt;="&amp;INT($AW$1),#REF!,
 "&lt;="&amp;INT($AX$1)
)</f>
        <v>#REF!</v>
      </c>
      <c r="AV21" s="1" t="e">
        <f t="shared" si="28"/>
        <v>#REF!</v>
      </c>
      <c r="AW21" s="9" t="e">
        <f t="shared" si="29"/>
        <v>#REF!</v>
      </c>
      <c r="AX21" s="10" t="e">
        <f t="shared" si="30"/>
        <v>#REF!</v>
      </c>
    </row>
    <row r="22" spans="1:50" x14ac:dyDescent="0.25">
      <c r="A22" s="5">
        <v>201026</v>
      </c>
      <c r="B22" s="6" t="s">
        <v>19</v>
      </c>
      <c r="C22" s="1" t="e">
        <f>SUMIFS(#REF!,#REF!,
 $A22,#REF!,
 "&gt;="&amp;INT($E$1),#REF!,
 "&lt;"&amp;INT($F$1+1)
)</f>
        <v>#REF!</v>
      </c>
      <c r="D22" s="1" t="str">
        <f>""</f>
        <v/>
      </c>
      <c r="F22" s="2"/>
      <c r="G22" s="1" t="e">
        <f>SUMIFS(#REF!,#REF!,
 $A22,#REF!,
 "&gt;="&amp;INT($I$1),#REF!,
 "&lt;"&amp;INT($J$1+1)
)</f>
        <v>#REF!</v>
      </c>
      <c r="H22" s="1" t="e">
        <f t="shared" si="0"/>
        <v>#REF!</v>
      </c>
      <c r="I22" s="1"/>
      <c r="J22" s="2"/>
      <c r="K22" s="1" t="e">
        <f>SUMIFS(#REF!,#REF!,
 $A22,#REF!,
 "&gt;="&amp;INT($M$1),#REF!,
 "&lt;"&amp;INT($N$1+1)
)</f>
        <v>#REF!</v>
      </c>
      <c r="L22" s="1" t="e">
        <f t="shared" si="1"/>
        <v>#REF!</v>
      </c>
      <c r="M22" s="9" t="e">
        <f t="shared" si="2"/>
        <v>#REF!</v>
      </c>
      <c r="N22" s="10" t="e">
        <f t="shared" si="3"/>
        <v>#REF!</v>
      </c>
      <c r="O22" s="1" t="e">
        <f>SUMIFS(#REF!,#REF!,
 $A22,#REF!,
 "&gt;="&amp;INT($Q$1),#REF!,
 "&lt;="&amp;INT($R$1)
)</f>
        <v>#REF!</v>
      </c>
      <c r="P22" s="1" t="e">
        <f t="shared" si="4"/>
        <v>#REF!</v>
      </c>
      <c r="Q22" s="9" t="e">
        <f t="shared" si="5"/>
        <v>#REF!</v>
      </c>
      <c r="R22" s="10" t="e">
        <f t="shared" si="6"/>
        <v>#REF!</v>
      </c>
      <c r="S22" s="1" t="e">
        <f>SUMIFS(#REF!,#REF!,
 $A22,#REF!,
 "&gt;="&amp;INT($U$1),#REF!,
 "&lt;="&amp;INT($V$1)
)</f>
        <v>#REF!</v>
      </c>
      <c r="T22" s="1" t="e">
        <f t="shared" si="7"/>
        <v>#REF!</v>
      </c>
      <c r="U22" s="9" t="e">
        <f t="shared" si="8"/>
        <v>#REF!</v>
      </c>
      <c r="V22" s="10" t="e">
        <f t="shared" si="9"/>
        <v>#REF!</v>
      </c>
      <c r="W22" s="1" t="e">
        <f>SUMIFS(#REF!,#REF!,
 $A22,#REF!,
 "&gt;="&amp;INT($Y$1),#REF!,
 "&lt;="&amp;INT($Z$1)
)</f>
        <v>#REF!</v>
      </c>
      <c r="X22" s="1" t="e">
        <f t="shared" si="10"/>
        <v>#REF!</v>
      </c>
      <c r="Y22" s="9" t="e">
        <f t="shared" si="11"/>
        <v>#REF!</v>
      </c>
      <c r="Z22" s="10" t="e">
        <f t="shared" si="12"/>
        <v>#REF!</v>
      </c>
      <c r="AA22" s="1" t="e">
        <f>SUMIFS(#REF!,#REF!,
 $A22,#REF!,
 "&gt;="&amp;INT($AC$1),#REF!,
 "&lt;="&amp;INT($AD$1)
)</f>
        <v>#REF!</v>
      </c>
      <c r="AB22" s="1" t="e">
        <f t="shared" si="13"/>
        <v>#REF!</v>
      </c>
      <c r="AC22" s="9" t="e">
        <f t="shared" si="14"/>
        <v>#REF!</v>
      </c>
      <c r="AD22" s="10" t="e">
        <f t="shared" si="15"/>
        <v>#REF!</v>
      </c>
      <c r="AE22" s="1" t="e">
        <f>SUMIFS(#REF!,#REF!,
 $A22,#REF!,
 "&gt;="&amp;INT($AG$1),#REF!,
 "&lt;="&amp;INT($AH$1)
)</f>
        <v>#REF!</v>
      </c>
      <c r="AF22" s="1" t="e">
        <f t="shared" si="16"/>
        <v>#REF!</v>
      </c>
      <c r="AG22" s="9" t="e">
        <f t="shared" si="17"/>
        <v>#REF!</v>
      </c>
      <c r="AH22" s="10" t="e">
        <f t="shared" si="18"/>
        <v>#REF!</v>
      </c>
      <c r="AI22" s="1" t="e">
        <f>SUMIFS(#REF!,#REF!,
 $A22,#REF!,
 "&gt;="&amp;INT($AK$1),#REF!,
 "&lt;="&amp;INT($AL$1)
)</f>
        <v>#REF!</v>
      </c>
      <c r="AJ22" s="1" t="e">
        <f t="shared" si="19"/>
        <v>#REF!</v>
      </c>
      <c r="AK22" s="9" t="e">
        <f t="shared" si="20"/>
        <v>#REF!</v>
      </c>
      <c r="AL22" s="10" t="e">
        <f t="shared" si="21"/>
        <v>#REF!</v>
      </c>
      <c r="AM22" s="1" t="e">
        <f>SUMIFS(#REF!,#REF!,
 $A22,#REF!,
 "&gt;="&amp;INT($AO$1),#REF!,
 "&lt;="&amp;INT($AP$1)
)</f>
        <v>#REF!</v>
      </c>
      <c r="AN22" s="1" t="e">
        <f t="shared" si="22"/>
        <v>#REF!</v>
      </c>
      <c r="AO22" s="9" t="e">
        <f t="shared" si="23"/>
        <v>#REF!</v>
      </c>
      <c r="AP22" s="10" t="e">
        <f t="shared" si="24"/>
        <v>#REF!</v>
      </c>
      <c r="AQ22" s="1" t="e">
        <f>SUMIFS(#REF!,#REF!,
 $A22,#REF!,
 "&gt;="&amp;INT($AS$1),#REF!,
 "&lt;="&amp;INT($AT$1)
)</f>
        <v>#REF!</v>
      </c>
      <c r="AR22" s="1" t="e">
        <f t="shared" si="25"/>
        <v>#REF!</v>
      </c>
      <c r="AS22" s="9" t="e">
        <f t="shared" si="26"/>
        <v>#REF!</v>
      </c>
      <c r="AT22" s="10" t="e">
        <f t="shared" si="27"/>
        <v>#REF!</v>
      </c>
      <c r="AU22" s="1" t="e">
        <f>SUMIFS(#REF!,#REF!,
 $A22,#REF!,
 "&gt;="&amp;INT($AW$1),#REF!,
 "&lt;="&amp;INT($AX$1)
)</f>
        <v>#REF!</v>
      </c>
      <c r="AV22" s="1" t="e">
        <f t="shared" si="28"/>
        <v>#REF!</v>
      </c>
      <c r="AW22" s="9" t="e">
        <f t="shared" si="29"/>
        <v>#REF!</v>
      </c>
      <c r="AX22" s="10" t="e">
        <f t="shared" si="30"/>
        <v>#REF!</v>
      </c>
    </row>
    <row r="23" spans="1:50" x14ac:dyDescent="0.25">
      <c r="A23" s="5">
        <v>201027</v>
      </c>
      <c r="B23" s="6" t="s">
        <v>20</v>
      </c>
      <c r="C23" s="1" t="e">
        <f>SUMIFS(#REF!,#REF!,
 $A23,#REF!,
 "&gt;="&amp;INT($E$1),#REF!,
 "&lt;"&amp;INT($F$1+1)
)</f>
        <v>#REF!</v>
      </c>
      <c r="D23" s="1" t="str">
        <f>""</f>
        <v/>
      </c>
      <c r="F23" s="2"/>
      <c r="G23" s="1" t="e">
        <f>SUMIFS(#REF!,#REF!,
 $A23,#REF!,
 "&gt;="&amp;INT($I$1),#REF!,
 "&lt;"&amp;INT($J$1+1)
)</f>
        <v>#REF!</v>
      </c>
      <c r="H23" s="1" t="e">
        <f t="shared" si="0"/>
        <v>#REF!</v>
      </c>
      <c r="I23" s="1"/>
      <c r="J23" s="2"/>
      <c r="K23" s="1" t="e">
        <f>SUMIFS(#REF!,#REF!,
 $A23,#REF!,
 "&gt;="&amp;INT($M$1),#REF!,
 "&lt;"&amp;INT($N$1+1)
)</f>
        <v>#REF!</v>
      </c>
      <c r="L23" s="1" t="e">
        <f t="shared" si="1"/>
        <v>#REF!</v>
      </c>
      <c r="M23" s="9" t="e">
        <f t="shared" si="2"/>
        <v>#REF!</v>
      </c>
      <c r="N23" s="10" t="e">
        <f t="shared" si="3"/>
        <v>#REF!</v>
      </c>
      <c r="O23" s="1" t="e">
        <f>SUMIFS(#REF!,#REF!,
 $A23,#REF!,
 "&gt;="&amp;INT($Q$1),#REF!,
 "&lt;="&amp;INT($R$1)
)</f>
        <v>#REF!</v>
      </c>
      <c r="P23" s="1" t="e">
        <f t="shared" si="4"/>
        <v>#REF!</v>
      </c>
      <c r="Q23" s="9" t="e">
        <f t="shared" si="5"/>
        <v>#REF!</v>
      </c>
      <c r="R23" s="10" t="e">
        <f t="shared" si="6"/>
        <v>#REF!</v>
      </c>
      <c r="S23" s="1" t="e">
        <f>SUMIFS(#REF!,#REF!,
 $A23,#REF!,
 "&gt;="&amp;INT($U$1),#REF!,
 "&lt;="&amp;INT($V$1)
)</f>
        <v>#REF!</v>
      </c>
      <c r="T23" s="1" t="e">
        <f t="shared" si="7"/>
        <v>#REF!</v>
      </c>
      <c r="U23" s="9" t="e">
        <f t="shared" si="8"/>
        <v>#REF!</v>
      </c>
      <c r="V23" s="10" t="e">
        <f t="shared" si="9"/>
        <v>#REF!</v>
      </c>
      <c r="W23" s="1" t="e">
        <f>SUMIFS(#REF!,#REF!,
 $A23,#REF!,
 "&gt;="&amp;INT($Y$1),#REF!,
 "&lt;="&amp;INT($Z$1)
)</f>
        <v>#REF!</v>
      </c>
      <c r="X23" s="1" t="e">
        <f t="shared" si="10"/>
        <v>#REF!</v>
      </c>
      <c r="Y23" s="9" t="e">
        <f t="shared" si="11"/>
        <v>#REF!</v>
      </c>
      <c r="Z23" s="10" t="e">
        <f t="shared" si="12"/>
        <v>#REF!</v>
      </c>
      <c r="AA23" s="1" t="e">
        <f>SUMIFS(#REF!,#REF!,
 $A23,#REF!,
 "&gt;="&amp;INT($AC$1),#REF!,
 "&lt;="&amp;INT($AD$1)
)</f>
        <v>#REF!</v>
      </c>
      <c r="AB23" s="1" t="e">
        <f t="shared" si="13"/>
        <v>#REF!</v>
      </c>
      <c r="AC23" s="9" t="e">
        <f t="shared" si="14"/>
        <v>#REF!</v>
      </c>
      <c r="AD23" s="10" t="e">
        <f t="shared" si="15"/>
        <v>#REF!</v>
      </c>
      <c r="AE23" s="1" t="e">
        <f>SUMIFS(#REF!,#REF!,
 $A23,#REF!,
 "&gt;="&amp;INT($AG$1),#REF!,
 "&lt;="&amp;INT($AH$1)
)</f>
        <v>#REF!</v>
      </c>
      <c r="AF23" s="1" t="e">
        <f t="shared" si="16"/>
        <v>#REF!</v>
      </c>
      <c r="AG23" s="9" t="e">
        <f t="shared" si="17"/>
        <v>#REF!</v>
      </c>
      <c r="AH23" s="10" t="e">
        <f t="shared" si="18"/>
        <v>#REF!</v>
      </c>
      <c r="AI23" s="1" t="e">
        <f>SUMIFS(#REF!,#REF!,
 $A23,#REF!,
 "&gt;="&amp;INT($AK$1),#REF!,
 "&lt;="&amp;INT($AL$1)
)</f>
        <v>#REF!</v>
      </c>
      <c r="AJ23" s="1" t="e">
        <f t="shared" si="19"/>
        <v>#REF!</v>
      </c>
      <c r="AK23" s="9" t="e">
        <f t="shared" si="20"/>
        <v>#REF!</v>
      </c>
      <c r="AL23" s="10" t="e">
        <f t="shared" si="21"/>
        <v>#REF!</v>
      </c>
      <c r="AM23" s="1" t="e">
        <f>SUMIFS(#REF!,#REF!,
 $A23,#REF!,
 "&gt;="&amp;INT($AO$1),#REF!,
 "&lt;="&amp;INT($AP$1)
)</f>
        <v>#REF!</v>
      </c>
      <c r="AN23" s="1" t="e">
        <f t="shared" si="22"/>
        <v>#REF!</v>
      </c>
      <c r="AO23" s="9" t="e">
        <f t="shared" si="23"/>
        <v>#REF!</v>
      </c>
      <c r="AP23" s="10" t="e">
        <f t="shared" si="24"/>
        <v>#REF!</v>
      </c>
      <c r="AQ23" s="1" t="e">
        <f>SUMIFS(#REF!,#REF!,
 $A23,#REF!,
 "&gt;="&amp;INT($AS$1),#REF!,
 "&lt;="&amp;INT($AT$1)
)</f>
        <v>#REF!</v>
      </c>
      <c r="AR23" s="1" t="e">
        <f t="shared" si="25"/>
        <v>#REF!</v>
      </c>
      <c r="AS23" s="9" t="e">
        <f t="shared" si="26"/>
        <v>#REF!</v>
      </c>
      <c r="AT23" s="10" t="e">
        <f t="shared" si="27"/>
        <v>#REF!</v>
      </c>
      <c r="AU23" s="1" t="e">
        <f>SUMIFS(#REF!,#REF!,
 $A23,#REF!,
 "&gt;="&amp;INT($AW$1),#REF!,
 "&lt;="&amp;INT($AX$1)
)</f>
        <v>#REF!</v>
      </c>
      <c r="AV23" s="1" t="e">
        <f t="shared" si="28"/>
        <v>#REF!</v>
      </c>
      <c r="AW23" s="9" t="e">
        <f t="shared" si="29"/>
        <v>#REF!</v>
      </c>
      <c r="AX23" s="10" t="e">
        <f t="shared" si="30"/>
        <v>#REF!</v>
      </c>
    </row>
    <row r="24" spans="1:50" x14ac:dyDescent="0.25">
      <c r="A24" s="5">
        <v>201028</v>
      </c>
      <c r="B24" s="6" t="s">
        <v>21</v>
      </c>
      <c r="C24" s="1" t="e">
        <f>SUMIFS(#REF!,#REF!,
 $A24,#REF!,
 "&gt;="&amp;INT($E$1),#REF!,
 "&lt;"&amp;INT($F$1+1)
)</f>
        <v>#REF!</v>
      </c>
      <c r="D24" s="1" t="str">
        <f>""</f>
        <v/>
      </c>
      <c r="F24" s="2"/>
      <c r="G24" s="1" t="e">
        <f>SUMIFS(#REF!,#REF!,
 $A24,#REF!,
 "&gt;="&amp;INT($I$1),#REF!,
 "&lt;"&amp;INT($J$1+1)
)</f>
        <v>#REF!</v>
      </c>
      <c r="H24" s="1" t="e">
        <f t="shared" si="0"/>
        <v>#REF!</v>
      </c>
      <c r="I24" s="1"/>
      <c r="J24" s="2"/>
      <c r="K24" s="1" t="e">
        <f>SUMIFS(#REF!,#REF!,
 $A24,#REF!,
 "&gt;="&amp;INT($M$1),#REF!,
 "&lt;"&amp;INT($N$1+1)
)</f>
        <v>#REF!</v>
      </c>
      <c r="L24" s="1" t="e">
        <f t="shared" si="1"/>
        <v>#REF!</v>
      </c>
      <c r="M24" s="9" t="e">
        <f t="shared" si="2"/>
        <v>#REF!</v>
      </c>
      <c r="N24" s="10" t="e">
        <f t="shared" si="3"/>
        <v>#REF!</v>
      </c>
      <c r="O24" s="1" t="e">
        <f>SUMIFS(#REF!,#REF!,
 $A24,#REF!,
 "&gt;="&amp;INT($Q$1),#REF!,
 "&lt;="&amp;INT($R$1)
)</f>
        <v>#REF!</v>
      </c>
      <c r="P24" s="1" t="e">
        <f t="shared" si="4"/>
        <v>#REF!</v>
      </c>
      <c r="Q24" s="9" t="e">
        <f t="shared" si="5"/>
        <v>#REF!</v>
      </c>
      <c r="R24" s="10" t="e">
        <f t="shared" si="6"/>
        <v>#REF!</v>
      </c>
      <c r="S24" s="1" t="e">
        <f>SUMIFS(#REF!,#REF!,
 $A24,#REF!,
 "&gt;="&amp;INT($U$1),#REF!,
 "&lt;="&amp;INT($V$1)
)</f>
        <v>#REF!</v>
      </c>
      <c r="T24" s="1" t="e">
        <f t="shared" si="7"/>
        <v>#REF!</v>
      </c>
      <c r="U24" s="9" t="e">
        <f t="shared" si="8"/>
        <v>#REF!</v>
      </c>
      <c r="V24" s="10" t="e">
        <f t="shared" si="9"/>
        <v>#REF!</v>
      </c>
      <c r="W24" s="1" t="e">
        <f>SUMIFS(#REF!,#REF!,
 $A24,#REF!,
 "&gt;="&amp;INT($Y$1),#REF!,
 "&lt;="&amp;INT($Z$1)
)</f>
        <v>#REF!</v>
      </c>
      <c r="X24" s="1" t="e">
        <f t="shared" si="10"/>
        <v>#REF!</v>
      </c>
      <c r="Y24" s="9" t="e">
        <f t="shared" si="11"/>
        <v>#REF!</v>
      </c>
      <c r="Z24" s="10" t="e">
        <f t="shared" si="12"/>
        <v>#REF!</v>
      </c>
      <c r="AA24" s="1" t="e">
        <f>SUMIFS(#REF!,#REF!,
 $A24,#REF!,
 "&gt;="&amp;INT($AC$1),#REF!,
 "&lt;="&amp;INT($AD$1)
)</f>
        <v>#REF!</v>
      </c>
      <c r="AB24" s="1" t="e">
        <f t="shared" si="13"/>
        <v>#REF!</v>
      </c>
      <c r="AC24" s="9" t="e">
        <f t="shared" si="14"/>
        <v>#REF!</v>
      </c>
      <c r="AD24" s="10" t="e">
        <f t="shared" si="15"/>
        <v>#REF!</v>
      </c>
      <c r="AE24" s="1" t="e">
        <f>SUMIFS(#REF!,#REF!,
 $A24,#REF!,
 "&gt;="&amp;INT($AG$1),#REF!,
 "&lt;="&amp;INT($AH$1)
)</f>
        <v>#REF!</v>
      </c>
      <c r="AF24" s="1" t="e">
        <f t="shared" si="16"/>
        <v>#REF!</v>
      </c>
      <c r="AG24" s="9" t="e">
        <f t="shared" si="17"/>
        <v>#REF!</v>
      </c>
      <c r="AH24" s="10" t="e">
        <f t="shared" si="18"/>
        <v>#REF!</v>
      </c>
      <c r="AI24" s="1" t="e">
        <f>SUMIFS(#REF!,#REF!,
 $A24,#REF!,
 "&gt;="&amp;INT($AK$1),#REF!,
 "&lt;="&amp;INT($AL$1)
)</f>
        <v>#REF!</v>
      </c>
      <c r="AJ24" s="1" t="e">
        <f t="shared" si="19"/>
        <v>#REF!</v>
      </c>
      <c r="AK24" s="9" t="e">
        <f t="shared" si="20"/>
        <v>#REF!</v>
      </c>
      <c r="AL24" s="10" t="e">
        <f t="shared" si="21"/>
        <v>#REF!</v>
      </c>
      <c r="AM24" s="1" t="e">
        <f>SUMIFS(#REF!,#REF!,
 $A24,#REF!,
 "&gt;="&amp;INT($AO$1),#REF!,
 "&lt;="&amp;INT($AP$1)
)</f>
        <v>#REF!</v>
      </c>
      <c r="AN24" s="1" t="e">
        <f t="shared" si="22"/>
        <v>#REF!</v>
      </c>
      <c r="AO24" s="9" t="e">
        <f t="shared" si="23"/>
        <v>#REF!</v>
      </c>
      <c r="AP24" s="10" t="e">
        <f t="shared" si="24"/>
        <v>#REF!</v>
      </c>
      <c r="AQ24" s="1" t="e">
        <f>SUMIFS(#REF!,#REF!,
 $A24,#REF!,
 "&gt;="&amp;INT($AS$1),#REF!,
 "&lt;="&amp;INT($AT$1)
)</f>
        <v>#REF!</v>
      </c>
      <c r="AR24" s="1" t="e">
        <f t="shared" si="25"/>
        <v>#REF!</v>
      </c>
      <c r="AS24" s="9" t="e">
        <f t="shared" si="26"/>
        <v>#REF!</v>
      </c>
      <c r="AT24" s="10" t="e">
        <f t="shared" si="27"/>
        <v>#REF!</v>
      </c>
      <c r="AU24" s="1" t="e">
        <f>SUMIFS(#REF!,#REF!,
 $A24,#REF!,
 "&gt;="&amp;INT($AW$1),#REF!,
 "&lt;="&amp;INT($AX$1)
)</f>
        <v>#REF!</v>
      </c>
      <c r="AV24" s="1" t="e">
        <f t="shared" si="28"/>
        <v>#REF!</v>
      </c>
      <c r="AW24" s="9" t="e">
        <f t="shared" si="29"/>
        <v>#REF!</v>
      </c>
      <c r="AX24" s="10" t="e">
        <f t="shared" si="30"/>
        <v>#REF!</v>
      </c>
    </row>
    <row r="25" spans="1:50" x14ac:dyDescent="0.25">
      <c r="A25" s="5">
        <v>202001</v>
      </c>
      <c r="B25" s="6" t="s">
        <v>22</v>
      </c>
      <c r="C25" s="1" t="e">
        <f>SUMIFS(#REF!,#REF!,
 $A25,#REF!,
 "&gt;="&amp;INT($E$1),#REF!,
 "&lt;"&amp;INT($F$1+1)
)</f>
        <v>#REF!</v>
      </c>
      <c r="D25" s="1" t="str">
        <f>""</f>
        <v/>
      </c>
      <c r="F25" s="2"/>
      <c r="G25" s="1" t="e">
        <f>SUMIFS(#REF!,#REF!,
 $A25,#REF!,
 "&gt;="&amp;INT($I$1),#REF!,
 "&lt;"&amp;INT($J$1+1)
)</f>
        <v>#REF!</v>
      </c>
      <c r="H25" s="1" t="e">
        <f t="shared" si="0"/>
        <v>#REF!</v>
      </c>
      <c r="I25" s="1"/>
      <c r="J25" s="2"/>
      <c r="K25" s="1" t="e">
        <f>SUMIFS(#REF!,#REF!,
 $A25,#REF!,
 "&gt;="&amp;INT($M$1),#REF!,
 "&lt;"&amp;INT($N$1+1)
)</f>
        <v>#REF!</v>
      </c>
      <c r="L25" s="1" t="e">
        <f t="shared" si="1"/>
        <v>#REF!</v>
      </c>
      <c r="M25" s="9" t="e">
        <f t="shared" si="2"/>
        <v>#REF!</v>
      </c>
      <c r="N25" s="10" t="e">
        <f t="shared" si="3"/>
        <v>#REF!</v>
      </c>
      <c r="O25" s="1" t="e">
        <f>SUMIFS(#REF!,#REF!,
 $A25,#REF!,
 "&gt;="&amp;INT($Q$1),#REF!,
 "&lt;="&amp;INT($R$1)
)</f>
        <v>#REF!</v>
      </c>
      <c r="P25" s="1" t="e">
        <f t="shared" si="4"/>
        <v>#REF!</v>
      </c>
      <c r="Q25" s="9" t="e">
        <f t="shared" si="5"/>
        <v>#REF!</v>
      </c>
      <c r="R25" s="10" t="e">
        <f t="shared" si="6"/>
        <v>#REF!</v>
      </c>
      <c r="S25" s="1" t="e">
        <f>SUMIFS(#REF!,#REF!,
 $A25,#REF!,
 "&gt;="&amp;INT($U$1),#REF!,
 "&lt;="&amp;INT($V$1)
)</f>
        <v>#REF!</v>
      </c>
      <c r="T25" s="1" t="e">
        <f t="shared" si="7"/>
        <v>#REF!</v>
      </c>
      <c r="U25" s="9" t="e">
        <f t="shared" si="8"/>
        <v>#REF!</v>
      </c>
      <c r="V25" s="10" t="e">
        <f t="shared" si="9"/>
        <v>#REF!</v>
      </c>
      <c r="W25" s="1" t="e">
        <f>SUMIFS(#REF!,#REF!,
 $A25,#REF!,
 "&gt;="&amp;INT($Y$1),#REF!,
 "&lt;="&amp;INT($Z$1)
)</f>
        <v>#REF!</v>
      </c>
      <c r="X25" s="1" t="e">
        <f t="shared" si="10"/>
        <v>#REF!</v>
      </c>
      <c r="Y25" s="9" t="e">
        <f t="shared" si="11"/>
        <v>#REF!</v>
      </c>
      <c r="Z25" s="10" t="e">
        <f t="shared" si="12"/>
        <v>#REF!</v>
      </c>
      <c r="AA25" s="1" t="e">
        <f>SUMIFS(#REF!,#REF!,
 $A25,#REF!,
 "&gt;="&amp;INT($AC$1),#REF!,
 "&lt;="&amp;INT($AD$1)
)</f>
        <v>#REF!</v>
      </c>
      <c r="AB25" s="1" t="e">
        <f t="shared" si="13"/>
        <v>#REF!</v>
      </c>
      <c r="AC25" s="9" t="e">
        <f t="shared" si="14"/>
        <v>#REF!</v>
      </c>
      <c r="AD25" s="10" t="e">
        <f t="shared" si="15"/>
        <v>#REF!</v>
      </c>
      <c r="AE25" s="1" t="e">
        <f>SUMIFS(#REF!,#REF!,
 $A25,#REF!,
 "&gt;="&amp;INT($AG$1),#REF!,
 "&lt;="&amp;INT($AH$1)
)</f>
        <v>#REF!</v>
      </c>
      <c r="AF25" s="1" t="e">
        <f t="shared" si="16"/>
        <v>#REF!</v>
      </c>
      <c r="AG25" s="9" t="e">
        <f t="shared" si="17"/>
        <v>#REF!</v>
      </c>
      <c r="AH25" s="10" t="e">
        <f t="shared" si="18"/>
        <v>#REF!</v>
      </c>
      <c r="AI25" s="1" t="e">
        <f>SUMIFS(#REF!,#REF!,
 $A25,#REF!,
 "&gt;="&amp;INT($AK$1),#REF!,
 "&lt;="&amp;INT($AL$1)
)</f>
        <v>#REF!</v>
      </c>
      <c r="AJ25" s="1" t="e">
        <f t="shared" si="19"/>
        <v>#REF!</v>
      </c>
      <c r="AK25" s="9" t="e">
        <f t="shared" si="20"/>
        <v>#REF!</v>
      </c>
      <c r="AL25" s="10" t="e">
        <f t="shared" si="21"/>
        <v>#REF!</v>
      </c>
      <c r="AM25" s="1" t="e">
        <f>SUMIFS(#REF!,#REF!,
 $A25,#REF!,
 "&gt;="&amp;INT($AO$1),#REF!,
 "&lt;="&amp;INT($AP$1)
)</f>
        <v>#REF!</v>
      </c>
      <c r="AN25" s="1" t="e">
        <f t="shared" si="22"/>
        <v>#REF!</v>
      </c>
      <c r="AO25" s="9" t="e">
        <f t="shared" si="23"/>
        <v>#REF!</v>
      </c>
      <c r="AP25" s="10" t="e">
        <f t="shared" si="24"/>
        <v>#REF!</v>
      </c>
      <c r="AQ25" s="1" t="e">
        <f>SUMIFS(#REF!,#REF!,
 $A25,#REF!,
 "&gt;="&amp;INT($AS$1),#REF!,
 "&lt;="&amp;INT($AT$1)
)</f>
        <v>#REF!</v>
      </c>
      <c r="AR25" s="1" t="e">
        <f t="shared" si="25"/>
        <v>#REF!</v>
      </c>
      <c r="AS25" s="9" t="e">
        <f t="shared" si="26"/>
        <v>#REF!</v>
      </c>
      <c r="AT25" s="10" t="e">
        <f t="shared" si="27"/>
        <v>#REF!</v>
      </c>
      <c r="AU25" s="1" t="e">
        <f>SUMIFS(#REF!,#REF!,
 $A25,#REF!,
 "&gt;="&amp;INT($AW$1),#REF!,
 "&lt;="&amp;INT($AX$1)
)</f>
        <v>#REF!</v>
      </c>
      <c r="AV25" s="1" t="e">
        <f t="shared" si="28"/>
        <v>#REF!</v>
      </c>
      <c r="AW25" s="9" t="e">
        <f t="shared" si="29"/>
        <v>#REF!</v>
      </c>
      <c r="AX25" s="10" t="e">
        <f t="shared" si="30"/>
        <v>#REF!</v>
      </c>
    </row>
    <row r="26" spans="1:50" x14ac:dyDescent="0.25">
      <c r="A26" s="5">
        <v>202002</v>
      </c>
      <c r="B26" s="6" t="s">
        <v>23</v>
      </c>
      <c r="C26" s="1" t="e">
        <f>SUMIFS(#REF!,#REF!,
 $A26,#REF!,
 "&gt;="&amp;INT($E$1),#REF!,
 "&lt;"&amp;INT($F$1+1)
)</f>
        <v>#REF!</v>
      </c>
      <c r="D26" s="1" t="str">
        <f>""</f>
        <v/>
      </c>
      <c r="F26" s="2"/>
      <c r="G26" s="1" t="e">
        <f>SUMIFS(#REF!,#REF!,
 $A26,#REF!,
 "&gt;="&amp;INT($I$1),#REF!,
 "&lt;"&amp;INT($J$1+1)
)</f>
        <v>#REF!</v>
      </c>
      <c r="H26" s="1" t="e">
        <f t="shared" si="0"/>
        <v>#REF!</v>
      </c>
      <c r="I26" s="1"/>
      <c r="J26" s="2"/>
      <c r="K26" s="1" t="e">
        <f>SUMIFS(#REF!,#REF!,
 $A26,#REF!,
 "&gt;="&amp;INT($M$1),#REF!,
 "&lt;"&amp;INT($N$1+1)
)</f>
        <v>#REF!</v>
      </c>
      <c r="L26" s="1" t="e">
        <f t="shared" si="1"/>
        <v>#REF!</v>
      </c>
      <c r="M26" s="9" t="e">
        <f t="shared" si="2"/>
        <v>#REF!</v>
      </c>
      <c r="N26" s="10" t="e">
        <f t="shared" si="3"/>
        <v>#REF!</v>
      </c>
      <c r="O26" s="1" t="e">
        <f>SUMIFS(#REF!,#REF!,
 $A26,#REF!,
 "&gt;="&amp;INT($Q$1),#REF!,
 "&lt;="&amp;INT($R$1)
)</f>
        <v>#REF!</v>
      </c>
      <c r="P26" s="1" t="e">
        <f t="shared" si="4"/>
        <v>#REF!</v>
      </c>
      <c r="Q26" s="9" t="e">
        <f t="shared" si="5"/>
        <v>#REF!</v>
      </c>
      <c r="R26" s="10" t="e">
        <f t="shared" si="6"/>
        <v>#REF!</v>
      </c>
      <c r="S26" s="1" t="e">
        <f>SUMIFS(#REF!,#REF!,
 $A26,#REF!,
 "&gt;="&amp;INT($U$1),#REF!,
 "&lt;="&amp;INT($V$1)
)</f>
        <v>#REF!</v>
      </c>
      <c r="T26" s="1" t="e">
        <f t="shared" si="7"/>
        <v>#REF!</v>
      </c>
      <c r="U26" s="9" t="e">
        <f t="shared" si="8"/>
        <v>#REF!</v>
      </c>
      <c r="V26" s="10" t="e">
        <f t="shared" si="9"/>
        <v>#REF!</v>
      </c>
      <c r="W26" s="1" t="e">
        <f>SUMIFS(#REF!,#REF!,
 $A26,#REF!,
 "&gt;="&amp;INT($Y$1),#REF!,
 "&lt;="&amp;INT($Z$1)
)</f>
        <v>#REF!</v>
      </c>
      <c r="X26" s="1" t="e">
        <f t="shared" si="10"/>
        <v>#REF!</v>
      </c>
      <c r="Y26" s="9" t="e">
        <f t="shared" si="11"/>
        <v>#REF!</v>
      </c>
      <c r="Z26" s="10" t="e">
        <f t="shared" si="12"/>
        <v>#REF!</v>
      </c>
      <c r="AA26" s="1" t="e">
        <f>SUMIFS(#REF!,#REF!,
 $A26,#REF!,
 "&gt;="&amp;INT($AC$1),#REF!,
 "&lt;="&amp;INT($AD$1)
)</f>
        <v>#REF!</v>
      </c>
      <c r="AB26" s="1" t="e">
        <f t="shared" si="13"/>
        <v>#REF!</v>
      </c>
      <c r="AC26" s="9" t="e">
        <f t="shared" si="14"/>
        <v>#REF!</v>
      </c>
      <c r="AD26" s="10" t="e">
        <f t="shared" si="15"/>
        <v>#REF!</v>
      </c>
      <c r="AE26" s="1" t="e">
        <f>SUMIFS(#REF!,#REF!,
 $A26,#REF!,
 "&gt;="&amp;INT($AG$1),#REF!,
 "&lt;="&amp;INT($AH$1)
)</f>
        <v>#REF!</v>
      </c>
      <c r="AF26" s="1" t="e">
        <f t="shared" si="16"/>
        <v>#REF!</v>
      </c>
      <c r="AG26" s="9" t="e">
        <f t="shared" si="17"/>
        <v>#REF!</v>
      </c>
      <c r="AH26" s="10" t="e">
        <f t="shared" si="18"/>
        <v>#REF!</v>
      </c>
      <c r="AI26" s="1" t="e">
        <f>SUMIFS(#REF!,#REF!,
 $A26,#REF!,
 "&gt;="&amp;INT($AK$1),#REF!,
 "&lt;="&amp;INT($AL$1)
)</f>
        <v>#REF!</v>
      </c>
      <c r="AJ26" s="1" t="e">
        <f t="shared" si="19"/>
        <v>#REF!</v>
      </c>
      <c r="AK26" s="9" t="e">
        <f t="shared" si="20"/>
        <v>#REF!</v>
      </c>
      <c r="AL26" s="10" t="e">
        <f t="shared" si="21"/>
        <v>#REF!</v>
      </c>
      <c r="AM26" s="1" t="e">
        <f>SUMIFS(#REF!,#REF!,
 $A26,#REF!,
 "&gt;="&amp;INT($AO$1),#REF!,
 "&lt;="&amp;INT($AP$1)
)</f>
        <v>#REF!</v>
      </c>
      <c r="AN26" s="1" t="e">
        <f t="shared" si="22"/>
        <v>#REF!</v>
      </c>
      <c r="AO26" s="9" t="e">
        <f t="shared" si="23"/>
        <v>#REF!</v>
      </c>
      <c r="AP26" s="10" t="e">
        <f t="shared" si="24"/>
        <v>#REF!</v>
      </c>
      <c r="AQ26" s="1" t="e">
        <f>SUMIFS(#REF!,#REF!,
 $A26,#REF!,
 "&gt;="&amp;INT($AS$1),#REF!,
 "&lt;="&amp;INT($AT$1)
)</f>
        <v>#REF!</v>
      </c>
      <c r="AR26" s="1" t="e">
        <f t="shared" si="25"/>
        <v>#REF!</v>
      </c>
      <c r="AS26" s="9" t="e">
        <f t="shared" si="26"/>
        <v>#REF!</v>
      </c>
      <c r="AT26" s="10" t="e">
        <f t="shared" si="27"/>
        <v>#REF!</v>
      </c>
      <c r="AU26" s="1" t="e">
        <f>SUMIFS(#REF!,#REF!,
 $A26,#REF!,
 "&gt;="&amp;INT($AW$1),#REF!,
 "&lt;="&amp;INT($AX$1)
)</f>
        <v>#REF!</v>
      </c>
      <c r="AV26" s="1" t="e">
        <f t="shared" si="28"/>
        <v>#REF!</v>
      </c>
      <c r="AW26" s="9" t="e">
        <f t="shared" si="29"/>
        <v>#REF!</v>
      </c>
      <c r="AX26" s="10" t="e">
        <f t="shared" si="30"/>
        <v>#REF!</v>
      </c>
    </row>
    <row r="27" spans="1:50" x14ac:dyDescent="0.25">
      <c r="A27" s="5">
        <v>202003</v>
      </c>
      <c r="B27" s="6" t="s">
        <v>24</v>
      </c>
      <c r="C27" s="1" t="e">
        <f>SUMIFS(#REF!,#REF!,
 $A27,#REF!,
 "&gt;="&amp;INT($E$1),#REF!,
 "&lt;"&amp;INT($F$1+1)
)</f>
        <v>#REF!</v>
      </c>
      <c r="D27" s="1" t="str">
        <f>""</f>
        <v/>
      </c>
      <c r="F27" s="2"/>
      <c r="G27" s="1" t="e">
        <f>SUMIFS(#REF!,#REF!,
 $A27,#REF!,
 "&gt;="&amp;INT($I$1),#REF!,
 "&lt;"&amp;INT($J$1+1)
)</f>
        <v>#REF!</v>
      </c>
      <c r="H27" s="1" t="e">
        <f t="shared" si="0"/>
        <v>#REF!</v>
      </c>
      <c r="I27" s="1"/>
      <c r="J27" s="2"/>
      <c r="K27" s="1" t="e">
        <f>SUMIFS(#REF!,#REF!,
 $A27,#REF!,
 "&gt;="&amp;INT($M$1),#REF!,
 "&lt;"&amp;INT($N$1+1)
)</f>
        <v>#REF!</v>
      </c>
      <c r="L27" s="1" t="e">
        <f t="shared" si="1"/>
        <v>#REF!</v>
      </c>
      <c r="M27" s="9" t="e">
        <f t="shared" si="2"/>
        <v>#REF!</v>
      </c>
      <c r="N27" s="10" t="e">
        <f t="shared" si="3"/>
        <v>#REF!</v>
      </c>
      <c r="O27" s="1" t="e">
        <f>SUMIFS(#REF!,#REF!,
 $A27,#REF!,
 "&gt;="&amp;INT($Q$1),#REF!,
 "&lt;="&amp;INT($R$1)
)</f>
        <v>#REF!</v>
      </c>
      <c r="P27" s="1" t="e">
        <f t="shared" si="4"/>
        <v>#REF!</v>
      </c>
      <c r="Q27" s="9" t="e">
        <f t="shared" si="5"/>
        <v>#REF!</v>
      </c>
      <c r="R27" s="10" t="e">
        <f t="shared" si="6"/>
        <v>#REF!</v>
      </c>
      <c r="S27" s="1" t="e">
        <f>SUMIFS(#REF!,#REF!,
 $A27,#REF!,
 "&gt;="&amp;INT($U$1),#REF!,
 "&lt;="&amp;INT($V$1)
)</f>
        <v>#REF!</v>
      </c>
      <c r="T27" s="1" t="e">
        <f t="shared" si="7"/>
        <v>#REF!</v>
      </c>
      <c r="U27" s="9" t="e">
        <f t="shared" si="8"/>
        <v>#REF!</v>
      </c>
      <c r="V27" s="10" t="e">
        <f t="shared" si="9"/>
        <v>#REF!</v>
      </c>
      <c r="W27" s="1" t="e">
        <f>SUMIFS(#REF!,#REF!,
 $A27,#REF!,
 "&gt;="&amp;INT($Y$1),#REF!,
 "&lt;="&amp;INT($Z$1)
)</f>
        <v>#REF!</v>
      </c>
      <c r="X27" s="1" t="e">
        <f t="shared" si="10"/>
        <v>#REF!</v>
      </c>
      <c r="Y27" s="9" t="e">
        <f t="shared" si="11"/>
        <v>#REF!</v>
      </c>
      <c r="Z27" s="10" t="e">
        <f t="shared" si="12"/>
        <v>#REF!</v>
      </c>
      <c r="AA27" s="1" t="e">
        <f>SUMIFS(#REF!,#REF!,
 $A27,#REF!,
 "&gt;="&amp;INT($AC$1),#REF!,
 "&lt;="&amp;INT($AD$1)
)</f>
        <v>#REF!</v>
      </c>
      <c r="AB27" s="1" t="e">
        <f t="shared" si="13"/>
        <v>#REF!</v>
      </c>
      <c r="AC27" s="9" t="e">
        <f t="shared" si="14"/>
        <v>#REF!</v>
      </c>
      <c r="AD27" s="10" t="e">
        <f t="shared" si="15"/>
        <v>#REF!</v>
      </c>
      <c r="AE27" s="1" t="e">
        <f>SUMIFS(#REF!,#REF!,
 $A27,#REF!,
 "&gt;="&amp;INT($AG$1),#REF!,
 "&lt;="&amp;INT($AH$1)
)</f>
        <v>#REF!</v>
      </c>
      <c r="AF27" s="1" t="e">
        <f t="shared" si="16"/>
        <v>#REF!</v>
      </c>
      <c r="AG27" s="9" t="e">
        <f t="shared" si="17"/>
        <v>#REF!</v>
      </c>
      <c r="AH27" s="10" t="e">
        <f t="shared" si="18"/>
        <v>#REF!</v>
      </c>
      <c r="AI27" s="1" t="e">
        <f>SUMIFS(#REF!,#REF!,
 $A27,#REF!,
 "&gt;="&amp;INT($AK$1),#REF!,
 "&lt;="&amp;INT($AL$1)
)</f>
        <v>#REF!</v>
      </c>
      <c r="AJ27" s="1" t="e">
        <f t="shared" si="19"/>
        <v>#REF!</v>
      </c>
      <c r="AK27" s="9" t="e">
        <f t="shared" si="20"/>
        <v>#REF!</v>
      </c>
      <c r="AL27" s="10" t="e">
        <f t="shared" si="21"/>
        <v>#REF!</v>
      </c>
      <c r="AM27" s="1" t="e">
        <f>SUMIFS(#REF!,#REF!,
 $A27,#REF!,
 "&gt;="&amp;INT($AO$1),#REF!,
 "&lt;="&amp;INT($AP$1)
)</f>
        <v>#REF!</v>
      </c>
      <c r="AN27" s="1" t="e">
        <f t="shared" si="22"/>
        <v>#REF!</v>
      </c>
      <c r="AO27" s="9" t="e">
        <f t="shared" si="23"/>
        <v>#REF!</v>
      </c>
      <c r="AP27" s="10" t="e">
        <f t="shared" si="24"/>
        <v>#REF!</v>
      </c>
      <c r="AQ27" s="1" t="e">
        <f>SUMIFS(#REF!,#REF!,
 $A27,#REF!,
 "&gt;="&amp;INT($AS$1),#REF!,
 "&lt;="&amp;INT($AT$1)
)</f>
        <v>#REF!</v>
      </c>
      <c r="AR27" s="1" t="e">
        <f t="shared" si="25"/>
        <v>#REF!</v>
      </c>
      <c r="AS27" s="9" t="e">
        <f t="shared" si="26"/>
        <v>#REF!</v>
      </c>
      <c r="AT27" s="10" t="e">
        <f t="shared" si="27"/>
        <v>#REF!</v>
      </c>
      <c r="AU27" s="1" t="e">
        <f>SUMIFS(#REF!,#REF!,
 $A27,#REF!,
 "&gt;="&amp;INT($AW$1),#REF!,
 "&lt;="&amp;INT($AX$1)
)</f>
        <v>#REF!</v>
      </c>
      <c r="AV27" s="1" t="e">
        <f t="shared" si="28"/>
        <v>#REF!</v>
      </c>
      <c r="AW27" s="9" t="e">
        <f t="shared" si="29"/>
        <v>#REF!</v>
      </c>
      <c r="AX27" s="10" t="e">
        <f t="shared" si="30"/>
        <v>#REF!</v>
      </c>
    </row>
    <row r="28" spans="1:50" x14ac:dyDescent="0.25">
      <c r="A28" s="5">
        <v>202004</v>
      </c>
      <c r="B28" s="6" t="s">
        <v>25</v>
      </c>
      <c r="C28" s="1" t="e">
        <f>SUMIFS(#REF!,#REF!,
 $A28,#REF!,
 "&gt;="&amp;INT($E$1),#REF!,
 "&lt;"&amp;INT($F$1+1)
)</f>
        <v>#REF!</v>
      </c>
      <c r="D28" s="1" t="str">
        <f>""</f>
        <v/>
      </c>
      <c r="F28" s="2"/>
      <c r="G28" s="1" t="e">
        <f>SUMIFS(#REF!,#REF!,
 $A28,#REF!,
 "&gt;="&amp;INT($I$1),#REF!,
 "&lt;"&amp;INT($J$1+1)
)</f>
        <v>#REF!</v>
      </c>
      <c r="H28" s="1" t="e">
        <f t="shared" si="0"/>
        <v>#REF!</v>
      </c>
      <c r="I28" s="1"/>
      <c r="J28" s="2"/>
      <c r="K28" s="1" t="e">
        <f>SUMIFS(#REF!,#REF!,
 $A28,#REF!,
 "&gt;="&amp;INT($M$1),#REF!,
 "&lt;"&amp;INT($N$1+1)
)</f>
        <v>#REF!</v>
      </c>
      <c r="L28" s="1" t="e">
        <f t="shared" si="1"/>
        <v>#REF!</v>
      </c>
      <c r="M28" s="9" t="e">
        <f t="shared" si="2"/>
        <v>#REF!</v>
      </c>
      <c r="N28" s="10" t="e">
        <f t="shared" si="3"/>
        <v>#REF!</v>
      </c>
      <c r="O28" s="1" t="e">
        <f>SUMIFS(#REF!,#REF!,
 $A28,#REF!,
 "&gt;="&amp;INT($Q$1),#REF!,
 "&lt;="&amp;INT($R$1)
)</f>
        <v>#REF!</v>
      </c>
      <c r="P28" s="1" t="e">
        <f t="shared" si="4"/>
        <v>#REF!</v>
      </c>
      <c r="Q28" s="9" t="e">
        <f t="shared" si="5"/>
        <v>#REF!</v>
      </c>
      <c r="R28" s="10" t="e">
        <f t="shared" si="6"/>
        <v>#REF!</v>
      </c>
      <c r="S28" s="1" t="e">
        <f>SUMIFS(#REF!,#REF!,
 $A28,#REF!,
 "&gt;="&amp;INT($U$1),#REF!,
 "&lt;="&amp;INT($V$1)
)</f>
        <v>#REF!</v>
      </c>
      <c r="T28" s="1" t="e">
        <f t="shared" si="7"/>
        <v>#REF!</v>
      </c>
      <c r="U28" s="9" t="e">
        <f t="shared" si="8"/>
        <v>#REF!</v>
      </c>
      <c r="V28" s="10" t="e">
        <f t="shared" si="9"/>
        <v>#REF!</v>
      </c>
      <c r="W28" s="1" t="e">
        <f>SUMIFS(#REF!,#REF!,
 $A28,#REF!,
 "&gt;="&amp;INT($Y$1),#REF!,
 "&lt;="&amp;INT($Z$1)
)</f>
        <v>#REF!</v>
      </c>
      <c r="X28" s="1" t="e">
        <f t="shared" si="10"/>
        <v>#REF!</v>
      </c>
      <c r="Y28" s="9" t="e">
        <f t="shared" si="11"/>
        <v>#REF!</v>
      </c>
      <c r="Z28" s="10" t="e">
        <f t="shared" si="12"/>
        <v>#REF!</v>
      </c>
      <c r="AA28" s="1" t="e">
        <f>SUMIFS(#REF!,#REF!,
 $A28,#REF!,
 "&gt;="&amp;INT($AC$1),#REF!,
 "&lt;="&amp;INT($AD$1)
)</f>
        <v>#REF!</v>
      </c>
      <c r="AB28" s="1" t="e">
        <f t="shared" si="13"/>
        <v>#REF!</v>
      </c>
      <c r="AC28" s="9" t="e">
        <f t="shared" si="14"/>
        <v>#REF!</v>
      </c>
      <c r="AD28" s="10" t="e">
        <f t="shared" si="15"/>
        <v>#REF!</v>
      </c>
      <c r="AE28" s="1" t="e">
        <f>SUMIFS(#REF!,#REF!,
 $A28,#REF!,
 "&gt;="&amp;INT($AG$1),#REF!,
 "&lt;="&amp;INT($AH$1)
)</f>
        <v>#REF!</v>
      </c>
      <c r="AF28" s="1" t="e">
        <f t="shared" si="16"/>
        <v>#REF!</v>
      </c>
      <c r="AG28" s="9" t="e">
        <f t="shared" si="17"/>
        <v>#REF!</v>
      </c>
      <c r="AH28" s="10" t="e">
        <f t="shared" si="18"/>
        <v>#REF!</v>
      </c>
      <c r="AI28" s="1" t="e">
        <f>SUMIFS(#REF!,#REF!,
 $A28,#REF!,
 "&gt;="&amp;INT($AK$1),#REF!,
 "&lt;="&amp;INT($AL$1)
)</f>
        <v>#REF!</v>
      </c>
      <c r="AJ28" s="1" t="e">
        <f t="shared" si="19"/>
        <v>#REF!</v>
      </c>
      <c r="AK28" s="9" t="e">
        <f t="shared" si="20"/>
        <v>#REF!</v>
      </c>
      <c r="AL28" s="10" t="e">
        <f t="shared" si="21"/>
        <v>#REF!</v>
      </c>
      <c r="AM28" s="1" t="e">
        <f>SUMIFS(#REF!,#REF!,
 $A28,#REF!,
 "&gt;="&amp;INT($AO$1),#REF!,
 "&lt;="&amp;INT($AP$1)
)</f>
        <v>#REF!</v>
      </c>
      <c r="AN28" s="1" t="e">
        <f t="shared" si="22"/>
        <v>#REF!</v>
      </c>
      <c r="AO28" s="9" t="e">
        <f t="shared" si="23"/>
        <v>#REF!</v>
      </c>
      <c r="AP28" s="10" t="e">
        <f t="shared" si="24"/>
        <v>#REF!</v>
      </c>
      <c r="AQ28" s="1" t="e">
        <f>SUMIFS(#REF!,#REF!,
 $A28,#REF!,
 "&gt;="&amp;INT($AS$1),#REF!,
 "&lt;="&amp;INT($AT$1)
)</f>
        <v>#REF!</v>
      </c>
      <c r="AR28" s="1" t="e">
        <f t="shared" si="25"/>
        <v>#REF!</v>
      </c>
      <c r="AS28" s="9" t="e">
        <f t="shared" si="26"/>
        <v>#REF!</v>
      </c>
      <c r="AT28" s="10" t="e">
        <f t="shared" si="27"/>
        <v>#REF!</v>
      </c>
      <c r="AU28" s="1" t="e">
        <f>SUMIFS(#REF!,#REF!,
 $A28,#REF!,
 "&gt;="&amp;INT($AW$1),#REF!,
 "&lt;="&amp;INT($AX$1)
)</f>
        <v>#REF!</v>
      </c>
      <c r="AV28" s="1" t="e">
        <f t="shared" si="28"/>
        <v>#REF!</v>
      </c>
      <c r="AW28" s="9" t="e">
        <f t="shared" si="29"/>
        <v>#REF!</v>
      </c>
      <c r="AX28" s="10" t="e">
        <f t="shared" si="30"/>
        <v>#REF!</v>
      </c>
    </row>
    <row r="29" spans="1:50" x14ac:dyDescent="0.25">
      <c r="A29" s="5">
        <v>203001</v>
      </c>
      <c r="B29" s="6" t="s">
        <v>26</v>
      </c>
      <c r="C29" s="1" t="e">
        <f>SUMIFS(#REF!,#REF!,
 $A29,#REF!,
 "&gt;="&amp;INT($E$1),#REF!,
 "&lt;"&amp;INT($F$1+1)
)</f>
        <v>#REF!</v>
      </c>
      <c r="D29" s="1" t="str">
        <f>""</f>
        <v/>
      </c>
      <c r="F29" s="2"/>
      <c r="G29" s="1" t="e">
        <f>SUMIFS(#REF!,#REF!,
 $A29,#REF!,
 "&gt;="&amp;INT($I$1),#REF!,
 "&lt;"&amp;INT($J$1+1)
)</f>
        <v>#REF!</v>
      </c>
      <c r="H29" s="1" t="e">
        <f t="shared" si="0"/>
        <v>#REF!</v>
      </c>
      <c r="I29" s="1"/>
      <c r="J29" s="2"/>
      <c r="K29" s="1" t="e">
        <f>SUMIFS(#REF!,#REF!,
 $A29,#REF!,
 "&gt;="&amp;INT($M$1),#REF!,
 "&lt;"&amp;INT($N$1+1)
)</f>
        <v>#REF!</v>
      </c>
      <c r="L29" s="1" t="e">
        <f t="shared" si="1"/>
        <v>#REF!</v>
      </c>
      <c r="M29" s="9" t="e">
        <f t="shared" si="2"/>
        <v>#REF!</v>
      </c>
      <c r="N29" s="10" t="e">
        <f t="shared" si="3"/>
        <v>#REF!</v>
      </c>
      <c r="O29" s="1" t="e">
        <f>SUMIFS(#REF!,#REF!,
 $A29,#REF!,
 "&gt;="&amp;INT($Q$1),#REF!,
 "&lt;="&amp;INT($R$1)
)</f>
        <v>#REF!</v>
      </c>
      <c r="P29" s="1" t="e">
        <f t="shared" si="4"/>
        <v>#REF!</v>
      </c>
      <c r="Q29" s="9" t="e">
        <f t="shared" si="5"/>
        <v>#REF!</v>
      </c>
      <c r="R29" s="10" t="e">
        <f t="shared" si="6"/>
        <v>#REF!</v>
      </c>
      <c r="S29" s="1" t="e">
        <f>SUMIFS(#REF!,#REF!,
 $A29,#REF!,
 "&gt;="&amp;INT($U$1),#REF!,
 "&lt;="&amp;INT($V$1)
)</f>
        <v>#REF!</v>
      </c>
      <c r="T29" s="1" t="e">
        <f t="shared" si="7"/>
        <v>#REF!</v>
      </c>
      <c r="U29" s="9" t="e">
        <f t="shared" si="8"/>
        <v>#REF!</v>
      </c>
      <c r="V29" s="10" t="e">
        <f t="shared" si="9"/>
        <v>#REF!</v>
      </c>
      <c r="W29" s="1" t="e">
        <f>SUMIFS(#REF!,#REF!,
 $A29,#REF!,
 "&gt;="&amp;INT($Y$1),#REF!,
 "&lt;="&amp;INT($Z$1)
)</f>
        <v>#REF!</v>
      </c>
      <c r="X29" s="1" t="e">
        <f t="shared" si="10"/>
        <v>#REF!</v>
      </c>
      <c r="Y29" s="9" t="e">
        <f t="shared" si="11"/>
        <v>#REF!</v>
      </c>
      <c r="Z29" s="10" t="e">
        <f t="shared" si="12"/>
        <v>#REF!</v>
      </c>
      <c r="AA29" s="1" t="e">
        <f>SUMIFS(#REF!,#REF!,
 $A29,#REF!,
 "&gt;="&amp;INT($AC$1),#REF!,
 "&lt;="&amp;INT($AD$1)
)</f>
        <v>#REF!</v>
      </c>
      <c r="AB29" s="1" t="e">
        <f t="shared" si="13"/>
        <v>#REF!</v>
      </c>
      <c r="AC29" s="9" t="e">
        <f t="shared" si="14"/>
        <v>#REF!</v>
      </c>
      <c r="AD29" s="10" t="e">
        <f t="shared" si="15"/>
        <v>#REF!</v>
      </c>
      <c r="AE29" s="1" t="e">
        <f>SUMIFS(#REF!,#REF!,
 $A29,#REF!,
 "&gt;="&amp;INT($AG$1),#REF!,
 "&lt;="&amp;INT($AH$1)
)</f>
        <v>#REF!</v>
      </c>
      <c r="AF29" s="1" t="e">
        <f t="shared" si="16"/>
        <v>#REF!</v>
      </c>
      <c r="AG29" s="9" t="e">
        <f t="shared" si="17"/>
        <v>#REF!</v>
      </c>
      <c r="AH29" s="10" t="e">
        <f t="shared" si="18"/>
        <v>#REF!</v>
      </c>
      <c r="AI29" s="1" t="e">
        <f>SUMIFS(#REF!,#REF!,
 $A29,#REF!,
 "&gt;="&amp;INT($AK$1),#REF!,
 "&lt;="&amp;INT($AL$1)
)</f>
        <v>#REF!</v>
      </c>
      <c r="AJ29" s="1" t="e">
        <f t="shared" si="19"/>
        <v>#REF!</v>
      </c>
      <c r="AK29" s="9" t="e">
        <f t="shared" si="20"/>
        <v>#REF!</v>
      </c>
      <c r="AL29" s="10" t="e">
        <f t="shared" si="21"/>
        <v>#REF!</v>
      </c>
      <c r="AM29" s="1" t="e">
        <f>SUMIFS(#REF!,#REF!,
 $A29,#REF!,
 "&gt;="&amp;INT($AO$1),#REF!,
 "&lt;="&amp;INT($AP$1)
)</f>
        <v>#REF!</v>
      </c>
      <c r="AN29" s="1" t="e">
        <f t="shared" si="22"/>
        <v>#REF!</v>
      </c>
      <c r="AO29" s="9" t="e">
        <f t="shared" si="23"/>
        <v>#REF!</v>
      </c>
      <c r="AP29" s="10" t="e">
        <f t="shared" si="24"/>
        <v>#REF!</v>
      </c>
      <c r="AQ29" s="1" t="e">
        <f>SUMIFS(#REF!,#REF!,
 $A29,#REF!,
 "&gt;="&amp;INT($AS$1),#REF!,
 "&lt;="&amp;INT($AT$1)
)</f>
        <v>#REF!</v>
      </c>
      <c r="AR29" s="1" t="e">
        <f t="shared" si="25"/>
        <v>#REF!</v>
      </c>
      <c r="AS29" s="9" t="e">
        <f t="shared" si="26"/>
        <v>#REF!</v>
      </c>
      <c r="AT29" s="10" t="e">
        <f t="shared" si="27"/>
        <v>#REF!</v>
      </c>
      <c r="AU29" s="1" t="e">
        <f>SUMIFS(#REF!,#REF!,
 $A29,#REF!,
 "&gt;="&amp;INT($AW$1),#REF!,
 "&lt;="&amp;INT($AX$1)
)</f>
        <v>#REF!</v>
      </c>
      <c r="AV29" s="1" t="e">
        <f t="shared" si="28"/>
        <v>#REF!</v>
      </c>
      <c r="AW29" s="9" t="e">
        <f t="shared" si="29"/>
        <v>#REF!</v>
      </c>
      <c r="AX29" s="10" t="e">
        <f t="shared" si="30"/>
        <v>#REF!</v>
      </c>
    </row>
    <row r="30" spans="1:50" x14ac:dyDescent="0.25">
      <c r="A30" s="5">
        <v>203003</v>
      </c>
      <c r="B30" s="6" t="s">
        <v>27</v>
      </c>
      <c r="C30" s="1" t="e">
        <f>SUMIFS(#REF!,#REF!,
 $A30,#REF!,
 "&gt;="&amp;INT($E$1),#REF!,
 "&lt;"&amp;INT($F$1+1)
)</f>
        <v>#REF!</v>
      </c>
      <c r="D30" s="1" t="str">
        <f>""</f>
        <v/>
      </c>
      <c r="F30" s="2"/>
      <c r="G30" s="1" t="e">
        <f>SUMIFS(#REF!,#REF!,
 $A30,#REF!,
 "&gt;="&amp;INT($I$1),#REF!,
 "&lt;"&amp;INT($J$1+1)
)</f>
        <v>#REF!</v>
      </c>
      <c r="H30" s="1" t="e">
        <f t="shared" si="0"/>
        <v>#REF!</v>
      </c>
      <c r="I30" s="1"/>
      <c r="J30" s="2"/>
      <c r="K30" s="1" t="e">
        <f>SUMIFS(#REF!,#REF!,
 $A30,#REF!,
 "&gt;="&amp;INT($M$1),#REF!,
 "&lt;"&amp;INT($N$1+1)
)</f>
        <v>#REF!</v>
      </c>
      <c r="L30" s="1" t="e">
        <f t="shared" si="1"/>
        <v>#REF!</v>
      </c>
      <c r="M30" s="9" t="e">
        <f t="shared" si="2"/>
        <v>#REF!</v>
      </c>
      <c r="N30" s="10" t="e">
        <f t="shared" si="3"/>
        <v>#REF!</v>
      </c>
      <c r="O30" s="1" t="e">
        <f>SUMIFS(#REF!,#REF!,
 $A30,#REF!,
 "&gt;="&amp;INT($Q$1),#REF!,
 "&lt;="&amp;INT($R$1)
)</f>
        <v>#REF!</v>
      </c>
      <c r="P30" s="1" t="e">
        <f t="shared" si="4"/>
        <v>#REF!</v>
      </c>
      <c r="Q30" s="9" t="e">
        <f t="shared" si="5"/>
        <v>#REF!</v>
      </c>
      <c r="R30" s="10" t="e">
        <f t="shared" si="6"/>
        <v>#REF!</v>
      </c>
      <c r="S30" s="1" t="e">
        <f>SUMIFS(#REF!,#REF!,
 $A30,#REF!,
 "&gt;="&amp;INT($U$1),#REF!,
 "&lt;="&amp;INT($V$1)
)</f>
        <v>#REF!</v>
      </c>
      <c r="T30" s="1" t="e">
        <f t="shared" si="7"/>
        <v>#REF!</v>
      </c>
      <c r="U30" s="9" t="e">
        <f t="shared" si="8"/>
        <v>#REF!</v>
      </c>
      <c r="V30" s="10" t="e">
        <f t="shared" si="9"/>
        <v>#REF!</v>
      </c>
      <c r="W30" s="1" t="e">
        <f>SUMIFS(#REF!,#REF!,
 $A30,#REF!,
 "&gt;="&amp;INT($Y$1),#REF!,
 "&lt;="&amp;INT($Z$1)
)</f>
        <v>#REF!</v>
      </c>
      <c r="X30" s="1" t="e">
        <f t="shared" si="10"/>
        <v>#REF!</v>
      </c>
      <c r="Y30" s="9" t="e">
        <f t="shared" si="11"/>
        <v>#REF!</v>
      </c>
      <c r="Z30" s="10" t="e">
        <f t="shared" si="12"/>
        <v>#REF!</v>
      </c>
      <c r="AA30" s="1" t="e">
        <f>SUMIFS(#REF!,#REF!,
 $A30,#REF!,
 "&gt;="&amp;INT($AC$1),#REF!,
 "&lt;="&amp;INT($AD$1)
)</f>
        <v>#REF!</v>
      </c>
      <c r="AB30" s="1" t="e">
        <f t="shared" si="13"/>
        <v>#REF!</v>
      </c>
      <c r="AC30" s="9" t="e">
        <f t="shared" si="14"/>
        <v>#REF!</v>
      </c>
      <c r="AD30" s="10" t="e">
        <f t="shared" si="15"/>
        <v>#REF!</v>
      </c>
      <c r="AE30" s="1" t="e">
        <f>SUMIFS(#REF!,#REF!,
 $A30,#REF!,
 "&gt;="&amp;INT($AG$1),#REF!,
 "&lt;="&amp;INT($AH$1)
)</f>
        <v>#REF!</v>
      </c>
      <c r="AF30" s="1" t="e">
        <f t="shared" si="16"/>
        <v>#REF!</v>
      </c>
      <c r="AG30" s="9" t="e">
        <f t="shared" si="17"/>
        <v>#REF!</v>
      </c>
      <c r="AH30" s="10" t="e">
        <f t="shared" si="18"/>
        <v>#REF!</v>
      </c>
      <c r="AI30" s="1" t="e">
        <f>SUMIFS(#REF!,#REF!,
 $A30,#REF!,
 "&gt;="&amp;INT($AK$1),#REF!,
 "&lt;="&amp;INT($AL$1)
)</f>
        <v>#REF!</v>
      </c>
      <c r="AJ30" s="1" t="e">
        <f t="shared" si="19"/>
        <v>#REF!</v>
      </c>
      <c r="AK30" s="9" t="e">
        <f t="shared" si="20"/>
        <v>#REF!</v>
      </c>
      <c r="AL30" s="10" t="e">
        <f t="shared" si="21"/>
        <v>#REF!</v>
      </c>
      <c r="AM30" s="1" t="e">
        <f>SUMIFS(#REF!,#REF!,
 $A30,#REF!,
 "&gt;="&amp;INT($AO$1),#REF!,
 "&lt;="&amp;INT($AP$1)
)</f>
        <v>#REF!</v>
      </c>
      <c r="AN30" s="1" t="e">
        <f t="shared" si="22"/>
        <v>#REF!</v>
      </c>
      <c r="AO30" s="9" t="e">
        <f t="shared" si="23"/>
        <v>#REF!</v>
      </c>
      <c r="AP30" s="10" t="e">
        <f t="shared" si="24"/>
        <v>#REF!</v>
      </c>
      <c r="AQ30" s="1" t="e">
        <f>SUMIFS(#REF!,#REF!,
 $A30,#REF!,
 "&gt;="&amp;INT($AS$1),#REF!,
 "&lt;="&amp;INT($AT$1)
)</f>
        <v>#REF!</v>
      </c>
      <c r="AR30" s="1" t="e">
        <f t="shared" si="25"/>
        <v>#REF!</v>
      </c>
      <c r="AS30" s="9" t="e">
        <f t="shared" si="26"/>
        <v>#REF!</v>
      </c>
      <c r="AT30" s="10" t="e">
        <f t="shared" si="27"/>
        <v>#REF!</v>
      </c>
      <c r="AU30" s="1" t="e">
        <f>SUMIFS(#REF!,#REF!,
 $A30,#REF!,
 "&gt;="&amp;INT($AW$1),#REF!,
 "&lt;="&amp;INT($AX$1)
)</f>
        <v>#REF!</v>
      </c>
      <c r="AV30" s="1" t="e">
        <f t="shared" si="28"/>
        <v>#REF!</v>
      </c>
      <c r="AW30" s="9" t="e">
        <f t="shared" si="29"/>
        <v>#REF!</v>
      </c>
      <c r="AX30" s="10" t="e">
        <f t="shared" si="30"/>
        <v>#REF!</v>
      </c>
    </row>
    <row r="31" spans="1:50" x14ac:dyDescent="0.25">
      <c r="A31" s="5">
        <v>203004</v>
      </c>
      <c r="B31" s="6" t="s">
        <v>28</v>
      </c>
      <c r="C31" s="1" t="e">
        <f>SUMIFS(#REF!,#REF!,
 $A31,#REF!,
 "&gt;="&amp;INT($E$1),#REF!,
 "&lt;"&amp;INT($F$1+1)
)</f>
        <v>#REF!</v>
      </c>
      <c r="D31" s="1" t="str">
        <f>""</f>
        <v/>
      </c>
      <c r="F31" s="2"/>
      <c r="G31" s="1" t="e">
        <f>SUMIFS(#REF!,#REF!,
 $A31,#REF!,
 "&gt;="&amp;INT($I$1),#REF!,
 "&lt;"&amp;INT($J$1+1)
)</f>
        <v>#REF!</v>
      </c>
      <c r="H31" s="1" t="e">
        <f t="shared" si="0"/>
        <v>#REF!</v>
      </c>
      <c r="I31" s="1"/>
      <c r="J31" s="2"/>
      <c r="K31" s="1" t="e">
        <f>SUMIFS(#REF!,#REF!,
 $A31,#REF!,
 "&gt;="&amp;INT($M$1),#REF!,
 "&lt;"&amp;INT($N$1+1)
)</f>
        <v>#REF!</v>
      </c>
      <c r="L31" s="1" t="e">
        <f t="shared" si="1"/>
        <v>#REF!</v>
      </c>
      <c r="M31" s="9" t="e">
        <f t="shared" si="2"/>
        <v>#REF!</v>
      </c>
      <c r="N31" s="10" t="e">
        <f t="shared" si="3"/>
        <v>#REF!</v>
      </c>
      <c r="O31" s="1" t="e">
        <f>SUMIFS(#REF!,#REF!,
 $A31,#REF!,
 "&gt;="&amp;INT($Q$1),#REF!,
 "&lt;="&amp;INT($R$1)
)</f>
        <v>#REF!</v>
      </c>
      <c r="P31" s="1" t="e">
        <f t="shared" si="4"/>
        <v>#REF!</v>
      </c>
      <c r="Q31" s="9" t="e">
        <f t="shared" si="5"/>
        <v>#REF!</v>
      </c>
      <c r="R31" s="10" t="e">
        <f t="shared" si="6"/>
        <v>#REF!</v>
      </c>
      <c r="S31" s="1" t="e">
        <f>SUMIFS(#REF!,#REF!,
 $A31,#REF!,
 "&gt;="&amp;INT($U$1),#REF!,
 "&lt;="&amp;INT($V$1)
)</f>
        <v>#REF!</v>
      </c>
      <c r="T31" s="1" t="e">
        <f t="shared" si="7"/>
        <v>#REF!</v>
      </c>
      <c r="U31" s="9" t="e">
        <f t="shared" si="8"/>
        <v>#REF!</v>
      </c>
      <c r="V31" s="10" t="e">
        <f t="shared" si="9"/>
        <v>#REF!</v>
      </c>
      <c r="W31" s="1" t="e">
        <f>SUMIFS(#REF!,#REF!,
 $A31,#REF!,
 "&gt;="&amp;INT($Y$1),#REF!,
 "&lt;="&amp;INT($Z$1)
)</f>
        <v>#REF!</v>
      </c>
      <c r="X31" s="1" t="e">
        <f t="shared" si="10"/>
        <v>#REF!</v>
      </c>
      <c r="Y31" s="9" t="e">
        <f t="shared" si="11"/>
        <v>#REF!</v>
      </c>
      <c r="Z31" s="10" t="e">
        <f t="shared" si="12"/>
        <v>#REF!</v>
      </c>
      <c r="AA31" s="1" t="e">
        <f>SUMIFS(#REF!,#REF!,
 $A31,#REF!,
 "&gt;="&amp;INT($AC$1),#REF!,
 "&lt;="&amp;INT($AD$1)
)</f>
        <v>#REF!</v>
      </c>
      <c r="AB31" s="1" t="e">
        <f t="shared" si="13"/>
        <v>#REF!</v>
      </c>
      <c r="AC31" s="9" t="e">
        <f t="shared" si="14"/>
        <v>#REF!</v>
      </c>
      <c r="AD31" s="10" t="e">
        <f t="shared" si="15"/>
        <v>#REF!</v>
      </c>
      <c r="AE31" s="1" t="e">
        <f>SUMIFS(#REF!,#REF!,
 $A31,#REF!,
 "&gt;="&amp;INT($AG$1),#REF!,
 "&lt;="&amp;INT($AH$1)
)</f>
        <v>#REF!</v>
      </c>
      <c r="AF31" s="1" t="e">
        <f t="shared" si="16"/>
        <v>#REF!</v>
      </c>
      <c r="AG31" s="9" t="e">
        <f t="shared" si="17"/>
        <v>#REF!</v>
      </c>
      <c r="AH31" s="10" t="e">
        <f t="shared" si="18"/>
        <v>#REF!</v>
      </c>
      <c r="AI31" s="1" t="e">
        <f>SUMIFS(#REF!,#REF!,
 $A31,#REF!,
 "&gt;="&amp;INT($AK$1),#REF!,
 "&lt;="&amp;INT($AL$1)
)</f>
        <v>#REF!</v>
      </c>
      <c r="AJ31" s="1" t="e">
        <f t="shared" si="19"/>
        <v>#REF!</v>
      </c>
      <c r="AK31" s="9" t="e">
        <f t="shared" si="20"/>
        <v>#REF!</v>
      </c>
      <c r="AL31" s="10" t="e">
        <f t="shared" si="21"/>
        <v>#REF!</v>
      </c>
      <c r="AM31" s="1" t="e">
        <f>SUMIFS(#REF!,#REF!,
 $A31,#REF!,
 "&gt;="&amp;INT($AO$1),#REF!,
 "&lt;="&amp;INT($AP$1)
)</f>
        <v>#REF!</v>
      </c>
      <c r="AN31" s="1" t="e">
        <f t="shared" si="22"/>
        <v>#REF!</v>
      </c>
      <c r="AO31" s="9" t="e">
        <f t="shared" si="23"/>
        <v>#REF!</v>
      </c>
      <c r="AP31" s="10" t="e">
        <f t="shared" si="24"/>
        <v>#REF!</v>
      </c>
      <c r="AQ31" s="1" t="e">
        <f>SUMIFS(#REF!,#REF!,
 $A31,#REF!,
 "&gt;="&amp;INT($AS$1),#REF!,
 "&lt;="&amp;INT($AT$1)
)</f>
        <v>#REF!</v>
      </c>
      <c r="AR31" s="1" t="e">
        <f t="shared" si="25"/>
        <v>#REF!</v>
      </c>
      <c r="AS31" s="9" t="e">
        <f t="shared" si="26"/>
        <v>#REF!</v>
      </c>
      <c r="AT31" s="10" t="e">
        <f t="shared" si="27"/>
        <v>#REF!</v>
      </c>
      <c r="AU31" s="1" t="e">
        <f>SUMIFS(#REF!,#REF!,
 $A31,#REF!,
 "&gt;="&amp;INT($AW$1),#REF!,
 "&lt;="&amp;INT($AX$1)
)</f>
        <v>#REF!</v>
      </c>
      <c r="AV31" s="1" t="e">
        <f t="shared" si="28"/>
        <v>#REF!</v>
      </c>
      <c r="AW31" s="9" t="e">
        <f t="shared" si="29"/>
        <v>#REF!</v>
      </c>
      <c r="AX31" s="10" t="e">
        <f t="shared" si="30"/>
        <v>#REF!</v>
      </c>
    </row>
    <row r="32" spans="1:50" x14ac:dyDescent="0.25">
      <c r="A32" s="5">
        <v>203005</v>
      </c>
      <c r="B32" s="6" t="s">
        <v>29</v>
      </c>
      <c r="C32" s="1" t="e">
        <f>SUMIFS(#REF!,#REF!,
 $A32,#REF!,
 "&gt;="&amp;INT($E$1),#REF!,
 "&lt;"&amp;INT($F$1+1)
)</f>
        <v>#REF!</v>
      </c>
      <c r="D32" s="1" t="str">
        <f>""</f>
        <v/>
      </c>
      <c r="F32" s="2"/>
      <c r="G32" s="1" t="e">
        <f>SUMIFS(#REF!,#REF!,
 $A32,#REF!,
 "&gt;="&amp;INT($I$1),#REF!,
 "&lt;"&amp;INT($J$1+1)
)</f>
        <v>#REF!</v>
      </c>
      <c r="H32" s="1" t="e">
        <f t="shared" si="0"/>
        <v>#REF!</v>
      </c>
      <c r="I32" s="1"/>
      <c r="J32" s="2"/>
      <c r="K32" s="1" t="e">
        <f>SUMIFS(#REF!,#REF!,
 $A32,#REF!,
 "&gt;="&amp;INT($M$1),#REF!,
 "&lt;"&amp;INT($N$1+1)
)</f>
        <v>#REF!</v>
      </c>
      <c r="L32" s="1" t="e">
        <f t="shared" si="1"/>
        <v>#REF!</v>
      </c>
      <c r="M32" s="9" t="e">
        <f t="shared" si="2"/>
        <v>#REF!</v>
      </c>
      <c r="N32" s="10" t="e">
        <f t="shared" si="3"/>
        <v>#REF!</v>
      </c>
      <c r="O32" s="1" t="e">
        <f>SUMIFS(#REF!,#REF!,
 $A32,#REF!,
 "&gt;="&amp;INT($Q$1),#REF!,
 "&lt;="&amp;INT($R$1)
)</f>
        <v>#REF!</v>
      </c>
      <c r="P32" s="1" t="e">
        <f t="shared" si="4"/>
        <v>#REF!</v>
      </c>
      <c r="Q32" s="9" t="e">
        <f t="shared" si="5"/>
        <v>#REF!</v>
      </c>
      <c r="R32" s="10" t="e">
        <f t="shared" si="6"/>
        <v>#REF!</v>
      </c>
      <c r="S32" s="1" t="e">
        <f>SUMIFS(#REF!,#REF!,
 $A32,#REF!,
 "&gt;="&amp;INT($U$1),#REF!,
 "&lt;="&amp;INT($V$1)
)</f>
        <v>#REF!</v>
      </c>
      <c r="T32" s="1" t="e">
        <f t="shared" si="7"/>
        <v>#REF!</v>
      </c>
      <c r="U32" s="9" t="e">
        <f t="shared" si="8"/>
        <v>#REF!</v>
      </c>
      <c r="V32" s="10" t="e">
        <f t="shared" si="9"/>
        <v>#REF!</v>
      </c>
      <c r="W32" s="1" t="e">
        <f>SUMIFS(#REF!,#REF!,
 $A32,#REF!,
 "&gt;="&amp;INT($Y$1),#REF!,
 "&lt;="&amp;INT($Z$1)
)</f>
        <v>#REF!</v>
      </c>
      <c r="X32" s="1" t="e">
        <f t="shared" si="10"/>
        <v>#REF!</v>
      </c>
      <c r="Y32" s="9" t="e">
        <f t="shared" si="11"/>
        <v>#REF!</v>
      </c>
      <c r="Z32" s="10" t="e">
        <f t="shared" si="12"/>
        <v>#REF!</v>
      </c>
      <c r="AA32" s="1" t="e">
        <f>SUMIFS(#REF!,#REF!,
 $A32,#REF!,
 "&gt;="&amp;INT($AC$1),#REF!,
 "&lt;="&amp;INT($AD$1)
)</f>
        <v>#REF!</v>
      </c>
      <c r="AB32" s="1" t="e">
        <f t="shared" si="13"/>
        <v>#REF!</v>
      </c>
      <c r="AC32" s="9" t="e">
        <f t="shared" si="14"/>
        <v>#REF!</v>
      </c>
      <c r="AD32" s="10" t="e">
        <f t="shared" si="15"/>
        <v>#REF!</v>
      </c>
      <c r="AE32" s="1" t="e">
        <f>SUMIFS(#REF!,#REF!,
 $A32,#REF!,
 "&gt;="&amp;INT($AG$1),#REF!,
 "&lt;="&amp;INT($AH$1)
)</f>
        <v>#REF!</v>
      </c>
      <c r="AF32" s="1" t="e">
        <f t="shared" si="16"/>
        <v>#REF!</v>
      </c>
      <c r="AG32" s="9" t="e">
        <f t="shared" si="17"/>
        <v>#REF!</v>
      </c>
      <c r="AH32" s="10" t="e">
        <f t="shared" si="18"/>
        <v>#REF!</v>
      </c>
      <c r="AI32" s="1" t="e">
        <f>SUMIFS(#REF!,#REF!,
 $A32,#REF!,
 "&gt;="&amp;INT($AK$1),#REF!,
 "&lt;="&amp;INT($AL$1)
)</f>
        <v>#REF!</v>
      </c>
      <c r="AJ32" s="1" t="e">
        <f t="shared" si="19"/>
        <v>#REF!</v>
      </c>
      <c r="AK32" s="9" t="e">
        <f t="shared" si="20"/>
        <v>#REF!</v>
      </c>
      <c r="AL32" s="10" t="e">
        <f t="shared" si="21"/>
        <v>#REF!</v>
      </c>
      <c r="AM32" s="1" t="e">
        <f>SUMIFS(#REF!,#REF!,
 $A32,#REF!,
 "&gt;="&amp;INT($AO$1),#REF!,
 "&lt;="&amp;INT($AP$1)
)</f>
        <v>#REF!</v>
      </c>
      <c r="AN32" s="1" t="e">
        <f t="shared" si="22"/>
        <v>#REF!</v>
      </c>
      <c r="AO32" s="9" t="e">
        <f t="shared" si="23"/>
        <v>#REF!</v>
      </c>
      <c r="AP32" s="10" t="e">
        <f t="shared" si="24"/>
        <v>#REF!</v>
      </c>
      <c r="AQ32" s="1" t="e">
        <f>SUMIFS(#REF!,#REF!,
 $A32,#REF!,
 "&gt;="&amp;INT($AS$1),#REF!,
 "&lt;="&amp;INT($AT$1)
)</f>
        <v>#REF!</v>
      </c>
      <c r="AR32" s="1" t="e">
        <f t="shared" si="25"/>
        <v>#REF!</v>
      </c>
      <c r="AS32" s="9" t="e">
        <f t="shared" si="26"/>
        <v>#REF!</v>
      </c>
      <c r="AT32" s="10" t="e">
        <f t="shared" si="27"/>
        <v>#REF!</v>
      </c>
      <c r="AU32" s="1" t="e">
        <f>SUMIFS(#REF!,#REF!,
 $A32,#REF!,
 "&gt;="&amp;INT($AW$1),#REF!,
 "&lt;="&amp;INT($AX$1)
)</f>
        <v>#REF!</v>
      </c>
      <c r="AV32" s="1" t="e">
        <f t="shared" si="28"/>
        <v>#REF!</v>
      </c>
      <c r="AW32" s="9" t="e">
        <f t="shared" si="29"/>
        <v>#REF!</v>
      </c>
      <c r="AX32" s="10" t="e">
        <f t="shared" si="30"/>
        <v>#REF!</v>
      </c>
    </row>
    <row r="33" spans="1:50" x14ac:dyDescent="0.25">
      <c r="A33" s="5">
        <v>203006</v>
      </c>
      <c r="B33" s="6" t="s">
        <v>30</v>
      </c>
      <c r="C33" s="1" t="e">
        <f>SUMIFS(#REF!,#REF!,
 $A33,#REF!,
 "&gt;="&amp;INT($E$1),#REF!,
 "&lt;"&amp;INT($F$1+1)
)</f>
        <v>#REF!</v>
      </c>
      <c r="D33" s="1" t="str">
        <f>""</f>
        <v/>
      </c>
      <c r="F33" s="2"/>
      <c r="G33" s="1" t="e">
        <f>SUMIFS(#REF!,#REF!,
 $A33,#REF!,
 "&gt;="&amp;INT($I$1),#REF!,
 "&lt;"&amp;INT($J$1+1)
)</f>
        <v>#REF!</v>
      </c>
      <c r="H33" s="1" t="e">
        <f t="shared" si="0"/>
        <v>#REF!</v>
      </c>
      <c r="I33" s="1"/>
      <c r="J33" s="2"/>
      <c r="K33" s="1" t="e">
        <f>SUMIFS(#REF!,#REF!,
 $A33,#REF!,
 "&gt;="&amp;INT($M$1),#REF!,
 "&lt;"&amp;INT($N$1+1)
)</f>
        <v>#REF!</v>
      </c>
      <c r="L33" s="1" t="e">
        <f t="shared" si="1"/>
        <v>#REF!</v>
      </c>
      <c r="M33" s="9" t="e">
        <f t="shared" si="2"/>
        <v>#REF!</v>
      </c>
      <c r="N33" s="10" t="e">
        <f t="shared" si="3"/>
        <v>#REF!</v>
      </c>
      <c r="O33" s="1" t="e">
        <f>SUMIFS(#REF!,#REF!,
 $A33,#REF!,
 "&gt;="&amp;INT($Q$1),#REF!,
 "&lt;="&amp;INT($R$1)
)</f>
        <v>#REF!</v>
      </c>
      <c r="P33" s="1" t="e">
        <f t="shared" si="4"/>
        <v>#REF!</v>
      </c>
      <c r="Q33" s="9" t="e">
        <f t="shared" si="5"/>
        <v>#REF!</v>
      </c>
      <c r="R33" s="10" t="e">
        <f t="shared" si="6"/>
        <v>#REF!</v>
      </c>
      <c r="S33" s="1" t="e">
        <f>SUMIFS(#REF!,#REF!,
 $A33,#REF!,
 "&gt;="&amp;INT($U$1),#REF!,
 "&lt;="&amp;INT($V$1)
)</f>
        <v>#REF!</v>
      </c>
      <c r="T33" s="1" t="e">
        <f t="shared" si="7"/>
        <v>#REF!</v>
      </c>
      <c r="U33" s="9" t="e">
        <f t="shared" si="8"/>
        <v>#REF!</v>
      </c>
      <c r="V33" s="10" t="e">
        <f t="shared" si="9"/>
        <v>#REF!</v>
      </c>
      <c r="W33" s="1" t="e">
        <f>SUMIFS(#REF!,#REF!,
 $A33,#REF!,
 "&gt;="&amp;INT($Y$1),#REF!,
 "&lt;="&amp;INT($Z$1)
)</f>
        <v>#REF!</v>
      </c>
      <c r="X33" s="1" t="e">
        <f t="shared" si="10"/>
        <v>#REF!</v>
      </c>
      <c r="Y33" s="9" t="e">
        <f t="shared" si="11"/>
        <v>#REF!</v>
      </c>
      <c r="Z33" s="10" t="e">
        <f t="shared" si="12"/>
        <v>#REF!</v>
      </c>
      <c r="AA33" s="1" t="e">
        <f>SUMIFS(#REF!,#REF!,
 $A33,#REF!,
 "&gt;="&amp;INT($AC$1),#REF!,
 "&lt;="&amp;INT($AD$1)
)</f>
        <v>#REF!</v>
      </c>
      <c r="AB33" s="1" t="e">
        <f t="shared" si="13"/>
        <v>#REF!</v>
      </c>
      <c r="AC33" s="9" t="e">
        <f t="shared" si="14"/>
        <v>#REF!</v>
      </c>
      <c r="AD33" s="10" t="e">
        <f t="shared" si="15"/>
        <v>#REF!</v>
      </c>
      <c r="AE33" s="1" t="e">
        <f>SUMIFS(#REF!,#REF!,
 $A33,#REF!,
 "&gt;="&amp;INT($AG$1),#REF!,
 "&lt;="&amp;INT($AH$1)
)</f>
        <v>#REF!</v>
      </c>
      <c r="AF33" s="1" t="e">
        <f t="shared" si="16"/>
        <v>#REF!</v>
      </c>
      <c r="AG33" s="9" t="e">
        <f t="shared" si="17"/>
        <v>#REF!</v>
      </c>
      <c r="AH33" s="10" t="e">
        <f t="shared" si="18"/>
        <v>#REF!</v>
      </c>
      <c r="AI33" s="1" t="e">
        <f>SUMIFS(#REF!,#REF!,
 $A33,#REF!,
 "&gt;="&amp;INT($AK$1),#REF!,
 "&lt;="&amp;INT($AL$1)
)</f>
        <v>#REF!</v>
      </c>
      <c r="AJ33" s="1" t="e">
        <f t="shared" si="19"/>
        <v>#REF!</v>
      </c>
      <c r="AK33" s="9" t="e">
        <f t="shared" si="20"/>
        <v>#REF!</v>
      </c>
      <c r="AL33" s="10" t="e">
        <f t="shared" si="21"/>
        <v>#REF!</v>
      </c>
      <c r="AM33" s="1" t="e">
        <f>SUMIFS(#REF!,#REF!,
 $A33,#REF!,
 "&gt;="&amp;INT($AO$1),#REF!,
 "&lt;="&amp;INT($AP$1)
)</f>
        <v>#REF!</v>
      </c>
      <c r="AN33" s="1" t="e">
        <f t="shared" si="22"/>
        <v>#REF!</v>
      </c>
      <c r="AO33" s="9" t="e">
        <f t="shared" si="23"/>
        <v>#REF!</v>
      </c>
      <c r="AP33" s="10" t="e">
        <f t="shared" si="24"/>
        <v>#REF!</v>
      </c>
      <c r="AQ33" s="1" t="e">
        <f>SUMIFS(#REF!,#REF!,
 $A33,#REF!,
 "&gt;="&amp;INT($AS$1),#REF!,
 "&lt;="&amp;INT($AT$1)
)</f>
        <v>#REF!</v>
      </c>
      <c r="AR33" s="1" t="e">
        <f t="shared" si="25"/>
        <v>#REF!</v>
      </c>
      <c r="AS33" s="9" t="e">
        <f t="shared" si="26"/>
        <v>#REF!</v>
      </c>
      <c r="AT33" s="10" t="e">
        <f t="shared" si="27"/>
        <v>#REF!</v>
      </c>
      <c r="AU33" s="1" t="e">
        <f>SUMIFS(#REF!,#REF!,
 $A33,#REF!,
 "&gt;="&amp;INT($AW$1),#REF!,
 "&lt;="&amp;INT($AX$1)
)</f>
        <v>#REF!</v>
      </c>
      <c r="AV33" s="1" t="e">
        <f t="shared" si="28"/>
        <v>#REF!</v>
      </c>
      <c r="AW33" s="9" t="e">
        <f t="shared" si="29"/>
        <v>#REF!</v>
      </c>
      <c r="AX33" s="10" t="e">
        <f t="shared" si="30"/>
        <v>#REF!</v>
      </c>
    </row>
    <row r="34" spans="1:50" x14ac:dyDescent="0.25">
      <c r="A34" s="5">
        <v>205004</v>
      </c>
      <c r="B34" s="6" t="s">
        <v>31</v>
      </c>
      <c r="C34" s="1" t="e">
        <f>SUMIFS(#REF!,#REF!,
 $A34,#REF!,
 "&gt;="&amp;INT($E$1),#REF!,
 "&lt;"&amp;INT($F$1+1)
)</f>
        <v>#REF!</v>
      </c>
      <c r="D34" s="1" t="str">
        <f>""</f>
        <v/>
      </c>
      <c r="F34" s="2"/>
      <c r="G34" s="1" t="e">
        <f>SUMIFS(#REF!,#REF!,
 $A34,#REF!,
 "&gt;="&amp;INT($I$1),#REF!,
 "&lt;"&amp;INT($J$1+1)
)</f>
        <v>#REF!</v>
      </c>
      <c r="H34" s="1" t="e">
        <f t="shared" si="0"/>
        <v>#REF!</v>
      </c>
      <c r="I34" s="1"/>
      <c r="J34" s="2"/>
      <c r="K34" s="1" t="e">
        <f>SUMIFS(#REF!,#REF!,
 $A34,#REF!,
 "&gt;="&amp;INT($M$1),#REF!,
 "&lt;"&amp;INT($N$1+1)
)</f>
        <v>#REF!</v>
      </c>
      <c r="L34" s="1" t="e">
        <f t="shared" si="1"/>
        <v>#REF!</v>
      </c>
      <c r="M34" s="9" t="e">
        <f t="shared" si="2"/>
        <v>#REF!</v>
      </c>
      <c r="N34" s="10" t="e">
        <f t="shared" si="3"/>
        <v>#REF!</v>
      </c>
      <c r="O34" s="1" t="e">
        <f>SUMIFS(#REF!,#REF!,
 $A34,#REF!,
 "&gt;="&amp;INT($Q$1),#REF!,
 "&lt;="&amp;INT($R$1)
)</f>
        <v>#REF!</v>
      </c>
      <c r="P34" s="1" t="e">
        <f t="shared" si="4"/>
        <v>#REF!</v>
      </c>
      <c r="Q34" s="9" t="e">
        <f t="shared" si="5"/>
        <v>#REF!</v>
      </c>
      <c r="R34" s="10" t="e">
        <f t="shared" si="6"/>
        <v>#REF!</v>
      </c>
      <c r="S34" s="1" t="e">
        <f>SUMIFS(#REF!,#REF!,
 $A34,#REF!,
 "&gt;="&amp;INT($U$1),#REF!,
 "&lt;="&amp;INT($V$1)
)</f>
        <v>#REF!</v>
      </c>
      <c r="T34" s="1" t="e">
        <f t="shared" si="7"/>
        <v>#REF!</v>
      </c>
      <c r="U34" s="9" t="e">
        <f t="shared" si="8"/>
        <v>#REF!</v>
      </c>
      <c r="V34" s="10" t="e">
        <f t="shared" si="9"/>
        <v>#REF!</v>
      </c>
      <c r="W34" s="1" t="e">
        <f>SUMIFS(#REF!,#REF!,
 $A34,#REF!,
 "&gt;="&amp;INT($Y$1),#REF!,
 "&lt;="&amp;INT($Z$1)
)</f>
        <v>#REF!</v>
      </c>
      <c r="X34" s="1" t="e">
        <f t="shared" si="10"/>
        <v>#REF!</v>
      </c>
      <c r="Y34" s="9" t="e">
        <f t="shared" si="11"/>
        <v>#REF!</v>
      </c>
      <c r="Z34" s="10" t="e">
        <f t="shared" si="12"/>
        <v>#REF!</v>
      </c>
      <c r="AA34" s="1" t="e">
        <f>SUMIFS(#REF!,#REF!,
 $A34,#REF!,
 "&gt;="&amp;INT($AC$1),#REF!,
 "&lt;="&amp;INT($AD$1)
)</f>
        <v>#REF!</v>
      </c>
      <c r="AB34" s="1" t="e">
        <f t="shared" si="13"/>
        <v>#REF!</v>
      </c>
      <c r="AC34" s="9" t="e">
        <f t="shared" si="14"/>
        <v>#REF!</v>
      </c>
      <c r="AD34" s="10" t="e">
        <f t="shared" si="15"/>
        <v>#REF!</v>
      </c>
      <c r="AE34" s="1" t="e">
        <f>SUMIFS(#REF!,#REF!,
 $A34,#REF!,
 "&gt;="&amp;INT($AG$1),#REF!,
 "&lt;="&amp;INT($AH$1)
)</f>
        <v>#REF!</v>
      </c>
      <c r="AF34" s="1" t="e">
        <f t="shared" si="16"/>
        <v>#REF!</v>
      </c>
      <c r="AG34" s="9" t="e">
        <f t="shared" si="17"/>
        <v>#REF!</v>
      </c>
      <c r="AH34" s="10" t="e">
        <f t="shared" si="18"/>
        <v>#REF!</v>
      </c>
      <c r="AI34" s="1" t="e">
        <f>SUMIFS(#REF!,#REF!,
 $A34,#REF!,
 "&gt;="&amp;INT($AK$1),#REF!,
 "&lt;="&amp;INT($AL$1)
)</f>
        <v>#REF!</v>
      </c>
      <c r="AJ34" s="1" t="e">
        <f t="shared" si="19"/>
        <v>#REF!</v>
      </c>
      <c r="AK34" s="9" t="e">
        <f t="shared" si="20"/>
        <v>#REF!</v>
      </c>
      <c r="AL34" s="10" t="e">
        <f t="shared" si="21"/>
        <v>#REF!</v>
      </c>
      <c r="AM34" s="1" t="e">
        <f>SUMIFS(#REF!,#REF!,
 $A34,#REF!,
 "&gt;="&amp;INT($AO$1),#REF!,
 "&lt;="&amp;INT($AP$1)
)</f>
        <v>#REF!</v>
      </c>
      <c r="AN34" s="1" t="e">
        <f t="shared" si="22"/>
        <v>#REF!</v>
      </c>
      <c r="AO34" s="9" t="e">
        <f t="shared" si="23"/>
        <v>#REF!</v>
      </c>
      <c r="AP34" s="10" t="e">
        <f t="shared" si="24"/>
        <v>#REF!</v>
      </c>
      <c r="AQ34" s="1" t="e">
        <f>SUMIFS(#REF!,#REF!,
 $A34,#REF!,
 "&gt;="&amp;INT($AS$1),#REF!,
 "&lt;="&amp;INT($AT$1)
)</f>
        <v>#REF!</v>
      </c>
      <c r="AR34" s="1" t="e">
        <f t="shared" si="25"/>
        <v>#REF!</v>
      </c>
      <c r="AS34" s="9" t="e">
        <f t="shared" si="26"/>
        <v>#REF!</v>
      </c>
      <c r="AT34" s="10" t="e">
        <f t="shared" si="27"/>
        <v>#REF!</v>
      </c>
      <c r="AU34" s="1" t="e">
        <f>SUMIFS(#REF!,#REF!,
 $A34,#REF!,
 "&gt;="&amp;INT($AW$1),#REF!,
 "&lt;="&amp;INT($AX$1)
)</f>
        <v>#REF!</v>
      </c>
      <c r="AV34" s="1" t="e">
        <f t="shared" si="28"/>
        <v>#REF!</v>
      </c>
      <c r="AW34" s="9" t="e">
        <f t="shared" si="29"/>
        <v>#REF!</v>
      </c>
      <c r="AX34" s="10" t="e">
        <f t="shared" si="30"/>
        <v>#REF!</v>
      </c>
    </row>
    <row r="35" spans="1:50" x14ac:dyDescent="0.25">
      <c r="A35" s="5">
        <v>205005</v>
      </c>
      <c r="B35" s="6" t="s">
        <v>32</v>
      </c>
      <c r="C35" s="1" t="e">
        <f>SUMIFS(#REF!,#REF!,
 $A35,#REF!,
 "&gt;="&amp;INT($E$1),#REF!,
 "&lt;"&amp;INT($F$1+1)
)</f>
        <v>#REF!</v>
      </c>
      <c r="D35" s="1" t="str">
        <f>""</f>
        <v/>
      </c>
      <c r="F35" s="2"/>
      <c r="G35" s="1" t="e">
        <f>SUMIFS(#REF!,#REF!,
 $A35,#REF!,
 "&gt;="&amp;INT($I$1),#REF!,
 "&lt;"&amp;INT($J$1+1)
)</f>
        <v>#REF!</v>
      </c>
      <c r="H35" s="1" t="e">
        <f t="shared" si="0"/>
        <v>#REF!</v>
      </c>
      <c r="I35" s="1"/>
      <c r="J35" s="2"/>
      <c r="K35" s="1" t="e">
        <f>SUMIFS(#REF!,#REF!,
 $A35,#REF!,
 "&gt;="&amp;INT($M$1),#REF!,
 "&lt;"&amp;INT($N$1+1)
)</f>
        <v>#REF!</v>
      </c>
      <c r="L35" s="1" t="e">
        <f t="shared" si="1"/>
        <v>#REF!</v>
      </c>
      <c r="M35" s="9" t="e">
        <f t="shared" si="2"/>
        <v>#REF!</v>
      </c>
      <c r="N35" s="10" t="e">
        <f t="shared" si="3"/>
        <v>#REF!</v>
      </c>
      <c r="O35" s="1" t="e">
        <f>SUMIFS(#REF!,#REF!,
 $A35,#REF!,
 "&gt;="&amp;INT($Q$1),#REF!,
 "&lt;="&amp;INT($R$1)
)</f>
        <v>#REF!</v>
      </c>
      <c r="P35" s="1" t="e">
        <f t="shared" si="4"/>
        <v>#REF!</v>
      </c>
      <c r="Q35" s="9" t="e">
        <f t="shared" si="5"/>
        <v>#REF!</v>
      </c>
      <c r="R35" s="10" t="e">
        <f t="shared" si="6"/>
        <v>#REF!</v>
      </c>
      <c r="S35" s="1" t="e">
        <f>SUMIFS(#REF!,#REF!,
 $A35,#REF!,
 "&gt;="&amp;INT($U$1),#REF!,
 "&lt;="&amp;INT($V$1)
)</f>
        <v>#REF!</v>
      </c>
      <c r="T35" s="1" t="e">
        <f t="shared" si="7"/>
        <v>#REF!</v>
      </c>
      <c r="U35" s="9" t="e">
        <f t="shared" si="8"/>
        <v>#REF!</v>
      </c>
      <c r="V35" s="10" t="e">
        <f t="shared" si="9"/>
        <v>#REF!</v>
      </c>
      <c r="W35" s="1" t="e">
        <f>SUMIFS(#REF!,#REF!,
 $A35,#REF!,
 "&gt;="&amp;INT($Y$1),#REF!,
 "&lt;="&amp;INT($Z$1)
)</f>
        <v>#REF!</v>
      </c>
      <c r="X35" s="1" t="e">
        <f t="shared" si="10"/>
        <v>#REF!</v>
      </c>
      <c r="Y35" s="9" t="e">
        <f t="shared" si="11"/>
        <v>#REF!</v>
      </c>
      <c r="Z35" s="10" t="e">
        <f t="shared" si="12"/>
        <v>#REF!</v>
      </c>
      <c r="AA35" s="1" t="e">
        <f>SUMIFS(#REF!,#REF!,
 $A35,#REF!,
 "&gt;="&amp;INT($AC$1),#REF!,
 "&lt;="&amp;INT($AD$1)
)</f>
        <v>#REF!</v>
      </c>
      <c r="AB35" s="1" t="e">
        <f t="shared" si="13"/>
        <v>#REF!</v>
      </c>
      <c r="AC35" s="9" t="e">
        <f t="shared" si="14"/>
        <v>#REF!</v>
      </c>
      <c r="AD35" s="10" t="e">
        <f t="shared" si="15"/>
        <v>#REF!</v>
      </c>
      <c r="AE35" s="1" t="e">
        <f>SUMIFS(#REF!,#REF!,
 $A35,#REF!,
 "&gt;="&amp;INT($AG$1),#REF!,
 "&lt;="&amp;INT($AH$1)
)</f>
        <v>#REF!</v>
      </c>
      <c r="AF35" s="1" t="e">
        <f t="shared" si="16"/>
        <v>#REF!</v>
      </c>
      <c r="AG35" s="9" t="e">
        <f t="shared" si="17"/>
        <v>#REF!</v>
      </c>
      <c r="AH35" s="10" t="e">
        <f t="shared" si="18"/>
        <v>#REF!</v>
      </c>
      <c r="AI35" s="1" t="e">
        <f>SUMIFS(#REF!,#REF!,
 $A35,#REF!,
 "&gt;="&amp;INT($AK$1),#REF!,
 "&lt;="&amp;INT($AL$1)
)</f>
        <v>#REF!</v>
      </c>
      <c r="AJ35" s="1" t="e">
        <f t="shared" si="19"/>
        <v>#REF!</v>
      </c>
      <c r="AK35" s="9" t="e">
        <f t="shared" si="20"/>
        <v>#REF!</v>
      </c>
      <c r="AL35" s="10" t="e">
        <f t="shared" si="21"/>
        <v>#REF!</v>
      </c>
      <c r="AM35" s="1" t="e">
        <f>SUMIFS(#REF!,#REF!,
 $A35,#REF!,
 "&gt;="&amp;INT($AO$1),#REF!,
 "&lt;="&amp;INT($AP$1)
)</f>
        <v>#REF!</v>
      </c>
      <c r="AN35" s="1" t="e">
        <f t="shared" si="22"/>
        <v>#REF!</v>
      </c>
      <c r="AO35" s="9" t="e">
        <f t="shared" si="23"/>
        <v>#REF!</v>
      </c>
      <c r="AP35" s="10" t="e">
        <f t="shared" si="24"/>
        <v>#REF!</v>
      </c>
      <c r="AQ35" s="1" t="e">
        <f>SUMIFS(#REF!,#REF!,
 $A35,#REF!,
 "&gt;="&amp;INT($AS$1),#REF!,
 "&lt;="&amp;INT($AT$1)
)</f>
        <v>#REF!</v>
      </c>
      <c r="AR35" s="1" t="e">
        <f t="shared" si="25"/>
        <v>#REF!</v>
      </c>
      <c r="AS35" s="9" t="e">
        <f t="shared" si="26"/>
        <v>#REF!</v>
      </c>
      <c r="AT35" s="10" t="e">
        <f t="shared" si="27"/>
        <v>#REF!</v>
      </c>
      <c r="AU35" s="1" t="e">
        <f>SUMIFS(#REF!,#REF!,
 $A35,#REF!,
 "&gt;="&amp;INT($AW$1),#REF!,
 "&lt;="&amp;INT($AX$1)
)</f>
        <v>#REF!</v>
      </c>
      <c r="AV35" s="1" t="e">
        <f t="shared" si="28"/>
        <v>#REF!</v>
      </c>
      <c r="AW35" s="9" t="e">
        <f t="shared" si="29"/>
        <v>#REF!</v>
      </c>
      <c r="AX35" s="10" t="e">
        <f t="shared" si="30"/>
        <v>#REF!</v>
      </c>
    </row>
    <row r="36" spans="1:50" x14ac:dyDescent="0.25">
      <c r="A36" s="5">
        <v>206001</v>
      </c>
      <c r="B36" s="6" t="s">
        <v>33</v>
      </c>
      <c r="C36" s="1" t="e">
        <f>SUMIFS(#REF!,#REF!,
 $A36,#REF!,
 "&gt;="&amp;INT($E$1),#REF!,
 "&lt;"&amp;INT($F$1+1)
)</f>
        <v>#REF!</v>
      </c>
      <c r="D36" s="1" t="str">
        <f>""</f>
        <v/>
      </c>
      <c r="F36" s="2"/>
      <c r="G36" s="1" t="e">
        <f>SUMIFS(#REF!,#REF!,
 $A36,#REF!,
 "&gt;="&amp;INT($I$1),#REF!,
 "&lt;"&amp;INT($J$1+1)
)</f>
        <v>#REF!</v>
      </c>
      <c r="H36" s="1" t="e">
        <f t="shared" si="0"/>
        <v>#REF!</v>
      </c>
      <c r="I36" s="1"/>
      <c r="J36" s="2"/>
      <c r="K36" s="1" t="e">
        <f>SUMIFS(#REF!,#REF!,
 $A36,#REF!,
 "&gt;="&amp;INT($M$1),#REF!,
 "&lt;"&amp;INT($N$1+1)
)</f>
        <v>#REF!</v>
      </c>
      <c r="L36" s="1" t="e">
        <f t="shared" si="1"/>
        <v>#REF!</v>
      </c>
      <c r="M36" s="9" t="e">
        <f t="shared" si="2"/>
        <v>#REF!</v>
      </c>
      <c r="N36" s="10" t="e">
        <f t="shared" si="3"/>
        <v>#REF!</v>
      </c>
      <c r="O36" s="1" t="e">
        <f>SUMIFS(#REF!,#REF!,
 $A36,#REF!,
 "&gt;="&amp;INT($Q$1),#REF!,
 "&lt;="&amp;INT($R$1)
)</f>
        <v>#REF!</v>
      </c>
      <c r="P36" s="1" t="e">
        <f t="shared" si="4"/>
        <v>#REF!</v>
      </c>
      <c r="Q36" s="9" t="e">
        <f t="shared" si="5"/>
        <v>#REF!</v>
      </c>
      <c r="R36" s="10" t="e">
        <f t="shared" si="6"/>
        <v>#REF!</v>
      </c>
      <c r="S36" s="1" t="e">
        <f>SUMIFS(#REF!,#REF!,
 $A36,#REF!,
 "&gt;="&amp;INT($U$1),#REF!,
 "&lt;="&amp;INT($V$1)
)</f>
        <v>#REF!</v>
      </c>
      <c r="T36" s="1" t="e">
        <f t="shared" si="7"/>
        <v>#REF!</v>
      </c>
      <c r="U36" s="9" t="e">
        <f t="shared" si="8"/>
        <v>#REF!</v>
      </c>
      <c r="V36" s="10" t="e">
        <f t="shared" si="9"/>
        <v>#REF!</v>
      </c>
      <c r="W36" s="1" t="e">
        <f>SUMIFS(#REF!,#REF!,
 $A36,#REF!,
 "&gt;="&amp;INT($Y$1),#REF!,
 "&lt;="&amp;INT($Z$1)
)</f>
        <v>#REF!</v>
      </c>
      <c r="X36" s="1" t="e">
        <f t="shared" si="10"/>
        <v>#REF!</v>
      </c>
      <c r="Y36" s="9" t="e">
        <f t="shared" si="11"/>
        <v>#REF!</v>
      </c>
      <c r="Z36" s="10" t="e">
        <f t="shared" si="12"/>
        <v>#REF!</v>
      </c>
      <c r="AA36" s="1" t="e">
        <f>SUMIFS(#REF!,#REF!,
 $A36,#REF!,
 "&gt;="&amp;INT($AC$1),#REF!,
 "&lt;="&amp;INT($AD$1)
)</f>
        <v>#REF!</v>
      </c>
      <c r="AB36" s="1" t="e">
        <f t="shared" si="13"/>
        <v>#REF!</v>
      </c>
      <c r="AC36" s="9" t="e">
        <f t="shared" si="14"/>
        <v>#REF!</v>
      </c>
      <c r="AD36" s="10" t="e">
        <f t="shared" si="15"/>
        <v>#REF!</v>
      </c>
      <c r="AE36" s="1" t="e">
        <f>SUMIFS(#REF!,#REF!,
 $A36,#REF!,
 "&gt;="&amp;INT($AG$1),#REF!,
 "&lt;="&amp;INT($AH$1)
)</f>
        <v>#REF!</v>
      </c>
      <c r="AF36" s="1" t="e">
        <f t="shared" si="16"/>
        <v>#REF!</v>
      </c>
      <c r="AG36" s="9" t="e">
        <f t="shared" si="17"/>
        <v>#REF!</v>
      </c>
      <c r="AH36" s="10" t="e">
        <f t="shared" si="18"/>
        <v>#REF!</v>
      </c>
      <c r="AI36" s="1" t="e">
        <f>SUMIFS(#REF!,#REF!,
 $A36,#REF!,
 "&gt;="&amp;INT($AK$1),#REF!,
 "&lt;="&amp;INT($AL$1)
)</f>
        <v>#REF!</v>
      </c>
      <c r="AJ36" s="1" t="e">
        <f t="shared" si="19"/>
        <v>#REF!</v>
      </c>
      <c r="AK36" s="9" t="e">
        <f t="shared" si="20"/>
        <v>#REF!</v>
      </c>
      <c r="AL36" s="10" t="e">
        <f t="shared" si="21"/>
        <v>#REF!</v>
      </c>
      <c r="AM36" s="1" t="e">
        <f>SUMIFS(#REF!,#REF!,
 $A36,#REF!,
 "&gt;="&amp;INT($AO$1),#REF!,
 "&lt;="&amp;INT($AP$1)
)</f>
        <v>#REF!</v>
      </c>
      <c r="AN36" s="1" t="e">
        <f t="shared" si="22"/>
        <v>#REF!</v>
      </c>
      <c r="AO36" s="9" t="e">
        <f t="shared" si="23"/>
        <v>#REF!</v>
      </c>
      <c r="AP36" s="10" t="e">
        <f t="shared" si="24"/>
        <v>#REF!</v>
      </c>
      <c r="AQ36" s="1" t="e">
        <f>SUMIFS(#REF!,#REF!,
 $A36,#REF!,
 "&gt;="&amp;INT($AS$1),#REF!,
 "&lt;="&amp;INT($AT$1)
)</f>
        <v>#REF!</v>
      </c>
      <c r="AR36" s="1" t="e">
        <f t="shared" si="25"/>
        <v>#REF!</v>
      </c>
      <c r="AS36" s="9" t="e">
        <f t="shared" si="26"/>
        <v>#REF!</v>
      </c>
      <c r="AT36" s="10" t="e">
        <f t="shared" si="27"/>
        <v>#REF!</v>
      </c>
      <c r="AU36" s="1" t="e">
        <f>SUMIFS(#REF!,#REF!,
 $A36,#REF!,
 "&gt;="&amp;INT($AW$1),#REF!,
 "&lt;="&amp;INT($AX$1)
)</f>
        <v>#REF!</v>
      </c>
      <c r="AV36" s="1" t="e">
        <f t="shared" si="28"/>
        <v>#REF!</v>
      </c>
      <c r="AW36" s="9" t="e">
        <f t="shared" si="29"/>
        <v>#REF!</v>
      </c>
      <c r="AX36" s="10" t="e">
        <f t="shared" si="30"/>
        <v>#REF!</v>
      </c>
    </row>
    <row r="37" spans="1:50" x14ac:dyDescent="0.25">
      <c r="A37" s="5">
        <v>206002</v>
      </c>
      <c r="B37" s="6" t="s">
        <v>34</v>
      </c>
      <c r="C37" s="1" t="e">
        <f>SUMIFS(#REF!,#REF!,
 $A37,#REF!,
 "&gt;="&amp;INT($E$1),#REF!,
 "&lt;"&amp;INT($F$1+1)
)</f>
        <v>#REF!</v>
      </c>
      <c r="D37" s="1" t="str">
        <f>""</f>
        <v/>
      </c>
      <c r="F37" s="2"/>
      <c r="G37" s="1" t="e">
        <f>SUMIFS(#REF!,#REF!,
 $A37,#REF!,
 "&gt;="&amp;INT($I$1),#REF!,
 "&lt;"&amp;INT($J$1+1)
)</f>
        <v>#REF!</v>
      </c>
      <c r="H37" s="1" t="e">
        <f t="shared" si="0"/>
        <v>#REF!</v>
      </c>
      <c r="I37" s="1"/>
      <c r="J37" s="2"/>
      <c r="K37" s="1" t="e">
        <f>SUMIFS(#REF!,#REF!,
 $A37,#REF!,
 "&gt;="&amp;INT($M$1),#REF!,
 "&lt;"&amp;INT($N$1+1)
)</f>
        <v>#REF!</v>
      </c>
      <c r="L37" s="1" t="e">
        <f t="shared" si="1"/>
        <v>#REF!</v>
      </c>
      <c r="M37" s="9" t="e">
        <f t="shared" si="2"/>
        <v>#REF!</v>
      </c>
      <c r="N37" s="10" t="e">
        <f t="shared" si="3"/>
        <v>#REF!</v>
      </c>
      <c r="O37" s="1" t="e">
        <f>SUMIFS(#REF!,#REF!,
 $A37,#REF!,
 "&gt;="&amp;INT($Q$1),#REF!,
 "&lt;="&amp;INT($R$1)
)</f>
        <v>#REF!</v>
      </c>
      <c r="P37" s="1" t="e">
        <f t="shared" si="4"/>
        <v>#REF!</v>
      </c>
      <c r="Q37" s="9" t="e">
        <f t="shared" si="5"/>
        <v>#REF!</v>
      </c>
      <c r="R37" s="10" t="e">
        <f t="shared" si="6"/>
        <v>#REF!</v>
      </c>
      <c r="S37" s="1" t="e">
        <f>SUMIFS(#REF!,#REF!,
 $A37,#REF!,
 "&gt;="&amp;INT($U$1),#REF!,
 "&lt;="&amp;INT($V$1)
)</f>
        <v>#REF!</v>
      </c>
      <c r="T37" s="1" t="e">
        <f t="shared" si="7"/>
        <v>#REF!</v>
      </c>
      <c r="U37" s="9" t="e">
        <f t="shared" si="8"/>
        <v>#REF!</v>
      </c>
      <c r="V37" s="10" t="e">
        <f t="shared" si="9"/>
        <v>#REF!</v>
      </c>
      <c r="W37" s="1" t="e">
        <f>SUMIFS(#REF!,#REF!,
 $A37,#REF!,
 "&gt;="&amp;INT($Y$1),#REF!,
 "&lt;="&amp;INT($Z$1)
)</f>
        <v>#REF!</v>
      </c>
      <c r="X37" s="1" t="e">
        <f t="shared" si="10"/>
        <v>#REF!</v>
      </c>
      <c r="Y37" s="9" t="e">
        <f t="shared" si="11"/>
        <v>#REF!</v>
      </c>
      <c r="Z37" s="10" t="e">
        <f t="shared" si="12"/>
        <v>#REF!</v>
      </c>
      <c r="AA37" s="1" t="e">
        <f>SUMIFS(#REF!,#REF!,
 $A37,#REF!,
 "&gt;="&amp;INT($AC$1),#REF!,
 "&lt;="&amp;INT($AD$1)
)</f>
        <v>#REF!</v>
      </c>
      <c r="AB37" s="1" t="e">
        <f t="shared" si="13"/>
        <v>#REF!</v>
      </c>
      <c r="AC37" s="9" t="e">
        <f t="shared" si="14"/>
        <v>#REF!</v>
      </c>
      <c r="AD37" s="10" t="e">
        <f t="shared" si="15"/>
        <v>#REF!</v>
      </c>
      <c r="AE37" s="1" t="e">
        <f>SUMIFS(#REF!,#REF!,
 $A37,#REF!,
 "&gt;="&amp;INT($AG$1),#REF!,
 "&lt;="&amp;INT($AH$1)
)</f>
        <v>#REF!</v>
      </c>
      <c r="AF37" s="1" t="e">
        <f t="shared" si="16"/>
        <v>#REF!</v>
      </c>
      <c r="AG37" s="9" t="e">
        <f t="shared" si="17"/>
        <v>#REF!</v>
      </c>
      <c r="AH37" s="10" t="e">
        <f t="shared" si="18"/>
        <v>#REF!</v>
      </c>
      <c r="AI37" s="1" t="e">
        <f>SUMIFS(#REF!,#REF!,
 $A37,#REF!,
 "&gt;="&amp;INT($AK$1),#REF!,
 "&lt;="&amp;INT($AL$1)
)</f>
        <v>#REF!</v>
      </c>
      <c r="AJ37" s="1" t="e">
        <f t="shared" si="19"/>
        <v>#REF!</v>
      </c>
      <c r="AK37" s="9" t="e">
        <f t="shared" si="20"/>
        <v>#REF!</v>
      </c>
      <c r="AL37" s="10" t="e">
        <f t="shared" si="21"/>
        <v>#REF!</v>
      </c>
      <c r="AM37" s="1" t="e">
        <f>SUMIFS(#REF!,#REF!,
 $A37,#REF!,
 "&gt;="&amp;INT($AO$1),#REF!,
 "&lt;="&amp;INT($AP$1)
)</f>
        <v>#REF!</v>
      </c>
      <c r="AN37" s="1" t="e">
        <f t="shared" si="22"/>
        <v>#REF!</v>
      </c>
      <c r="AO37" s="9" t="e">
        <f t="shared" si="23"/>
        <v>#REF!</v>
      </c>
      <c r="AP37" s="10" t="e">
        <f t="shared" si="24"/>
        <v>#REF!</v>
      </c>
      <c r="AQ37" s="1" t="e">
        <f>SUMIFS(#REF!,#REF!,
 $A37,#REF!,
 "&gt;="&amp;INT($AS$1),#REF!,
 "&lt;="&amp;INT($AT$1)
)</f>
        <v>#REF!</v>
      </c>
      <c r="AR37" s="1" t="e">
        <f t="shared" si="25"/>
        <v>#REF!</v>
      </c>
      <c r="AS37" s="9" t="e">
        <f t="shared" si="26"/>
        <v>#REF!</v>
      </c>
      <c r="AT37" s="10" t="e">
        <f t="shared" si="27"/>
        <v>#REF!</v>
      </c>
      <c r="AU37" s="1" t="e">
        <f>SUMIFS(#REF!,#REF!,
 $A37,#REF!,
 "&gt;="&amp;INT($AW$1),#REF!,
 "&lt;="&amp;INT($AX$1)
)</f>
        <v>#REF!</v>
      </c>
      <c r="AV37" s="1" t="e">
        <f t="shared" si="28"/>
        <v>#REF!</v>
      </c>
      <c r="AW37" s="9" t="e">
        <f t="shared" si="29"/>
        <v>#REF!</v>
      </c>
      <c r="AX37" s="10" t="e">
        <f t="shared" si="30"/>
        <v>#REF!</v>
      </c>
    </row>
    <row r="38" spans="1:50" x14ac:dyDescent="0.25">
      <c r="A38" s="5">
        <v>206003</v>
      </c>
      <c r="B38" s="6" t="s">
        <v>35</v>
      </c>
      <c r="C38" s="1" t="e">
        <f>SUMIFS(#REF!,#REF!,
 $A38,#REF!,
 "&gt;="&amp;INT($E$1),#REF!,
 "&lt;"&amp;INT($F$1+1)
)</f>
        <v>#REF!</v>
      </c>
      <c r="D38" s="1" t="str">
        <f>""</f>
        <v/>
      </c>
      <c r="F38" s="2"/>
      <c r="G38" s="1" t="e">
        <f>SUMIFS(#REF!,#REF!,
 $A38,#REF!,
 "&gt;="&amp;INT($I$1),#REF!,
 "&lt;"&amp;INT($J$1+1)
)</f>
        <v>#REF!</v>
      </c>
      <c r="H38" s="1" t="e">
        <f t="shared" si="0"/>
        <v>#REF!</v>
      </c>
      <c r="I38" s="1"/>
      <c r="J38" s="2"/>
      <c r="K38" s="1" t="e">
        <f>SUMIFS(#REF!,#REF!,
 $A38,#REF!,
 "&gt;="&amp;INT($M$1),#REF!,
 "&lt;"&amp;INT($N$1+1)
)</f>
        <v>#REF!</v>
      </c>
      <c r="L38" s="1" t="e">
        <f t="shared" si="1"/>
        <v>#REF!</v>
      </c>
      <c r="M38" s="9" t="e">
        <f t="shared" si="2"/>
        <v>#REF!</v>
      </c>
      <c r="N38" s="10" t="e">
        <f t="shared" si="3"/>
        <v>#REF!</v>
      </c>
      <c r="O38" s="1" t="e">
        <f>SUMIFS(#REF!,#REF!,
 $A38,#REF!,
 "&gt;="&amp;INT($Q$1),#REF!,
 "&lt;="&amp;INT($R$1)
)</f>
        <v>#REF!</v>
      </c>
      <c r="P38" s="1" t="e">
        <f t="shared" si="4"/>
        <v>#REF!</v>
      </c>
      <c r="Q38" s="9" t="e">
        <f t="shared" si="5"/>
        <v>#REF!</v>
      </c>
      <c r="R38" s="10" t="e">
        <f t="shared" si="6"/>
        <v>#REF!</v>
      </c>
      <c r="S38" s="1" t="e">
        <f>SUMIFS(#REF!,#REF!,
 $A38,#REF!,
 "&gt;="&amp;INT($U$1),#REF!,
 "&lt;="&amp;INT($V$1)
)</f>
        <v>#REF!</v>
      </c>
      <c r="T38" s="1" t="e">
        <f t="shared" si="7"/>
        <v>#REF!</v>
      </c>
      <c r="U38" s="9" t="e">
        <f t="shared" si="8"/>
        <v>#REF!</v>
      </c>
      <c r="V38" s="10" t="e">
        <f t="shared" si="9"/>
        <v>#REF!</v>
      </c>
      <c r="W38" s="1" t="e">
        <f>SUMIFS(#REF!,#REF!,
 $A38,#REF!,
 "&gt;="&amp;INT($Y$1),#REF!,
 "&lt;="&amp;INT($Z$1)
)</f>
        <v>#REF!</v>
      </c>
      <c r="X38" s="1" t="e">
        <f t="shared" si="10"/>
        <v>#REF!</v>
      </c>
      <c r="Y38" s="9" t="e">
        <f t="shared" si="11"/>
        <v>#REF!</v>
      </c>
      <c r="Z38" s="10" t="e">
        <f t="shared" si="12"/>
        <v>#REF!</v>
      </c>
      <c r="AA38" s="1" t="e">
        <f>SUMIFS(#REF!,#REF!,
 $A38,#REF!,
 "&gt;="&amp;INT($AC$1),#REF!,
 "&lt;="&amp;INT($AD$1)
)</f>
        <v>#REF!</v>
      </c>
      <c r="AB38" s="1" t="e">
        <f t="shared" si="13"/>
        <v>#REF!</v>
      </c>
      <c r="AC38" s="9" t="e">
        <f t="shared" si="14"/>
        <v>#REF!</v>
      </c>
      <c r="AD38" s="10" t="e">
        <f t="shared" si="15"/>
        <v>#REF!</v>
      </c>
      <c r="AE38" s="1" t="e">
        <f>SUMIFS(#REF!,#REF!,
 $A38,#REF!,
 "&gt;="&amp;INT($AG$1),#REF!,
 "&lt;="&amp;INT($AH$1)
)</f>
        <v>#REF!</v>
      </c>
      <c r="AF38" s="1" t="e">
        <f t="shared" si="16"/>
        <v>#REF!</v>
      </c>
      <c r="AG38" s="9" t="e">
        <f t="shared" si="17"/>
        <v>#REF!</v>
      </c>
      <c r="AH38" s="10" t="e">
        <f t="shared" si="18"/>
        <v>#REF!</v>
      </c>
      <c r="AI38" s="1" t="e">
        <f>SUMIFS(#REF!,#REF!,
 $A38,#REF!,
 "&gt;="&amp;INT($AK$1),#REF!,
 "&lt;="&amp;INT($AL$1)
)</f>
        <v>#REF!</v>
      </c>
      <c r="AJ38" s="1" t="e">
        <f t="shared" si="19"/>
        <v>#REF!</v>
      </c>
      <c r="AK38" s="9" t="e">
        <f t="shared" si="20"/>
        <v>#REF!</v>
      </c>
      <c r="AL38" s="10" t="e">
        <f t="shared" si="21"/>
        <v>#REF!</v>
      </c>
      <c r="AM38" s="1" t="e">
        <f>SUMIFS(#REF!,#REF!,
 $A38,#REF!,
 "&gt;="&amp;INT($AO$1),#REF!,
 "&lt;="&amp;INT($AP$1)
)</f>
        <v>#REF!</v>
      </c>
      <c r="AN38" s="1" t="e">
        <f t="shared" si="22"/>
        <v>#REF!</v>
      </c>
      <c r="AO38" s="9" t="e">
        <f t="shared" si="23"/>
        <v>#REF!</v>
      </c>
      <c r="AP38" s="10" t="e">
        <f t="shared" si="24"/>
        <v>#REF!</v>
      </c>
      <c r="AQ38" s="1" t="e">
        <f>SUMIFS(#REF!,#REF!,
 $A38,#REF!,
 "&gt;="&amp;INT($AS$1),#REF!,
 "&lt;="&amp;INT($AT$1)
)</f>
        <v>#REF!</v>
      </c>
      <c r="AR38" s="1" t="e">
        <f t="shared" si="25"/>
        <v>#REF!</v>
      </c>
      <c r="AS38" s="9" t="e">
        <f t="shared" si="26"/>
        <v>#REF!</v>
      </c>
      <c r="AT38" s="10" t="e">
        <f t="shared" si="27"/>
        <v>#REF!</v>
      </c>
      <c r="AU38" s="1" t="e">
        <f>SUMIFS(#REF!,#REF!,
 $A38,#REF!,
 "&gt;="&amp;INT($AW$1),#REF!,
 "&lt;="&amp;INT($AX$1)
)</f>
        <v>#REF!</v>
      </c>
      <c r="AV38" s="1" t="e">
        <f t="shared" si="28"/>
        <v>#REF!</v>
      </c>
      <c r="AW38" s="9" t="e">
        <f t="shared" si="29"/>
        <v>#REF!</v>
      </c>
      <c r="AX38" s="10" t="e">
        <f t="shared" si="30"/>
        <v>#REF!</v>
      </c>
    </row>
    <row r="39" spans="1:50" x14ac:dyDescent="0.25">
      <c r="A39" s="5">
        <v>206004</v>
      </c>
      <c r="B39" s="6" t="s">
        <v>36</v>
      </c>
      <c r="C39" s="1" t="e">
        <f>SUMIFS(#REF!,#REF!,
 $A39,#REF!,
 "&gt;="&amp;INT($E$1),#REF!,
 "&lt;"&amp;INT($F$1+1)
)</f>
        <v>#REF!</v>
      </c>
      <c r="D39" s="1" t="str">
        <f>""</f>
        <v/>
      </c>
      <c r="F39" s="2"/>
      <c r="G39" s="1" t="e">
        <f>SUMIFS(#REF!,#REF!,
 $A39,#REF!,
 "&gt;="&amp;INT($I$1),#REF!,
 "&lt;"&amp;INT($J$1+1)
)</f>
        <v>#REF!</v>
      </c>
      <c r="H39" s="1" t="e">
        <f t="shared" si="0"/>
        <v>#REF!</v>
      </c>
      <c r="I39" s="1"/>
      <c r="J39" s="2"/>
      <c r="K39" s="1" t="e">
        <f>SUMIFS(#REF!,#REF!,
 $A39,#REF!,
 "&gt;="&amp;INT($M$1),#REF!,
 "&lt;"&amp;INT($N$1+1)
)</f>
        <v>#REF!</v>
      </c>
      <c r="L39" s="1" t="e">
        <f t="shared" si="1"/>
        <v>#REF!</v>
      </c>
      <c r="M39" s="9" t="e">
        <f t="shared" si="2"/>
        <v>#REF!</v>
      </c>
      <c r="N39" s="10" t="e">
        <f t="shared" si="3"/>
        <v>#REF!</v>
      </c>
      <c r="O39" s="1" t="e">
        <f>SUMIFS(#REF!,#REF!,
 $A39,#REF!,
 "&gt;="&amp;INT($Q$1),#REF!,
 "&lt;="&amp;INT($R$1)
)</f>
        <v>#REF!</v>
      </c>
      <c r="P39" s="1" t="e">
        <f t="shared" si="4"/>
        <v>#REF!</v>
      </c>
      <c r="Q39" s="9" t="e">
        <f t="shared" si="5"/>
        <v>#REF!</v>
      </c>
      <c r="R39" s="10" t="e">
        <f t="shared" si="6"/>
        <v>#REF!</v>
      </c>
      <c r="S39" s="1" t="e">
        <f>SUMIFS(#REF!,#REF!,
 $A39,#REF!,
 "&gt;="&amp;INT($U$1),#REF!,
 "&lt;="&amp;INT($V$1)
)</f>
        <v>#REF!</v>
      </c>
      <c r="T39" s="1" t="e">
        <f t="shared" si="7"/>
        <v>#REF!</v>
      </c>
      <c r="U39" s="9" t="e">
        <f t="shared" si="8"/>
        <v>#REF!</v>
      </c>
      <c r="V39" s="10" t="e">
        <f t="shared" si="9"/>
        <v>#REF!</v>
      </c>
      <c r="W39" s="1" t="e">
        <f>SUMIFS(#REF!,#REF!,
 $A39,#REF!,
 "&gt;="&amp;INT($Y$1),#REF!,
 "&lt;="&amp;INT($Z$1)
)</f>
        <v>#REF!</v>
      </c>
      <c r="X39" s="1" t="e">
        <f t="shared" si="10"/>
        <v>#REF!</v>
      </c>
      <c r="Y39" s="9" t="e">
        <f t="shared" si="11"/>
        <v>#REF!</v>
      </c>
      <c r="Z39" s="10" t="e">
        <f t="shared" si="12"/>
        <v>#REF!</v>
      </c>
      <c r="AA39" s="1" t="e">
        <f>SUMIFS(#REF!,#REF!,
 $A39,#REF!,
 "&gt;="&amp;INT($AC$1),#REF!,
 "&lt;="&amp;INT($AD$1)
)</f>
        <v>#REF!</v>
      </c>
      <c r="AB39" s="1" t="e">
        <f t="shared" si="13"/>
        <v>#REF!</v>
      </c>
      <c r="AC39" s="9" t="e">
        <f t="shared" si="14"/>
        <v>#REF!</v>
      </c>
      <c r="AD39" s="10" t="e">
        <f t="shared" si="15"/>
        <v>#REF!</v>
      </c>
      <c r="AE39" s="1" t="e">
        <f>SUMIFS(#REF!,#REF!,
 $A39,#REF!,
 "&gt;="&amp;INT($AG$1),#REF!,
 "&lt;="&amp;INT($AH$1)
)</f>
        <v>#REF!</v>
      </c>
      <c r="AF39" s="1" t="e">
        <f t="shared" si="16"/>
        <v>#REF!</v>
      </c>
      <c r="AG39" s="9" t="e">
        <f t="shared" si="17"/>
        <v>#REF!</v>
      </c>
      <c r="AH39" s="10" t="e">
        <f t="shared" si="18"/>
        <v>#REF!</v>
      </c>
      <c r="AI39" s="1" t="e">
        <f>SUMIFS(#REF!,#REF!,
 $A39,#REF!,
 "&gt;="&amp;INT($AK$1),#REF!,
 "&lt;="&amp;INT($AL$1)
)</f>
        <v>#REF!</v>
      </c>
      <c r="AJ39" s="1" t="e">
        <f t="shared" si="19"/>
        <v>#REF!</v>
      </c>
      <c r="AK39" s="9" t="e">
        <f t="shared" si="20"/>
        <v>#REF!</v>
      </c>
      <c r="AL39" s="10" t="e">
        <f t="shared" si="21"/>
        <v>#REF!</v>
      </c>
      <c r="AM39" s="1" t="e">
        <f>SUMIFS(#REF!,#REF!,
 $A39,#REF!,
 "&gt;="&amp;INT($AO$1),#REF!,
 "&lt;="&amp;INT($AP$1)
)</f>
        <v>#REF!</v>
      </c>
      <c r="AN39" s="1" t="e">
        <f t="shared" si="22"/>
        <v>#REF!</v>
      </c>
      <c r="AO39" s="9" t="e">
        <f t="shared" si="23"/>
        <v>#REF!</v>
      </c>
      <c r="AP39" s="10" t="e">
        <f t="shared" si="24"/>
        <v>#REF!</v>
      </c>
      <c r="AQ39" s="1" t="e">
        <f>SUMIFS(#REF!,#REF!,
 $A39,#REF!,
 "&gt;="&amp;INT($AS$1),#REF!,
 "&lt;="&amp;INT($AT$1)
)</f>
        <v>#REF!</v>
      </c>
      <c r="AR39" s="1" t="e">
        <f t="shared" si="25"/>
        <v>#REF!</v>
      </c>
      <c r="AS39" s="9" t="e">
        <f t="shared" si="26"/>
        <v>#REF!</v>
      </c>
      <c r="AT39" s="10" t="e">
        <f t="shared" si="27"/>
        <v>#REF!</v>
      </c>
      <c r="AU39" s="1" t="e">
        <f>SUMIFS(#REF!,#REF!,
 $A39,#REF!,
 "&gt;="&amp;INT($AW$1),#REF!,
 "&lt;="&amp;INT($AX$1)
)</f>
        <v>#REF!</v>
      </c>
      <c r="AV39" s="1" t="e">
        <f t="shared" si="28"/>
        <v>#REF!</v>
      </c>
      <c r="AW39" s="9" t="e">
        <f t="shared" si="29"/>
        <v>#REF!</v>
      </c>
      <c r="AX39" s="10" t="e">
        <f t="shared" si="30"/>
        <v>#REF!</v>
      </c>
    </row>
    <row r="40" spans="1:50" x14ac:dyDescent="0.25">
      <c r="A40" s="5">
        <v>206005</v>
      </c>
      <c r="B40" s="6" t="s">
        <v>37</v>
      </c>
      <c r="C40" s="1" t="e">
        <f>SUMIFS(#REF!,#REF!,
 $A40,#REF!,
 "&gt;="&amp;INT($E$1),#REF!,
 "&lt;"&amp;INT($F$1+1)
)</f>
        <v>#REF!</v>
      </c>
      <c r="D40" s="1" t="str">
        <f>""</f>
        <v/>
      </c>
      <c r="F40" s="2"/>
      <c r="G40" s="1" t="e">
        <f>SUMIFS(#REF!,#REF!,
 $A40,#REF!,
 "&gt;="&amp;INT($I$1),#REF!,
 "&lt;"&amp;INT($J$1+1)
)</f>
        <v>#REF!</v>
      </c>
      <c r="H40" s="1" t="e">
        <f t="shared" si="0"/>
        <v>#REF!</v>
      </c>
      <c r="I40" s="1"/>
      <c r="J40" s="2"/>
      <c r="K40" s="1" t="e">
        <f>SUMIFS(#REF!,#REF!,
 $A40,#REF!,
 "&gt;="&amp;INT($M$1),#REF!,
 "&lt;"&amp;INT($N$1+1)
)</f>
        <v>#REF!</v>
      </c>
      <c r="L40" s="1" t="e">
        <f t="shared" si="1"/>
        <v>#REF!</v>
      </c>
      <c r="M40" s="9" t="e">
        <f t="shared" si="2"/>
        <v>#REF!</v>
      </c>
      <c r="N40" s="10" t="e">
        <f t="shared" si="3"/>
        <v>#REF!</v>
      </c>
      <c r="O40" s="1" t="e">
        <f>SUMIFS(#REF!,#REF!,
 $A40,#REF!,
 "&gt;="&amp;INT($Q$1),#REF!,
 "&lt;="&amp;INT($R$1)
)</f>
        <v>#REF!</v>
      </c>
      <c r="P40" s="1" t="e">
        <f t="shared" si="4"/>
        <v>#REF!</v>
      </c>
      <c r="Q40" s="9" t="e">
        <f t="shared" si="5"/>
        <v>#REF!</v>
      </c>
      <c r="R40" s="10" t="e">
        <f t="shared" si="6"/>
        <v>#REF!</v>
      </c>
      <c r="S40" s="1" t="e">
        <f>SUMIFS(#REF!,#REF!,
 $A40,#REF!,
 "&gt;="&amp;INT($U$1),#REF!,
 "&lt;="&amp;INT($V$1)
)</f>
        <v>#REF!</v>
      </c>
      <c r="T40" s="1" t="e">
        <f t="shared" si="7"/>
        <v>#REF!</v>
      </c>
      <c r="U40" s="9" t="e">
        <f t="shared" si="8"/>
        <v>#REF!</v>
      </c>
      <c r="V40" s="10" t="e">
        <f t="shared" si="9"/>
        <v>#REF!</v>
      </c>
      <c r="W40" s="1" t="e">
        <f>SUMIFS(#REF!,#REF!,
 $A40,#REF!,
 "&gt;="&amp;INT($Y$1),#REF!,
 "&lt;="&amp;INT($Z$1)
)</f>
        <v>#REF!</v>
      </c>
      <c r="X40" s="1" t="e">
        <f t="shared" si="10"/>
        <v>#REF!</v>
      </c>
      <c r="Y40" s="9" t="e">
        <f t="shared" si="11"/>
        <v>#REF!</v>
      </c>
      <c r="Z40" s="10" t="e">
        <f t="shared" si="12"/>
        <v>#REF!</v>
      </c>
      <c r="AA40" s="1" t="e">
        <f>SUMIFS(#REF!,#REF!,
 $A40,#REF!,
 "&gt;="&amp;INT($AC$1),#REF!,
 "&lt;="&amp;INT($AD$1)
)</f>
        <v>#REF!</v>
      </c>
      <c r="AB40" s="1" t="e">
        <f t="shared" si="13"/>
        <v>#REF!</v>
      </c>
      <c r="AC40" s="9" t="e">
        <f t="shared" si="14"/>
        <v>#REF!</v>
      </c>
      <c r="AD40" s="10" t="e">
        <f t="shared" si="15"/>
        <v>#REF!</v>
      </c>
      <c r="AE40" s="1" t="e">
        <f>SUMIFS(#REF!,#REF!,
 $A40,#REF!,
 "&gt;="&amp;INT($AG$1),#REF!,
 "&lt;="&amp;INT($AH$1)
)</f>
        <v>#REF!</v>
      </c>
      <c r="AF40" s="1" t="e">
        <f t="shared" si="16"/>
        <v>#REF!</v>
      </c>
      <c r="AG40" s="9" t="e">
        <f t="shared" si="17"/>
        <v>#REF!</v>
      </c>
      <c r="AH40" s="10" t="e">
        <f t="shared" si="18"/>
        <v>#REF!</v>
      </c>
      <c r="AI40" s="1" t="e">
        <f>SUMIFS(#REF!,#REF!,
 $A40,#REF!,
 "&gt;="&amp;INT($AK$1),#REF!,
 "&lt;="&amp;INT($AL$1)
)</f>
        <v>#REF!</v>
      </c>
      <c r="AJ40" s="1" t="e">
        <f t="shared" si="19"/>
        <v>#REF!</v>
      </c>
      <c r="AK40" s="9" t="e">
        <f t="shared" si="20"/>
        <v>#REF!</v>
      </c>
      <c r="AL40" s="10" t="e">
        <f t="shared" si="21"/>
        <v>#REF!</v>
      </c>
      <c r="AM40" s="1" t="e">
        <f>SUMIFS(#REF!,#REF!,
 $A40,#REF!,
 "&gt;="&amp;INT($AO$1),#REF!,
 "&lt;="&amp;INT($AP$1)
)</f>
        <v>#REF!</v>
      </c>
      <c r="AN40" s="1" t="e">
        <f t="shared" si="22"/>
        <v>#REF!</v>
      </c>
      <c r="AO40" s="9" t="e">
        <f t="shared" si="23"/>
        <v>#REF!</v>
      </c>
      <c r="AP40" s="10" t="e">
        <f t="shared" si="24"/>
        <v>#REF!</v>
      </c>
      <c r="AQ40" s="1" t="e">
        <f>SUMIFS(#REF!,#REF!,
 $A40,#REF!,
 "&gt;="&amp;INT($AS$1),#REF!,
 "&lt;="&amp;INT($AT$1)
)</f>
        <v>#REF!</v>
      </c>
      <c r="AR40" s="1" t="e">
        <f t="shared" si="25"/>
        <v>#REF!</v>
      </c>
      <c r="AS40" s="9" t="e">
        <f t="shared" si="26"/>
        <v>#REF!</v>
      </c>
      <c r="AT40" s="10" t="e">
        <f t="shared" si="27"/>
        <v>#REF!</v>
      </c>
      <c r="AU40" s="1" t="e">
        <f>SUMIFS(#REF!,#REF!,
 $A40,#REF!,
 "&gt;="&amp;INT($AW$1),#REF!,
 "&lt;="&amp;INT($AX$1)
)</f>
        <v>#REF!</v>
      </c>
      <c r="AV40" s="1" t="e">
        <f t="shared" si="28"/>
        <v>#REF!</v>
      </c>
      <c r="AW40" s="9" t="e">
        <f t="shared" si="29"/>
        <v>#REF!</v>
      </c>
      <c r="AX40" s="10" t="e">
        <f t="shared" si="30"/>
        <v>#REF!</v>
      </c>
    </row>
    <row r="41" spans="1:50" x14ac:dyDescent="0.25">
      <c r="A41" s="5">
        <v>206006</v>
      </c>
      <c r="B41" s="6" t="s">
        <v>38</v>
      </c>
      <c r="C41" s="1" t="e">
        <f>SUMIFS(#REF!,#REF!,
 $A41,#REF!,
 "&gt;="&amp;INT($E$1),#REF!,
 "&lt;"&amp;INT($F$1+1)
)</f>
        <v>#REF!</v>
      </c>
      <c r="D41" s="1" t="str">
        <f>""</f>
        <v/>
      </c>
      <c r="F41" s="2"/>
      <c r="G41" s="1" t="e">
        <f>SUMIFS(#REF!,#REF!,
 $A41,#REF!,
 "&gt;="&amp;INT($I$1),#REF!,
 "&lt;"&amp;INT($J$1+1)
)</f>
        <v>#REF!</v>
      </c>
      <c r="H41" s="1" t="e">
        <f t="shared" si="0"/>
        <v>#REF!</v>
      </c>
      <c r="I41" s="1"/>
      <c r="J41" s="2"/>
      <c r="K41" s="1" t="e">
        <f>SUMIFS(#REF!,#REF!,
 $A41,#REF!,
 "&gt;="&amp;INT($M$1),#REF!,
 "&lt;"&amp;INT($N$1+1)
)</f>
        <v>#REF!</v>
      </c>
      <c r="L41" s="1" t="e">
        <f t="shared" si="1"/>
        <v>#REF!</v>
      </c>
      <c r="M41" s="9" t="e">
        <f t="shared" si="2"/>
        <v>#REF!</v>
      </c>
      <c r="N41" s="10" t="e">
        <f t="shared" si="3"/>
        <v>#REF!</v>
      </c>
      <c r="O41" s="1" t="e">
        <f>SUMIFS(#REF!,#REF!,
 $A41,#REF!,
 "&gt;="&amp;INT($Q$1),#REF!,
 "&lt;="&amp;INT($R$1)
)</f>
        <v>#REF!</v>
      </c>
      <c r="P41" s="1" t="e">
        <f t="shared" si="4"/>
        <v>#REF!</v>
      </c>
      <c r="Q41" s="9" t="e">
        <f t="shared" si="5"/>
        <v>#REF!</v>
      </c>
      <c r="R41" s="10" t="e">
        <f t="shared" si="6"/>
        <v>#REF!</v>
      </c>
      <c r="S41" s="1" t="e">
        <f>SUMIFS(#REF!,#REF!,
 $A41,#REF!,
 "&gt;="&amp;INT($U$1),#REF!,
 "&lt;="&amp;INT($V$1)
)</f>
        <v>#REF!</v>
      </c>
      <c r="T41" s="1" t="e">
        <f t="shared" si="7"/>
        <v>#REF!</v>
      </c>
      <c r="U41" s="9" t="e">
        <f t="shared" si="8"/>
        <v>#REF!</v>
      </c>
      <c r="V41" s="10" t="e">
        <f t="shared" si="9"/>
        <v>#REF!</v>
      </c>
      <c r="W41" s="1" t="e">
        <f>SUMIFS(#REF!,#REF!,
 $A41,#REF!,
 "&gt;="&amp;INT($Y$1),#REF!,
 "&lt;="&amp;INT($Z$1)
)</f>
        <v>#REF!</v>
      </c>
      <c r="X41" s="1" t="e">
        <f t="shared" si="10"/>
        <v>#REF!</v>
      </c>
      <c r="Y41" s="9" t="e">
        <f t="shared" si="11"/>
        <v>#REF!</v>
      </c>
      <c r="Z41" s="10" t="e">
        <f t="shared" si="12"/>
        <v>#REF!</v>
      </c>
      <c r="AA41" s="1" t="e">
        <f>SUMIFS(#REF!,#REF!,
 $A41,#REF!,
 "&gt;="&amp;INT($AC$1),#REF!,
 "&lt;="&amp;INT($AD$1)
)</f>
        <v>#REF!</v>
      </c>
      <c r="AB41" s="1" t="e">
        <f t="shared" si="13"/>
        <v>#REF!</v>
      </c>
      <c r="AC41" s="9" t="e">
        <f t="shared" si="14"/>
        <v>#REF!</v>
      </c>
      <c r="AD41" s="10" t="e">
        <f t="shared" si="15"/>
        <v>#REF!</v>
      </c>
      <c r="AE41" s="1" t="e">
        <f>SUMIFS(#REF!,#REF!,
 $A41,#REF!,
 "&gt;="&amp;INT($AG$1),#REF!,
 "&lt;="&amp;INT($AH$1)
)</f>
        <v>#REF!</v>
      </c>
      <c r="AF41" s="1" t="e">
        <f t="shared" si="16"/>
        <v>#REF!</v>
      </c>
      <c r="AG41" s="9" t="e">
        <f t="shared" si="17"/>
        <v>#REF!</v>
      </c>
      <c r="AH41" s="10" t="e">
        <f t="shared" si="18"/>
        <v>#REF!</v>
      </c>
      <c r="AI41" s="1" t="e">
        <f>SUMIFS(#REF!,#REF!,
 $A41,#REF!,
 "&gt;="&amp;INT($AK$1),#REF!,
 "&lt;="&amp;INT($AL$1)
)</f>
        <v>#REF!</v>
      </c>
      <c r="AJ41" s="1" t="e">
        <f t="shared" si="19"/>
        <v>#REF!</v>
      </c>
      <c r="AK41" s="9" t="e">
        <f t="shared" si="20"/>
        <v>#REF!</v>
      </c>
      <c r="AL41" s="10" t="e">
        <f t="shared" si="21"/>
        <v>#REF!</v>
      </c>
      <c r="AM41" s="1" t="e">
        <f>SUMIFS(#REF!,#REF!,
 $A41,#REF!,
 "&gt;="&amp;INT($AO$1),#REF!,
 "&lt;="&amp;INT($AP$1)
)</f>
        <v>#REF!</v>
      </c>
      <c r="AN41" s="1" t="e">
        <f t="shared" si="22"/>
        <v>#REF!</v>
      </c>
      <c r="AO41" s="9" t="e">
        <f t="shared" si="23"/>
        <v>#REF!</v>
      </c>
      <c r="AP41" s="10" t="e">
        <f t="shared" si="24"/>
        <v>#REF!</v>
      </c>
      <c r="AQ41" s="1" t="e">
        <f>SUMIFS(#REF!,#REF!,
 $A41,#REF!,
 "&gt;="&amp;INT($AS$1),#REF!,
 "&lt;="&amp;INT($AT$1)
)</f>
        <v>#REF!</v>
      </c>
      <c r="AR41" s="1" t="e">
        <f t="shared" si="25"/>
        <v>#REF!</v>
      </c>
      <c r="AS41" s="9" t="e">
        <f t="shared" si="26"/>
        <v>#REF!</v>
      </c>
      <c r="AT41" s="10" t="e">
        <f t="shared" si="27"/>
        <v>#REF!</v>
      </c>
      <c r="AU41" s="1" t="e">
        <f>SUMIFS(#REF!,#REF!,
 $A41,#REF!,
 "&gt;="&amp;INT($AW$1),#REF!,
 "&lt;="&amp;INT($AX$1)
)</f>
        <v>#REF!</v>
      </c>
      <c r="AV41" s="1" t="e">
        <f t="shared" si="28"/>
        <v>#REF!</v>
      </c>
      <c r="AW41" s="9" t="e">
        <f t="shared" si="29"/>
        <v>#REF!</v>
      </c>
      <c r="AX41" s="10" t="e">
        <f t="shared" si="30"/>
        <v>#REF!</v>
      </c>
    </row>
    <row r="42" spans="1:50" x14ac:dyDescent="0.25">
      <c r="A42" s="5">
        <v>206007</v>
      </c>
      <c r="B42" s="6" t="s">
        <v>39</v>
      </c>
      <c r="C42" s="1" t="e">
        <f>SUMIFS(#REF!,#REF!,
 $A42,#REF!,
 "&gt;="&amp;INT($E$1),#REF!,
 "&lt;"&amp;INT($F$1+1)
)</f>
        <v>#REF!</v>
      </c>
      <c r="D42" s="1" t="str">
        <f>""</f>
        <v/>
      </c>
      <c r="F42" s="2"/>
      <c r="G42" s="1" t="e">
        <f>SUMIFS(#REF!,#REF!,
 $A42,#REF!,
 "&gt;="&amp;INT($I$1),#REF!,
 "&lt;"&amp;INT($J$1+1)
)</f>
        <v>#REF!</v>
      </c>
      <c r="H42" s="1" t="e">
        <f t="shared" si="0"/>
        <v>#REF!</v>
      </c>
      <c r="I42" s="1"/>
      <c r="J42" s="2"/>
      <c r="K42" s="1" t="e">
        <f>SUMIFS(#REF!,#REF!,
 $A42,#REF!,
 "&gt;="&amp;INT($M$1),#REF!,
 "&lt;"&amp;INT($N$1+1)
)</f>
        <v>#REF!</v>
      </c>
      <c r="L42" s="1" t="e">
        <f t="shared" si="1"/>
        <v>#REF!</v>
      </c>
      <c r="M42" s="9" t="e">
        <f t="shared" si="2"/>
        <v>#REF!</v>
      </c>
      <c r="N42" s="10" t="e">
        <f t="shared" si="3"/>
        <v>#REF!</v>
      </c>
      <c r="O42" s="1" t="e">
        <f>SUMIFS(#REF!,#REF!,
 $A42,#REF!,
 "&gt;="&amp;INT($Q$1),#REF!,
 "&lt;="&amp;INT($R$1)
)</f>
        <v>#REF!</v>
      </c>
      <c r="P42" s="1" t="e">
        <f t="shared" si="4"/>
        <v>#REF!</v>
      </c>
      <c r="Q42" s="9" t="e">
        <f t="shared" si="5"/>
        <v>#REF!</v>
      </c>
      <c r="R42" s="10" t="e">
        <f t="shared" si="6"/>
        <v>#REF!</v>
      </c>
      <c r="S42" s="1" t="e">
        <f>SUMIFS(#REF!,#REF!,
 $A42,#REF!,
 "&gt;="&amp;INT($U$1),#REF!,
 "&lt;="&amp;INT($V$1)
)</f>
        <v>#REF!</v>
      </c>
      <c r="T42" s="1" t="e">
        <f t="shared" si="7"/>
        <v>#REF!</v>
      </c>
      <c r="U42" s="9" t="e">
        <f t="shared" si="8"/>
        <v>#REF!</v>
      </c>
      <c r="V42" s="10" t="e">
        <f t="shared" si="9"/>
        <v>#REF!</v>
      </c>
      <c r="W42" s="1" t="e">
        <f>SUMIFS(#REF!,#REF!,
 $A42,#REF!,
 "&gt;="&amp;INT($Y$1),#REF!,
 "&lt;="&amp;INT($Z$1)
)</f>
        <v>#REF!</v>
      </c>
      <c r="X42" s="1" t="e">
        <f t="shared" si="10"/>
        <v>#REF!</v>
      </c>
      <c r="Y42" s="9" t="e">
        <f t="shared" si="11"/>
        <v>#REF!</v>
      </c>
      <c r="Z42" s="10" t="e">
        <f t="shared" si="12"/>
        <v>#REF!</v>
      </c>
      <c r="AA42" s="1" t="e">
        <f>SUMIFS(#REF!,#REF!,
 $A42,#REF!,
 "&gt;="&amp;INT($AC$1),#REF!,
 "&lt;="&amp;INT($AD$1)
)</f>
        <v>#REF!</v>
      </c>
      <c r="AB42" s="1" t="e">
        <f t="shared" si="13"/>
        <v>#REF!</v>
      </c>
      <c r="AC42" s="9" t="e">
        <f t="shared" si="14"/>
        <v>#REF!</v>
      </c>
      <c r="AD42" s="10" t="e">
        <f t="shared" si="15"/>
        <v>#REF!</v>
      </c>
      <c r="AE42" s="1" t="e">
        <f>SUMIFS(#REF!,#REF!,
 $A42,#REF!,
 "&gt;="&amp;INT($AG$1),#REF!,
 "&lt;="&amp;INT($AH$1)
)</f>
        <v>#REF!</v>
      </c>
      <c r="AF42" s="1" t="e">
        <f t="shared" si="16"/>
        <v>#REF!</v>
      </c>
      <c r="AG42" s="9" t="e">
        <f t="shared" si="17"/>
        <v>#REF!</v>
      </c>
      <c r="AH42" s="10" t="e">
        <f t="shared" si="18"/>
        <v>#REF!</v>
      </c>
      <c r="AI42" s="1" t="e">
        <f>SUMIFS(#REF!,#REF!,
 $A42,#REF!,
 "&gt;="&amp;INT($AK$1),#REF!,
 "&lt;="&amp;INT($AL$1)
)</f>
        <v>#REF!</v>
      </c>
      <c r="AJ42" s="1" t="e">
        <f t="shared" si="19"/>
        <v>#REF!</v>
      </c>
      <c r="AK42" s="9" t="e">
        <f t="shared" si="20"/>
        <v>#REF!</v>
      </c>
      <c r="AL42" s="10" t="e">
        <f t="shared" si="21"/>
        <v>#REF!</v>
      </c>
      <c r="AM42" s="1" t="e">
        <f>SUMIFS(#REF!,#REF!,
 $A42,#REF!,
 "&gt;="&amp;INT($AO$1),#REF!,
 "&lt;="&amp;INT($AP$1)
)</f>
        <v>#REF!</v>
      </c>
      <c r="AN42" s="1" t="e">
        <f t="shared" si="22"/>
        <v>#REF!</v>
      </c>
      <c r="AO42" s="9" t="e">
        <f t="shared" si="23"/>
        <v>#REF!</v>
      </c>
      <c r="AP42" s="10" t="e">
        <f t="shared" si="24"/>
        <v>#REF!</v>
      </c>
      <c r="AQ42" s="1" t="e">
        <f>SUMIFS(#REF!,#REF!,
 $A42,#REF!,
 "&gt;="&amp;INT($AS$1),#REF!,
 "&lt;="&amp;INT($AT$1)
)</f>
        <v>#REF!</v>
      </c>
      <c r="AR42" s="1" t="e">
        <f t="shared" si="25"/>
        <v>#REF!</v>
      </c>
      <c r="AS42" s="9" t="e">
        <f t="shared" si="26"/>
        <v>#REF!</v>
      </c>
      <c r="AT42" s="10" t="e">
        <f t="shared" si="27"/>
        <v>#REF!</v>
      </c>
      <c r="AU42" s="1" t="e">
        <f>SUMIFS(#REF!,#REF!,
 $A42,#REF!,
 "&gt;="&amp;INT($AW$1),#REF!,
 "&lt;="&amp;INT($AX$1)
)</f>
        <v>#REF!</v>
      </c>
      <c r="AV42" s="1" t="e">
        <f t="shared" si="28"/>
        <v>#REF!</v>
      </c>
      <c r="AW42" s="9" t="e">
        <f t="shared" si="29"/>
        <v>#REF!</v>
      </c>
      <c r="AX42" s="10" t="e">
        <f t="shared" si="30"/>
        <v>#REF!</v>
      </c>
    </row>
    <row r="43" spans="1:50" x14ac:dyDescent="0.25">
      <c r="A43" s="5">
        <v>206008</v>
      </c>
      <c r="B43" s="6" t="s">
        <v>40</v>
      </c>
      <c r="C43" s="1" t="e">
        <f>SUMIFS(#REF!,#REF!,
 $A43,#REF!,
 "&gt;="&amp;INT($E$1),#REF!,
 "&lt;"&amp;INT($F$1+1)
)</f>
        <v>#REF!</v>
      </c>
      <c r="D43" s="1" t="str">
        <f>""</f>
        <v/>
      </c>
      <c r="F43" s="2"/>
      <c r="G43" s="1" t="e">
        <f>SUMIFS(#REF!,#REF!,
 $A43,#REF!,
 "&gt;="&amp;INT($I$1),#REF!,
 "&lt;"&amp;INT($J$1+1)
)</f>
        <v>#REF!</v>
      </c>
      <c r="H43" s="1" t="e">
        <f t="shared" si="0"/>
        <v>#REF!</v>
      </c>
      <c r="I43" s="1"/>
      <c r="J43" s="2"/>
      <c r="K43" s="1" t="e">
        <f>SUMIFS(#REF!,#REF!,
 $A43,#REF!,
 "&gt;="&amp;INT($M$1),#REF!,
 "&lt;"&amp;INT($N$1+1)
)</f>
        <v>#REF!</v>
      </c>
      <c r="L43" s="1" t="e">
        <f t="shared" si="1"/>
        <v>#REF!</v>
      </c>
      <c r="M43" s="9" t="e">
        <f t="shared" si="2"/>
        <v>#REF!</v>
      </c>
      <c r="N43" s="10" t="e">
        <f t="shared" si="3"/>
        <v>#REF!</v>
      </c>
      <c r="O43" s="1" t="e">
        <f>SUMIFS(#REF!,#REF!,
 $A43,#REF!,
 "&gt;="&amp;INT($Q$1),#REF!,
 "&lt;="&amp;INT($R$1)
)</f>
        <v>#REF!</v>
      </c>
      <c r="P43" s="1" t="e">
        <f t="shared" si="4"/>
        <v>#REF!</v>
      </c>
      <c r="Q43" s="9" t="e">
        <f t="shared" si="5"/>
        <v>#REF!</v>
      </c>
      <c r="R43" s="10" t="e">
        <f t="shared" si="6"/>
        <v>#REF!</v>
      </c>
      <c r="S43" s="1" t="e">
        <f>SUMIFS(#REF!,#REF!,
 $A43,#REF!,
 "&gt;="&amp;INT($U$1),#REF!,
 "&lt;="&amp;INT($V$1)
)</f>
        <v>#REF!</v>
      </c>
      <c r="T43" s="1" t="e">
        <f t="shared" si="7"/>
        <v>#REF!</v>
      </c>
      <c r="U43" s="9" t="e">
        <f t="shared" si="8"/>
        <v>#REF!</v>
      </c>
      <c r="V43" s="10" t="e">
        <f t="shared" si="9"/>
        <v>#REF!</v>
      </c>
      <c r="W43" s="1" t="e">
        <f>SUMIFS(#REF!,#REF!,
 $A43,#REF!,
 "&gt;="&amp;INT($Y$1),#REF!,
 "&lt;="&amp;INT($Z$1)
)</f>
        <v>#REF!</v>
      </c>
      <c r="X43" s="1" t="e">
        <f t="shared" si="10"/>
        <v>#REF!</v>
      </c>
      <c r="Y43" s="9" t="e">
        <f t="shared" si="11"/>
        <v>#REF!</v>
      </c>
      <c r="Z43" s="10" t="e">
        <f t="shared" si="12"/>
        <v>#REF!</v>
      </c>
      <c r="AA43" s="1" t="e">
        <f>SUMIFS(#REF!,#REF!,
 $A43,#REF!,
 "&gt;="&amp;INT($AC$1),#REF!,
 "&lt;="&amp;INT($AD$1)
)</f>
        <v>#REF!</v>
      </c>
      <c r="AB43" s="1" t="e">
        <f t="shared" si="13"/>
        <v>#REF!</v>
      </c>
      <c r="AC43" s="9" t="e">
        <f t="shared" si="14"/>
        <v>#REF!</v>
      </c>
      <c r="AD43" s="10" t="e">
        <f t="shared" si="15"/>
        <v>#REF!</v>
      </c>
      <c r="AE43" s="1" t="e">
        <f>SUMIFS(#REF!,#REF!,
 $A43,#REF!,
 "&gt;="&amp;INT($AG$1),#REF!,
 "&lt;="&amp;INT($AH$1)
)</f>
        <v>#REF!</v>
      </c>
      <c r="AF43" s="1" t="e">
        <f t="shared" si="16"/>
        <v>#REF!</v>
      </c>
      <c r="AG43" s="9" t="e">
        <f t="shared" si="17"/>
        <v>#REF!</v>
      </c>
      <c r="AH43" s="10" t="e">
        <f t="shared" si="18"/>
        <v>#REF!</v>
      </c>
      <c r="AI43" s="1" t="e">
        <f>SUMIFS(#REF!,#REF!,
 $A43,#REF!,
 "&gt;="&amp;INT($AK$1),#REF!,
 "&lt;="&amp;INT($AL$1)
)</f>
        <v>#REF!</v>
      </c>
      <c r="AJ43" s="1" t="e">
        <f t="shared" si="19"/>
        <v>#REF!</v>
      </c>
      <c r="AK43" s="9" t="e">
        <f t="shared" si="20"/>
        <v>#REF!</v>
      </c>
      <c r="AL43" s="10" t="e">
        <f t="shared" si="21"/>
        <v>#REF!</v>
      </c>
      <c r="AM43" s="1" t="e">
        <f>SUMIFS(#REF!,#REF!,
 $A43,#REF!,
 "&gt;="&amp;INT($AO$1),#REF!,
 "&lt;="&amp;INT($AP$1)
)</f>
        <v>#REF!</v>
      </c>
      <c r="AN43" s="1" t="e">
        <f t="shared" si="22"/>
        <v>#REF!</v>
      </c>
      <c r="AO43" s="9" t="e">
        <f t="shared" si="23"/>
        <v>#REF!</v>
      </c>
      <c r="AP43" s="10" t="e">
        <f t="shared" si="24"/>
        <v>#REF!</v>
      </c>
      <c r="AQ43" s="1" t="e">
        <f>SUMIFS(#REF!,#REF!,
 $A43,#REF!,
 "&gt;="&amp;INT($AS$1),#REF!,
 "&lt;="&amp;INT($AT$1)
)</f>
        <v>#REF!</v>
      </c>
      <c r="AR43" s="1" t="e">
        <f t="shared" si="25"/>
        <v>#REF!</v>
      </c>
      <c r="AS43" s="9" t="e">
        <f t="shared" si="26"/>
        <v>#REF!</v>
      </c>
      <c r="AT43" s="10" t="e">
        <f t="shared" si="27"/>
        <v>#REF!</v>
      </c>
      <c r="AU43" s="1" t="e">
        <f>SUMIFS(#REF!,#REF!,
 $A43,#REF!,
 "&gt;="&amp;INT($AW$1),#REF!,
 "&lt;="&amp;INT($AX$1)
)</f>
        <v>#REF!</v>
      </c>
      <c r="AV43" s="1" t="e">
        <f t="shared" si="28"/>
        <v>#REF!</v>
      </c>
      <c r="AW43" s="9" t="e">
        <f t="shared" si="29"/>
        <v>#REF!</v>
      </c>
      <c r="AX43" s="10" t="e">
        <f t="shared" si="30"/>
        <v>#REF!</v>
      </c>
    </row>
    <row r="44" spans="1:50" x14ac:dyDescent="0.25">
      <c r="A44" s="5">
        <v>206014</v>
      </c>
      <c r="B44" s="6" t="s">
        <v>41</v>
      </c>
      <c r="C44" s="1" t="e">
        <f>SUMIFS(#REF!,#REF!,
 $A44,#REF!,
 "&gt;="&amp;INT($E$1),#REF!,
 "&lt;"&amp;INT($F$1+1)
)</f>
        <v>#REF!</v>
      </c>
      <c r="D44" s="1" t="str">
        <f>""</f>
        <v/>
      </c>
      <c r="F44" s="2"/>
      <c r="G44" s="1" t="e">
        <f>SUMIFS(#REF!,#REF!,
 $A44,#REF!,
 "&gt;="&amp;INT($I$1),#REF!,
 "&lt;"&amp;INT($J$1+1)
)</f>
        <v>#REF!</v>
      </c>
      <c r="H44" s="1" t="e">
        <f t="shared" si="0"/>
        <v>#REF!</v>
      </c>
      <c r="I44" s="1"/>
      <c r="J44" s="2"/>
      <c r="K44" s="1" t="e">
        <f>SUMIFS(#REF!,#REF!,
 $A44,#REF!,
 "&gt;="&amp;INT($M$1),#REF!,
 "&lt;"&amp;INT($N$1+1)
)</f>
        <v>#REF!</v>
      </c>
      <c r="L44" s="1" t="e">
        <f t="shared" si="1"/>
        <v>#REF!</v>
      </c>
      <c r="M44" s="9" t="e">
        <f t="shared" si="2"/>
        <v>#REF!</v>
      </c>
      <c r="N44" s="10" t="e">
        <f t="shared" si="3"/>
        <v>#REF!</v>
      </c>
      <c r="O44" s="1" t="e">
        <f>SUMIFS(#REF!,#REF!,
 $A44,#REF!,
 "&gt;="&amp;INT($Q$1),#REF!,
 "&lt;="&amp;INT($R$1)
)</f>
        <v>#REF!</v>
      </c>
      <c r="P44" s="1" t="e">
        <f t="shared" si="4"/>
        <v>#REF!</v>
      </c>
      <c r="Q44" s="9" t="e">
        <f t="shared" si="5"/>
        <v>#REF!</v>
      </c>
      <c r="R44" s="10" t="e">
        <f t="shared" si="6"/>
        <v>#REF!</v>
      </c>
      <c r="S44" s="1" t="e">
        <f>SUMIFS(#REF!,#REF!,
 $A44,#REF!,
 "&gt;="&amp;INT($U$1),#REF!,
 "&lt;="&amp;INT($V$1)
)</f>
        <v>#REF!</v>
      </c>
      <c r="T44" s="1" t="e">
        <f t="shared" si="7"/>
        <v>#REF!</v>
      </c>
      <c r="U44" s="9" t="e">
        <f t="shared" si="8"/>
        <v>#REF!</v>
      </c>
      <c r="V44" s="10" t="e">
        <f t="shared" si="9"/>
        <v>#REF!</v>
      </c>
      <c r="W44" s="1" t="e">
        <f>SUMIFS(#REF!,#REF!,
 $A44,#REF!,
 "&gt;="&amp;INT($Y$1),#REF!,
 "&lt;="&amp;INT($Z$1)
)</f>
        <v>#REF!</v>
      </c>
      <c r="X44" s="1" t="e">
        <f t="shared" si="10"/>
        <v>#REF!</v>
      </c>
      <c r="Y44" s="9" t="e">
        <f t="shared" si="11"/>
        <v>#REF!</v>
      </c>
      <c r="Z44" s="10" t="e">
        <f t="shared" si="12"/>
        <v>#REF!</v>
      </c>
      <c r="AA44" s="1" t="e">
        <f>SUMIFS(#REF!,#REF!,
 $A44,#REF!,
 "&gt;="&amp;INT($AC$1),#REF!,
 "&lt;="&amp;INT($AD$1)
)</f>
        <v>#REF!</v>
      </c>
      <c r="AB44" s="1" t="e">
        <f t="shared" si="13"/>
        <v>#REF!</v>
      </c>
      <c r="AC44" s="9" t="e">
        <f t="shared" si="14"/>
        <v>#REF!</v>
      </c>
      <c r="AD44" s="10" t="e">
        <f t="shared" si="15"/>
        <v>#REF!</v>
      </c>
      <c r="AE44" s="1" t="e">
        <f>SUMIFS(#REF!,#REF!,
 $A44,#REF!,
 "&gt;="&amp;INT($AG$1),#REF!,
 "&lt;="&amp;INT($AH$1)
)</f>
        <v>#REF!</v>
      </c>
      <c r="AF44" s="1" t="e">
        <f t="shared" si="16"/>
        <v>#REF!</v>
      </c>
      <c r="AG44" s="9" t="e">
        <f t="shared" si="17"/>
        <v>#REF!</v>
      </c>
      <c r="AH44" s="10" t="e">
        <f t="shared" si="18"/>
        <v>#REF!</v>
      </c>
      <c r="AI44" s="1" t="e">
        <f>SUMIFS(#REF!,#REF!,
 $A44,#REF!,
 "&gt;="&amp;INT($AK$1),#REF!,
 "&lt;="&amp;INT($AL$1)
)</f>
        <v>#REF!</v>
      </c>
      <c r="AJ44" s="1" t="e">
        <f t="shared" si="19"/>
        <v>#REF!</v>
      </c>
      <c r="AK44" s="9" t="e">
        <f t="shared" si="20"/>
        <v>#REF!</v>
      </c>
      <c r="AL44" s="10" t="e">
        <f t="shared" si="21"/>
        <v>#REF!</v>
      </c>
      <c r="AM44" s="1" t="e">
        <f>SUMIFS(#REF!,#REF!,
 $A44,#REF!,
 "&gt;="&amp;INT($AO$1),#REF!,
 "&lt;="&amp;INT($AP$1)
)</f>
        <v>#REF!</v>
      </c>
      <c r="AN44" s="1" t="e">
        <f t="shared" si="22"/>
        <v>#REF!</v>
      </c>
      <c r="AO44" s="9" t="e">
        <f t="shared" si="23"/>
        <v>#REF!</v>
      </c>
      <c r="AP44" s="10" t="e">
        <f t="shared" si="24"/>
        <v>#REF!</v>
      </c>
      <c r="AQ44" s="1" t="e">
        <f>SUMIFS(#REF!,#REF!,
 $A44,#REF!,
 "&gt;="&amp;INT($AS$1),#REF!,
 "&lt;="&amp;INT($AT$1)
)</f>
        <v>#REF!</v>
      </c>
      <c r="AR44" s="1" t="e">
        <f t="shared" si="25"/>
        <v>#REF!</v>
      </c>
      <c r="AS44" s="9" t="e">
        <f t="shared" si="26"/>
        <v>#REF!</v>
      </c>
      <c r="AT44" s="10" t="e">
        <f t="shared" si="27"/>
        <v>#REF!</v>
      </c>
      <c r="AU44" s="1" t="e">
        <f>SUMIFS(#REF!,#REF!,
 $A44,#REF!,
 "&gt;="&amp;INT($AW$1),#REF!,
 "&lt;="&amp;INT($AX$1)
)</f>
        <v>#REF!</v>
      </c>
      <c r="AV44" s="1" t="e">
        <f t="shared" si="28"/>
        <v>#REF!</v>
      </c>
      <c r="AW44" s="9" t="e">
        <f t="shared" si="29"/>
        <v>#REF!</v>
      </c>
      <c r="AX44" s="10" t="e">
        <f t="shared" si="30"/>
        <v>#REF!</v>
      </c>
    </row>
    <row r="45" spans="1:50" x14ac:dyDescent="0.25">
      <c r="A45" s="5">
        <v>206015</v>
      </c>
      <c r="B45" s="6" t="s">
        <v>42</v>
      </c>
      <c r="C45" s="1" t="e">
        <f>SUMIFS(#REF!,#REF!,
 $A45,#REF!,
 "&gt;="&amp;INT($E$1),#REF!,
 "&lt;"&amp;INT($F$1+1)
)</f>
        <v>#REF!</v>
      </c>
      <c r="D45" s="1" t="str">
        <f>""</f>
        <v/>
      </c>
      <c r="F45" s="2"/>
      <c r="G45" s="1" t="e">
        <f>SUMIFS(#REF!,#REF!,
 $A45,#REF!,
 "&gt;="&amp;INT($I$1),#REF!,
 "&lt;"&amp;INT($J$1+1)
)</f>
        <v>#REF!</v>
      </c>
      <c r="H45" s="1" t="e">
        <f t="shared" si="0"/>
        <v>#REF!</v>
      </c>
      <c r="I45" s="1"/>
      <c r="J45" s="2"/>
      <c r="K45" s="1" t="e">
        <f>SUMIFS(#REF!,#REF!,
 $A45,#REF!,
 "&gt;="&amp;INT($M$1),#REF!,
 "&lt;"&amp;INT($N$1+1)
)</f>
        <v>#REF!</v>
      </c>
      <c r="L45" s="1" t="e">
        <f t="shared" si="1"/>
        <v>#REF!</v>
      </c>
      <c r="M45" s="9" t="e">
        <f t="shared" si="2"/>
        <v>#REF!</v>
      </c>
      <c r="N45" s="10" t="e">
        <f t="shared" si="3"/>
        <v>#REF!</v>
      </c>
      <c r="O45" s="1" t="e">
        <f>SUMIFS(#REF!,#REF!,
 $A45,#REF!,
 "&gt;="&amp;INT($Q$1),#REF!,
 "&lt;="&amp;INT($R$1)
)</f>
        <v>#REF!</v>
      </c>
      <c r="P45" s="1" t="e">
        <f t="shared" si="4"/>
        <v>#REF!</v>
      </c>
      <c r="Q45" s="9" t="e">
        <f t="shared" si="5"/>
        <v>#REF!</v>
      </c>
      <c r="R45" s="10" t="e">
        <f t="shared" si="6"/>
        <v>#REF!</v>
      </c>
      <c r="S45" s="1" t="e">
        <f>SUMIFS(#REF!,#REF!,
 $A45,#REF!,
 "&gt;="&amp;INT($U$1),#REF!,
 "&lt;="&amp;INT($V$1)
)</f>
        <v>#REF!</v>
      </c>
      <c r="T45" s="1" t="e">
        <f t="shared" si="7"/>
        <v>#REF!</v>
      </c>
      <c r="U45" s="9" t="e">
        <f t="shared" si="8"/>
        <v>#REF!</v>
      </c>
      <c r="V45" s="10" t="e">
        <f t="shared" si="9"/>
        <v>#REF!</v>
      </c>
      <c r="W45" s="1" t="e">
        <f>SUMIFS(#REF!,#REF!,
 $A45,#REF!,
 "&gt;="&amp;INT($Y$1),#REF!,
 "&lt;="&amp;INT($Z$1)
)</f>
        <v>#REF!</v>
      </c>
      <c r="X45" s="1" t="e">
        <f t="shared" si="10"/>
        <v>#REF!</v>
      </c>
      <c r="Y45" s="9" t="e">
        <f t="shared" si="11"/>
        <v>#REF!</v>
      </c>
      <c r="Z45" s="10" t="e">
        <f t="shared" si="12"/>
        <v>#REF!</v>
      </c>
      <c r="AA45" s="1" t="e">
        <f>SUMIFS(#REF!,#REF!,
 $A45,#REF!,
 "&gt;="&amp;INT($AC$1),#REF!,
 "&lt;="&amp;INT($AD$1)
)</f>
        <v>#REF!</v>
      </c>
      <c r="AB45" s="1" t="e">
        <f t="shared" si="13"/>
        <v>#REF!</v>
      </c>
      <c r="AC45" s="9" t="e">
        <f t="shared" si="14"/>
        <v>#REF!</v>
      </c>
      <c r="AD45" s="10" t="e">
        <f t="shared" si="15"/>
        <v>#REF!</v>
      </c>
      <c r="AE45" s="1" t="e">
        <f>SUMIFS(#REF!,#REF!,
 $A45,#REF!,
 "&gt;="&amp;INT($AG$1),#REF!,
 "&lt;="&amp;INT($AH$1)
)</f>
        <v>#REF!</v>
      </c>
      <c r="AF45" s="1" t="e">
        <f t="shared" si="16"/>
        <v>#REF!</v>
      </c>
      <c r="AG45" s="9" t="e">
        <f t="shared" si="17"/>
        <v>#REF!</v>
      </c>
      <c r="AH45" s="10" t="e">
        <f t="shared" si="18"/>
        <v>#REF!</v>
      </c>
      <c r="AI45" s="1" t="e">
        <f>SUMIFS(#REF!,#REF!,
 $A45,#REF!,
 "&gt;="&amp;INT($AK$1),#REF!,
 "&lt;="&amp;INT($AL$1)
)</f>
        <v>#REF!</v>
      </c>
      <c r="AJ45" s="1" t="e">
        <f t="shared" si="19"/>
        <v>#REF!</v>
      </c>
      <c r="AK45" s="9" t="e">
        <f t="shared" si="20"/>
        <v>#REF!</v>
      </c>
      <c r="AL45" s="10" t="e">
        <f t="shared" si="21"/>
        <v>#REF!</v>
      </c>
      <c r="AM45" s="1" t="e">
        <f>SUMIFS(#REF!,#REF!,
 $A45,#REF!,
 "&gt;="&amp;INT($AO$1),#REF!,
 "&lt;="&amp;INT($AP$1)
)</f>
        <v>#REF!</v>
      </c>
      <c r="AN45" s="1" t="e">
        <f t="shared" si="22"/>
        <v>#REF!</v>
      </c>
      <c r="AO45" s="9" t="e">
        <f t="shared" si="23"/>
        <v>#REF!</v>
      </c>
      <c r="AP45" s="10" t="e">
        <f t="shared" si="24"/>
        <v>#REF!</v>
      </c>
      <c r="AQ45" s="1" t="e">
        <f>SUMIFS(#REF!,#REF!,
 $A45,#REF!,
 "&gt;="&amp;INT($AS$1),#REF!,
 "&lt;="&amp;INT($AT$1)
)</f>
        <v>#REF!</v>
      </c>
      <c r="AR45" s="1" t="e">
        <f t="shared" si="25"/>
        <v>#REF!</v>
      </c>
      <c r="AS45" s="9" t="e">
        <f t="shared" si="26"/>
        <v>#REF!</v>
      </c>
      <c r="AT45" s="10" t="e">
        <f t="shared" si="27"/>
        <v>#REF!</v>
      </c>
      <c r="AU45" s="1" t="e">
        <f>SUMIFS(#REF!,#REF!,
 $A45,#REF!,
 "&gt;="&amp;INT($AW$1),#REF!,
 "&lt;="&amp;INT($AX$1)
)</f>
        <v>#REF!</v>
      </c>
      <c r="AV45" s="1" t="e">
        <f t="shared" si="28"/>
        <v>#REF!</v>
      </c>
      <c r="AW45" s="9" t="e">
        <f t="shared" si="29"/>
        <v>#REF!</v>
      </c>
      <c r="AX45" s="10" t="e">
        <f t="shared" si="30"/>
        <v>#REF!</v>
      </c>
    </row>
    <row r="46" spans="1:50" x14ac:dyDescent="0.25">
      <c r="A46" s="5">
        <v>207002</v>
      </c>
      <c r="B46" s="6" t="s">
        <v>43</v>
      </c>
      <c r="C46" s="1" t="e">
        <f>SUMIFS(#REF!,#REF!,
 $A46,#REF!,
 "&gt;="&amp;INT($E$1),#REF!,
 "&lt;"&amp;INT($F$1+1)
)</f>
        <v>#REF!</v>
      </c>
      <c r="D46" s="1" t="str">
        <f>""</f>
        <v/>
      </c>
      <c r="F46" s="2"/>
      <c r="G46" s="1" t="e">
        <f>SUMIFS(#REF!,#REF!,
 $A46,#REF!,
 "&gt;="&amp;INT($I$1),#REF!,
 "&lt;"&amp;INT($J$1+1)
)</f>
        <v>#REF!</v>
      </c>
      <c r="H46" s="1" t="e">
        <f t="shared" si="0"/>
        <v>#REF!</v>
      </c>
      <c r="I46" s="1"/>
      <c r="J46" s="2"/>
      <c r="K46" s="1" t="e">
        <f>SUMIFS(#REF!,#REF!,
 $A46,#REF!,
 "&gt;="&amp;INT($M$1),#REF!,
 "&lt;"&amp;INT($N$1+1)
)</f>
        <v>#REF!</v>
      </c>
      <c r="L46" s="1" t="e">
        <f t="shared" si="1"/>
        <v>#REF!</v>
      </c>
      <c r="M46" s="9" t="e">
        <f t="shared" si="2"/>
        <v>#REF!</v>
      </c>
      <c r="N46" s="10" t="e">
        <f t="shared" si="3"/>
        <v>#REF!</v>
      </c>
      <c r="O46" s="1" t="e">
        <f>SUMIFS(#REF!,#REF!,
 $A46,#REF!,
 "&gt;="&amp;INT($Q$1),#REF!,
 "&lt;="&amp;INT($R$1)
)</f>
        <v>#REF!</v>
      </c>
      <c r="P46" s="1" t="e">
        <f t="shared" si="4"/>
        <v>#REF!</v>
      </c>
      <c r="Q46" s="9" t="e">
        <f t="shared" si="5"/>
        <v>#REF!</v>
      </c>
      <c r="R46" s="10" t="e">
        <f t="shared" si="6"/>
        <v>#REF!</v>
      </c>
      <c r="S46" s="1" t="e">
        <f>SUMIFS(#REF!,#REF!,
 $A46,#REF!,
 "&gt;="&amp;INT($U$1),#REF!,
 "&lt;="&amp;INT($V$1)
)</f>
        <v>#REF!</v>
      </c>
      <c r="T46" s="1" t="e">
        <f t="shared" si="7"/>
        <v>#REF!</v>
      </c>
      <c r="U46" s="9" t="e">
        <f t="shared" si="8"/>
        <v>#REF!</v>
      </c>
      <c r="V46" s="10" t="e">
        <f t="shared" si="9"/>
        <v>#REF!</v>
      </c>
      <c r="W46" s="1" t="e">
        <f>SUMIFS(#REF!,#REF!,
 $A46,#REF!,
 "&gt;="&amp;INT($Y$1),#REF!,
 "&lt;="&amp;INT($Z$1)
)</f>
        <v>#REF!</v>
      </c>
      <c r="X46" s="1" t="e">
        <f t="shared" si="10"/>
        <v>#REF!</v>
      </c>
      <c r="Y46" s="9" t="e">
        <f t="shared" si="11"/>
        <v>#REF!</v>
      </c>
      <c r="Z46" s="10" t="e">
        <f t="shared" si="12"/>
        <v>#REF!</v>
      </c>
      <c r="AA46" s="1" t="e">
        <f>SUMIFS(#REF!,#REF!,
 $A46,#REF!,
 "&gt;="&amp;INT($AC$1),#REF!,
 "&lt;="&amp;INT($AD$1)
)</f>
        <v>#REF!</v>
      </c>
      <c r="AB46" s="1" t="e">
        <f t="shared" si="13"/>
        <v>#REF!</v>
      </c>
      <c r="AC46" s="9" t="e">
        <f t="shared" si="14"/>
        <v>#REF!</v>
      </c>
      <c r="AD46" s="10" t="e">
        <f t="shared" si="15"/>
        <v>#REF!</v>
      </c>
      <c r="AE46" s="1" t="e">
        <f>SUMIFS(#REF!,#REF!,
 $A46,#REF!,
 "&gt;="&amp;INT($AG$1),#REF!,
 "&lt;="&amp;INT($AH$1)
)</f>
        <v>#REF!</v>
      </c>
      <c r="AF46" s="1" t="e">
        <f t="shared" si="16"/>
        <v>#REF!</v>
      </c>
      <c r="AG46" s="9" t="e">
        <f t="shared" si="17"/>
        <v>#REF!</v>
      </c>
      <c r="AH46" s="10" t="e">
        <f t="shared" si="18"/>
        <v>#REF!</v>
      </c>
      <c r="AI46" s="1" t="e">
        <f>SUMIFS(#REF!,#REF!,
 $A46,#REF!,
 "&gt;="&amp;INT($AK$1),#REF!,
 "&lt;="&amp;INT($AL$1)
)</f>
        <v>#REF!</v>
      </c>
      <c r="AJ46" s="1" t="e">
        <f t="shared" si="19"/>
        <v>#REF!</v>
      </c>
      <c r="AK46" s="9" t="e">
        <f t="shared" si="20"/>
        <v>#REF!</v>
      </c>
      <c r="AL46" s="10" t="e">
        <f t="shared" si="21"/>
        <v>#REF!</v>
      </c>
      <c r="AM46" s="1" t="e">
        <f>SUMIFS(#REF!,#REF!,
 $A46,#REF!,
 "&gt;="&amp;INT($AO$1),#REF!,
 "&lt;="&amp;INT($AP$1)
)</f>
        <v>#REF!</v>
      </c>
      <c r="AN46" s="1" t="e">
        <f t="shared" si="22"/>
        <v>#REF!</v>
      </c>
      <c r="AO46" s="9" t="e">
        <f t="shared" si="23"/>
        <v>#REF!</v>
      </c>
      <c r="AP46" s="10" t="e">
        <f t="shared" si="24"/>
        <v>#REF!</v>
      </c>
      <c r="AQ46" s="1" t="e">
        <f>SUMIFS(#REF!,#REF!,
 $A46,#REF!,
 "&gt;="&amp;INT($AS$1),#REF!,
 "&lt;="&amp;INT($AT$1)
)</f>
        <v>#REF!</v>
      </c>
      <c r="AR46" s="1" t="e">
        <f t="shared" si="25"/>
        <v>#REF!</v>
      </c>
      <c r="AS46" s="9" t="e">
        <f t="shared" si="26"/>
        <v>#REF!</v>
      </c>
      <c r="AT46" s="10" t="e">
        <f t="shared" si="27"/>
        <v>#REF!</v>
      </c>
      <c r="AU46" s="1" t="e">
        <f>SUMIFS(#REF!,#REF!,
 $A46,#REF!,
 "&gt;="&amp;INT($AW$1),#REF!,
 "&lt;="&amp;INT($AX$1)
)</f>
        <v>#REF!</v>
      </c>
      <c r="AV46" s="1" t="e">
        <f t="shared" si="28"/>
        <v>#REF!</v>
      </c>
      <c r="AW46" s="9" t="e">
        <f t="shared" si="29"/>
        <v>#REF!</v>
      </c>
      <c r="AX46" s="10" t="e">
        <f t="shared" si="30"/>
        <v>#REF!</v>
      </c>
    </row>
    <row r="47" spans="1:50" x14ac:dyDescent="0.25">
      <c r="A47" s="5">
        <v>207003</v>
      </c>
      <c r="B47" s="6" t="s">
        <v>44</v>
      </c>
      <c r="C47" s="1" t="e">
        <f>SUMIFS(#REF!,#REF!,
 $A47,#REF!,
 "&gt;="&amp;INT($E$1),#REF!,
 "&lt;"&amp;INT($F$1+1)
)</f>
        <v>#REF!</v>
      </c>
      <c r="D47" s="1" t="str">
        <f>""</f>
        <v/>
      </c>
      <c r="F47" s="2"/>
      <c r="G47" s="1" t="e">
        <f>SUMIFS(#REF!,#REF!,
 $A47,#REF!,
 "&gt;="&amp;INT($I$1),#REF!,
 "&lt;"&amp;INT($J$1+1)
)</f>
        <v>#REF!</v>
      </c>
      <c r="H47" s="1" t="e">
        <f t="shared" si="0"/>
        <v>#REF!</v>
      </c>
      <c r="I47" s="1"/>
      <c r="J47" s="2"/>
      <c r="K47" s="1" t="e">
        <f>SUMIFS(#REF!,#REF!,
 $A47,#REF!,
 "&gt;="&amp;INT($M$1),#REF!,
 "&lt;"&amp;INT($N$1+1)
)</f>
        <v>#REF!</v>
      </c>
      <c r="L47" s="1" t="e">
        <f t="shared" si="1"/>
        <v>#REF!</v>
      </c>
      <c r="M47" s="9" t="e">
        <f t="shared" si="2"/>
        <v>#REF!</v>
      </c>
      <c r="N47" s="10" t="e">
        <f t="shared" si="3"/>
        <v>#REF!</v>
      </c>
      <c r="O47" s="1" t="e">
        <f>SUMIFS(#REF!,#REF!,
 $A47,#REF!,
 "&gt;="&amp;INT($Q$1),#REF!,
 "&lt;="&amp;INT($R$1)
)</f>
        <v>#REF!</v>
      </c>
      <c r="P47" s="1" t="e">
        <f t="shared" si="4"/>
        <v>#REF!</v>
      </c>
      <c r="Q47" s="9" t="e">
        <f t="shared" si="5"/>
        <v>#REF!</v>
      </c>
      <c r="R47" s="10" t="e">
        <f t="shared" si="6"/>
        <v>#REF!</v>
      </c>
      <c r="S47" s="1" t="e">
        <f>SUMIFS(#REF!,#REF!,
 $A47,#REF!,
 "&gt;="&amp;INT($U$1),#REF!,
 "&lt;="&amp;INT($V$1)
)</f>
        <v>#REF!</v>
      </c>
      <c r="T47" s="1" t="e">
        <f t="shared" si="7"/>
        <v>#REF!</v>
      </c>
      <c r="U47" s="9" t="e">
        <f t="shared" si="8"/>
        <v>#REF!</v>
      </c>
      <c r="V47" s="10" t="e">
        <f t="shared" si="9"/>
        <v>#REF!</v>
      </c>
      <c r="W47" s="1" t="e">
        <f>SUMIFS(#REF!,#REF!,
 $A47,#REF!,
 "&gt;="&amp;INT($Y$1),#REF!,
 "&lt;="&amp;INT($Z$1)
)</f>
        <v>#REF!</v>
      </c>
      <c r="X47" s="1" t="e">
        <f t="shared" si="10"/>
        <v>#REF!</v>
      </c>
      <c r="Y47" s="9" t="e">
        <f t="shared" si="11"/>
        <v>#REF!</v>
      </c>
      <c r="Z47" s="10" t="e">
        <f t="shared" si="12"/>
        <v>#REF!</v>
      </c>
      <c r="AA47" s="1" t="e">
        <f>SUMIFS(#REF!,#REF!,
 $A47,#REF!,
 "&gt;="&amp;INT($AC$1),#REF!,
 "&lt;="&amp;INT($AD$1)
)</f>
        <v>#REF!</v>
      </c>
      <c r="AB47" s="1" t="e">
        <f t="shared" si="13"/>
        <v>#REF!</v>
      </c>
      <c r="AC47" s="9" t="e">
        <f t="shared" si="14"/>
        <v>#REF!</v>
      </c>
      <c r="AD47" s="10" t="e">
        <f t="shared" si="15"/>
        <v>#REF!</v>
      </c>
      <c r="AE47" s="1" t="e">
        <f>SUMIFS(#REF!,#REF!,
 $A47,#REF!,
 "&gt;="&amp;INT($AG$1),#REF!,
 "&lt;="&amp;INT($AH$1)
)</f>
        <v>#REF!</v>
      </c>
      <c r="AF47" s="1" t="e">
        <f t="shared" si="16"/>
        <v>#REF!</v>
      </c>
      <c r="AG47" s="9" t="e">
        <f t="shared" si="17"/>
        <v>#REF!</v>
      </c>
      <c r="AH47" s="10" t="e">
        <f t="shared" si="18"/>
        <v>#REF!</v>
      </c>
      <c r="AI47" s="1" t="e">
        <f>SUMIFS(#REF!,#REF!,
 $A47,#REF!,
 "&gt;="&amp;INT($AK$1),#REF!,
 "&lt;="&amp;INT($AL$1)
)</f>
        <v>#REF!</v>
      </c>
      <c r="AJ47" s="1" t="e">
        <f t="shared" si="19"/>
        <v>#REF!</v>
      </c>
      <c r="AK47" s="9" t="e">
        <f t="shared" si="20"/>
        <v>#REF!</v>
      </c>
      <c r="AL47" s="10" t="e">
        <f t="shared" si="21"/>
        <v>#REF!</v>
      </c>
      <c r="AM47" s="1" t="e">
        <f>SUMIFS(#REF!,#REF!,
 $A47,#REF!,
 "&gt;="&amp;INT($AO$1),#REF!,
 "&lt;="&amp;INT($AP$1)
)</f>
        <v>#REF!</v>
      </c>
      <c r="AN47" s="1" t="e">
        <f t="shared" si="22"/>
        <v>#REF!</v>
      </c>
      <c r="AO47" s="9" t="e">
        <f t="shared" si="23"/>
        <v>#REF!</v>
      </c>
      <c r="AP47" s="10" t="e">
        <f t="shared" si="24"/>
        <v>#REF!</v>
      </c>
      <c r="AQ47" s="1" t="e">
        <f>SUMIFS(#REF!,#REF!,
 $A47,#REF!,
 "&gt;="&amp;INT($AS$1),#REF!,
 "&lt;="&amp;INT($AT$1)
)</f>
        <v>#REF!</v>
      </c>
      <c r="AR47" s="1" t="e">
        <f t="shared" si="25"/>
        <v>#REF!</v>
      </c>
      <c r="AS47" s="9" t="e">
        <f t="shared" si="26"/>
        <v>#REF!</v>
      </c>
      <c r="AT47" s="10" t="e">
        <f t="shared" si="27"/>
        <v>#REF!</v>
      </c>
      <c r="AU47" s="1" t="e">
        <f>SUMIFS(#REF!,#REF!,
 $A47,#REF!,
 "&gt;="&amp;INT($AW$1),#REF!,
 "&lt;="&amp;INT($AX$1)
)</f>
        <v>#REF!</v>
      </c>
      <c r="AV47" s="1" t="e">
        <f t="shared" si="28"/>
        <v>#REF!</v>
      </c>
      <c r="AW47" s="9" t="e">
        <f t="shared" si="29"/>
        <v>#REF!</v>
      </c>
      <c r="AX47" s="10" t="e">
        <f t="shared" si="30"/>
        <v>#REF!</v>
      </c>
    </row>
    <row r="48" spans="1:50" x14ac:dyDescent="0.25">
      <c r="A48" s="5">
        <v>207005</v>
      </c>
      <c r="B48" s="6" t="s">
        <v>45</v>
      </c>
      <c r="C48" s="1" t="e">
        <f>SUMIFS(#REF!,#REF!,
 $A48,#REF!,
 "&gt;="&amp;INT($E$1),#REF!,
 "&lt;"&amp;INT($F$1+1)
)</f>
        <v>#REF!</v>
      </c>
      <c r="D48" s="1" t="str">
        <f>""</f>
        <v/>
      </c>
      <c r="F48" s="2"/>
      <c r="G48" s="1" t="e">
        <f>SUMIFS(#REF!,#REF!,
 $A48,#REF!,
 "&gt;="&amp;INT($I$1),#REF!,
 "&lt;"&amp;INT($J$1+1)
)</f>
        <v>#REF!</v>
      </c>
      <c r="H48" s="1" t="e">
        <f t="shared" si="0"/>
        <v>#REF!</v>
      </c>
      <c r="I48" s="1"/>
      <c r="J48" s="2"/>
      <c r="K48" s="1" t="e">
        <f>SUMIFS(#REF!,#REF!,
 $A48,#REF!,
 "&gt;="&amp;INT($M$1),#REF!,
 "&lt;"&amp;INT($N$1+1)
)</f>
        <v>#REF!</v>
      </c>
      <c r="L48" s="1" t="e">
        <f t="shared" si="1"/>
        <v>#REF!</v>
      </c>
      <c r="M48" s="9" t="e">
        <f t="shared" si="2"/>
        <v>#REF!</v>
      </c>
      <c r="N48" s="10" t="e">
        <f t="shared" si="3"/>
        <v>#REF!</v>
      </c>
      <c r="O48" s="1" t="e">
        <f>SUMIFS(#REF!,#REF!,
 $A48,#REF!,
 "&gt;="&amp;INT($Q$1),#REF!,
 "&lt;="&amp;INT($R$1)
)</f>
        <v>#REF!</v>
      </c>
      <c r="P48" s="1" t="e">
        <f t="shared" si="4"/>
        <v>#REF!</v>
      </c>
      <c r="Q48" s="9" t="e">
        <f t="shared" si="5"/>
        <v>#REF!</v>
      </c>
      <c r="R48" s="10" t="e">
        <f t="shared" si="6"/>
        <v>#REF!</v>
      </c>
      <c r="S48" s="1" t="e">
        <f>SUMIFS(#REF!,#REF!,
 $A48,#REF!,
 "&gt;="&amp;INT($U$1),#REF!,
 "&lt;="&amp;INT($V$1)
)</f>
        <v>#REF!</v>
      </c>
      <c r="T48" s="1" t="e">
        <f t="shared" si="7"/>
        <v>#REF!</v>
      </c>
      <c r="U48" s="9" t="e">
        <f t="shared" si="8"/>
        <v>#REF!</v>
      </c>
      <c r="V48" s="10" t="e">
        <f t="shared" si="9"/>
        <v>#REF!</v>
      </c>
      <c r="W48" s="1" t="e">
        <f>SUMIFS(#REF!,#REF!,
 $A48,#REF!,
 "&gt;="&amp;INT($Y$1),#REF!,
 "&lt;="&amp;INT($Z$1)
)</f>
        <v>#REF!</v>
      </c>
      <c r="X48" s="1" t="e">
        <f t="shared" si="10"/>
        <v>#REF!</v>
      </c>
      <c r="Y48" s="9" t="e">
        <f t="shared" si="11"/>
        <v>#REF!</v>
      </c>
      <c r="Z48" s="10" t="e">
        <f t="shared" si="12"/>
        <v>#REF!</v>
      </c>
      <c r="AA48" s="1" t="e">
        <f>SUMIFS(#REF!,#REF!,
 $A48,#REF!,
 "&gt;="&amp;INT($AC$1),#REF!,
 "&lt;="&amp;INT($AD$1)
)</f>
        <v>#REF!</v>
      </c>
      <c r="AB48" s="1" t="e">
        <f t="shared" si="13"/>
        <v>#REF!</v>
      </c>
      <c r="AC48" s="9" t="e">
        <f t="shared" si="14"/>
        <v>#REF!</v>
      </c>
      <c r="AD48" s="10" t="e">
        <f t="shared" si="15"/>
        <v>#REF!</v>
      </c>
      <c r="AE48" s="1" t="e">
        <f>SUMIFS(#REF!,#REF!,
 $A48,#REF!,
 "&gt;="&amp;INT($AG$1),#REF!,
 "&lt;="&amp;INT($AH$1)
)</f>
        <v>#REF!</v>
      </c>
      <c r="AF48" s="1" t="e">
        <f t="shared" si="16"/>
        <v>#REF!</v>
      </c>
      <c r="AG48" s="9" t="e">
        <f t="shared" si="17"/>
        <v>#REF!</v>
      </c>
      <c r="AH48" s="10" t="e">
        <f t="shared" si="18"/>
        <v>#REF!</v>
      </c>
      <c r="AI48" s="1" t="e">
        <f>SUMIFS(#REF!,#REF!,
 $A48,#REF!,
 "&gt;="&amp;INT($AK$1),#REF!,
 "&lt;="&amp;INT($AL$1)
)</f>
        <v>#REF!</v>
      </c>
      <c r="AJ48" s="1" t="e">
        <f t="shared" si="19"/>
        <v>#REF!</v>
      </c>
      <c r="AK48" s="9" t="e">
        <f t="shared" si="20"/>
        <v>#REF!</v>
      </c>
      <c r="AL48" s="10" t="e">
        <f t="shared" si="21"/>
        <v>#REF!</v>
      </c>
      <c r="AM48" s="1" t="e">
        <f>SUMIFS(#REF!,#REF!,
 $A48,#REF!,
 "&gt;="&amp;INT($AO$1),#REF!,
 "&lt;="&amp;INT($AP$1)
)</f>
        <v>#REF!</v>
      </c>
      <c r="AN48" s="1" t="e">
        <f t="shared" si="22"/>
        <v>#REF!</v>
      </c>
      <c r="AO48" s="9" t="e">
        <f t="shared" si="23"/>
        <v>#REF!</v>
      </c>
      <c r="AP48" s="10" t="e">
        <f t="shared" si="24"/>
        <v>#REF!</v>
      </c>
      <c r="AQ48" s="1" t="e">
        <f>SUMIFS(#REF!,#REF!,
 $A48,#REF!,
 "&gt;="&amp;INT($AS$1),#REF!,
 "&lt;="&amp;INT($AT$1)
)</f>
        <v>#REF!</v>
      </c>
      <c r="AR48" s="1" t="e">
        <f t="shared" si="25"/>
        <v>#REF!</v>
      </c>
      <c r="AS48" s="9" t="e">
        <f t="shared" si="26"/>
        <v>#REF!</v>
      </c>
      <c r="AT48" s="10" t="e">
        <f t="shared" si="27"/>
        <v>#REF!</v>
      </c>
      <c r="AU48" s="1" t="e">
        <f>SUMIFS(#REF!,#REF!,
 $A48,#REF!,
 "&gt;="&amp;INT($AW$1),#REF!,
 "&lt;="&amp;INT($AX$1)
)</f>
        <v>#REF!</v>
      </c>
      <c r="AV48" s="1" t="e">
        <f t="shared" si="28"/>
        <v>#REF!</v>
      </c>
      <c r="AW48" s="9" t="e">
        <f t="shared" si="29"/>
        <v>#REF!</v>
      </c>
      <c r="AX48" s="10" t="e">
        <f t="shared" si="30"/>
        <v>#REF!</v>
      </c>
    </row>
    <row r="49" spans="1:50" x14ac:dyDescent="0.25">
      <c r="A49" s="5">
        <v>207007</v>
      </c>
      <c r="B49" s="6" t="s">
        <v>46</v>
      </c>
      <c r="C49" s="1" t="e">
        <f>SUMIFS(#REF!,#REF!,
 $A49,#REF!,
 "&gt;="&amp;INT($E$1),#REF!,
 "&lt;"&amp;INT($F$1+1)
)</f>
        <v>#REF!</v>
      </c>
      <c r="D49" s="1" t="str">
        <f>""</f>
        <v/>
      </c>
      <c r="F49" s="2"/>
      <c r="G49" s="1" t="e">
        <f>SUMIFS(#REF!,#REF!,
 $A49,#REF!,
 "&gt;="&amp;INT($I$1),#REF!,
 "&lt;"&amp;INT($J$1+1)
)</f>
        <v>#REF!</v>
      </c>
      <c r="H49" s="1" t="e">
        <f t="shared" si="0"/>
        <v>#REF!</v>
      </c>
      <c r="I49" s="1"/>
      <c r="J49" s="2"/>
      <c r="K49" s="1" t="e">
        <f>SUMIFS(#REF!,#REF!,
 $A49,#REF!,
 "&gt;="&amp;INT($M$1),#REF!,
 "&lt;"&amp;INT($N$1+1)
)</f>
        <v>#REF!</v>
      </c>
      <c r="L49" s="1" t="e">
        <f t="shared" si="1"/>
        <v>#REF!</v>
      </c>
      <c r="M49" s="9" t="e">
        <f t="shared" si="2"/>
        <v>#REF!</v>
      </c>
      <c r="N49" s="10" t="e">
        <f t="shared" si="3"/>
        <v>#REF!</v>
      </c>
      <c r="O49" s="1" t="e">
        <f>SUMIFS(#REF!,#REF!,
 $A49,#REF!,
 "&gt;="&amp;INT($Q$1),#REF!,
 "&lt;="&amp;INT($R$1)
)</f>
        <v>#REF!</v>
      </c>
      <c r="P49" s="1" t="e">
        <f t="shared" si="4"/>
        <v>#REF!</v>
      </c>
      <c r="Q49" s="9" t="e">
        <f t="shared" si="5"/>
        <v>#REF!</v>
      </c>
      <c r="R49" s="10" t="e">
        <f t="shared" si="6"/>
        <v>#REF!</v>
      </c>
      <c r="S49" s="1" t="e">
        <f>SUMIFS(#REF!,#REF!,
 $A49,#REF!,
 "&gt;="&amp;INT($U$1),#REF!,
 "&lt;="&amp;INT($V$1)
)</f>
        <v>#REF!</v>
      </c>
      <c r="T49" s="1" t="e">
        <f t="shared" si="7"/>
        <v>#REF!</v>
      </c>
      <c r="U49" s="9" t="e">
        <f t="shared" si="8"/>
        <v>#REF!</v>
      </c>
      <c r="V49" s="10" t="e">
        <f t="shared" si="9"/>
        <v>#REF!</v>
      </c>
      <c r="W49" s="1" t="e">
        <f>SUMIFS(#REF!,#REF!,
 $A49,#REF!,
 "&gt;="&amp;INT($Y$1),#REF!,
 "&lt;="&amp;INT($Z$1)
)</f>
        <v>#REF!</v>
      </c>
      <c r="X49" s="1" t="e">
        <f t="shared" si="10"/>
        <v>#REF!</v>
      </c>
      <c r="Y49" s="9" t="e">
        <f t="shared" si="11"/>
        <v>#REF!</v>
      </c>
      <c r="Z49" s="10" t="e">
        <f t="shared" si="12"/>
        <v>#REF!</v>
      </c>
      <c r="AA49" s="1" t="e">
        <f>SUMIFS(#REF!,#REF!,
 $A49,#REF!,
 "&gt;="&amp;INT($AC$1),#REF!,
 "&lt;="&amp;INT($AD$1)
)</f>
        <v>#REF!</v>
      </c>
      <c r="AB49" s="1" t="e">
        <f t="shared" si="13"/>
        <v>#REF!</v>
      </c>
      <c r="AC49" s="9" t="e">
        <f t="shared" si="14"/>
        <v>#REF!</v>
      </c>
      <c r="AD49" s="10" t="e">
        <f t="shared" si="15"/>
        <v>#REF!</v>
      </c>
      <c r="AE49" s="1" t="e">
        <f>SUMIFS(#REF!,#REF!,
 $A49,#REF!,
 "&gt;="&amp;INT($AG$1),#REF!,
 "&lt;="&amp;INT($AH$1)
)</f>
        <v>#REF!</v>
      </c>
      <c r="AF49" s="1" t="e">
        <f t="shared" si="16"/>
        <v>#REF!</v>
      </c>
      <c r="AG49" s="9" t="e">
        <f t="shared" si="17"/>
        <v>#REF!</v>
      </c>
      <c r="AH49" s="10" t="e">
        <f t="shared" si="18"/>
        <v>#REF!</v>
      </c>
      <c r="AI49" s="1" t="e">
        <f>SUMIFS(#REF!,#REF!,
 $A49,#REF!,
 "&gt;="&amp;INT($AK$1),#REF!,
 "&lt;="&amp;INT($AL$1)
)</f>
        <v>#REF!</v>
      </c>
      <c r="AJ49" s="1" t="e">
        <f t="shared" si="19"/>
        <v>#REF!</v>
      </c>
      <c r="AK49" s="9" t="e">
        <f t="shared" si="20"/>
        <v>#REF!</v>
      </c>
      <c r="AL49" s="10" t="e">
        <f t="shared" si="21"/>
        <v>#REF!</v>
      </c>
      <c r="AM49" s="1" t="e">
        <f>SUMIFS(#REF!,#REF!,
 $A49,#REF!,
 "&gt;="&amp;INT($AO$1),#REF!,
 "&lt;="&amp;INT($AP$1)
)</f>
        <v>#REF!</v>
      </c>
      <c r="AN49" s="1" t="e">
        <f t="shared" si="22"/>
        <v>#REF!</v>
      </c>
      <c r="AO49" s="9" t="e">
        <f t="shared" si="23"/>
        <v>#REF!</v>
      </c>
      <c r="AP49" s="10" t="e">
        <f t="shared" si="24"/>
        <v>#REF!</v>
      </c>
      <c r="AQ49" s="1" t="e">
        <f>SUMIFS(#REF!,#REF!,
 $A49,#REF!,
 "&gt;="&amp;INT($AS$1),#REF!,
 "&lt;="&amp;INT($AT$1)
)</f>
        <v>#REF!</v>
      </c>
      <c r="AR49" s="1" t="e">
        <f t="shared" si="25"/>
        <v>#REF!</v>
      </c>
      <c r="AS49" s="9" t="e">
        <f t="shared" si="26"/>
        <v>#REF!</v>
      </c>
      <c r="AT49" s="10" t="e">
        <f t="shared" si="27"/>
        <v>#REF!</v>
      </c>
      <c r="AU49" s="1" t="e">
        <f>SUMIFS(#REF!,#REF!,
 $A49,#REF!,
 "&gt;="&amp;INT($AW$1),#REF!,
 "&lt;="&amp;INT($AX$1)
)</f>
        <v>#REF!</v>
      </c>
      <c r="AV49" s="1" t="e">
        <f t="shared" si="28"/>
        <v>#REF!</v>
      </c>
      <c r="AW49" s="9" t="e">
        <f t="shared" si="29"/>
        <v>#REF!</v>
      </c>
      <c r="AX49" s="10" t="e">
        <f t="shared" si="30"/>
        <v>#REF!</v>
      </c>
    </row>
    <row r="50" spans="1:50" x14ac:dyDescent="0.25">
      <c r="A50" s="5">
        <v>207008</v>
      </c>
      <c r="B50" s="6" t="s">
        <v>47</v>
      </c>
      <c r="C50" s="1" t="e">
        <f>SUMIFS(#REF!,#REF!,
 $A50,#REF!,
 "&gt;="&amp;INT($E$1),#REF!,
 "&lt;"&amp;INT($F$1+1)
)</f>
        <v>#REF!</v>
      </c>
      <c r="D50" s="1" t="str">
        <f>""</f>
        <v/>
      </c>
      <c r="F50" s="2"/>
      <c r="G50" s="1" t="e">
        <f>SUMIFS(#REF!,#REF!,
 $A50,#REF!,
 "&gt;="&amp;INT($I$1),#REF!,
 "&lt;"&amp;INT($J$1+1)
)</f>
        <v>#REF!</v>
      </c>
      <c r="H50" s="1" t="e">
        <f t="shared" si="0"/>
        <v>#REF!</v>
      </c>
      <c r="I50" s="1"/>
      <c r="J50" s="2"/>
      <c r="K50" s="1" t="e">
        <f>SUMIFS(#REF!,#REF!,
 $A50,#REF!,
 "&gt;="&amp;INT($M$1),#REF!,
 "&lt;"&amp;INT($N$1+1)
)</f>
        <v>#REF!</v>
      </c>
      <c r="L50" s="1" t="e">
        <f t="shared" si="1"/>
        <v>#REF!</v>
      </c>
      <c r="M50" s="9" t="e">
        <f t="shared" si="2"/>
        <v>#REF!</v>
      </c>
      <c r="N50" s="10" t="e">
        <f t="shared" si="3"/>
        <v>#REF!</v>
      </c>
      <c r="O50" s="1" t="e">
        <f>SUMIFS(#REF!,#REF!,
 $A50,#REF!,
 "&gt;="&amp;INT($Q$1),#REF!,
 "&lt;="&amp;INT($R$1)
)</f>
        <v>#REF!</v>
      </c>
      <c r="P50" s="1" t="e">
        <f t="shared" si="4"/>
        <v>#REF!</v>
      </c>
      <c r="Q50" s="9" t="e">
        <f t="shared" si="5"/>
        <v>#REF!</v>
      </c>
      <c r="R50" s="10" t="e">
        <f t="shared" si="6"/>
        <v>#REF!</v>
      </c>
      <c r="S50" s="1" t="e">
        <f>SUMIFS(#REF!,#REF!,
 $A50,#REF!,
 "&gt;="&amp;INT($U$1),#REF!,
 "&lt;="&amp;INT($V$1)
)</f>
        <v>#REF!</v>
      </c>
      <c r="T50" s="1" t="e">
        <f t="shared" si="7"/>
        <v>#REF!</v>
      </c>
      <c r="U50" s="9" t="e">
        <f t="shared" si="8"/>
        <v>#REF!</v>
      </c>
      <c r="V50" s="10" t="e">
        <f t="shared" si="9"/>
        <v>#REF!</v>
      </c>
      <c r="W50" s="1" t="e">
        <f>SUMIFS(#REF!,#REF!,
 $A50,#REF!,
 "&gt;="&amp;INT($Y$1),#REF!,
 "&lt;="&amp;INT($Z$1)
)</f>
        <v>#REF!</v>
      </c>
      <c r="X50" s="1" t="e">
        <f t="shared" si="10"/>
        <v>#REF!</v>
      </c>
      <c r="Y50" s="9" t="e">
        <f t="shared" si="11"/>
        <v>#REF!</v>
      </c>
      <c r="Z50" s="10" t="e">
        <f t="shared" si="12"/>
        <v>#REF!</v>
      </c>
      <c r="AA50" s="1" t="e">
        <f>SUMIFS(#REF!,#REF!,
 $A50,#REF!,
 "&gt;="&amp;INT($AC$1),#REF!,
 "&lt;="&amp;INT($AD$1)
)</f>
        <v>#REF!</v>
      </c>
      <c r="AB50" s="1" t="e">
        <f t="shared" si="13"/>
        <v>#REF!</v>
      </c>
      <c r="AC50" s="9" t="e">
        <f t="shared" si="14"/>
        <v>#REF!</v>
      </c>
      <c r="AD50" s="10" t="e">
        <f t="shared" si="15"/>
        <v>#REF!</v>
      </c>
      <c r="AE50" s="1" t="e">
        <f>SUMIFS(#REF!,#REF!,
 $A50,#REF!,
 "&gt;="&amp;INT($AG$1),#REF!,
 "&lt;="&amp;INT($AH$1)
)</f>
        <v>#REF!</v>
      </c>
      <c r="AF50" s="1" t="e">
        <f t="shared" si="16"/>
        <v>#REF!</v>
      </c>
      <c r="AG50" s="9" t="e">
        <f t="shared" si="17"/>
        <v>#REF!</v>
      </c>
      <c r="AH50" s="10" t="e">
        <f t="shared" si="18"/>
        <v>#REF!</v>
      </c>
      <c r="AI50" s="1" t="e">
        <f>SUMIFS(#REF!,#REF!,
 $A50,#REF!,
 "&gt;="&amp;INT($AK$1),#REF!,
 "&lt;="&amp;INT($AL$1)
)</f>
        <v>#REF!</v>
      </c>
      <c r="AJ50" s="1" t="e">
        <f t="shared" si="19"/>
        <v>#REF!</v>
      </c>
      <c r="AK50" s="9" t="e">
        <f t="shared" si="20"/>
        <v>#REF!</v>
      </c>
      <c r="AL50" s="10" t="e">
        <f t="shared" si="21"/>
        <v>#REF!</v>
      </c>
      <c r="AM50" s="1" t="e">
        <f>SUMIFS(#REF!,#REF!,
 $A50,#REF!,
 "&gt;="&amp;INT($AO$1),#REF!,
 "&lt;="&amp;INT($AP$1)
)</f>
        <v>#REF!</v>
      </c>
      <c r="AN50" s="1" t="e">
        <f t="shared" si="22"/>
        <v>#REF!</v>
      </c>
      <c r="AO50" s="9" t="e">
        <f t="shared" si="23"/>
        <v>#REF!</v>
      </c>
      <c r="AP50" s="10" t="e">
        <f t="shared" si="24"/>
        <v>#REF!</v>
      </c>
      <c r="AQ50" s="1" t="e">
        <f>SUMIFS(#REF!,#REF!,
 $A50,#REF!,
 "&gt;="&amp;INT($AS$1),#REF!,
 "&lt;="&amp;INT($AT$1)
)</f>
        <v>#REF!</v>
      </c>
      <c r="AR50" s="1" t="e">
        <f t="shared" si="25"/>
        <v>#REF!</v>
      </c>
      <c r="AS50" s="9" t="e">
        <f t="shared" si="26"/>
        <v>#REF!</v>
      </c>
      <c r="AT50" s="10" t="e">
        <f t="shared" si="27"/>
        <v>#REF!</v>
      </c>
      <c r="AU50" s="1" t="e">
        <f>SUMIFS(#REF!,#REF!,
 $A50,#REF!,
 "&gt;="&amp;INT($AW$1),#REF!,
 "&lt;="&amp;INT($AX$1)
)</f>
        <v>#REF!</v>
      </c>
      <c r="AV50" s="1" t="e">
        <f t="shared" si="28"/>
        <v>#REF!</v>
      </c>
      <c r="AW50" s="9" t="e">
        <f t="shared" si="29"/>
        <v>#REF!</v>
      </c>
      <c r="AX50" s="10" t="e">
        <f t="shared" si="30"/>
        <v>#REF!</v>
      </c>
    </row>
    <row r="51" spans="1:50" x14ac:dyDescent="0.25">
      <c r="A51" s="5">
        <v>207009</v>
      </c>
      <c r="B51" s="6" t="s">
        <v>48</v>
      </c>
      <c r="C51" s="1" t="e">
        <f>SUMIFS(#REF!,#REF!,
 $A51,#REF!,
 "&gt;="&amp;INT($E$1),#REF!,
 "&lt;"&amp;INT($F$1+1)
)</f>
        <v>#REF!</v>
      </c>
      <c r="D51" s="1" t="str">
        <f>""</f>
        <v/>
      </c>
      <c r="F51" s="2"/>
      <c r="G51" s="1" t="e">
        <f>SUMIFS(#REF!,#REF!,
 $A51,#REF!,
 "&gt;="&amp;INT($I$1),#REF!,
 "&lt;"&amp;INT($J$1+1)
)</f>
        <v>#REF!</v>
      </c>
      <c r="H51" s="1" t="e">
        <f t="shared" si="0"/>
        <v>#REF!</v>
      </c>
      <c r="I51" s="1"/>
      <c r="J51" s="2"/>
      <c r="K51" s="1" t="e">
        <f>SUMIFS(#REF!,#REF!,
 $A51,#REF!,
 "&gt;="&amp;INT($M$1),#REF!,
 "&lt;"&amp;INT($N$1+1)
)</f>
        <v>#REF!</v>
      </c>
      <c r="L51" s="1" t="e">
        <f t="shared" si="1"/>
        <v>#REF!</v>
      </c>
      <c r="M51" s="9" t="e">
        <f t="shared" si="2"/>
        <v>#REF!</v>
      </c>
      <c r="N51" s="10" t="e">
        <f t="shared" si="3"/>
        <v>#REF!</v>
      </c>
      <c r="O51" s="1" t="e">
        <f>SUMIFS(#REF!,#REF!,
 $A51,#REF!,
 "&gt;="&amp;INT($Q$1),#REF!,
 "&lt;="&amp;INT($R$1)
)</f>
        <v>#REF!</v>
      </c>
      <c r="P51" s="1" t="e">
        <f t="shared" si="4"/>
        <v>#REF!</v>
      </c>
      <c r="Q51" s="9" t="e">
        <f t="shared" si="5"/>
        <v>#REF!</v>
      </c>
      <c r="R51" s="10" t="e">
        <f t="shared" si="6"/>
        <v>#REF!</v>
      </c>
      <c r="S51" s="1" t="e">
        <f>SUMIFS(#REF!,#REF!,
 $A51,#REF!,
 "&gt;="&amp;INT($U$1),#REF!,
 "&lt;="&amp;INT($V$1)
)</f>
        <v>#REF!</v>
      </c>
      <c r="T51" s="1" t="e">
        <f t="shared" si="7"/>
        <v>#REF!</v>
      </c>
      <c r="U51" s="9" t="e">
        <f t="shared" si="8"/>
        <v>#REF!</v>
      </c>
      <c r="V51" s="10" t="e">
        <f t="shared" si="9"/>
        <v>#REF!</v>
      </c>
      <c r="W51" s="1" t="e">
        <f>SUMIFS(#REF!,#REF!,
 $A51,#REF!,
 "&gt;="&amp;INT($Y$1),#REF!,
 "&lt;="&amp;INT($Z$1)
)</f>
        <v>#REF!</v>
      </c>
      <c r="X51" s="1" t="e">
        <f t="shared" si="10"/>
        <v>#REF!</v>
      </c>
      <c r="Y51" s="9" t="e">
        <f t="shared" si="11"/>
        <v>#REF!</v>
      </c>
      <c r="Z51" s="10" t="e">
        <f t="shared" si="12"/>
        <v>#REF!</v>
      </c>
      <c r="AA51" s="1" t="e">
        <f>SUMIFS(#REF!,#REF!,
 $A51,#REF!,
 "&gt;="&amp;INT($AC$1),#REF!,
 "&lt;="&amp;INT($AD$1)
)</f>
        <v>#REF!</v>
      </c>
      <c r="AB51" s="1" t="e">
        <f t="shared" si="13"/>
        <v>#REF!</v>
      </c>
      <c r="AC51" s="9" t="e">
        <f t="shared" si="14"/>
        <v>#REF!</v>
      </c>
      <c r="AD51" s="10" t="e">
        <f t="shared" si="15"/>
        <v>#REF!</v>
      </c>
      <c r="AE51" s="1" t="e">
        <f>SUMIFS(#REF!,#REF!,
 $A51,#REF!,
 "&gt;="&amp;INT($AG$1),#REF!,
 "&lt;="&amp;INT($AH$1)
)</f>
        <v>#REF!</v>
      </c>
      <c r="AF51" s="1" t="e">
        <f t="shared" si="16"/>
        <v>#REF!</v>
      </c>
      <c r="AG51" s="9" t="e">
        <f t="shared" si="17"/>
        <v>#REF!</v>
      </c>
      <c r="AH51" s="10" t="e">
        <f t="shared" si="18"/>
        <v>#REF!</v>
      </c>
      <c r="AI51" s="1" t="e">
        <f>SUMIFS(#REF!,#REF!,
 $A51,#REF!,
 "&gt;="&amp;INT($AK$1),#REF!,
 "&lt;="&amp;INT($AL$1)
)</f>
        <v>#REF!</v>
      </c>
      <c r="AJ51" s="1" t="e">
        <f t="shared" si="19"/>
        <v>#REF!</v>
      </c>
      <c r="AK51" s="9" t="e">
        <f t="shared" si="20"/>
        <v>#REF!</v>
      </c>
      <c r="AL51" s="10" t="e">
        <f t="shared" si="21"/>
        <v>#REF!</v>
      </c>
      <c r="AM51" s="1" t="e">
        <f>SUMIFS(#REF!,#REF!,
 $A51,#REF!,
 "&gt;="&amp;INT($AO$1),#REF!,
 "&lt;="&amp;INT($AP$1)
)</f>
        <v>#REF!</v>
      </c>
      <c r="AN51" s="1" t="e">
        <f t="shared" si="22"/>
        <v>#REF!</v>
      </c>
      <c r="AO51" s="9" t="e">
        <f t="shared" si="23"/>
        <v>#REF!</v>
      </c>
      <c r="AP51" s="10" t="e">
        <f t="shared" si="24"/>
        <v>#REF!</v>
      </c>
      <c r="AQ51" s="1" t="e">
        <f>SUMIFS(#REF!,#REF!,
 $A51,#REF!,
 "&gt;="&amp;INT($AS$1),#REF!,
 "&lt;="&amp;INT($AT$1)
)</f>
        <v>#REF!</v>
      </c>
      <c r="AR51" s="1" t="e">
        <f t="shared" si="25"/>
        <v>#REF!</v>
      </c>
      <c r="AS51" s="9" t="e">
        <f t="shared" si="26"/>
        <v>#REF!</v>
      </c>
      <c r="AT51" s="10" t="e">
        <f t="shared" si="27"/>
        <v>#REF!</v>
      </c>
      <c r="AU51" s="1" t="e">
        <f>SUMIFS(#REF!,#REF!,
 $A51,#REF!,
 "&gt;="&amp;INT($AW$1),#REF!,
 "&lt;="&amp;INT($AX$1)
)</f>
        <v>#REF!</v>
      </c>
      <c r="AV51" s="1" t="e">
        <f t="shared" si="28"/>
        <v>#REF!</v>
      </c>
      <c r="AW51" s="9" t="e">
        <f t="shared" si="29"/>
        <v>#REF!</v>
      </c>
      <c r="AX51" s="10" t="e">
        <f t="shared" si="30"/>
        <v>#REF!</v>
      </c>
    </row>
    <row r="52" spans="1:50" x14ac:dyDescent="0.25">
      <c r="A52" s="5">
        <v>207010</v>
      </c>
      <c r="B52" s="6" t="s">
        <v>49</v>
      </c>
      <c r="C52" s="1" t="e">
        <f>SUMIFS(#REF!,#REF!,
 $A52,#REF!,
 "&gt;="&amp;INT($E$1),#REF!,
 "&lt;"&amp;INT($F$1+1)
)</f>
        <v>#REF!</v>
      </c>
      <c r="D52" s="1" t="str">
        <f>""</f>
        <v/>
      </c>
      <c r="F52" s="2"/>
      <c r="G52" s="1" t="e">
        <f>SUMIFS(#REF!,#REF!,
 $A52,#REF!,
 "&gt;="&amp;INT($I$1),#REF!,
 "&lt;"&amp;INT($J$1+1)
)</f>
        <v>#REF!</v>
      </c>
      <c r="H52" s="1" t="e">
        <f t="shared" si="0"/>
        <v>#REF!</v>
      </c>
      <c r="I52" s="1"/>
      <c r="J52" s="2"/>
      <c r="K52" s="1" t="e">
        <f>SUMIFS(#REF!,#REF!,
 $A52,#REF!,
 "&gt;="&amp;INT($M$1),#REF!,
 "&lt;"&amp;INT($N$1+1)
)</f>
        <v>#REF!</v>
      </c>
      <c r="L52" s="1" t="e">
        <f t="shared" si="1"/>
        <v>#REF!</v>
      </c>
      <c r="M52" s="9" t="e">
        <f t="shared" si="2"/>
        <v>#REF!</v>
      </c>
      <c r="N52" s="10" t="e">
        <f t="shared" si="3"/>
        <v>#REF!</v>
      </c>
      <c r="O52" s="1" t="e">
        <f>SUMIFS(#REF!,#REF!,
 $A52,#REF!,
 "&gt;="&amp;INT($Q$1),#REF!,
 "&lt;="&amp;INT($R$1)
)</f>
        <v>#REF!</v>
      </c>
      <c r="P52" s="1" t="e">
        <f t="shared" si="4"/>
        <v>#REF!</v>
      </c>
      <c r="Q52" s="9" t="e">
        <f t="shared" si="5"/>
        <v>#REF!</v>
      </c>
      <c r="R52" s="10" t="e">
        <f t="shared" si="6"/>
        <v>#REF!</v>
      </c>
      <c r="S52" s="1" t="e">
        <f>SUMIFS(#REF!,#REF!,
 $A52,#REF!,
 "&gt;="&amp;INT($U$1),#REF!,
 "&lt;="&amp;INT($V$1)
)</f>
        <v>#REF!</v>
      </c>
      <c r="T52" s="1" t="e">
        <f t="shared" si="7"/>
        <v>#REF!</v>
      </c>
      <c r="U52" s="9" t="e">
        <f t="shared" si="8"/>
        <v>#REF!</v>
      </c>
      <c r="V52" s="10" t="e">
        <f t="shared" si="9"/>
        <v>#REF!</v>
      </c>
      <c r="W52" s="1" t="e">
        <f>SUMIFS(#REF!,#REF!,
 $A52,#REF!,
 "&gt;="&amp;INT($Y$1),#REF!,
 "&lt;="&amp;INT($Z$1)
)</f>
        <v>#REF!</v>
      </c>
      <c r="X52" s="1" t="e">
        <f t="shared" si="10"/>
        <v>#REF!</v>
      </c>
      <c r="Y52" s="9" t="e">
        <f t="shared" si="11"/>
        <v>#REF!</v>
      </c>
      <c r="Z52" s="10" t="e">
        <f t="shared" si="12"/>
        <v>#REF!</v>
      </c>
      <c r="AA52" s="1" t="e">
        <f>SUMIFS(#REF!,#REF!,
 $A52,#REF!,
 "&gt;="&amp;INT($AC$1),#REF!,
 "&lt;="&amp;INT($AD$1)
)</f>
        <v>#REF!</v>
      </c>
      <c r="AB52" s="1" t="e">
        <f t="shared" si="13"/>
        <v>#REF!</v>
      </c>
      <c r="AC52" s="9" t="e">
        <f t="shared" si="14"/>
        <v>#REF!</v>
      </c>
      <c r="AD52" s="10" t="e">
        <f t="shared" si="15"/>
        <v>#REF!</v>
      </c>
      <c r="AE52" s="1" t="e">
        <f>SUMIFS(#REF!,#REF!,
 $A52,#REF!,
 "&gt;="&amp;INT($AG$1),#REF!,
 "&lt;="&amp;INT($AH$1)
)</f>
        <v>#REF!</v>
      </c>
      <c r="AF52" s="1" t="e">
        <f t="shared" si="16"/>
        <v>#REF!</v>
      </c>
      <c r="AG52" s="9" t="e">
        <f t="shared" si="17"/>
        <v>#REF!</v>
      </c>
      <c r="AH52" s="10" t="e">
        <f t="shared" si="18"/>
        <v>#REF!</v>
      </c>
      <c r="AI52" s="1" t="e">
        <f>SUMIFS(#REF!,#REF!,
 $A52,#REF!,
 "&gt;="&amp;INT($AK$1),#REF!,
 "&lt;="&amp;INT($AL$1)
)</f>
        <v>#REF!</v>
      </c>
      <c r="AJ52" s="1" t="e">
        <f t="shared" si="19"/>
        <v>#REF!</v>
      </c>
      <c r="AK52" s="9" t="e">
        <f t="shared" si="20"/>
        <v>#REF!</v>
      </c>
      <c r="AL52" s="10" t="e">
        <f t="shared" si="21"/>
        <v>#REF!</v>
      </c>
      <c r="AM52" s="1" t="e">
        <f>SUMIFS(#REF!,#REF!,
 $A52,#REF!,
 "&gt;="&amp;INT($AO$1),#REF!,
 "&lt;="&amp;INT($AP$1)
)</f>
        <v>#REF!</v>
      </c>
      <c r="AN52" s="1" t="e">
        <f t="shared" si="22"/>
        <v>#REF!</v>
      </c>
      <c r="AO52" s="9" t="e">
        <f t="shared" si="23"/>
        <v>#REF!</v>
      </c>
      <c r="AP52" s="10" t="e">
        <f t="shared" si="24"/>
        <v>#REF!</v>
      </c>
      <c r="AQ52" s="1" t="e">
        <f>SUMIFS(#REF!,#REF!,
 $A52,#REF!,
 "&gt;="&amp;INT($AS$1),#REF!,
 "&lt;="&amp;INT($AT$1)
)</f>
        <v>#REF!</v>
      </c>
      <c r="AR52" s="1" t="e">
        <f t="shared" si="25"/>
        <v>#REF!</v>
      </c>
      <c r="AS52" s="9" t="e">
        <f t="shared" si="26"/>
        <v>#REF!</v>
      </c>
      <c r="AT52" s="10" t="e">
        <f t="shared" si="27"/>
        <v>#REF!</v>
      </c>
      <c r="AU52" s="1" t="e">
        <f>SUMIFS(#REF!,#REF!,
 $A52,#REF!,
 "&gt;="&amp;INT($AW$1),#REF!,
 "&lt;="&amp;INT($AX$1)
)</f>
        <v>#REF!</v>
      </c>
      <c r="AV52" s="1" t="e">
        <f t="shared" si="28"/>
        <v>#REF!</v>
      </c>
      <c r="AW52" s="9" t="e">
        <f t="shared" si="29"/>
        <v>#REF!</v>
      </c>
      <c r="AX52" s="10" t="e">
        <f t="shared" si="30"/>
        <v>#REF!</v>
      </c>
    </row>
    <row r="53" spans="1:50" x14ac:dyDescent="0.25">
      <c r="A53" s="5">
        <v>207011</v>
      </c>
      <c r="B53" s="6" t="s">
        <v>50</v>
      </c>
      <c r="C53" s="1" t="e">
        <f>SUMIFS(#REF!,#REF!,
 $A53,#REF!,
 "&gt;="&amp;INT($E$1),#REF!,
 "&lt;"&amp;INT($F$1+1)
)</f>
        <v>#REF!</v>
      </c>
      <c r="D53" s="1" t="str">
        <f>""</f>
        <v/>
      </c>
      <c r="F53" s="2"/>
      <c r="G53" s="1" t="e">
        <f>SUMIFS(#REF!,#REF!,
 $A53,#REF!,
 "&gt;="&amp;INT($I$1),#REF!,
 "&lt;"&amp;INT($J$1+1)
)</f>
        <v>#REF!</v>
      </c>
      <c r="H53" s="1" t="e">
        <f t="shared" si="0"/>
        <v>#REF!</v>
      </c>
      <c r="I53" s="1"/>
      <c r="J53" s="2"/>
      <c r="K53" s="1" t="e">
        <f>SUMIFS(#REF!,#REF!,
 $A53,#REF!,
 "&gt;="&amp;INT($M$1),#REF!,
 "&lt;"&amp;INT($N$1+1)
)</f>
        <v>#REF!</v>
      </c>
      <c r="L53" s="1" t="e">
        <f t="shared" si="1"/>
        <v>#REF!</v>
      </c>
      <c r="M53" s="9" t="e">
        <f t="shared" si="2"/>
        <v>#REF!</v>
      </c>
      <c r="N53" s="10" t="e">
        <f t="shared" si="3"/>
        <v>#REF!</v>
      </c>
      <c r="O53" s="1" t="e">
        <f>SUMIFS(#REF!,#REF!,
 $A53,#REF!,
 "&gt;="&amp;INT($Q$1),#REF!,
 "&lt;="&amp;INT($R$1)
)</f>
        <v>#REF!</v>
      </c>
      <c r="P53" s="1" t="e">
        <f t="shared" si="4"/>
        <v>#REF!</v>
      </c>
      <c r="Q53" s="9" t="e">
        <f t="shared" si="5"/>
        <v>#REF!</v>
      </c>
      <c r="R53" s="10" t="e">
        <f t="shared" si="6"/>
        <v>#REF!</v>
      </c>
      <c r="S53" s="1" t="e">
        <f>SUMIFS(#REF!,#REF!,
 $A53,#REF!,
 "&gt;="&amp;INT($U$1),#REF!,
 "&lt;="&amp;INT($V$1)
)</f>
        <v>#REF!</v>
      </c>
      <c r="T53" s="1" t="e">
        <f t="shared" si="7"/>
        <v>#REF!</v>
      </c>
      <c r="U53" s="9" t="e">
        <f t="shared" si="8"/>
        <v>#REF!</v>
      </c>
      <c r="V53" s="10" t="e">
        <f t="shared" si="9"/>
        <v>#REF!</v>
      </c>
      <c r="W53" s="1" t="e">
        <f>SUMIFS(#REF!,#REF!,
 $A53,#REF!,
 "&gt;="&amp;INT($Y$1),#REF!,
 "&lt;="&amp;INT($Z$1)
)</f>
        <v>#REF!</v>
      </c>
      <c r="X53" s="1" t="e">
        <f t="shared" si="10"/>
        <v>#REF!</v>
      </c>
      <c r="Y53" s="9" t="e">
        <f t="shared" si="11"/>
        <v>#REF!</v>
      </c>
      <c r="Z53" s="10" t="e">
        <f t="shared" si="12"/>
        <v>#REF!</v>
      </c>
      <c r="AA53" s="1" t="e">
        <f>SUMIFS(#REF!,#REF!,
 $A53,#REF!,
 "&gt;="&amp;INT($AC$1),#REF!,
 "&lt;="&amp;INT($AD$1)
)</f>
        <v>#REF!</v>
      </c>
      <c r="AB53" s="1" t="e">
        <f t="shared" si="13"/>
        <v>#REF!</v>
      </c>
      <c r="AC53" s="9" t="e">
        <f t="shared" si="14"/>
        <v>#REF!</v>
      </c>
      <c r="AD53" s="10" t="e">
        <f t="shared" si="15"/>
        <v>#REF!</v>
      </c>
      <c r="AE53" s="1" t="e">
        <f>SUMIFS(#REF!,#REF!,
 $A53,#REF!,
 "&gt;="&amp;INT($AG$1),#REF!,
 "&lt;="&amp;INT($AH$1)
)</f>
        <v>#REF!</v>
      </c>
      <c r="AF53" s="1" t="e">
        <f t="shared" si="16"/>
        <v>#REF!</v>
      </c>
      <c r="AG53" s="9" t="e">
        <f t="shared" si="17"/>
        <v>#REF!</v>
      </c>
      <c r="AH53" s="10" t="e">
        <f t="shared" si="18"/>
        <v>#REF!</v>
      </c>
      <c r="AI53" s="1" t="e">
        <f>SUMIFS(#REF!,#REF!,
 $A53,#REF!,
 "&gt;="&amp;INT($AK$1),#REF!,
 "&lt;="&amp;INT($AL$1)
)</f>
        <v>#REF!</v>
      </c>
      <c r="AJ53" s="1" t="e">
        <f t="shared" si="19"/>
        <v>#REF!</v>
      </c>
      <c r="AK53" s="9" t="e">
        <f t="shared" si="20"/>
        <v>#REF!</v>
      </c>
      <c r="AL53" s="10" t="e">
        <f t="shared" si="21"/>
        <v>#REF!</v>
      </c>
      <c r="AM53" s="1" t="e">
        <f>SUMIFS(#REF!,#REF!,
 $A53,#REF!,
 "&gt;="&amp;INT($AO$1),#REF!,
 "&lt;="&amp;INT($AP$1)
)</f>
        <v>#REF!</v>
      </c>
      <c r="AN53" s="1" t="e">
        <f t="shared" si="22"/>
        <v>#REF!</v>
      </c>
      <c r="AO53" s="9" t="e">
        <f t="shared" si="23"/>
        <v>#REF!</v>
      </c>
      <c r="AP53" s="10" t="e">
        <f t="shared" si="24"/>
        <v>#REF!</v>
      </c>
      <c r="AQ53" s="1" t="e">
        <f>SUMIFS(#REF!,#REF!,
 $A53,#REF!,
 "&gt;="&amp;INT($AS$1),#REF!,
 "&lt;="&amp;INT($AT$1)
)</f>
        <v>#REF!</v>
      </c>
      <c r="AR53" s="1" t="e">
        <f t="shared" si="25"/>
        <v>#REF!</v>
      </c>
      <c r="AS53" s="9" t="e">
        <f t="shared" si="26"/>
        <v>#REF!</v>
      </c>
      <c r="AT53" s="10" t="e">
        <f t="shared" si="27"/>
        <v>#REF!</v>
      </c>
      <c r="AU53" s="1" t="e">
        <f>SUMIFS(#REF!,#REF!,
 $A53,#REF!,
 "&gt;="&amp;INT($AW$1),#REF!,
 "&lt;="&amp;INT($AX$1)
)</f>
        <v>#REF!</v>
      </c>
      <c r="AV53" s="1" t="e">
        <f t="shared" si="28"/>
        <v>#REF!</v>
      </c>
      <c r="AW53" s="9" t="e">
        <f t="shared" si="29"/>
        <v>#REF!</v>
      </c>
      <c r="AX53" s="10" t="e">
        <f t="shared" si="30"/>
        <v>#REF!</v>
      </c>
    </row>
    <row r="54" spans="1:50" x14ac:dyDescent="0.25">
      <c r="A54" s="5">
        <v>207012</v>
      </c>
      <c r="B54" s="6" t="s">
        <v>51</v>
      </c>
      <c r="C54" s="1" t="e">
        <f>SUMIFS(#REF!,#REF!,
 $A54,#REF!,
 "&gt;="&amp;INT($E$1),#REF!,
 "&lt;"&amp;INT($F$1+1)
)</f>
        <v>#REF!</v>
      </c>
      <c r="D54" s="1" t="str">
        <f>""</f>
        <v/>
      </c>
      <c r="F54" s="2"/>
      <c r="G54" s="1" t="e">
        <f>SUMIFS(#REF!,#REF!,
 $A54,#REF!,
 "&gt;="&amp;INT($I$1),#REF!,
 "&lt;"&amp;INT($J$1+1)
)</f>
        <v>#REF!</v>
      </c>
      <c r="H54" s="1" t="e">
        <f t="shared" si="0"/>
        <v>#REF!</v>
      </c>
      <c r="I54" s="1"/>
      <c r="J54" s="2"/>
      <c r="K54" s="1" t="e">
        <f>SUMIFS(#REF!,#REF!,
 $A54,#REF!,
 "&gt;="&amp;INT($M$1),#REF!,
 "&lt;"&amp;INT($N$1+1)
)</f>
        <v>#REF!</v>
      </c>
      <c r="L54" s="1" t="e">
        <f t="shared" si="1"/>
        <v>#REF!</v>
      </c>
      <c r="M54" s="9" t="e">
        <f t="shared" si="2"/>
        <v>#REF!</v>
      </c>
      <c r="N54" s="10" t="e">
        <f t="shared" si="3"/>
        <v>#REF!</v>
      </c>
      <c r="O54" s="1" t="e">
        <f>SUMIFS(#REF!,#REF!,
 $A54,#REF!,
 "&gt;="&amp;INT($Q$1),#REF!,
 "&lt;="&amp;INT($R$1)
)</f>
        <v>#REF!</v>
      </c>
      <c r="P54" s="1" t="e">
        <f t="shared" si="4"/>
        <v>#REF!</v>
      </c>
      <c r="Q54" s="9" t="e">
        <f t="shared" si="5"/>
        <v>#REF!</v>
      </c>
      <c r="R54" s="10" t="e">
        <f t="shared" si="6"/>
        <v>#REF!</v>
      </c>
      <c r="S54" s="1" t="e">
        <f>SUMIFS(#REF!,#REF!,
 $A54,#REF!,
 "&gt;="&amp;INT($U$1),#REF!,
 "&lt;="&amp;INT($V$1)
)</f>
        <v>#REF!</v>
      </c>
      <c r="T54" s="1" t="e">
        <f t="shared" si="7"/>
        <v>#REF!</v>
      </c>
      <c r="U54" s="9" t="e">
        <f t="shared" si="8"/>
        <v>#REF!</v>
      </c>
      <c r="V54" s="10" t="e">
        <f t="shared" si="9"/>
        <v>#REF!</v>
      </c>
      <c r="W54" s="1" t="e">
        <f>SUMIFS(#REF!,#REF!,
 $A54,#REF!,
 "&gt;="&amp;INT($Y$1),#REF!,
 "&lt;="&amp;INT($Z$1)
)</f>
        <v>#REF!</v>
      </c>
      <c r="X54" s="1" t="e">
        <f t="shared" si="10"/>
        <v>#REF!</v>
      </c>
      <c r="Y54" s="9" t="e">
        <f t="shared" si="11"/>
        <v>#REF!</v>
      </c>
      <c r="Z54" s="10" t="e">
        <f t="shared" si="12"/>
        <v>#REF!</v>
      </c>
      <c r="AA54" s="1" t="e">
        <f>SUMIFS(#REF!,#REF!,
 $A54,#REF!,
 "&gt;="&amp;INT($AC$1),#REF!,
 "&lt;="&amp;INT($AD$1)
)</f>
        <v>#REF!</v>
      </c>
      <c r="AB54" s="1" t="e">
        <f t="shared" si="13"/>
        <v>#REF!</v>
      </c>
      <c r="AC54" s="9" t="e">
        <f t="shared" si="14"/>
        <v>#REF!</v>
      </c>
      <c r="AD54" s="10" t="e">
        <f t="shared" si="15"/>
        <v>#REF!</v>
      </c>
      <c r="AE54" s="1" t="e">
        <f>SUMIFS(#REF!,#REF!,
 $A54,#REF!,
 "&gt;="&amp;INT($AG$1),#REF!,
 "&lt;="&amp;INT($AH$1)
)</f>
        <v>#REF!</v>
      </c>
      <c r="AF54" s="1" t="e">
        <f t="shared" si="16"/>
        <v>#REF!</v>
      </c>
      <c r="AG54" s="9" t="e">
        <f t="shared" si="17"/>
        <v>#REF!</v>
      </c>
      <c r="AH54" s="10" t="e">
        <f t="shared" si="18"/>
        <v>#REF!</v>
      </c>
      <c r="AI54" s="1" t="e">
        <f>SUMIFS(#REF!,#REF!,
 $A54,#REF!,
 "&gt;="&amp;INT($AK$1),#REF!,
 "&lt;="&amp;INT($AL$1)
)</f>
        <v>#REF!</v>
      </c>
      <c r="AJ54" s="1" t="e">
        <f t="shared" si="19"/>
        <v>#REF!</v>
      </c>
      <c r="AK54" s="9" t="e">
        <f t="shared" si="20"/>
        <v>#REF!</v>
      </c>
      <c r="AL54" s="10" t="e">
        <f t="shared" si="21"/>
        <v>#REF!</v>
      </c>
      <c r="AM54" s="1" t="e">
        <f>SUMIFS(#REF!,#REF!,
 $A54,#REF!,
 "&gt;="&amp;INT($AO$1),#REF!,
 "&lt;="&amp;INT($AP$1)
)</f>
        <v>#REF!</v>
      </c>
      <c r="AN54" s="1" t="e">
        <f t="shared" si="22"/>
        <v>#REF!</v>
      </c>
      <c r="AO54" s="9" t="e">
        <f t="shared" si="23"/>
        <v>#REF!</v>
      </c>
      <c r="AP54" s="10" t="e">
        <f t="shared" si="24"/>
        <v>#REF!</v>
      </c>
      <c r="AQ54" s="1" t="e">
        <f>SUMIFS(#REF!,#REF!,
 $A54,#REF!,
 "&gt;="&amp;INT($AS$1),#REF!,
 "&lt;="&amp;INT($AT$1)
)</f>
        <v>#REF!</v>
      </c>
      <c r="AR54" s="1" t="e">
        <f t="shared" si="25"/>
        <v>#REF!</v>
      </c>
      <c r="AS54" s="9" t="e">
        <f t="shared" si="26"/>
        <v>#REF!</v>
      </c>
      <c r="AT54" s="10" t="e">
        <f t="shared" si="27"/>
        <v>#REF!</v>
      </c>
      <c r="AU54" s="1" t="e">
        <f>SUMIFS(#REF!,#REF!,
 $A54,#REF!,
 "&gt;="&amp;INT($AW$1),#REF!,
 "&lt;="&amp;INT($AX$1)
)</f>
        <v>#REF!</v>
      </c>
      <c r="AV54" s="1" t="e">
        <f t="shared" si="28"/>
        <v>#REF!</v>
      </c>
      <c r="AW54" s="9" t="e">
        <f t="shared" si="29"/>
        <v>#REF!</v>
      </c>
      <c r="AX54" s="10" t="e">
        <f t="shared" si="30"/>
        <v>#REF!</v>
      </c>
    </row>
    <row r="55" spans="1:50" x14ac:dyDescent="0.25">
      <c r="A55" s="5">
        <v>207013</v>
      </c>
      <c r="B55" s="6" t="s">
        <v>52</v>
      </c>
      <c r="C55" s="1" t="e">
        <f>SUMIFS(#REF!,#REF!,
 $A55,#REF!,
 "&gt;="&amp;INT($E$1),#REF!,
 "&lt;"&amp;INT($F$1+1)
)</f>
        <v>#REF!</v>
      </c>
      <c r="D55" s="1" t="str">
        <f>""</f>
        <v/>
      </c>
      <c r="F55" s="2"/>
      <c r="G55" s="1" t="e">
        <f>SUMIFS(#REF!,#REF!,
 $A55,#REF!,
 "&gt;="&amp;INT($I$1),#REF!,
 "&lt;"&amp;INT($J$1+1)
)</f>
        <v>#REF!</v>
      </c>
      <c r="H55" s="1" t="e">
        <f t="shared" si="0"/>
        <v>#REF!</v>
      </c>
      <c r="I55" s="1"/>
      <c r="J55" s="2"/>
      <c r="K55" s="1" t="e">
        <f>SUMIFS(#REF!,#REF!,
 $A55,#REF!,
 "&gt;="&amp;INT($M$1),#REF!,
 "&lt;"&amp;INT($N$1+1)
)</f>
        <v>#REF!</v>
      </c>
      <c r="L55" s="1" t="e">
        <f t="shared" si="1"/>
        <v>#REF!</v>
      </c>
      <c r="M55" s="9" t="e">
        <f t="shared" si="2"/>
        <v>#REF!</v>
      </c>
      <c r="N55" s="10" t="e">
        <f t="shared" si="3"/>
        <v>#REF!</v>
      </c>
      <c r="O55" s="1" t="e">
        <f>SUMIFS(#REF!,#REF!,
 $A55,#REF!,
 "&gt;="&amp;INT($Q$1),#REF!,
 "&lt;="&amp;INT($R$1)
)</f>
        <v>#REF!</v>
      </c>
      <c r="P55" s="1" t="e">
        <f t="shared" si="4"/>
        <v>#REF!</v>
      </c>
      <c r="Q55" s="9" t="e">
        <f t="shared" si="5"/>
        <v>#REF!</v>
      </c>
      <c r="R55" s="10" t="e">
        <f t="shared" si="6"/>
        <v>#REF!</v>
      </c>
      <c r="S55" s="1" t="e">
        <f>SUMIFS(#REF!,#REF!,
 $A55,#REF!,
 "&gt;="&amp;INT($U$1),#REF!,
 "&lt;="&amp;INT($V$1)
)</f>
        <v>#REF!</v>
      </c>
      <c r="T55" s="1" t="e">
        <f t="shared" si="7"/>
        <v>#REF!</v>
      </c>
      <c r="U55" s="9" t="e">
        <f t="shared" si="8"/>
        <v>#REF!</v>
      </c>
      <c r="V55" s="10" t="e">
        <f t="shared" si="9"/>
        <v>#REF!</v>
      </c>
      <c r="W55" s="1" t="e">
        <f>SUMIFS(#REF!,#REF!,
 $A55,#REF!,
 "&gt;="&amp;INT($Y$1),#REF!,
 "&lt;="&amp;INT($Z$1)
)</f>
        <v>#REF!</v>
      </c>
      <c r="X55" s="1" t="e">
        <f t="shared" si="10"/>
        <v>#REF!</v>
      </c>
      <c r="Y55" s="9" t="e">
        <f t="shared" si="11"/>
        <v>#REF!</v>
      </c>
      <c r="Z55" s="10" t="e">
        <f t="shared" si="12"/>
        <v>#REF!</v>
      </c>
      <c r="AA55" s="1" t="e">
        <f>SUMIFS(#REF!,#REF!,
 $A55,#REF!,
 "&gt;="&amp;INT($AC$1),#REF!,
 "&lt;="&amp;INT($AD$1)
)</f>
        <v>#REF!</v>
      </c>
      <c r="AB55" s="1" t="e">
        <f t="shared" si="13"/>
        <v>#REF!</v>
      </c>
      <c r="AC55" s="9" t="e">
        <f t="shared" si="14"/>
        <v>#REF!</v>
      </c>
      <c r="AD55" s="10" t="e">
        <f t="shared" si="15"/>
        <v>#REF!</v>
      </c>
      <c r="AE55" s="1" t="e">
        <f>SUMIFS(#REF!,#REF!,
 $A55,#REF!,
 "&gt;="&amp;INT($AG$1),#REF!,
 "&lt;="&amp;INT($AH$1)
)</f>
        <v>#REF!</v>
      </c>
      <c r="AF55" s="1" t="e">
        <f t="shared" si="16"/>
        <v>#REF!</v>
      </c>
      <c r="AG55" s="9" t="e">
        <f t="shared" si="17"/>
        <v>#REF!</v>
      </c>
      <c r="AH55" s="10" t="e">
        <f t="shared" si="18"/>
        <v>#REF!</v>
      </c>
      <c r="AI55" s="1" t="e">
        <f>SUMIFS(#REF!,#REF!,
 $A55,#REF!,
 "&gt;="&amp;INT($AK$1),#REF!,
 "&lt;="&amp;INT($AL$1)
)</f>
        <v>#REF!</v>
      </c>
      <c r="AJ55" s="1" t="e">
        <f t="shared" si="19"/>
        <v>#REF!</v>
      </c>
      <c r="AK55" s="9" t="e">
        <f t="shared" si="20"/>
        <v>#REF!</v>
      </c>
      <c r="AL55" s="10" t="e">
        <f t="shared" si="21"/>
        <v>#REF!</v>
      </c>
      <c r="AM55" s="1" t="e">
        <f>SUMIFS(#REF!,#REF!,
 $A55,#REF!,
 "&gt;="&amp;INT($AO$1),#REF!,
 "&lt;="&amp;INT($AP$1)
)</f>
        <v>#REF!</v>
      </c>
      <c r="AN55" s="1" t="e">
        <f t="shared" si="22"/>
        <v>#REF!</v>
      </c>
      <c r="AO55" s="9" t="e">
        <f t="shared" si="23"/>
        <v>#REF!</v>
      </c>
      <c r="AP55" s="10" t="e">
        <f t="shared" si="24"/>
        <v>#REF!</v>
      </c>
      <c r="AQ55" s="1" t="e">
        <f>SUMIFS(#REF!,#REF!,
 $A55,#REF!,
 "&gt;="&amp;INT($AS$1),#REF!,
 "&lt;="&amp;INT($AT$1)
)</f>
        <v>#REF!</v>
      </c>
      <c r="AR55" s="1" t="e">
        <f t="shared" si="25"/>
        <v>#REF!</v>
      </c>
      <c r="AS55" s="9" t="e">
        <f t="shared" si="26"/>
        <v>#REF!</v>
      </c>
      <c r="AT55" s="10" t="e">
        <f t="shared" si="27"/>
        <v>#REF!</v>
      </c>
      <c r="AU55" s="1" t="e">
        <f>SUMIFS(#REF!,#REF!,
 $A55,#REF!,
 "&gt;="&amp;INT($AW$1),#REF!,
 "&lt;="&amp;INT($AX$1)
)</f>
        <v>#REF!</v>
      </c>
      <c r="AV55" s="1" t="e">
        <f t="shared" si="28"/>
        <v>#REF!</v>
      </c>
      <c r="AW55" s="9" t="e">
        <f t="shared" si="29"/>
        <v>#REF!</v>
      </c>
      <c r="AX55" s="10" t="e">
        <f t="shared" si="30"/>
        <v>#REF!</v>
      </c>
    </row>
    <row r="56" spans="1:50" x14ac:dyDescent="0.25">
      <c r="A56" s="5">
        <v>207014</v>
      </c>
      <c r="B56" s="6" t="s">
        <v>53</v>
      </c>
      <c r="C56" s="1" t="e">
        <f>SUMIFS(#REF!,#REF!,
 $A56,#REF!,
 "&gt;="&amp;INT($E$1),#REF!,
 "&lt;"&amp;INT($F$1+1)
)</f>
        <v>#REF!</v>
      </c>
      <c r="D56" s="1" t="str">
        <f>""</f>
        <v/>
      </c>
      <c r="F56" s="2"/>
      <c r="G56" s="1" t="e">
        <f>SUMIFS(#REF!,#REF!,
 $A56,#REF!,
 "&gt;="&amp;INT($I$1),#REF!,
 "&lt;"&amp;INT($J$1+1)
)</f>
        <v>#REF!</v>
      </c>
      <c r="H56" s="1" t="e">
        <f t="shared" si="0"/>
        <v>#REF!</v>
      </c>
      <c r="I56" s="1"/>
      <c r="J56" s="2"/>
      <c r="K56" s="1" t="e">
        <f>SUMIFS(#REF!,#REF!,
 $A56,#REF!,
 "&gt;="&amp;INT($M$1),#REF!,
 "&lt;"&amp;INT($N$1+1)
)</f>
        <v>#REF!</v>
      </c>
      <c r="L56" s="1" t="e">
        <f t="shared" si="1"/>
        <v>#REF!</v>
      </c>
      <c r="M56" s="9" t="e">
        <f t="shared" si="2"/>
        <v>#REF!</v>
      </c>
      <c r="N56" s="10" t="e">
        <f t="shared" si="3"/>
        <v>#REF!</v>
      </c>
      <c r="O56" s="1" t="e">
        <f>SUMIFS(#REF!,#REF!,
 $A56,#REF!,
 "&gt;="&amp;INT($Q$1),#REF!,
 "&lt;="&amp;INT($R$1)
)</f>
        <v>#REF!</v>
      </c>
      <c r="P56" s="1" t="e">
        <f t="shared" si="4"/>
        <v>#REF!</v>
      </c>
      <c r="Q56" s="9" t="e">
        <f t="shared" si="5"/>
        <v>#REF!</v>
      </c>
      <c r="R56" s="10" t="e">
        <f t="shared" si="6"/>
        <v>#REF!</v>
      </c>
      <c r="S56" s="1" t="e">
        <f>SUMIFS(#REF!,#REF!,
 $A56,#REF!,
 "&gt;="&amp;INT($U$1),#REF!,
 "&lt;="&amp;INT($V$1)
)</f>
        <v>#REF!</v>
      </c>
      <c r="T56" s="1" t="e">
        <f t="shared" si="7"/>
        <v>#REF!</v>
      </c>
      <c r="U56" s="9" t="e">
        <f t="shared" si="8"/>
        <v>#REF!</v>
      </c>
      <c r="V56" s="10" t="e">
        <f t="shared" si="9"/>
        <v>#REF!</v>
      </c>
      <c r="W56" s="1" t="e">
        <f>SUMIFS(#REF!,#REF!,
 $A56,#REF!,
 "&gt;="&amp;INT($Y$1),#REF!,
 "&lt;="&amp;INT($Z$1)
)</f>
        <v>#REF!</v>
      </c>
      <c r="X56" s="1" t="e">
        <f t="shared" si="10"/>
        <v>#REF!</v>
      </c>
      <c r="Y56" s="9" t="e">
        <f t="shared" si="11"/>
        <v>#REF!</v>
      </c>
      <c r="Z56" s="10" t="e">
        <f t="shared" si="12"/>
        <v>#REF!</v>
      </c>
      <c r="AA56" s="1" t="e">
        <f>SUMIFS(#REF!,#REF!,
 $A56,#REF!,
 "&gt;="&amp;INT($AC$1),#REF!,
 "&lt;="&amp;INT($AD$1)
)</f>
        <v>#REF!</v>
      </c>
      <c r="AB56" s="1" t="e">
        <f t="shared" si="13"/>
        <v>#REF!</v>
      </c>
      <c r="AC56" s="9" t="e">
        <f t="shared" si="14"/>
        <v>#REF!</v>
      </c>
      <c r="AD56" s="10" t="e">
        <f t="shared" si="15"/>
        <v>#REF!</v>
      </c>
      <c r="AE56" s="1" t="e">
        <f>SUMIFS(#REF!,#REF!,
 $A56,#REF!,
 "&gt;="&amp;INT($AG$1),#REF!,
 "&lt;="&amp;INT($AH$1)
)</f>
        <v>#REF!</v>
      </c>
      <c r="AF56" s="1" t="e">
        <f t="shared" si="16"/>
        <v>#REF!</v>
      </c>
      <c r="AG56" s="9" t="e">
        <f t="shared" si="17"/>
        <v>#REF!</v>
      </c>
      <c r="AH56" s="10" t="e">
        <f t="shared" si="18"/>
        <v>#REF!</v>
      </c>
      <c r="AI56" s="1" t="e">
        <f>SUMIFS(#REF!,#REF!,
 $A56,#REF!,
 "&gt;="&amp;INT($AK$1),#REF!,
 "&lt;="&amp;INT($AL$1)
)</f>
        <v>#REF!</v>
      </c>
      <c r="AJ56" s="1" t="e">
        <f t="shared" si="19"/>
        <v>#REF!</v>
      </c>
      <c r="AK56" s="9" t="e">
        <f t="shared" si="20"/>
        <v>#REF!</v>
      </c>
      <c r="AL56" s="10" t="e">
        <f t="shared" si="21"/>
        <v>#REF!</v>
      </c>
      <c r="AM56" s="1" t="e">
        <f>SUMIFS(#REF!,#REF!,
 $A56,#REF!,
 "&gt;="&amp;INT($AO$1),#REF!,
 "&lt;="&amp;INT($AP$1)
)</f>
        <v>#REF!</v>
      </c>
      <c r="AN56" s="1" t="e">
        <f t="shared" si="22"/>
        <v>#REF!</v>
      </c>
      <c r="AO56" s="9" t="e">
        <f t="shared" si="23"/>
        <v>#REF!</v>
      </c>
      <c r="AP56" s="10" t="e">
        <f t="shared" si="24"/>
        <v>#REF!</v>
      </c>
      <c r="AQ56" s="1" t="e">
        <f>SUMIFS(#REF!,#REF!,
 $A56,#REF!,
 "&gt;="&amp;INT($AS$1),#REF!,
 "&lt;="&amp;INT($AT$1)
)</f>
        <v>#REF!</v>
      </c>
      <c r="AR56" s="1" t="e">
        <f t="shared" si="25"/>
        <v>#REF!</v>
      </c>
      <c r="AS56" s="9" t="e">
        <f t="shared" si="26"/>
        <v>#REF!</v>
      </c>
      <c r="AT56" s="10" t="e">
        <f t="shared" si="27"/>
        <v>#REF!</v>
      </c>
      <c r="AU56" s="1" t="e">
        <f>SUMIFS(#REF!,#REF!,
 $A56,#REF!,
 "&gt;="&amp;INT($AW$1),#REF!,
 "&lt;="&amp;INT($AX$1)
)</f>
        <v>#REF!</v>
      </c>
      <c r="AV56" s="1" t="e">
        <f t="shared" si="28"/>
        <v>#REF!</v>
      </c>
      <c r="AW56" s="9" t="e">
        <f t="shared" si="29"/>
        <v>#REF!</v>
      </c>
      <c r="AX56" s="10" t="e">
        <f t="shared" si="30"/>
        <v>#REF!</v>
      </c>
    </row>
    <row r="57" spans="1:50" x14ac:dyDescent="0.25">
      <c r="A57" s="5">
        <v>208001</v>
      </c>
      <c r="B57" s="6" t="s">
        <v>54</v>
      </c>
      <c r="C57" s="1" t="e">
        <f>SUMIFS(#REF!,#REF!,
 $A57,#REF!,
 "&gt;="&amp;INT($E$1),#REF!,
 "&lt;"&amp;INT($F$1+1)
)</f>
        <v>#REF!</v>
      </c>
      <c r="D57" s="1" t="str">
        <f>""</f>
        <v/>
      </c>
      <c r="F57" s="2"/>
      <c r="G57" s="1" t="e">
        <f>SUMIFS(#REF!,#REF!,
 $A57,#REF!,
 "&gt;="&amp;INT($I$1),#REF!,
 "&lt;"&amp;INT($J$1+1)
)</f>
        <v>#REF!</v>
      </c>
      <c r="H57" s="1" t="e">
        <f t="shared" si="0"/>
        <v>#REF!</v>
      </c>
      <c r="I57" s="1"/>
      <c r="J57" s="2"/>
      <c r="K57" s="1" t="e">
        <f>SUMIFS(#REF!,#REF!,
 $A57,#REF!,
 "&gt;="&amp;INT($M$1),#REF!,
 "&lt;"&amp;INT($N$1+1)
)</f>
        <v>#REF!</v>
      </c>
      <c r="L57" s="1" t="e">
        <f t="shared" si="1"/>
        <v>#REF!</v>
      </c>
      <c r="M57" s="9" t="e">
        <f t="shared" si="2"/>
        <v>#REF!</v>
      </c>
      <c r="N57" s="10" t="e">
        <f t="shared" si="3"/>
        <v>#REF!</v>
      </c>
      <c r="O57" s="1" t="e">
        <f>SUMIFS(#REF!,#REF!,
 $A57,#REF!,
 "&gt;="&amp;INT($Q$1),#REF!,
 "&lt;="&amp;INT($R$1)
)</f>
        <v>#REF!</v>
      </c>
      <c r="P57" s="1" t="e">
        <f t="shared" si="4"/>
        <v>#REF!</v>
      </c>
      <c r="Q57" s="9" t="e">
        <f t="shared" si="5"/>
        <v>#REF!</v>
      </c>
      <c r="R57" s="10" t="e">
        <f t="shared" si="6"/>
        <v>#REF!</v>
      </c>
      <c r="S57" s="1" t="e">
        <f>SUMIFS(#REF!,#REF!,
 $A57,#REF!,
 "&gt;="&amp;INT($U$1),#REF!,
 "&lt;="&amp;INT($V$1)
)</f>
        <v>#REF!</v>
      </c>
      <c r="T57" s="1" t="e">
        <f t="shared" si="7"/>
        <v>#REF!</v>
      </c>
      <c r="U57" s="9" t="e">
        <f t="shared" si="8"/>
        <v>#REF!</v>
      </c>
      <c r="V57" s="10" t="e">
        <f t="shared" si="9"/>
        <v>#REF!</v>
      </c>
      <c r="W57" s="1" t="e">
        <f>SUMIFS(#REF!,#REF!,
 $A57,#REF!,
 "&gt;="&amp;INT($Y$1),#REF!,
 "&lt;="&amp;INT($Z$1)
)</f>
        <v>#REF!</v>
      </c>
      <c r="X57" s="1" t="e">
        <f t="shared" si="10"/>
        <v>#REF!</v>
      </c>
      <c r="Y57" s="9" t="e">
        <f t="shared" si="11"/>
        <v>#REF!</v>
      </c>
      <c r="Z57" s="10" t="e">
        <f t="shared" si="12"/>
        <v>#REF!</v>
      </c>
      <c r="AA57" s="1" t="e">
        <f>SUMIFS(#REF!,#REF!,
 $A57,#REF!,
 "&gt;="&amp;INT($AC$1),#REF!,
 "&lt;="&amp;INT($AD$1)
)</f>
        <v>#REF!</v>
      </c>
      <c r="AB57" s="1" t="e">
        <f t="shared" si="13"/>
        <v>#REF!</v>
      </c>
      <c r="AC57" s="9" t="e">
        <f t="shared" si="14"/>
        <v>#REF!</v>
      </c>
      <c r="AD57" s="10" t="e">
        <f t="shared" si="15"/>
        <v>#REF!</v>
      </c>
      <c r="AE57" s="1" t="e">
        <f>SUMIFS(#REF!,#REF!,
 $A57,#REF!,
 "&gt;="&amp;INT($AG$1),#REF!,
 "&lt;="&amp;INT($AH$1)
)</f>
        <v>#REF!</v>
      </c>
      <c r="AF57" s="1" t="e">
        <f t="shared" si="16"/>
        <v>#REF!</v>
      </c>
      <c r="AG57" s="9" t="e">
        <f t="shared" si="17"/>
        <v>#REF!</v>
      </c>
      <c r="AH57" s="10" t="e">
        <f t="shared" si="18"/>
        <v>#REF!</v>
      </c>
      <c r="AI57" s="1" t="e">
        <f>SUMIFS(#REF!,#REF!,
 $A57,#REF!,
 "&gt;="&amp;INT($AK$1),#REF!,
 "&lt;="&amp;INT($AL$1)
)</f>
        <v>#REF!</v>
      </c>
      <c r="AJ57" s="1" t="e">
        <f t="shared" si="19"/>
        <v>#REF!</v>
      </c>
      <c r="AK57" s="9" t="e">
        <f t="shared" si="20"/>
        <v>#REF!</v>
      </c>
      <c r="AL57" s="10" t="e">
        <f t="shared" si="21"/>
        <v>#REF!</v>
      </c>
      <c r="AM57" s="1" t="e">
        <f>SUMIFS(#REF!,#REF!,
 $A57,#REF!,
 "&gt;="&amp;INT($AO$1),#REF!,
 "&lt;="&amp;INT($AP$1)
)</f>
        <v>#REF!</v>
      </c>
      <c r="AN57" s="1" t="e">
        <f t="shared" si="22"/>
        <v>#REF!</v>
      </c>
      <c r="AO57" s="9" t="e">
        <f t="shared" si="23"/>
        <v>#REF!</v>
      </c>
      <c r="AP57" s="10" t="e">
        <f t="shared" si="24"/>
        <v>#REF!</v>
      </c>
      <c r="AQ57" s="1" t="e">
        <f>SUMIFS(#REF!,#REF!,
 $A57,#REF!,
 "&gt;="&amp;INT($AS$1),#REF!,
 "&lt;="&amp;INT($AT$1)
)</f>
        <v>#REF!</v>
      </c>
      <c r="AR57" s="1" t="e">
        <f t="shared" si="25"/>
        <v>#REF!</v>
      </c>
      <c r="AS57" s="9" t="e">
        <f t="shared" si="26"/>
        <v>#REF!</v>
      </c>
      <c r="AT57" s="10" t="e">
        <f t="shared" si="27"/>
        <v>#REF!</v>
      </c>
      <c r="AU57" s="1" t="e">
        <f>SUMIFS(#REF!,#REF!,
 $A57,#REF!,
 "&gt;="&amp;INT($AW$1),#REF!,
 "&lt;="&amp;INT($AX$1)
)</f>
        <v>#REF!</v>
      </c>
      <c r="AV57" s="1" t="e">
        <f t="shared" si="28"/>
        <v>#REF!</v>
      </c>
      <c r="AW57" s="9" t="e">
        <f t="shared" si="29"/>
        <v>#REF!</v>
      </c>
      <c r="AX57" s="10" t="e">
        <f t="shared" si="30"/>
        <v>#REF!</v>
      </c>
    </row>
    <row r="58" spans="1:50" x14ac:dyDescent="0.25">
      <c r="A58" s="5">
        <v>208002</v>
      </c>
      <c r="B58" s="6" t="s">
        <v>55</v>
      </c>
      <c r="C58" s="1" t="e">
        <f>SUMIFS(#REF!,#REF!,
 $A58,#REF!,
 "&gt;="&amp;INT($E$1),#REF!,
 "&lt;"&amp;INT($F$1+1)
)</f>
        <v>#REF!</v>
      </c>
      <c r="D58" s="1" t="str">
        <f>""</f>
        <v/>
      </c>
      <c r="F58" s="2"/>
      <c r="G58" s="1" t="e">
        <f>SUMIFS(#REF!,#REF!,
 $A58,#REF!,
 "&gt;="&amp;INT($I$1),#REF!,
 "&lt;"&amp;INT($J$1+1)
)</f>
        <v>#REF!</v>
      </c>
      <c r="H58" s="1" t="e">
        <f t="shared" si="0"/>
        <v>#REF!</v>
      </c>
      <c r="I58" s="1"/>
      <c r="J58" s="2"/>
      <c r="K58" s="1" t="e">
        <f>SUMIFS(#REF!,#REF!,
 $A58,#REF!,
 "&gt;="&amp;INT($M$1),#REF!,
 "&lt;"&amp;INT($N$1+1)
)</f>
        <v>#REF!</v>
      </c>
      <c r="L58" s="1" t="e">
        <f t="shared" si="1"/>
        <v>#REF!</v>
      </c>
      <c r="M58" s="9" t="e">
        <f t="shared" si="2"/>
        <v>#REF!</v>
      </c>
      <c r="N58" s="10" t="e">
        <f t="shared" si="3"/>
        <v>#REF!</v>
      </c>
      <c r="O58" s="1" t="e">
        <f>SUMIFS(#REF!,#REF!,
 $A58,#REF!,
 "&gt;="&amp;INT($Q$1),#REF!,
 "&lt;="&amp;INT($R$1)
)</f>
        <v>#REF!</v>
      </c>
      <c r="P58" s="1" t="e">
        <f t="shared" si="4"/>
        <v>#REF!</v>
      </c>
      <c r="Q58" s="9" t="e">
        <f t="shared" si="5"/>
        <v>#REF!</v>
      </c>
      <c r="R58" s="10" t="e">
        <f t="shared" si="6"/>
        <v>#REF!</v>
      </c>
      <c r="S58" s="1" t="e">
        <f>SUMIFS(#REF!,#REF!,
 $A58,#REF!,
 "&gt;="&amp;INT($U$1),#REF!,
 "&lt;="&amp;INT($V$1)
)</f>
        <v>#REF!</v>
      </c>
      <c r="T58" s="1" t="e">
        <f t="shared" si="7"/>
        <v>#REF!</v>
      </c>
      <c r="U58" s="9" t="e">
        <f t="shared" si="8"/>
        <v>#REF!</v>
      </c>
      <c r="V58" s="10" t="e">
        <f t="shared" si="9"/>
        <v>#REF!</v>
      </c>
      <c r="W58" s="1" t="e">
        <f>SUMIFS(#REF!,#REF!,
 $A58,#REF!,
 "&gt;="&amp;INT($Y$1),#REF!,
 "&lt;="&amp;INT($Z$1)
)</f>
        <v>#REF!</v>
      </c>
      <c r="X58" s="1" t="e">
        <f t="shared" si="10"/>
        <v>#REF!</v>
      </c>
      <c r="Y58" s="9" t="e">
        <f t="shared" si="11"/>
        <v>#REF!</v>
      </c>
      <c r="Z58" s="10" t="e">
        <f t="shared" si="12"/>
        <v>#REF!</v>
      </c>
      <c r="AA58" s="1" t="e">
        <f>SUMIFS(#REF!,#REF!,
 $A58,#REF!,
 "&gt;="&amp;INT($AC$1),#REF!,
 "&lt;="&amp;INT($AD$1)
)</f>
        <v>#REF!</v>
      </c>
      <c r="AB58" s="1" t="e">
        <f t="shared" si="13"/>
        <v>#REF!</v>
      </c>
      <c r="AC58" s="9" t="e">
        <f t="shared" si="14"/>
        <v>#REF!</v>
      </c>
      <c r="AD58" s="10" t="e">
        <f t="shared" si="15"/>
        <v>#REF!</v>
      </c>
      <c r="AE58" s="1" t="e">
        <f>SUMIFS(#REF!,#REF!,
 $A58,#REF!,
 "&gt;="&amp;INT($AG$1),#REF!,
 "&lt;="&amp;INT($AH$1)
)</f>
        <v>#REF!</v>
      </c>
      <c r="AF58" s="1" t="e">
        <f t="shared" si="16"/>
        <v>#REF!</v>
      </c>
      <c r="AG58" s="9" t="e">
        <f t="shared" si="17"/>
        <v>#REF!</v>
      </c>
      <c r="AH58" s="10" t="e">
        <f t="shared" si="18"/>
        <v>#REF!</v>
      </c>
      <c r="AI58" s="1" t="e">
        <f>SUMIFS(#REF!,#REF!,
 $A58,#REF!,
 "&gt;="&amp;INT($AK$1),#REF!,
 "&lt;="&amp;INT($AL$1)
)</f>
        <v>#REF!</v>
      </c>
      <c r="AJ58" s="1" t="e">
        <f t="shared" si="19"/>
        <v>#REF!</v>
      </c>
      <c r="AK58" s="9" t="e">
        <f t="shared" si="20"/>
        <v>#REF!</v>
      </c>
      <c r="AL58" s="10" t="e">
        <f t="shared" si="21"/>
        <v>#REF!</v>
      </c>
      <c r="AM58" s="1" t="e">
        <f>SUMIFS(#REF!,#REF!,
 $A58,#REF!,
 "&gt;="&amp;INT($AO$1),#REF!,
 "&lt;="&amp;INT($AP$1)
)</f>
        <v>#REF!</v>
      </c>
      <c r="AN58" s="1" t="e">
        <f t="shared" si="22"/>
        <v>#REF!</v>
      </c>
      <c r="AO58" s="9" t="e">
        <f t="shared" si="23"/>
        <v>#REF!</v>
      </c>
      <c r="AP58" s="10" t="e">
        <f t="shared" si="24"/>
        <v>#REF!</v>
      </c>
      <c r="AQ58" s="1" t="e">
        <f>SUMIFS(#REF!,#REF!,
 $A58,#REF!,
 "&gt;="&amp;INT($AS$1),#REF!,
 "&lt;="&amp;INT($AT$1)
)</f>
        <v>#REF!</v>
      </c>
      <c r="AR58" s="1" t="e">
        <f t="shared" si="25"/>
        <v>#REF!</v>
      </c>
      <c r="AS58" s="9" t="e">
        <f t="shared" si="26"/>
        <v>#REF!</v>
      </c>
      <c r="AT58" s="10" t="e">
        <f t="shared" si="27"/>
        <v>#REF!</v>
      </c>
      <c r="AU58" s="1" t="e">
        <f>SUMIFS(#REF!,#REF!,
 $A58,#REF!,
 "&gt;="&amp;INT($AW$1),#REF!,
 "&lt;="&amp;INT($AX$1)
)</f>
        <v>#REF!</v>
      </c>
      <c r="AV58" s="1" t="e">
        <f t="shared" si="28"/>
        <v>#REF!</v>
      </c>
      <c r="AW58" s="9" t="e">
        <f t="shared" si="29"/>
        <v>#REF!</v>
      </c>
      <c r="AX58" s="10" t="e">
        <f t="shared" si="30"/>
        <v>#REF!</v>
      </c>
    </row>
    <row r="59" spans="1:50" x14ac:dyDescent="0.25">
      <c r="A59" s="5">
        <v>208003</v>
      </c>
      <c r="B59" s="6" t="s">
        <v>56</v>
      </c>
      <c r="C59" s="1" t="e">
        <f>SUMIFS(#REF!,#REF!,
 $A59,#REF!,
 "&gt;="&amp;INT($E$1),#REF!,
 "&lt;"&amp;INT($F$1+1)
)</f>
        <v>#REF!</v>
      </c>
      <c r="D59" s="1" t="str">
        <f>""</f>
        <v/>
      </c>
      <c r="F59" s="2"/>
      <c r="G59" s="1" t="e">
        <f>SUMIFS(#REF!,#REF!,
 $A59,#REF!,
 "&gt;="&amp;INT($I$1),#REF!,
 "&lt;"&amp;INT($J$1+1)
)</f>
        <v>#REF!</v>
      </c>
      <c r="H59" s="1" t="e">
        <f t="shared" si="0"/>
        <v>#REF!</v>
      </c>
      <c r="I59" s="1"/>
      <c r="J59" s="2"/>
      <c r="K59" s="1" t="e">
        <f>SUMIFS(#REF!,#REF!,
 $A59,#REF!,
 "&gt;="&amp;INT($M$1),#REF!,
 "&lt;"&amp;INT($N$1+1)
)</f>
        <v>#REF!</v>
      </c>
      <c r="L59" s="1" t="e">
        <f t="shared" si="1"/>
        <v>#REF!</v>
      </c>
      <c r="M59" s="9" t="e">
        <f t="shared" si="2"/>
        <v>#REF!</v>
      </c>
      <c r="N59" s="10" t="e">
        <f t="shared" si="3"/>
        <v>#REF!</v>
      </c>
      <c r="O59" s="1" t="e">
        <f>SUMIFS(#REF!,#REF!,
 $A59,#REF!,
 "&gt;="&amp;INT($Q$1),#REF!,
 "&lt;="&amp;INT($R$1)
)</f>
        <v>#REF!</v>
      </c>
      <c r="P59" s="1" t="e">
        <f t="shared" si="4"/>
        <v>#REF!</v>
      </c>
      <c r="Q59" s="9" t="e">
        <f t="shared" si="5"/>
        <v>#REF!</v>
      </c>
      <c r="R59" s="10" t="e">
        <f t="shared" si="6"/>
        <v>#REF!</v>
      </c>
      <c r="S59" s="1" t="e">
        <f>SUMIFS(#REF!,#REF!,
 $A59,#REF!,
 "&gt;="&amp;INT($U$1),#REF!,
 "&lt;="&amp;INT($V$1)
)</f>
        <v>#REF!</v>
      </c>
      <c r="T59" s="1" t="e">
        <f t="shared" si="7"/>
        <v>#REF!</v>
      </c>
      <c r="U59" s="9" t="e">
        <f t="shared" si="8"/>
        <v>#REF!</v>
      </c>
      <c r="V59" s="10" t="e">
        <f t="shared" si="9"/>
        <v>#REF!</v>
      </c>
      <c r="W59" s="1" t="e">
        <f>SUMIFS(#REF!,#REF!,
 $A59,#REF!,
 "&gt;="&amp;INT($Y$1),#REF!,
 "&lt;="&amp;INT($Z$1)
)</f>
        <v>#REF!</v>
      </c>
      <c r="X59" s="1" t="e">
        <f t="shared" si="10"/>
        <v>#REF!</v>
      </c>
      <c r="Y59" s="9" t="e">
        <f t="shared" si="11"/>
        <v>#REF!</v>
      </c>
      <c r="Z59" s="10" t="e">
        <f t="shared" si="12"/>
        <v>#REF!</v>
      </c>
      <c r="AA59" s="1" t="e">
        <f>SUMIFS(#REF!,#REF!,
 $A59,#REF!,
 "&gt;="&amp;INT($AC$1),#REF!,
 "&lt;="&amp;INT($AD$1)
)</f>
        <v>#REF!</v>
      </c>
      <c r="AB59" s="1" t="e">
        <f t="shared" si="13"/>
        <v>#REF!</v>
      </c>
      <c r="AC59" s="9" t="e">
        <f t="shared" si="14"/>
        <v>#REF!</v>
      </c>
      <c r="AD59" s="10" t="e">
        <f t="shared" si="15"/>
        <v>#REF!</v>
      </c>
      <c r="AE59" s="1" t="e">
        <f>SUMIFS(#REF!,#REF!,
 $A59,#REF!,
 "&gt;="&amp;INT($AG$1),#REF!,
 "&lt;="&amp;INT($AH$1)
)</f>
        <v>#REF!</v>
      </c>
      <c r="AF59" s="1" t="e">
        <f t="shared" si="16"/>
        <v>#REF!</v>
      </c>
      <c r="AG59" s="9" t="e">
        <f t="shared" si="17"/>
        <v>#REF!</v>
      </c>
      <c r="AH59" s="10" t="e">
        <f t="shared" si="18"/>
        <v>#REF!</v>
      </c>
      <c r="AI59" s="1" t="e">
        <f>SUMIFS(#REF!,#REF!,
 $A59,#REF!,
 "&gt;="&amp;INT($AK$1),#REF!,
 "&lt;="&amp;INT($AL$1)
)</f>
        <v>#REF!</v>
      </c>
      <c r="AJ59" s="1" t="e">
        <f t="shared" si="19"/>
        <v>#REF!</v>
      </c>
      <c r="AK59" s="9" t="e">
        <f t="shared" si="20"/>
        <v>#REF!</v>
      </c>
      <c r="AL59" s="10" t="e">
        <f t="shared" si="21"/>
        <v>#REF!</v>
      </c>
      <c r="AM59" s="1" t="e">
        <f>SUMIFS(#REF!,#REF!,
 $A59,#REF!,
 "&gt;="&amp;INT($AO$1),#REF!,
 "&lt;="&amp;INT($AP$1)
)</f>
        <v>#REF!</v>
      </c>
      <c r="AN59" s="1" t="e">
        <f t="shared" si="22"/>
        <v>#REF!</v>
      </c>
      <c r="AO59" s="9" t="e">
        <f t="shared" si="23"/>
        <v>#REF!</v>
      </c>
      <c r="AP59" s="10" t="e">
        <f t="shared" si="24"/>
        <v>#REF!</v>
      </c>
      <c r="AQ59" s="1" t="e">
        <f>SUMIFS(#REF!,#REF!,
 $A59,#REF!,
 "&gt;="&amp;INT($AS$1),#REF!,
 "&lt;="&amp;INT($AT$1)
)</f>
        <v>#REF!</v>
      </c>
      <c r="AR59" s="1" t="e">
        <f t="shared" si="25"/>
        <v>#REF!</v>
      </c>
      <c r="AS59" s="9" t="e">
        <f t="shared" si="26"/>
        <v>#REF!</v>
      </c>
      <c r="AT59" s="10" t="e">
        <f t="shared" si="27"/>
        <v>#REF!</v>
      </c>
      <c r="AU59" s="1" t="e">
        <f>SUMIFS(#REF!,#REF!,
 $A59,#REF!,
 "&gt;="&amp;INT($AW$1),#REF!,
 "&lt;="&amp;INT($AX$1)
)</f>
        <v>#REF!</v>
      </c>
      <c r="AV59" s="1" t="e">
        <f t="shared" si="28"/>
        <v>#REF!</v>
      </c>
      <c r="AW59" s="9" t="e">
        <f t="shared" si="29"/>
        <v>#REF!</v>
      </c>
      <c r="AX59" s="10" t="e">
        <f t="shared" si="30"/>
        <v>#REF!</v>
      </c>
    </row>
    <row r="60" spans="1:50" x14ac:dyDescent="0.25">
      <c r="A60" s="5">
        <v>209001</v>
      </c>
      <c r="B60" s="6" t="s">
        <v>57</v>
      </c>
      <c r="C60" s="1" t="e">
        <f>SUMIFS(#REF!,#REF!,
 $A60,#REF!,
 "&gt;="&amp;INT($E$1),#REF!,
 "&lt;"&amp;INT($F$1+1)
)</f>
        <v>#REF!</v>
      </c>
      <c r="D60" s="1" t="str">
        <f>""</f>
        <v/>
      </c>
      <c r="F60" s="2"/>
      <c r="G60" s="1" t="e">
        <f>SUMIFS(#REF!,#REF!,
 $A60,#REF!,
 "&gt;="&amp;INT($I$1),#REF!,
 "&lt;"&amp;INT($J$1+1)
)</f>
        <v>#REF!</v>
      </c>
      <c r="H60" s="1" t="e">
        <f t="shared" si="0"/>
        <v>#REF!</v>
      </c>
      <c r="I60" s="1"/>
      <c r="J60" s="2"/>
      <c r="K60" s="1" t="e">
        <f>SUMIFS(#REF!,#REF!,
 $A60,#REF!,
 "&gt;="&amp;INT($M$1),#REF!,
 "&lt;"&amp;INT($N$1+1)
)</f>
        <v>#REF!</v>
      </c>
      <c r="L60" s="1" t="e">
        <f t="shared" si="1"/>
        <v>#REF!</v>
      </c>
      <c r="M60" s="9" t="e">
        <f t="shared" si="2"/>
        <v>#REF!</v>
      </c>
      <c r="N60" s="10" t="e">
        <f t="shared" si="3"/>
        <v>#REF!</v>
      </c>
      <c r="O60" s="1" t="e">
        <f>SUMIFS(#REF!,#REF!,
 $A60,#REF!,
 "&gt;="&amp;INT($Q$1),#REF!,
 "&lt;="&amp;INT($R$1)
)</f>
        <v>#REF!</v>
      </c>
      <c r="P60" s="1" t="e">
        <f t="shared" si="4"/>
        <v>#REF!</v>
      </c>
      <c r="Q60" s="9" t="e">
        <f t="shared" si="5"/>
        <v>#REF!</v>
      </c>
      <c r="R60" s="10" t="e">
        <f t="shared" si="6"/>
        <v>#REF!</v>
      </c>
      <c r="S60" s="1" t="e">
        <f>SUMIFS(#REF!,#REF!,
 $A60,#REF!,
 "&gt;="&amp;INT($U$1),#REF!,
 "&lt;="&amp;INT($V$1)
)</f>
        <v>#REF!</v>
      </c>
      <c r="T60" s="1" t="e">
        <f t="shared" si="7"/>
        <v>#REF!</v>
      </c>
      <c r="U60" s="9" t="e">
        <f t="shared" si="8"/>
        <v>#REF!</v>
      </c>
      <c r="V60" s="10" t="e">
        <f t="shared" si="9"/>
        <v>#REF!</v>
      </c>
      <c r="W60" s="1" t="e">
        <f>SUMIFS(#REF!,#REF!,
 $A60,#REF!,
 "&gt;="&amp;INT($Y$1),#REF!,
 "&lt;="&amp;INT($Z$1)
)</f>
        <v>#REF!</v>
      </c>
      <c r="X60" s="1" t="e">
        <f t="shared" si="10"/>
        <v>#REF!</v>
      </c>
      <c r="Y60" s="9" t="e">
        <f t="shared" si="11"/>
        <v>#REF!</v>
      </c>
      <c r="Z60" s="10" t="e">
        <f t="shared" si="12"/>
        <v>#REF!</v>
      </c>
      <c r="AA60" s="1" t="e">
        <f>SUMIFS(#REF!,#REF!,
 $A60,#REF!,
 "&gt;="&amp;INT($AC$1),#REF!,
 "&lt;="&amp;INT($AD$1)
)</f>
        <v>#REF!</v>
      </c>
      <c r="AB60" s="1" t="e">
        <f t="shared" si="13"/>
        <v>#REF!</v>
      </c>
      <c r="AC60" s="9" t="e">
        <f t="shared" si="14"/>
        <v>#REF!</v>
      </c>
      <c r="AD60" s="10" t="e">
        <f t="shared" si="15"/>
        <v>#REF!</v>
      </c>
      <c r="AE60" s="1" t="e">
        <f>SUMIFS(#REF!,#REF!,
 $A60,#REF!,
 "&gt;="&amp;INT($AG$1),#REF!,
 "&lt;="&amp;INT($AH$1)
)</f>
        <v>#REF!</v>
      </c>
      <c r="AF60" s="1" t="e">
        <f t="shared" si="16"/>
        <v>#REF!</v>
      </c>
      <c r="AG60" s="9" t="e">
        <f t="shared" si="17"/>
        <v>#REF!</v>
      </c>
      <c r="AH60" s="10" t="e">
        <f t="shared" si="18"/>
        <v>#REF!</v>
      </c>
      <c r="AI60" s="1" t="e">
        <f>SUMIFS(#REF!,#REF!,
 $A60,#REF!,
 "&gt;="&amp;INT($AK$1),#REF!,
 "&lt;="&amp;INT($AL$1)
)</f>
        <v>#REF!</v>
      </c>
      <c r="AJ60" s="1" t="e">
        <f t="shared" si="19"/>
        <v>#REF!</v>
      </c>
      <c r="AK60" s="9" t="e">
        <f t="shared" si="20"/>
        <v>#REF!</v>
      </c>
      <c r="AL60" s="10" t="e">
        <f t="shared" si="21"/>
        <v>#REF!</v>
      </c>
      <c r="AM60" s="1" t="e">
        <f>SUMIFS(#REF!,#REF!,
 $A60,#REF!,
 "&gt;="&amp;INT($AO$1),#REF!,
 "&lt;="&amp;INT($AP$1)
)</f>
        <v>#REF!</v>
      </c>
      <c r="AN60" s="1" t="e">
        <f t="shared" si="22"/>
        <v>#REF!</v>
      </c>
      <c r="AO60" s="9" t="e">
        <f t="shared" si="23"/>
        <v>#REF!</v>
      </c>
      <c r="AP60" s="10" t="e">
        <f t="shared" si="24"/>
        <v>#REF!</v>
      </c>
      <c r="AQ60" s="1" t="e">
        <f>SUMIFS(#REF!,#REF!,
 $A60,#REF!,
 "&gt;="&amp;INT($AS$1),#REF!,
 "&lt;="&amp;INT($AT$1)
)</f>
        <v>#REF!</v>
      </c>
      <c r="AR60" s="1" t="e">
        <f t="shared" si="25"/>
        <v>#REF!</v>
      </c>
      <c r="AS60" s="9" t="e">
        <f t="shared" si="26"/>
        <v>#REF!</v>
      </c>
      <c r="AT60" s="10" t="e">
        <f t="shared" si="27"/>
        <v>#REF!</v>
      </c>
      <c r="AU60" s="1" t="e">
        <f>SUMIFS(#REF!,#REF!,
 $A60,#REF!,
 "&gt;="&amp;INT($AW$1),#REF!,
 "&lt;="&amp;INT($AX$1)
)</f>
        <v>#REF!</v>
      </c>
      <c r="AV60" s="1" t="e">
        <f t="shared" si="28"/>
        <v>#REF!</v>
      </c>
      <c r="AW60" s="9" t="e">
        <f t="shared" si="29"/>
        <v>#REF!</v>
      </c>
      <c r="AX60" s="10" t="e">
        <f t="shared" si="30"/>
        <v>#REF!</v>
      </c>
    </row>
    <row r="61" spans="1:50" x14ac:dyDescent="0.25">
      <c r="A61" s="5">
        <v>209002</v>
      </c>
      <c r="B61" s="6" t="s">
        <v>58</v>
      </c>
      <c r="C61" s="1" t="e">
        <f>SUMIFS(#REF!,#REF!,
 $A61,#REF!,
 "&gt;="&amp;INT($E$1),#REF!,
 "&lt;"&amp;INT($F$1+1)
)</f>
        <v>#REF!</v>
      </c>
      <c r="D61" s="1" t="str">
        <f>""</f>
        <v/>
      </c>
      <c r="F61" s="2"/>
      <c r="G61" s="1" t="e">
        <f>SUMIFS(#REF!,#REF!,
 $A61,#REF!,
 "&gt;="&amp;INT($I$1),#REF!,
 "&lt;"&amp;INT($J$1+1)
)</f>
        <v>#REF!</v>
      </c>
      <c r="H61" s="1" t="e">
        <f t="shared" si="0"/>
        <v>#REF!</v>
      </c>
      <c r="I61" s="1"/>
      <c r="J61" s="2"/>
      <c r="K61" s="1" t="e">
        <f>SUMIFS(#REF!,#REF!,
 $A61,#REF!,
 "&gt;="&amp;INT($M$1),#REF!,
 "&lt;"&amp;INT($N$1+1)
)</f>
        <v>#REF!</v>
      </c>
      <c r="L61" s="1" t="e">
        <f t="shared" si="1"/>
        <v>#REF!</v>
      </c>
      <c r="M61" s="9" t="e">
        <f t="shared" si="2"/>
        <v>#REF!</v>
      </c>
      <c r="N61" s="10" t="e">
        <f t="shared" si="3"/>
        <v>#REF!</v>
      </c>
      <c r="O61" s="1" t="e">
        <f>SUMIFS(#REF!,#REF!,
 $A61,#REF!,
 "&gt;="&amp;INT($Q$1),#REF!,
 "&lt;="&amp;INT($R$1)
)</f>
        <v>#REF!</v>
      </c>
      <c r="P61" s="1" t="e">
        <f t="shared" si="4"/>
        <v>#REF!</v>
      </c>
      <c r="Q61" s="9" t="e">
        <f t="shared" si="5"/>
        <v>#REF!</v>
      </c>
      <c r="R61" s="10" t="e">
        <f t="shared" si="6"/>
        <v>#REF!</v>
      </c>
      <c r="S61" s="1" t="e">
        <f>SUMIFS(#REF!,#REF!,
 $A61,#REF!,
 "&gt;="&amp;INT($U$1),#REF!,
 "&lt;="&amp;INT($V$1)
)</f>
        <v>#REF!</v>
      </c>
      <c r="T61" s="1" t="e">
        <f t="shared" si="7"/>
        <v>#REF!</v>
      </c>
      <c r="U61" s="9" t="e">
        <f t="shared" si="8"/>
        <v>#REF!</v>
      </c>
      <c r="V61" s="10" t="e">
        <f t="shared" si="9"/>
        <v>#REF!</v>
      </c>
      <c r="W61" s="1" t="e">
        <f>SUMIFS(#REF!,#REF!,
 $A61,#REF!,
 "&gt;="&amp;INT($Y$1),#REF!,
 "&lt;="&amp;INT($Z$1)
)</f>
        <v>#REF!</v>
      </c>
      <c r="X61" s="1" t="e">
        <f t="shared" si="10"/>
        <v>#REF!</v>
      </c>
      <c r="Y61" s="9" t="e">
        <f t="shared" si="11"/>
        <v>#REF!</v>
      </c>
      <c r="Z61" s="10" t="e">
        <f t="shared" si="12"/>
        <v>#REF!</v>
      </c>
      <c r="AA61" s="1" t="e">
        <f>SUMIFS(#REF!,#REF!,
 $A61,#REF!,
 "&gt;="&amp;INT($AC$1),#REF!,
 "&lt;="&amp;INT($AD$1)
)</f>
        <v>#REF!</v>
      </c>
      <c r="AB61" s="1" t="e">
        <f t="shared" si="13"/>
        <v>#REF!</v>
      </c>
      <c r="AC61" s="9" t="e">
        <f t="shared" si="14"/>
        <v>#REF!</v>
      </c>
      <c r="AD61" s="10" t="e">
        <f t="shared" si="15"/>
        <v>#REF!</v>
      </c>
      <c r="AE61" s="1" t="e">
        <f>SUMIFS(#REF!,#REF!,
 $A61,#REF!,
 "&gt;="&amp;INT($AG$1),#REF!,
 "&lt;="&amp;INT($AH$1)
)</f>
        <v>#REF!</v>
      </c>
      <c r="AF61" s="1" t="e">
        <f t="shared" si="16"/>
        <v>#REF!</v>
      </c>
      <c r="AG61" s="9" t="e">
        <f t="shared" si="17"/>
        <v>#REF!</v>
      </c>
      <c r="AH61" s="10" t="e">
        <f t="shared" si="18"/>
        <v>#REF!</v>
      </c>
      <c r="AI61" s="1" t="e">
        <f>SUMIFS(#REF!,#REF!,
 $A61,#REF!,
 "&gt;="&amp;INT($AK$1),#REF!,
 "&lt;="&amp;INT($AL$1)
)</f>
        <v>#REF!</v>
      </c>
      <c r="AJ61" s="1" t="e">
        <f t="shared" si="19"/>
        <v>#REF!</v>
      </c>
      <c r="AK61" s="9" t="e">
        <f t="shared" si="20"/>
        <v>#REF!</v>
      </c>
      <c r="AL61" s="10" t="e">
        <f t="shared" si="21"/>
        <v>#REF!</v>
      </c>
      <c r="AM61" s="1" t="e">
        <f>SUMIFS(#REF!,#REF!,
 $A61,#REF!,
 "&gt;="&amp;INT($AO$1),#REF!,
 "&lt;="&amp;INT($AP$1)
)</f>
        <v>#REF!</v>
      </c>
      <c r="AN61" s="1" t="e">
        <f t="shared" si="22"/>
        <v>#REF!</v>
      </c>
      <c r="AO61" s="9" t="e">
        <f t="shared" si="23"/>
        <v>#REF!</v>
      </c>
      <c r="AP61" s="10" t="e">
        <f t="shared" si="24"/>
        <v>#REF!</v>
      </c>
      <c r="AQ61" s="1" t="e">
        <f>SUMIFS(#REF!,#REF!,
 $A61,#REF!,
 "&gt;="&amp;INT($AS$1),#REF!,
 "&lt;="&amp;INT($AT$1)
)</f>
        <v>#REF!</v>
      </c>
      <c r="AR61" s="1" t="e">
        <f t="shared" si="25"/>
        <v>#REF!</v>
      </c>
      <c r="AS61" s="9" t="e">
        <f t="shared" si="26"/>
        <v>#REF!</v>
      </c>
      <c r="AT61" s="10" t="e">
        <f t="shared" si="27"/>
        <v>#REF!</v>
      </c>
      <c r="AU61" s="1" t="e">
        <f>SUMIFS(#REF!,#REF!,
 $A61,#REF!,
 "&gt;="&amp;INT($AW$1),#REF!,
 "&lt;="&amp;INT($AX$1)
)</f>
        <v>#REF!</v>
      </c>
      <c r="AV61" s="1" t="e">
        <f t="shared" si="28"/>
        <v>#REF!</v>
      </c>
      <c r="AW61" s="9" t="e">
        <f t="shared" si="29"/>
        <v>#REF!</v>
      </c>
      <c r="AX61" s="10" t="e">
        <f t="shared" si="30"/>
        <v>#REF!</v>
      </c>
    </row>
    <row r="62" spans="1:50" x14ac:dyDescent="0.25">
      <c r="A62" s="5">
        <v>209003</v>
      </c>
      <c r="B62" s="6" t="s">
        <v>59</v>
      </c>
      <c r="C62" s="1" t="e">
        <f>SUMIFS(#REF!,#REF!,
 $A62,#REF!,
 "&gt;="&amp;INT($E$1),#REF!,
 "&lt;"&amp;INT($F$1+1)
)</f>
        <v>#REF!</v>
      </c>
      <c r="D62" s="1" t="str">
        <f>""</f>
        <v/>
      </c>
      <c r="F62" s="2"/>
      <c r="G62" s="1" t="e">
        <f>SUMIFS(#REF!,#REF!,
 $A62,#REF!,
 "&gt;="&amp;INT($I$1),#REF!,
 "&lt;"&amp;INT($J$1+1)
)</f>
        <v>#REF!</v>
      </c>
      <c r="H62" s="1" t="e">
        <f t="shared" si="0"/>
        <v>#REF!</v>
      </c>
      <c r="I62" s="1"/>
      <c r="J62" s="2"/>
      <c r="K62" s="1" t="e">
        <f>SUMIFS(#REF!,#REF!,
 $A62,#REF!,
 "&gt;="&amp;INT($M$1),#REF!,
 "&lt;"&amp;INT($N$1+1)
)</f>
        <v>#REF!</v>
      </c>
      <c r="L62" s="1" t="e">
        <f t="shared" si="1"/>
        <v>#REF!</v>
      </c>
      <c r="M62" s="9" t="e">
        <f t="shared" si="2"/>
        <v>#REF!</v>
      </c>
      <c r="N62" s="10" t="e">
        <f t="shared" si="3"/>
        <v>#REF!</v>
      </c>
      <c r="O62" s="1" t="e">
        <f>SUMIFS(#REF!,#REF!,
 $A62,#REF!,
 "&gt;="&amp;INT($Q$1),#REF!,
 "&lt;="&amp;INT($R$1)
)</f>
        <v>#REF!</v>
      </c>
      <c r="P62" s="1" t="e">
        <f t="shared" si="4"/>
        <v>#REF!</v>
      </c>
      <c r="Q62" s="9" t="e">
        <f t="shared" si="5"/>
        <v>#REF!</v>
      </c>
      <c r="R62" s="10" t="e">
        <f t="shared" si="6"/>
        <v>#REF!</v>
      </c>
      <c r="S62" s="1" t="e">
        <f>SUMIFS(#REF!,#REF!,
 $A62,#REF!,
 "&gt;="&amp;INT($U$1),#REF!,
 "&lt;="&amp;INT($V$1)
)</f>
        <v>#REF!</v>
      </c>
      <c r="T62" s="1" t="e">
        <f t="shared" si="7"/>
        <v>#REF!</v>
      </c>
      <c r="U62" s="9" t="e">
        <f t="shared" si="8"/>
        <v>#REF!</v>
      </c>
      <c r="V62" s="10" t="e">
        <f t="shared" si="9"/>
        <v>#REF!</v>
      </c>
      <c r="W62" s="1" t="e">
        <f>SUMIFS(#REF!,#REF!,
 $A62,#REF!,
 "&gt;="&amp;INT($Y$1),#REF!,
 "&lt;="&amp;INT($Z$1)
)</f>
        <v>#REF!</v>
      </c>
      <c r="X62" s="1" t="e">
        <f t="shared" si="10"/>
        <v>#REF!</v>
      </c>
      <c r="Y62" s="9" t="e">
        <f t="shared" si="11"/>
        <v>#REF!</v>
      </c>
      <c r="Z62" s="10" t="e">
        <f t="shared" si="12"/>
        <v>#REF!</v>
      </c>
      <c r="AA62" s="1" t="e">
        <f>SUMIFS(#REF!,#REF!,
 $A62,#REF!,
 "&gt;="&amp;INT($AC$1),#REF!,
 "&lt;="&amp;INT($AD$1)
)</f>
        <v>#REF!</v>
      </c>
      <c r="AB62" s="1" t="e">
        <f t="shared" si="13"/>
        <v>#REF!</v>
      </c>
      <c r="AC62" s="9" t="e">
        <f t="shared" si="14"/>
        <v>#REF!</v>
      </c>
      <c r="AD62" s="10" t="e">
        <f t="shared" si="15"/>
        <v>#REF!</v>
      </c>
      <c r="AE62" s="1" t="e">
        <f>SUMIFS(#REF!,#REF!,
 $A62,#REF!,
 "&gt;="&amp;INT($AG$1),#REF!,
 "&lt;="&amp;INT($AH$1)
)</f>
        <v>#REF!</v>
      </c>
      <c r="AF62" s="1" t="e">
        <f t="shared" si="16"/>
        <v>#REF!</v>
      </c>
      <c r="AG62" s="9" t="e">
        <f t="shared" si="17"/>
        <v>#REF!</v>
      </c>
      <c r="AH62" s="10" t="e">
        <f t="shared" si="18"/>
        <v>#REF!</v>
      </c>
      <c r="AI62" s="1" t="e">
        <f>SUMIFS(#REF!,#REF!,
 $A62,#REF!,
 "&gt;="&amp;INT($AK$1),#REF!,
 "&lt;="&amp;INT($AL$1)
)</f>
        <v>#REF!</v>
      </c>
      <c r="AJ62" s="1" t="e">
        <f t="shared" si="19"/>
        <v>#REF!</v>
      </c>
      <c r="AK62" s="9" t="e">
        <f t="shared" si="20"/>
        <v>#REF!</v>
      </c>
      <c r="AL62" s="10" t="e">
        <f t="shared" si="21"/>
        <v>#REF!</v>
      </c>
      <c r="AM62" s="1" t="e">
        <f>SUMIFS(#REF!,#REF!,
 $A62,#REF!,
 "&gt;="&amp;INT($AO$1),#REF!,
 "&lt;="&amp;INT($AP$1)
)</f>
        <v>#REF!</v>
      </c>
      <c r="AN62" s="1" t="e">
        <f t="shared" si="22"/>
        <v>#REF!</v>
      </c>
      <c r="AO62" s="9" t="e">
        <f t="shared" si="23"/>
        <v>#REF!</v>
      </c>
      <c r="AP62" s="10" t="e">
        <f t="shared" si="24"/>
        <v>#REF!</v>
      </c>
      <c r="AQ62" s="1" t="e">
        <f>SUMIFS(#REF!,#REF!,
 $A62,#REF!,
 "&gt;="&amp;INT($AS$1),#REF!,
 "&lt;="&amp;INT($AT$1)
)</f>
        <v>#REF!</v>
      </c>
      <c r="AR62" s="1" t="e">
        <f t="shared" si="25"/>
        <v>#REF!</v>
      </c>
      <c r="AS62" s="9" t="e">
        <f t="shared" si="26"/>
        <v>#REF!</v>
      </c>
      <c r="AT62" s="10" t="e">
        <f t="shared" si="27"/>
        <v>#REF!</v>
      </c>
      <c r="AU62" s="1" t="e">
        <f>SUMIFS(#REF!,#REF!,
 $A62,#REF!,
 "&gt;="&amp;INT($AW$1),#REF!,
 "&lt;="&amp;INT($AX$1)
)</f>
        <v>#REF!</v>
      </c>
      <c r="AV62" s="1" t="e">
        <f t="shared" si="28"/>
        <v>#REF!</v>
      </c>
      <c r="AW62" s="9" t="e">
        <f t="shared" si="29"/>
        <v>#REF!</v>
      </c>
      <c r="AX62" s="10" t="e">
        <f t="shared" si="30"/>
        <v>#REF!</v>
      </c>
    </row>
    <row r="63" spans="1:50" x14ac:dyDescent="0.25">
      <c r="A63" s="5">
        <v>209004</v>
      </c>
      <c r="B63" s="6" t="s">
        <v>60</v>
      </c>
      <c r="C63" s="1" t="e">
        <f>SUMIFS(#REF!,#REF!,
 $A63,#REF!,
 "&gt;="&amp;INT($E$1),#REF!,
 "&lt;"&amp;INT($F$1+1)
)</f>
        <v>#REF!</v>
      </c>
      <c r="D63" s="1" t="str">
        <f>""</f>
        <v/>
      </c>
      <c r="F63" s="2"/>
      <c r="G63" s="1" t="e">
        <f>SUMIFS(#REF!,#REF!,
 $A63,#REF!,
 "&gt;="&amp;INT($I$1),#REF!,
 "&lt;"&amp;INT($J$1+1)
)</f>
        <v>#REF!</v>
      </c>
      <c r="H63" s="1" t="e">
        <f t="shared" si="0"/>
        <v>#REF!</v>
      </c>
      <c r="I63" s="1"/>
      <c r="J63" s="2"/>
      <c r="K63" s="1" t="e">
        <f>SUMIFS(#REF!,#REF!,
 $A63,#REF!,
 "&gt;="&amp;INT($M$1),#REF!,
 "&lt;"&amp;INT($N$1+1)
)</f>
        <v>#REF!</v>
      </c>
      <c r="L63" s="1" t="e">
        <f t="shared" si="1"/>
        <v>#REF!</v>
      </c>
      <c r="M63" s="9" t="e">
        <f t="shared" si="2"/>
        <v>#REF!</v>
      </c>
      <c r="N63" s="10" t="e">
        <f t="shared" si="3"/>
        <v>#REF!</v>
      </c>
      <c r="O63" s="1" t="e">
        <f>SUMIFS(#REF!,#REF!,
 $A63,#REF!,
 "&gt;="&amp;INT($Q$1),#REF!,
 "&lt;="&amp;INT($R$1)
)</f>
        <v>#REF!</v>
      </c>
      <c r="P63" s="1" t="e">
        <f t="shared" si="4"/>
        <v>#REF!</v>
      </c>
      <c r="Q63" s="9" t="e">
        <f t="shared" si="5"/>
        <v>#REF!</v>
      </c>
      <c r="R63" s="10" t="e">
        <f t="shared" si="6"/>
        <v>#REF!</v>
      </c>
      <c r="S63" s="1" t="e">
        <f>SUMIFS(#REF!,#REF!,
 $A63,#REF!,
 "&gt;="&amp;INT($U$1),#REF!,
 "&lt;="&amp;INT($V$1)
)</f>
        <v>#REF!</v>
      </c>
      <c r="T63" s="1" t="e">
        <f t="shared" si="7"/>
        <v>#REF!</v>
      </c>
      <c r="U63" s="9" t="e">
        <f t="shared" si="8"/>
        <v>#REF!</v>
      </c>
      <c r="V63" s="10" t="e">
        <f t="shared" si="9"/>
        <v>#REF!</v>
      </c>
      <c r="W63" s="1" t="e">
        <f>SUMIFS(#REF!,#REF!,
 $A63,#REF!,
 "&gt;="&amp;INT($Y$1),#REF!,
 "&lt;="&amp;INT($Z$1)
)</f>
        <v>#REF!</v>
      </c>
      <c r="X63" s="1" t="e">
        <f t="shared" si="10"/>
        <v>#REF!</v>
      </c>
      <c r="Y63" s="9" t="e">
        <f t="shared" si="11"/>
        <v>#REF!</v>
      </c>
      <c r="Z63" s="10" t="e">
        <f t="shared" si="12"/>
        <v>#REF!</v>
      </c>
      <c r="AA63" s="1" t="e">
        <f>SUMIFS(#REF!,#REF!,
 $A63,#REF!,
 "&gt;="&amp;INT($AC$1),#REF!,
 "&lt;="&amp;INT($AD$1)
)</f>
        <v>#REF!</v>
      </c>
      <c r="AB63" s="1" t="e">
        <f t="shared" si="13"/>
        <v>#REF!</v>
      </c>
      <c r="AC63" s="9" t="e">
        <f t="shared" si="14"/>
        <v>#REF!</v>
      </c>
      <c r="AD63" s="10" t="e">
        <f t="shared" si="15"/>
        <v>#REF!</v>
      </c>
      <c r="AE63" s="1" t="e">
        <f>SUMIFS(#REF!,#REF!,
 $A63,#REF!,
 "&gt;="&amp;INT($AG$1),#REF!,
 "&lt;="&amp;INT($AH$1)
)</f>
        <v>#REF!</v>
      </c>
      <c r="AF63" s="1" t="e">
        <f t="shared" si="16"/>
        <v>#REF!</v>
      </c>
      <c r="AG63" s="9" t="e">
        <f t="shared" si="17"/>
        <v>#REF!</v>
      </c>
      <c r="AH63" s="10" t="e">
        <f t="shared" si="18"/>
        <v>#REF!</v>
      </c>
      <c r="AI63" s="1" t="e">
        <f>SUMIFS(#REF!,#REF!,
 $A63,#REF!,
 "&gt;="&amp;INT($AK$1),#REF!,
 "&lt;="&amp;INT($AL$1)
)</f>
        <v>#REF!</v>
      </c>
      <c r="AJ63" s="1" t="e">
        <f t="shared" si="19"/>
        <v>#REF!</v>
      </c>
      <c r="AK63" s="9" t="e">
        <f t="shared" si="20"/>
        <v>#REF!</v>
      </c>
      <c r="AL63" s="10" t="e">
        <f t="shared" si="21"/>
        <v>#REF!</v>
      </c>
      <c r="AM63" s="1" t="e">
        <f>SUMIFS(#REF!,#REF!,
 $A63,#REF!,
 "&gt;="&amp;INT($AO$1),#REF!,
 "&lt;="&amp;INT($AP$1)
)</f>
        <v>#REF!</v>
      </c>
      <c r="AN63" s="1" t="e">
        <f t="shared" si="22"/>
        <v>#REF!</v>
      </c>
      <c r="AO63" s="9" t="e">
        <f t="shared" si="23"/>
        <v>#REF!</v>
      </c>
      <c r="AP63" s="10" t="e">
        <f t="shared" si="24"/>
        <v>#REF!</v>
      </c>
      <c r="AQ63" s="1" t="e">
        <f>SUMIFS(#REF!,#REF!,
 $A63,#REF!,
 "&gt;="&amp;INT($AS$1),#REF!,
 "&lt;="&amp;INT($AT$1)
)</f>
        <v>#REF!</v>
      </c>
      <c r="AR63" s="1" t="e">
        <f t="shared" si="25"/>
        <v>#REF!</v>
      </c>
      <c r="AS63" s="9" t="e">
        <f t="shared" si="26"/>
        <v>#REF!</v>
      </c>
      <c r="AT63" s="10" t="e">
        <f t="shared" si="27"/>
        <v>#REF!</v>
      </c>
      <c r="AU63" s="1" t="e">
        <f>SUMIFS(#REF!,#REF!,
 $A63,#REF!,
 "&gt;="&amp;INT($AW$1),#REF!,
 "&lt;="&amp;INT($AX$1)
)</f>
        <v>#REF!</v>
      </c>
      <c r="AV63" s="1" t="e">
        <f t="shared" si="28"/>
        <v>#REF!</v>
      </c>
      <c r="AW63" s="9" t="e">
        <f t="shared" si="29"/>
        <v>#REF!</v>
      </c>
      <c r="AX63" s="10" t="e">
        <f t="shared" si="30"/>
        <v>#REF!</v>
      </c>
    </row>
    <row r="64" spans="1:50" x14ac:dyDescent="0.25">
      <c r="A64" s="5">
        <v>209006</v>
      </c>
      <c r="B64" s="6" t="s">
        <v>61</v>
      </c>
      <c r="C64" s="1" t="e">
        <f>SUMIFS(#REF!,#REF!,
 $A64,#REF!,
 "&gt;="&amp;INT($E$1),#REF!,
 "&lt;"&amp;INT($F$1+1)
)</f>
        <v>#REF!</v>
      </c>
      <c r="D64" s="1" t="str">
        <f>""</f>
        <v/>
      </c>
      <c r="F64" s="2"/>
      <c r="G64" s="1" t="e">
        <f>SUMIFS(#REF!,#REF!,
 $A64,#REF!,
 "&gt;="&amp;INT($I$1),#REF!,
 "&lt;"&amp;INT($J$1+1)
)</f>
        <v>#REF!</v>
      </c>
      <c r="H64" s="1" t="e">
        <f t="shared" si="0"/>
        <v>#REF!</v>
      </c>
      <c r="I64" s="1"/>
      <c r="J64" s="2"/>
      <c r="K64" s="1" t="e">
        <f>SUMIFS(#REF!,#REF!,
 $A64,#REF!,
 "&gt;="&amp;INT($M$1),#REF!,
 "&lt;"&amp;INT($N$1+1)
)</f>
        <v>#REF!</v>
      </c>
      <c r="L64" s="1" t="e">
        <f t="shared" si="1"/>
        <v>#REF!</v>
      </c>
      <c r="M64" s="9" t="e">
        <f t="shared" si="2"/>
        <v>#REF!</v>
      </c>
      <c r="N64" s="10" t="e">
        <f t="shared" si="3"/>
        <v>#REF!</v>
      </c>
      <c r="O64" s="1" t="e">
        <f>SUMIFS(#REF!,#REF!,
 $A64,#REF!,
 "&gt;="&amp;INT($Q$1),#REF!,
 "&lt;="&amp;INT($R$1)
)</f>
        <v>#REF!</v>
      </c>
      <c r="P64" s="1" t="e">
        <f t="shared" si="4"/>
        <v>#REF!</v>
      </c>
      <c r="Q64" s="9" t="e">
        <f t="shared" si="5"/>
        <v>#REF!</v>
      </c>
      <c r="R64" s="10" t="e">
        <f t="shared" si="6"/>
        <v>#REF!</v>
      </c>
      <c r="S64" s="1" t="e">
        <f>SUMIFS(#REF!,#REF!,
 $A64,#REF!,
 "&gt;="&amp;INT($U$1),#REF!,
 "&lt;="&amp;INT($V$1)
)</f>
        <v>#REF!</v>
      </c>
      <c r="T64" s="1" t="e">
        <f t="shared" si="7"/>
        <v>#REF!</v>
      </c>
      <c r="U64" s="9" t="e">
        <f t="shared" si="8"/>
        <v>#REF!</v>
      </c>
      <c r="V64" s="10" t="e">
        <f t="shared" si="9"/>
        <v>#REF!</v>
      </c>
      <c r="W64" s="1" t="e">
        <f>SUMIFS(#REF!,#REF!,
 $A64,#REF!,
 "&gt;="&amp;INT($Y$1),#REF!,
 "&lt;="&amp;INT($Z$1)
)</f>
        <v>#REF!</v>
      </c>
      <c r="X64" s="1" t="e">
        <f t="shared" si="10"/>
        <v>#REF!</v>
      </c>
      <c r="Y64" s="9" t="e">
        <f t="shared" si="11"/>
        <v>#REF!</v>
      </c>
      <c r="Z64" s="10" t="e">
        <f t="shared" si="12"/>
        <v>#REF!</v>
      </c>
      <c r="AA64" s="1" t="e">
        <f>SUMIFS(#REF!,#REF!,
 $A64,#REF!,
 "&gt;="&amp;INT($AC$1),#REF!,
 "&lt;="&amp;INT($AD$1)
)</f>
        <v>#REF!</v>
      </c>
      <c r="AB64" s="1" t="e">
        <f t="shared" si="13"/>
        <v>#REF!</v>
      </c>
      <c r="AC64" s="9" t="e">
        <f t="shared" si="14"/>
        <v>#REF!</v>
      </c>
      <c r="AD64" s="10" t="e">
        <f t="shared" si="15"/>
        <v>#REF!</v>
      </c>
      <c r="AE64" s="1" t="e">
        <f>SUMIFS(#REF!,#REF!,
 $A64,#REF!,
 "&gt;="&amp;INT($AG$1),#REF!,
 "&lt;="&amp;INT($AH$1)
)</f>
        <v>#REF!</v>
      </c>
      <c r="AF64" s="1" t="e">
        <f t="shared" si="16"/>
        <v>#REF!</v>
      </c>
      <c r="AG64" s="9" t="e">
        <f t="shared" si="17"/>
        <v>#REF!</v>
      </c>
      <c r="AH64" s="10" t="e">
        <f t="shared" si="18"/>
        <v>#REF!</v>
      </c>
      <c r="AI64" s="1" t="e">
        <f>SUMIFS(#REF!,#REF!,
 $A64,#REF!,
 "&gt;="&amp;INT($AK$1),#REF!,
 "&lt;="&amp;INT($AL$1)
)</f>
        <v>#REF!</v>
      </c>
      <c r="AJ64" s="1" t="e">
        <f t="shared" si="19"/>
        <v>#REF!</v>
      </c>
      <c r="AK64" s="9" t="e">
        <f t="shared" si="20"/>
        <v>#REF!</v>
      </c>
      <c r="AL64" s="10" t="e">
        <f t="shared" si="21"/>
        <v>#REF!</v>
      </c>
      <c r="AM64" s="1" t="e">
        <f>SUMIFS(#REF!,#REF!,
 $A64,#REF!,
 "&gt;="&amp;INT($AO$1),#REF!,
 "&lt;="&amp;INT($AP$1)
)</f>
        <v>#REF!</v>
      </c>
      <c r="AN64" s="1" t="e">
        <f t="shared" si="22"/>
        <v>#REF!</v>
      </c>
      <c r="AO64" s="9" t="e">
        <f t="shared" si="23"/>
        <v>#REF!</v>
      </c>
      <c r="AP64" s="10" t="e">
        <f t="shared" si="24"/>
        <v>#REF!</v>
      </c>
      <c r="AQ64" s="1" t="e">
        <f>SUMIFS(#REF!,#REF!,
 $A64,#REF!,
 "&gt;="&amp;INT($AS$1),#REF!,
 "&lt;="&amp;INT($AT$1)
)</f>
        <v>#REF!</v>
      </c>
      <c r="AR64" s="1" t="e">
        <f t="shared" si="25"/>
        <v>#REF!</v>
      </c>
      <c r="AS64" s="9" t="e">
        <f t="shared" si="26"/>
        <v>#REF!</v>
      </c>
      <c r="AT64" s="10" t="e">
        <f t="shared" si="27"/>
        <v>#REF!</v>
      </c>
      <c r="AU64" s="1" t="e">
        <f>SUMIFS(#REF!,#REF!,
 $A64,#REF!,
 "&gt;="&amp;INT($AW$1),#REF!,
 "&lt;="&amp;INT($AX$1)
)</f>
        <v>#REF!</v>
      </c>
      <c r="AV64" s="1" t="e">
        <f t="shared" si="28"/>
        <v>#REF!</v>
      </c>
      <c r="AW64" s="9" t="e">
        <f t="shared" si="29"/>
        <v>#REF!</v>
      </c>
      <c r="AX64" s="10" t="e">
        <f t="shared" si="30"/>
        <v>#REF!</v>
      </c>
    </row>
    <row r="65" spans="1:50" x14ac:dyDescent="0.25">
      <c r="A65" s="5">
        <v>209007</v>
      </c>
      <c r="B65" s="6" t="s">
        <v>62</v>
      </c>
      <c r="C65" s="1" t="e">
        <f>SUMIFS(#REF!,#REF!,
 $A65,#REF!,
 "&gt;="&amp;INT($E$1),#REF!,
 "&lt;"&amp;INT($F$1+1)
)</f>
        <v>#REF!</v>
      </c>
      <c r="D65" s="1" t="str">
        <f>""</f>
        <v/>
      </c>
      <c r="F65" s="2"/>
      <c r="G65" s="1" t="e">
        <f>SUMIFS(#REF!,#REF!,
 $A65,#REF!,
 "&gt;="&amp;INT($I$1),#REF!,
 "&lt;"&amp;INT($J$1+1)
)</f>
        <v>#REF!</v>
      </c>
      <c r="H65" s="1" t="e">
        <f t="shared" si="0"/>
        <v>#REF!</v>
      </c>
      <c r="I65" s="1"/>
      <c r="J65" s="2"/>
      <c r="K65" s="1" t="e">
        <f>SUMIFS(#REF!,#REF!,
 $A65,#REF!,
 "&gt;="&amp;INT($M$1),#REF!,
 "&lt;"&amp;INT($N$1+1)
)</f>
        <v>#REF!</v>
      </c>
      <c r="L65" s="1" t="e">
        <f t="shared" si="1"/>
        <v>#REF!</v>
      </c>
      <c r="M65" s="9" t="e">
        <f t="shared" si="2"/>
        <v>#REF!</v>
      </c>
      <c r="N65" s="10" t="e">
        <f t="shared" si="3"/>
        <v>#REF!</v>
      </c>
      <c r="O65" s="1" t="e">
        <f>SUMIFS(#REF!,#REF!,
 $A65,#REF!,
 "&gt;="&amp;INT($Q$1),#REF!,
 "&lt;="&amp;INT($R$1)
)</f>
        <v>#REF!</v>
      </c>
      <c r="P65" s="1" t="e">
        <f t="shared" si="4"/>
        <v>#REF!</v>
      </c>
      <c r="Q65" s="9" t="e">
        <f t="shared" si="5"/>
        <v>#REF!</v>
      </c>
      <c r="R65" s="10" t="e">
        <f t="shared" si="6"/>
        <v>#REF!</v>
      </c>
      <c r="S65" s="1" t="e">
        <f>SUMIFS(#REF!,#REF!,
 $A65,#REF!,
 "&gt;="&amp;INT($U$1),#REF!,
 "&lt;="&amp;INT($V$1)
)</f>
        <v>#REF!</v>
      </c>
      <c r="T65" s="1" t="e">
        <f t="shared" si="7"/>
        <v>#REF!</v>
      </c>
      <c r="U65" s="9" t="e">
        <f t="shared" si="8"/>
        <v>#REF!</v>
      </c>
      <c r="V65" s="10" t="e">
        <f t="shared" si="9"/>
        <v>#REF!</v>
      </c>
      <c r="W65" s="1" t="e">
        <f>SUMIFS(#REF!,#REF!,
 $A65,#REF!,
 "&gt;="&amp;INT($Y$1),#REF!,
 "&lt;="&amp;INT($Z$1)
)</f>
        <v>#REF!</v>
      </c>
      <c r="X65" s="1" t="e">
        <f t="shared" si="10"/>
        <v>#REF!</v>
      </c>
      <c r="Y65" s="9" t="e">
        <f t="shared" si="11"/>
        <v>#REF!</v>
      </c>
      <c r="Z65" s="10" t="e">
        <f t="shared" si="12"/>
        <v>#REF!</v>
      </c>
      <c r="AA65" s="1" t="e">
        <f>SUMIFS(#REF!,#REF!,
 $A65,#REF!,
 "&gt;="&amp;INT($AC$1),#REF!,
 "&lt;="&amp;INT($AD$1)
)</f>
        <v>#REF!</v>
      </c>
      <c r="AB65" s="1" t="e">
        <f t="shared" si="13"/>
        <v>#REF!</v>
      </c>
      <c r="AC65" s="9" t="e">
        <f t="shared" si="14"/>
        <v>#REF!</v>
      </c>
      <c r="AD65" s="10" t="e">
        <f t="shared" si="15"/>
        <v>#REF!</v>
      </c>
      <c r="AE65" s="1" t="e">
        <f>SUMIFS(#REF!,#REF!,
 $A65,#REF!,
 "&gt;="&amp;INT($AG$1),#REF!,
 "&lt;="&amp;INT($AH$1)
)</f>
        <v>#REF!</v>
      </c>
      <c r="AF65" s="1" t="e">
        <f t="shared" si="16"/>
        <v>#REF!</v>
      </c>
      <c r="AG65" s="9" t="e">
        <f t="shared" si="17"/>
        <v>#REF!</v>
      </c>
      <c r="AH65" s="10" t="e">
        <f t="shared" si="18"/>
        <v>#REF!</v>
      </c>
      <c r="AI65" s="1" t="e">
        <f>SUMIFS(#REF!,#REF!,
 $A65,#REF!,
 "&gt;="&amp;INT($AK$1),#REF!,
 "&lt;="&amp;INT($AL$1)
)</f>
        <v>#REF!</v>
      </c>
      <c r="AJ65" s="1" t="e">
        <f t="shared" si="19"/>
        <v>#REF!</v>
      </c>
      <c r="AK65" s="9" t="e">
        <f t="shared" si="20"/>
        <v>#REF!</v>
      </c>
      <c r="AL65" s="10" t="e">
        <f t="shared" si="21"/>
        <v>#REF!</v>
      </c>
      <c r="AM65" s="1" t="e">
        <f>SUMIFS(#REF!,#REF!,
 $A65,#REF!,
 "&gt;="&amp;INT($AO$1),#REF!,
 "&lt;="&amp;INT($AP$1)
)</f>
        <v>#REF!</v>
      </c>
      <c r="AN65" s="1" t="e">
        <f t="shared" si="22"/>
        <v>#REF!</v>
      </c>
      <c r="AO65" s="9" t="e">
        <f t="shared" si="23"/>
        <v>#REF!</v>
      </c>
      <c r="AP65" s="10" t="e">
        <f t="shared" si="24"/>
        <v>#REF!</v>
      </c>
      <c r="AQ65" s="1" t="e">
        <f>SUMIFS(#REF!,#REF!,
 $A65,#REF!,
 "&gt;="&amp;INT($AS$1),#REF!,
 "&lt;="&amp;INT($AT$1)
)</f>
        <v>#REF!</v>
      </c>
      <c r="AR65" s="1" t="e">
        <f t="shared" si="25"/>
        <v>#REF!</v>
      </c>
      <c r="AS65" s="9" t="e">
        <f t="shared" si="26"/>
        <v>#REF!</v>
      </c>
      <c r="AT65" s="10" t="e">
        <f t="shared" si="27"/>
        <v>#REF!</v>
      </c>
      <c r="AU65" s="1" t="e">
        <f>SUMIFS(#REF!,#REF!,
 $A65,#REF!,
 "&gt;="&amp;INT($AW$1),#REF!,
 "&lt;="&amp;INT($AX$1)
)</f>
        <v>#REF!</v>
      </c>
      <c r="AV65" s="1" t="e">
        <f t="shared" si="28"/>
        <v>#REF!</v>
      </c>
      <c r="AW65" s="9" t="e">
        <f t="shared" si="29"/>
        <v>#REF!</v>
      </c>
      <c r="AX65" s="10" t="e">
        <f t="shared" si="30"/>
        <v>#REF!</v>
      </c>
    </row>
    <row r="66" spans="1:50" x14ac:dyDescent="0.25">
      <c r="A66" s="5">
        <v>209008</v>
      </c>
      <c r="B66" s="6" t="s">
        <v>63</v>
      </c>
      <c r="C66" s="1" t="e">
        <f>SUMIFS(#REF!,#REF!,
 $A66,#REF!,
 "&gt;="&amp;INT($E$1),#REF!,
 "&lt;"&amp;INT($F$1+1)
)</f>
        <v>#REF!</v>
      </c>
      <c r="D66" s="1" t="str">
        <f>""</f>
        <v/>
      </c>
      <c r="F66" s="2"/>
      <c r="G66" s="1" t="e">
        <f>SUMIFS(#REF!,#REF!,
 $A66,#REF!,
 "&gt;="&amp;INT($I$1),#REF!,
 "&lt;"&amp;INT($J$1+1)
)</f>
        <v>#REF!</v>
      </c>
      <c r="H66" s="1" t="e">
        <f t="shared" si="0"/>
        <v>#REF!</v>
      </c>
      <c r="I66" s="1"/>
      <c r="J66" s="2"/>
      <c r="K66" s="1" t="e">
        <f>SUMIFS(#REF!,#REF!,
 $A66,#REF!,
 "&gt;="&amp;INT($M$1),#REF!,
 "&lt;"&amp;INT($N$1+1)
)</f>
        <v>#REF!</v>
      </c>
      <c r="L66" s="1" t="e">
        <f t="shared" si="1"/>
        <v>#REF!</v>
      </c>
      <c r="M66" s="9" t="e">
        <f t="shared" si="2"/>
        <v>#REF!</v>
      </c>
      <c r="N66" s="10" t="e">
        <f t="shared" si="3"/>
        <v>#REF!</v>
      </c>
      <c r="O66" s="1" t="e">
        <f>SUMIFS(#REF!,#REF!,
 $A66,#REF!,
 "&gt;="&amp;INT($Q$1),#REF!,
 "&lt;="&amp;INT($R$1)
)</f>
        <v>#REF!</v>
      </c>
      <c r="P66" s="1" t="e">
        <f t="shared" si="4"/>
        <v>#REF!</v>
      </c>
      <c r="Q66" s="9" t="e">
        <f t="shared" si="5"/>
        <v>#REF!</v>
      </c>
      <c r="R66" s="10" t="e">
        <f t="shared" si="6"/>
        <v>#REF!</v>
      </c>
      <c r="S66" s="1" t="e">
        <f>SUMIFS(#REF!,#REF!,
 $A66,#REF!,
 "&gt;="&amp;INT($U$1),#REF!,
 "&lt;="&amp;INT($V$1)
)</f>
        <v>#REF!</v>
      </c>
      <c r="T66" s="1" t="e">
        <f t="shared" si="7"/>
        <v>#REF!</v>
      </c>
      <c r="U66" s="9" t="e">
        <f t="shared" si="8"/>
        <v>#REF!</v>
      </c>
      <c r="V66" s="10" t="e">
        <f t="shared" si="9"/>
        <v>#REF!</v>
      </c>
      <c r="W66" s="1" t="e">
        <f>SUMIFS(#REF!,#REF!,
 $A66,#REF!,
 "&gt;="&amp;INT($Y$1),#REF!,
 "&lt;="&amp;INT($Z$1)
)</f>
        <v>#REF!</v>
      </c>
      <c r="X66" s="1" t="e">
        <f t="shared" si="10"/>
        <v>#REF!</v>
      </c>
      <c r="Y66" s="9" t="e">
        <f t="shared" si="11"/>
        <v>#REF!</v>
      </c>
      <c r="Z66" s="10" t="e">
        <f t="shared" si="12"/>
        <v>#REF!</v>
      </c>
      <c r="AA66" s="1" t="e">
        <f>SUMIFS(#REF!,#REF!,
 $A66,#REF!,
 "&gt;="&amp;INT($AC$1),#REF!,
 "&lt;="&amp;INT($AD$1)
)</f>
        <v>#REF!</v>
      </c>
      <c r="AB66" s="1" t="e">
        <f t="shared" si="13"/>
        <v>#REF!</v>
      </c>
      <c r="AC66" s="9" t="e">
        <f t="shared" si="14"/>
        <v>#REF!</v>
      </c>
      <c r="AD66" s="10" t="e">
        <f t="shared" si="15"/>
        <v>#REF!</v>
      </c>
      <c r="AE66" s="1" t="e">
        <f>SUMIFS(#REF!,#REF!,
 $A66,#REF!,
 "&gt;="&amp;INT($AG$1),#REF!,
 "&lt;="&amp;INT($AH$1)
)</f>
        <v>#REF!</v>
      </c>
      <c r="AF66" s="1" t="e">
        <f t="shared" si="16"/>
        <v>#REF!</v>
      </c>
      <c r="AG66" s="9" t="e">
        <f t="shared" si="17"/>
        <v>#REF!</v>
      </c>
      <c r="AH66" s="10" t="e">
        <f t="shared" si="18"/>
        <v>#REF!</v>
      </c>
      <c r="AI66" s="1" t="e">
        <f>SUMIFS(#REF!,#REF!,
 $A66,#REF!,
 "&gt;="&amp;INT($AK$1),#REF!,
 "&lt;="&amp;INT($AL$1)
)</f>
        <v>#REF!</v>
      </c>
      <c r="AJ66" s="1" t="e">
        <f t="shared" si="19"/>
        <v>#REF!</v>
      </c>
      <c r="AK66" s="9" t="e">
        <f t="shared" si="20"/>
        <v>#REF!</v>
      </c>
      <c r="AL66" s="10" t="e">
        <f t="shared" si="21"/>
        <v>#REF!</v>
      </c>
      <c r="AM66" s="1" t="e">
        <f>SUMIFS(#REF!,#REF!,
 $A66,#REF!,
 "&gt;="&amp;INT($AO$1),#REF!,
 "&lt;="&amp;INT($AP$1)
)</f>
        <v>#REF!</v>
      </c>
      <c r="AN66" s="1" t="e">
        <f t="shared" si="22"/>
        <v>#REF!</v>
      </c>
      <c r="AO66" s="9" t="e">
        <f t="shared" si="23"/>
        <v>#REF!</v>
      </c>
      <c r="AP66" s="10" t="e">
        <f t="shared" si="24"/>
        <v>#REF!</v>
      </c>
      <c r="AQ66" s="1" t="e">
        <f>SUMIFS(#REF!,#REF!,
 $A66,#REF!,
 "&gt;="&amp;INT($AS$1),#REF!,
 "&lt;="&amp;INT($AT$1)
)</f>
        <v>#REF!</v>
      </c>
      <c r="AR66" s="1" t="e">
        <f t="shared" si="25"/>
        <v>#REF!</v>
      </c>
      <c r="AS66" s="9" t="e">
        <f t="shared" si="26"/>
        <v>#REF!</v>
      </c>
      <c r="AT66" s="10" t="e">
        <f t="shared" si="27"/>
        <v>#REF!</v>
      </c>
      <c r="AU66" s="1" t="e">
        <f>SUMIFS(#REF!,#REF!,
 $A66,#REF!,
 "&gt;="&amp;INT($AW$1),#REF!,
 "&lt;="&amp;INT($AX$1)
)</f>
        <v>#REF!</v>
      </c>
      <c r="AV66" s="1" t="e">
        <f t="shared" si="28"/>
        <v>#REF!</v>
      </c>
      <c r="AW66" s="9" t="e">
        <f t="shared" si="29"/>
        <v>#REF!</v>
      </c>
      <c r="AX66" s="10" t="e">
        <f t="shared" si="30"/>
        <v>#REF!</v>
      </c>
    </row>
    <row r="67" spans="1:50" x14ac:dyDescent="0.25">
      <c r="A67" s="5">
        <v>209012</v>
      </c>
      <c r="B67" s="6" t="s">
        <v>64</v>
      </c>
      <c r="C67" s="1" t="e">
        <f>SUMIFS(#REF!,#REF!,
 $A67,#REF!,
 "&gt;="&amp;INT($E$1),#REF!,
 "&lt;"&amp;INT($F$1+1)
)</f>
        <v>#REF!</v>
      </c>
      <c r="D67" s="1" t="str">
        <f>""</f>
        <v/>
      </c>
      <c r="F67" s="2"/>
      <c r="G67" s="1" t="e">
        <f>SUMIFS(#REF!,#REF!,
 $A67,#REF!,
 "&gt;="&amp;INT($I$1),#REF!,
 "&lt;"&amp;INT($J$1+1)
)</f>
        <v>#REF!</v>
      </c>
      <c r="H67" s="1" t="e">
        <f t="shared" si="0"/>
        <v>#REF!</v>
      </c>
      <c r="I67" s="1"/>
      <c r="J67" s="2"/>
      <c r="K67" s="1" t="e">
        <f>SUMIFS(#REF!,#REF!,
 $A67,#REF!,
 "&gt;="&amp;INT($M$1),#REF!,
 "&lt;"&amp;INT($N$1+1)
)</f>
        <v>#REF!</v>
      </c>
      <c r="L67" s="1" t="e">
        <f t="shared" si="1"/>
        <v>#REF!</v>
      </c>
      <c r="M67" s="9" t="e">
        <f t="shared" si="2"/>
        <v>#REF!</v>
      </c>
      <c r="N67" s="10" t="e">
        <f t="shared" si="3"/>
        <v>#REF!</v>
      </c>
      <c r="O67" s="1" t="e">
        <f>SUMIFS(#REF!,#REF!,
 $A67,#REF!,
 "&gt;="&amp;INT($Q$1),#REF!,
 "&lt;="&amp;INT($R$1)
)</f>
        <v>#REF!</v>
      </c>
      <c r="P67" s="1" t="e">
        <f t="shared" si="4"/>
        <v>#REF!</v>
      </c>
      <c r="Q67" s="9" t="e">
        <f t="shared" si="5"/>
        <v>#REF!</v>
      </c>
      <c r="R67" s="10" t="e">
        <f t="shared" si="6"/>
        <v>#REF!</v>
      </c>
      <c r="S67" s="1" t="e">
        <f>SUMIFS(#REF!,#REF!,
 $A67,#REF!,
 "&gt;="&amp;INT($U$1),#REF!,
 "&lt;="&amp;INT($V$1)
)</f>
        <v>#REF!</v>
      </c>
      <c r="T67" s="1" t="e">
        <f t="shared" si="7"/>
        <v>#REF!</v>
      </c>
      <c r="U67" s="9" t="e">
        <f t="shared" si="8"/>
        <v>#REF!</v>
      </c>
      <c r="V67" s="10" t="e">
        <f t="shared" si="9"/>
        <v>#REF!</v>
      </c>
      <c r="W67" s="1" t="e">
        <f>SUMIFS(#REF!,#REF!,
 $A67,#REF!,
 "&gt;="&amp;INT($Y$1),#REF!,
 "&lt;="&amp;INT($Z$1)
)</f>
        <v>#REF!</v>
      </c>
      <c r="X67" s="1" t="e">
        <f t="shared" si="10"/>
        <v>#REF!</v>
      </c>
      <c r="Y67" s="9" t="e">
        <f t="shared" si="11"/>
        <v>#REF!</v>
      </c>
      <c r="Z67" s="10" t="e">
        <f t="shared" si="12"/>
        <v>#REF!</v>
      </c>
      <c r="AA67" s="1" t="e">
        <f>SUMIFS(#REF!,#REF!,
 $A67,#REF!,
 "&gt;="&amp;INT($AC$1),#REF!,
 "&lt;="&amp;INT($AD$1)
)</f>
        <v>#REF!</v>
      </c>
      <c r="AB67" s="1" t="e">
        <f t="shared" si="13"/>
        <v>#REF!</v>
      </c>
      <c r="AC67" s="9" t="e">
        <f t="shared" si="14"/>
        <v>#REF!</v>
      </c>
      <c r="AD67" s="10" t="e">
        <f t="shared" si="15"/>
        <v>#REF!</v>
      </c>
      <c r="AE67" s="1" t="e">
        <f>SUMIFS(#REF!,#REF!,
 $A67,#REF!,
 "&gt;="&amp;INT($AG$1),#REF!,
 "&lt;="&amp;INT($AH$1)
)</f>
        <v>#REF!</v>
      </c>
      <c r="AF67" s="1" t="e">
        <f t="shared" si="16"/>
        <v>#REF!</v>
      </c>
      <c r="AG67" s="9" t="e">
        <f t="shared" si="17"/>
        <v>#REF!</v>
      </c>
      <c r="AH67" s="10" t="e">
        <f t="shared" si="18"/>
        <v>#REF!</v>
      </c>
      <c r="AI67" s="1" t="e">
        <f>SUMIFS(#REF!,#REF!,
 $A67,#REF!,
 "&gt;="&amp;INT($AK$1),#REF!,
 "&lt;="&amp;INT($AL$1)
)</f>
        <v>#REF!</v>
      </c>
      <c r="AJ67" s="1" t="e">
        <f t="shared" si="19"/>
        <v>#REF!</v>
      </c>
      <c r="AK67" s="9" t="e">
        <f t="shared" si="20"/>
        <v>#REF!</v>
      </c>
      <c r="AL67" s="10" t="e">
        <f t="shared" si="21"/>
        <v>#REF!</v>
      </c>
      <c r="AM67" s="1" t="e">
        <f>SUMIFS(#REF!,#REF!,
 $A67,#REF!,
 "&gt;="&amp;INT($AO$1),#REF!,
 "&lt;="&amp;INT($AP$1)
)</f>
        <v>#REF!</v>
      </c>
      <c r="AN67" s="1" t="e">
        <f t="shared" si="22"/>
        <v>#REF!</v>
      </c>
      <c r="AO67" s="9" t="e">
        <f t="shared" si="23"/>
        <v>#REF!</v>
      </c>
      <c r="AP67" s="10" t="e">
        <f t="shared" si="24"/>
        <v>#REF!</v>
      </c>
      <c r="AQ67" s="1" t="e">
        <f>SUMIFS(#REF!,#REF!,
 $A67,#REF!,
 "&gt;="&amp;INT($AS$1),#REF!,
 "&lt;="&amp;INT($AT$1)
)</f>
        <v>#REF!</v>
      </c>
      <c r="AR67" s="1" t="e">
        <f t="shared" si="25"/>
        <v>#REF!</v>
      </c>
      <c r="AS67" s="9" t="e">
        <f t="shared" si="26"/>
        <v>#REF!</v>
      </c>
      <c r="AT67" s="10" t="e">
        <f t="shared" si="27"/>
        <v>#REF!</v>
      </c>
      <c r="AU67" s="1" t="e">
        <f>SUMIFS(#REF!,#REF!,
 $A67,#REF!,
 "&gt;="&amp;INT($AW$1),#REF!,
 "&lt;="&amp;INT($AX$1)
)</f>
        <v>#REF!</v>
      </c>
      <c r="AV67" s="1" t="e">
        <f t="shared" si="28"/>
        <v>#REF!</v>
      </c>
      <c r="AW67" s="9" t="e">
        <f t="shared" si="29"/>
        <v>#REF!</v>
      </c>
      <c r="AX67" s="10" t="e">
        <f t="shared" si="30"/>
        <v>#REF!</v>
      </c>
    </row>
    <row r="68" spans="1:50" x14ac:dyDescent="0.25">
      <c r="A68" s="5">
        <v>209016</v>
      </c>
      <c r="B68" s="6" t="s">
        <v>65</v>
      </c>
      <c r="C68" s="1" t="e">
        <f>SUMIFS(#REF!,#REF!,
 $A68,#REF!,
 "&gt;="&amp;INT($E$1),#REF!,
 "&lt;"&amp;INT($F$1+1)
)</f>
        <v>#REF!</v>
      </c>
      <c r="D68" s="1" t="str">
        <f>""</f>
        <v/>
      </c>
      <c r="F68" s="2"/>
      <c r="G68" s="1" t="e">
        <f>SUMIFS(#REF!,#REF!,
 $A68,#REF!,
 "&gt;="&amp;INT($I$1),#REF!,
 "&lt;"&amp;INT($J$1+1)
)</f>
        <v>#REF!</v>
      </c>
      <c r="H68" s="1" t="e">
        <f t="shared" ref="H68:H131" si="31">IF(OR(ISBLANK(C68),ISBLANK(G68)),"",AVERAGE(C68,G68))</f>
        <v>#REF!</v>
      </c>
      <c r="I68" s="1"/>
      <c r="J68" s="2"/>
      <c r="K68" s="1" t="e">
        <f>SUMIFS(#REF!,#REF!,
 $A68,#REF!,
 "&gt;="&amp;INT($M$1),#REF!,
 "&lt;"&amp;INT($N$1+1)
)</f>
        <v>#REF!</v>
      </c>
      <c r="L68" s="1" t="e">
        <f t="shared" ref="L68:L131" si="32">IF(
    OR(ISBLANK(G68),ISBLANK(K68)),
    "",
    AVERAGE(G68,K68)
)</f>
        <v>#REF!</v>
      </c>
      <c r="M68" s="9" t="e">
        <f t="shared" ref="M68:M131" si="33">IF(
  OR(ISBLANK(L68),ISBLANK(G68),ISBLANK(K68),ISBLANK(C68)),
  "",
  L68 - 1.96*_xlfn.STDEV.S(
    G68-AVERAGE(C68,G68),
    K68-AVERAGE(G68,K68)
  )
)</f>
        <v>#REF!</v>
      </c>
      <c r="N68" s="10" t="e">
        <f t="shared" ref="N68:N131" si="34">IF(
  OR(ISBLANK(L68),ISBLANK(G68),ISBLANK(K68),ISBLANK(C68)),
  "",
  L68 + 1.96*_xlfn.STDEV.S(
    G68-AVERAGE(C68,G68),
    K68-AVERAGE(G68,K68)
  )
)</f>
        <v>#REF!</v>
      </c>
      <c r="O68" s="1" t="e">
        <f>SUMIFS(#REF!,#REF!,
 $A68,#REF!,
 "&gt;="&amp;INT($Q$1),#REF!,
 "&lt;="&amp;INT($R$1)
)</f>
        <v>#REF!</v>
      </c>
      <c r="P68" s="1" t="e">
        <f t="shared" ref="P68:P131" si="35">IF(
    OR(ISBLANK(K68),ISBLANK(O68)),
    "",
    AVERAGE(K68,O68)
)</f>
        <v>#REF!</v>
      </c>
      <c r="Q68" s="9" t="e">
        <f t="shared" ref="Q68:Q131" si="36" xml:space="preserve"> P68 - 1.96*_xlfn.STDEV.S(
  G68-AVERAGE(C68,G68),
  K68-AVERAGE(G68,K68),
  O68-AVERAGE(K68,O68)
)</f>
        <v>#REF!</v>
      </c>
      <c r="R68" s="10" t="e">
        <f t="shared" ref="R68:R131" si="37" xml:space="preserve"> P68 + 1.96*_xlfn.STDEV.S(
  G68-AVERAGE(C68,G68),
  K68-AVERAGE(G68,K68),
  O68-AVERAGE(K68,O68)
)</f>
        <v>#REF!</v>
      </c>
      <c r="S68" s="1" t="e">
        <f>SUMIFS(#REF!,#REF!,
 $A68,#REF!,
 "&gt;="&amp;INT($U$1),#REF!,
 "&lt;="&amp;INT($V$1)
)</f>
        <v>#REF!</v>
      </c>
      <c r="T68" s="1" t="e">
        <f t="shared" ref="T68:T131" si="38">IF(
    OR(ISBLANK(O68),ISBLANK(S68)),
    "",
    ROUND(AVERAGE(O68,S68),0)
)</f>
        <v>#REF!</v>
      </c>
      <c r="U68" s="9" t="e">
        <f t="shared" ref="U68:U131" si="39" xml:space="preserve"> T68 - 1.96*_xlfn.STDEV.S(
  G68-AVERAGE(C68,G68),
  K68-AVERAGE(G68,K68),
  O68-AVERAGE(K68,O68),
  S68-AVERAGE(3,S68)
)</f>
        <v>#REF!</v>
      </c>
      <c r="V68" s="10" t="e">
        <f t="shared" ref="V68:V131" si="40" xml:space="preserve"> T68 + 1.96*_xlfn.STDEV.S(
  G68-AVERAGE(C68,G68),
  K68-AVERAGE(G68,K68),
  O68-AVERAGE(K68,O68),
  S68-AVERAGE(3,S68)
)</f>
        <v>#REF!</v>
      </c>
      <c r="W68" s="1" t="e">
        <f>SUMIFS(#REF!,#REF!,
 $A68,#REF!,
 "&gt;="&amp;INT($Y$1),#REF!,
 "&lt;="&amp;INT($Z$1)
)</f>
        <v>#REF!</v>
      </c>
      <c r="X68" s="1" t="e">
        <f t="shared" ref="X68:X131" si="41">IF(
    OR(ISBLANK(S68),ISBLANK(W68)),
    "",
    ROUND(AVERAGE(S68,W68),0)
)</f>
        <v>#REF!</v>
      </c>
      <c r="Y68" s="9" t="e">
        <f t="shared" ref="Y68:Y131" si="42" xml:space="preserve"> X68 - 1.96*_xlfn.STDEV.S(
  G68-AVERAGE(C68,G68),
  K68-AVERAGE(G68,K68),
  O68-AVERAGE(K68,O68),
  S68-AVERAGE(O68,S68),
  W68-AVERAGE(S68,W68)
)</f>
        <v>#REF!</v>
      </c>
      <c r="Z68" s="10" t="e">
        <f t="shared" ref="Z68:Z131" si="43" xml:space="preserve"> X68 + 1.96*_xlfn.STDEV.S(
  G68-AVERAGE(C68,G68),
  K68-AVERAGE(G68,K68),
  O68-AVERAGE(K68,O68),
  S68-AVERAGE(O68,S68),
  W68-AVERAGE(S68,W68)
)</f>
        <v>#REF!</v>
      </c>
      <c r="AA68" s="1" t="e">
        <f>SUMIFS(#REF!,#REF!,
 $A68,#REF!,
 "&gt;="&amp;INT($AC$1),#REF!,
 "&lt;="&amp;INT($AD$1)
)</f>
        <v>#REF!</v>
      </c>
      <c r="AB68" s="1" t="e">
        <f t="shared" ref="AB68:AB131" si="44">IF(
    OR(ISBLANK(W68),ISBLANK(AA68)),
    "",
    ROUND(AVERAGE(W68,AA68),0)
)</f>
        <v>#REF!</v>
      </c>
      <c r="AC68" s="9" t="e">
        <f t="shared" ref="AC68:AC131" si="45" xml:space="preserve"> AB68 - 1.96*_xlfn.STDEV.S(
  G68-AVERAGE(C68,G68),
  K68-AVERAGE(G68,K68),
  O68-AVERAGE(K68,O68),
  S68-AVERAGE(O68,S68),
  W68-AVERAGE(S68,W68),
  AA68-AVERAGE(W68,AA68)
)</f>
        <v>#REF!</v>
      </c>
      <c r="AD68" s="10" t="e">
        <f t="shared" ref="AD68:AD131" si="46" xml:space="preserve"> AB68 + 1.96*_xlfn.STDEV.S(
  G68-AVERAGE(C68,G68),
  K68-AVERAGE(G68,K68),
  O68-AVERAGE(K68,O68),
  S68-AVERAGE(O68,S68),
  W68-AVERAGE(S68,W68),
  AA68-AVERAGE(W68,AA68)
)</f>
        <v>#REF!</v>
      </c>
      <c r="AE68" s="1" t="e">
        <f>SUMIFS(#REF!,#REF!,
 $A68,#REF!,
 "&gt;="&amp;INT($AG$1),#REF!,
 "&lt;="&amp;INT($AH$1)
)</f>
        <v>#REF!</v>
      </c>
      <c r="AF68" s="1" t="e">
        <f t="shared" ref="AF68:AF131" si="47">IF(
    OR(ISBLANK(AA68),ISBLANK(AE68)),
    "",
    ROUND(AVERAGE(AA68,AE68),0)
)</f>
        <v>#REF!</v>
      </c>
      <c r="AG68" s="9" t="e">
        <f t="shared" ref="AG68:AG131" si="48" xml:space="preserve"> AF68 - 1.96*_xlfn.STDEV.S(
  G68-AVERAGE(C68,G68),
  K68-AVERAGE(G68,K68),
  O68-AVERAGE(K68,O68),
  S68-AVERAGE(O68,S68),
  W68-AVERAGE(S68,W68),
  AA68-AVERAGE(W68,AA68),
  AE68-AVERAGE(AA68,AE68)
)</f>
        <v>#REF!</v>
      </c>
      <c r="AH68" s="10" t="e">
        <f t="shared" ref="AH68:AH131" si="49" xml:space="preserve"> AF68 + 1.96*_xlfn.STDEV.S(
  G68-AVERAGE(C68,G68),
  K68-AVERAGE(G68,K68),
  O68-AVERAGE(K68,O68),
  S68-AVERAGE(O68,S68),
  W68-AVERAGE(S68,W68),
  AA68-AVERAGE(W68,AA68),
  AE68-AVERAGE(AA68,AE68)
)</f>
        <v>#REF!</v>
      </c>
      <c r="AI68" s="1" t="e">
        <f>SUMIFS(#REF!,#REF!,
 $A68,#REF!,
 "&gt;="&amp;INT($AK$1),#REF!,
 "&lt;="&amp;INT($AL$1)
)</f>
        <v>#REF!</v>
      </c>
      <c r="AJ68" s="1" t="e">
        <f t="shared" ref="AJ68:AJ131" si="50">IF(
    OR(ISBLANK(AE68),ISBLANK(AI68)),
    "",
    ROUND(AVERAGE(AE68,AI68),0)
)</f>
        <v>#REF!</v>
      </c>
      <c r="AK68" s="9" t="e">
        <f t="shared" ref="AK68:AK131" si="51" xml:space="preserve"> AJ68 - 1.96*_xlfn.STDEV.S(
  G68-AVERAGE(C68,G68),
  K68-AVERAGE(G68,K68),
  O68-AVERAGE(K68,O68),
  S68-AVERAGE(O68,S68),
  W68-AVERAGE(S68,W68),
  AA68-AVERAGE(W68,AA68),
  AE68-AVERAGE(AA68,AE68),
  AI68-AVERAGE(AE68,AI68)
)</f>
        <v>#REF!</v>
      </c>
      <c r="AL68" s="10" t="e">
        <f t="shared" ref="AL68:AL131" si="52" xml:space="preserve"> AJ68 + 1.96*_xlfn.STDEV.S(
  G68-AVERAGE(C68,G68),
  K68-AVERAGE(G68,K68),
  O68-AVERAGE(K68,O68),
  S68-AVERAGE(O68,S68),
  W68-AVERAGE(S68,W68),
  AA68-AVERAGE(W68,AA68),
  AE68-AVERAGE(AA68,AE68),
  AI68-AVERAGE(AE68,AI68)
)</f>
        <v>#REF!</v>
      </c>
      <c r="AM68" s="1" t="e">
        <f>SUMIFS(#REF!,#REF!,
 $A68,#REF!,
 "&gt;="&amp;INT($AO$1),#REF!,
 "&lt;="&amp;INT($AP$1)
)</f>
        <v>#REF!</v>
      </c>
      <c r="AN68" s="1" t="e">
        <f t="shared" ref="AN68:AN131" si="53">IF(
    OR(ISBLANK(AI68),ISBLANK(AM68)),
    "",
    ROUND(AVERAGE(AI68,AM68),0)
)</f>
        <v>#REF!</v>
      </c>
      <c r="AO68" s="9" t="e">
        <f t="shared" ref="AO68:AO131" si="54" xml:space="preserve"> AN68 - 1.96*_xlfn.STDEV.S(
  G68-AVERAGE(C68,G68),
  K68-AVERAGE(G68,K68),
  O68-AVERAGE(K68,O68),
  S68-AVERAGE(O68,S68),
  W68-AVERAGE(S68,W68),
  AA68-AVERAGE(W68,AA68),
  AE68-AVERAGE(AA68,AE68),
  AI68-AVERAGE(AE68,AI68),
  AN68-AVERAGE(AI68,AN68)
)</f>
        <v>#REF!</v>
      </c>
      <c r="AP68" s="10" t="e">
        <f t="shared" ref="AP68:AP131" si="55" xml:space="preserve"> AN68 + 1.96*_xlfn.STDEV.S(
  G68-AVERAGE(C68,G68),
  K68-AVERAGE(G68,K68),
  O68-AVERAGE(K68,O68),
  S68-AVERAGE(O68,S68),
  W68-AVERAGE(S68,W68),
  AA68-AVERAGE(W68,AA68),
  AE68-AVERAGE(AA68,AE68),
  AI68-AVERAGE(AE68,AI68),
  AN68-AVERAGE(AI68,AN68)
)</f>
        <v>#REF!</v>
      </c>
      <c r="AQ68" s="1" t="e">
        <f>SUMIFS(#REF!,#REF!,
 $A68,#REF!,
 "&gt;="&amp;INT($AS$1),#REF!,
 "&lt;="&amp;INT($AT$1)
)</f>
        <v>#REF!</v>
      </c>
      <c r="AR68" s="1" t="e">
        <f t="shared" ref="AR68:AR131" si="56">IF(
    OR(ISBLANK(AM68),ISBLANK(AQ68)),
    "",
    ROUND(AVERAGE(AM68,AQ68),0)
)</f>
        <v>#REF!</v>
      </c>
      <c r="AS68" s="9" t="e">
        <f t="shared" ref="AS68:AS131" si="57" xml:space="preserve"> AR68 - 1.96*_xlfn.STDEV.S(
  G68-AVERAGE(C68,G68),
  K68-AVERAGE(G68,K68),
  O68-AVERAGE(K68,O68),
  S68-AVERAGE(O68,S68),
  W68-AVERAGE(S68,W68),
  AA68-AVERAGE(W68,AA68),
  AE68-AVERAGE(AA68,AE68),
  AI68-AVERAGE(AE68,AI68),
  AN68-AVERAGE(AI68,AN68),
  AR68-AVERAGE(AN68,AR68)
)</f>
        <v>#REF!</v>
      </c>
      <c r="AT68" s="10" t="e">
        <f t="shared" ref="AT68:AT131" si="58" xml:space="preserve"> AR68 + 1.96*_xlfn.STDEV.S(
  G68-AVERAGE(C68,G68),
  K68-AVERAGE(G68,K68),
  O68-AVERAGE(K68,O68),
  S68-AVERAGE(O68,S68),
  W68-AVERAGE(S68,W68),
  AA68-AVERAGE(W68,AA68),
  AE68-AVERAGE(AA68,AE68),
  AI68-AVERAGE(AE68,AI68),
  AN68-AVERAGE(AI68,AN68),
  AR68-AVERAGE(AN68,AR68)
)</f>
        <v>#REF!</v>
      </c>
      <c r="AU68" s="1" t="e">
        <f>SUMIFS(#REF!,#REF!,
 $A68,#REF!,
 "&gt;="&amp;INT($AW$1),#REF!,
 "&lt;="&amp;INT($AX$1)
)</f>
        <v>#REF!</v>
      </c>
      <c r="AV68" s="1" t="e">
        <f t="shared" ref="AV68:AV131" si="59">IF(
    OR(ISBLANK(AQ68),ISBLANK(AU68)),
    "",
    ROUND(AVERAGE(AQ68,AU68),0)
)</f>
        <v>#REF!</v>
      </c>
      <c r="AW68" s="9" t="e">
        <f t="shared" ref="AW68:AW131" si="60" xml:space="preserve"> AV68 - 1.96*_xlfn.STDEV.S(
  G68-AVERAGE(C68,G68),
  K68-AVERAGE(G68,K68),
  O68-AVERAGE(K68,O68),
  S68-AVERAGE(O68,S68),
  W68-AVERAGE(S68,W68),
  AA68-AVERAGE(W68,AA68),
  AE68-AVERAGE(AA68,AE68),
  AI68-AVERAGE(AE68,AI68),
  AN68-AVERAGE(AI68,AN68),
  AR68-AVERAGE(AN68,AR68),
  AV68-AVERAGE(AR68,AV68)
)</f>
        <v>#REF!</v>
      </c>
      <c r="AX68" s="10" t="e">
        <f t="shared" ref="AX68:AX131" si="61" xml:space="preserve"> AV68 + 1.96*_xlfn.STDEV.S(
  G68-AVERAGE(C68,G68),
  K68-AVERAGE(G68,K68),
  O68-AVERAGE(K68,O68),
  S68-AVERAGE(O68,S68),
  W68-AVERAGE(S68,W68),
  AA68-AVERAGE(W68,AA68),
  AE68-AVERAGE(AA68,AE68),
  AI68-AVERAGE(AE68,AI68),
  AN68-AVERAGE(AI68,AN68),
  AR68-AVERAGE(AN68,AR68),
  AV68-AVERAGE(AR68,AV68)
)</f>
        <v>#REF!</v>
      </c>
    </row>
    <row r="69" spans="1:50" x14ac:dyDescent="0.25">
      <c r="A69" s="5">
        <v>209017</v>
      </c>
      <c r="B69" s="6" t="s">
        <v>66</v>
      </c>
      <c r="C69" s="1" t="e">
        <f>SUMIFS(#REF!,#REF!,
 $A69,#REF!,
 "&gt;="&amp;INT($E$1),#REF!,
 "&lt;"&amp;INT($F$1+1)
)</f>
        <v>#REF!</v>
      </c>
      <c r="D69" s="1" t="str">
        <f>""</f>
        <v/>
      </c>
      <c r="F69" s="2"/>
      <c r="G69" s="1" t="e">
        <f>SUMIFS(#REF!,#REF!,
 $A69,#REF!,
 "&gt;="&amp;INT($I$1),#REF!,
 "&lt;"&amp;INT($J$1+1)
)</f>
        <v>#REF!</v>
      </c>
      <c r="H69" s="1" t="e">
        <f t="shared" si="31"/>
        <v>#REF!</v>
      </c>
      <c r="I69" s="1"/>
      <c r="J69" s="2"/>
      <c r="K69" s="1" t="e">
        <f>SUMIFS(#REF!,#REF!,
 $A69,#REF!,
 "&gt;="&amp;INT($M$1),#REF!,
 "&lt;"&amp;INT($N$1+1)
)</f>
        <v>#REF!</v>
      </c>
      <c r="L69" s="1" t="e">
        <f t="shared" si="32"/>
        <v>#REF!</v>
      </c>
      <c r="M69" s="9" t="e">
        <f t="shared" si="33"/>
        <v>#REF!</v>
      </c>
      <c r="N69" s="10" t="e">
        <f t="shared" si="34"/>
        <v>#REF!</v>
      </c>
      <c r="O69" s="1" t="e">
        <f>SUMIFS(#REF!,#REF!,
 $A69,#REF!,
 "&gt;="&amp;INT($Q$1),#REF!,
 "&lt;="&amp;INT($R$1)
)</f>
        <v>#REF!</v>
      </c>
      <c r="P69" s="1" t="e">
        <f t="shared" si="35"/>
        <v>#REF!</v>
      </c>
      <c r="Q69" s="9" t="e">
        <f t="shared" si="36"/>
        <v>#REF!</v>
      </c>
      <c r="R69" s="10" t="e">
        <f t="shared" si="37"/>
        <v>#REF!</v>
      </c>
      <c r="S69" s="1" t="e">
        <f>SUMIFS(#REF!,#REF!,
 $A69,#REF!,
 "&gt;="&amp;INT($U$1),#REF!,
 "&lt;="&amp;INT($V$1)
)</f>
        <v>#REF!</v>
      </c>
      <c r="T69" s="1" t="e">
        <f t="shared" si="38"/>
        <v>#REF!</v>
      </c>
      <c r="U69" s="9" t="e">
        <f t="shared" si="39"/>
        <v>#REF!</v>
      </c>
      <c r="V69" s="10" t="e">
        <f t="shared" si="40"/>
        <v>#REF!</v>
      </c>
      <c r="W69" s="1" t="e">
        <f>SUMIFS(#REF!,#REF!,
 $A69,#REF!,
 "&gt;="&amp;INT($Y$1),#REF!,
 "&lt;="&amp;INT($Z$1)
)</f>
        <v>#REF!</v>
      </c>
      <c r="X69" s="1" t="e">
        <f t="shared" si="41"/>
        <v>#REF!</v>
      </c>
      <c r="Y69" s="9" t="e">
        <f t="shared" si="42"/>
        <v>#REF!</v>
      </c>
      <c r="Z69" s="10" t="e">
        <f t="shared" si="43"/>
        <v>#REF!</v>
      </c>
      <c r="AA69" s="1" t="e">
        <f>SUMIFS(#REF!,#REF!,
 $A69,#REF!,
 "&gt;="&amp;INT($AC$1),#REF!,
 "&lt;="&amp;INT($AD$1)
)</f>
        <v>#REF!</v>
      </c>
      <c r="AB69" s="1" t="e">
        <f t="shared" si="44"/>
        <v>#REF!</v>
      </c>
      <c r="AC69" s="9" t="e">
        <f t="shared" si="45"/>
        <v>#REF!</v>
      </c>
      <c r="AD69" s="10" t="e">
        <f t="shared" si="46"/>
        <v>#REF!</v>
      </c>
      <c r="AE69" s="1" t="e">
        <f>SUMIFS(#REF!,#REF!,
 $A69,#REF!,
 "&gt;="&amp;INT($AG$1),#REF!,
 "&lt;="&amp;INT($AH$1)
)</f>
        <v>#REF!</v>
      </c>
      <c r="AF69" s="1" t="e">
        <f t="shared" si="47"/>
        <v>#REF!</v>
      </c>
      <c r="AG69" s="9" t="e">
        <f t="shared" si="48"/>
        <v>#REF!</v>
      </c>
      <c r="AH69" s="10" t="e">
        <f t="shared" si="49"/>
        <v>#REF!</v>
      </c>
      <c r="AI69" s="1" t="e">
        <f>SUMIFS(#REF!,#REF!,
 $A69,#REF!,
 "&gt;="&amp;INT($AK$1),#REF!,
 "&lt;="&amp;INT($AL$1)
)</f>
        <v>#REF!</v>
      </c>
      <c r="AJ69" s="1" t="e">
        <f t="shared" si="50"/>
        <v>#REF!</v>
      </c>
      <c r="AK69" s="9" t="e">
        <f t="shared" si="51"/>
        <v>#REF!</v>
      </c>
      <c r="AL69" s="10" t="e">
        <f t="shared" si="52"/>
        <v>#REF!</v>
      </c>
      <c r="AM69" s="1" t="e">
        <f>SUMIFS(#REF!,#REF!,
 $A69,#REF!,
 "&gt;="&amp;INT($AO$1),#REF!,
 "&lt;="&amp;INT($AP$1)
)</f>
        <v>#REF!</v>
      </c>
      <c r="AN69" s="1" t="e">
        <f t="shared" si="53"/>
        <v>#REF!</v>
      </c>
      <c r="AO69" s="9" t="e">
        <f t="shared" si="54"/>
        <v>#REF!</v>
      </c>
      <c r="AP69" s="10" t="e">
        <f t="shared" si="55"/>
        <v>#REF!</v>
      </c>
      <c r="AQ69" s="1" t="e">
        <f>SUMIFS(#REF!,#REF!,
 $A69,#REF!,
 "&gt;="&amp;INT($AS$1),#REF!,
 "&lt;="&amp;INT($AT$1)
)</f>
        <v>#REF!</v>
      </c>
      <c r="AR69" s="1" t="e">
        <f t="shared" si="56"/>
        <v>#REF!</v>
      </c>
      <c r="AS69" s="9" t="e">
        <f t="shared" si="57"/>
        <v>#REF!</v>
      </c>
      <c r="AT69" s="10" t="e">
        <f t="shared" si="58"/>
        <v>#REF!</v>
      </c>
      <c r="AU69" s="1" t="e">
        <f>SUMIFS(#REF!,#REF!,
 $A69,#REF!,
 "&gt;="&amp;INT($AW$1),#REF!,
 "&lt;="&amp;INT($AX$1)
)</f>
        <v>#REF!</v>
      </c>
      <c r="AV69" s="1" t="e">
        <f t="shared" si="59"/>
        <v>#REF!</v>
      </c>
      <c r="AW69" s="9" t="e">
        <f t="shared" si="60"/>
        <v>#REF!</v>
      </c>
      <c r="AX69" s="10" t="e">
        <f t="shared" si="61"/>
        <v>#REF!</v>
      </c>
    </row>
    <row r="70" spans="1:50" x14ac:dyDescent="0.25">
      <c r="A70" s="5">
        <v>209018</v>
      </c>
      <c r="B70" s="6" t="s">
        <v>67</v>
      </c>
      <c r="C70" s="1" t="e">
        <f>SUMIFS(#REF!,#REF!,
 $A70,#REF!,
 "&gt;="&amp;INT($E$1),#REF!,
 "&lt;"&amp;INT($F$1+1)
)</f>
        <v>#REF!</v>
      </c>
      <c r="D70" s="1" t="str">
        <f>""</f>
        <v/>
      </c>
      <c r="F70" s="2"/>
      <c r="G70" s="1" t="e">
        <f>SUMIFS(#REF!,#REF!,
 $A70,#REF!,
 "&gt;="&amp;INT($I$1),#REF!,
 "&lt;"&amp;INT($J$1+1)
)</f>
        <v>#REF!</v>
      </c>
      <c r="H70" s="1" t="e">
        <f t="shared" si="31"/>
        <v>#REF!</v>
      </c>
      <c r="I70" s="1"/>
      <c r="J70" s="2"/>
      <c r="K70" s="1" t="e">
        <f>SUMIFS(#REF!,#REF!,
 $A70,#REF!,
 "&gt;="&amp;INT($M$1),#REF!,
 "&lt;"&amp;INT($N$1+1)
)</f>
        <v>#REF!</v>
      </c>
      <c r="L70" s="1" t="e">
        <f t="shared" si="32"/>
        <v>#REF!</v>
      </c>
      <c r="M70" s="9" t="e">
        <f t="shared" si="33"/>
        <v>#REF!</v>
      </c>
      <c r="N70" s="10" t="e">
        <f t="shared" si="34"/>
        <v>#REF!</v>
      </c>
      <c r="O70" s="1" t="e">
        <f>SUMIFS(#REF!,#REF!,
 $A70,#REF!,
 "&gt;="&amp;INT($Q$1),#REF!,
 "&lt;="&amp;INT($R$1)
)</f>
        <v>#REF!</v>
      </c>
      <c r="P70" s="1" t="e">
        <f t="shared" si="35"/>
        <v>#REF!</v>
      </c>
      <c r="Q70" s="9" t="e">
        <f t="shared" si="36"/>
        <v>#REF!</v>
      </c>
      <c r="R70" s="10" t="e">
        <f t="shared" si="37"/>
        <v>#REF!</v>
      </c>
      <c r="S70" s="1" t="e">
        <f>SUMIFS(#REF!,#REF!,
 $A70,#REF!,
 "&gt;="&amp;INT($U$1),#REF!,
 "&lt;="&amp;INT($V$1)
)</f>
        <v>#REF!</v>
      </c>
      <c r="T70" s="1" t="e">
        <f t="shared" si="38"/>
        <v>#REF!</v>
      </c>
      <c r="U70" s="9" t="e">
        <f t="shared" si="39"/>
        <v>#REF!</v>
      </c>
      <c r="V70" s="10" t="e">
        <f t="shared" si="40"/>
        <v>#REF!</v>
      </c>
      <c r="W70" s="1" t="e">
        <f>SUMIFS(#REF!,#REF!,
 $A70,#REF!,
 "&gt;="&amp;INT($Y$1),#REF!,
 "&lt;="&amp;INT($Z$1)
)</f>
        <v>#REF!</v>
      </c>
      <c r="X70" s="1" t="e">
        <f t="shared" si="41"/>
        <v>#REF!</v>
      </c>
      <c r="Y70" s="9" t="e">
        <f t="shared" si="42"/>
        <v>#REF!</v>
      </c>
      <c r="Z70" s="10" t="e">
        <f t="shared" si="43"/>
        <v>#REF!</v>
      </c>
      <c r="AA70" s="1" t="e">
        <f>SUMIFS(#REF!,#REF!,
 $A70,#REF!,
 "&gt;="&amp;INT($AC$1),#REF!,
 "&lt;="&amp;INT($AD$1)
)</f>
        <v>#REF!</v>
      </c>
      <c r="AB70" s="1" t="e">
        <f t="shared" si="44"/>
        <v>#REF!</v>
      </c>
      <c r="AC70" s="9" t="e">
        <f t="shared" si="45"/>
        <v>#REF!</v>
      </c>
      <c r="AD70" s="10" t="e">
        <f t="shared" si="46"/>
        <v>#REF!</v>
      </c>
      <c r="AE70" s="1" t="e">
        <f>SUMIFS(#REF!,#REF!,
 $A70,#REF!,
 "&gt;="&amp;INT($AG$1),#REF!,
 "&lt;="&amp;INT($AH$1)
)</f>
        <v>#REF!</v>
      </c>
      <c r="AF70" s="1" t="e">
        <f t="shared" si="47"/>
        <v>#REF!</v>
      </c>
      <c r="AG70" s="9" t="e">
        <f t="shared" si="48"/>
        <v>#REF!</v>
      </c>
      <c r="AH70" s="10" t="e">
        <f t="shared" si="49"/>
        <v>#REF!</v>
      </c>
      <c r="AI70" s="1" t="e">
        <f>SUMIFS(#REF!,#REF!,
 $A70,#REF!,
 "&gt;="&amp;INT($AK$1),#REF!,
 "&lt;="&amp;INT($AL$1)
)</f>
        <v>#REF!</v>
      </c>
      <c r="AJ70" s="1" t="e">
        <f t="shared" si="50"/>
        <v>#REF!</v>
      </c>
      <c r="AK70" s="9" t="e">
        <f t="shared" si="51"/>
        <v>#REF!</v>
      </c>
      <c r="AL70" s="10" t="e">
        <f t="shared" si="52"/>
        <v>#REF!</v>
      </c>
      <c r="AM70" s="1" t="e">
        <f>SUMIFS(#REF!,#REF!,
 $A70,#REF!,
 "&gt;="&amp;INT($AO$1),#REF!,
 "&lt;="&amp;INT($AP$1)
)</f>
        <v>#REF!</v>
      </c>
      <c r="AN70" s="1" t="e">
        <f t="shared" si="53"/>
        <v>#REF!</v>
      </c>
      <c r="AO70" s="9" t="e">
        <f t="shared" si="54"/>
        <v>#REF!</v>
      </c>
      <c r="AP70" s="10" t="e">
        <f t="shared" si="55"/>
        <v>#REF!</v>
      </c>
      <c r="AQ70" s="1" t="e">
        <f>SUMIFS(#REF!,#REF!,
 $A70,#REF!,
 "&gt;="&amp;INT($AS$1),#REF!,
 "&lt;="&amp;INT($AT$1)
)</f>
        <v>#REF!</v>
      </c>
      <c r="AR70" s="1" t="e">
        <f t="shared" si="56"/>
        <v>#REF!</v>
      </c>
      <c r="AS70" s="9" t="e">
        <f t="shared" si="57"/>
        <v>#REF!</v>
      </c>
      <c r="AT70" s="10" t="e">
        <f t="shared" si="58"/>
        <v>#REF!</v>
      </c>
      <c r="AU70" s="1" t="e">
        <f>SUMIFS(#REF!,#REF!,
 $A70,#REF!,
 "&gt;="&amp;INT($AW$1),#REF!,
 "&lt;="&amp;INT($AX$1)
)</f>
        <v>#REF!</v>
      </c>
      <c r="AV70" s="1" t="e">
        <f t="shared" si="59"/>
        <v>#REF!</v>
      </c>
      <c r="AW70" s="9" t="e">
        <f t="shared" si="60"/>
        <v>#REF!</v>
      </c>
      <c r="AX70" s="10" t="e">
        <f t="shared" si="61"/>
        <v>#REF!</v>
      </c>
    </row>
    <row r="71" spans="1:50" x14ac:dyDescent="0.25">
      <c r="A71" s="5">
        <v>209021</v>
      </c>
      <c r="B71" s="6" t="s">
        <v>68</v>
      </c>
      <c r="C71" s="1" t="e">
        <f>SUMIFS(#REF!,#REF!,
 $A71,#REF!,
 "&gt;="&amp;INT($E$1),#REF!,
 "&lt;"&amp;INT($F$1+1)
)</f>
        <v>#REF!</v>
      </c>
      <c r="D71" s="1" t="str">
        <f>""</f>
        <v/>
      </c>
      <c r="F71" s="2"/>
      <c r="G71" s="1" t="e">
        <f>SUMIFS(#REF!,#REF!,
 $A71,#REF!,
 "&gt;="&amp;INT($I$1),#REF!,
 "&lt;"&amp;INT($J$1+1)
)</f>
        <v>#REF!</v>
      </c>
      <c r="H71" s="1" t="e">
        <f t="shared" si="31"/>
        <v>#REF!</v>
      </c>
      <c r="I71" s="1"/>
      <c r="J71" s="2"/>
      <c r="K71" s="1" t="e">
        <f>SUMIFS(#REF!,#REF!,
 $A71,#REF!,
 "&gt;="&amp;INT($M$1),#REF!,
 "&lt;"&amp;INT($N$1+1)
)</f>
        <v>#REF!</v>
      </c>
      <c r="L71" s="1" t="e">
        <f t="shared" si="32"/>
        <v>#REF!</v>
      </c>
      <c r="M71" s="9" t="e">
        <f t="shared" si="33"/>
        <v>#REF!</v>
      </c>
      <c r="N71" s="10" t="e">
        <f t="shared" si="34"/>
        <v>#REF!</v>
      </c>
      <c r="O71" s="1" t="e">
        <f>SUMIFS(#REF!,#REF!,
 $A71,#REF!,
 "&gt;="&amp;INT($Q$1),#REF!,
 "&lt;="&amp;INT($R$1)
)</f>
        <v>#REF!</v>
      </c>
      <c r="P71" s="1" t="e">
        <f t="shared" si="35"/>
        <v>#REF!</v>
      </c>
      <c r="Q71" s="9" t="e">
        <f t="shared" si="36"/>
        <v>#REF!</v>
      </c>
      <c r="R71" s="10" t="e">
        <f t="shared" si="37"/>
        <v>#REF!</v>
      </c>
      <c r="S71" s="1" t="e">
        <f>SUMIFS(#REF!,#REF!,
 $A71,#REF!,
 "&gt;="&amp;INT($U$1),#REF!,
 "&lt;="&amp;INT($V$1)
)</f>
        <v>#REF!</v>
      </c>
      <c r="T71" s="1" t="e">
        <f t="shared" si="38"/>
        <v>#REF!</v>
      </c>
      <c r="U71" s="9" t="e">
        <f t="shared" si="39"/>
        <v>#REF!</v>
      </c>
      <c r="V71" s="10" t="e">
        <f t="shared" si="40"/>
        <v>#REF!</v>
      </c>
      <c r="W71" s="1" t="e">
        <f>SUMIFS(#REF!,#REF!,
 $A71,#REF!,
 "&gt;="&amp;INT($Y$1),#REF!,
 "&lt;="&amp;INT($Z$1)
)</f>
        <v>#REF!</v>
      </c>
      <c r="X71" s="1" t="e">
        <f t="shared" si="41"/>
        <v>#REF!</v>
      </c>
      <c r="Y71" s="9" t="e">
        <f t="shared" si="42"/>
        <v>#REF!</v>
      </c>
      <c r="Z71" s="10" t="e">
        <f t="shared" si="43"/>
        <v>#REF!</v>
      </c>
      <c r="AA71" s="1" t="e">
        <f>SUMIFS(#REF!,#REF!,
 $A71,#REF!,
 "&gt;="&amp;INT($AC$1),#REF!,
 "&lt;="&amp;INT($AD$1)
)</f>
        <v>#REF!</v>
      </c>
      <c r="AB71" s="1" t="e">
        <f t="shared" si="44"/>
        <v>#REF!</v>
      </c>
      <c r="AC71" s="9" t="e">
        <f t="shared" si="45"/>
        <v>#REF!</v>
      </c>
      <c r="AD71" s="10" t="e">
        <f t="shared" si="46"/>
        <v>#REF!</v>
      </c>
      <c r="AE71" s="1" t="e">
        <f>SUMIFS(#REF!,#REF!,
 $A71,#REF!,
 "&gt;="&amp;INT($AG$1),#REF!,
 "&lt;="&amp;INT($AH$1)
)</f>
        <v>#REF!</v>
      </c>
      <c r="AF71" s="1" t="e">
        <f t="shared" si="47"/>
        <v>#REF!</v>
      </c>
      <c r="AG71" s="9" t="e">
        <f t="shared" si="48"/>
        <v>#REF!</v>
      </c>
      <c r="AH71" s="10" t="e">
        <f t="shared" si="49"/>
        <v>#REF!</v>
      </c>
      <c r="AI71" s="1" t="e">
        <f>SUMIFS(#REF!,#REF!,
 $A71,#REF!,
 "&gt;="&amp;INT($AK$1),#REF!,
 "&lt;="&amp;INT($AL$1)
)</f>
        <v>#REF!</v>
      </c>
      <c r="AJ71" s="1" t="e">
        <f t="shared" si="50"/>
        <v>#REF!</v>
      </c>
      <c r="AK71" s="9" t="e">
        <f t="shared" si="51"/>
        <v>#REF!</v>
      </c>
      <c r="AL71" s="10" t="e">
        <f t="shared" si="52"/>
        <v>#REF!</v>
      </c>
      <c r="AM71" s="1" t="e">
        <f>SUMIFS(#REF!,#REF!,
 $A71,#REF!,
 "&gt;="&amp;INT($AO$1),#REF!,
 "&lt;="&amp;INT($AP$1)
)</f>
        <v>#REF!</v>
      </c>
      <c r="AN71" s="1" t="e">
        <f t="shared" si="53"/>
        <v>#REF!</v>
      </c>
      <c r="AO71" s="9" t="e">
        <f t="shared" si="54"/>
        <v>#REF!</v>
      </c>
      <c r="AP71" s="10" t="e">
        <f t="shared" si="55"/>
        <v>#REF!</v>
      </c>
      <c r="AQ71" s="1" t="e">
        <f>SUMIFS(#REF!,#REF!,
 $A71,#REF!,
 "&gt;="&amp;INT($AS$1),#REF!,
 "&lt;="&amp;INT($AT$1)
)</f>
        <v>#REF!</v>
      </c>
      <c r="AR71" s="1" t="e">
        <f t="shared" si="56"/>
        <v>#REF!</v>
      </c>
      <c r="AS71" s="9" t="e">
        <f t="shared" si="57"/>
        <v>#REF!</v>
      </c>
      <c r="AT71" s="10" t="e">
        <f t="shared" si="58"/>
        <v>#REF!</v>
      </c>
      <c r="AU71" s="1" t="e">
        <f>SUMIFS(#REF!,#REF!,
 $A71,#REF!,
 "&gt;="&amp;INT($AW$1),#REF!,
 "&lt;="&amp;INT($AX$1)
)</f>
        <v>#REF!</v>
      </c>
      <c r="AV71" s="1" t="e">
        <f t="shared" si="59"/>
        <v>#REF!</v>
      </c>
      <c r="AW71" s="9" t="e">
        <f t="shared" si="60"/>
        <v>#REF!</v>
      </c>
      <c r="AX71" s="10" t="e">
        <f t="shared" si="61"/>
        <v>#REF!</v>
      </c>
    </row>
    <row r="72" spans="1:50" x14ac:dyDescent="0.25">
      <c r="A72" s="5">
        <v>209022</v>
      </c>
      <c r="B72" s="6" t="s">
        <v>69</v>
      </c>
      <c r="C72" s="1" t="e">
        <f>SUMIFS(#REF!,#REF!,
 $A72,#REF!,
 "&gt;="&amp;INT($E$1),#REF!,
 "&lt;"&amp;INT($F$1+1)
)</f>
        <v>#REF!</v>
      </c>
      <c r="D72" s="1" t="str">
        <f>""</f>
        <v/>
      </c>
      <c r="F72" s="2"/>
      <c r="G72" s="1" t="e">
        <f>SUMIFS(#REF!,#REF!,
 $A72,#REF!,
 "&gt;="&amp;INT($I$1),#REF!,
 "&lt;"&amp;INT($J$1+1)
)</f>
        <v>#REF!</v>
      </c>
      <c r="H72" s="1" t="e">
        <f t="shared" si="31"/>
        <v>#REF!</v>
      </c>
      <c r="I72" s="1"/>
      <c r="J72" s="2"/>
      <c r="K72" s="1" t="e">
        <f>SUMIFS(#REF!,#REF!,
 $A72,#REF!,
 "&gt;="&amp;INT($M$1),#REF!,
 "&lt;"&amp;INT($N$1+1)
)</f>
        <v>#REF!</v>
      </c>
      <c r="L72" s="1" t="e">
        <f t="shared" si="32"/>
        <v>#REF!</v>
      </c>
      <c r="M72" s="9" t="e">
        <f t="shared" si="33"/>
        <v>#REF!</v>
      </c>
      <c r="N72" s="10" t="e">
        <f t="shared" si="34"/>
        <v>#REF!</v>
      </c>
      <c r="O72" s="1" t="e">
        <f>SUMIFS(#REF!,#REF!,
 $A72,#REF!,
 "&gt;="&amp;INT($Q$1),#REF!,
 "&lt;="&amp;INT($R$1)
)</f>
        <v>#REF!</v>
      </c>
      <c r="P72" s="1" t="e">
        <f t="shared" si="35"/>
        <v>#REF!</v>
      </c>
      <c r="Q72" s="9" t="e">
        <f t="shared" si="36"/>
        <v>#REF!</v>
      </c>
      <c r="R72" s="10" t="e">
        <f t="shared" si="37"/>
        <v>#REF!</v>
      </c>
      <c r="S72" s="1" t="e">
        <f>SUMIFS(#REF!,#REF!,
 $A72,#REF!,
 "&gt;="&amp;INT($U$1),#REF!,
 "&lt;="&amp;INT($V$1)
)</f>
        <v>#REF!</v>
      </c>
      <c r="T72" s="1" t="e">
        <f t="shared" si="38"/>
        <v>#REF!</v>
      </c>
      <c r="U72" s="9" t="e">
        <f t="shared" si="39"/>
        <v>#REF!</v>
      </c>
      <c r="V72" s="10" t="e">
        <f t="shared" si="40"/>
        <v>#REF!</v>
      </c>
      <c r="W72" s="1" t="e">
        <f>SUMIFS(#REF!,#REF!,
 $A72,#REF!,
 "&gt;="&amp;INT($Y$1),#REF!,
 "&lt;="&amp;INT($Z$1)
)</f>
        <v>#REF!</v>
      </c>
      <c r="X72" s="1" t="e">
        <f t="shared" si="41"/>
        <v>#REF!</v>
      </c>
      <c r="Y72" s="9" t="e">
        <f t="shared" si="42"/>
        <v>#REF!</v>
      </c>
      <c r="Z72" s="10" t="e">
        <f t="shared" si="43"/>
        <v>#REF!</v>
      </c>
      <c r="AA72" s="1" t="e">
        <f>SUMIFS(#REF!,#REF!,
 $A72,#REF!,
 "&gt;="&amp;INT($AC$1),#REF!,
 "&lt;="&amp;INT($AD$1)
)</f>
        <v>#REF!</v>
      </c>
      <c r="AB72" s="1" t="e">
        <f t="shared" si="44"/>
        <v>#REF!</v>
      </c>
      <c r="AC72" s="9" t="e">
        <f t="shared" si="45"/>
        <v>#REF!</v>
      </c>
      <c r="AD72" s="10" t="e">
        <f t="shared" si="46"/>
        <v>#REF!</v>
      </c>
      <c r="AE72" s="1" t="e">
        <f>SUMIFS(#REF!,#REF!,
 $A72,#REF!,
 "&gt;="&amp;INT($AG$1),#REF!,
 "&lt;="&amp;INT($AH$1)
)</f>
        <v>#REF!</v>
      </c>
      <c r="AF72" s="1" t="e">
        <f t="shared" si="47"/>
        <v>#REF!</v>
      </c>
      <c r="AG72" s="9" t="e">
        <f t="shared" si="48"/>
        <v>#REF!</v>
      </c>
      <c r="AH72" s="10" t="e">
        <f t="shared" si="49"/>
        <v>#REF!</v>
      </c>
      <c r="AI72" s="1" t="e">
        <f>SUMIFS(#REF!,#REF!,
 $A72,#REF!,
 "&gt;="&amp;INT($AK$1),#REF!,
 "&lt;="&amp;INT($AL$1)
)</f>
        <v>#REF!</v>
      </c>
      <c r="AJ72" s="1" t="e">
        <f t="shared" si="50"/>
        <v>#REF!</v>
      </c>
      <c r="AK72" s="9" t="e">
        <f t="shared" si="51"/>
        <v>#REF!</v>
      </c>
      <c r="AL72" s="10" t="e">
        <f t="shared" si="52"/>
        <v>#REF!</v>
      </c>
      <c r="AM72" s="1" t="e">
        <f>SUMIFS(#REF!,#REF!,
 $A72,#REF!,
 "&gt;="&amp;INT($AO$1),#REF!,
 "&lt;="&amp;INT($AP$1)
)</f>
        <v>#REF!</v>
      </c>
      <c r="AN72" s="1" t="e">
        <f t="shared" si="53"/>
        <v>#REF!</v>
      </c>
      <c r="AO72" s="9" t="e">
        <f t="shared" si="54"/>
        <v>#REF!</v>
      </c>
      <c r="AP72" s="10" t="e">
        <f t="shared" si="55"/>
        <v>#REF!</v>
      </c>
      <c r="AQ72" s="1" t="e">
        <f>SUMIFS(#REF!,#REF!,
 $A72,#REF!,
 "&gt;="&amp;INT($AS$1),#REF!,
 "&lt;="&amp;INT($AT$1)
)</f>
        <v>#REF!</v>
      </c>
      <c r="AR72" s="1" t="e">
        <f t="shared" si="56"/>
        <v>#REF!</v>
      </c>
      <c r="AS72" s="9" t="e">
        <f t="shared" si="57"/>
        <v>#REF!</v>
      </c>
      <c r="AT72" s="10" t="e">
        <f t="shared" si="58"/>
        <v>#REF!</v>
      </c>
      <c r="AU72" s="1" t="e">
        <f>SUMIFS(#REF!,#REF!,
 $A72,#REF!,
 "&gt;="&amp;INT($AW$1),#REF!,
 "&lt;="&amp;INT($AX$1)
)</f>
        <v>#REF!</v>
      </c>
      <c r="AV72" s="1" t="e">
        <f t="shared" si="59"/>
        <v>#REF!</v>
      </c>
      <c r="AW72" s="9" t="e">
        <f t="shared" si="60"/>
        <v>#REF!</v>
      </c>
      <c r="AX72" s="10" t="e">
        <f t="shared" si="61"/>
        <v>#REF!</v>
      </c>
    </row>
    <row r="73" spans="1:50" x14ac:dyDescent="0.25">
      <c r="A73" s="5">
        <v>209023</v>
      </c>
      <c r="B73" s="6" t="s">
        <v>70</v>
      </c>
      <c r="C73" s="1" t="e">
        <f>SUMIFS(#REF!,#REF!,
 $A73,#REF!,
 "&gt;="&amp;INT($E$1),#REF!,
 "&lt;"&amp;INT($F$1+1)
)</f>
        <v>#REF!</v>
      </c>
      <c r="D73" s="1" t="str">
        <f>""</f>
        <v/>
      </c>
      <c r="F73" s="2"/>
      <c r="G73" s="1" t="e">
        <f>SUMIFS(#REF!,#REF!,
 $A73,#REF!,
 "&gt;="&amp;INT($I$1),#REF!,
 "&lt;"&amp;INT($J$1+1)
)</f>
        <v>#REF!</v>
      </c>
      <c r="H73" s="1" t="e">
        <f t="shared" si="31"/>
        <v>#REF!</v>
      </c>
      <c r="I73" s="1"/>
      <c r="J73" s="2"/>
      <c r="K73" s="1" t="e">
        <f>SUMIFS(#REF!,#REF!,
 $A73,#REF!,
 "&gt;="&amp;INT($M$1),#REF!,
 "&lt;"&amp;INT($N$1+1)
)</f>
        <v>#REF!</v>
      </c>
      <c r="L73" s="1" t="e">
        <f t="shared" si="32"/>
        <v>#REF!</v>
      </c>
      <c r="M73" s="9" t="e">
        <f t="shared" si="33"/>
        <v>#REF!</v>
      </c>
      <c r="N73" s="10" t="e">
        <f t="shared" si="34"/>
        <v>#REF!</v>
      </c>
      <c r="O73" s="1" t="e">
        <f>SUMIFS(#REF!,#REF!,
 $A73,#REF!,
 "&gt;="&amp;INT($Q$1),#REF!,
 "&lt;="&amp;INT($R$1)
)</f>
        <v>#REF!</v>
      </c>
      <c r="P73" s="1" t="e">
        <f t="shared" si="35"/>
        <v>#REF!</v>
      </c>
      <c r="Q73" s="9" t="e">
        <f t="shared" si="36"/>
        <v>#REF!</v>
      </c>
      <c r="R73" s="10" t="e">
        <f t="shared" si="37"/>
        <v>#REF!</v>
      </c>
      <c r="S73" s="1" t="e">
        <f>SUMIFS(#REF!,#REF!,
 $A73,#REF!,
 "&gt;="&amp;INT($U$1),#REF!,
 "&lt;="&amp;INT($V$1)
)</f>
        <v>#REF!</v>
      </c>
      <c r="T73" s="1" t="e">
        <f t="shared" si="38"/>
        <v>#REF!</v>
      </c>
      <c r="U73" s="9" t="e">
        <f t="shared" si="39"/>
        <v>#REF!</v>
      </c>
      <c r="V73" s="10" t="e">
        <f t="shared" si="40"/>
        <v>#REF!</v>
      </c>
      <c r="W73" s="1" t="e">
        <f>SUMIFS(#REF!,#REF!,
 $A73,#REF!,
 "&gt;="&amp;INT($Y$1),#REF!,
 "&lt;="&amp;INT($Z$1)
)</f>
        <v>#REF!</v>
      </c>
      <c r="X73" s="1" t="e">
        <f t="shared" si="41"/>
        <v>#REF!</v>
      </c>
      <c r="Y73" s="9" t="e">
        <f t="shared" si="42"/>
        <v>#REF!</v>
      </c>
      <c r="Z73" s="10" t="e">
        <f t="shared" si="43"/>
        <v>#REF!</v>
      </c>
      <c r="AA73" s="1" t="e">
        <f>SUMIFS(#REF!,#REF!,
 $A73,#REF!,
 "&gt;="&amp;INT($AC$1),#REF!,
 "&lt;="&amp;INT($AD$1)
)</f>
        <v>#REF!</v>
      </c>
      <c r="AB73" s="1" t="e">
        <f t="shared" si="44"/>
        <v>#REF!</v>
      </c>
      <c r="AC73" s="9" t="e">
        <f t="shared" si="45"/>
        <v>#REF!</v>
      </c>
      <c r="AD73" s="10" t="e">
        <f t="shared" si="46"/>
        <v>#REF!</v>
      </c>
      <c r="AE73" s="1" t="e">
        <f>SUMIFS(#REF!,#REF!,
 $A73,#REF!,
 "&gt;="&amp;INT($AG$1),#REF!,
 "&lt;="&amp;INT($AH$1)
)</f>
        <v>#REF!</v>
      </c>
      <c r="AF73" s="1" t="e">
        <f t="shared" si="47"/>
        <v>#REF!</v>
      </c>
      <c r="AG73" s="9" t="e">
        <f t="shared" si="48"/>
        <v>#REF!</v>
      </c>
      <c r="AH73" s="10" t="e">
        <f t="shared" si="49"/>
        <v>#REF!</v>
      </c>
      <c r="AI73" s="1" t="e">
        <f>SUMIFS(#REF!,#REF!,
 $A73,#REF!,
 "&gt;="&amp;INT($AK$1),#REF!,
 "&lt;="&amp;INT($AL$1)
)</f>
        <v>#REF!</v>
      </c>
      <c r="AJ73" s="1" t="e">
        <f t="shared" si="50"/>
        <v>#REF!</v>
      </c>
      <c r="AK73" s="9" t="e">
        <f t="shared" si="51"/>
        <v>#REF!</v>
      </c>
      <c r="AL73" s="10" t="e">
        <f t="shared" si="52"/>
        <v>#REF!</v>
      </c>
      <c r="AM73" s="1" t="e">
        <f>SUMIFS(#REF!,#REF!,
 $A73,#REF!,
 "&gt;="&amp;INT($AO$1),#REF!,
 "&lt;="&amp;INT($AP$1)
)</f>
        <v>#REF!</v>
      </c>
      <c r="AN73" s="1" t="e">
        <f t="shared" si="53"/>
        <v>#REF!</v>
      </c>
      <c r="AO73" s="9" t="e">
        <f t="shared" si="54"/>
        <v>#REF!</v>
      </c>
      <c r="AP73" s="10" t="e">
        <f t="shared" si="55"/>
        <v>#REF!</v>
      </c>
      <c r="AQ73" s="1" t="e">
        <f>SUMIFS(#REF!,#REF!,
 $A73,#REF!,
 "&gt;="&amp;INT($AS$1),#REF!,
 "&lt;="&amp;INT($AT$1)
)</f>
        <v>#REF!</v>
      </c>
      <c r="AR73" s="1" t="e">
        <f t="shared" si="56"/>
        <v>#REF!</v>
      </c>
      <c r="AS73" s="9" t="e">
        <f t="shared" si="57"/>
        <v>#REF!</v>
      </c>
      <c r="AT73" s="10" t="e">
        <f t="shared" si="58"/>
        <v>#REF!</v>
      </c>
      <c r="AU73" s="1" t="e">
        <f>SUMIFS(#REF!,#REF!,
 $A73,#REF!,
 "&gt;="&amp;INT($AW$1),#REF!,
 "&lt;="&amp;INT($AX$1)
)</f>
        <v>#REF!</v>
      </c>
      <c r="AV73" s="1" t="e">
        <f t="shared" si="59"/>
        <v>#REF!</v>
      </c>
      <c r="AW73" s="9" t="e">
        <f t="shared" si="60"/>
        <v>#REF!</v>
      </c>
      <c r="AX73" s="10" t="e">
        <f t="shared" si="61"/>
        <v>#REF!</v>
      </c>
    </row>
    <row r="74" spans="1:50" x14ac:dyDescent="0.25">
      <c r="A74" s="5">
        <v>210002</v>
      </c>
      <c r="B74" s="6" t="s">
        <v>71</v>
      </c>
      <c r="C74" s="1" t="e">
        <f>SUMIFS(#REF!,#REF!,
 $A74,#REF!,
 "&gt;="&amp;INT($E$1),#REF!,
 "&lt;"&amp;INT($F$1+1)
)</f>
        <v>#REF!</v>
      </c>
      <c r="D74" s="1" t="str">
        <f>""</f>
        <v/>
      </c>
      <c r="F74" s="2"/>
      <c r="G74" s="1" t="e">
        <f>SUMIFS(#REF!,#REF!,
 $A74,#REF!,
 "&gt;="&amp;INT($I$1),#REF!,
 "&lt;"&amp;INT($J$1+1)
)</f>
        <v>#REF!</v>
      </c>
      <c r="H74" s="1" t="e">
        <f t="shared" si="31"/>
        <v>#REF!</v>
      </c>
      <c r="I74" s="1"/>
      <c r="J74" s="2"/>
      <c r="K74" s="1" t="e">
        <f>SUMIFS(#REF!,#REF!,
 $A74,#REF!,
 "&gt;="&amp;INT($M$1),#REF!,
 "&lt;"&amp;INT($N$1+1)
)</f>
        <v>#REF!</v>
      </c>
      <c r="L74" s="1" t="e">
        <f t="shared" si="32"/>
        <v>#REF!</v>
      </c>
      <c r="M74" s="9" t="e">
        <f t="shared" si="33"/>
        <v>#REF!</v>
      </c>
      <c r="N74" s="10" t="e">
        <f t="shared" si="34"/>
        <v>#REF!</v>
      </c>
      <c r="O74" s="1" t="e">
        <f>SUMIFS(#REF!,#REF!,
 $A74,#REF!,
 "&gt;="&amp;INT($Q$1),#REF!,
 "&lt;="&amp;INT($R$1)
)</f>
        <v>#REF!</v>
      </c>
      <c r="P74" s="1" t="e">
        <f t="shared" si="35"/>
        <v>#REF!</v>
      </c>
      <c r="Q74" s="9" t="e">
        <f t="shared" si="36"/>
        <v>#REF!</v>
      </c>
      <c r="R74" s="10" t="e">
        <f t="shared" si="37"/>
        <v>#REF!</v>
      </c>
      <c r="S74" s="1" t="e">
        <f>SUMIFS(#REF!,#REF!,
 $A74,#REF!,
 "&gt;="&amp;INT($U$1),#REF!,
 "&lt;="&amp;INT($V$1)
)</f>
        <v>#REF!</v>
      </c>
      <c r="T74" s="1" t="e">
        <f t="shared" si="38"/>
        <v>#REF!</v>
      </c>
      <c r="U74" s="9" t="e">
        <f t="shared" si="39"/>
        <v>#REF!</v>
      </c>
      <c r="V74" s="10" t="e">
        <f t="shared" si="40"/>
        <v>#REF!</v>
      </c>
      <c r="W74" s="1" t="e">
        <f>SUMIFS(#REF!,#REF!,
 $A74,#REF!,
 "&gt;="&amp;INT($Y$1),#REF!,
 "&lt;="&amp;INT($Z$1)
)</f>
        <v>#REF!</v>
      </c>
      <c r="X74" s="1" t="e">
        <f t="shared" si="41"/>
        <v>#REF!</v>
      </c>
      <c r="Y74" s="9" t="e">
        <f t="shared" si="42"/>
        <v>#REF!</v>
      </c>
      <c r="Z74" s="10" t="e">
        <f t="shared" si="43"/>
        <v>#REF!</v>
      </c>
      <c r="AA74" s="1" t="e">
        <f>SUMIFS(#REF!,#REF!,
 $A74,#REF!,
 "&gt;="&amp;INT($AC$1),#REF!,
 "&lt;="&amp;INT($AD$1)
)</f>
        <v>#REF!</v>
      </c>
      <c r="AB74" s="1" t="e">
        <f t="shared" si="44"/>
        <v>#REF!</v>
      </c>
      <c r="AC74" s="9" t="e">
        <f t="shared" si="45"/>
        <v>#REF!</v>
      </c>
      <c r="AD74" s="10" t="e">
        <f t="shared" si="46"/>
        <v>#REF!</v>
      </c>
      <c r="AE74" s="1" t="e">
        <f>SUMIFS(#REF!,#REF!,
 $A74,#REF!,
 "&gt;="&amp;INT($AG$1),#REF!,
 "&lt;="&amp;INT($AH$1)
)</f>
        <v>#REF!</v>
      </c>
      <c r="AF74" s="1" t="e">
        <f t="shared" si="47"/>
        <v>#REF!</v>
      </c>
      <c r="AG74" s="9" t="e">
        <f t="shared" si="48"/>
        <v>#REF!</v>
      </c>
      <c r="AH74" s="10" t="e">
        <f t="shared" si="49"/>
        <v>#REF!</v>
      </c>
      <c r="AI74" s="1" t="e">
        <f>SUMIFS(#REF!,#REF!,
 $A74,#REF!,
 "&gt;="&amp;INT($AK$1),#REF!,
 "&lt;="&amp;INT($AL$1)
)</f>
        <v>#REF!</v>
      </c>
      <c r="AJ74" s="1" t="e">
        <f t="shared" si="50"/>
        <v>#REF!</v>
      </c>
      <c r="AK74" s="9" t="e">
        <f t="shared" si="51"/>
        <v>#REF!</v>
      </c>
      <c r="AL74" s="10" t="e">
        <f t="shared" si="52"/>
        <v>#REF!</v>
      </c>
      <c r="AM74" s="1" t="e">
        <f>SUMIFS(#REF!,#REF!,
 $A74,#REF!,
 "&gt;="&amp;INT($AO$1),#REF!,
 "&lt;="&amp;INT($AP$1)
)</f>
        <v>#REF!</v>
      </c>
      <c r="AN74" s="1" t="e">
        <f t="shared" si="53"/>
        <v>#REF!</v>
      </c>
      <c r="AO74" s="9" t="e">
        <f t="shared" si="54"/>
        <v>#REF!</v>
      </c>
      <c r="AP74" s="10" t="e">
        <f t="shared" si="55"/>
        <v>#REF!</v>
      </c>
      <c r="AQ74" s="1" t="e">
        <f>SUMIFS(#REF!,#REF!,
 $A74,#REF!,
 "&gt;="&amp;INT($AS$1),#REF!,
 "&lt;="&amp;INT($AT$1)
)</f>
        <v>#REF!</v>
      </c>
      <c r="AR74" s="1" t="e">
        <f t="shared" si="56"/>
        <v>#REF!</v>
      </c>
      <c r="AS74" s="9" t="e">
        <f t="shared" si="57"/>
        <v>#REF!</v>
      </c>
      <c r="AT74" s="10" t="e">
        <f t="shared" si="58"/>
        <v>#REF!</v>
      </c>
      <c r="AU74" s="1" t="e">
        <f>SUMIFS(#REF!,#REF!,
 $A74,#REF!,
 "&gt;="&amp;INT($AW$1),#REF!,
 "&lt;="&amp;INT($AX$1)
)</f>
        <v>#REF!</v>
      </c>
      <c r="AV74" s="1" t="e">
        <f t="shared" si="59"/>
        <v>#REF!</v>
      </c>
      <c r="AW74" s="9" t="e">
        <f t="shared" si="60"/>
        <v>#REF!</v>
      </c>
      <c r="AX74" s="10" t="e">
        <f t="shared" si="61"/>
        <v>#REF!</v>
      </c>
    </row>
    <row r="75" spans="1:50" x14ac:dyDescent="0.25">
      <c r="A75" s="5">
        <v>210003</v>
      </c>
      <c r="B75" s="6" t="s">
        <v>72</v>
      </c>
      <c r="C75" s="1" t="e">
        <f>SUMIFS(#REF!,#REF!,
 $A75,#REF!,
 "&gt;="&amp;INT($E$1),#REF!,
 "&lt;"&amp;INT($F$1+1)
)</f>
        <v>#REF!</v>
      </c>
      <c r="D75" s="1" t="str">
        <f>""</f>
        <v/>
      </c>
      <c r="F75" s="2"/>
      <c r="G75" s="1" t="e">
        <f>SUMIFS(#REF!,#REF!,
 $A75,#REF!,
 "&gt;="&amp;INT($I$1),#REF!,
 "&lt;"&amp;INT($J$1+1)
)</f>
        <v>#REF!</v>
      </c>
      <c r="H75" s="1" t="e">
        <f t="shared" si="31"/>
        <v>#REF!</v>
      </c>
      <c r="I75" s="1"/>
      <c r="J75" s="2"/>
      <c r="K75" s="1" t="e">
        <f>SUMIFS(#REF!,#REF!,
 $A75,#REF!,
 "&gt;="&amp;INT($M$1),#REF!,
 "&lt;"&amp;INT($N$1+1)
)</f>
        <v>#REF!</v>
      </c>
      <c r="L75" s="1" t="e">
        <f t="shared" si="32"/>
        <v>#REF!</v>
      </c>
      <c r="M75" s="9" t="e">
        <f t="shared" si="33"/>
        <v>#REF!</v>
      </c>
      <c r="N75" s="10" t="e">
        <f t="shared" si="34"/>
        <v>#REF!</v>
      </c>
      <c r="O75" s="1" t="e">
        <f>SUMIFS(#REF!,#REF!,
 $A75,#REF!,
 "&gt;="&amp;INT($Q$1),#REF!,
 "&lt;="&amp;INT($R$1)
)</f>
        <v>#REF!</v>
      </c>
      <c r="P75" s="1" t="e">
        <f t="shared" si="35"/>
        <v>#REF!</v>
      </c>
      <c r="Q75" s="9" t="e">
        <f t="shared" si="36"/>
        <v>#REF!</v>
      </c>
      <c r="R75" s="10" t="e">
        <f t="shared" si="37"/>
        <v>#REF!</v>
      </c>
      <c r="S75" s="1" t="e">
        <f>SUMIFS(#REF!,#REF!,
 $A75,#REF!,
 "&gt;="&amp;INT($U$1),#REF!,
 "&lt;="&amp;INT($V$1)
)</f>
        <v>#REF!</v>
      </c>
      <c r="T75" s="1" t="e">
        <f t="shared" si="38"/>
        <v>#REF!</v>
      </c>
      <c r="U75" s="9" t="e">
        <f t="shared" si="39"/>
        <v>#REF!</v>
      </c>
      <c r="V75" s="10" t="e">
        <f t="shared" si="40"/>
        <v>#REF!</v>
      </c>
      <c r="W75" s="1" t="e">
        <f>SUMIFS(#REF!,#REF!,
 $A75,#REF!,
 "&gt;="&amp;INT($Y$1),#REF!,
 "&lt;="&amp;INT($Z$1)
)</f>
        <v>#REF!</v>
      </c>
      <c r="X75" s="1" t="e">
        <f t="shared" si="41"/>
        <v>#REF!</v>
      </c>
      <c r="Y75" s="9" t="e">
        <f t="shared" si="42"/>
        <v>#REF!</v>
      </c>
      <c r="Z75" s="10" t="e">
        <f t="shared" si="43"/>
        <v>#REF!</v>
      </c>
      <c r="AA75" s="1" t="e">
        <f>SUMIFS(#REF!,#REF!,
 $A75,#REF!,
 "&gt;="&amp;INT($AC$1),#REF!,
 "&lt;="&amp;INT($AD$1)
)</f>
        <v>#REF!</v>
      </c>
      <c r="AB75" s="1" t="e">
        <f t="shared" si="44"/>
        <v>#REF!</v>
      </c>
      <c r="AC75" s="9" t="e">
        <f t="shared" si="45"/>
        <v>#REF!</v>
      </c>
      <c r="AD75" s="10" t="e">
        <f t="shared" si="46"/>
        <v>#REF!</v>
      </c>
      <c r="AE75" s="1" t="e">
        <f>SUMIFS(#REF!,#REF!,
 $A75,#REF!,
 "&gt;="&amp;INT($AG$1),#REF!,
 "&lt;="&amp;INT($AH$1)
)</f>
        <v>#REF!</v>
      </c>
      <c r="AF75" s="1" t="e">
        <f t="shared" si="47"/>
        <v>#REF!</v>
      </c>
      <c r="AG75" s="9" t="e">
        <f t="shared" si="48"/>
        <v>#REF!</v>
      </c>
      <c r="AH75" s="10" t="e">
        <f t="shared" si="49"/>
        <v>#REF!</v>
      </c>
      <c r="AI75" s="1" t="e">
        <f>SUMIFS(#REF!,#REF!,
 $A75,#REF!,
 "&gt;="&amp;INT($AK$1),#REF!,
 "&lt;="&amp;INT($AL$1)
)</f>
        <v>#REF!</v>
      </c>
      <c r="AJ75" s="1" t="e">
        <f t="shared" si="50"/>
        <v>#REF!</v>
      </c>
      <c r="AK75" s="9" t="e">
        <f t="shared" si="51"/>
        <v>#REF!</v>
      </c>
      <c r="AL75" s="10" t="e">
        <f t="shared" si="52"/>
        <v>#REF!</v>
      </c>
      <c r="AM75" s="1" t="e">
        <f>SUMIFS(#REF!,#REF!,
 $A75,#REF!,
 "&gt;="&amp;INT($AO$1),#REF!,
 "&lt;="&amp;INT($AP$1)
)</f>
        <v>#REF!</v>
      </c>
      <c r="AN75" s="1" t="e">
        <f t="shared" si="53"/>
        <v>#REF!</v>
      </c>
      <c r="AO75" s="9" t="e">
        <f t="shared" si="54"/>
        <v>#REF!</v>
      </c>
      <c r="AP75" s="10" t="e">
        <f t="shared" si="55"/>
        <v>#REF!</v>
      </c>
      <c r="AQ75" s="1" t="e">
        <f>SUMIFS(#REF!,#REF!,
 $A75,#REF!,
 "&gt;="&amp;INT($AS$1),#REF!,
 "&lt;="&amp;INT($AT$1)
)</f>
        <v>#REF!</v>
      </c>
      <c r="AR75" s="1" t="e">
        <f t="shared" si="56"/>
        <v>#REF!</v>
      </c>
      <c r="AS75" s="9" t="e">
        <f t="shared" si="57"/>
        <v>#REF!</v>
      </c>
      <c r="AT75" s="10" t="e">
        <f t="shared" si="58"/>
        <v>#REF!</v>
      </c>
      <c r="AU75" s="1" t="e">
        <f>SUMIFS(#REF!,#REF!,
 $A75,#REF!,
 "&gt;="&amp;INT($AW$1),#REF!,
 "&lt;="&amp;INT($AX$1)
)</f>
        <v>#REF!</v>
      </c>
      <c r="AV75" s="1" t="e">
        <f t="shared" si="59"/>
        <v>#REF!</v>
      </c>
      <c r="AW75" s="9" t="e">
        <f t="shared" si="60"/>
        <v>#REF!</v>
      </c>
      <c r="AX75" s="10" t="e">
        <f t="shared" si="61"/>
        <v>#REF!</v>
      </c>
    </row>
    <row r="76" spans="1:50" x14ac:dyDescent="0.25">
      <c r="A76" s="5">
        <v>210004</v>
      </c>
      <c r="B76" s="6" t="s">
        <v>73</v>
      </c>
      <c r="C76" s="1" t="e">
        <f>SUMIFS(#REF!,#REF!,
 $A76,#REF!,
 "&gt;="&amp;INT($E$1),#REF!,
 "&lt;"&amp;INT($F$1+1)
)</f>
        <v>#REF!</v>
      </c>
      <c r="D76" s="1" t="str">
        <f>""</f>
        <v/>
      </c>
      <c r="F76" s="2"/>
      <c r="G76" s="1" t="e">
        <f>SUMIFS(#REF!,#REF!,
 $A76,#REF!,
 "&gt;="&amp;INT($I$1),#REF!,
 "&lt;"&amp;INT($J$1+1)
)</f>
        <v>#REF!</v>
      </c>
      <c r="H76" s="1" t="e">
        <f t="shared" si="31"/>
        <v>#REF!</v>
      </c>
      <c r="I76" s="1"/>
      <c r="J76" s="2"/>
      <c r="K76" s="1" t="e">
        <f>SUMIFS(#REF!,#REF!,
 $A76,#REF!,
 "&gt;="&amp;INT($M$1),#REF!,
 "&lt;"&amp;INT($N$1+1)
)</f>
        <v>#REF!</v>
      </c>
      <c r="L76" s="1" t="e">
        <f t="shared" si="32"/>
        <v>#REF!</v>
      </c>
      <c r="M76" s="9" t="e">
        <f t="shared" si="33"/>
        <v>#REF!</v>
      </c>
      <c r="N76" s="10" t="e">
        <f t="shared" si="34"/>
        <v>#REF!</v>
      </c>
      <c r="O76" s="1" t="e">
        <f>SUMIFS(#REF!,#REF!,
 $A76,#REF!,
 "&gt;="&amp;INT($Q$1),#REF!,
 "&lt;="&amp;INT($R$1)
)</f>
        <v>#REF!</v>
      </c>
      <c r="P76" s="1" t="e">
        <f t="shared" si="35"/>
        <v>#REF!</v>
      </c>
      <c r="Q76" s="9" t="e">
        <f t="shared" si="36"/>
        <v>#REF!</v>
      </c>
      <c r="R76" s="10" t="e">
        <f t="shared" si="37"/>
        <v>#REF!</v>
      </c>
      <c r="S76" s="1" t="e">
        <f>SUMIFS(#REF!,#REF!,
 $A76,#REF!,
 "&gt;="&amp;INT($U$1),#REF!,
 "&lt;="&amp;INT($V$1)
)</f>
        <v>#REF!</v>
      </c>
      <c r="T76" s="1" t="e">
        <f t="shared" si="38"/>
        <v>#REF!</v>
      </c>
      <c r="U76" s="9" t="e">
        <f t="shared" si="39"/>
        <v>#REF!</v>
      </c>
      <c r="V76" s="10" t="e">
        <f t="shared" si="40"/>
        <v>#REF!</v>
      </c>
      <c r="W76" s="1" t="e">
        <f>SUMIFS(#REF!,#REF!,
 $A76,#REF!,
 "&gt;="&amp;INT($Y$1),#REF!,
 "&lt;="&amp;INT($Z$1)
)</f>
        <v>#REF!</v>
      </c>
      <c r="X76" s="1" t="e">
        <f t="shared" si="41"/>
        <v>#REF!</v>
      </c>
      <c r="Y76" s="9" t="e">
        <f t="shared" si="42"/>
        <v>#REF!</v>
      </c>
      <c r="Z76" s="10" t="e">
        <f t="shared" si="43"/>
        <v>#REF!</v>
      </c>
      <c r="AA76" s="1" t="e">
        <f>SUMIFS(#REF!,#REF!,
 $A76,#REF!,
 "&gt;="&amp;INT($AC$1),#REF!,
 "&lt;="&amp;INT($AD$1)
)</f>
        <v>#REF!</v>
      </c>
      <c r="AB76" s="1" t="e">
        <f t="shared" si="44"/>
        <v>#REF!</v>
      </c>
      <c r="AC76" s="9" t="e">
        <f t="shared" si="45"/>
        <v>#REF!</v>
      </c>
      <c r="AD76" s="10" t="e">
        <f t="shared" si="46"/>
        <v>#REF!</v>
      </c>
      <c r="AE76" s="1" t="e">
        <f>SUMIFS(#REF!,#REF!,
 $A76,#REF!,
 "&gt;="&amp;INT($AG$1),#REF!,
 "&lt;="&amp;INT($AH$1)
)</f>
        <v>#REF!</v>
      </c>
      <c r="AF76" s="1" t="e">
        <f t="shared" si="47"/>
        <v>#REF!</v>
      </c>
      <c r="AG76" s="9" t="e">
        <f t="shared" si="48"/>
        <v>#REF!</v>
      </c>
      <c r="AH76" s="10" t="e">
        <f t="shared" si="49"/>
        <v>#REF!</v>
      </c>
      <c r="AI76" s="1" t="e">
        <f>SUMIFS(#REF!,#REF!,
 $A76,#REF!,
 "&gt;="&amp;INT($AK$1),#REF!,
 "&lt;="&amp;INT($AL$1)
)</f>
        <v>#REF!</v>
      </c>
      <c r="AJ76" s="1" t="e">
        <f t="shared" si="50"/>
        <v>#REF!</v>
      </c>
      <c r="AK76" s="9" t="e">
        <f t="shared" si="51"/>
        <v>#REF!</v>
      </c>
      <c r="AL76" s="10" t="e">
        <f t="shared" si="52"/>
        <v>#REF!</v>
      </c>
      <c r="AM76" s="1" t="e">
        <f>SUMIFS(#REF!,#REF!,
 $A76,#REF!,
 "&gt;="&amp;INT($AO$1),#REF!,
 "&lt;="&amp;INT($AP$1)
)</f>
        <v>#REF!</v>
      </c>
      <c r="AN76" s="1" t="e">
        <f t="shared" si="53"/>
        <v>#REF!</v>
      </c>
      <c r="AO76" s="9" t="e">
        <f t="shared" si="54"/>
        <v>#REF!</v>
      </c>
      <c r="AP76" s="10" t="e">
        <f t="shared" si="55"/>
        <v>#REF!</v>
      </c>
      <c r="AQ76" s="1" t="e">
        <f>SUMIFS(#REF!,#REF!,
 $A76,#REF!,
 "&gt;="&amp;INT($AS$1),#REF!,
 "&lt;="&amp;INT($AT$1)
)</f>
        <v>#REF!</v>
      </c>
      <c r="AR76" s="1" t="e">
        <f t="shared" si="56"/>
        <v>#REF!</v>
      </c>
      <c r="AS76" s="9" t="e">
        <f t="shared" si="57"/>
        <v>#REF!</v>
      </c>
      <c r="AT76" s="10" t="e">
        <f t="shared" si="58"/>
        <v>#REF!</v>
      </c>
      <c r="AU76" s="1" t="e">
        <f>SUMIFS(#REF!,#REF!,
 $A76,#REF!,
 "&gt;="&amp;INT($AW$1),#REF!,
 "&lt;="&amp;INT($AX$1)
)</f>
        <v>#REF!</v>
      </c>
      <c r="AV76" s="1" t="e">
        <f t="shared" si="59"/>
        <v>#REF!</v>
      </c>
      <c r="AW76" s="9" t="e">
        <f t="shared" si="60"/>
        <v>#REF!</v>
      </c>
      <c r="AX76" s="10" t="e">
        <f t="shared" si="61"/>
        <v>#REF!</v>
      </c>
    </row>
    <row r="77" spans="1:50" x14ac:dyDescent="0.25">
      <c r="A77" s="5">
        <v>210010</v>
      </c>
      <c r="B77" s="6" t="s">
        <v>74</v>
      </c>
      <c r="C77" s="1" t="e">
        <f>SUMIFS(#REF!,#REF!,
 $A77,#REF!,
 "&gt;="&amp;INT($E$1),#REF!,
 "&lt;"&amp;INT($F$1+1)
)</f>
        <v>#REF!</v>
      </c>
      <c r="D77" s="1" t="str">
        <f>""</f>
        <v/>
      </c>
      <c r="F77" s="2"/>
      <c r="G77" s="1" t="e">
        <f>SUMIFS(#REF!,#REF!,
 $A77,#REF!,
 "&gt;="&amp;INT($I$1),#REF!,
 "&lt;"&amp;INT($J$1+1)
)</f>
        <v>#REF!</v>
      </c>
      <c r="H77" s="1" t="e">
        <f t="shared" si="31"/>
        <v>#REF!</v>
      </c>
      <c r="I77" s="1"/>
      <c r="J77" s="2"/>
      <c r="K77" s="1" t="e">
        <f>SUMIFS(#REF!,#REF!,
 $A77,#REF!,
 "&gt;="&amp;INT($M$1),#REF!,
 "&lt;"&amp;INT($N$1+1)
)</f>
        <v>#REF!</v>
      </c>
      <c r="L77" s="1" t="e">
        <f t="shared" si="32"/>
        <v>#REF!</v>
      </c>
      <c r="M77" s="9" t="e">
        <f t="shared" si="33"/>
        <v>#REF!</v>
      </c>
      <c r="N77" s="10" t="e">
        <f t="shared" si="34"/>
        <v>#REF!</v>
      </c>
      <c r="O77" s="1" t="e">
        <f>SUMIFS(#REF!,#REF!,
 $A77,#REF!,
 "&gt;="&amp;INT($Q$1),#REF!,
 "&lt;="&amp;INT($R$1)
)</f>
        <v>#REF!</v>
      </c>
      <c r="P77" s="1" t="e">
        <f t="shared" si="35"/>
        <v>#REF!</v>
      </c>
      <c r="Q77" s="9" t="e">
        <f t="shared" si="36"/>
        <v>#REF!</v>
      </c>
      <c r="R77" s="10" t="e">
        <f t="shared" si="37"/>
        <v>#REF!</v>
      </c>
      <c r="S77" s="1" t="e">
        <f>SUMIFS(#REF!,#REF!,
 $A77,#REF!,
 "&gt;="&amp;INT($U$1),#REF!,
 "&lt;="&amp;INT($V$1)
)</f>
        <v>#REF!</v>
      </c>
      <c r="T77" s="1" t="e">
        <f t="shared" si="38"/>
        <v>#REF!</v>
      </c>
      <c r="U77" s="9" t="e">
        <f t="shared" si="39"/>
        <v>#REF!</v>
      </c>
      <c r="V77" s="10" t="e">
        <f t="shared" si="40"/>
        <v>#REF!</v>
      </c>
      <c r="W77" s="1" t="e">
        <f>SUMIFS(#REF!,#REF!,
 $A77,#REF!,
 "&gt;="&amp;INT($Y$1),#REF!,
 "&lt;="&amp;INT($Z$1)
)</f>
        <v>#REF!</v>
      </c>
      <c r="X77" s="1" t="e">
        <f t="shared" si="41"/>
        <v>#REF!</v>
      </c>
      <c r="Y77" s="9" t="e">
        <f t="shared" si="42"/>
        <v>#REF!</v>
      </c>
      <c r="Z77" s="10" t="e">
        <f t="shared" si="43"/>
        <v>#REF!</v>
      </c>
      <c r="AA77" s="1" t="e">
        <f>SUMIFS(#REF!,#REF!,
 $A77,#REF!,
 "&gt;="&amp;INT($AC$1),#REF!,
 "&lt;="&amp;INT($AD$1)
)</f>
        <v>#REF!</v>
      </c>
      <c r="AB77" s="1" t="e">
        <f t="shared" si="44"/>
        <v>#REF!</v>
      </c>
      <c r="AC77" s="9" t="e">
        <f t="shared" si="45"/>
        <v>#REF!</v>
      </c>
      <c r="AD77" s="10" t="e">
        <f t="shared" si="46"/>
        <v>#REF!</v>
      </c>
      <c r="AE77" s="1" t="e">
        <f>SUMIFS(#REF!,#REF!,
 $A77,#REF!,
 "&gt;="&amp;INT($AG$1),#REF!,
 "&lt;="&amp;INT($AH$1)
)</f>
        <v>#REF!</v>
      </c>
      <c r="AF77" s="1" t="e">
        <f t="shared" si="47"/>
        <v>#REF!</v>
      </c>
      <c r="AG77" s="9" t="e">
        <f t="shared" si="48"/>
        <v>#REF!</v>
      </c>
      <c r="AH77" s="10" t="e">
        <f t="shared" si="49"/>
        <v>#REF!</v>
      </c>
      <c r="AI77" s="1" t="e">
        <f>SUMIFS(#REF!,#REF!,
 $A77,#REF!,
 "&gt;="&amp;INT($AK$1),#REF!,
 "&lt;="&amp;INT($AL$1)
)</f>
        <v>#REF!</v>
      </c>
      <c r="AJ77" s="1" t="e">
        <f t="shared" si="50"/>
        <v>#REF!</v>
      </c>
      <c r="AK77" s="9" t="e">
        <f t="shared" si="51"/>
        <v>#REF!</v>
      </c>
      <c r="AL77" s="10" t="e">
        <f t="shared" si="52"/>
        <v>#REF!</v>
      </c>
      <c r="AM77" s="1" t="e">
        <f>SUMIFS(#REF!,#REF!,
 $A77,#REF!,
 "&gt;="&amp;INT($AO$1),#REF!,
 "&lt;="&amp;INT($AP$1)
)</f>
        <v>#REF!</v>
      </c>
      <c r="AN77" s="1" t="e">
        <f t="shared" si="53"/>
        <v>#REF!</v>
      </c>
      <c r="AO77" s="9" t="e">
        <f t="shared" si="54"/>
        <v>#REF!</v>
      </c>
      <c r="AP77" s="10" t="e">
        <f t="shared" si="55"/>
        <v>#REF!</v>
      </c>
      <c r="AQ77" s="1" t="e">
        <f>SUMIFS(#REF!,#REF!,
 $A77,#REF!,
 "&gt;="&amp;INT($AS$1),#REF!,
 "&lt;="&amp;INT($AT$1)
)</f>
        <v>#REF!</v>
      </c>
      <c r="AR77" s="1" t="e">
        <f t="shared" si="56"/>
        <v>#REF!</v>
      </c>
      <c r="AS77" s="9" t="e">
        <f t="shared" si="57"/>
        <v>#REF!</v>
      </c>
      <c r="AT77" s="10" t="e">
        <f t="shared" si="58"/>
        <v>#REF!</v>
      </c>
      <c r="AU77" s="1" t="e">
        <f>SUMIFS(#REF!,#REF!,
 $A77,#REF!,
 "&gt;="&amp;INT($AW$1),#REF!,
 "&lt;="&amp;INT($AX$1)
)</f>
        <v>#REF!</v>
      </c>
      <c r="AV77" s="1" t="e">
        <f t="shared" si="59"/>
        <v>#REF!</v>
      </c>
      <c r="AW77" s="9" t="e">
        <f t="shared" si="60"/>
        <v>#REF!</v>
      </c>
      <c r="AX77" s="10" t="e">
        <f t="shared" si="61"/>
        <v>#REF!</v>
      </c>
    </row>
    <row r="78" spans="1:50" x14ac:dyDescent="0.25">
      <c r="A78" s="5">
        <v>210012</v>
      </c>
      <c r="B78" s="6" t="s">
        <v>75</v>
      </c>
      <c r="C78" s="1" t="e">
        <f>SUMIFS(#REF!,#REF!,
 $A78,#REF!,
 "&gt;="&amp;INT($E$1),#REF!,
 "&lt;"&amp;INT($F$1+1)
)</f>
        <v>#REF!</v>
      </c>
      <c r="D78" s="1" t="str">
        <f>""</f>
        <v/>
      </c>
      <c r="F78" s="2"/>
      <c r="G78" s="1" t="e">
        <f>SUMIFS(#REF!,#REF!,
 $A78,#REF!,
 "&gt;="&amp;INT($I$1),#REF!,
 "&lt;"&amp;INT($J$1+1)
)</f>
        <v>#REF!</v>
      </c>
      <c r="H78" s="1" t="e">
        <f t="shared" si="31"/>
        <v>#REF!</v>
      </c>
      <c r="I78" s="1"/>
      <c r="J78" s="2"/>
      <c r="K78" s="1" t="e">
        <f>SUMIFS(#REF!,#REF!,
 $A78,#REF!,
 "&gt;="&amp;INT($M$1),#REF!,
 "&lt;"&amp;INT($N$1+1)
)</f>
        <v>#REF!</v>
      </c>
      <c r="L78" s="1" t="e">
        <f t="shared" si="32"/>
        <v>#REF!</v>
      </c>
      <c r="M78" s="9" t="e">
        <f t="shared" si="33"/>
        <v>#REF!</v>
      </c>
      <c r="N78" s="10" t="e">
        <f t="shared" si="34"/>
        <v>#REF!</v>
      </c>
      <c r="O78" s="1" t="e">
        <f>SUMIFS(#REF!,#REF!,
 $A78,#REF!,
 "&gt;="&amp;INT($Q$1),#REF!,
 "&lt;="&amp;INT($R$1)
)</f>
        <v>#REF!</v>
      </c>
      <c r="P78" s="1" t="e">
        <f t="shared" si="35"/>
        <v>#REF!</v>
      </c>
      <c r="Q78" s="9" t="e">
        <f t="shared" si="36"/>
        <v>#REF!</v>
      </c>
      <c r="R78" s="10" t="e">
        <f t="shared" si="37"/>
        <v>#REF!</v>
      </c>
      <c r="S78" s="1" t="e">
        <f>SUMIFS(#REF!,#REF!,
 $A78,#REF!,
 "&gt;="&amp;INT($U$1),#REF!,
 "&lt;="&amp;INT($V$1)
)</f>
        <v>#REF!</v>
      </c>
      <c r="T78" s="1" t="e">
        <f t="shared" si="38"/>
        <v>#REF!</v>
      </c>
      <c r="U78" s="9" t="e">
        <f t="shared" si="39"/>
        <v>#REF!</v>
      </c>
      <c r="V78" s="10" t="e">
        <f t="shared" si="40"/>
        <v>#REF!</v>
      </c>
      <c r="W78" s="1" t="e">
        <f>SUMIFS(#REF!,#REF!,
 $A78,#REF!,
 "&gt;="&amp;INT($Y$1),#REF!,
 "&lt;="&amp;INT($Z$1)
)</f>
        <v>#REF!</v>
      </c>
      <c r="X78" s="1" t="e">
        <f t="shared" si="41"/>
        <v>#REF!</v>
      </c>
      <c r="Y78" s="9" t="e">
        <f t="shared" si="42"/>
        <v>#REF!</v>
      </c>
      <c r="Z78" s="10" t="e">
        <f t="shared" si="43"/>
        <v>#REF!</v>
      </c>
      <c r="AA78" s="1" t="e">
        <f>SUMIFS(#REF!,#REF!,
 $A78,#REF!,
 "&gt;="&amp;INT($AC$1),#REF!,
 "&lt;="&amp;INT($AD$1)
)</f>
        <v>#REF!</v>
      </c>
      <c r="AB78" s="1" t="e">
        <f t="shared" si="44"/>
        <v>#REF!</v>
      </c>
      <c r="AC78" s="9" t="e">
        <f t="shared" si="45"/>
        <v>#REF!</v>
      </c>
      <c r="AD78" s="10" t="e">
        <f t="shared" si="46"/>
        <v>#REF!</v>
      </c>
      <c r="AE78" s="1" t="e">
        <f>SUMIFS(#REF!,#REF!,
 $A78,#REF!,
 "&gt;="&amp;INT($AG$1),#REF!,
 "&lt;="&amp;INT($AH$1)
)</f>
        <v>#REF!</v>
      </c>
      <c r="AF78" s="1" t="e">
        <f t="shared" si="47"/>
        <v>#REF!</v>
      </c>
      <c r="AG78" s="9" t="e">
        <f t="shared" si="48"/>
        <v>#REF!</v>
      </c>
      <c r="AH78" s="10" t="e">
        <f t="shared" si="49"/>
        <v>#REF!</v>
      </c>
      <c r="AI78" s="1" t="e">
        <f>SUMIFS(#REF!,#REF!,
 $A78,#REF!,
 "&gt;="&amp;INT($AK$1),#REF!,
 "&lt;="&amp;INT($AL$1)
)</f>
        <v>#REF!</v>
      </c>
      <c r="AJ78" s="1" t="e">
        <f t="shared" si="50"/>
        <v>#REF!</v>
      </c>
      <c r="AK78" s="9" t="e">
        <f t="shared" si="51"/>
        <v>#REF!</v>
      </c>
      <c r="AL78" s="10" t="e">
        <f t="shared" si="52"/>
        <v>#REF!</v>
      </c>
      <c r="AM78" s="1" t="e">
        <f>SUMIFS(#REF!,#REF!,
 $A78,#REF!,
 "&gt;="&amp;INT($AO$1),#REF!,
 "&lt;="&amp;INT($AP$1)
)</f>
        <v>#REF!</v>
      </c>
      <c r="AN78" s="1" t="e">
        <f t="shared" si="53"/>
        <v>#REF!</v>
      </c>
      <c r="AO78" s="9" t="e">
        <f t="shared" si="54"/>
        <v>#REF!</v>
      </c>
      <c r="AP78" s="10" t="e">
        <f t="shared" si="55"/>
        <v>#REF!</v>
      </c>
      <c r="AQ78" s="1" t="e">
        <f>SUMIFS(#REF!,#REF!,
 $A78,#REF!,
 "&gt;="&amp;INT($AS$1),#REF!,
 "&lt;="&amp;INT($AT$1)
)</f>
        <v>#REF!</v>
      </c>
      <c r="AR78" s="1" t="e">
        <f t="shared" si="56"/>
        <v>#REF!</v>
      </c>
      <c r="AS78" s="9" t="e">
        <f t="shared" si="57"/>
        <v>#REF!</v>
      </c>
      <c r="AT78" s="10" t="e">
        <f t="shared" si="58"/>
        <v>#REF!</v>
      </c>
      <c r="AU78" s="1" t="e">
        <f>SUMIFS(#REF!,#REF!,
 $A78,#REF!,
 "&gt;="&amp;INT($AW$1),#REF!,
 "&lt;="&amp;INT($AX$1)
)</f>
        <v>#REF!</v>
      </c>
      <c r="AV78" s="1" t="e">
        <f t="shared" si="59"/>
        <v>#REF!</v>
      </c>
      <c r="AW78" s="9" t="e">
        <f t="shared" si="60"/>
        <v>#REF!</v>
      </c>
      <c r="AX78" s="10" t="e">
        <f t="shared" si="61"/>
        <v>#REF!</v>
      </c>
    </row>
    <row r="79" spans="1:50" x14ac:dyDescent="0.25">
      <c r="A79" s="5">
        <v>210013</v>
      </c>
      <c r="B79" s="6" t="s">
        <v>76</v>
      </c>
      <c r="C79" s="1" t="e">
        <f>SUMIFS(#REF!,#REF!,
 $A79,#REF!,
 "&gt;="&amp;INT($E$1),#REF!,
 "&lt;"&amp;INT($F$1+1)
)</f>
        <v>#REF!</v>
      </c>
      <c r="D79" s="1" t="str">
        <f>""</f>
        <v/>
      </c>
      <c r="F79" s="2"/>
      <c r="G79" s="1" t="e">
        <f>SUMIFS(#REF!,#REF!,
 $A79,#REF!,
 "&gt;="&amp;INT($I$1),#REF!,
 "&lt;"&amp;INT($J$1+1)
)</f>
        <v>#REF!</v>
      </c>
      <c r="H79" s="1" t="e">
        <f t="shared" si="31"/>
        <v>#REF!</v>
      </c>
      <c r="I79" s="1"/>
      <c r="J79" s="2"/>
      <c r="K79" s="1" t="e">
        <f>SUMIFS(#REF!,#REF!,
 $A79,#REF!,
 "&gt;="&amp;INT($M$1),#REF!,
 "&lt;"&amp;INT($N$1+1)
)</f>
        <v>#REF!</v>
      </c>
      <c r="L79" s="1" t="e">
        <f t="shared" si="32"/>
        <v>#REF!</v>
      </c>
      <c r="M79" s="9" t="e">
        <f t="shared" si="33"/>
        <v>#REF!</v>
      </c>
      <c r="N79" s="10" t="e">
        <f t="shared" si="34"/>
        <v>#REF!</v>
      </c>
      <c r="O79" s="1" t="e">
        <f>SUMIFS(#REF!,#REF!,
 $A79,#REF!,
 "&gt;="&amp;INT($Q$1),#REF!,
 "&lt;="&amp;INT($R$1)
)</f>
        <v>#REF!</v>
      </c>
      <c r="P79" s="1" t="e">
        <f t="shared" si="35"/>
        <v>#REF!</v>
      </c>
      <c r="Q79" s="9" t="e">
        <f t="shared" si="36"/>
        <v>#REF!</v>
      </c>
      <c r="R79" s="10" t="e">
        <f t="shared" si="37"/>
        <v>#REF!</v>
      </c>
      <c r="S79" s="1" t="e">
        <f>SUMIFS(#REF!,#REF!,
 $A79,#REF!,
 "&gt;="&amp;INT($U$1),#REF!,
 "&lt;="&amp;INT($V$1)
)</f>
        <v>#REF!</v>
      </c>
      <c r="T79" s="1" t="e">
        <f t="shared" si="38"/>
        <v>#REF!</v>
      </c>
      <c r="U79" s="9" t="e">
        <f t="shared" si="39"/>
        <v>#REF!</v>
      </c>
      <c r="V79" s="10" t="e">
        <f t="shared" si="40"/>
        <v>#REF!</v>
      </c>
      <c r="W79" s="1" t="e">
        <f>SUMIFS(#REF!,#REF!,
 $A79,#REF!,
 "&gt;="&amp;INT($Y$1),#REF!,
 "&lt;="&amp;INT($Z$1)
)</f>
        <v>#REF!</v>
      </c>
      <c r="X79" s="1" t="e">
        <f t="shared" si="41"/>
        <v>#REF!</v>
      </c>
      <c r="Y79" s="9" t="e">
        <f t="shared" si="42"/>
        <v>#REF!</v>
      </c>
      <c r="Z79" s="10" t="e">
        <f t="shared" si="43"/>
        <v>#REF!</v>
      </c>
      <c r="AA79" s="1" t="e">
        <f>SUMIFS(#REF!,#REF!,
 $A79,#REF!,
 "&gt;="&amp;INT($AC$1),#REF!,
 "&lt;="&amp;INT($AD$1)
)</f>
        <v>#REF!</v>
      </c>
      <c r="AB79" s="1" t="e">
        <f t="shared" si="44"/>
        <v>#REF!</v>
      </c>
      <c r="AC79" s="9" t="e">
        <f t="shared" si="45"/>
        <v>#REF!</v>
      </c>
      <c r="AD79" s="10" t="e">
        <f t="shared" si="46"/>
        <v>#REF!</v>
      </c>
      <c r="AE79" s="1" t="e">
        <f>SUMIFS(#REF!,#REF!,
 $A79,#REF!,
 "&gt;="&amp;INT($AG$1),#REF!,
 "&lt;="&amp;INT($AH$1)
)</f>
        <v>#REF!</v>
      </c>
      <c r="AF79" s="1" t="e">
        <f t="shared" si="47"/>
        <v>#REF!</v>
      </c>
      <c r="AG79" s="9" t="e">
        <f t="shared" si="48"/>
        <v>#REF!</v>
      </c>
      <c r="AH79" s="10" t="e">
        <f t="shared" si="49"/>
        <v>#REF!</v>
      </c>
      <c r="AI79" s="1" t="e">
        <f>SUMIFS(#REF!,#REF!,
 $A79,#REF!,
 "&gt;="&amp;INT($AK$1),#REF!,
 "&lt;="&amp;INT($AL$1)
)</f>
        <v>#REF!</v>
      </c>
      <c r="AJ79" s="1" t="e">
        <f t="shared" si="50"/>
        <v>#REF!</v>
      </c>
      <c r="AK79" s="9" t="e">
        <f t="shared" si="51"/>
        <v>#REF!</v>
      </c>
      <c r="AL79" s="10" t="e">
        <f t="shared" si="52"/>
        <v>#REF!</v>
      </c>
      <c r="AM79" s="1" t="e">
        <f>SUMIFS(#REF!,#REF!,
 $A79,#REF!,
 "&gt;="&amp;INT($AO$1),#REF!,
 "&lt;="&amp;INT($AP$1)
)</f>
        <v>#REF!</v>
      </c>
      <c r="AN79" s="1" t="e">
        <f t="shared" si="53"/>
        <v>#REF!</v>
      </c>
      <c r="AO79" s="9" t="e">
        <f t="shared" si="54"/>
        <v>#REF!</v>
      </c>
      <c r="AP79" s="10" t="e">
        <f t="shared" si="55"/>
        <v>#REF!</v>
      </c>
      <c r="AQ79" s="1" t="e">
        <f>SUMIFS(#REF!,#REF!,
 $A79,#REF!,
 "&gt;="&amp;INT($AS$1),#REF!,
 "&lt;="&amp;INT($AT$1)
)</f>
        <v>#REF!</v>
      </c>
      <c r="AR79" s="1" t="e">
        <f t="shared" si="56"/>
        <v>#REF!</v>
      </c>
      <c r="AS79" s="9" t="e">
        <f t="shared" si="57"/>
        <v>#REF!</v>
      </c>
      <c r="AT79" s="10" t="e">
        <f t="shared" si="58"/>
        <v>#REF!</v>
      </c>
      <c r="AU79" s="1" t="e">
        <f>SUMIFS(#REF!,#REF!,
 $A79,#REF!,
 "&gt;="&amp;INT($AW$1),#REF!,
 "&lt;="&amp;INT($AX$1)
)</f>
        <v>#REF!</v>
      </c>
      <c r="AV79" s="1" t="e">
        <f t="shared" si="59"/>
        <v>#REF!</v>
      </c>
      <c r="AW79" s="9" t="e">
        <f t="shared" si="60"/>
        <v>#REF!</v>
      </c>
      <c r="AX79" s="10" t="e">
        <f t="shared" si="61"/>
        <v>#REF!</v>
      </c>
    </row>
    <row r="80" spans="1:50" x14ac:dyDescent="0.25">
      <c r="A80" s="5">
        <v>210014</v>
      </c>
      <c r="B80" s="6" t="s">
        <v>77</v>
      </c>
      <c r="C80" s="1" t="e">
        <f>SUMIFS(#REF!,#REF!,
 $A80,#REF!,
 "&gt;="&amp;INT($E$1),#REF!,
 "&lt;"&amp;INT($F$1+1)
)</f>
        <v>#REF!</v>
      </c>
      <c r="D80" s="1" t="str">
        <f>""</f>
        <v/>
      </c>
      <c r="F80" s="2"/>
      <c r="G80" s="1" t="e">
        <f>SUMIFS(#REF!,#REF!,
 $A80,#REF!,
 "&gt;="&amp;INT($I$1),#REF!,
 "&lt;"&amp;INT($J$1+1)
)</f>
        <v>#REF!</v>
      </c>
      <c r="H80" s="1" t="e">
        <f t="shared" si="31"/>
        <v>#REF!</v>
      </c>
      <c r="I80" s="1"/>
      <c r="J80" s="2"/>
      <c r="K80" s="1" t="e">
        <f>SUMIFS(#REF!,#REF!,
 $A80,#REF!,
 "&gt;="&amp;INT($M$1),#REF!,
 "&lt;"&amp;INT($N$1+1)
)</f>
        <v>#REF!</v>
      </c>
      <c r="L80" s="1" t="e">
        <f t="shared" si="32"/>
        <v>#REF!</v>
      </c>
      <c r="M80" s="9" t="e">
        <f t="shared" si="33"/>
        <v>#REF!</v>
      </c>
      <c r="N80" s="10" t="e">
        <f t="shared" si="34"/>
        <v>#REF!</v>
      </c>
      <c r="O80" s="1" t="e">
        <f>SUMIFS(#REF!,#REF!,
 $A80,#REF!,
 "&gt;="&amp;INT($Q$1),#REF!,
 "&lt;="&amp;INT($R$1)
)</f>
        <v>#REF!</v>
      </c>
      <c r="P80" s="1" t="e">
        <f t="shared" si="35"/>
        <v>#REF!</v>
      </c>
      <c r="Q80" s="9" t="e">
        <f t="shared" si="36"/>
        <v>#REF!</v>
      </c>
      <c r="R80" s="10" t="e">
        <f t="shared" si="37"/>
        <v>#REF!</v>
      </c>
      <c r="S80" s="1" t="e">
        <f>SUMIFS(#REF!,#REF!,
 $A80,#REF!,
 "&gt;="&amp;INT($U$1),#REF!,
 "&lt;="&amp;INT($V$1)
)</f>
        <v>#REF!</v>
      </c>
      <c r="T80" s="1" t="e">
        <f t="shared" si="38"/>
        <v>#REF!</v>
      </c>
      <c r="U80" s="9" t="e">
        <f t="shared" si="39"/>
        <v>#REF!</v>
      </c>
      <c r="V80" s="10" t="e">
        <f t="shared" si="40"/>
        <v>#REF!</v>
      </c>
      <c r="W80" s="1" t="e">
        <f>SUMIFS(#REF!,#REF!,
 $A80,#REF!,
 "&gt;="&amp;INT($Y$1),#REF!,
 "&lt;="&amp;INT($Z$1)
)</f>
        <v>#REF!</v>
      </c>
      <c r="X80" s="1" t="e">
        <f t="shared" si="41"/>
        <v>#REF!</v>
      </c>
      <c r="Y80" s="9" t="e">
        <f t="shared" si="42"/>
        <v>#REF!</v>
      </c>
      <c r="Z80" s="10" t="e">
        <f t="shared" si="43"/>
        <v>#REF!</v>
      </c>
      <c r="AA80" s="1" t="e">
        <f>SUMIFS(#REF!,#REF!,
 $A80,#REF!,
 "&gt;="&amp;INT($AC$1),#REF!,
 "&lt;="&amp;INT($AD$1)
)</f>
        <v>#REF!</v>
      </c>
      <c r="AB80" s="1" t="e">
        <f t="shared" si="44"/>
        <v>#REF!</v>
      </c>
      <c r="AC80" s="9" t="e">
        <f t="shared" si="45"/>
        <v>#REF!</v>
      </c>
      <c r="AD80" s="10" t="e">
        <f t="shared" si="46"/>
        <v>#REF!</v>
      </c>
      <c r="AE80" s="1" t="e">
        <f>SUMIFS(#REF!,#REF!,
 $A80,#REF!,
 "&gt;="&amp;INT($AG$1),#REF!,
 "&lt;="&amp;INT($AH$1)
)</f>
        <v>#REF!</v>
      </c>
      <c r="AF80" s="1" t="e">
        <f t="shared" si="47"/>
        <v>#REF!</v>
      </c>
      <c r="AG80" s="9" t="e">
        <f t="shared" si="48"/>
        <v>#REF!</v>
      </c>
      <c r="AH80" s="10" t="e">
        <f t="shared" si="49"/>
        <v>#REF!</v>
      </c>
      <c r="AI80" s="1" t="e">
        <f>SUMIFS(#REF!,#REF!,
 $A80,#REF!,
 "&gt;="&amp;INT($AK$1),#REF!,
 "&lt;="&amp;INT($AL$1)
)</f>
        <v>#REF!</v>
      </c>
      <c r="AJ80" s="1" t="e">
        <f t="shared" si="50"/>
        <v>#REF!</v>
      </c>
      <c r="AK80" s="9" t="e">
        <f t="shared" si="51"/>
        <v>#REF!</v>
      </c>
      <c r="AL80" s="10" t="e">
        <f t="shared" si="52"/>
        <v>#REF!</v>
      </c>
      <c r="AM80" s="1" t="e">
        <f>SUMIFS(#REF!,#REF!,
 $A80,#REF!,
 "&gt;="&amp;INT($AO$1),#REF!,
 "&lt;="&amp;INT($AP$1)
)</f>
        <v>#REF!</v>
      </c>
      <c r="AN80" s="1" t="e">
        <f t="shared" si="53"/>
        <v>#REF!</v>
      </c>
      <c r="AO80" s="9" t="e">
        <f t="shared" si="54"/>
        <v>#REF!</v>
      </c>
      <c r="AP80" s="10" t="e">
        <f t="shared" si="55"/>
        <v>#REF!</v>
      </c>
      <c r="AQ80" s="1" t="e">
        <f>SUMIFS(#REF!,#REF!,
 $A80,#REF!,
 "&gt;="&amp;INT($AS$1),#REF!,
 "&lt;="&amp;INT($AT$1)
)</f>
        <v>#REF!</v>
      </c>
      <c r="AR80" s="1" t="e">
        <f t="shared" si="56"/>
        <v>#REF!</v>
      </c>
      <c r="AS80" s="9" t="e">
        <f t="shared" si="57"/>
        <v>#REF!</v>
      </c>
      <c r="AT80" s="10" t="e">
        <f t="shared" si="58"/>
        <v>#REF!</v>
      </c>
      <c r="AU80" s="1" t="e">
        <f>SUMIFS(#REF!,#REF!,
 $A80,#REF!,
 "&gt;="&amp;INT($AW$1),#REF!,
 "&lt;="&amp;INT($AX$1)
)</f>
        <v>#REF!</v>
      </c>
      <c r="AV80" s="1" t="e">
        <f t="shared" si="59"/>
        <v>#REF!</v>
      </c>
      <c r="AW80" s="9" t="e">
        <f t="shared" si="60"/>
        <v>#REF!</v>
      </c>
      <c r="AX80" s="10" t="e">
        <f t="shared" si="61"/>
        <v>#REF!</v>
      </c>
    </row>
    <row r="81" spans="1:50" x14ac:dyDescent="0.25">
      <c r="A81" s="5">
        <v>210015</v>
      </c>
      <c r="B81" s="6" t="s">
        <v>78</v>
      </c>
      <c r="C81" s="1" t="e">
        <f>SUMIFS(#REF!,#REF!,
 $A81,#REF!,
 "&gt;="&amp;INT($E$1),#REF!,
 "&lt;"&amp;INT($F$1+1)
)</f>
        <v>#REF!</v>
      </c>
      <c r="D81" s="1" t="str">
        <f>""</f>
        <v/>
      </c>
      <c r="F81" s="2"/>
      <c r="G81" s="1" t="e">
        <f>SUMIFS(#REF!,#REF!,
 $A81,#REF!,
 "&gt;="&amp;INT($I$1),#REF!,
 "&lt;"&amp;INT($J$1+1)
)</f>
        <v>#REF!</v>
      </c>
      <c r="H81" s="1" t="e">
        <f t="shared" si="31"/>
        <v>#REF!</v>
      </c>
      <c r="I81" s="1"/>
      <c r="J81" s="2"/>
      <c r="K81" s="1" t="e">
        <f>SUMIFS(#REF!,#REF!,
 $A81,#REF!,
 "&gt;="&amp;INT($M$1),#REF!,
 "&lt;"&amp;INT($N$1+1)
)</f>
        <v>#REF!</v>
      </c>
      <c r="L81" s="1" t="e">
        <f t="shared" si="32"/>
        <v>#REF!</v>
      </c>
      <c r="M81" s="9" t="e">
        <f t="shared" si="33"/>
        <v>#REF!</v>
      </c>
      <c r="N81" s="10" t="e">
        <f t="shared" si="34"/>
        <v>#REF!</v>
      </c>
      <c r="O81" s="1" t="e">
        <f>SUMIFS(#REF!,#REF!,
 $A81,#REF!,
 "&gt;="&amp;INT($Q$1),#REF!,
 "&lt;="&amp;INT($R$1)
)</f>
        <v>#REF!</v>
      </c>
      <c r="P81" s="1" t="e">
        <f t="shared" si="35"/>
        <v>#REF!</v>
      </c>
      <c r="Q81" s="9" t="e">
        <f t="shared" si="36"/>
        <v>#REF!</v>
      </c>
      <c r="R81" s="10" t="e">
        <f t="shared" si="37"/>
        <v>#REF!</v>
      </c>
      <c r="S81" s="1" t="e">
        <f>SUMIFS(#REF!,#REF!,
 $A81,#REF!,
 "&gt;="&amp;INT($U$1),#REF!,
 "&lt;="&amp;INT($V$1)
)</f>
        <v>#REF!</v>
      </c>
      <c r="T81" s="1" t="e">
        <f t="shared" si="38"/>
        <v>#REF!</v>
      </c>
      <c r="U81" s="9" t="e">
        <f t="shared" si="39"/>
        <v>#REF!</v>
      </c>
      <c r="V81" s="10" t="e">
        <f t="shared" si="40"/>
        <v>#REF!</v>
      </c>
      <c r="W81" s="1" t="e">
        <f>SUMIFS(#REF!,#REF!,
 $A81,#REF!,
 "&gt;="&amp;INT($Y$1),#REF!,
 "&lt;="&amp;INT($Z$1)
)</f>
        <v>#REF!</v>
      </c>
      <c r="X81" s="1" t="e">
        <f t="shared" si="41"/>
        <v>#REF!</v>
      </c>
      <c r="Y81" s="9" t="e">
        <f t="shared" si="42"/>
        <v>#REF!</v>
      </c>
      <c r="Z81" s="10" t="e">
        <f t="shared" si="43"/>
        <v>#REF!</v>
      </c>
      <c r="AA81" s="1" t="e">
        <f>SUMIFS(#REF!,#REF!,
 $A81,#REF!,
 "&gt;="&amp;INT($AC$1),#REF!,
 "&lt;="&amp;INT($AD$1)
)</f>
        <v>#REF!</v>
      </c>
      <c r="AB81" s="1" t="e">
        <f t="shared" si="44"/>
        <v>#REF!</v>
      </c>
      <c r="AC81" s="9" t="e">
        <f t="shared" si="45"/>
        <v>#REF!</v>
      </c>
      <c r="AD81" s="10" t="e">
        <f t="shared" si="46"/>
        <v>#REF!</v>
      </c>
      <c r="AE81" s="1" t="e">
        <f>SUMIFS(#REF!,#REF!,
 $A81,#REF!,
 "&gt;="&amp;INT($AG$1),#REF!,
 "&lt;="&amp;INT($AH$1)
)</f>
        <v>#REF!</v>
      </c>
      <c r="AF81" s="1" t="e">
        <f t="shared" si="47"/>
        <v>#REF!</v>
      </c>
      <c r="AG81" s="9" t="e">
        <f t="shared" si="48"/>
        <v>#REF!</v>
      </c>
      <c r="AH81" s="10" t="e">
        <f t="shared" si="49"/>
        <v>#REF!</v>
      </c>
      <c r="AI81" s="1" t="e">
        <f>SUMIFS(#REF!,#REF!,
 $A81,#REF!,
 "&gt;="&amp;INT($AK$1),#REF!,
 "&lt;="&amp;INT($AL$1)
)</f>
        <v>#REF!</v>
      </c>
      <c r="AJ81" s="1" t="e">
        <f t="shared" si="50"/>
        <v>#REF!</v>
      </c>
      <c r="AK81" s="9" t="e">
        <f t="shared" si="51"/>
        <v>#REF!</v>
      </c>
      <c r="AL81" s="10" t="e">
        <f t="shared" si="52"/>
        <v>#REF!</v>
      </c>
      <c r="AM81" s="1" t="e">
        <f>SUMIFS(#REF!,#REF!,
 $A81,#REF!,
 "&gt;="&amp;INT($AO$1),#REF!,
 "&lt;="&amp;INT($AP$1)
)</f>
        <v>#REF!</v>
      </c>
      <c r="AN81" s="1" t="e">
        <f t="shared" si="53"/>
        <v>#REF!</v>
      </c>
      <c r="AO81" s="9" t="e">
        <f t="shared" si="54"/>
        <v>#REF!</v>
      </c>
      <c r="AP81" s="10" t="e">
        <f t="shared" si="55"/>
        <v>#REF!</v>
      </c>
      <c r="AQ81" s="1" t="e">
        <f>SUMIFS(#REF!,#REF!,
 $A81,#REF!,
 "&gt;="&amp;INT($AS$1),#REF!,
 "&lt;="&amp;INT($AT$1)
)</f>
        <v>#REF!</v>
      </c>
      <c r="AR81" s="1" t="e">
        <f t="shared" si="56"/>
        <v>#REF!</v>
      </c>
      <c r="AS81" s="9" t="e">
        <f t="shared" si="57"/>
        <v>#REF!</v>
      </c>
      <c r="AT81" s="10" t="e">
        <f t="shared" si="58"/>
        <v>#REF!</v>
      </c>
      <c r="AU81" s="1" t="e">
        <f>SUMIFS(#REF!,#REF!,
 $A81,#REF!,
 "&gt;="&amp;INT($AW$1),#REF!,
 "&lt;="&amp;INT($AX$1)
)</f>
        <v>#REF!</v>
      </c>
      <c r="AV81" s="1" t="e">
        <f t="shared" si="59"/>
        <v>#REF!</v>
      </c>
      <c r="AW81" s="9" t="e">
        <f t="shared" si="60"/>
        <v>#REF!</v>
      </c>
      <c r="AX81" s="10" t="e">
        <f t="shared" si="61"/>
        <v>#REF!</v>
      </c>
    </row>
    <row r="82" spans="1:50" x14ac:dyDescent="0.25">
      <c r="A82" s="5">
        <v>212002</v>
      </c>
      <c r="B82" s="6" t="s">
        <v>79</v>
      </c>
      <c r="C82" s="1" t="e">
        <f>SUMIFS(#REF!,#REF!,
 $A82,#REF!,
 "&gt;="&amp;INT($E$1),#REF!,
 "&lt;"&amp;INT($F$1+1)
)</f>
        <v>#REF!</v>
      </c>
      <c r="D82" s="1" t="str">
        <f>""</f>
        <v/>
      </c>
      <c r="F82" s="2"/>
      <c r="G82" s="1" t="e">
        <f>SUMIFS(#REF!,#REF!,
 $A82,#REF!,
 "&gt;="&amp;INT($I$1),#REF!,
 "&lt;"&amp;INT($J$1+1)
)</f>
        <v>#REF!</v>
      </c>
      <c r="H82" s="1" t="e">
        <f t="shared" si="31"/>
        <v>#REF!</v>
      </c>
      <c r="I82" s="1"/>
      <c r="J82" s="2"/>
      <c r="K82" s="1" t="e">
        <f>SUMIFS(#REF!,#REF!,
 $A82,#REF!,
 "&gt;="&amp;INT($M$1),#REF!,
 "&lt;"&amp;INT($N$1+1)
)</f>
        <v>#REF!</v>
      </c>
      <c r="L82" s="1" t="e">
        <f t="shared" si="32"/>
        <v>#REF!</v>
      </c>
      <c r="M82" s="9" t="e">
        <f t="shared" si="33"/>
        <v>#REF!</v>
      </c>
      <c r="N82" s="10" t="e">
        <f t="shared" si="34"/>
        <v>#REF!</v>
      </c>
      <c r="O82" s="1" t="e">
        <f>SUMIFS(#REF!,#REF!,
 $A82,#REF!,
 "&gt;="&amp;INT($Q$1),#REF!,
 "&lt;="&amp;INT($R$1)
)</f>
        <v>#REF!</v>
      </c>
      <c r="P82" s="1" t="e">
        <f t="shared" si="35"/>
        <v>#REF!</v>
      </c>
      <c r="Q82" s="9" t="e">
        <f t="shared" si="36"/>
        <v>#REF!</v>
      </c>
      <c r="R82" s="10" t="e">
        <f t="shared" si="37"/>
        <v>#REF!</v>
      </c>
      <c r="S82" s="1" t="e">
        <f>SUMIFS(#REF!,#REF!,
 $A82,#REF!,
 "&gt;="&amp;INT($U$1),#REF!,
 "&lt;="&amp;INT($V$1)
)</f>
        <v>#REF!</v>
      </c>
      <c r="T82" s="1" t="e">
        <f t="shared" si="38"/>
        <v>#REF!</v>
      </c>
      <c r="U82" s="9" t="e">
        <f t="shared" si="39"/>
        <v>#REF!</v>
      </c>
      <c r="V82" s="10" t="e">
        <f t="shared" si="40"/>
        <v>#REF!</v>
      </c>
      <c r="W82" s="1" t="e">
        <f>SUMIFS(#REF!,#REF!,
 $A82,#REF!,
 "&gt;="&amp;INT($Y$1),#REF!,
 "&lt;="&amp;INT($Z$1)
)</f>
        <v>#REF!</v>
      </c>
      <c r="X82" s="1" t="e">
        <f t="shared" si="41"/>
        <v>#REF!</v>
      </c>
      <c r="Y82" s="9" t="e">
        <f t="shared" si="42"/>
        <v>#REF!</v>
      </c>
      <c r="Z82" s="10" t="e">
        <f t="shared" si="43"/>
        <v>#REF!</v>
      </c>
      <c r="AA82" s="1" t="e">
        <f>SUMIFS(#REF!,#REF!,
 $A82,#REF!,
 "&gt;="&amp;INT($AC$1),#REF!,
 "&lt;="&amp;INT($AD$1)
)</f>
        <v>#REF!</v>
      </c>
      <c r="AB82" s="1" t="e">
        <f t="shared" si="44"/>
        <v>#REF!</v>
      </c>
      <c r="AC82" s="9" t="e">
        <f t="shared" si="45"/>
        <v>#REF!</v>
      </c>
      <c r="AD82" s="10" t="e">
        <f t="shared" si="46"/>
        <v>#REF!</v>
      </c>
      <c r="AE82" s="1" t="e">
        <f>SUMIFS(#REF!,#REF!,
 $A82,#REF!,
 "&gt;="&amp;INT($AG$1),#REF!,
 "&lt;="&amp;INT($AH$1)
)</f>
        <v>#REF!</v>
      </c>
      <c r="AF82" s="1" t="e">
        <f t="shared" si="47"/>
        <v>#REF!</v>
      </c>
      <c r="AG82" s="9" t="e">
        <f t="shared" si="48"/>
        <v>#REF!</v>
      </c>
      <c r="AH82" s="10" t="e">
        <f t="shared" si="49"/>
        <v>#REF!</v>
      </c>
      <c r="AI82" s="1" t="e">
        <f>SUMIFS(#REF!,#REF!,
 $A82,#REF!,
 "&gt;="&amp;INT($AK$1),#REF!,
 "&lt;="&amp;INT($AL$1)
)</f>
        <v>#REF!</v>
      </c>
      <c r="AJ82" s="1" t="e">
        <f t="shared" si="50"/>
        <v>#REF!</v>
      </c>
      <c r="AK82" s="9" t="e">
        <f t="shared" si="51"/>
        <v>#REF!</v>
      </c>
      <c r="AL82" s="10" t="e">
        <f t="shared" si="52"/>
        <v>#REF!</v>
      </c>
      <c r="AM82" s="1" t="e">
        <f>SUMIFS(#REF!,#REF!,
 $A82,#REF!,
 "&gt;="&amp;INT($AO$1),#REF!,
 "&lt;="&amp;INT($AP$1)
)</f>
        <v>#REF!</v>
      </c>
      <c r="AN82" s="1" t="e">
        <f t="shared" si="53"/>
        <v>#REF!</v>
      </c>
      <c r="AO82" s="9" t="e">
        <f t="shared" si="54"/>
        <v>#REF!</v>
      </c>
      <c r="AP82" s="10" t="e">
        <f t="shared" si="55"/>
        <v>#REF!</v>
      </c>
      <c r="AQ82" s="1" t="e">
        <f>SUMIFS(#REF!,#REF!,
 $A82,#REF!,
 "&gt;="&amp;INT($AS$1),#REF!,
 "&lt;="&amp;INT($AT$1)
)</f>
        <v>#REF!</v>
      </c>
      <c r="AR82" s="1" t="e">
        <f t="shared" si="56"/>
        <v>#REF!</v>
      </c>
      <c r="AS82" s="9" t="e">
        <f t="shared" si="57"/>
        <v>#REF!</v>
      </c>
      <c r="AT82" s="10" t="e">
        <f t="shared" si="58"/>
        <v>#REF!</v>
      </c>
      <c r="AU82" s="1" t="e">
        <f>SUMIFS(#REF!,#REF!,
 $A82,#REF!,
 "&gt;="&amp;INT($AW$1),#REF!,
 "&lt;="&amp;INT($AX$1)
)</f>
        <v>#REF!</v>
      </c>
      <c r="AV82" s="1" t="e">
        <f t="shared" si="59"/>
        <v>#REF!</v>
      </c>
      <c r="AW82" s="9" t="e">
        <f t="shared" si="60"/>
        <v>#REF!</v>
      </c>
      <c r="AX82" s="10" t="e">
        <f t="shared" si="61"/>
        <v>#REF!</v>
      </c>
    </row>
    <row r="83" spans="1:50" x14ac:dyDescent="0.25">
      <c r="A83" s="5">
        <v>212010</v>
      </c>
      <c r="B83" s="6" t="s">
        <v>80</v>
      </c>
      <c r="C83" s="1" t="e">
        <f>SUMIFS(#REF!,#REF!,
 $A83,#REF!,
 "&gt;="&amp;INT($E$1),#REF!,
 "&lt;"&amp;INT($F$1+1)
)</f>
        <v>#REF!</v>
      </c>
      <c r="D83" s="1" t="str">
        <f>""</f>
        <v/>
      </c>
      <c r="F83" s="2"/>
      <c r="G83" s="1" t="e">
        <f>SUMIFS(#REF!,#REF!,
 $A83,#REF!,
 "&gt;="&amp;INT($I$1),#REF!,
 "&lt;"&amp;INT($J$1+1)
)</f>
        <v>#REF!</v>
      </c>
      <c r="H83" s="1" t="e">
        <f t="shared" si="31"/>
        <v>#REF!</v>
      </c>
      <c r="I83" s="1"/>
      <c r="J83" s="2"/>
      <c r="K83" s="1" t="e">
        <f>SUMIFS(#REF!,#REF!,
 $A83,#REF!,
 "&gt;="&amp;INT($M$1),#REF!,
 "&lt;"&amp;INT($N$1+1)
)</f>
        <v>#REF!</v>
      </c>
      <c r="L83" s="1" t="e">
        <f t="shared" si="32"/>
        <v>#REF!</v>
      </c>
      <c r="M83" s="9" t="e">
        <f t="shared" si="33"/>
        <v>#REF!</v>
      </c>
      <c r="N83" s="10" t="e">
        <f t="shared" si="34"/>
        <v>#REF!</v>
      </c>
      <c r="O83" s="1" t="e">
        <f>SUMIFS(#REF!,#REF!,
 $A83,#REF!,
 "&gt;="&amp;INT($Q$1),#REF!,
 "&lt;="&amp;INT($R$1)
)</f>
        <v>#REF!</v>
      </c>
      <c r="P83" s="1" t="e">
        <f t="shared" si="35"/>
        <v>#REF!</v>
      </c>
      <c r="Q83" s="9" t="e">
        <f t="shared" si="36"/>
        <v>#REF!</v>
      </c>
      <c r="R83" s="10" t="e">
        <f t="shared" si="37"/>
        <v>#REF!</v>
      </c>
      <c r="S83" s="1" t="e">
        <f>SUMIFS(#REF!,#REF!,
 $A83,#REF!,
 "&gt;="&amp;INT($U$1),#REF!,
 "&lt;="&amp;INT($V$1)
)</f>
        <v>#REF!</v>
      </c>
      <c r="T83" s="1" t="e">
        <f t="shared" si="38"/>
        <v>#REF!</v>
      </c>
      <c r="U83" s="9" t="e">
        <f t="shared" si="39"/>
        <v>#REF!</v>
      </c>
      <c r="V83" s="10" t="e">
        <f t="shared" si="40"/>
        <v>#REF!</v>
      </c>
      <c r="W83" s="1" t="e">
        <f>SUMIFS(#REF!,#REF!,
 $A83,#REF!,
 "&gt;="&amp;INT($Y$1),#REF!,
 "&lt;="&amp;INT($Z$1)
)</f>
        <v>#REF!</v>
      </c>
      <c r="X83" s="1" t="e">
        <f t="shared" si="41"/>
        <v>#REF!</v>
      </c>
      <c r="Y83" s="9" t="e">
        <f t="shared" si="42"/>
        <v>#REF!</v>
      </c>
      <c r="Z83" s="10" t="e">
        <f t="shared" si="43"/>
        <v>#REF!</v>
      </c>
      <c r="AA83" s="1" t="e">
        <f>SUMIFS(#REF!,#REF!,
 $A83,#REF!,
 "&gt;="&amp;INT($AC$1),#REF!,
 "&lt;="&amp;INT($AD$1)
)</f>
        <v>#REF!</v>
      </c>
      <c r="AB83" s="1" t="e">
        <f t="shared" si="44"/>
        <v>#REF!</v>
      </c>
      <c r="AC83" s="9" t="e">
        <f t="shared" si="45"/>
        <v>#REF!</v>
      </c>
      <c r="AD83" s="10" t="e">
        <f t="shared" si="46"/>
        <v>#REF!</v>
      </c>
      <c r="AE83" s="1" t="e">
        <f>SUMIFS(#REF!,#REF!,
 $A83,#REF!,
 "&gt;="&amp;INT($AG$1),#REF!,
 "&lt;="&amp;INT($AH$1)
)</f>
        <v>#REF!</v>
      </c>
      <c r="AF83" s="1" t="e">
        <f t="shared" si="47"/>
        <v>#REF!</v>
      </c>
      <c r="AG83" s="9" t="e">
        <f t="shared" si="48"/>
        <v>#REF!</v>
      </c>
      <c r="AH83" s="10" t="e">
        <f t="shared" si="49"/>
        <v>#REF!</v>
      </c>
      <c r="AI83" s="1" t="e">
        <f>SUMIFS(#REF!,#REF!,
 $A83,#REF!,
 "&gt;="&amp;INT($AK$1),#REF!,
 "&lt;="&amp;INT($AL$1)
)</f>
        <v>#REF!</v>
      </c>
      <c r="AJ83" s="1" t="e">
        <f t="shared" si="50"/>
        <v>#REF!</v>
      </c>
      <c r="AK83" s="9" t="e">
        <f t="shared" si="51"/>
        <v>#REF!</v>
      </c>
      <c r="AL83" s="10" t="e">
        <f t="shared" si="52"/>
        <v>#REF!</v>
      </c>
      <c r="AM83" s="1" t="e">
        <f>SUMIFS(#REF!,#REF!,
 $A83,#REF!,
 "&gt;="&amp;INT($AO$1),#REF!,
 "&lt;="&amp;INT($AP$1)
)</f>
        <v>#REF!</v>
      </c>
      <c r="AN83" s="1" t="e">
        <f t="shared" si="53"/>
        <v>#REF!</v>
      </c>
      <c r="AO83" s="9" t="e">
        <f t="shared" si="54"/>
        <v>#REF!</v>
      </c>
      <c r="AP83" s="10" t="e">
        <f t="shared" si="55"/>
        <v>#REF!</v>
      </c>
      <c r="AQ83" s="1" t="e">
        <f>SUMIFS(#REF!,#REF!,
 $A83,#REF!,
 "&gt;="&amp;INT($AS$1),#REF!,
 "&lt;="&amp;INT($AT$1)
)</f>
        <v>#REF!</v>
      </c>
      <c r="AR83" s="1" t="e">
        <f t="shared" si="56"/>
        <v>#REF!</v>
      </c>
      <c r="AS83" s="9" t="e">
        <f t="shared" si="57"/>
        <v>#REF!</v>
      </c>
      <c r="AT83" s="10" t="e">
        <f t="shared" si="58"/>
        <v>#REF!</v>
      </c>
      <c r="AU83" s="1" t="e">
        <f>SUMIFS(#REF!,#REF!,
 $A83,#REF!,
 "&gt;="&amp;INT($AW$1),#REF!,
 "&lt;="&amp;INT($AX$1)
)</f>
        <v>#REF!</v>
      </c>
      <c r="AV83" s="1" t="e">
        <f t="shared" si="59"/>
        <v>#REF!</v>
      </c>
      <c r="AW83" s="9" t="e">
        <f t="shared" si="60"/>
        <v>#REF!</v>
      </c>
      <c r="AX83" s="10" t="e">
        <f t="shared" si="61"/>
        <v>#REF!</v>
      </c>
    </row>
    <row r="84" spans="1:50" x14ac:dyDescent="0.25">
      <c r="A84" s="5">
        <v>212035</v>
      </c>
      <c r="B84" s="6" t="s">
        <v>81</v>
      </c>
      <c r="C84" s="1" t="e">
        <f>SUMIFS(#REF!,#REF!,
 $A84,#REF!,
 "&gt;="&amp;INT($E$1),#REF!,
 "&lt;"&amp;INT($F$1+1)
)</f>
        <v>#REF!</v>
      </c>
      <c r="D84" s="1" t="str">
        <f>""</f>
        <v/>
      </c>
      <c r="F84" s="2"/>
      <c r="G84" s="1" t="e">
        <f>SUMIFS(#REF!,#REF!,
 $A84,#REF!,
 "&gt;="&amp;INT($I$1),#REF!,
 "&lt;"&amp;INT($J$1+1)
)</f>
        <v>#REF!</v>
      </c>
      <c r="H84" s="1" t="e">
        <f t="shared" si="31"/>
        <v>#REF!</v>
      </c>
      <c r="I84" s="1"/>
      <c r="J84" s="2"/>
      <c r="K84" s="1" t="e">
        <f>SUMIFS(#REF!,#REF!,
 $A84,#REF!,
 "&gt;="&amp;INT($M$1),#REF!,
 "&lt;"&amp;INT($N$1+1)
)</f>
        <v>#REF!</v>
      </c>
      <c r="L84" s="1" t="e">
        <f t="shared" si="32"/>
        <v>#REF!</v>
      </c>
      <c r="M84" s="9" t="e">
        <f t="shared" si="33"/>
        <v>#REF!</v>
      </c>
      <c r="N84" s="10" t="e">
        <f t="shared" si="34"/>
        <v>#REF!</v>
      </c>
      <c r="O84" s="1" t="e">
        <f>SUMIFS(#REF!,#REF!,
 $A84,#REF!,
 "&gt;="&amp;INT($Q$1),#REF!,
 "&lt;="&amp;INT($R$1)
)</f>
        <v>#REF!</v>
      </c>
      <c r="P84" s="1" t="e">
        <f t="shared" si="35"/>
        <v>#REF!</v>
      </c>
      <c r="Q84" s="9" t="e">
        <f t="shared" si="36"/>
        <v>#REF!</v>
      </c>
      <c r="R84" s="10" t="e">
        <f t="shared" si="37"/>
        <v>#REF!</v>
      </c>
      <c r="S84" s="1" t="e">
        <f>SUMIFS(#REF!,#REF!,
 $A84,#REF!,
 "&gt;="&amp;INT($U$1),#REF!,
 "&lt;="&amp;INT($V$1)
)</f>
        <v>#REF!</v>
      </c>
      <c r="T84" s="1" t="e">
        <f t="shared" si="38"/>
        <v>#REF!</v>
      </c>
      <c r="U84" s="9" t="e">
        <f t="shared" si="39"/>
        <v>#REF!</v>
      </c>
      <c r="V84" s="10" t="e">
        <f t="shared" si="40"/>
        <v>#REF!</v>
      </c>
      <c r="W84" s="1" t="e">
        <f>SUMIFS(#REF!,#REF!,
 $A84,#REF!,
 "&gt;="&amp;INT($Y$1),#REF!,
 "&lt;="&amp;INT($Z$1)
)</f>
        <v>#REF!</v>
      </c>
      <c r="X84" s="1" t="e">
        <f t="shared" si="41"/>
        <v>#REF!</v>
      </c>
      <c r="Y84" s="9" t="e">
        <f t="shared" si="42"/>
        <v>#REF!</v>
      </c>
      <c r="Z84" s="10" t="e">
        <f t="shared" si="43"/>
        <v>#REF!</v>
      </c>
      <c r="AA84" s="1" t="e">
        <f>SUMIFS(#REF!,#REF!,
 $A84,#REF!,
 "&gt;="&amp;INT($AC$1),#REF!,
 "&lt;="&amp;INT($AD$1)
)</f>
        <v>#REF!</v>
      </c>
      <c r="AB84" s="1" t="e">
        <f t="shared" si="44"/>
        <v>#REF!</v>
      </c>
      <c r="AC84" s="9" t="e">
        <f t="shared" si="45"/>
        <v>#REF!</v>
      </c>
      <c r="AD84" s="10" t="e">
        <f t="shared" si="46"/>
        <v>#REF!</v>
      </c>
      <c r="AE84" s="1" t="e">
        <f>SUMIFS(#REF!,#REF!,
 $A84,#REF!,
 "&gt;="&amp;INT($AG$1),#REF!,
 "&lt;="&amp;INT($AH$1)
)</f>
        <v>#REF!</v>
      </c>
      <c r="AF84" s="1" t="e">
        <f t="shared" si="47"/>
        <v>#REF!</v>
      </c>
      <c r="AG84" s="9" t="e">
        <f t="shared" si="48"/>
        <v>#REF!</v>
      </c>
      <c r="AH84" s="10" t="e">
        <f t="shared" si="49"/>
        <v>#REF!</v>
      </c>
      <c r="AI84" s="1" t="e">
        <f>SUMIFS(#REF!,#REF!,
 $A84,#REF!,
 "&gt;="&amp;INT($AK$1),#REF!,
 "&lt;="&amp;INT($AL$1)
)</f>
        <v>#REF!</v>
      </c>
      <c r="AJ84" s="1" t="e">
        <f t="shared" si="50"/>
        <v>#REF!</v>
      </c>
      <c r="AK84" s="9" t="e">
        <f t="shared" si="51"/>
        <v>#REF!</v>
      </c>
      <c r="AL84" s="10" t="e">
        <f t="shared" si="52"/>
        <v>#REF!</v>
      </c>
      <c r="AM84" s="1" t="e">
        <f>SUMIFS(#REF!,#REF!,
 $A84,#REF!,
 "&gt;="&amp;INT($AO$1),#REF!,
 "&lt;="&amp;INT($AP$1)
)</f>
        <v>#REF!</v>
      </c>
      <c r="AN84" s="1" t="e">
        <f t="shared" si="53"/>
        <v>#REF!</v>
      </c>
      <c r="AO84" s="9" t="e">
        <f t="shared" si="54"/>
        <v>#REF!</v>
      </c>
      <c r="AP84" s="10" t="e">
        <f t="shared" si="55"/>
        <v>#REF!</v>
      </c>
      <c r="AQ84" s="1" t="e">
        <f>SUMIFS(#REF!,#REF!,
 $A84,#REF!,
 "&gt;="&amp;INT($AS$1),#REF!,
 "&lt;="&amp;INT($AT$1)
)</f>
        <v>#REF!</v>
      </c>
      <c r="AR84" s="1" t="e">
        <f t="shared" si="56"/>
        <v>#REF!</v>
      </c>
      <c r="AS84" s="9" t="e">
        <f t="shared" si="57"/>
        <v>#REF!</v>
      </c>
      <c r="AT84" s="10" t="e">
        <f t="shared" si="58"/>
        <v>#REF!</v>
      </c>
      <c r="AU84" s="1" t="e">
        <f>SUMIFS(#REF!,#REF!,
 $A84,#REF!,
 "&gt;="&amp;INT($AW$1),#REF!,
 "&lt;="&amp;INT($AX$1)
)</f>
        <v>#REF!</v>
      </c>
      <c r="AV84" s="1" t="e">
        <f t="shared" si="59"/>
        <v>#REF!</v>
      </c>
      <c r="AW84" s="9" t="e">
        <f t="shared" si="60"/>
        <v>#REF!</v>
      </c>
      <c r="AX84" s="10" t="e">
        <f t="shared" si="61"/>
        <v>#REF!</v>
      </c>
    </row>
    <row r="85" spans="1:50" x14ac:dyDescent="0.25">
      <c r="A85" s="5">
        <v>213002</v>
      </c>
      <c r="B85" s="6" t="s">
        <v>82</v>
      </c>
      <c r="C85" s="1" t="e">
        <f>SUMIFS(#REF!,#REF!,
 $A85,#REF!,
 "&gt;="&amp;INT($E$1),#REF!,
 "&lt;"&amp;INT($F$1+1)
)</f>
        <v>#REF!</v>
      </c>
      <c r="D85" s="1" t="str">
        <f>""</f>
        <v/>
      </c>
      <c r="F85" s="2"/>
      <c r="G85" s="1" t="e">
        <f>SUMIFS(#REF!,#REF!,
 $A85,#REF!,
 "&gt;="&amp;INT($I$1),#REF!,
 "&lt;"&amp;INT($J$1+1)
)</f>
        <v>#REF!</v>
      </c>
      <c r="H85" s="1" t="e">
        <f t="shared" si="31"/>
        <v>#REF!</v>
      </c>
      <c r="I85" s="1"/>
      <c r="J85" s="2"/>
      <c r="K85" s="1" t="e">
        <f>SUMIFS(#REF!,#REF!,
 $A85,#REF!,
 "&gt;="&amp;INT($M$1),#REF!,
 "&lt;"&amp;INT($N$1+1)
)</f>
        <v>#REF!</v>
      </c>
      <c r="L85" s="1" t="e">
        <f t="shared" si="32"/>
        <v>#REF!</v>
      </c>
      <c r="M85" s="9" t="e">
        <f t="shared" si="33"/>
        <v>#REF!</v>
      </c>
      <c r="N85" s="10" t="e">
        <f t="shared" si="34"/>
        <v>#REF!</v>
      </c>
      <c r="O85" s="1" t="e">
        <f>SUMIFS(#REF!,#REF!,
 $A85,#REF!,
 "&gt;="&amp;INT($Q$1),#REF!,
 "&lt;="&amp;INT($R$1)
)</f>
        <v>#REF!</v>
      </c>
      <c r="P85" s="1" t="e">
        <f t="shared" si="35"/>
        <v>#REF!</v>
      </c>
      <c r="Q85" s="9" t="e">
        <f t="shared" si="36"/>
        <v>#REF!</v>
      </c>
      <c r="R85" s="10" t="e">
        <f t="shared" si="37"/>
        <v>#REF!</v>
      </c>
      <c r="S85" s="1" t="e">
        <f>SUMIFS(#REF!,#REF!,
 $A85,#REF!,
 "&gt;="&amp;INT($U$1),#REF!,
 "&lt;="&amp;INT($V$1)
)</f>
        <v>#REF!</v>
      </c>
      <c r="T85" s="1" t="e">
        <f t="shared" si="38"/>
        <v>#REF!</v>
      </c>
      <c r="U85" s="9" t="e">
        <f t="shared" si="39"/>
        <v>#REF!</v>
      </c>
      <c r="V85" s="10" t="e">
        <f t="shared" si="40"/>
        <v>#REF!</v>
      </c>
      <c r="W85" s="1" t="e">
        <f>SUMIFS(#REF!,#REF!,
 $A85,#REF!,
 "&gt;="&amp;INT($Y$1),#REF!,
 "&lt;="&amp;INT($Z$1)
)</f>
        <v>#REF!</v>
      </c>
      <c r="X85" s="1" t="e">
        <f t="shared" si="41"/>
        <v>#REF!</v>
      </c>
      <c r="Y85" s="9" t="e">
        <f t="shared" si="42"/>
        <v>#REF!</v>
      </c>
      <c r="Z85" s="10" t="e">
        <f t="shared" si="43"/>
        <v>#REF!</v>
      </c>
      <c r="AA85" s="1" t="e">
        <f>SUMIFS(#REF!,#REF!,
 $A85,#REF!,
 "&gt;="&amp;INT($AC$1),#REF!,
 "&lt;="&amp;INT($AD$1)
)</f>
        <v>#REF!</v>
      </c>
      <c r="AB85" s="1" t="e">
        <f t="shared" si="44"/>
        <v>#REF!</v>
      </c>
      <c r="AC85" s="9" t="e">
        <f t="shared" si="45"/>
        <v>#REF!</v>
      </c>
      <c r="AD85" s="10" t="e">
        <f t="shared" si="46"/>
        <v>#REF!</v>
      </c>
      <c r="AE85" s="1" t="e">
        <f>SUMIFS(#REF!,#REF!,
 $A85,#REF!,
 "&gt;="&amp;INT($AG$1),#REF!,
 "&lt;="&amp;INT($AH$1)
)</f>
        <v>#REF!</v>
      </c>
      <c r="AF85" s="1" t="e">
        <f t="shared" si="47"/>
        <v>#REF!</v>
      </c>
      <c r="AG85" s="9" t="e">
        <f t="shared" si="48"/>
        <v>#REF!</v>
      </c>
      <c r="AH85" s="10" t="e">
        <f t="shared" si="49"/>
        <v>#REF!</v>
      </c>
      <c r="AI85" s="1" t="e">
        <f>SUMIFS(#REF!,#REF!,
 $A85,#REF!,
 "&gt;="&amp;INT($AK$1),#REF!,
 "&lt;="&amp;INT($AL$1)
)</f>
        <v>#REF!</v>
      </c>
      <c r="AJ85" s="1" t="e">
        <f t="shared" si="50"/>
        <v>#REF!</v>
      </c>
      <c r="AK85" s="9" t="e">
        <f t="shared" si="51"/>
        <v>#REF!</v>
      </c>
      <c r="AL85" s="10" t="e">
        <f t="shared" si="52"/>
        <v>#REF!</v>
      </c>
      <c r="AM85" s="1" t="e">
        <f>SUMIFS(#REF!,#REF!,
 $A85,#REF!,
 "&gt;="&amp;INT($AO$1),#REF!,
 "&lt;="&amp;INT($AP$1)
)</f>
        <v>#REF!</v>
      </c>
      <c r="AN85" s="1" t="e">
        <f t="shared" si="53"/>
        <v>#REF!</v>
      </c>
      <c r="AO85" s="9" t="e">
        <f t="shared" si="54"/>
        <v>#REF!</v>
      </c>
      <c r="AP85" s="10" t="e">
        <f t="shared" si="55"/>
        <v>#REF!</v>
      </c>
      <c r="AQ85" s="1" t="e">
        <f>SUMIFS(#REF!,#REF!,
 $A85,#REF!,
 "&gt;="&amp;INT($AS$1),#REF!,
 "&lt;="&amp;INT($AT$1)
)</f>
        <v>#REF!</v>
      </c>
      <c r="AR85" s="1" t="e">
        <f t="shared" si="56"/>
        <v>#REF!</v>
      </c>
      <c r="AS85" s="9" t="e">
        <f t="shared" si="57"/>
        <v>#REF!</v>
      </c>
      <c r="AT85" s="10" t="e">
        <f t="shared" si="58"/>
        <v>#REF!</v>
      </c>
      <c r="AU85" s="1" t="e">
        <f>SUMIFS(#REF!,#REF!,
 $A85,#REF!,
 "&gt;="&amp;INT($AW$1),#REF!,
 "&lt;="&amp;INT($AX$1)
)</f>
        <v>#REF!</v>
      </c>
      <c r="AV85" s="1" t="e">
        <f t="shared" si="59"/>
        <v>#REF!</v>
      </c>
      <c r="AW85" s="9" t="e">
        <f t="shared" si="60"/>
        <v>#REF!</v>
      </c>
      <c r="AX85" s="10" t="e">
        <f t="shared" si="61"/>
        <v>#REF!</v>
      </c>
    </row>
    <row r="86" spans="1:50" x14ac:dyDescent="0.25">
      <c r="A86" s="5">
        <v>213003</v>
      </c>
      <c r="B86" s="6" t="s">
        <v>83</v>
      </c>
      <c r="C86" s="1" t="e">
        <f>SUMIFS(#REF!,#REF!,
 $A86,#REF!,
 "&gt;="&amp;INT($E$1),#REF!,
 "&lt;"&amp;INT($F$1+1)
)</f>
        <v>#REF!</v>
      </c>
      <c r="D86" s="1" t="str">
        <f>""</f>
        <v/>
      </c>
      <c r="F86" s="2"/>
      <c r="G86" s="1" t="e">
        <f>SUMIFS(#REF!,#REF!,
 $A86,#REF!,
 "&gt;="&amp;INT($I$1),#REF!,
 "&lt;"&amp;INT($J$1+1)
)</f>
        <v>#REF!</v>
      </c>
      <c r="H86" s="1" t="e">
        <f t="shared" si="31"/>
        <v>#REF!</v>
      </c>
      <c r="I86" s="1"/>
      <c r="J86" s="2"/>
      <c r="K86" s="1" t="e">
        <f>SUMIFS(#REF!,#REF!,
 $A86,#REF!,
 "&gt;="&amp;INT($M$1),#REF!,
 "&lt;"&amp;INT($N$1+1)
)</f>
        <v>#REF!</v>
      </c>
      <c r="L86" s="1" t="e">
        <f t="shared" si="32"/>
        <v>#REF!</v>
      </c>
      <c r="M86" s="9" t="e">
        <f t="shared" si="33"/>
        <v>#REF!</v>
      </c>
      <c r="N86" s="10" t="e">
        <f t="shared" si="34"/>
        <v>#REF!</v>
      </c>
      <c r="O86" s="1" t="e">
        <f>SUMIFS(#REF!,#REF!,
 $A86,#REF!,
 "&gt;="&amp;INT($Q$1),#REF!,
 "&lt;="&amp;INT($R$1)
)</f>
        <v>#REF!</v>
      </c>
      <c r="P86" s="1" t="e">
        <f t="shared" si="35"/>
        <v>#REF!</v>
      </c>
      <c r="Q86" s="9" t="e">
        <f t="shared" si="36"/>
        <v>#REF!</v>
      </c>
      <c r="R86" s="10" t="e">
        <f t="shared" si="37"/>
        <v>#REF!</v>
      </c>
      <c r="S86" s="1" t="e">
        <f>SUMIFS(#REF!,#REF!,
 $A86,#REF!,
 "&gt;="&amp;INT($U$1),#REF!,
 "&lt;="&amp;INT($V$1)
)</f>
        <v>#REF!</v>
      </c>
      <c r="T86" s="1" t="e">
        <f t="shared" si="38"/>
        <v>#REF!</v>
      </c>
      <c r="U86" s="9" t="e">
        <f t="shared" si="39"/>
        <v>#REF!</v>
      </c>
      <c r="V86" s="10" t="e">
        <f t="shared" si="40"/>
        <v>#REF!</v>
      </c>
      <c r="W86" s="1" t="e">
        <f>SUMIFS(#REF!,#REF!,
 $A86,#REF!,
 "&gt;="&amp;INT($Y$1),#REF!,
 "&lt;="&amp;INT($Z$1)
)</f>
        <v>#REF!</v>
      </c>
      <c r="X86" s="1" t="e">
        <f t="shared" si="41"/>
        <v>#REF!</v>
      </c>
      <c r="Y86" s="9" t="e">
        <f t="shared" si="42"/>
        <v>#REF!</v>
      </c>
      <c r="Z86" s="10" t="e">
        <f t="shared" si="43"/>
        <v>#REF!</v>
      </c>
      <c r="AA86" s="1" t="e">
        <f>SUMIFS(#REF!,#REF!,
 $A86,#REF!,
 "&gt;="&amp;INT($AC$1),#REF!,
 "&lt;="&amp;INT($AD$1)
)</f>
        <v>#REF!</v>
      </c>
      <c r="AB86" s="1" t="e">
        <f t="shared" si="44"/>
        <v>#REF!</v>
      </c>
      <c r="AC86" s="9" t="e">
        <f t="shared" si="45"/>
        <v>#REF!</v>
      </c>
      <c r="AD86" s="10" t="e">
        <f t="shared" si="46"/>
        <v>#REF!</v>
      </c>
      <c r="AE86" s="1" t="e">
        <f>SUMIFS(#REF!,#REF!,
 $A86,#REF!,
 "&gt;="&amp;INT($AG$1),#REF!,
 "&lt;="&amp;INT($AH$1)
)</f>
        <v>#REF!</v>
      </c>
      <c r="AF86" s="1" t="e">
        <f t="shared" si="47"/>
        <v>#REF!</v>
      </c>
      <c r="AG86" s="9" t="e">
        <f t="shared" si="48"/>
        <v>#REF!</v>
      </c>
      <c r="AH86" s="10" t="e">
        <f t="shared" si="49"/>
        <v>#REF!</v>
      </c>
      <c r="AI86" s="1" t="e">
        <f>SUMIFS(#REF!,#REF!,
 $A86,#REF!,
 "&gt;="&amp;INT($AK$1),#REF!,
 "&lt;="&amp;INT($AL$1)
)</f>
        <v>#REF!</v>
      </c>
      <c r="AJ86" s="1" t="e">
        <f t="shared" si="50"/>
        <v>#REF!</v>
      </c>
      <c r="AK86" s="9" t="e">
        <f t="shared" si="51"/>
        <v>#REF!</v>
      </c>
      <c r="AL86" s="10" t="e">
        <f t="shared" si="52"/>
        <v>#REF!</v>
      </c>
      <c r="AM86" s="1" t="e">
        <f>SUMIFS(#REF!,#REF!,
 $A86,#REF!,
 "&gt;="&amp;INT($AO$1),#REF!,
 "&lt;="&amp;INT($AP$1)
)</f>
        <v>#REF!</v>
      </c>
      <c r="AN86" s="1" t="e">
        <f t="shared" si="53"/>
        <v>#REF!</v>
      </c>
      <c r="AO86" s="9" t="e">
        <f t="shared" si="54"/>
        <v>#REF!</v>
      </c>
      <c r="AP86" s="10" t="e">
        <f t="shared" si="55"/>
        <v>#REF!</v>
      </c>
      <c r="AQ86" s="1" t="e">
        <f>SUMIFS(#REF!,#REF!,
 $A86,#REF!,
 "&gt;="&amp;INT($AS$1),#REF!,
 "&lt;="&amp;INT($AT$1)
)</f>
        <v>#REF!</v>
      </c>
      <c r="AR86" s="1" t="e">
        <f t="shared" si="56"/>
        <v>#REF!</v>
      </c>
      <c r="AS86" s="9" t="e">
        <f t="shared" si="57"/>
        <v>#REF!</v>
      </c>
      <c r="AT86" s="10" t="e">
        <f t="shared" si="58"/>
        <v>#REF!</v>
      </c>
      <c r="AU86" s="1" t="e">
        <f>SUMIFS(#REF!,#REF!,
 $A86,#REF!,
 "&gt;="&amp;INT($AW$1),#REF!,
 "&lt;="&amp;INT($AX$1)
)</f>
        <v>#REF!</v>
      </c>
      <c r="AV86" s="1" t="e">
        <f t="shared" si="59"/>
        <v>#REF!</v>
      </c>
      <c r="AW86" s="9" t="e">
        <f t="shared" si="60"/>
        <v>#REF!</v>
      </c>
      <c r="AX86" s="10" t="e">
        <f t="shared" si="61"/>
        <v>#REF!</v>
      </c>
    </row>
    <row r="87" spans="1:50" x14ac:dyDescent="0.25">
      <c r="A87" s="5">
        <v>213005</v>
      </c>
      <c r="B87" s="6" t="s">
        <v>84</v>
      </c>
      <c r="C87" s="1" t="e">
        <f>SUMIFS(#REF!,#REF!,
 $A87,#REF!,
 "&gt;="&amp;INT($E$1),#REF!,
 "&lt;"&amp;INT($F$1+1)
)</f>
        <v>#REF!</v>
      </c>
      <c r="D87" s="1" t="str">
        <f>""</f>
        <v/>
      </c>
      <c r="F87" s="2"/>
      <c r="G87" s="1" t="e">
        <f>SUMIFS(#REF!,#REF!,
 $A87,#REF!,
 "&gt;="&amp;INT($I$1),#REF!,
 "&lt;"&amp;INT($J$1+1)
)</f>
        <v>#REF!</v>
      </c>
      <c r="H87" s="1" t="e">
        <f t="shared" si="31"/>
        <v>#REF!</v>
      </c>
      <c r="I87" s="1"/>
      <c r="J87" s="2"/>
      <c r="K87" s="1" t="e">
        <f>SUMIFS(#REF!,#REF!,
 $A87,#REF!,
 "&gt;="&amp;INT($M$1),#REF!,
 "&lt;"&amp;INT($N$1+1)
)</f>
        <v>#REF!</v>
      </c>
      <c r="L87" s="1" t="e">
        <f t="shared" si="32"/>
        <v>#REF!</v>
      </c>
      <c r="M87" s="9" t="e">
        <f t="shared" si="33"/>
        <v>#REF!</v>
      </c>
      <c r="N87" s="10" t="e">
        <f t="shared" si="34"/>
        <v>#REF!</v>
      </c>
      <c r="O87" s="1" t="e">
        <f>SUMIFS(#REF!,#REF!,
 $A87,#REF!,
 "&gt;="&amp;INT($Q$1),#REF!,
 "&lt;="&amp;INT($R$1)
)</f>
        <v>#REF!</v>
      </c>
      <c r="P87" s="1" t="e">
        <f t="shared" si="35"/>
        <v>#REF!</v>
      </c>
      <c r="Q87" s="9" t="e">
        <f t="shared" si="36"/>
        <v>#REF!</v>
      </c>
      <c r="R87" s="10" t="e">
        <f t="shared" si="37"/>
        <v>#REF!</v>
      </c>
      <c r="S87" s="1" t="e">
        <f>SUMIFS(#REF!,#REF!,
 $A87,#REF!,
 "&gt;="&amp;INT($U$1),#REF!,
 "&lt;="&amp;INT($V$1)
)</f>
        <v>#REF!</v>
      </c>
      <c r="T87" s="1" t="e">
        <f t="shared" si="38"/>
        <v>#REF!</v>
      </c>
      <c r="U87" s="9" t="e">
        <f t="shared" si="39"/>
        <v>#REF!</v>
      </c>
      <c r="V87" s="10" t="e">
        <f t="shared" si="40"/>
        <v>#REF!</v>
      </c>
      <c r="W87" s="1" t="e">
        <f>SUMIFS(#REF!,#REF!,
 $A87,#REF!,
 "&gt;="&amp;INT($Y$1),#REF!,
 "&lt;="&amp;INT($Z$1)
)</f>
        <v>#REF!</v>
      </c>
      <c r="X87" s="1" t="e">
        <f t="shared" si="41"/>
        <v>#REF!</v>
      </c>
      <c r="Y87" s="9" t="e">
        <f t="shared" si="42"/>
        <v>#REF!</v>
      </c>
      <c r="Z87" s="10" t="e">
        <f t="shared" si="43"/>
        <v>#REF!</v>
      </c>
      <c r="AA87" s="1" t="e">
        <f>SUMIFS(#REF!,#REF!,
 $A87,#REF!,
 "&gt;="&amp;INT($AC$1),#REF!,
 "&lt;="&amp;INT($AD$1)
)</f>
        <v>#REF!</v>
      </c>
      <c r="AB87" s="1" t="e">
        <f t="shared" si="44"/>
        <v>#REF!</v>
      </c>
      <c r="AC87" s="9" t="e">
        <f t="shared" si="45"/>
        <v>#REF!</v>
      </c>
      <c r="AD87" s="10" t="e">
        <f t="shared" si="46"/>
        <v>#REF!</v>
      </c>
      <c r="AE87" s="1" t="e">
        <f>SUMIFS(#REF!,#REF!,
 $A87,#REF!,
 "&gt;="&amp;INT($AG$1),#REF!,
 "&lt;="&amp;INT($AH$1)
)</f>
        <v>#REF!</v>
      </c>
      <c r="AF87" s="1" t="e">
        <f t="shared" si="47"/>
        <v>#REF!</v>
      </c>
      <c r="AG87" s="9" t="e">
        <f t="shared" si="48"/>
        <v>#REF!</v>
      </c>
      <c r="AH87" s="10" t="e">
        <f t="shared" si="49"/>
        <v>#REF!</v>
      </c>
      <c r="AI87" s="1" t="e">
        <f>SUMIFS(#REF!,#REF!,
 $A87,#REF!,
 "&gt;="&amp;INT($AK$1),#REF!,
 "&lt;="&amp;INT($AL$1)
)</f>
        <v>#REF!</v>
      </c>
      <c r="AJ87" s="1" t="e">
        <f t="shared" si="50"/>
        <v>#REF!</v>
      </c>
      <c r="AK87" s="9" t="e">
        <f t="shared" si="51"/>
        <v>#REF!</v>
      </c>
      <c r="AL87" s="10" t="e">
        <f t="shared" si="52"/>
        <v>#REF!</v>
      </c>
      <c r="AM87" s="1" t="e">
        <f>SUMIFS(#REF!,#REF!,
 $A87,#REF!,
 "&gt;="&amp;INT($AO$1),#REF!,
 "&lt;="&amp;INT($AP$1)
)</f>
        <v>#REF!</v>
      </c>
      <c r="AN87" s="1" t="e">
        <f t="shared" si="53"/>
        <v>#REF!</v>
      </c>
      <c r="AO87" s="9" t="e">
        <f t="shared" si="54"/>
        <v>#REF!</v>
      </c>
      <c r="AP87" s="10" t="e">
        <f t="shared" si="55"/>
        <v>#REF!</v>
      </c>
      <c r="AQ87" s="1" t="e">
        <f>SUMIFS(#REF!,#REF!,
 $A87,#REF!,
 "&gt;="&amp;INT($AS$1),#REF!,
 "&lt;="&amp;INT($AT$1)
)</f>
        <v>#REF!</v>
      </c>
      <c r="AR87" s="1" t="e">
        <f t="shared" si="56"/>
        <v>#REF!</v>
      </c>
      <c r="AS87" s="9" t="e">
        <f t="shared" si="57"/>
        <v>#REF!</v>
      </c>
      <c r="AT87" s="10" t="e">
        <f t="shared" si="58"/>
        <v>#REF!</v>
      </c>
      <c r="AU87" s="1" t="e">
        <f>SUMIFS(#REF!,#REF!,
 $A87,#REF!,
 "&gt;="&amp;INT($AW$1),#REF!,
 "&lt;="&amp;INT($AX$1)
)</f>
        <v>#REF!</v>
      </c>
      <c r="AV87" s="1" t="e">
        <f t="shared" si="59"/>
        <v>#REF!</v>
      </c>
      <c r="AW87" s="9" t="e">
        <f t="shared" si="60"/>
        <v>#REF!</v>
      </c>
      <c r="AX87" s="10" t="e">
        <f t="shared" si="61"/>
        <v>#REF!</v>
      </c>
    </row>
    <row r="88" spans="1:50" x14ac:dyDescent="0.25">
      <c r="A88" s="5">
        <v>213006</v>
      </c>
      <c r="B88" s="6" t="s">
        <v>85</v>
      </c>
      <c r="C88" s="1" t="e">
        <f>SUMIFS(#REF!,#REF!,
 $A88,#REF!,
 "&gt;="&amp;INT($E$1),#REF!,
 "&lt;"&amp;INT($F$1+1)
)</f>
        <v>#REF!</v>
      </c>
      <c r="D88" s="1" t="str">
        <f>""</f>
        <v/>
      </c>
      <c r="F88" s="2"/>
      <c r="G88" s="1" t="e">
        <f>SUMIFS(#REF!,#REF!,
 $A88,#REF!,
 "&gt;="&amp;INT($I$1),#REF!,
 "&lt;"&amp;INT($J$1+1)
)</f>
        <v>#REF!</v>
      </c>
      <c r="H88" s="1" t="e">
        <f t="shared" si="31"/>
        <v>#REF!</v>
      </c>
      <c r="I88" s="1"/>
      <c r="J88" s="2"/>
      <c r="K88" s="1" t="e">
        <f>SUMIFS(#REF!,#REF!,
 $A88,#REF!,
 "&gt;="&amp;INT($M$1),#REF!,
 "&lt;"&amp;INT($N$1+1)
)</f>
        <v>#REF!</v>
      </c>
      <c r="L88" s="1" t="e">
        <f t="shared" si="32"/>
        <v>#REF!</v>
      </c>
      <c r="M88" s="9" t="e">
        <f t="shared" si="33"/>
        <v>#REF!</v>
      </c>
      <c r="N88" s="10" t="e">
        <f t="shared" si="34"/>
        <v>#REF!</v>
      </c>
      <c r="O88" s="1" t="e">
        <f>SUMIFS(#REF!,#REF!,
 $A88,#REF!,
 "&gt;="&amp;INT($Q$1),#REF!,
 "&lt;="&amp;INT($R$1)
)</f>
        <v>#REF!</v>
      </c>
      <c r="P88" s="1" t="e">
        <f t="shared" si="35"/>
        <v>#REF!</v>
      </c>
      <c r="Q88" s="9" t="e">
        <f t="shared" si="36"/>
        <v>#REF!</v>
      </c>
      <c r="R88" s="10" t="e">
        <f t="shared" si="37"/>
        <v>#REF!</v>
      </c>
      <c r="S88" s="1" t="e">
        <f>SUMIFS(#REF!,#REF!,
 $A88,#REF!,
 "&gt;="&amp;INT($U$1),#REF!,
 "&lt;="&amp;INT($V$1)
)</f>
        <v>#REF!</v>
      </c>
      <c r="T88" s="1" t="e">
        <f t="shared" si="38"/>
        <v>#REF!</v>
      </c>
      <c r="U88" s="9" t="e">
        <f t="shared" si="39"/>
        <v>#REF!</v>
      </c>
      <c r="V88" s="10" t="e">
        <f t="shared" si="40"/>
        <v>#REF!</v>
      </c>
      <c r="W88" s="1" t="e">
        <f>SUMIFS(#REF!,#REF!,
 $A88,#REF!,
 "&gt;="&amp;INT($Y$1),#REF!,
 "&lt;="&amp;INT($Z$1)
)</f>
        <v>#REF!</v>
      </c>
      <c r="X88" s="1" t="e">
        <f t="shared" si="41"/>
        <v>#REF!</v>
      </c>
      <c r="Y88" s="9" t="e">
        <f t="shared" si="42"/>
        <v>#REF!</v>
      </c>
      <c r="Z88" s="10" t="e">
        <f t="shared" si="43"/>
        <v>#REF!</v>
      </c>
      <c r="AA88" s="1" t="e">
        <f>SUMIFS(#REF!,#REF!,
 $A88,#REF!,
 "&gt;="&amp;INT($AC$1),#REF!,
 "&lt;="&amp;INT($AD$1)
)</f>
        <v>#REF!</v>
      </c>
      <c r="AB88" s="1" t="e">
        <f t="shared" si="44"/>
        <v>#REF!</v>
      </c>
      <c r="AC88" s="9" t="e">
        <f t="shared" si="45"/>
        <v>#REF!</v>
      </c>
      <c r="AD88" s="10" t="e">
        <f t="shared" si="46"/>
        <v>#REF!</v>
      </c>
      <c r="AE88" s="1" t="e">
        <f>SUMIFS(#REF!,#REF!,
 $A88,#REF!,
 "&gt;="&amp;INT($AG$1),#REF!,
 "&lt;="&amp;INT($AH$1)
)</f>
        <v>#REF!</v>
      </c>
      <c r="AF88" s="1" t="e">
        <f t="shared" si="47"/>
        <v>#REF!</v>
      </c>
      <c r="AG88" s="9" t="e">
        <f t="shared" si="48"/>
        <v>#REF!</v>
      </c>
      <c r="AH88" s="10" t="e">
        <f t="shared" si="49"/>
        <v>#REF!</v>
      </c>
      <c r="AI88" s="1" t="e">
        <f>SUMIFS(#REF!,#REF!,
 $A88,#REF!,
 "&gt;="&amp;INT($AK$1),#REF!,
 "&lt;="&amp;INT($AL$1)
)</f>
        <v>#REF!</v>
      </c>
      <c r="AJ88" s="1" t="e">
        <f t="shared" si="50"/>
        <v>#REF!</v>
      </c>
      <c r="AK88" s="9" t="e">
        <f t="shared" si="51"/>
        <v>#REF!</v>
      </c>
      <c r="AL88" s="10" t="e">
        <f t="shared" si="52"/>
        <v>#REF!</v>
      </c>
      <c r="AM88" s="1" t="e">
        <f>SUMIFS(#REF!,#REF!,
 $A88,#REF!,
 "&gt;="&amp;INT($AO$1),#REF!,
 "&lt;="&amp;INT($AP$1)
)</f>
        <v>#REF!</v>
      </c>
      <c r="AN88" s="1" t="e">
        <f t="shared" si="53"/>
        <v>#REF!</v>
      </c>
      <c r="AO88" s="9" t="e">
        <f t="shared" si="54"/>
        <v>#REF!</v>
      </c>
      <c r="AP88" s="10" t="e">
        <f t="shared" si="55"/>
        <v>#REF!</v>
      </c>
      <c r="AQ88" s="1" t="e">
        <f>SUMIFS(#REF!,#REF!,
 $A88,#REF!,
 "&gt;="&amp;INT($AS$1),#REF!,
 "&lt;="&amp;INT($AT$1)
)</f>
        <v>#REF!</v>
      </c>
      <c r="AR88" s="1" t="e">
        <f t="shared" si="56"/>
        <v>#REF!</v>
      </c>
      <c r="AS88" s="9" t="e">
        <f t="shared" si="57"/>
        <v>#REF!</v>
      </c>
      <c r="AT88" s="10" t="e">
        <f t="shared" si="58"/>
        <v>#REF!</v>
      </c>
      <c r="AU88" s="1" t="e">
        <f>SUMIFS(#REF!,#REF!,
 $A88,#REF!,
 "&gt;="&amp;INT($AW$1),#REF!,
 "&lt;="&amp;INT($AX$1)
)</f>
        <v>#REF!</v>
      </c>
      <c r="AV88" s="1" t="e">
        <f t="shared" si="59"/>
        <v>#REF!</v>
      </c>
      <c r="AW88" s="9" t="e">
        <f t="shared" si="60"/>
        <v>#REF!</v>
      </c>
      <c r="AX88" s="10" t="e">
        <f t="shared" si="61"/>
        <v>#REF!</v>
      </c>
    </row>
    <row r="89" spans="1:50" x14ac:dyDescent="0.25">
      <c r="A89" s="5">
        <v>213008</v>
      </c>
      <c r="B89" s="6" t="s">
        <v>86</v>
      </c>
      <c r="C89" s="1" t="e">
        <f>SUMIFS(#REF!,#REF!,
 $A89,#REF!,
 "&gt;="&amp;INT($E$1),#REF!,
 "&lt;"&amp;INT($F$1+1)
)</f>
        <v>#REF!</v>
      </c>
      <c r="D89" s="1" t="str">
        <f>""</f>
        <v/>
      </c>
      <c r="F89" s="2"/>
      <c r="G89" s="1" t="e">
        <f>SUMIFS(#REF!,#REF!,
 $A89,#REF!,
 "&gt;="&amp;INT($I$1),#REF!,
 "&lt;"&amp;INT($J$1+1)
)</f>
        <v>#REF!</v>
      </c>
      <c r="H89" s="1" t="e">
        <f t="shared" si="31"/>
        <v>#REF!</v>
      </c>
      <c r="I89" s="1"/>
      <c r="J89" s="2"/>
      <c r="K89" s="1" t="e">
        <f>SUMIFS(#REF!,#REF!,
 $A89,#REF!,
 "&gt;="&amp;INT($M$1),#REF!,
 "&lt;"&amp;INT($N$1+1)
)</f>
        <v>#REF!</v>
      </c>
      <c r="L89" s="1" t="e">
        <f t="shared" si="32"/>
        <v>#REF!</v>
      </c>
      <c r="M89" s="9" t="e">
        <f t="shared" si="33"/>
        <v>#REF!</v>
      </c>
      <c r="N89" s="10" t="e">
        <f t="shared" si="34"/>
        <v>#REF!</v>
      </c>
      <c r="O89" s="1" t="e">
        <f>SUMIFS(#REF!,#REF!,
 $A89,#REF!,
 "&gt;="&amp;INT($Q$1),#REF!,
 "&lt;="&amp;INT($R$1)
)</f>
        <v>#REF!</v>
      </c>
      <c r="P89" s="1" t="e">
        <f t="shared" si="35"/>
        <v>#REF!</v>
      </c>
      <c r="Q89" s="9" t="e">
        <f t="shared" si="36"/>
        <v>#REF!</v>
      </c>
      <c r="R89" s="10" t="e">
        <f t="shared" si="37"/>
        <v>#REF!</v>
      </c>
      <c r="S89" s="1" t="e">
        <f>SUMIFS(#REF!,#REF!,
 $A89,#REF!,
 "&gt;="&amp;INT($U$1),#REF!,
 "&lt;="&amp;INT($V$1)
)</f>
        <v>#REF!</v>
      </c>
      <c r="T89" s="1" t="e">
        <f t="shared" si="38"/>
        <v>#REF!</v>
      </c>
      <c r="U89" s="9" t="e">
        <f t="shared" si="39"/>
        <v>#REF!</v>
      </c>
      <c r="V89" s="10" t="e">
        <f t="shared" si="40"/>
        <v>#REF!</v>
      </c>
      <c r="W89" s="1" t="e">
        <f>SUMIFS(#REF!,#REF!,
 $A89,#REF!,
 "&gt;="&amp;INT($Y$1),#REF!,
 "&lt;="&amp;INT($Z$1)
)</f>
        <v>#REF!</v>
      </c>
      <c r="X89" s="1" t="e">
        <f t="shared" si="41"/>
        <v>#REF!</v>
      </c>
      <c r="Y89" s="9" t="e">
        <f t="shared" si="42"/>
        <v>#REF!</v>
      </c>
      <c r="Z89" s="10" t="e">
        <f t="shared" si="43"/>
        <v>#REF!</v>
      </c>
      <c r="AA89" s="1" t="e">
        <f>SUMIFS(#REF!,#REF!,
 $A89,#REF!,
 "&gt;="&amp;INT($AC$1),#REF!,
 "&lt;="&amp;INT($AD$1)
)</f>
        <v>#REF!</v>
      </c>
      <c r="AB89" s="1" t="e">
        <f t="shared" si="44"/>
        <v>#REF!</v>
      </c>
      <c r="AC89" s="9" t="e">
        <f t="shared" si="45"/>
        <v>#REF!</v>
      </c>
      <c r="AD89" s="10" t="e">
        <f t="shared" si="46"/>
        <v>#REF!</v>
      </c>
      <c r="AE89" s="1" t="e">
        <f>SUMIFS(#REF!,#REF!,
 $A89,#REF!,
 "&gt;="&amp;INT($AG$1),#REF!,
 "&lt;="&amp;INT($AH$1)
)</f>
        <v>#REF!</v>
      </c>
      <c r="AF89" s="1" t="e">
        <f t="shared" si="47"/>
        <v>#REF!</v>
      </c>
      <c r="AG89" s="9" t="e">
        <f t="shared" si="48"/>
        <v>#REF!</v>
      </c>
      <c r="AH89" s="10" t="e">
        <f t="shared" si="49"/>
        <v>#REF!</v>
      </c>
      <c r="AI89" s="1" t="e">
        <f>SUMIFS(#REF!,#REF!,
 $A89,#REF!,
 "&gt;="&amp;INT($AK$1),#REF!,
 "&lt;="&amp;INT($AL$1)
)</f>
        <v>#REF!</v>
      </c>
      <c r="AJ89" s="1" t="e">
        <f t="shared" si="50"/>
        <v>#REF!</v>
      </c>
      <c r="AK89" s="9" t="e">
        <f t="shared" si="51"/>
        <v>#REF!</v>
      </c>
      <c r="AL89" s="10" t="e">
        <f t="shared" si="52"/>
        <v>#REF!</v>
      </c>
      <c r="AM89" s="1" t="e">
        <f>SUMIFS(#REF!,#REF!,
 $A89,#REF!,
 "&gt;="&amp;INT($AO$1),#REF!,
 "&lt;="&amp;INT($AP$1)
)</f>
        <v>#REF!</v>
      </c>
      <c r="AN89" s="1" t="e">
        <f t="shared" si="53"/>
        <v>#REF!</v>
      </c>
      <c r="AO89" s="9" t="e">
        <f t="shared" si="54"/>
        <v>#REF!</v>
      </c>
      <c r="AP89" s="10" t="e">
        <f t="shared" si="55"/>
        <v>#REF!</v>
      </c>
      <c r="AQ89" s="1" t="e">
        <f>SUMIFS(#REF!,#REF!,
 $A89,#REF!,
 "&gt;="&amp;INT($AS$1),#REF!,
 "&lt;="&amp;INT($AT$1)
)</f>
        <v>#REF!</v>
      </c>
      <c r="AR89" s="1" t="e">
        <f t="shared" si="56"/>
        <v>#REF!</v>
      </c>
      <c r="AS89" s="9" t="e">
        <f t="shared" si="57"/>
        <v>#REF!</v>
      </c>
      <c r="AT89" s="10" t="e">
        <f t="shared" si="58"/>
        <v>#REF!</v>
      </c>
      <c r="AU89" s="1" t="e">
        <f>SUMIFS(#REF!,#REF!,
 $A89,#REF!,
 "&gt;="&amp;INT($AW$1),#REF!,
 "&lt;="&amp;INT($AX$1)
)</f>
        <v>#REF!</v>
      </c>
      <c r="AV89" s="1" t="e">
        <f t="shared" si="59"/>
        <v>#REF!</v>
      </c>
      <c r="AW89" s="9" t="e">
        <f t="shared" si="60"/>
        <v>#REF!</v>
      </c>
      <c r="AX89" s="10" t="e">
        <f t="shared" si="61"/>
        <v>#REF!</v>
      </c>
    </row>
    <row r="90" spans="1:50" x14ac:dyDescent="0.25">
      <c r="A90" s="5">
        <v>213011</v>
      </c>
      <c r="B90" s="6" t="s">
        <v>87</v>
      </c>
      <c r="C90" s="1" t="e">
        <f>SUMIFS(#REF!,#REF!,
 $A90,#REF!,
 "&gt;="&amp;INT($E$1),#REF!,
 "&lt;"&amp;INT($F$1+1)
)</f>
        <v>#REF!</v>
      </c>
      <c r="D90" s="1" t="str">
        <f>""</f>
        <v/>
      </c>
      <c r="F90" s="2"/>
      <c r="G90" s="1" t="e">
        <f>SUMIFS(#REF!,#REF!,
 $A90,#REF!,
 "&gt;="&amp;INT($I$1),#REF!,
 "&lt;"&amp;INT($J$1+1)
)</f>
        <v>#REF!</v>
      </c>
      <c r="H90" s="1" t="e">
        <f t="shared" si="31"/>
        <v>#REF!</v>
      </c>
      <c r="I90" s="1"/>
      <c r="J90" s="2"/>
      <c r="K90" s="1" t="e">
        <f>SUMIFS(#REF!,#REF!,
 $A90,#REF!,
 "&gt;="&amp;INT($M$1),#REF!,
 "&lt;"&amp;INT($N$1+1)
)</f>
        <v>#REF!</v>
      </c>
      <c r="L90" s="1" t="e">
        <f t="shared" si="32"/>
        <v>#REF!</v>
      </c>
      <c r="M90" s="9" t="e">
        <f t="shared" si="33"/>
        <v>#REF!</v>
      </c>
      <c r="N90" s="10" t="e">
        <f t="shared" si="34"/>
        <v>#REF!</v>
      </c>
      <c r="O90" s="1" t="e">
        <f>SUMIFS(#REF!,#REF!,
 $A90,#REF!,
 "&gt;="&amp;INT($Q$1),#REF!,
 "&lt;="&amp;INT($R$1)
)</f>
        <v>#REF!</v>
      </c>
      <c r="P90" s="1" t="e">
        <f t="shared" si="35"/>
        <v>#REF!</v>
      </c>
      <c r="Q90" s="9" t="e">
        <f t="shared" si="36"/>
        <v>#REF!</v>
      </c>
      <c r="R90" s="10" t="e">
        <f t="shared" si="37"/>
        <v>#REF!</v>
      </c>
      <c r="S90" s="1" t="e">
        <f>SUMIFS(#REF!,#REF!,
 $A90,#REF!,
 "&gt;="&amp;INT($U$1),#REF!,
 "&lt;="&amp;INT($V$1)
)</f>
        <v>#REF!</v>
      </c>
      <c r="T90" s="1" t="e">
        <f t="shared" si="38"/>
        <v>#REF!</v>
      </c>
      <c r="U90" s="9" t="e">
        <f t="shared" si="39"/>
        <v>#REF!</v>
      </c>
      <c r="V90" s="10" t="e">
        <f t="shared" si="40"/>
        <v>#REF!</v>
      </c>
      <c r="W90" s="1" t="e">
        <f>SUMIFS(#REF!,#REF!,
 $A90,#REF!,
 "&gt;="&amp;INT($Y$1),#REF!,
 "&lt;="&amp;INT($Z$1)
)</f>
        <v>#REF!</v>
      </c>
      <c r="X90" s="1" t="e">
        <f t="shared" si="41"/>
        <v>#REF!</v>
      </c>
      <c r="Y90" s="9" t="e">
        <f t="shared" si="42"/>
        <v>#REF!</v>
      </c>
      <c r="Z90" s="10" t="e">
        <f t="shared" si="43"/>
        <v>#REF!</v>
      </c>
      <c r="AA90" s="1" t="e">
        <f>SUMIFS(#REF!,#REF!,
 $A90,#REF!,
 "&gt;="&amp;INT($AC$1),#REF!,
 "&lt;="&amp;INT($AD$1)
)</f>
        <v>#REF!</v>
      </c>
      <c r="AB90" s="1" t="e">
        <f t="shared" si="44"/>
        <v>#REF!</v>
      </c>
      <c r="AC90" s="9" t="e">
        <f t="shared" si="45"/>
        <v>#REF!</v>
      </c>
      <c r="AD90" s="10" t="e">
        <f t="shared" si="46"/>
        <v>#REF!</v>
      </c>
      <c r="AE90" s="1" t="e">
        <f>SUMIFS(#REF!,#REF!,
 $A90,#REF!,
 "&gt;="&amp;INT($AG$1),#REF!,
 "&lt;="&amp;INT($AH$1)
)</f>
        <v>#REF!</v>
      </c>
      <c r="AF90" s="1" t="e">
        <f t="shared" si="47"/>
        <v>#REF!</v>
      </c>
      <c r="AG90" s="9" t="e">
        <f t="shared" si="48"/>
        <v>#REF!</v>
      </c>
      <c r="AH90" s="10" t="e">
        <f t="shared" si="49"/>
        <v>#REF!</v>
      </c>
      <c r="AI90" s="1" t="e">
        <f>SUMIFS(#REF!,#REF!,
 $A90,#REF!,
 "&gt;="&amp;INT($AK$1),#REF!,
 "&lt;="&amp;INT($AL$1)
)</f>
        <v>#REF!</v>
      </c>
      <c r="AJ90" s="1" t="e">
        <f t="shared" si="50"/>
        <v>#REF!</v>
      </c>
      <c r="AK90" s="9" t="e">
        <f t="shared" si="51"/>
        <v>#REF!</v>
      </c>
      <c r="AL90" s="10" t="e">
        <f t="shared" si="52"/>
        <v>#REF!</v>
      </c>
      <c r="AM90" s="1" t="e">
        <f>SUMIFS(#REF!,#REF!,
 $A90,#REF!,
 "&gt;="&amp;INT($AO$1),#REF!,
 "&lt;="&amp;INT($AP$1)
)</f>
        <v>#REF!</v>
      </c>
      <c r="AN90" s="1" t="e">
        <f t="shared" si="53"/>
        <v>#REF!</v>
      </c>
      <c r="AO90" s="9" t="e">
        <f t="shared" si="54"/>
        <v>#REF!</v>
      </c>
      <c r="AP90" s="10" t="e">
        <f t="shared" si="55"/>
        <v>#REF!</v>
      </c>
      <c r="AQ90" s="1" t="e">
        <f>SUMIFS(#REF!,#REF!,
 $A90,#REF!,
 "&gt;="&amp;INT($AS$1),#REF!,
 "&lt;="&amp;INT($AT$1)
)</f>
        <v>#REF!</v>
      </c>
      <c r="AR90" s="1" t="e">
        <f t="shared" si="56"/>
        <v>#REF!</v>
      </c>
      <c r="AS90" s="9" t="e">
        <f t="shared" si="57"/>
        <v>#REF!</v>
      </c>
      <c r="AT90" s="10" t="e">
        <f t="shared" si="58"/>
        <v>#REF!</v>
      </c>
      <c r="AU90" s="1" t="e">
        <f>SUMIFS(#REF!,#REF!,
 $A90,#REF!,
 "&gt;="&amp;INT($AW$1),#REF!,
 "&lt;="&amp;INT($AX$1)
)</f>
        <v>#REF!</v>
      </c>
      <c r="AV90" s="1" t="e">
        <f t="shared" si="59"/>
        <v>#REF!</v>
      </c>
      <c r="AW90" s="9" t="e">
        <f t="shared" si="60"/>
        <v>#REF!</v>
      </c>
      <c r="AX90" s="10" t="e">
        <f t="shared" si="61"/>
        <v>#REF!</v>
      </c>
    </row>
    <row r="91" spans="1:50" x14ac:dyDescent="0.25">
      <c r="A91" s="5">
        <v>213012</v>
      </c>
      <c r="B91" s="6" t="s">
        <v>88</v>
      </c>
      <c r="C91" s="1" t="e">
        <f>SUMIFS(#REF!,#REF!,
 $A91,#REF!,
 "&gt;="&amp;INT($E$1),#REF!,
 "&lt;"&amp;INT($F$1+1)
)</f>
        <v>#REF!</v>
      </c>
      <c r="D91" s="1" t="str">
        <f>""</f>
        <v/>
      </c>
      <c r="F91" s="2"/>
      <c r="G91" s="1" t="e">
        <f>SUMIFS(#REF!,#REF!,
 $A91,#REF!,
 "&gt;="&amp;INT($I$1),#REF!,
 "&lt;"&amp;INT($J$1+1)
)</f>
        <v>#REF!</v>
      </c>
      <c r="H91" s="1" t="e">
        <f t="shared" si="31"/>
        <v>#REF!</v>
      </c>
      <c r="I91" s="1"/>
      <c r="J91" s="2"/>
      <c r="K91" s="1" t="e">
        <f>SUMIFS(#REF!,#REF!,
 $A91,#REF!,
 "&gt;="&amp;INT($M$1),#REF!,
 "&lt;"&amp;INT($N$1+1)
)</f>
        <v>#REF!</v>
      </c>
      <c r="L91" s="1" t="e">
        <f t="shared" si="32"/>
        <v>#REF!</v>
      </c>
      <c r="M91" s="9" t="e">
        <f t="shared" si="33"/>
        <v>#REF!</v>
      </c>
      <c r="N91" s="10" t="e">
        <f t="shared" si="34"/>
        <v>#REF!</v>
      </c>
      <c r="O91" s="1" t="e">
        <f>SUMIFS(#REF!,#REF!,
 $A91,#REF!,
 "&gt;="&amp;INT($Q$1),#REF!,
 "&lt;="&amp;INT($R$1)
)</f>
        <v>#REF!</v>
      </c>
      <c r="P91" s="1" t="e">
        <f t="shared" si="35"/>
        <v>#REF!</v>
      </c>
      <c r="Q91" s="9" t="e">
        <f t="shared" si="36"/>
        <v>#REF!</v>
      </c>
      <c r="R91" s="10" t="e">
        <f t="shared" si="37"/>
        <v>#REF!</v>
      </c>
      <c r="S91" s="1" t="e">
        <f>SUMIFS(#REF!,#REF!,
 $A91,#REF!,
 "&gt;="&amp;INT($U$1),#REF!,
 "&lt;="&amp;INT($V$1)
)</f>
        <v>#REF!</v>
      </c>
      <c r="T91" s="1" t="e">
        <f t="shared" si="38"/>
        <v>#REF!</v>
      </c>
      <c r="U91" s="9" t="e">
        <f t="shared" si="39"/>
        <v>#REF!</v>
      </c>
      <c r="V91" s="10" t="e">
        <f t="shared" si="40"/>
        <v>#REF!</v>
      </c>
      <c r="W91" s="1" t="e">
        <f>SUMIFS(#REF!,#REF!,
 $A91,#REF!,
 "&gt;="&amp;INT($Y$1),#REF!,
 "&lt;="&amp;INT($Z$1)
)</f>
        <v>#REF!</v>
      </c>
      <c r="X91" s="1" t="e">
        <f t="shared" si="41"/>
        <v>#REF!</v>
      </c>
      <c r="Y91" s="9" t="e">
        <f t="shared" si="42"/>
        <v>#REF!</v>
      </c>
      <c r="Z91" s="10" t="e">
        <f t="shared" si="43"/>
        <v>#REF!</v>
      </c>
      <c r="AA91" s="1" t="e">
        <f>SUMIFS(#REF!,#REF!,
 $A91,#REF!,
 "&gt;="&amp;INT($AC$1),#REF!,
 "&lt;="&amp;INT($AD$1)
)</f>
        <v>#REF!</v>
      </c>
      <c r="AB91" s="1" t="e">
        <f t="shared" si="44"/>
        <v>#REF!</v>
      </c>
      <c r="AC91" s="9" t="e">
        <f t="shared" si="45"/>
        <v>#REF!</v>
      </c>
      <c r="AD91" s="10" t="e">
        <f t="shared" si="46"/>
        <v>#REF!</v>
      </c>
      <c r="AE91" s="1" t="e">
        <f>SUMIFS(#REF!,#REF!,
 $A91,#REF!,
 "&gt;="&amp;INT($AG$1),#REF!,
 "&lt;="&amp;INT($AH$1)
)</f>
        <v>#REF!</v>
      </c>
      <c r="AF91" s="1" t="e">
        <f t="shared" si="47"/>
        <v>#REF!</v>
      </c>
      <c r="AG91" s="9" t="e">
        <f t="shared" si="48"/>
        <v>#REF!</v>
      </c>
      <c r="AH91" s="10" t="e">
        <f t="shared" si="49"/>
        <v>#REF!</v>
      </c>
      <c r="AI91" s="1" t="e">
        <f>SUMIFS(#REF!,#REF!,
 $A91,#REF!,
 "&gt;="&amp;INT($AK$1),#REF!,
 "&lt;="&amp;INT($AL$1)
)</f>
        <v>#REF!</v>
      </c>
      <c r="AJ91" s="1" t="e">
        <f t="shared" si="50"/>
        <v>#REF!</v>
      </c>
      <c r="AK91" s="9" t="e">
        <f t="shared" si="51"/>
        <v>#REF!</v>
      </c>
      <c r="AL91" s="10" t="e">
        <f t="shared" si="52"/>
        <v>#REF!</v>
      </c>
      <c r="AM91" s="1" t="e">
        <f>SUMIFS(#REF!,#REF!,
 $A91,#REF!,
 "&gt;="&amp;INT($AO$1),#REF!,
 "&lt;="&amp;INT($AP$1)
)</f>
        <v>#REF!</v>
      </c>
      <c r="AN91" s="1" t="e">
        <f t="shared" si="53"/>
        <v>#REF!</v>
      </c>
      <c r="AO91" s="9" t="e">
        <f t="shared" si="54"/>
        <v>#REF!</v>
      </c>
      <c r="AP91" s="10" t="e">
        <f t="shared" si="55"/>
        <v>#REF!</v>
      </c>
      <c r="AQ91" s="1" t="e">
        <f>SUMIFS(#REF!,#REF!,
 $A91,#REF!,
 "&gt;="&amp;INT($AS$1),#REF!,
 "&lt;="&amp;INT($AT$1)
)</f>
        <v>#REF!</v>
      </c>
      <c r="AR91" s="1" t="e">
        <f t="shared" si="56"/>
        <v>#REF!</v>
      </c>
      <c r="AS91" s="9" t="e">
        <f t="shared" si="57"/>
        <v>#REF!</v>
      </c>
      <c r="AT91" s="10" t="e">
        <f t="shared" si="58"/>
        <v>#REF!</v>
      </c>
      <c r="AU91" s="1" t="e">
        <f>SUMIFS(#REF!,#REF!,
 $A91,#REF!,
 "&gt;="&amp;INT($AW$1),#REF!,
 "&lt;="&amp;INT($AX$1)
)</f>
        <v>#REF!</v>
      </c>
      <c r="AV91" s="1" t="e">
        <f t="shared" si="59"/>
        <v>#REF!</v>
      </c>
      <c r="AW91" s="9" t="e">
        <f t="shared" si="60"/>
        <v>#REF!</v>
      </c>
      <c r="AX91" s="10" t="e">
        <f t="shared" si="61"/>
        <v>#REF!</v>
      </c>
    </row>
    <row r="92" spans="1:50" x14ac:dyDescent="0.25">
      <c r="A92" s="5">
        <v>213017</v>
      </c>
      <c r="B92" s="6" t="s">
        <v>89</v>
      </c>
      <c r="C92" s="1" t="e">
        <f>SUMIFS(#REF!,#REF!,
 $A92,#REF!,
 "&gt;="&amp;INT($E$1),#REF!,
 "&lt;"&amp;INT($F$1+1)
)</f>
        <v>#REF!</v>
      </c>
      <c r="D92" s="1" t="str">
        <f>""</f>
        <v/>
      </c>
      <c r="F92" s="2"/>
      <c r="G92" s="1" t="e">
        <f>SUMIFS(#REF!,#REF!,
 $A92,#REF!,
 "&gt;="&amp;INT($I$1),#REF!,
 "&lt;"&amp;INT($J$1+1)
)</f>
        <v>#REF!</v>
      </c>
      <c r="H92" s="1" t="e">
        <f t="shared" si="31"/>
        <v>#REF!</v>
      </c>
      <c r="I92" s="1"/>
      <c r="J92" s="2"/>
      <c r="K92" s="1" t="e">
        <f>SUMIFS(#REF!,#REF!,
 $A92,#REF!,
 "&gt;="&amp;INT($M$1),#REF!,
 "&lt;"&amp;INT($N$1+1)
)</f>
        <v>#REF!</v>
      </c>
      <c r="L92" s="1" t="e">
        <f t="shared" si="32"/>
        <v>#REF!</v>
      </c>
      <c r="M92" s="9" t="e">
        <f t="shared" si="33"/>
        <v>#REF!</v>
      </c>
      <c r="N92" s="10" t="e">
        <f t="shared" si="34"/>
        <v>#REF!</v>
      </c>
      <c r="O92" s="1" t="e">
        <f>SUMIFS(#REF!,#REF!,
 $A92,#REF!,
 "&gt;="&amp;INT($Q$1),#REF!,
 "&lt;="&amp;INT($R$1)
)</f>
        <v>#REF!</v>
      </c>
      <c r="P92" s="1" t="e">
        <f t="shared" si="35"/>
        <v>#REF!</v>
      </c>
      <c r="Q92" s="9" t="e">
        <f t="shared" si="36"/>
        <v>#REF!</v>
      </c>
      <c r="R92" s="10" t="e">
        <f t="shared" si="37"/>
        <v>#REF!</v>
      </c>
      <c r="S92" s="1" t="e">
        <f>SUMIFS(#REF!,#REF!,
 $A92,#REF!,
 "&gt;="&amp;INT($U$1),#REF!,
 "&lt;="&amp;INT($V$1)
)</f>
        <v>#REF!</v>
      </c>
      <c r="T92" s="1" t="e">
        <f t="shared" si="38"/>
        <v>#REF!</v>
      </c>
      <c r="U92" s="9" t="e">
        <f t="shared" si="39"/>
        <v>#REF!</v>
      </c>
      <c r="V92" s="10" t="e">
        <f t="shared" si="40"/>
        <v>#REF!</v>
      </c>
      <c r="W92" s="1" t="e">
        <f>SUMIFS(#REF!,#REF!,
 $A92,#REF!,
 "&gt;="&amp;INT($Y$1),#REF!,
 "&lt;="&amp;INT($Z$1)
)</f>
        <v>#REF!</v>
      </c>
      <c r="X92" s="1" t="e">
        <f t="shared" si="41"/>
        <v>#REF!</v>
      </c>
      <c r="Y92" s="9" t="e">
        <f t="shared" si="42"/>
        <v>#REF!</v>
      </c>
      <c r="Z92" s="10" t="e">
        <f t="shared" si="43"/>
        <v>#REF!</v>
      </c>
      <c r="AA92" s="1" t="e">
        <f>SUMIFS(#REF!,#REF!,
 $A92,#REF!,
 "&gt;="&amp;INT($AC$1),#REF!,
 "&lt;="&amp;INT($AD$1)
)</f>
        <v>#REF!</v>
      </c>
      <c r="AB92" s="1" t="e">
        <f t="shared" si="44"/>
        <v>#REF!</v>
      </c>
      <c r="AC92" s="9" t="e">
        <f t="shared" si="45"/>
        <v>#REF!</v>
      </c>
      <c r="AD92" s="10" t="e">
        <f t="shared" si="46"/>
        <v>#REF!</v>
      </c>
      <c r="AE92" s="1" t="e">
        <f>SUMIFS(#REF!,#REF!,
 $A92,#REF!,
 "&gt;="&amp;INT($AG$1),#REF!,
 "&lt;="&amp;INT($AH$1)
)</f>
        <v>#REF!</v>
      </c>
      <c r="AF92" s="1" t="e">
        <f t="shared" si="47"/>
        <v>#REF!</v>
      </c>
      <c r="AG92" s="9" t="e">
        <f t="shared" si="48"/>
        <v>#REF!</v>
      </c>
      <c r="AH92" s="10" t="e">
        <f t="shared" si="49"/>
        <v>#REF!</v>
      </c>
      <c r="AI92" s="1" t="e">
        <f>SUMIFS(#REF!,#REF!,
 $A92,#REF!,
 "&gt;="&amp;INT($AK$1),#REF!,
 "&lt;="&amp;INT($AL$1)
)</f>
        <v>#REF!</v>
      </c>
      <c r="AJ92" s="1" t="e">
        <f t="shared" si="50"/>
        <v>#REF!</v>
      </c>
      <c r="AK92" s="9" t="e">
        <f t="shared" si="51"/>
        <v>#REF!</v>
      </c>
      <c r="AL92" s="10" t="e">
        <f t="shared" si="52"/>
        <v>#REF!</v>
      </c>
      <c r="AM92" s="1" t="e">
        <f>SUMIFS(#REF!,#REF!,
 $A92,#REF!,
 "&gt;="&amp;INT($AO$1),#REF!,
 "&lt;="&amp;INT($AP$1)
)</f>
        <v>#REF!</v>
      </c>
      <c r="AN92" s="1" t="e">
        <f t="shared" si="53"/>
        <v>#REF!</v>
      </c>
      <c r="AO92" s="9" t="e">
        <f t="shared" si="54"/>
        <v>#REF!</v>
      </c>
      <c r="AP92" s="10" t="e">
        <f t="shared" si="55"/>
        <v>#REF!</v>
      </c>
      <c r="AQ92" s="1" t="e">
        <f>SUMIFS(#REF!,#REF!,
 $A92,#REF!,
 "&gt;="&amp;INT($AS$1),#REF!,
 "&lt;="&amp;INT($AT$1)
)</f>
        <v>#REF!</v>
      </c>
      <c r="AR92" s="1" t="e">
        <f t="shared" si="56"/>
        <v>#REF!</v>
      </c>
      <c r="AS92" s="9" t="e">
        <f t="shared" si="57"/>
        <v>#REF!</v>
      </c>
      <c r="AT92" s="10" t="e">
        <f t="shared" si="58"/>
        <v>#REF!</v>
      </c>
      <c r="AU92" s="1" t="e">
        <f>SUMIFS(#REF!,#REF!,
 $A92,#REF!,
 "&gt;="&amp;INT($AW$1),#REF!,
 "&lt;="&amp;INT($AX$1)
)</f>
        <v>#REF!</v>
      </c>
      <c r="AV92" s="1" t="e">
        <f t="shared" si="59"/>
        <v>#REF!</v>
      </c>
      <c r="AW92" s="9" t="e">
        <f t="shared" si="60"/>
        <v>#REF!</v>
      </c>
      <c r="AX92" s="10" t="e">
        <f t="shared" si="61"/>
        <v>#REF!</v>
      </c>
    </row>
    <row r="93" spans="1:50" x14ac:dyDescent="0.25">
      <c r="A93" s="5">
        <v>213018</v>
      </c>
      <c r="B93" s="6" t="s">
        <v>90</v>
      </c>
      <c r="C93" s="1" t="e">
        <f>SUMIFS(#REF!,#REF!,
 $A93,#REF!,
 "&gt;="&amp;INT($E$1),#REF!,
 "&lt;"&amp;INT($F$1+1)
)</f>
        <v>#REF!</v>
      </c>
      <c r="D93" s="1" t="str">
        <f>""</f>
        <v/>
      </c>
      <c r="F93" s="2"/>
      <c r="G93" s="1" t="e">
        <f>SUMIFS(#REF!,#REF!,
 $A93,#REF!,
 "&gt;="&amp;INT($I$1),#REF!,
 "&lt;"&amp;INT($J$1+1)
)</f>
        <v>#REF!</v>
      </c>
      <c r="H93" s="1" t="e">
        <f t="shared" si="31"/>
        <v>#REF!</v>
      </c>
      <c r="I93" s="1"/>
      <c r="J93" s="2"/>
      <c r="K93" s="1" t="e">
        <f>SUMIFS(#REF!,#REF!,
 $A93,#REF!,
 "&gt;="&amp;INT($M$1),#REF!,
 "&lt;"&amp;INT($N$1+1)
)</f>
        <v>#REF!</v>
      </c>
      <c r="L93" s="1" t="e">
        <f t="shared" si="32"/>
        <v>#REF!</v>
      </c>
      <c r="M93" s="9" t="e">
        <f t="shared" si="33"/>
        <v>#REF!</v>
      </c>
      <c r="N93" s="10" t="e">
        <f t="shared" si="34"/>
        <v>#REF!</v>
      </c>
      <c r="O93" s="1" t="e">
        <f>SUMIFS(#REF!,#REF!,
 $A93,#REF!,
 "&gt;="&amp;INT($Q$1),#REF!,
 "&lt;="&amp;INT($R$1)
)</f>
        <v>#REF!</v>
      </c>
      <c r="P93" s="1" t="e">
        <f t="shared" si="35"/>
        <v>#REF!</v>
      </c>
      <c r="Q93" s="9" t="e">
        <f t="shared" si="36"/>
        <v>#REF!</v>
      </c>
      <c r="R93" s="10" t="e">
        <f t="shared" si="37"/>
        <v>#REF!</v>
      </c>
      <c r="S93" s="1" t="e">
        <f>SUMIFS(#REF!,#REF!,
 $A93,#REF!,
 "&gt;="&amp;INT($U$1),#REF!,
 "&lt;="&amp;INT($V$1)
)</f>
        <v>#REF!</v>
      </c>
      <c r="T93" s="1" t="e">
        <f t="shared" si="38"/>
        <v>#REF!</v>
      </c>
      <c r="U93" s="9" t="e">
        <f t="shared" si="39"/>
        <v>#REF!</v>
      </c>
      <c r="V93" s="10" t="e">
        <f t="shared" si="40"/>
        <v>#REF!</v>
      </c>
      <c r="W93" s="1" t="e">
        <f>SUMIFS(#REF!,#REF!,
 $A93,#REF!,
 "&gt;="&amp;INT($Y$1),#REF!,
 "&lt;="&amp;INT($Z$1)
)</f>
        <v>#REF!</v>
      </c>
      <c r="X93" s="1" t="e">
        <f t="shared" si="41"/>
        <v>#REF!</v>
      </c>
      <c r="Y93" s="9" t="e">
        <f t="shared" si="42"/>
        <v>#REF!</v>
      </c>
      <c r="Z93" s="10" t="e">
        <f t="shared" si="43"/>
        <v>#REF!</v>
      </c>
      <c r="AA93" s="1" t="e">
        <f>SUMIFS(#REF!,#REF!,
 $A93,#REF!,
 "&gt;="&amp;INT($AC$1),#REF!,
 "&lt;="&amp;INT($AD$1)
)</f>
        <v>#REF!</v>
      </c>
      <c r="AB93" s="1" t="e">
        <f t="shared" si="44"/>
        <v>#REF!</v>
      </c>
      <c r="AC93" s="9" t="e">
        <f t="shared" si="45"/>
        <v>#REF!</v>
      </c>
      <c r="AD93" s="10" t="e">
        <f t="shared" si="46"/>
        <v>#REF!</v>
      </c>
      <c r="AE93" s="1" t="e">
        <f>SUMIFS(#REF!,#REF!,
 $A93,#REF!,
 "&gt;="&amp;INT($AG$1),#REF!,
 "&lt;="&amp;INT($AH$1)
)</f>
        <v>#REF!</v>
      </c>
      <c r="AF93" s="1" t="e">
        <f t="shared" si="47"/>
        <v>#REF!</v>
      </c>
      <c r="AG93" s="9" t="e">
        <f t="shared" si="48"/>
        <v>#REF!</v>
      </c>
      <c r="AH93" s="10" t="e">
        <f t="shared" si="49"/>
        <v>#REF!</v>
      </c>
      <c r="AI93" s="1" t="e">
        <f>SUMIFS(#REF!,#REF!,
 $A93,#REF!,
 "&gt;="&amp;INT($AK$1),#REF!,
 "&lt;="&amp;INT($AL$1)
)</f>
        <v>#REF!</v>
      </c>
      <c r="AJ93" s="1" t="e">
        <f t="shared" si="50"/>
        <v>#REF!</v>
      </c>
      <c r="AK93" s="9" t="e">
        <f t="shared" si="51"/>
        <v>#REF!</v>
      </c>
      <c r="AL93" s="10" t="e">
        <f t="shared" si="52"/>
        <v>#REF!</v>
      </c>
      <c r="AM93" s="1" t="e">
        <f>SUMIFS(#REF!,#REF!,
 $A93,#REF!,
 "&gt;="&amp;INT($AO$1),#REF!,
 "&lt;="&amp;INT($AP$1)
)</f>
        <v>#REF!</v>
      </c>
      <c r="AN93" s="1" t="e">
        <f t="shared" si="53"/>
        <v>#REF!</v>
      </c>
      <c r="AO93" s="9" t="e">
        <f t="shared" si="54"/>
        <v>#REF!</v>
      </c>
      <c r="AP93" s="10" t="e">
        <f t="shared" si="55"/>
        <v>#REF!</v>
      </c>
      <c r="AQ93" s="1" t="e">
        <f>SUMIFS(#REF!,#REF!,
 $A93,#REF!,
 "&gt;="&amp;INT($AS$1),#REF!,
 "&lt;="&amp;INT($AT$1)
)</f>
        <v>#REF!</v>
      </c>
      <c r="AR93" s="1" t="e">
        <f t="shared" si="56"/>
        <v>#REF!</v>
      </c>
      <c r="AS93" s="9" t="e">
        <f t="shared" si="57"/>
        <v>#REF!</v>
      </c>
      <c r="AT93" s="10" t="e">
        <f t="shared" si="58"/>
        <v>#REF!</v>
      </c>
      <c r="AU93" s="1" t="e">
        <f>SUMIFS(#REF!,#REF!,
 $A93,#REF!,
 "&gt;="&amp;INT($AW$1),#REF!,
 "&lt;="&amp;INT($AX$1)
)</f>
        <v>#REF!</v>
      </c>
      <c r="AV93" s="1" t="e">
        <f t="shared" si="59"/>
        <v>#REF!</v>
      </c>
      <c r="AW93" s="9" t="e">
        <f t="shared" si="60"/>
        <v>#REF!</v>
      </c>
      <c r="AX93" s="10" t="e">
        <f t="shared" si="61"/>
        <v>#REF!</v>
      </c>
    </row>
    <row r="94" spans="1:50" x14ac:dyDescent="0.25">
      <c r="A94" s="5">
        <v>213020</v>
      </c>
      <c r="B94" s="6" t="s">
        <v>91</v>
      </c>
      <c r="C94" s="1" t="e">
        <f>SUMIFS(#REF!,#REF!,
 $A94,#REF!,
 "&gt;="&amp;INT($E$1),#REF!,
 "&lt;"&amp;INT($F$1+1)
)</f>
        <v>#REF!</v>
      </c>
      <c r="D94" s="1" t="str">
        <f>""</f>
        <v/>
      </c>
      <c r="F94" s="2"/>
      <c r="G94" s="1" t="e">
        <f>SUMIFS(#REF!,#REF!,
 $A94,#REF!,
 "&gt;="&amp;INT($I$1),#REF!,
 "&lt;"&amp;INT($J$1+1)
)</f>
        <v>#REF!</v>
      </c>
      <c r="H94" s="1" t="e">
        <f t="shared" si="31"/>
        <v>#REF!</v>
      </c>
      <c r="I94" s="1"/>
      <c r="J94" s="2"/>
      <c r="K94" s="1" t="e">
        <f>SUMIFS(#REF!,#REF!,
 $A94,#REF!,
 "&gt;="&amp;INT($M$1),#REF!,
 "&lt;"&amp;INT($N$1+1)
)</f>
        <v>#REF!</v>
      </c>
      <c r="L94" s="1" t="e">
        <f t="shared" si="32"/>
        <v>#REF!</v>
      </c>
      <c r="M94" s="9" t="e">
        <f t="shared" si="33"/>
        <v>#REF!</v>
      </c>
      <c r="N94" s="10" t="e">
        <f t="shared" si="34"/>
        <v>#REF!</v>
      </c>
      <c r="O94" s="1" t="e">
        <f>SUMIFS(#REF!,#REF!,
 $A94,#REF!,
 "&gt;="&amp;INT($Q$1),#REF!,
 "&lt;="&amp;INT($R$1)
)</f>
        <v>#REF!</v>
      </c>
      <c r="P94" s="1" t="e">
        <f t="shared" si="35"/>
        <v>#REF!</v>
      </c>
      <c r="Q94" s="9" t="e">
        <f t="shared" si="36"/>
        <v>#REF!</v>
      </c>
      <c r="R94" s="10" t="e">
        <f t="shared" si="37"/>
        <v>#REF!</v>
      </c>
      <c r="S94" s="1" t="e">
        <f>SUMIFS(#REF!,#REF!,
 $A94,#REF!,
 "&gt;="&amp;INT($U$1),#REF!,
 "&lt;="&amp;INT($V$1)
)</f>
        <v>#REF!</v>
      </c>
      <c r="T94" s="1" t="e">
        <f t="shared" si="38"/>
        <v>#REF!</v>
      </c>
      <c r="U94" s="9" t="e">
        <f t="shared" si="39"/>
        <v>#REF!</v>
      </c>
      <c r="V94" s="10" t="e">
        <f t="shared" si="40"/>
        <v>#REF!</v>
      </c>
      <c r="W94" s="1" t="e">
        <f>SUMIFS(#REF!,#REF!,
 $A94,#REF!,
 "&gt;="&amp;INT($Y$1),#REF!,
 "&lt;="&amp;INT($Z$1)
)</f>
        <v>#REF!</v>
      </c>
      <c r="X94" s="1" t="e">
        <f t="shared" si="41"/>
        <v>#REF!</v>
      </c>
      <c r="Y94" s="9" t="e">
        <f t="shared" si="42"/>
        <v>#REF!</v>
      </c>
      <c r="Z94" s="10" t="e">
        <f t="shared" si="43"/>
        <v>#REF!</v>
      </c>
      <c r="AA94" s="1" t="e">
        <f>SUMIFS(#REF!,#REF!,
 $A94,#REF!,
 "&gt;="&amp;INT($AC$1),#REF!,
 "&lt;="&amp;INT($AD$1)
)</f>
        <v>#REF!</v>
      </c>
      <c r="AB94" s="1" t="e">
        <f t="shared" si="44"/>
        <v>#REF!</v>
      </c>
      <c r="AC94" s="9" t="e">
        <f t="shared" si="45"/>
        <v>#REF!</v>
      </c>
      <c r="AD94" s="10" t="e">
        <f t="shared" si="46"/>
        <v>#REF!</v>
      </c>
      <c r="AE94" s="1" t="e">
        <f>SUMIFS(#REF!,#REF!,
 $A94,#REF!,
 "&gt;="&amp;INT($AG$1),#REF!,
 "&lt;="&amp;INT($AH$1)
)</f>
        <v>#REF!</v>
      </c>
      <c r="AF94" s="1" t="e">
        <f t="shared" si="47"/>
        <v>#REF!</v>
      </c>
      <c r="AG94" s="9" t="e">
        <f t="shared" si="48"/>
        <v>#REF!</v>
      </c>
      <c r="AH94" s="10" t="e">
        <f t="shared" si="49"/>
        <v>#REF!</v>
      </c>
      <c r="AI94" s="1" t="e">
        <f>SUMIFS(#REF!,#REF!,
 $A94,#REF!,
 "&gt;="&amp;INT($AK$1),#REF!,
 "&lt;="&amp;INT($AL$1)
)</f>
        <v>#REF!</v>
      </c>
      <c r="AJ94" s="1" t="e">
        <f t="shared" si="50"/>
        <v>#REF!</v>
      </c>
      <c r="AK94" s="9" t="e">
        <f t="shared" si="51"/>
        <v>#REF!</v>
      </c>
      <c r="AL94" s="10" t="e">
        <f t="shared" si="52"/>
        <v>#REF!</v>
      </c>
      <c r="AM94" s="1" t="e">
        <f>SUMIFS(#REF!,#REF!,
 $A94,#REF!,
 "&gt;="&amp;INT($AO$1),#REF!,
 "&lt;="&amp;INT($AP$1)
)</f>
        <v>#REF!</v>
      </c>
      <c r="AN94" s="1" t="e">
        <f t="shared" si="53"/>
        <v>#REF!</v>
      </c>
      <c r="AO94" s="9" t="e">
        <f t="shared" si="54"/>
        <v>#REF!</v>
      </c>
      <c r="AP94" s="10" t="e">
        <f t="shared" si="55"/>
        <v>#REF!</v>
      </c>
      <c r="AQ94" s="1" t="e">
        <f>SUMIFS(#REF!,#REF!,
 $A94,#REF!,
 "&gt;="&amp;INT($AS$1),#REF!,
 "&lt;="&amp;INT($AT$1)
)</f>
        <v>#REF!</v>
      </c>
      <c r="AR94" s="1" t="e">
        <f t="shared" si="56"/>
        <v>#REF!</v>
      </c>
      <c r="AS94" s="9" t="e">
        <f t="shared" si="57"/>
        <v>#REF!</v>
      </c>
      <c r="AT94" s="10" t="e">
        <f t="shared" si="58"/>
        <v>#REF!</v>
      </c>
      <c r="AU94" s="1" t="e">
        <f>SUMIFS(#REF!,#REF!,
 $A94,#REF!,
 "&gt;="&amp;INT($AW$1),#REF!,
 "&lt;="&amp;INT($AX$1)
)</f>
        <v>#REF!</v>
      </c>
      <c r="AV94" s="1" t="e">
        <f t="shared" si="59"/>
        <v>#REF!</v>
      </c>
      <c r="AW94" s="9" t="e">
        <f t="shared" si="60"/>
        <v>#REF!</v>
      </c>
      <c r="AX94" s="10" t="e">
        <f t="shared" si="61"/>
        <v>#REF!</v>
      </c>
    </row>
    <row r="95" spans="1:50" x14ac:dyDescent="0.25">
      <c r="A95" s="5">
        <v>213021</v>
      </c>
      <c r="B95" s="6" t="s">
        <v>92</v>
      </c>
      <c r="C95" s="1" t="e">
        <f>SUMIFS(#REF!,#REF!,
 $A95,#REF!,
 "&gt;="&amp;INT($E$1),#REF!,
 "&lt;"&amp;INT($F$1+1)
)</f>
        <v>#REF!</v>
      </c>
      <c r="D95" s="1" t="str">
        <f>""</f>
        <v/>
      </c>
      <c r="F95" s="2"/>
      <c r="G95" s="1" t="e">
        <f>SUMIFS(#REF!,#REF!,
 $A95,#REF!,
 "&gt;="&amp;INT($I$1),#REF!,
 "&lt;"&amp;INT($J$1+1)
)</f>
        <v>#REF!</v>
      </c>
      <c r="H95" s="1" t="e">
        <f t="shared" si="31"/>
        <v>#REF!</v>
      </c>
      <c r="I95" s="1"/>
      <c r="J95" s="2"/>
      <c r="K95" s="1" t="e">
        <f>SUMIFS(#REF!,#REF!,
 $A95,#REF!,
 "&gt;="&amp;INT($M$1),#REF!,
 "&lt;"&amp;INT($N$1+1)
)</f>
        <v>#REF!</v>
      </c>
      <c r="L95" s="1" t="e">
        <f t="shared" si="32"/>
        <v>#REF!</v>
      </c>
      <c r="M95" s="9" t="e">
        <f t="shared" si="33"/>
        <v>#REF!</v>
      </c>
      <c r="N95" s="10" t="e">
        <f t="shared" si="34"/>
        <v>#REF!</v>
      </c>
      <c r="O95" s="1" t="e">
        <f>SUMIFS(#REF!,#REF!,
 $A95,#REF!,
 "&gt;="&amp;INT($Q$1),#REF!,
 "&lt;="&amp;INT($R$1)
)</f>
        <v>#REF!</v>
      </c>
      <c r="P95" s="1" t="e">
        <f t="shared" si="35"/>
        <v>#REF!</v>
      </c>
      <c r="Q95" s="9" t="e">
        <f t="shared" si="36"/>
        <v>#REF!</v>
      </c>
      <c r="R95" s="10" t="e">
        <f t="shared" si="37"/>
        <v>#REF!</v>
      </c>
      <c r="S95" s="1" t="e">
        <f>SUMIFS(#REF!,#REF!,
 $A95,#REF!,
 "&gt;="&amp;INT($U$1),#REF!,
 "&lt;="&amp;INT($V$1)
)</f>
        <v>#REF!</v>
      </c>
      <c r="T95" s="1" t="e">
        <f t="shared" si="38"/>
        <v>#REF!</v>
      </c>
      <c r="U95" s="9" t="e">
        <f t="shared" si="39"/>
        <v>#REF!</v>
      </c>
      <c r="V95" s="10" t="e">
        <f t="shared" si="40"/>
        <v>#REF!</v>
      </c>
      <c r="W95" s="1" t="e">
        <f>SUMIFS(#REF!,#REF!,
 $A95,#REF!,
 "&gt;="&amp;INT($Y$1),#REF!,
 "&lt;="&amp;INT($Z$1)
)</f>
        <v>#REF!</v>
      </c>
      <c r="X95" s="1" t="e">
        <f t="shared" si="41"/>
        <v>#REF!</v>
      </c>
      <c r="Y95" s="9" t="e">
        <f t="shared" si="42"/>
        <v>#REF!</v>
      </c>
      <c r="Z95" s="10" t="e">
        <f t="shared" si="43"/>
        <v>#REF!</v>
      </c>
      <c r="AA95" s="1" t="e">
        <f>SUMIFS(#REF!,#REF!,
 $A95,#REF!,
 "&gt;="&amp;INT($AC$1),#REF!,
 "&lt;="&amp;INT($AD$1)
)</f>
        <v>#REF!</v>
      </c>
      <c r="AB95" s="1" t="e">
        <f t="shared" si="44"/>
        <v>#REF!</v>
      </c>
      <c r="AC95" s="9" t="e">
        <f t="shared" si="45"/>
        <v>#REF!</v>
      </c>
      <c r="AD95" s="10" t="e">
        <f t="shared" si="46"/>
        <v>#REF!</v>
      </c>
      <c r="AE95" s="1" t="e">
        <f>SUMIFS(#REF!,#REF!,
 $A95,#REF!,
 "&gt;="&amp;INT($AG$1),#REF!,
 "&lt;="&amp;INT($AH$1)
)</f>
        <v>#REF!</v>
      </c>
      <c r="AF95" s="1" t="e">
        <f t="shared" si="47"/>
        <v>#REF!</v>
      </c>
      <c r="AG95" s="9" t="e">
        <f t="shared" si="48"/>
        <v>#REF!</v>
      </c>
      <c r="AH95" s="10" t="e">
        <f t="shared" si="49"/>
        <v>#REF!</v>
      </c>
      <c r="AI95" s="1" t="e">
        <f>SUMIFS(#REF!,#REF!,
 $A95,#REF!,
 "&gt;="&amp;INT($AK$1),#REF!,
 "&lt;="&amp;INT($AL$1)
)</f>
        <v>#REF!</v>
      </c>
      <c r="AJ95" s="1" t="e">
        <f t="shared" si="50"/>
        <v>#REF!</v>
      </c>
      <c r="AK95" s="9" t="e">
        <f t="shared" si="51"/>
        <v>#REF!</v>
      </c>
      <c r="AL95" s="10" t="e">
        <f t="shared" si="52"/>
        <v>#REF!</v>
      </c>
      <c r="AM95" s="1" t="e">
        <f>SUMIFS(#REF!,#REF!,
 $A95,#REF!,
 "&gt;="&amp;INT($AO$1),#REF!,
 "&lt;="&amp;INT($AP$1)
)</f>
        <v>#REF!</v>
      </c>
      <c r="AN95" s="1" t="e">
        <f t="shared" si="53"/>
        <v>#REF!</v>
      </c>
      <c r="AO95" s="9" t="e">
        <f t="shared" si="54"/>
        <v>#REF!</v>
      </c>
      <c r="AP95" s="10" t="e">
        <f t="shared" si="55"/>
        <v>#REF!</v>
      </c>
      <c r="AQ95" s="1" t="e">
        <f>SUMIFS(#REF!,#REF!,
 $A95,#REF!,
 "&gt;="&amp;INT($AS$1),#REF!,
 "&lt;="&amp;INT($AT$1)
)</f>
        <v>#REF!</v>
      </c>
      <c r="AR95" s="1" t="e">
        <f t="shared" si="56"/>
        <v>#REF!</v>
      </c>
      <c r="AS95" s="9" t="e">
        <f t="shared" si="57"/>
        <v>#REF!</v>
      </c>
      <c r="AT95" s="10" t="e">
        <f t="shared" si="58"/>
        <v>#REF!</v>
      </c>
      <c r="AU95" s="1" t="e">
        <f>SUMIFS(#REF!,#REF!,
 $A95,#REF!,
 "&gt;="&amp;INT($AW$1),#REF!,
 "&lt;="&amp;INT($AX$1)
)</f>
        <v>#REF!</v>
      </c>
      <c r="AV95" s="1" t="e">
        <f t="shared" si="59"/>
        <v>#REF!</v>
      </c>
      <c r="AW95" s="9" t="e">
        <f t="shared" si="60"/>
        <v>#REF!</v>
      </c>
      <c r="AX95" s="10" t="e">
        <f t="shared" si="61"/>
        <v>#REF!</v>
      </c>
    </row>
    <row r="96" spans="1:50" x14ac:dyDescent="0.25">
      <c r="A96" s="5">
        <v>213022</v>
      </c>
      <c r="B96" s="6" t="s">
        <v>93</v>
      </c>
      <c r="C96" s="1" t="e">
        <f>SUMIFS(#REF!,#REF!,
 $A96,#REF!,
 "&gt;="&amp;INT($E$1),#REF!,
 "&lt;"&amp;INT($F$1+1)
)</f>
        <v>#REF!</v>
      </c>
      <c r="D96" s="1" t="str">
        <f>""</f>
        <v/>
      </c>
      <c r="F96" s="2"/>
      <c r="G96" s="1" t="e">
        <f>SUMIFS(#REF!,#REF!,
 $A96,#REF!,
 "&gt;="&amp;INT($I$1),#REF!,
 "&lt;"&amp;INT($J$1+1)
)</f>
        <v>#REF!</v>
      </c>
      <c r="H96" s="1" t="e">
        <f t="shared" si="31"/>
        <v>#REF!</v>
      </c>
      <c r="I96" s="1"/>
      <c r="J96" s="2"/>
      <c r="K96" s="1" t="e">
        <f>SUMIFS(#REF!,#REF!,
 $A96,#REF!,
 "&gt;="&amp;INT($M$1),#REF!,
 "&lt;"&amp;INT($N$1+1)
)</f>
        <v>#REF!</v>
      </c>
      <c r="L96" s="1" t="e">
        <f t="shared" si="32"/>
        <v>#REF!</v>
      </c>
      <c r="M96" s="9" t="e">
        <f t="shared" si="33"/>
        <v>#REF!</v>
      </c>
      <c r="N96" s="10" t="e">
        <f t="shared" si="34"/>
        <v>#REF!</v>
      </c>
      <c r="O96" s="1" t="e">
        <f>SUMIFS(#REF!,#REF!,
 $A96,#REF!,
 "&gt;="&amp;INT($Q$1),#REF!,
 "&lt;="&amp;INT($R$1)
)</f>
        <v>#REF!</v>
      </c>
      <c r="P96" s="1" t="e">
        <f t="shared" si="35"/>
        <v>#REF!</v>
      </c>
      <c r="Q96" s="9" t="e">
        <f t="shared" si="36"/>
        <v>#REF!</v>
      </c>
      <c r="R96" s="10" t="e">
        <f t="shared" si="37"/>
        <v>#REF!</v>
      </c>
      <c r="S96" s="1" t="e">
        <f>SUMIFS(#REF!,#REF!,
 $A96,#REF!,
 "&gt;="&amp;INT($U$1),#REF!,
 "&lt;="&amp;INT($V$1)
)</f>
        <v>#REF!</v>
      </c>
      <c r="T96" s="1" t="e">
        <f t="shared" si="38"/>
        <v>#REF!</v>
      </c>
      <c r="U96" s="9" t="e">
        <f t="shared" si="39"/>
        <v>#REF!</v>
      </c>
      <c r="V96" s="10" t="e">
        <f t="shared" si="40"/>
        <v>#REF!</v>
      </c>
      <c r="W96" s="1" t="e">
        <f>SUMIFS(#REF!,#REF!,
 $A96,#REF!,
 "&gt;="&amp;INT($Y$1),#REF!,
 "&lt;="&amp;INT($Z$1)
)</f>
        <v>#REF!</v>
      </c>
      <c r="X96" s="1" t="e">
        <f t="shared" si="41"/>
        <v>#REF!</v>
      </c>
      <c r="Y96" s="9" t="e">
        <f t="shared" si="42"/>
        <v>#REF!</v>
      </c>
      <c r="Z96" s="10" t="e">
        <f t="shared" si="43"/>
        <v>#REF!</v>
      </c>
      <c r="AA96" s="1" t="e">
        <f>SUMIFS(#REF!,#REF!,
 $A96,#REF!,
 "&gt;="&amp;INT($AC$1),#REF!,
 "&lt;="&amp;INT($AD$1)
)</f>
        <v>#REF!</v>
      </c>
      <c r="AB96" s="1" t="e">
        <f t="shared" si="44"/>
        <v>#REF!</v>
      </c>
      <c r="AC96" s="9" t="e">
        <f t="shared" si="45"/>
        <v>#REF!</v>
      </c>
      <c r="AD96" s="10" t="e">
        <f t="shared" si="46"/>
        <v>#REF!</v>
      </c>
      <c r="AE96" s="1" t="e">
        <f>SUMIFS(#REF!,#REF!,
 $A96,#REF!,
 "&gt;="&amp;INT($AG$1),#REF!,
 "&lt;="&amp;INT($AH$1)
)</f>
        <v>#REF!</v>
      </c>
      <c r="AF96" s="1" t="e">
        <f t="shared" si="47"/>
        <v>#REF!</v>
      </c>
      <c r="AG96" s="9" t="e">
        <f t="shared" si="48"/>
        <v>#REF!</v>
      </c>
      <c r="AH96" s="10" t="e">
        <f t="shared" si="49"/>
        <v>#REF!</v>
      </c>
      <c r="AI96" s="1" t="e">
        <f>SUMIFS(#REF!,#REF!,
 $A96,#REF!,
 "&gt;="&amp;INT($AK$1),#REF!,
 "&lt;="&amp;INT($AL$1)
)</f>
        <v>#REF!</v>
      </c>
      <c r="AJ96" s="1" t="e">
        <f t="shared" si="50"/>
        <v>#REF!</v>
      </c>
      <c r="AK96" s="9" t="e">
        <f t="shared" si="51"/>
        <v>#REF!</v>
      </c>
      <c r="AL96" s="10" t="e">
        <f t="shared" si="52"/>
        <v>#REF!</v>
      </c>
      <c r="AM96" s="1" t="e">
        <f>SUMIFS(#REF!,#REF!,
 $A96,#REF!,
 "&gt;="&amp;INT($AO$1),#REF!,
 "&lt;="&amp;INT($AP$1)
)</f>
        <v>#REF!</v>
      </c>
      <c r="AN96" s="1" t="e">
        <f t="shared" si="53"/>
        <v>#REF!</v>
      </c>
      <c r="AO96" s="9" t="e">
        <f t="shared" si="54"/>
        <v>#REF!</v>
      </c>
      <c r="AP96" s="10" t="e">
        <f t="shared" si="55"/>
        <v>#REF!</v>
      </c>
      <c r="AQ96" s="1" t="e">
        <f>SUMIFS(#REF!,#REF!,
 $A96,#REF!,
 "&gt;="&amp;INT($AS$1),#REF!,
 "&lt;="&amp;INT($AT$1)
)</f>
        <v>#REF!</v>
      </c>
      <c r="AR96" s="1" t="e">
        <f t="shared" si="56"/>
        <v>#REF!</v>
      </c>
      <c r="AS96" s="9" t="e">
        <f t="shared" si="57"/>
        <v>#REF!</v>
      </c>
      <c r="AT96" s="10" t="e">
        <f t="shared" si="58"/>
        <v>#REF!</v>
      </c>
      <c r="AU96" s="1" t="e">
        <f>SUMIFS(#REF!,#REF!,
 $A96,#REF!,
 "&gt;="&amp;INT($AW$1),#REF!,
 "&lt;="&amp;INT($AX$1)
)</f>
        <v>#REF!</v>
      </c>
      <c r="AV96" s="1" t="e">
        <f t="shared" si="59"/>
        <v>#REF!</v>
      </c>
      <c r="AW96" s="9" t="e">
        <f t="shared" si="60"/>
        <v>#REF!</v>
      </c>
      <c r="AX96" s="10" t="e">
        <f t="shared" si="61"/>
        <v>#REF!</v>
      </c>
    </row>
    <row r="97" spans="1:50" x14ac:dyDescent="0.25">
      <c r="A97" s="5">
        <v>213024</v>
      </c>
      <c r="B97" s="6" t="s">
        <v>94</v>
      </c>
      <c r="C97" s="1" t="e">
        <f>SUMIFS(#REF!,#REF!,
 $A97,#REF!,
 "&gt;="&amp;INT($E$1),#REF!,
 "&lt;"&amp;INT($F$1+1)
)</f>
        <v>#REF!</v>
      </c>
      <c r="D97" s="1" t="str">
        <f>""</f>
        <v/>
      </c>
      <c r="F97" s="2"/>
      <c r="G97" s="1" t="e">
        <f>SUMIFS(#REF!,#REF!,
 $A97,#REF!,
 "&gt;="&amp;INT($I$1),#REF!,
 "&lt;"&amp;INT($J$1+1)
)</f>
        <v>#REF!</v>
      </c>
      <c r="H97" s="1" t="e">
        <f t="shared" si="31"/>
        <v>#REF!</v>
      </c>
      <c r="I97" s="1"/>
      <c r="J97" s="2"/>
      <c r="K97" s="1" t="e">
        <f>SUMIFS(#REF!,#REF!,
 $A97,#REF!,
 "&gt;="&amp;INT($M$1),#REF!,
 "&lt;"&amp;INT($N$1+1)
)</f>
        <v>#REF!</v>
      </c>
      <c r="L97" s="1" t="e">
        <f t="shared" si="32"/>
        <v>#REF!</v>
      </c>
      <c r="M97" s="9" t="e">
        <f t="shared" si="33"/>
        <v>#REF!</v>
      </c>
      <c r="N97" s="10" t="e">
        <f t="shared" si="34"/>
        <v>#REF!</v>
      </c>
      <c r="O97" s="1" t="e">
        <f>SUMIFS(#REF!,#REF!,
 $A97,#REF!,
 "&gt;="&amp;INT($Q$1),#REF!,
 "&lt;="&amp;INT($R$1)
)</f>
        <v>#REF!</v>
      </c>
      <c r="P97" s="1" t="e">
        <f t="shared" si="35"/>
        <v>#REF!</v>
      </c>
      <c r="Q97" s="9" t="e">
        <f t="shared" si="36"/>
        <v>#REF!</v>
      </c>
      <c r="R97" s="10" t="e">
        <f t="shared" si="37"/>
        <v>#REF!</v>
      </c>
      <c r="S97" s="1" t="e">
        <f>SUMIFS(#REF!,#REF!,
 $A97,#REF!,
 "&gt;="&amp;INT($U$1),#REF!,
 "&lt;="&amp;INT($V$1)
)</f>
        <v>#REF!</v>
      </c>
      <c r="T97" s="1" t="e">
        <f t="shared" si="38"/>
        <v>#REF!</v>
      </c>
      <c r="U97" s="9" t="e">
        <f t="shared" si="39"/>
        <v>#REF!</v>
      </c>
      <c r="V97" s="10" t="e">
        <f t="shared" si="40"/>
        <v>#REF!</v>
      </c>
      <c r="W97" s="1" t="e">
        <f>SUMIFS(#REF!,#REF!,
 $A97,#REF!,
 "&gt;="&amp;INT($Y$1),#REF!,
 "&lt;="&amp;INT($Z$1)
)</f>
        <v>#REF!</v>
      </c>
      <c r="X97" s="1" t="e">
        <f t="shared" si="41"/>
        <v>#REF!</v>
      </c>
      <c r="Y97" s="9" t="e">
        <f t="shared" si="42"/>
        <v>#REF!</v>
      </c>
      <c r="Z97" s="10" t="e">
        <f t="shared" si="43"/>
        <v>#REF!</v>
      </c>
      <c r="AA97" s="1" t="e">
        <f>SUMIFS(#REF!,#REF!,
 $A97,#REF!,
 "&gt;="&amp;INT($AC$1),#REF!,
 "&lt;="&amp;INT($AD$1)
)</f>
        <v>#REF!</v>
      </c>
      <c r="AB97" s="1" t="e">
        <f t="shared" si="44"/>
        <v>#REF!</v>
      </c>
      <c r="AC97" s="9" t="e">
        <f t="shared" si="45"/>
        <v>#REF!</v>
      </c>
      <c r="AD97" s="10" t="e">
        <f t="shared" si="46"/>
        <v>#REF!</v>
      </c>
      <c r="AE97" s="1" t="e">
        <f>SUMIFS(#REF!,#REF!,
 $A97,#REF!,
 "&gt;="&amp;INT($AG$1),#REF!,
 "&lt;="&amp;INT($AH$1)
)</f>
        <v>#REF!</v>
      </c>
      <c r="AF97" s="1" t="e">
        <f t="shared" si="47"/>
        <v>#REF!</v>
      </c>
      <c r="AG97" s="9" t="e">
        <f t="shared" si="48"/>
        <v>#REF!</v>
      </c>
      <c r="AH97" s="10" t="e">
        <f t="shared" si="49"/>
        <v>#REF!</v>
      </c>
      <c r="AI97" s="1" t="e">
        <f>SUMIFS(#REF!,#REF!,
 $A97,#REF!,
 "&gt;="&amp;INT($AK$1),#REF!,
 "&lt;="&amp;INT($AL$1)
)</f>
        <v>#REF!</v>
      </c>
      <c r="AJ97" s="1" t="e">
        <f t="shared" si="50"/>
        <v>#REF!</v>
      </c>
      <c r="AK97" s="9" t="e">
        <f t="shared" si="51"/>
        <v>#REF!</v>
      </c>
      <c r="AL97" s="10" t="e">
        <f t="shared" si="52"/>
        <v>#REF!</v>
      </c>
      <c r="AM97" s="1" t="e">
        <f>SUMIFS(#REF!,#REF!,
 $A97,#REF!,
 "&gt;="&amp;INT($AO$1),#REF!,
 "&lt;="&amp;INT($AP$1)
)</f>
        <v>#REF!</v>
      </c>
      <c r="AN97" s="1" t="e">
        <f t="shared" si="53"/>
        <v>#REF!</v>
      </c>
      <c r="AO97" s="9" t="e">
        <f t="shared" si="54"/>
        <v>#REF!</v>
      </c>
      <c r="AP97" s="10" t="e">
        <f t="shared" si="55"/>
        <v>#REF!</v>
      </c>
      <c r="AQ97" s="1" t="e">
        <f>SUMIFS(#REF!,#REF!,
 $A97,#REF!,
 "&gt;="&amp;INT($AS$1),#REF!,
 "&lt;="&amp;INT($AT$1)
)</f>
        <v>#REF!</v>
      </c>
      <c r="AR97" s="1" t="e">
        <f t="shared" si="56"/>
        <v>#REF!</v>
      </c>
      <c r="AS97" s="9" t="e">
        <f t="shared" si="57"/>
        <v>#REF!</v>
      </c>
      <c r="AT97" s="10" t="e">
        <f t="shared" si="58"/>
        <v>#REF!</v>
      </c>
      <c r="AU97" s="1" t="e">
        <f>SUMIFS(#REF!,#REF!,
 $A97,#REF!,
 "&gt;="&amp;INT($AW$1),#REF!,
 "&lt;="&amp;INT($AX$1)
)</f>
        <v>#REF!</v>
      </c>
      <c r="AV97" s="1" t="e">
        <f t="shared" si="59"/>
        <v>#REF!</v>
      </c>
      <c r="AW97" s="9" t="e">
        <f t="shared" si="60"/>
        <v>#REF!</v>
      </c>
      <c r="AX97" s="10" t="e">
        <f t="shared" si="61"/>
        <v>#REF!</v>
      </c>
    </row>
    <row r="98" spans="1:50" x14ac:dyDescent="0.25">
      <c r="A98" s="5">
        <v>213025</v>
      </c>
      <c r="B98" s="6" t="s">
        <v>95</v>
      </c>
      <c r="C98" s="1" t="e">
        <f>SUMIFS(#REF!,#REF!,
 $A98,#REF!,
 "&gt;="&amp;INT($E$1),#REF!,
 "&lt;"&amp;INT($F$1+1)
)</f>
        <v>#REF!</v>
      </c>
      <c r="D98" s="1" t="str">
        <f>""</f>
        <v/>
      </c>
      <c r="F98" s="2"/>
      <c r="G98" s="1" t="e">
        <f>SUMIFS(#REF!,#REF!,
 $A98,#REF!,
 "&gt;="&amp;INT($I$1),#REF!,
 "&lt;"&amp;INT($J$1+1)
)</f>
        <v>#REF!</v>
      </c>
      <c r="H98" s="1" t="e">
        <f t="shared" si="31"/>
        <v>#REF!</v>
      </c>
      <c r="I98" s="1"/>
      <c r="J98" s="2"/>
      <c r="K98" s="1" t="e">
        <f>SUMIFS(#REF!,#REF!,
 $A98,#REF!,
 "&gt;="&amp;INT($M$1),#REF!,
 "&lt;"&amp;INT($N$1+1)
)</f>
        <v>#REF!</v>
      </c>
      <c r="L98" s="1" t="e">
        <f t="shared" si="32"/>
        <v>#REF!</v>
      </c>
      <c r="M98" s="9" t="e">
        <f t="shared" si="33"/>
        <v>#REF!</v>
      </c>
      <c r="N98" s="10" t="e">
        <f t="shared" si="34"/>
        <v>#REF!</v>
      </c>
      <c r="O98" s="1" t="e">
        <f>SUMIFS(#REF!,#REF!,
 $A98,#REF!,
 "&gt;="&amp;INT($Q$1),#REF!,
 "&lt;="&amp;INT($R$1)
)</f>
        <v>#REF!</v>
      </c>
      <c r="P98" s="1" t="e">
        <f t="shared" si="35"/>
        <v>#REF!</v>
      </c>
      <c r="Q98" s="9" t="e">
        <f t="shared" si="36"/>
        <v>#REF!</v>
      </c>
      <c r="R98" s="10" t="e">
        <f t="shared" si="37"/>
        <v>#REF!</v>
      </c>
      <c r="S98" s="1" t="e">
        <f>SUMIFS(#REF!,#REF!,
 $A98,#REF!,
 "&gt;="&amp;INT($U$1),#REF!,
 "&lt;="&amp;INT($V$1)
)</f>
        <v>#REF!</v>
      </c>
      <c r="T98" s="1" t="e">
        <f t="shared" si="38"/>
        <v>#REF!</v>
      </c>
      <c r="U98" s="9" t="e">
        <f t="shared" si="39"/>
        <v>#REF!</v>
      </c>
      <c r="V98" s="10" t="e">
        <f t="shared" si="40"/>
        <v>#REF!</v>
      </c>
      <c r="W98" s="1" t="e">
        <f>SUMIFS(#REF!,#REF!,
 $A98,#REF!,
 "&gt;="&amp;INT($Y$1),#REF!,
 "&lt;="&amp;INT($Z$1)
)</f>
        <v>#REF!</v>
      </c>
      <c r="X98" s="1" t="e">
        <f t="shared" si="41"/>
        <v>#REF!</v>
      </c>
      <c r="Y98" s="9" t="e">
        <f t="shared" si="42"/>
        <v>#REF!</v>
      </c>
      <c r="Z98" s="10" t="e">
        <f t="shared" si="43"/>
        <v>#REF!</v>
      </c>
      <c r="AA98" s="1" t="e">
        <f>SUMIFS(#REF!,#REF!,
 $A98,#REF!,
 "&gt;="&amp;INT($AC$1),#REF!,
 "&lt;="&amp;INT($AD$1)
)</f>
        <v>#REF!</v>
      </c>
      <c r="AB98" s="1" t="e">
        <f t="shared" si="44"/>
        <v>#REF!</v>
      </c>
      <c r="AC98" s="9" t="e">
        <f t="shared" si="45"/>
        <v>#REF!</v>
      </c>
      <c r="AD98" s="10" t="e">
        <f t="shared" si="46"/>
        <v>#REF!</v>
      </c>
      <c r="AE98" s="1" t="e">
        <f>SUMIFS(#REF!,#REF!,
 $A98,#REF!,
 "&gt;="&amp;INT($AG$1),#REF!,
 "&lt;="&amp;INT($AH$1)
)</f>
        <v>#REF!</v>
      </c>
      <c r="AF98" s="1" t="e">
        <f t="shared" si="47"/>
        <v>#REF!</v>
      </c>
      <c r="AG98" s="9" t="e">
        <f t="shared" si="48"/>
        <v>#REF!</v>
      </c>
      <c r="AH98" s="10" t="e">
        <f t="shared" si="49"/>
        <v>#REF!</v>
      </c>
      <c r="AI98" s="1" t="e">
        <f>SUMIFS(#REF!,#REF!,
 $A98,#REF!,
 "&gt;="&amp;INT($AK$1),#REF!,
 "&lt;="&amp;INT($AL$1)
)</f>
        <v>#REF!</v>
      </c>
      <c r="AJ98" s="1" t="e">
        <f t="shared" si="50"/>
        <v>#REF!</v>
      </c>
      <c r="AK98" s="9" t="e">
        <f t="shared" si="51"/>
        <v>#REF!</v>
      </c>
      <c r="AL98" s="10" t="e">
        <f t="shared" si="52"/>
        <v>#REF!</v>
      </c>
      <c r="AM98" s="1" t="e">
        <f>SUMIFS(#REF!,#REF!,
 $A98,#REF!,
 "&gt;="&amp;INT($AO$1),#REF!,
 "&lt;="&amp;INT($AP$1)
)</f>
        <v>#REF!</v>
      </c>
      <c r="AN98" s="1" t="e">
        <f t="shared" si="53"/>
        <v>#REF!</v>
      </c>
      <c r="AO98" s="9" t="e">
        <f t="shared" si="54"/>
        <v>#REF!</v>
      </c>
      <c r="AP98" s="10" t="e">
        <f t="shared" si="55"/>
        <v>#REF!</v>
      </c>
      <c r="AQ98" s="1" t="e">
        <f>SUMIFS(#REF!,#REF!,
 $A98,#REF!,
 "&gt;="&amp;INT($AS$1),#REF!,
 "&lt;="&amp;INT($AT$1)
)</f>
        <v>#REF!</v>
      </c>
      <c r="AR98" s="1" t="e">
        <f t="shared" si="56"/>
        <v>#REF!</v>
      </c>
      <c r="AS98" s="9" t="e">
        <f t="shared" si="57"/>
        <v>#REF!</v>
      </c>
      <c r="AT98" s="10" t="e">
        <f t="shared" si="58"/>
        <v>#REF!</v>
      </c>
      <c r="AU98" s="1" t="e">
        <f>SUMIFS(#REF!,#REF!,
 $A98,#REF!,
 "&gt;="&amp;INT($AW$1),#REF!,
 "&lt;="&amp;INT($AX$1)
)</f>
        <v>#REF!</v>
      </c>
      <c r="AV98" s="1" t="e">
        <f t="shared" si="59"/>
        <v>#REF!</v>
      </c>
      <c r="AW98" s="9" t="e">
        <f t="shared" si="60"/>
        <v>#REF!</v>
      </c>
      <c r="AX98" s="10" t="e">
        <f t="shared" si="61"/>
        <v>#REF!</v>
      </c>
    </row>
    <row r="99" spans="1:50" x14ac:dyDescent="0.25">
      <c r="A99" s="5">
        <v>213030</v>
      </c>
      <c r="B99" s="6" t="s">
        <v>96</v>
      </c>
      <c r="C99" s="1" t="e">
        <f>SUMIFS(#REF!,#REF!,
 $A99,#REF!,
 "&gt;="&amp;INT($E$1),#REF!,
 "&lt;"&amp;INT($F$1+1)
)</f>
        <v>#REF!</v>
      </c>
      <c r="D99" s="1" t="str">
        <f>""</f>
        <v/>
      </c>
      <c r="F99" s="2"/>
      <c r="G99" s="1" t="e">
        <f>SUMIFS(#REF!,#REF!,
 $A99,#REF!,
 "&gt;="&amp;INT($I$1),#REF!,
 "&lt;"&amp;INT($J$1+1)
)</f>
        <v>#REF!</v>
      </c>
      <c r="H99" s="1" t="e">
        <f t="shared" si="31"/>
        <v>#REF!</v>
      </c>
      <c r="I99" s="1"/>
      <c r="J99" s="2"/>
      <c r="K99" s="1" t="e">
        <f>SUMIFS(#REF!,#REF!,
 $A99,#REF!,
 "&gt;="&amp;INT($M$1),#REF!,
 "&lt;"&amp;INT($N$1+1)
)</f>
        <v>#REF!</v>
      </c>
      <c r="L99" s="1" t="e">
        <f t="shared" si="32"/>
        <v>#REF!</v>
      </c>
      <c r="M99" s="9" t="e">
        <f t="shared" si="33"/>
        <v>#REF!</v>
      </c>
      <c r="N99" s="10" t="e">
        <f t="shared" si="34"/>
        <v>#REF!</v>
      </c>
      <c r="O99" s="1" t="e">
        <f>SUMIFS(#REF!,#REF!,
 $A99,#REF!,
 "&gt;="&amp;INT($Q$1),#REF!,
 "&lt;="&amp;INT($R$1)
)</f>
        <v>#REF!</v>
      </c>
      <c r="P99" s="1" t="e">
        <f t="shared" si="35"/>
        <v>#REF!</v>
      </c>
      <c r="Q99" s="9" t="e">
        <f t="shared" si="36"/>
        <v>#REF!</v>
      </c>
      <c r="R99" s="10" t="e">
        <f t="shared" si="37"/>
        <v>#REF!</v>
      </c>
      <c r="S99" s="1" t="e">
        <f>SUMIFS(#REF!,#REF!,
 $A99,#REF!,
 "&gt;="&amp;INT($U$1),#REF!,
 "&lt;="&amp;INT($V$1)
)</f>
        <v>#REF!</v>
      </c>
      <c r="T99" s="1" t="e">
        <f t="shared" si="38"/>
        <v>#REF!</v>
      </c>
      <c r="U99" s="9" t="e">
        <f t="shared" si="39"/>
        <v>#REF!</v>
      </c>
      <c r="V99" s="10" t="e">
        <f t="shared" si="40"/>
        <v>#REF!</v>
      </c>
      <c r="W99" s="1" t="e">
        <f>SUMIFS(#REF!,#REF!,
 $A99,#REF!,
 "&gt;="&amp;INT($Y$1),#REF!,
 "&lt;="&amp;INT($Z$1)
)</f>
        <v>#REF!</v>
      </c>
      <c r="X99" s="1" t="e">
        <f t="shared" si="41"/>
        <v>#REF!</v>
      </c>
      <c r="Y99" s="9" t="e">
        <f t="shared" si="42"/>
        <v>#REF!</v>
      </c>
      <c r="Z99" s="10" t="e">
        <f t="shared" si="43"/>
        <v>#REF!</v>
      </c>
      <c r="AA99" s="1" t="e">
        <f>SUMIFS(#REF!,#REF!,
 $A99,#REF!,
 "&gt;="&amp;INT($AC$1),#REF!,
 "&lt;="&amp;INT($AD$1)
)</f>
        <v>#REF!</v>
      </c>
      <c r="AB99" s="1" t="e">
        <f t="shared" si="44"/>
        <v>#REF!</v>
      </c>
      <c r="AC99" s="9" t="e">
        <f t="shared" si="45"/>
        <v>#REF!</v>
      </c>
      <c r="AD99" s="10" t="e">
        <f t="shared" si="46"/>
        <v>#REF!</v>
      </c>
      <c r="AE99" s="1" t="e">
        <f>SUMIFS(#REF!,#REF!,
 $A99,#REF!,
 "&gt;="&amp;INT($AG$1),#REF!,
 "&lt;="&amp;INT($AH$1)
)</f>
        <v>#REF!</v>
      </c>
      <c r="AF99" s="1" t="e">
        <f t="shared" si="47"/>
        <v>#REF!</v>
      </c>
      <c r="AG99" s="9" t="e">
        <f t="shared" si="48"/>
        <v>#REF!</v>
      </c>
      <c r="AH99" s="10" t="e">
        <f t="shared" si="49"/>
        <v>#REF!</v>
      </c>
      <c r="AI99" s="1" t="e">
        <f>SUMIFS(#REF!,#REF!,
 $A99,#REF!,
 "&gt;="&amp;INT($AK$1),#REF!,
 "&lt;="&amp;INT($AL$1)
)</f>
        <v>#REF!</v>
      </c>
      <c r="AJ99" s="1" t="e">
        <f t="shared" si="50"/>
        <v>#REF!</v>
      </c>
      <c r="AK99" s="9" t="e">
        <f t="shared" si="51"/>
        <v>#REF!</v>
      </c>
      <c r="AL99" s="10" t="e">
        <f t="shared" si="52"/>
        <v>#REF!</v>
      </c>
      <c r="AM99" s="1" t="e">
        <f>SUMIFS(#REF!,#REF!,
 $A99,#REF!,
 "&gt;="&amp;INT($AO$1),#REF!,
 "&lt;="&amp;INT($AP$1)
)</f>
        <v>#REF!</v>
      </c>
      <c r="AN99" s="1" t="e">
        <f t="shared" si="53"/>
        <v>#REF!</v>
      </c>
      <c r="AO99" s="9" t="e">
        <f t="shared" si="54"/>
        <v>#REF!</v>
      </c>
      <c r="AP99" s="10" t="e">
        <f t="shared" si="55"/>
        <v>#REF!</v>
      </c>
      <c r="AQ99" s="1" t="e">
        <f>SUMIFS(#REF!,#REF!,
 $A99,#REF!,
 "&gt;="&amp;INT($AS$1),#REF!,
 "&lt;="&amp;INT($AT$1)
)</f>
        <v>#REF!</v>
      </c>
      <c r="AR99" s="1" t="e">
        <f t="shared" si="56"/>
        <v>#REF!</v>
      </c>
      <c r="AS99" s="9" t="e">
        <f t="shared" si="57"/>
        <v>#REF!</v>
      </c>
      <c r="AT99" s="10" t="e">
        <f t="shared" si="58"/>
        <v>#REF!</v>
      </c>
      <c r="AU99" s="1" t="e">
        <f>SUMIFS(#REF!,#REF!,
 $A99,#REF!,
 "&gt;="&amp;INT($AW$1),#REF!,
 "&lt;="&amp;INT($AX$1)
)</f>
        <v>#REF!</v>
      </c>
      <c r="AV99" s="1" t="e">
        <f t="shared" si="59"/>
        <v>#REF!</v>
      </c>
      <c r="AW99" s="9" t="e">
        <f t="shared" si="60"/>
        <v>#REF!</v>
      </c>
      <c r="AX99" s="10" t="e">
        <f t="shared" si="61"/>
        <v>#REF!</v>
      </c>
    </row>
    <row r="100" spans="1:50" x14ac:dyDescent="0.25">
      <c r="A100" s="5">
        <v>214001</v>
      </c>
      <c r="B100" s="6" t="s">
        <v>97</v>
      </c>
      <c r="C100" s="1" t="e">
        <f>SUMIFS(#REF!,#REF!,
 $A100,#REF!,
 "&gt;="&amp;INT($E$1),#REF!,
 "&lt;"&amp;INT($F$1+1)
)</f>
        <v>#REF!</v>
      </c>
      <c r="D100" s="1" t="str">
        <f>""</f>
        <v/>
      </c>
      <c r="F100" s="2"/>
      <c r="G100" s="1" t="e">
        <f>SUMIFS(#REF!,#REF!,
 $A100,#REF!,
 "&gt;="&amp;INT($I$1),#REF!,
 "&lt;"&amp;INT($J$1+1)
)</f>
        <v>#REF!</v>
      </c>
      <c r="H100" s="1" t="e">
        <f t="shared" si="31"/>
        <v>#REF!</v>
      </c>
      <c r="I100" s="1"/>
      <c r="J100" s="2"/>
      <c r="K100" s="1" t="e">
        <f>SUMIFS(#REF!,#REF!,
 $A100,#REF!,
 "&gt;="&amp;INT($M$1),#REF!,
 "&lt;"&amp;INT($N$1+1)
)</f>
        <v>#REF!</v>
      </c>
      <c r="L100" s="1" t="e">
        <f t="shared" si="32"/>
        <v>#REF!</v>
      </c>
      <c r="M100" s="9" t="e">
        <f t="shared" si="33"/>
        <v>#REF!</v>
      </c>
      <c r="N100" s="10" t="e">
        <f t="shared" si="34"/>
        <v>#REF!</v>
      </c>
      <c r="O100" s="1" t="e">
        <f>SUMIFS(#REF!,#REF!,
 $A100,#REF!,
 "&gt;="&amp;INT($Q$1),#REF!,
 "&lt;="&amp;INT($R$1)
)</f>
        <v>#REF!</v>
      </c>
      <c r="P100" s="1" t="e">
        <f t="shared" si="35"/>
        <v>#REF!</v>
      </c>
      <c r="Q100" s="9" t="e">
        <f t="shared" si="36"/>
        <v>#REF!</v>
      </c>
      <c r="R100" s="10" t="e">
        <f t="shared" si="37"/>
        <v>#REF!</v>
      </c>
      <c r="S100" s="1" t="e">
        <f>SUMIFS(#REF!,#REF!,
 $A100,#REF!,
 "&gt;="&amp;INT($U$1),#REF!,
 "&lt;="&amp;INT($V$1)
)</f>
        <v>#REF!</v>
      </c>
      <c r="T100" s="1" t="e">
        <f t="shared" si="38"/>
        <v>#REF!</v>
      </c>
      <c r="U100" s="9" t="e">
        <f t="shared" si="39"/>
        <v>#REF!</v>
      </c>
      <c r="V100" s="10" t="e">
        <f t="shared" si="40"/>
        <v>#REF!</v>
      </c>
      <c r="W100" s="1" t="e">
        <f>SUMIFS(#REF!,#REF!,
 $A100,#REF!,
 "&gt;="&amp;INT($Y$1),#REF!,
 "&lt;="&amp;INT($Z$1)
)</f>
        <v>#REF!</v>
      </c>
      <c r="X100" s="1" t="e">
        <f t="shared" si="41"/>
        <v>#REF!</v>
      </c>
      <c r="Y100" s="9" t="e">
        <f t="shared" si="42"/>
        <v>#REF!</v>
      </c>
      <c r="Z100" s="10" t="e">
        <f t="shared" si="43"/>
        <v>#REF!</v>
      </c>
      <c r="AA100" s="1" t="e">
        <f>SUMIFS(#REF!,#REF!,
 $A100,#REF!,
 "&gt;="&amp;INT($AC$1),#REF!,
 "&lt;="&amp;INT($AD$1)
)</f>
        <v>#REF!</v>
      </c>
      <c r="AB100" s="1" t="e">
        <f t="shared" si="44"/>
        <v>#REF!</v>
      </c>
      <c r="AC100" s="9" t="e">
        <f t="shared" si="45"/>
        <v>#REF!</v>
      </c>
      <c r="AD100" s="10" t="e">
        <f t="shared" si="46"/>
        <v>#REF!</v>
      </c>
      <c r="AE100" s="1" t="e">
        <f>SUMIFS(#REF!,#REF!,
 $A100,#REF!,
 "&gt;="&amp;INT($AG$1),#REF!,
 "&lt;="&amp;INT($AH$1)
)</f>
        <v>#REF!</v>
      </c>
      <c r="AF100" s="1" t="e">
        <f t="shared" si="47"/>
        <v>#REF!</v>
      </c>
      <c r="AG100" s="9" t="e">
        <f t="shared" si="48"/>
        <v>#REF!</v>
      </c>
      <c r="AH100" s="10" t="e">
        <f t="shared" si="49"/>
        <v>#REF!</v>
      </c>
      <c r="AI100" s="1" t="e">
        <f>SUMIFS(#REF!,#REF!,
 $A100,#REF!,
 "&gt;="&amp;INT($AK$1),#REF!,
 "&lt;="&amp;INT($AL$1)
)</f>
        <v>#REF!</v>
      </c>
      <c r="AJ100" s="1" t="e">
        <f t="shared" si="50"/>
        <v>#REF!</v>
      </c>
      <c r="AK100" s="9" t="e">
        <f t="shared" si="51"/>
        <v>#REF!</v>
      </c>
      <c r="AL100" s="10" t="e">
        <f t="shared" si="52"/>
        <v>#REF!</v>
      </c>
      <c r="AM100" s="1" t="e">
        <f>SUMIFS(#REF!,#REF!,
 $A100,#REF!,
 "&gt;="&amp;INT($AO$1),#REF!,
 "&lt;="&amp;INT($AP$1)
)</f>
        <v>#REF!</v>
      </c>
      <c r="AN100" s="1" t="e">
        <f t="shared" si="53"/>
        <v>#REF!</v>
      </c>
      <c r="AO100" s="9" t="e">
        <f t="shared" si="54"/>
        <v>#REF!</v>
      </c>
      <c r="AP100" s="10" t="e">
        <f t="shared" si="55"/>
        <v>#REF!</v>
      </c>
      <c r="AQ100" s="1" t="e">
        <f>SUMIFS(#REF!,#REF!,
 $A100,#REF!,
 "&gt;="&amp;INT($AS$1),#REF!,
 "&lt;="&amp;INT($AT$1)
)</f>
        <v>#REF!</v>
      </c>
      <c r="AR100" s="1" t="e">
        <f t="shared" si="56"/>
        <v>#REF!</v>
      </c>
      <c r="AS100" s="9" t="e">
        <f t="shared" si="57"/>
        <v>#REF!</v>
      </c>
      <c r="AT100" s="10" t="e">
        <f t="shared" si="58"/>
        <v>#REF!</v>
      </c>
      <c r="AU100" s="1" t="e">
        <f>SUMIFS(#REF!,#REF!,
 $A100,#REF!,
 "&gt;="&amp;INT($AW$1),#REF!,
 "&lt;="&amp;INT($AX$1)
)</f>
        <v>#REF!</v>
      </c>
      <c r="AV100" s="1" t="e">
        <f t="shared" si="59"/>
        <v>#REF!</v>
      </c>
      <c r="AW100" s="9" t="e">
        <f t="shared" si="60"/>
        <v>#REF!</v>
      </c>
      <c r="AX100" s="10" t="e">
        <f t="shared" si="61"/>
        <v>#REF!</v>
      </c>
    </row>
    <row r="101" spans="1:50" x14ac:dyDescent="0.25">
      <c r="A101" s="5">
        <v>214002</v>
      </c>
      <c r="B101" s="6" t="s">
        <v>98</v>
      </c>
      <c r="C101" s="1" t="e">
        <f>SUMIFS(#REF!,#REF!,
 $A101,#REF!,
 "&gt;="&amp;INT($E$1),#REF!,
 "&lt;"&amp;INT($F$1+1)
)</f>
        <v>#REF!</v>
      </c>
      <c r="D101" s="1" t="str">
        <f>""</f>
        <v/>
      </c>
      <c r="F101" s="2"/>
      <c r="G101" s="1" t="e">
        <f>SUMIFS(#REF!,#REF!,
 $A101,#REF!,
 "&gt;="&amp;INT($I$1),#REF!,
 "&lt;"&amp;INT($J$1+1)
)</f>
        <v>#REF!</v>
      </c>
      <c r="H101" s="1" t="e">
        <f t="shared" si="31"/>
        <v>#REF!</v>
      </c>
      <c r="I101" s="1"/>
      <c r="J101" s="2"/>
      <c r="K101" s="1" t="e">
        <f>SUMIFS(#REF!,#REF!,
 $A101,#REF!,
 "&gt;="&amp;INT($M$1),#REF!,
 "&lt;"&amp;INT($N$1+1)
)</f>
        <v>#REF!</v>
      </c>
      <c r="L101" s="1" t="e">
        <f t="shared" si="32"/>
        <v>#REF!</v>
      </c>
      <c r="M101" s="9" t="e">
        <f t="shared" si="33"/>
        <v>#REF!</v>
      </c>
      <c r="N101" s="10" t="e">
        <f t="shared" si="34"/>
        <v>#REF!</v>
      </c>
      <c r="O101" s="1" t="e">
        <f>SUMIFS(#REF!,#REF!,
 $A101,#REF!,
 "&gt;="&amp;INT($Q$1),#REF!,
 "&lt;="&amp;INT($R$1)
)</f>
        <v>#REF!</v>
      </c>
      <c r="P101" s="1" t="e">
        <f t="shared" si="35"/>
        <v>#REF!</v>
      </c>
      <c r="Q101" s="9" t="e">
        <f t="shared" si="36"/>
        <v>#REF!</v>
      </c>
      <c r="R101" s="10" t="e">
        <f t="shared" si="37"/>
        <v>#REF!</v>
      </c>
      <c r="S101" s="1" t="e">
        <f>SUMIFS(#REF!,#REF!,
 $A101,#REF!,
 "&gt;="&amp;INT($U$1),#REF!,
 "&lt;="&amp;INT($V$1)
)</f>
        <v>#REF!</v>
      </c>
      <c r="T101" s="1" t="e">
        <f t="shared" si="38"/>
        <v>#REF!</v>
      </c>
      <c r="U101" s="9" t="e">
        <f t="shared" si="39"/>
        <v>#REF!</v>
      </c>
      <c r="V101" s="10" t="e">
        <f t="shared" si="40"/>
        <v>#REF!</v>
      </c>
      <c r="W101" s="1" t="e">
        <f>SUMIFS(#REF!,#REF!,
 $A101,#REF!,
 "&gt;="&amp;INT($Y$1),#REF!,
 "&lt;="&amp;INT($Z$1)
)</f>
        <v>#REF!</v>
      </c>
      <c r="X101" s="1" t="e">
        <f t="shared" si="41"/>
        <v>#REF!</v>
      </c>
      <c r="Y101" s="9" t="e">
        <f t="shared" si="42"/>
        <v>#REF!</v>
      </c>
      <c r="Z101" s="10" t="e">
        <f t="shared" si="43"/>
        <v>#REF!</v>
      </c>
      <c r="AA101" s="1" t="e">
        <f>SUMIFS(#REF!,#REF!,
 $A101,#REF!,
 "&gt;="&amp;INT($AC$1),#REF!,
 "&lt;="&amp;INT($AD$1)
)</f>
        <v>#REF!</v>
      </c>
      <c r="AB101" s="1" t="e">
        <f t="shared" si="44"/>
        <v>#REF!</v>
      </c>
      <c r="AC101" s="9" t="e">
        <f t="shared" si="45"/>
        <v>#REF!</v>
      </c>
      <c r="AD101" s="10" t="e">
        <f t="shared" si="46"/>
        <v>#REF!</v>
      </c>
      <c r="AE101" s="1" t="e">
        <f>SUMIFS(#REF!,#REF!,
 $A101,#REF!,
 "&gt;="&amp;INT($AG$1),#REF!,
 "&lt;="&amp;INT($AH$1)
)</f>
        <v>#REF!</v>
      </c>
      <c r="AF101" s="1" t="e">
        <f t="shared" si="47"/>
        <v>#REF!</v>
      </c>
      <c r="AG101" s="9" t="e">
        <f t="shared" si="48"/>
        <v>#REF!</v>
      </c>
      <c r="AH101" s="10" t="e">
        <f t="shared" si="49"/>
        <v>#REF!</v>
      </c>
      <c r="AI101" s="1" t="e">
        <f>SUMIFS(#REF!,#REF!,
 $A101,#REF!,
 "&gt;="&amp;INT($AK$1),#REF!,
 "&lt;="&amp;INT($AL$1)
)</f>
        <v>#REF!</v>
      </c>
      <c r="AJ101" s="1" t="e">
        <f t="shared" si="50"/>
        <v>#REF!</v>
      </c>
      <c r="AK101" s="9" t="e">
        <f t="shared" si="51"/>
        <v>#REF!</v>
      </c>
      <c r="AL101" s="10" t="e">
        <f t="shared" si="52"/>
        <v>#REF!</v>
      </c>
      <c r="AM101" s="1" t="e">
        <f>SUMIFS(#REF!,#REF!,
 $A101,#REF!,
 "&gt;="&amp;INT($AO$1),#REF!,
 "&lt;="&amp;INT($AP$1)
)</f>
        <v>#REF!</v>
      </c>
      <c r="AN101" s="1" t="e">
        <f t="shared" si="53"/>
        <v>#REF!</v>
      </c>
      <c r="AO101" s="9" t="e">
        <f t="shared" si="54"/>
        <v>#REF!</v>
      </c>
      <c r="AP101" s="10" t="e">
        <f t="shared" si="55"/>
        <v>#REF!</v>
      </c>
      <c r="AQ101" s="1" t="e">
        <f>SUMIFS(#REF!,#REF!,
 $A101,#REF!,
 "&gt;="&amp;INT($AS$1),#REF!,
 "&lt;="&amp;INT($AT$1)
)</f>
        <v>#REF!</v>
      </c>
      <c r="AR101" s="1" t="e">
        <f t="shared" si="56"/>
        <v>#REF!</v>
      </c>
      <c r="AS101" s="9" t="e">
        <f t="shared" si="57"/>
        <v>#REF!</v>
      </c>
      <c r="AT101" s="10" t="e">
        <f t="shared" si="58"/>
        <v>#REF!</v>
      </c>
      <c r="AU101" s="1" t="e">
        <f>SUMIFS(#REF!,#REF!,
 $A101,#REF!,
 "&gt;="&amp;INT($AW$1),#REF!,
 "&lt;="&amp;INT($AX$1)
)</f>
        <v>#REF!</v>
      </c>
      <c r="AV101" s="1" t="e">
        <f t="shared" si="59"/>
        <v>#REF!</v>
      </c>
      <c r="AW101" s="9" t="e">
        <f t="shared" si="60"/>
        <v>#REF!</v>
      </c>
      <c r="AX101" s="10" t="e">
        <f t="shared" si="61"/>
        <v>#REF!</v>
      </c>
    </row>
    <row r="102" spans="1:50" x14ac:dyDescent="0.25">
      <c r="A102" s="5">
        <v>215001</v>
      </c>
      <c r="B102" s="6" t="s">
        <v>99</v>
      </c>
      <c r="C102" s="1" t="e">
        <f>SUMIFS(#REF!,#REF!,
 $A102,#REF!,
 "&gt;="&amp;INT($E$1),#REF!,
 "&lt;"&amp;INT($F$1+1)
)</f>
        <v>#REF!</v>
      </c>
      <c r="D102" s="1" t="str">
        <f>""</f>
        <v/>
      </c>
      <c r="F102" s="2"/>
      <c r="G102" s="1" t="e">
        <f>SUMIFS(#REF!,#REF!,
 $A102,#REF!,
 "&gt;="&amp;INT($I$1),#REF!,
 "&lt;"&amp;INT($J$1+1)
)</f>
        <v>#REF!</v>
      </c>
      <c r="H102" s="1" t="e">
        <f t="shared" si="31"/>
        <v>#REF!</v>
      </c>
      <c r="I102" s="1"/>
      <c r="J102" s="2"/>
      <c r="K102" s="1" t="e">
        <f>SUMIFS(#REF!,#REF!,
 $A102,#REF!,
 "&gt;="&amp;INT($M$1),#REF!,
 "&lt;"&amp;INT($N$1+1)
)</f>
        <v>#REF!</v>
      </c>
      <c r="L102" s="1" t="e">
        <f t="shared" si="32"/>
        <v>#REF!</v>
      </c>
      <c r="M102" s="9" t="e">
        <f t="shared" si="33"/>
        <v>#REF!</v>
      </c>
      <c r="N102" s="10" t="e">
        <f t="shared" si="34"/>
        <v>#REF!</v>
      </c>
      <c r="O102" s="1" t="e">
        <f>SUMIFS(#REF!,#REF!,
 $A102,#REF!,
 "&gt;="&amp;INT($Q$1),#REF!,
 "&lt;="&amp;INT($R$1)
)</f>
        <v>#REF!</v>
      </c>
      <c r="P102" s="1" t="e">
        <f t="shared" si="35"/>
        <v>#REF!</v>
      </c>
      <c r="Q102" s="9" t="e">
        <f t="shared" si="36"/>
        <v>#REF!</v>
      </c>
      <c r="R102" s="10" t="e">
        <f t="shared" si="37"/>
        <v>#REF!</v>
      </c>
      <c r="S102" s="1" t="e">
        <f>SUMIFS(#REF!,#REF!,
 $A102,#REF!,
 "&gt;="&amp;INT($U$1),#REF!,
 "&lt;="&amp;INT($V$1)
)</f>
        <v>#REF!</v>
      </c>
      <c r="T102" s="1" t="e">
        <f t="shared" si="38"/>
        <v>#REF!</v>
      </c>
      <c r="U102" s="9" t="e">
        <f t="shared" si="39"/>
        <v>#REF!</v>
      </c>
      <c r="V102" s="10" t="e">
        <f t="shared" si="40"/>
        <v>#REF!</v>
      </c>
      <c r="W102" s="1" t="e">
        <f>SUMIFS(#REF!,#REF!,
 $A102,#REF!,
 "&gt;="&amp;INT($Y$1),#REF!,
 "&lt;="&amp;INT($Z$1)
)</f>
        <v>#REF!</v>
      </c>
      <c r="X102" s="1" t="e">
        <f t="shared" si="41"/>
        <v>#REF!</v>
      </c>
      <c r="Y102" s="9" t="e">
        <f t="shared" si="42"/>
        <v>#REF!</v>
      </c>
      <c r="Z102" s="10" t="e">
        <f t="shared" si="43"/>
        <v>#REF!</v>
      </c>
      <c r="AA102" s="1" t="e">
        <f>SUMIFS(#REF!,#REF!,
 $A102,#REF!,
 "&gt;="&amp;INT($AC$1),#REF!,
 "&lt;="&amp;INT($AD$1)
)</f>
        <v>#REF!</v>
      </c>
      <c r="AB102" s="1" t="e">
        <f t="shared" si="44"/>
        <v>#REF!</v>
      </c>
      <c r="AC102" s="9" t="e">
        <f t="shared" si="45"/>
        <v>#REF!</v>
      </c>
      <c r="AD102" s="10" t="e">
        <f t="shared" si="46"/>
        <v>#REF!</v>
      </c>
      <c r="AE102" s="1" t="e">
        <f>SUMIFS(#REF!,#REF!,
 $A102,#REF!,
 "&gt;="&amp;INT($AG$1),#REF!,
 "&lt;="&amp;INT($AH$1)
)</f>
        <v>#REF!</v>
      </c>
      <c r="AF102" s="1" t="e">
        <f t="shared" si="47"/>
        <v>#REF!</v>
      </c>
      <c r="AG102" s="9" t="e">
        <f t="shared" si="48"/>
        <v>#REF!</v>
      </c>
      <c r="AH102" s="10" t="e">
        <f t="shared" si="49"/>
        <v>#REF!</v>
      </c>
      <c r="AI102" s="1" t="e">
        <f>SUMIFS(#REF!,#REF!,
 $A102,#REF!,
 "&gt;="&amp;INT($AK$1),#REF!,
 "&lt;="&amp;INT($AL$1)
)</f>
        <v>#REF!</v>
      </c>
      <c r="AJ102" s="1" t="e">
        <f t="shared" si="50"/>
        <v>#REF!</v>
      </c>
      <c r="AK102" s="9" t="e">
        <f t="shared" si="51"/>
        <v>#REF!</v>
      </c>
      <c r="AL102" s="10" t="e">
        <f t="shared" si="52"/>
        <v>#REF!</v>
      </c>
      <c r="AM102" s="1" t="e">
        <f>SUMIFS(#REF!,#REF!,
 $A102,#REF!,
 "&gt;="&amp;INT($AO$1),#REF!,
 "&lt;="&amp;INT($AP$1)
)</f>
        <v>#REF!</v>
      </c>
      <c r="AN102" s="1" t="e">
        <f t="shared" si="53"/>
        <v>#REF!</v>
      </c>
      <c r="AO102" s="9" t="e">
        <f t="shared" si="54"/>
        <v>#REF!</v>
      </c>
      <c r="AP102" s="10" t="e">
        <f t="shared" si="55"/>
        <v>#REF!</v>
      </c>
      <c r="AQ102" s="1" t="e">
        <f>SUMIFS(#REF!,#REF!,
 $A102,#REF!,
 "&gt;="&amp;INT($AS$1),#REF!,
 "&lt;="&amp;INT($AT$1)
)</f>
        <v>#REF!</v>
      </c>
      <c r="AR102" s="1" t="e">
        <f t="shared" si="56"/>
        <v>#REF!</v>
      </c>
      <c r="AS102" s="9" t="e">
        <f t="shared" si="57"/>
        <v>#REF!</v>
      </c>
      <c r="AT102" s="10" t="e">
        <f t="shared" si="58"/>
        <v>#REF!</v>
      </c>
      <c r="AU102" s="1" t="e">
        <f>SUMIFS(#REF!,#REF!,
 $A102,#REF!,
 "&gt;="&amp;INT($AW$1),#REF!,
 "&lt;="&amp;INT($AX$1)
)</f>
        <v>#REF!</v>
      </c>
      <c r="AV102" s="1" t="e">
        <f t="shared" si="59"/>
        <v>#REF!</v>
      </c>
      <c r="AW102" s="9" t="e">
        <f t="shared" si="60"/>
        <v>#REF!</v>
      </c>
      <c r="AX102" s="10" t="e">
        <f t="shared" si="61"/>
        <v>#REF!</v>
      </c>
    </row>
    <row r="103" spans="1:50" x14ac:dyDescent="0.25">
      <c r="A103" s="5">
        <v>215002</v>
      </c>
      <c r="B103" s="6" t="s">
        <v>100</v>
      </c>
      <c r="C103" s="1" t="e">
        <f>SUMIFS(#REF!,#REF!,
 $A103,#REF!,
 "&gt;="&amp;INT($E$1),#REF!,
 "&lt;"&amp;INT($F$1+1)
)</f>
        <v>#REF!</v>
      </c>
      <c r="D103" s="1" t="str">
        <f>""</f>
        <v/>
      </c>
      <c r="F103" s="2"/>
      <c r="G103" s="1" t="e">
        <f>SUMIFS(#REF!,#REF!,
 $A103,#REF!,
 "&gt;="&amp;INT($I$1),#REF!,
 "&lt;"&amp;INT($J$1+1)
)</f>
        <v>#REF!</v>
      </c>
      <c r="H103" s="1" t="e">
        <f t="shared" si="31"/>
        <v>#REF!</v>
      </c>
      <c r="I103" s="1"/>
      <c r="J103" s="2"/>
      <c r="K103" s="1" t="e">
        <f>SUMIFS(#REF!,#REF!,
 $A103,#REF!,
 "&gt;="&amp;INT($M$1),#REF!,
 "&lt;"&amp;INT($N$1+1)
)</f>
        <v>#REF!</v>
      </c>
      <c r="L103" s="1" t="e">
        <f t="shared" si="32"/>
        <v>#REF!</v>
      </c>
      <c r="M103" s="9" t="e">
        <f t="shared" si="33"/>
        <v>#REF!</v>
      </c>
      <c r="N103" s="10" t="e">
        <f t="shared" si="34"/>
        <v>#REF!</v>
      </c>
      <c r="O103" s="1" t="e">
        <f>SUMIFS(#REF!,#REF!,
 $A103,#REF!,
 "&gt;="&amp;INT($Q$1),#REF!,
 "&lt;="&amp;INT($R$1)
)</f>
        <v>#REF!</v>
      </c>
      <c r="P103" s="1" t="e">
        <f t="shared" si="35"/>
        <v>#REF!</v>
      </c>
      <c r="Q103" s="9" t="e">
        <f t="shared" si="36"/>
        <v>#REF!</v>
      </c>
      <c r="R103" s="10" t="e">
        <f t="shared" si="37"/>
        <v>#REF!</v>
      </c>
      <c r="S103" s="1" t="e">
        <f>SUMIFS(#REF!,#REF!,
 $A103,#REF!,
 "&gt;="&amp;INT($U$1),#REF!,
 "&lt;="&amp;INT($V$1)
)</f>
        <v>#REF!</v>
      </c>
      <c r="T103" s="1" t="e">
        <f t="shared" si="38"/>
        <v>#REF!</v>
      </c>
      <c r="U103" s="9" t="e">
        <f t="shared" si="39"/>
        <v>#REF!</v>
      </c>
      <c r="V103" s="10" t="e">
        <f t="shared" si="40"/>
        <v>#REF!</v>
      </c>
      <c r="W103" s="1" t="e">
        <f>SUMIFS(#REF!,#REF!,
 $A103,#REF!,
 "&gt;="&amp;INT($Y$1),#REF!,
 "&lt;="&amp;INT($Z$1)
)</f>
        <v>#REF!</v>
      </c>
      <c r="X103" s="1" t="e">
        <f t="shared" si="41"/>
        <v>#REF!</v>
      </c>
      <c r="Y103" s="9" t="e">
        <f t="shared" si="42"/>
        <v>#REF!</v>
      </c>
      <c r="Z103" s="10" t="e">
        <f t="shared" si="43"/>
        <v>#REF!</v>
      </c>
      <c r="AA103" s="1" t="e">
        <f>SUMIFS(#REF!,#REF!,
 $A103,#REF!,
 "&gt;="&amp;INT($AC$1),#REF!,
 "&lt;="&amp;INT($AD$1)
)</f>
        <v>#REF!</v>
      </c>
      <c r="AB103" s="1" t="e">
        <f t="shared" si="44"/>
        <v>#REF!</v>
      </c>
      <c r="AC103" s="9" t="e">
        <f t="shared" si="45"/>
        <v>#REF!</v>
      </c>
      <c r="AD103" s="10" t="e">
        <f t="shared" si="46"/>
        <v>#REF!</v>
      </c>
      <c r="AE103" s="1" t="e">
        <f>SUMIFS(#REF!,#REF!,
 $A103,#REF!,
 "&gt;="&amp;INT($AG$1),#REF!,
 "&lt;="&amp;INT($AH$1)
)</f>
        <v>#REF!</v>
      </c>
      <c r="AF103" s="1" t="e">
        <f t="shared" si="47"/>
        <v>#REF!</v>
      </c>
      <c r="AG103" s="9" t="e">
        <f t="shared" si="48"/>
        <v>#REF!</v>
      </c>
      <c r="AH103" s="10" t="e">
        <f t="shared" si="49"/>
        <v>#REF!</v>
      </c>
      <c r="AI103" s="1" t="e">
        <f>SUMIFS(#REF!,#REF!,
 $A103,#REF!,
 "&gt;="&amp;INT($AK$1),#REF!,
 "&lt;="&amp;INT($AL$1)
)</f>
        <v>#REF!</v>
      </c>
      <c r="AJ103" s="1" t="e">
        <f t="shared" si="50"/>
        <v>#REF!</v>
      </c>
      <c r="AK103" s="9" t="e">
        <f t="shared" si="51"/>
        <v>#REF!</v>
      </c>
      <c r="AL103" s="10" t="e">
        <f t="shared" si="52"/>
        <v>#REF!</v>
      </c>
      <c r="AM103" s="1" t="e">
        <f>SUMIFS(#REF!,#REF!,
 $A103,#REF!,
 "&gt;="&amp;INT($AO$1),#REF!,
 "&lt;="&amp;INT($AP$1)
)</f>
        <v>#REF!</v>
      </c>
      <c r="AN103" s="1" t="e">
        <f t="shared" si="53"/>
        <v>#REF!</v>
      </c>
      <c r="AO103" s="9" t="e">
        <f t="shared" si="54"/>
        <v>#REF!</v>
      </c>
      <c r="AP103" s="10" t="e">
        <f t="shared" si="55"/>
        <v>#REF!</v>
      </c>
      <c r="AQ103" s="1" t="e">
        <f>SUMIFS(#REF!,#REF!,
 $A103,#REF!,
 "&gt;="&amp;INT($AS$1),#REF!,
 "&lt;="&amp;INT($AT$1)
)</f>
        <v>#REF!</v>
      </c>
      <c r="AR103" s="1" t="e">
        <f t="shared" si="56"/>
        <v>#REF!</v>
      </c>
      <c r="AS103" s="9" t="e">
        <f t="shared" si="57"/>
        <v>#REF!</v>
      </c>
      <c r="AT103" s="10" t="e">
        <f t="shared" si="58"/>
        <v>#REF!</v>
      </c>
      <c r="AU103" s="1" t="e">
        <f>SUMIFS(#REF!,#REF!,
 $A103,#REF!,
 "&gt;="&amp;INT($AW$1),#REF!,
 "&lt;="&amp;INT($AX$1)
)</f>
        <v>#REF!</v>
      </c>
      <c r="AV103" s="1" t="e">
        <f t="shared" si="59"/>
        <v>#REF!</v>
      </c>
      <c r="AW103" s="9" t="e">
        <f t="shared" si="60"/>
        <v>#REF!</v>
      </c>
      <c r="AX103" s="10" t="e">
        <f t="shared" si="61"/>
        <v>#REF!</v>
      </c>
    </row>
    <row r="104" spans="1:50" x14ac:dyDescent="0.25">
      <c r="A104" s="5">
        <v>217001</v>
      </c>
      <c r="B104" s="6" t="s">
        <v>101</v>
      </c>
      <c r="C104" s="1" t="e">
        <f>SUMIFS(#REF!,#REF!,
 $A104,#REF!,
 "&gt;="&amp;INT($E$1),#REF!,
 "&lt;"&amp;INT($F$1+1)
)</f>
        <v>#REF!</v>
      </c>
      <c r="D104" s="1" t="str">
        <f>""</f>
        <v/>
      </c>
      <c r="F104" s="2"/>
      <c r="G104" s="1" t="e">
        <f>SUMIFS(#REF!,#REF!,
 $A104,#REF!,
 "&gt;="&amp;INT($I$1),#REF!,
 "&lt;"&amp;INT($J$1+1)
)</f>
        <v>#REF!</v>
      </c>
      <c r="H104" s="1" t="e">
        <f t="shared" si="31"/>
        <v>#REF!</v>
      </c>
      <c r="I104" s="1"/>
      <c r="J104" s="2"/>
      <c r="K104" s="1" t="e">
        <f>SUMIFS(#REF!,#REF!,
 $A104,#REF!,
 "&gt;="&amp;INT($M$1),#REF!,
 "&lt;"&amp;INT($N$1+1)
)</f>
        <v>#REF!</v>
      </c>
      <c r="L104" s="1" t="e">
        <f t="shared" si="32"/>
        <v>#REF!</v>
      </c>
      <c r="M104" s="9" t="e">
        <f t="shared" si="33"/>
        <v>#REF!</v>
      </c>
      <c r="N104" s="10" t="e">
        <f t="shared" si="34"/>
        <v>#REF!</v>
      </c>
      <c r="O104" s="1" t="e">
        <f>SUMIFS(#REF!,#REF!,
 $A104,#REF!,
 "&gt;="&amp;INT($Q$1),#REF!,
 "&lt;="&amp;INT($R$1)
)</f>
        <v>#REF!</v>
      </c>
      <c r="P104" s="1" t="e">
        <f t="shared" si="35"/>
        <v>#REF!</v>
      </c>
      <c r="Q104" s="9" t="e">
        <f t="shared" si="36"/>
        <v>#REF!</v>
      </c>
      <c r="R104" s="10" t="e">
        <f t="shared" si="37"/>
        <v>#REF!</v>
      </c>
      <c r="S104" s="1" t="e">
        <f>SUMIFS(#REF!,#REF!,
 $A104,#REF!,
 "&gt;="&amp;INT($U$1),#REF!,
 "&lt;="&amp;INT($V$1)
)</f>
        <v>#REF!</v>
      </c>
      <c r="T104" s="1" t="e">
        <f t="shared" si="38"/>
        <v>#REF!</v>
      </c>
      <c r="U104" s="9" t="e">
        <f t="shared" si="39"/>
        <v>#REF!</v>
      </c>
      <c r="V104" s="10" t="e">
        <f t="shared" si="40"/>
        <v>#REF!</v>
      </c>
      <c r="W104" s="1" t="e">
        <f>SUMIFS(#REF!,#REF!,
 $A104,#REF!,
 "&gt;="&amp;INT($Y$1),#REF!,
 "&lt;="&amp;INT($Z$1)
)</f>
        <v>#REF!</v>
      </c>
      <c r="X104" s="1" t="e">
        <f t="shared" si="41"/>
        <v>#REF!</v>
      </c>
      <c r="Y104" s="9" t="e">
        <f t="shared" si="42"/>
        <v>#REF!</v>
      </c>
      <c r="Z104" s="10" t="e">
        <f t="shared" si="43"/>
        <v>#REF!</v>
      </c>
      <c r="AA104" s="1" t="e">
        <f>SUMIFS(#REF!,#REF!,
 $A104,#REF!,
 "&gt;="&amp;INT($AC$1),#REF!,
 "&lt;="&amp;INT($AD$1)
)</f>
        <v>#REF!</v>
      </c>
      <c r="AB104" s="1" t="e">
        <f t="shared" si="44"/>
        <v>#REF!</v>
      </c>
      <c r="AC104" s="9" t="e">
        <f t="shared" si="45"/>
        <v>#REF!</v>
      </c>
      <c r="AD104" s="10" t="e">
        <f t="shared" si="46"/>
        <v>#REF!</v>
      </c>
      <c r="AE104" s="1" t="e">
        <f>SUMIFS(#REF!,#REF!,
 $A104,#REF!,
 "&gt;="&amp;INT($AG$1),#REF!,
 "&lt;="&amp;INT($AH$1)
)</f>
        <v>#REF!</v>
      </c>
      <c r="AF104" s="1" t="e">
        <f t="shared" si="47"/>
        <v>#REF!</v>
      </c>
      <c r="AG104" s="9" t="e">
        <f t="shared" si="48"/>
        <v>#REF!</v>
      </c>
      <c r="AH104" s="10" t="e">
        <f t="shared" si="49"/>
        <v>#REF!</v>
      </c>
      <c r="AI104" s="1" t="e">
        <f>SUMIFS(#REF!,#REF!,
 $A104,#REF!,
 "&gt;="&amp;INT($AK$1),#REF!,
 "&lt;="&amp;INT($AL$1)
)</f>
        <v>#REF!</v>
      </c>
      <c r="AJ104" s="1" t="e">
        <f t="shared" si="50"/>
        <v>#REF!</v>
      </c>
      <c r="AK104" s="9" t="e">
        <f t="shared" si="51"/>
        <v>#REF!</v>
      </c>
      <c r="AL104" s="10" t="e">
        <f t="shared" si="52"/>
        <v>#REF!</v>
      </c>
      <c r="AM104" s="1" t="e">
        <f>SUMIFS(#REF!,#REF!,
 $A104,#REF!,
 "&gt;="&amp;INT($AO$1),#REF!,
 "&lt;="&amp;INT($AP$1)
)</f>
        <v>#REF!</v>
      </c>
      <c r="AN104" s="1" t="e">
        <f t="shared" si="53"/>
        <v>#REF!</v>
      </c>
      <c r="AO104" s="9" t="e">
        <f t="shared" si="54"/>
        <v>#REF!</v>
      </c>
      <c r="AP104" s="10" t="e">
        <f t="shared" si="55"/>
        <v>#REF!</v>
      </c>
      <c r="AQ104" s="1" t="e">
        <f>SUMIFS(#REF!,#REF!,
 $A104,#REF!,
 "&gt;="&amp;INT($AS$1),#REF!,
 "&lt;="&amp;INT($AT$1)
)</f>
        <v>#REF!</v>
      </c>
      <c r="AR104" s="1" t="e">
        <f t="shared" si="56"/>
        <v>#REF!</v>
      </c>
      <c r="AS104" s="9" t="e">
        <f t="shared" si="57"/>
        <v>#REF!</v>
      </c>
      <c r="AT104" s="10" t="e">
        <f t="shared" si="58"/>
        <v>#REF!</v>
      </c>
      <c r="AU104" s="1" t="e">
        <f>SUMIFS(#REF!,#REF!,
 $A104,#REF!,
 "&gt;="&amp;INT($AW$1),#REF!,
 "&lt;="&amp;INT($AX$1)
)</f>
        <v>#REF!</v>
      </c>
      <c r="AV104" s="1" t="e">
        <f t="shared" si="59"/>
        <v>#REF!</v>
      </c>
      <c r="AW104" s="9" t="e">
        <f t="shared" si="60"/>
        <v>#REF!</v>
      </c>
      <c r="AX104" s="10" t="e">
        <f t="shared" si="61"/>
        <v>#REF!</v>
      </c>
    </row>
    <row r="105" spans="1:50" x14ac:dyDescent="0.25">
      <c r="A105" s="5">
        <v>217002</v>
      </c>
      <c r="B105" s="6" t="s">
        <v>102</v>
      </c>
      <c r="C105" s="1" t="e">
        <f>SUMIFS(#REF!,#REF!,
 $A105,#REF!,
 "&gt;="&amp;INT($E$1),#REF!,
 "&lt;"&amp;INT($F$1+1)
)</f>
        <v>#REF!</v>
      </c>
      <c r="D105" s="1" t="str">
        <f>""</f>
        <v/>
      </c>
      <c r="F105" s="2"/>
      <c r="G105" s="1" t="e">
        <f>SUMIFS(#REF!,#REF!,
 $A105,#REF!,
 "&gt;="&amp;INT($I$1),#REF!,
 "&lt;"&amp;INT($J$1+1)
)</f>
        <v>#REF!</v>
      </c>
      <c r="H105" s="1" t="e">
        <f t="shared" si="31"/>
        <v>#REF!</v>
      </c>
      <c r="I105" s="1"/>
      <c r="J105" s="2"/>
      <c r="K105" s="1" t="e">
        <f>SUMIFS(#REF!,#REF!,
 $A105,#REF!,
 "&gt;="&amp;INT($M$1),#REF!,
 "&lt;"&amp;INT($N$1+1)
)</f>
        <v>#REF!</v>
      </c>
      <c r="L105" s="1" t="e">
        <f t="shared" si="32"/>
        <v>#REF!</v>
      </c>
      <c r="M105" s="9" t="e">
        <f t="shared" si="33"/>
        <v>#REF!</v>
      </c>
      <c r="N105" s="10" t="e">
        <f t="shared" si="34"/>
        <v>#REF!</v>
      </c>
      <c r="O105" s="1" t="e">
        <f>SUMIFS(#REF!,#REF!,
 $A105,#REF!,
 "&gt;="&amp;INT($Q$1),#REF!,
 "&lt;="&amp;INT($R$1)
)</f>
        <v>#REF!</v>
      </c>
      <c r="P105" s="1" t="e">
        <f t="shared" si="35"/>
        <v>#REF!</v>
      </c>
      <c r="Q105" s="9" t="e">
        <f t="shared" si="36"/>
        <v>#REF!</v>
      </c>
      <c r="R105" s="10" t="e">
        <f t="shared" si="37"/>
        <v>#REF!</v>
      </c>
      <c r="S105" s="1" t="e">
        <f>SUMIFS(#REF!,#REF!,
 $A105,#REF!,
 "&gt;="&amp;INT($U$1),#REF!,
 "&lt;="&amp;INT($V$1)
)</f>
        <v>#REF!</v>
      </c>
      <c r="T105" s="1" t="e">
        <f t="shared" si="38"/>
        <v>#REF!</v>
      </c>
      <c r="U105" s="9" t="e">
        <f t="shared" si="39"/>
        <v>#REF!</v>
      </c>
      <c r="V105" s="10" t="e">
        <f t="shared" si="40"/>
        <v>#REF!</v>
      </c>
      <c r="W105" s="1" t="e">
        <f>SUMIFS(#REF!,#REF!,
 $A105,#REF!,
 "&gt;="&amp;INT($Y$1),#REF!,
 "&lt;="&amp;INT($Z$1)
)</f>
        <v>#REF!</v>
      </c>
      <c r="X105" s="1" t="e">
        <f t="shared" si="41"/>
        <v>#REF!</v>
      </c>
      <c r="Y105" s="9" t="e">
        <f t="shared" si="42"/>
        <v>#REF!</v>
      </c>
      <c r="Z105" s="10" t="e">
        <f t="shared" si="43"/>
        <v>#REF!</v>
      </c>
      <c r="AA105" s="1" t="e">
        <f>SUMIFS(#REF!,#REF!,
 $A105,#REF!,
 "&gt;="&amp;INT($AC$1),#REF!,
 "&lt;="&amp;INT($AD$1)
)</f>
        <v>#REF!</v>
      </c>
      <c r="AB105" s="1" t="e">
        <f t="shared" si="44"/>
        <v>#REF!</v>
      </c>
      <c r="AC105" s="9" t="e">
        <f t="shared" si="45"/>
        <v>#REF!</v>
      </c>
      <c r="AD105" s="10" t="e">
        <f t="shared" si="46"/>
        <v>#REF!</v>
      </c>
      <c r="AE105" s="1" t="e">
        <f>SUMIFS(#REF!,#REF!,
 $A105,#REF!,
 "&gt;="&amp;INT($AG$1),#REF!,
 "&lt;="&amp;INT($AH$1)
)</f>
        <v>#REF!</v>
      </c>
      <c r="AF105" s="1" t="e">
        <f t="shared" si="47"/>
        <v>#REF!</v>
      </c>
      <c r="AG105" s="9" t="e">
        <f t="shared" si="48"/>
        <v>#REF!</v>
      </c>
      <c r="AH105" s="10" t="e">
        <f t="shared" si="49"/>
        <v>#REF!</v>
      </c>
      <c r="AI105" s="1" t="e">
        <f>SUMIFS(#REF!,#REF!,
 $A105,#REF!,
 "&gt;="&amp;INT($AK$1),#REF!,
 "&lt;="&amp;INT($AL$1)
)</f>
        <v>#REF!</v>
      </c>
      <c r="AJ105" s="1" t="e">
        <f t="shared" si="50"/>
        <v>#REF!</v>
      </c>
      <c r="AK105" s="9" t="e">
        <f t="shared" si="51"/>
        <v>#REF!</v>
      </c>
      <c r="AL105" s="10" t="e">
        <f t="shared" si="52"/>
        <v>#REF!</v>
      </c>
      <c r="AM105" s="1" t="e">
        <f>SUMIFS(#REF!,#REF!,
 $A105,#REF!,
 "&gt;="&amp;INT($AO$1),#REF!,
 "&lt;="&amp;INT($AP$1)
)</f>
        <v>#REF!</v>
      </c>
      <c r="AN105" s="1" t="e">
        <f t="shared" si="53"/>
        <v>#REF!</v>
      </c>
      <c r="AO105" s="9" t="e">
        <f t="shared" si="54"/>
        <v>#REF!</v>
      </c>
      <c r="AP105" s="10" t="e">
        <f t="shared" si="55"/>
        <v>#REF!</v>
      </c>
      <c r="AQ105" s="1" t="e">
        <f>SUMIFS(#REF!,#REF!,
 $A105,#REF!,
 "&gt;="&amp;INT($AS$1),#REF!,
 "&lt;="&amp;INT($AT$1)
)</f>
        <v>#REF!</v>
      </c>
      <c r="AR105" s="1" t="e">
        <f t="shared" si="56"/>
        <v>#REF!</v>
      </c>
      <c r="AS105" s="9" t="e">
        <f t="shared" si="57"/>
        <v>#REF!</v>
      </c>
      <c r="AT105" s="10" t="e">
        <f t="shared" si="58"/>
        <v>#REF!</v>
      </c>
      <c r="AU105" s="1" t="e">
        <f>SUMIFS(#REF!,#REF!,
 $A105,#REF!,
 "&gt;="&amp;INT($AW$1),#REF!,
 "&lt;="&amp;INT($AX$1)
)</f>
        <v>#REF!</v>
      </c>
      <c r="AV105" s="1" t="e">
        <f t="shared" si="59"/>
        <v>#REF!</v>
      </c>
      <c r="AW105" s="9" t="e">
        <f t="shared" si="60"/>
        <v>#REF!</v>
      </c>
      <c r="AX105" s="10" t="e">
        <f t="shared" si="61"/>
        <v>#REF!</v>
      </c>
    </row>
    <row r="106" spans="1:50" x14ac:dyDescent="0.25">
      <c r="A106" s="5">
        <v>217006</v>
      </c>
      <c r="B106" s="6" t="s">
        <v>103</v>
      </c>
      <c r="C106" s="1" t="e">
        <f>SUMIFS(#REF!,#REF!,
 $A106,#REF!,
 "&gt;="&amp;INT($E$1),#REF!,
 "&lt;"&amp;INT($F$1+1)
)</f>
        <v>#REF!</v>
      </c>
      <c r="D106" s="1" t="str">
        <f>""</f>
        <v/>
      </c>
      <c r="F106" s="2"/>
      <c r="G106" s="1" t="e">
        <f>SUMIFS(#REF!,#REF!,
 $A106,#REF!,
 "&gt;="&amp;INT($I$1),#REF!,
 "&lt;"&amp;INT($J$1+1)
)</f>
        <v>#REF!</v>
      </c>
      <c r="H106" s="1" t="e">
        <f t="shared" si="31"/>
        <v>#REF!</v>
      </c>
      <c r="I106" s="1"/>
      <c r="J106" s="2"/>
      <c r="K106" s="1" t="e">
        <f>SUMIFS(#REF!,#REF!,
 $A106,#REF!,
 "&gt;="&amp;INT($M$1),#REF!,
 "&lt;"&amp;INT($N$1+1)
)</f>
        <v>#REF!</v>
      </c>
      <c r="L106" s="1" t="e">
        <f t="shared" si="32"/>
        <v>#REF!</v>
      </c>
      <c r="M106" s="9" t="e">
        <f t="shared" si="33"/>
        <v>#REF!</v>
      </c>
      <c r="N106" s="10" t="e">
        <f t="shared" si="34"/>
        <v>#REF!</v>
      </c>
      <c r="O106" s="1" t="e">
        <f>SUMIFS(#REF!,#REF!,
 $A106,#REF!,
 "&gt;="&amp;INT($Q$1),#REF!,
 "&lt;="&amp;INT($R$1)
)</f>
        <v>#REF!</v>
      </c>
      <c r="P106" s="1" t="e">
        <f t="shared" si="35"/>
        <v>#REF!</v>
      </c>
      <c r="Q106" s="9" t="e">
        <f t="shared" si="36"/>
        <v>#REF!</v>
      </c>
      <c r="R106" s="10" t="e">
        <f t="shared" si="37"/>
        <v>#REF!</v>
      </c>
      <c r="S106" s="1" t="e">
        <f>SUMIFS(#REF!,#REF!,
 $A106,#REF!,
 "&gt;="&amp;INT($U$1),#REF!,
 "&lt;="&amp;INT($V$1)
)</f>
        <v>#REF!</v>
      </c>
      <c r="T106" s="1" t="e">
        <f t="shared" si="38"/>
        <v>#REF!</v>
      </c>
      <c r="U106" s="9" t="e">
        <f t="shared" si="39"/>
        <v>#REF!</v>
      </c>
      <c r="V106" s="10" t="e">
        <f t="shared" si="40"/>
        <v>#REF!</v>
      </c>
      <c r="W106" s="1" t="e">
        <f>SUMIFS(#REF!,#REF!,
 $A106,#REF!,
 "&gt;="&amp;INT($Y$1),#REF!,
 "&lt;="&amp;INT($Z$1)
)</f>
        <v>#REF!</v>
      </c>
      <c r="X106" s="1" t="e">
        <f t="shared" si="41"/>
        <v>#REF!</v>
      </c>
      <c r="Y106" s="9" t="e">
        <f t="shared" si="42"/>
        <v>#REF!</v>
      </c>
      <c r="Z106" s="10" t="e">
        <f t="shared" si="43"/>
        <v>#REF!</v>
      </c>
      <c r="AA106" s="1" t="e">
        <f>SUMIFS(#REF!,#REF!,
 $A106,#REF!,
 "&gt;="&amp;INT($AC$1),#REF!,
 "&lt;="&amp;INT($AD$1)
)</f>
        <v>#REF!</v>
      </c>
      <c r="AB106" s="1" t="e">
        <f t="shared" si="44"/>
        <v>#REF!</v>
      </c>
      <c r="AC106" s="9" t="e">
        <f t="shared" si="45"/>
        <v>#REF!</v>
      </c>
      <c r="AD106" s="10" t="e">
        <f t="shared" si="46"/>
        <v>#REF!</v>
      </c>
      <c r="AE106" s="1" t="e">
        <f>SUMIFS(#REF!,#REF!,
 $A106,#REF!,
 "&gt;="&amp;INT($AG$1),#REF!,
 "&lt;="&amp;INT($AH$1)
)</f>
        <v>#REF!</v>
      </c>
      <c r="AF106" s="1" t="e">
        <f t="shared" si="47"/>
        <v>#REF!</v>
      </c>
      <c r="AG106" s="9" t="e">
        <f t="shared" si="48"/>
        <v>#REF!</v>
      </c>
      <c r="AH106" s="10" t="e">
        <f t="shared" si="49"/>
        <v>#REF!</v>
      </c>
      <c r="AI106" s="1" t="e">
        <f>SUMIFS(#REF!,#REF!,
 $A106,#REF!,
 "&gt;="&amp;INT($AK$1),#REF!,
 "&lt;="&amp;INT($AL$1)
)</f>
        <v>#REF!</v>
      </c>
      <c r="AJ106" s="1" t="e">
        <f t="shared" si="50"/>
        <v>#REF!</v>
      </c>
      <c r="AK106" s="9" t="e">
        <f t="shared" si="51"/>
        <v>#REF!</v>
      </c>
      <c r="AL106" s="10" t="e">
        <f t="shared" si="52"/>
        <v>#REF!</v>
      </c>
      <c r="AM106" s="1" t="e">
        <f>SUMIFS(#REF!,#REF!,
 $A106,#REF!,
 "&gt;="&amp;INT($AO$1),#REF!,
 "&lt;="&amp;INT($AP$1)
)</f>
        <v>#REF!</v>
      </c>
      <c r="AN106" s="1" t="e">
        <f t="shared" si="53"/>
        <v>#REF!</v>
      </c>
      <c r="AO106" s="9" t="e">
        <f t="shared" si="54"/>
        <v>#REF!</v>
      </c>
      <c r="AP106" s="10" t="e">
        <f t="shared" si="55"/>
        <v>#REF!</v>
      </c>
      <c r="AQ106" s="1" t="e">
        <f>SUMIFS(#REF!,#REF!,
 $A106,#REF!,
 "&gt;="&amp;INT($AS$1),#REF!,
 "&lt;="&amp;INT($AT$1)
)</f>
        <v>#REF!</v>
      </c>
      <c r="AR106" s="1" t="e">
        <f t="shared" si="56"/>
        <v>#REF!</v>
      </c>
      <c r="AS106" s="9" t="e">
        <f t="shared" si="57"/>
        <v>#REF!</v>
      </c>
      <c r="AT106" s="10" t="e">
        <f t="shared" si="58"/>
        <v>#REF!</v>
      </c>
      <c r="AU106" s="1" t="e">
        <f>SUMIFS(#REF!,#REF!,
 $A106,#REF!,
 "&gt;="&amp;INT($AW$1),#REF!,
 "&lt;="&amp;INT($AX$1)
)</f>
        <v>#REF!</v>
      </c>
      <c r="AV106" s="1" t="e">
        <f t="shared" si="59"/>
        <v>#REF!</v>
      </c>
      <c r="AW106" s="9" t="e">
        <f t="shared" si="60"/>
        <v>#REF!</v>
      </c>
      <c r="AX106" s="10" t="e">
        <f t="shared" si="61"/>
        <v>#REF!</v>
      </c>
    </row>
    <row r="107" spans="1:50" x14ac:dyDescent="0.25">
      <c r="A107" s="5">
        <v>217008</v>
      </c>
      <c r="B107" s="6" t="s">
        <v>104</v>
      </c>
      <c r="C107" s="1" t="e">
        <f>SUMIFS(#REF!,#REF!,
 $A107,#REF!,
 "&gt;="&amp;INT($E$1),#REF!,
 "&lt;"&amp;INT($F$1+1)
)</f>
        <v>#REF!</v>
      </c>
      <c r="D107" s="1" t="str">
        <f>""</f>
        <v/>
      </c>
      <c r="F107" s="2"/>
      <c r="G107" s="1" t="e">
        <f>SUMIFS(#REF!,#REF!,
 $A107,#REF!,
 "&gt;="&amp;INT($I$1),#REF!,
 "&lt;"&amp;INT($J$1+1)
)</f>
        <v>#REF!</v>
      </c>
      <c r="H107" s="1" t="e">
        <f t="shared" si="31"/>
        <v>#REF!</v>
      </c>
      <c r="I107" s="1"/>
      <c r="J107" s="2"/>
      <c r="K107" s="1" t="e">
        <f>SUMIFS(#REF!,#REF!,
 $A107,#REF!,
 "&gt;="&amp;INT($M$1),#REF!,
 "&lt;"&amp;INT($N$1+1)
)</f>
        <v>#REF!</v>
      </c>
      <c r="L107" s="1" t="e">
        <f t="shared" si="32"/>
        <v>#REF!</v>
      </c>
      <c r="M107" s="9" t="e">
        <f t="shared" si="33"/>
        <v>#REF!</v>
      </c>
      <c r="N107" s="10" t="e">
        <f t="shared" si="34"/>
        <v>#REF!</v>
      </c>
      <c r="O107" s="1" t="e">
        <f>SUMIFS(#REF!,#REF!,
 $A107,#REF!,
 "&gt;="&amp;INT($Q$1),#REF!,
 "&lt;="&amp;INT($R$1)
)</f>
        <v>#REF!</v>
      </c>
      <c r="P107" s="1" t="e">
        <f t="shared" si="35"/>
        <v>#REF!</v>
      </c>
      <c r="Q107" s="9" t="e">
        <f t="shared" si="36"/>
        <v>#REF!</v>
      </c>
      <c r="R107" s="10" t="e">
        <f t="shared" si="37"/>
        <v>#REF!</v>
      </c>
      <c r="S107" s="1" t="e">
        <f>SUMIFS(#REF!,#REF!,
 $A107,#REF!,
 "&gt;="&amp;INT($U$1),#REF!,
 "&lt;="&amp;INT($V$1)
)</f>
        <v>#REF!</v>
      </c>
      <c r="T107" s="1" t="e">
        <f t="shared" si="38"/>
        <v>#REF!</v>
      </c>
      <c r="U107" s="9" t="e">
        <f t="shared" si="39"/>
        <v>#REF!</v>
      </c>
      <c r="V107" s="10" t="e">
        <f t="shared" si="40"/>
        <v>#REF!</v>
      </c>
      <c r="W107" s="1" t="e">
        <f>SUMIFS(#REF!,#REF!,
 $A107,#REF!,
 "&gt;="&amp;INT($Y$1),#REF!,
 "&lt;="&amp;INT($Z$1)
)</f>
        <v>#REF!</v>
      </c>
      <c r="X107" s="1" t="e">
        <f t="shared" si="41"/>
        <v>#REF!</v>
      </c>
      <c r="Y107" s="9" t="e">
        <f t="shared" si="42"/>
        <v>#REF!</v>
      </c>
      <c r="Z107" s="10" t="e">
        <f t="shared" si="43"/>
        <v>#REF!</v>
      </c>
      <c r="AA107" s="1" t="e">
        <f>SUMIFS(#REF!,#REF!,
 $A107,#REF!,
 "&gt;="&amp;INT($AC$1),#REF!,
 "&lt;="&amp;INT($AD$1)
)</f>
        <v>#REF!</v>
      </c>
      <c r="AB107" s="1" t="e">
        <f t="shared" si="44"/>
        <v>#REF!</v>
      </c>
      <c r="AC107" s="9" t="e">
        <f t="shared" si="45"/>
        <v>#REF!</v>
      </c>
      <c r="AD107" s="10" t="e">
        <f t="shared" si="46"/>
        <v>#REF!</v>
      </c>
      <c r="AE107" s="1" t="e">
        <f>SUMIFS(#REF!,#REF!,
 $A107,#REF!,
 "&gt;="&amp;INT($AG$1),#REF!,
 "&lt;="&amp;INT($AH$1)
)</f>
        <v>#REF!</v>
      </c>
      <c r="AF107" s="1" t="e">
        <f t="shared" si="47"/>
        <v>#REF!</v>
      </c>
      <c r="AG107" s="9" t="e">
        <f t="shared" si="48"/>
        <v>#REF!</v>
      </c>
      <c r="AH107" s="10" t="e">
        <f t="shared" si="49"/>
        <v>#REF!</v>
      </c>
      <c r="AI107" s="1" t="e">
        <f>SUMIFS(#REF!,#REF!,
 $A107,#REF!,
 "&gt;="&amp;INT($AK$1),#REF!,
 "&lt;="&amp;INT($AL$1)
)</f>
        <v>#REF!</v>
      </c>
      <c r="AJ107" s="1" t="e">
        <f t="shared" si="50"/>
        <v>#REF!</v>
      </c>
      <c r="AK107" s="9" t="e">
        <f t="shared" si="51"/>
        <v>#REF!</v>
      </c>
      <c r="AL107" s="10" t="e">
        <f t="shared" si="52"/>
        <v>#REF!</v>
      </c>
      <c r="AM107" s="1" t="e">
        <f>SUMIFS(#REF!,#REF!,
 $A107,#REF!,
 "&gt;="&amp;INT($AO$1),#REF!,
 "&lt;="&amp;INT($AP$1)
)</f>
        <v>#REF!</v>
      </c>
      <c r="AN107" s="1" t="e">
        <f t="shared" si="53"/>
        <v>#REF!</v>
      </c>
      <c r="AO107" s="9" t="e">
        <f t="shared" si="54"/>
        <v>#REF!</v>
      </c>
      <c r="AP107" s="10" t="e">
        <f t="shared" si="55"/>
        <v>#REF!</v>
      </c>
      <c r="AQ107" s="1" t="e">
        <f>SUMIFS(#REF!,#REF!,
 $A107,#REF!,
 "&gt;="&amp;INT($AS$1),#REF!,
 "&lt;="&amp;INT($AT$1)
)</f>
        <v>#REF!</v>
      </c>
      <c r="AR107" s="1" t="e">
        <f t="shared" si="56"/>
        <v>#REF!</v>
      </c>
      <c r="AS107" s="9" t="e">
        <f t="shared" si="57"/>
        <v>#REF!</v>
      </c>
      <c r="AT107" s="10" t="e">
        <f t="shared" si="58"/>
        <v>#REF!</v>
      </c>
      <c r="AU107" s="1" t="e">
        <f>SUMIFS(#REF!,#REF!,
 $A107,#REF!,
 "&gt;="&amp;INT($AW$1),#REF!,
 "&lt;="&amp;INT($AX$1)
)</f>
        <v>#REF!</v>
      </c>
      <c r="AV107" s="1" t="e">
        <f t="shared" si="59"/>
        <v>#REF!</v>
      </c>
      <c r="AW107" s="9" t="e">
        <f t="shared" si="60"/>
        <v>#REF!</v>
      </c>
      <c r="AX107" s="10" t="e">
        <f t="shared" si="61"/>
        <v>#REF!</v>
      </c>
    </row>
    <row r="108" spans="1:50" x14ac:dyDescent="0.25">
      <c r="A108" s="5">
        <v>217011</v>
      </c>
      <c r="B108" s="6" t="s">
        <v>105</v>
      </c>
      <c r="C108" s="1" t="e">
        <f>SUMIFS(#REF!,#REF!,
 $A108,#REF!,
 "&gt;="&amp;INT($E$1),#REF!,
 "&lt;"&amp;INT($F$1+1)
)</f>
        <v>#REF!</v>
      </c>
      <c r="D108" s="1" t="str">
        <f>""</f>
        <v/>
      </c>
      <c r="F108" s="2"/>
      <c r="G108" s="1" t="e">
        <f>SUMIFS(#REF!,#REF!,
 $A108,#REF!,
 "&gt;="&amp;INT($I$1),#REF!,
 "&lt;"&amp;INT($J$1+1)
)</f>
        <v>#REF!</v>
      </c>
      <c r="H108" s="1" t="e">
        <f t="shared" si="31"/>
        <v>#REF!</v>
      </c>
      <c r="I108" s="1"/>
      <c r="J108" s="2"/>
      <c r="K108" s="1" t="e">
        <f>SUMIFS(#REF!,#REF!,
 $A108,#REF!,
 "&gt;="&amp;INT($M$1),#REF!,
 "&lt;"&amp;INT($N$1+1)
)</f>
        <v>#REF!</v>
      </c>
      <c r="L108" s="1" t="e">
        <f t="shared" si="32"/>
        <v>#REF!</v>
      </c>
      <c r="M108" s="9" t="e">
        <f t="shared" si="33"/>
        <v>#REF!</v>
      </c>
      <c r="N108" s="10" t="e">
        <f t="shared" si="34"/>
        <v>#REF!</v>
      </c>
      <c r="O108" s="1" t="e">
        <f>SUMIFS(#REF!,#REF!,
 $A108,#REF!,
 "&gt;="&amp;INT($Q$1),#REF!,
 "&lt;="&amp;INT($R$1)
)</f>
        <v>#REF!</v>
      </c>
      <c r="P108" s="1" t="e">
        <f t="shared" si="35"/>
        <v>#REF!</v>
      </c>
      <c r="Q108" s="9" t="e">
        <f t="shared" si="36"/>
        <v>#REF!</v>
      </c>
      <c r="R108" s="10" t="e">
        <f t="shared" si="37"/>
        <v>#REF!</v>
      </c>
      <c r="S108" s="1" t="e">
        <f>SUMIFS(#REF!,#REF!,
 $A108,#REF!,
 "&gt;="&amp;INT($U$1),#REF!,
 "&lt;="&amp;INT($V$1)
)</f>
        <v>#REF!</v>
      </c>
      <c r="T108" s="1" t="e">
        <f t="shared" si="38"/>
        <v>#REF!</v>
      </c>
      <c r="U108" s="9" t="e">
        <f t="shared" si="39"/>
        <v>#REF!</v>
      </c>
      <c r="V108" s="10" t="e">
        <f t="shared" si="40"/>
        <v>#REF!</v>
      </c>
      <c r="W108" s="1" t="e">
        <f>SUMIFS(#REF!,#REF!,
 $A108,#REF!,
 "&gt;="&amp;INT($Y$1),#REF!,
 "&lt;="&amp;INT($Z$1)
)</f>
        <v>#REF!</v>
      </c>
      <c r="X108" s="1" t="e">
        <f t="shared" si="41"/>
        <v>#REF!</v>
      </c>
      <c r="Y108" s="9" t="e">
        <f t="shared" si="42"/>
        <v>#REF!</v>
      </c>
      <c r="Z108" s="10" t="e">
        <f t="shared" si="43"/>
        <v>#REF!</v>
      </c>
      <c r="AA108" s="1" t="e">
        <f>SUMIFS(#REF!,#REF!,
 $A108,#REF!,
 "&gt;="&amp;INT($AC$1),#REF!,
 "&lt;="&amp;INT($AD$1)
)</f>
        <v>#REF!</v>
      </c>
      <c r="AB108" s="1" t="e">
        <f t="shared" si="44"/>
        <v>#REF!</v>
      </c>
      <c r="AC108" s="9" t="e">
        <f t="shared" si="45"/>
        <v>#REF!</v>
      </c>
      <c r="AD108" s="10" t="e">
        <f t="shared" si="46"/>
        <v>#REF!</v>
      </c>
      <c r="AE108" s="1" t="e">
        <f>SUMIFS(#REF!,#REF!,
 $A108,#REF!,
 "&gt;="&amp;INT($AG$1),#REF!,
 "&lt;="&amp;INT($AH$1)
)</f>
        <v>#REF!</v>
      </c>
      <c r="AF108" s="1" t="e">
        <f t="shared" si="47"/>
        <v>#REF!</v>
      </c>
      <c r="AG108" s="9" t="e">
        <f t="shared" si="48"/>
        <v>#REF!</v>
      </c>
      <c r="AH108" s="10" t="e">
        <f t="shared" si="49"/>
        <v>#REF!</v>
      </c>
      <c r="AI108" s="1" t="e">
        <f>SUMIFS(#REF!,#REF!,
 $A108,#REF!,
 "&gt;="&amp;INT($AK$1),#REF!,
 "&lt;="&amp;INT($AL$1)
)</f>
        <v>#REF!</v>
      </c>
      <c r="AJ108" s="1" t="e">
        <f t="shared" si="50"/>
        <v>#REF!</v>
      </c>
      <c r="AK108" s="9" t="e">
        <f t="shared" si="51"/>
        <v>#REF!</v>
      </c>
      <c r="AL108" s="10" t="e">
        <f t="shared" si="52"/>
        <v>#REF!</v>
      </c>
      <c r="AM108" s="1" t="e">
        <f>SUMIFS(#REF!,#REF!,
 $A108,#REF!,
 "&gt;="&amp;INT($AO$1),#REF!,
 "&lt;="&amp;INT($AP$1)
)</f>
        <v>#REF!</v>
      </c>
      <c r="AN108" s="1" t="e">
        <f t="shared" si="53"/>
        <v>#REF!</v>
      </c>
      <c r="AO108" s="9" t="e">
        <f t="shared" si="54"/>
        <v>#REF!</v>
      </c>
      <c r="AP108" s="10" t="e">
        <f t="shared" si="55"/>
        <v>#REF!</v>
      </c>
      <c r="AQ108" s="1" t="e">
        <f>SUMIFS(#REF!,#REF!,
 $A108,#REF!,
 "&gt;="&amp;INT($AS$1),#REF!,
 "&lt;="&amp;INT($AT$1)
)</f>
        <v>#REF!</v>
      </c>
      <c r="AR108" s="1" t="e">
        <f t="shared" si="56"/>
        <v>#REF!</v>
      </c>
      <c r="AS108" s="9" t="e">
        <f t="shared" si="57"/>
        <v>#REF!</v>
      </c>
      <c r="AT108" s="10" t="e">
        <f t="shared" si="58"/>
        <v>#REF!</v>
      </c>
      <c r="AU108" s="1" t="e">
        <f>SUMIFS(#REF!,#REF!,
 $A108,#REF!,
 "&gt;="&amp;INT($AW$1),#REF!,
 "&lt;="&amp;INT($AX$1)
)</f>
        <v>#REF!</v>
      </c>
      <c r="AV108" s="1" t="e">
        <f t="shared" si="59"/>
        <v>#REF!</v>
      </c>
      <c r="AW108" s="9" t="e">
        <f t="shared" si="60"/>
        <v>#REF!</v>
      </c>
      <c r="AX108" s="10" t="e">
        <f t="shared" si="61"/>
        <v>#REF!</v>
      </c>
    </row>
    <row r="109" spans="1:50" x14ac:dyDescent="0.25">
      <c r="A109" s="5">
        <v>217012</v>
      </c>
      <c r="B109" s="6" t="s">
        <v>106</v>
      </c>
      <c r="C109" s="1" t="e">
        <f>SUMIFS(#REF!,#REF!,
 $A109,#REF!,
 "&gt;="&amp;INT($E$1),#REF!,
 "&lt;"&amp;INT($F$1+1)
)</f>
        <v>#REF!</v>
      </c>
      <c r="D109" s="1" t="str">
        <f>""</f>
        <v/>
      </c>
      <c r="F109" s="2"/>
      <c r="G109" s="1" t="e">
        <f>SUMIFS(#REF!,#REF!,
 $A109,#REF!,
 "&gt;="&amp;INT($I$1),#REF!,
 "&lt;"&amp;INT($J$1+1)
)</f>
        <v>#REF!</v>
      </c>
      <c r="H109" s="1" t="e">
        <f t="shared" si="31"/>
        <v>#REF!</v>
      </c>
      <c r="I109" s="1"/>
      <c r="J109" s="2"/>
      <c r="K109" s="1" t="e">
        <f>SUMIFS(#REF!,#REF!,
 $A109,#REF!,
 "&gt;="&amp;INT($M$1),#REF!,
 "&lt;"&amp;INT($N$1+1)
)</f>
        <v>#REF!</v>
      </c>
      <c r="L109" s="1" t="e">
        <f t="shared" si="32"/>
        <v>#REF!</v>
      </c>
      <c r="M109" s="9" t="e">
        <f t="shared" si="33"/>
        <v>#REF!</v>
      </c>
      <c r="N109" s="10" t="e">
        <f t="shared" si="34"/>
        <v>#REF!</v>
      </c>
      <c r="O109" s="1" t="e">
        <f>SUMIFS(#REF!,#REF!,
 $A109,#REF!,
 "&gt;="&amp;INT($Q$1),#REF!,
 "&lt;="&amp;INT($R$1)
)</f>
        <v>#REF!</v>
      </c>
      <c r="P109" s="1" t="e">
        <f t="shared" si="35"/>
        <v>#REF!</v>
      </c>
      <c r="Q109" s="9" t="e">
        <f t="shared" si="36"/>
        <v>#REF!</v>
      </c>
      <c r="R109" s="10" t="e">
        <f t="shared" si="37"/>
        <v>#REF!</v>
      </c>
      <c r="S109" s="1" t="e">
        <f>SUMIFS(#REF!,#REF!,
 $A109,#REF!,
 "&gt;="&amp;INT($U$1),#REF!,
 "&lt;="&amp;INT($V$1)
)</f>
        <v>#REF!</v>
      </c>
      <c r="T109" s="1" t="e">
        <f t="shared" si="38"/>
        <v>#REF!</v>
      </c>
      <c r="U109" s="9" t="e">
        <f t="shared" si="39"/>
        <v>#REF!</v>
      </c>
      <c r="V109" s="10" t="e">
        <f t="shared" si="40"/>
        <v>#REF!</v>
      </c>
      <c r="W109" s="1" t="e">
        <f>SUMIFS(#REF!,#REF!,
 $A109,#REF!,
 "&gt;="&amp;INT($Y$1),#REF!,
 "&lt;="&amp;INT($Z$1)
)</f>
        <v>#REF!</v>
      </c>
      <c r="X109" s="1" t="e">
        <f t="shared" si="41"/>
        <v>#REF!</v>
      </c>
      <c r="Y109" s="9" t="e">
        <f t="shared" si="42"/>
        <v>#REF!</v>
      </c>
      <c r="Z109" s="10" t="e">
        <f t="shared" si="43"/>
        <v>#REF!</v>
      </c>
      <c r="AA109" s="1" t="e">
        <f>SUMIFS(#REF!,#REF!,
 $A109,#REF!,
 "&gt;="&amp;INT($AC$1),#REF!,
 "&lt;="&amp;INT($AD$1)
)</f>
        <v>#REF!</v>
      </c>
      <c r="AB109" s="1" t="e">
        <f t="shared" si="44"/>
        <v>#REF!</v>
      </c>
      <c r="AC109" s="9" t="e">
        <f t="shared" si="45"/>
        <v>#REF!</v>
      </c>
      <c r="AD109" s="10" t="e">
        <f t="shared" si="46"/>
        <v>#REF!</v>
      </c>
      <c r="AE109" s="1" t="e">
        <f>SUMIFS(#REF!,#REF!,
 $A109,#REF!,
 "&gt;="&amp;INT($AG$1),#REF!,
 "&lt;="&amp;INT($AH$1)
)</f>
        <v>#REF!</v>
      </c>
      <c r="AF109" s="1" t="e">
        <f t="shared" si="47"/>
        <v>#REF!</v>
      </c>
      <c r="AG109" s="9" t="e">
        <f t="shared" si="48"/>
        <v>#REF!</v>
      </c>
      <c r="AH109" s="10" t="e">
        <f t="shared" si="49"/>
        <v>#REF!</v>
      </c>
      <c r="AI109" s="1" t="e">
        <f>SUMIFS(#REF!,#REF!,
 $A109,#REF!,
 "&gt;="&amp;INT($AK$1),#REF!,
 "&lt;="&amp;INT($AL$1)
)</f>
        <v>#REF!</v>
      </c>
      <c r="AJ109" s="1" t="e">
        <f t="shared" si="50"/>
        <v>#REF!</v>
      </c>
      <c r="AK109" s="9" t="e">
        <f t="shared" si="51"/>
        <v>#REF!</v>
      </c>
      <c r="AL109" s="10" t="e">
        <f t="shared" si="52"/>
        <v>#REF!</v>
      </c>
      <c r="AM109" s="1" t="e">
        <f>SUMIFS(#REF!,#REF!,
 $A109,#REF!,
 "&gt;="&amp;INT($AO$1),#REF!,
 "&lt;="&amp;INT($AP$1)
)</f>
        <v>#REF!</v>
      </c>
      <c r="AN109" s="1" t="e">
        <f t="shared" si="53"/>
        <v>#REF!</v>
      </c>
      <c r="AO109" s="9" t="e">
        <f t="shared" si="54"/>
        <v>#REF!</v>
      </c>
      <c r="AP109" s="10" t="e">
        <f t="shared" si="55"/>
        <v>#REF!</v>
      </c>
      <c r="AQ109" s="1" t="e">
        <f>SUMIFS(#REF!,#REF!,
 $A109,#REF!,
 "&gt;="&amp;INT($AS$1),#REF!,
 "&lt;="&amp;INT($AT$1)
)</f>
        <v>#REF!</v>
      </c>
      <c r="AR109" s="1" t="e">
        <f t="shared" si="56"/>
        <v>#REF!</v>
      </c>
      <c r="AS109" s="9" t="e">
        <f t="shared" si="57"/>
        <v>#REF!</v>
      </c>
      <c r="AT109" s="10" t="e">
        <f t="shared" si="58"/>
        <v>#REF!</v>
      </c>
      <c r="AU109" s="1" t="e">
        <f>SUMIFS(#REF!,#REF!,
 $A109,#REF!,
 "&gt;="&amp;INT($AW$1),#REF!,
 "&lt;="&amp;INT($AX$1)
)</f>
        <v>#REF!</v>
      </c>
      <c r="AV109" s="1" t="e">
        <f t="shared" si="59"/>
        <v>#REF!</v>
      </c>
      <c r="AW109" s="9" t="e">
        <f t="shared" si="60"/>
        <v>#REF!</v>
      </c>
      <c r="AX109" s="10" t="e">
        <f t="shared" si="61"/>
        <v>#REF!</v>
      </c>
    </row>
    <row r="110" spans="1:50" x14ac:dyDescent="0.25">
      <c r="A110" s="5">
        <v>217018</v>
      </c>
      <c r="B110" s="6" t="s">
        <v>107</v>
      </c>
      <c r="C110" s="1" t="e">
        <f>SUMIFS(#REF!,#REF!,
 $A110,#REF!,
 "&gt;="&amp;INT($E$1),#REF!,
 "&lt;"&amp;INT($F$1+1)
)</f>
        <v>#REF!</v>
      </c>
      <c r="D110" s="1" t="str">
        <f>""</f>
        <v/>
      </c>
      <c r="F110" s="2"/>
      <c r="G110" s="1" t="e">
        <f>SUMIFS(#REF!,#REF!,
 $A110,#REF!,
 "&gt;="&amp;INT($I$1),#REF!,
 "&lt;"&amp;INT($J$1+1)
)</f>
        <v>#REF!</v>
      </c>
      <c r="H110" s="1" t="e">
        <f t="shared" si="31"/>
        <v>#REF!</v>
      </c>
      <c r="I110" s="1"/>
      <c r="J110" s="2"/>
      <c r="K110" s="1" t="e">
        <f>SUMIFS(#REF!,#REF!,
 $A110,#REF!,
 "&gt;="&amp;INT($M$1),#REF!,
 "&lt;"&amp;INT($N$1+1)
)</f>
        <v>#REF!</v>
      </c>
      <c r="L110" s="1" t="e">
        <f t="shared" si="32"/>
        <v>#REF!</v>
      </c>
      <c r="M110" s="9" t="e">
        <f t="shared" si="33"/>
        <v>#REF!</v>
      </c>
      <c r="N110" s="10" t="e">
        <f t="shared" si="34"/>
        <v>#REF!</v>
      </c>
      <c r="O110" s="1" t="e">
        <f>SUMIFS(#REF!,#REF!,
 $A110,#REF!,
 "&gt;="&amp;INT($Q$1),#REF!,
 "&lt;="&amp;INT($R$1)
)</f>
        <v>#REF!</v>
      </c>
      <c r="P110" s="1" t="e">
        <f t="shared" si="35"/>
        <v>#REF!</v>
      </c>
      <c r="Q110" s="9" t="e">
        <f t="shared" si="36"/>
        <v>#REF!</v>
      </c>
      <c r="R110" s="10" t="e">
        <f t="shared" si="37"/>
        <v>#REF!</v>
      </c>
      <c r="S110" s="1" t="e">
        <f>SUMIFS(#REF!,#REF!,
 $A110,#REF!,
 "&gt;="&amp;INT($U$1),#REF!,
 "&lt;="&amp;INT($V$1)
)</f>
        <v>#REF!</v>
      </c>
      <c r="T110" s="1" t="e">
        <f t="shared" si="38"/>
        <v>#REF!</v>
      </c>
      <c r="U110" s="9" t="e">
        <f t="shared" si="39"/>
        <v>#REF!</v>
      </c>
      <c r="V110" s="10" t="e">
        <f t="shared" si="40"/>
        <v>#REF!</v>
      </c>
      <c r="W110" s="1" t="e">
        <f>SUMIFS(#REF!,#REF!,
 $A110,#REF!,
 "&gt;="&amp;INT($Y$1),#REF!,
 "&lt;="&amp;INT($Z$1)
)</f>
        <v>#REF!</v>
      </c>
      <c r="X110" s="1" t="e">
        <f t="shared" si="41"/>
        <v>#REF!</v>
      </c>
      <c r="Y110" s="9" t="e">
        <f t="shared" si="42"/>
        <v>#REF!</v>
      </c>
      <c r="Z110" s="10" t="e">
        <f t="shared" si="43"/>
        <v>#REF!</v>
      </c>
      <c r="AA110" s="1" t="e">
        <f>SUMIFS(#REF!,#REF!,
 $A110,#REF!,
 "&gt;="&amp;INT($AC$1),#REF!,
 "&lt;="&amp;INT($AD$1)
)</f>
        <v>#REF!</v>
      </c>
      <c r="AB110" s="1" t="e">
        <f t="shared" si="44"/>
        <v>#REF!</v>
      </c>
      <c r="AC110" s="9" t="e">
        <f t="shared" si="45"/>
        <v>#REF!</v>
      </c>
      <c r="AD110" s="10" t="e">
        <f t="shared" si="46"/>
        <v>#REF!</v>
      </c>
      <c r="AE110" s="1" t="e">
        <f>SUMIFS(#REF!,#REF!,
 $A110,#REF!,
 "&gt;="&amp;INT($AG$1),#REF!,
 "&lt;="&amp;INT($AH$1)
)</f>
        <v>#REF!</v>
      </c>
      <c r="AF110" s="1" t="e">
        <f t="shared" si="47"/>
        <v>#REF!</v>
      </c>
      <c r="AG110" s="9" t="e">
        <f t="shared" si="48"/>
        <v>#REF!</v>
      </c>
      <c r="AH110" s="10" t="e">
        <f t="shared" si="49"/>
        <v>#REF!</v>
      </c>
      <c r="AI110" s="1" t="e">
        <f>SUMIFS(#REF!,#REF!,
 $A110,#REF!,
 "&gt;="&amp;INT($AK$1),#REF!,
 "&lt;="&amp;INT($AL$1)
)</f>
        <v>#REF!</v>
      </c>
      <c r="AJ110" s="1" t="e">
        <f t="shared" si="50"/>
        <v>#REF!</v>
      </c>
      <c r="AK110" s="9" t="e">
        <f t="shared" si="51"/>
        <v>#REF!</v>
      </c>
      <c r="AL110" s="10" t="e">
        <f t="shared" si="52"/>
        <v>#REF!</v>
      </c>
      <c r="AM110" s="1" t="e">
        <f>SUMIFS(#REF!,#REF!,
 $A110,#REF!,
 "&gt;="&amp;INT($AO$1),#REF!,
 "&lt;="&amp;INT($AP$1)
)</f>
        <v>#REF!</v>
      </c>
      <c r="AN110" s="1" t="e">
        <f t="shared" si="53"/>
        <v>#REF!</v>
      </c>
      <c r="AO110" s="9" t="e">
        <f t="shared" si="54"/>
        <v>#REF!</v>
      </c>
      <c r="AP110" s="10" t="e">
        <f t="shared" si="55"/>
        <v>#REF!</v>
      </c>
      <c r="AQ110" s="1" t="e">
        <f>SUMIFS(#REF!,#REF!,
 $A110,#REF!,
 "&gt;="&amp;INT($AS$1),#REF!,
 "&lt;="&amp;INT($AT$1)
)</f>
        <v>#REF!</v>
      </c>
      <c r="AR110" s="1" t="e">
        <f t="shared" si="56"/>
        <v>#REF!</v>
      </c>
      <c r="AS110" s="9" t="e">
        <f t="shared" si="57"/>
        <v>#REF!</v>
      </c>
      <c r="AT110" s="10" t="e">
        <f t="shared" si="58"/>
        <v>#REF!</v>
      </c>
      <c r="AU110" s="1" t="e">
        <f>SUMIFS(#REF!,#REF!,
 $A110,#REF!,
 "&gt;="&amp;INT($AW$1),#REF!,
 "&lt;="&amp;INT($AX$1)
)</f>
        <v>#REF!</v>
      </c>
      <c r="AV110" s="1" t="e">
        <f t="shared" si="59"/>
        <v>#REF!</v>
      </c>
      <c r="AW110" s="9" t="e">
        <f t="shared" si="60"/>
        <v>#REF!</v>
      </c>
      <c r="AX110" s="10" t="e">
        <f t="shared" si="61"/>
        <v>#REF!</v>
      </c>
    </row>
    <row r="111" spans="1:50" x14ac:dyDescent="0.25">
      <c r="A111" s="5">
        <v>217019</v>
      </c>
      <c r="B111" s="6" t="s">
        <v>108</v>
      </c>
      <c r="C111" s="1" t="e">
        <f>SUMIFS(#REF!,#REF!,
 $A111,#REF!,
 "&gt;="&amp;INT($E$1),#REF!,
 "&lt;"&amp;INT($F$1+1)
)</f>
        <v>#REF!</v>
      </c>
      <c r="D111" s="1" t="str">
        <f>""</f>
        <v/>
      </c>
      <c r="F111" s="2"/>
      <c r="G111" s="1" t="e">
        <f>SUMIFS(#REF!,#REF!,
 $A111,#REF!,
 "&gt;="&amp;INT($I$1),#REF!,
 "&lt;"&amp;INT($J$1+1)
)</f>
        <v>#REF!</v>
      </c>
      <c r="H111" s="1" t="e">
        <f t="shared" si="31"/>
        <v>#REF!</v>
      </c>
      <c r="I111" s="1"/>
      <c r="J111" s="2"/>
      <c r="K111" s="1" t="e">
        <f>SUMIFS(#REF!,#REF!,
 $A111,#REF!,
 "&gt;="&amp;INT($M$1),#REF!,
 "&lt;"&amp;INT($N$1+1)
)</f>
        <v>#REF!</v>
      </c>
      <c r="L111" s="1" t="e">
        <f t="shared" si="32"/>
        <v>#REF!</v>
      </c>
      <c r="M111" s="9" t="e">
        <f t="shared" si="33"/>
        <v>#REF!</v>
      </c>
      <c r="N111" s="10" t="e">
        <f t="shared" si="34"/>
        <v>#REF!</v>
      </c>
      <c r="O111" s="1" t="e">
        <f>SUMIFS(#REF!,#REF!,
 $A111,#REF!,
 "&gt;="&amp;INT($Q$1),#REF!,
 "&lt;="&amp;INT($R$1)
)</f>
        <v>#REF!</v>
      </c>
      <c r="P111" s="1" t="e">
        <f t="shared" si="35"/>
        <v>#REF!</v>
      </c>
      <c r="Q111" s="9" t="e">
        <f t="shared" si="36"/>
        <v>#REF!</v>
      </c>
      <c r="R111" s="10" t="e">
        <f t="shared" si="37"/>
        <v>#REF!</v>
      </c>
      <c r="S111" s="1" t="e">
        <f>SUMIFS(#REF!,#REF!,
 $A111,#REF!,
 "&gt;="&amp;INT($U$1),#REF!,
 "&lt;="&amp;INT($V$1)
)</f>
        <v>#REF!</v>
      </c>
      <c r="T111" s="1" t="e">
        <f t="shared" si="38"/>
        <v>#REF!</v>
      </c>
      <c r="U111" s="9" t="e">
        <f t="shared" si="39"/>
        <v>#REF!</v>
      </c>
      <c r="V111" s="10" t="e">
        <f t="shared" si="40"/>
        <v>#REF!</v>
      </c>
      <c r="W111" s="1" t="e">
        <f>SUMIFS(#REF!,#REF!,
 $A111,#REF!,
 "&gt;="&amp;INT($Y$1),#REF!,
 "&lt;="&amp;INT($Z$1)
)</f>
        <v>#REF!</v>
      </c>
      <c r="X111" s="1" t="e">
        <f t="shared" si="41"/>
        <v>#REF!</v>
      </c>
      <c r="Y111" s="9" t="e">
        <f t="shared" si="42"/>
        <v>#REF!</v>
      </c>
      <c r="Z111" s="10" t="e">
        <f t="shared" si="43"/>
        <v>#REF!</v>
      </c>
      <c r="AA111" s="1" t="e">
        <f>SUMIFS(#REF!,#REF!,
 $A111,#REF!,
 "&gt;="&amp;INT($AC$1),#REF!,
 "&lt;="&amp;INT($AD$1)
)</f>
        <v>#REF!</v>
      </c>
      <c r="AB111" s="1" t="e">
        <f t="shared" si="44"/>
        <v>#REF!</v>
      </c>
      <c r="AC111" s="9" t="e">
        <f t="shared" si="45"/>
        <v>#REF!</v>
      </c>
      <c r="AD111" s="10" t="e">
        <f t="shared" si="46"/>
        <v>#REF!</v>
      </c>
      <c r="AE111" s="1" t="e">
        <f>SUMIFS(#REF!,#REF!,
 $A111,#REF!,
 "&gt;="&amp;INT($AG$1),#REF!,
 "&lt;="&amp;INT($AH$1)
)</f>
        <v>#REF!</v>
      </c>
      <c r="AF111" s="1" t="e">
        <f t="shared" si="47"/>
        <v>#REF!</v>
      </c>
      <c r="AG111" s="9" t="e">
        <f t="shared" si="48"/>
        <v>#REF!</v>
      </c>
      <c r="AH111" s="10" t="e">
        <f t="shared" si="49"/>
        <v>#REF!</v>
      </c>
      <c r="AI111" s="1" t="e">
        <f>SUMIFS(#REF!,#REF!,
 $A111,#REF!,
 "&gt;="&amp;INT($AK$1),#REF!,
 "&lt;="&amp;INT($AL$1)
)</f>
        <v>#REF!</v>
      </c>
      <c r="AJ111" s="1" t="e">
        <f t="shared" si="50"/>
        <v>#REF!</v>
      </c>
      <c r="AK111" s="9" t="e">
        <f t="shared" si="51"/>
        <v>#REF!</v>
      </c>
      <c r="AL111" s="10" t="e">
        <f t="shared" si="52"/>
        <v>#REF!</v>
      </c>
      <c r="AM111" s="1" t="e">
        <f>SUMIFS(#REF!,#REF!,
 $A111,#REF!,
 "&gt;="&amp;INT($AO$1),#REF!,
 "&lt;="&amp;INT($AP$1)
)</f>
        <v>#REF!</v>
      </c>
      <c r="AN111" s="1" t="e">
        <f t="shared" si="53"/>
        <v>#REF!</v>
      </c>
      <c r="AO111" s="9" t="e">
        <f t="shared" si="54"/>
        <v>#REF!</v>
      </c>
      <c r="AP111" s="10" t="e">
        <f t="shared" si="55"/>
        <v>#REF!</v>
      </c>
      <c r="AQ111" s="1" t="e">
        <f>SUMIFS(#REF!,#REF!,
 $A111,#REF!,
 "&gt;="&amp;INT($AS$1),#REF!,
 "&lt;="&amp;INT($AT$1)
)</f>
        <v>#REF!</v>
      </c>
      <c r="AR111" s="1" t="e">
        <f t="shared" si="56"/>
        <v>#REF!</v>
      </c>
      <c r="AS111" s="9" t="e">
        <f t="shared" si="57"/>
        <v>#REF!</v>
      </c>
      <c r="AT111" s="10" t="e">
        <f t="shared" si="58"/>
        <v>#REF!</v>
      </c>
      <c r="AU111" s="1" t="e">
        <f>SUMIFS(#REF!,#REF!,
 $A111,#REF!,
 "&gt;="&amp;INT($AW$1),#REF!,
 "&lt;="&amp;INT($AX$1)
)</f>
        <v>#REF!</v>
      </c>
      <c r="AV111" s="1" t="e">
        <f t="shared" si="59"/>
        <v>#REF!</v>
      </c>
      <c r="AW111" s="9" t="e">
        <f t="shared" si="60"/>
        <v>#REF!</v>
      </c>
      <c r="AX111" s="10" t="e">
        <f t="shared" si="61"/>
        <v>#REF!</v>
      </c>
    </row>
    <row r="112" spans="1:50" x14ac:dyDescent="0.25">
      <c r="A112" s="5">
        <v>217020</v>
      </c>
      <c r="B112" s="6" t="s">
        <v>109</v>
      </c>
      <c r="C112" s="1" t="e">
        <f>SUMIFS(#REF!,#REF!,
 $A112,#REF!,
 "&gt;="&amp;INT($E$1),#REF!,
 "&lt;"&amp;INT($F$1+1)
)</f>
        <v>#REF!</v>
      </c>
      <c r="D112" s="1" t="str">
        <f>""</f>
        <v/>
      </c>
      <c r="F112" s="2"/>
      <c r="G112" s="1" t="e">
        <f>SUMIFS(#REF!,#REF!,
 $A112,#REF!,
 "&gt;="&amp;INT($I$1),#REF!,
 "&lt;"&amp;INT($J$1+1)
)</f>
        <v>#REF!</v>
      </c>
      <c r="H112" s="1" t="e">
        <f t="shared" si="31"/>
        <v>#REF!</v>
      </c>
      <c r="I112" s="1"/>
      <c r="J112" s="2"/>
      <c r="K112" s="1" t="e">
        <f>SUMIFS(#REF!,#REF!,
 $A112,#REF!,
 "&gt;="&amp;INT($M$1),#REF!,
 "&lt;"&amp;INT($N$1+1)
)</f>
        <v>#REF!</v>
      </c>
      <c r="L112" s="1" t="e">
        <f t="shared" si="32"/>
        <v>#REF!</v>
      </c>
      <c r="M112" s="9" t="e">
        <f t="shared" si="33"/>
        <v>#REF!</v>
      </c>
      <c r="N112" s="10" t="e">
        <f t="shared" si="34"/>
        <v>#REF!</v>
      </c>
      <c r="O112" s="1" t="e">
        <f>SUMIFS(#REF!,#REF!,
 $A112,#REF!,
 "&gt;="&amp;INT($Q$1),#REF!,
 "&lt;="&amp;INT($R$1)
)</f>
        <v>#REF!</v>
      </c>
      <c r="P112" s="1" t="e">
        <f t="shared" si="35"/>
        <v>#REF!</v>
      </c>
      <c r="Q112" s="9" t="e">
        <f t="shared" si="36"/>
        <v>#REF!</v>
      </c>
      <c r="R112" s="10" t="e">
        <f t="shared" si="37"/>
        <v>#REF!</v>
      </c>
      <c r="S112" s="1" t="e">
        <f>SUMIFS(#REF!,#REF!,
 $A112,#REF!,
 "&gt;="&amp;INT($U$1),#REF!,
 "&lt;="&amp;INT($V$1)
)</f>
        <v>#REF!</v>
      </c>
      <c r="T112" s="1" t="e">
        <f t="shared" si="38"/>
        <v>#REF!</v>
      </c>
      <c r="U112" s="9" t="e">
        <f t="shared" si="39"/>
        <v>#REF!</v>
      </c>
      <c r="V112" s="10" t="e">
        <f t="shared" si="40"/>
        <v>#REF!</v>
      </c>
      <c r="W112" s="1" t="e">
        <f>SUMIFS(#REF!,#REF!,
 $A112,#REF!,
 "&gt;="&amp;INT($Y$1),#REF!,
 "&lt;="&amp;INT($Z$1)
)</f>
        <v>#REF!</v>
      </c>
      <c r="X112" s="1" t="e">
        <f t="shared" si="41"/>
        <v>#REF!</v>
      </c>
      <c r="Y112" s="9" t="e">
        <f t="shared" si="42"/>
        <v>#REF!</v>
      </c>
      <c r="Z112" s="10" t="e">
        <f t="shared" si="43"/>
        <v>#REF!</v>
      </c>
      <c r="AA112" s="1" t="e">
        <f>SUMIFS(#REF!,#REF!,
 $A112,#REF!,
 "&gt;="&amp;INT($AC$1),#REF!,
 "&lt;="&amp;INT($AD$1)
)</f>
        <v>#REF!</v>
      </c>
      <c r="AB112" s="1" t="e">
        <f t="shared" si="44"/>
        <v>#REF!</v>
      </c>
      <c r="AC112" s="9" t="e">
        <f t="shared" si="45"/>
        <v>#REF!</v>
      </c>
      <c r="AD112" s="10" t="e">
        <f t="shared" si="46"/>
        <v>#REF!</v>
      </c>
      <c r="AE112" s="1" t="e">
        <f>SUMIFS(#REF!,#REF!,
 $A112,#REF!,
 "&gt;="&amp;INT($AG$1),#REF!,
 "&lt;="&amp;INT($AH$1)
)</f>
        <v>#REF!</v>
      </c>
      <c r="AF112" s="1" t="e">
        <f t="shared" si="47"/>
        <v>#REF!</v>
      </c>
      <c r="AG112" s="9" t="e">
        <f t="shared" si="48"/>
        <v>#REF!</v>
      </c>
      <c r="AH112" s="10" t="e">
        <f t="shared" si="49"/>
        <v>#REF!</v>
      </c>
      <c r="AI112" s="1" t="e">
        <f>SUMIFS(#REF!,#REF!,
 $A112,#REF!,
 "&gt;="&amp;INT($AK$1),#REF!,
 "&lt;="&amp;INT($AL$1)
)</f>
        <v>#REF!</v>
      </c>
      <c r="AJ112" s="1" t="e">
        <f t="shared" si="50"/>
        <v>#REF!</v>
      </c>
      <c r="AK112" s="9" t="e">
        <f t="shared" si="51"/>
        <v>#REF!</v>
      </c>
      <c r="AL112" s="10" t="e">
        <f t="shared" si="52"/>
        <v>#REF!</v>
      </c>
      <c r="AM112" s="1" t="e">
        <f>SUMIFS(#REF!,#REF!,
 $A112,#REF!,
 "&gt;="&amp;INT($AO$1),#REF!,
 "&lt;="&amp;INT($AP$1)
)</f>
        <v>#REF!</v>
      </c>
      <c r="AN112" s="1" t="e">
        <f t="shared" si="53"/>
        <v>#REF!</v>
      </c>
      <c r="AO112" s="9" t="e">
        <f t="shared" si="54"/>
        <v>#REF!</v>
      </c>
      <c r="AP112" s="10" t="e">
        <f t="shared" si="55"/>
        <v>#REF!</v>
      </c>
      <c r="AQ112" s="1" t="e">
        <f>SUMIFS(#REF!,#REF!,
 $A112,#REF!,
 "&gt;="&amp;INT($AS$1),#REF!,
 "&lt;="&amp;INT($AT$1)
)</f>
        <v>#REF!</v>
      </c>
      <c r="AR112" s="1" t="e">
        <f t="shared" si="56"/>
        <v>#REF!</v>
      </c>
      <c r="AS112" s="9" t="e">
        <f t="shared" si="57"/>
        <v>#REF!</v>
      </c>
      <c r="AT112" s="10" t="e">
        <f t="shared" si="58"/>
        <v>#REF!</v>
      </c>
      <c r="AU112" s="1" t="e">
        <f>SUMIFS(#REF!,#REF!,
 $A112,#REF!,
 "&gt;="&amp;INT($AW$1),#REF!,
 "&lt;="&amp;INT($AX$1)
)</f>
        <v>#REF!</v>
      </c>
      <c r="AV112" s="1" t="e">
        <f t="shared" si="59"/>
        <v>#REF!</v>
      </c>
      <c r="AW112" s="9" t="e">
        <f t="shared" si="60"/>
        <v>#REF!</v>
      </c>
      <c r="AX112" s="10" t="e">
        <f t="shared" si="61"/>
        <v>#REF!</v>
      </c>
    </row>
    <row r="113" spans="1:50" x14ac:dyDescent="0.25">
      <c r="A113" s="5">
        <v>217021</v>
      </c>
      <c r="B113" s="6" t="s">
        <v>110</v>
      </c>
      <c r="C113" s="1" t="e">
        <f>SUMIFS(#REF!,#REF!,
 $A113,#REF!,
 "&gt;="&amp;INT($E$1),#REF!,
 "&lt;"&amp;INT($F$1+1)
)</f>
        <v>#REF!</v>
      </c>
      <c r="D113" s="1" t="str">
        <f>""</f>
        <v/>
      </c>
      <c r="F113" s="2"/>
      <c r="G113" s="1" t="e">
        <f>SUMIFS(#REF!,#REF!,
 $A113,#REF!,
 "&gt;="&amp;INT($I$1),#REF!,
 "&lt;"&amp;INT($J$1+1)
)</f>
        <v>#REF!</v>
      </c>
      <c r="H113" s="1" t="e">
        <f t="shared" si="31"/>
        <v>#REF!</v>
      </c>
      <c r="I113" s="1"/>
      <c r="J113" s="2"/>
      <c r="K113" s="1" t="e">
        <f>SUMIFS(#REF!,#REF!,
 $A113,#REF!,
 "&gt;="&amp;INT($M$1),#REF!,
 "&lt;"&amp;INT($N$1+1)
)</f>
        <v>#REF!</v>
      </c>
      <c r="L113" s="1" t="e">
        <f t="shared" si="32"/>
        <v>#REF!</v>
      </c>
      <c r="M113" s="9" t="e">
        <f t="shared" si="33"/>
        <v>#REF!</v>
      </c>
      <c r="N113" s="10" t="e">
        <f t="shared" si="34"/>
        <v>#REF!</v>
      </c>
      <c r="O113" s="1" t="e">
        <f>SUMIFS(#REF!,#REF!,
 $A113,#REF!,
 "&gt;="&amp;INT($Q$1),#REF!,
 "&lt;="&amp;INT($R$1)
)</f>
        <v>#REF!</v>
      </c>
      <c r="P113" s="1" t="e">
        <f t="shared" si="35"/>
        <v>#REF!</v>
      </c>
      <c r="Q113" s="9" t="e">
        <f t="shared" si="36"/>
        <v>#REF!</v>
      </c>
      <c r="R113" s="10" t="e">
        <f t="shared" si="37"/>
        <v>#REF!</v>
      </c>
      <c r="S113" s="1" t="e">
        <f>SUMIFS(#REF!,#REF!,
 $A113,#REF!,
 "&gt;="&amp;INT($U$1),#REF!,
 "&lt;="&amp;INT($V$1)
)</f>
        <v>#REF!</v>
      </c>
      <c r="T113" s="1" t="e">
        <f t="shared" si="38"/>
        <v>#REF!</v>
      </c>
      <c r="U113" s="9" t="e">
        <f t="shared" si="39"/>
        <v>#REF!</v>
      </c>
      <c r="V113" s="10" t="e">
        <f t="shared" si="40"/>
        <v>#REF!</v>
      </c>
      <c r="W113" s="1" t="e">
        <f>SUMIFS(#REF!,#REF!,
 $A113,#REF!,
 "&gt;="&amp;INT($Y$1),#REF!,
 "&lt;="&amp;INT($Z$1)
)</f>
        <v>#REF!</v>
      </c>
      <c r="X113" s="1" t="e">
        <f t="shared" si="41"/>
        <v>#REF!</v>
      </c>
      <c r="Y113" s="9" t="e">
        <f t="shared" si="42"/>
        <v>#REF!</v>
      </c>
      <c r="Z113" s="10" t="e">
        <f t="shared" si="43"/>
        <v>#REF!</v>
      </c>
      <c r="AA113" s="1" t="e">
        <f>SUMIFS(#REF!,#REF!,
 $A113,#REF!,
 "&gt;="&amp;INT($AC$1),#REF!,
 "&lt;="&amp;INT($AD$1)
)</f>
        <v>#REF!</v>
      </c>
      <c r="AB113" s="1" t="e">
        <f t="shared" si="44"/>
        <v>#REF!</v>
      </c>
      <c r="AC113" s="9" t="e">
        <f t="shared" si="45"/>
        <v>#REF!</v>
      </c>
      <c r="AD113" s="10" t="e">
        <f t="shared" si="46"/>
        <v>#REF!</v>
      </c>
      <c r="AE113" s="1" t="e">
        <f>SUMIFS(#REF!,#REF!,
 $A113,#REF!,
 "&gt;="&amp;INT($AG$1),#REF!,
 "&lt;="&amp;INT($AH$1)
)</f>
        <v>#REF!</v>
      </c>
      <c r="AF113" s="1" t="e">
        <f t="shared" si="47"/>
        <v>#REF!</v>
      </c>
      <c r="AG113" s="9" t="e">
        <f t="shared" si="48"/>
        <v>#REF!</v>
      </c>
      <c r="AH113" s="10" t="e">
        <f t="shared" si="49"/>
        <v>#REF!</v>
      </c>
      <c r="AI113" s="1" t="e">
        <f>SUMIFS(#REF!,#REF!,
 $A113,#REF!,
 "&gt;="&amp;INT($AK$1),#REF!,
 "&lt;="&amp;INT($AL$1)
)</f>
        <v>#REF!</v>
      </c>
      <c r="AJ113" s="1" t="e">
        <f t="shared" si="50"/>
        <v>#REF!</v>
      </c>
      <c r="AK113" s="9" t="e">
        <f t="shared" si="51"/>
        <v>#REF!</v>
      </c>
      <c r="AL113" s="10" t="e">
        <f t="shared" si="52"/>
        <v>#REF!</v>
      </c>
      <c r="AM113" s="1" t="e">
        <f>SUMIFS(#REF!,#REF!,
 $A113,#REF!,
 "&gt;="&amp;INT($AO$1),#REF!,
 "&lt;="&amp;INT($AP$1)
)</f>
        <v>#REF!</v>
      </c>
      <c r="AN113" s="1" t="e">
        <f t="shared" si="53"/>
        <v>#REF!</v>
      </c>
      <c r="AO113" s="9" t="e">
        <f t="shared" si="54"/>
        <v>#REF!</v>
      </c>
      <c r="AP113" s="10" t="e">
        <f t="shared" si="55"/>
        <v>#REF!</v>
      </c>
      <c r="AQ113" s="1" t="e">
        <f>SUMIFS(#REF!,#REF!,
 $A113,#REF!,
 "&gt;="&amp;INT($AS$1),#REF!,
 "&lt;="&amp;INT($AT$1)
)</f>
        <v>#REF!</v>
      </c>
      <c r="AR113" s="1" t="e">
        <f t="shared" si="56"/>
        <v>#REF!</v>
      </c>
      <c r="AS113" s="9" t="e">
        <f t="shared" si="57"/>
        <v>#REF!</v>
      </c>
      <c r="AT113" s="10" t="e">
        <f t="shared" si="58"/>
        <v>#REF!</v>
      </c>
      <c r="AU113" s="1" t="e">
        <f>SUMIFS(#REF!,#REF!,
 $A113,#REF!,
 "&gt;="&amp;INT($AW$1),#REF!,
 "&lt;="&amp;INT($AX$1)
)</f>
        <v>#REF!</v>
      </c>
      <c r="AV113" s="1" t="e">
        <f t="shared" si="59"/>
        <v>#REF!</v>
      </c>
      <c r="AW113" s="9" t="e">
        <f t="shared" si="60"/>
        <v>#REF!</v>
      </c>
      <c r="AX113" s="10" t="e">
        <f t="shared" si="61"/>
        <v>#REF!</v>
      </c>
    </row>
    <row r="114" spans="1:50" x14ac:dyDescent="0.25">
      <c r="A114" s="5">
        <v>217022</v>
      </c>
      <c r="B114" s="6" t="s">
        <v>111</v>
      </c>
      <c r="C114" s="1" t="e">
        <f>SUMIFS(#REF!,#REF!,
 $A114,#REF!,
 "&gt;="&amp;INT($E$1),#REF!,
 "&lt;"&amp;INT($F$1+1)
)</f>
        <v>#REF!</v>
      </c>
      <c r="D114" s="1" t="str">
        <f>""</f>
        <v/>
      </c>
      <c r="F114" s="2"/>
      <c r="G114" s="1" t="e">
        <f>SUMIFS(#REF!,#REF!,
 $A114,#REF!,
 "&gt;="&amp;INT($I$1),#REF!,
 "&lt;"&amp;INT($J$1+1)
)</f>
        <v>#REF!</v>
      </c>
      <c r="H114" s="1" t="e">
        <f t="shared" si="31"/>
        <v>#REF!</v>
      </c>
      <c r="I114" s="1"/>
      <c r="J114" s="2"/>
      <c r="K114" s="1" t="e">
        <f>SUMIFS(#REF!,#REF!,
 $A114,#REF!,
 "&gt;="&amp;INT($M$1),#REF!,
 "&lt;"&amp;INT($N$1+1)
)</f>
        <v>#REF!</v>
      </c>
      <c r="L114" s="1" t="e">
        <f t="shared" si="32"/>
        <v>#REF!</v>
      </c>
      <c r="M114" s="9" t="e">
        <f t="shared" si="33"/>
        <v>#REF!</v>
      </c>
      <c r="N114" s="10" t="e">
        <f t="shared" si="34"/>
        <v>#REF!</v>
      </c>
      <c r="O114" s="1" t="e">
        <f>SUMIFS(#REF!,#REF!,
 $A114,#REF!,
 "&gt;="&amp;INT($Q$1),#REF!,
 "&lt;="&amp;INT($R$1)
)</f>
        <v>#REF!</v>
      </c>
      <c r="P114" s="1" t="e">
        <f t="shared" si="35"/>
        <v>#REF!</v>
      </c>
      <c r="Q114" s="9" t="e">
        <f t="shared" si="36"/>
        <v>#REF!</v>
      </c>
      <c r="R114" s="10" t="e">
        <f t="shared" si="37"/>
        <v>#REF!</v>
      </c>
      <c r="S114" s="1" t="e">
        <f>SUMIFS(#REF!,#REF!,
 $A114,#REF!,
 "&gt;="&amp;INT($U$1),#REF!,
 "&lt;="&amp;INT($V$1)
)</f>
        <v>#REF!</v>
      </c>
      <c r="T114" s="1" t="e">
        <f t="shared" si="38"/>
        <v>#REF!</v>
      </c>
      <c r="U114" s="9" t="e">
        <f t="shared" si="39"/>
        <v>#REF!</v>
      </c>
      <c r="V114" s="10" t="e">
        <f t="shared" si="40"/>
        <v>#REF!</v>
      </c>
      <c r="W114" s="1" t="e">
        <f>SUMIFS(#REF!,#REF!,
 $A114,#REF!,
 "&gt;="&amp;INT($Y$1),#REF!,
 "&lt;="&amp;INT($Z$1)
)</f>
        <v>#REF!</v>
      </c>
      <c r="X114" s="1" t="e">
        <f t="shared" si="41"/>
        <v>#REF!</v>
      </c>
      <c r="Y114" s="9" t="e">
        <f t="shared" si="42"/>
        <v>#REF!</v>
      </c>
      <c r="Z114" s="10" t="e">
        <f t="shared" si="43"/>
        <v>#REF!</v>
      </c>
      <c r="AA114" s="1" t="e">
        <f>SUMIFS(#REF!,#REF!,
 $A114,#REF!,
 "&gt;="&amp;INT($AC$1),#REF!,
 "&lt;="&amp;INT($AD$1)
)</f>
        <v>#REF!</v>
      </c>
      <c r="AB114" s="1" t="e">
        <f t="shared" si="44"/>
        <v>#REF!</v>
      </c>
      <c r="AC114" s="9" t="e">
        <f t="shared" si="45"/>
        <v>#REF!</v>
      </c>
      <c r="AD114" s="10" t="e">
        <f t="shared" si="46"/>
        <v>#REF!</v>
      </c>
      <c r="AE114" s="1" t="e">
        <f>SUMIFS(#REF!,#REF!,
 $A114,#REF!,
 "&gt;="&amp;INT($AG$1),#REF!,
 "&lt;="&amp;INT($AH$1)
)</f>
        <v>#REF!</v>
      </c>
      <c r="AF114" s="1" t="e">
        <f t="shared" si="47"/>
        <v>#REF!</v>
      </c>
      <c r="AG114" s="9" t="e">
        <f t="shared" si="48"/>
        <v>#REF!</v>
      </c>
      <c r="AH114" s="10" t="e">
        <f t="shared" si="49"/>
        <v>#REF!</v>
      </c>
      <c r="AI114" s="1" t="e">
        <f>SUMIFS(#REF!,#REF!,
 $A114,#REF!,
 "&gt;="&amp;INT($AK$1),#REF!,
 "&lt;="&amp;INT($AL$1)
)</f>
        <v>#REF!</v>
      </c>
      <c r="AJ114" s="1" t="e">
        <f t="shared" si="50"/>
        <v>#REF!</v>
      </c>
      <c r="AK114" s="9" t="e">
        <f t="shared" si="51"/>
        <v>#REF!</v>
      </c>
      <c r="AL114" s="10" t="e">
        <f t="shared" si="52"/>
        <v>#REF!</v>
      </c>
      <c r="AM114" s="1" t="e">
        <f>SUMIFS(#REF!,#REF!,
 $A114,#REF!,
 "&gt;="&amp;INT($AO$1),#REF!,
 "&lt;="&amp;INT($AP$1)
)</f>
        <v>#REF!</v>
      </c>
      <c r="AN114" s="1" t="e">
        <f t="shared" si="53"/>
        <v>#REF!</v>
      </c>
      <c r="AO114" s="9" t="e">
        <f t="shared" si="54"/>
        <v>#REF!</v>
      </c>
      <c r="AP114" s="10" t="e">
        <f t="shared" si="55"/>
        <v>#REF!</v>
      </c>
      <c r="AQ114" s="1" t="e">
        <f>SUMIFS(#REF!,#REF!,
 $A114,#REF!,
 "&gt;="&amp;INT($AS$1),#REF!,
 "&lt;="&amp;INT($AT$1)
)</f>
        <v>#REF!</v>
      </c>
      <c r="AR114" s="1" t="e">
        <f t="shared" si="56"/>
        <v>#REF!</v>
      </c>
      <c r="AS114" s="9" t="e">
        <f t="shared" si="57"/>
        <v>#REF!</v>
      </c>
      <c r="AT114" s="10" t="e">
        <f t="shared" si="58"/>
        <v>#REF!</v>
      </c>
      <c r="AU114" s="1" t="e">
        <f>SUMIFS(#REF!,#REF!,
 $A114,#REF!,
 "&gt;="&amp;INT($AW$1),#REF!,
 "&lt;="&amp;INT($AX$1)
)</f>
        <v>#REF!</v>
      </c>
      <c r="AV114" s="1" t="e">
        <f t="shared" si="59"/>
        <v>#REF!</v>
      </c>
      <c r="AW114" s="9" t="e">
        <f t="shared" si="60"/>
        <v>#REF!</v>
      </c>
      <c r="AX114" s="10" t="e">
        <f t="shared" si="61"/>
        <v>#REF!</v>
      </c>
    </row>
    <row r="115" spans="1:50" x14ac:dyDescent="0.25">
      <c r="A115" s="5">
        <v>217023</v>
      </c>
      <c r="B115" s="6" t="s">
        <v>112</v>
      </c>
      <c r="C115" s="1" t="e">
        <f>SUMIFS(#REF!,#REF!,
 $A115,#REF!,
 "&gt;="&amp;INT($E$1),#REF!,
 "&lt;"&amp;INT($F$1+1)
)</f>
        <v>#REF!</v>
      </c>
      <c r="D115" s="1" t="str">
        <f>""</f>
        <v/>
      </c>
      <c r="F115" s="2"/>
      <c r="G115" s="1" t="e">
        <f>SUMIFS(#REF!,#REF!,
 $A115,#REF!,
 "&gt;="&amp;INT($I$1),#REF!,
 "&lt;"&amp;INT($J$1+1)
)</f>
        <v>#REF!</v>
      </c>
      <c r="H115" s="1" t="e">
        <f t="shared" si="31"/>
        <v>#REF!</v>
      </c>
      <c r="I115" s="1"/>
      <c r="J115" s="2"/>
      <c r="K115" s="1" t="e">
        <f>SUMIFS(#REF!,#REF!,
 $A115,#REF!,
 "&gt;="&amp;INT($M$1),#REF!,
 "&lt;"&amp;INT($N$1+1)
)</f>
        <v>#REF!</v>
      </c>
      <c r="L115" s="1" t="e">
        <f t="shared" si="32"/>
        <v>#REF!</v>
      </c>
      <c r="M115" s="9" t="e">
        <f t="shared" si="33"/>
        <v>#REF!</v>
      </c>
      <c r="N115" s="10" t="e">
        <f t="shared" si="34"/>
        <v>#REF!</v>
      </c>
      <c r="O115" s="1" t="e">
        <f>SUMIFS(#REF!,#REF!,
 $A115,#REF!,
 "&gt;="&amp;INT($Q$1),#REF!,
 "&lt;="&amp;INT($R$1)
)</f>
        <v>#REF!</v>
      </c>
      <c r="P115" s="1" t="e">
        <f t="shared" si="35"/>
        <v>#REF!</v>
      </c>
      <c r="Q115" s="9" t="e">
        <f t="shared" si="36"/>
        <v>#REF!</v>
      </c>
      <c r="R115" s="10" t="e">
        <f t="shared" si="37"/>
        <v>#REF!</v>
      </c>
      <c r="S115" s="1" t="e">
        <f>SUMIFS(#REF!,#REF!,
 $A115,#REF!,
 "&gt;="&amp;INT($U$1),#REF!,
 "&lt;="&amp;INT($V$1)
)</f>
        <v>#REF!</v>
      </c>
      <c r="T115" s="1" t="e">
        <f t="shared" si="38"/>
        <v>#REF!</v>
      </c>
      <c r="U115" s="9" t="e">
        <f t="shared" si="39"/>
        <v>#REF!</v>
      </c>
      <c r="V115" s="10" t="e">
        <f t="shared" si="40"/>
        <v>#REF!</v>
      </c>
      <c r="W115" s="1" t="e">
        <f>SUMIFS(#REF!,#REF!,
 $A115,#REF!,
 "&gt;="&amp;INT($Y$1),#REF!,
 "&lt;="&amp;INT($Z$1)
)</f>
        <v>#REF!</v>
      </c>
      <c r="X115" s="1" t="e">
        <f t="shared" si="41"/>
        <v>#REF!</v>
      </c>
      <c r="Y115" s="9" t="e">
        <f t="shared" si="42"/>
        <v>#REF!</v>
      </c>
      <c r="Z115" s="10" t="e">
        <f t="shared" si="43"/>
        <v>#REF!</v>
      </c>
      <c r="AA115" s="1" t="e">
        <f>SUMIFS(#REF!,#REF!,
 $A115,#REF!,
 "&gt;="&amp;INT($AC$1),#REF!,
 "&lt;="&amp;INT($AD$1)
)</f>
        <v>#REF!</v>
      </c>
      <c r="AB115" s="1" t="e">
        <f t="shared" si="44"/>
        <v>#REF!</v>
      </c>
      <c r="AC115" s="9" t="e">
        <f t="shared" si="45"/>
        <v>#REF!</v>
      </c>
      <c r="AD115" s="10" t="e">
        <f t="shared" si="46"/>
        <v>#REF!</v>
      </c>
      <c r="AE115" s="1" t="e">
        <f>SUMIFS(#REF!,#REF!,
 $A115,#REF!,
 "&gt;="&amp;INT($AG$1),#REF!,
 "&lt;="&amp;INT($AH$1)
)</f>
        <v>#REF!</v>
      </c>
      <c r="AF115" s="1" t="e">
        <f t="shared" si="47"/>
        <v>#REF!</v>
      </c>
      <c r="AG115" s="9" t="e">
        <f t="shared" si="48"/>
        <v>#REF!</v>
      </c>
      <c r="AH115" s="10" t="e">
        <f t="shared" si="49"/>
        <v>#REF!</v>
      </c>
      <c r="AI115" s="1" t="e">
        <f>SUMIFS(#REF!,#REF!,
 $A115,#REF!,
 "&gt;="&amp;INT($AK$1),#REF!,
 "&lt;="&amp;INT($AL$1)
)</f>
        <v>#REF!</v>
      </c>
      <c r="AJ115" s="1" t="e">
        <f t="shared" si="50"/>
        <v>#REF!</v>
      </c>
      <c r="AK115" s="9" t="e">
        <f t="shared" si="51"/>
        <v>#REF!</v>
      </c>
      <c r="AL115" s="10" t="e">
        <f t="shared" si="52"/>
        <v>#REF!</v>
      </c>
      <c r="AM115" s="1" t="e">
        <f>SUMIFS(#REF!,#REF!,
 $A115,#REF!,
 "&gt;="&amp;INT($AO$1),#REF!,
 "&lt;="&amp;INT($AP$1)
)</f>
        <v>#REF!</v>
      </c>
      <c r="AN115" s="1" t="e">
        <f t="shared" si="53"/>
        <v>#REF!</v>
      </c>
      <c r="AO115" s="9" t="e">
        <f t="shared" si="54"/>
        <v>#REF!</v>
      </c>
      <c r="AP115" s="10" t="e">
        <f t="shared" si="55"/>
        <v>#REF!</v>
      </c>
      <c r="AQ115" s="1" t="e">
        <f>SUMIFS(#REF!,#REF!,
 $A115,#REF!,
 "&gt;="&amp;INT($AS$1),#REF!,
 "&lt;="&amp;INT($AT$1)
)</f>
        <v>#REF!</v>
      </c>
      <c r="AR115" s="1" t="e">
        <f t="shared" si="56"/>
        <v>#REF!</v>
      </c>
      <c r="AS115" s="9" t="e">
        <f t="shared" si="57"/>
        <v>#REF!</v>
      </c>
      <c r="AT115" s="10" t="e">
        <f t="shared" si="58"/>
        <v>#REF!</v>
      </c>
      <c r="AU115" s="1" t="e">
        <f>SUMIFS(#REF!,#REF!,
 $A115,#REF!,
 "&gt;="&amp;INT($AW$1),#REF!,
 "&lt;="&amp;INT($AX$1)
)</f>
        <v>#REF!</v>
      </c>
      <c r="AV115" s="1" t="e">
        <f t="shared" si="59"/>
        <v>#REF!</v>
      </c>
      <c r="AW115" s="9" t="e">
        <f t="shared" si="60"/>
        <v>#REF!</v>
      </c>
      <c r="AX115" s="10" t="e">
        <f t="shared" si="61"/>
        <v>#REF!</v>
      </c>
    </row>
    <row r="116" spans="1:50" x14ac:dyDescent="0.25">
      <c r="A116" s="5">
        <v>217024</v>
      </c>
      <c r="B116" s="6" t="s">
        <v>113</v>
      </c>
      <c r="C116" s="1" t="e">
        <f>SUMIFS(#REF!,#REF!,
 $A116,#REF!,
 "&gt;="&amp;INT($E$1),#REF!,
 "&lt;"&amp;INT($F$1+1)
)</f>
        <v>#REF!</v>
      </c>
      <c r="D116" s="1" t="str">
        <f>""</f>
        <v/>
      </c>
      <c r="F116" s="2"/>
      <c r="G116" s="1" t="e">
        <f>SUMIFS(#REF!,#REF!,
 $A116,#REF!,
 "&gt;="&amp;INT($I$1),#REF!,
 "&lt;"&amp;INT($J$1+1)
)</f>
        <v>#REF!</v>
      </c>
      <c r="H116" s="1" t="e">
        <f t="shared" si="31"/>
        <v>#REF!</v>
      </c>
      <c r="I116" s="1"/>
      <c r="J116" s="2"/>
      <c r="K116" s="1" t="e">
        <f>SUMIFS(#REF!,#REF!,
 $A116,#REF!,
 "&gt;="&amp;INT($M$1),#REF!,
 "&lt;"&amp;INT($N$1+1)
)</f>
        <v>#REF!</v>
      </c>
      <c r="L116" s="1" t="e">
        <f t="shared" si="32"/>
        <v>#REF!</v>
      </c>
      <c r="M116" s="9" t="e">
        <f t="shared" si="33"/>
        <v>#REF!</v>
      </c>
      <c r="N116" s="10" t="e">
        <f t="shared" si="34"/>
        <v>#REF!</v>
      </c>
      <c r="O116" s="1" t="e">
        <f>SUMIFS(#REF!,#REF!,
 $A116,#REF!,
 "&gt;="&amp;INT($Q$1),#REF!,
 "&lt;="&amp;INT($R$1)
)</f>
        <v>#REF!</v>
      </c>
      <c r="P116" s="1" t="e">
        <f t="shared" si="35"/>
        <v>#REF!</v>
      </c>
      <c r="Q116" s="9" t="e">
        <f t="shared" si="36"/>
        <v>#REF!</v>
      </c>
      <c r="R116" s="10" t="e">
        <f t="shared" si="37"/>
        <v>#REF!</v>
      </c>
      <c r="S116" s="1" t="e">
        <f>SUMIFS(#REF!,#REF!,
 $A116,#REF!,
 "&gt;="&amp;INT($U$1),#REF!,
 "&lt;="&amp;INT($V$1)
)</f>
        <v>#REF!</v>
      </c>
      <c r="T116" s="1" t="e">
        <f t="shared" si="38"/>
        <v>#REF!</v>
      </c>
      <c r="U116" s="9" t="e">
        <f t="shared" si="39"/>
        <v>#REF!</v>
      </c>
      <c r="V116" s="10" t="e">
        <f t="shared" si="40"/>
        <v>#REF!</v>
      </c>
      <c r="W116" s="1" t="e">
        <f>SUMIFS(#REF!,#REF!,
 $A116,#REF!,
 "&gt;="&amp;INT($Y$1),#REF!,
 "&lt;="&amp;INT($Z$1)
)</f>
        <v>#REF!</v>
      </c>
      <c r="X116" s="1" t="e">
        <f t="shared" si="41"/>
        <v>#REF!</v>
      </c>
      <c r="Y116" s="9" t="e">
        <f t="shared" si="42"/>
        <v>#REF!</v>
      </c>
      <c r="Z116" s="10" t="e">
        <f t="shared" si="43"/>
        <v>#REF!</v>
      </c>
      <c r="AA116" s="1" t="e">
        <f>SUMIFS(#REF!,#REF!,
 $A116,#REF!,
 "&gt;="&amp;INT($AC$1),#REF!,
 "&lt;="&amp;INT($AD$1)
)</f>
        <v>#REF!</v>
      </c>
      <c r="AB116" s="1" t="e">
        <f t="shared" si="44"/>
        <v>#REF!</v>
      </c>
      <c r="AC116" s="9" t="e">
        <f t="shared" si="45"/>
        <v>#REF!</v>
      </c>
      <c r="AD116" s="10" t="e">
        <f t="shared" si="46"/>
        <v>#REF!</v>
      </c>
      <c r="AE116" s="1" t="e">
        <f>SUMIFS(#REF!,#REF!,
 $A116,#REF!,
 "&gt;="&amp;INT($AG$1),#REF!,
 "&lt;="&amp;INT($AH$1)
)</f>
        <v>#REF!</v>
      </c>
      <c r="AF116" s="1" t="e">
        <f t="shared" si="47"/>
        <v>#REF!</v>
      </c>
      <c r="AG116" s="9" t="e">
        <f t="shared" si="48"/>
        <v>#REF!</v>
      </c>
      <c r="AH116" s="10" t="e">
        <f t="shared" si="49"/>
        <v>#REF!</v>
      </c>
      <c r="AI116" s="1" t="e">
        <f>SUMIFS(#REF!,#REF!,
 $A116,#REF!,
 "&gt;="&amp;INT($AK$1),#REF!,
 "&lt;="&amp;INT($AL$1)
)</f>
        <v>#REF!</v>
      </c>
      <c r="AJ116" s="1" t="e">
        <f t="shared" si="50"/>
        <v>#REF!</v>
      </c>
      <c r="AK116" s="9" t="e">
        <f t="shared" si="51"/>
        <v>#REF!</v>
      </c>
      <c r="AL116" s="10" t="e">
        <f t="shared" si="52"/>
        <v>#REF!</v>
      </c>
      <c r="AM116" s="1" t="e">
        <f>SUMIFS(#REF!,#REF!,
 $A116,#REF!,
 "&gt;="&amp;INT($AO$1),#REF!,
 "&lt;="&amp;INT($AP$1)
)</f>
        <v>#REF!</v>
      </c>
      <c r="AN116" s="1" t="e">
        <f t="shared" si="53"/>
        <v>#REF!</v>
      </c>
      <c r="AO116" s="9" t="e">
        <f t="shared" si="54"/>
        <v>#REF!</v>
      </c>
      <c r="AP116" s="10" t="e">
        <f t="shared" si="55"/>
        <v>#REF!</v>
      </c>
      <c r="AQ116" s="1" t="e">
        <f>SUMIFS(#REF!,#REF!,
 $A116,#REF!,
 "&gt;="&amp;INT($AS$1),#REF!,
 "&lt;="&amp;INT($AT$1)
)</f>
        <v>#REF!</v>
      </c>
      <c r="AR116" s="1" t="e">
        <f t="shared" si="56"/>
        <v>#REF!</v>
      </c>
      <c r="AS116" s="9" t="e">
        <f t="shared" si="57"/>
        <v>#REF!</v>
      </c>
      <c r="AT116" s="10" t="e">
        <f t="shared" si="58"/>
        <v>#REF!</v>
      </c>
      <c r="AU116" s="1" t="e">
        <f>SUMIFS(#REF!,#REF!,
 $A116,#REF!,
 "&gt;="&amp;INT($AW$1),#REF!,
 "&lt;="&amp;INT($AX$1)
)</f>
        <v>#REF!</v>
      </c>
      <c r="AV116" s="1" t="e">
        <f t="shared" si="59"/>
        <v>#REF!</v>
      </c>
      <c r="AW116" s="9" t="e">
        <f t="shared" si="60"/>
        <v>#REF!</v>
      </c>
      <c r="AX116" s="10" t="e">
        <f t="shared" si="61"/>
        <v>#REF!</v>
      </c>
    </row>
    <row r="117" spans="1:50" x14ac:dyDescent="0.25">
      <c r="A117" s="5">
        <v>218001</v>
      </c>
      <c r="B117" s="6" t="s">
        <v>114</v>
      </c>
      <c r="C117" s="1" t="e">
        <f>SUMIFS(#REF!,#REF!,
 $A117,#REF!,
 "&gt;="&amp;INT($E$1),#REF!,
 "&lt;"&amp;INT($F$1+1)
)</f>
        <v>#REF!</v>
      </c>
      <c r="D117" s="1" t="str">
        <f>""</f>
        <v/>
      </c>
      <c r="F117" s="2"/>
      <c r="G117" s="1" t="e">
        <f>SUMIFS(#REF!,#REF!,
 $A117,#REF!,
 "&gt;="&amp;INT($I$1),#REF!,
 "&lt;"&amp;INT($J$1+1)
)</f>
        <v>#REF!</v>
      </c>
      <c r="H117" s="1" t="e">
        <f t="shared" si="31"/>
        <v>#REF!</v>
      </c>
      <c r="I117" s="1"/>
      <c r="J117" s="2"/>
      <c r="K117" s="1" t="e">
        <f>SUMIFS(#REF!,#REF!,
 $A117,#REF!,
 "&gt;="&amp;INT($M$1),#REF!,
 "&lt;"&amp;INT($N$1+1)
)</f>
        <v>#REF!</v>
      </c>
      <c r="L117" s="1" t="e">
        <f t="shared" si="32"/>
        <v>#REF!</v>
      </c>
      <c r="M117" s="9" t="e">
        <f t="shared" si="33"/>
        <v>#REF!</v>
      </c>
      <c r="N117" s="10" t="e">
        <f t="shared" si="34"/>
        <v>#REF!</v>
      </c>
      <c r="O117" s="1" t="e">
        <f>SUMIFS(#REF!,#REF!,
 $A117,#REF!,
 "&gt;="&amp;INT($Q$1),#REF!,
 "&lt;="&amp;INT($R$1)
)</f>
        <v>#REF!</v>
      </c>
      <c r="P117" s="1" t="e">
        <f t="shared" si="35"/>
        <v>#REF!</v>
      </c>
      <c r="Q117" s="9" t="e">
        <f t="shared" si="36"/>
        <v>#REF!</v>
      </c>
      <c r="R117" s="10" t="e">
        <f t="shared" si="37"/>
        <v>#REF!</v>
      </c>
      <c r="S117" s="1" t="e">
        <f>SUMIFS(#REF!,#REF!,
 $A117,#REF!,
 "&gt;="&amp;INT($U$1),#REF!,
 "&lt;="&amp;INT($V$1)
)</f>
        <v>#REF!</v>
      </c>
      <c r="T117" s="1" t="e">
        <f t="shared" si="38"/>
        <v>#REF!</v>
      </c>
      <c r="U117" s="9" t="e">
        <f t="shared" si="39"/>
        <v>#REF!</v>
      </c>
      <c r="V117" s="10" t="e">
        <f t="shared" si="40"/>
        <v>#REF!</v>
      </c>
      <c r="W117" s="1" t="e">
        <f>SUMIFS(#REF!,#REF!,
 $A117,#REF!,
 "&gt;="&amp;INT($Y$1),#REF!,
 "&lt;="&amp;INT($Z$1)
)</f>
        <v>#REF!</v>
      </c>
      <c r="X117" s="1" t="e">
        <f t="shared" si="41"/>
        <v>#REF!</v>
      </c>
      <c r="Y117" s="9" t="e">
        <f t="shared" si="42"/>
        <v>#REF!</v>
      </c>
      <c r="Z117" s="10" t="e">
        <f t="shared" si="43"/>
        <v>#REF!</v>
      </c>
      <c r="AA117" s="1" t="e">
        <f>SUMIFS(#REF!,#REF!,
 $A117,#REF!,
 "&gt;="&amp;INT($AC$1),#REF!,
 "&lt;="&amp;INT($AD$1)
)</f>
        <v>#REF!</v>
      </c>
      <c r="AB117" s="1" t="e">
        <f t="shared" si="44"/>
        <v>#REF!</v>
      </c>
      <c r="AC117" s="9" t="e">
        <f t="shared" si="45"/>
        <v>#REF!</v>
      </c>
      <c r="AD117" s="10" t="e">
        <f t="shared" si="46"/>
        <v>#REF!</v>
      </c>
      <c r="AE117" s="1" t="e">
        <f>SUMIFS(#REF!,#REF!,
 $A117,#REF!,
 "&gt;="&amp;INT($AG$1),#REF!,
 "&lt;="&amp;INT($AH$1)
)</f>
        <v>#REF!</v>
      </c>
      <c r="AF117" s="1" t="e">
        <f t="shared" si="47"/>
        <v>#REF!</v>
      </c>
      <c r="AG117" s="9" t="e">
        <f t="shared" si="48"/>
        <v>#REF!</v>
      </c>
      <c r="AH117" s="10" t="e">
        <f t="shared" si="49"/>
        <v>#REF!</v>
      </c>
      <c r="AI117" s="1" t="e">
        <f>SUMIFS(#REF!,#REF!,
 $A117,#REF!,
 "&gt;="&amp;INT($AK$1),#REF!,
 "&lt;="&amp;INT($AL$1)
)</f>
        <v>#REF!</v>
      </c>
      <c r="AJ117" s="1" t="e">
        <f t="shared" si="50"/>
        <v>#REF!</v>
      </c>
      <c r="AK117" s="9" t="e">
        <f t="shared" si="51"/>
        <v>#REF!</v>
      </c>
      <c r="AL117" s="10" t="e">
        <f t="shared" si="52"/>
        <v>#REF!</v>
      </c>
      <c r="AM117" s="1" t="e">
        <f>SUMIFS(#REF!,#REF!,
 $A117,#REF!,
 "&gt;="&amp;INT($AO$1),#REF!,
 "&lt;="&amp;INT($AP$1)
)</f>
        <v>#REF!</v>
      </c>
      <c r="AN117" s="1" t="e">
        <f t="shared" si="53"/>
        <v>#REF!</v>
      </c>
      <c r="AO117" s="9" t="e">
        <f t="shared" si="54"/>
        <v>#REF!</v>
      </c>
      <c r="AP117" s="10" t="e">
        <f t="shared" si="55"/>
        <v>#REF!</v>
      </c>
      <c r="AQ117" s="1" t="e">
        <f>SUMIFS(#REF!,#REF!,
 $A117,#REF!,
 "&gt;="&amp;INT($AS$1),#REF!,
 "&lt;="&amp;INT($AT$1)
)</f>
        <v>#REF!</v>
      </c>
      <c r="AR117" s="1" t="e">
        <f t="shared" si="56"/>
        <v>#REF!</v>
      </c>
      <c r="AS117" s="9" t="e">
        <f t="shared" si="57"/>
        <v>#REF!</v>
      </c>
      <c r="AT117" s="10" t="e">
        <f t="shared" si="58"/>
        <v>#REF!</v>
      </c>
      <c r="AU117" s="1" t="e">
        <f>SUMIFS(#REF!,#REF!,
 $A117,#REF!,
 "&gt;="&amp;INT($AW$1),#REF!,
 "&lt;="&amp;INT($AX$1)
)</f>
        <v>#REF!</v>
      </c>
      <c r="AV117" s="1" t="e">
        <f t="shared" si="59"/>
        <v>#REF!</v>
      </c>
      <c r="AW117" s="9" t="e">
        <f t="shared" si="60"/>
        <v>#REF!</v>
      </c>
      <c r="AX117" s="10" t="e">
        <f t="shared" si="61"/>
        <v>#REF!</v>
      </c>
    </row>
    <row r="118" spans="1:50" x14ac:dyDescent="0.25">
      <c r="A118" s="5">
        <v>218002</v>
      </c>
      <c r="B118" s="6" t="s">
        <v>115</v>
      </c>
      <c r="C118" s="1" t="e">
        <f>SUMIFS(#REF!,#REF!,
 $A118,#REF!,
 "&gt;="&amp;INT($E$1),#REF!,
 "&lt;"&amp;INT($F$1+1)
)</f>
        <v>#REF!</v>
      </c>
      <c r="D118" s="1" t="str">
        <f>""</f>
        <v/>
      </c>
      <c r="F118" s="2"/>
      <c r="G118" s="1" t="e">
        <f>SUMIFS(#REF!,#REF!,
 $A118,#REF!,
 "&gt;="&amp;INT($I$1),#REF!,
 "&lt;"&amp;INT($J$1+1)
)</f>
        <v>#REF!</v>
      </c>
      <c r="H118" s="1" t="e">
        <f t="shared" si="31"/>
        <v>#REF!</v>
      </c>
      <c r="I118" s="1"/>
      <c r="J118" s="2"/>
      <c r="K118" s="1" t="e">
        <f>SUMIFS(#REF!,#REF!,
 $A118,#REF!,
 "&gt;="&amp;INT($M$1),#REF!,
 "&lt;"&amp;INT($N$1+1)
)</f>
        <v>#REF!</v>
      </c>
      <c r="L118" s="1" t="e">
        <f t="shared" si="32"/>
        <v>#REF!</v>
      </c>
      <c r="M118" s="9" t="e">
        <f t="shared" si="33"/>
        <v>#REF!</v>
      </c>
      <c r="N118" s="10" t="e">
        <f t="shared" si="34"/>
        <v>#REF!</v>
      </c>
      <c r="O118" s="1" t="e">
        <f>SUMIFS(#REF!,#REF!,
 $A118,#REF!,
 "&gt;="&amp;INT($Q$1),#REF!,
 "&lt;="&amp;INT($R$1)
)</f>
        <v>#REF!</v>
      </c>
      <c r="P118" s="1" t="e">
        <f t="shared" si="35"/>
        <v>#REF!</v>
      </c>
      <c r="Q118" s="9" t="e">
        <f t="shared" si="36"/>
        <v>#REF!</v>
      </c>
      <c r="R118" s="10" t="e">
        <f t="shared" si="37"/>
        <v>#REF!</v>
      </c>
      <c r="S118" s="1" t="e">
        <f>SUMIFS(#REF!,#REF!,
 $A118,#REF!,
 "&gt;="&amp;INT($U$1),#REF!,
 "&lt;="&amp;INT($V$1)
)</f>
        <v>#REF!</v>
      </c>
      <c r="T118" s="1" t="e">
        <f t="shared" si="38"/>
        <v>#REF!</v>
      </c>
      <c r="U118" s="9" t="e">
        <f t="shared" si="39"/>
        <v>#REF!</v>
      </c>
      <c r="V118" s="10" t="e">
        <f t="shared" si="40"/>
        <v>#REF!</v>
      </c>
      <c r="W118" s="1" t="e">
        <f>SUMIFS(#REF!,#REF!,
 $A118,#REF!,
 "&gt;="&amp;INT($Y$1),#REF!,
 "&lt;="&amp;INT($Z$1)
)</f>
        <v>#REF!</v>
      </c>
      <c r="X118" s="1" t="e">
        <f t="shared" si="41"/>
        <v>#REF!</v>
      </c>
      <c r="Y118" s="9" t="e">
        <f t="shared" si="42"/>
        <v>#REF!</v>
      </c>
      <c r="Z118" s="10" t="e">
        <f t="shared" si="43"/>
        <v>#REF!</v>
      </c>
      <c r="AA118" s="1" t="e">
        <f>SUMIFS(#REF!,#REF!,
 $A118,#REF!,
 "&gt;="&amp;INT($AC$1),#REF!,
 "&lt;="&amp;INT($AD$1)
)</f>
        <v>#REF!</v>
      </c>
      <c r="AB118" s="1" t="e">
        <f t="shared" si="44"/>
        <v>#REF!</v>
      </c>
      <c r="AC118" s="9" t="e">
        <f t="shared" si="45"/>
        <v>#REF!</v>
      </c>
      <c r="AD118" s="10" t="e">
        <f t="shared" si="46"/>
        <v>#REF!</v>
      </c>
      <c r="AE118" s="1" t="e">
        <f>SUMIFS(#REF!,#REF!,
 $A118,#REF!,
 "&gt;="&amp;INT($AG$1),#REF!,
 "&lt;="&amp;INT($AH$1)
)</f>
        <v>#REF!</v>
      </c>
      <c r="AF118" s="1" t="e">
        <f t="shared" si="47"/>
        <v>#REF!</v>
      </c>
      <c r="AG118" s="9" t="e">
        <f t="shared" si="48"/>
        <v>#REF!</v>
      </c>
      <c r="AH118" s="10" t="e">
        <f t="shared" si="49"/>
        <v>#REF!</v>
      </c>
      <c r="AI118" s="1" t="e">
        <f>SUMIFS(#REF!,#REF!,
 $A118,#REF!,
 "&gt;="&amp;INT($AK$1),#REF!,
 "&lt;="&amp;INT($AL$1)
)</f>
        <v>#REF!</v>
      </c>
      <c r="AJ118" s="1" t="e">
        <f t="shared" si="50"/>
        <v>#REF!</v>
      </c>
      <c r="AK118" s="9" t="e">
        <f t="shared" si="51"/>
        <v>#REF!</v>
      </c>
      <c r="AL118" s="10" t="e">
        <f t="shared" si="52"/>
        <v>#REF!</v>
      </c>
      <c r="AM118" s="1" t="e">
        <f>SUMIFS(#REF!,#REF!,
 $A118,#REF!,
 "&gt;="&amp;INT($AO$1),#REF!,
 "&lt;="&amp;INT($AP$1)
)</f>
        <v>#REF!</v>
      </c>
      <c r="AN118" s="1" t="e">
        <f t="shared" si="53"/>
        <v>#REF!</v>
      </c>
      <c r="AO118" s="9" t="e">
        <f t="shared" si="54"/>
        <v>#REF!</v>
      </c>
      <c r="AP118" s="10" t="e">
        <f t="shared" si="55"/>
        <v>#REF!</v>
      </c>
      <c r="AQ118" s="1" t="e">
        <f>SUMIFS(#REF!,#REF!,
 $A118,#REF!,
 "&gt;="&amp;INT($AS$1),#REF!,
 "&lt;="&amp;INT($AT$1)
)</f>
        <v>#REF!</v>
      </c>
      <c r="AR118" s="1" t="e">
        <f t="shared" si="56"/>
        <v>#REF!</v>
      </c>
      <c r="AS118" s="9" t="e">
        <f t="shared" si="57"/>
        <v>#REF!</v>
      </c>
      <c r="AT118" s="10" t="e">
        <f t="shared" si="58"/>
        <v>#REF!</v>
      </c>
      <c r="AU118" s="1" t="e">
        <f>SUMIFS(#REF!,#REF!,
 $A118,#REF!,
 "&gt;="&amp;INT($AW$1),#REF!,
 "&lt;="&amp;INT($AX$1)
)</f>
        <v>#REF!</v>
      </c>
      <c r="AV118" s="1" t="e">
        <f t="shared" si="59"/>
        <v>#REF!</v>
      </c>
      <c r="AW118" s="9" t="e">
        <f t="shared" si="60"/>
        <v>#REF!</v>
      </c>
      <c r="AX118" s="10" t="e">
        <f t="shared" si="61"/>
        <v>#REF!</v>
      </c>
    </row>
    <row r="119" spans="1:50" x14ac:dyDescent="0.25">
      <c r="A119" s="5">
        <v>218003</v>
      </c>
      <c r="B119" s="6" t="s">
        <v>116</v>
      </c>
      <c r="C119" s="1" t="e">
        <f>SUMIFS(#REF!,#REF!,
 $A119,#REF!,
 "&gt;="&amp;INT($E$1),#REF!,
 "&lt;"&amp;INT($F$1+1)
)</f>
        <v>#REF!</v>
      </c>
      <c r="D119" s="1" t="str">
        <f>""</f>
        <v/>
      </c>
      <c r="F119" s="2"/>
      <c r="G119" s="1" t="e">
        <f>SUMIFS(#REF!,#REF!,
 $A119,#REF!,
 "&gt;="&amp;INT($I$1),#REF!,
 "&lt;"&amp;INT($J$1+1)
)</f>
        <v>#REF!</v>
      </c>
      <c r="H119" s="1" t="e">
        <f t="shared" si="31"/>
        <v>#REF!</v>
      </c>
      <c r="I119" s="1"/>
      <c r="J119" s="2"/>
      <c r="K119" s="1" t="e">
        <f>SUMIFS(#REF!,#REF!,
 $A119,#REF!,
 "&gt;="&amp;INT($M$1),#REF!,
 "&lt;"&amp;INT($N$1+1)
)</f>
        <v>#REF!</v>
      </c>
      <c r="L119" s="1" t="e">
        <f t="shared" si="32"/>
        <v>#REF!</v>
      </c>
      <c r="M119" s="9" t="e">
        <f t="shared" si="33"/>
        <v>#REF!</v>
      </c>
      <c r="N119" s="10" t="e">
        <f t="shared" si="34"/>
        <v>#REF!</v>
      </c>
      <c r="O119" s="1" t="e">
        <f>SUMIFS(#REF!,#REF!,
 $A119,#REF!,
 "&gt;="&amp;INT($Q$1),#REF!,
 "&lt;="&amp;INT($R$1)
)</f>
        <v>#REF!</v>
      </c>
      <c r="P119" s="1" t="e">
        <f t="shared" si="35"/>
        <v>#REF!</v>
      </c>
      <c r="Q119" s="9" t="e">
        <f t="shared" si="36"/>
        <v>#REF!</v>
      </c>
      <c r="R119" s="10" t="e">
        <f t="shared" si="37"/>
        <v>#REF!</v>
      </c>
      <c r="S119" s="1" t="e">
        <f>SUMIFS(#REF!,#REF!,
 $A119,#REF!,
 "&gt;="&amp;INT($U$1),#REF!,
 "&lt;="&amp;INT($V$1)
)</f>
        <v>#REF!</v>
      </c>
      <c r="T119" s="1" t="e">
        <f t="shared" si="38"/>
        <v>#REF!</v>
      </c>
      <c r="U119" s="9" t="e">
        <f t="shared" si="39"/>
        <v>#REF!</v>
      </c>
      <c r="V119" s="10" t="e">
        <f t="shared" si="40"/>
        <v>#REF!</v>
      </c>
      <c r="W119" s="1" t="e">
        <f>SUMIFS(#REF!,#REF!,
 $A119,#REF!,
 "&gt;="&amp;INT($Y$1),#REF!,
 "&lt;="&amp;INT($Z$1)
)</f>
        <v>#REF!</v>
      </c>
      <c r="X119" s="1" t="e">
        <f t="shared" si="41"/>
        <v>#REF!</v>
      </c>
      <c r="Y119" s="9" t="e">
        <f t="shared" si="42"/>
        <v>#REF!</v>
      </c>
      <c r="Z119" s="10" t="e">
        <f t="shared" si="43"/>
        <v>#REF!</v>
      </c>
      <c r="AA119" s="1" t="e">
        <f>SUMIFS(#REF!,#REF!,
 $A119,#REF!,
 "&gt;="&amp;INT($AC$1),#REF!,
 "&lt;="&amp;INT($AD$1)
)</f>
        <v>#REF!</v>
      </c>
      <c r="AB119" s="1" t="e">
        <f t="shared" si="44"/>
        <v>#REF!</v>
      </c>
      <c r="AC119" s="9" t="e">
        <f t="shared" si="45"/>
        <v>#REF!</v>
      </c>
      <c r="AD119" s="10" t="e">
        <f t="shared" si="46"/>
        <v>#REF!</v>
      </c>
      <c r="AE119" s="1" t="e">
        <f>SUMIFS(#REF!,#REF!,
 $A119,#REF!,
 "&gt;="&amp;INT($AG$1),#REF!,
 "&lt;="&amp;INT($AH$1)
)</f>
        <v>#REF!</v>
      </c>
      <c r="AF119" s="1" t="e">
        <f t="shared" si="47"/>
        <v>#REF!</v>
      </c>
      <c r="AG119" s="9" t="e">
        <f t="shared" si="48"/>
        <v>#REF!</v>
      </c>
      <c r="AH119" s="10" t="e">
        <f t="shared" si="49"/>
        <v>#REF!</v>
      </c>
      <c r="AI119" s="1" t="e">
        <f>SUMIFS(#REF!,#REF!,
 $A119,#REF!,
 "&gt;="&amp;INT($AK$1),#REF!,
 "&lt;="&amp;INT($AL$1)
)</f>
        <v>#REF!</v>
      </c>
      <c r="AJ119" s="1" t="e">
        <f t="shared" si="50"/>
        <v>#REF!</v>
      </c>
      <c r="AK119" s="9" t="e">
        <f t="shared" si="51"/>
        <v>#REF!</v>
      </c>
      <c r="AL119" s="10" t="e">
        <f t="shared" si="52"/>
        <v>#REF!</v>
      </c>
      <c r="AM119" s="1" t="e">
        <f>SUMIFS(#REF!,#REF!,
 $A119,#REF!,
 "&gt;="&amp;INT($AO$1),#REF!,
 "&lt;="&amp;INT($AP$1)
)</f>
        <v>#REF!</v>
      </c>
      <c r="AN119" s="1" t="e">
        <f t="shared" si="53"/>
        <v>#REF!</v>
      </c>
      <c r="AO119" s="9" t="e">
        <f t="shared" si="54"/>
        <v>#REF!</v>
      </c>
      <c r="AP119" s="10" t="e">
        <f t="shared" si="55"/>
        <v>#REF!</v>
      </c>
      <c r="AQ119" s="1" t="e">
        <f>SUMIFS(#REF!,#REF!,
 $A119,#REF!,
 "&gt;="&amp;INT($AS$1),#REF!,
 "&lt;="&amp;INT($AT$1)
)</f>
        <v>#REF!</v>
      </c>
      <c r="AR119" s="1" t="e">
        <f t="shared" si="56"/>
        <v>#REF!</v>
      </c>
      <c r="AS119" s="9" t="e">
        <f t="shared" si="57"/>
        <v>#REF!</v>
      </c>
      <c r="AT119" s="10" t="e">
        <f t="shared" si="58"/>
        <v>#REF!</v>
      </c>
      <c r="AU119" s="1" t="e">
        <f>SUMIFS(#REF!,#REF!,
 $A119,#REF!,
 "&gt;="&amp;INT($AW$1),#REF!,
 "&lt;="&amp;INT($AX$1)
)</f>
        <v>#REF!</v>
      </c>
      <c r="AV119" s="1" t="e">
        <f t="shared" si="59"/>
        <v>#REF!</v>
      </c>
      <c r="AW119" s="9" t="e">
        <f t="shared" si="60"/>
        <v>#REF!</v>
      </c>
      <c r="AX119" s="10" t="e">
        <f t="shared" si="61"/>
        <v>#REF!</v>
      </c>
    </row>
    <row r="120" spans="1:50" x14ac:dyDescent="0.25">
      <c r="A120" s="5">
        <v>218004</v>
      </c>
      <c r="B120" s="6" t="s">
        <v>117</v>
      </c>
      <c r="C120" s="1" t="e">
        <f>SUMIFS(#REF!,#REF!,
 $A120,#REF!,
 "&gt;="&amp;INT($E$1),#REF!,
 "&lt;"&amp;INT($F$1+1)
)</f>
        <v>#REF!</v>
      </c>
      <c r="D120" s="1" t="str">
        <f>""</f>
        <v/>
      </c>
      <c r="F120" s="2"/>
      <c r="G120" s="1" t="e">
        <f>SUMIFS(#REF!,#REF!,
 $A120,#REF!,
 "&gt;="&amp;INT($I$1),#REF!,
 "&lt;"&amp;INT($J$1+1)
)</f>
        <v>#REF!</v>
      </c>
      <c r="H120" s="1" t="e">
        <f t="shared" si="31"/>
        <v>#REF!</v>
      </c>
      <c r="I120" s="1"/>
      <c r="J120" s="2"/>
      <c r="K120" s="1" t="e">
        <f>SUMIFS(#REF!,#REF!,
 $A120,#REF!,
 "&gt;="&amp;INT($M$1),#REF!,
 "&lt;"&amp;INT($N$1+1)
)</f>
        <v>#REF!</v>
      </c>
      <c r="L120" s="1" t="e">
        <f t="shared" si="32"/>
        <v>#REF!</v>
      </c>
      <c r="M120" s="9" t="e">
        <f t="shared" si="33"/>
        <v>#REF!</v>
      </c>
      <c r="N120" s="10" t="e">
        <f t="shared" si="34"/>
        <v>#REF!</v>
      </c>
      <c r="O120" s="1" t="e">
        <f>SUMIFS(#REF!,#REF!,
 $A120,#REF!,
 "&gt;="&amp;INT($Q$1),#REF!,
 "&lt;="&amp;INT($R$1)
)</f>
        <v>#REF!</v>
      </c>
      <c r="P120" s="1" t="e">
        <f t="shared" si="35"/>
        <v>#REF!</v>
      </c>
      <c r="Q120" s="9" t="e">
        <f t="shared" si="36"/>
        <v>#REF!</v>
      </c>
      <c r="R120" s="10" t="e">
        <f t="shared" si="37"/>
        <v>#REF!</v>
      </c>
      <c r="S120" s="1" t="e">
        <f>SUMIFS(#REF!,#REF!,
 $A120,#REF!,
 "&gt;="&amp;INT($U$1),#REF!,
 "&lt;="&amp;INT($V$1)
)</f>
        <v>#REF!</v>
      </c>
      <c r="T120" s="1" t="e">
        <f t="shared" si="38"/>
        <v>#REF!</v>
      </c>
      <c r="U120" s="9" t="e">
        <f t="shared" si="39"/>
        <v>#REF!</v>
      </c>
      <c r="V120" s="10" t="e">
        <f t="shared" si="40"/>
        <v>#REF!</v>
      </c>
      <c r="W120" s="1" t="e">
        <f>SUMIFS(#REF!,#REF!,
 $A120,#REF!,
 "&gt;="&amp;INT($Y$1),#REF!,
 "&lt;="&amp;INT($Z$1)
)</f>
        <v>#REF!</v>
      </c>
      <c r="X120" s="1" t="e">
        <f t="shared" si="41"/>
        <v>#REF!</v>
      </c>
      <c r="Y120" s="9" t="e">
        <f t="shared" si="42"/>
        <v>#REF!</v>
      </c>
      <c r="Z120" s="10" t="e">
        <f t="shared" si="43"/>
        <v>#REF!</v>
      </c>
      <c r="AA120" s="1" t="e">
        <f>SUMIFS(#REF!,#REF!,
 $A120,#REF!,
 "&gt;="&amp;INT($AC$1),#REF!,
 "&lt;="&amp;INT($AD$1)
)</f>
        <v>#REF!</v>
      </c>
      <c r="AB120" s="1" t="e">
        <f t="shared" si="44"/>
        <v>#REF!</v>
      </c>
      <c r="AC120" s="9" t="e">
        <f t="shared" si="45"/>
        <v>#REF!</v>
      </c>
      <c r="AD120" s="10" t="e">
        <f t="shared" si="46"/>
        <v>#REF!</v>
      </c>
      <c r="AE120" s="1" t="e">
        <f>SUMIFS(#REF!,#REF!,
 $A120,#REF!,
 "&gt;="&amp;INT($AG$1),#REF!,
 "&lt;="&amp;INT($AH$1)
)</f>
        <v>#REF!</v>
      </c>
      <c r="AF120" s="1" t="e">
        <f t="shared" si="47"/>
        <v>#REF!</v>
      </c>
      <c r="AG120" s="9" t="e">
        <f t="shared" si="48"/>
        <v>#REF!</v>
      </c>
      <c r="AH120" s="10" t="e">
        <f t="shared" si="49"/>
        <v>#REF!</v>
      </c>
      <c r="AI120" s="1" t="e">
        <f>SUMIFS(#REF!,#REF!,
 $A120,#REF!,
 "&gt;="&amp;INT($AK$1),#REF!,
 "&lt;="&amp;INT($AL$1)
)</f>
        <v>#REF!</v>
      </c>
      <c r="AJ120" s="1" t="e">
        <f t="shared" si="50"/>
        <v>#REF!</v>
      </c>
      <c r="AK120" s="9" t="e">
        <f t="shared" si="51"/>
        <v>#REF!</v>
      </c>
      <c r="AL120" s="10" t="e">
        <f t="shared" si="52"/>
        <v>#REF!</v>
      </c>
      <c r="AM120" s="1" t="e">
        <f>SUMIFS(#REF!,#REF!,
 $A120,#REF!,
 "&gt;="&amp;INT($AO$1),#REF!,
 "&lt;="&amp;INT($AP$1)
)</f>
        <v>#REF!</v>
      </c>
      <c r="AN120" s="1" t="e">
        <f t="shared" si="53"/>
        <v>#REF!</v>
      </c>
      <c r="AO120" s="9" t="e">
        <f t="shared" si="54"/>
        <v>#REF!</v>
      </c>
      <c r="AP120" s="10" t="e">
        <f t="shared" si="55"/>
        <v>#REF!</v>
      </c>
      <c r="AQ120" s="1" t="e">
        <f>SUMIFS(#REF!,#REF!,
 $A120,#REF!,
 "&gt;="&amp;INT($AS$1),#REF!,
 "&lt;="&amp;INT($AT$1)
)</f>
        <v>#REF!</v>
      </c>
      <c r="AR120" s="1" t="e">
        <f t="shared" si="56"/>
        <v>#REF!</v>
      </c>
      <c r="AS120" s="9" t="e">
        <f t="shared" si="57"/>
        <v>#REF!</v>
      </c>
      <c r="AT120" s="10" t="e">
        <f t="shared" si="58"/>
        <v>#REF!</v>
      </c>
      <c r="AU120" s="1" t="e">
        <f>SUMIFS(#REF!,#REF!,
 $A120,#REF!,
 "&gt;="&amp;INT($AW$1),#REF!,
 "&lt;="&amp;INT($AX$1)
)</f>
        <v>#REF!</v>
      </c>
      <c r="AV120" s="1" t="e">
        <f t="shared" si="59"/>
        <v>#REF!</v>
      </c>
      <c r="AW120" s="9" t="e">
        <f t="shared" si="60"/>
        <v>#REF!</v>
      </c>
      <c r="AX120" s="10" t="e">
        <f t="shared" si="61"/>
        <v>#REF!</v>
      </c>
    </row>
    <row r="121" spans="1:50" x14ac:dyDescent="0.25">
      <c r="A121" s="5">
        <v>220003</v>
      </c>
      <c r="B121" s="6" t="s">
        <v>118</v>
      </c>
      <c r="C121" s="1" t="e">
        <f>SUMIFS(#REF!,#REF!,
 $A121,#REF!,
 "&gt;="&amp;INT($E$1),#REF!,
 "&lt;"&amp;INT($F$1+1)
)</f>
        <v>#REF!</v>
      </c>
      <c r="D121" s="1" t="str">
        <f>""</f>
        <v/>
      </c>
      <c r="F121" s="2"/>
      <c r="G121" s="1" t="e">
        <f>SUMIFS(#REF!,#REF!,
 $A121,#REF!,
 "&gt;="&amp;INT($I$1),#REF!,
 "&lt;"&amp;INT($J$1+1)
)</f>
        <v>#REF!</v>
      </c>
      <c r="H121" s="1" t="e">
        <f t="shared" si="31"/>
        <v>#REF!</v>
      </c>
      <c r="I121" s="1"/>
      <c r="J121" s="2"/>
      <c r="K121" s="1" t="e">
        <f>SUMIFS(#REF!,#REF!,
 $A121,#REF!,
 "&gt;="&amp;INT($M$1),#REF!,
 "&lt;"&amp;INT($N$1+1)
)</f>
        <v>#REF!</v>
      </c>
      <c r="L121" s="1" t="e">
        <f t="shared" si="32"/>
        <v>#REF!</v>
      </c>
      <c r="M121" s="9" t="e">
        <f t="shared" si="33"/>
        <v>#REF!</v>
      </c>
      <c r="N121" s="10" t="e">
        <f t="shared" si="34"/>
        <v>#REF!</v>
      </c>
      <c r="O121" s="1" t="e">
        <f>SUMIFS(#REF!,#REF!,
 $A121,#REF!,
 "&gt;="&amp;INT($Q$1),#REF!,
 "&lt;="&amp;INT($R$1)
)</f>
        <v>#REF!</v>
      </c>
      <c r="P121" s="1" t="e">
        <f t="shared" si="35"/>
        <v>#REF!</v>
      </c>
      <c r="Q121" s="9" t="e">
        <f t="shared" si="36"/>
        <v>#REF!</v>
      </c>
      <c r="R121" s="10" t="e">
        <f t="shared" si="37"/>
        <v>#REF!</v>
      </c>
      <c r="S121" s="1" t="e">
        <f>SUMIFS(#REF!,#REF!,
 $A121,#REF!,
 "&gt;="&amp;INT($U$1),#REF!,
 "&lt;="&amp;INT($V$1)
)</f>
        <v>#REF!</v>
      </c>
      <c r="T121" s="1" t="e">
        <f t="shared" si="38"/>
        <v>#REF!</v>
      </c>
      <c r="U121" s="9" t="e">
        <f t="shared" si="39"/>
        <v>#REF!</v>
      </c>
      <c r="V121" s="10" t="e">
        <f t="shared" si="40"/>
        <v>#REF!</v>
      </c>
      <c r="W121" s="1" t="e">
        <f>SUMIFS(#REF!,#REF!,
 $A121,#REF!,
 "&gt;="&amp;INT($Y$1),#REF!,
 "&lt;="&amp;INT($Z$1)
)</f>
        <v>#REF!</v>
      </c>
      <c r="X121" s="1" t="e">
        <f t="shared" si="41"/>
        <v>#REF!</v>
      </c>
      <c r="Y121" s="9" t="e">
        <f t="shared" si="42"/>
        <v>#REF!</v>
      </c>
      <c r="Z121" s="10" t="e">
        <f t="shared" si="43"/>
        <v>#REF!</v>
      </c>
      <c r="AA121" s="1" t="e">
        <f>SUMIFS(#REF!,#REF!,
 $A121,#REF!,
 "&gt;="&amp;INT($AC$1),#REF!,
 "&lt;="&amp;INT($AD$1)
)</f>
        <v>#REF!</v>
      </c>
      <c r="AB121" s="1" t="e">
        <f t="shared" si="44"/>
        <v>#REF!</v>
      </c>
      <c r="AC121" s="9" t="e">
        <f t="shared" si="45"/>
        <v>#REF!</v>
      </c>
      <c r="AD121" s="10" t="e">
        <f t="shared" si="46"/>
        <v>#REF!</v>
      </c>
      <c r="AE121" s="1" t="e">
        <f>SUMIFS(#REF!,#REF!,
 $A121,#REF!,
 "&gt;="&amp;INT($AG$1),#REF!,
 "&lt;="&amp;INT($AH$1)
)</f>
        <v>#REF!</v>
      </c>
      <c r="AF121" s="1" t="e">
        <f t="shared" si="47"/>
        <v>#REF!</v>
      </c>
      <c r="AG121" s="9" t="e">
        <f t="shared" si="48"/>
        <v>#REF!</v>
      </c>
      <c r="AH121" s="10" t="e">
        <f t="shared" si="49"/>
        <v>#REF!</v>
      </c>
      <c r="AI121" s="1" t="e">
        <f>SUMIFS(#REF!,#REF!,
 $A121,#REF!,
 "&gt;="&amp;INT($AK$1),#REF!,
 "&lt;="&amp;INT($AL$1)
)</f>
        <v>#REF!</v>
      </c>
      <c r="AJ121" s="1" t="e">
        <f t="shared" si="50"/>
        <v>#REF!</v>
      </c>
      <c r="AK121" s="9" t="e">
        <f t="shared" si="51"/>
        <v>#REF!</v>
      </c>
      <c r="AL121" s="10" t="e">
        <f t="shared" si="52"/>
        <v>#REF!</v>
      </c>
      <c r="AM121" s="1" t="e">
        <f>SUMIFS(#REF!,#REF!,
 $A121,#REF!,
 "&gt;="&amp;INT($AO$1),#REF!,
 "&lt;="&amp;INT($AP$1)
)</f>
        <v>#REF!</v>
      </c>
      <c r="AN121" s="1" t="e">
        <f t="shared" si="53"/>
        <v>#REF!</v>
      </c>
      <c r="AO121" s="9" t="e">
        <f t="shared" si="54"/>
        <v>#REF!</v>
      </c>
      <c r="AP121" s="10" t="e">
        <f t="shared" si="55"/>
        <v>#REF!</v>
      </c>
      <c r="AQ121" s="1" t="e">
        <f>SUMIFS(#REF!,#REF!,
 $A121,#REF!,
 "&gt;="&amp;INT($AS$1),#REF!,
 "&lt;="&amp;INT($AT$1)
)</f>
        <v>#REF!</v>
      </c>
      <c r="AR121" s="1" t="e">
        <f t="shared" si="56"/>
        <v>#REF!</v>
      </c>
      <c r="AS121" s="9" t="e">
        <f t="shared" si="57"/>
        <v>#REF!</v>
      </c>
      <c r="AT121" s="10" t="e">
        <f t="shared" si="58"/>
        <v>#REF!</v>
      </c>
      <c r="AU121" s="1" t="e">
        <f>SUMIFS(#REF!,#REF!,
 $A121,#REF!,
 "&gt;="&amp;INT($AW$1),#REF!,
 "&lt;="&amp;INT($AX$1)
)</f>
        <v>#REF!</v>
      </c>
      <c r="AV121" s="1" t="e">
        <f t="shared" si="59"/>
        <v>#REF!</v>
      </c>
      <c r="AW121" s="9" t="e">
        <f t="shared" si="60"/>
        <v>#REF!</v>
      </c>
      <c r="AX121" s="10" t="e">
        <f t="shared" si="61"/>
        <v>#REF!</v>
      </c>
    </row>
    <row r="122" spans="1:50" x14ac:dyDescent="0.25">
      <c r="A122" s="5">
        <v>221001</v>
      </c>
      <c r="B122" s="6" t="s">
        <v>119</v>
      </c>
      <c r="C122" s="1" t="e">
        <f>SUMIFS(#REF!,#REF!,
 $A122,#REF!,
 "&gt;="&amp;INT($E$1),#REF!,
 "&lt;"&amp;INT($F$1+1)
)</f>
        <v>#REF!</v>
      </c>
      <c r="D122" s="1" t="str">
        <f>""</f>
        <v/>
      </c>
      <c r="F122" s="2"/>
      <c r="G122" s="1" t="e">
        <f>SUMIFS(#REF!,#REF!,
 $A122,#REF!,
 "&gt;="&amp;INT($I$1),#REF!,
 "&lt;"&amp;INT($J$1+1)
)</f>
        <v>#REF!</v>
      </c>
      <c r="H122" s="1" t="e">
        <f t="shared" si="31"/>
        <v>#REF!</v>
      </c>
      <c r="I122" s="1"/>
      <c r="J122" s="2"/>
      <c r="K122" s="1" t="e">
        <f>SUMIFS(#REF!,#REF!,
 $A122,#REF!,
 "&gt;="&amp;INT($M$1),#REF!,
 "&lt;"&amp;INT($N$1+1)
)</f>
        <v>#REF!</v>
      </c>
      <c r="L122" s="1" t="e">
        <f t="shared" si="32"/>
        <v>#REF!</v>
      </c>
      <c r="M122" s="9" t="e">
        <f t="shared" si="33"/>
        <v>#REF!</v>
      </c>
      <c r="N122" s="10" t="e">
        <f t="shared" si="34"/>
        <v>#REF!</v>
      </c>
      <c r="O122" s="1" t="e">
        <f>SUMIFS(#REF!,#REF!,
 $A122,#REF!,
 "&gt;="&amp;INT($Q$1),#REF!,
 "&lt;="&amp;INT($R$1)
)</f>
        <v>#REF!</v>
      </c>
      <c r="P122" s="1" t="e">
        <f t="shared" si="35"/>
        <v>#REF!</v>
      </c>
      <c r="Q122" s="9" t="e">
        <f t="shared" si="36"/>
        <v>#REF!</v>
      </c>
      <c r="R122" s="10" t="e">
        <f t="shared" si="37"/>
        <v>#REF!</v>
      </c>
      <c r="S122" s="1" t="e">
        <f>SUMIFS(#REF!,#REF!,
 $A122,#REF!,
 "&gt;="&amp;INT($U$1),#REF!,
 "&lt;="&amp;INT($V$1)
)</f>
        <v>#REF!</v>
      </c>
      <c r="T122" s="1" t="e">
        <f t="shared" si="38"/>
        <v>#REF!</v>
      </c>
      <c r="U122" s="9" t="e">
        <f t="shared" si="39"/>
        <v>#REF!</v>
      </c>
      <c r="V122" s="10" t="e">
        <f t="shared" si="40"/>
        <v>#REF!</v>
      </c>
      <c r="W122" s="1" t="e">
        <f>SUMIFS(#REF!,#REF!,
 $A122,#REF!,
 "&gt;="&amp;INT($Y$1),#REF!,
 "&lt;="&amp;INT($Z$1)
)</f>
        <v>#REF!</v>
      </c>
      <c r="X122" s="1" t="e">
        <f t="shared" si="41"/>
        <v>#REF!</v>
      </c>
      <c r="Y122" s="9" t="e">
        <f t="shared" si="42"/>
        <v>#REF!</v>
      </c>
      <c r="Z122" s="10" t="e">
        <f t="shared" si="43"/>
        <v>#REF!</v>
      </c>
      <c r="AA122" s="1" t="e">
        <f>SUMIFS(#REF!,#REF!,
 $A122,#REF!,
 "&gt;="&amp;INT($AC$1),#REF!,
 "&lt;="&amp;INT($AD$1)
)</f>
        <v>#REF!</v>
      </c>
      <c r="AB122" s="1" t="e">
        <f t="shared" si="44"/>
        <v>#REF!</v>
      </c>
      <c r="AC122" s="9" t="e">
        <f t="shared" si="45"/>
        <v>#REF!</v>
      </c>
      <c r="AD122" s="10" t="e">
        <f t="shared" si="46"/>
        <v>#REF!</v>
      </c>
      <c r="AE122" s="1" t="e">
        <f>SUMIFS(#REF!,#REF!,
 $A122,#REF!,
 "&gt;="&amp;INT($AG$1),#REF!,
 "&lt;="&amp;INT($AH$1)
)</f>
        <v>#REF!</v>
      </c>
      <c r="AF122" s="1" t="e">
        <f t="shared" si="47"/>
        <v>#REF!</v>
      </c>
      <c r="AG122" s="9" t="e">
        <f t="shared" si="48"/>
        <v>#REF!</v>
      </c>
      <c r="AH122" s="10" t="e">
        <f t="shared" si="49"/>
        <v>#REF!</v>
      </c>
      <c r="AI122" s="1" t="e">
        <f>SUMIFS(#REF!,#REF!,
 $A122,#REF!,
 "&gt;="&amp;INT($AK$1),#REF!,
 "&lt;="&amp;INT($AL$1)
)</f>
        <v>#REF!</v>
      </c>
      <c r="AJ122" s="1" t="e">
        <f t="shared" si="50"/>
        <v>#REF!</v>
      </c>
      <c r="AK122" s="9" t="e">
        <f t="shared" si="51"/>
        <v>#REF!</v>
      </c>
      <c r="AL122" s="10" t="e">
        <f t="shared" si="52"/>
        <v>#REF!</v>
      </c>
      <c r="AM122" s="1" t="e">
        <f>SUMIFS(#REF!,#REF!,
 $A122,#REF!,
 "&gt;="&amp;INT($AO$1),#REF!,
 "&lt;="&amp;INT($AP$1)
)</f>
        <v>#REF!</v>
      </c>
      <c r="AN122" s="1" t="e">
        <f t="shared" si="53"/>
        <v>#REF!</v>
      </c>
      <c r="AO122" s="9" t="e">
        <f t="shared" si="54"/>
        <v>#REF!</v>
      </c>
      <c r="AP122" s="10" t="e">
        <f t="shared" si="55"/>
        <v>#REF!</v>
      </c>
      <c r="AQ122" s="1" t="e">
        <f>SUMIFS(#REF!,#REF!,
 $A122,#REF!,
 "&gt;="&amp;INT($AS$1),#REF!,
 "&lt;="&amp;INT($AT$1)
)</f>
        <v>#REF!</v>
      </c>
      <c r="AR122" s="1" t="e">
        <f t="shared" si="56"/>
        <v>#REF!</v>
      </c>
      <c r="AS122" s="9" t="e">
        <f t="shared" si="57"/>
        <v>#REF!</v>
      </c>
      <c r="AT122" s="10" t="e">
        <f t="shared" si="58"/>
        <v>#REF!</v>
      </c>
      <c r="AU122" s="1" t="e">
        <f>SUMIFS(#REF!,#REF!,
 $A122,#REF!,
 "&gt;="&amp;INT($AW$1),#REF!,
 "&lt;="&amp;INT($AX$1)
)</f>
        <v>#REF!</v>
      </c>
      <c r="AV122" s="1" t="e">
        <f t="shared" si="59"/>
        <v>#REF!</v>
      </c>
      <c r="AW122" s="9" t="e">
        <f t="shared" si="60"/>
        <v>#REF!</v>
      </c>
      <c r="AX122" s="10" t="e">
        <f t="shared" si="61"/>
        <v>#REF!</v>
      </c>
    </row>
    <row r="123" spans="1:50" x14ac:dyDescent="0.25">
      <c r="A123" s="5">
        <v>221002</v>
      </c>
      <c r="B123" s="6" t="s">
        <v>120</v>
      </c>
      <c r="C123" s="1" t="e">
        <f>SUMIFS(#REF!,#REF!,
 $A123,#REF!,
 "&gt;="&amp;INT($E$1),#REF!,
 "&lt;"&amp;INT($F$1+1)
)</f>
        <v>#REF!</v>
      </c>
      <c r="D123" s="1" t="str">
        <f>""</f>
        <v/>
      </c>
      <c r="F123" s="2"/>
      <c r="G123" s="1" t="e">
        <f>SUMIFS(#REF!,#REF!,
 $A123,#REF!,
 "&gt;="&amp;INT($I$1),#REF!,
 "&lt;"&amp;INT($J$1+1)
)</f>
        <v>#REF!</v>
      </c>
      <c r="H123" s="1" t="e">
        <f t="shared" si="31"/>
        <v>#REF!</v>
      </c>
      <c r="I123" s="1"/>
      <c r="J123" s="2"/>
      <c r="K123" s="1" t="e">
        <f>SUMIFS(#REF!,#REF!,
 $A123,#REF!,
 "&gt;="&amp;INT($M$1),#REF!,
 "&lt;"&amp;INT($N$1+1)
)</f>
        <v>#REF!</v>
      </c>
      <c r="L123" s="1" t="e">
        <f t="shared" si="32"/>
        <v>#REF!</v>
      </c>
      <c r="M123" s="9" t="e">
        <f t="shared" si="33"/>
        <v>#REF!</v>
      </c>
      <c r="N123" s="10" t="e">
        <f t="shared" si="34"/>
        <v>#REF!</v>
      </c>
      <c r="O123" s="1" t="e">
        <f>SUMIFS(#REF!,#REF!,
 $A123,#REF!,
 "&gt;="&amp;INT($Q$1),#REF!,
 "&lt;="&amp;INT($R$1)
)</f>
        <v>#REF!</v>
      </c>
      <c r="P123" s="1" t="e">
        <f t="shared" si="35"/>
        <v>#REF!</v>
      </c>
      <c r="Q123" s="9" t="e">
        <f t="shared" si="36"/>
        <v>#REF!</v>
      </c>
      <c r="R123" s="10" t="e">
        <f t="shared" si="37"/>
        <v>#REF!</v>
      </c>
      <c r="S123" s="1" t="e">
        <f>SUMIFS(#REF!,#REF!,
 $A123,#REF!,
 "&gt;="&amp;INT($U$1),#REF!,
 "&lt;="&amp;INT($V$1)
)</f>
        <v>#REF!</v>
      </c>
      <c r="T123" s="1" t="e">
        <f t="shared" si="38"/>
        <v>#REF!</v>
      </c>
      <c r="U123" s="9" t="e">
        <f t="shared" si="39"/>
        <v>#REF!</v>
      </c>
      <c r="V123" s="10" t="e">
        <f t="shared" si="40"/>
        <v>#REF!</v>
      </c>
      <c r="W123" s="1" t="e">
        <f>SUMIFS(#REF!,#REF!,
 $A123,#REF!,
 "&gt;="&amp;INT($Y$1),#REF!,
 "&lt;="&amp;INT($Z$1)
)</f>
        <v>#REF!</v>
      </c>
      <c r="X123" s="1" t="e">
        <f t="shared" si="41"/>
        <v>#REF!</v>
      </c>
      <c r="Y123" s="9" t="e">
        <f t="shared" si="42"/>
        <v>#REF!</v>
      </c>
      <c r="Z123" s="10" t="e">
        <f t="shared" si="43"/>
        <v>#REF!</v>
      </c>
      <c r="AA123" s="1" t="e">
        <f>SUMIFS(#REF!,#REF!,
 $A123,#REF!,
 "&gt;="&amp;INT($AC$1),#REF!,
 "&lt;="&amp;INT($AD$1)
)</f>
        <v>#REF!</v>
      </c>
      <c r="AB123" s="1" t="e">
        <f t="shared" si="44"/>
        <v>#REF!</v>
      </c>
      <c r="AC123" s="9" t="e">
        <f t="shared" si="45"/>
        <v>#REF!</v>
      </c>
      <c r="AD123" s="10" t="e">
        <f t="shared" si="46"/>
        <v>#REF!</v>
      </c>
      <c r="AE123" s="1" t="e">
        <f>SUMIFS(#REF!,#REF!,
 $A123,#REF!,
 "&gt;="&amp;INT($AG$1),#REF!,
 "&lt;="&amp;INT($AH$1)
)</f>
        <v>#REF!</v>
      </c>
      <c r="AF123" s="1" t="e">
        <f t="shared" si="47"/>
        <v>#REF!</v>
      </c>
      <c r="AG123" s="9" t="e">
        <f t="shared" si="48"/>
        <v>#REF!</v>
      </c>
      <c r="AH123" s="10" t="e">
        <f t="shared" si="49"/>
        <v>#REF!</v>
      </c>
      <c r="AI123" s="1" t="e">
        <f>SUMIFS(#REF!,#REF!,
 $A123,#REF!,
 "&gt;="&amp;INT($AK$1),#REF!,
 "&lt;="&amp;INT($AL$1)
)</f>
        <v>#REF!</v>
      </c>
      <c r="AJ123" s="1" t="e">
        <f t="shared" si="50"/>
        <v>#REF!</v>
      </c>
      <c r="AK123" s="9" t="e">
        <f t="shared" si="51"/>
        <v>#REF!</v>
      </c>
      <c r="AL123" s="10" t="e">
        <f t="shared" si="52"/>
        <v>#REF!</v>
      </c>
      <c r="AM123" s="1" t="e">
        <f>SUMIFS(#REF!,#REF!,
 $A123,#REF!,
 "&gt;="&amp;INT($AO$1),#REF!,
 "&lt;="&amp;INT($AP$1)
)</f>
        <v>#REF!</v>
      </c>
      <c r="AN123" s="1" t="e">
        <f t="shared" si="53"/>
        <v>#REF!</v>
      </c>
      <c r="AO123" s="9" t="e">
        <f t="shared" si="54"/>
        <v>#REF!</v>
      </c>
      <c r="AP123" s="10" t="e">
        <f t="shared" si="55"/>
        <v>#REF!</v>
      </c>
      <c r="AQ123" s="1" t="e">
        <f>SUMIFS(#REF!,#REF!,
 $A123,#REF!,
 "&gt;="&amp;INT($AS$1),#REF!,
 "&lt;="&amp;INT($AT$1)
)</f>
        <v>#REF!</v>
      </c>
      <c r="AR123" s="1" t="e">
        <f t="shared" si="56"/>
        <v>#REF!</v>
      </c>
      <c r="AS123" s="9" t="e">
        <f t="shared" si="57"/>
        <v>#REF!</v>
      </c>
      <c r="AT123" s="10" t="e">
        <f t="shared" si="58"/>
        <v>#REF!</v>
      </c>
      <c r="AU123" s="1" t="e">
        <f>SUMIFS(#REF!,#REF!,
 $A123,#REF!,
 "&gt;="&amp;INT($AW$1),#REF!,
 "&lt;="&amp;INT($AX$1)
)</f>
        <v>#REF!</v>
      </c>
      <c r="AV123" s="1" t="e">
        <f t="shared" si="59"/>
        <v>#REF!</v>
      </c>
      <c r="AW123" s="9" t="e">
        <f t="shared" si="60"/>
        <v>#REF!</v>
      </c>
      <c r="AX123" s="10" t="e">
        <f t="shared" si="61"/>
        <v>#REF!</v>
      </c>
    </row>
    <row r="124" spans="1:50" x14ac:dyDescent="0.25">
      <c r="A124" s="5">
        <v>221003</v>
      </c>
      <c r="B124" s="6" t="s">
        <v>121</v>
      </c>
      <c r="C124" s="1" t="e">
        <f>SUMIFS(#REF!,#REF!,
 $A124,#REF!,
 "&gt;="&amp;INT($E$1),#REF!,
 "&lt;"&amp;INT($F$1+1)
)</f>
        <v>#REF!</v>
      </c>
      <c r="D124" s="1" t="str">
        <f>""</f>
        <v/>
      </c>
      <c r="F124" s="2"/>
      <c r="G124" s="1" t="e">
        <f>SUMIFS(#REF!,#REF!,
 $A124,#REF!,
 "&gt;="&amp;INT($I$1),#REF!,
 "&lt;"&amp;INT($J$1+1)
)</f>
        <v>#REF!</v>
      </c>
      <c r="H124" s="1" t="e">
        <f t="shared" si="31"/>
        <v>#REF!</v>
      </c>
      <c r="I124" s="1"/>
      <c r="J124" s="2"/>
      <c r="K124" s="1" t="e">
        <f>SUMIFS(#REF!,#REF!,
 $A124,#REF!,
 "&gt;="&amp;INT($M$1),#REF!,
 "&lt;"&amp;INT($N$1+1)
)</f>
        <v>#REF!</v>
      </c>
      <c r="L124" s="1" t="e">
        <f t="shared" si="32"/>
        <v>#REF!</v>
      </c>
      <c r="M124" s="9" t="e">
        <f t="shared" si="33"/>
        <v>#REF!</v>
      </c>
      <c r="N124" s="10" t="e">
        <f t="shared" si="34"/>
        <v>#REF!</v>
      </c>
      <c r="O124" s="1" t="e">
        <f>SUMIFS(#REF!,#REF!,
 $A124,#REF!,
 "&gt;="&amp;INT($Q$1),#REF!,
 "&lt;="&amp;INT($R$1)
)</f>
        <v>#REF!</v>
      </c>
      <c r="P124" s="1" t="e">
        <f t="shared" si="35"/>
        <v>#REF!</v>
      </c>
      <c r="Q124" s="9" t="e">
        <f t="shared" si="36"/>
        <v>#REF!</v>
      </c>
      <c r="R124" s="10" t="e">
        <f t="shared" si="37"/>
        <v>#REF!</v>
      </c>
      <c r="S124" s="1" t="e">
        <f>SUMIFS(#REF!,#REF!,
 $A124,#REF!,
 "&gt;="&amp;INT($U$1),#REF!,
 "&lt;="&amp;INT($V$1)
)</f>
        <v>#REF!</v>
      </c>
      <c r="T124" s="1" t="e">
        <f t="shared" si="38"/>
        <v>#REF!</v>
      </c>
      <c r="U124" s="9" t="e">
        <f t="shared" si="39"/>
        <v>#REF!</v>
      </c>
      <c r="V124" s="10" t="e">
        <f t="shared" si="40"/>
        <v>#REF!</v>
      </c>
      <c r="W124" s="1" t="e">
        <f>SUMIFS(#REF!,#REF!,
 $A124,#REF!,
 "&gt;="&amp;INT($Y$1),#REF!,
 "&lt;="&amp;INT($Z$1)
)</f>
        <v>#REF!</v>
      </c>
      <c r="X124" s="1" t="e">
        <f t="shared" si="41"/>
        <v>#REF!</v>
      </c>
      <c r="Y124" s="9" t="e">
        <f t="shared" si="42"/>
        <v>#REF!</v>
      </c>
      <c r="Z124" s="10" t="e">
        <f t="shared" si="43"/>
        <v>#REF!</v>
      </c>
      <c r="AA124" s="1" t="e">
        <f>SUMIFS(#REF!,#REF!,
 $A124,#REF!,
 "&gt;="&amp;INT($AC$1),#REF!,
 "&lt;="&amp;INT($AD$1)
)</f>
        <v>#REF!</v>
      </c>
      <c r="AB124" s="1" t="e">
        <f t="shared" si="44"/>
        <v>#REF!</v>
      </c>
      <c r="AC124" s="9" t="e">
        <f t="shared" si="45"/>
        <v>#REF!</v>
      </c>
      <c r="AD124" s="10" t="e">
        <f t="shared" si="46"/>
        <v>#REF!</v>
      </c>
      <c r="AE124" s="1" t="e">
        <f>SUMIFS(#REF!,#REF!,
 $A124,#REF!,
 "&gt;="&amp;INT($AG$1),#REF!,
 "&lt;="&amp;INT($AH$1)
)</f>
        <v>#REF!</v>
      </c>
      <c r="AF124" s="1" t="e">
        <f t="shared" si="47"/>
        <v>#REF!</v>
      </c>
      <c r="AG124" s="9" t="e">
        <f t="shared" si="48"/>
        <v>#REF!</v>
      </c>
      <c r="AH124" s="10" t="e">
        <f t="shared" si="49"/>
        <v>#REF!</v>
      </c>
      <c r="AI124" s="1" t="e">
        <f>SUMIFS(#REF!,#REF!,
 $A124,#REF!,
 "&gt;="&amp;INT($AK$1),#REF!,
 "&lt;="&amp;INT($AL$1)
)</f>
        <v>#REF!</v>
      </c>
      <c r="AJ124" s="1" t="e">
        <f t="shared" si="50"/>
        <v>#REF!</v>
      </c>
      <c r="AK124" s="9" t="e">
        <f t="shared" si="51"/>
        <v>#REF!</v>
      </c>
      <c r="AL124" s="10" t="e">
        <f t="shared" si="52"/>
        <v>#REF!</v>
      </c>
      <c r="AM124" s="1" t="e">
        <f>SUMIFS(#REF!,#REF!,
 $A124,#REF!,
 "&gt;="&amp;INT($AO$1),#REF!,
 "&lt;="&amp;INT($AP$1)
)</f>
        <v>#REF!</v>
      </c>
      <c r="AN124" s="1" t="e">
        <f t="shared" si="53"/>
        <v>#REF!</v>
      </c>
      <c r="AO124" s="9" t="e">
        <f t="shared" si="54"/>
        <v>#REF!</v>
      </c>
      <c r="AP124" s="10" t="e">
        <f t="shared" si="55"/>
        <v>#REF!</v>
      </c>
      <c r="AQ124" s="1" t="e">
        <f>SUMIFS(#REF!,#REF!,
 $A124,#REF!,
 "&gt;="&amp;INT($AS$1),#REF!,
 "&lt;="&amp;INT($AT$1)
)</f>
        <v>#REF!</v>
      </c>
      <c r="AR124" s="1" t="e">
        <f t="shared" si="56"/>
        <v>#REF!</v>
      </c>
      <c r="AS124" s="9" t="e">
        <f t="shared" si="57"/>
        <v>#REF!</v>
      </c>
      <c r="AT124" s="10" t="e">
        <f t="shared" si="58"/>
        <v>#REF!</v>
      </c>
      <c r="AU124" s="1" t="e">
        <f>SUMIFS(#REF!,#REF!,
 $A124,#REF!,
 "&gt;="&amp;INT($AW$1),#REF!,
 "&lt;="&amp;INT($AX$1)
)</f>
        <v>#REF!</v>
      </c>
      <c r="AV124" s="1" t="e">
        <f t="shared" si="59"/>
        <v>#REF!</v>
      </c>
      <c r="AW124" s="9" t="e">
        <f t="shared" si="60"/>
        <v>#REF!</v>
      </c>
      <c r="AX124" s="10" t="e">
        <f t="shared" si="61"/>
        <v>#REF!</v>
      </c>
    </row>
    <row r="125" spans="1:50" x14ac:dyDescent="0.25">
      <c r="A125" s="5">
        <v>221004</v>
      </c>
      <c r="B125" s="6" t="s">
        <v>122</v>
      </c>
      <c r="C125" s="1" t="e">
        <f>SUMIFS(#REF!,#REF!,
 $A125,#REF!,
 "&gt;="&amp;INT($E$1),#REF!,
 "&lt;"&amp;INT($F$1+1)
)</f>
        <v>#REF!</v>
      </c>
      <c r="D125" s="1" t="str">
        <f>""</f>
        <v/>
      </c>
      <c r="F125" s="2"/>
      <c r="G125" s="1" t="e">
        <f>SUMIFS(#REF!,#REF!,
 $A125,#REF!,
 "&gt;="&amp;INT($I$1),#REF!,
 "&lt;"&amp;INT($J$1+1)
)</f>
        <v>#REF!</v>
      </c>
      <c r="H125" s="1" t="e">
        <f t="shared" si="31"/>
        <v>#REF!</v>
      </c>
      <c r="I125" s="1"/>
      <c r="J125" s="2"/>
      <c r="K125" s="1" t="e">
        <f>SUMIFS(#REF!,#REF!,
 $A125,#REF!,
 "&gt;="&amp;INT($M$1),#REF!,
 "&lt;"&amp;INT($N$1+1)
)</f>
        <v>#REF!</v>
      </c>
      <c r="L125" s="1" t="e">
        <f t="shared" si="32"/>
        <v>#REF!</v>
      </c>
      <c r="M125" s="9" t="e">
        <f t="shared" si="33"/>
        <v>#REF!</v>
      </c>
      <c r="N125" s="10" t="e">
        <f t="shared" si="34"/>
        <v>#REF!</v>
      </c>
      <c r="O125" s="1" t="e">
        <f>SUMIFS(#REF!,#REF!,
 $A125,#REF!,
 "&gt;="&amp;INT($Q$1),#REF!,
 "&lt;="&amp;INT($R$1)
)</f>
        <v>#REF!</v>
      </c>
      <c r="P125" s="1" t="e">
        <f t="shared" si="35"/>
        <v>#REF!</v>
      </c>
      <c r="Q125" s="9" t="e">
        <f t="shared" si="36"/>
        <v>#REF!</v>
      </c>
      <c r="R125" s="10" t="e">
        <f t="shared" si="37"/>
        <v>#REF!</v>
      </c>
      <c r="S125" s="1" t="e">
        <f>SUMIFS(#REF!,#REF!,
 $A125,#REF!,
 "&gt;="&amp;INT($U$1),#REF!,
 "&lt;="&amp;INT($V$1)
)</f>
        <v>#REF!</v>
      </c>
      <c r="T125" s="1" t="e">
        <f t="shared" si="38"/>
        <v>#REF!</v>
      </c>
      <c r="U125" s="9" t="e">
        <f t="shared" si="39"/>
        <v>#REF!</v>
      </c>
      <c r="V125" s="10" t="e">
        <f t="shared" si="40"/>
        <v>#REF!</v>
      </c>
      <c r="W125" s="1" t="e">
        <f>SUMIFS(#REF!,#REF!,
 $A125,#REF!,
 "&gt;="&amp;INT($Y$1),#REF!,
 "&lt;="&amp;INT($Z$1)
)</f>
        <v>#REF!</v>
      </c>
      <c r="X125" s="1" t="e">
        <f t="shared" si="41"/>
        <v>#REF!</v>
      </c>
      <c r="Y125" s="9" t="e">
        <f t="shared" si="42"/>
        <v>#REF!</v>
      </c>
      <c r="Z125" s="10" t="e">
        <f t="shared" si="43"/>
        <v>#REF!</v>
      </c>
      <c r="AA125" s="1" t="e">
        <f>SUMIFS(#REF!,#REF!,
 $A125,#REF!,
 "&gt;="&amp;INT($AC$1),#REF!,
 "&lt;="&amp;INT($AD$1)
)</f>
        <v>#REF!</v>
      </c>
      <c r="AB125" s="1" t="e">
        <f t="shared" si="44"/>
        <v>#REF!</v>
      </c>
      <c r="AC125" s="9" t="e">
        <f t="shared" si="45"/>
        <v>#REF!</v>
      </c>
      <c r="AD125" s="10" t="e">
        <f t="shared" si="46"/>
        <v>#REF!</v>
      </c>
      <c r="AE125" s="1" t="e">
        <f>SUMIFS(#REF!,#REF!,
 $A125,#REF!,
 "&gt;="&amp;INT($AG$1),#REF!,
 "&lt;="&amp;INT($AH$1)
)</f>
        <v>#REF!</v>
      </c>
      <c r="AF125" s="1" t="e">
        <f t="shared" si="47"/>
        <v>#REF!</v>
      </c>
      <c r="AG125" s="9" t="e">
        <f t="shared" si="48"/>
        <v>#REF!</v>
      </c>
      <c r="AH125" s="10" t="e">
        <f t="shared" si="49"/>
        <v>#REF!</v>
      </c>
      <c r="AI125" s="1" t="e">
        <f>SUMIFS(#REF!,#REF!,
 $A125,#REF!,
 "&gt;="&amp;INT($AK$1),#REF!,
 "&lt;="&amp;INT($AL$1)
)</f>
        <v>#REF!</v>
      </c>
      <c r="AJ125" s="1" t="e">
        <f t="shared" si="50"/>
        <v>#REF!</v>
      </c>
      <c r="AK125" s="9" t="e">
        <f t="shared" si="51"/>
        <v>#REF!</v>
      </c>
      <c r="AL125" s="10" t="e">
        <f t="shared" si="52"/>
        <v>#REF!</v>
      </c>
      <c r="AM125" s="1" t="e">
        <f>SUMIFS(#REF!,#REF!,
 $A125,#REF!,
 "&gt;="&amp;INT($AO$1),#REF!,
 "&lt;="&amp;INT($AP$1)
)</f>
        <v>#REF!</v>
      </c>
      <c r="AN125" s="1" t="e">
        <f t="shared" si="53"/>
        <v>#REF!</v>
      </c>
      <c r="AO125" s="9" t="e">
        <f t="shared" si="54"/>
        <v>#REF!</v>
      </c>
      <c r="AP125" s="10" t="e">
        <f t="shared" si="55"/>
        <v>#REF!</v>
      </c>
      <c r="AQ125" s="1" t="e">
        <f>SUMIFS(#REF!,#REF!,
 $A125,#REF!,
 "&gt;="&amp;INT($AS$1),#REF!,
 "&lt;="&amp;INT($AT$1)
)</f>
        <v>#REF!</v>
      </c>
      <c r="AR125" s="1" t="e">
        <f t="shared" si="56"/>
        <v>#REF!</v>
      </c>
      <c r="AS125" s="9" t="e">
        <f t="shared" si="57"/>
        <v>#REF!</v>
      </c>
      <c r="AT125" s="10" t="e">
        <f t="shared" si="58"/>
        <v>#REF!</v>
      </c>
      <c r="AU125" s="1" t="e">
        <f>SUMIFS(#REF!,#REF!,
 $A125,#REF!,
 "&gt;="&amp;INT($AW$1),#REF!,
 "&lt;="&amp;INT($AX$1)
)</f>
        <v>#REF!</v>
      </c>
      <c r="AV125" s="1" t="e">
        <f t="shared" si="59"/>
        <v>#REF!</v>
      </c>
      <c r="AW125" s="9" t="e">
        <f t="shared" si="60"/>
        <v>#REF!</v>
      </c>
      <c r="AX125" s="10" t="e">
        <f t="shared" si="61"/>
        <v>#REF!</v>
      </c>
    </row>
    <row r="126" spans="1:50" x14ac:dyDescent="0.25">
      <c r="A126" s="5">
        <v>221005</v>
      </c>
      <c r="B126" s="6" t="s">
        <v>123</v>
      </c>
      <c r="C126" s="1" t="e">
        <f>SUMIFS(#REF!,#REF!,
 $A126,#REF!,
 "&gt;="&amp;INT($E$1),#REF!,
 "&lt;"&amp;INT($F$1+1)
)</f>
        <v>#REF!</v>
      </c>
      <c r="D126" s="1" t="str">
        <f>""</f>
        <v/>
      </c>
      <c r="F126" s="2"/>
      <c r="G126" s="1" t="e">
        <f>SUMIFS(#REF!,#REF!,
 $A126,#REF!,
 "&gt;="&amp;INT($I$1),#REF!,
 "&lt;"&amp;INT($J$1+1)
)</f>
        <v>#REF!</v>
      </c>
      <c r="H126" s="1" t="e">
        <f t="shared" si="31"/>
        <v>#REF!</v>
      </c>
      <c r="I126" s="1"/>
      <c r="J126" s="2"/>
      <c r="K126" s="1" t="e">
        <f>SUMIFS(#REF!,#REF!,
 $A126,#REF!,
 "&gt;="&amp;INT($M$1),#REF!,
 "&lt;"&amp;INT($N$1+1)
)</f>
        <v>#REF!</v>
      </c>
      <c r="L126" s="1" t="e">
        <f t="shared" si="32"/>
        <v>#REF!</v>
      </c>
      <c r="M126" s="9" t="e">
        <f t="shared" si="33"/>
        <v>#REF!</v>
      </c>
      <c r="N126" s="10" t="e">
        <f t="shared" si="34"/>
        <v>#REF!</v>
      </c>
      <c r="O126" s="1" t="e">
        <f>SUMIFS(#REF!,#REF!,
 $A126,#REF!,
 "&gt;="&amp;INT($Q$1),#REF!,
 "&lt;="&amp;INT($R$1)
)</f>
        <v>#REF!</v>
      </c>
      <c r="P126" s="1" t="e">
        <f t="shared" si="35"/>
        <v>#REF!</v>
      </c>
      <c r="Q126" s="9" t="e">
        <f t="shared" si="36"/>
        <v>#REF!</v>
      </c>
      <c r="R126" s="10" t="e">
        <f t="shared" si="37"/>
        <v>#REF!</v>
      </c>
      <c r="S126" s="1" t="e">
        <f>SUMIFS(#REF!,#REF!,
 $A126,#REF!,
 "&gt;="&amp;INT($U$1),#REF!,
 "&lt;="&amp;INT($V$1)
)</f>
        <v>#REF!</v>
      </c>
      <c r="T126" s="1" t="e">
        <f t="shared" si="38"/>
        <v>#REF!</v>
      </c>
      <c r="U126" s="9" t="e">
        <f t="shared" si="39"/>
        <v>#REF!</v>
      </c>
      <c r="V126" s="10" t="e">
        <f t="shared" si="40"/>
        <v>#REF!</v>
      </c>
      <c r="W126" s="1" t="e">
        <f>SUMIFS(#REF!,#REF!,
 $A126,#REF!,
 "&gt;="&amp;INT($Y$1),#REF!,
 "&lt;="&amp;INT($Z$1)
)</f>
        <v>#REF!</v>
      </c>
      <c r="X126" s="1" t="e">
        <f t="shared" si="41"/>
        <v>#REF!</v>
      </c>
      <c r="Y126" s="9" t="e">
        <f t="shared" si="42"/>
        <v>#REF!</v>
      </c>
      <c r="Z126" s="10" t="e">
        <f t="shared" si="43"/>
        <v>#REF!</v>
      </c>
      <c r="AA126" s="1" t="e">
        <f>SUMIFS(#REF!,#REF!,
 $A126,#REF!,
 "&gt;="&amp;INT($AC$1),#REF!,
 "&lt;="&amp;INT($AD$1)
)</f>
        <v>#REF!</v>
      </c>
      <c r="AB126" s="1" t="e">
        <f t="shared" si="44"/>
        <v>#REF!</v>
      </c>
      <c r="AC126" s="9" t="e">
        <f t="shared" si="45"/>
        <v>#REF!</v>
      </c>
      <c r="AD126" s="10" t="e">
        <f t="shared" si="46"/>
        <v>#REF!</v>
      </c>
      <c r="AE126" s="1" t="e">
        <f>SUMIFS(#REF!,#REF!,
 $A126,#REF!,
 "&gt;="&amp;INT($AG$1),#REF!,
 "&lt;="&amp;INT($AH$1)
)</f>
        <v>#REF!</v>
      </c>
      <c r="AF126" s="1" t="e">
        <f t="shared" si="47"/>
        <v>#REF!</v>
      </c>
      <c r="AG126" s="9" t="e">
        <f t="shared" si="48"/>
        <v>#REF!</v>
      </c>
      <c r="AH126" s="10" t="e">
        <f t="shared" si="49"/>
        <v>#REF!</v>
      </c>
      <c r="AI126" s="1" t="e">
        <f>SUMIFS(#REF!,#REF!,
 $A126,#REF!,
 "&gt;="&amp;INT($AK$1),#REF!,
 "&lt;="&amp;INT($AL$1)
)</f>
        <v>#REF!</v>
      </c>
      <c r="AJ126" s="1" t="e">
        <f t="shared" si="50"/>
        <v>#REF!</v>
      </c>
      <c r="AK126" s="9" t="e">
        <f t="shared" si="51"/>
        <v>#REF!</v>
      </c>
      <c r="AL126" s="10" t="e">
        <f t="shared" si="52"/>
        <v>#REF!</v>
      </c>
      <c r="AM126" s="1" t="e">
        <f>SUMIFS(#REF!,#REF!,
 $A126,#REF!,
 "&gt;="&amp;INT($AO$1),#REF!,
 "&lt;="&amp;INT($AP$1)
)</f>
        <v>#REF!</v>
      </c>
      <c r="AN126" s="1" t="e">
        <f t="shared" si="53"/>
        <v>#REF!</v>
      </c>
      <c r="AO126" s="9" t="e">
        <f t="shared" si="54"/>
        <v>#REF!</v>
      </c>
      <c r="AP126" s="10" t="e">
        <f t="shared" si="55"/>
        <v>#REF!</v>
      </c>
      <c r="AQ126" s="1" t="e">
        <f>SUMIFS(#REF!,#REF!,
 $A126,#REF!,
 "&gt;="&amp;INT($AS$1),#REF!,
 "&lt;="&amp;INT($AT$1)
)</f>
        <v>#REF!</v>
      </c>
      <c r="AR126" s="1" t="e">
        <f t="shared" si="56"/>
        <v>#REF!</v>
      </c>
      <c r="AS126" s="9" t="e">
        <f t="shared" si="57"/>
        <v>#REF!</v>
      </c>
      <c r="AT126" s="10" t="e">
        <f t="shared" si="58"/>
        <v>#REF!</v>
      </c>
      <c r="AU126" s="1" t="e">
        <f>SUMIFS(#REF!,#REF!,
 $A126,#REF!,
 "&gt;="&amp;INT($AW$1),#REF!,
 "&lt;="&amp;INT($AX$1)
)</f>
        <v>#REF!</v>
      </c>
      <c r="AV126" s="1" t="e">
        <f t="shared" si="59"/>
        <v>#REF!</v>
      </c>
      <c r="AW126" s="9" t="e">
        <f t="shared" si="60"/>
        <v>#REF!</v>
      </c>
      <c r="AX126" s="10" t="e">
        <f t="shared" si="61"/>
        <v>#REF!</v>
      </c>
    </row>
    <row r="127" spans="1:50" x14ac:dyDescent="0.25">
      <c r="A127" s="5">
        <v>222001</v>
      </c>
      <c r="B127" s="6" t="s">
        <v>124</v>
      </c>
      <c r="C127" s="1" t="e">
        <f>SUMIFS(#REF!,#REF!,
 $A127,#REF!,
 "&gt;="&amp;INT($E$1),#REF!,
 "&lt;"&amp;INT($F$1+1)
)</f>
        <v>#REF!</v>
      </c>
      <c r="D127" s="1" t="str">
        <f>""</f>
        <v/>
      </c>
      <c r="F127" s="2"/>
      <c r="G127" s="1" t="e">
        <f>SUMIFS(#REF!,#REF!,
 $A127,#REF!,
 "&gt;="&amp;INT($I$1),#REF!,
 "&lt;"&amp;INT($J$1+1)
)</f>
        <v>#REF!</v>
      </c>
      <c r="H127" s="1" t="e">
        <f t="shared" si="31"/>
        <v>#REF!</v>
      </c>
      <c r="I127" s="1"/>
      <c r="J127" s="2"/>
      <c r="K127" s="1" t="e">
        <f>SUMIFS(#REF!,#REF!,
 $A127,#REF!,
 "&gt;="&amp;INT($M$1),#REF!,
 "&lt;"&amp;INT($N$1+1)
)</f>
        <v>#REF!</v>
      </c>
      <c r="L127" s="1" t="e">
        <f t="shared" si="32"/>
        <v>#REF!</v>
      </c>
      <c r="M127" s="9" t="e">
        <f t="shared" si="33"/>
        <v>#REF!</v>
      </c>
      <c r="N127" s="10" t="e">
        <f t="shared" si="34"/>
        <v>#REF!</v>
      </c>
      <c r="O127" s="1" t="e">
        <f>SUMIFS(#REF!,#REF!,
 $A127,#REF!,
 "&gt;="&amp;INT($Q$1),#REF!,
 "&lt;="&amp;INT($R$1)
)</f>
        <v>#REF!</v>
      </c>
      <c r="P127" s="1" t="e">
        <f t="shared" si="35"/>
        <v>#REF!</v>
      </c>
      <c r="Q127" s="9" t="e">
        <f t="shared" si="36"/>
        <v>#REF!</v>
      </c>
      <c r="R127" s="10" t="e">
        <f t="shared" si="37"/>
        <v>#REF!</v>
      </c>
      <c r="S127" s="1" t="e">
        <f>SUMIFS(#REF!,#REF!,
 $A127,#REF!,
 "&gt;="&amp;INT($U$1),#REF!,
 "&lt;="&amp;INT($V$1)
)</f>
        <v>#REF!</v>
      </c>
      <c r="T127" s="1" t="e">
        <f t="shared" si="38"/>
        <v>#REF!</v>
      </c>
      <c r="U127" s="9" t="e">
        <f t="shared" si="39"/>
        <v>#REF!</v>
      </c>
      <c r="V127" s="10" t="e">
        <f t="shared" si="40"/>
        <v>#REF!</v>
      </c>
      <c r="W127" s="1" t="e">
        <f>SUMIFS(#REF!,#REF!,
 $A127,#REF!,
 "&gt;="&amp;INT($Y$1),#REF!,
 "&lt;="&amp;INT($Z$1)
)</f>
        <v>#REF!</v>
      </c>
      <c r="X127" s="1" t="e">
        <f t="shared" si="41"/>
        <v>#REF!</v>
      </c>
      <c r="Y127" s="9" t="e">
        <f t="shared" si="42"/>
        <v>#REF!</v>
      </c>
      <c r="Z127" s="10" t="e">
        <f t="shared" si="43"/>
        <v>#REF!</v>
      </c>
      <c r="AA127" s="1" t="e">
        <f>SUMIFS(#REF!,#REF!,
 $A127,#REF!,
 "&gt;="&amp;INT($AC$1),#REF!,
 "&lt;="&amp;INT($AD$1)
)</f>
        <v>#REF!</v>
      </c>
      <c r="AB127" s="1" t="e">
        <f t="shared" si="44"/>
        <v>#REF!</v>
      </c>
      <c r="AC127" s="9" t="e">
        <f t="shared" si="45"/>
        <v>#REF!</v>
      </c>
      <c r="AD127" s="10" t="e">
        <f t="shared" si="46"/>
        <v>#REF!</v>
      </c>
      <c r="AE127" s="1" t="e">
        <f>SUMIFS(#REF!,#REF!,
 $A127,#REF!,
 "&gt;="&amp;INT($AG$1),#REF!,
 "&lt;="&amp;INT($AH$1)
)</f>
        <v>#REF!</v>
      </c>
      <c r="AF127" s="1" t="e">
        <f t="shared" si="47"/>
        <v>#REF!</v>
      </c>
      <c r="AG127" s="9" t="e">
        <f t="shared" si="48"/>
        <v>#REF!</v>
      </c>
      <c r="AH127" s="10" t="e">
        <f t="shared" si="49"/>
        <v>#REF!</v>
      </c>
      <c r="AI127" s="1" t="e">
        <f>SUMIFS(#REF!,#REF!,
 $A127,#REF!,
 "&gt;="&amp;INT($AK$1),#REF!,
 "&lt;="&amp;INT($AL$1)
)</f>
        <v>#REF!</v>
      </c>
      <c r="AJ127" s="1" t="e">
        <f t="shared" si="50"/>
        <v>#REF!</v>
      </c>
      <c r="AK127" s="9" t="e">
        <f t="shared" si="51"/>
        <v>#REF!</v>
      </c>
      <c r="AL127" s="10" t="e">
        <f t="shared" si="52"/>
        <v>#REF!</v>
      </c>
      <c r="AM127" s="1" t="e">
        <f>SUMIFS(#REF!,#REF!,
 $A127,#REF!,
 "&gt;="&amp;INT($AO$1),#REF!,
 "&lt;="&amp;INT($AP$1)
)</f>
        <v>#REF!</v>
      </c>
      <c r="AN127" s="1" t="e">
        <f t="shared" si="53"/>
        <v>#REF!</v>
      </c>
      <c r="AO127" s="9" t="e">
        <f t="shared" si="54"/>
        <v>#REF!</v>
      </c>
      <c r="AP127" s="10" t="e">
        <f t="shared" si="55"/>
        <v>#REF!</v>
      </c>
      <c r="AQ127" s="1" t="e">
        <f>SUMIFS(#REF!,#REF!,
 $A127,#REF!,
 "&gt;="&amp;INT($AS$1),#REF!,
 "&lt;="&amp;INT($AT$1)
)</f>
        <v>#REF!</v>
      </c>
      <c r="AR127" s="1" t="e">
        <f t="shared" si="56"/>
        <v>#REF!</v>
      </c>
      <c r="AS127" s="9" t="e">
        <f t="shared" si="57"/>
        <v>#REF!</v>
      </c>
      <c r="AT127" s="10" t="e">
        <f t="shared" si="58"/>
        <v>#REF!</v>
      </c>
      <c r="AU127" s="1" t="e">
        <f>SUMIFS(#REF!,#REF!,
 $A127,#REF!,
 "&gt;="&amp;INT($AW$1),#REF!,
 "&lt;="&amp;INT($AX$1)
)</f>
        <v>#REF!</v>
      </c>
      <c r="AV127" s="1" t="e">
        <f t="shared" si="59"/>
        <v>#REF!</v>
      </c>
      <c r="AW127" s="9" t="e">
        <f t="shared" si="60"/>
        <v>#REF!</v>
      </c>
      <c r="AX127" s="10" t="e">
        <f t="shared" si="61"/>
        <v>#REF!</v>
      </c>
    </row>
    <row r="128" spans="1:50" x14ac:dyDescent="0.25">
      <c r="A128" s="5">
        <v>222002</v>
      </c>
      <c r="B128" s="6" t="s">
        <v>125</v>
      </c>
      <c r="C128" s="1" t="e">
        <f>SUMIFS(#REF!,#REF!,
 $A128,#REF!,
 "&gt;="&amp;INT($E$1),#REF!,
 "&lt;"&amp;INT($F$1+1)
)</f>
        <v>#REF!</v>
      </c>
      <c r="D128" s="1" t="str">
        <f>""</f>
        <v/>
      </c>
      <c r="F128" s="2"/>
      <c r="G128" s="1" t="e">
        <f>SUMIFS(#REF!,#REF!,
 $A128,#REF!,
 "&gt;="&amp;INT($I$1),#REF!,
 "&lt;"&amp;INT($J$1+1)
)</f>
        <v>#REF!</v>
      </c>
      <c r="H128" s="1" t="e">
        <f t="shared" si="31"/>
        <v>#REF!</v>
      </c>
      <c r="I128" s="1"/>
      <c r="J128" s="2"/>
      <c r="K128" s="1" t="e">
        <f>SUMIFS(#REF!,#REF!,
 $A128,#REF!,
 "&gt;="&amp;INT($M$1),#REF!,
 "&lt;"&amp;INT($N$1+1)
)</f>
        <v>#REF!</v>
      </c>
      <c r="L128" s="1" t="e">
        <f t="shared" si="32"/>
        <v>#REF!</v>
      </c>
      <c r="M128" s="9" t="e">
        <f t="shared" si="33"/>
        <v>#REF!</v>
      </c>
      <c r="N128" s="10" t="e">
        <f t="shared" si="34"/>
        <v>#REF!</v>
      </c>
      <c r="O128" s="1" t="e">
        <f>SUMIFS(#REF!,#REF!,
 $A128,#REF!,
 "&gt;="&amp;INT($Q$1),#REF!,
 "&lt;="&amp;INT($R$1)
)</f>
        <v>#REF!</v>
      </c>
      <c r="P128" s="1" t="e">
        <f t="shared" si="35"/>
        <v>#REF!</v>
      </c>
      <c r="Q128" s="9" t="e">
        <f t="shared" si="36"/>
        <v>#REF!</v>
      </c>
      <c r="R128" s="10" t="e">
        <f t="shared" si="37"/>
        <v>#REF!</v>
      </c>
      <c r="S128" s="1" t="e">
        <f>SUMIFS(#REF!,#REF!,
 $A128,#REF!,
 "&gt;="&amp;INT($U$1),#REF!,
 "&lt;="&amp;INT($V$1)
)</f>
        <v>#REF!</v>
      </c>
      <c r="T128" s="1" t="e">
        <f t="shared" si="38"/>
        <v>#REF!</v>
      </c>
      <c r="U128" s="9" t="e">
        <f t="shared" si="39"/>
        <v>#REF!</v>
      </c>
      <c r="V128" s="10" t="e">
        <f t="shared" si="40"/>
        <v>#REF!</v>
      </c>
      <c r="W128" s="1" t="e">
        <f>SUMIFS(#REF!,#REF!,
 $A128,#REF!,
 "&gt;="&amp;INT($Y$1),#REF!,
 "&lt;="&amp;INT($Z$1)
)</f>
        <v>#REF!</v>
      </c>
      <c r="X128" s="1" t="e">
        <f t="shared" si="41"/>
        <v>#REF!</v>
      </c>
      <c r="Y128" s="9" t="e">
        <f t="shared" si="42"/>
        <v>#REF!</v>
      </c>
      <c r="Z128" s="10" t="e">
        <f t="shared" si="43"/>
        <v>#REF!</v>
      </c>
      <c r="AA128" s="1" t="e">
        <f>SUMIFS(#REF!,#REF!,
 $A128,#REF!,
 "&gt;="&amp;INT($AC$1),#REF!,
 "&lt;="&amp;INT($AD$1)
)</f>
        <v>#REF!</v>
      </c>
      <c r="AB128" s="1" t="e">
        <f t="shared" si="44"/>
        <v>#REF!</v>
      </c>
      <c r="AC128" s="9" t="e">
        <f t="shared" si="45"/>
        <v>#REF!</v>
      </c>
      <c r="AD128" s="10" t="e">
        <f t="shared" si="46"/>
        <v>#REF!</v>
      </c>
      <c r="AE128" s="1" t="e">
        <f>SUMIFS(#REF!,#REF!,
 $A128,#REF!,
 "&gt;="&amp;INT($AG$1),#REF!,
 "&lt;="&amp;INT($AH$1)
)</f>
        <v>#REF!</v>
      </c>
      <c r="AF128" s="1" t="e">
        <f t="shared" si="47"/>
        <v>#REF!</v>
      </c>
      <c r="AG128" s="9" t="e">
        <f t="shared" si="48"/>
        <v>#REF!</v>
      </c>
      <c r="AH128" s="10" t="e">
        <f t="shared" si="49"/>
        <v>#REF!</v>
      </c>
      <c r="AI128" s="1" t="e">
        <f>SUMIFS(#REF!,#REF!,
 $A128,#REF!,
 "&gt;="&amp;INT($AK$1),#REF!,
 "&lt;="&amp;INT($AL$1)
)</f>
        <v>#REF!</v>
      </c>
      <c r="AJ128" s="1" t="e">
        <f t="shared" si="50"/>
        <v>#REF!</v>
      </c>
      <c r="AK128" s="9" t="e">
        <f t="shared" si="51"/>
        <v>#REF!</v>
      </c>
      <c r="AL128" s="10" t="e">
        <f t="shared" si="52"/>
        <v>#REF!</v>
      </c>
      <c r="AM128" s="1" t="e">
        <f>SUMIFS(#REF!,#REF!,
 $A128,#REF!,
 "&gt;="&amp;INT($AO$1),#REF!,
 "&lt;="&amp;INT($AP$1)
)</f>
        <v>#REF!</v>
      </c>
      <c r="AN128" s="1" t="e">
        <f t="shared" si="53"/>
        <v>#REF!</v>
      </c>
      <c r="AO128" s="9" t="e">
        <f t="shared" si="54"/>
        <v>#REF!</v>
      </c>
      <c r="AP128" s="10" t="e">
        <f t="shared" si="55"/>
        <v>#REF!</v>
      </c>
      <c r="AQ128" s="1" t="e">
        <f>SUMIFS(#REF!,#REF!,
 $A128,#REF!,
 "&gt;="&amp;INT($AS$1),#REF!,
 "&lt;="&amp;INT($AT$1)
)</f>
        <v>#REF!</v>
      </c>
      <c r="AR128" s="1" t="e">
        <f t="shared" si="56"/>
        <v>#REF!</v>
      </c>
      <c r="AS128" s="9" t="e">
        <f t="shared" si="57"/>
        <v>#REF!</v>
      </c>
      <c r="AT128" s="10" t="e">
        <f t="shared" si="58"/>
        <v>#REF!</v>
      </c>
      <c r="AU128" s="1" t="e">
        <f>SUMIFS(#REF!,#REF!,
 $A128,#REF!,
 "&gt;="&amp;INT($AW$1),#REF!,
 "&lt;="&amp;INT($AX$1)
)</f>
        <v>#REF!</v>
      </c>
      <c r="AV128" s="1" t="e">
        <f t="shared" si="59"/>
        <v>#REF!</v>
      </c>
      <c r="AW128" s="9" t="e">
        <f t="shared" si="60"/>
        <v>#REF!</v>
      </c>
      <c r="AX128" s="10" t="e">
        <f t="shared" si="61"/>
        <v>#REF!</v>
      </c>
    </row>
    <row r="129" spans="1:50" x14ac:dyDescent="0.25">
      <c r="A129" s="5">
        <v>222005</v>
      </c>
      <c r="B129" s="6" t="s">
        <v>126</v>
      </c>
      <c r="C129" s="1" t="e">
        <f>SUMIFS(#REF!,#REF!,
 $A129,#REF!,
 "&gt;="&amp;INT($E$1),#REF!,
 "&lt;"&amp;INT($F$1+1)
)</f>
        <v>#REF!</v>
      </c>
      <c r="D129" s="1" t="str">
        <f>""</f>
        <v/>
      </c>
      <c r="F129" s="2"/>
      <c r="G129" s="1" t="e">
        <f>SUMIFS(#REF!,#REF!,
 $A129,#REF!,
 "&gt;="&amp;INT($I$1),#REF!,
 "&lt;"&amp;INT($J$1+1)
)</f>
        <v>#REF!</v>
      </c>
      <c r="H129" s="1" t="e">
        <f t="shared" si="31"/>
        <v>#REF!</v>
      </c>
      <c r="I129" s="1"/>
      <c r="J129" s="2"/>
      <c r="K129" s="1" t="e">
        <f>SUMIFS(#REF!,#REF!,
 $A129,#REF!,
 "&gt;="&amp;INT($M$1),#REF!,
 "&lt;"&amp;INT($N$1+1)
)</f>
        <v>#REF!</v>
      </c>
      <c r="L129" s="1" t="e">
        <f t="shared" si="32"/>
        <v>#REF!</v>
      </c>
      <c r="M129" s="9" t="e">
        <f t="shared" si="33"/>
        <v>#REF!</v>
      </c>
      <c r="N129" s="10" t="e">
        <f t="shared" si="34"/>
        <v>#REF!</v>
      </c>
      <c r="O129" s="1" t="e">
        <f>SUMIFS(#REF!,#REF!,
 $A129,#REF!,
 "&gt;="&amp;INT($Q$1),#REF!,
 "&lt;="&amp;INT($R$1)
)</f>
        <v>#REF!</v>
      </c>
      <c r="P129" s="1" t="e">
        <f t="shared" si="35"/>
        <v>#REF!</v>
      </c>
      <c r="Q129" s="9" t="e">
        <f t="shared" si="36"/>
        <v>#REF!</v>
      </c>
      <c r="R129" s="10" t="e">
        <f t="shared" si="37"/>
        <v>#REF!</v>
      </c>
      <c r="S129" s="1" t="e">
        <f>SUMIFS(#REF!,#REF!,
 $A129,#REF!,
 "&gt;="&amp;INT($U$1),#REF!,
 "&lt;="&amp;INT($V$1)
)</f>
        <v>#REF!</v>
      </c>
      <c r="T129" s="1" t="e">
        <f t="shared" si="38"/>
        <v>#REF!</v>
      </c>
      <c r="U129" s="9" t="e">
        <f t="shared" si="39"/>
        <v>#REF!</v>
      </c>
      <c r="V129" s="10" t="e">
        <f t="shared" si="40"/>
        <v>#REF!</v>
      </c>
      <c r="W129" s="1" t="e">
        <f>SUMIFS(#REF!,#REF!,
 $A129,#REF!,
 "&gt;="&amp;INT($Y$1),#REF!,
 "&lt;="&amp;INT($Z$1)
)</f>
        <v>#REF!</v>
      </c>
      <c r="X129" s="1" t="e">
        <f t="shared" si="41"/>
        <v>#REF!</v>
      </c>
      <c r="Y129" s="9" t="e">
        <f t="shared" si="42"/>
        <v>#REF!</v>
      </c>
      <c r="Z129" s="10" t="e">
        <f t="shared" si="43"/>
        <v>#REF!</v>
      </c>
      <c r="AA129" s="1" t="e">
        <f>SUMIFS(#REF!,#REF!,
 $A129,#REF!,
 "&gt;="&amp;INT($AC$1),#REF!,
 "&lt;="&amp;INT($AD$1)
)</f>
        <v>#REF!</v>
      </c>
      <c r="AB129" s="1" t="e">
        <f t="shared" si="44"/>
        <v>#REF!</v>
      </c>
      <c r="AC129" s="9" t="e">
        <f t="shared" si="45"/>
        <v>#REF!</v>
      </c>
      <c r="AD129" s="10" t="e">
        <f t="shared" si="46"/>
        <v>#REF!</v>
      </c>
      <c r="AE129" s="1" t="e">
        <f>SUMIFS(#REF!,#REF!,
 $A129,#REF!,
 "&gt;="&amp;INT($AG$1),#REF!,
 "&lt;="&amp;INT($AH$1)
)</f>
        <v>#REF!</v>
      </c>
      <c r="AF129" s="1" t="e">
        <f t="shared" si="47"/>
        <v>#REF!</v>
      </c>
      <c r="AG129" s="9" t="e">
        <f t="shared" si="48"/>
        <v>#REF!</v>
      </c>
      <c r="AH129" s="10" t="e">
        <f t="shared" si="49"/>
        <v>#REF!</v>
      </c>
      <c r="AI129" s="1" t="e">
        <f>SUMIFS(#REF!,#REF!,
 $A129,#REF!,
 "&gt;="&amp;INT($AK$1),#REF!,
 "&lt;="&amp;INT($AL$1)
)</f>
        <v>#REF!</v>
      </c>
      <c r="AJ129" s="1" t="e">
        <f t="shared" si="50"/>
        <v>#REF!</v>
      </c>
      <c r="AK129" s="9" t="e">
        <f t="shared" si="51"/>
        <v>#REF!</v>
      </c>
      <c r="AL129" s="10" t="e">
        <f t="shared" si="52"/>
        <v>#REF!</v>
      </c>
      <c r="AM129" s="1" t="e">
        <f>SUMIFS(#REF!,#REF!,
 $A129,#REF!,
 "&gt;="&amp;INT($AO$1),#REF!,
 "&lt;="&amp;INT($AP$1)
)</f>
        <v>#REF!</v>
      </c>
      <c r="AN129" s="1" t="e">
        <f t="shared" si="53"/>
        <v>#REF!</v>
      </c>
      <c r="AO129" s="9" t="e">
        <f t="shared" si="54"/>
        <v>#REF!</v>
      </c>
      <c r="AP129" s="10" t="e">
        <f t="shared" si="55"/>
        <v>#REF!</v>
      </c>
      <c r="AQ129" s="1" t="e">
        <f>SUMIFS(#REF!,#REF!,
 $A129,#REF!,
 "&gt;="&amp;INT($AS$1),#REF!,
 "&lt;="&amp;INT($AT$1)
)</f>
        <v>#REF!</v>
      </c>
      <c r="AR129" s="1" t="e">
        <f t="shared" si="56"/>
        <v>#REF!</v>
      </c>
      <c r="AS129" s="9" t="e">
        <f t="shared" si="57"/>
        <v>#REF!</v>
      </c>
      <c r="AT129" s="10" t="e">
        <f t="shared" si="58"/>
        <v>#REF!</v>
      </c>
      <c r="AU129" s="1" t="e">
        <f>SUMIFS(#REF!,#REF!,
 $A129,#REF!,
 "&gt;="&amp;INT($AW$1),#REF!,
 "&lt;="&amp;INT($AX$1)
)</f>
        <v>#REF!</v>
      </c>
      <c r="AV129" s="1" t="e">
        <f t="shared" si="59"/>
        <v>#REF!</v>
      </c>
      <c r="AW129" s="9" t="e">
        <f t="shared" si="60"/>
        <v>#REF!</v>
      </c>
      <c r="AX129" s="10" t="e">
        <f t="shared" si="61"/>
        <v>#REF!</v>
      </c>
    </row>
    <row r="130" spans="1:50" x14ac:dyDescent="0.25">
      <c r="A130" s="5">
        <v>222007</v>
      </c>
      <c r="B130" s="6" t="s">
        <v>127</v>
      </c>
      <c r="C130" s="1" t="e">
        <f>SUMIFS(#REF!,#REF!,
 $A130,#REF!,
 "&gt;="&amp;INT($E$1),#REF!,
 "&lt;"&amp;INT($F$1+1)
)</f>
        <v>#REF!</v>
      </c>
      <c r="D130" s="1" t="str">
        <f>""</f>
        <v/>
      </c>
      <c r="F130" s="2"/>
      <c r="G130" s="1" t="e">
        <f>SUMIFS(#REF!,#REF!,
 $A130,#REF!,
 "&gt;="&amp;INT($I$1),#REF!,
 "&lt;"&amp;INT($J$1+1)
)</f>
        <v>#REF!</v>
      </c>
      <c r="H130" s="1" t="e">
        <f t="shared" si="31"/>
        <v>#REF!</v>
      </c>
      <c r="I130" s="1"/>
      <c r="J130" s="2"/>
      <c r="K130" s="1" t="e">
        <f>SUMIFS(#REF!,#REF!,
 $A130,#REF!,
 "&gt;="&amp;INT($M$1),#REF!,
 "&lt;"&amp;INT($N$1+1)
)</f>
        <v>#REF!</v>
      </c>
      <c r="L130" s="1" t="e">
        <f t="shared" si="32"/>
        <v>#REF!</v>
      </c>
      <c r="M130" s="9" t="e">
        <f t="shared" si="33"/>
        <v>#REF!</v>
      </c>
      <c r="N130" s="10" t="e">
        <f t="shared" si="34"/>
        <v>#REF!</v>
      </c>
      <c r="O130" s="1" t="e">
        <f>SUMIFS(#REF!,#REF!,
 $A130,#REF!,
 "&gt;="&amp;INT($Q$1),#REF!,
 "&lt;="&amp;INT($R$1)
)</f>
        <v>#REF!</v>
      </c>
      <c r="P130" s="1" t="e">
        <f t="shared" si="35"/>
        <v>#REF!</v>
      </c>
      <c r="Q130" s="9" t="e">
        <f t="shared" si="36"/>
        <v>#REF!</v>
      </c>
      <c r="R130" s="10" t="e">
        <f t="shared" si="37"/>
        <v>#REF!</v>
      </c>
      <c r="S130" s="1" t="e">
        <f>SUMIFS(#REF!,#REF!,
 $A130,#REF!,
 "&gt;="&amp;INT($U$1),#REF!,
 "&lt;="&amp;INT($V$1)
)</f>
        <v>#REF!</v>
      </c>
      <c r="T130" s="1" t="e">
        <f t="shared" si="38"/>
        <v>#REF!</v>
      </c>
      <c r="U130" s="9" t="e">
        <f t="shared" si="39"/>
        <v>#REF!</v>
      </c>
      <c r="V130" s="10" t="e">
        <f t="shared" si="40"/>
        <v>#REF!</v>
      </c>
      <c r="W130" s="1" t="e">
        <f>SUMIFS(#REF!,#REF!,
 $A130,#REF!,
 "&gt;="&amp;INT($Y$1),#REF!,
 "&lt;="&amp;INT($Z$1)
)</f>
        <v>#REF!</v>
      </c>
      <c r="X130" s="1" t="e">
        <f t="shared" si="41"/>
        <v>#REF!</v>
      </c>
      <c r="Y130" s="9" t="e">
        <f t="shared" si="42"/>
        <v>#REF!</v>
      </c>
      <c r="Z130" s="10" t="e">
        <f t="shared" si="43"/>
        <v>#REF!</v>
      </c>
      <c r="AA130" s="1" t="e">
        <f>SUMIFS(#REF!,#REF!,
 $A130,#REF!,
 "&gt;="&amp;INT($AC$1),#REF!,
 "&lt;="&amp;INT($AD$1)
)</f>
        <v>#REF!</v>
      </c>
      <c r="AB130" s="1" t="e">
        <f t="shared" si="44"/>
        <v>#REF!</v>
      </c>
      <c r="AC130" s="9" t="e">
        <f t="shared" si="45"/>
        <v>#REF!</v>
      </c>
      <c r="AD130" s="10" t="e">
        <f t="shared" si="46"/>
        <v>#REF!</v>
      </c>
      <c r="AE130" s="1" t="e">
        <f>SUMIFS(#REF!,#REF!,
 $A130,#REF!,
 "&gt;="&amp;INT($AG$1),#REF!,
 "&lt;="&amp;INT($AH$1)
)</f>
        <v>#REF!</v>
      </c>
      <c r="AF130" s="1" t="e">
        <f t="shared" si="47"/>
        <v>#REF!</v>
      </c>
      <c r="AG130" s="9" t="e">
        <f t="shared" si="48"/>
        <v>#REF!</v>
      </c>
      <c r="AH130" s="10" t="e">
        <f t="shared" si="49"/>
        <v>#REF!</v>
      </c>
      <c r="AI130" s="1" t="e">
        <f>SUMIFS(#REF!,#REF!,
 $A130,#REF!,
 "&gt;="&amp;INT($AK$1),#REF!,
 "&lt;="&amp;INT($AL$1)
)</f>
        <v>#REF!</v>
      </c>
      <c r="AJ130" s="1" t="e">
        <f t="shared" si="50"/>
        <v>#REF!</v>
      </c>
      <c r="AK130" s="9" t="e">
        <f t="shared" si="51"/>
        <v>#REF!</v>
      </c>
      <c r="AL130" s="10" t="e">
        <f t="shared" si="52"/>
        <v>#REF!</v>
      </c>
      <c r="AM130" s="1" t="e">
        <f>SUMIFS(#REF!,#REF!,
 $A130,#REF!,
 "&gt;="&amp;INT($AO$1),#REF!,
 "&lt;="&amp;INT($AP$1)
)</f>
        <v>#REF!</v>
      </c>
      <c r="AN130" s="1" t="e">
        <f t="shared" si="53"/>
        <v>#REF!</v>
      </c>
      <c r="AO130" s="9" t="e">
        <f t="shared" si="54"/>
        <v>#REF!</v>
      </c>
      <c r="AP130" s="10" t="e">
        <f t="shared" si="55"/>
        <v>#REF!</v>
      </c>
      <c r="AQ130" s="1" t="e">
        <f>SUMIFS(#REF!,#REF!,
 $A130,#REF!,
 "&gt;="&amp;INT($AS$1),#REF!,
 "&lt;="&amp;INT($AT$1)
)</f>
        <v>#REF!</v>
      </c>
      <c r="AR130" s="1" t="e">
        <f t="shared" si="56"/>
        <v>#REF!</v>
      </c>
      <c r="AS130" s="9" t="e">
        <f t="shared" si="57"/>
        <v>#REF!</v>
      </c>
      <c r="AT130" s="10" t="e">
        <f t="shared" si="58"/>
        <v>#REF!</v>
      </c>
      <c r="AU130" s="1" t="e">
        <f>SUMIFS(#REF!,#REF!,
 $A130,#REF!,
 "&gt;="&amp;INT($AW$1),#REF!,
 "&lt;="&amp;INT($AX$1)
)</f>
        <v>#REF!</v>
      </c>
      <c r="AV130" s="1" t="e">
        <f t="shared" si="59"/>
        <v>#REF!</v>
      </c>
      <c r="AW130" s="9" t="e">
        <f t="shared" si="60"/>
        <v>#REF!</v>
      </c>
      <c r="AX130" s="10" t="e">
        <f t="shared" si="61"/>
        <v>#REF!</v>
      </c>
    </row>
    <row r="131" spans="1:50" x14ac:dyDescent="0.25">
      <c r="A131" s="5">
        <v>222027</v>
      </c>
      <c r="B131" s="6" t="s">
        <v>128</v>
      </c>
      <c r="C131" s="1" t="e">
        <f>SUMIFS(#REF!,#REF!,
 $A131,#REF!,
 "&gt;="&amp;INT($E$1),#REF!,
 "&lt;"&amp;INT($F$1+1)
)</f>
        <v>#REF!</v>
      </c>
      <c r="D131" s="1" t="str">
        <f>""</f>
        <v/>
      </c>
      <c r="F131" s="2"/>
      <c r="G131" s="1" t="e">
        <f>SUMIFS(#REF!,#REF!,
 $A131,#REF!,
 "&gt;="&amp;INT($I$1),#REF!,
 "&lt;"&amp;INT($J$1+1)
)</f>
        <v>#REF!</v>
      </c>
      <c r="H131" s="1" t="e">
        <f t="shared" si="31"/>
        <v>#REF!</v>
      </c>
      <c r="I131" s="1"/>
      <c r="J131" s="2"/>
      <c r="K131" s="1" t="e">
        <f>SUMIFS(#REF!,#REF!,
 $A131,#REF!,
 "&gt;="&amp;INT($M$1),#REF!,
 "&lt;"&amp;INT($N$1+1)
)</f>
        <v>#REF!</v>
      </c>
      <c r="L131" s="1" t="e">
        <f t="shared" si="32"/>
        <v>#REF!</v>
      </c>
      <c r="M131" s="9" t="e">
        <f t="shared" si="33"/>
        <v>#REF!</v>
      </c>
      <c r="N131" s="10" t="e">
        <f t="shared" si="34"/>
        <v>#REF!</v>
      </c>
      <c r="O131" s="1" t="e">
        <f>SUMIFS(#REF!,#REF!,
 $A131,#REF!,
 "&gt;="&amp;INT($Q$1),#REF!,
 "&lt;="&amp;INT($R$1)
)</f>
        <v>#REF!</v>
      </c>
      <c r="P131" s="1" t="e">
        <f t="shared" si="35"/>
        <v>#REF!</v>
      </c>
      <c r="Q131" s="9" t="e">
        <f t="shared" si="36"/>
        <v>#REF!</v>
      </c>
      <c r="R131" s="10" t="e">
        <f t="shared" si="37"/>
        <v>#REF!</v>
      </c>
      <c r="S131" s="1" t="e">
        <f>SUMIFS(#REF!,#REF!,
 $A131,#REF!,
 "&gt;="&amp;INT($U$1),#REF!,
 "&lt;="&amp;INT($V$1)
)</f>
        <v>#REF!</v>
      </c>
      <c r="T131" s="1" t="e">
        <f t="shared" si="38"/>
        <v>#REF!</v>
      </c>
      <c r="U131" s="9" t="e">
        <f t="shared" si="39"/>
        <v>#REF!</v>
      </c>
      <c r="V131" s="10" t="e">
        <f t="shared" si="40"/>
        <v>#REF!</v>
      </c>
      <c r="W131" s="1" t="e">
        <f>SUMIFS(#REF!,#REF!,
 $A131,#REF!,
 "&gt;="&amp;INT($Y$1),#REF!,
 "&lt;="&amp;INT($Z$1)
)</f>
        <v>#REF!</v>
      </c>
      <c r="X131" s="1" t="e">
        <f t="shared" si="41"/>
        <v>#REF!</v>
      </c>
      <c r="Y131" s="9" t="e">
        <f t="shared" si="42"/>
        <v>#REF!</v>
      </c>
      <c r="Z131" s="10" t="e">
        <f t="shared" si="43"/>
        <v>#REF!</v>
      </c>
      <c r="AA131" s="1" t="e">
        <f>SUMIFS(#REF!,#REF!,
 $A131,#REF!,
 "&gt;="&amp;INT($AC$1),#REF!,
 "&lt;="&amp;INT($AD$1)
)</f>
        <v>#REF!</v>
      </c>
      <c r="AB131" s="1" t="e">
        <f t="shared" si="44"/>
        <v>#REF!</v>
      </c>
      <c r="AC131" s="9" t="e">
        <f t="shared" si="45"/>
        <v>#REF!</v>
      </c>
      <c r="AD131" s="10" t="e">
        <f t="shared" si="46"/>
        <v>#REF!</v>
      </c>
      <c r="AE131" s="1" t="e">
        <f>SUMIFS(#REF!,#REF!,
 $A131,#REF!,
 "&gt;="&amp;INT($AG$1),#REF!,
 "&lt;="&amp;INT($AH$1)
)</f>
        <v>#REF!</v>
      </c>
      <c r="AF131" s="1" t="e">
        <f t="shared" si="47"/>
        <v>#REF!</v>
      </c>
      <c r="AG131" s="9" t="e">
        <f t="shared" si="48"/>
        <v>#REF!</v>
      </c>
      <c r="AH131" s="10" t="e">
        <f t="shared" si="49"/>
        <v>#REF!</v>
      </c>
      <c r="AI131" s="1" t="e">
        <f>SUMIFS(#REF!,#REF!,
 $A131,#REF!,
 "&gt;="&amp;INT($AK$1),#REF!,
 "&lt;="&amp;INT($AL$1)
)</f>
        <v>#REF!</v>
      </c>
      <c r="AJ131" s="1" t="e">
        <f t="shared" si="50"/>
        <v>#REF!</v>
      </c>
      <c r="AK131" s="9" t="e">
        <f t="shared" si="51"/>
        <v>#REF!</v>
      </c>
      <c r="AL131" s="10" t="e">
        <f t="shared" si="52"/>
        <v>#REF!</v>
      </c>
      <c r="AM131" s="1" t="e">
        <f>SUMIFS(#REF!,#REF!,
 $A131,#REF!,
 "&gt;="&amp;INT($AO$1),#REF!,
 "&lt;="&amp;INT($AP$1)
)</f>
        <v>#REF!</v>
      </c>
      <c r="AN131" s="1" t="e">
        <f t="shared" si="53"/>
        <v>#REF!</v>
      </c>
      <c r="AO131" s="9" t="e">
        <f t="shared" si="54"/>
        <v>#REF!</v>
      </c>
      <c r="AP131" s="10" t="e">
        <f t="shared" si="55"/>
        <v>#REF!</v>
      </c>
      <c r="AQ131" s="1" t="e">
        <f>SUMIFS(#REF!,#REF!,
 $A131,#REF!,
 "&gt;="&amp;INT($AS$1),#REF!,
 "&lt;="&amp;INT($AT$1)
)</f>
        <v>#REF!</v>
      </c>
      <c r="AR131" s="1" t="e">
        <f t="shared" si="56"/>
        <v>#REF!</v>
      </c>
      <c r="AS131" s="9" t="e">
        <f t="shared" si="57"/>
        <v>#REF!</v>
      </c>
      <c r="AT131" s="10" t="e">
        <f t="shared" si="58"/>
        <v>#REF!</v>
      </c>
      <c r="AU131" s="1" t="e">
        <f>SUMIFS(#REF!,#REF!,
 $A131,#REF!,
 "&gt;="&amp;INT($AW$1),#REF!,
 "&lt;="&amp;INT($AX$1)
)</f>
        <v>#REF!</v>
      </c>
      <c r="AV131" s="1" t="e">
        <f t="shared" si="59"/>
        <v>#REF!</v>
      </c>
      <c r="AW131" s="9" t="e">
        <f t="shared" si="60"/>
        <v>#REF!</v>
      </c>
      <c r="AX131" s="10" t="e">
        <f t="shared" si="61"/>
        <v>#REF!</v>
      </c>
    </row>
    <row r="132" spans="1:50" x14ac:dyDescent="0.25">
      <c r="A132" s="5">
        <v>222038</v>
      </c>
      <c r="B132" s="6" t="s">
        <v>129</v>
      </c>
      <c r="C132" s="1" t="e">
        <f>SUMIFS(#REF!,#REF!,
 $A132,#REF!,
 "&gt;="&amp;INT($E$1),#REF!,
 "&lt;"&amp;INT($F$1+1)
)</f>
        <v>#REF!</v>
      </c>
      <c r="D132" s="1" t="str">
        <f>""</f>
        <v/>
      </c>
      <c r="F132" s="2"/>
      <c r="G132" s="1" t="e">
        <f>SUMIFS(#REF!,#REF!,
 $A132,#REF!,
 "&gt;="&amp;INT($I$1),#REF!,
 "&lt;"&amp;INT($J$1+1)
)</f>
        <v>#REF!</v>
      </c>
      <c r="H132" s="1" t="e">
        <f t="shared" ref="H132:H195" si="62">IF(OR(ISBLANK(C132),ISBLANK(G132)),"",AVERAGE(C132,G132))</f>
        <v>#REF!</v>
      </c>
      <c r="I132" s="1"/>
      <c r="J132" s="2"/>
      <c r="K132" s="1" t="e">
        <f>SUMIFS(#REF!,#REF!,
 $A132,#REF!,
 "&gt;="&amp;INT($M$1),#REF!,
 "&lt;"&amp;INT($N$1+1)
)</f>
        <v>#REF!</v>
      </c>
      <c r="L132" s="1" t="e">
        <f t="shared" ref="L132:L195" si="63">IF(
    OR(ISBLANK(G132),ISBLANK(K132)),
    "",
    AVERAGE(G132,K132)
)</f>
        <v>#REF!</v>
      </c>
      <c r="M132" s="9" t="e">
        <f t="shared" ref="M132:M195" si="64">IF(
  OR(ISBLANK(L132),ISBLANK(G132),ISBLANK(K132),ISBLANK(C132)),
  "",
  L132 - 1.96*_xlfn.STDEV.S(
    G132-AVERAGE(C132,G132),
    K132-AVERAGE(G132,K132)
  )
)</f>
        <v>#REF!</v>
      </c>
      <c r="N132" s="10" t="e">
        <f t="shared" ref="N132:N195" si="65">IF(
  OR(ISBLANK(L132),ISBLANK(G132),ISBLANK(K132),ISBLANK(C132)),
  "",
  L132 + 1.96*_xlfn.STDEV.S(
    G132-AVERAGE(C132,G132),
    K132-AVERAGE(G132,K132)
  )
)</f>
        <v>#REF!</v>
      </c>
      <c r="O132" s="1" t="e">
        <f>SUMIFS(#REF!,#REF!,
 $A132,#REF!,
 "&gt;="&amp;INT($Q$1),#REF!,
 "&lt;="&amp;INT($R$1)
)</f>
        <v>#REF!</v>
      </c>
      <c r="P132" s="1" t="e">
        <f t="shared" ref="P132:P195" si="66">IF(
    OR(ISBLANK(K132),ISBLANK(O132)),
    "",
    AVERAGE(K132,O132)
)</f>
        <v>#REF!</v>
      </c>
      <c r="Q132" s="9" t="e">
        <f t="shared" ref="Q132:Q195" si="67" xml:space="preserve"> P132 - 1.96*_xlfn.STDEV.S(
  G132-AVERAGE(C132,G132),
  K132-AVERAGE(G132,K132),
  O132-AVERAGE(K132,O132)
)</f>
        <v>#REF!</v>
      </c>
      <c r="R132" s="10" t="e">
        <f t="shared" ref="R132:R195" si="68" xml:space="preserve"> P132 + 1.96*_xlfn.STDEV.S(
  G132-AVERAGE(C132,G132),
  K132-AVERAGE(G132,K132),
  O132-AVERAGE(K132,O132)
)</f>
        <v>#REF!</v>
      </c>
      <c r="S132" s="1" t="e">
        <f>SUMIFS(#REF!,#REF!,
 $A132,#REF!,
 "&gt;="&amp;INT($U$1),#REF!,
 "&lt;="&amp;INT($V$1)
)</f>
        <v>#REF!</v>
      </c>
      <c r="T132" s="1" t="e">
        <f t="shared" ref="T132:T195" si="69">IF(
    OR(ISBLANK(O132),ISBLANK(S132)),
    "",
    ROUND(AVERAGE(O132,S132),0)
)</f>
        <v>#REF!</v>
      </c>
      <c r="U132" s="9" t="e">
        <f t="shared" ref="U132:U195" si="70" xml:space="preserve"> T132 - 1.96*_xlfn.STDEV.S(
  G132-AVERAGE(C132,G132),
  K132-AVERAGE(G132,K132),
  O132-AVERAGE(K132,O132),
  S132-AVERAGE(3,S132)
)</f>
        <v>#REF!</v>
      </c>
      <c r="V132" s="10" t="e">
        <f t="shared" ref="V132:V195" si="71" xml:space="preserve"> T132 + 1.96*_xlfn.STDEV.S(
  G132-AVERAGE(C132,G132),
  K132-AVERAGE(G132,K132),
  O132-AVERAGE(K132,O132),
  S132-AVERAGE(3,S132)
)</f>
        <v>#REF!</v>
      </c>
      <c r="W132" s="1" t="e">
        <f>SUMIFS(#REF!,#REF!,
 $A132,#REF!,
 "&gt;="&amp;INT($Y$1),#REF!,
 "&lt;="&amp;INT($Z$1)
)</f>
        <v>#REF!</v>
      </c>
      <c r="X132" s="1" t="e">
        <f t="shared" ref="X132:X195" si="72">IF(
    OR(ISBLANK(S132),ISBLANK(W132)),
    "",
    ROUND(AVERAGE(S132,W132),0)
)</f>
        <v>#REF!</v>
      </c>
      <c r="Y132" s="9" t="e">
        <f t="shared" ref="Y132:Y195" si="73" xml:space="preserve"> X132 - 1.96*_xlfn.STDEV.S(
  G132-AVERAGE(C132,G132),
  K132-AVERAGE(G132,K132),
  O132-AVERAGE(K132,O132),
  S132-AVERAGE(O132,S132),
  W132-AVERAGE(S132,W132)
)</f>
        <v>#REF!</v>
      </c>
      <c r="Z132" s="10" t="e">
        <f t="shared" ref="Z132:Z195" si="74" xml:space="preserve"> X132 + 1.96*_xlfn.STDEV.S(
  G132-AVERAGE(C132,G132),
  K132-AVERAGE(G132,K132),
  O132-AVERAGE(K132,O132),
  S132-AVERAGE(O132,S132),
  W132-AVERAGE(S132,W132)
)</f>
        <v>#REF!</v>
      </c>
      <c r="AA132" s="1" t="e">
        <f>SUMIFS(#REF!,#REF!,
 $A132,#REF!,
 "&gt;="&amp;INT($AC$1),#REF!,
 "&lt;="&amp;INT($AD$1)
)</f>
        <v>#REF!</v>
      </c>
      <c r="AB132" s="1" t="e">
        <f t="shared" ref="AB132:AB195" si="75">IF(
    OR(ISBLANK(W132),ISBLANK(AA132)),
    "",
    ROUND(AVERAGE(W132,AA132),0)
)</f>
        <v>#REF!</v>
      </c>
      <c r="AC132" s="9" t="e">
        <f t="shared" ref="AC132:AC195" si="76" xml:space="preserve"> AB132 - 1.96*_xlfn.STDEV.S(
  G132-AVERAGE(C132,G132),
  K132-AVERAGE(G132,K132),
  O132-AVERAGE(K132,O132),
  S132-AVERAGE(O132,S132),
  W132-AVERAGE(S132,W132),
  AA132-AVERAGE(W132,AA132)
)</f>
        <v>#REF!</v>
      </c>
      <c r="AD132" s="10" t="e">
        <f t="shared" ref="AD132:AD195" si="77" xml:space="preserve"> AB132 + 1.96*_xlfn.STDEV.S(
  G132-AVERAGE(C132,G132),
  K132-AVERAGE(G132,K132),
  O132-AVERAGE(K132,O132),
  S132-AVERAGE(O132,S132),
  W132-AVERAGE(S132,W132),
  AA132-AVERAGE(W132,AA132)
)</f>
        <v>#REF!</v>
      </c>
      <c r="AE132" s="1" t="e">
        <f>SUMIFS(#REF!,#REF!,
 $A132,#REF!,
 "&gt;="&amp;INT($AG$1),#REF!,
 "&lt;="&amp;INT($AH$1)
)</f>
        <v>#REF!</v>
      </c>
      <c r="AF132" s="1" t="e">
        <f t="shared" ref="AF132:AF195" si="78">IF(
    OR(ISBLANK(AA132),ISBLANK(AE132)),
    "",
    ROUND(AVERAGE(AA132,AE132),0)
)</f>
        <v>#REF!</v>
      </c>
      <c r="AG132" s="9" t="e">
        <f t="shared" ref="AG132:AG195" si="79" xml:space="preserve"> AF132 - 1.96*_xlfn.STDEV.S(
  G132-AVERAGE(C132,G132),
  K132-AVERAGE(G132,K132),
  O132-AVERAGE(K132,O132),
  S132-AVERAGE(O132,S132),
  W132-AVERAGE(S132,W132),
  AA132-AVERAGE(W132,AA132),
  AE132-AVERAGE(AA132,AE132)
)</f>
        <v>#REF!</v>
      </c>
      <c r="AH132" s="10" t="e">
        <f t="shared" ref="AH132:AH195" si="80" xml:space="preserve"> AF132 + 1.96*_xlfn.STDEV.S(
  G132-AVERAGE(C132,G132),
  K132-AVERAGE(G132,K132),
  O132-AVERAGE(K132,O132),
  S132-AVERAGE(O132,S132),
  W132-AVERAGE(S132,W132),
  AA132-AVERAGE(W132,AA132),
  AE132-AVERAGE(AA132,AE132)
)</f>
        <v>#REF!</v>
      </c>
      <c r="AI132" s="1" t="e">
        <f>SUMIFS(#REF!,#REF!,
 $A132,#REF!,
 "&gt;="&amp;INT($AK$1),#REF!,
 "&lt;="&amp;INT($AL$1)
)</f>
        <v>#REF!</v>
      </c>
      <c r="AJ132" s="1" t="e">
        <f t="shared" ref="AJ132:AJ195" si="81">IF(
    OR(ISBLANK(AE132),ISBLANK(AI132)),
    "",
    ROUND(AVERAGE(AE132,AI132),0)
)</f>
        <v>#REF!</v>
      </c>
      <c r="AK132" s="9" t="e">
        <f t="shared" ref="AK132:AK195" si="82" xml:space="preserve"> AJ132 - 1.96*_xlfn.STDEV.S(
  G132-AVERAGE(C132,G132),
  K132-AVERAGE(G132,K132),
  O132-AVERAGE(K132,O132),
  S132-AVERAGE(O132,S132),
  W132-AVERAGE(S132,W132),
  AA132-AVERAGE(W132,AA132),
  AE132-AVERAGE(AA132,AE132),
  AI132-AVERAGE(AE132,AI132)
)</f>
        <v>#REF!</v>
      </c>
      <c r="AL132" s="10" t="e">
        <f t="shared" ref="AL132:AL195" si="83" xml:space="preserve"> AJ132 + 1.96*_xlfn.STDEV.S(
  G132-AVERAGE(C132,G132),
  K132-AVERAGE(G132,K132),
  O132-AVERAGE(K132,O132),
  S132-AVERAGE(O132,S132),
  W132-AVERAGE(S132,W132),
  AA132-AVERAGE(W132,AA132),
  AE132-AVERAGE(AA132,AE132),
  AI132-AVERAGE(AE132,AI132)
)</f>
        <v>#REF!</v>
      </c>
      <c r="AM132" s="1" t="e">
        <f>SUMIFS(#REF!,#REF!,
 $A132,#REF!,
 "&gt;="&amp;INT($AO$1),#REF!,
 "&lt;="&amp;INT($AP$1)
)</f>
        <v>#REF!</v>
      </c>
      <c r="AN132" s="1" t="e">
        <f t="shared" ref="AN132:AN195" si="84">IF(
    OR(ISBLANK(AI132),ISBLANK(AM132)),
    "",
    ROUND(AVERAGE(AI132,AM132),0)
)</f>
        <v>#REF!</v>
      </c>
      <c r="AO132" s="9" t="e">
        <f t="shared" ref="AO132:AO195" si="85" xml:space="preserve"> AN132 - 1.96*_xlfn.STDEV.S(
  G132-AVERAGE(C132,G132),
  K132-AVERAGE(G132,K132),
  O132-AVERAGE(K132,O132),
  S132-AVERAGE(O132,S132),
  W132-AVERAGE(S132,W132),
  AA132-AVERAGE(W132,AA132),
  AE132-AVERAGE(AA132,AE132),
  AI132-AVERAGE(AE132,AI132),
  AN132-AVERAGE(AI132,AN132)
)</f>
        <v>#REF!</v>
      </c>
      <c r="AP132" s="10" t="e">
        <f t="shared" ref="AP132:AP195" si="86" xml:space="preserve"> AN132 + 1.96*_xlfn.STDEV.S(
  G132-AVERAGE(C132,G132),
  K132-AVERAGE(G132,K132),
  O132-AVERAGE(K132,O132),
  S132-AVERAGE(O132,S132),
  W132-AVERAGE(S132,W132),
  AA132-AVERAGE(W132,AA132),
  AE132-AVERAGE(AA132,AE132),
  AI132-AVERAGE(AE132,AI132),
  AN132-AVERAGE(AI132,AN132)
)</f>
        <v>#REF!</v>
      </c>
      <c r="AQ132" s="1" t="e">
        <f>SUMIFS(#REF!,#REF!,
 $A132,#REF!,
 "&gt;="&amp;INT($AS$1),#REF!,
 "&lt;="&amp;INT($AT$1)
)</f>
        <v>#REF!</v>
      </c>
      <c r="AR132" s="1" t="e">
        <f t="shared" ref="AR132:AR195" si="87">IF(
    OR(ISBLANK(AM132),ISBLANK(AQ132)),
    "",
    ROUND(AVERAGE(AM132,AQ132),0)
)</f>
        <v>#REF!</v>
      </c>
      <c r="AS132" s="9" t="e">
        <f t="shared" ref="AS132:AS195" si="88" xml:space="preserve"> AR132 - 1.96*_xlfn.STDEV.S(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
)</f>
        <v>#REF!</v>
      </c>
      <c r="AT132" s="10" t="e">
        <f t="shared" ref="AT132:AT195" si="89" xml:space="preserve"> AR132 + 1.96*_xlfn.STDEV.S(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
)</f>
        <v>#REF!</v>
      </c>
      <c r="AU132" s="1" t="e">
        <f>SUMIFS(#REF!,#REF!,
 $A132,#REF!,
 "&gt;="&amp;INT($AW$1),#REF!,
 "&lt;="&amp;INT($AX$1)
)</f>
        <v>#REF!</v>
      </c>
      <c r="AV132" s="1" t="e">
        <f t="shared" ref="AV132:AV195" si="90">IF(
    OR(ISBLANK(AQ132),ISBLANK(AU132)),
    "",
    ROUND(AVERAGE(AQ132,AU132),0)
)</f>
        <v>#REF!</v>
      </c>
      <c r="AW132" s="9" t="e">
        <f t="shared" ref="AW132:AW195" si="91" xml:space="preserve"> AV132 - 1.96*_xlfn.STDEV.S(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AR132-AVERAGE(AN132,AR132),
  AV132-AVERAGE(AR132,AV132)
)</f>
        <v>#REF!</v>
      </c>
      <c r="AX132" s="10" t="e">
        <f t="shared" ref="AX132:AX195" si="92" xml:space="preserve"> AV132 + 1.96*_xlfn.STDEV.S(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AR132-AVERAGE(AN132,AR132),
  AV132-AVERAGE(AR132,AV132)
)</f>
        <v>#REF!</v>
      </c>
    </row>
    <row r="133" spans="1:50" x14ac:dyDescent="0.25">
      <c r="A133" s="5">
        <v>223001</v>
      </c>
      <c r="B133" s="6" t="s">
        <v>130</v>
      </c>
      <c r="C133" s="1" t="e">
        <f>SUMIFS(#REF!,#REF!,
 $A133,#REF!,
 "&gt;="&amp;INT($E$1),#REF!,
 "&lt;"&amp;INT($F$1+1)
)</f>
        <v>#REF!</v>
      </c>
      <c r="D133" s="1" t="str">
        <f>""</f>
        <v/>
      </c>
      <c r="F133" s="2"/>
      <c r="G133" s="1" t="e">
        <f>SUMIFS(#REF!,#REF!,
 $A133,#REF!,
 "&gt;="&amp;INT($I$1),#REF!,
 "&lt;"&amp;INT($J$1+1)
)</f>
        <v>#REF!</v>
      </c>
      <c r="H133" s="1" t="e">
        <f t="shared" si="62"/>
        <v>#REF!</v>
      </c>
      <c r="I133" s="1"/>
      <c r="J133" s="2"/>
      <c r="K133" s="1" t="e">
        <f>SUMIFS(#REF!,#REF!,
 $A133,#REF!,
 "&gt;="&amp;INT($M$1),#REF!,
 "&lt;"&amp;INT($N$1+1)
)</f>
        <v>#REF!</v>
      </c>
      <c r="L133" s="1" t="e">
        <f t="shared" si="63"/>
        <v>#REF!</v>
      </c>
      <c r="M133" s="9" t="e">
        <f t="shared" si="64"/>
        <v>#REF!</v>
      </c>
      <c r="N133" s="10" t="e">
        <f t="shared" si="65"/>
        <v>#REF!</v>
      </c>
      <c r="O133" s="1" t="e">
        <f>SUMIFS(#REF!,#REF!,
 $A133,#REF!,
 "&gt;="&amp;INT($Q$1),#REF!,
 "&lt;="&amp;INT($R$1)
)</f>
        <v>#REF!</v>
      </c>
      <c r="P133" s="1" t="e">
        <f t="shared" si="66"/>
        <v>#REF!</v>
      </c>
      <c r="Q133" s="9" t="e">
        <f t="shared" si="67"/>
        <v>#REF!</v>
      </c>
      <c r="R133" s="10" t="e">
        <f t="shared" si="68"/>
        <v>#REF!</v>
      </c>
      <c r="S133" s="1" t="e">
        <f>SUMIFS(#REF!,#REF!,
 $A133,#REF!,
 "&gt;="&amp;INT($U$1),#REF!,
 "&lt;="&amp;INT($V$1)
)</f>
        <v>#REF!</v>
      </c>
      <c r="T133" s="1" t="e">
        <f t="shared" si="69"/>
        <v>#REF!</v>
      </c>
      <c r="U133" s="9" t="e">
        <f t="shared" si="70"/>
        <v>#REF!</v>
      </c>
      <c r="V133" s="10" t="e">
        <f t="shared" si="71"/>
        <v>#REF!</v>
      </c>
      <c r="W133" s="1" t="e">
        <f>SUMIFS(#REF!,#REF!,
 $A133,#REF!,
 "&gt;="&amp;INT($Y$1),#REF!,
 "&lt;="&amp;INT($Z$1)
)</f>
        <v>#REF!</v>
      </c>
      <c r="X133" s="1" t="e">
        <f t="shared" si="72"/>
        <v>#REF!</v>
      </c>
      <c r="Y133" s="9" t="e">
        <f t="shared" si="73"/>
        <v>#REF!</v>
      </c>
      <c r="Z133" s="10" t="e">
        <f t="shared" si="74"/>
        <v>#REF!</v>
      </c>
      <c r="AA133" s="1" t="e">
        <f>SUMIFS(#REF!,#REF!,
 $A133,#REF!,
 "&gt;="&amp;INT($AC$1),#REF!,
 "&lt;="&amp;INT($AD$1)
)</f>
        <v>#REF!</v>
      </c>
      <c r="AB133" s="1" t="e">
        <f t="shared" si="75"/>
        <v>#REF!</v>
      </c>
      <c r="AC133" s="9" t="e">
        <f t="shared" si="76"/>
        <v>#REF!</v>
      </c>
      <c r="AD133" s="10" t="e">
        <f t="shared" si="77"/>
        <v>#REF!</v>
      </c>
      <c r="AE133" s="1" t="e">
        <f>SUMIFS(#REF!,#REF!,
 $A133,#REF!,
 "&gt;="&amp;INT($AG$1),#REF!,
 "&lt;="&amp;INT($AH$1)
)</f>
        <v>#REF!</v>
      </c>
      <c r="AF133" s="1" t="e">
        <f t="shared" si="78"/>
        <v>#REF!</v>
      </c>
      <c r="AG133" s="9" t="e">
        <f t="shared" si="79"/>
        <v>#REF!</v>
      </c>
      <c r="AH133" s="10" t="e">
        <f t="shared" si="80"/>
        <v>#REF!</v>
      </c>
      <c r="AI133" s="1" t="e">
        <f>SUMIFS(#REF!,#REF!,
 $A133,#REF!,
 "&gt;="&amp;INT($AK$1),#REF!,
 "&lt;="&amp;INT($AL$1)
)</f>
        <v>#REF!</v>
      </c>
      <c r="AJ133" s="1" t="e">
        <f t="shared" si="81"/>
        <v>#REF!</v>
      </c>
      <c r="AK133" s="9" t="e">
        <f t="shared" si="82"/>
        <v>#REF!</v>
      </c>
      <c r="AL133" s="10" t="e">
        <f t="shared" si="83"/>
        <v>#REF!</v>
      </c>
      <c r="AM133" s="1" t="e">
        <f>SUMIFS(#REF!,#REF!,
 $A133,#REF!,
 "&gt;="&amp;INT($AO$1),#REF!,
 "&lt;="&amp;INT($AP$1)
)</f>
        <v>#REF!</v>
      </c>
      <c r="AN133" s="1" t="e">
        <f t="shared" si="84"/>
        <v>#REF!</v>
      </c>
      <c r="AO133" s="9" t="e">
        <f t="shared" si="85"/>
        <v>#REF!</v>
      </c>
      <c r="AP133" s="10" t="e">
        <f t="shared" si="86"/>
        <v>#REF!</v>
      </c>
      <c r="AQ133" s="1" t="e">
        <f>SUMIFS(#REF!,#REF!,
 $A133,#REF!,
 "&gt;="&amp;INT($AS$1),#REF!,
 "&lt;="&amp;INT($AT$1)
)</f>
        <v>#REF!</v>
      </c>
      <c r="AR133" s="1" t="e">
        <f t="shared" si="87"/>
        <v>#REF!</v>
      </c>
      <c r="AS133" s="9" t="e">
        <f t="shared" si="88"/>
        <v>#REF!</v>
      </c>
      <c r="AT133" s="10" t="e">
        <f t="shared" si="89"/>
        <v>#REF!</v>
      </c>
      <c r="AU133" s="1" t="e">
        <f>SUMIFS(#REF!,#REF!,
 $A133,#REF!,
 "&gt;="&amp;INT($AW$1),#REF!,
 "&lt;="&amp;INT($AX$1)
)</f>
        <v>#REF!</v>
      </c>
      <c r="AV133" s="1" t="e">
        <f t="shared" si="90"/>
        <v>#REF!</v>
      </c>
      <c r="AW133" s="9" t="e">
        <f t="shared" si="91"/>
        <v>#REF!</v>
      </c>
      <c r="AX133" s="10" t="e">
        <f t="shared" si="92"/>
        <v>#REF!</v>
      </c>
    </row>
    <row r="134" spans="1:50" x14ac:dyDescent="0.25">
      <c r="A134" s="5">
        <v>223002</v>
      </c>
      <c r="B134" s="6" t="s">
        <v>131</v>
      </c>
      <c r="C134" s="1" t="e">
        <f>SUMIFS(#REF!,#REF!,
 $A134,#REF!,
 "&gt;="&amp;INT($E$1),#REF!,
 "&lt;"&amp;INT($F$1+1)
)</f>
        <v>#REF!</v>
      </c>
      <c r="D134" s="1" t="str">
        <f>""</f>
        <v/>
      </c>
      <c r="F134" s="2"/>
      <c r="G134" s="1" t="e">
        <f>SUMIFS(#REF!,#REF!,
 $A134,#REF!,
 "&gt;="&amp;INT($I$1),#REF!,
 "&lt;"&amp;INT($J$1+1)
)</f>
        <v>#REF!</v>
      </c>
      <c r="H134" s="1" t="e">
        <f t="shared" si="62"/>
        <v>#REF!</v>
      </c>
      <c r="I134" s="1"/>
      <c r="J134" s="2"/>
      <c r="K134" s="1" t="e">
        <f>SUMIFS(#REF!,#REF!,
 $A134,#REF!,
 "&gt;="&amp;INT($M$1),#REF!,
 "&lt;"&amp;INT($N$1+1)
)</f>
        <v>#REF!</v>
      </c>
      <c r="L134" s="1" t="e">
        <f t="shared" si="63"/>
        <v>#REF!</v>
      </c>
      <c r="M134" s="9" t="e">
        <f t="shared" si="64"/>
        <v>#REF!</v>
      </c>
      <c r="N134" s="10" t="e">
        <f t="shared" si="65"/>
        <v>#REF!</v>
      </c>
      <c r="O134" s="1" t="e">
        <f>SUMIFS(#REF!,#REF!,
 $A134,#REF!,
 "&gt;="&amp;INT($Q$1),#REF!,
 "&lt;="&amp;INT($R$1)
)</f>
        <v>#REF!</v>
      </c>
      <c r="P134" s="1" t="e">
        <f t="shared" si="66"/>
        <v>#REF!</v>
      </c>
      <c r="Q134" s="9" t="e">
        <f t="shared" si="67"/>
        <v>#REF!</v>
      </c>
      <c r="R134" s="10" t="e">
        <f t="shared" si="68"/>
        <v>#REF!</v>
      </c>
      <c r="S134" s="1" t="e">
        <f>SUMIFS(#REF!,#REF!,
 $A134,#REF!,
 "&gt;="&amp;INT($U$1),#REF!,
 "&lt;="&amp;INT($V$1)
)</f>
        <v>#REF!</v>
      </c>
      <c r="T134" s="1" t="e">
        <f t="shared" si="69"/>
        <v>#REF!</v>
      </c>
      <c r="U134" s="9" t="e">
        <f t="shared" si="70"/>
        <v>#REF!</v>
      </c>
      <c r="V134" s="10" t="e">
        <f t="shared" si="71"/>
        <v>#REF!</v>
      </c>
      <c r="W134" s="1" t="e">
        <f>SUMIFS(#REF!,#REF!,
 $A134,#REF!,
 "&gt;="&amp;INT($Y$1),#REF!,
 "&lt;="&amp;INT($Z$1)
)</f>
        <v>#REF!</v>
      </c>
      <c r="X134" s="1" t="e">
        <f t="shared" si="72"/>
        <v>#REF!</v>
      </c>
      <c r="Y134" s="9" t="e">
        <f t="shared" si="73"/>
        <v>#REF!</v>
      </c>
      <c r="Z134" s="10" t="e">
        <f t="shared" si="74"/>
        <v>#REF!</v>
      </c>
      <c r="AA134" s="1" t="e">
        <f>SUMIFS(#REF!,#REF!,
 $A134,#REF!,
 "&gt;="&amp;INT($AC$1),#REF!,
 "&lt;="&amp;INT($AD$1)
)</f>
        <v>#REF!</v>
      </c>
      <c r="AB134" s="1" t="e">
        <f t="shared" si="75"/>
        <v>#REF!</v>
      </c>
      <c r="AC134" s="9" t="e">
        <f t="shared" si="76"/>
        <v>#REF!</v>
      </c>
      <c r="AD134" s="10" t="e">
        <f t="shared" si="77"/>
        <v>#REF!</v>
      </c>
      <c r="AE134" s="1" t="e">
        <f>SUMIFS(#REF!,#REF!,
 $A134,#REF!,
 "&gt;="&amp;INT($AG$1),#REF!,
 "&lt;="&amp;INT($AH$1)
)</f>
        <v>#REF!</v>
      </c>
      <c r="AF134" s="1" t="e">
        <f t="shared" si="78"/>
        <v>#REF!</v>
      </c>
      <c r="AG134" s="9" t="e">
        <f t="shared" si="79"/>
        <v>#REF!</v>
      </c>
      <c r="AH134" s="10" t="e">
        <f t="shared" si="80"/>
        <v>#REF!</v>
      </c>
      <c r="AI134" s="1" t="e">
        <f>SUMIFS(#REF!,#REF!,
 $A134,#REF!,
 "&gt;="&amp;INT($AK$1),#REF!,
 "&lt;="&amp;INT($AL$1)
)</f>
        <v>#REF!</v>
      </c>
      <c r="AJ134" s="1" t="e">
        <f t="shared" si="81"/>
        <v>#REF!</v>
      </c>
      <c r="AK134" s="9" t="e">
        <f t="shared" si="82"/>
        <v>#REF!</v>
      </c>
      <c r="AL134" s="10" t="e">
        <f t="shared" si="83"/>
        <v>#REF!</v>
      </c>
      <c r="AM134" s="1" t="e">
        <f>SUMIFS(#REF!,#REF!,
 $A134,#REF!,
 "&gt;="&amp;INT($AO$1),#REF!,
 "&lt;="&amp;INT($AP$1)
)</f>
        <v>#REF!</v>
      </c>
      <c r="AN134" s="1" t="e">
        <f t="shared" si="84"/>
        <v>#REF!</v>
      </c>
      <c r="AO134" s="9" t="e">
        <f t="shared" si="85"/>
        <v>#REF!</v>
      </c>
      <c r="AP134" s="10" t="e">
        <f t="shared" si="86"/>
        <v>#REF!</v>
      </c>
      <c r="AQ134" s="1" t="e">
        <f>SUMIFS(#REF!,#REF!,
 $A134,#REF!,
 "&gt;="&amp;INT($AS$1),#REF!,
 "&lt;="&amp;INT($AT$1)
)</f>
        <v>#REF!</v>
      </c>
      <c r="AR134" s="1" t="e">
        <f t="shared" si="87"/>
        <v>#REF!</v>
      </c>
      <c r="AS134" s="9" t="e">
        <f t="shared" si="88"/>
        <v>#REF!</v>
      </c>
      <c r="AT134" s="10" t="e">
        <f t="shared" si="89"/>
        <v>#REF!</v>
      </c>
      <c r="AU134" s="1" t="e">
        <f>SUMIFS(#REF!,#REF!,
 $A134,#REF!,
 "&gt;="&amp;INT($AW$1),#REF!,
 "&lt;="&amp;INT($AX$1)
)</f>
        <v>#REF!</v>
      </c>
      <c r="AV134" s="1" t="e">
        <f t="shared" si="90"/>
        <v>#REF!</v>
      </c>
      <c r="AW134" s="9" t="e">
        <f t="shared" si="91"/>
        <v>#REF!</v>
      </c>
      <c r="AX134" s="10" t="e">
        <f t="shared" si="92"/>
        <v>#REF!</v>
      </c>
    </row>
    <row r="135" spans="1:50" x14ac:dyDescent="0.25">
      <c r="A135" s="5">
        <v>223003</v>
      </c>
      <c r="B135" s="6" t="s">
        <v>132</v>
      </c>
      <c r="C135" s="1" t="e">
        <f>SUMIFS(#REF!,#REF!,
 $A135,#REF!,
 "&gt;="&amp;INT($E$1),#REF!,
 "&lt;"&amp;INT($F$1+1)
)</f>
        <v>#REF!</v>
      </c>
      <c r="D135" s="1" t="str">
        <f>""</f>
        <v/>
      </c>
      <c r="F135" s="2"/>
      <c r="G135" s="1" t="e">
        <f>SUMIFS(#REF!,#REF!,
 $A135,#REF!,
 "&gt;="&amp;INT($I$1),#REF!,
 "&lt;"&amp;INT($J$1+1)
)</f>
        <v>#REF!</v>
      </c>
      <c r="H135" s="1" t="e">
        <f t="shared" si="62"/>
        <v>#REF!</v>
      </c>
      <c r="I135" s="1"/>
      <c r="J135" s="2"/>
      <c r="K135" s="1" t="e">
        <f>SUMIFS(#REF!,#REF!,
 $A135,#REF!,
 "&gt;="&amp;INT($M$1),#REF!,
 "&lt;"&amp;INT($N$1+1)
)</f>
        <v>#REF!</v>
      </c>
      <c r="L135" s="1" t="e">
        <f t="shared" si="63"/>
        <v>#REF!</v>
      </c>
      <c r="M135" s="9" t="e">
        <f t="shared" si="64"/>
        <v>#REF!</v>
      </c>
      <c r="N135" s="10" t="e">
        <f t="shared" si="65"/>
        <v>#REF!</v>
      </c>
      <c r="O135" s="1" t="e">
        <f>SUMIFS(#REF!,#REF!,
 $A135,#REF!,
 "&gt;="&amp;INT($Q$1),#REF!,
 "&lt;="&amp;INT($R$1)
)</f>
        <v>#REF!</v>
      </c>
      <c r="P135" s="1" t="e">
        <f t="shared" si="66"/>
        <v>#REF!</v>
      </c>
      <c r="Q135" s="9" t="e">
        <f t="shared" si="67"/>
        <v>#REF!</v>
      </c>
      <c r="R135" s="10" t="e">
        <f t="shared" si="68"/>
        <v>#REF!</v>
      </c>
      <c r="S135" s="1" t="e">
        <f>SUMIFS(#REF!,#REF!,
 $A135,#REF!,
 "&gt;="&amp;INT($U$1),#REF!,
 "&lt;="&amp;INT($V$1)
)</f>
        <v>#REF!</v>
      </c>
      <c r="T135" s="1" t="e">
        <f t="shared" si="69"/>
        <v>#REF!</v>
      </c>
      <c r="U135" s="9" t="e">
        <f t="shared" si="70"/>
        <v>#REF!</v>
      </c>
      <c r="V135" s="10" t="e">
        <f t="shared" si="71"/>
        <v>#REF!</v>
      </c>
      <c r="W135" s="1" t="e">
        <f>SUMIFS(#REF!,#REF!,
 $A135,#REF!,
 "&gt;="&amp;INT($Y$1),#REF!,
 "&lt;="&amp;INT($Z$1)
)</f>
        <v>#REF!</v>
      </c>
      <c r="X135" s="1" t="e">
        <f t="shared" si="72"/>
        <v>#REF!</v>
      </c>
      <c r="Y135" s="9" t="e">
        <f t="shared" si="73"/>
        <v>#REF!</v>
      </c>
      <c r="Z135" s="10" t="e">
        <f t="shared" si="74"/>
        <v>#REF!</v>
      </c>
      <c r="AA135" s="1" t="e">
        <f>SUMIFS(#REF!,#REF!,
 $A135,#REF!,
 "&gt;="&amp;INT($AC$1),#REF!,
 "&lt;="&amp;INT($AD$1)
)</f>
        <v>#REF!</v>
      </c>
      <c r="AB135" s="1" t="e">
        <f t="shared" si="75"/>
        <v>#REF!</v>
      </c>
      <c r="AC135" s="9" t="e">
        <f t="shared" si="76"/>
        <v>#REF!</v>
      </c>
      <c r="AD135" s="10" t="e">
        <f t="shared" si="77"/>
        <v>#REF!</v>
      </c>
      <c r="AE135" s="1" t="e">
        <f>SUMIFS(#REF!,#REF!,
 $A135,#REF!,
 "&gt;="&amp;INT($AG$1),#REF!,
 "&lt;="&amp;INT($AH$1)
)</f>
        <v>#REF!</v>
      </c>
      <c r="AF135" s="1" t="e">
        <f t="shared" si="78"/>
        <v>#REF!</v>
      </c>
      <c r="AG135" s="9" t="e">
        <f t="shared" si="79"/>
        <v>#REF!</v>
      </c>
      <c r="AH135" s="10" t="e">
        <f t="shared" si="80"/>
        <v>#REF!</v>
      </c>
      <c r="AI135" s="1" t="e">
        <f>SUMIFS(#REF!,#REF!,
 $A135,#REF!,
 "&gt;="&amp;INT($AK$1),#REF!,
 "&lt;="&amp;INT($AL$1)
)</f>
        <v>#REF!</v>
      </c>
      <c r="AJ135" s="1" t="e">
        <f t="shared" si="81"/>
        <v>#REF!</v>
      </c>
      <c r="AK135" s="9" t="e">
        <f t="shared" si="82"/>
        <v>#REF!</v>
      </c>
      <c r="AL135" s="10" t="e">
        <f t="shared" si="83"/>
        <v>#REF!</v>
      </c>
      <c r="AM135" s="1" t="e">
        <f>SUMIFS(#REF!,#REF!,
 $A135,#REF!,
 "&gt;="&amp;INT($AO$1),#REF!,
 "&lt;="&amp;INT($AP$1)
)</f>
        <v>#REF!</v>
      </c>
      <c r="AN135" s="1" t="e">
        <f t="shared" si="84"/>
        <v>#REF!</v>
      </c>
      <c r="AO135" s="9" t="e">
        <f t="shared" si="85"/>
        <v>#REF!</v>
      </c>
      <c r="AP135" s="10" t="e">
        <f t="shared" si="86"/>
        <v>#REF!</v>
      </c>
      <c r="AQ135" s="1" t="e">
        <f>SUMIFS(#REF!,#REF!,
 $A135,#REF!,
 "&gt;="&amp;INT($AS$1),#REF!,
 "&lt;="&amp;INT($AT$1)
)</f>
        <v>#REF!</v>
      </c>
      <c r="AR135" s="1" t="e">
        <f t="shared" si="87"/>
        <v>#REF!</v>
      </c>
      <c r="AS135" s="9" t="e">
        <f t="shared" si="88"/>
        <v>#REF!</v>
      </c>
      <c r="AT135" s="10" t="e">
        <f t="shared" si="89"/>
        <v>#REF!</v>
      </c>
      <c r="AU135" s="1" t="e">
        <f>SUMIFS(#REF!,#REF!,
 $A135,#REF!,
 "&gt;="&amp;INT($AW$1),#REF!,
 "&lt;="&amp;INT($AX$1)
)</f>
        <v>#REF!</v>
      </c>
      <c r="AV135" s="1" t="e">
        <f t="shared" si="90"/>
        <v>#REF!</v>
      </c>
      <c r="AW135" s="9" t="e">
        <f t="shared" si="91"/>
        <v>#REF!</v>
      </c>
      <c r="AX135" s="10" t="e">
        <f t="shared" si="92"/>
        <v>#REF!</v>
      </c>
    </row>
    <row r="136" spans="1:50" x14ac:dyDescent="0.25">
      <c r="A136" s="5">
        <v>223004</v>
      </c>
      <c r="B136" s="6" t="s">
        <v>133</v>
      </c>
      <c r="C136" s="1" t="e">
        <f>SUMIFS(#REF!,#REF!,
 $A136,#REF!,
 "&gt;="&amp;INT($E$1),#REF!,
 "&lt;"&amp;INT($F$1+1)
)</f>
        <v>#REF!</v>
      </c>
      <c r="D136" s="1" t="str">
        <f>""</f>
        <v/>
      </c>
      <c r="F136" s="2"/>
      <c r="G136" s="1" t="e">
        <f>SUMIFS(#REF!,#REF!,
 $A136,#REF!,
 "&gt;="&amp;INT($I$1),#REF!,
 "&lt;"&amp;INT($J$1+1)
)</f>
        <v>#REF!</v>
      </c>
      <c r="H136" s="1" t="e">
        <f t="shared" si="62"/>
        <v>#REF!</v>
      </c>
      <c r="I136" s="1"/>
      <c r="J136" s="2"/>
      <c r="K136" s="1" t="e">
        <f>SUMIFS(#REF!,#REF!,
 $A136,#REF!,
 "&gt;="&amp;INT($M$1),#REF!,
 "&lt;"&amp;INT($N$1+1)
)</f>
        <v>#REF!</v>
      </c>
      <c r="L136" s="1" t="e">
        <f t="shared" si="63"/>
        <v>#REF!</v>
      </c>
      <c r="M136" s="9" t="e">
        <f t="shared" si="64"/>
        <v>#REF!</v>
      </c>
      <c r="N136" s="10" t="e">
        <f t="shared" si="65"/>
        <v>#REF!</v>
      </c>
      <c r="O136" s="1" t="e">
        <f>SUMIFS(#REF!,#REF!,
 $A136,#REF!,
 "&gt;="&amp;INT($Q$1),#REF!,
 "&lt;="&amp;INT($R$1)
)</f>
        <v>#REF!</v>
      </c>
      <c r="P136" s="1" t="e">
        <f t="shared" si="66"/>
        <v>#REF!</v>
      </c>
      <c r="Q136" s="9" t="e">
        <f t="shared" si="67"/>
        <v>#REF!</v>
      </c>
      <c r="R136" s="10" t="e">
        <f t="shared" si="68"/>
        <v>#REF!</v>
      </c>
      <c r="S136" s="1" t="e">
        <f>SUMIFS(#REF!,#REF!,
 $A136,#REF!,
 "&gt;="&amp;INT($U$1),#REF!,
 "&lt;="&amp;INT($V$1)
)</f>
        <v>#REF!</v>
      </c>
      <c r="T136" s="1" t="e">
        <f t="shared" si="69"/>
        <v>#REF!</v>
      </c>
      <c r="U136" s="9" t="e">
        <f t="shared" si="70"/>
        <v>#REF!</v>
      </c>
      <c r="V136" s="10" t="e">
        <f t="shared" si="71"/>
        <v>#REF!</v>
      </c>
      <c r="W136" s="1" t="e">
        <f>SUMIFS(#REF!,#REF!,
 $A136,#REF!,
 "&gt;="&amp;INT($Y$1),#REF!,
 "&lt;="&amp;INT($Z$1)
)</f>
        <v>#REF!</v>
      </c>
      <c r="X136" s="1" t="e">
        <f t="shared" si="72"/>
        <v>#REF!</v>
      </c>
      <c r="Y136" s="9" t="e">
        <f t="shared" si="73"/>
        <v>#REF!</v>
      </c>
      <c r="Z136" s="10" t="e">
        <f t="shared" si="74"/>
        <v>#REF!</v>
      </c>
      <c r="AA136" s="1" t="e">
        <f>SUMIFS(#REF!,#REF!,
 $A136,#REF!,
 "&gt;="&amp;INT($AC$1),#REF!,
 "&lt;="&amp;INT($AD$1)
)</f>
        <v>#REF!</v>
      </c>
      <c r="AB136" s="1" t="e">
        <f t="shared" si="75"/>
        <v>#REF!</v>
      </c>
      <c r="AC136" s="9" t="e">
        <f t="shared" si="76"/>
        <v>#REF!</v>
      </c>
      <c r="AD136" s="10" t="e">
        <f t="shared" si="77"/>
        <v>#REF!</v>
      </c>
      <c r="AE136" s="1" t="e">
        <f>SUMIFS(#REF!,#REF!,
 $A136,#REF!,
 "&gt;="&amp;INT($AG$1),#REF!,
 "&lt;="&amp;INT($AH$1)
)</f>
        <v>#REF!</v>
      </c>
      <c r="AF136" s="1" t="e">
        <f t="shared" si="78"/>
        <v>#REF!</v>
      </c>
      <c r="AG136" s="9" t="e">
        <f t="shared" si="79"/>
        <v>#REF!</v>
      </c>
      <c r="AH136" s="10" t="e">
        <f t="shared" si="80"/>
        <v>#REF!</v>
      </c>
      <c r="AI136" s="1" t="e">
        <f>SUMIFS(#REF!,#REF!,
 $A136,#REF!,
 "&gt;="&amp;INT($AK$1),#REF!,
 "&lt;="&amp;INT($AL$1)
)</f>
        <v>#REF!</v>
      </c>
      <c r="AJ136" s="1" t="e">
        <f t="shared" si="81"/>
        <v>#REF!</v>
      </c>
      <c r="AK136" s="9" t="e">
        <f t="shared" si="82"/>
        <v>#REF!</v>
      </c>
      <c r="AL136" s="10" t="e">
        <f t="shared" si="83"/>
        <v>#REF!</v>
      </c>
      <c r="AM136" s="1" t="e">
        <f>SUMIFS(#REF!,#REF!,
 $A136,#REF!,
 "&gt;="&amp;INT($AO$1),#REF!,
 "&lt;="&amp;INT($AP$1)
)</f>
        <v>#REF!</v>
      </c>
      <c r="AN136" s="1" t="e">
        <f t="shared" si="84"/>
        <v>#REF!</v>
      </c>
      <c r="AO136" s="9" t="e">
        <f t="shared" si="85"/>
        <v>#REF!</v>
      </c>
      <c r="AP136" s="10" t="e">
        <f t="shared" si="86"/>
        <v>#REF!</v>
      </c>
      <c r="AQ136" s="1" t="e">
        <f>SUMIFS(#REF!,#REF!,
 $A136,#REF!,
 "&gt;="&amp;INT($AS$1),#REF!,
 "&lt;="&amp;INT($AT$1)
)</f>
        <v>#REF!</v>
      </c>
      <c r="AR136" s="1" t="e">
        <f t="shared" si="87"/>
        <v>#REF!</v>
      </c>
      <c r="AS136" s="9" t="e">
        <f t="shared" si="88"/>
        <v>#REF!</v>
      </c>
      <c r="AT136" s="10" t="e">
        <f t="shared" si="89"/>
        <v>#REF!</v>
      </c>
      <c r="AU136" s="1" t="e">
        <f>SUMIFS(#REF!,#REF!,
 $A136,#REF!,
 "&gt;="&amp;INT($AW$1),#REF!,
 "&lt;="&amp;INT($AX$1)
)</f>
        <v>#REF!</v>
      </c>
      <c r="AV136" s="1" t="e">
        <f t="shared" si="90"/>
        <v>#REF!</v>
      </c>
      <c r="AW136" s="9" t="e">
        <f t="shared" si="91"/>
        <v>#REF!</v>
      </c>
      <c r="AX136" s="10" t="e">
        <f t="shared" si="92"/>
        <v>#REF!</v>
      </c>
    </row>
    <row r="137" spans="1:50" x14ac:dyDescent="0.25">
      <c r="A137" s="5">
        <v>223005</v>
      </c>
      <c r="B137" s="6" t="s">
        <v>134</v>
      </c>
      <c r="C137" s="1" t="e">
        <f>SUMIFS(#REF!,#REF!,
 $A137,#REF!,
 "&gt;="&amp;INT($E$1),#REF!,
 "&lt;"&amp;INT($F$1+1)
)</f>
        <v>#REF!</v>
      </c>
      <c r="D137" s="1" t="str">
        <f>""</f>
        <v/>
      </c>
      <c r="F137" s="2"/>
      <c r="G137" s="1" t="e">
        <f>SUMIFS(#REF!,#REF!,
 $A137,#REF!,
 "&gt;="&amp;INT($I$1),#REF!,
 "&lt;"&amp;INT($J$1+1)
)</f>
        <v>#REF!</v>
      </c>
      <c r="H137" s="1" t="e">
        <f t="shared" si="62"/>
        <v>#REF!</v>
      </c>
      <c r="I137" s="1"/>
      <c r="J137" s="2"/>
      <c r="K137" s="1" t="e">
        <f>SUMIFS(#REF!,#REF!,
 $A137,#REF!,
 "&gt;="&amp;INT($M$1),#REF!,
 "&lt;"&amp;INT($N$1+1)
)</f>
        <v>#REF!</v>
      </c>
      <c r="L137" s="1" t="e">
        <f t="shared" si="63"/>
        <v>#REF!</v>
      </c>
      <c r="M137" s="9" t="e">
        <f t="shared" si="64"/>
        <v>#REF!</v>
      </c>
      <c r="N137" s="10" t="e">
        <f t="shared" si="65"/>
        <v>#REF!</v>
      </c>
      <c r="O137" s="1" t="e">
        <f>SUMIFS(#REF!,#REF!,
 $A137,#REF!,
 "&gt;="&amp;INT($Q$1),#REF!,
 "&lt;="&amp;INT($R$1)
)</f>
        <v>#REF!</v>
      </c>
      <c r="P137" s="1" t="e">
        <f t="shared" si="66"/>
        <v>#REF!</v>
      </c>
      <c r="Q137" s="9" t="e">
        <f t="shared" si="67"/>
        <v>#REF!</v>
      </c>
      <c r="R137" s="10" t="e">
        <f t="shared" si="68"/>
        <v>#REF!</v>
      </c>
      <c r="S137" s="1" t="e">
        <f>SUMIFS(#REF!,#REF!,
 $A137,#REF!,
 "&gt;="&amp;INT($U$1),#REF!,
 "&lt;="&amp;INT($V$1)
)</f>
        <v>#REF!</v>
      </c>
      <c r="T137" s="1" t="e">
        <f t="shared" si="69"/>
        <v>#REF!</v>
      </c>
      <c r="U137" s="9" t="e">
        <f t="shared" si="70"/>
        <v>#REF!</v>
      </c>
      <c r="V137" s="10" t="e">
        <f t="shared" si="71"/>
        <v>#REF!</v>
      </c>
      <c r="W137" s="1" t="e">
        <f>SUMIFS(#REF!,#REF!,
 $A137,#REF!,
 "&gt;="&amp;INT($Y$1),#REF!,
 "&lt;="&amp;INT($Z$1)
)</f>
        <v>#REF!</v>
      </c>
      <c r="X137" s="1" t="e">
        <f t="shared" si="72"/>
        <v>#REF!</v>
      </c>
      <c r="Y137" s="9" t="e">
        <f t="shared" si="73"/>
        <v>#REF!</v>
      </c>
      <c r="Z137" s="10" t="e">
        <f t="shared" si="74"/>
        <v>#REF!</v>
      </c>
      <c r="AA137" s="1" t="e">
        <f>SUMIFS(#REF!,#REF!,
 $A137,#REF!,
 "&gt;="&amp;INT($AC$1),#REF!,
 "&lt;="&amp;INT($AD$1)
)</f>
        <v>#REF!</v>
      </c>
      <c r="AB137" s="1" t="e">
        <f t="shared" si="75"/>
        <v>#REF!</v>
      </c>
      <c r="AC137" s="9" t="e">
        <f t="shared" si="76"/>
        <v>#REF!</v>
      </c>
      <c r="AD137" s="10" t="e">
        <f t="shared" si="77"/>
        <v>#REF!</v>
      </c>
      <c r="AE137" s="1" t="e">
        <f>SUMIFS(#REF!,#REF!,
 $A137,#REF!,
 "&gt;="&amp;INT($AG$1),#REF!,
 "&lt;="&amp;INT($AH$1)
)</f>
        <v>#REF!</v>
      </c>
      <c r="AF137" s="1" t="e">
        <f t="shared" si="78"/>
        <v>#REF!</v>
      </c>
      <c r="AG137" s="9" t="e">
        <f t="shared" si="79"/>
        <v>#REF!</v>
      </c>
      <c r="AH137" s="10" t="e">
        <f t="shared" si="80"/>
        <v>#REF!</v>
      </c>
      <c r="AI137" s="1" t="e">
        <f>SUMIFS(#REF!,#REF!,
 $A137,#REF!,
 "&gt;="&amp;INT($AK$1),#REF!,
 "&lt;="&amp;INT($AL$1)
)</f>
        <v>#REF!</v>
      </c>
      <c r="AJ137" s="1" t="e">
        <f t="shared" si="81"/>
        <v>#REF!</v>
      </c>
      <c r="AK137" s="9" t="e">
        <f t="shared" si="82"/>
        <v>#REF!</v>
      </c>
      <c r="AL137" s="10" t="e">
        <f t="shared" si="83"/>
        <v>#REF!</v>
      </c>
      <c r="AM137" s="1" t="e">
        <f>SUMIFS(#REF!,#REF!,
 $A137,#REF!,
 "&gt;="&amp;INT($AO$1),#REF!,
 "&lt;="&amp;INT($AP$1)
)</f>
        <v>#REF!</v>
      </c>
      <c r="AN137" s="1" t="e">
        <f t="shared" si="84"/>
        <v>#REF!</v>
      </c>
      <c r="AO137" s="9" t="e">
        <f t="shared" si="85"/>
        <v>#REF!</v>
      </c>
      <c r="AP137" s="10" t="e">
        <f t="shared" si="86"/>
        <v>#REF!</v>
      </c>
      <c r="AQ137" s="1" t="e">
        <f>SUMIFS(#REF!,#REF!,
 $A137,#REF!,
 "&gt;="&amp;INT($AS$1),#REF!,
 "&lt;="&amp;INT($AT$1)
)</f>
        <v>#REF!</v>
      </c>
      <c r="AR137" s="1" t="e">
        <f t="shared" si="87"/>
        <v>#REF!</v>
      </c>
      <c r="AS137" s="9" t="e">
        <f t="shared" si="88"/>
        <v>#REF!</v>
      </c>
      <c r="AT137" s="10" t="e">
        <f t="shared" si="89"/>
        <v>#REF!</v>
      </c>
      <c r="AU137" s="1" t="e">
        <f>SUMIFS(#REF!,#REF!,
 $A137,#REF!,
 "&gt;="&amp;INT($AW$1),#REF!,
 "&lt;="&amp;INT($AX$1)
)</f>
        <v>#REF!</v>
      </c>
      <c r="AV137" s="1" t="e">
        <f t="shared" si="90"/>
        <v>#REF!</v>
      </c>
      <c r="AW137" s="9" t="e">
        <f t="shared" si="91"/>
        <v>#REF!</v>
      </c>
      <c r="AX137" s="10" t="e">
        <f t="shared" si="92"/>
        <v>#REF!</v>
      </c>
    </row>
    <row r="138" spans="1:50" x14ac:dyDescent="0.25">
      <c r="A138" s="5">
        <v>223006</v>
      </c>
      <c r="B138" s="6" t="s">
        <v>135</v>
      </c>
      <c r="C138" s="1" t="e">
        <f>SUMIFS(#REF!,#REF!,
 $A138,#REF!,
 "&gt;="&amp;INT($E$1),#REF!,
 "&lt;"&amp;INT($F$1+1)
)</f>
        <v>#REF!</v>
      </c>
      <c r="D138" s="1" t="str">
        <f>""</f>
        <v/>
      </c>
      <c r="F138" s="2"/>
      <c r="G138" s="1" t="e">
        <f>SUMIFS(#REF!,#REF!,
 $A138,#REF!,
 "&gt;="&amp;INT($I$1),#REF!,
 "&lt;"&amp;INT($J$1+1)
)</f>
        <v>#REF!</v>
      </c>
      <c r="H138" s="1" t="e">
        <f t="shared" si="62"/>
        <v>#REF!</v>
      </c>
      <c r="I138" s="1"/>
      <c r="J138" s="2"/>
      <c r="K138" s="1" t="e">
        <f>SUMIFS(#REF!,#REF!,
 $A138,#REF!,
 "&gt;="&amp;INT($M$1),#REF!,
 "&lt;"&amp;INT($N$1+1)
)</f>
        <v>#REF!</v>
      </c>
      <c r="L138" s="1" t="e">
        <f t="shared" si="63"/>
        <v>#REF!</v>
      </c>
      <c r="M138" s="9" t="e">
        <f t="shared" si="64"/>
        <v>#REF!</v>
      </c>
      <c r="N138" s="10" t="e">
        <f t="shared" si="65"/>
        <v>#REF!</v>
      </c>
      <c r="O138" s="1" t="e">
        <f>SUMIFS(#REF!,#REF!,
 $A138,#REF!,
 "&gt;="&amp;INT($Q$1),#REF!,
 "&lt;="&amp;INT($R$1)
)</f>
        <v>#REF!</v>
      </c>
      <c r="P138" s="1" t="e">
        <f t="shared" si="66"/>
        <v>#REF!</v>
      </c>
      <c r="Q138" s="9" t="e">
        <f t="shared" si="67"/>
        <v>#REF!</v>
      </c>
      <c r="R138" s="10" t="e">
        <f t="shared" si="68"/>
        <v>#REF!</v>
      </c>
      <c r="S138" s="1" t="e">
        <f>SUMIFS(#REF!,#REF!,
 $A138,#REF!,
 "&gt;="&amp;INT($U$1),#REF!,
 "&lt;="&amp;INT($V$1)
)</f>
        <v>#REF!</v>
      </c>
      <c r="T138" s="1" t="e">
        <f t="shared" si="69"/>
        <v>#REF!</v>
      </c>
      <c r="U138" s="9" t="e">
        <f t="shared" si="70"/>
        <v>#REF!</v>
      </c>
      <c r="V138" s="10" t="e">
        <f t="shared" si="71"/>
        <v>#REF!</v>
      </c>
      <c r="W138" s="1" t="e">
        <f>SUMIFS(#REF!,#REF!,
 $A138,#REF!,
 "&gt;="&amp;INT($Y$1),#REF!,
 "&lt;="&amp;INT($Z$1)
)</f>
        <v>#REF!</v>
      </c>
      <c r="X138" s="1" t="e">
        <f t="shared" si="72"/>
        <v>#REF!</v>
      </c>
      <c r="Y138" s="9" t="e">
        <f t="shared" si="73"/>
        <v>#REF!</v>
      </c>
      <c r="Z138" s="10" t="e">
        <f t="shared" si="74"/>
        <v>#REF!</v>
      </c>
      <c r="AA138" s="1" t="e">
        <f>SUMIFS(#REF!,#REF!,
 $A138,#REF!,
 "&gt;="&amp;INT($AC$1),#REF!,
 "&lt;="&amp;INT($AD$1)
)</f>
        <v>#REF!</v>
      </c>
      <c r="AB138" s="1" t="e">
        <f t="shared" si="75"/>
        <v>#REF!</v>
      </c>
      <c r="AC138" s="9" t="e">
        <f t="shared" si="76"/>
        <v>#REF!</v>
      </c>
      <c r="AD138" s="10" t="e">
        <f t="shared" si="77"/>
        <v>#REF!</v>
      </c>
      <c r="AE138" s="1" t="e">
        <f>SUMIFS(#REF!,#REF!,
 $A138,#REF!,
 "&gt;="&amp;INT($AG$1),#REF!,
 "&lt;="&amp;INT($AH$1)
)</f>
        <v>#REF!</v>
      </c>
      <c r="AF138" s="1" t="e">
        <f t="shared" si="78"/>
        <v>#REF!</v>
      </c>
      <c r="AG138" s="9" t="e">
        <f t="shared" si="79"/>
        <v>#REF!</v>
      </c>
      <c r="AH138" s="10" t="e">
        <f t="shared" si="80"/>
        <v>#REF!</v>
      </c>
      <c r="AI138" s="1" t="e">
        <f>SUMIFS(#REF!,#REF!,
 $A138,#REF!,
 "&gt;="&amp;INT($AK$1),#REF!,
 "&lt;="&amp;INT($AL$1)
)</f>
        <v>#REF!</v>
      </c>
      <c r="AJ138" s="1" t="e">
        <f t="shared" si="81"/>
        <v>#REF!</v>
      </c>
      <c r="AK138" s="9" t="e">
        <f t="shared" si="82"/>
        <v>#REF!</v>
      </c>
      <c r="AL138" s="10" t="e">
        <f t="shared" si="83"/>
        <v>#REF!</v>
      </c>
      <c r="AM138" s="1" t="e">
        <f>SUMIFS(#REF!,#REF!,
 $A138,#REF!,
 "&gt;="&amp;INT($AO$1),#REF!,
 "&lt;="&amp;INT($AP$1)
)</f>
        <v>#REF!</v>
      </c>
      <c r="AN138" s="1" t="e">
        <f t="shared" si="84"/>
        <v>#REF!</v>
      </c>
      <c r="AO138" s="9" t="e">
        <f t="shared" si="85"/>
        <v>#REF!</v>
      </c>
      <c r="AP138" s="10" t="e">
        <f t="shared" si="86"/>
        <v>#REF!</v>
      </c>
      <c r="AQ138" s="1" t="e">
        <f>SUMIFS(#REF!,#REF!,
 $A138,#REF!,
 "&gt;="&amp;INT($AS$1),#REF!,
 "&lt;="&amp;INT($AT$1)
)</f>
        <v>#REF!</v>
      </c>
      <c r="AR138" s="1" t="e">
        <f t="shared" si="87"/>
        <v>#REF!</v>
      </c>
      <c r="AS138" s="9" t="e">
        <f t="shared" si="88"/>
        <v>#REF!</v>
      </c>
      <c r="AT138" s="10" t="e">
        <f t="shared" si="89"/>
        <v>#REF!</v>
      </c>
      <c r="AU138" s="1" t="e">
        <f>SUMIFS(#REF!,#REF!,
 $A138,#REF!,
 "&gt;="&amp;INT($AW$1),#REF!,
 "&lt;="&amp;INT($AX$1)
)</f>
        <v>#REF!</v>
      </c>
      <c r="AV138" s="1" t="e">
        <f t="shared" si="90"/>
        <v>#REF!</v>
      </c>
      <c r="AW138" s="9" t="e">
        <f t="shared" si="91"/>
        <v>#REF!</v>
      </c>
      <c r="AX138" s="10" t="e">
        <f t="shared" si="92"/>
        <v>#REF!</v>
      </c>
    </row>
    <row r="139" spans="1:50" x14ac:dyDescent="0.25">
      <c r="A139" s="5">
        <v>223007</v>
      </c>
      <c r="B139" s="6" t="s">
        <v>136</v>
      </c>
      <c r="C139" s="1" t="e">
        <f>SUMIFS(#REF!,#REF!,
 $A139,#REF!,
 "&gt;="&amp;INT($E$1),#REF!,
 "&lt;"&amp;INT($F$1+1)
)</f>
        <v>#REF!</v>
      </c>
      <c r="D139" s="1" t="str">
        <f>""</f>
        <v/>
      </c>
      <c r="F139" s="2"/>
      <c r="G139" s="1" t="e">
        <f>SUMIFS(#REF!,#REF!,
 $A139,#REF!,
 "&gt;="&amp;INT($I$1),#REF!,
 "&lt;"&amp;INT($J$1+1)
)</f>
        <v>#REF!</v>
      </c>
      <c r="H139" s="1" t="e">
        <f t="shared" si="62"/>
        <v>#REF!</v>
      </c>
      <c r="I139" s="1"/>
      <c r="J139" s="2"/>
      <c r="K139" s="1" t="e">
        <f>SUMIFS(#REF!,#REF!,
 $A139,#REF!,
 "&gt;="&amp;INT($M$1),#REF!,
 "&lt;"&amp;INT($N$1+1)
)</f>
        <v>#REF!</v>
      </c>
      <c r="L139" s="1" t="e">
        <f t="shared" si="63"/>
        <v>#REF!</v>
      </c>
      <c r="M139" s="9" t="e">
        <f t="shared" si="64"/>
        <v>#REF!</v>
      </c>
      <c r="N139" s="10" t="e">
        <f t="shared" si="65"/>
        <v>#REF!</v>
      </c>
      <c r="O139" s="1" t="e">
        <f>SUMIFS(#REF!,#REF!,
 $A139,#REF!,
 "&gt;="&amp;INT($Q$1),#REF!,
 "&lt;="&amp;INT($R$1)
)</f>
        <v>#REF!</v>
      </c>
      <c r="P139" s="1" t="e">
        <f t="shared" si="66"/>
        <v>#REF!</v>
      </c>
      <c r="Q139" s="9" t="e">
        <f t="shared" si="67"/>
        <v>#REF!</v>
      </c>
      <c r="R139" s="10" t="e">
        <f t="shared" si="68"/>
        <v>#REF!</v>
      </c>
      <c r="S139" s="1" t="e">
        <f>SUMIFS(#REF!,#REF!,
 $A139,#REF!,
 "&gt;="&amp;INT($U$1),#REF!,
 "&lt;="&amp;INT($V$1)
)</f>
        <v>#REF!</v>
      </c>
      <c r="T139" s="1" t="e">
        <f t="shared" si="69"/>
        <v>#REF!</v>
      </c>
      <c r="U139" s="9" t="e">
        <f t="shared" si="70"/>
        <v>#REF!</v>
      </c>
      <c r="V139" s="10" t="e">
        <f t="shared" si="71"/>
        <v>#REF!</v>
      </c>
      <c r="W139" s="1" t="e">
        <f>SUMIFS(#REF!,#REF!,
 $A139,#REF!,
 "&gt;="&amp;INT($Y$1),#REF!,
 "&lt;="&amp;INT($Z$1)
)</f>
        <v>#REF!</v>
      </c>
      <c r="X139" s="1" t="e">
        <f t="shared" si="72"/>
        <v>#REF!</v>
      </c>
      <c r="Y139" s="9" t="e">
        <f t="shared" si="73"/>
        <v>#REF!</v>
      </c>
      <c r="Z139" s="10" t="e">
        <f t="shared" si="74"/>
        <v>#REF!</v>
      </c>
      <c r="AA139" s="1" t="e">
        <f>SUMIFS(#REF!,#REF!,
 $A139,#REF!,
 "&gt;="&amp;INT($AC$1),#REF!,
 "&lt;="&amp;INT($AD$1)
)</f>
        <v>#REF!</v>
      </c>
      <c r="AB139" s="1" t="e">
        <f t="shared" si="75"/>
        <v>#REF!</v>
      </c>
      <c r="AC139" s="9" t="e">
        <f t="shared" si="76"/>
        <v>#REF!</v>
      </c>
      <c r="AD139" s="10" t="e">
        <f t="shared" si="77"/>
        <v>#REF!</v>
      </c>
      <c r="AE139" s="1" t="e">
        <f>SUMIFS(#REF!,#REF!,
 $A139,#REF!,
 "&gt;="&amp;INT($AG$1),#REF!,
 "&lt;="&amp;INT($AH$1)
)</f>
        <v>#REF!</v>
      </c>
      <c r="AF139" s="1" t="e">
        <f t="shared" si="78"/>
        <v>#REF!</v>
      </c>
      <c r="AG139" s="9" t="e">
        <f t="shared" si="79"/>
        <v>#REF!</v>
      </c>
      <c r="AH139" s="10" t="e">
        <f t="shared" si="80"/>
        <v>#REF!</v>
      </c>
      <c r="AI139" s="1" t="e">
        <f>SUMIFS(#REF!,#REF!,
 $A139,#REF!,
 "&gt;="&amp;INT($AK$1),#REF!,
 "&lt;="&amp;INT($AL$1)
)</f>
        <v>#REF!</v>
      </c>
      <c r="AJ139" s="1" t="e">
        <f t="shared" si="81"/>
        <v>#REF!</v>
      </c>
      <c r="AK139" s="9" t="e">
        <f t="shared" si="82"/>
        <v>#REF!</v>
      </c>
      <c r="AL139" s="10" t="e">
        <f t="shared" si="83"/>
        <v>#REF!</v>
      </c>
      <c r="AM139" s="1" t="e">
        <f>SUMIFS(#REF!,#REF!,
 $A139,#REF!,
 "&gt;="&amp;INT($AO$1),#REF!,
 "&lt;="&amp;INT($AP$1)
)</f>
        <v>#REF!</v>
      </c>
      <c r="AN139" s="1" t="e">
        <f t="shared" si="84"/>
        <v>#REF!</v>
      </c>
      <c r="AO139" s="9" t="e">
        <f t="shared" si="85"/>
        <v>#REF!</v>
      </c>
      <c r="AP139" s="10" t="e">
        <f t="shared" si="86"/>
        <v>#REF!</v>
      </c>
      <c r="AQ139" s="1" t="e">
        <f>SUMIFS(#REF!,#REF!,
 $A139,#REF!,
 "&gt;="&amp;INT($AS$1),#REF!,
 "&lt;="&amp;INT($AT$1)
)</f>
        <v>#REF!</v>
      </c>
      <c r="AR139" s="1" t="e">
        <f t="shared" si="87"/>
        <v>#REF!</v>
      </c>
      <c r="AS139" s="9" t="e">
        <f t="shared" si="88"/>
        <v>#REF!</v>
      </c>
      <c r="AT139" s="10" t="e">
        <f t="shared" si="89"/>
        <v>#REF!</v>
      </c>
      <c r="AU139" s="1" t="e">
        <f>SUMIFS(#REF!,#REF!,
 $A139,#REF!,
 "&gt;="&amp;INT($AW$1),#REF!,
 "&lt;="&amp;INT($AX$1)
)</f>
        <v>#REF!</v>
      </c>
      <c r="AV139" s="1" t="e">
        <f t="shared" si="90"/>
        <v>#REF!</v>
      </c>
      <c r="AW139" s="9" t="e">
        <f t="shared" si="91"/>
        <v>#REF!</v>
      </c>
      <c r="AX139" s="10" t="e">
        <f t="shared" si="92"/>
        <v>#REF!</v>
      </c>
    </row>
    <row r="140" spans="1:50" x14ac:dyDescent="0.25">
      <c r="A140" s="5">
        <v>223015</v>
      </c>
      <c r="B140" s="6" t="s">
        <v>137</v>
      </c>
      <c r="C140" s="1" t="e">
        <f>SUMIFS(#REF!,#REF!,
 $A140,#REF!,
 "&gt;="&amp;INT($E$1),#REF!,
 "&lt;"&amp;INT($F$1+1)
)</f>
        <v>#REF!</v>
      </c>
      <c r="D140" s="1" t="str">
        <f>""</f>
        <v/>
      </c>
      <c r="F140" s="2"/>
      <c r="G140" s="1" t="e">
        <f>SUMIFS(#REF!,#REF!,
 $A140,#REF!,
 "&gt;="&amp;INT($I$1),#REF!,
 "&lt;"&amp;INT($J$1+1)
)</f>
        <v>#REF!</v>
      </c>
      <c r="H140" s="1" t="e">
        <f t="shared" si="62"/>
        <v>#REF!</v>
      </c>
      <c r="I140" s="1"/>
      <c r="J140" s="2"/>
      <c r="K140" s="1" t="e">
        <f>SUMIFS(#REF!,#REF!,
 $A140,#REF!,
 "&gt;="&amp;INT($M$1),#REF!,
 "&lt;"&amp;INT($N$1+1)
)</f>
        <v>#REF!</v>
      </c>
      <c r="L140" s="1" t="e">
        <f t="shared" si="63"/>
        <v>#REF!</v>
      </c>
      <c r="M140" s="9" t="e">
        <f t="shared" si="64"/>
        <v>#REF!</v>
      </c>
      <c r="N140" s="10" t="e">
        <f t="shared" si="65"/>
        <v>#REF!</v>
      </c>
      <c r="O140" s="1" t="e">
        <f>SUMIFS(#REF!,#REF!,
 $A140,#REF!,
 "&gt;="&amp;INT($Q$1),#REF!,
 "&lt;="&amp;INT($R$1)
)</f>
        <v>#REF!</v>
      </c>
      <c r="P140" s="1" t="e">
        <f t="shared" si="66"/>
        <v>#REF!</v>
      </c>
      <c r="Q140" s="9" t="e">
        <f t="shared" si="67"/>
        <v>#REF!</v>
      </c>
      <c r="R140" s="10" t="e">
        <f t="shared" si="68"/>
        <v>#REF!</v>
      </c>
      <c r="S140" s="1" t="e">
        <f>SUMIFS(#REF!,#REF!,
 $A140,#REF!,
 "&gt;="&amp;INT($U$1),#REF!,
 "&lt;="&amp;INT($V$1)
)</f>
        <v>#REF!</v>
      </c>
      <c r="T140" s="1" t="e">
        <f t="shared" si="69"/>
        <v>#REF!</v>
      </c>
      <c r="U140" s="9" t="e">
        <f t="shared" si="70"/>
        <v>#REF!</v>
      </c>
      <c r="V140" s="10" t="e">
        <f t="shared" si="71"/>
        <v>#REF!</v>
      </c>
      <c r="W140" s="1" t="e">
        <f>SUMIFS(#REF!,#REF!,
 $A140,#REF!,
 "&gt;="&amp;INT($Y$1),#REF!,
 "&lt;="&amp;INT($Z$1)
)</f>
        <v>#REF!</v>
      </c>
      <c r="X140" s="1" t="e">
        <f t="shared" si="72"/>
        <v>#REF!</v>
      </c>
      <c r="Y140" s="9" t="e">
        <f t="shared" si="73"/>
        <v>#REF!</v>
      </c>
      <c r="Z140" s="10" t="e">
        <f t="shared" si="74"/>
        <v>#REF!</v>
      </c>
      <c r="AA140" s="1" t="e">
        <f>SUMIFS(#REF!,#REF!,
 $A140,#REF!,
 "&gt;="&amp;INT($AC$1),#REF!,
 "&lt;="&amp;INT($AD$1)
)</f>
        <v>#REF!</v>
      </c>
      <c r="AB140" s="1" t="e">
        <f t="shared" si="75"/>
        <v>#REF!</v>
      </c>
      <c r="AC140" s="9" t="e">
        <f t="shared" si="76"/>
        <v>#REF!</v>
      </c>
      <c r="AD140" s="10" t="e">
        <f t="shared" si="77"/>
        <v>#REF!</v>
      </c>
      <c r="AE140" s="1" t="e">
        <f>SUMIFS(#REF!,#REF!,
 $A140,#REF!,
 "&gt;="&amp;INT($AG$1),#REF!,
 "&lt;="&amp;INT($AH$1)
)</f>
        <v>#REF!</v>
      </c>
      <c r="AF140" s="1" t="e">
        <f t="shared" si="78"/>
        <v>#REF!</v>
      </c>
      <c r="AG140" s="9" t="e">
        <f t="shared" si="79"/>
        <v>#REF!</v>
      </c>
      <c r="AH140" s="10" t="e">
        <f t="shared" si="80"/>
        <v>#REF!</v>
      </c>
      <c r="AI140" s="1" t="e">
        <f>SUMIFS(#REF!,#REF!,
 $A140,#REF!,
 "&gt;="&amp;INT($AK$1),#REF!,
 "&lt;="&amp;INT($AL$1)
)</f>
        <v>#REF!</v>
      </c>
      <c r="AJ140" s="1" t="e">
        <f t="shared" si="81"/>
        <v>#REF!</v>
      </c>
      <c r="AK140" s="9" t="e">
        <f t="shared" si="82"/>
        <v>#REF!</v>
      </c>
      <c r="AL140" s="10" t="e">
        <f t="shared" si="83"/>
        <v>#REF!</v>
      </c>
      <c r="AM140" s="1" t="e">
        <f>SUMIFS(#REF!,#REF!,
 $A140,#REF!,
 "&gt;="&amp;INT($AO$1),#REF!,
 "&lt;="&amp;INT($AP$1)
)</f>
        <v>#REF!</v>
      </c>
      <c r="AN140" s="1" t="e">
        <f t="shared" si="84"/>
        <v>#REF!</v>
      </c>
      <c r="AO140" s="9" t="e">
        <f t="shared" si="85"/>
        <v>#REF!</v>
      </c>
      <c r="AP140" s="10" t="e">
        <f t="shared" si="86"/>
        <v>#REF!</v>
      </c>
      <c r="AQ140" s="1" t="e">
        <f>SUMIFS(#REF!,#REF!,
 $A140,#REF!,
 "&gt;="&amp;INT($AS$1),#REF!,
 "&lt;="&amp;INT($AT$1)
)</f>
        <v>#REF!</v>
      </c>
      <c r="AR140" s="1" t="e">
        <f t="shared" si="87"/>
        <v>#REF!</v>
      </c>
      <c r="AS140" s="9" t="e">
        <f t="shared" si="88"/>
        <v>#REF!</v>
      </c>
      <c r="AT140" s="10" t="e">
        <f t="shared" si="89"/>
        <v>#REF!</v>
      </c>
      <c r="AU140" s="1" t="e">
        <f>SUMIFS(#REF!,#REF!,
 $A140,#REF!,
 "&gt;="&amp;INT($AW$1),#REF!,
 "&lt;="&amp;INT($AX$1)
)</f>
        <v>#REF!</v>
      </c>
      <c r="AV140" s="1" t="e">
        <f t="shared" si="90"/>
        <v>#REF!</v>
      </c>
      <c r="AW140" s="9" t="e">
        <f t="shared" si="91"/>
        <v>#REF!</v>
      </c>
      <c r="AX140" s="10" t="e">
        <f t="shared" si="92"/>
        <v>#REF!</v>
      </c>
    </row>
    <row r="141" spans="1:50" x14ac:dyDescent="0.25">
      <c r="A141" s="5">
        <v>223016</v>
      </c>
      <c r="B141" s="6" t="s">
        <v>138</v>
      </c>
      <c r="C141" s="1" t="e">
        <f>SUMIFS(#REF!,#REF!,
 $A141,#REF!,
 "&gt;="&amp;INT($E$1),#REF!,
 "&lt;"&amp;INT($F$1+1)
)</f>
        <v>#REF!</v>
      </c>
      <c r="D141" s="1" t="str">
        <f>""</f>
        <v/>
      </c>
      <c r="F141" s="2"/>
      <c r="G141" s="1" t="e">
        <f>SUMIFS(#REF!,#REF!,
 $A141,#REF!,
 "&gt;="&amp;INT($I$1),#REF!,
 "&lt;"&amp;INT($J$1+1)
)</f>
        <v>#REF!</v>
      </c>
      <c r="H141" s="1" t="e">
        <f t="shared" si="62"/>
        <v>#REF!</v>
      </c>
      <c r="I141" s="1"/>
      <c r="J141" s="2"/>
      <c r="K141" s="1" t="e">
        <f>SUMIFS(#REF!,#REF!,
 $A141,#REF!,
 "&gt;="&amp;INT($M$1),#REF!,
 "&lt;"&amp;INT($N$1+1)
)</f>
        <v>#REF!</v>
      </c>
      <c r="L141" s="1" t="e">
        <f t="shared" si="63"/>
        <v>#REF!</v>
      </c>
      <c r="M141" s="9" t="e">
        <f t="shared" si="64"/>
        <v>#REF!</v>
      </c>
      <c r="N141" s="10" t="e">
        <f t="shared" si="65"/>
        <v>#REF!</v>
      </c>
      <c r="O141" s="1" t="e">
        <f>SUMIFS(#REF!,#REF!,
 $A141,#REF!,
 "&gt;="&amp;INT($Q$1),#REF!,
 "&lt;="&amp;INT($R$1)
)</f>
        <v>#REF!</v>
      </c>
      <c r="P141" s="1" t="e">
        <f t="shared" si="66"/>
        <v>#REF!</v>
      </c>
      <c r="Q141" s="9" t="e">
        <f t="shared" si="67"/>
        <v>#REF!</v>
      </c>
      <c r="R141" s="10" t="e">
        <f t="shared" si="68"/>
        <v>#REF!</v>
      </c>
      <c r="S141" s="1" t="e">
        <f>SUMIFS(#REF!,#REF!,
 $A141,#REF!,
 "&gt;="&amp;INT($U$1),#REF!,
 "&lt;="&amp;INT($V$1)
)</f>
        <v>#REF!</v>
      </c>
      <c r="T141" s="1" t="e">
        <f t="shared" si="69"/>
        <v>#REF!</v>
      </c>
      <c r="U141" s="9" t="e">
        <f t="shared" si="70"/>
        <v>#REF!</v>
      </c>
      <c r="V141" s="10" t="e">
        <f t="shared" si="71"/>
        <v>#REF!</v>
      </c>
      <c r="W141" s="1" t="e">
        <f>SUMIFS(#REF!,#REF!,
 $A141,#REF!,
 "&gt;="&amp;INT($Y$1),#REF!,
 "&lt;="&amp;INT($Z$1)
)</f>
        <v>#REF!</v>
      </c>
      <c r="X141" s="1" t="e">
        <f t="shared" si="72"/>
        <v>#REF!</v>
      </c>
      <c r="Y141" s="9" t="e">
        <f t="shared" si="73"/>
        <v>#REF!</v>
      </c>
      <c r="Z141" s="10" t="e">
        <f t="shared" si="74"/>
        <v>#REF!</v>
      </c>
      <c r="AA141" s="1" t="e">
        <f>SUMIFS(#REF!,#REF!,
 $A141,#REF!,
 "&gt;="&amp;INT($AC$1),#REF!,
 "&lt;="&amp;INT($AD$1)
)</f>
        <v>#REF!</v>
      </c>
      <c r="AB141" s="1" t="e">
        <f t="shared" si="75"/>
        <v>#REF!</v>
      </c>
      <c r="AC141" s="9" t="e">
        <f t="shared" si="76"/>
        <v>#REF!</v>
      </c>
      <c r="AD141" s="10" t="e">
        <f t="shared" si="77"/>
        <v>#REF!</v>
      </c>
      <c r="AE141" s="1" t="e">
        <f>SUMIFS(#REF!,#REF!,
 $A141,#REF!,
 "&gt;="&amp;INT($AG$1),#REF!,
 "&lt;="&amp;INT($AH$1)
)</f>
        <v>#REF!</v>
      </c>
      <c r="AF141" s="1" t="e">
        <f t="shared" si="78"/>
        <v>#REF!</v>
      </c>
      <c r="AG141" s="9" t="e">
        <f t="shared" si="79"/>
        <v>#REF!</v>
      </c>
      <c r="AH141" s="10" t="e">
        <f t="shared" si="80"/>
        <v>#REF!</v>
      </c>
      <c r="AI141" s="1" t="e">
        <f>SUMIFS(#REF!,#REF!,
 $A141,#REF!,
 "&gt;="&amp;INT($AK$1),#REF!,
 "&lt;="&amp;INT($AL$1)
)</f>
        <v>#REF!</v>
      </c>
      <c r="AJ141" s="1" t="e">
        <f t="shared" si="81"/>
        <v>#REF!</v>
      </c>
      <c r="AK141" s="9" t="e">
        <f t="shared" si="82"/>
        <v>#REF!</v>
      </c>
      <c r="AL141" s="10" t="e">
        <f t="shared" si="83"/>
        <v>#REF!</v>
      </c>
      <c r="AM141" s="1" t="e">
        <f>SUMIFS(#REF!,#REF!,
 $A141,#REF!,
 "&gt;="&amp;INT($AO$1),#REF!,
 "&lt;="&amp;INT($AP$1)
)</f>
        <v>#REF!</v>
      </c>
      <c r="AN141" s="1" t="e">
        <f t="shared" si="84"/>
        <v>#REF!</v>
      </c>
      <c r="AO141" s="9" t="e">
        <f t="shared" si="85"/>
        <v>#REF!</v>
      </c>
      <c r="AP141" s="10" t="e">
        <f t="shared" si="86"/>
        <v>#REF!</v>
      </c>
      <c r="AQ141" s="1" t="e">
        <f>SUMIFS(#REF!,#REF!,
 $A141,#REF!,
 "&gt;="&amp;INT($AS$1),#REF!,
 "&lt;="&amp;INT($AT$1)
)</f>
        <v>#REF!</v>
      </c>
      <c r="AR141" s="1" t="e">
        <f t="shared" si="87"/>
        <v>#REF!</v>
      </c>
      <c r="AS141" s="9" t="e">
        <f t="shared" si="88"/>
        <v>#REF!</v>
      </c>
      <c r="AT141" s="10" t="e">
        <f t="shared" si="89"/>
        <v>#REF!</v>
      </c>
      <c r="AU141" s="1" t="e">
        <f>SUMIFS(#REF!,#REF!,
 $A141,#REF!,
 "&gt;="&amp;INT($AW$1),#REF!,
 "&lt;="&amp;INT($AX$1)
)</f>
        <v>#REF!</v>
      </c>
      <c r="AV141" s="1" t="e">
        <f t="shared" si="90"/>
        <v>#REF!</v>
      </c>
      <c r="AW141" s="9" t="e">
        <f t="shared" si="91"/>
        <v>#REF!</v>
      </c>
      <c r="AX141" s="10" t="e">
        <f t="shared" si="92"/>
        <v>#REF!</v>
      </c>
    </row>
    <row r="142" spans="1:50" x14ac:dyDescent="0.25">
      <c r="A142" s="5">
        <v>223017</v>
      </c>
      <c r="B142" s="6" t="s">
        <v>139</v>
      </c>
      <c r="C142" s="1" t="e">
        <f>SUMIFS(#REF!,#REF!,
 $A142,#REF!,
 "&gt;="&amp;INT($E$1),#REF!,
 "&lt;"&amp;INT($F$1+1)
)</f>
        <v>#REF!</v>
      </c>
      <c r="D142" s="1" t="str">
        <f>""</f>
        <v/>
      </c>
      <c r="F142" s="2"/>
      <c r="G142" s="1" t="e">
        <f>SUMIFS(#REF!,#REF!,
 $A142,#REF!,
 "&gt;="&amp;INT($I$1),#REF!,
 "&lt;"&amp;INT($J$1+1)
)</f>
        <v>#REF!</v>
      </c>
      <c r="H142" s="1" t="e">
        <f t="shared" si="62"/>
        <v>#REF!</v>
      </c>
      <c r="I142" s="1"/>
      <c r="J142" s="2"/>
      <c r="K142" s="1" t="e">
        <f>SUMIFS(#REF!,#REF!,
 $A142,#REF!,
 "&gt;="&amp;INT($M$1),#REF!,
 "&lt;"&amp;INT($N$1+1)
)</f>
        <v>#REF!</v>
      </c>
      <c r="L142" s="1" t="e">
        <f t="shared" si="63"/>
        <v>#REF!</v>
      </c>
      <c r="M142" s="9" t="e">
        <f t="shared" si="64"/>
        <v>#REF!</v>
      </c>
      <c r="N142" s="10" t="e">
        <f t="shared" si="65"/>
        <v>#REF!</v>
      </c>
      <c r="O142" s="1" t="e">
        <f>SUMIFS(#REF!,#REF!,
 $A142,#REF!,
 "&gt;="&amp;INT($Q$1),#REF!,
 "&lt;="&amp;INT($R$1)
)</f>
        <v>#REF!</v>
      </c>
      <c r="P142" s="1" t="e">
        <f t="shared" si="66"/>
        <v>#REF!</v>
      </c>
      <c r="Q142" s="9" t="e">
        <f t="shared" si="67"/>
        <v>#REF!</v>
      </c>
      <c r="R142" s="10" t="e">
        <f t="shared" si="68"/>
        <v>#REF!</v>
      </c>
      <c r="S142" s="1" t="e">
        <f>SUMIFS(#REF!,#REF!,
 $A142,#REF!,
 "&gt;="&amp;INT($U$1),#REF!,
 "&lt;="&amp;INT($V$1)
)</f>
        <v>#REF!</v>
      </c>
      <c r="T142" s="1" t="e">
        <f t="shared" si="69"/>
        <v>#REF!</v>
      </c>
      <c r="U142" s="9" t="e">
        <f t="shared" si="70"/>
        <v>#REF!</v>
      </c>
      <c r="V142" s="10" t="e">
        <f t="shared" si="71"/>
        <v>#REF!</v>
      </c>
      <c r="W142" s="1" t="e">
        <f>SUMIFS(#REF!,#REF!,
 $A142,#REF!,
 "&gt;="&amp;INT($Y$1),#REF!,
 "&lt;="&amp;INT($Z$1)
)</f>
        <v>#REF!</v>
      </c>
      <c r="X142" s="1" t="e">
        <f t="shared" si="72"/>
        <v>#REF!</v>
      </c>
      <c r="Y142" s="9" t="e">
        <f t="shared" si="73"/>
        <v>#REF!</v>
      </c>
      <c r="Z142" s="10" t="e">
        <f t="shared" si="74"/>
        <v>#REF!</v>
      </c>
      <c r="AA142" s="1" t="e">
        <f>SUMIFS(#REF!,#REF!,
 $A142,#REF!,
 "&gt;="&amp;INT($AC$1),#REF!,
 "&lt;="&amp;INT($AD$1)
)</f>
        <v>#REF!</v>
      </c>
      <c r="AB142" s="1" t="e">
        <f t="shared" si="75"/>
        <v>#REF!</v>
      </c>
      <c r="AC142" s="9" t="e">
        <f t="shared" si="76"/>
        <v>#REF!</v>
      </c>
      <c r="AD142" s="10" t="e">
        <f t="shared" si="77"/>
        <v>#REF!</v>
      </c>
      <c r="AE142" s="1" t="e">
        <f>SUMIFS(#REF!,#REF!,
 $A142,#REF!,
 "&gt;="&amp;INT($AG$1),#REF!,
 "&lt;="&amp;INT($AH$1)
)</f>
        <v>#REF!</v>
      </c>
      <c r="AF142" s="1" t="e">
        <f t="shared" si="78"/>
        <v>#REF!</v>
      </c>
      <c r="AG142" s="9" t="e">
        <f t="shared" si="79"/>
        <v>#REF!</v>
      </c>
      <c r="AH142" s="10" t="e">
        <f t="shared" si="80"/>
        <v>#REF!</v>
      </c>
      <c r="AI142" s="1" t="e">
        <f>SUMIFS(#REF!,#REF!,
 $A142,#REF!,
 "&gt;="&amp;INT($AK$1),#REF!,
 "&lt;="&amp;INT($AL$1)
)</f>
        <v>#REF!</v>
      </c>
      <c r="AJ142" s="1" t="e">
        <f t="shared" si="81"/>
        <v>#REF!</v>
      </c>
      <c r="AK142" s="9" t="e">
        <f t="shared" si="82"/>
        <v>#REF!</v>
      </c>
      <c r="AL142" s="10" t="e">
        <f t="shared" si="83"/>
        <v>#REF!</v>
      </c>
      <c r="AM142" s="1" t="e">
        <f>SUMIFS(#REF!,#REF!,
 $A142,#REF!,
 "&gt;="&amp;INT($AO$1),#REF!,
 "&lt;="&amp;INT($AP$1)
)</f>
        <v>#REF!</v>
      </c>
      <c r="AN142" s="1" t="e">
        <f t="shared" si="84"/>
        <v>#REF!</v>
      </c>
      <c r="AO142" s="9" t="e">
        <f t="shared" si="85"/>
        <v>#REF!</v>
      </c>
      <c r="AP142" s="10" t="e">
        <f t="shared" si="86"/>
        <v>#REF!</v>
      </c>
      <c r="AQ142" s="1" t="e">
        <f>SUMIFS(#REF!,#REF!,
 $A142,#REF!,
 "&gt;="&amp;INT($AS$1),#REF!,
 "&lt;="&amp;INT($AT$1)
)</f>
        <v>#REF!</v>
      </c>
      <c r="AR142" s="1" t="e">
        <f t="shared" si="87"/>
        <v>#REF!</v>
      </c>
      <c r="AS142" s="9" t="e">
        <f t="shared" si="88"/>
        <v>#REF!</v>
      </c>
      <c r="AT142" s="10" t="e">
        <f t="shared" si="89"/>
        <v>#REF!</v>
      </c>
      <c r="AU142" s="1" t="e">
        <f>SUMIFS(#REF!,#REF!,
 $A142,#REF!,
 "&gt;="&amp;INT($AW$1),#REF!,
 "&lt;="&amp;INT($AX$1)
)</f>
        <v>#REF!</v>
      </c>
      <c r="AV142" s="1" t="e">
        <f t="shared" si="90"/>
        <v>#REF!</v>
      </c>
      <c r="AW142" s="9" t="e">
        <f t="shared" si="91"/>
        <v>#REF!</v>
      </c>
      <c r="AX142" s="10" t="e">
        <f t="shared" si="92"/>
        <v>#REF!</v>
      </c>
    </row>
    <row r="143" spans="1:50" x14ac:dyDescent="0.25">
      <c r="A143" s="5">
        <v>223018</v>
      </c>
      <c r="B143" s="6" t="s">
        <v>140</v>
      </c>
      <c r="C143" s="1" t="e">
        <f>SUMIFS(#REF!,#REF!,
 $A143,#REF!,
 "&gt;="&amp;INT($E$1),#REF!,
 "&lt;"&amp;INT($F$1+1)
)</f>
        <v>#REF!</v>
      </c>
      <c r="D143" s="1" t="str">
        <f>""</f>
        <v/>
      </c>
      <c r="F143" s="2"/>
      <c r="G143" s="1" t="e">
        <f>SUMIFS(#REF!,#REF!,
 $A143,#REF!,
 "&gt;="&amp;INT($I$1),#REF!,
 "&lt;"&amp;INT($J$1+1)
)</f>
        <v>#REF!</v>
      </c>
      <c r="H143" s="1" t="e">
        <f t="shared" si="62"/>
        <v>#REF!</v>
      </c>
      <c r="I143" s="1"/>
      <c r="J143" s="2"/>
      <c r="K143" s="1" t="e">
        <f>SUMIFS(#REF!,#REF!,
 $A143,#REF!,
 "&gt;="&amp;INT($M$1),#REF!,
 "&lt;"&amp;INT($N$1+1)
)</f>
        <v>#REF!</v>
      </c>
      <c r="L143" s="1" t="e">
        <f t="shared" si="63"/>
        <v>#REF!</v>
      </c>
      <c r="M143" s="9" t="e">
        <f t="shared" si="64"/>
        <v>#REF!</v>
      </c>
      <c r="N143" s="10" t="e">
        <f t="shared" si="65"/>
        <v>#REF!</v>
      </c>
      <c r="O143" s="1" t="e">
        <f>SUMIFS(#REF!,#REF!,
 $A143,#REF!,
 "&gt;="&amp;INT($Q$1),#REF!,
 "&lt;="&amp;INT($R$1)
)</f>
        <v>#REF!</v>
      </c>
      <c r="P143" s="1" t="e">
        <f t="shared" si="66"/>
        <v>#REF!</v>
      </c>
      <c r="Q143" s="9" t="e">
        <f t="shared" si="67"/>
        <v>#REF!</v>
      </c>
      <c r="R143" s="10" t="e">
        <f t="shared" si="68"/>
        <v>#REF!</v>
      </c>
      <c r="S143" s="1" t="e">
        <f>SUMIFS(#REF!,#REF!,
 $A143,#REF!,
 "&gt;="&amp;INT($U$1),#REF!,
 "&lt;="&amp;INT($V$1)
)</f>
        <v>#REF!</v>
      </c>
      <c r="T143" s="1" t="e">
        <f t="shared" si="69"/>
        <v>#REF!</v>
      </c>
      <c r="U143" s="9" t="e">
        <f t="shared" si="70"/>
        <v>#REF!</v>
      </c>
      <c r="V143" s="10" t="e">
        <f t="shared" si="71"/>
        <v>#REF!</v>
      </c>
      <c r="W143" s="1" t="e">
        <f>SUMIFS(#REF!,#REF!,
 $A143,#REF!,
 "&gt;="&amp;INT($Y$1),#REF!,
 "&lt;="&amp;INT($Z$1)
)</f>
        <v>#REF!</v>
      </c>
      <c r="X143" s="1" t="e">
        <f t="shared" si="72"/>
        <v>#REF!</v>
      </c>
      <c r="Y143" s="9" t="e">
        <f t="shared" si="73"/>
        <v>#REF!</v>
      </c>
      <c r="Z143" s="10" t="e">
        <f t="shared" si="74"/>
        <v>#REF!</v>
      </c>
      <c r="AA143" s="1" t="e">
        <f>SUMIFS(#REF!,#REF!,
 $A143,#REF!,
 "&gt;="&amp;INT($AC$1),#REF!,
 "&lt;="&amp;INT($AD$1)
)</f>
        <v>#REF!</v>
      </c>
      <c r="AB143" s="1" t="e">
        <f t="shared" si="75"/>
        <v>#REF!</v>
      </c>
      <c r="AC143" s="9" t="e">
        <f t="shared" si="76"/>
        <v>#REF!</v>
      </c>
      <c r="AD143" s="10" t="e">
        <f t="shared" si="77"/>
        <v>#REF!</v>
      </c>
      <c r="AE143" s="1" t="e">
        <f>SUMIFS(#REF!,#REF!,
 $A143,#REF!,
 "&gt;="&amp;INT($AG$1),#REF!,
 "&lt;="&amp;INT($AH$1)
)</f>
        <v>#REF!</v>
      </c>
      <c r="AF143" s="1" t="e">
        <f t="shared" si="78"/>
        <v>#REF!</v>
      </c>
      <c r="AG143" s="9" t="e">
        <f t="shared" si="79"/>
        <v>#REF!</v>
      </c>
      <c r="AH143" s="10" t="e">
        <f t="shared" si="80"/>
        <v>#REF!</v>
      </c>
      <c r="AI143" s="1" t="e">
        <f>SUMIFS(#REF!,#REF!,
 $A143,#REF!,
 "&gt;="&amp;INT($AK$1),#REF!,
 "&lt;="&amp;INT($AL$1)
)</f>
        <v>#REF!</v>
      </c>
      <c r="AJ143" s="1" t="e">
        <f t="shared" si="81"/>
        <v>#REF!</v>
      </c>
      <c r="AK143" s="9" t="e">
        <f t="shared" si="82"/>
        <v>#REF!</v>
      </c>
      <c r="AL143" s="10" t="e">
        <f t="shared" si="83"/>
        <v>#REF!</v>
      </c>
      <c r="AM143" s="1" t="e">
        <f>SUMIFS(#REF!,#REF!,
 $A143,#REF!,
 "&gt;="&amp;INT($AO$1),#REF!,
 "&lt;="&amp;INT($AP$1)
)</f>
        <v>#REF!</v>
      </c>
      <c r="AN143" s="1" t="e">
        <f t="shared" si="84"/>
        <v>#REF!</v>
      </c>
      <c r="AO143" s="9" t="e">
        <f t="shared" si="85"/>
        <v>#REF!</v>
      </c>
      <c r="AP143" s="10" t="e">
        <f t="shared" si="86"/>
        <v>#REF!</v>
      </c>
      <c r="AQ143" s="1" t="e">
        <f>SUMIFS(#REF!,#REF!,
 $A143,#REF!,
 "&gt;="&amp;INT($AS$1),#REF!,
 "&lt;="&amp;INT($AT$1)
)</f>
        <v>#REF!</v>
      </c>
      <c r="AR143" s="1" t="e">
        <f t="shared" si="87"/>
        <v>#REF!</v>
      </c>
      <c r="AS143" s="9" t="e">
        <f t="shared" si="88"/>
        <v>#REF!</v>
      </c>
      <c r="AT143" s="10" t="e">
        <f t="shared" si="89"/>
        <v>#REF!</v>
      </c>
      <c r="AU143" s="1" t="e">
        <f>SUMIFS(#REF!,#REF!,
 $A143,#REF!,
 "&gt;="&amp;INT($AW$1),#REF!,
 "&lt;="&amp;INT($AX$1)
)</f>
        <v>#REF!</v>
      </c>
      <c r="AV143" s="1" t="e">
        <f t="shared" si="90"/>
        <v>#REF!</v>
      </c>
      <c r="AW143" s="9" t="e">
        <f t="shared" si="91"/>
        <v>#REF!</v>
      </c>
      <c r="AX143" s="10" t="e">
        <f t="shared" si="92"/>
        <v>#REF!</v>
      </c>
    </row>
    <row r="144" spans="1:50" x14ac:dyDescent="0.25">
      <c r="A144" s="5">
        <v>224001</v>
      </c>
      <c r="B144" s="6" t="s">
        <v>141</v>
      </c>
      <c r="C144" s="1" t="e">
        <f>SUMIFS(#REF!,#REF!,
 $A144,#REF!,
 "&gt;="&amp;INT($E$1),#REF!,
 "&lt;"&amp;INT($F$1+1)
)</f>
        <v>#REF!</v>
      </c>
      <c r="D144" s="1" t="str">
        <f>""</f>
        <v/>
      </c>
      <c r="F144" s="2"/>
      <c r="G144" s="1" t="e">
        <f>SUMIFS(#REF!,#REF!,
 $A144,#REF!,
 "&gt;="&amp;INT($I$1),#REF!,
 "&lt;"&amp;INT($J$1+1)
)</f>
        <v>#REF!</v>
      </c>
      <c r="H144" s="1" t="e">
        <f t="shared" si="62"/>
        <v>#REF!</v>
      </c>
      <c r="I144" s="1"/>
      <c r="J144" s="2"/>
      <c r="K144" s="1" t="e">
        <f>SUMIFS(#REF!,#REF!,
 $A144,#REF!,
 "&gt;="&amp;INT($M$1),#REF!,
 "&lt;"&amp;INT($N$1+1)
)</f>
        <v>#REF!</v>
      </c>
      <c r="L144" s="1" t="e">
        <f t="shared" si="63"/>
        <v>#REF!</v>
      </c>
      <c r="M144" s="9" t="e">
        <f t="shared" si="64"/>
        <v>#REF!</v>
      </c>
      <c r="N144" s="10" t="e">
        <f t="shared" si="65"/>
        <v>#REF!</v>
      </c>
      <c r="O144" s="1" t="e">
        <f>SUMIFS(#REF!,#REF!,
 $A144,#REF!,
 "&gt;="&amp;INT($Q$1),#REF!,
 "&lt;="&amp;INT($R$1)
)</f>
        <v>#REF!</v>
      </c>
      <c r="P144" s="1" t="e">
        <f t="shared" si="66"/>
        <v>#REF!</v>
      </c>
      <c r="Q144" s="9" t="e">
        <f t="shared" si="67"/>
        <v>#REF!</v>
      </c>
      <c r="R144" s="10" t="e">
        <f t="shared" si="68"/>
        <v>#REF!</v>
      </c>
      <c r="S144" s="1" t="e">
        <f>SUMIFS(#REF!,#REF!,
 $A144,#REF!,
 "&gt;="&amp;INT($U$1),#REF!,
 "&lt;="&amp;INT($V$1)
)</f>
        <v>#REF!</v>
      </c>
      <c r="T144" s="1" t="e">
        <f t="shared" si="69"/>
        <v>#REF!</v>
      </c>
      <c r="U144" s="9" t="e">
        <f t="shared" si="70"/>
        <v>#REF!</v>
      </c>
      <c r="V144" s="10" t="e">
        <f t="shared" si="71"/>
        <v>#REF!</v>
      </c>
      <c r="W144" s="1" t="e">
        <f>SUMIFS(#REF!,#REF!,
 $A144,#REF!,
 "&gt;="&amp;INT($Y$1),#REF!,
 "&lt;="&amp;INT($Z$1)
)</f>
        <v>#REF!</v>
      </c>
      <c r="X144" s="1" t="e">
        <f t="shared" si="72"/>
        <v>#REF!</v>
      </c>
      <c r="Y144" s="9" t="e">
        <f t="shared" si="73"/>
        <v>#REF!</v>
      </c>
      <c r="Z144" s="10" t="e">
        <f t="shared" si="74"/>
        <v>#REF!</v>
      </c>
      <c r="AA144" s="1" t="e">
        <f>SUMIFS(#REF!,#REF!,
 $A144,#REF!,
 "&gt;="&amp;INT($AC$1),#REF!,
 "&lt;="&amp;INT($AD$1)
)</f>
        <v>#REF!</v>
      </c>
      <c r="AB144" s="1" t="e">
        <f t="shared" si="75"/>
        <v>#REF!</v>
      </c>
      <c r="AC144" s="9" t="e">
        <f t="shared" si="76"/>
        <v>#REF!</v>
      </c>
      <c r="AD144" s="10" t="e">
        <f t="shared" si="77"/>
        <v>#REF!</v>
      </c>
      <c r="AE144" s="1" t="e">
        <f>SUMIFS(#REF!,#REF!,
 $A144,#REF!,
 "&gt;="&amp;INT($AG$1),#REF!,
 "&lt;="&amp;INT($AH$1)
)</f>
        <v>#REF!</v>
      </c>
      <c r="AF144" s="1" t="e">
        <f t="shared" si="78"/>
        <v>#REF!</v>
      </c>
      <c r="AG144" s="9" t="e">
        <f t="shared" si="79"/>
        <v>#REF!</v>
      </c>
      <c r="AH144" s="10" t="e">
        <f t="shared" si="80"/>
        <v>#REF!</v>
      </c>
      <c r="AI144" s="1" t="e">
        <f>SUMIFS(#REF!,#REF!,
 $A144,#REF!,
 "&gt;="&amp;INT($AK$1),#REF!,
 "&lt;="&amp;INT($AL$1)
)</f>
        <v>#REF!</v>
      </c>
      <c r="AJ144" s="1" t="e">
        <f t="shared" si="81"/>
        <v>#REF!</v>
      </c>
      <c r="AK144" s="9" t="e">
        <f t="shared" si="82"/>
        <v>#REF!</v>
      </c>
      <c r="AL144" s="10" t="e">
        <f t="shared" si="83"/>
        <v>#REF!</v>
      </c>
      <c r="AM144" s="1" t="e">
        <f>SUMIFS(#REF!,#REF!,
 $A144,#REF!,
 "&gt;="&amp;INT($AO$1),#REF!,
 "&lt;="&amp;INT($AP$1)
)</f>
        <v>#REF!</v>
      </c>
      <c r="AN144" s="1" t="e">
        <f t="shared" si="84"/>
        <v>#REF!</v>
      </c>
      <c r="AO144" s="9" t="e">
        <f t="shared" si="85"/>
        <v>#REF!</v>
      </c>
      <c r="AP144" s="10" t="e">
        <f t="shared" si="86"/>
        <v>#REF!</v>
      </c>
      <c r="AQ144" s="1" t="e">
        <f>SUMIFS(#REF!,#REF!,
 $A144,#REF!,
 "&gt;="&amp;INT($AS$1),#REF!,
 "&lt;="&amp;INT($AT$1)
)</f>
        <v>#REF!</v>
      </c>
      <c r="AR144" s="1" t="e">
        <f t="shared" si="87"/>
        <v>#REF!</v>
      </c>
      <c r="AS144" s="9" t="e">
        <f t="shared" si="88"/>
        <v>#REF!</v>
      </c>
      <c r="AT144" s="10" t="e">
        <f t="shared" si="89"/>
        <v>#REF!</v>
      </c>
      <c r="AU144" s="1" t="e">
        <f>SUMIFS(#REF!,#REF!,
 $A144,#REF!,
 "&gt;="&amp;INT($AW$1),#REF!,
 "&lt;="&amp;INT($AX$1)
)</f>
        <v>#REF!</v>
      </c>
      <c r="AV144" s="1" t="e">
        <f t="shared" si="90"/>
        <v>#REF!</v>
      </c>
      <c r="AW144" s="9" t="e">
        <f t="shared" si="91"/>
        <v>#REF!</v>
      </c>
      <c r="AX144" s="10" t="e">
        <f t="shared" si="92"/>
        <v>#REF!</v>
      </c>
    </row>
    <row r="145" spans="1:50" x14ac:dyDescent="0.25">
      <c r="A145" s="5">
        <v>224002</v>
      </c>
      <c r="B145" s="6" t="s">
        <v>142</v>
      </c>
      <c r="C145" s="1" t="e">
        <f>SUMIFS(#REF!,#REF!,
 $A145,#REF!,
 "&gt;="&amp;INT($E$1),#REF!,
 "&lt;"&amp;INT($F$1+1)
)</f>
        <v>#REF!</v>
      </c>
      <c r="D145" s="1" t="str">
        <f>""</f>
        <v/>
      </c>
      <c r="F145" s="2"/>
      <c r="G145" s="1" t="e">
        <f>SUMIFS(#REF!,#REF!,
 $A145,#REF!,
 "&gt;="&amp;INT($I$1),#REF!,
 "&lt;"&amp;INT($J$1+1)
)</f>
        <v>#REF!</v>
      </c>
      <c r="H145" s="1" t="e">
        <f t="shared" si="62"/>
        <v>#REF!</v>
      </c>
      <c r="I145" s="1"/>
      <c r="J145" s="2"/>
      <c r="K145" s="1" t="e">
        <f>SUMIFS(#REF!,#REF!,
 $A145,#REF!,
 "&gt;="&amp;INT($M$1),#REF!,
 "&lt;"&amp;INT($N$1+1)
)</f>
        <v>#REF!</v>
      </c>
      <c r="L145" s="1" t="e">
        <f t="shared" si="63"/>
        <v>#REF!</v>
      </c>
      <c r="M145" s="9" t="e">
        <f t="shared" si="64"/>
        <v>#REF!</v>
      </c>
      <c r="N145" s="10" t="e">
        <f t="shared" si="65"/>
        <v>#REF!</v>
      </c>
      <c r="O145" s="1" t="e">
        <f>SUMIFS(#REF!,#REF!,
 $A145,#REF!,
 "&gt;="&amp;INT($Q$1),#REF!,
 "&lt;="&amp;INT($R$1)
)</f>
        <v>#REF!</v>
      </c>
      <c r="P145" s="1" t="e">
        <f t="shared" si="66"/>
        <v>#REF!</v>
      </c>
      <c r="Q145" s="9" t="e">
        <f t="shared" si="67"/>
        <v>#REF!</v>
      </c>
      <c r="R145" s="10" t="e">
        <f t="shared" si="68"/>
        <v>#REF!</v>
      </c>
      <c r="S145" s="1" t="e">
        <f>SUMIFS(#REF!,#REF!,
 $A145,#REF!,
 "&gt;="&amp;INT($U$1),#REF!,
 "&lt;="&amp;INT($V$1)
)</f>
        <v>#REF!</v>
      </c>
      <c r="T145" s="1" t="e">
        <f t="shared" si="69"/>
        <v>#REF!</v>
      </c>
      <c r="U145" s="9" t="e">
        <f t="shared" si="70"/>
        <v>#REF!</v>
      </c>
      <c r="V145" s="10" t="e">
        <f t="shared" si="71"/>
        <v>#REF!</v>
      </c>
      <c r="W145" s="1" t="e">
        <f>SUMIFS(#REF!,#REF!,
 $A145,#REF!,
 "&gt;="&amp;INT($Y$1),#REF!,
 "&lt;="&amp;INT($Z$1)
)</f>
        <v>#REF!</v>
      </c>
      <c r="X145" s="1" t="e">
        <f t="shared" si="72"/>
        <v>#REF!</v>
      </c>
      <c r="Y145" s="9" t="e">
        <f t="shared" si="73"/>
        <v>#REF!</v>
      </c>
      <c r="Z145" s="10" t="e">
        <f t="shared" si="74"/>
        <v>#REF!</v>
      </c>
      <c r="AA145" s="1" t="e">
        <f>SUMIFS(#REF!,#REF!,
 $A145,#REF!,
 "&gt;="&amp;INT($AC$1),#REF!,
 "&lt;="&amp;INT($AD$1)
)</f>
        <v>#REF!</v>
      </c>
      <c r="AB145" s="1" t="e">
        <f t="shared" si="75"/>
        <v>#REF!</v>
      </c>
      <c r="AC145" s="9" t="e">
        <f t="shared" si="76"/>
        <v>#REF!</v>
      </c>
      <c r="AD145" s="10" t="e">
        <f t="shared" si="77"/>
        <v>#REF!</v>
      </c>
      <c r="AE145" s="1" t="e">
        <f>SUMIFS(#REF!,#REF!,
 $A145,#REF!,
 "&gt;="&amp;INT($AG$1),#REF!,
 "&lt;="&amp;INT($AH$1)
)</f>
        <v>#REF!</v>
      </c>
      <c r="AF145" s="1" t="e">
        <f t="shared" si="78"/>
        <v>#REF!</v>
      </c>
      <c r="AG145" s="9" t="e">
        <f t="shared" si="79"/>
        <v>#REF!</v>
      </c>
      <c r="AH145" s="10" t="e">
        <f t="shared" si="80"/>
        <v>#REF!</v>
      </c>
      <c r="AI145" s="1" t="e">
        <f>SUMIFS(#REF!,#REF!,
 $A145,#REF!,
 "&gt;="&amp;INT($AK$1),#REF!,
 "&lt;="&amp;INT($AL$1)
)</f>
        <v>#REF!</v>
      </c>
      <c r="AJ145" s="1" t="e">
        <f t="shared" si="81"/>
        <v>#REF!</v>
      </c>
      <c r="AK145" s="9" t="e">
        <f t="shared" si="82"/>
        <v>#REF!</v>
      </c>
      <c r="AL145" s="10" t="e">
        <f t="shared" si="83"/>
        <v>#REF!</v>
      </c>
      <c r="AM145" s="1" t="e">
        <f>SUMIFS(#REF!,#REF!,
 $A145,#REF!,
 "&gt;="&amp;INT($AO$1),#REF!,
 "&lt;="&amp;INT($AP$1)
)</f>
        <v>#REF!</v>
      </c>
      <c r="AN145" s="1" t="e">
        <f t="shared" si="84"/>
        <v>#REF!</v>
      </c>
      <c r="AO145" s="9" t="e">
        <f t="shared" si="85"/>
        <v>#REF!</v>
      </c>
      <c r="AP145" s="10" t="e">
        <f t="shared" si="86"/>
        <v>#REF!</v>
      </c>
      <c r="AQ145" s="1" t="e">
        <f>SUMIFS(#REF!,#REF!,
 $A145,#REF!,
 "&gt;="&amp;INT($AS$1),#REF!,
 "&lt;="&amp;INT($AT$1)
)</f>
        <v>#REF!</v>
      </c>
      <c r="AR145" s="1" t="e">
        <f t="shared" si="87"/>
        <v>#REF!</v>
      </c>
      <c r="AS145" s="9" t="e">
        <f t="shared" si="88"/>
        <v>#REF!</v>
      </c>
      <c r="AT145" s="10" t="e">
        <f t="shared" si="89"/>
        <v>#REF!</v>
      </c>
      <c r="AU145" s="1" t="e">
        <f>SUMIFS(#REF!,#REF!,
 $A145,#REF!,
 "&gt;="&amp;INT($AW$1),#REF!,
 "&lt;="&amp;INT($AX$1)
)</f>
        <v>#REF!</v>
      </c>
      <c r="AV145" s="1" t="e">
        <f t="shared" si="90"/>
        <v>#REF!</v>
      </c>
      <c r="AW145" s="9" t="e">
        <f t="shared" si="91"/>
        <v>#REF!</v>
      </c>
      <c r="AX145" s="10" t="e">
        <f t="shared" si="92"/>
        <v>#REF!</v>
      </c>
    </row>
    <row r="146" spans="1:50" x14ac:dyDescent="0.25">
      <c r="A146" s="5">
        <v>224003</v>
      </c>
      <c r="B146" s="6" t="s">
        <v>143</v>
      </c>
      <c r="C146" s="1" t="e">
        <f>SUMIFS(#REF!,#REF!,
 $A146,#REF!,
 "&gt;="&amp;INT($E$1),#REF!,
 "&lt;"&amp;INT($F$1+1)
)</f>
        <v>#REF!</v>
      </c>
      <c r="D146" s="1" t="str">
        <f>""</f>
        <v/>
      </c>
      <c r="F146" s="2"/>
      <c r="G146" s="1" t="e">
        <f>SUMIFS(#REF!,#REF!,
 $A146,#REF!,
 "&gt;="&amp;INT($I$1),#REF!,
 "&lt;"&amp;INT($J$1+1)
)</f>
        <v>#REF!</v>
      </c>
      <c r="H146" s="1" t="e">
        <f t="shared" si="62"/>
        <v>#REF!</v>
      </c>
      <c r="I146" s="1"/>
      <c r="J146" s="2"/>
      <c r="K146" s="1" t="e">
        <f>SUMIFS(#REF!,#REF!,
 $A146,#REF!,
 "&gt;="&amp;INT($M$1),#REF!,
 "&lt;"&amp;INT($N$1+1)
)</f>
        <v>#REF!</v>
      </c>
      <c r="L146" s="1" t="e">
        <f t="shared" si="63"/>
        <v>#REF!</v>
      </c>
      <c r="M146" s="9" t="e">
        <f t="shared" si="64"/>
        <v>#REF!</v>
      </c>
      <c r="N146" s="10" t="e">
        <f t="shared" si="65"/>
        <v>#REF!</v>
      </c>
      <c r="O146" s="1" t="e">
        <f>SUMIFS(#REF!,#REF!,
 $A146,#REF!,
 "&gt;="&amp;INT($Q$1),#REF!,
 "&lt;="&amp;INT($R$1)
)</f>
        <v>#REF!</v>
      </c>
      <c r="P146" s="1" t="e">
        <f t="shared" si="66"/>
        <v>#REF!</v>
      </c>
      <c r="Q146" s="9" t="e">
        <f t="shared" si="67"/>
        <v>#REF!</v>
      </c>
      <c r="R146" s="10" t="e">
        <f t="shared" si="68"/>
        <v>#REF!</v>
      </c>
      <c r="S146" s="1" t="e">
        <f>SUMIFS(#REF!,#REF!,
 $A146,#REF!,
 "&gt;="&amp;INT($U$1),#REF!,
 "&lt;="&amp;INT($V$1)
)</f>
        <v>#REF!</v>
      </c>
      <c r="T146" s="1" t="e">
        <f t="shared" si="69"/>
        <v>#REF!</v>
      </c>
      <c r="U146" s="9" t="e">
        <f t="shared" si="70"/>
        <v>#REF!</v>
      </c>
      <c r="V146" s="10" t="e">
        <f t="shared" si="71"/>
        <v>#REF!</v>
      </c>
      <c r="W146" s="1" t="e">
        <f>SUMIFS(#REF!,#REF!,
 $A146,#REF!,
 "&gt;="&amp;INT($Y$1),#REF!,
 "&lt;="&amp;INT($Z$1)
)</f>
        <v>#REF!</v>
      </c>
      <c r="X146" s="1" t="e">
        <f t="shared" si="72"/>
        <v>#REF!</v>
      </c>
      <c r="Y146" s="9" t="e">
        <f t="shared" si="73"/>
        <v>#REF!</v>
      </c>
      <c r="Z146" s="10" t="e">
        <f t="shared" si="74"/>
        <v>#REF!</v>
      </c>
      <c r="AA146" s="1" t="e">
        <f>SUMIFS(#REF!,#REF!,
 $A146,#REF!,
 "&gt;="&amp;INT($AC$1),#REF!,
 "&lt;="&amp;INT($AD$1)
)</f>
        <v>#REF!</v>
      </c>
      <c r="AB146" s="1" t="e">
        <f t="shared" si="75"/>
        <v>#REF!</v>
      </c>
      <c r="AC146" s="9" t="e">
        <f t="shared" si="76"/>
        <v>#REF!</v>
      </c>
      <c r="AD146" s="10" t="e">
        <f t="shared" si="77"/>
        <v>#REF!</v>
      </c>
      <c r="AE146" s="1" t="e">
        <f>SUMIFS(#REF!,#REF!,
 $A146,#REF!,
 "&gt;="&amp;INT($AG$1),#REF!,
 "&lt;="&amp;INT($AH$1)
)</f>
        <v>#REF!</v>
      </c>
      <c r="AF146" s="1" t="e">
        <f t="shared" si="78"/>
        <v>#REF!</v>
      </c>
      <c r="AG146" s="9" t="e">
        <f t="shared" si="79"/>
        <v>#REF!</v>
      </c>
      <c r="AH146" s="10" t="e">
        <f t="shared" si="80"/>
        <v>#REF!</v>
      </c>
      <c r="AI146" s="1" t="e">
        <f>SUMIFS(#REF!,#REF!,
 $A146,#REF!,
 "&gt;="&amp;INT($AK$1),#REF!,
 "&lt;="&amp;INT($AL$1)
)</f>
        <v>#REF!</v>
      </c>
      <c r="AJ146" s="1" t="e">
        <f t="shared" si="81"/>
        <v>#REF!</v>
      </c>
      <c r="AK146" s="9" t="e">
        <f t="shared" si="82"/>
        <v>#REF!</v>
      </c>
      <c r="AL146" s="10" t="e">
        <f t="shared" si="83"/>
        <v>#REF!</v>
      </c>
      <c r="AM146" s="1" t="e">
        <f>SUMIFS(#REF!,#REF!,
 $A146,#REF!,
 "&gt;="&amp;INT($AO$1),#REF!,
 "&lt;="&amp;INT($AP$1)
)</f>
        <v>#REF!</v>
      </c>
      <c r="AN146" s="1" t="e">
        <f t="shared" si="84"/>
        <v>#REF!</v>
      </c>
      <c r="AO146" s="9" t="e">
        <f t="shared" si="85"/>
        <v>#REF!</v>
      </c>
      <c r="AP146" s="10" t="e">
        <f t="shared" si="86"/>
        <v>#REF!</v>
      </c>
      <c r="AQ146" s="1" t="e">
        <f>SUMIFS(#REF!,#REF!,
 $A146,#REF!,
 "&gt;="&amp;INT($AS$1),#REF!,
 "&lt;="&amp;INT($AT$1)
)</f>
        <v>#REF!</v>
      </c>
      <c r="AR146" s="1" t="e">
        <f t="shared" si="87"/>
        <v>#REF!</v>
      </c>
      <c r="AS146" s="9" t="e">
        <f t="shared" si="88"/>
        <v>#REF!</v>
      </c>
      <c r="AT146" s="10" t="e">
        <f t="shared" si="89"/>
        <v>#REF!</v>
      </c>
      <c r="AU146" s="1" t="e">
        <f>SUMIFS(#REF!,#REF!,
 $A146,#REF!,
 "&gt;="&amp;INT($AW$1),#REF!,
 "&lt;="&amp;INT($AX$1)
)</f>
        <v>#REF!</v>
      </c>
      <c r="AV146" s="1" t="e">
        <f t="shared" si="90"/>
        <v>#REF!</v>
      </c>
      <c r="AW146" s="9" t="e">
        <f t="shared" si="91"/>
        <v>#REF!</v>
      </c>
      <c r="AX146" s="10" t="e">
        <f t="shared" si="92"/>
        <v>#REF!</v>
      </c>
    </row>
    <row r="147" spans="1:50" x14ac:dyDescent="0.25">
      <c r="A147" s="5">
        <v>225001</v>
      </c>
      <c r="B147" s="6" t="s">
        <v>144</v>
      </c>
      <c r="C147" s="1" t="e">
        <f>SUMIFS(#REF!,#REF!,
 $A147,#REF!,
 "&gt;="&amp;INT($E$1),#REF!,
 "&lt;"&amp;INT($F$1+1)
)</f>
        <v>#REF!</v>
      </c>
      <c r="D147" s="1" t="str">
        <f>""</f>
        <v/>
      </c>
      <c r="F147" s="2"/>
      <c r="G147" s="1" t="e">
        <f>SUMIFS(#REF!,#REF!,
 $A147,#REF!,
 "&gt;="&amp;INT($I$1),#REF!,
 "&lt;"&amp;INT($J$1+1)
)</f>
        <v>#REF!</v>
      </c>
      <c r="H147" s="1" t="e">
        <f t="shared" si="62"/>
        <v>#REF!</v>
      </c>
      <c r="I147" s="1"/>
      <c r="J147" s="2"/>
      <c r="K147" s="1" t="e">
        <f>SUMIFS(#REF!,#REF!,
 $A147,#REF!,
 "&gt;="&amp;INT($M$1),#REF!,
 "&lt;"&amp;INT($N$1+1)
)</f>
        <v>#REF!</v>
      </c>
      <c r="L147" s="1" t="e">
        <f t="shared" si="63"/>
        <v>#REF!</v>
      </c>
      <c r="M147" s="9" t="e">
        <f t="shared" si="64"/>
        <v>#REF!</v>
      </c>
      <c r="N147" s="10" t="e">
        <f t="shared" si="65"/>
        <v>#REF!</v>
      </c>
      <c r="O147" s="1" t="e">
        <f>SUMIFS(#REF!,#REF!,
 $A147,#REF!,
 "&gt;="&amp;INT($Q$1),#REF!,
 "&lt;="&amp;INT($R$1)
)</f>
        <v>#REF!</v>
      </c>
      <c r="P147" s="1" t="e">
        <f t="shared" si="66"/>
        <v>#REF!</v>
      </c>
      <c r="Q147" s="9" t="e">
        <f t="shared" si="67"/>
        <v>#REF!</v>
      </c>
      <c r="R147" s="10" t="e">
        <f t="shared" si="68"/>
        <v>#REF!</v>
      </c>
      <c r="S147" s="1" t="e">
        <f>SUMIFS(#REF!,#REF!,
 $A147,#REF!,
 "&gt;="&amp;INT($U$1),#REF!,
 "&lt;="&amp;INT($V$1)
)</f>
        <v>#REF!</v>
      </c>
      <c r="T147" s="1" t="e">
        <f t="shared" si="69"/>
        <v>#REF!</v>
      </c>
      <c r="U147" s="9" t="e">
        <f t="shared" si="70"/>
        <v>#REF!</v>
      </c>
      <c r="V147" s="10" t="e">
        <f t="shared" si="71"/>
        <v>#REF!</v>
      </c>
      <c r="W147" s="1" t="e">
        <f>SUMIFS(#REF!,#REF!,
 $A147,#REF!,
 "&gt;="&amp;INT($Y$1),#REF!,
 "&lt;="&amp;INT($Z$1)
)</f>
        <v>#REF!</v>
      </c>
      <c r="X147" s="1" t="e">
        <f t="shared" si="72"/>
        <v>#REF!</v>
      </c>
      <c r="Y147" s="9" t="e">
        <f t="shared" si="73"/>
        <v>#REF!</v>
      </c>
      <c r="Z147" s="10" t="e">
        <f t="shared" si="74"/>
        <v>#REF!</v>
      </c>
      <c r="AA147" s="1" t="e">
        <f>SUMIFS(#REF!,#REF!,
 $A147,#REF!,
 "&gt;="&amp;INT($AC$1),#REF!,
 "&lt;="&amp;INT($AD$1)
)</f>
        <v>#REF!</v>
      </c>
      <c r="AB147" s="1" t="e">
        <f t="shared" si="75"/>
        <v>#REF!</v>
      </c>
      <c r="AC147" s="9" t="e">
        <f t="shared" si="76"/>
        <v>#REF!</v>
      </c>
      <c r="AD147" s="10" t="e">
        <f t="shared" si="77"/>
        <v>#REF!</v>
      </c>
      <c r="AE147" s="1" t="e">
        <f>SUMIFS(#REF!,#REF!,
 $A147,#REF!,
 "&gt;="&amp;INT($AG$1),#REF!,
 "&lt;="&amp;INT($AH$1)
)</f>
        <v>#REF!</v>
      </c>
      <c r="AF147" s="1" t="e">
        <f t="shared" si="78"/>
        <v>#REF!</v>
      </c>
      <c r="AG147" s="9" t="e">
        <f t="shared" si="79"/>
        <v>#REF!</v>
      </c>
      <c r="AH147" s="10" t="e">
        <f t="shared" si="80"/>
        <v>#REF!</v>
      </c>
      <c r="AI147" s="1" t="e">
        <f>SUMIFS(#REF!,#REF!,
 $A147,#REF!,
 "&gt;="&amp;INT($AK$1),#REF!,
 "&lt;="&amp;INT($AL$1)
)</f>
        <v>#REF!</v>
      </c>
      <c r="AJ147" s="1" t="e">
        <f t="shared" si="81"/>
        <v>#REF!</v>
      </c>
      <c r="AK147" s="9" t="e">
        <f t="shared" si="82"/>
        <v>#REF!</v>
      </c>
      <c r="AL147" s="10" t="e">
        <f t="shared" si="83"/>
        <v>#REF!</v>
      </c>
      <c r="AM147" s="1" t="e">
        <f>SUMIFS(#REF!,#REF!,
 $A147,#REF!,
 "&gt;="&amp;INT($AO$1),#REF!,
 "&lt;="&amp;INT($AP$1)
)</f>
        <v>#REF!</v>
      </c>
      <c r="AN147" s="1" t="e">
        <f t="shared" si="84"/>
        <v>#REF!</v>
      </c>
      <c r="AO147" s="9" t="e">
        <f t="shared" si="85"/>
        <v>#REF!</v>
      </c>
      <c r="AP147" s="10" t="e">
        <f t="shared" si="86"/>
        <v>#REF!</v>
      </c>
      <c r="AQ147" s="1" t="e">
        <f>SUMIFS(#REF!,#REF!,
 $A147,#REF!,
 "&gt;="&amp;INT($AS$1),#REF!,
 "&lt;="&amp;INT($AT$1)
)</f>
        <v>#REF!</v>
      </c>
      <c r="AR147" s="1" t="e">
        <f t="shared" si="87"/>
        <v>#REF!</v>
      </c>
      <c r="AS147" s="9" t="e">
        <f t="shared" si="88"/>
        <v>#REF!</v>
      </c>
      <c r="AT147" s="10" t="e">
        <f t="shared" si="89"/>
        <v>#REF!</v>
      </c>
      <c r="AU147" s="1" t="e">
        <f>SUMIFS(#REF!,#REF!,
 $A147,#REF!,
 "&gt;="&amp;INT($AW$1),#REF!,
 "&lt;="&amp;INT($AX$1)
)</f>
        <v>#REF!</v>
      </c>
      <c r="AV147" s="1" t="e">
        <f t="shared" si="90"/>
        <v>#REF!</v>
      </c>
      <c r="AW147" s="9" t="e">
        <f t="shared" si="91"/>
        <v>#REF!</v>
      </c>
      <c r="AX147" s="10" t="e">
        <f t="shared" si="92"/>
        <v>#REF!</v>
      </c>
    </row>
    <row r="148" spans="1:50" x14ac:dyDescent="0.25">
      <c r="A148" s="5">
        <v>226001</v>
      </c>
      <c r="B148" s="6" t="s">
        <v>145</v>
      </c>
      <c r="C148" s="1" t="e">
        <f>SUMIFS(#REF!,#REF!,
 $A148,#REF!,
 "&gt;="&amp;INT($E$1),#REF!,
 "&lt;"&amp;INT($F$1+1)
)</f>
        <v>#REF!</v>
      </c>
      <c r="D148" s="1" t="str">
        <f>""</f>
        <v/>
      </c>
      <c r="F148" s="2"/>
      <c r="G148" s="1" t="e">
        <f>SUMIFS(#REF!,#REF!,
 $A148,#REF!,
 "&gt;="&amp;INT($I$1),#REF!,
 "&lt;"&amp;INT($J$1+1)
)</f>
        <v>#REF!</v>
      </c>
      <c r="H148" s="1" t="e">
        <f t="shared" si="62"/>
        <v>#REF!</v>
      </c>
      <c r="I148" s="1"/>
      <c r="J148" s="2"/>
      <c r="K148" s="1" t="e">
        <f>SUMIFS(#REF!,#REF!,
 $A148,#REF!,
 "&gt;="&amp;INT($M$1),#REF!,
 "&lt;"&amp;INT($N$1+1)
)</f>
        <v>#REF!</v>
      </c>
      <c r="L148" s="1" t="e">
        <f t="shared" si="63"/>
        <v>#REF!</v>
      </c>
      <c r="M148" s="9" t="e">
        <f t="shared" si="64"/>
        <v>#REF!</v>
      </c>
      <c r="N148" s="10" t="e">
        <f t="shared" si="65"/>
        <v>#REF!</v>
      </c>
      <c r="O148" s="1" t="e">
        <f>SUMIFS(#REF!,#REF!,
 $A148,#REF!,
 "&gt;="&amp;INT($Q$1),#REF!,
 "&lt;="&amp;INT($R$1)
)</f>
        <v>#REF!</v>
      </c>
      <c r="P148" s="1" t="e">
        <f t="shared" si="66"/>
        <v>#REF!</v>
      </c>
      <c r="Q148" s="9" t="e">
        <f t="shared" si="67"/>
        <v>#REF!</v>
      </c>
      <c r="R148" s="10" t="e">
        <f t="shared" si="68"/>
        <v>#REF!</v>
      </c>
      <c r="S148" s="1" t="e">
        <f>SUMIFS(#REF!,#REF!,
 $A148,#REF!,
 "&gt;="&amp;INT($U$1),#REF!,
 "&lt;="&amp;INT($V$1)
)</f>
        <v>#REF!</v>
      </c>
      <c r="T148" s="1" t="e">
        <f t="shared" si="69"/>
        <v>#REF!</v>
      </c>
      <c r="U148" s="9" t="e">
        <f t="shared" si="70"/>
        <v>#REF!</v>
      </c>
      <c r="V148" s="10" t="e">
        <f t="shared" si="71"/>
        <v>#REF!</v>
      </c>
      <c r="W148" s="1" t="e">
        <f>SUMIFS(#REF!,#REF!,
 $A148,#REF!,
 "&gt;="&amp;INT($Y$1),#REF!,
 "&lt;="&amp;INT($Z$1)
)</f>
        <v>#REF!</v>
      </c>
      <c r="X148" s="1" t="e">
        <f t="shared" si="72"/>
        <v>#REF!</v>
      </c>
      <c r="Y148" s="9" t="e">
        <f t="shared" si="73"/>
        <v>#REF!</v>
      </c>
      <c r="Z148" s="10" t="e">
        <f t="shared" si="74"/>
        <v>#REF!</v>
      </c>
      <c r="AA148" s="1" t="e">
        <f>SUMIFS(#REF!,#REF!,
 $A148,#REF!,
 "&gt;="&amp;INT($AC$1),#REF!,
 "&lt;="&amp;INT($AD$1)
)</f>
        <v>#REF!</v>
      </c>
      <c r="AB148" s="1" t="e">
        <f t="shared" si="75"/>
        <v>#REF!</v>
      </c>
      <c r="AC148" s="9" t="e">
        <f t="shared" si="76"/>
        <v>#REF!</v>
      </c>
      <c r="AD148" s="10" t="e">
        <f t="shared" si="77"/>
        <v>#REF!</v>
      </c>
      <c r="AE148" s="1" t="e">
        <f>SUMIFS(#REF!,#REF!,
 $A148,#REF!,
 "&gt;="&amp;INT($AG$1),#REF!,
 "&lt;="&amp;INT($AH$1)
)</f>
        <v>#REF!</v>
      </c>
      <c r="AF148" s="1" t="e">
        <f t="shared" si="78"/>
        <v>#REF!</v>
      </c>
      <c r="AG148" s="9" t="e">
        <f t="shared" si="79"/>
        <v>#REF!</v>
      </c>
      <c r="AH148" s="10" t="e">
        <f t="shared" si="80"/>
        <v>#REF!</v>
      </c>
      <c r="AI148" s="1" t="e">
        <f>SUMIFS(#REF!,#REF!,
 $A148,#REF!,
 "&gt;="&amp;INT($AK$1),#REF!,
 "&lt;="&amp;INT($AL$1)
)</f>
        <v>#REF!</v>
      </c>
      <c r="AJ148" s="1" t="e">
        <f t="shared" si="81"/>
        <v>#REF!</v>
      </c>
      <c r="AK148" s="9" t="e">
        <f t="shared" si="82"/>
        <v>#REF!</v>
      </c>
      <c r="AL148" s="10" t="e">
        <f t="shared" si="83"/>
        <v>#REF!</v>
      </c>
      <c r="AM148" s="1" t="e">
        <f>SUMIFS(#REF!,#REF!,
 $A148,#REF!,
 "&gt;="&amp;INT($AO$1),#REF!,
 "&lt;="&amp;INT($AP$1)
)</f>
        <v>#REF!</v>
      </c>
      <c r="AN148" s="1" t="e">
        <f t="shared" si="84"/>
        <v>#REF!</v>
      </c>
      <c r="AO148" s="9" t="e">
        <f t="shared" si="85"/>
        <v>#REF!</v>
      </c>
      <c r="AP148" s="10" t="e">
        <f t="shared" si="86"/>
        <v>#REF!</v>
      </c>
      <c r="AQ148" s="1" t="e">
        <f>SUMIFS(#REF!,#REF!,
 $A148,#REF!,
 "&gt;="&amp;INT($AS$1),#REF!,
 "&lt;="&amp;INT($AT$1)
)</f>
        <v>#REF!</v>
      </c>
      <c r="AR148" s="1" t="e">
        <f t="shared" si="87"/>
        <v>#REF!</v>
      </c>
      <c r="AS148" s="9" t="e">
        <f t="shared" si="88"/>
        <v>#REF!</v>
      </c>
      <c r="AT148" s="10" t="e">
        <f t="shared" si="89"/>
        <v>#REF!</v>
      </c>
      <c r="AU148" s="1" t="e">
        <f>SUMIFS(#REF!,#REF!,
 $A148,#REF!,
 "&gt;="&amp;INT($AW$1),#REF!,
 "&lt;="&amp;INT($AX$1)
)</f>
        <v>#REF!</v>
      </c>
      <c r="AV148" s="1" t="e">
        <f t="shared" si="90"/>
        <v>#REF!</v>
      </c>
      <c r="AW148" s="9" t="e">
        <f t="shared" si="91"/>
        <v>#REF!</v>
      </c>
      <c r="AX148" s="10" t="e">
        <f t="shared" si="92"/>
        <v>#REF!</v>
      </c>
    </row>
    <row r="149" spans="1:50" x14ac:dyDescent="0.25">
      <c r="A149" s="5">
        <v>226003</v>
      </c>
      <c r="B149" s="6" t="s">
        <v>146</v>
      </c>
      <c r="C149" s="1" t="e">
        <f>SUMIFS(#REF!,#REF!,
 $A149,#REF!,
 "&gt;="&amp;INT($E$1),#REF!,
 "&lt;"&amp;INT($F$1+1)
)</f>
        <v>#REF!</v>
      </c>
      <c r="D149" s="1" t="str">
        <f>""</f>
        <v/>
      </c>
      <c r="F149" s="2"/>
      <c r="G149" s="1" t="e">
        <f>SUMIFS(#REF!,#REF!,
 $A149,#REF!,
 "&gt;="&amp;INT($I$1),#REF!,
 "&lt;"&amp;INT($J$1+1)
)</f>
        <v>#REF!</v>
      </c>
      <c r="H149" s="1" t="e">
        <f t="shared" si="62"/>
        <v>#REF!</v>
      </c>
      <c r="I149" s="1"/>
      <c r="J149" s="2"/>
      <c r="K149" s="1" t="e">
        <f>SUMIFS(#REF!,#REF!,
 $A149,#REF!,
 "&gt;="&amp;INT($M$1),#REF!,
 "&lt;"&amp;INT($N$1+1)
)</f>
        <v>#REF!</v>
      </c>
      <c r="L149" s="1" t="e">
        <f t="shared" si="63"/>
        <v>#REF!</v>
      </c>
      <c r="M149" s="9" t="e">
        <f t="shared" si="64"/>
        <v>#REF!</v>
      </c>
      <c r="N149" s="10" t="e">
        <f t="shared" si="65"/>
        <v>#REF!</v>
      </c>
      <c r="O149" s="1" t="e">
        <f>SUMIFS(#REF!,#REF!,
 $A149,#REF!,
 "&gt;="&amp;INT($Q$1),#REF!,
 "&lt;="&amp;INT($R$1)
)</f>
        <v>#REF!</v>
      </c>
      <c r="P149" s="1" t="e">
        <f t="shared" si="66"/>
        <v>#REF!</v>
      </c>
      <c r="Q149" s="9" t="e">
        <f t="shared" si="67"/>
        <v>#REF!</v>
      </c>
      <c r="R149" s="10" t="e">
        <f t="shared" si="68"/>
        <v>#REF!</v>
      </c>
      <c r="S149" s="1" t="e">
        <f>SUMIFS(#REF!,#REF!,
 $A149,#REF!,
 "&gt;="&amp;INT($U$1),#REF!,
 "&lt;="&amp;INT($V$1)
)</f>
        <v>#REF!</v>
      </c>
      <c r="T149" s="1" t="e">
        <f t="shared" si="69"/>
        <v>#REF!</v>
      </c>
      <c r="U149" s="9" t="e">
        <f t="shared" si="70"/>
        <v>#REF!</v>
      </c>
      <c r="V149" s="10" t="e">
        <f t="shared" si="71"/>
        <v>#REF!</v>
      </c>
      <c r="W149" s="1" t="e">
        <f>SUMIFS(#REF!,#REF!,
 $A149,#REF!,
 "&gt;="&amp;INT($Y$1),#REF!,
 "&lt;="&amp;INT($Z$1)
)</f>
        <v>#REF!</v>
      </c>
      <c r="X149" s="1" t="e">
        <f t="shared" si="72"/>
        <v>#REF!</v>
      </c>
      <c r="Y149" s="9" t="e">
        <f t="shared" si="73"/>
        <v>#REF!</v>
      </c>
      <c r="Z149" s="10" t="e">
        <f t="shared" si="74"/>
        <v>#REF!</v>
      </c>
      <c r="AA149" s="1" t="e">
        <f>SUMIFS(#REF!,#REF!,
 $A149,#REF!,
 "&gt;="&amp;INT($AC$1),#REF!,
 "&lt;="&amp;INT($AD$1)
)</f>
        <v>#REF!</v>
      </c>
      <c r="AB149" s="1" t="e">
        <f t="shared" si="75"/>
        <v>#REF!</v>
      </c>
      <c r="AC149" s="9" t="e">
        <f t="shared" si="76"/>
        <v>#REF!</v>
      </c>
      <c r="AD149" s="10" t="e">
        <f t="shared" si="77"/>
        <v>#REF!</v>
      </c>
      <c r="AE149" s="1" t="e">
        <f>SUMIFS(#REF!,#REF!,
 $A149,#REF!,
 "&gt;="&amp;INT($AG$1),#REF!,
 "&lt;="&amp;INT($AH$1)
)</f>
        <v>#REF!</v>
      </c>
      <c r="AF149" s="1" t="e">
        <f t="shared" si="78"/>
        <v>#REF!</v>
      </c>
      <c r="AG149" s="9" t="e">
        <f t="shared" si="79"/>
        <v>#REF!</v>
      </c>
      <c r="AH149" s="10" t="e">
        <f t="shared" si="80"/>
        <v>#REF!</v>
      </c>
      <c r="AI149" s="1" t="e">
        <f>SUMIFS(#REF!,#REF!,
 $A149,#REF!,
 "&gt;="&amp;INT($AK$1),#REF!,
 "&lt;="&amp;INT($AL$1)
)</f>
        <v>#REF!</v>
      </c>
      <c r="AJ149" s="1" t="e">
        <f t="shared" si="81"/>
        <v>#REF!</v>
      </c>
      <c r="AK149" s="9" t="e">
        <f t="shared" si="82"/>
        <v>#REF!</v>
      </c>
      <c r="AL149" s="10" t="e">
        <f t="shared" si="83"/>
        <v>#REF!</v>
      </c>
      <c r="AM149" s="1" t="e">
        <f>SUMIFS(#REF!,#REF!,
 $A149,#REF!,
 "&gt;="&amp;INT($AO$1),#REF!,
 "&lt;="&amp;INT($AP$1)
)</f>
        <v>#REF!</v>
      </c>
      <c r="AN149" s="1" t="e">
        <f t="shared" si="84"/>
        <v>#REF!</v>
      </c>
      <c r="AO149" s="9" t="e">
        <f t="shared" si="85"/>
        <v>#REF!</v>
      </c>
      <c r="AP149" s="10" t="e">
        <f t="shared" si="86"/>
        <v>#REF!</v>
      </c>
      <c r="AQ149" s="1" t="e">
        <f>SUMIFS(#REF!,#REF!,
 $A149,#REF!,
 "&gt;="&amp;INT($AS$1),#REF!,
 "&lt;="&amp;INT($AT$1)
)</f>
        <v>#REF!</v>
      </c>
      <c r="AR149" s="1" t="e">
        <f t="shared" si="87"/>
        <v>#REF!</v>
      </c>
      <c r="AS149" s="9" t="e">
        <f t="shared" si="88"/>
        <v>#REF!</v>
      </c>
      <c r="AT149" s="10" t="e">
        <f t="shared" si="89"/>
        <v>#REF!</v>
      </c>
      <c r="AU149" s="1" t="e">
        <f>SUMIFS(#REF!,#REF!,
 $A149,#REF!,
 "&gt;="&amp;INT($AW$1),#REF!,
 "&lt;="&amp;INT($AX$1)
)</f>
        <v>#REF!</v>
      </c>
      <c r="AV149" s="1" t="e">
        <f t="shared" si="90"/>
        <v>#REF!</v>
      </c>
      <c r="AW149" s="9" t="e">
        <f t="shared" si="91"/>
        <v>#REF!</v>
      </c>
      <c r="AX149" s="10" t="e">
        <f t="shared" si="92"/>
        <v>#REF!</v>
      </c>
    </row>
    <row r="150" spans="1:50" x14ac:dyDescent="0.25">
      <c r="A150" s="5">
        <v>226004</v>
      </c>
      <c r="B150" s="6" t="s">
        <v>147</v>
      </c>
      <c r="C150" s="1" t="e">
        <f>SUMIFS(#REF!,#REF!,
 $A150,#REF!,
 "&gt;="&amp;INT($E$1),#REF!,
 "&lt;"&amp;INT($F$1+1)
)</f>
        <v>#REF!</v>
      </c>
      <c r="D150" s="1" t="str">
        <f>""</f>
        <v/>
      </c>
      <c r="F150" s="2"/>
      <c r="G150" s="1" t="e">
        <f>SUMIFS(#REF!,#REF!,
 $A150,#REF!,
 "&gt;="&amp;INT($I$1),#REF!,
 "&lt;"&amp;INT($J$1+1)
)</f>
        <v>#REF!</v>
      </c>
      <c r="H150" s="1" t="e">
        <f t="shared" si="62"/>
        <v>#REF!</v>
      </c>
      <c r="I150" s="1"/>
      <c r="J150" s="2"/>
      <c r="K150" s="1" t="e">
        <f>SUMIFS(#REF!,#REF!,
 $A150,#REF!,
 "&gt;="&amp;INT($M$1),#REF!,
 "&lt;"&amp;INT($N$1+1)
)</f>
        <v>#REF!</v>
      </c>
      <c r="L150" s="1" t="e">
        <f t="shared" si="63"/>
        <v>#REF!</v>
      </c>
      <c r="M150" s="9" t="e">
        <f t="shared" si="64"/>
        <v>#REF!</v>
      </c>
      <c r="N150" s="10" t="e">
        <f t="shared" si="65"/>
        <v>#REF!</v>
      </c>
      <c r="O150" s="1" t="e">
        <f>SUMIFS(#REF!,#REF!,
 $A150,#REF!,
 "&gt;="&amp;INT($Q$1),#REF!,
 "&lt;="&amp;INT($R$1)
)</f>
        <v>#REF!</v>
      </c>
      <c r="P150" s="1" t="e">
        <f t="shared" si="66"/>
        <v>#REF!</v>
      </c>
      <c r="Q150" s="9" t="e">
        <f t="shared" si="67"/>
        <v>#REF!</v>
      </c>
      <c r="R150" s="10" t="e">
        <f t="shared" si="68"/>
        <v>#REF!</v>
      </c>
      <c r="S150" s="1" t="e">
        <f>SUMIFS(#REF!,#REF!,
 $A150,#REF!,
 "&gt;="&amp;INT($U$1),#REF!,
 "&lt;="&amp;INT($V$1)
)</f>
        <v>#REF!</v>
      </c>
      <c r="T150" s="1" t="e">
        <f t="shared" si="69"/>
        <v>#REF!</v>
      </c>
      <c r="U150" s="9" t="e">
        <f t="shared" si="70"/>
        <v>#REF!</v>
      </c>
      <c r="V150" s="10" t="e">
        <f t="shared" si="71"/>
        <v>#REF!</v>
      </c>
      <c r="W150" s="1" t="e">
        <f>SUMIFS(#REF!,#REF!,
 $A150,#REF!,
 "&gt;="&amp;INT($Y$1),#REF!,
 "&lt;="&amp;INT($Z$1)
)</f>
        <v>#REF!</v>
      </c>
      <c r="X150" s="1" t="e">
        <f t="shared" si="72"/>
        <v>#REF!</v>
      </c>
      <c r="Y150" s="9" t="e">
        <f t="shared" si="73"/>
        <v>#REF!</v>
      </c>
      <c r="Z150" s="10" t="e">
        <f t="shared" si="74"/>
        <v>#REF!</v>
      </c>
      <c r="AA150" s="1" t="e">
        <f>SUMIFS(#REF!,#REF!,
 $A150,#REF!,
 "&gt;="&amp;INT($AC$1),#REF!,
 "&lt;="&amp;INT($AD$1)
)</f>
        <v>#REF!</v>
      </c>
      <c r="AB150" s="1" t="e">
        <f t="shared" si="75"/>
        <v>#REF!</v>
      </c>
      <c r="AC150" s="9" t="e">
        <f t="shared" si="76"/>
        <v>#REF!</v>
      </c>
      <c r="AD150" s="10" t="e">
        <f t="shared" si="77"/>
        <v>#REF!</v>
      </c>
      <c r="AE150" s="1" t="e">
        <f>SUMIFS(#REF!,#REF!,
 $A150,#REF!,
 "&gt;="&amp;INT($AG$1),#REF!,
 "&lt;="&amp;INT($AH$1)
)</f>
        <v>#REF!</v>
      </c>
      <c r="AF150" s="1" t="e">
        <f t="shared" si="78"/>
        <v>#REF!</v>
      </c>
      <c r="AG150" s="9" t="e">
        <f t="shared" si="79"/>
        <v>#REF!</v>
      </c>
      <c r="AH150" s="10" t="e">
        <f t="shared" si="80"/>
        <v>#REF!</v>
      </c>
      <c r="AI150" s="1" t="e">
        <f>SUMIFS(#REF!,#REF!,
 $A150,#REF!,
 "&gt;="&amp;INT($AK$1),#REF!,
 "&lt;="&amp;INT($AL$1)
)</f>
        <v>#REF!</v>
      </c>
      <c r="AJ150" s="1" t="e">
        <f t="shared" si="81"/>
        <v>#REF!</v>
      </c>
      <c r="AK150" s="9" t="e">
        <f t="shared" si="82"/>
        <v>#REF!</v>
      </c>
      <c r="AL150" s="10" t="e">
        <f t="shared" si="83"/>
        <v>#REF!</v>
      </c>
      <c r="AM150" s="1" t="e">
        <f>SUMIFS(#REF!,#REF!,
 $A150,#REF!,
 "&gt;="&amp;INT($AO$1),#REF!,
 "&lt;="&amp;INT($AP$1)
)</f>
        <v>#REF!</v>
      </c>
      <c r="AN150" s="1" t="e">
        <f t="shared" si="84"/>
        <v>#REF!</v>
      </c>
      <c r="AO150" s="9" t="e">
        <f t="shared" si="85"/>
        <v>#REF!</v>
      </c>
      <c r="AP150" s="10" t="e">
        <f t="shared" si="86"/>
        <v>#REF!</v>
      </c>
      <c r="AQ150" s="1" t="e">
        <f>SUMIFS(#REF!,#REF!,
 $A150,#REF!,
 "&gt;="&amp;INT($AS$1),#REF!,
 "&lt;="&amp;INT($AT$1)
)</f>
        <v>#REF!</v>
      </c>
      <c r="AR150" s="1" t="e">
        <f t="shared" si="87"/>
        <v>#REF!</v>
      </c>
      <c r="AS150" s="9" t="e">
        <f t="shared" si="88"/>
        <v>#REF!</v>
      </c>
      <c r="AT150" s="10" t="e">
        <f t="shared" si="89"/>
        <v>#REF!</v>
      </c>
      <c r="AU150" s="1" t="e">
        <f>SUMIFS(#REF!,#REF!,
 $A150,#REF!,
 "&gt;="&amp;INT($AW$1),#REF!,
 "&lt;="&amp;INT($AX$1)
)</f>
        <v>#REF!</v>
      </c>
      <c r="AV150" s="1" t="e">
        <f t="shared" si="90"/>
        <v>#REF!</v>
      </c>
      <c r="AW150" s="9" t="e">
        <f t="shared" si="91"/>
        <v>#REF!</v>
      </c>
      <c r="AX150" s="10" t="e">
        <f t="shared" si="92"/>
        <v>#REF!</v>
      </c>
    </row>
    <row r="151" spans="1:50" x14ac:dyDescent="0.25">
      <c r="A151" s="5">
        <v>226005</v>
      </c>
      <c r="B151" s="6" t="s">
        <v>148</v>
      </c>
      <c r="C151" s="1" t="e">
        <f>SUMIFS(#REF!,#REF!,
 $A151,#REF!,
 "&gt;="&amp;INT($E$1),#REF!,
 "&lt;"&amp;INT($F$1+1)
)</f>
        <v>#REF!</v>
      </c>
      <c r="D151" s="1" t="str">
        <f>""</f>
        <v/>
      </c>
      <c r="F151" s="2"/>
      <c r="G151" s="1" t="e">
        <f>SUMIFS(#REF!,#REF!,
 $A151,#REF!,
 "&gt;="&amp;INT($I$1),#REF!,
 "&lt;"&amp;INT($J$1+1)
)</f>
        <v>#REF!</v>
      </c>
      <c r="H151" s="1" t="e">
        <f t="shared" si="62"/>
        <v>#REF!</v>
      </c>
      <c r="I151" s="1"/>
      <c r="J151" s="2"/>
      <c r="K151" s="1" t="e">
        <f>SUMIFS(#REF!,#REF!,
 $A151,#REF!,
 "&gt;="&amp;INT($M$1),#REF!,
 "&lt;"&amp;INT($N$1+1)
)</f>
        <v>#REF!</v>
      </c>
      <c r="L151" s="1" t="e">
        <f t="shared" si="63"/>
        <v>#REF!</v>
      </c>
      <c r="M151" s="9" t="e">
        <f t="shared" si="64"/>
        <v>#REF!</v>
      </c>
      <c r="N151" s="10" t="e">
        <f t="shared" si="65"/>
        <v>#REF!</v>
      </c>
      <c r="O151" s="1" t="e">
        <f>SUMIFS(#REF!,#REF!,
 $A151,#REF!,
 "&gt;="&amp;INT($Q$1),#REF!,
 "&lt;="&amp;INT($R$1)
)</f>
        <v>#REF!</v>
      </c>
      <c r="P151" s="1" t="e">
        <f t="shared" si="66"/>
        <v>#REF!</v>
      </c>
      <c r="Q151" s="9" t="e">
        <f t="shared" si="67"/>
        <v>#REF!</v>
      </c>
      <c r="R151" s="10" t="e">
        <f t="shared" si="68"/>
        <v>#REF!</v>
      </c>
      <c r="S151" s="1" t="e">
        <f>SUMIFS(#REF!,#REF!,
 $A151,#REF!,
 "&gt;="&amp;INT($U$1),#REF!,
 "&lt;="&amp;INT($V$1)
)</f>
        <v>#REF!</v>
      </c>
      <c r="T151" s="1" t="e">
        <f t="shared" si="69"/>
        <v>#REF!</v>
      </c>
      <c r="U151" s="9" t="e">
        <f t="shared" si="70"/>
        <v>#REF!</v>
      </c>
      <c r="V151" s="10" t="e">
        <f t="shared" si="71"/>
        <v>#REF!</v>
      </c>
      <c r="W151" s="1" t="e">
        <f>SUMIFS(#REF!,#REF!,
 $A151,#REF!,
 "&gt;="&amp;INT($Y$1),#REF!,
 "&lt;="&amp;INT($Z$1)
)</f>
        <v>#REF!</v>
      </c>
      <c r="X151" s="1" t="e">
        <f t="shared" si="72"/>
        <v>#REF!</v>
      </c>
      <c r="Y151" s="9" t="e">
        <f t="shared" si="73"/>
        <v>#REF!</v>
      </c>
      <c r="Z151" s="10" t="e">
        <f t="shared" si="74"/>
        <v>#REF!</v>
      </c>
      <c r="AA151" s="1" t="e">
        <f>SUMIFS(#REF!,#REF!,
 $A151,#REF!,
 "&gt;="&amp;INT($AC$1),#REF!,
 "&lt;="&amp;INT($AD$1)
)</f>
        <v>#REF!</v>
      </c>
      <c r="AB151" s="1" t="e">
        <f t="shared" si="75"/>
        <v>#REF!</v>
      </c>
      <c r="AC151" s="9" t="e">
        <f t="shared" si="76"/>
        <v>#REF!</v>
      </c>
      <c r="AD151" s="10" t="e">
        <f t="shared" si="77"/>
        <v>#REF!</v>
      </c>
      <c r="AE151" s="1" t="e">
        <f>SUMIFS(#REF!,#REF!,
 $A151,#REF!,
 "&gt;="&amp;INT($AG$1),#REF!,
 "&lt;="&amp;INT($AH$1)
)</f>
        <v>#REF!</v>
      </c>
      <c r="AF151" s="1" t="e">
        <f t="shared" si="78"/>
        <v>#REF!</v>
      </c>
      <c r="AG151" s="9" t="e">
        <f t="shared" si="79"/>
        <v>#REF!</v>
      </c>
      <c r="AH151" s="10" t="e">
        <f t="shared" si="80"/>
        <v>#REF!</v>
      </c>
      <c r="AI151" s="1" t="e">
        <f>SUMIFS(#REF!,#REF!,
 $A151,#REF!,
 "&gt;="&amp;INT($AK$1),#REF!,
 "&lt;="&amp;INT($AL$1)
)</f>
        <v>#REF!</v>
      </c>
      <c r="AJ151" s="1" t="e">
        <f t="shared" si="81"/>
        <v>#REF!</v>
      </c>
      <c r="AK151" s="9" t="e">
        <f t="shared" si="82"/>
        <v>#REF!</v>
      </c>
      <c r="AL151" s="10" t="e">
        <f t="shared" si="83"/>
        <v>#REF!</v>
      </c>
      <c r="AM151" s="1" t="e">
        <f>SUMIFS(#REF!,#REF!,
 $A151,#REF!,
 "&gt;="&amp;INT($AO$1),#REF!,
 "&lt;="&amp;INT($AP$1)
)</f>
        <v>#REF!</v>
      </c>
      <c r="AN151" s="1" t="e">
        <f t="shared" si="84"/>
        <v>#REF!</v>
      </c>
      <c r="AO151" s="9" t="e">
        <f t="shared" si="85"/>
        <v>#REF!</v>
      </c>
      <c r="AP151" s="10" t="e">
        <f t="shared" si="86"/>
        <v>#REF!</v>
      </c>
      <c r="AQ151" s="1" t="e">
        <f>SUMIFS(#REF!,#REF!,
 $A151,#REF!,
 "&gt;="&amp;INT($AS$1),#REF!,
 "&lt;="&amp;INT($AT$1)
)</f>
        <v>#REF!</v>
      </c>
      <c r="AR151" s="1" t="e">
        <f t="shared" si="87"/>
        <v>#REF!</v>
      </c>
      <c r="AS151" s="9" t="e">
        <f t="shared" si="88"/>
        <v>#REF!</v>
      </c>
      <c r="AT151" s="10" t="e">
        <f t="shared" si="89"/>
        <v>#REF!</v>
      </c>
      <c r="AU151" s="1" t="e">
        <f>SUMIFS(#REF!,#REF!,
 $A151,#REF!,
 "&gt;="&amp;INT($AW$1),#REF!,
 "&lt;="&amp;INT($AX$1)
)</f>
        <v>#REF!</v>
      </c>
      <c r="AV151" s="1" t="e">
        <f t="shared" si="90"/>
        <v>#REF!</v>
      </c>
      <c r="AW151" s="9" t="e">
        <f t="shared" si="91"/>
        <v>#REF!</v>
      </c>
      <c r="AX151" s="10" t="e">
        <f t="shared" si="92"/>
        <v>#REF!</v>
      </c>
    </row>
    <row r="152" spans="1:50" x14ac:dyDescent="0.25">
      <c r="A152" s="5">
        <v>226009</v>
      </c>
      <c r="B152" s="6" t="s">
        <v>149</v>
      </c>
      <c r="C152" s="1" t="e">
        <f>SUMIFS(#REF!,#REF!,
 $A152,#REF!,
 "&gt;="&amp;INT($E$1),#REF!,
 "&lt;"&amp;INT($F$1+1)
)</f>
        <v>#REF!</v>
      </c>
      <c r="D152" s="1" t="str">
        <f>""</f>
        <v/>
      </c>
      <c r="F152" s="2"/>
      <c r="G152" s="1" t="e">
        <f>SUMIFS(#REF!,#REF!,
 $A152,#REF!,
 "&gt;="&amp;INT($I$1),#REF!,
 "&lt;"&amp;INT($J$1+1)
)</f>
        <v>#REF!</v>
      </c>
      <c r="H152" s="1" t="e">
        <f t="shared" si="62"/>
        <v>#REF!</v>
      </c>
      <c r="I152" s="1"/>
      <c r="J152" s="2"/>
      <c r="K152" s="1" t="e">
        <f>SUMIFS(#REF!,#REF!,
 $A152,#REF!,
 "&gt;="&amp;INT($M$1),#REF!,
 "&lt;"&amp;INT($N$1+1)
)</f>
        <v>#REF!</v>
      </c>
      <c r="L152" s="1" t="e">
        <f t="shared" si="63"/>
        <v>#REF!</v>
      </c>
      <c r="M152" s="9" t="e">
        <f t="shared" si="64"/>
        <v>#REF!</v>
      </c>
      <c r="N152" s="10" t="e">
        <f t="shared" si="65"/>
        <v>#REF!</v>
      </c>
      <c r="O152" s="1" t="e">
        <f>SUMIFS(#REF!,#REF!,
 $A152,#REF!,
 "&gt;="&amp;INT($Q$1),#REF!,
 "&lt;="&amp;INT($R$1)
)</f>
        <v>#REF!</v>
      </c>
      <c r="P152" s="1" t="e">
        <f t="shared" si="66"/>
        <v>#REF!</v>
      </c>
      <c r="Q152" s="9" t="e">
        <f t="shared" si="67"/>
        <v>#REF!</v>
      </c>
      <c r="R152" s="10" t="e">
        <f t="shared" si="68"/>
        <v>#REF!</v>
      </c>
      <c r="S152" s="1" t="e">
        <f>SUMIFS(#REF!,#REF!,
 $A152,#REF!,
 "&gt;="&amp;INT($U$1),#REF!,
 "&lt;="&amp;INT($V$1)
)</f>
        <v>#REF!</v>
      </c>
      <c r="T152" s="1" t="e">
        <f t="shared" si="69"/>
        <v>#REF!</v>
      </c>
      <c r="U152" s="9" t="e">
        <f t="shared" si="70"/>
        <v>#REF!</v>
      </c>
      <c r="V152" s="10" t="e">
        <f t="shared" si="71"/>
        <v>#REF!</v>
      </c>
      <c r="W152" s="1" t="e">
        <f>SUMIFS(#REF!,#REF!,
 $A152,#REF!,
 "&gt;="&amp;INT($Y$1),#REF!,
 "&lt;="&amp;INT($Z$1)
)</f>
        <v>#REF!</v>
      </c>
      <c r="X152" s="1" t="e">
        <f t="shared" si="72"/>
        <v>#REF!</v>
      </c>
      <c r="Y152" s="9" t="e">
        <f t="shared" si="73"/>
        <v>#REF!</v>
      </c>
      <c r="Z152" s="10" t="e">
        <f t="shared" si="74"/>
        <v>#REF!</v>
      </c>
      <c r="AA152" s="1" t="e">
        <f>SUMIFS(#REF!,#REF!,
 $A152,#REF!,
 "&gt;="&amp;INT($AC$1),#REF!,
 "&lt;="&amp;INT($AD$1)
)</f>
        <v>#REF!</v>
      </c>
      <c r="AB152" s="1" t="e">
        <f t="shared" si="75"/>
        <v>#REF!</v>
      </c>
      <c r="AC152" s="9" t="e">
        <f t="shared" si="76"/>
        <v>#REF!</v>
      </c>
      <c r="AD152" s="10" t="e">
        <f t="shared" si="77"/>
        <v>#REF!</v>
      </c>
      <c r="AE152" s="1" t="e">
        <f>SUMIFS(#REF!,#REF!,
 $A152,#REF!,
 "&gt;="&amp;INT($AG$1),#REF!,
 "&lt;="&amp;INT($AH$1)
)</f>
        <v>#REF!</v>
      </c>
      <c r="AF152" s="1" t="e">
        <f t="shared" si="78"/>
        <v>#REF!</v>
      </c>
      <c r="AG152" s="9" t="e">
        <f t="shared" si="79"/>
        <v>#REF!</v>
      </c>
      <c r="AH152" s="10" t="e">
        <f t="shared" si="80"/>
        <v>#REF!</v>
      </c>
      <c r="AI152" s="1" t="e">
        <f>SUMIFS(#REF!,#REF!,
 $A152,#REF!,
 "&gt;="&amp;INT($AK$1),#REF!,
 "&lt;="&amp;INT($AL$1)
)</f>
        <v>#REF!</v>
      </c>
      <c r="AJ152" s="1" t="e">
        <f t="shared" si="81"/>
        <v>#REF!</v>
      </c>
      <c r="AK152" s="9" t="e">
        <f t="shared" si="82"/>
        <v>#REF!</v>
      </c>
      <c r="AL152" s="10" t="e">
        <f t="shared" si="83"/>
        <v>#REF!</v>
      </c>
      <c r="AM152" s="1" t="e">
        <f>SUMIFS(#REF!,#REF!,
 $A152,#REF!,
 "&gt;="&amp;INT($AO$1),#REF!,
 "&lt;="&amp;INT($AP$1)
)</f>
        <v>#REF!</v>
      </c>
      <c r="AN152" s="1" t="e">
        <f t="shared" si="84"/>
        <v>#REF!</v>
      </c>
      <c r="AO152" s="9" t="e">
        <f t="shared" si="85"/>
        <v>#REF!</v>
      </c>
      <c r="AP152" s="10" t="e">
        <f t="shared" si="86"/>
        <v>#REF!</v>
      </c>
      <c r="AQ152" s="1" t="e">
        <f>SUMIFS(#REF!,#REF!,
 $A152,#REF!,
 "&gt;="&amp;INT($AS$1),#REF!,
 "&lt;="&amp;INT($AT$1)
)</f>
        <v>#REF!</v>
      </c>
      <c r="AR152" s="1" t="e">
        <f t="shared" si="87"/>
        <v>#REF!</v>
      </c>
      <c r="AS152" s="9" t="e">
        <f t="shared" si="88"/>
        <v>#REF!</v>
      </c>
      <c r="AT152" s="10" t="e">
        <f t="shared" si="89"/>
        <v>#REF!</v>
      </c>
      <c r="AU152" s="1" t="e">
        <f>SUMIFS(#REF!,#REF!,
 $A152,#REF!,
 "&gt;="&amp;INT($AW$1),#REF!,
 "&lt;="&amp;INT($AX$1)
)</f>
        <v>#REF!</v>
      </c>
      <c r="AV152" s="1" t="e">
        <f t="shared" si="90"/>
        <v>#REF!</v>
      </c>
      <c r="AW152" s="9" t="e">
        <f t="shared" si="91"/>
        <v>#REF!</v>
      </c>
      <c r="AX152" s="10" t="e">
        <f t="shared" si="92"/>
        <v>#REF!</v>
      </c>
    </row>
    <row r="153" spans="1:50" x14ac:dyDescent="0.25">
      <c r="A153" s="5">
        <v>226022</v>
      </c>
      <c r="B153" s="6" t="s">
        <v>150</v>
      </c>
      <c r="C153" s="1" t="e">
        <f>SUMIFS(#REF!,#REF!,
 $A153,#REF!,
 "&gt;="&amp;INT($E$1),#REF!,
 "&lt;"&amp;INT($F$1+1)
)</f>
        <v>#REF!</v>
      </c>
      <c r="D153" s="1" t="str">
        <f>""</f>
        <v/>
      </c>
      <c r="F153" s="2"/>
      <c r="G153" s="1" t="e">
        <f>SUMIFS(#REF!,#REF!,
 $A153,#REF!,
 "&gt;="&amp;INT($I$1),#REF!,
 "&lt;"&amp;INT($J$1+1)
)</f>
        <v>#REF!</v>
      </c>
      <c r="H153" s="1" t="e">
        <f t="shared" si="62"/>
        <v>#REF!</v>
      </c>
      <c r="I153" s="1"/>
      <c r="J153" s="2"/>
      <c r="K153" s="1" t="e">
        <f>SUMIFS(#REF!,#REF!,
 $A153,#REF!,
 "&gt;="&amp;INT($M$1),#REF!,
 "&lt;"&amp;INT($N$1+1)
)</f>
        <v>#REF!</v>
      </c>
      <c r="L153" s="1" t="e">
        <f t="shared" si="63"/>
        <v>#REF!</v>
      </c>
      <c r="M153" s="9" t="e">
        <f t="shared" si="64"/>
        <v>#REF!</v>
      </c>
      <c r="N153" s="10" t="e">
        <f t="shared" si="65"/>
        <v>#REF!</v>
      </c>
      <c r="O153" s="1" t="e">
        <f>SUMIFS(#REF!,#REF!,
 $A153,#REF!,
 "&gt;="&amp;INT($Q$1),#REF!,
 "&lt;="&amp;INT($R$1)
)</f>
        <v>#REF!</v>
      </c>
      <c r="P153" s="1" t="e">
        <f t="shared" si="66"/>
        <v>#REF!</v>
      </c>
      <c r="Q153" s="9" t="e">
        <f t="shared" si="67"/>
        <v>#REF!</v>
      </c>
      <c r="R153" s="10" t="e">
        <f t="shared" si="68"/>
        <v>#REF!</v>
      </c>
      <c r="S153" s="1" t="e">
        <f>SUMIFS(#REF!,#REF!,
 $A153,#REF!,
 "&gt;="&amp;INT($U$1),#REF!,
 "&lt;="&amp;INT($V$1)
)</f>
        <v>#REF!</v>
      </c>
      <c r="T153" s="1" t="e">
        <f t="shared" si="69"/>
        <v>#REF!</v>
      </c>
      <c r="U153" s="9" t="e">
        <f t="shared" si="70"/>
        <v>#REF!</v>
      </c>
      <c r="V153" s="10" t="e">
        <f t="shared" si="71"/>
        <v>#REF!</v>
      </c>
      <c r="W153" s="1" t="e">
        <f>SUMIFS(#REF!,#REF!,
 $A153,#REF!,
 "&gt;="&amp;INT($Y$1),#REF!,
 "&lt;="&amp;INT($Z$1)
)</f>
        <v>#REF!</v>
      </c>
      <c r="X153" s="1" t="e">
        <f t="shared" si="72"/>
        <v>#REF!</v>
      </c>
      <c r="Y153" s="9" t="e">
        <f t="shared" si="73"/>
        <v>#REF!</v>
      </c>
      <c r="Z153" s="10" t="e">
        <f t="shared" si="74"/>
        <v>#REF!</v>
      </c>
      <c r="AA153" s="1" t="e">
        <f>SUMIFS(#REF!,#REF!,
 $A153,#REF!,
 "&gt;="&amp;INT($AC$1),#REF!,
 "&lt;="&amp;INT($AD$1)
)</f>
        <v>#REF!</v>
      </c>
      <c r="AB153" s="1" t="e">
        <f t="shared" si="75"/>
        <v>#REF!</v>
      </c>
      <c r="AC153" s="9" t="e">
        <f t="shared" si="76"/>
        <v>#REF!</v>
      </c>
      <c r="AD153" s="10" t="e">
        <f t="shared" si="77"/>
        <v>#REF!</v>
      </c>
      <c r="AE153" s="1" t="e">
        <f>SUMIFS(#REF!,#REF!,
 $A153,#REF!,
 "&gt;="&amp;INT($AG$1),#REF!,
 "&lt;="&amp;INT($AH$1)
)</f>
        <v>#REF!</v>
      </c>
      <c r="AF153" s="1" t="e">
        <f t="shared" si="78"/>
        <v>#REF!</v>
      </c>
      <c r="AG153" s="9" t="e">
        <f t="shared" si="79"/>
        <v>#REF!</v>
      </c>
      <c r="AH153" s="10" t="e">
        <f t="shared" si="80"/>
        <v>#REF!</v>
      </c>
      <c r="AI153" s="1" t="e">
        <f>SUMIFS(#REF!,#REF!,
 $A153,#REF!,
 "&gt;="&amp;INT($AK$1),#REF!,
 "&lt;="&amp;INT($AL$1)
)</f>
        <v>#REF!</v>
      </c>
      <c r="AJ153" s="1" t="e">
        <f t="shared" si="81"/>
        <v>#REF!</v>
      </c>
      <c r="AK153" s="9" t="e">
        <f t="shared" si="82"/>
        <v>#REF!</v>
      </c>
      <c r="AL153" s="10" t="e">
        <f t="shared" si="83"/>
        <v>#REF!</v>
      </c>
      <c r="AM153" s="1" t="e">
        <f>SUMIFS(#REF!,#REF!,
 $A153,#REF!,
 "&gt;="&amp;INT($AO$1),#REF!,
 "&lt;="&amp;INT($AP$1)
)</f>
        <v>#REF!</v>
      </c>
      <c r="AN153" s="1" t="e">
        <f t="shared" si="84"/>
        <v>#REF!</v>
      </c>
      <c r="AO153" s="9" t="e">
        <f t="shared" si="85"/>
        <v>#REF!</v>
      </c>
      <c r="AP153" s="10" t="e">
        <f t="shared" si="86"/>
        <v>#REF!</v>
      </c>
      <c r="AQ153" s="1" t="e">
        <f>SUMIFS(#REF!,#REF!,
 $A153,#REF!,
 "&gt;="&amp;INT($AS$1),#REF!,
 "&lt;="&amp;INT($AT$1)
)</f>
        <v>#REF!</v>
      </c>
      <c r="AR153" s="1" t="e">
        <f t="shared" si="87"/>
        <v>#REF!</v>
      </c>
      <c r="AS153" s="9" t="e">
        <f t="shared" si="88"/>
        <v>#REF!</v>
      </c>
      <c r="AT153" s="10" t="e">
        <f t="shared" si="89"/>
        <v>#REF!</v>
      </c>
      <c r="AU153" s="1" t="e">
        <f>SUMIFS(#REF!,#REF!,
 $A153,#REF!,
 "&gt;="&amp;INT($AW$1),#REF!,
 "&lt;="&amp;INT($AX$1)
)</f>
        <v>#REF!</v>
      </c>
      <c r="AV153" s="1" t="e">
        <f t="shared" si="90"/>
        <v>#REF!</v>
      </c>
      <c r="AW153" s="9" t="e">
        <f t="shared" si="91"/>
        <v>#REF!</v>
      </c>
      <c r="AX153" s="10" t="e">
        <f t="shared" si="92"/>
        <v>#REF!</v>
      </c>
    </row>
    <row r="154" spans="1:50" x14ac:dyDescent="0.25">
      <c r="A154" s="5">
        <v>226023</v>
      </c>
      <c r="B154" s="6" t="s">
        <v>151</v>
      </c>
      <c r="C154" s="1" t="e">
        <f>SUMIFS(#REF!,#REF!,
 $A154,#REF!,
 "&gt;="&amp;INT($E$1),#REF!,
 "&lt;"&amp;INT($F$1+1)
)</f>
        <v>#REF!</v>
      </c>
      <c r="D154" s="1" t="str">
        <f>""</f>
        <v/>
      </c>
      <c r="F154" s="2"/>
      <c r="G154" s="1" t="e">
        <f>SUMIFS(#REF!,#REF!,
 $A154,#REF!,
 "&gt;="&amp;INT($I$1),#REF!,
 "&lt;"&amp;INT($J$1+1)
)</f>
        <v>#REF!</v>
      </c>
      <c r="H154" s="1" t="e">
        <f t="shared" si="62"/>
        <v>#REF!</v>
      </c>
      <c r="I154" s="1"/>
      <c r="J154" s="2"/>
      <c r="K154" s="1" t="e">
        <f>SUMIFS(#REF!,#REF!,
 $A154,#REF!,
 "&gt;="&amp;INT($M$1),#REF!,
 "&lt;"&amp;INT($N$1+1)
)</f>
        <v>#REF!</v>
      </c>
      <c r="L154" s="1" t="e">
        <f t="shared" si="63"/>
        <v>#REF!</v>
      </c>
      <c r="M154" s="9" t="e">
        <f t="shared" si="64"/>
        <v>#REF!</v>
      </c>
      <c r="N154" s="10" t="e">
        <f t="shared" si="65"/>
        <v>#REF!</v>
      </c>
      <c r="O154" s="1" t="e">
        <f>SUMIFS(#REF!,#REF!,
 $A154,#REF!,
 "&gt;="&amp;INT($Q$1),#REF!,
 "&lt;="&amp;INT($R$1)
)</f>
        <v>#REF!</v>
      </c>
      <c r="P154" s="1" t="e">
        <f t="shared" si="66"/>
        <v>#REF!</v>
      </c>
      <c r="Q154" s="9" t="e">
        <f t="shared" si="67"/>
        <v>#REF!</v>
      </c>
      <c r="R154" s="10" t="e">
        <f t="shared" si="68"/>
        <v>#REF!</v>
      </c>
      <c r="S154" s="1" t="e">
        <f>SUMIFS(#REF!,#REF!,
 $A154,#REF!,
 "&gt;="&amp;INT($U$1),#REF!,
 "&lt;="&amp;INT($V$1)
)</f>
        <v>#REF!</v>
      </c>
      <c r="T154" s="1" t="e">
        <f t="shared" si="69"/>
        <v>#REF!</v>
      </c>
      <c r="U154" s="9" t="e">
        <f t="shared" si="70"/>
        <v>#REF!</v>
      </c>
      <c r="V154" s="10" t="e">
        <f t="shared" si="71"/>
        <v>#REF!</v>
      </c>
      <c r="W154" s="1" t="e">
        <f>SUMIFS(#REF!,#REF!,
 $A154,#REF!,
 "&gt;="&amp;INT($Y$1),#REF!,
 "&lt;="&amp;INT($Z$1)
)</f>
        <v>#REF!</v>
      </c>
      <c r="X154" s="1" t="e">
        <f t="shared" si="72"/>
        <v>#REF!</v>
      </c>
      <c r="Y154" s="9" t="e">
        <f t="shared" si="73"/>
        <v>#REF!</v>
      </c>
      <c r="Z154" s="10" t="e">
        <f t="shared" si="74"/>
        <v>#REF!</v>
      </c>
      <c r="AA154" s="1" t="e">
        <f>SUMIFS(#REF!,#REF!,
 $A154,#REF!,
 "&gt;="&amp;INT($AC$1),#REF!,
 "&lt;="&amp;INT($AD$1)
)</f>
        <v>#REF!</v>
      </c>
      <c r="AB154" s="1" t="e">
        <f t="shared" si="75"/>
        <v>#REF!</v>
      </c>
      <c r="AC154" s="9" t="e">
        <f t="shared" si="76"/>
        <v>#REF!</v>
      </c>
      <c r="AD154" s="10" t="e">
        <f t="shared" si="77"/>
        <v>#REF!</v>
      </c>
      <c r="AE154" s="1" t="e">
        <f>SUMIFS(#REF!,#REF!,
 $A154,#REF!,
 "&gt;="&amp;INT($AG$1),#REF!,
 "&lt;="&amp;INT($AH$1)
)</f>
        <v>#REF!</v>
      </c>
      <c r="AF154" s="1" t="e">
        <f t="shared" si="78"/>
        <v>#REF!</v>
      </c>
      <c r="AG154" s="9" t="e">
        <f t="shared" si="79"/>
        <v>#REF!</v>
      </c>
      <c r="AH154" s="10" t="e">
        <f t="shared" si="80"/>
        <v>#REF!</v>
      </c>
      <c r="AI154" s="1" t="e">
        <f>SUMIFS(#REF!,#REF!,
 $A154,#REF!,
 "&gt;="&amp;INT($AK$1),#REF!,
 "&lt;="&amp;INT($AL$1)
)</f>
        <v>#REF!</v>
      </c>
      <c r="AJ154" s="1" t="e">
        <f t="shared" si="81"/>
        <v>#REF!</v>
      </c>
      <c r="AK154" s="9" t="e">
        <f t="shared" si="82"/>
        <v>#REF!</v>
      </c>
      <c r="AL154" s="10" t="e">
        <f t="shared" si="83"/>
        <v>#REF!</v>
      </c>
      <c r="AM154" s="1" t="e">
        <f>SUMIFS(#REF!,#REF!,
 $A154,#REF!,
 "&gt;="&amp;INT($AO$1),#REF!,
 "&lt;="&amp;INT($AP$1)
)</f>
        <v>#REF!</v>
      </c>
      <c r="AN154" s="1" t="e">
        <f t="shared" si="84"/>
        <v>#REF!</v>
      </c>
      <c r="AO154" s="9" t="e">
        <f t="shared" si="85"/>
        <v>#REF!</v>
      </c>
      <c r="AP154" s="10" t="e">
        <f t="shared" si="86"/>
        <v>#REF!</v>
      </c>
      <c r="AQ154" s="1" t="e">
        <f>SUMIFS(#REF!,#REF!,
 $A154,#REF!,
 "&gt;="&amp;INT($AS$1),#REF!,
 "&lt;="&amp;INT($AT$1)
)</f>
        <v>#REF!</v>
      </c>
      <c r="AR154" s="1" t="e">
        <f t="shared" si="87"/>
        <v>#REF!</v>
      </c>
      <c r="AS154" s="9" t="e">
        <f t="shared" si="88"/>
        <v>#REF!</v>
      </c>
      <c r="AT154" s="10" t="e">
        <f t="shared" si="89"/>
        <v>#REF!</v>
      </c>
      <c r="AU154" s="1" t="e">
        <f>SUMIFS(#REF!,#REF!,
 $A154,#REF!,
 "&gt;="&amp;INT($AW$1),#REF!,
 "&lt;="&amp;INT($AX$1)
)</f>
        <v>#REF!</v>
      </c>
      <c r="AV154" s="1" t="e">
        <f t="shared" si="90"/>
        <v>#REF!</v>
      </c>
      <c r="AW154" s="9" t="e">
        <f t="shared" si="91"/>
        <v>#REF!</v>
      </c>
      <c r="AX154" s="10" t="e">
        <f t="shared" si="92"/>
        <v>#REF!</v>
      </c>
    </row>
    <row r="155" spans="1:50" x14ac:dyDescent="0.25">
      <c r="A155" s="5">
        <v>226024</v>
      </c>
      <c r="B155" s="6" t="s">
        <v>152</v>
      </c>
      <c r="C155" s="1" t="e">
        <f>SUMIFS(#REF!,#REF!,
 $A155,#REF!,
 "&gt;="&amp;INT($E$1),#REF!,
 "&lt;"&amp;INT($F$1+1)
)</f>
        <v>#REF!</v>
      </c>
      <c r="D155" s="1" t="str">
        <f>""</f>
        <v/>
      </c>
      <c r="F155" s="2"/>
      <c r="G155" s="1" t="e">
        <f>SUMIFS(#REF!,#REF!,
 $A155,#REF!,
 "&gt;="&amp;INT($I$1),#REF!,
 "&lt;"&amp;INT($J$1+1)
)</f>
        <v>#REF!</v>
      </c>
      <c r="H155" s="1" t="e">
        <f t="shared" si="62"/>
        <v>#REF!</v>
      </c>
      <c r="I155" s="1"/>
      <c r="J155" s="2"/>
      <c r="K155" s="1" t="e">
        <f>SUMIFS(#REF!,#REF!,
 $A155,#REF!,
 "&gt;="&amp;INT($M$1),#REF!,
 "&lt;"&amp;INT($N$1+1)
)</f>
        <v>#REF!</v>
      </c>
      <c r="L155" s="1" t="e">
        <f t="shared" si="63"/>
        <v>#REF!</v>
      </c>
      <c r="M155" s="9" t="e">
        <f t="shared" si="64"/>
        <v>#REF!</v>
      </c>
      <c r="N155" s="10" t="e">
        <f t="shared" si="65"/>
        <v>#REF!</v>
      </c>
      <c r="O155" s="1" t="e">
        <f>SUMIFS(#REF!,#REF!,
 $A155,#REF!,
 "&gt;="&amp;INT($Q$1),#REF!,
 "&lt;="&amp;INT($R$1)
)</f>
        <v>#REF!</v>
      </c>
      <c r="P155" s="1" t="e">
        <f t="shared" si="66"/>
        <v>#REF!</v>
      </c>
      <c r="Q155" s="9" t="e">
        <f t="shared" si="67"/>
        <v>#REF!</v>
      </c>
      <c r="R155" s="10" t="e">
        <f t="shared" si="68"/>
        <v>#REF!</v>
      </c>
      <c r="S155" s="1" t="e">
        <f>SUMIFS(#REF!,#REF!,
 $A155,#REF!,
 "&gt;="&amp;INT($U$1),#REF!,
 "&lt;="&amp;INT($V$1)
)</f>
        <v>#REF!</v>
      </c>
      <c r="T155" s="1" t="e">
        <f t="shared" si="69"/>
        <v>#REF!</v>
      </c>
      <c r="U155" s="9" t="e">
        <f t="shared" si="70"/>
        <v>#REF!</v>
      </c>
      <c r="V155" s="10" t="e">
        <f t="shared" si="71"/>
        <v>#REF!</v>
      </c>
      <c r="W155" s="1" t="e">
        <f>SUMIFS(#REF!,#REF!,
 $A155,#REF!,
 "&gt;="&amp;INT($Y$1),#REF!,
 "&lt;="&amp;INT($Z$1)
)</f>
        <v>#REF!</v>
      </c>
      <c r="X155" s="1" t="e">
        <f t="shared" si="72"/>
        <v>#REF!</v>
      </c>
      <c r="Y155" s="9" t="e">
        <f t="shared" si="73"/>
        <v>#REF!</v>
      </c>
      <c r="Z155" s="10" t="e">
        <f t="shared" si="74"/>
        <v>#REF!</v>
      </c>
      <c r="AA155" s="1" t="e">
        <f>SUMIFS(#REF!,#REF!,
 $A155,#REF!,
 "&gt;="&amp;INT($AC$1),#REF!,
 "&lt;="&amp;INT($AD$1)
)</f>
        <v>#REF!</v>
      </c>
      <c r="AB155" s="1" t="e">
        <f t="shared" si="75"/>
        <v>#REF!</v>
      </c>
      <c r="AC155" s="9" t="e">
        <f t="shared" si="76"/>
        <v>#REF!</v>
      </c>
      <c r="AD155" s="10" t="e">
        <f t="shared" si="77"/>
        <v>#REF!</v>
      </c>
      <c r="AE155" s="1" t="e">
        <f>SUMIFS(#REF!,#REF!,
 $A155,#REF!,
 "&gt;="&amp;INT($AG$1),#REF!,
 "&lt;="&amp;INT($AH$1)
)</f>
        <v>#REF!</v>
      </c>
      <c r="AF155" s="1" t="e">
        <f t="shared" si="78"/>
        <v>#REF!</v>
      </c>
      <c r="AG155" s="9" t="e">
        <f t="shared" si="79"/>
        <v>#REF!</v>
      </c>
      <c r="AH155" s="10" t="e">
        <f t="shared" si="80"/>
        <v>#REF!</v>
      </c>
      <c r="AI155" s="1" t="e">
        <f>SUMIFS(#REF!,#REF!,
 $A155,#REF!,
 "&gt;="&amp;INT($AK$1),#REF!,
 "&lt;="&amp;INT($AL$1)
)</f>
        <v>#REF!</v>
      </c>
      <c r="AJ155" s="1" t="e">
        <f t="shared" si="81"/>
        <v>#REF!</v>
      </c>
      <c r="AK155" s="9" t="e">
        <f t="shared" si="82"/>
        <v>#REF!</v>
      </c>
      <c r="AL155" s="10" t="e">
        <f t="shared" si="83"/>
        <v>#REF!</v>
      </c>
      <c r="AM155" s="1" t="e">
        <f>SUMIFS(#REF!,#REF!,
 $A155,#REF!,
 "&gt;="&amp;INT($AO$1),#REF!,
 "&lt;="&amp;INT($AP$1)
)</f>
        <v>#REF!</v>
      </c>
      <c r="AN155" s="1" t="e">
        <f t="shared" si="84"/>
        <v>#REF!</v>
      </c>
      <c r="AO155" s="9" t="e">
        <f t="shared" si="85"/>
        <v>#REF!</v>
      </c>
      <c r="AP155" s="10" t="e">
        <f t="shared" si="86"/>
        <v>#REF!</v>
      </c>
      <c r="AQ155" s="1" t="e">
        <f>SUMIFS(#REF!,#REF!,
 $A155,#REF!,
 "&gt;="&amp;INT($AS$1),#REF!,
 "&lt;="&amp;INT($AT$1)
)</f>
        <v>#REF!</v>
      </c>
      <c r="AR155" s="1" t="e">
        <f t="shared" si="87"/>
        <v>#REF!</v>
      </c>
      <c r="AS155" s="9" t="e">
        <f t="shared" si="88"/>
        <v>#REF!</v>
      </c>
      <c r="AT155" s="10" t="e">
        <f t="shared" si="89"/>
        <v>#REF!</v>
      </c>
      <c r="AU155" s="1" t="e">
        <f>SUMIFS(#REF!,#REF!,
 $A155,#REF!,
 "&gt;="&amp;INT($AW$1),#REF!,
 "&lt;="&amp;INT($AX$1)
)</f>
        <v>#REF!</v>
      </c>
      <c r="AV155" s="1" t="e">
        <f t="shared" si="90"/>
        <v>#REF!</v>
      </c>
      <c r="AW155" s="9" t="e">
        <f t="shared" si="91"/>
        <v>#REF!</v>
      </c>
      <c r="AX155" s="10" t="e">
        <f t="shared" si="92"/>
        <v>#REF!</v>
      </c>
    </row>
    <row r="156" spans="1:50" x14ac:dyDescent="0.25">
      <c r="A156" s="5">
        <v>226025</v>
      </c>
      <c r="B156" s="6" t="s">
        <v>153</v>
      </c>
      <c r="C156" s="1" t="e">
        <f>SUMIFS(#REF!,#REF!,
 $A156,#REF!,
 "&gt;="&amp;INT($E$1),#REF!,
 "&lt;"&amp;INT($F$1+1)
)</f>
        <v>#REF!</v>
      </c>
      <c r="D156" s="1" t="str">
        <f>""</f>
        <v/>
      </c>
      <c r="F156" s="2"/>
      <c r="G156" s="1" t="e">
        <f>SUMIFS(#REF!,#REF!,
 $A156,#REF!,
 "&gt;="&amp;INT($I$1),#REF!,
 "&lt;"&amp;INT($J$1+1)
)</f>
        <v>#REF!</v>
      </c>
      <c r="H156" s="1" t="e">
        <f t="shared" si="62"/>
        <v>#REF!</v>
      </c>
      <c r="I156" s="1"/>
      <c r="J156" s="2"/>
      <c r="K156" s="1" t="e">
        <f>SUMIFS(#REF!,#REF!,
 $A156,#REF!,
 "&gt;="&amp;INT($M$1),#REF!,
 "&lt;"&amp;INT($N$1+1)
)</f>
        <v>#REF!</v>
      </c>
      <c r="L156" s="1" t="e">
        <f t="shared" si="63"/>
        <v>#REF!</v>
      </c>
      <c r="M156" s="9" t="e">
        <f t="shared" si="64"/>
        <v>#REF!</v>
      </c>
      <c r="N156" s="10" t="e">
        <f t="shared" si="65"/>
        <v>#REF!</v>
      </c>
      <c r="O156" s="1" t="e">
        <f>SUMIFS(#REF!,#REF!,
 $A156,#REF!,
 "&gt;="&amp;INT($Q$1),#REF!,
 "&lt;="&amp;INT($R$1)
)</f>
        <v>#REF!</v>
      </c>
      <c r="P156" s="1" t="e">
        <f t="shared" si="66"/>
        <v>#REF!</v>
      </c>
      <c r="Q156" s="9" t="e">
        <f t="shared" si="67"/>
        <v>#REF!</v>
      </c>
      <c r="R156" s="10" t="e">
        <f t="shared" si="68"/>
        <v>#REF!</v>
      </c>
      <c r="S156" s="1" t="e">
        <f>SUMIFS(#REF!,#REF!,
 $A156,#REF!,
 "&gt;="&amp;INT($U$1),#REF!,
 "&lt;="&amp;INT($V$1)
)</f>
        <v>#REF!</v>
      </c>
      <c r="T156" s="1" t="e">
        <f t="shared" si="69"/>
        <v>#REF!</v>
      </c>
      <c r="U156" s="9" t="e">
        <f t="shared" si="70"/>
        <v>#REF!</v>
      </c>
      <c r="V156" s="10" t="e">
        <f t="shared" si="71"/>
        <v>#REF!</v>
      </c>
      <c r="W156" s="1" t="e">
        <f>SUMIFS(#REF!,#REF!,
 $A156,#REF!,
 "&gt;="&amp;INT($Y$1),#REF!,
 "&lt;="&amp;INT($Z$1)
)</f>
        <v>#REF!</v>
      </c>
      <c r="X156" s="1" t="e">
        <f t="shared" si="72"/>
        <v>#REF!</v>
      </c>
      <c r="Y156" s="9" t="e">
        <f t="shared" si="73"/>
        <v>#REF!</v>
      </c>
      <c r="Z156" s="10" t="e">
        <f t="shared" si="74"/>
        <v>#REF!</v>
      </c>
      <c r="AA156" s="1" t="e">
        <f>SUMIFS(#REF!,#REF!,
 $A156,#REF!,
 "&gt;="&amp;INT($AC$1),#REF!,
 "&lt;="&amp;INT($AD$1)
)</f>
        <v>#REF!</v>
      </c>
      <c r="AB156" s="1" t="e">
        <f t="shared" si="75"/>
        <v>#REF!</v>
      </c>
      <c r="AC156" s="9" t="e">
        <f t="shared" si="76"/>
        <v>#REF!</v>
      </c>
      <c r="AD156" s="10" t="e">
        <f t="shared" si="77"/>
        <v>#REF!</v>
      </c>
      <c r="AE156" s="1" t="e">
        <f>SUMIFS(#REF!,#REF!,
 $A156,#REF!,
 "&gt;="&amp;INT($AG$1),#REF!,
 "&lt;="&amp;INT($AH$1)
)</f>
        <v>#REF!</v>
      </c>
      <c r="AF156" s="1" t="e">
        <f t="shared" si="78"/>
        <v>#REF!</v>
      </c>
      <c r="AG156" s="9" t="e">
        <f t="shared" si="79"/>
        <v>#REF!</v>
      </c>
      <c r="AH156" s="10" t="e">
        <f t="shared" si="80"/>
        <v>#REF!</v>
      </c>
      <c r="AI156" s="1" t="e">
        <f>SUMIFS(#REF!,#REF!,
 $A156,#REF!,
 "&gt;="&amp;INT($AK$1),#REF!,
 "&lt;="&amp;INT($AL$1)
)</f>
        <v>#REF!</v>
      </c>
      <c r="AJ156" s="1" t="e">
        <f t="shared" si="81"/>
        <v>#REF!</v>
      </c>
      <c r="AK156" s="9" t="e">
        <f t="shared" si="82"/>
        <v>#REF!</v>
      </c>
      <c r="AL156" s="10" t="e">
        <f t="shared" si="83"/>
        <v>#REF!</v>
      </c>
      <c r="AM156" s="1" t="e">
        <f>SUMIFS(#REF!,#REF!,
 $A156,#REF!,
 "&gt;="&amp;INT($AO$1),#REF!,
 "&lt;="&amp;INT($AP$1)
)</f>
        <v>#REF!</v>
      </c>
      <c r="AN156" s="1" t="e">
        <f t="shared" si="84"/>
        <v>#REF!</v>
      </c>
      <c r="AO156" s="9" t="e">
        <f t="shared" si="85"/>
        <v>#REF!</v>
      </c>
      <c r="AP156" s="10" t="e">
        <f t="shared" si="86"/>
        <v>#REF!</v>
      </c>
      <c r="AQ156" s="1" t="e">
        <f>SUMIFS(#REF!,#REF!,
 $A156,#REF!,
 "&gt;="&amp;INT($AS$1),#REF!,
 "&lt;="&amp;INT($AT$1)
)</f>
        <v>#REF!</v>
      </c>
      <c r="AR156" s="1" t="e">
        <f t="shared" si="87"/>
        <v>#REF!</v>
      </c>
      <c r="AS156" s="9" t="e">
        <f t="shared" si="88"/>
        <v>#REF!</v>
      </c>
      <c r="AT156" s="10" t="e">
        <f t="shared" si="89"/>
        <v>#REF!</v>
      </c>
      <c r="AU156" s="1" t="e">
        <f>SUMIFS(#REF!,#REF!,
 $A156,#REF!,
 "&gt;="&amp;INT($AW$1),#REF!,
 "&lt;="&amp;INT($AX$1)
)</f>
        <v>#REF!</v>
      </c>
      <c r="AV156" s="1" t="e">
        <f t="shared" si="90"/>
        <v>#REF!</v>
      </c>
      <c r="AW156" s="9" t="e">
        <f t="shared" si="91"/>
        <v>#REF!</v>
      </c>
      <c r="AX156" s="10" t="e">
        <f t="shared" si="92"/>
        <v>#REF!</v>
      </c>
    </row>
    <row r="157" spans="1:50" x14ac:dyDescent="0.25">
      <c r="A157" s="5">
        <v>226026</v>
      </c>
      <c r="B157" s="6" t="s">
        <v>154</v>
      </c>
      <c r="C157" s="1" t="e">
        <f>SUMIFS(#REF!,#REF!,
 $A157,#REF!,
 "&gt;="&amp;INT($E$1),#REF!,
 "&lt;"&amp;INT($F$1+1)
)</f>
        <v>#REF!</v>
      </c>
      <c r="D157" s="1" t="str">
        <f>""</f>
        <v/>
      </c>
      <c r="F157" s="2"/>
      <c r="G157" s="1" t="e">
        <f>SUMIFS(#REF!,#REF!,
 $A157,#REF!,
 "&gt;="&amp;INT($I$1),#REF!,
 "&lt;"&amp;INT($J$1+1)
)</f>
        <v>#REF!</v>
      </c>
      <c r="H157" s="1" t="e">
        <f t="shared" si="62"/>
        <v>#REF!</v>
      </c>
      <c r="I157" s="1"/>
      <c r="J157" s="2"/>
      <c r="K157" s="1" t="e">
        <f>SUMIFS(#REF!,#REF!,
 $A157,#REF!,
 "&gt;="&amp;INT($M$1),#REF!,
 "&lt;"&amp;INT($N$1+1)
)</f>
        <v>#REF!</v>
      </c>
      <c r="L157" s="1" t="e">
        <f t="shared" si="63"/>
        <v>#REF!</v>
      </c>
      <c r="M157" s="9" t="e">
        <f t="shared" si="64"/>
        <v>#REF!</v>
      </c>
      <c r="N157" s="10" t="e">
        <f t="shared" si="65"/>
        <v>#REF!</v>
      </c>
      <c r="O157" s="1" t="e">
        <f>SUMIFS(#REF!,#REF!,
 $A157,#REF!,
 "&gt;="&amp;INT($Q$1),#REF!,
 "&lt;="&amp;INT($R$1)
)</f>
        <v>#REF!</v>
      </c>
      <c r="P157" s="1" t="e">
        <f t="shared" si="66"/>
        <v>#REF!</v>
      </c>
      <c r="Q157" s="9" t="e">
        <f t="shared" si="67"/>
        <v>#REF!</v>
      </c>
      <c r="R157" s="10" t="e">
        <f t="shared" si="68"/>
        <v>#REF!</v>
      </c>
      <c r="S157" s="1" t="e">
        <f>SUMIFS(#REF!,#REF!,
 $A157,#REF!,
 "&gt;="&amp;INT($U$1),#REF!,
 "&lt;="&amp;INT($V$1)
)</f>
        <v>#REF!</v>
      </c>
      <c r="T157" s="1" t="e">
        <f t="shared" si="69"/>
        <v>#REF!</v>
      </c>
      <c r="U157" s="9" t="e">
        <f t="shared" si="70"/>
        <v>#REF!</v>
      </c>
      <c r="V157" s="10" t="e">
        <f t="shared" si="71"/>
        <v>#REF!</v>
      </c>
      <c r="W157" s="1" t="e">
        <f>SUMIFS(#REF!,#REF!,
 $A157,#REF!,
 "&gt;="&amp;INT($Y$1),#REF!,
 "&lt;="&amp;INT($Z$1)
)</f>
        <v>#REF!</v>
      </c>
      <c r="X157" s="1" t="e">
        <f t="shared" si="72"/>
        <v>#REF!</v>
      </c>
      <c r="Y157" s="9" t="e">
        <f t="shared" si="73"/>
        <v>#REF!</v>
      </c>
      <c r="Z157" s="10" t="e">
        <f t="shared" si="74"/>
        <v>#REF!</v>
      </c>
      <c r="AA157" s="1" t="e">
        <f>SUMIFS(#REF!,#REF!,
 $A157,#REF!,
 "&gt;="&amp;INT($AC$1),#REF!,
 "&lt;="&amp;INT($AD$1)
)</f>
        <v>#REF!</v>
      </c>
      <c r="AB157" s="1" t="e">
        <f t="shared" si="75"/>
        <v>#REF!</v>
      </c>
      <c r="AC157" s="9" t="e">
        <f t="shared" si="76"/>
        <v>#REF!</v>
      </c>
      <c r="AD157" s="10" t="e">
        <f t="shared" si="77"/>
        <v>#REF!</v>
      </c>
      <c r="AE157" s="1" t="e">
        <f>SUMIFS(#REF!,#REF!,
 $A157,#REF!,
 "&gt;="&amp;INT($AG$1),#REF!,
 "&lt;="&amp;INT($AH$1)
)</f>
        <v>#REF!</v>
      </c>
      <c r="AF157" s="1" t="e">
        <f t="shared" si="78"/>
        <v>#REF!</v>
      </c>
      <c r="AG157" s="9" t="e">
        <f t="shared" si="79"/>
        <v>#REF!</v>
      </c>
      <c r="AH157" s="10" t="e">
        <f t="shared" si="80"/>
        <v>#REF!</v>
      </c>
      <c r="AI157" s="1" t="e">
        <f>SUMIFS(#REF!,#REF!,
 $A157,#REF!,
 "&gt;="&amp;INT($AK$1),#REF!,
 "&lt;="&amp;INT($AL$1)
)</f>
        <v>#REF!</v>
      </c>
      <c r="AJ157" s="1" t="e">
        <f t="shared" si="81"/>
        <v>#REF!</v>
      </c>
      <c r="AK157" s="9" t="e">
        <f t="shared" si="82"/>
        <v>#REF!</v>
      </c>
      <c r="AL157" s="10" t="e">
        <f t="shared" si="83"/>
        <v>#REF!</v>
      </c>
      <c r="AM157" s="1" t="e">
        <f>SUMIFS(#REF!,#REF!,
 $A157,#REF!,
 "&gt;="&amp;INT($AO$1),#REF!,
 "&lt;="&amp;INT($AP$1)
)</f>
        <v>#REF!</v>
      </c>
      <c r="AN157" s="1" t="e">
        <f t="shared" si="84"/>
        <v>#REF!</v>
      </c>
      <c r="AO157" s="9" t="e">
        <f t="shared" si="85"/>
        <v>#REF!</v>
      </c>
      <c r="AP157" s="10" t="e">
        <f t="shared" si="86"/>
        <v>#REF!</v>
      </c>
      <c r="AQ157" s="1" t="e">
        <f>SUMIFS(#REF!,#REF!,
 $A157,#REF!,
 "&gt;="&amp;INT($AS$1),#REF!,
 "&lt;="&amp;INT($AT$1)
)</f>
        <v>#REF!</v>
      </c>
      <c r="AR157" s="1" t="e">
        <f t="shared" si="87"/>
        <v>#REF!</v>
      </c>
      <c r="AS157" s="9" t="e">
        <f t="shared" si="88"/>
        <v>#REF!</v>
      </c>
      <c r="AT157" s="10" t="e">
        <f t="shared" si="89"/>
        <v>#REF!</v>
      </c>
      <c r="AU157" s="1" t="e">
        <f>SUMIFS(#REF!,#REF!,
 $A157,#REF!,
 "&gt;="&amp;INT($AW$1),#REF!,
 "&lt;="&amp;INT($AX$1)
)</f>
        <v>#REF!</v>
      </c>
      <c r="AV157" s="1" t="e">
        <f t="shared" si="90"/>
        <v>#REF!</v>
      </c>
      <c r="AW157" s="9" t="e">
        <f t="shared" si="91"/>
        <v>#REF!</v>
      </c>
      <c r="AX157" s="10" t="e">
        <f t="shared" si="92"/>
        <v>#REF!</v>
      </c>
    </row>
    <row r="158" spans="1:50" x14ac:dyDescent="0.25">
      <c r="A158" s="5">
        <v>226027</v>
      </c>
      <c r="B158" s="6" t="s">
        <v>155</v>
      </c>
      <c r="C158" s="1" t="e">
        <f>SUMIFS(#REF!,#REF!,
 $A158,#REF!,
 "&gt;="&amp;INT($E$1),#REF!,
 "&lt;"&amp;INT($F$1+1)
)</f>
        <v>#REF!</v>
      </c>
      <c r="D158" s="1" t="str">
        <f>""</f>
        <v/>
      </c>
      <c r="F158" s="2"/>
      <c r="G158" s="1" t="e">
        <f>SUMIFS(#REF!,#REF!,
 $A158,#REF!,
 "&gt;="&amp;INT($I$1),#REF!,
 "&lt;"&amp;INT($J$1+1)
)</f>
        <v>#REF!</v>
      </c>
      <c r="H158" s="1" t="e">
        <f t="shared" si="62"/>
        <v>#REF!</v>
      </c>
      <c r="I158" s="1"/>
      <c r="J158" s="2"/>
      <c r="K158" s="1" t="e">
        <f>SUMIFS(#REF!,#REF!,
 $A158,#REF!,
 "&gt;="&amp;INT($M$1),#REF!,
 "&lt;"&amp;INT($N$1+1)
)</f>
        <v>#REF!</v>
      </c>
      <c r="L158" s="1" t="e">
        <f t="shared" si="63"/>
        <v>#REF!</v>
      </c>
      <c r="M158" s="9" t="e">
        <f t="shared" si="64"/>
        <v>#REF!</v>
      </c>
      <c r="N158" s="10" t="e">
        <f t="shared" si="65"/>
        <v>#REF!</v>
      </c>
      <c r="O158" s="1" t="e">
        <f>SUMIFS(#REF!,#REF!,
 $A158,#REF!,
 "&gt;="&amp;INT($Q$1),#REF!,
 "&lt;="&amp;INT($R$1)
)</f>
        <v>#REF!</v>
      </c>
      <c r="P158" s="1" t="e">
        <f t="shared" si="66"/>
        <v>#REF!</v>
      </c>
      <c r="Q158" s="9" t="e">
        <f t="shared" si="67"/>
        <v>#REF!</v>
      </c>
      <c r="R158" s="10" t="e">
        <f t="shared" si="68"/>
        <v>#REF!</v>
      </c>
      <c r="S158" s="1" t="e">
        <f>SUMIFS(#REF!,#REF!,
 $A158,#REF!,
 "&gt;="&amp;INT($U$1),#REF!,
 "&lt;="&amp;INT($V$1)
)</f>
        <v>#REF!</v>
      </c>
      <c r="T158" s="1" t="e">
        <f t="shared" si="69"/>
        <v>#REF!</v>
      </c>
      <c r="U158" s="9" t="e">
        <f t="shared" si="70"/>
        <v>#REF!</v>
      </c>
      <c r="V158" s="10" t="e">
        <f t="shared" si="71"/>
        <v>#REF!</v>
      </c>
      <c r="W158" s="1" t="e">
        <f>SUMIFS(#REF!,#REF!,
 $A158,#REF!,
 "&gt;="&amp;INT($Y$1),#REF!,
 "&lt;="&amp;INT($Z$1)
)</f>
        <v>#REF!</v>
      </c>
      <c r="X158" s="1" t="e">
        <f t="shared" si="72"/>
        <v>#REF!</v>
      </c>
      <c r="Y158" s="9" t="e">
        <f t="shared" si="73"/>
        <v>#REF!</v>
      </c>
      <c r="Z158" s="10" t="e">
        <f t="shared" si="74"/>
        <v>#REF!</v>
      </c>
      <c r="AA158" s="1" t="e">
        <f>SUMIFS(#REF!,#REF!,
 $A158,#REF!,
 "&gt;="&amp;INT($AC$1),#REF!,
 "&lt;="&amp;INT($AD$1)
)</f>
        <v>#REF!</v>
      </c>
      <c r="AB158" s="1" t="e">
        <f t="shared" si="75"/>
        <v>#REF!</v>
      </c>
      <c r="AC158" s="9" t="e">
        <f t="shared" si="76"/>
        <v>#REF!</v>
      </c>
      <c r="AD158" s="10" t="e">
        <f t="shared" si="77"/>
        <v>#REF!</v>
      </c>
      <c r="AE158" s="1" t="e">
        <f>SUMIFS(#REF!,#REF!,
 $A158,#REF!,
 "&gt;="&amp;INT($AG$1),#REF!,
 "&lt;="&amp;INT($AH$1)
)</f>
        <v>#REF!</v>
      </c>
      <c r="AF158" s="1" t="e">
        <f t="shared" si="78"/>
        <v>#REF!</v>
      </c>
      <c r="AG158" s="9" t="e">
        <f t="shared" si="79"/>
        <v>#REF!</v>
      </c>
      <c r="AH158" s="10" t="e">
        <f t="shared" si="80"/>
        <v>#REF!</v>
      </c>
      <c r="AI158" s="1" t="e">
        <f>SUMIFS(#REF!,#REF!,
 $A158,#REF!,
 "&gt;="&amp;INT($AK$1),#REF!,
 "&lt;="&amp;INT($AL$1)
)</f>
        <v>#REF!</v>
      </c>
      <c r="AJ158" s="1" t="e">
        <f t="shared" si="81"/>
        <v>#REF!</v>
      </c>
      <c r="AK158" s="9" t="e">
        <f t="shared" si="82"/>
        <v>#REF!</v>
      </c>
      <c r="AL158" s="10" t="e">
        <f t="shared" si="83"/>
        <v>#REF!</v>
      </c>
      <c r="AM158" s="1" t="e">
        <f>SUMIFS(#REF!,#REF!,
 $A158,#REF!,
 "&gt;="&amp;INT($AO$1),#REF!,
 "&lt;="&amp;INT($AP$1)
)</f>
        <v>#REF!</v>
      </c>
      <c r="AN158" s="1" t="e">
        <f t="shared" si="84"/>
        <v>#REF!</v>
      </c>
      <c r="AO158" s="9" t="e">
        <f t="shared" si="85"/>
        <v>#REF!</v>
      </c>
      <c r="AP158" s="10" t="e">
        <f t="shared" si="86"/>
        <v>#REF!</v>
      </c>
      <c r="AQ158" s="1" t="e">
        <f>SUMIFS(#REF!,#REF!,
 $A158,#REF!,
 "&gt;="&amp;INT($AS$1),#REF!,
 "&lt;="&amp;INT($AT$1)
)</f>
        <v>#REF!</v>
      </c>
      <c r="AR158" s="1" t="e">
        <f t="shared" si="87"/>
        <v>#REF!</v>
      </c>
      <c r="AS158" s="9" t="e">
        <f t="shared" si="88"/>
        <v>#REF!</v>
      </c>
      <c r="AT158" s="10" t="e">
        <f t="shared" si="89"/>
        <v>#REF!</v>
      </c>
      <c r="AU158" s="1" t="e">
        <f>SUMIFS(#REF!,#REF!,
 $A158,#REF!,
 "&gt;="&amp;INT($AW$1),#REF!,
 "&lt;="&amp;INT($AX$1)
)</f>
        <v>#REF!</v>
      </c>
      <c r="AV158" s="1" t="e">
        <f t="shared" si="90"/>
        <v>#REF!</v>
      </c>
      <c r="AW158" s="9" t="e">
        <f t="shared" si="91"/>
        <v>#REF!</v>
      </c>
      <c r="AX158" s="10" t="e">
        <f t="shared" si="92"/>
        <v>#REF!</v>
      </c>
    </row>
    <row r="159" spans="1:50" x14ac:dyDescent="0.25">
      <c r="A159" s="5">
        <v>226028</v>
      </c>
      <c r="B159" s="6" t="s">
        <v>156</v>
      </c>
      <c r="C159" s="1" t="e">
        <f>SUMIFS(#REF!,#REF!,
 $A159,#REF!,
 "&gt;="&amp;INT($E$1),#REF!,
 "&lt;"&amp;INT($F$1+1)
)</f>
        <v>#REF!</v>
      </c>
      <c r="D159" s="1" t="str">
        <f>""</f>
        <v/>
      </c>
      <c r="F159" s="2"/>
      <c r="G159" s="1" t="e">
        <f>SUMIFS(#REF!,#REF!,
 $A159,#REF!,
 "&gt;="&amp;INT($I$1),#REF!,
 "&lt;"&amp;INT($J$1+1)
)</f>
        <v>#REF!</v>
      </c>
      <c r="H159" s="1" t="e">
        <f t="shared" si="62"/>
        <v>#REF!</v>
      </c>
      <c r="I159" s="1"/>
      <c r="J159" s="2"/>
      <c r="K159" s="1" t="e">
        <f>SUMIFS(#REF!,#REF!,
 $A159,#REF!,
 "&gt;="&amp;INT($M$1),#REF!,
 "&lt;"&amp;INT($N$1+1)
)</f>
        <v>#REF!</v>
      </c>
      <c r="L159" s="1" t="e">
        <f t="shared" si="63"/>
        <v>#REF!</v>
      </c>
      <c r="M159" s="9" t="e">
        <f t="shared" si="64"/>
        <v>#REF!</v>
      </c>
      <c r="N159" s="10" t="e">
        <f t="shared" si="65"/>
        <v>#REF!</v>
      </c>
      <c r="O159" s="1" t="e">
        <f>SUMIFS(#REF!,#REF!,
 $A159,#REF!,
 "&gt;="&amp;INT($Q$1),#REF!,
 "&lt;="&amp;INT($R$1)
)</f>
        <v>#REF!</v>
      </c>
      <c r="P159" s="1" t="e">
        <f t="shared" si="66"/>
        <v>#REF!</v>
      </c>
      <c r="Q159" s="9" t="e">
        <f t="shared" si="67"/>
        <v>#REF!</v>
      </c>
      <c r="R159" s="10" t="e">
        <f t="shared" si="68"/>
        <v>#REF!</v>
      </c>
      <c r="S159" s="1" t="e">
        <f>SUMIFS(#REF!,#REF!,
 $A159,#REF!,
 "&gt;="&amp;INT($U$1),#REF!,
 "&lt;="&amp;INT($V$1)
)</f>
        <v>#REF!</v>
      </c>
      <c r="T159" s="1" t="e">
        <f t="shared" si="69"/>
        <v>#REF!</v>
      </c>
      <c r="U159" s="9" t="e">
        <f t="shared" si="70"/>
        <v>#REF!</v>
      </c>
      <c r="V159" s="10" t="e">
        <f t="shared" si="71"/>
        <v>#REF!</v>
      </c>
      <c r="W159" s="1" t="e">
        <f>SUMIFS(#REF!,#REF!,
 $A159,#REF!,
 "&gt;="&amp;INT($Y$1),#REF!,
 "&lt;="&amp;INT($Z$1)
)</f>
        <v>#REF!</v>
      </c>
      <c r="X159" s="1" t="e">
        <f t="shared" si="72"/>
        <v>#REF!</v>
      </c>
      <c r="Y159" s="9" t="e">
        <f t="shared" si="73"/>
        <v>#REF!</v>
      </c>
      <c r="Z159" s="10" t="e">
        <f t="shared" si="74"/>
        <v>#REF!</v>
      </c>
      <c r="AA159" s="1" t="e">
        <f>SUMIFS(#REF!,#REF!,
 $A159,#REF!,
 "&gt;="&amp;INT($AC$1),#REF!,
 "&lt;="&amp;INT($AD$1)
)</f>
        <v>#REF!</v>
      </c>
      <c r="AB159" s="1" t="e">
        <f t="shared" si="75"/>
        <v>#REF!</v>
      </c>
      <c r="AC159" s="9" t="e">
        <f t="shared" si="76"/>
        <v>#REF!</v>
      </c>
      <c r="AD159" s="10" t="e">
        <f t="shared" si="77"/>
        <v>#REF!</v>
      </c>
      <c r="AE159" s="1" t="e">
        <f>SUMIFS(#REF!,#REF!,
 $A159,#REF!,
 "&gt;="&amp;INT($AG$1),#REF!,
 "&lt;="&amp;INT($AH$1)
)</f>
        <v>#REF!</v>
      </c>
      <c r="AF159" s="1" t="e">
        <f t="shared" si="78"/>
        <v>#REF!</v>
      </c>
      <c r="AG159" s="9" t="e">
        <f t="shared" si="79"/>
        <v>#REF!</v>
      </c>
      <c r="AH159" s="10" t="e">
        <f t="shared" si="80"/>
        <v>#REF!</v>
      </c>
      <c r="AI159" s="1" t="e">
        <f>SUMIFS(#REF!,#REF!,
 $A159,#REF!,
 "&gt;="&amp;INT($AK$1),#REF!,
 "&lt;="&amp;INT($AL$1)
)</f>
        <v>#REF!</v>
      </c>
      <c r="AJ159" s="1" t="e">
        <f t="shared" si="81"/>
        <v>#REF!</v>
      </c>
      <c r="AK159" s="9" t="e">
        <f t="shared" si="82"/>
        <v>#REF!</v>
      </c>
      <c r="AL159" s="10" t="e">
        <f t="shared" si="83"/>
        <v>#REF!</v>
      </c>
      <c r="AM159" s="1" t="e">
        <f>SUMIFS(#REF!,#REF!,
 $A159,#REF!,
 "&gt;="&amp;INT($AO$1),#REF!,
 "&lt;="&amp;INT($AP$1)
)</f>
        <v>#REF!</v>
      </c>
      <c r="AN159" s="1" t="e">
        <f t="shared" si="84"/>
        <v>#REF!</v>
      </c>
      <c r="AO159" s="9" t="e">
        <f t="shared" si="85"/>
        <v>#REF!</v>
      </c>
      <c r="AP159" s="10" t="e">
        <f t="shared" si="86"/>
        <v>#REF!</v>
      </c>
      <c r="AQ159" s="1" t="e">
        <f>SUMIFS(#REF!,#REF!,
 $A159,#REF!,
 "&gt;="&amp;INT($AS$1),#REF!,
 "&lt;="&amp;INT($AT$1)
)</f>
        <v>#REF!</v>
      </c>
      <c r="AR159" s="1" t="e">
        <f t="shared" si="87"/>
        <v>#REF!</v>
      </c>
      <c r="AS159" s="9" t="e">
        <f t="shared" si="88"/>
        <v>#REF!</v>
      </c>
      <c r="AT159" s="10" t="e">
        <f t="shared" si="89"/>
        <v>#REF!</v>
      </c>
      <c r="AU159" s="1" t="e">
        <f>SUMIFS(#REF!,#REF!,
 $A159,#REF!,
 "&gt;="&amp;INT($AW$1),#REF!,
 "&lt;="&amp;INT($AX$1)
)</f>
        <v>#REF!</v>
      </c>
      <c r="AV159" s="1" t="e">
        <f t="shared" si="90"/>
        <v>#REF!</v>
      </c>
      <c r="AW159" s="9" t="e">
        <f t="shared" si="91"/>
        <v>#REF!</v>
      </c>
      <c r="AX159" s="10" t="e">
        <f t="shared" si="92"/>
        <v>#REF!</v>
      </c>
    </row>
    <row r="160" spans="1:50" x14ac:dyDescent="0.25">
      <c r="A160" s="5">
        <v>226029</v>
      </c>
      <c r="B160" s="6" t="s">
        <v>157</v>
      </c>
      <c r="C160" s="1" t="e">
        <f>SUMIFS(#REF!,#REF!,
 $A160,#REF!,
 "&gt;="&amp;INT($E$1),#REF!,
 "&lt;"&amp;INT($F$1+1)
)</f>
        <v>#REF!</v>
      </c>
      <c r="D160" s="1" t="str">
        <f>""</f>
        <v/>
      </c>
      <c r="F160" s="2"/>
      <c r="G160" s="1" t="e">
        <f>SUMIFS(#REF!,#REF!,
 $A160,#REF!,
 "&gt;="&amp;INT($I$1),#REF!,
 "&lt;"&amp;INT($J$1+1)
)</f>
        <v>#REF!</v>
      </c>
      <c r="H160" s="1" t="e">
        <f t="shared" si="62"/>
        <v>#REF!</v>
      </c>
      <c r="I160" s="1"/>
      <c r="J160" s="2"/>
      <c r="K160" s="1" t="e">
        <f>SUMIFS(#REF!,#REF!,
 $A160,#REF!,
 "&gt;="&amp;INT($M$1),#REF!,
 "&lt;"&amp;INT($N$1+1)
)</f>
        <v>#REF!</v>
      </c>
      <c r="L160" s="1" t="e">
        <f t="shared" si="63"/>
        <v>#REF!</v>
      </c>
      <c r="M160" s="9" t="e">
        <f t="shared" si="64"/>
        <v>#REF!</v>
      </c>
      <c r="N160" s="10" t="e">
        <f t="shared" si="65"/>
        <v>#REF!</v>
      </c>
      <c r="O160" s="1" t="e">
        <f>SUMIFS(#REF!,#REF!,
 $A160,#REF!,
 "&gt;="&amp;INT($Q$1),#REF!,
 "&lt;="&amp;INT($R$1)
)</f>
        <v>#REF!</v>
      </c>
      <c r="P160" s="1" t="e">
        <f t="shared" si="66"/>
        <v>#REF!</v>
      </c>
      <c r="Q160" s="9" t="e">
        <f t="shared" si="67"/>
        <v>#REF!</v>
      </c>
      <c r="R160" s="10" t="e">
        <f t="shared" si="68"/>
        <v>#REF!</v>
      </c>
      <c r="S160" s="1" t="e">
        <f>SUMIFS(#REF!,#REF!,
 $A160,#REF!,
 "&gt;="&amp;INT($U$1),#REF!,
 "&lt;="&amp;INT($V$1)
)</f>
        <v>#REF!</v>
      </c>
      <c r="T160" s="1" t="e">
        <f t="shared" si="69"/>
        <v>#REF!</v>
      </c>
      <c r="U160" s="9" t="e">
        <f t="shared" si="70"/>
        <v>#REF!</v>
      </c>
      <c r="V160" s="10" t="e">
        <f t="shared" si="71"/>
        <v>#REF!</v>
      </c>
      <c r="W160" s="1" t="e">
        <f>SUMIFS(#REF!,#REF!,
 $A160,#REF!,
 "&gt;="&amp;INT($Y$1),#REF!,
 "&lt;="&amp;INT($Z$1)
)</f>
        <v>#REF!</v>
      </c>
      <c r="X160" s="1" t="e">
        <f t="shared" si="72"/>
        <v>#REF!</v>
      </c>
      <c r="Y160" s="9" t="e">
        <f t="shared" si="73"/>
        <v>#REF!</v>
      </c>
      <c r="Z160" s="10" t="e">
        <f t="shared" si="74"/>
        <v>#REF!</v>
      </c>
      <c r="AA160" s="1" t="e">
        <f>SUMIFS(#REF!,#REF!,
 $A160,#REF!,
 "&gt;="&amp;INT($AC$1),#REF!,
 "&lt;="&amp;INT($AD$1)
)</f>
        <v>#REF!</v>
      </c>
      <c r="AB160" s="1" t="e">
        <f t="shared" si="75"/>
        <v>#REF!</v>
      </c>
      <c r="AC160" s="9" t="e">
        <f t="shared" si="76"/>
        <v>#REF!</v>
      </c>
      <c r="AD160" s="10" t="e">
        <f t="shared" si="77"/>
        <v>#REF!</v>
      </c>
      <c r="AE160" s="1" t="e">
        <f>SUMIFS(#REF!,#REF!,
 $A160,#REF!,
 "&gt;="&amp;INT($AG$1),#REF!,
 "&lt;="&amp;INT($AH$1)
)</f>
        <v>#REF!</v>
      </c>
      <c r="AF160" s="1" t="e">
        <f t="shared" si="78"/>
        <v>#REF!</v>
      </c>
      <c r="AG160" s="9" t="e">
        <f t="shared" si="79"/>
        <v>#REF!</v>
      </c>
      <c r="AH160" s="10" t="e">
        <f t="shared" si="80"/>
        <v>#REF!</v>
      </c>
      <c r="AI160" s="1" t="e">
        <f>SUMIFS(#REF!,#REF!,
 $A160,#REF!,
 "&gt;="&amp;INT($AK$1),#REF!,
 "&lt;="&amp;INT($AL$1)
)</f>
        <v>#REF!</v>
      </c>
      <c r="AJ160" s="1" t="e">
        <f t="shared" si="81"/>
        <v>#REF!</v>
      </c>
      <c r="AK160" s="9" t="e">
        <f t="shared" si="82"/>
        <v>#REF!</v>
      </c>
      <c r="AL160" s="10" t="e">
        <f t="shared" si="83"/>
        <v>#REF!</v>
      </c>
      <c r="AM160" s="1" t="e">
        <f>SUMIFS(#REF!,#REF!,
 $A160,#REF!,
 "&gt;="&amp;INT($AO$1),#REF!,
 "&lt;="&amp;INT($AP$1)
)</f>
        <v>#REF!</v>
      </c>
      <c r="AN160" s="1" t="e">
        <f t="shared" si="84"/>
        <v>#REF!</v>
      </c>
      <c r="AO160" s="9" t="e">
        <f t="shared" si="85"/>
        <v>#REF!</v>
      </c>
      <c r="AP160" s="10" t="e">
        <f t="shared" si="86"/>
        <v>#REF!</v>
      </c>
      <c r="AQ160" s="1" t="e">
        <f>SUMIFS(#REF!,#REF!,
 $A160,#REF!,
 "&gt;="&amp;INT($AS$1),#REF!,
 "&lt;="&amp;INT($AT$1)
)</f>
        <v>#REF!</v>
      </c>
      <c r="AR160" s="1" t="e">
        <f t="shared" si="87"/>
        <v>#REF!</v>
      </c>
      <c r="AS160" s="9" t="e">
        <f t="shared" si="88"/>
        <v>#REF!</v>
      </c>
      <c r="AT160" s="10" t="e">
        <f t="shared" si="89"/>
        <v>#REF!</v>
      </c>
      <c r="AU160" s="1" t="e">
        <f>SUMIFS(#REF!,#REF!,
 $A160,#REF!,
 "&gt;="&amp;INT($AW$1),#REF!,
 "&lt;="&amp;INT($AX$1)
)</f>
        <v>#REF!</v>
      </c>
      <c r="AV160" s="1" t="e">
        <f t="shared" si="90"/>
        <v>#REF!</v>
      </c>
      <c r="AW160" s="9" t="e">
        <f t="shared" si="91"/>
        <v>#REF!</v>
      </c>
      <c r="AX160" s="10" t="e">
        <f t="shared" si="92"/>
        <v>#REF!</v>
      </c>
    </row>
    <row r="161" spans="1:50" x14ac:dyDescent="0.25">
      <c r="A161" s="5">
        <v>226030</v>
      </c>
      <c r="B161" s="6" t="s">
        <v>158</v>
      </c>
      <c r="C161" s="1" t="e">
        <f>SUMIFS(#REF!,#REF!,
 $A161,#REF!,
 "&gt;="&amp;INT($E$1),#REF!,
 "&lt;"&amp;INT($F$1+1)
)</f>
        <v>#REF!</v>
      </c>
      <c r="D161" s="1" t="str">
        <f>""</f>
        <v/>
      </c>
      <c r="F161" s="2"/>
      <c r="G161" s="1" t="e">
        <f>SUMIFS(#REF!,#REF!,
 $A161,#REF!,
 "&gt;="&amp;INT($I$1),#REF!,
 "&lt;"&amp;INT($J$1+1)
)</f>
        <v>#REF!</v>
      </c>
      <c r="H161" s="1" t="e">
        <f t="shared" si="62"/>
        <v>#REF!</v>
      </c>
      <c r="I161" s="1"/>
      <c r="J161" s="2"/>
      <c r="K161" s="1" t="e">
        <f>SUMIFS(#REF!,#REF!,
 $A161,#REF!,
 "&gt;="&amp;INT($M$1),#REF!,
 "&lt;"&amp;INT($N$1+1)
)</f>
        <v>#REF!</v>
      </c>
      <c r="L161" s="1" t="e">
        <f t="shared" si="63"/>
        <v>#REF!</v>
      </c>
      <c r="M161" s="9" t="e">
        <f t="shared" si="64"/>
        <v>#REF!</v>
      </c>
      <c r="N161" s="10" t="e">
        <f t="shared" si="65"/>
        <v>#REF!</v>
      </c>
      <c r="O161" s="1" t="e">
        <f>SUMIFS(#REF!,#REF!,
 $A161,#REF!,
 "&gt;="&amp;INT($Q$1),#REF!,
 "&lt;="&amp;INT($R$1)
)</f>
        <v>#REF!</v>
      </c>
      <c r="P161" s="1" t="e">
        <f t="shared" si="66"/>
        <v>#REF!</v>
      </c>
      <c r="Q161" s="9" t="e">
        <f t="shared" si="67"/>
        <v>#REF!</v>
      </c>
      <c r="R161" s="10" t="e">
        <f t="shared" si="68"/>
        <v>#REF!</v>
      </c>
      <c r="S161" s="1" t="e">
        <f>SUMIFS(#REF!,#REF!,
 $A161,#REF!,
 "&gt;="&amp;INT($U$1),#REF!,
 "&lt;="&amp;INT($V$1)
)</f>
        <v>#REF!</v>
      </c>
      <c r="T161" s="1" t="e">
        <f t="shared" si="69"/>
        <v>#REF!</v>
      </c>
      <c r="U161" s="9" t="e">
        <f t="shared" si="70"/>
        <v>#REF!</v>
      </c>
      <c r="V161" s="10" t="e">
        <f t="shared" si="71"/>
        <v>#REF!</v>
      </c>
      <c r="W161" s="1" t="e">
        <f>SUMIFS(#REF!,#REF!,
 $A161,#REF!,
 "&gt;="&amp;INT($Y$1),#REF!,
 "&lt;="&amp;INT($Z$1)
)</f>
        <v>#REF!</v>
      </c>
      <c r="X161" s="1" t="e">
        <f t="shared" si="72"/>
        <v>#REF!</v>
      </c>
      <c r="Y161" s="9" t="e">
        <f t="shared" si="73"/>
        <v>#REF!</v>
      </c>
      <c r="Z161" s="10" t="e">
        <f t="shared" si="74"/>
        <v>#REF!</v>
      </c>
      <c r="AA161" s="1" t="e">
        <f>SUMIFS(#REF!,#REF!,
 $A161,#REF!,
 "&gt;="&amp;INT($AC$1),#REF!,
 "&lt;="&amp;INT($AD$1)
)</f>
        <v>#REF!</v>
      </c>
      <c r="AB161" s="1" t="e">
        <f t="shared" si="75"/>
        <v>#REF!</v>
      </c>
      <c r="AC161" s="9" t="e">
        <f t="shared" si="76"/>
        <v>#REF!</v>
      </c>
      <c r="AD161" s="10" t="e">
        <f t="shared" si="77"/>
        <v>#REF!</v>
      </c>
      <c r="AE161" s="1" t="e">
        <f>SUMIFS(#REF!,#REF!,
 $A161,#REF!,
 "&gt;="&amp;INT($AG$1),#REF!,
 "&lt;="&amp;INT($AH$1)
)</f>
        <v>#REF!</v>
      </c>
      <c r="AF161" s="1" t="e">
        <f t="shared" si="78"/>
        <v>#REF!</v>
      </c>
      <c r="AG161" s="9" t="e">
        <f t="shared" si="79"/>
        <v>#REF!</v>
      </c>
      <c r="AH161" s="10" t="e">
        <f t="shared" si="80"/>
        <v>#REF!</v>
      </c>
      <c r="AI161" s="1" t="e">
        <f>SUMIFS(#REF!,#REF!,
 $A161,#REF!,
 "&gt;="&amp;INT($AK$1),#REF!,
 "&lt;="&amp;INT($AL$1)
)</f>
        <v>#REF!</v>
      </c>
      <c r="AJ161" s="1" t="e">
        <f t="shared" si="81"/>
        <v>#REF!</v>
      </c>
      <c r="AK161" s="9" t="e">
        <f t="shared" si="82"/>
        <v>#REF!</v>
      </c>
      <c r="AL161" s="10" t="e">
        <f t="shared" si="83"/>
        <v>#REF!</v>
      </c>
      <c r="AM161" s="1" t="e">
        <f>SUMIFS(#REF!,#REF!,
 $A161,#REF!,
 "&gt;="&amp;INT($AO$1),#REF!,
 "&lt;="&amp;INT($AP$1)
)</f>
        <v>#REF!</v>
      </c>
      <c r="AN161" s="1" t="e">
        <f t="shared" si="84"/>
        <v>#REF!</v>
      </c>
      <c r="AO161" s="9" t="e">
        <f t="shared" si="85"/>
        <v>#REF!</v>
      </c>
      <c r="AP161" s="10" t="e">
        <f t="shared" si="86"/>
        <v>#REF!</v>
      </c>
      <c r="AQ161" s="1" t="e">
        <f>SUMIFS(#REF!,#REF!,
 $A161,#REF!,
 "&gt;="&amp;INT($AS$1),#REF!,
 "&lt;="&amp;INT($AT$1)
)</f>
        <v>#REF!</v>
      </c>
      <c r="AR161" s="1" t="e">
        <f t="shared" si="87"/>
        <v>#REF!</v>
      </c>
      <c r="AS161" s="9" t="e">
        <f t="shared" si="88"/>
        <v>#REF!</v>
      </c>
      <c r="AT161" s="10" t="e">
        <f t="shared" si="89"/>
        <v>#REF!</v>
      </c>
      <c r="AU161" s="1" t="e">
        <f>SUMIFS(#REF!,#REF!,
 $A161,#REF!,
 "&gt;="&amp;INT($AW$1),#REF!,
 "&lt;="&amp;INT($AX$1)
)</f>
        <v>#REF!</v>
      </c>
      <c r="AV161" s="1" t="e">
        <f t="shared" si="90"/>
        <v>#REF!</v>
      </c>
      <c r="AW161" s="9" t="e">
        <f t="shared" si="91"/>
        <v>#REF!</v>
      </c>
      <c r="AX161" s="10" t="e">
        <f t="shared" si="92"/>
        <v>#REF!</v>
      </c>
    </row>
    <row r="162" spans="1:50" x14ac:dyDescent="0.25">
      <c r="A162" s="5">
        <v>226031</v>
      </c>
      <c r="B162" s="6" t="s">
        <v>159</v>
      </c>
      <c r="C162" s="1" t="e">
        <f>SUMIFS(#REF!,#REF!,
 $A162,#REF!,
 "&gt;="&amp;INT($E$1),#REF!,
 "&lt;"&amp;INT($F$1+1)
)</f>
        <v>#REF!</v>
      </c>
      <c r="D162" s="1" t="str">
        <f>""</f>
        <v/>
      </c>
      <c r="F162" s="2"/>
      <c r="G162" s="1" t="e">
        <f>SUMIFS(#REF!,#REF!,
 $A162,#REF!,
 "&gt;="&amp;INT($I$1),#REF!,
 "&lt;"&amp;INT($J$1+1)
)</f>
        <v>#REF!</v>
      </c>
      <c r="H162" s="1" t="e">
        <f t="shared" si="62"/>
        <v>#REF!</v>
      </c>
      <c r="I162" s="1"/>
      <c r="J162" s="2"/>
      <c r="K162" s="1" t="e">
        <f>SUMIFS(#REF!,#REF!,
 $A162,#REF!,
 "&gt;="&amp;INT($M$1),#REF!,
 "&lt;"&amp;INT($N$1+1)
)</f>
        <v>#REF!</v>
      </c>
      <c r="L162" s="1" t="e">
        <f t="shared" si="63"/>
        <v>#REF!</v>
      </c>
      <c r="M162" s="9" t="e">
        <f t="shared" si="64"/>
        <v>#REF!</v>
      </c>
      <c r="N162" s="10" t="e">
        <f t="shared" si="65"/>
        <v>#REF!</v>
      </c>
      <c r="O162" s="1" t="e">
        <f>SUMIFS(#REF!,#REF!,
 $A162,#REF!,
 "&gt;="&amp;INT($Q$1),#REF!,
 "&lt;="&amp;INT($R$1)
)</f>
        <v>#REF!</v>
      </c>
      <c r="P162" s="1" t="e">
        <f t="shared" si="66"/>
        <v>#REF!</v>
      </c>
      <c r="Q162" s="9" t="e">
        <f t="shared" si="67"/>
        <v>#REF!</v>
      </c>
      <c r="R162" s="10" t="e">
        <f t="shared" si="68"/>
        <v>#REF!</v>
      </c>
      <c r="S162" s="1" t="e">
        <f>SUMIFS(#REF!,#REF!,
 $A162,#REF!,
 "&gt;="&amp;INT($U$1),#REF!,
 "&lt;="&amp;INT($V$1)
)</f>
        <v>#REF!</v>
      </c>
      <c r="T162" s="1" t="e">
        <f t="shared" si="69"/>
        <v>#REF!</v>
      </c>
      <c r="U162" s="9" t="e">
        <f t="shared" si="70"/>
        <v>#REF!</v>
      </c>
      <c r="V162" s="10" t="e">
        <f t="shared" si="71"/>
        <v>#REF!</v>
      </c>
      <c r="W162" s="1" t="e">
        <f>SUMIFS(#REF!,#REF!,
 $A162,#REF!,
 "&gt;="&amp;INT($Y$1),#REF!,
 "&lt;="&amp;INT($Z$1)
)</f>
        <v>#REF!</v>
      </c>
      <c r="X162" s="1" t="e">
        <f t="shared" si="72"/>
        <v>#REF!</v>
      </c>
      <c r="Y162" s="9" t="e">
        <f t="shared" si="73"/>
        <v>#REF!</v>
      </c>
      <c r="Z162" s="10" t="e">
        <f t="shared" si="74"/>
        <v>#REF!</v>
      </c>
      <c r="AA162" s="1" t="e">
        <f>SUMIFS(#REF!,#REF!,
 $A162,#REF!,
 "&gt;="&amp;INT($AC$1),#REF!,
 "&lt;="&amp;INT($AD$1)
)</f>
        <v>#REF!</v>
      </c>
      <c r="AB162" s="1" t="e">
        <f t="shared" si="75"/>
        <v>#REF!</v>
      </c>
      <c r="AC162" s="9" t="e">
        <f t="shared" si="76"/>
        <v>#REF!</v>
      </c>
      <c r="AD162" s="10" t="e">
        <f t="shared" si="77"/>
        <v>#REF!</v>
      </c>
      <c r="AE162" s="1" t="e">
        <f>SUMIFS(#REF!,#REF!,
 $A162,#REF!,
 "&gt;="&amp;INT($AG$1),#REF!,
 "&lt;="&amp;INT($AH$1)
)</f>
        <v>#REF!</v>
      </c>
      <c r="AF162" s="1" t="e">
        <f t="shared" si="78"/>
        <v>#REF!</v>
      </c>
      <c r="AG162" s="9" t="e">
        <f t="shared" si="79"/>
        <v>#REF!</v>
      </c>
      <c r="AH162" s="10" t="e">
        <f t="shared" si="80"/>
        <v>#REF!</v>
      </c>
      <c r="AI162" s="1" t="e">
        <f>SUMIFS(#REF!,#REF!,
 $A162,#REF!,
 "&gt;="&amp;INT($AK$1),#REF!,
 "&lt;="&amp;INT($AL$1)
)</f>
        <v>#REF!</v>
      </c>
      <c r="AJ162" s="1" t="e">
        <f t="shared" si="81"/>
        <v>#REF!</v>
      </c>
      <c r="AK162" s="9" t="e">
        <f t="shared" si="82"/>
        <v>#REF!</v>
      </c>
      <c r="AL162" s="10" t="e">
        <f t="shared" si="83"/>
        <v>#REF!</v>
      </c>
      <c r="AM162" s="1" t="e">
        <f>SUMIFS(#REF!,#REF!,
 $A162,#REF!,
 "&gt;="&amp;INT($AO$1),#REF!,
 "&lt;="&amp;INT($AP$1)
)</f>
        <v>#REF!</v>
      </c>
      <c r="AN162" s="1" t="e">
        <f t="shared" si="84"/>
        <v>#REF!</v>
      </c>
      <c r="AO162" s="9" t="e">
        <f t="shared" si="85"/>
        <v>#REF!</v>
      </c>
      <c r="AP162" s="10" t="e">
        <f t="shared" si="86"/>
        <v>#REF!</v>
      </c>
      <c r="AQ162" s="1" t="e">
        <f>SUMIFS(#REF!,#REF!,
 $A162,#REF!,
 "&gt;="&amp;INT($AS$1),#REF!,
 "&lt;="&amp;INT($AT$1)
)</f>
        <v>#REF!</v>
      </c>
      <c r="AR162" s="1" t="e">
        <f t="shared" si="87"/>
        <v>#REF!</v>
      </c>
      <c r="AS162" s="9" t="e">
        <f t="shared" si="88"/>
        <v>#REF!</v>
      </c>
      <c r="AT162" s="10" t="e">
        <f t="shared" si="89"/>
        <v>#REF!</v>
      </c>
      <c r="AU162" s="1" t="e">
        <f>SUMIFS(#REF!,#REF!,
 $A162,#REF!,
 "&gt;="&amp;INT($AW$1),#REF!,
 "&lt;="&amp;INT($AX$1)
)</f>
        <v>#REF!</v>
      </c>
      <c r="AV162" s="1" t="e">
        <f t="shared" si="90"/>
        <v>#REF!</v>
      </c>
      <c r="AW162" s="9" t="e">
        <f t="shared" si="91"/>
        <v>#REF!</v>
      </c>
      <c r="AX162" s="10" t="e">
        <f t="shared" si="92"/>
        <v>#REF!</v>
      </c>
    </row>
    <row r="163" spans="1:50" x14ac:dyDescent="0.25">
      <c r="A163" s="5">
        <v>226032</v>
      </c>
      <c r="B163" s="6" t="s">
        <v>160</v>
      </c>
      <c r="C163" s="1" t="e">
        <f>SUMIFS(#REF!,#REF!,
 $A163,#REF!,
 "&gt;="&amp;INT($E$1),#REF!,
 "&lt;"&amp;INT($F$1+1)
)</f>
        <v>#REF!</v>
      </c>
      <c r="D163" s="1" t="str">
        <f>""</f>
        <v/>
      </c>
      <c r="F163" s="2"/>
      <c r="G163" s="1" t="e">
        <f>SUMIFS(#REF!,#REF!,
 $A163,#REF!,
 "&gt;="&amp;INT($I$1),#REF!,
 "&lt;"&amp;INT($J$1+1)
)</f>
        <v>#REF!</v>
      </c>
      <c r="H163" s="1" t="e">
        <f t="shared" si="62"/>
        <v>#REF!</v>
      </c>
      <c r="I163" s="1"/>
      <c r="J163" s="2"/>
      <c r="K163" s="1" t="e">
        <f>SUMIFS(#REF!,#REF!,
 $A163,#REF!,
 "&gt;="&amp;INT($M$1),#REF!,
 "&lt;"&amp;INT($N$1+1)
)</f>
        <v>#REF!</v>
      </c>
      <c r="L163" s="1" t="e">
        <f t="shared" si="63"/>
        <v>#REF!</v>
      </c>
      <c r="M163" s="9" t="e">
        <f t="shared" si="64"/>
        <v>#REF!</v>
      </c>
      <c r="N163" s="10" t="e">
        <f t="shared" si="65"/>
        <v>#REF!</v>
      </c>
      <c r="O163" s="1" t="e">
        <f>SUMIFS(#REF!,#REF!,
 $A163,#REF!,
 "&gt;="&amp;INT($Q$1),#REF!,
 "&lt;="&amp;INT($R$1)
)</f>
        <v>#REF!</v>
      </c>
      <c r="P163" s="1" t="e">
        <f t="shared" si="66"/>
        <v>#REF!</v>
      </c>
      <c r="Q163" s="9" t="e">
        <f t="shared" si="67"/>
        <v>#REF!</v>
      </c>
      <c r="R163" s="10" t="e">
        <f t="shared" si="68"/>
        <v>#REF!</v>
      </c>
      <c r="S163" s="1" t="e">
        <f>SUMIFS(#REF!,#REF!,
 $A163,#REF!,
 "&gt;="&amp;INT($U$1),#REF!,
 "&lt;="&amp;INT($V$1)
)</f>
        <v>#REF!</v>
      </c>
      <c r="T163" s="1" t="e">
        <f t="shared" si="69"/>
        <v>#REF!</v>
      </c>
      <c r="U163" s="9" t="e">
        <f t="shared" si="70"/>
        <v>#REF!</v>
      </c>
      <c r="V163" s="10" t="e">
        <f t="shared" si="71"/>
        <v>#REF!</v>
      </c>
      <c r="W163" s="1" t="e">
        <f>SUMIFS(#REF!,#REF!,
 $A163,#REF!,
 "&gt;="&amp;INT($Y$1),#REF!,
 "&lt;="&amp;INT($Z$1)
)</f>
        <v>#REF!</v>
      </c>
      <c r="X163" s="1" t="e">
        <f t="shared" si="72"/>
        <v>#REF!</v>
      </c>
      <c r="Y163" s="9" t="e">
        <f t="shared" si="73"/>
        <v>#REF!</v>
      </c>
      <c r="Z163" s="10" t="e">
        <f t="shared" si="74"/>
        <v>#REF!</v>
      </c>
      <c r="AA163" s="1" t="e">
        <f>SUMIFS(#REF!,#REF!,
 $A163,#REF!,
 "&gt;="&amp;INT($AC$1),#REF!,
 "&lt;="&amp;INT($AD$1)
)</f>
        <v>#REF!</v>
      </c>
      <c r="AB163" s="1" t="e">
        <f t="shared" si="75"/>
        <v>#REF!</v>
      </c>
      <c r="AC163" s="9" t="e">
        <f t="shared" si="76"/>
        <v>#REF!</v>
      </c>
      <c r="AD163" s="10" t="e">
        <f t="shared" si="77"/>
        <v>#REF!</v>
      </c>
      <c r="AE163" s="1" t="e">
        <f>SUMIFS(#REF!,#REF!,
 $A163,#REF!,
 "&gt;="&amp;INT($AG$1),#REF!,
 "&lt;="&amp;INT($AH$1)
)</f>
        <v>#REF!</v>
      </c>
      <c r="AF163" s="1" t="e">
        <f t="shared" si="78"/>
        <v>#REF!</v>
      </c>
      <c r="AG163" s="9" t="e">
        <f t="shared" si="79"/>
        <v>#REF!</v>
      </c>
      <c r="AH163" s="10" t="e">
        <f t="shared" si="80"/>
        <v>#REF!</v>
      </c>
      <c r="AI163" s="1" t="e">
        <f>SUMIFS(#REF!,#REF!,
 $A163,#REF!,
 "&gt;="&amp;INT($AK$1),#REF!,
 "&lt;="&amp;INT($AL$1)
)</f>
        <v>#REF!</v>
      </c>
      <c r="AJ163" s="1" t="e">
        <f t="shared" si="81"/>
        <v>#REF!</v>
      </c>
      <c r="AK163" s="9" t="e">
        <f t="shared" si="82"/>
        <v>#REF!</v>
      </c>
      <c r="AL163" s="10" t="e">
        <f t="shared" si="83"/>
        <v>#REF!</v>
      </c>
      <c r="AM163" s="1" t="e">
        <f>SUMIFS(#REF!,#REF!,
 $A163,#REF!,
 "&gt;="&amp;INT($AO$1),#REF!,
 "&lt;="&amp;INT($AP$1)
)</f>
        <v>#REF!</v>
      </c>
      <c r="AN163" s="1" t="e">
        <f t="shared" si="84"/>
        <v>#REF!</v>
      </c>
      <c r="AO163" s="9" t="e">
        <f t="shared" si="85"/>
        <v>#REF!</v>
      </c>
      <c r="AP163" s="10" t="e">
        <f t="shared" si="86"/>
        <v>#REF!</v>
      </c>
      <c r="AQ163" s="1" t="e">
        <f>SUMIFS(#REF!,#REF!,
 $A163,#REF!,
 "&gt;="&amp;INT($AS$1),#REF!,
 "&lt;="&amp;INT($AT$1)
)</f>
        <v>#REF!</v>
      </c>
      <c r="AR163" s="1" t="e">
        <f t="shared" si="87"/>
        <v>#REF!</v>
      </c>
      <c r="AS163" s="9" t="e">
        <f t="shared" si="88"/>
        <v>#REF!</v>
      </c>
      <c r="AT163" s="10" t="e">
        <f t="shared" si="89"/>
        <v>#REF!</v>
      </c>
      <c r="AU163" s="1" t="e">
        <f>SUMIFS(#REF!,#REF!,
 $A163,#REF!,
 "&gt;="&amp;INT($AW$1),#REF!,
 "&lt;="&amp;INT($AX$1)
)</f>
        <v>#REF!</v>
      </c>
      <c r="AV163" s="1" t="e">
        <f t="shared" si="90"/>
        <v>#REF!</v>
      </c>
      <c r="AW163" s="9" t="e">
        <f t="shared" si="91"/>
        <v>#REF!</v>
      </c>
      <c r="AX163" s="10" t="e">
        <f t="shared" si="92"/>
        <v>#REF!</v>
      </c>
    </row>
    <row r="164" spans="1:50" x14ac:dyDescent="0.25">
      <c r="A164" s="5">
        <v>226033</v>
      </c>
      <c r="B164" s="6" t="s">
        <v>161</v>
      </c>
      <c r="C164" s="1" t="e">
        <f>SUMIFS(#REF!,#REF!,
 $A164,#REF!,
 "&gt;="&amp;INT($E$1),#REF!,
 "&lt;"&amp;INT($F$1+1)
)</f>
        <v>#REF!</v>
      </c>
      <c r="D164" s="1" t="str">
        <f>""</f>
        <v/>
      </c>
      <c r="F164" s="2"/>
      <c r="G164" s="1" t="e">
        <f>SUMIFS(#REF!,#REF!,
 $A164,#REF!,
 "&gt;="&amp;INT($I$1),#REF!,
 "&lt;"&amp;INT($J$1+1)
)</f>
        <v>#REF!</v>
      </c>
      <c r="H164" s="1" t="e">
        <f t="shared" si="62"/>
        <v>#REF!</v>
      </c>
      <c r="I164" s="1"/>
      <c r="J164" s="2"/>
      <c r="K164" s="1" t="e">
        <f>SUMIFS(#REF!,#REF!,
 $A164,#REF!,
 "&gt;="&amp;INT($M$1),#REF!,
 "&lt;"&amp;INT($N$1+1)
)</f>
        <v>#REF!</v>
      </c>
      <c r="L164" s="1" t="e">
        <f t="shared" si="63"/>
        <v>#REF!</v>
      </c>
      <c r="M164" s="9" t="e">
        <f t="shared" si="64"/>
        <v>#REF!</v>
      </c>
      <c r="N164" s="10" t="e">
        <f t="shared" si="65"/>
        <v>#REF!</v>
      </c>
      <c r="O164" s="1" t="e">
        <f>SUMIFS(#REF!,#REF!,
 $A164,#REF!,
 "&gt;="&amp;INT($Q$1),#REF!,
 "&lt;="&amp;INT($R$1)
)</f>
        <v>#REF!</v>
      </c>
      <c r="P164" s="1" t="e">
        <f t="shared" si="66"/>
        <v>#REF!</v>
      </c>
      <c r="Q164" s="9" t="e">
        <f t="shared" si="67"/>
        <v>#REF!</v>
      </c>
      <c r="R164" s="10" t="e">
        <f t="shared" si="68"/>
        <v>#REF!</v>
      </c>
      <c r="S164" s="1" t="e">
        <f>SUMIFS(#REF!,#REF!,
 $A164,#REF!,
 "&gt;="&amp;INT($U$1),#REF!,
 "&lt;="&amp;INT($V$1)
)</f>
        <v>#REF!</v>
      </c>
      <c r="T164" s="1" t="e">
        <f t="shared" si="69"/>
        <v>#REF!</v>
      </c>
      <c r="U164" s="9" t="e">
        <f t="shared" si="70"/>
        <v>#REF!</v>
      </c>
      <c r="V164" s="10" t="e">
        <f t="shared" si="71"/>
        <v>#REF!</v>
      </c>
      <c r="W164" s="1" t="e">
        <f>SUMIFS(#REF!,#REF!,
 $A164,#REF!,
 "&gt;="&amp;INT($Y$1),#REF!,
 "&lt;="&amp;INT($Z$1)
)</f>
        <v>#REF!</v>
      </c>
      <c r="X164" s="1" t="e">
        <f t="shared" si="72"/>
        <v>#REF!</v>
      </c>
      <c r="Y164" s="9" t="e">
        <f t="shared" si="73"/>
        <v>#REF!</v>
      </c>
      <c r="Z164" s="10" t="e">
        <f t="shared" si="74"/>
        <v>#REF!</v>
      </c>
      <c r="AA164" s="1" t="e">
        <f>SUMIFS(#REF!,#REF!,
 $A164,#REF!,
 "&gt;="&amp;INT($AC$1),#REF!,
 "&lt;="&amp;INT($AD$1)
)</f>
        <v>#REF!</v>
      </c>
      <c r="AB164" s="1" t="e">
        <f t="shared" si="75"/>
        <v>#REF!</v>
      </c>
      <c r="AC164" s="9" t="e">
        <f t="shared" si="76"/>
        <v>#REF!</v>
      </c>
      <c r="AD164" s="10" t="e">
        <f t="shared" si="77"/>
        <v>#REF!</v>
      </c>
      <c r="AE164" s="1" t="e">
        <f>SUMIFS(#REF!,#REF!,
 $A164,#REF!,
 "&gt;="&amp;INT($AG$1),#REF!,
 "&lt;="&amp;INT($AH$1)
)</f>
        <v>#REF!</v>
      </c>
      <c r="AF164" s="1" t="e">
        <f t="shared" si="78"/>
        <v>#REF!</v>
      </c>
      <c r="AG164" s="9" t="e">
        <f t="shared" si="79"/>
        <v>#REF!</v>
      </c>
      <c r="AH164" s="10" t="e">
        <f t="shared" si="80"/>
        <v>#REF!</v>
      </c>
      <c r="AI164" s="1" t="e">
        <f>SUMIFS(#REF!,#REF!,
 $A164,#REF!,
 "&gt;="&amp;INT($AK$1),#REF!,
 "&lt;="&amp;INT($AL$1)
)</f>
        <v>#REF!</v>
      </c>
      <c r="AJ164" s="1" t="e">
        <f t="shared" si="81"/>
        <v>#REF!</v>
      </c>
      <c r="AK164" s="9" t="e">
        <f t="shared" si="82"/>
        <v>#REF!</v>
      </c>
      <c r="AL164" s="10" t="e">
        <f t="shared" si="83"/>
        <v>#REF!</v>
      </c>
      <c r="AM164" s="1" t="e">
        <f>SUMIFS(#REF!,#REF!,
 $A164,#REF!,
 "&gt;="&amp;INT($AO$1),#REF!,
 "&lt;="&amp;INT($AP$1)
)</f>
        <v>#REF!</v>
      </c>
      <c r="AN164" s="1" t="e">
        <f t="shared" si="84"/>
        <v>#REF!</v>
      </c>
      <c r="AO164" s="9" t="e">
        <f t="shared" si="85"/>
        <v>#REF!</v>
      </c>
      <c r="AP164" s="10" t="e">
        <f t="shared" si="86"/>
        <v>#REF!</v>
      </c>
      <c r="AQ164" s="1" t="e">
        <f>SUMIFS(#REF!,#REF!,
 $A164,#REF!,
 "&gt;="&amp;INT($AS$1),#REF!,
 "&lt;="&amp;INT($AT$1)
)</f>
        <v>#REF!</v>
      </c>
      <c r="AR164" s="1" t="e">
        <f t="shared" si="87"/>
        <v>#REF!</v>
      </c>
      <c r="AS164" s="9" t="e">
        <f t="shared" si="88"/>
        <v>#REF!</v>
      </c>
      <c r="AT164" s="10" t="e">
        <f t="shared" si="89"/>
        <v>#REF!</v>
      </c>
      <c r="AU164" s="1" t="e">
        <f>SUMIFS(#REF!,#REF!,
 $A164,#REF!,
 "&gt;="&amp;INT($AW$1),#REF!,
 "&lt;="&amp;INT($AX$1)
)</f>
        <v>#REF!</v>
      </c>
      <c r="AV164" s="1" t="e">
        <f t="shared" si="90"/>
        <v>#REF!</v>
      </c>
      <c r="AW164" s="9" t="e">
        <f t="shared" si="91"/>
        <v>#REF!</v>
      </c>
      <c r="AX164" s="10" t="e">
        <f t="shared" si="92"/>
        <v>#REF!</v>
      </c>
    </row>
    <row r="165" spans="1:50" x14ac:dyDescent="0.25">
      <c r="A165" s="5">
        <v>227001</v>
      </c>
      <c r="B165" s="6" t="s">
        <v>162</v>
      </c>
      <c r="C165" s="1" t="e">
        <f>SUMIFS(#REF!,#REF!,
 $A165,#REF!,
 "&gt;="&amp;INT($E$1),#REF!,
 "&lt;"&amp;INT($F$1+1)
)</f>
        <v>#REF!</v>
      </c>
      <c r="D165" s="1" t="str">
        <f>""</f>
        <v/>
      </c>
      <c r="F165" s="2"/>
      <c r="G165" s="1" t="e">
        <f>SUMIFS(#REF!,#REF!,
 $A165,#REF!,
 "&gt;="&amp;INT($I$1),#REF!,
 "&lt;"&amp;INT($J$1+1)
)</f>
        <v>#REF!</v>
      </c>
      <c r="H165" s="1" t="e">
        <f t="shared" si="62"/>
        <v>#REF!</v>
      </c>
      <c r="I165" s="1"/>
      <c r="J165" s="2"/>
      <c r="K165" s="1" t="e">
        <f>SUMIFS(#REF!,#REF!,
 $A165,#REF!,
 "&gt;="&amp;INT($M$1),#REF!,
 "&lt;"&amp;INT($N$1+1)
)</f>
        <v>#REF!</v>
      </c>
      <c r="L165" s="1" t="e">
        <f t="shared" si="63"/>
        <v>#REF!</v>
      </c>
      <c r="M165" s="9" t="e">
        <f t="shared" si="64"/>
        <v>#REF!</v>
      </c>
      <c r="N165" s="10" t="e">
        <f t="shared" si="65"/>
        <v>#REF!</v>
      </c>
      <c r="O165" s="1" t="e">
        <f>SUMIFS(#REF!,#REF!,
 $A165,#REF!,
 "&gt;="&amp;INT($Q$1),#REF!,
 "&lt;="&amp;INT($R$1)
)</f>
        <v>#REF!</v>
      </c>
      <c r="P165" s="1" t="e">
        <f t="shared" si="66"/>
        <v>#REF!</v>
      </c>
      <c r="Q165" s="9" t="e">
        <f t="shared" si="67"/>
        <v>#REF!</v>
      </c>
      <c r="R165" s="10" t="e">
        <f t="shared" si="68"/>
        <v>#REF!</v>
      </c>
      <c r="S165" s="1" t="e">
        <f>SUMIFS(#REF!,#REF!,
 $A165,#REF!,
 "&gt;="&amp;INT($U$1),#REF!,
 "&lt;="&amp;INT($V$1)
)</f>
        <v>#REF!</v>
      </c>
      <c r="T165" s="1" t="e">
        <f t="shared" si="69"/>
        <v>#REF!</v>
      </c>
      <c r="U165" s="9" t="e">
        <f t="shared" si="70"/>
        <v>#REF!</v>
      </c>
      <c r="V165" s="10" t="e">
        <f t="shared" si="71"/>
        <v>#REF!</v>
      </c>
      <c r="W165" s="1" t="e">
        <f>SUMIFS(#REF!,#REF!,
 $A165,#REF!,
 "&gt;="&amp;INT($Y$1),#REF!,
 "&lt;="&amp;INT($Z$1)
)</f>
        <v>#REF!</v>
      </c>
      <c r="X165" s="1" t="e">
        <f t="shared" si="72"/>
        <v>#REF!</v>
      </c>
      <c r="Y165" s="9" t="e">
        <f t="shared" si="73"/>
        <v>#REF!</v>
      </c>
      <c r="Z165" s="10" t="e">
        <f t="shared" si="74"/>
        <v>#REF!</v>
      </c>
      <c r="AA165" s="1" t="e">
        <f>SUMIFS(#REF!,#REF!,
 $A165,#REF!,
 "&gt;="&amp;INT($AC$1),#REF!,
 "&lt;="&amp;INT($AD$1)
)</f>
        <v>#REF!</v>
      </c>
      <c r="AB165" s="1" t="e">
        <f t="shared" si="75"/>
        <v>#REF!</v>
      </c>
      <c r="AC165" s="9" t="e">
        <f t="shared" si="76"/>
        <v>#REF!</v>
      </c>
      <c r="AD165" s="10" t="e">
        <f t="shared" si="77"/>
        <v>#REF!</v>
      </c>
      <c r="AE165" s="1" t="e">
        <f>SUMIFS(#REF!,#REF!,
 $A165,#REF!,
 "&gt;="&amp;INT($AG$1),#REF!,
 "&lt;="&amp;INT($AH$1)
)</f>
        <v>#REF!</v>
      </c>
      <c r="AF165" s="1" t="e">
        <f t="shared" si="78"/>
        <v>#REF!</v>
      </c>
      <c r="AG165" s="9" t="e">
        <f t="shared" si="79"/>
        <v>#REF!</v>
      </c>
      <c r="AH165" s="10" t="e">
        <f t="shared" si="80"/>
        <v>#REF!</v>
      </c>
      <c r="AI165" s="1" t="e">
        <f>SUMIFS(#REF!,#REF!,
 $A165,#REF!,
 "&gt;="&amp;INT($AK$1),#REF!,
 "&lt;="&amp;INT($AL$1)
)</f>
        <v>#REF!</v>
      </c>
      <c r="AJ165" s="1" t="e">
        <f t="shared" si="81"/>
        <v>#REF!</v>
      </c>
      <c r="AK165" s="9" t="e">
        <f t="shared" si="82"/>
        <v>#REF!</v>
      </c>
      <c r="AL165" s="10" t="e">
        <f t="shared" si="83"/>
        <v>#REF!</v>
      </c>
      <c r="AM165" s="1" t="e">
        <f>SUMIFS(#REF!,#REF!,
 $A165,#REF!,
 "&gt;="&amp;INT($AO$1),#REF!,
 "&lt;="&amp;INT($AP$1)
)</f>
        <v>#REF!</v>
      </c>
      <c r="AN165" s="1" t="e">
        <f t="shared" si="84"/>
        <v>#REF!</v>
      </c>
      <c r="AO165" s="9" t="e">
        <f t="shared" si="85"/>
        <v>#REF!</v>
      </c>
      <c r="AP165" s="10" t="e">
        <f t="shared" si="86"/>
        <v>#REF!</v>
      </c>
      <c r="AQ165" s="1" t="e">
        <f>SUMIFS(#REF!,#REF!,
 $A165,#REF!,
 "&gt;="&amp;INT($AS$1),#REF!,
 "&lt;="&amp;INT($AT$1)
)</f>
        <v>#REF!</v>
      </c>
      <c r="AR165" s="1" t="e">
        <f t="shared" si="87"/>
        <v>#REF!</v>
      </c>
      <c r="AS165" s="9" t="e">
        <f t="shared" si="88"/>
        <v>#REF!</v>
      </c>
      <c r="AT165" s="10" t="e">
        <f t="shared" si="89"/>
        <v>#REF!</v>
      </c>
      <c r="AU165" s="1" t="e">
        <f>SUMIFS(#REF!,#REF!,
 $A165,#REF!,
 "&gt;="&amp;INT($AW$1),#REF!,
 "&lt;="&amp;INT($AX$1)
)</f>
        <v>#REF!</v>
      </c>
      <c r="AV165" s="1" t="e">
        <f t="shared" si="90"/>
        <v>#REF!</v>
      </c>
      <c r="AW165" s="9" t="e">
        <f t="shared" si="91"/>
        <v>#REF!</v>
      </c>
      <c r="AX165" s="10" t="e">
        <f t="shared" si="92"/>
        <v>#REF!</v>
      </c>
    </row>
    <row r="166" spans="1:50" x14ac:dyDescent="0.25">
      <c r="A166" s="5">
        <v>227002</v>
      </c>
      <c r="B166" s="6" t="s">
        <v>163</v>
      </c>
      <c r="C166" s="1" t="e">
        <f>SUMIFS(#REF!,#REF!,
 $A166,#REF!,
 "&gt;="&amp;INT($E$1),#REF!,
 "&lt;"&amp;INT($F$1+1)
)</f>
        <v>#REF!</v>
      </c>
      <c r="D166" s="1" t="str">
        <f>""</f>
        <v/>
      </c>
      <c r="F166" s="2"/>
      <c r="G166" s="1" t="e">
        <f>SUMIFS(#REF!,#REF!,
 $A166,#REF!,
 "&gt;="&amp;INT($I$1),#REF!,
 "&lt;"&amp;INT($J$1+1)
)</f>
        <v>#REF!</v>
      </c>
      <c r="H166" s="1" t="e">
        <f t="shared" si="62"/>
        <v>#REF!</v>
      </c>
      <c r="I166" s="1"/>
      <c r="J166" s="2"/>
      <c r="K166" s="1" t="e">
        <f>SUMIFS(#REF!,#REF!,
 $A166,#REF!,
 "&gt;="&amp;INT($M$1),#REF!,
 "&lt;"&amp;INT($N$1+1)
)</f>
        <v>#REF!</v>
      </c>
      <c r="L166" s="1" t="e">
        <f t="shared" si="63"/>
        <v>#REF!</v>
      </c>
      <c r="M166" s="9" t="e">
        <f t="shared" si="64"/>
        <v>#REF!</v>
      </c>
      <c r="N166" s="10" t="e">
        <f t="shared" si="65"/>
        <v>#REF!</v>
      </c>
      <c r="O166" s="1" t="e">
        <f>SUMIFS(#REF!,#REF!,
 $A166,#REF!,
 "&gt;="&amp;INT($Q$1),#REF!,
 "&lt;="&amp;INT($R$1)
)</f>
        <v>#REF!</v>
      </c>
      <c r="P166" s="1" t="e">
        <f t="shared" si="66"/>
        <v>#REF!</v>
      </c>
      <c r="Q166" s="9" t="e">
        <f t="shared" si="67"/>
        <v>#REF!</v>
      </c>
      <c r="R166" s="10" t="e">
        <f t="shared" si="68"/>
        <v>#REF!</v>
      </c>
      <c r="S166" s="1" t="e">
        <f>SUMIFS(#REF!,#REF!,
 $A166,#REF!,
 "&gt;="&amp;INT($U$1),#REF!,
 "&lt;="&amp;INT($V$1)
)</f>
        <v>#REF!</v>
      </c>
      <c r="T166" s="1" t="e">
        <f t="shared" si="69"/>
        <v>#REF!</v>
      </c>
      <c r="U166" s="9" t="e">
        <f t="shared" si="70"/>
        <v>#REF!</v>
      </c>
      <c r="V166" s="10" t="e">
        <f t="shared" si="71"/>
        <v>#REF!</v>
      </c>
      <c r="W166" s="1" t="e">
        <f>SUMIFS(#REF!,#REF!,
 $A166,#REF!,
 "&gt;="&amp;INT($Y$1),#REF!,
 "&lt;="&amp;INT($Z$1)
)</f>
        <v>#REF!</v>
      </c>
      <c r="X166" s="1" t="e">
        <f t="shared" si="72"/>
        <v>#REF!</v>
      </c>
      <c r="Y166" s="9" t="e">
        <f t="shared" si="73"/>
        <v>#REF!</v>
      </c>
      <c r="Z166" s="10" t="e">
        <f t="shared" si="74"/>
        <v>#REF!</v>
      </c>
      <c r="AA166" s="1" t="e">
        <f>SUMIFS(#REF!,#REF!,
 $A166,#REF!,
 "&gt;="&amp;INT($AC$1),#REF!,
 "&lt;="&amp;INT($AD$1)
)</f>
        <v>#REF!</v>
      </c>
      <c r="AB166" s="1" t="e">
        <f t="shared" si="75"/>
        <v>#REF!</v>
      </c>
      <c r="AC166" s="9" t="e">
        <f t="shared" si="76"/>
        <v>#REF!</v>
      </c>
      <c r="AD166" s="10" t="e">
        <f t="shared" si="77"/>
        <v>#REF!</v>
      </c>
      <c r="AE166" s="1" t="e">
        <f>SUMIFS(#REF!,#REF!,
 $A166,#REF!,
 "&gt;="&amp;INT($AG$1),#REF!,
 "&lt;="&amp;INT($AH$1)
)</f>
        <v>#REF!</v>
      </c>
      <c r="AF166" s="1" t="e">
        <f t="shared" si="78"/>
        <v>#REF!</v>
      </c>
      <c r="AG166" s="9" t="e">
        <f t="shared" si="79"/>
        <v>#REF!</v>
      </c>
      <c r="AH166" s="10" t="e">
        <f t="shared" si="80"/>
        <v>#REF!</v>
      </c>
      <c r="AI166" s="1" t="e">
        <f>SUMIFS(#REF!,#REF!,
 $A166,#REF!,
 "&gt;="&amp;INT($AK$1),#REF!,
 "&lt;="&amp;INT($AL$1)
)</f>
        <v>#REF!</v>
      </c>
      <c r="AJ166" s="1" t="e">
        <f t="shared" si="81"/>
        <v>#REF!</v>
      </c>
      <c r="AK166" s="9" t="e">
        <f t="shared" si="82"/>
        <v>#REF!</v>
      </c>
      <c r="AL166" s="10" t="e">
        <f t="shared" si="83"/>
        <v>#REF!</v>
      </c>
      <c r="AM166" s="1" t="e">
        <f>SUMIFS(#REF!,#REF!,
 $A166,#REF!,
 "&gt;="&amp;INT($AO$1),#REF!,
 "&lt;="&amp;INT($AP$1)
)</f>
        <v>#REF!</v>
      </c>
      <c r="AN166" s="1" t="e">
        <f t="shared" si="84"/>
        <v>#REF!</v>
      </c>
      <c r="AO166" s="9" t="e">
        <f t="shared" si="85"/>
        <v>#REF!</v>
      </c>
      <c r="AP166" s="10" t="e">
        <f t="shared" si="86"/>
        <v>#REF!</v>
      </c>
      <c r="AQ166" s="1" t="e">
        <f>SUMIFS(#REF!,#REF!,
 $A166,#REF!,
 "&gt;="&amp;INT($AS$1),#REF!,
 "&lt;="&amp;INT($AT$1)
)</f>
        <v>#REF!</v>
      </c>
      <c r="AR166" s="1" t="e">
        <f t="shared" si="87"/>
        <v>#REF!</v>
      </c>
      <c r="AS166" s="9" t="e">
        <f t="shared" si="88"/>
        <v>#REF!</v>
      </c>
      <c r="AT166" s="10" t="e">
        <f t="shared" si="89"/>
        <v>#REF!</v>
      </c>
      <c r="AU166" s="1" t="e">
        <f>SUMIFS(#REF!,#REF!,
 $A166,#REF!,
 "&gt;="&amp;INT($AW$1),#REF!,
 "&lt;="&amp;INT($AX$1)
)</f>
        <v>#REF!</v>
      </c>
      <c r="AV166" s="1" t="e">
        <f t="shared" si="90"/>
        <v>#REF!</v>
      </c>
      <c r="AW166" s="9" t="e">
        <f t="shared" si="91"/>
        <v>#REF!</v>
      </c>
      <c r="AX166" s="10" t="e">
        <f t="shared" si="92"/>
        <v>#REF!</v>
      </c>
    </row>
    <row r="167" spans="1:50" x14ac:dyDescent="0.25">
      <c r="A167" s="5">
        <v>227008</v>
      </c>
      <c r="B167" s="6" t="s">
        <v>164</v>
      </c>
      <c r="C167" s="1" t="e">
        <f>SUMIFS(#REF!,#REF!,
 $A167,#REF!,
 "&gt;="&amp;INT($E$1),#REF!,
 "&lt;"&amp;INT($F$1+1)
)</f>
        <v>#REF!</v>
      </c>
      <c r="D167" s="1" t="str">
        <f>""</f>
        <v/>
      </c>
      <c r="F167" s="2"/>
      <c r="G167" s="1" t="e">
        <f>SUMIFS(#REF!,#REF!,
 $A167,#REF!,
 "&gt;="&amp;INT($I$1),#REF!,
 "&lt;"&amp;INT($J$1+1)
)</f>
        <v>#REF!</v>
      </c>
      <c r="H167" s="1" t="e">
        <f t="shared" si="62"/>
        <v>#REF!</v>
      </c>
      <c r="I167" s="1"/>
      <c r="J167" s="2"/>
      <c r="K167" s="1" t="e">
        <f>SUMIFS(#REF!,#REF!,
 $A167,#REF!,
 "&gt;="&amp;INT($M$1),#REF!,
 "&lt;"&amp;INT($N$1+1)
)</f>
        <v>#REF!</v>
      </c>
      <c r="L167" s="1" t="e">
        <f t="shared" si="63"/>
        <v>#REF!</v>
      </c>
      <c r="M167" s="9" t="e">
        <f t="shared" si="64"/>
        <v>#REF!</v>
      </c>
      <c r="N167" s="10" t="e">
        <f t="shared" si="65"/>
        <v>#REF!</v>
      </c>
      <c r="O167" s="1" t="e">
        <f>SUMIFS(#REF!,#REF!,
 $A167,#REF!,
 "&gt;="&amp;INT($Q$1),#REF!,
 "&lt;="&amp;INT($R$1)
)</f>
        <v>#REF!</v>
      </c>
      <c r="P167" s="1" t="e">
        <f t="shared" si="66"/>
        <v>#REF!</v>
      </c>
      <c r="Q167" s="9" t="e">
        <f t="shared" si="67"/>
        <v>#REF!</v>
      </c>
      <c r="R167" s="10" t="e">
        <f t="shared" si="68"/>
        <v>#REF!</v>
      </c>
      <c r="S167" s="1" t="e">
        <f>SUMIFS(#REF!,#REF!,
 $A167,#REF!,
 "&gt;="&amp;INT($U$1),#REF!,
 "&lt;="&amp;INT($V$1)
)</f>
        <v>#REF!</v>
      </c>
      <c r="T167" s="1" t="e">
        <f t="shared" si="69"/>
        <v>#REF!</v>
      </c>
      <c r="U167" s="9" t="e">
        <f t="shared" si="70"/>
        <v>#REF!</v>
      </c>
      <c r="V167" s="10" t="e">
        <f t="shared" si="71"/>
        <v>#REF!</v>
      </c>
      <c r="W167" s="1" t="e">
        <f>SUMIFS(#REF!,#REF!,
 $A167,#REF!,
 "&gt;="&amp;INT($Y$1),#REF!,
 "&lt;="&amp;INT($Z$1)
)</f>
        <v>#REF!</v>
      </c>
      <c r="X167" s="1" t="e">
        <f t="shared" si="72"/>
        <v>#REF!</v>
      </c>
      <c r="Y167" s="9" t="e">
        <f t="shared" si="73"/>
        <v>#REF!</v>
      </c>
      <c r="Z167" s="10" t="e">
        <f t="shared" si="74"/>
        <v>#REF!</v>
      </c>
      <c r="AA167" s="1" t="e">
        <f>SUMIFS(#REF!,#REF!,
 $A167,#REF!,
 "&gt;="&amp;INT($AC$1),#REF!,
 "&lt;="&amp;INT($AD$1)
)</f>
        <v>#REF!</v>
      </c>
      <c r="AB167" s="1" t="e">
        <f t="shared" si="75"/>
        <v>#REF!</v>
      </c>
      <c r="AC167" s="9" t="e">
        <f t="shared" si="76"/>
        <v>#REF!</v>
      </c>
      <c r="AD167" s="10" t="e">
        <f t="shared" si="77"/>
        <v>#REF!</v>
      </c>
      <c r="AE167" s="1" t="e">
        <f>SUMIFS(#REF!,#REF!,
 $A167,#REF!,
 "&gt;="&amp;INT($AG$1),#REF!,
 "&lt;="&amp;INT($AH$1)
)</f>
        <v>#REF!</v>
      </c>
      <c r="AF167" s="1" t="e">
        <f t="shared" si="78"/>
        <v>#REF!</v>
      </c>
      <c r="AG167" s="9" t="e">
        <f t="shared" si="79"/>
        <v>#REF!</v>
      </c>
      <c r="AH167" s="10" t="e">
        <f t="shared" si="80"/>
        <v>#REF!</v>
      </c>
      <c r="AI167" s="1" t="e">
        <f>SUMIFS(#REF!,#REF!,
 $A167,#REF!,
 "&gt;="&amp;INT($AK$1),#REF!,
 "&lt;="&amp;INT($AL$1)
)</f>
        <v>#REF!</v>
      </c>
      <c r="AJ167" s="1" t="e">
        <f t="shared" si="81"/>
        <v>#REF!</v>
      </c>
      <c r="AK167" s="9" t="e">
        <f t="shared" si="82"/>
        <v>#REF!</v>
      </c>
      <c r="AL167" s="10" t="e">
        <f t="shared" si="83"/>
        <v>#REF!</v>
      </c>
      <c r="AM167" s="1" t="e">
        <f>SUMIFS(#REF!,#REF!,
 $A167,#REF!,
 "&gt;="&amp;INT($AO$1),#REF!,
 "&lt;="&amp;INT($AP$1)
)</f>
        <v>#REF!</v>
      </c>
      <c r="AN167" s="1" t="e">
        <f t="shared" si="84"/>
        <v>#REF!</v>
      </c>
      <c r="AO167" s="9" t="e">
        <f t="shared" si="85"/>
        <v>#REF!</v>
      </c>
      <c r="AP167" s="10" t="e">
        <f t="shared" si="86"/>
        <v>#REF!</v>
      </c>
      <c r="AQ167" s="1" t="e">
        <f>SUMIFS(#REF!,#REF!,
 $A167,#REF!,
 "&gt;="&amp;INT($AS$1),#REF!,
 "&lt;="&amp;INT($AT$1)
)</f>
        <v>#REF!</v>
      </c>
      <c r="AR167" s="1" t="e">
        <f t="shared" si="87"/>
        <v>#REF!</v>
      </c>
      <c r="AS167" s="9" t="e">
        <f t="shared" si="88"/>
        <v>#REF!</v>
      </c>
      <c r="AT167" s="10" t="e">
        <f t="shared" si="89"/>
        <v>#REF!</v>
      </c>
      <c r="AU167" s="1" t="e">
        <f>SUMIFS(#REF!,#REF!,
 $A167,#REF!,
 "&gt;="&amp;INT($AW$1),#REF!,
 "&lt;="&amp;INT($AX$1)
)</f>
        <v>#REF!</v>
      </c>
      <c r="AV167" s="1" t="e">
        <f t="shared" si="90"/>
        <v>#REF!</v>
      </c>
      <c r="AW167" s="9" t="e">
        <f t="shared" si="91"/>
        <v>#REF!</v>
      </c>
      <c r="AX167" s="10" t="e">
        <f t="shared" si="92"/>
        <v>#REF!</v>
      </c>
    </row>
    <row r="168" spans="1:50" x14ac:dyDescent="0.25">
      <c r="A168" s="5">
        <v>227010</v>
      </c>
      <c r="B168" s="6" t="s">
        <v>165</v>
      </c>
      <c r="C168" s="1" t="e">
        <f>SUMIFS(#REF!,#REF!,
 $A168,#REF!,
 "&gt;="&amp;INT($E$1),#REF!,
 "&lt;"&amp;INT($F$1+1)
)</f>
        <v>#REF!</v>
      </c>
      <c r="D168" s="1" t="str">
        <f>""</f>
        <v/>
      </c>
      <c r="F168" s="2"/>
      <c r="G168" s="1" t="e">
        <f>SUMIFS(#REF!,#REF!,
 $A168,#REF!,
 "&gt;="&amp;INT($I$1),#REF!,
 "&lt;"&amp;INT($J$1+1)
)</f>
        <v>#REF!</v>
      </c>
      <c r="H168" s="1" t="e">
        <f t="shared" si="62"/>
        <v>#REF!</v>
      </c>
      <c r="I168" s="1"/>
      <c r="J168" s="2"/>
      <c r="K168" s="1" t="e">
        <f>SUMIFS(#REF!,#REF!,
 $A168,#REF!,
 "&gt;="&amp;INT($M$1),#REF!,
 "&lt;"&amp;INT($N$1+1)
)</f>
        <v>#REF!</v>
      </c>
      <c r="L168" s="1" t="e">
        <f t="shared" si="63"/>
        <v>#REF!</v>
      </c>
      <c r="M168" s="9" t="e">
        <f t="shared" si="64"/>
        <v>#REF!</v>
      </c>
      <c r="N168" s="10" t="e">
        <f t="shared" si="65"/>
        <v>#REF!</v>
      </c>
      <c r="O168" s="1" t="e">
        <f>SUMIFS(#REF!,#REF!,
 $A168,#REF!,
 "&gt;="&amp;INT($Q$1),#REF!,
 "&lt;="&amp;INT($R$1)
)</f>
        <v>#REF!</v>
      </c>
      <c r="P168" s="1" t="e">
        <f t="shared" si="66"/>
        <v>#REF!</v>
      </c>
      <c r="Q168" s="9" t="e">
        <f t="shared" si="67"/>
        <v>#REF!</v>
      </c>
      <c r="R168" s="10" t="e">
        <f t="shared" si="68"/>
        <v>#REF!</v>
      </c>
      <c r="S168" s="1" t="e">
        <f>SUMIFS(#REF!,#REF!,
 $A168,#REF!,
 "&gt;="&amp;INT($U$1),#REF!,
 "&lt;="&amp;INT($V$1)
)</f>
        <v>#REF!</v>
      </c>
      <c r="T168" s="1" t="e">
        <f t="shared" si="69"/>
        <v>#REF!</v>
      </c>
      <c r="U168" s="9" t="e">
        <f t="shared" si="70"/>
        <v>#REF!</v>
      </c>
      <c r="V168" s="10" t="e">
        <f t="shared" si="71"/>
        <v>#REF!</v>
      </c>
      <c r="W168" s="1" t="e">
        <f>SUMIFS(#REF!,#REF!,
 $A168,#REF!,
 "&gt;="&amp;INT($Y$1),#REF!,
 "&lt;="&amp;INT($Z$1)
)</f>
        <v>#REF!</v>
      </c>
      <c r="X168" s="1" t="e">
        <f t="shared" si="72"/>
        <v>#REF!</v>
      </c>
      <c r="Y168" s="9" t="e">
        <f t="shared" si="73"/>
        <v>#REF!</v>
      </c>
      <c r="Z168" s="10" t="e">
        <f t="shared" si="74"/>
        <v>#REF!</v>
      </c>
      <c r="AA168" s="1" t="e">
        <f>SUMIFS(#REF!,#REF!,
 $A168,#REF!,
 "&gt;="&amp;INT($AC$1),#REF!,
 "&lt;="&amp;INT($AD$1)
)</f>
        <v>#REF!</v>
      </c>
      <c r="AB168" s="1" t="e">
        <f t="shared" si="75"/>
        <v>#REF!</v>
      </c>
      <c r="AC168" s="9" t="e">
        <f t="shared" si="76"/>
        <v>#REF!</v>
      </c>
      <c r="AD168" s="10" t="e">
        <f t="shared" si="77"/>
        <v>#REF!</v>
      </c>
      <c r="AE168" s="1" t="e">
        <f>SUMIFS(#REF!,#REF!,
 $A168,#REF!,
 "&gt;="&amp;INT($AG$1),#REF!,
 "&lt;="&amp;INT($AH$1)
)</f>
        <v>#REF!</v>
      </c>
      <c r="AF168" s="1" t="e">
        <f t="shared" si="78"/>
        <v>#REF!</v>
      </c>
      <c r="AG168" s="9" t="e">
        <f t="shared" si="79"/>
        <v>#REF!</v>
      </c>
      <c r="AH168" s="10" t="e">
        <f t="shared" si="80"/>
        <v>#REF!</v>
      </c>
      <c r="AI168" s="1" t="e">
        <f>SUMIFS(#REF!,#REF!,
 $A168,#REF!,
 "&gt;="&amp;INT($AK$1),#REF!,
 "&lt;="&amp;INT($AL$1)
)</f>
        <v>#REF!</v>
      </c>
      <c r="AJ168" s="1" t="e">
        <f t="shared" si="81"/>
        <v>#REF!</v>
      </c>
      <c r="AK168" s="9" t="e">
        <f t="shared" si="82"/>
        <v>#REF!</v>
      </c>
      <c r="AL168" s="10" t="e">
        <f t="shared" si="83"/>
        <v>#REF!</v>
      </c>
      <c r="AM168" s="1" t="e">
        <f>SUMIFS(#REF!,#REF!,
 $A168,#REF!,
 "&gt;="&amp;INT($AO$1),#REF!,
 "&lt;="&amp;INT($AP$1)
)</f>
        <v>#REF!</v>
      </c>
      <c r="AN168" s="1" t="e">
        <f t="shared" si="84"/>
        <v>#REF!</v>
      </c>
      <c r="AO168" s="9" t="e">
        <f t="shared" si="85"/>
        <v>#REF!</v>
      </c>
      <c r="AP168" s="10" t="e">
        <f t="shared" si="86"/>
        <v>#REF!</v>
      </c>
      <c r="AQ168" s="1" t="e">
        <f>SUMIFS(#REF!,#REF!,
 $A168,#REF!,
 "&gt;="&amp;INT($AS$1),#REF!,
 "&lt;="&amp;INT($AT$1)
)</f>
        <v>#REF!</v>
      </c>
      <c r="AR168" s="1" t="e">
        <f t="shared" si="87"/>
        <v>#REF!</v>
      </c>
      <c r="AS168" s="9" t="e">
        <f t="shared" si="88"/>
        <v>#REF!</v>
      </c>
      <c r="AT168" s="10" t="e">
        <f t="shared" si="89"/>
        <v>#REF!</v>
      </c>
      <c r="AU168" s="1" t="e">
        <f>SUMIFS(#REF!,#REF!,
 $A168,#REF!,
 "&gt;="&amp;INT($AW$1),#REF!,
 "&lt;="&amp;INT($AX$1)
)</f>
        <v>#REF!</v>
      </c>
      <c r="AV168" s="1" t="e">
        <f t="shared" si="90"/>
        <v>#REF!</v>
      </c>
      <c r="AW168" s="9" t="e">
        <f t="shared" si="91"/>
        <v>#REF!</v>
      </c>
      <c r="AX168" s="10" t="e">
        <f t="shared" si="92"/>
        <v>#REF!</v>
      </c>
    </row>
    <row r="169" spans="1:50" x14ac:dyDescent="0.25">
      <c r="A169" s="5">
        <v>227012</v>
      </c>
      <c r="B169" s="6" t="s">
        <v>166</v>
      </c>
      <c r="C169" s="1" t="e">
        <f>SUMIFS(#REF!,#REF!,
 $A169,#REF!,
 "&gt;="&amp;INT($E$1),#REF!,
 "&lt;"&amp;INT($F$1+1)
)</f>
        <v>#REF!</v>
      </c>
      <c r="D169" s="1" t="str">
        <f>""</f>
        <v/>
      </c>
      <c r="F169" s="2"/>
      <c r="G169" s="1" t="e">
        <f>SUMIFS(#REF!,#REF!,
 $A169,#REF!,
 "&gt;="&amp;INT($I$1),#REF!,
 "&lt;"&amp;INT($J$1+1)
)</f>
        <v>#REF!</v>
      </c>
      <c r="H169" s="1" t="e">
        <f t="shared" si="62"/>
        <v>#REF!</v>
      </c>
      <c r="I169" s="1"/>
      <c r="J169" s="2"/>
      <c r="K169" s="1" t="e">
        <f>SUMIFS(#REF!,#REF!,
 $A169,#REF!,
 "&gt;="&amp;INT($M$1),#REF!,
 "&lt;"&amp;INT($N$1+1)
)</f>
        <v>#REF!</v>
      </c>
      <c r="L169" s="1" t="e">
        <f t="shared" si="63"/>
        <v>#REF!</v>
      </c>
      <c r="M169" s="9" t="e">
        <f t="shared" si="64"/>
        <v>#REF!</v>
      </c>
      <c r="N169" s="10" t="e">
        <f t="shared" si="65"/>
        <v>#REF!</v>
      </c>
      <c r="O169" s="1" t="e">
        <f>SUMIFS(#REF!,#REF!,
 $A169,#REF!,
 "&gt;="&amp;INT($Q$1),#REF!,
 "&lt;="&amp;INT($R$1)
)</f>
        <v>#REF!</v>
      </c>
      <c r="P169" s="1" t="e">
        <f t="shared" si="66"/>
        <v>#REF!</v>
      </c>
      <c r="Q169" s="9" t="e">
        <f t="shared" si="67"/>
        <v>#REF!</v>
      </c>
      <c r="R169" s="10" t="e">
        <f t="shared" si="68"/>
        <v>#REF!</v>
      </c>
      <c r="S169" s="1" t="e">
        <f>SUMIFS(#REF!,#REF!,
 $A169,#REF!,
 "&gt;="&amp;INT($U$1),#REF!,
 "&lt;="&amp;INT($V$1)
)</f>
        <v>#REF!</v>
      </c>
      <c r="T169" s="1" t="e">
        <f t="shared" si="69"/>
        <v>#REF!</v>
      </c>
      <c r="U169" s="9" t="e">
        <f t="shared" si="70"/>
        <v>#REF!</v>
      </c>
      <c r="V169" s="10" t="e">
        <f t="shared" si="71"/>
        <v>#REF!</v>
      </c>
      <c r="W169" s="1" t="e">
        <f>SUMIFS(#REF!,#REF!,
 $A169,#REF!,
 "&gt;="&amp;INT($Y$1),#REF!,
 "&lt;="&amp;INT($Z$1)
)</f>
        <v>#REF!</v>
      </c>
      <c r="X169" s="1" t="e">
        <f t="shared" si="72"/>
        <v>#REF!</v>
      </c>
      <c r="Y169" s="9" t="e">
        <f t="shared" si="73"/>
        <v>#REF!</v>
      </c>
      <c r="Z169" s="10" t="e">
        <f t="shared" si="74"/>
        <v>#REF!</v>
      </c>
      <c r="AA169" s="1" t="e">
        <f>SUMIFS(#REF!,#REF!,
 $A169,#REF!,
 "&gt;="&amp;INT($AC$1),#REF!,
 "&lt;="&amp;INT($AD$1)
)</f>
        <v>#REF!</v>
      </c>
      <c r="AB169" s="1" t="e">
        <f t="shared" si="75"/>
        <v>#REF!</v>
      </c>
      <c r="AC169" s="9" t="e">
        <f t="shared" si="76"/>
        <v>#REF!</v>
      </c>
      <c r="AD169" s="10" t="e">
        <f t="shared" si="77"/>
        <v>#REF!</v>
      </c>
      <c r="AE169" s="1" t="e">
        <f>SUMIFS(#REF!,#REF!,
 $A169,#REF!,
 "&gt;="&amp;INT($AG$1),#REF!,
 "&lt;="&amp;INT($AH$1)
)</f>
        <v>#REF!</v>
      </c>
      <c r="AF169" s="1" t="e">
        <f t="shared" si="78"/>
        <v>#REF!</v>
      </c>
      <c r="AG169" s="9" t="e">
        <f t="shared" si="79"/>
        <v>#REF!</v>
      </c>
      <c r="AH169" s="10" t="e">
        <f t="shared" si="80"/>
        <v>#REF!</v>
      </c>
      <c r="AI169" s="1" t="e">
        <f>SUMIFS(#REF!,#REF!,
 $A169,#REF!,
 "&gt;="&amp;INT($AK$1),#REF!,
 "&lt;="&amp;INT($AL$1)
)</f>
        <v>#REF!</v>
      </c>
      <c r="AJ169" s="1" t="e">
        <f t="shared" si="81"/>
        <v>#REF!</v>
      </c>
      <c r="AK169" s="9" t="e">
        <f t="shared" si="82"/>
        <v>#REF!</v>
      </c>
      <c r="AL169" s="10" t="e">
        <f t="shared" si="83"/>
        <v>#REF!</v>
      </c>
      <c r="AM169" s="1" t="e">
        <f>SUMIFS(#REF!,#REF!,
 $A169,#REF!,
 "&gt;="&amp;INT($AO$1),#REF!,
 "&lt;="&amp;INT($AP$1)
)</f>
        <v>#REF!</v>
      </c>
      <c r="AN169" s="1" t="e">
        <f t="shared" si="84"/>
        <v>#REF!</v>
      </c>
      <c r="AO169" s="9" t="e">
        <f t="shared" si="85"/>
        <v>#REF!</v>
      </c>
      <c r="AP169" s="10" t="e">
        <f t="shared" si="86"/>
        <v>#REF!</v>
      </c>
      <c r="AQ169" s="1" t="e">
        <f>SUMIFS(#REF!,#REF!,
 $A169,#REF!,
 "&gt;="&amp;INT($AS$1),#REF!,
 "&lt;="&amp;INT($AT$1)
)</f>
        <v>#REF!</v>
      </c>
      <c r="AR169" s="1" t="e">
        <f t="shared" si="87"/>
        <v>#REF!</v>
      </c>
      <c r="AS169" s="9" t="e">
        <f t="shared" si="88"/>
        <v>#REF!</v>
      </c>
      <c r="AT169" s="10" t="e">
        <f t="shared" si="89"/>
        <v>#REF!</v>
      </c>
      <c r="AU169" s="1" t="e">
        <f>SUMIFS(#REF!,#REF!,
 $A169,#REF!,
 "&gt;="&amp;INT($AW$1),#REF!,
 "&lt;="&amp;INT($AX$1)
)</f>
        <v>#REF!</v>
      </c>
      <c r="AV169" s="1" t="e">
        <f t="shared" si="90"/>
        <v>#REF!</v>
      </c>
      <c r="AW169" s="9" t="e">
        <f t="shared" si="91"/>
        <v>#REF!</v>
      </c>
      <c r="AX169" s="10" t="e">
        <f t="shared" si="92"/>
        <v>#REF!</v>
      </c>
    </row>
    <row r="170" spans="1:50" x14ac:dyDescent="0.25">
      <c r="A170" s="5">
        <v>227013</v>
      </c>
      <c r="B170" s="6" t="s">
        <v>167</v>
      </c>
      <c r="C170" s="1" t="e">
        <f>SUMIFS(#REF!,#REF!,
 $A170,#REF!,
 "&gt;="&amp;INT($E$1),#REF!,
 "&lt;"&amp;INT($F$1+1)
)</f>
        <v>#REF!</v>
      </c>
      <c r="D170" s="1" t="str">
        <f>""</f>
        <v/>
      </c>
      <c r="F170" s="2"/>
      <c r="G170" s="1" t="e">
        <f>SUMIFS(#REF!,#REF!,
 $A170,#REF!,
 "&gt;="&amp;INT($I$1),#REF!,
 "&lt;"&amp;INT($J$1+1)
)</f>
        <v>#REF!</v>
      </c>
      <c r="H170" s="1" t="e">
        <f t="shared" si="62"/>
        <v>#REF!</v>
      </c>
      <c r="I170" s="1"/>
      <c r="J170" s="2"/>
      <c r="K170" s="1" t="e">
        <f>SUMIFS(#REF!,#REF!,
 $A170,#REF!,
 "&gt;="&amp;INT($M$1),#REF!,
 "&lt;"&amp;INT($N$1+1)
)</f>
        <v>#REF!</v>
      </c>
      <c r="L170" s="1" t="e">
        <f t="shared" si="63"/>
        <v>#REF!</v>
      </c>
      <c r="M170" s="9" t="e">
        <f t="shared" si="64"/>
        <v>#REF!</v>
      </c>
      <c r="N170" s="10" t="e">
        <f t="shared" si="65"/>
        <v>#REF!</v>
      </c>
      <c r="O170" s="1" t="e">
        <f>SUMIFS(#REF!,#REF!,
 $A170,#REF!,
 "&gt;="&amp;INT($Q$1),#REF!,
 "&lt;="&amp;INT($R$1)
)</f>
        <v>#REF!</v>
      </c>
      <c r="P170" s="1" t="e">
        <f t="shared" si="66"/>
        <v>#REF!</v>
      </c>
      <c r="Q170" s="9" t="e">
        <f t="shared" si="67"/>
        <v>#REF!</v>
      </c>
      <c r="R170" s="10" t="e">
        <f t="shared" si="68"/>
        <v>#REF!</v>
      </c>
      <c r="S170" s="1" t="e">
        <f>SUMIFS(#REF!,#REF!,
 $A170,#REF!,
 "&gt;="&amp;INT($U$1),#REF!,
 "&lt;="&amp;INT($V$1)
)</f>
        <v>#REF!</v>
      </c>
      <c r="T170" s="1" t="e">
        <f t="shared" si="69"/>
        <v>#REF!</v>
      </c>
      <c r="U170" s="9" t="e">
        <f t="shared" si="70"/>
        <v>#REF!</v>
      </c>
      <c r="V170" s="10" t="e">
        <f t="shared" si="71"/>
        <v>#REF!</v>
      </c>
      <c r="W170" s="1" t="e">
        <f>SUMIFS(#REF!,#REF!,
 $A170,#REF!,
 "&gt;="&amp;INT($Y$1),#REF!,
 "&lt;="&amp;INT($Z$1)
)</f>
        <v>#REF!</v>
      </c>
      <c r="X170" s="1" t="e">
        <f t="shared" si="72"/>
        <v>#REF!</v>
      </c>
      <c r="Y170" s="9" t="e">
        <f t="shared" si="73"/>
        <v>#REF!</v>
      </c>
      <c r="Z170" s="10" t="e">
        <f t="shared" si="74"/>
        <v>#REF!</v>
      </c>
      <c r="AA170" s="1" t="e">
        <f>SUMIFS(#REF!,#REF!,
 $A170,#REF!,
 "&gt;="&amp;INT($AC$1),#REF!,
 "&lt;="&amp;INT($AD$1)
)</f>
        <v>#REF!</v>
      </c>
      <c r="AB170" s="1" t="e">
        <f t="shared" si="75"/>
        <v>#REF!</v>
      </c>
      <c r="AC170" s="9" t="e">
        <f t="shared" si="76"/>
        <v>#REF!</v>
      </c>
      <c r="AD170" s="10" t="e">
        <f t="shared" si="77"/>
        <v>#REF!</v>
      </c>
      <c r="AE170" s="1" t="e">
        <f>SUMIFS(#REF!,#REF!,
 $A170,#REF!,
 "&gt;="&amp;INT($AG$1),#REF!,
 "&lt;="&amp;INT($AH$1)
)</f>
        <v>#REF!</v>
      </c>
      <c r="AF170" s="1" t="e">
        <f t="shared" si="78"/>
        <v>#REF!</v>
      </c>
      <c r="AG170" s="9" t="e">
        <f t="shared" si="79"/>
        <v>#REF!</v>
      </c>
      <c r="AH170" s="10" t="e">
        <f t="shared" si="80"/>
        <v>#REF!</v>
      </c>
      <c r="AI170" s="1" t="e">
        <f>SUMIFS(#REF!,#REF!,
 $A170,#REF!,
 "&gt;="&amp;INT($AK$1),#REF!,
 "&lt;="&amp;INT($AL$1)
)</f>
        <v>#REF!</v>
      </c>
      <c r="AJ170" s="1" t="e">
        <f t="shared" si="81"/>
        <v>#REF!</v>
      </c>
      <c r="AK170" s="9" t="e">
        <f t="shared" si="82"/>
        <v>#REF!</v>
      </c>
      <c r="AL170" s="10" t="e">
        <f t="shared" si="83"/>
        <v>#REF!</v>
      </c>
      <c r="AM170" s="1" t="e">
        <f>SUMIFS(#REF!,#REF!,
 $A170,#REF!,
 "&gt;="&amp;INT($AO$1),#REF!,
 "&lt;="&amp;INT($AP$1)
)</f>
        <v>#REF!</v>
      </c>
      <c r="AN170" s="1" t="e">
        <f t="shared" si="84"/>
        <v>#REF!</v>
      </c>
      <c r="AO170" s="9" t="e">
        <f t="shared" si="85"/>
        <v>#REF!</v>
      </c>
      <c r="AP170" s="10" t="e">
        <f t="shared" si="86"/>
        <v>#REF!</v>
      </c>
      <c r="AQ170" s="1" t="e">
        <f>SUMIFS(#REF!,#REF!,
 $A170,#REF!,
 "&gt;="&amp;INT($AS$1),#REF!,
 "&lt;="&amp;INT($AT$1)
)</f>
        <v>#REF!</v>
      </c>
      <c r="AR170" s="1" t="e">
        <f t="shared" si="87"/>
        <v>#REF!</v>
      </c>
      <c r="AS170" s="9" t="e">
        <f t="shared" si="88"/>
        <v>#REF!</v>
      </c>
      <c r="AT170" s="10" t="e">
        <f t="shared" si="89"/>
        <v>#REF!</v>
      </c>
      <c r="AU170" s="1" t="e">
        <f>SUMIFS(#REF!,#REF!,
 $A170,#REF!,
 "&gt;="&amp;INT($AW$1),#REF!,
 "&lt;="&amp;INT($AX$1)
)</f>
        <v>#REF!</v>
      </c>
      <c r="AV170" s="1" t="e">
        <f t="shared" si="90"/>
        <v>#REF!</v>
      </c>
      <c r="AW170" s="9" t="e">
        <f t="shared" si="91"/>
        <v>#REF!</v>
      </c>
      <c r="AX170" s="10" t="e">
        <f t="shared" si="92"/>
        <v>#REF!</v>
      </c>
    </row>
    <row r="171" spans="1:50" x14ac:dyDescent="0.25">
      <c r="A171" s="5">
        <v>227014</v>
      </c>
      <c r="B171" s="6" t="s">
        <v>168</v>
      </c>
      <c r="C171" s="1" t="e">
        <f>SUMIFS(#REF!,#REF!,
 $A171,#REF!,
 "&gt;="&amp;INT($E$1),#REF!,
 "&lt;"&amp;INT($F$1+1)
)</f>
        <v>#REF!</v>
      </c>
      <c r="D171" s="1" t="str">
        <f>""</f>
        <v/>
      </c>
      <c r="F171" s="2"/>
      <c r="G171" s="1" t="e">
        <f>SUMIFS(#REF!,#REF!,
 $A171,#REF!,
 "&gt;="&amp;INT($I$1),#REF!,
 "&lt;"&amp;INT($J$1+1)
)</f>
        <v>#REF!</v>
      </c>
      <c r="H171" s="1" t="e">
        <f t="shared" si="62"/>
        <v>#REF!</v>
      </c>
      <c r="I171" s="1"/>
      <c r="J171" s="2"/>
      <c r="K171" s="1" t="e">
        <f>SUMIFS(#REF!,#REF!,
 $A171,#REF!,
 "&gt;="&amp;INT($M$1),#REF!,
 "&lt;"&amp;INT($N$1+1)
)</f>
        <v>#REF!</v>
      </c>
      <c r="L171" s="1" t="e">
        <f t="shared" si="63"/>
        <v>#REF!</v>
      </c>
      <c r="M171" s="9" t="e">
        <f t="shared" si="64"/>
        <v>#REF!</v>
      </c>
      <c r="N171" s="10" t="e">
        <f t="shared" si="65"/>
        <v>#REF!</v>
      </c>
      <c r="O171" s="1" t="e">
        <f>SUMIFS(#REF!,#REF!,
 $A171,#REF!,
 "&gt;="&amp;INT($Q$1),#REF!,
 "&lt;="&amp;INT($R$1)
)</f>
        <v>#REF!</v>
      </c>
      <c r="P171" s="1" t="e">
        <f t="shared" si="66"/>
        <v>#REF!</v>
      </c>
      <c r="Q171" s="9" t="e">
        <f t="shared" si="67"/>
        <v>#REF!</v>
      </c>
      <c r="R171" s="10" t="e">
        <f t="shared" si="68"/>
        <v>#REF!</v>
      </c>
      <c r="S171" s="1" t="e">
        <f>SUMIFS(#REF!,#REF!,
 $A171,#REF!,
 "&gt;="&amp;INT($U$1),#REF!,
 "&lt;="&amp;INT($V$1)
)</f>
        <v>#REF!</v>
      </c>
      <c r="T171" s="1" t="e">
        <f t="shared" si="69"/>
        <v>#REF!</v>
      </c>
      <c r="U171" s="9" t="e">
        <f t="shared" si="70"/>
        <v>#REF!</v>
      </c>
      <c r="V171" s="10" t="e">
        <f t="shared" si="71"/>
        <v>#REF!</v>
      </c>
      <c r="W171" s="1" t="e">
        <f>SUMIFS(#REF!,#REF!,
 $A171,#REF!,
 "&gt;="&amp;INT($Y$1),#REF!,
 "&lt;="&amp;INT($Z$1)
)</f>
        <v>#REF!</v>
      </c>
      <c r="X171" s="1" t="e">
        <f t="shared" si="72"/>
        <v>#REF!</v>
      </c>
      <c r="Y171" s="9" t="e">
        <f t="shared" si="73"/>
        <v>#REF!</v>
      </c>
      <c r="Z171" s="10" t="e">
        <f t="shared" si="74"/>
        <v>#REF!</v>
      </c>
      <c r="AA171" s="1" t="e">
        <f>SUMIFS(#REF!,#REF!,
 $A171,#REF!,
 "&gt;="&amp;INT($AC$1),#REF!,
 "&lt;="&amp;INT($AD$1)
)</f>
        <v>#REF!</v>
      </c>
      <c r="AB171" s="1" t="e">
        <f t="shared" si="75"/>
        <v>#REF!</v>
      </c>
      <c r="AC171" s="9" t="e">
        <f t="shared" si="76"/>
        <v>#REF!</v>
      </c>
      <c r="AD171" s="10" t="e">
        <f t="shared" si="77"/>
        <v>#REF!</v>
      </c>
      <c r="AE171" s="1" t="e">
        <f>SUMIFS(#REF!,#REF!,
 $A171,#REF!,
 "&gt;="&amp;INT($AG$1),#REF!,
 "&lt;="&amp;INT($AH$1)
)</f>
        <v>#REF!</v>
      </c>
      <c r="AF171" s="1" t="e">
        <f t="shared" si="78"/>
        <v>#REF!</v>
      </c>
      <c r="AG171" s="9" t="e">
        <f t="shared" si="79"/>
        <v>#REF!</v>
      </c>
      <c r="AH171" s="10" t="e">
        <f t="shared" si="80"/>
        <v>#REF!</v>
      </c>
      <c r="AI171" s="1" t="e">
        <f>SUMIFS(#REF!,#REF!,
 $A171,#REF!,
 "&gt;="&amp;INT($AK$1),#REF!,
 "&lt;="&amp;INT($AL$1)
)</f>
        <v>#REF!</v>
      </c>
      <c r="AJ171" s="1" t="e">
        <f t="shared" si="81"/>
        <v>#REF!</v>
      </c>
      <c r="AK171" s="9" t="e">
        <f t="shared" si="82"/>
        <v>#REF!</v>
      </c>
      <c r="AL171" s="10" t="e">
        <f t="shared" si="83"/>
        <v>#REF!</v>
      </c>
      <c r="AM171" s="1" t="e">
        <f>SUMIFS(#REF!,#REF!,
 $A171,#REF!,
 "&gt;="&amp;INT($AO$1),#REF!,
 "&lt;="&amp;INT($AP$1)
)</f>
        <v>#REF!</v>
      </c>
      <c r="AN171" s="1" t="e">
        <f t="shared" si="84"/>
        <v>#REF!</v>
      </c>
      <c r="AO171" s="9" t="e">
        <f t="shared" si="85"/>
        <v>#REF!</v>
      </c>
      <c r="AP171" s="10" t="e">
        <f t="shared" si="86"/>
        <v>#REF!</v>
      </c>
      <c r="AQ171" s="1" t="e">
        <f>SUMIFS(#REF!,#REF!,
 $A171,#REF!,
 "&gt;="&amp;INT($AS$1),#REF!,
 "&lt;="&amp;INT($AT$1)
)</f>
        <v>#REF!</v>
      </c>
      <c r="AR171" s="1" t="e">
        <f t="shared" si="87"/>
        <v>#REF!</v>
      </c>
      <c r="AS171" s="9" t="e">
        <f t="shared" si="88"/>
        <v>#REF!</v>
      </c>
      <c r="AT171" s="10" t="e">
        <f t="shared" si="89"/>
        <v>#REF!</v>
      </c>
      <c r="AU171" s="1" t="e">
        <f>SUMIFS(#REF!,#REF!,
 $A171,#REF!,
 "&gt;="&amp;INT($AW$1),#REF!,
 "&lt;="&amp;INT($AX$1)
)</f>
        <v>#REF!</v>
      </c>
      <c r="AV171" s="1" t="e">
        <f t="shared" si="90"/>
        <v>#REF!</v>
      </c>
      <c r="AW171" s="9" t="e">
        <f t="shared" si="91"/>
        <v>#REF!</v>
      </c>
      <c r="AX171" s="10" t="e">
        <f t="shared" si="92"/>
        <v>#REF!</v>
      </c>
    </row>
    <row r="172" spans="1:50" x14ac:dyDescent="0.25">
      <c r="A172" s="5">
        <v>228020</v>
      </c>
      <c r="B172" s="6" t="s">
        <v>169</v>
      </c>
      <c r="C172" s="1" t="e">
        <f>SUMIFS(#REF!,#REF!,
 $A172,#REF!,
 "&gt;="&amp;INT($E$1),#REF!,
 "&lt;"&amp;INT($F$1+1)
)</f>
        <v>#REF!</v>
      </c>
      <c r="D172" s="1" t="str">
        <f>""</f>
        <v/>
      </c>
      <c r="F172" s="2"/>
      <c r="G172" s="1" t="e">
        <f>SUMIFS(#REF!,#REF!,
 $A172,#REF!,
 "&gt;="&amp;INT($I$1),#REF!,
 "&lt;"&amp;INT($J$1+1)
)</f>
        <v>#REF!</v>
      </c>
      <c r="H172" s="1" t="e">
        <f t="shared" si="62"/>
        <v>#REF!</v>
      </c>
      <c r="I172" s="1"/>
      <c r="J172" s="2"/>
      <c r="K172" s="1" t="e">
        <f>SUMIFS(#REF!,#REF!,
 $A172,#REF!,
 "&gt;="&amp;INT($M$1),#REF!,
 "&lt;"&amp;INT($N$1+1)
)</f>
        <v>#REF!</v>
      </c>
      <c r="L172" s="1" t="e">
        <f t="shared" si="63"/>
        <v>#REF!</v>
      </c>
      <c r="M172" s="9" t="e">
        <f t="shared" si="64"/>
        <v>#REF!</v>
      </c>
      <c r="N172" s="10" t="e">
        <f t="shared" si="65"/>
        <v>#REF!</v>
      </c>
      <c r="O172" s="1" t="e">
        <f>SUMIFS(#REF!,#REF!,
 $A172,#REF!,
 "&gt;="&amp;INT($Q$1),#REF!,
 "&lt;="&amp;INT($R$1)
)</f>
        <v>#REF!</v>
      </c>
      <c r="P172" s="1" t="e">
        <f t="shared" si="66"/>
        <v>#REF!</v>
      </c>
      <c r="Q172" s="9" t="e">
        <f t="shared" si="67"/>
        <v>#REF!</v>
      </c>
      <c r="R172" s="10" t="e">
        <f t="shared" si="68"/>
        <v>#REF!</v>
      </c>
      <c r="S172" s="1" t="e">
        <f>SUMIFS(#REF!,#REF!,
 $A172,#REF!,
 "&gt;="&amp;INT($U$1),#REF!,
 "&lt;="&amp;INT($V$1)
)</f>
        <v>#REF!</v>
      </c>
      <c r="T172" s="1" t="e">
        <f t="shared" si="69"/>
        <v>#REF!</v>
      </c>
      <c r="U172" s="9" t="e">
        <f t="shared" si="70"/>
        <v>#REF!</v>
      </c>
      <c r="V172" s="10" t="e">
        <f t="shared" si="71"/>
        <v>#REF!</v>
      </c>
      <c r="W172" s="1" t="e">
        <f>SUMIFS(#REF!,#REF!,
 $A172,#REF!,
 "&gt;="&amp;INT($Y$1),#REF!,
 "&lt;="&amp;INT($Z$1)
)</f>
        <v>#REF!</v>
      </c>
      <c r="X172" s="1" t="e">
        <f t="shared" si="72"/>
        <v>#REF!</v>
      </c>
      <c r="Y172" s="9" t="e">
        <f t="shared" si="73"/>
        <v>#REF!</v>
      </c>
      <c r="Z172" s="10" t="e">
        <f t="shared" si="74"/>
        <v>#REF!</v>
      </c>
      <c r="AA172" s="1" t="e">
        <f>SUMIFS(#REF!,#REF!,
 $A172,#REF!,
 "&gt;="&amp;INT($AC$1),#REF!,
 "&lt;="&amp;INT($AD$1)
)</f>
        <v>#REF!</v>
      </c>
      <c r="AB172" s="1" t="e">
        <f t="shared" si="75"/>
        <v>#REF!</v>
      </c>
      <c r="AC172" s="9" t="e">
        <f t="shared" si="76"/>
        <v>#REF!</v>
      </c>
      <c r="AD172" s="10" t="e">
        <f t="shared" si="77"/>
        <v>#REF!</v>
      </c>
      <c r="AE172" s="1" t="e">
        <f>SUMIFS(#REF!,#REF!,
 $A172,#REF!,
 "&gt;="&amp;INT($AG$1),#REF!,
 "&lt;="&amp;INT($AH$1)
)</f>
        <v>#REF!</v>
      </c>
      <c r="AF172" s="1" t="e">
        <f t="shared" si="78"/>
        <v>#REF!</v>
      </c>
      <c r="AG172" s="9" t="e">
        <f t="shared" si="79"/>
        <v>#REF!</v>
      </c>
      <c r="AH172" s="10" t="e">
        <f t="shared" si="80"/>
        <v>#REF!</v>
      </c>
      <c r="AI172" s="1" t="e">
        <f>SUMIFS(#REF!,#REF!,
 $A172,#REF!,
 "&gt;="&amp;INT($AK$1),#REF!,
 "&lt;="&amp;INT($AL$1)
)</f>
        <v>#REF!</v>
      </c>
      <c r="AJ172" s="1" t="e">
        <f t="shared" si="81"/>
        <v>#REF!</v>
      </c>
      <c r="AK172" s="9" t="e">
        <f t="shared" si="82"/>
        <v>#REF!</v>
      </c>
      <c r="AL172" s="10" t="e">
        <f t="shared" si="83"/>
        <v>#REF!</v>
      </c>
      <c r="AM172" s="1" t="e">
        <f>SUMIFS(#REF!,#REF!,
 $A172,#REF!,
 "&gt;="&amp;INT($AO$1),#REF!,
 "&lt;="&amp;INT($AP$1)
)</f>
        <v>#REF!</v>
      </c>
      <c r="AN172" s="1" t="e">
        <f t="shared" si="84"/>
        <v>#REF!</v>
      </c>
      <c r="AO172" s="9" t="e">
        <f t="shared" si="85"/>
        <v>#REF!</v>
      </c>
      <c r="AP172" s="10" t="e">
        <f t="shared" si="86"/>
        <v>#REF!</v>
      </c>
      <c r="AQ172" s="1" t="e">
        <f>SUMIFS(#REF!,#REF!,
 $A172,#REF!,
 "&gt;="&amp;INT($AS$1),#REF!,
 "&lt;="&amp;INT($AT$1)
)</f>
        <v>#REF!</v>
      </c>
      <c r="AR172" s="1" t="e">
        <f t="shared" si="87"/>
        <v>#REF!</v>
      </c>
      <c r="AS172" s="9" t="e">
        <f t="shared" si="88"/>
        <v>#REF!</v>
      </c>
      <c r="AT172" s="10" t="e">
        <f t="shared" si="89"/>
        <v>#REF!</v>
      </c>
      <c r="AU172" s="1" t="e">
        <f>SUMIFS(#REF!,#REF!,
 $A172,#REF!,
 "&gt;="&amp;INT($AW$1),#REF!,
 "&lt;="&amp;INT($AX$1)
)</f>
        <v>#REF!</v>
      </c>
      <c r="AV172" s="1" t="e">
        <f t="shared" si="90"/>
        <v>#REF!</v>
      </c>
      <c r="AW172" s="9" t="e">
        <f t="shared" si="91"/>
        <v>#REF!</v>
      </c>
      <c r="AX172" s="10" t="e">
        <f t="shared" si="92"/>
        <v>#REF!</v>
      </c>
    </row>
    <row r="173" spans="1:50" x14ac:dyDescent="0.25">
      <c r="A173" s="5">
        <v>229001</v>
      </c>
      <c r="B173" s="6" t="s">
        <v>170</v>
      </c>
      <c r="C173" s="1" t="e">
        <f>SUMIFS(#REF!,#REF!,
 $A173,#REF!,
 "&gt;="&amp;INT($E$1),#REF!,
 "&lt;"&amp;INT($F$1+1)
)</f>
        <v>#REF!</v>
      </c>
      <c r="D173" s="1" t="str">
        <f>""</f>
        <v/>
      </c>
      <c r="F173" s="2"/>
      <c r="G173" s="1" t="e">
        <f>SUMIFS(#REF!,#REF!,
 $A173,#REF!,
 "&gt;="&amp;INT($I$1),#REF!,
 "&lt;"&amp;INT($J$1+1)
)</f>
        <v>#REF!</v>
      </c>
      <c r="H173" s="1" t="e">
        <f t="shared" si="62"/>
        <v>#REF!</v>
      </c>
      <c r="I173" s="1"/>
      <c r="J173" s="2"/>
      <c r="K173" s="1" t="e">
        <f>SUMIFS(#REF!,#REF!,
 $A173,#REF!,
 "&gt;="&amp;INT($M$1),#REF!,
 "&lt;"&amp;INT($N$1+1)
)</f>
        <v>#REF!</v>
      </c>
      <c r="L173" s="1" t="e">
        <f t="shared" si="63"/>
        <v>#REF!</v>
      </c>
      <c r="M173" s="9" t="e">
        <f t="shared" si="64"/>
        <v>#REF!</v>
      </c>
      <c r="N173" s="10" t="e">
        <f t="shared" si="65"/>
        <v>#REF!</v>
      </c>
      <c r="O173" s="1" t="e">
        <f>SUMIFS(#REF!,#REF!,
 $A173,#REF!,
 "&gt;="&amp;INT($Q$1),#REF!,
 "&lt;="&amp;INT($R$1)
)</f>
        <v>#REF!</v>
      </c>
      <c r="P173" s="1" t="e">
        <f t="shared" si="66"/>
        <v>#REF!</v>
      </c>
      <c r="Q173" s="9" t="e">
        <f t="shared" si="67"/>
        <v>#REF!</v>
      </c>
      <c r="R173" s="10" t="e">
        <f t="shared" si="68"/>
        <v>#REF!</v>
      </c>
      <c r="S173" s="1" t="e">
        <f>SUMIFS(#REF!,#REF!,
 $A173,#REF!,
 "&gt;="&amp;INT($U$1),#REF!,
 "&lt;="&amp;INT($V$1)
)</f>
        <v>#REF!</v>
      </c>
      <c r="T173" s="1" t="e">
        <f t="shared" si="69"/>
        <v>#REF!</v>
      </c>
      <c r="U173" s="9" t="e">
        <f t="shared" si="70"/>
        <v>#REF!</v>
      </c>
      <c r="V173" s="10" t="e">
        <f t="shared" si="71"/>
        <v>#REF!</v>
      </c>
      <c r="W173" s="1" t="e">
        <f>SUMIFS(#REF!,#REF!,
 $A173,#REF!,
 "&gt;="&amp;INT($Y$1),#REF!,
 "&lt;="&amp;INT($Z$1)
)</f>
        <v>#REF!</v>
      </c>
      <c r="X173" s="1" t="e">
        <f t="shared" si="72"/>
        <v>#REF!</v>
      </c>
      <c r="Y173" s="9" t="e">
        <f t="shared" si="73"/>
        <v>#REF!</v>
      </c>
      <c r="Z173" s="10" t="e">
        <f t="shared" si="74"/>
        <v>#REF!</v>
      </c>
      <c r="AA173" s="1" t="e">
        <f>SUMIFS(#REF!,#REF!,
 $A173,#REF!,
 "&gt;="&amp;INT($AC$1),#REF!,
 "&lt;="&amp;INT($AD$1)
)</f>
        <v>#REF!</v>
      </c>
      <c r="AB173" s="1" t="e">
        <f t="shared" si="75"/>
        <v>#REF!</v>
      </c>
      <c r="AC173" s="9" t="e">
        <f t="shared" si="76"/>
        <v>#REF!</v>
      </c>
      <c r="AD173" s="10" t="e">
        <f t="shared" si="77"/>
        <v>#REF!</v>
      </c>
      <c r="AE173" s="1" t="e">
        <f>SUMIFS(#REF!,#REF!,
 $A173,#REF!,
 "&gt;="&amp;INT($AG$1),#REF!,
 "&lt;="&amp;INT($AH$1)
)</f>
        <v>#REF!</v>
      </c>
      <c r="AF173" s="1" t="e">
        <f t="shared" si="78"/>
        <v>#REF!</v>
      </c>
      <c r="AG173" s="9" t="e">
        <f t="shared" si="79"/>
        <v>#REF!</v>
      </c>
      <c r="AH173" s="10" t="e">
        <f t="shared" si="80"/>
        <v>#REF!</v>
      </c>
      <c r="AI173" s="1" t="e">
        <f>SUMIFS(#REF!,#REF!,
 $A173,#REF!,
 "&gt;="&amp;INT($AK$1),#REF!,
 "&lt;="&amp;INT($AL$1)
)</f>
        <v>#REF!</v>
      </c>
      <c r="AJ173" s="1" t="e">
        <f t="shared" si="81"/>
        <v>#REF!</v>
      </c>
      <c r="AK173" s="9" t="e">
        <f t="shared" si="82"/>
        <v>#REF!</v>
      </c>
      <c r="AL173" s="10" t="e">
        <f t="shared" si="83"/>
        <v>#REF!</v>
      </c>
      <c r="AM173" s="1" t="e">
        <f>SUMIFS(#REF!,#REF!,
 $A173,#REF!,
 "&gt;="&amp;INT($AO$1),#REF!,
 "&lt;="&amp;INT($AP$1)
)</f>
        <v>#REF!</v>
      </c>
      <c r="AN173" s="1" t="e">
        <f t="shared" si="84"/>
        <v>#REF!</v>
      </c>
      <c r="AO173" s="9" t="e">
        <f t="shared" si="85"/>
        <v>#REF!</v>
      </c>
      <c r="AP173" s="10" t="e">
        <f t="shared" si="86"/>
        <v>#REF!</v>
      </c>
      <c r="AQ173" s="1" t="e">
        <f>SUMIFS(#REF!,#REF!,
 $A173,#REF!,
 "&gt;="&amp;INT($AS$1),#REF!,
 "&lt;="&amp;INT($AT$1)
)</f>
        <v>#REF!</v>
      </c>
      <c r="AR173" s="1" t="e">
        <f t="shared" si="87"/>
        <v>#REF!</v>
      </c>
      <c r="AS173" s="9" t="e">
        <f t="shared" si="88"/>
        <v>#REF!</v>
      </c>
      <c r="AT173" s="10" t="e">
        <f t="shared" si="89"/>
        <v>#REF!</v>
      </c>
      <c r="AU173" s="1" t="e">
        <f>SUMIFS(#REF!,#REF!,
 $A173,#REF!,
 "&gt;="&amp;INT($AW$1),#REF!,
 "&lt;="&amp;INT($AX$1)
)</f>
        <v>#REF!</v>
      </c>
      <c r="AV173" s="1" t="e">
        <f t="shared" si="90"/>
        <v>#REF!</v>
      </c>
      <c r="AW173" s="9" t="e">
        <f t="shared" si="91"/>
        <v>#REF!</v>
      </c>
      <c r="AX173" s="10" t="e">
        <f t="shared" si="92"/>
        <v>#REF!</v>
      </c>
    </row>
    <row r="174" spans="1:50" x14ac:dyDescent="0.25">
      <c r="A174" s="5">
        <v>229002</v>
      </c>
      <c r="B174" s="6" t="s">
        <v>171</v>
      </c>
      <c r="C174" s="1" t="e">
        <f>SUMIFS(#REF!,#REF!,
 $A174,#REF!,
 "&gt;="&amp;INT($E$1),#REF!,
 "&lt;"&amp;INT($F$1+1)
)</f>
        <v>#REF!</v>
      </c>
      <c r="D174" s="1" t="str">
        <f>""</f>
        <v/>
      </c>
      <c r="F174" s="2"/>
      <c r="G174" s="1" t="e">
        <f>SUMIFS(#REF!,#REF!,
 $A174,#REF!,
 "&gt;="&amp;INT($I$1),#REF!,
 "&lt;"&amp;INT($J$1+1)
)</f>
        <v>#REF!</v>
      </c>
      <c r="H174" s="1" t="e">
        <f t="shared" si="62"/>
        <v>#REF!</v>
      </c>
      <c r="I174" s="1"/>
      <c r="J174" s="2"/>
      <c r="K174" s="1" t="e">
        <f>SUMIFS(#REF!,#REF!,
 $A174,#REF!,
 "&gt;="&amp;INT($M$1),#REF!,
 "&lt;"&amp;INT($N$1+1)
)</f>
        <v>#REF!</v>
      </c>
      <c r="L174" s="1" t="e">
        <f t="shared" si="63"/>
        <v>#REF!</v>
      </c>
      <c r="M174" s="9" t="e">
        <f t="shared" si="64"/>
        <v>#REF!</v>
      </c>
      <c r="N174" s="10" t="e">
        <f t="shared" si="65"/>
        <v>#REF!</v>
      </c>
      <c r="O174" s="1" t="e">
        <f>SUMIFS(#REF!,#REF!,
 $A174,#REF!,
 "&gt;="&amp;INT($Q$1),#REF!,
 "&lt;="&amp;INT($R$1)
)</f>
        <v>#REF!</v>
      </c>
      <c r="P174" s="1" t="e">
        <f t="shared" si="66"/>
        <v>#REF!</v>
      </c>
      <c r="Q174" s="9" t="e">
        <f t="shared" si="67"/>
        <v>#REF!</v>
      </c>
      <c r="R174" s="10" t="e">
        <f t="shared" si="68"/>
        <v>#REF!</v>
      </c>
      <c r="S174" s="1" t="e">
        <f>SUMIFS(#REF!,#REF!,
 $A174,#REF!,
 "&gt;="&amp;INT($U$1),#REF!,
 "&lt;="&amp;INT($V$1)
)</f>
        <v>#REF!</v>
      </c>
      <c r="T174" s="1" t="e">
        <f t="shared" si="69"/>
        <v>#REF!</v>
      </c>
      <c r="U174" s="9" t="e">
        <f t="shared" si="70"/>
        <v>#REF!</v>
      </c>
      <c r="V174" s="10" t="e">
        <f t="shared" si="71"/>
        <v>#REF!</v>
      </c>
      <c r="W174" s="1" t="e">
        <f>SUMIFS(#REF!,#REF!,
 $A174,#REF!,
 "&gt;="&amp;INT($Y$1),#REF!,
 "&lt;="&amp;INT($Z$1)
)</f>
        <v>#REF!</v>
      </c>
      <c r="X174" s="1" t="e">
        <f t="shared" si="72"/>
        <v>#REF!</v>
      </c>
      <c r="Y174" s="9" t="e">
        <f t="shared" si="73"/>
        <v>#REF!</v>
      </c>
      <c r="Z174" s="10" t="e">
        <f t="shared" si="74"/>
        <v>#REF!</v>
      </c>
      <c r="AA174" s="1" t="e">
        <f>SUMIFS(#REF!,#REF!,
 $A174,#REF!,
 "&gt;="&amp;INT($AC$1),#REF!,
 "&lt;="&amp;INT($AD$1)
)</f>
        <v>#REF!</v>
      </c>
      <c r="AB174" s="1" t="e">
        <f t="shared" si="75"/>
        <v>#REF!</v>
      </c>
      <c r="AC174" s="9" t="e">
        <f t="shared" si="76"/>
        <v>#REF!</v>
      </c>
      <c r="AD174" s="10" t="e">
        <f t="shared" si="77"/>
        <v>#REF!</v>
      </c>
      <c r="AE174" s="1" t="e">
        <f>SUMIFS(#REF!,#REF!,
 $A174,#REF!,
 "&gt;="&amp;INT($AG$1),#REF!,
 "&lt;="&amp;INT($AH$1)
)</f>
        <v>#REF!</v>
      </c>
      <c r="AF174" s="1" t="e">
        <f t="shared" si="78"/>
        <v>#REF!</v>
      </c>
      <c r="AG174" s="9" t="e">
        <f t="shared" si="79"/>
        <v>#REF!</v>
      </c>
      <c r="AH174" s="10" t="e">
        <f t="shared" si="80"/>
        <v>#REF!</v>
      </c>
      <c r="AI174" s="1" t="e">
        <f>SUMIFS(#REF!,#REF!,
 $A174,#REF!,
 "&gt;="&amp;INT($AK$1),#REF!,
 "&lt;="&amp;INT($AL$1)
)</f>
        <v>#REF!</v>
      </c>
      <c r="AJ174" s="1" t="e">
        <f t="shared" si="81"/>
        <v>#REF!</v>
      </c>
      <c r="AK174" s="9" t="e">
        <f t="shared" si="82"/>
        <v>#REF!</v>
      </c>
      <c r="AL174" s="10" t="e">
        <f t="shared" si="83"/>
        <v>#REF!</v>
      </c>
      <c r="AM174" s="1" t="e">
        <f>SUMIFS(#REF!,#REF!,
 $A174,#REF!,
 "&gt;="&amp;INT($AO$1),#REF!,
 "&lt;="&amp;INT($AP$1)
)</f>
        <v>#REF!</v>
      </c>
      <c r="AN174" s="1" t="e">
        <f t="shared" si="84"/>
        <v>#REF!</v>
      </c>
      <c r="AO174" s="9" t="e">
        <f t="shared" si="85"/>
        <v>#REF!</v>
      </c>
      <c r="AP174" s="10" t="e">
        <f t="shared" si="86"/>
        <v>#REF!</v>
      </c>
      <c r="AQ174" s="1" t="e">
        <f>SUMIFS(#REF!,#REF!,
 $A174,#REF!,
 "&gt;="&amp;INT($AS$1),#REF!,
 "&lt;="&amp;INT($AT$1)
)</f>
        <v>#REF!</v>
      </c>
      <c r="AR174" s="1" t="e">
        <f t="shared" si="87"/>
        <v>#REF!</v>
      </c>
      <c r="AS174" s="9" t="e">
        <f t="shared" si="88"/>
        <v>#REF!</v>
      </c>
      <c r="AT174" s="10" t="e">
        <f t="shared" si="89"/>
        <v>#REF!</v>
      </c>
      <c r="AU174" s="1" t="e">
        <f>SUMIFS(#REF!,#REF!,
 $A174,#REF!,
 "&gt;="&amp;INT($AW$1),#REF!,
 "&lt;="&amp;INT($AX$1)
)</f>
        <v>#REF!</v>
      </c>
      <c r="AV174" s="1" t="e">
        <f t="shared" si="90"/>
        <v>#REF!</v>
      </c>
      <c r="AW174" s="9" t="e">
        <f t="shared" si="91"/>
        <v>#REF!</v>
      </c>
      <c r="AX174" s="10" t="e">
        <f t="shared" si="92"/>
        <v>#REF!</v>
      </c>
    </row>
    <row r="175" spans="1:50" x14ac:dyDescent="0.25">
      <c r="A175" s="5">
        <v>229003</v>
      </c>
      <c r="B175" s="6" t="s">
        <v>172</v>
      </c>
      <c r="C175" s="1" t="e">
        <f>SUMIFS(#REF!,#REF!,
 $A175,#REF!,
 "&gt;="&amp;INT($E$1),#REF!,
 "&lt;"&amp;INT($F$1+1)
)</f>
        <v>#REF!</v>
      </c>
      <c r="D175" s="1" t="str">
        <f>""</f>
        <v/>
      </c>
      <c r="F175" s="2"/>
      <c r="G175" s="1" t="e">
        <f>SUMIFS(#REF!,#REF!,
 $A175,#REF!,
 "&gt;="&amp;INT($I$1),#REF!,
 "&lt;"&amp;INT($J$1+1)
)</f>
        <v>#REF!</v>
      </c>
      <c r="H175" s="1" t="e">
        <f t="shared" si="62"/>
        <v>#REF!</v>
      </c>
      <c r="I175" s="1"/>
      <c r="J175" s="2"/>
      <c r="K175" s="1" t="e">
        <f>SUMIFS(#REF!,#REF!,
 $A175,#REF!,
 "&gt;="&amp;INT($M$1),#REF!,
 "&lt;"&amp;INT($N$1+1)
)</f>
        <v>#REF!</v>
      </c>
      <c r="L175" s="1" t="e">
        <f t="shared" si="63"/>
        <v>#REF!</v>
      </c>
      <c r="M175" s="9" t="e">
        <f t="shared" si="64"/>
        <v>#REF!</v>
      </c>
      <c r="N175" s="10" t="e">
        <f t="shared" si="65"/>
        <v>#REF!</v>
      </c>
      <c r="O175" s="1" t="e">
        <f>SUMIFS(#REF!,#REF!,
 $A175,#REF!,
 "&gt;="&amp;INT($Q$1),#REF!,
 "&lt;="&amp;INT($R$1)
)</f>
        <v>#REF!</v>
      </c>
      <c r="P175" s="1" t="e">
        <f t="shared" si="66"/>
        <v>#REF!</v>
      </c>
      <c r="Q175" s="9" t="e">
        <f t="shared" si="67"/>
        <v>#REF!</v>
      </c>
      <c r="R175" s="10" t="e">
        <f t="shared" si="68"/>
        <v>#REF!</v>
      </c>
      <c r="S175" s="1" t="e">
        <f>SUMIFS(#REF!,#REF!,
 $A175,#REF!,
 "&gt;="&amp;INT($U$1),#REF!,
 "&lt;="&amp;INT($V$1)
)</f>
        <v>#REF!</v>
      </c>
      <c r="T175" s="1" t="e">
        <f t="shared" si="69"/>
        <v>#REF!</v>
      </c>
      <c r="U175" s="9" t="e">
        <f t="shared" si="70"/>
        <v>#REF!</v>
      </c>
      <c r="V175" s="10" t="e">
        <f t="shared" si="71"/>
        <v>#REF!</v>
      </c>
      <c r="W175" s="1" t="e">
        <f>SUMIFS(#REF!,#REF!,
 $A175,#REF!,
 "&gt;="&amp;INT($Y$1),#REF!,
 "&lt;="&amp;INT($Z$1)
)</f>
        <v>#REF!</v>
      </c>
      <c r="X175" s="1" t="e">
        <f t="shared" si="72"/>
        <v>#REF!</v>
      </c>
      <c r="Y175" s="9" t="e">
        <f t="shared" si="73"/>
        <v>#REF!</v>
      </c>
      <c r="Z175" s="10" t="e">
        <f t="shared" si="74"/>
        <v>#REF!</v>
      </c>
      <c r="AA175" s="1" t="e">
        <f>SUMIFS(#REF!,#REF!,
 $A175,#REF!,
 "&gt;="&amp;INT($AC$1),#REF!,
 "&lt;="&amp;INT($AD$1)
)</f>
        <v>#REF!</v>
      </c>
      <c r="AB175" s="1" t="e">
        <f t="shared" si="75"/>
        <v>#REF!</v>
      </c>
      <c r="AC175" s="9" t="e">
        <f t="shared" si="76"/>
        <v>#REF!</v>
      </c>
      <c r="AD175" s="10" t="e">
        <f t="shared" si="77"/>
        <v>#REF!</v>
      </c>
      <c r="AE175" s="1" t="e">
        <f>SUMIFS(#REF!,#REF!,
 $A175,#REF!,
 "&gt;="&amp;INT($AG$1),#REF!,
 "&lt;="&amp;INT($AH$1)
)</f>
        <v>#REF!</v>
      </c>
      <c r="AF175" s="1" t="e">
        <f t="shared" si="78"/>
        <v>#REF!</v>
      </c>
      <c r="AG175" s="9" t="e">
        <f t="shared" si="79"/>
        <v>#REF!</v>
      </c>
      <c r="AH175" s="10" t="e">
        <f t="shared" si="80"/>
        <v>#REF!</v>
      </c>
      <c r="AI175" s="1" t="e">
        <f>SUMIFS(#REF!,#REF!,
 $A175,#REF!,
 "&gt;="&amp;INT($AK$1),#REF!,
 "&lt;="&amp;INT($AL$1)
)</f>
        <v>#REF!</v>
      </c>
      <c r="AJ175" s="1" t="e">
        <f t="shared" si="81"/>
        <v>#REF!</v>
      </c>
      <c r="AK175" s="9" t="e">
        <f t="shared" si="82"/>
        <v>#REF!</v>
      </c>
      <c r="AL175" s="10" t="e">
        <f t="shared" si="83"/>
        <v>#REF!</v>
      </c>
      <c r="AM175" s="1" t="e">
        <f>SUMIFS(#REF!,#REF!,
 $A175,#REF!,
 "&gt;="&amp;INT($AO$1),#REF!,
 "&lt;="&amp;INT($AP$1)
)</f>
        <v>#REF!</v>
      </c>
      <c r="AN175" s="1" t="e">
        <f t="shared" si="84"/>
        <v>#REF!</v>
      </c>
      <c r="AO175" s="9" t="e">
        <f t="shared" si="85"/>
        <v>#REF!</v>
      </c>
      <c r="AP175" s="10" t="e">
        <f t="shared" si="86"/>
        <v>#REF!</v>
      </c>
      <c r="AQ175" s="1" t="e">
        <f>SUMIFS(#REF!,#REF!,
 $A175,#REF!,
 "&gt;="&amp;INT($AS$1),#REF!,
 "&lt;="&amp;INT($AT$1)
)</f>
        <v>#REF!</v>
      </c>
      <c r="AR175" s="1" t="e">
        <f t="shared" si="87"/>
        <v>#REF!</v>
      </c>
      <c r="AS175" s="9" t="e">
        <f t="shared" si="88"/>
        <v>#REF!</v>
      </c>
      <c r="AT175" s="10" t="e">
        <f t="shared" si="89"/>
        <v>#REF!</v>
      </c>
      <c r="AU175" s="1" t="e">
        <f>SUMIFS(#REF!,#REF!,
 $A175,#REF!,
 "&gt;="&amp;INT($AW$1),#REF!,
 "&lt;="&amp;INT($AX$1)
)</f>
        <v>#REF!</v>
      </c>
      <c r="AV175" s="1" t="e">
        <f t="shared" si="90"/>
        <v>#REF!</v>
      </c>
      <c r="AW175" s="9" t="e">
        <f t="shared" si="91"/>
        <v>#REF!</v>
      </c>
      <c r="AX175" s="10" t="e">
        <f t="shared" si="92"/>
        <v>#REF!</v>
      </c>
    </row>
    <row r="176" spans="1:50" x14ac:dyDescent="0.25">
      <c r="A176" s="5">
        <v>229004</v>
      </c>
      <c r="B176" s="6" t="s">
        <v>173</v>
      </c>
      <c r="C176" s="1" t="e">
        <f>SUMIFS(#REF!,#REF!,
 $A176,#REF!,
 "&gt;="&amp;INT($E$1),#REF!,
 "&lt;"&amp;INT($F$1+1)
)</f>
        <v>#REF!</v>
      </c>
      <c r="D176" s="1" t="str">
        <f>""</f>
        <v/>
      </c>
      <c r="F176" s="2"/>
      <c r="G176" s="1" t="e">
        <f>SUMIFS(#REF!,#REF!,
 $A176,#REF!,
 "&gt;="&amp;INT($I$1),#REF!,
 "&lt;"&amp;INT($J$1+1)
)</f>
        <v>#REF!</v>
      </c>
      <c r="H176" s="1" t="e">
        <f t="shared" si="62"/>
        <v>#REF!</v>
      </c>
      <c r="I176" s="1"/>
      <c r="J176" s="2"/>
      <c r="K176" s="1" t="e">
        <f>SUMIFS(#REF!,#REF!,
 $A176,#REF!,
 "&gt;="&amp;INT($M$1),#REF!,
 "&lt;"&amp;INT($N$1+1)
)</f>
        <v>#REF!</v>
      </c>
      <c r="L176" s="1" t="e">
        <f t="shared" si="63"/>
        <v>#REF!</v>
      </c>
      <c r="M176" s="9" t="e">
        <f t="shared" si="64"/>
        <v>#REF!</v>
      </c>
      <c r="N176" s="10" t="e">
        <f t="shared" si="65"/>
        <v>#REF!</v>
      </c>
      <c r="O176" s="1" t="e">
        <f>SUMIFS(#REF!,#REF!,
 $A176,#REF!,
 "&gt;="&amp;INT($Q$1),#REF!,
 "&lt;="&amp;INT($R$1)
)</f>
        <v>#REF!</v>
      </c>
      <c r="P176" s="1" t="e">
        <f t="shared" si="66"/>
        <v>#REF!</v>
      </c>
      <c r="Q176" s="9" t="e">
        <f t="shared" si="67"/>
        <v>#REF!</v>
      </c>
      <c r="R176" s="10" t="e">
        <f t="shared" si="68"/>
        <v>#REF!</v>
      </c>
      <c r="S176" s="1" t="e">
        <f>SUMIFS(#REF!,#REF!,
 $A176,#REF!,
 "&gt;="&amp;INT($U$1),#REF!,
 "&lt;="&amp;INT($V$1)
)</f>
        <v>#REF!</v>
      </c>
      <c r="T176" s="1" t="e">
        <f t="shared" si="69"/>
        <v>#REF!</v>
      </c>
      <c r="U176" s="9" t="e">
        <f t="shared" si="70"/>
        <v>#REF!</v>
      </c>
      <c r="V176" s="10" t="e">
        <f t="shared" si="71"/>
        <v>#REF!</v>
      </c>
      <c r="W176" s="1" t="e">
        <f>SUMIFS(#REF!,#REF!,
 $A176,#REF!,
 "&gt;="&amp;INT($Y$1),#REF!,
 "&lt;="&amp;INT($Z$1)
)</f>
        <v>#REF!</v>
      </c>
      <c r="X176" s="1" t="e">
        <f t="shared" si="72"/>
        <v>#REF!</v>
      </c>
      <c r="Y176" s="9" t="e">
        <f t="shared" si="73"/>
        <v>#REF!</v>
      </c>
      <c r="Z176" s="10" t="e">
        <f t="shared" si="74"/>
        <v>#REF!</v>
      </c>
      <c r="AA176" s="1" t="e">
        <f>SUMIFS(#REF!,#REF!,
 $A176,#REF!,
 "&gt;="&amp;INT($AC$1),#REF!,
 "&lt;="&amp;INT($AD$1)
)</f>
        <v>#REF!</v>
      </c>
      <c r="AB176" s="1" t="e">
        <f t="shared" si="75"/>
        <v>#REF!</v>
      </c>
      <c r="AC176" s="9" t="e">
        <f t="shared" si="76"/>
        <v>#REF!</v>
      </c>
      <c r="AD176" s="10" t="e">
        <f t="shared" si="77"/>
        <v>#REF!</v>
      </c>
      <c r="AE176" s="1" t="e">
        <f>SUMIFS(#REF!,#REF!,
 $A176,#REF!,
 "&gt;="&amp;INT($AG$1),#REF!,
 "&lt;="&amp;INT($AH$1)
)</f>
        <v>#REF!</v>
      </c>
      <c r="AF176" s="1" t="e">
        <f t="shared" si="78"/>
        <v>#REF!</v>
      </c>
      <c r="AG176" s="9" t="e">
        <f t="shared" si="79"/>
        <v>#REF!</v>
      </c>
      <c r="AH176" s="10" t="e">
        <f t="shared" si="80"/>
        <v>#REF!</v>
      </c>
      <c r="AI176" s="1" t="e">
        <f>SUMIFS(#REF!,#REF!,
 $A176,#REF!,
 "&gt;="&amp;INT($AK$1),#REF!,
 "&lt;="&amp;INT($AL$1)
)</f>
        <v>#REF!</v>
      </c>
      <c r="AJ176" s="1" t="e">
        <f t="shared" si="81"/>
        <v>#REF!</v>
      </c>
      <c r="AK176" s="9" t="e">
        <f t="shared" si="82"/>
        <v>#REF!</v>
      </c>
      <c r="AL176" s="10" t="e">
        <f t="shared" si="83"/>
        <v>#REF!</v>
      </c>
      <c r="AM176" s="1" t="e">
        <f>SUMIFS(#REF!,#REF!,
 $A176,#REF!,
 "&gt;="&amp;INT($AO$1),#REF!,
 "&lt;="&amp;INT($AP$1)
)</f>
        <v>#REF!</v>
      </c>
      <c r="AN176" s="1" t="e">
        <f t="shared" si="84"/>
        <v>#REF!</v>
      </c>
      <c r="AO176" s="9" t="e">
        <f t="shared" si="85"/>
        <v>#REF!</v>
      </c>
      <c r="AP176" s="10" t="e">
        <f t="shared" si="86"/>
        <v>#REF!</v>
      </c>
      <c r="AQ176" s="1" t="e">
        <f>SUMIFS(#REF!,#REF!,
 $A176,#REF!,
 "&gt;="&amp;INT($AS$1),#REF!,
 "&lt;="&amp;INT($AT$1)
)</f>
        <v>#REF!</v>
      </c>
      <c r="AR176" s="1" t="e">
        <f t="shared" si="87"/>
        <v>#REF!</v>
      </c>
      <c r="AS176" s="9" t="e">
        <f t="shared" si="88"/>
        <v>#REF!</v>
      </c>
      <c r="AT176" s="10" t="e">
        <f t="shared" si="89"/>
        <v>#REF!</v>
      </c>
      <c r="AU176" s="1" t="e">
        <f>SUMIFS(#REF!,#REF!,
 $A176,#REF!,
 "&gt;="&amp;INT($AW$1),#REF!,
 "&lt;="&amp;INT($AX$1)
)</f>
        <v>#REF!</v>
      </c>
      <c r="AV176" s="1" t="e">
        <f t="shared" si="90"/>
        <v>#REF!</v>
      </c>
      <c r="AW176" s="9" t="e">
        <f t="shared" si="91"/>
        <v>#REF!</v>
      </c>
      <c r="AX176" s="10" t="e">
        <f t="shared" si="92"/>
        <v>#REF!</v>
      </c>
    </row>
    <row r="177" spans="1:50" x14ac:dyDescent="0.25">
      <c r="A177" s="5">
        <v>231001</v>
      </c>
      <c r="B177" s="6" t="s">
        <v>174</v>
      </c>
      <c r="C177" s="1" t="e">
        <f>SUMIFS(#REF!,#REF!,
 $A177,#REF!,
 "&gt;="&amp;INT($E$1),#REF!,
 "&lt;"&amp;INT($F$1+1)
)</f>
        <v>#REF!</v>
      </c>
      <c r="D177" s="1" t="str">
        <f>""</f>
        <v/>
      </c>
      <c r="F177" s="2"/>
      <c r="G177" s="1" t="e">
        <f>SUMIFS(#REF!,#REF!,
 $A177,#REF!,
 "&gt;="&amp;INT($I$1),#REF!,
 "&lt;"&amp;INT($J$1+1)
)</f>
        <v>#REF!</v>
      </c>
      <c r="H177" s="1" t="e">
        <f t="shared" si="62"/>
        <v>#REF!</v>
      </c>
      <c r="I177" s="1"/>
      <c r="J177" s="2"/>
      <c r="K177" s="1" t="e">
        <f>SUMIFS(#REF!,#REF!,
 $A177,#REF!,
 "&gt;="&amp;INT($M$1),#REF!,
 "&lt;"&amp;INT($N$1+1)
)</f>
        <v>#REF!</v>
      </c>
      <c r="L177" s="1" t="e">
        <f t="shared" si="63"/>
        <v>#REF!</v>
      </c>
      <c r="M177" s="9" t="e">
        <f t="shared" si="64"/>
        <v>#REF!</v>
      </c>
      <c r="N177" s="10" t="e">
        <f t="shared" si="65"/>
        <v>#REF!</v>
      </c>
      <c r="O177" s="1" t="e">
        <f>SUMIFS(#REF!,#REF!,
 $A177,#REF!,
 "&gt;="&amp;INT($Q$1),#REF!,
 "&lt;="&amp;INT($R$1)
)</f>
        <v>#REF!</v>
      </c>
      <c r="P177" s="1" t="e">
        <f t="shared" si="66"/>
        <v>#REF!</v>
      </c>
      <c r="Q177" s="9" t="e">
        <f t="shared" si="67"/>
        <v>#REF!</v>
      </c>
      <c r="R177" s="10" t="e">
        <f t="shared" si="68"/>
        <v>#REF!</v>
      </c>
      <c r="S177" s="1" t="e">
        <f>SUMIFS(#REF!,#REF!,
 $A177,#REF!,
 "&gt;="&amp;INT($U$1),#REF!,
 "&lt;="&amp;INT($V$1)
)</f>
        <v>#REF!</v>
      </c>
      <c r="T177" s="1" t="e">
        <f t="shared" si="69"/>
        <v>#REF!</v>
      </c>
      <c r="U177" s="9" t="e">
        <f t="shared" si="70"/>
        <v>#REF!</v>
      </c>
      <c r="V177" s="10" t="e">
        <f t="shared" si="71"/>
        <v>#REF!</v>
      </c>
      <c r="W177" s="1" t="e">
        <f>SUMIFS(#REF!,#REF!,
 $A177,#REF!,
 "&gt;="&amp;INT($Y$1),#REF!,
 "&lt;="&amp;INT($Z$1)
)</f>
        <v>#REF!</v>
      </c>
      <c r="X177" s="1" t="e">
        <f t="shared" si="72"/>
        <v>#REF!</v>
      </c>
      <c r="Y177" s="9" t="e">
        <f t="shared" si="73"/>
        <v>#REF!</v>
      </c>
      <c r="Z177" s="10" t="e">
        <f t="shared" si="74"/>
        <v>#REF!</v>
      </c>
      <c r="AA177" s="1" t="e">
        <f>SUMIFS(#REF!,#REF!,
 $A177,#REF!,
 "&gt;="&amp;INT($AC$1),#REF!,
 "&lt;="&amp;INT($AD$1)
)</f>
        <v>#REF!</v>
      </c>
      <c r="AB177" s="1" t="e">
        <f t="shared" si="75"/>
        <v>#REF!</v>
      </c>
      <c r="AC177" s="9" t="e">
        <f t="shared" si="76"/>
        <v>#REF!</v>
      </c>
      <c r="AD177" s="10" t="e">
        <f t="shared" si="77"/>
        <v>#REF!</v>
      </c>
      <c r="AE177" s="1" t="e">
        <f>SUMIFS(#REF!,#REF!,
 $A177,#REF!,
 "&gt;="&amp;INT($AG$1),#REF!,
 "&lt;="&amp;INT($AH$1)
)</f>
        <v>#REF!</v>
      </c>
      <c r="AF177" s="1" t="e">
        <f t="shared" si="78"/>
        <v>#REF!</v>
      </c>
      <c r="AG177" s="9" t="e">
        <f t="shared" si="79"/>
        <v>#REF!</v>
      </c>
      <c r="AH177" s="10" t="e">
        <f t="shared" si="80"/>
        <v>#REF!</v>
      </c>
      <c r="AI177" s="1" t="e">
        <f>SUMIFS(#REF!,#REF!,
 $A177,#REF!,
 "&gt;="&amp;INT($AK$1),#REF!,
 "&lt;="&amp;INT($AL$1)
)</f>
        <v>#REF!</v>
      </c>
      <c r="AJ177" s="1" t="e">
        <f t="shared" si="81"/>
        <v>#REF!</v>
      </c>
      <c r="AK177" s="9" t="e">
        <f t="shared" si="82"/>
        <v>#REF!</v>
      </c>
      <c r="AL177" s="10" t="e">
        <f t="shared" si="83"/>
        <v>#REF!</v>
      </c>
      <c r="AM177" s="1" t="e">
        <f>SUMIFS(#REF!,#REF!,
 $A177,#REF!,
 "&gt;="&amp;INT($AO$1),#REF!,
 "&lt;="&amp;INT($AP$1)
)</f>
        <v>#REF!</v>
      </c>
      <c r="AN177" s="1" t="e">
        <f t="shared" si="84"/>
        <v>#REF!</v>
      </c>
      <c r="AO177" s="9" t="e">
        <f t="shared" si="85"/>
        <v>#REF!</v>
      </c>
      <c r="AP177" s="10" t="e">
        <f t="shared" si="86"/>
        <v>#REF!</v>
      </c>
      <c r="AQ177" s="1" t="e">
        <f>SUMIFS(#REF!,#REF!,
 $A177,#REF!,
 "&gt;="&amp;INT($AS$1),#REF!,
 "&lt;="&amp;INT($AT$1)
)</f>
        <v>#REF!</v>
      </c>
      <c r="AR177" s="1" t="e">
        <f t="shared" si="87"/>
        <v>#REF!</v>
      </c>
      <c r="AS177" s="9" t="e">
        <f t="shared" si="88"/>
        <v>#REF!</v>
      </c>
      <c r="AT177" s="10" t="e">
        <f t="shared" si="89"/>
        <v>#REF!</v>
      </c>
      <c r="AU177" s="1" t="e">
        <f>SUMIFS(#REF!,#REF!,
 $A177,#REF!,
 "&gt;="&amp;INT($AW$1),#REF!,
 "&lt;="&amp;INT($AX$1)
)</f>
        <v>#REF!</v>
      </c>
      <c r="AV177" s="1" t="e">
        <f t="shared" si="90"/>
        <v>#REF!</v>
      </c>
      <c r="AW177" s="9" t="e">
        <f t="shared" si="91"/>
        <v>#REF!</v>
      </c>
      <c r="AX177" s="10" t="e">
        <f t="shared" si="92"/>
        <v>#REF!</v>
      </c>
    </row>
    <row r="178" spans="1:50" x14ac:dyDescent="0.25">
      <c r="A178" s="5">
        <v>231002</v>
      </c>
      <c r="B178" s="6" t="s">
        <v>175</v>
      </c>
      <c r="C178" s="1" t="e">
        <f>SUMIFS(#REF!,#REF!,
 $A178,#REF!,
 "&gt;="&amp;INT($E$1),#REF!,
 "&lt;"&amp;INT($F$1+1)
)</f>
        <v>#REF!</v>
      </c>
      <c r="D178" s="1" t="str">
        <f>""</f>
        <v/>
      </c>
      <c r="F178" s="2"/>
      <c r="G178" s="1" t="e">
        <f>SUMIFS(#REF!,#REF!,
 $A178,#REF!,
 "&gt;="&amp;INT($I$1),#REF!,
 "&lt;"&amp;INT($J$1+1)
)</f>
        <v>#REF!</v>
      </c>
      <c r="H178" s="1" t="e">
        <f t="shared" si="62"/>
        <v>#REF!</v>
      </c>
      <c r="I178" s="1"/>
      <c r="J178" s="2"/>
      <c r="K178" s="1" t="e">
        <f>SUMIFS(#REF!,#REF!,
 $A178,#REF!,
 "&gt;="&amp;INT($M$1),#REF!,
 "&lt;"&amp;INT($N$1+1)
)</f>
        <v>#REF!</v>
      </c>
      <c r="L178" s="1" t="e">
        <f t="shared" si="63"/>
        <v>#REF!</v>
      </c>
      <c r="M178" s="9" t="e">
        <f t="shared" si="64"/>
        <v>#REF!</v>
      </c>
      <c r="N178" s="10" t="e">
        <f t="shared" si="65"/>
        <v>#REF!</v>
      </c>
      <c r="O178" s="1" t="e">
        <f>SUMIFS(#REF!,#REF!,
 $A178,#REF!,
 "&gt;="&amp;INT($Q$1),#REF!,
 "&lt;="&amp;INT($R$1)
)</f>
        <v>#REF!</v>
      </c>
      <c r="P178" s="1" t="e">
        <f t="shared" si="66"/>
        <v>#REF!</v>
      </c>
      <c r="Q178" s="9" t="e">
        <f t="shared" si="67"/>
        <v>#REF!</v>
      </c>
      <c r="R178" s="10" t="e">
        <f t="shared" si="68"/>
        <v>#REF!</v>
      </c>
      <c r="S178" s="1" t="e">
        <f>SUMIFS(#REF!,#REF!,
 $A178,#REF!,
 "&gt;="&amp;INT($U$1),#REF!,
 "&lt;="&amp;INT($V$1)
)</f>
        <v>#REF!</v>
      </c>
      <c r="T178" s="1" t="e">
        <f t="shared" si="69"/>
        <v>#REF!</v>
      </c>
      <c r="U178" s="9" t="e">
        <f t="shared" si="70"/>
        <v>#REF!</v>
      </c>
      <c r="V178" s="10" t="e">
        <f t="shared" si="71"/>
        <v>#REF!</v>
      </c>
      <c r="W178" s="1" t="e">
        <f>SUMIFS(#REF!,#REF!,
 $A178,#REF!,
 "&gt;="&amp;INT($Y$1),#REF!,
 "&lt;="&amp;INT($Z$1)
)</f>
        <v>#REF!</v>
      </c>
      <c r="X178" s="1" t="e">
        <f t="shared" si="72"/>
        <v>#REF!</v>
      </c>
      <c r="Y178" s="9" t="e">
        <f t="shared" si="73"/>
        <v>#REF!</v>
      </c>
      <c r="Z178" s="10" t="e">
        <f t="shared" si="74"/>
        <v>#REF!</v>
      </c>
      <c r="AA178" s="1" t="e">
        <f>SUMIFS(#REF!,#REF!,
 $A178,#REF!,
 "&gt;="&amp;INT($AC$1),#REF!,
 "&lt;="&amp;INT($AD$1)
)</f>
        <v>#REF!</v>
      </c>
      <c r="AB178" s="1" t="e">
        <f t="shared" si="75"/>
        <v>#REF!</v>
      </c>
      <c r="AC178" s="9" t="e">
        <f t="shared" si="76"/>
        <v>#REF!</v>
      </c>
      <c r="AD178" s="10" t="e">
        <f t="shared" si="77"/>
        <v>#REF!</v>
      </c>
      <c r="AE178" s="1" t="e">
        <f>SUMIFS(#REF!,#REF!,
 $A178,#REF!,
 "&gt;="&amp;INT($AG$1),#REF!,
 "&lt;="&amp;INT($AH$1)
)</f>
        <v>#REF!</v>
      </c>
      <c r="AF178" s="1" t="e">
        <f t="shared" si="78"/>
        <v>#REF!</v>
      </c>
      <c r="AG178" s="9" t="e">
        <f t="shared" si="79"/>
        <v>#REF!</v>
      </c>
      <c r="AH178" s="10" t="e">
        <f t="shared" si="80"/>
        <v>#REF!</v>
      </c>
      <c r="AI178" s="1" t="e">
        <f>SUMIFS(#REF!,#REF!,
 $A178,#REF!,
 "&gt;="&amp;INT($AK$1),#REF!,
 "&lt;="&amp;INT($AL$1)
)</f>
        <v>#REF!</v>
      </c>
      <c r="AJ178" s="1" t="e">
        <f t="shared" si="81"/>
        <v>#REF!</v>
      </c>
      <c r="AK178" s="9" t="e">
        <f t="shared" si="82"/>
        <v>#REF!</v>
      </c>
      <c r="AL178" s="10" t="e">
        <f t="shared" si="83"/>
        <v>#REF!</v>
      </c>
      <c r="AM178" s="1" t="e">
        <f>SUMIFS(#REF!,#REF!,
 $A178,#REF!,
 "&gt;="&amp;INT($AO$1),#REF!,
 "&lt;="&amp;INT($AP$1)
)</f>
        <v>#REF!</v>
      </c>
      <c r="AN178" s="1" t="e">
        <f t="shared" si="84"/>
        <v>#REF!</v>
      </c>
      <c r="AO178" s="9" t="e">
        <f t="shared" si="85"/>
        <v>#REF!</v>
      </c>
      <c r="AP178" s="10" t="e">
        <f t="shared" si="86"/>
        <v>#REF!</v>
      </c>
      <c r="AQ178" s="1" t="e">
        <f>SUMIFS(#REF!,#REF!,
 $A178,#REF!,
 "&gt;="&amp;INT($AS$1),#REF!,
 "&lt;="&amp;INT($AT$1)
)</f>
        <v>#REF!</v>
      </c>
      <c r="AR178" s="1" t="e">
        <f t="shared" si="87"/>
        <v>#REF!</v>
      </c>
      <c r="AS178" s="9" t="e">
        <f t="shared" si="88"/>
        <v>#REF!</v>
      </c>
      <c r="AT178" s="10" t="e">
        <f t="shared" si="89"/>
        <v>#REF!</v>
      </c>
      <c r="AU178" s="1" t="e">
        <f>SUMIFS(#REF!,#REF!,
 $A178,#REF!,
 "&gt;="&amp;INT($AW$1),#REF!,
 "&lt;="&amp;INT($AX$1)
)</f>
        <v>#REF!</v>
      </c>
      <c r="AV178" s="1" t="e">
        <f t="shared" si="90"/>
        <v>#REF!</v>
      </c>
      <c r="AW178" s="9" t="e">
        <f t="shared" si="91"/>
        <v>#REF!</v>
      </c>
      <c r="AX178" s="10" t="e">
        <f t="shared" si="92"/>
        <v>#REF!</v>
      </c>
    </row>
    <row r="179" spans="1:50" x14ac:dyDescent="0.25">
      <c r="A179" s="5">
        <v>231003</v>
      </c>
      <c r="B179" s="6" t="s">
        <v>176</v>
      </c>
      <c r="C179" s="1" t="e">
        <f>SUMIFS(#REF!,#REF!,
 $A179,#REF!,
 "&gt;="&amp;INT($E$1),#REF!,
 "&lt;"&amp;INT($F$1+1)
)</f>
        <v>#REF!</v>
      </c>
      <c r="D179" s="1" t="str">
        <f>""</f>
        <v/>
      </c>
      <c r="F179" s="2"/>
      <c r="G179" s="1" t="e">
        <f>SUMIFS(#REF!,#REF!,
 $A179,#REF!,
 "&gt;="&amp;INT($I$1),#REF!,
 "&lt;"&amp;INT($J$1+1)
)</f>
        <v>#REF!</v>
      </c>
      <c r="H179" s="1" t="e">
        <f t="shared" si="62"/>
        <v>#REF!</v>
      </c>
      <c r="I179" s="1"/>
      <c r="J179" s="2"/>
      <c r="K179" s="1" t="e">
        <f>SUMIFS(#REF!,#REF!,
 $A179,#REF!,
 "&gt;="&amp;INT($M$1),#REF!,
 "&lt;"&amp;INT($N$1+1)
)</f>
        <v>#REF!</v>
      </c>
      <c r="L179" s="1" t="e">
        <f t="shared" si="63"/>
        <v>#REF!</v>
      </c>
      <c r="M179" s="9" t="e">
        <f t="shared" si="64"/>
        <v>#REF!</v>
      </c>
      <c r="N179" s="10" t="e">
        <f t="shared" si="65"/>
        <v>#REF!</v>
      </c>
      <c r="O179" s="1" t="e">
        <f>SUMIFS(#REF!,#REF!,
 $A179,#REF!,
 "&gt;="&amp;INT($Q$1),#REF!,
 "&lt;="&amp;INT($R$1)
)</f>
        <v>#REF!</v>
      </c>
      <c r="P179" s="1" t="e">
        <f t="shared" si="66"/>
        <v>#REF!</v>
      </c>
      <c r="Q179" s="9" t="e">
        <f t="shared" si="67"/>
        <v>#REF!</v>
      </c>
      <c r="R179" s="10" t="e">
        <f t="shared" si="68"/>
        <v>#REF!</v>
      </c>
      <c r="S179" s="1" t="e">
        <f>SUMIFS(#REF!,#REF!,
 $A179,#REF!,
 "&gt;="&amp;INT($U$1),#REF!,
 "&lt;="&amp;INT($V$1)
)</f>
        <v>#REF!</v>
      </c>
      <c r="T179" s="1" t="e">
        <f t="shared" si="69"/>
        <v>#REF!</v>
      </c>
      <c r="U179" s="9" t="e">
        <f t="shared" si="70"/>
        <v>#REF!</v>
      </c>
      <c r="V179" s="10" t="e">
        <f t="shared" si="71"/>
        <v>#REF!</v>
      </c>
      <c r="W179" s="1" t="e">
        <f>SUMIFS(#REF!,#REF!,
 $A179,#REF!,
 "&gt;="&amp;INT($Y$1),#REF!,
 "&lt;="&amp;INT($Z$1)
)</f>
        <v>#REF!</v>
      </c>
      <c r="X179" s="1" t="e">
        <f t="shared" si="72"/>
        <v>#REF!</v>
      </c>
      <c r="Y179" s="9" t="e">
        <f t="shared" si="73"/>
        <v>#REF!</v>
      </c>
      <c r="Z179" s="10" t="e">
        <f t="shared" si="74"/>
        <v>#REF!</v>
      </c>
      <c r="AA179" s="1" t="e">
        <f>SUMIFS(#REF!,#REF!,
 $A179,#REF!,
 "&gt;="&amp;INT($AC$1),#REF!,
 "&lt;="&amp;INT($AD$1)
)</f>
        <v>#REF!</v>
      </c>
      <c r="AB179" s="1" t="e">
        <f t="shared" si="75"/>
        <v>#REF!</v>
      </c>
      <c r="AC179" s="9" t="e">
        <f t="shared" si="76"/>
        <v>#REF!</v>
      </c>
      <c r="AD179" s="10" t="e">
        <f t="shared" si="77"/>
        <v>#REF!</v>
      </c>
      <c r="AE179" s="1" t="e">
        <f>SUMIFS(#REF!,#REF!,
 $A179,#REF!,
 "&gt;="&amp;INT($AG$1),#REF!,
 "&lt;="&amp;INT($AH$1)
)</f>
        <v>#REF!</v>
      </c>
      <c r="AF179" s="1" t="e">
        <f t="shared" si="78"/>
        <v>#REF!</v>
      </c>
      <c r="AG179" s="9" t="e">
        <f t="shared" si="79"/>
        <v>#REF!</v>
      </c>
      <c r="AH179" s="10" t="e">
        <f t="shared" si="80"/>
        <v>#REF!</v>
      </c>
      <c r="AI179" s="1" t="e">
        <f>SUMIFS(#REF!,#REF!,
 $A179,#REF!,
 "&gt;="&amp;INT($AK$1),#REF!,
 "&lt;="&amp;INT($AL$1)
)</f>
        <v>#REF!</v>
      </c>
      <c r="AJ179" s="1" t="e">
        <f t="shared" si="81"/>
        <v>#REF!</v>
      </c>
      <c r="AK179" s="9" t="e">
        <f t="shared" si="82"/>
        <v>#REF!</v>
      </c>
      <c r="AL179" s="10" t="e">
        <f t="shared" si="83"/>
        <v>#REF!</v>
      </c>
      <c r="AM179" s="1" t="e">
        <f>SUMIFS(#REF!,#REF!,
 $A179,#REF!,
 "&gt;="&amp;INT($AO$1),#REF!,
 "&lt;="&amp;INT($AP$1)
)</f>
        <v>#REF!</v>
      </c>
      <c r="AN179" s="1" t="e">
        <f t="shared" si="84"/>
        <v>#REF!</v>
      </c>
      <c r="AO179" s="9" t="e">
        <f t="shared" si="85"/>
        <v>#REF!</v>
      </c>
      <c r="AP179" s="10" t="e">
        <f t="shared" si="86"/>
        <v>#REF!</v>
      </c>
      <c r="AQ179" s="1" t="e">
        <f>SUMIFS(#REF!,#REF!,
 $A179,#REF!,
 "&gt;="&amp;INT($AS$1),#REF!,
 "&lt;="&amp;INT($AT$1)
)</f>
        <v>#REF!</v>
      </c>
      <c r="AR179" s="1" t="e">
        <f t="shared" si="87"/>
        <v>#REF!</v>
      </c>
      <c r="AS179" s="9" t="e">
        <f t="shared" si="88"/>
        <v>#REF!</v>
      </c>
      <c r="AT179" s="10" t="e">
        <f t="shared" si="89"/>
        <v>#REF!</v>
      </c>
      <c r="AU179" s="1" t="e">
        <f>SUMIFS(#REF!,#REF!,
 $A179,#REF!,
 "&gt;="&amp;INT($AW$1),#REF!,
 "&lt;="&amp;INT($AX$1)
)</f>
        <v>#REF!</v>
      </c>
      <c r="AV179" s="1" t="e">
        <f t="shared" si="90"/>
        <v>#REF!</v>
      </c>
      <c r="AW179" s="9" t="e">
        <f t="shared" si="91"/>
        <v>#REF!</v>
      </c>
      <c r="AX179" s="10" t="e">
        <f t="shared" si="92"/>
        <v>#REF!</v>
      </c>
    </row>
    <row r="180" spans="1:50" x14ac:dyDescent="0.25">
      <c r="A180" s="5">
        <v>231004</v>
      </c>
      <c r="B180" s="6" t="s">
        <v>177</v>
      </c>
      <c r="C180" s="1" t="e">
        <f>SUMIFS(#REF!,#REF!,
 $A180,#REF!,
 "&gt;="&amp;INT($E$1),#REF!,
 "&lt;"&amp;INT($F$1+1)
)</f>
        <v>#REF!</v>
      </c>
      <c r="D180" s="1" t="str">
        <f>""</f>
        <v/>
      </c>
      <c r="F180" s="2"/>
      <c r="G180" s="1" t="e">
        <f>SUMIFS(#REF!,#REF!,
 $A180,#REF!,
 "&gt;="&amp;INT($I$1),#REF!,
 "&lt;"&amp;INT($J$1+1)
)</f>
        <v>#REF!</v>
      </c>
      <c r="H180" s="1" t="e">
        <f t="shared" si="62"/>
        <v>#REF!</v>
      </c>
      <c r="I180" s="1"/>
      <c r="J180" s="2"/>
      <c r="K180" s="1" t="e">
        <f>SUMIFS(#REF!,#REF!,
 $A180,#REF!,
 "&gt;="&amp;INT($M$1),#REF!,
 "&lt;"&amp;INT($N$1+1)
)</f>
        <v>#REF!</v>
      </c>
      <c r="L180" s="1" t="e">
        <f t="shared" si="63"/>
        <v>#REF!</v>
      </c>
      <c r="M180" s="9" t="e">
        <f t="shared" si="64"/>
        <v>#REF!</v>
      </c>
      <c r="N180" s="10" t="e">
        <f t="shared" si="65"/>
        <v>#REF!</v>
      </c>
      <c r="O180" s="1" t="e">
        <f>SUMIFS(#REF!,#REF!,
 $A180,#REF!,
 "&gt;="&amp;INT($Q$1),#REF!,
 "&lt;="&amp;INT($R$1)
)</f>
        <v>#REF!</v>
      </c>
      <c r="P180" s="1" t="e">
        <f t="shared" si="66"/>
        <v>#REF!</v>
      </c>
      <c r="Q180" s="9" t="e">
        <f t="shared" si="67"/>
        <v>#REF!</v>
      </c>
      <c r="R180" s="10" t="e">
        <f t="shared" si="68"/>
        <v>#REF!</v>
      </c>
      <c r="S180" s="1" t="e">
        <f>SUMIFS(#REF!,#REF!,
 $A180,#REF!,
 "&gt;="&amp;INT($U$1),#REF!,
 "&lt;="&amp;INT($V$1)
)</f>
        <v>#REF!</v>
      </c>
      <c r="T180" s="1" t="e">
        <f t="shared" si="69"/>
        <v>#REF!</v>
      </c>
      <c r="U180" s="9" t="e">
        <f t="shared" si="70"/>
        <v>#REF!</v>
      </c>
      <c r="V180" s="10" t="e">
        <f t="shared" si="71"/>
        <v>#REF!</v>
      </c>
      <c r="W180" s="1" t="e">
        <f>SUMIFS(#REF!,#REF!,
 $A180,#REF!,
 "&gt;="&amp;INT($Y$1),#REF!,
 "&lt;="&amp;INT($Z$1)
)</f>
        <v>#REF!</v>
      </c>
      <c r="X180" s="1" t="e">
        <f t="shared" si="72"/>
        <v>#REF!</v>
      </c>
      <c r="Y180" s="9" t="e">
        <f t="shared" si="73"/>
        <v>#REF!</v>
      </c>
      <c r="Z180" s="10" t="e">
        <f t="shared" si="74"/>
        <v>#REF!</v>
      </c>
      <c r="AA180" s="1" t="e">
        <f>SUMIFS(#REF!,#REF!,
 $A180,#REF!,
 "&gt;="&amp;INT($AC$1),#REF!,
 "&lt;="&amp;INT($AD$1)
)</f>
        <v>#REF!</v>
      </c>
      <c r="AB180" s="1" t="e">
        <f t="shared" si="75"/>
        <v>#REF!</v>
      </c>
      <c r="AC180" s="9" t="e">
        <f t="shared" si="76"/>
        <v>#REF!</v>
      </c>
      <c r="AD180" s="10" t="e">
        <f t="shared" si="77"/>
        <v>#REF!</v>
      </c>
      <c r="AE180" s="1" t="e">
        <f>SUMIFS(#REF!,#REF!,
 $A180,#REF!,
 "&gt;="&amp;INT($AG$1),#REF!,
 "&lt;="&amp;INT($AH$1)
)</f>
        <v>#REF!</v>
      </c>
      <c r="AF180" s="1" t="e">
        <f t="shared" si="78"/>
        <v>#REF!</v>
      </c>
      <c r="AG180" s="9" t="e">
        <f t="shared" si="79"/>
        <v>#REF!</v>
      </c>
      <c r="AH180" s="10" t="e">
        <f t="shared" si="80"/>
        <v>#REF!</v>
      </c>
      <c r="AI180" s="1" t="e">
        <f>SUMIFS(#REF!,#REF!,
 $A180,#REF!,
 "&gt;="&amp;INT($AK$1),#REF!,
 "&lt;="&amp;INT($AL$1)
)</f>
        <v>#REF!</v>
      </c>
      <c r="AJ180" s="1" t="e">
        <f t="shared" si="81"/>
        <v>#REF!</v>
      </c>
      <c r="AK180" s="9" t="e">
        <f t="shared" si="82"/>
        <v>#REF!</v>
      </c>
      <c r="AL180" s="10" t="e">
        <f t="shared" si="83"/>
        <v>#REF!</v>
      </c>
      <c r="AM180" s="1" t="e">
        <f>SUMIFS(#REF!,#REF!,
 $A180,#REF!,
 "&gt;="&amp;INT($AO$1),#REF!,
 "&lt;="&amp;INT($AP$1)
)</f>
        <v>#REF!</v>
      </c>
      <c r="AN180" s="1" t="e">
        <f t="shared" si="84"/>
        <v>#REF!</v>
      </c>
      <c r="AO180" s="9" t="e">
        <f t="shared" si="85"/>
        <v>#REF!</v>
      </c>
      <c r="AP180" s="10" t="e">
        <f t="shared" si="86"/>
        <v>#REF!</v>
      </c>
      <c r="AQ180" s="1" t="e">
        <f>SUMIFS(#REF!,#REF!,
 $A180,#REF!,
 "&gt;="&amp;INT($AS$1),#REF!,
 "&lt;="&amp;INT($AT$1)
)</f>
        <v>#REF!</v>
      </c>
      <c r="AR180" s="1" t="e">
        <f t="shared" si="87"/>
        <v>#REF!</v>
      </c>
      <c r="AS180" s="9" t="e">
        <f t="shared" si="88"/>
        <v>#REF!</v>
      </c>
      <c r="AT180" s="10" t="e">
        <f t="shared" si="89"/>
        <v>#REF!</v>
      </c>
      <c r="AU180" s="1" t="e">
        <f>SUMIFS(#REF!,#REF!,
 $A180,#REF!,
 "&gt;="&amp;INT($AW$1),#REF!,
 "&lt;="&amp;INT($AX$1)
)</f>
        <v>#REF!</v>
      </c>
      <c r="AV180" s="1" t="e">
        <f t="shared" si="90"/>
        <v>#REF!</v>
      </c>
      <c r="AW180" s="9" t="e">
        <f t="shared" si="91"/>
        <v>#REF!</v>
      </c>
      <c r="AX180" s="10" t="e">
        <f t="shared" si="92"/>
        <v>#REF!</v>
      </c>
    </row>
    <row r="181" spans="1:50" x14ac:dyDescent="0.25">
      <c r="A181" s="5">
        <v>231005</v>
      </c>
      <c r="B181" s="6" t="s">
        <v>178</v>
      </c>
      <c r="C181" s="1" t="e">
        <f>SUMIFS(#REF!,#REF!,
 $A181,#REF!,
 "&gt;="&amp;INT($E$1),#REF!,
 "&lt;"&amp;INT($F$1+1)
)</f>
        <v>#REF!</v>
      </c>
      <c r="D181" s="1" t="str">
        <f>""</f>
        <v/>
      </c>
      <c r="F181" s="2"/>
      <c r="G181" s="1" t="e">
        <f>SUMIFS(#REF!,#REF!,
 $A181,#REF!,
 "&gt;="&amp;INT($I$1),#REF!,
 "&lt;"&amp;INT($J$1+1)
)</f>
        <v>#REF!</v>
      </c>
      <c r="H181" s="1" t="e">
        <f t="shared" si="62"/>
        <v>#REF!</v>
      </c>
      <c r="I181" s="1"/>
      <c r="J181" s="2"/>
      <c r="K181" s="1" t="e">
        <f>SUMIFS(#REF!,#REF!,
 $A181,#REF!,
 "&gt;="&amp;INT($M$1),#REF!,
 "&lt;"&amp;INT($N$1+1)
)</f>
        <v>#REF!</v>
      </c>
      <c r="L181" s="1" t="e">
        <f t="shared" si="63"/>
        <v>#REF!</v>
      </c>
      <c r="M181" s="9" t="e">
        <f t="shared" si="64"/>
        <v>#REF!</v>
      </c>
      <c r="N181" s="10" t="e">
        <f t="shared" si="65"/>
        <v>#REF!</v>
      </c>
      <c r="O181" s="1" t="e">
        <f>SUMIFS(#REF!,#REF!,
 $A181,#REF!,
 "&gt;="&amp;INT($Q$1),#REF!,
 "&lt;="&amp;INT($R$1)
)</f>
        <v>#REF!</v>
      </c>
      <c r="P181" s="1" t="e">
        <f t="shared" si="66"/>
        <v>#REF!</v>
      </c>
      <c r="Q181" s="9" t="e">
        <f t="shared" si="67"/>
        <v>#REF!</v>
      </c>
      <c r="R181" s="10" t="e">
        <f t="shared" si="68"/>
        <v>#REF!</v>
      </c>
      <c r="S181" s="1" t="e">
        <f>SUMIFS(#REF!,#REF!,
 $A181,#REF!,
 "&gt;="&amp;INT($U$1),#REF!,
 "&lt;="&amp;INT($V$1)
)</f>
        <v>#REF!</v>
      </c>
      <c r="T181" s="1" t="e">
        <f t="shared" si="69"/>
        <v>#REF!</v>
      </c>
      <c r="U181" s="9" t="e">
        <f t="shared" si="70"/>
        <v>#REF!</v>
      </c>
      <c r="V181" s="10" t="e">
        <f t="shared" si="71"/>
        <v>#REF!</v>
      </c>
      <c r="W181" s="1" t="e">
        <f>SUMIFS(#REF!,#REF!,
 $A181,#REF!,
 "&gt;="&amp;INT($Y$1),#REF!,
 "&lt;="&amp;INT($Z$1)
)</f>
        <v>#REF!</v>
      </c>
      <c r="X181" s="1" t="e">
        <f t="shared" si="72"/>
        <v>#REF!</v>
      </c>
      <c r="Y181" s="9" t="e">
        <f t="shared" si="73"/>
        <v>#REF!</v>
      </c>
      <c r="Z181" s="10" t="e">
        <f t="shared" si="74"/>
        <v>#REF!</v>
      </c>
      <c r="AA181" s="1" t="e">
        <f>SUMIFS(#REF!,#REF!,
 $A181,#REF!,
 "&gt;="&amp;INT($AC$1),#REF!,
 "&lt;="&amp;INT($AD$1)
)</f>
        <v>#REF!</v>
      </c>
      <c r="AB181" s="1" t="e">
        <f t="shared" si="75"/>
        <v>#REF!</v>
      </c>
      <c r="AC181" s="9" t="e">
        <f t="shared" si="76"/>
        <v>#REF!</v>
      </c>
      <c r="AD181" s="10" t="e">
        <f t="shared" si="77"/>
        <v>#REF!</v>
      </c>
      <c r="AE181" s="1" t="e">
        <f>SUMIFS(#REF!,#REF!,
 $A181,#REF!,
 "&gt;="&amp;INT($AG$1),#REF!,
 "&lt;="&amp;INT($AH$1)
)</f>
        <v>#REF!</v>
      </c>
      <c r="AF181" s="1" t="e">
        <f t="shared" si="78"/>
        <v>#REF!</v>
      </c>
      <c r="AG181" s="9" t="e">
        <f t="shared" si="79"/>
        <v>#REF!</v>
      </c>
      <c r="AH181" s="10" t="e">
        <f t="shared" si="80"/>
        <v>#REF!</v>
      </c>
      <c r="AI181" s="1" t="e">
        <f>SUMIFS(#REF!,#REF!,
 $A181,#REF!,
 "&gt;="&amp;INT($AK$1),#REF!,
 "&lt;="&amp;INT($AL$1)
)</f>
        <v>#REF!</v>
      </c>
      <c r="AJ181" s="1" t="e">
        <f t="shared" si="81"/>
        <v>#REF!</v>
      </c>
      <c r="AK181" s="9" t="e">
        <f t="shared" si="82"/>
        <v>#REF!</v>
      </c>
      <c r="AL181" s="10" t="e">
        <f t="shared" si="83"/>
        <v>#REF!</v>
      </c>
      <c r="AM181" s="1" t="e">
        <f>SUMIFS(#REF!,#REF!,
 $A181,#REF!,
 "&gt;="&amp;INT($AO$1),#REF!,
 "&lt;="&amp;INT($AP$1)
)</f>
        <v>#REF!</v>
      </c>
      <c r="AN181" s="1" t="e">
        <f t="shared" si="84"/>
        <v>#REF!</v>
      </c>
      <c r="AO181" s="9" t="e">
        <f t="shared" si="85"/>
        <v>#REF!</v>
      </c>
      <c r="AP181" s="10" t="e">
        <f t="shared" si="86"/>
        <v>#REF!</v>
      </c>
      <c r="AQ181" s="1" t="e">
        <f>SUMIFS(#REF!,#REF!,
 $A181,#REF!,
 "&gt;="&amp;INT($AS$1),#REF!,
 "&lt;="&amp;INT($AT$1)
)</f>
        <v>#REF!</v>
      </c>
      <c r="AR181" s="1" t="e">
        <f t="shared" si="87"/>
        <v>#REF!</v>
      </c>
      <c r="AS181" s="9" t="e">
        <f t="shared" si="88"/>
        <v>#REF!</v>
      </c>
      <c r="AT181" s="10" t="e">
        <f t="shared" si="89"/>
        <v>#REF!</v>
      </c>
      <c r="AU181" s="1" t="e">
        <f>SUMIFS(#REF!,#REF!,
 $A181,#REF!,
 "&gt;="&amp;INT($AW$1),#REF!,
 "&lt;="&amp;INT($AX$1)
)</f>
        <v>#REF!</v>
      </c>
      <c r="AV181" s="1" t="e">
        <f t="shared" si="90"/>
        <v>#REF!</v>
      </c>
      <c r="AW181" s="9" t="e">
        <f t="shared" si="91"/>
        <v>#REF!</v>
      </c>
      <c r="AX181" s="10" t="e">
        <f t="shared" si="92"/>
        <v>#REF!</v>
      </c>
    </row>
    <row r="182" spans="1:50" x14ac:dyDescent="0.25">
      <c r="A182" s="5">
        <v>231006</v>
      </c>
      <c r="B182" s="6" t="s">
        <v>179</v>
      </c>
      <c r="C182" s="1" t="e">
        <f>SUMIFS(#REF!,#REF!,
 $A182,#REF!,
 "&gt;="&amp;INT($E$1),#REF!,
 "&lt;"&amp;INT($F$1+1)
)</f>
        <v>#REF!</v>
      </c>
      <c r="D182" s="1" t="str">
        <f>""</f>
        <v/>
      </c>
      <c r="F182" s="2"/>
      <c r="G182" s="1" t="e">
        <f>SUMIFS(#REF!,#REF!,
 $A182,#REF!,
 "&gt;="&amp;INT($I$1),#REF!,
 "&lt;"&amp;INT($J$1+1)
)</f>
        <v>#REF!</v>
      </c>
      <c r="H182" s="1" t="e">
        <f t="shared" si="62"/>
        <v>#REF!</v>
      </c>
      <c r="I182" s="1"/>
      <c r="J182" s="2"/>
      <c r="K182" s="1" t="e">
        <f>SUMIFS(#REF!,#REF!,
 $A182,#REF!,
 "&gt;="&amp;INT($M$1),#REF!,
 "&lt;"&amp;INT($N$1+1)
)</f>
        <v>#REF!</v>
      </c>
      <c r="L182" s="1" t="e">
        <f t="shared" si="63"/>
        <v>#REF!</v>
      </c>
      <c r="M182" s="9" t="e">
        <f t="shared" si="64"/>
        <v>#REF!</v>
      </c>
      <c r="N182" s="10" t="e">
        <f t="shared" si="65"/>
        <v>#REF!</v>
      </c>
      <c r="O182" s="1" t="e">
        <f>SUMIFS(#REF!,#REF!,
 $A182,#REF!,
 "&gt;="&amp;INT($Q$1),#REF!,
 "&lt;="&amp;INT($R$1)
)</f>
        <v>#REF!</v>
      </c>
      <c r="P182" s="1" t="e">
        <f t="shared" si="66"/>
        <v>#REF!</v>
      </c>
      <c r="Q182" s="9" t="e">
        <f t="shared" si="67"/>
        <v>#REF!</v>
      </c>
      <c r="R182" s="10" t="e">
        <f t="shared" si="68"/>
        <v>#REF!</v>
      </c>
      <c r="S182" s="1" t="e">
        <f>SUMIFS(#REF!,#REF!,
 $A182,#REF!,
 "&gt;="&amp;INT($U$1),#REF!,
 "&lt;="&amp;INT($V$1)
)</f>
        <v>#REF!</v>
      </c>
      <c r="T182" s="1" t="e">
        <f t="shared" si="69"/>
        <v>#REF!</v>
      </c>
      <c r="U182" s="9" t="e">
        <f t="shared" si="70"/>
        <v>#REF!</v>
      </c>
      <c r="V182" s="10" t="e">
        <f t="shared" si="71"/>
        <v>#REF!</v>
      </c>
      <c r="W182" s="1" t="e">
        <f>SUMIFS(#REF!,#REF!,
 $A182,#REF!,
 "&gt;="&amp;INT($Y$1),#REF!,
 "&lt;="&amp;INT($Z$1)
)</f>
        <v>#REF!</v>
      </c>
      <c r="X182" s="1" t="e">
        <f t="shared" si="72"/>
        <v>#REF!</v>
      </c>
      <c r="Y182" s="9" t="e">
        <f t="shared" si="73"/>
        <v>#REF!</v>
      </c>
      <c r="Z182" s="10" t="e">
        <f t="shared" si="74"/>
        <v>#REF!</v>
      </c>
      <c r="AA182" s="1" t="e">
        <f>SUMIFS(#REF!,#REF!,
 $A182,#REF!,
 "&gt;="&amp;INT($AC$1),#REF!,
 "&lt;="&amp;INT($AD$1)
)</f>
        <v>#REF!</v>
      </c>
      <c r="AB182" s="1" t="e">
        <f t="shared" si="75"/>
        <v>#REF!</v>
      </c>
      <c r="AC182" s="9" t="e">
        <f t="shared" si="76"/>
        <v>#REF!</v>
      </c>
      <c r="AD182" s="10" t="e">
        <f t="shared" si="77"/>
        <v>#REF!</v>
      </c>
      <c r="AE182" s="1" t="e">
        <f>SUMIFS(#REF!,#REF!,
 $A182,#REF!,
 "&gt;="&amp;INT($AG$1),#REF!,
 "&lt;="&amp;INT($AH$1)
)</f>
        <v>#REF!</v>
      </c>
      <c r="AF182" s="1" t="e">
        <f t="shared" si="78"/>
        <v>#REF!</v>
      </c>
      <c r="AG182" s="9" t="e">
        <f t="shared" si="79"/>
        <v>#REF!</v>
      </c>
      <c r="AH182" s="10" t="e">
        <f t="shared" si="80"/>
        <v>#REF!</v>
      </c>
      <c r="AI182" s="1" t="e">
        <f>SUMIFS(#REF!,#REF!,
 $A182,#REF!,
 "&gt;="&amp;INT($AK$1),#REF!,
 "&lt;="&amp;INT($AL$1)
)</f>
        <v>#REF!</v>
      </c>
      <c r="AJ182" s="1" t="e">
        <f t="shared" si="81"/>
        <v>#REF!</v>
      </c>
      <c r="AK182" s="9" t="e">
        <f t="shared" si="82"/>
        <v>#REF!</v>
      </c>
      <c r="AL182" s="10" t="e">
        <f t="shared" si="83"/>
        <v>#REF!</v>
      </c>
      <c r="AM182" s="1" t="e">
        <f>SUMIFS(#REF!,#REF!,
 $A182,#REF!,
 "&gt;="&amp;INT($AO$1),#REF!,
 "&lt;="&amp;INT($AP$1)
)</f>
        <v>#REF!</v>
      </c>
      <c r="AN182" s="1" t="e">
        <f t="shared" si="84"/>
        <v>#REF!</v>
      </c>
      <c r="AO182" s="9" t="e">
        <f t="shared" si="85"/>
        <v>#REF!</v>
      </c>
      <c r="AP182" s="10" t="e">
        <f t="shared" si="86"/>
        <v>#REF!</v>
      </c>
      <c r="AQ182" s="1" t="e">
        <f>SUMIFS(#REF!,#REF!,
 $A182,#REF!,
 "&gt;="&amp;INT($AS$1),#REF!,
 "&lt;="&amp;INT($AT$1)
)</f>
        <v>#REF!</v>
      </c>
      <c r="AR182" s="1" t="e">
        <f t="shared" si="87"/>
        <v>#REF!</v>
      </c>
      <c r="AS182" s="9" t="e">
        <f t="shared" si="88"/>
        <v>#REF!</v>
      </c>
      <c r="AT182" s="10" t="e">
        <f t="shared" si="89"/>
        <v>#REF!</v>
      </c>
      <c r="AU182" s="1" t="e">
        <f>SUMIFS(#REF!,#REF!,
 $A182,#REF!,
 "&gt;="&amp;INT($AW$1),#REF!,
 "&lt;="&amp;INT($AX$1)
)</f>
        <v>#REF!</v>
      </c>
      <c r="AV182" s="1" t="e">
        <f t="shared" si="90"/>
        <v>#REF!</v>
      </c>
      <c r="AW182" s="9" t="e">
        <f t="shared" si="91"/>
        <v>#REF!</v>
      </c>
      <c r="AX182" s="10" t="e">
        <f t="shared" si="92"/>
        <v>#REF!</v>
      </c>
    </row>
    <row r="183" spans="1:50" x14ac:dyDescent="0.25">
      <c r="A183" s="5">
        <v>231007</v>
      </c>
      <c r="B183" s="6" t="s">
        <v>180</v>
      </c>
      <c r="C183" s="1" t="e">
        <f>SUMIFS(#REF!,#REF!,
 $A183,#REF!,
 "&gt;="&amp;INT($E$1),#REF!,
 "&lt;"&amp;INT($F$1+1)
)</f>
        <v>#REF!</v>
      </c>
      <c r="D183" s="1" t="str">
        <f>""</f>
        <v/>
      </c>
      <c r="F183" s="2"/>
      <c r="G183" s="1" t="e">
        <f>SUMIFS(#REF!,#REF!,
 $A183,#REF!,
 "&gt;="&amp;INT($I$1),#REF!,
 "&lt;"&amp;INT($J$1+1)
)</f>
        <v>#REF!</v>
      </c>
      <c r="H183" s="1" t="e">
        <f t="shared" si="62"/>
        <v>#REF!</v>
      </c>
      <c r="I183" s="1"/>
      <c r="J183" s="2"/>
      <c r="K183" s="1" t="e">
        <f>SUMIFS(#REF!,#REF!,
 $A183,#REF!,
 "&gt;="&amp;INT($M$1),#REF!,
 "&lt;"&amp;INT($N$1+1)
)</f>
        <v>#REF!</v>
      </c>
      <c r="L183" s="1" t="e">
        <f t="shared" si="63"/>
        <v>#REF!</v>
      </c>
      <c r="M183" s="9" t="e">
        <f t="shared" si="64"/>
        <v>#REF!</v>
      </c>
      <c r="N183" s="10" t="e">
        <f t="shared" si="65"/>
        <v>#REF!</v>
      </c>
      <c r="O183" s="1" t="e">
        <f>SUMIFS(#REF!,#REF!,
 $A183,#REF!,
 "&gt;="&amp;INT($Q$1),#REF!,
 "&lt;="&amp;INT($R$1)
)</f>
        <v>#REF!</v>
      </c>
      <c r="P183" s="1" t="e">
        <f t="shared" si="66"/>
        <v>#REF!</v>
      </c>
      <c r="Q183" s="9" t="e">
        <f t="shared" si="67"/>
        <v>#REF!</v>
      </c>
      <c r="R183" s="10" t="e">
        <f t="shared" si="68"/>
        <v>#REF!</v>
      </c>
      <c r="S183" s="1" t="e">
        <f>SUMIFS(#REF!,#REF!,
 $A183,#REF!,
 "&gt;="&amp;INT($U$1),#REF!,
 "&lt;="&amp;INT($V$1)
)</f>
        <v>#REF!</v>
      </c>
      <c r="T183" s="1" t="e">
        <f t="shared" si="69"/>
        <v>#REF!</v>
      </c>
      <c r="U183" s="9" t="e">
        <f t="shared" si="70"/>
        <v>#REF!</v>
      </c>
      <c r="V183" s="10" t="e">
        <f t="shared" si="71"/>
        <v>#REF!</v>
      </c>
      <c r="W183" s="1" t="e">
        <f>SUMIFS(#REF!,#REF!,
 $A183,#REF!,
 "&gt;="&amp;INT($Y$1),#REF!,
 "&lt;="&amp;INT($Z$1)
)</f>
        <v>#REF!</v>
      </c>
      <c r="X183" s="1" t="e">
        <f t="shared" si="72"/>
        <v>#REF!</v>
      </c>
      <c r="Y183" s="9" t="e">
        <f t="shared" si="73"/>
        <v>#REF!</v>
      </c>
      <c r="Z183" s="10" t="e">
        <f t="shared" si="74"/>
        <v>#REF!</v>
      </c>
      <c r="AA183" s="1" t="e">
        <f>SUMIFS(#REF!,#REF!,
 $A183,#REF!,
 "&gt;="&amp;INT($AC$1),#REF!,
 "&lt;="&amp;INT($AD$1)
)</f>
        <v>#REF!</v>
      </c>
      <c r="AB183" s="1" t="e">
        <f t="shared" si="75"/>
        <v>#REF!</v>
      </c>
      <c r="AC183" s="9" t="e">
        <f t="shared" si="76"/>
        <v>#REF!</v>
      </c>
      <c r="AD183" s="10" t="e">
        <f t="shared" si="77"/>
        <v>#REF!</v>
      </c>
      <c r="AE183" s="1" t="e">
        <f>SUMIFS(#REF!,#REF!,
 $A183,#REF!,
 "&gt;="&amp;INT($AG$1),#REF!,
 "&lt;="&amp;INT($AH$1)
)</f>
        <v>#REF!</v>
      </c>
      <c r="AF183" s="1" t="e">
        <f t="shared" si="78"/>
        <v>#REF!</v>
      </c>
      <c r="AG183" s="9" t="e">
        <f t="shared" si="79"/>
        <v>#REF!</v>
      </c>
      <c r="AH183" s="10" t="e">
        <f t="shared" si="80"/>
        <v>#REF!</v>
      </c>
      <c r="AI183" s="1" t="e">
        <f>SUMIFS(#REF!,#REF!,
 $A183,#REF!,
 "&gt;="&amp;INT($AK$1),#REF!,
 "&lt;="&amp;INT($AL$1)
)</f>
        <v>#REF!</v>
      </c>
      <c r="AJ183" s="1" t="e">
        <f t="shared" si="81"/>
        <v>#REF!</v>
      </c>
      <c r="AK183" s="9" t="e">
        <f t="shared" si="82"/>
        <v>#REF!</v>
      </c>
      <c r="AL183" s="10" t="e">
        <f t="shared" si="83"/>
        <v>#REF!</v>
      </c>
      <c r="AM183" s="1" t="e">
        <f>SUMIFS(#REF!,#REF!,
 $A183,#REF!,
 "&gt;="&amp;INT($AO$1),#REF!,
 "&lt;="&amp;INT($AP$1)
)</f>
        <v>#REF!</v>
      </c>
      <c r="AN183" s="1" t="e">
        <f t="shared" si="84"/>
        <v>#REF!</v>
      </c>
      <c r="AO183" s="9" t="e">
        <f t="shared" si="85"/>
        <v>#REF!</v>
      </c>
      <c r="AP183" s="10" t="e">
        <f t="shared" si="86"/>
        <v>#REF!</v>
      </c>
      <c r="AQ183" s="1" t="e">
        <f>SUMIFS(#REF!,#REF!,
 $A183,#REF!,
 "&gt;="&amp;INT($AS$1),#REF!,
 "&lt;="&amp;INT($AT$1)
)</f>
        <v>#REF!</v>
      </c>
      <c r="AR183" s="1" t="e">
        <f t="shared" si="87"/>
        <v>#REF!</v>
      </c>
      <c r="AS183" s="9" t="e">
        <f t="shared" si="88"/>
        <v>#REF!</v>
      </c>
      <c r="AT183" s="10" t="e">
        <f t="shared" si="89"/>
        <v>#REF!</v>
      </c>
      <c r="AU183" s="1" t="e">
        <f>SUMIFS(#REF!,#REF!,
 $A183,#REF!,
 "&gt;="&amp;INT($AW$1),#REF!,
 "&lt;="&amp;INT($AX$1)
)</f>
        <v>#REF!</v>
      </c>
      <c r="AV183" s="1" t="e">
        <f t="shared" si="90"/>
        <v>#REF!</v>
      </c>
      <c r="AW183" s="9" t="e">
        <f t="shared" si="91"/>
        <v>#REF!</v>
      </c>
      <c r="AX183" s="10" t="e">
        <f t="shared" si="92"/>
        <v>#REF!</v>
      </c>
    </row>
    <row r="184" spans="1:50" x14ac:dyDescent="0.25">
      <c r="A184" s="5">
        <v>231008</v>
      </c>
      <c r="B184" s="6" t="s">
        <v>181</v>
      </c>
      <c r="C184" s="1" t="e">
        <f>SUMIFS(#REF!,#REF!,
 $A184,#REF!,
 "&gt;="&amp;INT($E$1),#REF!,
 "&lt;"&amp;INT($F$1+1)
)</f>
        <v>#REF!</v>
      </c>
      <c r="D184" s="1" t="str">
        <f>""</f>
        <v/>
      </c>
      <c r="F184" s="2"/>
      <c r="G184" s="1" t="e">
        <f>SUMIFS(#REF!,#REF!,
 $A184,#REF!,
 "&gt;="&amp;INT($I$1),#REF!,
 "&lt;"&amp;INT($J$1+1)
)</f>
        <v>#REF!</v>
      </c>
      <c r="H184" s="1" t="e">
        <f t="shared" si="62"/>
        <v>#REF!</v>
      </c>
      <c r="I184" s="1"/>
      <c r="J184" s="2"/>
      <c r="K184" s="1" t="e">
        <f>SUMIFS(#REF!,#REF!,
 $A184,#REF!,
 "&gt;="&amp;INT($M$1),#REF!,
 "&lt;"&amp;INT($N$1+1)
)</f>
        <v>#REF!</v>
      </c>
      <c r="L184" s="1" t="e">
        <f t="shared" si="63"/>
        <v>#REF!</v>
      </c>
      <c r="M184" s="9" t="e">
        <f t="shared" si="64"/>
        <v>#REF!</v>
      </c>
      <c r="N184" s="10" t="e">
        <f t="shared" si="65"/>
        <v>#REF!</v>
      </c>
      <c r="O184" s="1" t="e">
        <f>SUMIFS(#REF!,#REF!,
 $A184,#REF!,
 "&gt;="&amp;INT($Q$1),#REF!,
 "&lt;="&amp;INT($R$1)
)</f>
        <v>#REF!</v>
      </c>
      <c r="P184" s="1" t="e">
        <f t="shared" si="66"/>
        <v>#REF!</v>
      </c>
      <c r="Q184" s="9" t="e">
        <f t="shared" si="67"/>
        <v>#REF!</v>
      </c>
      <c r="R184" s="10" t="e">
        <f t="shared" si="68"/>
        <v>#REF!</v>
      </c>
      <c r="S184" s="1" t="e">
        <f>SUMIFS(#REF!,#REF!,
 $A184,#REF!,
 "&gt;="&amp;INT($U$1),#REF!,
 "&lt;="&amp;INT($V$1)
)</f>
        <v>#REF!</v>
      </c>
      <c r="T184" s="1" t="e">
        <f t="shared" si="69"/>
        <v>#REF!</v>
      </c>
      <c r="U184" s="9" t="e">
        <f t="shared" si="70"/>
        <v>#REF!</v>
      </c>
      <c r="V184" s="10" t="e">
        <f t="shared" si="71"/>
        <v>#REF!</v>
      </c>
      <c r="W184" s="1" t="e">
        <f>SUMIFS(#REF!,#REF!,
 $A184,#REF!,
 "&gt;="&amp;INT($Y$1),#REF!,
 "&lt;="&amp;INT($Z$1)
)</f>
        <v>#REF!</v>
      </c>
      <c r="X184" s="1" t="e">
        <f t="shared" si="72"/>
        <v>#REF!</v>
      </c>
      <c r="Y184" s="9" t="e">
        <f t="shared" si="73"/>
        <v>#REF!</v>
      </c>
      <c r="Z184" s="10" t="e">
        <f t="shared" si="74"/>
        <v>#REF!</v>
      </c>
      <c r="AA184" s="1" t="e">
        <f>SUMIFS(#REF!,#REF!,
 $A184,#REF!,
 "&gt;="&amp;INT($AC$1),#REF!,
 "&lt;="&amp;INT($AD$1)
)</f>
        <v>#REF!</v>
      </c>
      <c r="AB184" s="1" t="e">
        <f t="shared" si="75"/>
        <v>#REF!</v>
      </c>
      <c r="AC184" s="9" t="e">
        <f t="shared" si="76"/>
        <v>#REF!</v>
      </c>
      <c r="AD184" s="10" t="e">
        <f t="shared" si="77"/>
        <v>#REF!</v>
      </c>
      <c r="AE184" s="1" t="e">
        <f>SUMIFS(#REF!,#REF!,
 $A184,#REF!,
 "&gt;="&amp;INT($AG$1),#REF!,
 "&lt;="&amp;INT($AH$1)
)</f>
        <v>#REF!</v>
      </c>
      <c r="AF184" s="1" t="e">
        <f t="shared" si="78"/>
        <v>#REF!</v>
      </c>
      <c r="AG184" s="9" t="e">
        <f t="shared" si="79"/>
        <v>#REF!</v>
      </c>
      <c r="AH184" s="10" t="e">
        <f t="shared" si="80"/>
        <v>#REF!</v>
      </c>
      <c r="AI184" s="1" t="e">
        <f>SUMIFS(#REF!,#REF!,
 $A184,#REF!,
 "&gt;="&amp;INT($AK$1),#REF!,
 "&lt;="&amp;INT($AL$1)
)</f>
        <v>#REF!</v>
      </c>
      <c r="AJ184" s="1" t="e">
        <f t="shared" si="81"/>
        <v>#REF!</v>
      </c>
      <c r="AK184" s="9" t="e">
        <f t="shared" si="82"/>
        <v>#REF!</v>
      </c>
      <c r="AL184" s="10" t="e">
        <f t="shared" si="83"/>
        <v>#REF!</v>
      </c>
      <c r="AM184" s="1" t="e">
        <f>SUMIFS(#REF!,#REF!,
 $A184,#REF!,
 "&gt;="&amp;INT($AO$1),#REF!,
 "&lt;="&amp;INT($AP$1)
)</f>
        <v>#REF!</v>
      </c>
      <c r="AN184" s="1" t="e">
        <f t="shared" si="84"/>
        <v>#REF!</v>
      </c>
      <c r="AO184" s="9" t="e">
        <f t="shared" si="85"/>
        <v>#REF!</v>
      </c>
      <c r="AP184" s="10" t="e">
        <f t="shared" si="86"/>
        <v>#REF!</v>
      </c>
      <c r="AQ184" s="1" t="e">
        <f>SUMIFS(#REF!,#REF!,
 $A184,#REF!,
 "&gt;="&amp;INT($AS$1),#REF!,
 "&lt;="&amp;INT($AT$1)
)</f>
        <v>#REF!</v>
      </c>
      <c r="AR184" s="1" t="e">
        <f t="shared" si="87"/>
        <v>#REF!</v>
      </c>
      <c r="AS184" s="9" t="e">
        <f t="shared" si="88"/>
        <v>#REF!</v>
      </c>
      <c r="AT184" s="10" t="e">
        <f t="shared" si="89"/>
        <v>#REF!</v>
      </c>
      <c r="AU184" s="1" t="e">
        <f>SUMIFS(#REF!,#REF!,
 $A184,#REF!,
 "&gt;="&amp;INT($AW$1),#REF!,
 "&lt;="&amp;INT($AX$1)
)</f>
        <v>#REF!</v>
      </c>
      <c r="AV184" s="1" t="e">
        <f t="shared" si="90"/>
        <v>#REF!</v>
      </c>
      <c r="AW184" s="9" t="e">
        <f t="shared" si="91"/>
        <v>#REF!</v>
      </c>
      <c r="AX184" s="10" t="e">
        <f t="shared" si="92"/>
        <v>#REF!</v>
      </c>
    </row>
    <row r="185" spans="1:50" x14ac:dyDescent="0.25">
      <c r="A185" s="5">
        <v>231009</v>
      </c>
      <c r="B185" s="6" t="s">
        <v>182</v>
      </c>
      <c r="C185" s="1" t="e">
        <f>SUMIFS(#REF!,#REF!,
 $A185,#REF!,
 "&gt;="&amp;INT($E$1),#REF!,
 "&lt;"&amp;INT($F$1+1)
)</f>
        <v>#REF!</v>
      </c>
      <c r="D185" s="1" t="str">
        <f>""</f>
        <v/>
      </c>
      <c r="F185" s="2"/>
      <c r="G185" s="1" t="e">
        <f>SUMIFS(#REF!,#REF!,
 $A185,#REF!,
 "&gt;="&amp;INT($I$1),#REF!,
 "&lt;"&amp;INT($J$1+1)
)</f>
        <v>#REF!</v>
      </c>
      <c r="H185" s="1" t="e">
        <f t="shared" si="62"/>
        <v>#REF!</v>
      </c>
      <c r="I185" s="1"/>
      <c r="J185" s="2"/>
      <c r="K185" s="1" t="e">
        <f>SUMIFS(#REF!,#REF!,
 $A185,#REF!,
 "&gt;="&amp;INT($M$1),#REF!,
 "&lt;"&amp;INT($N$1+1)
)</f>
        <v>#REF!</v>
      </c>
      <c r="L185" s="1" t="e">
        <f t="shared" si="63"/>
        <v>#REF!</v>
      </c>
      <c r="M185" s="9" t="e">
        <f t="shared" si="64"/>
        <v>#REF!</v>
      </c>
      <c r="N185" s="10" t="e">
        <f t="shared" si="65"/>
        <v>#REF!</v>
      </c>
      <c r="O185" s="1" t="e">
        <f>SUMIFS(#REF!,#REF!,
 $A185,#REF!,
 "&gt;="&amp;INT($Q$1),#REF!,
 "&lt;="&amp;INT($R$1)
)</f>
        <v>#REF!</v>
      </c>
      <c r="P185" s="1" t="e">
        <f t="shared" si="66"/>
        <v>#REF!</v>
      </c>
      <c r="Q185" s="9" t="e">
        <f t="shared" si="67"/>
        <v>#REF!</v>
      </c>
      <c r="R185" s="10" t="e">
        <f t="shared" si="68"/>
        <v>#REF!</v>
      </c>
      <c r="S185" s="1" t="e">
        <f>SUMIFS(#REF!,#REF!,
 $A185,#REF!,
 "&gt;="&amp;INT($U$1),#REF!,
 "&lt;="&amp;INT($V$1)
)</f>
        <v>#REF!</v>
      </c>
      <c r="T185" s="1" t="e">
        <f t="shared" si="69"/>
        <v>#REF!</v>
      </c>
      <c r="U185" s="9" t="e">
        <f t="shared" si="70"/>
        <v>#REF!</v>
      </c>
      <c r="V185" s="10" t="e">
        <f t="shared" si="71"/>
        <v>#REF!</v>
      </c>
      <c r="W185" s="1" t="e">
        <f>SUMIFS(#REF!,#REF!,
 $A185,#REF!,
 "&gt;="&amp;INT($Y$1),#REF!,
 "&lt;="&amp;INT($Z$1)
)</f>
        <v>#REF!</v>
      </c>
      <c r="X185" s="1" t="e">
        <f t="shared" si="72"/>
        <v>#REF!</v>
      </c>
      <c r="Y185" s="9" t="e">
        <f t="shared" si="73"/>
        <v>#REF!</v>
      </c>
      <c r="Z185" s="10" t="e">
        <f t="shared" si="74"/>
        <v>#REF!</v>
      </c>
      <c r="AA185" s="1" t="e">
        <f>SUMIFS(#REF!,#REF!,
 $A185,#REF!,
 "&gt;="&amp;INT($AC$1),#REF!,
 "&lt;="&amp;INT($AD$1)
)</f>
        <v>#REF!</v>
      </c>
      <c r="AB185" s="1" t="e">
        <f t="shared" si="75"/>
        <v>#REF!</v>
      </c>
      <c r="AC185" s="9" t="e">
        <f t="shared" si="76"/>
        <v>#REF!</v>
      </c>
      <c r="AD185" s="10" t="e">
        <f t="shared" si="77"/>
        <v>#REF!</v>
      </c>
      <c r="AE185" s="1" t="e">
        <f>SUMIFS(#REF!,#REF!,
 $A185,#REF!,
 "&gt;="&amp;INT($AG$1),#REF!,
 "&lt;="&amp;INT($AH$1)
)</f>
        <v>#REF!</v>
      </c>
      <c r="AF185" s="1" t="e">
        <f t="shared" si="78"/>
        <v>#REF!</v>
      </c>
      <c r="AG185" s="9" t="e">
        <f t="shared" si="79"/>
        <v>#REF!</v>
      </c>
      <c r="AH185" s="10" t="e">
        <f t="shared" si="80"/>
        <v>#REF!</v>
      </c>
      <c r="AI185" s="1" t="e">
        <f>SUMIFS(#REF!,#REF!,
 $A185,#REF!,
 "&gt;="&amp;INT($AK$1),#REF!,
 "&lt;="&amp;INT($AL$1)
)</f>
        <v>#REF!</v>
      </c>
      <c r="AJ185" s="1" t="e">
        <f t="shared" si="81"/>
        <v>#REF!</v>
      </c>
      <c r="AK185" s="9" t="e">
        <f t="shared" si="82"/>
        <v>#REF!</v>
      </c>
      <c r="AL185" s="10" t="e">
        <f t="shared" si="83"/>
        <v>#REF!</v>
      </c>
      <c r="AM185" s="1" t="e">
        <f>SUMIFS(#REF!,#REF!,
 $A185,#REF!,
 "&gt;="&amp;INT($AO$1),#REF!,
 "&lt;="&amp;INT($AP$1)
)</f>
        <v>#REF!</v>
      </c>
      <c r="AN185" s="1" t="e">
        <f t="shared" si="84"/>
        <v>#REF!</v>
      </c>
      <c r="AO185" s="9" t="e">
        <f t="shared" si="85"/>
        <v>#REF!</v>
      </c>
      <c r="AP185" s="10" t="e">
        <f t="shared" si="86"/>
        <v>#REF!</v>
      </c>
      <c r="AQ185" s="1" t="e">
        <f>SUMIFS(#REF!,#REF!,
 $A185,#REF!,
 "&gt;="&amp;INT($AS$1),#REF!,
 "&lt;="&amp;INT($AT$1)
)</f>
        <v>#REF!</v>
      </c>
      <c r="AR185" s="1" t="e">
        <f t="shared" si="87"/>
        <v>#REF!</v>
      </c>
      <c r="AS185" s="9" t="e">
        <f t="shared" si="88"/>
        <v>#REF!</v>
      </c>
      <c r="AT185" s="10" t="e">
        <f t="shared" si="89"/>
        <v>#REF!</v>
      </c>
      <c r="AU185" s="1" t="e">
        <f>SUMIFS(#REF!,#REF!,
 $A185,#REF!,
 "&gt;="&amp;INT($AW$1),#REF!,
 "&lt;="&amp;INT($AX$1)
)</f>
        <v>#REF!</v>
      </c>
      <c r="AV185" s="1" t="e">
        <f t="shared" si="90"/>
        <v>#REF!</v>
      </c>
      <c r="AW185" s="9" t="e">
        <f t="shared" si="91"/>
        <v>#REF!</v>
      </c>
      <c r="AX185" s="10" t="e">
        <f t="shared" si="92"/>
        <v>#REF!</v>
      </c>
    </row>
    <row r="186" spans="1:50" x14ac:dyDescent="0.25">
      <c r="A186" s="5">
        <v>231010</v>
      </c>
      <c r="B186" s="6" t="s">
        <v>183</v>
      </c>
      <c r="C186" s="1" t="e">
        <f>SUMIFS(#REF!,#REF!,
 $A186,#REF!,
 "&gt;="&amp;INT($E$1),#REF!,
 "&lt;"&amp;INT($F$1+1)
)</f>
        <v>#REF!</v>
      </c>
      <c r="D186" s="1" t="str">
        <f>""</f>
        <v/>
      </c>
      <c r="F186" s="2"/>
      <c r="G186" s="1" t="e">
        <f>SUMIFS(#REF!,#REF!,
 $A186,#REF!,
 "&gt;="&amp;INT($I$1),#REF!,
 "&lt;"&amp;INT($J$1+1)
)</f>
        <v>#REF!</v>
      </c>
      <c r="H186" s="1" t="e">
        <f t="shared" si="62"/>
        <v>#REF!</v>
      </c>
      <c r="I186" s="1"/>
      <c r="J186" s="2"/>
      <c r="K186" s="1" t="e">
        <f>SUMIFS(#REF!,#REF!,
 $A186,#REF!,
 "&gt;="&amp;INT($M$1),#REF!,
 "&lt;"&amp;INT($N$1+1)
)</f>
        <v>#REF!</v>
      </c>
      <c r="L186" s="1" t="e">
        <f t="shared" si="63"/>
        <v>#REF!</v>
      </c>
      <c r="M186" s="9" t="e">
        <f t="shared" si="64"/>
        <v>#REF!</v>
      </c>
      <c r="N186" s="10" t="e">
        <f t="shared" si="65"/>
        <v>#REF!</v>
      </c>
      <c r="O186" s="1" t="e">
        <f>SUMIFS(#REF!,#REF!,
 $A186,#REF!,
 "&gt;="&amp;INT($Q$1),#REF!,
 "&lt;="&amp;INT($R$1)
)</f>
        <v>#REF!</v>
      </c>
      <c r="P186" s="1" t="e">
        <f t="shared" si="66"/>
        <v>#REF!</v>
      </c>
      <c r="Q186" s="9" t="e">
        <f t="shared" si="67"/>
        <v>#REF!</v>
      </c>
      <c r="R186" s="10" t="e">
        <f t="shared" si="68"/>
        <v>#REF!</v>
      </c>
      <c r="S186" s="1" t="e">
        <f>SUMIFS(#REF!,#REF!,
 $A186,#REF!,
 "&gt;="&amp;INT($U$1),#REF!,
 "&lt;="&amp;INT($V$1)
)</f>
        <v>#REF!</v>
      </c>
      <c r="T186" s="1" t="e">
        <f t="shared" si="69"/>
        <v>#REF!</v>
      </c>
      <c r="U186" s="9" t="e">
        <f t="shared" si="70"/>
        <v>#REF!</v>
      </c>
      <c r="V186" s="10" t="e">
        <f t="shared" si="71"/>
        <v>#REF!</v>
      </c>
      <c r="W186" s="1" t="e">
        <f>SUMIFS(#REF!,#REF!,
 $A186,#REF!,
 "&gt;="&amp;INT($Y$1),#REF!,
 "&lt;="&amp;INT($Z$1)
)</f>
        <v>#REF!</v>
      </c>
      <c r="X186" s="1" t="e">
        <f t="shared" si="72"/>
        <v>#REF!</v>
      </c>
      <c r="Y186" s="9" t="e">
        <f t="shared" si="73"/>
        <v>#REF!</v>
      </c>
      <c r="Z186" s="10" t="e">
        <f t="shared" si="74"/>
        <v>#REF!</v>
      </c>
      <c r="AA186" s="1" t="e">
        <f>SUMIFS(#REF!,#REF!,
 $A186,#REF!,
 "&gt;="&amp;INT($AC$1),#REF!,
 "&lt;="&amp;INT($AD$1)
)</f>
        <v>#REF!</v>
      </c>
      <c r="AB186" s="1" t="e">
        <f t="shared" si="75"/>
        <v>#REF!</v>
      </c>
      <c r="AC186" s="9" t="e">
        <f t="shared" si="76"/>
        <v>#REF!</v>
      </c>
      <c r="AD186" s="10" t="e">
        <f t="shared" si="77"/>
        <v>#REF!</v>
      </c>
      <c r="AE186" s="1" t="e">
        <f>SUMIFS(#REF!,#REF!,
 $A186,#REF!,
 "&gt;="&amp;INT($AG$1),#REF!,
 "&lt;="&amp;INT($AH$1)
)</f>
        <v>#REF!</v>
      </c>
      <c r="AF186" s="1" t="e">
        <f t="shared" si="78"/>
        <v>#REF!</v>
      </c>
      <c r="AG186" s="9" t="e">
        <f t="shared" si="79"/>
        <v>#REF!</v>
      </c>
      <c r="AH186" s="10" t="e">
        <f t="shared" si="80"/>
        <v>#REF!</v>
      </c>
      <c r="AI186" s="1" t="e">
        <f>SUMIFS(#REF!,#REF!,
 $A186,#REF!,
 "&gt;="&amp;INT($AK$1),#REF!,
 "&lt;="&amp;INT($AL$1)
)</f>
        <v>#REF!</v>
      </c>
      <c r="AJ186" s="1" t="e">
        <f t="shared" si="81"/>
        <v>#REF!</v>
      </c>
      <c r="AK186" s="9" t="e">
        <f t="shared" si="82"/>
        <v>#REF!</v>
      </c>
      <c r="AL186" s="10" t="e">
        <f t="shared" si="83"/>
        <v>#REF!</v>
      </c>
      <c r="AM186" s="1" t="e">
        <f>SUMIFS(#REF!,#REF!,
 $A186,#REF!,
 "&gt;="&amp;INT($AO$1),#REF!,
 "&lt;="&amp;INT($AP$1)
)</f>
        <v>#REF!</v>
      </c>
      <c r="AN186" s="1" t="e">
        <f t="shared" si="84"/>
        <v>#REF!</v>
      </c>
      <c r="AO186" s="9" t="e">
        <f t="shared" si="85"/>
        <v>#REF!</v>
      </c>
      <c r="AP186" s="10" t="e">
        <f t="shared" si="86"/>
        <v>#REF!</v>
      </c>
      <c r="AQ186" s="1" t="e">
        <f>SUMIFS(#REF!,#REF!,
 $A186,#REF!,
 "&gt;="&amp;INT($AS$1),#REF!,
 "&lt;="&amp;INT($AT$1)
)</f>
        <v>#REF!</v>
      </c>
      <c r="AR186" s="1" t="e">
        <f t="shared" si="87"/>
        <v>#REF!</v>
      </c>
      <c r="AS186" s="9" t="e">
        <f t="shared" si="88"/>
        <v>#REF!</v>
      </c>
      <c r="AT186" s="10" t="e">
        <f t="shared" si="89"/>
        <v>#REF!</v>
      </c>
      <c r="AU186" s="1" t="e">
        <f>SUMIFS(#REF!,#REF!,
 $A186,#REF!,
 "&gt;="&amp;INT($AW$1),#REF!,
 "&lt;="&amp;INT($AX$1)
)</f>
        <v>#REF!</v>
      </c>
      <c r="AV186" s="1" t="e">
        <f t="shared" si="90"/>
        <v>#REF!</v>
      </c>
      <c r="AW186" s="9" t="e">
        <f t="shared" si="91"/>
        <v>#REF!</v>
      </c>
      <c r="AX186" s="10" t="e">
        <f t="shared" si="92"/>
        <v>#REF!</v>
      </c>
    </row>
    <row r="187" spans="1:50" x14ac:dyDescent="0.25">
      <c r="A187" s="5">
        <v>231012</v>
      </c>
      <c r="B187" s="6" t="s">
        <v>184</v>
      </c>
      <c r="C187" s="1" t="e">
        <f>SUMIFS(#REF!,#REF!,
 $A187,#REF!,
 "&gt;="&amp;INT($E$1),#REF!,
 "&lt;"&amp;INT($F$1+1)
)</f>
        <v>#REF!</v>
      </c>
      <c r="D187" s="1" t="str">
        <f>""</f>
        <v/>
      </c>
      <c r="F187" s="2"/>
      <c r="G187" s="1" t="e">
        <f>SUMIFS(#REF!,#REF!,
 $A187,#REF!,
 "&gt;="&amp;INT($I$1),#REF!,
 "&lt;"&amp;INT($J$1+1)
)</f>
        <v>#REF!</v>
      </c>
      <c r="H187" s="1" t="e">
        <f t="shared" si="62"/>
        <v>#REF!</v>
      </c>
      <c r="I187" s="1"/>
      <c r="J187" s="2"/>
      <c r="K187" s="1" t="e">
        <f>SUMIFS(#REF!,#REF!,
 $A187,#REF!,
 "&gt;="&amp;INT($M$1),#REF!,
 "&lt;"&amp;INT($N$1+1)
)</f>
        <v>#REF!</v>
      </c>
      <c r="L187" s="1" t="e">
        <f t="shared" si="63"/>
        <v>#REF!</v>
      </c>
      <c r="M187" s="9" t="e">
        <f t="shared" si="64"/>
        <v>#REF!</v>
      </c>
      <c r="N187" s="10" t="e">
        <f t="shared" si="65"/>
        <v>#REF!</v>
      </c>
      <c r="O187" s="1" t="e">
        <f>SUMIFS(#REF!,#REF!,
 $A187,#REF!,
 "&gt;="&amp;INT($Q$1),#REF!,
 "&lt;="&amp;INT($R$1)
)</f>
        <v>#REF!</v>
      </c>
      <c r="P187" s="1" t="e">
        <f t="shared" si="66"/>
        <v>#REF!</v>
      </c>
      <c r="Q187" s="9" t="e">
        <f t="shared" si="67"/>
        <v>#REF!</v>
      </c>
      <c r="R187" s="10" t="e">
        <f t="shared" si="68"/>
        <v>#REF!</v>
      </c>
      <c r="S187" s="1" t="e">
        <f>SUMIFS(#REF!,#REF!,
 $A187,#REF!,
 "&gt;="&amp;INT($U$1),#REF!,
 "&lt;="&amp;INT($V$1)
)</f>
        <v>#REF!</v>
      </c>
      <c r="T187" s="1" t="e">
        <f t="shared" si="69"/>
        <v>#REF!</v>
      </c>
      <c r="U187" s="9" t="e">
        <f t="shared" si="70"/>
        <v>#REF!</v>
      </c>
      <c r="V187" s="10" t="e">
        <f t="shared" si="71"/>
        <v>#REF!</v>
      </c>
      <c r="W187" s="1" t="e">
        <f>SUMIFS(#REF!,#REF!,
 $A187,#REF!,
 "&gt;="&amp;INT($Y$1),#REF!,
 "&lt;="&amp;INT($Z$1)
)</f>
        <v>#REF!</v>
      </c>
      <c r="X187" s="1" t="e">
        <f t="shared" si="72"/>
        <v>#REF!</v>
      </c>
      <c r="Y187" s="9" t="e">
        <f t="shared" si="73"/>
        <v>#REF!</v>
      </c>
      <c r="Z187" s="10" t="e">
        <f t="shared" si="74"/>
        <v>#REF!</v>
      </c>
      <c r="AA187" s="1" t="e">
        <f>SUMIFS(#REF!,#REF!,
 $A187,#REF!,
 "&gt;="&amp;INT($AC$1),#REF!,
 "&lt;="&amp;INT($AD$1)
)</f>
        <v>#REF!</v>
      </c>
      <c r="AB187" s="1" t="e">
        <f t="shared" si="75"/>
        <v>#REF!</v>
      </c>
      <c r="AC187" s="9" t="e">
        <f t="shared" si="76"/>
        <v>#REF!</v>
      </c>
      <c r="AD187" s="10" t="e">
        <f t="shared" si="77"/>
        <v>#REF!</v>
      </c>
      <c r="AE187" s="1" t="e">
        <f>SUMIFS(#REF!,#REF!,
 $A187,#REF!,
 "&gt;="&amp;INT($AG$1),#REF!,
 "&lt;="&amp;INT($AH$1)
)</f>
        <v>#REF!</v>
      </c>
      <c r="AF187" s="1" t="e">
        <f t="shared" si="78"/>
        <v>#REF!</v>
      </c>
      <c r="AG187" s="9" t="e">
        <f t="shared" si="79"/>
        <v>#REF!</v>
      </c>
      <c r="AH187" s="10" t="e">
        <f t="shared" si="80"/>
        <v>#REF!</v>
      </c>
      <c r="AI187" s="1" t="e">
        <f>SUMIFS(#REF!,#REF!,
 $A187,#REF!,
 "&gt;="&amp;INT($AK$1),#REF!,
 "&lt;="&amp;INT($AL$1)
)</f>
        <v>#REF!</v>
      </c>
      <c r="AJ187" s="1" t="e">
        <f t="shared" si="81"/>
        <v>#REF!</v>
      </c>
      <c r="AK187" s="9" t="e">
        <f t="shared" si="82"/>
        <v>#REF!</v>
      </c>
      <c r="AL187" s="10" t="e">
        <f t="shared" si="83"/>
        <v>#REF!</v>
      </c>
      <c r="AM187" s="1" t="e">
        <f>SUMIFS(#REF!,#REF!,
 $A187,#REF!,
 "&gt;="&amp;INT($AO$1),#REF!,
 "&lt;="&amp;INT($AP$1)
)</f>
        <v>#REF!</v>
      </c>
      <c r="AN187" s="1" t="e">
        <f t="shared" si="84"/>
        <v>#REF!</v>
      </c>
      <c r="AO187" s="9" t="e">
        <f t="shared" si="85"/>
        <v>#REF!</v>
      </c>
      <c r="AP187" s="10" t="e">
        <f t="shared" si="86"/>
        <v>#REF!</v>
      </c>
      <c r="AQ187" s="1" t="e">
        <f>SUMIFS(#REF!,#REF!,
 $A187,#REF!,
 "&gt;="&amp;INT($AS$1),#REF!,
 "&lt;="&amp;INT($AT$1)
)</f>
        <v>#REF!</v>
      </c>
      <c r="AR187" s="1" t="e">
        <f t="shared" si="87"/>
        <v>#REF!</v>
      </c>
      <c r="AS187" s="9" t="e">
        <f t="shared" si="88"/>
        <v>#REF!</v>
      </c>
      <c r="AT187" s="10" t="e">
        <f t="shared" si="89"/>
        <v>#REF!</v>
      </c>
      <c r="AU187" s="1" t="e">
        <f>SUMIFS(#REF!,#REF!,
 $A187,#REF!,
 "&gt;="&amp;INT($AW$1),#REF!,
 "&lt;="&amp;INT($AX$1)
)</f>
        <v>#REF!</v>
      </c>
      <c r="AV187" s="1" t="e">
        <f t="shared" si="90"/>
        <v>#REF!</v>
      </c>
      <c r="AW187" s="9" t="e">
        <f t="shared" si="91"/>
        <v>#REF!</v>
      </c>
      <c r="AX187" s="10" t="e">
        <f t="shared" si="92"/>
        <v>#REF!</v>
      </c>
    </row>
    <row r="188" spans="1:50" x14ac:dyDescent="0.25">
      <c r="A188" s="5">
        <v>232001</v>
      </c>
      <c r="B188" s="6" t="s">
        <v>185</v>
      </c>
      <c r="C188" s="1" t="e">
        <f>SUMIFS(#REF!,#REF!,
 $A188,#REF!,
 "&gt;="&amp;INT($E$1),#REF!,
 "&lt;"&amp;INT($F$1+1)
)</f>
        <v>#REF!</v>
      </c>
      <c r="D188" s="1" t="str">
        <f>""</f>
        <v/>
      </c>
      <c r="F188" s="2"/>
      <c r="G188" s="1" t="e">
        <f>SUMIFS(#REF!,#REF!,
 $A188,#REF!,
 "&gt;="&amp;INT($I$1),#REF!,
 "&lt;"&amp;INT($J$1+1)
)</f>
        <v>#REF!</v>
      </c>
      <c r="H188" s="1" t="e">
        <f t="shared" si="62"/>
        <v>#REF!</v>
      </c>
      <c r="I188" s="1"/>
      <c r="J188" s="2"/>
      <c r="K188" s="1" t="e">
        <f>SUMIFS(#REF!,#REF!,
 $A188,#REF!,
 "&gt;="&amp;INT($M$1),#REF!,
 "&lt;"&amp;INT($N$1+1)
)</f>
        <v>#REF!</v>
      </c>
      <c r="L188" s="1" t="e">
        <f t="shared" si="63"/>
        <v>#REF!</v>
      </c>
      <c r="M188" s="9" t="e">
        <f t="shared" si="64"/>
        <v>#REF!</v>
      </c>
      <c r="N188" s="10" t="e">
        <f t="shared" si="65"/>
        <v>#REF!</v>
      </c>
      <c r="O188" s="1" t="e">
        <f>SUMIFS(#REF!,#REF!,
 $A188,#REF!,
 "&gt;="&amp;INT($Q$1),#REF!,
 "&lt;="&amp;INT($R$1)
)</f>
        <v>#REF!</v>
      </c>
      <c r="P188" s="1" t="e">
        <f t="shared" si="66"/>
        <v>#REF!</v>
      </c>
      <c r="Q188" s="9" t="e">
        <f t="shared" si="67"/>
        <v>#REF!</v>
      </c>
      <c r="R188" s="10" t="e">
        <f t="shared" si="68"/>
        <v>#REF!</v>
      </c>
      <c r="S188" s="1" t="e">
        <f>SUMIFS(#REF!,#REF!,
 $A188,#REF!,
 "&gt;="&amp;INT($U$1),#REF!,
 "&lt;="&amp;INT($V$1)
)</f>
        <v>#REF!</v>
      </c>
      <c r="T188" s="1" t="e">
        <f t="shared" si="69"/>
        <v>#REF!</v>
      </c>
      <c r="U188" s="9" t="e">
        <f t="shared" si="70"/>
        <v>#REF!</v>
      </c>
      <c r="V188" s="10" t="e">
        <f t="shared" si="71"/>
        <v>#REF!</v>
      </c>
      <c r="W188" s="1" t="e">
        <f>SUMIFS(#REF!,#REF!,
 $A188,#REF!,
 "&gt;="&amp;INT($Y$1),#REF!,
 "&lt;="&amp;INT($Z$1)
)</f>
        <v>#REF!</v>
      </c>
      <c r="X188" s="1" t="e">
        <f t="shared" si="72"/>
        <v>#REF!</v>
      </c>
      <c r="Y188" s="9" t="e">
        <f t="shared" si="73"/>
        <v>#REF!</v>
      </c>
      <c r="Z188" s="10" t="e">
        <f t="shared" si="74"/>
        <v>#REF!</v>
      </c>
      <c r="AA188" s="1" t="e">
        <f>SUMIFS(#REF!,#REF!,
 $A188,#REF!,
 "&gt;="&amp;INT($AC$1),#REF!,
 "&lt;="&amp;INT($AD$1)
)</f>
        <v>#REF!</v>
      </c>
      <c r="AB188" s="1" t="e">
        <f t="shared" si="75"/>
        <v>#REF!</v>
      </c>
      <c r="AC188" s="9" t="e">
        <f t="shared" si="76"/>
        <v>#REF!</v>
      </c>
      <c r="AD188" s="10" t="e">
        <f t="shared" si="77"/>
        <v>#REF!</v>
      </c>
      <c r="AE188" s="1" t="e">
        <f>SUMIFS(#REF!,#REF!,
 $A188,#REF!,
 "&gt;="&amp;INT($AG$1),#REF!,
 "&lt;="&amp;INT($AH$1)
)</f>
        <v>#REF!</v>
      </c>
      <c r="AF188" s="1" t="e">
        <f t="shared" si="78"/>
        <v>#REF!</v>
      </c>
      <c r="AG188" s="9" t="e">
        <f t="shared" si="79"/>
        <v>#REF!</v>
      </c>
      <c r="AH188" s="10" t="e">
        <f t="shared" si="80"/>
        <v>#REF!</v>
      </c>
      <c r="AI188" s="1" t="e">
        <f>SUMIFS(#REF!,#REF!,
 $A188,#REF!,
 "&gt;="&amp;INT($AK$1),#REF!,
 "&lt;="&amp;INT($AL$1)
)</f>
        <v>#REF!</v>
      </c>
      <c r="AJ188" s="1" t="e">
        <f t="shared" si="81"/>
        <v>#REF!</v>
      </c>
      <c r="AK188" s="9" t="e">
        <f t="shared" si="82"/>
        <v>#REF!</v>
      </c>
      <c r="AL188" s="10" t="e">
        <f t="shared" si="83"/>
        <v>#REF!</v>
      </c>
      <c r="AM188" s="1" t="e">
        <f>SUMIFS(#REF!,#REF!,
 $A188,#REF!,
 "&gt;="&amp;INT($AO$1),#REF!,
 "&lt;="&amp;INT($AP$1)
)</f>
        <v>#REF!</v>
      </c>
      <c r="AN188" s="1" t="e">
        <f t="shared" si="84"/>
        <v>#REF!</v>
      </c>
      <c r="AO188" s="9" t="e">
        <f t="shared" si="85"/>
        <v>#REF!</v>
      </c>
      <c r="AP188" s="10" t="e">
        <f t="shared" si="86"/>
        <v>#REF!</v>
      </c>
      <c r="AQ188" s="1" t="e">
        <f>SUMIFS(#REF!,#REF!,
 $A188,#REF!,
 "&gt;="&amp;INT($AS$1),#REF!,
 "&lt;="&amp;INT($AT$1)
)</f>
        <v>#REF!</v>
      </c>
      <c r="AR188" s="1" t="e">
        <f t="shared" si="87"/>
        <v>#REF!</v>
      </c>
      <c r="AS188" s="9" t="e">
        <f t="shared" si="88"/>
        <v>#REF!</v>
      </c>
      <c r="AT188" s="10" t="e">
        <f t="shared" si="89"/>
        <v>#REF!</v>
      </c>
      <c r="AU188" s="1" t="e">
        <f>SUMIFS(#REF!,#REF!,
 $A188,#REF!,
 "&gt;="&amp;INT($AW$1),#REF!,
 "&lt;="&amp;INT($AX$1)
)</f>
        <v>#REF!</v>
      </c>
      <c r="AV188" s="1" t="e">
        <f t="shared" si="90"/>
        <v>#REF!</v>
      </c>
      <c r="AW188" s="9" t="e">
        <f t="shared" si="91"/>
        <v>#REF!</v>
      </c>
      <c r="AX188" s="10" t="e">
        <f t="shared" si="92"/>
        <v>#REF!</v>
      </c>
    </row>
    <row r="189" spans="1:50" x14ac:dyDescent="0.25">
      <c r="A189" s="5">
        <v>233001</v>
      </c>
      <c r="B189" s="6" t="s">
        <v>186</v>
      </c>
      <c r="C189" s="1" t="e">
        <f>SUMIFS(#REF!,#REF!,
 $A189,#REF!,
 "&gt;="&amp;INT($E$1),#REF!,
 "&lt;"&amp;INT($F$1+1)
)</f>
        <v>#REF!</v>
      </c>
      <c r="D189" s="1" t="str">
        <f>""</f>
        <v/>
      </c>
      <c r="F189" s="2"/>
      <c r="G189" s="1" t="e">
        <f>SUMIFS(#REF!,#REF!,
 $A189,#REF!,
 "&gt;="&amp;INT($I$1),#REF!,
 "&lt;"&amp;INT($J$1+1)
)</f>
        <v>#REF!</v>
      </c>
      <c r="H189" s="1" t="e">
        <f t="shared" si="62"/>
        <v>#REF!</v>
      </c>
      <c r="I189" s="1"/>
      <c r="J189" s="2"/>
      <c r="K189" s="1" t="e">
        <f>SUMIFS(#REF!,#REF!,
 $A189,#REF!,
 "&gt;="&amp;INT($M$1),#REF!,
 "&lt;"&amp;INT($N$1+1)
)</f>
        <v>#REF!</v>
      </c>
      <c r="L189" s="1" t="e">
        <f t="shared" si="63"/>
        <v>#REF!</v>
      </c>
      <c r="M189" s="9" t="e">
        <f t="shared" si="64"/>
        <v>#REF!</v>
      </c>
      <c r="N189" s="10" t="e">
        <f t="shared" si="65"/>
        <v>#REF!</v>
      </c>
      <c r="O189" s="1" t="e">
        <f>SUMIFS(#REF!,#REF!,
 $A189,#REF!,
 "&gt;="&amp;INT($Q$1),#REF!,
 "&lt;="&amp;INT($R$1)
)</f>
        <v>#REF!</v>
      </c>
      <c r="P189" s="1" t="e">
        <f t="shared" si="66"/>
        <v>#REF!</v>
      </c>
      <c r="Q189" s="9" t="e">
        <f t="shared" si="67"/>
        <v>#REF!</v>
      </c>
      <c r="R189" s="10" t="e">
        <f t="shared" si="68"/>
        <v>#REF!</v>
      </c>
      <c r="S189" s="1" t="e">
        <f>SUMIFS(#REF!,#REF!,
 $A189,#REF!,
 "&gt;="&amp;INT($U$1),#REF!,
 "&lt;="&amp;INT($V$1)
)</f>
        <v>#REF!</v>
      </c>
      <c r="T189" s="1" t="e">
        <f t="shared" si="69"/>
        <v>#REF!</v>
      </c>
      <c r="U189" s="9" t="e">
        <f t="shared" si="70"/>
        <v>#REF!</v>
      </c>
      <c r="V189" s="10" t="e">
        <f t="shared" si="71"/>
        <v>#REF!</v>
      </c>
      <c r="W189" s="1" t="e">
        <f>SUMIFS(#REF!,#REF!,
 $A189,#REF!,
 "&gt;="&amp;INT($Y$1),#REF!,
 "&lt;="&amp;INT($Z$1)
)</f>
        <v>#REF!</v>
      </c>
      <c r="X189" s="1" t="e">
        <f t="shared" si="72"/>
        <v>#REF!</v>
      </c>
      <c r="Y189" s="9" t="e">
        <f t="shared" si="73"/>
        <v>#REF!</v>
      </c>
      <c r="Z189" s="10" t="e">
        <f t="shared" si="74"/>
        <v>#REF!</v>
      </c>
      <c r="AA189" s="1" t="e">
        <f>SUMIFS(#REF!,#REF!,
 $A189,#REF!,
 "&gt;="&amp;INT($AC$1),#REF!,
 "&lt;="&amp;INT($AD$1)
)</f>
        <v>#REF!</v>
      </c>
      <c r="AB189" s="1" t="e">
        <f t="shared" si="75"/>
        <v>#REF!</v>
      </c>
      <c r="AC189" s="9" t="e">
        <f t="shared" si="76"/>
        <v>#REF!</v>
      </c>
      <c r="AD189" s="10" t="e">
        <f t="shared" si="77"/>
        <v>#REF!</v>
      </c>
      <c r="AE189" s="1" t="e">
        <f>SUMIFS(#REF!,#REF!,
 $A189,#REF!,
 "&gt;="&amp;INT($AG$1),#REF!,
 "&lt;="&amp;INT($AH$1)
)</f>
        <v>#REF!</v>
      </c>
      <c r="AF189" s="1" t="e">
        <f t="shared" si="78"/>
        <v>#REF!</v>
      </c>
      <c r="AG189" s="9" t="e">
        <f t="shared" si="79"/>
        <v>#REF!</v>
      </c>
      <c r="AH189" s="10" t="e">
        <f t="shared" si="80"/>
        <v>#REF!</v>
      </c>
      <c r="AI189" s="1" t="e">
        <f>SUMIFS(#REF!,#REF!,
 $A189,#REF!,
 "&gt;="&amp;INT($AK$1),#REF!,
 "&lt;="&amp;INT($AL$1)
)</f>
        <v>#REF!</v>
      </c>
      <c r="AJ189" s="1" t="e">
        <f t="shared" si="81"/>
        <v>#REF!</v>
      </c>
      <c r="AK189" s="9" t="e">
        <f t="shared" si="82"/>
        <v>#REF!</v>
      </c>
      <c r="AL189" s="10" t="e">
        <f t="shared" si="83"/>
        <v>#REF!</v>
      </c>
      <c r="AM189" s="1" t="e">
        <f>SUMIFS(#REF!,#REF!,
 $A189,#REF!,
 "&gt;="&amp;INT($AO$1),#REF!,
 "&lt;="&amp;INT($AP$1)
)</f>
        <v>#REF!</v>
      </c>
      <c r="AN189" s="1" t="e">
        <f t="shared" si="84"/>
        <v>#REF!</v>
      </c>
      <c r="AO189" s="9" t="e">
        <f t="shared" si="85"/>
        <v>#REF!</v>
      </c>
      <c r="AP189" s="10" t="e">
        <f t="shared" si="86"/>
        <v>#REF!</v>
      </c>
      <c r="AQ189" s="1" t="e">
        <f>SUMIFS(#REF!,#REF!,
 $A189,#REF!,
 "&gt;="&amp;INT($AS$1),#REF!,
 "&lt;="&amp;INT($AT$1)
)</f>
        <v>#REF!</v>
      </c>
      <c r="AR189" s="1" t="e">
        <f t="shared" si="87"/>
        <v>#REF!</v>
      </c>
      <c r="AS189" s="9" t="e">
        <f t="shared" si="88"/>
        <v>#REF!</v>
      </c>
      <c r="AT189" s="10" t="e">
        <f t="shared" si="89"/>
        <v>#REF!</v>
      </c>
      <c r="AU189" s="1" t="e">
        <f>SUMIFS(#REF!,#REF!,
 $A189,#REF!,
 "&gt;="&amp;INT($AW$1),#REF!,
 "&lt;="&amp;INT($AX$1)
)</f>
        <v>#REF!</v>
      </c>
      <c r="AV189" s="1" t="e">
        <f t="shared" si="90"/>
        <v>#REF!</v>
      </c>
      <c r="AW189" s="9" t="e">
        <f t="shared" si="91"/>
        <v>#REF!</v>
      </c>
      <c r="AX189" s="10" t="e">
        <f t="shared" si="92"/>
        <v>#REF!</v>
      </c>
    </row>
    <row r="190" spans="1:50" x14ac:dyDescent="0.25">
      <c r="A190" s="5">
        <v>233002</v>
      </c>
      <c r="B190" s="6" t="s">
        <v>187</v>
      </c>
      <c r="C190" s="1" t="e">
        <f>SUMIFS(#REF!,#REF!,
 $A190,#REF!,
 "&gt;="&amp;INT($E$1),#REF!,
 "&lt;"&amp;INT($F$1+1)
)</f>
        <v>#REF!</v>
      </c>
      <c r="D190" s="1" t="str">
        <f>""</f>
        <v/>
      </c>
      <c r="F190" s="2"/>
      <c r="G190" s="1" t="e">
        <f>SUMIFS(#REF!,#REF!,
 $A190,#REF!,
 "&gt;="&amp;INT($I$1),#REF!,
 "&lt;"&amp;INT($J$1+1)
)</f>
        <v>#REF!</v>
      </c>
      <c r="H190" s="1" t="e">
        <f t="shared" si="62"/>
        <v>#REF!</v>
      </c>
      <c r="I190" s="1"/>
      <c r="J190" s="2"/>
      <c r="K190" s="1" t="e">
        <f>SUMIFS(#REF!,#REF!,
 $A190,#REF!,
 "&gt;="&amp;INT($M$1),#REF!,
 "&lt;"&amp;INT($N$1+1)
)</f>
        <v>#REF!</v>
      </c>
      <c r="L190" s="1" t="e">
        <f t="shared" si="63"/>
        <v>#REF!</v>
      </c>
      <c r="M190" s="9" t="e">
        <f t="shared" si="64"/>
        <v>#REF!</v>
      </c>
      <c r="N190" s="10" t="e">
        <f t="shared" si="65"/>
        <v>#REF!</v>
      </c>
      <c r="O190" s="1" t="e">
        <f>SUMIFS(#REF!,#REF!,
 $A190,#REF!,
 "&gt;="&amp;INT($Q$1),#REF!,
 "&lt;="&amp;INT($R$1)
)</f>
        <v>#REF!</v>
      </c>
      <c r="P190" s="1" t="e">
        <f t="shared" si="66"/>
        <v>#REF!</v>
      </c>
      <c r="Q190" s="9" t="e">
        <f t="shared" si="67"/>
        <v>#REF!</v>
      </c>
      <c r="R190" s="10" t="e">
        <f t="shared" si="68"/>
        <v>#REF!</v>
      </c>
      <c r="S190" s="1" t="e">
        <f>SUMIFS(#REF!,#REF!,
 $A190,#REF!,
 "&gt;="&amp;INT($U$1),#REF!,
 "&lt;="&amp;INT($V$1)
)</f>
        <v>#REF!</v>
      </c>
      <c r="T190" s="1" t="e">
        <f t="shared" si="69"/>
        <v>#REF!</v>
      </c>
      <c r="U190" s="9" t="e">
        <f t="shared" si="70"/>
        <v>#REF!</v>
      </c>
      <c r="V190" s="10" t="e">
        <f t="shared" si="71"/>
        <v>#REF!</v>
      </c>
      <c r="W190" s="1" t="e">
        <f>SUMIFS(#REF!,#REF!,
 $A190,#REF!,
 "&gt;="&amp;INT($Y$1),#REF!,
 "&lt;="&amp;INT($Z$1)
)</f>
        <v>#REF!</v>
      </c>
      <c r="X190" s="1" t="e">
        <f t="shared" si="72"/>
        <v>#REF!</v>
      </c>
      <c r="Y190" s="9" t="e">
        <f t="shared" si="73"/>
        <v>#REF!</v>
      </c>
      <c r="Z190" s="10" t="e">
        <f t="shared" si="74"/>
        <v>#REF!</v>
      </c>
      <c r="AA190" s="1" t="e">
        <f>SUMIFS(#REF!,#REF!,
 $A190,#REF!,
 "&gt;="&amp;INT($AC$1),#REF!,
 "&lt;="&amp;INT($AD$1)
)</f>
        <v>#REF!</v>
      </c>
      <c r="AB190" s="1" t="e">
        <f t="shared" si="75"/>
        <v>#REF!</v>
      </c>
      <c r="AC190" s="9" t="e">
        <f t="shared" si="76"/>
        <v>#REF!</v>
      </c>
      <c r="AD190" s="10" t="e">
        <f t="shared" si="77"/>
        <v>#REF!</v>
      </c>
      <c r="AE190" s="1" t="e">
        <f>SUMIFS(#REF!,#REF!,
 $A190,#REF!,
 "&gt;="&amp;INT($AG$1),#REF!,
 "&lt;="&amp;INT($AH$1)
)</f>
        <v>#REF!</v>
      </c>
      <c r="AF190" s="1" t="e">
        <f t="shared" si="78"/>
        <v>#REF!</v>
      </c>
      <c r="AG190" s="9" t="e">
        <f t="shared" si="79"/>
        <v>#REF!</v>
      </c>
      <c r="AH190" s="10" t="e">
        <f t="shared" si="80"/>
        <v>#REF!</v>
      </c>
      <c r="AI190" s="1" t="e">
        <f>SUMIFS(#REF!,#REF!,
 $A190,#REF!,
 "&gt;="&amp;INT($AK$1),#REF!,
 "&lt;="&amp;INT($AL$1)
)</f>
        <v>#REF!</v>
      </c>
      <c r="AJ190" s="1" t="e">
        <f t="shared" si="81"/>
        <v>#REF!</v>
      </c>
      <c r="AK190" s="9" t="e">
        <f t="shared" si="82"/>
        <v>#REF!</v>
      </c>
      <c r="AL190" s="10" t="e">
        <f t="shared" si="83"/>
        <v>#REF!</v>
      </c>
      <c r="AM190" s="1" t="e">
        <f>SUMIFS(#REF!,#REF!,
 $A190,#REF!,
 "&gt;="&amp;INT($AO$1),#REF!,
 "&lt;="&amp;INT($AP$1)
)</f>
        <v>#REF!</v>
      </c>
      <c r="AN190" s="1" t="e">
        <f t="shared" si="84"/>
        <v>#REF!</v>
      </c>
      <c r="AO190" s="9" t="e">
        <f t="shared" si="85"/>
        <v>#REF!</v>
      </c>
      <c r="AP190" s="10" t="e">
        <f t="shared" si="86"/>
        <v>#REF!</v>
      </c>
      <c r="AQ190" s="1" t="e">
        <f>SUMIFS(#REF!,#REF!,
 $A190,#REF!,
 "&gt;="&amp;INT($AS$1),#REF!,
 "&lt;="&amp;INT($AT$1)
)</f>
        <v>#REF!</v>
      </c>
      <c r="AR190" s="1" t="e">
        <f t="shared" si="87"/>
        <v>#REF!</v>
      </c>
      <c r="AS190" s="9" t="e">
        <f t="shared" si="88"/>
        <v>#REF!</v>
      </c>
      <c r="AT190" s="10" t="e">
        <f t="shared" si="89"/>
        <v>#REF!</v>
      </c>
      <c r="AU190" s="1" t="e">
        <f>SUMIFS(#REF!,#REF!,
 $A190,#REF!,
 "&gt;="&amp;INT($AW$1),#REF!,
 "&lt;="&amp;INT($AX$1)
)</f>
        <v>#REF!</v>
      </c>
      <c r="AV190" s="1" t="e">
        <f t="shared" si="90"/>
        <v>#REF!</v>
      </c>
      <c r="AW190" s="9" t="e">
        <f t="shared" si="91"/>
        <v>#REF!</v>
      </c>
      <c r="AX190" s="10" t="e">
        <f t="shared" si="92"/>
        <v>#REF!</v>
      </c>
    </row>
    <row r="191" spans="1:50" x14ac:dyDescent="0.25">
      <c r="A191" s="5">
        <v>233003</v>
      </c>
      <c r="B191" s="6" t="s">
        <v>188</v>
      </c>
      <c r="C191" s="1" t="e">
        <f>SUMIFS(#REF!,#REF!,
 $A191,#REF!,
 "&gt;="&amp;INT($E$1),#REF!,
 "&lt;"&amp;INT($F$1+1)
)</f>
        <v>#REF!</v>
      </c>
      <c r="D191" s="1" t="str">
        <f>""</f>
        <v/>
      </c>
      <c r="F191" s="2"/>
      <c r="G191" s="1" t="e">
        <f>SUMIFS(#REF!,#REF!,
 $A191,#REF!,
 "&gt;="&amp;INT($I$1),#REF!,
 "&lt;"&amp;INT($J$1+1)
)</f>
        <v>#REF!</v>
      </c>
      <c r="H191" s="1" t="e">
        <f t="shared" si="62"/>
        <v>#REF!</v>
      </c>
      <c r="I191" s="1"/>
      <c r="J191" s="2"/>
      <c r="K191" s="1" t="e">
        <f>SUMIFS(#REF!,#REF!,
 $A191,#REF!,
 "&gt;="&amp;INT($M$1),#REF!,
 "&lt;"&amp;INT($N$1+1)
)</f>
        <v>#REF!</v>
      </c>
      <c r="L191" s="1" t="e">
        <f t="shared" si="63"/>
        <v>#REF!</v>
      </c>
      <c r="M191" s="9" t="e">
        <f t="shared" si="64"/>
        <v>#REF!</v>
      </c>
      <c r="N191" s="10" t="e">
        <f t="shared" si="65"/>
        <v>#REF!</v>
      </c>
      <c r="O191" s="1" t="e">
        <f>SUMIFS(#REF!,#REF!,
 $A191,#REF!,
 "&gt;="&amp;INT($Q$1),#REF!,
 "&lt;="&amp;INT($R$1)
)</f>
        <v>#REF!</v>
      </c>
      <c r="P191" s="1" t="e">
        <f t="shared" si="66"/>
        <v>#REF!</v>
      </c>
      <c r="Q191" s="9" t="e">
        <f t="shared" si="67"/>
        <v>#REF!</v>
      </c>
      <c r="R191" s="10" t="e">
        <f t="shared" si="68"/>
        <v>#REF!</v>
      </c>
      <c r="S191" s="1" t="e">
        <f>SUMIFS(#REF!,#REF!,
 $A191,#REF!,
 "&gt;="&amp;INT($U$1),#REF!,
 "&lt;="&amp;INT($V$1)
)</f>
        <v>#REF!</v>
      </c>
      <c r="T191" s="1" t="e">
        <f t="shared" si="69"/>
        <v>#REF!</v>
      </c>
      <c r="U191" s="9" t="e">
        <f t="shared" si="70"/>
        <v>#REF!</v>
      </c>
      <c r="V191" s="10" t="e">
        <f t="shared" si="71"/>
        <v>#REF!</v>
      </c>
      <c r="W191" s="1" t="e">
        <f>SUMIFS(#REF!,#REF!,
 $A191,#REF!,
 "&gt;="&amp;INT($Y$1),#REF!,
 "&lt;="&amp;INT($Z$1)
)</f>
        <v>#REF!</v>
      </c>
      <c r="X191" s="1" t="e">
        <f t="shared" si="72"/>
        <v>#REF!</v>
      </c>
      <c r="Y191" s="9" t="e">
        <f t="shared" si="73"/>
        <v>#REF!</v>
      </c>
      <c r="Z191" s="10" t="e">
        <f t="shared" si="74"/>
        <v>#REF!</v>
      </c>
      <c r="AA191" s="1" t="e">
        <f>SUMIFS(#REF!,#REF!,
 $A191,#REF!,
 "&gt;="&amp;INT($AC$1),#REF!,
 "&lt;="&amp;INT($AD$1)
)</f>
        <v>#REF!</v>
      </c>
      <c r="AB191" s="1" t="e">
        <f t="shared" si="75"/>
        <v>#REF!</v>
      </c>
      <c r="AC191" s="9" t="e">
        <f t="shared" si="76"/>
        <v>#REF!</v>
      </c>
      <c r="AD191" s="10" t="e">
        <f t="shared" si="77"/>
        <v>#REF!</v>
      </c>
      <c r="AE191" s="1" t="e">
        <f>SUMIFS(#REF!,#REF!,
 $A191,#REF!,
 "&gt;="&amp;INT($AG$1),#REF!,
 "&lt;="&amp;INT($AH$1)
)</f>
        <v>#REF!</v>
      </c>
      <c r="AF191" s="1" t="e">
        <f t="shared" si="78"/>
        <v>#REF!</v>
      </c>
      <c r="AG191" s="9" t="e">
        <f t="shared" si="79"/>
        <v>#REF!</v>
      </c>
      <c r="AH191" s="10" t="e">
        <f t="shared" si="80"/>
        <v>#REF!</v>
      </c>
      <c r="AI191" s="1" t="e">
        <f>SUMIFS(#REF!,#REF!,
 $A191,#REF!,
 "&gt;="&amp;INT($AK$1),#REF!,
 "&lt;="&amp;INT($AL$1)
)</f>
        <v>#REF!</v>
      </c>
      <c r="AJ191" s="1" t="e">
        <f t="shared" si="81"/>
        <v>#REF!</v>
      </c>
      <c r="AK191" s="9" t="e">
        <f t="shared" si="82"/>
        <v>#REF!</v>
      </c>
      <c r="AL191" s="10" t="e">
        <f t="shared" si="83"/>
        <v>#REF!</v>
      </c>
      <c r="AM191" s="1" t="e">
        <f>SUMIFS(#REF!,#REF!,
 $A191,#REF!,
 "&gt;="&amp;INT($AO$1),#REF!,
 "&lt;="&amp;INT($AP$1)
)</f>
        <v>#REF!</v>
      </c>
      <c r="AN191" s="1" t="e">
        <f t="shared" si="84"/>
        <v>#REF!</v>
      </c>
      <c r="AO191" s="9" t="e">
        <f t="shared" si="85"/>
        <v>#REF!</v>
      </c>
      <c r="AP191" s="10" t="e">
        <f t="shared" si="86"/>
        <v>#REF!</v>
      </c>
      <c r="AQ191" s="1" t="e">
        <f>SUMIFS(#REF!,#REF!,
 $A191,#REF!,
 "&gt;="&amp;INT($AS$1),#REF!,
 "&lt;="&amp;INT($AT$1)
)</f>
        <v>#REF!</v>
      </c>
      <c r="AR191" s="1" t="e">
        <f t="shared" si="87"/>
        <v>#REF!</v>
      </c>
      <c r="AS191" s="9" t="e">
        <f t="shared" si="88"/>
        <v>#REF!</v>
      </c>
      <c r="AT191" s="10" t="e">
        <f t="shared" si="89"/>
        <v>#REF!</v>
      </c>
      <c r="AU191" s="1" t="e">
        <f>SUMIFS(#REF!,#REF!,
 $A191,#REF!,
 "&gt;="&amp;INT($AW$1),#REF!,
 "&lt;="&amp;INT($AX$1)
)</f>
        <v>#REF!</v>
      </c>
      <c r="AV191" s="1" t="e">
        <f t="shared" si="90"/>
        <v>#REF!</v>
      </c>
      <c r="AW191" s="9" t="e">
        <f t="shared" si="91"/>
        <v>#REF!</v>
      </c>
      <c r="AX191" s="10" t="e">
        <f t="shared" si="92"/>
        <v>#REF!</v>
      </c>
    </row>
    <row r="192" spans="1:50" x14ac:dyDescent="0.25">
      <c r="A192" s="5">
        <v>233004</v>
      </c>
      <c r="B192" s="6" t="s">
        <v>189</v>
      </c>
      <c r="C192" s="1" t="e">
        <f>SUMIFS(#REF!,#REF!,
 $A192,#REF!,
 "&gt;="&amp;INT($E$1),#REF!,
 "&lt;"&amp;INT($F$1+1)
)</f>
        <v>#REF!</v>
      </c>
      <c r="D192" s="1" t="str">
        <f>""</f>
        <v/>
      </c>
      <c r="F192" s="2"/>
      <c r="G192" s="1" t="e">
        <f>SUMIFS(#REF!,#REF!,
 $A192,#REF!,
 "&gt;="&amp;INT($I$1),#REF!,
 "&lt;"&amp;INT($J$1+1)
)</f>
        <v>#REF!</v>
      </c>
      <c r="H192" s="1" t="e">
        <f t="shared" si="62"/>
        <v>#REF!</v>
      </c>
      <c r="I192" s="1"/>
      <c r="J192" s="2"/>
      <c r="K192" s="1" t="e">
        <f>SUMIFS(#REF!,#REF!,
 $A192,#REF!,
 "&gt;="&amp;INT($M$1),#REF!,
 "&lt;"&amp;INT($N$1+1)
)</f>
        <v>#REF!</v>
      </c>
      <c r="L192" s="1" t="e">
        <f t="shared" si="63"/>
        <v>#REF!</v>
      </c>
      <c r="M192" s="9" t="e">
        <f t="shared" si="64"/>
        <v>#REF!</v>
      </c>
      <c r="N192" s="10" t="e">
        <f t="shared" si="65"/>
        <v>#REF!</v>
      </c>
      <c r="O192" s="1" t="e">
        <f>SUMIFS(#REF!,#REF!,
 $A192,#REF!,
 "&gt;="&amp;INT($Q$1),#REF!,
 "&lt;="&amp;INT($R$1)
)</f>
        <v>#REF!</v>
      </c>
      <c r="P192" s="1" t="e">
        <f t="shared" si="66"/>
        <v>#REF!</v>
      </c>
      <c r="Q192" s="9" t="e">
        <f t="shared" si="67"/>
        <v>#REF!</v>
      </c>
      <c r="R192" s="10" t="e">
        <f t="shared" si="68"/>
        <v>#REF!</v>
      </c>
      <c r="S192" s="1" t="e">
        <f>SUMIFS(#REF!,#REF!,
 $A192,#REF!,
 "&gt;="&amp;INT($U$1),#REF!,
 "&lt;="&amp;INT($V$1)
)</f>
        <v>#REF!</v>
      </c>
      <c r="T192" s="1" t="e">
        <f t="shared" si="69"/>
        <v>#REF!</v>
      </c>
      <c r="U192" s="9" t="e">
        <f t="shared" si="70"/>
        <v>#REF!</v>
      </c>
      <c r="V192" s="10" t="e">
        <f t="shared" si="71"/>
        <v>#REF!</v>
      </c>
      <c r="W192" s="1" t="e">
        <f>SUMIFS(#REF!,#REF!,
 $A192,#REF!,
 "&gt;="&amp;INT($Y$1),#REF!,
 "&lt;="&amp;INT($Z$1)
)</f>
        <v>#REF!</v>
      </c>
      <c r="X192" s="1" t="e">
        <f t="shared" si="72"/>
        <v>#REF!</v>
      </c>
      <c r="Y192" s="9" t="e">
        <f t="shared" si="73"/>
        <v>#REF!</v>
      </c>
      <c r="Z192" s="10" t="e">
        <f t="shared" si="74"/>
        <v>#REF!</v>
      </c>
      <c r="AA192" s="1" t="e">
        <f>SUMIFS(#REF!,#REF!,
 $A192,#REF!,
 "&gt;="&amp;INT($AC$1),#REF!,
 "&lt;="&amp;INT($AD$1)
)</f>
        <v>#REF!</v>
      </c>
      <c r="AB192" s="1" t="e">
        <f t="shared" si="75"/>
        <v>#REF!</v>
      </c>
      <c r="AC192" s="9" t="e">
        <f t="shared" si="76"/>
        <v>#REF!</v>
      </c>
      <c r="AD192" s="10" t="e">
        <f t="shared" si="77"/>
        <v>#REF!</v>
      </c>
      <c r="AE192" s="1" t="e">
        <f>SUMIFS(#REF!,#REF!,
 $A192,#REF!,
 "&gt;="&amp;INT($AG$1),#REF!,
 "&lt;="&amp;INT($AH$1)
)</f>
        <v>#REF!</v>
      </c>
      <c r="AF192" s="1" t="e">
        <f t="shared" si="78"/>
        <v>#REF!</v>
      </c>
      <c r="AG192" s="9" t="e">
        <f t="shared" si="79"/>
        <v>#REF!</v>
      </c>
      <c r="AH192" s="10" t="e">
        <f t="shared" si="80"/>
        <v>#REF!</v>
      </c>
      <c r="AI192" s="1" t="e">
        <f>SUMIFS(#REF!,#REF!,
 $A192,#REF!,
 "&gt;="&amp;INT($AK$1),#REF!,
 "&lt;="&amp;INT($AL$1)
)</f>
        <v>#REF!</v>
      </c>
      <c r="AJ192" s="1" t="e">
        <f t="shared" si="81"/>
        <v>#REF!</v>
      </c>
      <c r="AK192" s="9" t="e">
        <f t="shared" si="82"/>
        <v>#REF!</v>
      </c>
      <c r="AL192" s="10" t="e">
        <f t="shared" si="83"/>
        <v>#REF!</v>
      </c>
      <c r="AM192" s="1" t="e">
        <f>SUMIFS(#REF!,#REF!,
 $A192,#REF!,
 "&gt;="&amp;INT($AO$1),#REF!,
 "&lt;="&amp;INT($AP$1)
)</f>
        <v>#REF!</v>
      </c>
      <c r="AN192" s="1" t="e">
        <f t="shared" si="84"/>
        <v>#REF!</v>
      </c>
      <c r="AO192" s="9" t="e">
        <f t="shared" si="85"/>
        <v>#REF!</v>
      </c>
      <c r="AP192" s="10" t="e">
        <f t="shared" si="86"/>
        <v>#REF!</v>
      </c>
      <c r="AQ192" s="1" t="e">
        <f>SUMIFS(#REF!,#REF!,
 $A192,#REF!,
 "&gt;="&amp;INT($AS$1),#REF!,
 "&lt;="&amp;INT($AT$1)
)</f>
        <v>#REF!</v>
      </c>
      <c r="AR192" s="1" t="e">
        <f t="shared" si="87"/>
        <v>#REF!</v>
      </c>
      <c r="AS192" s="9" t="e">
        <f t="shared" si="88"/>
        <v>#REF!</v>
      </c>
      <c r="AT192" s="10" t="e">
        <f t="shared" si="89"/>
        <v>#REF!</v>
      </c>
      <c r="AU192" s="1" t="e">
        <f>SUMIFS(#REF!,#REF!,
 $A192,#REF!,
 "&gt;="&amp;INT($AW$1),#REF!,
 "&lt;="&amp;INT($AX$1)
)</f>
        <v>#REF!</v>
      </c>
      <c r="AV192" s="1" t="e">
        <f t="shared" si="90"/>
        <v>#REF!</v>
      </c>
      <c r="AW192" s="9" t="e">
        <f t="shared" si="91"/>
        <v>#REF!</v>
      </c>
      <c r="AX192" s="10" t="e">
        <f t="shared" si="92"/>
        <v>#REF!</v>
      </c>
    </row>
    <row r="193" spans="1:50" x14ac:dyDescent="0.25">
      <c r="A193" s="5">
        <v>234001</v>
      </c>
      <c r="B193" s="6" t="s">
        <v>190</v>
      </c>
      <c r="C193" s="1" t="e">
        <f>SUMIFS(#REF!,#REF!,
 $A193,#REF!,
 "&gt;="&amp;INT($E$1),#REF!,
 "&lt;"&amp;INT($F$1+1)
)</f>
        <v>#REF!</v>
      </c>
      <c r="D193" s="1" t="str">
        <f>""</f>
        <v/>
      </c>
      <c r="F193" s="2"/>
      <c r="G193" s="1" t="e">
        <f>SUMIFS(#REF!,#REF!,
 $A193,#REF!,
 "&gt;="&amp;INT($I$1),#REF!,
 "&lt;"&amp;INT($J$1+1)
)</f>
        <v>#REF!</v>
      </c>
      <c r="H193" s="1" t="e">
        <f t="shared" si="62"/>
        <v>#REF!</v>
      </c>
      <c r="I193" s="1"/>
      <c r="J193" s="2"/>
      <c r="K193" s="1" t="e">
        <f>SUMIFS(#REF!,#REF!,
 $A193,#REF!,
 "&gt;="&amp;INT($M$1),#REF!,
 "&lt;"&amp;INT($N$1+1)
)</f>
        <v>#REF!</v>
      </c>
      <c r="L193" s="1" t="e">
        <f t="shared" si="63"/>
        <v>#REF!</v>
      </c>
      <c r="M193" s="9" t="e">
        <f t="shared" si="64"/>
        <v>#REF!</v>
      </c>
      <c r="N193" s="10" t="e">
        <f t="shared" si="65"/>
        <v>#REF!</v>
      </c>
      <c r="O193" s="1" t="e">
        <f>SUMIFS(#REF!,#REF!,
 $A193,#REF!,
 "&gt;="&amp;INT($Q$1),#REF!,
 "&lt;="&amp;INT($R$1)
)</f>
        <v>#REF!</v>
      </c>
      <c r="P193" s="1" t="e">
        <f t="shared" si="66"/>
        <v>#REF!</v>
      </c>
      <c r="Q193" s="9" t="e">
        <f t="shared" si="67"/>
        <v>#REF!</v>
      </c>
      <c r="R193" s="10" t="e">
        <f t="shared" si="68"/>
        <v>#REF!</v>
      </c>
      <c r="S193" s="1" t="e">
        <f>SUMIFS(#REF!,#REF!,
 $A193,#REF!,
 "&gt;="&amp;INT($U$1),#REF!,
 "&lt;="&amp;INT($V$1)
)</f>
        <v>#REF!</v>
      </c>
      <c r="T193" s="1" t="e">
        <f t="shared" si="69"/>
        <v>#REF!</v>
      </c>
      <c r="U193" s="9" t="e">
        <f t="shared" si="70"/>
        <v>#REF!</v>
      </c>
      <c r="V193" s="10" t="e">
        <f t="shared" si="71"/>
        <v>#REF!</v>
      </c>
      <c r="W193" s="1" t="e">
        <f>SUMIFS(#REF!,#REF!,
 $A193,#REF!,
 "&gt;="&amp;INT($Y$1),#REF!,
 "&lt;="&amp;INT($Z$1)
)</f>
        <v>#REF!</v>
      </c>
      <c r="X193" s="1" t="e">
        <f t="shared" si="72"/>
        <v>#REF!</v>
      </c>
      <c r="Y193" s="9" t="e">
        <f t="shared" si="73"/>
        <v>#REF!</v>
      </c>
      <c r="Z193" s="10" t="e">
        <f t="shared" si="74"/>
        <v>#REF!</v>
      </c>
      <c r="AA193" s="1" t="e">
        <f>SUMIFS(#REF!,#REF!,
 $A193,#REF!,
 "&gt;="&amp;INT($AC$1),#REF!,
 "&lt;="&amp;INT($AD$1)
)</f>
        <v>#REF!</v>
      </c>
      <c r="AB193" s="1" t="e">
        <f t="shared" si="75"/>
        <v>#REF!</v>
      </c>
      <c r="AC193" s="9" t="e">
        <f t="shared" si="76"/>
        <v>#REF!</v>
      </c>
      <c r="AD193" s="10" t="e">
        <f t="shared" si="77"/>
        <v>#REF!</v>
      </c>
      <c r="AE193" s="1" t="e">
        <f>SUMIFS(#REF!,#REF!,
 $A193,#REF!,
 "&gt;="&amp;INT($AG$1),#REF!,
 "&lt;="&amp;INT($AH$1)
)</f>
        <v>#REF!</v>
      </c>
      <c r="AF193" s="1" t="e">
        <f t="shared" si="78"/>
        <v>#REF!</v>
      </c>
      <c r="AG193" s="9" t="e">
        <f t="shared" si="79"/>
        <v>#REF!</v>
      </c>
      <c r="AH193" s="10" t="e">
        <f t="shared" si="80"/>
        <v>#REF!</v>
      </c>
      <c r="AI193" s="1" t="e">
        <f>SUMIFS(#REF!,#REF!,
 $A193,#REF!,
 "&gt;="&amp;INT($AK$1),#REF!,
 "&lt;="&amp;INT($AL$1)
)</f>
        <v>#REF!</v>
      </c>
      <c r="AJ193" s="1" t="e">
        <f t="shared" si="81"/>
        <v>#REF!</v>
      </c>
      <c r="AK193" s="9" t="e">
        <f t="shared" si="82"/>
        <v>#REF!</v>
      </c>
      <c r="AL193" s="10" t="e">
        <f t="shared" si="83"/>
        <v>#REF!</v>
      </c>
      <c r="AM193" s="1" t="e">
        <f>SUMIFS(#REF!,#REF!,
 $A193,#REF!,
 "&gt;="&amp;INT($AO$1),#REF!,
 "&lt;="&amp;INT($AP$1)
)</f>
        <v>#REF!</v>
      </c>
      <c r="AN193" s="1" t="e">
        <f t="shared" si="84"/>
        <v>#REF!</v>
      </c>
      <c r="AO193" s="9" t="e">
        <f t="shared" si="85"/>
        <v>#REF!</v>
      </c>
      <c r="AP193" s="10" t="e">
        <f t="shared" si="86"/>
        <v>#REF!</v>
      </c>
      <c r="AQ193" s="1" t="e">
        <f>SUMIFS(#REF!,#REF!,
 $A193,#REF!,
 "&gt;="&amp;INT($AS$1),#REF!,
 "&lt;="&amp;INT($AT$1)
)</f>
        <v>#REF!</v>
      </c>
      <c r="AR193" s="1" t="e">
        <f t="shared" si="87"/>
        <v>#REF!</v>
      </c>
      <c r="AS193" s="9" t="e">
        <f t="shared" si="88"/>
        <v>#REF!</v>
      </c>
      <c r="AT193" s="10" t="e">
        <f t="shared" si="89"/>
        <v>#REF!</v>
      </c>
      <c r="AU193" s="1" t="e">
        <f>SUMIFS(#REF!,#REF!,
 $A193,#REF!,
 "&gt;="&amp;INT($AW$1),#REF!,
 "&lt;="&amp;INT($AX$1)
)</f>
        <v>#REF!</v>
      </c>
      <c r="AV193" s="1" t="e">
        <f t="shared" si="90"/>
        <v>#REF!</v>
      </c>
      <c r="AW193" s="9" t="e">
        <f t="shared" si="91"/>
        <v>#REF!</v>
      </c>
      <c r="AX193" s="10" t="e">
        <f t="shared" si="92"/>
        <v>#REF!</v>
      </c>
    </row>
    <row r="194" spans="1:50" x14ac:dyDescent="0.25">
      <c r="A194" s="5">
        <v>234011</v>
      </c>
      <c r="B194" s="6" t="s">
        <v>191</v>
      </c>
      <c r="C194" s="1" t="e">
        <f>SUMIFS(#REF!,#REF!,
 $A194,#REF!,
 "&gt;="&amp;INT($E$1),#REF!,
 "&lt;"&amp;INT($F$1+1)
)</f>
        <v>#REF!</v>
      </c>
      <c r="D194" s="1" t="str">
        <f>""</f>
        <v/>
      </c>
      <c r="F194" s="2"/>
      <c r="G194" s="1" t="e">
        <f>SUMIFS(#REF!,#REF!,
 $A194,#REF!,
 "&gt;="&amp;INT($I$1),#REF!,
 "&lt;"&amp;INT($J$1+1)
)</f>
        <v>#REF!</v>
      </c>
      <c r="H194" s="1" t="e">
        <f t="shared" si="62"/>
        <v>#REF!</v>
      </c>
      <c r="I194" s="1"/>
      <c r="J194" s="2"/>
      <c r="K194" s="1" t="e">
        <f>SUMIFS(#REF!,#REF!,
 $A194,#REF!,
 "&gt;="&amp;INT($M$1),#REF!,
 "&lt;"&amp;INT($N$1+1)
)</f>
        <v>#REF!</v>
      </c>
      <c r="L194" s="1" t="e">
        <f t="shared" si="63"/>
        <v>#REF!</v>
      </c>
      <c r="M194" s="9" t="e">
        <f t="shared" si="64"/>
        <v>#REF!</v>
      </c>
      <c r="N194" s="10" t="e">
        <f t="shared" si="65"/>
        <v>#REF!</v>
      </c>
      <c r="O194" s="1" t="e">
        <f>SUMIFS(#REF!,#REF!,
 $A194,#REF!,
 "&gt;="&amp;INT($Q$1),#REF!,
 "&lt;="&amp;INT($R$1)
)</f>
        <v>#REF!</v>
      </c>
      <c r="P194" s="1" t="e">
        <f t="shared" si="66"/>
        <v>#REF!</v>
      </c>
      <c r="Q194" s="9" t="e">
        <f t="shared" si="67"/>
        <v>#REF!</v>
      </c>
      <c r="R194" s="10" t="e">
        <f t="shared" si="68"/>
        <v>#REF!</v>
      </c>
      <c r="S194" s="1" t="e">
        <f>SUMIFS(#REF!,#REF!,
 $A194,#REF!,
 "&gt;="&amp;INT($U$1),#REF!,
 "&lt;="&amp;INT($V$1)
)</f>
        <v>#REF!</v>
      </c>
      <c r="T194" s="1" t="e">
        <f t="shared" si="69"/>
        <v>#REF!</v>
      </c>
      <c r="U194" s="9" t="e">
        <f t="shared" si="70"/>
        <v>#REF!</v>
      </c>
      <c r="V194" s="10" t="e">
        <f t="shared" si="71"/>
        <v>#REF!</v>
      </c>
      <c r="W194" s="1" t="e">
        <f>SUMIFS(#REF!,#REF!,
 $A194,#REF!,
 "&gt;="&amp;INT($Y$1),#REF!,
 "&lt;="&amp;INT($Z$1)
)</f>
        <v>#REF!</v>
      </c>
      <c r="X194" s="1" t="e">
        <f t="shared" si="72"/>
        <v>#REF!</v>
      </c>
      <c r="Y194" s="9" t="e">
        <f t="shared" si="73"/>
        <v>#REF!</v>
      </c>
      <c r="Z194" s="10" t="e">
        <f t="shared" si="74"/>
        <v>#REF!</v>
      </c>
      <c r="AA194" s="1" t="e">
        <f>SUMIFS(#REF!,#REF!,
 $A194,#REF!,
 "&gt;="&amp;INT($AC$1),#REF!,
 "&lt;="&amp;INT($AD$1)
)</f>
        <v>#REF!</v>
      </c>
      <c r="AB194" s="1" t="e">
        <f t="shared" si="75"/>
        <v>#REF!</v>
      </c>
      <c r="AC194" s="9" t="e">
        <f t="shared" si="76"/>
        <v>#REF!</v>
      </c>
      <c r="AD194" s="10" t="e">
        <f t="shared" si="77"/>
        <v>#REF!</v>
      </c>
      <c r="AE194" s="1" t="e">
        <f>SUMIFS(#REF!,#REF!,
 $A194,#REF!,
 "&gt;="&amp;INT($AG$1),#REF!,
 "&lt;="&amp;INT($AH$1)
)</f>
        <v>#REF!</v>
      </c>
      <c r="AF194" s="1" t="e">
        <f t="shared" si="78"/>
        <v>#REF!</v>
      </c>
      <c r="AG194" s="9" t="e">
        <f t="shared" si="79"/>
        <v>#REF!</v>
      </c>
      <c r="AH194" s="10" t="e">
        <f t="shared" si="80"/>
        <v>#REF!</v>
      </c>
      <c r="AI194" s="1" t="e">
        <f>SUMIFS(#REF!,#REF!,
 $A194,#REF!,
 "&gt;="&amp;INT($AK$1),#REF!,
 "&lt;="&amp;INT($AL$1)
)</f>
        <v>#REF!</v>
      </c>
      <c r="AJ194" s="1" t="e">
        <f t="shared" si="81"/>
        <v>#REF!</v>
      </c>
      <c r="AK194" s="9" t="e">
        <f t="shared" si="82"/>
        <v>#REF!</v>
      </c>
      <c r="AL194" s="10" t="e">
        <f t="shared" si="83"/>
        <v>#REF!</v>
      </c>
      <c r="AM194" s="1" t="e">
        <f>SUMIFS(#REF!,#REF!,
 $A194,#REF!,
 "&gt;="&amp;INT($AO$1),#REF!,
 "&lt;="&amp;INT($AP$1)
)</f>
        <v>#REF!</v>
      </c>
      <c r="AN194" s="1" t="e">
        <f t="shared" si="84"/>
        <v>#REF!</v>
      </c>
      <c r="AO194" s="9" t="e">
        <f t="shared" si="85"/>
        <v>#REF!</v>
      </c>
      <c r="AP194" s="10" t="e">
        <f t="shared" si="86"/>
        <v>#REF!</v>
      </c>
      <c r="AQ194" s="1" t="e">
        <f>SUMIFS(#REF!,#REF!,
 $A194,#REF!,
 "&gt;="&amp;INT($AS$1),#REF!,
 "&lt;="&amp;INT($AT$1)
)</f>
        <v>#REF!</v>
      </c>
      <c r="AR194" s="1" t="e">
        <f t="shared" si="87"/>
        <v>#REF!</v>
      </c>
      <c r="AS194" s="9" t="e">
        <f t="shared" si="88"/>
        <v>#REF!</v>
      </c>
      <c r="AT194" s="10" t="e">
        <f t="shared" si="89"/>
        <v>#REF!</v>
      </c>
      <c r="AU194" s="1" t="e">
        <f>SUMIFS(#REF!,#REF!,
 $A194,#REF!,
 "&gt;="&amp;INT($AW$1),#REF!,
 "&lt;="&amp;INT($AX$1)
)</f>
        <v>#REF!</v>
      </c>
      <c r="AV194" s="1" t="e">
        <f t="shared" si="90"/>
        <v>#REF!</v>
      </c>
      <c r="AW194" s="9" t="e">
        <f t="shared" si="91"/>
        <v>#REF!</v>
      </c>
      <c r="AX194" s="10" t="e">
        <f t="shared" si="92"/>
        <v>#REF!</v>
      </c>
    </row>
    <row r="195" spans="1:50" x14ac:dyDescent="0.25">
      <c r="A195" s="5">
        <v>235001</v>
      </c>
      <c r="B195" s="6" t="s">
        <v>192</v>
      </c>
      <c r="C195" s="1">
        <f>SUMIFS(
  '[1]Hoja 1'!$M:$M,
  '[1]Hoja 1'!$K:$K, $A195,
  '[1]Hoja 1'!$R:$R, "&gt;="&amp;INT($E$1),
  '[1]Hoja 1'!$R:$R, "&lt;"&amp;INT($F$1+1)
)</f>
        <v>0</v>
      </c>
      <c r="D195" s="1" t="str">
        <f>""</f>
        <v/>
      </c>
      <c r="F195" s="2"/>
      <c r="G195" s="1">
        <f>SUMIFS(
  '[1]Hoja 1'!$M:$M,
  '[1]Hoja 1'!$K:$K, $A195,
  '[1]Hoja 1'!$R:$R, "&gt;="&amp;INT($I$1),
  '[1]Hoja 1'!$R:$R, "&lt;"&amp;INT($J$1+1)
)</f>
        <v>0</v>
      </c>
      <c r="H195" s="1">
        <f t="shared" si="62"/>
        <v>0</v>
      </c>
      <c r="I195" s="1"/>
      <c r="J195" s="2"/>
      <c r="K195" s="1">
        <f>SUMIFS(
  '[1]Hoja 1'!$M:$M,
  '[1]Hoja 1'!$K:$K, $A195,
  '[1]Hoja 1'!$R:$R, "&gt;="&amp;INT($M$1),
  '[1]Hoja 1'!$R:$R, "&lt;"&amp;INT($N$1+1)
)</f>
        <v>0</v>
      </c>
      <c r="L195" s="1">
        <f t="shared" si="63"/>
        <v>0</v>
      </c>
      <c r="M195" s="9">
        <f t="shared" si="64"/>
        <v>0</v>
      </c>
      <c r="N195" s="10">
        <f t="shared" si="65"/>
        <v>0</v>
      </c>
      <c r="O195" s="1">
        <f>SUMIFS(
  '[1]Hoja 1'!$M:$M,
  '[1]Hoja 1'!$K:$K, $A195,
  '[1]Hoja 1'!$R:$R, "&gt;="&amp;INT($Q$1),
  '[1]Hoja 1'!$R:$R, "&lt;="&amp;INT($R$1)
)</f>
        <v>0</v>
      </c>
      <c r="P195" s="1">
        <f t="shared" si="66"/>
        <v>0</v>
      </c>
      <c r="Q195" s="9">
        <f t="shared" si="67"/>
        <v>0</v>
      </c>
      <c r="R195" s="10">
        <f t="shared" si="68"/>
        <v>0</v>
      </c>
      <c r="S195" s="1">
        <f>SUMIFS(
  '[1]Hoja 1'!$M:$M,
  '[1]Hoja 1'!$K:$K, $A195,
  '[1]Hoja 1'!$R:$R, "&gt;="&amp;INT($U$1),
  '[1]Hoja 1'!$R:$R, "&lt;="&amp;INT($V$1)
)</f>
        <v>0</v>
      </c>
      <c r="T195" s="1">
        <f t="shared" si="69"/>
        <v>0</v>
      </c>
      <c r="U195" s="9">
        <f t="shared" si="70"/>
        <v>-1.47</v>
      </c>
      <c r="V195" s="10">
        <f t="shared" si="71"/>
        <v>1.47</v>
      </c>
      <c r="W195" s="1">
        <f>SUMIFS(
  '[1]Hoja 1'!$M:$M,
  '[1]Hoja 1'!$K:$K, $A195,
  '[1]Hoja 1'!$R:$R, "&gt;="&amp;INT($Y$1),
  '[1]Hoja 1'!$R:$R, "&lt;="&amp;INT($Z$1)
)</f>
        <v>0</v>
      </c>
      <c r="X195" s="1">
        <f t="shared" si="72"/>
        <v>0</v>
      </c>
      <c r="Y195" s="9">
        <f t="shared" si="73"/>
        <v>0</v>
      </c>
      <c r="Z195" s="10">
        <f t="shared" si="74"/>
        <v>0</v>
      </c>
      <c r="AA195" s="1">
        <f>SUMIFS(
  '[1]Hoja 1'!$M:$M,
  '[1]Hoja 1'!$K:$K, $A195,
  '[1]Hoja 1'!$R:$R, "&gt;="&amp;INT($AC$1),
  '[1]Hoja 1'!$R:$R, "&lt;="&amp;INT($AD$1)
)</f>
        <v>0</v>
      </c>
      <c r="AB195" s="1">
        <f t="shared" si="75"/>
        <v>0</v>
      </c>
      <c r="AC195" s="9">
        <f t="shared" si="76"/>
        <v>0</v>
      </c>
      <c r="AD195" s="10">
        <f t="shared" si="77"/>
        <v>0</v>
      </c>
      <c r="AE195" s="1">
        <f>SUMIFS(
  '[1]Hoja 1'!$M:$M,
  '[1]Hoja 1'!$K:$K, $A195,
  '[1]Hoja 1'!$R:$R, "&gt;="&amp;INT($AG$1),
  '[1]Hoja 1'!$R:$R, "&lt;="&amp;INT($AH$1)
)</f>
        <v>0</v>
      </c>
      <c r="AF195" s="1">
        <f t="shared" si="78"/>
        <v>0</v>
      </c>
      <c r="AG195" s="9">
        <f t="shared" si="79"/>
        <v>0</v>
      </c>
      <c r="AH195" s="10">
        <f t="shared" si="80"/>
        <v>0</v>
      </c>
      <c r="AI195" s="1">
        <f>SUMIFS(
  '[1]Hoja 1'!$M:$M,
  '[1]Hoja 1'!$K:$K, $A195,
  '[1]Hoja 1'!$R:$R, "&gt;="&amp;INT($AK$1),
  '[1]Hoja 1'!$R:$R, "&lt;="&amp;INT($AL$1)
)</f>
        <v>0</v>
      </c>
      <c r="AJ195" s="1">
        <f t="shared" si="81"/>
        <v>0</v>
      </c>
      <c r="AK195" s="9">
        <f t="shared" si="82"/>
        <v>0</v>
      </c>
      <c r="AL195" s="10">
        <f t="shared" si="83"/>
        <v>0</v>
      </c>
      <c r="AM195" s="1">
        <f>SUMIFS(
  '[1]Hoja 1'!$M:$M,
  '[1]Hoja 1'!$K:$K, $A195,
  '[1]Hoja 1'!$R:$R, "&gt;="&amp;INT($AO$1),
  '[1]Hoja 1'!$R:$R, "&lt;="&amp;INT($AP$1)
)</f>
        <v>0</v>
      </c>
      <c r="AN195" s="1">
        <f t="shared" si="84"/>
        <v>0</v>
      </c>
      <c r="AO195" s="9">
        <f t="shared" si="85"/>
        <v>0</v>
      </c>
      <c r="AP195" s="10">
        <f t="shared" si="86"/>
        <v>0</v>
      </c>
      <c r="AQ195" s="1">
        <f>SUMIFS(
  '[1]Hoja 1'!$M:$M,
  '[1]Hoja 1'!$K:$K, $A195,
  '[1]Hoja 1'!$R:$R, "&gt;="&amp;INT($AS$1),
  '[1]Hoja 1'!$R:$R, "&lt;="&amp;INT($AT$1)
)</f>
        <v>0</v>
      </c>
      <c r="AR195" s="1">
        <f t="shared" si="87"/>
        <v>0</v>
      </c>
      <c r="AS195" s="9">
        <f t="shared" si="88"/>
        <v>0</v>
      </c>
      <c r="AT195" s="10">
        <f t="shared" si="89"/>
        <v>0</v>
      </c>
      <c r="AU195" s="1">
        <f>SUMIFS(
  '[1]Hoja 1'!$M:$M,
  '[1]Hoja 1'!$K:$K, $A195,
  '[1]Hoja 1'!$R:$R, "&gt;="&amp;INT($AW$1),
  '[1]Hoja 1'!$R:$R, "&lt;="&amp;INT($AX$1)
)</f>
        <v>0</v>
      </c>
      <c r="AV195" s="1">
        <f t="shared" si="90"/>
        <v>0</v>
      </c>
      <c r="AW195" s="9">
        <f t="shared" si="91"/>
        <v>0</v>
      </c>
      <c r="AX195" s="10">
        <f t="shared" si="92"/>
        <v>0</v>
      </c>
    </row>
    <row r="196" spans="1:50" x14ac:dyDescent="0.25">
      <c r="A196" s="5">
        <v>235002</v>
      </c>
      <c r="B196" s="6" t="s">
        <v>193</v>
      </c>
      <c r="C196" s="1">
        <f>SUMIFS(
  '[1]Hoja 1'!$M:$M,
  '[1]Hoja 1'!$K:$K, $A196,
  '[1]Hoja 1'!$R:$R, "&gt;="&amp;INT($E$1),
  '[1]Hoja 1'!$R:$R, "&lt;"&amp;INT($F$1+1)
)</f>
        <v>0</v>
      </c>
      <c r="D196" s="1" t="str">
        <f>""</f>
        <v/>
      </c>
      <c r="F196" s="2"/>
      <c r="G196" s="1">
        <f>SUMIFS(
  '[1]Hoja 1'!$M:$M,
  '[1]Hoja 1'!$K:$K, $A196,
  '[1]Hoja 1'!$R:$R, "&gt;="&amp;INT($I$1),
  '[1]Hoja 1'!$R:$R, "&lt;"&amp;INT($J$1+1)
)</f>
        <v>0</v>
      </c>
      <c r="H196" s="1">
        <f t="shared" ref="H196:H229" si="93">IF(OR(ISBLANK(C196),ISBLANK(G196)),"",AVERAGE(C196,G196))</f>
        <v>0</v>
      </c>
      <c r="I196" s="1"/>
      <c r="J196" s="2"/>
      <c r="K196" s="1">
        <f>SUMIFS(
  '[1]Hoja 1'!$M:$M,
  '[1]Hoja 1'!$K:$K, $A196,
  '[1]Hoja 1'!$R:$R, "&gt;="&amp;INT($M$1),
  '[1]Hoja 1'!$R:$R, "&lt;"&amp;INT($N$1+1)
)</f>
        <v>0</v>
      </c>
      <c r="L196" s="1">
        <f t="shared" ref="L196:L229" si="94">IF(
    OR(ISBLANK(G196),ISBLANK(K196)),
    "",
    AVERAGE(G196,K196)
)</f>
        <v>0</v>
      </c>
      <c r="M196" s="9">
        <f t="shared" ref="M196:M229" si="95">IF(
  OR(ISBLANK(L196),ISBLANK(G196),ISBLANK(K196),ISBLANK(C196)),
  "",
  L196 - 1.96*_xlfn.STDEV.S(
    G196-AVERAGE(C196,G196),
    K196-AVERAGE(G196,K196)
  )
)</f>
        <v>0</v>
      </c>
      <c r="N196" s="10">
        <f t="shared" ref="N196:N229" si="96">IF(
  OR(ISBLANK(L196),ISBLANK(G196),ISBLANK(K196),ISBLANK(C196)),
  "",
  L196 + 1.96*_xlfn.STDEV.S(
    G196-AVERAGE(C196,G196),
    K196-AVERAGE(G196,K196)
  )
)</f>
        <v>0</v>
      </c>
      <c r="O196" s="1">
        <f>SUMIFS(
  '[1]Hoja 1'!$M:$M,
  '[1]Hoja 1'!$K:$K, $A196,
  '[1]Hoja 1'!$R:$R, "&gt;="&amp;INT($Q$1),
  '[1]Hoja 1'!$R:$R, "&lt;="&amp;INT($R$1)
)</f>
        <v>0</v>
      </c>
      <c r="P196" s="1">
        <f t="shared" ref="P196:P229" si="97">IF(
    OR(ISBLANK(K196),ISBLANK(O196)),
    "",
    AVERAGE(K196,O196)
)</f>
        <v>0</v>
      </c>
      <c r="Q196" s="9">
        <f t="shared" ref="Q196:Q229" si="98" xml:space="preserve"> P196 - 1.96*_xlfn.STDEV.S(
  G196-AVERAGE(C196,G196),
  K196-AVERAGE(G196,K196),
  O196-AVERAGE(K196,O196)
)</f>
        <v>0</v>
      </c>
      <c r="R196" s="10">
        <f t="shared" ref="R196:R229" si="99" xml:space="preserve"> P196 + 1.96*_xlfn.STDEV.S(
  G196-AVERAGE(C196,G196),
  K196-AVERAGE(G196,K196),
  O196-AVERAGE(K196,O196)
)</f>
        <v>0</v>
      </c>
      <c r="S196" s="1">
        <f>SUMIFS(
  '[1]Hoja 1'!$M:$M,
  '[1]Hoja 1'!$K:$K, $A196,
  '[1]Hoja 1'!$R:$R, "&gt;="&amp;INT($U$1),
  '[1]Hoja 1'!$R:$R, "&lt;="&amp;INT($V$1)
)</f>
        <v>0</v>
      </c>
      <c r="T196" s="1">
        <f t="shared" ref="T196:T229" si="100">IF(
    OR(ISBLANK(O196),ISBLANK(S196)),
    "",
    ROUND(AVERAGE(O196,S196),0)
)</f>
        <v>0</v>
      </c>
      <c r="U196" s="9">
        <f t="shared" ref="U196:U229" si="101" xml:space="preserve"> T196 - 1.96*_xlfn.STDEV.S(
  G196-AVERAGE(C196,G196),
  K196-AVERAGE(G196,K196),
  O196-AVERAGE(K196,O196),
  S196-AVERAGE(3,S196)
)</f>
        <v>-1.47</v>
      </c>
      <c r="V196" s="10">
        <f t="shared" ref="V196:V229" si="102" xml:space="preserve"> T196 + 1.96*_xlfn.STDEV.S(
  G196-AVERAGE(C196,G196),
  K196-AVERAGE(G196,K196),
  O196-AVERAGE(K196,O196),
  S196-AVERAGE(3,S196)
)</f>
        <v>1.47</v>
      </c>
      <c r="W196" s="1">
        <f>SUMIFS(
  '[1]Hoja 1'!$M:$M,
  '[1]Hoja 1'!$K:$K, $A196,
  '[1]Hoja 1'!$R:$R, "&gt;="&amp;INT($Y$1),
  '[1]Hoja 1'!$R:$R, "&lt;="&amp;INT($Z$1)
)</f>
        <v>0</v>
      </c>
      <c r="X196" s="1">
        <f t="shared" ref="X196:X229" si="103">IF(
    OR(ISBLANK(S196),ISBLANK(W196)),
    "",
    ROUND(AVERAGE(S196,W196),0)
)</f>
        <v>0</v>
      </c>
      <c r="Y196" s="9">
        <f t="shared" ref="Y196:Y229" si="104" xml:space="preserve"> X196 - 1.96*_xlfn.STDEV.S(
  G196-AVERAGE(C196,G196),
  K196-AVERAGE(G196,K196),
  O196-AVERAGE(K196,O196),
  S196-AVERAGE(O196,S196),
  W196-AVERAGE(S196,W196)
)</f>
        <v>0</v>
      </c>
      <c r="Z196" s="10">
        <f t="shared" ref="Z196:Z229" si="105" xml:space="preserve"> X196 + 1.96*_xlfn.STDEV.S(
  G196-AVERAGE(C196,G196),
  K196-AVERAGE(G196,K196),
  O196-AVERAGE(K196,O196),
  S196-AVERAGE(O196,S196),
  W196-AVERAGE(S196,W196)
)</f>
        <v>0</v>
      </c>
      <c r="AA196" s="1">
        <f>SUMIFS(
  '[1]Hoja 1'!$M:$M,
  '[1]Hoja 1'!$K:$K, $A196,
  '[1]Hoja 1'!$R:$R, "&gt;="&amp;INT($AC$1),
  '[1]Hoja 1'!$R:$R, "&lt;="&amp;INT($AD$1)
)</f>
        <v>0</v>
      </c>
      <c r="AB196" s="1">
        <f t="shared" ref="AB196:AB229" si="106">IF(
    OR(ISBLANK(W196),ISBLANK(AA196)),
    "",
    ROUND(AVERAGE(W196,AA196),0)
)</f>
        <v>0</v>
      </c>
      <c r="AC196" s="9">
        <f t="shared" ref="AC196:AC229" si="107" xml:space="preserve"> AB196 - 1.96*_xlfn.STDEV.S(
  G196-AVERAGE(C196,G196),
  K196-AVERAGE(G196,K196),
  O196-AVERAGE(K196,O196),
  S196-AVERAGE(O196,S196),
  W196-AVERAGE(S196,W196),
  AA196-AVERAGE(W196,AA196)
)</f>
        <v>0</v>
      </c>
      <c r="AD196" s="10">
        <f t="shared" ref="AD196:AD229" si="108" xml:space="preserve"> AB196 + 1.96*_xlfn.STDEV.S(
  G196-AVERAGE(C196,G196),
  K196-AVERAGE(G196,K196),
  O196-AVERAGE(K196,O196),
  S196-AVERAGE(O196,S196),
  W196-AVERAGE(S196,W196),
  AA196-AVERAGE(W196,AA196)
)</f>
        <v>0</v>
      </c>
      <c r="AE196" s="1">
        <f>SUMIFS(
  '[1]Hoja 1'!$M:$M,
  '[1]Hoja 1'!$K:$K, $A196,
  '[1]Hoja 1'!$R:$R, "&gt;="&amp;INT($AG$1),
  '[1]Hoja 1'!$R:$R, "&lt;="&amp;INT($AH$1)
)</f>
        <v>0</v>
      </c>
      <c r="AF196" s="1">
        <f t="shared" ref="AF196:AF229" si="109">IF(
    OR(ISBLANK(AA196),ISBLANK(AE196)),
    "",
    ROUND(AVERAGE(AA196,AE196),0)
)</f>
        <v>0</v>
      </c>
      <c r="AG196" s="9">
        <f t="shared" ref="AG196:AG229" si="110" xml:space="preserve"> AF196 - 1.96*_xlfn.STDEV.S(
  G196-AVERAGE(C196,G196),
  K196-AVERAGE(G196,K196),
  O196-AVERAGE(K196,O196),
  S196-AVERAGE(O196,S196),
  W196-AVERAGE(S196,W196),
  AA196-AVERAGE(W196,AA196),
  AE196-AVERAGE(AA196,AE196)
)</f>
        <v>0</v>
      </c>
      <c r="AH196" s="10">
        <f t="shared" ref="AH196:AH229" si="111" xml:space="preserve"> AF196 + 1.96*_xlfn.STDEV.S(
  G196-AVERAGE(C196,G196),
  K196-AVERAGE(G196,K196),
  O196-AVERAGE(K196,O196),
  S196-AVERAGE(O196,S196),
  W196-AVERAGE(S196,W196),
  AA196-AVERAGE(W196,AA196),
  AE196-AVERAGE(AA196,AE196)
)</f>
        <v>0</v>
      </c>
      <c r="AI196" s="1">
        <f>SUMIFS(
  '[1]Hoja 1'!$M:$M,
  '[1]Hoja 1'!$K:$K, $A196,
  '[1]Hoja 1'!$R:$R, "&gt;="&amp;INT($AK$1),
  '[1]Hoja 1'!$R:$R, "&lt;="&amp;INT($AL$1)
)</f>
        <v>0</v>
      </c>
      <c r="AJ196" s="1">
        <f t="shared" ref="AJ196:AJ229" si="112">IF(
    OR(ISBLANK(AE196),ISBLANK(AI196)),
    "",
    ROUND(AVERAGE(AE196,AI196),0)
)</f>
        <v>0</v>
      </c>
      <c r="AK196" s="9">
        <f t="shared" ref="AK196:AK229" si="113" xml:space="preserve"> AJ196 - 1.96*_xlfn.STDEV.S(
  G196-AVERAGE(C196,G196),
  K196-AVERAGE(G196,K196),
  O196-AVERAGE(K196,O196),
  S196-AVERAGE(O196,S196),
  W196-AVERAGE(S196,W196),
  AA196-AVERAGE(W196,AA196),
  AE196-AVERAGE(AA196,AE196),
  AI196-AVERAGE(AE196,AI196)
)</f>
        <v>0</v>
      </c>
      <c r="AL196" s="10">
        <f t="shared" ref="AL196:AL229" si="114" xml:space="preserve"> AJ196 + 1.96*_xlfn.STDEV.S(
  G196-AVERAGE(C196,G196),
  K196-AVERAGE(G196,K196),
  O196-AVERAGE(K196,O196),
  S196-AVERAGE(O196,S196),
  W196-AVERAGE(S196,W196),
  AA196-AVERAGE(W196,AA196),
  AE196-AVERAGE(AA196,AE196),
  AI196-AVERAGE(AE196,AI196)
)</f>
        <v>0</v>
      </c>
      <c r="AM196" s="1">
        <f>SUMIFS(
  '[1]Hoja 1'!$M:$M,
  '[1]Hoja 1'!$K:$K, $A196,
  '[1]Hoja 1'!$R:$R, "&gt;="&amp;INT($AO$1),
  '[1]Hoja 1'!$R:$R, "&lt;="&amp;INT($AP$1)
)</f>
        <v>0</v>
      </c>
      <c r="AN196" s="1">
        <f t="shared" ref="AN196:AN229" si="115">IF(
    OR(ISBLANK(AI196),ISBLANK(AM196)),
    "",
    ROUND(AVERAGE(AI196,AM196),0)
)</f>
        <v>0</v>
      </c>
      <c r="AO196" s="9">
        <f t="shared" ref="AO196:AO229" si="116" xml:space="preserve"> AN196 - 1.96*_xlfn.STDEV.S(
  G196-AVERAGE(C196,G196),
  K196-AVERAGE(G196,K196),
  O196-AVERAGE(K196,O196),
  S196-AVERAGE(O196,S196),
  W196-AVERAGE(S196,W196),
  AA196-AVERAGE(W196,AA196),
  AE196-AVERAGE(AA196,AE196),
  AI196-AVERAGE(AE196,AI196),
  AN196-AVERAGE(AI196,AN196)
)</f>
        <v>0</v>
      </c>
      <c r="AP196" s="10">
        <f t="shared" ref="AP196:AP229" si="117" xml:space="preserve"> AN196 + 1.96*_xlfn.STDEV.S(
  G196-AVERAGE(C196,G196),
  K196-AVERAGE(G196,K196),
  O196-AVERAGE(K196,O196),
  S196-AVERAGE(O196,S196),
  W196-AVERAGE(S196,W196),
  AA196-AVERAGE(W196,AA196),
  AE196-AVERAGE(AA196,AE196),
  AI196-AVERAGE(AE196,AI196),
  AN196-AVERAGE(AI196,AN196)
)</f>
        <v>0</v>
      </c>
      <c r="AQ196" s="1">
        <f>SUMIFS(
  '[1]Hoja 1'!$M:$M,
  '[1]Hoja 1'!$K:$K, $A196,
  '[1]Hoja 1'!$R:$R, "&gt;="&amp;INT($AS$1),
  '[1]Hoja 1'!$R:$R, "&lt;="&amp;INT($AT$1)
)</f>
        <v>0</v>
      </c>
      <c r="AR196" s="1">
        <f t="shared" ref="AR196:AR229" si="118">IF(
    OR(ISBLANK(AM196),ISBLANK(AQ196)),
    "",
    ROUND(AVERAGE(AM196,AQ196),0)
)</f>
        <v>0</v>
      </c>
      <c r="AS196" s="9">
        <f t="shared" ref="AS196:AS229" si="119" xml:space="preserve"> AR196 - 1.96*_xlfn.STDEV.S(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
)</f>
        <v>0</v>
      </c>
      <c r="AT196" s="10">
        <f t="shared" ref="AT196:AT229" si="120" xml:space="preserve"> AR196 + 1.96*_xlfn.STDEV.S(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
)</f>
        <v>0</v>
      </c>
      <c r="AU196" s="1">
        <f>SUMIFS(
  '[1]Hoja 1'!$M:$M,
  '[1]Hoja 1'!$K:$K, $A196,
  '[1]Hoja 1'!$R:$R, "&gt;="&amp;INT($AW$1),
  '[1]Hoja 1'!$R:$R, "&lt;="&amp;INT($AX$1)
)</f>
        <v>0</v>
      </c>
      <c r="AV196" s="1">
        <f t="shared" ref="AV196:AV229" si="121">IF(
    OR(ISBLANK(AQ196),ISBLANK(AU196)),
    "",
    ROUND(AVERAGE(AQ196,AU196),0)
)</f>
        <v>0</v>
      </c>
      <c r="AW196" s="9">
        <f t="shared" ref="AW196:AW229" si="122" xml:space="preserve"> AV196 - 1.96*_xlfn.STDEV.S(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AR196-AVERAGE(AN196,AR196),
  AV196-AVERAGE(AR196,AV196)
)</f>
        <v>0</v>
      </c>
      <c r="AX196" s="10">
        <f t="shared" ref="AX196:AX229" si="123" xml:space="preserve"> AV196 + 1.96*_xlfn.STDEV.S(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AR196-AVERAGE(AN196,AR196),
  AV196-AVERAGE(AR196,AV196)
)</f>
        <v>0</v>
      </c>
    </row>
    <row r="197" spans="1:50" x14ac:dyDescent="0.25">
      <c r="A197" s="5">
        <v>235003</v>
      </c>
      <c r="B197" s="6" t="s">
        <v>194</v>
      </c>
      <c r="C197" s="1">
        <f>SUMIFS(
  '[1]Hoja 1'!$M:$M,
  '[1]Hoja 1'!$K:$K, $A197,
  '[1]Hoja 1'!$R:$R, "&gt;="&amp;INT($E$1),
  '[1]Hoja 1'!$R:$R, "&lt;"&amp;INT($F$1+1)
)</f>
        <v>0</v>
      </c>
      <c r="D197" s="1" t="str">
        <f>""</f>
        <v/>
      </c>
      <c r="F197" s="2"/>
      <c r="G197" s="1">
        <f>SUMIFS(
  '[1]Hoja 1'!$M:$M,
  '[1]Hoja 1'!$K:$K, $A197,
  '[1]Hoja 1'!$R:$R, "&gt;="&amp;INT($I$1),
  '[1]Hoja 1'!$R:$R, "&lt;"&amp;INT($J$1+1)
)</f>
        <v>0</v>
      </c>
      <c r="H197" s="1">
        <f t="shared" si="93"/>
        <v>0</v>
      </c>
      <c r="I197" s="1"/>
      <c r="J197" s="2"/>
      <c r="K197" s="1">
        <f>SUMIFS(
  '[1]Hoja 1'!$M:$M,
  '[1]Hoja 1'!$K:$K, $A197,
  '[1]Hoja 1'!$R:$R, "&gt;="&amp;INT($M$1),
  '[1]Hoja 1'!$R:$R, "&lt;"&amp;INT($N$1+1)
)</f>
        <v>0</v>
      </c>
      <c r="L197" s="1">
        <f t="shared" si="94"/>
        <v>0</v>
      </c>
      <c r="M197" s="9">
        <f t="shared" si="95"/>
        <v>0</v>
      </c>
      <c r="N197" s="10">
        <f t="shared" si="96"/>
        <v>0</v>
      </c>
      <c r="O197" s="1">
        <f>SUMIFS(
  '[1]Hoja 1'!$M:$M,
  '[1]Hoja 1'!$K:$K, $A197,
  '[1]Hoja 1'!$R:$R, "&gt;="&amp;INT($Q$1),
  '[1]Hoja 1'!$R:$R, "&lt;="&amp;INT($R$1)
)</f>
        <v>0</v>
      </c>
      <c r="P197" s="1">
        <f t="shared" si="97"/>
        <v>0</v>
      </c>
      <c r="Q197" s="9">
        <f t="shared" si="98"/>
        <v>0</v>
      </c>
      <c r="R197" s="10">
        <f t="shared" si="99"/>
        <v>0</v>
      </c>
      <c r="S197" s="1">
        <f>SUMIFS(
  '[1]Hoja 1'!$M:$M,
  '[1]Hoja 1'!$K:$K, $A197,
  '[1]Hoja 1'!$R:$R, "&gt;="&amp;INT($U$1),
  '[1]Hoja 1'!$R:$R, "&lt;="&amp;INT($V$1)
)</f>
        <v>0</v>
      </c>
      <c r="T197" s="1">
        <f t="shared" si="100"/>
        <v>0</v>
      </c>
      <c r="U197" s="9">
        <f t="shared" si="101"/>
        <v>-1.47</v>
      </c>
      <c r="V197" s="10">
        <f t="shared" si="102"/>
        <v>1.47</v>
      </c>
      <c r="W197" s="1">
        <f>SUMIFS(
  '[1]Hoja 1'!$M:$M,
  '[1]Hoja 1'!$K:$K, $A197,
  '[1]Hoja 1'!$R:$R, "&gt;="&amp;INT($Y$1),
  '[1]Hoja 1'!$R:$R, "&lt;="&amp;INT($Z$1)
)</f>
        <v>0</v>
      </c>
      <c r="X197" s="1">
        <f t="shared" si="103"/>
        <v>0</v>
      </c>
      <c r="Y197" s="9">
        <f t="shared" si="104"/>
        <v>0</v>
      </c>
      <c r="Z197" s="10">
        <f t="shared" si="105"/>
        <v>0</v>
      </c>
      <c r="AA197" s="1">
        <f>SUMIFS(
  '[1]Hoja 1'!$M:$M,
  '[1]Hoja 1'!$K:$K, $A197,
  '[1]Hoja 1'!$R:$R, "&gt;="&amp;INT($AC$1),
  '[1]Hoja 1'!$R:$R, "&lt;="&amp;INT($AD$1)
)</f>
        <v>0</v>
      </c>
      <c r="AB197" s="1">
        <f t="shared" si="106"/>
        <v>0</v>
      </c>
      <c r="AC197" s="9">
        <f t="shared" si="107"/>
        <v>0</v>
      </c>
      <c r="AD197" s="10">
        <f t="shared" si="108"/>
        <v>0</v>
      </c>
      <c r="AE197" s="1">
        <f>SUMIFS(
  '[1]Hoja 1'!$M:$M,
  '[1]Hoja 1'!$K:$K, $A197,
  '[1]Hoja 1'!$R:$R, "&gt;="&amp;INT($AG$1),
  '[1]Hoja 1'!$R:$R, "&lt;="&amp;INT($AH$1)
)</f>
        <v>0</v>
      </c>
      <c r="AF197" s="1">
        <f t="shared" si="109"/>
        <v>0</v>
      </c>
      <c r="AG197" s="9">
        <f t="shared" si="110"/>
        <v>0</v>
      </c>
      <c r="AH197" s="10">
        <f t="shared" si="111"/>
        <v>0</v>
      </c>
      <c r="AI197" s="1">
        <f>SUMIFS(
  '[1]Hoja 1'!$M:$M,
  '[1]Hoja 1'!$K:$K, $A197,
  '[1]Hoja 1'!$R:$R, "&gt;="&amp;INT($AK$1),
  '[1]Hoja 1'!$R:$R, "&lt;="&amp;INT($AL$1)
)</f>
        <v>0</v>
      </c>
      <c r="AJ197" s="1">
        <f t="shared" si="112"/>
        <v>0</v>
      </c>
      <c r="AK197" s="9">
        <f t="shared" si="113"/>
        <v>0</v>
      </c>
      <c r="AL197" s="10">
        <f t="shared" si="114"/>
        <v>0</v>
      </c>
      <c r="AM197" s="1">
        <f>SUMIFS(
  '[1]Hoja 1'!$M:$M,
  '[1]Hoja 1'!$K:$K, $A197,
  '[1]Hoja 1'!$R:$R, "&gt;="&amp;INT($AO$1),
  '[1]Hoja 1'!$R:$R, "&lt;="&amp;INT($AP$1)
)</f>
        <v>0</v>
      </c>
      <c r="AN197" s="1">
        <f t="shared" si="115"/>
        <v>0</v>
      </c>
      <c r="AO197" s="9">
        <f t="shared" si="116"/>
        <v>0</v>
      </c>
      <c r="AP197" s="10">
        <f t="shared" si="117"/>
        <v>0</v>
      </c>
      <c r="AQ197" s="1">
        <f>SUMIFS(
  '[1]Hoja 1'!$M:$M,
  '[1]Hoja 1'!$K:$K, $A197,
  '[1]Hoja 1'!$R:$R, "&gt;="&amp;INT($AS$1),
  '[1]Hoja 1'!$R:$R, "&lt;="&amp;INT($AT$1)
)</f>
        <v>0</v>
      </c>
      <c r="AR197" s="1">
        <f t="shared" si="118"/>
        <v>0</v>
      </c>
      <c r="AS197" s="9">
        <f t="shared" si="119"/>
        <v>0</v>
      </c>
      <c r="AT197" s="10">
        <f t="shared" si="120"/>
        <v>0</v>
      </c>
      <c r="AU197" s="1">
        <f>SUMIFS(
  '[1]Hoja 1'!$M:$M,
  '[1]Hoja 1'!$K:$K, $A197,
  '[1]Hoja 1'!$R:$R, "&gt;="&amp;INT($AW$1),
  '[1]Hoja 1'!$R:$R, "&lt;="&amp;INT($AX$1)
)</f>
        <v>0</v>
      </c>
      <c r="AV197" s="1">
        <f t="shared" si="121"/>
        <v>0</v>
      </c>
      <c r="AW197" s="9">
        <f t="shared" si="122"/>
        <v>0</v>
      </c>
      <c r="AX197" s="10">
        <f t="shared" si="123"/>
        <v>0</v>
      </c>
    </row>
    <row r="198" spans="1:50" x14ac:dyDescent="0.25">
      <c r="A198" s="5">
        <v>235004</v>
      </c>
      <c r="B198" s="6" t="s">
        <v>195</v>
      </c>
      <c r="C198" s="1">
        <f>SUMIFS(
  '[1]Hoja 1'!$M:$M,
  '[1]Hoja 1'!$K:$K, $A198,
  '[1]Hoja 1'!$R:$R, "&gt;="&amp;INT($E$1),
  '[1]Hoja 1'!$R:$R, "&lt;"&amp;INT($F$1+1)
)</f>
        <v>2</v>
      </c>
      <c r="D198" s="1" t="str">
        <f>""</f>
        <v/>
      </c>
      <c r="F198" s="2"/>
      <c r="G198" s="1">
        <f>SUMIFS(
  '[1]Hoja 1'!$M:$M,
  '[1]Hoja 1'!$K:$K, $A198,
  '[1]Hoja 1'!$R:$R, "&gt;="&amp;INT($I$1),
  '[1]Hoja 1'!$R:$R, "&lt;"&amp;INT($J$1+1)
)</f>
        <v>0</v>
      </c>
      <c r="H198" s="1">
        <f t="shared" si="93"/>
        <v>1</v>
      </c>
      <c r="I198" s="1"/>
      <c r="J198" s="2"/>
      <c r="K198" s="1">
        <f>SUMIFS(
  '[1]Hoja 1'!$M:$M,
  '[1]Hoja 1'!$K:$K, $A198,
  '[1]Hoja 1'!$R:$R, "&gt;="&amp;INT($M$1),
  '[1]Hoja 1'!$R:$R, "&lt;"&amp;INT($N$1+1)
)</f>
        <v>0</v>
      </c>
      <c r="L198" s="1">
        <f t="shared" si="94"/>
        <v>0</v>
      </c>
      <c r="M198" s="9">
        <f t="shared" si="95"/>
        <v>-1.3859292911256331</v>
      </c>
      <c r="N198" s="10">
        <f t="shared" si="96"/>
        <v>1.3859292911256331</v>
      </c>
      <c r="O198" s="1">
        <f>SUMIFS(
  '[1]Hoja 1'!$M:$M,
  '[1]Hoja 1'!$K:$K, $A198,
  '[1]Hoja 1'!$R:$R, "&gt;="&amp;INT($Q$1),
  '[1]Hoja 1'!$R:$R, "&lt;="&amp;INT($R$1)
)</f>
        <v>0</v>
      </c>
      <c r="P198" s="1">
        <f t="shared" si="97"/>
        <v>0</v>
      </c>
      <c r="Q198" s="9">
        <f t="shared" si="98"/>
        <v>-1.1316065276116667</v>
      </c>
      <c r="R198" s="10">
        <f t="shared" si="99"/>
        <v>1.1316065276116667</v>
      </c>
      <c r="S198" s="1">
        <f>SUMIFS(
  '[1]Hoja 1'!$M:$M,
  '[1]Hoja 1'!$K:$K, $A198,
  '[1]Hoja 1'!$R:$R, "&gt;="&amp;INT($U$1),
  '[1]Hoja 1'!$R:$R, "&lt;="&amp;INT($V$1)
)</f>
        <v>0</v>
      </c>
      <c r="T198" s="1">
        <f t="shared" si="100"/>
        <v>0</v>
      </c>
      <c r="U198" s="9">
        <f t="shared" si="101"/>
        <v>-1.47</v>
      </c>
      <c r="V198" s="10">
        <f t="shared" si="102"/>
        <v>1.47</v>
      </c>
      <c r="W198" s="1">
        <f>SUMIFS(
  '[1]Hoja 1'!$M:$M,
  '[1]Hoja 1'!$K:$K, $A198,
  '[1]Hoja 1'!$R:$R, "&gt;="&amp;INT($Y$1),
  '[1]Hoja 1'!$R:$R, "&lt;="&amp;INT($Z$1)
)</f>
        <v>0</v>
      </c>
      <c r="X198" s="1">
        <f t="shared" si="103"/>
        <v>0</v>
      </c>
      <c r="Y198" s="9">
        <f t="shared" si="104"/>
        <v>-0.87653864717991747</v>
      </c>
      <c r="Z198" s="10">
        <f t="shared" si="105"/>
        <v>0.87653864717991747</v>
      </c>
      <c r="AA198" s="1">
        <f>SUMIFS(
  '[1]Hoja 1'!$M:$M,
  '[1]Hoja 1'!$K:$K, $A198,
  '[1]Hoja 1'!$R:$R, "&gt;="&amp;INT($AC$1),
  '[1]Hoja 1'!$R:$R, "&lt;="&amp;INT($AD$1)
)</f>
        <v>0</v>
      </c>
      <c r="AB198" s="1">
        <f t="shared" si="106"/>
        <v>0</v>
      </c>
      <c r="AC198" s="9">
        <f t="shared" si="107"/>
        <v>-0.80016664930917147</v>
      </c>
      <c r="AD198" s="10">
        <f t="shared" si="108"/>
        <v>0.80016664930917147</v>
      </c>
      <c r="AE198" s="1">
        <f>SUMIFS(
  '[1]Hoja 1'!$M:$M,
  '[1]Hoja 1'!$K:$K, $A198,
  '[1]Hoja 1'!$R:$R, "&gt;="&amp;INT($AG$1),
  '[1]Hoja 1'!$R:$R, "&lt;="&amp;INT($AH$1)
)</f>
        <v>0</v>
      </c>
      <c r="AF198" s="1">
        <f t="shared" si="109"/>
        <v>0</v>
      </c>
      <c r="AG198" s="9">
        <f t="shared" si="110"/>
        <v>-0.74081036709808545</v>
      </c>
      <c r="AH198" s="10">
        <f t="shared" si="111"/>
        <v>0.74081036709808545</v>
      </c>
      <c r="AI198" s="1">
        <f>SUMIFS(
  '[1]Hoja 1'!$M:$M,
  '[1]Hoja 1'!$K:$K, $A198,
  '[1]Hoja 1'!$R:$R, "&gt;="&amp;INT($AK$1),
  '[1]Hoja 1'!$R:$R, "&lt;="&amp;INT($AL$1)
)</f>
        <v>2</v>
      </c>
      <c r="AJ198" s="1">
        <f t="shared" si="112"/>
        <v>1</v>
      </c>
      <c r="AK198" s="9">
        <f t="shared" si="113"/>
        <v>-4.7664068296703554E-2</v>
      </c>
      <c r="AL198" s="10">
        <f t="shared" si="114"/>
        <v>2.0476640682967036</v>
      </c>
      <c r="AM198" s="1">
        <f>SUMIFS(
  '[1]Hoja 1'!$M:$M,
  '[1]Hoja 1'!$K:$K, $A198,
  '[1]Hoja 1'!$R:$R, "&gt;="&amp;INT($AO$1),
  '[1]Hoja 1'!$R:$R, "&lt;="&amp;INT($AP$1)
)</f>
        <v>0</v>
      </c>
      <c r="AN198" s="1">
        <f t="shared" si="115"/>
        <v>1</v>
      </c>
      <c r="AO198" s="9">
        <f t="shared" si="116"/>
        <v>-3.3010702321670582E-2</v>
      </c>
      <c r="AP198" s="10">
        <f t="shared" si="117"/>
        <v>2.0330107023216706</v>
      </c>
      <c r="AQ198" s="1">
        <f>SUMIFS(
  '[1]Hoja 1'!$M:$M,
  '[1]Hoja 1'!$K:$K, $A198,
  '[1]Hoja 1'!$R:$R, "&gt;="&amp;INT($AS$1),
  '[1]Hoja 1'!$R:$R, "&lt;="&amp;INT($AT$1)
)</f>
        <v>0</v>
      </c>
      <c r="AR198" s="1">
        <f t="shared" si="118"/>
        <v>0</v>
      </c>
      <c r="AS198" s="9">
        <f t="shared" si="119"/>
        <v>-1.0121396478088716</v>
      </c>
      <c r="AT198" s="10">
        <f t="shared" si="120"/>
        <v>1.0121396478088716</v>
      </c>
      <c r="AU198" s="1">
        <f>SUMIFS(
  '[1]Hoja 1'!$M:$M,
  '[1]Hoja 1'!$K:$K, $A198,
  '[1]Hoja 1'!$R:$R, "&gt;="&amp;INT($AW$1),
  '[1]Hoja 1'!$R:$R, "&lt;="&amp;INT($AX$1)
)</f>
        <v>0</v>
      </c>
      <c r="AV198" s="1">
        <f t="shared" si="121"/>
        <v>0</v>
      </c>
      <c r="AW198" s="9">
        <f t="shared" si="122"/>
        <v>-0.96201682086976192</v>
      </c>
      <c r="AX198" s="10">
        <f t="shared" si="123"/>
        <v>0.96201682086976192</v>
      </c>
    </row>
    <row r="199" spans="1:50" x14ac:dyDescent="0.25">
      <c r="A199" s="5">
        <v>235005</v>
      </c>
      <c r="B199" s="6" t="s">
        <v>196</v>
      </c>
      <c r="C199" s="1">
        <f>SUMIFS(
  '[1]Hoja 1'!$M:$M,
  '[1]Hoja 1'!$K:$K, $A199,
  '[1]Hoja 1'!$R:$R, "&gt;="&amp;INT($E$1),
  '[1]Hoja 1'!$R:$R, "&lt;"&amp;INT($F$1+1)
)</f>
        <v>0</v>
      </c>
      <c r="D199" s="1" t="str">
        <f>""</f>
        <v/>
      </c>
      <c r="F199" s="2"/>
      <c r="G199" s="1">
        <f>SUMIFS(
  '[1]Hoja 1'!$M:$M,
  '[1]Hoja 1'!$K:$K, $A199,
  '[1]Hoja 1'!$R:$R, "&gt;="&amp;INT($I$1),
  '[1]Hoja 1'!$R:$R, "&lt;"&amp;INT($J$1+1)
)</f>
        <v>0</v>
      </c>
      <c r="H199" s="1">
        <f t="shared" si="93"/>
        <v>0</v>
      </c>
      <c r="I199" s="1"/>
      <c r="J199" s="2"/>
      <c r="K199" s="1">
        <f>SUMIFS(
  '[1]Hoja 1'!$M:$M,
  '[1]Hoja 1'!$K:$K, $A199,
  '[1]Hoja 1'!$R:$R, "&gt;="&amp;INT($M$1),
  '[1]Hoja 1'!$R:$R, "&lt;"&amp;INT($N$1+1)
)</f>
        <v>0</v>
      </c>
      <c r="L199" s="1">
        <f t="shared" si="94"/>
        <v>0</v>
      </c>
      <c r="M199" s="9">
        <f t="shared" si="95"/>
        <v>0</v>
      </c>
      <c r="N199" s="10">
        <f t="shared" si="96"/>
        <v>0</v>
      </c>
      <c r="O199" s="1">
        <f>SUMIFS(
  '[1]Hoja 1'!$M:$M,
  '[1]Hoja 1'!$K:$K, $A199,
  '[1]Hoja 1'!$R:$R, "&gt;="&amp;INT($Q$1),
  '[1]Hoja 1'!$R:$R, "&lt;="&amp;INT($R$1)
)</f>
        <v>0</v>
      </c>
      <c r="P199" s="1">
        <f t="shared" si="97"/>
        <v>0</v>
      </c>
      <c r="Q199" s="9">
        <f t="shared" si="98"/>
        <v>0</v>
      </c>
      <c r="R199" s="10">
        <f t="shared" si="99"/>
        <v>0</v>
      </c>
      <c r="S199" s="1">
        <f>SUMIFS(
  '[1]Hoja 1'!$M:$M,
  '[1]Hoja 1'!$K:$K, $A199,
  '[1]Hoja 1'!$R:$R, "&gt;="&amp;INT($U$1),
  '[1]Hoja 1'!$R:$R, "&lt;="&amp;INT($V$1)
)</f>
        <v>0</v>
      </c>
      <c r="T199" s="1">
        <f t="shared" si="100"/>
        <v>0</v>
      </c>
      <c r="U199" s="9">
        <f t="shared" si="101"/>
        <v>-1.47</v>
      </c>
      <c r="V199" s="10">
        <f t="shared" si="102"/>
        <v>1.47</v>
      </c>
      <c r="W199" s="1">
        <f>SUMIFS(
  '[1]Hoja 1'!$M:$M,
  '[1]Hoja 1'!$K:$K, $A199,
  '[1]Hoja 1'!$R:$R, "&gt;="&amp;INT($Y$1),
  '[1]Hoja 1'!$R:$R, "&lt;="&amp;INT($Z$1)
)</f>
        <v>0</v>
      </c>
      <c r="X199" s="1">
        <f t="shared" si="103"/>
        <v>0</v>
      </c>
      <c r="Y199" s="9">
        <f t="shared" si="104"/>
        <v>0</v>
      </c>
      <c r="Z199" s="10">
        <f t="shared" si="105"/>
        <v>0</v>
      </c>
      <c r="AA199" s="1">
        <f>SUMIFS(
  '[1]Hoja 1'!$M:$M,
  '[1]Hoja 1'!$K:$K, $A199,
  '[1]Hoja 1'!$R:$R, "&gt;="&amp;INT($AC$1),
  '[1]Hoja 1'!$R:$R, "&lt;="&amp;INT($AD$1)
)</f>
        <v>1</v>
      </c>
      <c r="AB199" s="1">
        <f t="shared" si="106"/>
        <v>1</v>
      </c>
      <c r="AC199" s="9">
        <f t="shared" si="107"/>
        <v>0.59991667534541426</v>
      </c>
      <c r="AD199" s="10">
        <f t="shared" si="108"/>
        <v>1.4000833246545858</v>
      </c>
      <c r="AE199" s="1">
        <f>SUMIFS(
  '[1]Hoja 1'!$M:$M,
  '[1]Hoja 1'!$K:$K, $A199,
  '[1]Hoja 1'!$R:$R, "&gt;="&amp;INT($AG$1),
  '[1]Hoja 1'!$R:$R, "&lt;="&amp;INT($AH$1)
)</f>
        <v>0</v>
      </c>
      <c r="AF199" s="1">
        <f t="shared" si="109"/>
        <v>1</v>
      </c>
      <c r="AG199" s="9">
        <f t="shared" si="110"/>
        <v>0.43419673619416677</v>
      </c>
      <c r="AH199" s="10">
        <f t="shared" si="111"/>
        <v>1.5658032638058332</v>
      </c>
      <c r="AI199" s="1">
        <f>SUMIFS(
  '[1]Hoja 1'!$M:$M,
  '[1]Hoja 1'!$K:$K, $A199,
  '[1]Hoja 1'!$R:$R, "&gt;="&amp;INT($AK$1),
  '[1]Hoja 1'!$R:$R, "&lt;="&amp;INT($AL$1)
)</f>
        <v>2</v>
      </c>
      <c r="AJ199" s="1">
        <f t="shared" si="112"/>
        <v>1</v>
      </c>
      <c r="AK199" s="9">
        <f t="shared" si="113"/>
        <v>0.13132284478064005</v>
      </c>
      <c r="AL199" s="10">
        <f t="shared" si="114"/>
        <v>1.86867715521936</v>
      </c>
      <c r="AM199" s="1">
        <f>SUMIFS(
  '[1]Hoja 1'!$M:$M,
  '[1]Hoja 1'!$K:$K, $A199,
  '[1]Hoja 1'!$R:$R, "&gt;="&amp;INT($AO$1),
  '[1]Hoja 1'!$R:$R, "&lt;="&amp;INT($AP$1)
)</f>
        <v>0</v>
      </c>
      <c r="AN199" s="1">
        <f t="shared" si="115"/>
        <v>1</v>
      </c>
      <c r="AO199" s="9">
        <f t="shared" si="116"/>
        <v>9.0598487404429773E-2</v>
      </c>
      <c r="AP199" s="10">
        <f t="shared" si="117"/>
        <v>1.9094015125955703</v>
      </c>
      <c r="AQ199" s="1">
        <f>SUMIFS(
  '[1]Hoja 1'!$M:$M,
  '[1]Hoja 1'!$K:$K, $A199,
  '[1]Hoja 1'!$R:$R, "&gt;="&amp;INT($AS$1),
  '[1]Hoja 1'!$R:$R, "&lt;="&amp;INT($AT$1)
)</f>
        <v>2</v>
      </c>
      <c r="AR199" s="1">
        <f t="shared" si="118"/>
        <v>1</v>
      </c>
      <c r="AS199" s="9">
        <f t="shared" si="119"/>
        <v>0.14191686494450517</v>
      </c>
      <c r="AT199" s="10">
        <f t="shared" si="120"/>
        <v>1.8580831350554949</v>
      </c>
      <c r="AU199" s="1">
        <f>SUMIFS(
  '[1]Hoja 1'!$M:$M,
  '[1]Hoja 1'!$K:$K, $A199,
  '[1]Hoja 1'!$R:$R, "&gt;="&amp;INT($AW$1),
  '[1]Hoja 1'!$R:$R, "&lt;="&amp;INT($AX$1)
)</f>
        <v>1</v>
      </c>
      <c r="AV199" s="1">
        <f t="shared" si="121"/>
        <v>2</v>
      </c>
      <c r="AW199" s="9">
        <f t="shared" si="122"/>
        <v>1.1436143604448032</v>
      </c>
      <c r="AX199" s="10">
        <f t="shared" si="123"/>
        <v>2.8563856395551968</v>
      </c>
    </row>
    <row r="200" spans="1:50" x14ac:dyDescent="0.25">
      <c r="A200" s="5">
        <v>235006</v>
      </c>
      <c r="B200" s="6" t="s">
        <v>197</v>
      </c>
      <c r="C200" s="1">
        <f>SUMIFS(
  '[1]Hoja 1'!$M:$M,
  '[1]Hoja 1'!$K:$K, $A200,
  '[1]Hoja 1'!$R:$R, "&gt;="&amp;INT($E$1),
  '[1]Hoja 1'!$R:$R, "&lt;"&amp;INT($F$1+1)
)</f>
        <v>0</v>
      </c>
      <c r="D200" s="1" t="str">
        <f>""</f>
        <v/>
      </c>
      <c r="F200" s="2"/>
      <c r="G200" s="1">
        <f>SUMIFS(
  '[1]Hoja 1'!$M:$M,
  '[1]Hoja 1'!$K:$K, $A200,
  '[1]Hoja 1'!$R:$R, "&gt;="&amp;INT($I$1),
  '[1]Hoja 1'!$R:$R, "&lt;"&amp;INT($J$1+1)
)</f>
        <v>0</v>
      </c>
      <c r="H200" s="1">
        <f t="shared" si="93"/>
        <v>0</v>
      </c>
      <c r="I200" s="1"/>
      <c r="J200" s="2"/>
      <c r="K200" s="1">
        <f>SUMIFS(
  '[1]Hoja 1'!$M:$M,
  '[1]Hoja 1'!$K:$K, $A200,
  '[1]Hoja 1'!$R:$R, "&gt;="&amp;INT($M$1),
  '[1]Hoja 1'!$R:$R, "&lt;"&amp;INT($N$1+1)
)</f>
        <v>0</v>
      </c>
      <c r="L200" s="1">
        <f t="shared" si="94"/>
        <v>0</v>
      </c>
      <c r="M200" s="9">
        <f t="shared" si="95"/>
        <v>0</v>
      </c>
      <c r="N200" s="10">
        <f t="shared" si="96"/>
        <v>0</v>
      </c>
      <c r="O200" s="1">
        <f>SUMIFS(
  '[1]Hoja 1'!$M:$M,
  '[1]Hoja 1'!$K:$K, $A200,
  '[1]Hoja 1'!$R:$R, "&gt;="&amp;INT($Q$1),
  '[1]Hoja 1'!$R:$R, "&lt;="&amp;INT($R$1)
)</f>
        <v>0</v>
      </c>
      <c r="P200" s="1">
        <f t="shared" si="97"/>
        <v>0</v>
      </c>
      <c r="Q200" s="9">
        <f t="shared" si="98"/>
        <v>0</v>
      </c>
      <c r="R200" s="10">
        <f t="shared" si="99"/>
        <v>0</v>
      </c>
      <c r="S200" s="1">
        <f>SUMIFS(
  '[1]Hoja 1'!$M:$M,
  '[1]Hoja 1'!$K:$K, $A200,
  '[1]Hoja 1'!$R:$R, "&gt;="&amp;INT($U$1),
  '[1]Hoja 1'!$R:$R, "&lt;="&amp;INT($V$1)
)</f>
        <v>0</v>
      </c>
      <c r="T200" s="1">
        <f t="shared" si="100"/>
        <v>0</v>
      </c>
      <c r="U200" s="9">
        <f t="shared" si="101"/>
        <v>-1.47</v>
      </c>
      <c r="V200" s="10">
        <f t="shared" si="102"/>
        <v>1.47</v>
      </c>
      <c r="W200" s="1">
        <f>SUMIFS(
  '[1]Hoja 1'!$M:$M,
  '[1]Hoja 1'!$K:$K, $A200,
  '[1]Hoja 1'!$R:$R, "&gt;="&amp;INT($Y$1),
  '[1]Hoja 1'!$R:$R, "&lt;="&amp;INT($Z$1)
)</f>
        <v>0</v>
      </c>
      <c r="X200" s="1">
        <f t="shared" si="103"/>
        <v>0</v>
      </c>
      <c r="Y200" s="9">
        <f t="shared" si="104"/>
        <v>0</v>
      </c>
      <c r="Z200" s="10">
        <f t="shared" si="105"/>
        <v>0</v>
      </c>
      <c r="AA200" s="1">
        <f>SUMIFS(
  '[1]Hoja 1'!$M:$M,
  '[1]Hoja 1'!$K:$K, $A200,
  '[1]Hoja 1'!$R:$R, "&gt;="&amp;INT($AC$1),
  '[1]Hoja 1'!$R:$R, "&lt;="&amp;INT($AD$1)
)</f>
        <v>0</v>
      </c>
      <c r="AB200" s="1">
        <f t="shared" si="106"/>
        <v>0</v>
      </c>
      <c r="AC200" s="9">
        <f t="shared" si="107"/>
        <v>0</v>
      </c>
      <c r="AD200" s="10">
        <f t="shared" si="108"/>
        <v>0</v>
      </c>
      <c r="AE200" s="1">
        <f>SUMIFS(
  '[1]Hoja 1'!$M:$M,
  '[1]Hoja 1'!$K:$K, $A200,
  '[1]Hoja 1'!$R:$R, "&gt;="&amp;INT($AG$1),
  '[1]Hoja 1'!$R:$R, "&lt;="&amp;INT($AH$1)
)</f>
        <v>0</v>
      </c>
      <c r="AF200" s="1">
        <f t="shared" si="109"/>
        <v>0</v>
      </c>
      <c r="AG200" s="9">
        <f t="shared" si="110"/>
        <v>0</v>
      </c>
      <c r="AH200" s="10">
        <f t="shared" si="111"/>
        <v>0</v>
      </c>
      <c r="AI200" s="1">
        <f>SUMIFS(
  '[1]Hoja 1'!$M:$M,
  '[1]Hoja 1'!$K:$K, $A200,
  '[1]Hoja 1'!$R:$R, "&gt;="&amp;INT($AK$1),
  '[1]Hoja 1'!$R:$R, "&lt;="&amp;INT($AL$1)
)</f>
        <v>0</v>
      </c>
      <c r="AJ200" s="1">
        <f t="shared" si="112"/>
        <v>0</v>
      </c>
      <c r="AK200" s="9">
        <f t="shared" si="113"/>
        <v>0</v>
      </c>
      <c r="AL200" s="10">
        <f t="shared" si="114"/>
        <v>0</v>
      </c>
      <c r="AM200" s="1">
        <f>SUMIFS(
  '[1]Hoja 1'!$M:$M,
  '[1]Hoja 1'!$K:$K, $A200,
  '[1]Hoja 1'!$R:$R, "&gt;="&amp;INT($AO$1),
  '[1]Hoja 1'!$R:$R, "&lt;="&amp;INT($AP$1)
)</f>
        <v>0</v>
      </c>
      <c r="AN200" s="1">
        <f t="shared" si="115"/>
        <v>0</v>
      </c>
      <c r="AO200" s="9">
        <f t="shared" si="116"/>
        <v>0</v>
      </c>
      <c r="AP200" s="10">
        <f t="shared" si="117"/>
        <v>0</v>
      </c>
      <c r="AQ200" s="1">
        <f>SUMIFS(
  '[1]Hoja 1'!$M:$M,
  '[1]Hoja 1'!$K:$K, $A200,
  '[1]Hoja 1'!$R:$R, "&gt;="&amp;INT($AS$1),
  '[1]Hoja 1'!$R:$R, "&lt;="&amp;INT($AT$1)
)</f>
        <v>0</v>
      </c>
      <c r="AR200" s="1">
        <f t="shared" si="118"/>
        <v>0</v>
      </c>
      <c r="AS200" s="9">
        <f t="shared" si="119"/>
        <v>0</v>
      </c>
      <c r="AT200" s="10">
        <f t="shared" si="120"/>
        <v>0</v>
      </c>
      <c r="AU200" s="1">
        <f>SUMIFS(
  '[1]Hoja 1'!$M:$M,
  '[1]Hoja 1'!$K:$K, $A200,
  '[1]Hoja 1'!$R:$R, "&gt;="&amp;INT($AW$1),
  '[1]Hoja 1'!$R:$R, "&lt;="&amp;INT($AX$1)
)</f>
        <v>0</v>
      </c>
      <c r="AV200" s="1">
        <f t="shared" si="121"/>
        <v>0</v>
      </c>
      <c r="AW200" s="9">
        <f t="shared" si="122"/>
        <v>0</v>
      </c>
      <c r="AX200" s="10">
        <f t="shared" si="123"/>
        <v>0</v>
      </c>
    </row>
    <row r="201" spans="1:50" x14ac:dyDescent="0.25">
      <c r="A201" s="5">
        <v>235007</v>
      </c>
      <c r="B201" s="6" t="s">
        <v>198</v>
      </c>
      <c r="C201" s="1">
        <f>SUMIFS(
  '[1]Hoja 1'!$M:$M,
  '[1]Hoja 1'!$K:$K, $A201,
  '[1]Hoja 1'!$R:$R, "&gt;="&amp;INT($E$1),
  '[1]Hoja 1'!$R:$R, "&lt;"&amp;INT($F$1+1)
)</f>
        <v>0</v>
      </c>
      <c r="D201" s="1" t="str">
        <f>""</f>
        <v/>
      </c>
      <c r="F201" s="2"/>
      <c r="G201" s="1">
        <f>SUMIFS(
  '[1]Hoja 1'!$M:$M,
  '[1]Hoja 1'!$K:$K, $A201,
  '[1]Hoja 1'!$R:$R, "&gt;="&amp;INT($I$1),
  '[1]Hoja 1'!$R:$R, "&lt;"&amp;INT($J$1+1)
)</f>
        <v>0</v>
      </c>
      <c r="H201" s="1">
        <f t="shared" si="93"/>
        <v>0</v>
      </c>
      <c r="I201" s="1"/>
      <c r="J201" s="2"/>
      <c r="K201" s="1">
        <f>SUMIFS(
  '[1]Hoja 1'!$M:$M,
  '[1]Hoja 1'!$K:$K, $A201,
  '[1]Hoja 1'!$R:$R, "&gt;="&amp;INT($M$1),
  '[1]Hoja 1'!$R:$R, "&lt;"&amp;INT($N$1+1)
)</f>
        <v>0</v>
      </c>
      <c r="L201" s="1">
        <f t="shared" si="94"/>
        <v>0</v>
      </c>
      <c r="M201" s="9">
        <f t="shared" si="95"/>
        <v>0</v>
      </c>
      <c r="N201" s="10">
        <f t="shared" si="96"/>
        <v>0</v>
      </c>
      <c r="O201" s="1">
        <f>SUMIFS(
  '[1]Hoja 1'!$M:$M,
  '[1]Hoja 1'!$K:$K, $A201,
  '[1]Hoja 1'!$R:$R, "&gt;="&amp;INT($Q$1),
  '[1]Hoja 1'!$R:$R, "&lt;="&amp;INT($R$1)
)</f>
        <v>0</v>
      </c>
      <c r="P201" s="1">
        <f t="shared" si="97"/>
        <v>0</v>
      </c>
      <c r="Q201" s="9">
        <f t="shared" si="98"/>
        <v>0</v>
      </c>
      <c r="R201" s="10">
        <f t="shared" si="99"/>
        <v>0</v>
      </c>
      <c r="S201" s="1">
        <f>SUMIFS(
  '[1]Hoja 1'!$M:$M,
  '[1]Hoja 1'!$K:$K, $A201,
  '[1]Hoja 1'!$R:$R, "&gt;="&amp;INT($U$1),
  '[1]Hoja 1'!$R:$R, "&lt;="&amp;INT($V$1)
)</f>
        <v>0</v>
      </c>
      <c r="T201" s="1">
        <f t="shared" si="100"/>
        <v>0</v>
      </c>
      <c r="U201" s="9">
        <f t="shared" si="101"/>
        <v>-1.47</v>
      </c>
      <c r="V201" s="10">
        <f t="shared" si="102"/>
        <v>1.47</v>
      </c>
      <c r="W201" s="1">
        <f>SUMIFS(
  '[1]Hoja 1'!$M:$M,
  '[1]Hoja 1'!$K:$K, $A201,
  '[1]Hoja 1'!$R:$R, "&gt;="&amp;INT($Y$1),
  '[1]Hoja 1'!$R:$R, "&lt;="&amp;INT($Z$1)
)</f>
        <v>0</v>
      </c>
      <c r="X201" s="1">
        <f t="shared" si="103"/>
        <v>0</v>
      </c>
      <c r="Y201" s="9">
        <f t="shared" si="104"/>
        <v>0</v>
      </c>
      <c r="Z201" s="10">
        <f t="shared" si="105"/>
        <v>0</v>
      </c>
      <c r="AA201" s="1">
        <f>SUMIFS(
  '[1]Hoja 1'!$M:$M,
  '[1]Hoja 1'!$K:$K, $A201,
  '[1]Hoja 1'!$R:$R, "&gt;="&amp;INT($AC$1),
  '[1]Hoja 1'!$R:$R, "&lt;="&amp;INT($AD$1)
)</f>
        <v>0</v>
      </c>
      <c r="AB201" s="1">
        <f t="shared" si="106"/>
        <v>0</v>
      </c>
      <c r="AC201" s="9">
        <f t="shared" si="107"/>
        <v>0</v>
      </c>
      <c r="AD201" s="10">
        <f t="shared" si="108"/>
        <v>0</v>
      </c>
      <c r="AE201" s="1">
        <f>SUMIFS(
  '[1]Hoja 1'!$M:$M,
  '[1]Hoja 1'!$K:$K, $A201,
  '[1]Hoja 1'!$R:$R, "&gt;="&amp;INT($AG$1),
  '[1]Hoja 1'!$R:$R, "&lt;="&amp;INT($AH$1)
)</f>
        <v>0</v>
      </c>
      <c r="AF201" s="1">
        <f t="shared" si="109"/>
        <v>0</v>
      </c>
      <c r="AG201" s="9">
        <f t="shared" si="110"/>
        <v>0</v>
      </c>
      <c r="AH201" s="10">
        <f t="shared" si="111"/>
        <v>0</v>
      </c>
      <c r="AI201" s="1">
        <f>SUMIFS(
  '[1]Hoja 1'!$M:$M,
  '[1]Hoja 1'!$K:$K, $A201,
  '[1]Hoja 1'!$R:$R, "&gt;="&amp;INT($AK$1),
  '[1]Hoja 1'!$R:$R, "&lt;="&amp;INT($AL$1)
)</f>
        <v>0</v>
      </c>
      <c r="AJ201" s="1">
        <f t="shared" si="112"/>
        <v>0</v>
      </c>
      <c r="AK201" s="9">
        <f t="shared" si="113"/>
        <v>0</v>
      </c>
      <c r="AL201" s="10">
        <f t="shared" si="114"/>
        <v>0</v>
      </c>
      <c r="AM201" s="1">
        <f>SUMIFS(
  '[1]Hoja 1'!$M:$M,
  '[1]Hoja 1'!$K:$K, $A201,
  '[1]Hoja 1'!$R:$R, "&gt;="&amp;INT($AO$1),
  '[1]Hoja 1'!$R:$R, "&lt;="&amp;INT($AP$1)
)</f>
        <v>0</v>
      </c>
      <c r="AN201" s="1">
        <f t="shared" si="115"/>
        <v>0</v>
      </c>
      <c r="AO201" s="9">
        <f t="shared" si="116"/>
        <v>0</v>
      </c>
      <c r="AP201" s="10">
        <f t="shared" si="117"/>
        <v>0</v>
      </c>
      <c r="AQ201" s="1">
        <f>SUMIFS(
  '[1]Hoja 1'!$M:$M,
  '[1]Hoja 1'!$K:$K, $A201,
  '[1]Hoja 1'!$R:$R, "&gt;="&amp;INT($AS$1),
  '[1]Hoja 1'!$R:$R, "&lt;="&amp;INT($AT$1)
)</f>
        <v>0</v>
      </c>
      <c r="AR201" s="1">
        <f t="shared" si="118"/>
        <v>0</v>
      </c>
      <c r="AS201" s="9">
        <f t="shared" si="119"/>
        <v>0</v>
      </c>
      <c r="AT201" s="10">
        <f t="shared" si="120"/>
        <v>0</v>
      </c>
      <c r="AU201" s="1">
        <f>SUMIFS(
  '[1]Hoja 1'!$M:$M,
  '[1]Hoja 1'!$K:$K, $A201,
  '[1]Hoja 1'!$R:$R, "&gt;="&amp;INT($AW$1),
  '[1]Hoja 1'!$R:$R, "&lt;="&amp;INT($AX$1)
)</f>
        <v>0</v>
      </c>
      <c r="AV201" s="1">
        <f t="shared" si="121"/>
        <v>0</v>
      </c>
      <c r="AW201" s="9">
        <f t="shared" si="122"/>
        <v>0</v>
      </c>
      <c r="AX201" s="10">
        <f t="shared" si="123"/>
        <v>0</v>
      </c>
    </row>
    <row r="202" spans="1:50" x14ac:dyDescent="0.25">
      <c r="A202" s="5">
        <v>235008</v>
      </c>
      <c r="B202" s="6" t="s">
        <v>199</v>
      </c>
      <c r="C202" s="1">
        <f>SUMIFS(
  '[1]Hoja 1'!$M:$M,
  '[1]Hoja 1'!$K:$K, $A202,
  '[1]Hoja 1'!$R:$R, "&gt;="&amp;INT($E$1),
  '[1]Hoja 1'!$R:$R, "&lt;"&amp;INT($F$1+1)
)</f>
        <v>0</v>
      </c>
      <c r="D202" s="1" t="str">
        <f>""</f>
        <v/>
      </c>
      <c r="F202" s="2"/>
      <c r="G202" s="1">
        <f>SUMIFS(
  '[1]Hoja 1'!$M:$M,
  '[1]Hoja 1'!$K:$K, $A202,
  '[1]Hoja 1'!$R:$R, "&gt;="&amp;INT($I$1),
  '[1]Hoja 1'!$R:$R, "&lt;"&amp;INT($J$1+1)
)</f>
        <v>0</v>
      </c>
      <c r="H202" s="1">
        <f t="shared" si="93"/>
        <v>0</v>
      </c>
      <c r="I202" s="1"/>
      <c r="J202" s="2"/>
      <c r="K202" s="1">
        <f>SUMIFS(
  '[1]Hoja 1'!$M:$M,
  '[1]Hoja 1'!$K:$K, $A202,
  '[1]Hoja 1'!$R:$R, "&gt;="&amp;INT($M$1),
  '[1]Hoja 1'!$R:$R, "&lt;"&amp;INT($N$1+1)
)</f>
        <v>0</v>
      </c>
      <c r="L202" s="1">
        <f t="shared" si="94"/>
        <v>0</v>
      </c>
      <c r="M202" s="9">
        <f t="shared" si="95"/>
        <v>0</v>
      </c>
      <c r="N202" s="10">
        <f t="shared" si="96"/>
        <v>0</v>
      </c>
      <c r="O202" s="1">
        <f>SUMIFS(
  '[1]Hoja 1'!$M:$M,
  '[1]Hoja 1'!$K:$K, $A202,
  '[1]Hoja 1'!$R:$R, "&gt;="&amp;INT($Q$1),
  '[1]Hoja 1'!$R:$R, "&lt;="&amp;INT($R$1)
)</f>
        <v>0</v>
      </c>
      <c r="P202" s="1">
        <f t="shared" si="97"/>
        <v>0</v>
      </c>
      <c r="Q202" s="9">
        <f t="shared" si="98"/>
        <v>0</v>
      </c>
      <c r="R202" s="10">
        <f t="shared" si="99"/>
        <v>0</v>
      </c>
      <c r="S202" s="1">
        <f>SUMIFS(
  '[1]Hoja 1'!$M:$M,
  '[1]Hoja 1'!$K:$K, $A202,
  '[1]Hoja 1'!$R:$R, "&gt;="&amp;INT($U$1),
  '[1]Hoja 1'!$R:$R, "&lt;="&amp;INT($V$1)
)</f>
        <v>0</v>
      </c>
      <c r="T202" s="1">
        <f t="shared" si="100"/>
        <v>0</v>
      </c>
      <c r="U202" s="9">
        <f t="shared" si="101"/>
        <v>-1.47</v>
      </c>
      <c r="V202" s="10">
        <f t="shared" si="102"/>
        <v>1.47</v>
      </c>
      <c r="W202" s="1">
        <f>SUMIFS(
  '[1]Hoja 1'!$M:$M,
  '[1]Hoja 1'!$K:$K, $A202,
  '[1]Hoja 1'!$R:$R, "&gt;="&amp;INT($Y$1),
  '[1]Hoja 1'!$R:$R, "&lt;="&amp;INT($Z$1)
)</f>
        <v>0</v>
      </c>
      <c r="X202" s="1">
        <f t="shared" si="103"/>
        <v>0</v>
      </c>
      <c r="Y202" s="9">
        <f t="shared" si="104"/>
        <v>0</v>
      </c>
      <c r="Z202" s="10">
        <f t="shared" si="105"/>
        <v>0</v>
      </c>
      <c r="AA202" s="1">
        <f>SUMIFS(
  '[1]Hoja 1'!$M:$M,
  '[1]Hoja 1'!$K:$K, $A202,
  '[1]Hoja 1'!$R:$R, "&gt;="&amp;INT($AC$1),
  '[1]Hoja 1'!$R:$R, "&lt;="&amp;INT($AD$1)
)</f>
        <v>1</v>
      </c>
      <c r="AB202" s="1">
        <f t="shared" si="106"/>
        <v>1</v>
      </c>
      <c r="AC202" s="9">
        <f t="shared" si="107"/>
        <v>0.59991667534541426</v>
      </c>
      <c r="AD202" s="10">
        <f t="shared" si="108"/>
        <v>1.4000833246545858</v>
      </c>
      <c r="AE202" s="1">
        <f>SUMIFS(
  '[1]Hoja 1'!$M:$M,
  '[1]Hoja 1'!$K:$K, $A202,
  '[1]Hoja 1'!$R:$R, "&gt;="&amp;INT($AG$1),
  '[1]Hoja 1'!$R:$R, "&lt;="&amp;INT($AH$1)
)</f>
        <v>0</v>
      </c>
      <c r="AF202" s="1">
        <f t="shared" si="109"/>
        <v>1</v>
      </c>
      <c r="AG202" s="9">
        <f t="shared" si="110"/>
        <v>0.43419673619416677</v>
      </c>
      <c r="AH202" s="10">
        <f t="shared" si="111"/>
        <v>1.5658032638058332</v>
      </c>
      <c r="AI202" s="1">
        <f>SUMIFS(
  '[1]Hoja 1'!$M:$M,
  '[1]Hoja 1'!$K:$K, $A202,
  '[1]Hoja 1'!$R:$R, "&gt;="&amp;INT($AK$1),
  '[1]Hoja 1'!$R:$R, "&lt;="&amp;INT($AL$1)
)</f>
        <v>0</v>
      </c>
      <c r="AJ202" s="1">
        <f t="shared" si="112"/>
        <v>0</v>
      </c>
      <c r="AK202" s="9">
        <f t="shared" si="113"/>
        <v>-0.52383203414835178</v>
      </c>
      <c r="AL202" s="10">
        <f t="shared" si="114"/>
        <v>0.52383203414835178</v>
      </c>
      <c r="AM202" s="1">
        <f>SUMIFS(
  '[1]Hoja 1'!$M:$M,
  '[1]Hoja 1'!$K:$K, $A202,
  '[1]Hoja 1'!$R:$R, "&gt;="&amp;INT($AO$1),
  '[1]Hoja 1'!$R:$R, "&lt;="&amp;INT($AP$1)
)</f>
        <v>1</v>
      </c>
      <c r="AN202" s="1">
        <f t="shared" si="115"/>
        <v>1</v>
      </c>
      <c r="AO202" s="9">
        <f t="shared" si="116"/>
        <v>0.41109329167421504</v>
      </c>
      <c r="AP202" s="10">
        <f t="shared" si="117"/>
        <v>1.5889067083257848</v>
      </c>
      <c r="AQ202" s="1">
        <f>SUMIFS(
  '[1]Hoja 1'!$M:$M,
  '[1]Hoja 1'!$K:$K, $A202,
  '[1]Hoja 1'!$R:$R, "&gt;="&amp;INT($AS$1),
  '[1]Hoja 1'!$R:$R, "&lt;="&amp;INT($AT$1)
)</f>
        <v>1</v>
      </c>
      <c r="AR202" s="1">
        <f t="shared" si="118"/>
        <v>1</v>
      </c>
      <c r="AS202" s="9">
        <f t="shared" si="119"/>
        <v>0.44370671204640433</v>
      </c>
      <c r="AT202" s="10">
        <f t="shared" si="120"/>
        <v>1.5562932879535958</v>
      </c>
      <c r="AU202" s="1">
        <f>SUMIFS(
  '[1]Hoja 1'!$M:$M,
  '[1]Hoja 1'!$K:$K, $A202,
  '[1]Hoja 1'!$R:$R, "&gt;="&amp;INT($AW$1),
  '[1]Hoja 1'!$R:$R, "&lt;="&amp;INT($AX$1)
)</f>
        <v>19</v>
      </c>
      <c r="AV202" s="1">
        <f t="shared" si="121"/>
        <v>10</v>
      </c>
      <c r="AW202" s="9">
        <f t="shared" si="122"/>
        <v>7.3177865314429038</v>
      </c>
      <c r="AX202" s="10">
        <f t="shared" si="123"/>
        <v>12.682213468557096</v>
      </c>
    </row>
    <row r="203" spans="1:50" x14ac:dyDescent="0.25">
      <c r="A203" s="5">
        <v>236001</v>
      </c>
      <c r="B203" s="6" t="s">
        <v>200</v>
      </c>
      <c r="C203" s="1">
        <f>SUMIFS(
  '[1]Hoja 1'!$M:$M,
  '[1]Hoja 1'!$K:$K, $A203,
  '[1]Hoja 1'!$R:$R, "&gt;="&amp;INT($E$1),
  '[1]Hoja 1'!$R:$R, "&lt;"&amp;INT($F$1+1)
)</f>
        <v>1</v>
      </c>
      <c r="D203" s="1" t="str">
        <f>""</f>
        <v/>
      </c>
      <c r="F203" s="2"/>
      <c r="G203" s="1">
        <f>SUMIFS(
  '[1]Hoja 1'!$M:$M,
  '[1]Hoja 1'!$K:$K, $A203,
  '[1]Hoja 1'!$R:$R, "&gt;="&amp;INT($I$1),
  '[1]Hoja 1'!$R:$R, "&lt;"&amp;INT($J$1+1)
)</f>
        <v>0</v>
      </c>
      <c r="H203" s="1">
        <f t="shared" si="93"/>
        <v>0.5</v>
      </c>
      <c r="I203" s="1"/>
      <c r="J203" s="2"/>
      <c r="K203" s="1">
        <f>SUMIFS(
  '[1]Hoja 1'!$M:$M,
  '[1]Hoja 1'!$K:$K, $A203,
  '[1]Hoja 1'!$R:$R, "&gt;="&amp;INT($M$1),
  '[1]Hoja 1'!$R:$R, "&lt;"&amp;INT($N$1+1)
)</f>
        <v>1</v>
      </c>
      <c r="L203" s="1">
        <f t="shared" si="94"/>
        <v>0.5</v>
      </c>
      <c r="M203" s="9">
        <f t="shared" si="95"/>
        <v>-0.88592929112563312</v>
      </c>
      <c r="N203" s="10">
        <f t="shared" si="96"/>
        <v>1.8859292911256331</v>
      </c>
      <c r="O203" s="1">
        <f>SUMIFS(
  '[1]Hoja 1'!$M:$M,
  '[1]Hoja 1'!$K:$K, $A203,
  '[1]Hoja 1'!$R:$R, "&gt;="&amp;INT($Q$1),
  '[1]Hoja 1'!$R:$R, "&lt;="&amp;INT($R$1)
)</f>
        <v>0</v>
      </c>
      <c r="P203" s="1">
        <f t="shared" si="97"/>
        <v>0.5</v>
      </c>
      <c r="Q203" s="9">
        <f t="shared" si="98"/>
        <v>-0.63160652761166647</v>
      </c>
      <c r="R203" s="10">
        <f t="shared" si="99"/>
        <v>1.6316065276116665</v>
      </c>
      <c r="S203" s="1">
        <f>SUMIFS(
  '[1]Hoja 1'!$M:$M,
  '[1]Hoja 1'!$K:$K, $A203,
  '[1]Hoja 1'!$R:$R, "&gt;="&amp;INT($U$1),
  '[1]Hoja 1'!$R:$R, "&lt;="&amp;INT($V$1)
)</f>
        <v>1</v>
      </c>
      <c r="T203" s="1">
        <f t="shared" si="100"/>
        <v>1</v>
      </c>
      <c r="U203" s="9">
        <f t="shared" si="101"/>
        <v>-0.23313962442755565</v>
      </c>
      <c r="V203" s="10">
        <f t="shared" si="102"/>
        <v>2.2331396244275554</v>
      </c>
      <c r="W203" s="1">
        <f>SUMIFS(
  '[1]Hoja 1'!$M:$M,
  '[1]Hoja 1'!$K:$K, $A203,
  '[1]Hoja 1'!$R:$R, "&gt;="&amp;INT($Y$1),
  '[1]Hoja 1'!$R:$R, "&lt;="&amp;INT($Z$1)
)</f>
        <v>0</v>
      </c>
      <c r="X203" s="1">
        <f t="shared" si="103"/>
        <v>1</v>
      </c>
      <c r="Y203" s="9">
        <f t="shared" si="104"/>
        <v>-7.3536212710125559E-2</v>
      </c>
      <c r="Z203" s="10">
        <f t="shared" si="105"/>
        <v>2.0735362127101258</v>
      </c>
      <c r="AA203" s="1">
        <f>SUMIFS(
  '[1]Hoja 1'!$M:$M,
  '[1]Hoja 1'!$K:$K, $A203,
  '[1]Hoja 1'!$R:$R, "&gt;="&amp;INT($AC$1),
  '[1]Hoja 1'!$R:$R, "&lt;="&amp;INT($AD$1)
)</f>
        <v>1</v>
      </c>
      <c r="AB203" s="1">
        <f t="shared" si="106"/>
        <v>1</v>
      </c>
      <c r="AC203" s="9">
        <f t="shared" si="107"/>
        <v>-7.3536212710125559E-2</v>
      </c>
      <c r="AD203" s="10">
        <f t="shared" si="108"/>
        <v>2.0735362127101258</v>
      </c>
      <c r="AE203" s="1">
        <f>SUMIFS(
  '[1]Hoja 1'!$M:$M,
  '[1]Hoja 1'!$K:$K, $A203,
  '[1]Hoja 1'!$R:$R, "&gt;="&amp;INT($AG$1),
  '[1]Hoja 1'!$R:$R, "&lt;="&amp;INT($AH$1)
)</f>
        <v>0</v>
      </c>
      <c r="AF203" s="1">
        <f t="shared" si="109"/>
        <v>1</v>
      </c>
      <c r="AG203" s="9">
        <f t="shared" si="110"/>
        <v>-4.7664068296703554E-2</v>
      </c>
      <c r="AH203" s="10">
        <f t="shared" si="111"/>
        <v>2.0476640682967036</v>
      </c>
      <c r="AI203" s="1">
        <f>SUMIFS(
  '[1]Hoja 1'!$M:$M,
  '[1]Hoja 1'!$K:$K, $A203,
  '[1]Hoja 1'!$R:$R, "&gt;="&amp;INT($AK$1),
  '[1]Hoja 1'!$R:$R, "&lt;="&amp;INT($AL$1)
)</f>
        <v>0</v>
      </c>
      <c r="AJ203" s="1">
        <f t="shared" si="112"/>
        <v>0</v>
      </c>
      <c r="AK203" s="9">
        <f t="shared" si="113"/>
        <v>-0.97121058478581257</v>
      </c>
      <c r="AL203" s="10">
        <f t="shared" si="114"/>
        <v>0.97121058478581257</v>
      </c>
      <c r="AM203" s="1">
        <f>SUMIFS(
  '[1]Hoja 1'!$M:$M,
  '[1]Hoja 1'!$K:$K, $A203,
  '[1]Hoja 1'!$R:$R, "&gt;="&amp;INT($AO$1),
  '[1]Hoja 1'!$R:$R, "&lt;="&amp;INT($AP$1)
)</f>
        <v>1</v>
      </c>
      <c r="AN203" s="1">
        <f t="shared" si="115"/>
        <v>1</v>
      </c>
      <c r="AO203" s="9">
        <f t="shared" si="116"/>
        <v>2.0000000000000018E-2</v>
      </c>
      <c r="AP203" s="10">
        <f t="shared" si="117"/>
        <v>1.98</v>
      </c>
      <c r="AQ203" s="1">
        <f>SUMIFS(
  '[1]Hoja 1'!$M:$M,
  '[1]Hoja 1'!$K:$K, $A203,
  '[1]Hoja 1'!$R:$R, "&gt;="&amp;INT($AS$1),
  '[1]Hoja 1'!$R:$R, "&lt;="&amp;INT($AT$1)
)</f>
        <v>0</v>
      </c>
      <c r="AR203" s="1">
        <f t="shared" si="118"/>
        <v>1</v>
      </c>
      <c r="AS203" s="9">
        <f t="shared" si="119"/>
        <v>7.6047139249577955E-2</v>
      </c>
      <c r="AT203" s="10">
        <f t="shared" si="120"/>
        <v>1.9239528607504219</v>
      </c>
      <c r="AU203" s="1">
        <f>SUMIFS(
  '[1]Hoja 1'!$M:$M,
  '[1]Hoja 1'!$K:$K, $A203,
  '[1]Hoja 1'!$R:$R, "&gt;="&amp;INT($AW$1),
  '[1]Hoja 1'!$R:$R, "&lt;="&amp;INT($AX$1)
)</f>
        <v>0</v>
      </c>
      <c r="AV203" s="1">
        <f t="shared" si="121"/>
        <v>0</v>
      </c>
      <c r="AW203" s="9">
        <f t="shared" si="122"/>
        <v>-0.92500221129956817</v>
      </c>
      <c r="AX203" s="10">
        <f t="shared" si="123"/>
        <v>0.92500221129956817</v>
      </c>
    </row>
    <row r="204" spans="1:50" x14ac:dyDescent="0.25">
      <c r="A204" s="5">
        <v>236002</v>
      </c>
      <c r="B204" s="6" t="s">
        <v>201</v>
      </c>
      <c r="C204" s="1">
        <f>SUMIFS(
  '[1]Hoja 1'!$M:$M,
  '[1]Hoja 1'!$K:$K, $A204,
  '[1]Hoja 1'!$R:$R, "&gt;="&amp;INT($E$1),
  '[1]Hoja 1'!$R:$R, "&lt;"&amp;INT($F$1+1)
)</f>
        <v>0</v>
      </c>
      <c r="D204" s="1" t="str">
        <f>""</f>
        <v/>
      </c>
      <c r="F204" s="2"/>
      <c r="G204" s="1">
        <f>SUMIFS(
  '[1]Hoja 1'!$M:$M,
  '[1]Hoja 1'!$K:$K, $A204,
  '[1]Hoja 1'!$R:$R, "&gt;="&amp;INT($I$1),
  '[1]Hoja 1'!$R:$R, "&lt;"&amp;INT($J$1+1)
)</f>
        <v>0</v>
      </c>
      <c r="H204" s="1">
        <f t="shared" si="93"/>
        <v>0</v>
      </c>
      <c r="I204" s="1"/>
      <c r="J204" s="2"/>
      <c r="K204" s="1">
        <f>SUMIFS(
  '[1]Hoja 1'!$M:$M,
  '[1]Hoja 1'!$K:$K, $A204,
  '[1]Hoja 1'!$R:$R, "&gt;="&amp;INT($M$1),
  '[1]Hoja 1'!$R:$R, "&lt;"&amp;INT($N$1+1)
)</f>
        <v>0</v>
      </c>
      <c r="L204" s="1">
        <f t="shared" si="94"/>
        <v>0</v>
      </c>
      <c r="M204" s="9">
        <f t="shared" si="95"/>
        <v>0</v>
      </c>
      <c r="N204" s="10">
        <f t="shared" si="96"/>
        <v>0</v>
      </c>
      <c r="O204" s="1">
        <f>SUMIFS(
  '[1]Hoja 1'!$M:$M,
  '[1]Hoja 1'!$K:$K, $A204,
  '[1]Hoja 1'!$R:$R, "&gt;="&amp;INT($Q$1),
  '[1]Hoja 1'!$R:$R, "&lt;="&amp;INT($R$1)
)</f>
        <v>0</v>
      </c>
      <c r="P204" s="1">
        <f t="shared" si="97"/>
        <v>0</v>
      </c>
      <c r="Q204" s="9">
        <f t="shared" si="98"/>
        <v>0</v>
      </c>
      <c r="R204" s="10">
        <f t="shared" si="99"/>
        <v>0</v>
      </c>
      <c r="S204" s="1">
        <f>SUMIFS(
  '[1]Hoja 1'!$M:$M,
  '[1]Hoja 1'!$K:$K, $A204,
  '[1]Hoja 1'!$R:$R, "&gt;="&amp;INT($U$1),
  '[1]Hoja 1'!$R:$R, "&lt;="&amp;INT($V$1)
)</f>
        <v>0</v>
      </c>
      <c r="T204" s="1">
        <f t="shared" si="100"/>
        <v>0</v>
      </c>
      <c r="U204" s="9">
        <f t="shared" si="101"/>
        <v>-1.47</v>
      </c>
      <c r="V204" s="10">
        <f t="shared" si="102"/>
        <v>1.47</v>
      </c>
      <c r="W204" s="1">
        <f>SUMIFS(
  '[1]Hoja 1'!$M:$M,
  '[1]Hoja 1'!$K:$K, $A204,
  '[1]Hoja 1'!$R:$R, "&gt;="&amp;INT($Y$1),
  '[1]Hoja 1'!$R:$R, "&lt;="&amp;INT($Z$1)
)</f>
        <v>0</v>
      </c>
      <c r="X204" s="1">
        <f t="shared" si="103"/>
        <v>0</v>
      </c>
      <c r="Y204" s="9">
        <f t="shared" si="104"/>
        <v>0</v>
      </c>
      <c r="Z204" s="10">
        <f t="shared" si="105"/>
        <v>0</v>
      </c>
      <c r="AA204" s="1">
        <f>SUMIFS(
  '[1]Hoja 1'!$M:$M,
  '[1]Hoja 1'!$K:$K, $A204,
  '[1]Hoja 1'!$R:$R, "&gt;="&amp;INT($AC$1),
  '[1]Hoja 1'!$R:$R, "&lt;="&amp;INT($AD$1)
)</f>
        <v>0</v>
      </c>
      <c r="AB204" s="1">
        <f t="shared" si="106"/>
        <v>0</v>
      </c>
      <c r="AC204" s="9">
        <f t="shared" si="107"/>
        <v>0</v>
      </c>
      <c r="AD204" s="10">
        <f t="shared" si="108"/>
        <v>0</v>
      </c>
      <c r="AE204" s="1">
        <f>SUMIFS(
  '[1]Hoja 1'!$M:$M,
  '[1]Hoja 1'!$K:$K, $A204,
  '[1]Hoja 1'!$R:$R, "&gt;="&amp;INT($AG$1),
  '[1]Hoja 1'!$R:$R, "&lt;="&amp;INT($AH$1)
)</f>
        <v>0</v>
      </c>
      <c r="AF204" s="1">
        <f t="shared" si="109"/>
        <v>0</v>
      </c>
      <c r="AG204" s="9">
        <f t="shared" si="110"/>
        <v>0</v>
      </c>
      <c r="AH204" s="10">
        <f t="shared" si="111"/>
        <v>0</v>
      </c>
      <c r="AI204" s="1">
        <f>SUMIFS(
  '[1]Hoja 1'!$M:$M,
  '[1]Hoja 1'!$K:$K, $A204,
  '[1]Hoja 1'!$R:$R, "&gt;="&amp;INT($AK$1),
  '[1]Hoja 1'!$R:$R, "&lt;="&amp;INT($AL$1)
)</f>
        <v>0</v>
      </c>
      <c r="AJ204" s="1">
        <f t="shared" si="112"/>
        <v>0</v>
      </c>
      <c r="AK204" s="9">
        <f t="shared" si="113"/>
        <v>0</v>
      </c>
      <c r="AL204" s="10">
        <f t="shared" si="114"/>
        <v>0</v>
      </c>
      <c r="AM204" s="1">
        <f>SUMIFS(
  '[1]Hoja 1'!$M:$M,
  '[1]Hoja 1'!$K:$K, $A204,
  '[1]Hoja 1'!$R:$R, "&gt;="&amp;INT($AO$1),
  '[1]Hoja 1'!$R:$R, "&lt;="&amp;INT($AP$1)
)</f>
        <v>0</v>
      </c>
      <c r="AN204" s="1">
        <f t="shared" si="115"/>
        <v>0</v>
      </c>
      <c r="AO204" s="9">
        <f t="shared" si="116"/>
        <v>0</v>
      </c>
      <c r="AP204" s="10">
        <f t="shared" si="117"/>
        <v>0</v>
      </c>
      <c r="AQ204" s="1">
        <f>SUMIFS(
  '[1]Hoja 1'!$M:$M,
  '[1]Hoja 1'!$K:$K, $A204,
  '[1]Hoja 1'!$R:$R, "&gt;="&amp;INT($AS$1),
  '[1]Hoja 1'!$R:$R, "&lt;="&amp;INT($AT$1)
)</f>
        <v>0</v>
      </c>
      <c r="AR204" s="1">
        <f t="shared" si="118"/>
        <v>0</v>
      </c>
      <c r="AS204" s="9">
        <f t="shared" si="119"/>
        <v>0</v>
      </c>
      <c r="AT204" s="10">
        <f t="shared" si="120"/>
        <v>0</v>
      </c>
      <c r="AU204" s="1">
        <f>SUMIFS(
  '[1]Hoja 1'!$M:$M,
  '[1]Hoja 1'!$K:$K, $A204,
  '[1]Hoja 1'!$R:$R, "&gt;="&amp;INT($AW$1),
  '[1]Hoja 1'!$R:$R, "&lt;="&amp;INT($AX$1)
)</f>
        <v>0</v>
      </c>
      <c r="AV204" s="1">
        <f t="shared" si="121"/>
        <v>0</v>
      </c>
      <c r="AW204" s="9">
        <f t="shared" si="122"/>
        <v>0</v>
      </c>
      <c r="AX204" s="10">
        <f t="shared" si="123"/>
        <v>0</v>
      </c>
    </row>
    <row r="205" spans="1:50" x14ac:dyDescent="0.25">
      <c r="A205" s="5">
        <v>236003</v>
      </c>
      <c r="B205" s="6" t="s">
        <v>202</v>
      </c>
      <c r="C205" s="1">
        <f>SUMIFS(
  '[1]Hoja 1'!$M:$M,
  '[1]Hoja 1'!$K:$K, $A205,
  '[1]Hoja 1'!$R:$R, "&gt;="&amp;INT($E$1),
  '[1]Hoja 1'!$R:$R, "&lt;"&amp;INT($F$1+1)
)</f>
        <v>0</v>
      </c>
      <c r="D205" s="1" t="str">
        <f>""</f>
        <v/>
      </c>
      <c r="F205" s="2"/>
      <c r="G205" s="1">
        <f>SUMIFS(
  '[1]Hoja 1'!$M:$M,
  '[1]Hoja 1'!$K:$K, $A205,
  '[1]Hoja 1'!$R:$R, "&gt;="&amp;INT($I$1),
  '[1]Hoja 1'!$R:$R, "&lt;"&amp;INT($J$1+1)
)</f>
        <v>0</v>
      </c>
      <c r="H205" s="1">
        <f t="shared" si="93"/>
        <v>0</v>
      </c>
      <c r="I205" s="1"/>
      <c r="J205" s="2"/>
      <c r="K205" s="1">
        <f>SUMIFS(
  '[1]Hoja 1'!$M:$M,
  '[1]Hoja 1'!$K:$K, $A205,
  '[1]Hoja 1'!$R:$R, "&gt;="&amp;INT($M$1),
  '[1]Hoja 1'!$R:$R, "&lt;"&amp;INT($N$1+1)
)</f>
        <v>0</v>
      </c>
      <c r="L205" s="1">
        <f t="shared" si="94"/>
        <v>0</v>
      </c>
      <c r="M205" s="9">
        <f t="shared" si="95"/>
        <v>0</v>
      </c>
      <c r="N205" s="10">
        <f t="shared" si="96"/>
        <v>0</v>
      </c>
      <c r="O205" s="1">
        <f>SUMIFS(
  '[1]Hoja 1'!$M:$M,
  '[1]Hoja 1'!$K:$K, $A205,
  '[1]Hoja 1'!$R:$R, "&gt;="&amp;INT($Q$1),
  '[1]Hoja 1'!$R:$R, "&lt;="&amp;INT($R$1)
)</f>
        <v>0</v>
      </c>
      <c r="P205" s="1">
        <f t="shared" si="97"/>
        <v>0</v>
      </c>
      <c r="Q205" s="9">
        <f t="shared" si="98"/>
        <v>0</v>
      </c>
      <c r="R205" s="10">
        <f t="shared" si="99"/>
        <v>0</v>
      </c>
      <c r="S205" s="1">
        <f>SUMIFS(
  '[1]Hoja 1'!$M:$M,
  '[1]Hoja 1'!$K:$K, $A205,
  '[1]Hoja 1'!$R:$R, "&gt;="&amp;INT($U$1),
  '[1]Hoja 1'!$R:$R, "&lt;="&amp;INT($V$1)
)</f>
        <v>1</v>
      </c>
      <c r="T205" s="1">
        <f t="shared" si="100"/>
        <v>1</v>
      </c>
      <c r="U205" s="9">
        <f t="shared" si="101"/>
        <v>2.0000000000000018E-2</v>
      </c>
      <c r="V205" s="10">
        <f t="shared" si="102"/>
        <v>1.98</v>
      </c>
      <c r="W205" s="1">
        <f>SUMIFS(
  '[1]Hoja 1'!$M:$M,
  '[1]Hoja 1'!$K:$K, $A205,
  '[1]Hoja 1'!$R:$R, "&gt;="&amp;INT($Y$1),
  '[1]Hoja 1'!$R:$R, "&lt;="&amp;INT($Z$1)
)</f>
        <v>0</v>
      </c>
      <c r="X205" s="1">
        <f t="shared" si="103"/>
        <v>1</v>
      </c>
      <c r="Y205" s="9">
        <f t="shared" si="104"/>
        <v>0.30703535443718344</v>
      </c>
      <c r="Z205" s="10">
        <f t="shared" si="105"/>
        <v>1.6929646455628165</v>
      </c>
      <c r="AA205" s="1">
        <f>SUMIFS(
  '[1]Hoja 1'!$M:$M,
  '[1]Hoja 1'!$K:$K, $A205,
  '[1]Hoja 1'!$R:$R, "&gt;="&amp;INT($AC$1),
  '[1]Hoja 1'!$R:$R, "&lt;="&amp;INT($AD$1)
)</f>
        <v>0</v>
      </c>
      <c r="AB205" s="1">
        <f t="shared" si="106"/>
        <v>0</v>
      </c>
      <c r="AC205" s="9">
        <f t="shared" si="107"/>
        <v>-0.61980642139300235</v>
      </c>
      <c r="AD205" s="10">
        <f t="shared" si="108"/>
        <v>0.61980642139300235</v>
      </c>
      <c r="AE205" s="1">
        <f>SUMIFS(
  '[1]Hoja 1'!$M:$M,
  '[1]Hoja 1'!$K:$K, $A205,
  '[1]Hoja 1'!$R:$R, "&gt;="&amp;INT($AG$1),
  '[1]Hoja 1'!$R:$R, "&lt;="&amp;INT($AH$1)
)</f>
        <v>0</v>
      </c>
      <c r="AF205" s="1">
        <f t="shared" si="109"/>
        <v>0</v>
      </c>
      <c r="AG205" s="9">
        <f t="shared" si="110"/>
        <v>-0.56580326380583323</v>
      </c>
      <c r="AH205" s="10">
        <f t="shared" si="111"/>
        <v>0.56580326380583323</v>
      </c>
      <c r="AI205" s="1">
        <f>SUMIFS(
  '[1]Hoja 1'!$M:$M,
  '[1]Hoja 1'!$K:$K, $A205,
  '[1]Hoja 1'!$R:$R, "&gt;="&amp;INT($AK$1),
  '[1]Hoja 1'!$R:$R, "&lt;="&amp;INT($AL$1)
)</f>
        <v>0</v>
      </c>
      <c r="AJ205" s="1">
        <f t="shared" si="112"/>
        <v>0</v>
      </c>
      <c r="AK205" s="9">
        <f t="shared" si="113"/>
        <v>-0.52383203414835178</v>
      </c>
      <c r="AL205" s="10">
        <f t="shared" si="114"/>
        <v>0.52383203414835178</v>
      </c>
      <c r="AM205" s="1">
        <f>SUMIFS(
  '[1]Hoja 1'!$M:$M,
  '[1]Hoja 1'!$K:$K, $A205,
  '[1]Hoja 1'!$R:$R, "&gt;="&amp;INT($AO$1),
  '[1]Hoja 1'!$R:$R, "&lt;="&amp;INT($AP$1)
)</f>
        <v>0</v>
      </c>
      <c r="AN205" s="1">
        <f t="shared" si="115"/>
        <v>0</v>
      </c>
      <c r="AO205" s="9">
        <f t="shared" si="116"/>
        <v>-0.49</v>
      </c>
      <c r="AP205" s="10">
        <f t="shared" si="117"/>
        <v>0.49</v>
      </c>
      <c r="AQ205" s="1">
        <f>SUMIFS(
  '[1]Hoja 1'!$M:$M,
  '[1]Hoja 1'!$K:$K, $A205,
  '[1]Hoja 1'!$R:$R, "&gt;="&amp;INT($AS$1),
  '[1]Hoja 1'!$R:$R, "&lt;="&amp;INT($AT$1)
)</f>
        <v>0</v>
      </c>
      <c r="AR205" s="1">
        <f t="shared" si="118"/>
        <v>0</v>
      </c>
      <c r="AS205" s="9">
        <f t="shared" si="119"/>
        <v>-0.46197643037521102</v>
      </c>
      <c r="AT205" s="10">
        <f t="shared" si="120"/>
        <v>0.46197643037521102</v>
      </c>
      <c r="AU205" s="1">
        <f>SUMIFS(
  '[1]Hoja 1'!$M:$M,
  '[1]Hoja 1'!$K:$K, $A205,
  '[1]Hoja 1'!$R:$R, "&gt;="&amp;INT($AW$1),
  '[1]Hoja 1'!$R:$R, "&lt;="&amp;INT($AX$1)
)</f>
        <v>0</v>
      </c>
      <c r="AV205" s="1">
        <f t="shared" si="121"/>
        <v>0</v>
      </c>
      <c r="AW205" s="9">
        <f t="shared" si="122"/>
        <v>-0.43826932358995874</v>
      </c>
      <c r="AX205" s="10">
        <f t="shared" si="123"/>
        <v>0.43826932358995874</v>
      </c>
    </row>
    <row r="206" spans="1:50" x14ac:dyDescent="0.25">
      <c r="A206" s="5">
        <v>236004</v>
      </c>
      <c r="B206" s="6" t="s">
        <v>203</v>
      </c>
      <c r="C206" s="1">
        <f>SUMIFS(
  '[1]Hoja 1'!$M:$M,
  '[1]Hoja 1'!$K:$K, $A206,
  '[1]Hoja 1'!$R:$R, "&gt;="&amp;INT($E$1),
  '[1]Hoja 1'!$R:$R, "&lt;"&amp;INT($F$1+1)
)</f>
        <v>0</v>
      </c>
      <c r="D206" s="1" t="str">
        <f>""</f>
        <v/>
      </c>
      <c r="F206" s="2"/>
      <c r="G206" s="1">
        <f>SUMIFS(
  '[1]Hoja 1'!$M:$M,
  '[1]Hoja 1'!$K:$K, $A206,
  '[1]Hoja 1'!$R:$R, "&gt;="&amp;INT($I$1),
  '[1]Hoja 1'!$R:$R, "&lt;"&amp;INT($J$1+1)
)</f>
        <v>0</v>
      </c>
      <c r="H206" s="1">
        <f t="shared" si="93"/>
        <v>0</v>
      </c>
      <c r="I206" s="1"/>
      <c r="J206" s="2"/>
      <c r="K206" s="1">
        <f>SUMIFS(
  '[1]Hoja 1'!$M:$M,
  '[1]Hoja 1'!$K:$K, $A206,
  '[1]Hoja 1'!$R:$R, "&gt;="&amp;INT($M$1),
  '[1]Hoja 1'!$R:$R, "&lt;"&amp;INT($N$1+1)
)</f>
        <v>0</v>
      </c>
      <c r="L206" s="1">
        <f t="shared" si="94"/>
        <v>0</v>
      </c>
      <c r="M206" s="9">
        <f t="shared" si="95"/>
        <v>0</v>
      </c>
      <c r="N206" s="10">
        <f t="shared" si="96"/>
        <v>0</v>
      </c>
      <c r="O206" s="1">
        <f>SUMIFS(
  '[1]Hoja 1'!$M:$M,
  '[1]Hoja 1'!$K:$K, $A206,
  '[1]Hoja 1'!$R:$R, "&gt;="&amp;INT($Q$1),
  '[1]Hoja 1'!$R:$R, "&lt;="&amp;INT($R$1)
)</f>
        <v>1</v>
      </c>
      <c r="P206" s="1">
        <f t="shared" si="97"/>
        <v>0.5</v>
      </c>
      <c r="Q206" s="9">
        <f t="shared" si="98"/>
        <v>-6.5803263805833345E-2</v>
      </c>
      <c r="R206" s="10">
        <f t="shared" si="99"/>
        <v>1.0658032638058335</v>
      </c>
      <c r="S206" s="1">
        <f>SUMIFS(
  '[1]Hoja 1'!$M:$M,
  '[1]Hoja 1'!$K:$K, $A206,
  '[1]Hoja 1'!$R:$R, "&gt;="&amp;INT($U$1),
  '[1]Hoja 1'!$R:$R, "&lt;="&amp;INT($V$1)
)</f>
        <v>0</v>
      </c>
      <c r="T206" s="1">
        <f t="shared" si="100"/>
        <v>1</v>
      </c>
      <c r="U206" s="9">
        <f t="shared" si="101"/>
        <v>-0.6974097914174997</v>
      </c>
      <c r="V206" s="10">
        <f t="shared" si="102"/>
        <v>2.6974097914174999</v>
      </c>
      <c r="W206" s="1">
        <f>SUMIFS(
  '[1]Hoja 1'!$M:$M,
  '[1]Hoja 1'!$K:$K, $A206,
  '[1]Hoja 1'!$R:$R, "&gt;="&amp;INT($Y$1),
  '[1]Hoja 1'!$R:$R, "&lt;="&amp;INT($Z$1)
)</f>
        <v>0</v>
      </c>
      <c r="X206" s="1">
        <f t="shared" si="103"/>
        <v>0</v>
      </c>
      <c r="Y206" s="9">
        <f t="shared" si="104"/>
        <v>-0.69296464556281656</v>
      </c>
      <c r="Z206" s="10">
        <f t="shared" si="105"/>
        <v>0.69296464556281656</v>
      </c>
      <c r="AA206" s="1">
        <f>SUMIFS(
  '[1]Hoja 1'!$M:$M,
  '[1]Hoja 1'!$K:$K, $A206,
  '[1]Hoja 1'!$R:$R, "&gt;="&amp;INT($AC$1),
  '[1]Hoja 1'!$R:$R, "&lt;="&amp;INT($AD$1)
)</f>
        <v>0</v>
      </c>
      <c r="AB206" s="1">
        <f t="shared" si="106"/>
        <v>0</v>
      </c>
      <c r="AC206" s="9">
        <f t="shared" si="107"/>
        <v>-0.61980642139300235</v>
      </c>
      <c r="AD206" s="10">
        <f t="shared" si="108"/>
        <v>0.61980642139300235</v>
      </c>
      <c r="AE206" s="1">
        <f>SUMIFS(
  '[1]Hoja 1'!$M:$M,
  '[1]Hoja 1'!$K:$K, $A206,
  '[1]Hoja 1'!$R:$R, "&gt;="&amp;INT($AG$1),
  '[1]Hoja 1'!$R:$R, "&lt;="&amp;INT($AH$1)
)</f>
        <v>0</v>
      </c>
      <c r="AF206" s="1">
        <f t="shared" si="109"/>
        <v>0</v>
      </c>
      <c r="AG206" s="9">
        <f t="shared" si="110"/>
        <v>-0.56580326380583323</v>
      </c>
      <c r="AH206" s="10">
        <f t="shared" si="111"/>
        <v>0.56580326380583323</v>
      </c>
      <c r="AI206" s="1">
        <f>SUMIFS(
  '[1]Hoja 1'!$M:$M,
  '[1]Hoja 1'!$K:$K, $A206,
  '[1]Hoja 1'!$R:$R, "&gt;="&amp;INT($AK$1),
  '[1]Hoja 1'!$R:$R, "&lt;="&amp;INT($AL$1)
)</f>
        <v>0</v>
      </c>
      <c r="AJ206" s="1">
        <f t="shared" si="112"/>
        <v>0</v>
      </c>
      <c r="AK206" s="9">
        <f t="shared" si="113"/>
        <v>-0.52383203414835178</v>
      </c>
      <c r="AL206" s="10">
        <f t="shared" si="114"/>
        <v>0.52383203414835178</v>
      </c>
      <c r="AM206" s="1">
        <f>SUMIFS(
  '[1]Hoja 1'!$M:$M,
  '[1]Hoja 1'!$K:$K, $A206,
  '[1]Hoja 1'!$R:$R, "&gt;="&amp;INT($AO$1),
  '[1]Hoja 1'!$R:$R, "&lt;="&amp;INT($AP$1)
)</f>
        <v>0</v>
      </c>
      <c r="AN206" s="1">
        <f t="shared" si="115"/>
        <v>0</v>
      </c>
      <c r="AO206" s="9">
        <f t="shared" si="116"/>
        <v>-0.49</v>
      </c>
      <c r="AP206" s="10">
        <f t="shared" si="117"/>
        <v>0.49</v>
      </c>
      <c r="AQ206" s="1">
        <f>SUMIFS(
  '[1]Hoja 1'!$M:$M,
  '[1]Hoja 1'!$K:$K, $A206,
  '[1]Hoja 1'!$R:$R, "&gt;="&amp;INT($AS$1),
  '[1]Hoja 1'!$R:$R, "&lt;="&amp;INT($AT$1)
)</f>
        <v>0</v>
      </c>
      <c r="AR206" s="1">
        <f t="shared" si="118"/>
        <v>0</v>
      </c>
      <c r="AS206" s="9">
        <f t="shared" si="119"/>
        <v>-0.46197643037521102</v>
      </c>
      <c r="AT206" s="10">
        <f t="shared" si="120"/>
        <v>0.46197643037521102</v>
      </c>
      <c r="AU206" s="1">
        <f>SUMIFS(
  '[1]Hoja 1'!$M:$M,
  '[1]Hoja 1'!$K:$K, $A206,
  '[1]Hoja 1'!$R:$R, "&gt;="&amp;INT($AW$1),
  '[1]Hoja 1'!$R:$R, "&lt;="&amp;INT($AX$1)
)</f>
        <v>0</v>
      </c>
      <c r="AV206" s="1">
        <f t="shared" si="121"/>
        <v>0</v>
      </c>
      <c r="AW206" s="9">
        <f t="shared" si="122"/>
        <v>-0.43826932358995874</v>
      </c>
      <c r="AX206" s="10">
        <f t="shared" si="123"/>
        <v>0.43826932358995874</v>
      </c>
    </row>
    <row r="207" spans="1:50" x14ac:dyDescent="0.25">
      <c r="A207" s="5">
        <v>236005</v>
      </c>
      <c r="B207" s="6" t="s">
        <v>204</v>
      </c>
      <c r="C207" s="1">
        <f>SUMIFS(
  '[1]Hoja 1'!$M:$M,
  '[1]Hoja 1'!$K:$K, $A207,
  '[1]Hoja 1'!$R:$R, "&gt;="&amp;INT($E$1),
  '[1]Hoja 1'!$R:$R, "&lt;"&amp;INT($F$1+1)
)</f>
        <v>0</v>
      </c>
      <c r="D207" s="1" t="str">
        <f>""</f>
        <v/>
      </c>
      <c r="F207" s="2"/>
      <c r="G207" s="1">
        <f>SUMIFS(
  '[1]Hoja 1'!$M:$M,
  '[1]Hoja 1'!$K:$K, $A207,
  '[1]Hoja 1'!$R:$R, "&gt;="&amp;INT($I$1),
  '[1]Hoja 1'!$R:$R, "&lt;"&amp;INT($J$1+1)
)</f>
        <v>0</v>
      </c>
      <c r="H207" s="1">
        <f t="shared" si="93"/>
        <v>0</v>
      </c>
      <c r="I207" s="1"/>
      <c r="J207" s="2"/>
      <c r="K207" s="1">
        <f>SUMIFS(
  '[1]Hoja 1'!$M:$M,
  '[1]Hoja 1'!$K:$K, $A207,
  '[1]Hoja 1'!$R:$R, "&gt;="&amp;INT($M$1),
  '[1]Hoja 1'!$R:$R, "&lt;"&amp;INT($N$1+1)
)</f>
        <v>0</v>
      </c>
      <c r="L207" s="1">
        <f t="shared" si="94"/>
        <v>0</v>
      </c>
      <c r="M207" s="9">
        <f t="shared" si="95"/>
        <v>0</v>
      </c>
      <c r="N207" s="10">
        <f t="shared" si="96"/>
        <v>0</v>
      </c>
      <c r="O207" s="1">
        <f>SUMIFS(
  '[1]Hoja 1'!$M:$M,
  '[1]Hoja 1'!$K:$K, $A207,
  '[1]Hoja 1'!$R:$R, "&gt;="&amp;INT($Q$1),
  '[1]Hoja 1'!$R:$R, "&lt;="&amp;INT($R$1)
)</f>
        <v>0</v>
      </c>
      <c r="P207" s="1">
        <f t="shared" si="97"/>
        <v>0</v>
      </c>
      <c r="Q207" s="9">
        <f t="shared" si="98"/>
        <v>0</v>
      </c>
      <c r="R207" s="10">
        <f t="shared" si="99"/>
        <v>0</v>
      </c>
      <c r="S207" s="1">
        <f>SUMIFS(
  '[1]Hoja 1'!$M:$M,
  '[1]Hoja 1'!$K:$K, $A207,
  '[1]Hoja 1'!$R:$R, "&gt;="&amp;INT($U$1),
  '[1]Hoja 1'!$R:$R, "&lt;="&amp;INT($V$1)
)</f>
        <v>1</v>
      </c>
      <c r="T207" s="1">
        <f t="shared" si="100"/>
        <v>1</v>
      </c>
      <c r="U207" s="9">
        <f t="shared" si="101"/>
        <v>2.0000000000000018E-2</v>
      </c>
      <c r="V207" s="10">
        <f t="shared" si="102"/>
        <v>1.98</v>
      </c>
      <c r="W207" s="1">
        <f>SUMIFS(
  '[1]Hoja 1'!$M:$M,
  '[1]Hoja 1'!$K:$K, $A207,
  '[1]Hoja 1'!$R:$R, "&gt;="&amp;INT($Y$1),
  '[1]Hoja 1'!$R:$R, "&lt;="&amp;INT($Z$1)
)</f>
        <v>0</v>
      </c>
      <c r="X207" s="1">
        <f t="shared" si="103"/>
        <v>1</v>
      </c>
      <c r="Y207" s="9">
        <f t="shared" si="104"/>
        <v>0.30703535443718344</v>
      </c>
      <c r="Z207" s="10">
        <f t="shared" si="105"/>
        <v>1.6929646455628165</v>
      </c>
      <c r="AA207" s="1">
        <f>SUMIFS(
  '[1]Hoja 1'!$M:$M,
  '[1]Hoja 1'!$K:$K, $A207,
  '[1]Hoja 1'!$R:$R, "&gt;="&amp;INT($AC$1),
  '[1]Hoja 1'!$R:$R, "&lt;="&amp;INT($AD$1)
)</f>
        <v>0</v>
      </c>
      <c r="AB207" s="1">
        <f t="shared" si="106"/>
        <v>0</v>
      </c>
      <c r="AC207" s="9">
        <f t="shared" si="107"/>
        <v>-0.61980642139300235</v>
      </c>
      <c r="AD207" s="10">
        <f t="shared" si="108"/>
        <v>0.61980642139300235</v>
      </c>
      <c r="AE207" s="1">
        <f>SUMIFS(
  '[1]Hoja 1'!$M:$M,
  '[1]Hoja 1'!$K:$K, $A207,
  '[1]Hoja 1'!$R:$R, "&gt;="&amp;INT($AG$1),
  '[1]Hoja 1'!$R:$R, "&lt;="&amp;INT($AH$1)
)</f>
        <v>0</v>
      </c>
      <c r="AF207" s="1">
        <f t="shared" si="109"/>
        <v>0</v>
      </c>
      <c r="AG207" s="9">
        <f t="shared" si="110"/>
        <v>-0.56580326380583323</v>
      </c>
      <c r="AH207" s="10">
        <f t="shared" si="111"/>
        <v>0.56580326380583323</v>
      </c>
      <c r="AI207" s="1">
        <f>SUMIFS(
  '[1]Hoja 1'!$M:$M,
  '[1]Hoja 1'!$K:$K, $A207,
  '[1]Hoja 1'!$R:$R, "&gt;="&amp;INT($AK$1),
  '[1]Hoja 1'!$R:$R, "&lt;="&amp;INT($AL$1)
)</f>
        <v>0</v>
      </c>
      <c r="AJ207" s="1">
        <f t="shared" si="112"/>
        <v>0</v>
      </c>
      <c r="AK207" s="9">
        <f t="shared" si="113"/>
        <v>-0.52383203414835178</v>
      </c>
      <c r="AL207" s="10">
        <f t="shared" si="114"/>
        <v>0.52383203414835178</v>
      </c>
      <c r="AM207" s="1">
        <f>SUMIFS(
  '[1]Hoja 1'!$M:$M,
  '[1]Hoja 1'!$K:$K, $A207,
  '[1]Hoja 1'!$R:$R, "&gt;="&amp;INT($AO$1),
  '[1]Hoja 1'!$R:$R, "&lt;="&amp;INT($AP$1)
)</f>
        <v>0</v>
      </c>
      <c r="AN207" s="1">
        <f t="shared" si="115"/>
        <v>0</v>
      </c>
      <c r="AO207" s="9">
        <f t="shared" si="116"/>
        <v>-0.49</v>
      </c>
      <c r="AP207" s="10">
        <f t="shared" si="117"/>
        <v>0.49</v>
      </c>
      <c r="AQ207" s="1">
        <f>SUMIFS(
  '[1]Hoja 1'!$M:$M,
  '[1]Hoja 1'!$K:$K, $A207,
  '[1]Hoja 1'!$R:$R, "&gt;="&amp;INT($AS$1),
  '[1]Hoja 1'!$R:$R, "&lt;="&amp;INT($AT$1)
)</f>
        <v>0</v>
      </c>
      <c r="AR207" s="1">
        <f t="shared" si="118"/>
        <v>0</v>
      </c>
      <c r="AS207" s="9">
        <f t="shared" si="119"/>
        <v>-0.46197643037521102</v>
      </c>
      <c r="AT207" s="10">
        <f t="shared" si="120"/>
        <v>0.46197643037521102</v>
      </c>
      <c r="AU207" s="1">
        <f>SUMIFS(
  '[1]Hoja 1'!$M:$M,
  '[1]Hoja 1'!$K:$K, $A207,
  '[1]Hoja 1'!$R:$R, "&gt;="&amp;INT($AW$1),
  '[1]Hoja 1'!$R:$R, "&lt;="&amp;INT($AX$1)
)</f>
        <v>1</v>
      </c>
      <c r="AV207" s="1">
        <f t="shared" si="121"/>
        <v>1</v>
      </c>
      <c r="AW207" s="9">
        <f t="shared" si="122"/>
        <v>0.47142730782881814</v>
      </c>
      <c r="AX207" s="10">
        <f t="shared" si="123"/>
        <v>1.5285726921711817</v>
      </c>
    </row>
    <row r="208" spans="1:50" x14ac:dyDescent="0.25">
      <c r="A208" s="5">
        <v>236006</v>
      </c>
      <c r="B208" s="6" t="s">
        <v>205</v>
      </c>
      <c r="C208" s="1">
        <f>SUMIFS(
  '[1]Hoja 1'!$M:$M,
  '[1]Hoja 1'!$K:$K, $A208,
  '[1]Hoja 1'!$R:$R, "&gt;="&amp;INT($E$1),
  '[1]Hoja 1'!$R:$R, "&lt;"&amp;INT($F$1+1)
)</f>
        <v>0</v>
      </c>
      <c r="D208" s="1" t="str">
        <f>""</f>
        <v/>
      </c>
      <c r="F208" s="2"/>
      <c r="G208" s="1">
        <f>SUMIFS(
  '[1]Hoja 1'!$M:$M,
  '[1]Hoja 1'!$K:$K, $A208,
  '[1]Hoja 1'!$R:$R, "&gt;="&amp;INT($I$1),
  '[1]Hoja 1'!$R:$R, "&lt;"&amp;INT($J$1+1)
)</f>
        <v>0</v>
      </c>
      <c r="H208" s="1">
        <f t="shared" si="93"/>
        <v>0</v>
      </c>
      <c r="I208" s="1"/>
      <c r="J208" s="2"/>
      <c r="K208" s="1">
        <f>SUMIFS(
  '[1]Hoja 1'!$M:$M,
  '[1]Hoja 1'!$K:$K, $A208,
  '[1]Hoja 1'!$R:$R, "&gt;="&amp;INT($M$1),
  '[1]Hoja 1'!$R:$R, "&lt;"&amp;INT($N$1+1)
)</f>
        <v>0</v>
      </c>
      <c r="L208" s="1">
        <f t="shared" si="94"/>
        <v>0</v>
      </c>
      <c r="M208" s="9">
        <f t="shared" si="95"/>
        <v>0</v>
      </c>
      <c r="N208" s="10">
        <f t="shared" si="96"/>
        <v>0</v>
      </c>
      <c r="O208" s="1">
        <f>SUMIFS(
  '[1]Hoja 1'!$M:$M,
  '[1]Hoja 1'!$K:$K, $A208,
  '[1]Hoja 1'!$R:$R, "&gt;="&amp;INT($Q$1),
  '[1]Hoja 1'!$R:$R, "&lt;="&amp;INT($R$1)
)</f>
        <v>0</v>
      </c>
      <c r="P208" s="1">
        <f t="shared" si="97"/>
        <v>0</v>
      </c>
      <c r="Q208" s="9">
        <f t="shared" si="98"/>
        <v>0</v>
      </c>
      <c r="R208" s="10">
        <f t="shared" si="99"/>
        <v>0</v>
      </c>
      <c r="S208" s="1">
        <f>SUMIFS(
  '[1]Hoja 1'!$M:$M,
  '[1]Hoja 1'!$K:$K, $A208,
  '[1]Hoja 1'!$R:$R, "&gt;="&amp;INT($U$1),
  '[1]Hoja 1'!$R:$R, "&lt;="&amp;INT($V$1)
)</f>
        <v>0</v>
      </c>
      <c r="T208" s="1">
        <f t="shared" si="100"/>
        <v>0</v>
      </c>
      <c r="U208" s="9">
        <f t="shared" si="101"/>
        <v>-1.47</v>
      </c>
      <c r="V208" s="10">
        <f t="shared" si="102"/>
        <v>1.47</v>
      </c>
      <c r="W208" s="1">
        <f>SUMIFS(
  '[1]Hoja 1'!$M:$M,
  '[1]Hoja 1'!$K:$K, $A208,
  '[1]Hoja 1'!$R:$R, "&gt;="&amp;INT($Y$1),
  '[1]Hoja 1'!$R:$R, "&lt;="&amp;INT($Z$1)
)</f>
        <v>0</v>
      </c>
      <c r="X208" s="1">
        <f t="shared" si="103"/>
        <v>0</v>
      </c>
      <c r="Y208" s="9">
        <f t="shared" si="104"/>
        <v>0</v>
      </c>
      <c r="Z208" s="10">
        <f t="shared" si="105"/>
        <v>0</v>
      </c>
      <c r="AA208" s="1">
        <f>SUMIFS(
  '[1]Hoja 1'!$M:$M,
  '[1]Hoja 1'!$K:$K, $A208,
  '[1]Hoja 1'!$R:$R, "&gt;="&amp;INT($AC$1),
  '[1]Hoja 1'!$R:$R, "&lt;="&amp;INT($AD$1)
)</f>
        <v>0</v>
      </c>
      <c r="AB208" s="1">
        <f t="shared" si="106"/>
        <v>0</v>
      </c>
      <c r="AC208" s="9">
        <f t="shared" si="107"/>
        <v>0</v>
      </c>
      <c r="AD208" s="10">
        <f t="shared" si="108"/>
        <v>0</v>
      </c>
      <c r="AE208" s="1">
        <f>SUMIFS(
  '[1]Hoja 1'!$M:$M,
  '[1]Hoja 1'!$K:$K, $A208,
  '[1]Hoja 1'!$R:$R, "&gt;="&amp;INT($AG$1),
  '[1]Hoja 1'!$R:$R, "&lt;="&amp;INT($AH$1)
)</f>
        <v>0</v>
      </c>
      <c r="AF208" s="1">
        <f t="shared" si="109"/>
        <v>0</v>
      </c>
      <c r="AG208" s="9">
        <f t="shared" si="110"/>
        <v>0</v>
      </c>
      <c r="AH208" s="10">
        <f t="shared" si="111"/>
        <v>0</v>
      </c>
      <c r="AI208" s="1">
        <f>SUMIFS(
  '[1]Hoja 1'!$M:$M,
  '[1]Hoja 1'!$K:$K, $A208,
  '[1]Hoja 1'!$R:$R, "&gt;="&amp;INT($AK$1),
  '[1]Hoja 1'!$R:$R, "&lt;="&amp;INT($AL$1)
)</f>
        <v>0</v>
      </c>
      <c r="AJ208" s="1">
        <f t="shared" si="112"/>
        <v>0</v>
      </c>
      <c r="AK208" s="9">
        <f t="shared" si="113"/>
        <v>0</v>
      </c>
      <c r="AL208" s="10">
        <f t="shared" si="114"/>
        <v>0</v>
      </c>
      <c r="AM208" s="1">
        <f>SUMIFS(
  '[1]Hoja 1'!$M:$M,
  '[1]Hoja 1'!$K:$K, $A208,
  '[1]Hoja 1'!$R:$R, "&gt;="&amp;INT($AO$1),
  '[1]Hoja 1'!$R:$R, "&lt;="&amp;INT($AP$1)
)</f>
        <v>0</v>
      </c>
      <c r="AN208" s="1">
        <f t="shared" si="115"/>
        <v>0</v>
      </c>
      <c r="AO208" s="9">
        <f t="shared" si="116"/>
        <v>0</v>
      </c>
      <c r="AP208" s="10">
        <f t="shared" si="117"/>
        <v>0</v>
      </c>
      <c r="AQ208" s="1">
        <f>SUMIFS(
  '[1]Hoja 1'!$M:$M,
  '[1]Hoja 1'!$K:$K, $A208,
  '[1]Hoja 1'!$R:$R, "&gt;="&amp;INT($AS$1),
  '[1]Hoja 1'!$R:$R, "&lt;="&amp;INT($AT$1)
)</f>
        <v>0</v>
      </c>
      <c r="AR208" s="1">
        <f t="shared" si="118"/>
        <v>0</v>
      </c>
      <c r="AS208" s="9">
        <f t="shared" si="119"/>
        <v>0</v>
      </c>
      <c r="AT208" s="10">
        <f t="shared" si="120"/>
        <v>0</v>
      </c>
      <c r="AU208" s="1">
        <f>SUMIFS(
  '[1]Hoja 1'!$M:$M,
  '[1]Hoja 1'!$K:$K, $A208,
  '[1]Hoja 1'!$R:$R, "&gt;="&amp;INT($AW$1),
  '[1]Hoja 1'!$R:$R, "&lt;="&amp;INT($AX$1)
)</f>
        <v>0</v>
      </c>
      <c r="AV208" s="1">
        <f t="shared" si="121"/>
        <v>0</v>
      </c>
      <c r="AW208" s="9">
        <f t="shared" si="122"/>
        <v>0</v>
      </c>
      <c r="AX208" s="10">
        <f t="shared" si="123"/>
        <v>0</v>
      </c>
    </row>
    <row r="209" spans="1:50" x14ac:dyDescent="0.25">
      <c r="A209" s="5">
        <v>236007</v>
      </c>
      <c r="B209" s="6" t="s">
        <v>206</v>
      </c>
      <c r="C209" s="1">
        <f>SUMIFS(
  '[1]Hoja 1'!$M:$M,
  '[1]Hoja 1'!$K:$K, $A209,
  '[1]Hoja 1'!$R:$R, "&gt;="&amp;INT($E$1),
  '[1]Hoja 1'!$R:$R, "&lt;"&amp;INT($F$1+1)
)</f>
        <v>0</v>
      </c>
      <c r="D209" s="1" t="str">
        <f>""</f>
        <v/>
      </c>
      <c r="F209" s="2"/>
      <c r="G209" s="1">
        <f>SUMIFS(
  '[1]Hoja 1'!$M:$M,
  '[1]Hoja 1'!$K:$K, $A209,
  '[1]Hoja 1'!$R:$R, "&gt;="&amp;INT($I$1),
  '[1]Hoja 1'!$R:$R, "&lt;"&amp;INT($J$1+1)
)</f>
        <v>0</v>
      </c>
      <c r="H209" s="1">
        <f t="shared" si="93"/>
        <v>0</v>
      </c>
      <c r="I209" s="1"/>
      <c r="J209" s="2"/>
      <c r="K209" s="1">
        <f>SUMIFS(
  '[1]Hoja 1'!$M:$M,
  '[1]Hoja 1'!$K:$K, $A209,
  '[1]Hoja 1'!$R:$R, "&gt;="&amp;INT($M$1),
  '[1]Hoja 1'!$R:$R, "&lt;"&amp;INT($N$1+1)
)</f>
        <v>0</v>
      </c>
      <c r="L209" s="1">
        <f t="shared" si="94"/>
        <v>0</v>
      </c>
      <c r="M209" s="9">
        <f t="shared" si="95"/>
        <v>0</v>
      </c>
      <c r="N209" s="10">
        <f t="shared" si="96"/>
        <v>0</v>
      </c>
      <c r="O209" s="1">
        <f>SUMIFS(
  '[1]Hoja 1'!$M:$M,
  '[1]Hoja 1'!$K:$K, $A209,
  '[1]Hoja 1'!$R:$R, "&gt;="&amp;INT($Q$1),
  '[1]Hoja 1'!$R:$R, "&lt;="&amp;INT($R$1)
)</f>
        <v>0</v>
      </c>
      <c r="P209" s="1">
        <f t="shared" si="97"/>
        <v>0</v>
      </c>
      <c r="Q209" s="9">
        <f t="shared" si="98"/>
        <v>0</v>
      </c>
      <c r="R209" s="10">
        <f t="shared" si="99"/>
        <v>0</v>
      </c>
      <c r="S209" s="1">
        <f>SUMIFS(
  '[1]Hoja 1'!$M:$M,
  '[1]Hoja 1'!$K:$K, $A209,
  '[1]Hoja 1'!$R:$R, "&gt;="&amp;INT($U$1),
  '[1]Hoja 1'!$R:$R, "&lt;="&amp;INT($V$1)
)</f>
        <v>0</v>
      </c>
      <c r="T209" s="1">
        <f t="shared" si="100"/>
        <v>0</v>
      </c>
      <c r="U209" s="9">
        <f t="shared" si="101"/>
        <v>-1.47</v>
      </c>
      <c r="V209" s="10">
        <f t="shared" si="102"/>
        <v>1.47</v>
      </c>
      <c r="W209" s="1">
        <f>SUMIFS(
  '[1]Hoja 1'!$M:$M,
  '[1]Hoja 1'!$K:$K, $A209,
  '[1]Hoja 1'!$R:$R, "&gt;="&amp;INT($Y$1),
  '[1]Hoja 1'!$R:$R, "&lt;="&amp;INT($Z$1)
)</f>
        <v>0</v>
      </c>
      <c r="X209" s="1">
        <f t="shared" si="103"/>
        <v>0</v>
      </c>
      <c r="Y209" s="9">
        <f t="shared" si="104"/>
        <v>0</v>
      </c>
      <c r="Z209" s="10">
        <f t="shared" si="105"/>
        <v>0</v>
      </c>
      <c r="AA209" s="1">
        <f>SUMIFS(
  '[1]Hoja 1'!$M:$M,
  '[1]Hoja 1'!$K:$K, $A209,
  '[1]Hoja 1'!$R:$R, "&gt;="&amp;INT($AC$1),
  '[1]Hoja 1'!$R:$R, "&lt;="&amp;INT($AD$1)
)</f>
        <v>0</v>
      </c>
      <c r="AB209" s="1">
        <f t="shared" si="106"/>
        <v>0</v>
      </c>
      <c r="AC209" s="9">
        <f t="shared" si="107"/>
        <v>0</v>
      </c>
      <c r="AD209" s="10">
        <f t="shared" si="108"/>
        <v>0</v>
      </c>
      <c r="AE209" s="1">
        <f>SUMIFS(
  '[1]Hoja 1'!$M:$M,
  '[1]Hoja 1'!$K:$K, $A209,
  '[1]Hoja 1'!$R:$R, "&gt;="&amp;INT($AG$1),
  '[1]Hoja 1'!$R:$R, "&lt;="&amp;INT($AH$1)
)</f>
        <v>0</v>
      </c>
      <c r="AF209" s="1">
        <f t="shared" si="109"/>
        <v>0</v>
      </c>
      <c r="AG209" s="9">
        <f t="shared" si="110"/>
        <v>0</v>
      </c>
      <c r="AH209" s="10">
        <f t="shared" si="111"/>
        <v>0</v>
      </c>
      <c r="AI209" s="1">
        <f>SUMIFS(
  '[1]Hoja 1'!$M:$M,
  '[1]Hoja 1'!$K:$K, $A209,
  '[1]Hoja 1'!$R:$R, "&gt;="&amp;INT($AK$1),
  '[1]Hoja 1'!$R:$R, "&lt;="&amp;INT($AL$1)
)</f>
        <v>0</v>
      </c>
      <c r="AJ209" s="1">
        <f t="shared" si="112"/>
        <v>0</v>
      </c>
      <c r="AK209" s="9">
        <f t="shared" si="113"/>
        <v>0</v>
      </c>
      <c r="AL209" s="10">
        <f t="shared" si="114"/>
        <v>0</v>
      </c>
      <c r="AM209" s="1">
        <f>SUMIFS(
  '[1]Hoja 1'!$M:$M,
  '[1]Hoja 1'!$K:$K, $A209,
  '[1]Hoja 1'!$R:$R, "&gt;="&amp;INT($AO$1),
  '[1]Hoja 1'!$R:$R, "&lt;="&amp;INT($AP$1)
)</f>
        <v>0</v>
      </c>
      <c r="AN209" s="1">
        <f t="shared" si="115"/>
        <v>0</v>
      </c>
      <c r="AO209" s="9">
        <f t="shared" si="116"/>
        <v>0</v>
      </c>
      <c r="AP209" s="10">
        <f t="shared" si="117"/>
        <v>0</v>
      </c>
      <c r="AQ209" s="1">
        <f>SUMIFS(
  '[1]Hoja 1'!$M:$M,
  '[1]Hoja 1'!$K:$K, $A209,
  '[1]Hoja 1'!$R:$R, "&gt;="&amp;INT($AS$1),
  '[1]Hoja 1'!$R:$R, "&lt;="&amp;INT($AT$1)
)</f>
        <v>0</v>
      </c>
      <c r="AR209" s="1">
        <f t="shared" si="118"/>
        <v>0</v>
      </c>
      <c r="AS209" s="9">
        <f t="shared" si="119"/>
        <v>0</v>
      </c>
      <c r="AT209" s="10">
        <f t="shared" si="120"/>
        <v>0</v>
      </c>
      <c r="AU209" s="1">
        <f>SUMIFS(
  '[1]Hoja 1'!$M:$M,
  '[1]Hoja 1'!$K:$K, $A209,
  '[1]Hoja 1'!$R:$R, "&gt;="&amp;INT($AW$1),
  '[1]Hoja 1'!$R:$R, "&lt;="&amp;INT($AX$1)
)</f>
        <v>0</v>
      </c>
      <c r="AV209" s="1">
        <f t="shared" si="121"/>
        <v>0</v>
      </c>
      <c r="AW209" s="9">
        <f t="shared" si="122"/>
        <v>0</v>
      </c>
      <c r="AX209" s="10">
        <f t="shared" si="123"/>
        <v>0</v>
      </c>
    </row>
    <row r="210" spans="1:50" x14ac:dyDescent="0.25">
      <c r="A210" s="5">
        <v>236008</v>
      </c>
      <c r="B210" s="6" t="s">
        <v>207</v>
      </c>
      <c r="C210" s="1">
        <f>SUMIFS(
  '[1]Hoja 1'!$M:$M,
  '[1]Hoja 1'!$K:$K, $A210,
  '[1]Hoja 1'!$R:$R, "&gt;="&amp;INT($E$1),
  '[1]Hoja 1'!$R:$R, "&lt;"&amp;INT($F$1+1)
)</f>
        <v>0</v>
      </c>
      <c r="D210" s="1" t="str">
        <f>""</f>
        <v/>
      </c>
      <c r="F210" s="2"/>
      <c r="G210" s="1">
        <f>SUMIFS(
  '[1]Hoja 1'!$M:$M,
  '[1]Hoja 1'!$K:$K, $A210,
  '[1]Hoja 1'!$R:$R, "&gt;="&amp;INT($I$1),
  '[1]Hoja 1'!$R:$R, "&lt;"&amp;INT($J$1+1)
)</f>
        <v>0</v>
      </c>
      <c r="H210" s="1">
        <f t="shared" si="93"/>
        <v>0</v>
      </c>
      <c r="I210" s="1"/>
      <c r="J210" s="2"/>
      <c r="K210" s="1">
        <f>SUMIFS(
  '[1]Hoja 1'!$M:$M,
  '[1]Hoja 1'!$K:$K, $A210,
  '[1]Hoja 1'!$R:$R, "&gt;="&amp;INT($M$1),
  '[1]Hoja 1'!$R:$R, "&lt;"&amp;INT($N$1+1)
)</f>
        <v>0</v>
      </c>
      <c r="L210" s="1">
        <f t="shared" si="94"/>
        <v>0</v>
      </c>
      <c r="M210" s="9">
        <f t="shared" si="95"/>
        <v>0</v>
      </c>
      <c r="N210" s="10">
        <f t="shared" si="96"/>
        <v>0</v>
      </c>
      <c r="O210" s="1">
        <f>SUMIFS(
  '[1]Hoja 1'!$M:$M,
  '[1]Hoja 1'!$K:$K, $A210,
  '[1]Hoja 1'!$R:$R, "&gt;="&amp;INT($Q$1),
  '[1]Hoja 1'!$R:$R, "&lt;="&amp;INT($R$1)
)</f>
        <v>0</v>
      </c>
      <c r="P210" s="1">
        <f t="shared" si="97"/>
        <v>0</v>
      </c>
      <c r="Q210" s="9">
        <f t="shared" si="98"/>
        <v>0</v>
      </c>
      <c r="R210" s="10">
        <f t="shared" si="99"/>
        <v>0</v>
      </c>
      <c r="S210" s="1">
        <f>SUMIFS(
  '[1]Hoja 1'!$M:$M,
  '[1]Hoja 1'!$K:$K, $A210,
  '[1]Hoja 1'!$R:$R, "&gt;="&amp;INT($U$1),
  '[1]Hoja 1'!$R:$R, "&lt;="&amp;INT($V$1)
)</f>
        <v>0</v>
      </c>
      <c r="T210" s="1">
        <f t="shared" si="100"/>
        <v>0</v>
      </c>
      <c r="U210" s="9">
        <f t="shared" si="101"/>
        <v>-1.47</v>
      </c>
      <c r="V210" s="10">
        <f t="shared" si="102"/>
        <v>1.47</v>
      </c>
      <c r="W210" s="1">
        <f>SUMIFS(
  '[1]Hoja 1'!$M:$M,
  '[1]Hoja 1'!$K:$K, $A210,
  '[1]Hoja 1'!$R:$R, "&gt;="&amp;INT($Y$1),
  '[1]Hoja 1'!$R:$R, "&lt;="&amp;INT($Z$1)
)</f>
        <v>0</v>
      </c>
      <c r="X210" s="1">
        <f t="shared" si="103"/>
        <v>0</v>
      </c>
      <c r="Y210" s="9">
        <f t="shared" si="104"/>
        <v>0</v>
      </c>
      <c r="Z210" s="10">
        <f t="shared" si="105"/>
        <v>0</v>
      </c>
      <c r="AA210" s="1">
        <f>SUMIFS(
  '[1]Hoja 1'!$M:$M,
  '[1]Hoja 1'!$K:$K, $A210,
  '[1]Hoja 1'!$R:$R, "&gt;="&amp;INT($AC$1),
  '[1]Hoja 1'!$R:$R, "&lt;="&amp;INT($AD$1)
)</f>
        <v>0</v>
      </c>
      <c r="AB210" s="1">
        <f t="shared" si="106"/>
        <v>0</v>
      </c>
      <c r="AC210" s="9">
        <f t="shared" si="107"/>
        <v>0</v>
      </c>
      <c r="AD210" s="10">
        <f t="shared" si="108"/>
        <v>0</v>
      </c>
      <c r="AE210" s="1">
        <f>SUMIFS(
  '[1]Hoja 1'!$M:$M,
  '[1]Hoja 1'!$K:$K, $A210,
  '[1]Hoja 1'!$R:$R, "&gt;="&amp;INT($AG$1),
  '[1]Hoja 1'!$R:$R, "&lt;="&amp;INT($AH$1)
)</f>
        <v>2</v>
      </c>
      <c r="AF210" s="1">
        <f t="shared" si="109"/>
        <v>1</v>
      </c>
      <c r="AG210" s="9">
        <f t="shared" si="110"/>
        <v>0.25918963290191455</v>
      </c>
      <c r="AH210" s="10">
        <f t="shared" si="111"/>
        <v>1.7408103670980855</v>
      </c>
      <c r="AI210" s="1">
        <f>SUMIFS(
  '[1]Hoja 1'!$M:$M,
  '[1]Hoja 1'!$K:$K, $A210,
  '[1]Hoja 1'!$R:$R, "&gt;="&amp;INT($AK$1),
  '[1]Hoja 1'!$R:$R, "&lt;="&amp;INT($AL$1)
)</f>
        <v>0</v>
      </c>
      <c r="AJ210" s="1">
        <f t="shared" si="112"/>
        <v>1</v>
      </c>
      <c r="AK210" s="9">
        <f t="shared" si="113"/>
        <v>-4.7664068296703554E-2</v>
      </c>
      <c r="AL210" s="10">
        <f t="shared" si="114"/>
        <v>2.0476640682967036</v>
      </c>
      <c r="AM210" s="1">
        <f>SUMIFS(
  '[1]Hoja 1'!$M:$M,
  '[1]Hoja 1'!$K:$K, $A210,
  '[1]Hoja 1'!$R:$R, "&gt;="&amp;INT($AO$1),
  '[1]Hoja 1'!$R:$R, "&lt;="&amp;INT($AP$1)
)</f>
        <v>0</v>
      </c>
      <c r="AN210" s="1">
        <f t="shared" si="115"/>
        <v>0</v>
      </c>
      <c r="AO210" s="9">
        <f t="shared" si="116"/>
        <v>-0.98</v>
      </c>
      <c r="AP210" s="10">
        <f t="shared" si="117"/>
        <v>0.98</v>
      </c>
      <c r="AQ210" s="1">
        <f>SUMIFS(
  '[1]Hoja 1'!$M:$M,
  '[1]Hoja 1'!$K:$K, $A210,
  '[1]Hoja 1'!$R:$R, "&gt;="&amp;INT($AS$1),
  '[1]Hoja 1'!$R:$R, "&lt;="&amp;INT($AT$1)
)</f>
        <v>0</v>
      </c>
      <c r="AR210" s="1">
        <f t="shared" si="118"/>
        <v>0</v>
      </c>
      <c r="AS210" s="9">
        <f t="shared" si="119"/>
        <v>-0.92395286075042204</v>
      </c>
      <c r="AT210" s="10">
        <f t="shared" si="120"/>
        <v>0.92395286075042204</v>
      </c>
      <c r="AU210" s="1">
        <f>SUMIFS(
  '[1]Hoja 1'!$M:$M,
  '[1]Hoja 1'!$K:$K, $A210,
  '[1]Hoja 1'!$R:$R, "&gt;="&amp;INT($AW$1),
  '[1]Hoja 1'!$R:$R, "&lt;="&amp;INT($AX$1)
)</f>
        <v>0</v>
      </c>
      <c r="AV210" s="1">
        <f t="shared" si="121"/>
        <v>0</v>
      </c>
      <c r="AW210" s="9">
        <f t="shared" si="122"/>
        <v>-0.87653864717991747</v>
      </c>
      <c r="AX210" s="10">
        <f t="shared" si="123"/>
        <v>0.87653864717991747</v>
      </c>
    </row>
    <row r="211" spans="1:50" x14ac:dyDescent="0.25">
      <c r="A211" s="5">
        <v>236009</v>
      </c>
      <c r="B211" s="6" t="s">
        <v>208</v>
      </c>
      <c r="C211" s="1">
        <f>SUMIFS(
  '[1]Hoja 1'!$M:$M,
  '[1]Hoja 1'!$K:$K, $A211,
  '[1]Hoja 1'!$R:$R, "&gt;="&amp;INT($E$1),
  '[1]Hoja 1'!$R:$R, "&lt;"&amp;INT($F$1+1)
)</f>
        <v>0</v>
      </c>
      <c r="D211" s="1" t="str">
        <f>""</f>
        <v/>
      </c>
      <c r="F211" s="2"/>
      <c r="G211" s="1">
        <f>SUMIFS(
  '[1]Hoja 1'!$M:$M,
  '[1]Hoja 1'!$K:$K, $A211,
  '[1]Hoja 1'!$R:$R, "&gt;="&amp;INT($I$1),
  '[1]Hoja 1'!$R:$R, "&lt;"&amp;INT($J$1+1)
)</f>
        <v>0</v>
      </c>
      <c r="H211" s="1">
        <f t="shared" si="93"/>
        <v>0</v>
      </c>
      <c r="I211" s="1"/>
      <c r="J211" s="2"/>
      <c r="K211" s="1">
        <f>SUMIFS(
  '[1]Hoja 1'!$M:$M,
  '[1]Hoja 1'!$K:$K, $A211,
  '[1]Hoja 1'!$R:$R, "&gt;="&amp;INT($M$1),
  '[1]Hoja 1'!$R:$R, "&lt;"&amp;INT($N$1+1)
)</f>
        <v>0</v>
      </c>
      <c r="L211" s="1">
        <f t="shared" si="94"/>
        <v>0</v>
      </c>
      <c r="M211" s="9">
        <f t="shared" si="95"/>
        <v>0</v>
      </c>
      <c r="N211" s="10">
        <f t="shared" si="96"/>
        <v>0</v>
      </c>
      <c r="O211" s="1">
        <f>SUMIFS(
  '[1]Hoja 1'!$M:$M,
  '[1]Hoja 1'!$K:$K, $A211,
  '[1]Hoja 1'!$R:$R, "&gt;="&amp;INT($Q$1),
  '[1]Hoja 1'!$R:$R, "&lt;="&amp;INT($R$1)
)</f>
        <v>0</v>
      </c>
      <c r="P211" s="1">
        <f t="shared" si="97"/>
        <v>0</v>
      </c>
      <c r="Q211" s="9">
        <f t="shared" si="98"/>
        <v>0</v>
      </c>
      <c r="R211" s="10">
        <f t="shared" si="99"/>
        <v>0</v>
      </c>
      <c r="S211" s="1">
        <f>SUMIFS(
  '[1]Hoja 1'!$M:$M,
  '[1]Hoja 1'!$K:$K, $A211,
  '[1]Hoja 1'!$R:$R, "&gt;="&amp;INT($U$1),
  '[1]Hoja 1'!$R:$R, "&lt;="&amp;INT($V$1)
)</f>
        <v>0</v>
      </c>
      <c r="T211" s="1">
        <f t="shared" si="100"/>
        <v>0</v>
      </c>
      <c r="U211" s="9">
        <f t="shared" si="101"/>
        <v>-1.47</v>
      </c>
      <c r="V211" s="10">
        <f t="shared" si="102"/>
        <v>1.47</v>
      </c>
      <c r="W211" s="1">
        <f>SUMIFS(
  '[1]Hoja 1'!$M:$M,
  '[1]Hoja 1'!$K:$K, $A211,
  '[1]Hoja 1'!$R:$R, "&gt;="&amp;INT($Y$1),
  '[1]Hoja 1'!$R:$R, "&lt;="&amp;INT($Z$1)
)</f>
        <v>0</v>
      </c>
      <c r="X211" s="1">
        <f t="shared" si="103"/>
        <v>0</v>
      </c>
      <c r="Y211" s="9">
        <f t="shared" si="104"/>
        <v>0</v>
      </c>
      <c r="Z211" s="10">
        <f t="shared" si="105"/>
        <v>0</v>
      </c>
      <c r="AA211" s="1">
        <f>SUMIFS(
  '[1]Hoja 1'!$M:$M,
  '[1]Hoja 1'!$K:$K, $A211,
  '[1]Hoja 1'!$R:$R, "&gt;="&amp;INT($AC$1),
  '[1]Hoja 1'!$R:$R, "&lt;="&amp;INT($AD$1)
)</f>
        <v>0</v>
      </c>
      <c r="AB211" s="1">
        <f t="shared" si="106"/>
        <v>0</v>
      </c>
      <c r="AC211" s="9">
        <f t="shared" si="107"/>
        <v>0</v>
      </c>
      <c r="AD211" s="10">
        <f t="shared" si="108"/>
        <v>0</v>
      </c>
      <c r="AE211" s="1">
        <f>SUMIFS(
  '[1]Hoja 1'!$M:$M,
  '[1]Hoja 1'!$K:$K, $A211,
  '[1]Hoja 1'!$R:$R, "&gt;="&amp;INT($AG$1),
  '[1]Hoja 1'!$R:$R, "&lt;="&amp;INT($AH$1)
)</f>
        <v>0</v>
      </c>
      <c r="AF211" s="1">
        <f t="shared" si="109"/>
        <v>0</v>
      </c>
      <c r="AG211" s="9">
        <f t="shared" si="110"/>
        <v>0</v>
      </c>
      <c r="AH211" s="10">
        <f t="shared" si="111"/>
        <v>0</v>
      </c>
      <c r="AI211" s="1">
        <f>SUMIFS(
  '[1]Hoja 1'!$M:$M,
  '[1]Hoja 1'!$K:$K, $A211,
  '[1]Hoja 1'!$R:$R, "&gt;="&amp;INT($AK$1),
  '[1]Hoja 1'!$R:$R, "&lt;="&amp;INT($AL$1)
)</f>
        <v>0</v>
      </c>
      <c r="AJ211" s="1">
        <f t="shared" si="112"/>
        <v>0</v>
      </c>
      <c r="AK211" s="9">
        <f t="shared" si="113"/>
        <v>0</v>
      </c>
      <c r="AL211" s="10">
        <f t="shared" si="114"/>
        <v>0</v>
      </c>
      <c r="AM211" s="1">
        <f>SUMIFS(
  '[1]Hoja 1'!$M:$M,
  '[1]Hoja 1'!$K:$K, $A211,
  '[1]Hoja 1'!$R:$R, "&gt;="&amp;INT($AO$1),
  '[1]Hoja 1'!$R:$R, "&lt;="&amp;INT($AP$1)
)</f>
        <v>0</v>
      </c>
      <c r="AN211" s="1">
        <f t="shared" si="115"/>
        <v>0</v>
      </c>
      <c r="AO211" s="9">
        <f t="shared" si="116"/>
        <v>0</v>
      </c>
      <c r="AP211" s="10">
        <f t="shared" si="117"/>
        <v>0</v>
      </c>
      <c r="AQ211" s="1">
        <f>SUMIFS(
  '[1]Hoja 1'!$M:$M,
  '[1]Hoja 1'!$K:$K, $A211,
  '[1]Hoja 1'!$R:$R, "&gt;="&amp;INT($AS$1),
  '[1]Hoja 1'!$R:$R, "&lt;="&amp;INT($AT$1)
)</f>
        <v>0</v>
      </c>
      <c r="AR211" s="1">
        <f t="shared" si="118"/>
        <v>0</v>
      </c>
      <c r="AS211" s="9">
        <f t="shared" si="119"/>
        <v>0</v>
      </c>
      <c r="AT211" s="10">
        <f t="shared" si="120"/>
        <v>0</v>
      </c>
      <c r="AU211" s="1">
        <f>SUMIFS(
  '[1]Hoja 1'!$M:$M,
  '[1]Hoja 1'!$K:$K, $A211,
  '[1]Hoja 1'!$R:$R, "&gt;="&amp;INT($AW$1),
  '[1]Hoja 1'!$R:$R, "&lt;="&amp;INT($AX$1)
)</f>
        <v>0</v>
      </c>
      <c r="AV211" s="1">
        <f t="shared" si="121"/>
        <v>0</v>
      </c>
      <c r="AW211" s="9">
        <f t="shared" si="122"/>
        <v>0</v>
      </c>
      <c r="AX211" s="10">
        <f t="shared" si="123"/>
        <v>0</v>
      </c>
    </row>
    <row r="212" spans="1:50" x14ac:dyDescent="0.25">
      <c r="A212" s="5">
        <v>236010</v>
      </c>
      <c r="B212" s="6" t="s">
        <v>209</v>
      </c>
      <c r="C212" s="1">
        <f>SUMIFS(
  '[1]Hoja 1'!$M:$M,
  '[1]Hoja 1'!$K:$K, $A212,
  '[1]Hoja 1'!$R:$R, "&gt;="&amp;INT($E$1),
  '[1]Hoja 1'!$R:$R, "&lt;"&amp;INT($F$1+1)
)</f>
        <v>0</v>
      </c>
      <c r="D212" s="1" t="str">
        <f>""</f>
        <v/>
      </c>
      <c r="F212" s="2"/>
      <c r="G212" s="1">
        <f>SUMIFS(
  '[1]Hoja 1'!$M:$M,
  '[1]Hoja 1'!$K:$K, $A212,
  '[1]Hoja 1'!$R:$R, "&gt;="&amp;INT($I$1),
  '[1]Hoja 1'!$R:$R, "&lt;"&amp;INT($J$1+1)
)</f>
        <v>0</v>
      </c>
      <c r="H212" s="1">
        <f t="shared" si="93"/>
        <v>0</v>
      </c>
      <c r="I212" s="1"/>
      <c r="J212" s="2"/>
      <c r="K212" s="1">
        <f>SUMIFS(
  '[1]Hoja 1'!$M:$M,
  '[1]Hoja 1'!$K:$K, $A212,
  '[1]Hoja 1'!$R:$R, "&gt;="&amp;INT($M$1),
  '[1]Hoja 1'!$R:$R, "&lt;"&amp;INT($N$1+1)
)</f>
        <v>0</v>
      </c>
      <c r="L212" s="1">
        <f t="shared" si="94"/>
        <v>0</v>
      </c>
      <c r="M212" s="9">
        <f t="shared" si="95"/>
        <v>0</v>
      </c>
      <c r="N212" s="10">
        <f t="shared" si="96"/>
        <v>0</v>
      </c>
      <c r="O212" s="1">
        <f>SUMIFS(
  '[1]Hoja 1'!$M:$M,
  '[1]Hoja 1'!$K:$K, $A212,
  '[1]Hoja 1'!$R:$R, "&gt;="&amp;INT($Q$1),
  '[1]Hoja 1'!$R:$R, "&lt;="&amp;INT($R$1)
)</f>
        <v>0</v>
      </c>
      <c r="P212" s="1">
        <f t="shared" si="97"/>
        <v>0</v>
      </c>
      <c r="Q212" s="9">
        <f t="shared" si="98"/>
        <v>0</v>
      </c>
      <c r="R212" s="10">
        <f t="shared" si="99"/>
        <v>0</v>
      </c>
      <c r="S212" s="1">
        <f>SUMIFS(
  '[1]Hoja 1'!$M:$M,
  '[1]Hoja 1'!$K:$K, $A212,
  '[1]Hoja 1'!$R:$R, "&gt;="&amp;INT($U$1),
  '[1]Hoja 1'!$R:$R, "&lt;="&amp;INT($V$1)
)</f>
        <v>0</v>
      </c>
      <c r="T212" s="1">
        <f t="shared" si="100"/>
        <v>0</v>
      </c>
      <c r="U212" s="9">
        <f t="shared" si="101"/>
        <v>-1.47</v>
      </c>
      <c r="V212" s="10">
        <f t="shared" si="102"/>
        <v>1.47</v>
      </c>
      <c r="W212" s="1">
        <f>SUMIFS(
  '[1]Hoja 1'!$M:$M,
  '[1]Hoja 1'!$K:$K, $A212,
  '[1]Hoja 1'!$R:$R, "&gt;="&amp;INT($Y$1),
  '[1]Hoja 1'!$R:$R, "&lt;="&amp;INT($Z$1)
)</f>
        <v>0</v>
      </c>
      <c r="X212" s="1">
        <f t="shared" si="103"/>
        <v>0</v>
      </c>
      <c r="Y212" s="9">
        <f t="shared" si="104"/>
        <v>0</v>
      </c>
      <c r="Z212" s="10">
        <f t="shared" si="105"/>
        <v>0</v>
      </c>
      <c r="AA212" s="1">
        <f>SUMIFS(
  '[1]Hoja 1'!$M:$M,
  '[1]Hoja 1'!$K:$K, $A212,
  '[1]Hoja 1'!$R:$R, "&gt;="&amp;INT($AC$1),
  '[1]Hoja 1'!$R:$R, "&lt;="&amp;INT($AD$1)
)</f>
        <v>0</v>
      </c>
      <c r="AB212" s="1">
        <f t="shared" si="106"/>
        <v>0</v>
      </c>
      <c r="AC212" s="9">
        <f t="shared" si="107"/>
        <v>0</v>
      </c>
      <c r="AD212" s="10">
        <f t="shared" si="108"/>
        <v>0</v>
      </c>
      <c r="AE212" s="1">
        <f>SUMIFS(
  '[1]Hoja 1'!$M:$M,
  '[1]Hoja 1'!$K:$K, $A212,
  '[1]Hoja 1'!$R:$R, "&gt;="&amp;INT($AG$1),
  '[1]Hoja 1'!$R:$R, "&lt;="&amp;INT($AH$1)
)</f>
        <v>2</v>
      </c>
      <c r="AF212" s="1">
        <f t="shared" si="109"/>
        <v>1</v>
      </c>
      <c r="AG212" s="9">
        <f t="shared" si="110"/>
        <v>0.25918963290191455</v>
      </c>
      <c r="AH212" s="10">
        <f t="shared" si="111"/>
        <v>1.7408103670980855</v>
      </c>
      <c r="AI212" s="1">
        <f>SUMIFS(
  '[1]Hoja 1'!$M:$M,
  '[1]Hoja 1'!$K:$K, $A212,
  '[1]Hoja 1'!$R:$R, "&gt;="&amp;INT($AK$1),
  '[1]Hoja 1'!$R:$R, "&lt;="&amp;INT($AL$1)
)</f>
        <v>0</v>
      </c>
      <c r="AJ212" s="1">
        <f t="shared" si="112"/>
        <v>1</v>
      </c>
      <c r="AK212" s="9">
        <f t="shared" si="113"/>
        <v>-4.7664068296703554E-2</v>
      </c>
      <c r="AL212" s="10">
        <f t="shared" si="114"/>
        <v>2.0476640682967036</v>
      </c>
      <c r="AM212" s="1">
        <f>SUMIFS(
  '[1]Hoja 1'!$M:$M,
  '[1]Hoja 1'!$K:$K, $A212,
  '[1]Hoja 1'!$R:$R, "&gt;="&amp;INT($AO$1),
  '[1]Hoja 1'!$R:$R, "&lt;="&amp;INT($AP$1)
)</f>
        <v>0</v>
      </c>
      <c r="AN212" s="1">
        <f t="shared" si="115"/>
        <v>0</v>
      </c>
      <c r="AO212" s="9">
        <f t="shared" si="116"/>
        <v>-0.98</v>
      </c>
      <c r="AP212" s="10">
        <f t="shared" si="117"/>
        <v>0.98</v>
      </c>
      <c r="AQ212" s="1">
        <f>SUMIFS(
  '[1]Hoja 1'!$M:$M,
  '[1]Hoja 1'!$K:$K, $A212,
  '[1]Hoja 1'!$R:$R, "&gt;="&amp;INT($AS$1),
  '[1]Hoja 1'!$R:$R, "&lt;="&amp;INT($AT$1)
)</f>
        <v>1</v>
      </c>
      <c r="AR212" s="1">
        <f t="shared" si="118"/>
        <v>1</v>
      </c>
      <c r="AS212" s="9">
        <f t="shared" si="119"/>
        <v>2.5459652508481811E-2</v>
      </c>
      <c r="AT212" s="10">
        <f t="shared" si="120"/>
        <v>1.9745403474915182</v>
      </c>
      <c r="AU212" s="1">
        <f>SUMIFS(
  '[1]Hoja 1'!$M:$M,
  '[1]Hoja 1'!$K:$K, $A212,
  '[1]Hoja 1'!$R:$R, "&gt;="&amp;INT($AW$1),
  '[1]Hoja 1'!$R:$R, "&lt;="&amp;INT($AX$1)
)</f>
        <v>0</v>
      </c>
      <c r="AV212" s="1">
        <f t="shared" si="121"/>
        <v>1</v>
      </c>
      <c r="AW212" s="9">
        <f t="shared" si="122"/>
        <v>7.4997788700431833E-2</v>
      </c>
      <c r="AX212" s="10">
        <f t="shared" si="123"/>
        <v>1.9250022112995682</v>
      </c>
    </row>
    <row r="213" spans="1:50" x14ac:dyDescent="0.25">
      <c r="A213" s="5">
        <v>236011</v>
      </c>
      <c r="B213" s="6" t="s">
        <v>210</v>
      </c>
      <c r="C213" s="1">
        <f>SUMIFS(
  '[1]Hoja 1'!$M:$M,
  '[1]Hoja 1'!$K:$K, $A213,
  '[1]Hoja 1'!$R:$R, "&gt;="&amp;INT($E$1),
  '[1]Hoja 1'!$R:$R, "&lt;"&amp;INT($F$1+1)
)</f>
        <v>0</v>
      </c>
      <c r="D213" s="1" t="str">
        <f>""</f>
        <v/>
      </c>
      <c r="F213" s="2"/>
      <c r="G213" s="1">
        <f>SUMIFS(
  '[1]Hoja 1'!$M:$M,
  '[1]Hoja 1'!$K:$K, $A213,
  '[1]Hoja 1'!$R:$R, "&gt;="&amp;INT($I$1),
  '[1]Hoja 1'!$R:$R, "&lt;"&amp;INT($J$1+1)
)</f>
        <v>0</v>
      </c>
      <c r="H213" s="1">
        <f t="shared" si="93"/>
        <v>0</v>
      </c>
      <c r="I213" s="1"/>
      <c r="J213" s="2"/>
      <c r="K213" s="1">
        <f>SUMIFS(
  '[1]Hoja 1'!$M:$M,
  '[1]Hoja 1'!$K:$K, $A213,
  '[1]Hoja 1'!$R:$R, "&gt;="&amp;INT($M$1),
  '[1]Hoja 1'!$R:$R, "&lt;"&amp;INT($N$1+1)
)</f>
        <v>0</v>
      </c>
      <c r="L213" s="1">
        <f t="shared" si="94"/>
        <v>0</v>
      </c>
      <c r="M213" s="9">
        <f t="shared" si="95"/>
        <v>0</v>
      </c>
      <c r="N213" s="10">
        <f t="shared" si="96"/>
        <v>0</v>
      </c>
      <c r="O213" s="1">
        <f>SUMIFS(
  '[1]Hoja 1'!$M:$M,
  '[1]Hoja 1'!$K:$K, $A213,
  '[1]Hoja 1'!$R:$R, "&gt;="&amp;INT($Q$1),
  '[1]Hoja 1'!$R:$R, "&lt;="&amp;INT($R$1)
)</f>
        <v>0</v>
      </c>
      <c r="P213" s="1">
        <f t="shared" si="97"/>
        <v>0</v>
      </c>
      <c r="Q213" s="9">
        <f t="shared" si="98"/>
        <v>0</v>
      </c>
      <c r="R213" s="10">
        <f t="shared" si="99"/>
        <v>0</v>
      </c>
      <c r="S213" s="1">
        <f>SUMIFS(
  '[1]Hoja 1'!$M:$M,
  '[1]Hoja 1'!$K:$K, $A213,
  '[1]Hoja 1'!$R:$R, "&gt;="&amp;INT($U$1),
  '[1]Hoja 1'!$R:$R, "&lt;="&amp;INT($V$1)
)</f>
        <v>0</v>
      </c>
      <c r="T213" s="1">
        <f t="shared" si="100"/>
        <v>0</v>
      </c>
      <c r="U213" s="9">
        <f t="shared" si="101"/>
        <v>-1.47</v>
      </c>
      <c r="V213" s="10">
        <f t="shared" si="102"/>
        <v>1.47</v>
      </c>
      <c r="W213" s="1">
        <f>SUMIFS(
  '[1]Hoja 1'!$M:$M,
  '[1]Hoja 1'!$K:$K, $A213,
  '[1]Hoja 1'!$R:$R, "&gt;="&amp;INT($Y$1),
  '[1]Hoja 1'!$R:$R, "&lt;="&amp;INT($Z$1)
)</f>
        <v>0</v>
      </c>
      <c r="X213" s="1">
        <f t="shared" si="103"/>
        <v>0</v>
      </c>
      <c r="Y213" s="9">
        <f t="shared" si="104"/>
        <v>0</v>
      </c>
      <c r="Z213" s="10">
        <f t="shared" si="105"/>
        <v>0</v>
      </c>
      <c r="AA213" s="1">
        <f>SUMIFS(
  '[1]Hoja 1'!$M:$M,
  '[1]Hoja 1'!$K:$K, $A213,
  '[1]Hoja 1'!$R:$R, "&gt;="&amp;INT($AC$1),
  '[1]Hoja 1'!$R:$R, "&lt;="&amp;INT($AD$1)
)</f>
        <v>0</v>
      </c>
      <c r="AB213" s="1">
        <f t="shared" si="106"/>
        <v>0</v>
      </c>
      <c r="AC213" s="9">
        <f t="shared" si="107"/>
        <v>0</v>
      </c>
      <c r="AD213" s="10">
        <f t="shared" si="108"/>
        <v>0</v>
      </c>
      <c r="AE213" s="1">
        <f>SUMIFS(
  '[1]Hoja 1'!$M:$M,
  '[1]Hoja 1'!$K:$K, $A213,
  '[1]Hoja 1'!$R:$R, "&gt;="&amp;INT($AG$1),
  '[1]Hoja 1'!$R:$R, "&lt;="&amp;INT($AH$1)
)</f>
        <v>2</v>
      </c>
      <c r="AF213" s="1">
        <f t="shared" si="109"/>
        <v>1</v>
      </c>
      <c r="AG213" s="9">
        <f t="shared" si="110"/>
        <v>0.25918963290191455</v>
      </c>
      <c r="AH213" s="10">
        <f t="shared" si="111"/>
        <v>1.7408103670980855</v>
      </c>
      <c r="AI213" s="1">
        <f>SUMIFS(
  '[1]Hoja 1'!$M:$M,
  '[1]Hoja 1'!$K:$K, $A213,
  '[1]Hoja 1'!$R:$R, "&gt;="&amp;INT($AK$1),
  '[1]Hoja 1'!$R:$R, "&lt;="&amp;INT($AL$1)
)</f>
        <v>0</v>
      </c>
      <c r="AJ213" s="1">
        <f t="shared" si="112"/>
        <v>1</v>
      </c>
      <c r="AK213" s="9">
        <f t="shared" si="113"/>
        <v>-4.7664068296703554E-2</v>
      </c>
      <c r="AL213" s="10">
        <f t="shared" si="114"/>
        <v>2.0476640682967036</v>
      </c>
      <c r="AM213" s="1">
        <f>SUMIFS(
  '[1]Hoja 1'!$M:$M,
  '[1]Hoja 1'!$K:$K, $A213,
  '[1]Hoja 1'!$R:$R, "&gt;="&amp;INT($AO$1),
  '[1]Hoja 1'!$R:$R, "&lt;="&amp;INT($AP$1)
)</f>
        <v>0</v>
      </c>
      <c r="AN213" s="1">
        <f t="shared" si="115"/>
        <v>0</v>
      </c>
      <c r="AO213" s="9">
        <f t="shared" si="116"/>
        <v>-0.98</v>
      </c>
      <c r="AP213" s="10">
        <f t="shared" si="117"/>
        <v>0.98</v>
      </c>
      <c r="AQ213" s="1">
        <f>SUMIFS(
  '[1]Hoja 1'!$M:$M,
  '[1]Hoja 1'!$K:$K, $A213,
  '[1]Hoja 1'!$R:$R, "&gt;="&amp;INT($AS$1),
  '[1]Hoja 1'!$R:$R, "&lt;="&amp;INT($AT$1)
)</f>
        <v>0</v>
      </c>
      <c r="AR213" s="1">
        <f t="shared" si="118"/>
        <v>0</v>
      </c>
      <c r="AS213" s="9">
        <f t="shared" si="119"/>
        <v>-0.92395286075042204</v>
      </c>
      <c r="AT213" s="10">
        <f t="shared" si="120"/>
        <v>0.92395286075042204</v>
      </c>
      <c r="AU213" s="1">
        <f>SUMIFS(
  '[1]Hoja 1'!$M:$M,
  '[1]Hoja 1'!$K:$K, $A213,
  '[1]Hoja 1'!$R:$R, "&gt;="&amp;INT($AW$1),
  '[1]Hoja 1'!$R:$R, "&lt;="&amp;INT($AX$1)
)</f>
        <v>0</v>
      </c>
      <c r="AV213" s="1">
        <f t="shared" si="121"/>
        <v>0</v>
      </c>
      <c r="AW213" s="9">
        <f t="shared" si="122"/>
        <v>-0.87653864717991747</v>
      </c>
      <c r="AX213" s="10">
        <f t="shared" si="123"/>
        <v>0.87653864717991747</v>
      </c>
    </row>
    <row r="214" spans="1:50" x14ac:dyDescent="0.25">
      <c r="A214" s="5">
        <v>237001</v>
      </c>
      <c r="B214" s="6" t="s">
        <v>211</v>
      </c>
      <c r="C214" s="1">
        <f>SUMIFS(
  '[1]Hoja 1'!$M:$M,
  '[1]Hoja 1'!$K:$K, $A214,
  '[1]Hoja 1'!$R:$R, "&gt;="&amp;INT($E$1),
  '[1]Hoja 1'!$R:$R, "&lt;"&amp;INT($F$1+1)
)</f>
        <v>8</v>
      </c>
      <c r="D214" s="1" t="str">
        <f>""</f>
        <v/>
      </c>
      <c r="F214" s="2"/>
      <c r="G214" s="1">
        <f>SUMIFS(
  '[1]Hoja 1'!$M:$M,
  '[1]Hoja 1'!$K:$K, $A214,
  '[1]Hoja 1'!$R:$R, "&gt;="&amp;INT($I$1),
  '[1]Hoja 1'!$R:$R, "&lt;"&amp;INT($J$1+1)
)</f>
        <v>4</v>
      </c>
      <c r="H214" s="1">
        <f t="shared" si="93"/>
        <v>6</v>
      </c>
      <c r="I214" s="1"/>
      <c r="J214" s="2"/>
      <c r="K214" s="1">
        <f>SUMIFS(
  '[1]Hoja 1'!$M:$M,
  '[1]Hoja 1'!$K:$K, $A214,
  '[1]Hoja 1'!$R:$R, "&gt;="&amp;INT($M$1),
  '[1]Hoja 1'!$R:$R, "&lt;"&amp;INT($N$1+1)
)</f>
        <v>5</v>
      </c>
      <c r="L214" s="1">
        <f t="shared" si="94"/>
        <v>4.5</v>
      </c>
      <c r="M214" s="9">
        <f t="shared" si="95"/>
        <v>1.0351767721859169</v>
      </c>
      <c r="N214" s="10">
        <f t="shared" si="96"/>
        <v>7.9648232278140831</v>
      </c>
      <c r="O214" s="1">
        <f>SUMIFS(
  '[1]Hoja 1'!$M:$M,
  '[1]Hoja 1'!$K:$K, $A214,
  '[1]Hoja 1'!$R:$R, "&gt;="&amp;INT($Q$1),
  '[1]Hoja 1'!$R:$R, "&lt;="&amp;INT($R$1)
)</f>
        <v>8</v>
      </c>
      <c r="P214" s="1">
        <f t="shared" si="97"/>
        <v>6.5</v>
      </c>
      <c r="Q214" s="9">
        <f t="shared" si="98"/>
        <v>2.9665597500452909</v>
      </c>
      <c r="R214" s="10">
        <f t="shared" si="99"/>
        <v>10.033440249954708</v>
      </c>
      <c r="S214" s="1">
        <f>SUMIFS(
  '[1]Hoja 1'!$M:$M,
  '[1]Hoja 1'!$K:$K, $A214,
  '[1]Hoja 1'!$R:$R, "&gt;="&amp;INT($U$1),
  '[1]Hoja 1'!$R:$R, "&lt;="&amp;INT($V$1)
)</f>
        <v>6</v>
      </c>
      <c r="T214" s="1">
        <f t="shared" si="100"/>
        <v>7</v>
      </c>
      <c r="U214" s="9">
        <f t="shared" si="101"/>
        <v>3.7620428250721618</v>
      </c>
      <c r="V214" s="10">
        <f t="shared" si="102"/>
        <v>10.237957174927839</v>
      </c>
      <c r="W214" s="1">
        <f>SUMIFS(
  '[1]Hoja 1'!$M:$M,
  '[1]Hoja 1'!$K:$K, $A214,
  '[1]Hoja 1'!$R:$R, "&gt;="&amp;INT($Y$1),
  '[1]Hoja 1'!$R:$R, "&lt;="&amp;INT($Z$1)
)</f>
        <v>0</v>
      </c>
      <c r="X214" s="1">
        <f t="shared" si="103"/>
        <v>3</v>
      </c>
      <c r="Y214" s="9">
        <f t="shared" si="104"/>
        <v>-0.57397817564685205</v>
      </c>
      <c r="Z214" s="10">
        <f t="shared" si="105"/>
        <v>6.5739781756468521</v>
      </c>
      <c r="AA214" s="1">
        <f>SUMIFS(
  '[1]Hoja 1'!$M:$M,
  '[1]Hoja 1'!$K:$K, $A214,
  '[1]Hoja 1'!$R:$R, "&gt;="&amp;INT($AC$1),
  '[1]Hoja 1'!$R:$R, "&lt;="&amp;INT($AD$1)
)</f>
        <v>18</v>
      </c>
      <c r="AB214" s="1">
        <f t="shared" si="106"/>
        <v>9</v>
      </c>
      <c r="AC214" s="9">
        <f t="shared" si="107"/>
        <v>0.53183215408039786</v>
      </c>
      <c r="AD214" s="10">
        <f t="shared" si="108"/>
        <v>17.468167845919602</v>
      </c>
      <c r="AE214" s="1">
        <f>SUMIFS(
  '[1]Hoja 1'!$M:$M,
  '[1]Hoja 1'!$K:$K, $A214,
  '[1]Hoja 1'!$R:$R, "&gt;="&amp;INT($AG$1),
  '[1]Hoja 1'!$R:$R, "&lt;="&amp;INT($AH$1)
)</f>
        <v>9</v>
      </c>
      <c r="AF214" s="1">
        <f t="shared" si="109"/>
        <v>14</v>
      </c>
      <c r="AG214" s="9">
        <f t="shared" si="110"/>
        <v>5.3184947541723329</v>
      </c>
      <c r="AH214" s="10">
        <f t="shared" si="111"/>
        <v>22.681505245827665</v>
      </c>
      <c r="AI214" s="1">
        <f>SUMIFS(
  '[1]Hoja 1'!$M:$M,
  '[1]Hoja 1'!$K:$K, $A214,
  '[1]Hoja 1'!$R:$R, "&gt;="&amp;INT($AK$1),
  '[1]Hoja 1'!$R:$R, "&lt;="&amp;INT($AL$1)
)</f>
        <v>37</v>
      </c>
      <c r="AJ214" s="1">
        <f t="shared" si="112"/>
        <v>23</v>
      </c>
      <c r="AK214" s="9">
        <f t="shared" si="113"/>
        <v>10.439631772913662</v>
      </c>
      <c r="AL214" s="10">
        <f t="shared" si="114"/>
        <v>35.560368227086336</v>
      </c>
      <c r="AM214" s="1">
        <f>SUMIFS(
  '[1]Hoja 1'!$M:$M,
  '[1]Hoja 1'!$K:$K, $A214,
  '[1]Hoja 1'!$R:$R, "&gt;="&amp;INT($AO$1),
  '[1]Hoja 1'!$R:$R, "&lt;="&amp;INT($AP$1)
)</f>
        <v>11</v>
      </c>
      <c r="AN214" s="1">
        <f t="shared" si="115"/>
        <v>24</v>
      </c>
      <c r="AO214" s="9">
        <f t="shared" si="116"/>
        <v>11.056412999309485</v>
      </c>
      <c r="AP214" s="10">
        <f t="shared" si="117"/>
        <v>36.943587000690513</v>
      </c>
      <c r="AQ214" s="1">
        <f>SUMIFS(
  '[1]Hoja 1'!$M:$M,
  '[1]Hoja 1'!$K:$K, $A214,
  '[1]Hoja 1'!$R:$R, "&gt;="&amp;INT($AS$1),
  '[1]Hoja 1'!$R:$R, "&lt;="&amp;INT($AT$1)
)</f>
        <v>16</v>
      </c>
      <c r="AR214" s="1">
        <f t="shared" si="118"/>
        <v>14</v>
      </c>
      <c r="AS214" s="9">
        <f t="shared" si="119"/>
        <v>1.2625130683743855</v>
      </c>
      <c r="AT214" s="10">
        <f t="shared" si="120"/>
        <v>26.737486931625615</v>
      </c>
      <c r="AU214" s="1">
        <f>SUMIFS(
  '[1]Hoja 1'!$M:$M,
  '[1]Hoja 1'!$K:$K, $A214,
  '[1]Hoja 1'!$R:$R, "&gt;="&amp;INT($AW$1),
  '[1]Hoja 1'!$R:$R, "&lt;="&amp;INT($AX$1)
)</f>
        <v>7</v>
      </c>
      <c r="AV214" s="1">
        <f t="shared" si="121"/>
        <v>12</v>
      </c>
      <c r="AW214" s="9">
        <f t="shared" si="122"/>
        <v>-0.10823791699458774</v>
      </c>
      <c r="AX214" s="10">
        <f t="shared" si="123"/>
        <v>24.10823791699459</v>
      </c>
    </row>
    <row r="215" spans="1:50" x14ac:dyDescent="0.25">
      <c r="A215" s="5">
        <v>237002</v>
      </c>
      <c r="B215" s="6" t="s">
        <v>212</v>
      </c>
      <c r="C215" s="1">
        <f>SUMIFS(
  '[1]Hoja 1'!$M:$M,
  '[1]Hoja 1'!$K:$K, $A215,
  '[1]Hoja 1'!$R:$R, "&gt;="&amp;INT($E$1),
  '[1]Hoja 1'!$R:$R, "&lt;"&amp;INT($F$1+1)
)</f>
        <v>0</v>
      </c>
      <c r="D215" s="1" t="str">
        <f>""</f>
        <v/>
      </c>
      <c r="F215" s="2"/>
      <c r="G215" s="1">
        <f>SUMIFS(
  '[1]Hoja 1'!$M:$M,
  '[1]Hoja 1'!$K:$K, $A215,
  '[1]Hoja 1'!$R:$R, "&gt;="&amp;INT($I$1),
  '[1]Hoja 1'!$R:$R, "&lt;"&amp;INT($J$1+1)
)</f>
        <v>0</v>
      </c>
      <c r="H215" s="1">
        <f t="shared" si="93"/>
        <v>0</v>
      </c>
      <c r="I215" s="1"/>
      <c r="J215" s="2"/>
      <c r="K215" s="1">
        <f>SUMIFS(
  '[1]Hoja 1'!$M:$M,
  '[1]Hoja 1'!$K:$K, $A215,
  '[1]Hoja 1'!$R:$R, "&gt;="&amp;INT($M$1),
  '[1]Hoja 1'!$R:$R, "&lt;"&amp;INT($N$1+1)
)</f>
        <v>0</v>
      </c>
      <c r="L215" s="1">
        <f t="shared" si="94"/>
        <v>0</v>
      </c>
      <c r="M215" s="9">
        <f t="shared" si="95"/>
        <v>0</v>
      </c>
      <c r="N215" s="10">
        <f t="shared" si="96"/>
        <v>0</v>
      </c>
      <c r="O215" s="1">
        <f>SUMIFS(
  '[1]Hoja 1'!$M:$M,
  '[1]Hoja 1'!$K:$K, $A215,
  '[1]Hoja 1'!$R:$R, "&gt;="&amp;INT($Q$1),
  '[1]Hoja 1'!$R:$R, "&lt;="&amp;INT($R$1)
)</f>
        <v>0</v>
      </c>
      <c r="P215" s="1">
        <f t="shared" si="97"/>
        <v>0</v>
      </c>
      <c r="Q215" s="9">
        <f t="shared" si="98"/>
        <v>0</v>
      </c>
      <c r="R215" s="10">
        <f t="shared" si="99"/>
        <v>0</v>
      </c>
      <c r="S215" s="1">
        <f>SUMIFS(
  '[1]Hoja 1'!$M:$M,
  '[1]Hoja 1'!$K:$K, $A215,
  '[1]Hoja 1'!$R:$R, "&gt;="&amp;INT($U$1),
  '[1]Hoja 1'!$R:$R, "&lt;="&amp;INT($V$1)
)</f>
        <v>0</v>
      </c>
      <c r="T215" s="1">
        <f t="shared" si="100"/>
        <v>0</v>
      </c>
      <c r="U215" s="9">
        <f t="shared" si="101"/>
        <v>-1.47</v>
      </c>
      <c r="V215" s="10">
        <f t="shared" si="102"/>
        <v>1.47</v>
      </c>
      <c r="W215" s="1">
        <f>SUMIFS(
  '[1]Hoja 1'!$M:$M,
  '[1]Hoja 1'!$K:$K, $A215,
  '[1]Hoja 1'!$R:$R, "&gt;="&amp;INT($Y$1),
  '[1]Hoja 1'!$R:$R, "&lt;="&amp;INT($Z$1)
)</f>
        <v>0</v>
      </c>
      <c r="X215" s="1">
        <f t="shared" si="103"/>
        <v>0</v>
      </c>
      <c r="Y215" s="9">
        <f t="shared" si="104"/>
        <v>0</v>
      </c>
      <c r="Z215" s="10">
        <f t="shared" si="105"/>
        <v>0</v>
      </c>
      <c r="AA215" s="1">
        <f>SUMIFS(
  '[1]Hoja 1'!$M:$M,
  '[1]Hoja 1'!$K:$K, $A215,
  '[1]Hoja 1'!$R:$R, "&gt;="&amp;INT($AC$1),
  '[1]Hoja 1'!$R:$R, "&lt;="&amp;INT($AD$1)
)</f>
        <v>0</v>
      </c>
      <c r="AB215" s="1">
        <f t="shared" si="106"/>
        <v>0</v>
      </c>
      <c r="AC215" s="9">
        <f t="shared" si="107"/>
        <v>0</v>
      </c>
      <c r="AD215" s="10">
        <f t="shared" si="108"/>
        <v>0</v>
      </c>
      <c r="AE215" s="1">
        <f>SUMIFS(
  '[1]Hoja 1'!$M:$M,
  '[1]Hoja 1'!$K:$K, $A215,
  '[1]Hoja 1'!$R:$R, "&gt;="&amp;INT($AG$1),
  '[1]Hoja 1'!$R:$R, "&lt;="&amp;INT($AH$1)
)</f>
        <v>0</v>
      </c>
      <c r="AF215" s="1">
        <f t="shared" si="109"/>
        <v>0</v>
      </c>
      <c r="AG215" s="9">
        <f t="shared" si="110"/>
        <v>0</v>
      </c>
      <c r="AH215" s="10">
        <f t="shared" si="111"/>
        <v>0</v>
      </c>
      <c r="AI215" s="1">
        <f>SUMIFS(
  '[1]Hoja 1'!$M:$M,
  '[1]Hoja 1'!$K:$K, $A215,
  '[1]Hoja 1'!$R:$R, "&gt;="&amp;INT($AK$1),
  '[1]Hoja 1'!$R:$R, "&lt;="&amp;INT($AL$1)
)</f>
        <v>0</v>
      </c>
      <c r="AJ215" s="1">
        <f t="shared" si="112"/>
        <v>0</v>
      </c>
      <c r="AK215" s="9">
        <f t="shared" si="113"/>
        <v>0</v>
      </c>
      <c r="AL215" s="10">
        <f t="shared" si="114"/>
        <v>0</v>
      </c>
      <c r="AM215" s="1">
        <f>SUMIFS(
  '[1]Hoja 1'!$M:$M,
  '[1]Hoja 1'!$K:$K, $A215,
  '[1]Hoja 1'!$R:$R, "&gt;="&amp;INT($AO$1),
  '[1]Hoja 1'!$R:$R, "&lt;="&amp;INT($AP$1)
)</f>
        <v>4</v>
      </c>
      <c r="AN215" s="1">
        <f t="shared" si="115"/>
        <v>2</v>
      </c>
      <c r="AO215" s="9">
        <f t="shared" si="116"/>
        <v>1.3466666666666667</v>
      </c>
      <c r="AP215" s="10">
        <f t="shared" si="117"/>
        <v>2.6533333333333333</v>
      </c>
      <c r="AQ215" s="1">
        <f>SUMIFS(
  '[1]Hoja 1'!$M:$M,
  '[1]Hoja 1'!$K:$K, $A215,
  '[1]Hoja 1'!$R:$R, "&gt;="&amp;INT($AS$1),
  '[1]Hoja 1'!$R:$R, "&lt;="&amp;INT($AT$1)
)</f>
        <v>0</v>
      </c>
      <c r="AR215" s="1">
        <f t="shared" si="118"/>
        <v>2</v>
      </c>
      <c r="AS215" s="9">
        <f t="shared" si="119"/>
        <v>1.3801935786069977</v>
      </c>
      <c r="AT215" s="10">
        <f t="shared" si="120"/>
        <v>2.6198064213930023</v>
      </c>
      <c r="AU215" s="1">
        <f>SUMIFS(
  '[1]Hoja 1'!$M:$M,
  '[1]Hoja 1'!$K:$K, $A215,
  '[1]Hoja 1'!$R:$R, "&gt;="&amp;INT($AW$1),
  '[1]Hoja 1'!$R:$R, "&lt;="&amp;INT($AX$1)
)</f>
        <v>0</v>
      </c>
      <c r="AV215" s="1">
        <f t="shared" si="121"/>
        <v>0</v>
      </c>
      <c r="AW215" s="9">
        <f t="shared" si="122"/>
        <v>-0.87653864717991747</v>
      </c>
      <c r="AX215" s="10">
        <f t="shared" si="123"/>
        <v>0.87653864717991747</v>
      </c>
    </row>
    <row r="216" spans="1:50" x14ac:dyDescent="0.25">
      <c r="A216" s="5">
        <v>237003</v>
      </c>
      <c r="B216" s="6" t="s">
        <v>213</v>
      </c>
      <c r="C216" s="1">
        <f>SUMIFS(
  '[1]Hoja 1'!$M:$M,
  '[1]Hoja 1'!$K:$K, $A216,
  '[1]Hoja 1'!$R:$R, "&gt;="&amp;INT($E$1),
  '[1]Hoja 1'!$R:$R, "&lt;"&amp;INT($F$1+1)
)</f>
        <v>0</v>
      </c>
      <c r="D216" s="1" t="str">
        <f>""</f>
        <v/>
      </c>
      <c r="F216" s="2"/>
      <c r="G216" s="1">
        <f>SUMIFS(
  '[1]Hoja 1'!$M:$M,
  '[1]Hoja 1'!$K:$K, $A216,
  '[1]Hoja 1'!$R:$R, "&gt;="&amp;INT($I$1),
  '[1]Hoja 1'!$R:$R, "&lt;"&amp;INT($J$1+1)
)</f>
        <v>0</v>
      </c>
      <c r="H216" s="1">
        <f t="shared" si="93"/>
        <v>0</v>
      </c>
      <c r="I216" s="1"/>
      <c r="J216" s="2"/>
      <c r="K216" s="1">
        <f>SUMIFS(
  '[1]Hoja 1'!$M:$M,
  '[1]Hoja 1'!$K:$K, $A216,
  '[1]Hoja 1'!$R:$R, "&gt;="&amp;INT($M$1),
  '[1]Hoja 1'!$R:$R, "&lt;"&amp;INT($N$1+1)
)</f>
        <v>0</v>
      </c>
      <c r="L216" s="1">
        <f t="shared" si="94"/>
        <v>0</v>
      </c>
      <c r="M216" s="9">
        <f t="shared" si="95"/>
        <v>0</v>
      </c>
      <c r="N216" s="10">
        <f t="shared" si="96"/>
        <v>0</v>
      </c>
      <c r="O216" s="1">
        <f>SUMIFS(
  '[1]Hoja 1'!$M:$M,
  '[1]Hoja 1'!$K:$K, $A216,
  '[1]Hoja 1'!$R:$R, "&gt;="&amp;INT($Q$1),
  '[1]Hoja 1'!$R:$R, "&lt;="&amp;INT($R$1)
)</f>
        <v>0</v>
      </c>
      <c r="P216" s="1">
        <f t="shared" si="97"/>
        <v>0</v>
      </c>
      <c r="Q216" s="9">
        <f t="shared" si="98"/>
        <v>0</v>
      </c>
      <c r="R216" s="10">
        <f t="shared" si="99"/>
        <v>0</v>
      </c>
      <c r="S216" s="1">
        <f>SUMIFS(
  '[1]Hoja 1'!$M:$M,
  '[1]Hoja 1'!$K:$K, $A216,
  '[1]Hoja 1'!$R:$R, "&gt;="&amp;INT($U$1),
  '[1]Hoja 1'!$R:$R, "&lt;="&amp;INT($V$1)
)</f>
        <v>0</v>
      </c>
      <c r="T216" s="1">
        <f t="shared" si="100"/>
        <v>0</v>
      </c>
      <c r="U216" s="9">
        <f t="shared" si="101"/>
        <v>-1.47</v>
      </c>
      <c r="V216" s="10">
        <f t="shared" si="102"/>
        <v>1.47</v>
      </c>
      <c r="W216" s="1">
        <f>SUMIFS(
  '[1]Hoja 1'!$M:$M,
  '[1]Hoja 1'!$K:$K, $A216,
  '[1]Hoja 1'!$R:$R, "&gt;="&amp;INT($Y$1),
  '[1]Hoja 1'!$R:$R, "&lt;="&amp;INT($Z$1)
)</f>
        <v>0</v>
      </c>
      <c r="X216" s="1">
        <f t="shared" si="103"/>
        <v>0</v>
      </c>
      <c r="Y216" s="9">
        <f t="shared" si="104"/>
        <v>0</v>
      </c>
      <c r="Z216" s="10">
        <f t="shared" si="105"/>
        <v>0</v>
      </c>
      <c r="AA216" s="1">
        <f>SUMIFS(
  '[1]Hoja 1'!$M:$M,
  '[1]Hoja 1'!$K:$K, $A216,
  '[1]Hoja 1'!$R:$R, "&gt;="&amp;INT($AC$1),
  '[1]Hoja 1'!$R:$R, "&lt;="&amp;INT($AD$1)
)</f>
        <v>0</v>
      </c>
      <c r="AB216" s="1">
        <f t="shared" si="106"/>
        <v>0</v>
      </c>
      <c r="AC216" s="9">
        <f t="shared" si="107"/>
        <v>0</v>
      </c>
      <c r="AD216" s="10">
        <f t="shared" si="108"/>
        <v>0</v>
      </c>
      <c r="AE216" s="1">
        <f>SUMIFS(
  '[1]Hoja 1'!$M:$M,
  '[1]Hoja 1'!$K:$K, $A216,
  '[1]Hoja 1'!$R:$R, "&gt;="&amp;INT($AG$1),
  '[1]Hoja 1'!$R:$R, "&lt;="&amp;INT($AH$1)
)</f>
        <v>0</v>
      </c>
      <c r="AF216" s="1">
        <f t="shared" si="109"/>
        <v>0</v>
      </c>
      <c r="AG216" s="9">
        <f t="shared" si="110"/>
        <v>0</v>
      </c>
      <c r="AH216" s="10">
        <f t="shared" si="111"/>
        <v>0</v>
      </c>
      <c r="AI216" s="1">
        <f>SUMIFS(
  '[1]Hoja 1'!$M:$M,
  '[1]Hoja 1'!$K:$K, $A216,
  '[1]Hoja 1'!$R:$R, "&gt;="&amp;INT($AK$1),
  '[1]Hoja 1'!$R:$R, "&lt;="&amp;INT($AL$1)
)</f>
        <v>0</v>
      </c>
      <c r="AJ216" s="1">
        <f t="shared" si="112"/>
        <v>0</v>
      </c>
      <c r="AK216" s="9">
        <f t="shared" si="113"/>
        <v>0</v>
      </c>
      <c r="AL216" s="10">
        <f t="shared" si="114"/>
        <v>0</v>
      </c>
      <c r="AM216" s="1">
        <f>SUMIFS(
  '[1]Hoja 1'!$M:$M,
  '[1]Hoja 1'!$K:$K, $A216,
  '[1]Hoja 1'!$R:$R, "&gt;="&amp;INT($AO$1),
  '[1]Hoja 1'!$R:$R, "&lt;="&amp;INT($AP$1)
)</f>
        <v>0</v>
      </c>
      <c r="AN216" s="1">
        <f t="shared" si="115"/>
        <v>0</v>
      </c>
      <c r="AO216" s="9">
        <f t="shared" si="116"/>
        <v>0</v>
      </c>
      <c r="AP216" s="10">
        <f t="shared" si="117"/>
        <v>0</v>
      </c>
      <c r="AQ216" s="1">
        <f>SUMIFS(
  '[1]Hoja 1'!$M:$M,
  '[1]Hoja 1'!$K:$K, $A216,
  '[1]Hoja 1'!$R:$R, "&gt;="&amp;INT($AS$1),
  '[1]Hoja 1'!$R:$R, "&lt;="&amp;INT($AT$1)
)</f>
        <v>0</v>
      </c>
      <c r="AR216" s="1">
        <f t="shared" si="118"/>
        <v>0</v>
      </c>
      <c r="AS216" s="9">
        <f t="shared" si="119"/>
        <v>0</v>
      </c>
      <c r="AT216" s="10">
        <f t="shared" si="120"/>
        <v>0</v>
      </c>
      <c r="AU216" s="1">
        <f>SUMIFS(
  '[1]Hoja 1'!$M:$M,
  '[1]Hoja 1'!$K:$K, $A216,
  '[1]Hoja 1'!$R:$R, "&gt;="&amp;INT($AW$1),
  '[1]Hoja 1'!$R:$R, "&lt;="&amp;INT($AX$1)
)</f>
        <v>0</v>
      </c>
      <c r="AV216" s="1">
        <f t="shared" si="121"/>
        <v>0</v>
      </c>
      <c r="AW216" s="9">
        <f t="shared" si="122"/>
        <v>0</v>
      </c>
      <c r="AX216" s="10">
        <f t="shared" si="123"/>
        <v>0</v>
      </c>
    </row>
    <row r="217" spans="1:50" x14ac:dyDescent="0.25">
      <c r="A217" s="5">
        <v>259001</v>
      </c>
      <c r="B217" s="6" t="s">
        <v>214</v>
      </c>
      <c r="C217" s="1">
        <f>SUMIFS(
  '[1]Hoja 1'!$M:$M,
  '[1]Hoja 1'!$K:$K, $A217,
  '[1]Hoja 1'!$R:$R, "&gt;="&amp;INT($E$1),
  '[1]Hoja 1'!$R:$R, "&lt;"&amp;INT($F$1+1)
)</f>
        <v>0</v>
      </c>
      <c r="D217" s="1" t="str">
        <f>""</f>
        <v/>
      </c>
      <c r="F217" s="2"/>
      <c r="G217" s="1">
        <f>SUMIFS(
  '[1]Hoja 1'!$M:$M,
  '[1]Hoja 1'!$K:$K, $A217,
  '[1]Hoja 1'!$R:$R, "&gt;="&amp;INT($I$1),
  '[1]Hoja 1'!$R:$R, "&lt;"&amp;INT($J$1+1)
)</f>
        <v>0</v>
      </c>
      <c r="H217" s="1">
        <f t="shared" si="93"/>
        <v>0</v>
      </c>
      <c r="I217" s="1"/>
      <c r="J217" s="2"/>
      <c r="K217" s="1">
        <f>SUMIFS(
  '[1]Hoja 1'!$M:$M,
  '[1]Hoja 1'!$K:$K, $A217,
  '[1]Hoja 1'!$R:$R, "&gt;="&amp;INT($M$1),
  '[1]Hoja 1'!$R:$R, "&lt;"&amp;INT($N$1+1)
)</f>
        <v>0</v>
      </c>
      <c r="L217" s="1">
        <f t="shared" si="94"/>
        <v>0</v>
      </c>
      <c r="M217" s="9">
        <f t="shared" si="95"/>
        <v>0</v>
      </c>
      <c r="N217" s="10">
        <f t="shared" si="96"/>
        <v>0</v>
      </c>
      <c r="O217" s="1">
        <f>SUMIFS(
  '[1]Hoja 1'!$M:$M,
  '[1]Hoja 1'!$K:$K, $A217,
  '[1]Hoja 1'!$R:$R, "&gt;="&amp;INT($Q$1),
  '[1]Hoja 1'!$R:$R, "&lt;="&amp;INT($R$1)
)</f>
        <v>0</v>
      </c>
      <c r="P217" s="1">
        <f t="shared" si="97"/>
        <v>0</v>
      </c>
      <c r="Q217" s="9">
        <f t="shared" si="98"/>
        <v>0</v>
      </c>
      <c r="R217" s="10">
        <f t="shared" si="99"/>
        <v>0</v>
      </c>
      <c r="S217" s="1">
        <f>SUMIFS(
  '[1]Hoja 1'!$M:$M,
  '[1]Hoja 1'!$K:$K, $A217,
  '[1]Hoja 1'!$R:$R, "&gt;="&amp;INT($U$1),
  '[1]Hoja 1'!$R:$R, "&lt;="&amp;INT($V$1)
)</f>
        <v>0</v>
      </c>
      <c r="T217" s="1">
        <f t="shared" si="100"/>
        <v>0</v>
      </c>
      <c r="U217" s="9">
        <f t="shared" si="101"/>
        <v>-1.47</v>
      </c>
      <c r="V217" s="10">
        <f t="shared" si="102"/>
        <v>1.47</v>
      </c>
      <c r="W217" s="1">
        <f>SUMIFS(
  '[1]Hoja 1'!$M:$M,
  '[1]Hoja 1'!$K:$K, $A217,
  '[1]Hoja 1'!$R:$R, "&gt;="&amp;INT($Y$1),
  '[1]Hoja 1'!$R:$R, "&lt;="&amp;INT($Z$1)
)</f>
        <v>0</v>
      </c>
      <c r="X217" s="1">
        <f t="shared" si="103"/>
        <v>0</v>
      </c>
      <c r="Y217" s="9">
        <f t="shared" si="104"/>
        <v>0</v>
      </c>
      <c r="Z217" s="10">
        <f t="shared" si="105"/>
        <v>0</v>
      </c>
      <c r="AA217" s="1">
        <f>SUMIFS(
  '[1]Hoja 1'!$M:$M,
  '[1]Hoja 1'!$K:$K, $A217,
  '[1]Hoja 1'!$R:$R, "&gt;="&amp;INT($AC$1),
  '[1]Hoja 1'!$R:$R, "&lt;="&amp;INT($AD$1)
)</f>
        <v>13</v>
      </c>
      <c r="AB217" s="1">
        <f t="shared" si="106"/>
        <v>7</v>
      </c>
      <c r="AC217" s="9">
        <f t="shared" si="107"/>
        <v>1.7989167794903853</v>
      </c>
      <c r="AD217" s="10">
        <f t="shared" si="108"/>
        <v>12.201083220509615</v>
      </c>
      <c r="AE217" s="1">
        <f>SUMIFS(
  '[1]Hoja 1'!$M:$M,
  '[1]Hoja 1'!$K:$K, $A217,
  '[1]Hoja 1'!$R:$R, "&gt;="&amp;INT($AG$1),
  '[1]Hoja 1'!$R:$R, "&lt;="&amp;INT($AH$1)
)</f>
        <v>13</v>
      </c>
      <c r="AF217" s="1">
        <f t="shared" si="109"/>
        <v>13</v>
      </c>
      <c r="AG217" s="9">
        <f t="shared" si="110"/>
        <v>8.1847326138624457</v>
      </c>
      <c r="AH217" s="10">
        <f t="shared" si="111"/>
        <v>17.815267386137556</v>
      </c>
      <c r="AI217" s="1">
        <f>SUMIFS(
  '[1]Hoja 1'!$M:$M,
  '[1]Hoja 1'!$K:$K, $A217,
  '[1]Hoja 1'!$R:$R, "&gt;="&amp;INT($AK$1),
  '[1]Hoja 1'!$R:$R, "&lt;="&amp;INT($AL$1)
)</f>
        <v>9</v>
      </c>
      <c r="AJ217" s="1">
        <f t="shared" si="112"/>
        <v>11</v>
      </c>
      <c r="AK217" s="9">
        <f t="shared" si="113"/>
        <v>6.1017503126116566</v>
      </c>
      <c r="AL217" s="10">
        <f t="shared" si="114"/>
        <v>15.898249687388343</v>
      </c>
      <c r="AM217" s="1">
        <f>SUMIFS(
  '[1]Hoja 1'!$M:$M,
  '[1]Hoja 1'!$K:$K, $A217,
  '[1]Hoja 1'!$R:$R, "&gt;="&amp;INT($AO$1),
  '[1]Hoja 1'!$R:$R, "&lt;="&amp;INT($AP$1)
)</f>
        <v>3</v>
      </c>
      <c r="AN217" s="1">
        <f t="shared" si="115"/>
        <v>6</v>
      </c>
      <c r="AO217" s="9">
        <f t="shared" si="116"/>
        <v>1.2240707710436078</v>
      </c>
      <c r="AP217" s="10">
        <f t="shared" si="117"/>
        <v>10.775929228956393</v>
      </c>
      <c r="AQ217" s="1">
        <f>SUMIFS(
  '[1]Hoja 1'!$M:$M,
  '[1]Hoja 1'!$K:$K, $A217,
  '[1]Hoja 1'!$R:$R, "&gt;="&amp;INT($AS$1),
  '[1]Hoja 1'!$R:$R, "&lt;="&amp;INT($AT$1)
)</f>
        <v>0</v>
      </c>
      <c r="AR217" s="1">
        <f t="shared" si="118"/>
        <v>2</v>
      </c>
      <c r="AS217" s="9">
        <f t="shared" si="119"/>
        <v>-2.7293391598498085</v>
      </c>
      <c r="AT217" s="10">
        <f t="shared" si="120"/>
        <v>6.7293391598498085</v>
      </c>
      <c r="AU217" s="1">
        <f>SUMIFS(
  '[1]Hoja 1'!$M:$M,
  '[1]Hoja 1'!$K:$K, $A217,
  '[1]Hoja 1'!$R:$R, "&gt;="&amp;INT($AW$1),
  '[1]Hoja 1'!$R:$R, "&lt;="&amp;INT($AX$1)
)</f>
        <v>0</v>
      </c>
      <c r="AV217" s="1">
        <f t="shared" si="121"/>
        <v>0</v>
      </c>
      <c r="AW217" s="9">
        <f t="shared" si="122"/>
        <v>-4.5334931344383875</v>
      </c>
      <c r="AX217" s="10">
        <f t="shared" si="123"/>
        <v>4.5334931344383875</v>
      </c>
    </row>
    <row r="218" spans="1:50" x14ac:dyDescent="0.25">
      <c r="A218" s="5">
        <v>259002</v>
      </c>
      <c r="B218" s="6" t="s">
        <v>215</v>
      </c>
      <c r="C218" s="1">
        <f>SUMIFS(
  '[1]Hoja 1'!$M:$M,
  '[1]Hoja 1'!$K:$K, $A218,
  '[1]Hoja 1'!$R:$R, "&gt;="&amp;INT($E$1),
  '[1]Hoja 1'!$R:$R, "&lt;"&amp;INT($F$1+1)
)</f>
        <v>0</v>
      </c>
      <c r="D218" s="1" t="str">
        <f>""</f>
        <v/>
      </c>
      <c r="F218" s="2"/>
      <c r="G218" s="1">
        <f>SUMIFS(
  '[1]Hoja 1'!$M:$M,
  '[1]Hoja 1'!$K:$K, $A218,
  '[1]Hoja 1'!$R:$R, "&gt;="&amp;INT($I$1),
  '[1]Hoja 1'!$R:$R, "&lt;"&amp;INT($J$1+1)
)</f>
        <v>0</v>
      </c>
      <c r="H218" s="1">
        <f t="shared" si="93"/>
        <v>0</v>
      </c>
      <c r="I218" s="1"/>
      <c r="J218" s="2"/>
      <c r="K218" s="1">
        <f>SUMIFS(
  '[1]Hoja 1'!$M:$M,
  '[1]Hoja 1'!$K:$K, $A218,
  '[1]Hoja 1'!$R:$R, "&gt;="&amp;INT($M$1),
  '[1]Hoja 1'!$R:$R, "&lt;"&amp;INT($N$1+1)
)</f>
        <v>0</v>
      </c>
      <c r="L218" s="1">
        <f t="shared" si="94"/>
        <v>0</v>
      </c>
      <c r="M218" s="9">
        <f t="shared" si="95"/>
        <v>0</v>
      </c>
      <c r="N218" s="10">
        <f t="shared" si="96"/>
        <v>0</v>
      </c>
      <c r="O218" s="1">
        <f>SUMIFS(
  '[1]Hoja 1'!$M:$M,
  '[1]Hoja 1'!$K:$K, $A218,
  '[1]Hoja 1'!$R:$R, "&gt;="&amp;INT($Q$1),
  '[1]Hoja 1'!$R:$R, "&lt;="&amp;INT($R$1)
)</f>
        <v>0</v>
      </c>
      <c r="P218" s="1">
        <f t="shared" si="97"/>
        <v>0</v>
      </c>
      <c r="Q218" s="9">
        <f t="shared" si="98"/>
        <v>0</v>
      </c>
      <c r="R218" s="10">
        <f t="shared" si="99"/>
        <v>0</v>
      </c>
      <c r="S218" s="1">
        <f>SUMIFS(
  '[1]Hoja 1'!$M:$M,
  '[1]Hoja 1'!$K:$K, $A218,
  '[1]Hoja 1'!$R:$R, "&gt;="&amp;INT($U$1),
  '[1]Hoja 1'!$R:$R, "&lt;="&amp;INT($V$1)
)</f>
        <v>0</v>
      </c>
      <c r="T218" s="1">
        <f t="shared" si="100"/>
        <v>0</v>
      </c>
      <c r="U218" s="9">
        <f t="shared" si="101"/>
        <v>-1.47</v>
      </c>
      <c r="V218" s="10">
        <f t="shared" si="102"/>
        <v>1.47</v>
      </c>
      <c r="W218" s="1">
        <f>SUMIFS(
  '[1]Hoja 1'!$M:$M,
  '[1]Hoja 1'!$K:$K, $A218,
  '[1]Hoja 1'!$R:$R, "&gt;="&amp;INT($Y$1),
  '[1]Hoja 1'!$R:$R, "&lt;="&amp;INT($Z$1)
)</f>
        <v>0</v>
      </c>
      <c r="X218" s="1">
        <f t="shared" si="103"/>
        <v>0</v>
      </c>
      <c r="Y218" s="9">
        <f t="shared" si="104"/>
        <v>0</v>
      </c>
      <c r="Z218" s="10">
        <f t="shared" si="105"/>
        <v>0</v>
      </c>
      <c r="AA218" s="1">
        <f>SUMIFS(
  '[1]Hoja 1'!$M:$M,
  '[1]Hoja 1'!$K:$K, $A218,
  '[1]Hoja 1'!$R:$R, "&gt;="&amp;INT($AC$1),
  '[1]Hoja 1'!$R:$R, "&lt;="&amp;INT($AD$1)
)</f>
        <v>0</v>
      </c>
      <c r="AB218" s="1">
        <f t="shared" si="106"/>
        <v>0</v>
      </c>
      <c r="AC218" s="9">
        <f t="shared" si="107"/>
        <v>0</v>
      </c>
      <c r="AD218" s="10">
        <f t="shared" si="108"/>
        <v>0</v>
      </c>
      <c r="AE218" s="1">
        <f>SUMIFS(
  '[1]Hoja 1'!$M:$M,
  '[1]Hoja 1'!$K:$K, $A218,
  '[1]Hoja 1'!$R:$R, "&gt;="&amp;INT($AG$1),
  '[1]Hoja 1'!$R:$R, "&lt;="&amp;INT($AH$1)
)</f>
        <v>10</v>
      </c>
      <c r="AF218" s="1">
        <f t="shared" si="109"/>
        <v>5</v>
      </c>
      <c r="AG218" s="9">
        <f t="shared" si="110"/>
        <v>1.2959481645095732</v>
      </c>
      <c r="AH218" s="10">
        <f t="shared" si="111"/>
        <v>8.7040518354904268</v>
      </c>
      <c r="AI218" s="1">
        <f>SUMIFS(
  '[1]Hoja 1'!$M:$M,
  '[1]Hoja 1'!$K:$K, $A218,
  '[1]Hoja 1'!$R:$R, "&gt;="&amp;INT($AK$1),
  '[1]Hoja 1'!$R:$R, "&lt;="&amp;INT($AL$1)
)</f>
        <v>0</v>
      </c>
      <c r="AJ218" s="1">
        <f t="shared" si="112"/>
        <v>5</v>
      </c>
      <c r="AK218" s="9">
        <f t="shared" si="113"/>
        <v>-0.23832034148351777</v>
      </c>
      <c r="AL218" s="10">
        <f t="shared" si="114"/>
        <v>10.238320341483519</v>
      </c>
      <c r="AM218" s="1">
        <f>SUMIFS(
  '[1]Hoja 1'!$M:$M,
  '[1]Hoja 1'!$K:$K, $A218,
  '[1]Hoja 1'!$R:$R, "&gt;="&amp;INT($AO$1),
  '[1]Hoja 1'!$R:$R, "&lt;="&amp;INT($AP$1)
)</f>
        <v>0</v>
      </c>
      <c r="AN218" s="1">
        <f t="shared" si="115"/>
        <v>0</v>
      </c>
      <c r="AO218" s="9">
        <f t="shared" si="116"/>
        <v>-4.9000000000000004</v>
      </c>
      <c r="AP218" s="10">
        <f t="shared" si="117"/>
        <v>4.9000000000000004</v>
      </c>
      <c r="AQ218" s="1">
        <f>SUMIFS(
  '[1]Hoja 1'!$M:$M,
  '[1]Hoja 1'!$K:$K, $A218,
  '[1]Hoja 1'!$R:$R, "&gt;="&amp;INT($AS$1),
  '[1]Hoja 1'!$R:$R, "&lt;="&amp;INT($AT$1)
)</f>
        <v>0</v>
      </c>
      <c r="AR218" s="1">
        <f t="shared" si="118"/>
        <v>0</v>
      </c>
      <c r="AS218" s="9">
        <f t="shared" si="119"/>
        <v>-4.6197643037521106</v>
      </c>
      <c r="AT218" s="10">
        <f t="shared" si="120"/>
        <v>4.6197643037521106</v>
      </c>
      <c r="AU218" s="1">
        <f>SUMIFS(
  '[1]Hoja 1'!$M:$M,
  '[1]Hoja 1'!$K:$K, $A218,
  '[1]Hoja 1'!$R:$R, "&gt;="&amp;INT($AW$1),
  '[1]Hoja 1'!$R:$R, "&lt;="&amp;INT($AX$1)
)</f>
        <v>0</v>
      </c>
      <c r="AV218" s="1">
        <f t="shared" si="121"/>
        <v>0</v>
      </c>
      <c r="AW218" s="9">
        <f t="shared" si="122"/>
        <v>-4.3826932358995876</v>
      </c>
      <c r="AX218" s="10">
        <f t="shared" si="123"/>
        <v>4.3826932358995876</v>
      </c>
    </row>
    <row r="219" spans="1:50" x14ac:dyDescent="0.25">
      <c r="A219" s="5">
        <v>261004</v>
      </c>
      <c r="B219" s="6" t="s">
        <v>216</v>
      </c>
      <c r="C219" s="1">
        <f>SUMIFS(
  '[1]Hoja 1'!$M:$M,
  '[1]Hoja 1'!$K:$K, $A219,
  '[1]Hoja 1'!$R:$R, "&gt;="&amp;INT($E$1),
  '[1]Hoja 1'!$R:$R, "&lt;"&amp;INT($F$1+1)
)</f>
        <v>0</v>
      </c>
      <c r="D219" s="1" t="str">
        <f>""</f>
        <v/>
      </c>
      <c r="F219" s="2"/>
      <c r="G219" s="1">
        <f>SUMIFS(
  '[1]Hoja 1'!$M:$M,
  '[1]Hoja 1'!$K:$K, $A219,
  '[1]Hoja 1'!$R:$R, "&gt;="&amp;INT($I$1),
  '[1]Hoja 1'!$R:$R, "&lt;"&amp;INT($J$1+1)
)</f>
        <v>0</v>
      </c>
      <c r="H219" s="1">
        <f t="shared" si="93"/>
        <v>0</v>
      </c>
      <c r="I219" s="1"/>
      <c r="J219" s="2"/>
      <c r="K219" s="1">
        <f>SUMIFS(
  '[1]Hoja 1'!$M:$M,
  '[1]Hoja 1'!$K:$K, $A219,
  '[1]Hoja 1'!$R:$R, "&gt;="&amp;INT($M$1),
  '[1]Hoja 1'!$R:$R, "&lt;"&amp;INT($N$1+1)
)</f>
        <v>0</v>
      </c>
      <c r="L219" s="1">
        <f t="shared" si="94"/>
        <v>0</v>
      </c>
      <c r="M219" s="9">
        <f t="shared" si="95"/>
        <v>0</v>
      </c>
      <c r="N219" s="10">
        <f t="shared" si="96"/>
        <v>0</v>
      </c>
      <c r="O219" s="1">
        <f>SUMIFS(
  '[1]Hoja 1'!$M:$M,
  '[1]Hoja 1'!$K:$K, $A219,
  '[1]Hoja 1'!$R:$R, "&gt;="&amp;INT($Q$1),
  '[1]Hoja 1'!$R:$R, "&lt;="&amp;INT($R$1)
)</f>
        <v>0</v>
      </c>
      <c r="P219" s="1">
        <f t="shared" si="97"/>
        <v>0</v>
      </c>
      <c r="Q219" s="9">
        <f t="shared" si="98"/>
        <v>0</v>
      </c>
      <c r="R219" s="10">
        <f t="shared" si="99"/>
        <v>0</v>
      </c>
      <c r="S219" s="1">
        <f>SUMIFS(
  '[1]Hoja 1'!$M:$M,
  '[1]Hoja 1'!$K:$K, $A219,
  '[1]Hoja 1'!$R:$R, "&gt;="&amp;INT($U$1),
  '[1]Hoja 1'!$R:$R, "&lt;="&amp;INT($V$1)
)</f>
        <v>0</v>
      </c>
      <c r="T219" s="1">
        <f t="shared" si="100"/>
        <v>0</v>
      </c>
      <c r="U219" s="9">
        <f t="shared" si="101"/>
        <v>-1.47</v>
      </c>
      <c r="V219" s="10">
        <f t="shared" si="102"/>
        <v>1.47</v>
      </c>
      <c r="W219" s="1">
        <f>SUMIFS(
  '[1]Hoja 1'!$M:$M,
  '[1]Hoja 1'!$K:$K, $A219,
  '[1]Hoja 1'!$R:$R, "&gt;="&amp;INT($Y$1),
  '[1]Hoja 1'!$R:$R, "&lt;="&amp;INT($Z$1)
)</f>
        <v>0</v>
      </c>
      <c r="X219" s="1">
        <f t="shared" si="103"/>
        <v>0</v>
      </c>
      <c r="Y219" s="9">
        <f t="shared" si="104"/>
        <v>0</v>
      </c>
      <c r="Z219" s="10">
        <f t="shared" si="105"/>
        <v>0</v>
      </c>
      <c r="AA219" s="1">
        <f>SUMIFS(
  '[1]Hoja 1'!$M:$M,
  '[1]Hoja 1'!$K:$K, $A219,
  '[1]Hoja 1'!$R:$R, "&gt;="&amp;INT($AC$1),
  '[1]Hoja 1'!$R:$R, "&lt;="&amp;INT($AD$1)
)</f>
        <v>145</v>
      </c>
      <c r="AB219" s="1">
        <f t="shared" si="106"/>
        <v>73</v>
      </c>
      <c r="AC219" s="9">
        <f t="shared" si="107"/>
        <v>14.987917925085071</v>
      </c>
      <c r="AD219" s="10">
        <f t="shared" si="108"/>
        <v>131.01208207491493</v>
      </c>
      <c r="AE219" s="1">
        <f>SUMIFS(
  '[1]Hoja 1'!$M:$M,
  '[1]Hoja 1'!$K:$K, $A219,
  '[1]Hoja 1'!$R:$R, "&gt;="&amp;INT($AG$1),
  '[1]Hoja 1'!$R:$R, "&lt;="&amp;INT($AH$1)
)</f>
        <v>116</v>
      </c>
      <c r="AF219" s="1">
        <f t="shared" si="109"/>
        <v>131</v>
      </c>
      <c r="AG219" s="9">
        <f t="shared" si="110"/>
        <v>74.49934631646579</v>
      </c>
      <c r="AH219" s="10">
        <f t="shared" si="111"/>
        <v>187.50065368353421</v>
      </c>
      <c r="AI219" s="1">
        <f>SUMIFS(
  '[1]Hoja 1'!$M:$M,
  '[1]Hoja 1'!$K:$K, $A219,
  '[1]Hoja 1'!$R:$R, "&gt;="&amp;INT($AK$1),
  '[1]Hoja 1'!$R:$R, "&lt;="&amp;INT($AL$1)
)</f>
        <v>175</v>
      </c>
      <c r="AJ219" s="1">
        <f t="shared" si="112"/>
        <v>146</v>
      </c>
      <c r="AK219" s="9">
        <f t="shared" si="113"/>
        <v>91.664103485817037</v>
      </c>
      <c r="AL219" s="10">
        <f t="shared" si="114"/>
        <v>200.33589651418296</v>
      </c>
      <c r="AM219" s="1">
        <f>SUMIFS(
  '[1]Hoja 1'!$M:$M,
  '[1]Hoja 1'!$K:$K, $A219,
  '[1]Hoja 1'!$R:$R, "&gt;="&amp;INT($AO$1),
  '[1]Hoja 1'!$R:$R, "&lt;="&amp;INT($AP$1)
)</f>
        <v>261</v>
      </c>
      <c r="AN219" s="1">
        <f t="shared" si="115"/>
        <v>218</v>
      </c>
      <c r="AO219" s="9">
        <f t="shared" si="116"/>
        <v>166.707091674926</v>
      </c>
      <c r="AP219" s="10">
        <f t="shared" si="117"/>
        <v>269.292908325074</v>
      </c>
      <c r="AQ219" s="1">
        <f>SUMIFS(
  '[1]Hoja 1'!$M:$M,
  '[1]Hoja 1'!$K:$K, $A219,
  '[1]Hoja 1'!$R:$R, "&gt;="&amp;INT($AS$1),
  '[1]Hoja 1'!$R:$R, "&lt;="&amp;INT($AT$1)
)</f>
        <v>129</v>
      </c>
      <c r="AR219" s="1">
        <f t="shared" si="118"/>
        <v>195</v>
      </c>
      <c r="AS219" s="9">
        <f t="shared" si="119"/>
        <v>144.47479286974118</v>
      </c>
      <c r="AT219" s="10">
        <f t="shared" si="120"/>
        <v>245.52520713025882</v>
      </c>
      <c r="AU219" s="1">
        <f>SUMIFS(
  '[1]Hoja 1'!$M:$M,
  '[1]Hoja 1'!$K:$K, $A219,
  '[1]Hoja 1'!$R:$R, "&gt;="&amp;INT($AW$1),
  '[1]Hoja 1'!$R:$R, "&lt;="&amp;INT($AX$1)
)</f>
        <v>190</v>
      </c>
      <c r="AV219" s="1">
        <f t="shared" si="121"/>
        <v>160</v>
      </c>
      <c r="AW219" s="9">
        <f t="shared" si="122"/>
        <v>109.43472805103559</v>
      </c>
      <c r="AX219" s="10">
        <f t="shared" si="123"/>
        <v>210.56527194896441</v>
      </c>
    </row>
    <row r="220" spans="1:50" x14ac:dyDescent="0.25">
      <c r="A220" s="5">
        <v>261005</v>
      </c>
      <c r="B220" s="6" t="s">
        <v>217</v>
      </c>
      <c r="C220" s="1">
        <f>SUMIFS(
  '[1]Hoja 1'!$M:$M,
  '[1]Hoja 1'!$K:$K, $A220,
  '[1]Hoja 1'!$R:$R, "&gt;="&amp;INT($E$1),
  '[1]Hoja 1'!$R:$R, "&lt;"&amp;INT($F$1+1)
)</f>
        <v>0</v>
      </c>
      <c r="D220" s="1" t="str">
        <f>""</f>
        <v/>
      </c>
      <c r="F220" s="2"/>
      <c r="G220" s="1">
        <f>SUMIFS(
  '[1]Hoja 1'!$M:$M,
  '[1]Hoja 1'!$K:$K, $A220,
  '[1]Hoja 1'!$R:$R, "&gt;="&amp;INT($I$1),
  '[1]Hoja 1'!$R:$R, "&lt;"&amp;INT($J$1+1)
)</f>
        <v>0</v>
      </c>
      <c r="H220" s="1">
        <f t="shared" si="93"/>
        <v>0</v>
      </c>
      <c r="I220" s="1"/>
      <c r="J220" s="2"/>
      <c r="K220" s="1">
        <f>SUMIFS(
  '[1]Hoja 1'!$M:$M,
  '[1]Hoja 1'!$K:$K, $A220,
  '[1]Hoja 1'!$R:$R, "&gt;="&amp;INT($M$1),
  '[1]Hoja 1'!$R:$R, "&lt;"&amp;INT($N$1+1)
)</f>
        <v>0</v>
      </c>
      <c r="L220" s="1">
        <f t="shared" si="94"/>
        <v>0</v>
      </c>
      <c r="M220" s="9">
        <f t="shared" si="95"/>
        <v>0</v>
      </c>
      <c r="N220" s="10">
        <f t="shared" si="96"/>
        <v>0</v>
      </c>
      <c r="O220" s="1">
        <f>SUMIFS(
  '[1]Hoja 1'!$M:$M,
  '[1]Hoja 1'!$K:$K, $A220,
  '[1]Hoja 1'!$R:$R, "&gt;="&amp;INT($Q$1),
  '[1]Hoja 1'!$R:$R, "&lt;="&amp;INT($R$1)
)</f>
        <v>0</v>
      </c>
      <c r="P220" s="1">
        <f t="shared" si="97"/>
        <v>0</v>
      </c>
      <c r="Q220" s="9">
        <f t="shared" si="98"/>
        <v>0</v>
      </c>
      <c r="R220" s="10">
        <f t="shared" si="99"/>
        <v>0</v>
      </c>
      <c r="S220" s="1">
        <f>SUMIFS(
  '[1]Hoja 1'!$M:$M,
  '[1]Hoja 1'!$K:$K, $A220,
  '[1]Hoja 1'!$R:$R, "&gt;="&amp;INT($U$1),
  '[1]Hoja 1'!$R:$R, "&lt;="&amp;INT($V$1)
)</f>
        <v>0</v>
      </c>
      <c r="T220" s="1">
        <f t="shared" si="100"/>
        <v>0</v>
      </c>
      <c r="U220" s="9">
        <f t="shared" si="101"/>
        <v>-1.47</v>
      </c>
      <c r="V220" s="10">
        <f t="shared" si="102"/>
        <v>1.47</v>
      </c>
      <c r="W220" s="1">
        <f>SUMIFS(
  '[1]Hoja 1'!$M:$M,
  '[1]Hoja 1'!$K:$K, $A220,
  '[1]Hoja 1'!$R:$R, "&gt;="&amp;INT($Y$1),
  '[1]Hoja 1'!$R:$R, "&lt;="&amp;INT($Z$1)
)</f>
        <v>0</v>
      </c>
      <c r="X220" s="1">
        <f t="shared" si="103"/>
        <v>0</v>
      </c>
      <c r="Y220" s="9">
        <f t="shared" si="104"/>
        <v>0</v>
      </c>
      <c r="Z220" s="10">
        <f t="shared" si="105"/>
        <v>0</v>
      </c>
      <c r="AA220" s="1">
        <f>SUMIFS(
  '[1]Hoja 1'!$M:$M,
  '[1]Hoja 1'!$K:$K, $A220,
  '[1]Hoja 1'!$R:$R, "&gt;="&amp;INT($AC$1),
  '[1]Hoja 1'!$R:$R, "&lt;="&amp;INT($AD$1)
)</f>
        <v>0</v>
      </c>
      <c r="AB220" s="1">
        <f t="shared" si="106"/>
        <v>0</v>
      </c>
      <c r="AC220" s="9">
        <f t="shared" si="107"/>
        <v>0</v>
      </c>
      <c r="AD220" s="10">
        <f t="shared" si="108"/>
        <v>0</v>
      </c>
      <c r="AE220" s="1">
        <f>SUMIFS(
  '[1]Hoja 1'!$M:$M,
  '[1]Hoja 1'!$K:$K, $A220,
  '[1]Hoja 1'!$R:$R, "&gt;="&amp;INT($AG$1),
  '[1]Hoja 1'!$R:$R, "&lt;="&amp;INT($AH$1)
)</f>
        <v>0</v>
      </c>
      <c r="AF220" s="1">
        <f t="shared" si="109"/>
        <v>0</v>
      </c>
      <c r="AG220" s="9">
        <f t="shared" si="110"/>
        <v>0</v>
      </c>
      <c r="AH220" s="10">
        <f t="shared" si="111"/>
        <v>0</v>
      </c>
      <c r="AI220" s="1">
        <f>SUMIFS(
  '[1]Hoja 1'!$M:$M,
  '[1]Hoja 1'!$K:$K, $A220,
  '[1]Hoja 1'!$R:$R, "&gt;="&amp;INT($AK$1),
  '[1]Hoja 1'!$R:$R, "&lt;="&amp;INT($AL$1)
)</f>
        <v>0</v>
      </c>
      <c r="AJ220" s="1">
        <f t="shared" si="112"/>
        <v>0</v>
      </c>
      <c r="AK220" s="9">
        <f t="shared" si="113"/>
        <v>0</v>
      </c>
      <c r="AL220" s="10">
        <f t="shared" si="114"/>
        <v>0</v>
      </c>
      <c r="AM220" s="1">
        <f>SUMIFS(
  '[1]Hoja 1'!$M:$M,
  '[1]Hoja 1'!$K:$K, $A220,
  '[1]Hoja 1'!$R:$R, "&gt;="&amp;INT($AO$1),
  '[1]Hoja 1'!$R:$R, "&lt;="&amp;INT($AP$1)
)</f>
        <v>0</v>
      </c>
      <c r="AN220" s="1">
        <f t="shared" si="115"/>
        <v>0</v>
      </c>
      <c r="AO220" s="9">
        <f t="shared" si="116"/>
        <v>0</v>
      </c>
      <c r="AP220" s="10">
        <f t="shared" si="117"/>
        <v>0</v>
      </c>
      <c r="AQ220" s="1">
        <f>SUMIFS(
  '[1]Hoja 1'!$M:$M,
  '[1]Hoja 1'!$K:$K, $A220,
  '[1]Hoja 1'!$R:$R, "&gt;="&amp;INT($AS$1),
  '[1]Hoja 1'!$R:$R, "&lt;="&amp;INT($AT$1)
)</f>
        <v>1</v>
      </c>
      <c r="AR220" s="1">
        <f t="shared" si="118"/>
        <v>1</v>
      </c>
      <c r="AS220" s="9">
        <f t="shared" si="119"/>
        <v>0.69009678930349883</v>
      </c>
      <c r="AT220" s="10">
        <f t="shared" si="120"/>
        <v>1.3099032106965012</v>
      </c>
      <c r="AU220" s="1">
        <f>SUMIFS(
  '[1]Hoja 1'!$M:$M,
  '[1]Hoja 1'!$K:$K, $A220,
  '[1]Hoja 1'!$R:$R, "&gt;="&amp;INT($AW$1),
  '[1]Hoja 1'!$R:$R, "&lt;="&amp;INT($AX$1)
)</f>
        <v>2</v>
      </c>
      <c r="AV220" s="1">
        <f t="shared" si="121"/>
        <v>2</v>
      </c>
      <c r="AW220" s="9">
        <f t="shared" si="122"/>
        <v>1.6035704808716136</v>
      </c>
      <c r="AX220" s="10">
        <f t="shared" si="123"/>
        <v>2.3964295191283864</v>
      </c>
    </row>
    <row r="221" spans="1:50" x14ac:dyDescent="0.25">
      <c r="A221" s="5">
        <v>265001</v>
      </c>
      <c r="B221" s="6" t="s">
        <v>218</v>
      </c>
      <c r="C221" s="1">
        <f>SUMIFS(
  '[1]Hoja 1'!$M:$M,
  '[1]Hoja 1'!$K:$K, $A221,
  '[1]Hoja 1'!$R:$R, "&gt;="&amp;INT($E$1),
  '[1]Hoja 1'!$R:$R, "&lt;"&amp;INT($F$1+1)
)</f>
        <v>0</v>
      </c>
      <c r="D221" s="1" t="str">
        <f>""</f>
        <v/>
      </c>
      <c r="F221" s="2"/>
      <c r="G221" s="1">
        <f>SUMIFS(
  '[1]Hoja 1'!$M:$M,
  '[1]Hoja 1'!$K:$K, $A221,
  '[1]Hoja 1'!$R:$R, "&gt;="&amp;INT($I$1),
  '[1]Hoja 1'!$R:$R, "&lt;"&amp;INT($J$1+1)
)</f>
        <v>0</v>
      </c>
      <c r="H221" s="1">
        <f t="shared" si="93"/>
        <v>0</v>
      </c>
      <c r="I221" s="1"/>
      <c r="J221" s="2"/>
      <c r="K221" s="1">
        <f>SUMIFS(
  '[1]Hoja 1'!$M:$M,
  '[1]Hoja 1'!$K:$K, $A221,
  '[1]Hoja 1'!$R:$R, "&gt;="&amp;INT($M$1),
  '[1]Hoja 1'!$R:$R, "&lt;"&amp;INT($N$1+1)
)</f>
        <v>0</v>
      </c>
      <c r="L221" s="1">
        <f t="shared" si="94"/>
        <v>0</v>
      </c>
      <c r="M221" s="9">
        <f t="shared" si="95"/>
        <v>0</v>
      </c>
      <c r="N221" s="10">
        <f t="shared" si="96"/>
        <v>0</v>
      </c>
      <c r="O221" s="1">
        <f>SUMIFS(
  '[1]Hoja 1'!$M:$M,
  '[1]Hoja 1'!$K:$K, $A221,
  '[1]Hoja 1'!$R:$R, "&gt;="&amp;INT($Q$1),
  '[1]Hoja 1'!$R:$R, "&lt;="&amp;INT($R$1)
)</f>
        <v>0</v>
      </c>
      <c r="P221" s="1">
        <f t="shared" si="97"/>
        <v>0</v>
      </c>
      <c r="Q221" s="9">
        <f t="shared" si="98"/>
        <v>0</v>
      </c>
      <c r="R221" s="10">
        <f t="shared" si="99"/>
        <v>0</v>
      </c>
      <c r="S221" s="1">
        <f>SUMIFS(
  '[1]Hoja 1'!$M:$M,
  '[1]Hoja 1'!$K:$K, $A221,
  '[1]Hoja 1'!$R:$R, "&gt;="&amp;INT($U$1),
  '[1]Hoja 1'!$R:$R, "&lt;="&amp;INT($V$1)
)</f>
        <v>1</v>
      </c>
      <c r="T221" s="1">
        <f t="shared" si="100"/>
        <v>1</v>
      </c>
      <c r="U221" s="9">
        <f t="shared" si="101"/>
        <v>2.0000000000000018E-2</v>
      </c>
      <c r="V221" s="10">
        <f t="shared" si="102"/>
        <v>1.98</v>
      </c>
      <c r="W221" s="1">
        <f>SUMIFS(
  '[1]Hoja 1'!$M:$M,
  '[1]Hoja 1'!$K:$K, $A221,
  '[1]Hoja 1'!$R:$R, "&gt;="&amp;INT($Y$1),
  '[1]Hoja 1'!$R:$R, "&lt;="&amp;INT($Z$1)
)</f>
        <v>0</v>
      </c>
      <c r="X221" s="1">
        <f t="shared" si="103"/>
        <v>1</v>
      </c>
      <c r="Y221" s="9">
        <f t="shared" si="104"/>
        <v>0.30703535443718344</v>
      </c>
      <c r="Z221" s="10">
        <f t="shared" si="105"/>
        <v>1.6929646455628165</v>
      </c>
      <c r="AA221" s="1">
        <f>SUMIFS(
  '[1]Hoja 1'!$M:$M,
  '[1]Hoja 1'!$K:$K, $A221,
  '[1]Hoja 1'!$R:$R, "&gt;="&amp;INT($AC$1),
  '[1]Hoja 1'!$R:$R, "&lt;="&amp;INT($AD$1)
)</f>
        <v>1</v>
      </c>
      <c r="AB221" s="1">
        <f t="shared" si="106"/>
        <v>1</v>
      </c>
      <c r="AC221" s="9">
        <f t="shared" si="107"/>
        <v>0.26228280034510065</v>
      </c>
      <c r="AD221" s="10">
        <f t="shared" si="108"/>
        <v>1.7377171996548992</v>
      </c>
      <c r="AE221" s="1">
        <f>SUMIFS(
  '[1]Hoja 1'!$M:$M,
  '[1]Hoja 1'!$K:$K, $A221,
  '[1]Hoja 1'!$R:$R, "&gt;="&amp;INT($AG$1),
  '[1]Hoja 1'!$R:$R, "&lt;="&amp;INT($AH$1)
)</f>
        <v>1</v>
      </c>
      <c r="AF221" s="1">
        <f t="shared" si="109"/>
        <v>1</v>
      </c>
      <c r="AG221" s="9">
        <f t="shared" si="110"/>
        <v>0.32373575184449288</v>
      </c>
      <c r="AH221" s="10">
        <f t="shared" si="111"/>
        <v>1.676264248155507</v>
      </c>
      <c r="AI221" s="1">
        <f>SUMIFS(
  '[1]Hoja 1'!$M:$M,
  '[1]Hoja 1'!$K:$K, $A221,
  '[1]Hoja 1'!$R:$R, "&gt;="&amp;INT($AK$1),
  '[1]Hoja 1'!$R:$R, "&lt;="&amp;INT($AL$1)
)</f>
        <v>2</v>
      </c>
      <c r="AJ221" s="1">
        <f t="shared" si="112"/>
        <v>2</v>
      </c>
      <c r="AK221" s="9">
        <f t="shared" si="113"/>
        <v>1.3070353544371835</v>
      </c>
      <c r="AL221" s="10">
        <f t="shared" si="114"/>
        <v>2.6929646455628165</v>
      </c>
      <c r="AM221" s="1">
        <f>SUMIFS(
  '[1]Hoja 1'!$M:$M,
  '[1]Hoja 1'!$K:$K, $A221,
  '[1]Hoja 1'!$R:$R, "&gt;="&amp;INT($AO$1),
  '[1]Hoja 1'!$R:$R, "&lt;="&amp;INT($AP$1)
)</f>
        <v>3</v>
      </c>
      <c r="AN221" s="1">
        <f t="shared" si="115"/>
        <v>3</v>
      </c>
      <c r="AO221" s="9">
        <f t="shared" si="116"/>
        <v>2.3070353544371835</v>
      </c>
      <c r="AP221" s="10">
        <f t="shared" si="117"/>
        <v>3.6929646455628165</v>
      </c>
      <c r="AQ221" s="1">
        <f>SUMIFS(
  '[1]Hoja 1'!$M:$M,
  '[1]Hoja 1'!$K:$K, $A221,
  '[1]Hoja 1'!$R:$R, "&gt;="&amp;INT($AS$1),
  '[1]Hoja 1'!$R:$R, "&lt;="&amp;INT($AT$1)
)</f>
        <v>4</v>
      </c>
      <c r="AR221" s="1">
        <f t="shared" si="118"/>
        <v>4</v>
      </c>
      <c r="AS221" s="9">
        <f t="shared" si="119"/>
        <v>3.3147782191955009</v>
      </c>
      <c r="AT221" s="10">
        <f t="shared" si="120"/>
        <v>4.6852217808044987</v>
      </c>
      <c r="AU221" s="1">
        <f>SUMIFS(
  '[1]Hoja 1'!$M:$M,
  '[1]Hoja 1'!$K:$K, $A221,
  '[1]Hoja 1'!$R:$R, "&gt;="&amp;INT($AW$1),
  '[1]Hoja 1'!$R:$R, "&lt;="&amp;INT($AX$1)
)</f>
        <v>0</v>
      </c>
      <c r="AV221" s="1">
        <f t="shared" si="121"/>
        <v>2</v>
      </c>
      <c r="AW221" s="9">
        <f t="shared" si="122"/>
        <v>1.0379831791302381</v>
      </c>
      <c r="AX221" s="10">
        <f t="shared" si="123"/>
        <v>2.9620168208697617</v>
      </c>
    </row>
    <row r="222" spans="1:50" x14ac:dyDescent="0.25">
      <c r="A222" s="5">
        <v>271002</v>
      </c>
      <c r="B222" s="6" t="s">
        <v>219</v>
      </c>
      <c r="C222" s="1">
        <f>SUMIFS(
  '[1]Hoja 1'!$M:$M,
  '[1]Hoja 1'!$K:$K, $A222,
  '[1]Hoja 1'!$R:$R, "&gt;="&amp;INT($E$1),
  '[1]Hoja 1'!$R:$R, "&lt;"&amp;INT($F$1+1)
)</f>
        <v>2</v>
      </c>
      <c r="D222" s="1" t="str">
        <f>""</f>
        <v/>
      </c>
      <c r="F222" s="2"/>
      <c r="G222" s="1">
        <f>SUMIFS(
  '[1]Hoja 1'!$M:$M,
  '[1]Hoja 1'!$K:$K, $A222,
  '[1]Hoja 1'!$R:$R, "&gt;="&amp;INT($I$1),
  '[1]Hoja 1'!$R:$R, "&lt;"&amp;INT($J$1+1)
)</f>
        <v>0</v>
      </c>
      <c r="H222" s="1">
        <f t="shared" si="93"/>
        <v>1</v>
      </c>
      <c r="I222" s="1"/>
      <c r="J222" s="2"/>
      <c r="K222" s="1">
        <f>SUMIFS(
  '[1]Hoja 1'!$M:$M,
  '[1]Hoja 1'!$K:$K, $A222,
  '[1]Hoja 1'!$R:$R, "&gt;="&amp;INT($M$1),
  '[1]Hoja 1'!$R:$R, "&lt;"&amp;INT($N$1+1)
)</f>
        <v>5</v>
      </c>
      <c r="L222" s="1">
        <f t="shared" si="94"/>
        <v>2.5</v>
      </c>
      <c r="M222" s="9">
        <f t="shared" si="95"/>
        <v>-2.350752518939716</v>
      </c>
      <c r="N222" s="10">
        <f t="shared" si="96"/>
        <v>7.350752518939716</v>
      </c>
      <c r="O222" s="1">
        <f>SUMIFS(
  '[1]Hoja 1'!$M:$M,
  '[1]Hoja 1'!$K:$K, $A222,
  '[1]Hoja 1'!$R:$R, "&gt;="&amp;INT($Q$1),
  '[1]Hoja 1'!$R:$R, "&lt;="&amp;INT($R$1)
)</f>
        <v>2</v>
      </c>
      <c r="P222" s="1">
        <f t="shared" si="97"/>
        <v>3.5</v>
      </c>
      <c r="Q222" s="9">
        <f t="shared" si="98"/>
        <v>-0.77172096466986062</v>
      </c>
      <c r="R222" s="10">
        <f t="shared" si="99"/>
        <v>7.7717209646698606</v>
      </c>
      <c r="S222" s="1">
        <f>SUMIFS(
  '[1]Hoja 1'!$M:$M,
  '[1]Hoja 1'!$K:$K, $A222,
  '[1]Hoja 1'!$R:$R, "&gt;="&amp;INT($U$1),
  '[1]Hoja 1'!$R:$R, "&lt;="&amp;INT($V$1)
)</f>
        <v>25</v>
      </c>
      <c r="T222" s="1">
        <f t="shared" si="100"/>
        <v>14</v>
      </c>
      <c r="U222" s="9">
        <f t="shared" si="101"/>
        <v>2.6697984719305783</v>
      </c>
      <c r="V222" s="10">
        <f t="shared" si="102"/>
        <v>25.330201528069423</v>
      </c>
      <c r="W222" s="1">
        <f>SUMIFS(
  '[1]Hoja 1'!$M:$M,
  '[1]Hoja 1'!$K:$K, $A222,
  '[1]Hoja 1'!$R:$R, "&gt;="&amp;INT($Y$1),
  '[1]Hoja 1'!$R:$R, "&lt;="&amp;INT($Z$1)
)</f>
        <v>0</v>
      </c>
      <c r="X222" s="1">
        <f t="shared" si="103"/>
        <v>13</v>
      </c>
      <c r="Y222" s="9">
        <f t="shared" si="104"/>
        <v>-3.9117450311906019</v>
      </c>
      <c r="Z222" s="10">
        <f t="shared" si="105"/>
        <v>29.911745031190602</v>
      </c>
      <c r="AA222" s="1">
        <f>SUMIFS(
  '[1]Hoja 1'!$M:$M,
  '[1]Hoja 1'!$K:$K, $A222,
  '[1]Hoja 1'!$R:$R, "&gt;="&amp;INT($AC$1),
  '[1]Hoja 1'!$R:$R, "&lt;="&amp;INT($AD$1)
)</f>
        <v>7</v>
      </c>
      <c r="AB222" s="1">
        <f t="shared" si="106"/>
        <v>4</v>
      </c>
      <c r="AC222" s="9">
        <f t="shared" si="107"/>
        <v>-11.413336649365272</v>
      </c>
      <c r="AD222" s="10">
        <f t="shared" si="108"/>
        <v>19.41333664936527</v>
      </c>
      <c r="AE222" s="1">
        <f>SUMIFS(
  '[1]Hoja 1'!$M:$M,
  '[1]Hoja 1'!$K:$K, $A222,
  '[1]Hoja 1'!$R:$R, "&gt;="&amp;INT($AG$1),
  '[1]Hoja 1'!$R:$R, "&lt;="&amp;INT($AH$1)
)</f>
        <v>9</v>
      </c>
      <c r="AF222" s="1">
        <f t="shared" si="109"/>
        <v>8</v>
      </c>
      <c r="AG222" s="9">
        <f t="shared" si="110"/>
        <v>-6.0770214652579586</v>
      </c>
      <c r="AH222" s="10">
        <f t="shared" si="111"/>
        <v>22.077021465257957</v>
      </c>
      <c r="AI222" s="1">
        <f>SUMIFS(
  '[1]Hoja 1'!$M:$M,
  '[1]Hoja 1'!$K:$K, $A222,
  '[1]Hoja 1'!$R:$R, "&gt;="&amp;INT($AK$1),
  '[1]Hoja 1'!$R:$R, "&lt;="&amp;INT($AL$1)
)</f>
        <v>11</v>
      </c>
      <c r="AJ222" s="1">
        <f t="shared" si="112"/>
        <v>10</v>
      </c>
      <c r="AK222" s="9">
        <f t="shared" si="113"/>
        <v>-3.0373942948734953</v>
      </c>
      <c r="AL222" s="10">
        <f t="shared" si="114"/>
        <v>23.037394294873494</v>
      </c>
      <c r="AM222" s="1">
        <f>SUMIFS(
  '[1]Hoja 1'!$M:$M,
  '[1]Hoja 1'!$K:$K, $A222,
  '[1]Hoja 1'!$R:$R, "&gt;="&amp;INT($AO$1),
  '[1]Hoja 1'!$R:$R, "&lt;="&amp;INT($AP$1)
)</f>
        <v>7</v>
      </c>
      <c r="AN222" s="1">
        <f t="shared" si="115"/>
        <v>9</v>
      </c>
      <c r="AO222" s="9">
        <f t="shared" si="116"/>
        <v>-3.2380163606870731</v>
      </c>
      <c r="AP222" s="10">
        <f t="shared" si="117"/>
        <v>21.238016360687073</v>
      </c>
      <c r="AQ222" s="1">
        <f>SUMIFS(
  '[1]Hoja 1'!$M:$M,
  '[1]Hoja 1'!$K:$K, $A222,
  '[1]Hoja 1'!$R:$R, "&gt;="&amp;INT($AS$1),
  '[1]Hoja 1'!$R:$R, "&lt;="&amp;INT($AT$1)
)</f>
        <v>4</v>
      </c>
      <c r="AR222" s="1">
        <f t="shared" si="118"/>
        <v>6</v>
      </c>
      <c r="AS222" s="9">
        <f t="shared" si="119"/>
        <v>-5.5973567869771284</v>
      </c>
      <c r="AT222" s="10">
        <f t="shared" si="120"/>
        <v>17.59735678697713</v>
      </c>
      <c r="AU222" s="1">
        <f>SUMIFS(
  '[1]Hoja 1'!$M:$M,
  '[1]Hoja 1'!$K:$K, $A222,
  '[1]Hoja 1'!$R:$R, "&gt;="&amp;INT($AW$1),
  '[1]Hoja 1'!$R:$R, "&lt;="&amp;INT($AX$1)
)</f>
        <v>248</v>
      </c>
      <c r="AV222" s="1">
        <f t="shared" si="121"/>
        <v>126</v>
      </c>
      <c r="AW222" s="9">
        <f t="shared" si="122"/>
        <v>88.987407253501118</v>
      </c>
      <c r="AX222" s="10">
        <f t="shared" si="123"/>
        <v>163.01259274649888</v>
      </c>
    </row>
    <row r="223" spans="1:50" x14ac:dyDescent="0.25">
      <c r="A223" s="5">
        <v>276001</v>
      </c>
      <c r="B223" s="6" t="s">
        <v>220</v>
      </c>
      <c r="C223" s="1">
        <f>SUMIFS(
  '[1]Hoja 1'!$M:$M,
  '[1]Hoja 1'!$K:$K, $A223,
  '[1]Hoja 1'!$R:$R, "&gt;="&amp;INT($E$1),
  '[1]Hoja 1'!$R:$R, "&lt;"&amp;INT($F$1+1)
)</f>
        <v>0</v>
      </c>
      <c r="D223" s="1" t="str">
        <f>""</f>
        <v/>
      </c>
      <c r="F223" s="2"/>
      <c r="G223" s="1">
        <f>SUMIFS(
  '[1]Hoja 1'!$M:$M,
  '[1]Hoja 1'!$K:$K, $A223,
  '[1]Hoja 1'!$R:$R, "&gt;="&amp;INT($I$1),
  '[1]Hoja 1'!$R:$R, "&lt;"&amp;INT($J$1+1)
)</f>
        <v>0</v>
      </c>
      <c r="H223" s="1">
        <f t="shared" si="93"/>
        <v>0</v>
      </c>
      <c r="I223" s="1"/>
      <c r="J223" s="2"/>
      <c r="K223" s="1">
        <f>SUMIFS(
  '[1]Hoja 1'!$M:$M,
  '[1]Hoja 1'!$K:$K, $A223,
  '[1]Hoja 1'!$R:$R, "&gt;="&amp;INT($M$1),
  '[1]Hoja 1'!$R:$R, "&lt;"&amp;INT($N$1+1)
)</f>
        <v>0</v>
      </c>
      <c r="L223" s="1">
        <f t="shared" si="94"/>
        <v>0</v>
      </c>
      <c r="M223" s="9">
        <f t="shared" si="95"/>
        <v>0</v>
      </c>
      <c r="N223" s="10">
        <f t="shared" si="96"/>
        <v>0</v>
      </c>
      <c r="O223" s="1">
        <f>SUMIFS(
  '[1]Hoja 1'!$M:$M,
  '[1]Hoja 1'!$K:$K, $A223,
  '[1]Hoja 1'!$R:$R, "&gt;="&amp;INT($Q$1),
  '[1]Hoja 1'!$R:$R, "&lt;="&amp;INT($R$1)
)</f>
        <v>0</v>
      </c>
      <c r="P223" s="1">
        <f t="shared" si="97"/>
        <v>0</v>
      </c>
      <c r="Q223" s="9">
        <f t="shared" si="98"/>
        <v>0</v>
      </c>
      <c r="R223" s="10">
        <f t="shared" si="99"/>
        <v>0</v>
      </c>
      <c r="S223" s="1">
        <f>SUMIFS(
  '[1]Hoja 1'!$M:$M,
  '[1]Hoja 1'!$K:$K, $A223,
  '[1]Hoja 1'!$R:$R, "&gt;="&amp;INT($U$1),
  '[1]Hoja 1'!$R:$R, "&lt;="&amp;INT($V$1)
)</f>
        <v>10</v>
      </c>
      <c r="T223" s="1">
        <f t="shared" si="100"/>
        <v>5</v>
      </c>
      <c r="U223" s="9">
        <f t="shared" si="101"/>
        <v>1.5700000000000003</v>
      </c>
      <c r="V223" s="10">
        <f t="shared" si="102"/>
        <v>8.43</v>
      </c>
      <c r="W223" s="1">
        <f>SUMIFS(
  '[1]Hoja 1'!$M:$M,
  '[1]Hoja 1'!$K:$K, $A223,
  '[1]Hoja 1'!$R:$R, "&gt;="&amp;INT($Y$1),
  '[1]Hoja 1'!$R:$R, "&lt;="&amp;INT($Z$1)
)</f>
        <v>0</v>
      </c>
      <c r="X223" s="1">
        <f t="shared" si="103"/>
        <v>5</v>
      </c>
      <c r="Y223" s="9">
        <f t="shared" si="104"/>
        <v>-1.9296464556281663</v>
      </c>
      <c r="Z223" s="10">
        <f t="shared" si="105"/>
        <v>11.929646455628166</v>
      </c>
      <c r="AA223" s="1">
        <f>SUMIFS(
  '[1]Hoja 1'!$M:$M,
  '[1]Hoja 1'!$K:$K, $A223,
  '[1]Hoja 1'!$R:$R, "&gt;="&amp;INT($AC$1),
  '[1]Hoja 1'!$R:$R, "&lt;="&amp;INT($AD$1)
)</f>
        <v>2</v>
      </c>
      <c r="AB223" s="1">
        <f t="shared" si="106"/>
        <v>1</v>
      </c>
      <c r="AC223" s="9">
        <f t="shared" si="107"/>
        <v>-5.2495013134382704</v>
      </c>
      <c r="AD223" s="10">
        <f t="shared" si="108"/>
        <v>7.2495013134382704</v>
      </c>
      <c r="AE223" s="1">
        <f>SUMIFS(
  '[1]Hoja 1'!$M:$M,
  '[1]Hoja 1'!$K:$K, $A223,
  '[1]Hoja 1'!$R:$R, "&gt;="&amp;INT($AG$1),
  '[1]Hoja 1'!$R:$R, "&lt;="&amp;INT($AH$1)
)</f>
        <v>2</v>
      </c>
      <c r="AF223" s="1">
        <f t="shared" si="109"/>
        <v>2</v>
      </c>
      <c r="AG223" s="9">
        <f t="shared" si="110"/>
        <v>-3.7063239772495686</v>
      </c>
      <c r="AH223" s="10">
        <f t="shared" si="111"/>
        <v>7.7063239772495686</v>
      </c>
      <c r="AI223" s="1">
        <f>SUMIFS(
  '[1]Hoja 1'!$M:$M,
  '[1]Hoja 1'!$K:$K, $A223,
  '[1]Hoja 1'!$R:$R, "&gt;="&amp;INT($AK$1),
  '[1]Hoja 1'!$R:$R, "&lt;="&amp;INT($AL$1)
)</f>
        <v>0</v>
      </c>
      <c r="AJ223" s="1">
        <f t="shared" si="112"/>
        <v>1</v>
      </c>
      <c r="AK223" s="9">
        <f t="shared" si="113"/>
        <v>-4.3420595279348957</v>
      </c>
      <c r="AL223" s="10">
        <f t="shared" si="114"/>
        <v>6.3420595279348957</v>
      </c>
      <c r="AM223" s="1">
        <f>SUMIFS(
  '[1]Hoja 1'!$M:$M,
  '[1]Hoja 1'!$K:$K, $A223,
  '[1]Hoja 1'!$R:$R, "&gt;="&amp;INT($AO$1),
  '[1]Hoja 1'!$R:$R, "&lt;="&amp;INT($AP$1)
)</f>
        <v>0</v>
      </c>
      <c r="AN223" s="1">
        <f t="shared" si="115"/>
        <v>0</v>
      </c>
      <c r="AO223" s="9">
        <f t="shared" si="116"/>
        <v>-4.9970391233209286</v>
      </c>
      <c r="AP223" s="10">
        <f t="shared" si="117"/>
        <v>4.9970391233209286</v>
      </c>
      <c r="AQ223" s="1">
        <f>SUMIFS(
  '[1]Hoja 1'!$M:$M,
  '[1]Hoja 1'!$K:$K, $A223,
  '[1]Hoja 1'!$R:$R, "&gt;="&amp;INT($AS$1),
  '[1]Hoja 1'!$R:$R, "&lt;="&amp;INT($AT$1)
)</f>
        <v>0</v>
      </c>
      <c r="AR223" s="1">
        <f t="shared" si="118"/>
        <v>0</v>
      </c>
      <c r="AS223" s="9">
        <f t="shared" si="119"/>
        <v>-4.7112536666062796</v>
      </c>
      <c r="AT223" s="10">
        <f t="shared" si="120"/>
        <v>4.7112536666062796</v>
      </c>
      <c r="AU223" s="1">
        <f>SUMIFS(
  '[1]Hoja 1'!$M:$M,
  '[1]Hoja 1'!$K:$K, $A223,
  '[1]Hoja 1'!$R:$R, "&gt;="&amp;INT($AW$1),
  '[1]Hoja 1'!$R:$R, "&lt;="&amp;INT($AX$1)
)</f>
        <v>0</v>
      </c>
      <c r="AV223" s="1">
        <f t="shared" si="121"/>
        <v>0</v>
      </c>
      <c r="AW223" s="9">
        <f t="shared" si="122"/>
        <v>-4.4694876663886207</v>
      </c>
      <c r="AX223" s="10">
        <f t="shared" si="123"/>
        <v>4.4694876663886207</v>
      </c>
    </row>
    <row r="224" spans="1:50" x14ac:dyDescent="0.25">
      <c r="A224" s="5">
        <v>301001</v>
      </c>
      <c r="B224" s="6" t="s">
        <v>221</v>
      </c>
      <c r="C224" s="1">
        <f>SUMIFS(
  '[1]Hoja 1'!$M:$M,
  '[1]Hoja 1'!$K:$K, $A224,
  '[1]Hoja 1'!$R:$R, "&gt;="&amp;INT($E$1),
  '[1]Hoja 1'!$R:$R, "&lt;"&amp;INT($F$1+1)
)</f>
        <v>0</v>
      </c>
      <c r="D224" s="1" t="str">
        <f>""</f>
        <v/>
      </c>
      <c r="F224" s="2"/>
      <c r="G224" s="1">
        <f>SUMIFS(
  '[1]Hoja 1'!$M:$M,
  '[1]Hoja 1'!$K:$K, $A224,
  '[1]Hoja 1'!$R:$R, "&gt;="&amp;INT($I$1),
  '[1]Hoja 1'!$R:$R, "&lt;"&amp;INT($J$1+1)
)</f>
        <v>0</v>
      </c>
      <c r="H224" s="1">
        <f t="shared" si="93"/>
        <v>0</v>
      </c>
      <c r="I224" s="1"/>
      <c r="J224" s="2"/>
      <c r="K224" s="1">
        <f>SUMIFS(
  '[1]Hoja 1'!$M:$M,
  '[1]Hoja 1'!$K:$K, $A224,
  '[1]Hoja 1'!$R:$R, "&gt;="&amp;INT($M$1),
  '[1]Hoja 1'!$R:$R, "&lt;"&amp;INT($N$1+1)
)</f>
        <v>1</v>
      </c>
      <c r="L224" s="1">
        <f t="shared" si="94"/>
        <v>0.5</v>
      </c>
      <c r="M224" s="9">
        <f t="shared" si="95"/>
        <v>-0.19296464556281656</v>
      </c>
      <c r="N224" s="10">
        <f t="shared" si="96"/>
        <v>1.1929646455628165</v>
      </c>
      <c r="O224" s="1">
        <f>SUMIFS(
  '[1]Hoja 1'!$M:$M,
  '[1]Hoja 1'!$K:$K, $A224,
  '[1]Hoja 1'!$R:$R, "&gt;="&amp;INT($Q$1),
  '[1]Hoja 1'!$R:$R, "&lt;="&amp;INT($R$1)
)</f>
        <v>0</v>
      </c>
      <c r="P224" s="1">
        <f t="shared" si="97"/>
        <v>0.5</v>
      </c>
      <c r="Q224" s="9">
        <f t="shared" si="98"/>
        <v>-0.48</v>
      </c>
      <c r="R224" s="10">
        <f t="shared" si="99"/>
        <v>1.48</v>
      </c>
      <c r="S224" s="1">
        <f>SUMIFS(
  '[1]Hoja 1'!$M:$M,
  '[1]Hoja 1'!$K:$K, $A224,
  '[1]Hoja 1'!$R:$R, "&gt;="&amp;INT($U$1),
  '[1]Hoja 1'!$R:$R, "&lt;="&amp;INT($V$1)
)</f>
        <v>0</v>
      </c>
      <c r="T224" s="1">
        <f t="shared" si="100"/>
        <v>0</v>
      </c>
      <c r="U224" s="9">
        <f t="shared" si="101"/>
        <v>-1.6736686251067343</v>
      </c>
      <c r="V224" s="10">
        <f t="shared" si="102"/>
        <v>1.6736686251067343</v>
      </c>
      <c r="W224" s="1">
        <f>SUMIFS(
  '[1]Hoja 1'!$M:$M,
  '[1]Hoja 1'!$K:$K, $A224,
  '[1]Hoja 1'!$R:$R, "&gt;="&amp;INT($Y$1),
  '[1]Hoja 1'!$R:$R, "&lt;="&amp;INT($Z$1)
)</f>
        <v>0</v>
      </c>
      <c r="X224" s="1">
        <f t="shared" si="103"/>
        <v>0</v>
      </c>
      <c r="Y224" s="9">
        <f t="shared" si="104"/>
        <v>-0.69296464556281656</v>
      </c>
      <c r="Z224" s="10">
        <f t="shared" si="105"/>
        <v>0.69296464556281656</v>
      </c>
      <c r="AA224" s="1">
        <f>SUMIFS(
  '[1]Hoja 1'!$M:$M,
  '[1]Hoja 1'!$K:$K, $A224,
  '[1]Hoja 1'!$R:$R, "&gt;="&amp;INT($AC$1),
  '[1]Hoja 1'!$R:$R, "&lt;="&amp;INT($AD$1)
)</f>
        <v>0</v>
      </c>
      <c r="AB224" s="1">
        <f t="shared" si="106"/>
        <v>0</v>
      </c>
      <c r="AC224" s="9">
        <f t="shared" si="107"/>
        <v>-0.61980642139300235</v>
      </c>
      <c r="AD224" s="10">
        <f t="shared" si="108"/>
        <v>0.61980642139300235</v>
      </c>
      <c r="AE224" s="1">
        <f>SUMIFS(
  '[1]Hoja 1'!$M:$M,
  '[1]Hoja 1'!$K:$K, $A224,
  '[1]Hoja 1'!$R:$R, "&gt;="&amp;INT($AG$1),
  '[1]Hoja 1'!$R:$R, "&lt;="&amp;INT($AH$1)
)</f>
        <v>0</v>
      </c>
      <c r="AF224" s="1">
        <f t="shared" si="109"/>
        <v>0</v>
      </c>
      <c r="AG224" s="9">
        <f t="shared" si="110"/>
        <v>-0.56580326380583323</v>
      </c>
      <c r="AH224" s="10">
        <f t="shared" si="111"/>
        <v>0.56580326380583323</v>
      </c>
      <c r="AI224" s="1">
        <f>SUMIFS(
  '[1]Hoja 1'!$M:$M,
  '[1]Hoja 1'!$K:$K, $A224,
  '[1]Hoja 1'!$R:$R, "&gt;="&amp;INT($AK$1),
  '[1]Hoja 1'!$R:$R, "&lt;="&amp;INT($AL$1)
)</f>
        <v>0</v>
      </c>
      <c r="AJ224" s="1">
        <f t="shared" si="112"/>
        <v>0</v>
      </c>
      <c r="AK224" s="9">
        <f t="shared" si="113"/>
        <v>-0.52383203414835178</v>
      </c>
      <c r="AL224" s="10">
        <f t="shared" si="114"/>
        <v>0.52383203414835178</v>
      </c>
      <c r="AM224" s="1">
        <f>SUMIFS(
  '[1]Hoja 1'!$M:$M,
  '[1]Hoja 1'!$K:$K, $A224,
  '[1]Hoja 1'!$R:$R, "&gt;="&amp;INT($AO$1),
  '[1]Hoja 1'!$R:$R, "&lt;="&amp;INT($AP$1)
)</f>
        <v>0</v>
      </c>
      <c r="AN224" s="1">
        <f t="shared" si="115"/>
        <v>0</v>
      </c>
      <c r="AO224" s="9">
        <f t="shared" si="116"/>
        <v>-0.49</v>
      </c>
      <c r="AP224" s="10">
        <f t="shared" si="117"/>
        <v>0.49</v>
      </c>
      <c r="AQ224" s="1">
        <f>SUMIFS(
  '[1]Hoja 1'!$M:$M,
  '[1]Hoja 1'!$K:$K, $A224,
  '[1]Hoja 1'!$R:$R, "&gt;="&amp;INT($AS$1),
  '[1]Hoja 1'!$R:$R, "&lt;="&amp;INT($AT$1)
)</f>
        <v>0</v>
      </c>
      <c r="AR224" s="1">
        <f t="shared" si="118"/>
        <v>0</v>
      </c>
      <c r="AS224" s="9">
        <f t="shared" si="119"/>
        <v>-0.46197643037521102</v>
      </c>
      <c r="AT224" s="10">
        <f t="shared" si="120"/>
        <v>0.46197643037521102</v>
      </c>
      <c r="AU224" s="1">
        <f>SUMIFS(
  '[1]Hoja 1'!$M:$M,
  '[1]Hoja 1'!$K:$K, $A224,
  '[1]Hoja 1'!$R:$R, "&gt;="&amp;INT($AW$1),
  '[1]Hoja 1'!$R:$R, "&lt;="&amp;INT($AX$1)
)</f>
        <v>0</v>
      </c>
      <c r="AV224" s="1">
        <f t="shared" si="121"/>
        <v>0</v>
      </c>
      <c r="AW224" s="9">
        <f t="shared" si="122"/>
        <v>-0.43826932358995874</v>
      </c>
      <c r="AX224" s="10">
        <f t="shared" si="123"/>
        <v>0.43826932358995874</v>
      </c>
    </row>
    <row r="225" spans="1:50" x14ac:dyDescent="0.25">
      <c r="A225" s="5">
        <v>312001</v>
      </c>
      <c r="B225" s="6" t="s">
        <v>222</v>
      </c>
      <c r="C225" s="1">
        <f>SUMIFS(
  '[1]Hoja 1'!$M:$M,
  '[1]Hoja 1'!$K:$K, $A225,
  '[1]Hoja 1'!$R:$R, "&gt;="&amp;INT($E$1),
  '[1]Hoja 1'!$R:$R, "&lt;"&amp;INT($F$1+1)
)</f>
        <v>0</v>
      </c>
      <c r="D225" s="1" t="str">
        <f>""</f>
        <v/>
      </c>
      <c r="F225" s="2"/>
      <c r="G225" s="1">
        <f>SUMIFS(
  '[1]Hoja 1'!$M:$M,
  '[1]Hoja 1'!$K:$K, $A225,
  '[1]Hoja 1'!$R:$R, "&gt;="&amp;INT($I$1),
  '[1]Hoja 1'!$R:$R, "&lt;"&amp;INT($J$1+1)
)</f>
        <v>0</v>
      </c>
      <c r="H225" s="1">
        <f t="shared" si="93"/>
        <v>0</v>
      </c>
      <c r="I225" s="1"/>
      <c r="J225" s="2"/>
      <c r="K225" s="1">
        <f>SUMIFS(
  '[1]Hoja 1'!$M:$M,
  '[1]Hoja 1'!$K:$K, $A225,
  '[1]Hoja 1'!$R:$R, "&gt;="&amp;INT($M$1),
  '[1]Hoja 1'!$R:$R, "&lt;"&amp;INT($N$1+1)
)</f>
        <v>0</v>
      </c>
      <c r="L225" s="1">
        <f t="shared" si="94"/>
        <v>0</v>
      </c>
      <c r="M225" s="9">
        <f t="shared" si="95"/>
        <v>0</v>
      </c>
      <c r="N225" s="10">
        <f t="shared" si="96"/>
        <v>0</v>
      </c>
      <c r="O225" s="1">
        <f>SUMIFS(
  '[1]Hoja 1'!$M:$M,
  '[1]Hoja 1'!$K:$K, $A225,
  '[1]Hoja 1'!$R:$R, "&gt;="&amp;INT($Q$1),
  '[1]Hoja 1'!$R:$R, "&lt;="&amp;INT($R$1)
)</f>
        <v>0</v>
      </c>
      <c r="P225" s="1">
        <f t="shared" si="97"/>
        <v>0</v>
      </c>
      <c r="Q225" s="9">
        <f t="shared" si="98"/>
        <v>0</v>
      </c>
      <c r="R225" s="10">
        <f t="shared" si="99"/>
        <v>0</v>
      </c>
      <c r="S225" s="1">
        <f>SUMIFS(
  '[1]Hoja 1'!$M:$M,
  '[1]Hoja 1'!$K:$K, $A225,
  '[1]Hoja 1'!$R:$R, "&gt;="&amp;INT($U$1),
  '[1]Hoja 1'!$R:$R, "&lt;="&amp;INT($V$1)
)</f>
        <v>0</v>
      </c>
      <c r="T225" s="1">
        <f t="shared" si="100"/>
        <v>0</v>
      </c>
      <c r="U225" s="9">
        <f t="shared" si="101"/>
        <v>-1.47</v>
      </c>
      <c r="V225" s="10">
        <f t="shared" si="102"/>
        <v>1.47</v>
      </c>
      <c r="W225" s="1">
        <f>SUMIFS(
  '[1]Hoja 1'!$M:$M,
  '[1]Hoja 1'!$K:$K, $A225,
  '[1]Hoja 1'!$R:$R, "&gt;="&amp;INT($Y$1),
  '[1]Hoja 1'!$R:$R, "&lt;="&amp;INT($Z$1)
)</f>
        <v>0</v>
      </c>
      <c r="X225" s="1">
        <f t="shared" si="103"/>
        <v>0</v>
      </c>
      <c r="Y225" s="9">
        <f t="shared" si="104"/>
        <v>0</v>
      </c>
      <c r="Z225" s="10">
        <f t="shared" si="105"/>
        <v>0</v>
      </c>
      <c r="AA225" s="1">
        <f>SUMIFS(
  '[1]Hoja 1'!$M:$M,
  '[1]Hoja 1'!$K:$K, $A225,
  '[1]Hoja 1'!$R:$R, "&gt;="&amp;INT($AC$1),
  '[1]Hoja 1'!$R:$R, "&lt;="&amp;INT($AD$1)
)</f>
        <v>0</v>
      </c>
      <c r="AB225" s="1">
        <f t="shared" si="106"/>
        <v>0</v>
      </c>
      <c r="AC225" s="9">
        <f t="shared" si="107"/>
        <v>0</v>
      </c>
      <c r="AD225" s="10">
        <f t="shared" si="108"/>
        <v>0</v>
      </c>
      <c r="AE225" s="1">
        <f>SUMIFS(
  '[1]Hoja 1'!$M:$M,
  '[1]Hoja 1'!$K:$K, $A225,
  '[1]Hoja 1'!$R:$R, "&gt;="&amp;INT($AG$1),
  '[1]Hoja 1'!$R:$R, "&lt;="&amp;INT($AH$1)
)</f>
        <v>0</v>
      </c>
      <c r="AF225" s="1">
        <f t="shared" si="109"/>
        <v>0</v>
      </c>
      <c r="AG225" s="9">
        <f t="shared" si="110"/>
        <v>0</v>
      </c>
      <c r="AH225" s="10">
        <f t="shared" si="111"/>
        <v>0</v>
      </c>
      <c r="AI225" s="1">
        <f>SUMIFS(
  '[1]Hoja 1'!$M:$M,
  '[1]Hoja 1'!$K:$K, $A225,
  '[1]Hoja 1'!$R:$R, "&gt;="&amp;INT($AK$1),
  '[1]Hoja 1'!$R:$R, "&lt;="&amp;INT($AL$1)
)</f>
        <v>0</v>
      </c>
      <c r="AJ225" s="1">
        <f t="shared" si="112"/>
        <v>0</v>
      </c>
      <c r="AK225" s="9">
        <f t="shared" si="113"/>
        <v>0</v>
      </c>
      <c r="AL225" s="10">
        <f t="shared" si="114"/>
        <v>0</v>
      </c>
      <c r="AM225" s="1">
        <f>SUMIFS(
  '[1]Hoja 1'!$M:$M,
  '[1]Hoja 1'!$K:$K, $A225,
  '[1]Hoja 1'!$R:$R, "&gt;="&amp;INT($AO$1),
  '[1]Hoja 1'!$R:$R, "&lt;="&amp;INT($AP$1)
)</f>
        <v>0</v>
      </c>
      <c r="AN225" s="1">
        <f t="shared" si="115"/>
        <v>0</v>
      </c>
      <c r="AO225" s="9">
        <f t="shared" si="116"/>
        <v>0</v>
      </c>
      <c r="AP225" s="10">
        <f t="shared" si="117"/>
        <v>0</v>
      </c>
      <c r="AQ225" s="1">
        <f>SUMIFS(
  '[1]Hoja 1'!$M:$M,
  '[1]Hoja 1'!$K:$K, $A225,
  '[1]Hoja 1'!$R:$R, "&gt;="&amp;INT($AS$1),
  '[1]Hoja 1'!$R:$R, "&lt;="&amp;INT($AT$1)
)</f>
        <v>0</v>
      </c>
      <c r="AR225" s="1">
        <f t="shared" si="118"/>
        <v>0</v>
      </c>
      <c r="AS225" s="9">
        <f t="shared" si="119"/>
        <v>0</v>
      </c>
      <c r="AT225" s="10">
        <f t="shared" si="120"/>
        <v>0</v>
      </c>
      <c r="AU225" s="1">
        <f>SUMIFS(
  '[1]Hoja 1'!$M:$M,
  '[1]Hoja 1'!$K:$K, $A225,
  '[1]Hoja 1'!$R:$R, "&gt;="&amp;INT($AW$1),
  '[1]Hoja 1'!$R:$R, "&lt;="&amp;INT($AX$1)
)</f>
        <v>0</v>
      </c>
      <c r="AV225" s="1">
        <f t="shared" si="121"/>
        <v>0</v>
      </c>
      <c r="AW225" s="9">
        <f t="shared" si="122"/>
        <v>0</v>
      </c>
      <c r="AX225" s="10">
        <f t="shared" si="123"/>
        <v>0</v>
      </c>
    </row>
    <row r="226" spans="1:50" x14ac:dyDescent="0.25">
      <c r="A226" s="5">
        <v>313001</v>
      </c>
      <c r="B226" s="6" t="s">
        <v>223</v>
      </c>
      <c r="C226" s="1">
        <f>SUMIFS(
  '[1]Hoja 1'!$M:$M,
  '[1]Hoja 1'!$K:$K, $A226,
  '[1]Hoja 1'!$R:$R, "&gt;="&amp;INT($E$1),
  '[1]Hoja 1'!$R:$R, "&lt;"&amp;INT($F$1+1)
)</f>
        <v>0</v>
      </c>
      <c r="D226" s="1" t="str">
        <f>""</f>
        <v/>
      </c>
      <c r="F226" s="2"/>
      <c r="G226" s="1">
        <f>SUMIFS(
  '[1]Hoja 1'!$M:$M,
  '[1]Hoja 1'!$K:$K, $A226,
  '[1]Hoja 1'!$R:$R, "&gt;="&amp;INT($I$1),
  '[1]Hoja 1'!$R:$R, "&lt;"&amp;INT($J$1+1)
)</f>
        <v>0</v>
      </c>
      <c r="H226" s="1">
        <f t="shared" si="93"/>
        <v>0</v>
      </c>
      <c r="I226" s="1"/>
      <c r="J226" s="2"/>
      <c r="K226" s="1">
        <f>SUMIFS(
  '[1]Hoja 1'!$M:$M,
  '[1]Hoja 1'!$K:$K, $A226,
  '[1]Hoja 1'!$R:$R, "&gt;="&amp;INT($M$1),
  '[1]Hoja 1'!$R:$R, "&lt;"&amp;INT($N$1+1)
)</f>
        <v>0</v>
      </c>
      <c r="L226" s="1">
        <f t="shared" si="94"/>
        <v>0</v>
      </c>
      <c r="M226" s="9">
        <f t="shared" si="95"/>
        <v>0</v>
      </c>
      <c r="N226" s="10">
        <f t="shared" si="96"/>
        <v>0</v>
      </c>
      <c r="O226" s="1">
        <f>SUMIFS(
  '[1]Hoja 1'!$M:$M,
  '[1]Hoja 1'!$K:$K, $A226,
  '[1]Hoja 1'!$R:$R, "&gt;="&amp;INT($Q$1),
  '[1]Hoja 1'!$R:$R, "&lt;="&amp;INT($R$1)
)</f>
        <v>0</v>
      </c>
      <c r="P226" s="1">
        <f t="shared" si="97"/>
        <v>0</v>
      </c>
      <c r="Q226" s="9">
        <f t="shared" si="98"/>
        <v>0</v>
      </c>
      <c r="R226" s="10">
        <f t="shared" si="99"/>
        <v>0</v>
      </c>
      <c r="S226" s="1">
        <f>SUMIFS(
  '[1]Hoja 1'!$M:$M,
  '[1]Hoja 1'!$K:$K, $A226,
  '[1]Hoja 1'!$R:$R, "&gt;="&amp;INT($U$1),
  '[1]Hoja 1'!$R:$R, "&lt;="&amp;INT($V$1)
)</f>
        <v>0</v>
      </c>
      <c r="T226" s="1">
        <f t="shared" si="100"/>
        <v>0</v>
      </c>
      <c r="U226" s="9">
        <f t="shared" si="101"/>
        <v>-1.47</v>
      </c>
      <c r="V226" s="10">
        <f t="shared" si="102"/>
        <v>1.47</v>
      </c>
      <c r="W226" s="1">
        <f>SUMIFS(
  '[1]Hoja 1'!$M:$M,
  '[1]Hoja 1'!$K:$K, $A226,
  '[1]Hoja 1'!$R:$R, "&gt;="&amp;INT($Y$1),
  '[1]Hoja 1'!$R:$R, "&lt;="&amp;INT($Z$1)
)</f>
        <v>0</v>
      </c>
      <c r="X226" s="1">
        <f t="shared" si="103"/>
        <v>0</v>
      </c>
      <c r="Y226" s="9">
        <f t="shared" si="104"/>
        <v>0</v>
      </c>
      <c r="Z226" s="10">
        <f t="shared" si="105"/>
        <v>0</v>
      </c>
      <c r="AA226" s="1">
        <f>SUMIFS(
  '[1]Hoja 1'!$M:$M,
  '[1]Hoja 1'!$K:$K, $A226,
  '[1]Hoja 1'!$R:$R, "&gt;="&amp;INT($AC$1),
  '[1]Hoja 1'!$R:$R, "&lt;="&amp;INT($AD$1)
)</f>
        <v>0</v>
      </c>
      <c r="AB226" s="1">
        <f t="shared" si="106"/>
        <v>0</v>
      </c>
      <c r="AC226" s="9">
        <f t="shared" si="107"/>
        <v>0</v>
      </c>
      <c r="AD226" s="10">
        <f t="shared" si="108"/>
        <v>0</v>
      </c>
      <c r="AE226" s="1">
        <f>SUMIFS(
  '[1]Hoja 1'!$M:$M,
  '[1]Hoja 1'!$K:$K, $A226,
  '[1]Hoja 1'!$R:$R, "&gt;="&amp;INT($AG$1),
  '[1]Hoja 1'!$R:$R, "&lt;="&amp;INT($AH$1)
)</f>
        <v>0</v>
      </c>
      <c r="AF226" s="1">
        <f t="shared" si="109"/>
        <v>0</v>
      </c>
      <c r="AG226" s="9">
        <f t="shared" si="110"/>
        <v>0</v>
      </c>
      <c r="AH226" s="10">
        <f t="shared" si="111"/>
        <v>0</v>
      </c>
      <c r="AI226" s="1">
        <f>SUMIFS(
  '[1]Hoja 1'!$M:$M,
  '[1]Hoja 1'!$K:$K, $A226,
  '[1]Hoja 1'!$R:$R, "&gt;="&amp;INT($AK$1),
  '[1]Hoja 1'!$R:$R, "&lt;="&amp;INT($AL$1)
)</f>
        <v>0</v>
      </c>
      <c r="AJ226" s="1">
        <f t="shared" si="112"/>
        <v>0</v>
      </c>
      <c r="AK226" s="9">
        <f t="shared" si="113"/>
        <v>0</v>
      </c>
      <c r="AL226" s="10">
        <f t="shared" si="114"/>
        <v>0</v>
      </c>
      <c r="AM226" s="1">
        <f>SUMIFS(
  '[1]Hoja 1'!$M:$M,
  '[1]Hoja 1'!$K:$K, $A226,
  '[1]Hoja 1'!$R:$R, "&gt;="&amp;INT($AO$1),
  '[1]Hoja 1'!$R:$R, "&lt;="&amp;INT($AP$1)
)</f>
        <v>0</v>
      </c>
      <c r="AN226" s="1">
        <f t="shared" si="115"/>
        <v>0</v>
      </c>
      <c r="AO226" s="9">
        <f t="shared" si="116"/>
        <v>0</v>
      </c>
      <c r="AP226" s="10">
        <f t="shared" si="117"/>
        <v>0</v>
      </c>
      <c r="AQ226" s="1">
        <f>SUMIFS(
  '[1]Hoja 1'!$M:$M,
  '[1]Hoja 1'!$K:$K, $A226,
  '[1]Hoja 1'!$R:$R, "&gt;="&amp;INT($AS$1),
  '[1]Hoja 1'!$R:$R, "&lt;="&amp;INT($AT$1)
)</f>
        <v>0</v>
      </c>
      <c r="AR226" s="1">
        <f t="shared" si="118"/>
        <v>0</v>
      </c>
      <c r="AS226" s="9">
        <f t="shared" si="119"/>
        <v>0</v>
      </c>
      <c r="AT226" s="10">
        <f t="shared" si="120"/>
        <v>0</v>
      </c>
      <c r="AU226" s="1">
        <f>SUMIFS(
  '[1]Hoja 1'!$M:$M,
  '[1]Hoja 1'!$K:$K, $A226,
  '[1]Hoja 1'!$R:$R, "&gt;="&amp;INT($AW$1),
  '[1]Hoja 1'!$R:$R, "&lt;="&amp;INT($AX$1)
)</f>
        <v>0</v>
      </c>
      <c r="AV226" s="1">
        <f t="shared" si="121"/>
        <v>0</v>
      </c>
      <c r="AW226" s="9">
        <f t="shared" si="122"/>
        <v>0</v>
      </c>
      <c r="AX226" s="10">
        <f t="shared" si="123"/>
        <v>0</v>
      </c>
    </row>
    <row r="227" spans="1:50" x14ac:dyDescent="0.25">
      <c r="A227" s="5">
        <v>323001</v>
      </c>
      <c r="B227" s="6" t="s">
        <v>224</v>
      </c>
      <c r="C227" s="1">
        <f>SUMIFS(
  '[1]Hoja 1'!$M:$M,
  '[1]Hoja 1'!$K:$K, $A227,
  '[1]Hoja 1'!$R:$R, "&gt;="&amp;INT($E$1),
  '[1]Hoja 1'!$R:$R, "&lt;"&amp;INT($F$1+1)
)</f>
        <v>0</v>
      </c>
      <c r="D227" s="1" t="str">
        <f>""</f>
        <v/>
      </c>
      <c r="F227" s="2"/>
      <c r="G227" s="1">
        <f>SUMIFS(
  '[1]Hoja 1'!$M:$M,
  '[1]Hoja 1'!$K:$K, $A227,
  '[1]Hoja 1'!$R:$R, "&gt;="&amp;INT($I$1),
  '[1]Hoja 1'!$R:$R, "&lt;"&amp;INT($J$1+1)
)</f>
        <v>0</v>
      </c>
      <c r="H227" s="1">
        <f t="shared" si="93"/>
        <v>0</v>
      </c>
      <c r="I227" s="1"/>
      <c r="J227" s="2"/>
      <c r="K227" s="1">
        <f>SUMIFS(
  '[1]Hoja 1'!$M:$M,
  '[1]Hoja 1'!$K:$K, $A227,
  '[1]Hoja 1'!$R:$R, "&gt;="&amp;INT($M$1),
  '[1]Hoja 1'!$R:$R, "&lt;"&amp;INT($N$1+1)
)</f>
        <v>0</v>
      </c>
      <c r="L227" s="1">
        <f t="shared" si="94"/>
        <v>0</v>
      </c>
      <c r="M227" s="9">
        <f t="shared" si="95"/>
        <v>0</v>
      </c>
      <c r="N227" s="10">
        <f t="shared" si="96"/>
        <v>0</v>
      </c>
      <c r="O227" s="1">
        <f>SUMIFS(
  '[1]Hoja 1'!$M:$M,
  '[1]Hoja 1'!$K:$K, $A227,
  '[1]Hoja 1'!$R:$R, "&gt;="&amp;INT($Q$1),
  '[1]Hoja 1'!$R:$R, "&lt;="&amp;INT($R$1)
)</f>
        <v>0</v>
      </c>
      <c r="P227" s="1">
        <f t="shared" si="97"/>
        <v>0</v>
      </c>
      <c r="Q227" s="9">
        <f t="shared" si="98"/>
        <v>0</v>
      </c>
      <c r="R227" s="10">
        <f t="shared" si="99"/>
        <v>0</v>
      </c>
      <c r="S227" s="1">
        <f>SUMIFS(
  '[1]Hoja 1'!$M:$M,
  '[1]Hoja 1'!$K:$K, $A227,
  '[1]Hoja 1'!$R:$R, "&gt;="&amp;INT($U$1),
  '[1]Hoja 1'!$R:$R, "&lt;="&amp;INT($V$1)
)</f>
        <v>0</v>
      </c>
      <c r="T227" s="1">
        <f t="shared" si="100"/>
        <v>0</v>
      </c>
      <c r="U227" s="9">
        <f t="shared" si="101"/>
        <v>-1.47</v>
      </c>
      <c r="V227" s="10">
        <f t="shared" si="102"/>
        <v>1.47</v>
      </c>
      <c r="W227" s="1">
        <f>SUMIFS(
  '[1]Hoja 1'!$M:$M,
  '[1]Hoja 1'!$K:$K, $A227,
  '[1]Hoja 1'!$R:$R, "&gt;="&amp;INT($Y$1),
  '[1]Hoja 1'!$R:$R, "&lt;="&amp;INT($Z$1)
)</f>
        <v>0</v>
      </c>
      <c r="X227" s="1">
        <f t="shared" si="103"/>
        <v>0</v>
      </c>
      <c r="Y227" s="9">
        <f t="shared" si="104"/>
        <v>0</v>
      </c>
      <c r="Z227" s="10">
        <f t="shared" si="105"/>
        <v>0</v>
      </c>
      <c r="AA227" s="1">
        <f>SUMIFS(
  '[1]Hoja 1'!$M:$M,
  '[1]Hoja 1'!$K:$K, $A227,
  '[1]Hoja 1'!$R:$R, "&gt;="&amp;INT($AC$1),
  '[1]Hoja 1'!$R:$R, "&lt;="&amp;INT($AD$1)
)</f>
        <v>0</v>
      </c>
      <c r="AB227" s="1">
        <f t="shared" si="106"/>
        <v>0</v>
      </c>
      <c r="AC227" s="9">
        <f t="shared" si="107"/>
        <v>0</v>
      </c>
      <c r="AD227" s="10">
        <f t="shared" si="108"/>
        <v>0</v>
      </c>
      <c r="AE227" s="1">
        <f>SUMIFS(
  '[1]Hoja 1'!$M:$M,
  '[1]Hoja 1'!$K:$K, $A227,
  '[1]Hoja 1'!$R:$R, "&gt;="&amp;INT($AG$1),
  '[1]Hoja 1'!$R:$R, "&lt;="&amp;INT($AH$1)
)</f>
        <v>0</v>
      </c>
      <c r="AF227" s="1">
        <f t="shared" si="109"/>
        <v>0</v>
      </c>
      <c r="AG227" s="9">
        <f t="shared" si="110"/>
        <v>0</v>
      </c>
      <c r="AH227" s="10">
        <f t="shared" si="111"/>
        <v>0</v>
      </c>
      <c r="AI227" s="1">
        <f>SUMIFS(
  '[1]Hoja 1'!$M:$M,
  '[1]Hoja 1'!$K:$K, $A227,
  '[1]Hoja 1'!$R:$R, "&gt;="&amp;INT($AK$1),
  '[1]Hoja 1'!$R:$R, "&lt;="&amp;INT($AL$1)
)</f>
        <v>0</v>
      </c>
      <c r="AJ227" s="1">
        <f t="shared" si="112"/>
        <v>0</v>
      </c>
      <c r="AK227" s="9">
        <f t="shared" si="113"/>
        <v>0</v>
      </c>
      <c r="AL227" s="10">
        <f t="shared" si="114"/>
        <v>0</v>
      </c>
      <c r="AM227" s="1">
        <f>SUMIFS(
  '[1]Hoja 1'!$M:$M,
  '[1]Hoja 1'!$K:$K, $A227,
  '[1]Hoja 1'!$R:$R, "&gt;="&amp;INT($AO$1),
  '[1]Hoja 1'!$R:$R, "&lt;="&amp;INT($AP$1)
)</f>
        <v>5</v>
      </c>
      <c r="AN227" s="1">
        <f t="shared" si="115"/>
        <v>3</v>
      </c>
      <c r="AO227" s="9">
        <f t="shared" si="116"/>
        <v>2.02</v>
      </c>
      <c r="AP227" s="10">
        <f t="shared" si="117"/>
        <v>3.98</v>
      </c>
      <c r="AQ227" s="1">
        <f>SUMIFS(
  '[1]Hoja 1'!$M:$M,
  '[1]Hoja 1'!$K:$K, $A227,
  '[1]Hoja 1'!$R:$R, "&gt;="&amp;INT($AS$1),
  '[1]Hoja 1'!$R:$R, "&lt;="&amp;INT($AT$1)
)</f>
        <v>0</v>
      </c>
      <c r="AR227" s="1">
        <f t="shared" si="118"/>
        <v>3</v>
      </c>
      <c r="AS227" s="9">
        <f t="shared" si="119"/>
        <v>2.0702903679104967</v>
      </c>
      <c r="AT227" s="10">
        <f t="shared" si="120"/>
        <v>3.9297096320895033</v>
      </c>
      <c r="AU227" s="1">
        <f>SUMIFS(
  '[1]Hoja 1'!$M:$M,
  '[1]Hoja 1'!$K:$K, $A227,
  '[1]Hoja 1'!$R:$R, "&gt;="&amp;INT($AW$1),
  '[1]Hoja 1'!$R:$R, "&lt;="&amp;INT($AX$1)
)</f>
        <v>0</v>
      </c>
      <c r="AV227" s="1">
        <f t="shared" si="121"/>
        <v>0</v>
      </c>
      <c r="AW227" s="9">
        <f t="shared" si="122"/>
        <v>-1.3148079707698763</v>
      </c>
      <c r="AX227" s="10">
        <f t="shared" si="123"/>
        <v>1.3148079707698763</v>
      </c>
    </row>
    <row r="228" spans="1:50" x14ac:dyDescent="0.25">
      <c r="A228" s="5">
        <v>328001</v>
      </c>
      <c r="B228" s="6" t="s">
        <v>225</v>
      </c>
      <c r="C228" s="1">
        <f>SUMIFS(
  '[1]Hoja 1'!$M:$M,
  '[1]Hoja 1'!$K:$K, $A228,
  '[1]Hoja 1'!$R:$R, "&gt;="&amp;INT($E$1),
  '[1]Hoja 1'!$R:$R, "&lt;"&amp;INT($F$1+1)
)</f>
        <v>0</v>
      </c>
      <c r="D228" s="1" t="str">
        <f>""</f>
        <v/>
      </c>
      <c r="F228" s="2"/>
      <c r="G228" s="1">
        <f>SUMIFS(
  '[1]Hoja 1'!$M:$M,
  '[1]Hoja 1'!$K:$K, $A228,
  '[1]Hoja 1'!$R:$R, "&gt;="&amp;INT($I$1),
  '[1]Hoja 1'!$R:$R, "&lt;"&amp;INT($J$1+1)
)</f>
        <v>0</v>
      </c>
      <c r="H228" s="1">
        <f t="shared" si="93"/>
        <v>0</v>
      </c>
      <c r="I228" s="1"/>
      <c r="J228" s="2"/>
      <c r="K228" s="1">
        <f>SUMIFS(
  '[1]Hoja 1'!$M:$M,
  '[1]Hoja 1'!$K:$K, $A228,
  '[1]Hoja 1'!$R:$R, "&gt;="&amp;INT($M$1),
  '[1]Hoja 1'!$R:$R, "&lt;"&amp;INT($N$1+1)
)</f>
        <v>0</v>
      </c>
      <c r="L228" s="1">
        <f t="shared" si="94"/>
        <v>0</v>
      </c>
      <c r="M228" s="9">
        <f t="shared" si="95"/>
        <v>0</v>
      </c>
      <c r="N228" s="10">
        <f t="shared" si="96"/>
        <v>0</v>
      </c>
      <c r="O228" s="1">
        <f>SUMIFS(
  '[1]Hoja 1'!$M:$M,
  '[1]Hoja 1'!$K:$K, $A228,
  '[1]Hoja 1'!$R:$R, "&gt;="&amp;INT($Q$1),
  '[1]Hoja 1'!$R:$R, "&lt;="&amp;INT($R$1)
)</f>
        <v>0</v>
      </c>
      <c r="P228" s="1">
        <f t="shared" si="97"/>
        <v>0</v>
      </c>
      <c r="Q228" s="9">
        <f t="shared" si="98"/>
        <v>0</v>
      </c>
      <c r="R228" s="10">
        <f t="shared" si="99"/>
        <v>0</v>
      </c>
      <c r="S228" s="1">
        <f>SUMIFS(
  '[1]Hoja 1'!$M:$M,
  '[1]Hoja 1'!$K:$K, $A228,
  '[1]Hoja 1'!$R:$R, "&gt;="&amp;INT($U$1),
  '[1]Hoja 1'!$R:$R, "&lt;="&amp;INT($V$1)
)</f>
        <v>0</v>
      </c>
      <c r="T228" s="1">
        <f t="shared" si="100"/>
        <v>0</v>
      </c>
      <c r="U228" s="9">
        <f t="shared" si="101"/>
        <v>-1.47</v>
      </c>
      <c r="V228" s="10">
        <f t="shared" si="102"/>
        <v>1.47</v>
      </c>
      <c r="W228" s="1">
        <f>SUMIFS(
  '[1]Hoja 1'!$M:$M,
  '[1]Hoja 1'!$K:$K, $A228,
  '[1]Hoja 1'!$R:$R, "&gt;="&amp;INT($Y$1),
  '[1]Hoja 1'!$R:$R, "&lt;="&amp;INT($Z$1)
)</f>
        <v>0</v>
      </c>
      <c r="X228" s="1">
        <f t="shared" si="103"/>
        <v>0</v>
      </c>
      <c r="Y228" s="9">
        <f t="shared" si="104"/>
        <v>0</v>
      </c>
      <c r="Z228" s="10">
        <f t="shared" si="105"/>
        <v>0</v>
      </c>
      <c r="AA228" s="1">
        <f>SUMIFS(
  '[1]Hoja 1'!$M:$M,
  '[1]Hoja 1'!$K:$K, $A228,
  '[1]Hoja 1'!$R:$R, "&gt;="&amp;INT($AC$1),
  '[1]Hoja 1'!$R:$R, "&lt;="&amp;INT($AD$1)
)</f>
        <v>0</v>
      </c>
      <c r="AB228" s="1">
        <f t="shared" si="106"/>
        <v>0</v>
      </c>
      <c r="AC228" s="9">
        <f t="shared" si="107"/>
        <v>0</v>
      </c>
      <c r="AD228" s="10">
        <f t="shared" si="108"/>
        <v>0</v>
      </c>
      <c r="AE228" s="1">
        <f>SUMIFS(
  '[1]Hoja 1'!$M:$M,
  '[1]Hoja 1'!$K:$K, $A228,
  '[1]Hoja 1'!$R:$R, "&gt;="&amp;INT($AG$1),
  '[1]Hoja 1'!$R:$R, "&lt;="&amp;INT($AH$1)
)</f>
        <v>0</v>
      </c>
      <c r="AF228" s="1">
        <f t="shared" si="109"/>
        <v>0</v>
      </c>
      <c r="AG228" s="9">
        <f t="shared" si="110"/>
        <v>0</v>
      </c>
      <c r="AH228" s="10">
        <f t="shared" si="111"/>
        <v>0</v>
      </c>
      <c r="AI228" s="1">
        <f>SUMIFS(
  '[1]Hoja 1'!$M:$M,
  '[1]Hoja 1'!$K:$K, $A228,
  '[1]Hoja 1'!$R:$R, "&gt;="&amp;INT($AK$1),
  '[1]Hoja 1'!$R:$R, "&lt;="&amp;INT($AL$1)
)</f>
        <v>0</v>
      </c>
      <c r="AJ228" s="1">
        <f t="shared" si="112"/>
        <v>0</v>
      </c>
      <c r="AK228" s="9">
        <f t="shared" si="113"/>
        <v>0</v>
      </c>
      <c r="AL228" s="10">
        <f t="shared" si="114"/>
        <v>0</v>
      </c>
      <c r="AM228" s="1">
        <f>SUMIFS(
  '[1]Hoja 1'!$M:$M,
  '[1]Hoja 1'!$K:$K, $A228,
  '[1]Hoja 1'!$R:$R, "&gt;="&amp;INT($AO$1),
  '[1]Hoja 1'!$R:$R, "&lt;="&amp;INT($AP$1)
)</f>
        <v>0</v>
      </c>
      <c r="AN228" s="1">
        <f t="shared" si="115"/>
        <v>0</v>
      </c>
      <c r="AO228" s="9">
        <f t="shared" si="116"/>
        <v>0</v>
      </c>
      <c r="AP228" s="10">
        <f t="shared" si="117"/>
        <v>0</v>
      </c>
      <c r="AQ228" s="1">
        <f>SUMIFS(
  '[1]Hoja 1'!$M:$M,
  '[1]Hoja 1'!$K:$K, $A228,
  '[1]Hoja 1'!$R:$R, "&gt;="&amp;INT($AS$1),
  '[1]Hoja 1'!$R:$R, "&lt;="&amp;INT($AT$1)
)</f>
        <v>0</v>
      </c>
      <c r="AR228" s="1">
        <f t="shared" si="118"/>
        <v>0</v>
      </c>
      <c r="AS228" s="9">
        <f t="shared" si="119"/>
        <v>0</v>
      </c>
      <c r="AT228" s="10">
        <f t="shared" si="120"/>
        <v>0</v>
      </c>
      <c r="AU228" s="1">
        <f>SUMIFS(
  '[1]Hoja 1'!$M:$M,
  '[1]Hoja 1'!$K:$K, $A228,
  '[1]Hoja 1'!$R:$R, "&gt;="&amp;INT($AW$1),
  '[1]Hoja 1'!$R:$R, "&lt;="&amp;INT($AX$1)
)</f>
        <v>0</v>
      </c>
      <c r="AV228" s="1">
        <f t="shared" si="121"/>
        <v>0</v>
      </c>
      <c r="AW228" s="9">
        <f t="shared" si="122"/>
        <v>0</v>
      </c>
      <c r="AX228" s="10">
        <f t="shared" si="123"/>
        <v>0</v>
      </c>
    </row>
    <row r="229" spans="1:50" x14ac:dyDescent="0.25">
      <c r="A229" s="5">
        <v>341001</v>
      </c>
      <c r="B229" s="6" t="s">
        <v>226</v>
      </c>
      <c r="C229" s="1">
        <f>SUMIFS(
  '[1]Hoja 1'!$M:$M,
  '[1]Hoja 1'!$K:$K, $A229,
  '[1]Hoja 1'!$R:$R, "&gt;="&amp;INT($E$1),
  '[1]Hoja 1'!$R:$R, "&lt;"&amp;INT($F$1+1)
)</f>
        <v>0</v>
      </c>
      <c r="D229" s="3" t="str">
        <f>""</f>
        <v/>
      </c>
      <c r="E229" s="8"/>
      <c r="F229" s="4"/>
      <c r="G229" s="1">
        <f>SUMIFS(
  '[1]Hoja 1'!$M:$M,
  '[1]Hoja 1'!$K:$K, $A229,
  '[1]Hoja 1'!$R:$R, "&gt;="&amp;INT($I$1),
  '[1]Hoja 1'!$R:$R, "&lt;"&amp;INT($J$1+1)
)</f>
        <v>0</v>
      </c>
      <c r="H229" s="1">
        <f t="shared" si="93"/>
        <v>0</v>
      </c>
      <c r="I229" s="3"/>
      <c r="J229" s="4"/>
      <c r="K229" s="1">
        <f>SUMIFS(
  '[1]Hoja 1'!$M:$M,
  '[1]Hoja 1'!$K:$K, $A229,
  '[1]Hoja 1'!$R:$R, "&gt;="&amp;INT($M$1),
  '[1]Hoja 1'!$R:$R, "&lt;"&amp;INT($N$1+1)
)</f>
        <v>0</v>
      </c>
      <c r="L229" s="1">
        <f t="shared" si="94"/>
        <v>0</v>
      </c>
      <c r="M229" s="9">
        <f t="shared" si="95"/>
        <v>0</v>
      </c>
      <c r="N229" s="10">
        <f t="shared" si="96"/>
        <v>0</v>
      </c>
      <c r="O229" s="1">
        <f>SUMIFS(
  '[1]Hoja 1'!$M:$M,
  '[1]Hoja 1'!$K:$K, $A229,
  '[1]Hoja 1'!$R:$R, "&gt;="&amp;INT($Q$1),
  '[1]Hoja 1'!$R:$R, "&lt;="&amp;INT($R$1)
)</f>
        <v>0</v>
      </c>
      <c r="P229" s="1">
        <f t="shared" si="97"/>
        <v>0</v>
      </c>
      <c r="Q229" s="9">
        <f t="shared" si="98"/>
        <v>0</v>
      </c>
      <c r="R229" s="10">
        <f t="shared" si="99"/>
        <v>0</v>
      </c>
      <c r="S229" s="1">
        <f>SUMIFS(
  '[1]Hoja 1'!$M:$M,
  '[1]Hoja 1'!$K:$K, $A229,
  '[1]Hoja 1'!$R:$R, "&gt;="&amp;INT($U$1),
  '[1]Hoja 1'!$R:$R, "&lt;="&amp;INT($V$1)
)</f>
        <v>0</v>
      </c>
      <c r="T229" s="1">
        <f t="shared" si="100"/>
        <v>0</v>
      </c>
      <c r="U229" s="9">
        <f t="shared" si="101"/>
        <v>-1.47</v>
      </c>
      <c r="V229" s="10">
        <f t="shared" si="102"/>
        <v>1.47</v>
      </c>
      <c r="W229" s="1">
        <f>SUMIFS(
  '[1]Hoja 1'!$M:$M,
  '[1]Hoja 1'!$K:$K, $A229,
  '[1]Hoja 1'!$R:$R, "&gt;="&amp;INT($Y$1),
  '[1]Hoja 1'!$R:$R, "&lt;="&amp;INT($Z$1)
)</f>
        <v>0</v>
      </c>
      <c r="X229" s="1">
        <f t="shared" si="103"/>
        <v>0</v>
      </c>
      <c r="Y229" s="9">
        <f t="shared" si="104"/>
        <v>0</v>
      </c>
      <c r="Z229" s="10">
        <f t="shared" si="105"/>
        <v>0</v>
      </c>
      <c r="AA229" s="1">
        <f>SUMIFS(
  '[1]Hoja 1'!$M:$M,
  '[1]Hoja 1'!$K:$K, $A229,
  '[1]Hoja 1'!$R:$R, "&gt;="&amp;INT($AC$1),
  '[1]Hoja 1'!$R:$R, "&lt;="&amp;INT($AD$1)
)</f>
        <v>0</v>
      </c>
      <c r="AB229" s="1">
        <f t="shared" si="106"/>
        <v>0</v>
      </c>
      <c r="AC229" s="9">
        <f t="shared" si="107"/>
        <v>0</v>
      </c>
      <c r="AD229" s="10">
        <f t="shared" si="108"/>
        <v>0</v>
      </c>
      <c r="AE229" s="1">
        <f>SUMIFS(
  '[1]Hoja 1'!$M:$M,
  '[1]Hoja 1'!$K:$K, $A229,
  '[1]Hoja 1'!$R:$R, "&gt;="&amp;INT($AG$1),
  '[1]Hoja 1'!$R:$R, "&lt;="&amp;INT($AH$1)
)</f>
        <v>0</v>
      </c>
      <c r="AF229" s="1">
        <f t="shared" si="109"/>
        <v>0</v>
      </c>
      <c r="AG229" s="9">
        <f t="shared" si="110"/>
        <v>0</v>
      </c>
      <c r="AH229" s="10">
        <f t="shared" si="111"/>
        <v>0</v>
      </c>
      <c r="AI229" s="1">
        <f>SUMIFS(
  '[1]Hoja 1'!$M:$M,
  '[1]Hoja 1'!$K:$K, $A229,
  '[1]Hoja 1'!$R:$R, "&gt;="&amp;INT($AK$1),
  '[1]Hoja 1'!$R:$R, "&lt;="&amp;INT($AL$1)
)</f>
        <v>0</v>
      </c>
      <c r="AJ229" s="1">
        <f t="shared" si="112"/>
        <v>0</v>
      </c>
      <c r="AK229" s="9">
        <f t="shared" si="113"/>
        <v>0</v>
      </c>
      <c r="AL229" s="10">
        <f t="shared" si="114"/>
        <v>0</v>
      </c>
      <c r="AM229" s="1">
        <f>SUMIFS(
  '[1]Hoja 1'!$M:$M,
  '[1]Hoja 1'!$K:$K, $A229,
  '[1]Hoja 1'!$R:$R, "&gt;="&amp;INT($AO$1),
  '[1]Hoja 1'!$R:$R, "&lt;="&amp;INT($AP$1)
)</f>
        <v>0</v>
      </c>
      <c r="AN229" s="1">
        <f t="shared" si="115"/>
        <v>0</v>
      </c>
      <c r="AO229" s="9">
        <f t="shared" si="116"/>
        <v>0</v>
      </c>
      <c r="AP229" s="10">
        <f t="shared" si="117"/>
        <v>0</v>
      </c>
      <c r="AQ229" s="1">
        <f>SUMIFS(
  '[1]Hoja 1'!$M:$M,
  '[1]Hoja 1'!$K:$K, $A229,
  '[1]Hoja 1'!$R:$R, "&gt;="&amp;INT($AS$1),
  '[1]Hoja 1'!$R:$R, "&lt;="&amp;INT($AT$1)
)</f>
        <v>0</v>
      </c>
      <c r="AR229" s="1">
        <f t="shared" si="118"/>
        <v>0</v>
      </c>
      <c r="AS229" s="9">
        <f t="shared" si="119"/>
        <v>0</v>
      </c>
      <c r="AT229" s="10">
        <f t="shared" si="120"/>
        <v>0</v>
      </c>
      <c r="AU229" s="1">
        <f>SUMIFS(
  '[1]Hoja 1'!$M:$M,
  '[1]Hoja 1'!$K:$K, $A229,
  '[1]Hoja 1'!$R:$R, "&gt;="&amp;INT($AW$1),
  '[1]Hoja 1'!$R:$R, "&lt;="&amp;INT($AX$1)
)</f>
        <v>0</v>
      </c>
      <c r="AV229" s="1">
        <f t="shared" si="121"/>
        <v>0</v>
      </c>
      <c r="AW229" s="9">
        <f t="shared" si="122"/>
        <v>0</v>
      </c>
      <c r="AX229" s="10">
        <f t="shared" si="123"/>
        <v>0</v>
      </c>
    </row>
  </sheetData>
  <mergeCells count="12">
    <mergeCell ref="AU1:AV1"/>
    <mergeCell ref="C1:D1"/>
    <mergeCell ref="G1:H1"/>
    <mergeCell ref="K1:L1"/>
    <mergeCell ref="O1:P1"/>
    <mergeCell ref="S1:T1"/>
    <mergeCell ref="W1:X1"/>
    <mergeCell ref="AA1:AB1"/>
    <mergeCell ref="AE1:AF1"/>
    <mergeCell ref="AI1:AJ1"/>
    <mergeCell ref="AM1:AN1"/>
    <mergeCell ref="AQ1:A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7267-07DC-486A-8663-68C681B66855}">
  <dimension ref="A1:AX232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L35" sqref="L35"/>
    </sheetView>
  </sheetViews>
  <sheetFormatPr baseColWidth="10" defaultRowHeight="15" x14ac:dyDescent="0.25"/>
  <cols>
    <col min="2" max="2" width="82.42578125" bestFit="1" customWidth="1"/>
    <col min="4" max="4" width="12.7109375" bestFit="1" customWidth="1"/>
    <col min="8" max="8" width="12.7109375" bestFit="1" customWidth="1"/>
    <col min="12" max="12" width="12.7109375" bestFit="1" customWidth="1"/>
    <col min="13" max="14" width="10.42578125" bestFit="1" customWidth="1"/>
    <col min="16" max="16" width="12.7109375" bestFit="1" customWidth="1"/>
    <col min="17" max="18" width="10.42578125" bestFit="1" customWidth="1"/>
    <col min="20" max="20" width="12.7109375" bestFit="1" customWidth="1"/>
    <col min="24" max="24" width="12.7109375" bestFit="1" customWidth="1"/>
    <col min="25" max="26" width="10.42578125" bestFit="1" customWidth="1"/>
    <col min="28" max="28" width="12.7109375" bestFit="1" customWidth="1"/>
    <col min="29" max="30" width="10.42578125" bestFit="1" customWidth="1"/>
    <col min="32" max="32" width="12.7109375" bestFit="1" customWidth="1"/>
    <col min="33" max="34" width="10.42578125" bestFit="1" customWidth="1"/>
    <col min="36" max="36" width="12.7109375" bestFit="1" customWidth="1"/>
    <col min="37" max="38" width="10.42578125" bestFit="1" customWidth="1"/>
    <col min="40" max="40" width="12.7109375" bestFit="1" customWidth="1"/>
    <col min="41" max="42" width="10.42578125" bestFit="1" customWidth="1"/>
    <col min="44" max="44" width="12.7109375" bestFit="1" customWidth="1"/>
    <col min="45" max="46" width="10.42578125" bestFit="1" customWidth="1"/>
    <col min="48" max="48" width="12.7109375" bestFit="1" customWidth="1"/>
    <col min="49" max="50" width="10.42578125" bestFit="1" customWidth="1"/>
  </cols>
  <sheetData>
    <row r="1" spans="1:50" x14ac:dyDescent="0.25">
      <c r="C1" s="14" t="s">
        <v>236</v>
      </c>
      <c r="D1" s="14"/>
      <c r="E1" s="7">
        <v>46023</v>
      </c>
      <c r="F1" s="7">
        <v>46053</v>
      </c>
      <c r="G1" s="14" t="s">
        <v>237</v>
      </c>
      <c r="H1" s="14"/>
      <c r="I1" s="7">
        <v>46054</v>
      </c>
      <c r="J1" s="7">
        <v>46081</v>
      </c>
      <c r="K1" s="14" t="s">
        <v>238</v>
      </c>
      <c r="L1" s="14"/>
      <c r="M1" s="7">
        <v>46082</v>
      </c>
      <c r="N1" s="7">
        <v>46112</v>
      </c>
      <c r="O1" s="15" t="s">
        <v>239</v>
      </c>
      <c r="P1" s="14"/>
      <c r="Q1" s="7">
        <v>46113</v>
      </c>
      <c r="R1" s="7">
        <v>46142</v>
      </c>
      <c r="S1" s="14" t="s">
        <v>240</v>
      </c>
      <c r="T1" s="14"/>
      <c r="U1" s="7">
        <v>46143</v>
      </c>
      <c r="V1" s="7">
        <v>46173</v>
      </c>
      <c r="W1" s="14" t="s">
        <v>241</v>
      </c>
      <c r="X1" s="14"/>
      <c r="Y1" s="7">
        <v>46174</v>
      </c>
      <c r="Z1" s="7" t="s">
        <v>249</v>
      </c>
      <c r="AA1" s="14" t="s">
        <v>242</v>
      </c>
      <c r="AB1" s="14"/>
      <c r="AC1" s="7">
        <v>46204</v>
      </c>
      <c r="AD1" s="7">
        <v>46234</v>
      </c>
      <c r="AE1" s="14" t="s">
        <v>244</v>
      </c>
      <c r="AF1" s="14"/>
      <c r="AG1" s="7">
        <v>46235</v>
      </c>
      <c r="AH1" s="7">
        <v>46265</v>
      </c>
      <c r="AI1" s="14" t="s">
        <v>245</v>
      </c>
      <c r="AJ1" s="14"/>
      <c r="AK1" s="7">
        <v>46266</v>
      </c>
      <c r="AL1" s="7">
        <v>46295</v>
      </c>
      <c r="AM1" s="14" t="s">
        <v>246</v>
      </c>
      <c r="AN1" s="14"/>
      <c r="AO1" s="7">
        <v>46296</v>
      </c>
      <c r="AP1" s="7">
        <v>46326</v>
      </c>
      <c r="AQ1" s="14" t="s">
        <v>248</v>
      </c>
      <c r="AR1" s="14"/>
      <c r="AS1" s="7">
        <v>46327</v>
      </c>
      <c r="AT1" s="7">
        <v>46356</v>
      </c>
      <c r="AU1" s="14" t="s">
        <v>247</v>
      </c>
      <c r="AV1" s="14"/>
      <c r="AW1" s="7">
        <v>46357</v>
      </c>
      <c r="AX1" s="7">
        <v>46387</v>
      </c>
    </row>
    <row r="2" spans="1:50" x14ac:dyDescent="0.25">
      <c r="C2" s="5" t="s">
        <v>227</v>
      </c>
      <c r="D2" s="5" t="s">
        <v>228</v>
      </c>
      <c r="E2" s="5" t="s">
        <v>230</v>
      </c>
      <c r="F2" s="5" t="s">
        <v>229</v>
      </c>
      <c r="G2" s="5" t="s">
        <v>227</v>
      </c>
      <c r="H2" s="5" t="s">
        <v>228</v>
      </c>
      <c r="I2" s="5" t="s">
        <v>230</v>
      </c>
      <c r="J2" s="5" t="s">
        <v>229</v>
      </c>
      <c r="K2" s="5" t="s">
        <v>227</v>
      </c>
      <c r="L2" s="5" t="s">
        <v>228</v>
      </c>
      <c r="M2" s="5" t="s">
        <v>230</v>
      </c>
      <c r="N2" s="5" t="s">
        <v>229</v>
      </c>
      <c r="O2" s="11" t="s">
        <v>227</v>
      </c>
      <c r="P2" s="5" t="s">
        <v>228</v>
      </c>
      <c r="Q2" s="5" t="s">
        <v>230</v>
      </c>
      <c r="R2" s="5" t="s">
        <v>229</v>
      </c>
      <c r="S2" s="5" t="s">
        <v>227</v>
      </c>
      <c r="T2" s="5" t="s">
        <v>228</v>
      </c>
      <c r="U2" s="5" t="s">
        <v>230</v>
      </c>
      <c r="V2" s="5" t="s">
        <v>229</v>
      </c>
      <c r="W2" s="5" t="s">
        <v>227</v>
      </c>
      <c r="X2" s="5" t="s">
        <v>228</v>
      </c>
      <c r="Y2" s="5" t="s">
        <v>230</v>
      </c>
      <c r="Z2" s="5" t="s">
        <v>229</v>
      </c>
      <c r="AA2" s="5" t="s">
        <v>227</v>
      </c>
      <c r="AB2" s="5" t="s">
        <v>228</v>
      </c>
      <c r="AC2" s="5" t="s">
        <v>230</v>
      </c>
      <c r="AD2" s="5" t="s">
        <v>229</v>
      </c>
      <c r="AE2" s="5" t="s">
        <v>227</v>
      </c>
      <c r="AF2" s="5" t="s">
        <v>228</v>
      </c>
      <c r="AG2" s="5" t="s">
        <v>230</v>
      </c>
      <c r="AH2" s="5" t="s">
        <v>229</v>
      </c>
      <c r="AI2" s="5" t="s">
        <v>227</v>
      </c>
      <c r="AJ2" s="5" t="s">
        <v>228</v>
      </c>
      <c r="AK2" s="5" t="s">
        <v>230</v>
      </c>
      <c r="AL2" s="5" t="s">
        <v>229</v>
      </c>
      <c r="AM2" s="5" t="s">
        <v>227</v>
      </c>
      <c r="AN2" s="5" t="s">
        <v>228</v>
      </c>
      <c r="AO2" s="5" t="s">
        <v>230</v>
      </c>
      <c r="AP2" s="5" t="s">
        <v>229</v>
      </c>
      <c r="AQ2" s="5" t="s">
        <v>227</v>
      </c>
      <c r="AR2" s="5" t="s">
        <v>228</v>
      </c>
      <c r="AS2" s="5" t="s">
        <v>230</v>
      </c>
      <c r="AT2" s="5" t="s">
        <v>229</v>
      </c>
      <c r="AU2" s="5" t="s">
        <v>227</v>
      </c>
      <c r="AV2" s="5" t="s">
        <v>228</v>
      </c>
      <c r="AW2" s="5" t="s">
        <v>230</v>
      </c>
      <c r="AX2" s="5" t="s">
        <v>229</v>
      </c>
    </row>
    <row r="3" spans="1:50" x14ac:dyDescent="0.25">
      <c r="A3" s="5">
        <v>201001</v>
      </c>
      <c r="B3" s="6" t="s">
        <v>0</v>
      </c>
      <c r="C3" s="1">
        <f>SUMIFS(
  '[1]Hoja 1'!$M:$M,
  '[1]Hoja 1'!$S:$S, $A3,
  '[1]Hoja 1'!$R:$R, "&gt;="&amp;INT($E$1),
  '[1]Hoja 1'!$R:$R, "&lt;"&amp;INT($F$1+1)
)</f>
        <v>320</v>
      </c>
      <c r="D3" s="1" t="str">
        <f>""</f>
        <v/>
      </c>
      <c r="F3" s="2"/>
      <c r="G3" s="1">
        <f>SUMIFS(
  '[1]Hoja 1'!$M:$M,
  '[1]Hoja 1'!$S:$S, $A3,
  '[1]Hoja 1'!$R:$R, "&gt;="&amp;INT($I$1),
  '[1]Hoja 1'!$R:$R, "&lt;"&amp;INT($J$1+1)
)</f>
        <v>205</v>
      </c>
      <c r="H3" s="1">
        <f>IF(
    OR(ISBLANK(C3),ISBLANK(G3)),
    "",
    ROUND(AVERAGE(C3,G3),0)
)</f>
        <v>263</v>
      </c>
      <c r="I3" s="1"/>
      <c r="J3" s="2"/>
      <c r="K3" s="1">
        <f>SUMIFS(
  '[1]Hoja 1'!$M:$M,
  '[1]Hoja 1'!$S:$S, $A3,
  '[1]Hoja 1'!$R:$R, "&gt;="&amp;INT($M$1),
  '[1]Hoja 1'!$R:$R, "&lt;"&amp;INT($N$1+1)
)</f>
        <v>0</v>
      </c>
      <c r="L3" s="1">
        <f>IF(
    OR(ISBLANK(G3),ISBLANK(K3)),
    "",
    AVERAGE(G3,K3)
)</f>
        <v>102.5</v>
      </c>
      <c r="M3" s="9">
        <f>IF(
  OR(ISBLANK(L3),ISBLANK(G3),ISBLANK(K3),ISBLANK(C3)),
  "",
    L3 - 1.96*_xlfn.STDEV.S(
    G3-AVERAGE(C3,G3),
    K3-AVERAGE(G3,K3)
  )
)</f>
        <v>40.133181899346511</v>
      </c>
      <c r="N3" s="10">
        <f>IF(
  OR(ISBLANK(L3),ISBLANK(G3),ISBLANK(K3),ISBLANK(C3)),
  "",
  L3 + 1.96*_xlfn.STDEV.S(
    G3-AVERAGE(C3,G3),
    K3-AVERAGE(G3,K3)
  )
)</f>
        <v>164.86681810065349</v>
      </c>
      <c r="O3" s="1">
        <f>SUMIFS(
  '[1]Hoja 1'!$M:$M,
  '[1]Hoja 1'!$S:$S, $A3,
  '[1]Hoja 1'!$R:$R, "&gt;="&amp;INT($Q$1),
  '[1]Hoja 1'!$R:$R, "&lt;"&amp;INT($R$1+1)
)</f>
        <v>0</v>
      </c>
      <c r="P3" s="1">
        <f>IF(
    OR(ISBLANK(K3),ISBLANK(O3)),
    "",
    AVERAGE(K3,O3)
)</f>
        <v>0</v>
      </c>
      <c r="Q3" s="9">
        <f xml:space="preserve"> P3 - 1.96*_xlfn.STDEV.S(
  G3-AVERAGE(C3,G3),
  K3-AVERAGE(G3,K3),
  O3-AVERAGE(K3,O3)
)</f>
        <v>-100.69867592641589</v>
      </c>
      <c r="R3" s="10">
        <f xml:space="preserve"> P3 + 1.96*_xlfn.STDEV.S(
  G3-AVERAGE(C3,G3),
  K3-AVERAGE(G3,K3),
  O3-AVERAGE(K3,O3)
)</f>
        <v>100.69867592641589</v>
      </c>
      <c r="S3" s="1">
        <f>SUMIFS(
  '[1]Hoja 1'!$M:$M,
  '[1]Hoja 1'!$S:$S, $A3,
  '[1]Hoja 1'!$R:$R, "&gt;="&amp;INT($U$1),
  '[1]Hoja 1'!$R:$R, "&lt;"&amp;INT($V$1+1)
)</f>
        <v>0</v>
      </c>
      <c r="T3" s="1">
        <f>IF(
    OR(ISBLANK(O3),ISBLANK(S3)),
    "",
    ROUND(AVERAGE(O3,S3),0)
)</f>
        <v>0</v>
      </c>
      <c r="U3" s="9">
        <f xml:space="preserve"> T3 - 1.96*_xlfn.STDEV.S(
  G3-AVERAGE(C3,G3),
  K3-AVERAGE(G3,K3),
  O3-AVERAGE(K3,O3),
  S3-AVERAGE(3,S3)
)</f>
        <v>-96.646004745842106</v>
      </c>
      <c r="V3" s="10">
        <f xml:space="preserve"> T3 + 1.96*_xlfn.STDEV.S(
  G3-AVERAGE(C3,G3),
  K3-AVERAGE(G3,K3),
  O3-AVERAGE(K3,O3),
  S3-AVERAGE(3,S3)
)</f>
        <v>96.646004745842106</v>
      </c>
      <c r="W3" s="1">
        <f>SUMIFS(
  '[1]Hoja 1'!$M:$M,
  '[1]Hoja 1'!$S:$S, $A3,
  '[1]Hoja 1'!$R:$R, "&gt;="&amp;INT($Y$1),
  '[1]Hoja 1'!$R:$R, "&lt;"&amp;INT($Z$1+1)
)</f>
        <v>0</v>
      </c>
      <c r="X3" s="1">
        <f>IF(
    OR(ISBLANK(S3),ISBLANK(W3)),
    "",
    ROUND(AVERAGE(S3,W3),0)
)</f>
        <v>0</v>
      </c>
      <c r="Y3" s="9">
        <f xml:space="preserve"> X3 - 1.96*_xlfn.STDEV.S(
  G3-AVERAGE(C3,G3),
  K3-AVERAGE(G3,K3),
  O3-AVERAGE(K3,O3),
  S3-AVERAGE(O3,S3),
  W3-AVERAGE(S3,W3)
)</f>
        <v>-91.368906089544481</v>
      </c>
      <c r="Z3" s="10">
        <f xml:space="preserve"> X3 + 1.96*_xlfn.STDEV.S(
  G3-AVERAGE(C3,G3),
  K3-AVERAGE(G3,K3),
  O3-AVERAGE(K3,O3),
  S3-AVERAGE(O3,S3),
  W3-AVERAGE(S3,W3)
)</f>
        <v>91.368906089544481</v>
      </c>
      <c r="AA3" s="1">
        <f>SUMIFS(
  '[1]Hoja 1'!$M:$M,
  '[1]Hoja 1'!$S:$S, $A3,
  '[1]Hoja 1'!$R:$R, "&gt;="&amp;INT($AC$1),
  '[1]Hoja 1'!$R:$R, "&lt;"&amp;INT($AD$1+1)
)</f>
        <v>0</v>
      </c>
      <c r="AB3" s="1">
        <f>IF(
    OR(ISBLANK(W3),ISBLANK(AA3)),
    "",
    ROUND(AVERAGE(W3,AA3),0)
)</f>
        <v>0</v>
      </c>
      <c r="AC3" s="9">
        <f xml:space="preserve"> AB3 - 1.96*_xlfn.STDEV.S(
  G3-AVERAGE(C3,G3),
  K3-AVERAGE(G3,K3),
  O3-AVERAGE(K3,O3),
  S3-AVERAGE(O3,S3),
  W3-AVERAGE(S3,W3),
  AA3-AVERAGE(W3,AA3)
)</f>
        <v>-85.640263116519364</v>
      </c>
      <c r="AD3" s="10">
        <f xml:space="preserve"> AB3 + 1.96*_xlfn.STDEV.S(
  G3-AVERAGE(C3,G3),
  K3-AVERAGE(G3,K3),
  O3-AVERAGE(K3,O3),
  S3-AVERAGE(O3,S3),
  W3-AVERAGE(S3,W3),
  AA3-AVERAGE(W3,AA3)
)</f>
        <v>85.640263116519364</v>
      </c>
      <c r="AE3" s="1">
        <f>SUMIFS(
  '[1]Hoja 1'!$M:$M,
  '[1]Hoja 1'!$S:$S, $A3,
  '[1]Hoja 1'!$R:$R, "&gt;="&amp;INT($AG$1),
  '[1]Hoja 1'!$R:$R, "&lt;"&amp;INT($AH$1+1)
)</f>
        <v>0</v>
      </c>
      <c r="AF3" s="1">
        <f>IF(
    OR(ISBLANK(AA3),ISBLANK(AE3)),
    "",
    ROUND(AVERAGE(AA3,AE3),0)
)</f>
        <v>0</v>
      </c>
      <c r="AG3" s="9">
        <f xml:space="preserve"> AF3 - 1.96*_xlfn.STDEV.S(
  G3-AVERAGE(C3,G3),
  K3-AVERAGE(G3,K3),
  O3-AVERAGE(K3,O3),
  S3-AVERAGE(O3,S3),
  W3-AVERAGE(S3,W3),
  AA3-AVERAGE(W3,AA3),
  AE3-AVERAGE(AA3,AE3)
)</f>
        <v>-80.635827438345714</v>
      </c>
      <c r="AH3" s="10">
        <f xml:space="preserve"> AF3 + 1.96*_xlfn.STDEV.S(
  G3-AVERAGE(C3,G3),
  K3-AVERAGE(G3,K3),
  O3-AVERAGE(K3,O3),
  S3-AVERAGE(O3,S3),
  W3-AVERAGE(S3,W3),
  AA3-AVERAGE(W3,AA3),
  AE3-AVERAGE(AA3,AE3)
)</f>
        <v>80.635827438345714</v>
      </c>
      <c r="AI3" s="1">
        <f>SUMIFS(
  '[1]Hoja 1'!$M:$M,
  '[1]Hoja 1'!$S:$S, $A3,
  '[1]Hoja 1'!$R:$R, "&gt;="&amp;INT($AK$1),
  '[1]Hoja 1'!$R:$R, "&lt;"&amp;INT($AJ$1+1)
)</f>
        <v>0</v>
      </c>
      <c r="AJ3" s="1">
        <f>IF(
    OR(ISBLANK(AE3),ISBLANK(AI3)),
    "",
    ROUND(AVERAGE(AE3,AI3),0)
)</f>
        <v>0</v>
      </c>
      <c r="AK3" s="9">
        <f xml:space="preserve"> AJ3 - 1.96*_xlfn.STDEV.S(
  G3-AVERAGE(C3,G3),
  K3-AVERAGE(G3,K3),
  O3-AVERAGE(K3,O3),
  S3-AVERAGE(O3,S3),
  W3-AVERAGE(S3,W3),
  AA3-AVERAGE(W3,AA3),
  AE3-AVERAGE(AA3,AE3),
  AI3-AVERAGE(AE3,AI3)
)</f>
        <v>-76.316053357075546</v>
      </c>
      <c r="AL3" s="10">
        <f xml:space="preserve"> AJ3 + 1.96*_xlfn.STDEV.S(
  G3-AVERAGE(C3,G3),
  K3-AVERAGE(G3,K3),
  O3-AVERAGE(K3,O3),
  S3-AVERAGE(O3,S3),
  W3-AVERAGE(S3,W3),
  AA3-AVERAGE(W3,AA3),
  AE3-AVERAGE(AA3,AE3),
  AI3-AVERAGE(AE3,AI3)
)</f>
        <v>76.316053357075546</v>
      </c>
      <c r="AM3" s="1">
        <f>SUMIFS(
  '[1]Hoja 1'!$M:$M,
  '[1]Hoja 1'!$S:$S, $A3,
  '[1]Hoja 1'!$R:$R, "&gt;="&amp;INT($AO$1),
  '[1]Hoja 1'!$R:$R, "&lt;"&amp;INT($AP$1+1)
)</f>
        <v>0</v>
      </c>
      <c r="AN3" s="1">
        <f>IF(
    OR(ISBLANK(AI3),ISBLANK(AM3)),
    "",
    ROUND(AVERAGE(AI3,AM3),0)
)</f>
        <v>0</v>
      </c>
      <c r="AO3" s="9">
        <f xml:space="preserve"> AN3 - 1.96*_xlfn.STDEV.S(
  G3-AVERAGE(C3,G3),
  K3-AVERAGE(G3,K3),
  O3-AVERAGE(K3,O3),
  S3-AVERAGE(O3,S3),
  W3-AVERAGE(S3,W3),
  AA3-AVERAGE(W3,AA3),
  AE3-AVERAGE(AA3,AE3),
  AI3-AVERAGE(AE3,AI3),
  AN3-AVERAGE(AI3,AN3)
)</f>
        <v>-72.573137439260378</v>
      </c>
      <c r="AP3" s="10">
        <f xml:space="preserve"> AN3 + 1.96*_xlfn.STDEV.S(
  G3-AVERAGE(C3,G3),
  K3-AVERAGE(G3,K3),
  O3-AVERAGE(K3,O3),
  S3-AVERAGE(O3,S3),
  W3-AVERAGE(S3,W3),
  AA3-AVERAGE(W3,AA3),
  AE3-AVERAGE(AA3,AE3),
  AI3-AVERAGE(AE3,AI3),
  AN3-AVERAGE(AI3,AN3)
)</f>
        <v>72.573137439260378</v>
      </c>
      <c r="AQ3" s="1">
        <f>SUMIFS(
  '[1]Hoja 1'!$M:$M,
  '[1]Hoja 1'!$S:$S, $A3,
  '[1]Hoja 1'!$R:$R, "&gt;="&amp;INT($AS$1),
  '[1]Hoja 1'!$R:$R, "&lt;"&amp;INT($AT$1+1)
)</f>
        <v>0</v>
      </c>
      <c r="AR3" s="1">
        <f>IF(
    OR(ISBLANK(AM3),ISBLANK(AQ3)),
    "",
    ROUND(AVERAGE(AM3,AQ3),0)
)</f>
        <v>0</v>
      </c>
      <c r="AS3" s="9">
        <f xml:space="preserve"> AR3 - 1.96*_xlfn.STDEV.S(
  G3-AVERAGE(C3,G3),
  K3-AVERAGE(G3,K3),
  O3-AVERAGE(K3,O3),
  S3-AVERAGE(O3,S3),
  W3-AVERAGE(S3,W3),
  AA3-AVERAGE(W3,AA3),
  AE3-AVERAGE(AA3,AE3),
  AI3-AVERAGE(AE3,AI3),
  AN3-AVERAGE(AI3,AN3),
  AR3-AVERAGE(AN3,AR3)
)</f>
        <v>-69.304163735746158</v>
      </c>
      <c r="AT3" s="10">
        <f xml:space="preserve"> AR3 + 1.96*_xlfn.STDEV.S(
  G3-AVERAGE(C3,G3),
  K3-AVERAGE(G3,K3),
  O3-AVERAGE(K3,O3),
  S3-AVERAGE(O3,S3),
  W3-AVERAGE(S3,W3),
  AA3-AVERAGE(W3,AA3),
  AE3-AVERAGE(AA3,AE3),
  AI3-AVERAGE(AE3,AI3),
  AN3-AVERAGE(AI3,AN3),
  AR3-AVERAGE(AN3,AR3)
)</f>
        <v>69.304163735746158</v>
      </c>
      <c r="AU3" s="1">
        <f>SUMIFS(
  '[1]Hoja 1'!$M:$M,
  '[1]Hoja 1'!$S:$S, $A3,
  '[1]Hoja 1'!$R:$R, "&gt;="&amp;INT($AW$1),
  '[1]Hoja 1'!$R:$R, "&lt;"&amp;INT($AX$1+1)
)</f>
        <v>0</v>
      </c>
      <c r="AV3" s="1">
        <f>IF(
    OR(ISBLANK(AQ3),ISBLANK(AU3)),
    "",
    ROUND(AVERAGE(AQ3,AU3),0)
)</f>
        <v>0</v>
      </c>
      <c r="AW3" s="9">
        <f xml:space="preserve"> AV3 - 1.96*_xlfn.STDEV.S(
  G3-AVERAGE(C3,G3),
  K3-AVERAGE(G3,K3),
  O3-AVERAGE(K3,O3),
  S3-AVERAGE(O3,S3),
  W3-AVERAGE(S3,W3),
  AA3-AVERAGE(W3,AA3),
  AE3-AVERAGE(AA3,AE3),
  AI3-AVERAGE(AE3,AI3),
  AN3-AVERAGE(AI3,AN3),
  AR3-AVERAGE(AN3,AR3),
  AV3-AVERAGE(AR3,AV3)
)</f>
        <v>-66.424128967498774</v>
      </c>
      <c r="AX3" s="10">
        <f xml:space="preserve"> AV3 + 1.96*_xlfn.STDEV.S(
  G3-AVERAGE(C3,G3),
  K3-AVERAGE(G3,K3),
  O3-AVERAGE(K3,O3),
  S3-AVERAGE(O3,S3),
  W3-AVERAGE(S3,W3),
  AA3-AVERAGE(W3,AA3),
  AE3-AVERAGE(AA3,AE3),
  AI3-AVERAGE(AE3,AI3),
  AN3-AVERAGE(AI3,AN3),
  AR3-AVERAGE(AN3,AR3),
  AV3-AVERAGE(AR3,AV3)
)</f>
        <v>66.424128967498774</v>
      </c>
    </row>
    <row r="4" spans="1:50" x14ac:dyDescent="0.25">
      <c r="A4" s="5">
        <v>201021</v>
      </c>
      <c r="B4" s="6" t="s">
        <v>1</v>
      </c>
      <c r="C4" s="1">
        <f>SUMIFS(
  '[1]Hoja 1'!$M:$M,
  '[1]Hoja 1'!$S:$S, $A4,
  '[1]Hoja 1'!$R:$R, "&gt;="&amp;INT($E$1),
  '[1]Hoja 1'!$R:$R, "&lt;"&amp;INT($F$1+1)
)</f>
        <v>0</v>
      </c>
      <c r="D4" s="1" t="str">
        <f>""</f>
        <v/>
      </c>
      <c r="F4" s="2"/>
      <c r="G4" s="1">
        <f>SUMIFS(
  '[1]Hoja 1'!$M:$M,
  '[1]Hoja 1'!$S:$S, $A4,
  '[1]Hoja 1'!$R:$R, "&gt;="&amp;INT($I$1),
  '[1]Hoja 1'!$R:$R, "&lt;"&amp;INT($J$1+1)
)</f>
        <v>0</v>
      </c>
      <c r="H4" s="1">
        <f t="shared" ref="H4:H67" si="0">IF(
    OR(ISBLANK(C4),ISBLANK(G4)),
    "",
    ROUND(AVERAGE(C4,G4),0)
)</f>
        <v>0</v>
      </c>
      <c r="I4" s="1"/>
      <c r="J4" s="2"/>
      <c r="K4" s="1">
        <f>SUMIFS(
  '[1]Hoja 1'!$M:$M,
  '[1]Hoja 1'!$S:$S, $A4,
  '[1]Hoja 1'!$R:$R, "&gt;="&amp;INT($M$1),
  '[1]Hoja 1'!$R:$R, "&lt;"&amp;INT($N$1+1)
)</f>
        <v>0</v>
      </c>
      <c r="L4" s="1">
        <f t="shared" ref="L4:L67" si="1">IF(
    OR(ISBLANK(G4),ISBLANK(K4)),
    "",
    AVERAGE(G4,K4)
)</f>
        <v>0</v>
      </c>
      <c r="M4" s="9">
        <f t="shared" ref="M4:M67" si="2">IF(
  OR(ISBLANK(L4),ISBLANK(G4),ISBLANK(K4),ISBLANK(C4)),
  "",
    L4 - 1.96*_xlfn.STDEV.S(
    G4-AVERAGE(C4,G4),
    K4-AVERAGE(G4,K4)
  )
)</f>
        <v>0</v>
      </c>
      <c r="N4" s="10">
        <f t="shared" ref="N4:N67" si="3">IF(
  OR(ISBLANK(L4),ISBLANK(G4),ISBLANK(K4),ISBLANK(C4)),
  "",
  L4 + 1.96*_xlfn.STDEV.S(
    G4-AVERAGE(C4,G4),
    K4-AVERAGE(G4,K4)
  )
)</f>
        <v>0</v>
      </c>
      <c r="O4" s="1">
        <f>SUMIFS(
  '[1]Hoja 1'!$M:$M,
  '[1]Hoja 1'!$S:$S, $A4,
  '[1]Hoja 1'!$R:$R, "&gt;="&amp;INT($Q$1),
  '[1]Hoja 1'!$R:$R, "&lt;"&amp;INT($R$1+1)
)</f>
        <v>0</v>
      </c>
      <c r="P4" s="1">
        <f t="shared" ref="P4:P67" si="4">IF(
    OR(ISBLANK(K4),ISBLANK(O4)),
    "",
    AVERAGE(K4,O4)
)</f>
        <v>0</v>
      </c>
      <c r="Q4" s="9">
        <f t="shared" ref="Q4:Q67" si="5" xml:space="preserve"> P4 - 1.96*_xlfn.STDEV.S(
  G4-AVERAGE(C4,G4),
  K4-AVERAGE(G4,K4),
  O4-AVERAGE(K4,O4)
)</f>
        <v>0</v>
      </c>
      <c r="R4" s="10">
        <f t="shared" ref="R4:R67" si="6" xml:space="preserve"> P4 + 1.96*_xlfn.STDEV.S(
  G4-AVERAGE(C4,G4),
  K4-AVERAGE(G4,K4),
  O4-AVERAGE(K4,O4)
)</f>
        <v>0</v>
      </c>
      <c r="S4" s="1">
        <f>SUMIFS(
  '[1]Hoja 1'!$M:$M,
  '[1]Hoja 1'!$S:$S, $A4,
  '[1]Hoja 1'!$R:$R, "&gt;="&amp;INT($U$1),
  '[1]Hoja 1'!$R:$R, "&lt;"&amp;INT($V$1+1)
)</f>
        <v>0</v>
      </c>
      <c r="T4" s="1">
        <f t="shared" ref="T4:T67" si="7">IF(
    OR(ISBLANK(O4),ISBLANK(S4)),
    "",
    ROUND(AVERAGE(O4,S4),0)
)</f>
        <v>0</v>
      </c>
      <c r="U4" s="9">
        <f t="shared" ref="U4:U67" si="8" xml:space="preserve"> T4 - 1.96*_xlfn.STDEV.S(
  G4-AVERAGE(C4,G4),
  K4-AVERAGE(G4,K4),
  O4-AVERAGE(K4,O4),
  S4-AVERAGE(3,S4)
)</f>
        <v>-1.47</v>
      </c>
      <c r="V4" s="10">
        <f t="shared" ref="V4:V67" si="9" xml:space="preserve"> T4 + 1.96*_xlfn.STDEV.S(
  G4-AVERAGE(C4,G4),
  K4-AVERAGE(G4,K4),
  O4-AVERAGE(K4,O4),
  S4-AVERAGE(3,S4)
)</f>
        <v>1.47</v>
      </c>
      <c r="W4" s="1">
        <f>SUMIFS(
  '[1]Hoja 1'!$M:$M,
  '[1]Hoja 1'!$S:$S, $A4,
  '[1]Hoja 1'!$R:$R, "&gt;="&amp;INT($Y$1),
  '[1]Hoja 1'!$R:$R, "&lt;"&amp;INT($Z$1+1)
)</f>
        <v>0</v>
      </c>
      <c r="X4" s="1">
        <f t="shared" ref="X4:X67" si="10">IF(
    OR(ISBLANK(S4),ISBLANK(W4)),
    "",
    ROUND(AVERAGE(S4,W4),0)
)</f>
        <v>0</v>
      </c>
      <c r="Y4" s="9">
        <f t="shared" ref="Y4:Y67" si="11" xml:space="preserve"> X4 - 1.96*_xlfn.STDEV.S(
  G4-AVERAGE(C4,G4),
  K4-AVERAGE(G4,K4),
  O4-AVERAGE(K4,O4),
  S4-AVERAGE(O4,S4),
  W4-AVERAGE(S4,W4)
)</f>
        <v>0</v>
      </c>
      <c r="Z4" s="10">
        <f t="shared" ref="Z4:Z67" si="12" xml:space="preserve"> X4 + 1.96*_xlfn.STDEV.S(
  G4-AVERAGE(C4,G4),
  K4-AVERAGE(G4,K4),
  O4-AVERAGE(K4,O4),
  S4-AVERAGE(O4,S4),
  W4-AVERAGE(S4,W4)
)</f>
        <v>0</v>
      </c>
      <c r="AA4" s="1">
        <f>SUMIFS(
  '[1]Hoja 1'!$M:$M,
  '[1]Hoja 1'!$S:$S, $A4,
  '[1]Hoja 1'!$R:$R, "&gt;="&amp;INT($AC$1),
  '[1]Hoja 1'!$R:$R, "&lt;"&amp;INT($AD$1+1)
)</f>
        <v>0</v>
      </c>
      <c r="AB4" s="1">
        <f t="shared" ref="AB4:AB67" si="13">IF(
    OR(ISBLANK(W4),ISBLANK(AA4)),
    "",
    ROUND(AVERAGE(W4,AA4),0)
)</f>
        <v>0</v>
      </c>
      <c r="AC4" s="9">
        <f t="shared" ref="AC4:AC67" si="14" xml:space="preserve"> AB4 - 1.96*_xlfn.STDEV.S(
  G4-AVERAGE(C4,G4),
  K4-AVERAGE(G4,K4),
  O4-AVERAGE(K4,O4),
  S4-AVERAGE(O4,S4),
  W4-AVERAGE(S4,W4),
  AA4-AVERAGE(W4,AA4)
)</f>
        <v>0</v>
      </c>
      <c r="AD4" s="10">
        <f t="shared" ref="AD4:AD67" si="15" xml:space="preserve"> AB4 + 1.96*_xlfn.STDEV.S(
  G4-AVERAGE(C4,G4),
  K4-AVERAGE(G4,K4),
  O4-AVERAGE(K4,O4),
  S4-AVERAGE(O4,S4),
  W4-AVERAGE(S4,W4),
  AA4-AVERAGE(W4,AA4)
)</f>
        <v>0</v>
      </c>
      <c r="AE4" s="1">
        <f>SUMIFS(
  '[1]Hoja 1'!$M:$M,
  '[1]Hoja 1'!$S:$S, $A4,
  '[1]Hoja 1'!$R:$R, "&gt;="&amp;INT($AG$1),
  '[1]Hoja 1'!$R:$R, "&lt;"&amp;INT($AH$1+1)
)</f>
        <v>0</v>
      </c>
      <c r="AF4" s="1">
        <f t="shared" ref="AF4:AF67" si="16">IF(
    OR(ISBLANK(AA4),ISBLANK(AE4)),
    "",
    ROUND(AVERAGE(AA4,AE4),0)
)</f>
        <v>0</v>
      </c>
      <c r="AG4" s="9">
        <f t="shared" ref="AG4:AG67" si="17" xml:space="preserve"> AF4 - 1.96*_xlfn.STDEV.S(
  G4-AVERAGE(C4,G4),
  K4-AVERAGE(G4,K4),
  O4-AVERAGE(K4,O4),
  S4-AVERAGE(O4,S4),
  W4-AVERAGE(S4,W4),
  AA4-AVERAGE(W4,AA4),
  AE4-AVERAGE(AA4,AE4)
)</f>
        <v>0</v>
      </c>
      <c r="AH4" s="10">
        <f t="shared" ref="AH4:AH67" si="18" xml:space="preserve"> AF4 + 1.96*_xlfn.STDEV.S(
  G4-AVERAGE(C4,G4),
  K4-AVERAGE(G4,K4),
  O4-AVERAGE(K4,O4),
  S4-AVERAGE(O4,S4),
  W4-AVERAGE(S4,W4),
  AA4-AVERAGE(W4,AA4),
  AE4-AVERAGE(AA4,AE4)
)</f>
        <v>0</v>
      </c>
      <c r="AI4" s="1">
        <f>SUMIFS(
  '[1]Hoja 1'!$M:$M,
  '[1]Hoja 1'!$S:$S, $A4,
  '[1]Hoja 1'!$R:$R, "&gt;="&amp;INT($AK$1),
  '[1]Hoja 1'!$R:$R, "&lt;"&amp;INT($AJ$1+1)
)</f>
        <v>0</v>
      </c>
      <c r="AJ4" s="1">
        <f t="shared" ref="AJ4:AJ67" si="19">IF(
    OR(ISBLANK(AE4),ISBLANK(AI4)),
    "",
    ROUND(AVERAGE(AE4,AI4),0)
)</f>
        <v>0</v>
      </c>
      <c r="AK4" s="9">
        <f t="shared" ref="AK4:AK67" si="20" xml:space="preserve"> AJ4 - 1.96*_xlfn.STDEV.S(
  G4-AVERAGE(C4,G4),
  K4-AVERAGE(G4,K4),
  O4-AVERAGE(K4,O4),
  S4-AVERAGE(O4,S4),
  W4-AVERAGE(S4,W4),
  AA4-AVERAGE(W4,AA4),
  AE4-AVERAGE(AA4,AE4),
  AI4-AVERAGE(AE4,AI4)
)</f>
        <v>0</v>
      </c>
      <c r="AL4" s="10">
        <f t="shared" ref="AL4:AL67" si="21" xml:space="preserve"> AJ4 + 1.96*_xlfn.STDEV.S(
  G4-AVERAGE(C4,G4),
  K4-AVERAGE(G4,K4),
  O4-AVERAGE(K4,O4),
  S4-AVERAGE(O4,S4),
  W4-AVERAGE(S4,W4),
  AA4-AVERAGE(W4,AA4),
  AE4-AVERAGE(AA4,AE4),
  AI4-AVERAGE(AE4,AI4)
)</f>
        <v>0</v>
      </c>
      <c r="AM4" s="1">
        <f>SUMIFS(
  '[1]Hoja 1'!$M:$M,
  '[1]Hoja 1'!$S:$S, $A4,
  '[1]Hoja 1'!$R:$R, "&gt;="&amp;INT($AO$1),
  '[1]Hoja 1'!$R:$R, "&lt;"&amp;INT($AP$1+1)
)</f>
        <v>0</v>
      </c>
      <c r="AN4" s="1">
        <f t="shared" ref="AN4:AN67" si="22">IF(
    OR(ISBLANK(AI4),ISBLANK(AM4)),
    "",
    ROUND(AVERAGE(AI4,AM4),0)
)</f>
        <v>0</v>
      </c>
      <c r="AO4" s="9">
        <f t="shared" ref="AO4:AO67" si="23" xml:space="preserve"> AN4 - 1.96*_xlfn.STDEV.S(
  G4-AVERAGE(C4,G4),
  K4-AVERAGE(G4,K4),
  O4-AVERAGE(K4,O4),
  S4-AVERAGE(O4,S4),
  W4-AVERAGE(S4,W4),
  AA4-AVERAGE(W4,AA4),
  AE4-AVERAGE(AA4,AE4),
  AI4-AVERAGE(AE4,AI4),
  AN4-AVERAGE(AI4,AN4)
)</f>
        <v>0</v>
      </c>
      <c r="AP4" s="10">
        <f t="shared" ref="AP4:AP67" si="24" xml:space="preserve"> AN4 + 1.96*_xlfn.STDEV.S(
  G4-AVERAGE(C4,G4),
  K4-AVERAGE(G4,K4),
  O4-AVERAGE(K4,O4),
  S4-AVERAGE(O4,S4),
  W4-AVERAGE(S4,W4),
  AA4-AVERAGE(W4,AA4),
  AE4-AVERAGE(AA4,AE4),
  AI4-AVERAGE(AE4,AI4),
  AN4-AVERAGE(AI4,AN4)
)</f>
        <v>0</v>
      </c>
      <c r="AQ4" s="1">
        <f>SUMIFS(
  '[1]Hoja 1'!$M:$M,
  '[1]Hoja 1'!$S:$S, $A4,
  '[1]Hoja 1'!$R:$R, "&gt;="&amp;INT($AS$1),
  '[1]Hoja 1'!$R:$R, "&lt;"&amp;INT($AT$1+1)
)</f>
        <v>0</v>
      </c>
      <c r="AR4" s="1">
        <f t="shared" ref="AR4:AR67" si="25">IF(
    OR(ISBLANK(AM4),ISBLANK(AQ4)),
    "",
    ROUND(AVERAGE(AM4,AQ4),0)
)</f>
        <v>0</v>
      </c>
      <c r="AS4" s="9">
        <f t="shared" ref="AS4:AS67" si="26" xml:space="preserve"> AR4 - 1.96*_xlfn.STDEV.S(
  G4-AVERAGE(C4,G4),
  K4-AVERAGE(G4,K4),
  O4-AVERAGE(K4,O4),
  S4-AVERAGE(O4,S4),
  W4-AVERAGE(S4,W4),
  AA4-AVERAGE(W4,AA4),
  AE4-AVERAGE(AA4,AE4),
  AI4-AVERAGE(AE4,AI4),
  AN4-AVERAGE(AI4,AN4),
  AR4-AVERAGE(AN4,AR4)
)</f>
        <v>0</v>
      </c>
      <c r="AT4" s="10">
        <f t="shared" ref="AT4:AT67" si="27" xml:space="preserve"> AR4 + 1.96*_xlfn.STDEV.S(
  G4-AVERAGE(C4,G4),
  K4-AVERAGE(G4,K4),
  O4-AVERAGE(K4,O4),
  S4-AVERAGE(O4,S4),
  W4-AVERAGE(S4,W4),
  AA4-AVERAGE(W4,AA4),
  AE4-AVERAGE(AA4,AE4),
  AI4-AVERAGE(AE4,AI4),
  AN4-AVERAGE(AI4,AN4),
  AR4-AVERAGE(AN4,AR4)
)</f>
        <v>0</v>
      </c>
      <c r="AU4" s="1">
        <f>SUMIFS(
  '[1]Hoja 1'!$M:$M,
  '[1]Hoja 1'!$S:$S, $A4,
  '[1]Hoja 1'!$R:$R, "&gt;="&amp;INT($AW$1),
  '[1]Hoja 1'!$R:$R, "&lt;"&amp;INT($AX$1+1)
)</f>
        <v>0</v>
      </c>
      <c r="AV4" s="1">
        <f t="shared" ref="AV4:AV67" si="28">IF(
    OR(ISBLANK(AQ4),ISBLANK(AU4)),
    "",
    ROUND(AVERAGE(AQ4,AU4),0)
)</f>
        <v>0</v>
      </c>
      <c r="AW4" s="9">
        <f t="shared" ref="AW4:AW67" si="29" xml:space="preserve"> AV4 - 1.96*_xlfn.STDEV.S(
  G4-AVERAGE(C4,G4),
  K4-AVERAGE(G4,K4),
  O4-AVERAGE(K4,O4),
  S4-AVERAGE(O4,S4),
  W4-AVERAGE(S4,W4),
  AA4-AVERAGE(W4,AA4),
  AE4-AVERAGE(AA4,AE4),
  AI4-AVERAGE(AE4,AI4),
  AN4-AVERAGE(AI4,AN4),
  AR4-AVERAGE(AN4,AR4),
  AV4-AVERAGE(AR4,AV4)
)</f>
        <v>0</v>
      </c>
      <c r="AX4" s="10">
        <f t="shared" ref="AX4:AX67" si="30" xml:space="preserve"> AV4 + 1.96*_xlfn.STDEV.S(
  G4-AVERAGE(C4,G4),
  K4-AVERAGE(G4,K4),
  O4-AVERAGE(K4,O4),
  S4-AVERAGE(O4,S4),
  W4-AVERAGE(S4,W4),
  AA4-AVERAGE(W4,AA4),
  AE4-AVERAGE(AA4,AE4),
  AI4-AVERAGE(AE4,AI4),
  AN4-AVERAGE(AI4,AN4),
  AR4-AVERAGE(AN4,AR4),
  AV4-AVERAGE(AR4,AV4)
)</f>
        <v>0</v>
      </c>
    </row>
    <row r="5" spans="1:50" x14ac:dyDescent="0.25">
      <c r="A5" s="5">
        <v>201022</v>
      </c>
      <c r="B5" s="6" t="s">
        <v>2</v>
      </c>
      <c r="C5" s="1">
        <f>SUMIFS(
  '[1]Hoja 1'!$M:$M,
  '[1]Hoja 1'!$S:$S, $A5,
  '[1]Hoja 1'!$R:$R, "&gt;="&amp;INT($E$1),
  '[1]Hoja 1'!$R:$R, "&lt;"&amp;INT($F$1+1)
)</f>
        <v>14</v>
      </c>
      <c r="D5" s="1" t="str">
        <f>""</f>
        <v/>
      </c>
      <c r="F5" s="2"/>
      <c r="G5" s="1">
        <f>SUMIFS(
  '[1]Hoja 1'!$M:$M,
  '[1]Hoja 1'!$S:$S, $A5,
  '[1]Hoja 1'!$R:$R, "&gt;="&amp;INT($I$1),
  '[1]Hoja 1'!$R:$R, "&lt;"&amp;INT($J$1+1)
)</f>
        <v>3</v>
      </c>
      <c r="H5" s="1">
        <f t="shared" si="0"/>
        <v>9</v>
      </c>
      <c r="I5" s="1"/>
      <c r="J5" s="2"/>
      <c r="K5" s="1">
        <f>SUMIFS(
  '[1]Hoja 1'!$M:$M,
  '[1]Hoja 1'!$S:$S, $A5,
  '[1]Hoja 1'!$R:$R, "&gt;="&amp;INT($M$1),
  '[1]Hoja 1'!$R:$R, "&lt;"&amp;INT($N$1+1)
)</f>
        <v>0</v>
      </c>
      <c r="L5" s="1">
        <f t="shared" si="1"/>
        <v>1.5</v>
      </c>
      <c r="M5" s="9">
        <f t="shared" si="2"/>
        <v>-4.0437171645025325</v>
      </c>
      <c r="N5" s="10">
        <f t="shared" si="3"/>
        <v>7.0437171645025325</v>
      </c>
      <c r="O5" s="1">
        <f>SUMIFS(
  '[1]Hoja 1'!$M:$M,
  '[1]Hoja 1'!$S:$S, $A5,
  '[1]Hoja 1'!$R:$R, "&gt;="&amp;INT($Q$1),
  '[1]Hoja 1'!$R:$R, "&lt;"&amp;INT($R$1+1)
)</f>
        <v>0</v>
      </c>
      <c r="P5" s="1">
        <f t="shared" si="4"/>
        <v>0</v>
      </c>
      <c r="Q5" s="9">
        <f t="shared" si="5"/>
        <v>-5.5725158890157802</v>
      </c>
      <c r="R5" s="10">
        <f t="shared" si="6"/>
        <v>5.5725158890157802</v>
      </c>
      <c r="S5" s="1">
        <f>SUMIFS(
  '[1]Hoja 1'!$M:$M,
  '[1]Hoja 1'!$S:$S, $A5,
  '[1]Hoja 1'!$R:$R, "&gt;="&amp;INT($U$1),
  '[1]Hoja 1'!$R:$R, "&lt;"&amp;INT($V$1+1)
)</f>
        <v>0</v>
      </c>
      <c r="T5" s="1">
        <f t="shared" si="7"/>
        <v>0</v>
      </c>
      <c r="U5" s="9">
        <f t="shared" si="8"/>
        <v>-4.6226507547077356</v>
      </c>
      <c r="V5" s="10">
        <f t="shared" si="9"/>
        <v>4.6226507547077356</v>
      </c>
      <c r="W5" s="1">
        <f>SUMIFS(
  '[1]Hoja 1'!$M:$M,
  '[1]Hoja 1'!$S:$S, $A5,
  '[1]Hoja 1'!$R:$R, "&gt;="&amp;INT($Y$1),
  '[1]Hoja 1'!$R:$R, "&lt;"&amp;INT($Z$1+1)
)</f>
        <v>0</v>
      </c>
      <c r="X5" s="1">
        <f t="shared" si="10"/>
        <v>0</v>
      </c>
      <c r="Y5" s="9">
        <f t="shared" si="11"/>
        <v>-4.6691626658320651</v>
      </c>
      <c r="Z5" s="10">
        <f t="shared" si="12"/>
        <v>4.6691626658320651</v>
      </c>
      <c r="AA5" s="1">
        <f>SUMIFS(
  '[1]Hoja 1'!$M:$M,
  '[1]Hoja 1'!$S:$S, $A5,
  '[1]Hoja 1'!$R:$R, "&gt;="&amp;INT($AC$1),
  '[1]Hoja 1'!$R:$R, "&lt;"&amp;INT($AD$1+1)
)</f>
        <v>0</v>
      </c>
      <c r="AB5" s="1">
        <f t="shared" si="13"/>
        <v>0</v>
      </c>
      <c r="AC5" s="9">
        <f t="shared" si="14"/>
        <v>-4.3238624708316831</v>
      </c>
      <c r="AD5" s="10">
        <f t="shared" si="15"/>
        <v>4.3238624708316831</v>
      </c>
      <c r="AE5" s="1">
        <f>SUMIFS(
  '[1]Hoja 1'!$M:$M,
  '[1]Hoja 1'!$S:$S, $A5,
  '[1]Hoja 1'!$R:$R, "&gt;="&amp;INT($AG$1),
  '[1]Hoja 1'!$R:$R, "&lt;"&amp;INT($AH$1+1)
)</f>
        <v>0</v>
      </c>
      <c r="AF5" s="1">
        <f t="shared" si="16"/>
        <v>0</v>
      </c>
      <c r="AG5" s="9">
        <f t="shared" si="17"/>
        <v>-4.0406435131053069</v>
      </c>
      <c r="AH5" s="10">
        <f t="shared" si="18"/>
        <v>4.0406435131053069</v>
      </c>
      <c r="AI5" s="1">
        <f>SUMIFS(
  '[1]Hoja 1'!$M:$M,
  '[1]Hoja 1'!$S:$S, $A5,
  '[1]Hoja 1'!$R:$R, "&gt;="&amp;INT($AK$1),
  '[1]Hoja 1'!$R:$R, "&lt;"&amp;INT($AJ$1+1)
)</f>
        <v>0</v>
      </c>
      <c r="AJ5" s="1">
        <f t="shared" si="19"/>
        <v>0</v>
      </c>
      <c r="AK5" s="9">
        <f t="shared" si="20"/>
        <v>-3.8045499076763338</v>
      </c>
      <c r="AL5" s="10">
        <f t="shared" si="21"/>
        <v>3.8045499076763338</v>
      </c>
      <c r="AM5" s="1">
        <f>SUMIFS(
  '[1]Hoja 1'!$M:$M,
  '[1]Hoja 1'!$S:$S, $A5,
  '[1]Hoja 1'!$R:$R, "&gt;="&amp;INT($AO$1),
  '[1]Hoja 1'!$R:$R, "&lt;"&amp;INT($AP$1+1)
)</f>
        <v>0</v>
      </c>
      <c r="AN5" s="1">
        <f t="shared" si="22"/>
        <v>0</v>
      </c>
      <c r="AO5" s="9">
        <f t="shared" si="23"/>
        <v>-3.6044524934832722</v>
      </c>
      <c r="AP5" s="10">
        <f t="shared" si="24"/>
        <v>3.6044524934832722</v>
      </c>
      <c r="AQ5" s="1">
        <f>SUMIFS(
  '[1]Hoja 1'!$M:$M,
  '[1]Hoja 1'!$S:$S, $A5,
  '[1]Hoja 1'!$R:$R, "&gt;="&amp;INT($AS$1),
  '[1]Hoja 1'!$R:$R, "&lt;"&amp;INT($AT$1+1)
)</f>
        <v>0</v>
      </c>
      <c r="AR5" s="1">
        <f t="shared" si="25"/>
        <v>0</v>
      </c>
      <c r="AS5" s="9">
        <f t="shared" si="26"/>
        <v>-3.4323325402219793</v>
      </c>
      <c r="AT5" s="10">
        <f t="shared" si="27"/>
        <v>3.4323325402219793</v>
      </c>
      <c r="AU5" s="1">
        <f>SUMIFS(
  '[1]Hoja 1'!$M:$M,
  '[1]Hoja 1'!$S:$S, $A5,
  '[1]Hoja 1'!$R:$R, "&gt;="&amp;INT($AW$1),
  '[1]Hoja 1'!$R:$R, "&lt;"&amp;INT($AX$1+1)
)</f>
        <v>0</v>
      </c>
      <c r="AV5" s="1">
        <f t="shared" si="28"/>
        <v>0</v>
      </c>
      <c r="AW5" s="9">
        <f t="shared" si="29"/>
        <v>-3.2823683245762987</v>
      </c>
      <c r="AX5" s="10">
        <f t="shared" si="30"/>
        <v>3.2823683245762987</v>
      </c>
    </row>
    <row r="6" spans="1:50" x14ac:dyDescent="0.25">
      <c r="A6" s="5">
        <v>201024</v>
      </c>
      <c r="B6" s="6" t="s">
        <v>3</v>
      </c>
      <c r="C6" s="1">
        <f>SUMIFS(
  '[1]Hoja 1'!$M:$M,
  '[1]Hoja 1'!$S:$S, $A6,
  '[1]Hoja 1'!$R:$R, "&gt;="&amp;INT($E$1),
  '[1]Hoja 1'!$R:$R, "&lt;"&amp;INT($F$1+1)
)</f>
        <v>84</v>
      </c>
      <c r="D6" s="1" t="str">
        <f>""</f>
        <v/>
      </c>
      <c r="F6" s="2"/>
      <c r="G6" s="1">
        <f>SUMIFS(
  '[1]Hoja 1'!$M:$M,
  '[1]Hoja 1'!$S:$S, $A6,
  '[1]Hoja 1'!$R:$R, "&gt;="&amp;INT($I$1),
  '[1]Hoja 1'!$R:$R, "&lt;"&amp;INT($J$1+1)
)</f>
        <v>59</v>
      </c>
      <c r="H6" s="1">
        <f t="shared" si="0"/>
        <v>72</v>
      </c>
      <c r="I6" s="1"/>
      <c r="J6" s="2"/>
      <c r="K6" s="1">
        <f>SUMIFS(
  '[1]Hoja 1'!$M:$M,
  '[1]Hoja 1'!$S:$S, $A6,
  '[1]Hoja 1'!$R:$R, "&gt;="&amp;INT($M$1),
  '[1]Hoja 1'!$R:$R, "&lt;"&amp;INT($N$1+1)
)</f>
        <v>0</v>
      </c>
      <c r="L6" s="1">
        <f t="shared" si="1"/>
        <v>29.5</v>
      </c>
      <c r="M6" s="9">
        <f t="shared" si="2"/>
        <v>5.9392020508642389</v>
      </c>
      <c r="N6" s="10">
        <f t="shared" si="3"/>
        <v>53.060797949135761</v>
      </c>
      <c r="O6" s="1">
        <f>SUMIFS(
  '[1]Hoja 1'!$M:$M,
  '[1]Hoja 1'!$S:$S, $A6,
  '[1]Hoja 1'!$R:$R, "&gt;="&amp;INT($Q$1),
  '[1]Hoja 1'!$R:$R, "&lt;"&amp;INT($R$1+1)
)</f>
        <v>0</v>
      </c>
      <c r="P6" s="1">
        <f t="shared" si="4"/>
        <v>0</v>
      </c>
      <c r="Q6" s="9">
        <f t="shared" si="5"/>
        <v>-29.021902074123261</v>
      </c>
      <c r="R6" s="10">
        <f t="shared" si="6"/>
        <v>29.021902074123261</v>
      </c>
      <c r="S6" s="1">
        <f>SUMIFS(
  '[1]Hoja 1'!$M:$M,
  '[1]Hoja 1'!$S:$S, $A6,
  '[1]Hoja 1'!$R:$R, "&gt;="&amp;INT($U$1),
  '[1]Hoja 1'!$R:$R, "&lt;"&amp;INT($V$1+1)
)</f>
        <v>0</v>
      </c>
      <c r="T6" s="1">
        <f t="shared" si="7"/>
        <v>0</v>
      </c>
      <c r="U6" s="9">
        <f t="shared" si="8"/>
        <v>-26.675388781921562</v>
      </c>
      <c r="V6" s="10">
        <f t="shared" si="9"/>
        <v>26.675388781921562</v>
      </c>
      <c r="W6" s="1">
        <f>SUMIFS(
  '[1]Hoja 1'!$M:$M,
  '[1]Hoja 1'!$S:$S, $A6,
  '[1]Hoja 1'!$R:$R, "&gt;="&amp;INT($Y$1),
  '[1]Hoja 1'!$R:$R, "&lt;"&amp;INT($Z$1+1)
)</f>
        <v>0</v>
      </c>
      <c r="X6" s="1">
        <f t="shared" si="10"/>
        <v>0</v>
      </c>
      <c r="Y6" s="9">
        <f t="shared" si="11"/>
        <v>-25.436616913418341</v>
      </c>
      <c r="Z6" s="10">
        <f t="shared" si="12"/>
        <v>25.436616913418341</v>
      </c>
      <c r="AA6" s="1">
        <f>SUMIFS(
  '[1]Hoja 1'!$M:$M,
  '[1]Hoja 1'!$S:$S, $A6,
  '[1]Hoja 1'!$R:$R, "&gt;="&amp;INT($AC$1),
  '[1]Hoja 1'!$R:$R, "&lt;"&amp;INT($AD$1+1)
)</f>
        <v>0</v>
      </c>
      <c r="AB6" s="1">
        <f t="shared" si="13"/>
        <v>0</v>
      </c>
      <c r="AC6" s="9">
        <f t="shared" si="14"/>
        <v>-23.723288136343999</v>
      </c>
      <c r="AD6" s="10">
        <f t="shared" si="15"/>
        <v>23.723288136343999</v>
      </c>
      <c r="AE6" s="1">
        <f>SUMIFS(
  '[1]Hoja 1'!$M:$M,
  '[1]Hoja 1'!$S:$S, $A6,
  '[1]Hoja 1'!$R:$R, "&gt;="&amp;INT($AG$1),
  '[1]Hoja 1'!$R:$R, "&lt;"&amp;INT($AH$1+1)
)</f>
        <v>0</v>
      </c>
      <c r="AF6" s="1">
        <f t="shared" si="16"/>
        <v>0</v>
      </c>
      <c r="AG6" s="9">
        <f t="shared" si="17"/>
        <v>-22.268509903748239</v>
      </c>
      <c r="AH6" s="10">
        <f t="shared" si="18"/>
        <v>22.268509903748239</v>
      </c>
      <c r="AI6" s="1">
        <f>SUMIFS(
  '[1]Hoja 1'!$M:$M,
  '[1]Hoja 1'!$S:$S, $A6,
  '[1]Hoja 1'!$R:$R, "&gt;="&amp;INT($AK$1),
  '[1]Hoja 1'!$R:$R, "&lt;"&amp;INT($AJ$1+1)
)</f>
        <v>0</v>
      </c>
      <c r="AJ6" s="1">
        <f t="shared" si="19"/>
        <v>0</v>
      </c>
      <c r="AK6" s="9">
        <f t="shared" si="20"/>
        <v>-21.031709393199591</v>
      </c>
      <c r="AL6" s="10">
        <f t="shared" si="21"/>
        <v>21.031709393199591</v>
      </c>
      <c r="AM6" s="1">
        <f>SUMIFS(
  '[1]Hoja 1'!$M:$M,
  '[1]Hoja 1'!$S:$S, $A6,
  '[1]Hoja 1'!$R:$R, "&gt;="&amp;INT($AO$1),
  '[1]Hoja 1'!$R:$R, "&lt;"&amp;INT($AP$1+1)
)</f>
        <v>0</v>
      </c>
      <c r="AN6" s="1">
        <f t="shared" si="22"/>
        <v>0</v>
      </c>
      <c r="AO6" s="9">
        <f t="shared" si="23"/>
        <v>-19.970130194868535</v>
      </c>
      <c r="AP6" s="10">
        <f t="shared" si="24"/>
        <v>19.970130194868535</v>
      </c>
      <c r="AQ6" s="1">
        <f>SUMIFS(
  '[1]Hoja 1'!$M:$M,
  '[1]Hoja 1'!$S:$S, $A6,
  '[1]Hoja 1'!$R:$R, "&gt;="&amp;INT($AS$1),
  '[1]Hoja 1'!$R:$R, "&lt;"&amp;INT($AT$1+1)
)</f>
        <v>0</v>
      </c>
      <c r="AR6" s="1">
        <f t="shared" si="25"/>
        <v>0</v>
      </c>
      <c r="AS6" s="9">
        <f t="shared" si="26"/>
        <v>-19.048896614298222</v>
      </c>
      <c r="AT6" s="10">
        <f t="shared" si="27"/>
        <v>19.048896614298222</v>
      </c>
      <c r="AU6" s="1">
        <f>SUMIFS(
  '[1]Hoja 1'!$M:$M,
  '[1]Hoja 1'!$S:$S, $A6,
  '[1]Hoja 1'!$R:$R, "&gt;="&amp;INT($AW$1),
  '[1]Hoja 1'!$R:$R, "&lt;"&amp;INT($AX$1+1)
)</f>
        <v>0</v>
      </c>
      <c r="AV6" s="1">
        <f t="shared" si="28"/>
        <v>0</v>
      </c>
      <c r="AW6" s="9">
        <f t="shared" si="29"/>
        <v>-18.241023695356176</v>
      </c>
      <c r="AX6" s="10">
        <f t="shared" si="30"/>
        <v>18.241023695356176</v>
      </c>
    </row>
    <row r="7" spans="1:50" x14ac:dyDescent="0.25">
      <c r="A7" s="5">
        <v>207017</v>
      </c>
      <c r="B7" s="6" t="s">
        <v>4</v>
      </c>
      <c r="C7" s="1">
        <f>SUMIFS(
  '[1]Hoja 1'!$M:$M,
  '[1]Hoja 1'!$S:$S, $A7,
  '[1]Hoja 1'!$R:$R, "&gt;="&amp;INT($E$1),
  '[1]Hoja 1'!$R:$R, "&lt;"&amp;INT($F$1+1)
)</f>
        <v>36</v>
      </c>
      <c r="D7" s="1" t="str">
        <f>""</f>
        <v/>
      </c>
      <c r="F7" s="2"/>
      <c r="G7" s="1">
        <f>SUMIFS(
  '[1]Hoja 1'!$M:$M,
  '[1]Hoja 1'!$S:$S, $A7,
  '[1]Hoja 1'!$R:$R, "&gt;="&amp;INT($I$1),
  '[1]Hoja 1'!$R:$R, "&lt;"&amp;INT($J$1+1)
)</f>
        <v>16</v>
      </c>
      <c r="H7" s="1">
        <f t="shared" si="0"/>
        <v>26</v>
      </c>
      <c r="I7" s="1"/>
      <c r="J7" s="2"/>
      <c r="K7" s="1">
        <f>SUMIFS(
  '[1]Hoja 1'!$M:$M,
  '[1]Hoja 1'!$S:$S, $A7,
  '[1]Hoja 1'!$R:$R, "&gt;="&amp;INT($M$1),
  '[1]Hoja 1'!$R:$R, "&lt;"&amp;INT($N$1+1)
)</f>
        <v>0</v>
      </c>
      <c r="L7" s="1">
        <f t="shared" si="1"/>
        <v>8</v>
      </c>
      <c r="M7" s="9">
        <f t="shared" si="2"/>
        <v>5.2281414177487342</v>
      </c>
      <c r="N7" s="10">
        <f t="shared" si="3"/>
        <v>10.771858582251266</v>
      </c>
      <c r="O7" s="1">
        <f>SUMIFS(
  '[1]Hoja 1'!$M:$M,
  '[1]Hoja 1'!$S:$S, $A7,
  '[1]Hoja 1'!$R:$R, "&gt;="&amp;INT($Q$1),
  '[1]Hoja 1'!$R:$R, "&lt;"&amp;INT($R$1+1)
)</f>
        <v>0</v>
      </c>
      <c r="P7" s="1">
        <f t="shared" si="4"/>
        <v>0</v>
      </c>
      <c r="Q7" s="9">
        <f t="shared" si="5"/>
        <v>-10.371345139373195</v>
      </c>
      <c r="R7" s="10">
        <f t="shared" si="6"/>
        <v>10.371345139373195</v>
      </c>
      <c r="S7" s="1">
        <f>SUMIFS(
  '[1]Hoja 1'!$M:$M,
  '[1]Hoja 1'!$S:$S, $A7,
  '[1]Hoja 1'!$R:$R, "&gt;="&amp;INT($U$1),
  '[1]Hoja 1'!$R:$R, "&lt;"&amp;INT($V$1+1)
)</f>
        <v>0</v>
      </c>
      <c r="T7" s="1">
        <f t="shared" si="7"/>
        <v>0</v>
      </c>
      <c r="U7" s="9">
        <f t="shared" si="8"/>
        <v>-9.5476681271746475</v>
      </c>
      <c r="V7" s="10">
        <f t="shared" si="9"/>
        <v>9.5476681271746475</v>
      </c>
      <c r="W7" s="1">
        <f>SUMIFS(
  '[1]Hoja 1'!$M:$M,
  '[1]Hoja 1'!$S:$S, $A7,
  '[1]Hoja 1'!$R:$R, "&gt;="&amp;INT($Y$1),
  '[1]Hoja 1'!$R:$R, "&lt;"&amp;INT($Z$1+1)
)</f>
        <v>0</v>
      </c>
      <c r="X7" s="1">
        <f t="shared" si="10"/>
        <v>0</v>
      </c>
      <c r="Y7" s="9">
        <f t="shared" si="11"/>
        <v>-9.7607212848231661</v>
      </c>
      <c r="Z7" s="10">
        <f t="shared" si="12"/>
        <v>9.7607212848231661</v>
      </c>
      <c r="AA7" s="1">
        <f>SUMIFS(
  '[1]Hoja 1'!$M:$M,
  '[1]Hoja 1'!$S:$S, $A7,
  '[1]Hoja 1'!$R:$R, "&gt;="&amp;INT($AC$1),
  '[1]Hoja 1'!$R:$R, "&lt;"&amp;INT($AD$1+1)
)</f>
        <v>0</v>
      </c>
      <c r="AB7" s="1">
        <f t="shared" si="13"/>
        <v>0</v>
      </c>
      <c r="AC7" s="9">
        <f t="shared" si="14"/>
        <v>-9.1932148892539214</v>
      </c>
      <c r="AD7" s="10">
        <f t="shared" si="15"/>
        <v>9.1932148892539214</v>
      </c>
      <c r="AE7" s="1">
        <f>SUMIFS(
  '[1]Hoja 1'!$M:$M,
  '[1]Hoja 1'!$S:$S, $A7,
  '[1]Hoja 1'!$R:$R, "&gt;="&amp;INT($AG$1),
  '[1]Hoja 1'!$R:$R, "&lt;"&amp;INT($AH$1+1)
)</f>
        <v>0</v>
      </c>
      <c r="AF7" s="1">
        <f t="shared" si="16"/>
        <v>0</v>
      </c>
      <c r="AG7" s="9">
        <f t="shared" si="17"/>
        <v>-8.6815052458276689</v>
      </c>
      <c r="AH7" s="10">
        <f t="shared" si="18"/>
        <v>8.6815052458276689</v>
      </c>
      <c r="AI7" s="1">
        <f>SUMIFS(
  '[1]Hoja 1'!$M:$M,
  '[1]Hoja 1'!$S:$S, $A7,
  '[1]Hoja 1'!$R:$R, "&gt;="&amp;INT($AK$1),
  '[1]Hoja 1'!$R:$R, "&lt;"&amp;INT($AJ$1+1)
)</f>
        <v>0</v>
      </c>
      <c r="AJ7" s="1">
        <f t="shared" si="19"/>
        <v>0</v>
      </c>
      <c r="AK7" s="9">
        <f t="shared" si="20"/>
        <v>-8.2326666396739263</v>
      </c>
      <c r="AL7" s="10">
        <f t="shared" si="21"/>
        <v>8.2326666396739263</v>
      </c>
      <c r="AM7" s="1">
        <f>SUMIFS(
  '[1]Hoja 1'!$M:$M,
  '[1]Hoja 1'!$S:$S, $A7,
  '[1]Hoja 1'!$R:$R, "&gt;="&amp;INT($AO$1),
  '[1]Hoja 1'!$R:$R, "&lt;"&amp;INT($AP$1+1)
)</f>
        <v>0</v>
      </c>
      <c r="AN7" s="1">
        <f t="shared" si="22"/>
        <v>0</v>
      </c>
      <c r="AO7" s="9">
        <f t="shared" si="23"/>
        <v>-7.84</v>
      </c>
      <c r="AP7" s="10">
        <f t="shared" si="24"/>
        <v>7.84</v>
      </c>
      <c r="AQ7" s="1">
        <f>SUMIFS(
  '[1]Hoja 1'!$M:$M,
  '[1]Hoja 1'!$S:$S, $A7,
  '[1]Hoja 1'!$R:$R, "&gt;="&amp;INT($AS$1),
  '[1]Hoja 1'!$R:$R, "&lt;"&amp;INT($AT$1+1)
)</f>
        <v>0</v>
      </c>
      <c r="AR7" s="1">
        <f t="shared" si="25"/>
        <v>0</v>
      </c>
      <c r="AS7" s="9">
        <f t="shared" si="26"/>
        <v>-7.4948468222431925</v>
      </c>
      <c r="AT7" s="10">
        <f t="shared" si="27"/>
        <v>7.4948468222431925</v>
      </c>
      <c r="AU7" s="1">
        <f>SUMIFS(
  '[1]Hoja 1'!$M:$M,
  '[1]Hoja 1'!$S:$S, $A7,
  '[1]Hoja 1'!$R:$R, "&gt;="&amp;INT($AW$1),
  '[1]Hoja 1'!$R:$R, "&lt;"&amp;INT($AX$1+1)
)</f>
        <v>0</v>
      </c>
      <c r="AV7" s="1">
        <f t="shared" si="28"/>
        <v>0</v>
      </c>
      <c r="AW7" s="9">
        <f t="shared" si="29"/>
        <v>-7.1893658842892281</v>
      </c>
      <c r="AX7" s="10">
        <f t="shared" si="30"/>
        <v>7.1893658842892281</v>
      </c>
    </row>
    <row r="8" spans="1:50" x14ac:dyDescent="0.25">
      <c r="A8" s="5">
        <v>209011</v>
      </c>
      <c r="B8" s="6" t="s">
        <v>5</v>
      </c>
      <c r="C8" s="1">
        <f>SUMIFS(
  '[1]Hoja 1'!$M:$M,
  '[1]Hoja 1'!$S:$S, $A8,
  '[1]Hoja 1'!$R:$R, "&gt;="&amp;INT($E$1),
  '[1]Hoja 1'!$R:$R, "&lt;"&amp;INT($F$1+1)
)</f>
        <v>2</v>
      </c>
      <c r="D8" s="1" t="str">
        <f>""</f>
        <v/>
      </c>
      <c r="F8" s="2"/>
      <c r="G8" s="1">
        <f>SUMIFS(
  '[1]Hoja 1'!$M:$M,
  '[1]Hoja 1'!$S:$S, $A8,
  '[1]Hoja 1'!$R:$R, "&gt;="&amp;INT($I$1),
  '[1]Hoja 1'!$R:$R, "&lt;"&amp;INT($J$1+1)
)</f>
        <v>4</v>
      </c>
      <c r="H8" s="1">
        <f t="shared" si="0"/>
        <v>3</v>
      </c>
      <c r="I8" s="1"/>
      <c r="J8" s="2"/>
      <c r="K8" s="1">
        <f>SUMIFS(
  '[1]Hoja 1'!$M:$M,
  '[1]Hoja 1'!$S:$S, $A8,
  '[1]Hoja 1'!$R:$R, "&gt;="&amp;INT($M$1),
  '[1]Hoja 1'!$R:$R, "&lt;"&amp;INT($N$1+1)
)</f>
        <v>0</v>
      </c>
      <c r="L8" s="1">
        <f t="shared" si="1"/>
        <v>2</v>
      </c>
      <c r="M8" s="9">
        <f t="shared" si="2"/>
        <v>-2.1577878733768987</v>
      </c>
      <c r="N8" s="10">
        <f t="shared" si="3"/>
        <v>6.1577878733768987</v>
      </c>
      <c r="O8" s="1">
        <f>SUMIFS(
  '[1]Hoja 1'!$M:$M,
  '[1]Hoja 1'!$S:$S, $A8,
  '[1]Hoja 1'!$R:$R, "&gt;="&amp;INT($Q$1),
  '[1]Hoja 1'!$R:$R, "&lt;"&amp;INT($R$1+1)
)</f>
        <v>0</v>
      </c>
      <c r="P8" s="1">
        <f t="shared" si="4"/>
        <v>0</v>
      </c>
      <c r="Q8" s="9">
        <f t="shared" si="5"/>
        <v>-2.9939494540378155</v>
      </c>
      <c r="R8" s="10">
        <f t="shared" si="6"/>
        <v>2.9939494540378155</v>
      </c>
      <c r="S8" s="1">
        <f>SUMIFS(
  '[1]Hoja 1'!$M:$M,
  '[1]Hoja 1'!$S:$S, $A8,
  '[1]Hoja 1'!$R:$R, "&gt;="&amp;INT($U$1),
  '[1]Hoja 1'!$R:$R, "&lt;"&amp;INT($V$1+1)
)</f>
        <v>0</v>
      </c>
      <c r="T8" s="1">
        <f t="shared" si="7"/>
        <v>0</v>
      </c>
      <c r="U8" s="9">
        <f t="shared" si="8"/>
        <v>-2.69870956817019</v>
      </c>
      <c r="V8" s="10">
        <f t="shared" si="9"/>
        <v>2.69870956817019</v>
      </c>
      <c r="W8" s="1">
        <f>SUMIFS(
  '[1]Hoja 1'!$M:$M,
  '[1]Hoja 1'!$S:$S, $A8,
  '[1]Hoja 1'!$R:$R, "&gt;="&amp;INT($Y$1),
  '[1]Hoja 1'!$R:$R, "&lt;"&amp;INT($Z$1+1)
)</f>
        <v>0</v>
      </c>
      <c r="X8" s="1">
        <f t="shared" si="10"/>
        <v>0</v>
      </c>
      <c r="Y8" s="9">
        <f t="shared" si="11"/>
        <v>-2.1470724254202511</v>
      </c>
      <c r="Z8" s="10">
        <f t="shared" si="12"/>
        <v>2.1470724254202511</v>
      </c>
      <c r="AA8" s="1">
        <f>SUMIFS(
  '[1]Hoja 1'!$M:$M,
  '[1]Hoja 1'!$S:$S, $A8,
  '[1]Hoja 1'!$R:$R, "&gt;="&amp;INT($AC$1),
  '[1]Hoja 1'!$R:$R, "&lt;"&amp;INT($AD$1+1)
)</f>
        <v>0</v>
      </c>
      <c r="AB8" s="1">
        <f t="shared" si="13"/>
        <v>0</v>
      </c>
      <c r="AC8" s="9">
        <f t="shared" si="14"/>
        <v>-1.9270564772903429</v>
      </c>
      <c r="AD8" s="10">
        <f t="shared" si="15"/>
        <v>1.9270564772903429</v>
      </c>
      <c r="AE8" s="1">
        <f>SUMIFS(
  '[1]Hoja 1'!$M:$M,
  '[1]Hoja 1'!$S:$S, $A8,
  '[1]Hoja 1'!$R:$R, "&gt;="&amp;INT($AG$1),
  '[1]Hoja 1'!$R:$R, "&lt;"&amp;INT($AH$1+1)
)</f>
        <v>0</v>
      </c>
      <c r="AF8" s="1">
        <f t="shared" si="16"/>
        <v>0</v>
      </c>
      <c r="AG8" s="9">
        <f t="shared" si="17"/>
        <v>-1.7634814052511769</v>
      </c>
      <c r="AH8" s="10">
        <f t="shared" si="18"/>
        <v>1.7634814052511769</v>
      </c>
      <c r="AI8" s="1">
        <f>SUMIFS(
  '[1]Hoja 1'!$M:$M,
  '[1]Hoja 1'!$S:$S, $A8,
  '[1]Hoja 1'!$R:$R, "&gt;="&amp;INT($AK$1),
  '[1]Hoja 1'!$R:$R, "&lt;"&amp;INT($AJ$1+1)
)</f>
        <v>0</v>
      </c>
      <c r="AJ8" s="1">
        <f t="shared" si="19"/>
        <v>0</v>
      </c>
      <c r="AK8" s="9">
        <f t="shared" si="20"/>
        <v>-1.635665002376709</v>
      </c>
      <c r="AL8" s="10">
        <f t="shared" si="21"/>
        <v>1.635665002376709</v>
      </c>
      <c r="AM8" s="1">
        <f>SUMIFS(
  '[1]Hoja 1'!$M:$M,
  '[1]Hoja 1'!$S:$S, $A8,
  '[1]Hoja 1'!$R:$R, "&gt;="&amp;INT($AO$1),
  '[1]Hoja 1'!$R:$R, "&lt;"&amp;INT($AP$1+1)
)</f>
        <v>0</v>
      </c>
      <c r="AN8" s="1">
        <f t="shared" si="22"/>
        <v>0</v>
      </c>
      <c r="AO8" s="9">
        <f t="shared" si="23"/>
        <v>-1.5322024815423205</v>
      </c>
      <c r="AP8" s="10">
        <f t="shared" si="24"/>
        <v>1.5322024815423205</v>
      </c>
      <c r="AQ8" s="1">
        <f>SUMIFS(
  '[1]Hoja 1'!$M:$M,
  '[1]Hoja 1'!$S:$S, $A8,
  '[1]Hoja 1'!$R:$R, "&gt;="&amp;INT($AS$1),
  '[1]Hoja 1'!$R:$R, "&lt;"&amp;INT($AT$1+1)
)</f>
        <v>0</v>
      </c>
      <c r="AR8" s="1">
        <f t="shared" si="25"/>
        <v>0</v>
      </c>
      <c r="AS8" s="9">
        <f t="shared" si="26"/>
        <v>-1.4462149832503388</v>
      </c>
      <c r="AT8" s="10">
        <f t="shared" si="27"/>
        <v>1.4462149832503388</v>
      </c>
      <c r="AU8" s="1">
        <f>SUMIFS(
  '[1]Hoja 1'!$M:$M,
  '[1]Hoja 1'!$S:$S, $A8,
  '[1]Hoja 1'!$R:$R, "&gt;="&amp;INT($AW$1),
  '[1]Hoja 1'!$R:$R, "&lt;"&amp;INT($AX$1+1)
)</f>
        <v>0</v>
      </c>
      <c r="AV8" s="1">
        <f t="shared" si="28"/>
        <v>0</v>
      </c>
      <c r="AW8" s="9">
        <f t="shared" si="29"/>
        <v>-1.3732721375009265</v>
      </c>
      <c r="AX8" s="10">
        <f t="shared" si="30"/>
        <v>1.3732721375009265</v>
      </c>
    </row>
    <row r="9" spans="1:50" x14ac:dyDescent="0.25">
      <c r="A9" s="5">
        <v>210001</v>
      </c>
      <c r="B9" s="6" t="s">
        <v>6</v>
      </c>
      <c r="C9" s="1">
        <f>SUMIFS(
  '[1]Hoja 1'!$M:$M,
  '[1]Hoja 1'!$S:$S, $A9,
  '[1]Hoja 1'!$R:$R, "&gt;="&amp;INT($E$1),
  '[1]Hoja 1'!$R:$R, "&lt;"&amp;INT($F$1+1)
)</f>
        <v>4</v>
      </c>
      <c r="D9" s="1" t="str">
        <f>""</f>
        <v/>
      </c>
      <c r="F9" s="2"/>
      <c r="G9" s="1">
        <f>SUMIFS(
  '[1]Hoja 1'!$M:$M,
  '[1]Hoja 1'!$S:$S, $A9,
  '[1]Hoja 1'!$R:$R, "&gt;="&amp;INT($I$1),
  '[1]Hoja 1'!$R:$R, "&lt;"&amp;INT($J$1+1)
)</f>
        <v>1</v>
      </c>
      <c r="H9" s="1">
        <f t="shared" si="0"/>
        <v>3</v>
      </c>
      <c r="I9" s="1"/>
      <c r="J9" s="2"/>
      <c r="K9" s="1">
        <f>SUMIFS(
  '[1]Hoja 1'!$M:$M,
  '[1]Hoja 1'!$S:$S, $A9,
  '[1]Hoja 1'!$R:$R, "&gt;="&amp;INT($M$1),
  '[1]Hoja 1'!$R:$R, "&lt;"&amp;INT($N$1+1)
)</f>
        <v>0</v>
      </c>
      <c r="L9" s="1">
        <f t="shared" si="1"/>
        <v>0.5</v>
      </c>
      <c r="M9" s="9">
        <f t="shared" si="2"/>
        <v>-0.88592929112563312</v>
      </c>
      <c r="N9" s="10">
        <f t="shared" si="3"/>
        <v>1.8859292911256331</v>
      </c>
      <c r="O9" s="1">
        <f>SUMIFS(
  '[1]Hoja 1'!$M:$M,
  '[1]Hoja 1'!$S:$S, $A9,
  '[1]Hoja 1'!$R:$R, "&gt;="&amp;INT($Q$1),
  '[1]Hoja 1'!$R:$R, "&lt;"&amp;INT($R$1+1)
)</f>
        <v>0</v>
      </c>
      <c r="P9" s="1">
        <f t="shared" si="4"/>
        <v>0</v>
      </c>
      <c r="Q9" s="9">
        <f t="shared" si="5"/>
        <v>-1.4969747270189078</v>
      </c>
      <c r="R9" s="10">
        <f t="shared" si="6"/>
        <v>1.4969747270189078</v>
      </c>
      <c r="S9" s="1">
        <f>SUMIFS(
  '[1]Hoja 1'!$M:$M,
  '[1]Hoja 1'!$S:$S, $A9,
  '[1]Hoja 1'!$R:$R, "&gt;="&amp;INT($U$1),
  '[1]Hoja 1'!$R:$R, "&lt;"&amp;INT($V$1+1)
)</f>
        <v>0</v>
      </c>
      <c r="T9" s="1">
        <f t="shared" si="7"/>
        <v>0</v>
      </c>
      <c r="U9" s="9">
        <f t="shared" si="8"/>
        <v>-1.47</v>
      </c>
      <c r="V9" s="10">
        <f t="shared" si="9"/>
        <v>1.47</v>
      </c>
      <c r="W9" s="1">
        <f>SUMIFS(
  '[1]Hoja 1'!$M:$M,
  '[1]Hoja 1'!$S:$S, $A9,
  '[1]Hoja 1'!$R:$R, "&gt;="&amp;INT($Y$1),
  '[1]Hoja 1'!$R:$R, "&lt;"&amp;INT($Z$1+1)
)</f>
        <v>0</v>
      </c>
      <c r="X9" s="1">
        <f t="shared" si="10"/>
        <v>0</v>
      </c>
      <c r="Y9" s="9">
        <f t="shared" si="11"/>
        <v>-1.2777636714197191</v>
      </c>
      <c r="Z9" s="10">
        <f t="shared" si="12"/>
        <v>1.2777636714197191</v>
      </c>
      <c r="AA9" s="1">
        <f>SUMIFS(
  '[1]Hoja 1'!$M:$M,
  '[1]Hoja 1'!$S:$S, $A9,
  '[1]Hoja 1'!$R:$R, "&gt;="&amp;INT($AC$1),
  '[1]Hoja 1'!$R:$R, "&lt;"&amp;INT($AD$1+1)
)</f>
        <v>0</v>
      </c>
      <c r="AB9" s="1">
        <f t="shared" si="13"/>
        <v>0</v>
      </c>
      <c r="AC9" s="9">
        <f t="shared" si="14"/>
        <v>-1.1868389388062168</v>
      </c>
      <c r="AD9" s="10">
        <f t="shared" si="15"/>
        <v>1.1868389388062168</v>
      </c>
      <c r="AE9" s="1">
        <f>SUMIFS(
  '[1]Hoja 1'!$M:$M,
  '[1]Hoja 1'!$S:$S, $A9,
  '[1]Hoja 1'!$R:$R, "&gt;="&amp;INT($AG$1),
  '[1]Hoja 1'!$R:$R, "&lt;"&amp;INT($AH$1+1)
)</f>
        <v>0</v>
      </c>
      <c r="AF9" s="1">
        <f t="shared" si="16"/>
        <v>0</v>
      </c>
      <c r="AG9" s="9">
        <f t="shared" si="17"/>
        <v>-1.111215550647128</v>
      </c>
      <c r="AH9" s="10">
        <f t="shared" si="18"/>
        <v>1.111215550647128</v>
      </c>
      <c r="AI9" s="1">
        <f>SUMIFS(
  '[1]Hoja 1'!$M:$M,
  '[1]Hoja 1'!$S:$S, $A9,
  '[1]Hoja 1'!$R:$R, "&gt;="&amp;INT($AK$1),
  '[1]Hoja 1'!$R:$R, "&lt;"&amp;INT($AJ$1+1)
)</f>
        <v>0</v>
      </c>
      <c r="AJ9" s="1">
        <f t="shared" si="19"/>
        <v>0</v>
      </c>
      <c r="AK9" s="9">
        <f t="shared" si="20"/>
        <v>-1.0476640682967036</v>
      </c>
      <c r="AL9" s="10">
        <f t="shared" si="21"/>
        <v>1.0476640682967036</v>
      </c>
      <c r="AM9" s="1">
        <f>SUMIFS(
  '[1]Hoja 1'!$M:$M,
  '[1]Hoja 1'!$S:$S, $A9,
  '[1]Hoja 1'!$R:$R, "&gt;="&amp;INT($AO$1),
  '[1]Hoja 1'!$R:$R, "&lt;"&amp;INT($AP$1+1)
)</f>
        <v>0</v>
      </c>
      <c r="AN9" s="1">
        <f t="shared" si="22"/>
        <v>0</v>
      </c>
      <c r="AO9" s="9">
        <f t="shared" si="23"/>
        <v>-0.9935178799487091</v>
      </c>
      <c r="AP9" s="10">
        <f t="shared" si="24"/>
        <v>0.9935178799487091</v>
      </c>
      <c r="AQ9" s="1">
        <f>SUMIFS(
  '[1]Hoja 1'!$M:$M,
  '[1]Hoja 1'!$S:$S, $A9,
  '[1]Hoja 1'!$R:$R, "&gt;="&amp;INT($AS$1),
  '[1]Hoja 1'!$R:$R, "&lt;"&amp;INT($AT$1+1)
)</f>
        <v>0</v>
      </c>
      <c r="AR9" s="1">
        <f t="shared" si="25"/>
        <v>0</v>
      </c>
      <c r="AS9" s="9">
        <f t="shared" si="26"/>
        <v>-0.94676994741770992</v>
      </c>
      <c r="AT9" s="10">
        <f t="shared" si="27"/>
        <v>0.94676994741770992</v>
      </c>
      <c r="AU9" s="1">
        <f>SUMIFS(
  '[1]Hoja 1'!$M:$M,
  '[1]Hoja 1'!$S:$S, $A9,
  '[1]Hoja 1'!$R:$R, "&gt;="&amp;INT($AW$1),
  '[1]Hoja 1'!$R:$R, "&lt;"&amp;INT($AX$1+1)
)</f>
        <v>0</v>
      </c>
      <c r="AV9" s="1">
        <f t="shared" si="28"/>
        <v>0</v>
      </c>
      <c r="AW9" s="9">
        <f t="shared" si="29"/>
        <v>-0.90592795218243183</v>
      </c>
      <c r="AX9" s="10">
        <f t="shared" si="30"/>
        <v>0.90592795218243183</v>
      </c>
    </row>
    <row r="10" spans="1:50" x14ac:dyDescent="0.25">
      <c r="A10" s="5">
        <v>220002</v>
      </c>
      <c r="B10" s="6" t="s">
        <v>7</v>
      </c>
      <c r="C10" s="1">
        <f>SUMIFS(
  '[1]Hoja 1'!$M:$M,
  '[1]Hoja 1'!$S:$S, $A10,
  '[1]Hoja 1'!$R:$R, "&gt;="&amp;INT($E$1),
  '[1]Hoja 1'!$R:$R, "&lt;"&amp;INT($F$1+1)
)</f>
        <v>143</v>
      </c>
      <c r="D10" s="1" t="str">
        <f>""</f>
        <v/>
      </c>
      <c r="F10" s="2"/>
      <c r="G10" s="1">
        <f>SUMIFS(
  '[1]Hoja 1'!$M:$M,
  '[1]Hoja 1'!$S:$S, $A10,
  '[1]Hoja 1'!$R:$R, "&gt;="&amp;INT($I$1),
  '[1]Hoja 1'!$R:$R, "&lt;"&amp;INT($J$1+1)
)</f>
        <v>50</v>
      </c>
      <c r="H10" s="1">
        <f t="shared" si="0"/>
        <v>97</v>
      </c>
      <c r="I10" s="1"/>
      <c r="J10" s="2"/>
      <c r="K10" s="1">
        <f>SUMIFS(
  '[1]Hoja 1'!$M:$M,
  '[1]Hoja 1'!$S:$S, $A10,
  '[1]Hoja 1'!$R:$R, "&gt;="&amp;INT($M$1),
  '[1]Hoja 1'!$R:$R, "&lt;"&amp;INT($N$1+1)
)</f>
        <v>0</v>
      </c>
      <c r="L10" s="1">
        <f t="shared" si="1"/>
        <v>25</v>
      </c>
      <c r="M10" s="9">
        <f t="shared" si="2"/>
        <v>-4.7974797592011136</v>
      </c>
      <c r="N10" s="10">
        <f t="shared" si="3"/>
        <v>54.79747975920111</v>
      </c>
      <c r="O10" s="1">
        <f>SUMIFS(
  '[1]Hoja 1'!$M:$M,
  '[1]Hoja 1'!$S:$S, $A10,
  '[1]Hoja 1'!$R:$R, "&gt;="&amp;INT($Q$1),
  '[1]Hoja 1'!$R:$R, "&lt;"&amp;INT($R$1+1)
)</f>
        <v>0</v>
      </c>
      <c r="P10" s="1">
        <f t="shared" si="4"/>
        <v>0</v>
      </c>
      <c r="Q10" s="9">
        <f t="shared" si="5"/>
        <v>-45.613008378458588</v>
      </c>
      <c r="R10" s="10">
        <f t="shared" si="6"/>
        <v>45.613008378458588</v>
      </c>
      <c r="S10" s="1">
        <f>SUMIFS(
  '[1]Hoja 1'!$M:$M,
  '[1]Hoja 1'!$S:$S, $A10,
  '[1]Hoja 1'!$R:$R, "&gt;="&amp;INT($U$1),
  '[1]Hoja 1'!$R:$R, "&lt;"&amp;INT($V$1+1)
)</f>
        <v>0</v>
      </c>
      <c r="T10" s="1">
        <f t="shared" si="7"/>
        <v>0</v>
      </c>
      <c r="U10" s="9">
        <f t="shared" si="8"/>
        <v>-43.197884207447011</v>
      </c>
      <c r="V10" s="10">
        <f t="shared" si="9"/>
        <v>43.197884207447011</v>
      </c>
      <c r="W10" s="1">
        <f>SUMIFS(
  '[1]Hoja 1'!$M:$M,
  '[1]Hoja 1'!$S:$S, $A10,
  '[1]Hoja 1'!$R:$R, "&gt;="&amp;INT($Y$1),
  '[1]Hoja 1'!$R:$R, "&lt;"&amp;INT($Z$1+1)
)</f>
        <v>0</v>
      </c>
      <c r="X10" s="1">
        <f t="shared" si="10"/>
        <v>0</v>
      </c>
      <c r="Y10" s="9">
        <f t="shared" si="11"/>
        <v>-41.169332275372163</v>
      </c>
      <c r="Z10" s="10">
        <f t="shared" si="12"/>
        <v>41.169332275372163</v>
      </c>
      <c r="AA10" s="1">
        <f>SUMIFS(
  '[1]Hoja 1'!$M:$M,
  '[1]Hoja 1'!$S:$S, $A10,
  '[1]Hoja 1'!$R:$R, "&gt;="&amp;INT($AC$1),
  '[1]Hoja 1'!$R:$R, "&lt;"&amp;INT($AD$1+1)
)</f>
        <v>0</v>
      </c>
      <c r="AB10" s="1">
        <f t="shared" si="13"/>
        <v>0</v>
      </c>
      <c r="AC10" s="9">
        <f t="shared" si="14"/>
        <v>-38.559814142014055</v>
      </c>
      <c r="AD10" s="10">
        <f t="shared" si="15"/>
        <v>38.559814142014055</v>
      </c>
      <c r="AE10" s="1">
        <f>SUMIFS(
  '[1]Hoja 1'!$M:$M,
  '[1]Hoja 1'!$S:$S, $A10,
  '[1]Hoja 1'!$R:$R, "&gt;="&amp;INT($AG$1),
  '[1]Hoja 1'!$R:$R, "&lt;"&amp;INT($AH$1+1)
)</f>
        <v>0</v>
      </c>
      <c r="AF10" s="1">
        <f t="shared" si="16"/>
        <v>0</v>
      </c>
      <c r="AG10" s="9">
        <f t="shared" si="17"/>
        <v>-36.290257645820041</v>
      </c>
      <c r="AH10" s="10">
        <f t="shared" si="18"/>
        <v>36.290257645820041</v>
      </c>
      <c r="AI10" s="1">
        <f>SUMIFS(
  '[1]Hoja 1'!$M:$M,
  '[1]Hoja 1'!$S:$S, $A10,
  '[1]Hoja 1'!$R:$R, "&gt;="&amp;INT($AK$1),
  '[1]Hoja 1'!$R:$R, "&lt;"&amp;INT($AJ$1+1)
)</f>
        <v>0</v>
      </c>
      <c r="AJ10" s="1">
        <f t="shared" si="19"/>
        <v>0</v>
      </c>
      <c r="AK10" s="9">
        <f t="shared" si="20"/>
        <v>-34.335731388744293</v>
      </c>
      <c r="AL10" s="10">
        <f t="shared" si="21"/>
        <v>34.335731388744293</v>
      </c>
      <c r="AM10" s="1">
        <f>SUMIFS(
  '[1]Hoja 1'!$M:$M,
  '[1]Hoja 1'!$S:$S, $A10,
  '[1]Hoja 1'!$R:$R, "&gt;="&amp;INT($AO$1),
  '[1]Hoja 1'!$R:$R, "&lt;"&amp;INT($AP$1+1)
)</f>
        <v>0</v>
      </c>
      <c r="AN10" s="1">
        <f t="shared" si="22"/>
        <v>0</v>
      </c>
      <c r="AO10" s="9">
        <f t="shared" si="23"/>
        <v>-32.644609219764156</v>
      </c>
      <c r="AP10" s="10">
        <f t="shared" si="24"/>
        <v>32.644609219764156</v>
      </c>
      <c r="AQ10" s="1">
        <f>SUMIFS(
  '[1]Hoja 1'!$M:$M,
  '[1]Hoja 1'!$S:$S, $A10,
  '[1]Hoja 1'!$R:$R, "&gt;="&amp;INT($AS$1),
  '[1]Hoja 1'!$R:$R, "&lt;"&amp;INT($AT$1+1)
)</f>
        <v>0</v>
      </c>
      <c r="AR10" s="1">
        <f t="shared" si="25"/>
        <v>0</v>
      </c>
      <c r="AS10" s="9">
        <f t="shared" si="26"/>
        <v>-31.169033136539007</v>
      </c>
      <c r="AT10" s="10">
        <f t="shared" si="27"/>
        <v>31.169033136539007</v>
      </c>
      <c r="AU10" s="1">
        <f>SUMIFS(
  '[1]Hoja 1'!$M:$M,
  '[1]Hoja 1'!$S:$S, $A10,
  '[1]Hoja 1'!$R:$R, "&gt;="&amp;INT($AW$1),
  '[1]Hoja 1'!$R:$R, "&lt;"&amp;INT($AX$1+1)
)</f>
        <v>0</v>
      </c>
      <c r="AV10" s="1">
        <f t="shared" si="28"/>
        <v>0</v>
      </c>
      <c r="AW10" s="9">
        <f t="shared" si="29"/>
        <v>-29.869911282091216</v>
      </c>
      <c r="AX10" s="10">
        <f t="shared" si="30"/>
        <v>29.869911282091216</v>
      </c>
    </row>
    <row r="11" spans="1:50" x14ac:dyDescent="0.25">
      <c r="A11" s="5">
        <v>227015</v>
      </c>
      <c r="B11" s="6" t="s">
        <v>8</v>
      </c>
      <c r="C11" s="1">
        <f>SUMIFS(
  '[1]Hoja 1'!$M:$M,
  '[1]Hoja 1'!$S:$S, $A11,
  '[1]Hoja 1'!$R:$R, "&gt;="&amp;INT($E$1),
  '[1]Hoja 1'!$R:$R, "&lt;"&amp;INT($F$1+1)
)</f>
        <v>0</v>
      </c>
      <c r="D11" s="1" t="str">
        <f>""</f>
        <v/>
      </c>
      <c r="F11" s="2"/>
      <c r="G11" s="1">
        <f>SUMIFS(
  '[1]Hoja 1'!$M:$M,
  '[1]Hoja 1'!$S:$S, $A11,
  '[1]Hoja 1'!$R:$R, "&gt;="&amp;INT($I$1),
  '[1]Hoja 1'!$R:$R, "&lt;"&amp;INT($J$1+1)
)</f>
        <v>0</v>
      </c>
      <c r="H11" s="1">
        <f t="shared" si="0"/>
        <v>0</v>
      </c>
      <c r="I11" s="1"/>
      <c r="J11" s="2"/>
      <c r="K11" s="1">
        <f>SUMIFS(
  '[1]Hoja 1'!$M:$M,
  '[1]Hoja 1'!$S:$S, $A11,
  '[1]Hoja 1'!$R:$R, "&gt;="&amp;INT($M$1),
  '[1]Hoja 1'!$R:$R, "&lt;"&amp;INT($N$1+1)
)</f>
        <v>0</v>
      </c>
      <c r="L11" s="1">
        <f t="shared" si="1"/>
        <v>0</v>
      </c>
      <c r="M11" s="9">
        <f t="shared" si="2"/>
        <v>0</v>
      </c>
      <c r="N11" s="10">
        <f t="shared" si="3"/>
        <v>0</v>
      </c>
      <c r="O11" s="1">
        <f>SUMIFS(
  '[1]Hoja 1'!$M:$M,
  '[1]Hoja 1'!$S:$S, $A11,
  '[1]Hoja 1'!$R:$R, "&gt;="&amp;INT($Q$1),
  '[1]Hoja 1'!$R:$R, "&lt;"&amp;INT($R$1+1)
)</f>
        <v>0</v>
      </c>
      <c r="P11" s="1">
        <f t="shared" si="4"/>
        <v>0</v>
      </c>
      <c r="Q11" s="9">
        <f t="shared" si="5"/>
        <v>0</v>
      </c>
      <c r="R11" s="10">
        <f t="shared" si="6"/>
        <v>0</v>
      </c>
      <c r="S11" s="1">
        <f>SUMIFS(
  '[1]Hoja 1'!$M:$M,
  '[1]Hoja 1'!$S:$S, $A11,
  '[1]Hoja 1'!$R:$R, "&gt;="&amp;INT($U$1),
  '[1]Hoja 1'!$R:$R, "&lt;"&amp;INT($V$1+1)
)</f>
        <v>0</v>
      </c>
      <c r="T11" s="1">
        <f t="shared" si="7"/>
        <v>0</v>
      </c>
      <c r="U11" s="9">
        <f t="shared" si="8"/>
        <v>-1.47</v>
      </c>
      <c r="V11" s="10">
        <f t="shared" si="9"/>
        <v>1.47</v>
      </c>
      <c r="W11" s="1">
        <f>SUMIFS(
  '[1]Hoja 1'!$M:$M,
  '[1]Hoja 1'!$S:$S, $A11,
  '[1]Hoja 1'!$R:$R, "&gt;="&amp;INT($Y$1),
  '[1]Hoja 1'!$R:$R, "&lt;"&amp;INT($Z$1+1)
)</f>
        <v>0</v>
      </c>
      <c r="X11" s="1">
        <f t="shared" si="10"/>
        <v>0</v>
      </c>
      <c r="Y11" s="9">
        <f t="shared" si="11"/>
        <v>0</v>
      </c>
      <c r="Z11" s="10">
        <f t="shared" si="12"/>
        <v>0</v>
      </c>
      <c r="AA11" s="1">
        <f>SUMIFS(
  '[1]Hoja 1'!$M:$M,
  '[1]Hoja 1'!$S:$S, $A11,
  '[1]Hoja 1'!$R:$R, "&gt;="&amp;INT($AC$1),
  '[1]Hoja 1'!$R:$R, "&lt;"&amp;INT($AD$1+1)
)</f>
        <v>0</v>
      </c>
      <c r="AB11" s="1">
        <f t="shared" si="13"/>
        <v>0</v>
      </c>
      <c r="AC11" s="9">
        <f t="shared" si="14"/>
        <v>0</v>
      </c>
      <c r="AD11" s="10">
        <f t="shared" si="15"/>
        <v>0</v>
      </c>
      <c r="AE11" s="1">
        <f>SUMIFS(
  '[1]Hoja 1'!$M:$M,
  '[1]Hoja 1'!$S:$S, $A11,
  '[1]Hoja 1'!$R:$R, "&gt;="&amp;INT($AG$1),
  '[1]Hoja 1'!$R:$R, "&lt;"&amp;INT($AH$1+1)
)</f>
        <v>0</v>
      </c>
      <c r="AF11" s="1">
        <f t="shared" si="16"/>
        <v>0</v>
      </c>
      <c r="AG11" s="9">
        <f t="shared" si="17"/>
        <v>0</v>
      </c>
      <c r="AH11" s="10">
        <f t="shared" si="18"/>
        <v>0</v>
      </c>
      <c r="AI11" s="1">
        <f>SUMIFS(
  '[1]Hoja 1'!$M:$M,
  '[1]Hoja 1'!$S:$S, $A11,
  '[1]Hoja 1'!$R:$R, "&gt;="&amp;INT($AK$1),
  '[1]Hoja 1'!$R:$R, "&lt;"&amp;INT($AJ$1+1)
)</f>
        <v>0</v>
      </c>
      <c r="AJ11" s="1">
        <f t="shared" si="19"/>
        <v>0</v>
      </c>
      <c r="AK11" s="9">
        <f t="shared" si="20"/>
        <v>0</v>
      </c>
      <c r="AL11" s="10">
        <f t="shared" si="21"/>
        <v>0</v>
      </c>
      <c r="AM11" s="1">
        <f>SUMIFS(
  '[1]Hoja 1'!$M:$M,
  '[1]Hoja 1'!$S:$S, $A11,
  '[1]Hoja 1'!$R:$R, "&gt;="&amp;INT($AO$1),
  '[1]Hoja 1'!$R:$R, "&lt;"&amp;INT($AP$1+1)
)</f>
        <v>0</v>
      </c>
      <c r="AN11" s="1">
        <f t="shared" si="22"/>
        <v>0</v>
      </c>
      <c r="AO11" s="9">
        <f t="shared" si="23"/>
        <v>0</v>
      </c>
      <c r="AP11" s="10">
        <f t="shared" si="24"/>
        <v>0</v>
      </c>
      <c r="AQ11" s="1">
        <f>SUMIFS(
  '[1]Hoja 1'!$M:$M,
  '[1]Hoja 1'!$S:$S, $A11,
  '[1]Hoja 1'!$R:$R, "&gt;="&amp;INT($AS$1),
  '[1]Hoja 1'!$R:$R, "&lt;"&amp;INT($AT$1+1)
)</f>
        <v>0</v>
      </c>
      <c r="AR11" s="1">
        <f t="shared" si="25"/>
        <v>0</v>
      </c>
      <c r="AS11" s="9">
        <f t="shared" si="26"/>
        <v>0</v>
      </c>
      <c r="AT11" s="10">
        <f t="shared" si="27"/>
        <v>0</v>
      </c>
      <c r="AU11" s="1">
        <f>SUMIFS(
  '[1]Hoja 1'!$M:$M,
  '[1]Hoja 1'!$S:$S, $A11,
  '[1]Hoja 1'!$R:$R, "&gt;="&amp;INT($AW$1),
  '[1]Hoja 1'!$R:$R, "&lt;"&amp;INT($AX$1+1)
)</f>
        <v>0</v>
      </c>
      <c r="AV11" s="1">
        <f t="shared" si="28"/>
        <v>0</v>
      </c>
      <c r="AW11" s="9">
        <f t="shared" si="29"/>
        <v>0</v>
      </c>
      <c r="AX11" s="10">
        <f t="shared" si="30"/>
        <v>0</v>
      </c>
    </row>
    <row r="12" spans="1:50" x14ac:dyDescent="0.25">
      <c r="A12" s="5">
        <v>228001</v>
      </c>
      <c r="B12" s="6" t="s">
        <v>9</v>
      </c>
      <c r="C12" s="1">
        <f>SUMIFS(
  '[1]Hoja 1'!$M:$M,
  '[1]Hoja 1'!$S:$S, $A12,
  '[1]Hoja 1'!$R:$R, "&gt;="&amp;INT($E$1),
  '[1]Hoja 1'!$R:$R, "&lt;"&amp;INT($F$1+1)
)</f>
        <v>1039</v>
      </c>
      <c r="D12" s="1" t="str">
        <f>""</f>
        <v/>
      </c>
      <c r="F12" s="2"/>
      <c r="G12" s="1">
        <f>SUMIFS(
  '[1]Hoja 1'!$M:$M,
  '[1]Hoja 1'!$S:$S, $A12,
  '[1]Hoja 1'!$R:$R, "&gt;="&amp;INT($I$1),
  '[1]Hoja 1'!$R:$R, "&lt;"&amp;INT($J$1+1)
)</f>
        <v>500</v>
      </c>
      <c r="H12" s="1">
        <f t="shared" si="0"/>
        <v>770</v>
      </c>
      <c r="I12" s="1"/>
      <c r="J12" s="2"/>
      <c r="K12" s="1">
        <f>SUMIFS(
  '[1]Hoja 1'!$M:$M,
  '[1]Hoja 1'!$S:$S, $A12,
  '[1]Hoja 1'!$R:$R, "&gt;="&amp;INT($M$1),
  '[1]Hoja 1'!$R:$R, "&lt;"&amp;INT($N$1+1)
)</f>
        <v>0</v>
      </c>
      <c r="L12" s="1">
        <f t="shared" si="1"/>
        <v>250</v>
      </c>
      <c r="M12" s="9">
        <f t="shared" si="2"/>
        <v>222.97437882305016</v>
      </c>
      <c r="N12" s="10">
        <f t="shared" si="3"/>
        <v>277.02562117694987</v>
      </c>
      <c r="O12" s="1">
        <f>SUMIFS(
  '[1]Hoja 1'!$M:$M,
  '[1]Hoja 1'!$S:$S, $A12,
  '[1]Hoja 1'!$R:$R, "&gt;="&amp;INT($Q$1),
  '[1]Hoja 1'!$R:$R, "&lt;"&amp;INT($R$1+1)
)</f>
        <v>0</v>
      </c>
      <c r="P12" s="1">
        <f t="shared" si="4"/>
        <v>0</v>
      </c>
      <c r="Q12" s="9">
        <f t="shared" si="5"/>
        <v>-294.5553532586589</v>
      </c>
      <c r="R12" s="10">
        <f t="shared" si="6"/>
        <v>294.5553532586589</v>
      </c>
      <c r="S12" s="1">
        <f>SUMIFS(
  '[1]Hoja 1'!$M:$M,
  '[1]Hoja 1'!$S:$S, $A12,
  '[1]Hoja 1'!$R:$R, "&gt;="&amp;INT($U$1),
  '[1]Hoja 1'!$R:$R, "&lt;"&amp;INT($V$1+1)
)</f>
        <v>0</v>
      </c>
      <c r="T12" s="1">
        <f t="shared" si="7"/>
        <v>0</v>
      </c>
      <c r="U12" s="9">
        <f t="shared" si="8"/>
        <v>-293.50359202799092</v>
      </c>
      <c r="V12" s="10">
        <f t="shared" si="9"/>
        <v>293.50359202799092</v>
      </c>
      <c r="W12" s="1">
        <f>SUMIFS(
  '[1]Hoja 1'!$M:$M,
  '[1]Hoja 1'!$S:$S, $A12,
  '[1]Hoja 1'!$R:$R, "&gt;="&amp;INT($Y$1),
  '[1]Hoja 1'!$R:$R, "&lt;"&amp;INT($Z$1+1)
)</f>
        <v>0</v>
      </c>
      <c r="X12" s="1">
        <f t="shared" si="10"/>
        <v>0</v>
      </c>
      <c r="Y12" s="9">
        <f t="shared" si="11"/>
        <v>-279.17824714687208</v>
      </c>
      <c r="Z12" s="10">
        <f t="shared" si="12"/>
        <v>279.17824714687208</v>
      </c>
      <c r="AA12" s="1">
        <f>SUMIFS(
  '[1]Hoja 1'!$M:$M,
  '[1]Hoja 1'!$S:$S, $A12,
  '[1]Hoja 1'!$R:$R, "&gt;="&amp;INT($AC$1),
  '[1]Hoja 1'!$R:$R, "&lt;"&amp;INT($AD$1+1)
)</f>
        <v>0</v>
      </c>
      <c r="AB12" s="1">
        <f t="shared" si="13"/>
        <v>0</v>
      </c>
      <c r="AC12" s="9">
        <f t="shared" si="14"/>
        <v>-263.18094168588016</v>
      </c>
      <c r="AD12" s="10">
        <f t="shared" si="15"/>
        <v>263.18094168588016</v>
      </c>
      <c r="AE12" s="1">
        <f>SUMIFS(
  '[1]Hoja 1'!$M:$M,
  '[1]Hoja 1'!$S:$S, $A12,
  '[1]Hoja 1'!$R:$R, "&gt;="&amp;INT($AG$1),
  '[1]Hoja 1'!$R:$R, "&lt;"&amp;INT($AH$1+1)
)</f>
        <v>0</v>
      </c>
      <c r="AF12" s="1">
        <f t="shared" si="16"/>
        <v>0</v>
      </c>
      <c r="AG12" s="9">
        <f t="shared" si="17"/>
        <v>-248.66513198811504</v>
      </c>
      <c r="AH12" s="10">
        <f t="shared" si="18"/>
        <v>248.66513198811504</v>
      </c>
      <c r="AI12" s="1">
        <f>SUMIFS(
  '[1]Hoja 1'!$M:$M,
  '[1]Hoja 1'!$S:$S, $A12,
  '[1]Hoja 1'!$R:$R, "&gt;="&amp;INT($AK$1),
  '[1]Hoja 1'!$R:$R, "&lt;"&amp;INT($AJ$1+1)
)</f>
        <v>0</v>
      </c>
      <c r="AJ12" s="1">
        <f t="shared" si="19"/>
        <v>0</v>
      </c>
      <c r="AK12" s="9">
        <f t="shared" si="20"/>
        <v>-235.89339975929803</v>
      </c>
      <c r="AL12" s="10">
        <f t="shared" si="21"/>
        <v>235.89339975929803</v>
      </c>
      <c r="AM12" s="1">
        <f>SUMIFS(
  '[1]Hoja 1'!$M:$M,
  '[1]Hoja 1'!$S:$S, $A12,
  '[1]Hoja 1'!$R:$R, "&gt;="&amp;INT($AO$1),
  '[1]Hoja 1'!$R:$R, "&lt;"&amp;INT($AP$1+1)
)</f>
        <v>0</v>
      </c>
      <c r="AN12" s="1">
        <f t="shared" si="22"/>
        <v>0</v>
      </c>
      <c r="AO12" s="9">
        <f t="shared" si="23"/>
        <v>-224.69965593604675</v>
      </c>
      <c r="AP12" s="10">
        <f t="shared" si="24"/>
        <v>224.69965593604675</v>
      </c>
      <c r="AQ12" s="1">
        <f>SUMIFS(
  '[1]Hoja 1'!$M:$M,
  '[1]Hoja 1'!$S:$S, $A12,
  '[1]Hoja 1'!$R:$R, "&gt;="&amp;INT($AS$1),
  '[1]Hoja 1'!$R:$R, "&lt;"&amp;INT($AT$1+1)
)</f>
        <v>0</v>
      </c>
      <c r="AR12" s="1">
        <f t="shared" si="25"/>
        <v>0</v>
      </c>
      <c r="AS12" s="9">
        <f t="shared" si="26"/>
        <v>-214.84856981397644</v>
      </c>
      <c r="AT12" s="10">
        <f t="shared" si="27"/>
        <v>214.84856981397644</v>
      </c>
      <c r="AU12" s="1">
        <f>SUMIFS(
  '[1]Hoja 1'!$M:$M,
  '[1]Hoja 1'!$S:$S, $A12,
  '[1]Hoja 1'!$R:$R, "&gt;="&amp;INT($AW$1),
  '[1]Hoja 1'!$R:$R, "&lt;"&amp;INT($AX$1+1)
)</f>
        <v>0</v>
      </c>
      <c r="AV12" s="1">
        <f t="shared" si="28"/>
        <v>0</v>
      </c>
      <c r="AW12" s="9">
        <f t="shared" si="29"/>
        <v>-206.12238385792244</v>
      </c>
      <c r="AX12" s="10">
        <f t="shared" si="30"/>
        <v>206.12238385792244</v>
      </c>
    </row>
    <row r="13" spans="1:50" x14ac:dyDescent="0.25">
      <c r="A13" s="5">
        <v>237004</v>
      </c>
      <c r="B13" s="6" t="s">
        <v>10</v>
      </c>
      <c r="C13" s="1">
        <f>SUMIFS(
  '[1]Hoja 1'!$M:$M,
  '[1]Hoja 1'!$S:$S, $A13,
  '[1]Hoja 1'!$R:$R, "&gt;="&amp;INT($E$1),
  '[1]Hoja 1'!$R:$R, "&lt;"&amp;INT($F$1+1)
)</f>
        <v>0</v>
      </c>
      <c r="D13" s="1" t="str">
        <f>""</f>
        <v/>
      </c>
      <c r="F13" s="2"/>
      <c r="G13" s="1">
        <f>SUMIFS(
  '[1]Hoja 1'!$M:$M,
  '[1]Hoja 1'!$S:$S, $A13,
  '[1]Hoja 1'!$R:$R, "&gt;="&amp;INT($I$1),
  '[1]Hoja 1'!$R:$R, "&lt;"&amp;INT($J$1+1)
)</f>
        <v>0</v>
      </c>
      <c r="H13" s="1">
        <f t="shared" si="0"/>
        <v>0</v>
      </c>
      <c r="I13" s="1"/>
      <c r="J13" s="2"/>
      <c r="K13" s="1">
        <f>SUMIFS(
  '[1]Hoja 1'!$M:$M,
  '[1]Hoja 1'!$S:$S, $A13,
  '[1]Hoja 1'!$R:$R, "&gt;="&amp;INT($M$1),
  '[1]Hoja 1'!$R:$R, "&lt;"&amp;INT($N$1+1)
)</f>
        <v>0</v>
      </c>
      <c r="L13" s="1">
        <f t="shared" si="1"/>
        <v>0</v>
      </c>
      <c r="M13" s="9">
        <f t="shared" si="2"/>
        <v>0</v>
      </c>
      <c r="N13" s="10">
        <f t="shared" si="3"/>
        <v>0</v>
      </c>
      <c r="O13" s="1">
        <f>SUMIFS(
  '[1]Hoja 1'!$M:$M,
  '[1]Hoja 1'!$S:$S, $A13,
  '[1]Hoja 1'!$R:$R, "&gt;="&amp;INT($Q$1),
  '[1]Hoja 1'!$R:$R, "&lt;"&amp;INT($R$1+1)
)</f>
        <v>0</v>
      </c>
      <c r="P13" s="1">
        <f t="shared" si="4"/>
        <v>0</v>
      </c>
      <c r="Q13" s="9">
        <f t="shared" si="5"/>
        <v>0</v>
      </c>
      <c r="R13" s="10">
        <f t="shared" si="6"/>
        <v>0</v>
      </c>
      <c r="S13" s="1">
        <f>SUMIFS(
  '[1]Hoja 1'!$M:$M,
  '[1]Hoja 1'!$S:$S, $A13,
  '[1]Hoja 1'!$R:$R, "&gt;="&amp;INT($U$1),
  '[1]Hoja 1'!$R:$R, "&lt;"&amp;INT($V$1+1)
)</f>
        <v>0</v>
      </c>
      <c r="T13" s="1">
        <f t="shared" si="7"/>
        <v>0</v>
      </c>
      <c r="U13" s="9">
        <f t="shared" si="8"/>
        <v>-1.47</v>
      </c>
      <c r="V13" s="10">
        <f t="shared" si="9"/>
        <v>1.47</v>
      </c>
      <c r="W13" s="1">
        <f>SUMIFS(
  '[1]Hoja 1'!$M:$M,
  '[1]Hoja 1'!$S:$S, $A13,
  '[1]Hoja 1'!$R:$R, "&gt;="&amp;INT($Y$1),
  '[1]Hoja 1'!$R:$R, "&lt;"&amp;INT($Z$1+1)
)</f>
        <v>0</v>
      </c>
      <c r="X13" s="1">
        <f t="shared" si="10"/>
        <v>0</v>
      </c>
      <c r="Y13" s="9">
        <f t="shared" si="11"/>
        <v>0</v>
      </c>
      <c r="Z13" s="10">
        <f t="shared" si="12"/>
        <v>0</v>
      </c>
      <c r="AA13" s="1">
        <f>SUMIFS(
  '[1]Hoja 1'!$M:$M,
  '[1]Hoja 1'!$S:$S, $A13,
  '[1]Hoja 1'!$R:$R, "&gt;="&amp;INT($AC$1),
  '[1]Hoja 1'!$R:$R, "&lt;"&amp;INT($AD$1+1)
)</f>
        <v>0</v>
      </c>
      <c r="AB13" s="1">
        <f t="shared" si="13"/>
        <v>0</v>
      </c>
      <c r="AC13" s="9">
        <f t="shared" si="14"/>
        <v>0</v>
      </c>
      <c r="AD13" s="10">
        <f t="shared" si="15"/>
        <v>0</v>
      </c>
      <c r="AE13" s="1">
        <f>SUMIFS(
  '[1]Hoja 1'!$M:$M,
  '[1]Hoja 1'!$S:$S, $A13,
  '[1]Hoja 1'!$R:$R, "&gt;="&amp;INT($AG$1),
  '[1]Hoja 1'!$R:$R, "&lt;"&amp;INT($AH$1+1)
)</f>
        <v>0</v>
      </c>
      <c r="AF13" s="1">
        <f t="shared" si="16"/>
        <v>0</v>
      </c>
      <c r="AG13" s="9">
        <f t="shared" si="17"/>
        <v>0</v>
      </c>
      <c r="AH13" s="10">
        <f t="shared" si="18"/>
        <v>0</v>
      </c>
      <c r="AI13" s="1">
        <f>SUMIFS(
  '[1]Hoja 1'!$M:$M,
  '[1]Hoja 1'!$S:$S, $A13,
  '[1]Hoja 1'!$R:$R, "&gt;="&amp;INT($AK$1),
  '[1]Hoja 1'!$R:$R, "&lt;"&amp;INT($AJ$1+1)
)</f>
        <v>0</v>
      </c>
      <c r="AJ13" s="1">
        <f t="shared" si="19"/>
        <v>0</v>
      </c>
      <c r="AK13" s="9">
        <f t="shared" si="20"/>
        <v>0</v>
      </c>
      <c r="AL13" s="10">
        <f t="shared" si="21"/>
        <v>0</v>
      </c>
      <c r="AM13" s="1">
        <f>SUMIFS(
  '[1]Hoja 1'!$M:$M,
  '[1]Hoja 1'!$S:$S, $A13,
  '[1]Hoja 1'!$R:$R, "&gt;="&amp;INT($AO$1),
  '[1]Hoja 1'!$R:$R, "&lt;"&amp;INT($AP$1+1)
)</f>
        <v>0</v>
      </c>
      <c r="AN13" s="1">
        <f t="shared" si="22"/>
        <v>0</v>
      </c>
      <c r="AO13" s="9">
        <f t="shared" si="23"/>
        <v>0</v>
      </c>
      <c r="AP13" s="10">
        <f t="shared" si="24"/>
        <v>0</v>
      </c>
      <c r="AQ13" s="1">
        <f>SUMIFS(
  '[1]Hoja 1'!$M:$M,
  '[1]Hoja 1'!$S:$S, $A13,
  '[1]Hoja 1'!$R:$R, "&gt;="&amp;INT($AS$1),
  '[1]Hoja 1'!$R:$R, "&lt;"&amp;INT($AT$1+1)
)</f>
        <v>0</v>
      </c>
      <c r="AR13" s="1">
        <f t="shared" si="25"/>
        <v>0</v>
      </c>
      <c r="AS13" s="9">
        <f t="shared" si="26"/>
        <v>0</v>
      </c>
      <c r="AT13" s="10">
        <f t="shared" si="27"/>
        <v>0</v>
      </c>
      <c r="AU13" s="1">
        <f>SUMIFS(
  '[1]Hoja 1'!$M:$M,
  '[1]Hoja 1'!$S:$S, $A13,
  '[1]Hoja 1'!$R:$R, "&gt;="&amp;INT($AW$1),
  '[1]Hoja 1'!$R:$R, "&lt;"&amp;INT($AX$1+1)
)</f>
        <v>0</v>
      </c>
      <c r="AV13" s="1">
        <f t="shared" si="28"/>
        <v>0</v>
      </c>
      <c r="AW13" s="9">
        <f t="shared" si="29"/>
        <v>0</v>
      </c>
      <c r="AX13" s="10">
        <f t="shared" si="30"/>
        <v>0</v>
      </c>
    </row>
    <row r="14" spans="1:50" x14ac:dyDescent="0.25">
      <c r="A14" s="5">
        <v>201002</v>
      </c>
      <c r="B14" s="6" t="s">
        <v>11</v>
      </c>
      <c r="C14" s="1">
        <f>SUMIFS(
  '[1]Hoja 1'!$M:$M,
  '[1]Hoja 1'!$S:$S, $A14,
  '[1]Hoja 1'!$R:$R, "&gt;="&amp;INT($E$1),
  '[1]Hoja 1'!$R:$R, "&lt;"&amp;INT($F$1+1)
)</f>
        <v>0</v>
      </c>
      <c r="D14" s="1" t="str">
        <f>""</f>
        <v/>
      </c>
      <c r="F14" s="2"/>
      <c r="G14" s="1">
        <f>SUMIFS(
  '[1]Hoja 1'!$M:$M,
  '[1]Hoja 1'!$S:$S, $A14,
  '[1]Hoja 1'!$R:$R, "&gt;="&amp;INT($I$1),
  '[1]Hoja 1'!$R:$R, "&lt;"&amp;INT($J$1+1)
)</f>
        <v>0</v>
      </c>
      <c r="H14" s="1">
        <f t="shared" si="0"/>
        <v>0</v>
      </c>
      <c r="I14" s="1"/>
      <c r="J14" s="2"/>
      <c r="K14" s="1">
        <f>SUMIFS(
  '[1]Hoja 1'!$M:$M,
  '[1]Hoja 1'!$S:$S, $A14,
  '[1]Hoja 1'!$R:$R, "&gt;="&amp;INT($M$1),
  '[1]Hoja 1'!$R:$R, "&lt;"&amp;INT($N$1+1)
)</f>
        <v>0</v>
      </c>
      <c r="L14" s="1">
        <f t="shared" si="1"/>
        <v>0</v>
      </c>
      <c r="M14" s="9">
        <f t="shared" si="2"/>
        <v>0</v>
      </c>
      <c r="N14" s="10">
        <f t="shared" si="3"/>
        <v>0</v>
      </c>
      <c r="O14" s="1">
        <f>SUMIFS(
  '[1]Hoja 1'!$M:$M,
  '[1]Hoja 1'!$S:$S, $A14,
  '[1]Hoja 1'!$R:$R, "&gt;="&amp;INT($Q$1),
  '[1]Hoja 1'!$R:$R, "&lt;"&amp;INT($R$1+1)
)</f>
        <v>0</v>
      </c>
      <c r="P14" s="1">
        <f t="shared" si="4"/>
        <v>0</v>
      </c>
      <c r="Q14" s="9">
        <f t="shared" si="5"/>
        <v>0</v>
      </c>
      <c r="R14" s="10">
        <f t="shared" si="6"/>
        <v>0</v>
      </c>
      <c r="S14" s="1">
        <f>SUMIFS(
  '[1]Hoja 1'!$M:$M,
  '[1]Hoja 1'!$S:$S, $A14,
  '[1]Hoja 1'!$R:$R, "&gt;="&amp;INT($U$1),
  '[1]Hoja 1'!$R:$R, "&lt;"&amp;INT($V$1+1)
)</f>
        <v>0</v>
      </c>
      <c r="T14" s="1">
        <f t="shared" si="7"/>
        <v>0</v>
      </c>
      <c r="U14" s="9">
        <f t="shared" si="8"/>
        <v>-1.47</v>
      </c>
      <c r="V14" s="10">
        <f t="shared" si="9"/>
        <v>1.47</v>
      </c>
      <c r="W14" s="1">
        <f>SUMIFS(
  '[1]Hoja 1'!$M:$M,
  '[1]Hoja 1'!$S:$S, $A14,
  '[1]Hoja 1'!$R:$R, "&gt;="&amp;INT($Y$1),
  '[1]Hoja 1'!$R:$R, "&lt;"&amp;INT($Z$1+1)
)</f>
        <v>0</v>
      </c>
      <c r="X14" s="1">
        <f t="shared" si="10"/>
        <v>0</v>
      </c>
      <c r="Y14" s="9">
        <f t="shared" si="11"/>
        <v>0</v>
      </c>
      <c r="Z14" s="10">
        <f t="shared" si="12"/>
        <v>0</v>
      </c>
      <c r="AA14" s="1">
        <f>SUMIFS(
  '[1]Hoja 1'!$M:$M,
  '[1]Hoja 1'!$S:$S, $A14,
  '[1]Hoja 1'!$R:$R, "&gt;="&amp;INT($AC$1),
  '[1]Hoja 1'!$R:$R, "&lt;"&amp;INT($AD$1+1)
)</f>
        <v>0</v>
      </c>
      <c r="AB14" s="1">
        <f t="shared" si="13"/>
        <v>0</v>
      </c>
      <c r="AC14" s="9">
        <f t="shared" si="14"/>
        <v>0</v>
      </c>
      <c r="AD14" s="10">
        <f t="shared" si="15"/>
        <v>0</v>
      </c>
      <c r="AE14" s="1">
        <f>SUMIFS(
  '[1]Hoja 1'!$M:$M,
  '[1]Hoja 1'!$S:$S, $A14,
  '[1]Hoja 1'!$R:$R, "&gt;="&amp;INT($AG$1),
  '[1]Hoja 1'!$R:$R, "&lt;"&amp;INT($AH$1+1)
)</f>
        <v>0</v>
      </c>
      <c r="AF14" s="1">
        <f t="shared" si="16"/>
        <v>0</v>
      </c>
      <c r="AG14" s="9">
        <f t="shared" si="17"/>
        <v>0</v>
      </c>
      <c r="AH14" s="10">
        <f t="shared" si="18"/>
        <v>0</v>
      </c>
      <c r="AI14" s="1">
        <f>SUMIFS(
  '[1]Hoja 1'!$M:$M,
  '[1]Hoja 1'!$S:$S, $A14,
  '[1]Hoja 1'!$R:$R, "&gt;="&amp;INT($AK$1),
  '[1]Hoja 1'!$R:$R, "&lt;"&amp;INT($AJ$1+1)
)</f>
        <v>0</v>
      </c>
      <c r="AJ14" s="1">
        <f t="shared" si="19"/>
        <v>0</v>
      </c>
      <c r="AK14" s="9">
        <f t="shared" si="20"/>
        <v>0</v>
      </c>
      <c r="AL14" s="10">
        <f t="shared" si="21"/>
        <v>0</v>
      </c>
      <c r="AM14" s="1">
        <f>SUMIFS(
  '[1]Hoja 1'!$M:$M,
  '[1]Hoja 1'!$S:$S, $A14,
  '[1]Hoja 1'!$R:$R, "&gt;="&amp;INT($AO$1),
  '[1]Hoja 1'!$R:$R, "&lt;"&amp;INT($AP$1+1)
)</f>
        <v>0</v>
      </c>
      <c r="AN14" s="1">
        <f t="shared" si="22"/>
        <v>0</v>
      </c>
      <c r="AO14" s="9">
        <f t="shared" si="23"/>
        <v>0</v>
      </c>
      <c r="AP14" s="10">
        <f t="shared" si="24"/>
        <v>0</v>
      </c>
      <c r="AQ14" s="1">
        <f>SUMIFS(
  '[1]Hoja 1'!$M:$M,
  '[1]Hoja 1'!$S:$S, $A14,
  '[1]Hoja 1'!$R:$R, "&gt;="&amp;INT($AS$1),
  '[1]Hoja 1'!$R:$R, "&lt;"&amp;INT($AT$1+1)
)</f>
        <v>0</v>
      </c>
      <c r="AR14" s="1">
        <f t="shared" si="25"/>
        <v>0</v>
      </c>
      <c r="AS14" s="9">
        <f t="shared" si="26"/>
        <v>0</v>
      </c>
      <c r="AT14" s="10">
        <f t="shared" si="27"/>
        <v>0</v>
      </c>
      <c r="AU14" s="1">
        <f>SUMIFS(
  '[1]Hoja 1'!$M:$M,
  '[1]Hoja 1'!$S:$S, $A14,
  '[1]Hoja 1'!$R:$R, "&gt;="&amp;INT($AW$1),
  '[1]Hoja 1'!$R:$R, "&lt;"&amp;INT($AX$1+1)
)</f>
        <v>0</v>
      </c>
      <c r="AV14" s="1">
        <f t="shared" si="28"/>
        <v>0</v>
      </c>
      <c r="AW14" s="9">
        <f t="shared" si="29"/>
        <v>0</v>
      </c>
      <c r="AX14" s="10">
        <f t="shared" si="30"/>
        <v>0</v>
      </c>
    </row>
    <row r="15" spans="1:50" x14ac:dyDescent="0.25">
      <c r="A15" s="5">
        <v>201003</v>
      </c>
      <c r="B15" s="6" t="s">
        <v>12</v>
      </c>
      <c r="C15" s="1">
        <f>SUMIFS(
  '[1]Hoja 1'!$M:$M,
  '[1]Hoja 1'!$S:$S, $A15,
  '[1]Hoja 1'!$R:$R, "&gt;="&amp;INT($E$1),
  '[1]Hoja 1'!$R:$R, "&lt;"&amp;INT($F$1+1)
)</f>
        <v>0</v>
      </c>
      <c r="D15" s="1" t="str">
        <f>""</f>
        <v/>
      </c>
      <c r="F15" s="2"/>
      <c r="G15" s="1">
        <f>SUMIFS(
  '[1]Hoja 1'!$M:$M,
  '[1]Hoja 1'!$S:$S, $A15,
  '[1]Hoja 1'!$R:$R, "&gt;="&amp;INT($I$1),
  '[1]Hoja 1'!$R:$R, "&lt;"&amp;INT($J$1+1)
)</f>
        <v>0</v>
      </c>
      <c r="H15" s="1">
        <f t="shared" si="0"/>
        <v>0</v>
      </c>
      <c r="I15" s="1"/>
      <c r="J15" s="2"/>
      <c r="K15" s="1">
        <f>SUMIFS(
  '[1]Hoja 1'!$M:$M,
  '[1]Hoja 1'!$S:$S, $A15,
  '[1]Hoja 1'!$R:$R, "&gt;="&amp;INT($M$1),
  '[1]Hoja 1'!$R:$R, "&lt;"&amp;INT($N$1+1)
)</f>
        <v>0</v>
      </c>
      <c r="L15" s="1">
        <f t="shared" si="1"/>
        <v>0</v>
      </c>
      <c r="M15" s="9">
        <f t="shared" si="2"/>
        <v>0</v>
      </c>
      <c r="N15" s="10">
        <f t="shared" si="3"/>
        <v>0</v>
      </c>
      <c r="O15" s="1">
        <f>SUMIFS(
  '[1]Hoja 1'!$M:$M,
  '[1]Hoja 1'!$S:$S, $A15,
  '[1]Hoja 1'!$R:$R, "&gt;="&amp;INT($Q$1),
  '[1]Hoja 1'!$R:$R, "&lt;"&amp;INT($R$1+1)
)</f>
        <v>0</v>
      </c>
      <c r="P15" s="1">
        <f t="shared" si="4"/>
        <v>0</v>
      </c>
      <c r="Q15" s="9">
        <f t="shared" si="5"/>
        <v>0</v>
      </c>
      <c r="R15" s="10">
        <f t="shared" si="6"/>
        <v>0</v>
      </c>
      <c r="S15" s="1">
        <f>SUMIFS(
  '[1]Hoja 1'!$M:$M,
  '[1]Hoja 1'!$S:$S, $A15,
  '[1]Hoja 1'!$R:$R, "&gt;="&amp;INT($U$1),
  '[1]Hoja 1'!$R:$R, "&lt;"&amp;INT($V$1+1)
)</f>
        <v>0</v>
      </c>
      <c r="T15" s="1">
        <f t="shared" si="7"/>
        <v>0</v>
      </c>
      <c r="U15" s="9">
        <f t="shared" si="8"/>
        <v>-1.47</v>
      </c>
      <c r="V15" s="10">
        <f t="shared" si="9"/>
        <v>1.47</v>
      </c>
      <c r="W15" s="1">
        <f>SUMIFS(
  '[1]Hoja 1'!$M:$M,
  '[1]Hoja 1'!$S:$S, $A15,
  '[1]Hoja 1'!$R:$R, "&gt;="&amp;INT($Y$1),
  '[1]Hoja 1'!$R:$R, "&lt;"&amp;INT($Z$1+1)
)</f>
        <v>0</v>
      </c>
      <c r="X15" s="1">
        <f t="shared" si="10"/>
        <v>0</v>
      </c>
      <c r="Y15" s="9">
        <f t="shared" si="11"/>
        <v>0</v>
      </c>
      <c r="Z15" s="10">
        <f t="shared" si="12"/>
        <v>0</v>
      </c>
      <c r="AA15" s="1">
        <f>SUMIFS(
  '[1]Hoja 1'!$M:$M,
  '[1]Hoja 1'!$S:$S, $A15,
  '[1]Hoja 1'!$R:$R, "&gt;="&amp;INT($AC$1),
  '[1]Hoja 1'!$R:$R, "&lt;"&amp;INT($AD$1+1)
)</f>
        <v>0</v>
      </c>
      <c r="AB15" s="1">
        <f t="shared" si="13"/>
        <v>0</v>
      </c>
      <c r="AC15" s="9">
        <f t="shared" si="14"/>
        <v>0</v>
      </c>
      <c r="AD15" s="10">
        <f t="shared" si="15"/>
        <v>0</v>
      </c>
      <c r="AE15" s="1">
        <f>SUMIFS(
  '[1]Hoja 1'!$M:$M,
  '[1]Hoja 1'!$S:$S, $A15,
  '[1]Hoja 1'!$R:$R, "&gt;="&amp;INT($AG$1),
  '[1]Hoja 1'!$R:$R, "&lt;"&amp;INT($AH$1+1)
)</f>
        <v>0</v>
      </c>
      <c r="AF15" s="1">
        <f t="shared" si="16"/>
        <v>0</v>
      </c>
      <c r="AG15" s="9">
        <f t="shared" si="17"/>
        <v>0</v>
      </c>
      <c r="AH15" s="10">
        <f t="shared" si="18"/>
        <v>0</v>
      </c>
      <c r="AI15" s="1">
        <f>SUMIFS(
  '[1]Hoja 1'!$M:$M,
  '[1]Hoja 1'!$S:$S, $A15,
  '[1]Hoja 1'!$R:$R, "&gt;="&amp;INT($AK$1),
  '[1]Hoja 1'!$R:$R, "&lt;"&amp;INT($AJ$1+1)
)</f>
        <v>0</v>
      </c>
      <c r="AJ15" s="1">
        <f t="shared" si="19"/>
        <v>0</v>
      </c>
      <c r="AK15" s="9">
        <f t="shared" si="20"/>
        <v>0</v>
      </c>
      <c r="AL15" s="10">
        <f t="shared" si="21"/>
        <v>0</v>
      </c>
      <c r="AM15" s="1">
        <f>SUMIFS(
  '[1]Hoja 1'!$M:$M,
  '[1]Hoja 1'!$S:$S, $A15,
  '[1]Hoja 1'!$R:$R, "&gt;="&amp;INT($AO$1),
  '[1]Hoja 1'!$R:$R, "&lt;"&amp;INT($AP$1+1)
)</f>
        <v>0</v>
      </c>
      <c r="AN15" s="1">
        <f t="shared" si="22"/>
        <v>0</v>
      </c>
      <c r="AO15" s="9">
        <f t="shared" si="23"/>
        <v>0</v>
      </c>
      <c r="AP15" s="10">
        <f t="shared" si="24"/>
        <v>0</v>
      </c>
      <c r="AQ15" s="1">
        <f>SUMIFS(
  '[1]Hoja 1'!$M:$M,
  '[1]Hoja 1'!$S:$S, $A15,
  '[1]Hoja 1'!$R:$R, "&gt;="&amp;INT($AS$1),
  '[1]Hoja 1'!$R:$R, "&lt;"&amp;INT($AT$1+1)
)</f>
        <v>0</v>
      </c>
      <c r="AR15" s="1">
        <f t="shared" si="25"/>
        <v>0</v>
      </c>
      <c r="AS15" s="9">
        <f t="shared" si="26"/>
        <v>0</v>
      </c>
      <c r="AT15" s="10">
        <f t="shared" si="27"/>
        <v>0</v>
      </c>
      <c r="AU15" s="1">
        <f>SUMIFS(
  '[1]Hoja 1'!$M:$M,
  '[1]Hoja 1'!$S:$S, $A15,
  '[1]Hoja 1'!$R:$R, "&gt;="&amp;INT($AW$1),
  '[1]Hoja 1'!$R:$R, "&lt;"&amp;INT($AX$1+1)
)</f>
        <v>0</v>
      </c>
      <c r="AV15" s="1">
        <f t="shared" si="28"/>
        <v>0</v>
      </c>
      <c r="AW15" s="9">
        <f t="shared" si="29"/>
        <v>0</v>
      </c>
      <c r="AX15" s="10">
        <f t="shared" si="30"/>
        <v>0</v>
      </c>
    </row>
    <row r="16" spans="1:50" x14ac:dyDescent="0.25">
      <c r="A16" s="5">
        <v>201004</v>
      </c>
      <c r="B16" s="6" t="s">
        <v>13</v>
      </c>
      <c r="C16" s="1">
        <f>SUMIFS(
  '[1]Hoja 1'!$M:$M,
  '[1]Hoja 1'!$S:$S, $A16,
  '[1]Hoja 1'!$R:$R, "&gt;="&amp;INT($E$1),
  '[1]Hoja 1'!$R:$R, "&lt;"&amp;INT($F$1+1)
)</f>
        <v>0</v>
      </c>
      <c r="D16" s="1" t="str">
        <f>""</f>
        <v/>
      </c>
      <c r="F16" s="2"/>
      <c r="G16" s="1">
        <f>SUMIFS(
  '[1]Hoja 1'!$M:$M,
  '[1]Hoja 1'!$S:$S, $A16,
  '[1]Hoja 1'!$R:$R, "&gt;="&amp;INT($I$1),
  '[1]Hoja 1'!$R:$R, "&lt;"&amp;INT($J$1+1)
)</f>
        <v>0</v>
      </c>
      <c r="H16" s="1">
        <f t="shared" si="0"/>
        <v>0</v>
      </c>
      <c r="I16" s="1"/>
      <c r="J16" s="2"/>
      <c r="K16" s="1">
        <f>SUMIFS(
  '[1]Hoja 1'!$M:$M,
  '[1]Hoja 1'!$S:$S, $A16,
  '[1]Hoja 1'!$R:$R, "&gt;="&amp;INT($M$1),
  '[1]Hoja 1'!$R:$R, "&lt;"&amp;INT($N$1+1)
)</f>
        <v>0</v>
      </c>
      <c r="L16" s="1">
        <f t="shared" si="1"/>
        <v>0</v>
      </c>
      <c r="M16" s="9">
        <f t="shared" si="2"/>
        <v>0</v>
      </c>
      <c r="N16" s="10">
        <f t="shared" si="3"/>
        <v>0</v>
      </c>
      <c r="O16" s="1">
        <f>SUMIFS(
  '[1]Hoja 1'!$M:$M,
  '[1]Hoja 1'!$S:$S, $A16,
  '[1]Hoja 1'!$R:$R, "&gt;="&amp;INT($Q$1),
  '[1]Hoja 1'!$R:$R, "&lt;"&amp;INT($R$1+1)
)</f>
        <v>0</v>
      </c>
      <c r="P16" s="1">
        <f t="shared" si="4"/>
        <v>0</v>
      </c>
      <c r="Q16" s="9">
        <f t="shared" si="5"/>
        <v>0</v>
      </c>
      <c r="R16" s="10">
        <f t="shared" si="6"/>
        <v>0</v>
      </c>
      <c r="S16" s="1">
        <f>SUMIFS(
  '[1]Hoja 1'!$M:$M,
  '[1]Hoja 1'!$S:$S, $A16,
  '[1]Hoja 1'!$R:$R, "&gt;="&amp;INT($U$1),
  '[1]Hoja 1'!$R:$R, "&lt;"&amp;INT($V$1+1)
)</f>
        <v>0</v>
      </c>
      <c r="T16" s="1">
        <f t="shared" si="7"/>
        <v>0</v>
      </c>
      <c r="U16" s="9">
        <f t="shared" si="8"/>
        <v>-1.47</v>
      </c>
      <c r="V16" s="10">
        <f t="shared" si="9"/>
        <v>1.47</v>
      </c>
      <c r="W16" s="1">
        <f>SUMIFS(
  '[1]Hoja 1'!$M:$M,
  '[1]Hoja 1'!$S:$S, $A16,
  '[1]Hoja 1'!$R:$R, "&gt;="&amp;INT($Y$1),
  '[1]Hoja 1'!$R:$R, "&lt;"&amp;INT($Z$1+1)
)</f>
        <v>0</v>
      </c>
      <c r="X16" s="1">
        <f t="shared" si="10"/>
        <v>0</v>
      </c>
      <c r="Y16" s="9">
        <f t="shared" si="11"/>
        <v>0</v>
      </c>
      <c r="Z16" s="10">
        <f t="shared" si="12"/>
        <v>0</v>
      </c>
      <c r="AA16" s="1">
        <f>SUMIFS(
  '[1]Hoja 1'!$M:$M,
  '[1]Hoja 1'!$S:$S, $A16,
  '[1]Hoja 1'!$R:$R, "&gt;="&amp;INT($AC$1),
  '[1]Hoja 1'!$R:$R, "&lt;"&amp;INT($AD$1+1)
)</f>
        <v>0</v>
      </c>
      <c r="AB16" s="1">
        <f t="shared" si="13"/>
        <v>0</v>
      </c>
      <c r="AC16" s="9">
        <f t="shared" si="14"/>
        <v>0</v>
      </c>
      <c r="AD16" s="10">
        <f t="shared" si="15"/>
        <v>0</v>
      </c>
      <c r="AE16" s="1">
        <f>SUMIFS(
  '[1]Hoja 1'!$M:$M,
  '[1]Hoja 1'!$S:$S, $A16,
  '[1]Hoja 1'!$R:$R, "&gt;="&amp;INT($AG$1),
  '[1]Hoja 1'!$R:$R, "&lt;"&amp;INT($AH$1+1)
)</f>
        <v>0</v>
      </c>
      <c r="AF16" s="1">
        <f t="shared" si="16"/>
        <v>0</v>
      </c>
      <c r="AG16" s="9">
        <f t="shared" si="17"/>
        <v>0</v>
      </c>
      <c r="AH16" s="10">
        <f t="shared" si="18"/>
        <v>0</v>
      </c>
      <c r="AI16" s="1">
        <f>SUMIFS(
  '[1]Hoja 1'!$M:$M,
  '[1]Hoja 1'!$S:$S, $A16,
  '[1]Hoja 1'!$R:$R, "&gt;="&amp;INT($AK$1),
  '[1]Hoja 1'!$R:$R, "&lt;"&amp;INT($AJ$1+1)
)</f>
        <v>0</v>
      </c>
      <c r="AJ16" s="1">
        <f t="shared" si="19"/>
        <v>0</v>
      </c>
      <c r="AK16" s="9">
        <f t="shared" si="20"/>
        <v>0</v>
      </c>
      <c r="AL16" s="10">
        <f t="shared" si="21"/>
        <v>0</v>
      </c>
      <c r="AM16" s="1">
        <f>SUMIFS(
  '[1]Hoja 1'!$M:$M,
  '[1]Hoja 1'!$S:$S, $A16,
  '[1]Hoja 1'!$R:$R, "&gt;="&amp;INT($AO$1),
  '[1]Hoja 1'!$R:$R, "&lt;"&amp;INT($AP$1+1)
)</f>
        <v>0</v>
      </c>
      <c r="AN16" s="1">
        <f t="shared" si="22"/>
        <v>0</v>
      </c>
      <c r="AO16" s="9">
        <f t="shared" si="23"/>
        <v>0</v>
      </c>
      <c r="AP16" s="10">
        <f t="shared" si="24"/>
        <v>0</v>
      </c>
      <c r="AQ16" s="1">
        <f>SUMIFS(
  '[1]Hoja 1'!$M:$M,
  '[1]Hoja 1'!$S:$S, $A16,
  '[1]Hoja 1'!$R:$R, "&gt;="&amp;INT($AS$1),
  '[1]Hoja 1'!$R:$R, "&lt;"&amp;INT($AT$1+1)
)</f>
        <v>0</v>
      </c>
      <c r="AR16" s="1">
        <f t="shared" si="25"/>
        <v>0</v>
      </c>
      <c r="AS16" s="9">
        <f t="shared" si="26"/>
        <v>0</v>
      </c>
      <c r="AT16" s="10">
        <f t="shared" si="27"/>
        <v>0</v>
      </c>
      <c r="AU16" s="1">
        <f>SUMIFS(
  '[1]Hoja 1'!$M:$M,
  '[1]Hoja 1'!$S:$S, $A16,
  '[1]Hoja 1'!$R:$R, "&gt;="&amp;INT($AW$1),
  '[1]Hoja 1'!$R:$R, "&lt;"&amp;INT($AX$1+1)
)</f>
        <v>0</v>
      </c>
      <c r="AV16" s="1">
        <f t="shared" si="28"/>
        <v>0</v>
      </c>
      <c r="AW16" s="9">
        <f t="shared" si="29"/>
        <v>0</v>
      </c>
      <c r="AX16" s="10">
        <f t="shared" si="30"/>
        <v>0</v>
      </c>
    </row>
    <row r="17" spans="1:50" x14ac:dyDescent="0.25">
      <c r="A17" s="5">
        <v>201005</v>
      </c>
      <c r="B17" s="6" t="s">
        <v>14</v>
      </c>
      <c r="C17" s="1">
        <f>SUMIFS(
  '[1]Hoja 1'!$M:$M,
  '[1]Hoja 1'!$S:$S, $A17,
  '[1]Hoja 1'!$R:$R, "&gt;="&amp;INT($E$1),
  '[1]Hoja 1'!$R:$R, "&lt;"&amp;INT($F$1+1)
)</f>
        <v>1</v>
      </c>
      <c r="D17" s="1" t="str">
        <f>""</f>
        <v/>
      </c>
      <c r="F17" s="2"/>
      <c r="G17" s="1">
        <f>SUMIFS(
  '[1]Hoja 1'!$M:$M,
  '[1]Hoja 1'!$S:$S, $A17,
  '[1]Hoja 1'!$R:$R, "&gt;="&amp;INT($I$1),
  '[1]Hoja 1'!$R:$R, "&lt;"&amp;INT($J$1+1)
)</f>
        <v>0</v>
      </c>
      <c r="H17" s="1">
        <f t="shared" si="0"/>
        <v>1</v>
      </c>
      <c r="I17" s="1"/>
      <c r="J17" s="2"/>
      <c r="K17" s="1">
        <f>SUMIFS(
  '[1]Hoja 1'!$M:$M,
  '[1]Hoja 1'!$S:$S, $A17,
  '[1]Hoja 1'!$R:$R, "&gt;="&amp;INT($M$1),
  '[1]Hoja 1'!$R:$R, "&lt;"&amp;INT($N$1+1)
)</f>
        <v>0</v>
      </c>
      <c r="L17" s="1">
        <f t="shared" si="1"/>
        <v>0</v>
      </c>
      <c r="M17" s="9">
        <f t="shared" si="2"/>
        <v>-0.69296464556281656</v>
      </c>
      <c r="N17" s="10">
        <f t="shared" si="3"/>
        <v>0.69296464556281656</v>
      </c>
      <c r="O17" s="1">
        <f>SUMIFS(
  '[1]Hoja 1'!$M:$M,
  '[1]Hoja 1'!$S:$S, $A17,
  '[1]Hoja 1'!$R:$R, "&gt;="&amp;INT($Q$1),
  '[1]Hoja 1'!$R:$R, "&lt;"&amp;INT($R$1+1)
)</f>
        <v>0</v>
      </c>
      <c r="P17" s="1">
        <f t="shared" si="4"/>
        <v>0</v>
      </c>
      <c r="Q17" s="9">
        <f t="shared" si="5"/>
        <v>-0.56580326380583335</v>
      </c>
      <c r="R17" s="10">
        <f t="shared" si="6"/>
        <v>0.56580326380583335</v>
      </c>
      <c r="S17" s="1">
        <f>SUMIFS(
  '[1]Hoja 1'!$M:$M,
  '[1]Hoja 1'!$S:$S, $A17,
  '[1]Hoja 1'!$R:$R, "&gt;="&amp;INT($U$1),
  '[1]Hoja 1'!$R:$R, "&lt;"&amp;INT($V$1+1)
)</f>
        <v>0</v>
      </c>
      <c r="T17" s="1">
        <f t="shared" si="7"/>
        <v>0</v>
      </c>
      <c r="U17" s="9">
        <f t="shared" si="8"/>
        <v>-1.3859292911256331</v>
      </c>
      <c r="V17" s="10">
        <f t="shared" si="9"/>
        <v>1.3859292911256331</v>
      </c>
      <c r="W17" s="1">
        <f>SUMIFS(
  '[1]Hoja 1'!$M:$M,
  '[1]Hoja 1'!$S:$S, $A17,
  '[1]Hoja 1'!$R:$R, "&gt;="&amp;INT($Y$1),
  '[1]Hoja 1'!$R:$R, "&lt;"&amp;INT($Z$1+1)
)</f>
        <v>0</v>
      </c>
      <c r="X17" s="1">
        <f t="shared" si="10"/>
        <v>0</v>
      </c>
      <c r="Y17" s="9">
        <f t="shared" si="11"/>
        <v>-0.43826932358995874</v>
      </c>
      <c r="Z17" s="10">
        <f t="shared" si="12"/>
        <v>0.43826932358995874</v>
      </c>
      <c r="AA17" s="1">
        <f>SUMIFS(
  '[1]Hoja 1'!$M:$M,
  '[1]Hoja 1'!$S:$S, $A17,
  '[1]Hoja 1'!$R:$R, "&gt;="&amp;INT($AC$1),
  '[1]Hoja 1'!$R:$R, "&lt;"&amp;INT($AD$1+1)
)</f>
        <v>0</v>
      </c>
      <c r="AB17" s="1">
        <f t="shared" si="13"/>
        <v>0</v>
      </c>
      <c r="AC17" s="9">
        <f t="shared" si="14"/>
        <v>-0.40008332465458574</v>
      </c>
      <c r="AD17" s="10">
        <f t="shared" si="15"/>
        <v>0.40008332465458574</v>
      </c>
      <c r="AE17" s="1">
        <f>SUMIFS(
  '[1]Hoja 1'!$M:$M,
  '[1]Hoja 1'!$S:$S, $A17,
  '[1]Hoja 1'!$R:$R, "&gt;="&amp;INT($AG$1),
  '[1]Hoja 1'!$R:$R, "&lt;"&amp;INT($AH$1+1)
)</f>
        <v>0</v>
      </c>
      <c r="AF17" s="1">
        <f t="shared" si="16"/>
        <v>0</v>
      </c>
      <c r="AG17" s="9">
        <f t="shared" si="17"/>
        <v>-0.37040518354904273</v>
      </c>
      <c r="AH17" s="10">
        <f t="shared" si="18"/>
        <v>0.37040518354904273</v>
      </c>
      <c r="AI17" s="1">
        <f>SUMIFS(
  '[1]Hoja 1'!$M:$M,
  '[1]Hoja 1'!$S:$S, $A17,
  '[1]Hoja 1'!$R:$R, "&gt;="&amp;INT($AK$1),
  '[1]Hoja 1'!$R:$R, "&lt;"&amp;INT($AJ$1+1)
)</f>
        <v>0</v>
      </c>
      <c r="AJ17" s="1">
        <f t="shared" si="19"/>
        <v>0</v>
      </c>
      <c r="AK17" s="9">
        <f t="shared" si="20"/>
        <v>-0.34648232278140828</v>
      </c>
      <c r="AL17" s="10">
        <f t="shared" si="21"/>
        <v>0.34648232278140828</v>
      </c>
      <c r="AM17" s="1">
        <f>SUMIFS(
  '[1]Hoja 1'!$M:$M,
  '[1]Hoja 1'!$S:$S, $A17,
  '[1]Hoja 1'!$R:$R, "&gt;="&amp;INT($AO$1),
  '[1]Hoja 1'!$R:$R, "&lt;"&amp;INT($AP$1+1)
)</f>
        <v>0</v>
      </c>
      <c r="AN17" s="1">
        <f t="shared" si="22"/>
        <v>0</v>
      </c>
      <c r="AO17" s="9">
        <f t="shared" si="23"/>
        <v>-0.32666666666666666</v>
      </c>
      <c r="AP17" s="10">
        <f t="shared" si="24"/>
        <v>0.32666666666666666</v>
      </c>
      <c r="AQ17" s="1">
        <f>SUMIFS(
  '[1]Hoja 1'!$M:$M,
  '[1]Hoja 1'!$S:$S, $A17,
  '[1]Hoja 1'!$R:$R, "&gt;="&amp;INT($AS$1),
  '[1]Hoja 1'!$R:$R, "&lt;"&amp;INT($AT$1+1)
)</f>
        <v>0</v>
      </c>
      <c r="AR17" s="1">
        <f t="shared" si="25"/>
        <v>0</v>
      </c>
      <c r="AS17" s="9">
        <f t="shared" si="26"/>
        <v>-0.30990321069650117</v>
      </c>
      <c r="AT17" s="10">
        <f t="shared" si="27"/>
        <v>0.30990321069650117</v>
      </c>
      <c r="AU17" s="1">
        <f>SUMIFS(
  '[1]Hoja 1'!$M:$M,
  '[1]Hoja 1'!$S:$S, $A17,
  '[1]Hoja 1'!$R:$R, "&gt;="&amp;INT($AW$1),
  '[1]Hoja 1'!$R:$R, "&lt;"&amp;INT($AX$1+1)
)</f>
        <v>0</v>
      </c>
      <c r="AV17" s="1">
        <f t="shared" si="28"/>
        <v>0</v>
      </c>
      <c r="AW17" s="9">
        <f t="shared" si="29"/>
        <v>-0.29548111768620833</v>
      </c>
      <c r="AX17" s="10">
        <f t="shared" si="30"/>
        <v>0.29548111768620833</v>
      </c>
    </row>
    <row r="18" spans="1:50" x14ac:dyDescent="0.25">
      <c r="A18" s="5">
        <v>201009</v>
      </c>
      <c r="B18" s="6" t="s">
        <v>15</v>
      </c>
      <c r="C18" s="1">
        <f>SUMIFS(
  '[1]Hoja 1'!$M:$M,
  '[1]Hoja 1'!$S:$S, $A18,
  '[1]Hoja 1'!$R:$R, "&gt;="&amp;INT($E$1),
  '[1]Hoja 1'!$R:$R, "&lt;"&amp;INT($F$1+1)
)</f>
        <v>9</v>
      </c>
      <c r="D18" s="1" t="str">
        <f>""</f>
        <v/>
      </c>
      <c r="F18" s="2"/>
      <c r="G18" s="1">
        <f>SUMIFS(
  '[1]Hoja 1'!$M:$M,
  '[1]Hoja 1'!$S:$S, $A18,
  '[1]Hoja 1'!$R:$R, "&gt;="&amp;INT($I$1),
  '[1]Hoja 1'!$R:$R, "&lt;"&amp;INT($J$1+1)
)</f>
        <v>10</v>
      </c>
      <c r="H18" s="1">
        <f t="shared" si="0"/>
        <v>10</v>
      </c>
      <c r="I18" s="1"/>
      <c r="J18" s="2"/>
      <c r="K18" s="1">
        <f>SUMIFS(
  '[1]Hoja 1'!$M:$M,
  '[1]Hoja 1'!$S:$S, $A18,
  '[1]Hoja 1'!$R:$R, "&gt;="&amp;INT($M$1),
  '[1]Hoja 1'!$R:$R, "&lt;"&amp;INT($N$1+1)
)</f>
        <v>0</v>
      </c>
      <c r="L18" s="1">
        <f t="shared" si="1"/>
        <v>5</v>
      </c>
      <c r="M18" s="9">
        <f t="shared" si="2"/>
        <v>-2.6226111011909818</v>
      </c>
      <c r="N18" s="10">
        <f t="shared" si="3"/>
        <v>12.622611101190982</v>
      </c>
      <c r="O18" s="1">
        <f>SUMIFS(
  '[1]Hoja 1'!$M:$M,
  '[1]Hoja 1'!$S:$S, $A18,
  '[1]Hoja 1'!$R:$R, "&gt;="&amp;INT($Q$1),
  '[1]Hoja 1'!$R:$R, "&lt;"&amp;INT($R$1+1)
)</f>
        <v>0</v>
      </c>
      <c r="P18" s="1">
        <f t="shared" si="4"/>
        <v>0</v>
      </c>
      <c r="Q18" s="9">
        <f t="shared" si="5"/>
        <v>-5.9611072796922544</v>
      </c>
      <c r="R18" s="10">
        <f t="shared" si="6"/>
        <v>5.9611072796922544</v>
      </c>
      <c r="S18" s="1">
        <f>SUMIFS(
  '[1]Hoja 1'!$M:$M,
  '[1]Hoja 1'!$S:$S, $A18,
  '[1]Hoja 1'!$R:$R, "&gt;="&amp;INT($U$1),
  '[1]Hoja 1'!$R:$R, "&lt;"&amp;INT($V$1+1)
)</f>
        <v>0</v>
      </c>
      <c r="T18" s="1">
        <f t="shared" si="7"/>
        <v>0</v>
      </c>
      <c r="U18" s="9">
        <f t="shared" si="8"/>
        <v>-4.8672237124121045</v>
      </c>
      <c r="V18" s="10">
        <f t="shared" si="9"/>
        <v>4.8672237124121045</v>
      </c>
      <c r="W18" s="1">
        <f>SUMIFS(
  '[1]Hoja 1'!$M:$M,
  '[1]Hoja 1'!$S:$S, $A18,
  '[1]Hoja 1'!$R:$R, "&gt;="&amp;INT($Y$1),
  '[1]Hoja 1'!$R:$R, "&lt;"&amp;INT($Z$1+1)
)</f>
        <v>0</v>
      </c>
      <c r="X18" s="1">
        <f t="shared" si="10"/>
        <v>0</v>
      </c>
      <c r="Y18" s="9">
        <f t="shared" si="11"/>
        <v>-4.512258857822764</v>
      </c>
      <c r="Z18" s="10">
        <f t="shared" si="12"/>
        <v>4.512258857822764</v>
      </c>
      <c r="AA18" s="1">
        <f>SUMIFS(
  '[1]Hoja 1'!$M:$M,
  '[1]Hoja 1'!$S:$S, $A18,
  '[1]Hoja 1'!$R:$R, "&gt;="&amp;INT($AC$1),
  '[1]Hoja 1'!$R:$R, "&lt;"&amp;INT($AD$1+1)
)</f>
        <v>0</v>
      </c>
      <c r="AB18" s="1">
        <f t="shared" si="13"/>
        <v>0</v>
      </c>
      <c r="AC18" s="9">
        <f t="shared" si="14"/>
        <v>-4.0996341300169705</v>
      </c>
      <c r="AD18" s="10">
        <f t="shared" si="15"/>
        <v>4.0996341300169705</v>
      </c>
      <c r="AE18" s="1">
        <f>SUMIFS(
  '[1]Hoja 1'!$M:$M,
  '[1]Hoja 1'!$S:$S, $A18,
  '[1]Hoja 1'!$R:$R, "&gt;="&amp;INT($AG$1),
  '[1]Hoja 1'!$R:$R, "&lt;"&amp;INT($AH$1+1)
)</f>
        <v>0</v>
      </c>
      <c r="AF18" s="1">
        <f t="shared" si="16"/>
        <v>0</v>
      </c>
      <c r="AG18" s="9">
        <f t="shared" si="17"/>
        <v>-3.7834552109590689</v>
      </c>
      <c r="AH18" s="10">
        <f t="shared" si="18"/>
        <v>3.7834552109590689</v>
      </c>
      <c r="AI18" s="1">
        <f>SUMIFS(
  '[1]Hoja 1'!$M:$M,
  '[1]Hoja 1'!$S:$S, $A18,
  '[1]Hoja 1'!$R:$R, "&gt;="&amp;INT($AK$1),
  '[1]Hoja 1'!$R:$R, "&lt;"&amp;INT($AJ$1+1)
)</f>
        <v>0</v>
      </c>
      <c r="AJ18" s="1">
        <f t="shared" si="19"/>
        <v>0</v>
      </c>
      <c r="AK18" s="9">
        <f t="shared" si="20"/>
        <v>-3.5310126026396453</v>
      </c>
      <c r="AL18" s="10">
        <f t="shared" si="21"/>
        <v>3.5310126026396453</v>
      </c>
      <c r="AM18" s="1">
        <f>SUMIFS(
  '[1]Hoja 1'!$M:$M,
  '[1]Hoja 1'!$S:$S, $A18,
  '[1]Hoja 1'!$R:$R, "&gt;="&amp;INT($AO$1),
  '[1]Hoja 1'!$R:$R, "&lt;"&amp;INT($AP$1+1)
)</f>
        <v>0</v>
      </c>
      <c r="AN18" s="1">
        <f t="shared" si="22"/>
        <v>0</v>
      </c>
      <c r="AO18" s="9">
        <f t="shared" si="23"/>
        <v>-3.3233416917313812</v>
      </c>
      <c r="AP18" s="10">
        <f t="shared" si="24"/>
        <v>3.3233416917313812</v>
      </c>
      <c r="AQ18" s="1">
        <f>SUMIFS(
  '[1]Hoja 1'!$M:$M,
  '[1]Hoja 1'!$S:$S, $A18,
  '[1]Hoja 1'!$R:$R, "&gt;="&amp;INT($AS$1),
  '[1]Hoja 1'!$R:$R, "&lt;"&amp;INT($AT$1+1)
)</f>
        <v>0</v>
      </c>
      <c r="AR18" s="1">
        <f t="shared" si="25"/>
        <v>0</v>
      </c>
      <c r="AS18" s="9">
        <f t="shared" si="26"/>
        <v>-3.1485651052856163</v>
      </c>
      <c r="AT18" s="10">
        <f t="shared" si="27"/>
        <v>3.1485651052856163</v>
      </c>
      <c r="AU18" s="1">
        <f>SUMIFS(
  '[1]Hoja 1'!$M:$M,
  '[1]Hoja 1'!$S:$S, $A18,
  '[1]Hoja 1'!$R:$R, "&gt;="&amp;INT($AW$1),
  '[1]Hoja 1'!$R:$R, "&lt;"&amp;INT($AX$1+1)
)</f>
        <v>0</v>
      </c>
      <c r="AV18" s="1">
        <f t="shared" si="28"/>
        <v>0</v>
      </c>
      <c r="AW18" s="9">
        <f t="shared" si="29"/>
        <v>-2.9988058229295813</v>
      </c>
      <c r="AX18" s="10">
        <f t="shared" si="30"/>
        <v>2.9988058229295813</v>
      </c>
    </row>
    <row r="19" spans="1:50" x14ac:dyDescent="0.25">
      <c r="A19" s="5">
        <v>201011</v>
      </c>
      <c r="B19" s="6" t="s">
        <v>16</v>
      </c>
      <c r="C19" s="1">
        <f>SUMIFS(
  '[1]Hoja 1'!$M:$M,
  '[1]Hoja 1'!$S:$S, $A19,
  '[1]Hoja 1'!$R:$R, "&gt;="&amp;INT($E$1),
  '[1]Hoja 1'!$R:$R, "&lt;"&amp;INT($F$1+1)
)</f>
        <v>1063</v>
      </c>
      <c r="D19" s="1" t="str">
        <f>""</f>
        <v/>
      </c>
      <c r="F19" s="2"/>
      <c r="G19" s="1">
        <f>SUMIFS(
  '[1]Hoja 1'!$M:$M,
  '[1]Hoja 1'!$S:$S, $A19,
  '[1]Hoja 1'!$R:$R, "&gt;="&amp;INT($I$1),
  '[1]Hoja 1'!$R:$R, "&lt;"&amp;INT($J$1+1)
)</f>
        <v>419</v>
      </c>
      <c r="H19" s="1">
        <f t="shared" si="0"/>
        <v>741</v>
      </c>
      <c r="I19" s="1"/>
      <c r="J19" s="2"/>
      <c r="K19" s="1">
        <f>SUMIFS(
  '[1]Hoja 1'!$M:$M,
  '[1]Hoja 1'!$S:$S, $A19,
  '[1]Hoja 1'!$R:$R, "&gt;="&amp;INT($M$1),
  '[1]Hoja 1'!$R:$R, "&lt;"&amp;INT($N$1+1)
)</f>
        <v>0</v>
      </c>
      <c r="L19" s="1">
        <f t="shared" si="1"/>
        <v>209.5</v>
      </c>
      <c r="M19" s="9">
        <f t="shared" si="2"/>
        <v>53.582954748366262</v>
      </c>
      <c r="N19" s="10">
        <f t="shared" si="3"/>
        <v>365.41704525163374</v>
      </c>
      <c r="O19" s="1">
        <f>SUMIFS(
  '[1]Hoja 1'!$M:$M,
  '[1]Hoja 1'!$S:$S, $A19,
  '[1]Hoja 1'!$R:$R, "&gt;="&amp;INT($Q$1),
  '[1]Hoja 1'!$R:$R, "&lt;"&amp;INT($R$1+1)
)</f>
        <v>0</v>
      </c>
      <c r="P19" s="1">
        <f t="shared" si="4"/>
        <v>0</v>
      </c>
      <c r="Q19" s="9">
        <f t="shared" si="5"/>
        <v>-320.29712476594813</v>
      </c>
      <c r="R19" s="10">
        <f t="shared" si="6"/>
        <v>320.29712476594813</v>
      </c>
      <c r="S19" s="1">
        <f>SUMIFS(
  '[1]Hoja 1'!$M:$M,
  '[1]Hoja 1'!$S:$S, $A19,
  '[1]Hoja 1'!$R:$R, "&gt;="&amp;INT($U$1),
  '[1]Hoja 1'!$R:$R, "&lt;"&amp;INT($V$1+1)
)</f>
        <v>0</v>
      </c>
      <c r="T19" s="1">
        <f t="shared" si="7"/>
        <v>0</v>
      </c>
      <c r="U19" s="9">
        <f t="shared" si="8"/>
        <v>-313.09785839787105</v>
      </c>
      <c r="V19" s="10">
        <f t="shared" si="9"/>
        <v>313.09785839787105</v>
      </c>
      <c r="W19" s="1">
        <f>SUMIFS(
  '[1]Hoja 1'!$M:$M,
  '[1]Hoja 1'!$S:$S, $A19,
  '[1]Hoja 1'!$R:$R, "&gt;="&amp;INT($Y$1),
  '[1]Hoja 1'!$R:$R, "&lt;"&amp;INT($Z$1+1)
)</f>
        <v>0</v>
      </c>
      <c r="X19" s="1">
        <f t="shared" si="10"/>
        <v>0</v>
      </c>
      <c r="Y19" s="9">
        <f t="shared" si="11"/>
        <v>-295.75192023045258</v>
      </c>
      <c r="Z19" s="10">
        <f t="shared" si="12"/>
        <v>295.75192023045258</v>
      </c>
      <c r="AA19" s="1">
        <f>SUMIFS(
  '[1]Hoja 1'!$M:$M,
  '[1]Hoja 1'!$S:$S, $A19,
  '[1]Hoja 1'!$R:$R, "&gt;="&amp;INT($AC$1),
  '[1]Hoja 1'!$R:$R, "&lt;"&amp;INT($AD$1+1)
)</f>
        <v>0</v>
      </c>
      <c r="AB19" s="1">
        <f t="shared" si="13"/>
        <v>0</v>
      </c>
      <c r="AC19" s="9">
        <f t="shared" si="14"/>
        <v>-277.86718681173329</v>
      </c>
      <c r="AD19" s="10">
        <f t="shared" si="15"/>
        <v>277.86718681173329</v>
      </c>
      <c r="AE19" s="1">
        <f>SUMIFS(
  '[1]Hoja 1'!$M:$M,
  '[1]Hoja 1'!$S:$S, $A19,
  '[1]Hoja 1'!$R:$R, "&gt;="&amp;INT($AG$1),
  '[1]Hoja 1'!$R:$R, "&lt;"&amp;INT($AH$1+1)
)</f>
        <v>0</v>
      </c>
      <c r="AF19" s="1">
        <f t="shared" si="16"/>
        <v>0</v>
      </c>
      <c r="AG19" s="9">
        <f t="shared" si="17"/>
        <v>-262.00810801703574</v>
      </c>
      <c r="AH19" s="10">
        <f t="shared" si="18"/>
        <v>262.00810801703574</v>
      </c>
      <c r="AI19" s="1">
        <f>SUMIFS(
  '[1]Hoja 1'!$M:$M,
  '[1]Hoja 1'!$S:$S, $A19,
  '[1]Hoja 1'!$R:$R, "&gt;="&amp;INT($AK$1),
  '[1]Hoja 1'!$R:$R, "&lt;"&amp;INT($AJ$1+1)
)</f>
        <v>0</v>
      </c>
      <c r="AJ19" s="1">
        <f t="shared" si="19"/>
        <v>0</v>
      </c>
      <c r="AK19" s="9">
        <f t="shared" si="20"/>
        <v>-248.21317461005165</v>
      </c>
      <c r="AL19" s="10">
        <f t="shared" si="21"/>
        <v>248.21317461005165</v>
      </c>
      <c r="AM19" s="1">
        <f>SUMIFS(
  '[1]Hoja 1'!$M:$M,
  '[1]Hoja 1'!$S:$S, $A19,
  '[1]Hoja 1'!$R:$R, "&gt;="&amp;INT($AO$1),
  '[1]Hoja 1'!$R:$R, "&lt;"&amp;INT($AP$1+1)
)</f>
        <v>0</v>
      </c>
      <c r="AN19" s="1">
        <f t="shared" si="22"/>
        <v>0</v>
      </c>
      <c r="AO19" s="9">
        <f t="shared" si="23"/>
        <v>-236.20462296727197</v>
      </c>
      <c r="AP19" s="10">
        <f t="shared" si="24"/>
        <v>236.20462296727197</v>
      </c>
      <c r="AQ19" s="1">
        <f>SUMIFS(
  '[1]Hoja 1'!$M:$M,
  '[1]Hoja 1'!$S:$S, $A19,
  '[1]Hoja 1'!$R:$R, "&gt;="&amp;INT($AS$1),
  '[1]Hoja 1'!$R:$R, "&lt;"&amp;INT($AT$1+1)
)</f>
        <v>0</v>
      </c>
      <c r="AR19" s="1">
        <f t="shared" si="25"/>
        <v>0</v>
      </c>
      <c r="AS19" s="9">
        <f t="shared" si="26"/>
        <v>-225.68390284742162</v>
      </c>
      <c r="AT19" s="10">
        <f t="shared" si="27"/>
        <v>225.68390284742162</v>
      </c>
      <c r="AU19" s="1">
        <f>SUMIFS(
  '[1]Hoja 1'!$M:$M,
  '[1]Hoja 1'!$S:$S, $A19,
  '[1]Hoja 1'!$R:$R, "&gt;="&amp;INT($AW$1),
  '[1]Hoja 1'!$R:$R, "&lt;"&amp;INT($AX$1+1)
)</f>
        <v>0</v>
      </c>
      <c r="AV19" s="1">
        <f t="shared" si="28"/>
        <v>0</v>
      </c>
      <c r="AW19" s="9">
        <f t="shared" si="29"/>
        <v>-216.39424037033552</v>
      </c>
      <c r="AX19" s="10">
        <f t="shared" si="30"/>
        <v>216.39424037033552</v>
      </c>
    </row>
    <row r="20" spans="1:50" x14ac:dyDescent="0.25">
      <c r="A20" s="5">
        <v>201020</v>
      </c>
      <c r="B20" s="6" t="s">
        <v>17</v>
      </c>
      <c r="C20" s="1">
        <f>SUMIFS(
  '[1]Hoja 1'!$M:$M,
  '[1]Hoja 1'!$S:$S, $A20,
  '[1]Hoja 1'!$R:$R, "&gt;="&amp;INT($E$1),
  '[1]Hoja 1'!$R:$R, "&lt;"&amp;INT($F$1+1)
)</f>
        <v>0</v>
      </c>
      <c r="D20" s="1" t="str">
        <f>""</f>
        <v/>
      </c>
      <c r="F20" s="2"/>
      <c r="G20" s="1">
        <f>SUMIFS(
  '[1]Hoja 1'!$M:$M,
  '[1]Hoja 1'!$S:$S, $A20,
  '[1]Hoja 1'!$R:$R, "&gt;="&amp;INT($I$1),
  '[1]Hoja 1'!$R:$R, "&lt;"&amp;INT($J$1+1)
)</f>
        <v>0</v>
      </c>
      <c r="H20" s="1">
        <f t="shared" si="0"/>
        <v>0</v>
      </c>
      <c r="I20" s="1"/>
      <c r="J20" s="2"/>
      <c r="K20" s="1">
        <f>SUMIFS(
  '[1]Hoja 1'!$M:$M,
  '[1]Hoja 1'!$S:$S, $A20,
  '[1]Hoja 1'!$R:$R, "&gt;="&amp;INT($M$1),
  '[1]Hoja 1'!$R:$R, "&lt;"&amp;INT($N$1+1)
)</f>
        <v>0</v>
      </c>
      <c r="L20" s="1">
        <f t="shared" si="1"/>
        <v>0</v>
      </c>
      <c r="M20" s="9">
        <f t="shared" si="2"/>
        <v>0</v>
      </c>
      <c r="N20" s="10">
        <f t="shared" si="3"/>
        <v>0</v>
      </c>
      <c r="O20" s="1">
        <f>SUMIFS(
  '[1]Hoja 1'!$M:$M,
  '[1]Hoja 1'!$S:$S, $A20,
  '[1]Hoja 1'!$R:$R, "&gt;="&amp;INT($Q$1),
  '[1]Hoja 1'!$R:$R, "&lt;"&amp;INT($R$1+1)
)</f>
        <v>0</v>
      </c>
      <c r="P20" s="1">
        <f t="shared" si="4"/>
        <v>0</v>
      </c>
      <c r="Q20" s="9">
        <f t="shared" si="5"/>
        <v>0</v>
      </c>
      <c r="R20" s="10">
        <f t="shared" si="6"/>
        <v>0</v>
      </c>
      <c r="S20" s="1">
        <f>SUMIFS(
  '[1]Hoja 1'!$M:$M,
  '[1]Hoja 1'!$S:$S, $A20,
  '[1]Hoja 1'!$R:$R, "&gt;="&amp;INT($U$1),
  '[1]Hoja 1'!$R:$R, "&lt;"&amp;INT($V$1+1)
)</f>
        <v>0</v>
      </c>
      <c r="T20" s="1">
        <f t="shared" si="7"/>
        <v>0</v>
      </c>
      <c r="U20" s="9">
        <f t="shared" si="8"/>
        <v>-1.47</v>
      </c>
      <c r="V20" s="10">
        <f t="shared" si="9"/>
        <v>1.47</v>
      </c>
      <c r="W20" s="1">
        <f>SUMIFS(
  '[1]Hoja 1'!$M:$M,
  '[1]Hoja 1'!$S:$S, $A20,
  '[1]Hoja 1'!$R:$R, "&gt;="&amp;INT($Y$1),
  '[1]Hoja 1'!$R:$R, "&lt;"&amp;INT($Z$1+1)
)</f>
        <v>0</v>
      </c>
      <c r="X20" s="1">
        <f t="shared" si="10"/>
        <v>0</v>
      </c>
      <c r="Y20" s="9">
        <f t="shared" si="11"/>
        <v>0</v>
      </c>
      <c r="Z20" s="10">
        <f t="shared" si="12"/>
        <v>0</v>
      </c>
      <c r="AA20" s="1">
        <f>SUMIFS(
  '[1]Hoja 1'!$M:$M,
  '[1]Hoja 1'!$S:$S, $A20,
  '[1]Hoja 1'!$R:$R, "&gt;="&amp;INT($AC$1),
  '[1]Hoja 1'!$R:$R, "&lt;"&amp;INT($AD$1+1)
)</f>
        <v>0</v>
      </c>
      <c r="AB20" s="1">
        <f t="shared" si="13"/>
        <v>0</v>
      </c>
      <c r="AC20" s="9">
        <f t="shared" si="14"/>
        <v>0</v>
      </c>
      <c r="AD20" s="10">
        <f t="shared" si="15"/>
        <v>0</v>
      </c>
      <c r="AE20" s="1">
        <f>SUMIFS(
  '[1]Hoja 1'!$M:$M,
  '[1]Hoja 1'!$S:$S, $A20,
  '[1]Hoja 1'!$R:$R, "&gt;="&amp;INT($AG$1),
  '[1]Hoja 1'!$R:$R, "&lt;"&amp;INT($AH$1+1)
)</f>
        <v>0</v>
      </c>
      <c r="AF20" s="1">
        <f t="shared" si="16"/>
        <v>0</v>
      </c>
      <c r="AG20" s="9">
        <f t="shared" si="17"/>
        <v>0</v>
      </c>
      <c r="AH20" s="10">
        <f t="shared" si="18"/>
        <v>0</v>
      </c>
      <c r="AI20" s="1">
        <f>SUMIFS(
  '[1]Hoja 1'!$M:$M,
  '[1]Hoja 1'!$S:$S, $A20,
  '[1]Hoja 1'!$R:$R, "&gt;="&amp;INT($AK$1),
  '[1]Hoja 1'!$R:$R, "&lt;"&amp;INT($AJ$1+1)
)</f>
        <v>0</v>
      </c>
      <c r="AJ20" s="1">
        <f t="shared" si="19"/>
        <v>0</v>
      </c>
      <c r="AK20" s="9">
        <f t="shared" si="20"/>
        <v>0</v>
      </c>
      <c r="AL20" s="10">
        <f t="shared" si="21"/>
        <v>0</v>
      </c>
      <c r="AM20" s="1">
        <f>SUMIFS(
  '[1]Hoja 1'!$M:$M,
  '[1]Hoja 1'!$S:$S, $A20,
  '[1]Hoja 1'!$R:$R, "&gt;="&amp;INT($AO$1),
  '[1]Hoja 1'!$R:$R, "&lt;"&amp;INT($AP$1+1)
)</f>
        <v>0</v>
      </c>
      <c r="AN20" s="1">
        <f t="shared" si="22"/>
        <v>0</v>
      </c>
      <c r="AO20" s="9">
        <f t="shared" si="23"/>
        <v>0</v>
      </c>
      <c r="AP20" s="10">
        <f t="shared" si="24"/>
        <v>0</v>
      </c>
      <c r="AQ20" s="1">
        <f>SUMIFS(
  '[1]Hoja 1'!$M:$M,
  '[1]Hoja 1'!$S:$S, $A20,
  '[1]Hoja 1'!$R:$R, "&gt;="&amp;INT($AS$1),
  '[1]Hoja 1'!$R:$R, "&lt;"&amp;INT($AT$1+1)
)</f>
        <v>0</v>
      </c>
      <c r="AR20" s="1">
        <f t="shared" si="25"/>
        <v>0</v>
      </c>
      <c r="AS20" s="9">
        <f t="shared" si="26"/>
        <v>0</v>
      </c>
      <c r="AT20" s="10">
        <f t="shared" si="27"/>
        <v>0</v>
      </c>
      <c r="AU20" s="1">
        <f>SUMIFS(
  '[1]Hoja 1'!$M:$M,
  '[1]Hoja 1'!$S:$S, $A20,
  '[1]Hoja 1'!$R:$R, "&gt;="&amp;INT($AW$1),
  '[1]Hoja 1'!$R:$R, "&lt;"&amp;INT($AX$1+1)
)</f>
        <v>0</v>
      </c>
      <c r="AV20" s="1">
        <f t="shared" si="28"/>
        <v>0</v>
      </c>
      <c r="AW20" s="9">
        <f t="shared" si="29"/>
        <v>0</v>
      </c>
      <c r="AX20" s="10">
        <f t="shared" si="30"/>
        <v>0</v>
      </c>
    </row>
    <row r="21" spans="1:50" x14ac:dyDescent="0.25">
      <c r="A21" s="5">
        <v>201025</v>
      </c>
      <c r="B21" s="6" t="s">
        <v>18</v>
      </c>
      <c r="C21" s="1">
        <f>SUMIFS(
  '[1]Hoja 1'!$M:$M,
  '[1]Hoja 1'!$S:$S, $A21,
  '[1]Hoja 1'!$R:$R, "&gt;="&amp;INT($E$1),
  '[1]Hoja 1'!$R:$R, "&lt;"&amp;INT($F$1+1)
)</f>
        <v>0</v>
      </c>
      <c r="D21" s="1" t="str">
        <f>""</f>
        <v/>
      </c>
      <c r="F21" s="2"/>
      <c r="G21" s="1">
        <f>SUMIFS(
  '[1]Hoja 1'!$M:$M,
  '[1]Hoja 1'!$S:$S, $A21,
  '[1]Hoja 1'!$R:$R, "&gt;="&amp;INT($I$1),
  '[1]Hoja 1'!$R:$R, "&lt;"&amp;INT($J$1+1)
)</f>
        <v>0</v>
      </c>
      <c r="H21" s="1">
        <f t="shared" si="0"/>
        <v>0</v>
      </c>
      <c r="I21" s="1"/>
      <c r="J21" s="2"/>
      <c r="K21" s="1">
        <f>SUMIFS(
  '[1]Hoja 1'!$M:$M,
  '[1]Hoja 1'!$S:$S, $A21,
  '[1]Hoja 1'!$R:$R, "&gt;="&amp;INT($M$1),
  '[1]Hoja 1'!$R:$R, "&lt;"&amp;INT($N$1+1)
)</f>
        <v>0</v>
      </c>
      <c r="L21" s="1">
        <f t="shared" si="1"/>
        <v>0</v>
      </c>
      <c r="M21" s="9">
        <f t="shared" si="2"/>
        <v>0</v>
      </c>
      <c r="N21" s="10">
        <f t="shared" si="3"/>
        <v>0</v>
      </c>
      <c r="O21" s="1">
        <f>SUMIFS(
  '[1]Hoja 1'!$M:$M,
  '[1]Hoja 1'!$S:$S, $A21,
  '[1]Hoja 1'!$R:$R, "&gt;="&amp;INT($Q$1),
  '[1]Hoja 1'!$R:$R, "&lt;"&amp;INT($R$1+1)
)</f>
        <v>0</v>
      </c>
      <c r="P21" s="1">
        <f t="shared" si="4"/>
        <v>0</v>
      </c>
      <c r="Q21" s="9">
        <f t="shared" si="5"/>
        <v>0</v>
      </c>
      <c r="R21" s="10">
        <f t="shared" si="6"/>
        <v>0</v>
      </c>
      <c r="S21" s="1">
        <f>SUMIFS(
  '[1]Hoja 1'!$M:$M,
  '[1]Hoja 1'!$S:$S, $A21,
  '[1]Hoja 1'!$R:$R, "&gt;="&amp;INT($U$1),
  '[1]Hoja 1'!$R:$R, "&lt;"&amp;INT($V$1+1)
)</f>
        <v>0</v>
      </c>
      <c r="T21" s="1">
        <f t="shared" si="7"/>
        <v>0</v>
      </c>
      <c r="U21" s="9">
        <f t="shared" si="8"/>
        <v>-1.47</v>
      </c>
      <c r="V21" s="10">
        <f t="shared" si="9"/>
        <v>1.47</v>
      </c>
      <c r="W21" s="1">
        <f>SUMIFS(
  '[1]Hoja 1'!$M:$M,
  '[1]Hoja 1'!$S:$S, $A21,
  '[1]Hoja 1'!$R:$R, "&gt;="&amp;INT($Y$1),
  '[1]Hoja 1'!$R:$R, "&lt;"&amp;INT($Z$1+1)
)</f>
        <v>0</v>
      </c>
      <c r="X21" s="1">
        <f t="shared" si="10"/>
        <v>0</v>
      </c>
      <c r="Y21" s="9">
        <f t="shared" si="11"/>
        <v>0</v>
      </c>
      <c r="Z21" s="10">
        <f t="shared" si="12"/>
        <v>0</v>
      </c>
      <c r="AA21" s="1">
        <f>SUMIFS(
  '[1]Hoja 1'!$M:$M,
  '[1]Hoja 1'!$S:$S, $A21,
  '[1]Hoja 1'!$R:$R, "&gt;="&amp;INT($AC$1),
  '[1]Hoja 1'!$R:$R, "&lt;"&amp;INT($AD$1+1)
)</f>
        <v>0</v>
      </c>
      <c r="AB21" s="1">
        <f t="shared" si="13"/>
        <v>0</v>
      </c>
      <c r="AC21" s="9">
        <f t="shared" si="14"/>
        <v>0</v>
      </c>
      <c r="AD21" s="10">
        <f t="shared" si="15"/>
        <v>0</v>
      </c>
      <c r="AE21" s="1">
        <f>SUMIFS(
  '[1]Hoja 1'!$M:$M,
  '[1]Hoja 1'!$S:$S, $A21,
  '[1]Hoja 1'!$R:$R, "&gt;="&amp;INT($AG$1),
  '[1]Hoja 1'!$R:$R, "&lt;"&amp;INT($AH$1+1)
)</f>
        <v>0</v>
      </c>
      <c r="AF21" s="1">
        <f t="shared" si="16"/>
        <v>0</v>
      </c>
      <c r="AG21" s="9">
        <f t="shared" si="17"/>
        <v>0</v>
      </c>
      <c r="AH21" s="10">
        <f t="shared" si="18"/>
        <v>0</v>
      </c>
      <c r="AI21" s="1">
        <f>SUMIFS(
  '[1]Hoja 1'!$M:$M,
  '[1]Hoja 1'!$S:$S, $A21,
  '[1]Hoja 1'!$R:$R, "&gt;="&amp;INT($AK$1),
  '[1]Hoja 1'!$R:$R, "&lt;"&amp;INT($AJ$1+1)
)</f>
        <v>0</v>
      </c>
      <c r="AJ21" s="1">
        <f t="shared" si="19"/>
        <v>0</v>
      </c>
      <c r="AK21" s="9">
        <f t="shared" si="20"/>
        <v>0</v>
      </c>
      <c r="AL21" s="10">
        <f t="shared" si="21"/>
        <v>0</v>
      </c>
      <c r="AM21" s="1">
        <f>SUMIFS(
  '[1]Hoja 1'!$M:$M,
  '[1]Hoja 1'!$S:$S, $A21,
  '[1]Hoja 1'!$R:$R, "&gt;="&amp;INT($AO$1),
  '[1]Hoja 1'!$R:$R, "&lt;"&amp;INT($AP$1+1)
)</f>
        <v>0</v>
      </c>
      <c r="AN21" s="1">
        <f t="shared" si="22"/>
        <v>0</v>
      </c>
      <c r="AO21" s="9">
        <f t="shared" si="23"/>
        <v>0</v>
      </c>
      <c r="AP21" s="10">
        <f t="shared" si="24"/>
        <v>0</v>
      </c>
      <c r="AQ21" s="1">
        <f>SUMIFS(
  '[1]Hoja 1'!$M:$M,
  '[1]Hoja 1'!$S:$S, $A21,
  '[1]Hoja 1'!$R:$R, "&gt;="&amp;INT($AS$1),
  '[1]Hoja 1'!$R:$R, "&lt;"&amp;INT($AT$1+1)
)</f>
        <v>0</v>
      </c>
      <c r="AR21" s="1">
        <f t="shared" si="25"/>
        <v>0</v>
      </c>
      <c r="AS21" s="9">
        <f t="shared" si="26"/>
        <v>0</v>
      </c>
      <c r="AT21" s="10">
        <f t="shared" si="27"/>
        <v>0</v>
      </c>
      <c r="AU21" s="1">
        <f>SUMIFS(
  '[1]Hoja 1'!$M:$M,
  '[1]Hoja 1'!$S:$S, $A21,
  '[1]Hoja 1'!$R:$R, "&gt;="&amp;INT($AW$1),
  '[1]Hoja 1'!$R:$R, "&lt;"&amp;INT($AX$1+1)
)</f>
        <v>0</v>
      </c>
      <c r="AV21" s="1">
        <f t="shared" si="28"/>
        <v>0</v>
      </c>
      <c r="AW21" s="9">
        <f t="shared" si="29"/>
        <v>0</v>
      </c>
      <c r="AX21" s="10">
        <f t="shared" si="30"/>
        <v>0</v>
      </c>
    </row>
    <row r="22" spans="1:50" x14ac:dyDescent="0.25">
      <c r="A22" s="5">
        <v>201026</v>
      </c>
      <c r="B22" s="6" t="s">
        <v>19</v>
      </c>
      <c r="C22" s="1">
        <f>SUMIFS(
  '[1]Hoja 1'!$M:$M,
  '[1]Hoja 1'!$S:$S, $A22,
  '[1]Hoja 1'!$R:$R, "&gt;="&amp;INT($E$1),
  '[1]Hoja 1'!$R:$R, "&lt;"&amp;INT($F$1+1)
)</f>
        <v>6</v>
      </c>
      <c r="D22" s="1" t="str">
        <f>""</f>
        <v/>
      </c>
      <c r="F22" s="2"/>
      <c r="G22" s="1">
        <f>SUMIFS(
  '[1]Hoja 1'!$M:$M,
  '[1]Hoja 1'!$S:$S, $A22,
  '[1]Hoja 1'!$R:$R, "&gt;="&amp;INT($I$1),
  '[1]Hoja 1'!$R:$R, "&lt;"&amp;INT($J$1+1)
)</f>
        <v>3</v>
      </c>
      <c r="H22" s="1">
        <f t="shared" si="0"/>
        <v>5</v>
      </c>
      <c r="I22" s="1"/>
      <c r="J22" s="2"/>
      <c r="K22" s="1">
        <f>SUMIFS(
  '[1]Hoja 1'!$M:$M,
  '[1]Hoja 1'!$S:$S, $A22,
  '[1]Hoja 1'!$R:$R, "&gt;="&amp;INT($M$1),
  '[1]Hoja 1'!$R:$R, "&lt;"&amp;INT($N$1+1)
)</f>
        <v>0</v>
      </c>
      <c r="L22" s="1">
        <f t="shared" si="1"/>
        <v>1.5</v>
      </c>
      <c r="M22" s="9">
        <f t="shared" si="2"/>
        <v>1.5</v>
      </c>
      <c r="N22" s="10">
        <f t="shared" si="3"/>
        <v>1.5</v>
      </c>
      <c r="O22" s="1">
        <f>SUMIFS(
  '[1]Hoja 1'!$M:$M,
  '[1]Hoja 1'!$S:$S, $A22,
  '[1]Hoja 1'!$R:$R, "&gt;="&amp;INT($Q$1),
  '[1]Hoja 1'!$R:$R, "&lt;"&amp;INT($R$1+1)
)</f>
        <v>0</v>
      </c>
      <c r="P22" s="1">
        <f t="shared" si="4"/>
        <v>0</v>
      </c>
      <c r="Q22" s="9">
        <f t="shared" si="5"/>
        <v>-1.6974097914174997</v>
      </c>
      <c r="R22" s="10">
        <f t="shared" si="6"/>
        <v>1.6974097914174997</v>
      </c>
      <c r="S22" s="1">
        <f>SUMIFS(
  '[1]Hoja 1'!$M:$M,
  '[1]Hoja 1'!$S:$S, $A22,
  '[1]Hoja 1'!$R:$R, "&gt;="&amp;INT($U$1),
  '[1]Hoja 1'!$R:$R, "&lt;"&amp;INT($V$1+1)
)</f>
        <v>0</v>
      </c>
      <c r="T22" s="1">
        <f t="shared" si="7"/>
        <v>0</v>
      </c>
      <c r="U22" s="9">
        <f t="shared" si="8"/>
        <v>-1.47</v>
      </c>
      <c r="V22" s="10">
        <f t="shared" si="9"/>
        <v>1.47</v>
      </c>
      <c r="W22" s="1">
        <f>SUMIFS(
  '[1]Hoja 1'!$M:$M,
  '[1]Hoja 1'!$S:$S, $A22,
  '[1]Hoja 1'!$R:$R, "&gt;="&amp;INT($Y$1),
  '[1]Hoja 1'!$R:$R, "&lt;"&amp;INT($Z$1+1)
)</f>
        <v>0</v>
      </c>
      <c r="X22" s="1">
        <f t="shared" si="10"/>
        <v>0</v>
      </c>
      <c r="Y22" s="9">
        <f t="shared" si="11"/>
        <v>-1.6103043190651884</v>
      </c>
      <c r="Z22" s="10">
        <f t="shared" si="12"/>
        <v>1.6103043190651884</v>
      </c>
      <c r="AA22" s="1">
        <f>SUMIFS(
  '[1]Hoja 1'!$M:$M,
  '[1]Hoja 1'!$S:$S, $A22,
  '[1]Hoja 1'!$R:$R, "&gt;="&amp;INT($AC$1),
  '[1]Hoja 1'!$R:$R, "&lt;"&amp;INT($AD$1+1)
)</f>
        <v>0</v>
      </c>
      <c r="AB22" s="1">
        <f t="shared" si="13"/>
        <v>0</v>
      </c>
      <c r="AC22" s="9">
        <f t="shared" si="14"/>
        <v>-1.5182094717133074</v>
      </c>
      <c r="AD22" s="10">
        <f t="shared" si="15"/>
        <v>1.5182094717133074</v>
      </c>
      <c r="AE22" s="1">
        <f>SUMIFS(
  '[1]Hoja 1'!$M:$M,
  '[1]Hoja 1'!$S:$S, $A22,
  '[1]Hoja 1'!$R:$R, "&gt;="&amp;INT($AG$1),
  '[1]Hoja 1'!$R:$R, "&lt;"&amp;INT($AH$1+1)
)</f>
        <v>0</v>
      </c>
      <c r="AF22" s="1">
        <f t="shared" si="16"/>
        <v>0</v>
      </c>
      <c r="AG22" s="9">
        <f t="shared" si="17"/>
        <v>-1.4345731072343437</v>
      </c>
      <c r="AH22" s="10">
        <f t="shared" si="18"/>
        <v>1.4345731072343437</v>
      </c>
      <c r="AI22" s="1">
        <f>SUMIFS(
  '[1]Hoja 1'!$M:$M,
  '[1]Hoja 1'!$S:$S, $A22,
  '[1]Hoja 1'!$R:$R, "&gt;="&amp;INT($AK$1),
  '[1]Hoja 1'!$R:$R, "&lt;"&amp;INT($AJ$1+1)
)</f>
        <v>0</v>
      </c>
      <c r="AJ22" s="1">
        <f t="shared" si="19"/>
        <v>0</v>
      </c>
      <c r="AK22" s="9">
        <f t="shared" si="20"/>
        <v>-1.3609555466656507</v>
      </c>
      <c r="AL22" s="10">
        <f t="shared" si="21"/>
        <v>1.3609555466656507</v>
      </c>
      <c r="AM22" s="1">
        <f>SUMIFS(
  '[1]Hoja 1'!$M:$M,
  '[1]Hoja 1'!$S:$S, $A22,
  '[1]Hoja 1'!$R:$R, "&gt;="&amp;INT($AO$1),
  '[1]Hoja 1'!$R:$R, "&lt;"&amp;INT($AP$1+1)
)</f>
        <v>0</v>
      </c>
      <c r="AN22" s="1">
        <f t="shared" si="22"/>
        <v>0</v>
      </c>
      <c r="AO22" s="9">
        <f t="shared" si="23"/>
        <v>-1.2964181424216494</v>
      </c>
      <c r="AP22" s="10">
        <f t="shared" si="24"/>
        <v>1.2964181424216494</v>
      </c>
      <c r="AQ22" s="1">
        <f>SUMIFS(
  '[1]Hoja 1'!$M:$M,
  '[1]Hoja 1'!$S:$S, $A22,
  '[1]Hoja 1'!$R:$R, "&gt;="&amp;INT($AS$1),
  '[1]Hoja 1'!$R:$R, "&lt;"&amp;INT($AT$1+1)
)</f>
        <v>0</v>
      </c>
      <c r="AR22" s="1">
        <f t="shared" si="25"/>
        <v>0</v>
      </c>
      <c r="AS22" s="9">
        <f t="shared" si="26"/>
        <v>-1.2396128427860047</v>
      </c>
      <c r="AT22" s="10">
        <f t="shared" si="27"/>
        <v>1.2396128427860047</v>
      </c>
      <c r="AU22" s="1">
        <f>SUMIFS(
  '[1]Hoja 1'!$M:$M,
  '[1]Hoja 1'!$S:$S, $A22,
  '[1]Hoja 1'!$R:$R, "&gt;="&amp;INT($AW$1),
  '[1]Hoja 1'!$R:$R, "&lt;"&amp;INT($AX$1+1)
)</f>
        <v>0</v>
      </c>
      <c r="AV22" s="1">
        <f t="shared" si="28"/>
        <v>0</v>
      </c>
      <c r="AW22" s="9">
        <f t="shared" si="29"/>
        <v>-1.189288557385159</v>
      </c>
      <c r="AX22" s="10">
        <f t="shared" si="30"/>
        <v>1.189288557385159</v>
      </c>
    </row>
    <row r="23" spans="1:50" x14ac:dyDescent="0.25">
      <c r="A23" s="5">
        <v>201027</v>
      </c>
      <c r="B23" s="6" t="s">
        <v>20</v>
      </c>
      <c r="C23" s="1">
        <f>SUMIFS(
  '[1]Hoja 1'!$M:$M,
  '[1]Hoja 1'!$S:$S, $A23,
  '[1]Hoja 1'!$R:$R, "&gt;="&amp;INT($E$1),
  '[1]Hoja 1'!$R:$R, "&lt;"&amp;INT($F$1+1)
)</f>
        <v>14</v>
      </c>
      <c r="D23" s="1" t="str">
        <f>""</f>
        <v/>
      </c>
      <c r="F23" s="2"/>
      <c r="G23" s="1">
        <f>SUMIFS(
  '[1]Hoja 1'!$M:$M,
  '[1]Hoja 1'!$S:$S, $A23,
  '[1]Hoja 1'!$R:$R, "&gt;="&amp;INT($I$1),
  '[1]Hoja 1'!$R:$R, "&lt;"&amp;INT($J$1+1)
)</f>
        <v>11</v>
      </c>
      <c r="H23" s="1">
        <f t="shared" si="0"/>
        <v>13</v>
      </c>
      <c r="I23" s="1"/>
      <c r="J23" s="2"/>
      <c r="K23" s="1">
        <f>SUMIFS(
  '[1]Hoja 1'!$M:$M,
  '[1]Hoja 1'!$S:$S, $A23,
  '[1]Hoja 1'!$R:$R, "&gt;="&amp;INT($M$1),
  '[1]Hoja 1'!$R:$R, "&lt;"&amp;INT($N$1+1)
)</f>
        <v>0</v>
      </c>
      <c r="L23" s="1">
        <f t="shared" si="1"/>
        <v>5.5</v>
      </c>
      <c r="M23" s="9">
        <f t="shared" si="2"/>
        <v>-4.3717164502532491E-2</v>
      </c>
      <c r="N23" s="10">
        <f t="shared" si="3"/>
        <v>11.043717164502532</v>
      </c>
      <c r="O23" s="1">
        <f>SUMIFS(
  '[1]Hoja 1'!$M:$M,
  '[1]Hoja 1'!$S:$S, $A23,
  '[1]Hoja 1'!$R:$R, "&gt;="&amp;INT($Q$1),
  '[1]Hoja 1'!$R:$R, "&lt;"&amp;INT($R$1+1)
)</f>
        <v>0</v>
      </c>
      <c r="P23" s="1">
        <f t="shared" si="4"/>
        <v>0</v>
      </c>
      <c r="Q23" s="9">
        <f t="shared" si="5"/>
        <v>-5.5725158890157802</v>
      </c>
      <c r="R23" s="10">
        <f t="shared" si="6"/>
        <v>5.5725158890157802</v>
      </c>
      <c r="S23" s="1">
        <f>SUMIFS(
  '[1]Hoja 1'!$M:$M,
  '[1]Hoja 1'!$S:$S, $A23,
  '[1]Hoja 1'!$R:$R, "&gt;="&amp;INT($U$1),
  '[1]Hoja 1'!$R:$R, "&lt;"&amp;INT($V$1+1)
)</f>
        <v>0</v>
      </c>
      <c r="T23" s="1">
        <f t="shared" si="7"/>
        <v>0</v>
      </c>
      <c r="U23" s="9">
        <f t="shared" si="8"/>
        <v>-4.6226507547077356</v>
      </c>
      <c r="V23" s="10">
        <f t="shared" si="9"/>
        <v>4.6226507547077356</v>
      </c>
      <c r="W23" s="1">
        <f>SUMIFS(
  '[1]Hoja 1'!$M:$M,
  '[1]Hoja 1'!$S:$S, $A23,
  '[1]Hoja 1'!$R:$R, "&gt;="&amp;INT($Y$1),
  '[1]Hoja 1'!$R:$R, "&lt;"&amp;INT($Z$1+1)
)</f>
        <v>0</v>
      </c>
      <c r="X23" s="1">
        <f t="shared" si="10"/>
        <v>0</v>
      </c>
      <c r="Y23" s="9">
        <f t="shared" si="11"/>
        <v>-4.6691626658320651</v>
      </c>
      <c r="Z23" s="10">
        <f t="shared" si="12"/>
        <v>4.6691626658320651</v>
      </c>
      <c r="AA23" s="1">
        <f>SUMIFS(
  '[1]Hoja 1'!$M:$M,
  '[1]Hoja 1'!$S:$S, $A23,
  '[1]Hoja 1'!$R:$R, "&gt;="&amp;INT($AC$1),
  '[1]Hoja 1'!$R:$R, "&lt;"&amp;INT($AD$1+1)
)</f>
        <v>0</v>
      </c>
      <c r="AB23" s="1">
        <f t="shared" si="13"/>
        <v>0</v>
      </c>
      <c r="AC23" s="9">
        <f t="shared" si="14"/>
        <v>-4.3238624708316831</v>
      </c>
      <c r="AD23" s="10">
        <f t="shared" si="15"/>
        <v>4.3238624708316831</v>
      </c>
      <c r="AE23" s="1">
        <f>SUMIFS(
  '[1]Hoja 1'!$M:$M,
  '[1]Hoja 1'!$S:$S, $A23,
  '[1]Hoja 1'!$R:$R, "&gt;="&amp;INT($AG$1),
  '[1]Hoja 1'!$R:$R, "&lt;"&amp;INT($AH$1+1)
)</f>
        <v>0</v>
      </c>
      <c r="AF23" s="1">
        <f t="shared" si="16"/>
        <v>0</v>
      </c>
      <c r="AG23" s="9">
        <f t="shared" si="17"/>
        <v>-4.0406435131053069</v>
      </c>
      <c r="AH23" s="10">
        <f t="shared" si="18"/>
        <v>4.0406435131053069</v>
      </c>
      <c r="AI23" s="1">
        <f>SUMIFS(
  '[1]Hoja 1'!$M:$M,
  '[1]Hoja 1'!$S:$S, $A23,
  '[1]Hoja 1'!$R:$R, "&gt;="&amp;INT($AK$1),
  '[1]Hoja 1'!$R:$R, "&lt;"&amp;INT($AJ$1+1)
)</f>
        <v>0</v>
      </c>
      <c r="AJ23" s="1">
        <f t="shared" si="19"/>
        <v>0</v>
      </c>
      <c r="AK23" s="9">
        <f t="shared" si="20"/>
        <v>-3.8045499076763338</v>
      </c>
      <c r="AL23" s="10">
        <f t="shared" si="21"/>
        <v>3.8045499076763338</v>
      </c>
      <c r="AM23" s="1">
        <f>SUMIFS(
  '[1]Hoja 1'!$M:$M,
  '[1]Hoja 1'!$S:$S, $A23,
  '[1]Hoja 1'!$R:$R, "&gt;="&amp;INT($AO$1),
  '[1]Hoja 1'!$R:$R, "&lt;"&amp;INT($AP$1+1)
)</f>
        <v>0</v>
      </c>
      <c r="AN23" s="1">
        <f t="shared" si="22"/>
        <v>0</v>
      </c>
      <c r="AO23" s="9">
        <f t="shared" si="23"/>
        <v>-3.6044524934832722</v>
      </c>
      <c r="AP23" s="10">
        <f t="shared" si="24"/>
        <v>3.6044524934832722</v>
      </c>
      <c r="AQ23" s="1">
        <f>SUMIFS(
  '[1]Hoja 1'!$M:$M,
  '[1]Hoja 1'!$S:$S, $A23,
  '[1]Hoja 1'!$R:$R, "&gt;="&amp;INT($AS$1),
  '[1]Hoja 1'!$R:$R, "&lt;"&amp;INT($AT$1+1)
)</f>
        <v>0</v>
      </c>
      <c r="AR23" s="1">
        <f t="shared" si="25"/>
        <v>0</v>
      </c>
      <c r="AS23" s="9">
        <f t="shared" si="26"/>
        <v>-3.4323325402219793</v>
      </c>
      <c r="AT23" s="10">
        <f t="shared" si="27"/>
        <v>3.4323325402219793</v>
      </c>
      <c r="AU23" s="1">
        <f>SUMIFS(
  '[1]Hoja 1'!$M:$M,
  '[1]Hoja 1'!$S:$S, $A23,
  '[1]Hoja 1'!$R:$R, "&gt;="&amp;INT($AW$1),
  '[1]Hoja 1'!$R:$R, "&lt;"&amp;INT($AX$1+1)
)</f>
        <v>0</v>
      </c>
      <c r="AV23" s="1">
        <f t="shared" si="28"/>
        <v>0</v>
      </c>
      <c r="AW23" s="9">
        <f t="shared" si="29"/>
        <v>-3.2823683245762987</v>
      </c>
      <c r="AX23" s="10">
        <f t="shared" si="30"/>
        <v>3.2823683245762987</v>
      </c>
    </row>
    <row r="24" spans="1:50" x14ac:dyDescent="0.25">
      <c r="A24" s="5">
        <v>201028</v>
      </c>
      <c r="B24" s="6" t="s">
        <v>21</v>
      </c>
      <c r="C24" s="1">
        <f>SUMIFS(
  '[1]Hoja 1'!$M:$M,
  '[1]Hoja 1'!$S:$S, $A24,
  '[1]Hoja 1'!$R:$R, "&gt;="&amp;INT($E$1),
  '[1]Hoja 1'!$R:$R, "&lt;"&amp;INT($F$1+1)
)</f>
        <v>9</v>
      </c>
      <c r="D24" s="1" t="str">
        <f>""</f>
        <v/>
      </c>
      <c r="F24" s="2"/>
      <c r="G24" s="1">
        <f>SUMIFS(
  '[1]Hoja 1'!$M:$M,
  '[1]Hoja 1'!$S:$S, $A24,
  '[1]Hoja 1'!$R:$R, "&gt;="&amp;INT($I$1),
  '[1]Hoja 1'!$R:$R, "&lt;"&amp;INT($J$1+1)
)</f>
        <v>4</v>
      </c>
      <c r="H24" s="1">
        <f t="shared" si="0"/>
        <v>7</v>
      </c>
      <c r="I24" s="1"/>
      <c r="J24" s="2"/>
      <c r="K24" s="1">
        <f>SUMIFS(
  '[1]Hoja 1'!$M:$M,
  '[1]Hoja 1'!$S:$S, $A24,
  '[1]Hoja 1'!$R:$R, "&gt;="&amp;INT($M$1),
  '[1]Hoja 1'!$R:$R, "&lt;"&amp;INT($N$1+1)
)</f>
        <v>0</v>
      </c>
      <c r="L24" s="1">
        <f t="shared" si="1"/>
        <v>2</v>
      </c>
      <c r="M24" s="9">
        <f t="shared" si="2"/>
        <v>1.3070353544371835</v>
      </c>
      <c r="N24" s="10">
        <f t="shared" si="3"/>
        <v>2.6929646455628165</v>
      </c>
      <c r="O24" s="1">
        <f>SUMIFS(
  '[1]Hoja 1'!$M:$M,
  '[1]Hoja 1'!$S:$S, $A24,
  '[1]Hoja 1'!$R:$R, "&gt;="&amp;INT($Q$1),
  '[1]Hoja 1'!$R:$R, "&lt;"&amp;INT($R$1+1)
)</f>
        <v>0</v>
      </c>
      <c r="P24" s="1">
        <f t="shared" si="4"/>
        <v>0</v>
      </c>
      <c r="Q24" s="9">
        <f t="shared" si="5"/>
        <v>-2.5928362848432989</v>
      </c>
      <c r="R24" s="10">
        <f t="shared" si="6"/>
        <v>2.5928362848432989</v>
      </c>
      <c r="S24" s="1">
        <f>SUMIFS(
  '[1]Hoja 1'!$M:$M,
  '[1]Hoja 1'!$S:$S, $A24,
  '[1]Hoja 1'!$R:$R, "&gt;="&amp;INT($U$1),
  '[1]Hoja 1'!$R:$R, "&lt;"&amp;INT($V$1+1)
)</f>
        <v>0</v>
      </c>
      <c r="T24" s="1">
        <f t="shared" si="7"/>
        <v>0</v>
      </c>
      <c r="U24" s="9">
        <f t="shared" si="8"/>
        <v>-2.117041961479901</v>
      </c>
      <c r="V24" s="10">
        <f t="shared" si="9"/>
        <v>2.117041961479901</v>
      </c>
      <c r="W24" s="1">
        <f>SUMIFS(
  '[1]Hoja 1'!$M:$M,
  '[1]Hoja 1'!$S:$S, $A24,
  '[1]Hoja 1'!$R:$R, "&gt;="&amp;INT($Y$1),
  '[1]Hoja 1'!$R:$R, "&lt;"&amp;INT($Z$1+1)
)</f>
        <v>0</v>
      </c>
      <c r="X24" s="1">
        <f t="shared" si="10"/>
        <v>0</v>
      </c>
      <c r="Y24" s="9">
        <f t="shared" si="11"/>
        <v>-2.4401803212057915</v>
      </c>
      <c r="Z24" s="10">
        <f t="shared" si="12"/>
        <v>2.4401803212057915</v>
      </c>
      <c r="AA24" s="1">
        <f>SUMIFS(
  '[1]Hoja 1'!$M:$M,
  '[1]Hoja 1'!$S:$S, $A24,
  '[1]Hoja 1'!$R:$R, "&gt;="&amp;INT($AC$1),
  '[1]Hoja 1'!$R:$R, "&lt;"&amp;INT($AD$1+1)
)</f>
        <v>0</v>
      </c>
      <c r="AB24" s="1">
        <f t="shared" si="13"/>
        <v>0</v>
      </c>
      <c r="AC24" s="9">
        <f t="shared" si="14"/>
        <v>-2.2983037223134803</v>
      </c>
      <c r="AD24" s="10">
        <f t="shared" si="15"/>
        <v>2.2983037223134803</v>
      </c>
      <c r="AE24" s="1">
        <f>SUMIFS(
  '[1]Hoja 1'!$M:$M,
  '[1]Hoja 1'!$S:$S, $A24,
  '[1]Hoja 1'!$R:$R, "&gt;="&amp;INT($AG$1),
  '[1]Hoja 1'!$R:$R, "&lt;"&amp;INT($AH$1+1)
)</f>
        <v>0</v>
      </c>
      <c r="AF24" s="1">
        <f t="shared" si="16"/>
        <v>0</v>
      </c>
      <c r="AG24" s="9">
        <f t="shared" si="17"/>
        <v>-2.1703763114569172</v>
      </c>
      <c r="AH24" s="10">
        <f t="shared" si="18"/>
        <v>2.1703763114569172</v>
      </c>
      <c r="AI24" s="1">
        <f>SUMIFS(
  '[1]Hoja 1'!$M:$M,
  '[1]Hoja 1'!$S:$S, $A24,
  '[1]Hoja 1'!$R:$R, "&gt;="&amp;INT($AK$1),
  '[1]Hoja 1'!$R:$R, "&lt;"&amp;INT($AJ$1+1)
)</f>
        <v>0</v>
      </c>
      <c r="AJ24" s="1">
        <f t="shared" si="19"/>
        <v>0</v>
      </c>
      <c r="AK24" s="9">
        <f t="shared" si="20"/>
        <v>-2.0581666599184816</v>
      </c>
      <c r="AL24" s="10">
        <f t="shared" si="21"/>
        <v>2.0581666599184816</v>
      </c>
      <c r="AM24" s="1">
        <f>SUMIFS(
  '[1]Hoja 1'!$M:$M,
  '[1]Hoja 1'!$S:$S, $A24,
  '[1]Hoja 1'!$R:$R, "&gt;="&amp;INT($AO$1),
  '[1]Hoja 1'!$R:$R, "&lt;"&amp;INT($AP$1+1)
)</f>
        <v>0</v>
      </c>
      <c r="AN24" s="1">
        <f t="shared" si="22"/>
        <v>0</v>
      </c>
      <c r="AO24" s="9">
        <f t="shared" si="23"/>
        <v>-1.96</v>
      </c>
      <c r="AP24" s="10">
        <f t="shared" si="24"/>
        <v>1.96</v>
      </c>
      <c r="AQ24" s="1">
        <f>SUMIFS(
  '[1]Hoja 1'!$M:$M,
  '[1]Hoja 1'!$S:$S, $A24,
  '[1]Hoja 1'!$R:$R, "&gt;="&amp;INT($AS$1),
  '[1]Hoja 1'!$R:$R, "&lt;"&amp;INT($AT$1+1)
)</f>
        <v>0</v>
      </c>
      <c r="AR24" s="1">
        <f t="shared" si="25"/>
        <v>0</v>
      </c>
      <c r="AS24" s="9">
        <f t="shared" si="26"/>
        <v>-1.8737117055607981</v>
      </c>
      <c r="AT24" s="10">
        <f t="shared" si="27"/>
        <v>1.8737117055607981</v>
      </c>
      <c r="AU24" s="1">
        <f>SUMIFS(
  '[1]Hoja 1'!$M:$M,
  '[1]Hoja 1'!$S:$S, $A24,
  '[1]Hoja 1'!$R:$R, "&gt;="&amp;INT($AW$1),
  '[1]Hoja 1'!$R:$R, "&lt;"&amp;INT($AX$1+1)
)</f>
        <v>0</v>
      </c>
      <c r="AV24" s="1">
        <f t="shared" si="28"/>
        <v>0</v>
      </c>
      <c r="AW24" s="9">
        <f t="shared" si="29"/>
        <v>-1.797341471072307</v>
      </c>
      <c r="AX24" s="10">
        <f t="shared" si="30"/>
        <v>1.797341471072307</v>
      </c>
    </row>
    <row r="25" spans="1:50" x14ac:dyDescent="0.25">
      <c r="A25" s="5">
        <v>202001</v>
      </c>
      <c r="B25" s="6" t="s">
        <v>22</v>
      </c>
      <c r="C25" s="1">
        <f>SUMIFS(
  '[1]Hoja 1'!$M:$M,
  '[1]Hoja 1'!$S:$S, $A25,
  '[1]Hoja 1'!$R:$R, "&gt;="&amp;INT($E$1),
  '[1]Hoja 1'!$R:$R, "&lt;"&amp;INT($F$1+1)
)</f>
        <v>6</v>
      </c>
      <c r="D25" s="1" t="str">
        <f>""</f>
        <v/>
      </c>
      <c r="F25" s="2"/>
      <c r="G25" s="1">
        <f>SUMIFS(
  '[1]Hoja 1'!$M:$M,
  '[1]Hoja 1'!$S:$S, $A25,
  '[1]Hoja 1'!$R:$R, "&gt;="&amp;INT($I$1),
  '[1]Hoja 1'!$R:$R, "&lt;"&amp;INT($J$1+1)
)</f>
        <v>0</v>
      </c>
      <c r="H25" s="1">
        <f t="shared" si="0"/>
        <v>3</v>
      </c>
      <c r="I25" s="1"/>
      <c r="J25" s="2"/>
      <c r="K25" s="1">
        <f>SUMIFS(
  '[1]Hoja 1'!$M:$M,
  '[1]Hoja 1'!$S:$S, $A25,
  '[1]Hoja 1'!$R:$R, "&gt;="&amp;INT($M$1),
  '[1]Hoja 1'!$R:$R, "&lt;"&amp;INT($N$1+1)
)</f>
        <v>0</v>
      </c>
      <c r="L25" s="1">
        <f t="shared" si="1"/>
        <v>0</v>
      </c>
      <c r="M25" s="9">
        <f t="shared" si="2"/>
        <v>-4.1577878733768987</v>
      </c>
      <c r="N25" s="10">
        <f t="shared" si="3"/>
        <v>4.1577878733768987</v>
      </c>
      <c r="O25" s="1">
        <f>SUMIFS(
  '[1]Hoja 1'!$M:$M,
  '[1]Hoja 1'!$S:$S, $A25,
  '[1]Hoja 1'!$R:$R, "&gt;="&amp;INT($Q$1),
  '[1]Hoja 1'!$R:$R, "&lt;"&amp;INT($R$1+1)
)</f>
        <v>0</v>
      </c>
      <c r="P25" s="1">
        <f t="shared" si="4"/>
        <v>0</v>
      </c>
      <c r="Q25" s="9">
        <f t="shared" si="5"/>
        <v>-3.3948195828349994</v>
      </c>
      <c r="R25" s="10">
        <f t="shared" si="6"/>
        <v>3.3948195828349994</v>
      </c>
      <c r="S25" s="1">
        <f>SUMIFS(
  '[1]Hoja 1'!$M:$M,
  '[1]Hoja 1'!$S:$S, $A25,
  '[1]Hoja 1'!$R:$R, "&gt;="&amp;INT($U$1),
  '[1]Hoja 1'!$R:$R, "&lt;"&amp;INT($V$1+1)
)</f>
        <v>0</v>
      </c>
      <c r="T25" s="1">
        <f t="shared" si="7"/>
        <v>0</v>
      </c>
      <c r="U25" s="9">
        <f t="shared" si="8"/>
        <v>-2.8148356968036339</v>
      </c>
      <c r="V25" s="10">
        <f t="shared" si="9"/>
        <v>2.8148356968036339</v>
      </c>
      <c r="W25" s="1">
        <f>SUMIFS(
  '[1]Hoja 1'!$M:$M,
  '[1]Hoja 1'!$S:$S, $A25,
  '[1]Hoja 1'!$R:$R, "&gt;="&amp;INT($Y$1),
  '[1]Hoja 1'!$R:$R, "&lt;"&amp;INT($Z$1+1)
)</f>
        <v>0</v>
      </c>
      <c r="X25" s="1">
        <f t="shared" si="10"/>
        <v>0</v>
      </c>
      <c r="Y25" s="9">
        <f t="shared" si="11"/>
        <v>-2.6296159415397526</v>
      </c>
      <c r="Z25" s="10">
        <f t="shared" si="12"/>
        <v>2.6296159415397526</v>
      </c>
      <c r="AA25" s="1">
        <f>SUMIFS(
  '[1]Hoja 1'!$M:$M,
  '[1]Hoja 1'!$S:$S, $A25,
  '[1]Hoja 1'!$R:$R, "&gt;="&amp;INT($AC$1),
  '[1]Hoja 1'!$R:$R, "&lt;"&amp;INT($AD$1+1)
)</f>
        <v>0</v>
      </c>
      <c r="AB25" s="1">
        <f t="shared" si="13"/>
        <v>0</v>
      </c>
      <c r="AC25" s="9">
        <f t="shared" si="14"/>
        <v>-2.4004999479275142</v>
      </c>
      <c r="AD25" s="10">
        <f t="shared" si="15"/>
        <v>2.4004999479275142</v>
      </c>
      <c r="AE25" s="1">
        <f>SUMIFS(
  '[1]Hoja 1'!$M:$M,
  '[1]Hoja 1'!$S:$S, $A25,
  '[1]Hoja 1'!$R:$R, "&gt;="&amp;INT($AG$1),
  '[1]Hoja 1'!$R:$R, "&lt;"&amp;INT($AH$1+1)
)</f>
        <v>0</v>
      </c>
      <c r="AF25" s="1">
        <f t="shared" si="16"/>
        <v>0</v>
      </c>
      <c r="AG25" s="9">
        <f t="shared" si="17"/>
        <v>-2.2224311012942559</v>
      </c>
      <c r="AH25" s="10">
        <f t="shared" si="18"/>
        <v>2.2224311012942559</v>
      </c>
      <c r="AI25" s="1">
        <f>SUMIFS(
  '[1]Hoja 1'!$M:$M,
  '[1]Hoja 1'!$S:$S, $A25,
  '[1]Hoja 1'!$R:$R, "&gt;="&amp;INT($AK$1),
  '[1]Hoja 1'!$R:$R, "&lt;"&amp;INT($AJ$1+1)
)</f>
        <v>0</v>
      </c>
      <c r="AJ25" s="1">
        <f t="shared" si="19"/>
        <v>0</v>
      </c>
      <c r="AK25" s="9">
        <f t="shared" si="20"/>
        <v>-2.0788939366884494</v>
      </c>
      <c r="AL25" s="10">
        <f t="shared" si="21"/>
        <v>2.0788939366884494</v>
      </c>
      <c r="AM25" s="1">
        <f>SUMIFS(
  '[1]Hoja 1'!$M:$M,
  '[1]Hoja 1'!$S:$S, $A25,
  '[1]Hoja 1'!$R:$R, "&gt;="&amp;INT($AO$1),
  '[1]Hoja 1'!$R:$R, "&lt;"&amp;INT($AP$1+1)
)</f>
        <v>0</v>
      </c>
      <c r="AN25" s="1">
        <f t="shared" si="22"/>
        <v>0</v>
      </c>
      <c r="AO25" s="9">
        <f t="shared" si="23"/>
        <v>-1.96</v>
      </c>
      <c r="AP25" s="10">
        <f t="shared" si="24"/>
        <v>1.96</v>
      </c>
      <c r="AQ25" s="1">
        <f>SUMIFS(
  '[1]Hoja 1'!$M:$M,
  '[1]Hoja 1'!$S:$S, $A25,
  '[1]Hoja 1'!$R:$R, "&gt;="&amp;INT($AS$1),
  '[1]Hoja 1'!$R:$R, "&lt;"&amp;INT($AT$1+1)
)</f>
        <v>0</v>
      </c>
      <c r="AR25" s="1">
        <f t="shared" si="25"/>
        <v>0</v>
      </c>
      <c r="AS25" s="9">
        <f t="shared" si="26"/>
        <v>-1.859419264179007</v>
      </c>
      <c r="AT25" s="10">
        <f t="shared" si="27"/>
        <v>1.859419264179007</v>
      </c>
      <c r="AU25" s="1">
        <f>SUMIFS(
  '[1]Hoja 1'!$M:$M,
  '[1]Hoja 1'!$S:$S, $A25,
  '[1]Hoja 1'!$R:$R, "&gt;="&amp;INT($AW$1),
  '[1]Hoja 1'!$R:$R, "&lt;"&amp;INT($AX$1+1)
)</f>
        <v>0</v>
      </c>
      <c r="AV25" s="1">
        <f t="shared" si="28"/>
        <v>0</v>
      </c>
      <c r="AW25" s="9">
        <f t="shared" si="29"/>
        <v>-1.7728867061172502</v>
      </c>
      <c r="AX25" s="10">
        <f t="shared" si="30"/>
        <v>1.7728867061172502</v>
      </c>
    </row>
    <row r="26" spans="1:50" x14ac:dyDescent="0.25">
      <c r="A26" s="5">
        <v>202002</v>
      </c>
      <c r="B26" s="6" t="s">
        <v>23</v>
      </c>
      <c r="C26" s="1">
        <f>SUMIFS(
  '[1]Hoja 1'!$M:$M,
  '[1]Hoja 1'!$S:$S, $A26,
  '[1]Hoja 1'!$R:$R, "&gt;="&amp;INT($E$1),
  '[1]Hoja 1'!$R:$R, "&lt;"&amp;INT($F$1+1)
)</f>
        <v>0</v>
      </c>
      <c r="D26" s="1" t="str">
        <f>""</f>
        <v/>
      </c>
      <c r="F26" s="2"/>
      <c r="G26" s="1">
        <f>SUMIFS(
  '[1]Hoja 1'!$M:$M,
  '[1]Hoja 1'!$S:$S, $A26,
  '[1]Hoja 1'!$R:$R, "&gt;="&amp;INT($I$1),
  '[1]Hoja 1'!$R:$R, "&lt;"&amp;INT($J$1+1)
)</f>
        <v>0</v>
      </c>
      <c r="H26" s="1">
        <f t="shared" si="0"/>
        <v>0</v>
      </c>
      <c r="I26" s="1"/>
      <c r="J26" s="2"/>
      <c r="K26" s="1">
        <f>SUMIFS(
  '[1]Hoja 1'!$M:$M,
  '[1]Hoja 1'!$S:$S, $A26,
  '[1]Hoja 1'!$R:$R, "&gt;="&amp;INT($M$1),
  '[1]Hoja 1'!$R:$R, "&lt;"&amp;INT($N$1+1)
)</f>
        <v>0</v>
      </c>
      <c r="L26" s="1">
        <f t="shared" si="1"/>
        <v>0</v>
      </c>
      <c r="M26" s="9">
        <f t="shared" si="2"/>
        <v>0</v>
      </c>
      <c r="N26" s="10">
        <f t="shared" si="3"/>
        <v>0</v>
      </c>
      <c r="O26" s="1">
        <f>SUMIFS(
  '[1]Hoja 1'!$M:$M,
  '[1]Hoja 1'!$S:$S, $A26,
  '[1]Hoja 1'!$R:$R, "&gt;="&amp;INT($Q$1),
  '[1]Hoja 1'!$R:$R, "&lt;"&amp;INT($R$1+1)
)</f>
        <v>0</v>
      </c>
      <c r="P26" s="1">
        <f t="shared" si="4"/>
        <v>0</v>
      </c>
      <c r="Q26" s="9">
        <f t="shared" si="5"/>
        <v>0</v>
      </c>
      <c r="R26" s="10">
        <f t="shared" si="6"/>
        <v>0</v>
      </c>
      <c r="S26" s="1">
        <f>SUMIFS(
  '[1]Hoja 1'!$M:$M,
  '[1]Hoja 1'!$S:$S, $A26,
  '[1]Hoja 1'!$R:$R, "&gt;="&amp;INT($U$1),
  '[1]Hoja 1'!$R:$R, "&lt;"&amp;INT($V$1+1)
)</f>
        <v>0</v>
      </c>
      <c r="T26" s="1">
        <f t="shared" si="7"/>
        <v>0</v>
      </c>
      <c r="U26" s="9">
        <f t="shared" si="8"/>
        <v>-1.47</v>
      </c>
      <c r="V26" s="10">
        <f t="shared" si="9"/>
        <v>1.47</v>
      </c>
      <c r="W26" s="1">
        <f>SUMIFS(
  '[1]Hoja 1'!$M:$M,
  '[1]Hoja 1'!$S:$S, $A26,
  '[1]Hoja 1'!$R:$R, "&gt;="&amp;INT($Y$1),
  '[1]Hoja 1'!$R:$R, "&lt;"&amp;INT($Z$1+1)
)</f>
        <v>0</v>
      </c>
      <c r="X26" s="1">
        <f t="shared" si="10"/>
        <v>0</v>
      </c>
      <c r="Y26" s="9">
        <f t="shared" si="11"/>
        <v>0</v>
      </c>
      <c r="Z26" s="10">
        <f t="shared" si="12"/>
        <v>0</v>
      </c>
      <c r="AA26" s="1">
        <f>SUMIFS(
  '[1]Hoja 1'!$M:$M,
  '[1]Hoja 1'!$S:$S, $A26,
  '[1]Hoja 1'!$R:$R, "&gt;="&amp;INT($AC$1),
  '[1]Hoja 1'!$R:$R, "&lt;"&amp;INT($AD$1+1)
)</f>
        <v>0</v>
      </c>
      <c r="AB26" s="1">
        <f t="shared" si="13"/>
        <v>0</v>
      </c>
      <c r="AC26" s="9">
        <f t="shared" si="14"/>
        <v>0</v>
      </c>
      <c r="AD26" s="10">
        <f t="shared" si="15"/>
        <v>0</v>
      </c>
      <c r="AE26" s="1">
        <f>SUMIFS(
  '[1]Hoja 1'!$M:$M,
  '[1]Hoja 1'!$S:$S, $A26,
  '[1]Hoja 1'!$R:$R, "&gt;="&amp;INT($AG$1),
  '[1]Hoja 1'!$R:$R, "&lt;"&amp;INT($AH$1+1)
)</f>
        <v>0</v>
      </c>
      <c r="AF26" s="1">
        <f t="shared" si="16"/>
        <v>0</v>
      </c>
      <c r="AG26" s="9">
        <f t="shared" si="17"/>
        <v>0</v>
      </c>
      <c r="AH26" s="10">
        <f t="shared" si="18"/>
        <v>0</v>
      </c>
      <c r="AI26" s="1">
        <f>SUMIFS(
  '[1]Hoja 1'!$M:$M,
  '[1]Hoja 1'!$S:$S, $A26,
  '[1]Hoja 1'!$R:$R, "&gt;="&amp;INT($AK$1),
  '[1]Hoja 1'!$R:$R, "&lt;"&amp;INT($AJ$1+1)
)</f>
        <v>0</v>
      </c>
      <c r="AJ26" s="1">
        <f t="shared" si="19"/>
        <v>0</v>
      </c>
      <c r="AK26" s="9">
        <f t="shared" si="20"/>
        <v>0</v>
      </c>
      <c r="AL26" s="10">
        <f t="shared" si="21"/>
        <v>0</v>
      </c>
      <c r="AM26" s="1">
        <f>SUMIFS(
  '[1]Hoja 1'!$M:$M,
  '[1]Hoja 1'!$S:$S, $A26,
  '[1]Hoja 1'!$R:$R, "&gt;="&amp;INT($AO$1),
  '[1]Hoja 1'!$R:$R, "&lt;"&amp;INT($AP$1+1)
)</f>
        <v>0</v>
      </c>
      <c r="AN26" s="1">
        <f t="shared" si="22"/>
        <v>0</v>
      </c>
      <c r="AO26" s="9">
        <f t="shared" si="23"/>
        <v>0</v>
      </c>
      <c r="AP26" s="10">
        <f t="shared" si="24"/>
        <v>0</v>
      </c>
      <c r="AQ26" s="1">
        <f>SUMIFS(
  '[1]Hoja 1'!$M:$M,
  '[1]Hoja 1'!$S:$S, $A26,
  '[1]Hoja 1'!$R:$R, "&gt;="&amp;INT($AS$1),
  '[1]Hoja 1'!$R:$R, "&lt;"&amp;INT($AT$1+1)
)</f>
        <v>0</v>
      </c>
      <c r="AR26" s="1">
        <f t="shared" si="25"/>
        <v>0</v>
      </c>
      <c r="AS26" s="9">
        <f t="shared" si="26"/>
        <v>0</v>
      </c>
      <c r="AT26" s="10">
        <f t="shared" si="27"/>
        <v>0</v>
      </c>
      <c r="AU26" s="1">
        <f>SUMIFS(
  '[1]Hoja 1'!$M:$M,
  '[1]Hoja 1'!$S:$S, $A26,
  '[1]Hoja 1'!$R:$R, "&gt;="&amp;INT($AW$1),
  '[1]Hoja 1'!$R:$R, "&lt;"&amp;INT($AX$1+1)
)</f>
        <v>0</v>
      </c>
      <c r="AV26" s="1">
        <f t="shared" si="28"/>
        <v>0</v>
      </c>
      <c r="AW26" s="9">
        <f t="shared" si="29"/>
        <v>0</v>
      </c>
      <c r="AX26" s="10">
        <f t="shared" si="30"/>
        <v>0</v>
      </c>
    </row>
    <row r="27" spans="1:50" x14ac:dyDescent="0.25">
      <c r="A27" s="5">
        <v>202003</v>
      </c>
      <c r="B27" s="6" t="s">
        <v>24</v>
      </c>
      <c r="C27" s="1">
        <f>SUMIFS(
  '[1]Hoja 1'!$M:$M,
  '[1]Hoja 1'!$S:$S, $A27,
  '[1]Hoja 1'!$R:$R, "&gt;="&amp;INT($E$1),
  '[1]Hoja 1'!$R:$R, "&lt;"&amp;INT($F$1+1)
)</f>
        <v>0</v>
      </c>
      <c r="D27" s="1" t="str">
        <f>""</f>
        <v/>
      </c>
      <c r="F27" s="2"/>
      <c r="G27" s="1">
        <f>SUMIFS(
  '[1]Hoja 1'!$M:$M,
  '[1]Hoja 1'!$S:$S, $A27,
  '[1]Hoja 1'!$R:$R, "&gt;="&amp;INT($I$1),
  '[1]Hoja 1'!$R:$R, "&lt;"&amp;INT($J$1+1)
)</f>
        <v>0</v>
      </c>
      <c r="H27" s="1">
        <f t="shared" si="0"/>
        <v>0</v>
      </c>
      <c r="I27" s="1"/>
      <c r="J27" s="2"/>
      <c r="K27" s="1">
        <f>SUMIFS(
  '[1]Hoja 1'!$M:$M,
  '[1]Hoja 1'!$S:$S, $A27,
  '[1]Hoja 1'!$R:$R, "&gt;="&amp;INT($M$1),
  '[1]Hoja 1'!$R:$R, "&lt;"&amp;INT($N$1+1)
)</f>
        <v>0</v>
      </c>
      <c r="L27" s="1">
        <f t="shared" si="1"/>
        <v>0</v>
      </c>
      <c r="M27" s="9">
        <f t="shared" si="2"/>
        <v>0</v>
      </c>
      <c r="N27" s="10">
        <f t="shared" si="3"/>
        <v>0</v>
      </c>
      <c r="O27" s="1">
        <f>SUMIFS(
  '[1]Hoja 1'!$M:$M,
  '[1]Hoja 1'!$S:$S, $A27,
  '[1]Hoja 1'!$R:$R, "&gt;="&amp;INT($Q$1),
  '[1]Hoja 1'!$R:$R, "&lt;"&amp;INT($R$1+1)
)</f>
        <v>0</v>
      </c>
      <c r="P27" s="1">
        <f t="shared" si="4"/>
        <v>0</v>
      </c>
      <c r="Q27" s="9">
        <f t="shared" si="5"/>
        <v>0</v>
      </c>
      <c r="R27" s="10">
        <f t="shared" si="6"/>
        <v>0</v>
      </c>
      <c r="S27" s="1">
        <f>SUMIFS(
  '[1]Hoja 1'!$M:$M,
  '[1]Hoja 1'!$S:$S, $A27,
  '[1]Hoja 1'!$R:$R, "&gt;="&amp;INT($U$1),
  '[1]Hoja 1'!$R:$R, "&lt;"&amp;INT($V$1+1)
)</f>
        <v>0</v>
      </c>
      <c r="T27" s="1">
        <f t="shared" si="7"/>
        <v>0</v>
      </c>
      <c r="U27" s="9">
        <f t="shared" si="8"/>
        <v>-1.47</v>
      </c>
      <c r="V27" s="10">
        <f t="shared" si="9"/>
        <v>1.47</v>
      </c>
      <c r="W27" s="1">
        <f>SUMIFS(
  '[1]Hoja 1'!$M:$M,
  '[1]Hoja 1'!$S:$S, $A27,
  '[1]Hoja 1'!$R:$R, "&gt;="&amp;INT($Y$1),
  '[1]Hoja 1'!$R:$R, "&lt;"&amp;INT($Z$1+1)
)</f>
        <v>0</v>
      </c>
      <c r="X27" s="1">
        <f t="shared" si="10"/>
        <v>0</v>
      </c>
      <c r="Y27" s="9">
        <f t="shared" si="11"/>
        <v>0</v>
      </c>
      <c r="Z27" s="10">
        <f t="shared" si="12"/>
        <v>0</v>
      </c>
      <c r="AA27" s="1">
        <f>SUMIFS(
  '[1]Hoja 1'!$M:$M,
  '[1]Hoja 1'!$S:$S, $A27,
  '[1]Hoja 1'!$R:$R, "&gt;="&amp;INT($AC$1),
  '[1]Hoja 1'!$R:$R, "&lt;"&amp;INT($AD$1+1)
)</f>
        <v>0</v>
      </c>
      <c r="AB27" s="1">
        <f t="shared" si="13"/>
        <v>0</v>
      </c>
      <c r="AC27" s="9">
        <f t="shared" si="14"/>
        <v>0</v>
      </c>
      <c r="AD27" s="10">
        <f t="shared" si="15"/>
        <v>0</v>
      </c>
      <c r="AE27" s="1">
        <f>SUMIFS(
  '[1]Hoja 1'!$M:$M,
  '[1]Hoja 1'!$S:$S, $A27,
  '[1]Hoja 1'!$R:$R, "&gt;="&amp;INT($AG$1),
  '[1]Hoja 1'!$R:$R, "&lt;"&amp;INT($AH$1+1)
)</f>
        <v>0</v>
      </c>
      <c r="AF27" s="1">
        <f t="shared" si="16"/>
        <v>0</v>
      </c>
      <c r="AG27" s="9">
        <f t="shared" si="17"/>
        <v>0</v>
      </c>
      <c r="AH27" s="10">
        <f t="shared" si="18"/>
        <v>0</v>
      </c>
      <c r="AI27" s="1">
        <f>SUMIFS(
  '[1]Hoja 1'!$M:$M,
  '[1]Hoja 1'!$S:$S, $A27,
  '[1]Hoja 1'!$R:$R, "&gt;="&amp;INT($AK$1),
  '[1]Hoja 1'!$R:$R, "&lt;"&amp;INT($AJ$1+1)
)</f>
        <v>0</v>
      </c>
      <c r="AJ27" s="1">
        <f t="shared" si="19"/>
        <v>0</v>
      </c>
      <c r="AK27" s="9">
        <f t="shared" si="20"/>
        <v>0</v>
      </c>
      <c r="AL27" s="10">
        <f t="shared" si="21"/>
        <v>0</v>
      </c>
      <c r="AM27" s="1">
        <f>SUMIFS(
  '[1]Hoja 1'!$M:$M,
  '[1]Hoja 1'!$S:$S, $A27,
  '[1]Hoja 1'!$R:$R, "&gt;="&amp;INT($AO$1),
  '[1]Hoja 1'!$R:$R, "&lt;"&amp;INT($AP$1+1)
)</f>
        <v>0</v>
      </c>
      <c r="AN27" s="1">
        <f t="shared" si="22"/>
        <v>0</v>
      </c>
      <c r="AO27" s="9">
        <f t="shared" si="23"/>
        <v>0</v>
      </c>
      <c r="AP27" s="10">
        <f t="shared" si="24"/>
        <v>0</v>
      </c>
      <c r="AQ27" s="1">
        <f>SUMIFS(
  '[1]Hoja 1'!$M:$M,
  '[1]Hoja 1'!$S:$S, $A27,
  '[1]Hoja 1'!$R:$R, "&gt;="&amp;INT($AS$1),
  '[1]Hoja 1'!$R:$R, "&lt;"&amp;INT($AT$1+1)
)</f>
        <v>0</v>
      </c>
      <c r="AR27" s="1">
        <f t="shared" si="25"/>
        <v>0</v>
      </c>
      <c r="AS27" s="9">
        <f t="shared" si="26"/>
        <v>0</v>
      </c>
      <c r="AT27" s="10">
        <f t="shared" si="27"/>
        <v>0</v>
      </c>
      <c r="AU27" s="1">
        <f>SUMIFS(
  '[1]Hoja 1'!$M:$M,
  '[1]Hoja 1'!$S:$S, $A27,
  '[1]Hoja 1'!$R:$R, "&gt;="&amp;INT($AW$1),
  '[1]Hoja 1'!$R:$R, "&lt;"&amp;INT($AX$1+1)
)</f>
        <v>0</v>
      </c>
      <c r="AV27" s="1">
        <f t="shared" si="28"/>
        <v>0</v>
      </c>
      <c r="AW27" s="9">
        <f t="shared" si="29"/>
        <v>0</v>
      </c>
      <c r="AX27" s="10">
        <f t="shared" si="30"/>
        <v>0</v>
      </c>
    </row>
    <row r="28" spans="1:50" x14ac:dyDescent="0.25">
      <c r="A28" s="5">
        <v>202004</v>
      </c>
      <c r="B28" s="6" t="s">
        <v>25</v>
      </c>
      <c r="C28" s="1">
        <f>SUMIFS(
  '[1]Hoja 1'!$M:$M,
  '[1]Hoja 1'!$S:$S, $A28,
  '[1]Hoja 1'!$R:$R, "&gt;="&amp;INT($E$1),
  '[1]Hoja 1'!$R:$R, "&lt;"&amp;INT($F$1+1)
)</f>
        <v>0</v>
      </c>
      <c r="D28" s="1" t="str">
        <f>""</f>
        <v/>
      </c>
      <c r="F28" s="2"/>
      <c r="G28" s="1">
        <f>SUMIFS(
  '[1]Hoja 1'!$M:$M,
  '[1]Hoja 1'!$S:$S, $A28,
  '[1]Hoja 1'!$R:$R, "&gt;="&amp;INT($I$1),
  '[1]Hoja 1'!$R:$R, "&lt;"&amp;INT($J$1+1)
)</f>
        <v>0</v>
      </c>
      <c r="H28" s="1">
        <f t="shared" si="0"/>
        <v>0</v>
      </c>
      <c r="I28" s="1"/>
      <c r="J28" s="2"/>
      <c r="K28" s="1">
        <f>SUMIFS(
  '[1]Hoja 1'!$M:$M,
  '[1]Hoja 1'!$S:$S, $A28,
  '[1]Hoja 1'!$R:$R, "&gt;="&amp;INT($M$1),
  '[1]Hoja 1'!$R:$R, "&lt;"&amp;INT($N$1+1)
)</f>
        <v>0</v>
      </c>
      <c r="L28" s="1">
        <f t="shared" si="1"/>
        <v>0</v>
      </c>
      <c r="M28" s="9">
        <f t="shared" si="2"/>
        <v>0</v>
      </c>
      <c r="N28" s="10">
        <f t="shared" si="3"/>
        <v>0</v>
      </c>
      <c r="O28" s="1">
        <f>SUMIFS(
  '[1]Hoja 1'!$M:$M,
  '[1]Hoja 1'!$S:$S, $A28,
  '[1]Hoja 1'!$R:$R, "&gt;="&amp;INT($Q$1),
  '[1]Hoja 1'!$R:$R, "&lt;"&amp;INT($R$1+1)
)</f>
        <v>0</v>
      </c>
      <c r="P28" s="1">
        <f t="shared" si="4"/>
        <v>0</v>
      </c>
      <c r="Q28" s="9">
        <f t="shared" si="5"/>
        <v>0</v>
      </c>
      <c r="R28" s="10">
        <f t="shared" si="6"/>
        <v>0</v>
      </c>
      <c r="S28" s="1">
        <f>SUMIFS(
  '[1]Hoja 1'!$M:$M,
  '[1]Hoja 1'!$S:$S, $A28,
  '[1]Hoja 1'!$R:$R, "&gt;="&amp;INT($U$1),
  '[1]Hoja 1'!$R:$R, "&lt;"&amp;INT($V$1+1)
)</f>
        <v>0</v>
      </c>
      <c r="T28" s="1">
        <f t="shared" si="7"/>
        <v>0</v>
      </c>
      <c r="U28" s="9">
        <f t="shared" si="8"/>
        <v>-1.47</v>
      </c>
      <c r="V28" s="10">
        <f t="shared" si="9"/>
        <v>1.47</v>
      </c>
      <c r="W28" s="1">
        <f>SUMIFS(
  '[1]Hoja 1'!$M:$M,
  '[1]Hoja 1'!$S:$S, $A28,
  '[1]Hoja 1'!$R:$R, "&gt;="&amp;INT($Y$1),
  '[1]Hoja 1'!$R:$R, "&lt;"&amp;INT($Z$1+1)
)</f>
        <v>0</v>
      </c>
      <c r="X28" s="1">
        <f t="shared" si="10"/>
        <v>0</v>
      </c>
      <c r="Y28" s="9">
        <f t="shared" si="11"/>
        <v>0</v>
      </c>
      <c r="Z28" s="10">
        <f t="shared" si="12"/>
        <v>0</v>
      </c>
      <c r="AA28" s="1">
        <f>SUMIFS(
  '[1]Hoja 1'!$M:$M,
  '[1]Hoja 1'!$S:$S, $A28,
  '[1]Hoja 1'!$R:$R, "&gt;="&amp;INT($AC$1),
  '[1]Hoja 1'!$R:$R, "&lt;"&amp;INT($AD$1+1)
)</f>
        <v>0</v>
      </c>
      <c r="AB28" s="1">
        <f t="shared" si="13"/>
        <v>0</v>
      </c>
      <c r="AC28" s="9">
        <f t="shared" si="14"/>
        <v>0</v>
      </c>
      <c r="AD28" s="10">
        <f t="shared" si="15"/>
        <v>0</v>
      </c>
      <c r="AE28" s="1">
        <f>SUMIFS(
  '[1]Hoja 1'!$M:$M,
  '[1]Hoja 1'!$S:$S, $A28,
  '[1]Hoja 1'!$R:$R, "&gt;="&amp;INT($AG$1),
  '[1]Hoja 1'!$R:$R, "&lt;"&amp;INT($AH$1+1)
)</f>
        <v>0</v>
      </c>
      <c r="AF28" s="1">
        <f t="shared" si="16"/>
        <v>0</v>
      </c>
      <c r="AG28" s="9">
        <f t="shared" si="17"/>
        <v>0</v>
      </c>
      <c r="AH28" s="10">
        <f t="shared" si="18"/>
        <v>0</v>
      </c>
      <c r="AI28" s="1">
        <f>SUMIFS(
  '[1]Hoja 1'!$M:$M,
  '[1]Hoja 1'!$S:$S, $A28,
  '[1]Hoja 1'!$R:$R, "&gt;="&amp;INT($AK$1),
  '[1]Hoja 1'!$R:$R, "&lt;"&amp;INT($AJ$1+1)
)</f>
        <v>0</v>
      </c>
      <c r="AJ28" s="1">
        <f t="shared" si="19"/>
        <v>0</v>
      </c>
      <c r="AK28" s="9">
        <f t="shared" si="20"/>
        <v>0</v>
      </c>
      <c r="AL28" s="10">
        <f t="shared" si="21"/>
        <v>0</v>
      </c>
      <c r="AM28" s="1">
        <f>SUMIFS(
  '[1]Hoja 1'!$M:$M,
  '[1]Hoja 1'!$S:$S, $A28,
  '[1]Hoja 1'!$R:$R, "&gt;="&amp;INT($AO$1),
  '[1]Hoja 1'!$R:$R, "&lt;"&amp;INT($AP$1+1)
)</f>
        <v>0</v>
      </c>
      <c r="AN28" s="1">
        <f t="shared" si="22"/>
        <v>0</v>
      </c>
      <c r="AO28" s="9">
        <f t="shared" si="23"/>
        <v>0</v>
      </c>
      <c r="AP28" s="10">
        <f t="shared" si="24"/>
        <v>0</v>
      </c>
      <c r="AQ28" s="1">
        <f>SUMIFS(
  '[1]Hoja 1'!$M:$M,
  '[1]Hoja 1'!$S:$S, $A28,
  '[1]Hoja 1'!$R:$R, "&gt;="&amp;INT($AS$1),
  '[1]Hoja 1'!$R:$R, "&lt;"&amp;INT($AT$1+1)
)</f>
        <v>0</v>
      </c>
      <c r="AR28" s="1">
        <f t="shared" si="25"/>
        <v>0</v>
      </c>
      <c r="AS28" s="9">
        <f t="shared" si="26"/>
        <v>0</v>
      </c>
      <c r="AT28" s="10">
        <f t="shared" si="27"/>
        <v>0</v>
      </c>
      <c r="AU28" s="1">
        <f>SUMIFS(
  '[1]Hoja 1'!$M:$M,
  '[1]Hoja 1'!$S:$S, $A28,
  '[1]Hoja 1'!$R:$R, "&gt;="&amp;INT($AW$1),
  '[1]Hoja 1'!$R:$R, "&lt;"&amp;INT($AX$1+1)
)</f>
        <v>0</v>
      </c>
      <c r="AV28" s="1">
        <f t="shared" si="28"/>
        <v>0</v>
      </c>
      <c r="AW28" s="9">
        <f t="shared" si="29"/>
        <v>0</v>
      </c>
      <c r="AX28" s="10">
        <f t="shared" si="30"/>
        <v>0</v>
      </c>
    </row>
    <row r="29" spans="1:50" x14ac:dyDescent="0.25">
      <c r="A29" s="5">
        <v>203001</v>
      </c>
      <c r="B29" s="6" t="s">
        <v>26</v>
      </c>
      <c r="C29" s="1">
        <f>SUMIFS(
  '[1]Hoja 1'!$M:$M,
  '[1]Hoja 1'!$S:$S, $A29,
  '[1]Hoja 1'!$R:$R, "&gt;="&amp;INT($E$1),
  '[1]Hoja 1'!$R:$R, "&lt;"&amp;INT($F$1+1)
)</f>
        <v>93</v>
      </c>
      <c r="D29" s="1" t="str">
        <f>""</f>
        <v/>
      </c>
      <c r="F29" s="2"/>
      <c r="G29" s="1">
        <f>SUMIFS(
  '[1]Hoja 1'!$M:$M,
  '[1]Hoja 1'!$S:$S, $A29,
  '[1]Hoja 1'!$R:$R, "&gt;="&amp;INT($I$1),
  '[1]Hoja 1'!$R:$R, "&lt;"&amp;INT($J$1+1)
)</f>
        <v>4</v>
      </c>
      <c r="H29" s="1">
        <f t="shared" si="0"/>
        <v>49</v>
      </c>
      <c r="I29" s="1"/>
      <c r="J29" s="2"/>
      <c r="K29" s="1">
        <f>SUMIFS(
  '[1]Hoja 1'!$M:$M,
  '[1]Hoja 1'!$S:$S, $A29,
  '[1]Hoja 1'!$R:$R, "&gt;="&amp;INT($M$1),
  '[1]Hoja 1'!$R:$R, "&lt;"&amp;INT($N$1+1)
)</f>
        <v>0</v>
      </c>
      <c r="L29" s="1">
        <f t="shared" si="1"/>
        <v>2</v>
      </c>
      <c r="M29" s="9">
        <f t="shared" si="2"/>
        <v>-56.90199487283941</v>
      </c>
      <c r="N29" s="10">
        <f t="shared" si="3"/>
        <v>60.90199487283941</v>
      </c>
      <c r="O29" s="1">
        <f>SUMIFS(
  '[1]Hoja 1'!$M:$M,
  '[1]Hoja 1'!$S:$S, $A29,
  '[1]Hoja 1'!$R:$R, "&gt;="&amp;INT($Q$1),
  '[1]Hoja 1'!$R:$R, "&lt;"&amp;INT($R$1+1)
)</f>
        <v>0</v>
      </c>
      <c r="P29" s="1">
        <f t="shared" si="4"/>
        <v>0</v>
      </c>
      <c r="Q29" s="9">
        <f t="shared" si="5"/>
        <v>-49.263889412022678</v>
      </c>
      <c r="R29" s="10">
        <f t="shared" si="6"/>
        <v>49.263889412022678</v>
      </c>
      <c r="S29" s="1">
        <f>SUMIFS(
  '[1]Hoja 1'!$M:$M,
  '[1]Hoja 1'!$S:$S, $A29,
  '[1]Hoja 1'!$R:$R, "&gt;="&amp;INT($U$1),
  '[1]Hoja 1'!$R:$R, "&lt;"&amp;INT($V$1+1)
)</f>
        <v>0</v>
      </c>
      <c r="T29" s="1">
        <f t="shared" si="7"/>
        <v>0</v>
      </c>
      <c r="U29" s="9">
        <f t="shared" si="8"/>
        <v>-42.49932077888618</v>
      </c>
      <c r="V29" s="10">
        <f t="shared" si="9"/>
        <v>42.49932077888618</v>
      </c>
      <c r="W29" s="1">
        <f>SUMIFS(
  '[1]Hoja 1'!$M:$M,
  '[1]Hoja 1'!$S:$S, $A29,
  '[1]Hoja 1'!$R:$R, "&gt;="&amp;INT($Y$1),
  '[1]Hoja 1'!$R:$R, "&lt;"&amp;INT($Z$1+1)
)</f>
        <v>0</v>
      </c>
      <c r="X29" s="1">
        <f t="shared" si="10"/>
        <v>0</v>
      </c>
      <c r="Y29" s="9">
        <f t="shared" si="11"/>
        <v>-38.605034904789299</v>
      </c>
      <c r="Z29" s="10">
        <f t="shared" si="12"/>
        <v>38.605034904789299</v>
      </c>
      <c r="AA29" s="1">
        <f>SUMIFS(
  '[1]Hoja 1'!$M:$M,
  '[1]Hoja 1'!$S:$S, $A29,
  '[1]Hoja 1'!$R:$R, "&gt;="&amp;INT($AC$1),
  '[1]Hoja 1'!$R:$R, "&lt;"&amp;INT($AD$1+1)
)</f>
        <v>0</v>
      </c>
      <c r="AB29" s="1">
        <f t="shared" si="13"/>
        <v>0</v>
      </c>
      <c r="AC29" s="9">
        <f t="shared" si="14"/>
        <v>-35.322169242559262</v>
      </c>
      <c r="AD29" s="10">
        <f t="shared" si="15"/>
        <v>35.322169242559262</v>
      </c>
      <c r="AE29" s="1">
        <f>SUMIFS(
  '[1]Hoja 1'!$M:$M,
  '[1]Hoja 1'!$S:$S, $A29,
  '[1]Hoja 1'!$R:$R, "&gt;="&amp;INT($AG$1),
  '[1]Hoja 1'!$R:$R, "&lt;"&amp;INT($AH$1+1)
)</f>
        <v>0</v>
      </c>
      <c r="AF29" s="1">
        <f t="shared" si="16"/>
        <v>0</v>
      </c>
      <c r="AG29" s="9">
        <f t="shared" si="17"/>
        <v>-32.751722601007316</v>
      </c>
      <c r="AH29" s="10">
        <f t="shared" si="18"/>
        <v>32.751722601007316</v>
      </c>
      <c r="AI29" s="1">
        <f>SUMIFS(
  '[1]Hoja 1'!$M:$M,
  '[1]Hoja 1'!$S:$S, $A29,
  '[1]Hoja 1'!$R:$R, "&gt;="&amp;INT($AK$1),
  '[1]Hoja 1'!$R:$R, "&lt;"&amp;INT($AJ$1+1)
)</f>
        <v>0</v>
      </c>
      <c r="AJ29" s="1">
        <f t="shared" si="19"/>
        <v>0</v>
      </c>
      <c r="AK29" s="9">
        <f t="shared" si="20"/>
        <v>-30.669627483880532</v>
      </c>
      <c r="AL29" s="10">
        <f t="shared" si="21"/>
        <v>30.669627483880532</v>
      </c>
      <c r="AM29" s="1">
        <f>SUMIFS(
  '[1]Hoja 1'!$M:$M,
  '[1]Hoja 1'!$S:$S, $A29,
  '[1]Hoja 1'!$R:$R, "&gt;="&amp;INT($AO$1),
  '[1]Hoja 1'!$R:$R, "&lt;"&amp;INT($AP$1+1)
)</f>
        <v>0</v>
      </c>
      <c r="AN29" s="1">
        <f t="shared" si="22"/>
        <v>0</v>
      </c>
      <c r="AO29" s="9">
        <f t="shared" si="23"/>
        <v>-28.939053198057465</v>
      </c>
      <c r="AP29" s="10">
        <f t="shared" si="24"/>
        <v>28.939053198057465</v>
      </c>
      <c r="AQ29" s="1">
        <f>SUMIFS(
  '[1]Hoja 1'!$M:$M,
  '[1]Hoja 1'!$S:$S, $A29,
  '[1]Hoja 1'!$R:$R, "&gt;="&amp;INT($AS$1),
  '[1]Hoja 1'!$R:$R, "&lt;"&amp;INT($AT$1+1)
)</f>
        <v>0</v>
      </c>
      <c r="AR29" s="1">
        <f t="shared" si="25"/>
        <v>0</v>
      </c>
      <c r="AS29" s="9">
        <f t="shared" si="26"/>
        <v>-27.471287718068275</v>
      </c>
      <c r="AT29" s="10">
        <f t="shared" si="27"/>
        <v>27.471287718068275</v>
      </c>
      <c r="AU29" s="1">
        <f>SUMIFS(
  '[1]Hoja 1'!$M:$M,
  '[1]Hoja 1'!$S:$S, $A29,
  '[1]Hoja 1'!$R:$R, "&gt;="&amp;INT($AW$1),
  '[1]Hoja 1'!$R:$R, "&lt;"&amp;INT($AX$1+1)
)</f>
        <v>0</v>
      </c>
      <c r="AV29" s="1">
        <f t="shared" si="28"/>
        <v>0</v>
      </c>
      <c r="AW29" s="9">
        <f t="shared" si="29"/>
        <v>-26.206026926505423</v>
      </c>
      <c r="AX29" s="10">
        <f t="shared" si="30"/>
        <v>26.206026926505423</v>
      </c>
    </row>
    <row r="30" spans="1:50" x14ac:dyDescent="0.25">
      <c r="A30" s="5">
        <v>203003</v>
      </c>
      <c r="B30" s="6" t="s">
        <v>27</v>
      </c>
      <c r="C30" s="1">
        <f>SUMIFS(
  '[1]Hoja 1'!$M:$M,
  '[1]Hoja 1'!$S:$S, $A30,
  '[1]Hoja 1'!$R:$R, "&gt;="&amp;INT($E$1),
  '[1]Hoja 1'!$R:$R, "&lt;"&amp;INT($F$1+1)
)</f>
        <v>49</v>
      </c>
      <c r="D30" s="1" t="str">
        <f>""</f>
        <v/>
      </c>
      <c r="F30" s="2"/>
      <c r="G30" s="1">
        <f>SUMIFS(
  '[1]Hoja 1'!$M:$M,
  '[1]Hoja 1'!$S:$S, $A30,
  '[1]Hoja 1'!$R:$R, "&gt;="&amp;INT($I$1),
  '[1]Hoja 1'!$R:$R, "&lt;"&amp;INT($J$1+1)
)</f>
        <v>0</v>
      </c>
      <c r="H30" s="1">
        <f t="shared" si="0"/>
        <v>25</v>
      </c>
      <c r="I30" s="1"/>
      <c r="J30" s="2"/>
      <c r="K30" s="1">
        <f>SUMIFS(
  '[1]Hoja 1'!$M:$M,
  '[1]Hoja 1'!$S:$S, $A30,
  '[1]Hoja 1'!$R:$R, "&gt;="&amp;INT($M$1),
  '[1]Hoja 1'!$R:$R, "&lt;"&amp;INT($N$1+1)
)</f>
        <v>0</v>
      </c>
      <c r="L30" s="1">
        <f t="shared" si="1"/>
        <v>0</v>
      </c>
      <c r="M30" s="9">
        <f t="shared" si="2"/>
        <v>-33.955267632578014</v>
      </c>
      <c r="N30" s="10">
        <f t="shared" si="3"/>
        <v>33.955267632578014</v>
      </c>
      <c r="O30" s="1">
        <f>SUMIFS(
  '[1]Hoja 1'!$M:$M,
  '[1]Hoja 1'!$S:$S, $A30,
  '[1]Hoja 1'!$R:$R, "&gt;="&amp;INT($Q$1),
  '[1]Hoja 1'!$R:$R, "&lt;"&amp;INT($R$1+1)
)</f>
        <v>0</v>
      </c>
      <c r="P30" s="1">
        <f t="shared" si="4"/>
        <v>0</v>
      </c>
      <c r="Q30" s="9">
        <f t="shared" si="5"/>
        <v>-27.724359926485828</v>
      </c>
      <c r="R30" s="10">
        <f t="shared" si="6"/>
        <v>27.724359926485828</v>
      </c>
      <c r="S30" s="1">
        <f>SUMIFS(
  '[1]Hoja 1'!$M:$M,
  '[1]Hoja 1'!$S:$S, $A30,
  '[1]Hoja 1'!$R:$R, "&gt;="&amp;INT($U$1),
  '[1]Hoja 1'!$R:$R, "&lt;"&amp;INT($V$1+1)
)</f>
        <v>0</v>
      </c>
      <c r="T30" s="1">
        <f t="shared" si="7"/>
        <v>0</v>
      </c>
      <c r="U30" s="9">
        <f t="shared" si="8"/>
        <v>-23.560797949135761</v>
      </c>
      <c r="V30" s="10">
        <f t="shared" si="9"/>
        <v>23.560797949135761</v>
      </c>
      <c r="W30" s="1">
        <f>SUMIFS(
  '[1]Hoja 1'!$M:$M,
  '[1]Hoja 1'!$S:$S, $A30,
  '[1]Hoja 1'!$R:$R, "&gt;="&amp;INT($Y$1),
  '[1]Hoja 1'!$R:$R, "&lt;"&amp;INT($Z$1+1)
)</f>
        <v>0</v>
      </c>
      <c r="X30" s="1">
        <f t="shared" si="10"/>
        <v>0</v>
      </c>
      <c r="Y30" s="9">
        <f t="shared" si="11"/>
        <v>-21.475196855907978</v>
      </c>
      <c r="Z30" s="10">
        <f t="shared" si="12"/>
        <v>21.475196855907978</v>
      </c>
      <c r="AA30" s="1">
        <f>SUMIFS(
  '[1]Hoja 1'!$M:$M,
  '[1]Hoja 1'!$S:$S, $A30,
  '[1]Hoja 1'!$R:$R, "&gt;="&amp;INT($AC$1),
  '[1]Hoja 1'!$R:$R, "&lt;"&amp;INT($AD$1+1)
)</f>
        <v>0</v>
      </c>
      <c r="AB30" s="1">
        <f t="shared" si="13"/>
        <v>0</v>
      </c>
      <c r="AC30" s="9">
        <f t="shared" si="14"/>
        <v>-19.604082908074702</v>
      </c>
      <c r="AD30" s="10">
        <f t="shared" si="15"/>
        <v>19.604082908074702</v>
      </c>
      <c r="AE30" s="1">
        <f>SUMIFS(
  '[1]Hoja 1'!$M:$M,
  '[1]Hoja 1'!$S:$S, $A30,
  '[1]Hoja 1'!$R:$R, "&gt;="&amp;INT($AG$1),
  '[1]Hoja 1'!$R:$R, "&lt;"&amp;INT($AH$1+1)
)</f>
        <v>0</v>
      </c>
      <c r="AF30" s="1">
        <f t="shared" si="16"/>
        <v>0</v>
      </c>
      <c r="AG30" s="9">
        <f t="shared" si="17"/>
        <v>-18.149853993903093</v>
      </c>
      <c r="AH30" s="10">
        <f t="shared" si="18"/>
        <v>18.149853993903093</v>
      </c>
      <c r="AI30" s="1">
        <f>SUMIFS(
  '[1]Hoja 1'!$M:$M,
  '[1]Hoja 1'!$S:$S, $A30,
  '[1]Hoja 1'!$R:$R, "&gt;="&amp;INT($AK$1),
  '[1]Hoja 1'!$R:$R, "&lt;"&amp;INT($AJ$1+1)
)</f>
        <v>0</v>
      </c>
      <c r="AJ30" s="1">
        <f t="shared" si="19"/>
        <v>0</v>
      </c>
      <c r="AK30" s="9">
        <f t="shared" si="20"/>
        <v>-16.977633816289007</v>
      </c>
      <c r="AL30" s="10">
        <f t="shared" si="21"/>
        <v>16.977633816289007</v>
      </c>
      <c r="AM30" s="1">
        <f>SUMIFS(
  '[1]Hoja 1'!$M:$M,
  '[1]Hoja 1'!$S:$S, $A30,
  '[1]Hoja 1'!$R:$R, "&gt;="&amp;INT($AO$1),
  '[1]Hoja 1'!$R:$R, "&lt;"&amp;INT($AP$1+1)
)</f>
        <v>0</v>
      </c>
      <c r="AN30" s="1">
        <f t="shared" si="22"/>
        <v>0</v>
      </c>
      <c r="AO30" s="9">
        <f t="shared" si="23"/>
        <v>-16.006666666666664</v>
      </c>
      <c r="AP30" s="10">
        <f t="shared" si="24"/>
        <v>16.006666666666664</v>
      </c>
      <c r="AQ30" s="1">
        <f>SUMIFS(
  '[1]Hoja 1'!$M:$M,
  '[1]Hoja 1'!$S:$S, $A30,
  '[1]Hoja 1'!$R:$R, "&gt;="&amp;INT($AS$1),
  '[1]Hoja 1'!$R:$R, "&lt;"&amp;INT($AT$1+1)
)</f>
        <v>0</v>
      </c>
      <c r="AR30" s="1">
        <f t="shared" si="25"/>
        <v>0</v>
      </c>
      <c r="AS30" s="9">
        <f t="shared" si="26"/>
        <v>-15.185257324128557</v>
      </c>
      <c r="AT30" s="10">
        <f t="shared" si="27"/>
        <v>15.185257324128557</v>
      </c>
      <c r="AU30" s="1">
        <f>SUMIFS(
  '[1]Hoja 1'!$M:$M,
  '[1]Hoja 1'!$S:$S, $A30,
  '[1]Hoja 1'!$R:$R, "&gt;="&amp;INT($AW$1),
  '[1]Hoja 1'!$R:$R, "&lt;"&amp;INT($AX$1+1)
)</f>
        <v>0</v>
      </c>
      <c r="AV30" s="1">
        <f t="shared" si="28"/>
        <v>0</v>
      </c>
      <c r="AW30" s="9">
        <f t="shared" si="29"/>
        <v>-14.47857476662421</v>
      </c>
      <c r="AX30" s="10">
        <f t="shared" si="30"/>
        <v>14.47857476662421</v>
      </c>
    </row>
    <row r="31" spans="1:50" x14ac:dyDescent="0.25">
      <c r="A31" s="5">
        <v>203004</v>
      </c>
      <c r="B31" s="6" t="s">
        <v>28</v>
      </c>
      <c r="C31" s="1">
        <f>SUMIFS(
  '[1]Hoja 1'!$M:$M,
  '[1]Hoja 1'!$S:$S, $A31,
  '[1]Hoja 1'!$R:$R, "&gt;="&amp;INT($E$1),
  '[1]Hoja 1'!$R:$R, "&lt;"&amp;INT($F$1+1)
)</f>
        <v>6</v>
      </c>
      <c r="D31" s="1" t="str">
        <f>""</f>
        <v/>
      </c>
      <c r="F31" s="2"/>
      <c r="G31" s="1">
        <f>SUMIFS(
  '[1]Hoja 1'!$M:$M,
  '[1]Hoja 1'!$S:$S, $A31,
  '[1]Hoja 1'!$R:$R, "&gt;="&amp;INT($I$1),
  '[1]Hoja 1'!$R:$R, "&lt;"&amp;INT($J$1+1)
)</f>
        <v>3</v>
      </c>
      <c r="H31" s="1">
        <f t="shared" si="0"/>
        <v>5</v>
      </c>
      <c r="I31" s="1"/>
      <c r="J31" s="2"/>
      <c r="K31" s="1">
        <f>SUMIFS(
  '[1]Hoja 1'!$M:$M,
  '[1]Hoja 1'!$S:$S, $A31,
  '[1]Hoja 1'!$R:$R, "&gt;="&amp;INT($M$1),
  '[1]Hoja 1'!$R:$R, "&lt;"&amp;INT($N$1+1)
)</f>
        <v>0</v>
      </c>
      <c r="L31" s="1">
        <f t="shared" si="1"/>
        <v>1.5</v>
      </c>
      <c r="M31" s="9">
        <f t="shared" si="2"/>
        <v>1.5</v>
      </c>
      <c r="N31" s="10">
        <f t="shared" si="3"/>
        <v>1.5</v>
      </c>
      <c r="O31" s="1">
        <f>SUMIFS(
  '[1]Hoja 1'!$M:$M,
  '[1]Hoja 1'!$S:$S, $A31,
  '[1]Hoja 1'!$R:$R, "&gt;="&amp;INT($Q$1),
  '[1]Hoja 1'!$R:$R, "&lt;"&amp;INT($R$1+1)
)</f>
        <v>0</v>
      </c>
      <c r="P31" s="1">
        <f t="shared" si="4"/>
        <v>0</v>
      </c>
      <c r="Q31" s="9">
        <f t="shared" si="5"/>
        <v>-1.6974097914174997</v>
      </c>
      <c r="R31" s="10">
        <f t="shared" si="6"/>
        <v>1.6974097914174997</v>
      </c>
      <c r="S31" s="1">
        <f>SUMIFS(
  '[1]Hoja 1'!$M:$M,
  '[1]Hoja 1'!$S:$S, $A31,
  '[1]Hoja 1'!$R:$R, "&gt;="&amp;INT($U$1),
  '[1]Hoja 1'!$R:$R, "&lt;"&amp;INT($V$1+1)
)</f>
        <v>0</v>
      </c>
      <c r="T31" s="1">
        <f t="shared" si="7"/>
        <v>0</v>
      </c>
      <c r="U31" s="9">
        <f t="shared" si="8"/>
        <v>-1.47</v>
      </c>
      <c r="V31" s="10">
        <f t="shared" si="9"/>
        <v>1.47</v>
      </c>
      <c r="W31" s="1">
        <f>SUMIFS(
  '[1]Hoja 1'!$M:$M,
  '[1]Hoja 1'!$S:$S, $A31,
  '[1]Hoja 1'!$R:$R, "&gt;="&amp;INT($Y$1),
  '[1]Hoja 1'!$R:$R, "&lt;"&amp;INT($Z$1+1)
)</f>
        <v>0</v>
      </c>
      <c r="X31" s="1">
        <f t="shared" si="10"/>
        <v>0</v>
      </c>
      <c r="Y31" s="9">
        <f t="shared" si="11"/>
        <v>-1.6103043190651884</v>
      </c>
      <c r="Z31" s="10">
        <f t="shared" si="12"/>
        <v>1.6103043190651884</v>
      </c>
      <c r="AA31" s="1">
        <f>SUMIFS(
  '[1]Hoja 1'!$M:$M,
  '[1]Hoja 1'!$S:$S, $A31,
  '[1]Hoja 1'!$R:$R, "&gt;="&amp;INT($AC$1),
  '[1]Hoja 1'!$R:$R, "&lt;"&amp;INT($AD$1+1)
)</f>
        <v>0</v>
      </c>
      <c r="AB31" s="1">
        <f t="shared" si="13"/>
        <v>0</v>
      </c>
      <c r="AC31" s="9">
        <f t="shared" si="14"/>
        <v>-1.5182094717133074</v>
      </c>
      <c r="AD31" s="10">
        <f t="shared" si="15"/>
        <v>1.5182094717133074</v>
      </c>
      <c r="AE31" s="1">
        <f>SUMIFS(
  '[1]Hoja 1'!$M:$M,
  '[1]Hoja 1'!$S:$S, $A31,
  '[1]Hoja 1'!$R:$R, "&gt;="&amp;INT($AG$1),
  '[1]Hoja 1'!$R:$R, "&lt;"&amp;INT($AH$1+1)
)</f>
        <v>0</v>
      </c>
      <c r="AF31" s="1">
        <f t="shared" si="16"/>
        <v>0</v>
      </c>
      <c r="AG31" s="9">
        <f t="shared" si="17"/>
        <v>-1.4345731072343437</v>
      </c>
      <c r="AH31" s="10">
        <f t="shared" si="18"/>
        <v>1.4345731072343437</v>
      </c>
      <c r="AI31" s="1">
        <f>SUMIFS(
  '[1]Hoja 1'!$M:$M,
  '[1]Hoja 1'!$S:$S, $A31,
  '[1]Hoja 1'!$R:$R, "&gt;="&amp;INT($AK$1),
  '[1]Hoja 1'!$R:$R, "&lt;"&amp;INT($AJ$1+1)
)</f>
        <v>0</v>
      </c>
      <c r="AJ31" s="1">
        <f t="shared" si="19"/>
        <v>0</v>
      </c>
      <c r="AK31" s="9">
        <f t="shared" si="20"/>
        <v>-1.3609555466656507</v>
      </c>
      <c r="AL31" s="10">
        <f t="shared" si="21"/>
        <v>1.3609555466656507</v>
      </c>
      <c r="AM31" s="1">
        <f>SUMIFS(
  '[1]Hoja 1'!$M:$M,
  '[1]Hoja 1'!$S:$S, $A31,
  '[1]Hoja 1'!$R:$R, "&gt;="&amp;INT($AO$1),
  '[1]Hoja 1'!$R:$R, "&lt;"&amp;INT($AP$1+1)
)</f>
        <v>0</v>
      </c>
      <c r="AN31" s="1">
        <f t="shared" si="22"/>
        <v>0</v>
      </c>
      <c r="AO31" s="9">
        <f t="shared" si="23"/>
        <v>-1.2964181424216494</v>
      </c>
      <c r="AP31" s="10">
        <f t="shared" si="24"/>
        <v>1.2964181424216494</v>
      </c>
      <c r="AQ31" s="1">
        <f>SUMIFS(
  '[1]Hoja 1'!$M:$M,
  '[1]Hoja 1'!$S:$S, $A31,
  '[1]Hoja 1'!$R:$R, "&gt;="&amp;INT($AS$1),
  '[1]Hoja 1'!$R:$R, "&lt;"&amp;INT($AT$1+1)
)</f>
        <v>0</v>
      </c>
      <c r="AR31" s="1">
        <f t="shared" si="25"/>
        <v>0</v>
      </c>
      <c r="AS31" s="9">
        <f t="shared" si="26"/>
        <v>-1.2396128427860047</v>
      </c>
      <c r="AT31" s="10">
        <f t="shared" si="27"/>
        <v>1.2396128427860047</v>
      </c>
      <c r="AU31" s="1">
        <f>SUMIFS(
  '[1]Hoja 1'!$M:$M,
  '[1]Hoja 1'!$S:$S, $A31,
  '[1]Hoja 1'!$R:$R, "&gt;="&amp;INT($AW$1),
  '[1]Hoja 1'!$R:$R, "&lt;"&amp;INT($AX$1+1)
)</f>
        <v>0</v>
      </c>
      <c r="AV31" s="1">
        <f t="shared" si="28"/>
        <v>0</v>
      </c>
      <c r="AW31" s="9">
        <f t="shared" si="29"/>
        <v>-1.189288557385159</v>
      </c>
      <c r="AX31" s="10">
        <f t="shared" si="30"/>
        <v>1.189288557385159</v>
      </c>
    </row>
    <row r="32" spans="1:50" x14ac:dyDescent="0.25">
      <c r="A32" s="5">
        <v>203005</v>
      </c>
      <c r="B32" s="6" t="s">
        <v>29</v>
      </c>
      <c r="C32" s="1">
        <f>SUMIFS(
  '[1]Hoja 1'!$M:$M,
  '[1]Hoja 1'!$S:$S, $A32,
  '[1]Hoja 1'!$R:$R, "&gt;="&amp;INT($E$1),
  '[1]Hoja 1'!$R:$R, "&lt;"&amp;INT($F$1+1)
)</f>
        <v>0</v>
      </c>
      <c r="D32" s="1" t="str">
        <f>""</f>
        <v/>
      </c>
      <c r="F32" s="2"/>
      <c r="G32" s="1">
        <f>SUMIFS(
  '[1]Hoja 1'!$M:$M,
  '[1]Hoja 1'!$S:$S, $A32,
  '[1]Hoja 1'!$R:$R, "&gt;="&amp;INT($I$1),
  '[1]Hoja 1'!$R:$R, "&lt;"&amp;INT($J$1+1)
)</f>
        <v>0</v>
      </c>
      <c r="H32" s="1">
        <f t="shared" si="0"/>
        <v>0</v>
      </c>
      <c r="I32" s="1"/>
      <c r="J32" s="2"/>
      <c r="K32" s="1">
        <f>SUMIFS(
  '[1]Hoja 1'!$M:$M,
  '[1]Hoja 1'!$S:$S, $A32,
  '[1]Hoja 1'!$R:$R, "&gt;="&amp;INT($M$1),
  '[1]Hoja 1'!$R:$R, "&lt;"&amp;INT($N$1+1)
)</f>
        <v>0</v>
      </c>
      <c r="L32" s="1">
        <f t="shared" si="1"/>
        <v>0</v>
      </c>
      <c r="M32" s="9">
        <f t="shared" si="2"/>
        <v>0</v>
      </c>
      <c r="N32" s="10">
        <f t="shared" si="3"/>
        <v>0</v>
      </c>
      <c r="O32" s="1">
        <f>SUMIFS(
  '[1]Hoja 1'!$M:$M,
  '[1]Hoja 1'!$S:$S, $A32,
  '[1]Hoja 1'!$R:$R, "&gt;="&amp;INT($Q$1),
  '[1]Hoja 1'!$R:$R, "&lt;"&amp;INT($R$1+1)
)</f>
        <v>0</v>
      </c>
      <c r="P32" s="1">
        <f t="shared" si="4"/>
        <v>0</v>
      </c>
      <c r="Q32" s="9">
        <f t="shared" si="5"/>
        <v>0</v>
      </c>
      <c r="R32" s="10">
        <f t="shared" si="6"/>
        <v>0</v>
      </c>
      <c r="S32" s="1">
        <f>SUMIFS(
  '[1]Hoja 1'!$M:$M,
  '[1]Hoja 1'!$S:$S, $A32,
  '[1]Hoja 1'!$R:$R, "&gt;="&amp;INT($U$1),
  '[1]Hoja 1'!$R:$R, "&lt;"&amp;INT($V$1+1)
)</f>
        <v>0</v>
      </c>
      <c r="T32" s="1">
        <f t="shared" si="7"/>
        <v>0</v>
      </c>
      <c r="U32" s="9">
        <f t="shared" si="8"/>
        <v>-1.47</v>
      </c>
      <c r="V32" s="10">
        <f t="shared" si="9"/>
        <v>1.47</v>
      </c>
      <c r="W32" s="1">
        <f>SUMIFS(
  '[1]Hoja 1'!$M:$M,
  '[1]Hoja 1'!$S:$S, $A32,
  '[1]Hoja 1'!$R:$R, "&gt;="&amp;INT($Y$1),
  '[1]Hoja 1'!$R:$R, "&lt;"&amp;INT($Z$1+1)
)</f>
        <v>0</v>
      </c>
      <c r="X32" s="1">
        <f t="shared" si="10"/>
        <v>0</v>
      </c>
      <c r="Y32" s="9">
        <f t="shared" si="11"/>
        <v>0</v>
      </c>
      <c r="Z32" s="10">
        <f t="shared" si="12"/>
        <v>0</v>
      </c>
      <c r="AA32" s="1">
        <f>SUMIFS(
  '[1]Hoja 1'!$M:$M,
  '[1]Hoja 1'!$S:$S, $A32,
  '[1]Hoja 1'!$R:$R, "&gt;="&amp;INT($AC$1),
  '[1]Hoja 1'!$R:$R, "&lt;"&amp;INT($AD$1+1)
)</f>
        <v>0</v>
      </c>
      <c r="AB32" s="1">
        <f t="shared" si="13"/>
        <v>0</v>
      </c>
      <c r="AC32" s="9">
        <f t="shared" si="14"/>
        <v>0</v>
      </c>
      <c r="AD32" s="10">
        <f t="shared" si="15"/>
        <v>0</v>
      </c>
      <c r="AE32" s="1">
        <f>SUMIFS(
  '[1]Hoja 1'!$M:$M,
  '[1]Hoja 1'!$S:$S, $A32,
  '[1]Hoja 1'!$R:$R, "&gt;="&amp;INT($AG$1),
  '[1]Hoja 1'!$R:$R, "&lt;"&amp;INT($AH$1+1)
)</f>
        <v>0</v>
      </c>
      <c r="AF32" s="1">
        <f t="shared" si="16"/>
        <v>0</v>
      </c>
      <c r="AG32" s="9">
        <f t="shared" si="17"/>
        <v>0</v>
      </c>
      <c r="AH32" s="10">
        <f t="shared" si="18"/>
        <v>0</v>
      </c>
      <c r="AI32" s="1">
        <f>SUMIFS(
  '[1]Hoja 1'!$M:$M,
  '[1]Hoja 1'!$S:$S, $A32,
  '[1]Hoja 1'!$R:$R, "&gt;="&amp;INT($AK$1),
  '[1]Hoja 1'!$R:$R, "&lt;"&amp;INT($AJ$1+1)
)</f>
        <v>0</v>
      </c>
      <c r="AJ32" s="1">
        <f t="shared" si="19"/>
        <v>0</v>
      </c>
      <c r="AK32" s="9">
        <f t="shared" si="20"/>
        <v>0</v>
      </c>
      <c r="AL32" s="10">
        <f t="shared" si="21"/>
        <v>0</v>
      </c>
      <c r="AM32" s="1">
        <f>SUMIFS(
  '[1]Hoja 1'!$M:$M,
  '[1]Hoja 1'!$S:$S, $A32,
  '[1]Hoja 1'!$R:$R, "&gt;="&amp;INT($AO$1),
  '[1]Hoja 1'!$R:$R, "&lt;"&amp;INT($AP$1+1)
)</f>
        <v>0</v>
      </c>
      <c r="AN32" s="1">
        <f t="shared" si="22"/>
        <v>0</v>
      </c>
      <c r="AO32" s="9">
        <f t="shared" si="23"/>
        <v>0</v>
      </c>
      <c r="AP32" s="10">
        <f t="shared" si="24"/>
        <v>0</v>
      </c>
      <c r="AQ32" s="1">
        <f>SUMIFS(
  '[1]Hoja 1'!$M:$M,
  '[1]Hoja 1'!$S:$S, $A32,
  '[1]Hoja 1'!$R:$R, "&gt;="&amp;INT($AS$1),
  '[1]Hoja 1'!$R:$R, "&lt;"&amp;INT($AT$1+1)
)</f>
        <v>0</v>
      </c>
      <c r="AR32" s="1">
        <f t="shared" si="25"/>
        <v>0</v>
      </c>
      <c r="AS32" s="9">
        <f t="shared" si="26"/>
        <v>0</v>
      </c>
      <c r="AT32" s="10">
        <f t="shared" si="27"/>
        <v>0</v>
      </c>
      <c r="AU32" s="1">
        <f>SUMIFS(
  '[1]Hoja 1'!$M:$M,
  '[1]Hoja 1'!$S:$S, $A32,
  '[1]Hoja 1'!$R:$R, "&gt;="&amp;INT($AW$1),
  '[1]Hoja 1'!$R:$R, "&lt;"&amp;INT($AX$1+1)
)</f>
        <v>0</v>
      </c>
      <c r="AV32" s="1">
        <f t="shared" si="28"/>
        <v>0</v>
      </c>
      <c r="AW32" s="9">
        <f t="shared" si="29"/>
        <v>0</v>
      </c>
      <c r="AX32" s="10">
        <f t="shared" si="30"/>
        <v>0</v>
      </c>
    </row>
    <row r="33" spans="1:50" x14ac:dyDescent="0.25">
      <c r="A33" s="5">
        <v>203006</v>
      </c>
      <c r="B33" s="6" t="s">
        <v>30</v>
      </c>
      <c r="C33" s="1">
        <f>SUMIFS(
  '[1]Hoja 1'!$M:$M,
  '[1]Hoja 1'!$S:$S, $A33,
  '[1]Hoja 1'!$R:$R, "&gt;="&amp;INT($E$1),
  '[1]Hoja 1'!$R:$R, "&lt;"&amp;INT($F$1+1)
)</f>
        <v>0</v>
      </c>
      <c r="D33" s="1" t="str">
        <f>""</f>
        <v/>
      </c>
      <c r="F33" s="2"/>
      <c r="G33" s="1">
        <f>SUMIFS(
  '[1]Hoja 1'!$M:$M,
  '[1]Hoja 1'!$S:$S, $A33,
  '[1]Hoja 1'!$R:$R, "&gt;="&amp;INT($I$1),
  '[1]Hoja 1'!$R:$R, "&lt;"&amp;INT($J$1+1)
)</f>
        <v>0</v>
      </c>
      <c r="H33" s="1">
        <f t="shared" si="0"/>
        <v>0</v>
      </c>
      <c r="I33" s="1"/>
      <c r="J33" s="2"/>
      <c r="K33" s="1">
        <f>SUMIFS(
  '[1]Hoja 1'!$M:$M,
  '[1]Hoja 1'!$S:$S, $A33,
  '[1]Hoja 1'!$R:$R, "&gt;="&amp;INT($M$1),
  '[1]Hoja 1'!$R:$R, "&lt;"&amp;INT($N$1+1)
)</f>
        <v>0</v>
      </c>
      <c r="L33" s="1">
        <f t="shared" si="1"/>
        <v>0</v>
      </c>
      <c r="M33" s="9">
        <f t="shared" si="2"/>
        <v>0</v>
      </c>
      <c r="N33" s="10">
        <f t="shared" si="3"/>
        <v>0</v>
      </c>
      <c r="O33" s="1">
        <f>SUMIFS(
  '[1]Hoja 1'!$M:$M,
  '[1]Hoja 1'!$S:$S, $A33,
  '[1]Hoja 1'!$R:$R, "&gt;="&amp;INT($Q$1),
  '[1]Hoja 1'!$R:$R, "&lt;"&amp;INT($R$1+1)
)</f>
        <v>0</v>
      </c>
      <c r="P33" s="1">
        <f t="shared" si="4"/>
        <v>0</v>
      </c>
      <c r="Q33" s="9">
        <f t="shared" si="5"/>
        <v>0</v>
      </c>
      <c r="R33" s="10">
        <f t="shared" si="6"/>
        <v>0</v>
      </c>
      <c r="S33" s="1">
        <f>SUMIFS(
  '[1]Hoja 1'!$M:$M,
  '[1]Hoja 1'!$S:$S, $A33,
  '[1]Hoja 1'!$R:$R, "&gt;="&amp;INT($U$1),
  '[1]Hoja 1'!$R:$R, "&lt;"&amp;INT($V$1+1)
)</f>
        <v>0</v>
      </c>
      <c r="T33" s="1">
        <f t="shared" si="7"/>
        <v>0</v>
      </c>
      <c r="U33" s="9">
        <f t="shared" si="8"/>
        <v>-1.47</v>
      </c>
      <c r="V33" s="10">
        <f t="shared" si="9"/>
        <v>1.47</v>
      </c>
      <c r="W33" s="1">
        <f>SUMIFS(
  '[1]Hoja 1'!$M:$M,
  '[1]Hoja 1'!$S:$S, $A33,
  '[1]Hoja 1'!$R:$R, "&gt;="&amp;INT($Y$1),
  '[1]Hoja 1'!$R:$R, "&lt;"&amp;INT($Z$1+1)
)</f>
        <v>0</v>
      </c>
      <c r="X33" s="1">
        <f t="shared" si="10"/>
        <v>0</v>
      </c>
      <c r="Y33" s="9">
        <f t="shared" si="11"/>
        <v>0</v>
      </c>
      <c r="Z33" s="10">
        <f t="shared" si="12"/>
        <v>0</v>
      </c>
      <c r="AA33" s="1">
        <f>SUMIFS(
  '[1]Hoja 1'!$M:$M,
  '[1]Hoja 1'!$S:$S, $A33,
  '[1]Hoja 1'!$R:$R, "&gt;="&amp;INT($AC$1),
  '[1]Hoja 1'!$R:$R, "&lt;"&amp;INT($AD$1+1)
)</f>
        <v>0</v>
      </c>
      <c r="AB33" s="1">
        <f t="shared" si="13"/>
        <v>0</v>
      </c>
      <c r="AC33" s="9">
        <f t="shared" si="14"/>
        <v>0</v>
      </c>
      <c r="AD33" s="10">
        <f t="shared" si="15"/>
        <v>0</v>
      </c>
      <c r="AE33" s="1">
        <f>SUMIFS(
  '[1]Hoja 1'!$M:$M,
  '[1]Hoja 1'!$S:$S, $A33,
  '[1]Hoja 1'!$R:$R, "&gt;="&amp;INT($AG$1),
  '[1]Hoja 1'!$R:$R, "&lt;"&amp;INT($AH$1+1)
)</f>
        <v>0</v>
      </c>
      <c r="AF33" s="1">
        <f t="shared" si="16"/>
        <v>0</v>
      </c>
      <c r="AG33" s="9">
        <f t="shared" si="17"/>
        <v>0</v>
      </c>
      <c r="AH33" s="10">
        <f t="shared" si="18"/>
        <v>0</v>
      </c>
      <c r="AI33" s="1">
        <f>SUMIFS(
  '[1]Hoja 1'!$M:$M,
  '[1]Hoja 1'!$S:$S, $A33,
  '[1]Hoja 1'!$R:$R, "&gt;="&amp;INT($AK$1),
  '[1]Hoja 1'!$R:$R, "&lt;"&amp;INT($AJ$1+1)
)</f>
        <v>0</v>
      </c>
      <c r="AJ33" s="1">
        <f t="shared" si="19"/>
        <v>0</v>
      </c>
      <c r="AK33" s="9">
        <f t="shared" si="20"/>
        <v>0</v>
      </c>
      <c r="AL33" s="10">
        <f t="shared" si="21"/>
        <v>0</v>
      </c>
      <c r="AM33" s="1">
        <f>SUMIFS(
  '[1]Hoja 1'!$M:$M,
  '[1]Hoja 1'!$S:$S, $A33,
  '[1]Hoja 1'!$R:$R, "&gt;="&amp;INT($AO$1),
  '[1]Hoja 1'!$R:$R, "&lt;"&amp;INT($AP$1+1)
)</f>
        <v>0</v>
      </c>
      <c r="AN33" s="1">
        <f t="shared" si="22"/>
        <v>0</v>
      </c>
      <c r="AO33" s="9">
        <f t="shared" si="23"/>
        <v>0</v>
      </c>
      <c r="AP33" s="10">
        <f t="shared" si="24"/>
        <v>0</v>
      </c>
      <c r="AQ33" s="1">
        <f>SUMIFS(
  '[1]Hoja 1'!$M:$M,
  '[1]Hoja 1'!$S:$S, $A33,
  '[1]Hoja 1'!$R:$R, "&gt;="&amp;INT($AS$1),
  '[1]Hoja 1'!$R:$R, "&lt;"&amp;INT($AT$1+1)
)</f>
        <v>0</v>
      </c>
      <c r="AR33" s="1">
        <f t="shared" si="25"/>
        <v>0</v>
      </c>
      <c r="AS33" s="9">
        <f t="shared" si="26"/>
        <v>0</v>
      </c>
      <c r="AT33" s="10">
        <f t="shared" si="27"/>
        <v>0</v>
      </c>
      <c r="AU33" s="1">
        <f>SUMIFS(
  '[1]Hoja 1'!$M:$M,
  '[1]Hoja 1'!$S:$S, $A33,
  '[1]Hoja 1'!$R:$R, "&gt;="&amp;INT($AW$1),
  '[1]Hoja 1'!$R:$R, "&lt;"&amp;INT($AX$1+1)
)</f>
        <v>0</v>
      </c>
      <c r="AV33" s="1">
        <f t="shared" si="28"/>
        <v>0</v>
      </c>
      <c r="AW33" s="9">
        <f t="shared" si="29"/>
        <v>0</v>
      </c>
      <c r="AX33" s="10">
        <f t="shared" si="30"/>
        <v>0</v>
      </c>
    </row>
    <row r="34" spans="1:50" x14ac:dyDescent="0.25">
      <c r="A34" s="5">
        <v>205004</v>
      </c>
      <c r="B34" s="6" t="s">
        <v>31</v>
      </c>
      <c r="C34" s="1">
        <f>SUMIFS(
  '[1]Hoja 1'!$M:$M,
  '[1]Hoja 1'!$S:$S, $A34,
  '[1]Hoja 1'!$R:$R, "&gt;="&amp;INT($E$1),
  '[1]Hoja 1'!$R:$R, "&lt;"&amp;INT($F$1+1)
)</f>
        <v>2</v>
      </c>
      <c r="D34" s="1" t="str">
        <f>""</f>
        <v/>
      </c>
      <c r="F34" s="2"/>
      <c r="G34" s="1">
        <f>SUMIFS(
  '[1]Hoja 1'!$M:$M,
  '[1]Hoja 1'!$S:$S, $A34,
  '[1]Hoja 1'!$R:$R, "&gt;="&amp;INT($I$1),
  '[1]Hoja 1'!$R:$R, "&lt;"&amp;INT($J$1+1)
)</f>
        <v>3</v>
      </c>
      <c r="H34" s="1">
        <f t="shared" si="0"/>
        <v>3</v>
      </c>
      <c r="I34" s="1"/>
      <c r="J34" s="2"/>
      <c r="K34" s="1">
        <f>SUMIFS(
  '[1]Hoja 1'!$M:$M,
  '[1]Hoja 1'!$S:$S, $A34,
  '[1]Hoja 1'!$R:$R, "&gt;="&amp;INT($M$1),
  '[1]Hoja 1'!$R:$R, "&lt;"&amp;INT($N$1+1)
)</f>
        <v>0</v>
      </c>
      <c r="L34" s="1">
        <f t="shared" si="1"/>
        <v>1.5</v>
      </c>
      <c r="M34" s="9">
        <f t="shared" si="2"/>
        <v>-1.2718585822512662</v>
      </c>
      <c r="N34" s="10">
        <f t="shared" si="3"/>
        <v>4.2718585822512658</v>
      </c>
      <c r="O34" s="1">
        <f>SUMIFS(
  '[1]Hoja 1'!$M:$M,
  '[1]Hoja 1'!$S:$S, $A34,
  '[1]Hoja 1'!$R:$R, "&gt;="&amp;INT($Q$1),
  '[1]Hoja 1'!$R:$R, "&lt;"&amp;INT($R$1+1)
)</f>
        <v>0</v>
      </c>
      <c r="P34" s="1">
        <f t="shared" si="4"/>
        <v>0</v>
      </c>
      <c r="Q34" s="9">
        <f t="shared" si="5"/>
        <v>-2.04003267947681</v>
      </c>
      <c r="R34" s="10">
        <f t="shared" si="6"/>
        <v>2.04003267947681</v>
      </c>
      <c r="S34" s="1">
        <f>SUMIFS(
  '[1]Hoja 1'!$M:$M,
  '[1]Hoja 1'!$S:$S, $A34,
  '[1]Hoja 1'!$R:$R, "&gt;="&amp;INT($U$1),
  '[1]Hoja 1'!$R:$R, "&lt;"&amp;INT($V$1+1)
)</f>
        <v>0</v>
      </c>
      <c r="T34" s="1">
        <f t="shared" si="7"/>
        <v>0</v>
      </c>
      <c r="U34" s="9">
        <f t="shared" si="8"/>
        <v>-2.0203217565526534</v>
      </c>
      <c r="V34" s="10">
        <f t="shared" si="9"/>
        <v>2.0203217565526534</v>
      </c>
      <c r="W34" s="1">
        <f>SUMIFS(
  '[1]Hoja 1'!$M:$M,
  '[1]Hoja 1'!$S:$S, $A34,
  '[1]Hoja 1'!$R:$R, "&gt;="&amp;INT($Y$1),
  '[1]Hoja 1'!$R:$R, "&lt;"&amp;INT($Z$1+1)
)</f>
        <v>0</v>
      </c>
      <c r="X34" s="1">
        <f t="shared" si="10"/>
        <v>0</v>
      </c>
      <c r="Y34" s="9">
        <f t="shared" si="11"/>
        <v>-1.4862435870341038</v>
      </c>
      <c r="Z34" s="10">
        <f t="shared" si="12"/>
        <v>1.4862435870341038</v>
      </c>
      <c r="AA34" s="1">
        <f>SUMIFS(
  '[1]Hoja 1'!$M:$M,
  '[1]Hoja 1'!$S:$S, $A34,
  '[1]Hoja 1'!$R:$R, "&gt;="&amp;INT($AC$1),
  '[1]Hoja 1'!$R:$R, "&lt;"&amp;INT($AD$1+1)
)</f>
        <v>0</v>
      </c>
      <c r="AB34" s="1">
        <f t="shared" si="13"/>
        <v>0</v>
      </c>
      <c r="AC34" s="9">
        <f t="shared" si="14"/>
        <v>-1.3389349000853874</v>
      </c>
      <c r="AD34" s="10">
        <f t="shared" si="15"/>
        <v>1.3389349000853874</v>
      </c>
      <c r="AE34" s="1">
        <f>SUMIFS(
  '[1]Hoja 1'!$M:$M,
  '[1]Hoja 1'!$S:$S, $A34,
  '[1]Hoja 1'!$R:$R, "&gt;="&amp;INT($AG$1),
  '[1]Hoja 1'!$R:$R, "&lt;"&amp;INT($AH$1+1)
)</f>
        <v>0</v>
      </c>
      <c r="AF34" s="1">
        <f t="shared" si="16"/>
        <v>0</v>
      </c>
      <c r="AG34" s="9">
        <f t="shared" si="17"/>
        <v>-1.2284950142348969</v>
      </c>
      <c r="AH34" s="10">
        <f t="shared" si="18"/>
        <v>1.2284950142348969</v>
      </c>
      <c r="AI34" s="1">
        <f>SUMIFS(
  '[1]Hoja 1'!$M:$M,
  '[1]Hoja 1'!$S:$S, $A34,
  '[1]Hoja 1'!$R:$R, "&gt;="&amp;INT($AK$1),
  '[1]Hoja 1'!$R:$R, "&lt;"&amp;INT($AJ$1+1)
)</f>
        <v>0</v>
      </c>
      <c r="AJ34" s="1">
        <f t="shared" si="19"/>
        <v>0</v>
      </c>
      <c r="AK34" s="9">
        <f t="shared" si="20"/>
        <v>-1.1416654501210064</v>
      </c>
      <c r="AL34" s="10">
        <f t="shared" si="21"/>
        <v>1.1416654501210064</v>
      </c>
      <c r="AM34" s="1">
        <f>SUMIFS(
  '[1]Hoja 1'!$M:$M,
  '[1]Hoja 1'!$S:$S, $A34,
  '[1]Hoja 1'!$R:$R, "&gt;="&amp;INT($AO$1),
  '[1]Hoja 1'!$R:$R, "&lt;"&amp;INT($AP$1+1)
)</f>
        <v>0</v>
      </c>
      <c r="AN34" s="1">
        <f t="shared" si="22"/>
        <v>0</v>
      </c>
      <c r="AO34" s="9">
        <f t="shared" si="23"/>
        <v>-1.0710482923026601</v>
      </c>
      <c r="AP34" s="10">
        <f t="shared" si="24"/>
        <v>1.0710482923026601</v>
      </c>
      <c r="AQ34" s="1">
        <f>SUMIFS(
  '[1]Hoja 1'!$M:$M,
  '[1]Hoja 1'!$S:$S, $A34,
  '[1]Hoja 1'!$R:$R, "&gt;="&amp;INT($AS$1),
  '[1]Hoja 1'!$R:$R, "&lt;"&amp;INT($AT$1+1)
)</f>
        <v>0</v>
      </c>
      <c r="AR34" s="1">
        <f t="shared" si="25"/>
        <v>0</v>
      </c>
      <c r="AS34" s="9">
        <f t="shared" si="26"/>
        <v>-1.0121396478088716</v>
      </c>
      <c r="AT34" s="10">
        <f t="shared" si="27"/>
        <v>1.0121396478088716</v>
      </c>
      <c r="AU34" s="1">
        <f>SUMIFS(
  '[1]Hoja 1'!$M:$M,
  '[1]Hoja 1'!$S:$S, $A34,
  '[1]Hoja 1'!$R:$R, "&gt;="&amp;INT($AW$1),
  '[1]Hoja 1'!$R:$R, "&lt;"&amp;INT($AX$1+1)
)</f>
        <v>0</v>
      </c>
      <c r="AV34" s="1">
        <f t="shared" si="28"/>
        <v>0</v>
      </c>
      <c r="AW34" s="9">
        <f t="shared" si="29"/>
        <v>-0.96201682086976192</v>
      </c>
      <c r="AX34" s="10">
        <f t="shared" si="30"/>
        <v>0.96201682086976192</v>
      </c>
    </row>
    <row r="35" spans="1:50" x14ac:dyDescent="0.25">
      <c r="A35" s="5">
        <v>205005</v>
      </c>
      <c r="B35" s="6" t="s">
        <v>32</v>
      </c>
      <c r="C35" s="1">
        <f>SUMIFS(
  '[1]Hoja 1'!$M:$M,
  '[1]Hoja 1'!$S:$S, $A35,
  '[1]Hoja 1'!$R:$R, "&gt;="&amp;INT($E$1),
  '[1]Hoja 1'!$R:$R, "&lt;"&amp;INT($F$1+1)
)</f>
        <v>0</v>
      </c>
      <c r="D35" s="1" t="str">
        <f>""</f>
        <v/>
      </c>
      <c r="F35" s="2"/>
      <c r="G35" s="1">
        <f>SUMIFS(
  '[1]Hoja 1'!$M:$M,
  '[1]Hoja 1'!$S:$S, $A35,
  '[1]Hoja 1'!$R:$R, "&gt;="&amp;INT($I$1),
  '[1]Hoja 1'!$R:$R, "&lt;"&amp;INT($J$1+1)
)</f>
        <v>0</v>
      </c>
      <c r="H35" s="1">
        <f t="shared" si="0"/>
        <v>0</v>
      </c>
      <c r="I35" s="1"/>
      <c r="J35" s="2"/>
      <c r="K35" s="1">
        <f>SUMIFS(
  '[1]Hoja 1'!$M:$M,
  '[1]Hoja 1'!$S:$S, $A35,
  '[1]Hoja 1'!$R:$R, "&gt;="&amp;INT($M$1),
  '[1]Hoja 1'!$R:$R, "&lt;"&amp;INT($N$1+1)
)</f>
        <v>0</v>
      </c>
      <c r="L35" s="1">
        <f t="shared" si="1"/>
        <v>0</v>
      </c>
      <c r="M35" s="9">
        <f t="shared" si="2"/>
        <v>0</v>
      </c>
      <c r="N35" s="10">
        <f t="shared" si="3"/>
        <v>0</v>
      </c>
      <c r="O35" s="1">
        <f>SUMIFS(
  '[1]Hoja 1'!$M:$M,
  '[1]Hoja 1'!$S:$S, $A35,
  '[1]Hoja 1'!$R:$R, "&gt;="&amp;INT($Q$1),
  '[1]Hoja 1'!$R:$R, "&lt;"&amp;INT($R$1+1)
)</f>
        <v>0</v>
      </c>
      <c r="P35" s="1">
        <f t="shared" si="4"/>
        <v>0</v>
      </c>
      <c r="Q35" s="9">
        <f t="shared" si="5"/>
        <v>0</v>
      </c>
      <c r="R35" s="10">
        <f t="shared" si="6"/>
        <v>0</v>
      </c>
      <c r="S35" s="1">
        <f>SUMIFS(
  '[1]Hoja 1'!$M:$M,
  '[1]Hoja 1'!$S:$S, $A35,
  '[1]Hoja 1'!$R:$R, "&gt;="&amp;INT($U$1),
  '[1]Hoja 1'!$R:$R, "&lt;"&amp;INT($V$1+1)
)</f>
        <v>0</v>
      </c>
      <c r="T35" s="1">
        <f t="shared" si="7"/>
        <v>0</v>
      </c>
      <c r="U35" s="9">
        <f t="shared" si="8"/>
        <v>-1.47</v>
      </c>
      <c r="V35" s="10">
        <f t="shared" si="9"/>
        <v>1.47</v>
      </c>
      <c r="W35" s="1">
        <f>SUMIFS(
  '[1]Hoja 1'!$M:$M,
  '[1]Hoja 1'!$S:$S, $A35,
  '[1]Hoja 1'!$R:$R, "&gt;="&amp;INT($Y$1),
  '[1]Hoja 1'!$R:$R, "&lt;"&amp;INT($Z$1+1)
)</f>
        <v>0</v>
      </c>
      <c r="X35" s="1">
        <f t="shared" si="10"/>
        <v>0</v>
      </c>
      <c r="Y35" s="9">
        <f t="shared" si="11"/>
        <v>0</v>
      </c>
      <c r="Z35" s="10">
        <f t="shared" si="12"/>
        <v>0</v>
      </c>
      <c r="AA35" s="1">
        <f>SUMIFS(
  '[1]Hoja 1'!$M:$M,
  '[1]Hoja 1'!$S:$S, $A35,
  '[1]Hoja 1'!$R:$R, "&gt;="&amp;INT($AC$1),
  '[1]Hoja 1'!$R:$R, "&lt;"&amp;INT($AD$1+1)
)</f>
        <v>0</v>
      </c>
      <c r="AB35" s="1">
        <f t="shared" si="13"/>
        <v>0</v>
      </c>
      <c r="AC35" s="9">
        <f t="shared" si="14"/>
        <v>0</v>
      </c>
      <c r="AD35" s="10">
        <f t="shared" si="15"/>
        <v>0</v>
      </c>
      <c r="AE35" s="1">
        <f>SUMIFS(
  '[1]Hoja 1'!$M:$M,
  '[1]Hoja 1'!$S:$S, $A35,
  '[1]Hoja 1'!$R:$R, "&gt;="&amp;INT($AG$1),
  '[1]Hoja 1'!$R:$R, "&lt;"&amp;INT($AH$1+1)
)</f>
        <v>0</v>
      </c>
      <c r="AF35" s="1">
        <f t="shared" si="16"/>
        <v>0</v>
      </c>
      <c r="AG35" s="9">
        <f t="shared" si="17"/>
        <v>0</v>
      </c>
      <c r="AH35" s="10">
        <f t="shared" si="18"/>
        <v>0</v>
      </c>
      <c r="AI35" s="1">
        <f>SUMIFS(
  '[1]Hoja 1'!$M:$M,
  '[1]Hoja 1'!$S:$S, $A35,
  '[1]Hoja 1'!$R:$R, "&gt;="&amp;INT($AK$1),
  '[1]Hoja 1'!$R:$R, "&lt;"&amp;INT($AJ$1+1)
)</f>
        <v>0</v>
      </c>
      <c r="AJ35" s="1">
        <f t="shared" si="19"/>
        <v>0</v>
      </c>
      <c r="AK35" s="9">
        <f t="shared" si="20"/>
        <v>0</v>
      </c>
      <c r="AL35" s="10">
        <f t="shared" si="21"/>
        <v>0</v>
      </c>
      <c r="AM35" s="1">
        <f>SUMIFS(
  '[1]Hoja 1'!$M:$M,
  '[1]Hoja 1'!$S:$S, $A35,
  '[1]Hoja 1'!$R:$R, "&gt;="&amp;INT($AO$1),
  '[1]Hoja 1'!$R:$R, "&lt;"&amp;INT($AP$1+1)
)</f>
        <v>0</v>
      </c>
      <c r="AN35" s="1">
        <f t="shared" si="22"/>
        <v>0</v>
      </c>
      <c r="AO35" s="9">
        <f t="shared" si="23"/>
        <v>0</v>
      </c>
      <c r="AP35" s="10">
        <f t="shared" si="24"/>
        <v>0</v>
      </c>
      <c r="AQ35" s="1">
        <f>SUMIFS(
  '[1]Hoja 1'!$M:$M,
  '[1]Hoja 1'!$S:$S, $A35,
  '[1]Hoja 1'!$R:$R, "&gt;="&amp;INT($AS$1),
  '[1]Hoja 1'!$R:$R, "&lt;"&amp;INT($AT$1+1)
)</f>
        <v>0</v>
      </c>
      <c r="AR35" s="1">
        <f t="shared" si="25"/>
        <v>0</v>
      </c>
      <c r="AS35" s="9">
        <f t="shared" si="26"/>
        <v>0</v>
      </c>
      <c r="AT35" s="10">
        <f t="shared" si="27"/>
        <v>0</v>
      </c>
      <c r="AU35" s="1">
        <f>SUMIFS(
  '[1]Hoja 1'!$M:$M,
  '[1]Hoja 1'!$S:$S, $A35,
  '[1]Hoja 1'!$R:$R, "&gt;="&amp;INT($AW$1),
  '[1]Hoja 1'!$R:$R, "&lt;"&amp;INT($AX$1+1)
)</f>
        <v>0</v>
      </c>
      <c r="AV35" s="1">
        <f t="shared" si="28"/>
        <v>0</v>
      </c>
      <c r="AW35" s="9">
        <f t="shared" si="29"/>
        <v>0</v>
      </c>
      <c r="AX35" s="10">
        <f t="shared" si="30"/>
        <v>0</v>
      </c>
    </row>
    <row r="36" spans="1:50" x14ac:dyDescent="0.25">
      <c r="A36" s="5">
        <v>206001</v>
      </c>
      <c r="B36" s="6" t="s">
        <v>33</v>
      </c>
      <c r="C36" s="1">
        <f>SUMIFS(
  '[1]Hoja 1'!$M:$M,
  '[1]Hoja 1'!$S:$S, $A36,
  '[1]Hoja 1'!$R:$R, "&gt;="&amp;INT($E$1),
  '[1]Hoja 1'!$R:$R, "&lt;"&amp;INT($F$1+1)
)</f>
        <v>0</v>
      </c>
      <c r="D36" s="1" t="str">
        <f>""</f>
        <v/>
      </c>
      <c r="F36" s="2"/>
      <c r="G36" s="1">
        <f>SUMIFS(
  '[1]Hoja 1'!$M:$M,
  '[1]Hoja 1'!$S:$S, $A36,
  '[1]Hoja 1'!$R:$R, "&gt;="&amp;INT($I$1),
  '[1]Hoja 1'!$R:$R, "&lt;"&amp;INT($J$1+1)
)</f>
        <v>0</v>
      </c>
      <c r="H36" s="1">
        <f t="shared" si="0"/>
        <v>0</v>
      </c>
      <c r="I36" s="1"/>
      <c r="J36" s="2"/>
      <c r="K36" s="1">
        <f>SUMIFS(
  '[1]Hoja 1'!$M:$M,
  '[1]Hoja 1'!$S:$S, $A36,
  '[1]Hoja 1'!$R:$R, "&gt;="&amp;INT($M$1),
  '[1]Hoja 1'!$R:$R, "&lt;"&amp;INT($N$1+1)
)</f>
        <v>0</v>
      </c>
      <c r="L36" s="1">
        <f t="shared" si="1"/>
        <v>0</v>
      </c>
      <c r="M36" s="9">
        <f t="shared" si="2"/>
        <v>0</v>
      </c>
      <c r="N36" s="10">
        <f t="shared" si="3"/>
        <v>0</v>
      </c>
      <c r="O36" s="1">
        <f>SUMIFS(
  '[1]Hoja 1'!$M:$M,
  '[1]Hoja 1'!$S:$S, $A36,
  '[1]Hoja 1'!$R:$R, "&gt;="&amp;INT($Q$1),
  '[1]Hoja 1'!$R:$R, "&lt;"&amp;INT($R$1+1)
)</f>
        <v>0</v>
      </c>
      <c r="P36" s="1">
        <f t="shared" si="4"/>
        <v>0</v>
      </c>
      <c r="Q36" s="9">
        <f t="shared" si="5"/>
        <v>0</v>
      </c>
      <c r="R36" s="10">
        <f t="shared" si="6"/>
        <v>0</v>
      </c>
      <c r="S36" s="1">
        <f>SUMIFS(
  '[1]Hoja 1'!$M:$M,
  '[1]Hoja 1'!$S:$S, $A36,
  '[1]Hoja 1'!$R:$R, "&gt;="&amp;INT($U$1),
  '[1]Hoja 1'!$R:$R, "&lt;"&amp;INT($V$1+1)
)</f>
        <v>0</v>
      </c>
      <c r="T36" s="1">
        <f t="shared" si="7"/>
        <v>0</v>
      </c>
      <c r="U36" s="9">
        <f t="shared" si="8"/>
        <v>-1.47</v>
      </c>
      <c r="V36" s="10">
        <f t="shared" si="9"/>
        <v>1.47</v>
      </c>
      <c r="W36" s="1">
        <f>SUMIFS(
  '[1]Hoja 1'!$M:$M,
  '[1]Hoja 1'!$S:$S, $A36,
  '[1]Hoja 1'!$R:$R, "&gt;="&amp;INT($Y$1),
  '[1]Hoja 1'!$R:$R, "&lt;"&amp;INT($Z$1+1)
)</f>
        <v>0</v>
      </c>
      <c r="X36" s="1">
        <f t="shared" si="10"/>
        <v>0</v>
      </c>
      <c r="Y36" s="9">
        <f t="shared" si="11"/>
        <v>0</v>
      </c>
      <c r="Z36" s="10">
        <f t="shared" si="12"/>
        <v>0</v>
      </c>
      <c r="AA36" s="1">
        <f>SUMIFS(
  '[1]Hoja 1'!$M:$M,
  '[1]Hoja 1'!$S:$S, $A36,
  '[1]Hoja 1'!$R:$R, "&gt;="&amp;INT($AC$1),
  '[1]Hoja 1'!$R:$R, "&lt;"&amp;INT($AD$1+1)
)</f>
        <v>0</v>
      </c>
      <c r="AB36" s="1">
        <f t="shared" si="13"/>
        <v>0</v>
      </c>
      <c r="AC36" s="9">
        <f t="shared" si="14"/>
        <v>0</v>
      </c>
      <c r="AD36" s="10">
        <f t="shared" si="15"/>
        <v>0</v>
      </c>
      <c r="AE36" s="1">
        <f>SUMIFS(
  '[1]Hoja 1'!$M:$M,
  '[1]Hoja 1'!$S:$S, $A36,
  '[1]Hoja 1'!$R:$R, "&gt;="&amp;INT($AG$1),
  '[1]Hoja 1'!$R:$R, "&lt;"&amp;INT($AH$1+1)
)</f>
        <v>0</v>
      </c>
      <c r="AF36" s="1">
        <f t="shared" si="16"/>
        <v>0</v>
      </c>
      <c r="AG36" s="9">
        <f t="shared" si="17"/>
        <v>0</v>
      </c>
      <c r="AH36" s="10">
        <f t="shared" si="18"/>
        <v>0</v>
      </c>
      <c r="AI36" s="1">
        <f>SUMIFS(
  '[1]Hoja 1'!$M:$M,
  '[1]Hoja 1'!$S:$S, $A36,
  '[1]Hoja 1'!$R:$R, "&gt;="&amp;INT($AK$1),
  '[1]Hoja 1'!$R:$R, "&lt;"&amp;INT($AJ$1+1)
)</f>
        <v>0</v>
      </c>
      <c r="AJ36" s="1">
        <f t="shared" si="19"/>
        <v>0</v>
      </c>
      <c r="AK36" s="9">
        <f t="shared" si="20"/>
        <v>0</v>
      </c>
      <c r="AL36" s="10">
        <f t="shared" si="21"/>
        <v>0</v>
      </c>
      <c r="AM36" s="1">
        <f>SUMIFS(
  '[1]Hoja 1'!$M:$M,
  '[1]Hoja 1'!$S:$S, $A36,
  '[1]Hoja 1'!$R:$R, "&gt;="&amp;INT($AO$1),
  '[1]Hoja 1'!$R:$R, "&lt;"&amp;INT($AP$1+1)
)</f>
        <v>0</v>
      </c>
      <c r="AN36" s="1">
        <f t="shared" si="22"/>
        <v>0</v>
      </c>
      <c r="AO36" s="9">
        <f t="shared" si="23"/>
        <v>0</v>
      </c>
      <c r="AP36" s="10">
        <f t="shared" si="24"/>
        <v>0</v>
      </c>
      <c r="AQ36" s="1">
        <f>SUMIFS(
  '[1]Hoja 1'!$M:$M,
  '[1]Hoja 1'!$S:$S, $A36,
  '[1]Hoja 1'!$R:$R, "&gt;="&amp;INT($AS$1),
  '[1]Hoja 1'!$R:$R, "&lt;"&amp;INT($AT$1+1)
)</f>
        <v>0</v>
      </c>
      <c r="AR36" s="1">
        <f t="shared" si="25"/>
        <v>0</v>
      </c>
      <c r="AS36" s="9">
        <f t="shared" si="26"/>
        <v>0</v>
      </c>
      <c r="AT36" s="10">
        <f t="shared" si="27"/>
        <v>0</v>
      </c>
      <c r="AU36" s="1">
        <f>SUMIFS(
  '[1]Hoja 1'!$M:$M,
  '[1]Hoja 1'!$S:$S, $A36,
  '[1]Hoja 1'!$R:$R, "&gt;="&amp;INT($AW$1),
  '[1]Hoja 1'!$R:$R, "&lt;"&amp;INT($AX$1+1)
)</f>
        <v>0</v>
      </c>
      <c r="AV36" s="1">
        <f t="shared" si="28"/>
        <v>0</v>
      </c>
      <c r="AW36" s="9">
        <f t="shared" si="29"/>
        <v>0</v>
      </c>
      <c r="AX36" s="10">
        <f t="shared" si="30"/>
        <v>0</v>
      </c>
    </row>
    <row r="37" spans="1:50" x14ac:dyDescent="0.25">
      <c r="A37" s="5">
        <v>206002</v>
      </c>
      <c r="B37" s="6" t="s">
        <v>34</v>
      </c>
      <c r="C37" s="1">
        <f>SUMIFS(
  '[1]Hoja 1'!$M:$M,
  '[1]Hoja 1'!$S:$S, $A37,
  '[1]Hoja 1'!$R:$R, "&gt;="&amp;INT($E$1),
  '[1]Hoja 1'!$R:$R, "&lt;"&amp;INT($F$1+1)
)</f>
        <v>9</v>
      </c>
      <c r="D37" s="1" t="str">
        <f>""</f>
        <v/>
      </c>
      <c r="F37" s="2"/>
      <c r="G37" s="1">
        <f>SUMIFS(
  '[1]Hoja 1'!$M:$M,
  '[1]Hoja 1'!$S:$S, $A37,
  '[1]Hoja 1'!$R:$R, "&gt;="&amp;INT($I$1),
  '[1]Hoja 1'!$R:$R, "&lt;"&amp;INT($J$1+1)
)</f>
        <v>5</v>
      </c>
      <c r="H37" s="1">
        <f t="shared" si="0"/>
        <v>7</v>
      </c>
      <c r="I37" s="1"/>
      <c r="J37" s="2"/>
      <c r="K37" s="1">
        <f>SUMIFS(
  '[1]Hoja 1'!$M:$M,
  '[1]Hoja 1'!$S:$S, $A37,
  '[1]Hoja 1'!$R:$R, "&gt;="&amp;INT($M$1),
  '[1]Hoja 1'!$R:$R, "&lt;"&amp;INT($N$1+1)
)</f>
        <v>0</v>
      </c>
      <c r="L37" s="1">
        <f t="shared" si="1"/>
        <v>2.5</v>
      </c>
      <c r="M37" s="9">
        <f t="shared" si="2"/>
        <v>1.8070353544371835</v>
      </c>
      <c r="N37" s="10">
        <f t="shared" si="3"/>
        <v>3.1929646455628165</v>
      </c>
      <c r="O37" s="1">
        <f>SUMIFS(
  '[1]Hoja 1'!$M:$M,
  '[1]Hoja 1'!$S:$S, $A37,
  '[1]Hoja 1'!$R:$R, "&gt;="&amp;INT($Q$1),
  '[1]Hoja 1'!$R:$R, "&lt;"&amp;INT($R$1+1)
)</f>
        <v>0</v>
      </c>
      <c r="P37" s="1">
        <f t="shared" si="4"/>
        <v>0</v>
      </c>
      <c r="Q37" s="9">
        <f t="shared" si="5"/>
        <v>-2.5928362848432989</v>
      </c>
      <c r="R37" s="10">
        <f t="shared" si="6"/>
        <v>2.5928362848432989</v>
      </c>
      <c r="S37" s="1">
        <f>SUMIFS(
  '[1]Hoja 1'!$M:$M,
  '[1]Hoja 1'!$S:$S, $A37,
  '[1]Hoja 1'!$R:$R, "&gt;="&amp;INT($U$1),
  '[1]Hoja 1'!$R:$R, "&lt;"&amp;INT($V$1+1)
)</f>
        <v>0</v>
      </c>
      <c r="T37" s="1">
        <f t="shared" si="7"/>
        <v>0</v>
      </c>
      <c r="U37" s="9">
        <f t="shared" si="8"/>
        <v>-2.117041961479901</v>
      </c>
      <c r="V37" s="10">
        <f t="shared" si="9"/>
        <v>2.117041961479901</v>
      </c>
      <c r="W37" s="1">
        <f>SUMIFS(
  '[1]Hoja 1'!$M:$M,
  '[1]Hoja 1'!$S:$S, $A37,
  '[1]Hoja 1'!$R:$R, "&gt;="&amp;INT($Y$1),
  '[1]Hoja 1'!$R:$R, "&lt;"&amp;INT($Z$1+1)
)</f>
        <v>0</v>
      </c>
      <c r="X37" s="1">
        <f t="shared" si="10"/>
        <v>0</v>
      </c>
      <c r="Y37" s="9">
        <f t="shared" si="11"/>
        <v>-2.4401803212057915</v>
      </c>
      <c r="Z37" s="10">
        <f t="shared" si="12"/>
        <v>2.4401803212057915</v>
      </c>
      <c r="AA37" s="1">
        <f>SUMIFS(
  '[1]Hoja 1'!$M:$M,
  '[1]Hoja 1'!$S:$S, $A37,
  '[1]Hoja 1'!$R:$R, "&gt;="&amp;INT($AC$1),
  '[1]Hoja 1'!$R:$R, "&lt;"&amp;INT($AD$1+1)
)</f>
        <v>0</v>
      </c>
      <c r="AB37" s="1">
        <f t="shared" si="13"/>
        <v>0</v>
      </c>
      <c r="AC37" s="9">
        <f t="shared" si="14"/>
        <v>-2.2983037223134803</v>
      </c>
      <c r="AD37" s="10">
        <f t="shared" si="15"/>
        <v>2.2983037223134803</v>
      </c>
      <c r="AE37" s="1">
        <f>SUMIFS(
  '[1]Hoja 1'!$M:$M,
  '[1]Hoja 1'!$S:$S, $A37,
  '[1]Hoja 1'!$R:$R, "&gt;="&amp;INT($AG$1),
  '[1]Hoja 1'!$R:$R, "&lt;"&amp;INT($AH$1+1)
)</f>
        <v>0</v>
      </c>
      <c r="AF37" s="1">
        <f t="shared" si="16"/>
        <v>0</v>
      </c>
      <c r="AG37" s="9">
        <f t="shared" si="17"/>
        <v>-2.1703763114569172</v>
      </c>
      <c r="AH37" s="10">
        <f t="shared" si="18"/>
        <v>2.1703763114569172</v>
      </c>
      <c r="AI37" s="1">
        <f>SUMIFS(
  '[1]Hoja 1'!$M:$M,
  '[1]Hoja 1'!$S:$S, $A37,
  '[1]Hoja 1'!$R:$R, "&gt;="&amp;INT($AK$1),
  '[1]Hoja 1'!$R:$R, "&lt;"&amp;INT($AJ$1+1)
)</f>
        <v>0</v>
      </c>
      <c r="AJ37" s="1">
        <f t="shared" si="19"/>
        <v>0</v>
      </c>
      <c r="AK37" s="9">
        <f t="shared" si="20"/>
        <v>-2.0581666599184816</v>
      </c>
      <c r="AL37" s="10">
        <f t="shared" si="21"/>
        <v>2.0581666599184816</v>
      </c>
      <c r="AM37" s="1">
        <f>SUMIFS(
  '[1]Hoja 1'!$M:$M,
  '[1]Hoja 1'!$S:$S, $A37,
  '[1]Hoja 1'!$R:$R, "&gt;="&amp;INT($AO$1),
  '[1]Hoja 1'!$R:$R, "&lt;"&amp;INT($AP$1+1)
)</f>
        <v>0</v>
      </c>
      <c r="AN37" s="1">
        <f t="shared" si="22"/>
        <v>0</v>
      </c>
      <c r="AO37" s="9">
        <f t="shared" si="23"/>
        <v>-1.96</v>
      </c>
      <c r="AP37" s="10">
        <f t="shared" si="24"/>
        <v>1.96</v>
      </c>
      <c r="AQ37" s="1">
        <f>SUMIFS(
  '[1]Hoja 1'!$M:$M,
  '[1]Hoja 1'!$S:$S, $A37,
  '[1]Hoja 1'!$R:$R, "&gt;="&amp;INT($AS$1),
  '[1]Hoja 1'!$R:$R, "&lt;"&amp;INT($AT$1+1)
)</f>
        <v>0</v>
      </c>
      <c r="AR37" s="1">
        <f t="shared" si="25"/>
        <v>0</v>
      </c>
      <c r="AS37" s="9">
        <f t="shared" si="26"/>
        <v>-1.8737117055607981</v>
      </c>
      <c r="AT37" s="10">
        <f t="shared" si="27"/>
        <v>1.8737117055607981</v>
      </c>
      <c r="AU37" s="1">
        <f>SUMIFS(
  '[1]Hoja 1'!$M:$M,
  '[1]Hoja 1'!$S:$S, $A37,
  '[1]Hoja 1'!$R:$R, "&gt;="&amp;INT($AW$1),
  '[1]Hoja 1'!$R:$R, "&lt;"&amp;INT($AX$1+1)
)</f>
        <v>0</v>
      </c>
      <c r="AV37" s="1">
        <f t="shared" si="28"/>
        <v>0</v>
      </c>
      <c r="AW37" s="9">
        <f t="shared" si="29"/>
        <v>-1.797341471072307</v>
      </c>
      <c r="AX37" s="10">
        <f t="shared" si="30"/>
        <v>1.797341471072307</v>
      </c>
    </row>
    <row r="38" spans="1:50" x14ac:dyDescent="0.25">
      <c r="A38" s="5">
        <v>206003</v>
      </c>
      <c r="B38" s="6" t="s">
        <v>35</v>
      </c>
      <c r="C38" s="1">
        <f>SUMIFS(
  '[1]Hoja 1'!$M:$M,
  '[1]Hoja 1'!$S:$S, $A38,
  '[1]Hoja 1'!$R:$R, "&gt;="&amp;INT($E$1),
  '[1]Hoja 1'!$R:$R, "&lt;"&amp;INT($F$1+1)
)</f>
        <v>0</v>
      </c>
      <c r="D38" s="1" t="str">
        <f>""</f>
        <v/>
      </c>
      <c r="F38" s="2"/>
      <c r="G38" s="1">
        <f>SUMIFS(
  '[1]Hoja 1'!$M:$M,
  '[1]Hoja 1'!$S:$S, $A38,
  '[1]Hoja 1'!$R:$R, "&gt;="&amp;INT($I$1),
  '[1]Hoja 1'!$R:$R, "&lt;"&amp;INT($J$1+1)
)</f>
        <v>0</v>
      </c>
      <c r="H38" s="1">
        <f t="shared" si="0"/>
        <v>0</v>
      </c>
      <c r="I38" s="1"/>
      <c r="J38" s="2"/>
      <c r="K38" s="1">
        <f>SUMIFS(
  '[1]Hoja 1'!$M:$M,
  '[1]Hoja 1'!$S:$S, $A38,
  '[1]Hoja 1'!$R:$R, "&gt;="&amp;INT($M$1),
  '[1]Hoja 1'!$R:$R, "&lt;"&amp;INT($N$1+1)
)</f>
        <v>0</v>
      </c>
      <c r="L38" s="1">
        <f t="shared" si="1"/>
        <v>0</v>
      </c>
      <c r="M38" s="9">
        <f t="shared" si="2"/>
        <v>0</v>
      </c>
      <c r="N38" s="10">
        <f t="shared" si="3"/>
        <v>0</v>
      </c>
      <c r="O38" s="1">
        <f>SUMIFS(
  '[1]Hoja 1'!$M:$M,
  '[1]Hoja 1'!$S:$S, $A38,
  '[1]Hoja 1'!$R:$R, "&gt;="&amp;INT($Q$1),
  '[1]Hoja 1'!$R:$R, "&lt;"&amp;INT($R$1+1)
)</f>
        <v>0</v>
      </c>
      <c r="P38" s="1">
        <f t="shared" si="4"/>
        <v>0</v>
      </c>
      <c r="Q38" s="9">
        <f t="shared" si="5"/>
        <v>0</v>
      </c>
      <c r="R38" s="10">
        <f t="shared" si="6"/>
        <v>0</v>
      </c>
      <c r="S38" s="1">
        <f>SUMIFS(
  '[1]Hoja 1'!$M:$M,
  '[1]Hoja 1'!$S:$S, $A38,
  '[1]Hoja 1'!$R:$R, "&gt;="&amp;INT($U$1),
  '[1]Hoja 1'!$R:$R, "&lt;"&amp;INT($V$1+1)
)</f>
        <v>0</v>
      </c>
      <c r="T38" s="1">
        <f t="shared" si="7"/>
        <v>0</v>
      </c>
      <c r="U38" s="9">
        <f t="shared" si="8"/>
        <v>-1.47</v>
      </c>
      <c r="V38" s="10">
        <f t="shared" si="9"/>
        <v>1.47</v>
      </c>
      <c r="W38" s="1">
        <f>SUMIFS(
  '[1]Hoja 1'!$M:$M,
  '[1]Hoja 1'!$S:$S, $A38,
  '[1]Hoja 1'!$R:$R, "&gt;="&amp;INT($Y$1),
  '[1]Hoja 1'!$R:$R, "&lt;"&amp;INT($Z$1+1)
)</f>
        <v>0</v>
      </c>
      <c r="X38" s="1">
        <f t="shared" si="10"/>
        <v>0</v>
      </c>
      <c r="Y38" s="9">
        <f t="shared" si="11"/>
        <v>0</v>
      </c>
      <c r="Z38" s="10">
        <f t="shared" si="12"/>
        <v>0</v>
      </c>
      <c r="AA38" s="1">
        <f>SUMIFS(
  '[1]Hoja 1'!$M:$M,
  '[1]Hoja 1'!$S:$S, $A38,
  '[1]Hoja 1'!$R:$R, "&gt;="&amp;INT($AC$1),
  '[1]Hoja 1'!$R:$R, "&lt;"&amp;INT($AD$1+1)
)</f>
        <v>0</v>
      </c>
      <c r="AB38" s="1">
        <f t="shared" si="13"/>
        <v>0</v>
      </c>
      <c r="AC38" s="9">
        <f t="shared" si="14"/>
        <v>0</v>
      </c>
      <c r="AD38" s="10">
        <f t="shared" si="15"/>
        <v>0</v>
      </c>
      <c r="AE38" s="1">
        <f>SUMIFS(
  '[1]Hoja 1'!$M:$M,
  '[1]Hoja 1'!$S:$S, $A38,
  '[1]Hoja 1'!$R:$R, "&gt;="&amp;INT($AG$1),
  '[1]Hoja 1'!$R:$R, "&lt;"&amp;INT($AH$1+1)
)</f>
        <v>0</v>
      </c>
      <c r="AF38" s="1">
        <f t="shared" si="16"/>
        <v>0</v>
      </c>
      <c r="AG38" s="9">
        <f t="shared" si="17"/>
        <v>0</v>
      </c>
      <c r="AH38" s="10">
        <f t="shared" si="18"/>
        <v>0</v>
      </c>
      <c r="AI38" s="1">
        <f>SUMIFS(
  '[1]Hoja 1'!$M:$M,
  '[1]Hoja 1'!$S:$S, $A38,
  '[1]Hoja 1'!$R:$R, "&gt;="&amp;INT($AK$1),
  '[1]Hoja 1'!$R:$R, "&lt;"&amp;INT($AJ$1+1)
)</f>
        <v>0</v>
      </c>
      <c r="AJ38" s="1">
        <f t="shared" si="19"/>
        <v>0</v>
      </c>
      <c r="AK38" s="9">
        <f t="shared" si="20"/>
        <v>0</v>
      </c>
      <c r="AL38" s="10">
        <f t="shared" si="21"/>
        <v>0</v>
      </c>
      <c r="AM38" s="1">
        <f>SUMIFS(
  '[1]Hoja 1'!$M:$M,
  '[1]Hoja 1'!$S:$S, $A38,
  '[1]Hoja 1'!$R:$R, "&gt;="&amp;INT($AO$1),
  '[1]Hoja 1'!$R:$R, "&lt;"&amp;INT($AP$1+1)
)</f>
        <v>0</v>
      </c>
      <c r="AN38" s="1">
        <f t="shared" si="22"/>
        <v>0</v>
      </c>
      <c r="AO38" s="9">
        <f t="shared" si="23"/>
        <v>0</v>
      </c>
      <c r="AP38" s="10">
        <f t="shared" si="24"/>
        <v>0</v>
      </c>
      <c r="AQ38" s="1">
        <f>SUMIFS(
  '[1]Hoja 1'!$M:$M,
  '[1]Hoja 1'!$S:$S, $A38,
  '[1]Hoja 1'!$R:$R, "&gt;="&amp;INT($AS$1),
  '[1]Hoja 1'!$R:$R, "&lt;"&amp;INT($AT$1+1)
)</f>
        <v>0</v>
      </c>
      <c r="AR38" s="1">
        <f t="shared" si="25"/>
        <v>0</v>
      </c>
      <c r="AS38" s="9">
        <f t="shared" si="26"/>
        <v>0</v>
      </c>
      <c r="AT38" s="10">
        <f t="shared" si="27"/>
        <v>0</v>
      </c>
      <c r="AU38" s="1">
        <f>SUMIFS(
  '[1]Hoja 1'!$M:$M,
  '[1]Hoja 1'!$S:$S, $A38,
  '[1]Hoja 1'!$R:$R, "&gt;="&amp;INT($AW$1),
  '[1]Hoja 1'!$R:$R, "&lt;"&amp;INT($AX$1+1)
)</f>
        <v>0</v>
      </c>
      <c r="AV38" s="1">
        <f t="shared" si="28"/>
        <v>0</v>
      </c>
      <c r="AW38" s="9">
        <f t="shared" si="29"/>
        <v>0</v>
      </c>
      <c r="AX38" s="10">
        <f t="shared" si="30"/>
        <v>0</v>
      </c>
    </row>
    <row r="39" spans="1:50" x14ac:dyDescent="0.25">
      <c r="A39" s="5">
        <v>206004</v>
      </c>
      <c r="B39" s="6" t="s">
        <v>36</v>
      </c>
      <c r="C39" s="1">
        <f>SUMIFS(
  '[1]Hoja 1'!$M:$M,
  '[1]Hoja 1'!$S:$S, $A39,
  '[1]Hoja 1'!$R:$R, "&gt;="&amp;INT($E$1),
  '[1]Hoja 1'!$R:$R, "&lt;"&amp;INT($F$1+1)
)</f>
        <v>0</v>
      </c>
      <c r="D39" s="1" t="str">
        <f>""</f>
        <v/>
      </c>
      <c r="F39" s="2"/>
      <c r="G39" s="1">
        <f>SUMIFS(
  '[1]Hoja 1'!$M:$M,
  '[1]Hoja 1'!$S:$S, $A39,
  '[1]Hoja 1'!$R:$R, "&gt;="&amp;INT($I$1),
  '[1]Hoja 1'!$R:$R, "&lt;"&amp;INT($J$1+1)
)</f>
        <v>0</v>
      </c>
      <c r="H39" s="1">
        <f t="shared" si="0"/>
        <v>0</v>
      </c>
      <c r="I39" s="1"/>
      <c r="J39" s="2"/>
      <c r="K39" s="1">
        <f>SUMIFS(
  '[1]Hoja 1'!$M:$M,
  '[1]Hoja 1'!$S:$S, $A39,
  '[1]Hoja 1'!$R:$R, "&gt;="&amp;INT($M$1),
  '[1]Hoja 1'!$R:$R, "&lt;"&amp;INT($N$1+1)
)</f>
        <v>0</v>
      </c>
      <c r="L39" s="1">
        <f t="shared" si="1"/>
        <v>0</v>
      </c>
      <c r="M39" s="9">
        <f t="shared" si="2"/>
        <v>0</v>
      </c>
      <c r="N39" s="10">
        <f t="shared" si="3"/>
        <v>0</v>
      </c>
      <c r="O39" s="1">
        <f>SUMIFS(
  '[1]Hoja 1'!$M:$M,
  '[1]Hoja 1'!$S:$S, $A39,
  '[1]Hoja 1'!$R:$R, "&gt;="&amp;INT($Q$1),
  '[1]Hoja 1'!$R:$R, "&lt;"&amp;INT($R$1+1)
)</f>
        <v>0</v>
      </c>
      <c r="P39" s="1">
        <f t="shared" si="4"/>
        <v>0</v>
      </c>
      <c r="Q39" s="9">
        <f t="shared" si="5"/>
        <v>0</v>
      </c>
      <c r="R39" s="10">
        <f t="shared" si="6"/>
        <v>0</v>
      </c>
      <c r="S39" s="1">
        <f>SUMIFS(
  '[1]Hoja 1'!$M:$M,
  '[1]Hoja 1'!$S:$S, $A39,
  '[1]Hoja 1'!$R:$R, "&gt;="&amp;INT($U$1),
  '[1]Hoja 1'!$R:$R, "&lt;"&amp;INT($V$1+1)
)</f>
        <v>0</v>
      </c>
      <c r="T39" s="1">
        <f t="shared" si="7"/>
        <v>0</v>
      </c>
      <c r="U39" s="9">
        <f t="shared" si="8"/>
        <v>-1.47</v>
      </c>
      <c r="V39" s="10">
        <f t="shared" si="9"/>
        <v>1.47</v>
      </c>
      <c r="W39" s="1">
        <f>SUMIFS(
  '[1]Hoja 1'!$M:$M,
  '[1]Hoja 1'!$S:$S, $A39,
  '[1]Hoja 1'!$R:$R, "&gt;="&amp;INT($Y$1),
  '[1]Hoja 1'!$R:$R, "&lt;"&amp;INT($Z$1+1)
)</f>
        <v>0</v>
      </c>
      <c r="X39" s="1">
        <f t="shared" si="10"/>
        <v>0</v>
      </c>
      <c r="Y39" s="9">
        <f t="shared" si="11"/>
        <v>0</v>
      </c>
      <c r="Z39" s="10">
        <f t="shared" si="12"/>
        <v>0</v>
      </c>
      <c r="AA39" s="1">
        <f>SUMIFS(
  '[1]Hoja 1'!$M:$M,
  '[1]Hoja 1'!$S:$S, $A39,
  '[1]Hoja 1'!$R:$R, "&gt;="&amp;INT($AC$1),
  '[1]Hoja 1'!$R:$R, "&lt;"&amp;INT($AD$1+1)
)</f>
        <v>0</v>
      </c>
      <c r="AB39" s="1">
        <f t="shared" si="13"/>
        <v>0</v>
      </c>
      <c r="AC39" s="9">
        <f t="shared" si="14"/>
        <v>0</v>
      </c>
      <c r="AD39" s="10">
        <f t="shared" si="15"/>
        <v>0</v>
      </c>
      <c r="AE39" s="1">
        <f>SUMIFS(
  '[1]Hoja 1'!$M:$M,
  '[1]Hoja 1'!$S:$S, $A39,
  '[1]Hoja 1'!$R:$R, "&gt;="&amp;INT($AG$1),
  '[1]Hoja 1'!$R:$R, "&lt;"&amp;INT($AH$1+1)
)</f>
        <v>0</v>
      </c>
      <c r="AF39" s="1">
        <f t="shared" si="16"/>
        <v>0</v>
      </c>
      <c r="AG39" s="9">
        <f t="shared" si="17"/>
        <v>0</v>
      </c>
      <c r="AH39" s="10">
        <f t="shared" si="18"/>
        <v>0</v>
      </c>
      <c r="AI39" s="1">
        <f>SUMIFS(
  '[1]Hoja 1'!$M:$M,
  '[1]Hoja 1'!$S:$S, $A39,
  '[1]Hoja 1'!$R:$R, "&gt;="&amp;INT($AK$1),
  '[1]Hoja 1'!$R:$R, "&lt;"&amp;INT($AJ$1+1)
)</f>
        <v>0</v>
      </c>
      <c r="AJ39" s="1">
        <f t="shared" si="19"/>
        <v>0</v>
      </c>
      <c r="AK39" s="9">
        <f t="shared" si="20"/>
        <v>0</v>
      </c>
      <c r="AL39" s="10">
        <f t="shared" si="21"/>
        <v>0</v>
      </c>
      <c r="AM39" s="1">
        <f>SUMIFS(
  '[1]Hoja 1'!$M:$M,
  '[1]Hoja 1'!$S:$S, $A39,
  '[1]Hoja 1'!$R:$R, "&gt;="&amp;INT($AO$1),
  '[1]Hoja 1'!$R:$R, "&lt;"&amp;INT($AP$1+1)
)</f>
        <v>0</v>
      </c>
      <c r="AN39" s="1">
        <f t="shared" si="22"/>
        <v>0</v>
      </c>
      <c r="AO39" s="9">
        <f t="shared" si="23"/>
        <v>0</v>
      </c>
      <c r="AP39" s="10">
        <f t="shared" si="24"/>
        <v>0</v>
      </c>
      <c r="AQ39" s="1">
        <f>SUMIFS(
  '[1]Hoja 1'!$M:$M,
  '[1]Hoja 1'!$S:$S, $A39,
  '[1]Hoja 1'!$R:$R, "&gt;="&amp;INT($AS$1),
  '[1]Hoja 1'!$R:$R, "&lt;"&amp;INT($AT$1+1)
)</f>
        <v>0</v>
      </c>
      <c r="AR39" s="1">
        <f t="shared" si="25"/>
        <v>0</v>
      </c>
      <c r="AS39" s="9">
        <f t="shared" si="26"/>
        <v>0</v>
      </c>
      <c r="AT39" s="10">
        <f t="shared" si="27"/>
        <v>0</v>
      </c>
      <c r="AU39" s="1">
        <f>SUMIFS(
  '[1]Hoja 1'!$M:$M,
  '[1]Hoja 1'!$S:$S, $A39,
  '[1]Hoja 1'!$R:$R, "&gt;="&amp;INT($AW$1),
  '[1]Hoja 1'!$R:$R, "&lt;"&amp;INT($AX$1+1)
)</f>
        <v>0</v>
      </c>
      <c r="AV39" s="1">
        <f t="shared" si="28"/>
        <v>0</v>
      </c>
      <c r="AW39" s="9">
        <f t="shared" si="29"/>
        <v>0</v>
      </c>
      <c r="AX39" s="10">
        <f t="shared" si="30"/>
        <v>0</v>
      </c>
    </row>
    <row r="40" spans="1:50" x14ac:dyDescent="0.25">
      <c r="A40" s="5">
        <v>206005</v>
      </c>
      <c r="B40" s="6" t="s">
        <v>37</v>
      </c>
      <c r="C40" s="1">
        <f>SUMIFS(
  '[1]Hoja 1'!$M:$M,
  '[1]Hoja 1'!$S:$S, $A40,
  '[1]Hoja 1'!$R:$R, "&gt;="&amp;INT($E$1),
  '[1]Hoja 1'!$R:$R, "&lt;"&amp;INT($F$1+1)
)</f>
        <v>3</v>
      </c>
      <c r="D40" s="1" t="str">
        <f>""</f>
        <v/>
      </c>
      <c r="F40" s="2"/>
      <c r="G40" s="1">
        <f>SUMIFS(
  '[1]Hoja 1'!$M:$M,
  '[1]Hoja 1'!$S:$S, $A40,
  '[1]Hoja 1'!$R:$R, "&gt;="&amp;INT($I$1),
  '[1]Hoja 1'!$R:$R, "&lt;"&amp;INT($J$1+1)
)</f>
        <v>3</v>
      </c>
      <c r="H40" s="1">
        <f t="shared" si="0"/>
        <v>3</v>
      </c>
      <c r="I40" s="1"/>
      <c r="J40" s="2"/>
      <c r="K40" s="1">
        <f>SUMIFS(
  '[1]Hoja 1'!$M:$M,
  '[1]Hoja 1'!$S:$S, $A40,
  '[1]Hoja 1'!$R:$R, "&gt;="&amp;INT($M$1),
  '[1]Hoja 1'!$R:$R, "&lt;"&amp;INT($N$1+1)
)</f>
        <v>0</v>
      </c>
      <c r="L40" s="1">
        <f t="shared" si="1"/>
        <v>1.5</v>
      </c>
      <c r="M40" s="9">
        <f t="shared" si="2"/>
        <v>-0.57889393668844935</v>
      </c>
      <c r="N40" s="10">
        <f t="shared" si="3"/>
        <v>3.5788939366884494</v>
      </c>
      <c r="O40" s="1">
        <f>SUMIFS(
  '[1]Hoja 1'!$M:$M,
  '[1]Hoja 1'!$S:$S, $A40,
  '[1]Hoja 1'!$R:$R, "&gt;="&amp;INT($Q$1),
  '[1]Hoja 1'!$R:$R, "&lt;"&amp;INT($R$1+1)
)</f>
        <v>0</v>
      </c>
      <c r="P40" s="1">
        <f t="shared" si="4"/>
        <v>0</v>
      </c>
      <c r="Q40" s="9">
        <f t="shared" si="5"/>
        <v>-1.6974097914174997</v>
      </c>
      <c r="R40" s="10">
        <f t="shared" si="6"/>
        <v>1.6974097914174997</v>
      </c>
      <c r="S40" s="1">
        <f>SUMIFS(
  '[1]Hoja 1'!$M:$M,
  '[1]Hoja 1'!$S:$S, $A40,
  '[1]Hoja 1'!$R:$R, "&gt;="&amp;INT($U$1),
  '[1]Hoja 1'!$R:$R, "&lt;"&amp;INT($V$1+1)
)</f>
        <v>0</v>
      </c>
      <c r="T40" s="1">
        <f t="shared" si="7"/>
        <v>0</v>
      </c>
      <c r="U40" s="9">
        <f t="shared" si="8"/>
        <v>-1.6974097914174997</v>
      </c>
      <c r="V40" s="10">
        <f t="shared" si="9"/>
        <v>1.6974097914174997</v>
      </c>
      <c r="W40" s="1">
        <f>SUMIFS(
  '[1]Hoja 1'!$M:$M,
  '[1]Hoja 1'!$S:$S, $A40,
  '[1]Hoja 1'!$R:$R, "&gt;="&amp;INT($Y$1),
  '[1]Hoja 1'!$R:$R, "&lt;"&amp;INT($Z$1+1)
)</f>
        <v>0</v>
      </c>
      <c r="X40" s="1">
        <f t="shared" si="10"/>
        <v>0</v>
      </c>
      <c r="Y40" s="9">
        <f t="shared" si="11"/>
        <v>-1.3148079707698763</v>
      </c>
      <c r="Z40" s="10">
        <f t="shared" si="12"/>
        <v>1.3148079707698763</v>
      </c>
      <c r="AA40" s="1">
        <f>SUMIFS(
  '[1]Hoja 1'!$M:$M,
  '[1]Hoja 1'!$S:$S, $A40,
  '[1]Hoja 1'!$R:$R, "&gt;="&amp;INT($AC$1),
  '[1]Hoja 1'!$R:$R, "&lt;"&amp;INT($AD$1+1)
)</f>
        <v>0</v>
      </c>
      <c r="AB40" s="1">
        <f t="shared" si="13"/>
        <v>0</v>
      </c>
      <c r="AC40" s="9">
        <f t="shared" si="14"/>
        <v>-1.2002499739637571</v>
      </c>
      <c r="AD40" s="10">
        <f t="shared" si="15"/>
        <v>1.2002499739637571</v>
      </c>
      <c r="AE40" s="1">
        <f>SUMIFS(
  '[1]Hoja 1'!$M:$M,
  '[1]Hoja 1'!$S:$S, $A40,
  '[1]Hoja 1'!$R:$R, "&gt;="&amp;INT($AG$1),
  '[1]Hoja 1'!$R:$R, "&lt;"&amp;INT($AH$1+1)
)</f>
        <v>0</v>
      </c>
      <c r="AF40" s="1">
        <f t="shared" si="16"/>
        <v>0</v>
      </c>
      <c r="AG40" s="9">
        <f t="shared" si="17"/>
        <v>-1.111215550647128</v>
      </c>
      <c r="AH40" s="10">
        <f t="shared" si="18"/>
        <v>1.111215550647128</v>
      </c>
      <c r="AI40" s="1">
        <f>SUMIFS(
  '[1]Hoja 1'!$M:$M,
  '[1]Hoja 1'!$S:$S, $A40,
  '[1]Hoja 1'!$R:$R, "&gt;="&amp;INT($AK$1),
  '[1]Hoja 1'!$R:$R, "&lt;"&amp;INT($AJ$1+1)
)</f>
        <v>0</v>
      </c>
      <c r="AJ40" s="1">
        <f t="shared" si="19"/>
        <v>0</v>
      </c>
      <c r="AK40" s="9">
        <f t="shared" si="20"/>
        <v>-1.0394469683442247</v>
      </c>
      <c r="AL40" s="10">
        <f t="shared" si="21"/>
        <v>1.0394469683442247</v>
      </c>
      <c r="AM40" s="1">
        <f>SUMIFS(
  '[1]Hoja 1'!$M:$M,
  '[1]Hoja 1'!$S:$S, $A40,
  '[1]Hoja 1'!$R:$R, "&gt;="&amp;INT($AO$1),
  '[1]Hoja 1'!$R:$R, "&lt;"&amp;INT($AP$1+1)
)</f>
        <v>0</v>
      </c>
      <c r="AN40" s="1">
        <f t="shared" si="22"/>
        <v>0</v>
      </c>
      <c r="AO40" s="9">
        <f t="shared" si="23"/>
        <v>-0.98</v>
      </c>
      <c r="AP40" s="10">
        <f t="shared" si="24"/>
        <v>0.98</v>
      </c>
      <c r="AQ40" s="1">
        <f>SUMIFS(
  '[1]Hoja 1'!$M:$M,
  '[1]Hoja 1'!$S:$S, $A40,
  '[1]Hoja 1'!$R:$R, "&gt;="&amp;INT($AS$1),
  '[1]Hoja 1'!$R:$R, "&lt;"&amp;INT($AT$1+1)
)</f>
        <v>0</v>
      </c>
      <c r="AR40" s="1">
        <f t="shared" si="25"/>
        <v>0</v>
      </c>
      <c r="AS40" s="9">
        <f t="shared" si="26"/>
        <v>-0.92970963208950352</v>
      </c>
      <c r="AT40" s="10">
        <f t="shared" si="27"/>
        <v>0.92970963208950352</v>
      </c>
      <c r="AU40" s="1">
        <f>SUMIFS(
  '[1]Hoja 1'!$M:$M,
  '[1]Hoja 1'!$S:$S, $A40,
  '[1]Hoja 1'!$R:$R, "&gt;="&amp;INT($AW$1),
  '[1]Hoja 1'!$R:$R, "&lt;"&amp;INT($AX$1+1)
)</f>
        <v>0</v>
      </c>
      <c r="AV40" s="1">
        <f t="shared" si="28"/>
        <v>0</v>
      </c>
      <c r="AW40" s="9">
        <f t="shared" si="29"/>
        <v>-0.88644335305862509</v>
      </c>
      <c r="AX40" s="10">
        <f t="shared" si="30"/>
        <v>0.88644335305862509</v>
      </c>
    </row>
    <row r="41" spans="1:50" x14ac:dyDescent="0.25">
      <c r="A41" s="5">
        <v>206006</v>
      </c>
      <c r="B41" s="6" t="s">
        <v>38</v>
      </c>
      <c r="C41" s="1">
        <f>SUMIFS(
  '[1]Hoja 1'!$M:$M,
  '[1]Hoja 1'!$S:$S, $A41,
  '[1]Hoja 1'!$R:$R, "&gt;="&amp;INT($E$1),
  '[1]Hoja 1'!$R:$R, "&lt;"&amp;INT($F$1+1)
)</f>
        <v>1</v>
      </c>
      <c r="D41" s="1" t="str">
        <f>""</f>
        <v/>
      </c>
      <c r="F41" s="2"/>
      <c r="G41" s="1">
        <f>SUMIFS(
  '[1]Hoja 1'!$M:$M,
  '[1]Hoja 1'!$S:$S, $A41,
  '[1]Hoja 1'!$R:$R, "&gt;="&amp;INT($I$1),
  '[1]Hoja 1'!$R:$R, "&lt;"&amp;INT($J$1+1)
)</f>
        <v>2</v>
      </c>
      <c r="H41" s="1">
        <f t="shared" si="0"/>
        <v>2</v>
      </c>
      <c r="I41" s="1"/>
      <c r="J41" s="2"/>
      <c r="K41" s="1">
        <f>SUMIFS(
  '[1]Hoja 1'!$M:$M,
  '[1]Hoja 1'!$S:$S, $A41,
  '[1]Hoja 1'!$R:$R, "&gt;="&amp;INT($M$1),
  '[1]Hoja 1'!$R:$R, "&lt;"&amp;INT($N$1+1)
)</f>
        <v>0</v>
      </c>
      <c r="L41" s="1">
        <f t="shared" si="1"/>
        <v>1</v>
      </c>
      <c r="M41" s="9">
        <f t="shared" si="2"/>
        <v>-1.0788939366884494</v>
      </c>
      <c r="N41" s="10">
        <f t="shared" si="3"/>
        <v>3.0788939366884494</v>
      </c>
      <c r="O41" s="1">
        <f>SUMIFS(
  '[1]Hoja 1'!$M:$M,
  '[1]Hoja 1'!$S:$S, $A41,
  '[1]Hoja 1'!$R:$R, "&gt;="&amp;INT($Q$1),
  '[1]Hoja 1'!$R:$R, "&lt;"&amp;INT($R$1+1)
)</f>
        <v>0</v>
      </c>
      <c r="P41" s="1">
        <f t="shared" si="4"/>
        <v>0</v>
      </c>
      <c r="Q41" s="9">
        <f t="shared" si="5"/>
        <v>-1.4969747270189078</v>
      </c>
      <c r="R41" s="10">
        <f t="shared" si="6"/>
        <v>1.4969747270189078</v>
      </c>
      <c r="S41" s="1">
        <f>SUMIFS(
  '[1]Hoja 1'!$M:$M,
  '[1]Hoja 1'!$S:$S, $A41,
  '[1]Hoja 1'!$R:$R, "&gt;="&amp;INT($U$1),
  '[1]Hoja 1'!$R:$R, "&lt;"&amp;INT($V$1+1)
)</f>
        <v>0</v>
      </c>
      <c r="T41" s="1">
        <f t="shared" si="7"/>
        <v>0</v>
      </c>
      <c r="U41" s="9">
        <f t="shared" si="8"/>
        <v>-1.7892270211835426</v>
      </c>
      <c r="V41" s="10">
        <f t="shared" si="9"/>
        <v>1.7892270211835426</v>
      </c>
      <c r="W41" s="1">
        <f>SUMIFS(
  '[1]Hoja 1'!$M:$M,
  '[1]Hoja 1'!$S:$S, $A41,
  '[1]Hoja 1'!$R:$R, "&gt;="&amp;INT($Y$1),
  '[1]Hoja 1'!$R:$R, "&lt;"&amp;INT($Z$1+1)
)</f>
        <v>0</v>
      </c>
      <c r="X41" s="1">
        <f t="shared" si="10"/>
        <v>0</v>
      </c>
      <c r="Y41" s="9">
        <f t="shared" si="11"/>
        <v>-1.0735362127101256</v>
      </c>
      <c r="Z41" s="10">
        <f t="shared" si="12"/>
        <v>1.0735362127101256</v>
      </c>
      <c r="AA41" s="1">
        <f>SUMIFS(
  '[1]Hoja 1'!$M:$M,
  '[1]Hoja 1'!$S:$S, $A41,
  '[1]Hoja 1'!$R:$R, "&gt;="&amp;INT($AC$1),
  '[1]Hoja 1'!$R:$R, "&lt;"&amp;INT($AD$1+1)
)</f>
        <v>0</v>
      </c>
      <c r="AB41" s="1">
        <f t="shared" si="13"/>
        <v>0</v>
      </c>
      <c r="AC41" s="9">
        <f t="shared" si="14"/>
        <v>-0.96352823864517145</v>
      </c>
      <c r="AD41" s="10">
        <f t="shared" si="15"/>
        <v>0.96352823864517145</v>
      </c>
      <c r="AE41" s="1">
        <f>SUMIFS(
  '[1]Hoja 1'!$M:$M,
  '[1]Hoja 1'!$S:$S, $A41,
  '[1]Hoja 1'!$R:$R, "&gt;="&amp;INT($AG$1),
  '[1]Hoja 1'!$R:$R, "&lt;"&amp;INT($AH$1+1)
)</f>
        <v>0</v>
      </c>
      <c r="AF41" s="1">
        <f t="shared" si="16"/>
        <v>0</v>
      </c>
      <c r="AG41" s="9">
        <f t="shared" si="17"/>
        <v>-0.88174070262558846</v>
      </c>
      <c r="AH41" s="10">
        <f t="shared" si="18"/>
        <v>0.88174070262558846</v>
      </c>
      <c r="AI41" s="1">
        <f>SUMIFS(
  '[1]Hoja 1'!$M:$M,
  '[1]Hoja 1'!$S:$S, $A41,
  '[1]Hoja 1'!$R:$R, "&gt;="&amp;INT($AK$1),
  '[1]Hoja 1'!$R:$R, "&lt;"&amp;INT($AJ$1+1)
)</f>
        <v>0</v>
      </c>
      <c r="AJ41" s="1">
        <f t="shared" si="19"/>
        <v>0</v>
      </c>
      <c r="AK41" s="9">
        <f t="shared" si="20"/>
        <v>-0.81783250118835449</v>
      </c>
      <c r="AL41" s="10">
        <f t="shared" si="21"/>
        <v>0.81783250118835449</v>
      </c>
      <c r="AM41" s="1">
        <f>SUMIFS(
  '[1]Hoja 1'!$M:$M,
  '[1]Hoja 1'!$S:$S, $A41,
  '[1]Hoja 1'!$R:$R, "&gt;="&amp;INT($AO$1),
  '[1]Hoja 1'!$R:$R, "&lt;"&amp;INT($AP$1+1)
)</f>
        <v>0</v>
      </c>
      <c r="AN41" s="1">
        <f t="shared" si="22"/>
        <v>0</v>
      </c>
      <c r="AO41" s="9">
        <f t="shared" si="23"/>
        <v>-0.76610124077116026</v>
      </c>
      <c r="AP41" s="10">
        <f t="shared" si="24"/>
        <v>0.76610124077116026</v>
      </c>
      <c r="AQ41" s="1">
        <f>SUMIFS(
  '[1]Hoja 1'!$M:$M,
  '[1]Hoja 1'!$S:$S, $A41,
  '[1]Hoja 1'!$R:$R, "&gt;="&amp;INT($AS$1),
  '[1]Hoja 1'!$R:$R, "&lt;"&amp;INT($AT$1+1)
)</f>
        <v>0</v>
      </c>
      <c r="AR41" s="1">
        <f t="shared" si="25"/>
        <v>0</v>
      </c>
      <c r="AS41" s="9">
        <f t="shared" si="26"/>
        <v>-0.72310749162516941</v>
      </c>
      <c r="AT41" s="10">
        <f t="shared" si="27"/>
        <v>0.72310749162516941</v>
      </c>
      <c r="AU41" s="1">
        <f>SUMIFS(
  '[1]Hoja 1'!$M:$M,
  '[1]Hoja 1'!$S:$S, $A41,
  '[1]Hoja 1'!$R:$R, "&gt;="&amp;INT($AW$1),
  '[1]Hoja 1'!$R:$R, "&lt;"&amp;INT($AX$1+1)
)</f>
        <v>0</v>
      </c>
      <c r="AV41" s="1">
        <f t="shared" si="28"/>
        <v>0</v>
      </c>
      <c r="AW41" s="9">
        <f t="shared" si="29"/>
        <v>-0.68663606875046324</v>
      </c>
      <c r="AX41" s="10">
        <f t="shared" si="30"/>
        <v>0.68663606875046324</v>
      </c>
    </row>
    <row r="42" spans="1:50" x14ac:dyDescent="0.25">
      <c r="A42" s="5">
        <v>206007</v>
      </c>
      <c r="B42" s="6" t="s">
        <v>39</v>
      </c>
      <c r="C42" s="1">
        <f>SUMIFS(
  '[1]Hoja 1'!$M:$M,
  '[1]Hoja 1'!$S:$S, $A42,
  '[1]Hoja 1'!$R:$R, "&gt;="&amp;INT($E$1),
  '[1]Hoja 1'!$R:$R, "&lt;"&amp;INT($F$1+1)
)</f>
        <v>0</v>
      </c>
      <c r="D42" s="1" t="str">
        <f>""</f>
        <v/>
      </c>
      <c r="F42" s="2"/>
      <c r="G42" s="1">
        <f>SUMIFS(
  '[1]Hoja 1'!$M:$M,
  '[1]Hoja 1'!$S:$S, $A42,
  '[1]Hoja 1'!$R:$R, "&gt;="&amp;INT($I$1),
  '[1]Hoja 1'!$R:$R, "&lt;"&amp;INT($J$1+1)
)</f>
        <v>0</v>
      </c>
      <c r="H42" s="1">
        <f t="shared" si="0"/>
        <v>0</v>
      </c>
      <c r="I42" s="1"/>
      <c r="J42" s="2"/>
      <c r="K42" s="1">
        <f>SUMIFS(
  '[1]Hoja 1'!$M:$M,
  '[1]Hoja 1'!$S:$S, $A42,
  '[1]Hoja 1'!$R:$R, "&gt;="&amp;INT($M$1),
  '[1]Hoja 1'!$R:$R, "&lt;"&amp;INT($N$1+1)
)</f>
        <v>0</v>
      </c>
      <c r="L42" s="1">
        <f t="shared" si="1"/>
        <v>0</v>
      </c>
      <c r="M42" s="9">
        <f t="shared" si="2"/>
        <v>0</v>
      </c>
      <c r="N42" s="10">
        <f t="shared" si="3"/>
        <v>0</v>
      </c>
      <c r="O42" s="1">
        <f>SUMIFS(
  '[1]Hoja 1'!$M:$M,
  '[1]Hoja 1'!$S:$S, $A42,
  '[1]Hoja 1'!$R:$R, "&gt;="&amp;INT($Q$1),
  '[1]Hoja 1'!$R:$R, "&lt;"&amp;INT($R$1+1)
)</f>
        <v>0</v>
      </c>
      <c r="P42" s="1">
        <f t="shared" si="4"/>
        <v>0</v>
      </c>
      <c r="Q42" s="9">
        <f t="shared" si="5"/>
        <v>0</v>
      </c>
      <c r="R42" s="10">
        <f t="shared" si="6"/>
        <v>0</v>
      </c>
      <c r="S42" s="1">
        <f>SUMIFS(
  '[1]Hoja 1'!$M:$M,
  '[1]Hoja 1'!$S:$S, $A42,
  '[1]Hoja 1'!$R:$R, "&gt;="&amp;INT($U$1),
  '[1]Hoja 1'!$R:$R, "&lt;"&amp;INT($V$1+1)
)</f>
        <v>0</v>
      </c>
      <c r="T42" s="1">
        <f t="shared" si="7"/>
        <v>0</v>
      </c>
      <c r="U42" s="9">
        <f t="shared" si="8"/>
        <v>-1.47</v>
      </c>
      <c r="V42" s="10">
        <f t="shared" si="9"/>
        <v>1.47</v>
      </c>
      <c r="W42" s="1">
        <f>SUMIFS(
  '[1]Hoja 1'!$M:$M,
  '[1]Hoja 1'!$S:$S, $A42,
  '[1]Hoja 1'!$R:$R, "&gt;="&amp;INT($Y$1),
  '[1]Hoja 1'!$R:$R, "&lt;"&amp;INT($Z$1+1)
)</f>
        <v>0</v>
      </c>
      <c r="X42" s="1">
        <f t="shared" si="10"/>
        <v>0</v>
      </c>
      <c r="Y42" s="9">
        <f t="shared" si="11"/>
        <v>0</v>
      </c>
      <c r="Z42" s="10">
        <f t="shared" si="12"/>
        <v>0</v>
      </c>
      <c r="AA42" s="1">
        <f>SUMIFS(
  '[1]Hoja 1'!$M:$M,
  '[1]Hoja 1'!$S:$S, $A42,
  '[1]Hoja 1'!$R:$R, "&gt;="&amp;INT($AC$1),
  '[1]Hoja 1'!$R:$R, "&lt;"&amp;INT($AD$1+1)
)</f>
        <v>0</v>
      </c>
      <c r="AB42" s="1">
        <f t="shared" si="13"/>
        <v>0</v>
      </c>
      <c r="AC42" s="9">
        <f t="shared" si="14"/>
        <v>0</v>
      </c>
      <c r="AD42" s="10">
        <f t="shared" si="15"/>
        <v>0</v>
      </c>
      <c r="AE42" s="1">
        <f>SUMIFS(
  '[1]Hoja 1'!$M:$M,
  '[1]Hoja 1'!$S:$S, $A42,
  '[1]Hoja 1'!$R:$R, "&gt;="&amp;INT($AG$1),
  '[1]Hoja 1'!$R:$R, "&lt;"&amp;INT($AH$1+1)
)</f>
        <v>0</v>
      </c>
      <c r="AF42" s="1">
        <f t="shared" si="16"/>
        <v>0</v>
      </c>
      <c r="AG42" s="9">
        <f t="shared" si="17"/>
        <v>0</v>
      </c>
      <c r="AH42" s="10">
        <f t="shared" si="18"/>
        <v>0</v>
      </c>
      <c r="AI42" s="1">
        <f>SUMIFS(
  '[1]Hoja 1'!$M:$M,
  '[1]Hoja 1'!$S:$S, $A42,
  '[1]Hoja 1'!$R:$R, "&gt;="&amp;INT($AK$1),
  '[1]Hoja 1'!$R:$R, "&lt;"&amp;INT($AJ$1+1)
)</f>
        <v>0</v>
      </c>
      <c r="AJ42" s="1">
        <f t="shared" si="19"/>
        <v>0</v>
      </c>
      <c r="AK42" s="9">
        <f t="shared" si="20"/>
        <v>0</v>
      </c>
      <c r="AL42" s="10">
        <f t="shared" si="21"/>
        <v>0</v>
      </c>
      <c r="AM42" s="1">
        <f>SUMIFS(
  '[1]Hoja 1'!$M:$M,
  '[1]Hoja 1'!$S:$S, $A42,
  '[1]Hoja 1'!$R:$R, "&gt;="&amp;INT($AO$1),
  '[1]Hoja 1'!$R:$R, "&lt;"&amp;INT($AP$1+1)
)</f>
        <v>0</v>
      </c>
      <c r="AN42" s="1">
        <f t="shared" si="22"/>
        <v>0</v>
      </c>
      <c r="AO42" s="9">
        <f t="shared" si="23"/>
        <v>0</v>
      </c>
      <c r="AP42" s="10">
        <f t="shared" si="24"/>
        <v>0</v>
      </c>
      <c r="AQ42" s="1">
        <f>SUMIFS(
  '[1]Hoja 1'!$M:$M,
  '[1]Hoja 1'!$S:$S, $A42,
  '[1]Hoja 1'!$R:$R, "&gt;="&amp;INT($AS$1),
  '[1]Hoja 1'!$R:$R, "&lt;"&amp;INT($AT$1+1)
)</f>
        <v>0</v>
      </c>
      <c r="AR42" s="1">
        <f t="shared" si="25"/>
        <v>0</v>
      </c>
      <c r="AS42" s="9">
        <f t="shared" si="26"/>
        <v>0</v>
      </c>
      <c r="AT42" s="10">
        <f t="shared" si="27"/>
        <v>0</v>
      </c>
      <c r="AU42" s="1">
        <f>SUMIFS(
  '[1]Hoja 1'!$M:$M,
  '[1]Hoja 1'!$S:$S, $A42,
  '[1]Hoja 1'!$R:$R, "&gt;="&amp;INT($AW$1),
  '[1]Hoja 1'!$R:$R, "&lt;"&amp;INT($AX$1+1)
)</f>
        <v>0</v>
      </c>
      <c r="AV42" s="1">
        <f t="shared" si="28"/>
        <v>0</v>
      </c>
      <c r="AW42" s="9">
        <f t="shared" si="29"/>
        <v>0</v>
      </c>
      <c r="AX42" s="10">
        <f t="shared" si="30"/>
        <v>0</v>
      </c>
    </row>
    <row r="43" spans="1:50" x14ac:dyDescent="0.25">
      <c r="A43" s="5">
        <v>206008</v>
      </c>
      <c r="B43" s="6" t="s">
        <v>40</v>
      </c>
      <c r="C43" s="1">
        <f>SUMIFS(
  '[1]Hoja 1'!$M:$M,
  '[1]Hoja 1'!$S:$S, $A43,
  '[1]Hoja 1'!$R:$R, "&gt;="&amp;INT($E$1),
  '[1]Hoja 1'!$R:$R, "&lt;"&amp;INT($F$1+1)
)</f>
        <v>0</v>
      </c>
      <c r="D43" s="1" t="str">
        <f>""</f>
        <v/>
      </c>
      <c r="F43" s="2"/>
      <c r="G43" s="1">
        <f>SUMIFS(
  '[1]Hoja 1'!$M:$M,
  '[1]Hoja 1'!$S:$S, $A43,
  '[1]Hoja 1'!$R:$R, "&gt;="&amp;INT($I$1),
  '[1]Hoja 1'!$R:$R, "&lt;"&amp;INT($J$1+1)
)</f>
        <v>0</v>
      </c>
      <c r="H43" s="1">
        <f t="shared" si="0"/>
        <v>0</v>
      </c>
      <c r="I43" s="1"/>
      <c r="J43" s="2"/>
      <c r="K43" s="1">
        <f>SUMIFS(
  '[1]Hoja 1'!$M:$M,
  '[1]Hoja 1'!$S:$S, $A43,
  '[1]Hoja 1'!$R:$R, "&gt;="&amp;INT($M$1),
  '[1]Hoja 1'!$R:$R, "&lt;"&amp;INT($N$1+1)
)</f>
        <v>0</v>
      </c>
      <c r="L43" s="1">
        <f t="shared" si="1"/>
        <v>0</v>
      </c>
      <c r="M43" s="9">
        <f t="shared" si="2"/>
        <v>0</v>
      </c>
      <c r="N43" s="10">
        <f t="shared" si="3"/>
        <v>0</v>
      </c>
      <c r="O43" s="1">
        <f>SUMIFS(
  '[1]Hoja 1'!$M:$M,
  '[1]Hoja 1'!$S:$S, $A43,
  '[1]Hoja 1'!$R:$R, "&gt;="&amp;INT($Q$1),
  '[1]Hoja 1'!$R:$R, "&lt;"&amp;INT($R$1+1)
)</f>
        <v>0</v>
      </c>
      <c r="P43" s="1">
        <f t="shared" si="4"/>
        <v>0</v>
      </c>
      <c r="Q43" s="9">
        <f t="shared" si="5"/>
        <v>0</v>
      </c>
      <c r="R43" s="10">
        <f t="shared" si="6"/>
        <v>0</v>
      </c>
      <c r="S43" s="1">
        <f>SUMIFS(
  '[1]Hoja 1'!$M:$M,
  '[1]Hoja 1'!$S:$S, $A43,
  '[1]Hoja 1'!$R:$R, "&gt;="&amp;INT($U$1),
  '[1]Hoja 1'!$R:$R, "&lt;"&amp;INT($V$1+1)
)</f>
        <v>0</v>
      </c>
      <c r="T43" s="1">
        <f t="shared" si="7"/>
        <v>0</v>
      </c>
      <c r="U43" s="9">
        <f t="shared" si="8"/>
        <v>-1.47</v>
      </c>
      <c r="V43" s="10">
        <f t="shared" si="9"/>
        <v>1.47</v>
      </c>
      <c r="W43" s="1">
        <f>SUMIFS(
  '[1]Hoja 1'!$M:$M,
  '[1]Hoja 1'!$S:$S, $A43,
  '[1]Hoja 1'!$R:$R, "&gt;="&amp;INT($Y$1),
  '[1]Hoja 1'!$R:$R, "&lt;"&amp;INT($Z$1+1)
)</f>
        <v>0</v>
      </c>
      <c r="X43" s="1">
        <f t="shared" si="10"/>
        <v>0</v>
      </c>
      <c r="Y43" s="9">
        <f t="shared" si="11"/>
        <v>0</v>
      </c>
      <c r="Z43" s="10">
        <f t="shared" si="12"/>
        <v>0</v>
      </c>
      <c r="AA43" s="1">
        <f>SUMIFS(
  '[1]Hoja 1'!$M:$M,
  '[1]Hoja 1'!$S:$S, $A43,
  '[1]Hoja 1'!$R:$R, "&gt;="&amp;INT($AC$1),
  '[1]Hoja 1'!$R:$R, "&lt;"&amp;INT($AD$1+1)
)</f>
        <v>0</v>
      </c>
      <c r="AB43" s="1">
        <f t="shared" si="13"/>
        <v>0</v>
      </c>
      <c r="AC43" s="9">
        <f t="shared" si="14"/>
        <v>0</v>
      </c>
      <c r="AD43" s="10">
        <f t="shared" si="15"/>
        <v>0</v>
      </c>
      <c r="AE43" s="1">
        <f>SUMIFS(
  '[1]Hoja 1'!$M:$M,
  '[1]Hoja 1'!$S:$S, $A43,
  '[1]Hoja 1'!$R:$R, "&gt;="&amp;INT($AG$1),
  '[1]Hoja 1'!$R:$R, "&lt;"&amp;INT($AH$1+1)
)</f>
        <v>0</v>
      </c>
      <c r="AF43" s="1">
        <f t="shared" si="16"/>
        <v>0</v>
      </c>
      <c r="AG43" s="9">
        <f t="shared" si="17"/>
        <v>0</v>
      </c>
      <c r="AH43" s="10">
        <f t="shared" si="18"/>
        <v>0</v>
      </c>
      <c r="AI43" s="1">
        <f>SUMIFS(
  '[1]Hoja 1'!$M:$M,
  '[1]Hoja 1'!$S:$S, $A43,
  '[1]Hoja 1'!$R:$R, "&gt;="&amp;INT($AK$1),
  '[1]Hoja 1'!$R:$R, "&lt;"&amp;INT($AJ$1+1)
)</f>
        <v>0</v>
      </c>
      <c r="AJ43" s="1">
        <f t="shared" si="19"/>
        <v>0</v>
      </c>
      <c r="AK43" s="9">
        <f t="shared" si="20"/>
        <v>0</v>
      </c>
      <c r="AL43" s="10">
        <f t="shared" si="21"/>
        <v>0</v>
      </c>
      <c r="AM43" s="1">
        <f>SUMIFS(
  '[1]Hoja 1'!$M:$M,
  '[1]Hoja 1'!$S:$S, $A43,
  '[1]Hoja 1'!$R:$R, "&gt;="&amp;INT($AO$1),
  '[1]Hoja 1'!$R:$R, "&lt;"&amp;INT($AP$1+1)
)</f>
        <v>0</v>
      </c>
      <c r="AN43" s="1">
        <f t="shared" si="22"/>
        <v>0</v>
      </c>
      <c r="AO43" s="9">
        <f t="shared" si="23"/>
        <v>0</v>
      </c>
      <c r="AP43" s="10">
        <f t="shared" si="24"/>
        <v>0</v>
      </c>
      <c r="AQ43" s="1">
        <f>SUMIFS(
  '[1]Hoja 1'!$M:$M,
  '[1]Hoja 1'!$S:$S, $A43,
  '[1]Hoja 1'!$R:$R, "&gt;="&amp;INT($AS$1),
  '[1]Hoja 1'!$R:$R, "&lt;"&amp;INT($AT$1+1)
)</f>
        <v>0</v>
      </c>
      <c r="AR43" s="1">
        <f t="shared" si="25"/>
        <v>0</v>
      </c>
      <c r="AS43" s="9">
        <f t="shared" si="26"/>
        <v>0</v>
      </c>
      <c r="AT43" s="10">
        <f t="shared" si="27"/>
        <v>0</v>
      </c>
      <c r="AU43" s="1">
        <f>SUMIFS(
  '[1]Hoja 1'!$M:$M,
  '[1]Hoja 1'!$S:$S, $A43,
  '[1]Hoja 1'!$R:$R, "&gt;="&amp;INT($AW$1),
  '[1]Hoja 1'!$R:$R, "&lt;"&amp;INT($AX$1+1)
)</f>
        <v>0</v>
      </c>
      <c r="AV43" s="1">
        <f t="shared" si="28"/>
        <v>0</v>
      </c>
      <c r="AW43" s="9">
        <f t="shared" si="29"/>
        <v>0</v>
      </c>
      <c r="AX43" s="10">
        <f t="shared" si="30"/>
        <v>0</v>
      </c>
    </row>
    <row r="44" spans="1:50" x14ac:dyDescent="0.25">
      <c r="A44" s="5">
        <v>206014</v>
      </c>
      <c r="B44" s="6" t="s">
        <v>41</v>
      </c>
      <c r="C44" s="1">
        <f>SUMIFS(
  '[1]Hoja 1'!$M:$M,
  '[1]Hoja 1'!$S:$S, $A44,
  '[1]Hoja 1'!$R:$R, "&gt;="&amp;INT($E$1),
  '[1]Hoja 1'!$R:$R, "&lt;"&amp;INT($F$1+1)
)</f>
        <v>0</v>
      </c>
      <c r="D44" s="1" t="str">
        <f>""</f>
        <v/>
      </c>
      <c r="F44" s="2"/>
      <c r="G44" s="1">
        <f>SUMIFS(
  '[1]Hoja 1'!$M:$M,
  '[1]Hoja 1'!$S:$S, $A44,
  '[1]Hoja 1'!$R:$R, "&gt;="&amp;INT($I$1),
  '[1]Hoja 1'!$R:$R, "&lt;"&amp;INT($J$1+1)
)</f>
        <v>0</v>
      </c>
      <c r="H44" s="1">
        <f t="shared" si="0"/>
        <v>0</v>
      </c>
      <c r="I44" s="1"/>
      <c r="J44" s="2"/>
      <c r="K44" s="1">
        <f>SUMIFS(
  '[1]Hoja 1'!$M:$M,
  '[1]Hoja 1'!$S:$S, $A44,
  '[1]Hoja 1'!$R:$R, "&gt;="&amp;INT($M$1),
  '[1]Hoja 1'!$R:$R, "&lt;"&amp;INT($N$1+1)
)</f>
        <v>0</v>
      </c>
      <c r="L44" s="1">
        <f t="shared" si="1"/>
        <v>0</v>
      </c>
      <c r="M44" s="9">
        <f t="shared" si="2"/>
        <v>0</v>
      </c>
      <c r="N44" s="10">
        <f t="shared" si="3"/>
        <v>0</v>
      </c>
      <c r="O44" s="1">
        <f>SUMIFS(
  '[1]Hoja 1'!$M:$M,
  '[1]Hoja 1'!$S:$S, $A44,
  '[1]Hoja 1'!$R:$R, "&gt;="&amp;INT($Q$1),
  '[1]Hoja 1'!$R:$R, "&lt;"&amp;INT($R$1+1)
)</f>
        <v>0</v>
      </c>
      <c r="P44" s="1">
        <f t="shared" si="4"/>
        <v>0</v>
      </c>
      <c r="Q44" s="9">
        <f t="shared" si="5"/>
        <v>0</v>
      </c>
      <c r="R44" s="10">
        <f t="shared" si="6"/>
        <v>0</v>
      </c>
      <c r="S44" s="1">
        <f>SUMIFS(
  '[1]Hoja 1'!$M:$M,
  '[1]Hoja 1'!$S:$S, $A44,
  '[1]Hoja 1'!$R:$R, "&gt;="&amp;INT($U$1),
  '[1]Hoja 1'!$R:$R, "&lt;"&amp;INT($V$1+1)
)</f>
        <v>0</v>
      </c>
      <c r="T44" s="1">
        <f t="shared" si="7"/>
        <v>0</v>
      </c>
      <c r="U44" s="9">
        <f t="shared" si="8"/>
        <v>-1.47</v>
      </c>
      <c r="V44" s="10">
        <f t="shared" si="9"/>
        <v>1.47</v>
      </c>
      <c r="W44" s="1">
        <f>SUMIFS(
  '[1]Hoja 1'!$M:$M,
  '[1]Hoja 1'!$S:$S, $A44,
  '[1]Hoja 1'!$R:$R, "&gt;="&amp;INT($Y$1),
  '[1]Hoja 1'!$R:$R, "&lt;"&amp;INT($Z$1+1)
)</f>
        <v>0</v>
      </c>
      <c r="X44" s="1">
        <f t="shared" si="10"/>
        <v>0</v>
      </c>
      <c r="Y44" s="9">
        <f t="shared" si="11"/>
        <v>0</v>
      </c>
      <c r="Z44" s="10">
        <f t="shared" si="12"/>
        <v>0</v>
      </c>
      <c r="AA44" s="1">
        <f>SUMIFS(
  '[1]Hoja 1'!$M:$M,
  '[1]Hoja 1'!$S:$S, $A44,
  '[1]Hoja 1'!$R:$R, "&gt;="&amp;INT($AC$1),
  '[1]Hoja 1'!$R:$R, "&lt;"&amp;INT($AD$1+1)
)</f>
        <v>0</v>
      </c>
      <c r="AB44" s="1">
        <f t="shared" si="13"/>
        <v>0</v>
      </c>
      <c r="AC44" s="9">
        <f t="shared" si="14"/>
        <v>0</v>
      </c>
      <c r="AD44" s="10">
        <f t="shared" si="15"/>
        <v>0</v>
      </c>
      <c r="AE44" s="1">
        <f>SUMIFS(
  '[1]Hoja 1'!$M:$M,
  '[1]Hoja 1'!$S:$S, $A44,
  '[1]Hoja 1'!$R:$R, "&gt;="&amp;INT($AG$1),
  '[1]Hoja 1'!$R:$R, "&lt;"&amp;INT($AH$1+1)
)</f>
        <v>0</v>
      </c>
      <c r="AF44" s="1">
        <f t="shared" si="16"/>
        <v>0</v>
      </c>
      <c r="AG44" s="9">
        <f t="shared" si="17"/>
        <v>0</v>
      </c>
      <c r="AH44" s="10">
        <f t="shared" si="18"/>
        <v>0</v>
      </c>
      <c r="AI44" s="1">
        <f>SUMIFS(
  '[1]Hoja 1'!$M:$M,
  '[1]Hoja 1'!$S:$S, $A44,
  '[1]Hoja 1'!$R:$R, "&gt;="&amp;INT($AK$1),
  '[1]Hoja 1'!$R:$R, "&lt;"&amp;INT($AJ$1+1)
)</f>
        <v>0</v>
      </c>
      <c r="AJ44" s="1">
        <f t="shared" si="19"/>
        <v>0</v>
      </c>
      <c r="AK44" s="9">
        <f t="shared" si="20"/>
        <v>0</v>
      </c>
      <c r="AL44" s="10">
        <f t="shared" si="21"/>
        <v>0</v>
      </c>
      <c r="AM44" s="1">
        <f>SUMIFS(
  '[1]Hoja 1'!$M:$M,
  '[1]Hoja 1'!$S:$S, $A44,
  '[1]Hoja 1'!$R:$R, "&gt;="&amp;INT($AO$1),
  '[1]Hoja 1'!$R:$R, "&lt;"&amp;INT($AP$1+1)
)</f>
        <v>0</v>
      </c>
      <c r="AN44" s="1">
        <f t="shared" si="22"/>
        <v>0</v>
      </c>
      <c r="AO44" s="9">
        <f t="shared" si="23"/>
        <v>0</v>
      </c>
      <c r="AP44" s="10">
        <f t="shared" si="24"/>
        <v>0</v>
      </c>
      <c r="AQ44" s="1">
        <f>SUMIFS(
  '[1]Hoja 1'!$M:$M,
  '[1]Hoja 1'!$S:$S, $A44,
  '[1]Hoja 1'!$R:$R, "&gt;="&amp;INT($AS$1),
  '[1]Hoja 1'!$R:$R, "&lt;"&amp;INT($AT$1+1)
)</f>
        <v>0</v>
      </c>
      <c r="AR44" s="1">
        <f t="shared" si="25"/>
        <v>0</v>
      </c>
      <c r="AS44" s="9">
        <f t="shared" si="26"/>
        <v>0</v>
      </c>
      <c r="AT44" s="10">
        <f t="shared" si="27"/>
        <v>0</v>
      </c>
      <c r="AU44" s="1">
        <f>SUMIFS(
  '[1]Hoja 1'!$M:$M,
  '[1]Hoja 1'!$S:$S, $A44,
  '[1]Hoja 1'!$R:$R, "&gt;="&amp;INT($AW$1),
  '[1]Hoja 1'!$R:$R, "&lt;"&amp;INT($AX$1+1)
)</f>
        <v>0</v>
      </c>
      <c r="AV44" s="1">
        <f t="shared" si="28"/>
        <v>0</v>
      </c>
      <c r="AW44" s="9">
        <f t="shared" si="29"/>
        <v>0</v>
      </c>
      <c r="AX44" s="10">
        <f t="shared" si="30"/>
        <v>0</v>
      </c>
    </row>
    <row r="45" spans="1:50" x14ac:dyDescent="0.25">
      <c r="A45" s="5">
        <v>206015</v>
      </c>
      <c r="B45" s="6" t="s">
        <v>42</v>
      </c>
      <c r="C45" s="1">
        <f>SUMIFS(
  '[1]Hoja 1'!$M:$M,
  '[1]Hoja 1'!$S:$S, $A45,
  '[1]Hoja 1'!$R:$R, "&gt;="&amp;INT($E$1),
  '[1]Hoja 1'!$R:$R, "&lt;"&amp;INT($F$1+1)
)</f>
        <v>0</v>
      </c>
      <c r="D45" s="1" t="str">
        <f>""</f>
        <v/>
      </c>
      <c r="F45" s="2"/>
      <c r="G45" s="1">
        <f>SUMIFS(
  '[1]Hoja 1'!$M:$M,
  '[1]Hoja 1'!$S:$S, $A45,
  '[1]Hoja 1'!$R:$R, "&gt;="&amp;INT($I$1),
  '[1]Hoja 1'!$R:$R, "&lt;"&amp;INT($J$1+1)
)</f>
        <v>0</v>
      </c>
      <c r="H45" s="1">
        <f t="shared" si="0"/>
        <v>0</v>
      </c>
      <c r="I45" s="1"/>
      <c r="J45" s="2"/>
      <c r="K45" s="1">
        <f>SUMIFS(
  '[1]Hoja 1'!$M:$M,
  '[1]Hoja 1'!$S:$S, $A45,
  '[1]Hoja 1'!$R:$R, "&gt;="&amp;INT($M$1),
  '[1]Hoja 1'!$R:$R, "&lt;"&amp;INT($N$1+1)
)</f>
        <v>0</v>
      </c>
      <c r="L45" s="1">
        <f t="shared" si="1"/>
        <v>0</v>
      </c>
      <c r="M45" s="9">
        <f t="shared" si="2"/>
        <v>0</v>
      </c>
      <c r="N45" s="10">
        <f t="shared" si="3"/>
        <v>0</v>
      </c>
      <c r="O45" s="1">
        <f>SUMIFS(
  '[1]Hoja 1'!$M:$M,
  '[1]Hoja 1'!$S:$S, $A45,
  '[1]Hoja 1'!$R:$R, "&gt;="&amp;INT($Q$1),
  '[1]Hoja 1'!$R:$R, "&lt;"&amp;INT($R$1+1)
)</f>
        <v>0</v>
      </c>
      <c r="P45" s="1">
        <f t="shared" si="4"/>
        <v>0</v>
      </c>
      <c r="Q45" s="9">
        <f t="shared" si="5"/>
        <v>0</v>
      </c>
      <c r="R45" s="10">
        <f t="shared" si="6"/>
        <v>0</v>
      </c>
      <c r="S45" s="1">
        <f>SUMIFS(
  '[1]Hoja 1'!$M:$M,
  '[1]Hoja 1'!$S:$S, $A45,
  '[1]Hoja 1'!$R:$R, "&gt;="&amp;INT($U$1),
  '[1]Hoja 1'!$R:$R, "&lt;"&amp;INT($V$1+1)
)</f>
        <v>0</v>
      </c>
      <c r="T45" s="1">
        <f t="shared" si="7"/>
        <v>0</v>
      </c>
      <c r="U45" s="9">
        <f t="shared" si="8"/>
        <v>-1.47</v>
      </c>
      <c r="V45" s="10">
        <f t="shared" si="9"/>
        <v>1.47</v>
      </c>
      <c r="W45" s="1">
        <f>SUMIFS(
  '[1]Hoja 1'!$M:$M,
  '[1]Hoja 1'!$S:$S, $A45,
  '[1]Hoja 1'!$R:$R, "&gt;="&amp;INT($Y$1),
  '[1]Hoja 1'!$R:$R, "&lt;"&amp;INT($Z$1+1)
)</f>
        <v>0</v>
      </c>
      <c r="X45" s="1">
        <f t="shared" si="10"/>
        <v>0</v>
      </c>
      <c r="Y45" s="9">
        <f t="shared" si="11"/>
        <v>0</v>
      </c>
      <c r="Z45" s="10">
        <f t="shared" si="12"/>
        <v>0</v>
      </c>
      <c r="AA45" s="1">
        <f>SUMIFS(
  '[1]Hoja 1'!$M:$M,
  '[1]Hoja 1'!$S:$S, $A45,
  '[1]Hoja 1'!$R:$R, "&gt;="&amp;INT($AC$1),
  '[1]Hoja 1'!$R:$R, "&lt;"&amp;INT($AD$1+1)
)</f>
        <v>0</v>
      </c>
      <c r="AB45" s="1">
        <f t="shared" si="13"/>
        <v>0</v>
      </c>
      <c r="AC45" s="9">
        <f t="shared" si="14"/>
        <v>0</v>
      </c>
      <c r="AD45" s="10">
        <f t="shared" si="15"/>
        <v>0</v>
      </c>
      <c r="AE45" s="1">
        <f>SUMIFS(
  '[1]Hoja 1'!$M:$M,
  '[1]Hoja 1'!$S:$S, $A45,
  '[1]Hoja 1'!$R:$R, "&gt;="&amp;INT($AG$1),
  '[1]Hoja 1'!$R:$R, "&lt;"&amp;INT($AH$1+1)
)</f>
        <v>0</v>
      </c>
      <c r="AF45" s="1">
        <f t="shared" si="16"/>
        <v>0</v>
      </c>
      <c r="AG45" s="9">
        <f t="shared" si="17"/>
        <v>0</v>
      </c>
      <c r="AH45" s="10">
        <f t="shared" si="18"/>
        <v>0</v>
      </c>
      <c r="AI45" s="1">
        <f>SUMIFS(
  '[1]Hoja 1'!$M:$M,
  '[1]Hoja 1'!$S:$S, $A45,
  '[1]Hoja 1'!$R:$R, "&gt;="&amp;INT($AK$1),
  '[1]Hoja 1'!$R:$R, "&lt;"&amp;INT($AJ$1+1)
)</f>
        <v>0</v>
      </c>
      <c r="AJ45" s="1">
        <f t="shared" si="19"/>
        <v>0</v>
      </c>
      <c r="AK45" s="9">
        <f t="shared" si="20"/>
        <v>0</v>
      </c>
      <c r="AL45" s="10">
        <f t="shared" si="21"/>
        <v>0</v>
      </c>
      <c r="AM45" s="1">
        <f>SUMIFS(
  '[1]Hoja 1'!$M:$M,
  '[1]Hoja 1'!$S:$S, $A45,
  '[1]Hoja 1'!$R:$R, "&gt;="&amp;INT($AO$1),
  '[1]Hoja 1'!$R:$R, "&lt;"&amp;INT($AP$1+1)
)</f>
        <v>0</v>
      </c>
      <c r="AN45" s="1">
        <f t="shared" si="22"/>
        <v>0</v>
      </c>
      <c r="AO45" s="9">
        <f t="shared" si="23"/>
        <v>0</v>
      </c>
      <c r="AP45" s="10">
        <f t="shared" si="24"/>
        <v>0</v>
      </c>
      <c r="AQ45" s="1">
        <f>SUMIFS(
  '[1]Hoja 1'!$M:$M,
  '[1]Hoja 1'!$S:$S, $A45,
  '[1]Hoja 1'!$R:$R, "&gt;="&amp;INT($AS$1),
  '[1]Hoja 1'!$R:$R, "&lt;"&amp;INT($AT$1+1)
)</f>
        <v>0</v>
      </c>
      <c r="AR45" s="1">
        <f t="shared" si="25"/>
        <v>0</v>
      </c>
      <c r="AS45" s="9">
        <f t="shared" si="26"/>
        <v>0</v>
      </c>
      <c r="AT45" s="10">
        <f t="shared" si="27"/>
        <v>0</v>
      </c>
      <c r="AU45" s="1">
        <f>SUMIFS(
  '[1]Hoja 1'!$M:$M,
  '[1]Hoja 1'!$S:$S, $A45,
  '[1]Hoja 1'!$R:$R, "&gt;="&amp;INT($AW$1),
  '[1]Hoja 1'!$R:$R, "&lt;"&amp;INT($AX$1+1)
)</f>
        <v>0</v>
      </c>
      <c r="AV45" s="1">
        <f t="shared" si="28"/>
        <v>0</v>
      </c>
      <c r="AW45" s="9">
        <f t="shared" si="29"/>
        <v>0</v>
      </c>
      <c r="AX45" s="10">
        <f t="shared" si="30"/>
        <v>0</v>
      </c>
    </row>
    <row r="46" spans="1:50" x14ac:dyDescent="0.25">
      <c r="A46" s="5">
        <v>207002</v>
      </c>
      <c r="B46" s="6" t="s">
        <v>43</v>
      </c>
      <c r="C46" s="1">
        <f>SUMIFS(
  '[1]Hoja 1'!$M:$M,
  '[1]Hoja 1'!$S:$S, $A46,
  '[1]Hoja 1'!$R:$R, "&gt;="&amp;INT($E$1),
  '[1]Hoja 1'!$R:$R, "&lt;"&amp;INT($F$1+1)
)</f>
        <v>6</v>
      </c>
      <c r="D46" s="1" t="str">
        <f>""</f>
        <v/>
      </c>
      <c r="F46" s="2"/>
      <c r="G46" s="1">
        <f>SUMIFS(
  '[1]Hoja 1'!$M:$M,
  '[1]Hoja 1'!$S:$S, $A46,
  '[1]Hoja 1'!$R:$R, "&gt;="&amp;INT($I$1),
  '[1]Hoja 1'!$R:$R, "&lt;"&amp;INT($J$1+1)
)</f>
        <v>2</v>
      </c>
      <c r="H46" s="1">
        <f t="shared" si="0"/>
        <v>4</v>
      </c>
      <c r="I46" s="1"/>
      <c r="J46" s="2"/>
      <c r="K46" s="1">
        <f>SUMIFS(
  '[1]Hoja 1'!$M:$M,
  '[1]Hoja 1'!$S:$S, $A46,
  '[1]Hoja 1'!$R:$R, "&gt;="&amp;INT($M$1),
  '[1]Hoja 1'!$R:$R, "&lt;"&amp;INT($N$1+1)
)</f>
        <v>0</v>
      </c>
      <c r="L46" s="1">
        <f t="shared" si="1"/>
        <v>1</v>
      </c>
      <c r="M46" s="9">
        <f t="shared" si="2"/>
        <v>-0.38592929112563312</v>
      </c>
      <c r="N46" s="10">
        <f t="shared" si="3"/>
        <v>2.3859292911256329</v>
      </c>
      <c r="O46" s="1">
        <f>SUMIFS(
  '[1]Hoja 1'!$M:$M,
  '[1]Hoja 1'!$S:$S, $A46,
  '[1]Hoja 1'!$R:$R, "&gt;="&amp;INT($Q$1),
  '[1]Hoja 1'!$R:$R, "&lt;"&amp;INT($R$1+1)
)</f>
        <v>0</v>
      </c>
      <c r="P46" s="1">
        <f t="shared" si="4"/>
        <v>0</v>
      </c>
      <c r="Q46" s="9">
        <f t="shared" si="5"/>
        <v>-1.96</v>
      </c>
      <c r="R46" s="10">
        <f t="shared" si="6"/>
        <v>1.96</v>
      </c>
      <c r="S46" s="1">
        <f>SUMIFS(
  '[1]Hoja 1'!$M:$M,
  '[1]Hoja 1'!$S:$S, $A46,
  '[1]Hoja 1'!$R:$R, "&gt;="&amp;INT($U$1),
  '[1]Hoja 1'!$R:$R, "&lt;"&amp;INT($V$1+1)
)</f>
        <v>0</v>
      </c>
      <c r="T46" s="1">
        <f t="shared" si="7"/>
        <v>0</v>
      </c>
      <c r="U46" s="9">
        <f t="shared" si="8"/>
        <v>-1.6736686251067343</v>
      </c>
      <c r="V46" s="10">
        <f t="shared" si="9"/>
        <v>1.6736686251067343</v>
      </c>
      <c r="W46" s="1">
        <f>SUMIFS(
  '[1]Hoja 1'!$M:$M,
  '[1]Hoja 1'!$S:$S, $A46,
  '[1]Hoja 1'!$R:$R, "&gt;="&amp;INT($Y$1),
  '[1]Hoja 1'!$R:$R, "&lt;"&amp;INT($Z$1+1)
)</f>
        <v>0</v>
      </c>
      <c r="X46" s="1">
        <f t="shared" si="10"/>
        <v>0</v>
      </c>
      <c r="Y46" s="9">
        <f t="shared" si="11"/>
        <v>-1.7530772943598349</v>
      </c>
      <c r="Z46" s="10">
        <f t="shared" si="12"/>
        <v>1.7530772943598349</v>
      </c>
      <c r="AA46" s="1">
        <f>SUMIFS(
  '[1]Hoja 1'!$M:$M,
  '[1]Hoja 1'!$S:$S, $A46,
  '[1]Hoja 1'!$R:$R, "&gt;="&amp;INT($AC$1),
  '[1]Hoja 1'!$R:$R, "&lt;"&amp;INT($AD$1+1)
)</f>
        <v>0</v>
      </c>
      <c r="AB46" s="1">
        <f t="shared" si="13"/>
        <v>0</v>
      </c>
      <c r="AC46" s="9">
        <f t="shared" si="14"/>
        <v>-1.6398536520067881</v>
      </c>
      <c r="AD46" s="10">
        <f t="shared" si="15"/>
        <v>1.6398536520067881</v>
      </c>
      <c r="AE46" s="1">
        <f>SUMIFS(
  '[1]Hoja 1'!$M:$M,
  '[1]Hoja 1'!$S:$S, $A46,
  '[1]Hoja 1'!$R:$R, "&gt;="&amp;INT($AG$1),
  '[1]Hoja 1'!$R:$R, "&lt;"&amp;INT($AH$1+1)
)</f>
        <v>0</v>
      </c>
      <c r="AF46" s="1">
        <f t="shared" si="16"/>
        <v>0</v>
      </c>
      <c r="AG46" s="9">
        <f t="shared" si="17"/>
        <v>-1.5421197532401087</v>
      </c>
      <c r="AH46" s="10">
        <f t="shared" si="18"/>
        <v>1.5421197532401087</v>
      </c>
      <c r="AI46" s="1">
        <f>SUMIFS(
  '[1]Hoja 1'!$M:$M,
  '[1]Hoja 1'!$S:$S, $A46,
  '[1]Hoja 1'!$R:$R, "&gt;="&amp;INT($AK$1),
  '[1]Hoja 1'!$R:$R, "&lt;"&amp;INT($AJ$1+1)
)</f>
        <v>0</v>
      </c>
      <c r="AJ46" s="1">
        <f t="shared" si="19"/>
        <v>0</v>
      </c>
      <c r="AK46" s="9">
        <f t="shared" si="20"/>
        <v>-1.458286665919976</v>
      </c>
      <c r="AL46" s="10">
        <f t="shared" si="21"/>
        <v>1.458286665919976</v>
      </c>
      <c r="AM46" s="1">
        <f>SUMIFS(
  '[1]Hoja 1'!$M:$M,
  '[1]Hoja 1'!$S:$S, $A46,
  '[1]Hoja 1'!$R:$R, "&gt;="&amp;INT($AO$1),
  '[1]Hoja 1'!$R:$R, "&lt;"&amp;INT($AP$1+1)
)</f>
        <v>0</v>
      </c>
      <c r="AN46" s="1">
        <f t="shared" si="22"/>
        <v>0</v>
      </c>
      <c r="AO46" s="9">
        <f t="shared" si="23"/>
        <v>-1.3859292911256331</v>
      </c>
      <c r="AP46" s="10">
        <f t="shared" si="24"/>
        <v>1.3859292911256331</v>
      </c>
      <c r="AQ46" s="1">
        <f>SUMIFS(
  '[1]Hoja 1'!$M:$M,
  '[1]Hoja 1'!$S:$S, $A46,
  '[1]Hoja 1'!$R:$R, "&gt;="&amp;INT($AS$1),
  '[1]Hoja 1'!$R:$R, "&lt;"&amp;INT($AT$1+1)
)</f>
        <v>0</v>
      </c>
      <c r="AR46" s="1">
        <f t="shared" si="25"/>
        <v>0</v>
      </c>
      <c r="AS46" s="9">
        <f t="shared" si="26"/>
        <v>-1.3228991731126836</v>
      </c>
      <c r="AT46" s="10">
        <f t="shared" si="27"/>
        <v>1.3228991731126836</v>
      </c>
      <c r="AU46" s="1">
        <f>SUMIFS(
  '[1]Hoja 1'!$M:$M,
  '[1]Hoja 1'!$S:$S, $A46,
  '[1]Hoja 1'!$R:$R, "&gt;="&amp;INT($AW$1),
  '[1]Hoja 1'!$R:$R, "&lt;"&amp;INT($AX$1+1)
)</f>
        <v>0</v>
      </c>
      <c r="AV46" s="1">
        <f t="shared" si="28"/>
        <v>0</v>
      </c>
      <c r="AW46" s="9">
        <f t="shared" si="29"/>
        <v>-1.2674727897384119</v>
      </c>
      <c r="AX46" s="10">
        <f t="shared" si="30"/>
        <v>1.2674727897384119</v>
      </c>
    </row>
    <row r="47" spans="1:50" x14ac:dyDescent="0.25">
      <c r="A47" s="5">
        <v>207003</v>
      </c>
      <c r="B47" s="6" t="s">
        <v>44</v>
      </c>
      <c r="C47" s="1">
        <f>SUMIFS(
  '[1]Hoja 1'!$M:$M,
  '[1]Hoja 1'!$S:$S, $A47,
  '[1]Hoja 1'!$R:$R, "&gt;="&amp;INT($E$1),
  '[1]Hoja 1'!$R:$R, "&lt;"&amp;INT($F$1+1)
)</f>
        <v>0</v>
      </c>
      <c r="D47" s="1" t="str">
        <f>""</f>
        <v/>
      </c>
      <c r="F47" s="2"/>
      <c r="G47" s="1">
        <f>SUMIFS(
  '[1]Hoja 1'!$M:$M,
  '[1]Hoja 1'!$S:$S, $A47,
  '[1]Hoja 1'!$R:$R, "&gt;="&amp;INT($I$1),
  '[1]Hoja 1'!$R:$R, "&lt;"&amp;INT($J$1+1)
)</f>
        <v>0</v>
      </c>
      <c r="H47" s="1">
        <f t="shared" si="0"/>
        <v>0</v>
      </c>
      <c r="I47" s="1"/>
      <c r="J47" s="2"/>
      <c r="K47" s="1">
        <f>SUMIFS(
  '[1]Hoja 1'!$M:$M,
  '[1]Hoja 1'!$S:$S, $A47,
  '[1]Hoja 1'!$R:$R, "&gt;="&amp;INT($M$1),
  '[1]Hoja 1'!$R:$R, "&lt;"&amp;INT($N$1+1)
)</f>
        <v>0</v>
      </c>
      <c r="L47" s="1">
        <f t="shared" si="1"/>
        <v>0</v>
      </c>
      <c r="M47" s="9">
        <f t="shared" si="2"/>
        <v>0</v>
      </c>
      <c r="N47" s="10">
        <f t="shared" si="3"/>
        <v>0</v>
      </c>
      <c r="O47" s="1">
        <f>SUMIFS(
  '[1]Hoja 1'!$M:$M,
  '[1]Hoja 1'!$S:$S, $A47,
  '[1]Hoja 1'!$R:$R, "&gt;="&amp;INT($Q$1),
  '[1]Hoja 1'!$R:$R, "&lt;"&amp;INT($R$1+1)
)</f>
        <v>0</v>
      </c>
      <c r="P47" s="1">
        <f t="shared" si="4"/>
        <v>0</v>
      </c>
      <c r="Q47" s="9">
        <f t="shared" si="5"/>
        <v>0</v>
      </c>
      <c r="R47" s="10">
        <f t="shared" si="6"/>
        <v>0</v>
      </c>
      <c r="S47" s="1">
        <f>SUMIFS(
  '[1]Hoja 1'!$M:$M,
  '[1]Hoja 1'!$S:$S, $A47,
  '[1]Hoja 1'!$R:$R, "&gt;="&amp;INT($U$1),
  '[1]Hoja 1'!$R:$R, "&lt;"&amp;INT($V$1+1)
)</f>
        <v>0</v>
      </c>
      <c r="T47" s="1">
        <f t="shared" si="7"/>
        <v>0</v>
      </c>
      <c r="U47" s="9">
        <f t="shared" si="8"/>
        <v>-1.47</v>
      </c>
      <c r="V47" s="10">
        <f t="shared" si="9"/>
        <v>1.47</v>
      </c>
      <c r="W47" s="1">
        <f>SUMIFS(
  '[1]Hoja 1'!$M:$M,
  '[1]Hoja 1'!$S:$S, $A47,
  '[1]Hoja 1'!$R:$R, "&gt;="&amp;INT($Y$1),
  '[1]Hoja 1'!$R:$R, "&lt;"&amp;INT($Z$1+1)
)</f>
        <v>0</v>
      </c>
      <c r="X47" s="1">
        <f t="shared" si="10"/>
        <v>0</v>
      </c>
      <c r="Y47" s="9">
        <f t="shared" si="11"/>
        <v>0</v>
      </c>
      <c r="Z47" s="10">
        <f t="shared" si="12"/>
        <v>0</v>
      </c>
      <c r="AA47" s="1">
        <f>SUMIFS(
  '[1]Hoja 1'!$M:$M,
  '[1]Hoja 1'!$S:$S, $A47,
  '[1]Hoja 1'!$R:$R, "&gt;="&amp;INT($AC$1),
  '[1]Hoja 1'!$R:$R, "&lt;"&amp;INT($AD$1+1)
)</f>
        <v>0</v>
      </c>
      <c r="AB47" s="1">
        <f t="shared" si="13"/>
        <v>0</v>
      </c>
      <c r="AC47" s="9">
        <f t="shared" si="14"/>
        <v>0</v>
      </c>
      <c r="AD47" s="10">
        <f t="shared" si="15"/>
        <v>0</v>
      </c>
      <c r="AE47" s="1">
        <f>SUMIFS(
  '[1]Hoja 1'!$M:$M,
  '[1]Hoja 1'!$S:$S, $A47,
  '[1]Hoja 1'!$R:$R, "&gt;="&amp;INT($AG$1),
  '[1]Hoja 1'!$R:$R, "&lt;"&amp;INT($AH$1+1)
)</f>
        <v>0</v>
      </c>
      <c r="AF47" s="1">
        <f t="shared" si="16"/>
        <v>0</v>
      </c>
      <c r="AG47" s="9">
        <f t="shared" si="17"/>
        <v>0</v>
      </c>
      <c r="AH47" s="10">
        <f t="shared" si="18"/>
        <v>0</v>
      </c>
      <c r="AI47" s="1">
        <f>SUMIFS(
  '[1]Hoja 1'!$M:$M,
  '[1]Hoja 1'!$S:$S, $A47,
  '[1]Hoja 1'!$R:$R, "&gt;="&amp;INT($AK$1),
  '[1]Hoja 1'!$R:$R, "&lt;"&amp;INT($AJ$1+1)
)</f>
        <v>0</v>
      </c>
      <c r="AJ47" s="1">
        <f t="shared" si="19"/>
        <v>0</v>
      </c>
      <c r="AK47" s="9">
        <f t="shared" si="20"/>
        <v>0</v>
      </c>
      <c r="AL47" s="10">
        <f t="shared" si="21"/>
        <v>0</v>
      </c>
      <c r="AM47" s="1">
        <f>SUMIFS(
  '[1]Hoja 1'!$M:$M,
  '[1]Hoja 1'!$S:$S, $A47,
  '[1]Hoja 1'!$R:$R, "&gt;="&amp;INT($AO$1),
  '[1]Hoja 1'!$R:$R, "&lt;"&amp;INT($AP$1+1)
)</f>
        <v>0</v>
      </c>
      <c r="AN47" s="1">
        <f t="shared" si="22"/>
        <v>0</v>
      </c>
      <c r="AO47" s="9">
        <f t="shared" si="23"/>
        <v>0</v>
      </c>
      <c r="AP47" s="10">
        <f t="shared" si="24"/>
        <v>0</v>
      </c>
      <c r="AQ47" s="1">
        <f>SUMIFS(
  '[1]Hoja 1'!$M:$M,
  '[1]Hoja 1'!$S:$S, $A47,
  '[1]Hoja 1'!$R:$R, "&gt;="&amp;INT($AS$1),
  '[1]Hoja 1'!$R:$R, "&lt;"&amp;INT($AT$1+1)
)</f>
        <v>0</v>
      </c>
      <c r="AR47" s="1">
        <f t="shared" si="25"/>
        <v>0</v>
      </c>
      <c r="AS47" s="9">
        <f t="shared" si="26"/>
        <v>0</v>
      </c>
      <c r="AT47" s="10">
        <f t="shared" si="27"/>
        <v>0</v>
      </c>
      <c r="AU47" s="1">
        <f>SUMIFS(
  '[1]Hoja 1'!$M:$M,
  '[1]Hoja 1'!$S:$S, $A47,
  '[1]Hoja 1'!$R:$R, "&gt;="&amp;INT($AW$1),
  '[1]Hoja 1'!$R:$R, "&lt;"&amp;INT($AX$1+1)
)</f>
        <v>0</v>
      </c>
      <c r="AV47" s="1">
        <f t="shared" si="28"/>
        <v>0</v>
      </c>
      <c r="AW47" s="9">
        <f t="shared" si="29"/>
        <v>0</v>
      </c>
      <c r="AX47" s="10">
        <f t="shared" si="30"/>
        <v>0</v>
      </c>
    </row>
    <row r="48" spans="1:50" x14ac:dyDescent="0.25">
      <c r="A48" s="5">
        <v>207005</v>
      </c>
      <c r="B48" s="6" t="s">
        <v>45</v>
      </c>
      <c r="C48" s="1">
        <f>SUMIFS(
  '[1]Hoja 1'!$M:$M,
  '[1]Hoja 1'!$S:$S, $A48,
  '[1]Hoja 1'!$R:$R, "&gt;="&amp;INT($E$1),
  '[1]Hoja 1'!$R:$R, "&lt;"&amp;INT($F$1+1)
)</f>
        <v>0</v>
      </c>
      <c r="D48" s="1" t="str">
        <f>""</f>
        <v/>
      </c>
      <c r="F48" s="2"/>
      <c r="G48" s="1">
        <f>SUMIFS(
  '[1]Hoja 1'!$M:$M,
  '[1]Hoja 1'!$S:$S, $A48,
  '[1]Hoja 1'!$R:$R, "&gt;="&amp;INT($I$1),
  '[1]Hoja 1'!$R:$R, "&lt;"&amp;INT($J$1+1)
)</f>
        <v>0</v>
      </c>
      <c r="H48" s="1">
        <f t="shared" si="0"/>
        <v>0</v>
      </c>
      <c r="I48" s="1"/>
      <c r="J48" s="2"/>
      <c r="K48" s="1">
        <f>SUMIFS(
  '[1]Hoja 1'!$M:$M,
  '[1]Hoja 1'!$S:$S, $A48,
  '[1]Hoja 1'!$R:$R, "&gt;="&amp;INT($M$1),
  '[1]Hoja 1'!$R:$R, "&lt;"&amp;INT($N$1+1)
)</f>
        <v>0</v>
      </c>
      <c r="L48" s="1">
        <f t="shared" si="1"/>
        <v>0</v>
      </c>
      <c r="M48" s="9">
        <f t="shared" si="2"/>
        <v>0</v>
      </c>
      <c r="N48" s="10">
        <f t="shared" si="3"/>
        <v>0</v>
      </c>
      <c r="O48" s="1">
        <f>SUMIFS(
  '[1]Hoja 1'!$M:$M,
  '[1]Hoja 1'!$S:$S, $A48,
  '[1]Hoja 1'!$R:$R, "&gt;="&amp;INT($Q$1),
  '[1]Hoja 1'!$R:$R, "&lt;"&amp;INT($R$1+1)
)</f>
        <v>0</v>
      </c>
      <c r="P48" s="1">
        <f t="shared" si="4"/>
        <v>0</v>
      </c>
      <c r="Q48" s="9">
        <f t="shared" si="5"/>
        <v>0</v>
      </c>
      <c r="R48" s="10">
        <f t="shared" si="6"/>
        <v>0</v>
      </c>
      <c r="S48" s="1">
        <f>SUMIFS(
  '[1]Hoja 1'!$M:$M,
  '[1]Hoja 1'!$S:$S, $A48,
  '[1]Hoja 1'!$R:$R, "&gt;="&amp;INT($U$1),
  '[1]Hoja 1'!$R:$R, "&lt;"&amp;INT($V$1+1)
)</f>
        <v>0</v>
      </c>
      <c r="T48" s="1">
        <f t="shared" si="7"/>
        <v>0</v>
      </c>
      <c r="U48" s="9">
        <f t="shared" si="8"/>
        <v>-1.47</v>
      </c>
      <c r="V48" s="10">
        <f t="shared" si="9"/>
        <v>1.47</v>
      </c>
      <c r="W48" s="1">
        <f>SUMIFS(
  '[1]Hoja 1'!$M:$M,
  '[1]Hoja 1'!$S:$S, $A48,
  '[1]Hoja 1'!$R:$R, "&gt;="&amp;INT($Y$1),
  '[1]Hoja 1'!$R:$R, "&lt;"&amp;INT($Z$1+1)
)</f>
        <v>0</v>
      </c>
      <c r="X48" s="1">
        <f t="shared" si="10"/>
        <v>0</v>
      </c>
      <c r="Y48" s="9">
        <f t="shared" si="11"/>
        <v>0</v>
      </c>
      <c r="Z48" s="10">
        <f t="shared" si="12"/>
        <v>0</v>
      </c>
      <c r="AA48" s="1">
        <f>SUMIFS(
  '[1]Hoja 1'!$M:$M,
  '[1]Hoja 1'!$S:$S, $A48,
  '[1]Hoja 1'!$R:$R, "&gt;="&amp;INT($AC$1),
  '[1]Hoja 1'!$R:$R, "&lt;"&amp;INT($AD$1+1)
)</f>
        <v>0</v>
      </c>
      <c r="AB48" s="1">
        <f t="shared" si="13"/>
        <v>0</v>
      </c>
      <c r="AC48" s="9">
        <f t="shared" si="14"/>
        <v>0</v>
      </c>
      <c r="AD48" s="10">
        <f t="shared" si="15"/>
        <v>0</v>
      </c>
      <c r="AE48" s="1">
        <f>SUMIFS(
  '[1]Hoja 1'!$M:$M,
  '[1]Hoja 1'!$S:$S, $A48,
  '[1]Hoja 1'!$R:$R, "&gt;="&amp;INT($AG$1),
  '[1]Hoja 1'!$R:$R, "&lt;"&amp;INT($AH$1+1)
)</f>
        <v>0</v>
      </c>
      <c r="AF48" s="1">
        <f t="shared" si="16"/>
        <v>0</v>
      </c>
      <c r="AG48" s="9">
        <f t="shared" si="17"/>
        <v>0</v>
      </c>
      <c r="AH48" s="10">
        <f t="shared" si="18"/>
        <v>0</v>
      </c>
      <c r="AI48" s="1">
        <f>SUMIFS(
  '[1]Hoja 1'!$M:$M,
  '[1]Hoja 1'!$S:$S, $A48,
  '[1]Hoja 1'!$R:$R, "&gt;="&amp;INT($AK$1),
  '[1]Hoja 1'!$R:$R, "&lt;"&amp;INT($AJ$1+1)
)</f>
        <v>0</v>
      </c>
      <c r="AJ48" s="1">
        <f t="shared" si="19"/>
        <v>0</v>
      </c>
      <c r="AK48" s="9">
        <f t="shared" si="20"/>
        <v>0</v>
      </c>
      <c r="AL48" s="10">
        <f t="shared" si="21"/>
        <v>0</v>
      </c>
      <c r="AM48" s="1">
        <f>SUMIFS(
  '[1]Hoja 1'!$M:$M,
  '[1]Hoja 1'!$S:$S, $A48,
  '[1]Hoja 1'!$R:$R, "&gt;="&amp;INT($AO$1),
  '[1]Hoja 1'!$R:$R, "&lt;"&amp;INT($AP$1+1)
)</f>
        <v>0</v>
      </c>
      <c r="AN48" s="1">
        <f t="shared" si="22"/>
        <v>0</v>
      </c>
      <c r="AO48" s="9">
        <f t="shared" si="23"/>
        <v>0</v>
      </c>
      <c r="AP48" s="10">
        <f t="shared" si="24"/>
        <v>0</v>
      </c>
      <c r="AQ48" s="1">
        <f>SUMIFS(
  '[1]Hoja 1'!$M:$M,
  '[1]Hoja 1'!$S:$S, $A48,
  '[1]Hoja 1'!$R:$R, "&gt;="&amp;INT($AS$1),
  '[1]Hoja 1'!$R:$R, "&lt;"&amp;INT($AT$1+1)
)</f>
        <v>0</v>
      </c>
      <c r="AR48" s="1">
        <f t="shared" si="25"/>
        <v>0</v>
      </c>
      <c r="AS48" s="9">
        <f t="shared" si="26"/>
        <v>0</v>
      </c>
      <c r="AT48" s="10">
        <f t="shared" si="27"/>
        <v>0</v>
      </c>
      <c r="AU48" s="1">
        <f>SUMIFS(
  '[1]Hoja 1'!$M:$M,
  '[1]Hoja 1'!$S:$S, $A48,
  '[1]Hoja 1'!$R:$R, "&gt;="&amp;INT($AW$1),
  '[1]Hoja 1'!$R:$R, "&lt;"&amp;INT($AX$1+1)
)</f>
        <v>0</v>
      </c>
      <c r="AV48" s="1">
        <f t="shared" si="28"/>
        <v>0</v>
      </c>
      <c r="AW48" s="9">
        <f t="shared" si="29"/>
        <v>0</v>
      </c>
      <c r="AX48" s="10">
        <f t="shared" si="30"/>
        <v>0</v>
      </c>
    </row>
    <row r="49" spans="1:50" x14ac:dyDescent="0.25">
      <c r="A49" s="5">
        <v>207007</v>
      </c>
      <c r="B49" s="6" t="s">
        <v>46</v>
      </c>
      <c r="C49" s="1">
        <f>SUMIFS(
  '[1]Hoja 1'!$M:$M,
  '[1]Hoja 1'!$S:$S, $A49,
  '[1]Hoja 1'!$R:$R, "&gt;="&amp;INT($E$1),
  '[1]Hoja 1'!$R:$R, "&lt;"&amp;INT($F$1+1)
)</f>
        <v>0</v>
      </c>
      <c r="D49" s="1" t="str">
        <f>""</f>
        <v/>
      </c>
      <c r="F49" s="2"/>
      <c r="G49" s="1">
        <f>SUMIFS(
  '[1]Hoja 1'!$M:$M,
  '[1]Hoja 1'!$S:$S, $A49,
  '[1]Hoja 1'!$R:$R, "&gt;="&amp;INT($I$1),
  '[1]Hoja 1'!$R:$R, "&lt;"&amp;INT($J$1+1)
)</f>
        <v>0</v>
      </c>
      <c r="H49" s="1">
        <f t="shared" si="0"/>
        <v>0</v>
      </c>
      <c r="I49" s="1"/>
      <c r="J49" s="2"/>
      <c r="K49" s="1">
        <f>SUMIFS(
  '[1]Hoja 1'!$M:$M,
  '[1]Hoja 1'!$S:$S, $A49,
  '[1]Hoja 1'!$R:$R, "&gt;="&amp;INT($M$1),
  '[1]Hoja 1'!$R:$R, "&lt;"&amp;INT($N$1+1)
)</f>
        <v>0</v>
      </c>
      <c r="L49" s="1">
        <f t="shared" si="1"/>
        <v>0</v>
      </c>
      <c r="M49" s="9">
        <f t="shared" si="2"/>
        <v>0</v>
      </c>
      <c r="N49" s="10">
        <f t="shared" si="3"/>
        <v>0</v>
      </c>
      <c r="O49" s="1">
        <f>SUMIFS(
  '[1]Hoja 1'!$M:$M,
  '[1]Hoja 1'!$S:$S, $A49,
  '[1]Hoja 1'!$R:$R, "&gt;="&amp;INT($Q$1),
  '[1]Hoja 1'!$R:$R, "&lt;"&amp;INT($R$1+1)
)</f>
        <v>0</v>
      </c>
      <c r="P49" s="1">
        <f t="shared" si="4"/>
        <v>0</v>
      </c>
      <c r="Q49" s="9">
        <f t="shared" si="5"/>
        <v>0</v>
      </c>
      <c r="R49" s="10">
        <f t="shared" si="6"/>
        <v>0</v>
      </c>
      <c r="S49" s="1">
        <f>SUMIFS(
  '[1]Hoja 1'!$M:$M,
  '[1]Hoja 1'!$S:$S, $A49,
  '[1]Hoja 1'!$R:$R, "&gt;="&amp;INT($U$1),
  '[1]Hoja 1'!$R:$R, "&lt;"&amp;INT($V$1+1)
)</f>
        <v>0</v>
      </c>
      <c r="T49" s="1">
        <f t="shared" si="7"/>
        <v>0</v>
      </c>
      <c r="U49" s="9">
        <f t="shared" si="8"/>
        <v>-1.47</v>
      </c>
      <c r="V49" s="10">
        <f t="shared" si="9"/>
        <v>1.47</v>
      </c>
      <c r="W49" s="1">
        <f>SUMIFS(
  '[1]Hoja 1'!$M:$M,
  '[1]Hoja 1'!$S:$S, $A49,
  '[1]Hoja 1'!$R:$R, "&gt;="&amp;INT($Y$1),
  '[1]Hoja 1'!$R:$R, "&lt;"&amp;INT($Z$1+1)
)</f>
        <v>0</v>
      </c>
      <c r="X49" s="1">
        <f t="shared" si="10"/>
        <v>0</v>
      </c>
      <c r="Y49" s="9">
        <f t="shared" si="11"/>
        <v>0</v>
      </c>
      <c r="Z49" s="10">
        <f t="shared" si="12"/>
        <v>0</v>
      </c>
      <c r="AA49" s="1">
        <f>SUMIFS(
  '[1]Hoja 1'!$M:$M,
  '[1]Hoja 1'!$S:$S, $A49,
  '[1]Hoja 1'!$R:$R, "&gt;="&amp;INT($AC$1),
  '[1]Hoja 1'!$R:$R, "&lt;"&amp;INT($AD$1+1)
)</f>
        <v>0</v>
      </c>
      <c r="AB49" s="1">
        <f t="shared" si="13"/>
        <v>0</v>
      </c>
      <c r="AC49" s="9">
        <f t="shared" si="14"/>
        <v>0</v>
      </c>
      <c r="AD49" s="10">
        <f t="shared" si="15"/>
        <v>0</v>
      </c>
      <c r="AE49" s="1">
        <f>SUMIFS(
  '[1]Hoja 1'!$M:$M,
  '[1]Hoja 1'!$S:$S, $A49,
  '[1]Hoja 1'!$R:$R, "&gt;="&amp;INT($AG$1),
  '[1]Hoja 1'!$R:$R, "&lt;"&amp;INT($AH$1+1)
)</f>
        <v>0</v>
      </c>
      <c r="AF49" s="1">
        <f t="shared" si="16"/>
        <v>0</v>
      </c>
      <c r="AG49" s="9">
        <f t="shared" si="17"/>
        <v>0</v>
      </c>
      <c r="AH49" s="10">
        <f t="shared" si="18"/>
        <v>0</v>
      </c>
      <c r="AI49" s="1">
        <f>SUMIFS(
  '[1]Hoja 1'!$M:$M,
  '[1]Hoja 1'!$S:$S, $A49,
  '[1]Hoja 1'!$R:$R, "&gt;="&amp;INT($AK$1),
  '[1]Hoja 1'!$R:$R, "&lt;"&amp;INT($AJ$1+1)
)</f>
        <v>0</v>
      </c>
      <c r="AJ49" s="1">
        <f t="shared" si="19"/>
        <v>0</v>
      </c>
      <c r="AK49" s="9">
        <f t="shared" si="20"/>
        <v>0</v>
      </c>
      <c r="AL49" s="10">
        <f t="shared" si="21"/>
        <v>0</v>
      </c>
      <c r="AM49" s="1">
        <f>SUMIFS(
  '[1]Hoja 1'!$M:$M,
  '[1]Hoja 1'!$S:$S, $A49,
  '[1]Hoja 1'!$R:$R, "&gt;="&amp;INT($AO$1),
  '[1]Hoja 1'!$R:$R, "&lt;"&amp;INT($AP$1+1)
)</f>
        <v>0</v>
      </c>
      <c r="AN49" s="1">
        <f t="shared" si="22"/>
        <v>0</v>
      </c>
      <c r="AO49" s="9">
        <f t="shared" si="23"/>
        <v>0</v>
      </c>
      <c r="AP49" s="10">
        <f t="shared" si="24"/>
        <v>0</v>
      </c>
      <c r="AQ49" s="1">
        <f>SUMIFS(
  '[1]Hoja 1'!$M:$M,
  '[1]Hoja 1'!$S:$S, $A49,
  '[1]Hoja 1'!$R:$R, "&gt;="&amp;INT($AS$1),
  '[1]Hoja 1'!$R:$R, "&lt;"&amp;INT($AT$1+1)
)</f>
        <v>0</v>
      </c>
      <c r="AR49" s="1">
        <f t="shared" si="25"/>
        <v>0</v>
      </c>
      <c r="AS49" s="9">
        <f t="shared" si="26"/>
        <v>0</v>
      </c>
      <c r="AT49" s="10">
        <f t="shared" si="27"/>
        <v>0</v>
      </c>
      <c r="AU49" s="1">
        <f>SUMIFS(
  '[1]Hoja 1'!$M:$M,
  '[1]Hoja 1'!$S:$S, $A49,
  '[1]Hoja 1'!$R:$R, "&gt;="&amp;INT($AW$1),
  '[1]Hoja 1'!$R:$R, "&lt;"&amp;INT($AX$1+1)
)</f>
        <v>0</v>
      </c>
      <c r="AV49" s="1">
        <f t="shared" si="28"/>
        <v>0</v>
      </c>
      <c r="AW49" s="9">
        <f t="shared" si="29"/>
        <v>0</v>
      </c>
      <c r="AX49" s="10">
        <f t="shared" si="30"/>
        <v>0</v>
      </c>
    </row>
    <row r="50" spans="1:50" x14ac:dyDescent="0.25">
      <c r="A50" s="5">
        <v>207008</v>
      </c>
      <c r="B50" s="6" t="s">
        <v>47</v>
      </c>
      <c r="C50" s="1">
        <f>SUMIFS(
  '[1]Hoja 1'!$M:$M,
  '[1]Hoja 1'!$S:$S, $A50,
  '[1]Hoja 1'!$R:$R, "&gt;="&amp;INT($E$1),
  '[1]Hoja 1'!$R:$R, "&lt;"&amp;INT($F$1+1)
)</f>
        <v>0</v>
      </c>
      <c r="D50" s="1" t="str">
        <f>""</f>
        <v/>
      </c>
      <c r="F50" s="2"/>
      <c r="G50" s="1">
        <f>SUMIFS(
  '[1]Hoja 1'!$M:$M,
  '[1]Hoja 1'!$S:$S, $A50,
  '[1]Hoja 1'!$R:$R, "&gt;="&amp;INT($I$1),
  '[1]Hoja 1'!$R:$R, "&lt;"&amp;INT($J$1+1)
)</f>
        <v>0</v>
      </c>
      <c r="H50" s="1">
        <f t="shared" si="0"/>
        <v>0</v>
      </c>
      <c r="I50" s="1"/>
      <c r="J50" s="2"/>
      <c r="K50" s="1">
        <f>SUMIFS(
  '[1]Hoja 1'!$M:$M,
  '[1]Hoja 1'!$S:$S, $A50,
  '[1]Hoja 1'!$R:$R, "&gt;="&amp;INT($M$1),
  '[1]Hoja 1'!$R:$R, "&lt;"&amp;INT($N$1+1)
)</f>
        <v>0</v>
      </c>
      <c r="L50" s="1">
        <f t="shared" si="1"/>
        <v>0</v>
      </c>
      <c r="M50" s="9">
        <f t="shared" si="2"/>
        <v>0</v>
      </c>
      <c r="N50" s="10">
        <f t="shared" si="3"/>
        <v>0</v>
      </c>
      <c r="O50" s="1">
        <f>SUMIFS(
  '[1]Hoja 1'!$M:$M,
  '[1]Hoja 1'!$S:$S, $A50,
  '[1]Hoja 1'!$R:$R, "&gt;="&amp;INT($Q$1),
  '[1]Hoja 1'!$R:$R, "&lt;"&amp;INT($R$1+1)
)</f>
        <v>0</v>
      </c>
      <c r="P50" s="1">
        <f t="shared" si="4"/>
        <v>0</v>
      </c>
      <c r="Q50" s="9">
        <f t="shared" si="5"/>
        <v>0</v>
      </c>
      <c r="R50" s="10">
        <f t="shared" si="6"/>
        <v>0</v>
      </c>
      <c r="S50" s="1">
        <f>SUMIFS(
  '[1]Hoja 1'!$M:$M,
  '[1]Hoja 1'!$S:$S, $A50,
  '[1]Hoja 1'!$R:$R, "&gt;="&amp;INT($U$1),
  '[1]Hoja 1'!$R:$R, "&lt;"&amp;INT($V$1+1)
)</f>
        <v>0</v>
      </c>
      <c r="T50" s="1">
        <f t="shared" si="7"/>
        <v>0</v>
      </c>
      <c r="U50" s="9">
        <f t="shared" si="8"/>
        <v>-1.47</v>
      </c>
      <c r="V50" s="10">
        <f t="shared" si="9"/>
        <v>1.47</v>
      </c>
      <c r="W50" s="1">
        <f>SUMIFS(
  '[1]Hoja 1'!$M:$M,
  '[1]Hoja 1'!$S:$S, $A50,
  '[1]Hoja 1'!$R:$R, "&gt;="&amp;INT($Y$1),
  '[1]Hoja 1'!$R:$R, "&lt;"&amp;INT($Z$1+1)
)</f>
        <v>0</v>
      </c>
      <c r="X50" s="1">
        <f t="shared" si="10"/>
        <v>0</v>
      </c>
      <c r="Y50" s="9">
        <f t="shared" si="11"/>
        <v>0</v>
      </c>
      <c r="Z50" s="10">
        <f t="shared" si="12"/>
        <v>0</v>
      </c>
      <c r="AA50" s="1">
        <f>SUMIFS(
  '[1]Hoja 1'!$M:$M,
  '[1]Hoja 1'!$S:$S, $A50,
  '[1]Hoja 1'!$R:$R, "&gt;="&amp;INT($AC$1),
  '[1]Hoja 1'!$R:$R, "&lt;"&amp;INT($AD$1+1)
)</f>
        <v>0</v>
      </c>
      <c r="AB50" s="1">
        <f t="shared" si="13"/>
        <v>0</v>
      </c>
      <c r="AC50" s="9">
        <f t="shared" si="14"/>
        <v>0</v>
      </c>
      <c r="AD50" s="10">
        <f t="shared" si="15"/>
        <v>0</v>
      </c>
      <c r="AE50" s="1">
        <f>SUMIFS(
  '[1]Hoja 1'!$M:$M,
  '[1]Hoja 1'!$S:$S, $A50,
  '[1]Hoja 1'!$R:$R, "&gt;="&amp;INT($AG$1),
  '[1]Hoja 1'!$R:$R, "&lt;"&amp;INT($AH$1+1)
)</f>
        <v>0</v>
      </c>
      <c r="AF50" s="1">
        <f t="shared" si="16"/>
        <v>0</v>
      </c>
      <c r="AG50" s="9">
        <f t="shared" si="17"/>
        <v>0</v>
      </c>
      <c r="AH50" s="10">
        <f t="shared" si="18"/>
        <v>0</v>
      </c>
      <c r="AI50" s="1">
        <f>SUMIFS(
  '[1]Hoja 1'!$M:$M,
  '[1]Hoja 1'!$S:$S, $A50,
  '[1]Hoja 1'!$R:$R, "&gt;="&amp;INT($AK$1),
  '[1]Hoja 1'!$R:$R, "&lt;"&amp;INT($AJ$1+1)
)</f>
        <v>0</v>
      </c>
      <c r="AJ50" s="1">
        <f t="shared" si="19"/>
        <v>0</v>
      </c>
      <c r="AK50" s="9">
        <f t="shared" si="20"/>
        <v>0</v>
      </c>
      <c r="AL50" s="10">
        <f t="shared" si="21"/>
        <v>0</v>
      </c>
      <c r="AM50" s="1">
        <f>SUMIFS(
  '[1]Hoja 1'!$M:$M,
  '[1]Hoja 1'!$S:$S, $A50,
  '[1]Hoja 1'!$R:$R, "&gt;="&amp;INT($AO$1),
  '[1]Hoja 1'!$R:$R, "&lt;"&amp;INT($AP$1+1)
)</f>
        <v>0</v>
      </c>
      <c r="AN50" s="1">
        <f t="shared" si="22"/>
        <v>0</v>
      </c>
      <c r="AO50" s="9">
        <f t="shared" si="23"/>
        <v>0</v>
      </c>
      <c r="AP50" s="10">
        <f t="shared" si="24"/>
        <v>0</v>
      </c>
      <c r="AQ50" s="1">
        <f>SUMIFS(
  '[1]Hoja 1'!$M:$M,
  '[1]Hoja 1'!$S:$S, $A50,
  '[1]Hoja 1'!$R:$R, "&gt;="&amp;INT($AS$1),
  '[1]Hoja 1'!$R:$R, "&lt;"&amp;INT($AT$1+1)
)</f>
        <v>0</v>
      </c>
      <c r="AR50" s="1">
        <f t="shared" si="25"/>
        <v>0</v>
      </c>
      <c r="AS50" s="9">
        <f t="shared" si="26"/>
        <v>0</v>
      </c>
      <c r="AT50" s="10">
        <f t="shared" si="27"/>
        <v>0</v>
      </c>
      <c r="AU50" s="1">
        <f>SUMIFS(
  '[1]Hoja 1'!$M:$M,
  '[1]Hoja 1'!$S:$S, $A50,
  '[1]Hoja 1'!$R:$R, "&gt;="&amp;INT($AW$1),
  '[1]Hoja 1'!$R:$R, "&lt;"&amp;INT($AX$1+1)
)</f>
        <v>0</v>
      </c>
      <c r="AV50" s="1">
        <f t="shared" si="28"/>
        <v>0</v>
      </c>
      <c r="AW50" s="9">
        <f t="shared" si="29"/>
        <v>0</v>
      </c>
      <c r="AX50" s="10">
        <f t="shared" si="30"/>
        <v>0</v>
      </c>
    </row>
    <row r="51" spans="1:50" x14ac:dyDescent="0.25">
      <c r="A51" s="5">
        <v>207009</v>
      </c>
      <c r="B51" s="6" t="s">
        <v>48</v>
      </c>
      <c r="C51" s="1">
        <f>SUMIFS(
  '[1]Hoja 1'!$M:$M,
  '[1]Hoja 1'!$S:$S, $A51,
  '[1]Hoja 1'!$R:$R, "&gt;="&amp;INT($E$1),
  '[1]Hoja 1'!$R:$R, "&lt;"&amp;INT($F$1+1)
)</f>
        <v>0</v>
      </c>
      <c r="D51" s="1" t="str">
        <f>""</f>
        <v/>
      </c>
      <c r="F51" s="2"/>
      <c r="G51" s="1">
        <f>SUMIFS(
  '[1]Hoja 1'!$M:$M,
  '[1]Hoja 1'!$S:$S, $A51,
  '[1]Hoja 1'!$R:$R, "&gt;="&amp;INT($I$1),
  '[1]Hoja 1'!$R:$R, "&lt;"&amp;INT($J$1+1)
)</f>
        <v>0</v>
      </c>
      <c r="H51" s="1">
        <f t="shared" si="0"/>
        <v>0</v>
      </c>
      <c r="I51" s="1"/>
      <c r="J51" s="2"/>
      <c r="K51" s="1">
        <f>SUMIFS(
  '[1]Hoja 1'!$M:$M,
  '[1]Hoja 1'!$S:$S, $A51,
  '[1]Hoja 1'!$R:$R, "&gt;="&amp;INT($M$1),
  '[1]Hoja 1'!$R:$R, "&lt;"&amp;INT($N$1+1)
)</f>
        <v>0</v>
      </c>
      <c r="L51" s="1">
        <f t="shared" si="1"/>
        <v>0</v>
      </c>
      <c r="M51" s="9">
        <f t="shared" si="2"/>
        <v>0</v>
      </c>
      <c r="N51" s="10">
        <f t="shared" si="3"/>
        <v>0</v>
      </c>
      <c r="O51" s="1">
        <f>SUMIFS(
  '[1]Hoja 1'!$M:$M,
  '[1]Hoja 1'!$S:$S, $A51,
  '[1]Hoja 1'!$R:$R, "&gt;="&amp;INT($Q$1),
  '[1]Hoja 1'!$R:$R, "&lt;"&amp;INT($R$1+1)
)</f>
        <v>0</v>
      </c>
      <c r="P51" s="1">
        <f t="shared" si="4"/>
        <v>0</v>
      </c>
      <c r="Q51" s="9">
        <f t="shared" si="5"/>
        <v>0</v>
      </c>
      <c r="R51" s="10">
        <f t="shared" si="6"/>
        <v>0</v>
      </c>
      <c r="S51" s="1">
        <f>SUMIFS(
  '[1]Hoja 1'!$M:$M,
  '[1]Hoja 1'!$S:$S, $A51,
  '[1]Hoja 1'!$R:$R, "&gt;="&amp;INT($U$1),
  '[1]Hoja 1'!$R:$R, "&lt;"&amp;INT($V$1+1)
)</f>
        <v>0</v>
      </c>
      <c r="T51" s="1">
        <f t="shared" si="7"/>
        <v>0</v>
      </c>
      <c r="U51" s="9">
        <f t="shared" si="8"/>
        <v>-1.47</v>
      </c>
      <c r="V51" s="10">
        <f t="shared" si="9"/>
        <v>1.47</v>
      </c>
      <c r="W51" s="1">
        <f>SUMIFS(
  '[1]Hoja 1'!$M:$M,
  '[1]Hoja 1'!$S:$S, $A51,
  '[1]Hoja 1'!$R:$R, "&gt;="&amp;INT($Y$1),
  '[1]Hoja 1'!$R:$R, "&lt;"&amp;INT($Z$1+1)
)</f>
        <v>0</v>
      </c>
      <c r="X51" s="1">
        <f t="shared" si="10"/>
        <v>0</v>
      </c>
      <c r="Y51" s="9">
        <f t="shared" si="11"/>
        <v>0</v>
      </c>
      <c r="Z51" s="10">
        <f t="shared" si="12"/>
        <v>0</v>
      </c>
      <c r="AA51" s="1">
        <f>SUMIFS(
  '[1]Hoja 1'!$M:$M,
  '[1]Hoja 1'!$S:$S, $A51,
  '[1]Hoja 1'!$R:$R, "&gt;="&amp;INT($AC$1),
  '[1]Hoja 1'!$R:$R, "&lt;"&amp;INT($AD$1+1)
)</f>
        <v>0</v>
      </c>
      <c r="AB51" s="1">
        <f t="shared" si="13"/>
        <v>0</v>
      </c>
      <c r="AC51" s="9">
        <f t="shared" si="14"/>
        <v>0</v>
      </c>
      <c r="AD51" s="10">
        <f t="shared" si="15"/>
        <v>0</v>
      </c>
      <c r="AE51" s="1">
        <f>SUMIFS(
  '[1]Hoja 1'!$M:$M,
  '[1]Hoja 1'!$S:$S, $A51,
  '[1]Hoja 1'!$R:$R, "&gt;="&amp;INT($AG$1),
  '[1]Hoja 1'!$R:$R, "&lt;"&amp;INT($AH$1+1)
)</f>
        <v>0</v>
      </c>
      <c r="AF51" s="1">
        <f t="shared" si="16"/>
        <v>0</v>
      </c>
      <c r="AG51" s="9">
        <f t="shared" si="17"/>
        <v>0</v>
      </c>
      <c r="AH51" s="10">
        <f t="shared" si="18"/>
        <v>0</v>
      </c>
      <c r="AI51" s="1">
        <f>SUMIFS(
  '[1]Hoja 1'!$M:$M,
  '[1]Hoja 1'!$S:$S, $A51,
  '[1]Hoja 1'!$R:$R, "&gt;="&amp;INT($AK$1),
  '[1]Hoja 1'!$R:$R, "&lt;"&amp;INT($AJ$1+1)
)</f>
        <v>0</v>
      </c>
      <c r="AJ51" s="1">
        <f t="shared" si="19"/>
        <v>0</v>
      </c>
      <c r="AK51" s="9">
        <f t="shared" si="20"/>
        <v>0</v>
      </c>
      <c r="AL51" s="10">
        <f t="shared" si="21"/>
        <v>0</v>
      </c>
      <c r="AM51" s="1">
        <f>SUMIFS(
  '[1]Hoja 1'!$M:$M,
  '[1]Hoja 1'!$S:$S, $A51,
  '[1]Hoja 1'!$R:$R, "&gt;="&amp;INT($AO$1),
  '[1]Hoja 1'!$R:$R, "&lt;"&amp;INT($AP$1+1)
)</f>
        <v>0</v>
      </c>
      <c r="AN51" s="1">
        <f t="shared" si="22"/>
        <v>0</v>
      </c>
      <c r="AO51" s="9">
        <f t="shared" si="23"/>
        <v>0</v>
      </c>
      <c r="AP51" s="10">
        <f t="shared" si="24"/>
        <v>0</v>
      </c>
      <c r="AQ51" s="1">
        <f>SUMIFS(
  '[1]Hoja 1'!$M:$M,
  '[1]Hoja 1'!$S:$S, $A51,
  '[1]Hoja 1'!$R:$R, "&gt;="&amp;INT($AS$1),
  '[1]Hoja 1'!$R:$R, "&lt;"&amp;INT($AT$1+1)
)</f>
        <v>0</v>
      </c>
      <c r="AR51" s="1">
        <f t="shared" si="25"/>
        <v>0</v>
      </c>
      <c r="AS51" s="9">
        <f t="shared" si="26"/>
        <v>0</v>
      </c>
      <c r="AT51" s="10">
        <f t="shared" si="27"/>
        <v>0</v>
      </c>
      <c r="AU51" s="1">
        <f>SUMIFS(
  '[1]Hoja 1'!$M:$M,
  '[1]Hoja 1'!$S:$S, $A51,
  '[1]Hoja 1'!$R:$R, "&gt;="&amp;INT($AW$1),
  '[1]Hoja 1'!$R:$R, "&lt;"&amp;INT($AX$1+1)
)</f>
        <v>0</v>
      </c>
      <c r="AV51" s="1">
        <f t="shared" si="28"/>
        <v>0</v>
      </c>
      <c r="AW51" s="9">
        <f t="shared" si="29"/>
        <v>0</v>
      </c>
      <c r="AX51" s="10">
        <f t="shared" si="30"/>
        <v>0</v>
      </c>
    </row>
    <row r="52" spans="1:50" x14ac:dyDescent="0.25">
      <c r="A52" s="5">
        <v>207010</v>
      </c>
      <c r="B52" s="6" t="s">
        <v>49</v>
      </c>
      <c r="C52" s="1">
        <f>SUMIFS(
  '[1]Hoja 1'!$M:$M,
  '[1]Hoja 1'!$S:$S, $A52,
  '[1]Hoja 1'!$R:$R, "&gt;="&amp;INT($E$1),
  '[1]Hoja 1'!$R:$R, "&lt;"&amp;INT($F$1+1)
)</f>
        <v>0</v>
      </c>
      <c r="D52" s="1" t="str">
        <f>""</f>
        <v/>
      </c>
      <c r="F52" s="2"/>
      <c r="G52" s="1">
        <f>SUMIFS(
  '[1]Hoja 1'!$M:$M,
  '[1]Hoja 1'!$S:$S, $A52,
  '[1]Hoja 1'!$R:$R, "&gt;="&amp;INT($I$1),
  '[1]Hoja 1'!$R:$R, "&lt;"&amp;INT($J$1+1)
)</f>
        <v>0</v>
      </c>
      <c r="H52" s="1">
        <f t="shared" si="0"/>
        <v>0</v>
      </c>
      <c r="I52" s="1"/>
      <c r="J52" s="2"/>
      <c r="K52" s="1">
        <f>SUMIFS(
  '[1]Hoja 1'!$M:$M,
  '[1]Hoja 1'!$S:$S, $A52,
  '[1]Hoja 1'!$R:$R, "&gt;="&amp;INT($M$1),
  '[1]Hoja 1'!$R:$R, "&lt;"&amp;INT($N$1+1)
)</f>
        <v>0</v>
      </c>
      <c r="L52" s="1">
        <f t="shared" si="1"/>
        <v>0</v>
      </c>
      <c r="M52" s="9">
        <f t="shared" si="2"/>
        <v>0</v>
      </c>
      <c r="N52" s="10">
        <f t="shared" si="3"/>
        <v>0</v>
      </c>
      <c r="O52" s="1">
        <f>SUMIFS(
  '[1]Hoja 1'!$M:$M,
  '[1]Hoja 1'!$S:$S, $A52,
  '[1]Hoja 1'!$R:$R, "&gt;="&amp;INT($Q$1),
  '[1]Hoja 1'!$R:$R, "&lt;"&amp;INT($R$1+1)
)</f>
        <v>0</v>
      </c>
      <c r="P52" s="1">
        <f t="shared" si="4"/>
        <v>0</v>
      </c>
      <c r="Q52" s="9">
        <f t="shared" si="5"/>
        <v>0</v>
      </c>
      <c r="R52" s="10">
        <f t="shared" si="6"/>
        <v>0</v>
      </c>
      <c r="S52" s="1">
        <f>SUMIFS(
  '[1]Hoja 1'!$M:$M,
  '[1]Hoja 1'!$S:$S, $A52,
  '[1]Hoja 1'!$R:$R, "&gt;="&amp;INT($U$1),
  '[1]Hoja 1'!$R:$R, "&lt;"&amp;INT($V$1+1)
)</f>
        <v>0</v>
      </c>
      <c r="T52" s="1">
        <f t="shared" si="7"/>
        <v>0</v>
      </c>
      <c r="U52" s="9">
        <f t="shared" si="8"/>
        <v>-1.47</v>
      </c>
      <c r="V52" s="10">
        <f t="shared" si="9"/>
        <v>1.47</v>
      </c>
      <c r="W52" s="1">
        <f>SUMIFS(
  '[1]Hoja 1'!$M:$M,
  '[1]Hoja 1'!$S:$S, $A52,
  '[1]Hoja 1'!$R:$R, "&gt;="&amp;INT($Y$1),
  '[1]Hoja 1'!$R:$R, "&lt;"&amp;INT($Z$1+1)
)</f>
        <v>0</v>
      </c>
      <c r="X52" s="1">
        <f t="shared" si="10"/>
        <v>0</v>
      </c>
      <c r="Y52" s="9">
        <f t="shared" si="11"/>
        <v>0</v>
      </c>
      <c r="Z52" s="10">
        <f t="shared" si="12"/>
        <v>0</v>
      </c>
      <c r="AA52" s="1">
        <f>SUMIFS(
  '[1]Hoja 1'!$M:$M,
  '[1]Hoja 1'!$S:$S, $A52,
  '[1]Hoja 1'!$R:$R, "&gt;="&amp;INT($AC$1),
  '[1]Hoja 1'!$R:$R, "&lt;"&amp;INT($AD$1+1)
)</f>
        <v>0</v>
      </c>
      <c r="AB52" s="1">
        <f t="shared" si="13"/>
        <v>0</v>
      </c>
      <c r="AC52" s="9">
        <f t="shared" si="14"/>
        <v>0</v>
      </c>
      <c r="AD52" s="10">
        <f t="shared" si="15"/>
        <v>0</v>
      </c>
      <c r="AE52" s="1">
        <f>SUMIFS(
  '[1]Hoja 1'!$M:$M,
  '[1]Hoja 1'!$S:$S, $A52,
  '[1]Hoja 1'!$R:$R, "&gt;="&amp;INT($AG$1),
  '[1]Hoja 1'!$R:$R, "&lt;"&amp;INT($AH$1+1)
)</f>
        <v>0</v>
      </c>
      <c r="AF52" s="1">
        <f t="shared" si="16"/>
        <v>0</v>
      </c>
      <c r="AG52" s="9">
        <f t="shared" si="17"/>
        <v>0</v>
      </c>
      <c r="AH52" s="10">
        <f t="shared" si="18"/>
        <v>0</v>
      </c>
      <c r="AI52" s="1">
        <f>SUMIFS(
  '[1]Hoja 1'!$M:$M,
  '[1]Hoja 1'!$S:$S, $A52,
  '[1]Hoja 1'!$R:$R, "&gt;="&amp;INT($AK$1),
  '[1]Hoja 1'!$R:$R, "&lt;"&amp;INT($AJ$1+1)
)</f>
        <v>0</v>
      </c>
      <c r="AJ52" s="1">
        <f t="shared" si="19"/>
        <v>0</v>
      </c>
      <c r="AK52" s="9">
        <f t="shared" si="20"/>
        <v>0</v>
      </c>
      <c r="AL52" s="10">
        <f t="shared" si="21"/>
        <v>0</v>
      </c>
      <c r="AM52" s="1">
        <f>SUMIFS(
  '[1]Hoja 1'!$M:$M,
  '[1]Hoja 1'!$S:$S, $A52,
  '[1]Hoja 1'!$R:$R, "&gt;="&amp;INT($AO$1),
  '[1]Hoja 1'!$R:$R, "&lt;"&amp;INT($AP$1+1)
)</f>
        <v>0</v>
      </c>
      <c r="AN52" s="1">
        <f t="shared" si="22"/>
        <v>0</v>
      </c>
      <c r="AO52" s="9">
        <f t="shared" si="23"/>
        <v>0</v>
      </c>
      <c r="AP52" s="10">
        <f t="shared" si="24"/>
        <v>0</v>
      </c>
      <c r="AQ52" s="1">
        <f>SUMIFS(
  '[1]Hoja 1'!$M:$M,
  '[1]Hoja 1'!$S:$S, $A52,
  '[1]Hoja 1'!$R:$R, "&gt;="&amp;INT($AS$1),
  '[1]Hoja 1'!$R:$R, "&lt;"&amp;INT($AT$1+1)
)</f>
        <v>0</v>
      </c>
      <c r="AR52" s="1">
        <f t="shared" si="25"/>
        <v>0</v>
      </c>
      <c r="AS52" s="9">
        <f t="shared" si="26"/>
        <v>0</v>
      </c>
      <c r="AT52" s="10">
        <f t="shared" si="27"/>
        <v>0</v>
      </c>
      <c r="AU52" s="1">
        <f>SUMIFS(
  '[1]Hoja 1'!$M:$M,
  '[1]Hoja 1'!$S:$S, $A52,
  '[1]Hoja 1'!$R:$R, "&gt;="&amp;INT($AW$1),
  '[1]Hoja 1'!$R:$R, "&lt;"&amp;INT($AX$1+1)
)</f>
        <v>0</v>
      </c>
      <c r="AV52" s="1">
        <f t="shared" si="28"/>
        <v>0</v>
      </c>
      <c r="AW52" s="9">
        <f t="shared" si="29"/>
        <v>0</v>
      </c>
      <c r="AX52" s="10">
        <f t="shared" si="30"/>
        <v>0</v>
      </c>
    </row>
    <row r="53" spans="1:50" x14ac:dyDescent="0.25">
      <c r="A53" s="5">
        <v>207011</v>
      </c>
      <c r="B53" s="6" t="s">
        <v>50</v>
      </c>
      <c r="C53" s="1">
        <f>SUMIFS(
  '[1]Hoja 1'!$M:$M,
  '[1]Hoja 1'!$S:$S, $A53,
  '[1]Hoja 1'!$R:$R, "&gt;="&amp;INT($E$1),
  '[1]Hoja 1'!$R:$R, "&lt;"&amp;INT($F$1+1)
)</f>
        <v>0</v>
      </c>
      <c r="D53" s="1" t="str">
        <f>""</f>
        <v/>
      </c>
      <c r="F53" s="2"/>
      <c r="G53" s="1">
        <f>SUMIFS(
  '[1]Hoja 1'!$M:$M,
  '[1]Hoja 1'!$S:$S, $A53,
  '[1]Hoja 1'!$R:$R, "&gt;="&amp;INT($I$1),
  '[1]Hoja 1'!$R:$R, "&lt;"&amp;INT($J$1+1)
)</f>
        <v>0</v>
      </c>
      <c r="H53" s="1">
        <f t="shared" si="0"/>
        <v>0</v>
      </c>
      <c r="I53" s="1"/>
      <c r="J53" s="2"/>
      <c r="K53" s="1">
        <f>SUMIFS(
  '[1]Hoja 1'!$M:$M,
  '[1]Hoja 1'!$S:$S, $A53,
  '[1]Hoja 1'!$R:$R, "&gt;="&amp;INT($M$1),
  '[1]Hoja 1'!$R:$R, "&lt;"&amp;INT($N$1+1)
)</f>
        <v>0</v>
      </c>
      <c r="L53" s="1">
        <f t="shared" si="1"/>
        <v>0</v>
      </c>
      <c r="M53" s="9">
        <f t="shared" si="2"/>
        <v>0</v>
      </c>
      <c r="N53" s="10">
        <f t="shared" si="3"/>
        <v>0</v>
      </c>
      <c r="O53" s="1">
        <f>SUMIFS(
  '[1]Hoja 1'!$M:$M,
  '[1]Hoja 1'!$S:$S, $A53,
  '[1]Hoja 1'!$R:$R, "&gt;="&amp;INT($Q$1),
  '[1]Hoja 1'!$R:$R, "&lt;"&amp;INT($R$1+1)
)</f>
        <v>0</v>
      </c>
      <c r="P53" s="1">
        <f t="shared" si="4"/>
        <v>0</v>
      </c>
      <c r="Q53" s="9">
        <f t="shared" si="5"/>
        <v>0</v>
      </c>
      <c r="R53" s="10">
        <f t="shared" si="6"/>
        <v>0</v>
      </c>
      <c r="S53" s="1">
        <f>SUMIFS(
  '[1]Hoja 1'!$M:$M,
  '[1]Hoja 1'!$S:$S, $A53,
  '[1]Hoja 1'!$R:$R, "&gt;="&amp;INT($U$1),
  '[1]Hoja 1'!$R:$R, "&lt;"&amp;INT($V$1+1)
)</f>
        <v>0</v>
      </c>
      <c r="T53" s="1">
        <f t="shared" si="7"/>
        <v>0</v>
      </c>
      <c r="U53" s="9">
        <f t="shared" si="8"/>
        <v>-1.47</v>
      </c>
      <c r="V53" s="10">
        <f t="shared" si="9"/>
        <v>1.47</v>
      </c>
      <c r="W53" s="1">
        <f>SUMIFS(
  '[1]Hoja 1'!$M:$M,
  '[1]Hoja 1'!$S:$S, $A53,
  '[1]Hoja 1'!$R:$R, "&gt;="&amp;INT($Y$1),
  '[1]Hoja 1'!$R:$R, "&lt;"&amp;INT($Z$1+1)
)</f>
        <v>0</v>
      </c>
      <c r="X53" s="1">
        <f t="shared" si="10"/>
        <v>0</v>
      </c>
      <c r="Y53" s="9">
        <f t="shared" si="11"/>
        <v>0</v>
      </c>
      <c r="Z53" s="10">
        <f t="shared" si="12"/>
        <v>0</v>
      </c>
      <c r="AA53" s="1">
        <f>SUMIFS(
  '[1]Hoja 1'!$M:$M,
  '[1]Hoja 1'!$S:$S, $A53,
  '[1]Hoja 1'!$R:$R, "&gt;="&amp;INT($AC$1),
  '[1]Hoja 1'!$R:$R, "&lt;"&amp;INT($AD$1+1)
)</f>
        <v>0</v>
      </c>
      <c r="AB53" s="1">
        <f t="shared" si="13"/>
        <v>0</v>
      </c>
      <c r="AC53" s="9">
        <f t="shared" si="14"/>
        <v>0</v>
      </c>
      <c r="AD53" s="10">
        <f t="shared" si="15"/>
        <v>0</v>
      </c>
      <c r="AE53" s="1">
        <f>SUMIFS(
  '[1]Hoja 1'!$M:$M,
  '[1]Hoja 1'!$S:$S, $A53,
  '[1]Hoja 1'!$R:$R, "&gt;="&amp;INT($AG$1),
  '[1]Hoja 1'!$R:$R, "&lt;"&amp;INT($AH$1+1)
)</f>
        <v>0</v>
      </c>
      <c r="AF53" s="1">
        <f t="shared" si="16"/>
        <v>0</v>
      </c>
      <c r="AG53" s="9">
        <f t="shared" si="17"/>
        <v>0</v>
      </c>
      <c r="AH53" s="10">
        <f t="shared" si="18"/>
        <v>0</v>
      </c>
      <c r="AI53" s="1">
        <f>SUMIFS(
  '[1]Hoja 1'!$M:$M,
  '[1]Hoja 1'!$S:$S, $A53,
  '[1]Hoja 1'!$R:$R, "&gt;="&amp;INT($AK$1),
  '[1]Hoja 1'!$R:$R, "&lt;"&amp;INT($AJ$1+1)
)</f>
        <v>0</v>
      </c>
      <c r="AJ53" s="1">
        <f t="shared" si="19"/>
        <v>0</v>
      </c>
      <c r="AK53" s="9">
        <f t="shared" si="20"/>
        <v>0</v>
      </c>
      <c r="AL53" s="10">
        <f t="shared" si="21"/>
        <v>0</v>
      </c>
      <c r="AM53" s="1">
        <f>SUMIFS(
  '[1]Hoja 1'!$M:$M,
  '[1]Hoja 1'!$S:$S, $A53,
  '[1]Hoja 1'!$R:$R, "&gt;="&amp;INT($AO$1),
  '[1]Hoja 1'!$R:$R, "&lt;"&amp;INT($AP$1+1)
)</f>
        <v>0</v>
      </c>
      <c r="AN53" s="1">
        <f t="shared" si="22"/>
        <v>0</v>
      </c>
      <c r="AO53" s="9">
        <f t="shared" si="23"/>
        <v>0</v>
      </c>
      <c r="AP53" s="10">
        <f t="shared" si="24"/>
        <v>0</v>
      </c>
      <c r="AQ53" s="1">
        <f>SUMIFS(
  '[1]Hoja 1'!$M:$M,
  '[1]Hoja 1'!$S:$S, $A53,
  '[1]Hoja 1'!$R:$R, "&gt;="&amp;INT($AS$1),
  '[1]Hoja 1'!$R:$R, "&lt;"&amp;INT($AT$1+1)
)</f>
        <v>0</v>
      </c>
      <c r="AR53" s="1">
        <f t="shared" si="25"/>
        <v>0</v>
      </c>
      <c r="AS53" s="9">
        <f t="shared" si="26"/>
        <v>0</v>
      </c>
      <c r="AT53" s="10">
        <f t="shared" si="27"/>
        <v>0</v>
      </c>
      <c r="AU53" s="1">
        <f>SUMIFS(
  '[1]Hoja 1'!$M:$M,
  '[1]Hoja 1'!$S:$S, $A53,
  '[1]Hoja 1'!$R:$R, "&gt;="&amp;INT($AW$1),
  '[1]Hoja 1'!$R:$R, "&lt;"&amp;INT($AX$1+1)
)</f>
        <v>0</v>
      </c>
      <c r="AV53" s="1">
        <f t="shared" si="28"/>
        <v>0</v>
      </c>
      <c r="AW53" s="9">
        <f t="shared" si="29"/>
        <v>0</v>
      </c>
      <c r="AX53" s="10">
        <f t="shared" si="30"/>
        <v>0</v>
      </c>
    </row>
    <row r="54" spans="1:50" x14ac:dyDescent="0.25">
      <c r="A54" s="5">
        <v>207012</v>
      </c>
      <c r="B54" s="6" t="s">
        <v>51</v>
      </c>
      <c r="C54" s="1">
        <f>SUMIFS(
  '[1]Hoja 1'!$M:$M,
  '[1]Hoja 1'!$S:$S, $A54,
  '[1]Hoja 1'!$R:$R, "&gt;="&amp;INT($E$1),
  '[1]Hoja 1'!$R:$R, "&lt;"&amp;INT($F$1+1)
)</f>
        <v>0</v>
      </c>
      <c r="D54" s="1" t="str">
        <f>""</f>
        <v/>
      </c>
      <c r="F54" s="2"/>
      <c r="G54" s="1">
        <f>SUMIFS(
  '[1]Hoja 1'!$M:$M,
  '[1]Hoja 1'!$S:$S, $A54,
  '[1]Hoja 1'!$R:$R, "&gt;="&amp;INT($I$1),
  '[1]Hoja 1'!$R:$R, "&lt;"&amp;INT($J$1+1)
)</f>
        <v>0</v>
      </c>
      <c r="H54" s="1">
        <f t="shared" si="0"/>
        <v>0</v>
      </c>
      <c r="I54" s="1"/>
      <c r="J54" s="2"/>
      <c r="K54" s="1">
        <f>SUMIFS(
  '[1]Hoja 1'!$M:$M,
  '[1]Hoja 1'!$S:$S, $A54,
  '[1]Hoja 1'!$R:$R, "&gt;="&amp;INT($M$1),
  '[1]Hoja 1'!$R:$R, "&lt;"&amp;INT($N$1+1)
)</f>
        <v>0</v>
      </c>
      <c r="L54" s="1">
        <f t="shared" si="1"/>
        <v>0</v>
      </c>
      <c r="M54" s="9">
        <f t="shared" si="2"/>
        <v>0</v>
      </c>
      <c r="N54" s="10">
        <f t="shared" si="3"/>
        <v>0</v>
      </c>
      <c r="O54" s="1">
        <f>SUMIFS(
  '[1]Hoja 1'!$M:$M,
  '[1]Hoja 1'!$S:$S, $A54,
  '[1]Hoja 1'!$R:$R, "&gt;="&amp;INT($Q$1),
  '[1]Hoja 1'!$R:$R, "&lt;"&amp;INT($R$1+1)
)</f>
        <v>0</v>
      </c>
      <c r="P54" s="1">
        <f t="shared" si="4"/>
        <v>0</v>
      </c>
      <c r="Q54" s="9">
        <f t="shared" si="5"/>
        <v>0</v>
      </c>
      <c r="R54" s="10">
        <f t="shared" si="6"/>
        <v>0</v>
      </c>
      <c r="S54" s="1">
        <f>SUMIFS(
  '[1]Hoja 1'!$M:$M,
  '[1]Hoja 1'!$S:$S, $A54,
  '[1]Hoja 1'!$R:$R, "&gt;="&amp;INT($U$1),
  '[1]Hoja 1'!$R:$R, "&lt;"&amp;INT($V$1+1)
)</f>
        <v>0</v>
      </c>
      <c r="T54" s="1">
        <f t="shared" si="7"/>
        <v>0</v>
      </c>
      <c r="U54" s="9">
        <f t="shared" si="8"/>
        <v>-1.47</v>
      </c>
      <c r="V54" s="10">
        <f t="shared" si="9"/>
        <v>1.47</v>
      </c>
      <c r="W54" s="1">
        <f>SUMIFS(
  '[1]Hoja 1'!$M:$M,
  '[1]Hoja 1'!$S:$S, $A54,
  '[1]Hoja 1'!$R:$R, "&gt;="&amp;INT($Y$1),
  '[1]Hoja 1'!$R:$R, "&lt;"&amp;INT($Z$1+1)
)</f>
        <v>0</v>
      </c>
      <c r="X54" s="1">
        <f t="shared" si="10"/>
        <v>0</v>
      </c>
      <c r="Y54" s="9">
        <f t="shared" si="11"/>
        <v>0</v>
      </c>
      <c r="Z54" s="10">
        <f t="shared" si="12"/>
        <v>0</v>
      </c>
      <c r="AA54" s="1">
        <f>SUMIFS(
  '[1]Hoja 1'!$M:$M,
  '[1]Hoja 1'!$S:$S, $A54,
  '[1]Hoja 1'!$R:$R, "&gt;="&amp;INT($AC$1),
  '[1]Hoja 1'!$R:$R, "&lt;"&amp;INT($AD$1+1)
)</f>
        <v>0</v>
      </c>
      <c r="AB54" s="1">
        <f t="shared" si="13"/>
        <v>0</v>
      </c>
      <c r="AC54" s="9">
        <f t="shared" si="14"/>
        <v>0</v>
      </c>
      <c r="AD54" s="10">
        <f t="shared" si="15"/>
        <v>0</v>
      </c>
      <c r="AE54" s="1">
        <f>SUMIFS(
  '[1]Hoja 1'!$M:$M,
  '[1]Hoja 1'!$S:$S, $A54,
  '[1]Hoja 1'!$R:$R, "&gt;="&amp;INT($AG$1),
  '[1]Hoja 1'!$R:$R, "&lt;"&amp;INT($AH$1+1)
)</f>
        <v>0</v>
      </c>
      <c r="AF54" s="1">
        <f t="shared" si="16"/>
        <v>0</v>
      </c>
      <c r="AG54" s="9">
        <f t="shared" si="17"/>
        <v>0</v>
      </c>
      <c r="AH54" s="10">
        <f t="shared" si="18"/>
        <v>0</v>
      </c>
      <c r="AI54" s="1">
        <f>SUMIFS(
  '[1]Hoja 1'!$M:$M,
  '[1]Hoja 1'!$S:$S, $A54,
  '[1]Hoja 1'!$R:$R, "&gt;="&amp;INT($AK$1),
  '[1]Hoja 1'!$R:$R, "&lt;"&amp;INT($AJ$1+1)
)</f>
        <v>0</v>
      </c>
      <c r="AJ54" s="1">
        <f t="shared" si="19"/>
        <v>0</v>
      </c>
      <c r="AK54" s="9">
        <f t="shared" si="20"/>
        <v>0</v>
      </c>
      <c r="AL54" s="10">
        <f t="shared" si="21"/>
        <v>0</v>
      </c>
      <c r="AM54" s="1">
        <f>SUMIFS(
  '[1]Hoja 1'!$M:$M,
  '[1]Hoja 1'!$S:$S, $A54,
  '[1]Hoja 1'!$R:$R, "&gt;="&amp;INT($AO$1),
  '[1]Hoja 1'!$R:$R, "&lt;"&amp;INT($AP$1+1)
)</f>
        <v>0</v>
      </c>
      <c r="AN54" s="1">
        <f t="shared" si="22"/>
        <v>0</v>
      </c>
      <c r="AO54" s="9">
        <f t="shared" si="23"/>
        <v>0</v>
      </c>
      <c r="AP54" s="10">
        <f t="shared" si="24"/>
        <v>0</v>
      </c>
      <c r="AQ54" s="1">
        <f>SUMIFS(
  '[1]Hoja 1'!$M:$M,
  '[1]Hoja 1'!$S:$S, $A54,
  '[1]Hoja 1'!$R:$R, "&gt;="&amp;INT($AS$1),
  '[1]Hoja 1'!$R:$R, "&lt;"&amp;INT($AT$1+1)
)</f>
        <v>0</v>
      </c>
      <c r="AR54" s="1">
        <f t="shared" si="25"/>
        <v>0</v>
      </c>
      <c r="AS54" s="9">
        <f t="shared" si="26"/>
        <v>0</v>
      </c>
      <c r="AT54" s="10">
        <f t="shared" si="27"/>
        <v>0</v>
      </c>
      <c r="AU54" s="1">
        <f>SUMIFS(
  '[1]Hoja 1'!$M:$M,
  '[1]Hoja 1'!$S:$S, $A54,
  '[1]Hoja 1'!$R:$R, "&gt;="&amp;INT($AW$1),
  '[1]Hoja 1'!$R:$R, "&lt;"&amp;INT($AX$1+1)
)</f>
        <v>0</v>
      </c>
      <c r="AV54" s="1">
        <f t="shared" si="28"/>
        <v>0</v>
      </c>
      <c r="AW54" s="9">
        <f t="shared" si="29"/>
        <v>0</v>
      </c>
      <c r="AX54" s="10">
        <f t="shared" si="30"/>
        <v>0</v>
      </c>
    </row>
    <row r="55" spans="1:50" x14ac:dyDescent="0.25">
      <c r="A55" s="5">
        <v>207013</v>
      </c>
      <c r="B55" s="6" t="s">
        <v>52</v>
      </c>
      <c r="C55" s="1">
        <f>SUMIFS(
  '[1]Hoja 1'!$M:$M,
  '[1]Hoja 1'!$S:$S, $A55,
  '[1]Hoja 1'!$R:$R, "&gt;="&amp;INT($E$1),
  '[1]Hoja 1'!$R:$R, "&lt;"&amp;INT($F$1+1)
)</f>
        <v>1</v>
      </c>
      <c r="D55" s="1" t="str">
        <f>""</f>
        <v/>
      </c>
      <c r="F55" s="2"/>
      <c r="G55" s="1">
        <f>SUMIFS(
  '[1]Hoja 1'!$M:$M,
  '[1]Hoja 1'!$S:$S, $A55,
  '[1]Hoja 1'!$R:$R, "&gt;="&amp;INT($I$1),
  '[1]Hoja 1'!$R:$R, "&lt;"&amp;INT($J$1+1)
)</f>
        <v>0</v>
      </c>
      <c r="H55" s="1">
        <f t="shared" si="0"/>
        <v>1</v>
      </c>
      <c r="I55" s="1"/>
      <c r="J55" s="2"/>
      <c r="K55" s="1">
        <f>SUMIFS(
  '[1]Hoja 1'!$M:$M,
  '[1]Hoja 1'!$S:$S, $A55,
  '[1]Hoja 1'!$R:$R, "&gt;="&amp;INT($M$1),
  '[1]Hoja 1'!$R:$R, "&lt;"&amp;INT($N$1+1)
)</f>
        <v>0</v>
      </c>
      <c r="L55" s="1">
        <f t="shared" si="1"/>
        <v>0</v>
      </c>
      <c r="M55" s="9">
        <f t="shared" si="2"/>
        <v>-0.69296464556281656</v>
      </c>
      <c r="N55" s="10">
        <f t="shared" si="3"/>
        <v>0.69296464556281656</v>
      </c>
      <c r="O55" s="1">
        <f>SUMIFS(
  '[1]Hoja 1'!$M:$M,
  '[1]Hoja 1'!$S:$S, $A55,
  '[1]Hoja 1'!$R:$R, "&gt;="&amp;INT($Q$1),
  '[1]Hoja 1'!$R:$R, "&lt;"&amp;INT($R$1+1)
)</f>
        <v>0</v>
      </c>
      <c r="P55" s="1">
        <f t="shared" si="4"/>
        <v>0</v>
      </c>
      <c r="Q55" s="9">
        <f t="shared" si="5"/>
        <v>-0.56580326380583335</v>
      </c>
      <c r="R55" s="10">
        <f t="shared" si="6"/>
        <v>0.56580326380583335</v>
      </c>
      <c r="S55" s="1">
        <f>SUMIFS(
  '[1]Hoja 1'!$M:$M,
  '[1]Hoja 1'!$S:$S, $A55,
  '[1]Hoja 1'!$R:$R, "&gt;="&amp;INT($U$1),
  '[1]Hoja 1'!$R:$R, "&lt;"&amp;INT($V$1+1)
)</f>
        <v>0</v>
      </c>
      <c r="T55" s="1">
        <f t="shared" si="7"/>
        <v>0</v>
      </c>
      <c r="U55" s="9">
        <f t="shared" si="8"/>
        <v>-1.3859292911256331</v>
      </c>
      <c r="V55" s="10">
        <f t="shared" si="9"/>
        <v>1.3859292911256331</v>
      </c>
      <c r="W55" s="1">
        <f>SUMIFS(
  '[1]Hoja 1'!$M:$M,
  '[1]Hoja 1'!$S:$S, $A55,
  '[1]Hoja 1'!$R:$R, "&gt;="&amp;INT($Y$1),
  '[1]Hoja 1'!$R:$R, "&lt;"&amp;INT($Z$1+1)
)</f>
        <v>0</v>
      </c>
      <c r="X55" s="1">
        <f t="shared" si="10"/>
        <v>0</v>
      </c>
      <c r="Y55" s="9">
        <f t="shared" si="11"/>
        <v>-0.43826932358995874</v>
      </c>
      <c r="Z55" s="10">
        <f t="shared" si="12"/>
        <v>0.43826932358995874</v>
      </c>
      <c r="AA55" s="1">
        <f>SUMIFS(
  '[1]Hoja 1'!$M:$M,
  '[1]Hoja 1'!$S:$S, $A55,
  '[1]Hoja 1'!$R:$R, "&gt;="&amp;INT($AC$1),
  '[1]Hoja 1'!$R:$R, "&lt;"&amp;INT($AD$1+1)
)</f>
        <v>0</v>
      </c>
      <c r="AB55" s="1">
        <f t="shared" si="13"/>
        <v>0</v>
      </c>
      <c r="AC55" s="9">
        <f t="shared" si="14"/>
        <v>-0.40008332465458574</v>
      </c>
      <c r="AD55" s="10">
        <f t="shared" si="15"/>
        <v>0.40008332465458574</v>
      </c>
      <c r="AE55" s="1">
        <f>SUMIFS(
  '[1]Hoja 1'!$M:$M,
  '[1]Hoja 1'!$S:$S, $A55,
  '[1]Hoja 1'!$R:$R, "&gt;="&amp;INT($AG$1),
  '[1]Hoja 1'!$R:$R, "&lt;"&amp;INT($AH$1+1)
)</f>
        <v>0</v>
      </c>
      <c r="AF55" s="1">
        <f t="shared" si="16"/>
        <v>0</v>
      </c>
      <c r="AG55" s="9">
        <f t="shared" si="17"/>
        <v>-0.37040518354904273</v>
      </c>
      <c r="AH55" s="10">
        <f t="shared" si="18"/>
        <v>0.37040518354904273</v>
      </c>
      <c r="AI55" s="1">
        <f>SUMIFS(
  '[1]Hoja 1'!$M:$M,
  '[1]Hoja 1'!$S:$S, $A55,
  '[1]Hoja 1'!$R:$R, "&gt;="&amp;INT($AK$1),
  '[1]Hoja 1'!$R:$R, "&lt;"&amp;INT($AJ$1+1)
)</f>
        <v>0</v>
      </c>
      <c r="AJ55" s="1">
        <f t="shared" si="19"/>
        <v>0</v>
      </c>
      <c r="AK55" s="9">
        <f t="shared" si="20"/>
        <v>-0.34648232278140828</v>
      </c>
      <c r="AL55" s="10">
        <f t="shared" si="21"/>
        <v>0.34648232278140828</v>
      </c>
      <c r="AM55" s="1">
        <f>SUMIFS(
  '[1]Hoja 1'!$M:$M,
  '[1]Hoja 1'!$S:$S, $A55,
  '[1]Hoja 1'!$R:$R, "&gt;="&amp;INT($AO$1),
  '[1]Hoja 1'!$R:$R, "&lt;"&amp;INT($AP$1+1)
)</f>
        <v>0</v>
      </c>
      <c r="AN55" s="1">
        <f t="shared" si="22"/>
        <v>0</v>
      </c>
      <c r="AO55" s="9">
        <f t="shared" si="23"/>
        <v>-0.32666666666666666</v>
      </c>
      <c r="AP55" s="10">
        <f t="shared" si="24"/>
        <v>0.32666666666666666</v>
      </c>
      <c r="AQ55" s="1">
        <f>SUMIFS(
  '[1]Hoja 1'!$M:$M,
  '[1]Hoja 1'!$S:$S, $A55,
  '[1]Hoja 1'!$R:$R, "&gt;="&amp;INT($AS$1),
  '[1]Hoja 1'!$R:$R, "&lt;"&amp;INT($AT$1+1)
)</f>
        <v>0</v>
      </c>
      <c r="AR55" s="1">
        <f t="shared" si="25"/>
        <v>0</v>
      </c>
      <c r="AS55" s="9">
        <f t="shared" si="26"/>
        <v>-0.30990321069650117</v>
      </c>
      <c r="AT55" s="10">
        <f t="shared" si="27"/>
        <v>0.30990321069650117</v>
      </c>
      <c r="AU55" s="1">
        <f>SUMIFS(
  '[1]Hoja 1'!$M:$M,
  '[1]Hoja 1'!$S:$S, $A55,
  '[1]Hoja 1'!$R:$R, "&gt;="&amp;INT($AW$1),
  '[1]Hoja 1'!$R:$R, "&lt;"&amp;INT($AX$1+1)
)</f>
        <v>0</v>
      </c>
      <c r="AV55" s="1">
        <f t="shared" si="28"/>
        <v>0</v>
      </c>
      <c r="AW55" s="9">
        <f t="shared" si="29"/>
        <v>-0.29548111768620833</v>
      </c>
      <c r="AX55" s="10">
        <f t="shared" si="30"/>
        <v>0.29548111768620833</v>
      </c>
    </row>
    <row r="56" spans="1:50" x14ac:dyDescent="0.25">
      <c r="A56" s="5">
        <v>207014</v>
      </c>
      <c r="B56" s="6" t="s">
        <v>53</v>
      </c>
      <c r="C56" s="1">
        <f>SUMIFS(
  '[1]Hoja 1'!$M:$M,
  '[1]Hoja 1'!$S:$S, $A56,
  '[1]Hoja 1'!$R:$R, "&gt;="&amp;INT($E$1),
  '[1]Hoja 1'!$R:$R, "&lt;"&amp;INT($F$1+1)
)</f>
        <v>0</v>
      </c>
      <c r="D56" s="1" t="str">
        <f>""</f>
        <v/>
      </c>
      <c r="F56" s="2"/>
      <c r="G56" s="1">
        <f>SUMIFS(
  '[1]Hoja 1'!$M:$M,
  '[1]Hoja 1'!$S:$S, $A56,
  '[1]Hoja 1'!$R:$R, "&gt;="&amp;INT($I$1),
  '[1]Hoja 1'!$R:$R, "&lt;"&amp;INT($J$1+1)
)</f>
        <v>0</v>
      </c>
      <c r="H56" s="1">
        <f t="shared" si="0"/>
        <v>0</v>
      </c>
      <c r="I56" s="1"/>
      <c r="J56" s="2"/>
      <c r="K56" s="1">
        <f>SUMIFS(
  '[1]Hoja 1'!$M:$M,
  '[1]Hoja 1'!$S:$S, $A56,
  '[1]Hoja 1'!$R:$R, "&gt;="&amp;INT($M$1),
  '[1]Hoja 1'!$R:$R, "&lt;"&amp;INT($N$1+1)
)</f>
        <v>0</v>
      </c>
      <c r="L56" s="1">
        <f t="shared" si="1"/>
        <v>0</v>
      </c>
      <c r="M56" s="9">
        <f t="shared" si="2"/>
        <v>0</v>
      </c>
      <c r="N56" s="10">
        <f t="shared" si="3"/>
        <v>0</v>
      </c>
      <c r="O56" s="1">
        <f>SUMIFS(
  '[1]Hoja 1'!$M:$M,
  '[1]Hoja 1'!$S:$S, $A56,
  '[1]Hoja 1'!$R:$R, "&gt;="&amp;INT($Q$1),
  '[1]Hoja 1'!$R:$R, "&lt;"&amp;INT($R$1+1)
)</f>
        <v>0</v>
      </c>
      <c r="P56" s="1">
        <f t="shared" si="4"/>
        <v>0</v>
      </c>
      <c r="Q56" s="9">
        <f t="shared" si="5"/>
        <v>0</v>
      </c>
      <c r="R56" s="10">
        <f t="shared" si="6"/>
        <v>0</v>
      </c>
      <c r="S56" s="1">
        <f>SUMIFS(
  '[1]Hoja 1'!$M:$M,
  '[1]Hoja 1'!$S:$S, $A56,
  '[1]Hoja 1'!$R:$R, "&gt;="&amp;INT($U$1),
  '[1]Hoja 1'!$R:$R, "&lt;"&amp;INT($V$1+1)
)</f>
        <v>0</v>
      </c>
      <c r="T56" s="1">
        <f t="shared" si="7"/>
        <v>0</v>
      </c>
      <c r="U56" s="9">
        <f t="shared" si="8"/>
        <v>-1.47</v>
      </c>
      <c r="V56" s="10">
        <f t="shared" si="9"/>
        <v>1.47</v>
      </c>
      <c r="W56" s="1">
        <f>SUMIFS(
  '[1]Hoja 1'!$M:$M,
  '[1]Hoja 1'!$S:$S, $A56,
  '[1]Hoja 1'!$R:$R, "&gt;="&amp;INT($Y$1),
  '[1]Hoja 1'!$R:$R, "&lt;"&amp;INT($Z$1+1)
)</f>
        <v>0</v>
      </c>
      <c r="X56" s="1">
        <f t="shared" si="10"/>
        <v>0</v>
      </c>
      <c r="Y56" s="9">
        <f t="shared" si="11"/>
        <v>0</v>
      </c>
      <c r="Z56" s="10">
        <f t="shared" si="12"/>
        <v>0</v>
      </c>
      <c r="AA56" s="1">
        <f>SUMIFS(
  '[1]Hoja 1'!$M:$M,
  '[1]Hoja 1'!$S:$S, $A56,
  '[1]Hoja 1'!$R:$R, "&gt;="&amp;INT($AC$1),
  '[1]Hoja 1'!$R:$R, "&lt;"&amp;INT($AD$1+1)
)</f>
        <v>0</v>
      </c>
      <c r="AB56" s="1">
        <f t="shared" si="13"/>
        <v>0</v>
      </c>
      <c r="AC56" s="9">
        <f t="shared" si="14"/>
        <v>0</v>
      </c>
      <c r="AD56" s="10">
        <f t="shared" si="15"/>
        <v>0</v>
      </c>
      <c r="AE56" s="1">
        <f>SUMIFS(
  '[1]Hoja 1'!$M:$M,
  '[1]Hoja 1'!$S:$S, $A56,
  '[1]Hoja 1'!$R:$R, "&gt;="&amp;INT($AG$1),
  '[1]Hoja 1'!$R:$R, "&lt;"&amp;INT($AH$1+1)
)</f>
        <v>0</v>
      </c>
      <c r="AF56" s="1">
        <f t="shared" si="16"/>
        <v>0</v>
      </c>
      <c r="AG56" s="9">
        <f t="shared" si="17"/>
        <v>0</v>
      </c>
      <c r="AH56" s="10">
        <f t="shared" si="18"/>
        <v>0</v>
      </c>
      <c r="AI56" s="1">
        <f>SUMIFS(
  '[1]Hoja 1'!$M:$M,
  '[1]Hoja 1'!$S:$S, $A56,
  '[1]Hoja 1'!$R:$R, "&gt;="&amp;INT($AK$1),
  '[1]Hoja 1'!$R:$R, "&lt;"&amp;INT($AJ$1+1)
)</f>
        <v>0</v>
      </c>
      <c r="AJ56" s="1">
        <f t="shared" si="19"/>
        <v>0</v>
      </c>
      <c r="AK56" s="9">
        <f t="shared" si="20"/>
        <v>0</v>
      </c>
      <c r="AL56" s="10">
        <f t="shared" si="21"/>
        <v>0</v>
      </c>
      <c r="AM56" s="1">
        <f>SUMIFS(
  '[1]Hoja 1'!$M:$M,
  '[1]Hoja 1'!$S:$S, $A56,
  '[1]Hoja 1'!$R:$R, "&gt;="&amp;INT($AO$1),
  '[1]Hoja 1'!$R:$R, "&lt;"&amp;INT($AP$1+1)
)</f>
        <v>0</v>
      </c>
      <c r="AN56" s="1">
        <f t="shared" si="22"/>
        <v>0</v>
      </c>
      <c r="AO56" s="9">
        <f t="shared" si="23"/>
        <v>0</v>
      </c>
      <c r="AP56" s="10">
        <f t="shared" si="24"/>
        <v>0</v>
      </c>
      <c r="AQ56" s="1">
        <f>SUMIFS(
  '[1]Hoja 1'!$M:$M,
  '[1]Hoja 1'!$S:$S, $A56,
  '[1]Hoja 1'!$R:$R, "&gt;="&amp;INT($AS$1),
  '[1]Hoja 1'!$R:$R, "&lt;"&amp;INT($AT$1+1)
)</f>
        <v>0</v>
      </c>
      <c r="AR56" s="1">
        <f t="shared" si="25"/>
        <v>0</v>
      </c>
      <c r="AS56" s="9">
        <f t="shared" si="26"/>
        <v>0</v>
      </c>
      <c r="AT56" s="10">
        <f t="shared" si="27"/>
        <v>0</v>
      </c>
      <c r="AU56" s="1">
        <f>SUMIFS(
  '[1]Hoja 1'!$M:$M,
  '[1]Hoja 1'!$S:$S, $A56,
  '[1]Hoja 1'!$R:$R, "&gt;="&amp;INT($AW$1),
  '[1]Hoja 1'!$R:$R, "&lt;"&amp;INT($AX$1+1)
)</f>
        <v>0</v>
      </c>
      <c r="AV56" s="1">
        <f t="shared" si="28"/>
        <v>0</v>
      </c>
      <c r="AW56" s="9">
        <f t="shared" si="29"/>
        <v>0</v>
      </c>
      <c r="AX56" s="10">
        <f t="shared" si="30"/>
        <v>0</v>
      </c>
    </row>
    <row r="57" spans="1:50" x14ac:dyDescent="0.25">
      <c r="A57" s="5">
        <v>208001</v>
      </c>
      <c r="B57" s="6" t="s">
        <v>54</v>
      </c>
      <c r="C57" s="1">
        <f>SUMIFS(
  '[1]Hoja 1'!$M:$M,
  '[1]Hoja 1'!$S:$S, $A57,
  '[1]Hoja 1'!$R:$R, "&gt;="&amp;INT($E$1),
  '[1]Hoja 1'!$R:$R, "&lt;"&amp;INT($F$1+1)
)</f>
        <v>8</v>
      </c>
      <c r="D57" s="1" t="str">
        <f>""</f>
        <v/>
      </c>
      <c r="F57" s="2"/>
      <c r="G57" s="1">
        <f>SUMIFS(
  '[1]Hoja 1'!$M:$M,
  '[1]Hoja 1'!$S:$S, $A57,
  '[1]Hoja 1'!$R:$R, "&gt;="&amp;INT($I$1),
  '[1]Hoja 1'!$R:$R, "&lt;"&amp;INT($J$1+1)
)</f>
        <v>4</v>
      </c>
      <c r="H57" s="1">
        <f t="shared" si="0"/>
        <v>6</v>
      </c>
      <c r="I57" s="1"/>
      <c r="J57" s="2"/>
      <c r="K57" s="1">
        <f>SUMIFS(
  '[1]Hoja 1'!$M:$M,
  '[1]Hoja 1'!$S:$S, $A57,
  '[1]Hoja 1'!$R:$R, "&gt;="&amp;INT($M$1),
  '[1]Hoja 1'!$R:$R, "&lt;"&amp;INT($N$1+1)
)</f>
        <v>0</v>
      </c>
      <c r="L57" s="1">
        <f t="shared" si="1"/>
        <v>2</v>
      </c>
      <c r="M57" s="9">
        <f t="shared" si="2"/>
        <v>2</v>
      </c>
      <c r="N57" s="10">
        <f t="shared" si="3"/>
        <v>2</v>
      </c>
      <c r="O57" s="1">
        <f>SUMIFS(
  '[1]Hoja 1'!$M:$M,
  '[1]Hoja 1'!$S:$S, $A57,
  '[1]Hoja 1'!$R:$R, "&gt;="&amp;INT($Q$1),
  '[1]Hoja 1'!$R:$R, "&lt;"&amp;INT($R$1+1)
)</f>
        <v>0</v>
      </c>
      <c r="P57" s="1">
        <f t="shared" si="4"/>
        <v>0</v>
      </c>
      <c r="Q57" s="9">
        <f t="shared" si="5"/>
        <v>-2.2632130552233334</v>
      </c>
      <c r="R57" s="10">
        <f t="shared" si="6"/>
        <v>2.2632130552233334</v>
      </c>
      <c r="S57" s="1">
        <f>SUMIFS(
  '[1]Hoja 1'!$M:$M,
  '[1]Hoja 1'!$S:$S, $A57,
  '[1]Hoja 1'!$R:$R, "&gt;="&amp;INT($U$1),
  '[1]Hoja 1'!$R:$R, "&lt;"&amp;INT($V$1+1)
)</f>
        <v>0</v>
      </c>
      <c r="T57" s="1">
        <f t="shared" si="7"/>
        <v>0</v>
      </c>
      <c r="U57" s="9">
        <f t="shared" si="8"/>
        <v>-1.8551100596280894</v>
      </c>
      <c r="V57" s="10">
        <f t="shared" si="9"/>
        <v>1.8551100596280894</v>
      </c>
      <c r="W57" s="1">
        <f>SUMIFS(
  '[1]Hoja 1'!$M:$M,
  '[1]Hoja 1'!$S:$S, $A57,
  '[1]Hoja 1'!$R:$R, "&gt;="&amp;INT($Y$1),
  '[1]Hoja 1'!$R:$R, "&lt;"&amp;INT($Z$1+1)
)</f>
        <v>0</v>
      </c>
      <c r="X57" s="1">
        <f t="shared" si="10"/>
        <v>0</v>
      </c>
      <c r="Y57" s="9">
        <f t="shared" si="11"/>
        <v>-2.1470724254202511</v>
      </c>
      <c r="Z57" s="10">
        <f t="shared" si="12"/>
        <v>2.1470724254202511</v>
      </c>
      <c r="AA57" s="1">
        <f>SUMIFS(
  '[1]Hoja 1'!$M:$M,
  '[1]Hoja 1'!$S:$S, $A57,
  '[1]Hoja 1'!$R:$R, "&gt;="&amp;INT($AC$1),
  '[1]Hoja 1'!$R:$R, "&lt;"&amp;INT($AD$1+1)
)</f>
        <v>0</v>
      </c>
      <c r="AB57" s="1">
        <f t="shared" si="13"/>
        <v>0</v>
      </c>
      <c r="AC57" s="9">
        <f t="shared" si="14"/>
        <v>-2.0242792956177436</v>
      </c>
      <c r="AD57" s="10">
        <f t="shared" si="15"/>
        <v>2.0242792956177436</v>
      </c>
      <c r="AE57" s="1">
        <f>SUMIFS(
  '[1]Hoja 1'!$M:$M,
  '[1]Hoja 1'!$S:$S, $A57,
  '[1]Hoja 1'!$R:$R, "&gt;="&amp;INT($AG$1),
  '[1]Hoja 1'!$R:$R, "&lt;"&amp;INT($AH$1+1)
)</f>
        <v>0</v>
      </c>
      <c r="AF57" s="1">
        <f t="shared" si="16"/>
        <v>0</v>
      </c>
      <c r="AG57" s="9">
        <f t="shared" si="17"/>
        <v>-1.9127641429791251</v>
      </c>
      <c r="AH57" s="10">
        <f t="shared" si="18"/>
        <v>1.9127641429791251</v>
      </c>
      <c r="AI57" s="1">
        <f>SUMIFS(
  '[1]Hoja 1'!$M:$M,
  '[1]Hoja 1'!$S:$S, $A57,
  '[1]Hoja 1'!$R:$R, "&gt;="&amp;INT($AK$1),
  '[1]Hoja 1'!$R:$R, "&lt;"&amp;INT($AJ$1+1)
)</f>
        <v>0</v>
      </c>
      <c r="AJ57" s="1">
        <f t="shared" si="19"/>
        <v>0</v>
      </c>
      <c r="AK57" s="9">
        <f t="shared" si="20"/>
        <v>-1.8146073955542008</v>
      </c>
      <c r="AL57" s="10">
        <f t="shared" si="21"/>
        <v>1.8146073955542008</v>
      </c>
      <c r="AM57" s="1">
        <f>SUMIFS(
  '[1]Hoja 1'!$M:$M,
  '[1]Hoja 1'!$S:$S, $A57,
  '[1]Hoja 1'!$R:$R, "&gt;="&amp;INT($AO$1),
  '[1]Hoja 1'!$R:$R, "&lt;"&amp;INT($AP$1+1)
)</f>
        <v>0</v>
      </c>
      <c r="AN57" s="1">
        <f t="shared" si="22"/>
        <v>0</v>
      </c>
      <c r="AO57" s="9">
        <f t="shared" si="23"/>
        <v>-1.7285575232288659</v>
      </c>
      <c r="AP57" s="10">
        <f t="shared" si="24"/>
        <v>1.7285575232288659</v>
      </c>
      <c r="AQ57" s="1">
        <f>SUMIFS(
  '[1]Hoja 1'!$M:$M,
  '[1]Hoja 1'!$S:$S, $A57,
  '[1]Hoja 1'!$R:$R, "&gt;="&amp;INT($AS$1),
  '[1]Hoja 1'!$R:$R, "&lt;"&amp;INT($AT$1+1)
)</f>
        <v>0</v>
      </c>
      <c r="AR57" s="1">
        <f t="shared" si="25"/>
        <v>0</v>
      </c>
      <c r="AS57" s="9">
        <f t="shared" si="26"/>
        <v>-1.6528171237146729</v>
      </c>
      <c r="AT57" s="10">
        <f t="shared" si="27"/>
        <v>1.6528171237146729</v>
      </c>
      <c r="AU57" s="1">
        <f>SUMIFS(
  '[1]Hoja 1'!$M:$M,
  '[1]Hoja 1'!$S:$S, $A57,
  '[1]Hoja 1'!$R:$R, "&gt;="&amp;INT($AW$1),
  '[1]Hoja 1'!$R:$R, "&lt;"&amp;INT($AX$1+1)
)</f>
        <v>0</v>
      </c>
      <c r="AV57" s="1">
        <f t="shared" si="28"/>
        <v>0</v>
      </c>
      <c r="AW57" s="9">
        <f t="shared" si="29"/>
        <v>-1.5857180765135452</v>
      </c>
      <c r="AX57" s="10">
        <f t="shared" si="30"/>
        <v>1.5857180765135452</v>
      </c>
    </row>
    <row r="58" spans="1:50" x14ac:dyDescent="0.25">
      <c r="A58" s="5">
        <v>208002</v>
      </c>
      <c r="B58" s="6" t="s">
        <v>55</v>
      </c>
      <c r="C58" s="1">
        <f>SUMIFS(
  '[1]Hoja 1'!$M:$M,
  '[1]Hoja 1'!$S:$S, $A58,
  '[1]Hoja 1'!$R:$R, "&gt;="&amp;INT($E$1),
  '[1]Hoja 1'!$R:$R, "&lt;"&amp;INT($F$1+1)
)</f>
        <v>0</v>
      </c>
      <c r="D58" s="1" t="str">
        <f>""</f>
        <v/>
      </c>
      <c r="F58" s="2"/>
      <c r="G58" s="1">
        <f>SUMIFS(
  '[1]Hoja 1'!$M:$M,
  '[1]Hoja 1'!$S:$S, $A58,
  '[1]Hoja 1'!$R:$R, "&gt;="&amp;INT($I$1),
  '[1]Hoja 1'!$R:$R, "&lt;"&amp;INT($J$1+1)
)</f>
        <v>0</v>
      </c>
      <c r="H58" s="1">
        <f t="shared" si="0"/>
        <v>0</v>
      </c>
      <c r="I58" s="1"/>
      <c r="J58" s="2"/>
      <c r="K58" s="1">
        <f>SUMIFS(
  '[1]Hoja 1'!$M:$M,
  '[1]Hoja 1'!$S:$S, $A58,
  '[1]Hoja 1'!$R:$R, "&gt;="&amp;INT($M$1),
  '[1]Hoja 1'!$R:$R, "&lt;"&amp;INT($N$1+1)
)</f>
        <v>0</v>
      </c>
      <c r="L58" s="1">
        <f t="shared" si="1"/>
        <v>0</v>
      </c>
      <c r="M58" s="9">
        <f t="shared" si="2"/>
        <v>0</v>
      </c>
      <c r="N58" s="10">
        <f t="shared" si="3"/>
        <v>0</v>
      </c>
      <c r="O58" s="1">
        <f>SUMIFS(
  '[1]Hoja 1'!$M:$M,
  '[1]Hoja 1'!$S:$S, $A58,
  '[1]Hoja 1'!$R:$R, "&gt;="&amp;INT($Q$1),
  '[1]Hoja 1'!$R:$R, "&lt;"&amp;INT($R$1+1)
)</f>
        <v>0</v>
      </c>
      <c r="P58" s="1">
        <f t="shared" si="4"/>
        <v>0</v>
      </c>
      <c r="Q58" s="9">
        <f t="shared" si="5"/>
        <v>0</v>
      </c>
      <c r="R58" s="10">
        <f t="shared" si="6"/>
        <v>0</v>
      </c>
      <c r="S58" s="1">
        <f>SUMIFS(
  '[1]Hoja 1'!$M:$M,
  '[1]Hoja 1'!$S:$S, $A58,
  '[1]Hoja 1'!$R:$R, "&gt;="&amp;INT($U$1),
  '[1]Hoja 1'!$R:$R, "&lt;"&amp;INT($V$1+1)
)</f>
        <v>0</v>
      </c>
      <c r="T58" s="1">
        <f t="shared" si="7"/>
        <v>0</v>
      </c>
      <c r="U58" s="9">
        <f t="shared" si="8"/>
        <v>-1.47</v>
      </c>
      <c r="V58" s="10">
        <f t="shared" si="9"/>
        <v>1.47</v>
      </c>
      <c r="W58" s="1">
        <f>SUMIFS(
  '[1]Hoja 1'!$M:$M,
  '[1]Hoja 1'!$S:$S, $A58,
  '[1]Hoja 1'!$R:$R, "&gt;="&amp;INT($Y$1),
  '[1]Hoja 1'!$R:$R, "&lt;"&amp;INT($Z$1+1)
)</f>
        <v>0</v>
      </c>
      <c r="X58" s="1">
        <f t="shared" si="10"/>
        <v>0</v>
      </c>
      <c r="Y58" s="9">
        <f t="shared" si="11"/>
        <v>0</v>
      </c>
      <c r="Z58" s="10">
        <f t="shared" si="12"/>
        <v>0</v>
      </c>
      <c r="AA58" s="1">
        <f>SUMIFS(
  '[1]Hoja 1'!$M:$M,
  '[1]Hoja 1'!$S:$S, $A58,
  '[1]Hoja 1'!$R:$R, "&gt;="&amp;INT($AC$1),
  '[1]Hoja 1'!$R:$R, "&lt;"&amp;INT($AD$1+1)
)</f>
        <v>0</v>
      </c>
      <c r="AB58" s="1">
        <f t="shared" si="13"/>
        <v>0</v>
      </c>
      <c r="AC58" s="9">
        <f t="shared" si="14"/>
        <v>0</v>
      </c>
      <c r="AD58" s="10">
        <f t="shared" si="15"/>
        <v>0</v>
      </c>
      <c r="AE58" s="1">
        <f>SUMIFS(
  '[1]Hoja 1'!$M:$M,
  '[1]Hoja 1'!$S:$S, $A58,
  '[1]Hoja 1'!$R:$R, "&gt;="&amp;INT($AG$1),
  '[1]Hoja 1'!$R:$R, "&lt;"&amp;INT($AH$1+1)
)</f>
        <v>0</v>
      </c>
      <c r="AF58" s="1">
        <f t="shared" si="16"/>
        <v>0</v>
      </c>
      <c r="AG58" s="9">
        <f t="shared" si="17"/>
        <v>0</v>
      </c>
      <c r="AH58" s="10">
        <f t="shared" si="18"/>
        <v>0</v>
      </c>
      <c r="AI58" s="1">
        <f>SUMIFS(
  '[1]Hoja 1'!$M:$M,
  '[1]Hoja 1'!$S:$S, $A58,
  '[1]Hoja 1'!$R:$R, "&gt;="&amp;INT($AK$1),
  '[1]Hoja 1'!$R:$R, "&lt;"&amp;INT($AJ$1+1)
)</f>
        <v>0</v>
      </c>
      <c r="AJ58" s="1">
        <f t="shared" si="19"/>
        <v>0</v>
      </c>
      <c r="AK58" s="9">
        <f t="shared" si="20"/>
        <v>0</v>
      </c>
      <c r="AL58" s="10">
        <f t="shared" si="21"/>
        <v>0</v>
      </c>
      <c r="AM58" s="1">
        <f>SUMIFS(
  '[1]Hoja 1'!$M:$M,
  '[1]Hoja 1'!$S:$S, $A58,
  '[1]Hoja 1'!$R:$R, "&gt;="&amp;INT($AO$1),
  '[1]Hoja 1'!$R:$R, "&lt;"&amp;INT($AP$1+1)
)</f>
        <v>0</v>
      </c>
      <c r="AN58" s="1">
        <f t="shared" si="22"/>
        <v>0</v>
      </c>
      <c r="AO58" s="9">
        <f t="shared" si="23"/>
        <v>0</v>
      </c>
      <c r="AP58" s="10">
        <f t="shared" si="24"/>
        <v>0</v>
      </c>
      <c r="AQ58" s="1">
        <f>SUMIFS(
  '[1]Hoja 1'!$M:$M,
  '[1]Hoja 1'!$S:$S, $A58,
  '[1]Hoja 1'!$R:$R, "&gt;="&amp;INT($AS$1),
  '[1]Hoja 1'!$R:$R, "&lt;"&amp;INT($AT$1+1)
)</f>
        <v>0</v>
      </c>
      <c r="AR58" s="1">
        <f t="shared" si="25"/>
        <v>0</v>
      </c>
      <c r="AS58" s="9">
        <f t="shared" si="26"/>
        <v>0</v>
      </c>
      <c r="AT58" s="10">
        <f t="shared" si="27"/>
        <v>0</v>
      </c>
      <c r="AU58" s="1">
        <f>SUMIFS(
  '[1]Hoja 1'!$M:$M,
  '[1]Hoja 1'!$S:$S, $A58,
  '[1]Hoja 1'!$R:$R, "&gt;="&amp;INT($AW$1),
  '[1]Hoja 1'!$R:$R, "&lt;"&amp;INT($AX$1+1)
)</f>
        <v>0</v>
      </c>
      <c r="AV58" s="1">
        <f t="shared" si="28"/>
        <v>0</v>
      </c>
      <c r="AW58" s="9">
        <f t="shared" si="29"/>
        <v>0</v>
      </c>
      <c r="AX58" s="10">
        <f t="shared" si="30"/>
        <v>0</v>
      </c>
    </row>
    <row r="59" spans="1:50" x14ac:dyDescent="0.25">
      <c r="A59" s="5">
        <v>208003</v>
      </c>
      <c r="B59" s="6" t="s">
        <v>56</v>
      </c>
      <c r="C59" s="1">
        <f>SUMIFS(
  '[1]Hoja 1'!$M:$M,
  '[1]Hoja 1'!$S:$S, $A59,
  '[1]Hoja 1'!$R:$R, "&gt;="&amp;INT($E$1),
  '[1]Hoja 1'!$R:$R, "&lt;"&amp;INT($F$1+1)
)</f>
        <v>0</v>
      </c>
      <c r="D59" s="1" t="str">
        <f>""</f>
        <v/>
      </c>
      <c r="F59" s="2"/>
      <c r="G59" s="1">
        <f>SUMIFS(
  '[1]Hoja 1'!$M:$M,
  '[1]Hoja 1'!$S:$S, $A59,
  '[1]Hoja 1'!$R:$R, "&gt;="&amp;INT($I$1),
  '[1]Hoja 1'!$R:$R, "&lt;"&amp;INT($J$1+1)
)</f>
        <v>0</v>
      </c>
      <c r="H59" s="1">
        <f t="shared" si="0"/>
        <v>0</v>
      </c>
      <c r="I59" s="1"/>
      <c r="J59" s="2"/>
      <c r="K59" s="1">
        <f>SUMIFS(
  '[1]Hoja 1'!$M:$M,
  '[1]Hoja 1'!$S:$S, $A59,
  '[1]Hoja 1'!$R:$R, "&gt;="&amp;INT($M$1),
  '[1]Hoja 1'!$R:$R, "&lt;"&amp;INT($N$1+1)
)</f>
        <v>0</v>
      </c>
      <c r="L59" s="1">
        <f t="shared" si="1"/>
        <v>0</v>
      </c>
      <c r="M59" s="9">
        <f t="shared" si="2"/>
        <v>0</v>
      </c>
      <c r="N59" s="10">
        <f t="shared" si="3"/>
        <v>0</v>
      </c>
      <c r="O59" s="1">
        <f>SUMIFS(
  '[1]Hoja 1'!$M:$M,
  '[1]Hoja 1'!$S:$S, $A59,
  '[1]Hoja 1'!$R:$R, "&gt;="&amp;INT($Q$1),
  '[1]Hoja 1'!$R:$R, "&lt;"&amp;INT($R$1+1)
)</f>
        <v>0</v>
      </c>
      <c r="P59" s="1">
        <f t="shared" si="4"/>
        <v>0</v>
      </c>
      <c r="Q59" s="9">
        <f t="shared" si="5"/>
        <v>0</v>
      </c>
      <c r="R59" s="10">
        <f t="shared" si="6"/>
        <v>0</v>
      </c>
      <c r="S59" s="1">
        <f>SUMIFS(
  '[1]Hoja 1'!$M:$M,
  '[1]Hoja 1'!$S:$S, $A59,
  '[1]Hoja 1'!$R:$R, "&gt;="&amp;INT($U$1),
  '[1]Hoja 1'!$R:$R, "&lt;"&amp;INT($V$1+1)
)</f>
        <v>0</v>
      </c>
      <c r="T59" s="1">
        <f t="shared" si="7"/>
        <v>0</v>
      </c>
      <c r="U59" s="9">
        <f t="shared" si="8"/>
        <v>-1.47</v>
      </c>
      <c r="V59" s="10">
        <f t="shared" si="9"/>
        <v>1.47</v>
      </c>
      <c r="W59" s="1">
        <f>SUMIFS(
  '[1]Hoja 1'!$M:$M,
  '[1]Hoja 1'!$S:$S, $A59,
  '[1]Hoja 1'!$R:$R, "&gt;="&amp;INT($Y$1),
  '[1]Hoja 1'!$R:$R, "&lt;"&amp;INT($Z$1+1)
)</f>
        <v>0</v>
      </c>
      <c r="X59" s="1">
        <f t="shared" si="10"/>
        <v>0</v>
      </c>
      <c r="Y59" s="9">
        <f t="shared" si="11"/>
        <v>0</v>
      </c>
      <c r="Z59" s="10">
        <f t="shared" si="12"/>
        <v>0</v>
      </c>
      <c r="AA59" s="1">
        <f>SUMIFS(
  '[1]Hoja 1'!$M:$M,
  '[1]Hoja 1'!$S:$S, $A59,
  '[1]Hoja 1'!$R:$R, "&gt;="&amp;INT($AC$1),
  '[1]Hoja 1'!$R:$R, "&lt;"&amp;INT($AD$1+1)
)</f>
        <v>0</v>
      </c>
      <c r="AB59" s="1">
        <f t="shared" si="13"/>
        <v>0</v>
      </c>
      <c r="AC59" s="9">
        <f t="shared" si="14"/>
        <v>0</v>
      </c>
      <c r="AD59" s="10">
        <f t="shared" si="15"/>
        <v>0</v>
      </c>
      <c r="AE59" s="1">
        <f>SUMIFS(
  '[1]Hoja 1'!$M:$M,
  '[1]Hoja 1'!$S:$S, $A59,
  '[1]Hoja 1'!$R:$R, "&gt;="&amp;INT($AG$1),
  '[1]Hoja 1'!$R:$R, "&lt;"&amp;INT($AH$1+1)
)</f>
        <v>0</v>
      </c>
      <c r="AF59" s="1">
        <f t="shared" si="16"/>
        <v>0</v>
      </c>
      <c r="AG59" s="9">
        <f t="shared" si="17"/>
        <v>0</v>
      </c>
      <c r="AH59" s="10">
        <f t="shared" si="18"/>
        <v>0</v>
      </c>
      <c r="AI59" s="1">
        <f>SUMIFS(
  '[1]Hoja 1'!$M:$M,
  '[1]Hoja 1'!$S:$S, $A59,
  '[1]Hoja 1'!$R:$R, "&gt;="&amp;INT($AK$1),
  '[1]Hoja 1'!$R:$R, "&lt;"&amp;INT($AJ$1+1)
)</f>
        <v>0</v>
      </c>
      <c r="AJ59" s="1">
        <f t="shared" si="19"/>
        <v>0</v>
      </c>
      <c r="AK59" s="9">
        <f t="shared" si="20"/>
        <v>0</v>
      </c>
      <c r="AL59" s="10">
        <f t="shared" si="21"/>
        <v>0</v>
      </c>
      <c r="AM59" s="1">
        <f>SUMIFS(
  '[1]Hoja 1'!$M:$M,
  '[1]Hoja 1'!$S:$S, $A59,
  '[1]Hoja 1'!$R:$R, "&gt;="&amp;INT($AO$1),
  '[1]Hoja 1'!$R:$R, "&lt;"&amp;INT($AP$1+1)
)</f>
        <v>0</v>
      </c>
      <c r="AN59" s="1">
        <f t="shared" si="22"/>
        <v>0</v>
      </c>
      <c r="AO59" s="9">
        <f t="shared" si="23"/>
        <v>0</v>
      </c>
      <c r="AP59" s="10">
        <f t="shared" si="24"/>
        <v>0</v>
      </c>
      <c r="AQ59" s="1">
        <f>SUMIFS(
  '[1]Hoja 1'!$M:$M,
  '[1]Hoja 1'!$S:$S, $A59,
  '[1]Hoja 1'!$R:$R, "&gt;="&amp;INT($AS$1),
  '[1]Hoja 1'!$R:$R, "&lt;"&amp;INT($AT$1+1)
)</f>
        <v>0</v>
      </c>
      <c r="AR59" s="1">
        <f t="shared" si="25"/>
        <v>0</v>
      </c>
      <c r="AS59" s="9">
        <f t="shared" si="26"/>
        <v>0</v>
      </c>
      <c r="AT59" s="10">
        <f t="shared" si="27"/>
        <v>0</v>
      </c>
      <c r="AU59" s="1">
        <f>SUMIFS(
  '[1]Hoja 1'!$M:$M,
  '[1]Hoja 1'!$S:$S, $A59,
  '[1]Hoja 1'!$R:$R, "&gt;="&amp;INT($AW$1),
  '[1]Hoja 1'!$R:$R, "&lt;"&amp;INT($AX$1+1)
)</f>
        <v>0</v>
      </c>
      <c r="AV59" s="1">
        <f t="shared" si="28"/>
        <v>0</v>
      </c>
      <c r="AW59" s="9">
        <f t="shared" si="29"/>
        <v>0</v>
      </c>
      <c r="AX59" s="10">
        <f t="shared" si="30"/>
        <v>0</v>
      </c>
    </row>
    <row r="60" spans="1:50" x14ac:dyDescent="0.25">
      <c r="A60" s="5">
        <v>209001</v>
      </c>
      <c r="B60" s="6" t="s">
        <v>57</v>
      </c>
      <c r="C60" s="1">
        <f>SUMIFS(
  '[1]Hoja 1'!$M:$M,
  '[1]Hoja 1'!$S:$S, $A60,
  '[1]Hoja 1'!$R:$R, "&gt;="&amp;INT($E$1),
  '[1]Hoja 1'!$R:$R, "&lt;"&amp;INT($F$1+1)
)</f>
        <v>50</v>
      </c>
      <c r="D60" s="1" t="str">
        <f>""</f>
        <v/>
      </c>
      <c r="F60" s="2"/>
      <c r="G60" s="1">
        <f>SUMIFS(
  '[1]Hoja 1'!$M:$M,
  '[1]Hoja 1'!$S:$S, $A60,
  '[1]Hoja 1'!$R:$R, "&gt;="&amp;INT($I$1),
  '[1]Hoja 1'!$R:$R, "&lt;"&amp;INT($J$1+1)
)</f>
        <v>19</v>
      </c>
      <c r="H60" s="1">
        <f t="shared" si="0"/>
        <v>35</v>
      </c>
      <c r="I60" s="1"/>
      <c r="J60" s="2"/>
      <c r="K60" s="1">
        <f>SUMIFS(
  '[1]Hoja 1'!$M:$M,
  '[1]Hoja 1'!$S:$S, $A60,
  '[1]Hoja 1'!$R:$R, "&gt;="&amp;INT($M$1),
  '[1]Hoja 1'!$R:$R, "&lt;"&amp;INT($N$1+1)
)</f>
        <v>0</v>
      </c>
      <c r="L60" s="1">
        <f t="shared" si="1"/>
        <v>9.5</v>
      </c>
      <c r="M60" s="9">
        <f t="shared" si="2"/>
        <v>1.1844242532462026</v>
      </c>
      <c r="N60" s="10">
        <f t="shared" si="3"/>
        <v>17.815575746753797</v>
      </c>
      <c r="O60" s="1">
        <f>SUMIFS(
  '[1]Hoja 1'!$M:$M,
  '[1]Hoja 1'!$S:$S, $A60,
  '[1]Hoja 1'!$R:$R, "&gt;="&amp;INT($Q$1),
  '[1]Hoja 1'!$R:$R, "&lt;"&amp;INT($R$1+1)
)</f>
        <v>0</v>
      </c>
      <c r="P60" s="1">
        <f t="shared" si="4"/>
        <v>0</v>
      </c>
      <c r="Q60" s="9">
        <f t="shared" si="5"/>
        <v>-15.318542141252649</v>
      </c>
      <c r="R60" s="10">
        <f t="shared" si="6"/>
        <v>15.318542141252649</v>
      </c>
      <c r="S60" s="1">
        <f>SUMIFS(
  '[1]Hoja 1'!$M:$M,
  '[1]Hoja 1'!$S:$S, $A60,
  '[1]Hoja 1'!$R:$R, "&gt;="&amp;INT($U$1),
  '[1]Hoja 1'!$R:$R, "&lt;"&amp;INT($V$1+1)
)</f>
        <v>0</v>
      </c>
      <c r="T60" s="1">
        <f t="shared" si="7"/>
        <v>0</v>
      </c>
      <c r="U60" s="9">
        <f t="shared" si="8"/>
        <v>-14.187453377309591</v>
      </c>
      <c r="V60" s="10">
        <f t="shared" si="9"/>
        <v>14.187453377309591</v>
      </c>
      <c r="W60" s="1">
        <f>SUMIFS(
  '[1]Hoja 1'!$M:$M,
  '[1]Hoja 1'!$S:$S, $A60,
  '[1]Hoja 1'!$R:$R, "&gt;="&amp;INT($Y$1),
  '[1]Hoja 1'!$R:$R, "&lt;"&amp;INT($Z$1+1)
)</f>
        <v>0</v>
      </c>
      <c r="X60" s="1">
        <f t="shared" si="10"/>
        <v>0</v>
      </c>
      <c r="Y60" s="9">
        <f t="shared" si="11"/>
        <v>-14.048565763094821</v>
      </c>
      <c r="Z60" s="10">
        <f t="shared" si="12"/>
        <v>14.048565763094821</v>
      </c>
      <c r="AA60" s="1">
        <f>SUMIFS(
  '[1]Hoja 1'!$M:$M,
  '[1]Hoja 1'!$S:$S, $A60,
  '[1]Hoja 1'!$R:$R, "&gt;="&amp;INT($AC$1),
  '[1]Hoja 1'!$R:$R, "&lt;"&amp;INT($AD$1+1)
)</f>
        <v>0</v>
      </c>
      <c r="AB60" s="1">
        <f t="shared" si="13"/>
        <v>0</v>
      </c>
      <c r="AC60" s="9">
        <f t="shared" si="14"/>
        <v>-13.186979436803057</v>
      </c>
      <c r="AD60" s="10">
        <f t="shared" si="15"/>
        <v>13.186979436803057</v>
      </c>
      <c r="AE60" s="1">
        <f>SUMIFS(
  '[1]Hoja 1'!$M:$M,
  '[1]Hoja 1'!$S:$S, $A60,
  '[1]Hoja 1'!$R:$R, "&gt;="&amp;INT($AG$1),
  '[1]Hoja 1'!$R:$R, "&lt;"&amp;INT($AH$1+1)
)</f>
        <v>0</v>
      </c>
      <c r="AF60" s="1">
        <f t="shared" si="16"/>
        <v>0</v>
      </c>
      <c r="AG60" s="9">
        <f t="shared" si="17"/>
        <v>-12.427448115629639</v>
      </c>
      <c r="AH60" s="10">
        <f t="shared" si="18"/>
        <v>12.427448115629639</v>
      </c>
      <c r="AI60" s="1">
        <f>SUMIFS(
  '[1]Hoja 1'!$M:$M,
  '[1]Hoja 1'!$S:$S, $A60,
  '[1]Hoja 1'!$R:$R, "&gt;="&amp;INT($AK$1),
  '[1]Hoja 1'!$R:$R, "&lt;"&amp;INT($AJ$1+1)
)</f>
        <v>0</v>
      </c>
      <c r="AJ60" s="1">
        <f t="shared" si="19"/>
        <v>0</v>
      </c>
      <c r="AK60" s="9">
        <f t="shared" si="20"/>
        <v>-11.768746747211447</v>
      </c>
      <c r="AL60" s="10">
        <f t="shared" si="21"/>
        <v>11.768746747211447</v>
      </c>
      <c r="AM60" s="1">
        <f>SUMIFS(
  '[1]Hoja 1'!$M:$M,
  '[1]Hoja 1'!$S:$S, $A60,
  '[1]Hoja 1'!$R:$R, "&gt;="&amp;INT($AO$1),
  '[1]Hoja 1'!$R:$R, "&lt;"&amp;INT($AP$1+1)
)</f>
        <v>0</v>
      </c>
      <c r="AN60" s="1">
        <f t="shared" si="22"/>
        <v>0</v>
      </c>
      <c r="AO60" s="9">
        <f t="shared" si="23"/>
        <v>-11.196377886521057</v>
      </c>
      <c r="AP60" s="10">
        <f t="shared" si="24"/>
        <v>11.196377886521057</v>
      </c>
      <c r="AQ60" s="1">
        <f>SUMIFS(
  '[1]Hoja 1'!$M:$M,
  '[1]Hoja 1'!$S:$S, $A60,
  '[1]Hoja 1'!$R:$R, "&gt;="&amp;INT($AS$1),
  '[1]Hoja 1'!$R:$R, "&lt;"&amp;INT($AT$1+1)
)</f>
        <v>0</v>
      </c>
      <c r="AR60" s="1">
        <f t="shared" si="25"/>
        <v>0</v>
      </c>
      <c r="AS60" s="9">
        <f t="shared" si="26"/>
        <v>-10.695527621913335</v>
      </c>
      <c r="AT60" s="10">
        <f t="shared" si="27"/>
        <v>10.695527621913335</v>
      </c>
      <c r="AU60" s="1">
        <f>SUMIFS(
  '[1]Hoja 1'!$M:$M,
  '[1]Hoja 1'!$S:$S, $A60,
  '[1]Hoja 1'!$R:$R, "&gt;="&amp;INT($AW$1),
  '[1]Hoja 1'!$R:$R, "&lt;"&amp;INT($AX$1+1)
)</f>
        <v>0</v>
      </c>
      <c r="AV60" s="1">
        <f t="shared" si="28"/>
        <v>0</v>
      </c>
      <c r="AW60" s="9">
        <f t="shared" si="29"/>
        <v>-10.253663114844727</v>
      </c>
      <c r="AX60" s="10">
        <f t="shared" si="30"/>
        <v>10.253663114844727</v>
      </c>
    </row>
    <row r="61" spans="1:50" x14ac:dyDescent="0.25">
      <c r="A61" s="5">
        <v>209002</v>
      </c>
      <c r="B61" s="6" t="s">
        <v>58</v>
      </c>
      <c r="C61" s="1">
        <f>SUMIFS(
  '[1]Hoja 1'!$M:$M,
  '[1]Hoja 1'!$S:$S, $A61,
  '[1]Hoja 1'!$R:$R, "&gt;="&amp;INT($E$1),
  '[1]Hoja 1'!$R:$R, "&lt;"&amp;INT($F$1+1)
)</f>
        <v>1</v>
      </c>
      <c r="D61" s="1" t="str">
        <f>""</f>
        <v/>
      </c>
      <c r="F61" s="2"/>
      <c r="G61" s="1">
        <f>SUMIFS(
  '[1]Hoja 1'!$M:$M,
  '[1]Hoja 1'!$S:$S, $A61,
  '[1]Hoja 1'!$R:$R, "&gt;="&amp;INT($I$1),
  '[1]Hoja 1'!$R:$R, "&lt;"&amp;INT($J$1+1)
)</f>
        <v>1</v>
      </c>
      <c r="H61" s="1">
        <f t="shared" si="0"/>
        <v>1</v>
      </c>
      <c r="I61" s="1"/>
      <c r="J61" s="2"/>
      <c r="K61" s="1">
        <f>SUMIFS(
  '[1]Hoja 1'!$M:$M,
  '[1]Hoja 1'!$S:$S, $A61,
  '[1]Hoja 1'!$R:$R, "&gt;="&amp;INT($M$1),
  '[1]Hoja 1'!$R:$R, "&lt;"&amp;INT($N$1+1)
)</f>
        <v>0</v>
      </c>
      <c r="L61" s="1">
        <f t="shared" si="1"/>
        <v>0.5</v>
      </c>
      <c r="M61" s="9">
        <f t="shared" si="2"/>
        <v>-0.19296464556281656</v>
      </c>
      <c r="N61" s="10">
        <f t="shared" si="3"/>
        <v>1.1929646455628165</v>
      </c>
      <c r="O61" s="1">
        <f>SUMIFS(
  '[1]Hoja 1'!$M:$M,
  '[1]Hoja 1'!$S:$S, $A61,
  '[1]Hoja 1'!$R:$R, "&gt;="&amp;INT($Q$1),
  '[1]Hoja 1'!$R:$R, "&lt;"&amp;INT($R$1+1)
)</f>
        <v>0</v>
      </c>
      <c r="P61" s="1">
        <f t="shared" si="4"/>
        <v>0</v>
      </c>
      <c r="Q61" s="9">
        <f t="shared" si="5"/>
        <v>-0.56580326380583335</v>
      </c>
      <c r="R61" s="10">
        <f t="shared" si="6"/>
        <v>0.56580326380583335</v>
      </c>
      <c r="S61" s="1">
        <f>SUMIFS(
  '[1]Hoja 1'!$M:$M,
  '[1]Hoja 1'!$S:$S, $A61,
  '[1]Hoja 1'!$R:$R, "&gt;="&amp;INT($U$1),
  '[1]Hoja 1'!$R:$R, "&lt;"&amp;INT($V$1+1)
)</f>
        <v>0</v>
      </c>
      <c r="T61" s="1">
        <f t="shared" si="7"/>
        <v>0</v>
      </c>
      <c r="U61" s="9">
        <f t="shared" si="8"/>
        <v>-1.3859292911256331</v>
      </c>
      <c r="V61" s="10">
        <f t="shared" si="9"/>
        <v>1.3859292911256331</v>
      </c>
      <c r="W61" s="1">
        <f>SUMIFS(
  '[1]Hoja 1'!$M:$M,
  '[1]Hoja 1'!$S:$S, $A61,
  '[1]Hoja 1'!$R:$R, "&gt;="&amp;INT($Y$1),
  '[1]Hoja 1'!$R:$R, "&lt;"&amp;INT($Z$1+1)
)</f>
        <v>0</v>
      </c>
      <c r="X61" s="1">
        <f t="shared" si="10"/>
        <v>0</v>
      </c>
      <c r="Y61" s="9">
        <f t="shared" si="11"/>
        <v>-0.43826932358995874</v>
      </c>
      <c r="Z61" s="10">
        <f t="shared" si="12"/>
        <v>0.43826932358995874</v>
      </c>
      <c r="AA61" s="1">
        <f>SUMIFS(
  '[1]Hoja 1'!$M:$M,
  '[1]Hoja 1'!$S:$S, $A61,
  '[1]Hoja 1'!$R:$R, "&gt;="&amp;INT($AC$1),
  '[1]Hoja 1'!$R:$R, "&lt;"&amp;INT($AD$1+1)
)</f>
        <v>0</v>
      </c>
      <c r="AB61" s="1">
        <f t="shared" si="13"/>
        <v>0</v>
      </c>
      <c r="AC61" s="9">
        <f t="shared" si="14"/>
        <v>-0.40008332465458574</v>
      </c>
      <c r="AD61" s="10">
        <f t="shared" si="15"/>
        <v>0.40008332465458574</v>
      </c>
      <c r="AE61" s="1">
        <f>SUMIFS(
  '[1]Hoja 1'!$M:$M,
  '[1]Hoja 1'!$S:$S, $A61,
  '[1]Hoja 1'!$R:$R, "&gt;="&amp;INT($AG$1),
  '[1]Hoja 1'!$R:$R, "&lt;"&amp;INT($AH$1+1)
)</f>
        <v>0</v>
      </c>
      <c r="AF61" s="1">
        <f t="shared" si="16"/>
        <v>0</v>
      </c>
      <c r="AG61" s="9">
        <f t="shared" si="17"/>
        <v>-0.37040518354904273</v>
      </c>
      <c r="AH61" s="10">
        <f t="shared" si="18"/>
        <v>0.37040518354904273</v>
      </c>
      <c r="AI61" s="1">
        <f>SUMIFS(
  '[1]Hoja 1'!$M:$M,
  '[1]Hoja 1'!$S:$S, $A61,
  '[1]Hoja 1'!$R:$R, "&gt;="&amp;INT($AK$1),
  '[1]Hoja 1'!$R:$R, "&lt;"&amp;INT($AJ$1+1)
)</f>
        <v>0</v>
      </c>
      <c r="AJ61" s="1">
        <f t="shared" si="19"/>
        <v>0</v>
      </c>
      <c r="AK61" s="9">
        <f t="shared" si="20"/>
        <v>-0.34648232278140828</v>
      </c>
      <c r="AL61" s="10">
        <f t="shared" si="21"/>
        <v>0.34648232278140828</v>
      </c>
      <c r="AM61" s="1">
        <f>SUMIFS(
  '[1]Hoja 1'!$M:$M,
  '[1]Hoja 1'!$S:$S, $A61,
  '[1]Hoja 1'!$R:$R, "&gt;="&amp;INT($AO$1),
  '[1]Hoja 1'!$R:$R, "&lt;"&amp;INT($AP$1+1)
)</f>
        <v>0</v>
      </c>
      <c r="AN61" s="1">
        <f t="shared" si="22"/>
        <v>0</v>
      </c>
      <c r="AO61" s="9">
        <f t="shared" si="23"/>
        <v>-0.32666666666666666</v>
      </c>
      <c r="AP61" s="10">
        <f t="shared" si="24"/>
        <v>0.32666666666666666</v>
      </c>
      <c r="AQ61" s="1">
        <f>SUMIFS(
  '[1]Hoja 1'!$M:$M,
  '[1]Hoja 1'!$S:$S, $A61,
  '[1]Hoja 1'!$R:$R, "&gt;="&amp;INT($AS$1),
  '[1]Hoja 1'!$R:$R, "&lt;"&amp;INT($AT$1+1)
)</f>
        <v>0</v>
      </c>
      <c r="AR61" s="1">
        <f t="shared" si="25"/>
        <v>0</v>
      </c>
      <c r="AS61" s="9">
        <f t="shared" si="26"/>
        <v>-0.30990321069650117</v>
      </c>
      <c r="AT61" s="10">
        <f t="shared" si="27"/>
        <v>0.30990321069650117</v>
      </c>
      <c r="AU61" s="1">
        <f>SUMIFS(
  '[1]Hoja 1'!$M:$M,
  '[1]Hoja 1'!$S:$S, $A61,
  '[1]Hoja 1'!$R:$R, "&gt;="&amp;INT($AW$1),
  '[1]Hoja 1'!$R:$R, "&lt;"&amp;INT($AX$1+1)
)</f>
        <v>0</v>
      </c>
      <c r="AV61" s="1">
        <f t="shared" si="28"/>
        <v>0</v>
      </c>
      <c r="AW61" s="9">
        <f t="shared" si="29"/>
        <v>-0.29548111768620833</v>
      </c>
      <c r="AX61" s="10">
        <f t="shared" si="30"/>
        <v>0.29548111768620833</v>
      </c>
    </row>
    <row r="62" spans="1:50" x14ac:dyDescent="0.25">
      <c r="A62" s="5">
        <v>209003</v>
      </c>
      <c r="B62" s="6" t="s">
        <v>59</v>
      </c>
      <c r="C62" s="1">
        <f>SUMIFS(
  '[1]Hoja 1'!$M:$M,
  '[1]Hoja 1'!$S:$S, $A62,
  '[1]Hoja 1'!$R:$R, "&gt;="&amp;INT($E$1),
  '[1]Hoja 1'!$R:$R, "&lt;"&amp;INT($F$1+1)
)</f>
        <v>0</v>
      </c>
      <c r="D62" s="1" t="str">
        <f>""</f>
        <v/>
      </c>
      <c r="F62" s="2"/>
      <c r="G62" s="1">
        <f>SUMIFS(
  '[1]Hoja 1'!$M:$M,
  '[1]Hoja 1'!$S:$S, $A62,
  '[1]Hoja 1'!$R:$R, "&gt;="&amp;INT($I$1),
  '[1]Hoja 1'!$R:$R, "&lt;"&amp;INT($J$1+1)
)</f>
        <v>1</v>
      </c>
      <c r="H62" s="1">
        <f t="shared" si="0"/>
        <v>1</v>
      </c>
      <c r="I62" s="1"/>
      <c r="J62" s="2"/>
      <c r="K62" s="1">
        <f>SUMIFS(
  '[1]Hoja 1'!$M:$M,
  '[1]Hoja 1'!$S:$S, $A62,
  '[1]Hoja 1'!$R:$R, "&gt;="&amp;INT($M$1),
  '[1]Hoja 1'!$R:$R, "&lt;"&amp;INT($N$1+1)
)</f>
        <v>0</v>
      </c>
      <c r="L62" s="1">
        <f t="shared" si="1"/>
        <v>0.5</v>
      </c>
      <c r="M62" s="9">
        <f t="shared" si="2"/>
        <v>-0.88592929112563312</v>
      </c>
      <c r="N62" s="10">
        <f t="shared" si="3"/>
        <v>1.8859292911256331</v>
      </c>
      <c r="O62" s="1">
        <f>SUMIFS(
  '[1]Hoja 1'!$M:$M,
  '[1]Hoja 1'!$S:$S, $A62,
  '[1]Hoja 1'!$R:$R, "&gt;="&amp;INT($Q$1),
  '[1]Hoja 1'!$R:$R, "&lt;"&amp;INT($R$1+1)
)</f>
        <v>0</v>
      </c>
      <c r="P62" s="1">
        <f t="shared" si="4"/>
        <v>0</v>
      </c>
      <c r="Q62" s="9">
        <f t="shared" si="5"/>
        <v>-0.98</v>
      </c>
      <c r="R62" s="10">
        <f t="shared" si="6"/>
        <v>0.98</v>
      </c>
      <c r="S62" s="1">
        <f>SUMIFS(
  '[1]Hoja 1'!$M:$M,
  '[1]Hoja 1'!$S:$S, $A62,
  '[1]Hoja 1'!$R:$R, "&gt;="&amp;INT($U$1),
  '[1]Hoja 1'!$R:$R, "&lt;"&amp;INT($V$1+1)
)</f>
        <v>0</v>
      </c>
      <c r="T62" s="1">
        <f t="shared" si="7"/>
        <v>0</v>
      </c>
      <c r="U62" s="9">
        <f t="shared" si="8"/>
        <v>-1.6736686251067343</v>
      </c>
      <c r="V62" s="10">
        <f t="shared" si="9"/>
        <v>1.6736686251067343</v>
      </c>
      <c r="W62" s="1">
        <f>SUMIFS(
  '[1]Hoja 1'!$M:$M,
  '[1]Hoja 1'!$S:$S, $A62,
  '[1]Hoja 1'!$R:$R, "&gt;="&amp;INT($Y$1),
  '[1]Hoja 1'!$R:$R, "&lt;"&amp;INT($Z$1+1)
)</f>
        <v>0</v>
      </c>
      <c r="X62" s="1">
        <f t="shared" si="10"/>
        <v>0</v>
      </c>
      <c r="Y62" s="9">
        <f t="shared" si="11"/>
        <v>-0.69296464556281656</v>
      </c>
      <c r="Z62" s="10">
        <f t="shared" si="12"/>
        <v>0.69296464556281656</v>
      </c>
      <c r="AA62" s="1">
        <f>SUMIFS(
  '[1]Hoja 1'!$M:$M,
  '[1]Hoja 1'!$S:$S, $A62,
  '[1]Hoja 1'!$R:$R, "&gt;="&amp;INT($AC$1),
  '[1]Hoja 1'!$R:$R, "&lt;"&amp;INT($AD$1+1)
)</f>
        <v>0</v>
      </c>
      <c r="AB62" s="1">
        <f t="shared" si="13"/>
        <v>0</v>
      </c>
      <c r="AC62" s="9">
        <f t="shared" si="14"/>
        <v>-0.61980642139300235</v>
      </c>
      <c r="AD62" s="10">
        <f t="shared" si="15"/>
        <v>0.61980642139300235</v>
      </c>
      <c r="AE62" s="1">
        <f>SUMIFS(
  '[1]Hoja 1'!$M:$M,
  '[1]Hoja 1'!$S:$S, $A62,
  '[1]Hoja 1'!$R:$R, "&gt;="&amp;INT($AG$1),
  '[1]Hoja 1'!$R:$R, "&lt;"&amp;INT($AH$1+1)
)</f>
        <v>0</v>
      </c>
      <c r="AF62" s="1">
        <f t="shared" si="16"/>
        <v>0</v>
      </c>
      <c r="AG62" s="9">
        <f t="shared" si="17"/>
        <v>-0.56580326380583323</v>
      </c>
      <c r="AH62" s="10">
        <f t="shared" si="18"/>
        <v>0.56580326380583323</v>
      </c>
      <c r="AI62" s="1">
        <f>SUMIFS(
  '[1]Hoja 1'!$M:$M,
  '[1]Hoja 1'!$S:$S, $A62,
  '[1]Hoja 1'!$R:$R, "&gt;="&amp;INT($AK$1),
  '[1]Hoja 1'!$R:$R, "&lt;"&amp;INT($AJ$1+1)
)</f>
        <v>0</v>
      </c>
      <c r="AJ62" s="1">
        <f t="shared" si="19"/>
        <v>0</v>
      </c>
      <c r="AK62" s="9">
        <f t="shared" si="20"/>
        <v>-0.52383203414835178</v>
      </c>
      <c r="AL62" s="10">
        <f t="shared" si="21"/>
        <v>0.52383203414835178</v>
      </c>
      <c r="AM62" s="1">
        <f>SUMIFS(
  '[1]Hoja 1'!$M:$M,
  '[1]Hoja 1'!$S:$S, $A62,
  '[1]Hoja 1'!$R:$R, "&gt;="&amp;INT($AO$1),
  '[1]Hoja 1'!$R:$R, "&lt;"&amp;INT($AP$1+1)
)</f>
        <v>0</v>
      </c>
      <c r="AN62" s="1">
        <f t="shared" si="22"/>
        <v>0</v>
      </c>
      <c r="AO62" s="9">
        <f t="shared" si="23"/>
        <v>-0.49</v>
      </c>
      <c r="AP62" s="10">
        <f t="shared" si="24"/>
        <v>0.49</v>
      </c>
      <c r="AQ62" s="1">
        <f>SUMIFS(
  '[1]Hoja 1'!$M:$M,
  '[1]Hoja 1'!$S:$S, $A62,
  '[1]Hoja 1'!$R:$R, "&gt;="&amp;INT($AS$1),
  '[1]Hoja 1'!$R:$R, "&lt;"&amp;INT($AT$1+1)
)</f>
        <v>0</v>
      </c>
      <c r="AR62" s="1">
        <f t="shared" si="25"/>
        <v>0</v>
      </c>
      <c r="AS62" s="9">
        <f t="shared" si="26"/>
        <v>-0.46197643037521102</v>
      </c>
      <c r="AT62" s="10">
        <f t="shared" si="27"/>
        <v>0.46197643037521102</v>
      </c>
      <c r="AU62" s="1">
        <f>SUMIFS(
  '[1]Hoja 1'!$M:$M,
  '[1]Hoja 1'!$S:$S, $A62,
  '[1]Hoja 1'!$R:$R, "&gt;="&amp;INT($AW$1),
  '[1]Hoja 1'!$R:$R, "&lt;"&amp;INT($AX$1+1)
)</f>
        <v>0</v>
      </c>
      <c r="AV62" s="1">
        <f t="shared" si="28"/>
        <v>0</v>
      </c>
      <c r="AW62" s="9">
        <f t="shared" si="29"/>
        <v>-0.43826932358995874</v>
      </c>
      <c r="AX62" s="10">
        <f t="shared" si="30"/>
        <v>0.43826932358995874</v>
      </c>
    </row>
    <row r="63" spans="1:50" x14ac:dyDescent="0.25">
      <c r="A63" s="5">
        <v>209004</v>
      </c>
      <c r="B63" s="6" t="s">
        <v>60</v>
      </c>
      <c r="C63" s="1">
        <f>SUMIFS(
  '[1]Hoja 1'!$M:$M,
  '[1]Hoja 1'!$S:$S, $A63,
  '[1]Hoja 1'!$R:$R, "&gt;="&amp;INT($E$1),
  '[1]Hoja 1'!$R:$R, "&lt;"&amp;INT($F$1+1)
)</f>
        <v>40</v>
      </c>
      <c r="D63" s="1" t="str">
        <f>""</f>
        <v/>
      </c>
      <c r="F63" s="2"/>
      <c r="G63" s="1">
        <f>SUMIFS(
  '[1]Hoja 1'!$M:$M,
  '[1]Hoja 1'!$S:$S, $A63,
  '[1]Hoja 1'!$R:$R, "&gt;="&amp;INT($I$1),
  '[1]Hoja 1'!$R:$R, "&lt;"&amp;INT($J$1+1)
)</f>
        <v>21</v>
      </c>
      <c r="H63" s="1">
        <f t="shared" si="0"/>
        <v>31</v>
      </c>
      <c r="I63" s="1"/>
      <c r="J63" s="2"/>
      <c r="K63" s="1">
        <f>SUMIFS(
  '[1]Hoja 1'!$M:$M,
  '[1]Hoja 1'!$S:$S, $A63,
  '[1]Hoja 1'!$R:$R, "&gt;="&amp;INT($M$1),
  '[1]Hoja 1'!$R:$R, "&lt;"&amp;INT($N$1+1)
)</f>
        <v>0</v>
      </c>
      <c r="L63" s="1">
        <f t="shared" si="1"/>
        <v>10.5</v>
      </c>
      <c r="M63" s="9">
        <f t="shared" si="2"/>
        <v>9.1140707088743671</v>
      </c>
      <c r="N63" s="10">
        <f t="shared" si="3"/>
        <v>11.885929291125633</v>
      </c>
      <c r="O63" s="1">
        <f>SUMIFS(
  '[1]Hoja 1'!$M:$M,
  '[1]Hoja 1'!$S:$S, $A63,
  '[1]Hoja 1'!$R:$R, "&gt;="&amp;INT($Q$1),
  '[1]Hoja 1'!$R:$R, "&lt;"&amp;INT($R$1+1)
)</f>
        <v>0</v>
      </c>
      <c r="P63" s="1">
        <f t="shared" si="4"/>
        <v>0</v>
      </c>
      <c r="Q63" s="9">
        <f t="shared" si="5"/>
        <v>-11.358421251799623</v>
      </c>
      <c r="R63" s="10">
        <f t="shared" si="6"/>
        <v>11.358421251799623</v>
      </c>
      <c r="S63" s="1">
        <f>SUMIFS(
  '[1]Hoja 1'!$M:$M,
  '[1]Hoja 1'!$S:$S, $A63,
  '[1]Hoja 1'!$R:$R, "&gt;="&amp;INT($U$1),
  '[1]Hoja 1'!$R:$R, "&lt;"&amp;INT($V$1+1)
)</f>
        <v>0</v>
      </c>
      <c r="T63" s="1">
        <f t="shared" si="7"/>
        <v>0</v>
      </c>
      <c r="U63" s="9">
        <f t="shared" si="8"/>
        <v>-10.566290739895434</v>
      </c>
      <c r="V63" s="10">
        <f t="shared" si="9"/>
        <v>10.566290739895434</v>
      </c>
      <c r="W63" s="1">
        <f>SUMIFS(
  '[1]Hoja 1'!$M:$M,
  '[1]Hoja 1'!$S:$S, $A63,
  '[1]Hoja 1'!$R:$R, "&gt;="&amp;INT($Y$1),
  '[1]Hoja 1'!$R:$R, "&lt;"&amp;INT($Z$1+1)
)</f>
        <v>0</v>
      </c>
      <c r="X63" s="1">
        <f t="shared" si="10"/>
        <v>0</v>
      </c>
      <c r="Y63" s="9">
        <f t="shared" si="11"/>
        <v>-10.757704216049072</v>
      </c>
      <c r="Z63" s="10">
        <f t="shared" si="12"/>
        <v>10.757704216049072</v>
      </c>
      <c r="AA63" s="1">
        <f>SUMIFS(
  '[1]Hoja 1'!$M:$M,
  '[1]Hoja 1'!$S:$S, $A63,
  '[1]Hoja 1'!$R:$R, "&gt;="&amp;INT($AC$1),
  '[1]Hoja 1'!$R:$R, "&lt;"&amp;INT($AD$1+1)
)</f>
        <v>0</v>
      </c>
      <c r="AB63" s="1">
        <f t="shared" si="13"/>
        <v>0</v>
      </c>
      <c r="AC63" s="9">
        <f t="shared" si="14"/>
        <v>-10.140356338248997</v>
      </c>
      <c r="AD63" s="10">
        <f t="shared" si="15"/>
        <v>10.140356338248997</v>
      </c>
      <c r="AE63" s="1">
        <f>SUMIFS(
  '[1]Hoja 1'!$M:$M,
  '[1]Hoja 1'!$S:$S, $A63,
  '[1]Hoja 1'!$R:$R, "&gt;="&amp;INT($AG$1),
  '[1]Hoja 1'!$R:$R, "&lt;"&amp;INT($AH$1+1)
)</f>
        <v>0</v>
      </c>
      <c r="AF63" s="1">
        <f t="shared" si="16"/>
        <v>0</v>
      </c>
      <c r="AG63" s="9">
        <f t="shared" si="17"/>
        <v>-9.58054278211835</v>
      </c>
      <c r="AH63" s="10">
        <f t="shared" si="18"/>
        <v>9.58054278211835</v>
      </c>
      <c r="AI63" s="1">
        <f>SUMIFS(
  '[1]Hoja 1'!$M:$M,
  '[1]Hoja 1'!$S:$S, $A63,
  '[1]Hoja 1'!$R:$R, "&gt;="&amp;INT($AK$1),
  '[1]Hoja 1'!$R:$R, "&lt;"&amp;INT($AJ$1+1)
)</f>
        <v>0</v>
      </c>
      <c r="AJ63" s="1">
        <f t="shared" si="19"/>
        <v>0</v>
      </c>
      <c r="AK63" s="9">
        <f t="shared" si="20"/>
        <v>-9.0881461255857889</v>
      </c>
      <c r="AL63" s="10">
        <f t="shared" si="21"/>
        <v>9.0881461255857889</v>
      </c>
      <c r="AM63" s="1">
        <f>SUMIFS(
  '[1]Hoja 1'!$M:$M,
  '[1]Hoja 1'!$S:$S, $A63,
  '[1]Hoja 1'!$R:$R, "&gt;="&amp;INT($AO$1),
  '[1]Hoja 1'!$R:$R, "&lt;"&amp;INT($AP$1+1)
)</f>
        <v>0</v>
      </c>
      <c r="AN63" s="1">
        <f t="shared" si="22"/>
        <v>0</v>
      </c>
      <c r="AO63" s="9">
        <f t="shared" si="23"/>
        <v>-8.6566666666666645</v>
      </c>
      <c r="AP63" s="10">
        <f t="shared" si="24"/>
        <v>8.6566666666666645</v>
      </c>
      <c r="AQ63" s="1">
        <f>SUMIFS(
  '[1]Hoja 1'!$M:$M,
  '[1]Hoja 1'!$S:$S, $A63,
  '[1]Hoja 1'!$R:$R, "&gt;="&amp;INT($AS$1),
  '[1]Hoja 1'!$R:$R, "&lt;"&amp;INT($AT$1+1)
)</f>
        <v>0</v>
      </c>
      <c r="AR63" s="1">
        <f t="shared" si="25"/>
        <v>0</v>
      </c>
      <c r="AS63" s="9">
        <f t="shared" si="26"/>
        <v>-8.2769881800890186</v>
      </c>
      <c r="AT63" s="10">
        <f t="shared" si="27"/>
        <v>8.2769881800890186</v>
      </c>
      <c r="AU63" s="1">
        <f>SUMIFS(
  '[1]Hoja 1'!$M:$M,
  '[1]Hoja 1'!$S:$S, $A63,
  '[1]Hoja 1'!$R:$R, "&gt;="&amp;INT($AW$1),
  '[1]Hoja 1'!$R:$R, "&lt;"&amp;INT($AX$1+1)
)</f>
        <v>0</v>
      </c>
      <c r="AV63" s="1">
        <f t="shared" si="28"/>
        <v>0</v>
      </c>
      <c r="AW63" s="9">
        <f t="shared" si="29"/>
        <v>-7.940694267792046</v>
      </c>
      <c r="AX63" s="10">
        <f t="shared" si="30"/>
        <v>7.940694267792046</v>
      </c>
    </row>
    <row r="64" spans="1:50" x14ac:dyDescent="0.25">
      <c r="A64" s="5">
        <v>209006</v>
      </c>
      <c r="B64" s="6" t="s">
        <v>61</v>
      </c>
      <c r="C64" s="1">
        <f>SUMIFS(
  '[1]Hoja 1'!$M:$M,
  '[1]Hoja 1'!$S:$S, $A64,
  '[1]Hoja 1'!$R:$R, "&gt;="&amp;INT($E$1),
  '[1]Hoja 1'!$R:$R, "&lt;"&amp;INT($F$1+1)
)</f>
        <v>1</v>
      </c>
      <c r="D64" s="1" t="str">
        <f>""</f>
        <v/>
      </c>
      <c r="F64" s="2"/>
      <c r="G64" s="1">
        <f>SUMIFS(
  '[1]Hoja 1'!$M:$M,
  '[1]Hoja 1'!$S:$S, $A64,
  '[1]Hoja 1'!$R:$R, "&gt;="&amp;INT($I$1),
  '[1]Hoja 1'!$R:$R, "&lt;"&amp;INT($J$1+1)
)</f>
        <v>1</v>
      </c>
      <c r="H64" s="1">
        <f t="shared" si="0"/>
        <v>1</v>
      </c>
      <c r="I64" s="1"/>
      <c r="J64" s="2"/>
      <c r="K64" s="1">
        <f>SUMIFS(
  '[1]Hoja 1'!$M:$M,
  '[1]Hoja 1'!$S:$S, $A64,
  '[1]Hoja 1'!$R:$R, "&gt;="&amp;INT($M$1),
  '[1]Hoja 1'!$R:$R, "&lt;"&amp;INT($N$1+1)
)</f>
        <v>0</v>
      </c>
      <c r="L64" s="1">
        <f t="shared" si="1"/>
        <v>0.5</v>
      </c>
      <c r="M64" s="9">
        <f t="shared" si="2"/>
        <v>-0.19296464556281656</v>
      </c>
      <c r="N64" s="10">
        <f t="shared" si="3"/>
        <v>1.1929646455628165</v>
      </c>
      <c r="O64" s="1">
        <f>SUMIFS(
  '[1]Hoja 1'!$M:$M,
  '[1]Hoja 1'!$S:$S, $A64,
  '[1]Hoja 1'!$R:$R, "&gt;="&amp;INT($Q$1),
  '[1]Hoja 1'!$R:$R, "&lt;"&amp;INT($R$1+1)
)</f>
        <v>0</v>
      </c>
      <c r="P64" s="1">
        <f t="shared" si="4"/>
        <v>0</v>
      </c>
      <c r="Q64" s="9">
        <f t="shared" si="5"/>
        <v>-0.56580326380583335</v>
      </c>
      <c r="R64" s="10">
        <f t="shared" si="6"/>
        <v>0.56580326380583335</v>
      </c>
      <c r="S64" s="1">
        <f>SUMIFS(
  '[1]Hoja 1'!$M:$M,
  '[1]Hoja 1'!$S:$S, $A64,
  '[1]Hoja 1'!$R:$R, "&gt;="&amp;INT($U$1),
  '[1]Hoja 1'!$R:$R, "&lt;"&amp;INT($V$1+1)
)</f>
        <v>0</v>
      </c>
      <c r="T64" s="1">
        <f t="shared" si="7"/>
        <v>0</v>
      </c>
      <c r="U64" s="9">
        <f t="shared" si="8"/>
        <v>-1.3859292911256331</v>
      </c>
      <c r="V64" s="10">
        <f t="shared" si="9"/>
        <v>1.3859292911256331</v>
      </c>
      <c r="W64" s="1">
        <f>SUMIFS(
  '[1]Hoja 1'!$M:$M,
  '[1]Hoja 1'!$S:$S, $A64,
  '[1]Hoja 1'!$R:$R, "&gt;="&amp;INT($Y$1),
  '[1]Hoja 1'!$R:$R, "&lt;"&amp;INT($Z$1+1)
)</f>
        <v>0</v>
      </c>
      <c r="X64" s="1">
        <f t="shared" si="10"/>
        <v>0</v>
      </c>
      <c r="Y64" s="9">
        <f t="shared" si="11"/>
        <v>-0.43826932358995874</v>
      </c>
      <c r="Z64" s="10">
        <f t="shared" si="12"/>
        <v>0.43826932358995874</v>
      </c>
      <c r="AA64" s="1">
        <f>SUMIFS(
  '[1]Hoja 1'!$M:$M,
  '[1]Hoja 1'!$S:$S, $A64,
  '[1]Hoja 1'!$R:$R, "&gt;="&amp;INT($AC$1),
  '[1]Hoja 1'!$R:$R, "&lt;"&amp;INT($AD$1+1)
)</f>
        <v>0</v>
      </c>
      <c r="AB64" s="1">
        <f t="shared" si="13"/>
        <v>0</v>
      </c>
      <c r="AC64" s="9">
        <f t="shared" si="14"/>
        <v>-0.40008332465458574</v>
      </c>
      <c r="AD64" s="10">
        <f t="shared" si="15"/>
        <v>0.40008332465458574</v>
      </c>
      <c r="AE64" s="1">
        <f>SUMIFS(
  '[1]Hoja 1'!$M:$M,
  '[1]Hoja 1'!$S:$S, $A64,
  '[1]Hoja 1'!$R:$R, "&gt;="&amp;INT($AG$1),
  '[1]Hoja 1'!$R:$R, "&lt;"&amp;INT($AH$1+1)
)</f>
        <v>0</v>
      </c>
      <c r="AF64" s="1">
        <f t="shared" si="16"/>
        <v>0</v>
      </c>
      <c r="AG64" s="9">
        <f t="shared" si="17"/>
        <v>-0.37040518354904273</v>
      </c>
      <c r="AH64" s="10">
        <f t="shared" si="18"/>
        <v>0.37040518354904273</v>
      </c>
      <c r="AI64" s="1">
        <f>SUMIFS(
  '[1]Hoja 1'!$M:$M,
  '[1]Hoja 1'!$S:$S, $A64,
  '[1]Hoja 1'!$R:$R, "&gt;="&amp;INT($AK$1),
  '[1]Hoja 1'!$R:$R, "&lt;"&amp;INT($AJ$1+1)
)</f>
        <v>0</v>
      </c>
      <c r="AJ64" s="1">
        <f t="shared" si="19"/>
        <v>0</v>
      </c>
      <c r="AK64" s="9">
        <f t="shared" si="20"/>
        <v>-0.34648232278140828</v>
      </c>
      <c r="AL64" s="10">
        <f t="shared" si="21"/>
        <v>0.34648232278140828</v>
      </c>
      <c r="AM64" s="1">
        <f>SUMIFS(
  '[1]Hoja 1'!$M:$M,
  '[1]Hoja 1'!$S:$S, $A64,
  '[1]Hoja 1'!$R:$R, "&gt;="&amp;INT($AO$1),
  '[1]Hoja 1'!$R:$R, "&lt;"&amp;INT($AP$1+1)
)</f>
        <v>0</v>
      </c>
      <c r="AN64" s="1">
        <f t="shared" si="22"/>
        <v>0</v>
      </c>
      <c r="AO64" s="9">
        <f t="shared" si="23"/>
        <v>-0.32666666666666666</v>
      </c>
      <c r="AP64" s="10">
        <f t="shared" si="24"/>
        <v>0.32666666666666666</v>
      </c>
      <c r="AQ64" s="1">
        <f>SUMIFS(
  '[1]Hoja 1'!$M:$M,
  '[1]Hoja 1'!$S:$S, $A64,
  '[1]Hoja 1'!$R:$R, "&gt;="&amp;INT($AS$1),
  '[1]Hoja 1'!$R:$R, "&lt;"&amp;INT($AT$1+1)
)</f>
        <v>0</v>
      </c>
      <c r="AR64" s="1">
        <f t="shared" si="25"/>
        <v>0</v>
      </c>
      <c r="AS64" s="9">
        <f t="shared" si="26"/>
        <v>-0.30990321069650117</v>
      </c>
      <c r="AT64" s="10">
        <f t="shared" si="27"/>
        <v>0.30990321069650117</v>
      </c>
      <c r="AU64" s="1">
        <f>SUMIFS(
  '[1]Hoja 1'!$M:$M,
  '[1]Hoja 1'!$S:$S, $A64,
  '[1]Hoja 1'!$R:$R, "&gt;="&amp;INT($AW$1),
  '[1]Hoja 1'!$R:$R, "&lt;"&amp;INT($AX$1+1)
)</f>
        <v>0</v>
      </c>
      <c r="AV64" s="1">
        <f t="shared" si="28"/>
        <v>0</v>
      </c>
      <c r="AW64" s="9">
        <f t="shared" si="29"/>
        <v>-0.29548111768620833</v>
      </c>
      <c r="AX64" s="10">
        <f t="shared" si="30"/>
        <v>0.29548111768620833</v>
      </c>
    </row>
    <row r="65" spans="1:50" x14ac:dyDescent="0.25">
      <c r="A65" s="5">
        <v>209007</v>
      </c>
      <c r="B65" s="6" t="s">
        <v>62</v>
      </c>
      <c r="C65" s="1">
        <f>SUMIFS(
  '[1]Hoja 1'!$M:$M,
  '[1]Hoja 1'!$S:$S, $A65,
  '[1]Hoja 1'!$R:$R, "&gt;="&amp;INT($E$1),
  '[1]Hoja 1'!$R:$R, "&lt;"&amp;INT($F$1+1)
)</f>
        <v>0</v>
      </c>
      <c r="D65" s="1" t="str">
        <f>""</f>
        <v/>
      </c>
      <c r="F65" s="2"/>
      <c r="G65" s="1">
        <f>SUMIFS(
  '[1]Hoja 1'!$M:$M,
  '[1]Hoja 1'!$S:$S, $A65,
  '[1]Hoja 1'!$R:$R, "&gt;="&amp;INT($I$1),
  '[1]Hoja 1'!$R:$R, "&lt;"&amp;INT($J$1+1)
)</f>
        <v>0</v>
      </c>
      <c r="H65" s="1">
        <f t="shared" si="0"/>
        <v>0</v>
      </c>
      <c r="I65" s="1"/>
      <c r="J65" s="2"/>
      <c r="K65" s="1">
        <f>SUMIFS(
  '[1]Hoja 1'!$M:$M,
  '[1]Hoja 1'!$S:$S, $A65,
  '[1]Hoja 1'!$R:$R, "&gt;="&amp;INT($M$1),
  '[1]Hoja 1'!$R:$R, "&lt;"&amp;INT($N$1+1)
)</f>
        <v>0</v>
      </c>
      <c r="L65" s="1">
        <f t="shared" si="1"/>
        <v>0</v>
      </c>
      <c r="M65" s="9">
        <f t="shared" si="2"/>
        <v>0</v>
      </c>
      <c r="N65" s="10">
        <f t="shared" si="3"/>
        <v>0</v>
      </c>
      <c r="O65" s="1">
        <f>SUMIFS(
  '[1]Hoja 1'!$M:$M,
  '[1]Hoja 1'!$S:$S, $A65,
  '[1]Hoja 1'!$R:$R, "&gt;="&amp;INT($Q$1),
  '[1]Hoja 1'!$R:$R, "&lt;"&amp;INT($R$1+1)
)</f>
        <v>0</v>
      </c>
      <c r="P65" s="1">
        <f t="shared" si="4"/>
        <v>0</v>
      </c>
      <c r="Q65" s="9">
        <f t="shared" si="5"/>
        <v>0</v>
      </c>
      <c r="R65" s="10">
        <f t="shared" si="6"/>
        <v>0</v>
      </c>
      <c r="S65" s="1">
        <f>SUMIFS(
  '[1]Hoja 1'!$M:$M,
  '[1]Hoja 1'!$S:$S, $A65,
  '[1]Hoja 1'!$R:$R, "&gt;="&amp;INT($U$1),
  '[1]Hoja 1'!$R:$R, "&lt;"&amp;INT($V$1+1)
)</f>
        <v>0</v>
      </c>
      <c r="T65" s="1">
        <f t="shared" si="7"/>
        <v>0</v>
      </c>
      <c r="U65" s="9">
        <f t="shared" si="8"/>
        <v>-1.47</v>
      </c>
      <c r="V65" s="10">
        <f t="shared" si="9"/>
        <v>1.47</v>
      </c>
      <c r="W65" s="1">
        <f>SUMIFS(
  '[1]Hoja 1'!$M:$M,
  '[1]Hoja 1'!$S:$S, $A65,
  '[1]Hoja 1'!$R:$R, "&gt;="&amp;INT($Y$1),
  '[1]Hoja 1'!$R:$R, "&lt;"&amp;INT($Z$1+1)
)</f>
        <v>0</v>
      </c>
      <c r="X65" s="1">
        <f t="shared" si="10"/>
        <v>0</v>
      </c>
      <c r="Y65" s="9">
        <f t="shared" si="11"/>
        <v>0</v>
      </c>
      <c r="Z65" s="10">
        <f t="shared" si="12"/>
        <v>0</v>
      </c>
      <c r="AA65" s="1">
        <f>SUMIFS(
  '[1]Hoja 1'!$M:$M,
  '[1]Hoja 1'!$S:$S, $A65,
  '[1]Hoja 1'!$R:$R, "&gt;="&amp;INT($AC$1),
  '[1]Hoja 1'!$R:$R, "&lt;"&amp;INT($AD$1+1)
)</f>
        <v>0</v>
      </c>
      <c r="AB65" s="1">
        <f t="shared" si="13"/>
        <v>0</v>
      </c>
      <c r="AC65" s="9">
        <f t="shared" si="14"/>
        <v>0</v>
      </c>
      <c r="AD65" s="10">
        <f t="shared" si="15"/>
        <v>0</v>
      </c>
      <c r="AE65" s="1">
        <f>SUMIFS(
  '[1]Hoja 1'!$M:$M,
  '[1]Hoja 1'!$S:$S, $A65,
  '[1]Hoja 1'!$R:$R, "&gt;="&amp;INT($AG$1),
  '[1]Hoja 1'!$R:$R, "&lt;"&amp;INT($AH$1+1)
)</f>
        <v>0</v>
      </c>
      <c r="AF65" s="1">
        <f t="shared" si="16"/>
        <v>0</v>
      </c>
      <c r="AG65" s="9">
        <f t="shared" si="17"/>
        <v>0</v>
      </c>
      <c r="AH65" s="10">
        <f t="shared" si="18"/>
        <v>0</v>
      </c>
      <c r="AI65" s="1">
        <f>SUMIFS(
  '[1]Hoja 1'!$M:$M,
  '[1]Hoja 1'!$S:$S, $A65,
  '[1]Hoja 1'!$R:$R, "&gt;="&amp;INT($AK$1),
  '[1]Hoja 1'!$R:$R, "&lt;"&amp;INT($AJ$1+1)
)</f>
        <v>0</v>
      </c>
      <c r="AJ65" s="1">
        <f t="shared" si="19"/>
        <v>0</v>
      </c>
      <c r="AK65" s="9">
        <f t="shared" si="20"/>
        <v>0</v>
      </c>
      <c r="AL65" s="10">
        <f t="shared" si="21"/>
        <v>0</v>
      </c>
      <c r="AM65" s="1">
        <f>SUMIFS(
  '[1]Hoja 1'!$M:$M,
  '[1]Hoja 1'!$S:$S, $A65,
  '[1]Hoja 1'!$R:$R, "&gt;="&amp;INT($AO$1),
  '[1]Hoja 1'!$R:$R, "&lt;"&amp;INT($AP$1+1)
)</f>
        <v>0</v>
      </c>
      <c r="AN65" s="1">
        <f t="shared" si="22"/>
        <v>0</v>
      </c>
      <c r="AO65" s="9">
        <f t="shared" si="23"/>
        <v>0</v>
      </c>
      <c r="AP65" s="10">
        <f t="shared" si="24"/>
        <v>0</v>
      </c>
      <c r="AQ65" s="1">
        <f>SUMIFS(
  '[1]Hoja 1'!$M:$M,
  '[1]Hoja 1'!$S:$S, $A65,
  '[1]Hoja 1'!$R:$R, "&gt;="&amp;INT($AS$1),
  '[1]Hoja 1'!$R:$R, "&lt;"&amp;INT($AT$1+1)
)</f>
        <v>0</v>
      </c>
      <c r="AR65" s="1">
        <f t="shared" si="25"/>
        <v>0</v>
      </c>
      <c r="AS65" s="9">
        <f t="shared" si="26"/>
        <v>0</v>
      </c>
      <c r="AT65" s="10">
        <f t="shared" si="27"/>
        <v>0</v>
      </c>
      <c r="AU65" s="1">
        <f>SUMIFS(
  '[1]Hoja 1'!$M:$M,
  '[1]Hoja 1'!$S:$S, $A65,
  '[1]Hoja 1'!$R:$R, "&gt;="&amp;INT($AW$1),
  '[1]Hoja 1'!$R:$R, "&lt;"&amp;INT($AX$1+1)
)</f>
        <v>0</v>
      </c>
      <c r="AV65" s="1">
        <f t="shared" si="28"/>
        <v>0</v>
      </c>
      <c r="AW65" s="9">
        <f t="shared" si="29"/>
        <v>0</v>
      </c>
      <c r="AX65" s="10">
        <f t="shared" si="30"/>
        <v>0</v>
      </c>
    </row>
    <row r="66" spans="1:50" x14ac:dyDescent="0.25">
      <c r="A66" s="5">
        <v>209008</v>
      </c>
      <c r="B66" s="6" t="s">
        <v>63</v>
      </c>
      <c r="C66" s="1">
        <f>SUMIFS(
  '[1]Hoja 1'!$M:$M,
  '[1]Hoja 1'!$S:$S, $A66,
  '[1]Hoja 1'!$R:$R, "&gt;="&amp;INT($E$1),
  '[1]Hoja 1'!$R:$R, "&lt;"&amp;INT($F$1+1)
)</f>
        <v>0</v>
      </c>
      <c r="D66" s="1" t="str">
        <f>""</f>
        <v/>
      </c>
      <c r="F66" s="2"/>
      <c r="G66" s="1">
        <f>SUMIFS(
  '[1]Hoja 1'!$M:$M,
  '[1]Hoja 1'!$S:$S, $A66,
  '[1]Hoja 1'!$R:$R, "&gt;="&amp;INT($I$1),
  '[1]Hoja 1'!$R:$R, "&lt;"&amp;INT($J$1+1)
)</f>
        <v>0</v>
      </c>
      <c r="H66" s="1">
        <f t="shared" si="0"/>
        <v>0</v>
      </c>
      <c r="I66" s="1"/>
      <c r="J66" s="2"/>
      <c r="K66" s="1">
        <f>SUMIFS(
  '[1]Hoja 1'!$M:$M,
  '[1]Hoja 1'!$S:$S, $A66,
  '[1]Hoja 1'!$R:$R, "&gt;="&amp;INT($M$1),
  '[1]Hoja 1'!$R:$R, "&lt;"&amp;INT($N$1+1)
)</f>
        <v>0</v>
      </c>
      <c r="L66" s="1">
        <f t="shared" si="1"/>
        <v>0</v>
      </c>
      <c r="M66" s="9">
        <f t="shared" si="2"/>
        <v>0</v>
      </c>
      <c r="N66" s="10">
        <f t="shared" si="3"/>
        <v>0</v>
      </c>
      <c r="O66" s="1">
        <f>SUMIFS(
  '[1]Hoja 1'!$M:$M,
  '[1]Hoja 1'!$S:$S, $A66,
  '[1]Hoja 1'!$R:$R, "&gt;="&amp;INT($Q$1),
  '[1]Hoja 1'!$R:$R, "&lt;"&amp;INT($R$1+1)
)</f>
        <v>0</v>
      </c>
      <c r="P66" s="1">
        <f t="shared" si="4"/>
        <v>0</v>
      </c>
      <c r="Q66" s="9">
        <f t="shared" si="5"/>
        <v>0</v>
      </c>
      <c r="R66" s="10">
        <f t="shared" si="6"/>
        <v>0</v>
      </c>
      <c r="S66" s="1">
        <f>SUMIFS(
  '[1]Hoja 1'!$M:$M,
  '[1]Hoja 1'!$S:$S, $A66,
  '[1]Hoja 1'!$R:$R, "&gt;="&amp;INT($U$1),
  '[1]Hoja 1'!$R:$R, "&lt;"&amp;INT($V$1+1)
)</f>
        <v>0</v>
      </c>
      <c r="T66" s="1">
        <f t="shared" si="7"/>
        <v>0</v>
      </c>
      <c r="U66" s="9">
        <f t="shared" si="8"/>
        <v>-1.47</v>
      </c>
      <c r="V66" s="10">
        <f t="shared" si="9"/>
        <v>1.47</v>
      </c>
      <c r="W66" s="1">
        <f>SUMIFS(
  '[1]Hoja 1'!$M:$M,
  '[1]Hoja 1'!$S:$S, $A66,
  '[1]Hoja 1'!$R:$R, "&gt;="&amp;INT($Y$1),
  '[1]Hoja 1'!$R:$R, "&lt;"&amp;INT($Z$1+1)
)</f>
        <v>0</v>
      </c>
      <c r="X66" s="1">
        <f t="shared" si="10"/>
        <v>0</v>
      </c>
      <c r="Y66" s="9">
        <f t="shared" si="11"/>
        <v>0</v>
      </c>
      <c r="Z66" s="10">
        <f t="shared" si="12"/>
        <v>0</v>
      </c>
      <c r="AA66" s="1">
        <f>SUMIFS(
  '[1]Hoja 1'!$M:$M,
  '[1]Hoja 1'!$S:$S, $A66,
  '[1]Hoja 1'!$R:$R, "&gt;="&amp;INT($AC$1),
  '[1]Hoja 1'!$R:$R, "&lt;"&amp;INT($AD$1+1)
)</f>
        <v>0</v>
      </c>
      <c r="AB66" s="1">
        <f t="shared" si="13"/>
        <v>0</v>
      </c>
      <c r="AC66" s="9">
        <f t="shared" si="14"/>
        <v>0</v>
      </c>
      <c r="AD66" s="10">
        <f t="shared" si="15"/>
        <v>0</v>
      </c>
      <c r="AE66" s="1">
        <f>SUMIFS(
  '[1]Hoja 1'!$M:$M,
  '[1]Hoja 1'!$S:$S, $A66,
  '[1]Hoja 1'!$R:$R, "&gt;="&amp;INT($AG$1),
  '[1]Hoja 1'!$R:$R, "&lt;"&amp;INT($AH$1+1)
)</f>
        <v>0</v>
      </c>
      <c r="AF66" s="1">
        <f t="shared" si="16"/>
        <v>0</v>
      </c>
      <c r="AG66" s="9">
        <f t="shared" si="17"/>
        <v>0</v>
      </c>
      <c r="AH66" s="10">
        <f t="shared" si="18"/>
        <v>0</v>
      </c>
      <c r="AI66" s="1">
        <f>SUMIFS(
  '[1]Hoja 1'!$M:$M,
  '[1]Hoja 1'!$S:$S, $A66,
  '[1]Hoja 1'!$R:$R, "&gt;="&amp;INT($AK$1),
  '[1]Hoja 1'!$R:$R, "&lt;"&amp;INT($AJ$1+1)
)</f>
        <v>0</v>
      </c>
      <c r="AJ66" s="1">
        <f t="shared" si="19"/>
        <v>0</v>
      </c>
      <c r="AK66" s="9">
        <f t="shared" si="20"/>
        <v>0</v>
      </c>
      <c r="AL66" s="10">
        <f t="shared" si="21"/>
        <v>0</v>
      </c>
      <c r="AM66" s="1">
        <f>SUMIFS(
  '[1]Hoja 1'!$M:$M,
  '[1]Hoja 1'!$S:$S, $A66,
  '[1]Hoja 1'!$R:$R, "&gt;="&amp;INT($AO$1),
  '[1]Hoja 1'!$R:$R, "&lt;"&amp;INT($AP$1+1)
)</f>
        <v>0</v>
      </c>
      <c r="AN66" s="1">
        <f t="shared" si="22"/>
        <v>0</v>
      </c>
      <c r="AO66" s="9">
        <f t="shared" si="23"/>
        <v>0</v>
      </c>
      <c r="AP66" s="10">
        <f t="shared" si="24"/>
        <v>0</v>
      </c>
      <c r="AQ66" s="1">
        <f>SUMIFS(
  '[1]Hoja 1'!$M:$M,
  '[1]Hoja 1'!$S:$S, $A66,
  '[1]Hoja 1'!$R:$R, "&gt;="&amp;INT($AS$1),
  '[1]Hoja 1'!$R:$R, "&lt;"&amp;INT($AT$1+1)
)</f>
        <v>0</v>
      </c>
      <c r="AR66" s="1">
        <f t="shared" si="25"/>
        <v>0</v>
      </c>
      <c r="AS66" s="9">
        <f t="shared" si="26"/>
        <v>0</v>
      </c>
      <c r="AT66" s="10">
        <f t="shared" si="27"/>
        <v>0</v>
      </c>
      <c r="AU66" s="1">
        <f>SUMIFS(
  '[1]Hoja 1'!$M:$M,
  '[1]Hoja 1'!$S:$S, $A66,
  '[1]Hoja 1'!$R:$R, "&gt;="&amp;INT($AW$1),
  '[1]Hoja 1'!$R:$R, "&lt;"&amp;INT($AX$1+1)
)</f>
        <v>0</v>
      </c>
      <c r="AV66" s="1">
        <f t="shared" si="28"/>
        <v>0</v>
      </c>
      <c r="AW66" s="9">
        <f t="shared" si="29"/>
        <v>0</v>
      </c>
      <c r="AX66" s="10">
        <f t="shared" si="30"/>
        <v>0</v>
      </c>
    </row>
    <row r="67" spans="1:50" x14ac:dyDescent="0.25">
      <c r="A67" s="5">
        <v>209012</v>
      </c>
      <c r="B67" s="6" t="s">
        <v>64</v>
      </c>
      <c r="C67" s="1">
        <f>SUMIFS(
  '[1]Hoja 1'!$M:$M,
  '[1]Hoja 1'!$S:$S, $A67,
  '[1]Hoja 1'!$R:$R, "&gt;="&amp;INT($E$1),
  '[1]Hoja 1'!$R:$R, "&lt;"&amp;INT($F$1+1)
)</f>
        <v>26</v>
      </c>
      <c r="D67" s="1" t="str">
        <f>""</f>
        <v/>
      </c>
      <c r="F67" s="2"/>
      <c r="G67" s="1">
        <f>SUMIFS(
  '[1]Hoja 1'!$M:$M,
  '[1]Hoja 1'!$S:$S, $A67,
  '[1]Hoja 1'!$R:$R, "&gt;="&amp;INT($I$1),
  '[1]Hoja 1'!$R:$R, "&lt;"&amp;INT($J$1+1)
)</f>
        <v>16</v>
      </c>
      <c r="H67" s="1">
        <f t="shared" si="0"/>
        <v>21</v>
      </c>
      <c r="I67" s="1"/>
      <c r="J67" s="2"/>
      <c r="K67" s="1">
        <f>SUMIFS(
  '[1]Hoja 1'!$M:$M,
  '[1]Hoja 1'!$S:$S, $A67,
  '[1]Hoja 1'!$R:$R, "&gt;="&amp;INT($M$1),
  '[1]Hoja 1'!$R:$R, "&lt;"&amp;INT($N$1+1)
)</f>
        <v>0</v>
      </c>
      <c r="L67" s="1">
        <f t="shared" si="1"/>
        <v>8</v>
      </c>
      <c r="M67" s="9">
        <f t="shared" si="2"/>
        <v>3.8422121266231013</v>
      </c>
      <c r="N67" s="10">
        <f t="shared" si="3"/>
        <v>12.157787873376899</v>
      </c>
      <c r="O67" s="1">
        <f>SUMIFS(
  '[1]Hoja 1'!$M:$M,
  '[1]Hoja 1'!$S:$S, $A67,
  '[1]Hoja 1'!$R:$R, "&gt;="&amp;INT($Q$1),
  '[1]Hoja 1'!$R:$R, "&lt;"&amp;INT($R$1+1)
)</f>
        <v>0</v>
      </c>
      <c r="P67" s="1">
        <f t="shared" si="4"/>
        <v>0</v>
      </c>
      <c r="Q67" s="9">
        <f t="shared" si="5"/>
        <v>-7.9212456932816657</v>
      </c>
      <c r="R67" s="10">
        <f t="shared" si="6"/>
        <v>7.9212456932816657</v>
      </c>
      <c r="S67" s="1">
        <f>SUMIFS(
  '[1]Hoja 1'!$M:$M,
  '[1]Hoja 1'!$S:$S, $A67,
  '[1]Hoja 1'!$R:$R, "&gt;="&amp;INT($U$1),
  '[1]Hoja 1'!$R:$R, "&lt;"&amp;INT($V$1+1)
)</f>
        <v>0</v>
      </c>
      <c r="T67" s="1">
        <f t="shared" si="7"/>
        <v>0</v>
      </c>
      <c r="U67" s="9">
        <f t="shared" si="8"/>
        <v>-7.0385107326289793</v>
      </c>
      <c r="V67" s="10">
        <f t="shared" si="9"/>
        <v>7.0385107326289793</v>
      </c>
      <c r="W67" s="1">
        <f>SUMIFS(
  '[1]Hoja 1'!$M:$M,
  '[1]Hoja 1'!$S:$S, $A67,
  '[1]Hoja 1'!$R:$R, "&gt;="&amp;INT($Y$1),
  '[1]Hoja 1'!$R:$R, "&lt;"&amp;INT($Z$1+1)
)</f>
        <v>0</v>
      </c>
      <c r="X67" s="1">
        <f t="shared" si="10"/>
        <v>0</v>
      </c>
      <c r="Y67" s="9">
        <f t="shared" si="11"/>
        <v>-7.2810768434346302</v>
      </c>
      <c r="Z67" s="10">
        <f t="shared" si="12"/>
        <v>7.2810768434346302</v>
      </c>
      <c r="AA67" s="1">
        <f>SUMIFS(
  '[1]Hoja 1'!$M:$M,
  '[1]Hoja 1'!$S:$S, $A67,
  '[1]Hoja 1'!$R:$R, "&gt;="&amp;INT($AC$1),
  '[1]Hoja 1'!$R:$R, "&lt;"&amp;INT($AD$1+1)
)</f>
        <v>0</v>
      </c>
      <c r="AB67" s="1">
        <f t="shared" si="13"/>
        <v>0</v>
      </c>
      <c r="AC67" s="9">
        <f t="shared" si="14"/>
        <v>-6.8366268485757411</v>
      </c>
      <c r="AD67" s="10">
        <f t="shared" si="15"/>
        <v>6.8366268485757411</v>
      </c>
      <c r="AE67" s="1">
        <f>SUMIFS(
  '[1]Hoja 1'!$M:$M,
  '[1]Hoja 1'!$S:$S, $A67,
  '[1]Hoja 1'!$R:$R, "&gt;="&amp;INT($AG$1),
  '[1]Hoja 1'!$R:$R, "&lt;"&amp;INT($AH$1+1)
)</f>
        <v>0</v>
      </c>
      <c r="AF67" s="1">
        <f t="shared" si="16"/>
        <v>0</v>
      </c>
      <c r="AG67" s="9">
        <f t="shared" si="17"/>
        <v>-6.4440566933156838</v>
      </c>
      <c r="AH67" s="10">
        <f t="shared" si="18"/>
        <v>6.4440566933156838</v>
      </c>
      <c r="AI67" s="1">
        <f>SUMIFS(
  '[1]Hoja 1'!$M:$M,
  '[1]Hoja 1'!$S:$S, $A67,
  '[1]Hoja 1'!$R:$R, "&gt;="&amp;INT($AK$1),
  '[1]Hoja 1'!$R:$R, "&lt;"&amp;INT($AJ$1+1)
)</f>
        <v>0</v>
      </c>
      <c r="AJ67" s="1">
        <f t="shared" si="19"/>
        <v>0</v>
      </c>
      <c r="AK67" s="9">
        <f t="shared" si="20"/>
        <v>-6.1032614232064484</v>
      </c>
      <c r="AL67" s="10">
        <f t="shared" si="21"/>
        <v>6.1032614232064484</v>
      </c>
      <c r="AM67" s="1">
        <f>SUMIFS(
  '[1]Hoja 1'!$M:$M,
  '[1]Hoja 1'!$S:$S, $A67,
  '[1]Hoja 1'!$R:$R, "&gt;="&amp;INT($AO$1),
  '[1]Hoja 1'!$R:$R, "&lt;"&amp;INT($AP$1+1)
)</f>
        <v>0</v>
      </c>
      <c r="AN67" s="1">
        <f t="shared" si="22"/>
        <v>0</v>
      </c>
      <c r="AO67" s="9">
        <f t="shared" si="23"/>
        <v>-5.8069536859795186</v>
      </c>
      <c r="AP67" s="10">
        <f t="shared" si="24"/>
        <v>5.8069536859795186</v>
      </c>
      <c r="AQ67" s="1">
        <f>SUMIFS(
  '[1]Hoja 1'!$M:$M,
  '[1]Hoja 1'!$S:$S, $A67,
  '[1]Hoja 1'!$R:$R, "&gt;="&amp;INT($AS$1),
  '[1]Hoja 1'!$R:$R, "&lt;"&amp;INT($AT$1+1)
)</f>
        <v>0</v>
      </c>
      <c r="AR67" s="1">
        <f t="shared" si="25"/>
        <v>0</v>
      </c>
      <c r="AS67" s="9">
        <f t="shared" si="26"/>
        <v>-5.5475656322791211</v>
      </c>
      <c r="AT67" s="10">
        <f t="shared" si="27"/>
        <v>5.5475656322791211</v>
      </c>
      <c r="AU67" s="1">
        <f>SUMIFS(
  '[1]Hoja 1'!$M:$M,
  '[1]Hoja 1'!$S:$S, $A67,
  '[1]Hoja 1'!$R:$R, "&gt;="&amp;INT($AW$1),
  '[1]Hoja 1'!$R:$R, "&lt;"&amp;INT($AX$1+1)
)</f>
        <v>0</v>
      </c>
      <c r="AV67" s="1">
        <f t="shared" si="28"/>
        <v>0</v>
      </c>
      <c r="AW67" s="9">
        <f t="shared" si="29"/>
        <v>-5.3186601183517501</v>
      </c>
      <c r="AX67" s="10">
        <f t="shared" si="30"/>
        <v>5.3186601183517501</v>
      </c>
    </row>
    <row r="68" spans="1:50" x14ac:dyDescent="0.25">
      <c r="A68" s="5">
        <v>209016</v>
      </c>
      <c r="B68" s="6" t="s">
        <v>65</v>
      </c>
      <c r="C68" s="1">
        <f>SUMIFS(
  '[1]Hoja 1'!$M:$M,
  '[1]Hoja 1'!$S:$S, $A68,
  '[1]Hoja 1'!$R:$R, "&gt;="&amp;INT($E$1),
  '[1]Hoja 1'!$R:$R, "&lt;"&amp;INT($F$1+1)
)</f>
        <v>19</v>
      </c>
      <c r="D68" s="1" t="str">
        <f>""</f>
        <v/>
      </c>
      <c r="F68" s="2"/>
      <c r="G68" s="1">
        <f>SUMIFS(
  '[1]Hoja 1'!$M:$M,
  '[1]Hoja 1'!$S:$S, $A68,
  '[1]Hoja 1'!$R:$R, "&gt;="&amp;INT($I$1),
  '[1]Hoja 1'!$R:$R, "&lt;"&amp;INT($J$1+1)
)</f>
        <v>8</v>
      </c>
      <c r="H68" s="1">
        <f t="shared" ref="H68:H131" si="31">IF(
    OR(ISBLANK(C68),ISBLANK(G68)),
    "",
    ROUND(AVERAGE(C68,G68),0)
)</f>
        <v>14</v>
      </c>
      <c r="I68" s="1"/>
      <c r="J68" s="2"/>
      <c r="K68" s="1">
        <f>SUMIFS(
  '[1]Hoja 1'!$M:$M,
  '[1]Hoja 1'!$S:$S, $A68,
  '[1]Hoja 1'!$R:$R, "&gt;="&amp;INT($M$1),
  '[1]Hoja 1'!$R:$R, "&lt;"&amp;INT($N$1+1)
)</f>
        <v>0</v>
      </c>
      <c r="L68" s="1">
        <f t="shared" ref="L68:L131" si="32">IF(
    OR(ISBLANK(G68),ISBLANK(K68)),
    "",
    AVERAGE(G68,K68)
)</f>
        <v>4</v>
      </c>
      <c r="M68" s="9">
        <f t="shared" ref="M68:M131" si="33">IF(
  OR(ISBLANK(L68),ISBLANK(G68),ISBLANK(K68),ISBLANK(C68)),
  "",
    L68 - 1.96*_xlfn.STDEV.S(
    G68-AVERAGE(C68,G68),
    K68-AVERAGE(G68,K68)
  )
)</f>
        <v>1.9211060633115506</v>
      </c>
      <c r="N68" s="10">
        <f t="shared" ref="N68:N131" si="34">IF(
  OR(ISBLANK(L68),ISBLANK(G68),ISBLANK(K68),ISBLANK(C68)),
  "",
  L68 + 1.96*_xlfn.STDEV.S(
    G68-AVERAGE(C68,G68),
    K68-AVERAGE(G68,K68)
  )
)</f>
        <v>6.0788939366884494</v>
      </c>
      <c r="O68" s="1">
        <f>SUMIFS(
  '[1]Hoja 1'!$M:$M,
  '[1]Hoja 1'!$S:$S, $A68,
  '[1]Hoja 1'!$R:$R, "&gt;="&amp;INT($Q$1),
  '[1]Hoja 1'!$R:$R, "&lt;"&amp;INT($R$1+1)
)</f>
        <v>0</v>
      </c>
      <c r="P68" s="1">
        <f t="shared" ref="P68:P131" si="35">IF(
    OR(ISBLANK(K68),ISBLANK(O68)),
    "",
    AVERAGE(K68,O68)
)</f>
        <v>0</v>
      </c>
      <c r="Q68" s="9">
        <f t="shared" ref="Q68:Q131" si="36" xml:space="preserve"> P68 - 1.96*_xlfn.STDEV.S(
  G68-AVERAGE(C68,G68),
  K68-AVERAGE(G68,K68),
  O68-AVERAGE(K68,O68)
)</f>
        <v>-5.5725158890157802</v>
      </c>
      <c r="R68" s="10">
        <f t="shared" ref="R68:R131" si="37" xml:space="preserve"> P68 + 1.96*_xlfn.STDEV.S(
  G68-AVERAGE(C68,G68),
  K68-AVERAGE(G68,K68),
  O68-AVERAGE(K68,O68)
)</f>
        <v>5.5725158890157802</v>
      </c>
      <c r="S68" s="1">
        <f>SUMIFS(
  '[1]Hoja 1'!$M:$M,
  '[1]Hoja 1'!$S:$S, $A68,
  '[1]Hoja 1'!$R:$R, "&gt;="&amp;INT($U$1),
  '[1]Hoja 1'!$R:$R, "&lt;"&amp;INT($V$1+1)
)</f>
        <v>0</v>
      </c>
      <c r="T68" s="1">
        <f t="shared" ref="T68:T131" si="38">IF(
    OR(ISBLANK(O68),ISBLANK(S68)),
    "",
    ROUND(AVERAGE(O68,S68),0)
)</f>
        <v>0</v>
      </c>
      <c r="U68" s="9">
        <f t="shared" ref="U68:U131" si="39" xml:space="preserve"> T68 - 1.96*_xlfn.STDEV.S(
  G68-AVERAGE(C68,G68),
  K68-AVERAGE(G68,K68),
  O68-AVERAGE(K68,O68),
  S68-AVERAGE(3,S68)
)</f>
        <v>-4.8342252050699219</v>
      </c>
      <c r="V68" s="10">
        <f t="shared" ref="V68:V131" si="40" xml:space="preserve"> T68 + 1.96*_xlfn.STDEV.S(
  G68-AVERAGE(C68,G68),
  K68-AVERAGE(G68,K68),
  O68-AVERAGE(K68,O68),
  S68-AVERAGE(3,S68)
)</f>
        <v>4.8342252050699219</v>
      </c>
      <c r="W68" s="1">
        <f>SUMIFS(
  '[1]Hoja 1'!$M:$M,
  '[1]Hoja 1'!$S:$S, $A68,
  '[1]Hoja 1'!$R:$R, "&gt;="&amp;INT($Y$1),
  '[1]Hoja 1'!$R:$R, "&lt;"&amp;INT($Z$1+1)
)</f>
        <v>0</v>
      </c>
      <c r="X68" s="1">
        <f t="shared" ref="X68:X131" si="41">IF(
    OR(ISBLANK(S68),ISBLANK(W68)),
    "",
    ROUND(AVERAGE(S68,W68),0)
)</f>
        <v>0</v>
      </c>
      <c r="Y68" s="9">
        <f t="shared" ref="Y68:Y131" si="42" xml:space="preserve"> X68 - 1.96*_xlfn.STDEV.S(
  G68-AVERAGE(C68,G68),
  K68-AVERAGE(G68,K68),
  O68-AVERAGE(K68,O68),
  S68-AVERAGE(O68,S68),
  W68-AVERAGE(S68,W68)
)</f>
        <v>-5.2041598745618876</v>
      </c>
      <c r="Z68" s="10">
        <f t="shared" ref="Z68:Z131" si="43" xml:space="preserve"> X68 + 1.96*_xlfn.STDEV.S(
  G68-AVERAGE(C68,G68),
  K68-AVERAGE(G68,K68),
  O68-AVERAGE(K68,O68),
  S68-AVERAGE(O68,S68),
  W68-AVERAGE(S68,W68)
)</f>
        <v>5.2041598745618876</v>
      </c>
      <c r="AA68" s="1">
        <f>SUMIFS(
  '[1]Hoja 1'!$M:$M,
  '[1]Hoja 1'!$S:$S, $A68,
  '[1]Hoja 1'!$R:$R, "&gt;="&amp;INT($AC$1),
  '[1]Hoja 1'!$R:$R, "&lt;"&amp;INT($AD$1+1)
)</f>
        <v>0</v>
      </c>
      <c r="AB68" s="1">
        <f t="shared" ref="AB68:AB131" si="44">IF(
    OR(ISBLANK(W68),ISBLANK(AA68)),
    "",
    ROUND(AVERAGE(W68,AA68),0)
)</f>
        <v>0</v>
      </c>
      <c r="AC68" s="9">
        <f t="shared" ref="AC68:AC131" si="45" xml:space="preserve"> AB68 - 1.96*_xlfn.STDEV.S(
  G68-AVERAGE(C68,G68),
  K68-AVERAGE(G68,K68),
  O68-AVERAGE(K68,O68),
  S68-AVERAGE(O68,S68),
  W68-AVERAGE(S68,W68),
  AA68-AVERAGE(W68,AA68)
)</f>
        <v>-4.8967322437179135</v>
      </c>
      <c r="AD68" s="10">
        <f t="shared" ref="AD68:AD131" si="46" xml:space="preserve"> AB68 + 1.96*_xlfn.STDEV.S(
  G68-AVERAGE(C68,G68),
  K68-AVERAGE(G68,K68),
  O68-AVERAGE(K68,O68),
  S68-AVERAGE(O68,S68),
  W68-AVERAGE(S68,W68),
  AA68-AVERAGE(W68,AA68)
)</f>
        <v>4.8967322437179135</v>
      </c>
      <c r="AE68" s="1">
        <f>SUMIFS(
  '[1]Hoja 1'!$M:$M,
  '[1]Hoja 1'!$S:$S, $A68,
  '[1]Hoja 1'!$R:$R, "&gt;="&amp;INT($AG$1),
  '[1]Hoja 1'!$R:$R, "&lt;"&amp;INT($AH$1+1)
)</f>
        <v>0</v>
      </c>
      <c r="AF68" s="1">
        <f t="shared" ref="AF68:AF131" si="47">IF(
    OR(ISBLANK(AA68),ISBLANK(AE68)),
    "",
    ROUND(AVERAGE(AA68,AE68),0)
)</f>
        <v>0</v>
      </c>
      <c r="AG68" s="9">
        <f t="shared" ref="AG68:AG131" si="48" xml:space="preserve"> AF68 - 1.96*_xlfn.STDEV.S(
  G68-AVERAGE(C68,G68),
  K68-AVERAGE(G68,K68),
  O68-AVERAGE(K68,O68),
  S68-AVERAGE(O68,S68),
  W68-AVERAGE(S68,W68),
  AA68-AVERAGE(W68,AA68),
  AE68-AVERAGE(AA68,AE68)
)</f>
        <v>-4.6214139250522308</v>
      </c>
      <c r="AH68" s="10">
        <f t="shared" ref="AH68:AH131" si="49" xml:space="preserve"> AF68 + 1.96*_xlfn.STDEV.S(
  G68-AVERAGE(C68,G68),
  K68-AVERAGE(G68,K68),
  O68-AVERAGE(K68,O68),
  S68-AVERAGE(O68,S68),
  W68-AVERAGE(S68,W68),
  AA68-AVERAGE(W68,AA68),
  AE68-AVERAGE(AA68,AE68)
)</f>
        <v>4.6214139250522308</v>
      </c>
      <c r="AI68" s="1">
        <f>SUMIFS(
  '[1]Hoja 1'!$M:$M,
  '[1]Hoja 1'!$S:$S, $A68,
  '[1]Hoja 1'!$R:$R, "&gt;="&amp;INT($AK$1),
  '[1]Hoja 1'!$R:$R, "&lt;"&amp;INT($AJ$1+1)
)</f>
        <v>0</v>
      </c>
      <c r="AJ68" s="1">
        <f t="shared" ref="AJ68:AJ131" si="50">IF(
    OR(ISBLANK(AE68),ISBLANK(AI68)),
    "",
    ROUND(AVERAGE(AE68,AI68),0)
)</f>
        <v>0</v>
      </c>
      <c r="AK68" s="9">
        <f t="shared" ref="AK68:AK131" si="51" xml:space="preserve"> AJ68 - 1.96*_xlfn.STDEV.S(
  G68-AVERAGE(C68,G68),
  K68-AVERAGE(G68,K68),
  O68-AVERAGE(K68,O68),
  S68-AVERAGE(O68,S68),
  W68-AVERAGE(S68,W68),
  AA68-AVERAGE(W68,AA68),
  AE68-AVERAGE(AA68,AE68),
  AI68-AVERAGE(AE68,AI68)
)</f>
        <v>-4.3807362394921698</v>
      </c>
      <c r="AL68" s="10">
        <f t="shared" ref="AL68:AL131" si="52" xml:space="preserve"> AJ68 + 1.96*_xlfn.STDEV.S(
  G68-AVERAGE(C68,G68),
  K68-AVERAGE(G68,K68),
  O68-AVERAGE(K68,O68),
  S68-AVERAGE(O68,S68),
  W68-AVERAGE(S68,W68),
  AA68-AVERAGE(W68,AA68),
  AE68-AVERAGE(AA68,AE68),
  AI68-AVERAGE(AE68,AI68)
)</f>
        <v>4.3807362394921698</v>
      </c>
      <c r="AM68" s="1">
        <f>SUMIFS(
  '[1]Hoja 1'!$M:$M,
  '[1]Hoja 1'!$S:$S, $A68,
  '[1]Hoja 1'!$R:$R, "&gt;="&amp;INT($AO$1),
  '[1]Hoja 1'!$R:$R, "&lt;"&amp;INT($AP$1+1)
)</f>
        <v>0</v>
      </c>
      <c r="AN68" s="1">
        <f t="shared" ref="AN68:AN131" si="53">IF(
    OR(ISBLANK(AI68),ISBLANK(AM68)),
    "",
    ROUND(AVERAGE(AI68,AM68),0)
)</f>
        <v>0</v>
      </c>
      <c r="AO68" s="9">
        <f t="shared" ref="AO68:AO131" si="54" xml:space="preserve"> AN68 - 1.96*_xlfn.STDEV.S(
  G68-AVERAGE(C68,G68),
  K68-AVERAGE(G68,K68),
  O68-AVERAGE(K68,O68),
  S68-AVERAGE(O68,S68),
  W68-AVERAGE(S68,W68),
  AA68-AVERAGE(W68,AA68),
  AE68-AVERAGE(AA68,AE68),
  AI68-AVERAGE(AE68,AI68),
  AN68-AVERAGE(AI68,AN68)
)</f>
        <v>-4.1706008093692102</v>
      </c>
      <c r="AP68" s="10">
        <f t="shared" ref="AP68:AP131" si="55" xml:space="preserve"> AN68 + 1.96*_xlfn.STDEV.S(
  G68-AVERAGE(C68,G68),
  K68-AVERAGE(G68,K68),
  O68-AVERAGE(K68,O68),
  S68-AVERAGE(O68,S68),
  W68-AVERAGE(S68,W68),
  AA68-AVERAGE(W68,AA68),
  AE68-AVERAGE(AA68,AE68),
  AI68-AVERAGE(AE68,AI68),
  AN68-AVERAGE(AI68,AN68)
)</f>
        <v>4.1706008093692102</v>
      </c>
      <c r="AQ68" s="1">
        <f>SUMIFS(
  '[1]Hoja 1'!$M:$M,
  '[1]Hoja 1'!$S:$S, $A68,
  '[1]Hoja 1'!$R:$R, "&gt;="&amp;INT($AS$1),
  '[1]Hoja 1'!$R:$R, "&lt;"&amp;INT($AT$1+1)
)</f>
        <v>0</v>
      </c>
      <c r="AR68" s="1">
        <f t="shared" ref="AR68:AR131" si="56">IF(
    OR(ISBLANK(AM68),ISBLANK(AQ68)),
    "",
    ROUND(AVERAGE(AM68,AQ68),0)
)</f>
        <v>0</v>
      </c>
      <c r="AS68" s="9">
        <f t="shared" ref="AS68:AS131" si="57" xml:space="preserve"> AR68 - 1.96*_xlfn.STDEV.S(
  G68-AVERAGE(C68,G68),
  K68-AVERAGE(G68,K68),
  O68-AVERAGE(K68,O68),
  S68-AVERAGE(O68,S68),
  W68-AVERAGE(S68,W68),
  AA68-AVERAGE(W68,AA68),
  AE68-AVERAGE(AA68,AE68),
  AI68-AVERAGE(AE68,AI68),
  AN68-AVERAGE(AI68,AN68),
  AR68-AVERAGE(AN68,AR68)
)</f>
        <v>-3.986136531084258</v>
      </c>
      <c r="AT68" s="10">
        <f t="shared" ref="AT68:AT131" si="58" xml:space="preserve"> AR68 + 1.96*_xlfn.STDEV.S(
  G68-AVERAGE(C68,G68),
  K68-AVERAGE(G68,K68),
  O68-AVERAGE(K68,O68),
  S68-AVERAGE(O68,S68),
  W68-AVERAGE(S68,W68),
  AA68-AVERAGE(W68,AA68),
  AE68-AVERAGE(AA68,AE68),
  AI68-AVERAGE(AE68,AI68),
  AN68-AVERAGE(AI68,AN68),
  AR68-AVERAGE(AN68,AR68)
)</f>
        <v>3.986136531084258</v>
      </c>
      <c r="AU68" s="1">
        <f>SUMIFS(
  '[1]Hoja 1'!$M:$M,
  '[1]Hoja 1'!$S:$S, $A68,
  '[1]Hoja 1'!$R:$R, "&gt;="&amp;INT($AW$1),
  '[1]Hoja 1'!$R:$R, "&lt;"&amp;INT($AX$1+1)
)</f>
        <v>0</v>
      </c>
      <c r="AV68" s="1">
        <f t="shared" ref="AV68:AV131" si="59">IF(
    OR(ISBLANK(AQ68),ISBLANK(AU68)),
    "",
    ROUND(AVERAGE(AQ68,AU68),0)
)</f>
        <v>0</v>
      </c>
      <c r="AW68" s="9">
        <f t="shared" ref="AW68:AW131" si="60" xml:space="preserve"> AV68 - 1.96*_xlfn.STDEV.S(
  G68-AVERAGE(C68,G68),
  K68-AVERAGE(G68,K68),
  O68-AVERAGE(K68,O68),
  S68-AVERAGE(O68,S68),
  W68-AVERAGE(S68,W68),
  AA68-AVERAGE(W68,AA68),
  AE68-AVERAGE(AA68,AE68),
  AI68-AVERAGE(AE68,AI68),
  AN68-AVERAGE(AI68,AN68),
  AR68-AVERAGE(AN68,AR68),
  AV68-AVERAGE(AR68,AV68)
)</f>
        <v>-3.8230278338225343</v>
      </c>
      <c r="AX68" s="10">
        <f t="shared" ref="AX68:AX131" si="61" xml:space="preserve"> AV68 + 1.96*_xlfn.STDEV.S(
  G68-AVERAGE(C68,G68),
  K68-AVERAGE(G68,K68),
  O68-AVERAGE(K68,O68),
  S68-AVERAGE(O68,S68),
  W68-AVERAGE(S68,W68),
  AA68-AVERAGE(W68,AA68),
  AE68-AVERAGE(AA68,AE68),
  AI68-AVERAGE(AE68,AI68),
  AN68-AVERAGE(AI68,AN68),
  AR68-AVERAGE(AN68,AR68),
  AV68-AVERAGE(AR68,AV68)
)</f>
        <v>3.8230278338225343</v>
      </c>
    </row>
    <row r="69" spans="1:50" x14ac:dyDescent="0.25">
      <c r="A69" s="5">
        <v>209017</v>
      </c>
      <c r="B69" s="6" t="s">
        <v>66</v>
      </c>
      <c r="C69" s="1">
        <f>SUMIFS(
  '[1]Hoja 1'!$M:$M,
  '[1]Hoja 1'!$S:$S, $A69,
  '[1]Hoja 1'!$R:$R, "&gt;="&amp;INT($E$1),
  '[1]Hoja 1'!$R:$R, "&lt;"&amp;INT($F$1+1)
)</f>
        <v>8</v>
      </c>
      <c r="D69" s="1" t="str">
        <f>""</f>
        <v/>
      </c>
      <c r="F69" s="2"/>
      <c r="G69" s="1">
        <f>SUMIFS(
  '[1]Hoja 1'!$M:$M,
  '[1]Hoja 1'!$S:$S, $A69,
  '[1]Hoja 1'!$R:$R, "&gt;="&amp;INT($I$1),
  '[1]Hoja 1'!$R:$R, "&lt;"&amp;INT($J$1+1)
)</f>
        <v>2</v>
      </c>
      <c r="H69" s="1">
        <f t="shared" si="31"/>
        <v>5</v>
      </c>
      <c r="I69" s="1"/>
      <c r="J69" s="2"/>
      <c r="K69" s="1">
        <f>SUMIFS(
  '[1]Hoja 1'!$M:$M,
  '[1]Hoja 1'!$S:$S, $A69,
  '[1]Hoja 1'!$R:$R, "&gt;="&amp;INT($M$1),
  '[1]Hoja 1'!$R:$R, "&lt;"&amp;INT($N$1+1)
)</f>
        <v>0</v>
      </c>
      <c r="L69" s="1">
        <f t="shared" si="32"/>
        <v>1</v>
      </c>
      <c r="M69" s="9">
        <f t="shared" si="33"/>
        <v>-1.7718585822512662</v>
      </c>
      <c r="N69" s="10">
        <f t="shared" si="34"/>
        <v>3.7718585822512662</v>
      </c>
      <c r="O69" s="1">
        <f>SUMIFS(
  '[1]Hoja 1'!$M:$M,
  '[1]Hoja 1'!$S:$S, $A69,
  '[1]Hoja 1'!$R:$R, "&gt;="&amp;INT($Q$1),
  '[1]Hoja 1'!$R:$R, "&lt;"&amp;INT($R$1+1)
)</f>
        <v>0</v>
      </c>
      <c r="P69" s="1">
        <f t="shared" si="35"/>
        <v>0</v>
      </c>
      <c r="Q69" s="9">
        <f t="shared" si="36"/>
        <v>-2.9939494540378155</v>
      </c>
      <c r="R69" s="10">
        <f t="shared" si="37"/>
        <v>2.9939494540378155</v>
      </c>
      <c r="S69" s="1">
        <f>SUMIFS(
  '[1]Hoja 1'!$M:$M,
  '[1]Hoja 1'!$S:$S, $A69,
  '[1]Hoja 1'!$R:$R, "&gt;="&amp;INT($U$1),
  '[1]Hoja 1'!$R:$R, "&lt;"&amp;INT($V$1+1)
)</f>
        <v>0</v>
      </c>
      <c r="T69" s="1">
        <f t="shared" si="38"/>
        <v>0</v>
      </c>
      <c r="U69" s="9">
        <f t="shared" si="39"/>
        <v>-2.4500000000000002</v>
      </c>
      <c r="V69" s="10">
        <f t="shared" si="40"/>
        <v>2.4500000000000002</v>
      </c>
      <c r="W69" s="1">
        <f>SUMIFS(
  '[1]Hoja 1'!$M:$M,
  '[1]Hoja 1'!$S:$S, $A69,
  '[1]Hoja 1'!$R:$R, "&gt;="&amp;INT($Y$1),
  '[1]Hoja 1'!$R:$R, "&lt;"&amp;INT($Z$1+1)
)</f>
        <v>0</v>
      </c>
      <c r="X69" s="1">
        <f t="shared" si="41"/>
        <v>0</v>
      </c>
      <c r="Y69" s="9">
        <f t="shared" si="42"/>
        <v>-2.5555273428394383</v>
      </c>
      <c r="Z69" s="10">
        <f t="shared" si="43"/>
        <v>2.5555273428394383</v>
      </c>
      <c r="AA69" s="1">
        <f>SUMIFS(
  '[1]Hoja 1'!$M:$M,
  '[1]Hoja 1'!$S:$S, $A69,
  '[1]Hoja 1'!$R:$R, "&gt;="&amp;INT($AC$1),
  '[1]Hoja 1'!$R:$R, "&lt;"&amp;INT($AD$1+1)
)</f>
        <v>0</v>
      </c>
      <c r="AB69" s="1">
        <f t="shared" si="44"/>
        <v>0</v>
      </c>
      <c r="AC69" s="9">
        <f t="shared" si="45"/>
        <v>-2.3736778776124337</v>
      </c>
      <c r="AD69" s="10">
        <f t="shared" si="46"/>
        <v>2.3736778776124337</v>
      </c>
      <c r="AE69" s="1">
        <f>SUMIFS(
  '[1]Hoja 1'!$M:$M,
  '[1]Hoja 1'!$S:$S, $A69,
  '[1]Hoja 1'!$R:$R, "&gt;="&amp;INT($AG$1),
  '[1]Hoja 1'!$R:$R, "&lt;"&amp;INT($AH$1+1)
)</f>
        <v>0</v>
      </c>
      <c r="AF69" s="1">
        <f t="shared" si="47"/>
        <v>0</v>
      </c>
      <c r="AG69" s="9">
        <f t="shared" si="48"/>
        <v>-2.2224311012942559</v>
      </c>
      <c r="AH69" s="10">
        <f t="shared" si="49"/>
        <v>2.2224311012942559</v>
      </c>
      <c r="AI69" s="1">
        <f>SUMIFS(
  '[1]Hoja 1'!$M:$M,
  '[1]Hoja 1'!$S:$S, $A69,
  '[1]Hoja 1'!$R:$R, "&gt;="&amp;INT($AK$1),
  '[1]Hoja 1'!$R:$R, "&lt;"&amp;INT($AJ$1+1)
)</f>
        <v>0</v>
      </c>
      <c r="AJ69" s="1">
        <f t="shared" si="50"/>
        <v>0</v>
      </c>
      <c r="AK69" s="9">
        <f t="shared" si="51"/>
        <v>-2.0953281365934071</v>
      </c>
      <c r="AL69" s="10">
        <f t="shared" si="52"/>
        <v>2.0953281365934071</v>
      </c>
      <c r="AM69" s="1">
        <f>SUMIFS(
  '[1]Hoja 1'!$M:$M,
  '[1]Hoja 1'!$S:$S, $A69,
  '[1]Hoja 1'!$R:$R, "&gt;="&amp;INT($AO$1),
  '[1]Hoja 1'!$R:$R, "&lt;"&amp;INT($AP$1+1)
)</f>
        <v>0</v>
      </c>
      <c r="AN69" s="1">
        <f t="shared" si="53"/>
        <v>0</v>
      </c>
      <c r="AO69" s="9">
        <f t="shared" si="54"/>
        <v>-1.9870357598974182</v>
      </c>
      <c r="AP69" s="10">
        <f t="shared" si="55"/>
        <v>1.9870357598974182</v>
      </c>
      <c r="AQ69" s="1">
        <f>SUMIFS(
  '[1]Hoja 1'!$M:$M,
  '[1]Hoja 1'!$S:$S, $A69,
  '[1]Hoja 1'!$R:$R, "&gt;="&amp;INT($AS$1),
  '[1]Hoja 1'!$R:$R, "&lt;"&amp;INT($AT$1+1)
)</f>
        <v>0</v>
      </c>
      <c r="AR69" s="1">
        <f t="shared" si="56"/>
        <v>0</v>
      </c>
      <c r="AS69" s="9">
        <f t="shared" si="57"/>
        <v>-1.8935398948354198</v>
      </c>
      <c r="AT69" s="10">
        <f t="shared" si="58"/>
        <v>1.8935398948354198</v>
      </c>
      <c r="AU69" s="1">
        <f>SUMIFS(
  '[1]Hoja 1'!$M:$M,
  '[1]Hoja 1'!$S:$S, $A69,
  '[1]Hoja 1'!$R:$R, "&gt;="&amp;INT($AW$1),
  '[1]Hoja 1'!$R:$R, "&lt;"&amp;INT($AX$1+1)
)</f>
        <v>0</v>
      </c>
      <c r="AV69" s="1">
        <f t="shared" si="59"/>
        <v>0</v>
      </c>
      <c r="AW69" s="9">
        <f t="shared" si="60"/>
        <v>-1.8118559043648637</v>
      </c>
      <c r="AX69" s="10">
        <f t="shared" si="61"/>
        <v>1.8118559043648637</v>
      </c>
    </row>
    <row r="70" spans="1:50" x14ac:dyDescent="0.25">
      <c r="A70" s="5">
        <v>209018</v>
      </c>
      <c r="B70" s="6" t="s">
        <v>67</v>
      </c>
      <c r="C70" s="1">
        <f>SUMIFS(
  '[1]Hoja 1'!$M:$M,
  '[1]Hoja 1'!$S:$S, $A70,
  '[1]Hoja 1'!$R:$R, "&gt;="&amp;INT($E$1),
  '[1]Hoja 1'!$R:$R, "&lt;"&amp;INT($F$1+1)
)</f>
        <v>0</v>
      </c>
      <c r="D70" s="1" t="str">
        <f>""</f>
        <v/>
      </c>
      <c r="F70" s="2"/>
      <c r="G70" s="1">
        <f>SUMIFS(
  '[1]Hoja 1'!$M:$M,
  '[1]Hoja 1'!$S:$S, $A70,
  '[1]Hoja 1'!$R:$R, "&gt;="&amp;INT($I$1),
  '[1]Hoja 1'!$R:$R, "&lt;"&amp;INT($J$1+1)
)</f>
        <v>0</v>
      </c>
      <c r="H70" s="1">
        <f t="shared" si="31"/>
        <v>0</v>
      </c>
      <c r="I70" s="1"/>
      <c r="J70" s="2"/>
      <c r="K70" s="1">
        <f>SUMIFS(
  '[1]Hoja 1'!$M:$M,
  '[1]Hoja 1'!$S:$S, $A70,
  '[1]Hoja 1'!$R:$R, "&gt;="&amp;INT($M$1),
  '[1]Hoja 1'!$R:$R, "&lt;"&amp;INT($N$1+1)
)</f>
        <v>0</v>
      </c>
      <c r="L70" s="1">
        <f t="shared" si="32"/>
        <v>0</v>
      </c>
      <c r="M70" s="9">
        <f t="shared" si="33"/>
        <v>0</v>
      </c>
      <c r="N70" s="10">
        <f t="shared" si="34"/>
        <v>0</v>
      </c>
      <c r="O70" s="1">
        <f>SUMIFS(
  '[1]Hoja 1'!$M:$M,
  '[1]Hoja 1'!$S:$S, $A70,
  '[1]Hoja 1'!$R:$R, "&gt;="&amp;INT($Q$1),
  '[1]Hoja 1'!$R:$R, "&lt;"&amp;INT($R$1+1)
)</f>
        <v>0</v>
      </c>
      <c r="P70" s="1">
        <f t="shared" si="35"/>
        <v>0</v>
      </c>
      <c r="Q70" s="9">
        <f t="shared" si="36"/>
        <v>0</v>
      </c>
      <c r="R70" s="10">
        <f t="shared" si="37"/>
        <v>0</v>
      </c>
      <c r="S70" s="1">
        <f>SUMIFS(
  '[1]Hoja 1'!$M:$M,
  '[1]Hoja 1'!$S:$S, $A70,
  '[1]Hoja 1'!$R:$R, "&gt;="&amp;INT($U$1),
  '[1]Hoja 1'!$R:$R, "&lt;"&amp;INT($V$1+1)
)</f>
        <v>0</v>
      </c>
      <c r="T70" s="1">
        <f t="shared" si="38"/>
        <v>0</v>
      </c>
      <c r="U70" s="9">
        <f t="shared" si="39"/>
        <v>-1.47</v>
      </c>
      <c r="V70" s="10">
        <f t="shared" si="40"/>
        <v>1.47</v>
      </c>
      <c r="W70" s="1">
        <f>SUMIFS(
  '[1]Hoja 1'!$M:$M,
  '[1]Hoja 1'!$S:$S, $A70,
  '[1]Hoja 1'!$R:$R, "&gt;="&amp;INT($Y$1),
  '[1]Hoja 1'!$R:$R, "&lt;"&amp;INT($Z$1+1)
)</f>
        <v>0</v>
      </c>
      <c r="X70" s="1">
        <f t="shared" si="41"/>
        <v>0</v>
      </c>
      <c r="Y70" s="9">
        <f t="shared" si="42"/>
        <v>0</v>
      </c>
      <c r="Z70" s="10">
        <f t="shared" si="43"/>
        <v>0</v>
      </c>
      <c r="AA70" s="1">
        <f>SUMIFS(
  '[1]Hoja 1'!$M:$M,
  '[1]Hoja 1'!$S:$S, $A70,
  '[1]Hoja 1'!$R:$R, "&gt;="&amp;INT($AC$1),
  '[1]Hoja 1'!$R:$R, "&lt;"&amp;INT($AD$1+1)
)</f>
        <v>0</v>
      </c>
      <c r="AB70" s="1">
        <f t="shared" si="44"/>
        <v>0</v>
      </c>
      <c r="AC70" s="9">
        <f t="shared" si="45"/>
        <v>0</v>
      </c>
      <c r="AD70" s="10">
        <f t="shared" si="46"/>
        <v>0</v>
      </c>
      <c r="AE70" s="1">
        <f>SUMIFS(
  '[1]Hoja 1'!$M:$M,
  '[1]Hoja 1'!$S:$S, $A70,
  '[1]Hoja 1'!$R:$R, "&gt;="&amp;INT($AG$1),
  '[1]Hoja 1'!$R:$R, "&lt;"&amp;INT($AH$1+1)
)</f>
        <v>0</v>
      </c>
      <c r="AF70" s="1">
        <f t="shared" si="47"/>
        <v>0</v>
      </c>
      <c r="AG70" s="9">
        <f t="shared" si="48"/>
        <v>0</v>
      </c>
      <c r="AH70" s="10">
        <f t="shared" si="49"/>
        <v>0</v>
      </c>
      <c r="AI70" s="1">
        <f>SUMIFS(
  '[1]Hoja 1'!$M:$M,
  '[1]Hoja 1'!$S:$S, $A70,
  '[1]Hoja 1'!$R:$R, "&gt;="&amp;INT($AK$1),
  '[1]Hoja 1'!$R:$R, "&lt;"&amp;INT($AJ$1+1)
)</f>
        <v>0</v>
      </c>
      <c r="AJ70" s="1">
        <f t="shared" si="50"/>
        <v>0</v>
      </c>
      <c r="AK70" s="9">
        <f t="shared" si="51"/>
        <v>0</v>
      </c>
      <c r="AL70" s="10">
        <f t="shared" si="52"/>
        <v>0</v>
      </c>
      <c r="AM70" s="1">
        <f>SUMIFS(
  '[1]Hoja 1'!$M:$M,
  '[1]Hoja 1'!$S:$S, $A70,
  '[1]Hoja 1'!$R:$R, "&gt;="&amp;INT($AO$1),
  '[1]Hoja 1'!$R:$R, "&lt;"&amp;INT($AP$1+1)
)</f>
        <v>0</v>
      </c>
      <c r="AN70" s="1">
        <f t="shared" si="53"/>
        <v>0</v>
      </c>
      <c r="AO70" s="9">
        <f t="shared" si="54"/>
        <v>0</v>
      </c>
      <c r="AP70" s="10">
        <f t="shared" si="55"/>
        <v>0</v>
      </c>
      <c r="AQ70" s="1">
        <f>SUMIFS(
  '[1]Hoja 1'!$M:$M,
  '[1]Hoja 1'!$S:$S, $A70,
  '[1]Hoja 1'!$R:$R, "&gt;="&amp;INT($AS$1),
  '[1]Hoja 1'!$R:$R, "&lt;"&amp;INT($AT$1+1)
)</f>
        <v>0</v>
      </c>
      <c r="AR70" s="1">
        <f t="shared" si="56"/>
        <v>0</v>
      </c>
      <c r="AS70" s="9">
        <f t="shared" si="57"/>
        <v>0</v>
      </c>
      <c r="AT70" s="10">
        <f t="shared" si="58"/>
        <v>0</v>
      </c>
      <c r="AU70" s="1">
        <f>SUMIFS(
  '[1]Hoja 1'!$M:$M,
  '[1]Hoja 1'!$S:$S, $A70,
  '[1]Hoja 1'!$R:$R, "&gt;="&amp;INT($AW$1),
  '[1]Hoja 1'!$R:$R, "&lt;"&amp;INT($AX$1+1)
)</f>
        <v>0</v>
      </c>
      <c r="AV70" s="1">
        <f t="shared" si="59"/>
        <v>0</v>
      </c>
      <c r="AW70" s="9">
        <f t="shared" si="60"/>
        <v>0</v>
      </c>
      <c r="AX70" s="10">
        <f t="shared" si="61"/>
        <v>0</v>
      </c>
    </row>
    <row r="71" spans="1:50" x14ac:dyDescent="0.25">
      <c r="A71" s="5">
        <v>209021</v>
      </c>
      <c r="B71" s="6" t="s">
        <v>68</v>
      </c>
      <c r="C71" s="1">
        <f>SUMIFS(
  '[1]Hoja 1'!$M:$M,
  '[1]Hoja 1'!$S:$S, $A71,
  '[1]Hoja 1'!$R:$R, "&gt;="&amp;INT($E$1),
  '[1]Hoja 1'!$R:$R, "&lt;"&amp;INT($F$1+1)
)</f>
        <v>0</v>
      </c>
      <c r="D71" s="1" t="str">
        <f>""</f>
        <v/>
      </c>
      <c r="F71" s="2"/>
      <c r="G71" s="1">
        <f>SUMIFS(
  '[1]Hoja 1'!$M:$M,
  '[1]Hoja 1'!$S:$S, $A71,
  '[1]Hoja 1'!$R:$R, "&gt;="&amp;INT($I$1),
  '[1]Hoja 1'!$R:$R, "&lt;"&amp;INT($J$1+1)
)</f>
        <v>0</v>
      </c>
      <c r="H71" s="1">
        <f t="shared" si="31"/>
        <v>0</v>
      </c>
      <c r="I71" s="1"/>
      <c r="J71" s="2"/>
      <c r="K71" s="1">
        <f>SUMIFS(
  '[1]Hoja 1'!$M:$M,
  '[1]Hoja 1'!$S:$S, $A71,
  '[1]Hoja 1'!$R:$R, "&gt;="&amp;INT($M$1),
  '[1]Hoja 1'!$R:$R, "&lt;"&amp;INT($N$1+1)
)</f>
        <v>0</v>
      </c>
      <c r="L71" s="1">
        <f t="shared" si="32"/>
        <v>0</v>
      </c>
      <c r="M71" s="9">
        <f t="shared" si="33"/>
        <v>0</v>
      </c>
      <c r="N71" s="10">
        <f t="shared" si="34"/>
        <v>0</v>
      </c>
      <c r="O71" s="1">
        <f>SUMIFS(
  '[1]Hoja 1'!$M:$M,
  '[1]Hoja 1'!$S:$S, $A71,
  '[1]Hoja 1'!$R:$R, "&gt;="&amp;INT($Q$1),
  '[1]Hoja 1'!$R:$R, "&lt;"&amp;INT($R$1+1)
)</f>
        <v>0</v>
      </c>
      <c r="P71" s="1">
        <f t="shared" si="35"/>
        <v>0</v>
      </c>
      <c r="Q71" s="9">
        <f t="shared" si="36"/>
        <v>0</v>
      </c>
      <c r="R71" s="10">
        <f t="shared" si="37"/>
        <v>0</v>
      </c>
      <c r="S71" s="1">
        <f>SUMIFS(
  '[1]Hoja 1'!$M:$M,
  '[1]Hoja 1'!$S:$S, $A71,
  '[1]Hoja 1'!$R:$R, "&gt;="&amp;INT($U$1),
  '[1]Hoja 1'!$R:$R, "&lt;"&amp;INT($V$1+1)
)</f>
        <v>0</v>
      </c>
      <c r="T71" s="1">
        <f t="shared" si="38"/>
        <v>0</v>
      </c>
      <c r="U71" s="9">
        <f t="shared" si="39"/>
        <v>-1.47</v>
      </c>
      <c r="V71" s="10">
        <f t="shared" si="40"/>
        <v>1.47</v>
      </c>
      <c r="W71" s="1">
        <f>SUMIFS(
  '[1]Hoja 1'!$M:$M,
  '[1]Hoja 1'!$S:$S, $A71,
  '[1]Hoja 1'!$R:$R, "&gt;="&amp;INT($Y$1),
  '[1]Hoja 1'!$R:$R, "&lt;"&amp;INT($Z$1+1)
)</f>
        <v>0</v>
      </c>
      <c r="X71" s="1">
        <f t="shared" si="41"/>
        <v>0</v>
      </c>
      <c r="Y71" s="9">
        <f t="shared" si="42"/>
        <v>0</v>
      </c>
      <c r="Z71" s="10">
        <f t="shared" si="43"/>
        <v>0</v>
      </c>
      <c r="AA71" s="1">
        <f>SUMIFS(
  '[1]Hoja 1'!$M:$M,
  '[1]Hoja 1'!$S:$S, $A71,
  '[1]Hoja 1'!$R:$R, "&gt;="&amp;INT($AC$1),
  '[1]Hoja 1'!$R:$R, "&lt;"&amp;INT($AD$1+1)
)</f>
        <v>0</v>
      </c>
      <c r="AB71" s="1">
        <f t="shared" si="44"/>
        <v>0</v>
      </c>
      <c r="AC71" s="9">
        <f t="shared" si="45"/>
        <v>0</v>
      </c>
      <c r="AD71" s="10">
        <f t="shared" si="46"/>
        <v>0</v>
      </c>
      <c r="AE71" s="1">
        <f>SUMIFS(
  '[1]Hoja 1'!$M:$M,
  '[1]Hoja 1'!$S:$S, $A71,
  '[1]Hoja 1'!$R:$R, "&gt;="&amp;INT($AG$1),
  '[1]Hoja 1'!$R:$R, "&lt;"&amp;INT($AH$1+1)
)</f>
        <v>0</v>
      </c>
      <c r="AF71" s="1">
        <f t="shared" si="47"/>
        <v>0</v>
      </c>
      <c r="AG71" s="9">
        <f t="shared" si="48"/>
        <v>0</v>
      </c>
      <c r="AH71" s="10">
        <f t="shared" si="49"/>
        <v>0</v>
      </c>
      <c r="AI71" s="1">
        <f>SUMIFS(
  '[1]Hoja 1'!$M:$M,
  '[1]Hoja 1'!$S:$S, $A71,
  '[1]Hoja 1'!$R:$R, "&gt;="&amp;INT($AK$1),
  '[1]Hoja 1'!$R:$R, "&lt;"&amp;INT($AJ$1+1)
)</f>
        <v>0</v>
      </c>
      <c r="AJ71" s="1">
        <f t="shared" si="50"/>
        <v>0</v>
      </c>
      <c r="AK71" s="9">
        <f t="shared" si="51"/>
        <v>0</v>
      </c>
      <c r="AL71" s="10">
        <f t="shared" si="52"/>
        <v>0</v>
      </c>
      <c r="AM71" s="1">
        <f>SUMIFS(
  '[1]Hoja 1'!$M:$M,
  '[1]Hoja 1'!$S:$S, $A71,
  '[1]Hoja 1'!$R:$R, "&gt;="&amp;INT($AO$1),
  '[1]Hoja 1'!$R:$R, "&lt;"&amp;INT($AP$1+1)
)</f>
        <v>0</v>
      </c>
      <c r="AN71" s="1">
        <f t="shared" si="53"/>
        <v>0</v>
      </c>
      <c r="AO71" s="9">
        <f t="shared" si="54"/>
        <v>0</v>
      </c>
      <c r="AP71" s="10">
        <f t="shared" si="55"/>
        <v>0</v>
      </c>
      <c r="AQ71" s="1">
        <f>SUMIFS(
  '[1]Hoja 1'!$M:$M,
  '[1]Hoja 1'!$S:$S, $A71,
  '[1]Hoja 1'!$R:$R, "&gt;="&amp;INT($AS$1),
  '[1]Hoja 1'!$R:$R, "&lt;"&amp;INT($AT$1+1)
)</f>
        <v>0</v>
      </c>
      <c r="AR71" s="1">
        <f t="shared" si="56"/>
        <v>0</v>
      </c>
      <c r="AS71" s="9">
        <f t="shared" si="57"/>
        <v>0</v>
      </c>
      <c r="AT71" s="10">
        <f t="shared" si="58"/>
        <v>0</v>
      </c>
      <c r="AU71" s="1">
        <f>SUMIFS(
  '[1]Hoja 1'!$M:$M,
  '[1]Hoja 1'!$S:$S, $A71,
  '[1]Hoja 1'!$R:$R, "&gt;="&amp;INT($AW$1),
  '[1]Hoja 1'!$R:$R, "&lt;"&amp;INT($AX$1+1)
)</f>
        <v>0</v>
      </c>
      <c r="AV71" s="1">
        <f t="shared" si="59"/>
        <v>0</v>
      </c>
      <c r="AW71" s="9">
        <f t="shared" si="60"/>
        <v>0</v>
      </c>
      <c r="AX71" s="10">
        <f t="shared" si="61"/>
        <v>0</v>
      </c>
    </row>
    <row r="72" spans="1:50" x14ac:dyDescent="0.25">
      <c r="A72" s="5">
        <v>209022</v>
      </c>
      <c r="B72" s="6" t="s">
        <v>69</v>
      </c>
      <c r="C72" s="1">
        <f>SUMIFS(
  '[1]Hoja 1'!$M:$M,
  '[1]Hoja 1'!$S:$S, $A72,
  '[1]Hoja 1'!$R:$R, "&gt;="&amp;INT($E$1),
  '[1]Hoja 1'!$R:$R, "&lt;"&amp;INT($F$1+1)
)</f>
        <v>15</v>
      </c>
      <c r="D72" s="1" t="str">
        <f>""</f>
        <v/>
      </c>
      <c r="F72" s="2"/>
      <c r="G72" s="1">
        <f>SUMIFS(
  '[1]Hoja 1'!$M:$M,
  '[1]Hoja 1'!$S:$S, $A72,
  '[1]Hoja 1'!$R:$R, "&gt;="&amp;INT($I$1),
  '[1]Hoja 1'!$R:$R, "&lt;"&amp;INT($J$1+1)
)</f>
        <v>0</v>
      </c>
      <c r="H72" s="1">
        <f t="shared" si="31"/>
        <v>8</v>
      </c>
      <c r="I72" s="1"/>
      <c r="J72" s="2"/>
      <c r="K72" s="1">
        <f>SUMIFS(
  '[1]Hoja 1'!$M:$M,
  '[1]Hoja 1'!$S:$S, $A72,
  '[1]Hoja 1'!$R:$R, "&gt;="&amp;INT($M$1),
  '[1]Hoja 1'!$R:$R, "&lt;"&amp;INT($N$1+1)
)</f>
        <v>0</v>
      </c>
      <c r="L72" s="1">
        <f t="shared" si="32"/>
        <v>0</v>
      </c>
      <c r="M72" s="9">
        <f t="shared" si="33"/>
        <v>-10.394469683442249</v>
      </c>
      <c r="N72" s="10">
        <f t="shared" si="34"/>
        <v>10.394469683442249</v>
      </c>
      <c r="O72" s="1">
        <f>SUMIFS(
  '[1]Hoja 1'!$M:$M,
  '[1]Hoja 1'!$S:$S, $A72,
  '[1]Hoja 1'!$R:$R, "&gt;="&amp;INT($Q$1),
  '[1]Hoja 1'!$R:$R, "&lt;"&amp;INT($R$1+1)
)</f>
        <v>0</v>
      </c>
      <c r="P72" s="1">
        <f t="shared" si="35"/>
        <v>0</v>
      </c>
      <c r="Q72" s="9">
        <f t="shared" si="36"/>
        <v>-8.4870489570874987</v>
      </c>
      <c r="R72" s="10">
        <f t="shared" si="37"/>
        <v>8.4870489570874987</v>
      </c>
      <c r="S72" s="1">
        <f>SUMIFS(
  '[1]Hoja 1'!$M:$M,
  '[1]Hoja 1'!$S:$S, $A72,
  '[1]Hoja 1'!$R:$R, "&gt;="&amp;INT($U$1),
  '[1]Hoja 1'!$R:$R, "&lt;"&amp;INT($V$1+1)
)</f>
        <v>0</v>
      </c>
      <c r="T72" s="1">
        <f t="shared" si="38"/>
        <v>0</v>
      </c>
      <c r="U72" s="9">
        <f t="shared" si="39"/>
        <v>-6.9985998599719936</v>
      </c>
      <c r="V72" s="10">
        <f t="shared" si="40"/>
        <v>6.9985998599719936</v>
      </c>
      <c r="W72" s="1">
        <f>SUMIFS(
  '[1]Hoja 1'!$M:$M,
  '[1]Hoja 1'!$S:$S, $A72,
  '[1]Hoja 1'!$R:$R, "&gt;="&amp;INT($Y$1),
  '[1]Hoja 1'!$R:$R, "&lt;"&amp;INT($Z$1+1)
)</f>
        <v>0</v>
      </c>
      <c r="X72" s="1">
        <f t="shared" si="41"/>
        <v>0</v>
      </c>
      <c r="Y72" s="9">
        <f t="shared" si="42"/>
        <v>-6.5740398538493823</v>
      </c>
      <c r="Z72" s="10">
        <f t="shared" si="43"/>
        <v>6.5740398538493823</v>
      </c>
      <c r="AA72" s="1">
        <f>SUMIFS(
  '[1]Hoja 1'!$M:$M,
  '[1]Hoja 1'!$S:$S, $A72,
  '[1]Hoja 1'!$R:$R, "&gt;="&amp;INT($AC$1),
  '[1]Hoja 1'!$R:$R, "&lt;"&amp;INT($AD$1+1)
)</f>
        <v>0</v>
      </c>
      <c r="AB72" s="1">
        <f t="shared" si="44"/>
        <v>0</v>
      </c>
      <c r="AC72" s="9">
        <f t="shared" si="45"/>
        <v>-6.0012498698187864</v>
      </c>
      <c r="AD72" s="10">
        <f t="shared" si="46"/>
        <v>6.0012498698187864</v>
      </c>
      <c r="AE72" s="1">
        <f>SUMIFS(
  '[1]Hoja 1'!$M:$M,
  '[1]Hoja 1'!$S:$S, $A72,
  '[1]Hoja 1'!$R:$R, "&gt;="&amp;INT($AG$1),
  '[1]Hoja 1'!$R:$R, "&lt;"&amp;INT($AH$1+1)
)</f>
        <v>0</v>
      </c>
      <c r="AF72" s="1">
        <f t="shared" si="47"/>
        <v>0</v>
      </c>
      <c r="AG72" s="9">
        <f t="shared" si="48"/>
        <v>-5.5560777532356402</v>
      </c>
      <c r="AH72" s="10">
        <f t="shared" si="49"/>
        <v>5.5560777532356402</v>
      </c>
      <c r="AI72" s="1">
        <f>SUMIFS(
  '[1]Hoja 1'!$M:$M,
  '[1]Hoja 1'!$S:$S, $A72,
  '[1]Hoja 1'!$R:$R, "&gt;="&amp;INT($AK$1),
  '[1]Hoja 1'!$R:$R, "&lt;"&amp;INT($AJ$1+1)
)</f>
        <v>0</v>
      </c>
      <c r="AJ72" s="1">
        <f t="shared" si="50"/>
        <v>0</v>
      </c>
      <c r="AK72" s="9">
        <f t="shared" si="51"/>
        <v>-5.1972348417211247</v>
      </c>
      <c r="AL72" s="10">
        <f t="shared" si="52"/>
        <v>5.1972348417211247</v>
      </c>
      <c r="AM72" s="1">
        <f>SUMIFS(
  '[1]Hoja 1'!$M:$M,
  '[1]Hoja 1'!$S:$S, $A72,
  '[1]Hoja 1'!$R:$R, "&gt;="&amp;INT($AO$1),
  '[1]Hoja 1'!$R:$R, "&lt;"&amp;INT($AP$1+1)
)</f>
        <v>0</v>
      </c>
      <c r="AN72" s="1">
        <f t="shared" si="53"/>
        <v>0</v>
      </c>
      <c r="AO72" s="9">
        <f t="shared" si="54"/>
        <v>-4.9000000000000004</v>
      </c>
      <c r="AP72" s="10">
        <f t="shared" si="55"/>
        <v>4.9000000000000004</v>
      </c>
      <c r="AQ72" s="1">
        <f>SUMIFS(
  '[1]Hoja 1'!$M:$M,
  '[1]Hoja 1'!$S:$S, $A72,
  '[1]Hoja 1'!$R:$R, "&gt;="&amp;INT($AS$1),
  '[1]Hoja 1'!$R:$R, "&lt;"&amp;INT($AT$1+1)
)</f>
        <v>0</v>
      </c>
      <c r="AR72" s="1">
        <f t="shared" si="56"/>
        <v>0</v>
      </c>
      <c r="AS72" s="9">
        <f t="shared" si="57"/>
        <v>-4.6485481604475174</v>
      </c>
      <c r="AT72" s="10">
        <f t="shared" si="58"/>
        <v>4.6485481604475174</v>
      </c>
      <c r="AU72" s="1">
        <f>SUMIFS(
  '[1]Hoja 1'!$M:$M,
  '[1]Hoja 1'!$S:$S, $A72,
  '[1]Hoja 1'!$R:$R, "&gt;="&amp;INT($AW$1),
  '[1]Hoja 1'!$R:$R, "&lt;"&amp;INT($AX$1+1)
)</f>
        <v>0</v>
      </c>
      <c r="AV72" s="1">
        <f t="shared" si="59"/>
        <v>0</v>
      </c>
      <c r="AW72" s="9">
        <f t="shared" si="60"/>
        <v>-4.4322167652931252</v>
      </c>
      <c r="AX72" s="10">
        <f t="shared" si="61"/>
        <v>4.4322167652931252</v>
      </c>
    </row>
    <row r="73" spans="1:50" x14ac:dyDescent="0.25">
      <c r="A73" s="5">
        <v>209023</v>
      </c>
      <c r="B73" s="6" t="s">
        <v>70</v>
      </c>
      <c r="C73" s="1">
        <f>SUMIFS(
  '[1]Hoja 1'!$M:$M,
  '[1]Hoja 1'!$S:$S, $A73,
  '[1]Hoja 1'!$R:$R, "&gt;="&amp;INT($E$1),
  '[1]Hoja 1'!$R:$R, "&lt;"&amp;INT($F$1+1)
)</f>
        <v>0</v>
      </c>
      <c r="D73" s="1" t="str">
        <f>""</f>
        <v/>
      </c>
      <c r="F73" s="2"/>
      <c r="G73" s="1">
        <f>SUMIFS(
  '[1]Hoja 1'!$M:$M,
  '[1]Hoja 1'!$S:$S, $A73,
  '[1]Hoja 1'!$R:$R, "&gt;="&amp;INT($I$1),
  '[1]Hoja 1'!$R:$R, "&lt;"&amp;INT($J$1+1)
)</f>
        <v>0</v>
      </c>
      <c r="H73" s="1">
        <f t="shared" si="31"/>
        <v>0</v>
      </c>
      <c r="I73" s="1"/>
      <c r="J73" s="2"/>
      <c r="K73" s="1">
        <f>SUMIFS(
  '[1]Hoja 1'!$M:$M,
  '[1]Hoja 1'!$S:$S, $A73,
  '[1]Hoja 1'!$R:$R, "&gt;="&amp;INT($M$1),
  '[1]Hoja 1'!$R:$R, "&lt;"&amp;INT($N$1+1)
)</f>
        <v>0</v>
      </c>
      <c r="L73" s="1">
        <f t="shared" si="32"/>
        <v>0</v>
      </c>
      <c r="M73" s="9">
        <f t="shared" si="33"/>
        <v>0</v>
      </c>
      <c r="N73" s="10">
        <f t="shared" si="34"/>
        <v>0</v>
      </c>
      <c r="O73" s="1">
        <f>SUMIFS(
  '[1]Hoja 1'!$M:$M,
  '[1]Hoja 1'!$S:$S, $A73,
  '[1]Hoja 1'!$R:$R, "&gt;="&amp;INT($Q$1),
  '[1]Hoja 1'!$R:$R, "&lt;"&amp;INT($R$1+1)
)</f>
        <v>0</v>
      </c>
      <c r="P73" s="1">
        <f t="shared" si="35"/>
        <v>0</v>
      </c>
      <c r="Q73" s="9">
        <f t="shared" si="36"/>
        <v>0</v>
      </c>
      <c r="R73" s="10">
        <f t="shared" si="37"/>
        <v>0</v>
      </c>
      <c r="S73" s="1">
        <f>SUMIFS(
  '[1]Hoja 1'!$M:$M,
  '[1]Hoja 1'!$S:$S, $A73,
  '[1]Hoja 1'!$R:$R, "&gt;="&amp;INT($U$1),
  '[1]Hoja 1'!$R:$R, "&lt;"&amp;INT($V$1+1)
)</f>
        <v>0</v>
      </c>
      <c r="T73" s="1">
        <f t="shared" si="38"/>
        <v>0</v>
      </c>
      <c r="U73" s="9">
        <f t="shared" si="39"/>
        <v>-1.47</v>
      </c>
      <c r="V73" s="10">
        <f t="shared" si="40"/>
        <v>1.47</v>
      </c>
      <c r="W73" s="1">
        <f>SUMIFS(
  '[1]Hoja 1'!$M:$M,
  '[1]Hoja 1'!$S:$S, $A73,
  '[1]Hoja 1'!$R:$R, "&gt;="&amp;INT($Y$1),
  '[1]Hoja 1'!$R:$R, "&lt;"&amp;INT($Z$1+1)
)</f>
        <v>0</v>
      </c>
      <c r="X73" s="1">
        <f t="shared" si="41"/>
        <v>0</v>
      </c>
      <c r="Y73" s="9">
        <f t="shared" si="42"/>
        <v>0</v>
      </c>
      <c r="Z73" s="10">
        <f t="shared" si="43"/>
        <v>0</v>
      </c>
      <c r="AA73" s="1">
        <f>SUMIFS(
  '[1]Hoja 1'!$M:$M,
  '[1]Hoja 1'!$S:$S, $A73,
  '[1]Hoja 1'!$R:$R, "&gt;="&amp;INT($AC$1),
  '[1]Hoja 1'!$R:$R, "&lt;"&amp;INT($AD$1+1)
)</f>
        <v>0</v>
      </c>
      <c r="AB73" s="1">
        <f t="shared" si="44"/>
        <v>0</v>
      </c>
      <c r="AC73" s="9">
        <f t="shared" si="45"/>
        <v>0</v>
      </c>
      <c r="AD73" s="10">
        <f t="shared" si="46"/>
        <v>0</v>
      </c>
      <c r="AE73" s="1">
        <f>SUMIFS(
  '[1]Hoja 1'!$M:$M,
  '[1]Hoja 1'!$S:$S, $A73,
  '[1]Hoja 1'!$R:$R, "&gt;="&amp;INT($AG$1),
  '[1]Hoja 1'!$R:$R, "&lt;"&amp;INT($AH$1+1)
)</f>
        <v>0</v>
      </c>
      <c r="AF73" s="1">
        <f t="shared" si="47"/>
        <v>0</v>
      </c>
      <c r="AG73" s="9">
        <f t="shared" si="48"/>
        <v>0</v>
      </c>
      <c r="AH73" s="10">
        <f t="shared" si="49"/>
        <v>0</v>
      </c>
      <c r="AI73" s="1">
        <f>SUMIFS(
  '[1]Hoja 1'!$M:$M,
  '[1]Hoja 1'!$S:$S, $A73,
  '[1]Hoja 1'!$R:$R, "&gt;="&amp;INT($AK$1),
  '[1]Hoja 1'!$R:$R, "&lt;"&amp;INT($AJ$1+1)
)</f>
        <v>0</v>
      </c>
      <c r="AJ73" s="1">
        <f t="shared" si="50"/>
        <v>0</v>
      </c>
      <c r="AK73" s="9">
        <f t="shared" si="51"/>
        <v>0</v>
      </c>
      <c r="AL73" s="10">
        <f t="shared" si="52"/>
        <v>0</v>
      </c>
      <c r="AM73" s="1">
        <f>SUMIFS(
  '[1]Hoja 1'!$M:$M,
  '[1]Hoja 1'!$S:$S, $A73,
  '[1]Hoja 1'!$R:$R, "&gt;="&amp;INT($AO$1),
  '[1]Hoja 1'!$R:$R, "&lt;"&amp;INT($AP$1+1)
)</f>
        <v>0</v>
      </c>
      <c r="AN73" s="1">
        <f t="shared" si="53"/>
        <v>0</v>
      </c>
      <c r="AO73" s="9">
        <f t="shared" si="54"/>
        <v>0</v>
      </c>
      <c r="AP73" s="10">
        <f t="shared" si="55"/>
        <v>0</v>
      </c>
      <c r="AQ73" s="1">
        <f>SUMIFS(
  '[1]Hoja 1'!$M:$M,
  '[1]Hoja 1'!$S:$S, $A73,
  '[1]Hoja 1'!$R:$R, "&gt;="&amp;INT($AS$1),
  '[1]Hoja 1'!$R:$R, "&lt;"&amp;INT($AT$1+1)
)</f>
        <v>0</v>
      </c>
      <c r="AR73" s="1">
        <f t="shared" si="56"/>
        <v>0</v>
      </c>
      <c r="AS73" s="9">
        <f t="shared" si="57"/>
        <v>0</v>
      </c>
      <c r="AT73" s="10">
        <f t="shared" si="58"/>
        <v>0</v>
      </c>
      <c r="AU73" s="1">
        <f>SUMIFS(
  '[1]Hoja 1'!$M:$M,
  '[1]Hoja 1'!$S:$S, $A73,
  '[1]Hoja 1'!$R:$R, "&gt;="&amp;INT($AW$1),
  '[1]Hoja 1'!$R:$R, "&lt;"&amp;INT($AX$1+1)
)</f>
        <v>0</v>
      </c>
      <c r="AV73" s="1">
        <f t="shared" si="59"/>
        <v>0</v>
      </c>
      <c r="AW73" s="9">
        <f t="shared" si="60"/>
        <v>0</v>
      </c>
      <c r="AX73" s="10">
        <f t="shared" si="61"/>
        <v>0</v>
      </c>
    </row>
    <row r="74" spans="1:50" x14ac:dyDescent="0.25">
      <c r="A74" s="5">
        <v>210002</v>
      </c>
      <c r="B74" s="6" t="s">
        <v>71</v>
      </c>
      <c r="C74" s="1">
        <f>SUMIFS(
  '[1]Hoja 1'!$M:$M,
  '[1]Hoja 1'!$S:$S, $A74,
  '[1]Hoja 1'!$R:$R, "&gt;="&amp;INT($E$1),
  '[1]Hoja 1'!$R:$R, "&lt;"&amp;INT($F$1+1)
)</f>
        <v>4</v>
      </c>
      <c r="D74" s="1" t="str">
        <f>""</f>
        <v/>
      </c>
      <c r="F74" s="2"/>
      <c r="G74" s="1">
        <f>SUMIFS(
  '[1]Hoja 1'!$M:$M,
  '[1]Hoja 1'!$S:$S, $A74,
  '[1]Hoja 1'!$R:$R, "&gt;="&amp;INT($I$1),
  '[1]Hoja 1'!$R:$R, "&lt;"&amp;INT($J$1+1)
)</f>
        <v>1</v>
      </c>
      <c r="H74" s="1">
        <f t="shared" si="31"/>
        <v>3</v>
      </c>
      <c r="I74" s="1"/>
      <c r="J74" s="2"/>
      <c r="K74" s="1">
        <f>SUMIFS(
  '[1]Hoja 1'!$M:$M,
  '[1]Hoja 1'!$S:$S, $A74,
  '[1]Hoja 1'!$R:$R, "&gt;="&amp;INT($M$1),
  '[1]Hoja 1'!$R:$R, "&lt;"&amp;INT($N$1+1)
)</f>
        <v>0</v>
      </c>
      <c r="L74" s="1">
        <f t="shared" si="32"/>
        <v>0.5</v>
      </c>
      <c r="M74" s="9">
        <f t="shared" si="33"/>
        <v>-0.88592929112563312</v>
      </c>
      <c r="N74" s="10">
        <f t="shared" si="34"/>
        <v>1.8859292911256331</v>
      </c>
      <c r="O74" s="1">
        <f>SUMIFS(
  '[1]Hoja 1'!$M:$M,
  '[1]Hoja 1'!$S:$S, $A74,
  '[1]Hoja 1'!$R:$R, "&gt;="&amp;INT($Q$1),
  '[1]Hoja 1'!$R:$R, "&lt;"&amp;INT($R$1+1)
)</f>
        <v>0</v>
      </c>
      <c r="P74" s="1">
        <f t="shared" si="35"/>
        <v>0</v>
      </c>
      <c r="Q74" s="9">
        <f t="shared" si="36"/>
        <v>-1.4969747270189078</v>
      </c>
      <c r="R74" s="10">
        <f t="shared" si="37"/>
        <v>1.4969747270189078</v>
      </c>
      <c r="S74" s="1">
        <f>SUMIFS(
  '[1]Hoja 1'!$M:$M,
  '[1]Hoja 1'!$S:$S, $A74,
  '[1]Hoja 1'!$R:$R, "&gt;="&amp;INT($U$1),
  '[1]Hoja 1'!$R:$R, "&lt;"&amp;INT($V$1+1)
)</f>
        <v>0</v>
      </c>
      <c r="T74" s="1">
        <f t="shared" si="38"/>
        <v>0</v>
      </c>
      <c r="U74" s="9">
        <f t="shared" si="39"/>
        <v>-1.47</v>
      </c>
      <c r="V74" s="10">
        <f t="shared" si="40"/>
        <v>1.47</v>
      </c>
      <c r="W74" s="1">
        <f>SUMIFS(
  '[1]Hoja 1'!$M:$M,
  '[1]Hoja 1'!$S:$S, $A74,
  '[1]Hoja 1'!$R:$R, "&gt;="&amp;INT($Y$1),
  '[1]Hoja 1'!$R:$R, "&lt;"&amp;INT($Z$1+1)
)</f>
        <v>0</v>
      </c>
      <c r="X74" s="1">
        <f t="shared" si="41"/>
        <v>0</v>
      </c>
      <c r="Y74" s="9">
        <f t="shared" si="42"/>
        <v>-1.2777636714197191</v>
      </c>
      <c r="Z74" s="10">
        <f t="shared" si="43"/>
        <v>1.2777636714197191</v>
      </c>
      <c r="AA74" s="1">
        <f>SUMIFS(
  '[1]Hoja 1'!$M:$M,
  '[1]Hoja 1'!$S:$S, $A74,
  '[1]Hoja 1'!$R:$R, "&gt;="&amp;INT($AC$1),
  '[1]Hoja 1'!$R:$R, "&lt;"&amp;INT($AD$1+1)
)</f>
        <v>0</v>
      </c>
      <c r="AB74" s="1">
        <f t="shared" si="44"/>
        <v>0</v>
      </c>
      <c r="AC74" s="9">
        <f t="shared" si="45"/>
        <v>-1.1868389388062168</v>
      </c>
      <c r="AD74" s="10">
        <f t="shared" si="46"/>
        <v>1.1868389388062168</v>
      </c>
      <c r="AE74" s="1">
        <f>SUMIFS(
  '[1]Hoja 1'!$M:$M,
  '[1]Hoja 1'!$S:$S, $A74,
  '[1]Hoja 1'!$R:$R, "&gt;="&amp;INT($AG$1),
  '[1]Hoja 1'!$R:$R, "&lt;"&amp;INT($AH$1+1)
)</f>
        <v>0</v>
      </c>
      <c r="AF74" s="1">
        <f t="shared" si="47"/>
        <v>0</v>
      </c>
      <c r="AG74" s="9">
        <f t="shared" si="48"/>
        <v>-1.111215550647128</v>
      </c>
      <c r="AH74" s="10">
        <f t="shared" si="49"/>
        <v>1.111215550647128</v>
      </c>
      <c r="AI74" s="1">
        <f>SUMIFS(
  '[1]Hoja 1'!$M:$M,
  '[1]Hoja 1'!$S:$S, $A74,
  '[1]Hoja 1'!$R:$R, "&gt;="&amp;INT($AK$1),
  '[1]Hoja 1'!$R:$R, "&lt;"&amp;INT($AJ$1+1)
)</f>
        <v>0</v>
      </c>
      <c r="AJ74" s="1">
        <f t="shared" si="50"/>
        <v>0</v>
      </c>
      <c r="AK74" s="9">
        <f t="shared" si="51"/>
        <v>-1.0476640682967036</v>
      </c>
      <c r="AL74" s="10">
        <f t="shared" si="52"/>
        <v>1.0476640682967036</v>
      </c>
      <c r="AM74" s="1">
        <f>SUMIFS(
  '[1]Hoja 1'!$M:$M,
  '[1]Hoja 1'!$S:$S, $A74,
  '[1]Hoja 1'!$R:$R, "&gt;="&amp;INT($AO$1),
  '[1]Hoja 1'!$R:$R, "&lt;"&amp;INT($AP$1+1)
)</f>
        <v>0</v>
      </c>
      <c r="AN74" s="1">
        <f t="shared" si="53"/>
        <v>0</v>
      </c>
      <c r="AO74" s="9">
        <f t="shared" si="54"/>
        <v>-0.9935178799487091</v>
      </c>
      <c r="AP74" s="10">
        <f t="shared" si="55"/>
        <v>0.9935178799487091</v>
      </c>
      <c r="AQ74" s="1">
        <f>SUMIFS(
  '[1]Hoja 1'!$M:$M,
  '[1]Hoja 1'!$S:$S, $A74,
  '[1]Hoja 1'!$R:$R, "&gt;="&amp;INT($AS$1),
  '[1]Hoja 1'!$R:$R, "&lt;"&amp;INT($AT$1+1)
)</f>
        <v>0</v>
      </c>
      <c r="AR74" s="1">
        <f t="shared" si="56"/>
        <v>0</v>
      </c>
      <c r="AS74" s="9">
        <f t="shared" si="57"/>
        <v>-0.94676994741770992</v>
      </c>
      <c r="AT74" s="10">
        <f t="shared" si="58"/>
        <v>0.94676994741770992</v>
      </c>
      <c r="AU74" s="1">
        <f>SUMIFS(
  '[1]Hoja 1'!$M:$M,
  '[1]Hoja 1'!$S:$S, $A74,
  '[1]Hoja 1'!$R:$R, "&gt;="&amp;INT($AW$1),
  '[1]Hoja 1'!$R:$R, "&lt;"&amp;INT($AX$1+1)
)</f>
        <v>0</v>
      </c>
      <c r="AV74" s="1">
        <f t="shared" si="59"/>
        <v>0</v>
      </c>
      <c r="AW74" s="9">
        <f t="shared" si="60"/>
        <v>-0.90592795218243183</v>
      </c>
      <c r="AX74" s="10">
        <f t="shared" si="61"/>
        <v>0.90592795218243183</v>
      </c>
    </row>
    <row r="75" spans="1:50" x14ac:dyDescent="0.25">
      <c r="A75" s="5">
        <v>210003</v>
      </c>
      <c r="B75" s="6" t="s">
        <v>72</v>
      </c>
      <c r="C75" s="1">
        <f>SUMIFS(
  '[1]Hoja 1'!$M:$M,
  '[1]Hoja 1'!$S:$S, $A75,
  '[1]Hoja 1'!$R:$R, "&gt;="&amp;INT($E$1),
  '[1]Hoja 1'!$R:$R, "&lt;"&amp;INT($F$1+1)
)</f>
        <v>1</v>
      </c>
      <c r="D75" s="1" t="str">
        <f>""</f>
        <v/>
      </c>
      <c r="F75" s="2"/>
      <c r="G75" s="1">
        <f>SUMIFS(
  '[1]Hoja 1'!$M:$M,
  '[1]Hoja 1'!$S:$S, $A75,
  '[1]Hoja 1'!$R:$R, "&gt;="&amp;INT($I$1),
  '[1]Hoja 1'!$R:$R, "&lt;"&amp;INT($J$1+1)
)</f>
        <v>0</v>
      </c>
      <c r="H75" s="1">
        <f t="shared" si="31"/>
        <v>1</v>
      </c>
      <c r="I75" s="1"/>
      <c r="J75" s="2"/>
      <c r="K75" s="1">
        <f>SUMIFS(
  '[1]Hoja 1'!$M:$M,
  '[1]Hoja 1'!$S:$S, $A75,
  '[1]Hoja 1'!$R:$R, "&gt;="&amp;INT($M$1),
  '[1]Hoja 1'!$R:$R, "&lt;"&amp;INT($N$1+1)
)</f>
        <v>0</v>
      </c>
      <c r="L75" s="1">
        <f t="shared" si="32"/>
        <v>0</v>
      </c>
      <c r="M75" s="9">
        <f t="shared" si="33"/>
        <v>-0.69296464556281656</v>
      </c>
      <c r="N75" s="10">
        <f t="shared" si="34"/>
        <v>0.69296464556281656</v>
      </c>
      <c r="O75" s="1">
        <f>SUMIFS(
  '[1]Hoja 1'!$M:$M,
  '[1]Hoja 1'!$S:$S, $A75,
  '[1]Hoja 1'!$R:$R, "&gt;="&amp;INT($Q$1),
  '[1]Hoja 1'!$R:$R, "&lt;"&amp;INT($R$1+1)
)</f>
        <v>0</v>
      </c>
      <c r="P75" s="1">
        <f t="shared" si="35"/>
        <v>0</v>
      </c>
      <c r="Q75" s="9">
        <f t="shared" si="36"/>
        <v>-0.56580326380583335</v>
      </c>
      <c r="R75" s="10">
        <f t="shared" si="37"/>
        <v>0.56580326380583335</v>
      </c>
      <c r="S75" s="1">
        <f>SUMIFS(
  '[1]Hoja 1'!$M:$M,
  '[1]Hoja 1'!$S:$S, $A75,
  '[1]Hoja 1'!$R:$R, "&gt;="&amp;INT($U$1),
  '[1]Hoja 1'!$R:$R, "&lt;"&amp;INT($V$1+1)
)</f>
        <v>0</v>
      </c>
      <c r="T75" s="1">
        <f t="shared" si="38"/>
        <v>0</v>
      </c>
      <c r="U75" s="9">
        <f t="shared" si="39"/>
        <v>-1.3859292911256331</v>
      </c>
      <c r="V75" s="10">
        <f t="shared" si="40"/>
        <v>1.3859292911256331</v>
      </c>
      <c r="W75" s="1">
        <f>SUMIFS(
  '[1]Hoja 1'!$M:$M,
  '[1]Hoja 1'!$S:$S, $A75,
  '[1]Hoja 1'!$R:$R, "&gt;="&amp;INT($Y$1),
  '[1]Hoja 1'!$R:$R, "&lt;"&amp;INT($Z$1+1)
)</f>
        <v>0</v>
      </c>
      <c r="X75" s="1">
        <f t="shared" si="41"/>
        <v>0</v>
      </c>
      <c r="Y75" s="9">
        <f t="shared" si="42"/>
        <v>-0.43826932358995874</v>
      </c>
      <c r="Z75" s="10">
        <f t="shared" si="43"/>
        <v>0.43826932358995874</v>
      </c>
      <c r="AA75" s="1">
        <f>SUMIFS(
  '[1]Hoja 1'!$M:$M,
  '[1]Hoja 1'!$S:$S, $A75,
  '[1]Hoja 1'!$R:$R, "&gt;="&amp;INT($AC$1),
  '[1]Hoja 1'!$R:$R, "&lt;"&amp;INT($AD$1+1)
)</f>
        <v>0</v>
      </c>
      <c r="AB75" s="1">
        <f t="shared" si="44"/>
        <v>0</v>
      </c>
      <c r="AC75" s="9">
        <f t="shared" si="45"/>
        <v>-0.40008332465458574</v>
      </c>
      <c r="AD75" s="10">
        <f t="shared" si="46"/>
        <v>0.40008332465458574</v>
      </c>
      <c r="AE75" s="1">
        <f>SUMIFS(
  '[1]Hoja 1'!$M:$M,
  '[1]Hoja 1'!$S:$S, $A75,
  '[1]Hoja 1'!$R:$R, "&gt;="&amp;INT($AG$1),
  '[1]Hoja 1'!$R:$R, "&lt;"&amp;INT($AH$1+1)
)</f>
        <v>0</v>
      </c>
      <c r="AF75" s="1">
        <f t="shared" si="47"/>
        <v>0</v>
      </c>
      <c r="AG75" s="9">
        <f t="shared" si="48"/>
        <v>-0.37040518354904273</v>
      </c>
      <c r="AH75" s="10">
        <f t="shared" si="49"/>
        <v>0.37040518354904273</v>
      </c>
      <c r="AI75" s="1">
        <f>SUMIFS(
  '[1]Hoja 1'!$M:$M,
  '[1]Hoja 1'!$S:$S, $A75,
  '[1]Hoja 1'!$R:$R, "&gt;="&amp;INT($AK$1),
  '[1]Hoja 1'!$R:$R, "&lt;"&amp;INT($AJ$1+1)
)</f>
        <v>0</v>
      </c>
      <c r="AJ75" s="1">
        <f t="shared" si="50"/>
        <v>0</v>
      </c>
      <c r="AK75" s="9">
        <f t="shared" si="51"/>
        <v>-0.34648232278140828</v>
      </c>
      <c r="AL75" s="10">
        <f t="shared" si="52"/>
        <v>0.34648232278140828</v>
      </c>
      <c r="AM75" s="1">
        <f>SUMIFS(
  '[1]Hoja 1'!$M:$M,
  '[1]Hoja 1'!$S:$S, $A75,
  '[1]Hoja 1'!$R:$R, "&gt;="&amp;INT($AO$1),
  '[1]Hoja 1'!$R:$R, "&lt;"&amp;INT($AP$1+1)
)</f>
        <v>0</v>
      </c>
      <c r="AN75" s="1">
        <f t="shared" si="53"/>
        <v>0</v>
      </c>
      <c r="AO75" s="9">
        <f t="shared" si="54"/>
        <v>-0.32666666666666666</v>
      </c>
      <c r="AP75" s="10">
        <f t="shared" si="55"/>
        <v>0.32666666666666666</v>
      </c>
      <c r="AQ75" s="1">
        <f>SUMIFS(
  '[1]Hoja 1'!$M:$M,
  '[1]Hoja 1'!$S:$S, $A75,
  '[1]Hoja 1'!$R:$R, "&gt;="&amp;INT($AS$1),
  '[1]Hoja 1'!$R:$R, "&lt;"&amp;INT($AT$1+1)
)</f>
        <v>0</v>
      </c>
      <c r="AR75" s="1">
        <f t="shared" si="56"/>
        <v>0</v>
      </c>
      <c r="AS75" s="9">
        <f t="shared" si="57"/>
        <v>-0.30990321069650117</v>
      </c>
      <c r="AT75" s="10">
        <f t="shared" si="58"/>
        <v>0.30990321069650117</v>
      </c>
      <c r="AU75" s="1">
        <f>SUMIFS(
  '[1]Hoja 1'!$M:$M,
  '[1]Hoja 1'!$S:$S, $A75,
  '[1]Hoja 1'!$R:$R, "&gt;="&amp;INT($AW$1),
  '[1]Hoja 1'!$R:$R, "&lt;"&amp;INT($AX$1+1)
)</f>
        <v>0</v>
      </c>
      <c r="AV75" s="1">
        <f t="shared" si="59"/>
        <v>0</v>
      </c>
      <c r="AW75" s="9">
        <f t="shared" si="60"/>
        <v>-0.29548111768620833</v>
      </c>
      <c r="AX75" s="10">
        <f t="shared" si="61"/>
        <v>0.29548111768620833</v>
      </c>
    </row>
    <row r="76" spans="1:50" x14ac:dyDescent="0.25">
      <c r="A76" s="5">
        <v>210004</v>
      </c>
      <c r="B76" s="6" t="s">
        <v>73</v>
      </c>
      <c r="C76" s="1">
        <f>SUMIFS(
  '[1]Hoja 1'!$M:$M,
  '[1]Hoja 1'!$S:$S, $A76,
  '[1]Hoja 1'!$R:$R, "&gt;="&amp;INT($E$1),
  '[1]Hoja 1'!$R:$R, "&lt;"&amp;INT($F$1+1)
)</f>
        <v>2</v>
      </c>
      <c r="D76" s="1" t="str">
        <f>""</f>
        <v/>
      </c>
      <c r="F76" s="2"/>
      <c r="G76" s="1">
        <f>SUMIFS(
  '[1]Hoja 1'!$M:$M,
  '[1]Hoja 1'!$S:$S, $A76,
  '[1]Hoja 1'!$R:$R, "&gt;="&amp;INT($I$1),
  '[1]Hoja 1'!$R:$R, "&lt;"&amp;INT($J$1+1)
)</f>
        <v>1</v>
      </c>
      <c r="H76" s="1">
        <f t="shared" si="31"/>
        <v>2</v>
      </c>
      <c r="I76" s="1"/>
      <c r="J76" s="2"/>
      <c r="K76" s="1">
        <f>SUMIFS(
  '[1]Hoja 1'!$M:$M,
  '[1]Hoja 1'!$S:$S, $A76,
  '[1]Hoja 1'!$R:$R, "&gt;="&amp;INT($M$1),
  '[1]Hoja 1'!$R:$R, "&lt;"&amp;INT($N$1+1)
)</f>
        <v>0</v>
      </c>
      <c r="L76" s="1">
        <f t="shared" si="32"/>
        <v>0.5</v>
      </c>
      <c r="M76" s="9">
        <f t="shared" si="33"/>
        <v>0.5</v>
      </c>
      <c r="N76" s="10">
        <f t="shared" si="34"/>
        <v>0.5</v>
      </c>
      <c r="O76" s="1">
        <f>SUMIFS(
  '[1]Hoja 1'!$M:$M,
  '[1]Hoja 1'!$S:$S, $A76,
  '[1]Hoja 1'!$R:$R, "&gt;="&amp;INT($Q$1),
  '[1]Hoja 1'!$R:$R, "&lt;"&amp;INT($R$1+1)
)</f>
        <v>0</v>
      </c>
      <c r="P76" s="1">
        <f t="shared" si="35"/>
        <v>0</v>
      </c>
      <c r="Q76" s="9">
        <f t="shared" si="36"/>
        <v>-0.56580326380583335</v>
      </c>
      <c r="R76" s="10">
        <f t="shared" si="37"/>
        <v>0.56580326380583335</v>
      </c>
      <c r="S76" s="1">
        <f>SUMIFS(
  '[1]Hoja 1'!$M:$M,
  '[1]Hoja 1'!$S:$S, $A76,
  '[1]Hoja 1'!$R:$R, "&gt;="&amp;INT($U$1),
  '[1]Hoja 1'!$R:$R, "&lt;"&amp;INT($V$1+1)
)</f>
        <v>0</v>
      </c>
      <c r="T76" s="1">
        <f t="shared" si="38"/>
        <v>0</v>
      </c>
      <c r="U76" s="9">
        <f t="shared" si="39"/>
        <v>-1.2331396244275556</v>
      </c>
      <c r="V76" s="10">
        <f t="shared" si="40"/>
        <v>1.2331396244275556</v>
      </c>
      <c r="W76" s="1">
        <f>SUMIFS(
  '[1]Hoja 1'!$M:$M,
  '[1]Hoja 1'!$S:$S, $A76,
  '[1]Hoja 1'!$R:$R, "&gt;="&amp;INT($Y$1),
  '[1]Hoja 1'!$R:$R, "&lt;"&amp;INT($Z$1+1)
)</f>
        <v>0</v>
      </c>
      <c r="X76" s="1">
        <f t="shared" si="41"/>
        <v>0</v>
      </c>
      <c r="Y76" s="9">
        <f t="shared" si="42"/>
        <v>-0.53676810635506278</v>
      </c>
      <c r="Z76" s="10">
        <f t="shared" si="43"/>
        <v>0.53676810635506278</v>
      </c>
      <c r="AA76" s="1">
        <f>SUMIFS(
  '[1]Hoja 1'!$M:$M,
  '[1]Hoja 1'!$S:$S, $A76,
  '[1]Hoja 1'!$R:$R, "&gt;="&amp;INT($AC$1),
  '[1]Hoja 1'!$R:$R, "&lt;"&amp;INT($AD$1+1)
)</f>
        <v>0</v>
      </c>
      <c r="AB76" s="1">
        <f t="shared" si="44"/>
        <v>0</v>
      </c>
      <c r="AC76" s="9">
        <f t="shared" si="45"/>
        <v>-0.50606982390443589</v>
      </c>
      <c r="AD76" s="10">
        <f t="shared" si="46"/>
        <v>0.50606982390443589</v>
      </c>
      <c r="AE76" s="1">
        <f>SUMIFS(
  '[1]Hoja 1'!$M:$M,
  '[1]Hoja 1'!$S:$S, $A76,
  '[1]Hoja 1'!$R:$R, "&gt;="&amp;INT($AG$1),
  '[1]Hoja 1'!$R:$R, "&lt;"&amp;INT($AH$1+1)
)</f>
        <v>0</v>
      </c>
      <c r="AF76" s="1">
        <f t="shared" si="47"/>
        <v>0</v>
      </c>
      <c r="AG76" s="9">
        <f t="shared" si="48"/>
        <v>-0.47819103574478128</v>
      </c>
      <c r="AH76" s="10">
        <f t="shared" si="49"/>
        <v>0.47819103574478128</v>
      </c>
      <c r="AI76" s="1">
        <f>SUMIFS(
  '[1]Hoja 1'!$M:$M,
  '[1]Hoja 1'!$S:$S, $A76,
  '[1]Hoja 1'!$R:$R, "&gt;="&amp;INT($AK$1),
  '[1]Hoja 1'!$R:$R, "&lt;"&amp;INT($AJ$1+1)
)</f>
        <v>0</v>
      </c>
      <c r="AJ76" s="1">
        <f t="shared" si="50"/>
        <v>0</v>
      </c>
      <c r="AK76" s="9">
        <f t="shared" si="51"/>
        <v>-0.4536518488885502</v>
      </c>
      <c r="AL76" s="10">
        <f t="shared" si="52"/>
        <v>0.4536518488885502</v>
      </c>
      <c r="AM76" s="1">
        <f>SUMIFS(
  '[1]Hoja 1'!$M:$M,
  '[1]Hoja 1'!$S:$S, $A76,
  '[1]Hoja 1'!$R:$R, "&gt;="&amp;INT($AO$1),
  '[1]Hoja 1'!$R:$R, "&lt;"&amp;INT($AP$1+1)
)</f>
        <v>0</v>
      </c>
      <c r="AN76" s="1">
        <f t="shared" si="53"/>
        <v>0</v>
      </c>
      <c r="AO76" s="9">
        <f t="shared" si="54"/>
        <v>-0.43213938080721648</v>
      </c>
      <c r="AP76" s="10">
        <f t="shared" si="55"/>
        <v>0.43213938080721648</v>
      </c>
      <c r="AQ76" s="1">
        <f>SUMIFS(
  '[1]Hoja 1'!$M:$M,
  '[1]Hoja 1'!$S:$S, $A76,
  '[1]Hoja 1'!$R:$R, "&gt;="&amp;INT($AS$1),
  '[1]Hoja 1'!$R:$R, "&lt;"&amp;INT($AT$1+1)
)</f>
        <v>0</v>
      </c>
      <c r="AR76" s="1">
        <f t="shared" si="56"/>
        <v>0</v>
      </c>
      <c r="AS76" s="9">
        <f t="shared" si="57"/>
        <v>-0.41320428092866823</v>
      </c>
      <c r="AT76" s="10">
        <f t="shared" si="58"/>
        <v>0.41320428092866823</v>
      </c>
      <c r="AU76" s="1">
        <f>SUMIFS(
  '[1]Hoja 1'!$M:$M,
  '[1]Hoja 1'!$S:$S, $A76,
  '[1]Hoja 1'!$R:$R, "&gt;="&amp;INT($AW$1),
  '[1]Hoja 1'!$R:$R, "&lt;"&amp;INT($AX$1+1)
)</f>
        <v>0</v>
      </c>
      <c r="AV76" s="1">
        <f t="shared" si="59"/>
        <v>0</v>
      </c>
      <c r="AW76" s="9">
        <f t="shared" si="60"/>
        <v>-0.39642951912838631</v>
      </c>
      <c r="AX76" s="10">
        <f t="shared" si="61"/>
        <v>0.39642951912838631</v>
      </c>
    </row>
    <row r="77" spans="1:50" x14ac:dyDescent="0.25">
      <c r="A77" s="5">
        <v>210010</v>
      </c>
      <c r="B77" s="6" t="s">
        <v>74</v>
      </c>
      <c r="C77" s="1">
        <f>SUMIFS(
  '[1]Hoja 1'!$M:$M,
  '[1]Hoja 1'!$S:$S, $A77,
  '[1]Hoja 1'!$R:$R, "&gt;="&amp;INT($E$1),
  '[1]Hoja 1'!$R:$R, "&lt;"&amp;INT($F$1+1)
)</f>
        <v>3</v>
      </c>
      <c r="D77" s="1" t="str">
        <f>""</f>
        <v/>
      </c>
      <c r="F77" s="2"/>
      <c r="G77" s="1">
        <f>SUMIFS(
  '[1]Hoja 1'!$M:$M,
  '[1]Hoja 1'!$S:$S, $A77,
  '[1]Hoja 1'!$R:$R, "&gt;="&amp;INT($I$1),
  '[1]Hoja 1'!$R:$R, "&lt;"&amp;INT($J$1+1)
)</f>
        <v>3</v>
      </c>
      <c r="H77" s="1">
        <f t="shared" si="31"/>
        <v>3</v>
      </c>
      <c r="I77" s="1"/>
      <c r="J77" s="2"/>
      <c r="K77" s="1">
        <f>SUMIFS(
  '[1]Hoja 1'!$M:$M,
  '[1]Hoja 1'!$S:$S, $A77,
  '[1]Hoja 1'!$R:$R, "&gt;="&amp;INT($M$1),
  '[1]Hoja 1'!$R:$R, "&lt;"&amp;INT($N$1+1)
)</f>
        <v>0</v>
      </c>
      <c r="L77" s="1">
        <f t="shared" si="32"/>
        <v>1.5</v>
      </c>
      <c r="M77" s="9">
        <f t="shared" si="33"/>
        <v>-0.57889393668844935</v>
      </c>
      <c r="N77" s="10">
        <f t="shared" si="34"/>
        <v>3.5788939366884494</v>
      </c>
      <c r="O77" s="1">
        <f>SUMIFS(
  '[1]Hoja 1'!$M:$M,
  '[1]Hoja 1'!$S:$S, $A77,
  '[1]Hoja 1'!$R:$R, "&gt;="&amp;INT($Q$1),
  '[1]Hoja 1'!$R:$R, "&lt;"&amp;INT($R$1+1)
)</f>
        <v>0</v>
      </c>
      <c r="P77" s="1">
        <f t="shared" si="35"/>
        <v>0</v>
      </c>
      <c r="Q77" s="9">
        <f t="shared" si="36"/>
        <v>-1.6974097914174997</v>
      </c>
      <c r="R77" s="10">
        <f t="shared" si="37"/>
        <v>1.6974097914174997</v>
      </c>
      <c r="S77" s="1">
        <f>SUMIFS(
  '[1]Hoja 1'!$M:$M,
  '[1]Hoja 1'!$S:$S, $A77,
  '[1]Hoja 1'!$R:$R, "&gt;="&amp;INT($U$1),
  '[1]Hoja 1'!$R:$R, "&lt;"&amp;INT($V$1+1)
)</f>
        <v>0</v>
      </c>
      <c r="T77" s="1">
        <f t="shared" si="38"/>
        <v>0</v>
      </c>
      <c r="U77" s="9">
        <f t="shared" si="39"/>
        <v>-1.6974097914174997</v>
      </c>
      <c r="V77" s="10">
        <f t="shared" si="40"/>
        <v>1.6974097914174997</v>
      </c>
      <c r="W77" s="1">
        <f>SUMIFS(
  '[1]Hoja 1'!$M:$M,
  '[1]Hoja 1'!$S:$S, $A77,
  '[1]Hoja 1'!$R:$R, "&gt;="&amp;INT($Y$1),
  '[1]Hoja 1'!$R:$R, "&lt;"&amp;INT($Z$1+1)
)</f>
        <v>0</v>
      </c>
      <c r="X77" s="1">
        <f t="shared" si="41"/>
        <v>0</v>
      </c>
      <c r="Y77" s="9">
        <f t="shared" si="42"/>
        <v>-1.3148079707698763</v>
      </c>
      <c r="Z77" s="10">
        <f t="shared" si="43"/>
        <v>1.3148079707698763</v>
      </c>
      <c r="AA77" s="1">
        <f>SUMIFS(
  '[1]Hoja 1'!$M:$M,
  '[1]Hoja 1'!$S:$S, $A77,
  '[1]Hoja 1'!$R:$R, "&gt;="&amp;INT($AC$1),
  '[1]Hoja 1'!$R:$R, "&lt;"&amp;INT($AD$1+1)
)</f>
        <v>0</v>
      </c>
      <c r="AB77" s="1">
        <f t="shared" si="44"/>
        <v>0</v>
      </c>
      <c r="AC77" s="9">
        <f t="shared" si="45"/>
        <v>-1.2002499739637571</v>
      </c>
      <c r="AD77" s="10">
        <f t="shared" si="46"/>
        <v>1.2002499739637571</v>
      </c>
      <c r="AE77" s="1">
        <f>SUMIFS(
  '[1]Hoja 1'!$M:$M,
  '[1]Hoja 1'!$S:$S, $A77,
  '[1]Hoja 1'!$R:$R, "&gt;="&amp;INT($AG$1),
  '[1]Hoja 1'!$R:$R, "&lt;"&amp;INT($AH$1+1)
)</f>
        <v>0</v>
      </c>
      <c r="AF77" s="1">
        <f t="shared" si="47"/>
        <v>0</v>
      </c>
      <c r="AG77" s="9">
        <f t="shared" si="48"/>
        <v>-1.111215550647128</v>
      </c>
      <c r="AH77" s="10">
        <f t="shared" si="49"/>
        <v>1.111215550647128</v>
      </c>
      <c r="AI77" s="1">
        <f>SUMIFS(
  '[1]Hoja 1'!$M:$M,
  '[1]Hoja 1'!$S:$S, $A77,
  '[1]Hoja 1'!$R:$R, "&gt;="&amp;INT($AK$1),
  '[1]Hoja 1'!$R:$R, "&lt;"&amp;INT($AJ$1+1)
)</f>
        <v>0</v>
      </c>
      <c r="AJ77" s="1">
        <f t="shared" si="50"/>
        <v>0</v>
      </c>
      <c r="AK77" s="9">
        <f t="shared" si="51"/>
        <v>-1.0394469683442247</v>
      </c>
      <c r="AL77" s="10">
        <f t="shared" si="52"/>
        <v>1.0394469683442247</v>
      </c>
      <c r="AM77" s="1">
        <f>SUMIFS(
  '[1]Hoja 1'!$M:$M,
  '[1]Hoja 1'!$S:$S, $A77,
  '[1]Hoja 1'!$R:$R, "&gt;="&amp;INT($AO$1),
  '[1]Hoja 1'!$R:$R, "&lt;"&amp;INT($AP$1+1)
)</f>
        <v>0</v>
      </c>
      <c r="AN77" s="1">
        <f t="shared" si="53"/>
        <v>0</v>
      </c>
      <c r="AO77" s="9">
        <f t="shared" si="54"/>
        <v>-0.98</v>
      </c>
      <c r="AP77" s="10">
        <f t="shared" si="55"/>
        <v>0.98</v>
      </c>
      <c r="AQ77" s="1">
        <f>SUMIFS(
  '[1]Hoja 1'!$M:$M,
  '[1]Hoja 1'!$S:$S, $A77,
  '[1]Hoja 1'!$R:$R, "&gt;="&amp;INT($AS$1),
  '[1]Hoja 1'!$R:$R, "&lt;"&amp;INT($AT$1+1)
)</f>
        <v>0</v>
      </c>
      <c r="AR77" s="1">
        <f t="shared" si="56"/>
        <v>0</v>
      </c>
      <c r="AS77" s="9">
        <f t="shared" si="57"/>
        <v>-0.92970963208950352</v>
      </c>
      <c r="AT77" s="10">
        <f t="shared" si="58"/>
        <v>0.92970963208950352</v>
      </c>
      <c r="AU77" s="1">
        <f>SUMIFS(
  '[1]Hoja 1'!$M:$M,
  '[1]Hoja 1'!$S:$S, $A77,
  '[1]Hoja 1'!$R:$R, "&gt;="&amp;INT($AW$1),
  '[1]Hoja 1'!$R:$R, "&lt;"&amp;INT($AX$1+1)
)</f>
        <v>0</v>
      </c>
      <c r="AV77" s="1">
        <f t="shared" si="59"/>
        <v>0</v>
      </c>
      <c r="AW77" s="9">
        <f t="shared" si="60"/>
        <v>-0.88644335305862509</v>
      </c>
      <c r="AX77" s="10">
        <f t="shared" si="61"/>
        <v>0.88644335305862509</v>
      </c>
    </row>
    <row r="78" spans="1:50" x14ac:dyDescent="0.25">
      <c r="A78" s="5">
        <v>210012</v>
      </c>
      <c r="B78" s="6" t="s">
        <v>75</v>
      </c>
      <c r="C78" s="1">
        <f>SUMIFS(
  '[1]Hoja 1'!$M:$M,
  '[1]Hoja 1'!$S:$S, $A78,
  '[1]Hoja 1'!$R:$R, "&gt;="&amp;INT($E$1),
  '[1]Hoja 1'!$R:$R, "&lt;"&amp;INT($F$1+1)
)</f>
        <v>0</v>
      </c>
      <c r="D78" s="1" t="str">
        <f>""</f>
        <v/>
      </c>
      <c r="F78" s="2"/>
      <c r="G78" s="1">
        <f>SUMIFS(
  '[1]Hoja 1'!$M:$M,
  '[1]Hoja 1'!$S:$S, $A78,
  '[1]Hoja 1'!$R:$R, "&gt;="&amp;INT($I$1),
  '[1]Hoja 1'!$R:$R, "&lt;"&amp;INT($J$1+1)
)</f>
        <v>0</v>
      </c>
      <c r="H78" s="1">
        <f t="shared" si="31"/>
        <v>0</v>
      </c>
      <c r="I78" s="1"/>
      <c r="J78" s="2"/>
      <c r="K78" s="1">
        <f>SUMIFS(
  '[1]Hoja 1'!$M:$M,
  '[1]Hoja 1'!$S:$S, $A78,
  '[1]Hoja 1'!$R:$R, "&gt;="&amp;INT($M$1),
  '[1]Hoja 1'!$R:$R, "&lt;"&amp;INT($N$1+1)
)</f>
        <v>0</v>
      </c>
      <c r="L78" s="1">
        <f t="shared" si="32"/>
        <v>0</v>
      </c>
      <c r="M78" s="9">
        <f t="shared" si="33"/>
        <v>0</v>
      </c>
      <c r="N78" s="10">
        <f t="shared" si="34"/>
        <v>0</v>
      </c>
      <c r="O78" s="1">
        <f>SUMIFS(
  '[1]Hoja 1'!$M:$M,
  '[1]Hoja 1'!$S:$S, $A78,
  '[1]Hoja 1'!$R:$R, "&gt;="&amp;INT($Q$1),
  '[1]Hoja 1'!$R:$R, "&lt;"&amp;INT($R$1+1)
)</f>
        <v>0</v>
      </c>
      <c r="P78" s="1">
        <f t="shared" si="35"/>
        <v>0</v>
      </c>
      <c r="Q78" s="9">
        <f t="shared" si="36"/>
        <v>0</v>
      </c>
      <c r="R78" s="10">
        <f t="shared" si="37"/>
        <v>0</v>
      </c>
      <c r="S78" s="1">
        <f>SUMIFS(
  '[1]Hoja 1'!$M:$M,
  '[1]Hoja 1'!$S:$S, $A78,
  '[1]Hoja 1'!$R:$R, "&gt;="&amp;INT($U$1),
  '[1]Hoja 1'!$R:$R, "&lt;"&amp;INT($V$1+1)
)</f>
        <v>0</v>
      </c>
      <c r="T78" s="1">
        <f t="shared" si="38"/>
        <v>0</v>
      </c>
      <c r="U78" s="9">
        <f t="shared" si="39"/>
        <v>-1.47</v>
      </c>
      <c r="V78" s="10">
        <f t="shared" si="40"/>
        <v>1.47</v>
      </c>
      <c r="W78" s="1">
        <f>SUMIFS(
  '[1]Hoja 1'!$M:$M,
  '[1]Hoja 1'!$S:$S, $A78,
  '[1]Hoja 1'!$R:$R, "&gt;="&amp;INT($Y$1),
  '[1]Hoja 1'!$R:$R, "&lt;"&amp;INT($Z$1+1)
)</f>
        <v>0</v>
      </c>
      <c r="X78" s="1">
        <f t="shared" si="41"/>
        <v>0</v>
      </c>
      <c r="Y78" s="9">
        <f t="shared" si="42"/>
        <v>0</v>
      </c>
      <c r="Z78" s="10">
        <f t="shared" si="43"/>
        <v>0</v>
      </c>
      <c r="AA78" s="1">
        <f>SUMIFS(
  '[1]Hoja 1'!$M:$M,
  '[1]Hoja 1'!$S:$S, $A78,
  '[1]Hoja 1'!$R:$R, "&gt;="&amp;INT($AC$1),
  '[1]Hoja 1'!$R:$R, "&lt;"&amp;INT($AD$1+1)
)</f>
        <v>0</v>
      </c>
      <c r="AB78" s="1">
        <f t="shared" si="44"/>
        <v>0</v>
      </c>
      <c r="AC78" s="9">
        <f t="shared" si="45"/>
        <v>0</v>
      </c>
      <c r="AD78" s="10">
        <f t="shared" si="46"/>
        <v>0</v>
      </c>
      <c r="AE78" s="1">
        <f>SUMIFS(
  '[1]Hoja 1'!$M:$M,
  '[1]Hoja 1'!$S:$S, $A78,
  '[1]Hoja 1'!$R:$R, "&gt;="&amp;INT($AG$1),
  '[1]Hoja 1'!$R:$R, "&lt;"&amp;INT($AH$1+1)
)</f>
        <v>0</v>
      </c>
      <c r="AF78" s="1">
        <f t="shared" si="47"/>
        <v>0</v>
      </c>
      <c r="AG78" s="9">
        <f t="shared" si="48"/>
        <v>0</v>
      </c>
      <c r="AH78" s="10">
        <f t="shared" si="49"/>
        <v>0</v>
      </c>
      <c r="AI78" s="1">
        <f>SUMIFS(
  '[1]Hoja 1'!$M:$M,
  '[1]Hoja 1'!$S:$S, $A78,
  '[1]Hoja 1'!$R:$R, "&gt;="&amp;INT($AK$1),
  '[1]Hoja 1'!$R:$R, "&lt;"&amp;INT($AJ$1+1)
)</f>
        <v>0</v>
      </c>
      <c r="AJ78" s="1">
        <f t="shared" si="50"/>
        <v>0</v>
      </c>
      <c r="AK78" s="9">
        <f t="shared" si="51"/>
        <v>0</v>
      </c>
      <c r="AL78" s="10">
        <f t="shared" si="52"/>
        <v>0</v>
      </c>
      <c r="AM78" s="1">
        <f>SUMIFS(
  '[1]Hoja 1'!$M:$M,
  '[1]Hoja 1'!$S:$S, $A78,
  '[1]Hoja 1'!$R:$R, "&gt;="&amp;INT($AO$1),
  '[1]Hoja 1'!$R:$R, "&lt;"&amp;INT($AP$1+1)
)</f>
        <v>0</v>
      </c>
      <c r="AN78" s="1">
        <f t="shared" si="53"/>
        <v>0</v>
      </c>
      <c r="AO78" s="9">
        <f t="shared" si="54"/>
        <v>0</v>
      </c>
      <c r="AP78" s="10">
        <f t="shared" si="55"/>
        <v>0</v>
      </c>
      <c r="AQ78" s="1">
        <f>SUMIFS(
  '[1]Hoja 1'!$M:$M,
  '[1]Hoja 1'!$S:$S, $A78,
  '[1]Hoja 1'!$R:$R, "&gt;="&amp;INT($AS$1),
  '[1]Hoja 1'!$R:$R, "&lt;"&amp;INT($AT$1+1)
)</f>
        <v>0</v>
      </c>
      <c r="AR78" s="1">
        <f t="shared" si="56"/>
        <v>0</v>
      </c>
      <c r="AS78" s="9">
        <f t="shared" si="57"/>
        <v>0</v>
      </c>
      <c r="AT78" s="10">
        <f t="shared" si="58"/>
        <v>0</v>
      </c>
      <c r="AU78" s="1">
        <f>SUMIFS(
  '[1]Hoja 1'!$M:$M,
  '[1]Hoja 1'!$S:$S, $A78,
  '[1]Hoja 1'!$R:$R, "&gt;="&amp;INT($AW$1),
  '[1]Hoja 1'!$R:$R, "&lt;"&amp;INT($AX$1+1)
)</f>
        <v>0</v>
      </c>
      <c r="AV78" s="1">
        <f t="shared" si="59"/>
        <v>0</v>
      </c>
      <c r="AW78" s="9">
        <f t="shared" si="60"/>
        <v>0</v>
      </c>
      <c r="AX78" s="10">
        <f t="shared" si="61"/>
        <v>0</v>
      </c>
    </row>
    <row r="79" spans="1:50" x14ac:dyDescent="0.25">
      <c r="A79" s="5">
        <v>210013</v>
      </c>
      <c r="B79" s="6" t="s">
        <v>76</v>
      </c>
      <c r="C79" s="1">
        <f>SUMIFS(
  '[1]Hoja 1'!$M:$M,
  '[1]Hoja 1'!$S:$S, $A79,
  '[1]Hoja 1'!$R:$R, "&gt;="&amp;INT($E$1),
  '[1]Hoja 1'!$R:$R, "&lt;"&amp;INT($F$1+1)
)</f>
        <v>10</v>
      </c>
      <c r="D79" s="1" t="str">
        <f>""</f>
        <v/>
      </c>
      <c r="F79" s="2"/>
      <c r="G79" s="1">
        <f>SUMIFS(
  '[1]Hoja 1'!$M:$M,
  '[1]Hoja 1'!$S:$S, $A79,
  '[1]Hoja 1'!$R:$R, "&gt;="&amp;INT($I$1),
  '[1]Hoja 1'!$R:$R, "&lt;"&amp;INT($J$1+1)
)</f>
        <v>4</v>
      </c>
      <c r="H79" s="1">
        <f t="shared" si="31"/>
        <v>7</v>
      </c>
      <c r="I79" s="1"/>
      <c r="J79" s="2"/>
      <c r="K79" s="1">
        <f>SUMIFS(
  '[1]Hoja 1'!$M:$M,
  '[1]Hoja 1'!$S:$S, $A79,
  '[1]Hoja 1'!$R:$R, "&gt;="&amp;INT($M$1),
  '[1]Hoja 1'!$R:$R, "&lt;"&amp;INT($N$1+1)
)</f>
        <v>0</v>
      </c>
      <c r="L79" s="1">
        <f t="shared" si="32"/>
        <v>2</v>
      </c>
      <c r="M79" s="9">
        <f t="shared" si="33"/>
        <v>0.61407070887436688</v>
      </c>
      <c r="N79" s="10">
        <f t="shared" si="34"/>
        <v>3.3859292911256329</v>
      </c>
      <c r="O79" s="1">
        <f>SUMIFS(
  '[1]Hoja 1'!$M:$M,
  '[1]Hoja 1'!$S:$S, $A79,
  '[1]Hoja 1'!$R:$R, "&gt;="&amp;INT($Q$1),
  '[1]Hoja 1'!$R:$R, "&lt;"&amp;INT($R$1+1)
)</f>
        <v>0</v>
      </c>
      <c r="P79" s="1">
        <f t="shared" si="35"/>
        <v>0</v>
      </c>
      <c r="Q79" s="9">
        <f t="shared" si="36"/>
        <v>-2.9939494540378151</v>
      </c>
      <c r="R79" s="10">
        <f t="shared" si="37"/>
        <v>2.9939494540378151</v>
      </c>
      <c r="S79" s="1">
        <f>SUMIFS(
  '[1]Hoja 1'!$M:$M,
  '[1]Hoja 1'!$S:$S, $A79,
  '[1]Hoja 1'!$R:$R, "&gt;="&amp;INT($U$1),
  '[1]Hoja 1'!$R:$R, "&lt;"&amp;INT($V$1+1)
)</f>
        <v>0</v>
      </c>
      <c r="T79" s="1">
        <f t="shared" si="38"/>
        <v>0</v>
      </c>
      <c r="U79" s="9">
        <f t="shared" si="39"/>
        <v>-2.4500000000000002</v>
      </c>
      <c r="V79" s="10">
        <f t="shared" si="40"/>
        <v>2.4500000000000002</v>
      </c>
      <c r="W79" s="1">
        <f>SUMIFS(
  '[1]Hoja 1'!$M:$M,
  '[1]Hoja 1'!$S:$S, $A79,
  '[1]Hoja 1'!$R:$R, "&gt;="&amp;INT($Y$1),
  '[1]Hoja 1'!$R:$R, "&lt;"&amp;INT($Z$1+1)
)</f>
        <v>0</v>
      </c>
      <c r="X79" s="1">
        <f t="shared" si="41"/>
        <v>0</v>
      </c>
      <c r="Y79" s="9">
        <f t="shared" si="42"/>
        <v>-2.7718585822512662</v>
      </c>
      <c r="Z79" s="10">
        <f t="shared" si="43"/>
        <v>2.7718585822512662</v>
      </c>
      <c r="AA79" s="1">
        <f>SUMIFS(
  '[1]Hoja 1'!$M:$M,
  '[1]Hoja 1'!$S:$S, $A79,
  '[1]Hoja 1'!$R:$R, "&gt;="&amp;INT($AC$1),
  '[1]Hoja 1'!$R:$R, "&lt;"&amp;INT($AD$1+1)
)</f>
        <v>0</v>
      </c>
      <c r="AB79" s="1">
        <f t="shared" si="44"/>
        <v>0</v>
      </c>
      <c r="AC79" s="9">
        <f t="shared" si="45"/>
        <v>-2.6051538662172464</v>
      </c>
      <c r="AD79" s="10">
        <f t="shared" si="46"/>
        <v>2.6051538662172464</v>
      </c>
      <c r="AE79" s="1">
        <f>SUMIFS(
  '[1]Hoja 1'!$M:$M,
  '[1]Hoja 1'!$S:$S, $A79,
  '[1]Hoja 1'!$R:$R, "&gt;="&amp;INT($AG$1),
  '[1]Hoja 1'!$R:$R, "&lt;"&amp;INT($AH$1+1)
)</f>
        <v>0</v>
      </c>
      <c r="AF79" s="1">
        <f t="shared" si="47"/>
        <v>0</v>
      </c>
      <c r="AG79" s="9">
        <f t="shared" si="48"/>
        <v>-2.4569900284697939</v>
      </c>
      <c r="AH79" s="10">
        <f t="shared" si="49"/>
        <v>2.4569900284697939</v>
      </c>
      <c r="AI79" s="1">
        <f>SUMIFS(
  '[1]Hoja 1'!$M:$M,
  '[1]Hoja 1'!$S:$S, $A79,
  '[1]Hoja 1'!$R:$R, "&gt;="&amp;INT($AK$1),
  '[1]Hoja 1'!$R:$R, "&lt;"&amp;INT($AJ$1+1)
)</f>
        <v>0</v>
      </c>
      <c r="AJ79" s="1">
        <f t="shared" si="50"/>
        <v>0</v>
      </c>
      <c r="AK79" s="9">
        <f t="shared" si="51"/>
        <v>-2.3279604807642249</v>
      </c>
      <c r="AL79" s="10">
        <f t="shared" si="52"/>
        <v>2.3279604807642249</v>
      </c>
      <c r="AM79" s="1">
        <f>SUMIFS(
  '[1]Hoja 1'!$M:$M,
  '[1]Hoja 1'!$S:$S, $A79,
  '[1]Hoja 1'!$R:$R, "&gt;="&amp;INT($AO$1),
  '[1]Hoja 1'!$R:$R, "&lt;"&amp;INT($AP$1+1)
)</f>
        <v>0</v>
      </c>
      <c r="AN79" s="1">
        <f t="shared" si="53"/>
        <v>0</v>
      </c>
      <c r="AO79" s="9">
        <f t="shared" si="54"/>
        <v>-2.2155611278209206</v>
      </c>
      <c r="AP79" s="10">
        <f t="shared" si="55"/>
        <v>2.2155611278209206</v>
      </c>
      <c r="AQ79" s="1">
        <f>SUMIFS(
  '[1]Hoja 1'!$M:$M,
  '[1]Hoja 1'!$S:$S, $A79,
  '[1]Hoja 1'!$R:$R, "&gt;="&amp;INT($AS$1),
  '[1]Hoja 1'!$R:$R, "&lt;"&amp;INT($AT$1+1)
)</f>
        <v>0</v>
      </c>
      <c r="AR79" s="1">
        <f t="shared" si="56"/>
        <v>0</v>
      </c>
      <c r="AS79" s="9">
        <f t="shared" si="57"/>
        <v>-2.117041961479901</v>
      </c>
      <c r="AT79" s="10">
        <f t="shared" si="58"/>
        <v>2.117041961479901</v>
      </c>
      <c r="AU79" s="1">
        <f>SUMIFS(
  '[1]Hoja 1'!$M:$M,
  '[1]Hoja 1'!$S:$S, $A79,
  '[1]Hoja 1'!$R:$R, "&gt;="&amp;INT($AW$1),
  '[1]Hoja 1'!$R:$R, "&lt;"&amp;INT($AX$1+1)
)</f>
        <v>0</v>
      </c>
      <c r="AV79" s="1">
        <f t="shared" si="59"/>
        <v>0</v>
      </c>
      <c r="AW79" s="9">
        <f t="shared" si="60"/>
        <v>-2.0300219434550675</v>
      </c>
      <c r="AX79" s="10">
        <f t="shared" si="61"/>
        <v>2.0300219434550675</v>
      </c>
    </row>
    <row r="80" spans="1:50" x14ac:dyDescent="0.25">
      <c r="A80" s="5">
        <v>210014</v>
      </c>
      <c r="B80" s="6" t="s">
        <v>77</v>
      </c>
      <c r="C80" s="1">
        <f>SUMIFS(
  '[1]Hoja 1'!$M:$M,
  '[1]Hoja 1'!$S:$S, $A80,
  '[1]Hoja 1'!$R:$R, "&gt;="&amp;INT($E$1),
  '[1]Hoja 1'!$R:$R, "&lt;"&amp;INT($F$1+1)
)</f>
        <v>35</v>
      </c>
      <c r="D80" s="1" t="str">
        <f>""</f>
        <v/>
      </c>
      <c r="F80" s="2"/>
      <c r="G80" s="1">
        <f>SUMIFS(
  '[1]Hoja 1'!$M:$M,
  '[1]Hoja 1'!$S:$S, $A80,
  '[1]Hoja 1'!$R:$R, "&gt;="&amp;INT($I$1),
  '[1]Hoja 1'!$R:$R, "&lt;"&amp;INT($J$1+1)
)</f>
        <v>18</v>
      </c>
      <c r="H80" s="1">
        <f t="shared" si="31"/>
        <v>27</v>
      </c>
      <c r="I80" s="1"/>
      <c r="J80" s="2"/>
      <c r="K80" s="1">
        <f>SUMIFS(
  '[1]Hoja 1'!$M:$M,
  '[1]Hoja 1'!$S:$S, $A80,
  '[1]Hoja 1'!$R:$R, "&gt;="&amp;INT($M$1),
  '[1]Hoja 1'!$R:$R, "&lt;"&amp;INT($N$1+1)
)</f>
        <v>0</v>
      </c>
      <c r="L80" s="1">
        <f t="shared" si="32"/>
        <v>9</v>
      </c>
      <c r="M80" s="9">
        <f t="shared" si="33"/>
        <v>8.3070353544371827</v>
      </c>
      <c r="N80" s="10">
        <f t="shared" si="34"/>
        <v>9.6929646455628173</v>
      </c>
      <c r="O80" s="1">
        <f>SUMIFS(
  '[1]Hoja 1'!$M:$M,
  '[1]Hoja 1'!$S:$S, $A80,
  '[1]Hoja 1'!$R:$R, "&gt;="&amp;INT($Q$1),
  '[1]Hoja 1'!$R:$R, "&lt;"&amp;INT($R$1+1)
)</f>
        <v>0</v>
      </c>
      <c r="P80" s="1">
        <f t="shared" si="35"/>
        <v>0</v>
      </c>
      <c r="Q80" s="9">
        <f t="shared" si="36"/>
        <v>-9.913674058255765</v>
      </c>
      <c r="R80" s="10">
        <f t="shared" si="37"/>
        <v>9.913674058255765</v>
      </c>
      <c r="S80" s="1">
        <f>SUMIFS(
  '[1]Hoja 1'!$M:$M,
  '[1]Hoja 1'!$S:$S, $A80,
  '[1]Hoja 1'!$R:$R, "&gt;="&amp;INT($U$1),
  '[1]Hoja 1'!$R:$R, "&lt;"&amp;INT($V$1+1)
)</f>
        <v>0</v>
      </c>
      <c r="T80" s="1">
        <f t="shared" si="38"/>
        <v>0</v>
      </c>
      <c r="U80" s="9">
        <f t="shared" si="39"/>
        <v>-9.14083147202704</v>
      </c>
      <c r="V80" s="10">
        <f t="shared" si="40"/>
        <v>9.14083147202704</v>
      </c>
      <c r="W80" s="1">
        <f>SUMIFS(
  '[1]Hoja 1'!$M:$M,
  '[1]Hoja 1'!$S:$S, $A80,
  '[1]Hoja 1'!$R:$R, "&gt;="&amp;INT($Y$1),
  '[1]Hoja 1'!$R:$R, "&lt;"&amp;INT($Z$1+1)
)</f>
        <v>0</v>
      </c>
      <c r="X80" s="1">
        <f t="shared" si="41"/>
        <v>0</v>
      </c>
      <c r="Y80" s="9">
        <f t="shared" si="42"/>
        <v>-9.3998297856929298</v>
      </c>
      <c r="Z80" s="10">
        <f t="shared" si="43"/>
        <v>9.3998297856929298</v>
      </c>
      <c r="AA80" s="1">
        <f>SUMIFS(
  '[1]Hoja 1'!$M:$M,
  '[1]Hoja 1'!$S:$S, $A80,
  '[1]Hoja 1'!$R:$R, "&gt;="&amp;INT($AC$1),
  '[1]Hoja 1'!$R:$R, "&lt;"&amp;INT($AD$1+1)
)</f>
        <v>0</v>
      </c>
      <c r="AB80" s="1">
        <f t="shared" si="44"/>
        <v>0</v>
      </c>
      <c r="AC80" s="9">
        <f t="shared" si="45"/>
        <v>-8.8616424361777693</v>
      </c>
      <c r="AD80" s="10">
        <f t="shared" si="46"/>
        <v>8.8616424361777693</v>
      </c>
      <c r="AE80" s="1">
        <f>SUMIFS(
  '[1]Hoja 1'!$M:$M,
  '[1]Hoja 1'!$S:$S, $A80,
  '[1]Hoja 1'!$R:$R, "&gt;="&amp;INT($AG$1),
  '[1]Hoja 1'!$R:$R, "&lt;"&amp;INT($AH$1+1)
)</f>
        <v>0</v>
      </c>
      <c r="AF80" s="1">
        <f t="shared" si="47"/>
        <v>0</v>
      </c>
      <c r="AG80" s="9">
        <f t="shared" si="48"/>
        <v>-8.3731236704111804</v>
      </c>
      <c r="AH80" s="10">
        <f t="shared" si="49"/>
        <v>8.3731236704111804</v>
      </c>
      <c r="AI80" s="1">
        <f>SUMIFS(
  '[1]Hoja 1'!$M:$M,
  '[1]Hoja 1'!$S:$S, $A80,
  '[1]Hoja 1'!$R:$R, "&gt;="&amp;INT($AK$1),
  '[1]Hoja 1'!$R:$R, "&lt;"&amp;INT($AJ$1+1)
)</f>
        <v>0</v>
      </c>
      <c r="AJ80" s="1">
        <f t="shared" si="50"/>
        <v>0</v>
      </c>
      <c r="AK80" s="9">
        <f t="shared" si="51"/>
        <v>-7.9432266743433679</v>
      </c>
      <c r="AL80" s="10">
        <f t="shared" si="52"/>
        <v>7.9432266743433679</v>
      </c>
      <c r="AM80" s="1">
        <f>SUMIFS(
  '[1]Hoja 1'!$M:$M,
  '[1]Hoja 1'!$S:$S, $A80,
  '[1]Hoja 1'!$R:$R, "&gt;="&amp;INT($AO$1),
  '[1]Hoja 1'!$R:$R, "&lt;"&amp;INT($AP$1+1)
)</f>
        <v>0</v>
      </c>
      <c r="AN80" s="1">
        <f t="shared" si="53"/>
        <v>0</v>
      </c>
      <c r="AO80" s="9">
        <f t="shared" si="54"/>
        <v>-7.5664067503083068</v>
      </c>
      <c r="AP80" s="10">
        <f t="shared" si="55"/>
        <v>7.5664067503083068</v>
      </c>
      <c r="AQ80" s="1">
        <f>SUMIFS(
  '[1]Hoja 1'!$M:$M,
  '[1]Hoja 1'!$S:$S, $A80,
  '[1]Hoja 1'!$R:$R, "&gt;="&amp;INT($AS$1),
  '[1]Hoja 1'!$R:$R, "&lt;"&amp;INT($AT$1+1)
)</f>
        <v>0</v>
      </c>
      <c r="AR80" s="1">
        <f t="shared" si="56"/>
        <v>0</v>
      </c>
      <c r="AS80" s="9">
        <f t="shared" si="57"/>
        <v>-7.2347632995143663</v>
      </c>
      <c r="AT80" s="10">
        <f t="shared" si="58"/>
        <v>7.2347632995143663</v>
      </c>
      <c r="AU80" s="1">
        <f>SUMIFS(
  '[1]Hoja 1'!$M:$M,
  '[1]Hoja 1'!$S:$S, $A80,
  '[1]Hoja 1'!$R:$R, "&gt;="&amp;INT($AW$1),
  '[1]Hoja 1'!$R:$R, "&lt;"&amp;INT($AX$1+1)
)</f>
        <v>0</v>
      </c>
      <c r="AV80" s="1">
        <f t="shared" si="59"/>
        <v>0</v>
      </c>
      <c r="AW80" s="9">
        <f t="shared" si="60"/>
        <v>-6.9409766145432563</v>
      </c>
      <c r="AX80" s="10">
        <f t="shared" si="61"/>
        <v>6.9409766145432563</v>
      </c>
    </row>
    <row r="81" spans="1:50" x14ac:dyDescent="0.25">
      <c r="A81" s="5">
        <v>210015</v>
      </c>
      <c r="B81" s="6" t="s">
        <v>78</v>
      </c>
      <c r="C81" s="1">
        <f>SUMIFS(
  '[1]Hoja 1'!$M:$M,
  '[1]Hoja 1'!$S:$S, $A81,
  '[1]Hoja 1'!$R:$R, "&gt;="&amp;INT($E$1),
  '[1]Hoja 1'!$R:$R, "&lt;"&amp;INT($F$1+1)
)</f>
        <v>173</v>
      </c>
      <c r="D81" s="1" t="str">
        <f>""</f>
        <v/>
      </c>
      <c r="F81" s="2"/>
      <c r="G81" s="1">
        <f>SUMIFS(
  '[1]Hoja 1'!$M:$M,
  '[1]Hoja 1'!$S:$S, $A81,
  '[1]Hoja 1'!$R:$R, "&gt;="&amp;INT($I$1),
  '[1]Hoja 1'!$R:$R, "&lt;"&amp;INT($J$1+1)
)</f>
        <v>141</v>
      </c>
      <c r="H81" s="1">
        <f t="shared" si="31"/>
        <v>157</v>
      </c>
      <c r="I81" s="1"/>
      <c r="J81" s="2"/>
      <c r="K81" s="1">
        <f>SUMIFS(
  '[1]Hoja 1'!$M:$M,
  '[1]Hoja 1'!$S:$S, $A81,
  '[1]Hoja 1'!$R:$R, "&gt;="&amp;INT($M$1),
  '[1]Hoja 1'!$R:$R, "&lt;"&amp;INT($N$1+1)
)</f>
        <v>0</v>
      </c>
      <c r="L81" s="1">
        <f t="shared" si="32"/>
        <v>70.5</v>
      </c>
      <c r="M81" s="9">
        <f t="shared" si="33"/>
        <v>-5.0331463663469975</v>
      </c>
      <c r="N81" s="10">
        <f t="shared" si="34"/>
        <v>146.03314636634701</v>
      </c>
      <c r="O81" s="1">
        <f>SUMIFS(
  '[1]Hoja 1'!$M:$M,
  '[1]Hoja 1'!$S:$S, $A81,
  '[1]Hoja 1'!$R:$R, "&gt;="&amp;INT($Q$1),
  '[1]Hoja 1'!$R:$R, "&lt;"&amp;INT($R$1+1)
)</f>
        <v>0</v>
      </c>
      <c r="P81" s="1">
        <f t="shared" si="35"/>
        <v>0</v>
      </c>
      <c r="Q81" s="9">
        <f t="shared" si="36"/>
        <v>-72.442706557205142</v>
      </c>
      <c r="R81" s="10">
        <f t="shared" si="37"/>
        <v>72.442706557205142</v>
      </c>
      <c r="S81" s="1">
        <f>SUMIFS(
  '[1]Hoja 1'!$M:$M,
  '[1]Hoja 1'!$S:$S, $A81,
  '[1]Hoja 1'!$R:$R, "&gt;="&amp;INT($U$1),
  '[1]Hoja 1'!$R:$R, "&lt;"&amp;INT($V$1+1)
)</f>
        <v>0</v>
      </c>
      <c r="T81" s="1">
        <f t="shared" si="38"/>
        <v>0</v>
      </c>
      <c r="U81" s="9">
        <f t="shared" si="39"/>
        <v>-64.931933592031584</v>
      </c>
      <c r="V81" s="10">
        <f t="shared" si="40"/>
        <v>64.931933592031584</v>
      </c>
      <c r="W81" s="1">
        <f>SUMIFS(
  '[1]Hoja 1'!$M:$M,
  '[1]Hoja 1'!$S:$S, $A81,
  '[1]Hoja 1'!$R:$R, "&gt;="&amp;INT($Y$1),
  '[1]Hoja 1'!$R:$R, "&lt;"&amp;INT($Z$1+1)
)</f>
        <v>0</v>
      </c>
      <c r="X81" s="1">
        <f t="shared" si="41"/>
        <v>0</v>
      </c>
      <c r="Y81" s="9">
        <f t="shared" si="42"/>
        <v>-59.850646780130958</v>
      </c>
      <c r="Z81" s="10">
        <f t="shared" si="43"/>
        <v>59.850646780130958</v>
      </c>
      <c r="AA81" s="1">
        <f>SUMIFS(
  '[1]Hoja 1'!$M:$M,
  '[1]Hoja 1'!$S:$S, $A81,
  '[1]Hoja 1'!$R:$R, "&gt;="&amp;INT($AC$1),
  '[1]Hoja 1'!$R:$R, "&lt;"&amp;INT($AD$1+1)
)</f>
        <v>0</v>
      </c>
      <c r="AB81" s="1">
        <f t="shared" si="44"/>
        <v>0</v>
      </c>
      <c r="AC81" s="9">
        <f t="shared" si="45"/>
        <v>-55.292905030091028</v>
      </c>
      <c r="AD81" s="10">
        <f t="shared" si="46"/>
        <v>55.292905030091028</v>
      </c>
      <c r="AE81" s="1">
        <f>SUMIFS(
  '[1]Hoja 1'!$M:$M,
  '[1]Hoja 1'!$S:$S, $A81,
  '[1]Hoja 1'!$R:$R, "&gt;="&amp;INT($AG$1),
  '[1]Hoja 1'!$R:$R, "&lt;"&amp;INT($AH$1+1)
)</f>
        <v>0</v>
      </c>
      <c r="AF81" s="1">
        <f t="shared" si="47"/>
        <v>0</v>
      </c>
      <c r="AG81" s="9">
        <f t="shared" si="48"/>
        <v>-51.592801823510229</v>
      </c>
      <c r="AH81" s="10">
        <f t="shared" si="49"/>
        <v>51.592801823510229</v>
      </c>
      <c r="AI81" s="1">
        <f>SUMIFS(
  '[1]Hoja 1'!$M:$M,
  '[1]Hoja 1'!$S:$S, $A81,
  '[1]Hoja 1'!$R:$R, "&gt;="&amp;INT($AK$1),
  '[1]Hoja 1'!$R:$R, "&lt;"&amp;INT($AJ$1+1)
)</f>
        <v>0</v>
      </c>
      <c r="AJ81" s="1">
        <f t="shared" si="50"/>
        <v>0</v>
      </c>
      <c r="AK81" s="9">
        <f t="shared" si="51"/>
        <v>-48.527143435401179</v>
      </c>
      <c r="AL81" s="10">
        <f t="shared" si="52"/>
        <v>48.527143435401179</v>
      </c>
      <c r="AM81" s="1">
        <f>SUMIFS(
  '[1]Hoja 1'!$M:$M,
  '[1]Hoja 1'!$S:$S, $A81,
  '[1]Hoja 1'!$R:$R, "&gt;="&amp;INT($AO$1),
  '[1]Hoja 1'!$R:$R, "&lt;"&amp;INT($AP$1+1)
)</f>
        <v>0</v>
      </c>
      <c r="AN81" s="1">
        <f t="shared" si="53"/>
        <v>0</v>
      </c>
      <c r="AO81" s="9">
        <f t="shared" si="54"/>
        <v>-45.939369221229455</v>
      </c>
      <c r="AP81" s="10">
        <f t="shared" si="55"/>
        <v>45.939369221229455</v>
      </c>
      <c r="AQ81" s="1">
        <f>SUMIFS(
  '[1]Hoja 1'!$M:$M,
  '[1]Hoja 1'!$S:$S, $A81,
  '[1]Hoja 1'!$R:$R, "&gt;="&amp;INT($AS$1),
  '[1]Hoja 1'!$R:$R, "&lt;"&amp;INT($AT$1+1)
)</f>
        <v>0</v>
      </c>
      <c r="AR81" s="1">
        <f t="shared" si="56"/>
        <v>0</v>
      </c>
      <c r="AS81" s="9">
        <f t="shared" si="57"/>
        <v>-43.719790636888156</v>
      </c>
      <c r="AT81" s="10">
        <f t="shared" si="58"/>
        <v>43.719790636888156</v>
      </c>
      <c r="AU81" s="1">
        <f>SUMIFS(
  '[1]Hoja 1'!$M:$M,
  '[1]Hoja 1'!$S:$S, $A81,
  '[1]Hoja 1'!$R:$R, "&gt;="&amp;INT($AW$1),
  '[1]Hoja 1'!$R:$R, "&lt;"&amp;INT($AX$1+1)
)</f>
        <v>0</v>
      </c>
      <c r="AV81" s="1">
        <f t="shared" si="59"/>
        <v>0</v>
      </c>
      <c r="AW81" s="9">
        <f t="shared" si="60"/>
        <v>-41.790056494555991</v>
      </c>
      <c r="AX81" s="10">
        <f t="shared" si="61"/>
        <v>41.790056494555991</v>
      </c>
    </row>
    <row r="82" spans="1:50" x14ac:dyDescent="0.25">
      <c r="A82" s="5">
        <v>212002</v>
      </c>
      <c r="B82" s="6" t="s">
        <v>79</v>
      </c>
      <c r="C82" s="1">
        <f>SUMIFS(
  '[1]Hoja 1'!$M:$M,
  '[1]Hoja 1'!$S:$S, $A82,
  '[1]Hoja 1'!$R:$R, "&gt;="&amp;INT($E$1),
  '[1]Hoja 1'!$R:$R, "&lt;"&amp;INT($F$1+1)
)</f>
        <v>68</v>
      </c>
      <c r="D82" s="1" t="str">
        <f>""</f>
        <v/>
      </c>
      <c r="F82" s="2"/>
      <c r="G82" s="1">
        <f>SUMIFS(
  '[1]Hoja 1'!$M:$M,
  '[1]Hoja 1'!$S:$S, $A82,
  '[1]Hoja 1'!$R:$R, "&gt;="&amp;INT($I$1),
  '[1]Hoja 1'!$R:$R, "&lt;"&amp;INT($J$1+1)
)</f>
        <v>31</v>
      </c>
      <c r="H82" s="1">
        <f t="shared" si="31"/>
        <v>50</v>
      </c>
      <c r="I82" s="1"/>
      <c r="J82" s="2"/>
      <c r="K82" s="1">
        <f>SUMIFS(
  '[1]Hoja 1'!$M:$M,
  '[1]Hoja 1'!$S:$S, $A82,
  '[1]Hoja 1'!$R:$R, "&gt;="&amp;INT($M$1),
  '[1]Hoja 1'!$R:$R, "&lt;"&amp;INT($N$1+1)
)</f>
        <v>0</v>
      </c>
      <c r="L82" s="1">
        <f t="shared" si="32"/>
        <v>15.5</v>
      </c>
      <c r="M82" s="9">
        <f t="shared" si="33"/>
        <v>11.342212126623101</v>
      </c>
      <c r="N82" s="10">
        <f t="shared" si="34"/>
        <v>19.657787873376897</v>
      </c>
      <c r="O82" s="1">
        <f>SUMIFS(
  '[1]Hoja 1'!$M:$M,
  '[1]Hoja 1'!$S:$S, $A82,
  '[1]Hoja 1'!$R:$R, "&gt;="&amp;INT($Q$1),
  '[1]Hoja 1'!$R:$R, "&lt;"&amp;INT($R$1+1)
)</f>
        <v>0</v>
      </c>
      <c r="P82" s="1">
        <f t="shared" si="35"/>
        <v>0</v>
      </c>
      <c r="Q82" s="9">
        <f t="shared" si="36"/>
        <v>-19.460671451245801</v>
      </c>
      <c r="R82" s="10">
        <f t="shared" si="37"/>
        <v>19.460671451245801</v>
      </c>
      <c r="S82" s="1">
        <f>SUMIFS(
  '[1]Hoja 1'!$M:$M,
  '[1]Hoja 1'!$S:$S, $A82,
  '[1]Hoja 1'!$R:$R, "&gt;="&amp;INT($U$1),
  '[1]Hoja 1'!$R:$R, "&lt;"&amp;INT($V$1+1)
)</f>
        <v>0</v>
      </c>
      <c r="T82" s="1">
        <f t="shared" si="38"/>
        <v>0</v>
      </c>
      <c r="U82" s="9">
        <f t="shared" si="39"/>
        <v>-18.583428998258995</v>
      </c>
      <c r="V82" s="10">
        <f t="shared" si="40"/>
        <v>18.583428998258995</v>
      </c>
      <c r="W82" s="1">
        <f>SUMIFS(
  '[1]Hoja 1'!$M:$M,
  '[1]Hoja 1'!$S:$S, $A82,
  '[1]Hoja 1'!$R:$R, "&gt;="&amp;INT($Y$1),
  '[1]Hoja 1'!$R:$R, "&lt;"&amp;INT($Z$1+1)
)</f>
        <v>0</v>
      </c>
      <c r="X82" s="1">
        <f t="shared" si="41"/>
        <v>0</v>
      </c>
      <c r="Y82" s="9">
        <f t="shared" si="42"/>
        <v>-18.368138718988376</v>
      </c>
      <c r="Z82" s="10">
        <f t="shared" si="43"/>
        <v>18.368138718988376</v>
      </c>
      <c r="AA82" s="1">
        <f>SUMIFS(
  '[1]Hoja 1'!$M:$M,
  '[1]Hoja 1'!$S:$S, $A82,
  '[1]Hoja 1'!$R:$R, "&gt;="&amp;INT($AC$1),
  '[1]Hoja 1'!$R:$R, "&lt;"&amp;INT($AD$1+1)
)</f>
        <v>0</v>
      </c>
      <c r="AB82" s="1">
        <f t="shared" si="44"/>
        <v>0</v>
      </c>
      <c r="AC82" s="9">
        <f t="shared" si="45"/>
        <v>-17.306552131105338</v>
      </c>
      <c r="AD82" s="10">
        <f t="shared" si="46"/>
        <v>17.306552131105338</v>
      </c>
      <c r="AE82" s="1">
        <f>SUMIFS(
  '[1]Hoja 1'!$M:$M,
  '[1]Hoja 1'!$S:$S, $A82,
  '[1]Hoja 1'!$R:$R, "&gt;="&amp;INT($AG$1),
  '[1]Hoja 1'!$R:$R, "&lt;"&amp;INT($AH$1+1)
)</f>
        <v>0</v>
      </c>
      <c r="AF82" s="1">
        <f t="shared" si="47"/>
        <v>0</v>
      </c>
      <c r="AG82" s="9">
        <f t="shared" si="48"/>
        <v>-16.34686106464072</v>
      </c>
      <c r="AH82" s="10">
        <f t="shared" si="49"/>
        <v>16.34686106464072</v>
      </c>
      <c r="AI82" s="1">
        <f>SUMIFS(
  '[1]Hoja 1'!$M:$M,
  '[1]Hoja 1'!$S:$S, $A82,
  '[1]Hoja 1'!$R:$R, "&gt;="&amp;INT($AK$1),
  '[1]Hoja 1'!$R:$R, "&lt;"&amp;INT($AJ$1+1)
)</f>
        <v>0</v>
      </c>
      <c r="AJ82" s="1">
        <f t="shared" si="50"/>
        <v>0</v>
      </c>
      <c r="AK82" s="9">
        <f t="shared" si="51"/>
        <v>-15.504012383895983</v>
      </c>
      <c r="AL82" s="10">
        <f t="shared" si="52"/>
        <v>15.504012383895983</v>
      </c>
      <c r="AM82" s="1">
        <f>SUMIFS(
  '[1]Hoja 1'!$M:$M,
  '[1]Hoja 1'!$S:$S, $A82,
  '[1]Hoja 1'!$R:$R, "&gt;="&amp;INT($AO$1),
  '[1]Hoja 1'!$R:$R, "&lt;"&amp;INT($AP$1+1)
)</f>
        <v>0</v>
      </c>
      <c r="AN82" s="1">
        <f t="shared" si="53"/>
        <v>0</v>
      </c>
      <c r="AO82" s="9">
        <f t="shared" si="54"/>
        <v>-14.766092163391701</v>
      </c>
      <c r="AP82" s="10">
        <f t="shared" si="55"/>
        <v>14.766092163391701</v>
      </c>
      <c r="AQ82" s="1">
        <f>SUMIFS(
  '[1]Hoja 1'!$M:$M,
  '[1]Hoja 1'!$S:$S, $A82,
  '[1]Hoja 1'!$R:$R, "&gt;="&amp;INT($AS$1),
  '[1]Hoja 1'!$R:$R, "&lt;"&amp;INT($AT$1+1)
)</f>
        <v>0</v>
      </c>
      <c r="AR82" s="1">
        <f t="shared" si="56"/>
        <v>0</v>
      </c>
      <c r="AS82" s="9">
        <f t="shared" si="57"/>
        <v>-14.117141038861625</v>
      </c>
      <c r="AT82" s="10">
        <f t="shared" si="58"/>
        <v>14.117141038861625</v>
      </c>
      <c r="AU82" s="1">
        <f>SUMIFS(
  '[1]Hoja 1'!$M:$M,
  '[1]Hoja 1'!$S:$S, $A82,
  '[1]Hoja 1'!$R:$R, "&gt;="&amp;INT($AW$1),
  '[1]Hoja 1'!$R:$R, "&lt;"&amp;INT($AX$1+1)
)</f>
        <v>0</v>
      </c>
      <c r="AV82" s="1">
        <f t="shared" si="59"/>
        <v>0</v>
      </c>
      <c r="AW82" s="9">
        <f t="shared" si="60"/>
        <v>-13.542580122105106</v>
      </c>
      <c r="AX82" s="10">
        <f t="shared" si="61"/>
        <v>13.542580122105106</v>
      </c>
    </row>
    <row r="83" spans="1:50" x14ac:dyDescent="0.25">
      <c r="A83" s="5">
        <v>212010</v>
      </c>
      <c r="B83" s="6" t="s">
        <v>80</v>
      </c>
      <c r="C83" s="1">
        <f>SUMIFS(
  '[1]Hoja 1'!$M:$M,
  '[1]Hoja 1'!$S:$S, $A83,
  '[1]Hoja 1'!$R:$R, "&gt;="&amp;INT($E$1),
  '[1]Hoja 1'!$R:$R, "&lt;"&amp;INT($F$1+1)
)</f>
        <v>178</v>
      </c>
      <c r="D83" s="1" t="str">
        <f>""</f>
        <v/>
      </c>
      <c r="F83" s="2"/>
      <c r="G83" s="1">
        <f>SUMIFS(
  '[1]Hoja 1'!$M:$M,
  '[1]Hoja 1'!$S:$S, $A83,
  '[1]Hoja 1'!$R:$R, "&gt;="&amp;INT($I$1),
  '[1]Hoja 1'!$R:$R, "&lt;"&amp;INT($J$1+1)
)</f>
        <v>92</v>
      </c>
      <c r="H83" s="1">
        <f t="shared" si="31"/>
        <v>135</v>
      </c>
      <c r="I83" s="1"/>
      <c r="J83" s="2"/>
      <c r="K83" s="1">
        <f>SUMIFS(
  '[1]Hoja 1'!$M:$M,
  '[1]Hoja 1'!$S:$S, $A83,
  '[1]Hoja 1'!$R:$R, "&gt;="&amp;INT($M$1),
  '[1]Hoja 1'!$R:$R, "&lt;"&amp;INT($N$1+1)
)</f>
        <v>0</v>
      </c>
      <c r="L83" s="1">
        <f t="shared" si="32"/>
        <v>46</v>
      </c>
      <c r="M83" s="9">
        <f t="shared" si="33"/>
        <v>41.842212126623103</v>
      </c>
      <c r="N83" s="10">
        <f t="shared" si="34"/>
        <v>50.157787873376897</v>
      </c>
      <c r="O83" s="1">
        <f>SUMIFS(
  '[1]Hoja 1'!$M:$M,
  '[1]Hoja 1'!$S:$S, $A83,
  '[1]Hoja 1'!$R:$R, "&gt;="&amp;INT($Q$1),
  '[1]Hoja 1'!$R:$R, "&lt;"&amp;INT($R$1+1)
)</f>
        <v>0</v>
      </c>
      <c r="P83" s="1">
        <f t="shared" si="35"/>
        <v>0</v>
      </c>
      <c r="Q83" s="9">
        <f t="shared" si="36"/>
        <v>-50.442241557382566</v>
      </c>
      <c r="R83" s="10">
        <f t="shared" si="37"/>
        <v>50.442241557382566</v>
      </c>
      <c r="S83" s="1">
        <f>SUMIFS(
  '[1]Hoja 1'!$M:$M,
  '[1]Hoja 1'!$S:$S, $A83,
  '[1]Hoja 1'!$R:$R, "&gt;="&amp;INT($U$1),
  '[1]Hoja 1'!$R:$R, "&lt;"&amp;INT($V$1+1)
)</f>
        <v>0</v>
      </c>
      <c r="T83" s="1">
        <f t="shared" si="38"/>
        <v>0</v>
      </c>
      <c r="U83" s="9">
        <f t="shared" si="39"/>
        <v>-49.58047834917825</v>
      </c>
      <c r="V83" s="10">
        <f t="shared" si="40"/>
        <v>49.58047834917825</v>
      </c>
      <c r="W83" s="1">
        <f>SUMIFS(
  '[1]Hoja 1'!$M:$M,
  '[1]Hoja 1'!$S:$S, $A83,
  '[1]Hoja 1'!$R:$R, "&gt;="&amp;INT($Y$1),
  '[1]Hoja 1'!$R:$R, "&lt;"&amp;INT($Z$1+1)
)</f>
        <v>0</v>
      </c>
      <c r="X83" s="1">
        <f t="shared" si="41"/>
        <v>0</v>
      </c>
      <c r="Y83" s="9">
        <f t="shared" si="42"/>
        <v>-47.81757333867958</v>
      </c>
      <c r="Z83" s="10">
        <f t="shared" si="43"/>
        <v>47.81757333867958</v>
      </c>
      <c r="AA83" s="1">
        <f>SUMIFS(
  '[1]Hoja 1'!$M:$M,
  '[1]Hoja 1'!$S:$S, $A83,
  '[1]Hoja 1'!$R:$R, "&gt;="&amp;INT($AC$1),
  '[1]Hoja 1'!$R:$R, "&lt;"&amp;INT($AD$1+1)
)</f>
        <v>0</v>
      </c>
      <c r="AB83" s="1">
        <f t="shared" si="44"/>
        <v>0</v>
      </c>
      <c r="AC83" s="9">
        <f t="shared" si="45"/>
        <v>-45.078579687770407</v>
      </c>
      <c r="AD83" s="10">
        <f t="shared" si="46"/>
        <v>45.078579687770407</v>
      </c>
      <c r="AE83" s="1">
        <f>SUMIFS(
  '[1]Hoja 1'!$M:$M,
  '[1]Hoja 1'!$S:$S, $A83,
  '[1]Hoja 1'!$R:$R, "&gt;="&amp;INT($AG$1),
  '[1]Hoja 1'!$R:$R, "&lt;"&amp;INT($AH$1+1)
)</f>
        <v>0</v>
      </c>
      <c r="AF83" s="1">
        <f t="shared" si="47"/>
        <v>0</v>
      </c>
      <c r="AG83" s="9">
        <f t="shared" si="48"/>
        <v>-42.592838208631584</v>
      </c>
      <c r="AH83" s="10">
        <f t="shared" si="49"/>
        <v>42.592838208631584</v>
      </c>
      <c r="AI83" s="1">
        <f>SUMIFS(
  '[1]Hoja 1'!$M:$M,
  '[1]Hoja 1'!$S:$S, $A83,
  '[1]Hoja 1'!$R:$R, "&gt;="&amp;INT($AK$1),
  '[1]Hoja 1'!$R:$R, "&lt;"&amp;INT($AJ$1+1)
)</f>
        <v>0</v>
      </c>
      <c r="AJ83" s="1">
        <f t="shared" si="50"/>
        <v>0</v>
      </c>
      <c r="AK83" s="9">
        <f t="shared" si="51"/>
        <v>-40.405586247448504</v>
      </c>
      <c r="AL83" s="10">
        <f t="shared" si="52"/>
        <v>40.405586247448504</v>
      </c>
      <c r="AM83" s="1">
        <f>SUMIFS(
  '[1]Hoja 1'!$M:$M,
  '[1]Hoja 1'!$S:$S, $A83,
  '[1]Hoja 1'!$R:$R, "&gt;="&amp;INT($AO$1),
  '[1]Hoja 1'!$R:$R, "&lt;"&amp;INT($AP$1+1)
)</f>
        <v>0</v>
      </c>
      <c r="AN83" s="1">
        <f t="shared" si="53"/>
        <v>0</v>
      </c>
      <c r="AO83" s="9">
        <f t="shared" si="54"/>
        <v>-38.488487167521207</v>
      </c>
      <c r="AP83" s="10">
        <f t="shared" si="55"/>
        <v>38.488487167521207</v>
      </c>
      <c r="AQ83" s="1">
        <f>SUMIFS(
  '[1]Hoja 1'!$M:$M,
  '[1]Hoja 1'!$S:$S, $A83,
  '[1]Hoja 1'!$R:$R, "&gt;="&amp;INT($AS$1),
  '[1]Hoja 1'!$R:$R, "&lt;"&amp;INT($AT$1+1)
)</f>
        <v>0</v>
      </c>
      <c r="AR83" s="1">
        <f t="shared" si="56"/>
        <v>0</v>
      </c>
      <c r="AS83" s="9">
        <f t="shared" si="57"/>
        <v>-36.801287175556482</v>
      </c>
      <c r="AT83" s="10">
        <f t="shared" si="58"/>
        <v>36.801287175556482</v>
      </c>
      <c r="AU83" s="1">
        <f>SUMIFS(
  '[1]Hoja 1'!$M:$M,
  '[1]Hoja 1'!$S:$S, $A83,
  '[1]Hoja 1'!$R:$R, "&gt;="&amp;INT($AW$1),
  '[1]Hoja 1'!$R:$R, "&lt;"&amp;INT($AX$1+1)
)</f>
        <v>0</v>
      </c>
      <c r="AV83" s="1">
        <f t="shared" si="59"/>
        <v>0</v>
      </c>
      <c r="AW83" s="9">
        <f t="shared" si="60"/>
        <v>-35.306717156422749</v>
      </c>
      <c r="AX83" s="10">
        <f t="shared" si="61"/>
        <v>35.306717156422749</v>
      </c>
    </row>
    <row r="84" spans="1:50" x14ac:dyDescent="0.25">
      <c r="A84" s="5">
        <v>212035</v>
      </c>
      <c r="B84" s="6" t="s">
        <v>81</v>
      </c>
      <c r="C84" s="1">
        <f>SUMIFS(
  '[1]Hoja 1'!$M:$M,
  '[1]Hoja 1'!$S:$S, $A84,
  '[1]Hoja 1'!$R:$R, "&gt;="&amp;INT($E$1),
  '[1]Hoja 1'!$R:$R, "&lt;"&amp;INT($F$1+1)
)</f>
        <v>86</v>
      </c>
      <c r="D84" s="1" t="str">
        <f>""</f>
        <v/>
      </c>
      <c r="F84" s="2"/>
      <c r="G84" s="1">
        <f>SUMIFS(
  '[1]Hoja 1'!$M:$M,
  '[1]Hoja 1'!$S:$S, $A84,
  '[1]Hoja 1'!$R:$R, "&gt;="&amp;INT($I$1),
  '[1]Hoja 1'!$R:$R, "&lt;"&amp;INT($J$1+1)
)</f>
        <v>58</v>
      </c>
      <c r="H84" s="1">
        <f t="shared" si="31"/>
        <v>72</v>
      </c>
      <c r="I84" s="1"/>
      <c r="J84" s="2"/>
      <c r="K84" s="1">
        <f>SUMIFS(
  '[1]Hoja 1'!$M:$M,
  '[1]Hoja 1'!$S:$S, $A84,
  '[1]Hoja 1'!$R:$R, "&gt;="&amp;INT($M$1),
  '[1]Hoja 1'!$R:$R, "&lt;"&amp;INT($N$1+1)
)</f>
        <v>0</v>
      </c>
      <c r="L84" s="1">
        <f t="shared" si="32"/>
        <v>29</v>
      </c>
      <c r="M84" s="9">
        <f t="shared" si="33"/>
        <v>8.2110606331155012</v>
      </c>
      <c r="N84" s="10">
        <f t="shared" si="34"/>
        <v>49.788939366884499</v>
      </c>
      <c r="O84" s="1">
        <f>SUMIFS(
  '[1]Hoja 1'!$M:$M,
  '[1]Hoja 1'!$S:$S, $A84,
  '[1]Hoja 1'!$R:$R, "&gt;="&amp;INT($Q$1),
  '[1]Hoja 1'!$R:$R, "&lt;"&amp;INT($R$1+1)
)</f>
        <v>0</v>
      </c>
      <c r="P84" s="1">
        <f t="shared" si="35"/>
        <v>0</v>
      </c>
      <c r="Q84" s="9">
        <f t="shared" si="36"/>
        <v>-28.425631625934599</v>
      </c>
      <c r="R84" s="10">
        <f t="shared" si="37"/>
        <v>28.425631625934599</v>
      </c>
      <c r="S84" s="1">
        <f>SUMIFS(
  '[1]Hoja 1'!$M:$M,
  '[1]Hoja 1'!$S:$S, $A84,
  '[1]Hoja 1'!$R:$R, "&gt;="&amp;INT($U$1),
  '[1]Hoja 1'!$R:$R, "&lt;"&amp;INT($V$1+1)
)</f>
        <v>0</v>
      </c>
      <c r="T84" s="1">
        <f t="shared" si="38"/>
        <v>0</v>
      </c>
      <c r="U84" s="9">
        <f t="shared" si="39"/>
        <v>-26.397921003998274</v>
      </c>
      <c r="V84" s="10">
        <f t="shared" si="40"/>
        <v>26.397921003998274</v>
      </c>
      <c r="W84" s="1">
        <f>SUMIFS(
  '[1]Hoja 1'!$M:$M,
  '[1]Hoja 1'!$S:$S, $A84,
  '[1]Hoja 1'!$R:$R, "&gt;="&amp;INT($Y$1),
  '[1]Hoja 1'!$R:$R, "&lt;"&amp;INT($Z$1+1)
)</f>
        <v>0</v>
      </c>
      <c r="X84" s="1">
        <f t="shared" si="41"/>
        <v>0</v>
      </c>
      <c r="Y84" s="9">
        <f t="shared" si="42"/>
        <v>-25.31361056822989</v>
      </c>
      <c r="Z84" s="10">
        <f t="shared" si="43"/>
        <v>25.31361056822989</v>
      </c>
      <c r="AA84" s="1">
        <f>SUMIFS(
  '[1]Hoja 1'!$M:$M,
  '[1]Hoja 1'!$S:$S, $A84,
  '[1]Hoja 1'!$R:$R, "&gt;="&amp;INT($AC$1),
  '[1]Hoja 1'!$R:$R, "&lt;"&amp;INT($AD$1+1)
)</f>
        <v>0</v>
      </c>
      <c r="AB84" s="1">
        <f t="shared" si="44"/>
        <v>0</v>
      </c>
      <c r="AC84" s="9">
        <f t="shared" si="45"/>
        <v>-23.663837953017396</v>
      </c>
      <c r="AD84" s="10">
        <f t="shared" si="46"/>
        <v>23.663837953017396</v>
      </c>
      <c r="AE84" s="1">
        <f>SUMIFS(
  '[1]Hoja 1'!$M:$M,
  '[1]Hoja 1'!$S:$S, $A84,
  '[1]Hoja 1'!$R:$R, "&gt;="&amp;INT($AG$1),
  '[1]Hoja 1'!$R:$R, "&lt;"&amp;INT($AH$1+1)
)</f>
        <v>0</v>
      </c>
      <c r="AF84" s="1">
        <f t="shared" si="47"/>
        <v>0</v>
      </c>
      <c r="AG84" s="9">
        <f t="shared" si="48"/>
        <v>-22.244879560623982</v>
      </c>
      <c r="AH84" s="10">
        <f t="shared" si="49"/>
        <v>22.244879560623982</v>
      </c>
      <c r="AI84" s="1">
        <f>SUMIFS(
  '[1]Hoja 1'!$M:$M,
  '[1]Hoja 1'!$S:$S, $A84,
  '[1]Hoja 1'!$R:$R, "&gt;="&amp;INT($AK$1),
  '[1]Hoja 1'!$R:$R, "&lt;"&amp;INT($AJ$1+1)
)</f>
        <v>0</v>
      </c>
      <c r="AJ84" s="1">
        <f t="shared" si="50"/>
        <v>0</v>
      </c>
      <c r="AK84" s="9">
        <f t="shared" si="51"/>
        <v>-21.030078459197433</v>
      </c>
      <c r="AL84" s="10">
        <f t="shared" si="52"/>
        <v>21.030078459197433</v>
      </c>
      <c r="AM84" s="1">
        <f>SUMIFS(
  '[1]Hoja 1'!$M:$M,
  '[1]Hoja 1'!$S:$S, $A84,
  '[1]Hoja 1'!$R:$R, "&gt;="&amp;INT($AO$1),
  '[1]Hoja 1'!$R:$R, "&lt;"&amp;INT($AP$1+1)
)</f>
        <v>0</v>
      </c>
      <c r="AN84" s="1">
        <f t="shared" si="53"/>
        <v>0</v>
      </c>
      <c r="AO84" s="9">
        <f t="shared" si="54"/>
        <v>-19.98281706311144</v>
      </c>
      <c r="AP84" s="10">
        <f t="shared" si="55"/>
        <v>19.98281706311144</v>
      </c>
      <c r="AQ84" s="1">
        <f>SUMIFS(
  '[1]Hoja 1'!$M:$M,
  '[1]Hoja 1'!$S:$S, $A84,
  '[1]Hoja 1'!$R:$R, "&gt;="&amp;INT($AS$1),
  '[1]Hoja 1'!$R:$R, "&lt;"&amp;INT($AT$1+1)
)</f>
        <v>0</v>
      </c>
      <c r="AR84" s="1">
        <f t="shared" si="56"/>
        <v>0</v>
      </c>
      <c r="AS84" s="9">
        <f t="shared" si="57"/>
        <v>-19.071291280642512</v>
      </c>
      <c r="AT84" s="10">
        <f t="shared" si="58"/>
        <v>19.071291280642512</v>
      </c>
      <c r="AU84" s="1">
        <f>SUMIFS(
  '[1]Hoja 1'!$M:$M,
  '[1]Hoja 1'!$S:$S, $A84,
  '[1]Hoja 1'!$R:$R, "&gt;="&amp;INT($AW$1),
  '[1]Hoja 1'!$R:$R, "&lt;"&amp;INT($AX$1+1)
)</f>
        <v>0</v>
      </c>
      <c r="AV84" s="1">
        <f t="shared" si="59"/>
        <v>0</v>
      </c>
      <c r="AW84" s="9">
        <f t="shared" si="60"/>
        <v>-18.270197491095608</v>
      </c>
      <c r="AX84" s="10">
        <f t="shared" si="61"/>
        <v>18.270197491095608</v>
      </c>
    </row>
    <row r="85" spans="1:50" x14ac:dyDescent="0.25">
      <c r="A85" s="5">
        <v>213002</v>
      </c>
      <c r="B85" s="6" t="s">
        <v>82</v>
      </c>
      <c r="C85" s="1">
        <f>SUMIFS(
  '[1]Hoja 1'!$M:$M,
  '[1]Hoja 1'!$S:$S, $A85,
  '[1]Hoja 1'!$R:$R, "&gt;="&amp;INT($E$1),
  '[1]Hoja 1'!$R:$R, "&lt;"&amp;INT($F$1+1)
)</f>
        <v>233</v>
      </c>
      <c r="D85" s="1" t="str">
        <f>""</f>
        <v/>
      </c>
      <c r="F85" s="2"/>
      <c r="G85" s="1">
        <f>SUMIFS(
  '[1]Hoja 1'!$M:$M,
  '[1]Hoja 1'!$S:$S, $A85,
  '[1]Hoja 1'!$R:$R, "&gt;="&amp;INT($I$1),
  '[1]Hoja 1'!$R:$R, "&lt;"&amp;INT($J$1+1)
)</f>
        <v>128</v>
      </c>
      <c r="H85" s="1">
        <f t="shared" si="31"/>
        <v>181</v>
      </c>
      <c r="I85" s="1"/>
      <c r="J85" s="2"/>
      <c r="K85" s="1">
        <f>SUMIFS(
  '[1]Hoja 1'!$M:$M,
  '[1]Hoja 1'!$S:$S, $A85,
  '[1]Hoja 1'!$R:$R, "&gt;="&amp;INT($M$1),
  '[1]Hoja 1'!$R:$R, "&lt;"&amp;INT($N$1+1)
)</f>
        <v>0</v>
      </c>
      <c r="L85" s="1">
        <f t="shared" si="32"/>
        <v>64</v>
      </c>
      <c r="M85" s="9">
        <f t="shared" si="33"/>
        <v>48.061813152055223</v>
      </c>
      <c r="N85" s="10">
        <f t="shared" si="34"/>
        <v>79.938186847944777</v>
      </c>
      <c r="O85" s="1">
        <f>SUMIFS(
  '[1]Hoja 1'!$M:$M,
  '[1]Hoja 1'!$S:$S, $A85,
  '[1]Hoja 1'!$R:$R, "&gt;="&amp;INT($Q$1),
  '[1]Hoja 1'!$R:$R, "&lt;"&amp;INT($R$1+1)
)</f>
        <v>0</v>
      </c>
      <c r="P85" s="1">
        <f t="shared" si="35"/>
        <v>0</v>
      </c>
      <c r="Q85" s="9">
        <f t="shared" si="36"/>
        <v>-66.87258431774066</v>
      </c>
      <c r="R85" s="10">
        <f t="shared" si="37"/>
        <v>66.87258431774066</v>
      </c>
      <c r="S85" s="1">
        <f>SUMIFS(
  '[1]Hoja 1'!$M:$M,
  '[1]Hoja 1'!$S:$S, $A85,
  '[1]Hoja 1'!$R:$R, "&gt;="&amp;INT($U$1),
  '[1]Hoja 1'!$R:$R, "&lt;"&amp;INT($V$1+1)
)</f>
        <v>0</v>
      </c>
      <c r="T85" s="1">
        <f t="shared" si="38"/>
        <v>0</v>
      </c>
      <c r="U85" s="9">
        <f t="shared" si="39"/>
        <v>-65.725787937460282</v>
      </c>
      <c r="V85" s="10">
        <f t="shared" si="40"/>
        <v>65.725787937460282</v>
      </c>
      <c r="W85" s="1">
        <f>SUMIFS(
  '[1]Hoja 1'!$M:$M,
  '[1]Hoja 1'!$S:$S, $A85,
  '[1]Hoja 1'!$R:$R, "&gt;="&amp;INT($Y$1),
  '[1]Hoja 1'!$R:$R, "&lt;"&amp;INT($Z$1+1)
)</f>
        <v>0</v>
      </c>
      <c r="X85" s="1">
        <f t="shared" si="41"/>
        <v>0</v>
      </c>
      <c r="Y85" s="9">
        <f t="shared" si="42"/>
        <v>-63.039218903790356</v>
      </c>
      <c r="Z85" s="10">
        <f t="shared" si="43"/>
        <v>63.039218903790356</v>
      </c>
      <c r="AA85" s="1">
        <f>SUMIFS(
  '[1]Hoja 1'!$M:$M,
  '[1]Hoja 1'!$S:$S, $A85,
  '[1]Hoja 1'!$R:$R, "&gt;="&amp;INT($AC$1),
  '[1]Hoja 1'!$R:$R, "&lt;"&amp;INT($AD$1+1)
)</f>
        <v>0</v>
      </c>
      <c r="AB85" s="1">
        <f t="shared" si="44"/>
        <v>0</v>
      </c>
      <c r="AC85" s="9">
        <f t="shared" si="45"/>
        <v>-59.386436723099209</v>
      </c>
      <c r="AD85" s="10">
        <f t="shared" si="46"/>
        <v>59.386436723099209</v>
      </c>
      <c r="AE85" s="1">
        <f>SUMIFS(
  '[1]Hoja 1'!$M:$M,
  '[1]Hoja 1'!$S:$S, $A85,
  '[1]Hoja 1'!$R:$R, "&gt;="&amp;INT($AG$1),
  '[1]Hoja 1'!$R:$R, "&lt;"&amp;INT($AH$1+1)
)</f>
        <v>0</v>
      </c>
      <c r="AF85" s="1">
        <f t="shared" si="47"/>
        <v>0</v>
      </c>
      <c r="AG85" s="9">
        <f t="shared" si="48"/>
        <v>-56.087955926384055</v>
      </c>
      <c r="AH85" s="10">
        <f t="shared" si="49"/>
        <v>56.087955926384055</v>
      </c>
      <c r="AI85" s="1">
        <f>SUMIFS(
  '[1]Hoja 1'!$M:$M,
  '[1]Hoja 1'!$S:$S, $A85,
  '[1]Hoja 1'!$R:$R, "&gt;="&amp;INT($AK$1),
  '[1]Hoja 1'!$R:$R, "&lt;"&amp;INT($AJ$1+1)
)</f>
        <v>0</v>
      </c>
      <c r="AJ85" s="1">
        <f t="shared" si="50"/>
        <v>0</v>
      </c>
      <c r="AK85" s="9">
        <f t="shared" si="51"/>
        <v>-53.19265409809892</v>
      </c>
      <c r="AL85" s="10">
        <f t="shared" si="52"/>
        <v>53.19265409809892</v>
      </c>
      <c r="AM85" s="1">
        <f>SUMIFS(
  '[1]Hoja 1'!$M:$M,
  '[1]Hoja 1'!$S:$S, $A85,
  '[1]Hoja 1'!$R:$R, "&gt;="&amp;INT($AO$1),
  '[1]Hoja 1'!$R:$R, "&lt;"&amp;INT($AP$1+1)
)</f>
        <v>0</v>
      </c>
      <c r="AN85" s="1">
        <f t="shared" si="53"/>
        <v>0</v>
      </c>
      <c r="AO85" s="9">
        <f t="shared" si="54"/>
        <v>-50.658617343065245</v>
      </c>
      <c r="AP85" s="10">
        <f t="shared" si="55"/>
        <v>50.658617343065245</v>
      </c>
      <c r="AQ85" s="1">
        <f>SUMIFS(
  '[1]Hoja 1'!$M:$M,
  '[1]Hoja 1'!$S:$S, $A85,
  '[1]Hoja 1'!$R:$R, "&gt;="&amp;INT($AS$1),
  '[1]Hoja 1'!$R:$R, "&lt;"&amp;INT($AT$1+1)
)</f>
        <v>0</v>
      </c>
      <c r="AR85" s="1">
        <f t="shared" si="56"/>
        <v>0</v>
      </c>
      <c r="AS85" s="9">
        <f t="shared" si="57"/>
        <v>-48.430578081758775</v>
      </c>
      <c r="AT85" s="10">
        <f t="shared" si="58"/>
        <v>48.430578081758775</v>
      </c>
      <c r="AU85" s="1">
        <f>SUMIFS(
  '[1]Hoja 1'!$M:$M,
  '[1]Hoja 1'!$S:$S, $A85,
  '[1]Hoja 1'!$R:$R, "&gt;="&amp;INT($AW$1),
  '[1]Hoja 1'!$R:$R, "&lt;"&amp;INT($AX$1+1)
)</f>
        <v>0</v>
      </c>
      <c r="AV85" s="1">
        <f t="shared" si="59"/>
        <v>0</v>
      </c>
      <c r="AW85" s="9">
        <f t="shared" si="60"/>
        <v>-46.458239703669754</v>
      </c>
      <c r="AX85" s="10">
        <f t="shared" si="61"/>
        <v>46.458239703669754</v>
      </c>
    </row>
    <row r="86" spans="1:50" x14ac:dyDescent="0.25">
      <c r="A86" s="5">
        <v>213003</v>
      </c>
      <c r="B86" s="6" t="s">
        <v>83</v>
      </c>
      <c r="C86" s="1">
        <f>SUMIFS(
  '[1]Hoja 1'!$M:$M,
  '[1]Hoja 1'!$S:$S, $A86,
  '[1]Hoja 1'!$R:$R, "&gt;="&amp;INT($E$1),
  '[1]Hoja 1'!$R:$R, "&lt;"&amp;INT($F$1+1)
)</f>
        <v>0</v>
      </c>
      <c r="D86" s="1" t="str">
        <f>""</f>
        <v/>
      </c>
      <c r="F86" s="2"/>
      <c r="G86" s="1">
        <f>SUMIFS(
  '[1]Hoja 1'!$M:$M,
  '[1]Hoja 1'!$S:$S, $A86,
  '[1]Hoja 1'!$R:$R, "&gt;="&amp;INT($I$1),
  '[1]Hoja 1'!$R:$R, "&lt;"&amp;INT($J$1+1)
)</f>
        <v>0</v>
      </c>
      <c r="H86" s="1">
        <f t="shared" si="31"/>
        <v>0</v>
      </c>
      <c r="I86" s="1"/>
      <c r="J86" s="2"/>
      <c r="K86" s="1">
        <f>SUMIFS(
  '[1]Hoja 1'!$M:$M,
  '[1]Hoja 1'!$S:$S, $A86,
  '[1]Hoja 1'!$R:$R, "&gt;="&amp;INT($M$1),
  '[1]Hoja 1'!$R:$R, "&lt;"&amp;INT($N$1+1)
)</f>
        <v>0</v>
      </c>
      <c r="L86" s="1">
        <f t="shared" si="32"/>
        <v>0</v>
      </c>
      <c r="M86" s="9">
        <f t="shared" si="33"/>
        <v>0</v>
      </c>
      <c r="N86" s="10">
        <f t="shared" si="34"/>
        <v>0</v>
      </c>
      <c r="O86" s="1">
        <f>SUMIFS(
  '[1]Hoja 1'!$M:$M,
  '[1]Hoja 1'!$S:$S, $A86,
  '[1]Hoja 1'!$R:$R, "&gt;="&amp;INT($Q$1),
  '[1]Hoja 1'!$R:$R, "&lt;"&amp;INT($R$1+1)
)</f>
        <v>0</v>
      </c>
      <c r="P86" s="1">
        <f t="shared" si="35"/>
        <v>0</v>
      </c>
      <c r="Q86" s="9">
        <f t="shared" si="36"/>
        <v>0</v>
      </c>
      <c r="R86" s="10">
        <f t="shared" si="37"/>
        <v>0</v>
      </c>
      <c r="S86" s="1">
        <f>SUMIFS(
  '[1]Hoja 1'!$M:$M,
  '[1]Hoja 1'!$S:$S, $A86,
  '[1]Hoja 1'!$R:$R, "&gt;="&amp;INT($U$1),
  '[1]Hoja 1'!$R:$R, "&lt;"&amp;INT($V$1+1)
)</f>
        <v>0</v>
      </c>
      <c r="T86" s="1">
        <f t="shared" si="38"/>
        <v>0</v>
      </c>
      <c r="U86" s="9">
        <f t="shared" si="39"/>
        <v>-1.47</v>
      </c>
      <c r="V86" s="10">
        <f t="shared" si="40"/>
        <v>1.47</v>
      </c>
      <c r="W86" s="1">
        <f>SUMIFS(
  '[1]Hoja 1'!$M:$M,
  '[1]Hoja 1'!$S:$S, $A86,
  '[1]Hoja 1'!$R:$R, "&gt;="&amp;INT($Y$1),
  '[1]Hoja 1'!$R:$R, "&lt;"&amp;INT($Z$1+1)
)</f>
        <v>0</v>
      </c>
      <c r="X86" s="1">
        <f t="shared" si="41"/>
        <v>0</v>
      </c>
      <c r="Y86" s="9">
        <f t="shared" si="42"/>
        <v>0</v>
      </c>
      <c r="Z86" s="10">
        <f t="shared" si="43"/>
        <v>0</v>
      </c>
      <c r="AA86" s="1">
        <f>SUMIFS(
  '[1]Hoja 1'!$M:$M,
  '[1]Hoja 1'!$S:$S, $A86,
  '[1]Hoja 1'!$R:$R, "&gt;="&amp;INT($AC$1),
  '[1]Hoja 1'!$R:$R, "&lt;"&amp;INT($AD$1+1)
)</f>
        <v>0</v>
      </c>
      <c r="AB86" s="1">
        <f t="shared" si="44"/>
        <v>0</v>
      </c>
      <c r="AC86" s="9">
        <f t="shared" si="45"/>
        <v>0</v>
      </c>
      <c r="AD86" s="10">
        <f t="shared" si="46"/>
        <v>0</v>
      </c>
      <c r="AE86" s="1">
        <f>SUMIFS(
  '[1]Hoja 1'!$M:$M,
  '[1]Hoja 1'!$S:$S, $A86,
  '[1]Hoja 1'!$R:$R, "&gt;="&amp;INT($AG$1),
  '[1]Hoja 1'!$R:$R, "&lt;"&amp;INT($AH$1+1)
)</f>
        <v>0</v>
      </c>
      <c r="AF86" s="1">
        <f t="shared" si="47"/>
        <v>0</v>
      </c>
      <c r="AG86" s="9">
        <f t="shared" si="48"/>
        <v>0</v>
      </c>
      <c r="AH86" s="10">
        <f t="shared" si="49"/>
        <v>0</v>
      </c>
      <c r="AI86" s="1">
        <f>SUMIFS(
  '[1]Hoja 1'!$M:$M,
  '[1]Hoja 1'!$S:$S, $A86,
  '[1]Hoja 1'!$R:$R, "&gt;="&amp;INT($AK$1),
  '[1]Hoja 1'!$R:$R, "&lt;"&amp;INT($AJ$1+1)
)</f>
        <v>0</v>
      </c>
      <c r="AJ86" s="1">
        <f t="shared" si="50"/>
        <v>0</v>
      </c>
      <c r="AK86" s="9">
        <f t="shared" si="51"/>
        <v>0</v>
      </c>
      <c r="AL86" s="10">
        <f t="shared" si="52"/>
        <v>0</v>
      </c>
      <c r="AM86" s="1">
        <f>SUMIFS(
  '[1]Hoja 1'!$M:$M,
  '[1]Hoja 1'!$S:$S, $A86,
  '[1]Hoja 1'!$R:$R, "&gt;="&amp;INT($AO$1),
  '[1]Hoja 1'!$R:$R, "&lt;"&amp;INT($AP$1+1)
)</f>
        <v>0</v>
      </c>
      <c r="AN86" s="1">
        <f t="shared" si="53"/>
        <v>0</v>
      </c>
      <c r="AO86" s="9">
        <f t="shared" si="54"/>
        <v>0</v>
      </c>
      <c r="AP86" s="10">
        <f t="shared" si="55"/>
        <v>0</v>
      </c>
      <c r="AQ86" s="1">
        <f>SUMIFS(
  '[1]Hoja 1'!$M:$M,
  '[1]Hoja 1'!$S:$S, $A86,
  '[1]Hoja 1'!$R:$R, "&gt;="&amp;INT($AS$1),
  '[1]Hoja 1'!$R:$R, "&lt;"&amp;INT($AT$1+1)
)</f>
        <v>0</v>
      </c>
      <c r="AR86" s="1">
        <f t="shared" si="56"/>
        <v>0</v>
      </c>
      <c r="AS86" s="9">
        <f t="shared" si="57"/>
        <v>0</v>
      </c>
      <c r="AT86" s="10">
        <f t="shared" si="58"/>
        <v>0</v>
      </c>
      <c r="AU86" s="1">
        <f>SUMIFS(
  '[1]Hoja 1'!$M:$M,
  '[1]Hoja 1'!$S:$S, $A86,
  '[1]Hoja 1'!$R:$R, "&gt;="&amp;INT($AW$1),
  '[1]Hoja 1'!$R:$R, "&lt;"&amp;INT($AX$1+1)
)</f>
        <v>0</v>
      </c>
      <c r="AV86" s="1">
        <f t="shared" si="59"/>
        <v>0</v>
      </c>
      <c r="AW86" s="9">
        <f t="shared" si="60"/>
        <v>0</v>
      </c>
      <c r="AX86" s="10">
        <f t="shared" si="61"/>
        <v>0</v>
      </c>
    </row>
    <row r="87" spans="1:50" x14ac:dyDescent="0.25">
      <c r="A87" s="5">
        <v>213005</v>
      </c>
      <c r="B87" s="6" t="s">
        <v>84</v>
      </c>
      <c r="C87" s="1">
        <f>SUMIFS(
  '[1]Hoja 1'!$M:$M,
  '[1]Hoja 1'!$S:$S, $A87,
  '[1]Hoja 1'!$R:$R, "&gt;="&amp;INT($E$1),
  '[1]Hoja 1'!$R:$R, "&lt;"&amp;INT($F$1+1)
)</f>
        <v>0</v>
      </c>
      <c r="D87" s="1" t="str">
        <f>""</f>
        <v/>
      </c>
      <c r="F87" s="2"/>
      <c r="G87" s="1">
        <f>SUMIFS(
  '[1]Hoja 1'!$M:$M,
  '[1]Hoja 1'!$S:$S, $A87,
  '[1]Hoja 1'!$R:$R, "&gt;="&amp;INT($I$1),
  '[1]Hoja 1'!$R:$R, "&lt;"&amp;INT($J$1+1)
)</f>
        <v>0</v>
      </c>
      <c r="H87" s="1">
        <f t="shared" si="31"/>
        <v>0</v>
      </c>
      <c r="I87" s="1"/>
      <c r="J87" s="2"/>
      <c r="K87" s="1">
        <f>SUMIFS(
  '[1]Hoja 1'!$M:$M,
  '[1]Hoja 1'!$S:$S, $A87,
  '[1]Hoja 1'!$R:$R, "&gt;="&amp;INT($M$1),
  '[1]Hoja 1'!$R:$R, "&lt;"&amp;INT($N$1+1)
)</f>
        <v>0</v>
      </c>
      <c r="L87" s="1">
        <f t="shared" si="32"/>
        <v>0</v>
      </c>
      <c r="M87" s="9">
        <f t="shared" si="33"/>
        <v>0</v>
      </c>
      <c r="N87" s="10">
        <f t="shared" si="34"/>
        <v>0</v>
      </c>
      <c r="O87" s="1">
        <f>SUMIFS(
  '[1]Hoja 1'!$M:$M,
  '[1]Hoja 1'!$S:$S, $A87,
  '[1]Hoja 1'!$R:$R, "&gt;="&amp;INT($Q$1),
  '[1]Hoja 1'!$R:$R, "&lt;"&amp;INT($R$1+1)
)</f>
        <v>0</v>
      </c>
      <c r="P87" s="1">
        <f t="shared" si="35"/>
        <v>0</v>
      </c>
      <c r="Q87" s="9">
        <f t="shared" si="36"/>
        <v>0</v>
      </c>
      <c r="R87" s="10">
        <f t="shared" si="37"/>
        <v>0</v>
      </c>
      <c r="S87" s="1">
        <f>SUMIFS(
  '[1]Hoja 1'!$M:$M,
  '[1]Hoja 1'!$S:$S, $A87,
  '[1]Hoja 1'!$R:$R, "&gt;="&amp;INT($U$1),
  '[1]Hoja 1'!$R:$R, "&lt;"&amp;INT($V$1+1)
)</f>
        <v>0</v>
      </c>
      <c r="T87" s="1">
        <f t="shared" si="38"/>
        <v>0</v>
      </c>
      <c r="U87" s="9">
        <f t="shared" si="39"/>
        <v>-1.47</v>
      </c>
      <c r="V87" s="10">
        <f t="shared" si="40"/>
        <v>1.47</v>
      </c>
      <c r="W87" s="1">
        <f>SUMIFS(
  '[1]Hoja 1'!$M:$M,
  '[1]Hoja 1'!$S:$S, $A87,
  '[1]Hoja 1'!$R:$R, "&gt;="&amp;INT($Y$1),
  '[1]Hoja 1'!$R:$R, "&lt;"&amp;INT($Z$1+1)
)</f>
        <v>0</v>
      </c>
      <c r="X87" s="1">
        <f t="shared" si="41"/>
        <v>0</v>
      </c>
      <c r="Y87" s="9">
        <f t="shared" si="42"/>
        <v>0</v>
      </c>
      <c r="Z87" s="10">
        <f t="shared" si="43"/>
        <v>0</v>
      </c>
      <c r="AA87" s="1">
        <f>SUMIFS(
  '[1]Hoja 1'!$M:$M,
  '[1]Hoja 1'!$S:$S, $A87,
  '[1]Hoja 1'!$R:$R, "&gt;="&amp;INT($AC$1),
  '[1]Hoja 1'!$R:$R, "&lt;"&amp;INT($AD$1+1)
)</f>
        <v>0</v>
      </c>
      <c r="AB87" s="1">
        <f t="shared" si="44"/>
        <v>0</v>
      </c>
      <c r="AC87" s="9">
        <f t="shared" si="45"/>
        <v>0</v>
      </c>
      <c r="AD87" s="10">
        <f t="shared" si="46"/>
        <v>0</v>
      </c>
      <c r="AE87" s="1">
        <f>SUMIFS(
  '[1]Hoja 1'!$M:$M,
  '[1]Hoja 1'!$S:$S, $A87,
  '[1]Hoja 1'!$R:$R, "&gt;="&amp;INT($AG$1),
  '[1]Hoja 1'!$R:$R, "&lt;"&amp;INT($AH$1+1)
)</f>
        <v>0</v>
      </c>
      <c r="AF87" s="1">
        <f t="shared" si="47"/>
        <v>0</v>
      </c>
      <c r="AG87" s="9">
        <f t="shared" si="48"/>
        <v>0</v>
      </c>
      <c r="AH87" s="10">
        <f t="shared" si="49"/>
        <v>0</v>
      </c>
      <c r="AI87" s="1">
        <f>SUMIFS(
  '[1]Hoja 1'!$M:$M,
  '[1]Hoja 1'!$S:$S, $A87,
  '[1]Hoja 1'!$R:$R, "&gt;="&amp;INT($AK$1),
  '[1]Hoja 1'!$R:$R, "&lt;"&amp;INT($AJ$1+1)
)</f>
        <v>0</v>
      </c>
      <c r="AJ87" s="1">
        <f t="shared" si="50"/>
        <v>0</v>
      </c>
      <c r="AK87" s="9">
        <f t="shared" si="51"/>
        <v>0</v>
      </c>
      <c r="AL87" s="10">
        <f t="shared" si="52"/>
        <v>0</v>
      </c>
      <c r="AM87" s="1">
        <f>SUMIFS(
  '[1]Hoja 1'!$M:$M,
  '[1]Hoja 1'!$S:$S, $A87,
  '[1]Hoja 1'!$R:$R, "&gt;="&amp;INT($AO$1),
  '[1]Hoja 1'!$R:$R, "&lt;"&amp;INT($AP$1+1)
)</f>
        <v>0</v>
      </c>
      <c r="AN87" s="1">
        <f t="shared" si="53"/>
        <v>0</v>
      </c>
      <c r="AO87" s="9">
        <f t="shared" si="54"/>
        <v>0</v>
      </c>
      <c r="AP87" s="10">
        <f t="shared" si="55"/>
        <v>0</v>
      </c>
      <c r="AQ87" s="1">
        <f>SUMIFS(
  '[1]Hoja 1'!$M:$M,
  '[1]Hoja 1'!$S:$S, $A87,
  '[1]Hoja 1'!$R:$R, "&gt;="&amp;INT($AS$1),
  '[1]Hoja 1'!$R:$R, "&lt;"&amp;INT($AT$1+1)
)</f>
        <v>0</v>
      </c>
      <c r="AR87" s="1">
        <f t="shared" si="56"/>
        <v>0</v>
      </c>
      <c r="AS87" s="9">
        <f t="shared" si="57"/>
        <v>0</v>
      </c>
      <c r="AT87" s="10">
        <f t="shared" si="58"/>
        <v>0</v>
      </c>
      <c r="AU87" s="1">
        <f>SUMIFS(
  '[1]Hoja 1'!$M:$M,
  '[1]Hoja 1'!$S:$S, $A87,
  '[1]Hoja 1'!$R:$R, "&gt;="&amp;INT($AW$1),
  '[1]Hoja 1'!$R:$R, "&lt;"&amp;INT($AX$1+1)
)</f>
        <v>0</v>
      </c>
      <c r="AV87" s="1">
        <f t="shared" si="59"/>
        <v>0</v>
      </c>
      <c r="AW87" s="9">
        <f t="shared" si="60"/>
        <v>0</v>
      </c>
      <c r="AX87" s="10">
        <f t="shared" si="61"/>
        <v>0</v>
      </c>
    </row>
    <row r="88" spans="1:50" x14ac:dyDescent="0.25">
      <c r="A88" s="5">
        <v>213006</v>
      </c>
      <c r="B88" s="6" t="s">
        <v>85</v>
      </c>
      <c r="C88" s="1">
        <f>SUMIFS(
  '[1]Hoja 1'!$M:$M,
  '[1]Hoja 1'!$S:$S, $A88,
  '[1]Hoja 1'!$R:$R, "&gt;="&amp;INT($E$1),
  '[1]Hoja 1'!$R:$R, "&lt;"&amp;INT($F$1+1)
)</f>
        <v>0</v>
      </c>
      <c r="D88" s="1" t="str">
        <f>""</f>
        <v/>
      </c>
      <c r="F88" s="2"/>
      <c r="G88" s="1">
        <f>SUMIFS(
  '[1]Hoja 1'!$M:$M,
  '[1]Hoja 1'!$S:$S, $A88,
  '[1]Hoja 1'!$R:$R, "&gt;="&amp;INT($I$1),
  '[1]Hoja 1'!$R:$R, "&lt;"&amp;INT($J$1+1)
)</f>
        <v>0</v>
      </c>
      <c r="H88" s="1">
        <f t="shared" si="31"/>
        <v>0</v>
      </c>
      <c r="I88" s="1"/>
      <c r="J88" s="2"/>
      <c r="K88" s="1">
        <f>SUMIFS(
  '[1]Hoja 1'!$M:$M,
  '[1]Hoja 1'!$S:$S, $A88,
  '[1]Hoja 1'!$R:$R, "&gt;="&amp;INT($M$1),
  '[1]Hoja 1'!$R:$R, "&lt;"&amp;INT($N$1+1)
)</f>
        <v>0</v>
      </c>
      <c r="L88" s="1">
        <f t="shared" si="32"/>
        <v>0</v>
      </c>
      <c r="M88" s="9">
        <f t="shared" si="33"/>
        <v>0</v>
      </c>
      <c r="N88" s="10">
        <f t="shared" si="34"/>
        <v>0</v>
      </c>
      <c r="O88" s="1">
        <f>SUMIFS(
  '[1]Hoja 1'!$M:$M,
  '[1]Hoja 1'!$S:$S, $A88,
  '[1]Hoja 1'!$R:$R, "&gt;="&amp;INT($Q$1),
  '[1]Hoja 1'!$R:$R, "&lt;"&amp;INT($R$1+1)
)</f>
        <v>0</v>
      </c>
      <c r="P88" s="1">
        <f t="shared" si="35"/>
        <v>0</v>
      </c>
      <c r="Q88" s="9">
        <f t="shared" si="36"/>
        <v>0</v>
      </c>
      <c r="R88" s="10">
        <f t="shared" si="37"/>
        <v>0</v>
      </c>
      <c r="S88" s="1">
        <f>SUMIFS(
  '[1]Hoja 1'!$M:$M,
  '[1]Hoja 1'!$S:$S, $A88,
  '[1]Hoja 1'!$R:$R, "&gt;="&amp;INT($U$1),
  '[1]Hoja 1'!$R:$R, "&lt;"&amp;INT($V$1+1)
)</f>
        <v>0</v>
      </c>
      <c r="T88" s="1">
        <f t="shared" si="38"/>
        <v>0</v>
      </c>
      <c r="U88" s="9">
        <f t="shared" si="39"/>
        <v>-1.47</v>
      </c>
      <c r="V88" s="10">
        <f t="shared" si="40"/>
        <v>1.47</v>
      </c>
      <c r="W88" s="1">
        <f>SUMIFS(
  '[1]Hoja 1'!$M:$M,
  '[1]Hoja 1'!$S:$S, $A88,
  '[1]Hoja 1'!$R:$R, "&gt;="&amp;INT($Y$1),
  '[1]Hoja 1'!$R:$R, "&lt;"&amp;INT($Z$1+1)
)</f>
        <v>0</v>
      </c>
      <c r="X88" s="1">
        <f t="shared" si="41"/>
        <v>0</v>
      </c>
      <c r="Y88" s="9">
        <f t="shared" si="42"/>
        <v>0</v>
      </c>
      <c r="Z88" s="10">
        <f t="shared" si="43"/>
        <v>0</v>
      </c>
      <c r="AA88" s="1">
        <f>SUMIFS(
  '[1]Hoja 1'!$M:$M,
  '[1]Hoja 1'!$S:$S, $A88,
  '[1]Hoja 1'!$R:$R, "&gt;="&amp;INT($AC$1),
  '[1]Hoja 1'!$R:$R, "&lt;"&amp;INT($AD$1+1)
)</f>
        <v>0</v>
      </c>
      <c r="AB88" s="1">
        <f t="shared" si="44"/>
        <v>0</v>
      </c>
      <c r="AC88" s="9">
        <f t="shared" si="45"/>
        <v>0</v>
      </c>
      <c r="AD88" s="10">
        <f t="shared" si="46"/>
        <v>0</v>
      </c>
      <c r="AE88" s="1">
        <f>SUMIFS(
  '[1]Hoja 1'!$M:$M,
  '[1]Hoja 1'!$S:$S, $A88,
  '[1]Hoja 1'!$R:$R, "&gt;="&amp;INT($AG$1),
  '[1]Hoja 1'!$R:$R, "&lt;"&amp;INT($AH$1+1)
)</f>
        <v>0</v>
      </c>
      <c r="AF88" s="1">
        <f t="shared" si="47"/>
        <v>0</v>
      </c>
      <c r="AG88" s="9">
        <f t="shared" si="48"/>
        <v>0</v>
      </c>
      <c r="AH88" s="10">
        <f t="shared" si="49"/>
        <v>0</v>
      </c>
      <c r="AI88" s="1">
        <f>SUMIFS(
  '[1]Hoja 1'!$M:$M,
  '[1]Hoja 1'!$S:$S, $A88,
  '[1]Hoja 1'!$R:$R, "&gt;="&amp;INT($AK$1),
  '[1]Hoja 1'!$R:$R, "&lt;"&amp;INT($AJ$1+1)
)</f>
        <v>0</v>
      </c>
      <c r="AJ88" s="1">
        <f t="shared" si="50"/>
        <v>0</v>
      </c>
      <c r="AK88" s="9">
        <f t="shared" si="51"/>
        <v>0</v>
      </c>
      <c r="AL88" s="10">
        <f t="shared" si="52"/>
        <v>0</v>
      </c>
      <c r="AM88" s="1">
        <f>SUMIFS(
  '[1]Hoja 1'!$M:$M,
  '[1]Hoja 1'!$S:$S, $A88,
  '[1]Hoja 1'!$R:$R, "&gt;="&amp;INT($AO$1),
  '[1]Hoja 1'!$R:$R, "&lt;"&amp;INT($AP$1+1)
)</f>
        <v>0</v>
      </c>
      <c r="AN88" s="1">
        <f t="shared" si="53"/>
        <v>0</v>
      </c>
      <c r="AO88" s="9">
        <f t="shared" si="54"/>
        <v>0</v>
      </c>
      <c r="AP88" s="10">
        <f t="shared" si="55"/>
        <v>0</v>
      </c>
      <c r="AQ88" s="1">
        <f>SUMIFS(
  '[1]Hoja 1'!$M:$M,
  '[1]Hoja 1'!$S:$S, $A88,
  '[1]Hoja 1'!$R:$R, "&gt;="&amp;INT($AS$1),
  '[1]Hoja 1'!$R:$R, "&lt;"&amp;INT($AT$1+1)
)</f>
        <v>0</v>
      </c>
      <c r="AR88" s="1">
        <f t="shared" si="56"/>
        <v>0</v>
      </c>
      <c r="AS88" s="9">
        <f t="shared" si="57"/>
        <v>0</v>
      </c>
      <c r="AT88" s="10">
        <f t="shared" si="58"/>
        <v>0</v>
      </c>
      <c r="AU88" s="1">
        <f>SUMIFS(
  '[1]Hoja 1'!$M:$M,
  '[1]Hoja 1'!$S:$S, $A88,
  '[1]Hoja 1'!$R:$R, "&gt;="&amp;INT($AW$1),
  '[1]Hoja 1'!$R:$R, "&lt;"&amp;INT($AX$1+1)
)</f>
        <v>0</v>
      </c>
      <c r="AV88" s="1">
        <f t="shared" si="59"/>
        <v>0</v>
      </c>
      <c r="AW88" s="9">
        <f t="shared" si="60"/>
        <v>0</v>
      </c>
      <c r="AX88" s="10">
        <f t="shared" si="61"/>
        <v>0</v>
      </c>
    </row>
    <row r="89" spans="1:50" x14ac:dyDescent="0.25">
      <c r="A89" s="5">
        <v>213008</v>
      </c>
      <c r="B89" s="6" t="s">
        <v>86</v>
      </c>
      <c r="C89" s="1">
        <f>SUMIFS(
  '[1]Hoja 1'!$M:$M,
  '[1]Hoja 1'!$S:$S, $A89,
  '[1]Hoja 1'!$R:$R, "&gt;="&amp;INT($E$1),
  '[1]Hoja 1'!$R:$R, "&lt;"&amp;INT($F$1+1)
)</f>
        <v>0</v>
      </c>
      <c r="D89" s="1" t="str">
        <f>""</f>
        <v/>
      </c>
      <c r="F89" s="2"/>
      <c r="G89" s="1">
        <f>SUMIFS(
  '[1]Hoja 1'!$M:$M,
  '[1]Hoja 1'!$S:$S, $A89,
  '[1]Hoja 1'!$R:$R, "&gt;="&amp;INT($I$1),
  '[1]Hoja 1'!$R:$R, "&lt;"&amp;INT($J$1+1)
)</f>
        <v>0</v>
      </c>
      <c r="H89" s="1">
        <f t="shared" si="31"/>
        <v>0</v>
      </c>
      <c r="I89" s="1"/>
      <c r="J89" s="2"/>
      <c r="K89" s="1">
        <f>SUMIFS(
  '[1]Hoja 1'!$M:$M,
  '[1]Hoja 1'!$S:$S, $A89,
  '[1]Hoja 1'!$R:$R, "&gt;="&amp;INT($M$1),
  '[1]Hoja 1'!$R:$R, "&lt;"&amp;INT($N$1+1)
)</f>
        <v>0</v>
      </c>
      <c r="L89" s="1">
        <f t="shared" si="32"/>
        <v>0</v>
      </c>
      <c r="M89" s="9">
        <f t="shared" si="33"/>
        <v>0</v>
      </c>
      <c r="N89" s="10">
        <f t="shared" si="34"/>
        <v>0</v>
      </c>
      <c r="O89" s="1">
        <f>SUMIFS(
  '[1]Hoja 1'!$M:$M,
  '[1]Hoja 1'!$S:$S, $A89,
  '[1]Hoja 1'!$R:$R, "&gt;="&amp;INT($Q$1),
  '[1]Hoja 1'!$R:$R, "&lt;"&amp;INT($R$1+1)
)</f>
        <v>0</v>
      </c>
      <c r="P89" s="1">
        <f t="shared" si="35"/>
        <v>0</v>
      </c>
      <c r="Q89" s="9">
        <f t="shared" si="36"/>
        <v>0</v>
      </c>
      <c r="R89" s="10">
        <f t="shared" si="37"/>
        <v>0</v>
      </c>
      <c r="S89" s="1">
        <f>SUMIFS(
  '[1]Hoja 1'!$M:$M,
  '[1]Hoja 1'!$S:$S, $A89,
  '[1]Hoja 1'!$R:$R, "&gt;="&amp;INT($U$1),
  '[1]Hoja 1'!$R:$R, "&lt;"&amp;INT($V$1+1)
)</f>
        <v>0</v>
      </c>
      <c r="T89" s="1">
        <f t="shared" si="38"/>
        <v>0</v>
      </c>
      <c r="U89" s="9">
        <f t="shared" si="39"/>
        <v>-1.47</v>
      </c>
      <c r="V89" s="10">
        <f t="shared" si="40"/>
        <v>1.47</v>
      </c>
      <c r="W89" s="1">
        <f>SUMIFS(
  '[1]Hoja 1'!$M:$M,
  '[1]Hoja 1'!$S:$S, $A89,
  '[1]Hoja 1'!$R:$R, "&gt;="&amp;INT($Y$1),
  '[1]Hoja 1'!$R:$R, "&lt;"&amp;INT($Z$1+1)
)</f>
        <v>0</v>
      </c>
      <c r="X89" s="1">
        <f t="shared" si="41"/>
        <v>0</v>
      </c>
      <c r="Y89" s="9">
        <f t="shared" si="42"/>
        <v>0</v>
      </c>
      <c r="Z89" s="10">
        <f t="shared" si="43"/>
        <v>0</v>
      </c>
      <c r="AA89" s="1">
        <f>SUMIFS(
  '[1]Hoja 1'!$M:$M,
  '[1]Hoja 1'!$S:$S, $A89,
  '[1]Hoja 1'!$R:$R, "&gt;="&amp;INT($AC$1),
  '[1]Hoja 1'!$R:$R, "&lt;"&amp;INT($AD$1+1)
)</f>
        <v>0</v>
      </c>
      <c r="AB89" s="1">
        <f t="shared" si="44"/>
        <v>0</v>
      </c>
      <c r="AC89" s="9">
        <f t="shared" si="45"/>
        <v>0</v>
      </c>
      <c r="AD89" s="10">
        <f t="shared" si="46"/>
        <v>0</v>
      </c>
      <c r="AE89" s="1">
        <f>SUMIFS(
  '[1]Hoja 1'!$M:$M,
  '[1]Hoja 1'!$S:$S, $A89,
  '[1]Hoja 1'!$R:$R, "&gt;="&amp;INT($AG$1),
  '[1]Hoja 1'!$R:$R, "&lt;"&amp;INT($AH$1+1)
)</f>
        <v>0</v>
      </c>
      <c r="AF89" s="1">
        <f t="shared" si="47"/>
        <v>0</v>
      </c>
      <c r="AG89" s="9">
        <f t="shared" si="48"/>
        <v>0</v>
      </c>
      <c r="AH89" s="10">
        <f t="shared" si="49"/>
        <v>0</v>
      </c>
      <c r="AI89" s="1">
        <f>SUMIFS(
  '[1]Hoja 1'!$M:$M,
  '[1]Hoja 1'!$S:$S, $A89,
  '[1]Hoja 1'!$R:$R, "&gt;="&amp;INT($AK$1),
  '[1]Hoja 1'!$R:$R, "&lt;"&amp;INT($AJ$1+1)
)</f>
        <v>0</v>
      </c>
      <c r="AJ89" s="1">
        <f t="shared" si="50"/>
        <v>0</v>
      </c>
      <c r="AK89" s="9">
        <f t="shared" si="51"/>
        <v>0</v>
      </c>
      <c r="AL89" s="10">
        <f t="shared" si="52"/>
        <v>0</v>
      </c>
      <c r="AM89" s="1">
        <f>SUMIFS(
  '[1]Hoja 1'!$M:$M,
  '[1]Hoja 1'!$S:$S, $A89,
  '[1]Hoja 1'!$R:$R, "&gt;="&amp;INT($AO$1),
  '[1]Hoja 1'!$R:$R, "&lt;"&amp;INT($AP$1+1)
)</f>
        <v>0</v>
      </c>
      <c r="AN89" s="1">
        <f t="shared" si="53"/>
        <v>0</v>
      </c>
      <c r="AO89" s="9">
        <f t="shared" si="54"/>
        <v>0</v>
      </c>
      <c r="AP89" s="10">
        <f t="shared" si="55"/>
        <v>0</v>
      </c>
      <c r="AQ89" s="1">
        <f>SUMIFS(
  '[1]Hoja 1'!$M:$M,
  '[1]Hoja 1'!$S:$S, $A89,
  '[1]Hoja 1'!$R:$R, "&gt;="&amp;INT($AS$1),
  '[1]Hoja 1'!$R:$R, "&lt;"&amp;INT($AT$1+1)
)</f>
        <v>0</v>
      </c>
      <c r="AR89" s="1">
        <f t="shared" si="56"/>
        <v>0</v>
      </c>
      <c r="AS89" s="9">
        <f t="shared" si="57"/>
        <v>0</v>
      </c>
      <c r="AT89" s="10">
        <f t="shared" si="58"/>
        <v>0</v>
      </c>
      <c r="AU89" s="1">
        <f>SUMIFS(
  '[1]Hoja 1'!$M:$M,
  '[1]Hoja 1'!$S:$S, $A89,
  '[1]Hoja 1'!$R:$R, "&gt;="&amp;INT($AW$1),
  '[1]Hoja 1'!$R:$R, "&lt;"&amp;INT($AX$1+1)
)</f>
        <v>0</v>
      </c>
      <c r="AV89" s="1">
        <f t="shared" si="59"/>
        <v>0</v>
      </c>
      <c r="AW89" s="9">
        <f t="shared" si="60"/>
        <v>0</v>
      </c>
      <c r="AX89" s="10">
        <f t="shared" si="61"/>
        <v>0</v>
      </c>
    </row>
    <row r="90" spans="1:50" x14ac:dyDescent="0.25">
      <c r="A90" s="5">
        <v>213011</v>
      </c>
      <c r="B90" s="6" t="s">
        <v>87</v>
      </c>
      <c r="C90" s="1">
        <f>SUMIFS(
  '[1]Hoja 1'!$M:$M,
  '[1]Hoja 1'!$S:$S, $A90,
  '[1]Hoja 1'!$R:$R, "&gt;="&amp;INT($E$1),
  '[1]Hoja 1'!$R:$R, "&lt;"&amp;INT($F$1+1)
)</f>
        <v>0</v>
      </c>
      <c r="D90" s="1" t="str">
        <f>""</f>
        <v/>
      </c>
      <c r="F90" s="2"/>
      <c r="G90" s="1">
        <f>SUMIFS(
  '[1]Hoja 1'!$M:$M,
  '[1]Hoja 1'!$S:$S, $A90,
  '[1]Hoja 1'!$R:$R, "&gt;="&amp;INT($I$1),
  '[1]Hoja 1'!$R:$R, "&lt;"&amp;INT($J$1+1)
)</f>
        <v>0</v>
      </c>
      <c r="H90" s="1">
        <f t="shared" si="31"/>
        <v>0</v>
      </c>
      <c r="I90" s="1"/>
      <c r="J90" s="2"/>
      <c r="K90" s="1">
        <f>SUMIFS(
  '[1]Hoja 1'!$M:$M,
  '[1]Hoja 1'!$S:$S, $A90,
  '[1]Hoja 1'!$R:$R, "&gt;="&amp;INT($M$1),
  '[1]Hoja 1'!$R:$R, "&lt;"&amp;INT($N$1+1)
)</f>
        <v>0</v>
      </c>
      <c r="L90" s="1">
        <f t="shared" si="32"/>
        <v>0</v>
      </c>
      <c r="M90" s="9">
        <f t="shared" si="33"/>
        <v>0</v>
      </c>
      <c r="N90" s="10">
        <f t="shared" si="34"/>
        <v>0</v>
      </c>
      <c r="O90" s="1">
        <f>SUMIFS(
  '[1]Hoja 1'!$M:$M,
  '[1]Hoja 1'!$S:$S, $A90,
  '[1]Hoja 1'!$R:$R, "&gt;="&amp;INT($Q$1),
  '[1]Hoja 1'!$R:$R, "&lt;"&amp;INT($R$1+1)
)</f>
        <v>0</v>
      </c>
      <c r="P90" s="1">
        <f t="shared" si="35"/>
        <v>0</v>
      </c>
      <c r="Q90" s="9">
        <f t="shared" si="36"/>
        <v>0</v>
      </c>
      <c r="R90" s="10">
        <f t="shared" si="37"/>
        <v>0</v>
      </c>
      <c r="S90" s="1">
        <f>SUMIFS(
  '[1]Hoja 1'!$M:$M,
  '[1]Hoja 1'!$S:$S, $A90,
  '[1]Hoja 1'!$R:$R, "&gt;="&amp;INT($U$1),
  '[1]Hoja 1'!$R:$R, "&lt;"&amp;INT($V$1+1)
)</f>
        <v>0</v>
      </c>
      <c r="T90" s="1">
        <f t="shared" si="38"/>
        <v>0</v>
      </c>
      <c r="U90" s="9">
        <f t="shared" si="39"/>
        <v>-1.47</v>
      </c>
      <c r="V90" s="10">
        <f t="shared" si="40"/>
        <v>1.47</v>
      </c>
      <c r="W90" s="1">
        <f>SUMIFS(
  '[1]Hoja 1'!$M:$M,
  '[1]Hoja 1'!$S:$S, $A90,
  '[1]Hoja 1'!$R:$R, "&gt;="&amp;INT($Y$1),
  '[1]Hoja 1'!$R:$R, "&lt;"&amp;INT($Z$1+1)
)</f>
        <v>0</v>
      </c>
      <c r="X90" s="1">
        <f t="shared" si="41"/>
        <v>0</v>
      </c>
      <c r="Y90" s="9">
        <f t="shared" si="42"/>
        <v>0</v>
      </c>
      <c r="Z90" s="10">
        <f t="shared" si="43"/>
        <v>0</v>
      </c>
      <c r="AA90" s="1">
        <f>SUMIFS(
  '[1]Hoja 1'!$M:$M,
  '[1]Hoja 1'!$S:$S, $A90,
  '[1]Hoja 1'!$R:$R, "&gt;="&amp;INT($AC$1),
  '[1]Hoja 1'!$R:$R, "&lt;"&amp;INT($AD$1+1)
)</f>
        <v>0</v>
      </c>
      <c r="AB90" s="1">
        <f t="shared" si="44"/>
        <v>0</v>
      </c>
      <c r="AC90" s="9">
        <f t="shared" si="45"/>
        <v>0</v>
      </c>
      <c r="AD90" s="10">
        <f t="shared" si="46"/>
        <v>0</v>
      </c>
      <c r="AE90" s="1">
        <f>SUMIFS(
  '[1]Hoja 1'!$M:$M,
  '[1]Hoja 1'!$S:$S, $A90,
  '[1]Hoja 1'!$R:$R, "&gt;="&amp;INT($AG$1),
  '[1]Hoja 1'!$R:$R, "&lt;"&amp;INT($AH$1+1)
)</f>
        <v>0</v>
      </c>
      <c r="AF90" s="1">
        <f t="shared" si="47"/>
        <v>0</v>
      </c>
      <c r="AG90" s="9">
        <f t="shared" si="48"/>
        <v>0</v>
      </c>
      <c r="AH90" s="10">
        <f t="shared" si="49"/>
        <v>0</v>
      </c>
      <c r="AI90" s="1">
        <f>SUMIFS(
  '[1]Hoja 1'!$M:$M,
  '[1]Hoja 1'!$S:$S, $A90,
  '[1]Hoja 1'!$R:$R, "&gt;="&amp;INT($AK$1),
  '[1]Hoja 1'!$R:$R, "&lt;"&amp;INT($AJ$1+1)
)</f>
        <v>0</v>
      </c>
      <c r="AJ90" s="1">
        <f t="shared" si="50"/>
        <v>0</v>
      </c>
      <c r="AK90" s="9">
        <f t="shared" si="51"/>
        <v>0</v>
      </c>
      <c r="AL90" s="10">
        <f t="shared" si="52"/>
        <v>0</v>
      </c>
      <c r="AM90" s="1">
        <f>SUMIFS(
  '[1]Hoja 1'!$M:$M,
  '[1]Hoja 1'!$S:$S, $A90,
  '[1]Hoja 1'!$R:$R, "&gt;="&amp;INT($AO$1),
  '[1]Hoja 1'!$R:$R, "&lt;"&amp;INT($AP$1+1)
)</f>
        <v>0</v>
      </c>
      <c r="AN90" s="1">
        <f t="shared" si="53"/>
        <v>0</v>
      </c>
      <c r="AO90" s="9">
        <f t="shared" si="54"/>
        <v>0</v>
      </c>
      <c r="AP90" s="10">
        <f t="shared" si="55"/>
        <v>0</v>
      </c>
      <c r="AQ90" s="1">
        <f>SUMIFS(
  '[1]Hoja 1'!$M:$M,
  '[1]Hoja 1'!$S:$S, $A90,
  '[1]Hoja 1'!$R:$R, "&gt;="&amp;INT($AS$1),
  '[1]Hoja 1'!$R:$R, "&lt;"&amp;INT($AT$1+1)
)</f>
        <v>0</v>
      </c>
      <c r="AR90" s="1">
        <f t="shared" si="56"/>
        <v>0</v>
      </c>
      <c r="AS90" s="9">
        <f t="shared" si="57"/>
        <v>0</v>
      </c>
      <c r="AT90" s="10">
        <f t="shared" si="58"/>
        <v>0</v>
      </c>
      <c r="AU90" s="1">
        <f>SUMIFS(
  '[1]Hoja 1'!$M:$M,
  '[1]Hoja 1'!$S:$S, $A90,
  '[1]Hoja 1'!$R:$R, "&gt;="&amp;INT($AW$1),
  '[1]Hoja 1'!$R:$R, "&lt;"&amp;INT($AX$1+1)
)</f>
        <v>0</v>
      </c>
      <c r="AV90" s="1">
        <f t="shared" si="59"/>
        <v>0</v>
      </c>
      <c r="AW90" s="9">
        <f t="shared" si="60"/>
        <v>0</v>
      </c>
      <c r="AX90" s="10">
        <f t="shared" si="61"/>
        <v>0</v>
      </c>
    </row>
    <row r="91" spans="1:50" x14ac:dyDescent="0.25">
      <c r="A91" s="5">
        <v>213012</v>
      </c>
      <c r="B91" s="6" t="s">
        <v>88</v>
      </c>
      <c r="C91" s="1">
        <f>SUMIFS(
  '[1]Hoja 1'!$M:$M,
  '[1]Hoja 1'!$S:$S, $A91,
  '[1]Hoja 1'!$R:$R, "&gt;="&amp;INT($E$1),
  '[1]Hoja 1'!$R:$R, "&lt;"&amp;INT($F$1+1)
)</f>
        <v>0</v>
      </c>
      <c r="D91" s="1" t="str">
        <f>""</f>
        <v/>
      </c>
      <c r="F91" s="2"/>
      <c r="G91" s="1">
        <f>SUMIFS(
  '[1]Hoja 1'!$M:$M,
  '[1]Hoja 1'!$S:$S, $A91,
  '[1]Hoja 1'!$R:$R, "&gt;="&amp;INT($I$1),
  '[1]Hoja 1'!$R:$R, "&lt;"&amp;INT($J$1+1)
)</f>
        <v>0</v>
      </c>
      <c r="H91" s="1">
        <f t="shared" si="31"/>
        <v>0</v>
      </c>
      <c r="I91" s="1"/>
      <c r="J91" s="2"/>
      <c r="K91" s="1">
        <f>SUMIFS(
  '[1]Hoja 1'!$M:$M,
  '[1]Hoja 1'!$S:$S, $A91,
  '[1]Hoja 1'!$R:$R, "&gt;="&amp;INT($M$1),
  '[1]Hoja 1'!$R:$R, "&lt;"&amp;INT($N$1+1)
)</f>
        <v>0</v>
      </c>
      <c r="L91" s="1">
        <f t="shared" si="32"/>
        <v>0</v>
      </c>
      <c r="M91" s="9">
        <f t="shared" si="33"/>
        <v>0</v>
      </c>
      <c r="N91" s="10">
        <f t="shared" si="34"/>
        <v>0</v>
      </c>
      <c r="O91" s="1">
        <f>SUMIFS(
  '[1]Hoja 1'!$M:$M,
  '[1]Hoja 1'!$S:$S, $A91,
  '[1]Hoja 1'!$R:$R, "&gt;="&amp;INT($Q$1),
  '[1]Hoja 1'!$R:$R, "&lt;"&amp;INT($R$1+1)
)</f>
        <v>0</v>
      </c>
      <c r="P91" s="1">
        <f t="shared" si="35"/>
        <v>0</v>
      </c>
      <c r="Q91" s="9">
        <f t="shared" si="36"/>
        <v>0</v>
      </c>
      <c r="R91" s="10">
        <f t="shared" si="37"/>
        <v>0</v>
      </c>
      <c r="S91" s="1">
        <f>SUMIFS(
  '[1]Hoja 1'!$M:$M,
  '[1]Hoja 1'!$S:$S, $A91,
  '[1]Hoja 1'!$R:$R, "&gt;="&amp;INT($U$1),
  '[1]Hoja 1'!$R:$R, "&lt;"&amp;INT($V$1+1)
)</f>
        <v>0</v>
      </c>
      <c r="T91" s="1">
        <f t="shared" si="38"/>
        <v>0</v>
      </c>
      <c r="U91" s="9">
        <f t="shared" si="39"/>
        <v>-1.47</v>
      </c>
      <c r="V91" s="10">
        <f t="shared" si="40"/>
        <v>1.47</v>
      </c>
      <c r="W91" s="1">
        <f>SUMIFS(
  '[1]Hoja 1'!$M:$M,
  '[1]Hoja 1'!$S:$S, $A91,
  '[1]Hoja 1'!$R:$R, "&gt;="&amp;INT($Y$1),
  '[1]Hoja 1'!$R:$R, "&lt;"&amp;INT($Z$1+1)
)</f>
        <v>0</v>
      </c>
      <c r="X91" s="1">
        <f t="shared" si="41"/>
        <v>0</v>
      </c>
      <c r="Y91" s="9">
        <f t="shared" si="42"/>
        <v>0</v>
      </c>
      <c r="Z91" s="10">
        <f t="shared" si="43"/>
        <v>0</v>
      </c>
      <c r="AA91" s="1">
        <f>SUMIFS(
  '[1]Hoja 1'!$M:$M,
  '[1]Hoja 1'!$S:$S, $A91,
  '[1]Hoja 1'!$R:$R, "&gt;="&amp;INT($AC$1),
  '[1]Hoja 1'!$R:$R, "&lt;"&amp;INT($AD$1+1)
)</f>
        <v>0</v>
      </c>
      <c r="AB91" s="1">
        <f t="shared" si="44"/>
        <v>0</v>
      </c>
      <c r="AC91" s="9">
        <f t="shared" si="45"/>
        <v>0</v>
      </c>
      <c r="AD91" s="10">
        <f t="shared" si="46"/>
        <v>0</v>
      </c>
      <c r="AE91" s="1">
        <f>SUMIFS(
  '[1]Hoja 1'!$M:$M,
  '[1]Hoja 1'!$S:$S, $A91,
  '[1]Hoja 1'!$R:$R, "&gt;="&amp;INT($AG$1),
  '[1]Hoja 1'!$R:$R, "&lt;"&amp;INT($AH$1+1)
)</f>
        <v>0</v>
      </c>
      <c r="AF91" s="1">
        <f t="shared" si="47"/>
        <v>0</v>
      </c>
      <c r="AG91" s="9">
        <f t="shared" si="48"/>
        <v>0</v>
      </c>
      <c r="AH91" s="10">
        <f t="shared" si="49"/>
        <v>0</v>
      </c>
      <c r="AI91" s="1">
        <f>SUMIFS(
  '[1]Hoja 1'!$M:$M,
  '[1]Hoja 1'!$S:$S, $A91,
  '[1]Hoja 1'!$R:$R, "&gt;="&amp;INT($AK$1),
  '[1]Hoja 1'!$R:$R, "&lt;"&amp;INT($AJ$1+1)
)</f>
        <v>0</v>
      </c>
      <c r="AJ91" s="1">
        <f t="shared" si="50"/>
        <v>0</v>
      </c>
      <c r="AK91" s="9">
        <f t="shared" si="51"/>
        <v>0</v>
      </c>
      <c r="AL91" s="10">
        <f t="shared" si="52"/>
        <v>0</v>
      </c>
      <c r="AM91" s="1">
        <f>SUMIFS(
  '[1]Hoja 1'!$M:$M,
  '[1]Hoja 1'!$S:$S, $A91,
  '[1]Hoja 1'!$R:$R, "&gt;="&amp;INT($AO$1),
  '[1]Hoja 1'!$R:$R, "&lt;"&amp;INT($AP$1+1)
)</f>
        <v>0</v>
      </c>
      <c r="AN91" s="1">
        <f t="shared" si="53"/>
        <v>0</v>
      </c>
      <c r="AO91" s="9">
        <f t="shared" si="54"/>
        <v>0</v>
      </c>
      <c r="AP91" s="10">
        <f t="shared" si="55"/>
        <v>0</v>
      </c>
      <c r="AQ91" s="1">
        <f>SUMIFS(
  '[1]Hoja 1'!$M:$M,
  '[1]Hoja 1'!$S:$S, $A91,
  '[1]Hoja 1'!$R:$R, "&gt;="&amp;INT($AS$1),
  '[1]Hoja 1'!$R:$R, "&lt;"&amp;INT($AT$1+1)
)</f>
        <v>0</v>
      </c>
      <c r="AR91" s="1">
        <f t="shared" si="56"/>
        <v>0</v>
      </c>
      <c r="AS91" s="9">
        <f t="shared" si="57"/>
        <v>0</v>
      </c>
      <c r="AT91" s="10">
        <f t="shared" si="58"/>
        <v>0</v>
      </c>
      <c r="AU91" s="1">
        <f>SUMIFS(
  '[1]Hoja 1'!$M:$M,
  '[1]Hoja 1'!$S:$S, $A91,
  '[1]Hoja 1'!$R:$R, "&gt;="&amp;INT($AW$1),
  '[1]Hoja 1'!$R:$R, "&lt;"&amp;INT($AX$1+1)
)</f>
        <v>0</v>
      </c>
      <c r="AV91" s="1">
        <f t="shared" si="59"/>
        <v>0</v>
      </c>
      <c r="AW91" s="9">
        <f t="shared" si="60"/>
        <v>0</v>
      </c>
      <c r="AX91" s="10">
        <f t="shared" si="61"/>
        <v>0</v>
      </c>
    </row>
    <row r="92" spans="1:50" x14ac:dyDescent="0.25">
      <c r="A92" s="5">
        <v>213017</v>
      </c>
      <c r="B92" s="6" t="s">
        <v>89</v>
      </c>
      <c r="C92" s="1">
        <f>SUMIFS(
  '[1]Hoja 1'!$M:$M,
  '[1]Hoja 1'!$S:$S, $A92,
  '[1]Hoja 1'!$R:$R, "&gt;="&amp;INT($E$1),
  '[1]Hoja 1'!$R:$R, "&lt;"&amp;INT($F$1+1)
)</f>
        <v>0</v>
      </c>
      <c r="D92" s="1" t="str">
        <f>""</f>
        <v/>
      </c>
      <c r="F92" s="2"/>
      <c r="G92" s="1">
        <f>SUMIFS(
  '[1]Hoja 1'!$M:$M,
  '[1]Hoja 1'!$S:$S, $A92,
  '[1]Hoja 1'!$R:$R, "&gt;="&amp;INT($I$1),
  '[1]Hoja 1'!$R:$R, "&lt;"&amp;INT($J$1+1)
)</f>
        <v>0</v>
      </c>
      <c r="H92" s="1">
        <f t="shared" si="31"/>
        <v>0</v>
      </c>
      <c r="I92" s="1"/>
      <c r="J92" s="2"/>
      <c r="K92" s="1">
        <f>SUMIFS(
  '[1]Hoja 1'!$M:$M,
  '[1]Hoja 1'!$S:$S, $A92,
  '[1]Hoja 1'!$R:$R, "&gt;="&amp;INT($M$1),
  '[1]Hoja 1'!$R:$R, "&lt;"&amp;INT($N$1+1)
)</f>
        <v>0</v>
      </c>
      <c r="L92" s="1">
        <f t="shared" si="32"/>
        <v>0</v>
      </c>
      <c r="M92" s="9">
        <f t="shared" si="33"/>
        <v>0</v>
      </c>
      <c r="N92" s="10">
        <f t="shared" si="34"/>
        <v>0</v>
      </c>
      <c r="O92" s="1">
        <f>SUMIFS(
  '[1]Hoja 1'!$M:$M,
  '[1]Hoja 1'!$S:$S, $A92,
  '[1]Hoja 1'!$R:$R, "&gt;="&amp;INT($Q$1),
  '[1]Hoja 1'!$R:$R, "&lt;"&amp;INT($R$1+1)
)</f>
        <v>0</v>
      </c>
      <c r="P92" s="1">
        <f t="shared" si="35"/>
        <v>0</v>
      </c>
      <c r="Q92" s="9">
        <f t="shared" si="36"/>
        <v>0</v>
      </c>
      <c r="R92" s="10">
        <f t="shared" si="37"/>
        <v>0</v>
      </c>
      <c r="S92" s="1">
        <f>SUMIFS(
  '[1]Hoja 1'!$M:$M,
  '[1]Hoja 1'!$S:$S, $A92,
  '[1]Hoja 1'!$R:$R, "&gt;="&amp;INT($U$1),
  '[1]Hoja 1'!$R:$R, "&lt;"&amp;INT($V$1+1)
)</f>
        <v>0</v>
      </c>
      <c r="T92" s="1">
        <f t="shared" si="38"/>
        <v>0</v>
      </c>
      <c r="U92" s="9">
        <f t="shared" si="39"/>
        <v>-1.47</v>
      </c>
      <c r="V92" s="10">
        <f t="shared" si="40"/>
        <v>1.47</v>
      </c>
      <c r="W92" s="1">
        <f>SUMIFS(
  '[1]Hoja 1'!$M:$M,
  '[1]Hoja 1'!$S:$S, $A92,
  '[1]Hoja 1'!$R:$R, "&gt;="&amp;INT($Y$1),
  '[1]Hoja 1'!$R:$R, "&lt;"&amp;INT($Z$1+1)
)</f>
        <v>0</v>
      </c>
      <c r="X92" s="1">
        <f t="shared" si="41"/>
        <v>0</v>
      </c>
      <c r="Y92" s="9">
        <f t="shared" si="42"/>
        <v>0</v>
      </c>
      <c r="Z92" s="10">
        <f t="shared" si="43"/>
        <v>0</v>
      </c>
      <c r="AA92" s="1">
        <f>SUMIFS(
  '[1]Hoja 1'!$M:$M,
  '[1]Hoja 1'!$S:$S, $A92,
  '[1]Hoja 1'!$R:$R, "&gt;="&amp;INT($AC$1),
  '[1]Hoja 1'!$R:$R, "&lt;"&amp;INT($AD$1+1)
)</f>
        <v>0</v>
      </c>
      <c r="AB92" s="1">
        <f t="shared" si="44"/>
        <v>0</v>
      </c>
      <c r="AC92" s="9">
        <f t="shared" si="45"/>
        <v>0</v>
      </c>
      <c r="AD92" s="10">
        <f t="shared" si="46"/>
        <v>0</v>
      </c>
      <c r="AE92" s="1">
        <f>SUMIFS(
  '[1]Hoja 1'!$M:$M,
  '[1]Hoja 1'!$S:$S, $A92,
  '[1]Hoja 1'!$R:$R, "&gt;="&amp;INT($AG$1),
  '[1]Hoja 1'!$R:$R, "&lt;"&amp;INT($AH$1+1)
)</f>
        <v>0</v>
      </c>
      <c r="AF92" s="1">
        <f t="shared" si="47"/>
        <v>0</v>
      </c>
      <c r="AG92" s="9">
        <f t="shared" si="48"/>
        <v>0</v>
      </c>
      <c r="AH92" s="10">
        <f t="shared" si="49"/>
        <v>0</v>
      </c>
      <c r="AI92" s="1">
        <f>SUMIFS(
  '[1]Hoja 1'!$M:$M,
  '[1]Hoja 1'!$S:$S, $A92,
  '[1]Hoja 1'!$R:$R, "&gt;="&amp;INT($AK$1),
  '[1]Hoja 1'!$R:$R, "&lt;"&amp;INT($AJ$1+1)
)</f>
        <v>0</v>
      </c>
      <c r="AJ92" s="1">
        <f t="shared" si="50"/>
        <v>0</v>
      </c>
      <c r="AK92" s="9">
        <f t="shared" si="51"/>
        <v>0</v>
      </c>
      <c r="AL92" s="10">
        <f t="shared" si="52"/>
        <v>0</v>
      </c>
      <c r="AM92" s="1">
        <f>SUMIFS(
  '[1]Hoja 1'!$M:$M,
  '[1]Hoja 1'!$S:$S, $A92,
  '[1]Hoja 1'!$R:$R, "&gt;="&amp;INT($AO$1),
  '[1]Hoja 1'!$R:$R, "&lt;"&amp;INT($AP$1+1)
)</f>
        <v>0</v>
      </c>
      <c r="AN92" s="1">
        <f t="shared" si="53"/>
        <v>0</v>
      </c>
      <c r="AO92" s="9">
        <f t="shared" si="54"/>
        <v>0</v>
      </c>
      <c r="AP92" s="10">
        <f t="shared" si="55"/>
        <v>0</v>
      </c>
      <c r="AQ92" s="1">
        <f>SUMIFS(
  '[1]Hoja 1'!$M:$M,
  '[1]Hoja 1'!$S:$S, $A92,
  '[1]Hoja 1'!$R:$R, "&gt;="&amp;INT($AS$1),
  '[1]Hoja 1'!$R:$R, "&lt;"&amp;INT($AT$1+1)
)</f>
        <v>0</v>
      </c>
      <c r="AR92" s="1">
        <f t="shared" si="56"/>
        <v>0</v>
      </c>
      <c r="AS92" s="9">
        <f t="shared" si="57"/>
        <v>0</v>
      </c>
      <c r="AT92" s="10">
        <f t="shared" si="58"/>
        <v>0</v>
      </c>
      <c r="AU92" s="1">
        <f>SUMIFS(
  '[1]Hoja 1'!$M:$M,
  '[1]Hoja 1'!$S:$S, $A92,
  '[1]Hoja 1'!$R:$R, "&gt;="&amp;INT($AW$1),
  '[1]Hoja 1'!$R:$R, "&lt;"&amp;INT($AX$1+1)
)</f>
        <v>0</v>
      </c>
      <c r="AV92" s="1">
        <f t="shared" si="59"/>
        <v>0</v>
      </c>
      <c r="AW92" s="9">
        <f t="shared" si="60"/>
        <v>0</v>
      </c>
      <c r="AX92" s="10">
        <f t="shared" si="61"/>
        <v>0</v>
      </c>
    </row>
    <row r="93" spans="1:50" x14ac:dyDescent="0.25">
      <c r="A93" s="5">
        <v>213018</v>
      </c>
      <c r="B93" s="6" t="s">
        <v>90</v>
      </c>
      <c r="C93" s="1">
        <f>SUMIFS(
  '[1]Hoja 1'!$M:$M,
  '[1]Hoja 1'!$S:$S, $A93,
  '[1]Hoja 1'!$R:$R, "&gt;="&amp;INT($E$1),
  '[1]Hoja 1'!$R:$R, "&lt;"&amp;INT($F$1+1)
)</f>
        <v>0</v>
      </c>
      <c r="D93" s="1" t="str">
        <f>""</f>
        <v/>
      </c>
      <c r="F93" s="2"/>
      <c r="G93" s="1">
        <f>SUMIFS(
  '[1]Hoja 1'!$M:$M,
  '[1]Hoja 1'!$S:$S, $A93,
  '[1]Hoja 1'!$R:$R, "&gt;="&amp;INT($I$1),
  '[1]Hoja 1'!$R:$R, "&lt;"&amp;INT($J$1+1)
)</f>
        <v>1</v>
      </c>
      <c r="H93" s="1">
        <f t="shared" si="31"/>
        <v>1</v>
      </c>
      <c r="I93" s="1"/>
      <c r="J93" s="2"/>
      <c r="K93" s="1">
        <f>SUMIFS(
  '[1]Hoja 1'!$M:$M,
  '[1]Hoja 1'!$S:$S, $A93,
  '[1]Hoja 1'!$R:$R, "&gt;="&amp;INT($M$1),
  '[1]Hoja 1'!$R:$R, "&lt;"&amp;INT($N$1+1)
)</f>
        <v>0</v>
      </c>
      <c r="L93" s="1">
        <f t="shared" si="32"/>
        <v>0.5</v>
      </c>
      <c r="M93" s="9">
        <f t="shared" si="33"/>
        <v>-0.88592929112563312</v>
      </c>
      <c r="N93" s="10">
        <f t="shared" si="34"/>
        <v>1.8859292911256331</v>
      </c>
      <c r="O93" s="1">
        <f>SUMIFS(
  '[1]Hoja 1'!$M:$M,
  '[1]Hoja 1'!$S:$S, $A93,
  '[1]Hoja 1'!$R:$R, "&gt;="&amp;INT($Q$1),
  '[1]Hoja 1'!$R:$R, "&lt;"&amp;INT($R$1+1)
)</f>
        <v>0</v>
      </c>
      <c r="P93" s="1">
        <f t="shared" si="35"/>
        <v>0</v>
      </c>
      <c r="Q93" s="9">
        <f t="shared" si="36"/>
        <v>-0.98</v>
      </c>
      <c r="R93" s="10">
        <f t="shared" si="37"/>
        <v>0.98</v>
      </c>
      <c r="S93" s="1">
        <f>SUMIFS(
  '[1]Hoja 1'!$M:$M,
  '[1]Hoja 1'!$S:$S, $A93,
  '[1]Hoja 1'!$R:$R, "&gt;="&amp;INT($U$1),
  '[1]Hoja 1'!$R:$R, "&lt;"&amp;INT($V$1+1)
)</f>
        <v>0</v>
      </c>
      <c r="T93" s="1">
        <f t="shared" si="38"/>
        <v>0</v>
      </c>
      <c r="U93" s="9">
        <f t="shared" si="39"/>
        <v>-1.6736686251067343</v>
      </c>
      <c r="V93" s="10">
        <f t="shared" si="40"/>
        <v>1.6736686251067343</v>
      </c>
      <c r="W93" s="1">
        <f>SUMIFS(
  '[1]Hoja 1'!$M:$M,
  '[1]Hoja 1'!$S:$S, $A93,
  '[1]Hoja 1'!$R:$R, "&gt;="&amp;INT($Y$1),
  '[1]Hoja 1'!$R:$R, "&lt;"&amp;INT($Z$1+1)
)</f>
        <v>0</v>
      </c>
      <c r="X93" s="1">
        <f t="shared" si="41"/>
        <v>0</v>
      </c>
      <c r="Y93" s="9">
        <f t="shared" si="42"/>
        <v>-0.69296464556281656</v>
      </c>
      <c r="Z93" s="10">
        <f t="shared" si="43"/>
        <v>0.69296464556281656</v>
      </c>
      <c r="AA93" s="1">
        <f>SUMIFS(
  '[1]Hoja 1'!$M:$M,
  '[1]Hoja 1'!$S:$S, $A93,
  '[1]Hoja 1'!$R:$R, "&gt;="&amp;INT($AC$1),
  '[1]Hoja 1'!$R:$R, "&lt;"&amp;INT($AD$1+1)
)</f>
        <v>0</v>
      </c>
      <c r="AB93" s="1">
        <f t="shared" si="44"/>
        <v>0</v>
      </c>
      <c r="AC93" s="9">
        <f t="shared" si="45"/>
        <v>-0.61980642139300235</v>
      </c>
      <c r="AD93" s="10">
        <f t="shared" si="46"/>
        <v>0.61980642139300235</v>
      </c>
      <c r="AE93" s="1">
        <f>SUMIFS(
  '[1]Hoja 1'!$M:$M,
  '[1]Hoja 1'!$S:$S, $A93,
  '[1]Hoja 1'!$R:$R, "&gt;="&amp;INT($AG$1),
  '[1]Hoja 1'!$R:$R, "&lt;"&amp;INT($AH$1+1)
)</f>
        <v>0</v>
      </c>
      <c r="AF93" s="1">
        <f t="shared" si="47"/>
        <v>0</v>
      </c>
      <c r="AG93" s="9">
        <f t="shared" si="48"/>
        <v>-0.56580326380583323</v>
      </c>
      <c r="AH93" s="10">
        <f t="shared" si="49"/>
        <v>0.56580326380583323</v>
      </c>
      <c r="AI93" s="1">
        <f>SUMIFS(
  '[1]Hoja 1'!$M:$M,
  '[1]Hoja 1'!$S:$S, $A93,
  '[1]Hoja 1'!$R:$R, "&gt;="&amp;INT($AK$1),
  '[1]Hoja 1'!$R:$R, "&lt;"&amp;INT($AJ$1+1)
)</f>
        <v>0</v>
      </c>
      <c r="AJ93" s="1">
        <f t="shared" si="50"/>
        <v>0</v>
      </c>
      <c r="AK93" s="9">
        <f t="shared" si="51"/>
        <v>-0.52383203414835178</v>
      </c>
      <c r="AL93" s="10">
        <f t="shared" si="52"/>
        <v>0.52383203414835178</v>
      </c>
      <c r="AM93" s="1">
        <f>SUMIFS(
  '[1]Hoja 1'!$M:$M,
  '[1]Hoja 1'!$S:$S, $A93,
  '[1]Hoja 1'!$R:$R, "&gt;="&amp;INT($AO$1),
  '[1]Hoja 1'!$R:$R, "&lt;"&amp;INT($AP$1+1)
)</f>
        <v>0</v>
      </c>
      <c r="AN93" s="1">
        <f t="shared" si="53"/>
        <v>0</v>
      </c>
      <c r="AO93" s="9">
        <f t="shared" si="54"/>
        <v>-0.49</v>
      </c>
      <c r="AP93" s="10">
        <f t="shared" si="55"/>
        <v>0.49</v>
      </c>
      <c r="AQ93" s="1">
        <f>SUMIFS(
  '[1]Hoja 1'!$M:$M,
  '[1]Hoja 1'!$S:$S, $A93,
  '[1]Hoja 1'!$R:$R, "&gt;="&amp;INT($AS$1),
  '[1]Hoja 1'!$R:$R, "&lt;"&amp;INT($AT$1+1)
)</f>
        <v>0</v>
      </c>
      <c r="AR93" s="1">
        <f t="shared" si="56"/>
        <v>0</v>
      </c>
      <c r="AS93" s="9">
        <f t="shared" si="57"/>
        <v>-0.46197643037521102</v>
      </c>
      <c r="AT93" s="10">
        <f t="shared" si="58"/>
        <v>0.46197643037521102</v>
      </c>
      <c r="AU93" s="1">
        <f>SUMIFS(
  '[1]Hoja 1'!$M:$M,
  '[1]Hoja 1'!$S:$S, $A93,
  '[1]Hoja 1'!$R:$R, "&gt;="&amp;INT($AW$1),
  '[1]Hoja 1'!$R:$R, "&lt;"&amp;INT($AX$1+1)
)</f>
        <v>0</v>
      </c>
      <c r="AV93" s="1">
        <f t="shared" si="59"/>
        <v>0</v>
      </c>
      <c r="AW93" s="9">
        <f t="shared" si="60"/>
        <v>-0.43826932358995874</v>
      </c>
      <c r="AX93" s="10">
        <f t="shared" si="61"/>
        <v>0.43826932358995874</v>
      </c>
    </row>
    <row r="94" spans="1:50" x14ac:dyDescent="0.25">
      <c r="A94" s="5">
        <v>213020</v>
      </c>
      <c r="B94" s="6" t="s">
        <v>91</v>
      </c>
      <c r="C94" s="1">
        <f>SUMIFS(
  '[1]Hoja 1'!$M:$M,
  '[1]Hoja 1'!$S:$S, $A94,
  '[1]Hoja 1'!$R:$R, "&gt;="&amp;INT($E$1),
  '[1]Hoja 1'!$R:$R, "&lt;"&amp;INT($F$1+1)
)</f>
        <v>0</v>
      </c>
      <c r="D94" s="1" t="str">
        <f>""</f>
        <v/>
      </c>
      <c r="F94" s="2"/>
      <c r="G94" s="1">
        <f>SUMIFS(
  '[1]Hoja 1'!$M:$M,
  '[1]Hoja 1'!$S:$S, $A94,
  '[1]Hoja 1'!$R:$R, "&gt;="&amp;INT($I$1),
  '[1]Hoja 1'!$R:$R, "&lt;"&amp;INT($J$1+1)
)</f>
        <v>0</v>
      </c>
      <c r="H94" s="1">
        <f t="shared" si="31"/>
        <v>0</v>
      </c>
      <c r="I94" s="1"/>
      <c r="J94" s="2"/>
      <c r="K94" s="1">
        <f>SUMIFS(
  '[1]Hoja 1'!$M:$M,
  '[1]Hoja 1'!$S:$S, $A94,
  '[1]Hoja 1'!$R:$R, "&gt;="&amp;INT($M$1),
  '[1]Hoja 1'!$R:$R, "&lt;"&amp;INT($N$1+1)
)</f>
        <v>0</v>
      </c>
      <c r="L94" s="1">
        <f t="shared" si="32"/>
        <v>0</v>
      </c>
      <c r="M94" s="9">
        <f t="shared" si="33"/>
        <v>0</v>
      </c>
      <c r="N94" s="10">
        <f t="shared" si="34"/>
        <v>0</v>
      </c>
      <c r="O94" s="1">
        <f>SUMIFS(
  '[1]Hoja 1'!$M:$M,
  '[1]Hoja 1'!$S:$S, $A94,
  '[1]Hoja 1'!$R:$R, "&gt;="&amp;INT($Q$1),
  '[1]Hoja 1'!$R:$R, "&lt;"&amp;INT($R$1+1)
)</f>
        <v>0</v>
      </c>
      <c r="P94" s="1">
        <f t="shared" si="35"/>
        <v>0</v>
      </c>
      <c r="Q94" s="9">
        <f t="shared" si="36"/>
        <v>0</v>
      </c>
      <c r="R94" s="10">
        <f t="shared" si="37"/>
        <v>0</v>
      </c>
      <c r="S94" s="1">
        <f>SUMIFS(
  '[1]Hoja 1'!$M:$M,
  '[1]Hoja 1'!$S:$S, $A94,
  '[1]Hoja 1'!$R:$R, "&gt;="&amp;INT($U$1),
  '[1]Hoja 1'!$R:$R, "&lt;"&amp;INT($V$1+1)
)</f>
        <v>0</v>
      </c>
      <c r="T94" s="1">
        <f t="shared" si="38"/>
        <v>0</v>
      </c>
      <c r="U94" s="9">
        <f t="shared" si="39"/>
        <v>-1.47</v>
      </c>
      <c r="V94" s="10">
        <f t="shared" si="40"/>
        <v>1.47</v>
      </c>
      <c r="W94" s="1">
        <f>SUMIFS(
  '[1]Hoja 1'!$M:$M,
  '[1]Hoja 1'!$S:$S, $A94,
  '[1]Hoja 1'!$R:$R, "&gt;="&amp;INT($Y$1),
  '[1]Hoja 1'!$R:$R, "&lt;"&amp;INT($Z$1+1)
)</f>
        <v>0</v>
      </c>
      <c r="X94" s="1">
        <f t="shared" si="41"/>
        <v>0</v>
      </c>
      <c r="Y94" s="9">
        <f t="shared" si="42"/>
        <v>0</v>
      </c>
      <c r="Z94" s="10">
        <f t="shared" si="43"/>
        <v>0</v>
      </c>
      <c r="AA94" s="1">
        <f>SUMIFS(
  '[1]Hoja 1'!$M:$M,
  '[1]Hoja 1'!$S:$S, $A94,
  '[1]Hoja 1'!$R:$R, "&gt;="&amp;INT($AC$1),
  '[1]Hoja 1'!$R:$R, "&lt;"&amp;INT($AD$1+1)
)</f>
        <v>0</v>
      </c>
      <c r="AB94" s="1">
        <f t="shared" si="44"/>
        <v>0</v>
      </c>
      <c r="AC94" s="9">
        <f t="shared" si="45"/>
        <v>0</v>
      </c>
      <c r="AD94" s="10">
        <f t="shared" si="46"/>
        <v>0</v>
      </c>
      <c r="AE94" s="1">
        <f>SUMIFS(
  '[1]Hoja 1'!$M:$M,
  '[1]Hoja 1'!$S:$S, $A94,
  '[1]Hoja 1'!$R:$R, "&gt;="&amp;INT($AG$1),
  '[1]Hoja 1'!$R:$R, "&lt;"&amp;INT($AH$1+1)
)</f>
        <v>0</v>
      </c>
      <c r="AF94" s="1">
        <f t="shared" si="47"/>
        <v>0</v>
      </c>
      <c r="AG94" s="9">
        <f t="shared" si="48"/>
        <v>0</v>
      </c>
      <c r="AH94" s="10">
        <f t="shared" si="49"/>
        <v>0</v>
      </c>
      <c r="AI94" s="1">
        <f>SUMIFS(
  '[1]Hoja 1'!$M:$M,
  '[1]Hoja 1'!$S:$S, $A94,
  '[1]Hoja 1'!$R:$R, "&gt;="&amp;INT($AK$1),
  '[1]Hoja 1'!$R:$R, "&lt;"&amp;INT($AJ$1+1)
)</f>
        <v>0</v>
      </c>
      <c r="AJ94" s="1">
        <f t="shared" si="50"/>
        <v>0</v>
      </c>
      <c r="AK94" s="9">
        <f t="shared" si="51"/>
        <v>0</v>
      </c>
      <c r="AL94" s="10">
        <f t="shared" si="52"/>
        <v>0</v>
      </c>
      <c r="AM94" s="1">
        <f>SUMIFS(
  '[1]Hoja 1'!$M:$M,
  '[1]Hoja 1'!$S:$S, $A94,
  '[1]Hoja 1'!$R:$R, "&gt;="&amp;INT($AO$1),
  '[1]Hoja 1'!$R:$R, "&lt;"&amp;INT($AP$1+1)
)</f>
        <v>0</v>
      </c>
      <c r="AN94" s="1">
        <f t="shared" si="53"/>
        <v>0</v>
      </c>
      <c r="AO94" s="9">
        <f t="shared" si="54"/>
        <v>0</v>
      </c>
      <c r="AP94" s="10">
        <f t="shared" si="55"/>
        <v>0</v>
      </c>
      <c r="AQ94" s="1">
        <f>SUMIFS(
  '[1]Hoja 1'!$M:$M,
  '[1]Hoja 1'!$S:$S, $A94,
  '[1]Hoja 1'!$R:$R, "&gt;="&amp;INT($AS$1),
  '[1]Hoja 1'!$R:$R, "&lt;"&amp;INT($AT$1+1)
)</f>
        <v>0</v>
      </c>
      <c r="AR94" s="1">
        <f t="shared" si="56"/>
        <v>0</v>
      </c>
      <c r="AS94" s="9">
        <f t="shared" si="57"/>
        <v>0</v>
      </c>
      <c r="AT94" s="10">
        <f t="shared" si="58"/>
        <v>0</v>
      </c>
      <c r="AU94" s="1">
        <f>SUMIFS(
  '[1]Hoja 1'!$M:$M,
  '[1]Hoja 1'!$S:$S, $A94,
  '[1]Hoja 1'!$R:$R, "&gt;="&amp;INT($AW$1),
  '[1]Hoja 1'!$R:$R, "&lt;"&amp;INT($AX$1+1)
)</f>
        <v>0</v>
      </c>
      <c r="AV94" s="1">
        <f t="shared" si="59"/>
        <v>0</v>
      </c>
      <c r="AW94" s="9">
        <f t="shared" si="60"/>
        <v>0</v>
      </c>
      <c r="AX94" s="10">
        <f t="shared" si="61"/>
        <v>0</v>
      </c>
    </row>
    <row r="95" spans="1:50" x14ac:dyDescent="0.25">
      <c r="A95" s="5">
        <v>213021</v>
      </c>
      <c r="B95" s="6" t="s">
        <v>92</v>
      </c>
      <c r="C95" s="1">
        <f>SUMIFS(
  '[1]Hoja 1'!$M:$M,
  '[1]Hoja 1'!$S:$S, $A95,
  '[1]Hoja 1'!$R:$R, "&gt;="&amp;INT($E$1),
  '[1]Hoja 1'!$R:$R, "&lt;"&amp;INT($F$1+1)
)</f>
        <v>2</v>
      </c>
      <c r="D95" s="1" t="str">
        <f>""</f>
        <v/>
      </c>
      <c r="F95" s="2"/>
      <c r="G95" s="1">
        <f>SUMIFS(
  '[1]Hoja 1'!$M:$M,
  '[1]Hoja 1'!$S:$S, $A95,
  '[1]Hoja 1'!$R:$R, "&gt;="&amp;INT($I$1),
  '[1]Hoja 1'!$R:$R, "&lt;"&amp;INT($J$1+1)
)</f>
        <v>4</v>
      </c>
      <c r="H95" s="1">
        <f t="shared" si="31"/>
        <v>3</v>
      </c>
      <c r="I95" s="1"/>
      <c r="J95" s="2"/>
      <c r="K95" s="1">
        <f>SUMIFS(
  '[1]Hoja 1'!$M:$M,
  '[1]Hoja 1'!$S:$S, $A95,
  '[1]Hoja 1'!$R:$R, "&gt;="&amp;INT($M$1),
  '[1]Hoja 1'!$R:$R, "&lt;"&amp;INT($N$1+1)
)</f>
        <v>0</v>
      </c>
      <c r="L95" s="1">
        <f t="shared" si="32"/>
        <v>2</v>
      </c>
      <c r="M95" s="9">
        <f t="shared" si="33"/>
        <v>-2.1577878733768987</v>
      </c>
      <c r="N95" s="10">
        <f t="shared" si="34"/>
        <v>6.1577878733768987</v>
      </c>
      <c r="O95" s="1">
        <f>SUMIFS(
  '[1]Hoja 1'!$M:$M,
  '[1]Hoja 1'!$S:$S, $A95,
  '[1]Hoja 1'!$R:$R, "&gt;="&amp;INT($Q$1),
  '[1]Hoja 1'!$R:$R, "&lt;"&amp;INT($R$1+1)
)</f>
        <v>0</v>
      </c>
      <c r="P95" s="1">
        <f t="shared" si="35"/>
        <v>0</v>
      </c>
      <c r="Q95" s="9">
        <f t="shared" si="36"/>
        <v>-2.9939494540378155</v>
      </c>
      <c r="R95" s="10">
        <f t="shared" si="37"/>
        <v>2.9939494540378155</v>
      </c>
      <c r="S95" s="1">
        <f>SUMIFS(
  '[1]Hoja 1'!$M:$M,
  '[1]Hoja 1'!$S:$S, $A95,
  '[1]Hoja 1'!$R:$R, "&gt;="&amp;INT($U$1),
  '[1]Hoja 1'!$R:$R, "&lt;"&amp;INT($V$1+1)
)</f>
        <v>0</v>
      </c>
      <c r="T95" s="1">
        <f t="shared" si="38"/>
        <v>0</v>
      </c>
      <c r="U95" s="9">
        <f t="shared" si="39"/>
        <v>-2.69870956817019</v>
      </c>
      <c r="V95" s="10">
        <f t="shared" si="40"/>
        <v>2.69870956817019</v>
      </c>
      <c r="W95" s="1">
        <f>SUMIFS(
  '[1]Hoja 1'!$M:$M,
  '[1]Hoja 1'!$S:$S, $A95,
  '[1]Hoja 1'!$R:$R, "&gt;="&amp;INT($Y$1),
  '[1]Hoja 1'!$R:$R, "&lt;"&amp;INT($Z$1+1)
)</f>
        <v>0</v>
      </c>
      <c r="X95" s="1">
        <f t="shared" si="41"/>
        <v>0</v>
      </c>
      <c r="Y95" s="9">
        <f t="shared" si="42"/>
        <v>-2.1470724254202511</v>
      </c>
      <c r="Z95" s="10">
        <f t="shared" si="43"/>
        <v>2.1470724254202511</v>
      </c>
      <c r="AA95" s="1">
        <f>SUMIFS(
  '[1]Hoja 1'!$M:$M,
  '[1]Hoja 1'!$S:$S, $A95,
  '[1]Hoja 1'!$R:$R, "&gt;="&amp;INT($AC$1),
  '[1]Hoja 1'!$R:$R, "&lt;"&amp;INT($AD$1+1)
)</f>
        <v>0</v>
      </c>
      <c r="AB95" s="1">
        <f t="shared" si="44"/>
        <v>0</v>
      </c>
      <c r="AC95" s="9">
        <f t="shared" si="45"/>
        <v>-1.9270564772903429</v>
      </c>
      <c r="AD95" s="10">
        <f t="shared" si="46"/>
        <v>1.9270564772903429</v>
      </c>
      <c r="AE95" s="1">
        <f>SUMIFS(
  '[1]Hoja 1'!$M:$M,
  '[1]Hoja 1'!$S:$S, $A95,
  '[1]Hoja 1'!$R:$R, "&gt;="&amp;INT($AG$1),
  '[1]Hoja 1'!$R:$R, "&lt;"&amp;INT($AH$1+1)
)</f>
        <v>0</v>
      </c>
      <c r="AF95" s="1">
        <f t="shared" si="47"/>
        <v>0</v>
      </c>
      <c r="AG95" s="9">
        <f t="shared" si="48"/>
        <v>-1.7634814052511769</v>
      </c>
      <c r="AH95" s="10">
        <f t="shared" si="49"/>
        <v>1.7634814052511769</v>
      </c>
      <c r="AI95" s="1">
        <f>SUMIFS(
  '[1]Hoja 1'!$M:$M,
  '[1]Hoja 1'!$S:$S, $A95,
  '[1]Hoja 1'!$R:$R, "&gt;="&amp;INT($AK$1),
  '[1]Hoja 1'!$R:$R, "&lt;"&amp;INT($AJ$1+1)
)</f>
        <v>0</v>
      </c>
      <c r="AJ95" s="1">
        <f t="shared" si="50"/>
        <v>0</v>
      </c>
      <c r="AK95" s="9">
        <f t="shared" si="51"/>
        <v>-1.635665002376709</v>
      </c>
      <c r="AL95" s="10">
        <f t="shared" si="52"/>
        <v>1.635665002376709</v>
      </c>
      <c r="AM95" s="1">
        <f>SUMIFS(
  '[1]Hoja 1'!$M:$M,
  '[1]Hoja 1'!$S:$S, $A95,
  '[1]Hoja 1'!$R:$R, "&gt;="&amp;INT($AO$1),
  '[1]Hoja 1'!$R:$R, "&lt;"&amp;INT($AP$1+1)
)</f>
        <v>0</v>
      </c>
      <c r="AN95" s="1">
        <f t="shared" si="53"/>
        <v>0</v>
      </c>
      <c r="AO95" s="9">
        <f t="shared" si="54"/>
        <v>-1.5322024815423205</v>
      </c>
      <c r="AP95" s="10">
        <f t="shared" si="55"/>
        <v>1.5322024815423205</v>
      </c>
      <c r="AQ95" s="1">
        <f>SUMIFS(
  '[1]Hoja 1'!$M:$M,
  '[1]Hoja 1'!$S:$S, $A95,
  '[1]Hoja 1'!$R:$R, "&gt;="&amp;INT($AS$1),
  '[1]Hoja 1'!$R:$R, "&lt;"&amp;INT($AT$1+1)
)</f>
        <v>0</v>
      </c>
      <c r="AR95" s="1">
        <f t="shared" si="56"/>
        <v>0</v>
      </c>
      <c r="AS95" s="9">
        <f t="shared" si="57"/>
        <v>-1.4462149832503388</v>
      </c>
      <c r="AT95" s="10">
        <f t="shared" si="58"/>
        <v>1.4462149832503388</v>
      </c>
      <c r="AU95" s="1">
        <f>SUMIFS(
  '[1]Hoja 1'!$M:$M,
  '[1]Hoja 1'!$S:$S, $A95,
  '[1]Hoja 1'!$R:$R, "&gt;="&amp;INT($AW$1),
  '[1]Hoja 1'!$R:$R, "&lt;"&amp;INT($AX$1+1)
)</f>
        <v>0</v>
      </c>
      <c r="AV95" s="1">
        <f t="shared" si="59"/>
        <v>0</v>
      </c>
      <c r="AW95" s="9">
        <f t="shared" si="60"/>
        <v>-1.3732721375009265</v>
      </c>
      <c r="AX95" s="10">
        <f t="shared" si="61"/>
        <v>1.3732721375009265</v>
      </c>
    </row>
    <row r="96" spans="1:50" x14ac:dyDescent="0.25">
      <c r="A96" s="5">
        <v>213022</v>
      </c>
      <c r="B96" s="6" t="s">
        <v>93</v>
      </c>
      <c r="C96" s="1">
        <f>SUMIFS(
  '[1]Hoja 1'!$M:$M,
  '[1]Hoja 1'!$S:$S, $A96,
  '[1]Hoja 1'!$R:$R, "&gt;="&amp;INT($E$1),
  '[1]Hoja 1'!$R:$R, "&lt;"&amp;INT($F$1+1)
)</f>
        <v>220</v>
      </c>
      <c r="D96" s="1" t="str">
        <f>""</f>
        <v/>
      </c>
      <c r="F96" s="2"/>
      <c r="G96" s="1">
        <f>SUMIFS(
  '[1]Hoja 1'!$M:$M,
  '[1]Hoja 1'!$S:$S, $A96,
  '[1]Hoja 1'!$R:$R, "&gt;="&amp;INT($I$1),
  '[1]Hoja 1'!$R:$R, "&lt;"&amp;INT($J$1+1)
)</f>
        <v>443</v>
      </c>
      <c r="H96" s="1">
        <f t="shared" si="31"/>
        <v>332</v>
      </c>
      <c r="I96" s="1"/>
      <c r="J96" s="2"/>
      <c r="K96" s="1">
        <f>SUMIFS(
  '[1]Hoja 1'!$M:$M,
  '[1]Hoja 1'!$S:$S, $A96,
  '[1]Hoja 1'!$R:$R, "&gt;="&amp;INT($M$1),
  '[1]Hoja 1'!$R:$R, "&lt;"&amp;INT($N$1+1)
)</f>
        <v>0</v>
      </c>
      <c r="L96" s="1">
        <f t="shared" si="32"/>
        <v>221.5</v>
      </c>
      <c r="M96" s="9">
        <f t="shared" si="33"/>
        <v>-240.01445394483585</v>
      </c>
      <c r="N96" s="10">
        <f t="shared" si="34"/>
        <v>683.01445394483585</v>
      </c>
      <c r="O96" s="1">
        <f>SUMIFS(
  '[1]Hoja 1'!$M:$M,
  '[1]Hoja 1'!$S:$S, $A96,
  '[1]Hoja 1'!$R:$R, "&gt;="&amp;INT($Q$1),
  '[1]Hoja 1'!$R:$R, "&lt;"&amp;INT($R$1+1)
)</f>
        <v>0</v>
      </c>
      <c r="P96" s="1">
        <f t="shared" si="35"/>
        <v>0</v>
      </c>
      <c r="Q96" s="9">
        <f t="shared" si="36"/>
        <v>-332.22192723138147</v>
      </c>
      <c r="R96" s="10">
        <f t="shared" si="37"/>
        <v>332.22192723138147</v>
      </c>
      <c r="S96" s="1">
        <f>SUMIFS(
  '[1]Hoja 1'!$M:$M,
  '[1]Hoja 1'!$S:$S, $A96,
  '[1]Hoja 1'!$R:$R, "&gt;="&amp;INT($U$1),
  '[1]Hoja 1'!$R:$R, "&lt;"&amp;INT($V$1+1)
)</f>
        <v>0</v>
      </c>
      <c r="T96" s="1">
        <f t="shared" si="38"/>
        <v>0</v>
      </c>
      <c r="U96" s="9">
        <f t="shared" si="39"/>
        <v>-273.43858658450773</v>
      </c>
      <c r="V96" s="10">
        <f t="shared" si="40"/>
        <v>273.43858658450773</v>
      </c>
      <c r="W96" s="1">
        <f>SUMIFS(
  '[1]Hoja 1'!$M:$M,
  '[1]Hoja 1'!$S:$S, $A96,
  '[1]Hoja 1'!$R:$R, "&gt;="&amp;INT($Y$1),
  '[1]Hoja 1'!$R:$R, "&lt;"&amp;INT($Z$1+1)
)</f>
        <v>0</v>
      </c>
      <c r="X96" s="1">
        <f t="shared" si="41"/>
        <v>0</v>
      </c>
      <c r="Y96" s="9">
        <f t="shared" si="42"/>
        <v>-238.1914142029473</v>
      </c>
      <c r="Z96" s="10">
        <f t="shared" si="43"/>
        <v>238.1914142029473</v>
      </c>
      <c r="AA96" s="1">
        <f>SUMIFS(
  '[1]Hoja 1'!$M:$M,
  '[1]Hoja 1'!$S:$S, $A96,
  '[1]Hoja 1'!$R:$R, "&gt;="&amp;INT($AC$1),
  '[1]Hoja 1'!$R:$R, "&lt;"&amp;INT($AD$1+1)
)</f>
        <v>0</v>
      </c>
      <c r="AB96" s="1">
        <f t="shared" si="44"/>
        <v>0</v>
      </c>
      <c r="AC96" s="9">
        <f t="shared" si="45"/>
        <v>-213.77092624271117</v>
      </c>
      <c r="AD96" s="10">
        <f t="shared" si="46"/>
        <v>213.77092624271117</v>
      </c>
      <c r="AE96" s="1">
        <f>SUMIFS(
  '[1]Hoja 1'!$M:$M,
  '[1]Hoja 1'!$S:$S, $A96,
  '[1]Hoja 1'!$R:$R, "&gt;="&amp;INT($AG$1),
  '[1]Hoja 1'!$R:$R, "&lt;"&amp;INT($AH$1+1)
)</f>
        <v>0</v>
      </c>
      <c r="AF96" s="1">
        <f t="shared" si="47"/>
        <v>0</v>
      </c>
      <c r="AG96" s="9">
        <f t="shared" si="48"/>
        <v>-195.61730973169696</v>
      </c>
      <c r="AH96" s="10">
        <f t="shared" si="49"/>
        <v>195.61730973169696</v>
      </c>
      <c r="AI96" s="1">
        <f>SUMIFS(
  '[1]Hoja 1'!$M:$M,
  '[1]Hoja 1'!$S:$S, $A96,
  '[1]Hoja 1'!$R:$R, "&gt;="&amp;INT($AK$1),
  '[1]Hoja 1'!$R:$R, "&lt;"&amp;INT($AJ$1+1)
)</f>
        <v>0</v>
      </c>
      <c r="AJ96" s="1">
        <f t="shared" si="50"/>
        <v>0</v>
      </c>
      <c r="AK96" s="9">
        <f t="shared" si="51"/>
        <v>-181.43351840274718</v>
      </c>
      <c r="AL96" s="10">
        <f t="shared" si="52"/>
        <v>181.43351840274718</v>
      </c>
      <c r="AM96" s="1">
        <f>SUMIFS(
  '[1]Hoja 1'!$M:$M,
  '[1]Hoja 1'!$S:$S, $A96,
  '[1]Hoja 1'!$R:$R, "&gt;="&amp;INT($AO$1),
  '[1]Hoja 1'!$R:$R, "&lt;"&amp;INT($AP$1+1)
)</f>
        <v>0</v>
      </c>
      <c r="AN96" s="1">
        <f t="shared" si="53"/>
        <v>0</v>
      </c>
      <c r="AO96" s="9">
        <f t="shared" si="54"/>
        <v>-169.95310140676389</v>
      </c>
      <c r="AP96" s="10">
        <f t="shared" si="55"/>
        <v>169.95310140676389</v>
      </c>
      <c r="AQ96" s="1">
        <f>SUMIFS(
  '[1]Hoja 1'!$M:$M,
  '[1]Hoja 1'!$S:$S, $A96,
  '[1]Hoja 1'!$R:$R, "&gt;="&amp;INT($AS$1),
  '[1]Hoja 1'!$R:$R, "&lt;"&amp;INT($AT$1+1)
)</f>
        <v>0</v>
      </c>
      <c r="AR96" s="1">
        <f t="shared" si="56"/>
        <v>0</v>
      </c>
      <c r="AS96" s="9">
        <f t="shared" si="57"/>
        <v>-160.41229351614891</v>
      </c>
      <c r="AT96" s="10">
        <f t="shared" si="58"/>
        <v>160.41229351614891</v>
      </c>
      <c r="AU96" s="1">
        <f>SUMIFS(
  '[1]Hoja 1'!$M:$M,
  '[1]Hoja 1'!$S:$S, $A96,
  '[1]Hoja 1'!$R:$R, "&gt;="&amp;INT($AW$1),
  '[1]Hoja 1'!$R:$R, "&lt;"&amp;INT($AX$1+1)
)</f>
        <v>0</v>
      </c>
      <c r="AV96" s="1">
        <f t="shared" si="59"/>
        <v>0</v>
      </c>
      <c r="AW96" s="9">
        <f t="shared" si="60"/>
        <v>-152.31924080693153</v>
      </c>
      <c r="AX96" s="10">
        <f t="shared" si="61"/>
        <v>152.31924080693153</v>
      </c>
    </row>
    <row r="97" spans="1:50" x14ac:dyDescent="0.25">
      <c r="A97" s="5">
        <v>213024</v>
      </c>
      <c r="B97" s="6" t="s">
        <v>94</v>
      </c>
      <c r="C97" s="1">
        <f>SUMIFS(
  '[1]Hoja 1'!$M:$M,
  '[1]Hoja 1'!$S:$S, $A97,
  '[1]Hoja 1'!$R:$R, "&gt;="&amp;INT($E$1),
  '[1]Hoja 1'!$R:$R, "&lt;"&amp;INT($F$1+1)
)</f>
        <v>0</v>
      </c>
      <c r="D97" s="1" t="str">
        <f>""</f>
        <v/>
      </c>
      <c r="F97" s="2"/>
      <c r="G97" s="1">
        <f>SUMIFS(
  '[1]Hoja 1'!$M:$M,
  '[1]Hoja 1'!$S:$S, $A97,
  '[1]Hoja 1'!$R:$R, "&gt;="&amp;INT($I$1),
  '[1]Hoja 1'!$R:$R, "&lt;"&amp;INT($J$1+1)
)</f>
        <v>0</v>
      </c>
      <c r="H97" s="1">
        <f t="shared" si="31"/>
        <v>0</v>
      </c>
      <c r="I97" s="1"/>
      <c r="J97" s="2"/>
      <c r="K97" s="1">
        <f>SUMIFS(
  '[1]Hoja 1'!$M:$M,
  '[1]Hoja 1'!$S:$S, $A97,
  '[1]Hoja 1'!$R:$R, "&gt;="&amp;INT($M$1),
  '[1]Hoja 1'!$R:$R, "&lt;"&amp;INT($N$1+1)
)</f>
        <v>0</v>
      </c>
      <c r="L97" s="1">
        <f t="shared" si="32"/>
        <v>0</v>
      </c>
      <c r="M97" s="9">
        <f t="shared" si="33"/>
        <v>0</v>
      </c>
      <c r="N97" s="10">
        <f t="shared" si="34"/>
        <v>0</v>
      </c>
      <c r="O97" s="1">
        <f>SUMIFS(
  '[1]Hoja 1'!$M:$M,
  '[1]Hoja 1'!$S:$S, $A97,
  '[1]Hoja 1'!$R:$R, "&gt;="&amp;INT($Q$1),
  '[1]Hoja 1'!$R:$R, "&lt;"&amp;INT($R$1+1)
)</f>
        <v>0</v>
      </c>
      <c r="P97" s="1">
        <f t="shared" si="35"/>
        <v>0</v>
      </c>
      <c r="Q97" s="9">
        <f t="shared" si="36"/>
        <v>0</v>
      </c>
      <c r="R97" s="10">
        <f t="shared" si="37"/>
        <v>0</v>
      </c>
      <c r="S97" s="1">
        <f>SUMIFS(
  '[1]Hoja 1'!$M:$M,
  '[1]Hoja 1'!$S:$S, $A97,
  '[1]Hoja 1'!$R:$R, "&gt;="&amp;INT($U$1),
  '[1]Hoja 1'!$R:$R, "&lt;"&amp;INT($V$1+1)
)</f>
        <v>0</v>
      </c>
      <c r="T97" s="1">
        <f t="shared" si="38"/>
        <v>0</v>
      </c>
      <c r="U97" s="9">
        <f t="shared" si="39"/>
        <v>-1.47</v>
      </c>
      <c r="V97" s="10">
        <f t="shared" si="40"/>
        <v>1.47</v>
      </c>
      <c r="W97" s="1">
        <f>SUMIFS(
  '[1]Hoja 1'!$M:$M,
  '[1]Hoja 1'!$S:$S, $A97,
  '[1]Hoja 1'!$R:$R, "&gt;="&amp;INT($Y$1),
  '[1]Hoja 1'!$R:$R, "&lt;"&amp;INT($Z$1+1)
)</f>
        <v>0</v>
      </c>
      <c r="X97" s="1">
        <f t="shared" si="41"/>
        <v>0</v>
      </c>
      <c r="Y97" s="9">
        <f t="shared" si="42"/>
        <v>0</v>
      </c>
      <c r="Z97" s="10">
        <f t="shared" si="43"/>
        <v>0</v>
      </c>
      <c r="AA97" s="1">
        <f>SUMIFS(
  '[1]Hoja 1'!$M:$M,
  '[1]Hoja 1'!$S:$S, $A97,
  '[1]Hoja 1'!$R:$R, "&gt;="&amp;INT($AC$1),
  '[1]Hoja 1'!$R:$R, "&lt;"&amp;INT($AD$1+1)
)</f>
        <v>0</v>
      </c>
      <c r="AB97" s="1">
        <f t="shared" si="44"/>
        <v>0</v>
      </c>
      <c r="AC97" s="9">
        <f t="shared" si="45"/>
        <v>0</v>
      </c>
      <c r="AD97" s="10">
        <f t="shared" si="46"/>
        <v>0</v>
      </c>
      <c r="AE97" s="1">
        <f>SUMIFS(
  '[1]Hoja 1'!$M:$M,
  '[1]Hoja 1'!$S:$S, $A97,
  '[1]Hoja 1'!$R:$R, "&gt;="&amp;INT($AG$1),
  '[1]Hoja 1'!$R:$R, "&lt;"&amp;INT($AH$1+1)
)</f>
        <v>0</v>
      </c>
      <c r="AF97" s="1">
        <f t="shared" si="47"/>
        <v>0</v>
      </c>
      <c r="AG97" s="9">
        <f t="shared" si="48"/>
        <v>0</v>
      </c>
      <c r="AH97" s="10">
        <f t="shared" si="49"/>
        <v>0</v>
      </c>
      <c r="AI97" s="1">
        <f>SUMIFS(
  '[1]Hoja 1'!$M:$M,
  '[1]Hoja 1'!$S:$S, $A97,
  '[1]Hoja 1'!$R:$R, "&gt;="&amp;INT($AK$1),
  '[1]Hoja 1'!$R:$R, "&lt;"&amp;INT($AJ$1+1)
)</f>
        <v>0</v>
      </c>
      <c r="AJ97" s="1">
        <f t="shared" si="50"/>
        <v>0</v>
      </c>
      <c r="AK97" s="9">
        <f t="shared" si="51"/>
        <v>0</v>
      </c>
      <c r="AL97" s="10">
        <f t="shared" si="52"/>
        <v>0</v>
      </c>
      <c r="AM97" s="1">
        <f>SUMIFS(
  '[1]Hoja 1'!$M:$M,
  '[1]Hoja 1'!$S:$S, $A97,
  '[1]Hoja 1'!$R:$R, "&gt;="&amp;INT($AO$1),
  '[1]Hoja 1'!$R:$R, "&lt;"&amp;INT($AP$1+1)
)</f>
        <v>0</v>
      </c>
      <c r="AN97" s="1">
        <f t="shared" si="53"/>
        <v>0</v>
      </c>
      <c r="AO97" s="9">
        <f t="shared" si="54"/>
        <v>0</v>
      </c>
      <c r="AP97" s="10">
        <f t="shared" si="55"/>
        <v>0</v>
      </c>
      <c r="AQ97" s="1">
        <f>SUMIFS(
  '[1]Hoja 1'!$M:$M,
  '[1]Hoja 1'!$S:$S, $A97,
  '[1]Hoja 1'!$R:$R, "&gt;="&amp;INT($AS$1),
  '[1]Hoja 1'!$R:$R, "&lt;"&amp;INT($AT$1+1)
)</f>
        <v>0</v>
      </c>
      <c r="AR97" s="1">
        <f t="shared" si="56"/>
        <v>0</v>
      </c>
      <c r="AS97" s="9">
        <f t="shared" si="57"/>
        <v>0</v>
      </c>
      <c r="AT97" s="10">
        <f t="shared" si="58"/>
        <v>0</v>
      </c>
      <c r="AU97" s="1">
        <f>SUMIFS(
  '[1]Hoja 1'!$M:$M,
  '[1]Hoja 1'!$S:$S, $A97,
  '[1]Hoja 1'!$R:$R, "&gt;="&amp;INT($AW$1),
  '[1]Hoja 1'!$R:$R, "&lt;"&amp;INT($AX$1+1)
)</f>
        <v>0</v>
      </c>
      <c r="AV97" s="1">
        <f t="shared" si="59"/>
        <v>0</v>
      </c>
      <c r="AW97" s="9">
        <f t="shared" si="60"/>
        <v>0</v>
      </c>
      <c r="AX97" s="10">
        <f t="shared" si="61"/>
        <v>0</v>
      </c>
    </row>
    <row r="98" spans="1:50" x14ac:dyDescent="0.25">
      <c r="A98" s="5">
        <v>213025</v>
      </c>
      <c r="B98" s="6" t="s">
        <v>95</v>
      </c>
      <c r="C98" s="1">
        <f>SUMIFS(
  '[1]Hoja 1'!$M:$M,
  '[1]Hoja 1'!$S:$S, $A98,
  '[1]Hoja 1'!$R:$R, "&gt;="&amp;INT($E$1),
  '[1]Hoja 1'!$R:$R, "&lt;"&amp;INT($F$1+1)
)</f>
        <v>0</v>
      </c>
      <c r="D98" s="1" t="str">
        <f>""</f>
        <v/>
      </c>
      <c r="F98" s="2"/>
      <c r="G98" s="1">
        <f>SUMIFS(
  '[1]Hoja 1'!$M:$M,
  '[1]Hoja 1'!$S:$S, $A98,
  '[1]Hoja 1'!$R:$R, "&gt;="&amp;INT($I$1),
  '[1]Hoja 1'!$R:$R, "&lt;"&amp;INT($J$1+1)
)</f>
        <v>0</v>
      </c>
      <c r="H98" s="1">
        <f t="shared" si="31"/>
        <v>0</v>
      </c>
      <c r="I98" s="1"/>
      <c r="J98" s="2"/>
      <c r="K98" s="1">
        <f>SUMIFS(
  '[1]Hoja 1'!$M:$M,
  '[1]Hoja 1'!$S:$S, $A98,
  '[1]Hoja 1'!$R:$R, "&gt;="&amp;INT($M$1),
  '[1]Hoja 1'!$R:$R, "&lt;"&amp;INT($N$1+1)
)</f>
        <v>0</v>
      </c>
      <c r="L98" s="1">
        <f t="shared" si="32"/>
        <v>0</v>
      </c>
      <c r="M98" s="9">
        <f t="shared" si="33"/>
        <v>0</v>
      </c>
      <c r="N98" s="10">
        <f t="shared" si="34"/>
        <v>0</v>
      </c>
      <c r="O98" s="1">
        <f>SUMIFS(
  '[1]Hoja 1'!$M:$M,
  '[1]Hoja 1'!$S:$S, $A98,
  '[1]Hoja 1'!$R:$R, "&gt;="&amp;INT($Q$1),
  '[1]Hoja 1'!$R:$R, "&lt;"&amp;INT($R$1+1)
)</f>
        <v>0</v>
      </c>
      <c r="P98" s="1">
        <f t="shared" si="35"/>
        <v>0</v>
      </c>
      <c r="Q98" s="9">
        <f t="shared" si="36"/>
        <v>0</v>
      </c>
      <c r="R98" s="10">
        <f t="shared" si="37"/>
        <v>0</v>
      </c>
      <c r="S98" s="1">
        <f>SUMIFS(
  '[1]Hoja 1'!$M:$M,
  '[1]Hoja 1'!$S:$S, $A98,
  '[1]Hoja 1'!$R:$R, "&gt;="&amp;INT($U$1),
  '[1]Hoja 1'!$R:$R, "&lt;"&amp;INT($V$1+1)
)</f>
        <v>0</v>
      </c>
      <c r="T98" s="1">
        <f t="shared" si="38"/>
        <v>0</v>
      </c>
      <c r="U98" s="9">
        <f t="shared" si="39"/>
        <v>-1.47</v>
      </c>
      <c r="V98" s="10">
        <f t="shared" si="40"/>
        <v>1.47</v>
      </c>
      <c r="W98" s="1">
        <f>SUMIFS(
  '[1]Hoja 1'!$M:$M,
  '[1]Hoja 1'!$S:$S, $A98,
  '[1]Hoja 1'!$R:$R, "&gt;="&amp;INT($Y$1),
  '[1]Hoja 1'!$R:$R, "&lt;"&amp;INT($Z$1+1)
)</f>
        <v>0</v>
      </c>
      <c r="X98" s="1">
        <f t="shared" si="41"/>
        <v>0</v>
      </c>
      <c r="Y98" s="9">
        <f t="shared" si="42"/>
        <v>0</v>
      </c>
      <c r="Z98" s="10">
        <f t="shared" si="43"/>
        <v>0</v>
      </c>
      <c r="AA98" s="1">
        <f>SUMIFS(
  '[1]Hoja 1'!$M:$M,
  '[1]Hoja 1'!$S:$S, $A98,
  '[1]Hoja 1'!$R:$R, "&gt;="&amp;INT($AC$1),
  '[1]Hoja 1'!$R:$R, "&lt;"&amp;INT($AD$1+1)
)</f>
        <v>0</v>
      </c>
      <c r="AB98" s="1">
        <f t="shared" si="44"/>
        <v>0</v>
      </c>
      <c r="AC98" s="9">
        <f t="shared" si="45"/>
        <v>0</v>
      </c>
      <c r="AD98" s="10">
        <f t="shared" si="46"/>
        <v>0</v>
      </c>
      <c r="AE98" s="1">
        <f>SUMIFS(
  '[1]Hoja 1'!$M:$M,
  '[1]Hoja 1'!$S:$S, $A98,
  '[1]Hoja 1'!$R:$R, "&gt;="&amp;INT($AG$1),
  '[1]Hoja 1'!$R:$R, "&lt;"&amp;INT($AH$1+1)
)</f>
        <v>0</v>
      </c>
      <c r="AF98" s="1">
        <f t="shared" si="47"/>
        <v>0</v>
      </c>
      <c r="AG98" s="9">
        <f t="shared" si="48"/>
        <v>0</v>
      </c>
      <c r="AH98" s="10">
        <f t="shared" si="49"/>
        <v>0</v>
      </c>
      <c r="AI98" s="1">
        <f>SUMIFS(
  '[1]Hoja 1'!$M:$M,
  '[1]Hoja 1'!$S:$S, $A98,
  '[1]Hoja 1'!$R:$R, "&gt;="&amp;INT($AK$1),
  '[1]Hoja 1'!$R:$R, "&lt;"&amp;INT($AJ$1+1)
)</f>
        <v>0</v>
      </c>
      <c r="AJ98" s="1">
        <f t="shared" si="50"/>
        <v>0</v>
      </c>
      <c r="AK98" s="9">
        <f t="shared" si="51"/>
        <v>0</v>
      </c>
      <c r="AL98" s="10">
        <f t="shared" si="52"/>
        <v>0</v>
      </c>
      <c r="AM98" s="1">
        <f>SUMIFS(
  '[1]Hoja 1'!$M:$M,
  '[1]Hoja 1'!$S:$S, $A98,
  '[1]Hoja 1'!$R:$R, "&gt;="&amp;INT($AO$1),
  '[1]Hoja 1'!$R:$R, "&lt;"&amp;INT($AP$1+1)
)</f>
        <v>0</v>
      </c>
      <c r="AN98" s="1">
        <f t="shared" si="53"/>
        <v>0</v>
      </c>
      <c r="AO98" s="9">
        <f t="shared" si="54"/>
        <v>0</v>
      </c>
      <c r="AP98" s="10">
        <f t="shared" si="55"/>
        <v>0</v>
      </c>
      <c r="AQ98" s="1">
        <f>SUMIFS(
  '[1]Hoja 1'!$M:$M,
  '[1]Hoja 1'!$S:$S, $A98,
  '[1]Hoja 1'!$R:$R, "&gt;="&amp;INT($AS$1),
  '[1]Hoja 1'!$R:$R, "&lt;"&amp;INT($AT$1+1)
)</f>
        <v>0</v>
      </c>
      <c r="AR98" s="1">
        <f t="shared" si="56"/>
        <v>0</v>
      </c>
      <c r="AS98" s="9">
        <f t="shared" si="57"/>
        <v>0</v>
      </c>
      <c r="AT98" s="10">
        <f t="shared" si="58"/>
        <v>0</v>
      </c>
      <c r="AU98" s="1">
        <f>SUMIFS(
  '[1]Hoja 1'!$M:$M,
  '[1]Hoja 1'!$S:$S, $A98,
  '[1]Hoja 1'!$R:$R, "&gt;="&amp;INT($AW$1),
  '[1]Hoja 1'!$R:$R, "&lt;"&amp;INT($AX$1+1)
)</f>
        <v>0</v>
      </c>
      <c r="AV98" s="1">
        <f t="shared" si="59"/>
        <v>0</v>
      </c>
      <c r="AW98" s="9">
        <f t="shared" si="60"/>
        <v>0</v>
      </c>
      <c r="AX98" s="10">
        <f t="shared" si="61"/>
        <v>0</v>
      </c>
    </row>
    <row r="99" spans="1:50" x14ac:dyDescent="0.25">
      <c r="A99" s="5">
        <v>213030</v>
      </c>
      <c r="B99" s="6" t="s">
        <v>96</v>
      </c>
      <c r="C99" s="1">
        <f>SUMIFS(
  '[1]Hoja 1'!$M:$M,
  '[1]Hoja 1'!$S:$S, $A99,
  '[1]Hoja 1'!$R:$R, "&gt;="&amp;INT($E$1),
  '[1]Hoja 1'!$R:$R, "&lt;"&amp;INT($F$1+1)
)</f>
        <v>6</v>
      </c>
      <c r="D99" s="1" t="str">
        <f>""</f>
        <v/>
      </c>
      <c r="F99" s="2"/>
      <c r="G99" s="1">
        <f>SUMIFS(
  '[1]Hoja 1'!$M:$M,
  '[1]Hoja 1'!$S:$S, $A99,
  '[1]Hoja 1'!$R:$R, "&gt;="&amp;INT($I$1),
  '[1]Hoja 1'!$R:$R, "&lt;"&amp;INT($J$1+1)
)</f>
        <v>0</v>
      </c>
      <c r="H99" s="1">
        <f t="shared" si="31"/>
        <v>3</v>
      </c>
      <c r="I99" s="1"/>
      <c r="J99" s="2"/>
      <c r="K99" s="1">
        <f>SUMIFS(
  '[1]Hoja 1'!$M:$M,
  '[1]Hoja 1'!$S:$S, $A99,
  '[1]Hoja 1'!$R:$R, "&gt;="&amp;INT($M$1),
  '[1]Hoja 1'!$R:$R, "&lt;"&amp;INT($N$1+1)
)</f>
        <v>0</v>
      </c>
      <c r="L99" s="1">
        <f t="shared" si="32"/>
        <v>0</v>
      </c>
      <c r="M99" s="9">
        <f t="shared" si="33"/>
        <v>-4.1577878733768987</v>
      </c>
      <c r="N99" s="10">
        <f t="shared" si="34"/>
        <v>4.1577878733768987</v>
      </c>
      <c r="O99" s="1">
        <f>SUMIFS(
  '[1]Hoja 1'!$M:$M,
  '[1]Hoja 1'!$S:$S, $A99,
  '[1]Hoja 1'!$R:$R, "&gt;="&amp;INT($Q$1),
  '[1]Hoja 1'!$R:$R, "&lt;"&amp;INT($R$1+1)
)</f>
        <v>0</v>
      </c>
      <c r="P99" s="1">
        <f t="shared" si="35"/>
        <v>0</v>
      </c>
      <c r="Q99" s="9">
        <f t="shared" si="36"/>
        <v>-3.3948195828349994</v>
      </c>
      <c r="R99" s="10">
        <f t="shared" si="37"/>
        <v>3.3948195828349994</v>
      </c>
      <c r="S99" s="1">
        <f>SUMIFS(
  '[1]Hoja 1'!$M:$M,
  '[1]Hoja 1'!$S:$S, $A99,
  '[1]Hoja 1'!$R:$R, "&gt;="&amp;INT($U$1),
  '[1]Hoja 1'!$R:$R, "&lt;"&amp;INT($V$1+1)
)</f>
        <v>0</v>
      </c>
      <c r="T99" s="1">
        <f t="shared" si="38"/>
        <v>0</v>
      </c>
      <c r="U99" s="9">
        <f t="shared" si="39"/>
        <v>-2.8148356968036339</v>
      </c>
      <c r="V99" s="10">
        <f t="shared" si="40"/>
        <v>2.8148356968036339</v>
      </c>
      <c r="W99" s="1">
        <f>SUMIFS(
  '[1]Hoja 1'!$M:$M,
  '[1]Hoja 1'!$S:$S, $A99,
  '[1]Hoja 1'!$R:$R, "&gt;="&amp;INT($Y$1),
  '[1]Hoja 1'!$R:$R, "&lt;"&amp;INT($Z$1+1)
)</f>
        <v>0</v>
      </c>
      <c r="X99" s="1">
        <f t="shared" si="41"/>
        <v>0</v>
      </c>
      <c r="Y99" s="9">
        <f t="shared" si="42"/>
        <v>-2.6296159415397526</v>
      </c>
      <c r="Z99" s="10">
        <f t="shared" si="43"/>
        <v>2.6296159415397526</v>
      </c>
      <c r="AA99" s="1">
        <f>SUMIFS(
  '[1]Hoja 1'!$M:$M,
  '[1]Hoja 1'!$S:$S, $A99,
  '[1]Hoja 1'!$R:$R, "&gt;="&amp;INT($AC$1),
  '[1]Hoja 1'!$R:$R, "&lt;"&amp;INT($AD$1+1)
)</f>
        <v>0</v>
      </c>
      <c r="AB99" s="1">
        <f t="shared" si="44"/>
        <v>0</v>
      </c>
      <c r="AC99" s="9">
        <f t="shared" si="45"/>
        <v>-2.4004999479275142</v>
      </c>
      <c r="AD99" s="10">
        <f t="shared" si="46"/>
        <v>2.4004999479275142</v>
      </c>
      <c r="AE99" s="1">
        <f>SUMIFS(
  '[1]Hoja 1'!$M:$M,
  '[1]Hoja 1'!$S:$S, $A99,
  '[1]Hoja 1'!$R:$R, "&gt;="&amp;INT($AG$1),
  '[1]Hoja 1'!$R:$R, "&lt;"&amp;INT($AH$1+1)
)</f>
        <v>0</v>
      </c>
      <c r="AF99" s="1">
        <f t="shared" si="47"/>
        <v>0</v>
      </c>
      <c r="AG99" s="9">
        <f t="shared" si="48"/>
        <v>-2.2224311012942559</v>
      </c>
      <c r="AH99" s="10">
        <f t="shared" si="49"/>
        <v>2.2224311012942559</v>
      </c>
      <c r="AI99" s="1">
        <f>SUMIFS(
  '[1]Hoja 1'!$M:$M,
  '[1]Hoja 1'!$S:$S, $A99,
  '[1]Hoja 1'!$R:$R, "&gt;="&amp;INT($AK$1),
  '[1]Hoja 1'!$R:$R, "&lt;"&amp;INT($AJ$1+1)
)</f>
        <v>0</v>
      </c>
      <c r="AJ99" s="1">
        <f t="shared" si="50"/>
        <v>0</v>
      </c>
      <c r="AK99" s="9">
        <f t="shared" si="51"/>
        <v>-2.0788939366884494</v>
      </c>
      <c r="AL99" s="10">
        <f t="shared" si="52"/>
        <v>2.0788939366884494</v>
      </c>
      <c r="AM99" s="1">
        <f>SUMIFS(
  '[1]Hoja 1'!$M:$M,
  '[1]Hoja 1'!$S:$S, $A99,
  '[1]Hoja 1'!$R:$R, "&gt;="&amp;INT($AO$1),
  '[1]Hoja 1'!$R:$R, "&lt;"&amp;INT($AP$1+1)
)</f>
        <v>0</v>
      </c>
      <c r="AN99" s="1">
        <f t="shared" si="53"/>
        <v>0</v>
      </c>
      <c r="AO99" s="9">
        <f t="shared" si="54"/>
        <v>-1.96</v>
      </c>
      <c r="AP99" s="10">
        <f t="shared" si="55"/>
        <v>1.96</v>
      </c>
      <c r="AQ99" s="1">
        <f>SUMIFS(
  '[1]Hoja 1'!$M:$M,
  '[1]Hoja 1'!$S:$S, $A99,
  '[1]Hoja 1'!$R:$R, "&gt;="&amp;INT($AS$1),
  '[1]Hoja 1'!$R:$R, "&lt;"&amp;INT($AT$1+1)
)</f>
        <v>0</v>
      </c>
      <c r="AR99" s="1">
        <f t="shared" si="56"/>
        <v>0</v>
      </c>
      <c r="AS99" s="9">
        <f t="shared" si="57"/>
        <v>-1.859419264179007</v>
      </c>
      <c r="AT99" s="10">
        <f t="shared" si="58"/>
        <v>1.859419264179007</v>
      </c>
      <c r="AU99" s="1">
        <f>SUMIFS(
  '[1]Hoja 1'!$M:$M,
  '[1]Hoja 1'!$S:$S, $A99,
  '[1]Hoja 1'!$R:$R, "&gt;="&amp;INT($AW$1),
  '[1]Hoja 1'!$R:$R, "&lt;"&amp;INT($AX$1+1)
)</f>
        <v>0</v>
      </c>
      <c r="AV99" s="1">
        <f t="shared" si="59"/>
        <v>0</v>
      </c>
      <c r="AW99" s="9">
        <f t="shared" si="60"/>
        <v>-1.7728867061172502</v>
      </c>
      <c r="AX99" s="10">
        <f t="shared" si="61"/>
        <v>1.7728867061172502</v>
      </c>
    </row>
    <row r="100" spans="1:50" x14ac:dyDescent="0.25">
      <c r="A100" s="5">
        <v>214001</v>
      </c>
      <c r="B100" s="6" t="s">
        <v>97</v>
      </c>
      <c r="C100" s="1">
        <f>SUMIFS(
  '[1]Hoja 1'!$M:$M,
  '[1]Hoja 1'!$S:$S, $A100,
  '[1]Hoja 1'!$R:$R, "&gt;="&amp;INT($E$1),
  '[1]Hoja 1'!$R:$R, "&lt;"&amp;INT($F$1+1)
)</f>
        <v>0</v>
      </c>
      <c r="D100" s="1" t="str">
        <f>""</f>
        <v/>
      </c>
      <c r="F100" s="2"/>
      <c r="G100" s="1">
        <f>SUMIFS(
  '[1]Hoja 1'!$M:$M,
  '[1]Hoja 1'!$S:$S, $A100,
  '[1]Hoja 1'!$R:$R, "&gt;="&amp;INT($I$1),
  '[1]Hoja 1'!$R:$R, "&lt;"&amp;INT($J$1+1)
)</f>
        <v>0</v>
      </c>
      <c r="H100" s="1">
        <f t="shared" si="31"/>
        <v>0</v>
      </c>
      <c r="I100" s="1"/>
      <c r="J100" s="2"/>
      <c r="K100" s="1">
        <f>SUMIFS(
  '[1]Hoja 1'!$M:$M,
  '[1]Hoja 1'!$S:$S, $A100,
  '[1]Hoja 1'!$R:$R, "&gt;="&amp;INT($M$1),
  '[1]Hoja 1'!$R:$R, "&lt;"&amp;INT($N$1+1)
)</f>
        <v>0</v>
      </c>
      <c r="L100" s="1">
        <f t="shared" si="32"/>
        <v>0</v>
      </c>
      <c r="M100" s="9">
        <f t="shared" si="33"/>
        <v>0</v>
      </c>
      <c r="N100" s="10">
        <f t="shared" si="34"/>
        <v>0</v>
      </c>
      <c r="O100" s="1">
        <f>SUMIFS(
  '[1]Hoja 1'!$M:$M,
  '[1]Hoja 1'!$S:$S, $A100,
  '[1]Hoja 1'!$R:$R, "&gt;="&amp;INT($Q$1),
  '[1]Hoja 1'!$R:$R, "&lt;"&amp;INT($R$1+1)
)</f>
        <v>0</v>
      </c>
      <c r="P100" s="1">
        <f t="shared" si="35"/>
        <v>0</v>
      </c>
      <c r="Q100" s="9">
        <f t="shared" si="36"/>
        <v>0</v>
      </c>
      <c r="R100" s="10">
        <f t="shared" si="37"/>
        <v>0</v>
      </c>
      <c r="S100" s="1">
        <f>SUMIFS(
  '[1]Hoja 1'!$M:$M,
  '[1]Hoja 1'!$S:$S, $A100,
  '[1]Hoja 1'!$R:$R, "&gt;="&amp;INT($U$1),
  '[1]Hoja 1'!$R:$R, "&lt;"&amp;INT($V$1+1)
)</f>
        <v>0</v>
      </c>
      <c r="T100" s="1">
        <f t="shared" si="38"/>
        <v>0</v>
      </c>
      <c r="U100" s="9">
        <f t="shared" si="39"/>
        <v>-1.47</v>
      </c>
      <c r="V100" s="10">
        <f t="shared" si="40"/>
        <v>1.47</v>
      </c>
      <c r="W100" s="1">
        <f>SUMIFS(
  '[1]Hoja 1'!$M:$M,
  '[1]Hoja 1'!$S:$S, $A100,
  '[1]Hoja 1'!$R:$R, "&gt;="&amp;INT($Y$1),
  '[1]Hoja 1'!$R:$R, "&lt;"&amp;INT($Z$1+1)
)</f>
        <v>0</v>
      </c>
      <c r="X100" s="1">
        <f t="shared" si="41"/>
        <v>0</v>
      </c>
      <c r="Y100" s="9">
        <f t="shared" si="42"/>
        <v>0</v>
      </c>
      <c r="Z100" s="10">
        <f t="shared" si="43"/>
        <v>0</v>
      </c>
      <c r="AA100" s="1">
        <f>SUMIFS(
  '[1]Hoja 1'!$M:$M,
  '[1]Hoja 1'!$S:$S, $A100,
  '[1]Hoja 1'!$R:$R, "&gt;="&amp;INT($AC$1),
  '[1]Hoja 1'!$R:$R, "&lt;"&amp;INT($AD$1+1)
)</f>
        <v>0</v>
      </c>
      <c r="AB100" s="1">
        <f t="shared" si="44"/>
        <v>0</v>
      </c>
      <c r="AC100" s="9">
        <f t="shared" si="45"/>
        <v>0</v>
      </c>
      <c r="AD100" s="10">
        <f t="shared" si="46"/>
        <v>0</v>
      </c>
      <c r="AE100" s="1">
        <f>SUMIFS(
  '[1]Hoja 1'!$M:$M,
  '[1]Hoja 1'!$S:$S, $A100,
  '[1]Hoja 1'!$R:$R, "&gt;="&amp;INT($AG$1),
  '[1]Hoja 1'!$R:$R, "&lt;"&amp;INT($AH$1+1)
)</f>
        <v>0</v>
      </c>
      <c r="AF100" s="1">
        <f t="shared" si="47"/>
        <v>0</v>
      </c>
      <c r="AG100" s="9">
        <f t="shared" si="48"/>
        <v>0</v>
      </c>
      <c r="AH100" s="10">
        <f t="shared" si="49"/>
        <v>0</v>
      </c>
      <c r="AI100" s="1">
        <f>SUMIFS(
  '[1]Hoja 1'!$M:$M,
  '[1]Hoja 1'!$S:$S, $A100,
  '[1]Hoja 1'!$R:$R, "&gt;="&amp;INT($AK$1),
  '[1]Hoja 1'!$R:$R, "&lt;"&amp;INT($AJ$1+1)
)</f>
        <v>0</v>
      </c>
      <c r="AJ100" s="1">
        <f t="shared" si="50"/>
        <v>0</v>
      </c>
      <c r="AK100" s="9">
        <f t="shared" si="51"/>
        <v>0</v>
      </c>
      <c r="AL100" s="10">
        <f t="shared" si="52"/>
        <v>0</v>
      </c>
      <c r="AM100" s="1">
        <f>SUMIFS(
  '[1]Hoja 1'!$M:$M,
  '[1]Hoja 1'!$S:$S, $A100,
  '[1]Hoja 1'!$R:$R, "&gt;="&amp;INT($AO$1),
  '[1]Hoja 1'!$R:$R, "&lt;"&amp;INT($AP$1+1)
)</f>
        <v>0</v>
      </c>
      <c r="AN100" s="1">
        <f t="shared" si="53"/>
        <v>0</v>
      </c>
      <c r="AO100" s="9">
        <f t="shared" si="54"/>
        <v>0</v>
      </c>
      <c r="AP100" s="10">
        <f t="shared" si="55"/>
        <v>0</v>
      </c>
      <c r="AQ100" s="1">
        <f>SUMIFS(
  '[1]Hoja 1'!$M:$M,
  '[1]Hoja 1'!$S:$S, $A100,
  '[1]Hoja 1'!$R:$R, "&gt;="&amp;INT($AS$1),
  '[1]Hoja 1'!$R:$R, "&lt;"&amp;INT($AT$1+1)
)</f>
        <v>0</v>
      </c>
      <c r="AR100" s="1">
        <f t="shared" si="56"/>
        <v>0</v>
      </c>
      <c r="AS100" s="9">
        <f t="shared" si="57"/>
        <v>0</v>
      </c>
      <c r="AT100" s="10">
        <f t="shared" si="58"/>
        <v>0</v>
      </c>
      <c r="AU100" s="1">
        <f>SUMIFS(
  '[1]Hoja 1'!$M:$M,
  '[1]Hoja 1'!$S:$S, $A100,
  '[1]Hoja 1'!$R:$R, "&gt;="&amp;INT($AW$1),
  '[1]Hoja 1'!$R:$R, "&lt;"&amp;INT($AX$1+1)
)</f>
        <v>0</v>
      </c>
      <c r="AV100" s="1">
        <f t="shared" si="59"/>
        <v>0</v>
      </c>
      <c r="AW100" s="9">
        <f t="shared" si="60"/>
        <v>0</v>
      </c>
      <c r="AX100" s="10">
        <f t="shared" si="61"/>
        <v>0</v>
      </c>
    </row>
    <row r="101" spans="1:50" x14ac:dyDescent="0.25">
      <c r="A101" s="5">
        <v>214002</v>
      </c>
      <c r="B101" s="6" t="s">
        <v>98</v>
      </c>
      <c r="C101" s="1">
        <f>SUMIFS(
  '[1]Hoja 1'!$M:$M,
  '[1]Hoja 1'!$S:$S, $A101,
  '[1]Hoja 1'!$R:$R, "&gt;="&amp;INT($E$1),
  '[1]Hoja 1'!$R:$R, "&lt;"&amp;INT($F$1+1)
)</f>
        <v>1</v>
      </c>
      <c r="D101" s="1" t="str">
        <f>""</f>
        <v/>
      </c>
      <c r="F101" s="2"/>
      <c r="G101" s="1">
        <f>SUMIFS(
  '[1]Hoja 1'!$M:$M,
  '[1]Hoja 1'!$S:$S, $A101,
  '[1]Hoja 1'!$R:$R, "&gt;="&amp;INT($I$1),
  '[1]Hoja 1'!$R:$R, "&lt;"&amp;INT($J$1+1)
)</f>
        <v>0</v>
      </c>
      <c r="H101" s="1">
        <f t="shared" si="31"/>
        <v>1</v>
      </c>
      <c r="I101" s="1"/>
      <c r="J101" s="2"/>
      <c r="K101" s="1">
        <f>SUMIFS(
  '[1]Hoja 1'!$M:$M,
  '[1]Hoja 1'!$S:$S, $A101,
  '[1]Hoja 1'!$R:$R, "&gt;="&amp;INT($M$1),
  '[1]Hoja 1'!$R:$R, "&lt;"&amp;INT($N$1+1)
)</f>
        <v>0</v>
      </c>
      <c r="L101" s="1">
        <f t="shared" si="32"/>
        <v>0</v>
      </c>
      <c r="M101" s="9">
        <f t="shared" si="33"/>
        <v>-0.69296464556281656</v>
      </c>
      <c r="N101" s="10">
        <f t="shared" si="34"/>
        <v>0.69296464556281656</v>
      </c>
      <c r="O101" s="1">
        <f>SUMIFS(
  '[1]Hoja 1'!$M:$M,
  '[1]Hoja 1'!$S:$S, $A101,
  '[1]Hoja 1'!$R:$R, "&gt;="&amp;INT($Q$1),
  '[1]Hoja 1'!$R:$R, "&lt;"&amp;INT($R$1+1)
)</f>
        <v>0</v>
      </c>
      <c r="P101" s="1">
        <f t="shared" si="35"/>
        <v>0</v>
      </c>
      <c r="Q101" s="9">
        <f t="shared" si="36"/>
        <v>-0.56580326380583335</v>
      </c>
      <c r="R101" s="10">
        <f t="shared" si="37"/>
        <v>0.56580326380583335</v>
      </c>
      <c r="S101" s="1">
        <f>SUMIFS(
  '[1]Hoja 1'!$M:$M,
  '[1]Hoja 1'!$S:$S, $A101,
  '[1]Hoja 1'!$R:$R, "&gt;="&amp;INT($U$1),
  '[1]Hoja 1'!$R:$R, "&lt;"&amp;INT($V$1+1)
)</f>
        <v>0</v>
      </c>
      <c r="T101" s="1">
        <f t="shared" si="38"/>
        <v>0</v>
      </c>
      <c r="U101" s="9">
        <f t="shared" si="39"/>
        <v>-1.3859292911256331</v>
      </c>
      <c r="V101" s="10">
        <f t="shared" si="40"/>
        <v>1.3859292911256331</v>
      </c>
      <c r="W101" s="1">
        <f>SUMIFS(
  '[1]Hoja 1'!$M:$M,
  '[1]Hoja 1'!$S:$S, $A101,
  '[1]Hoja 1'!$R:$R, "&gt;="&amp;INT($Y$1),
  '[1]Hoja 1'!$R:$R, "&lt;"&amp;INT($Z$1+1)
)</f>
        <v>0</v>
      </c>
      <c r="X101" s="1">
        <f t="shared" si="41"/>
        <v>0</v>
      </c>
      <c r="Y101" s="9">
        <f t="shared" si="42"/>
        <v>-0.43826932358995874</v>
      </c>
      <c r="Z101" s="10">
        <f t="shared" si="43"/>
        <v>0.43826932358995874</v>
      </c>
      <c r="AA101" s="1">
        <f>SUMIFS(
  '[1]Hoja 1'!$M:$M,
  '[1]Hoja 1'!$S:$S, $A101,
  '[1]Hoja 1'!$R:$R, "&gt;="&amp;INT($AC$1),
  '[1]Hoja 1'!$R:$R, "&lt;"&amp;INT($AD$1+1)
)</f>
        <v>0</v>
      </c>
      <c r="AB101" s="1">
        <f t="shared" si="44"/>
        <v>0</v>
      </c>
      <c r="AC101" s="9">
        <f t="shared" si="45"/>
        <v>-0.40008332465458574</v>
      </c>
      <c r="AD101" s="10">
        <f t="shared" si="46"/>
        <v>0.40008332465458574</v>
      </c>
      <c r="AE101" s="1">
        <f>SUMIFS(
  '[1]Hoja 1'!$M:$M,
  '[1]Hoja 1'!$S:$S, $A101,
  '[1]Hoja 1'!$R:$R, "&gt;="&amp;INT($AG$1),
  '[1]Hoja 1'!$R:$R, "&lt;"&amp;INT($AH$1+1)
)</f>
        <v>0</v>
      </c>
      <c r="AF101" s="1">
        <f t="shared" si="47"/>
        <v>0</v>
      </c>
      <c r="AG101" s="9">
        <f t="shared" si="48"/>
        <v>-0.37040518354904273</v>
      </c>
      <c r="AH101" s="10">
        <f t="shared" si="49"/>
        <v>0.37040518354904273</v>
      </c>
      <c r="AI101" s="1">
        <f>SUMIFS(
  '[1]Hoja 1'!$M:$M,
  '[1]Hoja 1'!$S:$S, $A101,
  '[1]Hoja 1'!$R:$R, "&gt;="&amp;INT($AK$1),
  '[1]Hoja 1'!$R:$R, "&lt;"&amp;INT($AJ$1+1)
)</f>
        <v>0</v>
      </c>
      <c r="AJ101" s="1">
        <f t="shared" si="50"/>
        <v>0</v>
      </c>
      <c r="AK101" s="9">
        <f t="shared" si="51"/>
        <v>-0.34648232278140828</v>
      </c>
      <c r="AL101" s="10">
        <f t="shared" si="52"/>
        <v>0.34648232278140828</v>
      </c>
      <c r="AM101" s="1">
        <f>SUMIFS(
  '[1]Hoja 1'!$M:$M,
  '[1]Hoja 1'!$S:$S, $A101,
  '[1]Hoja 1'!$R:$R, "&gt;="&amp;INT($AO$1),
  '[1]Hoja 1'!$R:$R, "&lt;"&amp;INT($AP$1+1)
)</f>
        <v>0</v>
      </c>
      <c r="AN101" s="1">
        <f t="shared" si="53"/>
        <v>0</v>
      </c>
      <c r="AO101" s="9">
        <f t="shared" si="54"/>
        <v>-0.32666666666666666</v>
      </c>
      <c r="AP101" s="10">
        <f t="shared" si="55"/>
        <v>0.32666666666666666</v>
      </c>
      <c r="AQ101" s="1">
        <f>SUMIFS(
  '[1]Hoja 1'!$M:$M,
  '[1]Hoja 1'!$S:$S, $A101,
  '[1]Hoja 1'!$R:$R, "&gt;="&amp;INT($AS$1),
  '[1]Hoja 1'!$R:$R, "&lt;"&amp;INT($AT$1+1)
)</f>
        <v>0</v>
      </c>
      <c r="AR101" s="1">
        <f t="shared" si="56"/>
        <v>0</v>
      </c>
      <c r="AS101" s="9">
        <f t="shared" si="57"/>
        <v>-0.30990321069650117</v>
      </c>
      <c r="AT101" s="10">
        <f t="shared" si="58"/>
        <v>0.30990321069650117</v>
      </c>
      <c r="AU101" s="1">
        <f>SUMIFS(
  '[1]Hoja 1'!$M:$M,
  '[1]Hoja 1'!$S:$S, $A101,
  '[1]Hoja 1'!$R:$R, "&gt;="&amp;INT($AW$1),
  '[1]Hoja 1'!$R:$R, "&lt;"&amp;INT($AX$1+1)
)</f>
        <v>0</v>
      </c>
      <c r="AV101" s="1">
        <f t="shared" si="59"/>
        <v>0</v>
      </c>
      <c r="AW101" s="9">
        <f t="shared" si="60"/>
        <v>-0.29548111768620833</v>
      </c>
      <c r="AX101" s="10">
        <f t="shared" si="61"/>
        <v>0.29548111768620833</v>
      </c>
    </row>
    <row r="102" spans="1:50" x14ac:dyDescent="0.25">
      <c r="A102" s="5">
        <v>215001</v>
      </c>
      <c r="B102" s="6" t="s">
        <v>99</v>
      </c>
      <c r="C102" s="1">
        <f>SUMIFS(
  '[1]Hoja 1'!$M:$M,
  '[1]Hoja 1'!$S:$S, $A102,
  '[1]Hoja 1'!$R:$R, "&gt;="&amp;INT($E$1),
  '[1]Hoja 1'!$R:$R, "&lt;"&amp;INT($F$1+1)
)</f>
        <v>2</v>
      </c>
      <c r="D102" s="1" t="str">
        <f>""</f>
        <v/>
      </c>
      <c r="F102" s="2"/>
      <c r="G102" s="1">
        <f>SUMIFS(
  '[1]Hoja 1'!$M:$M,
  '[1]Hoja 1'!$S:$S, $A102,
  '[1]Hoja 1'!$R:$R, "&gt;="&amp;INT($I$1),
  '[1]Hoja 1'!$R:$R, "&lt;"&amp;INT($J$1+1)
)</f>
        <v>1</v>
      </c>
      <c r="H102" s="1">
        <f t="shared" si="31"/>
        <v>2</v>
      </c>
      <c r="I102" s="1"/>
      <c r="J102" s="2"/>
      <c r="K102" s="1">
        <f>SUMIFS(
  '[1]Hoja 1'!$M:$M,
  '[1]Hoja 1'!$S:$S, $A102,
  '[1]Hoja 1'!$R:$R, "&gt;="&amp;INT($M$1),
  '[1]Hoja 1'!$R:$R, "&lt;"&amp;INT($N$1+1)
)</f>
        <v>0</v>
      </c>
      <c r="L102" s="1">
        <f t="shared" si="32"/>
        <v>0.5</v>
      </c>
      <c r="M102" s="9">
        <f t="shared" si="33"/>
        <v>0.5</v>
      </c>
      <c r="N102" s="10">
        <f t="shared" si="34"/>
        <v>0.5</v>
      </c>
      <c r="O102" s="1">
        <f>SUMIFS(
  '[1]Hoja 1'!$M:$M,
  '[1]Hoja 1'!$S:$S, $A102,
  '[1]Hoja 1'!$R:$R, "&gt;="&amp;INT($Q$1),
  '[1]Hoja 1'!$R:$R, "&lt;"&amp;INT($R$1+1)
)</f>
        <v>0</v>
      </c>
      <c r="P102" s="1">
        <f t="shared" si="35"/>
        <v>0</v>
      </c>
      <c r="Q102" s="9">
        <f t="shared" si="36"/>
        <v>-0.56580326380583335</v>
      </c>
      <c r="R102" s="10">
        <f t="shared" si="37"/>
        <v>0.56580326380583335</v>
      </c>
      <c r="S102" s="1">
        <f>SUMIFS(
  '[1]Hoja 1'!$M:$M,
  '[1]Hoja 1'!$S:$S, $A102,
  '[1]Hoja 1'!$R:$R, "&gt;="&amp;INT($U$1),
  '[1]Hoja 1'!$R:$R, "&lt;"&amp;INT($V$1+1)
)</f>
        <v>0</v>
      </c>
      <c r="T102" s="1">
        <f t="shared" si="38"/>
        <v>0</v>
      </c>
      <c r="U102" s="9">
        <f t="shared" si="39"/>
        <v>-1.2331396244275556</v>
      </c>
      <c r="V102" s="10">
        <f t="shared" si="40"/>
        <v>1.2331396244275556</v>
      </c>
      <c r="W102" s="1">
        <f>SUMIFS(
  '[1]Hoja 1'!$M:$M,
  '[1]Hoja 1'!$S:$S, $A102,
  '[1]Hoja 1'!$R:$R, "&gt;="&amp;INT($Y$1),
  '[1]Hoja 1'!$R:$R, "&lt;"&amp;INT($Z$1+1)
)</f>
        <v>0</v>
      </c>
      <c r="X102" s="1">
        <f t="shared" si="41"/>
        <v>0</v>
      </c>
      <c r="Y102" s="9">
        <f t="shared" si="42"/>
        <v>-0.53676810635506278</v>
      </c>
      <c r="Z102" s="10">
        <f t="shared" si="43"/>
        <v>0.53676810635506278</v>
      </c>
      <c r="AA102" s="1">
        <f>SUMIFS(
  '[1]Hoja 1'!$M:$M,
  '[1]Hoja 1'!$S:$S, $A102,
  '[1]Hoja 1'!$R:$R, "&gt;="&amp;INT($AC$1),
  '[1]Hoja 1'!$R:$R, "&lt;"&amp;INT($AD$1+1)
)</f>
        <v>0</v>
      </c>
      <c r="AB102" s="1">
        <f t="shared" si="44"/>
        <v>0</v>
      </c>
      <c r="AC102" s="9">
        <f t="shared" si="45"/>
        <v>-0.50606982390443589</v>
      </c>
      <c r="AD102" s="10">
        <f t="shared" si="46"/>
        <v>0.50606982390443589</v>
      </c>
      <c r="AE102" s="1">
        <f>SUMIFS(
  '[1]Hoja 1'!$M:$M,
  '[1]Hoja 1'!$S:$S, $A102,
  '[1]Hoja 1'!$R:$R, "&gt;="&amp;INT($AG$1),
  '[1]Hoja 1'!$R:$R, "&lt;"&amp;INT($AH$1+1)
)</f>
        <v>0</v>
      </c>
      <c r="AF102" s="1">
        <f t="shared" si="47"/>
        <v>0</v>
      </c>
      <c r="AG102" s="9">
        <f t="shared" si="48"/>
        <v>-0.47819103574478128</v>
      </c>
      <c r="AH102" s="10">
        <f t="shared" si="49"/>
        <v>0.47819103574478128</v>
      </c>
      <c r="AI102" s="1">
        <f>SUMIFS(
  '[1]Hoja 1'!$M:$M,
  '[1]Hoja 1'!$S:$S, $A102,
  '[1]Hoja 1'!$R:$R, "&gt;="&amp;INT($AK$1),
  '[1]Hoja 1'!$R:$R, "&lt;"&amp;INT($AJ$1+1)
)</f>
        <v>0</v>
      </c>
      <c r="AJ102" s="1">
        <f t="shared" si="50"/>
        <v>0</v>
      </c>
      <c r="AK102" s="9">
        <f t="shared" si="51"/>
        <v>-0.4536518488885502</v>
      </c>
      <c r="AL102" s="10">
        <f t="shared" si="52"/>
        <v>0.4536518488885502</v>
      </c>
      <c r="AM102" s="1">
        <f>SUMIFS(
  '[1]Hoja 1'!$M:$M,
  '[1]Hoja 1'!$S:$S, $A102,
  '[1]Hoja 1'!$R:$R, "&gt;="&amp;INT($AO$1),
  '[1]Hoja 1'!$R:$R, "&lt;"&amp;INT($AP$1+1)
)</f>
        <v>0</v>
      </c>
      <c r="AN102" s="1">
        <f t="shared" si="53"/>
        <v>0</v>
      </c>
      <c r="AO102" s="9">
        <f t="shared" si="54"/>
        <v>-0.43213938080721648</v>
      </c>
      <c r="AP102" s="10">
        <f t="shared" si="55"/>
        <v>0.43213938080721648</v>
      </c>
      <c r="AQ102" s="1">
        <f>SUMIFS(
  '[1]Hoja 1'!$M:$M,
  '[1]Hoja 1'!$S:$S, $A102,
  '[1]Hoja 1'!$R:$R, "&gt;="&amp;INT($AS$1),
  '[1]Hoja 1'!$R:$R, "&lt;"&amp;INT($AT$1+1)
)</f>
        <v>0</v>
      </c>
      <c r="AR102" s="1">
        <f t="shared" si="56"/>
        <v>0</v>
      </c>
      <c r="AS102" s="9">
        <f t="shared" si="57"/>
        <v>-0.41320428092866823</v>
      </c>
      <c r="AT102" s="10">
        <f t="shared" si="58"/>
        <v>0.41320428092866823</v>
      </c>
      <c r="AU102" s="1">
        <f>SUMIFS(
  '[1]Hoja 1'!$M:$M,
  '[1]Hoja 1'!$S:$S, $A102,
  '[1]Hoja 1'!$R:$R, "&gt;="&amp;INT($AW$1),
  '[1]Hoja 1'!$R:$R, "&lt;"&amp;INT($AX$1+1)
)</f>
        <v>0</v>
      </c>
      <c r="AV102" s="1">
        <f t="shared" si="59"/>
        <v>0</v>
      </c>
      <c r="AW102" s="9">
        <f t="shared" si="60"/>
        <v>-0.39642951912838631</v>
      </c>
      <c r="AX102" s="10">
        <f t="shared" si="61"/>
        <v>0.39642951912838631</v>
      </c>
    </row>
    <row r="103" spans="1:50" x14ac:dyDescent="0.25">
      <c r="A103" s="5">
        <v>215002</v>
      </c>
      <c r="B103" s="6" t="s">
        <v>100</v>
      </c>
      <c r="C103" s="1">
        <f>SUMIFS(
  '[1]Hoja 1'!$M:$M,
  '[1]Hoja 1'!$S:$S, $A103,
  '[1]Hoja 1'!$R:$R, "&gt;="&amp;INT($E$1),
  '[1]Hoja 1'!$R:$R, "&lt;"&amp;INT($F$1+1)
)</f>
        <v>0</v>
      </c>
      <c r="D103" s="1" t="str">
        <f>""</f>
        <v/>
      </c>
      <c r="F103" s="2"/>
      <c r="G103" s="1">
        <f>SUMIFS(
  '[1]Hoja 1'!$M:$M,
  '[1]Hoja 1'!$S:$S, $A103,
  '[1]Hoja 1'!$R:$R, "&gt;="&amp;INT($I$1),
  '[1]Hoja 1'!$R:$R, "&lt;"&amp;INT($J$1+1)
)</f>
        <v>0</v>
      </c>
      <c r="H103" s="1">
        <f t="shared" si="31"/>
        <v>0</v>
      </c>
      <c r="I103" s="1"/>
      <c r="J103" s="2"/>
      <c r="K103" s="1">
        <f>SUMIFS(
  '[1]Hoja 1'!$M:$M,
  '[1]Hoja 1'!$S:$S, $A103,
  '[1]Hoja 1'!$R:$R, "&gt;="&amp;INT($M$1),
  '[1]Hoja 1'!$R:$R, "&lt;"&amp;INT($N$1+1)
)</f>
        <v>0</v>
      </c>
      <c r="L103" s="1">
        <f t="shared" si="32"/>
        <v>0</v>
      </c>
      <c r="M103" s="9">
        <f t="shared" si="33"/>
        <v>0</v>
      </c>
      <c r="N103" s="10">
        <f t="shared" si="34"/>
        <v>0</v>
      </c>
      <c r="O103" s="1">
        <f>SUMIFS(
  '[1]Hoja 1'!$M:$M,
  '[1]Hoja 1'!$S:$S, $A103,
  '[1]Hoja 1'!$R:$R, "&gt;="&amp;INT($Q$1),
  '[1]Hoja 1'!$R:$R, "&lt;"&amp;INT($R$1+1)
)</f>
        <v>0</v>
      </c>
      <c r="P103" s="1">
        <f t="shared" si="35"/>
        <v>0</v>
      </c>
      <c r="Q103" s="9">
        <f t="shared" si="36"/>
        <v>0</v>
      </c>
      <c r="R103" s="10">
        <f t="shared" si="37"/>
        <v>0</v>
      </c>
      <c r="S103" s="1">
        <f>SUMIFS(
  '[1]Hoja 1'!$M:$M,
  '[1]Hoja 1'!$S:$S, $A103,
  '[1]Hoja 1'!$R:$R, "&gt;="&amp;INT($U$1),
  '[1]Hoja 1'!$R:$R, "&lt;"&amp;INT($V$1+1)
)</f>
        <v>0</v>
      </c>
      <c r="T103" s="1">
        <f t="shared" si="38"/>
        <v>0</v>
      </c>
      <c r="U103" s="9">
        <f t="shared" si="39"/>
        <v>-1.47</v>
      </c>
      <c r="V103" s="10">
        <f t="shared" si="40"/>
        <v>1.47</v>
      </c>
      <c r="W103" s="1">
        <f>SUMIFS(
  '[1]Hoja 1'!$M:$M,
  '[1]Hoja 1'!$S:$S, $A103,
  '[1]Hoja 1'!$R:$R, "&gt;="&amp;INT($Y$1),
  '[1]Hoja 1'!$R:$R, "&lt;"&amp;INT($Z$1+1)
)</f>
        <v>0</v>
      </c>
      <c r="X103" s="1">
        <f t="shared" si="41"/>
        <v>0</v>
      </c>
      <c r="Y103" s="9">
        <f t="shared" si="42"/>
        <v>0</v>
      </c>
      <c r="Z103" s="10">
        <f t="shared" si="43"/>
        <v>0</v>
      </c>
      <c r="AA103" s="1">
        <f>SUMIFS(
  '[1]Hoja 1'!$M:$M,
  '[1]Hoja 1'!$S:$S, $A103,
  '[1]Hoja 1'!$R:$R, "&gt;="&amp;INT($AC$1),
  '[1]Hoja 1'!$R:$R, "&lt;"&amp;INT($AD$1+1)
)</f>
        <v>0</v>
      </c>
      <c r="AB103" s="1">
        <f t="shared" si="44"/>
        <v>0</v>
      </c>
      <c r="AC103" s="9">
        <f t="shared" si="45"/>
        <v>0</v>
      </c>
      <c r="AD103" s="10">
        <f t="shared" si="46"/>
        <v>0</v>
      </c>
      <c r="AE103" s="1">
        <f>SUMIFS(
  '[1]Hoja 1'!$M:$M,
  '[1]Hoja 1'!$S:$S, $A103,
  '[1]Hoja 1'!$R:$R, "&gt;="&amp;INT($AG$1),
  '[1]Hoja 1'!$R:$R, "&lt;"&amp;INT($AH$1+1)
)</f>
        <v>0</v>
      </c>
      <c r="AF103" s="1">
        <f t="shared" si="47"/>
        <v>0</v>
      </c>
      <c r="AG103" s="9">
        <f t="shared" si="48"/>
        <v>0</v>
      </c>
      <c r="AH103" s="10">
        <f t="shared" si="49"/>
        <v>0</v>
      </c>
      <c r="AI103" s="1">
        <f>SUMIFS(
  '[1]Hoja 1'!$M:$M,
  '[1]Hoja 1'!$S:$S, $A103,
  '[1]Hoja 1'!$R:$R, "&gt;="&amp;INT($AK$1),
  '[1]Hoja 1'!$R:$R, "&lt;"&amp;INT($AJ$1+1)
)</f>
        <v>0</v>
      </c>
      <c r="AJ103" s="1">
        <f t="shared" si="50"/>
        <v>0</v>
      </c>
      <c r="AK103" s="9">
        <f t="shared" si="51"/>
        <v>0</v>
      </c>
      <c r="AL103" s="10">
        <f t="shared" si="52"/>
        <v>0</v>
      </c>
      <c r="AM103" s="1">
        <f>SUMIFS(
  '[1]Hoja 1'!$M:$M,
  '[1]Hoja 1'!$S:$S, $A103,
  '[1]Hoja 1'!$R:$R, "&gt;="&amp;INT($AO$1),
  '[1]Hoja 1'!$R:$R, "&lt;"&amp;INT($AP$1+1)
)</f>
        <v>0</v>
      </c>
      <c r="AN103" s="1">
        <f t="shared" si="53"/>
        <v>0</v>
      </c>
      <c r="AO103" s="9">
        <f t="shared" si="54"/>
        <v>0</v>
      </c>
      <c r="AP103" s="10">
        <f t="shared" si="55"/>
        <v>0</v>
      </c>
      <c r="AQ103" s="1">
        <f>SUMIFS(
  '[1]Hoja 1'!$M:$M,
  '[1]Hoja 1'!$S:$S, $A103,
  '[1]Hoja 1'!$R:$R, "&gt;="&amp;INT($AS$1),
  '[1]Hoja 1'!$R:$R, "&lt;"&amp;INT($AT$1+1)
)</f>
        <v>0</v>
      </c>
      <c r="AR103" s="1">
        <f t="shared" si="56"/>
        <v>0</v>
      </c>
      <c r="AS103" s="9">
        <f t="shared" si="57"/>
        <v>0</v>
      </c>
      <c r="AT103" s="10">
        <f t="shared" si="58"/>
        <v>0</v>
      </c>
      <c r="AU103" s="1">
        <f>SUMIFS(
  '[1]Hoja 1'!$M:$M,
  '[1]Hoja 1'!$S:$S, $A103,
  '[1]Hoja 1'!$R:$R, "&gt;="&amp;INT($AW$1),
  '[1]Hoja 1'!$R:$R, "&lt;"&amp;INT($AX$1+1)
)</f>
        <v>0</v>
      </c>
      <c r="AV103" s="1">
        <f t="shared" si="59"/>
        <v>0</v>
      </c>
      <c r="AW103" s="9">
        <f t="shared" si="60"/>
        <v>0</v>
      </c>
      <c r="AX103" s="10">
        <f t="shared" si="61"/>
        <v>0</v>
      </c>
    </row>
    <row r="104" spans="1:50" x14ac:dyDescent="0.25">
      <c r="A104" s="5">
        <v>217001</v>
      </c>
      <c r="B104" s="6" t="s">
        <v>101</v>
      </c>
      <c r="C104" s="1">
        <f>SUMIFS(
  '[1]Hoja 1'!$M:$M,
  '[1]Hoja 1'!$S:$S, $A104,
  '[1]Hoja 1'!$R:$R, "&gt;="&amp;INT($E$1),
  '[1]Hoja 1'!$R:$R, "&lt;"&amp;INT($F$1+1)
)</f>
        <v>0</v>
      </c>
      <c r="D104" s="1" t="str">
        <f>""</f>
        <v/>
      </c>
      <c r="F104" s="2"/>
      <c r="G104" s="1">
        <f>SUMIFS(
  '[1]Hoja 1'!$M:$M,
  '[1]Hoja 1'!$S:$S, $A104,
  '[1]Hoja 1'!$R:$R, "&gt;="&amp;INT($I$1),
  '[1]Hoja 1'!$R:$R, "&lt;"&amp;INT($J$1+1)
)</f>
        <v>0</v>
      </c>
      <c r="H104" s="1">
        <f t="shared" si="31"/>
        <v>0</v>
      </c>
      <c r="I104" s="1"/>
      <c r="J104" s="2"/>
      <c r="K104" s="1">
        <f>SUMIFS(
  '[1]Hoja 1'!$M:$M,
  '[1]Hoja 1'!$S:$S, $A104,
  '[1]Hoja 1'!$R:$R, "&gt;="&amp;INT($M$1),
  '[1]Hoja 1'!$R:$R, "&lt;"&amp;INT($N$1+1)
)</f>
        <v>0</v>
      </c>
      <c r="L104" s="1">
        <f t="shared" si="32"/>
        <v>0</v>
      </c>
      <c r="M104" s="9">
        <f t="shared" si="33"/>
        <v>0</v>
      </c>
      <c r="N104" s="10">
        <f t="shared" si="34"/>
        <v>0</v>
      </c>
      <c r="O104" s="1">
        <f>SUMIFS(
  '[1]Hoja 1'!$M:$M,
  '[1]Hoja 1'!$S:$S, $A104,
  '[1]Hoja 1'!$R:$R, "&gt;="&amp;INT($Q$1),
  '[1]Hoja 1'!$R:$R, "&lt;"&amp;INT($R$1+1)
)</f>
        <v>0</v>
      </c>
      <c r="P104" s="1">
        <f t="shared" si="35"/>
        <v>0</v>
      </c>
      <c r="Q104" s="9">
        <f t="shared" si="36"/>
        <v>0</v>
      </c>
      <c r="R104" s="10">
        <f t="shared" si="37"/>
        <v>0</v>
      </c>
      <c r="S104" s="1">
        <f>SUMIFS(
  '[1]Hoja 1'!$M:$M,
  '[1]Hoja 1'!$S:$S, $A104,
  '[1]Hoja 1'!$R:$R, "&gt;="&amp;INT($U$1),
  '[1]Hoja 1'!$R:$R, "&lt;"&amp;INT($V$1+1)
)</f>
        <v>0</v>
      </c>
      <c r="T104" s="1">
        <f t="shared" si="38"/>
        <v>0</v>
      </c>
      <c r="U104" s="9">
        <f t="shared" si="39"/>
        <v>-1.47</v>
      </c>
      <c r="V104" s="10">
        <f t="shared" si="40"/>
        <v>1.47</v>
      </c>
      <c r="W104" s="1">
        <f>SUMIFS(
  '[1]Hoja 1'!$M:$M,
  '[1]Hoja 1'!$S:$S, $A104,
  '[1]Hoja 1'!$R:$R, "&gt;="&amp;INT($Y$1),
  '[1]Hoja 1'!$R:$R, "&lt;"&amp;INT($Z$1+1)
)</f>
        <v>0</v>
      </c>
      <c r="X104" s="1">
        <f t="shared" si="41"/>
        <v>0</v>
      </c>
      <c r="Y104" s="9">
        <f t="shared" si="42"/>
        <v>0</v>
      </c>
      <c r="Z104" s="10">
        <f t="shared" si="43"/>
        <v>0</v>
      </c>
      <c r="AA104" s="1">
        <f>SUMIFS(
  '[1]Hoja 1'!$M:$M,
  '[1]Hoja 1'!$S:$S, $A104,
  '[1]Hoja 1'!$R:$R, "&gt;="&amp;INT($AC$1),
  '[1]Hoja 1'!$R:$R, "&lt;"&amp;INT($AD$1+1)
)</f>
        <v>0</v>
      </c>
      <c r="AB104" s="1">
        <f t="shared" si="44"/>
        <v>0</v>
      </c>
      <c r="AC104" s="9">
        <f t="shared" si="45"/>
        <v>0</v>
      </c>
      <c r="AD104" s="10">
        <f t="shared" si="46"/>
        <v>0</v>
      </c>
      <c r="AE104" s="1">
        <f>SUMIFS(
  '[1]Hoja 1'!$M:$M,
  '[1]Hoja 1'!$S:$S, $A104,
  '[1]Hoja 1'!$R:$R, "&gt;="&amp;INT($AG$1),
  '[1]Hoja 1'!$R:$R, "&lt;"&amp;INT($AH$1+1)
)</f>
        <v>0</v>
      </c>
      <c r="AF104" s="1">
        <f t="shared" si="47"/>
        <v>0</v>
      </c>
      <c r="AG104" s="9">
        <f t="shared" si="48"/>
        <v>0</v>
      </c>
      <c r="AH104" s="10">
        <f t="shared" si="49"/>
        <v>0</v>
      </c>
      <c r="AI104" s="1">
        <f>SUMIFS(
  '[1]Hoja 1'!$M:$M,
  '[1]Hoja 1'!$S:$S, $A104,
  '[1]Hoja 1'!$R:$R, "&gt;="&amp;INT($AK$1),
  '[1]Hoja 1'!$R:$R, "&lt;"&amp;INT($AJ$1+1)
)</f>
        <v>0</v>
      </c>
      <c r="AJ104" s="1">
        <f t="shared" si="50"/>
        <v>0</v>
      </c>
      <c r="AK104" s="9">
        <f t="shared" si="51"/>
        <v>0</v>
      </c>
      <c r="AL104" s="10">
        <f t="shared" si="52"/>
        <v>0</v>
      </c>
      <c r="AM104" s="1">
        <f>SUMIFS(
  '[1]Hoja 1'!$M:$M,
  '[1]Hoja 1'!$S:$S, $A104,
  '[1]Hoja 1'!$R:$R, "&gt;="&amp;INT($AO$1),
  '[1]Hoja 1'!$R:$R, "&lt;"&amp;INT($AP$1+1)
)</f>
        <v>0</v>
      </c>
      <c r="AN104" s="1">
        <f t="shared" si="53"/>
        <v>0</v>
      </c>
      <c r="AO104" s="9">
        <f t="shared" si="54"/>
        <v>0</v>
      </c>
      <c r="AP104" s="10">
        <f t="shared" si="55"/>
        <v>0</v>
      </c>
      <c r="AQ104" s="1">
        <f>SUMIFS(
  '[1]Hoja 1'!$M:$M,
  '[1]Hoja 1'!$S:$S, $A104,
  '[1]Hoja 1'!$R:$R, "&gt;="&amp;INT($AS$1),
  '[1]Hoja 1'!$R:$R, "&lt;"&amp;INT($AT$1+1)
)</f>
        <v>0</v>
      </c>
      <c r="AR104" s="1">
        <f t="shared" si="56"/>
        <v>0</v>
      </c>
      <c r="AS104" s="9">
        <f t="shared" si="57"/>
        <v>0</v>
      </c>
      <c r="AT104" s="10">
        <f t="shared" si="58"/>
        <v>0</v>
      </c>
      <c r="AU104" s="1">
        <f>SUMIFS(
  '[1]Hoja 1'!$M:$M,
  '[1]Hoja 1'!$S:$S, $A104,
  '[1]Hoja 1'!$R:$R, "&gt;="&amp;INT($AW$1),
  '[1]Hoja 1'!$R:$R, "&lt;"&amp;INT($AX$1+1)
)</f>
        <v>0</v>
      </c>
      <c r="AV104" s="1">
        <f t="shared" si="59"/>
        <v>0</v>
      </c>
      <c r="AW104" s="9">
        <f t="shared" si="60"/>
        <v>0</v>
      </c>
      <c r="AX104" s="10">
        <f t="shared" si="61"/>
        <v>0</v>
      </c>
    </row>
    <row r="105" spans="1:50" x14ac:dyDescent="0.25">
      <c r="A105" s="5">
        <v>217002</v>
      </c>
      <c r="B105" s="6" t="s">
        <v>102</v>
      </c>
      <c r="C105" s="1">
        <f>SUMIFS(
  '[1]Hoja 1'!$M:$M,
  '[1]Hoja 1'!$S:$S, $A105,
  '[1]Hoja 1'!$R:$R, "&gt;="&amp;INT($E$1),
  '[1]Hoja 1'!$R:$R, "&lt;"&amp;INT($F$1+1)
)</f>
        <v>0</v>
      </c>
      <c r="D105" s="1" t="str">
        <f>""</f>
        <v/>
      </c>
      <c r="F105" s="2"/>
      <c r="G105" s="1">
        <f>SUMIFS(
  '[1]Hoja 1'!$M:$M,
  '[1]Hoja 1'!$S:$S, $A105,
  '[1]Hoja 1'!$R:$R, "&gt;="&amp;INT($I$1),
  '[1]Hoja 1'!$R:$R, "&lt;"&amp;INT($J$1+1)
)</f>
        <v>0</v>
      </c>
      <c r="H105" s="1">
        <f t="shared" si="31"/>
        <v>0</v>
      </c>
      <c r="I105" s="1"/>
      <c r="J105" s="2"/>
      <c r="K105" s="1">
        <f>SUMIFS(
  '[1]Hoja 1'!$M:$M,
  '[1]Hoja 1'!$S:$S, $A105,
  '[1]Hoja 1'!$R:$R, "&gt;="&amp;INT($M$1),
  '[1]Hoja 1'!$R:$R, "&lt;"&amp;INT($N$1+1)
)</f>
        <v>0</v>
      </c>
      <c r="L105" s="1">
        <f t="shared" si="32"/>
        <v>0</v>
      </c>
      <c r="M105" s="9">
        <f t="shared" si="33"/>
        <v>0</v>
      </c>
      <c r="N105" s="10">
        <f t="shared" si="34"/>
        <v>0</v>
      </c>
      <c r="O105" s="1">
        <f>SUMIFS(
  '[1]Hoja 1'!$M:$M,
  '[1]Hoja 1'!$S:$S, $A105,
  '[1]Hoja 1'!$R:$R, "&gt;="&amp;INT($Q$1),
  '[1]Hoja 1'!$R:$R, "&lt;"&amp;INT($R$1+1)
)</f>
        <v>0</v>
      </c>
      <c r="P105" s="1">
        <f t="shared" si="35"/>
        <v>0</v>
      </c>
      <c r="Q105" s="9">
        <f t="shared" si="36"/>
        <v>0</v>
      </c>
      <c r="R105" s="10">
        <f t="shared" si="37"/>
        <v>0</v>
      </c>
      <c r="S105" s="1">
        <f>SUMIFS(
  '[1]Hoja 1'!$M:$M,
  '[1]Hoja 1'!$S:$S, $A105,
  '[1]Hoja 1'!$R:$R, "&gt;="&amp;INT($U$1),
  '[1]Hoja 1'!$R:$R, "&lt;"&amp;INT($V$1+1)
)</f>
        <v>0</v>
      </c>
      <c r="T105" s="1">
        <f t="shared" si="38"/>
        <v>0</v>
      </c>
      <c r="U105" s="9">
        <f t="shared" si="39"/>
        <v>-1.47</v>
      </c>
      <c r="V105" s="10">
        <f t="shared" si="40"/>
        <v>1.47</v>
      </c>
      <c r="W105" s="1">
        <f>SUMIFS(
  '[1]Hoja 1'!$M:$M,
  '[1]Hoja 1'!$S:$S, $A105,
  '[1]Hoja 1'!$R:$R, "&gt;="&amp;INT($Y$1),
  '[1]Hoja 1'!$R:$R, "&lt;"&amp;INT($Z$1+1)
)</f>
        <v>0</v>
      </c>
      <c r="X105" s="1">
        <f t="shared" si="41"/>
        <v>0</v>
      </c>
      <c r="Y105" s="9">
        <f t="shared" si="42"/>
        <v>0</v>
      </c>
      <c r="Z105" s="10">
        <f t="shared" si="43"/>
        <v>0</v>
      </c>
      <c r="AA105" s="1">
        <f>SUMIFS(
  '[1]Hoja 1'!$M:$M,
  '[1]Hoja 1'!$S:$S, $A105,
  '[1]Hoja 1'!$R:$R, "&gt;="&amp;INT($AC$1),
  '[1]Hoja 1'!$R:$R, "&lt;"&amp;INT($AD$1+1)
)</f>
        <v>0</v>
      </c>
      <c r="AB105" s="1">
        <f t="shared" si="44"/>
        <v>0</v>
      </c>
      <c r="AC105" s="9">
        <f t="shared" si="45"/>
        <v>0</v>
      </c>
      <c r="AD105" s="10">
        <f t="shared" si="46"/>
        <v>0</v>
      </c>
      <c r="AE105" s="1">
        <f>SUMIFS(
  '[1]Hoja 1'!$M:$M,
  '[1]Hoja 1'!$S:$S, $A105,
  '[1]Hoja 1'!$R:$R, "&gt;="&amp;INT($AG$1),
  '[1]Hoja 1'!$R:$R, "&lt;"&amp;INT($AH$1+1)
)</f>
        <v>0</v>
      </c>
      <c r="AF105" s="1">
        <f t="shared" si="47"/>
        <v>0</v>
      </c>
      <c r="AG105" s="9">
        <f t="shared" si="48"/>
        <v>0</v>
      </c>
      <c r="AH105" s="10">
        <f t="shared" si="49"/>
        <v>0</v>
      </c>
      <c r="AI105" s="1">
        <f>SUMIFS(
  '[1]Hoja 1'!$M:$M,
  '[1]Hoja 1'!$S:$S, $A105,
  '[1]Hoja 1'!$R:$R, "&gt;="&amp;INT($AK$1),
  '[1]Hoja 1'!$R:$R, "&lt;"&amp;INT($AJ$1+1)
)</f>
        <v>0</v>
      </c>
      <c r="AJ105" s="1">
        <f t="shared" si="50"/>
        <v>0</v>
      </c>
      <c r="AK105" s="9">
        <f t="shared" si="51"/>
        <v>0</v>
      </c>
      <c r="AL105" s="10">
        <f t="shared" si="52"/>
        <v>0</v>
      </c>
      <c r="AM105" s="1">
        <f>SUMIFS(
  '[1]Hoja 1'!$M:$M,
  '[1]Hoja 1'!$S:$S, $A105,
  '[1]Hoja 1'!$R:$R, "&gt;="&amp;INT($AO$1),
  '[1]Hoja 1'!$R:$R, "&lt;"&amp;INT($AP$1+1)
)</f>
        <v>0</v>
      </c>
      <c r="AN105" s="1">
        <f t="shared" si="53"/>
        <v>0</v>
      </c>
      <c r="AO105" s="9">
        <f t="shared" si="54"/>
        <v>0</v>
      </c>
      <c r="AP105" s="10">
        <f t="shared" si="55"/>
        <v>0</v>
      </c>
      <c r="AQ105" s="1">
        <f>SUMIFS(
  '[1]Hoja 1'!$M:$M,
  '[1]Hoja 1'!$S:$S, $A105,
  '[1]Hoja 1'!$R:$R, "&gt;="&amp;INT($AS$1),
  '[1]Hoja 1'!$R:$R, "&lt;"&amp;INT($AT$1+1)
)</f>
        <v>0</v>
      </c>
      <c r="AR105" s="1">
        <f t="shared" si="56"/>
        <v>0</v>
      </c>
      <c r="AS105" s="9">
        <f t="shared" si="57"/>
        <v>0</v>
      </c>
      <c r="AT105" s="10">
        <f t="shared" si="58"/>
        <v>0</v>
      </c>
      <c r="AU105" s="1">
        <f>SUMIFS(
  '[1]Hoja 1'!$M:$M,
  '[1]Hoja 1'!$S:$S, $A105,
  '[1]Hoja 1'!$R:$R, "&gt;="&amp;INT($AW$1),
  '[1]Hoja 1'!$R:$R, "&lt;"&amp;INT($AX$1+1)
)</f>
        <v>0</v>
      </c>
      <c r="AV105" s="1">
        <f t="shared" si="59"/>
        <v>0</v>
      </c>
      <c r="AW105" s="9">
        <f t="shared" si="60"/>
        <v>0</v>
      </c>
      <c r="AX105" s="10">
        <f t="shared" si="61"/>
        <v>0</v>
      </c>
    </row>
    <row r="106" spans="1:50" x14ac:dyDescent="0.25">
      <c r="A106" s="5">
        <v>217006</v>
      </c>
      <c r="B106" s="6" t="s">
        <v>103</v>
      </c>
      <c r="C106" s="1">
        <f>SUMIFS(
  '[1]Hoja 1'!$M:$M,
  '[1]Hoja 1'!$S:$S, $A106,
  '[1]Hoja 1'!$R:$R, "&gt;="&amp;INT($E$1),
  '[1]Hoja 1'!$R:$R, "&lt;"&amp;INT($F$1+1)
)</f>
        <v>0</v>
      </c>
      <c r="D106" s="1" t="str">
        <f>""</f>
        <v/>
      </c>
      <c r="F106" s="2"/>
      <c r="G106" s="1">
        <f>SUMIFS(
  '[1]Hoja 1'!$M:$M,
  '[1]Hoja 1'!$S:$S, $A106,
  '[1]Hoja 1'!$R:$R, "&gt;="&amp;INT($I$1),
  '[1]Hoja 1'!$R:$R, "&lt;"&amp;INT($J$1+1)
)</f>
        <v>0</v>
      </c>
      <c r="H106" s="1">
        <f t="shared" si="31"/>
        <v>0</v>
      </c>
      <c r="I106" s="1"/>
      <c r="J106" s="2"/>
      <c r="K106" s="1">
        <f>SUMIFS(
  '[1]Hoja 1'!$M:$M,
  '[1]Hoja 1'!$S:$S, $A106,
  '[1]Hoja 1'!$R:$R, "&gt;="&amp;INT($M$1),
  '[1]Hoja 1'!$R:$R, "&lt;"&amp;INT($N$1+1)
)</f>
        <v>0</v>
      </c>
      <c r="L106" s="1">
        <f t="shared" si="32"/>
        <v>0</v>
      </c>
      <c r="M106" s="9">
        <f t="shared" si="33"/>
        <v>0</v>
      </c>
      <c r="N106" s="10">
        <f t="shared" si="34"/>
        <v>0</v>
      </c>
      <c r="O106" s="1">
        <f>SUMIFS(
  '[1]Hoja 1'!$M:$M,
  '[1]Hoja 1'!$S:$S, $A106,
  '[1]Hoja 1'!$R:$R, "&gt;="&amp;INT($Q$1),
  '[1]Hoja 1'!$R:$R, "&lt;"&amp;INT($R$1+1)
)</f>
        <v>0</v>
      </c>
      <c r="P106" s="1">
        <f t="shared" si="35"/>
        <v>0</v>
      </c>
      <c r="Q106" s="9">
        <f t="shared" si="36"/>
        <v>0</v>
      </c>
      <c r="R106" s="10">
        <f t="shared" si="37"/>
        <v>0</v>
      </c>
      <c r="S106" s="1">
        <f>SUMIFS(
  '[1]Hoja 1'!$M:$M,
  '[1]Hoja 1'!$S:$S, $A106,
  '[1]Hoja 1'!$R:$R, "&gt;="&amp;INT($U$1),
  '[1]Hoja 1'!$R:$R, "&lt;"&amp;INT($V$1+1)
)</f>
        <v>0</v>
      </c>
      <c r="T106" s="1">
        <f t="shared" si="38"/>
        <v>0</v>
      </c>
      <c r="U106" s="9">
        <f t="shared" si="39"/>
        <v>-1.47</v>
      </c>
      <c r="V106" s="10">
        <f t="shared" si="40"/>
        <v>1.47</v>
      </c>
      <c r="W106" s="1">
        <f>SUMIFS(
  '[1]Hoja 1'!$M:$M,
  '[1]Hoja 1'!$S:$S, $A106,
  '[1]Hoja 1'!$R:$R, "&gt;="&amp;INT($Y$1),
  '[1]Hoja 1'!$R:$R, "&lt;"&amp;INT($Z$1+1)
)</f>
        <v>0</v>
      </c>
      <c r="X106" s="1">
        <f t="shared" si="41"/>
        <v>0</v>
      </c>
      <c r="Y106" s="9">
        <f t="shared" si="42"/>
        <v>0</v>
      </c>
      <c r="Z106" s="10">
        <f t="shared" si="43"/>
        <v>0</v>
      </c>
      <c r="AA106" s="1">
        <f>SUMIFS(
  '[1]Hoja 1'!$M:$M,
  '[1]Hoja 1'!$S:$S, $A106,
  '[1]Hoja 1'!$R:$R, "&gt;="&amp;INT($AC$1),
  '[1]Hoja 1'!$R:$R, "&lt;"&amp;INT($AD$1+1)
)</f>
        <v>0</v>
      </c>
      <c r="AB106" s="1">
        <f t="shared" si="44"/>
        <v>0</v>
      </c>
      <c r="AC106" s="9">
        <f t="shared" si="45"/>
        <v>0</v>
      </c>
      <c r="AD106" s="10">
        <f t="shared" si="46"/>
        <v>0</v>
      </c>
      <c r="AE106" s="1">
        <f>SUMIFS(
  '[1]Hoja 1'!$M:$M,
  '[1]Hoja 1'!$S:$S, $A106,
  '[1]Hoja 1'!$R:$R, "&gt;="&amp;INT($AG$1),
  '[1]Hoja 1'!$R:$R, "&lt;"&amp;INT($AH$1+1)
)</f>
        <v>0</v>
      </c>
      <c r="AF106" s="1">
        <f t="shared" si="47"/>
        <v>0</v>
      </c>
      <c r="AG106" s="9">
        <f t="shared" si="48"/>
        <v>0</v>
      </c>
      <c r="AH106" s="10">
        <f t="shared" si="49"/>
        <v>0</v>
      </c>
      <c r="AI106" s="1">
        <f>SUMIFS(
  '[1]Hoja 1'!$M:$M,
  '[1]Hoja 1'!$S:$S, $A106,
  '[1]Hoja 1'!$R:$R, "&gt;="&amp;INT($AK$1),
  '[1]Hoja 1'!$R:$R, "&lt;"&amp;INT($AJ$1+1)
)</f>
        <v>0</v>
      </c>
      <c r="AJ106" s="1">
        <f t="shared" si="50"/>
        <v>0</v>
      </c>
      <c r="AK106" s="9">
        <f t="shared" si="51"/>
        <v>0</v>
      </c>
      <c r="AL106" s="10">
        <f t="shared" si="52"/>
        <v>0</v>
      </c>
      <c r="AM106" s="1">
        <f>SUMIFS(
  '[1]Hoja 1'!$M:$M,
  '[1]Hoja 1'!$S:$S, $A106,
  '[1]Hoja 1'!$R:$R, "&gt;="&amp;INT($AO$1),
  '[1]Hoja 1'!$R:$R, "&lt;"&amp;INT($AP$1+1)
)</f>
        <v>0</v>
      </c>
      <c r="AN106" s="1">
        <f t="shared" si="53"/>
        <v>0</v>
      </c>
      <c r="AO106" s="9">
        <f t="shared" si="54"/>
        <v>0</v>
      </c>
      <c r="AP106" s="10">
        <f t="shared" si="55"/>
        <v>0</v>
      </c>
      <c r="AQ106" s="1">
        <f>SUMIFS(
  '[1]Hoja 1'!$M:$M,
  '[1]Hoja 1'!$S:$S, $A106,
  '[1]Hoja 1'!$R:$R, "&gt;="&amp;INT($AS$1),
  '[1]Hoja 1'!$R:$R, "&lt;"&amp;INT($AT$1+1)
)</f>
        <v>0</v>
      </c>
      <c r="AR106" s="1">
        <f t="shared" si="56"/>
        <v>0</v>
      </c>
      <c r="AS106" s="9">
        <f t="shared" si="57"/>
        <v>0</v>
      </c>
      <c r="AT106" s="10">
        <f t="shared" si="58"/>
        <v>0</v>
      </c>
      <c r="AU106" s="1">
        <f>SUMIFS(
  '[1]Hoja 1'!$M:$M,
  '[1]Hoja 1'!$S:$S, $A106,
  '[1]Hoja 1'!$R:$R, "&gt;="&amp;INT($AW$1),
  '[1]Hoja 1'!$R:$R, "&lt;"&amp;INT($AX$1+1)
)</f>
        <v>0</v>
      </c>
      <c r="AV106" s="1">
        <f t="shared" si="59"/>
        <v>0</v>
      </c>
      <c r="AW106" s="9">
        <f t="shared" si="60"/>
        <v>0</v>
      </c>
      <c r="AX106" s="10">
        <f t="shared" si="61"/>
        <v>0</v>
      </c>
    </row>
    <row r="107" spans="1:50" x14ac:dyDescent="0.25">
      <c r="A107" s="5">
        <v>217008</v>
      </c>
      <c r="B107" s="6" t="s">
        <v>104</v>
      </c>
      <c r="C107" s="1">
        <f>SUMIFS(
  '[1]Hoja 1'!$M:$M,
  '[1]Hoja 1'!$S:$S, $A107,
  '[1]Hoja 1'!$R:$R, "&gt;="&amp;INT($E$1),
  '[1]Hoja 1'!$R:$R, "&lt;"&amp;INT($F$1+1)
)</f>
        <v>0</v>
      </c>
      <c r="D107" s="1" t="str">
        <f>""</f>
        <v/>
      </c>
      <c r="F107" s="2"/>
      <c r="G107" s="1">
        <f>SUMIFS(
  '[1]Hoja 1'!$M:$M,
  '[1]Hoja 1'!$S:$S, $A107,
  '[1]Hoja 1'!$R:$R, "&gt;="&amp;INT($I$1),
  '[1]Hoja 1'!$R:$R, "&lt;"&amp;INT($J$1+1)
)</f>
        <v>0</v>
      </c>
      <c r="H107" s="1">
        <f t="shared" si="31"/>
        <v>0</v>
      </c>
      <c r="I107" s="1"/>
      <c r="J107" s="2"/>
      <c r="K107" s="1">
        <f>SUMIFS(
  '[1]Hoja 1'!$M:$M,
  '[1]Hoja 1'!$S:$S, $A107,
  '[1]Hoja 1'!$R:$R, "&gt;="&amp;INT($M$1),
  '[1]Hoja 1'!$R:$R, "&lt;"&amp;INT($N$1+1)
)</f>
        <v>0</v>
      </c>
      <c r="L107" s="1">
        <f t="shared" si="32"/>
        <v>0</v>
      </c>
      <c r="M107" s="9">
        <f t="shared" si="33"/>
        <v>0</v>
      </c>
      <c r="N107" s="10">
        <f t="shared" si="34"/>
        <v>0</v>
      </c>
      <c r="O107" s="1">
        <f>SUMIFS(
  '[1]Hoja 1'!$M:$M,
  '[1]Hoja 1'!$S:$S, $A107,
  '[1]Hoja 1'!$R:$R, "&gt;="&amp;INT($Q$1),
  '[1]Hoja 1'!$R:$R, "&lt;"&amp;INT($R$1+1)
)</f>
        <v>0</v>
      </c>
      <c r="P107" s="1">
        <f t="shared" si="35"/>
        <v>0</v>
      </c>
      <c r="Q107" s="9">
        <f t="shared" si="36"/>
        <v>0</v>
      </c>
      <c r="R107" s="10">
        <f t="shared" si="37"/>
        <v>0</v>
      </c>
      <c r="S107" s="1">
        <f>SUMIFS(
  '[1]Hoja 1'!$M:$M,
  '[1]Hoja 1'!$S:$S, $A107,
  '[1]Hoja 1'!$R:$R, "&gt;="&amp;INT($U$1),
  '[1]Hoja 1'!$R:$R, "&lt;"&amp;INT($V$1+1)
)</f>
        <v>0</v>
      </c>
      <c r="T107" s="1">
        <f t="shared" si="38"/>
        <v>0</v>
      </c>
      <c r="U107" s="9">
        <f t="shared" si="39"/>
        <v>-1.47</v>
      </c>
      <c r="V107" s="10">
        <f t="shared" si="40"/>
        <v>1.47</v>
      </c>
      <c r="W107" s="1">
        <f>SUMIFS(
  '[1]Hoja 1'!$M:$M,
  '[1]Hoja 1'!$S:$S, $A107,
  '[1]Hoja 1'!$R:$R, "&gt;="&amp;INT($Y$1),
  '[1]Hoja 1'!$R:$R, "&lt;"&amp;INT($Z$1+1)
)</f>
        <v>0</v>
      </c>
      <c r="X107" s="1">
        <f t="shared" si="41"/>
        <v>0</v>
      </c>
      <c r="Y107" s="9">
        <f t="shared" si="42"/>
        <v>0</v>
      </c>
      <c r="Z107" s="10">
        <f t="shared" si="43"/>
        <v>0</v>
      </c>
      <c r="AA107" s="1">
        <f>SUMIFS(
  '[1]Hoja 1'!$M:$M,
  '[1]Hoja 1'!$S:$S, $A107,
  '[1]Hoja 1'!$R:$R, "&gt;="&amp;INT($AC$1),
  '[1]Hoja 1'!$R:$R, "&lt;"&amp;INT($AD$1+1)
)</f>
        <v>0</v>
      </c>
      <c r="AB107" s="1">
        <f t="shared" si="44"/>
        <v>0</v>
      </c>
      <c r="AC107" s="9">
        <f t="shared" si="45"/>
        <v>0</v>
      </c>
      <c r="AD107" s="10">
        <f t="shared" si="46"/>
        <v>0</v>
      </c>
      <c r="AE107" s="1">
        <f>SUMIFS(
  '[1]Hoja 1'!$M:$M,
  '[1]Hoja 1'!$S:$S, $A107,
  '[1]Hoja 1'!$R:$R, "&gt;="&amp;INT($AG$1),
  '[1]Hoja 1'!$R:$R, "&lt;"&amp;INT($AH$1+1)
)</f>
        <v>0</v>
      </c>
      <c r="AF107" s="1">
        <f t="shared" si="47"/>
        <v>0</v>
      </c>
      <c r="AG107" s="9">
        <f t="shared" si="48"/>
        <v>0</v>
      </c>
      <c r="AH107" s="10">
        <f t="shared" si="49"/>
        <v>0</v>
      </c>
      <c r="AI107" s="1">
        <f>SUMIFS(
  '[1]Hoja 1'!$M:$M,
  '[1]Hoja 1'!$S:$S, $A107,
  '[1]Hoja 1'!$R:$R, "&gt;="&amp;INT($AK$1),
  '[1]Hoja 1'!$R:$R, "&lt;"&amp;INT($AJ$1+1)
)</f>
        <v>0</v>
      </c>
      <c r="AJ107" s="1">
        <f t="shared" si="50"/>
        <v>0</v>
      </c>
      <c r="AK107" s="9">
        <f t="shared" si="51"/>
        <v>0</v>
      </c>
      <c r="AL107" s="10">
        <f t="shared" si="52"/>
        <v>0</v>
      </c>
      <c r="AM107" s="1">
        <f>SUMIFS(
  '[1]Hoja 1'!$M:$M,
  '[1]Hoja 1'!$S:$S, $A107,
  '[1]Hoja 1'!$R:$R, "&gt;="&amp;INT($AO$1),
  '[1]Hoja 1'!$R:$R, "&lt;"&amp;INT($AP$1+1)
)</f>
        <v>0</v>
      </c>
      <c r="AN107" s="1">
        <f t="shared" si="53"/>
        <v>0</v>
      </c>
      <c r="AO107" s="9">
        <f t="shared" si="54"/>
        <v>0</v>
      </c>
      <c r="AP107" s="10">
        <f t="shared" si="55"/>
        <v>0</v>
      </c>
      <c r="AQ107" s="1">
        <f>SUMIFS(
  '[1]Hoja 1'!$M:$M,
  '[1]Hoja 1'!$S:$S, $A107,
  '[1]Hoja 1'!$R:$R, "&gt;="&amp;INT($AS$1),
  '[1]Hoja 1'!$R:$R, "&lt;"&amp;INT($AT$1+1)
)</f>
        <v>0</v>
      </c>
      <c r="AR107" s="1">
        <f t="shared" si="56"/>
        <v>0</v>
      </c>
      <c r="AS107" s="9">
        <f t="shared" si="57"/>
        <v>0</v>
      </c>
      <c r="AT107" s="10">
        <f t="shared" si="58"/>
        <v>0</v>
      </c>
      <c r="AU107" s="1">
        <f>SUMIFS(
  '[1]Hoja 1'!$M:$M,
  '[1]Hoja 1'!$S:$S, $A107,
  '[1]Hoja 1'!$R:$R, "&gt;="&amp;INT($AW$1),
  '[1]Hoja 1'!$R:$R, "&lt;"&amp;INT($AX$1+1)
)</f>
        <v>0</v>
      </c>
      <c r="AV107" s="1">
        <f t="shared" si="59"/>
        <v>0</v>
      </c>
      <c r="AW107" s="9">
        <f t="shared" si="60"/>
        <v>0</v>
      </c>
      <c r="AX107" s="10">
        <f t="shared" si="61"/>
        <v>0</v>
      </c>
    </row>
    <row r="108" spans="1:50" x14ac:dyDescent="0.25">
      <c r="A108" s="5">
        <v>217011</v>
      </c>
      <c r="B108" s="6" t="s">
        <v>105</v>
      </c>
      <c r="C108" s="1">
        <f>SUMIFS(
  '[1]Hoja 1'!$M:$M,
  '[1]Hoja 1'!$S:$S, $A108,
  '[1]Hoja 1'!$R:$R, "&gt;="&amp;INT($E$1),
  '[1]Hoja 1'!$R:$R, "&lt;"&amp;INT($F$1+1)
)</f>
        <v>48</v>
      </c>
      <c r="D108" s="1" t="str">
        <f>""</f>
        <v/>
      </c>
      <c r="F108" s="2"/>
      <c r="G108" s="1">
        <f>SUMIFS(
  '[1]Hoja 1'!$M:$M,
  '[1]Hoja 1'!$S:$S, $A108,
  '[1]Hoja 1'!$R:$R, "&gt;="&amp;INT($I$1),
  '[1]Hoja 1'!$R:$R, "&lt;"&amp;INT($J$1+1)
)</f>
        <v>29</v>
      </c>
      <c r="H108" s="1">
        <f t="shared" si="31"/>
        <v>39</v>
      </c>
      <c r="I108" s="1"/>
      <c r="J108" s="2"/>
      <c r="K108" s="1">
        <f>SUMIFS(
  '[1]Hoja 1'!$M:$M,
  '[1]Hoja 1'!$S:$S, $A108,
  '[1]Hoja 1'!$R:$R, "&gt;="&amp;INT($M$1),
  '[1]Hoja 1'!$R:$R, "&lt;"&amp;INT($N$1+1)
)</f>
        <v>0</v>
      </c>
      <c r="L108" s="1">
        <f t="shared" si="32"/>
        <v>14.5</v>
      </c>
      <c r="M108" s="9">
        <f t="shared" si="33"/>
        <v>7.5703535443718337</v>
      </c>
      <c r="N108" s="10">
        <f t="shared" si="34"/>
        <v>21.429646455628166</v>
      </c>
      <c r="O108" s="1">
        <f>SUMIFS(
  '[1]Hoja 1'!$M:$M,
  '[1]Hoja 1'!$S:$S, $A108,
  '[1]Hoja 1'!$R:$R, "&gt;="&amp;INT($Q$1),
  '[1]Hoja 1'!$R:$R, "&lt;"&amp;INT($R$1+1)
)</f>
        <v>0</v>
      </c>
      <c r="P108" s="1">
        <f t="shared" si="35"/>
        <v>0</v>
      </c>
      <c r="Q108" s="9">
        <f t="shared" si="36"/>
        <v>-14.43630146540311</v>
      </c>
      <c r="R108" s="10">
        <f t="shared" si="37"/>
        <v>14.43630146540311</v>
      </c>
      <c r="S108" s="1">
        <f>SUMIFS(
  '[1]Hoja 1'!$M:$M,
  '[1]Hoja 1'!$S:$S, $A108,
  '[1]Hoja 1'!$R:$R, "&gt;="&amp;INT($U$1),
  '[1]Hoja 1'!$R:$R, "&lt;"&amp;INT($V$1+1)
)</f>
        <v>0</v>
      </c>
      <c r="T108" s="1">
        <f t="shared" si="38"/>
        <v>0</v>
      </c>
      <c r="U108" s="9">
        <f t="shared" si="39"/>
        <v>-13.398312082746344</v>
      </c>
      <c r="V108" s="10">
        <f t="shared" si="40"/>
        <v>13.398312082746344</v>
      </c>
      <c r="W108" s="1">
        <f>SUMIFS(
  '[1]Hoja 1'!$M:$M,
  '[1]Hoja 1'!$S:$S, $A108,
  '[1]Hoja 1'!$R:$R, "&gt;="&amp;INT($Y$1),
  '[1]Hoja 1'!$R:$R, "&lt;"&amp;INT($Z$1+1)
)</f>
        <v>0</v>
      </c>
      <c r="X108" s="1">
        <f t="shared" si="41"/>
        <v>0</v>
      </c>
      <c r="Y108" s="9">
        <f t="shared" si="42"/>
        <v>-13.340244375572736</v>
      </c>
      <c r="Z108" s="10">
        <f t="shared" si="43"/>
        <v>13.340244375572736</v>
      </c>
      <c r="AA108" s="1">
        <f>SUMIFS(
  '[1]Hoja 1'!$M:$M,
  '[1]Hoja 1'!$S:$S, $A108,
  '[1]Hoja 1'!$R:$R, "&gt;="&amp;INT($AC$1),
  '[1]Hoja 1'!$R:$R, "&lt;"&amp;INT($AD$1+1)
)</f>
        <v>0</v>
      </c>
      <c r="AB108" s="1">
        <f t="shared" si="44"/>
        <v>0</v>
      </c>
      <c r="AC108" s="9">
        <f t="shared" si="45"/>
        <v>-12.534809132970475</v>
      </c>
      <c r="AD108" s="10">
        <f t="shared" si="46"/>
        <v>12.534809132970475</v>
      </c>
      <c r="AE108" s="1">
        <f>SUMIFS(
  '[1]Hoja 1'!$M:$M,
  '[1]Hoja 1'!$S:$S, $A108,
  '[1]Hoja 1'!$R:$R, "&gt;="&amp;INT($AG$1),
  '[1]Hoja 1'!$R:$R, "&lt;"&amp;INT($AH$1+1)
)</f>
        <v>0</v>
      </c>
      <c r="AF108" s="1">
        <f t="shared" si="47"/>
        <v>0</v>
      </c>
      <c r="AG108" s="9">
        <f t="shared" si="48"/>
        <v>-11.820124082823044</v>
      </c>
      <c r="AH108" s="10">
        <f t="shared" si="49"/>
        <v>11.820124082823044</v>
      </c>
      <c r="AI108" s="1">
        <f>SUMIFS(
  '[1]Hoja 1'!$M:$M,
  '[1]Hoja 1'!$S:$S, $A108,
  '[1]Hoja 1'!$R:$R, "&gt;="&amp;INT($AK$1),
  '[1]Hoja 1'!$R:$R, "&lt;"&amp;INT($AJ$1+1)
)</f>
        <v>0</v>
      </c>
      <c r="AJ108" s="1">
        <f t="shared" si="50"/>
        <v>0</v>
      </c>
      <c r="AK108" s="9">
        <f t="shared" si="51"/>
        <v>-11.198249863259884</v>
      </c>
      <c r="AL108" s="10">
        <f t="shared" si="52"/>
        <v>11.198249863259884</v>
      </c>
      <c r="AM108" s="1">
        <f>SUMIFS(
  '[1]Hoja 1'!$M:$M,
  '[1]Hoja 1'!$S:$S, $A108,
  '[1]Hoja 1'!$R:$R, "&gt;="&amp;INT($AO$1),
  '[1]Hoja 1'!$R:$R, "&lt;"&amp;INT($AP$1+1)
)</f>
        <v>0</v>
      </c>
      <c r="AN108" s="1">
        <f t="shared" si="53"/>
        <v>0</v>
      </c>
      <c r="AO108" s="9">
        <f t="shared" si="54"/>
        <v>-10.656795953756458</v>
      </c>
      <c r="AP108" s="10">
        <f t="shared" si="55"/>
        <v>10.656795953756458</v>
      </c>
      <c r="AQ108" s="1">
        <f>SUMIFS(
  '[1]Hoja 1'!$M:$M,
  '[1]Hoja 1'!$S:$S, $A108,
  '[1]Hoja 1'!$R:$R, "&gt;="&amp;INT($AS$1),
  '[1]Hoja 1'!$R:$R, "&lt;"&amp;INT($AT$1+1)
)</f>
        <v>0</v>
      </c>
      <c r="AR108" s="1">
        <f t="shared" si="56"/>
        <v>0</v>
      </c>
      <c r="AS108" s="9">
        <f t="shared" si="57"/>
        <v>-10.182362965223522</v>
      </c>
      <c r="AT108" s="10">
        <f t="shared" si="58"/>
        <v>10.182362965223522</v>
      </c>
      <c r="AU108" s="1">
        <f>SUMIFS(
  '[1]Hoja 1'!$M:$M,
  '[1]Hoja 1'!$S:$S, $A108,
  '[1]Hoja 1'!$R:$R, "&gt;="&amp;INT($AW$1),
  '[1]Hoja 1'!$R:$R, "&lt;"&amp;INT($AX$1+1)
)</f>
        <v>0</v>
      </c>
      <c r="AV108" s="1">
        <f t="shared" si="59"/>
        <v>0</v>
      </c>
      <c r="AW108" s="9">
        <f t="shared" si="60"/>
        <v>-9.7634043988019599</v>
      </c>
      <c r="AX108" s="10">
        <f t="shared" si="61"/>
        <v>9.7634043988019599</v>
      </c>
    </row>
    <row r="109" spans="1:50" x14ac:dyDescent="0.25">
      <c r="A109" s="5">
        <v>217012</v>
      </c>
      <c r="B109" s="6" t="s">
        <v>106</v>
      </c>
      <c r="C109" s="1">
        <f>SUMIFS(
  '[1]Hoja 1'!$M:$M,
  '[1]Hoja 1'!$S:$S, $A109,
  '[1]Hoja 1'!$R:$R, "&gt;="&amp;INT($E$1),
  '[1]Hoja 1'!$R:$R, "&lt;"&amp;INT($F$1+1)
)</f>
        <v>0</v>
      </c>
      <c r="D109" s="1" t="str">
        <f>""</f>
        <v/>
      </c>
      <c r="F109" s="2"/>
      <c r="G109" s="1">
        <f>SUMIFS(
  '[1]Hoja 1'!$M:$M,
  '[1]Hoja 1'!$S:$S, $A109,
  '[1]Hoja 1'!$R:$R, "&gt;="&amp;INT($I$1),
  '[1]Hoja 1'!$R:$R, "&lt;"&amp;INT($J$1+1)
)</f>
        <v>0</v>
      </c>
      <c r="H109" s="1">
        <f t="shared" si="31"/>
        <v>0</v>
      </c>
      <c r="I109" s="1"/>
      <c r="J109" s="2"/>
      <c r="K109" s="1">
        <f>SUMIFS(
  '[1]Hoja 1'!$M:$M,
  '[1]Hoja 1'!$S:$S, $A109,
  '[1]Hoja 1'!$R:$R, "&gt;="&amp;INT($M$1),
  '[1]Hoja 1'!$R:$R, "&lt;"&amp;INT($N$1+1)
)</f>
        <v>0</v>
      </c>
      <c r="L109" s="1">
        <f t="shared" si="32"/>
        <v>0</v>
      </c>
      <c r="M109" s="9">
        <f t="shared" si="33"/>
        <v>0</v>
      </c>
      <c r="N109" s="10">
        <f t="shared" si="34"/>
        <v>0</v>
      </c>
      <c r="O109" s="1">
        <f>SUMIFS(
  '[1]Hoja 1'!$M:$M,
  '[1]Hoja 1'!$S:$S, $A109,
  '[1]Hoja 1'!$R:$R, "&gt;="&amp;INT($Q$1),
  '[1]Hoja 1'!$R:$R, "&lt;"&amp;INT($R$1+1)
)</f>
        <v>0</v>
      </c>
      <c r="P109" s="1">
        <f t="shared" si="35"/>
        <v>0</v>
      </c>
      <c r="Q109" s="9">
        <f t="shared" si="36"/>
        <v>0</v>
      </c>
      <c r="R109" s="10">
        <f t="shared" si="37"/>
        <v>0</v>
      </c>
      <c r="S109" s="1">
        <f>SUMIFS(
  '[1]Hoja 1'!$M:$M,
  '[1]Hoja 1'!$S:$S, $A109,
  '[1]Hoja 1'!$R:$R, "&gt;="&amp;INT($U$1),
  '[1]Hoja 1'!$R:$R, "&lt;"&amp;INT($V$1+1)
)</f>
        <v>0</v>
      </c>
      <c r="T109" s="1">
        <f t="shared" si="38"/>
        <v>0</v>
      </c>
      <c r="U109" s="9">
        <f t="shared" si="39"/>
        <v>-1.47</v>
      </c>
      <c r="V109" s="10">
        <f t="shared" si="40"/>
        <v>1.47</v>
      </c>
      <c r="W109" s="1">
        <f>SUMIFS(
  '[1]Hoja 1'!$M:$M,
  '[1]Hoja 1'!$S:$S, $A109,
  '[1]Hoja 1'!$R:$R, "&gt;="&amp;INT($Y$1),
  '[1]Hoja 1'!$R:$R, "&lt;"&amp;INT($Z$1+1)
)</f>
        <v>0</v>
      </c>
      <c r="X109" s="1">
        <f t="shared" si="41"/>
        <v>0</v>
      </c>
      <c r="Y109" s="9">
        <f t="shared" si="42"/>
        <v>0</v>
      </c>
      <c r="Z109" s="10">
        <f t="shared" si="43"/>
        <v>0</v>
      </c>
      <c r="AA109" s="1">
        <f>SUMIFS(
  '[1]Hoja 1'!$M:$M,
  '[1]Hoja 1'!$S:$S, $A109,
  '[1]Hoja 1'!$R:$R, "&gt;="&amp;INT($AC$1),
  '[1]Hoja 1'!$R:$R, "&lt;"&amp;INT($AD$1+1)
)</f>
        <v>0</v>
      </c>
      <c r="AB109" s="1">
        <f t="shared" si="44"/>
        <v>0</v>
      </c>
      <c r="AC109" s="9">
        <f t="shared" si="45"/>
        <v>0</v>
      </c>
      <c r="AD109" s="10">
        <f t="shared" si="46"/>
        <v>0</v>
      </c>
      <c r="AE109" s="1">
        <f>SUMIFS(
  '[1]Hoja 1'!$M:$M,
  '[1]Hoja 1'!$S:$S, $A109,
  '[1]Hoja 1'!$R:$R, "&gt;="&amp;INT($AG$1),
  '[1]Hoja 1'!$R:$R, "&lt;"&amp;INT($AH$1+1)
)</f>
        <v>0</v>
      </c>
      <c r="AF109" s="1">
        <f t="shared" si="47"/>
        <v>0</v>
      </c>
      <c r="AG109" s="9">
        <f t="shared" si="48"/>
        <v>0</v>
      </c>
      <c r="AH109" s="10">
        <f t="shared" si="49"/>
        <v>0</v>
      </c>
      <c r="AI109" s="1">
        <f>SUMIFS(
  '[1]Hoja 1'!$M:$M,
  '[1]Hoja 1'!$S:$S, $A109,
  '[1]Hoja 1'!$R:$R, "&gt;="&amp;INT($AK$1),
  '[1]Hoja 1'!$R:$R, "&lt;"&amp;INT($AJ$1+1)
)</f>
        <v>0</v>
      </c>
      <c r="AJ109" s="1">
        <f t="shared" si="50"/>
        <v>0</v>
      </c>
      <c r="AK109" s="9">
        <f t="shared" si="51"/>
        <v>0</v>
      </c>
      <c r="AL109" s="10">
        <f t="shared" si="52"/>
        <v>0</v>
      </c>
      <c r="AM109" s="1">
        <f>SUMIFS(
  '[1]Hoja 1'!$M:$M,
  '[1]Hoja 1'!$S:$S, $A109,
  '[1]Hoja 1'!$R:$R, "&gt;="&amp;INT($AO$1),
  '[1]Hoja 1'!$R:$R, "&lt;"&amp;INT($AP$1+1)
)</f>
        <v>0</v>
      </c>
      <c r="AN109" s="1">
        <f t="shared" si="53"/>
        <v>0</v>
      </c>
      <c r="AO109" s="9">
        <f t="shared" si="54"/>
        <v>0</v>
      </c>
      <c r="AP109" s="10">
        <f t="shared" si="55"/>
        <v>0</v>
      </c>
      <c r="AQ109" s="1">
        <f>SUMIFS(
  '[1]Hoja 1'!$M:$M,
  '[1]Hoja 1'!$S:$S, $A109,
  '[1]Hoja 1'!$R:$R, "&gt;="&amp;INT($AS$1),
  '[1]Hoja 1'!$R:$R, "&lt;"&amp;INT($AT$1+1)
)</f>
        <v>0</v>
      </c>
      <c r="AR109" s="1">
        <f t="shared" si="56"/>
        <v>0</v>
      </c>
      <c r="AS109" s="9">
        <f t="shared" si="57"/>
        <v>0</v>
      </c>
      <c r="AT109" s="10">
        <f t="shared" si="58"/>
        <v>0</v>
      </c>
      <c r="AU109" s="1">
        <f>SUMIFS(
  '[1]Hoja 1'!$M:$M,
  '[1]Hoja 1'!$S:$S, $A109,
  '[1]Hoja 1'!$R:$R, "&gt;="&amp;INT($AW$1),
  '[1]Hoja 1'!$R:$R, "&lt;"&amp;INT($AX$1+1)
)</f>
        <v>0</v>
      </c>
      <c r="AV109" s="1">
        <f t="shared" si="59"/>
        <v>0</v>
      </c>
      <c r="AW109" s="9">
        <f t="shared" si="60"/>
        <v>0</v>
      </c>
      <c r="AX109" s="10">
        <f t="shared" si="61"/>
        <v>0</v>
      </c>
    </row>
    <row r="110" spans="1:50" x14ac:dyDescent="0.25">
      <c r="A110" s="5">
        <v>217018</v>
      </c>
      <c r="B110" s="6" t="s">
        <v>107</v>
      </c>
      <c r="C110" s="1">
        <f>SUMIFS(
  '[1]Hoja 1'!$M:$M,
  '[1]Hoja 1'!$S:$S, $A110,
  '[1]Hoja 1'!$R:$R, "&gt;="&amp;INT($E$1),
  '[1]Hoja 1'!$R:$R, "&lt;"&amp;INT($F$1+1)
)</f>
        <v>133</v>
      </c>
      <c r="D110" s="1" t="str">
        <f>""</f>
        <v/>
      </c>
      <c r="F110" s="2"/>
      <c r="G110" s="1">
        <f>SUMIFS(
  '[1]Hoja 1'!$M:$M,
  '[1]Hoja 1'!$S:$S, $A110,
  '[1]Hoja 1'!$R:$R, "&gt;="&amp;INT($I$1),
  '[1]Hoja 1'!$R:$R, "&lt;"&amp;INT($J$1+1)
)</f>
        <v>31</v>
      </c>
      <c r="H110" s="1">
        <f t="shared" si="31"/>
        <v>82</v>
      </c>
      <c r="I110" s="1"/>
      <c r="J110" s="2"/>
      <c r="K110" s="1">
        <f>SUMIFS(
  '[1]Hoja 1'!$M:$M,
  '[1]Hoja 1'!$S:$S, $A110,
  '[1]Hoja 1'!$R:$R, "&gt;="&amp;INT($M$1),
  '[1]Hoja 1'!$R:$R, "&lt;"&amp;INT($N$1+1)
)</f>
        <v>0</v>
      </c>
      <c r="L110" s="1">
        <f t="shared" si="32"/>
        <v>15.5</v>
      </c>
      <c r="M110" s="9">
        <f t="shared" si="33"/>
        <v>-33.700489834959974</v>
      </c>
      <c r="N110" s="10">
        <f t="shared" si="34"/>
        <v>64.700489834959967</v>
      </c>
      <c r="O110" s="1">
        <f>SUMIFS(
  '[1]Hoja 1'!$M:$M,
  '[1]Hoja 1'!$S:$S, $A110,
  '[1]Hoja 1'!$R:$R, "&gt;="&amp;INT($Q$1),
  '[1]Hoja 1'!$R:$R, "&lt;"&amp;INT($R$1+1)
)</f>
        <v>0</v>
      </c>
      <c r="P110" s="1">
        <f t="shared" si="35"/>
        <v>0</v>
      </c>
      <c r="Q110" s="9">
        <f t="shared" si="36"/>
        <v>-51.245036182379003</v>
      </c>
      <c r="R110" s="10">
        <f t="shared" si="37"/>
        <v>51.245036182379003</v>
      </c>
      <c r="S110" s="1">
        <f>SUMIFS(
  '[1]Hoja 1'!$M:$M,
  '[1]Hoja 1'!$S:$S, $A110,
  '[1]Hoja 1'!$R:$R, "&gt;="&amp;INT($U$1),
  '[1]Hoja 1'!$R:$R, "&lt;"&amp;INT($V$1+1)
)</f>
        <v>0</v>
      </c>
      <c r="T110" s="1">
        <f t="shared" si="38"/>
        <v>0</v>
      </c>
      <c r="U110" s="9">
        <f t="shared" si="39"/>
        <v>-46.485481604475176</v>
      </c>
      <c r="V110" s="10">
        <f t="shared" si="40"/>
        <v>46.485481604475176</v>
      </c>
      <c r="W110" s="1">
        <f>SUMIFS(
  '[1]Hoja 1'!$M:$M,
  '[1]Hoja 1'!$S:$S, $A110,
  '[1]Hoja 1'!$R:$R, "&gt;="&amp;INT($Y$1),
  '[1]Hoja 1'!$R:$R, "&lt;"&amp;INT($Z$1+1)
)</f>
        <v>0</v>
      </c>
      <c r="X110" s="1">
        <f t="shared" si="41"/>
        <v>0</v>
      </c>
      <c r="Y110" s="9">
        <f t="shared" si="42"/>
        <v>-43.35101751977686</v>
      </c>
      <c r="Z110" s="10">
        <f t="shared" si="43"/>
        <v>43.35101751977686</v>
      </c>
      <c r="AA110" s="1">
        <f>SUMIFS(
  '[1]Hoja 1'!$M:$M,
  '[1]Hoja 1'!$S:$S, $A110,
  '[1]Hoja 1'!$R:$R, "&gt;="&amp;INT($AC$1),
  '[1]Hoja 1'!$R:$R, "&lt;"&amp;INT($AD$1+1)
)</f>
        <v>0</v>
      </c>
      <c r="AB110" s="1">
        <f t="shared" si="44"/>
        <v>0</v>
      </c>
      <c r="AC110" s="9">
        <f t="shared" si="45"/>
        <v>-40.208274604447617</v>
      </c>
      <c r="AD110" s="10">
        <f t="shared" si="46"/>
        <v>40.208274604447617</v>
      </c>
      <c r="AE110" s="1">
        <f>SUMIFS(
  '[1]Hoja 1'!$M:$M,
  '[1]Hoja 1'!$S:$S, $A110,
  '[1]Hoja 1'!$R:$R, "&gt;="&amp;INT($AG$1),
  '[1]Hoja 1'!$R:$R, "&lt;"&amp;INT($AH$1+1)
)</f>
        <v>0</v>
      </c>
      <c r="AF110" s="1">
        <f t="shared" si="47"/>
        <v>0</v>
      </c>
      <c r="AG110" s="9">
        <f t="shared" si="48"/>
        <v>-37.612088482295157</v>
      </c>
      <c r="AH110" s="10">
        <f t="shared" si="49"/>
        <v>37.612088482295157</v>
      </c>
      <c r="AI110" s="1">
        <f>SUMIFS(
  '[1]Hoja 1'!$M:$M,
  '[1]Hoja 1'!$S:$S, $A110,
  '[1]Hoja 1'!$R:$R, "&gt;="&amp;INT($AK$1),
  '[1]Hoja 1'!$R:$R, "&lt;"&amp;INT($AJ$1+1)
)</f>
        <v>0</v>
      </c>
      <c r="AJ110" s="1">
        <f t="shared" si="50"/>
        <v>0</v>
      </c>
      <c r="AK110" s="9">
        <f t="shared" si="51"/>
        <v>-35.438843801681791</v>
      </c>
      <c r="AL110" s="10">
        <f t="shared" si="52"/>
        <v>35.438843801681791</v>
      </c>
      <c r="AM110" s="1">
        <f>SUMIFS(
  '[1]Hoja 1'!$M:$M,
  '[1]Hoja 1'!$S:$S, $A110,
  '[1]Hoja 1'!$R:$R, "&gt;="&amp;INT($AO$1),
  '[1]Hoja 1'!$R:$R, "&lt;"&amp;INT($AP$1+1)
)</f>
        <v>0</v>
      </c>
      <c r="AN110" s="1">
        <f t="shared" si="53"/>
        <v>0</v>
      </c>
      <c r="AO110" s="9">
        <f t="shared" si="54"/>
        <v>-33.591913378735136</v>
      </c>
      <c r="AP110" s="10">
        <f t="shared" si="55"/>
        <v>33.591913378735136</v>
      </c>
      <c r="AQ110" s="1">
        <f>SUMIFS(
  '[1]Hoja 1'!$M:$M,
  '[1]Hoja 1'!$S:$S, $A110,
  '[1]Hoja 1'!$R:$R, "&gt;="&amp;INT($AS$1),
  '[1]Hoja 1'!$R:$R, "&lt;"&amp;INT($AT$1+1)
)</f>
        <v>0</v>
      </c>
      <c r="AR110" s="1">
        <f t="shared" si="56"/>
        <v>0</v>
      </c>
      <c r="AS110" s="9">
        <f t="shared" si="57"/>
        <v>-32.000163957913294</v>
      </c>
      <c r="AT110" s="10">
        <f t="shared" si="58"/>
        <v>32.000163957913294</v>
      </c>
      <c r="AU110" s="1">
        <f>SUMIFS(
  '[1]Hoja 1'!$M:$M,
  '[1]Hoja 1'!$S:$S, $A110,
  '[1]Hoja 1'!$R:$R, "&gt;="&amp;INT($AW$1),
  '[1]Hoja 1'!$R:$R, "&lt;"&amp;INT($AX$1+1)
)</f>
        <v>0</v>
      </c>
      <c r="AV110" s="1">
        <f t="shared" si="59"/>
        <v>0</v>
      </c>
      <c r="AW110" s="9">
        <f t="shared" si="60"/>
        <v>-30.611330403804882</v>
      </c>
      <c r="AX110" s="10">
        <f t="shared" si="61"/>
        <v>30.611330403804882</v>
      </c>
    </row>
    <row r="111" spans="1:50" x14ac:dyDescent="0.25">
      <c r="A111" s="5">
        <v>217019</v>
      </c>
      <c r="B111" s="6" t="s">
        <v>108</v>
      </c>
      <c r="C111" s="1">
        <f>SUMIFS(
  '[1]Hoja 1'!$M:$M,
  '[1]Hoja 1'!$S:$S, $A111,
  '[1]Hoja 1'!$R:$R, "&gt;="&amp;INT($E$1),
  '[1]Hoja 1'!$R:$R, "&lt;"&amp;INT($F$1+1)
)</f>
        <v>32</v>
      </c>
      <c r="D111" s="1" t="str">
        <f>""</f>
        <v/>
      </c>
      <c r="F111" s="2"/>
      <c r="G111" s="1">
        <f>SUMIFS(
  '[1]Hoja 1'!$M:$M,
  '[1]Hoja 1'!$S:$S, $A111,
  '[1]Hoja 1'!$R:$R, "&gt;="&amp;INT($I$1),
  '[1]Hoja 1'!$R:$R, "&lt;"&amp;INT($J$1+1)
)</f>
        <v>34</v>
      </c>
      <c r="H111" s="1">
        <f t="shared" si="31"/>
        <v>33</v>
      </c>
      <c r="I111" s="1"/>
      <c r="J111" s="2"/>
      <c r="K111" s="1">
        <f>SUMIFS(
  '[1]Hoja 1'!$M:$M,
  '[1]Hoja 1'!$S:$S, $A111,
  '[1]Hoja 1'!$R:$R, "&gt;="&amp;INT($M$1),
  '[1]Hoja 1'!$R:$R, "&lt;"&amp;INT($N$1+1)
)</f>
        <v>0</v>
      </c>
      <c r="L111" s="1">
        <f t="shared" si="32"/>
        <v>17</v>
      </c>
      <c r="M111" s="9">
        <f t="shared" si="33"/>
        <v>-7.9467272402613958</v>
      </c>
      <c r="N111" s="10">
        <f t="shared" si="34"/>
        <v>41.946727240261396</v>
      </c>
      <c r="O111" s="1">
        <f>SUMIFS(
  '[1]Hoja 1'!$M:$M,
  '[1]Hoja 1'!$S:$S, $A111,
  '[1]Hoja 1'!$R:$R, "&gt;="&amp;INT($Q$1),
  '[1]Hoja 1'!$R:$R, "&lt;"&amp;INT($R$1+1)
)</f>
        <v>0</v>
      </c>
      <c r="P111" s="1">
        <f t="shared" si="35"/>
        <v>0</v>
      </c>
      <c r="Q111" s="9">
        <f t="shared" si="36"/>
        <v>-19.82734811651153</v>
      </c>
      <c r="R111" s="10">
        <f t="shared" si="37"/>
        <v>19.82734811651153</v>
      </c>
      <c r="S111" s="1">
        <f>SUMIFS(
  '[1]Hoja 1'!$M:$M,
  '[1]Hoja 1'!$S:$S, $A111,
  '[1]Hoja 1'!$R:$R, "&gt;="&amp;INT($U$1),
  '[1]Hoja 1'!$R:$R, "&lt;"&amp;INT($V$1+1)
)</f>
        <v>0</v>
      </c>
      <c r="T111" s="1">
        <f t="shared" si="38"/>
        <v>0</v>
      </c>
      <c r="U111" s="9">
        <f t="shared" si="39"/>
        <v>-16.619116502790796</v>
      </c>
      <c r="V111" s="10">
        <f t="shared" si="40"/>
        <v>16.619116502790796</v>
      </c>
      <c r="W111" s="1">
        <f>SUMIFS(
  '[1]Hoja 1'!$M:$M,
  '[1]Hoja 1'!$S:$S, $A111,
  '[1]Hoja 1'!$R:$R, "&gt;="&amp;INT($Y$1),
  '[1]Hoja 1'!$R:$R, "&lt;"&amp;INT($Z$1+1)
)</f>
        <v>0</v>
      </c>
      <c r="X111" s="1">
        <f t="shared" si="41"/>
        <v>0</v>
      </c>
      <c r="Y111" s="9">
        <f t="shared" si="42"/>
        <v>-15.144091917312178</v>
      </c>
      <c r="Z111" s="10">
        <f t="shared" si="43"/>
        <v>15.144091917312178</v>
      </c>
      <c r="AA111" s="1">
        <f>SUMIFS(
  '[1]Hoja 1'!$M:$M,
  '[1]Hoja 1'!$S:$S, $A111,
  '[1]Hoja 1'!$R:$R, "&gt;="&amp;INT($AC$1),
  '[1]Hoja 1'!$R:$R, "&lt;"&amp;INT($AD$1+1)
)</f>
        <v>0</v>
      </c>
      <c r="AB111" s="1">
        <f t="shared" si="44"/>
        <v>0</v>
      </c>
      <c r="AC111" s="9">
        <f t="shared" si="45"/>
        <v>-13.785178514138533</v>
      </c>
      <c r="AD111" s="10">
        <f t="shared" si="46"/>
        <v>13.785178514138533</v>
      </c>
      <c r="AE111" s="1">
        <f>SUMIFS(
  '[1]Hoja 1'!$M:$M,
  '[1]Hoja 1'!$S:$S, $A111,
  '[1]Hoja 1'!$R:$R, "&gt;="&amp;INT($AG$1),
  '[1]Hoja 1'!$R:$R, "&lt;"&amp;INT($AH$1+1)
)</f>
        <v>0</v>
      </c>
      <c r="AF111" s="1">
        <f t="shared" si="47"/>
        <v>0</v>
      </c>
      <c r="AG111" s="9">
        <f t="shared" si="48"/>
        <v>-12.738205001752275</v>
      </c>
      <c r="AH111" s="10">
        <f t="shared" si="49"/>
        <v>12.738205001752275</v>
      </c>
      <c r="AI111" s="1">
        <f>SUMIFS(
  '[1]Hoja 1'!$M:$M,
  '[1]Hoja 1'!$S:$S, $A111,
  '[1]Hoja 1'!$R:$R, "&gt;="&amp;INT($AK$1),
  '[1]Hoja 1'!$R:$R, "&lt;"&amp;INT($AJ$1+1)
)</f>
        <v>0</v>
      </c>
      <c r="AJ111" s="1">
        <f t="shared" si="50"/>
        <v>0</v>
      </c>
      <c r="AK111" s="9">
        <f t="shared" si="51"/>
        <v>-11.899176442090434</v>
      </c>
      <c r="AL111" s="10">
        <f t="shared" si="52"/>
        <v>11.899176442090434</v>
      </c>
      <c r="AM111" s="1">
        <f>SUMIFS(
  '[1]Hoja 1'!$M:$M,
  '[1]Hoja 1'!$S:$S, $A111,
  '[1]Hoja 1'!$R:$R, "&gt;="&amp;INT($AO$1),
  '[1]Hoja 1'!$R:$R, "&lt;"&amp;INT($AP$1+1)
)</f>
        <v>0</v>
      </c>
      <c r="AN111" s="1">
        <f t="shared" si="53"/>
        <v>0</v>
      </c>
      <c r="AO111" s="9">
        <f t="shared" si="54"/>
        <v>-11.207094974960183</v>
      </c>
      <c r="AP111" s="10">
        <f t="shared" si="55"/>
        <v>11.207094974960183</v>
      </c>
      <c r="AQ111" s="1">
        <f>SUMIFS(
  '[1]Hoja 1'!$M:$M,
  '[1]Hoja 1'!$S:$S, $A111,
  '[1]Hoja 1'!$R:$R, "&gt;="&amp;INT($AS$1),
  '[1]Hoja 1'!$R:$R, "&lt;"&amp;INT($AT$1+1)
)</f>
        <v>0</v>
      </c>
      <c r="AR111" s="1">
        <f t="shared" si="56"/>
        <v>0</v>
      </c>
      <c r="AS111" s="9">
        <f t="shared" si="57"/>
        <v>-10.623449115570287</v>
      </c>
      <c r="AT111" s="10">
        <f t="shared" si="58"/>
        <v>10.623449115570287</v>
      </c>
      <c r="AU111" s="1">
        <f>SUMIFS(
  '[1]Hoja 1'!$M:$M,
  '[1]Hoja 1'!$S:$S, $A111,
  '[1]Hoja 1'!$R:$R, "&gt;="&amp;INT($AW$1),
  '[1]Hoja 1'!$R:$R, "&lt;"&amp;INT($AX$1+1)
)</f>
        <v>0</v>
      </c>
      <c r="AV111" s="1">
        <f t="shared" si="59"/>
        <v>0</v>
      </c>
      <c r="AW111" s="9">
        <f t="shared" si="60"/>
        <v>-10.122546571436908</v>
      </c>
      <c r="AX111" s="10">
        <f t="shared" si="61"/>
        <v>10.122546571436908</v>
      </c>
    </row>
    <row r="112" spans="1:50" x14ac:dyDescent="0.25">
      <c r="A112" s="5">
        <v>217020</v>
      </c>
      <c r="B112" s="6" t="s">
        <v>109</v>
      </c>
      <c r="C112" s="1">
        <f>SUMIFS(
  '[1]Hoja 1'!$M:$M,
  '[1]Hoja 1'!$S:$S, $A112,
  '[1]Hoja 1'!$R:$R, "&gt;="&amp;INT($E$1),
  '[1]Hoja 1'!$R:$R, "&lt;"&amp;INT($F$1+1)
)</f>
        <v>0</v>
      </c>
      <c r="D112" s="1" t="str">
        <f>""</f>
        <v/>
      </c>
      <c r="F112" s="2"/>
      <c r="G112" s="1">
        <f>SUMIFS(
  '[1]Hoja 1'!$M:$M,
  '[1]Hoja 1'!$S:$S, $A112,
  '[1]Hoja 1'!$R:$R, "&gt;="&amp;INT($I$1),
  '[1]Hoja 1'!$R:$R, "&lt;"&amp;INT($J$1+1)
)</f>
        <v>0</v>
      </c>
      <c r="H112" s="1">
        <f t="shared" si="31"/>
        <v>0</v>
      </c>
      <c r="I112" s="1"/>
      <c r="J112" s="2"/>
      <c r="K112" s="1">
        <f>SUMIFS(
  '[1]Hoja 1'!$M:$M,
  '[1]Hoja 1'!$S:$S, $A112,
  '[1]Hoja 1'!$R:$R, "&gt;="&amp;INT($M$1),
  '[1]Hoja 1'!$R:$R, "&lt;"&amp;INT($N$1+1)
)</f>
        <v>0</v>
      </c>
      <c r="L112" s="1">
        <f t="shared" si="32"/>
        <v>0</v>
      </c>
      <c r="M112" s="9">
        <f t="shared" si="33"/>
        <v>0</v>
      </c>
      <c r="N112" s="10">
        <f t="shared" si="34"/>
        <v>0</v>
      </c>
      <c r="O112" s="1">
        <f>SUMIFS(
  '[1]Hoja 1'!$M:$M,
  '[1]Hoja 1'!$S:$S, $A112,
  '[1]Hoja 1'!$R:$R, "&gt;="&amp;INT($Q$1),
  '[1]Hoja 1'!$R:$R, "&lt;"&amp;INT($R$1+1)
)</f>
        <v>0</v>
      </c>
      <c r="P112" s="1">
        <f t="shared" si="35"/>
        <v>0</v>
      </c>
      <c r="Q112" s="9">
        <f t="shared" si="36"/>
        <v>0</v>
      </c>
      <c r="R112" s="10">
        <f t="shared" si="37"/>
        <v>0</v>
      </c>
      <c r="S112" s="1">
        <f>SUMIFS(
  '[1]Hoja 1'!$M:$M,
  '[1]Hoja 1'!$S:$S, $A112,
  '[1]Hoja 1'!$R:$R, "&gt;="&amp;INT($U$1),
  '[1]Hoja 1'!$R:$R, "&lt;"&amp;INT($V$1+1)
)</f>
        <v>0</v>
      </c>
      <c r="T112" s="1">
        <f t="shared" si="38"/>
        <v>0</v>
      </c>
      <c r="U112" s="9">
        <f t="shared" si="39"/>
        <v>-1.47</v>
      </c>
      <c r="V112" s="10">
        <f t="shared" si="40"/>
        <v>1.47</v>
      </c>
      <c r="W112" s="1">
        <f>SUMIFS(
  '[1]Hoja 1'!$M:$M,
  '[1]Hoja 1'!$S:$S, $A112,
  '[1]Hoja 1'!$R:$R, "&gt;="&amp;INT($Y$1),
  '[1]Hoja 1'!$R:$R, "&lt;"&amp;INT($Z$1+1)
)</f>
        <v>0</v>
      </c>
      <c r="X112" s="1">
        <f t="shared" si="41"/>
        <v>0</v>
      </c>
      <c r="Y112" s="9">
        <f t="shared" si="42"/>
        <v>0</v>
      </c>
      <c r="Z112" s="10">
        <f t="shared" si="43"/>
        <v>0</v>
      </c>
      <c r="AA112" s="1">
        <f>SUMIFS(
  '[1]Hoja 1'!$M:$M,
  '[1]Hoja 1'!$S:$S, $A112,
  '[1]Hoja 1'!$R:$R, "&gt;="&amp;INT($AC$1),
  '[1]Hoja 1'!$R:$R, "&lt;"&amp;INT($AD$1+1)
)</f>
        <v>0</v>
      </c>
      <c r="AB112" s="1">
        <f t="shared" si="44"/>
        <v>0</v>
      </c>
      <c r="AC112" s="9">
        <f t="shared" si="45"/>
        <v>0</v>
      </c>
      <c r="AD112" s="10">
        <f t="shared" si="46"/>
        <v>0</v>
      </c>
      <c r="AE112" s="1">
        <f>SUMIFS(
  '[1]Hoja 1'!$M:$M,
  '[1]Hoja 1'!$S:$S, $A112,
  '[1]Hoja 1'!$R:$R, "&gt;="&amp;INT($AG$1),
  '[1]Hoja 1'!$R:$R, "&lt;"&amp;INT($AH$1+1)
)</f>
        <v>0</v>
      </c>
      <c r="AF112" s="1">
        <f t="shared" si="47"/>
        <v>0</v>
      </c>
      <c r="AG112" s="9">
        <f t="shared" si="48"/>
        <v>0</v>
      </c>
      <c r="AH112" s="10">
        <f t="shared" si="49"/>
        <v>0</v>
      </c>
      <c r="AI112" s="1">
        <f>SUMIFS(
  '[1]Hoja 1'!$M:$M,
  '[1]Hoja 1'!$S:$S, $A112,
  '[1]Hoja 1'!$R:$R, "&gt;="&amp;INT($AK$1),
  '[1]Hoja 1'!$R:$R, "&lt;"&amp;INT($AJ$1+1)
)</f>
        <v>0</v>
      </c>
      <c r="AJ112" s="1">
        <f t="shared" si="50"/>
        <v>0</v>
      </c>
      <c r="AK112" s="9">
        <f t="shared" si="51"/>
        <v>0</v>
      </c>
      <c r="AL112" s="10">
        <f t="shared" si="52"/>
        <v>0</v>
      </c>
      <c r="AM112" s="1">
        <f>SUMIFS(
  '[1]Hoja 1'!$M:$M,
  '[1]Hoja 1'!$S:$S, $A112,
  '[1]Hoja 1'!$R:$R, "&gt;="&amp;INT($AO$1),
  '[1]Hoja 1'!$R:$R, "&lt;"&amp;INT($AP$1+1)
)</f>
        <v>0</v>
      </c>
      <c r="AN112" s="1">
        <f t="shared" si="53"/>
        <v>0</v>
      </c>
      <c r="AO112" s="9">
        <f t="shared" si="54"/>
        <v>0</v>
      </c>
      <c r="AP112" s="10">
        <f t="shared" si="55"/>
        <v>0</v>
      </c>
      <c r="AQ112" s="1">
        <f>SUMIFS(
  '[1]Hoja 1'!$M:$M,
  '[1]Hoja 1'!$S:$S, $A112,
  '[1]Hoja 1'!$R:$R, "&gt;="&amp;INT($AS$1),
  '[1]Hoja 1'!$R:$R, "&lt;"&amp;INT($AT$1+1)
)</f>
        <v>0</v>
      </c>
      <c r="AR112" s="1">
        <f t="shared" si="56"/>
        <v>0</v>
      </c>
      <c r="AS112" s="9">
        <f t="shared" si="57"/>
        <v>0</v>
      </c>
      <c r="AT112" s="10">
        <f t="shared" si="58"/>
        <v>0</v>
      </c>
      <c r="AU112" s="1">
        <f>SUMIFS(
  '[1]Hoja 1'!$M:$M,
  '[1]Hoja 1'!$S:$S, $A112,
  '[1]Hoja 1'!$R:$R, "&gt;="&amp;INT($AW$1),
  '[1]Hoja 1'!$R:$R, "&lt;"&amp;INT($AX$1+1)
)</f>
        <v>0</v>
      </c>
      <c r="AV112" s="1">
        <f t="shared" si="59"/>
        <v>0</v>
      </c>
      <c r="AW112" s="9">
        <f t="shared" si="60"/>
        <v>0</v>
      </c>
      <c r="AX112" s="10">
        <f t="shared" si="61"/>
        <v>0</v>
      </c>
    </row>
    <row r="113" spans="1:50" x14ac:dyDescent="0.25">
      <c r="A113" s="5">
        <v>217021</v>
      </c>
      <c r="B113" s="6" t="s">
        <v>110</v>
      </c>
      <c r="C113" s="1">
        <f>SUMIFS(
  '[1]Hoja 1'!$M:$M,
  '[1]Hoja 1'!$S:$S, $A113,
  '[1]Hoja 1'!$R:$R, "&gt;="&amp;INT($E$1),
  '[1]Hoja 1'!$R:$R, "&lt;"&amp;INT($F$1+1)
)</f>
        <v>5</v>
      </c>
      <c r="D113" s="1" t="str">
        <f>""</f>
        <v/>
      </c>
      <c r="F113" s="2"/>
      <c r="G113" s="1">
        <f>SUMIFS(
  '[1]Hoja 1'!$M:$M,
  '[1]Hoja 1'!$S:$S, $A113,
  '[1]Hoja 1'!$R:$R, "&gt;="&amp;INT($I$1),
  '[1]Hoja 1'!$R:$R, "&lt;"&amp;INT($J$1+1)
)</f>
        <v>1</v>
      </c>
      <c r="H113" s="1">
        <f t="shared" si="31"/>
        <v>3</v>
      </c>
      <c r="I113" s="1"/>
      <c r="J113" s="2"/>
      <c r="K113" s="1">
        <f>SUMIFS(
  '[1]Hoja 1'!$M:$M,
  '[1]Hoja 1'!$S:$S, $A113,
  '[1]Hoja 1'!$R:$R, "&gt;="&amp;INT($M$1),
  '[1]Hoja 1'!$R:$R, "&lt;"&amp;INT($N$1+1)
)</f>
        <v>0</v>
      </c>
      <c r="L113" s="1">
        <f t="shared" si="32"/>
        <v>0.5</v>
      </c>
      <c r="M113" s="9">
        <f t="shared" si="33"/>
        <v>-1.5788939366884494</v>
      </c>
      <c r="N113" s="10">
        <f t="shared" si="34"/>
        <v>2.5788939366884494</v>
      </c>
      <c r="O113" s="1">
        <f>SUMIFS(
  '[1]Hoja 1'!$M:$M,
  '[1]Hoja 1'!$S:$S, $A113,
  '[1]Hoja 1'!$R:$R, "&gt;="&amp;INT($Q$1),
  '[1]Hoja 1'!$R:$R, "&lt;"&amp;INT($R$1+1)
)</f>
        <v>0</v>
      </c>
      <c r="P113" s="1">
        <f t="shared" si="35"/>
        <v>0</v>
      </c>
      <c r="Q113" s="9">
        <f t="shared" si="36"/>
        <v>-2.04003267947681</v>
      </c>
      <c r="R113" s="10">
        <f t="shared" si="37"/>
        <v>2.04003267947681</v>
      </c>
      <c r="S113" s="1">
        <f>SUMIFS(
  '[1]Hoja 1'!$M:$M,
  '[1]Hoja 1'!$S:$S, $A113,
  '[1]Hoja 1'!$R:$R, "&gt;="&amp;INT($U$1),
  '[1]Hoja 1'!$R:$R, "&lt;"&amp;INT($V$1+1)
)</f>
        <v>0</v>
      </c>
      <c r="T113" s="1">
        <f t="shared" si="38"/>
        <v>0</v>
      </c>
      <c r="U113" s="9">
        <f t="shared" si="39"/>
        <v>-1.7892270211835426</v>
      </c>
      <c r="V113" s="10">
        <f t="shared" si="40"/>
        <v>1.7892270211835426</v>
      </c>
      <c r="W113" s="1">
        <f>SUMIFS(
  '[1]Hoja 1'!$M:$M,
  '[1]Hoja 1'!$S:$S, $A113,
  '[1]Hoja 1'!$R:$R, "&gt;="&amp;INT($Y$1),
  '[1]Hoja 1'!$R:$R, "&lt;"&amp;INT($Z$1+1)
)</f>
        <v>0</v>
      </c>
      <c r="X113" s="1">
        <f t="shared" si="41"/>
        <v>0</v>
      </c>
      <c r="Y113" s="9">
        <f t="shared" si="42"/>
        <v>-1.6974097914174997</v>
      </c>
      <c r="Z113" s="10">
        <f t="shared" si="43"/>
        <v>1.6974097914174997</v>
      </c>
      <c r="AA113" s="1">
        <f>SUMIFS(
  '[1]Hoja 1'!$M:$M,
  '[1]Hoja 1'!$S:$S, $A113,
  '[1]Hoja 1'!$R:$R, "&gt;="&amp;INT($AC$1),
  '[1]Hoja 1'!$R:$R, "&lt;"&amp;INT($AD$1+1)
)</f>
        <v>0</v>
      </c>
      <c r="AB113" s="1">
        <f t="shared" si="44"/>
        <v>0</v>
      </c>
      <c r="AC113" s="9">
        <f t="shared" si="45"/>
        <v>-1.5700403391845275</v>
      </c>
      <c r="AD113" s="10">
        <f t="shared" si="46"/>
        <v>1.5700403391845275</v>
      </c>
      <c r="AE113" s="1">
        <f>SUMIFS(
  '[1]Hoja 1'!$M:$M,
  '[1]Hoja 1'!$S:$S, $A113,
  '[1]Hoja 1'!$R:$R, "&gt;="&amp;INT($AG$1),
  '[1]Hoja 1'!$R:$R, "&lt;"&amp;INT($AH$1+1)
)</f>
        <v>0</v>
      </c>
      <c r="AF113" s="1">
        <f t="shared" si="47"/>
        <v>0</v>
      </c>
      <c r="AG113" s="9">
        <f t="shared" si="48"/>
        <v>-1.4661059534244676</v>
      </c>
      <c r="AH113" s="10">
        <f t="shared" si="49"/>
        <v>1.4661059534244676</v>
      </c>
      <c r="AI113" s="1">
        <f>SUMIFS(
  '[1]Hoja 1'!$M:$M,
  '[1]Hoja 1'!$S:$S, $A113,
  '[1]Hoja 1'!$R:$R, "&gt;="&amp;INT($AK$1),
  '[1]Hoja 1'!$R:$R, "&lt;"&amp;INT($AJ$1+1)
)</f>
        <v>0</v>
      </c>
      <c r="AJ113" s="1">
        <f t="shared" si="50"/>
        <v>0</v>
      </c>
      <c r="AK113" s="9">
        <f t="shared" si="51"/>
        <v>-1.3797282341098918</v>
      </c>
      <c r="AL113" s="10">
        <f t="shared" si="52"/>
        <v>1.3797282341098918</v>
      </c>
      <c r="AM113" s="1">
        <f>SUMIFS(
  '[1]Hoja 1'!$M:$M,
  '[1]Hoja 1'!$S:$S, $A113,
  '[1]Hoja 1'!$R:$R, "&gt;="&amp;INT($AO$1),
  '[1]Hoja 1'!$R:$R, "&lt;"&amp;INT($AP$1+1)
)</f>
        <v>0</v>
      </c>
      <c r="AN113" s="1">
        <f t="shared" si="53"/>
        <v>0</v>
      </c>
      <c r="AO113" s="9">
        <f t="shared" si="54"/>
        <v>-1.3066666666666666</v>
      </c>
      <c r="AP113" s="10">
        <f t="shared" si="55"/>
        <v>1.3066666666666666</v>
      </c>
      <c r="AQ113" s="1">
        <f>SUMIFS(
  '[1]Hoja 1'!$M:$M,
  '[1]Hoja 1'!$S:$S, $A113,
  '[1]Hoja 1'!$R:$R, "&gt;="&amp;INT($AS$1),
  '[1]Hoja 1'!$R:$R, "&lt;"&amp;INT($AT$1+1)
)</f>
        <v>0</v>
      </c>
      <c r="AR113" s="1">
        <f t="shared" si="56"/>
        <v>0</v>
      </c>
      <c r="AS113" s="9">
        <f t="shared" si="57"/>
        <v>-1.2439096072911049</v>
      </c>
      <c r="AT113" s="10">
        <f t="shared" si="58"/>
        <v>1.2439096072911049</v>
      </c>
      <c r="AU113" s="1">
        <f>SUMIFS(
  '[1]Hoja 1'!$M:$M,
  '[1]Hoja 1'!$S:$S, $A113,
  '[1]Hoja 1'!$R:$R, "&gt;="&amp;INT($AW$1),
  '[1]Hoja 1'!$R:$R, "&lt;"&amp;INT($AX$1+1)
)</f>
        <v>0</v>
      </c>
      <c r="AV113" s="1">
        <f t="shared" si="59"/>
        <v>0</v>
      </c>
      <c r="AW113" s="9">
        <f t="shared" si="60"/>
        <v>-1.189288557385159</v>
      </c>
      <c r="AX113" s="10">
        <f t="shared" si="61"/>
        <v>1.189288557385159</v>
      </c>
    </row>
    <row r="114" spans="1:50" x14ac:dyDescent="0.25">
      <c r="A114" s="5">
        <v>217022</v>
      </c>
      <c r="B114" s="6" t="s">
        <v>111</v>
      </c>
      <c r="C114" s="1">
        <f>SUMIFS(
  '[1]Hoja 1'!$M:$M,
  '[1]Hoja 1'!$S:$S, $A114,
  '[1]Hoja 1'!$R:$R, "&gt;="&amp;INT($E$1),
  '[1]Hoja 1'!$R:$R, "&lt;"&amp;INT($F$1+1)
)</f>
        <v>105</v>
      </c>
      <c r="D114" s="1" t="str">
        <f>""</f>
        <v/>
      </c>
      <c r="F114" s="2"/>
      <c r="G114" s="1">
        <f>SUMIFS(
  '[1]Hoja 1'!$M:$M,
  '[1]Hoja 1'!$S:$S, $A114,
  '[1]Hoja 1'!$R:$R, "&gt;="&amp;INT($I$1),
  '[1]Hoja 1'!$R:$R, "&lt;"&amp;INT($J$1+1)
)</f>
        <v>69</v>
      </c>
      <c r="H114" s="1">
        <f t="shared" si="31"/>
        <v>87</v>
      </c>
      <c r="I114" s="1"/>
      <c r="J114" s="2"/>
      <c r="K114" s="1">
        <f>SUMIFS(
  '[1]Hoja 1'!$M:$M,
  '[1]Hoja 1'!$S:$S, $A114,
  '[1]Hoja 1'!$R:$R, "&gt;="&amp;INT($M$1),
  '[1]Hoja 1'!$R:$R, "&lt;"&amp;INT($N$1+1)
)</f>
        <v>0</v>
      </c>
      <c r="L114" s="1">
        <f t="shared" si="32"/>
        <v>34.5</v>
      </c>
      <c r="M114" s="9">
        <f t="shared" si="33"/>
        <v>11.632166696427053</v>
      </c>
      <c r="N114" s="10">
        <f t="shared" si="34"/>
        <v>57.367833303572951</v>
      </c>
      <c r="O114" s="1">
        <f>SUMIFS(
  '[1]Hoja 1'!$M:$M,
  '[1]Hoja 1'!$S:$S, $A114,
  '[1]Hoja 1'!$R:$R, "&gt;="&amp;INT($Q$1),
  '[1]Hoja 1'!$R:$R, "&lt;"&amp;INT($R$1+1)
)</f>
        <v>0</v>
      </c>
      <c r="P114" s="1">
        <f t="shared" si="35"/>
        <v>0</v>
      </c>
      <c r="Q114" s="9">
        <f t="shared" si="36"/>
        <v>-33.820650496405293</v>
      </c>
      <c r="R114" s="10">
        <f t="shared" si="37"/>
        <v>33.820650496405293</v>
      </c>
      <c r="S114" s="1">
        <f>SUMIFS(
  '[1]Hoja 1'!$M:$M,
  '[1]Hoja 1'!$S:$S, $A114,
  '[1]Hoja 1'!$R:$R, "&gt;="&amp;INT($U$1),
  '[1]Hoja 1'!$R:$R, "&lt;"&amp;INT($V$1+1)
)</f>
        <v>0</v>
      </c>
      <c r="T114" s="1">
        <f t="shared" si="38"/>
        <v>0</v>
      </c>
      <c r="U114" s="9">
        <f t="shared" si="39"/>
        <v>-31.755629422198513</v>
      </c>
      <c r="V114" s="10">
        <f t="shared" si="40"/>
        <v>31.755629422198513</v>
      </c>
      <c r="W114" s="1">
        <f>SUMIFS(
  '[1]Hoja 1'!$M:$M,
  '[1]Hoja 1'!$S:$S, $A114,
  '[1]Hoja 1'!$R:$R, "&gt;="&amp;INT($Y$1),
  '[1]Hoja 1'!$R:$R, "&lt;"&amp;INT($Z$1+1)
)</f>
        <v>0</v>
      </c>
      <c r="X114" s="1">
        <f t="shared" si="41"/>
        <v>0</v>
      </c>
      <c r="Y114" s="9">
        <f t="shared" si="42"/>
        <v>-30.411596472398482</v>
      </c>
      <c r="Z114" s="10">
        <f t="shared" si="43"/>
        <v>30.411596472398482</v>
      </c>
      <c r="AA114" s="1">
        <f>SUMIFS(
  '[1]Hoja 1'!$M:$M,
  '[1]Hoja 1'!$S:$S, $A114,
  '[1]Hoja 1'!$R:$R, "&gt;="&amp;INT($AC$1),
  '[1]Hoja 1'!$R:$R, "&lt;"&amp;INT($AD$1+1)
)</f>
        <v>0</v>
      </c>
      <c r="AB114" s="1">
        <f t="shared" si="44"/>
        <v>0</v>
      </c>
      <c r="AC114" s="9">
        <f t="shared" si="45"/>
        <v>-28.46895783129407</v>
      </c>
      <c r="AD114" s="10">
        <f t="shared" si="46"/>
        <v>28.46895783129407</v>
      </c>
      <c r="AE114" s="1">
        <f>SUMIFS(
  '[1]Hoja 1'!$M:$M,
  '[1]Hoja 1'!$S:$S, $A114,
  '[1]Hoja 1'!$R:$R, "&gt;="&amp;INT($AG$1),
  '[1]Hoja 1'!$R:$R, "&lt;"&amp;INT($AH$1+1)
)</f>
        <v>0</v>
      </c>
      <c r="AF114" s="1">
        <f t="shared" si="47"/>
        <v>0</v>
      </c>
      <c r="AG114" s="9">
        <f t="shared" si="48"/>
        <v>-26.78467472268424</v>
      </c>
      <c r="AH114" s="10">
        <f t="shared" si="49"/>
        <v>26.78467472268424</v>
      </c>
      <c r="AI114" s="1">
        <f>SUMIFS(
  '[1]Hoja 1'!$M:$M,
  '[1]Hoja 1'!$S:$S, $A114,
  '[1]Hoja 1'!$R:$R, "&gt;="&amp;INT($AK$1),
  '[1]Hoja 1'!$R:$R, "&lt;"&amp;INT($AJ$1+1)
)</f>
        <v>0</v>
      </c>
      <c r="AJ114" s="1">
        <f t="shared" si="50"/>
        <v>0</v>
      </c>
      <c r="AK114" s="9">
        <f t="shared" si="51"/>
        <v>-25.336567447071435</v>
      </c>
      <c r="AL114" s="10">
        <f t="shared" si="52"/>
        <v>25.336567447071435</v>
      </c>
      <c r="AM114" s="1">
        <f>SUMIFS(
  '[1]Hoja 1'!$M:$M,
  '[1]Hoja 1'!$S:$S, $A114,
  '[1]Hoja 1'!$R:$R, "&gt;="&amp;INT($AO$1),
  '[1]Hoja 1'!$R:$R, "&lt;"&amp;INT($AP$1+1)
)</f>
        <v>0</v>
      </c>
      <c r="AN114" s="1">
        <f t="shared" si="53"/>
        <v>0</v>
      </c>
      <c r="AO114" s="9">
        <f t="shared" si="54"/>
        <v>-24.084883225791234</v>
      </c>
      <c r="AP114" s="10">
        <f t="shared" si="55"/>
        <v>24.084883225791234</v>
      </c>
      <c r="AQ114" s="1">
        <f>SUMIFS(
  '[1]Hoja 1'!$M:$M,
  '[1]Hoja 1'!$S:$S, $A114,
  '[1]Hoja 1'!$R:$R, "&gt;="&amp;INT($AS$1),
  '[1]Hoja 1'!$R:$R, "&lt;"&amp;INT($AT$1+1)
)</f>
        <v>0</v>
      </c>
      <c r="AR114" s="1">
        <f t="shared" si="56"/>
        <v>0</v>
      </c>
      <c r="AS114" s="9">
        <f t="shared" si="57"/>
        <v>-22.99348168503413</v>
      </c>
      <c r="AT114" s="10">
        <f t="shared" si="58"/>
        <v>22.99348168503413</v>
      </c>
      <c r="AU114" s="1">
        <f>SUMIFS(
  '[1]Hoja 1'!$M:$M,
  '[1]Hoja 1'!$S:$S, $A114,
  '[1]Hoja 1'!$R:$R, "&gt;="&amp;INT($AW$1),
  '[1]Hoja 1'!$R:$R, "&lt;"&amp;INT($AX$1+1)
)</f>
        <v>0</v>
      </c>
      <c r="AV114" s="1">
        <f t="shared" si="59"/>
        <v>0</v>
      </c>
      <c r="AW114" s="9">
        <f t="shared" si="60"/>
        <v>-22.033066224943074</v>
      </c>
      <c r="AX114" s="10">
        <f t="shared" si="61"/>
        <v>22.033066224943074</v>
      </c>
    </row>
    <row r="115" spans="1:50" x14ac:dyDescent="0.25">
      <c r="A115" s="5">
        <v>217023</v>
      </c>
      <c r="B115" s="6" t="s">
        <v>112</v>
      </c>
      <c r="C115" s="1">
        <f>SUMIFS(
  '[1]Hoja 1'!$M:$M,
  '[1]Hoja 1'!$S:$S, $A115,
  '[1]Hoja 1'!$R:$R, "&gt;="&amp;INT($E$1),
  '[1]Hoja 1'!$R:$R, "&lt;"&amp;INT($F$1+1)
)</f>
        <v>13</v>
      </c>
      <c r="D115" s="1" t="str">
        <f>""</f>
        <v/>
      </c>
      <c r="F115" s="2"/>
      <c r="G115" s="1">
        <f>SUMIFS(
  '[1]Hoja 1'!$M:$M,
  '[1]Hoja 1'!$S:$S, $A115,
  '[1]Hoja 1'!$R:$R, "&gt;="&amp;INT($I$1),
  '[1]Hoja 1'!$R:$R, "&lt;"&amp;INT($J$1+1)
)</f>
        <v>6</v>
      </c>
      <c r="H115" s="1">
        <f t="shared" si="31"/>
        <v>10</v>
      </c>
      <c r="I115" s="1"/>
      <c r="J115" s="2"/>
      <c r="K115" s="1">
        <f>SUMIFS(
  '[1]Hoja 1'!$M:$M,
  '[1]Hoja 1'!$S:$S, $A115,
  '[1]Hoja 1'!$R:$R, "&gt;="&amp;INT($M$1),
  '[1]Hoja 1'!$R:$R, "&lt;"&amp;INT($N$1+1)
)</f>
        <v>0</v>
      </c>
      <c r="L115" s="1">
        <f t="shared" si="32"/>
        <v>3</v>
      </c>
      <c r="M115" s="9">
        <f t="shared" si="33"/>
        <v>2.3070353544371835</v>
      </c>
      <c r="N115" s="10">
        <f t="shared" si="34"/>
        <v>3.6929646455628165</v>
      </c>
      <c r="O115" s="1">
        <f>SUMIFS(
  '[1]Hoja 1'!$M:$M,
  '[1]Hoja 1'!$S:$S, $A115,
  '[1]Hoja 1'!$R:$R, "&gt;="&amp;INT($Q$1),
  '[1]Hoja 1'!$R:$R, "&lt;"&amp;INT($R$1+1)
)</f>
        <v>0</v>
      </c>
      <c r="P115" s="1">
        <f t="shared" si="35"/>
        <v>0</v>
      </c>
      <c r="Q115" s="9">
        <f t="shared" si="36"/>
        <v>-3.7102201192561788</v>
      </c>
      <c r="R115" s="10">
        <f t="shared" si="37"/>
        <v>3.7102201192561788</v>
      </c>
      <c r="S115" s="1">
        <f>SUMIFS(
  '[1]Hoja 1'!$M:$M,
  '[1]Hoja 1'!$S:$S, $A115,
  '[1]Hoja 1'!$R:$R, "&gt;="&amp;INT($U$1),
  '[1]Hoja 1'!$R:$R, "&lt;"&amp;INT($V$1+1)
)</f>
        <v>0</v>
      </c>
      <c r="T115" s="1">
        <f t="shared" si="38"/>
        <v>0</v>
      </c>
      <c r="U115" s="9">
        <f t="shared" si="39"/>
        <v>-3.0990321069650117</v>
      </c>
      <c r="V115" s="10">
        <f t="shared" si="40"/>
        <v>3.0990321069650117</v>
      </c>
      <c r="W115" s="1">
        <f>SUMIFS(
  '[1]Hoja 1'!$M:$M,
  '[1]Hoja 1'!$S:$S, $A115,
  '[1]Hoja 1'!$R:$R, "&gt;="&amp;INT($Y$1),
  '[1]Hoja 1'!$R:$R, "&lt;"&amp;INT($Z$1+1)
)</f>
        <v>0</v>
      </c>
      <c r="X115" s="1">
        <f t="shared" si="41"/>
        <v>0</v>
      </c>
      <c r="Y115" s="9">
        <f t="shared" si="42"/>
        <v>-3.5061545887196699</v>
      </c>
      <c r="Z115" s="10">
        <f t="shared" si="43"/>
        <v>3.5061545887196699</v>
      </c>
      <c r="AA115" s="1">
        <f>SUMIFS(
  '[1]Hoja 1'!$M:$M,
  '[1]Hoja 1'!$S:$S, $A115,
  '[1]Hoja 1'!$R:$R, "&gt;="&amp;INT($AC$1),
  '[1]Hoja 1'!$R:$R, "&lt;"&amp;INT($AD$1+1)
)</f>
        <v>0</v>
      </c>
      <c r="AB115" s="1">
        <f t="shared" si="44"/>
        <v>0</v>
      </c>
      <c r="AC115" s="9">
        <f t="shared" si="45"/>
        <v>-3.3040197739521271</v>
      </c>
      <c r="AD115" s="10">
        <f t="shared" si="46"/>
        <v>3.3040197739521271</v>
      </c>
      <c r="AE115" s="1">
        <f>SUMIFS(
  '[1]Hoja 1'!$M:$M,
  '[1]Hoja 1'!$S:$S, $A115,
  '[1]Hoja 1'!$R:$R, "&gt;="&amp;INT($AG$1),
  '[1]Hoja 1'!$R:$R, "&lt;"&amp;INT($AH$1+1)
)</f>
        <v>0</v>
      </c>
      <c r="AF115" s="1">
        <f t="shared" si="47"/>
        <v>0</v>
      </c>
      <c r="AG115" s="9">
        <f t="shared" si="48"/>
        <v>-3.1210895533451137</v>
      </c>
      <c r="AH115" s="10">
        <f t="shared" si="49"/>
        <v>3.1210895533451137</v>
      </c>
      <c r="AI115" s="1">
        <f>SUMIFS(
  '[1]Hoja 1'!$M:$M,
  '[1]Hoja 1'!$S:$S, $A115,
  '[1]Hoja 1'!$R:$R, "&gt;="&amp;INT($AK$1),
  '[1]Hoja 1'!$R:$R, "&lt;"&amp;INT($AJ$1+1)
)</f>
        <v>0</v>
      </c>
      <c r="AJ115" s="1">
        <f t="shared" si="50"/>
        <v>0</v>
      </c>
      <c r="AK115" s="9">
        <f t="shared" si="51"/>
        <v>-2.9603462635306701</v>
      </c>
      <c r="AL115" s="10">
        <f t="shared" si="52"/>
        <v>2.9603462635306701</v>
      </c>
      <c r="AM115" s="1">
        <f>SUMIFS(
  '[1]Hoja 1'!$M:$M,
  '[1]Hoja 1'!$S:$S, $A115,
  '[1]Hoja 1'!$R:$R, "&gt;="&amp;INT($AO$1),
  '[1]Hoja 1'!$R:$R, "&lt;"&amp;INT($AP$1+1)
)</f>
        <v>0</v>
      </c>
      <c r="AN115" s="1">
        <f t="shared" si="53"/>
        <v>0</v>
      </c>
      <c r="AO115" s="9">
        <f t="shared" si="54"/>
        <v>-2.8195704952665714</v>
      </c>
      <c r="AP115" s="10">
        <f t="shared" si="55"/>
        <v>2.8195704952665714</v>
      </c>
      <c r="AQ115" s="1">
        <f>SUMIFS(
  '[1]Hoja 1'!$M:$M,
  '[1]Hoja 1'!$S:$S, $A115,
  '[1]Hoja 1'!$R:$R, "&gt;="&amp;INT($AS$1),
  '[1]Hoja 1'!$R:$R, "&lt;"&amp;INT($AT$1+1)
)</f>
        <v>0</v>
      </c>
      <c r="AR115" s="1">
        <f t="shared" si="56"/>
        <v>0</v>
      </c>
      <c r="AS115" s="9">
        <f t="shared" si="57"/>
        <v>-2.6957423220082939</v>
      </c>
      <c r="AT115" s="10">
        <f t="shared" si="58"/>
        <v>2.6957423220082939</v>
      </c>
      <c r="AU115" s="1">
        <f>SUMIFS(
  '[1]Hoja 1'!$M:$M,
  '[1]Hoja 1'!$S:$S, $A115,
  '[1]Hoja 1'!$R:$R, "&gt;="&amp;INT($AW$1),
  '[1]Hoja 1'!$R:$R, "&lt;"&amp;INT($AX$1+1)
)</f>
        <v>0</v>
      </c>
      <c r="AV115" s="1">
        <f t="shared" si="59"/>
        <v>0</v>
      </c>
      <c r="AW115" s="9">
        <f t="shared" si="60"/>
        <v>-2.5860928760654294</v>
      </c>
      <c r="AX115" s="10">
        <f t="shared" si="61"/>
        <v>2.5860928760654294</v>
      </c>
    </row>
    <row r="116" spans="1:50" x14ac:dyDescent="0.25">
      <c r="A116" s="5">
        <v>217024</v>
      </c>
      <c r="B116" s="6" t="s">
        <v>113</v>
      </c>
      <c r="C116" s="1">
        <f>SUMIFS(
  '[1]Hoja 1'!$M:$M,
  '[1]Hoja 1'!$S:$S, $A116,
  '[1]Hoja 1'!$R:$R, "&gt;="&amp;INT($E$1),
  '[1]Hoja 1'!$R:$R, "&lt;"&amp;INT($F$1+1)
)</f>
        <v>2</v>
      </c>
      <c r="D116" s="1" t="str">
        <f>""</f>
        <v/>
      </c>
      <c r="F116" s="2"/>
      <c r="G116" s="1">
        <f>SUMIFS(
  '[1]Hoja 1'!$M:$M,
  '[1]Hoja 1'!$S:$S, $A116,
  '[1]Hoja 1'!$R:$R, "&gt;="&amp;INT($I$1),
  '[1]Hoja 1'!$R:$R, "&lt;"&amp;INT($J$1+1)
)</f>
        <v>1</v>
      </c>
      <c r="H116" s="1">
        <f t="shared" si="31"/>
        <v>2</v>
      </c>
      <c r="I116" s="1"/>
      <c r="J116" s="2"/>
      <c r="K116" s="1">
        <f>SUMIFS(
  '[1]Hoja 1'!$M:$M,
  '[1]Hoja 1'!$S:$S, $A116,
  '[1]Hoja 1'!$R:$R, "&gt;="&amp;INT($M$1),
  '[1]Hoja 1'!$R:$R, "&lt;"&amp;INT($N$1+1)
)</f>
        <v>0</v>
      </c>
      <c r="L116" s="1">
        <f t="shared" si="32"/>
        <v>0.5</v>
      </c>
      <c r="M116" s="9">
        <f t="shared" si="33"/>
        <v>0.5</v>
      </c>
      <c r="N116" s="10">
        <f t="shared" si="34"/>
        <v>0.5</v>
      </c>
      <c r="O116" s="1">
        <f>SUMIFS(
  '[1]Hoja 1'!$M:$M,
  '[1]Hoja 1'!$S:$S, $A116,
  '[1]Hoja 1'!$R:$R, "&gt;="&amp;INT($Q$1),
  '[1]Hoja 1'!$R:$R, "&lt;"&amp;INT($R$1+1)
)</f>
        <v>0</v>
      </c>
      <c r="P116" s="1">
        <f t="shared" si="35"/>
        <v>0</v>
      </c>
      <c r="Q116" s="9">
        <f t="shared" si="36"/>
        <v>-0.56580326380583335</v>
      </c>
      <c r="R116" s="10">
        <f t="shared" si="37"/>
        <v>0.56580326380583335</v>
      </c>
      <c r="S116" s="1">
        <f>SUMIFS(
  '[1]Hoja 1'!$M:$M,
  '[1]Hoja 1'!$S:$S, $A116,
  '[1]Hoja 1'!$R:$R, "&gt;="&amp;INT($U$1),
  '[1]Hoja 1'!$R:$R, "&lt;"&amp;INT($V$1+1)
)</f>
        <v>0</v>
      </c>
      <c r="T116" s="1">
        <f t="shared" si="38"/>
        <v>0</v>
      </c>
      <c r="U116" s="9">
        <f t="shared" si="39"/>
        <v>-1.2331396244275556</v>
      </c>
      <c r="V116" s="10">
        <f t="shared" si="40"/>
        <v>1.2331396244275556</v>
      </c>
      <c r="W116" s="1">
        <f>SUMIFS(
  '[1]Hoja 1'!$M:$M,
  '[1]Hoja 1'!$S:$S, $A116,
  '[1]Hoja 1'!$R:$R, "&gt;="&amp;INT($Y$1),
  '[1]Hoja 1'!$R:$R, "&lt;"&amp;INT($Z$1+1)
)</f>
        <v>0</v>
      </c>
      <c r="X116" s="1">
        <f t="shared" si="41"/>
        <v>0</v>
      </c>
      <c r="Y116" s="9">
        <f t="shared" si="42"/>
        <v>-0.53676810635506278</v>
      </c>
      <c r="Z116" s="10">
        <f t="shared" si="43"/>
        <v>0.53676810635506278</v>
      </c>
      <c r="AA116" s="1">
        <f>SUMIFS(
  '[1]Hoja 1'!$M:$M,
  '[1]Hoja 1'!$S:$S, $A116,
  '[1]Hoja 1'!$R:$R, "&gt;="&amp;INT($AC$1),
  '[1]Hoja 1'!$R:$R, "&lt;"&amp;INT($AD$1+1)
)</f>
        <v>0</v>
      </c>
      <c r="AB116" s="1">
        <f t="shared" si="44"/>
        <v>0</v>
      </c>
      <c r="AC116" s="9">
        <f t="shared" si="45"/>
        <v>-0.50606982390443589</v>
      </c>
      <c r="AD116" s="10">
        <f t="shared" si="46"/>
        <v>0.50606982390443589</v>
      </c>
      <c r="AE116" s="1">
        <f>SUMIFS(
  '[1]Hoja 1'!$M:$M,
  '[1]Hoja 1'!$S:$S, $A116,
  '[1]Hoja 1'!$R:$R, "&gt;="&amp;INT($AG$1),
  '[1]Hoja 1'!$R:$R, "&lt;"&amp;INT($AH$1+1)
)</f>
        <v>0</v>
      </c>
      <c r="AF116" s="1">
        <f t="shared" si="47"/>
        <v>0</v>
      </c>
      <c r="AG116" s="9">
        <f t="shared" si="48"/>
        <v>-0.47819103574478128</v>
      </c>
      <c r="AH116" s="10">
        <f t="shared" si="49"/>
        <v>0.47819103574478128</v>
      </c>
      <c r="AI116" s="1">
        <f>SUMIFS(
  '[1]Hoja 1'!$M:$M,
  '[1]Hoja 1'!$S:$S, $A116,
  '[1]Hoja 1'!$R:$R, "&gt;="&amp;INT($AK$1),
  '[1]Hoja 1'!$R:$R, "&lt;"&amp;INT($AJ$1+1)
)</f>
        <v>0</v>
      </c>
      <c r="AJ116" s="1">
        <f t="shared" si="50"/>
        <v>0</v>
      </c>
      <c r="AK116" s="9">
        <f t="shared" si="51"/>
        <v>-0.4536518488885502</v>
      </c>
      <c r="AL116" s="10">
        <f t="shared" si="52"/>
        <v>0.4536518488885502</v>
      </c>
      <c r="AM116" s="1">
        <f>SUMIFS(
  '[1]Hoja 1'!$M:$M,
  '[1]Hoja 1'!$S:$S, $A116,
  '[1]Hoja 1'!$R:$R, "&gt;="&amp;INT($AO$1),
  '[1]Hoja 1'!$R:$R, "&lt;"&amp;INT($AP$1+1)
)</f>
        <v>0</v>
      </c>
      <c r="AN116" s="1">
        <f t="shared" si="53"/>
        <v>0</v>
      </c>
      <c r="AO116" s="9">
        <f t="shared" si="54"/>
        <v>-0.43213938080721648</v>
      </c>
      <c r="AP116" s="10">
        <f t="shared" si="55"/>
        <v>0.43213938080721648</v>
      </c>
      <c r="AQ116" s="1">
        <f>SUMIFS(
  '[1]Hoja 1'!$M:$M,
  '[1]Hoja 1'!$S:$S, $A116,
  '[1]Hoja 1'!$R:$R, "&gt;="&amp;INT($AS$1),
  '[1]Hoja 1'!$R:$R, "&lt;"&amp;INT($AT$1+1)
)</f>
        <v>0</v>
      </c>
      <c r="AR116" s="1">
        <f t="shared" si="56"/>
        <v>0</v>
      </c>
      <c r="AS116" s="9">
        <f t="shared" si="57"/>
        <v>-0.41320428092866823</v>
      </c>
      <c r="AT116" s="10">
        <f t="shared" si="58"/>
        <v>0.41320428092866823</v>
      </c>
      <c r="AU116" s="1">
        <f>SUMIFS(
  '[1]Hoja 1'!$M:$M,
  '[1]Hoja 1'!$S:$S, $A116,
  '[1]Hoja 1'!$R:$R, "&gt;="&amp;INT($AW$1),
  '[1]Hoja 1'!$R:$R, "&lt;"&amp;INT($AX$1+1)
)</f>
        <v>0</v>
      </c>
      <c r="AV116" s="1">
        <f t="shared" si="59"/>
        <v>0</v>
      </c>
      <c r="AW116" s="9">
        <f t="shared" si="60"/>
        <v>-0.39642951912838631</v>
      </c>
      <c r="AX116" s="10">
        <f t="shared" si="61"/>
        <v>0.39642951912838631</v>
      </c>
    </row>
    <row r="117" spans="1:50" x14ac:dyDescent="0.25">
      <c r="A117" s="5">
        <v>218001</v>
      </c>
      <c r="B117" s="6" t="s">
        <v>114</v>
      </c>
      <c r="C117" s="1">
        <f>SUMIFS(
  '[1]Hoja 1'!$M:$M,
  '[1]Hoja 1'!$S:$S, $A117,
  '[1]Hoja 1'!$R:$R, "&gt;="&amp;INT($E$1),
  '[1]Hoja 1'!$R:$R, "&lt;"&amp;INT($F$1+1)
)</f>
        <v>6</v>
      </c>
      <c r="D117" s="1" t="str">
        <f>""</f>
        <v/>
      </c>
      <c r="F117" s="2"/>
      <c r="G117" s="1">
        <f>SUMIFS(
  '[1]Hoja 1'!$M:$M,
  '[1]Hoja 1'!$S:$S, $A117,
  '[1]Hoja 1'!$R:$R, "&gt;="&amp;INT($I$1),
  '[1]Hoja 1'!$R:$R, "&lt;"&amp;INT($J$1+1)
)</f>
        <v>4</v>
      </c>
      <c r="H117" s="1">
        <f t="shared" si="31"/>
        <v>5</v>
      </c>
      <c r="I117" s="1"/>
      <c r="J117" s="2"/>
      <c r="K117" s="1">
        <f>SUMIFS(
  '[1]Hoja 1'!$M:$M,
  '[1]Hoja 1'!$S:$S, $A117,
  '[1]Hoja 1'!$R:$R, "&gt;="&amp;INT($M$1),
  '[1]Hoja 1'!$R:$R, "&lt;"&amp;INT($N$1+1)
)</f>
        <v>0</v>
      </c>
      <c r="L117" s="1">
        <f t="shared" si="32"/>
        <v>2</v>
      </c>
      <c r="M117" s="9">
        <f t="shared" si="33"/>
        <v>0.61407070887436688</v>
      </c>
      <c r="N117" s="10">
        <f t="shared" si="34"/>
        <v>3.3859292911256329</v>
      </c>
      <c r="O117" s="1">
        <f>SUMIFS(
  '[1]Hoja 1'!$M:$M,
  '[1]Hoja 1'!$S:$S, $A117,
  '[1]Hoja 1'!$R:$R, "&gt;="&amp;INT($Q$1),
  '[1]Hoja 1'!$R:$R, "&lt;"&amp;INT($R$1+1)
)</f>
        <v>0</v>
      </c>
      <c r="P117" s="1">
        <f t="shared" si="35"/>
        <v>0</v>
      </c>
      <c r="Q117" s="9">
        <f t="shared" si="36"/>
        <v>-1.96</v>
      </c>
      <c r="R117" s="10">
        <f t="shared" si="37"/>
        <v>1.96</v>
      </c>
      <c r="S117" s="1">
        <f>SUMIFS(
  '[1]Hoja 1'!$M:$M,
  '[1]Hoja 1'!$S:$S, $A117,
  '[1]Hoja 1'!$R:$R, "&gt;="&amp;INT($U$1),
  '[1]Hoja 1'!$R:$R, "&lt;"&amp;INT($V$1+1)
)</f>
        <v>0</v>
      </c>
      <c r="T117" s="1">
        <f t="shared" si="38"/>
        <v>0</v>
      </c>
      <c r="U117" s="9">
        <f t="shared" si="39"/>
        <v>-1.6736686251067343</v>
      </c>
      <c r="V117" s="10">
        <f t="shared" si="40"/>
        <v>1.6736686251067343</v>
      </c>
      <c r="W117" s="1">
        <f>SUMIFS(
  '[1]Hoja 1'!$M:$M,
  '[1]Hoja 1'!$S:$S, $A117,
  '[1]Hoja 1'!$R:$R, "&gt;="&amp;INT($Y$1),
  '[1]Hoja 1'!$R:$R, "&lt;"&amp;INT($Z$1+1)
)</f>
        <v>0</v>
      </c>
      <c r="X117" s="1">
        <f t="shared" si="41"/>
        <v>0</v>
      </c>
      <c r="Y117" s="9">
        <f t="shared" si="42"/>
        <v>-1.7530772943598349</v>
      </c>
      <c r="Z117" s="10">
        <f t="shared" si="43"/>
        <v>1.7530772943598349</v>
      </c>
      <c r="AA117" s="1">
        <f>SUMIFS(
  '[1]Hoja 1'!$M:$M,
  '[1]Hoja 1'!$S:$S, $A117,
  '[1]Hoja 1'!$R:$R, "&gt;="&amp;INT($AC$1),
  '[1]Hoja 1'!$R:$R, "&lt;"&amp;INT($AD$1+1)
)</f>
        <v>0</v>
      </c>
      <c r="AB117" s="1">
        <f t="shared" si="44"/>
        <v>0</v>
      </c>
      <c r="AC117" s="9">
        <f t="shared" si="45"/>
        <v>-1.6398536520067881</v>
      </c>
      <c r="AD117" s="10">
        <f t="shared" si="46"/>
        <v>1.6398536520067881</v>
      </c>
      <c r="AE117" s="1">
        <f>SUMIFS(
  '[1]Hoja 1'!$M:$M,
  '[1]Hoja 1'!$S:$S, $A117,
  '[1]Hoja 1'!$R:$R, "&gt;="&amp;INT($AG$1),
  '[1]Hoja 1'!$R:$R, "&lt;"&amp;INT($AH$1+1)
)</f>
        <v>0</v>
      </c>
      <c r="AF117" s="1">
        <f t="shared" si="47"/>
        <v>0</v>
      </c>
      <c r="AG117" s="9">
        <f t="shared" si="48"/>
        <v>-1.5421197532401087</v>
      </c>
      <c r="AH117" s="10">
        <f t="shared" si="49"/>
        <v>1.5421197532401087</v>
      </c>
      <c r="AI117" s="1">
        <f>SUMIFS(
  '[1]Hoja 1'!$M:$M,
  '[1]Hoja 1'!$S:$S, $A117,
  '[1]Hoja 1'!$R:$R, "&gt;="&amp;INT($AK$1),
  '[1]Hoja 1'!$R:$R, "&lt;"&amp;INT($AJ$1+1)
)</f>
        <v>0</v>
      </c>
      <c r="AJ117" s="1">
        <f t="shared" si="50"/>
        <v>0</v>
      </c>
      <c r="AK117" s="9">
        <f t="shared" si="51"/>
        <v>-1.458286665919976</v>
      </c>
      <c r="AL117" s="10">
        <f t="shared" si="52"/>
        <v>1.458286665919976</v>
      </c>
      <c r="AM117" s="1">
        <f>SUMIFS(
  '[1]Hoja 1'!$M:$M,
  '[1]Hoja 1'!$S:$S, $A117,
  '[1]Hoja 1'!$R:$R, "&gt;="&amp;INT($AO$1),
  '[1]Hoja 1'!$R:$R, "&lt;"&amp;INT($AP$1+1)
)</f>
        <v>0</v>
      </c>
      <c r="AN117" s="1">
        <f t="shared" si="53"/>
        <v>0</v>
      </c>
      <c r="AO117" s="9">
        <f t="shared" si="54"/>
        <v>-1.3859292911256331</v>
      </c>
      <c r="AP117" s="10">
        <f t="shared" si="55"/>
        <v>1.3859292911256331</v>
      </c>
      <c r="AQ117" s="1">
        <f>SUMIFS(
  '[1]Hoja 1'!$M:$M,
  '[1]Hoja 1'!$S:$S, $A117,
  '[1]Hoja 1'!$R:$R, "&gt;="&amp;INT($AS$1),
  '[1]Hoja 1'!$R:$R, "&lt;"&amp;INT($AT$1+1)
)</f>
        <v>0</v>
      </c>
      <c r="AR117" s="1">
        <f t="shared" si="56"/>
        <v>0</v>
      </c>
      <c r="AS117" s="9">
        <f t="shared" si="57"/>
        <v>-1.3228991731126836</v>
      </c>
      <c r="AT117" s="10">
        <f t="shared" si="58"/>
        <v>1.3228991731126836</v>
      </c>
      <c r="AU117" s="1">
        <f>SUMIFS(
  '[1]Hoja 1'!$M:$M,
  '[1]Hoja 1'!$S:$S, $A117,
  '[1]Hoja 1'!$R:$R, "&gt;="&amp;INT($AW$1),
  '[1]Hoja 1'!$R:$R, "&lt;"&amp;INT($AX$1+1)
)</f>
        <v>0</v>
      </c>
      <c r="AV117" s="1">
        <f t="shared" si="59"/>
        <v>0</v>
      </c>
      <c r="AW117" s="9">
        <f t="shared" si="60"/>
        <v>-1.2674727897384119</v>
      </c>
      <c r="AX117" s="10">
        <f t="shared" si="61"/>
        <v>1.2674727897384119</v>
      </c>
    </row>
    <row r="118" spans="1:50" x14ac:dyDescent="0.25">
      <c r="A118" s="5">
        <v>218002</v>
      </c>
      <c r="B118" s="6" t="s">
        <v>115</v>
      </c>
      <c r="C118" s="1">
        <f>SUMIFS(
  '[1]Hoja 1'!$M:$M,
  '[1]Hoja 1'!$S:$S, $A118,
  '[1]Hoja 1'!$R:$R, "&gt;="&amp;INT($E$1),
  '[1]Hoja 1'!$R:$R, "&lt;"&amp;INT($F$1+1)
)</f>
        <v>0</v>
      </c>
      <c r="D118" s="1" t="str">
        <f>""</f>
        <v/>
      </c>
      <c r="F118" s="2"/>
      <c r="G118" s="1">
        <f>SUMIFS(
  '[1]Hoja 1'!$M:$M,
  '[1]Hoja 1'!$S:$S, $A118,
  '[1]Hoja 1'!$R:$R, "&gt;="&amp;INT($I$1),
  '[1]Hoja 1'!$R:$R, "&lt;"&amp;INT($J$1+1)
)</f>
        <v>0</v>
      </c>
      <c r="H118" s="1">
        <f t="shared" si="31"/>
        <v>0</v>
      </c>
      <c r="I118" s="1"/>
      <c r="J118" s="2"/>
      <c r="K118" s="1">
        <f>SUMIFS(
  '[1]Hoja 1'!$M:$M,
  '[1]Hoja 1'!$S:$S, $A118,
  '[1]Hoja 1'!$R:$R, "&gt;="&amp;INT($M$1),
  '[1]Hoja 1'!$R:$R, "&lt;"&amp;INT($N$1+1)
)</f>
        <v>0</v>
      </c>
      <c r="L118" s="1">
        <f t="shared" si="32"/>
        <v>0</v>
      </c>
      <c r="M118" s="9">
        <f t="shared" si="33"/>
        <v>0</v>
      </c>
      <c r="N118" s="10">
        <f t="shared" si="34"/>
        <v>0</v>
      </c>
      <c r="O118" s="1">
        <f>SUMIFS(
  '[1]Hoja 1'!$M:$M,
  '[1]Hoja 1'!$S:$S, $A118,
  '[1]Hoja 1'!$R:$R, "&gt;="&amp;INT($Q$1),
  '[1]Hoja 1'!$R:$R, "&lt;"&amp;INT($R$1+1)
)</f>
        <v>0</v>
      </c>
      <c r="P118" s="1">
        <f t="shared" si="35"/>
        <v>0</v>
      </c>
      <c r="Q118" s="9">
        <f t="shared" si="36"/>
        <v>0</v>
      </c>
      <c r="R118" s="10">
        <f t="shared" si="37"/>
        <v>0</v>
      </c>
      <c r="S118" s="1">
        <f>SUMIFS(
  '[1]Hoja 1'!$M:$M,
  '[1]Hoja 1'!$S:$S, $A118,
  '[1]Hoja 1'!$R:$R, "&gt;="&amp;INT($U$1),
  '[1]Hoja 1'!$R:$R, "&lt;"&amp;INT($V$1+1)
)</f>
        <v>0</v>
      </c>
      <c r="T118" s="1">
        <f t="shared" si="38"/>
        <v>0</v>
      </c>
      <c r="U118" s="9">
        <f t="shared" si="39"/>
        <v>-1.47</v>
      </c>
      <c r="V118" s="10">
        <f t="shared" si="40"/>
        <v>1.47</v>
      </c>
      <c r="W118" s="1">
        <f>SUMIFS(
  '[1]Hoja 1'!$M:$M,
  '[1]Hoja 1'!$S:$S, $A118,
  '[1]Hoja 1'!$R:$R, "&gt;="&amp;INT($Y$1),
  '[1]Hoja 1'!$R:$R, "&lt;"&amp;INT($Z$1+1)
)</f>
        <v>0</v>
      </c>
      <c r="X118" s="1">
        <f t="shared" si="41"/>
        <v>0</v>
      </c>
      <c r="Y118" s="9">
        <f t="shared" si="42"/>
        <v>0</v>
      </c>
      <c r="Z118" s="10">
        <f t="shared" si="43"/>
        <v>0</v>
      </c>
      <c r="AA118" s="1">
        <f>SUMIFS(
  '[1]Hoja 1'!$M:$M,
  '[1]Hoja 1'!$S:$S, $A118,
  '[1]Hoja 1'!$R:$R, "&gt;="&amp;INT($AC$1),
  '[1]Hoja 1'!$R:$R, "&lt;"&amp;INT($AD$1+1)
)</f>
        <v>0</v>
      </c>
      <c r="AB118" s="1">
        <f t="shared" si="44"/>
        <v>0</v>
      </c>
      <c r="AC118" s="9">
        <f t="shared" si="45"/>
        <v>0</v>
      </c>
      <c r="AD118" s="10">
        <f t="shared" si="46"/>
        <v>0</v>
      </c>
      <c r="AE118" s="1">
        <f>SUMIFS(
  '[1]Hoja 1'!$M:$M,
  '[1]Hoja 1'!$S:$S, $A118,
  '[1]Hoja 1'!$R:$R, "&gt;="&amp;INT($AG$1),
  '[1]Hoja 1'!$R:$R, "&lt;"&amp;INT($AH$1+1)
)</f>
        <v>0</v>
      </c>
      <c r="AF118" s="1">
        <f t="shared" si="47"/>
        <v>0</v>
      </c>
      <c r="AG118" s="9">
        <f t="shared" si="48"/>
        <v>0</v>
      </c>
      <c r="AH118" s="10">
        <f t="shared" si="49"/>
        <v>0</v>
      </c>
      <c r="AI118" s="1">
        <f>SUMIFS(
  '[1]Hoja 1'!$M:$M,
  '[1]Hoja 1'!$S:$S, $A118,
  '[1]Hoja 1'!$R:$R, "&gt;="&amp;INT($AK$1),
  '[1]Hoja 1'!$R:$R, "&lt;"&amp;INT($AJ$1+1)
)</f>
        <v>0</v>
      </c>
      <c r="AJ118" s="1">
        <f t="shared" si="50"/>
        <v>0</v>
      </c>
      <c r="AK118" s="9">
        <f t="shared" si="51"/>
        <v>0</v>
      </c>
      <c r="AL118" s="10">
        <f t="shared" si="52"/>
        <v>0</v>
      </c>
      <c r="AM118" s="1">
        <f>SUMIFS(
  '[1]Hoja 1'!$M:$M,
  '[1]Hoja 1'!$S:$S, $A118,
  '[1]Hoja 1'!$R:$R, "&gt;="&amp;INT($AO$1),
  '[1]Hoja 1'!$R:$R, "&lt;"&amp;INT($AP$1+1)
)</f>
        <v>0</v>
      </c>
      <c r="AN118" s="1">
        <f t="shared" si="53"/>
        <v>0</v>
      </c>
      <c r="AO118" s="9">
        <f t="shared" si="54"/>
        <v>0</v>
      </c>
      <c r="AP118" s="10">
        <f t="shared" si="55"/>
        <v>0</v>
      </c>
      <c r="AQ118" s="1">
        <f>SUMIFS(
  '[1]Hoja 1'!$M:$M,
  '[1]Hoja 1'!$S:$S, $A118,
  '[1]Hoja 1'!$R:$R, "&gt;="&amp;INT($AS$1),
  '[1]Hoja 1'!$R:$R, "&lt;"&amp;INT($AT$1+1)
)</f>
        <v>0</v>
      </c>
      <c r="AR118" s="1">
        <f t="shared" si="56"/>
        <v>0</v>
      </c>
      <c r="AS118" s="9">
        <f t="shared" si="57"/>
        <v>0</v>
      </c>
      <c r="AT118" s="10">
        <f t="shared" si="58"/>
        <v>0</v>
      </c>
      <c r="AU118" s="1">
        <f>SUMIFS(
  '[1]Hoja 1'!$M:$M,
  '[1]Hoja 1'!$S:$S, $A118,
  '[1]Hoja 1'!$R:$R, "&gt;="&amp;INT($AW$1),
  '[1]Hoja 1'!$R:$R, "&lt;"&amp;INT($AX$1+1)
)</f>
        <v>0</v>
      </c>
      <c r="AV118" s="1">
        <f t="shared" si="59"/>
        <v>0</v>
      </c>
      <c r="AW118" s="9">
        <f t="shared" si="60"/>
        <v>0</v>
      </c>
      <c r="AX118" s="10">
        <f t="shared" si="61"/>
        <v>0</v>
      </c>
    </row>
    <row r="119" spans="1:50" x14ac:dyDescent="0.25">
      <c r="A119" s="5">
        <v>218003</v>
      </c>
      <c r="B119" s="6" t="s">
        <v>116</v>
      </c>
      <c r="C119" s="1">
        <f>SUMIFS(
  '[1]Hoja 1'!$M:$M,
  '[1]Hoja 1'!$S:$S, $A119,
  '[1]Hoja 1'!$R:$R, "&gt;="&amp;INT($E$1),
  '[1]Hoja 1'!$R:$R, "&lt;"&amp;INT($F$1+1)
)</f>
        <v>2</v>
      </c>
      <c r="D119" s="1" t="str">
        <f>""</f>
        <v/>
      </c>
      <c r="F119" s="2"/>
      <c r="G119" s="1">
        <f>SUMIFS(
  '[1]Hoja 1'!$M:$M,
  '[1]Hoja 1'!$S:$S, $A119,
  '[1]Hoja 1'!$R:$R, "&gt;="&amp;INT($I$1),
  '[1]Hoja 1'!$R:$R, "&lt;"&amp;INT($J$1+1)
)</f>
        <v>1</v>
      </c>
      <c r="H119" s="1">
        <f t="shared" si="31"/>
        <v>2</v>
      </c>
      <c r="I119" s="1"/>
      <c r="J119" s="2"/>
      <c r="K119" s="1">
        <f>SUMIFS(
  '[1]Hoja 1'!$M:$M,
  '[1]Hoja 1'!$S:$S, $A119,
  '[1]Hoja 1'!$R:$R, "&gt;="&amp;INT($M$1),
  '[1]Hoja 1'!$R:$R, "&lt;"&amp;INT($N$1+1)
)</f>
        <v>0</v>
      </c>
      <c r="L119" s="1">
        <f t="shared" si="32"/>
        <v>0.5</v>
      </c>
      <c r="M119" s="9">
        <f t="shared" si="33"/>
        <v>0.5</v>
      </c>
      <c r="N119" s="10">
        <f t="shared" si="34"/>
        <v>0.5</v>
      </c>
      <c r="O119" s="1">
        <f>SUMIFS(
  '[1]Hoja 1'!$M:$M,
  '[1]Hoja 1'!$S:$S, $A119,
  '[1]Hoja 1'!$R:$R, "&gt;="&amp;INT($Q$1),
  '[1]Hoja 1'!$R:$R, "&lt;"&amp;INT($R$1+1)
)</f>
        <v>0</v>
      </c>
      <c r="P119" s="1">
        <f t="shared" si="35"/>
        <v>0</v>
      </c>
      <c r="Q119" s="9">
        <f t="shared" si="36"/>
        <v>-0.56580326380583335</v>
      </c>
      <c r="R119" s="10">
        <f t="shared" si="37"/>
        <v>0.56580326380583335</v>
      </c>
      <c r="S119" s="1">
        <f>SUMIFS(
  '[1]Hoja 1'!$M:$M,
  '[1]Hoja 1'!$S:$S, $A119,
  '[1]Hoja 1'!$R:$R, "&gt;="&amp;INT($U$1),
  '[1]Hoja 1'!$R:$R, "&lt;"&amp;INT($V$1+1)
)</f>
        <v>0</v>
      </c>
      <c r="T119" s="1">
        <f t="shared" si="38"/>
        <v>0</v>
      </c>
      <c r="U119" s="9">
        <f t="shared" si="39"/>
        <v>-1.2331396244275556</v>
      </c>
      <c r="V119" s="10">
        <f t="shared" si="40"/>
        <v>1.2331396244275556</v>
      </c>
      <c r="W119" s="1">
        <f>SUMIFS(
  '[1]Hoja 1'!$M:$M,
  '[1]Hoja 1'!$S:$S, $A119,
  '[1]Hoja 1'!$R:$R, "&gt;="&amp;INT($Y$1),
  '[1]Hoja 1'!$R:$R, "&lt;"&amp;INT($Z$1+1)
)</f>
        <v>0</v>
      </c>
      <c r="X119" s="1">
        <f t="shared" si="41"/>
        <v>0</v>
      </c>
      <c r="Y119" s="9">
        <f t="shared" si="42"/>
        <v>-0.53676810635506278</v>
      </c>
      <c r="Z119" s="10">
        <f t="shared" si="43"/>
        <v>0.53676810635506278</v>
      </c>
      <c r="AA119" s="1">
        <f>SUMIFS(
  '[1]Hoja 1'!$M:$M,
  '[1]Hoja 1'!$S:$S, $A119,
  '[1]Hoja 1'!$R:$R, "&gt;="&amp;INT($AC$1),
  '[1]Hoja 1'!$R:$R, "&lt;"&amp;INT($AD$1+1)
)</f>
        <v>0</v>
      </c>
      <c r="AB119" s="1">
        <f t="shared" si="44"/>
        <v>0</v>
      </c>
      <c r="AC119" s="9">
        <f t="shared" si="45"/>
        <v>-0.50606982390443589</v>
      </c>
      <c r="AD119" s="10">
        <f t="shared" si="46"/>
        <v>0.50606982390443589</v>
      </c>
      <c r="AE119" s="1">
        <f>SUMIFS(
  '[1]Hoja 1'!$M:$M,
  '[1]Hoja 1'!$S:$S, $A119,
  '[1]Hoja 1'!$R:$R, "&gt;="&amp;INT($AG$1),
  '[1]Hoja 1'!$R:$R, "&lt;"&amp;INT($AH$1+1)
)</f>
        <v>0</v>
      </c>
      <c r="AF119" s="1">
        <f t="shared" si="47"/>
        <v>0</v>
      </c>
      <c r="AG119" s="9">
        <f t="shared" si="48"/>
        <v>-0.47819103574478128</v>
      </c>
      <c r="AH119" s="10">
        <f t="shared" si="49"/>
        <v>0.47819103574478128</v>
      </c>
      <c r="AI119" s="1">
        <f>SUMIFS(
  '[1]Hoja 1'!$M:$M,
  '[1]Hoja 1'!$S:$S, $A119,
  '[1]Hoja 1'!$R:$R, "&gt;="&amp;INT($AK$1),
  '[1]Hoja 1'!$R:$R, "&lt;"&amp;INT($AJ$1+1)
)</f>
        <v>0</v>
      </c>
      <c r="AJ119" s="1">
        <f t="shared" si="50"/>
        <v>0</v>
      </c>
      <c r="AK119" s="9">
        <f t="shared" si="51"/>
        <v>-0.4536518488885502</v>
      </c>
      <c r="AL119" s="10">
        <f t="shared" si="52"/>
        <v>0.4536518488885502</v>
      </c>
      <c r="AM119" s="1">
        <f>SUMIFS(
  '[1]Hoja 1'!$M:$M,
  '[1]Hoja 1'!$S:$S, $A119,
  '[1]Hoja 1'!$R:$R, "&gt;="&amp;INT($AO$1),
  '[1]Hoja 1'!$R:$R, "&lt;"&amp;INT($AP$1+1)
)</f>
        <v>0</v>
      </c>
      <c r="AN119" s="1">
        <f t="shared" si="53"/>
        <v>0</v>
      </c>
      <c r="AO119" s="9">
        <f t="shared" si="54"/>
        <v>-0.43213938080721648</v>
      </c>
      <c r="AP119" s="10">
        <f t="shared" si="55"/>
        <v>0.43213938080721648</v>
      </c>
      <c r="AQ119" s="1">
        <f>SUMIFS(
  '[1]Hoja 1'!$M:$M,
  '[1]Hoja 1'!$S:$S, $A119,
  '[1]Hoja 1'!$R:$R, "&gt;="&amp;INT($AS$1),
  '[1]Hoja 1'!$R:$R, "&lt;"&amp;INT($AT$1+1)
)</f>
        <v>0</v>
      </c>
      <c r="AR119" s="1">
        <f t="shared" si="56"/>
        <v>0</v>
      </c>
      <c r="AS119" s="9">
        <f t="shared" si="57"/>
        <v>-0.41320428092866823</v>
      </c>
      <c r="AT119" s="10">
        <f t="shared" si="58"/>
        <v>0.41320428092866823</v>
      </c>
      <c r="AU119" s="1">
        <f>SUMIFS(
  '[1]Hoja 1'!$M:$M,
  '[1]Hoja 1'!$S:$S, $A119,
  '[1]Hoja 1'!$R:$R, "&gt;="&amp;INT($AW$1),
  '[1]Hoja 1'!$R:$R, "&lt;"&amp;INT($AX$1+1)
)</f>
        <v>0</v>
      </c>
      <c r="AV119" s="1">
        <f t="shared" si="59"/>
        <v>0</v>
      </c>
      <c r="AW119" s="9">
        <f t="shared" si="60"/>
        <v>-0.39642951912838631</v>
      </c>
      <c r="AX119" s="10">
        <f t="shared" si="61"/>
        <v>0.39642951912838631</v>
      </c>
    </row>
    <row r="120" spans="1:50" x14ac:dyDescent="0.25">
      <c r="A120" s="5">
        <v>218004</v>
      </c>
      <c r="B120" s="6" t="s">
        <v>117</v>
      </c>
      <c r="C120" s="1">
        <f>SUMIFS(
  '[1]Hoja 1'!$M:$M,
  '[1]Hoja 1'!$S:$S, $A120,
  '[1]Hoja 1'!$R:$R, "&gt;="&amp;INT($E$1),
  '[1]Hoja 1'!$R:$R, "&lt;"&amp;INT($F$1+1)
)</f>
        <v>0</v>
      </c>
      <c r="D120" s="1" t="str">
        <f>""</f>
        <v/>
      </c>
      <c r="F120" s="2"/>
      <c r="G120" s="1">
        <f>SUMIFS(
  '[1]Hoja 1'!$M:$M,
  '[1]Hoja 1'!$S:$S, $A120,
  '[1]Hoja 1'!$R:$R, "&gt;="&amp;INT($I$1),
  '[1]Hoja 1'!$R:$R, "&lt;"&amp;INT($J$1+1)
)</f>
        <v>0</v>
      </c>
      <c r="H120" s="1">
        <f t="shared" si="31"/>
        <v>0</v>
      </c>
      <c r="I120" s="1"/>
      <c r="J120" s="2"/>
      <c r="K120" s="1">
        <f>SUMIFS(
  '[1]Hoja 1'!$M:$M,
  '[1]Hoja 1'!$S:$S, $A120,
  '[1]Hoja 1'!$R:$R, "&gt;="&amp;INT($M$1),
  '[1]Hoja 1'!$R:$R, "&lt;"&amp;INT($N$1+1)
)</f>
        <v>0</v>
      </c>
      <c r="L120" s="1">
        <f t="shared" si="32"/>
        <v>0</v>
      </c>
      <c r="M120" s="9">
        <f t="shared" si="33"/>
        <v>0</v>
      </c>
      <c r="N120" s="10">
        <f t="shared" si="34"/>
        <v>0</v>
      </c>
      <c r="O120" s="1">
        <f>SUMIFS(
  '[1]Hoja 1'!$M:$M,
  '[1]Hoja 1'!$S:$S, $A120,
  '[1]Hoja 1'!$R:$R, "&gt;="&amp;INT($Q$1),
  '[1]Hoja 1'!$R:$R, "&lt;"&amp;INT($R$1+1)
)</f>
        <v>0</v>
      </c>
      <c r="P120" s="1">
        <f t="shared" si="35"/>
        <v>0</v>
      </c>
      <c r="Q120" s="9">
        <f t="shared" si="36"/>
        <v>0</v>
      </c>
      <c r="R120" s="10">
        <f t="shared" si="37"/>
        <v>0</v>
      </c>
      <c r="S120" s="1">
        <f>SUMIFS(
  '[1]Hoja 1'!$M:$M,
  '[1]Hoja 1'!$S:$S, $A120,
  '[1]Hoja 1'!$R:$R, "&gt;="&amp;INT($U$1),
  '[1]Hoja 1'!$R:$R, "&lt;"&amp;INT($V$1+1)
)</f>
        <v>0</v>
      </c>
      <c r="T120" s="1">
        <f t="shared" si="38"/>
        <v>0</v>
      </c>
      <c r="U120" s="9">
        <f t="shared" si="39"/>
        <v>-1.47</v>
      </c>
      <c r="V120" s="10">
        <f t="shared" si="40"/>
        <v>1.47</v>
      </c>
      <c r="W120" s="1">
        <f>SUMIFS(
  '[1]Hoja 1'!$M:$M,
  '[1]Hoja 1'!$S:$S, $A120,
  '[1]Hoja 1'!$R:$R, "&gt;="&amp;INT($Y$1),
  '[1]Hoja 1'!$R:$R, "&lt;"&amp;INT($Z$1+1)
)</f>
        <v>0</v>
      </c>
      <c r="X120" s="1">
        <f t="shared" si="41"/>
        <v>0</v>
      </c>
      <c r="Y120" s="9">
        <f t="shared" si="42"/>
        <v>0</v>
      </c>
      <c r="Z120" s="10">
        <f t="shared" si="43"/>
        <v>0</v>
      </c>
      <c r="AA120" s="1">
        <f>SUMIFS(
  '[1]Hoja 1'!$M:$M,
  '[1]Hoja 1'!$S:$S, $A120,
  '[1]Hoja 1'!$R:$R, "&gt;="&amp;INT($AC$1),
  '[1]Hoja 1'!$R:$R, "&lt;"&amp;INT($AD$1+1)
)</f>
        <v>0</v>
      </c>
      <c r="AB120" s="1">
        <f t="shared" si="44"/>
        <v>0</v>
      </c>
      <c r="AC120" s="9">
        <f t="shared" si="45"/>
        <v>0</v>
      </c>
      <c r="AD120" s="10">
        <f t="shared" si="46"/>
        <v>0</v>
      </c>
      <c r="AE120" s="1">
        <f>SUMIFS(
  '[1]Hoja 1'!$M:$M,
  '[1]Hoja 1'!$S:$S, $A120,
  '[1]Hoja 1'!$R:$R, "&gt;="&amp;INT($AG$1),
  '[1]Hoja 1'!$R:$R, "&lt;"&amp;INT($AH$1+1)
)</f>
        <v>0</v>
      </c>
      <c r="AF120" s="1">
        <f t="shared" si="47"/>
        <v>0</v>
      </c>
      <c r="AG120" s="9">
        <f t="shared" si="48"/>
        <v>0</v>
      </c>
      <c r="AH120" s="10">
        <f t="shared" si="49"/>
        <v>0</v>
      </c>
      <c r="AI120" s="1">
        <f>SUMIFS(
  '[1]Hoja 1'!$M:$M,
  '[1]Hoja 1'!$S:$S, $A120,
  '[1]Hoja 1'!$R:$R, "&gt;="&amp;INT($AK$1),
  '[1]Hoja 1'!$R:$R, "&lt;"&amp;INT($AJ$1+1)
)</f>
        <v>0</v>
      </c>
      <c r="AJ120" s="1">
        <f t="shared" si="50"/>
        <v>0</v>
      </c>
      <c r="AK120" s="9">
        <f t="shared" si="51"/>
        <v>0</v>
      </c>
      <c r="AL120" s="10">
        <f t="shared" si="52"/>
        <v>0</v>
      </c>
      <c r="AM120" s="1">
        <f>SUMIFS(
  '[1]Hoja 1'!$M:$M,
  '[1]Hoja 1'!$S:$S, $A120,
  '[1]Hoja 1'!$R:$R, "&gt;="&amp;INT($AO$1),
  '[1]Hoja 1'!$R:$R, "&lt;"&amp;INT($AP$1+1)
)</f>
        <v>0</v>
      </c>
      <c r="AN120" s="1">
        <f t="shared" si="53"/>
        <v>0</v>
      </c>
      <c r="AO120" s="9">
        <f t="shared" si="54"/>
        <v>0</v>
      </c>
      <c r="AP120" s="10">
        <f t="shared" si="55"/>
        <v>0</v>
      </c>
      <c r="AQ120" s="1">
        <f>SUMIFS(
  '[1]Hoja 1'!$M:$M,
  '[1]Hoja 1'!$S:$S, $A120,
  '[1]Hoja 1'!$R:$R, "&gt;="&amp;INT($AS$1),
  '[1]Hoja 1'!$R:$R, "&lt;"&amp;INT($AT$1+1)
)</f>
        <v>0</v>
      </c>
      <c r="AR120" s="1">
        <f t="shared" si="56"/>
        <v>0</v>
      </c>
      <c r="AS120" s="9">
        <f t="shared" si="57"/>
        <v>0</v>
      </c>
      <c r="AT120" s="10">
        <f t="shared" si="58"/>
        <v>0</v>
      </c>
      <c r="AU120" s="1">
        <f>SUMIFS(
  '[1]Hoja 1'!$M:$M,
  '[1]Hoja 1'!$S:$S, $A120,
  '[1]Hoja 1'!$R:$R, "&gt;="&amp;INT($AW$1),
  '[1]Hoja 1'!$R:$R, "&lt;"&amp;INT($AX$1+1)
)</f>
        <v>0</v>
      </c>
      <c r="AV120" s="1">
        <f t="shared" si="59"/>
        <v>0</v>
      </c>
      <c r="AW120" s="9">
        <f t="shared" si="60"/>
        <v>0</v>
      </c>
      <c r="AX120" s="10">
        <f t="shared" si="61"/>
        <v>0</v>
      </c>
    </row>
    <row r="121" spans="1:50" x14ac:dyDescent="0.25">
      <c r="A121" s="5">
        <v>220003</v>
      </c>
      <c r="B121" s="6" t="s">
        <v>118</v>
      </c>
      <c r="C121" s="1">
        <f>SUMIFS(
  '[1]Hoja 1'!$M:$M,
  '[1]Hoja 1'!$S:$S, $A121,
  '[1]Hoja 1'!$R:$R, "&gt;="&amp;INT($E$1),
  '[1]Hoja 1'!$R:$R, "&lt;"&amp;INT($F$1+1)
)</f>
        <v>0</v>
      </c>
      <c r="D121" s="1" t="str">
        <f>""</f>
        <v/>
      </c>
      <c r="F121" s="2"/>
      <c r="G121" s="1">
        <f>SUMIFS(
  '[1]Hoja 1'!$M:$M,
  '[1]Hoja 1'!$S:$S, $A121,
  '[1]Hoja 1'!$R:$R, "&gt;="&amp;INT($I$1),
  '[1]Hoja 1'!$R:$R, "&lt;"&amp;INT($J$1+1)
)</f>
        <v>0</v>
      </c>
      <c r="H121" s="1">
        <f t="shared" si="31"/>
        <v>0</v>
      </c>
      <c r="I121" s="1"/>
      <c r="J121" s="2"/>
      <c r="K121" s="1">
        <f>SUMIFS(
  '[1]Hoja 1'!$M:$M,
  '[1]Hoja 1'!$S:$S, $A121,
  '[1]Hoja 1'!$R:$R, "&gt;="&amp;INT($M$1),
  '[1]Hoja 1'!$R:$R, "&lt;"&amp;INT($N$1+1)
)</f>
        <v>0</v>
      </c>
      <c r="L121" s="1">
        <f t="shared" si="32"/>
        <v>0</v>
      </c>
      <c r="M121" s="9">
        <f t="shared" si="33"/>
        <v>0</v>
      </c>
      <c r="N121" s="10">
        <f t="shared" si="34"/>
        <v>0</v>
      </c>
      <c r="O121" s="1">
        <f>SUMIFS(
  '[1]Hoja 1'!$M:$M,
  '[1]Hoja 1'!$S:$S, $A121,
  '[1]Hoja 1'!$R:$R, "&gt;="&amp;INT($Q$1),
  '[1]Hoja 1'!$R:$R, "&lt;"&amp;INT($R$1+1)
)</f>
        <v>0</v>
      </c>
      <c r="P121" s="1">
        <f t="shared" si="35"/>
        <v>0</v>
      </c>
      <c r="Q121" s="9">
        <f t="shared" si="36"/>
        <v>0</v>
      </c>
      <c r="R121" s="10">
        <f t="shared" si="37"/>
        <v>0</v>
      </c>
      <c r="S121" s="1">
        <f>SUMIFS(
  '[1]Hoja 1'!$M:$M,
  '[1]Hoja 1'!$S:$S, $A121,
  '[1]Hoja 1'!$R:$R, "&gt;="&amp;INT($U$1),
  '[1]Hoja 1'!$R:$R, "&lt;"&amp;INT($V$1+1)
)</f>
        <v>0</v>
      </c>
      <c r="T121" s="1">
        <f t="shared" si="38"/>
        <v>0</v>
      </c>
      <c r="U121" s="9">
        <f t="shared" si="39"/>
        <v>-1.47</v>
      </c>
      <c r="V121" s="10">
        <f t="shared" si="40"/>
        <v>1.47</v>
      </c>
      <c r="W121" s="1">
        <f>SUMIFS(
  '[1]Hoja 1'!$M:$M,
  '[1]Hoja 1'!$S:$S, $A121,
  '[1]Hoja 1'!$R:$R, "&gt;="&amp;INT($Y$1),
  '[1]Hoja 1'!$R:$R, "&lt;"&amp;INT($Z$1+1)
)</f>
        <v>0</v>
      </c>
      <c r="X121" s="1">
        <f t="shared" si="41"/>
        <v>0</v>
      </c>
      <c r="Y121" s="9">
        <f t="shared" si="42"/>
        <v>0</v>
      </c>
      <c r="Z121" s="10">
        <f t="shared" si="43"/>
        <v>0</v>
      </c>
      <c r="AA121" s="1">
        <f>SUMIFS(
  '[1]Hoja 1'!$M:$M,
  '[1]Hoja 1'!$S:$S, $A121,
  '[1]Hoja 1'!$R:$R, "&gt;="&amp;INT($AC$1),
  '[1]Hoja 1'!$R:$R, "&lt;"&amp;INT($AD$1+1)
)</f>
        <v>0</v>
      </c>
      <c r="AB121" s="1">
        <f t="shared" si="44"/>
        <v>0</v>
      </c>
      <c r="AC121" s="9">
        <f t="shared" si="45"/>
        <v>0</v>
      </c>
      <c r="AD121" s="10">
        <f t="shared" si="46"/>
        <v>0</v>
      </c>
      <c r="AE121" s="1">
        <f>SUMIFS(
  '[1]Hoja 1'!$M:$M,
  '[1]Hoja 1'!$S:$S, $A121,
  '[1]Hoja 1'!$R:$R, "&gt;="&amp;INT($AG$1),
  '[1]Hoja 1'!$R:$R, "&lt;"&amp;INT($AH$1+1)
)</f>
        <v>0</v>
      </c>
      <c r="AF121" s="1">
        <f t="shared" si="47"/>
        <v>0</v>
      </c>
      <c r="AG121" s="9">
        <f t="shared" si="48"/>
        <v>0</v>
      </c>
      <c r="AH121" s="10">
        <f t="shared" si="49"/>
        <v>0</v>
      </c>
      <c r="AI121" s="1">
        <f>SUMIFS(
  '[1]Hoja 1'!$M:$M,
  '[1]Hoja 1'!$S:$S, $A121,
  '[1]Hoja 1'!$R:$R, "&gt;="&amp;INT($AK$1),
  '[1]Hoja 1'!$R:$R, "&lt;"&amp;INT($AJ$1+1)
)</f>
        <v>0</v>
      </c>
      <c r="AJ121" s="1">
        <f t="shared" si="50"/>
        <v>0</v>
      </c>
      <c r="AK121" s="9">
        <f t="shared" si="51"/>
        <v>0</v>
      </c>
      <c r="AL121" s="10">
        <f t="shared" si="52"/>
        <v>0</v>
      </c>
      <c r="AM121" s="1">
        <f>SUMIFS(
  '[1]Hoja 1'!$M:$M,
  '[1]Hoja 1'!$S:$S, $A121,
  '[1]Hoja 1'!$R:$R, "&gt;="&amp;INT($AO$1),
  '[1]Hoja 1'!$R:$R, "&lt;"&amp;INT($AP$1+1)
)</f>
        <v>0</v>
      </c>
      <c r="AN121" s="1">
        <f t="shared" si="53"/>
        <v>0</v>
      </c>
      <c r="AO121" s="9">
        <f t="shared" si="54"/>
        <v>0</v>
      </c>
      <c r="AP121" s="10">
        <f t="shared" si="55"/>
        <v>0</v>
      </c>
      <c r="AQ121" s="1">
        <f>SUMIFS(
  '[1]Hoja 1'!$M:$M,
  '[1]Hoja 1'!$S:$S, $A121,
  '[1]Hoja 1'!$R:$R, "&gt;="&amp;INT($AS$1),
  '[1]Hoja 1'!$R:$R, "&lt;"&amp;INT($AT$1+1)
)</f>
        <v>0</v>
      </c>
      <c r="AR121" s="1">
        <f t="shared" si="56"/>
        <v>0</v>
      </c>
      <c r="AS121" s="9">
        <f t="shared" si="57"/>
        <v>0</v>
      </c>
      <c r="AT121" s="10">
        <f t="shared" si="58"/>
        <v>0</v>
      </c>
      <c r="AU121" s="1">
        <f>SUMIFS(
  '[1]Hoja 1'!$M:$M,
  '[1]Hoja 1'!$S:$S, $A121,
  '[1]Hoja 1'!$R:$R, "&gt;="&amp;INT($AW$1),
  '[1]Hoja 1'!$R:$R, "&lt;"&amp;INT($AX$1+1)
)</f>
        <v>0</v>
      </c>
      <c r="AV121" s="1">
        <f t="shared" si="59"/>
        <v>0</v>
      </c>
      <c r="AW121" s="9">
        <f t="shared" si="60"/>
        <v>0</v>
      </c>
      <c r="AX121" s="10">
        <f t="shared" si="61"/>
        <v>0</v>
      </c>
    </row>
    <row r="122" spans="1:50" x14ac:dyDescent="0.25">
      <c r="A122" s="5">
        <v>221001</v>
      </c>
      <c r="B122" s="6" t="s">
        <v>119</v>
      </c>
      <c r="C122" s="1">
        <f>SUMIFS(
  '[1]Hoja 1'!$M:$M,
  '[1]Hoja 1'!$S:$S, $A122,
  '[1]Hoja 1'!$R:$R, "&gt;="&amp;INT($E$1),
  '[1]Hoja 1'!$R:$R, "&lt;"&amp;INT($F$1+1)
)</f>
        <v>0</v>
      </c>
      <c r="D122" s="1" t="str">
        <f>""</f>
        <v/>
      </c>
      <c r="F122" s="2"/>
      <c r="G122" s="1">
        <f>SUMIFS(
  '[1]Hoja 1'!$M:$M,
  '[1]Hoja 1'!$S:$S, $A122,
  '[1]Hoja 1'!$R:$R, "&gt;="&amp;INT($I$1),
  '[1]Hoja 1'!$R:$R, "&lt;"&amp;INT($J$1+1)
)</f>
        <v>0</v>
      </c>
      <c r="H122" s="1">
        <f t="shared" si="31"/>
        <v>0</v>
      </c>
      <c r="I122" s="1"/>
      <c r="J122" s="2"/>
      <c r="K122" s="1">
        <f>SUMIFS(
  '[1]Hoja 1'!$M:$M,
  '[1]Hoja 1'!$S:$S, $A122,
  '[1]Hoja 1'!$R:$R, "&gt;="&amp;INT($M$1),
  '[1]Hoja 1'!$R:$R, "&lt;"&amp;INT($N$1+1)
)</f>
        <v>0</v>
      </c>
      <c r="L122" s="1">
        <f t="shared" si="32"/>
        <v>0</v>
      </c>
      <c r="M122" s="9">
        <f t="shared" si="33"/>
        <v>0</v>
      </c>
      <c r="N122" s="10">
        <f t="shared" si="34"/>
        <v>0</v>
      </c>
      <c r="O122" s="1">
        <f>SUMIFS(
  '[1]Hoja 1'!$M:$M,
  '[1]Hoja 1'!$S:$S, $A122,
  '[1]Hoja 1'!$R:$R, "&gt;="&amp;INT($Q$1),
  '[1]Hoja 1'!$R:$R, "&lt;"&amp;INT($R$1+1)
)</f>
        <v>0</v>
      </c>
      <c r="P122" s="1">
        <f t="shared" si="35"/>
        <v>0</v>
      </c>
      <c r="Q122" s="9">
        <f t="shared" si="36"/>
        <v>0</v>
      </c>
      <c r="R122" s="10">
        <f t="shared" si="37"/>
        <v>0</v>
      </c>
      <c r="S122" s="1">
        <f>SUMIFS(
  '[1]Hoja 1'!$M:$M,
  '[1]Hoja 1'!$S:$S, $A122,
  '[1]Hoja 1'!$R:$R, "&gt;="&amp;INT($U$1),
  '[1]Hoja 1'!$R:$R, "&lt;"&amp;INT($V$1+1)
)</f>
        <v>0</v>
      </c>
      <c r="T122" s="1">
        <f t="shared" si="38"/>
        <v>0</v>
      </c>
      <c r="U122" s="9">
        <f t="shared" si="39"/>
        <v>-1.47</v>
      </c>
      <c r="V122" s="10">
        <f t="shared" si="40"/>
        <v>1.47</v>
      </c>
      <c r="W122" s="1">
        <f>SUMIFS(
  '[1]Hoja 1'!$M:$M,
  '[1]Hoja 1'!$S:$S, $A122,
  '[1]Hoja 1'!$R:$R, "&gt;="&amp;INT($Y$1),
  '[1]Hoja 1'!$R:$R, "&lt;"&amp;INT($Z$1+1)
)</f>
        <v>0</v>
      </c>
      <c r="X122" s="1">
        <f t="shared" si="41"/>
        <v>0</v>
      </c>
      <c r="Y122" s="9">
        <f t="shared" si="42"/>
        <v>0</v>
      </c>
      <c r="Z122" s="10">
        <f t="shared" si="43"/>
        <v>0</v>
      </c>
      <c r="AA122" s="1">
        <f>SUMIFS(
  '[1]Hoja 1'!$M:$M,
  '[1]Hoja 1'!$S:$S, $A122,
  '[1]Hoja 1'!$R:$R, "&gt;="&amp;INT($AC$1),
  '[1]Hoja 1'!$R:$R, "&lt;"&amp;INT($AD$1+1)
)</f>
        <v>0</v>
      </c>
      <c r="AB122" s="1">
        <f t="shared" si="44"/>
        <v>0</v>
      </c>
      <c r="AC122" s="9">
        <f t="shared" si="45"/>
        <v>0</v>
      </c>
      <c r="AD122" s="10">
        <f t="shared" si="46"/>
        <v>0</v>
      </c>
      <c r="AE122" s="1">
        <f>SUMIFS(
  '[1]Hoja 1'!$M:$M,
  '[1]Hoja 1'!$S:$S, $A122,
  '[1]Hoja 1'!$R:$R, "&gt;="&amp;INT($AG$1),
  '[1]Hoja 1'!$R:$R, "&lt;"&amp;INT($AH$1+1)
)</f>
        <v>0</v>
      </c>
      <c r="AF122" s="1">
        <f t="shared" si="47"/>
        <v>0</v>
      </c>
      <c r="AG122" s="9">
        <f t="shared" si="48"/>
        <v>0</v>
      </c>
      <c r="AH122" s="10">
        <f t="shared" si="49"/>
        <v>0</v>
      </c>
      <c r="AI122" s="1">
        <f>SUMIFS(
  '[1]Hoja 1'!$M:$M,
  '[1]Hoja 1'!$S:$S, $A122,
  '[1]Hoja 1'!$R:$R, "&gt;="&amp;INT($AK$1),
  '[1]Hoja 1'!$R:$R, "&lt;"&amp;INT($AJ$1+1)
)</f>
        <v>0</v>
      </c>
      <c r="AJ122" s="1">
        <f t="shared" si="50"/>
        <v>0</v>
      </c>
      <c r="AK122" s="9">
        <f t="shared" si="51"/>
        <v>0</v>
      </c>
      <c r="AL122" s="10">
        <f t="shared" si="52"/>
        <v>0</v>
      </c>
      <c r="AM122" s="1">
        <f>SUMIFS(
  '[1]Hoja 1'!$M:$M,
  '[1]Hoja 1'!$S:$S, $A122,
  '[1]Hoja 1'!$R:$R, "&gt;="&amp;INT($AO$1),
  '[1]Hoja 1'!$R:$R, "&lt;"&amp;INT($AP$1+1)
)</f>
        <v>0</v>
      </c>
      <c r="AN122" s="1">
        <f t="shared" si="53"/>
        <v>0</v>
      </c>
      <c r="AO122" s="9">
        <f t="shared" si="54"/>
        <v>0</v>
      </c>
      <c r="AP122" s="10">
        <f t="shared" si="55"/>
        <v>0</v>
      </c>
      <c r="AQ122" s="1">
        <f>SUMIFS(
  '[1]Hoja 1'!$M:$M,
  '[1]Hoja 1'!$S:$S, $A122,
  '[1]Hoja 1'!$R:$R, "&gt;="&amp;INT($AS$1),
  '[1]Hoja 1'!$R:$R, "&lt;"&amp;INT($AT$1+1)
)</f>
        <v>0</v>
      </c>
      <c r="AR122" s="1">
        <f t="shared" si="56"/>
        <v>0</v>
      </c>
      <c r="AS122" s="9">
        <f t="shared" si="57"/>
        <v>0</v>
      </c>
      <c r="AT122" s="10">
        <f t="shared" si="58"/>
        <v>0</v>
      </c>
      <c r="AU122" s="1">
        <f>SUMIFS(
  '[1]Hoja 1'!$M:$M,
  '[1]Hoja 1'!$S:$S, $A122,
  '[1]Hoja 1'!$R:$R, "&gt;="&amp;INT($AW$1),
  '[1]Hoja 1'!$R:$R, "&lt;"&amp;INT($AX$1+1)
)</f>
        <v>0</v>
      </c>
      <c r="AV122" s="1">
        <f t="shared" si="59"/>
        <v>0</v>
      </c>
      <c r="AW122" s="9">
        <f t="shared" si="60"/>
        <v>0</v>
      </c>
      <c r="AX122" s="10">
        <f t="shared" si="61"/>
        <v>0</v>
      </c>
    </row>
    <row r="123" spans="1:50" x14ac:dyDescent="0.25">
      <c r="A123" s="5">
        <v>221002</v>
      </c>
      <c r="B123" s="6" t="s">
        <v>120</v>
      </c>
      <c r="C123" s="1">
        <f>SUMIFS(
  '[1]Hoja 1'!$M:$M,
  '[1]Hoja 1'!$S:$S, $A123,
  '[1]Hoja 1'!$R:$R, "&gt;="&amp;INT($E$1),
  '[1]Hoja 1'!$R:$R, "&lt;"&amp;INT($F$1+1)
)</f>
        <v>0</v>
      </c>
      <c r="D123" s="1" t="str">
        <f>""</f>
        <v/>
      </c>
      <c r="F123" s="2"/>
      <c r="G123" s="1">
        <f>SUMIFS(
  '[1]Hoja 1'!$M:$M,
  '[1]Hoja 1'!$S:$S, $A123,
  '[1]Hoja 1'!$R:$R, "&gt;="&amp;INT($I$1),
  '[1]Hoja 1'!$R:$R, "&lt;"&amp;INT($J$1+1)
)</f>
        <v>0</v>
      </c>
      <c r="H123" s="1">
        <f t="shared" si="31"/>
        <v>0</v>
      </c>
      <c r="I123" s="1"/>
      <c r="J123" s="2"/>
      <c r="K123" s="1">
        <f>SUMIFS(
  '[1]Hoja 1'!$M:$M,
  '[1]Hoja 1'!$S:$S, $A123,
  '[1]Hoja 1'!$R:$R, "&gt;="&amp;INT($M$1),
  '[1]Hoja 1'!$R:$R, "&lt;"&amp;INT($N$1+1)
)</f>
        <v>0</v>
      </c>
      <c r="L123" s="1">
        <f t="shared" si="32"/>
        <v>0</v>
      </c>
      <c r="M123" s="9">
        <f t="shared" si="33"/>
        <v>0</v>
      </c>
      <c r="N123" s="10">
        <f t="shared" si="34"/>
        <v>0</v>
      </c>
      <c r="O123" s="1">
        <f>SUMIFS(
  '[1]Hoja 1'!$M:$M,
  '[1]Hoja 1'!$S:$S, $A123,
  '[1]Hoja 1'!$R:$R, "&gt;="&amp;INT($Q$1),
  '[1]Hoja 1'!$R:$R, "&lt;"&amp;INT($R$1+1)
)</f>
        <v>0</v>
      </c>
      <c r="P123" s="1">
        <f t="shared" si="35"/>
        <v>0</v>
      </c>
      <c r="Q123" s="9">
        <f t="shared" si="36"/>
        <v>0</v>
      </c>
      <c r="R123" s="10">
        <f t="shared" si="37"/>
        <v>0</v>
      </c>
      <c r="S123" s="1">
        <f>SUMIFS(
  '[1]Hoja 1'!$M:$M,
  '[1]Hoja 1'!$S:$S, $A123,
  '[1]Hoja 1'!$R:$R, "&gt;="&amp;INT($U$1),
  '[1]Hoja 1'!$R:$R, "&lt;"&amp;INT($V$1+1)
)</f>
        <v>0</v>
      </c>
      <c r="T123" s="1">
        <f t="shared" si="38"/>
        <v>0</v>
      </c>
      <c r="U123" s="9">
        <f t="shared" si="39"/>
        <v>-1.47</v>
      </c>
      <c r="V123" s="10">
        <f t="shared" si="40"/>
        <v>1.47</v>
      </c>
      <c r="W123" s="1">
        <f>SUMIFS(
  '[1]Hoja 1'!$M:$M,
  '[1]Hoja 1'!$S:$S, $A123,
  '[1]Hoja 1'!$R:$R, "&gt;="&amp;INT($Y$1),
  '[1]Hoja 1'!$R:$R, "&lt;"&amp;INT($Z$1+1)
)</f>
        <v>0</v>
      </c>
      <c r="X123" s="1">
        <f t="shared" si="41"/>
        <v>0</v>
      </c>
      <c r="Y123" s="9">
        <f t="shared" si="42"/>
        <v>0</v>
      </c>
      <c r="Z123" s="10">
        <f t="shared" si="43"/>
        <v>0</v>
      </c>
      <c r="AA123" s="1">
        <f>SUMIFS(
  '[1]Hoja 1'!$M:$M,
  '[1]Hoja 1'!$S:$S, $A123,
  '[1]Hoja 1'!$R:$R, "&gt;="&amp;INT($AC$1),
  '[1]Hoja 1'!$R:$R, "&lt;"&amp;INT($AD$1+1)
)</f>
        <v>0</v>
      </c>
      <c r="AB123" s="1">
        <f t="shared" si="44"/>
        <v>0</v>
      </c>
      <c r="AC123" s="9">
        <f t="shared" si="45"/>
        <v>0</v>
      </c>
      <c r="AD123" s="10">
        <f t="shared" si="46"/>
        <v>0</v>
      </c>
      <c r="AE123" s="1">
        <f>SUMIFS(
  '[1]Hoja 1'!$M:$M,
  '[1]Hoja 1'!$S:$S, $A123,
  '[1]Hoja 1'!$R:$R, "&gt;="&amp;INT($AG$1),
  '[1]Hoja 1'!$R:$R, "&lt;"&amp;INT($AH$1+1)
)</f>
        <v>0</v>
      </c>
      <c r="AF123" s="1">
        <f t="shared" si="47"/>
        <v>0</v>
      </c>
      <c r="AG123" s="9">
        <f t="shared" si="48"/>
        <v>0</v>
      </c>
      <c r="AH123" s="10">
        <f t="shared" si="49"/>
        <v>0</v>
      </c>
      <c r="AI123" s="1">
        <f>SUMIFS(
  '[1]Hoja 1'!$M:$M,
  '[1]Hoja 1'!$S:$S, $A123,
  '[1]Hoja 1'!$R:$R, "&gt;="&amp;INT($AK$1),
  '[1]Hoja 1'!$R:$R, "&lt;"&amp;INT($AJ$1+1)
)</f>
        <v>0</v>
      </c>
      <c r="AJ123" s="1">
        <f t="shared" si="50"/>
        <v>0</v>
      </c>
      <c r="AK123" s="9">
        <f t="shared" si="51"/>
        <v>0</v>
      </c>
      <c r="AL123" s="10">
        <f t="shared" si="52"/>
        <v>0</v>
      </c>
      <c r="AM123" s="1">
        <f>SUMIFS(
  '[1]Hoja 1'!$M:$M,
  '[1]Hoja 1'!$S:$S, $A123,
  '[1]Hoja 1'!$R:$R, "&gt;="&amp;INT($AO$1),
  '[1]Hoja 1'!$R:$R, "&lt;"&amp;INT($AP$1+1)
)</f>
        <v>0</v>
      </c>
      <c r="AN123" s="1">
        <f t="shared" si="53"/>
        <v>0</v>
      </c>
      <c r="AO123" s="9">
        <f t="shared" si="54"/>
        <v>0</v>
      </c>
      <c r="AP123" s="10">
        <f t="shared" si="55"/>
        <v>0</v>
      </c>
      <c r="AQ123" s="1">
        <f>SUMIFS(
  '[1]Hoja 1'!$M:$M,
  '[1]Hoja 1'!$S:$S, $A123,
  '[1]Hoja 1'!$R:$R, "&gt;="&amp;INT($AS$1),
  '[1]Hoja 1'!$R:$R, "&lt;"&amp;INT($AT$1+1)
)</f>
        <v>0</v>
      </c>
      <c r="AR123" s="1">
        <f t="shared" si="56"/>
        <v>0</v>
      </c>
      <c r="AS123" s="9">
        <f t="shared" si="57"/>
        <v>0</v>
      </c>
      <c r="AT123" s="10">
        <f t="shared" si="58"/>
        <v>0</v>
      </c>
      <c r="AU123" s="1">
        <f>SUMIFS(
  '[1]Hoja 1'!$M:$M,
  '[1]Hoja 1'!$S:$S, $A123,
  '[1]Hoja 1'!$R:$R, "&gt;="&amp;INT($AW$1),
  '[1]Hoja 1'!$R:$R, "&lt;"&amp;INT($AX$1+1)
)</f>
        <v>0</v>
      </c>
      <c r="AV123" s="1">
        <f t="shared" si="59"/>
        <v>0</v>
      </c>
      <c r="AW123" s="9">
        <f t="shared" si="60"/>
        <v>0</v>
      </c>
      <c r="AX123" s="10">
        <f t="shared" si="61"/>
        <v>0</v>
      </c>
    </row>
    <row r="124" spans="1:50" x14ac:dyDescent="0.25">
      <c r="A124" s="5">
        <v>221003</v>
      </c>
      <c r="B124" s="6" t="s">
        <v>121</v>
      </c>
      <c r="C124" s="1">
        <f>SUMIFS(
  '[1]Hoja 1'!$M:$M,
  '[1]Hoja 1'!$S:$S, $A124,
  '[1]Hoja 1'!$R:$R, "&gt;="&amp;INT($E$1),
  '[1]Hoja 1'!$R:$R, "&lt;"&amp;INT($F$1+1)
)</f>
        <v>0</v>
      </c>
      <c r="D124" s="1" t="str">
        <f>""</f>
        <v/>
      </c>
      <c r="F124" s="2"/>
      <c r="G124" s="1">
        <f>SUMIFS(
  '[1]Hoja 1'!$M:$M,
  '[1]Hoja 1'!$S:$S, $A124,
  '[1]Hoja 1'!$R:$R, "&gt;="&amp;INT($I$1),
  '[1]Hoja 1'!$R:$R, "&lt;"&amp;INT($J$1+1)
)</f>
        <v>0</v>
      </c>
      <c r="H124" s="1">
        <f t="shared" si="31"/>
        <v>0</v>
      </c>
      <c r="I124" s="1"/>
      <c r="J124" s="2"/>
      <c r="K124" s="1">
        <f>SUMIFS(
  '[1]Hoja 1'!$M:$M,
  '[1]Hoja 1'!$S:$S, $A124,
  '[1]Hoja 1'!$R:$R, "&gt;="&amp;INT($M$1),
  '[1]Hoja 1'!$R:$R, "&lt;"&amp;INT($N$1+1)
)</f>
        <v>0</v>
      </c>
      <c r="L124" s="1">
        <f t="shared" si="32"/>
        <v>0</v>
      </c>
      <c r="M124" s="9">
        <f t="shared" si="33"/>
        <v>0</v>
      </c>
      <c r="N124" s="10">
        <f t="shared" si="34"/>
        <v>0</v>
      </c>
      <c r="O124" s="1">
        <f>SUMIFS(
  '[1]Hoja 1'!$M:$M,
  '[1]Hoja 1'!$S:$S, $A124,
  '[1]Hoja 1'!$R:$R, "&gt;="&amp;INT($Q$1),
  '[1]Hoja 1'!$R:$R, "&lt;"&amp;INT($R$1+1)
)</f>
        <v>0</v>
      </c>
      <c r="P124" s="1">
        <f t="shared" si="35"/>
        <v>0</v>
      </c>
      <c r="Q124" s="9">
        <f t="shared" si="36"/>
        <v>0</v>
      </c>
      <c r="R124" s="10">
        <f t="shared" si="37"/>
        <v>0</v>
      </c>
      <c r="S124" s="1">
        <f>SUMIFS(
  '[1]Hoja 1'!$M:$M,
  '[1]Hoja 1'!$S:$S, $A124,
  '[1]Hoja 1'!$R:$R, "&gt;="&amp;INT($U$1),
  '[1]Hoja 1'!$R:$R, "&lt;"&amp;INT($V$1+1)
)</f>
        <v>0</v>
      </c>
      <c r="T124" s="1">
        <f t="shared" si="38"/>
        <v>0</v>
      </c>
      <c r="U124" s="9">
        <f t="shared" si="39"/>
        <v>-1.47</v>
      </c>
      <c r="V124" s="10">
        <f t="shared" si="40"/>
        <v>1.47</v>
      </c>
      <c r="W124" s="1">
        <f>SUMIFS(
  '[1]Hoja 1'!$M:$M,
  '[1]Hoja 1'!$S:$S, $A124,
  '[1]Hoja 1'!$R:$R, "&gt;="&amp;INT($Y$1),
  '[1]Hoja 1'!$R:$R, "&lt;"&amp;INT($Z$1+1)
)</f>
        <v>0</v>
      </c>
      <c r="X124" s="1">
        <f t="shared" si="41"/>
        <v>0</v>
      </c>
      <c r="Y124" s="9">
        <f t="shared" si="42"/>
        <v>0</v>
      </c>
      <c r="Z124" s="10">
        <f t="shared" si="43"/>
        <v>0</v>
      </c>
      <c r="AA124" s="1">
        <f>SUMIFS(
  '[1]Hoja 1'!$M:$M,
  '[1]Hoja 1'!$S:$S, $A124,
  '[1]Hoja 1'!$R:$R, "&gt;="&amp;INT($AC$1),
  '[1]Hoja 1'!$R:$R, "&lt;"&amp;INT($AD$1+1)
)</f>
        <v>0</v>
      </c>
      <c r="AB124" s="1">
        <f t="shared" si="44"/>
        <v>0</v>
      </c>
      <c r="AC124" s="9">
        <f t="shared" si="45"/>
        <v>0</v>
      </c>
      <c r="AD124" s="10">
        <f t="shared" si="46"/>
        <v>0</v>
      </c>
      <c r="AE124" s="1">
        <f>SUMIFS(
  '[1]Hoja 1'!$M:$M,
  '[1]Hoja 1'!$S:$S, $A124,
  '[1]Hoja 1'!$R:$R, "&gt;="&amp;INT($AG$1),
  '[1]Hoja 1'!$R:$R, "&lt;"&amp;INT($AH$1+1)
)</f>
        <v>0</v>
      </c>
      <c r="AF124" s="1">
        <f t="shared" si="47"/>
        <v>0</v>
      </c>
      <c r="AG124" s="9">
        <f t="shared" si="48"/>
        <v>0</v>
      </c>
      <c r="AH124" s="10">
        <f t="shared" si="49"/>
        <v>0</v>
      </c>
      <c r="AI124" s="1">
        <f>SUMIFS(
  '[1]Hoja 1'!$M:$M,
  '[1]Hoja 1'!$S:$S, $A124,
  '[1]Hoja 1'!$R:$R, "&gt;="&amp;INT($AK$1),
  '[1]Hoja 1'!$R:$R, "&lt;"&amp;INT($AJ$1+1)
)</f>
        <v>0</v>
      </c>
      <c r="AJ124" s="1">
        <f t="shared" si="50"/>
        <v>0</v>
      </c>
      <c r="AK124" s="9">
        <f t="shared" si="51"/>
        <v>0</v>
      </c>
      <c r="AL124" s="10">
        <f t="shared" si="52"/>
        <v>0</v>
      </c>
      <c r="AM124" s="1">
        <f>SUMIFS(
  '[1]Hoja 1'!$M:$M,
  '[1]Hoja 1'!$S:$S, $A124,
  '[1]Hoja 1'!$R:$R, "&gt;="&amp;INT($AO$1),
  '[1]Hoja 1'!$R:$R, "&lt;"&amp;INT($AP$1+1)
)</f>
        <v>0</v>
      </c>
      <c r="AN124" s="1">
        <f t="shared" si="53"/>
        <v>0</v>
      </c>
      <c r="AO124" s="9">
        <f t="shared" si="54"/>
        <v>0</v>
      </c>
      <c r="AP124" s="10">
        <f t="shared" si="55"/>
        <v>0</v>
      </c>
      <c r="AQ124" s="1">
        <f>SUMIFS(
  '[1]Hoja 1'!$M:$M,
  '[1]Hoja 1'!$S:$S, $A124,
  '[1]Hoja 1'!$R:$R, "&gt;="&amp;INT($AS$1),
  '[1]Hoja 1'!$R:$R, "&lt;"&amp;INT($AT$1+1)
)</f>
        <v>0</v>
      </c>
      <c r="AR124" s="1">
        <f t="shared" si="56"/>
        <v>0</v>
      </c>
      <c r="AS124" s="9">
        <f t="shared" si="57"/>
        <v>0</v>
      </c>
      <c r="AT124" s="10">
        <f t="shared" si="58"/>
        <v>0</v>
      </c>
      <c r="AU124" s="1">
        <f>SUMIFS(
  '[1]Hoja 1'!$M:$M,
  '[1]Hoja 1'!$S:$S, $A124,
  '[1]Hoja 1'!$R:$R, "&gt;="&amp;INT($AW$1),
  '[1]Hoja 1'!$R:$R, "&lt;"&amp;INT($AX$1+1)
)</f>
        <v>0</v>
      </c>
      <c r="AV124" s="1">
        <f t="shared" si="59"/>
        <v>0</v>
      </c>
      <c r="AW124" s="9">
        <f t="shared" si="60"/>
        <v>0</v>
      </c>
      <c r="AX124" s="10">
        <f t="shared" si="61"/>
        <v>0</v>
      </c>
    </row>
    <row r="125" spans="1:50" x14ac:dyDescent="0.25">
      <c r="A125" s="5">
        <v>221004</v>
      </c>
      <c r="B125" s="6" t="s">
        <v>122</v>
      </c>
      <c r="C125" s="1">
        <f>SUMIFS(
  '[1]Hoja 1'!$M:$M,
  '[1]Hoja 1'!$S:$S, $A125,
  '[1]Hoja 1'!$R:$R, "&gt;="&amp;INT($E$1),
  '[1]Hoja 1'!$R:$R, "&lt;"&amp;INT($F$1+1)
)</f>
        <v>0</v>
      </c>
      <c r="D125" s="1" t="str">
        <f>""</f>
        <v/>
      </c>
      <c r="F125" s="2"/>
      <c r="G125" s="1">
        <f>SUMIFS(
  '[1]Hoja 1'!$M:$M,
  '[1]Hoja 1'!$S:$S, $A125,
  '[1]Hoja 1'!$R:$R, "&gt;="&amp;INT($I$1),
  '[1]Hoja 1'!$R:$R, "&lt;"&amp;INT($J$1+1)
)</f>
        <v>0</v>
      </c>
      <c r="H125" s="1">
        <f t="shared" si="31"/>
        <v>0</v>
      </c>
      <c r="I125" s="1"/>
      <c r="J125" s="2"/>
      <c r="K125" s="1">
        <f>SUMIFS(
  '[1]Hoja 1'!$M:$M,
  '[1]Hoja 1'!$S:$S, $A125,
  '[1]Hoja 1'!$R:$R, "&gt;="&amp;INT($M$1),
  '[1]Hoja 1'!$R:$R, "&lt;"&amp;INT($N$1+1)
)</f>
        <v>0</v>
      </c>
      <c r="L125" s="1">
        <f t="shared" si="32"/>
        <v>0</v>
      </c>
      <c r="M125" s="9">
        <f t="shared" si="33"/>
        <v>0</v>
      </c>
      <c r="N125" s="10">
        <f t="shared" si="34"/>
        <v>0</v>
      </c>
      <c r="O125" s="1">
        <f>SUMIFS(
  '[1]Hoja 1'!$M:$M,
  '[1]Hoja 1'!$S:$S, $A125,
  '[1]Hoja 1'!$R:$R, "&gt;="&amp;INT($Q$1),
  '[1]Hoja 1'!$R:$R, "&lt;"&amp;INT($R$1+1)
)</f>
        <v>0</v>
      </c>
      <c r="P125" s="1">
        <f t="shared" si="35"/>
        <v>0</v>
      </c>
      <c r="Q125" s="9">
        <f t="shared" si="36"/>
        <v>0</v>
      </c>
      <c r="R125" s="10">
        <f t="shared" si="37"/>
        <v>0</v>
      </c>
      <c r="S125" s="1">
        <f>SUMIFS(
  '[1]Hoja 1'!$M:$M,
  '[1]Hoja 1'!$S:$S, $A125,
  '[1]Hoja 1'!$R:$R, "&gt;="&amp;INT($U$1),
  '[1]Hoja 1'!$R:$R, "&lt;"&amp;INT($V$1+1)
)</f>
        <v>0</v>
      </c>
      <c r="T125" s="1">
        <f t="shared" si="38"/>
        <v>0</v>
      </c>
      <c r="U125" s="9">
        <f t="shared" si="39"/>
        <v>-1.47</v>
      </c>
      <c r="V125" s="10">
        <f t="shared" si="40"/>
        <v>1.47</v>
      </c>
      <c r="W125" s="1">
        <f>SUMIFS(
  '[1]Hoja 1'!$M:$M,
  '[1]Hoja 1'!$S:$S, $A125,
  '[1]Hoja 1'!$R:$R, "&gt;="&amp;INT($Y$1),
  '[1]Hoja 1'!$R:$R, "&lt;"&amp;INT($Z$1+1)
)</f>
        <v>0</v>
      </c>
      <c r="X125" s="1">
        <f t="shared" si="41"/>
        <v>0</v>
      </c>
      <c r="Y125" s="9">
        <f t="shared" si="42"/>
        <v>0</v>
      </c>
      <c r="Z125" s="10">
        <f t="shared" si="43"/>
        <v>0</v>
      </c>
      <c r="AA125" s="1">
        <f>SUMIFS(
  '[1]Hoja 1'!$M:$M,
  '[1]Hoja 1'!$S:$S, $A125,
  '[1]Hoja 1'!$R:$R, "&gt;="&amp;INT($AC$1),
  '[1]Hoja 1'!$R:$R, "&lt;"&amp;INT($AD$1+1)
)</f>
        <v>0</v>
      </c>
      <c r="AB125" s="1">
        <f t="shared" si="44"/>
        <v>0</v>
      </c>
      <c r="AC125" s="9">
        <f t="shared" si="45"/>
        <v>0</v>
      </c>
      <c r="AD125" s="10">
        <f t="shared" si="46"/>
        <v>0</v>
      </c>
      <c r="AE125" s="1">
        <f>SUMIFS(
  '[1]Hoja 1'!$M:$M,
  '[1]Hoja 1'!$S:$S, $A125,
  '[1]Hoja 1'!$R:$R, "&gt;="&amp;INT($AG$1),
  '[1]Hoja 1'!$R:$R, "&lt;"&amp;INT($AH$1+1)
)</f>
        <v>0</v>
      </c>
      <c r="AF125" s="1">
        <f t="shared" si="47"/>
        <v>0</v>
      </c>
      <c r="AG125" s="9">
        <f t="shared" si="48"/>
        <v>0</v>
      </c>
      <c r="AH125" s="10">
        <f t="shared" si="49"/>
        <v>0</v>
      </c>
      <c r="AI125" s="1">
        <f>SUMIFS(
  '[1]Hoja 1'!$M:$M,
  '[1]Hoja 1'!$S:$S, $A125,
  '[1]Hoja 1'!$R:$R, "&gt;="&amp;INT($AK$1),
  '[1]Hoja 1'!$R:$R, "&lt;"&amp;INT($AJ$1+1)
)</f>
        <v>0</v>
      </c>
      <c r="AJ125" s="1">
        <f t="shared" si="50"/>
        <v>0</v>
      </c>
      <c r="AK125" s="9">
        <f t="shared" si="51"/>
        <v>0</v>
      </c>
      <c r="AL125" s="10">
        <f t="shared" si="52"/>
        <v>0</v>
      </c>
      <c r="AM125" s="1">
        <f>SUMIFS(
  '[1]Hoja 1'!$M:$M,
  '[1]Hoja 1'!$S:$S, $A125,
  '[1]Hoja 1'!$R:$R, "&gt;="&amp;INT($AO$1),
  '[1]Hoja 1'!$R:$R, "&lt;"&amp;INT($AP$1+1)
)</f>
        <v>0</v>
      </c>
      <c r="AN125" s="1">
        <f t="shared" si="53"/>
        <v>0</v>
      </c>
      <c r="AO125" s="9">
        <f t="shared" si="54"/>
        <v>0</v>
      </c>
      <c r="AP125" s="10">
        <f t="shared" si="55"/>
        <v>0</v>
      </c>
      <c r="AQ125" s="1">
        <f>SUMIFS(
  '[1]Hoja 1'!$M:$M,
  '[1]Hoja 1'!$S:$S, $A125,
  '[1]Hoja 1'!$R:$R, "&gt;="&amp;INT($AS$1),
  '[1]Hoja 1'!$R:$R, "&lt;"&amp;INT($AT$1+1)
)</f>
        <v>0</v>
      </c>
      <c r="AR125" s="1">
        <f t="shared" si="56"/>
        <v>0</v>
      </c>
      <c r="AS125" s="9">
        <f t="shared" si="57"/>
        <v>0</v>
      </c>
      <c r="AT125" s="10">
        <f t="shared" si="58"/>
        <v>0</v>
      </c>
      <c r="AU125" s="1">
        <f>SUMIFS(
  '[1]Hoja 1'!$M:$M,
  '[1]Hoja 1'!$S:$S, $A125,
  '[1]Hoja 1'!$R:$R, "&gt;="&amp;INT($AW$1),
  '[1]Hoja 1'!$R:$R, "&lt;"&amp;INT($AX$1+1)
)</f>
        <v>0</v>
      </c>
      <c r="AV125" s="1">
        <f t="shared" si="59"/>
        <v>0</v>
      </c>
      <c r="AW125" s="9">
        <f t="shared" si="60"/>
        <v>0</v>
      </c>
      <c r="AX125" s="10">
        <f t="shared" si="61"/>
        <v>0</v>
      </c>
    </row>
    <row r="126" spans="1:50" x14ac:dyDescent="0.25">
      <c r="A126" s="5">
        <v>221005</v>
      </c>
      <c r="B126" s="6" t="s">
        <v>123</v>
      </c>
      <c r="C126" s="1">
        <f>SUMIFS(
  '[1]Hoja 1'!$M:$M,
  '[1]Hoja 1'!$S:$S, $A126,
  '[1]Hoja 1'!$R:$R, "&gt;="&amp;INT($E$1),
  '[1]Hoja 1'!$R:$R, "&lt;"&amp;INT($F$1+1)
)</f>
        <v>0</v>
      </c>
      <c r="D126" s="1" t="str">
        <f>""</f>
        <v/>
      </c>
      <c r="F126" s="2"/>
      <c r="G126" s="1">
        <f>SUMIFS(
  '[1]Hoja 1'!$M:$M,
  '[1]Hoja 1'!$S:$S, $A126,
  '[1]Hoja 1'!$R:$R, "&gt;="&amp;INT($I$1),
  '[1]Hoja 1'!$R:$R, "&lt;"&amp;INT($J$1+1)
)</f>
        <v>0</v>
      </c>
      <c r="H126" s="1">
        <f t="shared" si="31"/>
        <v>0</v>
      </c>
      <c r="I126" s="1"/>
      <c r="J126" s="2"/>
      <c r="K126" s="1">
        <f>SUMIFS(
  '[1]Hoja 1'!$M:$M,
  '[1]Hoja 1'!$S:$S, $A126,
  '[1]Hoja 1'!$R:$R, "&gt;="&amp;INT($M$1),
  '[1]Hoja 1'!$R:$R, "&lt;"&amp;INT($N$1+1)
)</f>
        <v>0</v>
      </c>
      <c r="L126" s="1">
        <f t="shared" si="32"/>
        <v>0</v>
      </c>
      <c r="M126" s="9">
        <f t="shared" si="33"/>
        <v>0</v>
      </c>
      <c r="N126" s="10">
        <f t="shared" si="34"/>
        <v>0</v>
      </c>
      <c r="O126" s="1">
        <f>SUMIFS(
  '[1]Hoja 1'!$M:$M,
  '[1]Hoja 1'!$S:$S, $A126,
  '[1]Hoja 1'!$R:$R, "&gt;="&amp;INT($Q$1),
  '[1]Hoja 1'!$R:$R, "&lt;"&amp;INT($R$1+1)
)</f>
        <v>0</v>
      </c>
      <c r="P126" s="1">
        <f t="shared" si="35"/>
        <v>0</v>
      </c>
      <c r="Q126" s="9">
        <f t="shared" si="36"/>
        <v>0</v>
      </c>
      <c r="R126" s="10">
        <f t="shared" si="37"/>
        <v>0</v>
      </c>
      <c r="S126" s="1">
        <f>SUMIFS(
  '[1]Hoja 1'!$M:$M,
  '[1]Hoja 1'!$S:$S, $A126,
  '[1]Hoja 1'!$R:$R, "&gt;="&amp;INT($U$1),
  '[1]Hoja 1'!$R:$R, "&lt;"&amp;INT($V$1+1)
)</f>
        <v>0</v>
      </c>
      <c r="T126" s="1">
        <f t="shared" si="38"/>
        <v>0</v>
      </c>
      <c r="U126" s="9">
        <f t="shared" si="39"/>
        <v>-1.47</v>
      </c>
      <c r="V126" s="10">
        <f t="shared" si="40"/>
        <v>1.47</v>
      </c>
      <c r="W126" s="1">
        <f>SUMIFS(
  '[1]Hoja 1'!$M:$M,
  '[1]Hoja 1'!$S:$S, $A126,
  '[1]Hoja 1'!$R:$R, "&gt;="&amp;INT($Y$1),
  '[1]Hoja 1'!$R:$R, "&lt;"&amp;INT($Z$1+1)
)</f>
        <v>0</v>
      </c>
      <c r="X126" s="1">
        <f t="shared" si="41"/>
        <v>0</v>
      </c>
      <c r="Y126" s="9">
        <f t="shared" si="42"/>
        <v>0</v>
      </c>
      <c r="Z126" s="10">
        <f t="shared" si="43"/>
        <v>0</v>
      </c>
      <c r="AA126" s="1">
        <f>SUMIFS(
  '[1]Hoja 1'!$M:$M,
  '[1]Hoja 1'!$S:$S, $A126,
  '[1]Hoja 1'!$R:$R, "&gt;="&amp;INT($AC$1),
  '[1]Hoja 1'!$R:$R, "&lt;"&amp;INT($AD$1+1)
)</f>
        <v>0</v>
      </c>
      <c r="AB126" s="1">
        <f t="shared" si="44"/>
        <v>0</v>
      </c>
      <c r="AC126" s="9">
        <f t="shared" si="45"/>
        <v>0</v>
      </c>
      <c r="AD126" s="10">
        <f t="shared" si="46"/>
        <v>0</v>
      </c>
      <c r="AE126" s="1">
        <f>SUMIFS(
  '[1]Hoja 1'!$M:$M,
  '[1]Hoja 1'!$S:$S, $A126,
  '[1]Hoja 1'!$R:$R, "&gt;="&amp;INT($AG$1),
  '[1]Hoja 1'!$R:$R, "&lt;"&amp;INT($AH$1+1)
)</f>
        <v>0</v>
      </c>
      <c r="AF126" s="1">
        <f t="shared" si="47"/>
        <v>0</v>
      </c>
      <c r="AG126" s="9">
        <f t="shared" si="48"/>
        <v>0</v>
      </c>
      <c r="AH126" s="10">
        <f t="shared" si="49"/>
        <v>0</v>
      </c>
      <c r="AI126" s="1">
        <f>SUMIFS(
  '[1]Hoja 1'!$M:$M,
  '[1]Hoja 1'!$S:$S, $A126,
  '[1]Hoja 1'!$R:$R, "&gt;="&amp;INT($AK$1),
  '[1]Hoja 1'!$R:$R, "&lt;"&amp;INT($AJ$1+1)
)</f>
        <v>0</v>
      </c>
      <c r="AJ126" s="1">
        <f t="shared" si="50"/>
        <v>0</v>
      </c>
      <c r="AK126" s="9">
        <f t="shared" si="51"/>
        <v>0</v>
      </c>
      <c r="AL126" s="10">
        <f t="shared" si="52"/>
        <v>0</v>
      </c>
      <c r="AM126" s="1">
        <f>SUMIFS(
  '[1]Hoja 1'!$M:$M,
  '[1]Hoja 1'!$S:$S, $A126,
  '[1]Hoja 1'!$R:$R, "&gt;="&amp;INT($AO$1),
  '[1]Hoja 1'!$R:$R, "&lt;"&amp;INT($AP$1+1)
)</f>
        <v>0</v>
      </c>
      <c r="AN126" s="1">
        <f t="shared" si="53"/>
        <v>0</v>
      </c>
      <c r="AO126" s="9">
        <f t="shared" si="54"/>
        <v>0</v>
      </c>
      <c r="AP126" s="10">
        <f t="shared" si="55"/>
        <v>0</v>
      </c>
      <c r="AQ126" s="1">
        <f>SUMIFS(
  '[1]Hoja 1'!$M:$M,
  '[1]Hoja 1'!$S:$S, $A126,
  '[1]Hoja 1'!$R:$R, "&gt;="&amp;INT($AS$1),
  '[1]Hoja 1'!$R:$R, "&lt;"&amp;INT($AT$1+1)
)</f>
        <v>0</v>
      </c>
      <c r="AR126" s="1">
        <f t="shared" si="56"/>
        <v>0</v>
      </c>
      <c r="AS126" s="9">
        <f t="shared" si="57"/>
        <v>0</v>
      </c>
      <c r="AT126" s="10">
        <f t="shared" si="58"/>
        <v>0</v>
      </c>
      <c r="AU126" s="1">
        <f>SUMIFS(
  '[1]Hoja 1'!$M:$M,
  '[1]Hoja 1'!$S:$S, $A126,
  '[1]Hoja 1'!$R:$R, "&gt;="&amp;INT($AW$1),
  '[1]Hoja 1'!$R:$R, "&lt;"&amp;INT($AX$1+1)
)</f>
        <v>0</v>
      </c>
      <c r="AV126" s="1">
        <f t="shared" si="59"/>
        <v>0</v>
      </c>
      <c r="AW126" s="9">
        <f t="shared" si="60"/>
        <v>0</v>
      </c>
      <c r="AX126" s="10">
        <f t="shared" si="61"/>
        <v>0</v>
      </c>
    </row>
    <row r="127" spans="1:50" x14ac:dyDescent="0.25">
      <c r="A127" s="5">
        <v>222001</v>
      </c>
      <c r="B127" s="6" t="s">
        <v>124</v>
      </c>
      <c r="C127" s="1">
        <f>SUMIFS(
  '[1]Hoja 1'!$M:$M,
  '[1]Hoja 1'!$S:$S, $A127,
  '[1]Hoja 1'!$R:$R, "&gt;="&amp;INT($E$1),
  '[1]Hoja 1'!$R:$R, "&lt;"&amp;INT($F$1+1)
)</f>
        <v>48</v>
      </c>
      <c r="D127" s="1" t="str">
        <f>""</f>
        <v/>
      </c>
      <c r="F127" s="2"/>
      <c r="G127" s="1">
        <f>SUMIFS(
  '[1]Hoja 1'!$M:$M,
  '[1]Hoja 1'!$S:$S, $A127,
  '[1]Hoja 1'!$R:$R, "&gt;="&amp;INT($I$1),
  '[1]Hoja 1'!$R:$R, "&lt;"&amp;INT($J$1+1)
)</f>
        <v>18</v>
      </c>
      <c r="H127" s="1">
        <f t="shared" si="31"/>
        <v>33</v>
      </c>
      <c r="I127" s="1"/>
      <c r="J127" s="2"/>
      <c r="K127" s="1">
        <f>SUMIFS(
  '[1]Hoja 1'!$M:$M,
  '[1]Hoja 1'!$S:$S, $A127,
  '[1]Hoja 1'!$R:$R, "&gt;="&amp;INT($M$1),
  '[1]Hoja 1'!$R:$R, "&lt;"&amp;INT($N$1+1)
)</f>
        <v>0</v>
      </c>
      <c r="L127" s="1">
        <f t="shared" si="32"/>
        <v>9</v>
      </c>
      <c r="M127" s="9">
        <f t="shared" si="33"/>
        <v>0.6844242532462026</v>
      </c>
      <c r="N127" s="10">
        <f t="shared" si="34"/>
        <v>17.315575746753797</v>
      </c>
      <c r="O127" s="1">
        <f>SUMIFS(
  '[1]Hoja 1'!$M:$M,
  '[1]Hoja 1'!$S:$S, $A127,
  '[1]Hoja 1'!$R:$R, "&gt;="&amp;INT($Q$1),
  '[1]Hoja 1'!$R:$R, "&lt;"&amp;INT($R$1+1)
)</f>
        <v>0</v>
      </c>
      <c r="P127" s="1">
        <f t="shared" si="35"/>
        <v>0</v>
      </c>
      <c r="Q127" s="9">
        <f t="shared" si="36"/>
        <v>-14.797675493130669</v>
      </c>
      <c r="R127" s="10">
        <f t="shared" si="37"/>
        <v>14.797675493130669</v>
      </c>
      <c r="S127" s="1">
        <f>SUMIFS(
  '[1]Hoja 1'!$M:$M,
  '[1]Hoja 1'!$S:$S, $A127,
  '[1]Hoja 1'!$R:$R, "&gt;="&amp;INT($U$1),
  '[1]Hoja 1'!$R:$R, "&lt;"&amp;INT($V$1+1)
)</f>
        <v>0</v>
      </c>
      <c r="T127" s="1">
        <f t="shared" si="38"/>
        <v>0</v>
      </c>
      <c r="U127" s="9">
        <f t="shared" si="39"/>
        <v>-13.658612667471026</v>
      </c>
      <c r="V127" s="10">
        <f t="shared" si="40"/>
        <v>13.658612667471026</v>
      </c>
      <c r="W127" s="1">
        <f>SUMIFS(
  '[1]Hoja 1'!$M:$M,
  '[1]Hoja 1'!$S:$S, $A127,
  '[1]Hoja 1'!$R:$R, "&gt;="&amp;INT($Y$1),
  '[1]Hoja 1'!$R:$R, "&lt;"&amp;INT($Z$1+1)
)</f>
        <v>0</v>
      </c>
      <c r="X127" s="1">
        <f t="shared" si="41"/>
        <v>0</v>
      </c>
      <c r="Y127" s="9">
        <f t="shared" si="42"/>
        <v>-13.536776573468293</v>
      </c>
      <c r="Z127" s="10">
        <f t="shared" si="43"/>
        <v>13.536776573468293</v>
      </c>
      <c r="AA127" s="1">
        <f>SUMIFS(
  '[1]Hoja 1'!$M:$M,
  '[1]Hoja 1'!$S:$S, $A127,
  '[1]Hoja 1'!$R:$R, "&gt;="&amp;INT($AC$1),
  '[1]Hoja 1'!$R:$R, "&lt;"&amp;INT($AD$1+1)
)</f>
        <v>0</v>
      </c>
      <c r="AB127" s="1">
        <f t="shared" si="44"/>
        <v>0</v>
      </c>
      <c r="AC127" s="9">
        <f t="shared" si="45"/>
        <v>-12.702251768879407</v>
      </c>
      <c r="AD127" s="10">
        <f t="shared" si="46"/>
        <v>12.702251768879407</v>
      </c>
      <c r="AE127" s="1">
        <f>SUMIFS(
  '[1]Hoja 1'!$M:$M,
  '[1]Hoja 1'!$S:$S, $A127,
  '[1]Hoja 1'!$R:$R, "&gt;="&amp;INT($AG$1),
  '[1]Hoja 1'!$R:$R, "&lt;"&amp;INT($AH$1+1)
)</f>
        <v>0</v>
      </c>
      <c r="AF127" s="1">
        <f t="shared" si="47"/>
        <v>0</v>
      </c>
      <c r="AG127" s="9">
        <f t="shared" si="48"/>
        <v>-11.968157752971004</v>
      </c>
      <c r="AH127" s="10">
        <f t="shared" si="49"/>
        <v>11.968157752971004</v>
      </c>
      <c r="AI127" s="1">
        <f>SUMIFS(
  '[1]Hoja 1'!$M:$M,
  '[1]Hoja 1'!$S:$S, $A127,
  '[1]Hoja 1'!$R:$R, "&gt;="&amp;INT($AK$1),
  '[1]Hoja 1'!$R:$R, "&lt;"&amp;INT($AJ$1+1)
)</f>
        <v>0</v>
      </c>
      <c r="AJ127" s="1">
        <f t="shared" si="50"/>
        <v>0</v>
      </c>
      <c r="AK127" s="9">
        <f t="shared" si="51"/>
        <v>-11.332219553114916</v>
      </c>
      <c r="AL127" s="10">
        <f t="shared" si="52"/>
        <v>11.332219553114916</v>
      </c>
      <c r="AM127" s="1">
        <f>SUMIFS(
  '[1]Hoja 1'!$M:$M,
  '[1]Hoja 1'!$S:$S, $A127,
  '[1]Hoja 1'!$R:$R, "&gt;="&amp;INT($AO$1),
  '[1]Hoja 1'!$R:$R, "&lt;"&amp;INT($AP$1+1)
)</f>
        <v>0</v>
      </c>
      <c r="AN127" s="1">
        <f t="shared" si="53"/>
        <v>0</v>
      </c>
      <c r="AO127" s="9">
        <f t="shared" si="54"/>
        <v>-10.78</v>
      </c>
      <c r="AP127" s="10">
        <f t="shared" si="55"/>
        <v>10.78</v>
      </c>
      <c r="AQ127" s="1">
        <f>SUMIFS(
  '[1]Hoja 1'!$M:$M,
  '[1]Hoja 1'!$S:$S, $A127,
  '[1]Hoja 1'!$R:$R, "&gt;="&amp;INT($AS$1),
  '[1]Hoja 1'!$R:$R, "&lt;"&amp;INT($AT$1+1)
)</f>
        <v>0</v>
      </c>
      <c r="AR127" s="1">
        <f t="shared" si="56"/>
        <v>0</v>
      </c>
      <c r="AS127" s="9">
        <f t="shared" si="57"/>
        <v>-10.296997620665939</v>
      </c>
      <c r="AT127" s="10">
        <f t="shared" si="58"/>
        <v>10.296997620665939</v>
      </c>
      <c r="AU127" s="1">
        <f>SUMIFS(
  '[1]Hoja 1'!$M:$M,
  '[1]Hoja 1'!$S:$S, $A127,
  '[1]Hoja 1'!$R:$R, "&gt;="&amp;INT($AW$1),
  '[1]Hoja 1'!$R:$R, "&lt;"&amp;INT($AX$1+1)
)</f>
        <v>0</v>
      </c>
      <c r="AV127" s="1">
        <f t="shared" si="59"/>
        <v>0</v>
      </c>
      <c r="AW127" s="9">
        <f t="shared" si="60"/>
        <v>-9.871015421654727</v>
      </c>
      <c r="AX127" s="10">
        <f t="shared" si="61"/>
        <v>9.871015421654727</v>
      </c>
    </row>
    <row r="128" spans="1:50" x14ac:dyDescent="0.25">
      <c r="A128" s="5">
        <v>222002</v>
      </c>
      <c r="B128" s="6" t="s">
        <v>125</v>
      </c>
      <c r="C128" s="1">
        <f>SUMIFS(
  '[1]Hoja 1'!$M:$M,
  '[1]Hoja 1'!$S:$S, $A128,
  '[1]Hoja 1'!$R:$R, "&gt;="&amp;INT($E$1),
  '[1]Hoja 1'!$R:$R, "&lt;"&amp;INT($F$1+1)
)</f>
        <v>0</v>
      </c>
      <c r="D128" s="1" t="str">
        <f>""</f>
        <v/>
      </c>
      <c r="F128" s="2"/>
      <c r="G128" s="1">
        <f>SUMIFS(
  '[1]Hoja 1'!$M:$M,
  '[1]Hoja 1'!$S:$S, $A128,
  '[1]Hoja 1'!$R:$R, "&gt;="&amp;INT($I$1),
  '[1]Hoja 1'!$R:$R, "&lt;"&amp;INT($J$1+1)
)</f>
        <v>12</v>
      </c>
      <c r="H128" s="1">
        <f t="shared" si="31"/>
        <v>6</v>
      </c>
      <c r="I128" s="1"/>
      <c r="J128" s="2"/>
      <c r="K128" s="1">
        <f>SUMIFS(
  '[1]Hoja 1'!$M:$M,
  '[1]Hoja 1'!$S:$S, $A128,
  '[1]Hoja 1'!$R:$R, "&gt;="&amp;INT($M$1),
  '[1]Hoja 1'!$R:$R, "&lt;"&amp;INT($N$1+1)
)</f>
        <v>0</v>
      </c>
      <c r="L128" s="1">
        <f t="shared" si="32"/>
        <v>6</v>
      </c>
      <c r="M128" s="9">
        <f t="shared" si="33"/>
        <v>-10.631151493507595</v>
      </c>
      <c r="N128" s="10">
        <f t="shared" si="34"/>
        <v>22.631151493507595</v>
      </c>
      <c r="O128" s="1">
        <f>SUMIFS(
  '[1]Hoja 1'!$M:$M,
  '[1]Hoja 1'!$S:$S, $A128,
  '[1]Hoja 1'!$R:$R, "&gt;="&amp;INT($Q$1),
  '[1]Hoja 1'!$R:$R, "&lt;"&amp;INT($R$1+1)
)</f>
        <v>0</v>
      </c>
      <c r="P128" s="1">
        <f t="shared" si="35"/>
        <v>0</v>
      </c>
      <c r="Q128" s="9">
        <f t="shared" si="36"/>
        <v>-11.76</v>
      </c>
      <c r="R128" s="10">
        <f t="shared" si="37"/>
        <v>11.76</v>
      </c>
      <c r="S128" s="1">
        <f>SUMIFS(
  '[1]Hoja 1'!$M:$M,
  '[1]Hoja 1'!$S:$S, $A128,
  '[1]Hoja 1'!$R:$R, "&gt;="&amp;INT($U$1),
  '[1]Hoja 1'!$R:$R, "&lt;"&amp;INT($V$1+1)
)</f>
        <v>0</v>
      </c>
      <c r="T128" s="1">
        <f t="shared" si="38"/>
        <v>0</v>
      </c>
      <c r="U128" s="9">
        <f t="shared" si="39"/>
        <v>-9.7138715247835137</v>
      </c>
      <c r="V128" s="10">
        <f t="shared" si="40"/>
        <v>9.7138715247835137</v>
      </c>
      <c r="W128" s="1">
        <f>SUMIFS(
  '[1]Hoja 1'!$M:$M,
  '[1]Hoja 1'!$S:$S, $A128,
  '[1]Hoja 1'!$R:$R, "&gt;="&amp;INT($Y$1),
  '[1]Hoja 1'!$R:$R, "&lt;"&amp;INT($Z$1+1)
)</f>
        <v>0</v>
      </c>
      <c r="X128" s="1">
        <f t="shared" si="41"/>
        <v>0</v>
      </c>
      <c r="Y128" s="9">
        <f t="shared" si="42"/>
        <v>-8.3155757467537974</v>
      </c>
      <c r="Z128" s="10">
        <f t="shared" si="43"/>
        <v>8.3155757467537974</v>
      </c>
      <c r="AA128" s="1">
        <f>SUMIFS(
  '[1]Hoja 1'!$M:$M,
  '[1]Hoja 1'!$S:$S, $A128,
  '[1]Hoja 1'!$R:$R, "&gt;="&amp;INT($AC$1),
  '[1]Hoja 1'!$R:$R, "&lt;"&amp;INT($AD$1+1)
)</f>
        <v>0</v>
      </c>
      <c r="AB128" s="1">
        <f t="shared" si="44"/>
        <v>0</v>
      </c>
      <c r="AC128" s="9">
        <f t="shared" si="45"/>
        <v>-7.4376770567160282</v>
      </c>
      <c r="AD128" s="10">
        <f t="shared" si="46"/>
        <v>7.4376770567160282</v>
      </c>
      <c r="AE128" s="1">
        <f>SUMIFS(
  '[1]Hoja 1'!$M:$M,
  '[1]Hoja 1'!$S:$S, $A128,
  '[1]Hoja 1'!$R:$R, "&gt;="&amp;INT($AG$1),
  '[1]Hoja 1'!$R:$R, "&lt;"&amp;INT($AH$1+1)
)</f>
        <v>0</v>
      </c>
      <c r="AF128" s="1">
        <f t="shared" si="47"/>
        <v>0</v>
      </c>
      <c r="AG128" s="9">
        <f t="shared" si="48"/>
        <v>-6.7896391656699988</v>
      </c>
      <c r="AH128" s="10">
        <f t="shared" si="49"/>
        <v>6.7896391656699988</v>
      </c>
      <c r="AI128" s="1">
        <f>SUMIFS(
  '[1]Hoja 1'!$M:$M,
  '[1]Hoja 1'!$S:$S, $A128,
  '[1]Hoja 1'!$R:$R, "&gt;="&amp;INT($AK$1),
  '[1]Hoja 1'!$R:$R, "&lt;"&amp;INT($AJ$1+1)
)</f>
        <v>0</v>
      </c>
      <c r="AJ128" s="1">
        <f t="shared" si="50"/>
        <v>0</v>
      </c>
      <c r="AK128" s="9">
        <f t="shared" si="51"/>
        <v>-6.2859844097802213</v>
      </c>
      <c r="AL128" s="10">
        <f t="shared" si="52"/>
        <v>6.2859844097802213</v>
      </c>
      <c r="AM128" s="1">
        <f>SUMIFS(
  '[1]Hoja 1'!$M:$M,
  '[1]Hoja 1'!$S:$S, $A128,
  '[1]Hoja 1'!$R:$R, "&gt;="&amp;INT($AO$1),
  '[1]Hoja 1'!$R:$R, "&lt;"&amp;INT($AP$1+1)
)</f>
        <v>0</v>
      </c>
      <c r="AN128" s="1">
        <f t="shared" si="53"/>
        <v>0</v>
      </c>
      <c r="AO128" s="9">
        <f t="shared" si="54"/>
        <v>-5.88</v>
      </c>
      <c r="AP128" s="10">
        <f t="shared" si="55"/>
        <v>5.88</v>
      </c>
      <c r="AQ128" s="1">
        <f>SUMIFS(
  '[1]Hoja 1'!$M:$M,
  '[1]Hoja 1'!$S:$S, $A128,
  '[1]Hoja 1'!$R:$R, "&gt;="&amp;INT($AS$1),
  '[1]Hoja 1'!$R:$R, "&lt;"&amp;INT($AT$1+1)
)</f>
        <v>0</v>
      </c>
      <c r="AR128" s="1">
        <f t="shared" si="56"/>
        <v>0</v>
      </c>
      <c r="AS128" s="9">
        <f t="shared" si="57"/>
        <v>-5.5437171645025325</v>
      </c>
      <c r="AT128" s="10">
        <f t="shared" si="58"/>
        <v>5.5437171645025325</v>
      </c>
      <c r="AU128" s="1">
        <f>SUMIFS(
  '[1]Hoja 1'!$M:$M,
  '[1]Hoja 1'!$S:$S, $A128,
  '[1]Hoja 1'!$R:$R, "&gt;="&amp;INT($AW$1),
  '[1]Hoja 1'!$R:$R, "&lt;"&amp;INT($AX$1+1)
)</f>
        <v>0</v>
      </c>
      <c r="AV128" s="1">
        <f t="shared" si="59"/>
        <v>0</v>
      </c>
      <c r="AW128" s="9">
        <f t="shared" si="60"/>
        <v>-5.2592318830795053</v>
      </c>
      <c r="AX128" s="10">
        <f t="shared" si="61"/>
        <v>5.2592318830795053</v>
      </c>
    </row>
    <row r="129" spans="1:50" x14ac:dyDescent="0.25">
      <c r="A129" s="5">
        <v>222005</v>
      </c>
      <c r="B129" s="6" t="s">
        <v>126</v>
      </c>
      <c r="C129" s="1">
        <f>SUMIFS(
  '[1]Hoja 1'!$M:$M,
  '[1]Hoja 1'!$S:$S, $A129,
  '[1]Hoja 1'!$R:$R, "&gt;="&amp;INT($E$1),
  '[1]Hoja 1'!$R:$R, "&lt;"&amp;INT($F$1+1)
)</f>
        <v>6</v>
      </c>
      <c r="D129" s="1" t="str">
        <f>""</f>
        <v/>
      </c>
      <c r="F129" s="2"/>
      <c r="G129" s="1">
        <f>SUMIFS(
  '[1]Hoja 1'!$M:$M,
  '[1]Hoja 1'!$S:$S, $A129,
  '[1]Hoja 1'!$R:$R, "&gt;="&amp;INT($I$1),
  '[1]Hoja 1'!$R:$R, "&lt;"&amp;INT($J$1+1)
)</f>
        <v>2</v>
      </c>
      <c r="H129" s="1">
        <f t="shared" si="31"/>
        <v>4</v>
      </c>
      <c r="I129" s="1"/>
      <c r="J129" s="2"/>
      <c r="K129" s="1">
        <f>SUMIFS(
  '[1]Hoja 1'!$M:$M,
  '[1]Hoja 1'!$S:$S, $A129,
  '[1]Hoja 1'!$R:$R, "&gt;="&amp;INT($M$1),
  '[1]Hoja 1'!$R:$R, "&lt;"&amp;INT($N$1+1)
)</f>
        <v>0</v>
      </c>
      <c r="L129" s="1">
        <f t="shared" si="32"/>
        <v>1</v>
      </c>
      <c r="M129" s="9">
        <f t="shared" si="33"/>
        <v>-0.38592929112563312</v>
      </c>
      <c r="N129" s="10">
        <f t="shared" si="34"/>
        <v>2.3859292911256329</v>
      </c>
      <c r="O129" s="1">
        <f>SUMIFS(
  '[1]Hoja 1'!$M:$M,
  '[1]Hoja 1'!$S:$S, $A129,
  '[1]Hoja 1'!$R:$R, "&gt;="&amp;INT($Q$1),
  '[1]Hoja 1'!$R:$R, "&lt;"&amp;INT($R$1+1)
)</f>
        <v>0</v>
      </c>
      <c r="P129" s="1">
        <f t="shared" si="35"/>
        <v>0</v>
      </c>
      <c r="Q129" s="9">
        <f t="shared" si="36"/>
        <v>-1.96</v>
      </c>
      <c r="R129" s="10">
        <f t="shared" si="37"/>
        <v>1.96</v>
      </c>
      <c r="S129" s="1">
        <f>SUMIFS(
  '[1]Hoja 1'!$M:$M,
  '[1]Hoja 1'!$S:$S, $A129,
  '[1]Hoja 1'!$R:$R, "&gt;="&amp;INT($U$1),
  '[1]Hoja 1'!$R:$R, "&lt;"&amp;INT($V$1+1)
)</f>
        <v>0</v>
      </c>
      <c r="T129" s="1">
        <f t="shared" si="38"/>
        <v>0</v>
      </c>
      <c r="U129" s="9">
        <f t="shared" si="39"/>
        <v>-1.6736686251067343</v>
      </c>
      <c r="V129" s="10">
        <f t="shared" si="40"/>
        <v>1.6736686251067343</v>
      </c>
      <c r="W129" s="1">
        <f>SUMIFS(
  '[1]Hoja 1'!$M:$M,
  '[1]Hoja 1'!$S:$S, $A129,
  '[1]Hoja 1'!$R:$R, "&gt;="&amp;INT($Y$1),
  '[1]Hoja 1'!$R:$R, "&lt;"&amp;INT($Z$1+1)
)</f>
        <v>0</v>
      </c>
      <c r="X129" s="1">
        <f t="shared" si="41"/>
        <v>0</v>
      </c>
      <c r="Y129" s="9">
        <f t="shared" si="42"/>
        <v>-1.7530772943598349</v>
      </c>
      <c r="Z129" s="10">
        <f t="shared" si="43"/>
        <v>1.7530772943598349</v>
      </c>
      <c r="AA129" s="1">
        <f>SUMIFS(
  '[1]Hoja 1'!$M:$M,
  '[1]Hoja 1'!$S:$S, $A129,
  '[1]Hoja 1'!$R:$R, "&gt;="&amp;INT($AC$1),
  '[1]Hoja 1'!$R:$R, "&lt;"&amp;INT($AD$1+1)
)</f>
        <v>0</v>
      </c>
      <c r="AB129" s="1">
        <f t="shared" si="44"/>
        <v>0</v>
      </c>
      <c r="AC129" s="9">
        <f t="shared" si="45"/>
        <v>-1.6398536520067881</v>
      </c>
      <c r="AD129" s="10">
        <f t="shared" si="46"/>
        <v>1.6398536520067881</v>
      </c>
      <c r="AE129" s="1">
        <f>SUMIFS(
  '[1]Hoja 1'!$M:$M,
  '[1]Hoja 1'!$S:$S, $A129,
  '[1]Hoja 1'!$R:$R, "&gt;="&amp;INT($AG$1),
  '[1]Hoja 1'!$R:$R, "&lt;"&amp;INT($AH$1+1)
)</f>
        <v>0</v>
      </c>
      <c r="AF129" s="1">
        <f t="shared" si="47"/>
        <v>0</v>
      </c>
      <c r="AG129" s="9">
        <f t="shared" si="48"/>
        <v>-1.5421197532401087</v>
      </c>
      <c r="AH129" s="10">
        <f t="shared" si="49"/>
        <v>1.5421197532401087</v>
      </c>
      <c r="AI129" s="1">
        <f>SUMIFS(
  '[1]Hoja 1'!$M:$M,
  '[1]Hoja 1'!$S:$S, $A129,
  '[1]Hoja 1'!$R:$R, "&gt;="&amp;INT($AK$1),
  '[1]Hoja 1'!$R:$R, "&lt;"&amp;INT($AJ$1+1)
)</f>
        <v>0</v>
      </c>
      <c r="AJ129" s="1">
        <f t="shared" si="50"/>
        <v>0</v>
      </c>
      <c r="AK129" s="9">
        <f t="shared" si="51"/>
        <v>-1.458286665919976</v>
      </c>
      <c r="AL129" s="10">
        <f t="shared" si="52"/>
        <v>1.458286665919976</v>
      </c>
      <c r="AM129" s="1">
        <f>SUMIFS(
  '[1]Hoja 1'!$M:$M,
  '[1]Hoja 1'!$S:$S, $A129,
  '[1]Hoja 1'!$R:$R, "&gt;="&amp;INT($AO$1),
  '[1]Hoja 1'!$R:$R, "&lt;"&amp;INT($AP$1+1)
)</f>
        <v>0</v>
      </c>
      <c r="AN129" s="1">
        <f t="shared" si="53"/>
        <v>0</v>
      </c>
      <c r="AO129" s="9">
        <f t="shared" si="54"/>
        <v>-1.3859292911256331</v>
      </c>
      <c r="AP129" s="10">
        <f t="shared" si="55"/>
        <v>1.3859292911256331</v>
      </c>
      <c r="AQ129" s="1">
        <f>SUMIFS(
  '[1]Hoja 1'!$M:$M,
  '[1]Hoja 1'!$S:$S, $A129,
  '[1]Hoja 1'!$R:$R, "&gt;="&amp;INT($AS$1),
  '[1]Hoja 1'!$R:$R, "&lt;"&amp;INT($AT$1+1)
)</f>
        <v>0</v>
      </c>
      <c r="AR129" s="1">
        <f t="shared" si="56"/>
        <v>0</v>
      </c>
      <c r="AS129" s="9">
        <f t="shared" si="57"/>
        <v>-1.3228991731126836</v>
      </c>
      <c r="AT129" s="10">
        <f t="shared" si="58"/>
        <v>1.3228991731126836</v>
      </c>
      <c r="AU129" s="1">
        <f>SUMIFS(
  '[1]Hoja 1'!$M:$M,
  '[1]Hoja 1'!$S:$S, $A129,
  '[1]Hoja 1'!$R:$R, "&gt;="&amp;INT($AW$1),
  '[1]Hoja 1'!$R:$R, "&lt;"&amp;INT($AX$1+1)
)</f>
        <v>0</v>
      </c>
      <c r="AV129" s="1">
        <f t="shared" si="59"/>
        <v>0</v>
      </c>
      <c r="AW129" s="9">
        <f t="shared" si="60"/>
        <v>-1.2674727897384119</v>
      </c>
      <c r="AX129" s="10">
        <f t="shared" si="61"/>
        <v>1.2674727897384119</v>
      </c>
    </row>
    <row r="130" spans="1:50" x14ac:dyDescent="0.25">
      <c r="A130" s="5">
        <v>222007</v>
      </c>
      <c r="B130" s="6" t="s">
        <v>127</v>
      </c>
      <c r="C130" s="1">
        <f>SUMIFS(
  '[1]Hoja 1'!$M:$M,
  '[1]Hoja 1'!$S:$S, $A130,
  '[1]Hoja 1'!$R:$R, "&gt;="&amp;INT($E$1),
  '[1]Hoja 1'!$R:$R, "&lt;"&amp;INT($F$1+1)
)</f>
        <v>19</v>
      </c>
      <c r="D130" s="1" t="str">
        <f>""</f>
        <v/>
      </c>
      <c r="F130" s="2"/>
      <c r="G130" s="1">
        <f>SUMIFS(
  '[1]Hoja 1'!$M:$M,
  '[1]Hoja 1'!$S:$S, $A130,
  '[1]Hoja 1'!$R:$R, "&gt;="&amp;INT($I$1),
  '[1]Hoja 1'!$R:$R, "&lt;"&amp;INT($J$1+1)
)</f>
        <v>0</v>
      </c>
      <c r="H130" s="1">
        <f t="shared" si="31"/>
        <v>10</v>
      </c>
      <c r="I130" s="1"/>
      <c r="J130" s="2"/>
      <c r="K130" s="1">
        <f>SUMIFS(
  '[1]Hoja 1'!$M:$M,
  '[1]Hoja 1'!$S:$S, $A130,
  '[1]Hoja 1'!$R:$R, "&gt;="&amp;INT($M$1),
  '[1]Hoja 1'!$R:$R, "&lt;"&amp;INT($N$1+1)
)</f>
        <v>0</v>
      </c>
      <c r="L130" s="1">
        <f t="shared" si="32"/>
        <v>0</v>
      </c>
      <c r="M130" s="9">
        <f t="shared" si="33"/>
        <v>-13.166328265693515</v>
      </c>
      <c r="N130" s="10">
        <f t="shared" si="34"/>
        <v>13.166328265693515</v>
      </c>
      <c r="O130" s="1">
        <f>SUMIFS(
  '[1]Hoja 1'!$M:$M,
  '[1]Hoja 1'!$S:$S, $A130,
  '[1]Hoja 1'!$R:$R, "&gt;="&amp;INT($Q$1),
  '[1]Hoja 1'!$R:$R, "&lt;"&amp;INT($R$1+1)
)</f>
        <v>0</v>
      </c>
      <c r="P130" s="1">
        <f t="shared" si="35"/>
        <v>0</v>
      </c>
      <c r="Q130" s="9">
        <f t="shared" si="36"/>
        <v>-10.750262012310833</v>
      </c>
      <c r="R130" s="10">
        <f t="shared" si="37"/>
        <v>10.750262012310833</v>
      </c>
      <c r="S130" s="1">
        <f>SUMIFS(
  '[1]Hoja 1'!$M:$M,
  '[1]Hoja 1'!$S:$S, $A130,
  '[1]Hoja 1'!$R:$R, "&gt;="&amp;INT($U$1),
  '[1]Hoja 1'!$R:$R, "&lt;"&amp;INT($V$1+1)
)</f>
        <v>0</v>
      </c>
      <c r="T130" s="1">
        <f t="shared" si="38"/>
        <v>0</v>
      </c>
      <c r="U130" s="9">
        <f t="shared" si="39"/>
        <v>-8.9282249075614128</v>
      </c>
      <c r="V130" s="10">
        <f t="shared" si="40"/>
        <v>8.9282249075614128</v>
      </c>
      <c r="W130" s="1">
        <f>SUMIFS(
  '[1]Hoja 1'!$M:$M,
  '[1]Hoja 1'!$S:$S, $A130,
  '[1]Hoja 1'!$R:$R, "&gt;="&amp;INT($Y$1),
  '[1]Hoja 1'!$R:$R, "&lt;"&amp;INT($Z$1+1)
)</f>
        <v>0</v>
      </c>
      <c r="X130" s="1">
        <f t="shared" si="41"/>
        <v>0</v>
      </c>
      <c r="Y130" s="9">
        <f t="shared" si="42"/>
        <v>-8.3271171482092168</v>
      </c>
      <c r="Z130" s="10">
        <f t="shared" si="43"/>
        <v>8.3271171482092168</v>
      </c>
      <c r="AA130" s="1">
        <f>SUMIFS(
  '[1]Hoja 1'!$M:$M,
  '[1]Hoja 1'!$S:$S, $A130,
  '[1]Hoja 1'!$R:$R, "&gt;="&amp;INT($AC$1),
  '[1]Hoja 1'!$R:$R, "&lt;"&amp;INT($AD$1+1)
)</f>
        <v>0</v>
      </c>
      <c r="AB130" s="1">
        <f t="shared" si="44"/>
        <v>0</v>
      </c>
      <c r="AC130" s="9">
        <f t="shared" si="45"/>
        <v>-7.6015831684371289</v>
      </c>
      <c r="AD130" s="10">
        <f t="shared" si="46"/>
        <v>7.6015831684371289</v>
      </c>
      <c r="AE130" s="1">
        <f>SUMIFS(
  '[1]Hoja 1'!$M:$M,
  '[1]Hoja 1'!$S:$S, $A130,
  '[1]Hoja 1'!$R:$R, "&gt;="&amp;INT($AG$1),
  '[1]Hoja 1'!$R:$R, "&lt;"&amp;INT($AH$1+1)
)</f>
        <v>0</v>
      </c>
      <c r="AF130" s="1">
        <f t="shared" si="47"/>
        <v>0</v>
      </c>
      <c r="AG130" s="9">
        <f t="shared" si="48"/>
        <v>-7.0376984874318111</v>
      </c>
      <c r="AH130" s="10">
        <f t="shared" si="49"/>
        <v>7.0376984874318111</v>
      </c>
      <c r="AI130" s="1">
        <f>SUMIFS(
  '[1]Hoja 1'!$M:$M,
  '[1]Hoja 1'!$S:$S, $A130,
  '[1]Hoja 1'!$R:$R, "&gt;="&amp;INT($AK$1),
  '[1]Hoja 1'!$R:$R, "&lt;"&amp;INT($AJ$1+1)
)</f>
        <v>0</v>
      </c>
      <c r="AJ130" s="1">
        <f t="shared" si="50"/>
        <v>0</v>
      </c>
      <c r="AK130" s="9">
        <f t="shared" si="51"/>
        <v>-6.5831641328467576</v>
      </c>
      <c r="AL130" s="10">
        <f t="shared" si="52"/>
        <v>6.5831641328467576</v>
      </c>
      <c r="AM130" s="1">
        <f>SUMIFS(
  '[1]Hoja 1'!$M:$M,
  '[1]Hoja 1'!$S:$S, $A130,
  '[1]Hoja 1'!$R:$R, "&gt;="&amp;INT($AO$1),
  '[1]Hoja 1'!$R:$R, "&lt;"&amp;INT($AP$1+1)
)</f>
        <v>0</v>
      </c>
      <c r="AN130" s="1">
        <f t="shared" si="53"/>
        <v>0</v>
      </c>
      <c r="AO130" s="9">
        <f t="shared" si="54"/>
        <v>-6.206666666666667</v>
      </c>
      <c r="AP130" s="10">
        <f t="shared" si="55"/>
        <v>6.206666666666667</v>
      </c>
      <c r="AQ130" s="1">
        <f>SUMIFS(
  '[1]Hoja 1'!$M:$M,
  '[1]Hoja 1'!$S:$S, $A130,
  '[1]Hoja 1'!$R:$R, "&gt;="&amp;INT($AS$1),
  '[1]Hoja 1'!$R:$R, "&lt;"&amp;INT($AT$1+1)
)</f>
        <v>0</v>
      </c>
      <c r="AR130" s="1">
        <f t="shared" si="56"/>
        <v>0</v>
      </c>
      <c r="AS130" s="9">
        <f t="shared" si="57"/>
        <v>-5.8881610032335221</v>
      </c>
      <c r="AT130" s="10">
        <f t="shared" si="58"/>
        <v>5.8881610032335221</v>
      </c>
      <c r="AU130" s="1">
        <f>SUMIFS(
  '[1]Hoja 1'!$M:$M,
  '[1]Hoja 1'!$S:$S, $A130,
  '[1]Hoja 1'!$R:$R, "&gt;="&amp;INT($AW$1),
  '[1]Hoja 1'!$R:$R, "&lt;"&amp;INT($AX$1+1)
)</f>
        <v>0</v>
      </c>
      <c r="AV130" s="1">
        <f t="shared" si="59"/>
        <v>0</v>
      </c>
      <c r="AW130" s="9">
        <f t="shared" si="60"/>
        <v>-5.614141236037959</v>
      </c>
      <c r="AX130" s="10">
        <f t="shared" si="61"/>
        <v>5.614141236037959</v>
      </c>
    </row>
    <row r="131" spans="1:50" x14ac:dyDescent="0.25">
      <c r="A131" s="5">
        <v>222027</v>
      </c>
      <c r="B131" s="6" t="s">
        <v>128</v>
      </c>
      <c r="C131" s="1">
        <f>SUMIFS(
  '[1]Hoja 1'!$M:$M,
  '[1]Hoja 1'!$S:$S, $A131,
  '[1]Hoja 1'!$R:$R, "&gt;="&amp;INT($E$1),
  '[1]Hoja 1'!$R:$R, "&lt;"&amp;INT($F$1+1)
)</f>
        <v>0</v>
      </c>
      <c r="D131" s="1" t="str">
        <f>""</f>
        <v/>
      </c>
      <c r="F131" s="2"/>
      <c r="G131" s="1">
        <f>SUMIFS(
  '[1]Hoja 1'!$M:$M,
  '[1]Hoja 1'!$S:$S, $A131,
  '[1]Hoja 1'!$R:$R, "&gt;="&amp;INT($I$1),
  '[1]Hoja 1'!$R:$R, "&lt;"&amp;INT($J$1+1)
)</f>
        <v>0</v>
      </c>
      <c r="H131" s="1">
        <f t="shared" si="31"/>
        <v>0</v>
      </c>
      <c r="I131" s="1"/>
      <c r="J131" s="2"/>
      <c r="K131" s="1">
        <f>SUMIFS(
  '[1]Hoja 1'!$M:$M,
  '[1]Hoja 1'!$S:$S, $A131,
  '[1]Hoja 1'!$R:$R, "&gt;="&amp;INT($M$1),
  '[1]Hoja 1'!$R:$R, "&lt;"&amp;INT($N$1+1)
)</f>
        <v>0</v>
      </c>
      <c r="L131" s="1">
        <f t="shared" si="32"/>
        <v>0</v>
      </c>
      <c r="M131" s="9">
        <f t="shared" si="33"/>
        <v>0</v>
      </c>
      <c r="N131" s="10">
        <f t="shared" si="34"/>
        <v>0</v>
      </c>
      <c r="O131" s="1">
        <f>SUMIFS(
  '[1]Hoja 1'!$M:$M,
  '[1]Hoja 1'!$S:$S, $A131,
  '[1]Hoja 1'!$R:$R, "&gt;="&amp;INT($Q$1),
  '[1]Hoja 1'!$R:$R, "&lt;"&amp;INT($R$1+1)
)</f>
        <v>0</v>
      </c>
      <c r="P131" s="1">
        <f t="shared" si="35"/>
        <v>0</v>
      </c>
      <c r="Q131" s="9">
        <f t="shared" si="36"/>
        <v>0</v>
      </c>
      <c r="R131" s="10">
        <f t="shared" si="37"/>
        <v>0</v>
      </c>
      <c r="S131" s="1">
        <f>SUMIFS(
  '[1]Hoja 1'!$M:$M,
  '[1]Hoja 1'!$S:$S, $A131,
  '[1]Hoja 1'!$R:$R, "&gt;="&amp;INT($U$1),
  '[1]Hoja 1'!$R:$R, "&lt;"&amp;INT($V$1+1)
)</f>
        <v>0</v>
      </c>
      <c r="T131" s="1">
        <f t="shared" si="38"/>
        <v>0</v>
      </c>
      <c r="U131" s="9">
        <f t="shared" si="39"/>
        <v>-1.47</v>
      </c>
      <c r="V131" s="10">
        <f t="shared" si="40"/>
        <v>1.47</v>
      </c>
      <c r="W131" s="1">
        <f>SUMIFS(
  '[1]Hoja 1'!$M:$M,
  '[1]Hoja 1'!$S:$S, $A131,
  '[1]Hoja 1'!$R:$R, "&gt;="&amp;INT($Y$1),
  '[1]Hoja 1'!$R:$R, "&lt;"&amp;INT($Z$1+1)
)</f>
        <v>0</v>
      </c>
      <c r="X131" s="1">
        <f t="shared" si="41"/>
        <v>0</v>
      </c>
      <c r="Y131" s="9">
        <f t="shared" si="42"/>
        <v>0</v>
      </c>
      <c r="Z131" s="10">
        <f t="shared" si="43"/>
        <v>0</v>
      </c>
      <c r="AA131" s="1">
        <f>SUMIFS(
  '[1]Hoja 1'!$M:$M,
  '[1]Hoja 1'!$S:$S, $A131,
  '[1]Hoja 1'!$R:$R, "&gt;="&amp;INT($AC$1),
  '[1]Hoja 1'!$R:$R, "&lt;"&amp;INT($AD$1+1)
)</f>
        <v>0</v>
      </c>
      <c r="AB131" s="1">
        <f t="shared" si="44"/>
        <v>0</v>
      </c>
      <c r="AC131" s="9">
        <f t="shared" si="45"/>
        <v>0</v>
      </c>
      <c r="AD131" s="10">
        <f t="shared" si="46"/>
        <v>0</v>
      </c>
      <c r="AE131" s="1">
        <f>SUMIFS(
  '[1]Hoja 1'!$M:$M,
  '[1]Hoja 1'!$S:$S, $A131,
  '[1]Hoja 1'!$R:$R, "&gt;="&amp;INT($AG$1),
  '[1]Hoja 1'!$R:$R, "&lt;"&amp;INT($AH$1+1)
)</f>
        <v>0</v>
      </c>
      <c r="AF131" s="1">
        <f t="shared" si="47"/>
        <v>0</v>
      </c>
      <c r="AG131" s="9">
        <f t="shared" si="48"/>
        <v>0</v>
      </c>
      <c r="AH131" s="10">
        <f t="shared" si="49"/>
        <v>0</v>
      </c>
      <c r="AI131" s="1">
        <f>SUMIFS(
  '[1]Hoja 1'!$M:$M,
  '[1]Hoja 1'!$S:$S, $A131,
  '[1]Hoja 1'!$R:$R, "&gt;="&amp;INT($AK$1),
  '[1]Hoja 1'!$R:$R, "&lt;"&amp;INT($AJ$1+1)
)</f>
        <v>0</v>
      </c>
      <c r="AJ131" s="1">
        <f t="shared" si="50"/>
        <v>0</v>
      </c>
      <c r="AK131" s="9">
        <f t="shared" si="51"/>
        <v>0</v>
      </c>
      <c r="AL131" s="10">
        <f t="shared" si="52"/>
        <v>0</v>
      </c>
      <c r="AM131" s="1">
        <f>SUMIFS(
  '[1]Hoja 1'!$M:$M,
  '[1]Hoja 1'!$S:$S, $A131,
  '[1]Hoja 1'!$R:$R, "&gt;="&amp;INT($AO$1),
  '[1]Hoja 1'!$R:$R, "&lt;"&amp;INT($AP$1+1)
)</f>
        <v>0</v>
      </c>
      <c r="AN131" s="1">
        <f t="shared" si="53"/>
        <v>0</v>
      </c>
      <c r="AO131" s="9">
        <f t="shared" si="54"/>
        <v>0</v>
      </c>
      <c r="AP131" s="10">
        <f t="shared" si="55"/>
        <v>0</v>
      </c>
      <c r="AQ131" s="1">
        <f>SUMIFS(
  '[1]Hoja 1'!$M:$M,
  '[1]Hoja 1'!$S:$S, $A131,
  '[1]Hoja 1'!$R:$R, "&gt;="&amp;INT($AS$1),
  '[1]Hoja 1'!$R:$R, "&lt;"&amp;INT($AT$1+1)
)</f>
        <v>0</v>
      </c>
      <c r="AR131" s="1">
        <f t="shared" si="56"/>
        <v>0</v>
      </c>
      <c r="AS131" s="9">
        <f t="shared" si="57"/>
        <v>0</v>
      </c>
      <c r="AT131" s="10">
        <f t="shared" si="58"/>
        <v>0</v>
      </c>
      <c r="AU131" s="1">
        <f>SUMIFS(
  '[1]Hoja 1'!$M:$M,
  '[1]Hoja 1'!$S:$S, $A131,
  '[1]Hoja 1'!$R:$R, "&gt;="&amp;INT($AW$1),
  '[1]Hoja 1'!$R:$R, "&lt;"&amp;INT($AX$1+1)
)</f>
        <v>0</v>
      </c>
      <c r="AV131" s="1">
        <f t="shared" si="59"/>
        <v>0</v>
      </c>
      <c r="AW131" s="9">
        <f t="shared" si="60"/>
        <v>0</v>
      </c>
      <c r="AX131" s="10">
        <f t="shared" si="61"/>
        <v>0</v>
      </c>
    </row>
    <row r="132" spans="1:50" x14ac:dyDescent="0.25">
      <c r="A132" s="5">
        <v>222038</v>
      </c>
      <c r="B132" s="6" t="s">
        <v>129</v>
      </c>
      <c r="C132" s="1">
        <f>SUMIFS(
  '[1]Hoja 1'!$M:$M,
  '[1]Hoja 1'!$S:$S, $A132,
  '[1]Hoja 1'!$R:$R, "&gt;="&amp;INT($E$1),
  '[1]Hoja 1'!$R:$R, "&lt;"&amp;INT($F$1+1)
)</f>
        <v>0</v>
      </c>
      <c r="D132" s="1" t="str">
        <f>""</f>
        <v/>
      </c>
      <c r="F132" s="2"/>
      <c r="G132" s="1">
        <f>SUMIFS(
  '[1]Hoja 1'!$M:$M,
  '[1]Hoja 1'!$S:$S, $A132,
  '[1]Hoja 1'!$R:$R, "&gt;="&amp;INT($I$1),
  '[1]Hoja 1'!$R:$R, "&lt;"&amp;INT($J$1+1)
)</f>
        <v>0</v>
      </c>
      <c r="H132" s="1">
        <f t="shared" ref="H132:H195" si="62">IF(
    OR(ISBLANK(C132),ISBLANK(G132)),
    "",
    ROUND(AVERAGE(C132,G132),0)
)</f>
        <v>0</v>
      </c>
      <c r="I132" s="1"/>
      <c r="J132" s="2"/>
      <c r="K132" s="1">
        <f>SUMIFS(
  '[1]Hoja 1'!$M:$M,
  '[1]Hoja 1'!$S:$S, $A132,
  '[1]Hoja 1'!$R:$R, "&gt;="&amp;INT($M$1),
  '[1]Hoja 1'!$R:$R, "&lt;"&amp;INT($N$1+1)
)</f>
        <v>0</v>
      </c>
      <c r="L132" s="1">
        <f t="shared" ref="L132:L195" si="63">IF(
    OR(ISBLANK(G132),ISBLANK(K132)),
    "",
    AVERAGE(G132,K132)
)</f>
        <v>0</v>
      </c>
      <c r="M132" s="9">
        <f t="shared" ref="M132:M195" si="64">IF(
  OR(ISBLANK(L132),ISBLANK(G132),ISBLANK(K132),ISBLANK(C132)),
  "",
    L132 - 1.96*_xlfn.STDEV.S(
    G132-AVERAGE(C132,G132),
    K132-AVERAGE(G132,K132)
  )
)</f>
        <v>0</v>
      </c>
      <c r="N132" s="10">
        <f t="shared" ref="N132:N195" si="65">IF(
  OR(ISBLANK(L132),ISBLANK(G132),ISBLANK(K132),ISBLANK(C132)),
  "",
  L132 + 1.96*_xlfn.STDEV.S(
    G132-AVERAGE(C132,G132),
    K132-AVERAGE(G132,K132)
  )
)</f>
        <v>0</v>
      </c>
      <c r="O132" s="1">
        <f>SUMIFS(
  '[1]Hoja 1'!$M:$M,
  '[1]Hoja 1'!$S:$S, $A132,
  '[1]Hoja 1'!$R:$R, "&gt;="&amp;INT($Q$1),
  '[1]Hoja 1'!$R:$R, "&lt;"&amp;INT($R$1+1)
)</f>
        <v>0</v>
      </c>
      <c r="P132" s="1">
        <f t="shared" ref="P132:P195" si="66">IF(
    OR(ISBLANK(K132),ISBLANK(O132)),
    "",
    AVERAGE(K132,O132)
)</f>
        <v>0</v>
      </c>
      <c r="Q132" s="9">
        <f t="shared" ref="Q132:Q195" si="67" xml:space="preserve"> P132 - 1.96*_xlfn.STDEV.S(
  G132-AVERAGE(C132,G132),
  K132-AVERAGE(G132,K132),
  O132-AVERAGE(K132,O132)
)</f>
        <v>0</v>
      </c>
      <c r="R132" s="10">
        <f t="shared" ref="R132:R195" si="68" xml:space="preserve"> P132 + 1.96*_xlfn.STDEV.S(
  G132-AVERAGE(C132,G132),
  K132-AVERAGE(G132,K132),
  O132-AVERAGE(K132,O132)
)</f>
        <v>0</v>
      </c>
      <c r="S132" s="1">
        <f>SUMIFS(
  '[1]Hoja 1'!$M:$M,
  '[1]Hoja 1'!$S:$S, $A132,
  '[1]Hoja 1'!$R:$R, "&gt;="&amp;INT($U$1),
  '[1]Hoja 1'!$R:$R, "&lt;"&amp;INT($V$1+1)
)</f>
        <v>0</v>
      </c>
      <c r="T132" s="1">
        <f t="shared" ref="T132:T195" si="69">IF(
    OR(ISBLANK(O132),ISBLANK(S132)),
    "",
    ROUND(AVERAGE(O132,S132),0)
)</f>
        <v>0</v>
      </c>
      <c r="U132" s="9">
        <f t="shared" ref="U132:U195" si="70" xml:space="preserve"> T132 - 1.96*_xlfn.STDEV.S(
  G132-AVERAGE(C132,G132),
  K132-AVERAGE(G132,K132),
  O132-AVERAGE(K132,O132),
  S132-AVERAGE(3,S132)
)</f>
        <v>-1.47</v>
      </c>
      <c r="V132" s="10">
        <f t="shared" ref="V132:V195" si="71" xml:space="preserve"> T132 + 1.96*_xlfn.STDEV.S(
  G132-AVERAGE(C132,G132),
  K132-AVERAGE(G132,K132),
  O132-AVERAGE(K132,O132),
  S132-AVERAGE(3,S132)
)</f>
        <v>1.47</v>
      </c>
      <c r="W132" s="1">
        <f>SUMIFS(
  '[1]Hoja 1'!$M:$M,
  '[1]Hoja 1'!$S:$S, $A132,
  '[1]Hoja 1'!$R:$R, "&gt;="&amp;INT($Y$1),
  '[1]Hoja 1'!$R:$R, "&lt;"&amp;INT($Z$1+1)
)</f>
        <v>0</v>
      </c>
      <c r="X132" s="1">
        <f t="shared" ref="X132:X195" si="72">IF(
    OR(ISBLANK(S132),ISBLANK(W132)),
    "",
    ROUND(AVERAGE(S132,W132),0)
)</f>
        <v>0</v>
      </c>
      <c r="Y132" s="9">
        <f t="shared" ref="Y132:Y195" si="73" xml:space="preserve"> X132 - 1.96*_xlfn.STDEV.S(
  G132-AVERAGE(C132,G132),
  K132-AVERAGE(G132,K132),
  O132-AVERAGE(K132,O132),
  S132-AVERAGE(O132,S132),
  W132-AVERAGE(S132,W132)
)</f>
        <v>0</v>
      </c>
      <c r="Z132" s="10">
        <f t="shared" ref="Z132:Z195" si="74" xml:space="preserve"> X132 + 1.96*_xlfn.STDEV.S(
  G132-AVERAGE(C132,G132),
  K132-AVERAGE(G132,K132),
  O132-AVERAGE(K132,O132),
  S132-AVERAGE(O132,S132),
  W132-AVERAGE(S132,W132)
)</f>
        <v>0</v>
      </c>
      <c r="AA132" s="1">
        <f>SUMIFS(
  '[1]Hoja 1'!$M:$M,
  '[1]Hoja 1'!$S:$S, $A132,
  '[1]Hoja 1'!$R:$R, "&gt;="&amp;INT($AC$1),
  '[1]Hoja 1'!$R:$R, "&lt;"&amp;INT($AD$1+1)
)</f>
        <v>0</v>
      </c>
      <c r="AB132" s="1">
        <f t="shared" ref="AB132:AB195" si="75">IF(
    OR(ISBLANK(W132),ISBLANK(AA132)),
    "",
    ROUND(AVERAGE(W132,AA132),0)
)</f>
        <v>0</v>
      </c>
      <c r="AC132" s="9">
        <f t="shared" ref="AC132:AC195" si="76" xml:space="preserve"> AB132 - 1.96*_xlfn.STDEV.S(
  G132-AVERAGE(C132,G132),
  K132-AVERAGE(G132,K132),
  O132-AVERAGE(K132,O132),
  S132-AVERAGE(O132,S132),
  W132-AVERAGE(S132,W132),
  AA132-AVERAGE(W132,AA132)
)</f>
        <v>0</v>
      </c>
      <c r="AD132" s="10">
        <f t="shared" ref="AD132:AD195" si="77" xml:space="preserve"> AB132 + 1.96*_xlfn.STDEV.S(
  G132-AVERAGE(C132,G132),
  K132-AVERAGE(G132,K132),
  O132-AVERAGE(K132,O132),
  S132-AVERAGE(O132,S132),
  W132-AVERAGE(S132,W132),
  AA132-AVERAGE(W132,AA132)
)</f>
        <v>0</v>
      </c>
      <c r="AE132" s="1">
        <f>SUMIFS(
  '[1]Hoja 1'!$M:$M,
  '[1]Hoja 1'!$S:$S, $A132,
  '[1]Hoja 1'!$R:$R, "&gt;="&amp;INT($AG$1),
  '[1]Hoja 1'!$R:$R, "&lt;"&amp;INT($AH$1+1)
)</f>
        <v>0</v>
      </c>
      <c r="AF132" s="1">
        <f t="shared" ref="AF132:AF195" si="78">IF(
    OR(ISBLANK(AA132),ISBLANK(AE132)),
    "",
    ROUND(AVERAGE(AA132,AE132),0)
)</f>
        <v>0</v>
      </c>
      <c r="AG132" s="9">
        <f t="shared" ref="AG132:AG195" si="79" xml:space="preserve"> AF132 - 1.96*_xlfn.STDEV.S(
  G132-AVERAGE(C132,G132),
  K132-AVERAGE(G132,K132),
  O132-AVERAGE(K132,O132),
  S132-AVERAGE(O132,S132),
  W132-AVERAGE(S132,W132),
  AA132-AVERAGE(W132,AA132),
  AE132-AVERAGE(AA132,AE132)
)</f>
        <v>0</v>
      </c>
      <c r="AH132" s="10">
        <f t="shared" ref="AH132:AH195" si="80" xml:space="preserve"> AF132 + 1.96*_xlfn.STDEV.S(
  G132-AVERAGE(C132,G132),
  K132-AVERAGE(G132,K132),
  O132-AVERAGE(K132,O132),
  S132-AVERAGE(O132,S132),
  W132-AVERAGE(S132,W132),
  AA132-AVERAGE(W132,AA132),
  AE132-AVERAGE(AA132,AE132)
)</f>
        <v>0</v>
      </c>
      <c r="AI132" s="1">
        <f>SUMIFS(
  '[1]Hoja 1'!$M:$M,
  '[1]Hoja 1'!$S:$S, $A132,
  '[1]Hoja 1'!$R:$R, "&gt;="&amp;INT($AK$1),
  '[1]Hoja 1'!$R:$R, "&lt;"&amp;INT($AJ$1+1)
)</f>
        <v>0</v>
      </c>
      <c r="AJ132" s="1">
        <f t="shared" ref="AJ132:AJ195" si="81">IF(
    OR(ISBLANK(AE132),ISBLANK(AI132)),
    "",
    ROUND(AVERAGE(AE132,AI132),0)
)</f>
        <v>0</v>
      </c>
      <c r="AK132" s="9">
        <f t="shared" ref="AK132:AK195" si="82" xml:space="preserve"> AJ132 - 1.96*_xlfn.STDEV.S(
  G132-AVERAGE(C132,G132),
  K132-AVERAGE(G132,K132),
  O132-AVERAGE(K132,O132),
  S132-AVERAGE(O132,S132),
  W132-AVERAGE(S132,W132),
  AA132-AVERAGE(W132,AA132),
  AE132-AVERAGE(AA132,AE132),
  AI132-AVERAGE(AE132,AI132)
)</f>
        <v>0</v>
      </c>
      <c r="AL132" s="10">
        <f t="shared" ref="AL132:AL195" si="83" xml:space="preserve"> AJ132 + 1.96*_xlfn.STDEV.S(
  G132-AVERAGE(C132,G132),
  K132-AVERAGE(G132,K132),
  O132-AVERAGE(K132,O132),
  S132-AVERAGE(O132,S132),
  W132-AVERAGE(S132,W132),
  AA132-AVERAGE(W132,AA132),
  AE132-AVERAGE(AA132,AE132),
  AI132-AVERAGE(AE132,AI132)
)</f>
        <v>0</v>
      </c>
      <c r="AM132" s="1">
        <f>SUMIFS(
  '[1]Hoja 1'!$M:$M,
  '[1]Hoja 1'!$S:$S, $A132,
  '[1]Hoja 1'!$R:$R, "&gt;="&amp;INT($AO$1),
  '[1]Hoja 1'!$R:$R, "&lt;"&amp;INT($AP$1+1)
)</f>
        <v>0</v>
      </c>
      <c r="AN132" s="1">
        <f t="shared" ref="AN132:AN195" si="84">IF(
    OR(ISBLANK(AI132),ISBLANK(AM132)),
    "",
    ROUND(AVERAGE(AI132,AM132),0)
)</f>
        <v>0</v>
      </c>
      <c r="AO132" s="9">
        <f t="shared" ref="AO132:AO195" si="85" xml:space="preserve"> AN132 - 1.96*_xlfn.STDEV.S(
  G132-AVERAGE(C132,G132),
  K132-AVERAGE(G132,K132),
  O132-AVERAGE(K132,O132),
  S132-AVERAGE(O132,S132),
  W132-AVERAGE(S132,W132),
  AA132-AVERAGE(W132,AA132),
  AE132-AVERAGE(AA132,AE132),
  AI132-AVERAGE(AE132,AI132),
  AN132-AVERAGE(AI132,AN132)
)</f>
        <v>0</v>
      </c>
      <c r="AP132" s="10">
        <f t="shared" ref="AP132:AP195" si="86" xml:space="preserve"> AN132 + 1.96*_xlfn.STDEV.S(
  G132-AVERAGE(C132,G132),
  K132-AVERAGE(G132,K132),
  O132-AVERAGE(K132,O132),
  S132-AVERAGE(O132,S132),
  W132-AVERAGE(S132,W132),
  AA132-AVERAGE(W132,AA132),
  AE132-AVERAGE(AA132,AE132),
  AI132-AVERAGE(AE132,AI132),
  AN132-AVERAGE(AI132,AN132)
)</f>
        <v>0</v>
      </c>
      <c r="AQ132" s="1">
        <f>SUMIFS(
  '[1]Hoja 1'!$M:$M,
  '[1]Hoja 1'!$S:$S, $A132,
  '[1]Hoja 1'!$R:$R, "&gt;="&amp;INT($AS$1),
  '[1]Hoja 1'!$R:$R, "&lt;"&amp;INT($AT$1+1)
)</f>
        <v>0</v>
      </c>
      <c r="AR132" s="1">
        <f t="shared" ref="AR132:AR195" si="87">IF(
    OR(ISBLANK(AM132),ISBLANK(AQ132)),
    "",
    ROUND(AVERAGE(AM132,AQ132),0)
)</f>
        <v>0</v>
      </c>
      <c r="AS132" s="9">
        <f t="shared" ref="AS132:AS195" si="88" xml:space="preserve"> AR132 - 1.96*_xlfn.STDEV.S(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
)</f>
        <v>0</v>
      </c>
      <c r="AT132" s="10">
        <f t="shared" ref="AT132:AT195" si="89" xml:space="preserve"> AR132 + 1.96*_xlfn.STDEV.S(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
)</f>
        <v>0</v>
      </c>
      <c r="AU132" s="1">
        <f>SUMIFS(
  '[1]Hoja 1'!$M:$M,
  '[1]Hoja 1'!$S:$S, $A132,
  '[1]Hoja 1'!$R:$R, "&gt;="&amp;INT($AW$1),
  '[1]Hoja 1'!$R:$R, "&lt;"&amp;INT($AX$1+1)
)</f>
        <v>0</v>
      </c>
      <c r="AV132" s="1">
        <f t="shared" ref="AV132:AV195" si="90">IF(
    OR(ISBLANK(AQ132),ISBLANK(AU132)),
    "",
    ROUND(AVERAGE(AQ132,AU132),0)
)</f>
        <v>0</v>
      </c>
      <c r="AW132" s="9">
        <f t="shared" ref="AW132:AW195" si="91" xml:space="preserve"> AV132 - 1.96*_xlfn.STDEV.S(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AR132-AVERAGE(AN132,AR132),
  AV132-AVERAGE(AR132,AV132)
)</f>
        <v>0</v>
      </c>
      <c r="AX132" s="10">
        <f t="shared" ref="AX132:AX195" si="92" xml:space="preserve"> AV132 + 1.96*_xlfn.STDEV.S(
  G132-AVERAGE(C132,G132),
  K132-AVERAGE(G132,K132),
  O132-AVERAGE(K132,O132),
  S132-AVERAGE(O132,S132),
  W132-AVERAGE(S132,W132),
  AA132-AVERAGE(W132,AA132),
  AE132-AVERAGE(AA132,AE132),
  AI132-AVERAGE(AE132,AI132),
  AN132-AVERAGE(AI132,AN132),
  AR132-AVERAGE(AN132,AR132),
  AV132-AVERAGE(AR132,AV132)
)</f>
        <v>0</v>
      </c>
    </row>
    <row r="133" spans="1:50" x14ac:dyDescent="0.25">
      <c r="A133" s="5">
        <v>223001</v>
      </c>
      <c r="B133" s="6" t="s">
        <v>130</v>
      </c>
      <c r="C133" s="1">
        <f>SUMIFS(
  '[1]Hoja 1'!$M:$M,
  '[1]Hoja 1'!$S:$S, $A133,
  '[1]Hoja 1'!$R:$R, "&gt;="&amp;INT($E$1),
  '[1]Hoja 1'!$R:$R, "&lt;"&amp;INT($F$1+1)
)</f>
        <v>345</v>
      </c>
      <c r="D133" s="1" t="str">
        <f>""</f>
        <v/>
      </c>
      <c r="F133" s="2"/>
      <c r="G133" s="1">
        <f>SUMIFS(
  '[1]Hoja 1'!$M:$M,
  '[1]Hoja 1'!$S:$S, $A133,
  '[1]Hoja 1'!$R:$R, "&gt;="&amp;INT($I$1),
  '[1]Hoja 1'!$R:$R, "&lt;"&amp;INT($J$1+1)
)</f>
        <v>249</v>
      </c>
      <c r="H133" s="1">
        <f t="shared" si="62"/>
        <v>297</v>
      </c>
      <c r="I133" s="1"/>
      <c r="J133" s="2"/>
      <c r="K133" s="1">
        <f>SUMIFS(
  '[1]Hoja 1'!$M:$M,
  '[1]Hoja 1'!$S:$S, $A133,
  '[1]Hoja 1'!$R:$R, "&gt;="&amp;INT($M$1),
  '[1]Hoja 1'!$R:$R, "&lt;"&amp;INT($N$1+1)
)</f>
        <v>0</v>
      </c>
      <c r="L133" s="1">
        <f t="shared" si="63"/>
        <v>124.5</v>
      </c>
      <c r="M133" s="9">
        <f t="shared" si="64"/>
        <v>18.476409228889054</v>
      </c>
      <c r="N133" s="10">
        <f t="shared" si="65"/>
        <v>230.52359077111095</v>
      </c>
      <c r="O133" s="1">
        <f>SUMIFS(
  '[1]Hoja 1'!$M:$M,
  '[1]Hoja 1'!$S:$S, $A133,
  '[1]Hoja 1'!$R:$R, "&gt;="&amp;INT($Q$1),
  '[1]Hoja 1'!$R:$R, "&lt;"&amp;INT($R$1+1)
)</f>
        <v>0</v>
      </c>
      <c r="P133" s="1">
        <f t="shared" si="66"/>
        <v>0</v>
      </c>
      <c r="Q133" s="9">
        <f t="shared" si="67"/>
        <v>-123.07098927042067</v>
      </c>
      <c r="R133" s="10">
        <f t="shared" si="68"/>
        <v>123.07098927042067</v>
      </c>
      <c r="S133" s="1">
        <f>SUMIFS(
  '[1]Hoja 1'!$M:$M,
  '[1]Hoja 1'!$S:$S, $A133,
  '[1]Hoja 1'!$R:$R, "&gt;="&amp;INT($U$1),
  '[1]Hoja 1'!$R:$R, "&lt;"&amp;INT($V$1+1)
)</f>
        <v>0</v>
      </c>
      <c r="T133" s="1">
        <f t="shared" si="69"/>
        <v>0</v>
      </c>
      <c r="U133" s="9">
        <f t="shared" si="70"/>
        <v>-114.49655016636963</v>
      </c>
      <c r="V133" s="10">
        <f t="shared" si="71"/>
        <v>114.49655016636963</v>
      </c>
      <c r="W133" s="1">
        <f>SUMIFS(
  '[1]Hoja 1'!$M:$M,
  '[1]Hoja 1'!$S:$S, $A133,
  '[1]Hoja 1'!$R:$R, "&gt;="&amp;INT($Y$1),
  '[1]Hoja 1'!$R:$R, "&lt;"&amp;INT($Z$1+1)
)</f>
        <v>0</v>
      </c>
      <c r="X133" s="1">
        <f t="shared" si="72"/>
        <v>0</v>
      </c>
      <c r="Y133" s="9">
        <f t="shared" si="73"/>
        <v>-106.69405419234944</v>
      </c>
      <c r="Z133" s="10">
        <f t="shared" si="74"/>
        <v>106.69405419234944</v>
      </c>
      <c r="AA133" s="1">
        <f>SUMIFS(
  '[1]Hoja 1'!$M:$M,
  '[1]Hoja 1'!$S:$S, $A133,
  '[1]Hoja 1'!$R:$R, "&gt;="&amp;INT($AC$1),
  '[1]Hoja 1'!$R:$R, "&lt;"&amp;INT($AD$1+1)
)</f>
        <v>0</v>
      </c>
      <c r="AB133" s="1">
        <f t="shared" si="75"/>
        <v>0</v>
      </c>
      <c r="AC133" s="9">
        <f t="shared" si="76"/>
        <v>-99.342711660191767</v>
      </c>
      <c r="AD133" s="10">
        <f t="shared" si="77"/>
        <v>99.342711660191767</v>
      </c>
      <c r="AE133" s="1">
        <f>SUMIFS(
  '[1]Hoja 1'!$M:$M,
  '[1]Hoja 1'!$S:$S, $A133,
  '[1]Hoja 1'!$R:$R, "&gt;="&amp;INT($AG$1),
  '[1]Hoja 1'!$R:$R, "&lt;"&amp;INT($AH$1+1)
)</f>
        <v>0</v>
      </c>
      <c r="AF133" s="1">
        <f t="shared" si="78"/>
        <v>0</v>
      </c>
      <c r="AG133" s="9">
        <f t="shared" si="79"/>
        <v>-93.154510357792134</v>
      </c>
      <c r="AH133" s="10">
        <f t="shared" si="80"/>
        <v>93.154510357792134</v>
      </c>
      <c r="AI133" s="1">
        <f>SUMIFS(
  '[1]Hoja 1'!$M:$M,
  '[1]Hoja 1'!$S:$S, $A133,
  '[1]Hoja 1'!$R:$R, "&gt;="&amp;INT($AK$1),
  '[1]Hoja 1'!$R:$R, "&lt;"&amp;INT($AJ$1+1)
)</f>
        <v>0</v>
      </c>
      <c r="AJ133" s="1">
        <f t="shared" si="81"/>
        <v>0</v>
      </c>
      <c r="AK133" s="9">
        <f t="shared" si="82"/>
        <v>-87.918676343539204</v>
      </c>
      <c r="AL133" s="10">
        <f t="shared" si="83"/>
        <v>87.918676343539204</v>
      </c>
      <c r="AM133" s="1">
        <f>SUMIFS(
  '[1]Hoja 1'!$M:$M,
  '[1]Hoja 1'!$S:$S, $A133,
  '[1]Hoja 1'!$R:$R, "&gt;="&amp;INT($AO$1),
  '[1]Hoja 1'!$R:$R, "&lt;"&amp;INT($AP$1+1)
)</f>
        <v>0</v>
      </c>
      <c r="AN133" s="1">
        <f t="shared" si="84"/>
        <v>0</v>
      </c>
      <c r="AO133" s="9">
        <f t="shared" si="85"/>
        <v>-83.438238236434501</v>
      </c>
      <c r="AP133" s="10">
        <f t="shared" si="86"/>
        <v>83.438238236434501</v>
      </c>
      <c r="AQ133" s="1">
        <f>SUMIFS(
  '[1]Hoja 1'!$M:$M,
  '[1]Hoja 1'!$S:$S, $A133,
  '[1]Hoja 1'!$R:$R, "&gt;="&amp;INT($AS$1),
  '[1]Hoja 1'!$R:$R, "&lt;"&amp;INT($AT$1+1)
)</f>
        <v>0</v>
      </c>
      <c r="AR133" s="1">
        <f t="shared" si="87"/>
        <v>0</v>
      </c>
      <c r="AS133" s="9">
        <f t="shared" si="88"/>
        <v>-79.558256642538353</v>
      </c>
      <c r="AT133" s="10">
        <f t="shared" si="89"/>
        <v>79.558256642538353</v>
      </c>
      <c r="AU133" s="1">
        <f>SUMIFS(
  '[1]Hoja 1'!$M:$M,
  '[1]Hoja 1'!$S:$S, $A133,
  '[1]Hoja 1'!$R:$R, "&gt;="&amp;INT($AW$1),
  '[1]Hoja 1'!$R:$R, "&lt;"&amp;INT($AX$1+1)
)</f>
        <v>0</v>
      </c>
      <c r="AV133" s="1">
        <f t="shared" si="90"/>
        <v>0</v>
      </c>
      <c r="AW133" s="9">
        <f t="shared" si="91"/>
        <v>-76.160910088145243</v>
      </c>
      <c r="AX133" s="10">
        <f t="shared" si="92"/>
        <v>76.160910088145243</v>
      </c>
    </row>
    <row r="134" spans="1:50" x14ac:dyDescent="0.25">
      <c r="A134" s="5">
        <v>223002</v>
      </c>
      <c r="B134" s="6" t="s">
        <v>131</v>
      </c>
      <c r="C134" s="1">
        <f>SUMIFS(
  '[1]Hoja 1'!$M:$M,
  '[1]Hoja 1'!$S:$S, $A134,
  '[1]Hoja 1'!$R:$R, "&gt;="&amp;INT($E$1),
  '[1]Hoja 1'!$R:$R, "&lt;"&amp;INT($F$1+1)
)</f>
        <v>237</v>
      </c>
      <c r="D134" s="1" t="str">
        <f>""</f>
        <v/>
      </c>
      <c r="F134" s="2"/>
      <c r="G134" s="1">
        <f>SUMIFS(
  '[1]Hoja 1'!$M:$M,
  '[1]Hoja 1'!$S:$S, $A134,
  '[1]Hoja 1'!$R:$R, "&gt;="&amp;INT($I$1),
  '[1]Hoja 1'!$R:$R, "&lt;"&amp;INT($J$1+1)
)</f>
        <v>136</v>
      </c>
      <c r="H134" s="1">
        <f t="shared" si="62"/>
        <v>187</v>
      </c>
      <c r="I134" s="1"/>
      <c r="J134" s="2"/>
      <c r="K134" s="1">
        <f>SUMIFS(
  '[1]Hoja 1'!$M:$M,
  '[1]Hoja 1'!$S:$S, $A134,
  '[1]Hoja 1'!$R:$R, "&gt;="&amp;INT($M$1),
  '[1]Hoja 1'!$R:$R, "&lt;"&amp;INT($N$1+1)
)</f>
        <v>0</v>
      </c>
      <c r="L134" s="1">
        <f t="shared" si="63"/>
        <v>68</v>
      </c>
      <c r="M134" s="9">
        <f t="shared" si="64"/>
        <v>43.746237405301414</v>
      </c>
      <c r="N134" s="10">
        <f t="shared" si="65"/>
        <v>92.253762594698586</v>
      </c>
      <c r="O134" s="1">
        <f>SUMIFS(
  '[1]Hoja 1'!$M:$M,
  '[1]Hoja 1'!$S:$S, $A134,
  '[1]Hoja 1'!$R:$R, "&gt;="&amp;INT($Q$1),
  '[1]Hoja 1'!$R:$R, "&lt;"&amp;INT($R$1+1)
)</f>
        <v>0</v>
      </c>
      <c r="P134" s="1">
        <f t="shared" si="66"/>
        <v>0</v>
      </c>
      <c r="Q134" s="9">
        <f t="shared" si="67"/>
        <v>-69.206320520599846</v>
      </c>
      <c r="R134" s="10">
        <f t="shared" si="68"/>
        <v>69.206320520599846</v>
      </c>
      <c r="S134" s="1">
        <f>SUMIFS(
  '[1]Hoja 1'!$M:$M,
  '[1]Hoja 1'!$S:$S, $A134,
  '[1]Hoja 1'!$R:$R, "&gt;="&amp;INT($U$1),
  '[1]Hoja 1'!$R:$R, "&lt;"&amp;INT($V$1+1)
)</f>
        <v>0</v>
      </c>
      <c r="T134" s="1">
        <f t="shared" si="69"/>
        <v>0</v>
      </c>
      <c r="U134" s="9">
        <f t="shared" si="70"/>
        <v>-67.674422544020771</v>
      </c>
      <c r="V134" s="10">
        <f t="shared" si="71"/>
        <v>67.674422544020771</v>
      </c>
      <c r="W134" s="1">
        <f>SUMIFS(
  '[1]Hoja 1'!$M:$M,
  '[1]Hoja 1'!$S:$S, $A134,
  '[1]Hoja 1'!$R:$R, "&gt;="&amp;INT($Y$1),
  '[1]Hoja 1'!$R:$R, "&lt;"&amp;INT($Z$1+1)
)</f>
        <v>0</v>
      </c>
      <c r="X134" s="1">
        <f t="shared" si="72"/>
        <v>0</v>
      </c>
      <c r="Y134" s="9">
        <f t="shared" si="73"/>
        <v>-64.752716699764804</v>
      </c>
      <c r="Z134" s="10">
        <f t="shared" si="74"/>
        <v>64.752716699764804</v>
      </c>
      <c r="AA134" s="1">
        <f>SUMIFS(
  '[1]Hoja 1'!$M:$M,
  '[1]Hoja 1'!$S:$S, $A134,
  '[1]Hoja 1'!$R:$R, "&gt;="&amp;INT($AC$1),
  '[1]Hoja 1'!$R:$R, "&lt;"&amp;INT($AD$1+1)
)</f>
        <v>0</v>
      </c>
      <c r="AB134" s="1">
        <f t="shared" si="75"/>
        <v>0</v>
      </c>
      <c r="AC134" s="9">
        <f t="shared" si="76"/>
        <v>-60.942291062939205</v>
      </c>
      <c r="AD134" s="10">
        <f t="shared" si="77"/>
        <v>60.942291062939205</v>
      </c>
      <c r="AE134" s="1">
        <f>SUMIFS(
  '[1]Hoja 1'!$M:$M,
  '[1]Hoja 1'!$S:$S, $A134,
  '[1]Hoja 1'!$R:$R, "&gt;="&amp;INT($AG$1),
  '[1]Hoja 1'!$R:$R, "&lt;"&amp;INT($AH$1+1)
)</f>
        <v>0</v>
      </c>
      <c r="AF134" s="1">
        <f t="shared" si="78"/>
        <v>0</v>
      </c>
      <c r="AG134" s="9">
        <f t="shared" si="79"/>
        <v>-57.524215190937923</v>
      </c>
      <c r="AH134" s="10">
        <f t="shared" si="80"/>
        <v>57.524215190937923</v>
      </c>
      <c r="AI134" s="1">
        <f>SUMIFS(
  '[1]Hoja 1'!$M:$M,
  '[1]Hoja 1'!$S:$S, $A134,
  '[1]Hoja 1'!$R:$R, "&gt;="&amp;INT($AK$1),
  '[1]Hoja 1'!$R:$R, "&lt;"&amp;INT($AJ$1+1)
)</f>
        <v>0</v>
      </c>
      <c r="AJ134" s="1">
        <f t="shared" si="81"/>
        <v>0</v>
      </c>
      <c r="AK134" s="9">
        <f t="shared" si="82"/>
        <v>-54.533751475577034</v>
      </c>
      <c r="AL134" s="10">
        <f t="shared" si="83"/>
        <v>54.533751475577034</v>
      </c>
      <c r="AM134" s="1">
        <f>SUMIFS(
  '[1]Hoja 1'!$M:$M,
  '[1]Hoja 1'!$S:$S, $A134,
  '[1]Hoja 1'!$R:$R, "&gt;="&amp;INT($AO$1),
  '[1]Hoja 1'!$R:$R, "&lt;"&amp;INT($AP$1+1)
)</f>
        <v>0</v>
      </c>
      <c r="AN134" s="1">
        <f t="shared" si="84"/>
        <v>0</v>
      </c>
      <c r="AO134" s="9">
        <f t="shared" si="85"/>
        <v>-51.921506141482453</v>
      </c>
      <c r="AP134" s="10">
        <f t="shared" si="86"/>
        <v>51.921506141482453</v>
      </c>
      <c r="AQ134" s="1">
        <f>SUMIFS(
  '[1]Hoja 1'!$M:$M,
  '[1]Hoja 1'!$S:$S, $A134,
  '[1]Hoja 1'!$R:$R, "&gt;="&amp;INT($AS$1),
  '[1]Hoja 1'!$R:$R, "&lt;"&amp;INT($AT$1+1)
)</f>
        <v>0</v>
      </c>
      <c r="AR134" s="1">
        <f t="shared" si="87"/>
        <v>0</v>
      </c>
      <c r="AS134" s="9">
        <f t="shared" si="88"/>
        <v>-49.627644670642539</v>
      </c>
      <c r="AT134" s="10">
        <f t="shared" si="89"/>
        <v>49.627644670642539</v>
      </c>
      <c r="AU134" s="1">
        <f>SUMIFS(
  '[1]Hoja 1'!$M:$M,
  '[1]Hoja 1'!$S:$S, $A134,
  '[1]Hoja 1'!$R:$R, "&gt;="&amp;INT($AW$1),
  '[1]Hoja 1'!$R:$R, "&lt;"&amp;INT($AX$1+1)
)</f>
        <v>0</v>
      </c>
      <c r="AV134" s="1">
        <f t="shared" si="90"/>
        <v>0</v>
      </c>
      <c r="AW134" s="9">
        <f t="shared" si="91"/>
        <v>-47.598880735503926</v>
      </c>
      <c r="AX134" s="10">
        <f t="shared" si="92"/>
        <v>47.598880735503926</v>
      </c>
    </row>
    <row r="135" spans="1:50" x14ac:dyDescent="0.25">
      <c r="A135" s="5">
        <v>223003</v>
      </c>
      <c r="B135" s="6" t="s">
        <v>132</v>
      </c>
      <c r="C135" s="1">
        <f>SUMIFS(
  '[1]Hoja 1'!$M:$M,
  '[1]Hoja 1'!$S:$S, $A135,
  '[1]Hoja 1'!$R:$R, "&gt;="&amp;INT($E$1),
  '[1]Hoja 1'!$R:$R, "&lt;"&amp;INT($F$1+1)
)</f>
        <v>50</v>
      </c>
      <c r="D135" s="1" t="str">
        <f>""</f>
        <v/>
      </c>
      <c r="F135" s="2"/>
      <c r="G135" s="1">
        <f>SUMIFS(
  '[1]Hoja 1'!$M:$M,
  '[1]Hoja 1'!$S:$S, $A135,
  '[1]Hoja 1'!$R:$R, "&gt;="&amp;INT($I$1),
  '[1]Hoja 1'!$R:$R, "&lt;"&amp;INT($J$1+1)
)</f>
        <v>25</v>
      </c>
      <c r="H135" s="1">
        <f t="shared" si="62"/>
        <v>38</v>
      </c>
      <c r="I135" s="1"/>
      <c r="J135" s="2"/>
      <c r="K135" s="1">
        <f>SUMIFS(
  '[1]Hoja 1'!$M:$M,
  '[1]Hoja 1'!$S:$S, $A135,
  '[1]Hoja 1'!$R:$R, "&gt;="&amp;INT($M$1),
  '[1]Hoja 1'!$R:$R, "&lt;"&amp;INT($N$1+1)
)</f>
        <v>0</v>
      </c>
      <c r="L135" s="1">
        <f t="shared" si="63"/>
        <v>12.5</v>
      </c>
      <c r="M135" s="9">
        <f t="shared" si="64"/>
        <v>12.5</v>
      </c>
      <c r="N135" s="10">
        <f t="shared" si="65"/>
        <v>12.5</v>
      </c>
      <c r="O135" s="1">
        <f>SUMIFS(
  '[1]Hoja 1'!$M:$M,
  '[1]Hoja 1'!$S:$S, $A135,
  '[1]Hoja 1'!$R:$R, "&gt;="&amp;INT($Q$1),
  '[1]Hoja 1'!$R:$R, "&lt;"&amp;INT($R$1+1)
)</f>
        <v>0</v>
      </c>
      <c r="P135" s="1">
        <f t="shared" si="66"/>
        <v>0</v>
      </c>
      <c r="Q135" s="9">
        <f t="shared" si="67"/>
        <v>-14.145081595145831</v>
      </c>
      <c r="R135" s="10">
        <f t="shared" si="68"/>
        <v>14.145081595145831</v>
      </c>
      <c r="S135" s="1">
        <f>SUMIFS(
  '[1]Hoja 1'!$M:$M,
  '[1]Hoja 1'!$S:$S, $A135,
  '[1]Hoja 1'!$R:$R, "&gt;="&amp;INT($U$1),
  '[1]Hoja 1'!$R:$R, "&lt;"&amp;INT($V$1+1)
)</f>
        <v>0</v>
      </c>
      <c r="T135" s="1">
        <f t="shared" si="69"/>
        <v>0</v>
      </c>
      <c r="U135" s="9">
        <f t="shared" si="70"/>
        <v>-13.350439443454036</v>
      </c>
      <c r="V135" s="10">
        <f t="shared" si="71"/>
        <v>13.350439443454036</v>
      </c>
      <c r="W135" s="1">
        <f>SUMIFS(
  '[1]Hoja 1'!$M:$M,
  '[1]Hoja 1'!$S:$S, $A135,
  '[1]Hoja 1'!$R:$R, "&gt;="&amp;INT($Y$1),
  '[1]Hoja 1'!$R:$R, "&lt;"&amp;INT($Z$1+1)
)</f>
        <v>0</v>
      </c>
      <c r="X135" s="1">
        <f t="shared" si="72"/>
        <v>0</v>
      </c>
      <c r="Y135" s="9">
        <f t="shared" si="73"/>
        <v>-13.41920265887657</v>
      </c>
      <c r="Z135" s="10">
        <f t="shared" si="74"/>
        <v>13.41920265887657</v>
      </c>
      <c r="AA135" s="1">
        <f>SUMIFS(
  '[1]Hoja 1'!$M:$M,
  '[1]Hoja 1'!$S:$S, $A135,
  '[1]Hoja 1'!$R:$R, "&gt;="&amp;INT($AC$1),
  '[1]Hoja 1'!$R:$R, "&lt;"&amp;INT($AD$1+1)
)</f>
        <v>0</v>
      </c>
      <c r="AB135" s="1">
        <f t="shared" si="75"/>
        <v>0</v>
      </c>
      <c r="AC135" s="9">
        <f t="shared" si="76"/>
        <v>-12.651745597610894</v>
      </c>
      <c r="AD135" s="10">
        <f t="shared" si="77"/>
        <v>12.651745597610894</v>
      </c>
      <c r="AE135" s="1">
        <f>SUMIFS(
  '[1]Hoja 1'!$M:$M,
  '[1]Hoja 1'!$S:$S, $A135,
  '[1]Hoja 1'!$R:$R, "&gt;="&amp;INT($AG$1),
  '[1]Hoja 1'!$R:$R, "&lt;"&amp;INT($AH$1+1)
)</f>
        <v>0</v>
      </c>
      <c r="AF135" s="1">
        <f t="shared" si="78"/>
        <v>0</v>
      </c>
      <c r="AG135" s="9">
        <f t="shared" si="79"/>
        <v>-11.954775893619532</v>
      </c>
      <c r="AH135" s="10">
        <f t="shared" si="80"/>
        <v>11.954775893619532</v>
      </c>
      <c r="AI135" s="1">
        <f>SUMIFS(
  '[1]Hoja 1'!$M:$M,
  '[1]Hoja 1'!$S:$S, $A135,
  '[1]Hoja 1'!$R:$R, "&gt;="&amp;INT($AK$1),
  '[1]Hoja 1'!$R:$R, "&lt;"&amp;INT($AJ$1+1)
)</f>
        <v>0</v>
      </c>
      <c r="AJ135" s="1">
        <f t="shared" si="81"/>
        <v>0</v>
      </c>
      <c r="AK135" s="9">
        <f t="shared" si="82"/>
        <v>-11.341296222213755</v>
      </c>
      <c r="AL135" s="10">
        <f t="shared" si="83"/>
        <v>11.341296222213755</v>
      </c>
      <c r="AM135" s="1">
        <f>SUMIFS(
  '[1]Hoja 1'!$M:$M,
  '[1]Hoja 1'!$S:$S, $A135,
  '[1]Hoja 1'!$R:$R, "&gt;="&amp;INT($AO$1),
  '[1]Hoja 1'!$R:$R, "&lt;"&amp;INT($AP$1+1)
)</f>
        <v>0</v>
      </c>
      <c r="AN135" s="1">
        <f t="shared" si="84"/>
        <v>0</v>
      </c>
      <c r="AO135" s="9">
        <f t="shared" si="85"/>
        <v>-10.803484520180412</v>
      </c>
      <c r="AP135" s="10">
        <f t="shared" si="86"/>
        <v>10.803484520180412</v>
      </c>
      <c r="AQ135" s="1">
        <f>SUMIFS(
  '[1]Hoja 1'!$M:$M,
  '[1]Hoja 1'!$S:$S, $A135,
  '[1]Hoja 1'!$R:$R, "&gt;="&amp;INT($AS$1),
  '[1]Hoja 1'!$R:$R, "&lt;"&amp;INT($AT$1+1)
)</f>
        <v>0</v>
      </c>
      <c r="AR135" s="1">
        <f t="shared" si="87"/>
        <v>0</v>
      </c>
      <c r="AS135" s="9">
        <f t="shared" si="88"/>
        <v>-10.330107023216705</v>
      </c>
      <c r="AT135" s="10">
        <f t="shared" si="89"/>
        <v>10.330107023216705</v>
      </c>
      <c r="AU135" s="1">
        <f>SUMIFS(
  '[1]Hoja 1'!$M:$M,
  '[1]Hoja 1'!$S:$S, $A135,
  '[1]Hoja 1'!$R:$R, "&gt;="&amp;INT($AW$1),
  '[1]Hoja 1'!$R:$R, "&lt;"&amp;INT($AX$1+1)
)</f>
        <v>0</v>
      </c>
      <c r="AV135" s="1">
        <f t="shared" si="90"/>
        <v>0</v>
      </c>
      <c r="AW135" s="9">
        <f t="shared" si="91"/>
        <v>-9.9107379782096601</v>
      </c>
      <c r="AX135" s="10">
        <f t="shared" si="92"/>
        <v>9.9107379782096601</v>
      </c>
    </row>
    <row r="136" spans="1:50" x14ac:dyDescent="0.25">
      <c r="A136" s="5">
        <v>223004</v>
      </c>
      <c r="B136" s="6" t="s">
        <v>133</v>
      </c>
      <c r="C136" s="1">
        <f>SUMIFS(
  '[1]Hoja 1'!$M:$M,
  '[1]Hoja 1'!$S:$S, $A136,
  '[1]Hoja 1'!$R:$R, "&gt;="&amp;INT($E$1),
  '[1]Hoja 1'!$R:$R, "&lt;"&amp;INT($F$1+1)
)</f>
        <v>34</v>
      </c>
      <c r="D136" s="1" t="str">
        <f>""</f>
        <v/>
      </c>
      <c r="F136" s="2"/>
      <c r="G136" s="1">
        <f>SUMIFS(
  '[1]Hoja 1'!$M:$M,
  '[1]Hoja 1'!$S:$S, $A136,
  '[1]Hoja 1'!$R:$R, "&gt;="&amp;INT($I$1),
  '[1]Hoja 1'!$R:$R, "&lt;"&amp;INT($J$1+1)
)</f>
        <v>18</v>
      </c>
      <c r="H136" s="1">
        <f t="shared" si="62"/>
        <v>26</v>
      </c>
      <c r="I136" s="1"/>
      <c r="J136" s="2"/>
      <c r="K136" s="1">
        <f>SUMIFS(
  '[1]Hoja 1'!$M:$M,
  '[1]Hoja 1'!$S:$S, $A136,
  '[1]Hoja 1'!$R:$R, "&gt;="&amp;INT($M$1),
  '[1]Hoja 1'!$R:$R, "&lt;"&amp;INT($N$1+1)
)</f>
        <v>0</v>
      </c>
      <c r="L136" s="1">
        <f t="shared" si="63"/>
        <v>9</v>
      </c>
      <c r="M136" s="9">
        <f t="shared" si="64"/>
        <v>7.6140707088743671</v>
      </c>
      <c r="N136" s="10">
        <f t="shared" si="65"/>
        <v>10.385929291125633</v>
      </c>
      <c r="O136" s="1">
        <f>SUMIFS(
  '[1]Hoja 1'!$M:$M,
  '[1]Hoja 1'!$S:$S, $A136,
  '[1]Hoja 1'!$R:$R, "&gt;="&amp;INT($Q$1),
  '[1]Hoja 1'!$R:$R, "&lt;"&amp;INT($R$1+1)
)</f>
        <v>0</v>
      </c>
      <c r="P136" s="1">
        <f t="shared" si="66"/>
        <v>0</v>
      </c>
      <c r="Q136" s="9">
        <f t="shared" si="67"/>
        <v>-9.6684504101398456</v>
      </c>
      <c r="R136" s="10">
        <f t="shared" si="68"/>
        <v>9.6684504101398456</v>
      </c>
      <c r="S136" s="1">
        <f>SUMIFS(
  '[1]Hoja 1'!$M:$M,
  '[1]Hoja 1'!$S:$S, $A136,
  '[1]Hoja 1'!$R:$R, "&gt;="&amp;INT($U$1),
  '[1]Hoja 1'!$R:$R, "&lt;"&amp;INT($V$1+1)
)</f>
        <v>0</v>
      </c>
      <c r="T136" s="1">
        <f t="shared" si="69"/>
        <v>0</v>
      </c>
      <c r="U136" s="9">
        <f t="shared" si="70"/>
        <v>-8.8877950021363556</v>
      </c>
      <c r="V136" s="10">
        <f t="shared" si="71"/>
        <v>8.8877950021363556</v>
      </c>
      <c r="W136" s="1">
        <f>SUMIFS(
  '[1]Hoja 1'!$M:$M,
  '[1]Hoja 1'!$S:$S, $A136,
  '[1]Hoja 1'!$R:$R, "&gt;="&amp;INT($Y$1),
  '[1]Hoja 1'!$R:$R, "&lt;"&amp;INT($Z$1+1)
)</f>
        <v>0</v>
      </c>
      <c r="X136" s="1">
        <f t="shared" si="72"/>
        <v>0</v>
      </c>
      <c r="Y136" s="9">
        <f t="shared" si="73"/>
        <v>-9.1513321434641419</v>
      </c>
      <c r="Z136" s="10">
        <f t="shared" si="74"/>
        <v>9.1513321434641419</v>
      </c>
      <c r="AA136" s="1">
        <f>SUMIFS(
  '[1]Hoja 1'!$M:$M,
  '[1]Hoja 1'!$S:$S, $A136,
  '[1]Hoja 1'!$R:$R, "&gt;="&amp;INT($AC$1),
  '[1]Hoja 1'!$R:$R, "&lt;"&amp;INT($AD$1+1)
)</f>
        <v>0</v>
      </c>
      <c r="AB136" s="1">
        <f t="shared" si="75"/>
        <v>0</v>
      </c>
      <c r="AC136" s="9">
        <f t="shared" si="76"/>
        <v>-8.6254847206789869</v>
      </c>
      <c r="AD136" s="10">
        <f t="shared" si="77"/>
        <v>8.6254847206789869</v>
      </c>
      <c r="AE136" s="1">
        <f>SUMIFS(
  '[1]Hoja 1'!$M:$M,
  '[1]Hoja 1'!$S:$S, $A136,
  '[1]Hoja 1'!$R:$R, "&gt;="&amp;INT($AG$1),
  '[1]Hoja 1'!$R:$R, "&lt;"&amp;INT($AH$1+1)
)</f>
        <v>0</v>
      </c>
      <c r="AF136" s="1">
        <f t="shared" si="78"/>
        <v>0</v>
      </c>
      <c r="AG136" s="9">
        <f t="shared" si="79"/>
        <v>-8.1489140380789404</v>
      </c>
      <c r="AH136" s="10">
        <f t="shared" si="80"/>
        <v>8.1489140380789404</v>
      </c>
      <c r="AI136" s="1">
        <f>SUMIFS(
  '[1]Hoja 1'!$M:$M,
  '[1]Hoja 1'!$S:$S, $A136,
  '[1]Hoja 1'!$R:$R, "&gt;="&amp;INT($AK$1),
  '[1]Hoja 1'!$R:$R, "&lt;"&amp;INT($AJ$1+1)
)</f>
        <v>0</v>
      </c>
      <c r="AJ136" s="1">
        <f t="shared" si="81"/>
        <v>0</v>
      </c>
      <c r="AK136" s="9">
        <f t="shared" si="82"/>
        <v>-7.7298512275463622</v>
      </c>
      <c r="AL136" s="10">
        <f t="shared" si="83"/>
        <v>7.7298512275463622</v>
      </c>
      <c r="AM136" s="1">
        <f>SUMIFS(
  '[1]Hoja 1'!$M:$M,
  '[1]Hoja 1'!$S:$S, $A136,
  '[1]Hoja 1'!$R:$R, "&gt;="&amp;INT($AO$1),
  '[1]Hoja 1'!$R:$R, "&lt;"&amp;INT($AP$1+1)
)</f>
        <v>0</v>
      </c>
      <c r="AN136" s="1">
        <f t="shared" si="84"/>
        <v>0</v>
      </c>
      <c r="AO136" s="9">
        <f t="shared" si="85"/>
        <v>-7.3626927441286352</v>
      </c>
      <c r="AP136" s="10">
        <f t="shared" si="86"/>
        <v>7.3626927441286352</v>
      </c>
      <c r="AQ136" s="1">
        <f>SUMIFS(
  '[1]Hoja 1'!$M:$M,
  '[1]Hoja 1'!$S:$S, $A136,
  '[1]Hoja 1'!$R:$R, "&gt;="&amp;INT($AS$1),
  '[1]Hoja 1'!$R:$R, "&lt;"&amp;INT($AT$1+1)
)</f>
        <v>0</v>
      </c>
      <c r="AR136" s="1">
        <f t="shared" si="87"/>
        <v>0</v>
      </c>
      <c r="AS136" s="9">
        <f t="shared" si="88"/>
        <v>-7.0396477184586441</v>
      </c>
      <c r="AT136" s="10">
        <f t="shared" si="89"/>
        <v>7.0396477184586441</v>
      </c>
      <c r="AU136" s="1">
        <f>SUMIFS(
  '[1]Hoja 1'!$M:$M,
  '[1]Hoja 1'!$S:$S, $A136,
  '[1]Hoja 1'!$R:$R, "&gt;="&amp;INT($AW$1),
  '[1]Hoja 1'!$R:$R, "&lt;"&amp;INT($AX$1+1)
)</f>
        <v>0</v>
      </c>
      <c r="AV136" s="1">
        <f t="shared" si="90"/>
        <v>0</v>
      </c>
      <c r="AW136" s="9">
        <f t="shared" si="91"/>
        <v>-6.7535375242097446</v>
      </c>
      <c r="AX136" s="10">
        <f t="shared" si="92"/>
        <v>6.7535375242097446</v>
      </c>
    </row>
    <row r="137" spans="1:50" x14ac:dyDescent="0.25">
      <c r="A137" s="5">
        <v>223005</v>
      </c>
      <c r="B137" s="6" t="s">
        <v>134</v>
      </c>
      <c r="C137" s="1">
        <f>SUMIFS(
  '[1]Hoja 1'!$M:$M,
  '[1]Hoja 1'!$S:$S, $A137,
  '[1]Hoja 1'!$R:$R, "&gt;="&amp;INT($E$1),
  '[1]Hoja 1'!$R:$R, "&lt;"&amp;INT($F$1+1)
)</f>
        <v>12</v>
      </c>
      <c r="D137" s="1" t="str">
        <f>""</f>
        <v/>
      </c>
      <c r="F137" s="2"/>
      <c r="G137" s="1">
        <f>SUMIFS(
  '[1]Hoja 1'!$M:$M,
  '[1]Hoja 1'!$S:$S, $A137,
  '[1]Hoja 1'!$R:$R, "&gt;="&amp;INT($I$1),
  '[1]Hoja 1'!$R:$R, "&lt;"&amp;INT($J$1+1)
)</f>
        <v>0</v>
      </c>
      <c r="H137" s="1">
        <f t="shared" si="62"/>
        <v>6</v>
      </c>
      <c r="I137" s="1"/>
      <c r="J137" s="2"/>
      <c r="K137" s="1">
        <f>SUMIFS(
  '[1]Hoja 1'!$M:$M,
  '[1]Hoja 1'!$S:$S, $A137,
  '[1]Hoja 1'!$R:$R, "&gt;="&amp;INT($M$1),
  '[1]Hoja 1'!$R:$R, "&lt;"&amp;INT($N$1+1)
)</f>
        <v>0</v>
      </c>
      <c r="L137" s="1">
        <f t="shared" si="63"/>
        <v>0</v>
      </c>
      <c r="M137" s="9">
        <f t="shared" si="64"/>
        <v>-8.3155757467537974</v>
      </c>
      <c r="N137" s="10">
        <f t="shared" si="65"/>
        <v>8.3155757467537974</v>
      </c>
      <c r="O137" s="1">
        <f>SUMIFS(
  '[1]Hoja 1'!$M:$M,
  '[1]Hoja 1'!$S:$S, $A137,
  '[1]Hoja 1'!$R:$R, "&gt;="&amp;INT($Q$1),
  '[1]Hoja 1'!$R:$R, "&lt;"&amp;INT($R$1+1)
)</f>
        <v>0</v>
      </c>
      <c r="P137" s="1">
        <f t="shared" si="66"/>
        <v>0</v>
      </c>
      <c r="Q137" s="9">
        <f t="shared" si="67"/>
        <v>-6.7896391656699988</v>
      </c>
      <c r="R137" s="10">
        <f t="shared" si="68"/>
        <v>6.7896391656699988</v>
      </c>
      <c r="S137" s="1">
        <f>SUMIFS(
  '[1]Hoja 1'!$M:$M,
  '[1]Hoja 1'!$S:$S, $A137,
  '[1]Hoja 1'!$R:$R, "&gt;="&amp;INT($U$1),
  '[1]Hoja 1'!$R:$R, "&lt;"&amp;INT($V$1+1)
)</f>
        <v>0</v>
      </c>
      <c r="T137" s="1">
        <f t="shared" si="69"/>
        <v>0</v>
      </c>
      <c r="U137" s="9">
        <f t="shared" si="70"/>
        <v>-5.5653301788842677</v>
      </c>
      <c r="V137" s="10">
        <f t="shared" si="71"/>
        <v>5.5653301788842677</v>
      </c>
      <c r="W137" s="1">
        <f>SUMIFS(
  '[1]Hoja 1'!$M:$M,
  '[1]Hoja 1'!$S:$S, $A137,
  '[1]Hoja 1'!$R:$R, "&gt;="&amp;INT($Y$1),
  '[1]Hoja 1'!$R:$R, "&lt;"&amp;INT($Z$1+1)
)</f>
        <v>0</v>
      </c>
      <c r="X137" s="1">
        <f t="shared" si="72"/>
        <v>0</v>
      </c>
      <c r="Y137" s="9">
        <f t="shared" si="73"/>
        <v>-5.2592318830795053</v>
      </c>
      <c r="Z137" s="10">
        <f t="shared" si="74"/>
        <v>5.2592318830795053</v>
      </c>
      <c r="AA137" s="1">
        <f>SUMIFS(
  '[1]Hoja 1'!$M:$M,
  '[1]Hoja 1'!$S:$S, $A137,
  '[1]Hoja 1'!$R:$R, "&gt;="&amp;INT($AC$1),
  '[1]Hoja 1'!$R:$R, "&lt;"&amp;INT($AD$1+1)
)</f>
        <v>0</v>
      </c>
      <c r="AB137" s="1">
        <f t="shared" si="75"/>
        <v>0</v>
      </c>
      <c r="AC137" s="9">
        <f t="shared" si="76"/>
        <v>-4.8009998958550284</v>
      </c>
      <c r="AD137" s="10">
        <f t="shared" si="77"/>
        <v>4.8009998958550284</v>
      </c>
      <c r="AE137" s="1">
        <f>SUMIFS(
  '[1]Hoja 1'!$M:$M,
  '[1]Hoja 1'!$S:$S, $A137,
  '[1]Hoja 1'!$R:$R, "&gt;="&amp;INT($AG$1),
  '[1]Hoja 1'!$R:$R, "&lt;"&amp;INT($AH$1+1)
)</f>
        <v>0</v>
      </c>
      <c r="AF137" s="1">
        <f t="shared" si="78"/>
        <v>0</v>
      </c>
      <c r="AG137" s="9">
        <f t="shared" si="79"/>
        <v>-4.4448622025885118</v>
      </c>
      <c r="AH137" s="10">
        <f t="shared" si="80"/>
        <v>4.4448622025885118</v>
      </c>
      <c r="AI137" s="1">
        <f>SUMIFS(
  '[1]Hoja 1'!$M:$M,
  '[1]Hoja 1'!$S:$S, $A137,
  '[1]Hoja 1'!$R:$R, "&gt;="&amp;INT($AK$1),
  '[1]Hoja 1'!$R:$R, "&lt;"&amp;INT($AJ$1+1)
)</f>
        <v>0</v>
      </c>
      <c r="AJ137" s="1">
        <f t="shared" si="81"/>
        <v>0</v>
      </c>
      <c r="AK137" s="9">
        <f t="shared" si="82"/>
        <v>-4.1577878733768987</v>
      </c>
      <c r="AL137" s="10">
        <f t="shared" si="83"/>
        <v>4.1577878733768987</v>
      </c>
      <c r="AM137" s="1">
        <f>SUMIFS(
  '[1]Hoja 1'!$M:$M,
  '[1]Hoja 1'!$S:$S, $A137,
  '[1]Hoja 1'!$R:$R, "&gt;="&amp;INT($AO$1),
  '[1]Hoja 1'!$R:$R, "&lt;"&amp;INT($AP$1+1)
)</f>
        <v>0</v>
      </c>
      <c r="AN137" s="1">
        <f t="shared" si="84"/>
        <v>0</v>
      </c>
      <c r="AO137" s="9">
        <f t="shared" si="85"/>
        <v>-3.92</v>
      </c>
      <c r="AP137" s="10">
        <f t="shared" si="86"/>
        <v>3.92</v>
      </c>
      <c r="AQ137" s="1">
        <f>SUMIFS(
  '[1]Hoja 1'!$M:$M,
  '[1]Hoja 1'!$S:$S, $A137,
  '[1]Hoja 1'!$R:$R, "&gt;="&amp;INT($AS$1),
  '[1]Hoja 1'!$R:$R, "&lt;"&amp;INT($AT$1+1)
)</f>
        <v>0</v>
      </c>
      <c r="AR137" s="1">
        <f t="shared" si="87"/>
        <v>0</v>
      </c>
      <c r="AS137" s="9">
        <f t="shared" si="88"/>
        <v>-3.7188385283580141</v>
      </c>
      <c r="AT137" s="10">
        <f t="shared" si="89"/>
        <v>3.7188385283580141</v>
      </c>
      <c r="AU137" s="1">
        <f>SUMIFS(
  '[1]Hoja 1'!$M:$M,
  '[1]Hoja 1'!$S:$S, $A137,
  '[1]Hoja 1'!$R:$R, "&gt;="&amp;INT($AW$1),
  '[1]Hoja 1'!$R:$R, "&lt;"&amp;INT($AX$1+1)
)</f>
        <v>0</v>
      </c>
      <c r="AV137" s="1">
        <f t="shared" si="90"/>
        <v>0</v>
      </c>
      <c r="AW137" s="9">
        <f t="shared" si="91"/>
        <v>-3.5457734122345004</v>
      </c>
      <c r="AX137" s="10">
        <f t="shared" si="92"/>
        <v>3.5457734122345004</v>
      </c>
    </row>
    <row r="138" spans="1:50" x14ac:dyDescent="0.25">
      <c r="A138" s="5">
        <v>223006</v>
      </c>
      <c r="B138" s="6" t="s">
        <v>135</v>
      </c>
      <c r="C138" s="1">
        <f>SUMIFS(
  '[1]Hoja 1'!$M:$M,
  '[1]Hoja 1'!$S:$S, $A138,
  '[1]Hoja 1'!$R:$R, "&gt;="&amp;INT($E$1),
  '[1]Hoja 1'!$R:$R, "&lt;"&amp;INT($F$1+1)
)</f>
        <v>19</v>
      </c>
      <c r="D138" s="1" t="str">
        <f>""</f>
        <v/>
      </c>
      <c r="F138" s="2"/>
      <c r="G138" s="1">
        <f>SUMIFS(
  '[1]Hoja 1'!$M:$M,
  '[1]Hoja 1'!$S:$S, $A138,
  '[1]Hoja 1'!$R:$R, "&gt;="&amp;INT($I$1),
  '[1]Hoja 1'!$R:$R, "&lt;"&amp;INT($J$1+1)
)</f>
        <v>6</v>
      </c>
      <c r="H138" s="1">
        <f t="shared" si="62"/>
        <v>13</v>
      </c>
      <c r="I138" s="1"/>
      <c r="J138" s="2"/>
      <c r="K138" s="1">
        <f>SUMIFS(
  '[1]Hoja 1'!$M:$M,
  '[1]Hoja 1'!$S:$S, $A138,
  '[1]Hoja 1'!$R:$R, "&gt;="&amp;INT($M$1),
  '[1]Hoja 1'!$R:$R, "&lt;"&amp;INT($N$1+1)
)</f>
        <v>0</v>
      </c>
      <c r="L138" s="1">
        <f t="shared" si="63"/>
        <v>3</v>
      </c>
      <c r="M138" s="9">
        <f t="shared" si="64"/>
        <v>-1.850752518939716</v>
      </c>
      <c r="N138" s="10">
        <f t="shared" si="65"/>
        <v>7.850752518939716</v>
      </c>
      <c r="O138" s="1">
        <f>SUMIFS(
  '[1]Hoja 1'!$M:$M,
  '[1]Hoja 1'!$S:$S, $A138,
  '[1]Hoja 1'!$R:$R, "&gt;="&amp;INT($Q$1),
  '[1]Hoja 1'!$R:$R, "&lt;"&amp;INT($R$1+1)
)</f>
        <v>0</v>
      </c>
      <c r="P138" s="1">
        <f t="shared" si="66"/>
        <v>0</v>
      </c>
      <c r="Q138" s="9">
        <f t="shared" si="67"/>
        <v>-6.3762789566747573</v>
      </c>
      <c r="R138" s="10">
        <f t="shared" si="68"/>
        <v>6.3762789566747573</v>
      </c>
      <c r="S138" s="1">
        <f>SUMIFS(
  '[1]Hoja 1'!$M:$M,
  '[1]Hoja 1'!$S:$S, $A138,
  '[1]Hoja 1'!$R:$R, "&gt;="&amp;INT($U$1),
  '[1]Hoja 1'!$R:$R, "&lt;"&amp;INT($V$1+1)
)</f>
        <v>0</v>
      </c>
      <c r="T138" s="1">
        <f t="shared" si="69"/>
        <v>0</v>
      </c>
      <c r="U138" s="9">
        <f t="shared" si="70"/>
        <v>-5.4564090755734211</v>
      </c>
      <c r="V138" s="10">
        <f t="shared" si="71"/>
        <v>5.4564090755734211</v>
      </c>
      <c r="W138" s="1">
        <f>SUMIFS(
  '[1]Hoja 1'!$M:$M,
  '[1]Hoja 1'!$S:$S, $A138,
  '[1]Hoja 1'!$R:$R, "&gt;="&amp;INT($Y$1),
  '[1]Hoja 1'!$R:$R, "&lt;"&amp;INT($Z$1+1)
)</f>
        <v>0</v>
      </c>
      <c r="X138" s="1">
        <f t="shared" si="72"/>
        <v>0</v>
      </c>
      <c r="Y138" s="9">
        <f t="shared" si="73"/>
        <v>-5.6467052340280697</v>
      </c>
      <c r="Z138" s="10">
        <f t="shared" si="74"/>
        <v>5.6467052340280697</v>
      </c>
      <c r="AA138" s="1">
        <f>SUMIFS(
  '[1]Hoja 1'!$M:$M,
  '[1]Hoja 1'!$S:$S, $A138,
  '[1]Hoja 1'!$R:$R, "&gt;="&amp;INT($AC$1),
  '[1]Hoja 1'!$R:$R, "&lt;"&amp;INT($AD$1+1)
)</f>
        <v>0</v>
      </c>
      <c r="AB138" s="1">
        <f t="shared" si="75"/>
        <v>0</v>
      </c>
      <c r="AC138" s="9">
        <f t="shared" si="76"/>
        <v>-5.2744276150750871</v>
      </c>
      <c r="AD138" s="10">
        <f t="shared" si="77"/>
        <v>5.2744276150750871</v>
      </c>
      <c r="AE138" s="1">
        <f>SUMIFS(
  '[1]Hoja 1'!$M:$M,
  '[1]Hoja 1'!$S:$S, $A138,
  '[1]Hoja 1'!$R:$R, "&gt;="&amp;INT($AG$1),
  '[1]Hoja 1'!$R:$R, "&lt;"&amp;INT($AH$1+1)
)</f>
        <v>0</v>
      </c>
      <c r="AF138" s="1">
        <f t="shared" si="78"/>
        <v>0</v>
      </c>
      <c r="AG138" s="9">
        <f t="shared" si="79"/>
        <v>-4.955683605719801</v>
      </c>
      <c r="AH138" s="10">
        <f t="shared" si="80"/>
        <v>4.955683605719801</v>
      </c>
      <c r="AI138" s="1">
        <f>SUMIFS(
  '[1]Hoja 1'!$M:$M,
  '[1]Hoja 1'!$S:$S, $A138,
  '[1]Hoja 1'!$R:$R, "&gt;="&amp;INT($AK$1),
  '[1]Hoja 1'!$R:$R, "&lt;"&amp;INT($AJ$1+1)
)</f>
        <v>0</v>
      </c>
      <c r="AJ138" s="1">
        <f t="shared" si="81"/>
        <v>0</v>
      </c>
      <c r="AK138" s="9">
        <f t="shared" si="82"/>
        <v>-4.6834655971833508</v>
      </c>
      <c r="AL138" s="10">
        <f t="shared" si="83"/>
        <v>4.6834655971833508</v>
      </c>
      <c r="AM138" s="1">
        <f>SUMIFS(
  '[1]Hoja 1'!$M:$M,
  '[1]Hoja 1'!$S:$S, $A138,
  '[1]Hoja 1'!$R:$R, "&gt;="&amp;INT($AO$1),
  '[1]Hoja 1'!$R:$R, "&lt;"&amp;INT($AP$1+1)
)</f>
        <v>0</v>
      </c>
      <c r="AN138" s="1">
        <f t="shared" si="84"/>
        <v>0</v>
      </c>
      <c r="AO138" s="9">
        <f t="shared" si="85"/>
        <v>-4.4491472341462366</v>
      </c>
      <c r="AP138" s="10">
        <f t="shared" si="86"/>
        <v>4.4491472341462366</v>
      </c>
      <c r="AQ138" s="1">
        <f>SUMIFS(
  '[1]Hoja 1'!$M:$M,
  '[1]Hoja 1'!$S:$S, $A138,
  '[1]Hoja 1'!$R:$R, "&gt;="&amp;INT($AS$1),
  '[1]Hoja 1'!$R:$R, "&lt;"&amp;INT($AT$1+1)
)</f>
        <v>0</v>
      </c>
      <c r="AR138" s="1">
        <f t="shared" si="87"/>
        <v>0</v>
      </c>
      <c r="AS138" s="9">
        <f t="shared" si="88"/>
        <v>-4.2454100704957431</v>
      </c>
      <c r="AT138" s="10">
        <f t="shared" si="89"/>
        <v>4.2454100704957431</v>
      </c>
      <c r="AU138" s="1">
        <f>SUMIFS(
  '[1]Hoja 1'!$M:$M,
  '[1]Hoja 1'!$S:$S, $A138,
  '[1]Hoja 1'!$R:$R, "&gt;="&amp;INT($AW$1),
  '[1]Hoja 1'!$R:$R, "&lt;"&amp;INT($AX$1+1)
)</f>
        <v>0</v>
      </c>
      <c r="AV138" s="1">
        <f t="shared" si="90"/>
        <v>0</v>
      </c>
      <c r="AW138" s="9">
        <f t="shared" si="91"/>
        <v>-4.0664901104246916</v>
      </c>
      <c r="AX138" s="10">
        <f t="shared" si="92"/>
        <v>4.0664901104246916</v>
      </c>
    </row>
    <row r="139" spans="1:50" x14ac:dyDescent="0.25">
      <c r="A139" s="5">
        <v>223007</v>
      </c>
      <c r="B139" s="6" t="s">
        <v>136</v>
      </c>
      <c r="C139" s="1">
        <f>SUMIFS(
  '[1]Hoja 1'!$M:$M,
  '[1]Hoja 1'!$S:$S, $A139,
  '[1]Hoja 1'!$R:$R, "&gt;="&amp;INT($E$1),
  '[1]Hoja 1'!$R:$R, "&lt;"&amp;INT($F$1+1)
)</f>
        <v>14</v>
      </c>
      <c r="D139" s="1" t="str">
        <f>""</f>
        <v/>
      </c>
      <c r="F139" s="2"/>
      <c r="G139" s="1">
        <f>SUMIFS(
  '[1]Hoja 1'!$M:$M,
  '[1]Hoja 1'!$S:$S, $A139,
  '[1]Hoja 1'!$R:$R, "&gt;="&amp;INT($I$1),
  '[1]Hoja 1'!$R:$R, "&lt;"&amp;INT($J$1+1)
)</f>
        <v>4</v>
      </c>
      <c r="H139" s="1">
        <f t="shared" si="62"/>
        <v>9</v>
      </c>
      <c r="I139" s="1"/>
      <c r="J139" s="2"/>
      <c r="K139" s="1">
        <f>SUMIFS(
  '[1]Hoja 1'!$M:$M,
  '[1]Hoja 1'!$S:$S, $A139,
  '[1]Hoja 1'!$R:$R, "&gt;="&amp;INT($M$1),
  '[1]Hoja 1'!$R:$R, "&lt;"&amp;INT($N$1+1)
)</f>
        <v>0</v>
      </c>
      <c r="L139" s="1">
        <f t="shared" si="63"/>
        <v>2</v>
      </c>
      <c r="M139" s="9">
        <f t="shared" si="64"/>
        <v>-2.1577878733768987</v>
      </c>
      <c r="N139" s="10">
        <f t="shared" si="65"/>
        <v>6.1577878733768987</v>
      </c>
      <c r="O139" s="1">
        <f>SUMIFS(
  '[1]Hoja 1'!$M:$M,
  '[1]Hoja 1'!$S:$S, $A139,
  '[1]Hoja 1'!$R:$R, "&gt;="&amp;INT($Q$1),
  '[1]Hoja 1'!$R:$R, "&lt;"&amp;INT($R$1+1)
)</f>
        <v>0</v>
      </c>
      <c r="P139" s="1">
        <f t="shared" si="66"/>
        <v>0</v>
      </c>
      <c r="Q139" s="9">
        <f t="shared" si="67"/>
        <v>-4.9325584977102235</v>
      </c>
      <c r="R139" s="10">
        <f t="shared" si="68"/>
        <v>4.9325584977102235</v>
      </c>
      <c r="S139" s="1">
        <f>SUMIFS(
  '[1]Hoja 1'!$M:$M,
  '[1]Hoja 1'!$S:$S, $A139,
  '[1]Hoja 1'!$R:$R, "&gt;="&amp;INT($U$1),
  '[1]Hoja 1'!$R:$R, "&lt;"&amp;INT($V$1+1)
)</f>
        <v>0</v>
      </c>
      <c r="T139" s="1">
        <f t="shared" si="69"/>
        <v>0</v>
      </c>
      <c r="U139" s="9">
        <f t="shared" si="70"/>
        <v>-4.1093835709669806</v>
      </c>
      <c r="V139" s="10">
        <f t="shared" si="71"/>
        <v>4.1093835709669806</v>
      </c>
      <c r="W139" s="1">
        <f>SUMIFS(
  '[1]Hoja 1'!$M:$M,
  '[1]Hoja 1'!$S:$S, $A139,
  '[1]Hoja 1'!$R:$R, "&gt;="&amp;INT($Y$1),
  '[1]Hoja 1'!$R:$R, "&lt;"&amp;INT($Z$1+1)
)</f>
        <v>0</v>
      </c>
      <c r="X139" s="1">
        <f t="shared" si="72"/>
        <v>0</v>
      </c>
      <c r="Y139" s="9">
        <f t="shared" si="73"/>
        <v>-4.2941448508405022</v>
      </c>
      <c r="Z139" s="10">
        <f t="shared" si="74"/>
        <v>4.2941448508405022</v>
      </c>
      <c r="AA139" s="1">
        <f>SUMIFS(
  '[1]Hoja 1'!$M:$M,
  '[1]Hoja 1'!$S:$S, $A139,
  '[1]Hoja 1'!$R:$R, "&gt;="&amp;INT($AC$1),
  '[1]Hoja 1'!$R:$R, "&lt;"&amp;INT($AD$1+1)
)</f>
        <v>0</v>
      </c>
      <c r="AB139" s="1">
        <f t="shared" si="75"/>
        <v>0</v>
      </c>
      <c r="AC139" s="9">
        <f t="shared" si="76"/>
        <v>-4.0008332465458576</v>
      </c>
      <c r="AD139" s="10">
        <f t="shared" si="77"/>
        <v>4.0008332465458576</v>
      </c>
      <c r="AE139" s="1">
        <f>SUMIFS(
  '[1]Hoja 1'!$M:$M,
  '[1]Hoja 1'!$S:$S, $A139,
  '[1]Hoja 1'!$R:$R, "&gt;="&amp;INT($AG$1),
  '[1]Hoja 1'!$R:$R, "&lt;"&amp;INT($AH$1+1)
)</f>
        <v>0</v>
      </c>
      <c r="AF139" s="1">
        <f t="shared" si="78"/>
        <v>0</v>
      </c>
      <c r="AG139" s="9">
        <f t="shared" si="79"/>
        <v>-3.7531142624048455</v>
      </c>
      <c r="AH139" s="10">
        <f t="shared" si="80"/>
        <v>3.7531142624048455</v>
      </c>
      <c r="AI139" s="1">
        <f>SUMIFS(
  '[1]Hoja 1'!$M:$M,
  '[1]Hoja 1'!$S:$S, $A139,
  '[1]Hoja 1'!$R:$R, "&gt;="&amp;INT($AK$1),
  '[1]Hoja 1'!$R:$R, "&lt;"&amp;INT($AJ$1+1)
)</f>
        <v>0</v>
      </c>
      <c r="AJ139" s="1">
        <f t="shared" si="81"/>
        <v>0</v>
      </c>
      <c r="AK139" s="9">
        <f t="shared" si="82"/>
        <v>-3.5431342057562536</v>
      </c>
      <c r="AL139" s="10">
        <f t="shared" si="83"/>
        <v>3.5431342057562536</v>
      </c>
      <c r="AM139" s="1">
        <f>SUMIFS(
  '[1]Hoja 1'!$M:$M,
  '[1]Hoja 1'!$S:$S, $A139,
  '[1]Hoja 1'!$R:$R, "&gt;="&amp;INT($AO$1),
  '[1]Hoja 1'!$R:$R, "&lt;"&amp;INT($AP$1+1)
)</f>
        <v>0</v>
      </c>
      <c r="AN139" s="1">
        <f t="shared" si="84"/>
        <v>0</v>
      </c>
      <c r="AO139" s="9">
        <f t="shared" si="85"/>
        <v>-3.3632391793890868</v>
      </c>
      <c r="AP139" s="10">
        <f t="shared" si="86"/>
        <v>3.3632391793890868</v>
      </c>
      <c r="AQ139" s="1">
        <f>SUMIFS(
  '[1]Hoja 1'!$M:$M,
  '[1]Hoja 1'!$S:$S, $A139,
  '[1]Hoja 1'!$R:$R, "&gt;="&amp;INT($AS$1),
  '[1]Hoja 1'!$R:$R, "&lt;"&amp;INT($AT$1+1)
)</f>
        <v>0</v>
      </c>
      <c r="AR139" s="1">
        <f t="shared" si="87"/>
        <v>0</v>
      </c>
      <c r="AS139" s="9">
        <f t="shared" si="88"/>
        <v>-3.207327721189575</v>
      </c>
      <c r="AT139" s="10">
        <f t="shared" si="89"/>
        <v>3.207327721189575</v>
      </c>
      <c r="AU139" s="1">
        <f>SUMIFS(
  '[1]Hoja 1'!$M:$M,
  '[1]Hoja 1'!$S:$S, $A139,
  '[1]Hoja 1'!$R:$R, "&gt;="&amp;INT($AW$1),
  '[1]Hoja 1'!$R:$R, "&lt;"&amp;INT($AX$1+1)
)</f>
        <v>0</v>
      </c>
      <c r="AV139" s="1">
        <f t="shared" si="90"/>
        <v>0</v>
      </c>
      <c r="AW139" s="9">
        <f t="shared" si="91"/>
        <v>-3.0707298510585099</v>
      </c>
      <c r="AX139" s="10">
        <f t="shared" si="92"/>
        <v>3.0707298510585099</v>
      </c>
    </row>
    <row r="140" spans="1:50" x14ac:dyDescent="0.25">
      <c r="A140" s="5">
        <v>223015</v>
      </c>
      <c r="B140" s="6" t="s">
        <v>137</v>
      </c>
      <c r="C140" s="1">
        <f>SUMIFS(
  '[1]Hoja 1'!$M:$M,
  '[1]Hoja 1'!$S:$S, $A140,
  '[1]Hoja 1'!$R:$R, "&gt;="&amp;INT($E$1),
  '[1]Hoja 1'!$R:$R, "&lt;"&amp;INT($F$1+1)
)</f>
        <v>0</v>
      </c>
      <c r="D140" s="1" t="str">
        <f>""</f>
        <v/>
      </c>
      <c r="F140" s="2"/>
      <c r="G140" s="1">
        <f>SUMIFS(
  '[1]Hoja 1'!$M:$M,
  '[1]Hoja 1'!$S:$S, $A140,
  '[1]Hoja 1'!$R:$R, "&gt;="&amp;INT($I$1),
  '[1]Hoja 1'!$R:$R, "&lt;"&amp;INT($J$1+1)
)</f>
        <v>0</v>
      </c>
      <c r="H140" s="1">
        <f t="shared" si="62"/>
        <v>0</v>
      </c>
      <c r="I140" s="1"/>
      <c r="J140" s="2"/>
      <c r="K140" s="1">
        <f>SUMIFS(
  '[1]Hoja 1'!$M:$M,
  '[1]Hoja 1'!$S:$S, $A140,
  '[1]Hoja 1'!$R:$R, "&gt;="&amp;INT($M$1),
  '[1]Hoja 1'!$R:$R, "&lt;"&amp;INT($N$1+1)
)</f>
        <v>0</v>
      </c>
      <c r="L140" s="1">
        <f t="shared" si="63"/>
        <v>0</v>
      </c>
      <c r="M140" s="9">
        <f t="shared" si="64"/>
        <v>0</v>
      </c>
      <c r="N140" s="10">
        <f t="shared" si="65"/>
        <v>0</v>
      </c>
      <c r="O140" s="1">
        <f>SUMIFS(
  '[1]Hoja 1'!$M:$M,
  '[1]Hoja 1'!$S:$S, $A140,
  '[1]Hoja 1'!$R:$R, "&gt;="&amp;INT($Q$1),
  '[1]Hoja 1'!$R:$R, "&lt;"&amp;INT($R$1+1)
)</f>
        <v>0</v>
      </c>
      <c r="P140" s="1">
        <f t="shared" si="66"/>
        <v>0</v>
      </c>
      <c r="Q140" s="9">
        <f t="shared" si="67"/>
        <v>0</v>
      </c>
      <c r="R140" s="10">
        <f t="shared" si="68"/>
        <v>0</v>
      </c>
      <c r="S140" s="1">
        <f>SUMIFS(
  '[1]Hoja 1'!$M:$M,
  '[1]Hoja 1'!$S:$S, $A140,
  '[1]Hoja 1'!$R:$R, "&gt;="&amp;INT($U$1),
  '[1]Hoja 1'!$R:$R, "&lt;"&amp;INT($V$1+1)
)</f>
        <v>0</v>
      </c>
      <c r="T140" s="1">
        <f t="shared" si="69"/>
        <v>0</v>
      </c>
      <c r="U140" s="9">
        <f t="shared" si="70"/>
        <v>-1.47</v>
      </c>
      <c r="V140" s="10">
        <f t="shared" si="71"/>
        <v>1.47</v>
      </c>
      <c r="W140" s="1">
        <f>SUMIFS(
  '[1]Hoja 1'!$M:$M,
  '[1]Hoja 1'!$S:$S, $A140,
  '[1]Hoja 1'!$R:$R, "&gt;="&amp;INT($Y$1),
  '[1]Hoja 1'!$R:$R, "&lt;"&amp;INT($Z$1+1)
)</f>
        <v>0</v>
      </c>
      <c r="X140" s="1">
        <f t="shared" si="72"/>
        <v>0</v>
      </c>
      <c r="Y140" s="9">
        <f t="shared" si="73"/>
        <v>0</v>
      </c>
      <c r="Z140" s="10">
        <f t="shared" si="74"/>
        <v>0</v>
      </c>
      <c r="AA140" s="1">
        <f>SUMIFS(
  '[1]Hoja 1'!$M:$M,
  '[1]Hoja 1'!$S:$S, $A140,
  '[1]Hoja 1'!$R:$R, "&gt;="&amp;INT($AC$1),
  '[1]Hoja 1'!$R:$R, "&lt;"&amp;INT($AD$1+1)
)</f>
        <v>0</v>
      </c>
      <c r="AB140" s="1">
        <f t="shared" si="75"/>
        <v>0</v>
      </c>
      <c r="AC140" s="9">
        <f t="shared" si="76"/>
        <v>0</v>
      </c>
      <c r="AD140" s="10">
        <f t="shared" si="77"/>
        <v>0</v>
      </c>
      <c r="AE140" s="1">
        <f>SUMIFS(
  '[1]Hoja 1'!$M:$M,
  '[1]Hoja 1'!$S:$S, $A140,
  '[1]Hoja 1'!$R:$R, "&gt;="&amp;INT($AG$1),
  '[1]Hoja 1'!$R:$R, "&lt;"&amp;INT($AH$1+1)
)</f>
        <v>0</v>
      </c>
      <c r="AF140" s="1">
        <f t="shared" si="78"/>
        <v>0</v>
      </c>
      <c r="AG140" s="9">
        <f t="shared" si="79"/>
        <v>0</v>
      </c>
      <c r="AH140" s="10">
        <f t="shared" si="80"/>
        <v>0</v>
      </c>
      <c r="AI140" s="1">
        <f>SUMIFS(
  '[1]Hoja 1'!$M:$M,
  '[1]Hoja 1'!$S:$S, $A140,
  '[1]Hoja 1'!$R:$R, "&gt;="&amp;INT($AK$1),
  '[1]Hoja 1'!$R:$R, "&lt;"&amp;INT($AJ$1+1)
)</f>
        <v>0</v>
      </c>
      <c r="AJ140" s="1">
        <f t="shared" si="81"/>
        <v>0</v>
      </c>
      <c r="AK140" s="9">
        <f t="shared" si="82"/>
        <v>0</v>
      </c>
      <c r="AL140" s="10">
        <f t="shared" si="83"/>
        <v>0</v>
      </c>
      <c r="AM140" s="1">
        <f>SUMIFS(
  '[1]Hoja 1'!$M:$M,
  '[1]Hoja 1'!$S:$S, $A140,
  '[1]Hoja 1'!$R:$R, "&gt;="&amp;INT($AO$1),
  '[1]Hoja 1'!$R:$R, "&lt;"&amp;INT($AP$1+1)
)</f>
        <v>0</v>
      </c>
      <c r="AN140" s="1">
        <f t="shared" si="84"/>
        <v>0</v>
      </c>
      <c r="AO140" s="9">
        <f t="shared" si="85"/>
        <v>0</v>
      </c>
      <c r="AP140" s="10">
        <f t="shared" si="86"/>
        <v>0</v>
      </c>
      <c r="AQ140" s="1">
        <f>SUMIFS(
  '[1]Hoja 1'!$M:$M,
  '[1]Hoja 1'!$S:$S, $A140,
  '[1]Hoja 1'!$R:$R, "&gt;="&amp;INT($AS$1),
  '[1]Hoja 1'!$R:$R, "&lt;"&amp;INT($AT$1+1)
)</f>
        <v>0</v>
      </c>
      <c r="AR140" s="1">
        <f t="shared" si="87"/>
        <v>0</v>
      </c>
      <c r="AS140" s="9">
        <f t="shared" si="88"/>
        <v>0</v>
      </c>
      <c r="AT140" s="10">
        <f t="shared" si="89"/>
        <v>0</v>
      </c>
      <c r="AU140" s="1">
        <f>SUMIFS(
  '[1]Hoja 1'!$M:$M,
  '[1]Hoja 1'!$S:$S, $A140,
  '[1]Hoja 1'!$R:$R, "&gt;="&amp;INT($AW$1),
  '[1]Hoja 1'!$R:$R, "&lt;"&amp;INT($AX$1+1)
)</f>
        <v>0</v>
      </c>
      <c r="AV140" s="1">
        <f t="shared" si="90"/>
        <v>0</v>
      </c>
      <c r="AW140" s="9">
        <f t="shared" si="91"/>
        <v>0</v>
      </c>
      <c r="AX140" s="10">
        <f t="shared" si="92"/>
        <v>0</v>
      </c>
    </row>
    <row r="141" spans="1:50" x14ac:dyDescent="0.25">
      <c r="A141" s="5">
        <v>223016</v>
      </c>
      <c r="B141" s="6" t="s">
        <v>138</v>
      </c>
      <c r="C141" s="1">
        <f>SUMIFS(
  '[1]Hoja 1'!$M:$M,
  '[1]Hoja 1'!$S:$S, $A141,
  '[1]Hoja 1'!$R:$R, "&gt;="&amp;INT($E$1),
  '[1]Hoja 1'!$R:$R, "&lt;"&amp;INT($F$1+1)
)</f>
        <v>0</v>
      </c>
      <c r="D141" s="1" t="str">
        <f>""</f>
        <v/>
      </c>
      <c r="F141" s="2"/>
      <c r="G141" s="1">
        <f>SUMIFS(
  '[1]Hoja 1'!$M:$M,
  '[1]Hoja 1'!$S:$S, $A141,
  '[1]Hoja 1'!$R:$R, "&gt;="&amp;INT($I$1),
  '[1]Hoja 1'!$R:$R, "&lt;"&amp;INT($J$1+1)
)</f>
        <v>0</v>
      </c>
      <c r="H141" s="1">
        <f t="shared" si="62"/>
        <v>0</v>
      </c>
      <c r="I141" s="1"/>
      <c r="J141" s="2"/>
      <c r="K141" s="1">
        <f>SUMIFS(
  '[1]Hoja 1'!$M:$M,
  '[1]Hoja 1'!$S:$S, $A141,
  '[1]Hoja 1'!$R:$R, "&gt;="&amp;INT($M$1),
  '[1]Hoja 1'!$R:$R, "&lt;"&amp;INT($N$1+1)
)</f>
        <v>0</v>
      </c>
      <c r="L141" s="1">
        <f t="shared" si="63"/>
        <v>0</v>
      </c>
      <c r="M141" s="9">
        <f t="shared" si="64"/>
        <v>0</v>
      </c>
      <c r="N141" s="10">
        <f t="shared" si="65"/>
        <v>0</v>
      </c>
      <c r="O141" s="1">
        <f>SUMIFS(
  '[1]Hoja 1'!$M:$M,
  '[1]Hoja 1'!$S:$S, $A141,
  '[1]Hoja 1'!$R:$R, "&gt;="&amp;INT($Q$1),
  '[1]Hoja 1'!$R:$R, "&lt;"&amp;INT($R$1+1)
)</f>
        <v>0</v>
      </c>
      <c r="P141" s="1">
        <f t="shared" si="66"/>
        <v>0</v>
      </c>
      <c r="Q141" s="9">
        <f t="shared" si="67"/>
        <v>0</v>
      </c>
      <c r="R141" s="10">
        <f t="shared" si="68"/>
        <v>0</v>
      </c>
      <c r="S141" s="1">
        <f>SUMIFS(
  '[1]Hoja 1'!$M:$M,
  '[1]Hoja 1'!$S:$S, $A141,
  '[1]Hoja 1'!$R:$R, "&gt;="&amp;INT($U$1),
  '[1]Hoja 1'!$R:$R, "&lt;"&amp;INT($V$1+1)
)</f>
        <v>0</v>
      </c>
      <c r="T141" s="1">
        <f t="shared" si="69"/>
        <v>0</v>
      </c>
      <c r="U141" s="9">
        <f t="shared" si="70"/>
        <v>-1.47</v>
      </c>
      <c r="V141" s="10">
        <f t="shared" si="71"/>
        <v>1.47</v>
      </c>
      <c r="W141" s="1">
        <f>SUMIFS(
  '[1]Hoja 1'!$M:$M,
  '[1]Hoja 1'!$S:$S, $A141,
  '[1]Hoja 1'!$R:$R, "&gt;="&amp;INT($Y$1),
  '[1]Hoja 1'!$R:$R, "&lt;"&amp;INT($Z$1+1)
)</f>
        <v>0</v>
      </c>
      <c r="X141" s="1">
        <f t="shared" si="72"/>
        <v>0</v>
      </c>
      <c r="Y141" s="9">
        <f t="shared" si="73"/>
        <v>0</v>
      </c>
      <c r="Z141" s="10">
        <f t="shared" si="74"/>
        <v>0</v>
      </c>
      <c r="AA141" s="1">
        <f>SUMIFS(
  '[1]Hoja 1'!$M:$M,
  '[1]Hoja 1'!$S:$S, $A141,
  '[1]Hoja 1'!$R:$R, "&gt;="&amp;INT($AC$1),
  '[1]Hoja 1'!$R:$R, "&lt;"&amp;INT($AD$1+1)
)</f>
        <v>0</v>
      </c>
      <c r="AB141" s="1">
        <f t="shared" si="75"/>
        <v>0</v>
      </c>
      <c r="AC141" s="9">
        <f t="shared" si="76"/>
        <v>0</v>
      </c>
      <c r="AD141" s="10">
        <f t="shared" si="77"/>
        <v>0</v>
      </c>
      <c r="AE141" s="1">
        <f>SUMIFS(
  '[1]Hoja 1'!$M:$M,
  '[1]Hoja 1'!$S:$S, $A141,
  '[1]Hoja 1'!$R:$R, "&gt;="&amp;INT($AG$1),
  '[1]Hoja 1'!$R:$R, "&lt;"&amp;INT($AH$1+1)
)</f>
        <v>0</v>
      </c>
      <c r="AF141" s="1">
        <f t="shared" si="78"/>
        <v>0</v>
      </c>
      <c r="AG141" s="9">
        <f t="shared" si="79"/>
        <v>0</v>
      </c>
      <c r="AH141" s="10">
        <f t="shared" si="80"/>
        <v>0</v>
      </c>
      <c r="AI141" s="1">
        <f>SUMIFS(
  '[1]Hoja 1'!$M:$M,
  '[1]Hoja 1'!$S:$S, $A141,
  '[1]Hoja 1'!$R:$R, "&gt;="&amp;INT($AK$1),
  '[1]Hoja 1'!$R:$R, "&lt;"&amp;INT($AJ$1+1)
)</f>
        <v>0</v>
      </c>
      <c r="AJ141" s="1">
        <f t="shared" si="81"/>
        <v>0</v>
      </c>
      <c r="AK141" s="9">
        <f t="shared" si="82"/>
        <v>0</v>
      </c>
      <c r="AL141" s="10">
        <f t="shared" si="83"/>
        <v>0</v>
      </c>
      <c r="AM141" s="1">
        <f>SUMIFS(
  '[1]Hoja 1'!$M:$M,
  '[1]Hoja 1'!$S:$S, $A141,
  '[1]Hoja 1'!$R:$R, "&gt;="&amp;INT($AO$1),
  '[1]Hoja 1'!$R:$R, "&lt;"&amp;INT($AP$1+1)
)</f>
        <v>0</v>
      </c>
      <c r="AN141" s="1">
        <f t="shared" si="84"/>
        <v>0</v>
      </c>
      <c r="AO141" s="9">
        <f t="shared" si="85"/>
        <v>0</v>
      </c>
      <c r="AP141" s="10">
        <f t="shared" si="86"/>
        <v>0</v>
      </c>
      <c r="AQ141" s="1">
        <f>SUMIFS(
  '[1]Hoja 1'!$M:$M,
  '[1]Hoja 1'!$S:$S, $A141,
  '[1]Hoja 1'!$R:$R, "&gt;="&amp;INT($AS$1),
  '[1]Hoja 1'!$R:$R, "&lt;"&amp;INT($AT$1+1)
)</f>
        <v>0</v>
      </c>
      <c r="AR141" s="1">
        <f t="shared" si="87"/>
        <v>0</v>
      </c>
      <c r="AS141" s="9">
        <f t="shared" si="88"/>
        <v>0</v>
      </c>
      <c r="AT141" s="10">
        <f t="shared" si="89"/>
        <v>0</v>
      </c>
      <c r="AU141" s="1">
        <f>SUMIFS(
  '[1]Hoja 1'!$M:$M,
  '[1]Hoja 1'!$S:$S, $A141,
  '[1]Hoja 1'!$R:$R, "&gt;="&amp;INT($AW$1),
  '[1]Hoja 1'!$R:$R, "&lt;"&amp;INT($AX$1+1)
)</f>
        <v>0</v>
      </c>
      <c r="AV141" s="1">
        <f t="shared" si="90"/>
        <v>0</v>
      </c>
      <c r="AW141" s="9">
        <f t="shared" si="91"/>
        <v>0</v>
      </c>
      <c r="AX141" s="10">
        <f t="shared" si="92"/>
        <v>0</v>
      </c>
    </row>
    <row r="142" spans="1:50" x14ac:dyDescent="0.25">
      <c r="A142" s="5">
        <v>223017</v>
      </c>
      <c r="B142" s="6" t="s">
        <v>139</v>
      </c>
      <c r="C142" s="1">
        <f>SUMIFS(
  '[1]Hoja 1'!$M:$M,
  '[1]Hoja 1'!$S:$S, $A142,
  '[1]Hoja 1'!$R:$R, "&gt;="&amp;INT($E$1),
  '[1]Hoja 1'!$R:$R, "&lt;"&amp;INT($F$1+1)
)</f>
        <v>0</v>
      </c>
      <c r="D142" s="1" t="str">
        <f>""</f>
        <v/>
      </c>
      <c r="F142" s="2"/>
      <c r="G142" s="1">
        <f>SUMIFS(
  '[1]Hoja 1'!$M:$M,
  '[1]Hoja 1'!$S:$S, $A142,
  '[1]Hoja 1'!$R:$R, "&gt;="&amp;INT($I$1),
  '[1]Hoja 1'!$R:$R, "&lt;"&amp;INT($J$1+1)
)</f>
        <v>0</v>
      </c>
      <c r="H142" s="1">
        <f t="shared" si="62"/>
        <v>0</v>
      </c>
      <c r="I142" s="1"/>
      <c r="J142" s="2"/>
      <c r="K142" s="1">
        <f>SUMIFS(
  '[1]Hoja 1'!$M:$M,
  '[1]Hoja 1'!$S:$S, $A142,
  '[1]Hoja 1'!$R:$R, "&gt;="&amp;INT($M$1),
  '[1]Hoja 1'!$R:$R, "&lt;"&amp;INT($N$1+1)
)</f>
        <v>0</v>
      </c>
      <c r="L142" s="1">
        <f t="shared" si="63"/>
        <v>0</v>
      </c>
      <c r="M142" s="9">
        <f t="shared" si="64"/>
        <v>0</v>
      </c>
      <c r="N142" s="10">
        <f t="shared" si="65"/>
        <v>0</v>
      </c>
      <c r="O142" s="1">
        <f>SUMIFS(
  '[1]Hoja 1'!$M:$M,
  '[1]Hoja 1'!$S:$S, $A142,
  '[1]Hoja 1'!$R:$R, "&gt;="&amp;INT($Q$1),
  '[1]Hoja 1'!$R:$R, "&lt;"&amp;INT($R$1+1)
)</f>
        <v>0</v>
      </c>
      <c r="P142" s="1">
        <f t="shared" si="66"/>
        <v>0</v>
      </c>
      <c r="Q142" s="9">
        <f t="shared" si="67"/>
        <v>0</v>
      </c>
      <c r="R142" s="10">
        <f t="shared" si="68"/>
        <v>0</v>
      </c>
      <c r="S142" s="1">
        <f>SUMIFS(
  '[1]Hoja 1'!$M:$M,
  '[1]Hoja 1'!$S:$S, $A142,
  '[1]Hoja 1'!$R:$R, "&gt;="&amp;INT($U$1),
  '[1]Hoja 1'!$R:$R, "&lt;"&amp;INT($V$1+1)
)</f>
        <v>0</v>
      </c>
      <c r="T142" s="1">
        <f t="shared" si="69"/>
        <v>0</v>
      </c>
      <c r="U142" s="9">
        <f t="shared" si="70"/>
        <v>-1.47</v>
      </c>
      <c r="V142" s="10">
        <f t="shared" si="71"/>
        <v>1.47</v>
      </c>
      <c r="W142" s="1">
        <f>SUMIFS(
  '[1]Hoja 1'!$M:$M,
  '[1]Hoja 1'!$S:$S, $A142,
  '[1]Hoja 1'!$R:$R, "&gt;="&amp;INT($Y$1),
  '[1]Hoja 1'!$R:$R, "&lt;"&amp;INT($Z$1+1)
)</f>
        <v>0</v>
      </c>
      <c r="X142" s="1">
        <f t="shared" si="72"/>
        <v>0</v>
      </c>
      <c r="Y142" s="9">
        <f t="shared" si="73"/>
        <v>0</v>
      </c>
      <c r="Z142" s="10">
        <f t="shared" si="74"/>
        <v>0</v>
      </c>
      <c r="AA142" s="1">
        <f>SUMIFS(
  '[1]Hoja 1'!$M:$M,
  '[1]Hoja 1'!$S:$S, $A142,
  '[1]Hoja 1'!$R:$R, "&gt;="&amp;INT($AC$1),
  '[1]Hoja 1'!$R:$R, "&lt;"&amp;INT($AD$1+1)
)</f>
        <v>0</v>
      </c>
      <c r="AB142" s="1">
        <f t="shared" si="75"/>
        <v>0</v>
      </c>
      <c r="AC142" s="9">
        <f t="shared" si="76"/>
        <v>0</v>
      </c>
      <c r="AD142" s="10">
        <f t="shared" si="77"/>
        <v>0</v>
      </c>
      <c r="AE142" s="1">
        <f>SUMIFS(
  '[1]Hoja 1'!$M:$M,
  '[1]Hoja 1'!$S:$S, $A142,
  '[1]Hoja 1'!$R:$R, "&gt;="&amp;INT($AG$1),
  '[1]Hoja 1'!$R:$R, "&lt;"&amp;INT($AH$1+1)
)</f>
        <v>0</v>
      </c>
      <c r="AF142" s="1">
        <f t="shared" si="78"/>
        <v>0</v>
      </c>
      <c r="AG142" s="9">
        <f t="shared" si="79"/>
        <v>0</v>
      </c>
      <c r="AH142" s="10">
        <f t="shared" si="80"/>
        <v>0</v>
      </c>
      <c r="AI142" s="1">
        <f>SUMIFS(
  '[1]Hoja 1'!$M:$M,
  '[1]Hoja 1'!$S:$S, $A142,
  '[1]Hoja 1'!$R:$R, "&gt;="&amp;INT($AK$1),
  '[1]Hoja 1'!$R:$R, "&lt;"&amp;INT($AJ$1+1)
)</f>
        <v>0</v>
      </c>
      <c r="AJ142" s="1">
        <f t="shared" si="81"/>
        <v>0</v>
      </c>
      <c r="AK142" s="9">
        <f t="shared" si="82"/>
        <v>0</v>
      </c>
      <c r="AL142" s="10">
        <f t="shared" si="83"/>
        <v>0</v>
      </c>
      <c r="AM142" s="1">
        <f>SUMIFS(
  '[1]Hoja 1'!$M:$M,
  '[1]Hoja 1'!$S:$S, $A142,
  '[1]Hoja 1'!$R:$R, "&gt;="&amp;INT($AO$1),
  '[1]Hoja 1'!$R:$R, "&lt;"&amp;INT($AP$1+1)
)</f>
        <v>0</v>
      </c>
      <c r="AN142" s="1">
        <f t="shared" si="84"/>
        <v>0</v>
      </c>
      <c r="AO142" s="9">
        <f t="shared" si="85"/>
        <v>0</v>
      </c>
      <c r="AP142" s="10">
        <f t="shared" si="86"/>
        <v>0</v>
      </c>
      <c r="AQ142" s="1">
        <f>SUMIFS(
  '[1]Hoja 1'!$M:$M,
  '[1]Hoja 1'!$S:$S, $A142,
  '[1]Hoja 1'!$R:$R, "&gt;="&amp;INT($AS$1),
  '[1]Hoja 1'!$R:$R, "&lt;"&amp;INT($AT$1+1)
)</f>
        <v>0</v>
      </c>
      <c r="AR142" s="1">
        <f t="shared" si="87"/>
        <v>0</v>
      </c>
      <c r="AS142" s="9">
        <f t="shared" si="88"/>
        <v>0</v>
      </c>
      <c r="AT142" s="10">
        <f t="shared" si="89"/>
        <v>0</v>
      </c>
      <c r="AU142" s="1">
        <f>SUMIFS(
  '[1]Hoja 1'!$M:$M,
  '[1]Hoja 1'!$S:$S, $A142,
  '[1]Hoja 1'!$R:$R, "&gt;="&amp;INT($AW$1),
  '[1]Hoja 1'!$R:$R, "&lt;"&amp;INT($AX$1+1)
)</f>
        <v>0</v>
      </c>
      <c r="AV142" s="1">
        <f t="shared" si="90"/>
        <v>0</v>
      </c>
      <c r="AW142" s="9">
        <f t="shared" si="91"/>
        <v>0</v>
      </c>
      <c r="AX142" s="10">
        <f t="shared" si="92"/>
        <v>0</v>
      </c>
    </row>
    <row r="143" spans="1:50" x14ac:dyDescent="0.25">
      <c r="A143" s="5">
        <v>223018</v>
      </c>
      <c r="B143" s="6" t="s">
        <v>140</v>
      </c>
      <c r="C143" s="1">
        <f>SUMIFS(
  '[1]Hoja 1'!$M:$M,
  '[1]Hoja 1'!$S:$S, $A143,
  '[1]Hoja 1'!$R:$R, "&gt;="&amp;INT($E$1),
  '[1]Hoja 1'!$R:$R, "&lt;"&amp;INT($F$1+1)
)</f>
        <v>0</v>
      </c>
      <c r="D143" s="1" t="str">
        <f>""</f>
        <v/>
      </c>
      <c r="F143" s="2"/>
      <c r="G143" s="1">
        <f>SUMIFS(
  '[1]Hoja 1'!$M:$M,
  '[1]Hoja 1'!$S:$S, $A143,
  '[1]Hoja 1'!$R:$R, "&gt;="&amp;INT($I$1),
  '[1]Hoja 1'!$R:$R, "&lt;"&amp;INT($J$1+1)
)</f>
        <v>0</v>
      </c>
      <c r="H143" s="1">
        <f t="shared" si="62"/>
        <v>0</v>
      </c>
      <c r="I143" s="1"/>
      <c r="J143" s="2"/>
      <c r="K143" s="1">
        <f>SUMIFS(
  '[1]Hoja 1'!$M:$M,
  '[1]Hoja 1'!$S:$S, $A143,
  '[1]Hoja 1'!$R:$R, "&gt;="&amp;INT($M$1),
  '[1]Hoja 1'!$R:$R, "&lt;"&amp;INT($N$1+1)
)</f>
        <v>0</v>
      </c>
      <c r="L143" s="1">
        <f t="shared" si="63"/>
        <v>0</v>
      </c>
      <c r="M143" s="9">
        <f t="shared" si="64"/>
        <v>0</v>
      </c>
      <c r="N143" s="10">
        <f t="shared" si="65"/>
        <v>0</v>
      </c>
      <c r="O143" s="1">
        <f>SUMIFS(
  '[1]Hoja 1'!$M:$M,
  '[1]Hoja 1'!$S:$S, $A143,
  '[1]Hoja 1'!$R:$R, "&gt;="&amp;INT($Q$1),
  '[1]Hoja 1'!$R:$R, "&lt;"&amp;INT($R$1+1)
)</f>
        <v>0</v>
      </c>
      <c r="P143" s="1">
        <f t="shared" si="66"/>
        <v>0</v>
      </c>
      <c r="Q143" s="9">
        <f t="shared" si="67"/>
        <v>0</v>
      </c>
      <c r="R143" s="10">
        <f t="shared" si="68"/>
        <v>0</v>
      </c>
      <c r="S143" s="1">
        <f>SUMIFS(
  '[1]Hoja 1'!$M:$M,
  '[1]Hoja 1'!$S:$S, $A143,
  '[1]Hoja 1'!$R:$R, "&gt;="&amp;INT($U$1),
  '[1]Hoja 1'!$R:$R, "&lt;"&amp;INT($V$1+1)
)</f>
        <v>0</v>
      </c>
      <c r="T143" s="1">
        <f t="shared" si="69"/>
        <v>0</v>
      </c>
      <c r="U143" s="9">
        <f t="shared" si="70"/>
        <v>-1.47</v>
      </c>
      <c r="V143" s="10">
        <f t="shared" si="71"/>
        <v>1.47</v>
      </c>
      <c r="W143" s="1">
        <f>SUMIFS(
  '[1]Hoja 1'!$M:$M,
  '[1]Hoja 1'!$S:$S, $A143,
  '[1]Hoja 1'!$R:$R, "&gt;="&amp;INT($Y$1),
  '[1]Hoja 1'!$R:$R, "&lt;"&amp;INT($Z$1+1)
)</f>
        <v>0</v>
      </c>
      <c r="X143" s="1">
        <f t="shared" si="72"/>
        <v>0</v>
      </c>
      <c r="Y143" s="9">
        <f t="shared" si="73"/>
        <v>0</v>
      </c>
      <c r="Z143" s="10">
        <f t="shared" si="74"/>
        <v>0</v>
      </c>
      <c r="AA143" s="1">
        <f>SUMIFS(
  '[1]Hoja 1'!$M:$M,
  '[1]Hoja 1'!$S:$S, $A143,
  '[1]Hoja 1'!$R:$R, "&gt;="&amp;INT($AC$1),
  '[1]Hoja 1'!$R:$R, "&lt;"&amp;INT($AD$1+1)
)</f>
        <v>0</v>
      </c>
      <c r="AB143" s="1">
        <f t="shared" si="75"/>
        <v>0</v>
      </c>
      <c r="AC143" s="9">
        <f t="shared" si="76"/>
        <v>0</v>
      </c>
      <c r="AD143" s="10">
        <f t="shared" si="77"/>
        <v>0</v>
      </c>
      <c r="AE143" s="1">
        <f>SUMIFS(
  '[1]Hoja 1'!$M:$M,
  '[1]Hoja 1'!$S:$S, $A143,
  '[1]Hoja 1'!$R:$R, "&gt;="&amp;INT($AG$1),
  '[1]Hoja 1'!$R:$R, "&lt;"&amp;INT($AH$1+1)
)</f>
        <v>0</v>
      </c>
      <c r="AF143" s="1">
        <f t="shared" si="78"/>
        <v>0</v>
      </c>
      <c r="AG143" s="9">
        <f t="shared" si="79"/>
        <v>0</v>
      </c>
      <c r="AH143" s="10">
        <f t="shared" si="80"/>
        <v>0</v>
      </c>
      <c r="AI143" s="1">
        <f>SUMIFS(
  '[1]Hoja 1'!$M:$M,
  '[1]Hoja 1'!$S:$S, $A143,
  '[1]Hoja 1'!$R:$R, "&gt;="&amp;INT($AK$1),
  '[1]Hoja 1'!$R:$R, "&lt;"&amp;INT($AJ$1+1)
)</f>
        <v>0</v>
      </c>
      <c r="AJ143" s="1">
        <f t="shared" si="81"/>
        <v>0</v>
      </c>
      <c r="AK143" s="9">
        <f t="shared" si="82"/>
        <v>0</v>
      </c>
      <c r="AL143" s="10">
        <f t="shared" si="83"/>
        <v>0</v>
      </c>
      <c r="AM143" s="1">
        <f>SUMIFS(
  '[1]Hoja 1'!$M:$M,
  '[1]Hoja 1'!$S:$S, $A143,
  '[1]Hoja 1'!$R:$R, "&gt;="&amp;INT($AO$1),
  '[1]Hoja 1'!$R:$R, "&lt;"&amp;INT($AP$1+1)
)</f>
        <v>0</v>
      </c>
      <c r="AN143" s="1">
        <f t="shared" si="84"/>
        <v>0</v>
      </c>
      <c r="AO143" s="9">
        <f t="shared" si="85"/>
        <v>0</v>
      </c>
      <c r="AP143" s="10">
        <f t="shared" si="86"/>
        <v>0</v>
      </c>
      <c r="AQ143" s="1">
        <f>SUMIFS(
  '[1]Hoja 1'!$M:$M,
  '[1]Hoja 1'!$S:$S, $A143,
  '[1]Hoja 1'!$R:$R, "&gt;="&amp;INT($AS$1),
  '[1]Hoja 1'!$R:$R, "&lt;"&amp;INT($AT$1+1)
)</f>
        <v>0</v>
      </c>
      <c r="AR143" s="1">
        <f t="shared" si="87"/>
        <v>0</v>
      </c>
      <c r="AS143" s="9">
        <f t="shared" si="88"/>
        <v>0</v>
      </c>
      <c r="AT143" s="10">
        <f t="shared" si="89"/>
        <v>0</v>
      </c>
      <c r="AU143" s="1">
        <f>SUMIFS(
  '[1]Hoja 1'!$M:$M,
  '[1]Hoja 1'!$S:$S, $A143,
  '[1]Hoja 1'!$R:$R, "&gt;="&amp;INT($AW$1),
  '[1]Hoja 1'!$R:$R, "&lt;"&amp;INT($AX$1+1)
)</f>
        <v>0</v>
      </c>
      <c r="AV143" s="1">
        <f t="shared" si="90"/>
        <v>0</v>
      </c>
      <c r="AW143" s="9">
        <f t="shared" si="91"/>
        <v>0</v>
      </c>
      <c r="AX143" s="10">
        <f t="shared" si="92"/>
        <v>0</v>
      </c>
    </row>
    <row r="144" spans="1:50" x14ac:dyDescent="0.25">
      <c r="A144" s="5">
        <v>224001</v>
      </c>
      <c r="B144" s="6" t="s">
        <v>141</v>
      </c>
      <c r="C144" s="1">
        <f>SUMIFS(
  '[1]Hoja 1'!$M:$M,
  '[1]Hoja 1'!$S:$S, $A144,
  '[1]Hoja 1'!$R:$R, "&gt;="&amp;INT($E$1),
  '[1]Hoja 1'!$R:$R, "&lt;"&amp;INT($F$1+1)
)</f>
        <v>3</v>
      </c>
      <c r="D144" s="1" t="str">
        <f>""</f>
        <v/>
      </c>
      <c r="F144" s="2"/>
      <c r="G144" s="1">
        <f>SUMIFS(
  '[1]Hoja 1'!$M:$M,
  '[1]Hoja 1'!$S:$S, $A144,
  '[1]Hoja 1'!$R:$R, "&gt;="&amp;INT($I$1),
  '[1]Hoja 1'!$R:$R, "&lt;"&amp;INT($J$1+1)
)</f>
        <v>0</v>
      </c>
      <c r="H144" s="1">
        <f t="shared" si="62"/>
        <v>2</v>
      </c>
      <c r="I144" s="1"/>
      <c r="J144" s="2"/>
      <c r="K144" s="1">
        <f>SUMIFS(
  '[1]Hoja 1'!$M:$M,
  '[1]Hoja 1'!$S:$S, $A144,
  '[1]Hoja 1'!$R:$R, "&gt;="&amp;INT($M$1),
  '[1]Hoja 1'!$R:$R, "&lt;"&amp;INT($N$1+1)
)</f>
        <v>0</v>
      </c>
      <c r="L144" s="1">
        <f t="shared" si="63"/>
        <v>0</v>
      </c>
      <c r="M144" s="9">
        <f t="shared" si="64"/>
        <v>-2.0788939366884494</v>
      </c>
      <c r="N144" s="10">
        <f t="shared" si="65"/>
        <v>2.0788939366884494</v>
      </c>
      <c r="O144" s="1">
        <f>SUMIFS(
  '[1]Hoja 1'!$M:$M,
  '[1]Hoja 1'!$S:$S, $A144,
  '[1]Hoja 1'!$R:$R, "&gt;="&amp;INT($Q$1),
  '[1]Hoja 1'!$R:$R, "&lt;"&amp;INT($R$1+1)
)</f>
        <v>0</v>
      </c>
      <c r="P144" s="1">
        <f t="shared" si="66"/>
        <v>0</v>
      </c>
      <c r="Q144" s="9">
        <f t="shared" si="67"/>
        <v>-1.6974097914174997</v>
      </c>
      <c r="R144" s="10">
        <f t="shared" si="68"/>
        <v>1.6974097914174997</v>
      </c>
      <c r="S144" s="1">
        <f>SUMIFS(
  '[1]Hoja 1'!$M:$M,
  '[1]Hoja 1'!$S:$S, $A144,
  '[1]Hoja 1'!$R:$R, "&gt;="&amp;INT($U$1),
  '[1]Hoja 1'!$R:$R, "&lt;"&amp;INT($V$1+1)
)</f>
        <v>0</v>
      </c>
      <c r="T144" s="1">
        <f t="shared" si="69"/>
        <v>0</v>
      </c>
      <c r="U144" s="9">
        <f t="shared" si="70"/>
        <v>-1.6974097914174997</v>
      </c>
      <c r="V144" s="10">
        <f t="shared" si="71"/>
        <v>1.6974097914174997</v>
      </c>
      <c r="W144" s="1">
        <f>SUMIFS(
  '[1]Hoja 1'!$M:$M,
  '[1]Hoja 1'!$S:$S, $A144,
  '[1]Hoja 1'!$R:$R, "&gt;="&amp;INT($Y$1),
  '[1]Hoja 1'!$R:$R, "&lt;"&amp;INT($Z$1+1)
)</f>
        <v>0</v>
      </c>
      <c r="X144" s="1">
        <f t="shared" si="72"/>
        <v>0</v>
      </c>
      <c r="Y144" s="9">
        <f t="shared" si="73"/>
        <v>-1.3148079707698763</v>
      </c>
      <c r="Z144" s="10">
        <f t="shared" si="74"/>
        <v>1.3148079707698763</v>
      </c>
      <c r="AA144" s="1">
        <f>SUMIFS(
  '[1]Hoja 1'!$M:$M,
  '[1]Hoja 1'!$S:$S, $A144,
  '[1]Hoja 1'!$R:$R, "&gt;="&amp;INT($AC$1),
  '[1]Hoja 1'!$R:$R, "&lt;"&amp;INT($AD$1+1)
)</f>
        <v>0</v>
      </c>
      <c r="AB144" s="1">
        <f t="shared" si="75"/>
        <v>0</v>
      </c>
      <c r="AC144" s="9">
        <f t="shared" si="76"/>
        <v>-1.2002499739637571</v>
      </c>
      <c r="AD144" s="10">
        <f t="shared" si="77"/>
        <v>1.2002499739637571</v>
      </c>
      <c r="AE144" s="1">
        <f>SUMIFS(
  '[1]Hoja 1'!$M:$M,
  '[1]Hoja 1'!$S:$S, $A144,
  '[1]Hoja 1'!$R:$R, "&gt;="&amp;INT($AG$1),
  '[1]Hoja 1'!$R:$R, "&lt;"&amp;INT($AH$1+1)
)</f>
        <v>0</v>
      </c>
      <c r="AF144" s="1">
        <f t="shared" si="78"/>
        <v>0</v>
      </c>
      <c r="AG144" s="9">
        <f t="shared" si="79"/>
        <v>-1.111215550647128</v>
      </c>
      <c r="AH144" s="10">
        <f t="shared" si="80"/>
        <v>1.111215550647128</v>
      </c>
      <c r="AI144" s="1">
        <f>SUMIFS(
  '[1]Hoja 1'!$M:$M,
  '[1]Hoja 1'!$S:$S, $A144,
  '[1]Hoja 1'!$R:$R, "&gt;="&amp;INT($AK$1),
  '[1]Hoja 1'!$R:$R, "&lt;"&amp;INT($AJ$1+1)
)</f>
        <v>0</v>
      </c>
      <c r="AJ144" s="1">
        <f t="shared" si="81"/>
        <v>0</v>
      </c>
      <c r="AK144" s="9">
        <f t="shared" si="82"/>
        <v>-1.0394469683442247</v>
      </c>
      <c r="AL144" s="10">
        <f t="shared" si="83"/>
        <v>1.0394469683442247</v>
      </c>
      <c r="AM144" s="1">
        <f>SUMIFS(
  '[1]Hoja 1'!$M:$M,
  '[1]Hoja 1'!$S:$S, $A144,
  '[1]Hoja 1'!$R:$R, "&gt;="&amp;INT($AO$1),
  '[1]Hoja 1'!$R:$R, "&lt;"&amp;INT($AP$1+1)
)</f>
        <v>0</v>
      </c>
      <c r="AN144" s="1">
        <f t="shared" si="84"/>
        <v>0</v>
      </c>
      <c r="AO144" s="9">
        <f t="shared" si="85"/>
        <v>-0.98</v>
      </c>
      <c r="AP144" s="10">
        <f t="shared" si="86"/>
        <v>0.98</v>
      </c>
      <c r="AQ144" s="1">
        <f>SUMIFS(
  '[1]Hoja 1'!$M:$M,
  '[1]Hoja 1'!$S:$S, $A144,
  '[1]Hoja 1'!$R:$R, "&gt;="&amp;INT($AS$1),
  '[1]Hoja 1'!$R:$R, "&lt;"&amp;INT($AT$1+1)
)</f>
        <v>0</v>
      </c>
      <c r="AR144" s="1">
        <f t="shared" si="87"/>
        <v>0</v>
      </c>
      <c r="AS144" s="9">
        <f t="shared" si="88"/>
        <v>-0.92970963208950352</v>
      </c>
      <c r="AT144" s="10">
        <f t="shared" si="89"/>
        <v>0.92970963208950352</v>
      </c>
      <c r="AU144" s="1">
        <f>SUMIFS(
  '[1]Hoja 1'!$M:$M,
  '[1]Hoja 1'!$S:$S, $A144,
  '[1]Hoja 1'!$R:$R, "&gt;="&amp;INT($AW$1),
  '[1]Hoja 1'!$R:$R, "&lt;"&amp;INT($AX$1+1)
)</f>
        <v>0</v>
      </c>
      <c r="AV144" s="1">
        <f t="shared" si="90"/>
        <v>0</v>
      </c>
      <c r="AW144" s="9">
        <f t="shared" si="91"/>
        <v>-0.88644335305862509</v>
      </c>
      <c r="AX144" s="10">
        <f t="shared" si="92"/>
        <v>0.88644335305862509</v>
      </c>
    </row>
    <row r="145" spans="1:50" x14ac:dyDescent="0.25">
      <c r="A145" s="5">
        <v>224002</v>
      </c>
      <c r="B145" s="6" t="s">
        <v>142</v>
      </c>
      <c r="C145" s="1">
        <f>SUMIFS(
  '[1]Hoja 1'!$M:$M,
  '[1]Hoja 1'!$S:$S, $A145,
  '[1]Hoja 1'!$R:$R, "&gt;="&amp;INT($E$1),
  '[1]Hoja 1'!$R:$R, "&lt;"&amp;INT($F$1+1)
)</f>
        <v>0</v>
      </c>
      <c r="D145" s="1" t="str">
        <f>""</f>
        <v/>
      </c>
      <c r="F145" s="2"/>
      <c r="G145" s="1">
        <f>SUMIFS(
  '[1]Hoja 1'!$M:$M,
  '[1]Hoja 1'!$S:$S, $A145,
  '[1]Hoja 1'!$R:$R, "&gt;="&amp;INT($I$1),
  '[1]Hoja 1'!$R:$R, "&lt;"&amp;INT($J$1+1)
)</f>
        <v>0</v>
      </c>
      <c r="H145" s="1">
        <f t="shared" si="62"/>
        <v>0</v>
      </c>
      <c r="I145" s="1"/>
      <c r="J145" s="2"/>
      <c r="K145" s="1">
        <f>SUMIFS(
  '[1]Hoja 1'!$M:$M,
  '[1]Hoja 1'!$S:$S, $A145,
  '[1]Hoja 1'!$R:$R, "&gt;="&amp;INT($M$1),
  '[1]Hoja 1'!$R:$R, "&lt;"&amp;INT($N$1+1)
)</f>
        <v>0</v>
      </c>
      <c r="L145" s="1">
        <f t="shared" si="63"/>
        <v>0</v>
      </c>
      <c r="M145" s="9">
        <f t="shared" si="64"/>
        <v>0</v>
      </c>
      <c r="N145" s="10">
        <f t="shared" si="65"/>
        <v>0</v>
      </c>
      <c r="O145" s="1">
        <f>SUMIFS(
  '[1]Hoja 1'!$M:$M,
  '[1]Hoja 1'!$S:$S, $A145,
  '[1]Hoja 1'!$R:$R, "&gt;="&amp;INT($Q$1),
  '[1]Hoja 1'!$R:$R, "&lt;"&amp;INT($R$1+1)
)</f>
        <v>0</v>
      </c>
      <c r="P145" s="1">
        <f t="shared" si="66"/>
        <v>0</v>
      </c>
      <c r="Q145" s="9">
        <f t="shared" si="67"/>
        <v>0</v>
      </c>
      <c r="R145" s="10">
        <f t="shared" si="68"/>
        <v>0</v>
      </c>
      <c r="S145" s="1">
        <f>SUMIFS(
  '[1]Hoja 1'!$M:$M,
  '[1]Hoja 1'!$S:$S, $A145,
  '[1]Hoja 1'!$R:$R, "&gt;="&amp;INT($U$1),
  '[1]Hoja 1'!$R:$R, "&lt;"&amp;INT($V$1+1)
)</f>
        <v>0</v>
      </c>
      <c r="T145" s="1">
        <f t="shared" si="69"/>
        <v>0</v>
      </c>
      <c r="U145" s="9">
        <f t="shared" si="70"/>
        <v>-1.47</v>
      </c>
      <c r="V145" s="10">
        <f t="shared" si="71"/>
        <v>1.47</v>
      </c>
      <c r="W145" s="1">
        <f>SUMIFS(
  '[1]Hoja 1'!$M:$M,
  '[1]Hoja 1'!$S:$S, $A145,
  '[1]Hoja 1'!$R:$R, "&gt;="&amp;INT($Y$1),
  '[1]Hoja 1'!$R:$R, "&lt;"&amp;INT($Z$1+1)
)</f>
        <v>0</v>
      </c>
      <c r="X145" s="1">
        <f t="shared" si="72"/>
        <v>0</v>
      </c>
      <c r="Y145" s="9">
        <f t="shared" si="73"/>
        <v>0</v>
      </c>
      <c r="Z145" s="10">
        <f t="shared" si="74"/>
        <v>0</v>
      </c>
      <c r="AA145" s="1">
        <f>SUMIFS(
  '[1]Hoja 1'!$M:$M,
  '[1]Hoja 1'!$S:$S, $A145,
  '[1]Hoja 1'!$R:$R, "&gt;="&amp;INT($AC$1),
  '[1]Hoja 1'!$R:$R, "&lt;"&amp;INT($AD$1+1)
)</f>
        <v>0</v>
      </c>
      <c r="AB145" s="1">
        <f t="shared" si="75"/>
        <v>0</v>
      </c>
      <c r="AC145" s="9">
        <f t="shared" si="76"/>
        <v>0</v>
      </c>
      <c r="AD145" s="10">
        <f t="shared" si="77"/>
        <v>0</v>
      </c>
      <c r="AE145" s="1">
        <f>SUMIFS(
  '[1]Hoja 1'!$M:$M,
  '[1]Hoja 1'!$S:$S, $A145,
  '[1]Hoja 1'!$R:$R, "&gt;="&amp;INT($AG$1),
  '[1]Hoja 1'!$R:$R, "&lt;"&amp;INT($AH$1+1)
)</f>
        <v>0</v>
      </c>
      <c r="AF145" s="1">
        <f t="shared" si="78"/>
        <v>0</v>
      </c>
      <c r="AG145" s="9">
        <f t="shared" si="79"/>
        <v>0</v>
      </c>
      <c r="AH145" s="10">
        <f t="shared" si="80"/>
        <v>0</v>
      </c>
      <c r="AI145" s="1">
        <f>SUMIFS(
  '[1]Hoja 1'!$M:$M,
  '[1]Hoja 1'!$S:$S, $A145,
  '[1]Hoja 1'!$R:$R, "&gt;="&amp;INT($AK$1),
  '[1]Hoja 1'!$R:$R, "&lt;"&amp;INT($AJ$1+1)
)</f>
        <v>0</v>
      </c>
      <c r="AJ145" s="1">
        <f t="shared" si="81"/>
        <v>0</v>
      </c>
      <c r="AK145" s="9">
        <f t="shared" si="82"/>
        <v>0</v>
      </c>
      <c r="AL145" s="10">
        <f t="shared" si="83"/>
        <v>0</v>
      </c>
      <c r="AM145" s="1">
        <f>SUMIFS(
  '[1]Hoja 1'!$M:$M,
  '[1]Hoja 1'!$S:$S, $A145,
  '[1]Hoja 1'!$R:$R, "&gt;="&amp;INT($AO$1),
  '[1]Hoja 1'!$R:$R, "&lt;"&amp;INT($AP$1+1)
)</f>
        <v>0</v>
      </c>
      <c r="AN145" s="1">
        <f t="shared" si="84"/>
        <v>0</v>
      </c>
      <c r="AO145" s="9">
        <f t="shared" si="85"/>
        <v>0</v>
      </c>
      <c r="AP145" s="10">
        <f t="shared" si="86"/>
        <v>0</v>
      </c>
      <c r="AQ145" s="1">
        <f>SUMIFS(
  '[1]Hoja 1'!$M:$M,
  '[1]Hoja 1'!$S:$S, $A145,
  '[1]Hoja 1'!$R:$R, "&gt;="&amp;INT($AS$1),
  '[1]Hoja 1'!$R:$R, "&lt;"&amp;INT($AT$1+1)
)</f>
        <v>0</v>
      </c>
      <c r="AR145" s="1">
        <f t="shared" si="87"/>
        <v>0</v>
      </c>
      <c r="AS145" s="9">
        <f t="shared" si="88"/>
        <v>0</v>
      </c>
      <c r="AT145" s="10">
        <f t="shared" si="89"/>
        <v>0</v>
      </c>
      <c r="AU145" s="1">
        <f>SUMIFS(
  '[1]Hoja 1'!$M:$M,
  '[1]Hoja 1'!$S:$S, $A145,
  '[1]Hoja 1'!$R:$R, "&gt;="&amp;INT($AW$1),
  '[1]Hoja 1'!$R:$R, "&lt;"&amp;INT($AX$1+1)
)</f>
        <v>0</v>
      </c>
      <c r="AV145" s="1">
        <f t="shared" si="90"/>
        <v>0</v>
      </c>
      <c r="AW145" s="9">
        <f t="shared" si="91"/>
        <v>0</v>
      </c>
      <c r="AX145" s="10">
        <f t="shared" si="92"/>
        <v>0</v>
      </c>
    </row>
    <row r="146" spans="1:50" x14ac:dyDescent="0.25">
      <c r="A146" s="5">
        <v>224003</v>
      </c>
      <c r="B146" s="6" t="s">
        <v>143</v>
      </c>
      <c r="C146" s="1">
        <f>SUMIFS(
  '[1]Hoja 1'!$M:$M,
  '[1]Hoja 1'!$S:$S, $A146,
  '[1]Hoja 1'!$R:$R, "&gt;="&amp;INT($E$1),
  '[1]Hoja 1'!$R:$R, "&lt;"&amp;INT($F$1+1)
)</f>
        <v>0</v>
      </c>
      <c r="D146" s="1" t="str">
        <f>""</f>
        <v/>
      </c>
      <c r="F146" s="2"/>
      <c r="G146" s="1">
        <f>SUMIFS(
  '[1]Hoja 1'!$M:$M,
  '[1]Hoja 1'!$S:$S, $A146,
  '[1]Hoja 1'!$R:$R, "&gt;="&amp;INT($I$1),
  '[1]Hoja 1'!$R:$R, "&lt;"&amp;INT($J$1+1)
)</f>
        <v>0</v>
      </c>
      <c r="H146" s="1">
        <f t="shared" si="62"/>
        <v>0</v>
      </c>
      <c r="I146" s="1"/>
      <c r="J146" s="2"/>
      <c r="K146" s="1">
        <f>SUMIFS(
  '[1]Hoja 1'!$M:$M,
  '[1]Hoja 1'!$S:$S, $A146,
  '[1]Hoja 1'!$R:$R, "&gt;="&amp;INT($M$1),
  '[1]Hoja 1'!$R:$R, "&lt;"&amp;INT($N$1+1)
)</f>
        <v>0</v>
      </c>
      <c r="L146" s="1">
        <f t="shared" si="63"/>
        <v>0</v>
      </c>
      <c r="M146" s="9">
        <f t="shared" si="64"/>
        <v>0</v>
      </c>
      <c r="N146" s="10">
        <f t="shared" si="65"/>
        <v>0</v>
      </c>
      <c r="O146" s="1">
        <f>SUMIFS(
  '[1]Hoja 1'!$M:$M,
  '[1]Hoja 1'!$S:$S, $A146,
  '[1]Hoja 1'!$R:$R, "&gt;="&amp;INT($Q$1),
  '[1]Hoja 1'!$R:$R, "&lt;"&amp;INT($R$1+1)
)</f>
        <v>0</v>
      </c>
      <c r="P146" s="1">
        <f t="shared" si="66"/>
        <v>0</v>
      </c>
      <c r="Q146" s="9">
        <f t="shared" si="67"/>
        <v>0</v>
      </c>
      <c r="R146" s="10">
        <f t="shared" si="68"/>
        <v>0</v>
      </c>
      <c r="S146" s="1">
        <f>SUMIFS(
  '[1]Hoja 1'!$M:$M,
  '[1]Hoja 1'!$S:$S, $A146,
  '[1]Hoja 1'!$R:$R, "&gt;="&amp;INT($U$1),
  '[1]Hoja 1'!$R:$R, "&lt;"&amp;INT($V$1+1)
)</f>
        <v>0</v>
      </c>
      <c r="T146" s="1">
        <f t="shared" si="69"/>
        <v>0</v>
      </c>
      <c r="U146" s="9">
        <f t="shared" si="70"/>
        <v>-1.47</v>
      </c>
      <c r="V146" s="10">
        <f t="shared" si="71"/>
        <v>1.47</v>
      </c>
      <c r="W146" s="1">
        <f>SUMIFS(
  '[1]Hoja 1'!$M:$M,
  '[1]Hoja 1'!$S:$S, $A146,
  '[1]Hoja 1'!$R:$R, "&gt;="&amp;INT($Y$1),
  '[1]Hoja 1'!$R:$R, "&lt;"&amp;INT($Z$1+1)
)</f>
        <v>0</v>
      </c>
      <c r="X146" s="1">
        <f t="shared" si="72"/>
        <v>0</v>
      </c>
      <c r="Y146" s="9">
        <f t="shared" si="73"/>
        <v>0</v>
      </c>
      <c r="Z146" s="10">
        <f t="shared" si="74"/>
        <v>0</v>
      </c>
      <c r="AA146" s="1">
        <f>SUMIFS(
  '[1]Hoja 1'!$M:$M,
  '[1]Hoja 1'!$S:$S, $A146,
  '[1]Hoja 1'!$R:$R, "&gt;="&amp;INT($AC$1),
  '[1]Hoja 1'!$R:$R, "&lt;"&amp;INT($AD$1+1)
)</f>
        <v>0</v>
      </c>
      <c r="AB146" s="1">
        <f t="shared" si="75"/>
        <v>0</v>
      </c>
      <c r="AC146" s="9">
        <f t="shared" si="76"/>
        <v>0</v>
      </c>
      <c r="AD146" s="10">
        <f t="shared" si="77"/>
        <v>0</v>
      </c>
      <c r="AE146" s="1">
        <f>SUMIFS(
  '[1]Hoja 1'!$M:$M,
  '[1]Hoja 1'!$S:$S, $A146,
  '[1]Hoja 1'!$R:$R, "&gt;="&amp;INT($AG$1),
  '[1]Hoja 1'!$R:$R, "&lt;"&amp;INT($AH$1+1)
)</f>
        <v>0</v>
      </c>
      <c r="AF146" s="1">
        <f t="shared" si="78"/>
        <v>0</v>
      </c>
      <c r="AG146" s="9">
        <f t="shared" si="79"/>
        <v>0</v>
      </c>
      <c r="AH146" s="10">
        <f t="shared" si="80"/>
        <v>0</v>
      </c>
      <c r="AI146" s="1">
        <f>SUMIFS(
  '[1]Hoja 1'!$M:$M,
  '[1]Hoja 1'!$S:$S, $A146,
  '[1]Hoja 1'!$R:$R, "&gt;="&amp;INT($AK$1),
  '[1]Hoja 1'!$R:$R, "&lt;"&amp;INT($AJ$1+1)
)</f>
        <v>0</v>
      </c>
      <c r="AJ146" s="1">
        <f t="shared" si="81"/>
        <v>0</v>
      </c>
      <c r="AK146" s="9">
        <f t="shared" si="82"/>
        <v>0</v>
      </c>
      <c r="AL146" s="10">
        <f t="shared" si="83"/>
        <v>0</v>
      </c>
      <c r="AM146" s="1">
        <f>SUMIFS(
  '[1]Hoja 1'!$M:$M,
  '[1]Hoja 1'!$S:$S, $A146,
  '[1]Hoja 1'!$R:$R, "&gt;="&amp;INT($AO$1),
  '[1]Hoja 1'!$R:$R, "&lt;"&amp;INT($AP$1+1)
)</f>
        <v>0</v>
      </c>
      <c r="AN146" s="1">
        <f t="shared" si="84"/>
        <v>0</v>
      </c>
      <c r="AO146" s="9">
        <f t="shared" si="85"/>
        <v>0</v>
      </c>
      <c r="AP146" s="10">
        <f t="shared" si="86"/>
        <v>0</v>
      </c>
      <c r="AQ146" s="1">
        <f>SUMIFS(
  '[1]Hoja 1'!$M:$M,
  '[1]Hoja 1'!$S:$S, $A146,
  '[1]Hoja 1'!$R:$R, "&gt;="&amp;INT($AS$1),
  '[1]Hoja 1'!$R:$R, "&lt;"&amp;INT($AT$1+1)
)</f>
        <v>0</v>
      </c>
      <c r="AR146" s="1">
        <f t="shared" si="87"/>
        <v>0</v>
      </c>
      <c r="AS146" s="9">
        <f t="shared" si="88"/>
        <v>0</v>
      </c>
      <c r="AT146" s="10">
        <f t="shared" si="89"/>
        <v>0</v>
      </c>
      <c r="AU146" s="1">
        <f>SUMIFS(
  '[1]Hoja 1'!$M:$M,
  '[1]Hoja 1'!$S:$S, $A146,
  '[1]Hoja 1'!$R:$R, "&gt;="&amp;INT($AW$1),
  '[1]Hoja 1'!$R:$R, "&lt;"&amp;INT($AX$1+1)
)</f>
        <v>0</v>
      </c>
      <c r="AV146" s="1">
        <f t="shared" si="90"/>
        <v>0</v>
      </c>
      <c r="AW146" s="9">
        <f t="shared" si="91"/>
        <v>0</v>
      </c>
      <c r="AX146" s="10">
        <f t="shared" si="92"/>
        <v>0</v>
      </c>
    </row>
    <row r="147" spans="1:50" x14ac:dyDescent="0.25">
      <c r="A147" s="5">
        <v>225001</v>
      </c>
      <c r="B147" s="6" t="s">
        <v>144</v>
      </c>
      <c r="C147" s="1">
        <f>SUMIFS(
  '[1]Hoja 1'!$M:$M,
  '[1]Hoja 1'!$S:$S, $A147,
  '[1]Hoja 1'!$R:$R, "&gt;="&amp;INT($E$1),
  '[1]Hoja 1'!$R:$R, "&lt;"&amp;INT($F$1+1)
)</f>
        <v>0</v>
      </c>
      <c r="D147" s="1" t="str">
        <f>""</f>
        <v/>
      </c>
      <c r="F147" s="2"/>
      <c r="G147" s="1">
        <f>SUMIFS(
  '[1]Hoja 1'!$M:$M,
  '[1]Hoja 1'!$S:$S, $A147,
  '[1]Hoja 1'!$R:$R, "&gt;="&amp;INT($I$1),
  '[1]Hoja 1'!$R:$R, "&lt;"&amp;INT($J$1+1)
)</f>
        <v>0</v>
      </c>
      <c r="H147" s="1">
        <f t="shared" si="62"/>
        <v>0</v>
      </c>
      <c r="I147" s="1"/>
      <c r="J147" s="2"/>
      <c r="K147" s="1">
        <f>SUMIFS(
  '[1]Hoja 1'!$M:$M,
  '[1]Hoja 1'!$S:$S, $A147,
  '[1]Hoja 1'!$R:$R, "&gt;="&amp;INT($M$1),
  '[1]Hoja 1'!$R:$R, "&lt;"&amp;INT($N$1+1)
)</f>
        <v>0</v>
      </c>
      <c r="L147" s="1">
        <f t="shared" si="63"/>
        <v>0</v>
      </c>
      <c r="M147" s="9">
        <f t="shared" si="64"/>
        <v>0</v>
      </c>
      <c r="N147" s="10">
        <f t="shared" si="65"/>
        <v>0</v>
      </c>
      <c r="O147" s="1">
        <f>SUMIFS(
  '[1]Hoja 1'!$M:$M,
  '[1]Hoja 1'!$S:$S, $A147,
  '[1]Hoja 1'!$R:$R, "&gt;="&amp;INT($Q$1),
  '[1]Hoja 1'!$R:$R, "&lt;"&amp;INT($R$1+1)
)</f>
        <v>0</v>
      </c>
      <c r="P147" s="1">
        <f t="shared" si="66"/>
        <v>0</v>
      </c>
      <c r="Q147" s="9">
        <f t="shared" si="67"/>
        <v>0</v>
      </c>
      <c r="R147" s="10">
        <f t="shared" si="68"/>
        <v>0</v>
      </c>
      <c r="S147" s="1">
        <f>SUMIFS(
  '[1]Hoja 1'!$M:$M,
  '[1]Hoja 1'!$S:$S, $A147,
  '[1]Hoja 1'!$R:$R, "&gt;="&amp;INT($U$1),
  '[1]Hoja 1'!$R:$R, "&lt;"&amp;INT($V$1+1)
)</f>
        <v>0</v>
      </c>
      <c r="T147" s="1">
        <f t="shared" si="69"/>
        <v>0</v>
      </c>
      <c r="U147" s="9">
        <f t="shared" si="70"/>
        <v>-1.47</v>
      </c>
      <c r="V147" s="10">
        <f t="shared" si="71"/>
        <v>1.47</v>
      </c>
      <c r="W147" s="1">
        <f>SUMIFS(
  '[1]Hoja 1'!$M:$M,
  '[1]Hoja 1'!$S:$S, $A147,
  '[1]Hoja 1'!$R:$R, "&gt;="&amp;INT($Y$1),
  '[1]Hoja 1'!$R:$R, "&lt;"&amp;INT($Z$1+1)
)</f>
        <v>0</v>
      </c>
      <c r="X147" s="1">
        <f t="shared" si="72"/>
        <v>0</v>
      </c>
      <c r="Y147" s="9">
        <f t="shared" si="73"/>
        <v>0</v>
      </c>
      <c r="Z147" s="10">
        <f t="shared" si="74"/>
        <v>0</v>
      </c>
      <c r="AA147" s="1">
        <f>SUMIFS(
  '[1]Hoja 1'!$M:$M,
  '[1]Hoja 1'!$S:$S, $A147,
  '[1]Hoja 1'!$R:$R, "&gt;="&amp;INT($AC$1),
  '[1]Hoja 1'!$R:$R, "&lt;"&amp;INT($AD$1+1)
)</f>
        <v>0</v>
      </c>
      <c r="AB147" s="1">
        <f t="shared" si="75"/>
        <v>0</v>
      </c>
      <c r="AC147" s="9">
        <f t="shared" si="76"/>
        <v>0</v>
      </c>
      <c r="AD147" s="10">
        <f t="shared" si="77"/>
        <v>0</v>
      </c>
      <c r="AE147" s="1">
        <f>SUMIFS(
  '[1]Hoja 1'!$M:$M,
  '[1]Hoja 1'!$S:$S, $A147,
  '[1]Hoja 1'!$R:$R, "&gt;="&amp;INT($AG$1),
  '[1]Hoja 1'!$R:$R, "&lt;"&amp;INT($AH$1+1)
)</f>
        <v>0</v>
      </c>
      <c r="AF147" s="1">
        <f t="shared" si="78"/>
        <v>0</v>
      </c>
      <c r="AG147" s="9">
        <f t="shared" si="79"/>
        <v>0</v>
      </c>
      <c r="AH147" s="10">
        <f t="shared" si="80"/>
        <v>0</v>
      </c>
      <c r="AI147" s="1">
        <f>SUMIFS(
  '[1]Hoja 1'!$M:$M,
  '[1]Hoja 1'!$S:$S, $A147,
  '[1]Hoja 1'!$R:$R, "&gt;="&amp;INT($AK$1),
  '[1]Hoja 1'!$R:$R, "&lt;"&amp;INT($AJ$1+1)
)</f>
        <v>0</v>
      </c>
      <c r="AJ147" s="1">
        <f t="shared" si="81"/>
        <v>0</v>
      </c>
      <c r="AK147" s="9">
        <f t="shared" si="82"/>
        <v>0</v>
      </c>
      <c r="AL147" s="10">
        <f t="shared" si="83"/>
        <v>0</v>
      </c>
      <c r="AM147" s="1">
        <f>SUMIFS(
  '[1]Hoja 1'!$M:$M,
  '[1]Hoja 1'!$S:$S, $A147,
  '[1]Hoja 1'!$R:$R, "&gt;="&amp;INT($AO$1),
  '[1]Hoja 1'!$R:$R, "&lt;"&amp;INT($AP$1+1)
)</f>
        <v>0</v>
      </c>
      <c r="AN147" s="1">
        <f t="shared" si="84"/>
        <v>0</v>
      </c>
      <c r="AO147" s="9">
        <f t="shared" si="85"/>
        <v>0</v>
      </c>
      <c r="AP147" s="10">
        <f t="shared" si="86"/>
        <v>0</v>
      </c>
      <c r="AQ147" s="1">
        <f>SUMIFS(
  '[1]Hoja 1'!$M:$M,
  '[1]Hoja 1'!$S:$S, $A147,
  '[1]Hoja 1'!$R:$R, "&gt;="&amp;INT($AS$1),
  '[1]Hoja 1'!$R:$R, "&lt;"&amp;INT($AT$1+1)
)</f>
        <v>0</v>
      </c>
      <c r="AR147" s="1">
        <f t="shared" si="87"/>
        <v>0</v>
      </c>
      <c r="AS147" s="9">
        <f t="shared" si="88"/>
        <v>0</v>
      </c>
      <c r="AT147" s="10">
        <f t="shared" si="89"/>
        <v>0</v>
      </c>
      <c r="AU147" s="1">
        <f>SUMIFS(
  '[1]Hoja 1'!$M:$M,
  '[1]Hoja 1'!$S:$S, $A147,
  '[1]Hoja 1'!$R:$R, "&gt;="&amp;INT($AW$1),
  '[1]Hoja 1'!$R:$R, "&lt;"&amp;INT($AX$1+1)
)</f>
        <v>0</v>
      </c>
      <c r="AV147" s="1">
        <f t="shared" si="90"/>
        <v>0</v>
      </c>
      <c r="AW147" s="9">
        <f t="shared" si="91"/>
        <v>0</v>
      </c>
      <c r="AX147" s="10">
        <f t="shared" si="92"/>
        <v>0</v>
      </c>
    </row>
    <row r="148" spans="1:50" x14ac:dyDescent="0.25">
      <c r="A148" s="5">
        <v>226001</v>
      </c>
      <c r="B148" s="6" t="s">
        <v>145</v>
      </c>
      <c r="C148" s="1">
        <f>SUMIFS(
  '[1]Hoja 1'!$M:$M,
  '[1]Hoja 1'!$S:$S, $A148,
  '[1]Hoja 1'!$R:$R, "&gt;="&amp;INT($E$1),
  '[1]Hoja 1'!$R:$R, "&lt;"&amp;INT($F$1+1)
)</f>
        <v>126</v>
      </c>
      <c r="D148" s="1" t="str">
        <f>""</f>
        <v/>
      </c>
      <c r="F148" s="2"/>
      <c r="G148" s="1">
        <f>SUMIFS(
  '[1]Hoja 1'!$M:$M,
  '[1]Hoja 1'!$S:$S, $A148,
  '[1]Hoja 1'!$R:$R, "&gt;="&amp;INT($I$1),
  '[1]Hoja 1'!$R:$R, "&lt;"&amp;INT($J$1+1)
)</f>
        <v>44</v>
      </c>
      <c r="H148" s="1">
        <f t="shared" si="62"/>
        <v>85</v>
      </c>
      <c r="I148" s="1"/>
      <c r="J148" s="2"/>
      <c r="K148" s="1">
        <f>SUMIFS(
  '[1]Hoja 1'!$M:$M,
  '[1]Hoja 1'!$S:$S, $A148,
  '[1]Hoja 1'!$R:$R, "&gt;="&amp;INT($M$1),
  '[1]Hoja 1'!$R:$R, "&lt;"&amp;INT($N$1+1)
)</f>
        <v>0</v>
      </c>
      <c r="L148" s="1">
        <f t="shared" si="63"/>
        <v>22</v>
      </c>
      <c r="M148" s="9">
        <f t="shared" si="64"/>
        <v>-4.3326565313870304</v>
      </c>
      <c r="N148" s="10">
        <f t="shared" si="65"/>
        <v>48.33265653138703</v>
      </c>
      <c r="O148" s="1">
        <f>SUMIFS(
  '[1]Hoja 1'!$M:$M,
  '[1]Hoja 1'!$S:$S, $A148,
  '[1]Hoja 1'!$R:$R, "&gt;="&amp;INT($Q$1),
  '[1]Hoja 1'!$R:$R, "&lt;"&amp;INT($R$1+1)
)</f>
        <v>0</v>
      </c>
      <c r="P148" s="1">
        <f t="shared" si="66"/>
        <v>0</v>
      </c>
      <c r="Q148" s="9">
        <f t="shared" si="67"/>
        <v>-40.21583767621906</v>
      </c>
      <c r="R148" s="10">
        <f t="shared" si="68"/>
        <v>40.21583767621906</v>
      </c>
      <c r="S148" s="1">
        <f>SUMIFS(
  '[1]Hoja 1'!$M:$M,
  '[1]Hoja 1'!$S:$S, $A148,
  '[1]Hoja 1'!$R:$R, "&gt;="&amp;INT($U$1),
  '[1]Hoja 1'!$R:$R, "&lt;"&amp;INT($V$1+1)
)</f>
        <v>0</v>
      </c>
      <c r="T148" s="1">
        <f t="shared" si="69"/>
        <v>0</v>
      </c>
      <c r="U148" s="9">
        <f t="shared" si="70"/>
        <v>-37.992119796961404</v>
      </c>
      <c r="V148" s="10">
        <f t="shared" si="71"/>
        <v>37.992119796961404</v>
      </c>
      <c r="W148" s="1">
        <f>SUMIFS(
  '[1]Hoja 1'!$M:$M,
  '[1]Hoja 1'!$S:$S, $A148,
  '[1]Hoja 1'!$R:$R, "&gt;="&amp;INT($Y$1),
  '[1]Hoja 1'!$R:$R, "&lt;"&amp;INT($Z$1+1)
)</f>
        <v>0</v>
      </c>
      <c r="X148" s="1">
        <f t="shared" si="72"/>
        <v>0</v>
      </c>
      <c r="Y148" s="9">
        <f t="shared" si="73"/>
        <v>-36.289123439399859</v>
      </c>
      <c r="Z148" s="10">
        <f t="shared" si="74"/>
        <v>36.289123439399859</v>
      </c>
      <c r="AA148" s="1">
        <f>SUMIFS(
  '[1]Hoja 1'!$M:$M,
  '[1]Hoja 1'!$S:$S, $A148,
  '[1]Hoja 1'!$R:$R, "&gt;="&amp;INT($AC$1),
  '[1]Hoja 1'!$R:$R, "&lt;"&amp;INT($AD$1+1)
)</f>
        <v>0</v>
      </c>
      <c r="AB148" s="1">
        <f t="shared" si="75"/>
        <v>0</v>
      </c>
      <c r="AC148" s="9">
        <f t="shared" si="76"/>
        <v>-33.987778980098128</v>
      </c>
      <c r="AD148" s="10">
        <f t="shared" si="77"/>
        <v>33.987778980098128</v>
      </c>
      <c r="AE148" s="1">
        <f>SUMIFS(
  '[1]Hoja 1'!$M:$M,
  '[1]Hoja 1'!$S:$S, $A148,
  '[1]Hoja 1'!$R:$R, "&gt;="&amp;INT($AG$1),
  '[1]Hoja 1'!$R:$R, "&lt;"&amp;INT($AH$1+1)
)</f>
        <v>0</v>
      </c>
      <c r="AF148" s="1">
        <f t="shared" si="78"/>
        <v>0</v>
      </c>
      <c r="AG148" s="9">
        <f t="shared" si="79"/>
        <v>-31.986655550922062</v>
      </c>
      <c r="AH148" s="10">
        <f t="shared" si="80"/>
        <v>31.986655550922062</v>
      </c>
      <c r="AI148" s="1">
        <f>SUMIFS(
  '[1]Hoja 1'!$M:$M,
  '[1]Hoja 1'!$S:$S, $A148,
  '[1]Hoja 1'!$R:$R, "&gt;="&amp;INT($AK$1),
  '[1]Hoja 1'!$R:$R, "&lt;"&amp;INT($AJ$1+1)
)</f>
        <v>0</v>
      </c>
      <c r="AJ148" s="1">
        <f t="shared" si="81"/>
        <v>0</v>
      </c>
      <c r="AK148" s="9">
        <f t="shared" si="82"/>
        <v>-30.263486249934921</v>
      </c>
      <c r="AL148" s="10">
        <f t="shared" si="83"/>
        <v>30.263486249934921</v>
      </c>
      <c r="AM148" s="1">
        <f>SUMIFS(
  '[1]Hoja 1'!$M:$M,
  '[1]Hoja 1'!$S:$S, $A148,
  '[1]Hoja 1'!$R:$R, "&gt;="&amp;INT($AO$1),
  '[1]Hoja 1'!$R:$R, "&lt;"&amp;INT($AP$1+1)
)</f>
        <v>0</v>
      </c>
      <c r="AN148" s="1">
        <f t="shared" si="84"/>
        <v>0</v>
      </c>
      <c r="AO148" s="9">
        <f t="shared" si="85"/>
        <v>-28.772639781570266</v>
      </c>
      <c r="AP148" s="10">
        <f t="shared" si="86"/>
        <v>28.772639781570266</v>
      </c>
      <c r="AQ148" s="1">
        <f>SUMIFS(
  '[1]Hoja 1'!$M:$M,
  '[1]Hoja 1'!$S:$S, $A148,
  '[1]Hoja 1'!$R:$R, "&gt;="&amp;INT($AS$1),
  '[1]Hoja 1'!$R:$R, "&lt;"&amp;INT($AT$1+1)
)</f>
        <v>0</v>
      </c>
      <c r="AR148" s="1">
        <f t="shared" si="87"/>
        <v>0</v>
      </c>
      <c r="AS148" s="9">
        <f t="shared" si="88"/>
        <v>-27.471870380849975</v>
      </c>
      <c r="AT148" s="10">
        <f t="shared" si="89"/>
        <v>27.471870380849975</v>
      </c>
      <c r="AU148" s="1">
        <f>SUMIFS(
  '[1]Hoja 1'!$M:$M,
  '[1]Hoja 1'!$S:$S, $A148,
  '[1]Hoja 1'!$R:$R, "&gt;="&amp;INT($AW$1),
  '[1]Hoja 1'!$R:$R, "&lt;"&amp;INT($AX$1+1)
)</f>
        <v>0</v>
      </c>
      <c r="AV148" s="1">
        <f t="shared" si="90"/>
        <v>0</v>
      </c>
      <c r="AW148" s="9">
        <f t="shared" si="91"/>
        <v>-26.326687738352639</v>
      </c>
      <c r="AX148" s="10">
        <f t="shared" si="92"/>
        <v>26.326687738352639</v>
      </c>
    </row>
    <row r="149" spans="1:50" x14ac:dyDescent="0.25">
      <c r="A149" s="5">
        <v>226003</v>
      </c>
      <c r="B149" s="6" t="s">
        <v>146</v>
      </c>
      <c r="C149" s="1">
        <f>SUMIFS(
  '[1]Hoja 1'!$M:$M,
  '[1]Hoja 1'!$S:$S, $A149,
  '[1]Hoja 1'!$R:$R, "&gt;="&amp;INT($E$1),
  '[1]Hoja 1'!$R:$R, "&lt;"&amp;INT($F$1+1)
)</f>
        <v>0</v>
      </c>
      <c r="D149" s="1" t="str">
        <f>""</f>
        <v/>
      </c>
      <c r="F149" s="2"/>
      <c r="G149" s="1">
        <f>SUMIFS(
  '[1]Hoja 1'!$M:$M,
  '[1]Hoja 1'!$S:$S, $A149,
  '[1]Hoja 1'!$R:$R, "&gt;="&amp;INT($I$1),
  '[1]Hoja 1'!$R:$R, "&lt;"&amp;INT($J$1+1)
)</f>
        <v>1</v>
      </c>
      <c r="H149" s="1">
        <f t="shared" si="62"/>
        <v>1</v>
      </c>
      <c r="I149" s="1"/>
      <c r="J149" s="2"/>
      <c r="K149" s="1">
        <f>SUMIFS(
  '[1]Hoja 1'!$M:$M,
  '[1]Hoja 1'!$S:$S, $A149,
  '[1]Hoja 1'!$R:$R, "&gt;="&amp;INT($M$1),
  '[1]Hoja 1'!$R:$R, "&lt;"&amp;INT($N$1+1)
)</f>
        <v>0</v>
      </c>
      <c r="L149" s="1">
        <f t="shared" si="63"/>
        <v>0.5</v>
      </c>
      <c r="M149" s="9">
        <f t="shared" si="64"/>
        <v>-0.88592929112563312</v>
      </c>
      <c r="N149" s="10">
        <f t="shared" si="65"/>
        <v>1.8859292911256331</v>
      </c>
      <c r="O149" s="1">
        <f>SUMIFS(
  '[1]Hoja 1'!$M:$M,
  '[1]Hoja 1'!$S:$S, $A149,
  '[1]Hoja 1'!$R:$R, "&gt;="&amp;INT($Q$1),
  '[1]Hoja 1'!$R:$R, "&lt;"&amp;INT($R$1+1)
)</f>
        <v>0</v>
      </c>
      <c r="P149" s="1">
        <f t="shared" si="66"/>
        <v>0</v>
      </c>
      <c r="Q149" s="9">
        <f t="shared" si="67"/>
        <v>-0.98</v>
      </c>
      <c r="R149" s="10">
        <f t="shared" si="68"/>
        <v>0.98</v>
      </c>
      <c r="S149" s="1">
        <f>SUMIFS(
  '[1]Hoja 1'!$M:$M,
  '[1]Hoja 1'!$S:$S, $A149,
  '[1]Hoja 1'!$R:$R, "&gt;="&amp;INT($U$1),
  '[1]Hoja 1'!$R:$R, "&lt;"&amp;INT($V$1+1)
)</f>
        <v>0</v>
      </c>
      <c r="T149" s="1">
        <f t="shared" si="69"/>
        <v>0</v>
      </c>
      <c r="U149" s="9">
        <f t="shared" si="70"/>
        <v>-1.6736686251067343</v>
      </c>
      <c r="V149" s="10">
        <f t="shared" si="71"/>
        <v>1.6736686251067343</v>
      </c>
      <c r="W149" s="1">
        <f>SUMIFS(
  '[1]Hoja 1'!$M:$M,
  '[1]Hoja 1'!$S:$S, $A149,
  '[1]Hoja 1'!$R:$R, "&gt;="&amp;INT($Y$1),
  '[1]Hoja 1'!$R:$R, "&lt;"&amp;INT($Z$1+1)
)</f>
        <v>0</v>
      </c>
      <c r="X149" s="1">
        <f t="shared" si="72"/>
        <v>0</v>
      </c>
      <c r="Y149" s="9">
        <f t="shared" si="73"/>
        <v>-0.69296464556281656</v>
      </c>
      <c r="Z149" s="10">
        <f t="shared" si="74"/>
        <v>0.69296464556281656</v>
      </c>
      <c r="AA149" s="1">
        <f>SUMIFS(
  '[1]Hoja 1'!$M:$M,
  '[1]Hoja 1'!$S:$S, $A149,
  '[1]Hoja 1'!$R:$R, "&gt;="&amp;INT($AC$1),
  '[1]Hoja 1'!$R:$R, "&lt;"&amp;INT($AD$1+1)
)</f>
        <v>0</v>
      </c>
      <c r="AB149" s="1">
        <f t="shared" si="75"/>
        <v>0</v>
      </c>
      <c r="AC149" s="9">
        <f t="shared" si="76"/>
        <v>-0.61980642139300235</v>
      </c>
      <c r="AD149" s="10">
        <f t="shared" si="77"/>
        <v>0.61980642139300235</v>
      </c>
      <c r="AE149" s="1">
        <f>SUMIFS(
  '[1]Hoja 1'!$M:$M,
  '[1]Hoja 1'!$S:$S, $A149,
  '[1]Hoja 1'!$R:$R, "&gt;="&amp;INT($AG$1),
  '[1]Hoja 1'!$R:$R, "&lt;"&amp;INT($AH$1+1)
)</f>
        <v>0</v>
      </c>
      <c r="AF149" s="1">
        <f t="shared" si="78"/>
        <v>0</v>
      </c>
      <c r="AG149" s="9">
        <f t="shared" si="79"/>
        <v>-0.56580326380583323</v>
      </c>
      <c r="AH149" s="10">
        <f t="shared" si="80"/>
        <v>0.56580326380583323</v>
      </c>
      <c r="AI149" s="1">
        <f>SUMIFS(
  '[1]Hoja 1'!$M:$M,
  '[1]Hoja 1'!$S:$S, $A149,
  '[1]Hoja 1'!$R:$R, "&gt;="&amp;INT($AK$1),
  '[1]Hoja 1'!$R:$R, "&lt;"&amp;INT($AJ$1+1)
)</f>
        <v>0</v>
      </c>
      <c r="AJ149" s="1">
        <f t="shared" si="81"/>
        <v>0</v>
      </c>
      <c r="AK149" s="9">
        <f t="shared" si="82"/>
        <v>-0.52383203414835178</v>
      </c>
      <c r="AL149" s="10">
        <f t="shared" si="83"/>
        <v>0.52383203414835178</v>
      </c>
      <c r="AM149" s="1">
        <f>SUMIFS(
  '[1]Hoja 1'!$M:$M,
  '[1]Hoja 1'!$S:$S, $A149,
  '[1]Hoja 1'!$R:$R, "&gt;="&amp;INT($AO$1),
  '[1]Hoja 1'!$R:$R, "&lt;"&amp;INT($AP$1+1)
)</f>
        <v>0</v>
      </c>
      <c r="AN149" s="1">
        <f t="shared" si="84"/>
        <v>0</v>
      </c>
      <c r="AO149" s="9">
        <f t="shared" si="85"/>
        <v>-0.49</v>
      </c>
      <c r="AP149" s="10">
        <f t="shared" si="86"/>
        <v>0.49</v>
      </c>
      <c r="AQ149" s="1">
        <f>SUMIFS(
  '[1]Hoja 1'!$M:$M,
  '[1]Hoja 1'!$S:$S, $A149,
  '[1]Hoja 1'!$R:$R, "&gt;="&amp;INT($AS$1),
  '[1]Hoja 1'!$R:$R, "&lt;"&amp;INT($AT$1+1)
)</f>
        <v>0</v>
      </c>
      <c r="AR149" s="1">
        <f t="shared" si="87"/>
        <v>0</v>
      </c>
      <c r="AS149" s="9">
        <f t="shared" si="88"/>
        <v>-0.46197643037521102</v>
      </c>
      <c r="AT149" s="10">
        <f t="shared" si="89"/>
        <v>0.46197643037521102</v>
      </c>
      <c r="AU149" s="1">
        <f>SUMIFS(
  '[1]Hoja 1'!$M:$M,
  '[1]Hoja 1'!$S:$S, $A149,
  '[1]Hoja 1'!$R:$R, "&gt;="&amp;INT($AW$1),
  '[1]Hoja 1'!$R:$R, "&lt;"&amp;INT($AX$1+1)
)</f>
        <v>0</v>
      </c>
      <c r="AV149" s="1">
        <f t="shared" si="90"/>
        <v>0</v>
      </c>
      <c r="AW149" s="9">
        <f t="shared" si="91"/>
        <v>-0.43826932358995874</v>
      </c>
      <c r="AX149" s="10">
        <f t="shared" si="92"/>
        <v>0.43826932358995874</v>
      </c>
    </row>
    <row r="150" spans="1:50" x14ac:dyDescent="0.25">
      <c r="A150" s="5">
        <v>226004</v>
      </c>
      <c r="B150" s="6" t="s">
        <v>147</v>
      </c>
      <c r="C150" s="1">
        <f>SUMIFS(
  '[1]Hoja 1'!$M:$M,
  '[1]Hoja 1'!$S:$S, $A150,
  '[1]Hoja 1'!$R:$R, "&gt;="&amp;INT($E$1),
  '[1]Hoja 1'!$R:$R, "&lt;"&amp;INT($F$1+1)
)</f>
        <v>1</v>
      </c>
      <c r="D150" s="1" t="str">
        <f>""</f>
        <v/>
      </c>
      <c r="F150" s="2"/>
      <c r="G150" s="1">
        <f>SUMIFS(
  '[1]Hoja 1'!$M:$M,
  '[1]Hoja 1'!$S:$S, $A150,
  '[1]Hoja 1'!$R:$R, "&gt;="&amp;INT($I$1),
  '[1]Hoja 1'!$R:$R, "&lt;"&amp;INT($J$1+1)
)</f>
        <v>3</v>
      </c>
      <c r="H150" s="1">
        <f t="shared" si="62"/>
        <v>2</v>
      </c>
      <c r="I150" s="1"/>
      <c r="J150" s="2"/>
      <c r="K150" s="1">
        <f>SUMIFS(
  '[1]Hoja 1'!$M:$M,
  '[1]Hoja 1'!$S:$S, $A150,
  '[1]Hoja 1'!$R:$R, "&gt;="&amp;INT($M$1),
  '[1]Hoja 1'!$R:$R, "&lt;"&amp;INT($N$1+1)
)</f>
        <v>0</v>
      </c>
      <c r="L150" s="1">
        <f t="shared" si="63"/>
        <v>1.5</v>
      </c>
      <c r="M150" s="9">
        <f t="shared" si="64"/>
        <v>-1.9648232278140831</v>
      </c>
      <c r="N150" s="10">
        <f t="shared" si="65"/>
        <v>4.9648232278140831</v>
      </c>
      <c r="O150" s="1">
        <f>SUMIFS(
  '[1]Hoja 1'!$M:$M,
  '[1]Hoja 1'!$S:$S, $A150,
  '[1]Hoja 1'!$R:$R, "&gt;="&amp;INT($Q$1),
  '[1]Hoja 1'!$R:$R, "&lt;"&amp;INT($R$1+1)
)</f>
        <v>0</v>
      </c>
      <c r="P150" s="1">
        <f t="shared" si="66"/>
        <v>0</v>
      </c>
      <c r="Q150" s="9">
        <f t="shared" si="67"/>
        <v>-2.4662792488551113</v>
      </c>
      <c r="R150" s="10">
        <f t="shared" si="68"/>
        <v>2.4662792488551113</v>
      </c>
      <c r="S150" s="1">
        <f>SUMIFS(
  '[1]Hoja 1'!$M:$M,
  '[1]Hoja 1'!$S:$S, $A150,
  '[1]Hoja 1'!$R:$R, "&gt;="&amp;INT($U$1),
  '[1]Hoja 1'!$R:$R, "&lt;"&amp;INT($V$1+1)
)</f>
        <v>0</v>
      </c>
      <c r="T150" s="1">
        <f t="shared" si="69"/>
        <v>0</v>
      </c>
      <c r="U150" s="9">
        <f t="shared" si="70"/>
        <v>-2.4004999479275142</v>
      </c>
      <c r="V150" s="10">
        <f t="shared" si="71"/>
        <v>2.4004999479275142</v>
      </c>
      <c r="W150" s="1">
        <f>SUMIFS(
  '[1]Hoja 1'!$M:$M,
  '[1]Hoja 1'!$S:$S, $A150,
  '[1]Hoja 1'!$R:$R, "&gt;="&amp;INT($Y$1),
  '[1]Hoja 1'!$R:$R, "&lt;"&amp;INT($Z$1+1)
)</f>
        <v>0</v>
      </c>
      <c r="X150" s="1">
        <f t="shared" si="72"/>
        <v>0</v>
      </c>
      <c r="Y150" s="9">
        <f t="shared" si="73"/>
        <v>-1.7530772943598349</v>
      </c>
      <c r="Z150" s="10">
        <f t="shared" si="74"/>
        <v>1.7530772943598349</v>
      </c>
      <c r="AA150" s="1">
        <f>SUMIFS(
  '[1]Hoja 1'!$M:$M,
  '[1]Hoja 1'!$S:$S, $A150,
  '[1]Hoja 1'!$R:$R, "&gt;="&amp;INT($AC$1),
  '[1]Hoja 1'!$R:$R, "&lt;"&amp;INT($AD$1+1)
)</f>
        <v>0</v>
      </c>
      <c r="AB150" s="1">
        <f t="shared" si="75"/>
        <v>0</v>
      </c>
      <c r="AC150" s="9">
        <f t="shared" si="76"/>
        <v>-1.5700403391845277</v>
      </c>
      <c r="AD150" s="10">
        <f t="shared" si="77"/>
        <v>1.5700403391845277</v>
      </c>
      <c r="AE150" s="1">
        <f>SUMIFS(
  '[1]Hoja 1'!$M:$M,
  '[1]Hoja 1'!$S:$S, $A150,
  '[1]Hoja 1'!$R:$R, "&gt;="&amp;INT($AG$1),
  '[1]Hoja 1'!$R:$R, "&lt;"&amp;INT($AH$1+1)
)</f>
        <v>0</v>
      </c>
      <c r="AF150" s="1">
        <f t="shared" si="78"/>
        <v>0</v>
      </c>
      <c r="AG150" s="9">
        <f t="shared" si="79"/>
        <v>-1.4345731072343437</v>
      </c>
      <c r="AH150" s="10">
        <f t="shared" si="80"/>
        <v>1.4345731072343437</v>
      </c>
      <c r="AI150" s="1">
        <f>SUMIFS(
  '[1]Hoja 1'!$M:$M,
  '[1]Hoja 1'!$S:$S, $A150,
  '[1]Hoja 1'!$R:$R, "&gt;="&amp;INT($AK$1),
  '[1]Hoja 1'!$R:$R, "&lt;"&amp;INT($AJ$1+1)
)</f>
        <v>0</v>
      </c>
      <c r="AJ150" s="1">
        <f t="shared" si="81"/>
        <v>0</v>
      </c>
      <c r="AK150" s="9">
        <f t="shared" si="82"/>
        <v>-1.3290786282233267</v>
      </c>
      <c r="AL150" s="10">
        <f t="shared" si="83"/>
        <v>1.3290786282233267</v>
      </c>
      <c r="AM150" s="1">
        <f>SUMIFS(
  '[1]Hoja 1'!$M:$M,
  '[1]Hoja 1'!$S:$S, $A150,
  '[1]Hoja 1'!$R:$R, "&gt;="&amp;INT($AO$1),
  '[1]Hoja 1'!$R:$R, "&lt;"&amp;INT($AP$1+1)
)</f>
        <v>0</v>
      </c>
      <c r="AN150" s="1">
        <f t="shared" si="84"/>
        <v>0</v>
      </c>
      <c r="AO150" s="9">
        <f t="shared" si="85"/>
        <v>-1.2439096072911049</v>
      </c>
      <c r="AP150" s="10">
        <f t="shared" si="86"/>
        <v>1.2439096072911049</v>
      </c>
      <c r="AQ150" s="1">
        <f>SUMIFS(
  '[1]Hoja 1'!$M:$M,
  '[1]Hoja 1'!$S:$S, $A150,
  '[1]Hoja 1'!$R:$R, "&gt;="&amp;INT($AS$1),
  '[1]Hoja 1'!$R:$R, "&lt;"&amp;INT($AT$1+1)
)</f>
        <v>0</v>
      </c>
      <c r="AR150" s="1">
        <f t="shared" si="87"/>
        <v>0</v>
      </c>
      <c r="AS150" s="9">
        <f t="shared" si="88"/>
        <v>-1.1732746197431074</v>
      </c>
      <c r="AT150" s="10">
        <f t="shared" si="89"/>
        <v>1.1732746197431074</v>
      </c>
      <c r="AU150" s="1">
        <f>SUMIFS(
  '[1]Hoja 1'!$M:$M,
  '[1]Hoja 1'!$S:$S, $A150,
  '[1]Hoja 1'!$R:$R, "&gt;="&amp;INT($AW$1),
  '[1]Hoja 1'!$R:$R, "&lt;"&amp;INT($AX$1+1)
)</f>
        <v>0</v>
      </c>
      <c r="AV150" s="1">
        <f t="shared" si="90"/>
        <v>0</v>
      </c>
      <c r="AW150" s="9">
        <f t="shared" si="91"/>
        <v>-1.1134581675613551</v>
      </c>
      <c r="AX150" s="10">
        <f t="shared" si="92"/>
        <v>1.1134581675613551</v>
      </c>
    </row>
    <row r="151" spans="1:50" x14ac:dyDescent="0.25">
      <c r="A151" s="5">
        <v>226005</v>
      </c>
      <c r="B151" s="6" t="s">
        <v>148</v>
      </c>
      <c r="C151" s="1">
        <f>SUMIFS(
  '[1]Hoja 1'!$M:$M,
  '[1]Hoja 1'!$S:$S, $A151,
  '[1]Hoja 1'!$R:$R, "&gt;="&amp;INT($E$1),
  '[1]Hoja 1'!$R:$R, "&lt;"&amp;INT($F$1+1)
)</f>
        <v>0</v>
      </c>
      <c r="D151" s="1" t="str">
        <f>""</f>
        <v/>
      </c>
      <c r="F151" s="2"/>
      <c r="G151" s="1">
        <f>SUMIFS(
  '[1]Hoja 1'!$M:$M,
  '[1]Hoja 1'!$S:$S, $A151,
  '[1]Hoja 1'!$R:$R, "&gt;="&amp;INT($I$1),
  '[1]Hoja 1'!$R:$R, "&lt;"&amp;INT($J$1+1)
)</f>
        <v>0</v>
      </c>
      <c r="H151" s="1">
        <f t="shared" si="62"/>
        <v>0</v>
      </c>
      <c r="I151" s="1"/>
      <c r="J151" s="2"/>
      <c r="K151" s="1">
        <f>SUMIFS(
  '[1]Hoja 1'!$M:$M,
  '[1]Hoja 1'!$S:$S, $A151,
  '[1]Hoja 1'!$R:$R, "&gt;="&amp;INT($M$1),
  '[1]Hoja 1'!$R:$R, "&lt;"&amp;INT($N$1+1)
)</f>
        <v>0</v>
      </c>
      <c r="L151" s="1">
        <f t="shared" si="63"/>
        <v>0</v>
      </c>
      <c r="M151" s="9">
        <f t="shared" si="64"/>
        <v>0</v>
      </c>
      <c r="N151" s="10">
        <f t="shared" si="65"/>
        <v>0</v>
      </c>
      <c r="O151" s="1">
        <f>SUMIFS(
  '[1]Hoja 1'!$M:$M,
  '[1]Hoja 1'!$S:$S, $A151,
  '[1]Hoja 1'!$R:$R, "&gt;="&amp;INT($Q$1),
  '[1]Hoja 1'!$R:$R, "&lt;"&amp;INT($R$1+1)
)</f>
        <v>0</v>
      </c>
      <c r="P151" s="1">
        <f t="shared" si="66"/>
        <v>0</v>
      </c>
      <c r="Q151" s="9">
        <f t="shared" si="67"/>
        <v>0</v>
      </c>
      <c r="R151" s="10">
        <f t="shared" si="68"/>
        <v>0</v>
      </c>
      <c r="S151" s="1">
        <f>SUMIFS(
  '[1]Hoja 1'!$M:$M,
  '[1]Hoja 1'!$S:$S, $A151,
  '[1]Hoja 1'!$R:$R, "&gt;="&amp;INT($U$1),
  '[1]Hoja 1'!$R:$R, "&lt;"&amp;INT($V$1+1)
)</f>
        <v>0</v>
      </c>
      <c r="T151" s="1">
        <f t="shared" si="69"/>
        <v>0</v>
      </c>
      <c r="U151" s="9">
        <f t="shared" si="70"/>
        <v>-1.47</v>
      </c>
      <c r="V151" s="10">
        <f t="shared" si="71"/>
        <v>1.47</v>
      </c>
      <c r="W151" s="1">
        <f>SUMIFS(
  '[1]Hoja 1'!$M:$M,
  '[1]Hoja 1'!$S:$S, $A151,
  '[1]Hoja 1'!$R:$R, "&gt;="&amp;INT($Y$1),
  '[1]Hoja 1'!$R:$R, "&lt;"&amp;INT($Z$1+1)
)</f>
        <v>0</v>
      </c>
      <c r="X151" s="1">
        <f t="shared" si="72"/>
        <v>0</v>
      </c>
      <c r="Y151" s="9">
        <f t="shared" si="73"/>
        <v>0</v>
      </c>
      <c r="Z151" s="10">
        <f t="shared" si="74"/>
        <v>0</v>
      </c>
      <c r="AA151" s="1">
        <f>SUMIFS(
  '[1]Hoja 1'!$M:$M,
  '[1]Hoja 1'!$S:$S, $A151,
  '[1]Hoja 1'!$R:$R, "&gt;="&amp;INT($AC$1),
  '[1]Hoja 1'!$R:$R, "&lt;"&amp;INT($AD$1+1)
)</f>
        <v>0</v>
      </c>
      <c r="AB151" s="1">
        <f t="shared" si="75"/>
        <v>0</v>
      </c>
      <c r="AC151" s="9">
        <f t="shared" si="76"/>
        <v>0</v>
      </c>
      <c r="AD151" s="10">
        <f t="shared" si="77"/>
        <v>0</v>
      </c>
      <c r="AE151" s="1">
        <f>SUMIFS(
  '[1]Hoja 1'!$M:$M,
  '[1]Hoja 1'!$S:$S, $A151,
  '[1]Hoja 1'!$R:$R, "&gt;="&amp;INT($AG$1),
  '[1]Hoja 1'!$R:$R, "&lt;"&amp;INT($AH$1+1)
)</f>
        <v>0</v>
      </c>
      <c r="AF151" s="1">
        <f t="shared" si="78"/>
        <v>0</v>
      </c>
      <c r="AG151" s="9">
        <f t="shared" si="79"/>
        <v>0</v>
      </c>
      <c r="AH151" s="10">
        <f t="shared" si="80"/>
        <v>0</v>
      </c>
      <c r="AI151" s="1">
        <f>SUMIFS(
  '[1]Hoja 1'!$M:$M,
  '[1]Hoja 1'!$S:$S, $A151,
  '[1]Hoja 1'!$R:$R, "&gt;="&amp;INT($AK$1),
  '[1]Hoja 1'!$R:$R, "&lt;"&amp;INT($AJ$1+1)
)</f>
        <v>0</v>
      </c>
      <c r="AJ151" s="1">
        <f t="shared" si="81"/>
        <v>0</v>
      </c>
      <c r="AK151" s="9">
        <f t="shared" si="82"/>
        <v>0</v>
      </c>
      <c r="AL151" s="10">
        <f t="shared" si="83"/>
        <v>0</v>
      </c>
      <c r="AM151" s="1">
        <f>SUMIFS(
  '[1]Hoja 1'!$M:$M,
  '[1]Hoja 1'!$S:$S, $A151,
  '[1]Hoja 1'!$R:$R, "&gt;="&amp;INT($AO$1),
  '[1]Hoja 1'!$R:$R, "&lt;"&amp;INT($AP$1+1)
)</f>
        <v>0</v>
      </c>
      <c r="AN151" s="1">
        <f t="shared" si="84"/>
        <v>0</v>
      </c>
      <c r="AO151" s="9">
        <f t="shared" si="85"/>
        <v>0</v>
      </c>
      <c r="AP151" s="10">
        <f t="shared" si="86"/>
        <v>0</v>
      </c>
      <c r="AQ151" s="1">
        <f>SUMIFS(
  '[1]Hoja 1'!$M:$M,
  '[1]Hoja 1'!$S:$S, $A151,
  '[1]Hoja 1'!$R:$R, "&gt;="&amp;INT($AS$1),
  '[1]Hoja 1'!$R:$R, "&lt;"&amp;INT($AT$1+1)
)</f>
        <v>0</v>
      </c>
      <c r="AR151" s="1">
        <f t="shared" si="87"/>
        <v>0</v>
      </c>
      <c r="AS151" s="9">
        <f t="shared" si="88"/>
        <v>0</v>
      </c>
      <c r="AT151" s="10">
        <f t="shared" si="89"/>
        <v>0</v>
      </c>
      <c r="AU151" s="1">
        <f>SUMIFS(
  '[1]Hoja 1'!$M:$M,
  '[1]Hoja 1'!$S:$S, $A151,
  '[1]Hoja 1'!$R:$R, "&gt;="&amp;INT($AW$1),
  '[1]Hoja 1'!$R:$R, "&lt;"&amp;INT($AX$1+1)
)</f>
        <v>0</v>
      </c>
      <c r="AV151" s="1">
        <f t="shared" si="90"/>
        <v>0</v>
      </c>
      <c r="AW151" s="9">
        <f t="shared" si="91"/>
        <v>0</v>
      </c>
      <c r="AX151" s="10">
        <f t="shared" si="92"/>
        <v>0</v>
      </c>
    </row>
    <row r="152" spans="1:50" x14ac:dyDescent="0.25">
      <c r="A152" s="5">
        <v>226009</v>
      </c>
      <c r="B152" s="6" t="s">
        <v>149</v>
      </c>
      <c r="C152" s="1">
        <f>SUMIFS(
  '[1]Hoja 1'!$M:$M,
  '[1]Hoja 1'!$S:$S, $A152,
  '[1]Hoja 1'!$R:$R, "&gt;="&amp;INT($E$1),
  '[1]Hoja 1'!$R:$R, "&lt;"&amp;INT($F$1+1)
)</f>
        <v>1</v>
      </c>
      <c r="D152" s="1" t="str">
        <f>""</f>
        <v/>
      </c>
      <c r="F152" s="2"/>
      <c r="G152" s="1">
        <f>SUMIFS(
  '[1]Hoja 1'!$M:$M,
  '[1]Hoja 1'!$S:$S, $A152,
  '[1]Hoja 1'!$R:$R, "&gt;="&amp;INT($I$1),
  '[1]Hoja 1'!$R:$R, "&lt;"&amp;INT($J$1+1)
)</f>
        <v>1</v>
      </c>
      <c r="H152" s="1">
        <f t="shared" si="62"/>
        <v>1</v>
      </c>
      <c r="I152" s="1"/>
      <c r="J152" s="2"/>
      <c r="K152" s="1">
        <f>SUMIFS(
  '[1]Hoja 1'!$M:$M,
  '[1]Hoja 1'!$S:$S, $A152,
  '[1]Hoja 1'!$R:$R, "&gt;="&amp;INT($M$1),
  '[1]Hoja 1'!$R:$R, "&lt;"&amp;INT($N$1+1)
)</f>
        <v>0</v>
      </c>
      <c r="L152" s="1">
        <f t="shared" si="63"/>
        <v>0.5</v>
      </c>
      <c r="M152" s="9">
        <f t="shared" si="64"/>
        <v>-0.19296464556281656</v>
      </c>
      <c r="N152" s="10">
        <f t="shared" si="65"/>
        <v>1.1929646455628165</v>
      </c>
      <c r="O152" s="1">
        <f>SUMIFS(
  '[1]Hoja 1'!$M:$M,
  '[1]Hoja 1'!$S:$S, $A152,
  '[1]Hoja 1'!$R:$R, "&gt;="&amp;INT($Q$1),
  '[1]Hoja 1'!$R:$R, "&lt;"&amp;INT($R$1+1)
)</f>
        <v>0</v>
      </c>
      <c r="P152" s="1">
        <f t="shared" si="66"/>
        <v>0</v>
      </c>
      <c r="Q152" s="9">
        <f t="shared" si="67"/>
        <v>-0.56580326380583335</v>
      </c>
      <c r="R152" s="10">
        <f t="shared" si="68"/>
        <v>0.56580326380583335</v>
      </c>
      <c r="S152" s="1">
        <f>SUMIFS(
  '[1]Hoja 1'!$M:$M,
  '[1]Hoja 1'!$S:$S, $A152,
  '[1]Hoja 1'!$R:$R, "&gt;="&amp;INT($U$1),
  '[1]Hoja 1'!$R:$R, "&lt;"&amp;INT($V$1+1)
)</f>
        <v>0</v>
      </c>
      <c r="T152" s="1">
        <f t="shared" si="69"/>
        <v>0</v>
      </c>
      <c r="U152" s="9">
        <f t="shared" si="70"/>
        <v>-1.3859292911256331</v>
      </c>
      <c r="V152" s="10">
        <f t="shared" si="71"/>
        <v>1.3859292911256331</v>
      </c>
      <c r="W152" s="1">
        <f>SUMIFS(
  '[1]Hoja 1'!$M:$M,
  '[1]Hoja 1'!$S:$S, $A152,
  '[1]Hoja 1'!$R:$R, "&gt;="&amp;INT($Y$1),
  '[1]Hoja 1'!$R:$R, "&lt;"&amp;INT($Z$1+1)
)</f>
        <v>0</v>
      </c>
      <c r="X152" s="1">
        <f t="shared" si="72"/>
        <v>0</v>
      </c>
      <c r="Y152" s="9">
        <f t="shared" si="73"/>
        <v>-0.43826932358995874</v>
      </c>
      <c r="Z152" s="10">
        <f t="shared" si="74"/>
        <v>0.43826932358995874</v>
      </c>
      <c r="AA152" s="1">
        <f>SUMIFS(
  '[1]Hoja 1'!$M:$M,
  '[1]Hoja 1'!$S:$S, $A152,
  '[1]Hoja 1'!$R:$R, "&gt;="&amp;INT($AC$1),
  '[1]Hoja 1'!$R:$R, "&lt;"&amp;INT($AD$1+1)
)</f>
        <v>0</v>
      </c>
      <c r="AB152" s="1">
        <f t="shared" si="75"/>
        <v>0</v>
      </c>
      <c r="AC152" s="9">
        <f t="shared" si="76"/>
        <v>-0.40008332465458574</v>
      </c>
      <c r="AD152" s="10">
        <f t="shared" si="77"/>
        <v>0.40008332465458574</v>
      </c>
      <c r="AE152" s="1">
        <f>SUMIFS(
  '[1]Hoja 1'!$M:$M,
  '[1]Hoja 1'!$S:$S, $A152,
  '[1]Hoja 1'!$R:$R, "&gt;="&amp;INT($AG$1),
  '[1]Hoja 1'!$R:$R, "&lt;"&amp;INT($AH$1+1)
)</f>
        <v>0</v>
      </c>
      <c r="AF152" s="1">
        <f t="shared" si="78"/>
        <v>0</v>
      </c>
      <c r="AG152" s="9">
        <f t="shared" si="79"/>
        <v>-0.37040518354904273</v>
      </c>
      <c r="AH152" s="10">
        <f t="shared" si="80"/>
        <v>0.37040518354904273</v>
      </c>
      <c r="AI152" s="1">
        <f>SUMIFS(
  '[1]Hoja 1'!$M:$M,
  '[1]Hoja 1'!$S:$S, $A152,
  '[1]Hoja 1'!$R:$R, "&gt;="&amp;INT($AK$1),
  '[1]Hoja 1'!$R:$R, "&lt;"&amp;INT($AJ$1+1)
)</f>
        <v>0</v>
      </c>
      <c r="AJ152" s="1">
        <f t="shared" si="81"/>
        <v>0</v>
      </c>
      <c r="AK152" s="9">
        <f t="shared" si="82"/>
        <v>-0.34648232278140828</v>
      </c>
      <c r="AL152" s="10">
        <f t="shared" si="83"/>
        <v>0.34648232278140828</v>
      </c>
      <c r="AM152" s="1">
        <f>SUMIFS(
  '[1]Hoja 1'!$M:$M,
  '[1]Hoja 1'!$S:$S, $A152,
  '[1]Hoja 1'!$R:$R, "&gt;="&amp;INT($AO$1),
  '[1]Hoja 1'!$R:$R, "&lt;"&amp;INT($AP$1+1)
)</f>
        <v>0</v>
      </c>
      <c r="AN152" s="1">
        <f t="shared" si="84"/>
        <v>0</v>
      </c>
      <c r="AO152" s="9">
        <f t="shared" si="85"/>
        <v>-0.32666666666666666</v>
      </c>
      <c r="AP152" s="10">
        <f t="shared" si="86"/>
        <v>0.32666666666666666</v>
      </c>
      <c r="AQ152" s="1">
        <f>SUMIFS(
  '[1]Hoja 1'!$M:$M,
  '[1]Hoja 1'!$S:$S, $A152,
  '[1]Hoja 1'!$R:$R, "&gt;="&amp;INT($AS$1),
  '[1]Hoja 1'!$R:$R, "&lt;"&amp;INT($AT$1+1)
)</f>
        <v>0</v>
      </c>
      <c r="AR152" s="1">
        <f t="shared" si="87"/>
        <v>0</v>
      </c>
      <c r="AS152" s="9">
        <f t="shared" si="88"/>
        <v>-0.30990321069650117</v>
      </c>
      <c r="AT152" s="10">
        <f t="shared" si="89"/>
        <v>0.30990321069650117</v>
      </c>
      <c r="AU152" s="1">
        <f>SUMIFS(
  '[1]Hoja 1'!$M:$M,
  '[1]Hoja 1'!$S:$S, $A152,
  '[1]Hoja 1'!$R:$R, "&gt;="&amp;INT($AW$1),
  '[1]Hoja 1'!$R:$R, "&lt;"&amp;INT($AX$1+1)
)</f>
        <v>0</v>
      </c>
      <c r="AV152" s="1">
        <f t="shared" si="90"/>
        <v>0</v>
      </c>
      <c r="AW152" s="9">
        <f t="shared" si="91"/>
        <v>-0.29548111768620833</v>
      </c>
      <c r="AX152" s="10">
        <f t="shared" si="92"/>
        <v>0.29548111768620833</v>
      </c>
    </row>
    <row r="153" spans="1:50" x14ac:dyDescent="0.25">
      <c r="A153" s="5">
        <v>226022</v>
      </c>
      <c r="B153" s="6" t="s">
        <v>150</v>
      </c>
      <c r="C153" s="1">
        <f>SUMIFS(
  '[1]Hoja 1'!$M:$M,
  '[1]Hoja 1'!$S:$S, $A153,
  '[1]Hoja 1'!$R:$R, "&gt;="&amp;INT($E$1),
  '[1]Hoja 1'!$R:$R, "&lt;"&amp;INT($F$1+1)
)</f>
        <v>10</v>
      </c>
      <c r="D153" s="1" t="str">
        <f>""</f>
        <v/>
      </c>
      <c r="F153" s="2"/>
      <c r="G153" s="1">
        <f>SUMIFS(
  '[1]Hoja 1'!$M:$M,
  '[1]Hoja 1'!$S:$S, $A153,
  '[1]Hoja 1'!$R:$R, "&gt;="&amp;INT($I$1),
  '[1]Hoja 1'!$R:$R, "&lt;"&amp;INT($J$1+1)
)</f>
        <v>3</v>
      </c>
      <c r="H153" s="1">
        <f t="shared" si="62"/>
        <v>7</v>
      </c>
      <c r="I153" s="1"/>
      <c r="J153" s="2"/>
      <c r="K153" s="1">
        <f>SUMIFS(
  '[1]Hoja 1'!$M:$M,
  '[1]Hoja 1'!$S:$S, $A153,
  '[1]Hoja 1'!$R:$R, "&gt;="&amp;INT($M$1),
  '[1]Hoja 1'!$R:$R, "&lt;"&amp;INT($N$1+1)
)</f>
        <v>0</v>
      </c>
      <c r="L153" s="1">
        <f t="shared" si="63"/>
        <v>1.5</v>
      </c>
      <c r="M153" s="9">
        <f t="shared" si="64"/>
        <v>-1.2718585822512662</v>
      </c>
      <c r="N153" s="10">
        <f t="shared" si="65"/>
        <v>4.2718585822512658</v>
      </c>
      <c r="O153" s="1">
        <f>SUMIFS(
  '[1]Hoja 1'!$M:$M,
  '[1]Hoja 1'!$S:$S, $A153,
  '[1]Hoja 1'!$R:$R, "&gt;="&amp;INT($Q$1),
  '[1]Hoja 1'!$R:$R, "&lt;"&amp;INT($R$1+1)
)</f>
        <v>0</v>
      </c>
      <c r="P153" s="1">
        <f t="shared" si="66"/>
        <v>0</v>
      </c>
      <c r="Q153" s="9">
        <f t="shared" si="67"/>
        <v>-3.4416468925985613</v>
      </c>
      <c r="R153" s="10">
        <f t="shared" si="68"/>
        <v>3.4416468925985613</v>
      </c>
      <c r="S153" s="1">
        <f>SUMIFS(
  '[1]Hoja 1'!$M:$M,
  '[1]Hoja 1'!$S:$S, $A153,
  '[1]Hoja 1'!$R:$R, "&gt;="&amp;INT($U$1),
  '[1]Hoja 1'!$R:$R, "&lt;"&amp;INT($V$1+1)
)</f>
        <v>0</v>
      </c>
      <c r="T153" s="1">
        <f t="shared" si="69"/>
        <v>0</v>
      </c>
      <c r="U153" s="9">
        <f t="shared" si="70"/>
        <v>-2.8148356968036339</v>
      </c>
      <c r="V153" s="10">
        <f t="shared" si="71"/>
        <v>2.8148356968036339</v>
      </c>
      <c r="W153" s="1">
        <f>SUMIFS(
  '[1]Hoja 1'!$M:$M,
  '[1]Hoja 1'!$S:$S, $A153,
  '[1]Hoja 1'!$R:$R, "&gt;="&amp;INT($Y$1),
  '[1]Hoja 1'!$R:$R, "&lt;"&amp;INT($Z$1+1)
)</f>
        <v>0</v>
      </c>
      <c r="X153" s="1">
        <f t="shared" si="72"/>
        <v>0</v>
      </c>
      <c r="Y153" s="9">
        <f t="shared" si="73"/>
        <v>-3.0205628614547981</v>
      </c>
      <c r="Z153" s="10">
        <f t="shared" si="74"/>
        <v>3.0205628614547981</v>
      </c>
      <c r="AA153" s="1">
        <f>SUMIFS(
  '[1]Hoja 1'!$M:$M,
  '[1]Hoja 1'!$S:$S, $A153,
  '[1]Hoja 1'!$R:$R, "&gt;="&amp;INT($AC$1),
  '[1]Hoja 1'!$R:$R, "&lt;"&amp;INT($AD$1+1)
)</f>
        <v>0</v>
      </c>
      <c r="AB153" s="1">
        <f t="shared" si="75"/>
        <v>0</v>
      </c>
      <c r="AC153" s="9">
        <f t="shared" si="76"/>
        <v>-2.8176775306387825</v>
      </c>
      <c r="AD153" s="10">
        <f t="shared" si="77"/>
        <v>2.8176775306387825</v>
      </c>
      <c r="AE153" s="1">
        <f>SUMIFS(
  '[1]Hoja 1'!$M:$M,
  '[1]Hoja 1'!$S:$S, $A153,
  '[1]Hoja 1'!$R:$R, "&gt;="&amp;INT($AG$1),
  '[1]Hoja 1'!$R:$R, "&lt;"&amp;INT($AH$1+1)
)</f>
        <v>0</v>
      </c>
      <c r="AF153" s="1">
        <f t="shared" si="78"/>
        <v>0</v>
      </c>
      <c r="AG153" s="9">
        <f t="shared" si="79"/>
        <v>-2.6452221078767657</v>
      </c>
      <c r="AH153" s="10">
        <f t="shared" si="80"/>
        <v>2.6452221078767657</v>
      </c>
      <c r="AI153" s="1">
        <f>SUMIFS(
  '[1]Hoja 1'!$M:$M,
  '[1]Hoja 1'!$S:$S, $A153,
  '[1]Hoja 1'!$R:$R, "&gt;="&amp;INT($AK$1),
  '[1]Hoja 1'!$R:$R, "&lt;"&amp;INT($AJ$1+1)
)</f>
        <v>0</v>
      </c>
      <c r="AJ153" s="1">
        <f t="shared" si="81"/>
        <v>0</v>
      </c>
      <c r="AK153" s="9">
        <f t="shared" si="82"/>
        <v>-2.4985195616604643</v>
      </c>
      <c r="AL153" s="10">
        <f t="shared" si="83"/>
        <v>2.4985195616604643</v>
      </c>
      <c r="AM153" s="1">
        <f>SUMIFS(
  '[1]Hoja 1'!$M:$M,
  '[1]Hoja 1'!$S:$S, $A153,
  '[1]Hoja 1'!$R:$R, "&gt;="&amp;INT($AO$1),
  '[1]Hoja 1'!$R:$R, "&lt;"&amp;INT($AP$1+1)
)</f>
        <v>0</v>
      </c>
      <c r="AN153" s="1">
        <f t="shared" si="84"/>
        <v>0</v>
      </c>
      <c r="AO153" s="9">
        <f t="shared" si="85"/>
        <v>-2.372553710901212</v>
      </c>
      <c r="AP153" s="10">
        <f t="shared" si="86"/>
        <v>2.372553710901212</v>
      </c>
      <c r="AQ153" s="1">
        <f>SUMIFS(
  '[1]Hoja 1'!$M:$M,
  '[1]Hoja 1'!$S:$S, $A153,
  '[1]Hoja 1'!$R:$R, "&gt;="&amp;INT($AS$1),
  '[1]Hoja 1'!$R:$R, "&lt;"&amp;INT($AT$1+1)
)</f>
        <v>0</v>
      </c>
      <c r="AR153" s="1">
        <f t="shared" si="87"/>
        <v>0</v>
      </c>
      <c r="AS153" s="9">
        <f t="shared" si="88"/>
        <v>-2.2632130552233329</v>
      </c>
      <c r="AT153" s="10">
        <f t="shared" si="89"/>
        <v>2.2632130552233329</v>
      </c>
      <c r="AU153" s="1">
        <f>SUMIFS(
  '[1]Hoja 1'!$M:$M,
  '[1]Hoja 1'!$S:$S, $A153,
  '[1]Hoja 1'!$R:$R, "&gt;="&amp;INT($AW$1),
  '[1]Hoja 1'!$R:$R, "&lt;"&amp;INT($AX$1+1)
)</f>
        <v>0</v>
      </c>
      <c r="AV153" s="1">
        <f t="shared" si="90"/>
        <v>0</v>
      </c>
      <c r="AW153" s="9">
        <f t="shared" si="91"/>
        <v>-2.1673091821217136</v>
      </c>
      <c r="AX153" s="10">
        <f t="shared" si="92"/>
        <v>2.1673091821217136</v>
      </c>
    </row>
    <row r="154" spans="1:50" x14ac:dyDescent="0.25">
      <c r="A154" s="5">
        <v>226023</v>
      </c>
      <c r="B154" s="6" t="s">
        <v>151</v>
      </c>
      <c r="C154" s="1">
        <f>SUMIFS(
  '[1]Hoja 1'!$M:$M,
  '[1]Hoja 1'!$S:$S, $A154,
  '[1]Hoja 1'!$R:$R, "&gt;="&amp;INT($E$1),
  '[1]Hoja 1'!$R:$R, "&lt;"&amp;INT($F$1+1)
)</f>
        <v>6</v>
      </c>
      <c r="D154" s="1" t="str">
        <f>""</f>
        <v/>
      </c>
      <c r="F154" s="2"/>
      <c r="G154" s="1">
        <f>SUMIFS(
  '[1]Hoja 1'!$M:$M,
  '[1]Hoja 1'!$S:$S, $A154,
  '[1]Hoja 1'!$R:$R, "&gt;="&amp;INT($I$1),
  '[1]Hoja 1'!$R:$R, "&lt;"&amp;INT($J$1+1)
)</f>
        <v>3</v>
      </c>
      <c r="H154" s="1">
        <f t="shared" si="62"/>
        <v>5</v>
      </c>
      <c r="I154" s="1"/>
      <c r="J154" s="2"/>
      <c r="K154" s="1">
        <f>SUMIFS(
  '[1]Hoja 1'!$M:$M,
  '[1]Hoja 1'!$S:$S, $A154,
  '[1]Hoja 1'!$R:$R, "&gt;="&amp;INT($M$1),
  '[1]Hoja 1'!$R:$R, "&lt;"&amp;INT($N$1+1)
)</f>
        <v>0</v>
      </c>
      <c r="L154" s="1">
        <f t="shared" si="63"/>
        <v>1.5</v>
      </c>
      <c r="M154" s="9">
        <f t="shared" si="64"/>
        <v>1.5</v>
      </c>
      <c r="N154" s="10">
        <f t="shared" si="65"/>
        <v>1.5</v>
      </c>
      <c r="O154" s="1">
        <f>SUMIFS(
  '[1]Hoja 1'!$M:$M,
  '[1]Hoja 1'!$S:$S, $A154,
  '[1]Hoja 1'!$R:$R, "&gt;="&amp;INT($Q$1),
  '[1]Hoja 1'!$R:$R, "&lt;"&amp;INT($R$1+1)
)</f>
        <v>0</v>
      </c>
      <c r="P154" s="1">
        <f t="shared" si="66"/>
        <v>0</v>
      </c>
      <c r="Q154" s="9">
        <f t="shared" si="67"/>
        <v>-1.6974097914174997</v>
      </c>
      <c r="R154" s="10">
        <f t="shared" si="68"/>
        <v>1.6974097914174997</v>
      </c>
      <c r="S154" s="1">
        <f>SUMIFS(
  '[1]Hoja 1'!$M:$M,
  '[1]Hoja 1'!$S:$S, $A154,
  '[1]Hoja 1'!$R:$R, "&gt;="&amp;INT($U$1),
  '[1]Hoja 1'!$R:$R, "&lt;"&amp;INT($V$1+1)
)</f>
        <v>0</v>
      </c>
      <c r="T154" s="1">
        <f t="shared" si="69"/>
        <v>0</v>
      </c>
      <c r="U154" s="9">
        <f t="shared" si="70"/>
        <v>-1.47</v>
      </c>
      <c r="V154" s="10">
        <f t="shared" si="71"/>
        <v>1.47</v>
      </c>
      <c r="W154" s="1">
        <f>SUMIFS(
  '[1]Hoja 1'!$M:$M,
  '[1]Hoja 1'!$S:$S, $A154,
  '[1]Hoja 1'!$R:$R, "&gt;="&amp;INT($Y$1),
  '[1]Hoja 1'!$R:$R, "&lt;"&amp;INT($Z$1+1)
)</f>
        <v>0</v>
      </c>
      <c r="X154" s="1">
        <f t="shared" si="72"/>
        <v>0</v>
      </c>
      <c r="Y154" s="9">
        <f t="shared" si="73"/>
        <v>-1.6103043190651884</v>
      </c>
      <c r="Z154" s="10">
        <f t="shared" si="74"/>
        <v>1.6103043190651884</v>
      </c>
      <c r="AA154" s="1">
        <f>SUMIFS(
  '[1]Hoja 1'!$M:$M,
  '[1]Hoja 1'!$S:$S, $A154,
  '[1]Hoja 1'!$R:$R, "&gt;="&amp;INT($AC$1),
  '[1]Hoja 1'!$R:$R, "&lt;"&amp;INT($AD$1+1)
)</f>
        <v>0</v>
      </c>
      <c r="AB154" s="1">
        <f t="shared" si="75"/>
        <v>0</v>
      </c>
      <c r="AC154" s="9">
        <f t="shared" si="76"/>
        <v>-1.5182094717133074</v>
      </c>
      <c r="AD154" s="10">
        <f t="shared" si="77"/>
        <v>1.5182094717133074</v>
      </c>
      <c r="AE154" s="1">
        <f>SUMIFS(
  '[1]Hoja 1'!$M:$M,
  '[1]Hoja 1'!$S:$S, $A154,
  '[1]Hoja 1'!$R:$R, "&gt;="&amp;INT($AG$1),
  '[1]Hoja 1'!$R:$R, "&lt;"&amp;INT($AH$1+1)
)</f>
        <v>0</v>
      </c>
      <c r="AF154" s="1">
        <f t="shared" si="78"/>
        <v>0</v>
      </c>
      <c r="AG154" s="9">
        <f t="shared" si="79"/>
        <v>-1.4345731072343437</v>
      </c>
      <c r="AH154" s="10">
        <f t="shared" si="80"/>
        <v>1.4345731072343437</v>
      </c>
      <c r="AI154" s="1">
        <f>SUMIFS(
  '[1]Hoja 1'!$M:$M,
  '[1]Hoja 1'!$S:$S, $A154,
  '[1]Hoja 1'!$R:$R, "&gt;="&amp;INT($AK$1),
  '[1]Hoja 1'!$R:$R, "&lt;"&amp;INT($AJ$1+1)
)</f>
        <v>0</v>
      </c>
      <c r="AJ154" s="1">
        <f t="shared" si="81"/>
        <v>0</v>
      </c>
      <c r="AK154" s="9">
        <f t="shared" si="82"/>
        <v>-1.3609555466656507</v>
      </c>
      <c r="AL154" s="10">
        <f t="shared" si="83"/>
        <v>1.3609555466656507</v>
      </c>
      <c r="AM154" s="1">
        <f>SUMIFS(
  '[1]Hoja 1'!$M:$M,
  '[1]Hoja 1'!$S:$S, $A154,
  '[1]Hoja 1'!$R:$R, "&gt;="&amp;INT($AO$1),
  '[1]Hoja 1'!$R:$R, "&lt;"&amp;INT($AP$1+1)
)</f>
        <v>0</v>
      </c>
      <c r="AN154" s="1">
        <f t="shared" si="84"/>
        <v>0</v>
      </c>
      <c r="AO154" s="9">
        <f t="shared" si="85"/>
        <v>-1.2964181424216494</v>
      </c>
      <c r="AP154" s="10">
        <f t="shared" si="86"/>
        <v>1.2964181424216494</v>
      </c>
      <c r="AQ154" s="1">
        <f>SUMIFS(
  '[1]Hoja 1'!$M:$M,
  '[1]Hoja 1'!$S:$S, $A154,
  '[1]Hoja 1'!$R:$R, "&gt;="&amp;INT($AS$1),
  '[1]Hoja 1'!$R:$R, "&lt;"&amp;INT($AT$1+1)
)</f>
        <v>0</v>
      </c>
      <c r="AR154" s="1">
        <f t="shared" si="87"/>
        <v>0</v>
      </c>
      <c r="AS154" s="9">
        <f t="shared" si="88"/>
        <v>-1.2396128427860047</v>
      </c>
      <c r="AT154" s="10">
        <f t="shared" si="89"/>
        <v>1.2396128427860047</v>
      </c>
      <c r="AU154" s="1">
        <f>SUMIFS(
  '[1]Hoja 1'!$M:$M,
  '[1]Hoja 1'!$S:$S, $A154,
  '[1]Hoja 1'!$R:$R, "&gt;="&amp;INT($AW$1),
  '[1]Hoja 1'!$R:$R, "&lt;"&amp;INT($AX$1+1)
)</f>
        <v>0</v>
      </c>
      <c r="AV154" s="1">
        <f t="shared" si="90"/>
        <v>0</v>
      </c>
      <c r="AW154" s="9">
        <f t="shared" si="91"/>
        <v>-1.189288557385159</v>
      </c>
      <c r="AX154" s="10">
        <f t="shared" si="92"/>
        <v>1.189288557385159</v>
      </c>
    </row>
    <row r="155" spans="1:50" x14ac:dyDescent="0.25">
      <c r="A155" s="5">
        <v>226024</v>
      </c>
      <c r="B155" s="6" t="s">
        <v>152</v>
      </c>
      <c r="C155" s="1">
        <f>SUMIFS(
  '[1]Hoja 1'!$M:$M,
  '[1]Hoja 1'!$S:$S, $A155,
  '[1]Hoja 1'!$R:$R, "&gt;="&amp;INT($E$1),
  '[1]Hoja 1'!$R:$R, "&lt;"&amp;INT($F$1+1)
)</f>
        <v>5</v>
      </c>
      <c r="D155" s="1" t="str">
        <f>""</f>
        <v/>
      </c>
      <c r="F155" s="2"/>
      <c r="G155" s="1">
        <f>SUMIFS(
  '[1]Hoja 1'!$M:$M,
  '[1]Hoja 1'!$S:$S, $A155,
  '[1]Hoja 1'!$R:$R, "&gt;="&amp;INT($I$1),
  '[1]Hoja 1'!$R:$R, "&lt;"&amp;INT($J$1+1)
)</f>
        <v>2</v>
      </c>
      <c r="H155" s="1">
        <f t="shared" si="62"/>
        <v>4</v>
      </c>
      <c r="I155" s="1"/>
      <c r="J155" s="2"/>
      <c r="K155" s="1">
        <f>SUMIFS(
  '[1]Hoja 1'!$M:$M,
  '[1]Hoja 1'!$S:$S, $A155,
  '[1]Hoja 1'!$R:$R, "&gt;="&amp;INT($M$1),
  '[1]Hoja 1'!$R:$R, "&lt;"&amp;INT($N$1+1)
)</f>
        <v>0</v>
      </c>
      <c r="L155" s="1">
        <f t="shared" si="63"/>
        <v>1</v>
      </c>
      <c r="M155" s="9">
        <f t="shared" si="64"/>
        <v>0.30703535443718344</v>
      </c>
      <c r="N155" s="10">
        <f t="shared" si="65"/>
        <v>1.6929646455628165</v>
      </c>
      <c r="O155" s="1">
        <f>SUMIFS(
  '[1]Hoja 1'!$M:$M,
  '[1]Hoja 1'!$S:$S, $A155,
  '[1]Hoja 1'!$R:$R, "&gt;="&amp;INT($Q$1),
  '[1]Hoja 1'!$R:$R, "&lt;"&amp;INT($R$1+1)
)</f>
        <v>0</v>
      </c>
      <c r="P155" s="1">
        <f t="shared" si="66"/>
        <v>0</v>
      </c>
      <c r="Q155" s="9">
        <f t="shared" si="67"/>
        <v>-1.4969747270189075</v>
      </c>
      <c r="R155" s="10">
        <f t="shared" si="68"/>
        <v>1.4969747270189075</v>
      </c>
      <c r="S155" s="1">
        <f>SUMIFS(
  '[1]Hoja 1'!$M:$M,
  '[1]Hoja 1'!$S:$S, $A155,
  '[1]Hoja 1'!$R:$R, "&gt;="&amp;INT($U$1),
  '[1]Hoja 1'!$R:$R, "&lt;"&amp;INT($V$1+1)
)</f>
        <v>0</v>
      </c>
      <c r="T155" s="1">
        <f t="shared" si="69"/>
        <v>0</v>
      </c>
      <c r="U155" s="9">
        <f t="shared" si="70"/>
        <v>-1.3859292911256331</v>
      </c>
      <c r="V155" s="10">
        <f t="shared" si="71"/>
        <v>1.3859292911256331</v>
      </c>
      <c r="W155" s="1">
        <f>SUMIFS(
  '[1]Hoja 1'!$M:$M,
  '[1]Hoja 1'!$S:$S, $A155,
  '[1]Hoja 1'!$R:$R, "&gt;="&amp;INT($Y$1),
  '[1]Hoja 1'!$R:$R, "&lt;"&amp;INT($Z$1+1)
)</f>
        <v>0</v>
      </c>
      <c r="X155" s="1">
        <f t="shared" si="72"/>
        <v>0</v>
      </c>
      <c r="Y155" s="9">
        <f t="shared" si="73"/>
        <v>-1.3859292911256331</v>
      </c>
      <c r="Z155" s="10">
        <f t="shared" si="74"/>
        <v>1.3859292911256331</v>
      </c>
      <c r="AA155" s="1">
        <f>SUMIFS(
  '[1]Hoja 1'!$M:$M,
  '[1]Hoja 1'!$S:$S, $A155,
  '[1]Hoja 1'!$R:$R, "&gt;="&amp;INT($AC$1),
  '[1]Hoja 1'!$R:$R, "&lt;"&amp;INT($AD$1+1)
)</f>
        <v>0</v>
      </c>
      <c r="AB155" s="1">
        <f t="shared" si="75"/>
        <v>0</v>
      </c>
      <c r="AC155" s="9">
        <f t="shared" si="76"/>
        <v>-1.3025769331086232</v>
      </c>
      <c r="AD155" s="10">
        <f t="shared" si="77"/>
        <v>1.3025769331086232</v>
      </c>
      <c r="AE155" s="1">
        <f>SUMIFS(
  '[1]Hoja 1'!$M:$M,
  '[1]Hoja 1'!$S:$S, $A155,
  '[1]Hoja 1'!$R:$R, "&gt;="&amp;INT($AG$1),
  '[1]Hoja 1'!$R:$R, "&lt;"&amp;INT($AH$1+1)
)</f>
        <v>0</v>
      </c>
      <c r="AF155" s="1">
        <f t="shared" si="78"/>
        <v>0</v>
      </c>
      <c r="AG155" s="9">
        <f t="shared" si="79"/>
        <v>-1.2284950142348969</v>
      </c>
      <c r="AH155" s="10">
        <f t="shared" si="80"/>
        <v>1.2284950142348969</v>
      </c>
      <c r="AI155" s="1">
        <f>SUMIFS(
  '[1]Hoja 1'!$M:$M,
  '[1]Hoja 1'!$S:$S, $A155,
  '[1]Hoja 1'!$R:$R, "&gt;="&amp;INT($AK$1),
  '[1]Hoja 1'!$R:$R, "&lt;"&amp;INT($AJ$1+1)
)</f>
        <v>0</v>
      </c>
      <c r="AJ155" s="1">
        <f t="shared" si="81"/>
        <v>0</v>
      </c>
      <c r="AK155" s="9">
        <f t="shared" si="82"/>
        <v>-1.1639802403821125</v>
      </c>
      <c r="AL155" s="10">
        <f t="shared" si="83"/>
        <v>1.1639802403821125</v>
      </c>
      <c r="AM155" s="1">
        <f>SUMIFS(
  '[1]Hoja 1'!$M:$M,
  '[1]Hoja 1'!$S:$S, $A155,
  '[1]Hoja 1'!$R:$R, "&gt;="&amp;INT($AO$1),
  '[1]Hoja 1'!$R:$R, "&lt;"&amp;INT($AP$1+1)
)</f>
        <v>0</v>
      </c>
      <c r="AN155" s="1">
        <f t="shared" si="84"/>
        <v>0</v>
      </c>
      <c r="AO155" s="9">
        <f t="shared" si="85"/>
        <v>-1.1077805639104603</v>
      </c>
      <c r="AP155" s="10">
        <f t="shared" si="86"/>
        <v>1.1077805639104603</v>
      </c>
      <c r="AQ155" s="1">
        <f>SUMIFS(
  '[1]Hoja 1'!$M:$M,
  '[1]Hoja 1'!$S:$S, $A155,
  '[1]Hoja 1'!$R:$R, "&gt;="&amp;INT($AS$1),
  '[1]Hoja 1'!$R:$R, "&lt;"&amp;INT($AT$1+1)
)</f>
        <v>0</v>
      </c>
      <c r="AR155" s="1">
        <f t="shared" si="87"/>
        <v>0</v>
      </c>
      <c r="AS155" s="9">
        <f t="shared" si="88"/>
        <v>-1.0585209807399505</v>
      </c>
      <c r="AT155" s="10">
        <f t="shared" si="89"/>
        <v>1.0585209807399505</v>
      </c>
      <c r="AU155" s="1">
        <f>SUMIFS(
  '[1]Hoja 1'!$M:$M,
  '[1]Hoja 1'!$S:$S, $A155,
  '[1]Hoja 1'!$R:$R, "&gt;="&amp;INT($AW$1),
  '[1]Hoja 1'!$R:$R, "&lt;"&amp;INT($AX$1+1)
)</f>
        <v>0</v>
      </c>
      <c r="AV155" s="1">
        <f t="shared" si="90"/>
        <v>0</v>
      </c>
      <c r="AW155" s="9">
        <f t="shared" si="91"/>
        <v>-1.0150109717275337</v>
      </c>
      <c r="AX155" s="10">
        <f t="shared" si="92"/>
        <v>1.0150109717275337</v>
      </c>
    </row>
    <row r="156" spans="1:50" x14ac:dyDescent="0.25">
      <c r="A156" s="5">
        <v>226025</v>
      </c>
      <c r="B156" s="6" t="s">
        <v>153</v>
      </c>
      <c r="C156" s="1">
        <f>SUMIFS(
  '[1]Hoja 1'!$M:$M,
  '[1]Hoja 1'!$S:$S, $A156,
  '[1]Hoja 1'!$R:$R, "&gt;="&amp;INT($E$1),
  '[1]Hoja 1'!$R:$R, "&lt;"&amp;INT($F$1+1)
)</f>
        <v>27</v>
      </c>
      <c r="D156" s="1" t="str">
        <f>""</f>
        <v/>
      </c>
      <c r="F156" s="2"/>
      <c r="G156" s="1">
        <f>SUMIFS(
  '[1]Hoja 1'!$M:$M,
  '[1]Hoja 1'!$S:$S, $A156,
  '[1]Hoja 1'!$R:$R, "&gt;="&amp;INT($I$1),
  '[1]Hoja 1'!$R:$R, "&lt;"&amp;INT($J$1+1)
)</f>
        <v>7</v>
      </c>
      <c r="H156" s="1">
        <f t="shared" si="62"/>
        <v>17</v>
      </c>
      <c r="I156" s="1"/>
      <c r="J156" s="2"/>
      <c r="K156" s="1">
        <f>SUMIFS(
  '[1]Hoja 1'!$M:$M,
  '[1]Hoja 1'!$S:$S, $A156,
  '[1]Hoja 1'!$R:$R, "&gt;="&amp;INT($M$1),
  '[1]Hoja 1'!$R:$R, "&lt;"&amp;INT($N$1+1)
)</f>
        <v>0</v>
      </c>
      <c r="L156" s="1">
        <f t="shared" si="63"/>
        <v>3.5</v>
      </c>
      <c r="M156" s="9">
        <f t="shared" si="64"/>
        <v>-5.5085403923166147</v>
      </c>
      <c r="N156" s="10">
        <f t="shared" si="65"/>
        <v>12.508540392316615</v>
      </c>
      <c r="O156" s="1">
        <f>SUMIFS(
  '[1]Hoja 1'!$M:$M,
  '[1]Hoja 1'!$S:$S, $A156,
  '[1]Hoja 1'!$R:$R, "&gt;="&amp;INT($Q$1),
  '[1]Hoja 1'!$R:$R, "&lt;"&amp;INT($R$1+1)
)</f>
        <v>0</v>
      </c>
      <c r="P156" s="1">
        <f t="shared" si="66"/>
        <v>0</v>
      </c>
      <c r="Q156" s="9">
        <f t="shared" si="67"/>
        <v>-9.9459137337903751</v>
      </c>
      <c r="R156" s="10">
        <f t="shared" si="68"/>
        <v>9.9459137337903751</v>
      </c>
      <c r="S156" s="1">
        <f>SUMIFS(
  '[1]Hoja 1'!$M:$M,
  '[1]Hoja 1'!$S:$S, $A156,
  '[1]Hoja 1'!$R:$R, "&gt;="&amp;INT($U$1),
  '[1]Hoja 1'!$R:$R, "&lt;"&amp;INT($V$1+1)
)</f>
        <v>0</v>
      </c>
      <c r="T156" s="1">
        <f t="shared" si="69"/>
        <v>0</v>
      </c>
      <c r="U156" s="9">
        <f t="shared" si="70"/>
        <v>-8.6366119900494933</v>
      </c>
      <c r="V156" s="10">
        <f t="shared" si="71"/>
        <v>8.6366119900494933</v>
      </c>
      <c r="W156" s="1">
        <f>SUMIFS(
  '[1]Hoja 1'!$M:$M,
  '[1]Hoja 1'!$S:$S, $A156,
  '[1]Hoja 1'!$R:$R, "&gt;="&amp;INT($Y$1),
  '[1]Hoja 1'!$R:$R, "&lt;"&amp;INT($Z$1+1)
)</f>
        <v>0</v>
      </c>
      <c r="X156" s="1">
        <f t="shared" si="72"/>
        <v>0</v>
      </c>
      <c r="Y156" s="9">
        <f t="shared" si="73"/>
        <v>-8.5321931529941359</v>
      </c>
      <c r="Z156" s="10">
        <f t="shared" si="74"/>
        <v>8.5321931529941359</v>
      </c>
      <c r="AA156" s="1">
        <f>SUMIFS(
  '[1]Hoja 1'!$M:$M,
  '[1]Hoja 1'!$S:$S, $A156,
  '[1]Hoja 1'!$R:$R, "&gt;="&amp;INT($AC$1),
  '[1]Hoja 1'!$R:$R, "&lt;"&amp;INT($AD$1+1)
)</f>
        <v>0</v>
      </c>
      <c r="AB156" s="1">
        <f t="shared" si="75"/>
        <v>0</v>
      </c>
      <c r="AC156" s="9">
        <f t="shared" si="76"/>
        <v>-7.9313428875569372</v>
      </c>
      <c r="AD156" s="10">
        <f t="shared" si="77"/>
        <v>7.9313428875569372</v>
      </c>
      <c r="AE156" s="1">
        <f>SUMIFS(
  '[1]Hoja 1'!$M:$M,
  '[1]Hoja 1'!$S:$S, $A156,
  '[1]Hoja 1'!$R:$R, "&gt;="&amp;INT($AG$1),
  '[1]Hoja 1'!$R:$R, "&lt;"&amp;INT($AH$1+1)
)</f>
        <v>0</v>
      </c>
      <c r="AF156" s="1">
        <f t="shared" si="78"/>
        <v>0</v>
      </c>
      <c r="AG156" s="9">
        <f t="shared" si="79"/>
        <v>-7.4296792214289669</v>
      </c>
      <c r="AH156" s="10">
        <f t="shared" si="80"/>
        <v>7.4296792214289669</v>
      </c>
      <c r="AI156" s="1">
        <f>SUMIFS(
  '[1]Hoja 1'!$M:$M,
  '[1]Hoja 1'!$S:$S, $A156,
  '[1]Hoja 1'!$R:$R, "&gt;="&amp;INT($AK$1),
  '[1]Hoja 1'!$R:$R, "&lt;"&amp;INT($AJ$1+1)
)</f>
        <v>0</v>
      </c>
      <c r="AJ156" s="1">
        <f t="shared" si="81"/>
        <v>0</v>
      </c>
      <c r="AK156" s="9">
        <f t="shared" si="82"/>
        <v>-7.0071713265767945</v>
      </c>
      <c r="AL156" s="10">
        <f t="shared" si="83"/>
        <v>7.0071713265767945</v>
      </c>
      <c r="AM156" s="1">
        <f>SUMIFS(
  '[1]Hoja 1'!$M:$M,
  '[1]Hoja 1'!$S:$S, $A156,
  '[1]Hoja 1'!$R:$R, "&gt;="&amp;INT($AO$1),
  '[1]Hoja 1'!$R:$R, "&lt;"&amp;INT($AP$1+1)
)</f>
        <v>0</v>
      </c>
      <c r="AN156" s="1">
        <f t="shared" si="84"/>
        <v>0</v>
      </c>
      <c r="AO156" s="9">
        <f t="shared" si="85"/>
        <v>-6.6466833834627623</v>
      </c>
      <c r="AP156" s="10">
        <f t="shared" si="86"/>
        <v>6.6466833834627623</v>
      </c>
      <c r="AQ156" s="1">
        <f>SUMIFS(
  '[1]Hoja 1'!$M:$M,
  '[1]Hoja 1'!$S:$S, $A156,
  '[1]Hoja 1'!$R:$R, "&gt;="&amp;INT($AS$1),
  '[1]Hoja 1'!$R:$R, "&lt;"&amp;INT($AT$1+1)
)</f>
        <v>0</v>
      </c>
      <c r="AR156" s="1">
        <f t="shared" si="87"/>
        <v>0</v>
      </c>
      <c r="AS156" s="9">
        <f t="shared" si="88"/>
        <v>-6.3351439517100863</v>
      </c>
      <c r="AT156" s="10">
        <f t="shared" si="89"/>
        <v>6.3351439517100863</v>
      </c>
      <c r="AU156" s="1">
        <f>SUMIFS(
  '[1]Hoja 1'!$M:$M,
  '[1]Hoja 1'!$S:$S, $A156,
  '[1]Hoja 1'!$R:$R, "&gt;="&amp;INT($AW$1),
  '[1]Hoja 1'!$R:$R, "&lt;"&amp;INT($AX$1+1)
)</f>
        <v>0</v>
      </c>
      <c r="AV156" s="1">
        <f t="shared" si="90"/>
        <v>0</v>
      </c>
      <c r="AW156" s="9">
        <f t="shared" si="91"/>
        <v>-6.0627656455389465</v>
      </c>
      <c r="AX156" s="10">
        <f t="shared" si="92"/>
        <v>6.0627656455389465</v>
      </c>
    </row>
    <row r="157" spans="1:50" x14ac:dyDescent="0.25">
      <c r="A157" s="5">
        <v>226026</v>
      </c>
      <c r="B157" s="6" t="s">
        <v>154</v>
      </c>
      <c r="C157" s="1">
        <f>SUMIFS(
  '[1]Hoja 1'!$M:$M,
  '[1]Hoja 1'!$S:$S, $A157,
  '[1]Hoja 1'!$R:$R, "&gt;="&amp;INT($E$1),
  '[1]Hoja 1'!$R:$R, "&lt;"&amp;INT($F$1+1)
)</f>
        <v>44</v>
      </c>
      <c r="D157" s="1" t="str">
        <f>""</f>
        <v/>
      </c>
      <c r="F157" s="2"/>
      <c r="G157" s="1">
        <f>SUMIFS(
  '[1]Hoja 1'!$M:$M,
  '[1]Hoja 1'!$S:$S, $A157,
  '[1]Hoja 1'!$R:$R, "&gt;="&amp;INT($I$1),
  '[1]Hoja 1'!$R:$R, "&lt;"&amp;INT($J$1+1)
)</f>
        <v>0</v>
      </c>
      <c r="H157" s="1">
        <f t="shared" si="62"/>
        <v>22</v>
      </c>
      <c r="I157" s="1"/>
      <c r="J157" s="2"/>
      <c r="K157" s="1">
        <f>SUMIFS(
  '[1]Hoja 1'!$M:$M,
  '[1]Hoja 1'!$S:$S, $A157,
  '[1]Hoja 1'!$R:$R, "&gt;="&amp;INT($M$1),
  '[1]Hoja 1'!$R:$R, "&lt;"&amp;INT($N$1+1)
)</f>
        <v>0</v>
      </c>
      <c r="L157" s="1">
        <f t="shared" si="63"/>
        <v>0</v>
      </c>
      <c r="M157" s="9">
        <f t="shared" si="64"/>
        <v>-30.490444404763927</v>
      </c>
      <c r="N157" s="10">
        <f t="shared" si="65"/>
        <v>30.490444404763927</v>
      </c>
      <c r="O157" s="1">
        <f>SUMIFS(
  '[1]Hoja 1'!$M:$M,
  '[1]Hoja 1'!$S:$S, $A157,
  '[1]Hoja 1'!$R:$R, "&gt;="&amp;INT($Q$1),
  '[1]Hoja 1'!$R:$R, "&lt;"&amp;INT($R$1+1)
)</f>
        <v>0</v>
      </c>
      <c r="P157" s="1">
        <f t="shared" si="66"/>
        <v>0</v>
      </c>
      <c r="Q157" s="9">
        <f t="shared" si="67"/>
        <v>-24.89534360745666</v>
      </c>
      <c r="R157" s="10">
        <f t="shared" si="68"/>
        <v>24.89534360745666</v>
      </c>
      <c r="S157" s="1">
        <f>SUMIFS(
  '[1]Hoja 1'!$M:$M,
  '[1]Hoja 1'!$S:$S, $A157,
  '[1]Hoja 1'!$R:$R, "&gt;="&amp;INT($U$1),
  '[1]Hoja 1'!$R:$R, "&lt;"&amp;INT($V$1+1)
)</f>
        <v>0</v>
      </c>
      <c r="T157" s="1">
        <f t="shared" si="69"/>
        <v>0</v>
      </c>
      <c r="U157" s="9">
        <f t="shared" si="70"/>
        <v>-21.115532197886935</v>
      </c>
      <c r="V157" s="10">
        <f t="shared" si="71"/>
        <v>21.115532197886935</v>
      </c>
      <c r="W157" s="1">
        <f>SUMIFS(
  '[1]Hoja 1'!$M:$M,
  '[1]Hoja 1'!$S:$S, $A157,
  '[1]Hoja 1'!$R:$R, "&gt;="&amp;INT($Y$1),
  '[1]Hoja 1'!$R:$R, "&lt;"&amp;INT($Z$1+1)
)</f>
        <v>0</v>
      </c>
      <c r="X157" s="1">
        <f t="shared" si="72"/>
        <v>0</v>
      </c>
      <c r="Y157" s="9">
        <f t="shared" si="73"/>
        <v>-19.283850237958184</v>
      </c>
      <c r="Z157" s="10">
        <f t="shared" si="74"/>
        <v>19.283850237958184</v>
      </c>
      <c r="AA157" s="1">
        <f>SUMIFS(
  '[1]Hoja 1'!$M:$M,
  '[1]Hoja 1'!$S:$S, $A157,
  '[1]Hoja 1'!$R:$R, "&gt;="&amp;INT($AC$1),
  '[1]Hoja 1'!$R:$R, "&lt;"&amp;INT($AD$1+1)
)</f>
        <v>0</v>
      </c>
      <c r="AB157" s="1">
        <f t="shared" si="75"/>
        <v>0</v>
      </c>
      <c r="AC157" s="9">
        <f t="shared" si="76"/>
        <v>-17.603666284801772</v>
      </c>
      <c r="AD157" s="10">
        <f t="shared" si="77"/>
        <v>17.603666284801772</v>
      </c>
      <c r="AE157" s="1">
        <f>SUMIFS(
  '[1]Hoja 1'!$M:$M,
  '[1]Hoja 1'!$S:$S, $A157,
  '[1]Hoja 1'!$R:$R, "&gt;="&amp;INT($AG$1),
  '[1]Hoja 1'!$R:$R, "&lt;"&amp;INT($AH$1+1)
)</f>
        <v>0</v>
      </c>
      <c r="AF157" s="1">
        <f t="shared" si="78"/>
        <v>0</v>
      </c>
      <c r="AG157" s="9">
        <f t="shared" si="79"/>
        <v>-16.297828076157881</v>
      </c>
      <c r="AH157" s="10">
        <f t="shared" si="80"/>
        <v>16.297828076157881</v>
      </c>
      <c r="AI157" s="1">
        <f>SUMIFS(
  '[1]Hoja 1'!$M:$M,
  '[1]Hoja 1'!$S:$S, $A157,
  '[1]Hoja 1'!$R:$R, "&gt;="&amp;INT($AK$1),
  '[1]Hoja 1'!$R:$R, "&lt;"&amp;INT($AJ$1+1)
)</f>
        <v>0</v>
      </c>
      <c r="AJ157" s="1">
        <f t="shared" si="81"/>
        <v>0</v>
      </c>
      <c r="AK157" s="9">
        <f t="shared" si="82"/>
        <v>-15.245222202381964</v>
      </c>
      <c r="AL157" s="10">
        <f t="shared" si="83"/>
        <v>15.245222202381964</v>
      </c>
      <c r="AM157" s="1">
        <f>SUMIFS(
  '[1]Hoja 1'!$M:$M,
  '[1]Hoja 1'!$S:$S, $A157,
  '[1]Hoja 1'!$R:$R, "&gt;="&amp;INT($AO$1),
  '[1]Hoja 1'!$R:$R, "&lt;"&amp;INT($AP$1+1)
)</f>
        <v>0</v>
      </c>
      <c r="AN157" s="1">
        <f t="shared" si="84"/>
        <v>0</v>
      </c>
      <c r="AO157" s="9">
        <f t="shared" si="85"/>
        <v>-14.373333333333333</v>
      </c>
      <c r="AP157" s="10">
        <f t="shared" si="86"/>
        <v>14.373333333333333</v>
      </c>
      <c r="AQ157" s="1">
        <f>SUMIFS(
  '[1]Hoja 1'!$M:$M,
  '[1]Hoja 1'!$S:$S, $A157,
  '[1]Hoja 1'!$R:$R, "&gt;="&amp;INT($AS$1),
  '[1]Hoja 1'!$R:$R, "&lt;"&amp;INT($AT$1+1)
)</f>
        <v>0</v>
      </c>
      <c r="AR157" s="1">
        <f t="shared" si="87"/>
        <v>0</v>
      </c>
      <c r="AS157" s="9">
        <f t="shared" si="88"/>
        <v>-13.635741270646053</v>
      </c>
      <c r="AT157" s="10">
        <f t="shared" si="89"/>
        <v>13.635741270646053</v>
      </c>
      <c r="AU157" s="1">
        <f>SUMIFS(
  '[1]Hoja 1'!$M:$M,
  '[1]Hoja 1'!$S:$S, $A157,
  '[1]Hoja 1'!$R:$R, "&gt;="&amp;INT($AW$1),
  '[1]Hoja 1'!$R:$R, "&lt;"&amp;INT($AX$1+1)
)</f>
        <v>0</v>
      </c>
      <c r="AV157" s="1">
        <f t="shared" si="90"/>
        <v>0</v>
      </c>
      <c r="AW157" s="9">
        <f t="shared" si="91"/>
        <v>-13.001169178193168</v>
      </c>
      <c r="AX157" s="10">
        <f t="shared" si="92"/>
        <v>13.001169178193168</v>
      </c>
    </row>
    <row r="158" spans="1:50" x14ac:dyDescent="0.25">
      <c r="A158" s="5">
        <v>226027</v>
      </c>
      <c r="B158" s="6" t="s">
        <v>155</v>
      </c>
      <c r="C158" s="1">
        <f>SUMIFS(
  '[1]Hoja 1'!$M:$M,
  '[1]Hoja 1'!$S:$S, $A158,
  '[1]Hoja 1'!$R:$R, "&gt;="&amp;INT($E$1),
  '[1]Hoja 1'!$R:$R, "&lt;"&amp;INT($F$1+1)
)</f>
        <v>4</v>
      </c>
      <c r="D158" s="1" t="str">
        <f>""</f>
        <v/>
      </c>
      <c r="F158" s="2"/>
      <c r="G158" s="1">
        <f>SUMIFS(
  '[1]Hoja 1'!$M:$M,
  '[1]Hoja 1'!$S:$S, $A158,
  '[1]Hoja 1'!$R:$R, "&gt;="&amp;INT($I$1),
  '[1]Hoja 1'!$R:$R, "&lt;"&amp;INT($J$1+1)
)</f>
        <v>2</v>
      </c>
      <c r="H158" s="1">
        <f t="shared" si="62"/>
        <v>3</v>
      </c>
      <c r="I158" s="1"/>
      <c r="J158" s="2"/>
      <c r="K158" s="1">
        <f>SUMIFS(
  '[1]Hoja 1'!$M:$M,
  '[1]Hoja 1'!$S:$S, $A158,
  '[1]Hoja 1'!$R:$R, "&gt;="&amp;INT($M$1),
  '[1]Hoja 1'!$R:$R, "&lt;"&amp;INT($N$1+1)
)</f>
        <v>0</v>
      </c>
      <c r="L158" s="1">
        <f t="shared" si="63"/>
        <v>1</v>
      </c>
      <c r="M158" s="9">
        <f t="shared" si="64"/>
        <v>1</v>
      </c>
      <c r="N158" s="10">
        <f t="shared" si="65"/>
        <v>1</v>
      </c>
      <c r="O158" s="1">
        <f>SUMIFS(
  '[1]Hoja 1'!$M:$M,
  '[1]Hoja 1'!$S:$S, $A158,
  '[1]Hoja 1'!$R:$R, "&gt;="&amp;INT($Q$1),
  '[1]Hoja 1'!$R:$R, "&lt;"&amp;INT($R$1+1)
)</f>
        <v>0</v>
      </c>
      <c r="P158" s="1">
        <f t="shared" si="66"/>
        <v>0</v>
      </c>
      <c r="Q158" s="9">
        <f t="shared" si="67"/>
        <v>-1.1316065276116667</v>
      </c>
      <c r="R158" s="10">
        <f t="shared" si="68"/>
        <v>1.1316065276116667</v>
      </c>
      <c r="S158" s="1">
        <f>SUMIFS(
  '[1]Hoja 1'!$M:$M,
  '[1]Hoja 1'!$S:$S, $A158,
  '[1]Hoja 1'!$R:$R, "&gt;="&amp;INT($U$1),
  '[1]Hoja 1'!$R:$R, "&lt;"&amp;INT($V$1+1)
)</f>
        <v>0</v>
      </c>
      <c r="T158" s="1">
        <f t="shared" si="69"/>
        <v>0</v>
      </c>
      <c r="U158" s="9">
        <f t="shared" si="70"/>
        <v>-1.2331396244275556</v>
      </c>
      <c r="V158" s="10">
        <f t="shared" si="71"/>
        <v>1.2331396244275556</v>
      </c>
      <c r="W158" s="1">
        <f>SUMIFS(
  '[1]Hoja 1'!$M:$M,
  '[1]Hoja 1'!$S:$S, $A158,
  '[1]Hoja 1'!$R:$R, "&gt;="&amp;INT($Y$1),
  '[1]Hoja 1'!$R:$R, "&lt;"&amp;INT($Z$1+1)
)</f>
        <v>0</v>
      </c>
      <c r="X158" s="1">
        <f t="shared" si="72"/>
        <v>0</v>
      </c>
      <c r="Y158" s="9">
        <f t="shared" si="73"/>
        <v>-1.0735362127101256</v>
      </c>
      <c r="Z158" s="10">
        <f t="shared" si="74"/>
        <v>1.0735362127101256</v>
      </c>
      <c r="AA158" s="1">
        <f>SUMIFS(
  '[1]Hoja 1'!$M:$M,
  '[1]Hoja 1'!$S:$S, $A158,
  '[1]Hoja 1'!$R:$R, "&gt;="&amp;INT($AC$1),
  '[1]Hoja 1'!$R:$R, "&lt;"&amp;INT($AD$1+1)
)</f>
        <v>0</v>
      </c>
      <c r="AB158" s="1">
        <f t="shared" si="75"/>
        <v>0</v>
      </c>
      <c r="AC158" s="9">
        <f t="shared" si="76"/>
        <v>-1.0121396478088718</v>
      </c>
      <c r="AD158" s="10">
        <f t="shared" si="77"/>
        <v>1.0121396478088718</v>
      </c>
      <c r="AE158" s="1">
        <f>SUMIFS(
  '[1]Hoja 1'!$M:$M,
  '[1]Hoja 1'!$S:$S, $A158,
  '[1]Hoja 1'!$R:$R, "&gt;="&amp;INT($AG$1),
  '[1]Hoja 1'!$R:$R, "&lt;"&amp;INT($AH$1+1)
)</f>
        <v>0</v>
      </c>
      <c r="AF158" s="1">
        <f t="shared" si="78"/>
        <v>0</v>
      </c>
      <c r="AG158" s="9">
        <f t="shared" si="79"/>
        <v>-0.95638207148956256</v>
      </c>
      <c r="AH158" s="10">
        <f t="shared" si="80"/>
        <v>0.95638207148956256</v>
      </c>
      <c r="AI158" s="1">
        <f>SUMIFS(
  '[1]Hoja 1'!$M:$M,
  '[1]Hoja 1'!$S:$S, $A158,
  '[1]Hoja 1'!$R:$R, "&gt;="&amp;INT($AK$1),
  '[1]Hoja 1'!$R:$R, "&lt;"&amp;INT($AJ$1+1)
)</f>
        <v>0</v>
      </c>
      <c r="AJ158" s="1">
        <f t="shared" si="81"/>
        <v>0</v>
      </c>
      <c r="AK158" s="9">
        <f t="shared" si="82"/>
        <v>-0.9073036977771004</v>
      </c>
      <c r="AL158" s="10">
        <f t="shared" si="83"/>
        <v>0.9073036977771004</v>
      </c>
      <c r="AM158" s="1">
        <f>SUMIFS(
  '[1]Hoja 1'!$M:$M,
  '[1]Hoja 1'!$S:$S, $A158,
  '[1]Hoja 1'!$R:$R, "&gt;="&amp;INT($AO$1),
  '[1]Hoja 1'!$R:$R, "&lt;"&amp;INT($AP$1+1)
)</f>
        <v>0</v>
      </c>
      <c r="AN158" s="1">
        <f t="shared" si="84"/>
        <v>0</v>
      </c>
      <c r="AO158" s="9">
        <f t="shared" si="85"/>
        <v>-0.86427876161443296</v>
      </c>
      <c r="AP158" s="10">
        <f t="shared" si="86"/>
        <v>0.86427876161443296</v>
      </c>
      <c r="AQ158" s="1">
        <f>SUMIFS(
  '[1]Hoja 1'!$M:$M,
  '[1]Hoja 1'!$S:$S, $A158,
  '[1]Hoja 1'!$R:$R, "&gt;="&amp;INT($AS$1),
  '[1]Hoja 1'!$R:$R, "&lt;"&amp;INT($AT$1+1)
)</f>
        <v>0</v>
      </c>
      <c r="AR158" s="1">
        <f t="shared" si="87"/>
        <v>0</v>
      </c>
      <c r="AS158" s="9">
        <f t="shared" si="88"/>
        <v>-0.82640856185733647</v>
      </c>
      <c r="AT158" s="10">
        <f t="shared" si="89"/>
        <v>0.82640856185733647</v>
      </c>
      <c r="AU158" s="1">
        <f>SUMIFS(
  '[1]Hoja 1'!$M:$M,
  '[1]Hoja 1'!$S:$S, $A158,
  '[1]Hoja 1'!$R:$R, "&gt;="&amp;INT($AW$1),
  '[1]Hoja 1'!$R:$R, "&lt;"&amp;INT($AX$1+1)
)</f>
        <v>0</v>
      </c>
      <c r="AV158" s="1">
        <f t="shared" si="90"/>
        <v>0</v>
      </c>
      <c r="AW158" s="9">
        <f t="shared" si="91"/>
        <v>-0.79285903825677262</v>
      </c>
      <c r="AX158" s="10">
        <f t="shared" si="92"/>
        <v>0.79285903825677262</v>
      </c>
    </row>
    <row r="159" spans="1:50" x14ac:dyDescent="0.25">
      <c r="A159" s="5">
        <v>226028</v>
      </c>
      <c r="B159" s="6" t="s">
        <v>156</v>
      </c>
      <c r="C159" s="1">
        <f>SUMIFS(
  '[1]Hoja 1'!$M:$M,
  '[1]Hoja 1'!$S:$S, $A159,
  '[1]Hoja 1'!$R:$R, "&gt;="&amp;INT($E$1),
  '[1]Hoja 1'!$R:$R, "&lt;"&amp;INT($F$1+1)
)</f>
        <v>0</v>
      </c>
      <c r="D159" s="1" t="str">
        <f>""</f>
        <v/>
      </c>
      <c r="F159" s="2"/>
      <c r="G159" s="1">
        <f>SUMIFS(
  '[1]Hoja 1'!$M:$M,
  '[1]Hoja 1'!$S:$S, $A159,
  '[1]Hoja 1'!$R:$R, "&gt;="&amp;INT($I$1),
  '[1]Hoja 1'!$R:$R, "&lt;"&amp;INT($J$1+1)
)</f>
        <v>0</v>
      </c>
      <c r="H159" s="1">
        <f t="shared" si="62"/>
        <v>0</v>
      </c>
      <c r="I159" s="1"/>
      <c r="J159" s="2"/>
      <c r="K159" s="1">
        <f>SUMIFS(
  '[1]Hoja 1'!$M:$M,
  '[1]Hoja 1'!$S:$S, $A159,
  '[1]Hoja 1'!$R:$R, "&gt;="&amp;INT($M$1),
  '[1]Hoja 1'!$R:$R, "&lt;"&amp;INT($N$1+1)
)</f>
        <v>0</v>
      </c>
      <c r="L159" s="1">
        <f t="shared" si="63"/>
        <v>0</v>
      </c>
      <c r="M159" s="9">
        <f t="shared" si="64"/>
        <v>0</v>
      </c>
      <c r="N159" s="10">
        <f t="shared" si="65"/>
        <v>0</v>
      </c>
      <c r="O159" s="1">
        <f>SUMIFS(
  '[1]Hoja 1'!$M:$M,
  '[1]Hoja 1'!$S:$S, $A159,
  '[1]Hoja 1'!$R:$R, "&gt;="&amp;INT($Q$1),
  '[1]Hoja 1'!$R:$R, "&lt;"&amp;INT($R$1+1)
)</f>
        <v>0</v>
      </c>
      <c r="P159" s="1">
        <f t="shared" si="66"/>
        <v>0</v>
      </c>
      <c r="Q159" s="9">
        <f t="shared" si="67"/>
        <v>0</v>
      </c>
      <c r="R159" s="10">
        <f t="shared" si="68"/>
        <v>0</v>
      </c>
      <c r="S159" s="1">
        <f>SUMIFS(
  '[1]Hoja 1'!$M:$M,
  '[1]Hoja 1'!$S:$S, $A159,
  '[1]Hoja 1'!$R:$R, "&gt;="&amp;INT($U$1),
  '[1]Hoja 1'!$R:$R, "&lt;"&amp;INT($V$1+1)
)</f>
        <v>0</v>
      </c>
      <c r="T159" s="1">
        <f t="shared" si="69"/>
        <v>0</v>
      </c>
      <c r="U159" s="9">
        <f t="shared" si="70"/>
        <v>-1.47</v>
      </c>
      <c r="V159" s="10">
        <f t="shared" si="71"/>
        <v>1.47</v>
      </c>
      <c r="W159" s="1">
        <f>SUMIFS(
  '[1]Hoja 1'!$M:$M,
  '[1]Hoja 1'!$S:$S, $A159,
  '[1]Hoja 1'!$R:$R, "&gt;="&amp;INT($Y$1),
  '[1]Hoja 1'!$R:$R, "&lt;"&amp;INT($Z$1+1)
)</f>
        <v>0</v>
      </c>
      <c r="X159" s="1">
        <f t="shared" si="72"/>
        <v>0</v>
      </c>
      <c r="Y159" s="9">
        <f t="shared" si="73"/>
        <v>0</v>
      </c>
      <c r="Z159" s="10">
        <f t="shared" si="74"/>
        <v>0</v>
      </c>
      <c r="AA159" s="1">
        <f>SUMIFS(
  '[1]Hoja 1'!$M:$M,
  '[1]Hoja 1'!$S:$S, $A159,
  '[1]Hoja 1'!$R:$R, "&gt;="&amp;INT($AC$1),
  '[1]Hoja 1'!$R:$R, "&lt;"&amp;INT($AD$1+1)
)</f>
        <v>0</v>
      </c>
      <c r="AB159" s="1">
        <f t="shared" si="75"/>
        <v>0</v>
      </c>
      <c r="AC159" s="9">
        <f t="shared" si="76"/>
        <v>0</v>
      </c>
      <c r="AD159" s="10">
        <f t="shared" si="77"/>
        <v>0</v>
      </c>
      <c r="AE159" s="1">
        <f>SUMIFS(
  '[1]Hoja 1'!$M:$M,
  '[1]Hoja 1'!$S:$S, $A159,
  '[1]Hoja 1'!$R:$R, "&gt;="&amp;INT($AG$1),
  '[1]Hoja 1'!$R:$R, "&lt;"&amp;INT($AH$1+1)
)</f>
        <v>0</v>
      </c>
      <c r="AF159" s="1">
        <f t="shared" si="78"/>
        <v>0</v>
      </c>
      <c r="AG159" s="9">
        <f t="shared" si="79"/>
        <v>0</v>
      </c>
      <c r="AH159" s="10">
        <f t="shared" si="80"/>
        <v>0</v>
      </c>
      <c r="AI159" s="1">
        <f>SUMIFS(
  '[1]Hoja 1'!$M:$M,
  '[1]Hoja 1'!$S:$S, $A159,
  '[1]Hoja 1'!$R:$R, "&gt;="&amp;INT($AK$1),
  '[1]Hoja 1'!$R:$R, "&lt;"&amp;INT($AJ$1+1)
)</f>
        <v>0</v>
      </c>
      <c r="AJ159" s="1">
        <f t="shared" si="81"/>
        <v>0</v>
      </c>
      <c r="AK159" s="9">
        <f t="shared" si="82"/>
        <v>0</v>
      </c>
      <c r="AL159" s="10">
        <f t="shared" si="83"/>
        <v>0</v>
      </c>
      <c r="AM159" s="1">
        <f>SUMIFS(
  '[1]Hoja 1'!$M:$M,
  '[1]Hoja 1'!$S:$S, $A159,
  '[1]Hoja 1'!$R:$R, "&gt;="&amp;INT($AO$1),
  '[1]Hoja 1'!$R:$R, "&lt;"&amp;INT($AP$1+1)
)</f>
        <v>0</v>
      </c>
      <c r="AN159" s="1">
        <f t="shared" si="84"/>
        <v>0</v>
      </c>
      <c r="AO159" s="9">
        <f t="shared" si="85"/>
        <v>0</v>
      </c>
      <c r="AP159" s="10">
        <f t="shared" si="86"/>
        <v>0</v>
      </c>
      <c r="AQ159" s="1">
        <f>SUMIFS(
  '[1]Hoja 1'!$M:$M,
  '[1]Hoja 1'!$S:$S, $A159,
  '[1]Hoja 1'!$R:$R, "&gt;="&amp;INT($AS$1),
  '[1]Hoja 1'!$R:$R, "&lt;"&amp;INT($AT$1+1)
)</f>
        <v>0</v>
      </c>
      <c r="AR159" s="1">
        <f t="shared" si="87"/>
        <v>0</v>
      </c>
      <c r="AS159" s="9">
        <f t="shared" si="88"/>
        <v>0</v>
      </c>
      <c r="AT159" s="10">
        <f t="shared" si="89"/>
        <v>0</v>
      </c>
      <c r="AU159" s="1">
        <f>SUMIFS(
  '[1]Hoja 1'!$M:$M,
  '[1]Hoja 1'!$S:$S, $A159,
  '[1]Hoja 1'!$R:$R, "&gt;="&amp;INT($AW$1),
  '[1]Hoja 1'!$R:$R, "&lt;"&amp;INT($AX$1+1)
)</f>
        <v>0</v>
      </c>
      <c r="AV159" s="1">
        <f t="shared" si="90"/>
        <v>0</v>
      </c>
      <c r="AW159" s="9">
        <f t="shared" si="91"/>
        <v>0</v>
      </c>
      <c r="AX159" s="10">
        <f t="shared" si="92"/>
        <v>0</v>
      </c>
    </row>
    <row r="160" spans="1:50" x14ac:dyDescent="0.25">
      <c r="A160" s="5">
        <v>226029</v>
      </c>
      <c r="B160" s="6" t="s">
        <v>157</v>
      </c>
      <c r="C160" s="1">
        <f>SUMIFS(
  '[1]Hoja 1'!$M:$M,
  '[1]Hoja 1'!$S:$S, $A160,
  '[1]Hoja 1'!$R:$R, "&gt;="&amp;INT($E$1),
  '[1]Hoja 1'!$R:$R, "&lt;"&amp;INT($F$1+1)
)</f>
        <v>6</v>
      </c>
      <c r="D160" s="1" t="str">
        <f>""</f>
        <v/>
      </c>
      <c r="F160" s="2"/>
      <c r="G160" s="1">
        <f>SUMIFS(
  '[1]Hoja 1'!$M:$M,
  '[1]Hoja 1'!$S:$S, $A160,
  '[1]Hoja 1'!$R:$R, "&gt;="&amp;INT($I$1),
  '[1]Hoja 1'!$R:$R, "&lt;"&amp;INT($J$1+1)
)</f>
        <v>1</v>
      </c>
      <c r="H160" s="1">
        <f t="shared" si="62"/>
        <v>4</v>
      </c>
      <c r="I160" s="1"/>
      <c r="J160" s="2"/>
      <c r="K160" s="1">
        <f>SUMIFS(
  '[1]Hoja 1'!$M:$M,
  '[1]Hoja 1'!$S:$S, $A160,
  '[1]Hoja 1'!$R:$R, "&gt;="&amp;INT($M$1),
  '[1]Hoja 1'!$R:$R, "&lt;"&amp;INT($N$1+1)
)</f>
        <v>0</v>
      </c>
      <c r="L160" s="1">
        <f t="shared" si="63"/>
        <v>0.5</v>
      </c>
      <c r="M160" s="9">
        <f t="shared" si="64"/>
        <v>-2.2718585822512662</v>
      </c>
      <c r="N160" s="10">
        <f t="shared" si="65"/>
        <v>3.2718585822512662</v>
      </c>
      <c r="O160" s="1">
        <f>SUMIFS(
  '[1]Hoja 1'!$M:$M,
  '[1]Hoja 1'!$S:$S, $A160,
  '[1]Hoja 1'!$R:$R, "&gt;="&amp;INT($Q$1),
  '[1]Hoja 1'!$R:$R, "&lt;"&amp;INT($R$1+1)
)</f>
        <v>0</v>
      </c>
      <c r="P160" s="1">
        <f t="shared" si="66"/>
        <v>0</v>
      </c>
      <c r="Q160" s="9">
        <f t="shared" si="67"/>
        <v>-2.5928362848432989</v>
      </c>
      <c r="R160" s="10">
        <f t="shared" si="68"/>
        <v>2.5928362848432989</v>
      </c>
      <c r="S160" s="1">
        <f>SUMIFS(
  '[1]Hoja 1'!$M:$M,
  '[1]Hoja 1'!$S:$S, $A160,
  '[1]Hoja 1'!$R:$R, "&gt;="&amp;INT($U$1),
  '[1]Hoja 1'!$R:$R, "&lt;"&amp;INT($V$1+1)
)</f>
        <v>0</v>
      </c>
      <c r="T160" s="1">
        <f t="shared" si="69"/>
        <v>0</v>
      </c>
      <c r="U160" s="9">
        <f t="shared" si="70"/>
        <v>-2.1730086669561781</v>
      </c>
      <c r="V160" s="10">
        <f t="shared" si="71"/>
        <v>2.1730086669561781</v>
      </c>
      <c r="W160" s="1">
        <f>SUMIFS(
  '[1]Hoja 1'!$M:$M,
  '[1]Hoja 1'!$S:$S, $A160,
  '[1]Hoja 1'!$R:$R, "&gt;="&amp;INT($Y$1),
  '[1]Hoja 1'!$R:$R, "&lt;"&amp;INT($Z$1+1)
)</f>
        <v>0</v>
      </c>
      <c r="X160" s="1">
        <f t="shared" si="72"/>
        <v>0</v>
      </c>
      <c r="Y160" s="9">
        <f t="shared" si="73"/>
        <v>-2.1245893720905222</v>
      </c>
      <c r="Z160" s="10">
        <f t="shared" si="74"/>
        <v>2.1245893720905222</v>
      </c>
      <c r="AA160" s="1">
        <f>SUMIFS(
  '[1]Hoja 1'!$M:$M,
  '[1]Hoja 1'!$S:$S, $A160,
  '[1]Hoja 1'!$R:$R, "&gt;="&amp;INT($AC$1),
  '[1]Hoja 1'!$R:$R, "&lt;"&amp;INT($AD$1+1)
)</f>
        <v>0</v>
      </c>
      <c r="AB160" s="1">
        <f t="shared" si="75"/>
        <v>0</v>
      </c>
      <c r="AC160" s="9">
        <f t="shared" si="76"/>
        <v>-1.96</v>
      </c>
      <c r="AD160" s="10">
        <f t="shared" si="77"/>
        <v>1.96</v>
      </c>
      <c r="AE160" s="1">
        <f>SUMIFS(
  '[1]Hoja 1'!$M:$M,
  '[1]Hoja 1'!$S:$S, $A160,
  '[1]Hoja 1'!$R:$R, "&gt;="&amp;INT($AG$1),
  '[1]Hoja 1'!$R:$R, "&lt;"&amp;INT($AH$1+1)
)</f>
        <v>0</v>
      </c>
      <c r="AF160" s="1">
        <f t="shared" si="78"/>
        <v>0</v>
      </c>
      <c r="AG160" s="9">
        <f t="shared" si="79"/>
        <v>-1.8271653820421767</v>
      </c>
      <c r="AH160" s="10">
        <f t="shared" si="80"/>
        <v>1.8271653820421767</v>
      </c>
      <c r="AI160" s="1">
        <f>SUMIFS(
  '[1]Hoja 1'!$M:$M,
  '[1]Hoja 1'!$S:$S, $A160,
  '[1]Hoja 1'!$R:$R, "&gt;="&amp;INT($AK$1),
  '[1]Hoja 1'!$R:$R, "&lt;"&amp;INT($AJ$1+1)
)</f>
        <v>0</v>
      </c>
      <c r="AJ160" s="1">
        <f t="shared" si="81"/>
        <v>0</v>
      </c>
      <c r="AK160" s="9">
        <f t="shared" si="82"/>
        <v>-1.7174981804939415</v>
      </c>
      <c r="AL160" s="10">
        <f t="shared" si="83"/>
        <v>1.7174981804939415</v>
      </c>
      <c r="AM160" s="1">
        <f>SUMIFS(
  '[1]Hoja 1'!$M:$M,
  '[1]Hoja 1'!$S:$S, $A160,
  '[1]Hoja 1'!$R:$R, "&gt;="&amp;INT($AO$1),
  '[1]Hoja 1'!$R:$R, "&lt;"&amp;INT($AP$1+1)
)</f>
        <v>0</v>
      </c>
      <c r="AN160" s="1">
        <f t="shared" si="84"/>
        <v>0</v>
      </c>
      <c r="AO160" s="9">
        <f t="shared" si="85"/>
        <v>-1.625146147274146</v>
      </c>
      <c r="AP160" s="10">
        <f t="shared" si="86"/>
        <v>1.625146147274146</v>
      </c>
      <c r="AQ160" s="1">
        <f>SUMIFS(
  '[1]Hoja 1'!$M:$M,
  '[1]Hoja 1'!$S:$S, $A160,
  '[1]Hoja 1'!$R:$R, "&gt;="&amp;INT($AS$1),
  '[1]Hoja 1'!$R:$R, "&lt;"&amp;INT($AT$1+1)
)</f>
        <v>0</v>
      </c>
      <c r="AR160" s="1">
        <f t="shared" si="87"/>
        <v>0</v>
      </c>
      <c r="AS160" s="9">
        <f t="shared" si="88"/>
        <v>-1.5460688499833664</v>
      </c>
      <c r="AT160" s="10">
        <f t="shared" si="89"/>
        <v>1.5460688499833664</v>
      </c>
      <c r="AU160" s="1">
        <f>SUMIFS(
  '[1]Hoja 1'!$M:$M,
  '[1]Hoja 1'!$S:$S, $A160,
  '[1]Hoja 1'!$R:$R, "&gt;="&amp;INT($AW$1),
  '[1]Hoja 1'!$R:$R, "&lt;"&amp;INT($AX$1+1)
)</f>
        <v>0</v>
      </c>
      <c r="AV160" s="1">
        <f t="shared" si="90"/>
        <v>0</v>
      </c>
      <c r="AW160" s="9">
        <f t="shared" si="91"/>
        <v>-1.4774055884310417</v>
      </c>
      <c r="AX160" s="10">
        <f t="shared" si="92"/>
        <v>1.4774055884310417</v>
      </c>
    </row>
    <row r="161" spans="1:50" x14ac:dyDescent="0.25">
      <c r="A161" s="5">
        <v>226030</v>
      </c>
      <c r="B161" s="6" t="s">
        <v>158</v>
      </c>
      <c r="C161" s="1">
        <f>SUMIFS(
  '[1]Hoja 1'!$M:$M,
  '[1]Hoja 1'!$S:$S, $A161,
  '[1]Hoja 1'!$R:$R, "&gt;="&amp;INT($E$1),
  '[1]Hoja 1'!$R:$R, "&lt;"&amp;INT($F$1+1)
)</f>
        <v>12</v>
      </c>
      <c r="D161" s="1" t="str">
        <f>""</f>
        <v/>
      </c>
      <c r="F161" s="2"/>
      <c r="G161" s="1">
        <f>SUMIFS(
  '[1]Hoja 1'!$M:$M,
  '[1]Hoja 1'!$S:$S, $A161,
  '[1]Hoja 1'!$R:$R, "&gt;="&amp;INT($I$1),
  '[1]Hoja 1'!$R:$R, "&lt;"&amp;INT($J$1+1)
)</f>
        <v>7</v>
      </c>
      <c r="H161" s="1">
        <f t="shared" si="62"/>
        <v>10</v>
      </c>
      <c r="I161" s="1"/>
      <c r="J161" s="2"/>
      <c r="K161" s="1">
        <f>SUMIFS(
  '[1]Hoja 1'!$M:$M,
  '[1]Hoja 1'!$S:$S, $A161,
  '[1]Hoja 1'!$R:$R, "&gt;="&amp;INT($M$1),
  '[1]Hoja 1'!$R:$R, "&lt;"&amp;INT($N$1+1)
)</f>
        <v>0</v>
      </c>
      <c r="L161" s="1">
        <f t="shared" si="63"/>
        <v>3.5</v>
      </c>
      <c r="M161" s="9">
        <f t="shared" si="64"/>
        <v>2.1140707088743671</v>
      </c>
      <c r="N161" s="10">
        <f t="shared" si="65"/>
        <v>4.8859292911256329</v>
      </c>
      <c r="O161" s="1">
        <f>SUMIFS(
  '[1]Hoja 1'!$M:$M,
  '[1]Hoja 1'!$S:$S, $A161,
  '[1]Hoja 1'!$R:$R, "&gt;="&amp;INT($Q$1),
  '[1]Hoja 1'!$R:$R, "&lt;"&amp;INT($R$1+1)
)</f>
        <v>0</v>
      </c>
      <c r="P161" s="1">
        <f t="shared" si="66"/>
        <v>0</v>
      </c>
      <c r="Q161" s="9">
        <f t="shared" si="67"/>
        <v>-3.5334402499547091</v>
      </c>
      <c r="R161" s="10">
        <f t="shared" si="68"/>
        <v>3.5334402499547091</v>
      </c>
      <c r="S161" s="1">
        <f>SUMIFS(
  '[1]Hoja 1'!$M:$M,
  '[1]Hoja 1'!$S:$S, $A161,
  '[1]Hoja 1'!$R:$R, "&gt;="&amp;INT($U$1),
  '[1]Hoja 1'!$R:$R, "&lt;"&amp;INT($V$1+1)
)</f>
        <v>0</v>
      </c>
      <c r="T161" s="1">
        <f t="shared" si="69"/>
        <v>0</v>
      </c>
      <c r="U161" s="9">
        <f t="shared" si="70"/>
        <v>-2.926357234970923</v>
      </c>
      <c r="V161" s="10">
        <f t="shared" si="71"/>
        <v>2.926357234970923</v>
      </c>
      <c r="W161" s="1">
        <f>SUMIFS(
  '[1]Hoja 1'!$M:$M,
  '[1]Hoja 1'!$S:$S, $A161,
  '[1]Hoja 1'!$R:$R, "&gt;="&amp;INT($Y$1),
  '[1]Hoja 1'!$R:$R, "&lt;"&amp;INT($Z$1+1)
)</f>
        <v>0</v>
      </c>
      <c r="X161" s="1">
        <f t="shared" si="72"/>
        <v>0</v>
      </c>
      <c r="Y161" s="9">
        <f t="shared" si="73"/>
        <v>-3.2943163175384358</v>
      </c>
      <c r="Z161" s="10">
        <f t="shared" si="74"/>
        <v>3.2943163175384358</v>
      </c>
      <c r="AA161" s="1">
        <f>SUMIFS(
  '[1]Hoja 1'!$M:$M,
  '[1]Hoja 1'!$S:$S, $A161,
  '[1]Hoja 1'!$R:$R, "&gt;="&amp;INT($AC$1),
  '[1]Hoja 1'!$R:$R, "&lt;"&amp;INT($AD$1+1)
)</f>
        <v>0</v>
      </c>
      <c r="AB161" s="1">
        <f t="shared" si="75"/>
        <v>0</v>
      </c>
      <c r="AC161" s="9">
        <f t="shared" si="76"/>
        <v>-3.0990321069650117</v>
      </c>
      <c r="AD161" s="10">
        <f t="shared" si="77"/>
        <v>3.0990321069650117</v>
      </c>
      <c r="AE161" s="1">
        <f>SUMIFS(
  '[1]Hoja 1'!$M:$M,
  '[1]Hoja 1'!$S:$S, $A161,
  '[1]Hoja 1'!$R:$R, "&gt;="&amp;INT($AG$1),
  '[1]Hoja 1'!$R:$R, "&lt;"&amp;INT($AH$1+1)
)</f>
        <v>0</v>
      </c>
      <c r="AF161" s="1">
        <f t="shared" si="78"/>
        <v>0</v>
      </c>
      <c r="AG161" s="9">
        <f t="shared" si="79"/>
        <v>-2.9244030729934156</v>
      </c>
      <c r="AH161" s="10">
        <f t="shared" si="80"/>
        <v>2.9244030729934156</v>
      </c>
      <c r="AI161" s="1">
        <f>SUMIFS(
  '[1]Hoja 1'!$M:$M,
  '[1]Hoja 1'!$S:$S, $A161,
  '[1]Hoja 1'!$R:$R, "&gt;="&amp;INT($AK$1),
  '[1]Hoja 1'!$R:$R, "&lt;"&amp;INT($AJ$1+1)
)</f>
        <v>0</v>
      </c>
      <c r="AJ161" s="1">
        <f t="shared" si="81"/>
        <v>0</v>
      </c>
      <c r="AK161" s="9">
        <f t="shared" si="82"/>
        <v>-2.7718585822512662</v>
      </c>
      <c r="AL161" s="10">
        <f t="shared" si="83"/>
        <v>2.7718585822512662</v>
      </c>
      <c r="AM161" s="1">
        <f>SUMIFS(
  '[1]Hoja 1'!$M:$M,
  '[1]Hoja 1'!$S:$S, $A161,
  '[1]Hoja 1'!$R:$R, "&gt;="&amp;INT($AO$1),
  '[1]Hoja 1'!$R:$R, "&lt;"&amp;INT($AP$1+1)
)</f>
        <v>0</v>
      </c>
      <c r="AN161" s="1">
        <f t="shared" si="84"/>
        <v>0</v>
      </c>
      <c r="AO161" s="9">
        <f t="shared" si="85"/>
        <v>-2.638730755495907</v>
      </c>
      <c r="AP161" s="10">
        <f t="shared" si="86"/>
        <v>2.638730755495907</v>
      </c>
      <c r="AQ161" s="1">
        <f>SUMIFS(
  '[1]Hoja 1'!$M:$M,
  '[1]Hoja 1'!$S:$S, $A161,
  '[1]Hoja 1'!$R:$R, "&gt;="&amp;INT($AS$1),
  '[1]Hoja 1'!$R:$R, "&lt;"&amp;INT($AT$1+1)
)</f>
        <v>0</v>
      </c>
      <c r="AR161" s="1">
        <f t="shared" si="87"/>
        <v>0</v>
      </c>
      <c r="AS161" s="9">
        <f t="shared" si="88"/>
        <v>-2.5219005179075209</v>
      </c>
      <c r="AT161" s="10">
        <f t="shared" si="89"/>
        <v>2.5219005179075209</v>
      </c>
      <c r="AU161" s="1">
        <f>SUMIFS(
  '[1]Hoja 1'!$M:$M,
  '[1]Hoja 1'!$S:$S, $A161,
  '[1]Hoja 1'!$R:$R, "&gt;="&amp;INT($AW$1),
  '[1]Hoja 1'!$R:$R, "&lt;"&amp;INT($AX$1+1)
)</f>
        <v>0</v>
      </c>
      <c r="AV161" s="1">
        <f t="shared" si="90"/>
        <v>0</v>
      </c>
      <c r="AW161" s="9">
        <f t="shared" si="91"/>
        <v>-2.4186171856887753</v>
      </c>
      <c r="AX161" s="10">
        <f t="shared" si="92"/>
        <v>2.4186171856887753</v>
      </c>
    </row>
    <row r="162" spans="1:50" x14ac:dyDescent="0.25">
      <c r="A162" s="5">
        <v>226031</v>
      </c>
      <c r="B162" s="6" t="s">
        <v>159</v>
      </c>
      <c r="C162" s="1">
        <f>SUMIFS(
  '[1]Hoja 1'!$M:$M,
  '[1]Hoja 1'!$S:$S, $A162,
  '[1]Hoja 1'!$R:$R, "&gt;="&amp;INT($E$1),
  '[1]Hoja 1'!$R:$R, "&lt;"&amp;INT($F$1+1)
)</f>
        <v>0</v>
      </c>
      <c r="D162" s="1" t="str">
        <f>""</f>
        <v/>
      </c>
      <c r="F162" s="2"/>
      <c r="G162" s="1">
        <f>SUMIFS(
  '[1]Hoja 1'!$M:$M,
  '[1]Hoja 1'!$S:$S, $A162,
  '[1]Hoja 1'!$R:$R, "&gt;="&amp;INT($I$1),
  '[1]Hoja 1'!$R:$R, "&lt;"&amp;INT($J$1+1)
)</f>
        <v>0</v>
      </c>
      <c r="H162" s="1">
        <f t="shared" si="62"/>
        <v>0</v>
      </c>
      <c r="I162" s="1"/>
      <c r="J162" s="2"/>
      <c r="K162" s="1">
        <f>SUMIFS(
  '[1]Hoja 1'!$M:$M,
  '[1]Hoja 1'!$S:$S, $A162,
  '[1]Hoja 1'!$R:$R, "&gt;="&amp;INT($M$1),
  '[1]Hoja 1'!$R:$R, "&lt;"&amp;INT($N$1+1)
)</f>
        <v>0</v>
      </c>
      <c r="L162" s="1">
        <f t="shared" si="63"/>
        <v>0</v>
      </c>
      <c r="M162" s="9">
        <f t="shared" si="64"/>
        <v>0</v>
      </c>
      <c r="N162" s="10">
        <f t="shared" si="65"/>
        <v>0</v>
      </c>
      <c r="O162" s="1">
        <f>SUMIFS(
  '[1]Hoja 1'!$M:$M,
  '[1]Hoja 1'!$S:$S, $A162,
  '[1]Hoja 1'!$R:$R, "&gt;="&amp;INT($Q$1),
  '[1]Hoja 1'!$R:$R, "&lt;"&amp;INT($R$1+1)
)</f>
        <v>0</v>
      </c>
      <c r="P162" s="1">
        <f t="shared" si="66"/>
        <v>0</v>
      </c>
      <c r="Q162" s="9">
        <f t="shared" si="67"/>
        <v>0</v>
      </c>
      <c r="R162" s="10">
        <f t="shared" si="68"/>
        <v>0</v>
      </c>
      <c r="S162" s="1">
        <f>SUMIFS(
  '[1]Hoja 1'!$M:$M,
  '[1]Hoja 1'!$S:$S, $A162,
  '[1]Hoja 1'!$R:$R, "&gt;="&amp;INT($U$1),
  '[1]Hoja 1'!$R:$R, "&lt;"&amp;INT($V$1+1)
)</f>
        <v>0</v>
      </c>
      <c r="T162" s="1">
        <f t="shared" si="69"/>
        <v>0</v>
      </c>
      <c r="U162" s="9">
        <f t="shared" si="70"/>
        <v>-1.47</v>
      </c>
      <c r="V162" s="10">
        <f t="shared" si="71"/>
        <v>1.47</v>
      </c>
      <c r="W162" s="1">
        <f>SUMIFS(
  '[1]Hoja 1'!$M:$M,
  '[1]Hoja 1'!$S:$S, $A162,
  '[1]Hoja 1'!$R:$R, "&gt;="&amp;INT($Y$1),
  '[1]Hoja 1'!$R:$R, "&lt;"&amp;INT($Z$1+1)
)</f>
        <v>0</v>
      </c>
      <c r="X162" s="1">
        <f t="shared" si="72"/>
        <v>0</v>
      </c>
      <c r="Y162" s="9">
        <f t="shared" si="73"/>
        <v>0</v>
      </c>
      <c r="Z162" s="10">
        <f t="shared" si="74"/>
        <v>0</v>
      </c>
      <c r="AA162" s="1">
        <f>SUMIFS(
  '[1]Hoja 1'!$M:$M,
  '[1]Hoja 1'!$S:$S, $A162,
  '[1]Hoja 1'!$R:$R, "&gt;="&amp;INT($AC$1),
  '[1]Hoja 1'!$R:$R, "&lt;"&amp;INT($AD$1+1)
)</f>
        <v>0</v>
      </c>
      <c r="AB162" s="1">
        <f t="shared" si="75"/>
        <v>0</v>
      </c>
      <c r="AC162" s="9">
        <f t="shared" si="76"/>
        <v>0</v>
      </c>
      <c r="AD162" s="10">
        <f t="shared" si="77"/>
        <v>0</v>
      </c>
      <c r="AE162" s="1">
        <f>SUMIFS(
  '[1]Hoja 1'!$M:$M,
  '[1]Hoja 1'!$S:$S, $A162,
  '[1]Hoja 1'!$R:$R, "&gt;="&amp;INT($AG$1),
  '[1]Hoja 1'!$R:$R, "&lt;"&amp;INT($AH$1+1)
)</f>
        <v>0</v>
      </c>
      <c r="AF162" s="1">
        <f t="shared" si="78"/>
        <v>0</v>
      </c>
      <c r="AG162" s="9">
        <f t="shared" si="79"/>
        <v>0</v>
      </c>
      <c r="AH162" s="10">
        <f t="shared" si="80"/>
        <v>0</v>
      </c>
      <c r="AI162" s="1">
        <f>SUMIFS(
  '[1]Hoja 1'!$M:$M,
  '[1]Hoja 1'!$S:$S, $A162,
  '[1]Hoja 1'!$R:$R, "&gt;="&amp;INT($AK$1),
  '[1]Hoja 1'!$R:$R, "&lt;"&amp;INT($AJ$1+1)
)</f>
        <v>0</v>
      </c>
      <c r="AJ162" s="1">
        <f t="shared" si="81"/>
        <v>0</v>
      </c>
      <c r="AK162" s="9">
        <f t="shared" si="82"/>
        <v>0</v>
      </c>
      <c r="AL162" s="10">
        <f t="shared" si="83"/>
        <v>0</v>
      </c>
      <c r="AM162" s="1">
        <f>SUMIFS(
  '[1]Hoja 1'!$M:$M,
  '[1]Hoja 1'!$S:$S, $A162,
  '[1]Hoja 1'!$R:$R, "&gt;="&amp;INT($AO$1),
  '[1]Hoja 1'!$R:$R, "&lt;"&amp;INT($AP$1+1)
)</f>
        <v>0</v>
      </c>
      <c r="AN162" s="1">
        <f t="shared" si="84"/>
        <v>0</v>
      </c>
      <c r="AO162" s="9">
        <f t="shared" si="85"/>
        <v>0</v>
      </c>
      <c r="AP162" s="10">
        <f t="shared" si="86"/>
        <v>0</v>
      </c>
      <c r="AQ162" s="1">
        <f>SUMIFS(
  '[1]Hoja 1'!$M:$M,
  '[1]Hoja 1'!$S:$S, $A162,
  '[1]Hoja 1'!$R:$R, "&gt;="&amp;INT($AS$1),
  '[1]Hoja 1'!$R:$R, "&lt;"&amp;INT($AT$1+1)
)</f>
        <v>0</v>
      </c>
      <c r="AR162" s="1">
        <f t="shared" si="87"/>
        <v>0</v>
      </c>
      <c r="AS162" s="9">
        <f t="shared" si="88"/>
        <v>0</v>
      </c>
      <c r="AT162" s="10">
        <f t="shared" si="89"/>
        <v>0</v>
      </c>
      <c r="AU162" s="1">
        <f>SUMIFS(
  '[1]Hoja 1'!$M:$M,
  '[1]Hoja 1'!$S:$S, $A162,
  '[1]Hoja 1'!$R:$R, "&gt;="&amp;INT($AW$1),
  '[1]Hoja 1'!$R:$R, "&lt;"&amp;INT($AX$1+1)
)</f>
        <v>0</v>
      </c>
      <c r="AV162" s="1">
        <f t="shared" si="90"/>
        <v>0</v>
      </c>
      <c r="AW162" s="9">
        <f t="shared" si="91"/>
        <v>0</v>
      </c>
      <c r="AX162" s="10">
        <f t="shared" si="92"/>
        <v>0</v>
      </c>
    </row>
    <row r="163" spans="1:50" x14ac:dyDescent="0.25">
      <c r="A163" s="5">
        <v>226032</v>
      </c>
      <c r="B163" s="6" t="s">
        <v>160</v>
      </c>
      <c r="C163" s="1">
        <f>SUMIFS(
  '[1]Hoja 1'!$M:$M,
  '[1]Hoja 1'!$S:$S, $A163,
  '[1]Hoja 1'!$R:$R, "&gt;="&amp;INT($E$1),
  '[1]Hoja 1'!$R:$R, "&lt;"&amp;INT($F$1+1)
)</f>
        <v>0</v>
      </c>
      <c r="D163" s="1" t="str">
        <f>""</f>
        <v/>
      </c>
      <c r="F163" s="2"/>
      <c r="G163" s="1">
        <f>SUMIFS(
  '[1]Hoja 1'!$M:$M,
  '[1]Hoja 1'!$S:$S, $A163,
  '[1]Hoja 1'!$R:$R, "&gt;="&amp;INT($I$1),
  '[1]Hoja 1'!$R:$R, "&lt;"&amp;INT($J$1+1)
)</f>
        <v>0</v>
      </c>
      <c r="H163" s="1">
        <f t="shared" si="62"/>
        <v>0</v>
      </c>
      <c r="I163" s="1"/>
      <c r="J163" s="2"/>
      <c r="K163" s="1">
        <f>SUMIFS(
  '[1]Hoja 1'!$M:$M,
  '[1]Hoja 1'!$S:$S, $A163,
  '[1]Hoja 1'!$R:$R, "&gt;="&amp;INT($M$1),
  '[1]Hoja 1'!$R:$R, "&lt;"&amp;INT($N$1+1)
)</f>
        <v>0</v>
      </c>
      <c r="L163" s="1">
        <f t="shared" si="63"/>
        <v>0</v>
      </c>
      <c r="M163" s="9">
        <f t="shared" si="64"/>
        <v>0</v>
      </c>
      <c r="N163" s="10">
        <f t="shared" si="65"/>
        <v>0</v>
      </c>
      <c r="O163" s="1">
        <f>SUMIFS(
  '[1]Hoja 1'!$M:$M,
  '[1]Hoja 1'!$S:$S, $A163,
  '[1]Hoja 1'!$R:$R, "&gt;="&amp;INT($Q$1),
  '[1]Hoja 1'!$R:$R, "&lt;"&amp;INT($R$1+1)
)</f>
        <v>0</v>
      </c>
      <c r="P163" s="1">
        <f t="shared" si="66"/>
        <v>0</v>
      </c>
      <c r="Q163" s="9">
        <f t="shared" si="67"/>
        <v>0</v>
      </c>
      <c r="R163" s="10">
        <f t="shared" si="68"/>
        <v>0</v>
      </c>
      <c r="S163" s="1">
        <f>SUMIFS(
  '[1]Hoja 1'!$M:$M,
  '[1]Hoja 1'!$S:$S, $A163,
  '[1]Hoja 1'!$R:$R, "&gt;="&amp;INT($U$1),
  '[1]Hoja 1'!$R:$R, "&lt;"&amp;INT($V$1+1)
)</f>
        <v>0</v>
      </c>
      <c r="T163" s="1">
        <f t="shared" si="69"/>
        <v>0</v>
      </c>
      <c r="U163" s="9">
        <f t="shared" si="70"/>
        <v>-1.47</v>
      </c>
      <c r="V163" s="10">
        <f t="shared" si="71"/>
        <v>1.47</v>
      </c>
      <c r="W163" s="1">
        <f>SUMIFS(
  '[1]Hoja 1'!$M:$M,
  '[1]Hoja 1'!$S:$S, $A163,
  '[1]Hoja 1'!$R:$R, "&gt;="&amp;INT($Y$1),
  '[1]Hoja 1'!$R:$R, "&lt;"&amp;INT($Z$1+1)
)</f>
        <v>0</v>
      </c>
      <c r="X163" s="1">
        <f t="shared" si="72"/>
        <v>0</v>
      </c>
      <c r="Y163" s="9">
        <f t="shared" si="73"/>
        <v>0</v>
      </c>
      <c r="Z163" s="10">
        <f t="shared" si="74"/>
        <v>0</v>
      </c>
      <c r="AA163" s="1">
        <f>SUMIFS(
  '[1]Hoja 1'!$M:$M,
  '[1]Hoja 1'!$S:$S, $A163,
  '[1]Hoja 1'!$R:$R, "&gt;="&amp;INT($AC$1),
  '[1]Hoja 1'!$R:$R, "&lt;"&amp;INT($AD$1+1)
)</f>
        <v>0</v>
      </c>
      <c r="AB163" s="1">
        <f t="shared" si="75"/>
        <v>0</v>
      </c>
      <c r="AC163" s="9">
        <f t="shared" si="76"/>
        <v>0</v>
      </c>
      <c r="AD163" s="10">
        <f t="shared" si="77"/>
        <v>0</v>
      </c>
      <c r="AE163" s="1">
        <f>SUMIFS(
  '[1]Hoja 1'!$M:$M,
  '[1]Hoja 1'!$S:$S, $A163,
  '[1]Hoja 1'!$R:$R, "&gt;="&amp;INT($AG$1),
  '[1]Hoja 1'!$R:$R, "&lt;"&amp;INT($AH$1+1)
)</f>
        <v>0</v>
      </c>
      <c r="AF163" s="1">
        <f t="shared" si="78"/>
        <v>0</v>
      </c>
      <c r="AG163" s="9">
        <f t="shared" si="79"/>
        <v>0</v>
      </c>
      <c r="AH163" s="10">
        <f t="shared" si="80"/>
        <v>0</v>
      </c>
      <c r="AI163" s="1">
        <f>SUMIFS(
  '[1]Hoja 1'!$M:$M,
  '[1]Hoja 1'!$S:$S, $A163,
  '[1]Hoja 1'!$R:$R, "&gt;="&amp;INT($AK$1),
  '[1]Hoja 1'!$R:$R, "&lt;"&amp;INT($AJ$1+1)
)</f>
        <v>0</v>
      </c>
      <c r="AJ163" s="1">
        <f t="shared" si="81"/>
        <v>0</v>
      </c>
      <c r="AK163" s="9">
        <f t="shared" si="82"/>
        <v>0</v>
      </c>
      <c r="AL163" s="10">
        <f t="shared" si="83"/>
        <v>0</v>
      </c>
      <c r="AM163" s="1">
        <f>SUMIFS(
  '[1]Hoja 1'!$M:$M,
  '[1]Hoja 1'!$S:$S, $A163,
  '[1]Hoja 1'!$R:$R, "&gt;="&amp;INT($AO$1),
  '[1]Hoja 1'!$R:$R, "&lt;"&amp;INT($AP$1+1)
)</f>
        <v>0</v>
      </c>
      <c r="AN163" s="1">
        <f t="shared" si="84"/>
        <v>0</v>
      </c>
      <c r="AO163" s="9">
        <f t="shared" si="85"/>
        <v>0</v>
      </c>
      <c r="AP163" s="10">
        <f t="shared" si="86"/>
        <v>0</v>
      </c>
      <c r="AQ163" s="1">
        <f>SUMIFS(
  '[1]Hoja 1'!$M:$M,
  '[1]Hoja 1'!$S:$S, $A163,
  '[1]Hoja 1'!$R:$R, "&gt;="&amp;INT($AS$1),
  '[1]Hoja 1'!$R:$R, "&lt;"&amp;INT($AT$1+1)
)</f>
        <v>0</v>
      </c>
      <c r="AR163" s="1">
        <f t="shared" si="87"/>
        <v>0</v>
      </c>
      <c r="AS163" s="9">
        <f t="shared" si="88"/>
        <v>0</v>
      </c>
      <c r="AT163" s="10">
        <f t="shared" si="89"/>
        <v>0</v>
      </c>
      <c r="AU163" s="1">
        <f>SUMIFS(
  '[1]Hoja 1'!$M:$M,
  '[1]Hoja 1'!$S:$S, $A163,
  '[1]Hoja 1'!$R:$R, "&gt;="&amp;INT($AW$1),
  '[1]Hoja 1'!$R:$R, "&lt;"&amp;INT($AX$1+1)
)</f>
        <v>0</v>
      </c>
      <c r="AV163" s="1">
        <f t="shared" si="90"/>
        <v>0</v>
      </c>
      <c r="AW163" s="9">
        <f t="shared" si="91"/>
        <v>0</v>
      </c>
      <c r="AX163" s="10">
        <f t="shared" si="92"/>
        <v>0</v>
      </c>
    </row>
    <row r="164" spans="1:50" x14ac:dyDescent="0.25">
      <c r="A164" s="5">
        <v>226033</v>
      </c>
      <c r="B164" s="6" t="s">
        <v>161</v>
      </c>
      <c r="C164" s="1">
        <f>SUMIFS(
  '[1]Hoja 1'!$M:$M,
  '[1]Hoja 1'!$S:$S, $A164,
  '[1]Hoja 1'!$R:$R, "&gt;="&amp;INT($E$1),
  '[1]Hoja 1'!$R:$R, "&lt;"&amp;INT($F$1+1)
)</f>
        <v>14</v>
      </c>
      <c r="D164" s="1" t="str">
        <f>""</f>
        <v/>
      </c>
      <c r="F164" s="2"/>
      <c r="G164" s="1">
        <f>SUMIFS(
  '[1]Hoja 1'!$M:$M,
  '[1]Hoja 1'!$S:$S, $A164,
  '[1]Hoja 1'!$R:$R, "&gt;="&amp;INT($I$1),
  '[1]Hoja 1'!$R:$R, "&lt;"&amp;INT($J$1+1)
)</f>
        <v>61</v>
      </c>
      <c r="H164" s="1">
        <f t="shared" si="62"/>
        <v>38</v>
      </c>
      <c r="I164" s="1"/>
      <c r="J164" s="2"/>
      <c r="K164" s="1">
        <f>SUMIFS(
  '[1]Hoja 1'!$M:$M,
  '[1]Hoja 1'!$S:$S, $A164,
  '[1]Hoja 1'!$R:$R, "&gt;="&amp;INT($M$1),
  '[1]Hoja 1'!$R:$R, "&lt;"&amp;INT($N$1+1)
)</f>
        <v>0</v>
      </c>
      <c r="L164" s="1">
        <f t="shared" si="63"/>
        <v>30.5</v>
      </c>
      <c r="M164" s="9">
        <f t="shared" si="64"/>
        <v>-44.340181720784187</v>
      </c>
      <c r="N164" s="10">
        <f t="shared" si="65"/>
        <v>105.34018172078419</v>
      </c>
      <c r="O164" s="1">
        <f>SUMIFS(
  '[1]Hoja 1'!$M:$M,
  '[1]Hoja 1'!$S:$S, $A164,
  '[1]Hoja 1'!$R:$R, "&gt;="&amp;INT($Q$1),
  '[1]Hoja 1'!$R:$R, "&lt;"&amp;INT($R$1+1)
)</f>
        <v>0</v>
      </c>
      <c r="P164" s="1">
        <f t="shared" si="66"/>
        <v>0</v>
      </c>
      <c r="Q164" s="9">
        <f t="shared" si="67"/>
        <v>-53.068002914499559</v>
      </c>
      <c r="R164" s="10">
        <f t="shared" si="68"/>
        <v>53.068002914499559</v>
      </c>
      <c r="S164" s="1">
        <f>SUMIFS(
  '[1]Hoja 1'!$M:$M,
  '[1]Hoja 1'!$S:$S, $A164,
  '[1]Hoja 1'!$R:$R, "&gt;="&amp;INT($U$1),
  '[1]Hoja 1'!$R:$R, "&lt;"&amp;INT($V$1+1)
)</f>
        <v>0</v>
      </c>
      <c r="T164" s="1">
        <f t="shared" si="69"/>
        <v>0</v>
      </c>
      <c r="U164" s="9">
        <f t="shared" si="70"/>
        <v>-43.337538385715142</v>
      </c>
      <c r="V164" s="10">
        <f t="shared" si="71"/>
        <v>43.337538385715142</v>
      </c>
      <c r="W164" s="1">
        <f>SUMIFS(
  '[1]Hoja 1'!$M:$M,
  '[1]Hoja 1'!$S:$S, $A164,
  '[1]Hoja 1'!$R:$R, "&gt;="&amp;INT($Y$1),
  '[1]Hoja 1'!$R:$R, "&lt;"&amp;INT($Z$1+1)
)</f>
        <v>0</v>
      </c>
      <c r="X164" s="1">
        <f t="shared" si="72"/>
        <v>0</v>
      </c>
      <c r="Y164" s="9">
        <f t="shared" si="73"/>
        <v>-37.608258135680785</v>
      </c>
      <c r="Z164" s="10">
        <f t="shared" si="74"/>
        <v>37.608258135680785</v>
      </c>
      <c r="AA164" s="1">
        <f>SUMIFS(
  '[1]Hoja 1'!$M:$M,
  '[1]Hoja 1'!$S:$S, $A164,
  '[1]Hoja 1'!$R:$R, "&gt;="&amp;INT($AC$1),
  '[1]Hoja 1'!$R:$R, "&lt;"&amp;INT($AD$1+1)
)</f>
        <v>0</v>
      </c>
      <c r="AB164" s="1">
        <f t="shared" si="75"/>
        <v>0</v>
      </c>
      <c r="AC164" s="9">
        <f t="shared" si="76"/>
        <v>-33.65649694585975</v>
      </c>
      <c r="AD164" s="10">
        <f t="shared" si="77"/>
        <v>33.65649694585975</v>
      </c>
      <c r="AE164" s="1">
        <f>SUMIFS(
  '[1]Hoja 1'!$M:$M,
  '[1]Hoja 1'!$S:$S, $A164,
  '[1]Hoja 1'!$R:$R, "&gt;="&amp;INT($AG$1),
  '[1]Hoja 1'!$R:$R, "&lt;"&amp;INT($AH$1+1)
)</f>
        <v>0</v>
      </c>
      <c r="AF164" s="1">
        <f t="shared" si="78"/>
        <v>0</v>
      </c>
      <c r="AG164" s="9">
        <f t="shared" si="79"/>
        <v>-30.736191479535432</v>
      </c>
      <c r="AH164" s="10">
        <f t="shared" si="80"/>
        <v>30.736191479535432</v>
      </c>
      <c r="AI164" s="1">
        <f>SUMIFS(
  '[1]Hoja 1'!$M:$M,
  '[1]Hoja 1'!$S:$S, $A164,
  '[1]Hoja 1'!$R:$R, "&gt;="&amp;INT($AK$1),
  '[1]Hoja 1'!$R:$R, "&lt;"&amp;INT($AJ$1+1)
)</f>
        <v>0</v>
      </c>
      <c r="AJ164" s="1">
        <f t="shared" si="81"/>
        <v>0</v>
      </c>
      <c r="AK164" s="9">
        <f t="shared" si="82"/>
        <v>-28.464620145015108</v>
      </c>
      <c r="AL164" s="10">
        <f t="shared" si="83"/>
        <v>28.464620145015108</v>
      </c>
      <c r="AM164" s="1">
        <f>SUMIFS(
  '[1]Hoja 1'!$M:$M,
  '[1]Hoja 1'!$S:$S, $A164,
  '[1]Hoja 1'!$R:$R, "&gt;="&amp;INT($AO$1),
  '[1]Hoja 1'!$R:$R, "&lt;"&amp;INT($AP$1+1)
)</f>
        <v>0</v>
      </c>
      <c r="AN164" s="1">
        <f t="shared" si="84"/>
        <v>0</v>
      </c>
      <c r="AO164" s="9">
        <f t="shared" si="85"/>
        <v>-26.632350211308385</v>
      </c>
      <c r="AP164" s="10">
        <f t="shared" si="86"/>
        <v>26.632350211308385</v>
      </c>
      <c r="AQ164" s="1">
        <f>SUMIFS(
  '[1]Hoja 1'!$M:$M,
  '[1]Hoja 1'!$S:$S, $A164,
  '[1]Hoja 1'!$R:$R, "&gt;="&amp;INT($AS$1),
  '[1]Hoja 1'!$R:$R, "&lt;"&amp;INT($AT$1+1)
)</f>
        <v>0</v>
      </c>
      <c r="AR164" s="1">
        <f t="shared" si="87"/>
        <v>0</v>
      </c>
      <c r="AS164" s="9">
        <f t="shared" si="88"/>
        <v>-25.113847795810006</v>
      </c>
      <c r="AT164" s="10">
        <f t="shared" si="89"/>
        <v>25.113847795810006</v>
      </c>
      <c r="AU164" s="1">
        <f>SUMIFS(
  '[1]Hoja 1'!$M:$M,
  '[1]Hoja 1'!$S:$S, $A164,
  '[1]Hoja 1'!$R:$R, "&gt;="&amp;INT($AW$1),
  '[1]Hoja 1'!$R:$R, "&lt;"&amp;INT($AX$1+1)
)</f>
        <v>0</v>
      </c>
      <c r="AV164" s="1">
        <f t="shared" si="90"/>
        <v>0</v>
      </c>
      <c r="AW164" s="9">
        <f t="shared" si="91"/>
        <v>-23.828678977613968</v>
      </c>
      <c r="AX164" s="10">
        <f t="shared" si="92"/>
        <v>23.828678977613968</v>
      </c>
    </row>
    <row r="165" spans="1:50" x14ac:dyDescent="0.25">
      <c r="A165" s="5">
        <v>227001</v>
      </c>
      <c r="B165" s="6" t="s">
        <v>162</v>
      </c>
      <c r="C165" s="1">
        <f>SUMIFS(
  '[1]Hoja 1'!$M:$M,
  '[1]Hoja 1'!$S:$S, $A165,
  '[1]Hoja 1'!$R:$R, "&gt;="&amp;INT($E$1),
  '[1]Hoja 1'!$R:$R, "&lt;"&amp;INT($F$1+1)
)</f>
        <v>18</v>
      </c>
      <c r="D165" s="1" t="str">
        <f>""</f>
        <v/>
      </c>
      <c r="F165" s="2"/>
      <c r="G165" s="1">
        <f>SUMIFS(
  '[1]Hoja 1'!$M:$M,
  '[1]Hoja 1'!$S:$S, $A165,
  '[1]Hoja 1'!$R:$R, "&gt;="&amp;INT($I$1),
  '[1]Hoja 1'!$R:$R, "&lt;"&amp;INT($J$1+1)
)</f>
        <v>19</v>
      </c>
      <c r="H165" s="1">
        <f t="shared" si="62"/>
        <v>19</v>
      </c>
      <c r="I165" s="1"/>
      <c r="J165" s="2"/>
      <c r="K165" s="1">
        <f>SUMIFS(
  '[1]Hoja 1'!$M:$M,
  '[1]Hoja 1'!$S:$S, $A165,
  '[1]Hoja 1'!$R:$R, "&gt;="&amp;INT($M$1),
  '[1]Hoja 1'!$R:$R, "&lt;"&amp;INT($N$1+1)
)</f>
        <v>0</v>
      </c>
      <c r="L165" s="1">
        <f t="shared" si="63"/>
        <v>9.5</v>
      </c>
      <c r="M165" s="9">
        <f t="shared" si="64"/>
        <v>-4.3592929112563326</v>
      </c>
      <c r="N165" s="10">
        <f t="shared" si="65"/>
        <v>23.359292911256333</v>
      </c>
      <c r="O165" s="1">
        <f>SUMIFS(
  '[1]Hoja 1'!$M:$M,
  '[1]Hoja 1'!$S:$S, $A165,
  '[1]Hoja 1'!$R:$R, "&gt;="&amp;INT($Q$1),
  '[1]Hoja 1'!$R:$R, "&lt;"&amp;INT($R$1+1)
)</f>
        <v>0</v>
      </c>
      <c r="P165" s="1">
        <f t="shared" si="66"/>
        <v>0</v>
      </c>
      <c r="Q165" s="9">
        <f t="shared" si="67"/>
        <v>-11.04403911619295</v>
      </c>
      <c r="R165" s="10">
        <f t="shared" si="68"/>
        <v>11.04403911619295</v>
      </c>
      <c r="S165" s="1">
        <f>SUMIFS(
  '[1]Hoja 1'!$M:$M,
  '[1]Hoja 1'!$S:$S, $A165,
  '[1]Hoja 1'!$R:$R, "&gt;="&amp;INT($U$1),
  '[1]Hoja 1'!$R:$R, "&lt;"&amp;INT($V$1+1)
)</f>
        <v>0</v>
      </c>
      <c r="T165" s="1">
        <f t="shared" si="69"/>
        <v>0</v>
      </c>
      <c r="U165" s="9">
        <f t="shared" si="70"/>
        <v>-9.1364526303520375</v>
      </c>
      <c r="V165" s="10">
        <f t="shared" si="71"/>
        <v>9.1364526303520375</v>
      </c>
      <c r="W165" s="1">
        <f>SUMIFS(
  '[1]Hoja 1'!$M:$M,
  '[1]Hoja 1'!$S:$S, $A165,
  '[1]Hoja 1'!$R:$R, "&gt;="&amp;INT($Y$1),
  '[1]Hoja 1'!$R:$R, "&lt;"&amp;INT($Z$1+1)
)</f>
        <v>0</v>
      </c>
      <c r="X165" s="1">
        <f t="shared" si="72"/>
        <v>0</v>
      </c>
      <c r="Y165" s="9">
        <f t="shared" si="73"/>
        <v>-8.4473498802879003</v>
      </c>
      <c r="Z165" s="10">
        <f t="shared" si="74"/>
        <v>8.4473498802879003</v>
      </c>
      <c r="AA165" s="1">
        <f>SUMIFS(
  '[1]Hoja 1'!$M:$M,
  '[1]Hoja 1'!$S:$S, $A165,
  '[1]Hoja 1'!$R:$R, "&gt;="&amp;INT($AC$1),
  '[1]Hoja 1'!$R:$R, "&lt;"&amp;INT($AD$1+1)
)</f>
        <v>0</v>
      </c>
      <c r="AB165" s="1">
        <f t="shared" si="75"/>
        <v>0</v>
      </c>
      <c r="AC165" s="9">
        <f t="shared" si="76"/>
        <v>-7.6915954131766453</v>
      </c>
      <c r="AD165" s="10">
        <f t="shared" si="77"/>
        <v>7.6915954131766453</v>
      </c>
      <c r="AE165" s="1">
        <f>SUMIFS(
  '[1]Hoja 1'!$M:$M,
  '[1]Hoja 1'!$S:$S, $A165,
  '[1]Hoja 1'!$R:$R, "&gt;="&amp;INT($AG$1),
  '[1]Hoja 1'!$R:$R, "&lt;"&amp;INT($AH$1+1)
)</f>
        <v>0</v>
      </c>
      <c r="AF165" s="1">
        <f t="shared" si="78"/>
        <v>0</v>
      </c>
      <c r="AG165" s="9">
        <f t="shared" si="79"/>
        <v>-7.1088208117333593</v>
      </c>
      <c r="AH165" s="10">
        <f t="shared" si="80"/>
        <v>7.1088208117333593</v>
      </c>
      <c r="AI165" s="1">
        <f>SUMIFS(
  '[1]Hoja 1'!$M:$M,
  '[1]Hoja 1'!$S:$S, $A165,
  '[1]Hoja 1'!$R:$R, "&gt;="&amp;INT($AK$1),
  '[1]Hoja 1'!$R:$R, "&lt;"&amp;INT($AJ$1+1)
)</f>
        <v>0</v>
      </c>
      <c r="AJ165" s="1">
        <f t="shared" si="81"/>
        <v>0</v>
      </c>
      <c r="AK165" s="9">
        <f t="shared" si="82"/>
        <v>-6.6415209101530346</v>
      </c>
      <c r="AL165" s="10">
        <f t="shared" si="83"/>
        <v>6.6415209101530346</v>
      </c>
      <c r="AM165" s="1">
        <f>SUMIFS(
  '[1]Hoja 1'!$M:$M,
  '[1]Hoja 1'!$S:$S, $A165,
  '[1]Hoja 1'!$R:$R, "&gt;="&amp;INT($AO$1),
  '[1]Hoja 1'!$R:$R, "&lt;"&amp;INT($AP$1+1)
)</f>
        <v>0</v>
      </c>
      <c r="AN165" s="1">
        <f t="shared" si="84"/>
        <v>0</v>
      </c>
      <c r="AO165" s="9">
        <f t="shared" si="85"/>
        <v>-6.2559012140538153</v>
      </c>
      <c r="AP165" s="10">
        <f t="shared" si="86"/>
        <v>6.2559012140538153</v>
      </c>
      <c r="AQ165" s="1">
        <f>SUMIFS(
  '[1]Hoja 1'!$M:$M,
  '[1]Hoja 1'!$S:$S, $A165,
  '[1]Hoja 1'!$R:$R, "&gt;="&amp;INT($AS$1),
  '[1]Hoja 1'!$R:$R, "&lt;"&amp;INT($AT$1+1)
)</f>
        <v>0</v>
      </c>
      <c r="AR165" s="1">
        <f t="shared" si="87"/>
        <v>0</v>
      </c>
      <c r="AS165" s="9">
        <f t="shared" si="88"/>
        <v>-5.9305971218944071</v>
      </c>
      <c r="AT165" s="10">
        <f t="shared" si="89"/>
        <v>5.9305971218944071</v>
      </c>
      <c r="AU165" s="1">
        <f>SUMIFS(
  '[1]Hoja 1'!$M:$M,
  '[1]Hoja 1'!$S:$S, $A165,
  '[1]Hoja 1'!$R:$R, "&gt;="&amp;INT($AW$1),
  '[1]Hoja 1'!$R:$R, "&lt;"&amp;INT($AX$1+1)
)</f>
        <v>0</v>
      </c>
      <c r="AV165" s="1">
        <f t="shared" si="90"/>
        <v>0</v>
      </c>
      <c r="AW165" s="9">
        <f t="shared" si="91"/>
        <v>-5.651341916266035</v>
      </c>
      <c r="AX165" s="10">
        <f t="shared" si="92"/>
        <v>5.651341916266035</v>
      </c>
    </row>
    <row r="166" spans="1:50" x14ac:dyDescent="0.25">
      <c r="A166" s="5">
        <v>227002</v>
      </c>
      <c r="B166" s="6" t="s">
        <v>163</v>
      </c>
      <c r="C166" s="1">
        <f>SUMIFS(
  '[1]Hoja 1'!$M:$M,
  '[1]Hoja 1'!$S:$S, $A166,
  '[1]Hoja 1'!$R:$R, "&gt;="&amp;INT($E$1),
  '[1]Hoja 1'!$R:$R, "&lt;"&amp;INT($F$1+1)
)</f>
        <v>37</v>
      </c>
      <c r="D166" s="1" t="str">
        <f>""</f>
        <v/>
      </c>
      <c r="F166" s="2"/>
      <c r="G166" s="1">
        <f>SUMIFS(
  '[1]Hoja 1'!$M:$M,
  '[1]Hoja 1'!$S:$S, $A166,
  '[1]Hoja 1'!$R:$R, "&gt;="&amp;INT($I$1),
  '[1]Hoja 1'!$R:$R, "&lt;"&amp;INT($J$1+1)
)</f>
        <v>10</v>
      </c>
      <c r="H166" s="1">
        <f t="shared" si="62"/>
        <v>24</v>
      </c>
      <c r="I166" s="1"/>
      <c r="J166" s="2"/>
      <c r="K166" s="1">
        <f>SUMIFS(
  '[1]Hoja 1'!$M:$M,
  '[1]Hoja 1'!$S:$S, $A166,
  '[1]Hoja 1'!$R:$R, "&gt;="&amp;INT($M$1),
  '[1]Hoja 1'!$R:$R, "&lt;"&amp;INT($N$1+1)
)</f>
        <v>0</v>
      </c>
      <c r="L166" s="1">
        <f t="shared" si="63"/>
        <v>5</v>
      </c>
      <c r="M166" s="9">
        <f t="shared" si="64"/>
        <v>-6.7803989745678805</v>
      </c>
      <c r="N166" s="10">
        <f t="shared" si="65"/>
        <v>16.780398974567881</v>
      </c>
      <c r="O166" s="1">
        <f>SUMIFS(
  '[1]Hoja 1'!$M:$M,
  '[1]Hoja 1'!$S:$S, $A166,
  '[1]Hoja 1'!$R:$R, "&gt;="&amp;INT($Q$1),
  '[1]Hoja 1'!$R:$R, "&lt;"&amp;INT($R$1+1)
)</f>
        <v>0</v>
      </c>
      <c r="P166" s="1">
        <f t="shared" si="66"/>
        <v>0</v>
      </c>
      <c r="Q166" s="9">
        <f t="shared" si="67"/>
        <v>-13.37738888323627</v>
      </c>
      <c r="R166" s="10">
        <f t="shared" si="68"/>
        <v>13.37738888323627</v>
      </c>
      <c r="S166" s="1">
        <f>SUMIFS(
  '[1]Hoja 1'!$M:$M,
  '[1]Hoja 1'!$S:$S, $A166,
  '[1]Hoja 1'!$R:$R, "&gt;="&amp;INT($U$1),
  '[1]Hoja 1'!$R:$R, "&lt;"&amp;INT($V$1+1)
)</f>
        <v>0</v>
      </c>
      <c r="T166" s="1">
        <f t="shared" si="69"/>
        <v>0</v>
      </c>
      <c r="U166" s="9">
        <f t="shared" si="70"/>
        <v>-11.84138505412268</v>
      </c>
      <c r="V166" s="10">
        <f t="shared" si="71"/>
        <v>11.84138505412268</v>
      </c>
      <c r="W166" s="1">
        <f>SUMIFS(
  '[1]Hoja 1'!$M:$M,
  '[1]Hoja 1'!$S:$S, $A166,
  '[1]Hoja 1'!$R:$R, "&gt;="&amp;INT($Y$1),
  '[1]Hoja 1'!$R:$R, "&lt;"&amp;INT($Z$1+1)
)</f>
        <v>0</v>
      </c>
      <c r="X166" s="1">
        <f t="shared" si="72"/>
        <v>0</v>
      </c>
      <c r="Y166" s="9">
        <f t="shared" si="73"/>
        <v>-11.545714356418143</v>
      </c>
      <c r="Z166" s="10">
        <f t="shared" si="74"/>
        <v>11.545714356418143</v>
      </c>
      <c r="AA166" s="1">
        <f>SUMIFS(
  '[1]Hoja 1'!$M:$M,
  '[1]Hoja 1'!$S:$S, $A166,
  '[1]Hoja 1'!$R:$R, "&gt;="&amp;INT($AC$1),
  '[1]Hoja 1'!$R:$R, "&lt;"&amp;INT($AD$1+1)
)</f>
        <v>0</v>
      </c>
      <c r="AB166" s="1">
        <f t="shared" si="75"/>
        <v>0</v>
      </c>
      <c r="AC166" s="9">
        <f t="shared" si="76"/>
        <v>-10.742814652904828</v>
      </c>
      <c r="AD166" s="10">
        <f t="shared" si="77"/>
        <v>10.742814652904828</v>
      </c>
      <c r="AE166" s="1">
        <f>SUMIFS(
  '[1]Hoja 1'!$M:$M,
  '[1]Hoja 1'!$S:$S, $A166,
  '[1]Hoja 1'!$R:$R, "&gt;="&amp;INT($AG$1),
  '[1]Hoja 1'!$R:$R, "&lt;"&amp;INT($AH$1+1)
)</f>
        <v>0</v>
      </c>
      <c r="AF166" s="1">
        <f t="shared" si="78"/>
        <v>0</v>
      </c>
      <c r="AG166" s="9">
        <f t="shared" si="79"/>
        <v>-10.069299876356848</v>
      </c>
      <c r="AH166" s="10">
        <f t="shared" si="80"/>
        <v>10.069299876356848</v>
      </c>
      <c r="AI166" s="1">
        <f>SUMIFS(
  '[1]Hoja 1'!$M:$M,
  '[1]Hoja 1'!$S:$S, $A166,
  '[1]Hoja 1'!$R:$R, "&gt;="&amp;INT($AK$1),
  '[1]Hoja 1'!$R:$R, "&lt;"&amp;INT($AJ$1+1)
)</f>
        <v>0</v>
      </c>
      <c r="AJ166" s="1">
        <f t="shared" si="81"/>
        <v>0</v>
      </c>
      <c r="AK166" s="9">
        <f t="shared" si="82"/>
        <v>-9.5005499840798695</v>
      </c>
      <c r="AL166" s="10">
        <f t="shared" si="83"/>
        <v>9.5005499840798695</v>
      </c>
      <c r="AM166" s="1">
        <f>SUMIFS(
  '[1]Hoja 1'!$M:$M,
  '[1]Hoja 1'!$S:$S, $A166,
  '[1]Hoja 1'!$R:$R, "&gt;="&amp;INT($AO$1),
  '[1]Hoja 1'!$R:$R, "&lt;"&amp;INT($AP$1+1)
)</f>
        <v>0</v>
      </c>
      <c r="AN166" s="1">
        <f t="shared" si="84"/>
        <v>0</v>
      </c>
      <c r="AO166" s="9">
        <f t="shared" si="85"/>
        <v>-9.0144612213437973</v>
      </c>
      <c r="AP166" s="10">
        <f t="shared" si="86"/>
        <v>9.0144612213437973</v>
      </c>
      <c r="AQ166" s="1">
        <f>SUMIFS(
  '[1]Hoja 1'!$M:$M,
  '[1]Hoja 1'!$S:$S, $A166,
  '[1]Hoja 1'!$R:$R, "&gt;="&amp;INT($AS$1),
  '[1]Hoja 1'!$R:$R, "&lt;"&amp;INT($AT$1+1)
)</f>
        <v>0</v>
      </c>
      <c r="AR166" s="1">
        <f t="shared" si="87"/>
        <v>0</v>
      </c>
      <c r="AS166" s="9">
        <f t="shared" si="88"/>
        <v>-8.5938792172103522</v>
      </c>
      <c r="AT166" s="10">
        <f t="shared" si="89"/>
        <v>8.5938792172103522</v>
      </c>
      <c r="AU166" s="1">
        <f>SUMIFS(
  '[1]Hoja 1'!$M:$M,
  '[1]Hoja 1'!$S:$S, $A166,
  '[1]Hoja 1'!$R:$R, "&gt;="&amp;INT($AW$1),
  '[1]Hoja 1'!$R:$R, "&lt;"&amp;INT($AX$1+1)
)</f>
        <v>0</v>
      </c>
      <c r="AV166" s="1">
        <f t="shared" si="90"/>
        <v>0</v>
      </c>
      <c r="AW166" s="9">
        <f t="shared" si="91"/>
        <v>-8.2258461847122728</v>
      </c>
      <c r="AX166" s="10">
        <f t="shared" si="92"/>
        <v>8.2258461847122728</v>
      </c>
    </row>
    <row r="167" spans="1:50" x14ac:dyDescent="0.25">
      <c r="A167" s="5">
        <v>227008</v>
      </c>
      <c r="B167" s="6" t="s">
        <v>164</v>
      </c>
      <c r="C167" s="1">
        <f>SUMIFS(
  '[1]Hoja 1'!$M:$M,
  '[1]Hoja 1'!$S:$S, $A167,
  '[1]Hoja 1'!$R:$R, "&gt;="&amp;INT($E$1),
  '[1]Hoja 1'!$R:$R, "&lt;"&amp;INT($F$1+1)
)</f>
        <v>2</v>
      </c>
      <c r="D167" s="1" t="str">
        <f>""</f>
        <v/>
      </c>
      <c r="F167" s="2"/>
      <c r="G167" s="1">
        <f>SUMIFS(
  '[1]Hoja 1'!$M:$M,
  '[1]Hoja 1'!$S:$S, $A167,
  '[1]Hoja 1'!$R:$R, "&gt;="&amp;INT($I$1),
  '[1]Hoja 1'!$R:$R, "&lt;"&amp;INT($J$1+1)
)</f>
        <v>0</v>
      </c>
      <c r="H167" s="1">
        <f t="shared" si="62"/>
        <v>1</v>
      </c>
      <c r="I167" s="1"/>
      <c r="J167" s="2"/>
      <c r="K167" s="1">
        <f>SUMIFS(
  '[1]Hoja 1'!$M:$M,
  '[1]Hoja 1'!$S:$S, $A167,
  '[1]Hoja 1'!$R:$R, "&gt;="&amp;INT($M$1),
  '[1]Hoja 1'!$R:$R, "&lt;"&amp;INT($N$1+1)
)</f>
        <v>0</v>
      </c>
      <c r="L167" s="1">
        <f t="shared" si="63"/>
        <v>0</v>
      </c>
      <c r="M167" s="9">
        <f t="shared" si="64"/>
        <v>-1.3859292911256331</v>
      </c>
      <c r="N167" s="10">
        <f t="shared" si="65"/>
        <v>1.3859292911256331</v>
      </c>
      <c r="O167" s="1">
        <f>SUMIFS(
  '[1]Hoja 1'!$M:$M,
  '[1]Hoja 1'!$S:$S, $A167,
  '[1]Hoja 1'!$R:$R, "&gt;="&amp;INT($Q$1),
  '[1]Hoja 1'!$R:$R, "&lt;"&amp;INT($R$1+1)
)</f>
        <v>0</v>
      </c>
      <c r="P167" s="1">
        <f t="shared" si="66"/>
        <v>0</v>
      </c>
      <c r="Q167" s="9">
        <f t="shared" si="67"/>
        <v>-1.1316065276116667</v>
      </c>
      <c r="R167" s="10">
        <f t="shared" si="68"/>
        <v>1.1316065276116667</v>
      </c>
      <c r="S167" s="1">
        <f>SUMIFS(
  '[1]Hoja 1'!$M:$M,
  '[1]Hoja 1'!$S:$S, $A167,
  '[1]Hoja 1'!$R:$R, "&gt;="&amp;INT($U$1),
  '[1]Hoja 1'!$R:$R, "&lt;"&amp;INT($V$1+1)
)</f>
        <v>0</v>
      </c>
      <c r="T167" s="1">
        <f t="shared" si="69"/>
        <v>0</v>
      </c>
      <c r="U167" s="9">
        <f t="shared" si="70"/>
        <v>-1.47</v>
      </c>
      <c r="V167" s="10">
        <f t="shared" si="71"/>
        <v>1.47</v>
      </c>
      <c r="W167" s="1">
        <f>SUMIFS(
  '[1]Hoja 1'!$M:$M,
  '[1]Hoja 1'!$S:$S, $A167,
  '[1]Hoja 1'!$R:$R, "&gt;="&amp;INT($Y$1),
  '[1]Hoja 1'!$R:$R, "&lt;"&amp;INT($Z$1+1)
)</f>
        <v>0</v>
      </c>
      <c r="X167" s="1">
        <f t="shared" si="72"/>
        <v>0</v>
      </c>
      <c r="Y167" s="9">
        <f t="shared" si="73"/>
        <v>-0.87653864717991747</v>
      </c>
      <c r="Z167" s="10">
        <f t="shared" si="74"/>
        <v>0.87653864717991747</v>
      </c>
      <c r="AA167" s="1">
        <f>SUMIFS(
  '[1]Hoja 1'!$M:$M,
  '[1]Hoja 1'!$S:$S, $A167,
  '[1]Hoja 1'!$R:$R, "&gt;="&amp;INT($AC$1),
  '[1]Hoja 1'!$R:$R, "&lt;"&amp;INT($AD$1+1)
)</f>
        <v>0</v>
      </c>
      <c r="AB167" s="1">
        <f t="shared" si="75"/>
        <v>0</v>
      </c>
      <c r="AC167" s="9">
        <f t="shared" si="76"/>
        <v>-0.80016664930917147</v>
      </c>
      <c r="AD167" s="10">
        <f t="shared" si="77"/>
        <v>0.80016664930917147</v>
      </c>
      <c r="AE167" s="1">
        <f>SUMIFS(
  '[1]Hoja 1'!$M:$M,
  '[1]Hoja 1'!$S:$S, $A167,
  '[1]Hoja 1'!$R:$R, "&gt;="&amp;INT($AG$1),
  '[1]Hoja 1'!$R:$R, "&lt;"&amp;INT($AH$1+1)
)</f>
        <v>0</v>
      </c>
      <c r="AF167" s="1">
        <f t="shared" si="78"/>
        <v>0</v>
      </c>
      <c r="AG167" s="9">
        <f t="shared" si="79"/>
        <v>-0.74081036709808545</v>
      </c>
      <c r="AH167" s="10">
        <f t="shared" si="80"/>
        <v>0.74081036709808545</v>
      </c>
      <c r="AI167" s="1">
        <f>SUMIFS(
  '[1]Hoja 1'!$M:$M,
  '[1]Hoja 1'!$S:$S, $A167,
  '[1]Hoja 1'!$R:$R, "&gt;="&amp;INT($AK$1),
  '[1]Hoja 1'!$R:$R, "&lt;"&amp;INT($AJ$1+1)
)</f>
        <v>0</v>
      </c>
      <c r="AJ167" s="1">
        <f t="shared" si="81"/>
        <v>0</v>
      </c>
      <c r="AK167" s="9">
        <f t="shared" si="82"/>
        <v>-0.69296464556281656</v>
      </c>
      <c r="AL167" s="10">
        <f t="shared" si="83"/>
        <v>0.69296464556281656</v>
      </c>
      <c r="AM167" s="1">
        <f>SUMIFS(
  '[1]Hoja 1'!$M:$M,
  '[1]Hoja 1'!$S:$S, $A167,
  '[1]Hoja 1'!$R:$R, "&gt;="&amp;INT($AO$1),
  '[1]Hoja 1'!$R:$R, "&lt;"&amp;INT($AP$1+1)
)</f>
        <v>0</v>
      </c>
      <c r="AN167" s="1">
        <f t="shared" si="84"/>
        <v>0</v>
      </c>
      <c r="AO167" s="9">
        <f t="shared" si="85"/>
        <v>-0.65333333333333332</v>
      </c>
      <c r="AP167" s="10">
        <f t="shared" si="86"/>
        <v>0.65333333333333332</v>
      </c>
      <c r="AQ167" s="1">
        <f>SUMIFS(
  '[1]Hoja 1'!$M:$M,
  '[1]Hoja 1'!$S:$S, $A167,
  '[1]Hoja 1'!$R:$R, "&gt;="&amp;INT($AS$1),
  '[1]Hoja 1'!$R:$R, "&lt;"&amp;INT($AT$1+1)
)</f>
        <v>0</v>
      </c>
      <c r="AR167" s="1">
        <f t="shared" si="87"/>
        <v>0</v>
      </c>
      <c r="AS167" s="9">
        <f t="shared" si="88"/>
        <v>-0.61980642139300235</v>
      </c>
      <c r="AT167" s="10">
        <f t="shared" si="89"/>
        <v>0.61980642139300235</v>
      </c>
      <c r="AU167" s="1">
        <f>SUMIFS(
  '[1]Hoja 1'!$M:$M,
  '[1]Hoja 1'!$S:$S, $A167,
  '[1]Hoja 1'!$R:$R, "&gt;="&amp;INT($AW$1),
  '[1]Hoja 1'!$R:$R, "&lt;"&amp;INT($AX$1+1)
)</f>
        <v>0</v>
      </c>
      <c r="AV167" s="1">
        <f t="shared" si="90"/>
        <v>0</v>
      </c>
      <c r="AW167" s="9">
        <f t="shared" si="91"/>
        <v>-0.59096223537241666</v>
      </c>
      <c r="AX167" s="10">
        <f t="shared" si="92"/>
        <v>0.59096223537241666</v>
      </c>
    </row>
    <row r="168" spans="1:50" x14ac:dyDescent="0.25">
      <c r="A168" s="5">
        <v>227010</v>
      </c>
      <c r="B168" s="6" t="s">
        <v>165</v>
      </c>
      <c r="C168" s="1">
        <f>SUMIFS(
  '[1]Hoja 1'!$M:$M,
  '[1]Hoja 1'!$S:$S, $A168,
  '[1]Hoja 1'!$R:$R, "&gt;="&amp;INT($E$1),
  '[1]Hoja 1'!$R:$R, "&lt;"&amp;INT($F$1+1)
)</f>
        <v>2</v>
      </c>
      <c r="D168" s="1" t="str">
        <f>""</f>
        <v/>
      </c>
      <c r="F168" s="2"/>
      <c r="G168" s="1">
        <f>SUMIFS(
  '[1]Hoja 1'!$M:$M,
  '[1]Hoja 1'!$S:$S, $A168,
  '[1]Hoja 1'!$R:$R, "&gt;="&amp;INT($I$1),
  '[1]Hoja 1'!$R:$R, "&lt;"&amp;INT($J$1+1)
)</f>
        <v>2</v>
      </c>
      <c r="H168" s="1">
        <f t="shared" si="62"/>
        <v>2</v>
      </c>
      <c r="I168" s="1"/>
      <c r="J168" s="2"/>
      <c r="K168" s="1">
        <f>SUMIFS(
  '[1]Hoja 1'!$M:$M,
  '[1]Hoja 1'!$S:$S, $A168,
  '[1]Hoja 1'!$R:$R, "&gt;="&amp;INT($M$1),
  '[1]Hoja 1'!$R:$R, "&lt;"&amp;INT($N$1+1)
)</f>
        <v>0</v>
      </c>
      <c r="L168" s="1">
        <f t="shared" si="63"/>
        <v>1</v>
      </c>
      <c r="M168" s="9">
        <f t="shared" si="64"/>
        <v>-0.38592929112563312</v>
      </c>
      <c r="N168" s="10">
        <f t="shared" si="65"/>
        <v>2.3859292911256329</v>
      </c>
      <c r="O168" s="1">
        <f>SUMIFS(
  '[1]Hoja 1'!$M:$M,
  '[1]Hoja 1'!$S:$S, $A168,
  '[1]Hoja 1'!$R:$R, "&gt;="&amp;INT($Q$1),
  '[1]Hoja 1'!$R:$R, "&lt;"&amp;INT($R$1+1)
)</f>
        <v>0</v>
      </c>
      <c r="P168" s="1">
        <f t="shared" si="66"/>
        <v>0</v>
      </c>
      <c r="Q168" s="9">
        <f t="shared" si="67"/>
        <v>-1.1316065276116667</v>
      </c>
      <c r="R168" s="10">
        <f t="shared" si="68"/>
        <v>1.1316065276116667</v>
      </c>
      <c r="S168" s="1">
        <f>SUMIFS(
  '[1]Hoja 1'!$M:$M,
  '[1]Hoja 1'!$S:$S, $A168,
  '[1]Hoja 1'!$R:$R, "&gt;="&amp;INT($U$1),
  '[1]Hoja 1'!$R:$R, "&lt;"&amp;INT($V$1+1)
)</f>
        <v>0</v>
      </c>
      <c r="T168" s="1">
        <f t="shared" si="69"/>
        <v>0</v>
      </c>
      <c r="U168" s="9">
        <f t="shared" si="70"/>
        <v>-1.47</v>
      </c>
      <c r="V168" s="10">
        <f t="shared" si="71"/>
        <v>1.47</v>
      </c>
      <c r="W168" s="1">
        <f>SUMIFS(
  '[1]Hoja 1'!$M:$M,
  '[1]Hoja 1'!$S:$S, $A168,
  '[1]Hoja 1'!$R:$R, "&gt;="&amp;INT($Y$1),
  '[1]Hoja 1'!$R:$R, "&lt;"&amp;INT($Z$1+1)
)</f>
        <v>0</v>
      </c>
      <c r="X168" s="1">
        <f t="shared" si="72"/>
        <v>0</v>
      </c>
      <c r="Y168" s="9">
        <f t="shared" si="73"/>
        <v>-0.87653864717991747</v>
      </c>
      <c r="Z168" s="10">
        <f t="shared" si="74"/>
        <v>0.87653864717991747</v>
      </c>
      <c r="AA168" s="1">
        <f>SUMIFS(
  '[1]Hoja 1'!$M:$M,
  '[1]Hoja 1'!$S:$S, $A168,
  '[1]Hoja 1'!$R:$R, "&gt;="&amp;INT($AC$1),
  '[1]Hoja 1'!$R:$R, "&lt;"&amp;INT($AD$1+1)
)</f>
        <v>0</v>
      </c>
      <c r="AB168" s="1">
        <f t="shared" si="75"/>
        <v>0</v>
      </c>
      <c r="AC168" s="9">
        <f t="shared" si="76"/>
        <v>-0.80016664930917147</v>
      </c>
      <c r="AD168" s="10">
        <f t="shared" si="77"/>
        <v>0.80016664930917147</v>
      </c>
      <c r="AE168" s="1">
        <f>SUMIFS(
  '[1]Hoja 1'!$M:$M,
  '[1]Hoja 1'!$S:$S, $A168,
  '[1]Hoja 1'!$R:$R, "&gt;="&amp;INT($AG$1),
  '[1]Hoja 1'!$R:$R, "&lt;"&amp;INT($AH$1+1)
)</f>
        <v>0</v>
      </c>
      <c r="AF168" s="1">
        <f t="shared" si="78"/>
        <v>0</v>
      </c>
      <c r="AG168" s="9">
        <f t="shared" si="79"/>
        <v>-0.74081036709808545</v>
      </c>
      <c r="AH168" s="10">
        <f t="shared" si="80"/>
        <v>0.74081036709808545</v>
      </c>
      <c r="AI168" s="1">
        <f>SUMIFS(
  '[1]Hoja 1'!$M:$M,
  '[1]Hoja 1'!$S:$S, $A168,
  '[1]Hoja 1'!$R:$R, "&gt;="&amp;INT($AK$1),
  '[1]Hoja 1'!$R:$R, "&lt;"&amp;INT($AJ$1+1)
)</f>
        <v>0</v>
      </c>
      <c r="AJ168" s="1">
        <f t="shared" si="81"/>
        <v>0</v>
      </c>
      <c r="AK168" s="9">
        <f t="shared" si="82"/>
        <v>-0.69296464556281656</v>
      </c>
      <c r="AL168" s="10">
        <f t="shared" si="83"/>
        <v>0.69296464556281656</v>
      </c>
      <c r="AM168" s="1">
        <f>SUMIFS(
  '[1]Hoja 1'!$M:$M,
  '[1]Hoja 1'!$S:$S, $A168,
  '[1]Hoja 1'!$R:$R, "&gt;="&amp;INT($AO$1),
  '[1]Hoja 1'!$R:$R, "&lt;"&amp;INT($AP$1+1)
)</f>
        <v>0</v>
      </c>
      <c r="AN168" s="1">
        <f t="shared" si="84"/>
        <v>0</v>
      </c>
      <c r="AO168" s="9">
        <f t="shared" si="85"/>
        <v>-0.65333333333333332</v>
      </c>
      <c r="AP168" s="10">
        <f t="shared" si="86"/>
        <v>0.65333333333333332</v>
      </c>
      <c r="AQ168" s="1">
        <f>SUMIFS(
  '[1]Hoja 1'!$M:$M,
  '[1]Hoja 1'!$S:$S, $A168,
  '[1]Hoja 1'!$R:$R, "&gt;="&amp;INT($AS$1),
  '[1]Hoja 1'!$R:$R, "&lt;"&amp;INT($AT$1+1)
)</f>
        <v>0</v>
      </c>
      <c r="AR168" s="1">
        <f t="shared" si="87"/>
        <v>0</v>
      </c>
      <c r="AS168" s="9">
        <f t="shared" si="88"/>
        <v>-0.61980642139300235</v>
      </c>
      <c r="AT168" s="10">
        <f t="shared" si="89"/>
        <v>0.61980642139300235</v>
      </c>
      <c r="AU168" s="1">
        <f>SUMIFS(
  '[1]Hoja 1'!$M:$M,
  '[1]Hoja 1'!$S:$S, $A168,
  '[1]Hoja 1'!$R:$R, "&gt;="&amp;INT($AW$1),
  '[1]Hoja 1'!$R:$R, "&lt;"&amp;INT($AX$1+1)
)</f>
        <v>0</v>
      </c>
      <c r="AV168" s="1">
        <f t="shared" si="90"/>
        <v>0</v>
      </c>
      <c r="AW168" s="9">
        <f t="shared" si="91"/>
        <v>-0.59096223537241666</v>
      </c>
      <c r="AX168" s="10">
        <f t="shared" si="92"/>
        <v>0.59096223537241666</v>
      </c>
    </row>
    <row r="169" spans="1:50" x14ac:dyDescent="0.25">
      <c r="A169" s="5">
        <v>227012</v>
      </c>
      <c r="B169" s="6" t="s">
        <v>166</v>
      </c>
      <c r="C169" s="1">
        <f>SUMIFS(
  '[1]Hoja 1'!$M:$M,
  '[1]Hoja 1'!$S:$S, $A169,
  '[1]Hoja 1'!$R:$R, "&gt;="&amp;INT($E$1),
  '[1]Hoja 1'!$R:$R, "&lt;"&amp;INT($F$1+1)
)</f>
        <v>82</v>
      </c>
      <c r="D169" s="1" t="str">
        <f>""</f>
        <v/>
      </c>
      <c r="F169" s="2"/>
      <c r="G169" s="1">
        <f>SUMIFS(
  '[1]Hoja 1'!$M:$M,
  '[1]Hoja 1'!$S:$S, $A169,
  '[1]Hoja 1'!$R:$R, "&gt;="&amp;INT($I$1),
  '[1]Hoja 1'!$R:$R, "&lt;"&amp;INT($J$1+1)
)</f>
        <v>44</v>
      </c>
      <c r="H169" s="1">
        <f t="shared" si="62"/>
        <v>63</v>
      </c>
      <c r="I169" s="1"/>
      <c r="J169" s="2"/>
      <c r="K169" s="1">
        <f>SUMIFS(
  '[1]Hoja 1'!$M:$M,
  '[1]Hoja 1'!$S:$S, $A169,
  '[1]Hoja 1'!$R:$R, "&gt;="&amp;INT($M$1),
  '[1]Hoja 1'!$R:$R, "&lt;"&amp;INT($N$1+1)
)</f>
        <v>0</v>
      </c>
      <c r="L169" s="1">
        <f t="shared" si="63"/>
        <v>22</v>
      </c>
      <c r="M169" s="9">
        <f t="shared" si="64"/>
        <v>17.842212126623103</v>
      </c>
      <c r="N169" s="10">
        <f t="shared" si="65"/>
        <v>26.157787873376897</v>
      </c>
      <c r="O169" s="1">
        <f>SUMIFS(
  '[1]Hoja 1'!$M:$M,
  '[1]Hoja 1'!$S:$S, $A169,
  '[1]Hoja 1'!$R:$R, "&gt;="&amp;INT($Q$1),
  '[1]Hoja 1'!$R:$R, "&lt;"&amp;INT($R$1+1)
)</f>
        <v>0</v>
      </c>
      <c r="P169" s="1">
        <f t="shared" si="66"/>
        <v>0</v>
      </c>
      <c r="Q169" s="9">
        <f t="shared" si="67"/>
        <v>-23.38349275307975</v>
      </c>
      <c r="R169" s="10">
        <f t="shared" si="68"/>
        <v>23.38349275307975</v>
      </c>
      <c r="S169" s="1">
        <f>SUMIFS(
  '[1]Hoja 1'!$M:$M,
  '[1]Hoja 1'!$S:$S, $A169,
  '[1]Hoja 1'!$R:$R, "&gt;="&amp;INT($U$1),
  '[1]Hoja 1'!$R:$R, "&lt;"&amp;INT($V$1+1)
)</f>
        <v>0</v>
      </c>
      <c r="T169" s="1">
        <f t="shared" si="69"/>
        <v>0</v>
      </c>
      <c r="U169" s="9">
        <f t="shared" si="70"/>
        <v>-22.509798607125152</v>
      </c>
      <c r="V169" s="10">
        <f t="shared" si="71"/>
        <v>22.509798607125152</v>
      </c>
      <c r="W169" s="1">
        <f>SUMIFS(
  '[1]Hoja 1'!$M:$M,
  '[1]Hoja 1'!$S:$S, $A169,
  '[1]Hoja 1'!$R:$R, "&gt;="&amp;INT($Y$1),
  '[1]Hoja 1'!$R:$R, "&lt;"&amp;INT($Z$1+1)
)</f>
        <v>0</v>
      </c>
      <c r="X169" s="1">
        <f t="shared" si="72"/>
        <v>0</v>
      </c>
      <c r="Y169" s="9">
        <f t="shared" si="73"/>
        <v>-22.105463578038801</v>
      </c>
      <c r="Z169" s="10">
        <f t="shared" si="74"/>
        <v>22.105463578038801</v>
      </c>
      <c r="AA169" s="1">
        <f>SUMIFS(
  '[1]Hoja 1'!$M:$M,
  '[1]Hoja 1'!$S:$S, $A169,
  '[1]Hoja 1'!$R:$R, "&gt;="&amp;INT($AC$1),
  '[1]Hoja 1'!$R:$R, "&lt;"&amp;INT($AD$1+1)
)</f>
        <v>0</v>
      </c>
      <c r="AB169" s="1">
        <f t="shared" si="75"/>
        <v>0</v>
      </c>
      <c r="AC169" s="9">
        <f t="shared" si="76"/>
        <v>-20.832012544799088</v>
      </c>
      <c r="AD169" s="10">
        <f t="shared" si="77"/>
        <v>20.832012544799088</v>
      </c>
      <c r="AE169" s="1">
        <f>SUMIFS(
  '[1]Hoja 1'!$M:$M,
  '[1]Hoja 1'!$S:$S, $A169,
  '[1]Hoja 1'!$R:$R, "&gt;="&amp;INT($AG$1),
  '[1]Hoja 1'!$R:$R, "&lt;"&amp;INT($AH$1+1)
)</f>
        <v>0</v>
      </c>
      <c r="AF169" s="1">
        <f t="shared" si="78"/>
        <v>0</v>
      </c>
      <c r="AG169" s="9">
        <f t="shared" si="79"/>
        <v>-19.679173424376</v>
      </c>
      <c r="AH169" s="10">
        <f t="shared" si="80"/>
        <v>19.679173424376</v>
      </c>
      <c r="AI169" s="1">
        <f>SUMIFS(
  '[1]Hoja 1'!$M:$M,
  '[1]Hoja 1'!$S:$S, $A169,
  '[1]Hoja 1'!$R:$R, "&gt;="&amp;INT($AK$1),
  '[1]Hoja 1'!$R:$R, "&lt;"&amp;INT($AJ$1+1)
)</f>
        <v>0</v>
      </c>
      <c r="AJ169" s="1">
        <f t="shared" si="81"/>
        <v>0</v>
      </c>
      <c r="AK169" s="9">
        <f t="shared" si="82"/>
        <v>-18.665995821278862</v>
      </c>
      <c r="AL169" s="10">
        <f t="shared" si="83"/>
        <v>18.665995821278862</v>
      </c>
      <c r="AM169" s="1">
        <f>SUMIFS(
  '[1]Hoja 1'!$M:$M,
  '[1]Hoja 1'!$S:$S, $A169,
  '[1]Hoja 1'!$R:$R, "&gt;="&amp;INT($AO$1),
  '[1]Hoja 1'!$R:$R, "&lt;"&amp;INT($AP$1+1)
)</f>
        <v>0</v>
      </c>
      <c r="AN169" s="1">
        <f t="shared" si="84"/>
        <v>0</v>
      </c>
      <c r="AO169" s="9">
        <f t="shared" si="85"/>
        <v>-17.778591370272029</v>
      </c>
      <c r="AP169" s="10">
        <f t="shared" si="86"/>
        <v>17.778591370272029</v>
      </c>
      <c r="AQ169" s="1">
        <f>SUMIFS(
  '[1]Hoja 1'!$M:$M,
  '[1]Hoja 1'!$S:$S, $A169,
  '[1]Hoja 1'!$R:$R, "&gt;="&amp;INT($AS$1),
  '[1]Hoja 1'!$R:$R, "&lt;"&amp;INT($AT$1+1)
)</f>
        <v>0</v>
      </c>
      <c r="AR169" s="1">
        <f t="shared" si="87"/>
        <v>0</v>
      </c>
      <c r="AS169" s="9">
        <f t="shared" si="88"/>
        <v>-16.997970597822682</v>
      </c>
      <c r="AT169" s="10">
        <f t="shared" si="89"/>
        <v>16.997970597822682</v>
      </c>
      <c r="AU169" s="1">
        <f>SUMIFS(
  '[1]Hoja 1'!$M:$M,
  '[1]Hoja 1'!$S:$S, $A169,
  '[1]Hoja 1'!$R:$R, "&gt;="&amp;INT($AW$1),
  '[1]Hoja 1'!$R:$R, "&lt;"&amp;INT($AX$1+1)
)</f>
        <v>0</v>
      </c>
      <c r="AV169" s="1">
        <f t="shared" si="90"/>
        <v>0</v>
      </c>
      <c r="AW169" s="9">
        <f t="shared" si="91"/>
        <v>-16.306703139283773</v>
      </c>
      <c r="AX169" s="10">
        <f t="shared" si="92"/>
        <v>16.306703139283773</v>
      </c>
    </row>
    <row r="170" spans="1:50" x14ac:dyDescent="0.25">
      <c r="A170" s="5">
        <v>227013</v>
      </c>
      <c r="B170" s="6" t="s">
        <v>167</v>
      </c>
      <c r="C170" s="1">
        <f>SUMIFS(
  '[1]Hoja 1'!$M:$M,
  '[1]Hoja 1'!$S:$S, $A170,
  '[1]Hoja 1'!$R:$R, "&gt;="&amp;INT($E$1),
  '[1]Hoja 1'!$R:$R, "&lt;"&amp;INT($F$1+1)
)</f>
        <v>0</v>
      </c>
      <c r="D170" s="1" t="str">
        <f>""</f>
        <v/>
      </c>
      <c r="F170" s="2"/>
      <c r="G170" s="1">
        <f>SUMIFS(
  '[1]Hoja 1'!$M:$M,
  '[1]Hoja 1'!$S:$S, $A170,
  '[1]Hoja 1'!$R:$R, "&gt;="&amp;INT($I$1),
  '[1]Hoja 1'!$R:$R, "&lt;"&amp;INT($J$1+1)
)</f>
        <v>0</v>
      </c>
      <c r="H170" s="1">
        <f t="shared" si="62"/>
        <v>0</v>
      </c>
      <c r="I170" s="1"/>
      <c r="J170" s="2"/>
      <c r="K170" s="1">
        <f>SUMIFS(
  '[1]Hoja 1'!$M:$M,
  '[1]Hoja 1'!$S:$S, $A170,
  '[1]Hoja 1'!$R:$R, "&gt;="&amp;INT($M$1),
  '[1]Hoja 1'!$R:$R, "&lt;"&amp;INT($N$1+1)
)</f>
        <v>0</v>
      </c>
      <c r="L170" s="1">
        <f t="shared" si="63"/>
        <v>0</v>
      </c>
      <c r="M170" s="9">
        <f t="shared" si="64"/>
        <v>0</v>
      </c>
      <c r="N170" s="10">
        <f t="shared" si="65"/>
        <v>0</v>
      </c>
      <c r="O170" s="1">
        <f>SUMIFS(
  '[1]Hoja 1'!$M:$M,
  '[1]Hoja 1'!$S:$S, $A170,
  '[1]Hoja 1'!$R:$R, "&gt;="&amp;INT($Q$1),
  '[1]Hoja 1'!$R:$R, "&lt;"&amp;INT($R$1+1)
)</f>
        <v>0</v>
      </c>
      <c r="P170" s="1">
        <f t="shared" si="66"/>
        <v>0</v>
      </c>
      <c r="Q170" s="9">
        <f t="shared" si="67"/>
        <v>0</v>
      </c>
      <c r="R170" s="10">
        <f t="shared" si="68"/>
        <v>0</v>
      </c>
      <c r="S170" s="1">
        <f>SUMIFS(
  '[1]Hoja 1'!$M:$M,
  '[1]Hoja 1'!$S:$S, $A170,
  '[1]Hoja 1'!$R:$R, "&gt;="&amp;INT($U$1),
  '[1]Hoja 1'!$R:$R, "&lt;"&amp;INT($V$1+1)
)</f>
        <v>0</v>
      </c>
      <c r="T170" s="1">
        <f t="shared" si="69"/>
        <v>0</v>
      </c>
      <c r="U170" s="9">
        <f t="shared" si="70"/>
        <v>-1.47</v>
      </c>
      <c r="V170" s="10">
        <f t="shared" si="71"/>
        <v>1.47</v>
      </c>
      <c r="W170" s="1">
        <f>SUMIFS(
  '[1]Hoja 1'!$M:$M,
  '[1]Hoja 1'!$S:$S, $A170,
  '[1]Hoja 1'!$R:$R, "&gt;="&amp;INT($Y$1),
  '[1]Hoja 1'!$R:$R, "&lt;"&amp;INT($Z$1+1)
)</f>
        <v>0</v>
      </c>
      <c r="X170" s="1">
        <f t="shared" si="72"/>
        <v>0</v>
      </c>
      <c r="Y170" s="9">
        <f t="shared" si="73"/>
        <v>0</v>
      </c>
      <c r="Z170" s="10">
        <f t="shared" si="74"/>
        <v>0</v>
      </c>
      <c r="AA170" s="1">
        <f>SUMIFS(
  '[1]Hoja 1'!$M:$M,
  '[1]Hoja 1'!$S:$S, $A170,
  '[1]Hoja 1'!$R:$R, "&gt;="&amp;INT($AC$1),
  '[1]Hoja 1'!$R:$R, "&lt;"&amp;INT($AD$1+1)
)</f>
        <v>0</v>
      </c>
      <c r="AB170" s="1">
        <f t="shared" si="75"/>
        <v>0</v>
      </c>
      <c r="AC170" s="9">
        <f t="shared" si="76"/>
        <v>0</v>
      </c>
      <c r="AD170" s="10">
        <f t="shared" si="77"/>
        <v>0</v>
      </c>
      <c r="AE170" s="1">
        <f>SUMIFS(
  '[1]Hoja 1'!$M:$M,
  '[1]Hoja 1'!$S:$S, $A170,
  '[1]Hoja 1'!$R:$R, "&gt;="&amp;INT($AG$1),
  '[1]Hoja 1'!$R:$R, "&lt;"&amp;INT($AH$1+1)
)</f>
        <v>0</v>
      </c>
      <c r="AF170" s="1">
        <f t="shared" si="78"/>
        <v>0</v>
      </c>
      <c r="AG170" s="9">
        <f t="shared" si="79"/>
        <v>0</v>
      </c>
      <c r="AH170" s="10">
        <f t="shared" si="80"/>
        <v>0</v>
      </c>
      <c r="AI170" s="1">
        <f>SUMIFS(
  '[1]Hoja 1'!$M:$M,
  '[1]Hoja 1'!$S:$S, $A170,
  '[1]Hoja 1'!$R:$R, "&gt;="&amp;INT($AK$1),
  '[1]Hoja 1'!$R:$R, "&lt;"&amp;INT($AJ$1+1)
)</f>
        <v>0</v>
      </c>
      <c r="AJ170" s="1">
        <f t="shared" si="81"/>
        <v>0</v>
      </c>
      <c r="AK170" s="9">
        <f t="shared" si="82"/>
        <v>0</v>
      </c>
      <c r="AL170" s="10">
        <f t="shared" si="83"/>
        <v>0</v>
      </c>
      <c r="AM170" s="1">
        <f>SUMIFS(
  '[1]Hoja 1'!$M:$M,
  '[1]Hoja 1'!$S:$S, $A170,
  '[1]Hoja 1'!$R:$R, "&gt;="&amp;INT($AO$1),
  '[1]Hoja 1'!$R:$R, "&lt;"&amp;INT($AP$1+1)
)</f>
        <v>0</v>
      </c>
      <c r="AN170" s="1">
        <f t="shared" si="84"/>
        <v>0</v>
      </c>
      <c r="AO170" s="9">
        <f t="shared" si="85"/>
        <v>0</v>
      </c>
      <c r="AP170" s="10">
        <f t="shared" si="86"/>
        <v>0</v>
      </c>
      <c r="AQ170" s="1">
        <f>SUMIFS(
  '[1]Hoja 1'!$M:$M,
  '[1]Hoja 1'!$S:$S, $A170,
  '[1]Hoja 1'!$R:$R, "&gt;="&amp;INT($AS$1),
  '[1]Hoja 1'!$R:$R, "&lt;"&amp;INT($AT$1+1)
)</f>
        <v>0</v>
      </c>
      <c r="AR170" s="1">
        <f t="shared" si="87"/>
        <v>0</v>
      </c>
      <c r="AS170" s="9">
        <f t="shared" si="88"/>
        <v>0</v>
      </c>
      <c r="AT170" s="10">
        <f t="shared" si="89"/>
        <v>0</v>
      </c>
      <c r="AU170" s="1">
        <f>SUMIFS(
  '[1]Hoja 1'!$M:$M,
  '[1]Hoja 1'!$S:$S, $A170,
  '[1]Hoja 1'!$R:$R, "&gt;="&amp;INT($AW$1),
  '[1]Hoja 1'!$R:$R, "&lt;"&amp;INT($AX$1+1)
)</f>
        <v>0</v>
      </c>
      <c r="AV170" s="1">
        <f t="shared" si="90"/>
        <v>0</v>
      </c>
      <c r="AW170" s="9">
        <f t="shared" si="91"/>
        <v>0</v>
      </c>
      <c r="AX170" s="10">
        <f t="shared" si="92"/>
        <v>0</v>
      </c>
    </row>
    <row r="171" spans="1:50" x14ac:dyDescent="0.25">
      <c r="A171" s="5">
        <v>227014</v>
      </c>
      <c r="B171" s="6" t="s">
        <v>168</v>
      </c>
      <c r="C171" s="1">
        <f>SUMIFS(
  '[1]Hoja 1'!$M:$M,
  '[1]Hoja 1'!$S:$S, $A171,
  '[1]Hoja 1'!$R:$R, "&gt;="&amp;INT($E$1),
  '[1]Hoja 1'!$R:$R, "&lt;"&amp;INT($F$1+1)
)</f>
        <v>17</v>
      </c>
      <c r="D171" s="1" t="str">
        <f>""</f>
        <v/>
      </c>
      <c r="F171" s="2"/>
      <c r="G171" s="1">
        <f>SUMIFS(
  '[1]Hoja 1'!$M:$M,
  '[1]Hoja 1'!$S:$S, $A171,
  '[1]Hoja 1'!$R:$R, "&gt;="&amp;INT($I$1),
  '[1]Hoja 1'!$R:$R, "&lt;"&amp;INT($J$1+1)
)</f>
        <v>8</v>
      </c>
      <c r="H171" s="1">
        <f t="shared" si="62"/>
        <v>13</v>
      </c>
      <c r="I171" s="1"/>
      <c r="J171" s="2"/>
      <c r="K171" s="1">
        <f>SUMIFS(
  '[1]Hoja 1'!$M:$M,
  '[1]Hoja 1'!$S:$S, $A171,
  '[1]Hoja 1'!$R:$R, "&gt;="&amp;INT($M$1),
  '[1]Hoja 1'!$R:$R, "&lt;"&amp;INT($N$1+1)
)</f>
        <v>0</v>
      </c>
      <c r="L171" s="1">
        <f t="shared" si="63"/>
        <v>4</v>
      </c>
      <c r="M171" s="9">
        <f t="shared" si="64"/>
        <v>3.3070353544371835</v>
      </c>
      <c r="N171" s="10">
        <f t="shared" si="65"/>
        <v>4.6929646455628165</v>
      </c>
      <c r="O171" s="1">
        <f>SUMIFS(
  '[1]Hoja 1'!$M:$M,
  '[1]Hoja 1'!$S:$S, $A171,
  '[1]Hoja 1'!$R:$R, "&gt;="&amp;INT($Q$1),
  '[1]Hoja 1'!$R:$R, "&lt;"&amp;INT($R$1+1)
)</f>
        <v>0</v>
      </c>
      <c r="P171" s="1">
        <f t="shared" si="66"/>
        <v>0</v>
      </c>
      <c r="Q171" s="9">
        <f t="shared" si="67"/>
        <v>-4.8342252050699228</v>
      </c>
      <c r="R171" s="10">
        <f t="shared" si="68"/>
        <v>4.8342252050699228</v>
      </c>
      <c r="S171" s="1">
        <f>SUMIFS(
  '[1]Hoja 1'!$M:$M,
  '[1]Hoja 1'!$S:$S, $A171,
  '[1]Hoja 1'!$R:$R, "&gt;="&amp;INT($U$1),
  '[1]Hoja 1'!$R:$R, "&lt;"&amp;INT($V$1+1)
)</f>
        <v>0</v>
      </c>
      <c r="T171" s="1">
        <f t="shared" si="69"/>
        <v>0</v>
      </c>
      <c r="U171" s="9">
        <f t="shared" si="70"/>
        <v>-4.1577878733768987</v>
      </c>
      <c r="V171" s="10">
        <f t="shared" si="71"/>
        <v>4.1577878733768987</v>
      </c>
      <c r="W171" s="1">
        <f>SUMIFS(
  '[1]Hoja 1'!$M:$M,
  '[1]Hoja 1'!$S:$S, $A171,
  '[1]Hoja 1'!$R:$R, "&gt;="&amp;INT($Y$1),
  '[1]Hoja 1'!$R:$R, "&lt;"&amp;INT($Z$1+1)
)</f>
        <v>0</v>
      </c>
      <c r="X171" s="1">
        <f t="shared" si="72"/>
        <v>0</v>
      </c>
      <c r="Y171" s="9">
        <f t="shared" si="73"/>
        <v>-4.575666071732071</v>
      </c>
      <c r="Z171" s="10">
        <f t="shared" si="74"/>
        <v>4.575666071732071</v>
      </c>
      <c r="AA171" s="1">
        <f>SUMIFS(
  '[1]Hoja 1'!$M:$M,
  '[1]Hoja 1'!$S:$S, $A171,
  '[1]Hoja 1'!$R:$R, "&gt;="&amp;INT($AC$1),
  '[1]Hoja 1'!$R:$R, "&lt;"&amp;INT($AD$1+1)
)</f>
        <v>0</v>
      </c>
      <c r="AB171" s="1">
        <f t="shared" si="75"/>
        <v>0</v>
      </c>
      <c r="AC171" s="9">
        <f t="shared" si="76"/>
        <v>-4.3127423603394934</v>
      </c>
      <c r="AD171" s="10">
        <f t="shared" si="77"/>
        <v>4.3127423603394934</v>
      </c>
      <c r="AE171" s="1">
        <f>SUMIFS(
  '[1]Hoja 1'!$M:$M,
  '[1]Hoja 1'!$S:$S, $A171,
  '[1]Hoja 1'!$R:$R, "&gt;="&amp;INT($AG$1),
  '[1]Hoja 1'!$R:$R, "&lt;"&amp;INT($AH$1+1)
)</f>
        <v>0</v>
      </c>
      <c r="AF171" s="1">
        <f t="shared" si="78"/>
        <v>0</v>
      </c>
      <c r="AG171" s="9">
        <f t="shared" si="79"/>
        <v>-4.0744570190394702</v>
      </c>
      <c r="AH171" s="10">
        <f t="shared" si="80"/>
        <v>4.0744570190394702</v>
      </c>
      <c r="AI171" s="1">
        <f>SUMIFS(
  '[1]Hoja 1'!$M:$M,
  '[1]Hoja 1'!$S:$S, $A171,
  '[1]Hoja 1'!$R:$R, "&gt;="&amp;INT($AK$1),
  '[1]Hoja 1'!$R:$R, "&lt;"&amp;INT($AJ$1+1)
)</f>
        <v>0</v>
      </c>
      <c r="AJ171" s="1">
        <f t="shared" si="81"/>
        <v>0</v>
      </c>
      <c r="AK171" s="9">
        <f t="shared" si="82"/>
        <v>-3.8649256137731811</v>
      </c>
      <c r="AL171" s="10">
        <f t="shared" si="83"/>
        <v>3.8649256137731811</v>
      </c>
      <c r="AM171" s="1">
        <f>SUMIFS(
  '[1]Hoja 1'!$M:$M,
  '[1]Hoja 1'!$S:$S, $A171,
  '[1]Hoja 1'!$R:$R, "&gt;="&amp;INT($AO$1),
  '[1]Hoja 1'!$R:$R, "&lt;"&amp;INT($AP$1+1)
)</f>
        <v>0</v>
      </c>
      <c r="AN171" s="1">
        <f t="shared" si="84"/>
        <v>0</v>
      </c>
      <c r="AO171" s="9">
        <f t="shared" si="85"/>
        <v>-3.6813463720643176</v>
      </c>
      <c r="AP171" s="10">
        <f t="shared" si="86"/>
        <v>3.6813463720643176</v>
      </c>
      <c r="AQ171" s="1">
        <f>SUMIFS(
  '[1]Hoja 1'!$M:$M,
  '[1]Hoja 1'!$S:$S, $A171,
  '[1]Hoja 1'!$R:$R, "&gt;="&amp;INT($AS$1),
  '[1]Hoja 1'!$R:$R, "&lt;"&amp;INT($AT$1+1)
)</f>
        <v>0</v>
      </c>
      <c r="AR171" s="1">
        <f t="shared" si="87"/>
        <v>0</v>
      </c>
      <c r="AS171" s="9">
        <f t="shared" si="88"/>
        <v>-3.5198238592293221</v>
      </c>
      <c r="AT171" s="10">
        <f t="shared" si="89"/>
        <v>3.5198238592293221</v>
      </c>
      <c r="AU171" s="1">
        <f>SUMIFS(
  '[1]Hoja 1'!$M:$M,
  '[1]Hoja 1'!$S:$S, $A171,
  '[1]Hoja 1'!$R:$R, "&gt;="&amp;INT($AW$1),
  '[1]Hoja 1'!$R:$R, "&lt;"&amp;INT($AX$1+1)
)</f>
        <v>0</v>
      </c>
      <c r="AV171" s="1">
        <f t="shared" si="90"/>
        <v>0</v>
      </c>
      <c r="AW171" s="9">
        <f t="shared" si="91"/>
        <v>-3.3767687621048723</v>
      </c>
      <c r="AX171" s="10">
        <f t="shared" si="92"/>
        <v>3.3767687621048723</v>
      </c>
    </row>
    <row r="172" spans="1:50" x14ac:dyDescent="0.25">
      <c r="A172" s="5">
        <v>228020</v>
      </c>
      <c r="B172" s="6" t="s">
        <v>169</v>
      </c>
      <c r="C172" s="1">
        <f>SUMIFS(
  '[1]Hoja 1'!$M:$M,
  '[1]Hoja 1'!$S:$S, $A172,
  '[1]Hoja 1'!$R:$R, "&gt;="&amp;INT($E$1),
  '[1]Hoja 1'!$R:$R, "&lt;"&amp;INT($F$1+1)
)</f>
        <v>0</v>
      </c>
      <c r="D172" s="1" t="str">
        <f>""</f>
        <v/>
      </c>
      <c r="F172" s="2"/>
      <c r="G172" s="1">
        <f>SUMIFS(
  '[1]Hoja 1'!$M:$M,
  '[1]Hoja 1'!$S:$S, $A172,
  '[1]Hoja 1'!$R:$R, "&gt;="&amp;INT($I$1),
  '[1]Hoja 1'!$R:$R, "&lt;"&amp;INT($J$1+1)
)</f>
        <v>0</v>
      </c>
      <c r="H172" s="1">
        <f t="shared" si="62"/>
        <v>0</v>
      </c>
      <c r="I172" s="1"/>
      <c r="J172" s="2"/>
      <c r="K172" s="1">
        <f>SUMIFS(
  '[1]Hoja 1'!$M:$M,
  '[1]Hoja 1'!$S:$S, $A172,
  '[1]Hoja 1'!$R:$R, "&gt;="&amp;INT($M$1),
  '[1]Hoja 1'!$R:$R, "&lt;"&amp;INT($N$1+1)
)</f>
        <v>0</v>
      </c>
      <c r="L172" s="1">
        <f t="shared" si="63"/>
        <v>0</v>
      </c>
      <c r="M172" s="9">
        <f t="shared" si="64"/>
        <v>0</v>
      </c>
      <c r="N172" s="10">
        <f t="shared" si="65"/>
        <v>0</v>
      </c>
      <c r="O172" s="1">
        <f>SUMIFS(
  '[1]Hoja 1'!$M:$M,
  '[1]Hoja 1'!$S:$S, $A172,
  '[1]Hoja 1'!$R:$R, "&gt;="&amp;INT($Q$1),
  '[1]Hoja 1'!$R:$R, "&lt;"&amp;INT($R$1+1)
)</f>
        <v>0</v>
      </c>
      <c r="P172" s="1">
        <f t="shared" si="66"/>
        <v>0</v>
      </c>
      <c r="Q172" s="9">
        <f t="shared" si="67"/>
        <v>0</v>
      </c>
      <c r="R172" s="10">
        <f t="shared" si="68"/>
        <v>0</v>
      </c>
      <c r="S172" s="1">
        <f>SUMIFS(
  '[1]Hoja 1'!$M:$M,
  '[1]Hoja 1'!$S:$S, $A172,
  '[1]Hoja 1'!$R:$R, "&gt;="&amp;INT($U$1),
  '[1]Hoja 1'!$R:$R, "&lt;"&amp;INT($V$1+1)
)</f>
        <v>0</v>
      </c>
      <c r="T172" s="1">
        <f t="shared" si="69"/>
        <v>0</v>
      </c>
      <c r="U172" s="9">
        <f t="shared" si="70"/>
        <v>-1.47</v>
      </c>
      <c r="V172" s="10">
        <f t="shared" si="71"/>
        <v>1.47</v>
      </c>
      <c r="W172" s="1">
        <f>SUMIFS(
  '[1]Hoja 1'!$M:$M,
  '[1]Hoja 1'!$S:$S, $A172,
  '[1]Hoja 1'!$R:$R, "&gt;="&amp;INT($Y$1),
  '[1]Hoja 1'!$R:$R, "&lt;"&amp;INT($Z$1+1)
)</f>
        <v>0</v>
      </c>
      <c r="X172" s="1">
        <f t="shared" si="72"/>
        <v>0</v>
      </c>
      <c r="Y172" s="9">
        <f t="shared" si="73"/>
        <v>0</v>
      </c>
      <c r="Z172" s="10">
        <f t="shared" si="74"/>
        <v>0</v>
      </c>
      <c r="AA172" s="1">
        <f>SUMIFS(
  '[1]Hoja 1'!$M:$M,
  '[1]Hoja 1'!$S:$S, $A172,
  '[1]Hoja 1'!$R:$R, "&gt;="&amp;INT($AC$1),
  '[1]Hoja 1'!$R:$R, "&lt;"&amp;INT($AD$1+1)
)</f>
        <v>0</v>
      </c>
      <c r="AB172" s="1">
        <f t="shared" si="75"/>
        <v>0</v>
      </c>
      <c r="AC172" s="9">
        <f t="shared" si="76"/>
        <v>0</v>
      </c>
      <c r="AD172" s="10">
        <f t="shared" si="77"/>
        <v>0</v>
      </c>
      <c r="AE172" s="1">
        <f>SUMIFS(
  '[1]Hoja 1'!$M:$M,
  '[1]Hoja 1'!$S:$S, $A172,
  '[1]Hoja 1'!$R:$R, "&gt;="&amp;INT($AG$1),
  '[1]Hoja 1'!$R:$R, "&lt;"&amp;INT($AH$1+1)
)</f>
        <v>0</v>
      </c>
      <c r="AF172" s="1">
        <f t="shared" si="78"/>
        <v>0</v>
      </c>
      <c r="AG172" s="9">
        <f t="shared" si="79"/>
        <v>0</v>
      </c>
      <c r="AH172" s="10">
        <f t="shared" si="80"/>
        <v>0</v>
      </c>
      <c r="AI172" s="1">
        <f>SUMIFS(
  '[1]Hoja 1'!$M:$M,
  '[1]Hoja 1'!$S:$S, $A172,
  '[1]Hoja 1'!$R:$R, "&gt;="&amp;INT($AK$1),
  '[1]Hoja 1'!$R:$R, "&lt;"&amp;INT($AJ$1+1)
)</f>
        <v>0</v>
      </c>
      <c r="AJ172" s="1">
        <f t="shared" si="81"/>
        <v>0</v>
      </c>
      <c r="AK172" s="9">
        <f t="shared" si="82"/>
        <v>0</v>
      </c>
      <c r="AL172" s="10">
        <f t="shared" si="83"/>
        <v>0</v>
      </c>
      <c r="AM172" s="1">
        <f>SUMIFS(
  '[1]Hoja 1'!$M:$M,
  '[1]Hoja 1'!$S:$S, $A172,
  '[1]Hoja 1'!$R:$R, "&gt;="&amp;INT($AO$1),
  '[1]Hoja 1'!$R:$R, "&lt;"&amp;INT($AP$1+1)
)</f>
        <v>0</v>
      </c>
      <c r="AN172" s="1">
        <f t="shared" si="84"/>
        <v>0</v>
      </c>
      <c r="AO172" s="9">
        <f t="shared" si="85"/>
        <v>0</v>
      </c>
      <c r="AP172" s="10">
        <f t="shared" si="86"/>
        <v>0</v>
      </c>
      <c r="AQ172" s="1">
        <f>SUMIFS(
  '[1]Hoja 1'!$M:$M,
  '[1]Hoja 1'!$S:$S, $A172,
  '[1]Hoja 1'!$R:$R, "&gt;="&amp;INT($AS$1),
  '[1]Hoja 1'!$R:$R, "&lt;"&amp;INT($AT$1+1)
)</f>
        <v>0</v>
      </c>
      <c r="AR172" s="1">
        <f t="shared" si="87"/>
        <v>0</v>
      </c>
      <c r="AS172" s="9">
        <f t="shared" si="88"/>
        <v>0</v>
      </c>
      <c r="AT172" s="10">
        <f t="shared" si="89"/>
        <v>0</v>
      </c>
      <c r="AU172" s="1">
        <f>SUMIFS(
  '[1]Hoja 1'!$M:$M,
  '[1]Hoja 1'!$S:$S, $A172,
  '[1]Hoja 1'!$R:$R, "&gt;="&amp;INT($AW$1),
  '[1]Hoja 1'!$R:$R, "&lt;"&amp;INT($AX$1+1)
)</f>
        <v>0</v>
      </c>
      <c r="AV172" s="1">
        <f t="shared" si="90"/>
        <v>0</v>
      </c>
      <c r="AW172" s="9">
        <f t="shared" si="91"/>
        <v>0</v>
      </c>
      <c r="AX172" s="10">
        <f t="shared" si="92"/>
        <v>0</v>
      </c>
    </row>
    <row r="173" spans="1:50" x14ac:dyDescent="0.25">
      <c r="A173" s="5">
        <v>229001</v>
      </c>
      <c r="B173" s="6" t="s">
        <v>170</v>
      </c>
      <c r="C173" s="1">
        <f>SUMIFS(
  '[1]Hoja 1'!$M:$M,
  '[1]Hoja 1'!$S:$S, $A173,
  '[1]Hoja 1'!$R:$R, "&gt;="&amp;INT($E$1),
  '[1]Hoja 1'!$R:$R, "&lt;"&amp;INT($F$1+1)
)</f>
        <v>48</v>
      </c>
      <c r="D173" s="1" t="str">
        <f>""</f>
        <v/>
      </c>
      <c r="F173" s="2"/>
      <c r="G173" s="1">
        <f>SUMIFS(
  '[1]Hoja 1'!$M:$M,
  '[1]Hoja 1'!$S:$S, $A173,
  '[1]Hoja 1'!$R:$R, "&gt;="&amp;INT($I$1),
  '[1]Hoja 1'!$R:$R, "&lt;"&amp;INT($J$1+1)
)</f>
        <v>25</v>
      </c>
      <c r="H173" s="1">
        <f t="shared" si="62"/>
        <v>37</v>
      </c>
      <c r="I173" s="1"/>
      <c r="J173" s="2"/>
      <c r="K173" s="1">
        <f>SUMIFS(
  '[1]Hoja 1'!$M:$M,
  '[1]Hoja 1'!$S:$S, $A173,
  '[1]Hoja 1'!$R:$R, "&gt;="&amp;INT($M$1),
  '[1]Hoja 1'!$R:$R, "&lt;"&amp;INT($N$1+1)
)</f>
        <v>0</v>
      </c>
      <c r="L173" s="1">
        <f t="shared" si="63"/>
        <v>12.5</v>
      </c>
      <c r="M173" s="9">
        <f t="shared" si="64"/>
        <v>11.114070708874367</v>
      </c>
      <c r="N173" s="10">
        <f t="shared" si="65"/>
        <v>13.885929291125633</v>
      </c>
      <c r="O173" s="1">
        <f>SUMIFS(
  '[1]Hoja 1'!$M:$M,
  '[1]Hoja 1'!$S:$S, $A173,
  '[1]Hoja 1'!$R:$R, "&gt;="&amp;INT($Q$1),
  '[1]Hoja 1'!$R:$R, "&lt;"&amp;INT($R$1+1)
)</f>
        <v>0</v>
      </c>
      <c r="P173" s="1">
        <f t="shared" si="66"/>
        <v>0</v>
      </c>
      <c r="Q173" s="9">
        <f t="shared" si="67"/>
        <v>-13.614595109660808</v>
      </c>
      <c r="R173" s="10">
        <f t="shared" si="68"/>
        <v>13.614595109660808</v>
      </c>
      <c r="S173" s="1">
        <f>SUMIFS(
  '[1]Hoja 1'!$M:$M,
  '[1]Hoja 1'!$S:$S, $A173,
  '[1]Hoja 1'!$R:$R, "&gt;="&amp;INT($U$1),
  '[1]Hoja 1'!$R:$R, "&lt;"&amp;INT($V$1+1)
)</f>
        <v>0</v>
      </c>
      <c r="T173" s="1">
        <f t="shared" si="69"/>
        <v>0</v>
      </c>
      <c r="U173" s="9">
        <f t="shared" si="70"/>
        <v>-12.81203991043841</v>
      </c>
      <c r="V173" s="10">
        <f t="shared" si="71"/>
        <v>12.81203991043841</v>
      </c>
      <c r="W173" s="1">
        <f>SUMIFS(
  '[1]Hoja 1'!$M:$M,
  '[1]Hoja 1'!$S:$S, $A173,
  '[1]Hoja 1'!$R:$R, "&gt;="&amp;INT($Y$1),
  '[1]Hoja 1'!$R:$R, "&lt;"&amp;INT($Z$1+1)
)</f>
        <v>0</v>
      </c>
      <c r="X173" s="1">
        <f t="shared" si="72"/>
        <v>0</v>
      </c>
      <c r="Y173" s="9">
        <f t="shared" si="73"/>
        <v>-12.901058871270994</v>
      </c>
      <c r="Z173" s="10">
        <f t="shared" si="74"/>
        <v>12.901058871270994</v>
      </c>
      <c r="AA173" s="1">
        <f>SUMIFS(
  '[1]Hoja 1'!$M:$M,
  '[1]Hoja 1'!$S:$S, $A173,
  '[1]Hoja 1'!$R:$R, "&gt;="&amp;INT($AC$1),
  '[1]Hoja 1'!$R:$R, "&lt;"&amp;INT($AD$1+1)
)</f>
        <v>0</v>
      </c>
      <c r="AB173" s="1">
        <f t="shared" si="75"/>
        <v>0</v>
      </c>
      <c r="AC173" s="9">
        <f t="shared" si="76"/>
        <v>-12.161480173071039</v>
      </c>
      <c r="AD173" s="10">
        <f t="shared" si="77"/>
        <v>12.161480173071039</v>
      </c>
      <c r="AE173" s="1">
        <f>SUMIFS(
  '[1]Hoja 1'!$M:$M,
  '[1]Hoja 1'!$S:$S, $A173,
  '[1]Hoja 1'!$R:$R, "&gt;="&amp;INT($AG$1),
  '[1]Hoja 1'!$R:$R, "&lt;"&amp;INT($AH$1+1)
)</f>
        <v>0</v>
      </c>
      <c r="AF173" s="1">
        <f t="shared" si="78"/>
        <v>0</v>
      </c>
      <c r="AG173" s="9">
        <f t="shared" si="79"/>
        <v>-11.490523631816496</v>
      </c>
      <c r="AH173" s="10">
        <f t="shared" si="80"/>
        <v>11.490523631816496</v>
      </c>
      <c r="AI173" s="1">
        <f>SUMIFS(
  '[1]Hoja 1'!$M:$M,
  '[1]Hoja 1'!$S:$S, $A173,
  '[1]Hoja 1'!$R:$R, "&gt;="&amp;INT($AK$1),
  '[1]Hoja 1'!$R:$R, "&lt;"&amp;INT($AJ$1+1)
)</f>
        <v>0</v>
      </c>
      <c r="AJ173" s="1">
        <f t="shared" si="81"/>
        <v>0</v>
      </c>
      <c r="AK173" s="9">
        <f t="shared" si="82"/>
        <v>-10.900238529500168</v>
      </c>
      <c r="AL173" s="10">
        <f t="shared" si="83"/>
        <v>10.900238529500168</v>
      </c>
      <c r="AM173" s="1">
        <f>SUMIFS(
  '[1]Hoja 1'!$M:$M,
  '[1]Hoja 1'!$S:$S, $A173,
  '[1]Hoja 1'!$R:$R, "&gt;="&amp;INT($AO$1),
  '[1]Hoja 1'!$R:$R, "&lt;"&amp;INT($AP$1+1)
)</f>
        <v>0</v>
      </c>
      <c r="AN173" s="1">
        <f t="shared" si="84"/>
        <v>0</v>
      </c>
      <c r="AO173" s="9">
        <f t="shared" si="85"/>
        <v>-10.382913849204375</v>
      </c>
      <c r="AP173" s="10">
        <f t="shared" si="86"/>
        <v>10.382913849204375</v>
      </c>
      <c r="AQ173" s="1">
        <f>SUMIFS(
  '[1]Hoja 1'!$M:$M,
  '[1]Hoja 1'!$S:$S, $A173,
  '[1]Hoja 1'!$R:$R, "&gt;="&amp;INT($AS$1),
  '[1]Hoja 1'!$R:$R, "&lt;"&amp;INT($AT$1+1)
)</f>
        <v>0</v>
      </c>
      <c r="AR173" s="1">
        <f t="shared" si="87"/>
        <v>0</v>
      </c>
      <c r="AS173" s="9">
        <f t="shared" si="88"/>
        <v>-9.9276574388030845</v>
      </c>
      <c r="AT173" s="10">
        <f t="shared" si="89"/>
        <v>9.9276574388030845</v>
      </c>
      <c r="AU173" s="1">
        <f>SUMIFS(
  '[1]Hoja 1'!$M:$M,
  '[1]Hoja 1'!$S:$S, $A173,
  '[1]Hoja 1'!$R:$R, "&gt;="&amp;INT($AW$1),
  '[1]Hoja 1'!$R:$R, "&lt;"&amp;INT($AX$1+1)
)</f>
        <v>0</v>
      </c>
      <c r="AV173" s="1">
        <f t="shared" si="90"/>
        <v>0</v>
      </c>
      <c r="AW173" s="9">
        <f t="shared" si="91"/>
        <v>-9.5243973801257091</v>
      </c>
      <c r="AX173" s="10">
        <f t="shared" si="92"/>
        <v>9.5243973801257091</v>
      </c>
    </row>
    <row r="174" spans="1:50" x14ac:dyDescent="0.25">
      <c r="A174" s="5">
        <v>229002</v>
      </c>
      <c r="B174" s="6" t="s">
        <v>171</v>
      </c>
      <c r="C174" s="1">
        <f>SUMIFS(
  '[1]Hoja 1'!$M:$M,
  '[1]Hoja 1'!$S:$S, $A174,
  '[1]Hoja 1'!$R:$R, "&gt;="&amp;INT($E$1),
  '[1]Hoja 1'!$R:$R, "&lt;"&amp;INT($F$1+1)
)</f>
        <v>0</v>
      </c>
      <c r="D174" s="1" t="str">
        <f>""</f>
        <v/>
      </c>
      <c r="F174" s="2"/>
      <c r="G174" s="1">
        <f>SUMIFS(
  '[1]Hoja 1'!$M:$M,
  '[1]Hoja 1'!$S:$S, $A174,
  '[1]Hoja 1'!$R:$R, "&gt;="&amp;INT($I$1),
  '[1]Hoja 1'!$R:$R, "&lt;"&amp;INT($J$1+1)
)</f>
        <v>0</v>
      </c>
      <c r="H174" s="1">
        <f t="shared" si="62"/>
        <v>0</v>
      </c>
      <c r="I174" s="1"/>
      <c r="J174" s="2"/>
      <c r="K174" s="1">
        <f>SUMIFS(
  '[1]Hoja 1'!$M:$M,
  '[1]Hoja 1'!$S:$S, $A174,
  '[1]Hoja 1'!$R:$R, "&gt;="&amp;INT($M$1),
  '[1]Hoja 1'!$R:$R, "&lt;"&amp;INT($N$1+1)
)</f>
        <v>0</v>
      </c>
      <c r="L174" s="1">
        <f t="shared" si="63"/>
        <v>0</v>
      </c>
      <c r="M174" s="9">
        <f t="shared" si="64"/>
        <v>0</v>
      </c>
      <c r="N174" s="10">
        <f t="shared" si="65"/>
        <v>0</v>
      </c>
      <c r="O174" s="1">
        <f>SUMIFS(
  '[1]Hoja 1'!$M:$M,
  '[1]Hoja 1'!$S:$S, $A174,
  '[1]Hoja 1'!$R:$R, "&gt;="&amp;INT($Q$1),
  '[1]Hoja 1'!$R:$R, "&lt;"&amp;INT($R$1+1)
)</f>
        <v>0</v>
      </c>
      <c r="P174" s="1">
        <f t="shared" si="66"/>
        <v>0</v>
      </c>
      <c r="Q174" s="9">
        <f t="shared" si="67"/>
        <v>0</v>
      </c>
      <c r="R174" s="10">
        <f t="shared" si="68"/>
        <v>0</v>
      </c>
      <c r="S174" s="1">
        <f>SUMIFS(
  '[1]Hoja 1'!$M:$M,
  '[1]Hoja 1'!$S:$S, $A174,
  '[1]Hoja 1'!$R:$R, "&gt;="&amp;INT($U$1),
  '[1]Hoja 1'!$R:$R, "&lt;"&amp;INT($V$1+1)
)</f>
        <v>0</v>
      </c>
      <c r="T174" s="1">
        <f t="shared" si="69"/>
        <v>0</v>
      </c>
      <c r="U174" s="9">
        <f t="shared" si="70"/>
        <v>-1.47</v>
      </c>
      <c r="V174" s="10">
        <f t="shared" si="71"/>
        <v>1.47</v>
      </c>
      <c r="W174" s="1">
        <f>SUMIFS(
  '[1]Hoja 1'!$M:$M,
  '[1]Hoja 1'!$S:$S, $A174,
  '[1]Hoja 1'!$R:$R, "&gt;="&amp;INT($Y$1),
  '[1]Hoja 1'!$R:$R, "&lt;"&amp;INT($Z$1+1)
)</f>
        <v>0</v>
      </c>
      <c r="X174" s="1">
        <f t="shared" si="72"/>
        <v>0</v>
      </c>
      <c r="Y174" s="9">
        <f t="shared" si="73"/>
        <v>0</v>
      </c>
      <c r="Z174" s="10">
        <f t="shared" si="74"/>
        <v>0</v>
      </c>
      <c r="AA174" s="1">
        <f>SUMIFS(
  '[1]Hoja 1'!$M:$M,
  '[1]Hoja 1'!$S:$S, $A174,
  '[1]Hoja 1'!$R:$R, "&gt;="&amp;INT($AC$1),
  '[1]Hoja 1'!$R:$R, "&lt;"&amp;INT($AD$1+1)
)</f>
        <v>0</v>
      </c>
      <c r="AB174" s="1">
        <f t="shared" si="75"/>
        <v>0</v>
      </c>
      <c r="AC174" s="9">
        <f t="shared" si="76"/>
        <v>0</v>
      </c>
      <c r="AD174" s="10">
        <f t="shared" si="77"/>
        <v>0</v>
      </c>
      <c r="AE174" s="1">
        <f>SUMIFS(
  '[1]Hoja 1'!$M:$M,
  '[1]Hoja 1'!$S:$S, $A174,
  '[1]Hoja 1'!$R:$R, "&gt;="&amp;INT($AG$1),
  '[1]Hoja 1'!$R:$R, "&lt;"&amp;INT($AH$1+1)
)</f>
        <v>0</v>
      </c>
      <c r="AF174" s="1">
        <f t="shared" si="78"/>
        <v>0</v>
      </c>
      <c r="AG174" s="9">
        <f t="shared" si="79"/>
        <v>0</v>
      </c>
      <c r="AH174" s="10">
        <f t="shared" si="80"/>
        <v>0</v>
      </c>
      <c r="AI174" s="1">
        <f>SUMIFS(
  '[1]Hoja 1'!$M:$M,
  '[1]Hoja 1'!$S:$S, $A174,
  '[1]Hoja 1'!$R:$R, "&gt;="&amp;INT($AK$1),
  '[1]Hoja 1'!$R:$R, "&lt;"&amp;INT($AJ$1+1)
)</f>
        <v>0</v>
      </c>
      <c r="AJ174" s="1">
        <f t="shared" si="81"/>
        <v>0</v>
      </c>
      <c r="AK174" s="9">
        <f t="shared" si="82"/>
        <v>0</v>
      </c>
      <c r="AL174" s="10">
        <f t="shared" si="83"/>
        <v>0</v>
      </c>
      <c r="AM174" s="1">
        <f>SUMIFS(
  '[1]Hoja 1'!$M:$M,
  '[1]Hoja 1'!$S:$S, $A174,
  '[1]Hoja 1'!$R:$R, "&gt;="&amp;INT($AO$1),
  '[1]Hoja 1'!$R:$R, "&lt;"&amp;INT($AP$1+1)
)</f>
        <v>0</v>
      </c>
      <c r="AN174" s="1">
        <f t="shared" si="84"/>
        <v>0</v>
      </c>
      <c r="AO174" s="9">
        <f t="shared" si="85"/>
        <v>0</v>
      </c>
      <c r="AP174" s="10">
        <f t="shared" si="86"/>
        <v>0</v>
      </c>
      <c r="AQ174" s="1">
        <f>SUMIFS(
  '[1]Hoja 1'!$M:$M,
  '[1]Hoja 1'!$S:$S, $A174,
  '[1]Hoja 1'!$R:$R, "&gt;="&amp;INT($AS$1),
  '[1]Hoja 1'!$R:$R, "&lt;"&amp;INT($AT$1+1)
)</f>
        <v>0</v>
      </c>
      <c r="AR174" s="1">
        <f t="shared" si="87"/>
        <v>0</v>
      </c>
      <c r="AS174" s="9">
        <f t="shared" si="88"/>
        <v>0</v>
      </c>
      <c r="AT174" s="10">
        <f t="shared" si="89"/>
        <v>0</v>
      </c>
      <c r="AU174" s="1">
        <f>SUMIFS(
  '[1]Hoja 1'!$M:$M,
  '[1]Hoja 1'!$S:$S, $A174,
  '[1]Hoja 1'!$R:$R, "&gt;="&amp;INT($AW$1),
  '[1]Hoja 1'!$R:$R, "&lt;"&amp;INT($AX$1+1)
)</f>
        <v>0</v>
      </c>
      <c r="AV174" s="1">
        <f t="shared" si="90"/>
        <v>0</v>
      </c>
      <c r="AW174" s="9">
        <f t="shared" si="91"/>
        <v>0</v>
      </c>
      <c r="AX174" s="10">
        <f t="shared" si="92"/>
        <v>0</v>
      </c>
    </row>
    <row r="175" spans="1:50" x14ac:dyDescent="0.25">
      <c r="A175" s="5">
        <v>229003</v>
      </c>
      <c r="B175" s="6" t="s">
        <v>172</v>
      </c>
      <c r="C175" s="1">
        <f>SUMIFS(
  '[1]Hoja 1'!$M:$M,
  '[1]Hoja 1'!$S:$S, $A175,
  '[1]Hoja 1'!$R:$R, "&gt;="&amp;INT($E$1),
  '[1]Hoja 1'!$R:$R, "&lt;"&amp;INT($F$1+1)
)</f>
        <v>8</v>
      </c>
      <c r="D175" s="1" t="str">
        <f>""</f>
        <v/>
      </c>
      <c r="F175" s="2"/>
      <c r="G175" s="1">
        <f>SUMIFS(
  '[1]Hoja 1'!$M:$M,
  '[1]Hoja 1'!$S:$S, $A175,
  '[1]Hoja 1'!$R:$R, "&gt;="&amp;INT($I$1),
  '[1]Hoja 1'!$R:$R, "&lt;"&amp;INT($J$1+1)
)</f>
        <v>3</v>
      </c>
      <c r="H175" s="1">
        <f t="shared" si="62"/>
        <v>6</v>
      </c>
      <c r="I175" s="1"/>
      <c r="J175" s="2"/>
      <c r="K175" s="1">
        <f>SUMIFS(
  '[1]Hoja 1'!$M:$M,
  '[1]Hoja 1'!$S:$S, $A175,
  '[1]Hoja 1'!$R:$R, "&gt;="&amp;INT($M$1),
  '[1]Hoja 1'!$R:$R, "&lt;"&amp;INT($N$1+1)
)</f>
        <v>0</v>
      </c>
      <c r="L175" s="1">
        <f t="shared" si="63"/>
        <v>1.5</v>
      </c>
      <c r="M175" s="9">
        <f t="shared" si="64"/>
        <v>0.11407070887436688</v>
      </c>
      <c r="N175" s="10">
        <f t="shared" si="65"/>
        <v>2.8859292911256329</v>
      </c>
      <c r="O175" s="1">
        <f>SUMIFS(
  '[1]Hoja 1'!$M:$M,
  '[1]Hoja 1'!$S:$S, $A175,
  '[1]Hoja 1'!$R:$R, "&gt;="&amp;INT($Q$1),
  '[1]Hoja 1'!$R:$R, "&lt;"&amp;INT($R$1+1)
)</f>
        <v>0</v>
      </c>
      <c r="P175" s="1">
        <f t="shared" si="66"/>
        <v>0</v>
      </c>
      <c r="Q175" s="9">
        <f t="shared" si="67"/>
        <v>-2.4662792488551117</v>
      </c>
      <c r="R175" s="10">
        <f t="shared" si="68"/>
        <v>2.4662792488551117</v>
      </c>
      <c r="S175" s="1">
        <f>SUMIFS(
  '[1]Hoja 1'!$M:$M,
  '[1]Hoja 1'!$S:$S, $A175,
  '[1]Hoja 1'!$R:$R, "&gt;="&amp;INT($U$1),
  '[1]Hoja 1'!$R:$R, "&lt;"&amp;INT($V$1+1)
)</f>
        <v>0</v>
      </c>
      <c r="T175" s="1">
        <f t="shared" si="69"/>
        <v>0</v>
      </c>
      <c r="U175" s="9">
        <f t="shared" si="70"/>
        <v>-2.0203217565526534</v>
      </c>
      <c r="V175" s="10">
        <f t="shared" si="71"/>
        <v>2.0203217565526534</v>
      </c>
      <c r="W175" s="1">
        <f>SUMIFS(
  '[1]Hoja 1'!$M:$M,
  '[1]Hoja 1'!$S:$S, $A175,
  '[1]Hoja 1'!$R:$R, "&gt;="&amp;INT($Y$1),
  '[1]Hoja 1'!$R:$R, "&lt;"&amp;INT($Z$1+1)
)</f>
        <v>0</v>
      </c>
      <c r="X175" s="1">
        <f t="shared" si="72"/>
        <v>0</v>
      </c>
      <c r="Y175" s="9">
        <f t="shared" si="73"/>
        <v>-2.256129428911382</v>
      </c>
      <c r="Z175" s="10">
        <f t="shared" si="74"/>
        <v>2.256129428911382</v>
      </c>
      <c r="AA175" s="1">
        <f>SUMIFS(
  '[1]Hoja 1'!$M:$M,
  '[1]Hoja 1'!$S:$S, $A175,
  '[1]Hoja 1'!$R:$R, "&gt;="&amp;INT($AC$1),
  '[1]Hoja 1'!$R:$R, "&lt;"&amp;INT($AD$1+1)
)</f>
        <v>0</v>
      </c>
      <c r="AB175" s="1">
        <f t="shared" si="75"/>
        <v>0</v>
      </c>
      <c r="AC175" s="9">
        <f t="shared" si="76"/>
        <v>-2.117041961479901</v>
      </c>
      <c r="AD175" s="10">
        <f t="shared" si="77"/>
        <v>2.117041961479901</v>
      </c>
      <c r="AE175" s="1">
        <f>SUMIFS(
  '[1]Hoja 1'!$M:$M,
  '[1]Hoja 1'!$S:$S, $A175,
  '[1]Hoja 1'!$R:$R, "&gt;="&amp;INT($AG$1),
  '[1]Hoja 1'!$R:$R, "&lt;"&amp;INT($AH$1+1)
)</f>
        <v>0</v>
      </c>
      <c r="AF175" s="1">
        <f t="shared" si="78"/>
        <v>0</v>
      </c>
      <c r="AG175" s="9">
        <f t="shared" si="79"/>
        <v>-1.9946929588285012</v>
      </c>
      <c r="AH175" s="10">
        <f t="shared" si="80"/>
        <v>1.9946929588285012</v>
      </c>
      <c r="AI175" s="1">
        <f>SUMIFS(
  '[1]Hoja 1'!$M:$M,
  '[1]Hoja 1'!$S:$S, $A175,
  '[1]Hoja 1'!$R:$R, "&gt;="&amp;INT($AK$1),
  '[1]Hoja 1'!$R:$R, "&lt;"&amp;INT($AJ$1+1)
)</f>
        <v>0</v>
      </c>
      <c r="AJ175" s="1">
        <f t="shared" si="81"/>
        <v>0</v>
      </c>
      <c r="AK175" s="9">
        <f t="shared" si="82"/>
        <v>-1.8887032588524857</v>
      </c>
      <c r="AL175" s="10">
        <f t="shared" si="83"/>
        <v>1.8887032588524857</v>
      </c>
      <c r="AM175" s="1">
        <f>SUMIFS(
  '[1]Hoja 1'!$M:$M,
  '[1]Hoja 1'!$S:$S, $A175,
  '[1]Hoja 1'!$R:$R, "&gt;="&amp;INT($AO$1),
  '[1]Hoja 1'!$R:$R, "&lt;"&amp;INT($AP$1+1)
)</f>
        <v>0</v>
      </c>
      <c r="AN175" s="1">
        <f t="shared" si="84"/>
        <v>0</v>
      </c>
      <c r="AO175" s="9">
        <f t="shared" si="85"/>
        <v>-1.7966666666666666</v>
      </c>
      <c r="AP175" s="10">
        <f t="shared" si="86"/>
        <v>1.7966666666666666</v>
      </c>
      <c r="AQ175" s="1">
        <f>SUMIFS(
  '[1]Hoja 1'!$M:$M,
  '[1]Hoja 1'!$S:$S, $A175,
  '[1]Hoja 1'!$R:$R, "&gt;="&amp;INT($AS$1),
  '[1]Hoja 1'!$R:$R, "&lt;"&amp;INT($AT$1+1)
)</f>
        <v>0</v>
      </c>
      <c r="AR175" s="1">
        <f t="shared" si="87"/>
        <v>0</v>
      </c>
      <c r="AS175" s="9">
        <f t="shared" si="88"/>
        <v>-1.7161662701109897</v>
      </c>
      <c r="AT175" s="10">
        <f t="shared" si="89"/>
        <v>1.7161662701109897</v>
      </c>
      <c r="AU175" s="1">
        <f>SUMIFS(
  '[1]Hoja 1'!$M:$M,
  '[1]Hoja 1'!$S:$S, $A175,
  '[1]Hoja 1'!$R:$R, "&gt;="&amp;INT($AW$1),
  '[1]Hoja 1'!$R:$R, "&lt;"&amp;INT($AX$1+1)
)</f>
        <v>0</v>
      </c>
      <c r="AV175" s="1">
        <f t="shared" si="90"/>
        <v>0</v>
      </c>
      <c r="AW175" s="9">
        <f t="shared" si="91"/>
        <v>-1.6451692369424544</v>
      </c>
      <c r="AX175" s="10">
        <f t="shared" si="92"/>
        <v>1.6451692369424544</v>
      </c>
    </row>
    <row r="176" spans="1:50" x14ac:dyDescent="0.25">
      <c r="A176" s="5">
        <v>229004</v>
      </c>
      <c r="B176" s="6" t="s">
        <v>173</v>
      </c>
      <c r="C176" s="1">
        <f>SUMIFS(
  '[1]Hoja 1'!$M:$M,
  '[1]Hoja 1'!$S:$S, $A176,
  '[1]Hoja 1'!$R:$R, "&gt;="&amp;INT($E$1),
  '[1]Hoja 1'!$R:$R, "&lt;"&amp;INT($F$1+1)
)</f>
        <v>17</v>
      </c>
      <c r="D176" s="1" t="str">
        <f>""</f>
        <v/>
      </c>
      <c r="F176" s="2"/>
      <c r="G176" s="1">
        <f>SUMIFS(
  '[1]Hoja 1'!$M:$M,
  '[1]Hoja 1'!$S:$S, $A176,
  '[1]Hoja 1'!$R:$R, "&gt;="&amp;INT($I$1),
  '[1]Hoja 1'!$R:$R, "&lt;"&amp;INT($J$1+1)
)</f>
        <v>10</v>
      </c>
      <c r="H176" s="1">
        <f t="shared" si="62"/>
        <v>14</v>
      </c>
      <c r="I176" s="1"/>
      <c r="J176" s="2"/>
      <c r="K176" s="1">
        <f>SUMIFS(
  '[1]Hoja 1'!$M:$M,
  '[1]Hoja 1'!$S:$S, $A176,
  '[1]Hoja 1'!$R:$R, "&gt;="&amp;INT($M$1),
  '[1]Hoja 1'!$R:$R, "&lt;"&amp;INT($N$1+1)
)</f>
        <v>0</v>
      </c>
      <c r="L176" s="1">
        <f t="shared" si="63"/>
        <v>5</v>
      </c>
      <c r="M176" s="9">
        <f t="shared" si="64"/>
        <v>2.9211060633115506</v>
      </c>
      <c r="N176" s="10">
        <f t="shared" si="65"/>
        <v>7.0788939366884494</v>
      </c>
      <c r="O176" s="1">
        <f>SUMIFS(
  '[1]Hoja 1'!$M:$M,
  '[1]Hoja 1'!$S:$S, $A176,
  '[1]Hoja 1'!$R:$R, "&gt;="&amp;INT($Q$1),
  '[1]Hoja 1'!$R:$R, "&lt;"&amp;INT($R$1+1)
)</f>
        <v>0</v>
      </c>
      <c r="P176" s="1">
        <f t="shared" si="66"/>
        <v>0</v>
      </c>
      <c r="Q176" s="9">
        <f t="shared" si="67"/>
        <v>-5.0289694106579459</v>
      </c>
      <c r="R176" s="10">
        <f t="shared" si="68"/>
        <v>5.0289694106579459</v>
      </c>
      <c r="S176" s="1">
        <f>SUMIFS(
  '[1]Hoja 1'!$M:$M,
  '[1]Hoja 1'!$S:$S, $A176,
  '[1]Hoja 1'!$R:$R, "&gt;="&amp;INT($U$1),
  '[1]Hoja 1'!$R:$R, "&lt;"&amp;INT($V$1+1)
)</f>
        <v>0</v>
      </c>
      <c r="T176" s="1">
        <f t="shared" si="69"/>
        <v>0</v>
      </c>
      <c r="U176" s="9">
        <f t="shared" si="70"/>
        <v>-4.3090292797024867</v>
      </c>
      <c r="V176" s="10">
        <f t="shared" si="71"/>
        <v>4.3090292797024867</v>
      </c>
      <c r="W176" s="1">
        <f>SUMIFS(
  '[1]Hoja 1'!$M:$M,
  '[1]Hoja 1'!$S:$S, $A176,
  '[1]Hoja 1'!$R:$R, "&gt;="&amp;INT($Y$1),
  '[1]Hoja 1'!$R:$R, "&lt;"&amp;INT($Z$1+1)
)</f>
        <v>0</v>
      </c>
      <c r="X176" s="1">
        <f t="shared" si="72"/>
        <v>0</v>
      </c>
      <c r="Y176" s="9">
        <f t="shared" si="73"/>
        <v>-4.6794358634348221</v>
      </c>
      <c r="Z176" s="10">
        <f t="shared" si="74"/>
        <v>4.6794358634348221</v>
      </c>
      <c r="AA176" s="1">
        <f>SUMIFS(
  '[1]Hoja 1'!$M:$M,
  '[1]Hoja 1'!$S:$S, $A176,
  '[1]Hoja 1'!$R:$R, "&gt;="&amp;INT($AC$1),
  '[1]Hoja 1'!$R:$R, "&lt;"&amp;INT($AD$1+1)
)</f>
        <v>0</v>
      </c>
      <c r="AB176" s="1">
        <f t="shared" si="75"/>
        <v>0</v>
      </c>
      <c r="AC176" s="9">
        <f t="shared" si="76"/>
        <v>-4.4009165712004439</v>
      </c>
      <c r="AD176" s="10">
        <f t="shared" si="77"/>
        <v>4.4009165712004439</v>
      </c>
      <c r="AE176" s="1">
        <f>SUMIFS(
  '[1]Hoja 1'!$M:$M,
  '[1]Hoja 1'!$S:$S, $A176,
  '[1]Hoja 1'!$R:$R, "&gt;="&amp;INT($AG$1),
  '[1]Hoja 1'!$R:$R, "&lt;"&amp;INT($AH$1+1)
)</f>
        <v>0</v>
      </c>
      <c r="AF176" s="1">
        <f t="shared" si="78"/>
        <v>0</v>
      </c>
      <c r="AG176" s="9">
        <f t="shared" si="79"/>
        <v>-4.1522845117677898</v>
      </c>
      <c r="AH176" s="10">
        <f t="shared" si="80"/>
        <v>4.1522845117677898</v>
      </c>
      <c r="AI176" s="1">
        <f>SUMIFS(
  '[1]Hoja 1'!$M:$M,
  '[1]Hoja 1'!$S:$S, $A176,
  '[1]Hoja 1'!$R:$R, "&gt;="&amp;INT($AK$1),
  '[1]Hoja 1'!$R:$R, "&lt;"&amp;INT($AJ$1+1)
)</f>
        <v>0</v>
      </c>
      <c r="AJ176" s="1">
        <f t="shared" si="81"/>
        <v>0</v>
      </c>
      <c r="AK176" s="9">
        <f t="shared" si="82"/>
        <v>-3.9352827090312075</v>
      </c>
      <c r="AL176" s="10">
        <f t="shared" si="83"/>
        <v>3.9352827090312075</v>
      </c>
      <c r="AM176" s="1">
        <f>SUMIFS(
  '[1]Hoja 1'!$M:$M,
  '[1]Hoja 1'!$S:$S, $A176,
  '[1]Hoja 1'!$R:$R, "&gt;="&amp;INT($AO$1),
  '[1]Hoja 1'!$R:$R, "&lt;"&amp;INT($AP$1+1)
)</f>
        <v>0</v>
      </c>
      <c r="AN176" s="1">
        <f t="shared" si="84"/>
        <v>0</v>
      </c>
      <c r="AO176" s="9">
        <f t="shared" si="85"/>
        <v>-3.7459993474520399</v>
      </c>
      <c r="AP176" s="10">
        <f t="shared" si="86"/>
        <v>3.7459993474520399</v>
      </c>
      <c r="AQ176" s="1">
        <f>SUMIFS(
  '[1]Hoja 1'!$M:$M,
  '[1]Hoja 1'!$S:$S, $A176,
  '[1]Hoja 1'!$R:$R, "&gt;="&amp;INT($AS$1),
  '[1]Hoja 1'!$R:$R, "&lt;"&amp;INT($AT$1+1)
)</f>
        <v>0</v>
      </c>
      <c r="AR176" s="1">
        <f t="shared" si="87"/>
        <v>0</v>
      </c>
      <c r="AS176" s="9">
        <f t="shared" si="88"/>
        <v>-3.5799447543844085</v>
      </c>
      <c r="AT176" s="10">
        <f t="shared" si="89"/>
        <v>3.5799447543844085</v>
      </c>
      <c r="AU176" s="1">
        <f>SUMIFS(
  '[1]Hoja 1'!$M:$M,
  '[1]Hoja 1'!$S:$S, $A176,
  '[1]Hoja 1'!$R:$R, "&gt;="&amp;INT($AW$1),
  '[1]Hoja 1'!$R:$R, "&lt;"&amp;INT($AX$1+1)
)</f>
        <v>0</v>
      </c>
      <c r="AV176" s="1">
        <f t="shared" si="90"/>
        <v>0</v>
      </c>
      <c r="AW176" s="9">
        <f t="shared" si="91"/>
        <v>-3.4331803437523161</v>
      </c>
      <c r="AX176" s="10">
        <f t="shared" si="92"/>
        <v>3.4331803437523161</v>
      </c>
    </row>
    <row r="177" spans="1:50" x14ac:dyDescent="0.25">
      <c r="A177" s="5">
        <v>231001</v>
      </c>
      <c r="B177" s="6" t="s">
        <v>174</v>
      </c>
      <c r="C177" s="1">
        <f>SUMIFS(
  '[1]Hoja 1'!$M:$M,
  '[1]Hoja 1'!$S:$S, $A177,
  '[1]Hoja 1'!$R:$R, "&gt;="&amp;INT($E$1),
  '[1]Hoja 1'!$R:$R, "&lt;"&amp;INT($F$1+1)
)</f>
        <v>0</v>
      </c>
      <c r="D177" s="1" t="str">
        <f>""</f>
        <v/>
      </c>
      <c r="F177" s="2"/>
      <c r="G177" s="1">
        <f>SUMIFS(
  '[1]Hoja 1'!$M:$M,
  '[1]Hoja 1'!$S:$S, $A177,
  '[1]Hoja 1'!$R:$R, "&gt;="&amp;INT($I$1),
  '[1]Hoja 1'!$R:$R, "&lt;"&amp;INT($J$1+1)
)</f>
        <v>0</v>
      </c>
      <c r="H177" s="1">
        <f t="shared" si="62"/>
        <v>0</v>
      </c>
      <c r="I177" s="1"/>
      <c r="J177" s="2"/>
      <c r="K177" s="1">
        <f>SUMIFS(
  '[1]Hoja 1'!$M:$M,
  '[1]Hoja 1'!$S:$S, $A177,
  '[1]Hoja 1'!$R:$R, "&gt;="&amp;INT($M$1),
  '[1]Hoja 1'!$R:$R, "&lt;"&amp;INT($N$1+1)
)</f>
        <v>0</v>
      </c>
      <c r="L177" s="1">
        <f t="shared" si="63"/>
        <v>0</v>
      </c>
      <c r="M177" s="9">
        <f t="shared" si="64"/>
        <v>0</v>
      </c>
      <c r="N177" s="10">
        <f t="shared" si="65"/>
        <v>0</v>
      </c>
      <c r="O177" s="1">
        <f>SUMIFS(
  '[1]Hoja 1'!$M:$M,
  '[1]Hoja 1'!$S:$S, $A177,
  '[1]Hoja 1'!$R:$R, "&gt;="&amp;INT($Q$1),
  '[1]Hoja 1'!$R:$R, "&lt;"&amp;INT($R$1+1)
)</f>
        <v>0</v>
      </c>
      <c r="P177" s="1">
        <f t="shared" si="66"/>
        <v>0</v>
      </c>
      <c r="Q177" s="9">
        <f t="shared" si="67"/>
        <v>0</v>
      </c>
      <c r="R177" s="10">
        <f t="shared" si="68"/>
        <v>0</v>
      </c>
      <c r="S177" s="1">
        <f>SUMIFS(
  '[1]Hoja 1'!$M:$M,
  '[1]Hoja 1'!$S:$S, $A177,
  '[1]Hoja 1'!$R:$R, "&gt;="&amp;INT($U$1),
  '[1]Hoja 1'!$R:$R, "&lt;"&amp;INT($V$1+1)
)</f>
        <v>0</v>
      </c>
      <c r="T177" s="1">
        <f t="shared" si="69"/>
        <v>0</v>
      </c>
      <c r="U177" s="9">
        <f t="shared" si="70"/>
        <v>-1.47</v>
      </c>
      <c r="V177" s="10">
        <f t="shared" si="71"/>
        <v>1.47</v>
      </c>
      <c r="W177" s="1">
        <f>SUMIFS(
  '[1]Hoja 1'!$M:$M,
  '[1]Hoja 1'!$S:$S, $A177,
  '[1]Hoja 1'!$R:$R, "&gt;="&amp;INT($Y$1),
  '[1]Hoja 1'!$R:$R, "&lt;"&amp;INT($Z$1+1)
)</f>
        <v>0</v>
      </c>
      <c r="X177" s="1">
        <f t="shared" si="72"/>
        <v>0</v>
      </c>
      <c r="Y177" s="9">
        <f t="shared" si="73"/>
        <v>0</v>
      </c>
      <c r="Z177" s="10">
        <f t="shared" si="74"/>
        <v>0</v>
      </c>
      <c r="AA177" s="1">
        <f>SUMIFS(
  '[1]Hoja 1'!$M:$M,
  '[1]Hoja 1'!$S:$S, $A177,
  '[1]Hoja 1'!$R:$R, "&gt;="&amp;INT($AC$1),
  '[1]Hoja 1'!$R:$R, "&lt;"&amp;INT($AD$1+1)
)</f>
        <v>0</v>
      </c>
      <c r="AB177" s="1">
        <f t="shared" si="75"/>
        <v>0</v>
      </c>
      <c r="AC177" s="9">
        <f t="shared" si="76"/>
        <v>0</v>
      </c>
      <c r="AD177" s="10">
        <f t="shared" si="77"/>
        <v>0</v>
      </c>
      <c r="AE177" s="1">
        <f>SUMIFS(
  '[1]Hoja 1'!$M:$M,
  '[1]Hoja 1'!$S:$S, $A177,
  '[1]Hoja 1'!$R:$R, "&gt;="&amp;INT($AG$1),
  '[1]Hoja 1'!$R:$R, "&lt;"&amp;INT($AH$1+1)
)</f>
        <v>0</v>
      </c>
      <c r="AF177" s="1">
        <f t="shared" si="78"/>
        <v>0</v>
      </c>
      <c r="AG177" s="9">
        <f t="shared" si="79"/>
        <v>0</v>
      </c>
      <c r="AH177" s="10">
        <f t="shared" si="80"/>
        <v>0</v>
      </c>
      <c r="AI177" s="1">
        <f>SUMIFS(
  '[1]Hoja 1'!$M:$M,
  '[1]Hoja 1'!$S:$S, $A177,
  '[1]Hoja 1'!$R:$R, "&gt;="&amp;INT($AK$1),
  '[1]Hoja 1'!$R:$R, "&lt;"&amp;INT($AJ$1+1)
)</f>
        <v>0</v>
      </c>
      <c r="AJ177" s="1">
        <f t="shared" si="81"/>
        <v>0</v>
      </c>
      <c r="AK177" s="9">
        <f t="shared" si="82"/>
        <v>0</v>
      </c>
      <c r="AL177" s="10">
        <f t="shared" si="83"/>
        <v>0</v>
      </c>
      <c r="AM177" s="1">
        <f>SUMIFS(
  '[1]Hoja 1'!$M:$M,
  '[1]Hoja 1'!$S:$S, $A177,
  '[1]Hoja 1'!$R:$R, "&gt;="&amp;INT($AO$1),
  '[1]Hoja 1'!$R:$R, "&lt;"&amp;INT($AP$1+1)
)</f>
        <v>0</v>
      </c>
      <c r="AN177" s="1">
        <f t="shared" si="84"/>
        <v>0</v>
      </c>
      <c r="AO177" s="9">
        <f t="shared" si="85"/>
        <v>0</v>
      </c>
      <c r="AP177" s="10">
        <f t="shared" si="86"/>
        <v>0</v>
      </c>
      <c r="AQ177" s="1">
        <f>SUMIFS(
  '[1]Hoja 1'!$M:$M,
  '[1]Hoja 1'!$S:$S, $A177,
  '[1]Hoja 1'!$R:$R, "&gt;="&amp;INT($AS$1),
  '[1]Hoja 1'!$R:$R, "&lt;"&amp;INT($AT$1+1)
)</f>
        <v>0</v>
      </c>
      <c r="AR177" s="1">
        <f t="shared" si="87"/>
        <v>0</v>
      </c>
      <c r="AS177" s="9">
        <f t="shared" si="88"/>
        <v>0</v>
      </c>
      <c r="AT177" s="10">
        <f t="shared" si="89"/>
        <v>0</v>
      </c>
      <c r="AU177" s="1">
        <f>SUMIFS(
  '[1]Hoja 1'!$M:$M,
  '[1]Hoja 1'!$S:$S, $A177,
  '[1]Hoja 1'!$R:$R, "&gt;="&amp;INT($AW$1),
  '[1]Hoja 1'!$R:$R, "&lt;"&amp;INT($AX$1+1)
)</f>
        <v>0</v>
      </c>
      <c r="AV177" s="1">
        <f t="shared" si="90"/>
        <v>0</v>
      </c>
      <c r="AW177" s="9">
        <f t="shared" si="91"/>
        <v>0</v>
      </c>
      <c r="AX177" s="10">
        <f t="shared" si="92"/>
        <v>0</v>
      </c>
    </row>
    <row r="178" spans="1:50" x14ac:dyDescent="0.25">
      <c r="A178" s="5">
        <v>231002</v>
      </c>
      <c r="B178" s="6" t="s">
        <v>175</v>
      </c>
      <c r="C178" s="1">
        <f>SUMIFS(
  '[1]Hoja 1'!$M:$M,
  '[1]Hoja 1'!$S:$S, $A178,
  '[1]Hoja 1'!$R:$R, "&gt;="&amp;INT($E$1),
  '[1]Hoja 1'!$R:$R, "&lt;"&amp;INT($F$1+1)
)</f>
        <v>0</v>
      </c>
      <c r="D178" s="1" t="str">
        <f>""</f>
        <v/>
      </c>
      <c r="F178" s="2"/>
      <c r="G178" s="1">
        <f>SUMIFS(
  '[1]Hoja 1'!$M:$M,
  '[1]Hoja 1'!$S:$S, $A178,
  '[1]Hoja 1'!$R:$R, "&gt;="&amp;INT($I$1),
  '[1]Hoja 1'!$R:$R, "&lt;"&amp;INT($J$1+1)
)</f>
        <v>0</v>
      </c>
      <c r="H178" s="1">
        <f t="shared" si="62"/>
        <v>0</v>
      </c>
      <c r="I178" s="1"/>
      <c r="J178" s="2"/>
      <c r="K178" s="1">
        <f>SUMIFS(
  '[1]Hoja 1'!$M:$M,
  '[1]Hoja 1'!$S:$S, $A178,
  '[1]Hoja 1'!$R:$R, "&gt;="&amp;INT($M$1),
  '[1]Hoja 1'!$R:$R, "&lt;"&amp;INT($N$1+1)
)</f>
        <v>0</v>
      </c>
      <c r="L178" s="1">
        <f t="shared" si="63"/>
        <v>0</v>
      </c>
      <c r="M178" s="9">
        <f t="shared" si="64"/>
        <v>0</v>
      </c>
      <c r="N178" s="10">
        <f t="shared" si="65"/>
        <v>0</v>
      </c>
      <c r="O178" s="1">
        <f>SUMIFS(
  '[1]Hoja 1'!$M:$M,
  '[1]Hoja 1'!$S:$S, $A178,
  '[1]Hoja 1'!$R:$R, "&gt;="&amp;INT($Q$1),
  '[1]Hoja 1'!$R:$R, "&lt;"&amp;INT($R$1+1)
)</f>
        <v>0</v>
      </c>
      <c r="P178" s="1">
        <f t="shared" si="66"/>
        <v>0</v>
      </c>
      <c r="Q178" s="9">
        <f t="shared" si="67"/>
        <v>0</v>
      </c>
      <c r="R178" s="10">
        <f t="shared" si="68"/>
        <v>0</v>
      </c>
      <c r="S178" s="1">
        <f>SUMIFS(
  '[1]Hoja 1'!$M:$M,
  '[1]Hoja 1'!$S:$S, $A178,
  '[1]Hoja 1'!$R:$R, "&gt;="&amp;INT($U$1),
  '[1]Hoja 1'!$R:$R, "&lt;"&amp;INT($V$1+1)
)</f>
        <v>0</v>
      </c>
      <c r="T178" s="1">
        <f t="shared" si="69"/>
        <v>0</v>
      </c>
      <c r="U178" s="9">
        <f t="shared" si="70"/>
        <v>-1.47</v>
      </c>
      <c r="V178" s="10">
        <f t="shared" si="71"/>
        <v>1.47</v>
      </c>
      <c r="W178" s="1">
        <f>SUMIFS(
  '[1]Hoja 1'!$M:$M,
  '[1]Hoja 1'!$S:$S, $A178,
  '[1]Hoja 1'!$R:$R, "&gt;="&amp;INT($Y$1),
  '[1]Hoja 1'!$R:$R, "&lt;"&amp;INT($Z$1+1)
)</f>
        <v>0</v>
      </c>
      <c r="X178" s="1">
        <f t="shared" si="72"/>
        <v>0</v>
      </c>
      <c r="Y178" s="9">
        <f t="shared" si="73"/>
        <v>0</v>
      </c>
      <c r="Z178" s="10">
        <f t="shared" si="74"/>
        <v>0</v>
      </c>
      <c r="AA178" s="1">
        <f>SUMIFS(
  '[1]Hoja 1'!$M:$M,
  '[1]Hoja 1'!$S:$S, $A178,
  '[1]Hoja 1'!$R:$R, "&gt;="&amp;INT($AC$1),
  '[1]Hoja 1'!$R:$R, "&lt;"&amp;INT($AD$1+1)
)</f>
        <v>0</v>
      </c>
      <c r="AB178" s="1">
        <f t="shared" si="75"/>
        <v>0</v>
      </c>
      <c r="AC178" s="9">
        <f t="shared" si="76"/>
        <v>0</v>
      </c>
      <c r="AD178" s="10">
        <f t="shared" si="77"/>
        <v>0</v>
      </c>
      <c r="AE178" s="1">
        <f>SUMIFS(
  '[1]Hoja 1'!$M:$M,
  '[1]Hoja 1'!$S:$S, $A178,
  '[1]Hoja 1'!$R:$R, "&gt;="&amp;INT($AG$1),
  '[1]Hoja 1'!$R:$R, "&lt;"&amp;INT($AH$1+1)
)</f>
        <v>0</v>
      </c>
      <c r="AF178" s="1">
        <f t="shared" si="78"/>
        <v>0</v>
      </c>
      <c r="AG178" s="9">
        <f t="shared" si="79"/>
        <v>0</v>
      </c>
      <c r="AH178" s="10">
        <f t="shared" si="80"/>
        <v>0</v>
      </c>
      <c r="AI178" s="1">
        <f>SUMIFS(
  '[1]Hoja 1'!$M:$M,
  '[1]Hoja 1'!$S:$S, $A178,
  '[1]Hoja 1'!$R:$R, "&gt;="&amp;INT($AK$1),
  '[1]Hoja 1'!$R:$R, "&lt;"&amp;INT($AJ$1+1)
)</f>
        <v>0</v>
      </c>
      <c r="AJ178" s="1">
        <f t="shared" si="81"/>
        <v>0</v>
      </c>
      <c r="AK178" s="9">
        <f t="shared" si="82"/>
        <v>0</v>
      </c>
      <c r="AL178" s="10">
        <f t="shared" si="83"/>
        <v>0</v>
      </c>
      <c r="AM178" s="1">
        <f>SUMIFS(
  '[1]Hoja 1'!$M:$M,
  '[1]Hoja 1'!$S:$S, $A178,
  '[1]Hoja 1'!$R:$R, "&gt;="&amp;INT($AO$1),
  '[1]Hoja 1'!$R:$R, "&lt;"&amp;INT($AP$1+1)
)</f>
        <v>0</v>
      </c>
      <c r="AN178" s="1">
        <f t="shared" si="84"/>
        <v>0</v>
      </c>
      <c r="AO178" s="9">
        <f t="shared" si="85"/>
        <v>0</v>
      </c>
      <c r="AP178" s="10">
        <f t="shared" si="86"/>
        <v>0</v>
      </c>
      <c r="AQ178" s="1">
        <f>SUMIFS(
  '[1]Hoja 1'!$M:$M,
  '[1]Hoja 1'!$S:$S, $A178,
  '[1]Hoja 1'!$R:$R, "&gt;="&amp;INT($AS$1),
  '[1]Hoja 1'!$R:$R, "&lt;"&amp;INT($AT$1+1)
)</f>
        <v>0</v>
      </c>
      <c r="AR178" s="1">
        <f t="shared" si="87"/>
        <v>0</v>
      </c>
      <c r="AS178" s="9">
        <f t="shared" si="88"/>
        <v>0</v>
      </c>
      <c r="AT178" s="10">
        <f t="shared" si="89"/>
        <v>0</v>
      </c>
      <c r="AU178" s="1">
        <f>SUMIFS(
  '[1]Hoja 1'!$M:$M,
  '[1]Hoja 1'!$S:$S, $A178,
  '[1]Hoja 1'!$R:$R, "&gt;="&amp;INT($AW$1),
  '[1]Hoja 1'!$R:$R, "&lt;"&amp;INT($AX$1+1)
)</f>
        <v>0</v>
      </c>
      <c r="AV178" s="1">
        <f t="shared" si="90"/>
        <v>0</v>
      </c>
      <c r="AW178" s="9">
        <f t="shared" si="91"/>
        <v>0</v>
      </c>
      <c r="AX178" s="10">
        <f t="shared" si="92"/>
        <v>0</v>
      </c>
    </row>
    <row r="179" spans="1:50" x14ac:dyDescent="0.25">
      <c r="A179" s="5">
        <v>231003</v>
      </c>
      <c r="B179" s="6" t="s">
        <v>176</v>
      </c>
      <c r="C179" s="1">
        <f>SUMIFS(
  '[1]Hoja 1'!$M:$M,
  '[1]Hoja 1'!$S:$S, $A179,
  '[1]Hoja 1'!$R:$R, "&gt;="&amp;INT($E$1),
  '[1]Hoja 1'!$R:$R, "&lt;"&amp;INT($F$1+1)
)</f>
        <v>0</v>
      </c>
      <c r="D179" s="1" t="str">
        <f>""</f>
        <v/>
      </c>
      <c r="F179" s="2"/>
      <c r="G179" s="1">
        <f>SUMIFS(
  '[1]Hoja 1'!$M:$M,
  '[1]Hoja 1'!$S:$S, $A179,
  '[1]Hoja 1'!$R:$R, "&gt;="&amp;INT($I$1),
  '[1]Hoja 1'!$R:$R, "&lt;"&amp;INT($J$1+1)
)</f>
        <v>0</v>
      </c>
      <c r="H179" s="1">
        <f t="shared" si="62"/>
        <v>0</v>
      </c>
      <c r="I179" s="1"/>
      <c r="J179" s="2"/>
      <c r="K179" s="1">
        <f>SUMIFS(
  '[1]Hoja 1'!$M:$M,
  '[1]Hoja 1'!$S:$S, $A179,
  '[1]Hoja 1'!$R:$R, "&gt;="&amp;INT($M$1),
  '[1]Hoja 1'!$R:$R, "&lt;"&amp;INT($N$1+1)
)</f>
        <v>0</v>
      </c>
      <c r="L179" s="1">
        <f t="shared" si="63"/>
        <v>0</v>
      </c>
      <c r="M179" s="9">
        <f t="shared" si="64"/>
        <v>0</v>
      </c>
      <c r="N179" s="10">
        <f t="shared" si="65"/>
        <v>0</v>
      </c>
      <c r="O179" s="1">
        <f>SUMIFS(
  '[1]Hoja 1'!$M:$M,
  '[1]Hoja 1'!$S:$S, $A179,
  '[1]Hoja 1'!$R:$R, "&gt;="&amp;INT($Q$1),
  '[1]Hoja 1'!$R:$R, "&lt;"&amp;INT($R$1+1)
)</f>
        <v>0</v>
      </c>
      <c r="P179" s="1">
        <f t="shared" si="66"/>
        <v>0</v>
      </c>
      <c r="Q179" s="9">
        <f t="shared" si="67"/>
        <v>0</v>
      </c>
      <c r="R179" s="10">
        <f t="shared" si="68"/>
        <v>0</v>
      </c>
      <c r="S179" s="1">
        <f>SUMIFS(
  '[1]Hoja 1'!$M:$M,
  '[1]Hoja 1'!$S:$S, $A179,
  '[1]Hoja 1'!$R:$R, "&gt;="&amp;INT($U$1),
  '[1]Hoja 1'!$R:$R, "&lt;"&amp;INT($V$1+1)
)</f>
        <v>0</v>
      </c>
      <c r="T179" s="1">
        <f t="shared" si="69"/>
        <v>0</v>
      </c>
      <c r="U179" s="9">
        <f t="shared" si="70"/>
        <v>-1.47</v>
      </c>
      <c r="V179" s="10">
        <f t="shared" si="71"/>
        <v>1.47</v>
      </c>
      <c r="W179" s="1">
        <f>SUMIFS(
  '[1]Hoja 1'!$M:$M,
  '[1]Hoja 1'!$S:$S, $A179,
  '[1]Hoja 1'!$R:$R, "&gt;="&amp;INT($Y$1),
  '[1]Hoja 1'!$R:$R, "&lt;"&amp;INT($Z$1+1)
)</f>
        <v>0</v>
      </c>
      <c r="X179" s="1">
        <f t="shared" si="72"/>
        <v>0</v>
      </c>
      <c r="Y179" s="9">
        <f t="shared" si="73"/>
        <v>0</v>
      </c>
      <c r="Z179" s="10">
        <f t="shared" si="74"/>
        <v>0</v>
      </c>
      <c r="AA179" s="1">
        <f>SUMIFS(
  '[1]Hoja 1'!$M:$M,
  '[1]Hoja 1'!$S:$S, $A179,
  '[1]Hoja 1'!$R:$R, "&gt;="&amp;INT($AC$1),
  '[1]Hoja 1'!$R:$R, "&lt;"&amp;INT($AD$1+1)
)</f>
        <v>0</v>
      </c>
      <c r="AB179" s="1">
        <f t="shared" si="75"/>
        <v>0</v>
      </c>
      <c r="AC179" s="9">
        <f t="shared" si="76"/>
        <v>0</v>
      </c>
      <c r="AD179" s="10">
        <f t="shared" si="77"/>
        <v>0</v>
      </c>
      <c r="AE179" s="1">
        <f>SUMIFS(
  '[1]Hoja 1'!$M:$M,
  '[1]Hoja 1'!$S:$S, $A179,
  '[1]Hoja 1'!$R:$R, "&gt;="&amp;INT($AG$1),
  '[1]Hoja 1'!$R:$R, "&lt;"&amp;INT($AH$1+1)
)</f>
        <v>0</v>
      </c>
      <c r="AF179" s="1">
        <f t="shared" si="78"/>
        <v>0</v>
      </c>
      <c r="AG179" s="9">
        <f t="shared" si="79"/>
        <v>0</v>
      </c>
      <c r="AH179" s="10">
        <f t="shared" si="80"/>
        <v>0</v>
      </c>
      <c r="AI179" s="1">
        <f>SUMIFS(
  '[1]Hoja 1'!$M:$M,
  '[1]Hoja 1'!$S:$S, $A179,
  '[1]Hoja 1'!$R:$R, "&gt;="&amp;INT($AK$1),
  '[1]Hoja 1'!$R:$R, "&lt;"&amp;INT($AJ$1+1)
)</f>
        <v>0</v>
      </c>
      <c r="AJ179" s="1">
        <f t="shared" si="81"/>
        <v>0</v>
      </c>
      <c r="AK179" s="9">
        <f t="shared" si="82"/>
        <v>0</v>
      </c>
      <c r="AL179" s="10">
        <f t="shared" si="83"/>
        <v>0</v>
      </c>
      <c r="AM179" s="1">
        <f>SUMIFS(
  '[1]Hoja 1'!$M:$M,
  '[1]Hoja 1'!$S:$S, $A179,
  '[1]Hoja 1'!$R:$R, "&gt;="&amp;INT($AO$1),
  '[1]Hoja 1'!$R:$R, "&lt;"&amp;INT($AP$1+1)
)</f>
        <v>0</v>
      </c>
      <c r="AN179" s="1">
        <f t="shared" si="84"/>
        <v>0</v>
      </c>
      <c r="AO179" s="9">
        <f t="shared" si="85"/>
        <v>0</v>
      </c>
      <c r="AP179" s="10">
        <f t="shared" si="86"/>
        <v>0</v>
      </c>
      <c r="AQ179" s="1">
        <f>SUMIFS(
  '[1]Hoja 1'!$M:$M,
  '[1]Hoja 1'!$S:$S, $A179,
  '[1]Hoja 1'!$R:$R, "&gt;="&amp;INT($AS$1),
  '[1]Hoja 1'!$R:$R, "&lt;"&amp;INT($AT$1+1)
)</f>
        <v>0</v>
      </c>
      <c r="AR179" s="1">
        <f t="shared" si="87"/>
        <v>0</v>
      </c>
      <c r="AS179" s="9">
        <f t="shared" si="88"/>
        <v>0</v>
      </c>
      <c r="AT179" s="10">
        <f t="shared" si="89"/>
        <v>0</v>
      </c>
      <c r="AU179" s="1">
        <f>SUMIFS(
  '[1]Hoja 1'!$M:$M,
  '[1]Hoja 1'!$S:$S, $A179,
  '[1]Hoja 1'!$R:$R, "&gt;="&amp;INT($AW$1),
  '[1]Hoja 1'!$R:$R, "&lt;"&amp;INT($AX$1+1)
)</f>
        <v>0</v>
      </c>
      <c r="AV179" s="1">
        <f t="shared" si="90"/>
        <v>0</v>
      </c>
      <c r="AW179" s="9">
        <f t="shared" si="91"/>
        <v>0</v>
      </c>
      <c r="AX179" s="10">
        <f t="shared" si="92"/>
        <v>0</v>
      </c>
    </row>
    <row r="180" spans="1:50" x14ac:dyDescent="0.25">
      <c r="A180" s="5">
        <v>231004</v>
      </c>
      <c r="B180" s="6" t="s">
        <v>177</v>
      </c>
      <c r="C180" s="1">
        <f>SUMIFS(
  '[1]Hoja 1'!$M:$M,
  '[1]Hoja 1'!$S:$S, $A180,
  '[1]Hoja 1'!$R:$R, "&gt;="&amp;INT($E$1),
  '[1]Hoja 1'!$R:$R, "&lt;"&amp;INT($F$1+1)
)</f>
        <v>14</v>
      </c>
      <c r="D180" s="1" t="str">
        <f>""</f>
        <v/>
      </c>
      <c r="F180" s="2"/>
      <c r="G180" s="1">
        <f>SUMIFS(
  '[1]Hoja 1'!$M:$M,
  '[1]Hoja 1'!$S:$S, $A180,
  '[1]Hoja 1'!$R:$R, "&gt;="&amp;INT($I$1),
  '[1]Hoja 1'!$R:$R, "&lt;"&amp;INT($J$1+1)
)</f>
        <v>5</v>
      </c>
      <c r="H180" s="1">
        <f t="shared" si="62"/>
        <v>10</v>
      </c>
      <c r="I180" s="1"/>
      <c r="J180" s="2"/>
      <c r="K180" s="1">
        <f>SUMIFS(
  '[1]Hoja 1'!$M:$M,
  '[1]Hoja 1'!$S:$S, $A180,
  '[1]Hoja 1'!$R:$R, "&gt;="&amp;INT($M$1),
  '[1]Hoja 1'!$R:$R, "&lt;"&amp;INT($N$1+1)
)</f>
        <v>0</v>
      </c>
      <c r="L180" s="1">
        <f t="shared" si="63"/>
        <v>2.5</v>
      </c>
      <c r="M180" s="9">
        <f t="shared" si="64"/>
        <v>-0.27185858225126625</v>
      </c>
      <c r="N180" s="10">
        <f t="shared" si="65"/>
        <v>5.2718585822512658</v>
      </c>
      <c r="O180" s="1">
        <f>SUMIFS(
  '[1]Hoja 1'!$M:$M,
  '[1]Hoja 1'!$S:$S, $A180,
  '[1]Hoja 1'!$R:$R, "&gt;="&amp;INT($Q$1),
  '[1]Hoja 1'!$R:$R, "&lt;"&amp;INT($R$1+1)
)</f>
        <v>0</v>
      </c>
      <c r="P180" s="1">
        <f t="shared" si="66"/>
        <v>0</v>
      </c>
      <c r="Q180" s="9">
        <f t="shared" si="67"/>
        <v>-4.4190647577664359</v>
      </c>
      <c r="R180" s="10">
        <f t="shared" si="68"/>
        <v>4.4190647577664359</v>
      </c>
      <c r="S180" s="1">
        <f>SUMIFS(
  '[1]Hoja 1'!$M:$M,
  '[1]Hoja 1'!$S:$S, $A180,
  '[1]Hoja 1'!$R:$R, "&gt;="&amp;INT($U$1),
  '[1]Hoja 1'!$R:$R, "&lt;"&amp;INT($V$1+1)
)</f>
        <v>0</v>
      </c>
      <c r="T180" s="1">
        <f t="shared" si="69"/>
        <v>0</v>
      </c>
      <c r="U180" s="9">
        <f t="shared" si="70"/>
        <v>-3.6994188732826672</v>
      </c>
      <c r="V180" s="10">
        <f t="shared" si="71"/>
        <v>3.6994188732826672</v>
      </c>
      <c r="W180" s="1">
        <f>SUMIFS(
  '[1]Hoja 1'!$M:$M,
  '[1]Hoja 1'!$S:$S, $A180,
  '[1]Hoja 1'!$R:$R, "&gt;="&amp;INT($Y$1),
  '[1]Hoja 1'!$R:$R, "&lt;"&amp;INT($Z$1+1)
)</f>
        <v>0</v>
      </c>
      <c r="X180" s="1">
        <f t="shared" si="72"/>
        <v>0</v>
      </c>
      <c r="Y180" s="9">
        <f t="shared" si="73"/>
        <v>-4.0048320813737002</v>
      </c>
      <c r="Z180" s="10">
        <f t="shared" si="74"/>
        <v>4.0048320813737002</v>
      </c>
      <c r="AA180" s="1">
        <f>SUMIFS(
  '[1]Hoja 1'!$M:$M,
  '[1]Hoja 1'!$S:$S, $A180,
  '[1]Hoja 1'!$R:$R, "&gt;="&amp;INT($AC$1),
  '[1]Hoja 1'!$R:$R, "&lt;"&amp;INT($AD$1+1)
)</f>
        <v>0</v>
      </c>
      <c r="AB180" s="1">
        <f t="shared" si="75"/>
        <v>0</v>
      </c>
      <c r="AC180" s="9">
        <f t="shared" si="76"/>
        <v>-3.7531142624048455</v>
      </c>
      <c r="AD180" s="10">
        <f t="shared" si="77"/>
        <v>3.7531142624048455</v>
      </c>
      <c r="AE180" s="1">
        <f>SUMIFS(
  '[1]Hoja 1'!$M:$M,
  '[1]Hoja 1'!$S:$S, $A180,
  '[1]Hoja 1'!$R:$R, "&gt;="&amp;INT($AG$1),
  '[1]Hoja 1'!$R:$R, "&lt;"&amp;INT($AH$1+1)
)</f>
        <v>0</v>
      </c>
      <c r="AF180" s="1">
        <f t="shared" si="78"/>
        <v>0</v>
      </c>
      <c r="AG180" s="9">
        <f t="shared" si="79"/>
        <v>-3.5334402499547091</v>
      </c>
      <c r="AH180" s="10">
        <f t="shared" si="80"/>
        <v>3.5334402499547091</v>
      </c>
      <c r="AI180" s="1">
        <f>SUMIFS(
  '[1]Hoja 1'!$M:$M,
  '[1]Hoja 1'!$S:$S, $A180,
  '[1]Hoja 1'!$R:$R, "&gt;="&amp;INT($AK$1),
  '[1]Hoja 1'!$R:$R, "&lt;"&amp;INT($AJ$1+1)
)</f>
        <v>0</v>
      </c>
      <c r="AJ180" s="1">
        <f t="shared" si="81"/>
        <v>0</v>
      </c>
      <c r="AK180" s="9">
        <f t="shared" si="82"/>
        <v>-3.3439198554989322</v>
      </c>
      <c r="AL180" s="10">
        <f t="shared" si="83"/>
        <v>3.3439198554989322</v>
      </c>
      <c r="AM180" s="1">
        <f>SUMIFS(
  '[1]Hoja 1'!$M:$M,
  '[1]Hoja 1'!$S:$S, $A180,
  '[1]Hoja 1'!$R:$R, "&gt;="&amp;INT($AO$1),
  '[1]Hoja 1'!$R:$R, "&lt;"&amp;INT($AP$1+1)
)</f>
        <v>0</v>
      </c>
      <c r="AN180" s="1">
        <f t="shared" si="84"/>
        <v>0</v>
      </c>
      <c r="AO180" s="9">
        <f t="shared" si="85"/>
        <v>-3.1797606478755251</v>
      </c>
      <c r="AP180" s="10">
        <f t="shared" si="86"/>
        <v>3.1797606478755251</v>
      </c>
      <c r="AQ180" s="1">
        <f>SUMIFS(
  '[1]Hoja 1'!$M:$M,
  '[1]Hoja 1'!$S:$S, $A180,
  '[1]Hoja 1'!$R:$R, "&gt;="&amp;INT($AS$1),
  '[1]Hoja 1'!$R:$R, "&lt;"&amp;INT($AT$1+1)
)</f>
        <v>0</v>
      </c>
      <c r="AR180" s="1">
        <f t="shared" si="87"/>
        <v>0</v>
      </c>
      <c r="AS180" s="9">
        <f t="shared" si="88"/>
        <v>-3.0364189434266149</v>
      </c>
      <c r="AT180" s="10">
        <f t="shared" si="89"/>
        <v>3.0364189434266149</v>
      </c>
      <c r="AU180" s="1">
        <f>SUMIFS(
  '[1]Hoja 1'!$M:$M,
  '[1]Hoja 1'!$S:$S, $A180,
  '[1]Hoja 1'!$R:$R, "&gt;="&amp;INT($AW$1),
  '[1]Hoja 1'!$R:$R, "&lt;"&amp;INT($AX$1+1)
)</f>
        <v>0</v>
      </c>
      <c r="AV180" s="1">
        <f t="shared" si="90"/>
        <v>0</v>
      </c>
      <c r="AW180" s="9">
        <f t="shared" si="91"/>
        <v>-2.9101515112072462</v>
      </c>
      <c r="AX180" s="10">
        <f t="shared" si="92"/>
        <v>2.9101515112072462</v>
      </c>
    </row>
    <row r="181" spans="1:50" x14ac:dyDescent="0.25">
      <c r="A181" s="5">
        <v>231005</v>
      </c>
      <c r="B181" s="6" t="s">
        <v>178</v>
      </c>
      <c r="C181" s="1">
        <f>SUMIFS(
  '[1]Hoja 1'!$M:$M,
  '[1]Hoja 1'!$S:$S, $A181,
  '[1]Hoja 1'!$R:$R, "&gt;="&amp;INT($E$1),
  '[1]Hoja 1'!$R:$R, "&lt;"&amp;INT($F$1+1)
)</f>
        <v>0</v>
      </c>
      <c r="D181" s="1" t="str">
        <f>""</f>
        <v/>
      </c>
      <c r="F181" s="2"/>
      <c r="G181" s="1">
        <f>SUMIFS(
  '[1]Hoja 1'!$M:$M,
  '[1]Hoja 1'!$S:$S, $A181,
  '[1]Hoja 1'!$R:$R, "&gt;="&amp;INT($I$1),
  '[1]Hoja 1'!$R:$R, "&lt;"&amp;INT($J$1+1)
)</f>
        <v>0</v>
      </c>
      <c r="H181" s="1">
        <f t="shared" si="62"/>
        <v>0</v>
      </c>
      <c r="I181" s="1"/>
      <c r="J181" s="2"/>
      <c r="K181" s="1">
        <f>SUMIFS(
  '[1]Hoja 1'!$M:$M,
  '[1]Hoja 1'!$S:$S, $A181,
  '[1]Hoja 1'!$R:$R, "&gt;="&amp;INT($M$1),
  '[1]Hoja 1'!$R:$R, "&lt;"&amp;INT($N$1+1)
)</f>
        <v>0</v>
      </c>
      <c r="L181" s="1">
        <f t="shared" si="63"/>
        <v>0</v>
      </c>
      <c r="M181" s="9">
        <f t="shared" si="64"/>
        <v>0</v>
      </c>
      <c r="N181" s="10">
        <f t="shared" si="65"/>
        <v>0</v>
      </c>
      <c r="O181" s="1">
        <f>SUMIFS(
  '[1]Hoja 1'!$M:$M,
  '[1]Hoja 1'!$S:$S, $A181,
  '[1]Hoja 1'!$R:$R, "&gt;="&amp;INT($Q$1),
  '[1]Hoja 1'!$R:$R, "&lt;"&amp;INT($R$1+1)
)</f>
        <v>0</v>
      </c>
      <c r="P181" s="1">
        <f t="shared" si="66"/>
        <v>0</v>
      </c>
      <c r="Q181" s="9">
        <f t="shared" si="67"/>
        <v>0</v>
      </c>
      <c r="R181" s="10">
        <f t="shared" si="68"/>
        <v>0</v>
      </c>
      <c r="S181" s="1">
        <f>SUMIFS(
  '[1]Hoja 1'!$M:$M,
  '[1]Hoja 1'!$S:$S, $A181,
  '[1]Hoja 1'!$R:$R, "&gt;="&amp;INT($U$1),
  '[1]Hoja 1'!$R:$R, "&lt;"&amp;INT($V$1+1)
)</f>
        <v>0</v>
      </c>
      <c r="T181" s="1">
        <f t="shared" si="69"/>
        <v>0</v>
      </c>
      <c r="U181" s="9">
        <f t="shared" si="70"/>
        <v>-1.47</v>
      </c>
      <c r="V181" s="10">
        <f t="shared" si="71"/>
        <v>1.47</v>
      </c>
      <c r="W181" s="1">
        <f>SUMIFS(
  '[1]Hoja 1'!$M:$M,
  '[1]Hoja 1'!$S:$S, $A181,
  '[1]Hoja 1'!$R:$R, "&gt;="&amp;INT($Y$1),
  '[1]Hoja 1'!$R:$R, "&lt;"&amp;INT($Z$1+1)
)</f>
        <v>0</v>
      </c>
      <c r="X181" s="1">
        <f t="shared" si="72"/>
        <v>0</v>
      </c>
      <c r="Y181" s="9">
        <f t="shared" si="73"/>
        <v>0</v>
      </c>
      <c r="Z181" s="10">
        <f t="shared" si="74"/>
        <v>0</v>
      </c>
      <c r="AA181" s="1">
        <f>SUMIFS(
  '[1]Hoja 1'!$M:$M,
  '[1]Hoja 1'!$S:$S, $A181,
  '[1]Hoja 1'!$R:$R, "&gt;="&amp;INT($AC$1),
  '[1]Hoja 1'!$R:$R, "&lt;"&amp;INT($AD$1+1)
)</f>
        <v>0</v>
      </c>
      <c r="AB181" s="1">
        <f t="shared" si="75"/>
        <v>0</v>
      </c>
      <c r="AC181" s="9">
        <f t="shared" si="76"/>
        <v>0</v>
      </c>
      <c r="AD181" s="10">
        <f t="shared" si="77"/>
        <v>0</v>
      </c>
      <c r="AE181" s="1">
        <f>SUMIFS(
  '[1]Hoja 1'!$M:$M,
  '[1]Hoja 1'!$S:$S, $A181,
  '[1]Hoja 1'!$R:$R, "&gt;="&amp;INT($AG$1),
  '[1]Hoja 1'!$R:$R, "&lt;"&amp;INT($AH$1+1)
)</f>
        <v>0</v>
      </c>
      <c r="AF181" s="1">
        <f t="shared" si="78"/>
        <v>0</v>
      </c>
      <c r="AG181" s="9">
        <f t="shared" si="79"/>
        <v>0</v>
      </c>
      <c r="AH181" s="10">
        <f t="shared" si="80"/>
        <v>0</v>
      </c>
      <c r="AI181" s="1">
        <f>SUMIFS(
  '[1]Hoja 1'!$M:$M,
  '[1]Hoja 1'!$S:$S, $A181,
  '[1]Hoja 1'!$R:$R, "&gt;="&amp;INT($AK$1),
  '[1]Hoja 1'!$R:$R, "&lt;"&amp;INT($AJ$1+1)
)</f>
        <v>0</v>
      </c>
      <c r="AJ181" s="1">
        <f t="shared" si="81"/>
        <v>0</v>
      </c>
      <c r="AK181" s="9">
        <f t="shared" si="82"/>
        <v>0</v>
      </c>
      <c r="AL181" s="10">
        <f t="shared" si="83"/>
        <v>0</v>
      </c>
      <c r="AM181" s="1">
        <f>SUMIFS(
  '[1]Hoja 1'!$M:$M,
  '[1]Hoja 1'!$S:$S, $A181,
  '[1]Hoja 1'!$R:$R, "&gt;="&amp;INT($AO$1),
  '[1]Hoja 1'!$R:$R, "&lt;"&amp;INT($AP$1+1)
)</f>
        <v>0</v>
      </c>
      <c r="AN181" s="1">
        <f t="shared" si="84"/>
        <v>0</v>
      </c>
      <c r="AO181" s="9">
        <f t="shared" si="85"/>
        <v>0</v>
      </c>
      <c r="AP181" s="10">
        <f t="shared" si="86"/>
        <v>0</v>
      </c>
      <c r="AQ181" s="1">
        <f>SUMIFS(
  '[1]Hoja 1'!$M:$M,
  '[1]Hoja 1'!$S:$S, $A181,
  '[1]Hoja 1'!$R:$R, "&gt;="&amp;INT($AS$1),
  '[1]Hoja 1'!$R:$R, "&lt;"&amp;INT($AT$1+1)
)</f>
        <v>0</v>
      </c>
      <c r="AR181" s="1">
        <f t="shared" si="87"/>
        <v>0</v>
      </c>
      <c r="AS181" s="9">
        <f t="shared" si="88"/>
        <v>0</v>
      </c>
      <c r="AT181" s="10">
        <f t="shared" si="89"/>
        <v>0</v>
      </c>
      <c r="AU181" s="1">
        <f>SUMIFS(
  '[1]Hoja 1'!$M:$M,
  '[1]Hoja 1'!$S:$S, $A181,
  '[1]Hoja 1'!$R:$R, "&gt;="&amp;INT($AW$1),
  '[1]Hoja 1'!$R:$R, "&lt;"&amp;INT($AX$1+1)
)</f>
        <v>0</v>
      </c>
      <c r="AV181" s="1">
        <f t="shared" si="90"/>
        <v>0</v>
      </c>
      <c r="AW181" s="9">
        <f t="shared" si="91"/>
        <v>0</v>
      </c>
      <c r="AX181" s="10">
        <f t="shared" si="92"/>
        <v>0</v>
      </c>
    </row>
    <row r="182" spans="1:50" x14ac:dyDescent="0.25">
      <c r="A182" s="5">
        <v>231006</v>
      </c>
      <c r="B182" s="6" t="s">
        <v>179</v>
      </c>
      <c r="C182" s="1">
        <f>SUMIFS(
  '[1]Hoja 1'!$M:$M,
  '[1]Hoja 1'!$S:$S, $A182,
  '[1]Hoja 1'!$R:$R, "&gt;="&amp;INT($E$1),
  '[1]Hoja 1'!$R:$R, "&lt;"&amp;INT($F$1+1)
)</f>
        <v>7</v>
      </c>
      <c r="D182" s="1" t="str">
        <f>""</f>
        <v/>
      </c>
      <c r="F182" s="2"/>
      <c r="G182" s="1">
        <f>SUMIFS(
  '[1]Hoja 1'!$M:$M,
  '[1]Hoja 1'!$S:$S, $A182,
  '[1]Hoja 1'!$R:$R, "&gt;="&amp;INT($I$1),
  '[1]Hoja 1'!$R:$R, "&lt;"&amp;INT($J$1+1)
)</f>
        <v>0</v>
      </c>
      <c r="H182" s="1">
        <f t="shared" si="62"/>
        <v>4</v>
      </c>
      <c r="I182" s="1"/>
      <c r="J182" s="2"/>
      <c r="K182" s="1">
        <f>SUMIFS(
  '[1]Hoja 1'!$M:$M,
  '[1]Hoja 1'!$S:$S, $A182,
  '[1]Hoja 1'!$R:$R, "&gt;="&amp;INT($M$1),
  '[1]Hoja 1'!$R:$R, "&lt;"&amp;INT($N$1+1)
)</f>
        <v>0</v>
      </c>
      <c r="L182" s="1">
        <f t="shared" si="63"/>
        <v>0</v>
      </c>
      <c r="M182" s="9">
        <f t="shared" si="64"/>
        <v>-4.850752518939716</v>
      </c>
      <c r="N182" s="10">
        <f t="shared" si="65"/>
        <v>4.850752518939716</v>
      </c>
      <c r="O182" s="1">
        <f>SUMIFS(
  '[1]Hoja 1'!$M:$M,
  '[1]Hoja 1'!$S:$S, $A182,
  '[1]Hoja 1'!$R:$R, "&gt;="&amp;INT($Q$1),
  '[1]Hoja 1'!$R:$R, "&lt;"&amp;INT($R$1+1)
)</f>
        <v>0</v>
      </c>
      <c r="P182" s="1">
        <f t="shared" si="66"/>
        <v>0</v>
      </c>
      <c r="Q182" s="9">
        <f t="shared" si="67"/>
        <v>-3.9606228466408329</v>
      </c>
      <c r="R182" s="10">
        <f t="shared" si="68"/>
        <v>3.9606228466408329</v>
      </c>
      <c r="S182" s="1">
        <f>SUMIFS(
  '[1]Hoja 1'!$M:$M,
  '[1]Hoja 1'!$S:$S, $A182,
  '[1]Hoja 1'!$R:$R, "&gt;="&amp;INT($U$1),
  '[1]Hoja 1'!$R:$R, "&lt;"&amp;INT($V$1+1)
)</f>
        <v>0</v>
      </c>
      <c r="T182" s="1">
        <f t="shared" si="69"/>
        <v>0</v>
      </c>
      <c r="U182" s="9">
        <f t="shared" si="70"/>
        <v>-3.2502922945482919</v>
      </c>
      <c r="V182" s="10">
        <f t="shared" si="71"/>
        <v>3.2502922945482919</v>
      </c>
      <c r="W182" s="1">
        <f>SUMIFS(
  '[1]Hoja 1'!$M:$M,
  '[1]Hoja 1'!$S:$S, $A182,
  '[1]Hoja 1'!$R:$R, "&gt;="&amp;INT($Y$1),
  '[1]Hoja 1'!$R:$R, "&lt;"&amp;INT($Z$1+1)
)</f>
        <v>0</v>
      </c>
      <c r="X182" s="1">
        <f t="shared" si="72"/>
        <v>0</v>
      </c>
      <c r="Y182" s="9">
        <f t="shared" si="73"/>
        <v>-3.0678852651297115</v>
      </c>
      <c r="Z182" s="10">
        <f t="shared" si="74"/>
        <v>3.0678852651297115</v>
      </c>
      <c r="AA182" s="1">
        <f>SUMIFS(
  '[1]Hoja 1'!$M:$M,
  '[1]Hoja 1'!$S:$S, $A182,
  '[1]Hoja 1'!$R:$R, "&gt;="&amp;INT($AC$1),
  '[1]Hoja 1'!$R:$R, "&lt;"&amp;INT($AD$1+1)
)</f>
        <v>0</v>
      </c>
      <c r="AB182" s="1">
        <f t="shared" si="75"/>
        <v>0</v>
      </c>
      <c r="AC182" s="9">
        <f t="shared" si="76"/>
        <v>-2.8005832725821005</v>
      </c>
      <c r="AD182" s="10">
        <f t="shared" si="77"/>
        <v>2.8005832725821005</v>
      </c>
      <c r="AE182" s="1">
        <f>SUMIFS(
  '[1]Hoja 1'!$M:$M,
  '[1]Hoja 1'!$S:$S, $A182,
  '[1]Hoja 1'!$R:$R, "&gt;="&amp;INT($AG$1),
  '[1]Hoja 1'!$R:$R, "&lt;"&amp;INT($AH$1+1)
)</f>
        <v>0</v>
      </c>
      <c r="AF182" s="1">
        <f t="shared" si="78"/>
        <v>0</v>
      </c>
      <c r="AG182" s="9">
        <f t="shared" si="79"/>
        <v>-2.5928362848432989</v>
      </c>
      <c r="AH182" s="10">
        <f t="shared" si="80"/>
        <v>2.5928362848432989</v>
      </c>
      <c r="AI182" s="1">
        <f>SUMIFS(
  '[1]Hoja 1'!$M:$M,
  '[1]Hoja 1'!$S:$S, $A182,
  '[1]Hoja 1'!$R:$R, "&gt;="&amp;INT($AK$1),
  '[1]Hoja 1'!$R:$R, "&lt;"&amp;INT($AJ$1+1)
)</f>
        <v>0</v>
      </c>
      <c r="AJ182" s="1">
        <f t="shared" si="81"/>
        <v>0</v>
      </c>
      <c r="AK182" s="9">
        <f t="shared" si="82"/>
        <v>-2.425376259469858</v>
      </c>
      <c r="AL182" s="10">
        <f t="shared" si="83"/>
        <v>2.425376259469858</v>
      </c>
      <c r="AM182" s="1">
        <f>SUMIFS(
  '[1]Hoja 1'!$M:$M,
  '[1]Hoja 1'!$S:$S, $A182,
  '[1]Hoja 1'!$R:$R, "&gt;="&amp;INT($AO$1),
  '[1]Hoja 1'!$R:$R, "&lt;"&amp;INT($AP$1+1)
)</f>
        <v>0</v>
      </c>
      <c r="AN182" s="1">
        <f t="shared" si="84"/>
        <v>0</v>
      </c>
      <c r="AO182" s="9">
        <f t="shared" si="85"/>
        <v>-2.2866666666666666</v>
      </c>
      <c r="AP182" s="10">
        <f t="shared" si="86"/>
        <v>2.2866666666666666</v>
      </c>
      <c r="AQ182" s="1">
        <f>SUMIFS(
  '[1]Hoja 1'!$M:$M,
  '[1]Hoja 1'!$S:$S, $A182,
  '[1]Hoja 1'!$R:$R, "&gt;="&amp;INT($AS$1),
  '[1]Hoja 1'!$R:$R, "&lt;"&amp;INT($AT$1+1)
)</f>
        <v>0</v>
      </c>
      <c r="AR182" s="1">
        <f t="shared" si="87"/>
        <v>0</v>
      </c>
      <c r="AS182" s="9">
        <f t="shared" si="88"/>
        <v>-2.169322474875508</v>
      </c>
      <c r="AT182" s="10">
        <f t="shared" si="89"/>
        <v>2.169322474875508</v>
      </c>
      <c r="AU182" s="1">
        <f>SUMIFS(
  '[1]Hoja 1'!$M:$M,
  '[1]Hoja 1'!$S:$S, $A182,
  '[1]Hoja 1'!$R:$R, "&gt;="&amp;INT($AW$1),
  '[1]Hoja 1'!$R:$R, "&lt;"&amp;INT($AX$1+1)
)</f>
        <v>0</v>
      </c>
      <c r="AV182" s="1">
        <f t="shared" si="90"/>
        <v>0</v>
      </c>
      <c r="AW182" s="9">
        <f t="shared" si="91"/>
        <v>-2.0683678238034582</v>
      </c>
      <c r="AX182" s="10">
        <f t="shared" si="92"/>
        <v>2.0683678238034582</v>
      </c>
    </row>
    <row r="183" spans="1:50" x14ac:dyDescent="0.25">
      <c r="A183" s="5">
        <v>231007</v>
      </c>
      <c r="B183" s="6" t="s">
        <v>180</v>
      </c>
      <c r="C183" s="1">
        <f>SUMIFS(
  '[1]Hoja 1'!$M:$M,
  '[1]Hoja 1'!$S:$S, $A183,
  '[1]Hoja 1'!$R:$R, "&gt;="&amp;INT($E$1),
  '[1]Hoja 1'!$R:$R, "&lt;"&amp;INT($F$1+1)
)</f>
        <v>0</v>
      </c>
      <c r="D183" s="1" t="str">
        <f>""</f>
        <v/>
      </c>
      <c r="F183" s="2"/>
      <c r="G183" s="1">
        <f>SUMIFS(
  '[1]Hoja 1'!$M:$M,
  '[1]Hoja 1'!$S:$S, $A183,
  '[1]Hoja 1'!$R:$R, "&gt;="&amp;INT($I$1),
  '[1]Hoja 1'!$R:$R, "&lt;"&amp;INT($J$1+1)
)</f>
        <v>0</v>
      </c>
      <c r="H183" s="1">
        <f t="shared" si="62"/>
        <v>0</v>
      </c>
      <c r="I183" s="1"/>
      <c r="J183" s="2"/>
      <c r="K183" s="1">
        <f>SUMIFS(
  '[1]Hoja 1'!$M:$M,
  '[1]Hoja 1'!$S:$S, $A183,
  '[1]Hoja 1'!$R:$R, "&gt;="&amp;INT($M$1),
  '[1]Hoja 1'!$R:$R, "&lt;"&amp;INT($N$1+1)
)</f>
        <v>0</v>
      </c>
      <c r="L183" s="1">
        <f t="shared" si="63"/>
        <v>0</v>
      </c>
      <c r="M183" s="9">
        <f t="shared" si="64"/>
        <v>0</v>
      </c>
      <c r="N183" s="10">
        <f t="shared" si="65"/>
        <v>0</v>
      </c>
      <c r="O183" s="1">
        <f>SUMIFS(
  '[1]Hoja 1'!$M:$M,
  '[1]Hoja 1'!$S:$S, $A183,
  '[1]Hoja 1'!$R:$R, "&gt;="&amp;INT($Q$1),
  '[1]Hoja 1'!$R:$R, "&lt;"&amp;INT($R$1+1)
)</f>
        <v>0</v>
      </c>
      <c r="P183" s="1">
        <f t="shared" si="66"/>
        <v>0</v>
      </c>
      <c r="Q183" s="9">
        <f t="shared" si="67"/>
        <v>0</v>
      </c>
      <c r="R183" s="10">
        <f t="shared" si="68"/>
        <v>0</v>
      </c>
      <c r="S183" s="1">
        <f>SUMIFS(
  '[1]Hoja 1'!$M:$M,
  '[1]Hoja 1'!$S:$S, $A183,
  '[1]Hoja 1'!$R:$R, "&gt;="&amp;INT($U$1),
  '[1]Hoja 1'!$R:$R, "&lt;"&amp;INT($V$1+1)
)</f>
        <v>0</v>
      </c>
      <c r="T183" s="1">
        <f t="shared" si="69"/>
        <v>0</v>
      </c>
      <c r="U183" s="9">
        <f t="shared" si="70"/>
        <v>-1.47</v>
      </c>
      <c r="V183" s="10">
        <f t="shared" si="71"/>
        <v>1.47</v>
      </c>
      <c r="W183" s="1">
        <f>SUMIFS(
  '[1]Hoja 1'!$M:$M,
  '[1]Hoja 1'!$S:$S, $A183,
  '[1]Hoja 1'!$R:$R, "&gt;="&amp;INT($Y$1),
  '[1]Hoja 1'!$R:$R, "&lt;"&amp;INT($Z$1+1)
)</f>
        <v>0</v>
      </c>
      <c r="X183" s="1">
        <f t="shared" si="72"/>
        <v>0</v>
      </c>
      <c r="Y183" s="9">
        <f t="shared" si="73"/>
        <v>0</v>
      </c>
      <c r="Z183" s="10">
        <f t="shared" si="74"/>
        <v>0</v>
      </c>
      <c r="AA183" s="1">
        <f>SUMIFS(
  '[1]Hoja 1'!$M:$M,
  '[1]Hoja 1'!$S:$S, $A183,
  '[1]Hoja 1'!$R:$R, "&gt;="&amp;INT($AC$1),
  '[1]Hoja 1'!$R:$R, "&lt;"&amp;INT($AD$1+1)
)</f>
        <v>0</v>
      </c>
      <c r="AB183" s="1">
        <f t="shared" si="75"/>
        <v>0</v>
      </c>
      <c r="AC183" s="9">
        <f t="shared" si="76"/>
        <v>0</v>
      </c>
      <c r="AD183" s="10">
        <f t="shared" si="77"/>
        <v>0</v>
      </c>
      <c r="AE183" s="1">
        <f>SUMIFS(
  '[1]Hoja 1'!$M:$M,
  '[1]Hoja 1'!$S:$S, $A183,
  '[1]Hoja 1'!$R:$R, "&gt;="&amp;INT($AG$1),
  '[1]Hoja 1'!$R:$R, "&lt;"&amp;INT($AH$1+1)
)</f>
        <v>0</v>
      </c>
      <c r="AF183" s="1">
        <f t="shared" si="78"/>
        <v>0</v>
      </c>
      <c r="AG183" s="9">
        <f t="shared" si="79"/>
        <v>0</v>
      </c>
      <c r="AH183" s="10">
        <f t="shared" si="80"/>
        <v>0</v>
      </c>
      <c r="AI183" s="1">
        <f>SUMIFS(
  '[1]Hoja 1'!$M:$M,
  '[1]Hoja 1'!$S:$S, $A183,
  '[1]Hoja 1'!$R:$R, "&gt;="&amp;INT($AK$1),
  '[1]Hoja 1'!$R:$R, "&lt;"&amp;INT($AJ$1+1)
)</f>
        <v>0</v>
      </c>
      <c r="AJ183" s="1">
        <f t="shared" si="81"/>
        <v>0</v>
      </c>
      <c r="AK183" s="9">
        <f t="shared" si="82"/>
        <v>0</v>
      </c>
      <c r="AL183" s="10">
        <f t="shared" si="83"/>
        <v>0</v>
      </c>
      <c r="AM183" s="1">
        <f>SUMIFS(
  '[1]Hoja 1'!$M:$M,
  '[1]Hoja 1'!$S:$S, $A183,
  '[1]Hoja 1'!$R:$R, "&gt;="&amp;INT($AO$1),
  '[1]Hoja 1'!$R:$R, "&lt;"&amp;INT($AP$1+1)
)</f>
        <v>0</v>
      </c>
      <c r="AN183" s="1">
        <f t="shared" si="84"/>
        <v>0</v>
      </c>
      <c r="AO183" s="9">
        <f t="shared" si="85"/>
        <v>0</v>
      </c>
      <c r="AP183" s="10">
        <f t="shared" si="86"/>
        <v>0</v>
      </c>
      <c r="AQ183" s="1">
        <f>SUMIFS(
  '[1]Hoja 1'!$M:$M,
  '[1]Hoja 1'!$S:$S, $A183,
  '[1]Hoja 1'!$R:$R, "&gt;="&amp;INT($AS$1),
  '[1]Hoja 1'!$R:$R, "&lt;"&amp;INT($AT$1+1)
)</f>
        <v>0</v>
      </c>
      <c r="AR183" s="1">
        <f t="shared" si="87"/>
        <v>0</v>
      </c>
      <c r="AS183" s="9">
        <f t="shared" si="88"/>
        <v>0</v>
      </c>
      <c r="AT183" s="10">
        <f t="shared" si="89"/>
        <v>0</v>
      </c>
      <c r="AU183" s="1">
        <f>SUMIFS(
  '[1]Hoja 1'!$M:$M,
  '[1]Hoja 1'!$S:$S, $A183,
  '[1]Hoja 1'!$R:$R, "&gt;="&amp;INT($AW$1),
  '[1]Hoja 1'!$R:$R, "&lt;"&amp;INT($AX$1+1)
)</f>
        <v>0</v>
      </c>
      <c r="AV183" s="1">
        <f t="shared" si="90"/>
        <v>0</v>
      </c>
      <c r="AW183" s="9">
        <f t="shared" si="91"/>
        <v>0</v>
      </c>
      <c r="AX183" s="10">
        <f t="shared" si="92"/>
        <v>0</v>
      </c>
    </row>
    <row r="184" spans="1:50" x14ac:dyDescent="0.25">
      <c r="A184" s="5">
        <v>231008</v>
      </c>
      <c r="B184" s="6" t="s">
        <v>181</v>
      </c>
      <c r="C184" s="1">
        <f>SUMIFS(
  '[1]Hoja 1'!$M:$M,
  '[1]Hoja 1'!$S:$S, $A184,
  '[1]Hoja 1'!$R:$R, "&gt;="&amp;INT($E$1),
  '[1]Hoja 1'!$R:$R, "&lt;"&amp;INT($F$1+1)
)</f>
        <v>3</v>
      </c>
      <c r="D184" s="1" t="str">
        <f>""</f>
        <v/>
      </c>
      <c r="F184" s="2"/>
      <c r="G184" s="1">
        <f>SUMIFS(
  '[1]Hoja 1'!$M:$M,
  '[1]Hoja 1'!$S:$S, $A184,
  '[1]Hoja 1'!$R:$R, "&gt;="&amp;INT($I$1),
  '[1]Hoja 1'!$R:$R, "&lt;"&amp;INT($J$1+1)
)</f>
        <v>1</v>
      </c>
      <c r="H184" s="1">
        <f t="shared" si="62"/>
        <v>2</v>
      </c>
      <c r="I184" s="1"/>
      <c r="J184" s="2"/>
      <c r="K184" s="1">
        <f>SUMIFS(
  '[1]Hoja 1'!$M:$M,
  '[1]Hoja 1'!$S:$S, $A184,
  '[1]Hoja 1'!$R:$R, "&gt;="&amp;INT($M$1),
  '[1]Hoja 1'!$R:$R, "&lt;"&amp;INT($N$1+1)
)</f>
        <v>0</v>
      </c>
      <c r="L184" s="1">
        <f t="shared" si="63"/>
        <v>0.5</v>
      </c>
      <c r="M184" s="9">
        <f t="shared" si="64"/>
        <v>-0.19296464556281656</v>
      </c>
      <c r="N184" s="10">
        <f t="shared" si="65"/>
        <v>1.1929646455628165</v>
      </c>
      <c r="O184" s="1">
        <f>SUMIFS(
  '[1]Hoja 1'!$M:$M,
  '[1]Hoja 1'!$S:$S, $A184,
  '[1]Hoja 1'!$R:$R, "&gt;="&amp;INT($Q$1),
  '[1]Hoja 1'!$R:$R, "&lt;"&amp;INT($R$1+1)
)</f>
        <v>0</v>
      </c>
      <c r="P184" s="1">
        <f t="shared" si="66"/>
        <v>0</v>
      </c>
      <c r="Q184" s="9">
        <f t="shared" si="67"/>
        <v>-0.98</v>
      </c>
      <c r="R184" s="10">
        <f t="shared" si="68"/>
        <v>0.98</v>
      </c>
      <c r="S184" s="1">
        <f>SUMIFS(
  '[1]Hoja 1'!$M:$M,
  '[1]Hoja 1'!$S:$S, $A184,
  '[1]Hoja 1'!$R:$R, "&gt;="&amp;INT($U$1),
  '[1]Hoja 1'!$R:$R, "&lt;"&amp;INT($V$1+1)
)</f>
        <v>0</v>
      </c>
      <c r="T184" s="1">
        <f t="shared" si="69"/>
        <v>0</v>
      </c>
      <c r="U184" s="9">
        <f t="shared" si="70"/>
        <v>-1.2651745597610895</v>
      </c>
      <c r="V184" s="10">
        <f t="shared" si="71"/>
        <v>1.2651745597610895</v>
      </c>
      <c r="W184" s="1">
        <f>SUMIFS(
  '[1]Hoja 1'!$M:$M,
  '[1]Hoja 1'!$S:$S, $A184,
  '[1]Hoja 1'!$R:$R, "&gt;="&amp;INT($Y$1),
  '[1]Hoja 1'!$R:$R, "&lt;"&amp;INT($Z$1+1)
)</f>
        <v>0</v>
      </c>
      <c r="X184" s="1">
        <f t="shared" si="72"/>
        <v>0</v>
      </c>
      <c r="Y184" s="9">
        <f t="shared" si="73"/>
        <v>-0.87653864717991747</v>
      </c>
      <c r="Z184" s="10">
        <f t="shared" si="74"/>
        <v>0.87653864717991747</v>
      </c>
      <c r="AA184" s="1">
        <f>SUMIFS(
  '[1]Hoja 1'!$M:$M,
  '[1]Hoja 1'!$S:$S, $A184,
  '[1]Hoja 1'!$R:$R, "&gt;="&amp;INT($AC$1),
  '[1]Hoja 1'!$R:$R, "&lt;"&amp;INT($AD$1+1)
)</f>
        <v>0</v>
      </c>
      <c r="AB184" s="1">
        <f t="shared" si="75"/>
        <v>0</v>
      </c>
      <c r="AC184" s="9">
        <f t="shared" si="76"/>
        <v>-0.81992682600339406</v>
      </c>
      <c r="AD184" s="10">
        <f t="shared" si="77"/>
        <v>0.81992682600339406</v>
      </c>
      <c r="AE184" s="1">
        <f>SUMIFS(
  '[1]Hoja 1'!$M:$M,
  '[1]Hoja 1'!$S:$S, $A184,
  '[1]Hoja 1'!$R:$R, "&gt;="&amp;INT($AG$1),
  '[1]Hoja 1'!$R:$R, "&lt;"&amp;INT($AH$1+1)
)</f>
        <v>0</v>
      </c>
      <c r="AF184" s="1">
        <f t="shared" si="78"/>
        <v>0</v>
      </c>
      <c r="AG184" s="9">
        <f t="shared" si="79"/>
        <v>-0.77105987662005437</v>
      </c>
      <c r="AH184" s="10">
        <f t="shared" si="80"/>
        <v>0.77105987662005437</v>
      </c>
      <c r="AI184" s="1">
        <f>SUMIFS(
  '[1]Hoja 1'!$M:$M,
  '[1]Hoja 1'!$S:$S, $A184,
  '[1]Hoja 1'!$R:$R, "&gt;="&amp;INT($AK$1),
  '[1]Hoja 1'!$R:$R, "&lt;"&amp;INT($AJ$1+1)
)</f>
        <v>0</v>
      </c>
      <c r="AJ184" s="1">
        <f t="shared" si="81"/>
        <v>0</v>
      </c>
      <c r="AK184" s="9">
        <f t="shared" si="82"/>
        <v>-0.72914333295998801</v>
      </c>
      <c r="AL184" s="10">
        <f t="shared" si="83"/>
        <v>0.72914333295998801</v>
      </c>
      <c r="AM184" s="1">
        <f>SUMIFS(
  '[1]Hoja 1'!$M:$M,
  '[1]Hoja 1'!$S:$S, $A184,
  '[1]Hoja 1'!$R:$R, "&gt;="&amp;INT($AO$1),
  '[1]Hoja 1'!$R:$R, "&lt;"&amp;INT($AP$1+1)
)</f>
        <v>0</v>
      </c>
      <c r="AN184" s="1">
        <f t="shared" si="84"/>
        <v>0</v>
      </c>
      <c r="AO184" s="9">
        <f t="shared" si="85"/>
        <v>-0.69296464556281656</v>
      </c>
      <c r="AP184" s="10">
        <f t="shared" si="86"/>
        <v>0.69296464556281656</v>
      </c>
      <c r="AQ184" s="1">
        <f>SUMIFS(
  '[1]Hoja 1'!$M:$M,
  '[1]Hoja 1'!$S:$S, $A184,
  '[1]Hoja 1'!$R:$R, "&gt;="&amp;INT($AS$1),
  '[1]Hoja 1'!$R:$R, "&lt;"&amp;INT($AT$1+1)
)</f>
        <v>0</v>
      </c>
      <c r="AR184" s="1">
        <f t="shared" si="87"/>
        <v>0</v>
      </c>
      <c r="AS184" s="9">
        <f t="shared" si="88"/>
        <v>-0.66144958655634178</v>
      </c>
      <c r="AT184" s="10">
        <f t="shared" si="89"/>
        <v>0.66144958655634178</v>
      </c>
      <c r="AU184" s="1">
        <f>SUMIFS(
  '[1]Hoja 1'!$M:$M,
  '[1]Hoja 1'!$S:$S, $A184,
  '[1]Hoja 1'!$R:$R, "&gt;="&amp;INT($AW$1),
  '[1]Hoja 1'!$R:$R, "&lt;"&amp;INT($AX$1+1)
)</f>
        <v>0</v>
      </c>
      <c r="AV184" s="1">
        <f t="shared" si="90"/>
        <v>0</v>
      </c>
      <c r="AW184" s="9">
        <f t="shared" si="91"/>
        <v>-0.63373639486920597</v>
      </c>
      <c r="AX184" s="10">
        <f t="shared" si="92"/>
        <v>0.63373639486920597</v>
      </c>
    </row>
    <row r="185" spans="1:50" x14ac:dyDescent="0.25">
      <c r="A185" s="5">
        <v>231009</v>
      </c>
      <c r="B185" s="6" t="s">
        <v>182</v>
      </c>
      <c r="C185" s="1">
        <f>SUMIFS(
  '[1]Hoja 1'!$M:$M,
  '[1]Hoja 1'!$S:$S, $A185,
  '[1]Hoja 1'!$R:$R, "&gt;="&amp;INT($E$1),
  '[1]Hoja 1'!$R:$R, "&lt;"&amp;INT($F$1+1)
)</f>
        <v>0</v>
      </c>
      <c r="D185" s="1" t="str">
        <f>""</f>
        <v/>
      </c>
      <c r="F185" s="2"/>
      <c r="G185" s="1">
        <f>SUMIFS(
  '[1]Hoja 1'!$M:$M,
  '[1]Hoja 1'!$S:$S, $A185,
  '[1]Hoja 1'!$R:$R, "&gt;="&amp;INT($I$1),
  '[1]Hoja 1'!$R:$R, "&lt;"&amp;INT($J$1+1)
)</f>
        <v>0</v>
      </c>
      <c r="H185" s="1">
        <f t="shared" si="62"/>
        <v>0</v>
      </c>
      <c r="I185" s="1"/>
      <c r="J185" s="2"/>
      <c r="K185" s="1">
        <f>SUMIFS(
  '[1]Hoja 1'!$M:$M,
  '[1]Hoja 1'!$S:$S, $A185,
  '[1]Hoja 1'!$R:$R, "&gt;="&amp;INT($M$1),
  '[1]Hoja 1'!$R:$R, "&lt;"&amp;INT($N$1+1)
)</f>
        <v>0</v>
      </c>
      <c r="L185" s="1">
        <f t="shared" si="63"/>
        <v>0</v>
      </c>
      <c r="M185" s="9">
        <f t="shared" si="64"/>
        <v>0</v>
      </c>
      <c r="N185" s="10">
        <f t="shared" si="65"/>
        <v>0</v>
      </c>
      <c r="O185" s="1">
        <f>SUMIFS(
  '[1]Hoja 1'!$M:$M,
  '[1]Hoja 1'!$S:$S, $A185,
  '[1]Hoja 1'!$R:$R, "&gt;="&amp;INT($Q$1),
  '[1]Hoja 1'!$R:$R, "&lt;"&amp;INT($R$1+1)
)</f>
        <v>0</v>
      </c>
      <c r="P185" s="1">
        <f t="shared" si="66"/>
        <v>0</v>
      </c>
      <c r="Q185" s="9">
        <f t="shared" si="67"/>
        <v>0</v>
      </c>
      <c r="R185" s="10">
        <f t="shared" si="68"/>
        <v>0</v>
      </c>
      <c r="S185" s="1">
        <f>SUMIFS(
  '[1]Hoja 1'!$M:$M,
  '[1]Hoja 1'!$S:$S, $A185,
  '[1]Hoja 1'!$R:$R, "&gt;="&amp;INT($U$1),
  '[1]Hoja 1'!$R:$R, "&lt;"&amp;INT($V$1+1)
)</f>
        <v>0</v>
      </c>
      <c r="T185" s="1">
        <f t="shared" si="69"/>
        <v>0</v>
      </c>
      <c r="U185" s="9">
        <f t="shared" si="70"/>
        <v>-1.47</v>
      </c>
      <c r="V185" s="10">
        <f t="shared" si="71"/>
        <v>1.47</v>
      </c>
      <c r="W185" s="1">
        <f>SUMIFS(
  '[1]Hoja 1'!$M:$M,
  '[1]Hoja 1'!$S:$S, $A185,
  '[1]Hoja 1'!$R:$R, "&gt;="&amp;INT($Y$1),
  '[1]Hoja 1'!$R:$R, "&lt;"&amp;INT($Z$1+1)
)</f>
        <v>0</v>
      </c>
      <c r="X185" s="1">
        <f t="shared" si="72"/>
        <v>0</v>
      </c>
      <c r="Y185" s="9">
        <f t="shared" si="73"/>
        <v>0</v>
      </c>
      <c r="Z185" s="10">
        <f t="shared" si="74"/>
        <v>0</v>
      </c>
      <c r="AA185" s="1">
        <f>SUMIFS(
  '[1]Hoja 1'!$M:$M,
  '[1]Hoja 1'!$S:$S, $A185,
  '[1]Hoja 1'!$R:$R, "&gt;="&amp;INT($AC$1),
  '[1]Hoja 1'!$R:$R, "&lt;"&amp;INT($AD$1+1)
)</f>
        <v>0</v>
      </c>
      <c r="AB185" s="1">
        <f t="shared" si="75"/>
        <v>0</v>
      </c>
      <c r="AC185" s="9">
        <f t="shared" si="76"/>
        <v>0</v>
      </c>
      <c r="AD185" s="10">
        <f t="shared" si="77"/>
        <v>0</v>
      </c>
      <c r="AE185" s="1">
        <f>SUMIFS(
  '[1]Hoja 1'!$M:$M,
  '[1]Hoja 1'!$S:$S, $A185,
  '[1]Hoja 1'!$R:$R, "&gt;="&amp;INT($AG$1),
  '[1]Hoja 1'!$R:$R, "&lt;"&amp;INT($AH$1+1)
)</f>
        <v>0</v>
      </c>
      <c r="AF185" s="1">
        <f t="shared" si="78"/>
        <v>0</v>
      </c>
      <c r="AG185" s="9">
        <f t="shared" si="79"/>
        <v>0</v>
      </c>
      <c r="AH185" s="10">
        <f t="shared" si="80"/>
        <v>0</v>
      </c>
      <c r="AI185" s="1">
        <f>SUMIFS(
  '[1]Hoja 1'!$M:$M,
  '[1]Hoja 1'!$S:$S, $A185,
  '[1]Hoja 1'!$R:$R, "&gt;="&amp;INT($AK$1),
  '[1]Hoja 1'!$R:$R, "&lt;"&amp;INT($AJ$1+1)
)</f>
        <v>0</v>
      </c>
      <c r="AJ185" s="1">
        <f t="shared" si="81"/>
        <v>0</v>
      </c>
      <c r="AK185" s="9">
        <f t="shared" si="82"/>
        <v>0</v>
      </c>
      <c r="AL185" s="10">
        <f t="shared" si="83"/>
        <v>0</v>
      </c>
      <c r="AM185" s="1">
        <f>SUMIFS(
  '[1]Hoja 1'!$M:$M,
  '[1]Hoja 1'!$S:$S, $A185,
  '[1]Hoja 1'!$R:$R, "&gt;="&amp;INT($AO$1),
  '[1]Hoja 1'!$R:$R, "&lt;"&amp;INT($AP$1+1)
)</f>
        <v>0</v>
      </c>
      <c r="AN185" s="1">
        <f t="shared" si="84"/>
        <v>0</v>
      </c>
      <c r="AO185" s="9">
        <f t="shared" si="85"/>
        <v>0</v>
      </c>
      <c r="AP185" s="10">
        <f t="shared" si="86"/>
        <v>0</v>
      </c>
      <c r="AQ185" s="1">
        <f>SUMIFS(
  '[1]Hoja 1'!$M:$M,
  '[1]Hoja 1'!$S:$S, $A185,
  '[1]Hoja 1'!$R:$R, "&gt;="&amp;INT($AS$1),
  '[1]Hoja 1'!$R:$R, "&lt;"&amp;INT($AT$1+1)
)</f>
        <v>0</v>
      </c>
      <c r="AR185" s="1">
        <f t="shared" si="87"/>
        <v>0</v>
      </c>
      <c r="AS185" s="9">
        <f t="shared" si="88"/>
        <v>0</v>
      </c>
      <c r="AT185" s="10">
        <f t="shared" si="89"/>
        <v>0</v>
      </c>
      <c r="AU185" s="1">
        <f>SUMIFS(
  '[1]Hoja 1'!$M:$M,
  '[1]Hoja 1'!$S:$S, $A185,
  '[1]Hoja 1'!$R:$R, "&gt;="&amp;INT($AW$1),
  '[1]Hoja 1'!$R:$R, "&lt;"&amp;INT($AX$1+1)
)</f>
        <v>0</v>
      </c>
      <c r="AV185" s="1">
        <f t="shared" si="90"/>
        <v>0</v>
      </c>
      <c r="AW185" s="9">
        <f t="shared" si="91"/>
        <v>0</v>
      </c>
      <c r="AX185" s="10">
        <f t="shared" si="92"/>
        <v>0</v>
      </c>
    </row>
    <row r="186" spans="1:50" x14ac:dyDescent="0.25">
      <c r="A186" s="5">
        <v>231010</v>
      </c>
      <c r="B186" s="6" t="s">
        <v>183</v>
      </c>
      <c r="C186" s="1">
        <f>SUMIFS(
  '[1]Hoja 1'!$M:$M,
  '[1]Hoja 1'!$S:$S, $A186,
  '[1]Hoja 1'!$R:$R, "&gt;="&amp;INT($E$1),
  '[1]Hoja 1'!$R:$R, "&lt;"&amp;INT($F$1+1)
)</f>
        <v>69</v>
      </c>
      <c r="D186" s="1" t="str">
        <f>""</f>
        <v/>
      </c>
      <c r="F186" s="2"/>
      <c r="G186" s="1">
        <f>SUMIFS(
  '[1]Hoja 1'!$M:$M,
  '[1]Hoja 1'!$S:$S, $A186,
  '[1]Hoja 1'!$R:$R, "&gt;="&amp;INT($I$1),
  '[1]Hoja 1'!$R:$R, "&lt;"&amp;INT($J$1+1)
)</f>
        <v>27</v>
      </c>
      <c r="H186" s="1">
        <f t="shared" si="62"/>
        <v>48</v>
      </c>
      <c r="I186" s="1"/>
      <c r="J186" s="2"/>
      <c r="K186" s="1">
        <f>SUMIFS(
  '[1]Hoja 1'!$M:$M,
  '[1]Hoja 1'!$S:$S, $A186,
  '[1]Hoja 1'!$R:$R, "&gt;="&amp;INT($M$1),
  '[1]Hoja 1'!$R:$R, "&lt;"&amp;INT($N$1+1)
)</f>
        <v>0</v>
      </c>
      <c r="L186" s="1">
        <f t="shared" si="63"/>
        <v>13.5</v>
      </c>
      <c r="M186" s="9">
        <f t="shared" si="64"/>
        <v>3.1055303165577506</v>
      </c>
      <c r="N186" s="10">
        <f t="shared" si="65"/>
        <v>23.894469683442249</v>
      </c>
      <c r="O186" s="1">
        <f>SUMIFS(
  '[1]Hoja 1'!$M:$M,
  '[1]Hoja 1'!$S:$S, $A186,
  '[1]Hoja 1'!$R:$R, "&gt;="&amp;INT($Q$1),
  '[1]Hoja 1'!$R:$R, "&lt;"&amp;INT($R$1+1)
)</f>
        <v>0</v>
      </c>
      <c r="P186" s="1">
        <f t="shared" si="66"/>
        <v>0</v>
      </c>
      <c r="Q186" s="9">
        <f t="shared" si="67"/>
        <v>-20.858120720716908</v>
      </c>
      <c r="R186" s="10">
        <f t="shared" si="68"/>
        <v>20.858120720716908</v>
      </c>
      <c r="S186" s="1">
        <f>SUMIFS(
  '[1]Hoja 1'!$M:$M,
  '[1]Hoja 1'!$S:$S, $A186,
  '[1]Hoja 1'!$R:$R, "&gt;="&amp;INT($U$1),
  '[1]Hoja 1'!$R:$R, "&lt;"&amp;INT($V$1+1)
)</f>
        <v>0</v>
      </c>
      <c r="T186" s="1">
        <f t="shared" si="69"/>
        <v>0</v>
      </c>
      <c r="U186" s="9">
        <f t="shared" si="70"/>
        <v>-19.648938902648155</v>
      </c>
      <c r="V186" s="10">
        <f t="shared" si="71"/>
        <v>19.648938902648155</v>
      </c>
      <c r="W186" s="1">
        <f>SUMIFS(
  '[1]Hoja 1'!$M:$M,
  '[1]Hoja 1'!$S:$S, $A186,
  '[1]Hoja 1'!$R:$R, "&gt;="&amp;INT($Y$1),
  '[1]Hoja 1'!$R:$R, "&lt;"&amp;INT($Z$1+1)
)</f>
        <v>0</v>
      </c>
      <c r="X186" s="1">
        <f t="shared" si="72"/>
        <v>0</v>
      </c>
      <c r="Y186" s="9">
        <f t="shared" si="73"/>
        <v>-19.233982426944245</v>
      </c>
      <c r="Z186" s="10">
        <f t="shared" si="74"/>
        <v>19.233982426944245</v>
      </c>
      <c r="AA186" s="1">
        <f>SUMIFS(
  '[1]Hoja 1'!$M:$M,
  '[1]Hoja 1'!$S:$S, $A186,
  '[1]Hoja 1'!$R:$R, "&gt;="&amp;INT($AC$1),
  '[1]Hoja 1'!$R:$R, "&lt;"&amp;INT($AD$1+1)
)</f>
        <v>0</v>
      </c>
      <c r="AB186" s="1">
        <f t="shared" si="75"/>
        <v>0</v>
      </c>
      <c r="AC186" s="9">
        <f t="shared" si="76"/>
        <v>-18.067649542760119</v>
      </c>
      <c r="AD186" s="10">
        <f t="shared" si="77"/>
        <v>18.067649542760119</v>
      </c>
      <c r="AE186" s="1">
        <f>SUMIFS(
  '[1]Hoja 1'!$M:$M,
  '[1]Hoja 1'!$S:$S, $A186,
  '[1]Hoja 1'!$R:$R, "&gt;="&amp;INT($AG$1),
  '[1]Hoja 1'!$R:$R, "&lt;"&amp;INT($AH$1+1)
)</f>
        <v>0</v>
      </c>
      <c r="AF186" s="1">
        <f t="shared" si="78"/>
        <v>0</v>
      </c>
      <c r="AG186" s="9">
        <f t="shared" si="79"/>
        <v>-17.034611824165527</v>
      </c>
      <c r="AH186" s="10">
        <f t="shared" si="80"/>
        <v>17.034611824165527</v>
      </c>
      <c r="AI186" s="1">
        <f>SUMIFS(
  '[1]Hoja 1'!$M:$M,
  '[1]Hoja 1'!$S:$S, $A186,
  '[1]Hoja 1'!$R:$R, "&gt;="&amp;INT($AK$1),
  '[1]Hoja 1'!$R:$R, "&lt;"&amp;INT($AJ$1+1)
)</f>
        <v>0</v>
      </c>
      <c r="AJ186" s="1">
        <f t="shared" si="81"/>
        <v>0</v>
      </c>
      <c r="AK186" s="9">
        <f t="shared" si="82"/>
        <v>-16.136556324073609</v>
      </c>
      <c r="AL186" s="10">
        <f t="shared" si="83"/>
        <v>16.136556324073609</v>
      </c>
      <c r="AM186" s="1">
        <f>SUMIFS(
  '[1]Hoja 1'!$M:$M,
  '[1]Hoja 1'!$S:$S, $A186,
  '[1]Hoja 1'!$R:$R, "&gt;="&amp;INT($AO$1),
  '[1]Hoja 1'!$R:$R, "&lt;"&amp;INT($AP$1+1)
)</f>
        <v>0</v>
      </c>
      <c r="AN186" s="1">
        <f t="shared" si="84"/>
        <v>0</v>
      </c>
      <c r="AO186" s="9">
        <f t="shared" si="85"/>
        <v>-15.35507082367255</v>
      </c>
      <c r="AP186" s="10">
        <f t="shared" si="86"/>
        <v>15.35507082367255</v>
      </c>
      <c r="AQ186" s="1">
        <f>SUMIFS(
  '[1]Hoja 1'!$M:$M,
  '[1]Hoja 1'!$S:$S, $A186,
  '[1]Hoja 1'!$R:$R, "&gt;="&amp;INT($AS$1),
  '[1]Hoja 1'!$R:$R, "&lt;"&amp;INT($AT$1+1)
)</f>
        <v>0</v>
      </c>
      <c r="AR186" s="1">
        <f t="shared" si="87"/>
        <v>0</v>
      </c>
      <c r="AS186" s="9">
        <f t="shared" si="88"/>
        <v>-14.670570541052589</v>
      </c>
      <c r="AT186" s="10">
        <f t="shared" si="89"/>
        <v>14.670570541052589</v>
      </c>
      <c r="AU186" s="1">
        <f>SUMIFS(
  '[1]Hoja 1'!$M:$M,
  '[1]Hoja 1'!$S:$S, $A186,
  '[1]Hoja 1'!$R:$R, "&gt;="&amp;INT($AW$1),
  '[1]Hoja 1'!$R:$R, "&lt;"&amp;INT($AX$1+1)
)</f>
        <v>0</v>
      </c>
      <c r="AV186" s="1">
        <f t="shared" si="90"/>
        <v>0</v>
      </c>
      <c r="AW186" s="9">
        <f t="shared" si="91"/>
        <v>-14.066266804599641</v>
      </c>
      <c r="AX186" s="10">
        <f t="shared" si="92"/>
        <v>14.066266804599641</v>
      </c>
    </row>
    <row r="187" spans="1:50" x14ac:dyDescent="0.25">
      <c r="A187" s="5">
        <v>231012</v>
      </c>
      <c r="B187" s="6" t="s">
        <v>184</v>
      </c>
      <c r="C187" s="1">
        <f>SUMIFS(
  '[1]Hoja 1'!$M:$M,
  '[1]Hoja 1'!$S:$S, $A187,
  '[1]Hoja 1'!$R:$R, "&gt;="&amp;INT($E$1),
  '[1]Hoja 1'!$R:$R, "&lt;"&amp;INT($F$1+1)
)</f>
        <v>255</v>
      </c>
      <c r="D187" s="1" t="str">
        <f>""</f>
        <v/>
      </c>
      <c r="F187" s="2"/>
      <c r="G187" s="1">
        <f>SUMIFS(
  '[1]Hoja 1'!$M:$M,
  '[1]Hoja 1'!$S:$S, $A187,
  '[1]Hoja 1'!$R:$R, "&gt;="&amp;INT($I$1),
  '[1]Hoja 1'!$R:$R, "&lt;"&amp;INT($J$1+1)
)</f>
        <v>90</v>
      </c>
      <c r="H187" s="1">
        <f t="shared" si="62"/>
        <v>173</v>
      </c>
      <c r="I187" s="1"/>
      <c r="J187" s="2"/>
      <c r="K187" s="1">
        <f>SUMIFS(
  '[1]Hoja 1'!$M:$M,
  '[1]Hoja 1'!$S:$S, $A187,
  '[1]Hoja 1'!$R:$R, "&gt;="&amp;INT($M$1),
  '[1]Hoja 1'!$R:$R, "&lt;"&amp;INT($N$1+1)
)</f>
        <v>0</v>
      </c>
      <c r="L187" s="1">
        <f t="shared" si="63"/>
        <v>45</v>
      </c>
      <c r="M187" s="9">
        <f t="shared" si="64"/>
        <v>-6.9723484172112435</v>
      </c>
      <c r="N187" s="10">
        <f t="shared" si="65"/>
        <v>96.972348417211236</v>
      </c>
      <c r="O187" s="1">
        <f>SUMIFS(
  '[1]Hoja 1'!$M:$M,
  '[1]Hoja 1'!$S:$S, $A187,
  '[1]Hoja 1'!$R:$R, "&gt;="&amp;INT($Q$1),
  '[1]Hoja 1'!$R:$R, "&lt;"&amp;INT($R$1+1)
)</f>
        <v>0</v>
      </c>
      <c r="P187" s="1">
        <f t="shared" si="66"/>
        <v>0</v>
      </c>
      <c r="Q187" s="9">
        <f t="shared" si="67"/>
        <v>-80.961287045105692</v>
      </c>
      <c r="R187" s="10">
        <f t="shared" si="68"/>
        <v>80.961287045105692</v>
      </c>
      <c r="S187" s="1">
        <f>SUMIFS(
  '[1]Hoja 1'!$M:$M,
  '[1]Hoja 1'!$S:$S, $A187,
  '[1]Hoja 1'!$R:$R, "&gt;="&amp;INT($U$1),
  '[1]Hoja 1'!$R:$R, "&lt;"&amp;INT($V$1+1)
)</f>
        <v>0</v>
      </c>
      <c r="T187" s="1">
        <f t="shared" si="69"/>
        <v>0</v>
      </c>
      <c r="U187" s="9">
        <f t="shared" si="70"/>
        <v>-77.357949817714271</v>
      </c>
      <c r="V187" s="10">
        <f t="shared" si="71"/>
        <v>77.357949817714271</v>
      </c>
      <c r="W187" s="1">
        <f>SUMIFS(
  '[1]Hoja 1'!$M:$M,
  '[1]Hoja 1'!$S:$S, $A187,
  '[1]Hoja 1'!$R:$R, "&gt;="&amp;INT($Y$1),
  '[1]Hoja 1'!$R:$R, "&lt;"&amp;INT($Z$1+1)
)</f>
        <v>0</v>
      </c>
      <c r="X187" s="1">
        <f t="shared" si="72"/>
        <v>0</v>
      </c>
      <c r="Y187" s="9">
        <f t="shared" si="73"/>
        <v>-73.205409636173741</v>
      </c>
      <c r="Z187" s="10">
        <f t="shared" si="74"/>
        <v>73.205409636173741</v>
      </c>
      <c r="AA187" s="1">
        <f>SUMIFS(
  '[1]Hoja 1'!$M:$M,
  '[1]Hoja 1'!$S:$S, $A187,
  '[1]Hoja 1'!$R:$R, "&gt;="&amp;INT($AC$1),
  '[1]Hoja 1'!$R:$R, "&lt;"&amp;INT($AD$1+1)
)</f>
        <v>0</v>
      </c>
      <c r="AB187" s="1">
        <f t="shared" si="75"/>
        <v>0</v>
      </c>
      <c r="AC187" s="9">
        <f t="shared" si="76"/>
        <v>-68.582497767287535</v>
      </c>
      <c r="AD187" s="10">
        <f t="shared" si="77"/>
        <v>68.582497767287535</v>
      </c>
      <c r="AE187" s="1">
        <f>SUMIFS(
  '[1]Hoja 1'!$M:$M,
  '[1]Hoja 1'!$S:$S, $A187,
  '[1]Hoja 1'!$R:$R, "&gt;="&amp;INT($AG$1),
  '[1]Hoja 1'!$R:$R, "&lt;"&amp;INT($AH$1+1)
)</f>
        <v>0</v>
      </c>
      <c r="AF187" s="1">
        <f t="shared" si="78"/>
        <v>0</v>
      </c>
      <c r="AG187" s="9">
        <f t="shared" si="79"/>
        <v>-64.55578982554546</v>
      </c>
      <c r="AH187" s="10">
        <f t="shared" si="80"/>
        <v>64.55578982554546</v>
      </c>
      <c r="AI187" s="1">
        <f>SUMIFS(
  '[1]Hoja 1'!$M:$M,
  '[1]Hoja 1'!$S:$S, $A187,
  '[1]Hoja 1'!$R:$R, "&gt;="&amp;INT($AK$1),
  '[1]Hoja 1'!$R:$R, "&lt;"&amp;INT($AJ$1+1)
)</f>
        <v>0</v>
      </c>
      <c r="AJ187" s="1">
        <f t="shared" si="81"/>
        <v>0</v>
      </c>
      <c r="AK187" s="9">
        <f t="shared" si="82"/>
        <v>-61.085278504726489</v>
      </c>
      <c r="AL187" s="10">
        <f t="shared" si="83"/>
        <v>61.085278504726489</v>
      </c>
      <c r="AM187" s="1">
        <f>SUMIFS(
  '[1]Hoja 1'!$M:$M,
  '[1]Hoja 1'!$S:$S, $A187,
  '[1]Hoja 1'!$R:$R, "&gt;="&amp;INT($AO$1),
  '[1]Hoja 1'!$R:$R, "&lt;"&amp;INT($AP$1+1)
)</f>
        <v>0</v>
      </c>
      <c r="AN187" s="1">
        <f t="shared" si="84"/>
        <v>0</v>
      </c>
      <c r="AO187" s="9">
        <f t="shared" si="85"/>
        <v>-58.081020996535521</v>
      </c>
      <c r="AP187" s="10">
        <f t="shared" si="86"/>
        <v>58.081020996535521</v>
      </c>
      <c r="AQ187" s="1">
        <f>SUMIFS(
  '[1]Hoja 1'!$M:$M,
  '[1]Hoja 1'!$S:$S, $A187,
  '[1]Hoja 1'!$R:$R, "&gt;="&amp;INT($AS$1),
  '[1]Hoja 1'!$R:$R, "&lt;"&amp;INT($AT$1+1)
)</f>
        <v>0</v>
      </c>
      <c r="AR187" s="1">
        <f t="shared" si="87"/>
        <v>0</v>
      </c>
      <c r="AS187" s="9">
        <f t="shared" si="88"/>
        <v>-55.458822562329971</v>
      </c>
      <c r="AT187" s="10">
        <f t="shared" si="89"/>
        <v>55.458822562329971</v>
      </c>
      <c r="AU187" s="1">
        <f>SUMIFS(
  '[1]Hoja 1'!$M:$M,
  '[1]Hoja 1'!$S:$S, $A187,
  '[1]Hoja 1'!$R:$R, "&gt;="&amp;INT($AW$1),
  '[1]Hoja 1'!$R:$R, "&lt;"&amp;INT($AX$1+1)
)</f>
        <v>0</v>
      </c>
      <c r="AV187" s="1">
        <f t="shared" si="90"/>
        <v>0</v>
      </c>
      <c r="AW187" s="9">
        <f t="shared" si="91"/>
        <v>-53.149653210191651</v>
      </c>
      <c r="AX187" s="10">
        <f t="shared" si="92"/>
        <v>53.149653210191651</v>
      </c>
    </row>
    <row r="188" spans="1:50" x14ac:dyDescent="0.25">
      <c r="A188" s="5">
        <v>232001</v>
      </c>
      <c r="B188" s="6" t="s">
        <v>185</v>
      </c>
      <c r="C188" s="1">
        <f>SUMIFS(
  '[1]Hoja 1'!$M:$M,
  '[1]Hoja 1'!$S:$S, $A188,
  '[1]Hoja 1'!$R:$R, "&gt;="&amp;INT($E$1),
  '[1]Hoja 1'!$R:$R, "&lt;"&amp;INT($F$1+1)
)</f>
        <v>0</v>
      </c>
      <c r="D188" s="1" t="str">
        <f>""</f>
        <v/>
      </c>
      <c r="F188" s="2"/>
      <c r="G188" s="1">
        <f>SUMIFS(
  '[1]Hoja 1'!$M:$M,
  '[1]Hoja 1'!$S:$S, $A188,
  '[1]Hoja 1'!$R:$R, "&gt;="&amp;INT($I$1),
  '[1]Hoja 1'!$R:$R, "&lt;"&amp;INT($J$1+1)
)</f>
        <v>0</v>
      </c>
      <c r="H188" s="1">
        <f t="shared" si="62"/>
        <v>0</v>
      </c>
      <c r="I188" s="1"/>
      <c r="J188" s="2"/>
      <c r="K188" s="1">
        <f>SUMIFS(
  '[1]Hoja 1'!$M:$M,
  '[1]Hoja 1'!$S:$S, $A188,
  '[1]Hoja 1'!$R:$R, "&gt;="&amp;INT($M$1),
  '[1]Hoja 1'!$R:$R, "&lt;"&amp;INT($N$1+1)
)</f>
        <v>0</v>
      </c>
      <c r="L188" s="1">
        <f t="shared" si="63"/>
        <v>0</v>
      </c>
      <c r="M188" s="9">
        <f t="shared" si="64"/>
        <v>0</v>
      </c>
      <c r="N188" s="10">
        <f t="shared" si="65"/>
        <v>0</v>
      </c>
      <c r="O188" s="1">
        <f>SUMIFS(
  '[1]Hoja 1'!$M:$M,
  '[1]Hoja 1'!$S:$S, $A188,
  '[1]Hoja 1'!$R:$R, "&gt;="&amp;INT($Q$1),
  '[1]Hoja 1'!$R:$R, "&lt;"&amp;INT($R$1+1)
)</f>
        <v>0</v>
      </c>
      <c r="P188" s="1">
        <f t="shared" si="66"/>
        <v>0</v>
      </c>
      <c r="Q188" s="9">
        <f t="shared" si="67"/>
        <v>0</v>
      </c>
      <c r="R188" s="10">
        <f t="shared" si="68"/>
        <v>0</v>
      </c>
      <c r="S188" s="1">
        <f>SUMIFS(
  '[1]Hoja 1'!$M:$M,
  '[1]Hoja 1'!$S:$S, $A188,
  '[1]Hoja 1'!$R:$R, "&gt;="&amp;INT($U$1),
  '[1]Hoja 1'!$R:$R, "&lt;"&amp;INT($V$1+1)
)</f>
        <v>0</v>
      </c>
      <c r="T188" s="1">
        <f t="shared" si="69"/>
        <v>0</v>
      </c>
      <c r="U188" s="9">
        <f t="shared" si="70"/>
        <v>-1.47</v>
      </c>
      <c r="V188" s="10">
        <f t="shared" si="71"/>
        <v>1.47</v>
      </c>
      <c r="W188" s="1">
        <f>SUMIFS(
  '[1]Hoja 1'!$M:$M,
  '[1]Hoja 1'!$S:$S, $A188,
  '[1]Hoja 1'!$R:$R, "&gt;="&amp;INT($Y$1),
  '[1]Hoja 1'!$R:$R, "&lt;"&amp;INT($Z$1+1)
)</f>
        <v>0</v>
      </c>
      <c r="X188" s="1">
        <f t="shared" si="72"/>
        <v>0</v>
      </c>
      <c r="Y188" s="9">
        <f t="shared" si="73"/>
        <v>0</v>
      </c>
      <c r="Z188" s="10">
        <f t="shared" si="74"/>
        <v>0</v>
      </c>
      <c r="AA188" s="1">
        <f>SUMIFS(
  '[1]Hoja 1'!$M:$M,
  '[1]Hoja 1'!$S:$S, $A188,
  '[1]Hoja 1'!$R:$R, "&gt;="&amp;INT($AC$1),
  '[1]Hoja 1'!$R:$R, "&lt;"&amp;INT($AD$1+1)
)</f>
        <v>0</v>
      </c>
      <c r="AB188" s="1">
        <f t="shared" si="75"/>
        <v>0</v>
      </c>
      <c r="AC188" s="9">
        <f t="shared" si="76"/>
        <v>0</v>
      </c>
      <c r="AD188" s="10">
        <f t="shared" si="77"/>
        <v>0</v>
      </c>
      <c r="AE188" s="1">
        <f>SUMIFS(
  '[1]Hoja 1'!$M:$M,
  '[1]Hoja 1'!$S:$S, $A188,
  '[1]Hoja 1'!$R:$R, "&gt;="&amp;INT($AG$1),
  '[1]Hoja 1'!$R:$R, "&lt;"&amp;INT($AH$1+1)
)</f>
        <v>0</v>
      </c>
      <c r="AF188" s="1">
        <f t="shared" si="78"/>
        <v>0</v>
      </c>
      <c r="AG188" s="9">
        <f t="shared" si="79"/>
        <v>0</v>
      </c>
      <c r="AH188" s="10">
        <f t="shared" si="80"/>
        <v>0</v>
      </c>
      <c r="AI188" s="1">
        <f>SUMIFS(
  '[1]Hoja 1'!$M:$M,
  '[1]Hoja 1'!$S:$S, $A188,
  '[1]Hoja 1'!$R:$R, "&gt;="&amp;INT($AK$1),
  '[1]Hoja 1'!$R:$R, "&lt;"&amp;INT($AJ$1+1)
)</f>
        <v>0</v>
      </c>
      <c r="AJ188" s="1">
        <f t="shared" si="81"/>
        <v>0</v>
      </c>
      <c r="AK188" s="9">
        <f t="shared" si="82"/>
        <v>0</v>
      </c>
      <c r="AL188" s="10">
        <f t="shared" si="83"/>
        <v>0</v>
      </c>
      <c r="AM188" s="1">
        <f>SUMIFS(
  '[1]Hoja 1'!$M:$M,
  '[1]Hoja 1'!$S:$S, $A188,
  '[1]Hoja 1'!$R:$R, "&gt;="&amp;INT($AO$1),
  '[1]Hoja 1'!$R:$R, "&lt;"&amp;INT($AP$1+1)
)</f>
        <v>0</v>
      </c>
      <c r="AN188" s="1">
        <f t="shared" si="84"/>
        <v>0</v>
      </c>
      <c r="AO188" s="9">
        <f t="shared" si="85"/>
        <v>0</v>
      </c>
      <c r="AP188" s="10">
        <f t="shared" si="86"/>
        <v>0</v>
      </c>
      <c r="AQ188" s="1">
        <f>SUMIFS(
  '[1]Hoja 1'!$M:$M,
  '[1]Hoja 1'!$S:$S, $A188,
  '[1]Hoja 1'!$R:$R, "&gt;="&amp;INT($AS$1),
  '[1]Hoja 1'!$R:$R, "&lt;"&amp;INT($AT$1+1)
)</f>
        <v>0</v>
      </c>
      <c r="AR188" s="1">
        <f t="shared" si="87"/>
        <v>0</v>
      </c>
      <c r="AS188" s="9">
        <f t="shared" si="88"/>
        <v>0</v>
      </c>
      <c r="AT188" s="10">
        <f t="shared" si="89"/>
        <v>0</v>
      </c>
      <c r="AU188" s="1">
        <f>SUMIFS(
  '[1]Hoja 1'!$M:$M,
  '[1]Hoja 1'!$S:$S, $A188,
  '[1]Hoja 1'!$R:$R, "&gt;="&amp;INT($AW$1),
  '[1]Hoja 1'!$R:$R, "&lt;"&amp;INT($AX$1+1)
)</f>
        <v>0</v>
      </c>
      <c r="AV188" s="1">
        <f t="shared" si="90"/>
        <v>0</v>
      </c>
      <c r="AW188" s="9">
        <f t="shared" si="91"/>
        <v>0</v>
      </c>
      <c r="AX188" s="10">
        <f t="shared" si="92"/>
        <v>0</v>
      </c>
    </row>
    <row r="189" spans="1:50" x14ac:dyDescent="0.25">
      <c r="A189" s="5">
        <v>233001</v>
      </c>
      <c r="B189" s="6" t="s">
        <v>186</v>
      </c>
      <c r="C189" s="1">
        <f>SUMIFS(
  '[1]Hoja 1'!$M:$M,
  '[1]Hoja 1'!$S:$S, $A189,
  '[1]Hoja 1'!$R:$R, "&gt;="&amp;INT($E$1),
  '[1]Hoja 1'!$R:$R, "&lt;"&amp;INT($F$1+1)
)</f>
        <v>0</v>
      </c>
      <c r="D189" s="1" t="str">
        <f>""</f>
        <v/>
      </c>
      <c r="F189" s="2"/>
      <c r="G189" s="1">
        <f>SUMIFS(
  '[1]Hoja 1'!$M:$M,
  '[1]Hoja 1'!$S:$S, $A189,
  '[1]Hoja 1'!$R:$R, "&gt;="&amp;INT($I$1),
  '[1]Hoja 1'!$R:$R, "&lt;"&amp;INT($J$1+1)
)</f>
        <v>0</v>
      </c>
      <c r="H189" s="1">
        <f t="shared" si="62"/>
        <v>0</v>
      </c>
      <c r="I189" s="1"/>
      <c r="J189" s="2"/>
      <c r="K189" s="1">
        <f>SUMIFS(
  '[1]Hoja 1'!$M:$M,
  '[1]Hoja 1'!$S:$S, $A189,
  '[1]Hoja 1'!$R:$R, "&gt;="&amp;INT($M$1),
  '[1]Hoja 1'!$R:$R, "&lt;"&amp;INT($N$1+1)
)</f>
        <v>0</v>
      </c>
      <c r="L189" s="1">
        <f t="shared" si="63"/>
        <v>0</v>
      </c>
      <c r="M189" s="9">
        <f t="shared" si="64"/>
        <v>0</v>
      </c>
      <c r="N189" s="10">
        <f t="shared" si="65"/>
        <v>0</v>
      </c>
      <c r="O189" s="1">
        <f>SUMIFS(
  '[1]Hoja 1'!$M:$M,
  '[1]Hoja 1'!$S:$S, $A189,
  '[1]Hoja 1'!$R:$R, "&gt;="&amp;INT($Q$1),
  '[1]Hoja 1'!$R:$R, "&lt;"&amp;INT($R$1+1)
)</f>
        <v>0</v>
      </c>
      <c r="P189" s="1">
        <f t="shared" si="66"/>
        <v>0</v>
      </c>
      <c r="Q189" s="9">
        <f t="shared" si="67"/>
        <v>0</v>
      </c>
      <c r="R189" s="10">
        <f t="shared" si="68"/>
        <v>0</v>
      </c>
      <c r="S189" s="1">
        <f>SUMIFS(
  '[1]Hoja 1'!$M:$M,
  '[1]Hoja 1'!$S:$S, $A189,
  '[1]Hoja 1'!$R:$R, "&gt;="&amp;INT($U$1),
  '[1]Hoja 1'!$R:$R, "&lt;"&amp;INT($V$1+1)
)</f>
        <v>0</v>
      </c>
      <c r="T189" s="1">
        <f t="shared" si="69"/>
        <v>0</v>
      </c>
      <c r="U189" s="9">
        <f t="shared" si="70"/>
        <v>-1.47</v>
      </c>
      <c r="V189" s="10">
        <f t="shared" si="71"/>
        <v>1.47</v>
      </c>
      <c r="W189" s="1">
        <f>SUMIFS(
  '[1]Hoja 1'!$M:$M,
  '[1]Hoja 1'!$S:$S, $A189,
  '[1]Hoja 1'!$R:$R, "&gt;="&amp;INT($Y$1),
  '[1]Hoja 1'!$R:$R, "&lt;"&amp;INT($Z$1+1)
)</f>
        <v>0</v>
      </c>
      <c r="X189" s="1">
        <f t="shared" si="72"/>
        <v>0</v>
      </c>
      <c r="Y189" s="9">
        <f t="shared" si="73"/>
        <v>0</v>
      </c>
      <c r="Z189" s="10">
        <f t="shared" si="74"/>
        <v>0</v>
      </c>
      <c r="AA189" s="1">
        <f>SUMIFS(
  '[1]Hoja 1'!$M:$M,
  '[1]Hoja 1'!$S:$S, $A189,
  '[1]Hoja 1'!$R:$R, "&gt;="&amp;INT($AC$1),
  '[1]Hoja 1'!$R:$R, "&lt;"&amp;INT($AD$1+1)
)</f>
        <v>0</v>
      </c>
      <c r="AB189" s="1">
        <f t="shared" si="75"/>
        <v>0</v>
      </c>
      <c r="AC189" s="9">
        <f t="shared" si="76"/>
        <v>0</v>
      </c>
      <c r="AD189" s="10">
        <f t="shared" si="77"/>
        <v>0</v>
      </c>
      <c r="AE189" s="1">
        <f>SUMIFS(
  '[1]Hoja 1'!$M:$M,
  '[1]Hoja 1'!$S:$S, $A189,
  '[1]Hoja 1'!$R:$R, "&gt;="&amp;INT($AG$1),
  '[1]Hoja 1'!$R:$R, "&lt;"&amp;INT($AH$1+1)
)</f>
        <v>0</v>
      </c>
      <c r="AF189" s="1">
        <f t="shared" si="78"/>
        <v>0</v>
      </c>
      <c r="AG189" s="9">
        <f t="shared" si="79"/>
        <v>0</v>
      </c>
      <c r="AH189" s="10">
        <f t="shared" si="80"/>
        <v>0</v>
      </c>
      <c r="AI189" s="1">
        <f>SUMIFS(
  '[1]Hoja 1'!$M:$M,
  '[1]Hoja 1'!$S:$S, $A189,
  '[1]Hoja 1'!$R:$R, "&gt;="&amp;INT($AK$1),
  '[1]Hoja 1'!$R:$R, "&lt;"&amp;INT($AJ$1+1)
)</f>
        <v>0</v>
      </c>
      <c r="AJ189" s="1">
        <f t="shared" si="81"/>
        <v>0</v>
      </c>
      <c r="AK189" s="9">
        <f t="shared" si="82"/>
        <v>0</v>
      </c>
      <c r="AL189" s="10">
        <f t="shared" si="83"/>
        <v>0</v>
      </c>
      <c r="AM189" s="1">
        <f>SUMIFS(
  '[1]Hoja 1'!$M:$M,
  '[1]Hoja 1'!$S:$S, $A189,
  '[1]Hoja 1'!$R:$R, "&gt;="&amp;INT($AO$1),
  '[1]Hoja 1'!$R:$R, "&lt;"&amp;INT($AP$1+1)
)</f>
        <v>0</v>
      </c>
      <c r="AN189" s="1">
        <f t="shared" si="84"/>
        <v>0</v>
      </c>
      <c r="AO189" s="9">
        <f t="shared" si="85"/>
        <v>0</v>
      </c>
      <c r="AP189" s="10">
        <f t="shared" si="86"/>
        <v>0</v>
      </c>
      <c r="AQ189" s="1">
        <f>SUMIFS(
  '[1]Hoja 1'!$M:$M,
  '[1]Hoja 1'!$S:$S, $A189,
  '[1]Hoja 1'!$R:$R, "&gt;="&amp;INT($AS$1),
  '[1]Hoja 1'!$R:$R, "&lt;"&amp;INT($AT$1+1)
)</f>
        <v>0</v>
      </c>
      <c r="AR189" s="1">
        <f t="shared" si="87"/>
        <v>0</v>
      </c>
      <c r="AS189" s="9">
        <f t="shared" si="88"/>
        <v>0</v>
      </c>
      <c r="AT189" s="10">
        <f t="shared" si="89"/>
        <v>0</v>
      </c>
      <c r="AU189" s="1">
        <f>SUMIFS(
  '[1]Hoja 1'!$M:$M,
  '[1]Hoja 1'!$S:$S, $A189,
  '[1]Hoja 1'!$R:$R, "&gt;="&amp;INT($AW$1),
  '[1]Hoja 1'!$R:$R, "&lt;"&amp;INT($AX$1+1)
)</f>
        <v>0</v>
      </c>
      <c r="AV189" s="1">
        <f t="shared" si="90"/>
        <v>0</v>
      </c>
      <c r="AW189" s="9">
        <f t="shared" si="91"/>
        <v>0</v>
      </c>
      <c r="AX189" s="10">
        <f t="shared" si="92"/>
        <v>0</v>
      </c>
    </row>
    <row r="190" spans="1:50" x14ac:dyDescent="0.25">
      <c r="A190" s="5">
        <v>233002</v>
      </c>
      <c r="B190" s="6" t="s">
        <v>187</v>
      </c>
      <c r="C190" s="1">
        <f>SUMIFS(
  '[1]Hoja 1'!$M:$M,
  '[1]Hoja 1'!$S:$S, $A190,
  '[1]Hoja 1'!$R:$R, "&gt;="&amp;INT($E$1),
  '[1]Hoja 1'!$R:$R, "&lt;"&amp;INT($F$1+1)
)</f>
        <v>0</v>
      </c>
      <c r="D190" s="1" t="str">
        <f>""</f>
        <v/>
      </c>
      <c r="F190" s="2"/>
      <c r="G190" s="1">
        <f>SUMIFS(
  '[1]Hoja 1'!$M:$M,
  '[1]Hoja 1'!$S:$S, $A190,
  '[1]Hoja 1'!$R:$R, "&gt;="&amp;INT($I$1),
  '[1]Hoja 1'!$R:$R, "&lt;"&amp;INT($J$1+1)
)</f>
        <v>0</v>
      </c>
      <c r="H190" s="1">
        <f t="shared" si="62"/>
        <v>0</v>
      </c>
      <c r="I190" s="1"/>
      <c r="J190" s="2"/>
      <c r="K190" s="1">
        <f>SUMIFS(
  '[1]Hoja 1'!$M:$M,
  '[1]Hoja 1'!$S:$S, $A190,
  '[1]Hoja 1'!$R:$R, "&gt;="&amp;INT($M$1),
  '[1]Hoja 1'!$R:$R, "&lt;"&amp;INT($N$1+1)
)</f>
        <v>0</v>
      </c>
      <c r="L190" s="1">
        <f t="shared" si="63"/>
        <v>0</v>
      </c>
      <c r="M190" s="9">
        <f t="shared" si="64"/>
        <v>0</v>
      </c>
      <c r="N190" s="10">
        <f t="shared" si="65"/>
        <v>0</v>
      </c>
      <c r="O190" s="1">
        <f>SUMIFS(
  '[1]Hoja 1'!$M:$M,
  '[1]Hoja 1'!$S:$S, $A190,
  '[1]Hoja 1'!$R:$R, "&gt;="&amp;INT($Q$1),
  '[1]Hoja 1'!$R:$R, "&lt;"&amp;INT($R$1+1)
)</f>
        <v>0</v>
      </c>
      <c r="P190" s="1">
        <f t="shared" si="66"/>
        <v>0</v>
      </c>
      <c r="Q190" s="9">
        <f t="shared" si="67"/>
        <v>0</v>
      </c>
      <c r="R190" s="10">
        <f t="shared" si="68"/>
        <v>0</v>
      </c>
      <c r="S190" s="1">
        <f>SUMIFS(
  '[1]Hoja 1'!$M:$M,
  '[1]Hoja 1'!$S:$S, $A190,
  '[1]Hoja 1'!$R:$R, "&gt;="&amp;INT($U$1),
  '[1]Hoja 1'!$R:$R, "&lt;"&amp;INT($V$1+1)
)</f>
        <v>0</v>
      </c>
      <c r="T190" s="1">
        <f t="shared" si="69"/>
        <v>0</v>
      </c>
      <c r="U190" s="9">
        <f t="shared" si="70"/>
        <v>-1.47</v>
      </c>
      <c r="V190" s="10">
        <f t="shared" si="71"/>
        <v>1.47</v>
      </c>
      <c r="W190" s="1">
        <f>SUMIFS(
  '[1]Hoja 1'!$M:$M,
  '[1]Hoja 1'!$S:$S, $A190,
  '[1]Hoja 1'!$R:$R, "&gt;="&amp;INT($Y$1),
  '[1]Hoja 1'!$R:$R, "&lt;"&amp;INT($Z$1+1)
)</f>
        <v>0</v>
      </c>
      <c r="X190" s="1">
        <f t="shared" si="72"/>
        <v>0</v>
      </c>
      <c r="Y190" s="9">
        <f t="shared" si="73"/>
        <v>0</v>
      </c>
      <c r="Z190" s="10">
        <f t="shared" si="74"/>
        <v>0</v>
      </c>
      <c r="AA190" s="1">
        <f>SUMIFS(
  '[1]Hoja 1'!$M:$M,
  '[1]Hoja 1'!$S:$S, $A190,
  '[1]Hoja 1'!$R:$R, "&gt;="&amp;INT($AC$1),
  '[1]Hoja 1'!$R:$R, "&lt;"&amp;INT($AD$1+1)
)</f>
        <v>0</v>
      </c>
      <c r="AB190" s="1">
        <f t="shared" si="75"/>
        <v>0</v>
      </c>
      <c r="AC190" s="9">
        <f t="shared" si="76"/>
        <v>0</v>
      </c>
      <c r="AD190" s="10">
        <f t="shared" si="77"/>
        <v>0</v>
      </c>
      <c r="AE190" s="1">
        <f>SUMIFS(
  '[1]Hoja 1'!$M:$M,
  '[1]Hoja 1'!$S:$S, $A190,
  '[1]Hoja 1'!$R:$R, "&gt;="&amp;INT($AG$1),
  '[1]Hoja 1'!$R:$R, "&lt;"&amp;INT($AH$1+1)
)</f>
        <v>0</v>
      </c>
      <c r="AF190" s="1">
        <f t="shared" si="78"/>
        <v>0</v>
      </c>
      <c r="AG190" s="9">
        <f t="shared" si="79"/>
        <v>0</v>
      </c>
      <c r="AH190" s="10">
        <f t="shared" si="80"/>
        <v>0</v>
      </c>
      <c r="AI190" s="1">
        <f>SUMIFS(
  '[1]Hoja 1'!$M:$M,
  '[1]Hoja 1'!$S:$S, $A190,
  '[1]Hoja 1'!$R:$R, "&gt;="&amp;INT($AK$1),
  '[1]Hoja 1'!$R:$R, "&lt;"&amp;INT($AJ$1+1)
)</f>
        <v>0</v>
      </c>
      <c r="AJ190" s="1">
        <f t="shared" si="81"/>
        <v>0</v>
      </c>
      <c r="AK190" s="9">
        <f t="shared" si="82"/>
        <v>0</v>
      </c>
      <c r="AL190" s="10">
        <f t="shared" si="83"/>
        <v>0</v>
      </c>
      <c r="AM190" s="1">
        <f>SUMIFS(
  '[1]Hoja 1'!$M:$M,
  '[1]Hoja 1'!$S:$S, $A190,
  '[1]Hoja 1'!$R:$R, "&gt;="&amp;INT($AO$1),
  '[1]Hoja 1'!$R:$R, "&lt;"&amp;INT($AP$1+1)
)</f>
        <v>0</v>
      </c>
      <c r="AN190" s="1">
        <f t="shared" si="84"/>
        <v>0</v>
      </c>
      <c r="AO190" s="9">
        <f t="shared" si="85"/>
        <v>0</v>
      </c>
      <c r="AP190" s="10">
        <f t="shared" si="86"/>
        <v>0</v>
      </c>
      <c r="AQ190" s="1">
        <f>SUMIFS(
  '[1]Hoja 1'!$M:$M,
  '[1]Hoja 1'!$S:$S, $A190,
  '[1]Hoja 1'!$R:$R, "&gt;="&amp;INT($AS$1),
  '[1]Hoja 1'!$R:$R, "&lt;"&amp;INT($AT$1+1)
)</f>
        <v>0</v>
      </c>
      <c r="AR190" s="1">
        <f t="shared" si="87"/>
        <v>0</v>
      </c>
      <c r="AS190" s="9">
        <f t="shared" si="88"/>
        <v>0</v>
      </c>
      <c r="AT190" s="10">
        <f t="shared" si="89"/>
        <v>0</v>
      </c>
      <c r="AU190" s="1">
        <f>SUMIFS(
  '[1]Hoja 1'!$M:$M,
  '[1]Hoja 1'!$S:$S, $A190,
  '[1]Hoja 1'!$R:$R, "&gt;="&amp;INT($AW$1),
  '[1]Hoja 1'!$R:$R, "&lt;"&amp;INT($AX$1+1)
)</f>
        <v>0</v>
      </c>
      <c r="AV190" s="1">
        <f t="shared" si="90"/>
        <v>0</v>
      </c>
      <c r="AW190" s="9">
        <f t="shared" si="91"/>
        <v>0</v>
      </c>
      <c r="AX190" s="10">
        <f t="shared" si="92"/>
        <v>0</v>
      </c>
    </row>
    <row r="191" spans="1:50" x14ac:dyDescent="0.25">
      <c r="A191" s="5">
        <v>233003</v>
      </c>
      <c r="B191" s="6" t="s">
        <v>188</v>
      </c>
      <c r="C191" s="1">
        <f>SUMIFS(
  '[1]Hoja 1'!$M:$M,
  '[1]Hoja 1'!$S:$S, $A191,
  '[1]Hoja 1'!$R:$R, "&gt;="&amp;INT($E$1),
  '[1]Hoja 1'!$R:$R, "&lt;"&amp;INT($F$1+1)
)</f>
        <v>0</v>
      </c>
      <c r="D191" s="1" t="str">
        <f>""</f>
        <v/>
      </c>
      <c r="F191" s="2"/>
      <c r="G191" s="1">
        <f>SUMIFS(
  '[1]Hoja 1'!$M:$M,
  '[1]Hoja 1'!$S:$S, $A191,
  '[1]Hoja 1'!$R:$R, "&gt;="&amp;INT($I$1),
  '[1]Hoja 1'!$R:$R, "&lt;"&amp;INT($J$1+1)
)</f>
        <v>0</v>
      </c>
      <c r="H191" s="1">
        <f t="shared" si="62"/>
        <v>0</v>
      </c>
      <c r="I191" s="1"/>
      <c r="J191" s="2"/>
      <c r="K191" s="1">
        <f>SUMIFS(
  '[1]Hoja 1'!$M:$M,
  '[1]Hoja 1'!$S:$S, $A191,
  '[1]Hoja 1'!$R:$R, "&gt;="&amp;INT($M$1),
  '[1]Hoja 1'!$R:$R, "&lt;"&amp;INT($N$1+1)
)</f>
        <v>0</v>
      </c>
      <c r="L191" s="1">
        <f t="shared" si="63"/>
        <v>0</v>
      </c>
      <c r="M191" s="9">
        <f t="shared" si="64"/>
        <v>0</v>
      </c>
      <c r="N191" s="10">
        <f t="shared" si="65"/>
        <v>0</v>
      </c>
      <c r="O191" s="1">
        <f>SUMIFS(
  '[1]Hoja 1'!$M:$M,
  '[1]Hoja 1'!$S:$S, $A191,
  '[1]Hoja 1'!$R:$R, "&gt;="&amp;INT($Q$1),
  '[1]Hoja 1'!$R:$R, "&lt;"&amp;INT($R$1+1)
)</f>
        <v>0</v>
      </c>
      <c r="P191" s="1">
        <f t="shared" si="66"/>
        <v>0</v>
      </c>
      <c r="Q191" s="9">
        <f t="shared" si="67"/>
        <v>0</v>
      </c>
      <c r="R191" s="10">
        <f t="shared" si="68"/>
        <v>0</v>
      </c>
      <c r="S191" s="1">
        <f>SUMIFS(
  '[1]Hoja 1'!$M:$M,
  '[1]Hoja 1'!$S:$S, $A191,
  '[1]Hoja 1'!$R:$R, "&gt;="&amp;INT($U$1),
  '[1]Hoja 1'!$R:$R, "&lt;"&amp;INT($V$1+1)
)</f>
        <v>0</v>
      </c>
      <c r="T191" s="1">
        <f t="shared" si="69"/>
        <v>0</v>
      </c>
      <c r="U191" s="9">
        <f t="shared" si="70"/>
        <v>-1.47</v>
      </c>
      <c r="V191" s="10">
        <f t="shared" si="71"/>
        <v>1.47</v>
      </c>
      <c r="W191" s="1">
        <f>SUMIFS(
  '[1]Hoja 1'!$M:$M,
  '[1]Hoja 1'!$S:$S, $A191,
  '[1]Hoja 1'!$R:$R, "&gt;="&amp;INT($Y$1),
  '[1]Hoja 1'!$R:$R, "&lt;"&amp;INT($Z$1+1)
)</f>
        <v>0</v>
      </c>
      <c r="X191" s="1">
        <f t="shared" si="72"/>
        <v>0</v>
      </c>
      <c r="Y191" s="9">
        <f t="shared" si="73"/>
        <v>0</v>
      </c>
      <c r="Z191" s="10">
        <f t="shared" si="74"/>
        <v>0</v>
      </c>
      <c r="AA191" s="1">
        <f>SUMIFS(
  '[1]Hoja 1'!$M:$M,
  '[1]Hoja 1'!$S:$S, $A191,
  '[1]Hoja 1'!$R:$R, "&gt;="&amp;INT($AC$1),
  '[1]Hoja 1'!$R:$R, "&lt;"&amp;INT($AD$1+1)
)</f>
        <v>0</v>
      </c>
      <c r="AB191" s="1">
        <f t="shared" si="75"/>
        <v>0</v>
      </c>
      <c r="AC191" s="9">
        <f t="shared" si="76"/>
        <v>0</v>
      </c>
      <c r="AD191" s="10">
        <f t="shared" si="77"/>
        <v>0</v>
      </c>
      <c r="AE191" s="1">
        <f>SUMIFS(
  '[1]Hoja 1'!$M:$M,
  '[1]Hoja 1'!$S:$S, $A191,
  '[1]Hoja 1'!$R:$R, "&gt;="&amp;INT($AG$1),
  '[1]Hoja 1'!$R:$R, "&lt;"&amp;INT($AH$1+1)
)</f>
        <v>0</v>
      </c>
      <c r="AF191" s="1">
        <f t="shared" si="78"/>
        <v>0</v>
      </c>
      <c r="AG191" s="9">
        <f t="shared" si="79"/>
        <v>0</v>
      </c>
      <c r="AH191" s="10">
        <f t="shared" si="80"/>
        <v>0</v>
      </c>
      <c r="AI191" s="1">
        <f>SUMIFS(
  '[1]Hoja 1'!$M:$M,
  '[1]Hoja 1'!$S:$S, $A191,
  '[1]Hoja 1'!$R:$R, "&gt;="&amp;INT($AK$1),
  '[1]Hoja 1'!$R:$R, "&lt;"&amp;INT($AJ$1+1)
)</f>
        <v>0</v>
      </c>
      <c r="AJ191" s="1">
        <f t="shared" si="81"/>
        <v>0</v>
      </c>
      <c r="AK191" s="9">
        <f t="shared" si="82"/>
        <v>0</v>
      </c>
      <c r="AL191" s="10">
        <f t="shared" si="83"/>
        <v>0</v>
      </c>
      <c r="AM191" s="1">
        <f>SUMIFS(
  '[1]Hoja 1'!$M:$M,
  '[1]Hoja 1'!$S:$S, $A191,
  '[1]Hoja 1'!$R:$R, "&gt;="&amp;INT($AO$1),
  '[1]Hoja 1'!$R:$R, "&lt;"&amp;INT($AP$1+1)
)</f>
        <v>0</v>
      </c>
      <c r="AN191" s="1">
        <f t="shared" si="84"/>
        <v>0</v>
      </c>
      <c r="AO191" s="9">
        <f t="shared" si="85"/>
        <v>0</v>
      </c>
      <c r="AP191" s="10">
        <f t="shared" si="86"/>
        <v>0</v>
      </c>
      <c r="AQ191" s="1">
        <f>SUMIFS(
  '[1]Hoja 1'!$M:$M,
  '[1]Hoja 1'!$S:$S, $A191,
  '[1]Hoja 1'!$R:$R, "&gt;="&amp;INT($AS$1),
  '[1]Hoja 1'!$R:$R, "&lt;"&amp;INT($AT$1+1)
)</f>
        <v>0</v>
      </c>
      <c r="AR191" s="1">
        <f t="shared" si="87"/>
        <v>0</v>
      </c>
      <c r="AS191" s="9">
        <f t="shared" si="88"/>
        <v>0</v>
      </c>
      <c r="AT191" s="10">
        <f t="shared" si="89"/>
        <v>0</v>
      </c>
      <c r="AU191" s="1">
        <f>SUMIFS(
  '[1]Hoja 1'!$M:$M,
  '[1]Hoja 1'!$S:$S, $A191,
  '[1]Hoja 1'!$R:$R, "&gt;="&amp;INT($AW$1),
  '[1]Hoja 1'!$R:$R, "&lt;"&amp;INT($AX$1+1)
)</f>
        <v>0</v>
      </c>
      <c r="AV191" s="1">
        <f t="shared" si="90"/>
        <v>0</v>
      </c>
      <c r="AW191" s="9">
        <f t="shared" si="91"/>
        <v>0</v>
      </c>
      <c r="AX191" s="10">
        <f t="shared" si="92"/>
        <v>0</v>
      </c>
    </row>
    <row r="192" spans="1:50" x14ac:dyDescent="0.25">
      <c r="A192" s="5">
        <v>233004</v>
      </c>
      <c r="B192" s="6" t="s">
        <v>189</v>
      </c>
      <c r="C192" s="1">
        <f>SUMIFS(
  '[1]Hoja 1'!$M:$M,
  '[1]Hoja 1'!$S:$S, $A192,
  '[1]Hoja 1'!$R:$R, "&gt;="&amp;INT($E$1),
  '[1]Hoja 1'!$R:$R, "&lt;"&amp;INT($F$1+1)
)</f>
        <v>0</v>
      </c>
      <c r="D192" s="1" t="str">
        <f>""</f>
        <v/>
      </c>
      <c r="F192" s="2"/>
      <c r="G192" s="1">
        <f>SUMIFS(
  '[1]Hoja 1'!$M:$M,
  '[1]Hoja 1'!$S:$S, $A192,
  '[1]Hoja 1'!$R:$R, "&gt;="&amp;INT($I$1),
  '[1]Hoja 1'!$R:$R, "&lt;"&amp;INT($J$1+1)
)</f>
        <v>0</v>
      </c>
      <c r="H192" s="1">
        <f t="shared" si="62"/>
        <v>0</v>
      </c>
      <c r="I192" s="1"/>
      <c r="J192" s="2"/>
      <c r="K192" s="1">
        <f>SUMIFS(
  '[1]Hoja 1'!$M:$M,
  '[1]Hoja 1'!$S:$S, $A192,
  '[1]Hoja 1'!$R:$R, "&gt;="&amp;INT($M$1),
  '[1]Hoja 1'!$R:$R, "&lt;"&amp;INT($N$1+1)
)</f>
        <v>0</v>
      </c>
      <c r="L192" s="1">
        <f t="shared" si="63"/>
        <v>0</v>
      </c>
      <c r="M192" s="9">
        <f t="shared" si="64"/>
        <v>0</v>
      </c>
      <c r="N192" s="10">
        <f t="shared" si="65"/>
        <v>0</v>
      </c>
      <c r="O192" s="1">
        <f>SUMIFS(
  '[1]Hoja 1'!$M:$M,
  '[1]Hoja 1'!$S:$S, $A192,
  '[1]Hoja 1'!$R:$R, "&gt;="&amp;INT($Q$1),
  '[1]Hoja 1'!$R:$R, "&lt;"&amp;INT($R$1+1)
)</f>
        <v>0</v>
      </c>
      <c r="P192" s="1">
        <f t="shared" si="66"/>
        <v>0</v>
      </c>
      <c r="Q192" s="9">
        <f t="shared" si="67"/>
        <v>0</v>
      </c>
      <c r="R192" s="10">
        <f t="shared" si="68"/>
        <v>0</v>
      </c>
      <c r="S192" s="1">
        <f>SUMIFS(
  '[1]Hoja 1'!$M:$M,
  '[1]Hoja 1'!$S:$S, $A192,
  '[1]Hoja 1'!$R:$R, "&gt;="&amp;INT($U$1),
  '[1]Hoja 1'!$R:$R, "&lt;"&amp;INT($V$1+1)
)</f>
        <v>0</v>
      </c>
      <c r="T192" s="1">
        <f t="shared" si="69"/>
        <v>0</v>
      </c>
      <c r="U192" s="9">
        <f t="shared" si="70"/>
        <v>-1.47</v>
      </c>
      <c r="V192" s="10">
        <f t="shared" si="71"/>
        <v>1.47</v>
      </c>
      <c r="W192" s="1">
        <f>SUMIFS(
  '[1]Hoja 1'!$M:$M,
  '[1]Hoja 1'!$S:$S, $A192,
  '[1]Hoja 1'!$R:$R, "&gt;="&amp;INT($Y$1),
  '[1]Hoja 1'!$R:$R, "&lt;"&amp;INT($Z$1+1)
)</f>
        <v>0</v>
      </c>
      <c r="X192" s="1">
        <f t="shared" si="72"/>
        <v>0</v>
      </c>
      <c r="Y192" s="9">
        <f t="shared" si="73"/>
        <v>0</v>
      </c>
      <c r="Z192" s="10">
        <f t="shared" si="74"/>
        <v>0</v>
      </c>
      <c r="AA192" s="1">
        <f>SUMIFS(
  '[1]Hoja 1'!$M:$M,
  '[1]Hoja 1'!$S:$S, $A192,
  '[1]Hoja 1'!$R:$R, "&gt;="&amp;INT($AC$1),
  '[1]Hoja 1'!$R:$R, "&lt;"&amp;INT($AD$1+1)
)</f>
        <v>0</v>
      </c>
      <c r="AB192" s="1">
        <f t="shared" si="75"/>
        <v>0</v>
      </c>
      <c r="AC192" s="9">
        <f t="shared" si="76"/>
        <v>0</v>
      </c>
      <c r="AD192" s="10">
        <f t="shared" si="77"/>
        <v>0</v>
      </c>
      <c r="AE192" s="1">
        <f>SUMIFS(
  '[1]Hoja 1'!$M:$M,
  '[1]Hoja 1'!$S:$S, $A192,
  '[1]Hoja 1'!$R:$R, "&gt;="&amp;INT($AG$1),
  '[1]Hoja 1'!$R:$R, "&lt;"&amp;INT($AH$1+1)
)</f>
        <v>0</v>
      </c>
      <c r="AF192" s="1">
        <f t="shared" si="78"/>
        <v>0</v>
      </c>
      <c r="AG192" s="9">
        <f t="shared" si="79"/>
        <v>0</v>
      </c>
      <c r="AH192" s="10">
        <f t="shared" si="80"/>
        <v>0</v>
      </c>
      <c r="AI192" s="1">
        <f>SUMIFS(
  '[1]Hoja 1'!$M:$M,
  '[1]Hoja 1'!$S:$S, $A192,
  '[1]Hoja 1'!$R:$R, "&gt;="&amp;INT($AK$1),
  '[1]Hoja 1'!$R:$R, "&lt;"&amp;INT($AJ$1+1)
)</f>
        <v>0</v>
      </c>
      <c r="AJ192" s="1">
        <f t="shared" si="81"/>
        <v>0</v>
      </c>
      <c r="AK192" s="9">
        <f t="shared" si="82"/>
        <v>0</v>
      </c>
      <c r="AL192" s="10">
        <f t="shared" si="83"/>
        <v>0</v>
      </c>
      <c r="AM192" s="1">
        <f>SUMIFS(
  '[1]Hoja 1'!$M:$M,
  '[1]Hoja 1'!$S:$S, $A192,
  '[1]Hoja 1'!$R:$R, "&gt;="&amp;INT($AO$1),
  '[1]Hoja 1'!$R:$R, "&lt;"&amp;INT($AP$1+1)
)</f>
        <v>0</v>
      </c>
      <c r="AN192" s="1">
        <f t="shared" si="84"/>
        <v>0</v>
      </c>
      <c r="AO192" s="9">
        <f t="shared" si="85"/>
        <v>0</v>
      </c>
      <c r="AP192" s="10">
        <f t="shared" si="86"/>
        <v>0</v>
      </c>
      <c r="AQ192" s="1">
        <f>SUMIFS(
  '[1]Hoja 1'!$M:$M,
  '[1]Hoja 1'!$S:$S, $A192,
  '[1]Hoja 1'!$R:$R, "&gt;="&amp;INT($AS$1),
  '[1]Hoja 1'!$R:$R, "&lt;"&amp;INT($AT$1+1)
)</f>
        <v>0</v>
      </c>
      <c r="AR192" s="1">
        <f t="shared" si="87"/>
        <v>0</v>
      </c>
      <c r="AS192" s="9">
        <f t="shared" si="88"/>
        <v>0</v>
      </c>
      <c r="AT192" s="10">
        <f t="shared" si="89"/>
        <v>0</v>
      </c>
      <c r="AU192" s="1">
        <f>SUMIFS(
  '[1]Hoja 1'!$M:$M,
  '[1]Hoja 1'!$S:$S, $A192,
  '[1]Hoja 1'!$R:$R, "&gt;="&amp;INT($AW$1),
  '[1]Hoja 1'!$R:$R, "&lt;"&amp;INT($AX$1+1)
)</f>
        <v>0</v>
      </c>
      <c r="AV192" s="1">
        <f t="shared" si="90"/>
        <v>0</v>
      </c>
      <c r="AW192" s="9">
        <f t="shared" si="91"/>
        <v>0</v>
      </c>
      <c r="AX192" s="10">
        <f t="shared" si="92"/>
        <v>0</v>
      </c>
    </row>
    <row r="193" spans="1:50" x14ac:dyDescent="0.25">
      <c r="A193" s="5">
        <v>234001</v>
      </c>
      <c r="B193" s="6" t="s">
        <v>190</v>
      </c>
      <c r="C193" s="1">
        <f>SUMIFS(
  '[1]Hoja 1'!$M:$M,
  '[1]Hoja 1'!$S:$S, $A193,
  '[1]Hoja 1'!$R:$R, "&gt;="&amp;INT($E$1),
  '[1]Hoja 1'!$R:$R, "&lt;"&amp;INT($F$1+1)
)</f>
        <v>43</v>
      </c>
      <c r="D193" s="1" t="str">
        <f>""</f>
        <v/>
      </c>
      <c r="F193" s="2"/>
      <c r="G193" s="1">
        <f>SUMIFS(
  '[1]Hoja 1'!$M:$M,
  '[1]Hoja 1'!$S:$S, $A193,
  '[1]Hoja 1'!$R:$R, "&gt;="&amp;INT($I$1),
  '[1]Hoja 1'!$R:$R, "&lt;"&amp;INT($J$1+1)
)</f>
        <v>22</v>
      </c>
      <c r="H193" s="1">
        <f t="shared" si="62"/>
        <v>33</v>
      </c>
      <c r="I193" s="1"/>
      <c r="J193" s="2"/>
      <c r="K193" s="1">
        <f>SUMIFS(
  '[1]Hoja 1'!$M:$M,
  '[1]Hoja 1'!$S:$S, $A193,
  '[1]Hoja 1'!$R:$R, "&gt;="&amp;INT($M$1),
  '[1]Hoja 1'!$R:$R, "&lt;"&amp;INT($N$1+1)
)</f>
        <v>0</v>
      </c>
      <c r="L193" s="1">
        <f t="shared" si="63"/>
        <v>11</v>
      </c>
      <c r="M193" s="9">
        <f t="shared" si="64"/>
        <v>10.307035354437183</v>
      </c>
      <c r="N193" s="10">
        <f t="shared" si="65"/>
        <v>11.692964645562817</v>
      </c>
      <c r="O193" s="1">
        <f>SUMIFS(
  '[1]Hoja 1'!$M:$M,
  '[1]Hoja 1'!$S:$S, $A193,
  '[1]Hoja 1'!$R:$R, "&gt;="&amp;INT($Q$1),
  '[1]Hoja 1'!$R:$R, "&lt;"&amp;INT($R$1+1)
)</f>
        <v>0</v>
      </c>
      <c r="P193" s="1">
        <f t="shared" si="66"/>
        <v>0</v>
      </c>
      <c r="Q193" s="9">
        <f t="shared" si="67"/>
        <v>-12.174634833675025</v>
      </c>
      <c r="R193" s="10">
        <f t="shared" si="68"/>
        <v>12.174634833675025</v>
      </c>
      <c r="S193" s="1">
        <f>SUMIFS(
  '[1]Hoja 1'!$M:$M,
  '[1]Hoja 1'!$S:$S, $A193,
  '[1]Hoja 1'!$R:$R, "&gt;="&amp;INT($U$1),
  '[1]Hoja 1'!$R:$R, "&lt;"&amp;INT($V$1+1)
)</f>
        <v>0</v>
      </c>
      <c r="T193" s="1">
        <f t="shared" si="69"/>
        <v>0</v>
      </c>
      <c r="U193" s="9">
        <f t="shared" si="70"/>
        <v>-11.386571037849805</v>
      </c>
      <c r="V193" s="10">
        <f t="shared" si="71"/>
        <v>11.386571037849805</v>
      </c>
      <c r="W193" s="1">
        <f>SUMIFS(
  '[1]Hoja 1'!$M:$M,
  '[1]Hoja 1'!$S:$S, $A193,
  '[1]Hoja 1'!$R:$R, "&gt;="&amp;INT($Y$1),
  '[1]Hoja 1'!$R:$R, "&lt;"&amp;INT($Z$1+1)
)</f>
        <v>0</v>
      </c>
      <c r="X193" s="1">
        <f t="shared" si="72"/>
        <v>0</v>
      </c>
      <c r="Y193" s="9">
        <f t="shared" si="73"/>
        <v>-11.545714356418143</v>
      </c>
      <c r="Z193" s="10">
        <f t="shared" si="74"/>
        <v>11.545714356418143</v>
      </c>
      <c r="AA193" s="1">
        <f>SUMIFS(
  '[1]Hoja 1'!$M:$M,
  '[1]Hoja 1'!$S:$S, $A193,
  '[1]Hoja 1'!$R:$R, "&gt;="&amp;INT($AC$1),
  '[1]Hoja 1'!$R:$R, "&lt;"&amp;INT($AD$1+1)
)</f>
        <v>0</v>
      </c>
      <c r="AB193" s="1">
        <f t="shared" si="75"/>
        <v>0</v>
      </c>
      <c r="AC193" s="9">
        <f t="shared" si="76"/>
        <v>-10.884913718843462</v>
      </c>
      <c r="AD193" s="10">
        <f t="shared" si="77"/>
        <v>10.884913718843462</v>
      </c>
      <c r="AE193" s="1">
        <f>SUMIFS(
  '[1]Hoja 1'!$M:$M,
  '[1]Hoja 1'!$S:$S, $A193,
  '[1]Hoja 1'!$R:$R, "&gt;="&amp;INT($AG$1),
  '[1]Hoja 1'!$R:$R, "&lt;"&amp;INT($AH$1+1)
)</f>
        <v>0</v>
      </c>
      <c r="AF193" s="1">
        <f t="shared" si="78"/>
        <v>0</v>
      </c>
      <c r="AG193" s="9">
        <f t="shared" si="79"/>
        <v>-10.28499878463775</v>
      </c>
      <c r="AH193" s="10">
        <f t="shared" si="80"/>
        <v>10.28499878463775</v>
      </c>
      <c r="AI193" s="1">
        <f>SUMIFS(
  '[1]Hoja 1'!$M:$M,
  '[1]Hoja 1'!$S:$S, $A193,
  '[1]Hoja 1'!$R:$R, "&gt;="&amp;INT($AK$1),
  '[1]Hoja 1'!$R:$R, "&lt;"&amp;INT($AJ$1+1)
)</f>
        <v>0</v>
      </c>
      <c r="AJ193" s="1">
        <f t="shared" si="81"/>
        <v>0</v>
      </c>
      <c r="AK193" s="9">
        <f t="shared" si="82"/>
        <v>-9.7570307983525399</v>
      </c>
      <c r="AL193" s="10">
        <f t="shared" si="83"/>
        <v>9.7570307983525399</v>
      </c>
      <c r="AM193" s="1">
        <f>SUMIFS(
  '[1]Hoja 1'!$M:$M,
  '[1]Hoja 1'!$S:$S, $A193,
  '[1]Hoja 1'!$R:$R, "&gt;="&amp;INT($AO$1),
  '[1]Hoja 1'!$R:$R, "&lt;"&amp;INT($AP$1+1)
)</f>
        <v>0</v>
      </c>
      <c r="AN193" s="1">
        <f t="shared" si="84"/>
        <v>0</v>
      </c>
      <c r="AO193" s="9">
        <f t="shared" si="85"/>
        <v>-9.294226403765105</v>
      </c>
      <c r="AP193" s="10">
        <f t="shared" si="86"/>
        <v>9.294226403765105</v>
      </c>
      <c r="AQ193" s="1">
        <f>SUMIFS(
  '[1]Hoja 1'!$M:$M,
  '[1]Hoja 1'!$S:$S, $A193,
  '[1]Hoja 1'!$R:$R, "&gt;="&amp;INT($AS$1),
  '[1]Hoja 1'!$R:$R, "&lt;"&amp;INT($AT$1+1)
)</f>
        <v>0</v>
      </c>
      <c r="AR193" s="1">
        <f t="shared" si="87"/>
        <v>0</v>
      </c>
      <c r="AS193" s="9">
        <f t="shared" si="88"/>
        <v>-8.8868944706985999</v>
      </c>
      <c r="AT193" s="10">
        <f t="shared" si="89"/>
        <v>8.8868944706985999</v>
      </c>
      <c r="AU193" s="1">
        <f>SUMIFS(
  '[1]Hoja 1'!$M:$M,
  '[1]Hoja 1'!$S:$S, $A193,
  '[1]Hoja 1'!$R:$R, "&gt;="&amp;INT($AW$1),
  '[1]Hoja 1'!$R:$R, "&lt;"&amp;INT($AX$1+1)
)</f>
        <v>0</v>
      </c>
      <c r="AV193" s="1">
        <f t="shared" si="90"/>
        <v>0</v>
      </c>
      <c r="AW193" s="9">
        <f t="shared" si="91"/>
        <v>-8.5260512015181487</v>
      </c>
      <c r="AX193" s="10">
        <f t="shared" si="92"/>
        <v>8.5260512015181487</v>
      </c>
    </row>
    <row r="194" spans="1:50" x14ac:dyDescent="0.25">
      <c r="A194" s="5">
        <v>234011</v>
      </c>
      <c r="B194" s="6" t="s">
        <v>191</v>
      </c>
      <c r="C194" s="1">
        <f>SUMIFS(
  '[1]Hoja 1'!$M:$M,
  '[1]Hoja 1'!$S:$S, $A194,
  '[1]Hoja 1'!$R:$R, "&gt;="&amp;INT($E$1),
  '[1]Hoja 1'!$R:$R, "&lt;"&amp;INT($F$1+1)
)</f>
        <v>14</v>
      </c>
      <c r="D194" s="1" t="str">
        <f>""</f>
        <v/>
      </c>
      <c r="F194" s="2"/>
      <c r="G194" s="1">
        <f>SUMIFS(
  '[1]Hoja 1'!$M:$M,
  '[1]Hoja 1'!$S:$S, $A194,
  '[1]Hoja 1'!$R:$R, "&gt;="&amp;INT($I$1),
  '[1]Hoja 1'!$R:$R, "&lt;"&amp;INT($J$1+1)
)</f>
        <v>12</v>
      </c>
      <c r="H194" s="1">
        <f t="shared" si="62"/>
        <v>13</v>
      </c>
      <c r="I194" s="1"/>
      <c r="J194" s="2"/>
      <c r="K194" s="1">
        <f>SUMIFS(
  '[1]Hoja 1'!$M:$M,
  '[1]Hoja 1'!$S:$S, $A194,
  '[1]Hoja 1'!$R:$R, "&gt;="&amp;INT($M$1),
  '[1]Hoja 1'!$R:$R, "&lt;"&amp;INT($N$1+1)
)</f>
        <v>0</v>
      </c>
      <c r="L194" s="1">
        <f t="shared" si="63"/>
        <v>6</v>
      </c>
      <c r="M194" s="9">
        <f t="shared" si="64"/>
        <v>-0.92964645562816628</v>
      </c>
      <c r="N194" s="10">
        <f t="shared" si="65"/>
        <v>12.929646455628166</v>
      </c>
      <c r="O194" s="1">
        <f>SUMIFS(
  '[1]Hoja 1'!$M:$M,
  '[1]Hoja 1'!$S:$S, $A194,
  '[1]Hoja 1'!$R:$R, "&gt;="&amp;INT($Q$1),
  '[1]Hoja 1'!$R:$R, "&lt;"&amp;INT($R$1+1)
)</f>
        <v>0</v>
      </c>
      <c r="P194" s="1">
        <f t="shared" si="66"/>
        <v>0</v>
      </c>
      <c r="Q194" s="9">
        <f t="shared" si="67"/>
        <v>-6.3005184971820638</v>
      </c>
      <c r="R194" s="10">
        <f t="shared" si="68"/>
        <v>6.3005184971820638</v>
      </c>
      <c r="S194" s="1">
        <f>SUMIFS(
  '[1]Hoja 1'!$M:$M,
  '[1]Hoja 1'!$S:$S, $A194,
  '[1]Hoja 1'!$R:$R, "&gt;="&amp;INT($U$1),
  '[1]Hoja 1'!$R:$R, "&lt;"&amp;INT($V$1+1)
)</f>
        <v>0</v>
      </c>
      <c r="T194" s="1">
        <f t="shared" si="69"/>
        <v>0</v>
      </c>
      <c r="U194" s="9">
        <f t="shared" si="70"/>
        <v>-5.2087714482399781</v>
      </c>
      <c r="V194" s="10">
        <f t="shared" si="71"/>
        <v>5.2087714482399781</v>
      </c>
      <c r="W194" s="1">
        <f>SUMIFS(
  '[1]Hoja 1'!$M:$M,
  '[1]Hoja 1'!$S:$S, $A194,
  '[1]Hoja 1'!$R:$R, "&gt;="&amp;INT($Y$1),
  '[1]Hoja 1'!$R:$R, "&lt;"&amp;INT($Z$1+1)
)</f>
        <v>0</v>
      </c>
      <c r="X194" s="1">
        <f t="shared" si="72"/>
        <v>0</v>
      </c>
      <c r="Y194" s="9">
        <f t="shared" si="73"/>
        <v>-5.1110546856788766</v>
      </c>
      <c r="Z194" s="10">
        <f t="shared" si="74"/>
        <v>5.1110546856788766</v>
      </c>
      <c r="AA194" s="1">
        <f>SUMIFS(
  '[1]Hoja 1'!$M:$M,
  '[1]Hoja 1'!$S:$S, $A194,
  '[1]Hoja 1'!$R:$R, "&gt;="&amp;INT($AC$1),
  '[1]Hoja 1'!$R:$R, "&lt;"&amp;INT($AD$1+1)
)</f>
        <v>0</v>
      </c>
      <c r="AB194" s="1">
        <f t="shared" si="75"/>
        <v>0</v>
      </c>
      <c r="AC194" s="9">
        <f t="shared" si="76"/>
        <v>-4.7067214349976849</v>
      </c>
      <c r="AD194" s="10">
        <f t="shared" si="77"/>
        <v>4.7067214349976849</v>
      </c>
      <c r="AE194" s="1">
        <f>SUMIFS(
  '[1]Hoja 1'!$M:$M,
  '[1]Hoja 1'!$S:$S, $A194,
  '[1]Hoja 1'!$R:$R, "&gt;="&amp;INT($AG$1),
  '[1]Hoja 1'!$R:$R, "&lt;"&amp;INT($AH$1+1)
)</f>
        <v>0</v>
      </c>
      <c r="AF194" s="1">
        <f t="shared" si="78"/>
        <v>0</v>
      </c>
      <c r="AG194" s="9">
        <f t="shared" si="79"/>
        <v>-4.3826932358995876</v>
      </c>
      <c r="AH194" s="10">
        <f t="shared" si="80"/>
        <v>4.3826932358995876</v>
      </c>
      <c r="AI194" s="1">
        <f>SUMIFS(
  '[1]Hoja 1'!$M:$M,
  '[1]Hoja 1'!$S:$S, $A194,
  '[1]Hoja 1'!$R:$R, "&gt;="&amp;INT($AK$1),
  '[1]Hoja 1'!$R:$R, "&lt;"&amp;INT($AJ$1+1)
)</f>
        <v>0</v>
      </c>
      <c r="AJ194" s="1">
        <f t="shared" si="81"/>
        <v>0</v>
      </c>
      <c r="AK194" s="9">
        <f t="shared" si="82"/>
        <v>-4.1163333198369632</v>
      </c>
      <c r="AL194" s="10">
        <f t="shared" si="83"/>
        <v>4.1163333198369632</v>
      </c>
      <c r="AM194" s="1">
        <f>SUMIFS(
  '[1]Hoja 1'!$M:$M,
  '[1]Hoja 1'!$S:$S, $A194,
  '[1]Hoja 1'!$R:$R, "&gt;="&amp;INT($AO$1),
  '[1]Hoja 1'!$R:$R, "&lt;"&amp;INT($AP$1+1)
)</f>
        <v>0</v>
      </c>
      <c r="AN194" s="1">
        <f t="shared" si="84"/>
        <v>0</v>
      </c>
      <c r="AO194" s="9">
        <f t="shared" si="85"/>
        <v>-3.8926825940189085</v>
      </c>
      <c r="AP194" s="10">
        <f t="shared" si="86"/>
        <v>3.8926825940189085</v>
      </c>
      <c r="AQ194" s="1">
        <f>SUMIFS(
  '[1]Hoja 1'!$M:$M,
  '[1]Hoja 1'!$S:$S, $A194,
  '[1]Hoja 1'!$R:$R, "&gt;="&amp;INT($AS$1),
  '[1]Hoja 1'!$R:$R, "&lt;"&amp;INT($AT$1+1)
)</f>
        <v>0</v>
      </c>
      <c r="AR194" s="1">
        <f t="shared" si="87"/>
        <v>0</v>
      </c>
      <c r="AS194" s="9">
        <f t="shared" si="88"/>
        <v>-3.7015816439282636</v>
      </c>
      <c r="AT194" s="10">
        <f t="shared" si="89"/>
        <v>3.7015816439282636</v>
      </c>
      <c r="AU194" s="1">
        <f>SUMIFS(
  '[1]Hoja 1'!$M:$M,
  '[1]Hoja 1'!$S:$S, $A194,
  '[1]Hoja 1'!$R:$R, "&gt;="&amp;INT($AW$1),
  '[1]Hoja 1'!$R:$R, "&lt;"&amp;INT($AX$1+1)
)</f>
        <v>0</v>
      </c>
      <c r="AV194" s="1">
        <f t="shared" si="90"/>
        <v>0</v>
      </c>
      <c r="AW194" s="9">
        <f t="shared" si="91"/>
        <v>-3.5359103238320144</v>
      </c>
      <c r="AX194" s="10">
        <f t="shared" si="92"/>
        <v>3.5359103238320144</v>
      </c>
    </row>
    <row r="195" spans="1:50" x14ac:dyDescent="0.25">
      <c r="A195" s="5">
        <v>235001</v>
      </c>
      <c r="B195" s="6" t="s">
        <v>192</v>
      </c>
      <c r="C195" s="1">
        <f>SUMIFS(
  '[1]Hoja 1'!$M:$M,
  '[1]Hoja 1'!$S:$S, $A195,
  '[1]Hoja 1'!$R:$R, "&gt;="&amp;INT($E$1),
  '[1]Hoja 1'!$R:$R, "&lt;"&amp;INT($F$1+1)
)</f>
        <v>0</v>
      </c>
      <c r="D195" s="1" t="str">
        <f>""</f>
        <v/>
      </c>
      <c r="F195" s="2"/>
      <c r="G195" s="1">
        <f>SUMIFS(
  '[1]Hoja 1'!$M:$M,
  '[1]Hoja 1'!$S:$S, $A195,
  '[1]Hoja 1'!$R:$R, "&gt;="&amp;INT($I$1),
  '[1]Hoja 1'!$R:$R, "&lt;"&amp;INT($J$1+1)
)</f>
        <v>0</v>
      </c>
      <c r="H195" s="1">
        <f t="shared" si="62"/>
        <v>0</v>
      </c>
      <c r="I195" s="1"/>
      <c r="J195" s="2"/>
      <c r="K195" s="1">
        <f>SUMIFS(
  '[1]Hoja 1'!$M:$M,
  '[1]Hoja 1'!$S:$S, $A195,
  '[1]Hoja 1'!$R:$R, "&gt;="&amp;INT($M$1),
  '[1]Hoja 1'!$R:$R, "&lt;"&amp;INT($N$1+1)
)</f>
        <v>0</v>
      </c>
      <c r="L195" s="1">
        <f t="shared" si="63"/>
        <v>0</v>
      </c>
      <c r="M195" s="9">
        <f t="shared" si="64"/>
        <v>0</v>
      </c>
      <c r="N195" s="10">
        <f t="shared" si="65"/>
        <v>0</v>
      </c>
      <c r="O195" s="1">
        <f>SUMIFS(
  '[1]Hoja 1'!$M:$M,
  '[1]Hoja 1'!$S:$S, $A195,
  '[1]Hoja 1'!$R:$R, "&gt;="&amp;INT($Q$1),
  '[1]Hoja 1'!$R:$R, "&lt;"&amp;INT($R$1+1)
)</f>
        <v>0</v>
      </c>
      <c r="P195" s="1">
        <f t="shared" si="66"/>
        <v>0</v>
      </c>
      <c r="Q195" s="9">
        <f t="shared" si="67"/>
        <v>0</v>
      </c>
      <c r="R195" s="10">
        <f t="shared" si="68"/>
        <v>0</v>
      </c>
      <c r="S195" s="1">
        <f>SUMIFS(
  '[1]Hoja 1'!$M:$M,
  '[1]Hoja 1'!$S:$S, $A195,
  '[1]Hoja 1'!$R:$R, "&gt;="&amp;INT($U$1),
  '[1]Hoja 1'!$R:$R, "&lt;"&amp;INT($V$1+1)
)</f>
        <v>0</v>
      </c>
      <c r="T195" s="1">
        <f t="shared" si="69"/>
        <v>0</v>
      </c>
      <c r="U195" s="9">
        <f t="shared" si="70"/>
        <v>-1.47</v>
      </c>
      <c r="V195" s="10">
        <f t="shared" si="71"/>
        <v>1.47</v>
      </c>
      <c r="W195" s="1">
        <f>SUMIFS(
  '[1]Hoja 1'!$M:$M,
  '[1]Hoja 1'!$S:$S, $A195,
  '[1]Hoja 1'!$R:$R, "&gt;="&amp;INT($Y$1),
  '[1]Hoja 1'!$R:$R, "&lt;"&amp;INT($Z$1+1)
)</f>
        <v>0</v>
      </c>
      <c r="X195" s="1">
        <f t="shared" si="72"/>
        <v>0</v>
      </c>
      <c r="Y195" s="9">
        <f t="shared" si="73"/>
        <v>0</v>
      </c>
      <c r="Z195" s="10">
        <f t="shared" si="74"/>
        <v>0</v>
      </c>
      <c r="AA195" s="1">
        <f>SUMIFS(
  '[1]Hoja 1'!$M:$M,
  '[1]Hoja 1'!$S:$S, $A195,
  '[1]Hoja 1'!$R:$R, "&gt;="&amp;INT($AC$1),
  '[1]Hoja 1'!$R:$R, "&lt;"&amp;INT($AD$1+1)
)</f>
        <v>0</v>
      </c>
      <c r="AB195" s="1">
        <f t="shared" si="75"/>
        <v>0</v>
      </c>
      <c r="AC195" s="9">
        <f t="shared" si="76"/>
        <v>0</v>
      </c>
      <c r="AD195" s="10">
        <f t="shared" si="77"/>
        <v>0</v>
      </c>
      <c r="AE195" s="1">
        <f>SUMIFS(
  '[1]Hoja 1'!$M:$M,
  '[1]Hoja 1'!$S:$S, $A195,
  '[1]Hoja 1'!$R:$R, "&gt;="&amp;INT($AG$1),
  '[1]Hoja 1'!$R:$R, "&lt;"&amp;INT($AH$1+1)
)</f>
        <v>0</v>
      </c>
      <c r="AF195" s="1">
        <f t="shared" si="78"/>
        <v>0</v>
      </c>
      <c r="AG195" s="9">
        <f t="shared" si="79"/>
        <v>0</v>
      </c>
      <c r="AH195" s="10">
        <f t="shared" si="80"/>
        <v>0</v>
      </c>
      <c r="AI195" s="1">
        <f>SUMIFS(
  '[1]Hoja 1'!$M:$M,
  '[1]Hoja 1'!$S:$S, $A195,
  '[1]Hoja 1'!$R:$R, "&gt;="&amp;INT($AK$1),
  '[1]Hoja 1'!$R:$R, "&lt;"&amp;INT($AJ$1+1)
)</f>
        <v>0</v>
      </c>
      <c r="AJ195" s="1">
        <f t="shared" si="81"/>
        <v>0</v>
      </c>
      <c r="AK195" s="9">
        <f t="shared" si="82"/>
        <v>0</v>
      </c>
      <c r="AL195" s="10">
        <f t="shared" si="83"/>
        <v>0</v>
      </c>
      <c r="AM195" s="1">
        <f>SUMIFS(
  '[1]Hoja 1'!$M:$M,
  '[1]Hoja 1'!$S:$S, $A195,
  '[1]Hoja 1'!$R:$R, "&gt;="&amp;INT($AO$1),
  '[1]Hoja 1'!$R:$R, "&lt;"&amp;INT($AP$1+1)
)</f>
        <v>0</v>
      </c>
      <c r="AN195" s="1">
        <f t="shared" si="84"/>
        <v>0</v>
      </c>
      <c r="AO195" s="9">
        <f t="shared" si="85"/>
        <v>0</v>
      </c>
      <c r="AP195" s="10">
        <f t="shared" si="86"/>
        <v>0</v>
      </c>
      <c r="AQ195" s="1">
        <f>SUMIFS(
  '[1]Hoja 1'!$M:$M,
  '[1]Hoja 1'!$S:$S, $A195,
  '[1]Hoja 1'!$R:$R, "&gt;="&amp;INT($AS$1),
  '[1]Hoja 1'!$R:$R, "&lt;"&amp;INT($AT$1+1)
)</f>
        <v>0</v>
      </c>
      <c r="AR195" s="1">
        <f t="shared" si="87"/>
        <v>0</v>
      </c>
      <c r="AS195" s="9">
        <f t="shared" si="88"/>
        <v>0</v>
      </c>
      <c r="AT195" s="10">
        <f t="shared" si="89"/>
        <v>0</v>
      </c>
      <c r="AU195" s="1">
        <f>SUMIFS(
  '[1]Hoja 1'!$M:$M,
  '[1]Hoja 1'!$S:$S, $A195,
  '[1]Hoja 1'!$R:$R, "&gt;="&amp;INT($AW$1),
  '[1]Hoja 1'!$R:$R, "&lt;"&amp;INT($AX$1+1)
)</f>
        <v>0</v>
      </c>
      <c r="AV195" s="1">
        <f t="shared" si="90"/>
        <v>0</v>
      </c>
      <c r="AW195" s="9">
        <f t="shared" si="91"/>
        <v>0</v>
      </c>
      <c r="AX195" s="10">
        <f t="shared" si="92"/>
        <v>0</v>
      </c>
    </row>
    <row r="196" spans="1:50" x14ac:dyDescent="0.25">
      <c r="A196" s="5">
        <v>235002</v>
      </c>
      <c r="B196" s="6" t="s">
        <v>193</v>
      </c>
      <c r="C196" s="1">
        <f>SUMIFS(
  '[1]Hoja 1'!$M:$M,
  '[1]Hoja 1'!$S:$S, $A196,
  '[1]Hoja 1'!$R:$R, "&gt;="&amp;INT($E$1),
  '[1]Hoja 1'!$R:$R, "&lt;"&amp;INT($F$1+1)
)</f>
        <v>0</v>
      </c>
      <c r="D196" s="1" t="str">
        <f>""</f>
        <v/>
      </c>
      <c r="F196" s="2"/>
      <c r="G196" s="1">
        <f>SUMIFS(
  '[1]Hoja 1'!$M:$M,
  '[1]Hoja 1'!$S:$S, $A196,
  '[1]Hoja 1'!$R:$R, "&gt;="&amp;INT($I$1),
  '[1]Hoja 1'!$R:$R, "&lt;"&amp;INT($J$1+1)
)</f>
        <v>0</v>
      </c>
      <c r="H196" s="1">
        <f t="shared" ref="H196:H232" si="93">IF(
    OR(ISBLANK(C196),ISBLANK(G196)),
    "",
    ROUND(AVERAGE(C196,G196),0)
)</f>
        <v>0</v>
      </c>
      <c r="I196" s="1"/>
      <c r="J196" s="2"/>
      <c r="K196" s="1">
        <f>SUMIFS(
  '[1]Hoja 1'!$M:$M,
  '[1]Hoja 1'!$S:$S, $A196,
  '[1]Hoja 1'!$R:$R, "&gt;="&amp;INT($M$1),
  '[1]Hoja 1'!$R:$R, "&lt;"&amp;INT($N$1+1)
)</f>
        <v>0</v>
      </c>
      <c r="L196" s="1">
        <f t="shared" ref="L196:L232" si="94">IF(
    OR(ISBLANK(G196),ISBLANK(K196)),
    "",
    AVERAGE(G196,K196)
)</f>
        <v>0</v>
      </c>
      <c r="M196" s="9">
        <f t="shared" ref="M196:M232" si="95">IF(
  OR(ISBLANK(L196),ISBLANK(G196),ISBLANK(K196),ISBLANK(C196)),
  "",
    L196 - 1.96*_xlfn.STDEV.S(
    G196-AVERAGE(C196,G196),
    K196-AVERAGE(G196,K196)
  )
)</f>
        <v>0</v>
      </c>
      <c r="N196" s="10">
        <f t="shared" ref="N196:N232" si="96">IF(
  OR(ISBLANK(L196),ISBLANK(G196),ISBLANK(K196),ISBLANK(C196)),
  "",
  L196 + 1.96*_xlfn.STDEV.S(
    G196-AVERAGE(C196,G196),
    K196-AVERAGE(G196,K196)
  )
)</f>
        <v>0</v>
      </c>
      <c r="O196" s="1">
        <f>SUMIFS(
  '[1]Hoja 1'!$M:$M,
  '[1]Hoja 1'!$S:$S, $A196,
  '[1]Hoja 1'!$R:$R, "&gt;="&amp;INT($Q$1),
  '[1]Hoja 1'!$R:$R, "&lt;"&amp;INT($R$1+1)
)</f>
        <v>0</v>
      </c>
      <c r="P196" s="1">
        <f t="shared" ref="P196:P232" si="97">IF(
    OR(ISBLANK(K196),ISBLANK(O196)),
    "",
    AVERAGE(K196,O196)
)</f>
        <v>0</v>
      </c>
      <c r="Q196" s="9">
        <f t="shared" ref="Q196:Q232" si="98" xml:space="preserve"> P196 - 1.96*_xlfn.STDEV.S(
  G196-AVERAGE(C196,G196),
  K196-AVERAGE(G196,K196),
  O196-AVERAGE(K196,O196)
)</f>
        <v>0</v>
      </c>
      <c r="R196" s="10">
        <f t="shared" ref="R196:R232" si="99" xml:space="preserve"> P196 + 1.96*_xlfn.STDEV.S(
  G196-AVERAGE(C196,G196),
  K196-AVERAGE(G196,K196),
  O196-AVERAGE(K196,O196)
)</f>
        <v>0</v>
      </c>
      <c r="S196" s="1">
        <f>SUMIFS(
  '[1]Hoja 1'!$M:$M,
  '[1]Hoja 1'!$S:$S, $A196,
  '[1]Hoja 1'!$R:$R, "&gt;="&amp;INT($U$1),
  '[1]Hoja 1'!$R:$R, "&lt;"&amp;INT($V$1+1)
)</f>
        <v>0</v>
      </c>
      <c r="T196" s="1">
        <f t="shared" ref="T196:T232" si="100">IF(
    OR(ISBLANK(O196),ISBLANK(S196)),
    "",
    ROUND(AVERAGE(O196,S196),0)
)</f>
        <v>0</v>
      </c>
      <c r="U196" s="9">
        <f t="shared" ref="U196:U232" si="101" xml:space="preserve"> T196 - 1.96*_xlfn.STDEV.S(
  G196-AVERAGE(C196,G196),
  K196-AVERAGE(G196,K196),
  O196-AVERAGE(K196,O196),
  S196-AVERAGE(3,S196)
)</f>
        <v>-1.47</v>
      </c>
      <c r="V196" s="10">
        <f t="shared" ref="V196:V232" si="102" xml:space="preserve"> T196 + 1.96*_xlfn.STDEV.S(
  G196-AVERAGE(C196,G196),
  K196-AVERAGE(G196,K196),
  O196-AVERAGE(K196,O196),
  S196-AVERAGE(3,S196)
)</f>
        <v>1.47</v>
      </c>
      <c r="W196" s="1">
        <f>SUMIFS(
  '[1]Hoja 1'!$M:$M,
  '[1]Hoja 1'!$S:$S, $A196,
  '[1]Hoja 1'!$R:$R, "&gt;="&amp;INT($Y$1),
  '[1]Hoja 1'!$R:$R, "&lt;"&amp;INT($Z$1+1)
)</f>
        <v>0</v>
      </c>
      <c r="X196" s="1">
        <f t="shared" ref="X196:X232" si="103">IF(
    OR(ISBLANK(S196),ISBLANK(W196)),
    "",
    ROUND(AVERAGE(S196,W196),0)
)</f>
        <v>0</v>
      </c>
      <c r="Y196" s="9">
        <f t="shared" ref="Y196:Y232" si="104" xml:space="preserve"> X196 - 1.96*_xlfn.STDEV.S(
  G196-AVERAGE(C196,G196),
  K196-AVERAGE(G196,K196),
  O196-AVERAGE(K196,O196),
  S196-AVERAGE(O196,S196),
  W196-AVERAGE(S196,W196)
)</f>
        <v>0</v>
      </c>
      <c r="Z196" s="10">
        <f t="shared" ref="Z196:Z232" si="105" xml:space="preserve"> X196 + 1.96*_xlfn.STDEV.S(
  G196-AVERAGE(C196,G196),
  K196-AVERAGE(G196,K196),
  O196-AVERAGE(K196,O196),
  S196-AVERAGE(O196,S196),
  W196-AVERAGE(S196,W196)
)</f>
        <v>0</v>
      </c>
      <c r="AA196" s="1">
        <f>SUMIFS(
  '[1]Hoja 1'!$M:$M,
  '[1]Hoja 1'!$S:$S, $A196,
  '[1]Hoja 1'!$R:$R, "&gt;="&amp;INT($AC$1),
  '[1]Hoja 1'!$R:$R, "&lt;"&amp;INT($AD$1+1)
)</f>
        <v>0</v>
      </c>
      <c r="AB196" s="1">
        <f t="shared" ref="AB196:AB232" si="106">IF(
    OR(ISBLANK(W196),ISBLANK(AA196)),
    "",
    ROUND(AVERAGE(W196,AA196),0)
)</f>
        <v>0</v>
      </c>
      <c r="AC196" s="9">
        <f t="shared" ref="AC196:AC232" si="107" xml:space="preserve"> AB196 - 1.96*_xlfn.STDEV.S(
  G196-AVERAGE(C196,G196),
  K196-AVERAGE(G196,K196),
  O196-AVERAGE(K196,O196),
  S196-AVERAGE(O196,S196),
  W196-AVERAGE(S196,W196),
  AA196-AVERAGE(W196,AA196)
)</f>
        <v>0</v>
      </c>
      <c r="AD196" s="10">
        <f t="shared" ref="AD196:AD232" si="108" xml:space="preserve"> AB196 + 1.96*_xlfn.STDEV.S(
  G196-AVERAGE(C196,G196),
  K196-AVERAGE(G196,K196),
  O196-AVERAGE(K196,O196),
  S196-AVERAGE(O196,S196),
  W196-AVERAGE(S196,W196),
  AA196-AVERAGE(W196,AA196)
)</f>
        <v>0</v>
      </c>
      <c r="AE196" s="1">
        <f>SUMIFS(
  '[1]Hoja 1'!$M:$M,
  '[1]Hoja 1'!$S:$S, $A196,
  '[1]Hoja 1'!$R:$R, "&gt;="&amp;INT($AG$1),
  '[1]Hoja 1'!$R:$R, "&lt;"&amp;INT($AH$1+1)
)</f>
        <v>0</v>
      </c>
      <c r="AF196" s="1">
        <f t="shared" ref="AF196:AF232" si="109">IF(
    OR(ISBLANK(AA196),ISBLANK(AE196)),
    "",
    ROUND(AVERAGE(AA196,AE196),0)
)</f>
        <v>0</v>
      </c>
      <c r="AG196" s="9">
        <f t="shared" ref="AG196:AG232" si="110" xml:space="preserve"> AF196 - 1.96*_xlfn.STDEV.S(
  G196-AVERAGE(C196,G196),
  K196-AVERAGE(G196,K196),
  O196-AVERAGE(K196,O196),
  S196-AVERAGE(O196,S196),
  W196-AVERAGE(S196,W196),
  AA196-AVERAGE(W196,AA196),
  AE196-AVERAGE(AA196,AE196)
)</f>
        <v>0</v>
      </c>
      <c r="AH196" s="10">
        <f t="shared" ref="AH196:AH232" si="111" xml:space="preserve"> AF196 + 1.96*_xlfn.STDEV.S(
  G196-AVERAGE(C196,G196),
  K196-AVERAGE(G196,K196),
  O196-AVERAGE(K196,O196),
  S196-AVERAGE(O196,S196),
  W196-AVERAGE(S196,W196),
  AA196-AVERAGE(W196,AA196),
  AE196-AVERAGE(AA196,AE196)
)</f>
        <v>0</v>
      </c>
      <c r="AI196" s="1">
        <f>SUMIFS(
  '[1]Hoja 1'!$M:$M,
  '[1]Hoja 1'!$S:$S, $A196,
  '[1]Hoja 1'!$R:$R, "&gt;="&amp;INT($AK$1),
  '[1]Hoja 1'!$R:$R, "&lt;"&amp;INT($AJ$1+1)
)</f>
        <v>0</v>
      </c>
      <c r="AJ196" s="1">
        <f t="shared" ref="AJ196:AJ232" si="112">IF(
    OR(ISBLANK(AE196),ISBLANK(AI196)),
    "",
    ROUND(AVERAGE(AE196,AI196),0)
)</f>
        <v>0</v>
      </c>
      <c r="AK196" s="9">
        <f t="shared" ref="AK196:AK232" si="113" xml:space="preserve"> AJ196 - 1.96*_xlfn.STDEV.S(
  G196-AVERAGE(C196,G196),
  K196-AVERAGE(G196,K196),
  O196-AVERAGE(K196,O196),
  S196-AVERAGE(O196,S196),
  W196-AVERAGE(S196,W196),
  AA196-AVERAGE(W196,AA196),
  AE196-AVERAGE(AA196,AE196),
  AI196-AVERAGE(AE196,AI196)
)</f>
        <v>0</v>
      </c>
      <c r="AL196" s="10">
        <f t="shared" ref="AL196:AL232" si="114" xml:space="preserve"> AJ196 + 1.96*_xlfn.STDEV.S(
  G196-AVERAGE(C196,G196),
  K196-AVERAGE(G196,K196),
  O196-AVERAGE(K196,O196),
  S196-AVERAGE(O196,S196),
  W196-AVERAGE(S196,W196),
  AA196-AVERAGE(W196,AA196),
  AE196-AVERAGE(AA196,AE196),
  AI196-AVERAGE(AE196,AI196)
)</f>
        <v>0</v>
      </c>
      <c r="AM196" s="1">
        <f>SUMIFS(
  '[1]Hoja 1'!$M:$M,
  '[1]Hoja 1'!$S:$S, $A196,
  '[1]Hoja 1'!$R:$R, "&gt;="&amp;INT($AO$1),
  '[1]Hoja 1'!$R:$R, "&lt;"&amp;INT($AP$1+1)
)</f>
        <v>0</v>
      </c>
      <c r="AN196" s="1">
        <f t="shared" ref="AN196:AN232" si="115">IF(
    OR(ISBLANK(AI196),ISBLANK(AM196)),
    "",
    ROUND(AVERAGE(AI196,AM196),0)
)</f>
        <v>0</v>
      </c>
      <c r="AO196" s="9">
        <f t="shared" ref="AO196:AO232" si="116" xml:space="preserve"> AN196 - 1.96*_xlfn.STDEV.S(
  G196-AVERAGE(C196,G196),
  K196-AVERAGE(G196,K196),
  O196-AVERAGE(K196,O196),
  S196-AVERAGE(O196,S196),
  W196-AVERAGE(S196,W196),
  AA196-AVERAGE(W196,AA196),
  AE196-AVERAGE(AA196,AE196),
  AI196-AVERAGE(AE196,AI196),
  AN196-AVERAGE(AI196,AN196)
)</f>
        <v>0</v>
      </c>
      <c r="AP196" s="10">
        <f t="shared" ref="AP196:AP232" si="117" xml:space="preserve"> AN196 + 1.96*_xlfn.STDEV.S(
  G196-AVERAGE(C196,G196),
  K196-AVERAGE(G196,K196),
  O196-AVERAGE(K196,O196),
  S196-AVERAGE(O196,S196),
  W196-AVERAGE(S196,W196),
  AA196-AVERAGE(W196,AA196),
  AE196-AVERAGE(AA196,AE196),
  AI196-AVERAGE(AE196,AI196),
  AN196-AVERAGE(AI196,AN196)
)</f>
        <v>0</v>
      </c>
      <c r="AQ196" s="1">
        <f>SUMIFS(
  '[1]Hoja 1'!$M:$M,
  '[1]Hoja 1'!$S:$S, $A196,
  '[1]Hoja 1'!$R:$R, "&gt;="&amp;INT($AS$1),
  '[1]Hoja 1'!$R:$R, "&lt;"&amp;INT($AT$1+1)
)</f>
        <v>0</v>
      </c>
      <c r="AR196" s="1">
        <f t="shared" ref="AR196:AR232" si="118">IF(
    OR(ISBLANK(AM196),ISBLANK(AQ196)),
    "",
    ROUND(AVERAGE(AM196,AQ196),0)
)</f>
        <v>0</v>
      </c>
      <c r="AS196" s="9">
        <f t="shared" ref="AS196:AS232" si="119" xml:space="preserve"> AR196 - 1.96*_xlfn.STDEV.S(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
)</f>
        <v>0</v>
      </c>
      <c r="AT196" s="10">
        <f t="shared" ref="AT196:AT232" si="120" xml:space="preserve"> AR196 + 1.96*_xlfn.STDEV.S(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
)</f>
        <v>0</v>
      </c>
      <c r="AU196" s="1">
        <f>SUMIFS(
  '[1]Hoja 1'!$M:$M,
  '[1]Hoja 1'!$S:$S, $A196,
  '[1]Hoja 1'!$R:$R, "&gt;="&amp;INT($AW$1),
  '[1]Hoja 1'!$R:$R, "&lt;"&amp;INT($AX$1+1)
)</f>
        <v>0</v>
      </c>
      <c r="AV196" s="1">
        <f t="shared" ref="AV196:AV232" si="121">IF(
    OR(ISBLANK(AQ196),ISBLANK(AU196)),
    "",
    ROUND(AVERAGE(AQ196,AU196),0)
)</f>
        <v>0</v>
      </c>
      <c r="AW196" s="9">
        <f t="shared" ref="AW196:AW232" si="122" xml:space="preserve"> AV196 - 1.96*_xlfn.STDEV.S(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AR196-AVERAGE(AN196,AR196),
  AV196-AVERAGE(AR196,AV196)
)</f>
        <v>0</v>
      </c>
      <c r="AX196" s="10">
        <f t="shared" ref="AX196:AX232" si="123" xml:space="preserve"> AV196 + 1.96*_xlfn.STDEV.S(
  G196-AVERAGE(C196,G196),
  K196-AVERAGE(G196,K196),
  O196-AVERAGE(K196,O196),
  S196-AVERAGE(O196,S196),
  W196-AVERAGE(S196,W196),
  AA196-AVERAGE(W196,AA196),
  AE196-AVERAGE(AA196,AE196),
  AI196-AVERAGE(AE196,AI196),
  AN196-AVERAGE(AI196,AN196),
  AR196-AVERAGE(AN196,AR196),
  AV196-AVERAGE(AR196,AV196)
)</f>
        <v>0</v>
      </c>
    </row>
    <row r="197" spans="1:50" x14ac:dyDescent="0.25">
      <c r="A197" s="5">
        <v>235003</v>
      </c>
      <c r="B197" s="6" t="s">
        <v>194</v>
      </c>
      <c r="C197" s="1">
        <f>SUMIFS(
  '[1]Hoja 1'!$M:$M,
  '[1]Hoja 1'!$S:$S, $A197,
  '[1]Hoja 1'!$R:$R, "&gt;="&amp;INT($E$1),
  '[1]Hoja 1'!$R:$R, "&lt;"&amp;INT($F$1+1)
)</f>
        <v>0</v>
      </c>
      <c r="D197" s="1" t="str">
        <f>""</f>
        <v/>
      </c>
      <c r="F197" s="2"/>
      <c r="G197" s="1">
        <f>SUMIFS(
  '[1]Hoja 1'!$M:$M,
  '[1]Hoja 1'!$S:$S, $A197,
  '[1]Hoja 1'!$R:$R, "&gt;="&amp;INT($I$1),
  '[1]Hoja 1'!$R:$R, "&lt;"&amp;INT($J$1+1)
)</f>
        <v>0</v>
      </c>
      <c r="H197" s="1">
        <f t="shared" si="93"/>
        <v>0</v>
      </c>
      <c r="I197" s="1"/>
      <c r="J197" s="2"/>
      <c r="K197" s="1">
        <f>SUMIFS(
  '[1]Hoja 1'!$M:$M,
  '[1]Hoja 1'!$S:$S, $A197,
  '[1]Hoja 1'!$R:$R, "&gt;="&amp;INT($M$1),
  '[1]Hoja 1'!$R:$R, "&lt;"&amp;INT($N$1+1)
)</f>
        <v>0</v>
      </c>
      <c r="L197" s="1">
        <f t="shared" si="94"/>
        <v>0</v>
      </c>
      <c r="M197" s="9">
        <f t="shared" si="95"/>
        <v>0</v>
      </c>
      <c r="N197" s="10">
        <f t="shared" si="96"/>
        <v>0</v>
      </c>
      <c r="O197" s="1">
        <f>SUMIFS(
  '[1]Hoja 1'!$M:$M,
  '[1]Hoja 1'!$S:$S, $A197,
  '[1]Hoja 1'!$R:$R, "&gt;="&amp;INT($Q$1),
  '[1]Hoja 1'!$R:$R, "&lt;"&amp;INT($R$1+1)
)</f>
        <v>0</v>
      </c>
      <c r="P197" s="1">
        <f t="shared" si="97"/>
        <v>0</v>
      </c>
      <c r="Q197" s="9">
        <f t="shared" si="98"/>
        <v>0</v>
      </c>
      <c r="R197" s="10">
        <f t="shared" si="99"/>
        <v>0</v>
      </c>
      <c r="S197" s="1">
        <f>SUMIFS(
  '[1]Hoja 1'!$M:$M,
  '[1]Hoja 1'!$S:$S, $A197,
  '[1]Hoja 1'!$R:$R, "&gt;="&amp;INT($U$1),
  '[1]Hoja 1'!$R:$R, "&lt;"&amp;INT($V$1+1)
)</f>
        <v>0</v>
      </c>
      <c r="T197" s="1">
        <f t="shared" si="100"/>
        <v>0</v>
      </c>
      <c r="U197" s="9">
        <f t="shared" si="101"/>
        <v>-1.47</v>
      </c>
      <c r="V197" s="10">
        <f t="shared" si="102"/>
        <v>1.47</v>
      </c>
      <c r="W197" s="1">
        <f>SUMIFS(
  '[1]Hoja 1'!$M:$M,
  '[1]Hoja 1'!$S:$S, $A197,
  '[1]Hoja 1'!$R:$R, "&gt;="&amp;INT($Y$1),
  '[1]Hoja 1'!$R:$R, "&lt;"&amp;INT($Z$1+1)
)</f>
        <v>0</v>
      </c>
      <c r="X197" s="1">
        <f t="shared" si="103"/>
        <v>0</v>
      </c>
      <c r="Y197" s="9">
        <f t="shared" si="104"/>
        <v>0</v>
      </c>
      <c r="Z197" s="10">
        <f t="shared" si="105"/>
        <v>0</v>
      </c>
      <c r="AA197" s="1">
        <f>SUMIFS(
  '[1]Hoja 1'!$M:$M,
  '[1]Hoja 1'!$S:$S, $A197,
  '[1]Hoja 1'!$R:$R, "&gt;="&amp;INT($AC$1),
  '[1]Hoja 1'!$R:$R, "&lt;"&amp;INT($AD$1+1)
)</f>
        <v>0</v>
      </c>
      <c r="AB197" s="1">
        <f t="shared" si="106"/>
        <v>0</v>
      </c>
      <c r="AC197" s="9">
        <f t="shared" si="107"/>
        <v>0</v>
      </c>
      <c r="AD197" s="10">
        <f t="shared" si="108"/>
        <v>0</v>
      </c>
      <c r="AE197" s="1">
        <f>SUMIFS(
  '[1]Hoja 1'!$M:$M,
  '[1]Hoja 1'!$S:$S, $A197,
  '[1]Hoja 1'!$R:$R, "&gt;="&amp;INT($AG$1),
  '[1]Hoja 1'!$R:$R, "&lt;"&amp;INT($AH$1+1)
)</f>
        <v>0</v>
      </c>
      <c r="AF197" s="1">
        <f t="shared" si="109"/>
        <v>0</v>
      </c>
      <c r="AG197" s="9">
        <f t="shared" si="110"/>
        <v>0</v>
      </c>
      <c r="AH197" s="10">
        <f t="shared" si="111"/>
        <v>0</v>
      </c>
      <c r="AI197" s="1">
        <f>SUMIFS(
  '[1]Hoja 1'!$M:$M,
  '[1]Hoja 1'!$S:$S, $A197,
  '[1]Hoja 1'!$R:$R, "&gt;="&amp;INT($AK$1),
  '[1]Hoja 1'!$R:$R, "&lt;"&amp;INT($AJ$1+1)
)</f>
        <v>0</v>
      </c>
      <c r="AJ197" s="1">
        <f t="shared" si="112"/>
        <v>0</v>
      </c>
      <c r="AK197" s="9">
        <f t="shared" si="113"/>
        <v>0</v>
      </c>
      <c r="AL197" s="10">
        <f t="shared" si="114"/>
        <v>0</v>
      </c>
      <c r="AM197" s="1">
        <f>SUMIFS(
  '[1]Hoja 1'!$M:$M,
  '[1]Hoja 1'!$S:$S, $A197,
  '[1]Hoja 1'!$R:$R, "&gt;="&amp;INT($AO$1),
  '[1]Hoja 1'!$R:$R, "&lt;"&amp;INT($AP$1+1)
)</f>
        <v>0</v>
      </c>
      <c r="AN197" s="1">
        <f t="shared" si="115"/>
        <v>0</v>
      </c>
      <c r="AO197" s="9">
        <f t="shared" si="116"/>
        <v>0</v>
      </c>
      <c r="AP197" s="10">
        <f t="shared" si="117"/>
        <v>0</v>
      </c>
      <c r="AQ197" s="1">
        <f>SUMIFS(
  '[1]Hoja 1'!$M:$M,
  '[1]Hoja 1'!$S:$S, $A197,
  '[1]Hoja 1'!$R:$R, "&gt;="&amp;INT($AS$1),
  '[1]Hoja 1'!$R:$R, "&lt;"&amp;INT($AT$1+1)
)</f>
        <v>0</v>
      </c>
      <c r="AR197" s="1">
        <f t="shared" si="118"/>
        <v>0</v>
      </c>
      <c r="AS197" s="9">
        <f t="shared" si="119"/>
        <v>0</v>
      </c>
      <c r="AT197" s="10">
        <f t="shared" si="120"/>
        <v>0</v>
      </c>
      <c r="AU197" s="1">
        <f>SUMIFS(
  '[1]Hoja 1'!$M:$M,
  '[1]Hoja 1'!$S:$S, $A197,
  '[1]Hoja 1'!$R:$R, "&gt;="&amp;INT($AW$1),
  '[1]Hoja 1'!$R:$R, "&lt;"&amp;INT($AX$1+1)
)</f>
        <v>0</v>
      </c>
      <c r="AV197" s="1">
        <f t="shared" si="121"/>
        <v>0</v>
      </c>
      <c r="AW197" s="9">
        <f t="shared" si="122"/>
        <v>0</v>
      </c>
      <c r="AX197" s="10">
        <f t="shared" si="123"/>
        <v>0</v>
      </c>
    </row>
    <row r="198" spans="1:50" x14ac:dyDescent="0.25">
      <c r="A198" s="5">
        <v>235004</v>
      </c>
      <c r="B198" s="6" t="s">
        <v>195</v>
      </c>
      <c r="C198" s="1">
        <f>SUMIFS(
  '[1]Hoja 1'!$M:$M,
  '[1]Hoja 1'!$S:$S, $A198,
  '[1]Hoja 1'!$R:$R, "&gt;="&amp;INT($E$1),
  '[1]Hoja 1'!$R:$R, "&lt;"&amp;INT($F$1+1)
)</f>
        <v>0</v>
      </c>
      <c r="D198" s="1" t="str">
        <f>""</f>
        <v/>
      </c>
      <c r="F198" s="2"/>
      <c r="G198" s="1">
        <f>SUMIFS(
  '[1]Hoja 1'!$M:$M,
  '[1]Hoja 1'!$S:$S, $A198,
  '[1]Hoja 1'!$R:$R, "&gt;="&amp;INT($I$1),
  '[1]Hoja 1'!$R:$R, "&lt;"&amp;INT($J$1+1)
)</f>
        <v>0</v>
      </c>
      <c r="H198" s="1">
        <f t="shared" si="93"/>
        <v>0</v>
      </c>
      <c r="I198" s="1"/>
      <c r="J198" s="2"/>
      <c r="K198" s="1">
        <f>SUMIFS(
  '[1]Hoja 1'!$M:$M,
  '[1]Hoja 1'!$S:$S, $A198,
  '[1]Hoja 1'!$R:$R, "&gt;="&amp;INT($M$1),
  '[1]Hoja 1'!$R:$R, "&lt;"&amp;INT($N$1+1)
)</f>
        <v>0</v>
      </c>
      <c r="L198" s="1">
        <f t="shared" si="94"/>
        <v>0</v>
      </c>
      <c r="M198" s="9">
        <f t="shared" si="95"/>
        <v>0</v>
      </c>
      <c r="N198" s="10">
        <f t="shared" si="96"/>
        <v>0</v>
      </c>
      <c r="O198" s="1">
        <f>SUMIFS(
  '[1]Hoja 1'!$M:$M,
  '[1]Hoja 1'!$S:$S, $A198,
  '[1]Hoja 1'!$R:$R, "&gt;="&amp;INT($Q$1),
  '[1]Hoja 1'!$R:$R, "&lt;"&amp;INT($R$1+1)
)</f>
        <v>0</v>
      </c>
      <c r="P198" s="1">
        <f t="shared" si="97"/>
        <v>0</v>
      </c>
      <c r="Q198" s="9">
        <f t="shared" si="98"/>
        <v>0</v>
      </c>
      <c r="R198" s="10">
        <f t="shared" si="99"/>
        <v>0</v>
      </c>
      <c r="S198" s="1">
        <f>SUMIFS(
  '[1]Hoja 1'!$M:$M,
  '[1]Hoja 1'!$S:$S, $A198,
  '[1]Hoja 1'!$R:$R, "&gt;="&amp;INT($U$1),
  '[1]Hoja 1'!$R:$R, "&lt;"&amp;INT($V$1+1)
)</f>
        <v>0</v>
      </c>
      <c r="T198" s="1">
        <f t="shared" si="100"/>
        <v>0</v>
      </c>
      <c r="U198" s="9">
        <f t="shared" si="101"/>
        <v>-1.47</v>
      </c>
      <c r="V198" s="10">
        <f t="shared" si="102"/>
        <v>1.47</v>
      </c>
      <c r="W198" s="1">
        <f>SUMIFS(
  '[1]Hoja 1'!$M:$M,
  '[1]Hoja 1'!$S:$S, $A198,
  '[1]Hoja 1'!$R:$R, "&gt;="&amp;INT($Y$1),
  '[1]Hoja 1'!$R:$R, "&lt;"&amp;INT($Z$1+1)
)</f>
        <v>0</v>
      </c>
      <c r="X198" s="1">
        <f t="shared" si="103"/>
        <v>0</v>
      </c>
      <c r="Y198" s="9">
        <f t="shared" si="104"/>
        <v>0</v>
      </c>
      <c r="Z198" s="10">
        <f t="shared" si="105"/>
        <v>0</v>
      </c>
      <c r="AA198" s="1">
        <f>SUMIFS(
  '[1]Hoja 1'!$M:$M,
  '[1]Hoja 1'!$S:$S, $A198,
  '[1]Hoja 1'!$R:$R, "&gt;="&amp;INT($AC$1),
  '[1]Hoja 1'!$R:$R, "&lt;"&amp;INT($AD$1+1)
)</f>
        <v>0</v>
      </c>
      <c r="AB198" s="1">
        <f t="shared" si="106"/>
        <v>0</v>
      </c>
      <c r="AC198" s="9">
        <f t="shared" si="107"/>
        <v>0</v>
      </c>
      <c r="AD198" s="10">
        <f t="shared" si="108"/>
        <v>0</v>
      </c>
      <c r="AE198" s="1">
        <f>SUMIFS(
  '[1]Hoja 1'!$M:$M,
  '[1]Hoja 1'!$S:$S, $A198,
  '[1]Hoja 1'!$R:$R, "&gt;="&amp;INT($AG$1),
  '[1]Hoja 1'!$R:$R, "&lt;"&amp;INT($AH$1+1)
)</f>
        <v>0</v>
      </c>
      <c r="AF198" s="1">
        <f t="shared" si="109"/>
        <v>0</v>
      </c>
      <c r="AG198" s="9">
        <f t="shared" si="110"/>
        <v>0</v>
      </c>
      <c r="AH198" s="10">
        <f t="shared" si="111"/>
        <v>0</v>
      </c>
      <c r="AI198" s="1">
        <f>SUMIFS(
  '[1]Hoja 1'!$M:$M,
  '[1]Hoja 1'!$S:$S, $A198,
  '[1]Hoja 1'!$R:$R, "&gt;="&amp;INT($AK$1),
  '[1]Hoja 1'!$R:$R, "&lt;"&amp;INT($AJ$1+1)
)</f>
        <v>0</v>
      </c>
      <c r="AJ198" s="1">
        <f t="shared" si="112"/>
        <v>0</v>
      </c>
      <c r="AK198" s="9">
        <f t="shared" si="113"/>
        <v>0</v>
      </c>
      <c r="AL198" s="10">
        <f t="shared" si="114"/>
        <v>0</v>
      </c>
      <c r="AM198" s="1">
        <f>SUMIFS(
  '[1]Hoja 1'!$M:$M,
  '[1]Hoja 1'!$S:$S, $A198,
  '[1]Hoja 1'!$R:$R, "&gt;="&amp;INT($AO$1),
  '[1]Hoja 1'!$R:$R, "&lt;"&amp;INT($AP$1+1)
)</f>
        <v>0</v>
      </c>
      <c r="AN198" s="1">
        <f t="shared" si="115"/>
        <v>0</v>
      </c>
      <c r="AO198" s="9">
        <f t="shared" si="116"/>
        <v>0</v>
      </c>
      <c r="AP198" s="10">
        <f t="shared" si="117"/>
        <v>0</v>
      </c>
      <c r="AQ198" s="1">
        <f>SUMIFS(
  '[1]Hoja 1'!$M:$M,
  '[1]Hoja 1'!$S:$S, $A198,
  '[1]Hoja 1'!$R:$R, "&gt;="&amp;INT($AS$1),
  '[1]Hoja 1'!$R:$R, "&lt;"&amp;INT($AT$1+1)
)</f>
        <v>0</v>
      </c>
      <c r="AR198" s="1">
        <f t="shared" si="118"/>
        <v>0</v>
      </c>
      <c r="AS198" s="9">
        <f t="shared" si="119"/>
        <v>0</v>
      </c>
      <c r="AT198" s="10">
        <f t="shared" si="120"/>
        <v>0</v>
      </c>
      <c r="AU198" s="1">
        <f>SUMIFS(
  '[1]Hoja 1'!$M:$M,
  '[1]Hoja 1'!$S:$S, $A198,
  '[1]Hoja 1'!$R:$R, "&gt;="&amp;INT($AW$1),
  '[1]Hoja 1'!$R:$R, "&lt;"&amp;INT($AX$1+1)
)</f>
        <v>0</v>
      </c>
      <c r="AV198" s="1">
        <f t="shared" si="121"/>
        <v>0</v>
      </c>
      <c r="AW198" s="9">
        <f t="shared" si="122"/>
        <v>0</v>
      </c>
      <c r="AX198" s="10">
        <f t="shared" si="123"/>
        <v>0</v>
      </c>
    </row>
    <row r="199" spans="1:50" x14ac:dyDescent="0.25">
      <c r="A199" s="5">
        <v>235005</v>
      </c>
      <c r="B199" s="6" t="s">
        <v>196</v>
      </c>
      <c r="C199" s="1">
        <f>SUMIFS(
  '[1]Hoja 1'!$M:$M,
  '[1]Hoja 1'!$S:$S, $A199,
  '[1]Hoja 1'!$R:$R, "&gt;="&amp;INT($E$1),
  '[1]Hoja 1'!$R:$R, "&lt;"&amp;INT($F$1+1)
)</f>
        <v>0</v>
      </c>
      <c r="D199" s="1" t="str">
        <f>""</f>
        <v/>
      </c>
      <c r="F199" s="2"/>
      <c r="G199" s="1">
        <f>SUMIFS(
  '[1]Hoja 1'!$M:$M,
  '[1]Hoja 1'!$S:$S, $A199,
  '[1]Hoja 1'!$R:$R, "&gt;="&amp;INT($I$1),
  '[1]Hoja 1'!$R:$R, "&lt;"&amp;INT($J$1+1)
)</f>
        <v>0</v>
      </c>
      <c r="H199" s="1">
        <f t="shared" si="93"/>
        <v>0</v>
      </c>
      <c r="I199" s="1"/>
      <c r="J199" s="2"/>
      <c r="K199" s="1">
        <f>SUMIFS(
  '[1]Hoja 1'!$M:$M,
  '[1]Hoja 1'!$S:$S, $A199,
  '[1]Hoja 1'!$R:$R, "&gt;="&amp;INT($M$1),
  '[1]Hoja 1'!$R:$R, "&lt;"&amp;INT($N$1+1)
)</f>
        <v>0</v>
      </c>
      <c r="L199" s="1">
        <f t="shared" si="94"/>
        <v>0</v>
      </c>
      <c r="M199" s="9">
        <f t="shared" si="95"/>
        <v>0</v>
      </c>
      <c r="N199" s="10">
        <f t="shared" si="96"/>
        <v>0</v>
      </c>
      <c r="O199" s="1">
        <f>SUMIFS(
  '[1]Hoja 1'!$M:$M,
  '[1]Hoja 1'!$S:$S, $A199,
  '[1]Hoja 1'!$R:$R, "&gt;="&amp;INT($Q$1),
  '[1]Hoja 1'!$R:$R, "&lt;"&amp;INT($R$1+1)
)</f>
        <v>0</v>
      </c>
      <c r="P199" s="1">
        <f t="shared" si="97"/>
        <v>0</v>
      </c>
      <c r="Q199" s="9">
        <f t="shared" si="98"/>
        <v>0</v>
      </c>
      <c r="R199" s="10">
        <f t="shared" si="99"/>
        <v>0</v>
      </c>
      <c r="S199" s="1">
        <f>SUMIFS(
  '[1]Hoja 1'!$M:$M,
  '[1]Hoja 1'!$S:$S, $A199,
  '[1]Hoja 1'!$R:$R, "&gt;="&amp;INT($U$1),
  '[1]Hoja 1'!$R:$R, "&lt;"&amp;INT($V$1+1)
)</f>
        <v>0</v>
      </c>
      <c r="T199" s="1">
        <f t="shared" si="100"/>
        <v>0</v>
      </c>
      <c r="U199" s="9">
        <f t="shared" si="101"/>
        <v>-1.47</v>
      </c>
      <c r="V199" s="10">
        <f t="shared" si="102"/>
        <v>1.47</v>
      </c>
      <c r="W199" s="1">
        <f>SUMIFS(
  '[1]Hoja 1'!$M:$M,
  '[1]Hoja 1'!$S:$S, $A199,
  '[1]Hoja 1'!$R:$R, "&gt;="&amp;INT($Y$1),
  '[1]Hoja 1'!$R:$R, "&lt;"&amp;INT($Z$1+1)
)</f>
        <v>0</v>
      </c>
      <c r="X199" s="1">
        <f t="shared" si="103"/>
        <v>0</v>
      </c>
      <c r="Y199" s="9">
        <f t="shared" si="104"/>
        <v>0</v>
      </c>
      <c r="Z199" s="10">
        <f t="shared" si="105"/>
        <v>0</v>
      </c>
      <c r="AA199" s="1">
        <f>SUMIFS(
  '[1]Hoja 1'!$M:$M,
  '[1]Hoja 1'!$S:$S, $A199,
  '[1]Hoja 1'!$R:$R, "&gt;="&amp;INT($AC$1),
  '[1]Hoja 1'!$R:$R, "&lt;"&amp;INT($AD$1+1)
)</f>
        <v>0</v>
      </c>
      <c r="AB199" s="1">
        <f t="shared" si="106"/>
        <v>0</v>
      </c>
      <c r="AC199" s="9">
        <f t="shared" si="107"/>
        <v>0</v>
      </c>
      <c r="AD199" s="10">
        <f t="shared" si="108"/>
        <v>0</v>
      </c>
      <c r="AE199" s="1">
        <f>SUMIFS(
  '[1]Hoja 1'!$M:$M,
  '[1]Hoja 1'!$S:$S, $A199,
  '[1]Hoja 1'!$R:$R, "&gt;="&amp;INT($AG$1),
  '[1]Hoja 1'!$R:$R, "&lt;"&amp;INT($AH$1+1)
)</f>
        <v>0</v>
      </c>
      <c r="AF199" s="1">
        <f t="shared" si="109"/>
        <v>0</v>
      </c>
      <c r="AG199" s="9">
        <f t="shared" si="110"/>
        <v>0</v>
      </c>
      <c r="AH199" s="10">
        <f t="shared" si="111"/>
        <v>0</v>
      </c>
      <c r="AI199" s="1">
        <f>SUMIFS(
  '[1]Hoja 1'!$M:$M,
  '[1]Hoja 1'!$S:$S, $A199,
  '[1]Hoja 1'!$R:$R, "&gt;="&amp;INT($AK$1),
  '[1]Hoja 1'!$R:$R, "&lt;"&amp;INT($AJ$1+1)
)</f>
        <v>0</v>
      </c>
      <c r="AJ199" s="1">
        <f t="shared" si="112"/>
        <v>0</v>
      </c>
      <c r="AK199" s="9">
        <f t="shared" si="113"/>
        <v>0</v>
      </c>
      <c r="AL199" s="10">
        <f t="shared" si="114"/>
        <v>0</v>
      </c>
      <c r="AM199" s="1">
        <f>SUMIFS(
  '[1]Hoja 1'!$M:$M,
  '[1]Hoja 1'!$S:$S, $A199,
  '[1]Hoja 1'!$R:$R, "&gt;="&amp;INT($AO$1),
  '[1]Hoja 1'!$R:$R, "&lt;"&amp;INT($AP$1+1)
)</f>
        <v>0</v>
      </c>
      <c r="AN199" s="1">
        <f t="shared" si="115"/>
        <v>0</v>
      </c>
      <c r="AO199" s="9">
        <f t="shared" si="116"/>
        <v>0</v>
      </c>
      <c r="AP199" s="10">
        <f t="shared" si="117"/>
        <v>0</v>
      </c>
      <c r="AQ199" s="1">
        <f>SUMIFS(
  '[1]Hoja 1'!$M:$M,
  '[1]Hoja 1'!$S:$S, $A199,
  '[1]Hoja 1'!$R:$R, "&gt;="&amp;INT($AS$1),
  '[1]Hoja 1'!$R:$R, "&lt;"&amp;INT($AT$1+1)
)</f>
        <v>0</v>
      </c>
      <c r="AR199" s="1">
        <f t="shared" si="118"/>
        <v>0</v>
      </c>
      <c r="AS199" s="9">
        <f t="shared" si="119"/>
        <v>0</v>
      </c>
      <c r="AT199" s="10">
        <f t="shared" si="120"/>
        <v>0</v>
      </c>
      <c r="AU199" s="1">
        <f>SUMIFS(
  '[1]Hoja 1'!$M:$M,
  '[1]Hoja 1'!$S:$S, $A199,
  '[1]Hoja 1'!$R:$R, "&gt;="&amp;INT($AW$1),
  '[1]Hoja 1'!$R:$R, "&lt;"&amp;INT($AX$1+1)
)</f>
        <v>0</v>
      </c>
      <c r="AV199" s="1">
        <f t="shared" si="121"/>
        <v>0</v>
      </c>
      <c r="AW199" s="9">
        <f t="shared" si="122"/>
        <v>0</v>
      </c>
      <c r="AX199" s="10">
        <f t="shared" si="123"/>
        <v>0</v>
      </c>
    </row>
    <row r="200" spans="1:50" x14ac:dyDescent="0.25">
      <c r="A200" s="5">
        <v>235006</v>
      </c>
      <c r="B200" s="6" t="s">
        <v>197</v>
      </c>
      <c r="C200" s="1">
        <f>SUMIFS(
  '[1]Hoja 1'!$M:$M,
  '[1]Hoja 1'!$S:$S, $A200,
  '[1]Hoja 1'!$R:$R, "&gt;="&amp;INT($E$1),
  '[1]Hoja 1'!$R:$R, "&lt;"&amp;INT($F$1+1)
)</f>
        <v>0</v>
      </c>
      <c r="D200" s="1" t="str">
        <f>""</f>
        <v/>
      </c>
      <c r="F200" s="2"/>
      <c r="G200" s="1">
        <f>SUMIFS(
  '[1]Hoja 1'!$M:$M,
  '[1]Hoja 1'!$S:$S, $A200,
  '[1]Hoja 1'!$R:$R, "&gt;="&amp;INT($I$1),
  '[1]Hoja 1'!$R:$R, "&lt;"&amp;INT($J$1+1)
)</f>
        <v>0</v>
      </c>
      <c r="H200" s="1">
        <f t="shared" si="93"/>
        <v>0</v>
      </c>
      <c r="I200" s="1"/>
      <c r="J200" s="2"/>
      <c r="K200" s="1">
        <f>SUMIFS(
  '[1]Hoja 1'!$M:$M,
  '[1]Hoja 1'!$S:$S, $A200,
  '[1]Hoja 1'!$R:$R, "&gt;="&amp;INT($M$1),
  '[1]Hoja 1'!$R:$R, "&lt;"&amp;INT($N$1+1)
)</f>
        <v>0</v>
      </c>
      <c r="L200" s="1">
        <f t="shared" si="94"/>
        <v>0</v>
      </c>
      <c r="M200" s="9">
        <f t="shared" si="95"/>
        <v>0</v>
      </c>
      <c r="N200" s="10">
        <f t="shared" si="96"/>
        <v>0</v>
      </c>
      <c r="O200" s="1">
        <f>SUMIFS(
  '[1]Hoja 1'!$M:$M,
  '[1]Hoja 1'!$S:$S, $A200,
  '[1]Hoja 1'!$R:$R, "&gt;="&amp;INT($Q$1),
  '[1]Hoja 1'!$R:$R, "&lt;"&amp;INT($R$1+1)
)</f>
        <v>0</v>
      </c>
      <c r="P200" s="1">
        <f t="shared" si="97"/>
        <v>0</v>
      </c>
      <c r="Q200" s="9">
        <f t="shared" si="98"/>
        <v>0</v>
      </c>
      <c r="R200" s="10">
        <f t="shared" si="99"/>
        <v>0</v>
      </c>
      <c r="S200" s="1">
        <f>SUMIFS(
  '[1]Hoja 1'!$M:$M,
  '[1]Hoja 1'!$S:$S, $A200,
  '[1]Hoja 1'!$R:$R, "&gt;="&amp;INT($U$1),
  '[1]Hoja 1'!$R:$R, "&lt;"&amp;INT($V$1+1)
)</f>
        <v>0</v>
      </c>
      <c r="T200" s="1">
        <f t="shared" si="100"/>
        <v>0</v>
      </c>
      <c r="U200" s="9">
        <f t="shared" si="101"/>
        <v>-1.47</v>
      </c>
      <c r="V200" s="10">
        <f t="shared" si="102"/>
        <v>1.47</v>
      </c>
      <c r="W200" s="1">
        <f>SUMIFS(
  '[1]Hoja 1'!$M:$M,
  '[1]Hoja 1'!$S:$S, $A200,
  '[1]Hoja 1'!$R:$R, "&gt;="&amp;INT($Y$1),
  '[1]Hoja 1'!$R:$R, "&lt;"&amp;INT($Z$1+1)
)</f>
        <v>0</v>
      </c>
      <c r="X200" s="1">
        <f t="shared" si="103"/>
        <v>0</v>
      </c>
      <c r="Y200" s="9">
        <f t="shared" si="104"/>
        <v>0</v>
      </c>
      <c r="Z200" s="10">
        <f t="shared" si="105"/>
        <v>0</v>
      </c>
      <c r="AA200" s="1">
        <f>SUMIFS(
  '[1]Hoja 1'!$M:$M,
  '[1]Hoja 1'!$S:$S, $A200,
  '[1]Hoja 1'!$R:$R, "&gt;="&amp;INT($AC$1),
  '[1]Hoja 1'!$R:$R, "&lt;"&amp;INT($AD$1+1)
)</f>
        <v>0</v>
      </c>
      <c r="AB200" s="1">
        <f t="shared" si="106"/>
        <v>0</v>
      </c>
      <c r="AC200" s="9">
        <f t="shared" si="107"/>
        <v>0</v>
      </c>
      <c r="AD200" s="10">
        <f t="shared" si="108"/>
        <v>0</v>
      </c>
      <c r="AE200" s="1">
        <f>SUMIFS(
  '[1]Hoja 1'!$M:$M,
  '[1]Hoja 1'!$S:$S, $A200,
  '[1]Hoja 1'!$R:$R, "&gt;="&amp;INT($AG$1),
  '[1]Hoja 1'!$R:$R, "&lt;"&amp;INT($AH$1+1)
)</f>
        <v>0</v>
      </c>
      <c r="AF200" s="1">
        <f t="shared" si="109"/>
        <v>0</v>
      </c>
      <c r="AG200" s="9">
        <f t="shared" si="110"/>
        <v>0</v>
      </c>
      <c r="AH200" s="10">
        <f t="shared" si="111"/>
        <v>0</v>
      </c>
      <c r="AI200" s="1">
        <f>SUMIFS(
  '[1]Hoja 1'!$M:$M,
  '[1]Hoja 1'!$S:$S, $A200,
  '[1]Hoja 1'!$R:$R, "&gt;="&amp;INT($AK$1),
  '[1]Hoja 1'!$R:$R, "&lt;"&amp;INT($AJ$1+1)
)</f>
        <v>0</v>
      </c>
      <c r="AJ200" s="1">
        <f t="shared" si="112"/>
        <v>0</v>
      </c>
      <c r="AK200" s="9">
        <f t="shared" si="113"/>
        <v>0</v>
      </c>
      <c r="AL200" s="10">
        <f t="shared" si="114"/>
        <v>0</v>
      </c>
      <c r="AM200" s="1">
        <f>SUMIFS(
  '[1]Hoja 1'!$M:$M,
  '[1]Hoja 1'!$S:$S, $A200,
  '[1]Hoja 1'!$R:$R, "&gt;="&amp;INT($AO$1),
  '[1]Hoja 1'!$R:$R, "&lt;"&amp;INT($AP$1+1)
)</f>
        <v>0</v>
      </c>
      <c r="AN200" s="1">
        <f t="shared" si="115"/>
        <v>0</v>
      </c>
      <c r="AO200" s="9">
        <f t="shared" si="116"/>
        <v>0</v>
      </c>
      <c r="AP200" s="10">
        <f t="shared" si="117"/>
        <v>0</v>
      </c>
      <c r="AQ200" s="1">
        <f>SUMIFS(
  '[1]Hoja 1'!$M:$M,
  '[1]Hoja 1'!$S:$S, $A200,
  '[1]Hoja 1'!$R:$R, "&gt;="&amp;INT($AS$1),
  '[1]Hoja 1'!$R:$R, "&lt;"&amp;INT($AT$1+1)
)</f>
        <v>0</v>
      </c>
      <c r="AR200" s="1">
        <f t="shared" si="118"/>
        <v>0</v>
      </c>
      <c r="AS200" s="9">
        <f t="shared" si="119"/>
        <v>0</v>
      </c>
      <c r="AT200" s="10">
        <f t="shared" si="120"/>
        <v>0</v>
      </c>
      <c r="AU200" s="1">
        <f>SUMIFS(
  '[1]Hoja 1'!$M:$M,
  '[1]Hoja 1'!$S:$S, $A200,
  '[1]Hoja 1'!$R:$R, "&gt;="&amp;INT($AW$1),
  '[1]Hoja 1'!$R:$R, "&lt;"&amp;INT($AX$1+1)
)</f>
        <v>0</v>
      </c>
      <c r="AV200" s="1">
        <f t="shared" si="121"/>
        <v>0</v>
      </c>
      <c r="AW200" s="9">
        <f t="shared" si="122"/>
        <v>0</v>
      </c>
      <c r="AX200" s="10">
        <f t="shared" si="123"/>
        <v>0</v>
      </c>
    </row>
    <row r="201" spans="1:50" x14ac:dyDescent="0.25">
      <c r="A201" s="5">
        <v>235007</v>
      </c>
      <c r="B201" s="6" t="s">
        <v>198</v>
      </c>
      <c r="C201" s="1">
        <f>SUMIFS(
  '[1]Hoja 1'!$M:$M,
  '[1]Hoja 1'!$S:$S, $A201,
  '[1]Hoja 1'!$R:$R, "&gt;="&amp;INT($E$1),
  '[1]Hoja 1'!$R:$R, "&lt;"&amp;INT($F$1+1)
)</f>
        <v>0</v>
      </c>
      <c r="D201" s="1" t="str">
        <f>""</f>
        <v/>
      </c>
      <c r="F201" s="2"/>
      <c r="G201" s="1">
        <f>SUMIFS(
  '[1]Hoja 1'!$M:$M,
  '[1]Hoja 1'!$S:$S, $A201,
  '[1]Hoja 1'!$R:$R, "&gt;="&amp;INT($I$1),
  '[1]Hoja 1'!$R:$R, "&lt;"&amp;INT($J$1+1)
)</f>
        <v>0</v>
      </c>
      <c r="H201" s="1">
        <f t="shared" si="93"/>
        <v>0</v>
      </c>
      <c r="I201" s="1"/>
      <c r="J201" s="2"/>
      <c r="K201" s="1">
        <f>SUMIFS(
  '[1]Hoja 1'!$M:$M,
  '[1]Hoja 1'!$S:$S, $A201,
  '[1]Hoja 1'!$R:$R, "&gt;="&amp;INT($M$1),
  '[1]Hoja 1'!$R:$R, "&lt;"&amp;INT($N$1+1)
)</f>
        <v>0</v>
      </c>
      <c r="L201" s="1">
        <f t="shared" si="94"/>
        <v>0</v>
      </c>
      <c r="M201" s="9">
        <f t="shared" si="95"/>
        <v>0</v>
      </c>
      <c r="N201" s="10">
        <f t="shared" si="96"/>
        <v>0</v>
      </c>
      <c r="O201" s="1">
        <f>SUMIFS(
  '[1]Hoja 1'!$M:$M,
  '[1]Hoja 1'!$S:$S, $A201,
  '[1]Hoja 1'!$R:$R, "&gt;="&amp;INT($Q$1),
  '[1]Hoja 1'!$R:$R, "&lt;"&amp;INT($R$1+1)
)</f>
        <v>0</v>
      </c>
      <c r="P201" s="1">
        <f t="shared" si="97"/>
        <v>0</v>
      </c>
      <c r="Q201" s="9">
        <f t="shared" si="98"/>
        <v>0</v>
      </c>
      <c r="R201" s="10">
        <f t="shared" si="99"/>
        <v>0</v>
      </c>
      <c r="S201" s="1">
        <f>SUMIFS(
  '[1]Hoja 1'!$M:$M,
  '[1]Hoja 1'!$S:$S, $A201,
  '[1]Hoja 1'!$R:$R, "&gt;="&amp;INT($U$1),
  '[1]Hoja 1'!$R:$R, "&lt;"&amp;INT($V$1+1)
)</f>
        <v>0</v>
      </c>
      <c r="T201" s="1">
        <f t="shared" si="100"/>
        <v>0</v>
      </c>
      <c r="U201" s="9">
        <f t="shared" si="101"/>
        <v>-1.47</v>
      </c>
      <c r="V201" s="10">
        <f t="shared" si="102"/>
        <v>1.47</v>
      </c>
      <c r="W201" s="1">
        <f>SUMIFS(
  '[1]Hoja 1'!$M:$M,
  '[1]Hoja 1'!$S:$S, $A201,
  '[1]Hoja 1'!$R:$R, "&gt;="&amp;INT($Y$1),
  '[1]Hoja 1'!$R:$R, "&lt;"&amp;INT($Z$1+1)
)</f>
        <v>0</v>
      </c>
      <c r="X201" s="1">
        <f t="shared" si="103"/>
        <v>0</v>
      </c>
      <c r="Y201" s="9">
        <f t="shared" si="104"/>
        <v>0</v>
      </c>
      <c r="Z201" s="10">
        <f t="shared" si="105"/>
        <v>0</v>
      </c>
      <c r="AA201" s="1">
        <f>SUMIFS(
  '[1]Hoja 1'!$M:$M,
  '[1]Hoja 1'!$S:$S, $A201,
  '[1]Hoja 1'!$R:$R, "&gt;="&amp;INT($AC$1),
  '[1]Hoja 1'!$R:$R, "&lt;"&amp;INT($AD$1+1)
)</f>
        <v>0</v>
      </c>
      <c r="AB201" s="1">
        <f t="shared" si="106"/>
        <v>0</v>
      </c>
      <c r="AC201" s="9">
        <f t="shared" si="107"/>
        <v>0</v>
      </c>
      <c r="AD201" s="10">
        <f t="shared" si="108"/>
        <v>0</v>
      </c>
      <c r="AE201" s="1">
        <f>SUMIFS(
  '[1]Hoja 1'!$M:$M,
  '[1]Hoja 1'!$S:$S, $A201,
  '[1]Hoja 1'!$R:$R, "&gt;="&amp;INT($AG$1),
  '[1]Hoja 1'!$R:$R, "&lt;"&amp;INT($AH$1+1)
)</f>
        <v>0</v>
      </c>
      <c r="AF201" s="1">
        <f t="shared" si="109"/>
        <v>0</v>
      </c>
      <c r="AG201" s="9">
        <f t="shared" si="110"/>
        <v>0</v>
      </c>
      <c r="AH201" s="10">
        <f t="shared" si="111"/>
        <v>0</v>
      </c>
      <c r="AI201" s="1">
        <f>SUMIFS(
  '[1]Hoja 1'!$M:$M,
  '[1]Hoja 1'!$S:$S, $A201,
  '[1]Hoja 1'!$R:$R, "&gt;="&amp;INT($AK$1),
  '[1]Hoja 1'!$R:$R, "&lt;"&amp;INT($AJ$1+1)
)</f>
        <v>0</v>
      </c>
      <c r="AJ201" s="1">
        <f t="shared" si="112"/>
        <v>0</v>
      </c>
      <c r="AK201" s="9">
        <f t="shared" si="113"/>
        <v>0</v>
      </c>
      <c r="AL201" s="10">
        <f t="shared" si="114"/>
        <v>0</v>
      </c>
      <c r="AM201" s="1">
        <f>SUMIFS(
  '[1]Hoja 1'!$M:$M,
  '[1]Hoja 1'!$S:$S, $A201,
  '[1]Hoja 1'!$R:$R, "&gt;="&amp;INT($AO$1),
  '[1]Hoja 1'!$R:$R, "&lt;"&amp;INT($AP$1+1)
)</f>
        <v>0</v>
      </c>
      <c r="AN201" s="1">
        <f t="shared" si="115"/>
        <v>0</v>
      </c>
      <c r="AO201" s="9">
        <f t="shared" si="116"/>
        <v>0</v>
      </c>
      <c r="AP201" s="10">
        <f t="shared" si="117"/>
        <v>0</v>
      </c>
      <c r="AQ201" s="1">
        <f>SUMIFS(
  '[1]Hoja 1'!$M:$M,
  '[1]Hoja 1'!$S:$S, $A201,
  '[1]Hoja 1'!$R:$R, "&gt;="&amp;INT($AS$1),
  '[1]Hoja 1'!$R:$R, "&lt;"&amp;INT($AT$1+1)
)</f>
        <v>0</v>
      </c>
      <c r="AR201" s="1">
        <f t="shared" si="118"/>
        <v>0</v>
      </c>
      <c r="AS201" s="9">
        <f t="shared" si="119"/>
        <v>0</v>
      </c>
      <c r="AT201" s="10">
        <f t="shared" si="120"/>
        <v>0</v>
      </c>
      <c r="AU201" s="1">
        <f>SUMIFS(
  '[1]Hoja 1'!$M:$M,
  '[1]Hoja 1'!$S:$S, $A201,
  '[1]Hoja 1'!$R:$R, "&gt;="&amp;INT($AW$1),
  '[1]Hoja 1'!$R:$R, "&lt;"&amp;INT($AX$1+1)
)</f>
        <v>0</v>
      </c>
      <c r="AV201" s="1">
        <f t="shared" si="121"/>
        <v>0</v>
      </c>
      <c r="AW201" s="9">
        <f t="shared" si="122"/>
        <v>0</v>
      </c>
      <c r="AX201" s="10">
        <f t="shared" si="123"/>
        <v>0</v>
      </c>
    </row>
    <row r="202" spans="1:50" x14ac:dyDescent="0.25">
      <c r="A202" s="5">
        <v>235008</v>
      </c>
      <c r="B202" s="6" t="s">
        <v>199</v>
      </c>
      <c r="C202" s="1">
        <f>SUMIFS(
  '[1]Hoja 1'!$M:$M,
  '[1]Hoja 1'!$S:$S, $A202,
  '[1]Hoja 1'!$R:$R, "&gt;="&amp;INT($E$1),
  '[1]Hoja 1'!$R:$R, "&lt;"&amp;INT($F$1+1)
)</f>
        <v>3</v>
      </c>
      <c r="D202" s="1" t="str">
        <f>""</f>
        <v/>
      </c>
      <c r="F202" s="2"/>
      <c r="G202" s="1">
        <f>SUMIFS(
  '[1]Hoja 1'!$M:$M,
  '[1]Hoja 1'!$S:$S, $A202,
  '[1]Hoja 1'!$R:$R, "&gt;="&amp;INT($I$1),
  '[1]Hoja 1'!$R:$R, "&lt;"&amp;INT($J$1+1)
)</f>
        <v>1</v>
      </c>
      <c r="H202" s="1">
        <f t="shared" si="93"/>
        <v>2</v>
      </c>
      <c r="I202" s="1"/>
      <c r="J202" s="2"/>
      <c r="K202" s="1">
        <f>SUMIFS(
  '[1]Hoja 1'!$M:$M,
  '[1]Hoja 1'!$S:$S, $A202,
  '[1]Hoja 1'!$R:$R, "&gt;="&amp;INT($M$1),
  '[1]Hoja 1'!$R:$R, "&lt;"&amp;INT($N$1+1)
)</f>
        <v>0</v>
      </c>
      <c r="L202" s="1">
        <f t="shared" si="94"/>
        <v>0.5</v>
      </c>
      <c r="M202" s="9">
        <f t="shared" si="95"/>
        <v>-0.19296464556281656</v>
      </c>
      <c r="N202" s="10">
        <f t="shared" si="96"/>
        <v>1.1929646455628165</v>
      </c>
      <c r="O202" s="1">
        <f>SUMIFS(
  '[1]Hoja 1'!$M:$M,
  '[1]Hoja 1'!$S:$S, $A202,
  '[1]Hoja 1'!$R:$R, "&gt;="&amp;INT($Q$1),
  '[1]Hoja 1'!$R:$R, "&lt;"&amp;INT($R$1+1)
)</f>
        <v>0</v>
      </c>
      <c r="P202" s="1">
        <f t="shared" si="97"/>
        <v>0</v>
      </c>
      <c r="Q202" s="9">
        <f t="shared" si="98"/>
        <v>-0.98</v>
      </c>
      <c r="R202" s="10">
        <f t="shared" si="99"/>
        <v>0.98</v>
      </c>
      <c r="S202" s="1">
        <f>SUMIFS(
  '[1]Hoja 1'!$M:$M,
  '[1]Hoja 1'!$S:$S, $A202,
  '[1]Hoja 1'!$R:$R, "&gt;="&amp;INT($U$1),
  '[1]Hoja 1'!$R:$R, "&lt;"&amp;INT($V$1+1)
)</f>
        <v>0</v>
      </c>
      <c r="T202" s="1">
        <f t="shared" si="100"/>
        <v>0</v>
      </c>
      <c r="U202" s="9">
        <f t="shared" si="101"/>
        <v>-1.2651745597610895</v>
      </c>
      <c r="V202" s="10">
        <f t="shared" si="102"/>
        <v>1.2651745597610895</v>
      </c>
      <c r="W202" s="1">
        <f>SUMIFS(
  '[1]Hoja 1'!$M:$M,
  '[1]Hoja 1'!$S:$S, $A202,
  '[1]Hoja 1'!$R:$R, "&gt;="&amp;INT($Y$1),
  '[1]Hoja 1'!$R:$R, "&lt;"&amp;INT($Z$1+1)
)</f>
        <v>0</v>
      </c>
      <c r="X202" s="1">
        <f t="shared" si="103"/>
        <v>0</v>
      </c>
      <c r="Y202" s="9">
        <f t="shared" si="104"/>
        <v>-0.87653864717991747</v>
      </c>
      <c r="Z202" s="10">
        <f t="shared" si="105"/>
        <v>0.87653864717991747</v>
      </c>
      <c r="AA202" s="1">
        <f>SUMIFS(
  '[1]Hoja 1'!$M:$M,
  '[1]Hoja 1'!$S:$S, $A202,
  '[1]Hoja 1'!$R:$R, "&gt;="&amp;INT($AC$1),
  '[1]Hoja 1'!$R:$R, "&lt;"&amp;INT($AD$1+1)
)</f>
        <v>0</v>
      </c>
      <c r="AB202" s="1">
        <f t="shared" si="106"/>
        <v>0</v>
      </c>
      <c r="AC202" s="9">
        <f t="shared" si="107"/>
        <v>-0.81992682600339406</v>
      </c>
      <c r="AD202" s="10">
        <f t="shared" si="108"/>
        <v>0.81992682600339406</v>
      </c>
      <c r="AE202" s="1">
        <f>SUMIFS(
  '[1]Hoja 1'!$M:$M,
  '[1]Hoja 1'!$S:$S, $A202,
  '[1]Hoja 1'!$R:$R, "&gt;="&amp;INT($AG$1),
  '[1]Hoja 1'!$R:$R, "&lt;"&amp;INT($AH$1+1)
)</f>
        <v>0</v>
      </c>
      <c r="AF202" s="1">
        <f t="shared" si="109"/>
        <v>0</v>
      </c>
      <c r="AG202" s="9">
        <f t="shared" si="110"/>
        <v>-0.77105987662005437</v>
      </c>
      <c r="AH202" s="10">
        <f t="shared" si="111"/>
        <v>0.77105987662005437</v>
      </c>
      <c r="AI202" s="1">
        <f>SUMIFS(
  '[1]Hoja 1'!$M:$M,
  '[1]Hoja 1'!$S:$S, $A202,
  '[1]Hoja 1'!$R:$R, "&gt;="&amp;INT($AK$1),
  '[1]Hoja 1'!$R:$R, "&lt;"&amp;INT($AJ$1+1)
)</f>
        <v>0</v>
      </c>
      <c r="AJ202" s="1">
        <f t="shared" si="112"/>
        <v>0</v>
      </c>
      <c r="AK202" s="9">
        <f t="shared" si="113"/>
        <v>-0.72914333295998801</v>
      </c>
      <c r="AL202" s="10">
        <f t="shared" si="114"/>
        <v>0.72914333295998801</v>
      </c>
      <c r="AM202" s="1">
        <f>SUMIFS(
  '[1]Hoja 1'!$M:$M,
  '[1]Hoja 1'!$S:$S, $A202,
  '[1]Hoja 1'!$R:$R, "&gt;="&amp;INT($AO$1),
  '[1]Hoja 1'!$R:$R, "&lt;"&amp;INT($AP$1+1)
)</f>
        <v>0</v>
      </c>
      <c r="AN202" s="1">
        <f t="shared" si="115"/>
        <v>0</v>
      </c>
      <c r="AO202" s="9">
        <f t="shared" si="116"/>
        <v>-0.69296464556281656</v>
      </c>
      <c r="AP202" s="10">
        <f t="shared" si="117"/>
        <v>0.69296464556281656</v>
      </c>
      <c r="AQ202" s="1">
        <f>SUMIFS(
  '[1]Hoja 1'!$M:$M,
  '[1]Hoja 1'!$S:$S, $A202,
  '[1]Hoja 1'!$R:$R, "&gt;="&amp;INT($AS$1),
  '[1]Hoja 1'!$R:$R, "&lt;"&amp;INT($AT$1+1)
)</f>
        <v>0</v>
      </c>
      <c r="AR202" s="1">
        <f t="shared" si="118"/>
        <v>0</v>
      </c>
      <c r="AS202" s="9">
        <f t="shared" si="119"/>
        <v>-0.66144958655634178</v>
      </c>
      <c r="AT202" s="10">
        <f t="shared" si="120"/>
        <v>0.66144958655634178</v>
      </c>
      <c r="AU202" s="1">
        <f>SUMIFS(
  '[1]Hoja 1'!$M:$M,
  '[1]Hoja 1'!$S:$S, $A202,
  '[1]Hoja 1'!$R:$R, "&gt;="&amp;INT($AW$1),
  '[1]Hoja 1'!$R:$R, "&lt;"&amp;INT($AX$1+1)
)</f>
        <v>0</v>
      </c>
      <c r="AV202" s="1">
        <f t="shared" si="121"/>
        <v>0</v>
      </c>
      <c r="AW202" s="9">
        <f t="shared" si="122"/>
        <v>-0.63373639486920597</v>
      </c>
      <c r="AX202" s="10">
        <f t="shared" si="123"/>
        <v>0.63373639486920597</v>
      </c>
    </row>
    <row r="203" spans="1:50" x14ac:dyDescent="0.25">
      <c r="A203" s="5">
        <v>236001</v>
      </c>
      <c r="B203" s="6" t="s">
        <v>200</v>
      </c>
      <c r="C203" s="1">
        <f>SUMIFS(
  '[1]Hoja 1'!$M:$M,
  '[1]Hoja 1'!$S:$S, $A203,
  '[1]Hoja 1'!$R:$R, "&gt;="&amp;INT($E$1),
  '[1]Hoja 1'!$R:$R, "&lt;"&amp;INT($F$1+1)
)</f>
        <v>0</v>
      </c>
      <c r="D203" s="1" t="str">
        <f>""</f>
        <v/>
      </c>
      <c r="F203" s="2"/>
      <c r="G203" s="1">
        <f>SUMIFS(
  '[1]Hoja 1'!$M:$M,
  '[1]Hoja 1'!$S:$S, $A203,
  '[1]Hoja 1'!$R:$R, "&gt;="&amp;INT($I$1),
  '[1]Hoja 1'!$R:$R, "&lt;"&amp;INT($J$1+1)
)</f>
        <v>0</v>
      </c>
      <c r="H203" s="1">
        <f t="shared" si="93"/>
        <v>0</v>
      </c>
      <c r="I203" s="1"/>
      <c r="J203" s="2"/>
      <c r="K203" s="1">
        <f>SUMIFS(
  '[1]Hoja 1'!$M:$M,
  '[1]Hoja 1'!$S:$S, $A203,
  '[1]Hoja 1'!$R:$R, "&gt;="&amp;INT($M$1),
  '[1]Hoja 1'!$R:$R, "&lt;"&amp;INT($N$1+1)
)</f>
        <v>0</v>
      </c>
      <c r="L203" s="1">
        <f t="shared" si="94"/>
        <v>0</v>
      </c>
      <c r="M203" s="9">
        <f t="shared" si="95"/>
        <v>0</v>
      </c>
      <c r="N203" s="10">
        <f t="shared" si="96"/>
        <v>0</v>
      </c>
      <c r="O203" s="1">
        <f>SUMIFS(
  '[1]Hoja 1'!$M:$M,
  '[1]Hoja 1'!$S:$S, $A203,
  '[1]Hoja 1'!$R:$R, "&gt;="&amp;INT($Q$1),
  '[1]Hoja 1'!$R:$R, "&lt;"&amp;INT($R$1+1)
)</f>
        <v>0</v>
      </c>
      <c r="P203" s="1">
        <f t="shared" si="97"/>
        <v>0</v>
      </c>
      <c r="Q203" s="9">
        <f t="shared" si="98"/>
        <v>0</v>
      </c>
      <c r="R203" s="10">
        <f t="shared" si="99"/>
        <v>0</v>
      </c>
      <c r="S203" s="1">
        <f>SUMIFS(
  '[1]Hoja 1'!$M:$M,
  '[1]Hoja 1'!$S:$S, $A203,
  '[1]Hoja 1'!$R:$R, "&gt;="&amp;INT($U$1),
  '[1]Hoja 1'!$R:$R, "&lt;"&amp;INT($V$1+1)
)</f>
        <v>0</v>
      </c>
      <c r="T203" s="1">
        <f t="shared" si="100"/>
        <v>0</v>
      </c>
      <c r="U203" s="9">
        <f t="shared" si="101"/>
        <v>-1.47</v>
      </c>
      <c r="V203" s="10">
        <f t="shared" si="102"/>
        <v>1.47</v>
      </c>
      <c r="W203" s="1">
        <f>SUMIFS(
  '[1]Hoja 1'!$M:$M,
  '[1]Hoja 1'!$S:$S, $A203,
  '[1]Hoja 1'!$R:$R, "&gt;="&amp;INT($Y$1),
  '[1]Hoja 1'!$R:$R, "&lt;"&amp;INT($Z$1+1)
)</f>
        <v>0</v>
      </c>
      <c r="X203" s="1">
        <f t="shared" si="103"/>
        <v>0</v>
      </c>
      <c r="Y203" s="9">
        <f t="shared" si="104"/>
        <v>0</v>
      </c>
      <c r="Z203" s="10">
        <f t="shared" si="105"/>
        <v>0</v>
      </c>
      <c r="AA203" s="1">
        <f>SUMIFS(
  '[1]Hoja 1'!$M:$M,
  '[1]Hoja 1'!$S:$S, $A203,
  '[1]Hoja 1'!$R:$R, "&gt;="&amp;INT($AC$1),
  '[1]Hoja 1'!$R:$R, "&lt;"&amp;INT($AD$1+1)
)</f>
        <v>0</v>
      </c>
      <c r="AB203" s="1">
        <f t="shared" si="106"/>
        <v>0</v>
      </c>
      <c r="AC203" s="9">
        <f t="shared" si="107"/>
        <v>0</v>
      </c>
      <c r="AD203" s="10">
        <f t="shared" si="108"/>
        <v>0</v>
      </c>
      <c r="AE203" s="1">
        <f>SUMIFS(
  '[1]Hoja 1'!$M:$M,
  '[1]Hoja 1'!$S:$S, $A203,
  '[1]Hoja 1'!$R:$R, "&gt;="&amp;INT($AG$1),
  '[1]Hoja 1'!$R:$R, "&lt;"&amp;INT($AH$1+1)
)</f>
        <v>0</v>
      </c>
      <c r="AF203" s="1">
        <f t="shared" si="109"/>
        <v>0</v>
      </c>
      <c r="AG203" s="9">
        <f t="shared" si="110"/>
        <v>0</v>
      </c>
      <c r="AH203" s="10">
        <f t="shared" si="111"/>
        <v>0</v>
      </c>
      <c r="AI203" s="1">
        <f>SUMIFS(
  '[1]Hoja 1'!$M:$M,
  '[1]Hoja 1'!$S:$S, $A203,
  '[1]Hoja 1'!$R:$R, "&gt;="&amp;INT($AK$1),
  '[1]Hoja 1'!$R:$R, "&lt;"&amp;INT($AJ$1+1)
)</f>
        <v>0</v>
      </c>
      <c r="AJ203" s="1">
        <f t="shared" si="112"/>
        <v>0</v>
      </c>
      <c r="AK203" s="9">
        <f t="shared" si="113"/>
        <v>0</v>
      </c>
      <c r="AL203" s="10">
        <f t="shared" si="114"/>
        <v>0</v>
      </c>
      <c r="AM203" s="1">
        <f>SUMIFS(
  '[1]Hoja 1'!$M:$M,
  '[1]Hoja 1'!$S:$S, $A203,
  '[1]Hoja 1'!$R:$R, "&gt;="&amp;INT($AO$1),
  '[1]Hoja 1'!$R:$R, "&lt;"&amp;INT($AP$1+1)
)</f>
        <v>0</v>
      </c>
      <c r="AN203" s="1">
        <f t="shared" si="115"/>
        <v>0</v>
      </c>
      <c r="AO203" s="9">
        <f t="shared" si="116"/>
        <v>0</v>
      </c>
      <c r="AP203" s="10">
        <f t="shared" si="117"/>
        <v>0</v>
      </c>
      <c r="AQ203" s="1">
        <f>SUMIFS(
  '[1]Hoja 1'!$M:$M,
  '[1]Hoja 1'!$S:$S, $A203,
  '[1]Hoja 1'!$R:$R, "&gt;="&amp;INT($AS$1),
  '[1]Hoja 1'!$R:$R, "&lt;"&amp;INT($AT$1+1)
)</f>
        <v>0</v>
      </c>
      <c r="AR203" s="1">
        <f t="shared" si="118"/>
        <v>0</v>
      </c>
      <c r="AS203" s="9">
        <f t="shared" si="119"/>
        <v>0</v>
      </c>
      <c r="AT203" s="10">
        <f t="shared" si="120"/>
        <v>0</v>
      </c>
      <c r="AU203" s="1">
        <f>SUMIFS(
  '[1]Hoja 1'!$M:$M,
  '[1]Hoja 1'!$S:$S, $A203,
  '[1]Hoja 1'!$R:$R, "&gt;="&amp;INT($AW$1),
  '[1]Hoja 1'!$R:$R, "&lt;"&amp;INT($AX$1+1)
)</f>
        <v>0</v>
      </c>
      <c r="AV203" s="1">
        <f t="shared" si="121"/>
        <v>0</v>
      </c>
      <c r="AW203" s="9">
        <f t="shared" si="122"/>
        <v>0</v>
      </c>
      <c r="AX203" s="10">
        <f t="shared" si="123"/>
        <v>0</v>
      </c>
    </row>
    <row r="204" spans="1:50" x14ac:dyDescent="0.25">
      <c r="A204" s="5">
        <v>236002</v>
      </c>
      <c r="B204" s="6" t="s">
        <v>201</v>
      </c>
      <c r="C204" s="1">
        <f>SUMIFS(
  '[1]Hoja 1'!$M:$M,
  '[1]Hoja 1'!$S:$S, $A204,
  '[1]Hoja 1'!$R:$R, "&gt;="&amp;INT($E$1),
  '[1]Hoja 1'!$R:$R, "&lt;"&amp;INT($F$1+1)
)</f>
        <v>0</v>
      </c>
      <c r="D204" s="1" t="str">
        <f>""</f>
        <v/>
      </c>
      <c r="F204" s="2"/>
      <c r="G204" s="1">
        <f>SUMIFS(
  '[1]Hoja 1'!$M:$M,
  '[1]Hoja 1'!$S:$S, $A204,
  '[1]Hoja 1'!$R:$R, "&gt;="&amp;INT($I$1),
  '[1]Hoja 1'!$R:$R, "&lt;"&amp;INT($J$1+1)
)</f>
        <v>0</v>
      </c>
      <c r="H204" s="1">
        <f t="shared" si="93"/>
        <v>0</v>
      </c>
      <c r="I204" s="1"/>
      <c r="J204" s="2"/>
      <c r="K204" s="1">
        <f>SUMIFS(
  '[1]Hoja 1'!$M:$M,
  '[1]Hoja 1'!$S:$S, $A204,
  '[1]Hoja 1'!$R:$R, "&gt;="&amp;INT($M$1),
  '[1]Hoja 1'!$R:$R, "&lt;"&amp;INT($N$1+1)
)</f>
        <v>0</v>
      </c>
      <c r="L204" s="1">
        <f t="shared" si="94"/>
        <v>0</v>
      </c>
      <c r="M204" s="9">
        <f t="shared" si="95"/>
        <v>0</v>
      </c>
      <c r="N204" s="10">
        <f t="shared" si="96"/>
        <v>0</v>
      </c>
      <c r="O204" s="1">
        <f>SUMIFS(
  '[1]Hoja 1'!$M:$M,
  '[1]Hoja 1'!$S:$S, $A204,
  '[1]Hoja 1'!$R:$R, "&gt;="&amp;INT($Q$1),
  '[1]Hoja 1'!$R:$R, "&lt;"&amp;INT($R$1+1)
)</f>
        <v>0</v>
      </c>
      <c r="P204" s="1">
        <f t="shared" si="97"/>
        <v>0</v>
      </c>
      <c r="Q204" s="9">
        <f t="shared" si="98"/>
        <v>0</v>
      </c>
      <c r="R204" s="10">
        <f t="shared" si="99"/>
        <v>0</v>
      </c>
      <c r="S204" s="1">
        <f>SUMIFS(
  '[1]Hoja 1'!$M:$M,
  '[1]Hoja 1'!$S:$S, $A204,
  '[1]Hoja 1'!$R:$R, "&gt;="&amp;INT($U$1),
  '[1]Hoja 1'!$R:$R, "&lt;"&amp;INT($V$1+1)
)</f>
        <v>0</v>
      </c>
      <c r="T204" s="1">
        <f t="shared" si="100"/>
        <v>0</v>
      </c>
      <c r="U204" s="9">
        <f t="shared" si="101"/>
        <v>-1.47</v>
      </c>
      <c r="V204" s="10">
        <f t="shared" si="102"/>
        <v>1.47</v>
      </c>
      <c r="W204" s="1">
        <f>SUMIFS(
  '[1]Hoja 1'!$M:$M,
  '[1]Hoja 1'!$S:$S, $A204,
  '[1]Hoja 1'!$R:$R, "&gt;="&amp;INT($Y$1),
  '[1]Hoja 1'!$R:$R, "&lt;"&amp;INT($Z$1+1)
)</f>
        <v>0</v>
      </c>
      <c r="X204" s="1">
        <f t="shared" si="103"/>
        <v>0</v>
      </c>
      <c r="Y204" s="9">
        <f t="shared" si="104"/>
        <v>0</v>
      </c>
      <c r="Z204" s="10">
        <f t="shared" si="105"/>
        <v>0</v>
      </c>
      <c r="AA204" s="1">
        <f>SUMIFS(
  '[1]Hoja 1'!$M:$M,
  '[1]Hoja 1'!$S:$S, $A204,
  '[1]Hoja 1'!$R:$R, "&gt;="&amp;INT($AC$1),
  '[1]Hoja 1'!$R:$R, "&lt;"&amp;INT($AD$1+1)
)</f>
        <v>0</v>
      </c>
      <c r="AB204" s="1">
        <f t="shared" si="106"/>
        <v>0</v>
      </c>
      <c r="AC204" s="9">
        <f t="shared" si="107"/>
        <v>0</v>
      </c>
      <c r="AD204" s="10">
        <f t="shared" si="108"/>
        <v>0</v>
      </c>
      <c r="AE204" s="1">
        <f>SUMIFS(
  '[1]Hoja 1'!$M:$M,
  '[1]Hoja 1'!$S:$S, $A204,
  '[1]Hoja 1'!$R:$R, "&gt;="&amp;INT($AG$1),
  '[1]Hoja 1'!$R:$R, "&lt;"&amp;INT($AH$1+1)
)</f>
        <v>0</v>
      </c>
      <c r="AF204" s="1">
        <f t="shared" si="109"/>
        <v>0</v>
      </c>
      <c r="AG204" s="9">
        <f t="shared" si="110"/>
        <v>0</v>
      </c>
      <c r="AH204" s="10">
        <f t="shared" si="111"/>
        <v>0</v>
      </c>
      <c r="AI204" s="1">
        <f>SUMIFS(
  '[1]Hoja 1'!$M:$M,
  '[1]Hoja 1'!$S:$S, $A204,
  '[1]Hoja 1'!$R:$R, "&gt;="&amp;INT($AK$1),
  '[1]Hoja 1'!$R:$R, "&lt;"&amp;INT($AJ$1+1)
)</f>
        <v>0</v>
      </c>
      <c r="AJ204" s="1">
        <f t="shared" si="112"/>
        <v>0</v>
      </c>
      <c r="AK204" s="9">
        <f t="shared" si="113"/>
        <v>0</v>
      </c>
      <c r="AL204" s="10">
        <f t="shared" si="114"/>
        <v>0</v>
      </c>
      <c r="AM204" s="1">
        <f>SUMIFS(
  '[1]Hoja 1'!$M:$M,
  '[1]Hoja 1'!$S:$S, $A204,
  '[1]Hoja 1'!$R:$R, "&gt;="&amp;INT($AO$1),
  '[1]Hoja 1'!$R:$R, "&lt;"&amp;INT($AP$1+1)
)</f>
        <v>0</v>
      </c>
      <c r="AN204" s="1">
        <f t="shared" si="115"/>
        <v>0</v>
      </c>
      <c r="AO204" s="9">
        <f t="shared" si="116"/>
        <v>0</v>
      </c>
      <c r="AP204" s="10">
        <f t="shared" si="117"/>
        <v>0</v>
      </c>
      <c r="AQ204" s="1">
        <f>SUMIFS(
  '[1]Hoja 1'!$M:$M,
  '[1]Hoja 1'!$S:$S, $A204,
  '[1]Hoja 1'!$R:$R, "&gt;="&amp;INT($AS$1),
  '[1]Hoja 1'!$R:$R, "&lt;"&amp;INT($AT$1+1)
)</f>
        <v>0</v>
      </c>
      <c r="AR204" s="1">
        <f t="shared" si="118"/>
        <v>0</v>
      </c>
      <c r="AS204" s="9">
        <f t="shared" si="119"/>
        <v>0</v>
      </c>
      <c r="AT204" s="10">
        <f t="shared" si="120"/>
        <v>0</v>
      </c>
      <c r="AU204" s="1">
        <f>SUMIFS(
  '[1]Hoja 1'!$M:$M,
  '[1]Hoja 1'!$S:$S, $A204,
  '[1]Hoja 1'!$R:$R, "&gt;="&amp;INT($AW$1),
  '[1]Hoja 1'!$R:$R, "&lt;"&amp;INT($AX$1+1)
)</f>
        <v>0</v>
      </c>
      <c r="AV204" s="1">
        <f t="shared" si="121"/>
        <v>0</v>
      </c>
      <c r="AW204" s="9">
        <f t="shared" si="122"/>
        <v>0</v>
      </c>
      <c r="AX204" s="10">
        <f t="shared" si="123"/>
        <v>0</v>
      </c>
    </row>
    <row r="205" spans="1:50" x14ac:dyDescent="0.25">
      <c r="A205" s="5">
        <v>236003</v>
      </c>
      <c r="B205" s="6" t="s">
        <v>202</v>
      </c>
      <c r="C205" s="1">
        <f>SUMIFS(
  '[1]Hoja 1'!$M:$M,
  '[1]Hoja 1'!$S:$S, $A205,
  '[1]Hoja 1'!$R:$R, "&gt;="&amp;INT($E$1),
  '[1]Hoja 1'!$R:$R, "&lt;"&amp;INT($F$1+1)
)</f>
        <v>0</v>
      </c>
      <c r="D205" s="1" t="str">
        <f>""</f>
        <v/>
      </c>
      <c r="F205" s="2"/>
      <c r="G205" s="1">
        <f>SUMIFS(
  '[1]Hoja 1'!$M:$M,
  '[1]Hoja 1'!$S:$S, $A205,
  '[1]Hoja 1'!$R:$R, "&gt;="&amp;INT($I$1),
  '[1]Hoja 1'!$R:$R, "&lt;"&amp;INT($J$1+1)
)</f>
        <v>0</v>
      </c>
      <c r="H205" s="1">
        <f t="shared" si="93"/>
        <v>0</v>
      </c>
      <c r="I205" s="1"/>
      <c r="J205" s="2"/>
      <c r="K205" s="1">
        <f>SUMIFS(
  '[1]Hoja 1'!$M:$M,
  '[1]Hoja 1'!$S:$S, $A205,
  '[1]Hoja 1'!$R:$R, "&gt;="&amp;INT($M$1),
  '[1]Hoja 1'!$R:$R, "&lt;"&amp;INT($N$1+1)
)</f>
        <v>0</v>
      </c>
      <c r="L205" s="1">
        <f t="shared" si="94"/>
        <v>0</v>
      </c>
      <c r="M205" s="9">
        <f t="shared" si="95"/>
        <v>0</v>
      </c>
      <c r="N205" s="10">
        <f t="shared" si="96"/>
        <v>0</v>
      </c>
      <c r="O205" s="1">
        <f>SUMIFS(
  '[1]Hoja 1'!$M:$M,
  '[1]Hoja 1'!$S:$S, $A205,
  '[1]Hoja 1'!$R:$R, "&gt;="&amp;INT($Q$1),
  '[1]Hoja 1'!$R:$R, "&lt;"&amp;INT($R$1+1)
)</f>
        <v>0</v>
      </c>
      <c r="P205" s="1">
        <f t="shared" si="97"/>
        <v>0</v>
      </c>
      <c r="Q205" s="9">
        <f t="shared" si="98"/>
        <v>0</v>
      </c>
      <c r="R205" s="10">
        <f t="shared" si="99"/>
        <v>0</v>
      </c>
      <c r="S205" s="1">
        <f>SUMIFS(
  '[1]Hoja 1'!$M:$M,
  '[1]Hoja 1'!$S:$S, $A205,
  '[1]Hoja 1'!$R:$R, "&gt;="&amp;INT($U$1),
  '[1]Hoja 1'!$R:$R, "&lt;"&amp;INT($V$1+1)
)</f>
        <v>0</v>
      </c>
      <c r="T205" s="1">
        <f t="shared" si="100"/>
        <v>0</v>
      </c>
      <c r="U205" s="9">
        <f t="shared" si="101"/>
        <v>-1.47</v>
      </c>
      <c r="V205" s="10">
        <f t="shared" si="102"/>
        <v>1.47</v>
      </c>
      <c r="W205" s="1">
        <f>SUMIFS(
  '[1]Hoja 1'!$M:$M,
  '[1]Hoja 1'!$S:$S, $A205,
  '[1]Hoja 1'!$R:$R, "&gt;="&amp;INT($Y$1),
  '[1]Hoja 1'!$R:$R, "&lt;"&amp;INT($Z$1+1)
)</f>
        <v>0</v>
      </c>
      <c r="X205" s="1">
        <f t="shared" si="103"/>
        <v>0</v>
      </c>
      <c r="Y205" s="9">
        <f t="shared" si="104"/>
        <v>0</v>
      </c>
      <c r="Z205" s="10">
        <f t="shared" si="105"/>
        <v>0</v>
      </c>
      <c r="AA205" s="1">
        <f>SUMIFS(
  '[1]Hoja 1'!$M:$M,
  '[1]Hoja 1'!$S:$S, $A205,
  '[1]Hoja 1'!$R:$R, "&gt;="&amp;INT($AC$1),
  '[1]Hoja 1'!$R:$R, "&lt;"&amp;INT($AD$1+1)
)</f>
        <v>0</v>
      </c>
      <c r="AB205" s="1">
        <f t="shared" si="106"/>
        <v>0</v>
      </c>
      <c r="AC205" s="9">
        <f t="shared" si="107"/>
        <v>0</v>
      </c>
      <c r="AD205" s="10">
        <f t="shared" si="108"/>
        <v>0</v>
      </c>
      <c r="AE205" s="1">
        <f>SUMIFS(
  '[1]Hoja 1'!$M:$M,
  '[1]Hoja 1'!$S:$S, $A205,
  '[1]Hoja 1'!$R:$R, "&gt;="&amp;INT($AG$1),
  '[1]Hoja 1'!$R:$R, "&lt;"&amp;INT($AH$1+1)
)</f>
        <v>0</v>
      </c>
      <c r="AF205" s="1">
        <f t="shared" si="109"/>
        <v>0</v>
      </c>
      <c r="AG205" s="9">
        <f t="shared" si="110"/>
        <v>0</v>
      </c>
      <c r="AH205" s="10">
        <f t="shared" si="111"/>
        <v>0</v>
      </c>
      <c r="AI205" s="1">
        <f>SUMIFS(
  '[1]Hoja 1'!$M:$M,
  '[1]Hoja 1'!$S:$S, $A205,
  '[1]Hoja 1'!$R:$R, "&gt;="&amp;INT($AK$1),
  '[1]Hoja 1'!$R:$R, "&lt;"&amp;INT($AJ$1+1)
)</f>
        <v>0</v>
      </c>
      <c r="AJ205" s="1">
        <f t="shared" si="112"/>
        <v>0</v>
      </c>
      <c r="AK205" s="9">
        <f t="shared" si="113"/>
        <v>0</v>
      </c>
      <c r="AL205" s="10">
        <f t="shared" si="114"/>
        <v>0</v>
      </c>
      <c r="AM205" s="1">
        <f>SUMIFS(
  '[1]Hoja 1'!$M:$M,
  '[1]Hoja 1'!$S:$S, $A205,
  '[1]Hoja 1'!$R:$R, "&gt;="&amp;INT($AO$1),
  '[1]Hoja 1'!$R:$R, "&lt;"&amp;INT($AP$1+1)
)</f>
        <v>0</v>
      </c>
      <c r="AN205" s="1">
        <f t="shared" si="115"/>
        <v>0</v>
      </c>
      <c r="AO205" s="9">
        <f t="shared" si="116"/>
        <v>0</v>
      </c>
      <c r="AP205" s="10">
        <f t="shared" si="117"/>
        <v>0</v>
      </c>
      <c r="AQ205" s="1">
        <f>SUMIFS(
  '[1]Hoja 1'!$M:$M,
  '[1]Hoja 1'!$S:$S, $A205,
  '[1]Hoja 1'!$R:$R, "&gt;="&amp;INT($AS$1),
  '[1]Hoja 1'!$R:$R, "&lt;"&amp;INT($AT$1+1)
)</f>
        <v>0</v>
      </c>
      <c r="AR205" s="1">
        <f t="shared" si="118"/>
        <v>0</v>
      </c>
      <c r="AS205" s="9">
        <f t="shared" si="119"/>
        <v>0</v>
      </c>
      <c r="AT205" s="10">
        <f t="shared" si="120"/>
        <v>0</v>
      </c>
      <c r="AU205" s="1">
        <f>SUMIFS(
  '[1]Hoja 1'!$M:$M,
  '[1]Hoja 1'!$S:$S, $A205,
  '[1]Hoja 1'!$R:$R, "&gt;="&amp;INT($AW$1),
  '[1]Hoja 1'!$R:$R, "&lt;"&amp;INT($AX$1+1)
)</f>
        <v>0</v>
      </c>
      <c r="AV205" s="1">
        <f t="shared" si="121"/>
        <v>0</v>
      </c>
      <c r="AW205" s="9">
        <f t="shared" si="122"/>
        <v>0</v>
      </c>
      <c r="AX205" s="10">
        <f t="shared" si="123"/>
        <v>0</v>
      </c>
    </row>
    <row r="206" spans="1:50" x14ac:dyDescent="0.25">
      <c r="A206" s="5">
        <v>236004</v>
      </c>
      <c r="B206" s="6" t="s">
        <v>203</v>
      </c>
      <c r="C206" s="1">
        <f>SUMIFS(
  '[1]Hoja 1'!$M:$M,
  '[1]Hoja 1'!$S:$S, $A206,
  '[1]Hoja 1'!$R:$R, "&gt;="&amp;INT($E$1),
  '[1]Hoja 1'!$R:$R, "&lt;"&amp;INT($F$1+1)
)</f>
        <v>0</v>
      </c>
      <c r="D206" s="1" t="str">
        <f>""</f>
        <v/>
      </c>
      <c r="F206" s="2"/>
      <c r="G206" s="1">
        <f>SUMIFS(
  '[1]Hoja 1'!$M:$M,
  '[1]Hoja 1'!$S:$S, $A206,
  '[1]Hoja 1'!$R:$R, "&gt;="&amp;INT($I$1),
  '[1]Hoja 1'!$R:$R, "&lt;"&amp;INT($J$1+1)
)</f>
        <v>0</v>
      </c>
      <c r="H206" s="1">
        <f t="shared" si="93"/>
        <v>0</v>
      </c>
      <c r="I206" s="1"/>
      <c r="J206" s="2"/>
      <c r="K206" s="1">
        <f>SUMIFS(
  '[1]Hoja 1'!$M:$M,
  '[1]Hoja 1'!$S:$S, $A206,
  '[1]Hoja 1'!$R:$R, "&gt;="&amp;INT($M$1),
  '[1]Hoja 1'!$R:$R, "&lt;"&amp;INT($N$1+1)
)</f>
        <v>0</v>
      </c>
      <c r="L206" s="1">
        <f t="shared" si="94"/>
        <v>0</v>
      </c>
      <c r="M206" s="9">
        <f t="shared" si="95"/>
        <v>0</v>
      </c>
      <c r="N206" s="10">
        <f t="shared" si="96"/>
        <v>0</v>
      </c>
      <c r="O206" s="1">
        <f>SUMIFS(
  '[1]Hoja 1'!$M:$M,
  '[1]Hoja 1'!$S:$S, $A206,
  '[1]Hoja 1'!$R:$R, "&gt;="&amp;INT($Q$1),
  '[1]Hoja 1'!$R:$R, "&lt;"&amp;INT($R$1+1)
)</f>
        <v>0</v>
      </c>
      <c r="P206" s="1">
        <f t="shared" si="97"/>
        <v>0</v>
      </c>
      <c r="Q206" s="9">
        <f t="shared" si="98"/>
        <v>0</v>
      </c>
      <c r="R206" s="10">
        <f t="shared" si="99"/>
        <v>0</v>
      </c>
      <c r="S206" s="1">
        <f>SUMIFS(
  '[1]Hoja 1'!$M:$M,
  '[1]Hoja 1'!$S:$S, $A206,
  '[1]Hoja 1'!$R:$R, "&gt;="&amp;INT($U$1),
  '[1]Hoja 1'!$R:$R, "&lt;"&amp;INT($V$1+1)
)</f>
        <v>0</v>
      </c>
      <c r="T206" s="1">
        <f t="shared" si="100"/>
        <v>0</v>
      </c>
      <c r="U206" s="9">
        <f t="shared" si="101"/>
        <v>-1.47</v>
      </c>
      <c r="V206" s="10">
        <f t="shared" si="102"/>
        <v>1.47</v>
      </c>
      <c r="W206" s="1">
        <f>SUMIFS(
  '[1]Hoja 1'!$M:$M,
  '[1]Hoja 1'!$S:$S, $A206,
  '[1]Hoja 1'!$R:$R, "&gt;="&amp;INT($Y$1),
  '[1]Hoja 1'!$R:$R, "&lt;"&amp;INT($Z$1+1)
)</f>
        <v>0</v>
      </c>
      <c r="X206" s="1">
        <f t="shared" si="103"/>
        <v>0</v>
      </c>
      <c r="Y206" s="9">
        <f t="shared" si="104"/>
        <v>0</v>
      </c>
      <c r="Z206" s="10">
        <f t="shared" si="105"/>
        <v>0</v>
      </c>
      <c r="AA206" s="1">
        <f>SUMIFS(
  '[1]Hoja 1'!$M:$M,
  '[1]Hoja 1'!$S:$S, $A206,
  '[1]Hoja 1'!$R:$R, "&gt;="&amp;INT($AC$1),
  '[1]Hoja 1'!$R:$R, "&lt;"&amp;INT($AD$1+1)
)</f>
        <v>0</v>
      </c>
      <c r="AB206" s="1">
        <f t="shared" si="106"/>
        <v>0</v>
      </c>
      <c r="AC206" s="9">
        <f t="shared" si="107"/>
        <v>0</v>
      </c>
      <c r="AD206" s="10">
        <f t="shared" si="108"/>
        <v>0</v>
      </c>
      <c r="AE206" s="1">
        <f>SUMIFS(
  '[1]Hoja 1'!$M:$M,
  '[1]Hoja 1'!$S:$S, $A206,
  '[1]Hoja 1'!$R:$R, "&gt;="&amp;INT($AG$1),
  '[1]Hoja 1'!$R:$R, "&lt;"&amp;INT($AH$1+1)
)</f>
        <v>0</v>
      </c>
      <c r="AF206" s="1">
        <f t="shared" si="109"/>
        <v>0</v>
      </c>
      <c r="AG206" s="9">
        <f t="shared" si="110"/>
        <v>0</v>
      </c>
      <c r="AH206" s="10">
        <f t="shared" si="111"/>
        <v>0</v>
      </c>
      <c r="AI206" s="1">
        <f>SUMIFS(
  '[1]Hoja 1'!$M:$M,
  '[1]Hoja 1'!$S:$S, $A206,
  '[1]Hoja 1'!$R:$R, "&gt;="&amp;INT($AK$1),
  '[1]Hoja 1'!$R:$R, "&lt;"&amp;INT($AJ$1+1)
)</f>
        <v>0</v>
      </c>
      <c r="AJ206" s="1">
        <f t="shared" si="112"/>
        <v>0</v>
      </c>
      <c r="AK206" s="9">
        <f t="shared" si="113"/>
        <v>0</v>
      </c>
      <c r="AL206" s="10">
        <f t="shared" si="114"/>
        <v>0</v>
      </c>
      <c r="AM206" s="1">
        <f>SUMIFS(
  '[1]Hoja 1'!$M:$M,
  '[1]Hoja 1'!$S:$S, $A206,
  '[1]Hoja 1'!$R:$R, "&gt;="&amp;INT($AO$1),
  '[1]Hoja 1'!$R:$R, "&lt;"&amp;INT($AP$1+1)
)</f>
        <v>0</v>
      </c>
      <c r="AN206" s="1">
        <f t="shared" si="115"/>
        <v>0</v>
      </c>
      <c r="AO206" s="9">
        <f t="shared" si="116"/>
        <v>0</v>
      </c>
      <c r="AP206" s="10">
        <f t="shared" si="117"/>
        <v>0</v>
      </c>
      <c r="AQ206" s="1">
        <f>SUMIFS(
  '[1]Hoja 1'!$M:$M,
  '[1]Hoja 1'!$S:$S, $A206,
  '[1]Hoja 1'!$R:$R, "&gt;="&amp;INT($AS$1),
  '[1]Hoja 1'!$R:$R, "&lt;"&amp;INT($AT$1+1)
)</f>
        <v>0</v>
      </c>
      <c r="AR206" s="1">
        <f t="shared" si="118"/>
        <v>0</v>
      </c>
      <c r="AS206" s="9">
        <f t="shared" si="119"/>
        <v>0</v>
      </c>
      <c r="AT206" s="10">
        <f t="shared" si="120"/>
        <v>0</v>
      </c>
      <c r="AU206" s="1">
        <f>SUMIFS(
  '[1]Hoja 1'!$M:$M,
  '[1]Hoja 1'!$S:$S, $A206,
  '[1]Hoja 1'!$R:$R, "&gt;="&amp;INT($AW$1),
  '[1]Hoja 1'!$R:$R, "&lt;"&amp;INT($AX$1+1)
)</f>
        <v>0</v>
      </c>
      <c r="AV206" s="1">
        <f t="shared" si="121"/>
        <v>0</v>
      </c>
      <c r="AW206" s="9">
        <f t="shared" si="122"/>
        <v>0</v>
      </c>
      <c r="AX206" s="10">
        <f t="shared" si="123"/>
        <v>0</v>
      </c>
    </row>
    <row r="207" spans="1:50" x14ac:dyDescent="0.25">
      <c r="A207" s="5">
        <v>236005</v>
      </c>
      <c r="B207" s="6" t="s">
        <v>204</v>
      </c>
      <c r="C207" s="1">
        <f>SUMIFS(
  '[1]Hoja 1'!$M:$M,
  '[1]Hoja 1'!$S:$S, $A207,
  '[1]Hoja 1'!$R:$R, "&gt;="&amp;INT($E$1),
  '[1]Hoja 1'!$R:$R, "&lt;"&amp;INT($F$1+1)
)</f>
        <v>0</v>
      </c>
      <c r="D207" s="1" t="str">
        <f>""</f>
        <v/>
      </c>
      <c r="F207" s="2"/>
      <c r="G207" s="1">
        <f>SUMIFS(
  '[1]Hoja 1'!$M:$M,
  '[1]Hoja 1'!$S:$S, $A207,
  '[1]Hoja 1'!$R:$R, "&gt;="&amp;INT($I$1),
  '[1]Hoja 1'!$R:$R, "&lt;"&amp;INT($J$1+1)
)</f>
        <v>0</v>
      </c>
      <c r="H207" s="1">
        <f t="shared" si="93"/>
        <v>0</v>
      </c>
      <c r="I207" s="1"/>
      <c r="J207" s="2"/>
      <c r="K207" s="1">
        <f>SUMIFS(
  '[1]Hoja 1'!$M:$M,
  '[1]Hoja 1'!$S:$S, $A207,
  '[1]Hoja 1'!$R:$R, "&gt;="&amp;INT($M$1),
  '[1]Hoja 1'!$R:$R, "&lt;"&amp;INT($N$1+1)
)</f>
        <v>0</v>
      </c>
      <c r="L207" s="1">
        <f t="shared" si="94"/>
        <v>0</v>
      </c>
      <c r="M207" s="9">
        <f t="shared" si="95"/>
        <v>0</v>
      </c>
      <c r="N207" s="10">
        <f t="shared" si="96"/>
        <v>0</v>
      </c>
      <c r="O207" s="1">
        <f>SUMIFS(
  '[1]Hoja 1'!$M:$M,
  '[1]Hoja 1'!$S:$S, $A207,
  '[1]Hoja 1'!$R:$R, "&gt;="&amp;INT($Q$1),
  '[1]Hoja 1'!$R:$R, "&lt;"&amp;INT($R$1+1)
)</f>
        <v>0</v>
      </c>
      <c r="P207" s="1">
        <f t="shared" si="97"/>
        <v>0</v>
      </c>
      <c r="Q207" s="9">
        <f t="shared" si="98"/>
        <v>0</v>
      </c>
      <c r="R207" s="10">
        <f t="shared" si="99"/>
        <v>0</v>
      </c>
      <c r="S207" s="1">
        <f>SUMIFS(
  '[1]Hoja 1'!$M:$M,
  '[1]Hoja 1'!$S:$S, $A207,
  '[1]Hoja 1'!$R:$R, "&gt;="&amp;INT($U$1),
  '[1]Hoja 1'!$R:$R, "&lt;"&amp;INT($V$1+1)
)</f>
        <v>0</v>
      </c>
      <c r="T207" s="1">
        <f t="shared" si="100"/>
        <v>0</v>
      </c>
      <c r="U207" s="9">
        <f t="shared" si="101"/>
        <v>-1.47</v>
      </c>
      <c r="V207" s="10">
        <f t="shared" si="102"/>
        <v>1.47</v>
      </c>
      <c r="W207" s="1">
        <f>SUMIFS(
  '[1]Hoja 1'!$M:$M,
  '[1]Hoja 1'!$S:$S, $A207,
  '[1]Hoja 1'!$R:$R, "&gt;="&amp;INT($Y$1),
  '[1]Hoja 1'!$R:$R, "&lt;"&amp;INT($Z$1+1)
)</f>
        <v>0</v>
      </c>
      <c r="X207" s="1">
        <f t="shared" si="103"/>
        <v>0</v>
      </c>
      <c r="Y207" s="9">
        <f t="shared" si="104"/>
        <v>0</v>
      </c>
      <c r="Z207" s="10">
        <f t="shared" si="105"/>
        <v>0</v>
      </c>
      <c r="AA207" s="1">
        <f>SUMIFS(
  '[1]Hoja 1'!$M:$M,
  '[1]Hoja 1'!$S:$S, $A207,
  '[1]Hoja 1'!$R:$R, "&gt;="&amp;INT($AC$1),
  '[1]Hoja 1'!$R:$R, "&lt;"&amp;INT($AD$1+1)
)</f>
        <v>0</v>
      </c>
      <c r="AB207" s="1">
        <f t="shared" si="106"/>
        <v>0</v>
      </c>
      <c r="AC207" s="9">
        <f t="shared" si="107"/>
        <v>0</v>
      </c>
      <c r="AD207" s="10">
        <f t="shared" si="108"/>
        <v>0</v>
      </c>
      <c r="AE207" s="1">
        <f>SUMIFS(
  '[1]Hoja 1'!$M:$M,
  '[1]Hoja 1'!$S:$S, $A207,
  '[1]Hoja 1'!$R:$R, "&gt;="&amp;INT($AG$1),
  '[1]Hoja 1'!$R:$R, "&lt;"&amp;INT($AH$1+1)
)</f>
        <v>0</v>
      </c>
      <c r="AF207" s="1">
        <f t="shared" si="109"/>
        <v>0</v>
      </c>
      <c r="AG207" s="9">
        <f t="shared" si="110"/>
        <v>0</v>
      </c>
      <c r="AH207" s="10">
        <f t="shared" si="111"/>
        <v>0</v>
      </c>
      <c r="AI207" s="1">
        <f>SUMIFS(
  '[1]Hoja 1'!$M:$M,
  '[1]Hoja 1'!$S:$S, $A207,
  '[1]Hoja 1'!$R:$R, "&gt;="&amp;INT($AK$1),
  '[1]Hoja 1'!$R:$R, "&lt;"&amp;INT($AJ$1+1)
)</f>
        <v>0</v>
      </c>
      <c r="AJ207" s="1">
        <f t="shared" si="112"/>
        <v>0</v>
      </c>
      <c r="AK207" s="9">
        <f t="shared" si="113"/>
        <v>0</v>
      </c>
      <c r="AL207" s="10">
        <f t="shared" si="114"/>
        <v>0</v>
      </c>
      <c r="AM207" s="1">
        <f>SUMIFS(
  '[1]Hoja 1'!$M:$M,
  '[1]Hoja 1'!$S:$S, $A207,
  '[1]Hoja 1'!$R:$R, "&gt;="&amp;INT($AO$1),
  '[1]Hoja 1'!$R:$R, "&lt;"&amp;INT($AP$1+1)
)</f>
        <v>0</v>
      </c>
      <c r="AN207" s="1">
        <f t="shared" si="115"/>
        <v>0</v>
      </c>
      <c r="AO207" s="9">
        <f t="shared" si="116"/>
        <v>0</v>
      </c>
      <c r="AP207" s="10">
        <f t="shared" si="117"/>
        <v>0</v>
      </c>
      <c r="AQ207" s="1">
        <f>SUMIFS(
  '[1]Hoja 1'!$M:$M,
  '[1]Hoja 1'!$S:$S, $A207,
  '[1]Hoja 1'!$R:$R, "&gt;="&amp;INT($AS$1),
  '[1]Hoja 1'!$R:$R, "&lt;"&amp;INT($AT$1+1)
)</f>
        <v>0</v>
      </c>
      <c r="AR207" s="1">
        <f t="shared" si="118"/>
        <v>0</v>
      </c>
      <c r="AS207" s="9">
        <f t="shared" si="119"/>
        <v>0</v>
      </c>
      <c r="AT207" s="10">
        <f t="shared" si="120"/>
        <v>0</v>
      </c>
      <c r="AU207" s="1">
        <f>SUMIFS(
  '[1]Hoja 1'!$M:$M,
  '[1]Hoja 1'!$S:$S, $A207,
  '[1]Hoja 1'!$R:$R, "&gt;="&amp;INT($AW$1),
  '[1]Hoja 1'!$R:$R, "&lt;"&amp;INT($AX$1+1)
)</f>
        <v>0</v>
      </c>
      <c r="AV207" s="1">
        <f t="shared" si="121"/>
        <v>0</v>
      </c>
      <c r="AW207" s="9">
        <f t="shared" si="122"/>
        <v>0</v>
      </c>
      <c r="AX207" s="10">
        <f t="shared" si="123"/>
        <v>0</v>
      </c>
    </row>
    <row r="208" spans="1:50" x14ac:dyDescent="0.25">
      <c r="A208" s="5">
        <v>236006</v>
      </c>
      <c r="B208" s="6" t="s">
        <v>205</v>
      </c>
      <c r="C208" s="1">
        <f>SUMIFS(
  '[1]Hoja 1'!$M:$M,
  '[1]Hoja 1'!$S:$S, $A208,
  '[1]Hoja 1'!$R:$R, "&gt;="&amp;INT($E$1),
  '[1]Hoja 1'!$R:$R, "&lt;"&amp;INT($F$1+1)
)</f>
        <v>0</v>
      </c>
      <c r="D208" s="1" t="str">
        <f>""</f>
        <v/>
      </c>
      <c r="F208" s="2"/>
      <c r="G208" s="1">
        <f>SUMIFS(
  '[1]Hoja 1'!$M:$M,
  '[1]Hoja 1'!$S:$S, $A208,
  '[1]Hoja 1'!$R:$R, "&gt;="&amp;INT($I$1),
  '[1]Hoja 1'!$R:$R, "&lt;"&amp;INT($J$1+1)
)</f>
        <v>0</v>
      </c>
      <c r="H208" s="1">
        <f t="shared" si="93"/>
        <v>0</v>
      </c>
      <c r="I208" s="1"/>
      <c r="J208" s="2"/>
      <c r="K208" s="1">
        <f>SUMIFS(
  '[1]Hoja 1'!$M:$M,
  '[1]Hoja 1'!$S:$S, $A208,
  '[1]Hoja 1'!$R:$R, "&gt;="&amp;INT($M$1),
  '[1]Hoja 1'!$R:$R, "&lt;"&amp;INT($N$1+1)
)</f>
        <v>0</v>
      </c>
      <c r="L208" s="1">
        <f t="shared" si="94"/>
        <v>0</v>
      </c>
      <c r="M208" s="9">
        <f t="shared" si="95"/>
        <v>0</v>
      </c>
      <c r="N208" s="10">
        <f t="shared" si="96"/>
        <v>0</v>
      </c>
      <c r="O208" s="1">
        <f>SUMIFS(
  '[1]Hoja 1'!$M:$M,
  '[1]Hoja 1'!$S:$S, $A208,
  '[1]Hoja 1'!$R:$R, "&gt;="&amp;INT($Q$1),
  '[1]Hoja 1'!$R:$R, "&lt;"&amp;INT($R$1+1)
)</f>
        <v>0</v>
      </c>
      <c r="P208" s="1">
        <f t="shared" si="97"/>
        <v>0</v>
      </c>
      <c r="Q208" s="9">
        <f t="shared" si="98"/>
        <v>0</v>
      </c>
      <c r="R208" s="10">
        <f t="shared" si="99"/>
        <v>0</v>
      </c>
      <c r="S208" s="1">
        <f>SUMIFS(
  '[1]Hoja 1'!$M:$M,
  '[1]Hoja 1'!$S:$S, $A208,
  '[1]Hoja 1'!$R:$R, "&gt;="&amp;INT($U$1),
  '[1]Hoja 1'!$R:$R, "&lt;"&amp;INT($V$1+1)
)</f>
        <v>0</v>
      </c>
      <c r="T208" s="1">
        <f t="shared" si="100"/>
        <v>0</v>
      </c>
      <c r="U208" s="9">
        <f t="shared" si="101"/>
        <v>-1.47</v>
      </c>
      <c r="V208" s="10">
        <f t="shared" si="102"/>
        <v>1.47</v>
      </c>
      <c r="W208" s="1">
        <f>SUMIFS(
  '[1]Hoja 1'!$M:$M,
  '[1]Hoja 1'!$S:$S, $A208,
  '[1]Hoja 1'!$R:$R, "&gt;="&amp;INT($Y$1),
  '[1]Hoja 1'!$R:$R, "&lt;"&amp;INT($Z$1+1)
)</f>
        <v>0</v>
      </c>
      <c r="X208" s="1">
        <f t="shared" si="103"/>
        <v>0</v>
      </c>
      <c r="Y208" s="9">
        <f t="shared" si="104"/>
        <v>0</v>
      </c>
      <c r="Z208" s="10">
        <f t="shared" si="105"/>
        <v>0</v>
      </c>
      <c r="AA208" s="1">
        <f>SUMIFS(
  '[1]Hoja 1'!$M:$M,
  '[1]Hoja 1'!$S:$S, $A208,
  '[1]Hoja 1'!$R:$R, "&gt;="&amp;INT($AC$1),
  '[1]Hoja 1'!$R:$R, "&lt;"&amp;INT($AD$1+1)
)</f>
        <v>0</v>
      </c>
      <c r="AB208" s="1">
        <f t="shared" si="106"/>
        <v>0</v>
      </c>
      <c r="AC208" s="9">
        <f t="shared" si="107"/>
        <v>0</v>
      </c>
      <c r="AD208" s="10">
        <f t="shared" si="108"/>
        <v>0</v>
      </c>
      <c r="AE208" s="1">
        <f>SUMIFS(
  '[1]Hoja 1'!$M:$M,
  '[1]Hoja 1'!$S:$S, $A208,
  '[1]Hoja 1'!$R:$R, "&gt;="&amp;INT($AG$1),
  '[1]Hoja 1'!$R:$R, "&lt;"&amp;INT($AH$1+1)
)</f>
        <v>0</v>
      </c>
      <c r="AF208" s="1">
        <f t="shared" si="109"/>
        <v>0</v>
      </c>
      <c r="AG208" s="9">
        <f t="shared" si="110"/>
        <v>0</v>
      </c>
      <c r="AH208" s="10">
        <f t="shared" si="111"/>
        <v>0</v>
      </c>
      <c r="AI208" s="1">
        <f>SUMIFS(
  '[1]Hoja 1'!$M:$M,
  '[1]Hoja 1'!$S:$S, $A208,
  '[1]Hoja 1'!$R:$R, "&gt;="&amp;INT($AK$1),
  '[1]Hoja 1'!$R:$R, "&lt;"&amp;INT($AJ$1+1)
)</f>
        <v>0</v>
      </c>
      <c r="AJ208" s="1">
        <f t="shared" si="112"/>
        <v>0</v>
      </c>
      <c r="AK208" s="9">
        <f t="shared" si="113"/>
        <v>0</v>
      </c>
      <c r="AL208" s="10">
        <f t="shared" si="114"/>
        <v>0</v>
      </c>
      <c r="AM208" s="1">
        <f>SUMIFS(
  '[1]Hoja 1'!$M:$M,
  '[1]Hoja 1'!$S:$S, $A208,
  '[1]Hoja 1'!$R:$R, "&gt;="&amp;INT($AO$1),
  '[1]Hoja 1'!$R:$R, "&lt;"&amp;INT($AP$1+1)
)</f>
        <v>0</v>
      </c>
      <c r="AN208" s="1">
        <f t="shared" si="115"/>
        <v>0</v>
      </c>
      <c r="AO208" s="9">
        <f t="shared" si="116"/>
        <v>0</v>
      </c>
      <c r="AP208" s="10">
        <f t="shared" si="117"/>
        <v>0</v>
      </c>
      <c r="AQ208" s="1">
        <f>SUMIFS(
  '[1]Hoja 1'!$M:$M,
  '[1]Hoja 1'!$S:$S, $A208,
  '[1]Hoja 1'!$R:$R, "&gt;="&amp;INT($AS$1),
  '[1]Hoja 1'!$R:$R, "&lt;"&amp;INT($AT$1+1)
)</f>
        <v>0</v>
      </c>
      <c r="AR208" s="1">
        <f t="shared" si="118"/>
        <v>0</v>
      </c>
      <c r="AS208" s="9">
        <f t="shared" si="119"/>
        <v>0</v>
      </c>
      <c r="AT208" s="10">
        <f t="shared" si="120"/>
        <v>0</v>
      </c>
      <c r="AU208" s="1">
        <f>SUMIFS(
  '[1]Hoja 1'!$M:$M,
  '[1]Hoja 1'!$S:$S, $A208,
  '[1]Hoja 1'!$R:$R, "&gt;="&amp;INT($AW$1),
  '[1]Hoja 1'!$R:$R, "&lt;"&amp;INT($AX$1+1)
)</f>
        <v>0</v>
      </c>
      <c r="AV208" s="1">
        <f t="shared" si="121"/>
        <v>0</v>
      </c>
      <c r="AW208" s="9">
        <f t="shared" si="122"/>
        <v>0</v>
      </c>
      <c r="AX208" s="10">
        <f t="shared" si="123"/>
        <v>0</v>
      </c>
    </row>
    <row r="209" spans="1:50" x14ac:dyDescent="0.25">
      <c r="A209" s="5">
        <v>236007</v>
      </c>
      <c r="B209" s="6" t="s">
        <v>206</v>
      </c>
      <c r="C209" s="1">
        <f>SUMIFS(
  '[1]Hoja 1'!$M:$M,
  '[1]Hoja 1'!$S:$S, $A209,
  '[1]Hoja 1'!$R:$R, "&gt;="&amp;INT($E$1),
  '[1]Hoja 1'!$R:$R, "&lt;"&amp;INT($F$1+1)
)</f>
        <v>0</v>
      </c>
      <c r="D209" s="1" t="str">
        <f>""</f>
        <v/>
      </c>
      <c r="F209" s="2"/>
      <c r="G209" s="1">
        <f>SUMIFS(
  '[1]Hoja 1'!$M:$M,
  '[1]Hoja 1'!$S:$S, $A209,
  '[1]Hoja 1'!$R:$R, "&gt;="&amp;INT($I$1),
  '[1]Hoja 1'!$R:$R, "&lt;"&amp;INT($J$1+1)
)</f>
        <v>0</v>
      </c>
      <c r="H209" s="1">
        <f t="shared" si="93"/>
        <v>0</v>
      </c>
      <c r="I209" s="1"/>
      <c r="J209" s="2"/>
      <c r="K209" s="1">
        <f>SUMIFS(
  '[1]Hoja 1'!$M:$M,
  '[1]Hoja 1'!$S:$S, $A209,
  '[1]Hoja 1'!$R:$R, "&gt;="&amp;INT($M$1),
  '[1]Hoja 1'!$R:$R, "&lt;"&amp;INT($N$1+1)
)</f>
        <v>0</v>
      </c>
      <c r="L209" s="1">
        <f t="shared" si="94"/>
        <v>0</v>
      </c>
      <c r="M209" s="9">
        <f t="shared" si="95"/>
        <v>0</v>
      </c>
      <c r="N209" s="10">
        <f t="shared" si="96"/>
        <v>0</v>
      </c>
      <c r="O209" s="1">
        <f>SUMIFS(
  '[1]Hoja 1'!$M:$M,
  '[1]Hoja 1'!$S:$S, $A209,
  '[1]Hoja 1'!$R:$R, "&gt;="&amp;INT($Q$1),
  '[1]Hoja 1'!$R:$R, "&lt;"&amp;INT($R$1+1)
)</f>
        <v>0</v>
      </c>
      <c r="P209" s="1">
        <f t="shared" si="97"/>
        <v>0</v>
      </c>
      <c r="Q209" s="9">
        <f t="shared" si="98"/>
        <v>0</v>
      </c>
      <c r="R209" s="10">
        <f t="shared" si="99"/>
        <v>0</v>
      </c>
      <c r="S209" s="1">
        <f>SUMIFS(
  '[1]Hoja 1'!$M:$M,
  '[1]Hoja 1'!$S:$S, $A209,
  '[1]Hoja 1'!$R:$R, "&gt;="&amp;INT($U$1),
  '[1]Hoja 1'!$R:$R, "&lt;"&amp;INT($V$1+1)
)</f>
        <v>0</v>
      </c>
      <c r="T209" s="1">
        <f t="shared" si="100"/>
        <v>0</v>
      </c>
      <c r="U209" s="9">
        <f t="shared" si="101"/>
        <v>-1.47</v>
      </c>
      <c r="V209" s="10">
        <f t="shared" si="102"/>
        <v>1.47</v>
      </c>
      <c r="W209" s="1">
        <f>SUMIFS(
  '[1]Hoja 1'!$M:$M,
  '[1]Hoja 1'!$S:$S, $A209,
  '[1]Hoja 1'!$R:$R, "&gt;="&amp;INT($Y$1),
  '[1]Hoja 1'!$R:$R, "&lt;"&amp;INT($Z$1+1)
)</f>
        <v>0</v>
      </c>
      <c r="X209" s="1">
        <f t="shared" si="103"/>
        <v>0</v>
      </c>
      <c r="Y209" s="9">
        <f t="shared" si="104"/>
        <v>0</v>
      </c>
      <c r="Z209" s="10">
        <f t="shared" si="105"/>
        <v>0</v>
      </c>
      <c r="AA209" s="1">
        <f>SUMIFS(
  '[1]Hoja 1'!$M:$M,
  '[1]Hoja 1'!$S:$S, $A209,
  '[1]Hoja 1'!$R:$R, "&gt;="&amp;INT($AC$1),
  '[1]Hoja 1'!$R:$R, "&lt;"&amp;INT($AD$1+1)
)</f>
        <v>0</v>
      </c>
      <c r="AB209" s="1">
        <f t="shared" si="106"/>
        <v>0</v>
      </c>
      <c r="AC209" s="9">
        <f t="shared" si="107"/>
        <v>0</v>
      </c>
      <c r="AD209" s="10">
        <f t="shared" si="108"/>
        <v>0</v>
      </c>
      <c r="AE209" s="1">
        <f>SUMIFS(
  '[1]Hoja 1'!$M:$M,
  '[1]Hoja 1'!$S:$S, $A209,
  '[1]Hoja 1'!$R:$R, "&gt;="&amp;INT($AG$1),
  '[1]Hoja 1'!$R:$R, "&lt;"&amp;INT($AH$1+1)
)</f>
        <v>0</v>
      </c>
      <c r="AF209" s="1">
        <f t="shared" si="109"/>
        <v>0</v>
      </c>
      <c r="AG209" s="9">
        <f t="shared" si="110"/>
        <v>0</v>
      </c>
      <c r="AH209" s="10">
        <f t="shared" si="111"/>
        <v>0</v>
      </c>
      <c r="AI209" s="1">
        <f>SUMIFS(
  '[1]Hoja 1'!$M:$M,
  '[1]Hoja 1'!$S:$S, $A209,
  '[1]Hoja 1'!$R:$R, "&gt;="&amp;INT($AK$1),
  '[1]Hoja 1'!$R:$R, "&lt;"&amp;INT($AJ$1+1)
)</f>
        <v>0</v>
      </c>
      <c r="AJ209" s="1">
        <f t="shared" si="112"/>
        <v>0</v>
      </c>
      <c r="AK209" s="9">
        <f t="shared" si="113"/>
        <v>0</v>
      </c>
      <c r="AL209" s="10">
        <f t="shared" si="114"/>
        <v>0</v>
      </c>
      <c r="AM209" s="1">
        <f>SUMIFS(
  '[1]Hoja 1'!$M:$M,
  '[1]Hoja 1'!$S:$S, $A209,
  '[1]Hoja 1'!$R:$R, "&gt;="&amp;INT($AO$1),
  '[1]Hoja 1'!$R:$R, "&lt;"&amp;INT($AP$1+1)
)</f>
        <v>0</v>
      </c>
      <c r="AN209" s="1">
        <f t="shared" si="115"/>
        <v>0</v>
      </c>
      <c r="AO209" s="9">
        <f t="shared" si="116"/>
        <v>0</v>
      </c>
      <c r="AP209" s="10">
        <f t="shared" si="117"/>
        <v>0</v>
      </c>
      <c r="AQ209" s="1">
        <f>SUMIFS(
  '[1]Hoja 1'!$M:$M,
  '[1]Hoja 1'!$S:$S, $A209,
  '[1]Hoja 1'!$R:$R, "&gt;="&amp;INT($AS$1),
  '[1]Hoja 1'!$R:$R, "&lt;"&amp;INT($AT$1+1)
)</f>
        <v>0</v>
      </c>
      <c r="AR209" s="1">
        <f t="shared" si="118"/>
        <v>0</v>
      </c>
      <c r="AS209" s="9">
        <f t="shared" si="119"/>
        <v>0</v>
      </c>
      <c r="AT209" s="10">
        <f t="shared" si="120"/>
        <v>0</v>
      </c>
      <c r="AU209" s="1">
        <f>SUMIFS(
  '[1]Hoja 1'!$M:$M,
  '[1]Hoja 1'!$S:$S, $A209,
  '[1]Hoja 1'!$R:$R, "&gt;="&amp;INT($AW$1),
  '[1]Hoja 1'!$R:$R, "&lt;"&amp;INT($AX$1+1)
)</f>
        <v>0</v>
      </c>
      <c r="AV209" s="1">
        <f t="shared" si="121"/>
        <v>0</v>
      </c>
      <c r="AW209" s="9">
        <f t="shared" si="122"/>
        <v>0</v>
      </c>
      <c r="AX209" s="10">
        <f t="shared" si="123"/>
        <v>0</v>
      </c>
    </row>
    <row r="210" spans="1:50" x14ac:dyDescent="0.25">
      <c r="A210" s="5">
        <v>236008</v>
      </c>
      <c r="B210" s="6" t="s">
        <v>207</v>
      </c>
      <c r="C210" s="1">
        <f>SUMIFS(
  '[1]Hoja 1'!$M:$M,
  '[1]Hoja 1'!$S:$S, $A210,
  '[1]Hoja 1'!$R:$R, "&gt;="&amp;INT($E$1),
  '[1]Hoja 1'!$R:$R, "&lt;"&amp;INT($F$1+1)
)</f>
        <v>0</v>
      </c>
      <c r="D210" s="1" t="str">
        <f>""</f>
        <v/>
      </c>
      <c r="F210" s="2"/>
      <c r="G210" s="1">
        <f>SUMIFS(
  '[1]Hoja 1'!$M:$M,
  '[1]Hoja 1'!$S:$S, $A210,
  '[1]Hoja 1'!$R:$R, "&gt;="&amp;INT($I$1),
  '[1]Hoja 1'!$R:$R, "&lt;"&amp;INT($J$1+1)
)</f>
        <v>0</v>
      </c>
      <c r="H210" s="1">
        <f t="shared" si="93"/>
        <v>0</v>
      </c>
      <c r="I210" s="1"/>
      <c r="J210" s="2"/>
      <c r="K210" s="1">
        <f>SUMIFS(
  '[1]Hoja 1'!$M:$M,
  '[1]Hoja 1'!$S:$S, $A210,
  '[1]Hoja 1'!$R:$R, "&gt;="&amp;INT($M$1),
  '[1]Hoja 1'!$R:$R, "&lt;"&amp;INT($N$1+1)
)</f>
        <v>0</v>
      </c>
      <c r="L210" s="1">
        <f t="shared" si="94"/>
        <v>0</v>
      </c>
      <c r="M210" s="9">
        <f t="shared" si="95"/>
        <v>0</v>
      </c>
      <c r="N210" s="10">
        <f t="shared" si="96"/>
        <v>0</v>
      </c>
      <c r="O210" s="1">
        <f>SUMIFS(
  '[1]Hoja 1'!$M:$M,
  '[1]Hoja 1'!$S:$S, $A210,
  '[1]Hoja 1'!$R:$R, "&gt;="&amp;INT($Q$1),
  '[1]Hoja 1'!$R:$R, "&lt;"&amp;INT($R$1+1)
)</f>
        <v>0</v>
      </c>
      <c r="P210" s="1">
        <f t="shared" si="97"/>
        <v>0</v>
      </c>
      <c r="Q210" s="9">
        <f t="shared" si="98"/>
        <v>0</v>
      </c>
      <c r="R210" s="10">
        <f t="shared" si="99"/>
        <v>0</v>
      </c>
      <c r="S210" s="1">
        <f>SUMIFS(
  '[1]Hoja 1'!$M:$M,
  '[1]Hoja 1'!$S:$S, $A210,
  '[1]Hoja 1'!$R:$R, "&gt;="&amp;INT($U$1),
  '[1]Hoja 1'!$R:$R, "&lt;"&amp;INT($V$1+1)
)</f>
        <v>0</v>
      </c>
      <c r="T210" s="1">
        <f t="shared" si="100"/>
        <v>0</v>
      </c>
      <c r="U210" s="9">
        <f t="shared" si="101"/>
        <v>-1.47</v>
      </c>
      <c r="V210" s="10">
        <f t="shared" si="102"/>
        <v>1.47</v>
      </c>
      <c r="W210" s="1">
        <f>SUMIFS(
  '[1]Hoja 1'!$M:$M,
  '[1]Hoja 1'!$S:$S, $A210,
  '[1]Hoja 1'!$R:$R, "&gt;="&amp;INT($Y$1),
  '[1]Hoja 1'!$R:$R, "&lt;"&amp;INT($Z$1+1)
)</f>
        <v>0</v>
      </c>
      <c r="X210" s="1">
        <f t="shared" si="103"/>
        <v>0</v>
      </c>
      <c r="Y210" s="9">
        <f t="shared" si="104"/>
        <v>0</v>
      </c>
      <c r="Z210" s="10">
        <f t="shared" si="105"/>
        <v>0</v>
      </c>
      <c r="AA210" s="1">
        <f>SUMIFS(
  '[1]Hoja 1'!$M:$M,
  '[1]Hoja 1'!$S:$S, $A210,
  '[1]Hoja 1'!$R:$R, "&gt;="&amp;INT($AC$1),
  '[1]Hoja 1'!$R:$R, "&lt;"&amp;INT($AD$1+1)
)</f>
        <v>0</v>
      </c>
      <c r="AB210" s="1">
        <f t="shared" si="106"/>
        <v>0</v>
      </c>
      <c r="AC210" s="9">
        <f t="shared" si="107"/>
        <v>0</v>
      </c>
      <c r="AD210" s="10">
        <f t="shared" si="108"/>
        <v>0</v>
      </c>
      <c r="AE210" s="1">
        <f>SUMIFS(
  '[1]Hoja 1'!$M:$M,
  '[1]Hoja 1'!$S:$S, $A210,
  '[1]Hoja 1'!$R:$R, "&gt;="&amp;INT($AG$1),
  '[1]Hoja 1'!$R:$R, "&lt;"&amp;INT($AH$1+1)
)</f>
        <v>0</v>
      </c>
      <c r="AF210" s="1">
        <f t="shared" si="109"/>
        <v>0</v>
      </c>
      <c r="AG210" s="9">
        <f t="shared" si="110"/>
        <v>0</v>
      </c>
      <c r="AH210" s="10">
        <f t="shared" si="111"/>
        <v>0</v>
      </c>
      <c r="AI210" s="1">
        <f>SUMIFS(
  '[1]Hoja 1'!$M:$M,
  '[1]Hoja 1'!$S:$S, $A210,
  '[1]Hoja 1'!$R:$R, "&gt;="&amp;INT($AK$1),
  '[1]Hoja 1'!$R:$R, "&lt;"&amp;INT($AJ$1+1)
)</f>
        <v>0</v>
      </c>
      <c r="AJ210" s="1">
        <f t="shared" si="112"/>
        <v>0</v>
      </c>
      <c r="AK210" s="9">
        <f t="shared" si="113"/>
        <v>0</v>
      </c>
      <c r="AL210" s="10">
        <f t="shared" si="114"/>
        <v>0</v>
      </c>
      <c r="AM210" s="1">
        <f>SUMIFS(
  '[1]Hoja 1'!$M:$M,
  '[1]Hoja 1'!$S:$S, $A210,
  '[1]Hoja 1'!$R:$R, "&gt;="&amp;INT($AO$1),
  '[1]Hoja 1'!$R:$R, "&lt;"&amp;INT($AP$1+1)
)</f>
        <v>0</v>
      </c>
      <c r="AN210" s="1">
        <f t="shared" si="115"/>
        <v>0</v>
      </c>
      <c r="AO210" s="9">
        <f t="shared" si="116"/>
        <v>0</v>
      </c>
      <c r="AP210" s="10">
        <f t="shared" si="117"/>
        <v>0</v>
      </c>
      <c r="AQ210" s="1">
        <f>SUMIFS(
  '[1]Hoja 1'!$M:$M,
  '[1]Hoja 1'!$S:$S, $A210,
  '[1]Hoja 1'!$R:$R, "&gt;="&amp;INT($AS$1),
  '[1]Hoja 1'!$R:$R, "&lt;"&amp;INT($AT$1+1)
)</f>
        <v>0</v>
      </c>
      <c r="AR210" s="1">
        <f t="shared" si="118"/>
        <v>0</v>
      </c>
      <c r="AS210" s="9">
        <f t="shared" si="119"/>
        <v>0</v>
      </c>
      <c r="AT210" s="10">
        <f t="shared" si="120"/>
        <v>0</v>
      </c>
      <c r="AU210" s="1">
        <f>SUMIFS(
  '[1]Hoja 1'!$M:$M,
  '[1]Hoja 1'!$S:$S, $A210,
  '[1]Hoja 1'!$R:$R, "&gt;="&amp;INT($AW$1),
  '[1]Hoja 1'!$R:$R, "&lt;"&amp;INT($AX$1+1)
)</f>
        <v>0</v>
      </c>
      <c r="AV210" s="1">
        <f t="shared" si="121"/>
        <v>0</v>
      </c>
      <c r="AW210" s="9">
        <f t="shared" si="122"/>
        <v>0</v>
      </c>
      <c r="AX210" s="10">
        <f t="shared" si="123"/>
        <v>0</v>
      </c>
    </row>
    <row r="211" spans="1:50" x14ac:dyDescent="0.25">
      <c r="A211" s="5">
        <v>236009</v>
      </c>
      <c r="B211" s="6" t="s">
        <v>208</v>
      </c>
      <c r="C211" s="1">
        <f>SUMIFS(
  '[1]Hoja 1'!$M:$M,
  '[1]Hoja 1'!$S:$S, $A211,
  '[1]Hoja 1'!$R:$R, "&gt;="&amp;INT($E$1),
  '[1]Hoja 1'!$R:$R, "&lt;"&amp;INT($F$1+1)
)</f>
        <v>0</v>
      </c>
      <c r="D211" s="1" t="str">
        <f>""</f>
        <v/>
      </c>
      <c r="F211" s="2"/>
      <c r="G211" s="1">
        <f>SUMIFS(
  '[1]Hoja 1'!$M:$M,
  '[1]Hoja 1'!$S:$S, $A211,
  '[1]Hoja 1'!$R:$R, "&gt;="&amp;INT($I$1),
  '[1]Hoja 1'!$R:$R, "&lt;"&amp;INT($J$1+1)
)</f>
        <v>0</v>
      </c>
      <c r="H211" s="1">
        <f t="shared" si="93"/>
        <v>0</v>
      </c>
      <c r="I211" s="1"/>
      <c r="J211" s="2"/>
      <c r="K211" s="1">
        <f>SUMIFS(
  '[1]Hoja 1'!$M:$M,
  '[1]Hoja 1'!$S:$S, $A211,
  '[1]Hoja 1'!$R:$R, "&gt;="&amp;INT($M$1),
  '[1]Hoja 1'!$R:$R, "&lt;"&amp;INT($N$1+1)
)</f>
        <v>0</v>
      </c>
      <c r="L211" s="1">
        <f t="shared" si="94"/>
        <v>0</v>
      </c>
      <c r="M211" s="9">
        <f t="shared" si="95"/>
        <v>0</v>
      </c>
      <c r="N211" s="10">
        <f t="shared" si="96"/>
        <v>0</v>
      </c>
      <c r="O211" s="1">
        <f>SUMIFS(
  '[1]Hoja 1'!$M:$M,
  '[1]Hoja 1'!$S:$S, $A211,
  '[1]Hoja 1'!$R:$R, "&gt;="&amp;INT($Q$1),
  '[1]Hoja 1'!$R:$R, "&lt;"&amp;INT($R$1+1)
)</f>
        <v>0</v>
      </c>
      <c r="P211" s="1">
        <f t="shared" si="97"/>
        <v>0</v>
      </c>
      <c r="Q211" s="9">
        <f t="shared" si="98"/>
        <v>0</v>
      </c>
      <c r="R211" s="10">
        <f t="shared" si="99"/>
        <v>0</v>
      </c>
      <c r="S211" s="1">
        <f>SUMIFS(
  '[1]Hoja 1'!$M:$M,
  '[1]Hoja 1'!$S:$S, $A211,
  '[1]Hoja 1'!$R:$R, "&gt;="&amp;INT($U$1),
  '[1]Hoja 1'!$R:$R, "&lt;"&amp;INT($V$1+1)
)</f>
        <v>0</v>
      </c>
      <c r="T211" s="1">
        <f t="shared" si="100"/>
        <v>0</v>
      </c>
      <c r="U211" s="9">
        <f t="shared" si="101"/>
        <v>-1.47</v>
      </c>
      <c r="V211" s="10">
        <f t="shared" si="102"/>
        <v>1.47</v>
      </c>
      <c r="W211" s="1">
        <f>SUMIFS(
  '[1]Hoja 1'!$M:$M,
  '[1]Hoja 1'!$S:$S, $A211,
  '[1]Hoja 1'!$R:$R, "&gt;="&amp;INT($Y$1),
  '[1]Hoja 1'!$R:$R, "&lt;"&amp;INT($Z$1+1)
)</f>
        <v>0</v>
      </c>
      <c r="X211" s="1">
        <f t="shared" si="103"/>
        <v>0</v>
      </c>
      <c r="Y211" s="9">
        <f t="shared" si="104"/>
        <v>0</v>
      </c>
      <c r="Z211" s="10">
        <f t="shared" si="105"/>
        <v>0</v>
      </c>
      <c r="AA211" s="1">
        <f>SUMIFS(
  '[1]Hoja 1'!$M:$M,
  '[1]Hoja 1'!$S:$S, $A211,
  '[1]Hoja 1'!$R:$R, "&gt;="&amp;INT($AC$1),
  '[1]Hoja 1'!$R:$R, "&lt;"&amp;INT($AD$1+1)
)</f>
        <v>0</v>
      </c>
      <c r="AB211" s="1">
        <f t="shared" si="106"/>
        <v>0</v>
      </c>
      <c r="AC211" s="9">
        <f t="shared" si="107"/>
        <v>0</v>
      </c>
      <c r="AD211" s="10">
        <f t="shared" si="108"/>
        <v>0</v>
      </c>
      <c r="AE211" s="1">
        <f>SUMIFS(
  '[1]Hoja 1'!$M:$M,
  '[1]Hoja 1'!$S:$S, $A211,
  '[1]Hoja 1'!$R:$R, "&gt;="&amp;INT($AG$1),
  '[1]Hoja 1'!$R:$R, "&lt;"&amp;INT($AH$1+1)
)</f>
        <v>0</v>
      </c>
      <c r="AF211" s="1">
        <f t="shared" si="109"/>
        <v>0</v>
      </c>
      <c r="AG211" s="9">
        <f t="shared" si="110"/>
        <v>0</v>
      </c>
      <c r="AH211" s="10">
        <f t="shared" si="111"/>
        <v>0</v>
      </c>
      <c r="AI211" s="1">
        <f>SUMIFS(
  '[1]Hoja 1'!$M:$M,
  '[1]Hoja 1'!$S:$S, $A211,
  '[1]Hoja 1'!$R:$R, "&gt;="&amp;INT($AK$1),
  '[1]Hoja 1'!$R:$R, "&lt;"&amp;INT($AJ$1+1)
)</f>
        <v>0</v>
      </c>
      <c r="AJ211" s="1">
        <f t="shared" si="112"/>
        <v>0</v>
      </c>
      <c r="AK211" s="9">
        <f t="shared" si="113"/>
        <v>0</v>
      </c>
      <c r="AL211" s="10">
        <f t="shared" si="114"/>
        <v>0</v>
      </c>
      <c r="AM211" s="1">
        <f>SUMIFS(
  '[1]Hoja 1'!$M:$M,
  '[1]Hoja 1'!$S:$S, $A211,
  '[1]Hoja 1'!$R:$R, "&gt;="&amp;INT($AO$1),
  '[1]Hoja 1'!$R:$R, "&lt;"&amp;INT($AP$1+1)
)</f>
        <v>0</v>
      </c>
      <c r="AN211" s="1">
        <f t="shared" si="115"/>
        <v>0</v>
      </c>
      <c r="AO211" s="9">
        <f t="shared" si="116"/>
        <v>0</v>
      </c>
      <c r="AP211" s="10">
        <f t="shared" si="117"/>
        <v>0</v>
      </c>
      <c r="AQ211" s="1">
        <f>SUMIFS(
  '[1]Hoja 1'!$M:$M,
  '[1]Hoja 1'!$S:$S, $A211,
  '[1]Hoja 1'!$R:$R, "&gt;="&amp;INT($AS$1),
  '[1]Hoja 1'!$R:$R, "&lt;"&amp;INT($AT$1+1)
)</f>
        <v>0</v>
      </c>
      <c r="AR211" s="1">
        <f t="shared" si="118"/>
        <v>0</v>
      </c>
      <c r="AS211" s="9">
        <f t="shared" si="119"/>
        <v>0</v>
      </c>
      <c r="AT211" s="10">
        <f t="shared" si="120"/>
        <v>0</v>
      </c>
      <c r="AU211" s="1">
        <f>SUMIFS(
  '[1]Hoja 1'!$M:$M,
  '[1]Hoja 1'!$S:$S, $A211,
  '[1]Hoja 1'!$R:$R, "&gt;="&amp;INT($AW$1),
  '[1]Hoja 1'!$R:$R, "&lt;"&amp;INT($AX$1+1)
)</f>
        <v>0</v>
      </c>
      <c r="AV211" s="1">
        <f t="shared" si="121"/>
        <v>0</v>
      </c>
      <c r="AW211" s="9">
        <f t="shared" si="122"/>
        <v>0</v>
      </c>
      <c r="AX211" s="10">
        <f t="shared" si="123"/>
        <v>0</v>
      </c>
    </row>
    <row r="212" spans="1:50" x14ac:dyDescent="0.25">
      <c r="A212" s="5">
        <v>236010</v>
      </c>
      <c r="B212" s="6" t="s">
        <v>209</v>
      </c>
      <c r="C212" s="1">
        <f>SUMIFS(
  '[1]Hoja 1'!$M:$M,
  '[1]Hoja 1'!$S:$S, $A212,
  '[1]Hoja 1'!$R:$R, "&gt;="&amp;INT($E$1),
  '[1]Hoja 1'!$R:$R, "&lt;"&amp;INT($F$1+1)
)</f>
        <v>0</v>
      </c>
      <c r="D212" s="1" t="str">
        <f>""</f>
        <v/>
      </c>
      <c r="F212" s="2"/>
      <c r="G212" s="1">
        <f>SUMIFS(
  '[1]Hoja 1'!$M:$M,
  '[1]Hoja 1'!$S:$S, $A212,
  '[1]Hoja 1'!$R:$R, "&gt;="&amp;INT($I$1),
  '[1]Hoja 1'!$R:$R, "&lt;"&amp;INT($J$1+1)
)</f>
        <v>0</v>
      </c>
      <c r="H212" s="1">
        <f t="shared" si="93"/>
        <v>0</v>
      </c>
      <c r="I212" s="1"/>
      <c r="J212" s="2"/>
      <c r="K212" s="1">
        <f>SUMIFS(
  '[1]Hoja 1'!$M:$M,
  '[1]Hoja 1'!$S:$S, $A212,
  '[1]Hoja 1'!$R:$R, "&gt;="&amp;INT($M$1),
  '[1]Hoja 1'!$R:$R, "&lt;"&amp;INT($N$1+1)
)</f>
        <v>0</v>
      </c>
      <c r="L212" s="1">
        <f t="shared" si="94"/>
        <v>0</v>
      </c>
      <c r="M212" s="9">
        <f t="shared" si="95"/>
        <v>0</v>
      </c>
      <c r="N212" s="10">
        <f t="shared" si="96"/>
        <v>0</v>
      </c>
      <c r="O212" s="1">
        <f>SUMIFS(
  '[1]Hoja 1'!$M:$M,
  '[1]Hoja 1'!$S:$S, $A212,
  '[1]Hoja 1'!$R:$R, "&gt;="&amp;INT($Q$1),
  '[1]Hoja 1'!$R:$R, "&lt;"&amp;INT($R$1+1)
)</f>
        <v>0</v>
      </c>
      <c r="P212" s="1">
        <f t="shared" si="97"/>
        <v>0</v>
      </c>
      <c r="Q212" s="9">
        <f t="shared" si="98"/>
        <v>0</v>
      </c>
      <c r="R212" s="10">
        <f t="shared" si="99"/>
        <v>0</v>
      </c>
      <c r="S212" s="1">
        <f>SUMIFS(
  '[1]Hoja 1'!$M:$M,
  '[1]Hoja 1'!$S:$S, $A212,
  '[1]Hoja 1'!$R:$R, "&gt;="&amp;INT($U$1),
  '[1]Hoja 1'!$R:$R, "&lt;"&amp;INT($V$1+1)
)</f>
        <v>0</v>
      </c>
      <c r="T212" s="1">
        <f t="shared" si="100"/>
        <v>0</v>
      </c>
      <c r="U212" s="9">
        <f t="shared" si="101"/>
        <v>-1.47</v>
      </c>
      <c r="V212" s="10">
        <f t="shared" si="102"/>
        <v>1.47</v>
      </c>
      <c r="W212" s="1">
        <f>SUMIFS(
  '[1]Hoja 1'!$M:$M,
  '[1]Hoja 1'!$S:$S, $A212,
  '[1]Hoja 1'!$R:$R, "&gt;="&amp;INT($Y$1),
  '[1]Hoja 1'!$R:$R, "&lt;"&amp;INT($Z$1+1)
)</f>
        <v>0</v>
      </c>
      <c r="X212" s="1">
        <f t="shared" si="103"/>
        <v>0</v>
      </c>
      <c r="Y212" s="9">
        <f t="shared" si="104"/>
        <v>0</v>
      </c>
      <c r="Z212" s="10">
        <f t="shared" si="105"/>
        <v>0</v>
      </c>
      <c r="AA212" s="1">
        <f>SUMIFS(
  '[1]Hoja 1'!$M:$M,
  '[1]Hoja 1'!$S:$S, $A212,
  '[1]Hoja 1'!$R:$R, "&gt;="&amp;INT($AC$1),
  '[1]Hoja 1'!$R:$R, "&lt;"&amp;INT($AD$1+1)
)</f>
        <v>0</v>
      </c>
      <c r="AB212" s="1">
        <f t="shared" si="106"/>
        <v>0</v>
      </c>
      <c r="AC212" s="9">
        <f t="shared" si="107"/>
        <v>0</v>
      </c>
      <c r="AD212" s="10">
        <f t="shared" si="108"/>
        <v>0</v>
      </c>
      <c r="AE212" s="1">
        <f>SUMIFS(
  '[1]Hoja 1'!$M:$M,
  '[1]Hoja 1'!$S:$S, $A212,
  '[1]Hoja 1'!$R:$R, "&gt;="&amp;INT($AG$1),
  '[1]Hoja 1'!$R:$R, "&lt;"&amp;INT($AH$1+1)
)</f>
        <v>0</v>
      </c>
      <c r="AF212" s="1">
        <f t="shared" si="109"/>
        <v>0</v>
      </c>
      <c r="AG212" s="9">
        <f t="shared" si="110"/>
        <v>0</v>
      </c>
      <c r="AH212" s="10">
        <f t="shared" si="111"/>
        <v>0</v>
      </c>
      <c r="AI212" s="1">
        <f>SUMIFS(
  '[1]Hoja 1'!$M:$M,
  '[1]Hoja 1'!$S:$S, $A212,
  '[1]Hoja 1'!$R:$R, "&gt;="&amp;INT($AK$1),
  '[1]Hoja 1'!$R:$R, "&lt;"&amp;INT($AJ$1+1)
)</f>
        <v>0</v>
      </c>
      <c r="AJ212" s="1">
        <f t="shared" si="112"/>
        <v>0</v>
      </c>
      <c r="AK212" s="9">
        <f t="shared" si="113"/>
        <v>0</v>
      </c>
      <c r="AL212" s="10">
        <f t="shared" si="114"/>
        <v>0</v>
      </c>
      <c r="AM212" s="1">
        <f>SUMIFS(
  '[1]Hoja 1'!$M:$M,
  '[1]Hoja 1'!$S:$S, $A212,
  '[1]Hoja 1'!$R:$R, "&gt;="&amp;INT($AO$1),
  '[1]Hoja 1'!$R:$R, "&lt;"&amp;INT($AP$1+1)
)</f>
        <v>0</v>
      </c>
      <c r="AN212" s="1">
        <f t="shared" si="115"/>
        <v>0</v>
      </c>
      <c r="AO212" s="9">
        <f t="shared" si="116"/>
        <v>0</v>
      </c>
      <c r="AP212" s="10">
        <f t="shared" si="117"/>
        <v>0</v>
      </c>
      <c r="AQ212" s="1">
        <f>SUMIFS(
  '[1]Hoja 1'!$M:$M,
  '[1]Hoja 1'!$S:$S, $A212,
  '[1]Hoja 1'!$R:$R, "&gt;="&amp;INT($AS$1),
  '[1]Hoja 1'!$R:$R, "&lt;"&amp;INT($AT$1+1)
)</f>
        <v>0</v>
      </c>
      <c r="AR212" s="1">
        <f t="shared" si="118"/>
        <v>0</v>
      </c>
      <c r="AS212" s="9">
        <f t="shared" si="119"/>
        <v>0</v>
      </c>
      <c r="AT212" s="10">
        <f t="shared" si="120"/>
        <v>0</v>
      </c>
      <c r="AU212" s="1">
        <f>SUMIFS(
  '[1]Hoja 1'!$M:$M,
  '[1]Hoja 1'!$S:$S, $A212,
  '[1]Hoja 1'!$R:$R, "&gt;="&amp;INT($AW$1),
  '[1]Hoja 1'!$R:$R, "&lt;"&amp;INT($AX$1+1)
)</f>
        <v>0</v>
      </c>
      <c r="AV212" s="1">
        <f t="shared" si="121"/>
        <v>0</v>
      </c>
      <c r="AW212" s="9">
        <f t="shared" si="122"/>
        <v>0</v>
      </c>
      <c r="AX212" s="10">
        <f t="shared" si="123"/>
        <v>0</v>
      </c>
    </row>
    <row r="213" spans="1:50" x14ac:dyDescent="0.25">
      <c r="A213" s="5">
        <v>236011</v>
      </c>
      <c r="B213" s="6" t="s">
        <v>210</v>
      </c>
      <c r="C213" s="1">
        <f>SUMIFS(
  '[1]Hoja 1'!$M:$M,
  '[1]Hoja 1'!$S:$S, $A213,
  '[1]Hoja 1'!$R:$R, "&gt;="&amp;INT($E$1),
  '[1]Hoja 1'!$R:$R, "&lt;"&amp;INT($F$1+1)
)</f>
        <v>1</v>
      </c>
      <c r="D213" s="1" t="str">
        <f>""</f>
        <v/>
      </c>
      <c r="F213" s="2"/>
      <c r="G213" s="1">
        <f>SUMIFS(
  '[1]Hoja 1'!$M:$M,
  '[1]Hoja 1'!$S:$S, $A213,
  '[1]Hoja 1'!$R:$R, "&gt;="&amp;INT($I$1),
  '[1]Hoja 1'!$R:$R, "&lt;"&amp;INT($J$1+1)
)</f>
        <v>0</v>
      </c>
      <c r="H213" s="1">
        <f t="shared" si="93"/>
        <v>1</v>
      </c>
      <c r="I213" s="1"/>
      <c r="J213" s="2"/>
      <c r="K213" s="1">
        <f>SUMIFS(
  '[1]Hoja 1'!$M:$M,
  '[1]Hoja 1'!$S:$S, $A213,
  '[1]Hoja 1'!$R:$R, "&gt;="&amp;INT($M$1),
  '[1]Hoja 1'!$R:$R, "&lt;"&amp;INT($N$1+1)
)</f>
        <v>0</v>
      </c>
      <c r="L213" s="1">
        <f t="shared" si="94"/>
        <v>0</v>
      </c>
      <c r="M213" s="9">
        <f t="shared" si="95"/>
        <v>-0.69296464556281656</v>
      </c>
      <c r="N213" s="10">
        <f t="shared" si="96"/>
        <v>0.69296464556281656</v>
      </c>
      <c r="O213" s="1">
        <f>SUMIFS(
  '[1]Hoja 1'!$M:$M,
  '[1]Hoja 1'!$S:$S, $A213,
  '[1]Hoja 1'!$R:$R, "&gt;="&amp;INT($Q$1),
  '[1]Hoja 1'!$R:$R, "&lt;"&amp;INT($R$1+1)
)</f>
        <v>0</v>
      </c>
      <c r="P213" s="1">
        <f t="shared" si="97"/>
        <v>0</v>
      </c>
      <c r="Q213" s="9">
        <f t="shared" si="98"/>
        <v>-0.56580326380583335</v>
      </c>
      <c r="R213" s="10">
        <f t="shared" si="99"/>
        <v>0.56580326380583335</v>
      </c>
      <c r="S213" s="1">
        <f>SUMIFS(
  '[1]Hoja 1'!$M:$M,
  '[1]Hoja 1'!$S:$S, $A213,
  '[1]Hoja 1'!$R:$R, "&gt;="&amp;INT($U$1),
  '[1]Hoja 1'!$R:$R, "&lt;"&amp;INT($V$1+1)
)</f>
        <v>0</v>
      </c>
      <c r="T213" s="1">
        <f t="shared" si="100"/>
        <v>0</v>
      </c>
      <c r="U213" s="9">
        <f t="shared" si="101"/>
        <v>-1.3859292911256331</v>
      </c>
      <c r="V213" s="10">
        <f t="shared" si="102"/>
        <v>1.3859292911256331</v>
      </c>
      <c r="W213" s="1">
        <f>SUMIFS(
  '[1]Hoja 1'!$M:$M,
  '[1]Hoja 1'!$S:$S, $A213,
  '[1]Hoja 1'!$R:$R, "&gt;="&amp;INT($Y$1),
  '[1]Hoja 1'!$R:$R, "&lt;"&amp;INT($Z$1+1)
)</f>
        <v>0</v>
      </c>
      <c r="X213" s="1">
        <f t="shared" si="103"/>
        <v>0</v>
      </c>
      <c r="Y213" s="9">
        <f t="shared" si="104"/>
        <v>-0.43826932358995874</v>
      </c>
      <c r="Z213" s="10">
        <f t="shared" si="105"/>
        <v>0.43826932358995874</v>
      </c>
      <c r="AA213" s="1">
        <f>SUMIFS(
  '[1]Hoja 1'!$M:$M,
  '[1]Hoja 1'!$S:$S, $A213,
  '[1]Hoja 1'!$R:$R, "&gt;="&amp;INT($AC$1),
  '[1]Hoja 1'!$R:$R, "&lt;"&amp;INT($AD$1+1)
)</f>
        <v>0</v>
      </c>
      <c r="AB213" s="1">
        <f t="shared" si="106"/>
        <v>0</v>
      </c>
      <c r="AC213" s="9">
        <f t="shared" si="107"/>
        <v>-0.40008332465458574</v>
      </c>
      <c r="AD213" s="10">
        <f t="shared" si="108"/>
        <v>0.40008332465458574</v>
      </c>
      <c r="AE213" s="1">
        <f>SUMIFS(
  '[1]Hoja 1'!$M:$M,
  '[1]Hoja 1'!$S:$S, $A213,
  '[1]Hoja 1'!$R:$R, "&gt;="&amp;INT($AG$1),
  '[1]Hoja 1'!$R:$R, "&lt;"&amp;INT($AH$1+1)
)</f>
        <v>0</v>
      </c>
      <c r="AF213" s="1">
        <f t="shared" si="109"/>
        <v>0</v>
      </c>
      <c r="AG213" s="9">
        <f t="shared" si="110"/>
        <v>-0.37040518354904273</v>
      </c>
      <c r="AH213" s="10">
        <f t="shared" si="111"/>
        <v>0.37040518354904273</v>
      </c>
      <c r="AI213" s="1">
        <f>SUMIFS(
  '[1]Hoja 1'!$M:$M,
  '[1]Hoja 1'!$S:$S, $A213,
  '[1]Hoja 1'!$R:$R, "&gt;="&amp;INT($AK$1),
  '[1]Hoja 1'!$R:$R, "&lt;"&amp;INT($AJ$1+1)
)</f>
        <v>0</v>
      </c>
      <c r="AJ213" s="1">
        <f t="shared" si="112"/>
        <v>0</v>
      </c>
      <c r="AK213" s="9">
        <f t="shared" si="113"/>
        <v>-0.34648232278140828</v>
      </c>
      <c r="AL213" s="10">
        <f t="shared" si="114"/>
        <v>0.34648232278140828</v>
      </c>
      <c r="AM213" s="1">
        <f>SUMIFS(
  '[1]Hoja 1'!$M:$M,
  '[1]Hoja 1'!$S:$S, $A213,
  '[1]Hoja 1'!$R:$R, "&gt;="&amp;INT($AO$1),
  '[1]Hoja 1'!$R:$R, "&lt;"&amp;INT($AP$1+1)
)</f>
        <v>0</v>
      </c>
      <c r="AN213" s="1">
        <f t="shared" si="115"/>
        <v>0</v>
      </c>
      <c r="AO213" s="9">
        <f t="shared" si="116"/>
        <v>-0.32666666666666666</v>
      </c>
      <c r="AP213" s="10">
        <f t="shared" si="117"/>
        <v>0.32666666666666666</v>
      </c>
      <c r="AQ213" s="1">
        <f>SUMIFS(
  '[1]Hoja 1'!$M:$M,
  '[1]Hoja 1'!$S:$S, $A213,
  '[1]Hoja 1'!$R:$R, "&gt;="&amp;INT($AS$1),
  '[1]Hoja 1'!$R:$R, "&lt;"&amp;INT($AT$1+1)
)</f>
        <v>0</v>
      </c>
      <c r="AR213" s="1">
        <f t="shared" si="118"/>
        <v>0</v>
      </c>
      <c r="AS213" s="9">
        <f t="shared" si="119"/>
        <v>-0.30990321069650117</v>
      </c>
      <c r="AT213" s="10">
        <f t="shared" si="120"/>
        <v>0.30990321069650117</v>
      </c>
      <c r="AU213" s="1">
        <f>SUMIFS(
  '[1]Hoja 1'!$M:$M,
  '[1]Hoja 1'!$S:$S, $A213,
  '[1]Hoja 1'!$R:$R, "&gt;="&amp;INT($AW$1),
  '[1]Hoja 1'!$R:$R, "&lt;"&amp;INT($AX$1+1)
)</f>
        <v>0</v>
      </c>
      <c r="AV213" s="1">
        <f t="shared" si="121"/>
        <v>0</v>
      </c>
      <c r="AW213" s="9">
        <f t="shared" si="122"/>
        <v>-0.29548111768620833</v>
      </c>
      <c r="AX213" s="10">
        <f t="shared" si="123"/>
        <v>0.29548111768620833</v>
      </c>
    </row>
    <row r="214" spans="1:50" x14ac:dyDescent="0.25">
      <c r="A214" s="5">
        <v>237001</v>
      </c>
      <c r="B214" s="6" t="s">
        <v>211</v>
      </c>
      <c r="C214" s="1">
        <f>SUMIFS(
  '[1]Hoja 1'!$M:$M,
  '[1]Hoja 1'!$S:$S, $A214,
  '[1]Hoja 1'!$R:$R, "&gt;="&amp;INT($E$1),
  '[1]Hoja 1'!$R:$R, "&lt;"&amp;INT($F$1+1)
)</f>
        <v>18</v>
      </c>
      <c r="D214" s="1" t="str">
        <f>""</f>
        <v/>
      </c>
      <c r="F214" s="2"/>
      <c r="G214" s="1">
        <f>SUMIFS(
  '[1]Hoja 1'!$M:$M,
  '[1]Hoja 1'!$S:$S, $A214,
  '[1]Hoja 1'!$R:$R, "&gt;="&amp;INT($I$1),
  '[1]Hoja 1'!$R:$R, "&lt;"&amp;INT($J$1+1)
)</f>
        <v>7</v>
      </c>
      <c r="H214" s="1">
        <f t="shared" si="93"/>
        <v>13</v>
      </c>
      <c r="I214" s="1"/>
      <c r="J214" s="2"/>
      <c r="K214" s="1">
        <f>SUMIFS(
  '[1]Hoja 1'!$M:$M,
  '[1]Hoja 1'!$S:$S, $A214,
  '[1]Hoja 1'!$R:$R, "&gt;="&amp;INT($M$1),
  '[1]Hoja 1'!$R:$R, "&lt;"&amp;INT($N$1+1)
)</f>
        <v>0</v>
      </c>
      <c r="L214" s="1">
        <f t="shared" si="94"/>
        <v>3.5</v>
      </c>
      <c r="M214" s="9">
        <f t="shared" si="95"/>
        <v>0.72814141774873375</v>
      </c>
      <c r="N214" s="10">
        <f t="shared" si="96"/>
        <v>6.2718585822512658</v>
      </c>
      <c r="O214" s="1">
        <f>SUMIFS(
  '[1]Hoja 1'!$M:$M,
  '[1]Hoja 1'!$S:$S, $A214,
  '[1]Hoja 1'!$R:$R, "&gt;="&amp;INT($Q$1),
  '[1]Hoja 1'!$R:$R, "&lt;"&amp;INT($R$1+1)
)</f>
        <v>0</v>
      </c>
      <c r="P214" s="1">
        <f t="shared" si="97"/>
        <v>0</v>
      </c>
      <c r="Q214" s="9">
        <f t="shared" si="98"/>
        <v>-5.4564090755734211</v>
      </c>
      <c r="R214" s="10">
        <f t="shared" si="99"/>
        <v>5.4564090755734211</v>
      </c>
      <c r="S214" s="1">
        <f>SUMIFS(
  '[1]Hoja 1'!$M:$M,
  '[1]Hoja 1'!$S:$S, $A214,
  '[1]Hoja 1'!$R:$R, "&gt;="&amp;INT($U$1),
  '[1]Hoja 1'!$R:$R, "&lt;"&amp;INT($V$1+1)
)</f>
        <v>0</v>
      </c>
      <c r="T214" s="1">
        <f t="shared" si="100"/>
        <v>0</v>
      </c>
      <c r="U214" s="9">
        <f t="shared" si="101"/>
        <v>-4.6913928280060571</v>
      </c>
      <c r="V214" s="10">
        <f t="shared" si="102"/>
        <v>4.6913928280060571</v>
      </c>
      <c r="W214" s="1">
        <f>SUMIFS(
  '[1]Hoja 1'!$M:$M,
  '[1]Hoja 1'!$S:$S, $A214,
  '[1]Hoja 1'!$R:$R, "&gt;="&amp;INT($Y$1),
  '[1]Hoja 1'!$R:$R, "&lt;"&amp;INT($Z$1+1)
)</f>
        <v>0</v>
      </c>
      <c r="X214" s="1">
        <f t="shared" si="103"/>
        <v>0</v>
      </c>
      <c r="Y214" s="9">
        <f t="shared" si="104"/>
        <v>-5.0257855107435692</v>
      </c>
      <c r="Z214" s="10">
        <f t="shared" si="105"/>
        <v>5.0257855107435692</v>
      </c>
      <c r="AA214" s="1">
        <f>SUMIFS(
  '[1]Hoja 1'!$M:$M,
  '[1]Hoja 1'!$S:$S, $A214,
  '[1]Hoja 1'!$R:$R, "&gt;="&amp;INT($AC$1),
  '[1]Hoja 1'!$R:$R, "&lt;"&amp;INT($AD$1+1)
)</f>
        <v>0</v>
      </c>
      <c r="AB214" s="1">
        <f t="shared" si="106"/>
        <v>0</v>
      </c>
      <c r="AC214" s="9">
        <f t="shared" si="107"/>
        <v>-4.7203050748865802</v>
      </c>
      <c r="AD214" s="10">
        <f t="shared" si="108"/>
        <v>4.7203050748865802</v>
      </c>
      <c r="AE214" s="1">
        <f>SUMIFS(
  '[1]Hoja 1'!$M:$M,
  '[1]Hoja 1'!$S:$S, $A214,
  '[1]Hoja 1'!$R:$R, "&gt;="&amp;INT($AG$1),
  '[1]Hoja 1'!$R:$R, "&lt;"&amp;INT($AH$1+1)
)</f>
        <v>0</v>
      </c>
      <c r="AF214" s="1">
        <f t="shared" si="109"/>
        <v>0</v>
      </c>
      <c r="AG214" s="9">
        <f t="shared" si="110"/>
        <v>-4.450003745316776</v>
      </c>
      <c r="AH214" s="10">
        <f t="shared" si="111"/>
        <v>4.450003745316776</v>
      </c>
      <c r="AI214" s="1">
        <f>SUMIFS(
  '[1]Hoja 1'!$M:$M,
  '[1]Hoja 1'!$S:$S, $A214,
  '[1]Hoja 1'!$R:$R, "&gt;="&amp;INT($AK$1),
  '[1]Hoja 1'!$R:$R, "&lt;"&amp;INT($AJ$1+1)
)</f>
        <v>0</v>
      </c>
      <c r="AJ214" s="1">
        <f t="shared" si="112"/>
        <v>0</v>
      </c>
      <c r="AK214" s="9">
        <f t="shared" si="113"/>
        <v>-4.2151393808508866</v>
      </c>
      <c r="AL214" s="10">
        <f t="shared" si="114"/>
        <v>4.2151393808508866</v>
      </c>
      <c r="AM214" s="1">
        <f>SUMIFS(
  '[1]Hoja 1'!$M:$M,
  '[1]Hoja 1'!$S:$S, $A214,
  '[1]Hoja 1'!$R:$R, "&gt;="&amp;INT($AO$1),
  '[1]Hoja 1'!$R:$R, "&lt;"&amp;INT($AP$1+1)
)</f>
        <v>0</v>
      </c>
      <c r="AN214" s="1">
        <f t="shared" si="115"/>
        <v>0</v>
      </c>
      <c r="AO214" s="9">
        <f t="shared" si="116"/>
        <v>-4.0108228582175007</v>
      </c>
      <c r="AP214" s="10">
        <f t="shared" si="117"/>
        <v>4.0108228582175007</v>
      </c>
      <c r="AQ214" s="1">
        <f>SUMIFS(
  '[1]Hoja 1'!$M:$M,
  '[1]Hoja 1'!$S:$S, $A214,
  '[1]Hoja 1'!$R:$R, "&gt;="&amp;INT($AS$1),
  '[1]Hoja 1'!$R:$R, "&lt;"&amp;INT($AT$1+1)
)</f>
        <v>0</v>
      </c>
      <c r="AR214" s="1">
        <f t="shared" si="118"/>
        <v>0</v>
      </c>
      <c r="AS214" s="9">
        <f t="shared" si="119"/>
        <v>-3.8318988620381003</v>
      </c>
      <c r="AT214" s="10">
        <f t="shared" si="120"/>
        <v>3.8318988620381003</v>
      </c>
      <c r="AU214" s="1">
        <f>SUMIFS(
  '[1]Hoja 1'!$M:$M,
  '[1]Hoja 1'!$S:$S, $A214,
  '[1]Hoja 1'!$R:$R, "&gt;="&amp;INT($AW$1),
  '[1]Hoja 1'!$R:$R, "&lt;"&amp;INT($AX$1+1)
)</f>
        <v>0</v>
      </c>
      <c r="AV214" s="1">
        <f t="shared" si="121"/>
        <v>0</v>
      </c>
      <c r="AW214" s="9">
        <f t="shared" si="122"/>
        <v>-3.6739604590340185</v>
      </c>
      <c r="AX214" s="10">
        <f t="shared" si="123"/>
        <v>3.6739604590340185</v>
      </c>
    </row>
    <row r="215" spans="1:50" x14ac:dyDescent="0.25">
      <c r="A215" s="5">
        <v>237002</v>
      </c>
      <c r="B215" s="6" t="s">
        <v>212</v>
      </c>
      <c r="C215" s="1">
        <f>SUMIFS(
  '[1]Hoja 1'!$M:$M,
  '[1]Hoja 1'!$S:$S, $A215,
  '[1]Hoja 1'!$R:$R, "&gt;="&amp;INT($E$1),
  '[1]Hoja 1'!$R:$R, "&lt;"&amp;INT($F$1+1)
)</f>
        <v>0</v>
      </c>
      <c r="D215" s="1" t="str">
        <f>""</f>
        <v/>
      </c>
      <c r="F215" s="2"/>
      <c r="G215" s="1">
        <f>SUMIFS(
  '[1]Hoja 1'!$M:$M,
  '[1]Hoja 1'!$S:$S, $A215,
  '[1]Hoja 1'!$R:$R, "&gt;="&amp;INT($I$1),
  '[1]Hoja 1'!$R:$R, "&lt;"&amp;INT($J$1+1)
)</f>
        <v>0</v>
      </c>
      <c r="H215" s="1">
        <f t="shared" si="93"/>
        <v>0</v>
      </c>
      <c r="I215" s="1"/>
      <c r="J215" s="2"/>
      <c r="K215" s="1">
        <f>SUMIFS(
  '[1]Hoja 1'!$M:$M,
  '[1]Hoja 1'!$S:$S, $A215,
  '[1]Hoja 1'!$R:$R, "&gt;="&amp;INT($M$1),
  '[1]Hoja 1'!$R:$R, "&lt;"&amp;INT($N$1+1)
)</f>
        <v>0</v>
      </c>
      <c r="L215" s="1">
        <f t="shared" si="94"/>
        <v>0</v>
      </c>
      <c r="M215" s="9">
        <f t="shared" si="95"/>
        <v>0</v>
      </c>
      <c r="N215" s="10">
        <f t="shared" si="96"/>
        <v>0</v>
      </c>
      <c r="O215" s="1">
        <f>SUMIFS(
  '[1]Hoja 1'!$M:$M,
  '[1]Hoja 1'!$S:$S, $A215,
  '[1]Hoja 1'!$R:$R, "&gt;="&amp;INT($Q$1),
  '[1]Hoja 1'!$R:$R, "&lt;"&amp;INT($R$1+1)
)</f>
        <v>0</v>
      </c>
      <c r="P215" s="1">
        <f t="shared" si="97"/>
        <v>0</v>
      </c>
      <c r="Q215" s="9">
        <f t="shared" si="98"/>
        <v>0</v>
      </c>
      <c r="R215" s="10">
        <f t="shared" si="99"/>
        <v>0</v>
      </c>
      <c r="S215" s="1">
        <f>SUMIFS(
  '[1]Hoja 1'!$M:$M,
  '[1]Hoja 1'!$S:$S, $A215,
  '[1]Hoja 1'!$R:$R, "&gt;="&amp;INT($U$1),
  '[1]Hoja 1'!$R:$R, "&lt;"&amp;INT($V$1+1)
)</f>
        <v>0</v>
      </c>
      <c r="T215" s="1">
        <f t="shared" si="100"/>
        <v>0</v>
      </c>
      <c r="U215" s="9">
        <f t="shared" si="101"/>
        <v>-1.47</v>
      </c>
      <c r="V215" s="10">
        <f t="shared" si="102"/>
        <v>1.47</v>
      </c>
      <c r="W215" s="1">
        <f>SUMIFS(
  '[1]Hoja 1'!$M:$M,
  '[1]Hoja 1'!$S:$S, $A215,
  '[1]Hoja 1'!$R:$R, "&gt;="&amp;INT($Y$1),
  '[1]Hoja 1'!$R:$R, "&lt;"&amp;INT($Z$1+1)
)</f>
        <v>0</v>
      </c>
      <c r="X215" s="1">
        <f t="shared" si="103"/>
        <v>0</v>
      </c>
      <c r="Y215" s="9">
        <f t="shared" si="104"/>
        <v>0</v>
      </c>
      <c r="Z215" s="10">
        <f t="shared" si="105"/>
        <v>0</v>
      </c>
      <c r="AA215" s="1">
        <f>SUMIFS(
  '[1]Hoja 1'!$M:$M,
  '[1]Hoja 1'!$S:$S, $A215,
  '[1]Hoja 1'!$R:$R, "&gt;="&amp;INT($AC$1),
  '[1]Hoja 1'!$R:$R, "&lt;"&amp;INT($AD$1+1)
)</f>
        <v>0</v>
      </c>
      <c r="AB215" s="1">
        <f t="shared" si="106"/>
        <v>0</v>
      </c>
      <c r="AC215" s="9">
        <f t="shared" si="107"/>
        <v>0</v>
      </c>
      <c r="AD215" s="10">
        <f t="shared" si="108"/>
        <v>0</v>
      </c>
      <c r="AE215" s="1">
        <f>SUMIFS(
  '[1]Hoja 1'!$M:$M,
  '[1]Hoja 1'!$S:$S, $A215,
  '[1]Hoja 1'!$R:$R, "&gt;="&amp;INT($AG$1),
  '[1]Hoja 1'!$R:$R, "&lt;"&amp;INT($AH$1+1)
)</f>
        <v>0</v>
      </c>
      <c r="AF215" s="1">
        <f t="shared" si="109"/>
        <v>0</v>
      </c>
      <c r="AG215" s="9">
        <f t="shared" si="110"/>
        <v>0</v>
      </c>
      <c r="AH215" s="10">
        <f t="shared" si="111"/>
        <v>0</v>
      </c>
      <c r="AI215" s="1">
        <f>SUMIFS(
  '[1]Hoja 1'!$M:$M,
  '[1]Hoja 1'!$S:$S, $A215,
  '[1]Hoja 1'!$R:$R, "&gt;="&amp;INT($AK$1),
  '[1]Hoja 1'!$R:$R, "&lt;"&amp;INT($AJ$1+1)
)</f>
        <v>0</v>
      </c>
      <c r="AJ215" s="1">
        <f t="shared" si="112"/>
        <v>0</v>
      </c>
      <c r="AK215" s="9">
        <f t="shared" si="113"/>
        <v>0</v>
      </c>
      <c r="AL215" s="10">
        <f t="shared" si="114"/>
        <v>0</v>
      </c>
      <c r="AM215" s="1">
        <f>SUMIFS(
  '[1]Hoja 1'!$M:$M,
  '[1]Hoja 1'!$S:$S, $A215,
  '[1]Hoja 1'!$R:$R, "&gt;="&amp;INT($AO$1),
  '[1]Hoja 1'!$R:$R, "&lt;"&amp;INT($AP$1+1)
)</f>
        <v>0</v>
      </c>
      <c r="AN215" s="1">
        <f t="shared" si="115"/>
        <v>0</v>
      </c>
      <c r="AO215" s="9">
        <f t="shared" si="116"/>
        <v>0</v>
      </c>
      <c r="AP215" s="10">
        <f t="shared" si="117"/>
        <v>0</v>
      </c>
      <c r="AQ215" s="1">
        <f>SUMIFS(
  '[1]Hoja 1'!$M:$M,
  '[1]Hoja 1'!$S:$S, $A215,
  '[1]Hoja 1'!$R:$R, "&gt;="&amp;INT($AS$1),
  '[1]Hoja 1'!$R:$R, "&lt;"&amp;INT($AT$1+1)
)</f>
        <v>0</v>
      </c>
      <c r="AR215" s="1">
        <f t="shared" si="118"/>
        <v>0</v>
      </c>
      <c r="AS215" s="9">
        <f t="shared" si="119"/>
        <v>0</v>
      </c>
      <c r="AT215" s="10">
        <f t="shared" si="120"/>
        <v>0</v>
      </c>
      <c r="AU215" s="1">
        <f>SUMIFS(
  '[1]Hoja 1'!$M:$M,
  '[1]Hoja 1'!$S:$S, $A215,
  '[1]Hoja 1'!$R:$R, "&gt;="&amp;INT($AW$1),
  '[1]Hoja 1'!$R:$R, "&lt;"&amp;INT($AX$1+1)
)</f>
        <v>0</v>
      </c>
      <c r="AV215" s="1">
        <f t="shared" si="121"/>
        <v>0</v>
      </c>
      <c r="AW215" s="9">
        <f t="shared" si="122"/>
        <v>0</v>
      </c>
      <c r="AX215" s="10">
        <f t="shared" si="123"/>
        <v>0</v>
      </c>
    </row>
    <row r="216" spans="1:50" x14ac:dyDescent="0.25">
      <c r="A216" s="5">
        <v>237003</v>
      </c>
      <c r="B216" s="6" t="s">
        <v>213</v>
      </c>
      <c r="C216" s="1">
        <f>SUMIFS(
  '[1]Hoja 1'!$M:$M,
  '[1]Hoja 1'!$S:$S, $A216,
  '[1]Hoja 1'!$R:$R, "&gt;="&amp;INT($E$1),
  '[1]Hoja 1'!$R:$R, "&lt;"&amp;INT($F$1+1)
)</f>
        <v>0</v>
      </c>
      <c r="D216" s="1" t="str">
        <f>""</f>
        <v/>
      </c>
      <c r="F216" s="2"/>
      <c r="G216" s="1">
        <f>SUMIFS(
  '[1]Hoja 1'!$M:$M,
  '[1]Hoja 1'!$S:$S, $A216,
  '[1]Hoja 1'!$R:$R, "&gt;="&amp;INT($I$1),
  '[1]Hoja 1'!$R:$R, "&lt;"&amp;INT($J$1+1)
)</f>
        <v>0</v>
      </c>
      <c r="H216" s="1">
        <f t="shared" si="93"/>
        <v>0</v>
      </c>
      <c r="I216" s="1"/>
      <c r="J216" s="2"/>
      <c r="K216" s="1">
        <f>SUMIFS(
  '[1]Hoja 1'!$M:$M,
  '[1]Hoja 1'!$S:$S, $A216,
  '[1]Hoja 1'!$R:$R, "&gt;="&amp;INT($M$1),
  '[1]Hoja 1'!$R:$R, "&lt;"&amp;INT($N$1+1)
)</f>
        <v>0</v>
      </c>
      <c r="L216" s="1">
        <f t="shared" si="94"/>
        <v>0</v>
      </c>
      <c r="M216" s="9">
        <f t="shared" si="95"/>
        <v>0</v>
      </c>
      <c r="N216" s="10">
        <f t="shared" si="96"/>
        <v>0</v>
      </c>
      <c r="O216" s="1">
        <f>SUMIFS(
  '[1]Hoja 1'!$M:$M,
  '[1]Hoja 1'!$S:$S, $A216,
  '[1]Hoja 1'!$R:$R, "&gt;="&amp;INT($Q$1),
  '[1]Hoja 1'!$R:$R, "&lt;"&amp;INT($R$1+1)
)</f>
        <v>0</v>
      </c>
      <c r="P216" s="1">
        <f t="shared" si="97"/>
        <v>0</v>
      </c>
      <c r="Q216" s="9">
        <f t="shared" si="98"/>
        <v>0</v>
      </c>
      <c r="R216" s="10">
        <f t="shared" si="99"/>
        <v>0</v>
      </c>
      <c r="S216" s="1">
        <f>SUMIFS(
  '[1]Hoja 1'!$M:$M,
  '[1]Hoja 1'!$S:$S, $A216,
  '[1]Hoja 1'!$R:$R, "&gt;="&amp;INT($U$1),
  '[1]Hoja 1'!$R:$R, "&lt;"&amp;INT($V$1+1)
)</f>
        <v>0</v>
      </c>
      <c r="T216" s="1">
        <f t="shared" si="100"/>
        <v>0</v>
      </c>
      <c r="U216" s="9">
        <f t="shared" si="101"/>
        <v>-1.47</v>
      </c>
      <c r="V216" s="10">
        <f t="shared" si="102"/>
        <v>1.47</v>
      </c>
      <c r="W216" s="1">
        <f>SUMIFS(
  '[1]Hoja 1'!$M:$M,
  '[1]Hoja 1'!$S:$S, $A216,
  '[1]Hoja 1'!$R:$R, "&gt;="&amp;INT($Y$1),
  '[1]Hoja 1'!$R:$R, "&lt;"&amp;INT($Z$1+1)
)</f>
        <v>0</v>
      </c>
      <c r="X216" s="1">
        <f t="shared" si="103"/>
        <v>0</v>
      </c>
      <c r="Y216" s="9">
        <f t="shared" si="104"/>
        <v>0</v>
      </c>
      <c r="Z216" s="10">
        <f t="shared" si="105"/>
        <v>0</v>
      </c>
      <c r="AA216" s="1">
        <f>SUMIFS(
  '[1]Hoja 1'!$M:$M,
  '[1]Hoja 1'!$S:$S, $A216,
  '[1]Hoja 1'!$R:$R, "&gt;="&amp;INT($AC$1),
  '[1]Hoja 1'!$R:$R, "&lt;"&amp;INT($AD$1+1)
)</f>
        <v>0</v>
      </c>
      <c r="AB216" s="1">
        <f t="shared" si="106"/>
        <v>0</v>
      </c>
      <c r="AC216" s="9">
        <f t="shared" si="107"/>
        <v>0</v>
      </c>
      <c r="AD216" s="10">
        <f t="shared" si="108"/>
        <v>0</v>
      </c>
      <c r="AE216" s="1">
        <f>SUMIFS(
  '[1]Hoja 1'!$M:$M,
  '[1]Hoja 1'!$S:$S, $A216,
  '[1]Hoja 1'!$R:$R, "&gt;="&amp;INT($AG$1),
  '[1]Hoja 1'!$R:$R, "&lt;"&amp;INT($AH$1+1)
)</f>
        <v>0</v>
      </c>
      <c r="AF216" s="1">
        <f t="shared" si="109"/>
        <v>0</v>
      </c>
      <c r="AG216" s="9">
        <f t="shared" si="110"/>
        <v>0</v>
      </c>
      <c r="AH216" s="10">
        <f t="shared" si="111"/>
        <v>0</v>
      </c>
      <c r="AI216" s="1">
        <f>SUMIFS(
  '[1]Hoja 1'!$M:$M,
  '[1]Hoja 1'!$S:$S, $A216,
  '[1]Hoja 1'!$R:$R, "&gt;="&amp;INT($AK$1),
  '[1]Hoja 1'!$R:$R, "&lt;"&amp;INT($AJ$1+1)
)</f>
        <v>0</v>
      </c>
      <c r="AJ216" s="1">
        <f t="shared" si="112"/>
        <v>0</v>
      </c>
      <c r="AK216" s="9">
        <f t="shared" si="113"/>
        <v>0</v>
      </c>
      <c r="AL216" s="10">
        <f t="shared" si="114"/>
        <v>0</v>
      </c>
      <c r="AM216" s="1">
        <f>SUMIFS(
  '[1]Hoja 1'!$M:$M,
  '[1]Hoja 1'!$S:$S, $A216,
  '[1]Hoja 1'!$R:$R, "&gt;="&amp;INT($AO$1),
  '[1]Hoja 1'!$R:$R, "&lt;"&amp;INT($AP$1+1)
)</f>
        <v>0</v>
      </c>
      <c r="AN216" s="1">
        <f t="shared" si="115"/>
        <v>0</v>
      </c>
      <c r="AO216" s="9">
        <f t="shared" si="116"/>
        <v>0</v>
      </c>
      <c r="AP216" s="10">
        <f t="shared" si="117"/>
        <v>0</v>
      </c>
      <c r="AQ216" s="1">
        <f>SUMIFS(
  '[1]Hoja 1'!$M:$M,
  '[1]Hoja 1'!$S:$S, $A216,
  '[1]Hoja 1'!$R:$R, "&gt;="&amp;INT($AS$1),
  '[1]Hoja 1'!$R:$R, "&lt;"&amp;INT($AT$1+1)
)</f>
        <v>0</v>
      </c>
      <c r="AR216" s="1">
        <f t="shared" si="118"/>
        <v>0</v>
      </c>
      <c r="AS216" s="9">
        <f t="shared" si="119"/>
        <v>0</v>
      </c>
      <c r="AT216" s="10">
        <f t="shared" si="120"/>
        <v>0</v>
      </c>
      <c r="AU216" s="1">
        <f>SUMIFS(
  '[1]Hoja 1'!$M:$M,
  '[1]Hoja 1'!$S:$S, $A216,
  '[1]Hoja 1'!$R:$R, "&gt;="&amp;INT($AW$1),
  '[1]Hoja 1'!$R:$R, "&lt;"&amp;INT($AX$1+1)
)</f>
        <v>0</v>
      </c>
      <c r="AV216" s="1">
        <f t="shared" si="121"/>
        <v>0</v>
      </c>
      <c r="AW216" s="9">
        <f t="shared" si="122"/>
        <v>0</v>
      </c>
      <c r="AX216" s="10">
        <f t="shared" si="123"/>
        <v>0</v>
      </c>
    </row>
    <row r="217" spans="1:50" x14ac:dyDescent="0.25">
      <c r="A217" s="5">
        <v>259001</v>
      </c>
      <c r="B217" s="6" t="s">
        <v>214</v>
      </c>
      <c r="C217" s="1">
        <f>SUMIFS(
  '[1]Hoja 1'!$M:$M,
  '[1]Hoja 1'!$S:$S, $A217,
  '[1]Hoja 1'!$R:$R, "&gt;="&amp;INT($E$1),
  '[1]Hoja 1'!$R:$R, "&lt;"&amp;INT($F$1+1)
)</f>
        <v>0</v>
      </c>
      <c r="D217" s="1" t="str">
        <f>""</f>
        <v/>
      </c>
      <c r="F217" s="2"/>
      <c r="G217" s="1">
        <f>SUMIFS(
  '[1]Hoja 1'!$M:$M,
  '[1]Hoja 1'!$S:$S, $A217,
  '[1]Hoja 1'!$R:$R, "&gt;="&amp;INT($I$1),
  '[1]Hoja 1'!$R:$R, "&lt;"&amp;INT($J$1+1)
)</f>
        <v>0</v>
      </c>
      <c r="H217" s="1">
        <f t="shared" si="93"/>
        <v>0</v>
      </c>
      <c r="I217" s="1"/>
      <c r="J217" s="2"/>
      <c r="K217" s="1">
        <f>SUMIFS(
  '[1]Hoja 1'!$M:$M,
  '[1]Hoja 1'!$S:$S, $A217,
  '[1]Hoja 1'!$R:$R, "&gt;="&amp;INT($M$1),
  '[1]Hoja 1'!$R:$R, "&lt;"&amp;INT($N$1+1)
)</f>
        <v>0</v>
      </c>
      <c r="L217" s="1">
        <f t="shared" si="94"/>
        <v>0</v>
      </c>
      <c r="M217" s="9">
        <f t="shared" si="95"/>
        <v>0</v>
      </c>
      <c r="N217" s="10">
        <f t="shared" si="96"/>
        <v>0</v>
      </c>
      <c r="O217" s="1">
        <f>SUMIFS(
  '[1]Hoja 1'!$M:$M,
  '[1]Hoja 1'!$S:$S, $A217,
  '[1]Hoja 1'!$R:$R, "&gt;="&amp;INT($Q$1),
  '[1]Hoja 1'!$R:$R, "&lt;"&amp;INT($R$1+1)
)</f>
        <v>0</v>
      </c>
      <c r="P217" s="1">
        <f t="shared" si="97"/>
        <v>0</v>
      </c>
      <c r="Q217" s="9">
        <f t="shared" si="98"/>
        <v>0</v>
      </c>
      <c r="R217" s="10">
        <f t="shared" si="99"/>
        <v>0</v>
      </c>
      <c r="S217" s="1">
        <f>SUMIFS(
  '[1]Hoja 1'!$M:$M,
  '[1]Hoja 1'!$S:$S, $A217,
  '[1]Hoja 1'!$R:$R, "&gt;="&amp;INT($U$1),
  '[1]Hoja 1'!$R:$R, "&lt;"&amp;INT($V$1+1)
)</f>
        <v>0</v>
      </c>
      <c r="T217" s="1">
        <f t="shared" si="100"/>
        <v>0</v>
      </c>
      <c r="U217" s="9">
        <f t="shared" si="101"/>
        <v>-1.47</v>
      </c>
      <c r="V217" s="10">
        <f t="shared" si="102"/>
        <v>1.47</v>
      </c>
      <c r="W217" s="1">
        <f>SUMIFS(
  '[1]Hoja 1'!$M:$M,
  '[1]Hoja 1'!$S:$S, $A217,
  '[1]Hoja 1'!$R:$R, "&gt;="&amp;INT($Y$1),
  '[1]Hoja 1'!$R:$R, "&lt;"&amp;INT($Z$1+1)
)</f>
        <v>0</v>
      </c>
      <c r="X217" s="1">
        <f t="shared" si="103"/>
        <v>0</v>
      </c>
      <c r="Y217" s="9">
        <f t="shared" si="104"/>
        <v>0</v>
      </c>
      <c r="Z217" s="10">
        <f t="shared" si="105"/>
        <v>0</v>
      </c>
      <c r="AA217" s="1">
        <f>SUMIFS(
  '[1]Hoja 1'!$M:$M,
  '[1]Hoja 1'!$S:$S, $A217,
  '[1]Hoja 1'!$R:$R, "&gt;="&amp;INT($AC$1),
  '[1]Hoja 1'!$R:$R, "&lt;"&amp;INT($AD$1+1)
)</f>
        <v>0</v>
      </c>
      <c r="AB217" s="1">
        <f t="shared" si="106"/>
        <v>0</v>
      </c>
      <c r="AC217" s="9">
        <f t="shared" si="107"/>
        <v>0</v>
      </c>
      <c r="AD217" s="10">
        <f t="shared" si="108"/>
        <v>0</v>
      </c>
      <c r="AE217" s="1">
        <f>SUMIFS(
  '[1]Hoja 1'!$M:$M,
  '[1]Hoja 1'!$S:$S, $A217,
  '[1]Hoja 1'!$R:$R, "&gt;="&amp;INT($AG$1),
  '[1]Hoja 1'!$R:$R, "&lt;"&amp;INT($AH$1+1)
)</f>
        <v>0</v>
      </c>
      <c r="AF217" s="1">
        <f t="shared" si="109"/>
        <v>0</v>
      </c>
      <c r="AG217" s="9">
        <f t="shared" si="110"/>
        <v>0</v>
      </c>
      <c r="AH217" s="10">
        <f t="shared" si="111"/>
        <v>0</v>
      </c>
      <c r="AI217" s="1">
        <f>SUMIFS(
  '[1]Hoja 1'!$M:$M,
  '[1]Hoja 1'!$S:$S, $A217,
  '[1]Hoja 1'!$R:$R, "&gt;="&amp;INT($AK$1),
  '[1]Hoja 1'!$R:$R, "&lt;"&amp;INT($AJ$1+1)
)</f>
        <v>0</v>
      </c>
      <c r="AJ217" s="1">
        <f t="shared" si="112"/>
        <v>0</v>
      </c>
      <c r="AK217" s="9">
        <f t="shared" si="113"/>
        <v>0</v>
      </c>
      <c r="AL217" s="10">
        <f t="shared" si="114"/>
        <v>0</v>
      </c>
      <c r="AM217" s="1">
        <f>SUMIFS(
  '[1]Hoja 1'!$M:$M,
  '[1]Hoja 1'!$S:$S, $A217,
  '[1]Hoja 1'!$R:$R, "&gt;="&amp;INT($AO$1),
  '[1]Hoja 1'!$R:$R, "&lt;"&amp;INT($AP$1+1)
)</f>
        <v>0</v>
      </c>
      <c r="AN217" s="1">
        <f t="shared" si="115"/>
        <v>0</v>
      </c>
      <c r="AO217" s="9">
        <f t="shared" si="116"/>
        <v>0</v>
      </c>
      <c r="AP217" s="10">
        <f t="shared" si="117"/>
        <v>0</v>
      </c>
      <c r="AQ217" s="1">
        <f>SUMIFS(
  '[1]Hoja 1'!$M:$M,
  '[1]Hoja 1'!$S:$S, $A217,
  '[1]Hoja 1'!$R:$R, "&gt;="&amp;INT($AS$1),
  '[1]Hoja 1'!$R:$R, "&lt;"&amp;INT($AT$1+1)
)</f>
        <v>0</v>
      </c>
      <c r="AR217" s="1">
        <f t="shared" si="118"/>
        <v>0</v>
      </c>
      <c r="AS217" s="9">
        <f t="shared" si="119"/>
        <v>0</v>
      </c>
      <c r="AT217" s="10">
        <f t="shared" si="120"/>
        <v>0</v>
      </c>
      <c r="AU217" s="1">
        <f>SUMIFS(
  '[1]Hoja 1'!$M:$M,
  '[1]Hoja 1'!$S:$S, $A217,
  '[1]Hoja 1'!$R:$R, "&gt;="&amp;INT($AW$1),
  '[1]Hoja 1'!$R:$R, "&lt;"&amp;INT($AX$1+1)
)</f>
        <v>0</v>
      </c>
      <c r="AV217" s="1">
        <f t="shared" si="121"/>
        <v>0</v>
      </c>
      <c r="AW217" s="9">
        <f t="shared" si="122"/>
        <v>0</v>
      </c>
      <c r="AX217" s="10">
        <f t="shared" si="123"/>
        <v>0</v>
      </c>
    </row>
    <row r="218" spans="1:50" x14ac:dyDescent="0.25">
      <c r="A218" s="5">
        <v>259002</v>
      </c>
      <c r="B218" s="6" t="s">
        <v>215</v>
      </c>
      <c r="C218" s="1">
        <f>SUMIFS(
  '[1]Hoja 1'!$M:$M,
  '[1]Hoja 1'!$S:$S, $A218,
  '[1]Hoja 1'!$R:$R, "&gt;="&amp;INT($E$1),
  '[1]Hoja 1'!$R:$R, "&lt;"&amp;INT($F$1+1)
)</f>
        <v>0</v>
      </c>
      <c r="D218" s="1" t="str">
        <f>""</f>
        <v/>
      </c>
      <c r="F218" s="2"/>
      <c r="G218" s="1">
        <f>SUMIFS(
  '[1]Hoja 1'!$M:$M,
  '[1]Hoja 1'!$S:$S, $A218,
  '[1]Hoja 1'!$R:$R, "&gt;="&amp;INT($I$1),
  '[1]Hoja 1'!$R:$R, "&lt;"&amp;INT($J$1+1)
)</f>
        <v>0</v>
      </c>
      <c r="H218" s="1">
        <f t="shared" si="93"/>
        <v>0</v>
      </c>
      <c r="I218" s="1"/>
      <c r="J218" s="2"/>
      <c r="K218" s="1">
        <f>SUMIFS(
  '[1]Hoja 1'!$M:$M,
  '[1]Hoja 1'!$S:$S, $A218,
  '[1]Hoja 1'!$R:$R, "&gt;="&amp;INT($M$1),
  '[1]Hoja 1'!$R:$R, "&lt;"&amp;INT($N$1+1)
)</f>
        <v>0</v>
      </c>
      <c r="L218" s="1">
        <f t="shared" si="94"/>
        <v>0</v>
      </c>
      <c r="M218" s="9">
        <f t="shared" si="95"/>
        <v>0</v>
      </c>
      <c r="N218" s="10">
        <f t="shared" si="96"/>
        <v>0</v>
      </c>
      <c r="O218" s="1">
        <f>SUMIFS(
  '[1]Hoja 1'!$M:$M,
  '[1]Hoja 1'!$S:$S, $A218,
  '[1]Hoja 1'!$R:$R, "&gt;="&amp;INT($Q$1),
  '[1]Hoja 1'!$R:$R, "&lt;"&amp;INT($R$1+1)
)</f>
        <v>0</v>
      </c>
      <c r="P218" s="1">
        <f t="shared" si="97"/>
        <v>0</v>
      </c>
      <c r="Q218" s="9">
        <f t="shared" si="98"/>
        <v>0</v>
      </c>
      <c r="R218" s="10">
        <f t="shared" si="99"/>
        <v>0</v>
      </c>
      <c r="S218" s="1">
        <f>SUMIFS(
  '[1]Hoja 1'!$M:$M,
  '[1]Hoja 1'!$S:$S, $A218,
  '[1]Hoja 1'!$R:$R, "&gt;="&amp;INT($U$1),
  '[1]Hoja 1'!$R:$R, "&lt;"&amp;INT($V$1+1)
)</f>
        <v>0</v>
      </c>
      <c r="T218" s="1">
        <f t="shared" si="100"/>
        <v>0</v>
      </c>
      <c r="U218" s="9">
        <f t="shared" si="101"/>
        <v>-1.47</v>
      </c>
      <c r="V218" s="10">
        <f t="shared" si="102"/>
        <v>1.47</v>
      </c>
      <c r="W218" s="1">
        <f>SUMIFS(
  '[1]Hoja 1'!$M:$M,
  '[1]Hoja 1'!$S:$S, $A218,
  '[1]Hoja 1'!$R:$R, "&gt;="&amp;INT($Y$1),
  '[1]Hoja 1'!$R:$R, "&lt;"&amp;INT($Z$1+1)
)</f>
        <v>0</v>
      </c>
      <c r="X218" s="1">
        <f t="shared" si="103"/>
        <v>0</v>
      </c>
      <c r="Y218" s="9">
        <f t="shared" si="104"/>
        <v>0</v>
      </c>
      <c r="Z218" s="10">
        <f t="shared" si="105"/>
        <v>0</v>
      </c>
      <c r="AA218" s="1">
        <f>SUMIFS(
  '[1]Hoja 1'!$M:$M,
  '[1]Hoja 1'!$S:$S, $A218,
  '[1]Hoja 1'!$R:$R, "&gt;="&amp;INT($AC$1),
  '[1]Hoja 1'!$R:$R, "&lt;"&amp;INT($AD$1+1)
)</f>
        <v>0</v>
      </c>
      <c r="AB218" s="1">
        <f t="shared" si="106"/>
        <v>0</v>
      </c>
      <c r="AC218" s="9">
        <f t="shared" si="107"/>
        <v>0</v>
      </c>
      <c r="AD218" s="10">
        <f t="shared" si="108"/>
        <v>0</v>
      </c>
      <c r="AE218" s="1">
        <f>SUMIFS(
  '[1]Hoja 1'!$M:$M,
  '[1]Hoja 1'!$S:$S, $A218,
  '[1]Hoja 1'!$R:$R, "&gt;="&amp;INT($AG$1),
  '[1]Hoja 1'!$R:$R, "&lt;"&amp;INT($AH$1+1)
)</f>
        <v>0</v>
      </c>
      <c r="AF218" s="1">
        <f t="shared" si="109"/>
        <v>0</v>
      </c>
      <c r="AG218" s="9">
        <f t="shared" si="110"/>
        <v>0</v>
      </c>
      <c r="AH218" s="10">
        <f t="shared" si="111"/>
        <v>0</v>
      </c>
      <c r="AI218" s="1">
        <f>SUMIFS(
  '[1]Hoja 1'!$M:$M,
  '[1]Hoja 1'!$S:$S, $A218,
  '[1]Hoja 1'!$R:$R, "&gt;="&amp;INT($AK$1),
  '[1]Hoja 1'!$R:$R, "&lt;"&amp;INT($AJ$1+1)
)</f>
        <v>0</v>
      </c>
      <c r="AJ218" s="1">
        <f t="shared" si="112"/>
        <v>0</v>
      </c>
      <c r="AK218" s="9">
        <f t="shared" si="113"/>
        <v>0</v>
      </c>
      <c r="AL218" s="10">
        <f t="shared" si="114"/>
        <v>0</v>
      </c>
      <c r="AM218" s="1">
        <f>SUMIFS(
  '[1]Hoja 1'!$M:$M,
  '[1]Hoja 1'!$S:$S, $A218,
  '[1]Hoja 1'!$R:$R, "&gt;="&amp;INT($AO$1),
  '[1]Hoja 1'!$R:$R, "&lt;"&amp;INT($AP$1+1)
)</f>
        <v>0</v>
      </c>
      <c r="AN218" s="1">
        <f t="shared" si="115"/>
        <v>0</v>
      </c>
      <c r="AO218" s="9">
        <f t="shared" si="116"/>
        <v>0</v>
      </c>
      <c r="AP218" s="10">
        <f t="shared" si="117"/>
        <v>0</v>
      </c>
      <c r="AQ218" s="1">
        <f>SUMIFS(
  '[1]Hoja 1'!$M:$M,
  '[1]Hoja 1'!$S:$S, $A218,
  '[1]Hoja 1'!$R:$R, "&gt;="&amp;INT($AS$1),
  '[1]Hoja 1'!$R:$R, "&lt;"&amp;INT($AT$1+1)
)</f>
        <v>0</v>
      </c>
      <c r="AR218" s="1">
        <f t="shared" si="118"/>
        <v>0</v>
      </c>
      <c r="AS218" s="9">
        <f t="shared" si="119"/>
        <v>0</v>
      </c>
      <c r="AT218" s="10">
        <f t="shared" si="120"/>
        <v>0</v>
      </c>
      <c r="AU218" s="1">
        <f>SUMIFS(
  '[1]Hoja 1'!$M:$M,
  '[1]Hoja 1'!$S:$S, $A218,
  '[1]Hoja 1'!$R:$R, "&gt;="&amp;INT($AW$1),
  '[1]Hoja 1'!$R:$R, "&lt;"&amp;INT($AX$1+1)
)</f>
        <v>0</v>
      </c>
      <c r="AV218" s="1">
        <f t="shared" si="121"/>
        <v>0</v>
      </c>
      <c r="AW218" s="9">
        <f t="shared" si="122"/>
        <v>0</v>
      </c>
      <c r="AX218" s="10">
        <f t="shared" si="123"/>
        <v>0</v>
      </c>
    </row>
    <row r="219" spans="1:50" x14ac:dyDescent="0.25">
      <c r="A219" s="5">
        <v>261004</v>
      </c>
      <c r="B219" s="6" t="s">
        <v>216</v>
      </c>
      <c r="C219" s="1">
        <f>SUMIFS(
  '[1]Hoja 1'!$M:$M,
  '[1]Hoja 1'!$S:$S, $A219,
  '[1]Hoja 1'!$R:$R, "&gt;="&amp;INT($E$1),
  '[1]Hoja 1'!$R:$R, "&lt;"&amp;INT($F$1+1)
)</f>
        <v>343</v>
      </c>
      <c r="D219" s="1" t="str">
        <f>""</f>
        <v/>
      </c>
      <c r="F219" s="2"/>
      <c r="G219" s="1">
        <f>SUMIFS(
  '[1]Hoja 1'!$M:$M,
  '[1]Hoja 1'!$S:$S, $A219,
  '[1]Hoja 1'!$R:$R, "&gt;="&amp;INT($I$1),
  '[1]Hoja 1'!$R:$R, "&lt;"&amp;INT($J$1+1)
)</f>
        <v>232</v>
      </c>
      <c r="H219" s="1">
        <f t="shared" si="93"/>
        <v>288</v>
      </c>
      <c r="I219" s="1"/>
      <c r="J219" s="2"/>
      <c r="K219" s="1">
        <f>SUMIFS(
  '[1]Hoja 1'!$M:$M,
  '[1]Hoja 1'!$S:$S, $A219,
  '[1]Hoja 1'!$R:$R, "&gt;="&amp;INT($M$1),
  '[1]Hoja 1'!$R:$R, "&lt;"&amp;INT($N$1+1)
)</f>
        <v>0</v>
      </c>
      <c r="L219" s="1">
        <f t="shared" si="94"/>
        <v>116</v>
      </c>
      <c r="M219" s="9">
        <f t="shared" si="95"/>
        <v>32.151277886899194</v>
      </c>
      <c r="N219" s="10">
        <f t="shared" si="96"/>
        <v>199.84872211310079</v>
      </c>
      <c r="O219" s="1">
        <f>SUMIFS(
  '[1]Hoja 1'!$M:$M,
  '[1]Hoja 1'!$S:$S, $A219,
  '[1]Hoja 1'!$R:$R, "&gt;="&amp;INT($Q$1),
  '[1]Hoja 1'!$R:$R, "&lt;"&amp;INT($R$1+1)
)</f>
        <v>0</v>
      </c>
      <c r="P219" s="1">
        <f t="shared" si="97"/>
        <v>0</v>
      </c>
      <c r="Q219" s="9">
        <f t="shared" si="98"/>
        <v>-113.715195701073</v>
      </c>
      <c r="R219" s="10">
        <f t="shared" si="99"/>
        <v>113.715195701073</v>
      </c>
      <c r="S219" s="1">
        <f>SUMIFS(
  '[1]Hoja 1'!$M:$M,
  '[1]Hoja 1'!$S:$S, $A219,
  '[1]Hoja 1'!$R:$R, "&gt;="&amp;INT($U$1),
  '[1]Hoja 1'!$R:$R, "&lt;"&amp;INT($V$1+1)
)</f>
        <v>0</v>
      </c>
      <c r="T219" s="1">
        <f t="shared" si="100"/>
        <v>0</v>
      </c>
      <c r="U219" s="9">
        <f t="shared" si="101"/>
        <v>-107.68857878159595</v>
      </c>
      <c r="V219" s="10">
        <f t="shared" si="102"/>
        <v>107.68857878159595</v>
      </c>
      <c r="W219" s="1">
        <f>SUMIFS(
  '[1]Hoja 1'!$M:$M,
  '[1]Hoja 1'!$S:$S, $A219,
  '[1]Hoja 1'!$R:$R, "&gt;="&amp;INT($Y$1),
  '[1]Hoja 1'!$R:$R, "&lt;"&amp;INT($Z$1+1)
)</f>
        <v>0</v>
      </c>
      <c r="X219" s="1">
        <f t="shared" si="103"/>
        <v>0</v>
      </c>
      <c r="Y219" s="9">
        <f t="shared" si="104"/>
        <v>-101.15290168848345</v>
      </c>
      <c r="Z219" s="10">
        <f t="shared" si="105"/>
        <v>101.15290168848345</v>
      </c>
      <c r="AA219" s="1">
        <f>SUMIFS(
  '[1]Hoja 1'!$M:$M,
  '[1]Hoja 1'!$S:$S, $A219,
  '[1]Hoja 1'!$R:$R, "&gt;="&amp;INT($AC$1),
  '[1]Hoja 1'!$R:$R, "&lt;"&amp;INT($AD$1+1)
)</f>
        <v>0</v>
      </c>
      <c r="AB219" s="1">
        <f t="shared" si="106"/>
        <v>0</v>
      </c>
      <c r="AC219" s="9">
        <f t="shared" si="107"/>
        <v>-94.545200548027097</v>
      </c>
      <c r="AD219" s="10">
        <f t="shared" si="108"/>
        <v>94.545200548027097</v>
      </c>
      <c r="AE219" s="1">
        <f>SUMIFS(
  '[1]Hoja 1'!$M:$M,
  '[1]Hoja 1'!$S:$S, $A219,
  '[1]Hoja 1'!$R:$R, "&gt;="&amp;INT($AG$1),
  '[1]Hoja 1'!$R:$R, "&lt;"&amp;INT($AH$1+1)
)</f>
        <v>0</v>
      </c>
      <c r="AF219" s="1">
        <f t="shared" si="109"/>
        <v>0</v>
      </c>
      <c r="AG219" s="9">
        <f t="shared" si="110"/>
        <v>-88.867143534604509</v>
      </c>
      <c r="AH219" s="10">
        <f t="shared" si="111"/>
        <v>88.867143534604509</v>
      </c>
      <c r="AI219" s="1">
        <f>SUMIFS(
  '[1]Hoja 1'!$M:$M,
  '[1]Hoja 1'!$S:$S, $A219,
  '[1]Hoja 1'!$R:$R, "&gt;="&amp;INT($AK$1),
  '[1]Hoja 1'!$R:$R, "&lt;"&amp;INT($AJ$1+1)
)</f>
        <v>0</v>
      </c>
      <c r="AJ219" s="1">
        <f t="shared" si="112"/>
        <v>0</v>
      </c>
      <c r="AK219" s="9">
        <f t="shared" si="113"/>
        <v>-84.008414161915937</v>
      </c>
      <c r="AL219" s="10">
        <f t="shared" si="114"/>
        <v>84.008414161915937</v>
      </c>
      <c r="AM219" s="1">
        <f>SUMIFS(
  '[1]Hoja 1'!$M:$M,
  '[1]Hoja 1'!$S:$S, $A219,
  '[1]Hoja 1'!$R:$R, "&gt;="&amp;INT($AO$1),
  '[1]Hoja 1'!$R:$R, "&lt;"&amp;INT($AP$1+1)
)</f>
        <v>0</v>
      </c>
      <c r="AN219" s="1">
        <f t="shared" si="115"/>
        <v>0</v>
      </c>
      <c r="AO219" s="9">
        <f t="shared" si="116"/>
        <v>-79.821051804089322</v>
      </c>
      <c r="AP219" s="10">
        <f t="shared" si="117"/>
        <v>79.821051804089322</v>
      </c>
      <c r="AQ219" s="1">
        <f>SUMIFS(
  '[1]Hoja 1'!$M:$M,
  '[1]Hoja 1'!$S:$S, $A219,
  '[1]Hoja 1'!$R:$R, "&gt;="&amp;INT($AS$1),
  '[1]Hoja 1'!$R:$R, "&lt;"&amp;INT($AT$1+1)
)</f>
        <v>0</v>
      </c>
      <c r="AR219" s="1">
        <f t="shared" si="118"/>
        <v>0</v>
      </c>
      <c r="AS219" s="9">
        <f t="shared" si="119"/>
        <v>-76.177167795431544</v>
      </c>
      <c r="AT219" s="10">
        <f t="shared" si="120"/>
        <v>76.177167795431544</v>
      </c>
      <c r="AU219" s="1">
        <f>SUMIFS(
  '[1]Hoja 1'!$M:$M,
  '[1]Hoja 1'!$S:$S, $A219,
  '[1]Hoja 1'!$R:$R, "&gt;="&amp;INT($AW$1),
  '[1]Hoja 1'!$R:$R, "&lt;"&amp;INT($AX$1+1)
)</f>
        <v>0</v>
      </c>
      <c r="AV219" s="1">
        <f t="shared" si="121"/>
        <v>0</v>
      </c>
      <c r="AW219" s="9">
        <f t="shared" si="122"/>
        <v>-72.975222345421031</v>
      </c>
      <c r="AX219" s="10">
        <f t="shared" si="123"/>
        <v>72.975222345421031</v>
      </c>
    </row>
    <row r="220" spans="1:50" x14ac:dyDescent="0.25">
      <c r="A220" s="5">
        <v>261005</v>
      </c>
      <c r="B220" s="6" t="s">
        <v>217</v>
      </c>
      <c r="C220" s="1">
        <f>SUMIFS(
  '[1]Hoja 1'!$M:$M,
  '[1]Hoja 1'!$S:$S, $A220,
  '[1]Hoja 1'!$R:$R, "&gt;="&amp;INT($E$1),
  '[1]Hoja 1'!$R:$R, "&lt;"&amp;INT($F$1+1)
)</f>
        <v>3</v>
      </c>
      <c r="D220" s="1" t="str">
        <f>""</f>
        <v/>
      </c>
      <c r="F220" s="2"/>
      <c r="G220" s="1">
        <f>SUMIFS(
  '[1]Hoja 1'!$M:$M,
  '[1]Hoja 1'!$S:$S, $A220,
  '[1]Hoja 1'!$R:$R, "&gt;="&amp;INT($I$1),
  '[1]Hoja 1'!$R:$R, "&lt;"&amp;INT($J$1+1)
)</f>
        <v>0</v>
      </c>
      <c r="H220" s="1">
        <f t="shared" si="93"/>
        <v>2</v>
      </c>
      <c r="I220" s="1"/>
      <c r="J220" s="2"/>
      <c r="K220" s="1">
        <f>SUMIFS(
  '[1]Hoja 1'!$M:$M,
  '[1]Hoja 1'!$S:$S, $A220,
  '[1]Hoja 1'!$R:$R, "&gt;="&amp;INT($M$1),
  '[1]Hoja 1'!$R:$R, "&lt;"&amp;INT($N$1+1)
)</f>
        <v>0</v>
      </c>
      <c r="L220" s="1">
        <f t="shared" si="94"/>
        <v>0</v>
      </c>
      <c r="M220" s="9">
        <f t="shared" si="95"/>
        <v>-2.0788939366884494</v>
      </c>
      <c r="N220" s="10">
        <f t="shared" si="96"/>
        <v>2.0788939366884494</v>
      </c>
      <c r="O220" s="1">
        <f>SUMIFS(
  '[1]Hoja 1'!$M:$M,
  '[1]Hoja 1'!$S:$S, $A220,
  '[1]Hoja 1'!$R:$R, "&gt;="&amp;INT($Q$1),
  '[1]Hoja 1'!$R:$R, "&lt;"&amp;INT($R$1+1)
)</f>
        <v>0</v>
      </c>
      <c r="P220" s="1">
        <f t="shared" si="97"/>
        <v>0</v>
      </c>
      <c r="Q220" s="9">
        <f t="shared" si="98"/>
        <v>-1.6974097914174997</v>
      </c>
      <c r="R220" s="10">
        <f t="shared" si="99"/>
        <v>1.6974097914174997</v>
      </c>
      <c r="S220" s="1">
        <f>SUMIFS(
  '[1]Hoja 1'!$M:$M,
  '[1]Hoja 1'!$S:$S, $A220,
  '[1]Hoja 1'!$R:$R, "&gt;="&amp;INT($U$1),
  '[1]Hoja 1'!$R:$R, "&lt;"&amp;INT($V$1+1)
)</f>
        <v>0</v>
      </c>
      <c r="T220" s="1">
        <f t="shared" si="100"/>
        <v>0</v>
      </c>
      <c r="U220" s="9">
        <f t="shared" si="101"/>
        <v>-1.6974097914174997</v>
      </c>
      <c r="V220" s="10">
        <f t="shared" si="102"/>
        <v>1.6974097914174997</v>
      </c>
      <c r="W220" s="1">
        <f>SUMIFS(
  '[1]Hoja 1'!$M:$M,
  '[1]Hoja 1'!$S:$S, $A220,
  '[1]Hoja 1'!$R:$R, "&gt;="&amp;INT($Y$1),
  '[1]Hoja 1'!$R:$R, "&lt;"&amp;INT($Z$1+1)
)</f>
        <v>0</v>
      </c>
      <c r="X220" s="1">
        <f t="shared" si="103"/>
        <v>0</v>
      </c>
      <c r="Y220" s="9">
        <f t="shared" si="104"/>
        <v>-1.3148079707698763</v>
      </c>
      <c r="Z220" s="10">
        <f t="shared" si="105"/>
        <v>1.3148079707698763</v>
      </c>
      <c r="AA220" s="1">
        <f>SUMIFS(
  '[1]Hoja 1'!$M:$M,
  '[1]Hoja 1'!$S:$S, $A220,
  '[1]Hoja 1'!$R:$R, "&gt;="&amp;INT($AC$1),
  '[1]Hoja 1'!$R:$R, "&lt;"&amp;INT($AD$1+1)
)</f>
        <v>0</v>
      </c>
      <c r="AB220" s="1">
        <f t="shared" si="106"/>
        <v>0</v>
      </c>
      <c r="AC220" s="9">
        <f t="shared" si="107"/>
        <v>-1.2002499739637571</v>
      </c>
      <c r="AD220" s="10">
        <f t="shared" si="108"/>
        <v>1.2002499739637571</v>
      </c>
      <c r="AE220" s="1">
        <f>SUMIFS(
  '[1]Hoja 1'!$M:$M,
  '[1]Hoja 1'!$S:$S, $A220,
  '[1]Hoja 1'!$R:$R, "&gt;="&amp;INT($AG$1),
  '[1]Hoja 1'!$R:$R, "&lt;"&amp;INT($AH$1+1)
)</f>
        <v>0</v>
      </c>
      <c r="AF220" s="1">
        <f t="shared" si="109"/>
        <v>0</v>
      </c>
      <c r="AG220" s="9">
        <f t="shared" si="110"/>
        <v>-1.111215550647128</v>
      </c>
      <c r="AH220" s="10">
        <f t="shared" si="111"/>
        <v>1.111215550647128</v>
      </c>
      <c r="AI220" s="1">
        <f>SUMIFS(
  '[1]Hoja 1'!$M:$M,
  '[1]Hoja 1'!$S:$S, $A220,
  '[1]Hoja 1'!$R:$R, "&gt;="&amp;INT($AK$1),
  '[1]Hoja 1'!$R:$R, "&lt;"&amp;INT($AJ$1+1)
)</f>
        <v>0</v>
      </c>
      <c r="AJ220" s="1">
        <f t="shared" si="112"/>
        <v>0</v>
      </c>
      <c r="AK220" s="9">
        <f t="shared" si="113"/>
        <v>-1.0394469683442247</v>
      </c>
      <c r="AL220" s="10">
        <f t="shared" si="114"/>
        <v>1.0394469683442247</v>
      </c>
      <c r="AM220" s="1">
        <f>SUMIFS(
  '[1]Hoja 1'!$M:$M,
  '[1]Hoja 1'!$S:$S, $A220,
  '[1]Hoja 1'!$R:$R, "&gt;="&amp;INT($AO$1),
  '[1]Hoja 1'!$R:$R, "&lt;"&amp;INT($AP$1+1)
)</f>
        <v>0</v>
      </c>
      <c r="AN220" s="1">
        <f t="shared" si="115"/>
        <v>0</v>
      </c>
      <c r="AO220" s="9">
        <f t="shared" si="116"/>
        <v>-0.98</v>
      </c>
      <c r="AP220" s="10">
        <f t="shared" si="117"/>
        <v>0.98</v>
      </c>
      <c r="AQ220" s="1">
        <f>SUMIFS(
  '[1]Hoja 1'!$M:$M,
  '[1]Hoja 1'!$S:$S, $A220,
  '[1]Hoja 1'!$R:$R, "&gt;="&amp;INT($AS$1),
  '[1]Hoja 1'!$R:$R, "&lt;"&amp;INT($AT$1+1)
)</f>
        <v>0</v>
      </c>
      <c r="AR220" s="1">
        <f t="shared" si="118"/>
        <v>0</v>
      </c>
      <c r="AS220" s="9">
        <f t="shared" si="119"/>
        <v>-0.92970963208950352</v>
      </c>
      <c r="AT220" s="10">
        <f t="shared" si="120"/>
        <v>0.92970963208950352</v>
      </c>
      <c r="AU220" s="1">
        <f>SUMIFS(
  '[1]Hoja 1'!$M:$M,
  '[1]Hoja 1'!$S:$S, $A220,
  '[1]Hoja 1'!$R:$R, "&gt;="&amp;INT($AW$1),
  '[1]Hoja 1'!$R:$R, "&lt;"&amp;INT($AX$1+1)
)</f>
        <v>0</v>
      </c>
      <c r="AV220" s="1">
        <f t="shared" si="121"/>
        <v>0</v>
      </c>
      <c r="AW220" s="9">
        <f t="shared" si="122"/>
        <v>-0.88644335305862509</v>
      </c>
      <c r="AX220" s="10">
        <f t="shared" si="123"/>
        <v>0.88644335305862509</v>
      </c>
    </row>
    <row r="221" spans="1:50" x14ac:dyDescent="0.25">
      <c r="A221" s="5">
        <v>265001</v>
      </c>
      <c r="B221" s="6" t="s">
        <v>218</v>
      </c>
      <c r="C221" s="1">
        <f>SUMIFS(
  '[1]Hoja 1'!$M:$M,
  '[1]Hoja 1'!$S:$S, $A221,
  '[1]Hoja 1'!$R:$R, "&gt;="&amp;INT($E$1),
  '[1]Hoja 1'!$R:$R, "&lt;"&amp;INT($F$1+1)
)</f>
        <v>2</v>
      </c>
      <c r="D221" s="1" t="str">
        <f>""</f>
        <v/>
      </c>
      <c r="F221" s="2"/>
      <c r="G221" s="1">
        <f>SUMIFS(
  '[1]Hoja 1'!$M:$M,
  '[1]Hoja 1'!$S:$S, $A221,
  '[1]Hoja 1'!$R:$R, "&gt;="&amp;INT($I$1),
  '[1]Hoja 1'!$R:$R, "&lt;"&amp;INT($J$1+1)
)</f>
        <v>2</v>
      </c>
      <c r="H221" s="1">
        <f t="shared" si="93"/>
        <v>2</v>
      </c>
      <c r="I221" s="1"/>
      <c r="J221" s="2"/>
      <c r="K221" s="1">
        <f>SUMIFS(
  '[1]Hoja 1'!$M:$M,
  '[1]Hoja 1'!$S:$S, $A221,
  '[1]Hoja 1'!$R:$R, "&gt;="&amp;INT($M$1),
  '[1]Hoja 1'!$R:$R, "&lt;"&amp;INT($N$1+1)
)</f>
        <v>0</v>
      </c>
      <c r="L221" s="1">
        <f t="shared" si="94"/>
        <v>1</v>
      </c>
      <c r="M221" s="9">
        <f t="shared" si="95"/>
        <v>-0.38592929112563312</v>
      </c>
      <c r="N221" s="10">
        <f t="shared" si="96"/>
        <v>2.3859292911256329</v>
      </c>
      <c r="O221" s="1">
        <f>SUMIFS(
  '[1]Hoja 1'!$M:$M,
  '[1]Hoja 1'!$S:$S, $A221,
  '[1]Hoja 1'!$R:$R, "&gt;="&amp;INT($Q$1),
  '[1]Hoja 1'!$R:$R, "&lt;"&amp;INT($R$1+1)
)</f>
        <v>0</v>
      </c>
      <c r="P221" s="1">
        <f t="shared" si="97"/>
        <v>0</v>
      </c>
      <c r="Q221" s="9">
        <f t="shared" si="98"/>
        <v>-1.1316065276116667</v>
      </c>
      <c r="R221" s="10">
        <f t="shared" si="99"/>
        <v>1.1316065276116667</v>
      </c>
      <c r="S221" s="1">
        <f>SUMIFS(
  '[1]Hoja 1'!$M:$M,
  '[1]Hoja 1'!$S:$S, $A221,
  '[1]Hoja 1'!$R:$R, "&gt;="&amp;INT($U$1),
  '[1]Hoja 1'!$R:$R, "&lt;"&amp;INT($V$1+1)
)</f>
        <v>0</v>
      </c>
      <c r="T221" s="1">
        <f t="shared" si="100"/>
        <v>0</v>
      </c>
      <c r="U221" s="9">
        <f t="shared" si="101"/>
        <v>-1.47</v>
      </c>
      <c r="V221" s="10">
        <f t="shared" si="102"/>
        <v>1.47</v>
      </c>
      <c r="W221" s="1">
        <f>SUMIFS(
  '[1]Hoja 1'!$M:$M,
  '[1]Hoja 1'!$S:$S, $A221,
  '[1]Hoja 1'!$R:$R, "&gt;="&amp;INT($Y$1),
  '[1]Hoja 1'!$R:$R, "&lt;"&amp;INT($Z$1+1)
)</f>
        <v>0</v>
      </c>
      <c r="X221" s="1">
        <f t="shared" si="103"/>
        <v>0</v>
      </c>
      <c r="Y221" s="9">
        <f t="shared" si="104"/>
        <v>-0.87653864717991747</v>
      </c>
      <c r="Z221" s="10">
        <f t="shared" si="105"/>
        <v>0.87653864717991747</v>
      </c>
      <c r="AA221" s="1">
        <f>SUMIFS(
  '[1]Hoja 1'!$M:$M,
  '[1]Hoja 1'!$S:$S, $A221,
  '[1]Hoja 1'!$R:$R, "&gt;="&amp;INT($AC$1),
  '[1]Hoja 1'!$R:$R, "&lt;"&amp;INT($AD$1+1)
)</f>
        <v>0</v>
      </c>
      <c r="AB221" s="1">
        <f t="shared" si="106"/>
        <v>0</v>
      </c>
      <c r="AC221" s="9">
        <f t="shared" si="107"/>
        <v>-0.80016664930917147</v>
      </c>
      <c r="AD221" s="10">
        <f t="shared" si="108"/>
        <v>0.80016664930917147</v>
      </c>
      <c r="AE221" s="1">
        <f>SUMIFS(
  '[1]Hoja 1'!$M:$M,
  '[1]Hoja 1'!$S:$S, $A221,
  '[1]Hoja 1'!$R:$R, "&gt;="&amp;INT($AG$1),
  '[1]Hoja 1'!$R:$R, "&lt;"&amp;INT($AH$1+1)
)</f>
        <v>0</v>
      </c>
      <c r="AF221" s="1">
        <f t="shared" si="109"/>
        <v>0</v>
      </c>
      <c r="AG221" s="9">
        <f t="shared" si="110"/>
        <v>-0.74081036709808545</v>
      </c>
      <c r="AH221" s="10">
        <f t="shared" si="111"/>
        <v>0.74081036709808545</v>
      </c>
      <c r="AI221" s="1">
        <f>SUMIFS(
  '[1]Hoja 1'!$M:$M,
  '[1]Hoja 1'!$S:$S, $A221,
  '[1]Hoja 1'!$R:$R, "&gt;="&amp;INT($AK$1),
  '[1]Hoja 1'!$R:$R, "&lt;"&amp;INT($AJ$1+1)
)</f>
        <v>0</v>
      </c>
      <c r="AJ221" s="1">
        <f t="shared" si="112"/>
        <v>0</v>
      </c>
      <c r="AK221" s="9">
        <f t="shared" si="113"/>
        <v>-0.69296464556281656</v>
      </c>
      <c r="AL221" s="10">
        <f t="shared" si="114"/>
        <v>0.69296464556281656</v>
      </c>
      <c r="AM221" s="1">
        <f>SUMIFS(
  '[1]Hoja 1'!$M:$M,
  '[1]Hoja 1'!$S:$S, $A221,
  '[1]Hoja 1'!$R:$R, "&gt;="&amp;INT($AO$1),
  '[1]Hoja 1'!$R:$R, "&lt;"&amp;INT($AP$1+1)
)</f>
        <v>0</v>
      </c>
      <c r="AN221" s="1">
        <f t="shared" si="115"/>
        <v>0</v>
      </c>
      <c r="AO221" s="9">
        <f t="shared" si="116"/>
        <v>-0.65333333333333332</v>
      </c>
      <c r="AP221" s="10">
        <f t="shared" si="117"/>
        <v>0.65333333333333332</v>
      </c>
      <c r="AQ221" s="1">
        <f>SUMIFS(
  '[1]Hoja 1'!$M:$M,
  '[1]Hoja 1'!$S:$S, $A221,
  '[1]Hoja 1'!$R:$R, "&gt;="&amp;INT($AS$1),
  '[1]Hoja 1'!$R:$R, "&lt;"&amp;INT($AT$1+1)
)</f>
        <v>0</v>
      </c>
      <c r="AR221" s="1">
        <f t="shared" si="118"/>
        <v>0</v>
      </c>
      <c r="AS221" s="9">
        <f t="shared" si="119"/>
        <v>-0.61980642139300235</v>
      </c>
      <c r="AT221" s="10">
        <f t="shared" si="120"/>
        <v>0.61980642139300235</v>
      </c>
      <c r="AU221" s="1">
        <f>SUMIFS(
  '[1]Hoja 1'!$M:$M,
  '[1]Hoja 1'!$S:$S, $A221,
  '[1]Hoja 1'!$R:$R, "&gt;="&amp;INT($AW$1),
  '[1]Hoja 1'!$R:$R, "&lt;"&amp;INT($AX$1+1)
)</f>
        <v>0</v>
      </c>
      <c r="AV221" s="1">
        <f t="shared" si="121"/>
        <v>0</v>
      </c>
      <c r="AW221" s="9">
        <f t="shared" si="122"/>
        <v>-0.59096223537241666</v>
      </c>
      <c r="AX221" s="10">
        <f t="shared" si="123"/>
        <v>0.59096223537241666</v>
      </c>
    </row>
    <row r="222" spans="1:50" x14ac:dyDescent="0.25">
      <c r="A222" s="5">
        <v>271002</v>
      </c>
      <c r="B222" s="6" t="s">
        <v>219</v>
      </c>
      <c r="C222" s="1">
        <f>SUMIFS(
  '[1]Hoja 1'!$M:$M,
  '[1]Hoja 1'!$S:$S, $A222,
  '[1]Hoja 1'!$R:$R, "&gt;="&amp;INT($E$1),
  '[1]Hoja 1'!$R:$R, "&lt;"&amp;INT($F$1+1)
)</f>
        <v>3</v>
      </c>
      <c r="D222" s="1" t="str">
        <f>""</f>
        <v/>
      </c>
      <c r="F222" s="2"/>
      <c r="G222" s="1">
        <f>SUMIFS(
  '[1]Hoja 1'!$M:$M,
  '[1]Hoja 1'!$S:$S, $A222,
  '[1]Hoja 1'!$R:$R, "&gt;="&amp;INT($I$1),
  '[1]Hoja 1'!$R:$R, "&lt;"&amp;INT($J$1+1)
)</f>
        <v>1</v>
      </c>
      <c r="H222" s="1">
        <f t="shared" si="93"/>
        <v>2</v>
      </c>
      <c r="I222" s="1"/>
      <c r="J222" s="2"/>
      <c r="K222" s="1">
        <f>SUMIFS(
  '[1]Hoja 1'!$M:$M,
  '[1]Hoja 1'!$S:$S, $A222,
  '[1]Hoja 1'!$R:$R, "&gt;="&amp;INT($M$1),
  '[1]Hoja 1'!$R:$R, "&lt;"&amp;INT($N$1+1)
)</f>
        <v>0</v>
      </c>
      <c r="L222" s="1">
        <f t="shared" si="94"/>
        <v>0.5</v>
      </c>
      <c r="M222" s="9">
        <f t="shared" si="95"/>
        <v>-0.19296464556281656</v>
      </c>
      <c r="N222" s="10">
        <f t="shared" si="96"/>
        <v>1.1929646455628165</v>
      </c>
      <c r="O222" s="1">
        <f>SUMIFS(
  '[1]Hoja 1'!$M:$M,
  '[1]Hoja 1'!$S:$S, $A222,
  '[1]Hoja 1'!$R:$R, "&gt;="&amp;INT($Q$1),
  '[1]Hoja 1'!$R:$R, "&lt;"&amp;INT($R$1+1)
)</f>
        <v>0</v>
      </c>
      <c r="P222" s="1">
        <f t="shared" si="97"/>
        <v>0</v>
      </c>
      <c r="Q222" s="9">
        <f t="shared" si="98"/>
        <v>-0.98</v>
      </c>
      <c r="R222" s="10">
        <f t="shared" si="99"/>
        <v>0.98</v>
      </c>
      <c r="S222" s="1">
        <f>SUMIFS(
  '[1]Hoja 1'!$M:$M,
  '[1]Hoja 1'!$S:$S, $A222,
  '[1]Hoja 1'!$R:$R, "&gt;="&amp;INT($U$1),
  '[1]Hoja 1'!$R:$R, "&lt;"&amp;INT($V$1+1)
)</f>
        <v>0</v>
      </c>
      <c r="T222" s="1">
        <f t="shared" si="100"/>
        <v>0</v>
      </c>
      <c r="U222" s="9">
        <f t="shared" si="101"/>
        <v>-1.2651745597610895</v>
      </c>
      <c r="V222" s="10">
        <f t="shared" si="102"/>
        <v>1.2651745597610895</v>
      </c>
      <c r="W222" s="1">
        <f>SUMIFS(
  '[1]Hoja 1'!$M:$M,
  '[1]Hoja 1'!$S:$S, $A222,
  '[1]Hoja 1'!$R:$R, "&gt;="&amp;INT($Y$1),
  '[1]Hoja 1'!$R:$R, "&lt;"&amp;INT($Z$1+1)
)</f>
        <v>0</v>
      </c>
      <c r="X222" s="1">
        <f t="shared" si="103"/>
        <v>0</v>
      </c>
      <c r="Y222" s="9">
        <f t="shared" si="104"/>
        <v>-0.87653864717991747</v>
      </c>
      <c r="Z222" s="10">
        <f t="shared" si="105"/>
        <v>0.87653864717991747</v>
      </c>
      <c r="AA222" s="1">
        <f>SUMIFS(
  '[1]Hoja 1'!$M:$M,
  '[1]Hoja 1'!$S:$S, $A222,
  '[1]Hoja 1'!$R:$R, "&gt;="&amp;INT($AC$1),
  '[1]Hoja 1'!$R:$R, "&lt;"&amp;INT($AD$1+1)
)</f>
        <v>0</v>
      </c>
      <c r="AB222" s="1">
        <f t="shared" si="106"/>
        <v>0</v>
      </c>
      <c r="AC222" s="9">
        <f t="shared" si="107"/>
        <v>-0.81992682600339406</v>
      </c>
      <c r="AD222" s="10">
        <f t="shared" si="108"/>
        <v>0.81992682600339406</v>
      </c>
      <c r="AE222" s="1">
        <f>SUMIFS(
  '[1]Hoja 1'!$M:$M,
  '[1]Hoja 1'!$S:$S, $A222,
  '[1]Hoja 1'!$R:$R, "&gt;="&amp;INT($AG$1),
  '[1]Hoja 1'!$R:$R, "&lt;"&amp;INT($AH$1+1)
)</f>
        <v>0</v>
      </c>
      <c r="AF222" s="1">
        <f t="shared" si="109"/>
        <v>0</v>
      </c>
      <c r="AG222" s="9">
        <f t="shared" si="110"/>
        <v>-0.77105987662005437</v>
      </c>
      <c r="AH222" s="10">
        <f t="shared" si="111"/>
        <v>0.77105987662005437</v>
      </c>
      <c r="AI222" s="1">
        <f>SUMIFS(
  '[1]Hoja 1'!$M:$M,
  '[1]Hoja 1'!$S:$S, $A222,
  '[1]Hoja 1'!$R:$R, "&gt;="&amp;INT($AK$1),
  '[1]Hoja 1'!$R:$R, "&lt;"&amp;INT($AJ$1+1)
)</f>
        <v>0</v>
      </c>
      <c r="AJ222" s="1">
        <f t="shared" si="112"/>
        <v>0</v>
      </c>
      <c r="AK222" s="9">
        <f t="shared" si="113"/>
        <v>-0.72914333295998801</v>
      </c>
      <c r="AL222" s="10">
        <f t="shared" si="114"/>
        <v>0.72914333295998801</v>
      </c>
      <c r="AM222" s="1">
        <f>SUMIFS(
  '[1]Hoja 1'!$M:$M,
  '[1]Hoja 1'!$S:$S, $A222,
  '[1]Hoja 1'!$R:$R, "&gt;="&amp;INT($AO$1),
  '[1]Hoja 1'!$R:$R, "&lt;"&amp;INT($AP$1+1)
)</f>
        <v>0</v>
      </c>
      <c r="AN222" s="1">
        <f t="shared" si="115"/>
        <v>0</v>
      </c>
      <c r="AO222" s="9">
        <f t="shared" si="116"/>
        <v>-0.69296464556281656</v>
      </c>
      <c r="AP222" s="10">
        <f t="shared" si="117"/>
        <v>0.69296464556281656</v>
      </c>
      <c r="AQ222" s="1">
        <f>SUMIFS(
  '[1]Hoja 1'!$M:$M,
  '[1]Hoja 1'!$S:$S, $A222,
  '[1]Hoja 1'!$R:$R, "&gt;="&amp;INT($AS$1),
  '[1]Hoja 1'!$R:$R, "&lt;"&amp;INT($AT$1+1)
)</f>
        <v>0</v>
      </c>
      <c r="AR222" s="1">
        <f t="shared" si="118"/>
        <v>0</v>
      </c>
      <c r="AS222" s="9">
        <f t="shared" si="119"/>
        <v>-0.66144958655634178</v>
      </c>
      <c r="AT222" s="10">
        <f t="shared" si="120"/>
        <v>0.66144958655634178</v>
      </c>
      <c r="AU222" s="1">
        <f>SUMIFS(
  '[1]Hoja 1'!$M:$M,
  '[1]Hoja 1'!$S:$S, $A222,
  '[1]Hoja 1'!$R:$R, "&gt;="&amp;INT($AW$1),
  '[1]Hoja 1'!$R:$R, "&lt;"&amp;INT($AX$1+1)
)</f>
        <v>0</v>
      </c>
      <c r="AV222" s="1">
        <f t="shared" si="121"/>
        <v>0</v>
      </c>
      <c r="AW222" s="9">
        <f t="shared" si="122"/>
        <v>-0.63373639486920597</v>
      </c>
      <c r="AX222" s="10">
        <f t="shared" si="123"/>
        <v>0.63373639486920597</v>
      </c>
    </row>
    <row r="223" spans="1:50" x14ac:dyDescent="0.25">
      <c r="A223" s="5">
        <v>276001</v>
      </c>
      <c r="B223" s="6" t="s">
        <v>220</v>
      </c>
      <c r="C223" s="1">
        <f>SUMIFS(
  '[1]Hoja 1'!$M:$M,
  '[1]Hoja 1'!$S:$S, $A223,
  '[1]Hoja 1'!$R:$R, "&gt;="&amp;INT($E$1),
  '[1]Hoja 1'!$R:$R, "&lt;"&amp;INT($F$1+1)
)</f>
        <v>0</v>
      </c>
      <c r="D223" s="1" t="str">
        <f>""</f>
        <v/>
      </c>
      <c r="F223" s="2"/>
      <c r="G223" s="1">
        <f>SUMIFS(
  '[1]Hoja 1'!$M:$M,
  '[1]Hoja 1'!$S:$S, $A223,
  '[1]Hoja 1'!$R:$R, "&gt;="&amp;INT($I$1),
  '[1]Hoja 1'!$R:$R, "&lt;"&amp;INT($J$1+1)
)</f>
        <v>0</v>
      </c>
      <c r="H223" s="1">
        <f t="shared" si="93"/>
        <v>0</v>
      </c>
      <c r="I223" s="1"/>
      <c r="J223" s="2"/>
      <c r="K223" s="1">
        <f>SUMIFS(
  '[1]Hoja 1'!$M:$M,
  '[1]Hoja 1'!$S:$S, $A223,
  '[1]Hoja 1'!$R:$R, "&gt;="&amp;INT($M$1),
  '[1]Hoja 1'!$R:$R, "&lt;"&amp;INT($N$1+1)
)</f>
        <v>0</v>
      </c>
      <c r="L223" s="1">
        <f t="shared" si="94"/>
        <v>0</v>
      </c>
      <c r="M223" s="9">
        <f t="shared" si="95"/>
        <v>0</v>
      </c>
      <c r="N223" s="10">
        <f t="shared" si="96"/>
        <v>0</v>
      </c>
      <c r="O223" s="1">
        <f>SUMIFS(
  '[1]Hoja 1'!$M:$M,
  '[1]Hoja 1'!$S:$S, $A223,
  '[1]Hoja 1'!$R:$R, "&gt;="&amp;INT($Q$1),
  '[1]Hoja 1'!$R:$R, "&lt;"&amp;INT($R$1+1)
)</f>
        <v>0</v>
      </c>
      <c r="P223" s="1">
        <f t="shared" si="97"/>
        <v>0</v>
      </c>
      <c r="Q223" s="9">
        <f t="shared" si="98"/>
        <v>0</v>
      </c>
      <c r="R223" s="10">
        <f t="shared" si="99"/>
        <v>0</v>
      </c>
      <c r="S223" s="1">
        <f>SUMIFS(
  '[1]Hoja 1'!$M:$M,
  '[1]Hoja 1'!$S:$S, $A223,
  '[1]Hoja 1'!$R:$R, "&gt;="&amp;INT($U$1),
  '[1]Hoja 1'!$R:$R, "&lt;"&amp;INT($V$1+1)
)</f>
        <v>0</v>
      </c>
      <c r="T223" s="1">
        <f t="shared" si="100"/>
        <v>0</v>
      </c>
      <c r="U223" s="9">
        <f t="shared" si="101"/>
        <v>-1.47</v>
      </c>
      <c r="V223" s="10">
        <f t="shared" si="102"/>
        <v>1.47</v>
      </c>
      <c r="W223" s="1">
        <f>SUMIFS(
  '[1]Hoja 1'!$M:$M,
  '[1]Hoja 1'!$S:$S, $A223,
  '[1]Hoja 1'!$R:$R, "&gt;="&amp;INT($Y$1),
  '[1]Hoja 1'!$R:$R, "&lt;"&amp;INT($Z$1+1)
)</f>
        <v>0</v>
      </c>
      <c r="X223" s="1">
        <f t="shared" si="103"/>
        <v>0</v>
      </c>
      <c r="Y223" s="9">
        <f t="shared" si="104"/>
        <v>0</v>
      </c>
      <c r="Z223" s="10">
        <f t="shared" si="105"/>
        <v>0</v>
      </c>
      <c r="AA223" s="1">
        <f>SUMIFS(
  '[1]Hoja 1'!$M:$M,
  '[1]Hoja 1'!$S:$S, $A223,
  '[1]Hoja 1'!$R:$R, "&gt;="&amp;INT($AC$1),
  '[1]Hoja 1'!$R:$R, "&lt;"&amp;INT($AD$1+1)
)</f>
        <v>0</v>
      </c>
      <c r="AB223" s="1">
        <f t="shared" si="106"/>
        <v>0</v>
      </c>
      <c r="AC223" s="9">
        <f t="shared" si="107"/>
        <v>0</v>
      </c>
      <c r="AD223" s="10">
        <f t="shared" si="108"/>
        <v>0</v>
      </c>
      <c r="AE223" s="1">
        <f>SUMIFS(
  '[1]Hoja 1'!$M:$M,
  '[1]Hoja 1'!$S:$S, $A223,
  '[1]Hoja 1'!$R:$R, "&gt;="&amp;INT($AG$1),
  '[1]Hoja 1'!$R:$R, "&lt;"&amp;INT($AH$1+1)
)</f>
        <v>0</v>
      </c>
      <c r="AF223" s="1">
        <f t="shared" si="109"/>
        <v>0</v>
      </c>
      <c r="AG223" s="9">
        <f t="shared" si="110"/>
        <v>0</v>
      </c>
      <c r="AH223" s="10">
        <f t="shared" si="111"/>
        <v>0</v>
      </c>
      <c r="AI223" s="1">
        <f>SUMIFS(
  '[1]Hoja 1'!$M:$M,
  '[1]Hoja 1'!$S:$S, $A223,
  '[1]Hoja 1'!$R:$R, "&gt;="&amp;INT($AK$1),
  '[1]Hoja 1'!$R:$R, "&lt;"&amp;INT($AJ$1+1)
)</f>
        <v>0</v>
      </c>
      <c r="AJ223" s="1">
        <f t="shared" si="112"/>
        <v>0</v>
      </c>
      <c r="AK223" s="9">
        <f t="shared" si="113"/>
        <v>0</v>
      </c>
      <c r="AL223" s="10">
        <f t="shared" si="114"/>
        <v>0</v>
      </c>
      <c r="AM223" s="1">
        <f>SUMIFS(
  '[1]Hoja 1'!$M:$M,
  '[1]Hoja 1'!$S:$S, $A223,
  '[1]Hoja 1'!$R:$R, "&gt;="&amp;INT($AO$1),
  '[1]Hoja 1'!$R:$R, "&lt;"&amp;INT($AP$1+1)
)</f>
        <v>0</v>
      </c>
      <c r="AN223" s="1">
        <f t="shared" si="115"/>
        <v>0</v>
      </c>
      <c r="AO223" s="9">
        <f t="shared" si="116"/>
        <v>0</v>
      </c>
      <c r="AP223" s="10">
        <f t="shared" si="117"/>
        <v>0</v>
      </c>
      <c r="AQ223" s="1">
        <f>SUMIFS(
  '[1]Hoja 1'!$M:$M,
  '[1]Hoja 1'!$S:$S, $A223,
  '[1]Hoja 1'!$R:$R, "&gt;="&amp;INT($AS$1),
  '[1]Hoja 1'!$R:$R, "&lt;"&amp;INT($AT$1+1)
)</f>
        <v>0</v>
      </c>
      <c r="AR223" s="1">
        <f t="shared" si="118"/>
        <v>0</v>
      </c>
      <c r="AS223" s="9">
        <f t="shared" si="119"/>
        <v>0</v>
      </c>
      <c r="AT223" s="10">
        <f t="shared" si="120"/>
        <v>0</v>
      </c>
      <c r="AU223" s="1">
        <f>SUMIFS(
  '[1]Hoja 1'!$M:$M,
  '[1]Hoja 1'!$S:$S, $A223,
  '[1]Hoja 1'!$R:$R, "&gt;="&amp;INT($AW$1),
  '[1]Hoja 1'!$R:$R, "&lt;"&amp;INT($AX$1+1)
)</f>
        <v>0</v>
      </c>
      <c r="AV223" s="1">
        <f t="shared" si="121"/>
        <v>0</v>
      </c>
      <c r="AW223" s="9">
        <f t="shared" si="122"/>
        <v>0</v>
      </c>
      <c r="AX223" s="10">
        <f t="shared" si="123"/>
        <v>0</v>
      </c>
    </row>
    <row r="224" spans="1:50" x14ac:dyDescent="0.25">
      <c r="A224" s="5">
        <v>301001</v>
      </c>
      <c r="B224" s="6" t="s">
        <v>221</v>
      </c>
      <c r="C224" s="1">
        <f>SUMIFS(
  '[1]Hoja 1'!$M:$M,
  '[1]Hoja 1'!$S:$S, $A224,
  '[1]Hoja 1'!$R:$R, "&gt;="&amp;INT($E$1),
  '[1]Hoja 1'!$R:$R, "&lt;"&amp;INT($F$1+1)
)</f>
        <v>0</v>
      </c>
      <c r="D224" s="1" t="str">
        <f>""</f>
        <v/>
      </c>
      <c r="F224" s="2"/>
      <c r="G224" s="1">
        <f>SUMIFS(
  '[1]Hoja 1'!$M:$M,
  '[1]Hoja 1'!$S:$S, $A224,
  '[1]Hoja 1'!$R:$R, "&gt;="&amp;INT($I$1),
  '[1]Hoja 1'!$R:$R, "&lt;"&amp;INT($J$1+1)
)</f>
        <v>0</v>
      </c>
      <c r="H224" s="1">
        <f t="shared" si="93"/>
        <v>0</v>
      </c>
      <c r="I224" s="1"/>
      <c r="J224" s="2"/>
      <c r="K224" s="1">
        <f>SUMIFS(
  '[1]Hoja 1'!$M:$M,
  '[1]Hoja 1'!$S:$S, $A224,
  '[1]Hoja 1'!$R:$R, "&gt;="&amp;INT($M$1),
  '[1]Hoja 1'!$R:$R, "&lt;"&amp;INT($N$1+1)
)</f>
        <v>0</v>
      </c>
      <c r="L224" s="1">
        <f t="shared" si="94"/>
        <v>0</v>
      </c>
      <c r="M224" s="9">
        <f t="shared" si="95"/>
        <v>0</v>
      </c>
      <c r="N224" s="10">
        <f t="shared" si="96"/>
        <v>0</v>
      </c>
      <c r="O224" s="1">
        <f>SUMIFS(
  '[1]Hoja 1'!$M:$M,
  '[1]Hoja 1'!$S:$S, $A224,
  '[1]Hoja 1'!$R:$R, "&gt;="&amp;INT($Q$1),
  '[1]Hoja 1'!$R:$R, "&lt;"&amp;INT($R$1+1)
)</f>
        <v>0</v>
      </c>
      <c r="P224" s="1">
        <f t="shared" si="97"/>
        <v>0</v>
      </c>
      <c r="Q224" s="9">
        <f t="shared" si="98"/>
        <v>0</v>
      </c>
      <c r="R224" s="10">
        <f t="shared" si="99"/>
        <v>0</v>
      </c>
      <c r="S224" s="1">
        <f>SUMIFS(
  '[1]Hoja 1'!$M:$M,
  '[1]Hoja 1'!$S:$S, $A224,
  '[1]Hoja 1'!$R:$R, "&gt;="&amp;INT($U$1),
  '[1]Hoja 1'!$R:$R, "&lt;"&amp;INT($V$1+1)
)</f>
        <v>0</v>
      </c>
      <c r="T224" s="1">
        <f t="shared" si="100"/>
        <v>0</v>
      </c>
      <c r="U224" s="9">
        <f t="shared" si="101"/>
        <v>-1.47</v>
      </c>
      <c r="V224" s="10">
        <f t="shared" si="102"/>
        <v>1.47</v>
      </c>
      <c r="W224" s="1">
        <f>SUMIFS(
  '[1]Hoja 1'!$M:$M,
  '[1]Hoja 1'!$S:$S, $A224,
  '[1]Hoja 1'!$R:$R, "&gt;="&amp;INT($Y$1),
  '[1]Hoja 1'!$R:$R, "&lt;"&amp;INT($Z$1+1)
)</f>
        <v>0</v>
      </c>
      <c r="X224" s="1">
        <f t="shared" si="103"/>
        <v>0</v>
      </c>
      <c r="Y224" s="9">
        <f t="shared" si="104"/>
        <v>0</v>
      </c>
      <c r="Z224" s="10">
        <f t="shared" si="105"/>
        <v>0</v>
      </c>
      <c r="AA224" s="1">
        <f>SUMIFS(
  '[1]Hoja 1'!$M:$M,
  '[1]Hoja 1'!$S:$S, $A224,
  '[1]Hoja 1'!$R:$R, "&gt;="&amp;INT($AC$1),
  '[1]Hoja 1'!$R:$R, "&lt;"&amp;INT($AD$1+1)
)</f>
        <v>0</v>
      </c>
      <c r="AB224" s="1">
        <f t="shared" si="106"/>
        <v>0</v>
      </c>
      <c r="AC224" s="9">
        <f t="shared" si="107"/>
        <v>0</v>
      </c>
      <c r="AD224" s="10">
        <f t="shared" si="108"/>
        <v>0</v>
      </c>
      <c r="AE224" s="1">
        <f>SUMIFS(
  '[1]Hoja 1'!$M:$M,
  '[1]Hoja 1'!$S:$S, $A224,
  '[1]Hoja 1'!$R:$R, "&gt;="&amp;INT($AG$1),
  '[1]Hoja 1'!$R:$R, "&lt;"&amp;INT($AH$1+1)
)</f>
        <v>0</v>
      </c>
      <c r="AF224" s="1">
        <f t="shared" si="109"/>
        <v>0</v>
      </c>
      <c r="AG224" s="9">
        <f t="shared" si="110"/>
        <v>0</v>
      </c>
      <c r="AH224" s="10">
        <f t="shared" si="111"/>
        <v>0</v>
      </c>
      <c r="AI224" s="1">
        <f>SUMIFS(
  '[1]Hoja 1'!$M:$M,
  '[1]Hoja 1'!$S:$S, $A224,
  '[1]Hoja 1'!$R:$R, "&gt;="&amp;INT($AK$1),
  '[1]Hoja 1'!$R:$R, "&lt;"&amp;INT($AJ$1+1)
)</f>
        <v>0</v>
      </c>
      <c r="AJ224" s="1">
        <f t="shared" si="112"/>
        <v>0</v>
      </c>
      <c r="AK224" s="9">
        <f t="shared" si="113"/>
        <v>0</v>
      </c>
      <c r="AL224" s="10">
        <f t="shared" si="114"/>
        <v>0</v>
      </c>
      <c r="AM224" s="1">
        <f>SUMIFS(
  '[1]Hoja 1'!$M:$M,
  '[1]Hoja 1'!$S:$S, $A224,
  '[1]Hoja 1'!$R:$R, "&gt;="&amp;INT($AO$1),
  '[1]Hoja 1'!$R:$R, "&lt;"&amp;INT($AP$1+1)
)</f>
        <v>0</v>
      </c>
      <c r="AN224" s="1">
        <f t="shared" si="115"/>
        <v>0</v>
      </c>
      <c r="AO224" s="9">
        <f t="shared" si="116"/>
        <v>0</v>
      </c>
      <c r="AP224" s="10">
        <f t="shared" si="117"/>
        <v>0</v>
      </c>
      <c r="AQ224" s="1">
        <f>SUMIFS(
  '[1]Hoja 1'!$M:$M,
  '[1]Hoja 1'!$S:$S, $A224,
  '[1]Hoja 1'!$R:$R, "&gt;="&amp;INT($AS$1),
  '[1]Hoja 1'!$R:$R, "&lt;"&amp;INT($AT$1+1)
)</f>
        <v>0</v>
      </c>
      <c r="AR224" s="1">
        <f t="shared" si="118"/>
        <v>0</v>
      </c>
      <c r="AS224" s="9">
        <f t="shared" si="119"/>
        <v>0</v>
      </c>
      <c r="AT224" s="10">
        <f t="shared" si="120"/>
        <v>0</v>
      </c>
      <c r="AU224" s="1">
        <f>SUMIFS(
  '[1]Hoja 1'!$M:$M,
  '[1]Hoja 1'!$S:$S, $A224,
  '[1]Hoja 1'!$R:$R, "&gt;="&amp;INT($AW$1),
  '[1]Hoja 1'!$R:$R, "&lt;"&amp;INT($AX$1+1)
)</f>
        <v>0</v>
      </c>
      <c r="AV224" s="1">
        <f t="shared" si="121"/>
        <v>0</v>
      </c>
      <c r="AW224" s="9">
        <f t="shared" si="122"/>
        <v>0</v>
      </c>
      <c r="AX224" s="10">
        <f t="shared" si="123"/>
        <v>0</v>
      </c>
    </row>
    <row r="225" spans="1:50" x14ac:dyDescent="0.25">
      <c r="A225" s="5">
        <v>312001</v>
      </c>
      <c r="B225" s="6" t="s">
        <v>222</v>
      </c>
      <c r="C225" s="1">
        <f>SUMIFS(
  '[1]Hoja 1'!$M:$M,
  '[1]Hoja 1'!$S:$S, $A225,
  '[1]Hoja 1'!$R:$R, "&gt;="&amp;INT($E$1),
  '[1]Hoja 1'!$R:$R, "&lt;"&amp;INT($F$1+1)
)</f>
        <v>0</v>
      </c>
      <c r="D225" s="1" t="str">
        <f>""</f>
        <v/>
      </c>
      <c r="F225" s="2"/>
      <c r="G225" s="1">
        <f>SUMIFS(
  '[1]Hoja 1'!$M:$M,
  '[1]Hoja 1'!$S:$S, $A225,
  '[1]Hoja 1'!$R:$R, "&gt;="&amp;INT($I$1),
  '[1]Hoja 1'!$R:$R, "&lt;"&amp;INT($J$1+1)
)</f>
        <v>0</v>
      </c>
      <c r="H225" s="1">
        <f t="shared" si="93"/>
        <v>0</v>
      </c>
      <c r="I225" s="1"/>
      <c r="J225" s="2"/>
      <c r="K225" s="1">
        <f>SUMIFS(
  '[1]Hoja 1'!$M:$M,
  '[1]Hoja 1'!$S:$S, $A225,
  '[1]Hoja 1'!$R:$R, "&gt;="&amp;INT($M$1),
  '[1]Hoja 1'!$R:$R, "&lt;"&amp;INT($N$1+1)
)</f>
        <v>0</v>
      </c>
      <c r="L225" s="1">
        <f t="shared" si="94"/>
        <v>0</v>
      </c>
      <c r="M225" s="9">
        <f t="shared" si="95"/>
        <v>0</v>
      </c>
      <c r="N225" s="10">
        <f t="shared" si="96"/>
        <v>0</v>
      </c>
      <c r="O225" s="1">
        <f>SUMIFS(
  '[1]Hoja 1'!$M:$M,
  '[1]Hoja 1'!$S:$S, $A225,
  '[1]Hoja 1'!$R:$R, "&gt;="&amp;INT($Q$1),
  '[1]Hoja 1'!$R:$R, "&lt;"&amp;INT($R$1+1)
)</f>
        <v>0</v>
      </c>
      <c r="P225" s="1">
        <f t="shared" si="97"/>
        <v>0</v>
      </c>
      <c r="Q225" s="9">
        <f t="shared" si="98"/>
        <v>0</v>
      </c>
      <c r="R225" s="10">
        <f t="shared" si="99"/>
        <v>0</v>
      </c>
      <c r="S225" s="1">
        <f>SUMIFS(
  '[1]Hoja 1'!$M:$M,
  '[1]Hoja 1'!$S:$S, $A225,
  '[1]Hoja 1'!$R:$R, "&gt;="&amp;INT($U$1),
  '[1]Hoja 1'!$R:$R, "&lt;"&amp;INT($V$1+1)
)</f>
        <v>0</v>
      </c>
      <c r="T225" s="1">
        <f t="shared" si="100"/>
        <v>0</v>
      </c>
      <c r="U225" s="9">
        <f t="shared" si="101"/>
        <v>-1.47</v>
      </c>
      <c r="V225" s="10">
        <f t="shared" si="102"/>
        <v>1.47</v>
      </c>
      <c r="W225" s="1">
        <f>SUMIFS(
  '[1]Hoja 1'!$M:$M,
  '[1]Hoja 1'!$S:$S, $A225,
  '[1]Hoja 1'!$R:$R, "&gt;="&amp;INT($Y$1),
  '[1]Hoja 1'!$R:$R, "&lt;"&amp;INT($Z$1+1)
)</f>
        <v>0</v>
      </c>
      <c r="X225" s="1">
        <f t="shared" si="103"/>
        <v>0</v>
      </c>
      <c r="Y225" s="9">
        <f t="shared" si="104"/>
        <v>0</v>
      </c>
      <c r="Z225" s="10">
        <f t="shared" si="105"/>
        <v>0</v>
      </c>
      <c r="AA225" s="1">
        <f>SUMIFS(
  '[1]Hoja 1'!$M:$M,
  '[1]Hoja 1'!$S:$S, $A225,
  '[1]Hoja 1'!$R:$R, "&gt;="&amp;INT($AC$1),
  '[1]Hoja 1'!$R:$R, "&lt;"&amp;INT($AD$1+1)
)</f>
        <v>0</v>
      </c>
      <c r="AB225" s="1">
        <f t="shared" si="106"/>
        <v>0</v>
      </c>
      <c r="AC225" s="9">
        <f t="shared" si="107"/>
        <v>0</v>
      </c>
      <c r="AD225" s="10">
        <f t="shared" si="108"/>
        <v>0</v>
      </c>
      <c r="AE225" s="1">
        <f>SUMIFS(
  '[1]Hoja 1'!$M:$M,
  '[1]Hoja 1'!$S:$S, $A225,
  '[1]Hoja 1'!$R:$R, "&gt;="&amp;INT($AG$1),
  '[1]Hoja 1'!$R:$R, "&lt;"&amp;INT($AH$1+1)
)</f>
        <v>0</v>
      </c>
      <c r="AF225" s="1">
        <f t="shared" si="109"/>
        <v>0</v>
      </c>
      <c r="AG225" s="9">
        <f t="shared" si="110"/>
        <v>0</v>
      </c>
      <c r="AH225" s="10">
        <f t="shared" si="111"/>
        <v>0</v>
      </c>
      <c r="AI225" s="1">
        <f>SUMIFS(
  '[1]Hoja 1'!$M:$M,
  '[1]Hoja 1'!$S:$S, $A225,
  '[1]Hoja 1'!$R:$R, "&gt;="&amp;INT($AK$1),
  '[1]Hoja 1'!$R:$R, "&lt;"&amp;INT($AJ$1+1)
)</f>
        <v>0</v>
      </c>
      <c r="AJ225" s="1">
        <f t="shared" si="112"/>
        <v>0</v>
      </c>
      <c r="AK225" s="9">
        <f t="shared" si="113"/>
        <v>0</v>
      </c>
      <c r="AL225" s="10">
        <f t="shared" si="114"/>
        <v>0</v>
      </c>
      <c r="AM225" s="1">
        <f>SUMIFS(
  '[1]Hoja 1'!$M:$M,
  '[1]Hoja 1'!$S:$S, $A225,
  '[1]Hoja 1'!$R:$R, "&gt;="&amp;INT($AO$1),
  '[1]Hoja 1'!$R:$R, "&lt;"&amp;INT($AP$1+1)
)</f>
        <v>0</v>
      </c>
      <c r="AN225" s="1">
        <f t="shared" si="115"/>
        <v>0</v>
      </c>
      <c r="AO225" s="9">
        <f t="shared" si="116"/>
        <v>0</v>
      </c>
      <c r="AP225" s="10">
        <f t="shared" si="117"/>
        <v>0</v>
      </c>
      <c r="AQ225" s="1">
        <f>SUMIFS(
  '[1]Hoja 1'!$M:$M,
  '[1]Hoja 1'!$S:$S, $A225,
  '[1]Hoja 1'!$R:$R, "&gt;="&amp;INT($AS$1),
  '[1]Hoja 1'!$R:$R, "&lt;"&amp;INT($AT$1+1)
)</f>
        <v>0</v>
      </c>
      <c r="AR225" s="1">
        <f t="shared" si="118"/>
        <v>0</v>
      </c>
      <c r="AS225" s="9">
        <f t="shared" si="119"/>
        <v>0</v>
      </c>
      <c r="AT225" s="10">
        <f t="shared" si="120"/>
        <v>0</v>
      </c>
      <c r="AU225" s="1">
        <f>SUMIFS(
  '[1]Hoja 1'!$M:$M,
  '[1]Hoja 1'!$S:$S, $A225,
  '[1]Hoja 1'!$R:$R, "&gt;="&amp;INT($AW$1),
  '[1]Hoja 1'!$R:$R, "&lt;"&amp;INT($AX$1+1)
)</f>
        <v>0</v>
      </c>
      <c r="AV225" s="1">
        <f t="shared" si="121"/>
        <v>0</v>
      </c>
      <c r="AW225" s="9">
        <f t="shared" si="122"/>
        <v>0</v>
      </c>
      <c r="AX225" s="10">
        <f t="shared" si="123"/>
        <v>0</v>
      </c>
    </row>
    <row r="226" spans="1:50" x14ac:dyDescent="0.25">
      <c r="A226" s="5">
        <v>313001</v>
      </c>
      <c r="B226" s="6" t="s">
        <v>223</v>
      </c>
      <c r="C226" s="1">
        <f>SUMIFS(
  '[1]Hoja 1'!$M:$M,
  '[1]Hoja 1'!$S:$S, $A226,
  '[1]Hoja 1'!$R:$R, "&gt;="&amp;INT($E$1),
  '[1]Hoja 1'!$R:$R, "&lt;"&amp;INT($F$1+1)
)</f>
        <v>0</v>
      </c>
      <c r="D226" s="1" t="str">
        <f>""</f>
        <v/>
      </c>
      <c r="F226" s="2"/>
      <c r="G226" s="1">
        <f>SUMIFS(
  '[1]Hoja 1'!$M:$M,
  '[1]Hoja 1'!$S:$S, $A226,
  '[1]Hoja 1'!$R:$R, "&gt;="&amp;INT($I$1),
  '[1]Hoja 1'!$R:$R, "&lt;"&amp;INT($J$1+1)
)</f>
        <v>0</v>
      </c>
      <c r="H226" s="1">
        <f t="shared" si="93"/>
        <v>0</v>
      </c>
      <c r="I226" s="1"/>
      <c r="J226" s="2"/>
      <c r="K226" s="1">
        <f>SUMIFS(
  '[1]Hoja 1'!$M:$M,
  '[1]Hoja 1'!$S:$S, $A226,
  '[1]Hoja 1'!$R:$R, "&gt;="&amp;INT($M$1),
  '[1]Hoja 1'!$R:$R, "&lt;"&amp;INT($N$1+1)
)</f>
        <v>0</v>
      </c>
      <c r="L226" s="1">
        <f t="shared" si="94"/>
        <v>0</v>
      </c>
      <c r="M226" s="9">
        <f t="shared" si="95"/>
        <v>0</v>
      </c>
      <c r="N226" s="10">
        <f t="shared" si="96"/>
        <v>0</v>
      </c>
      <c r="O226" s="1">
        <f>SUMIFS(
  '[1]Hoja 1'!$M:$M,
  '[1]Hoja 1'!$S:$S, $A226,
  '[1]Hoja 1'!$R:$R, "&gt;="&amp;INT($Q$1),
  '[1]Hoja 1'!$R:$R, "&lt;"&amp;INT($R$1+1)
)</f>
        <v>0</v>
      </c>
      <c r="P226" s="1">
        <f t="shared" si="97"/>
        <v>0</v>
      </c>
      <c r="Q226" s="9">
        <f t="shared" si="98"/>
        <v>0</v>
      </c>
      <c r="R226" s="10">
        <f t="shared" si="99"/>
        <v>0</v>
      </c>
      <c r="S226" s="1">
        <f>SUMIFS(
  '[1]Hoja 1'!$M:$M,
  '[1]Hoja 1'!$S:$S, $A226,
  '[1]Hoja 1'!$R:$R, "&gt;="&amp;INT($U$1),
  '[1]Hoja 1'!$R:$R, "&lt;"&amp;INT($V$1+1)
)</f>
        <v>0</v>
      </c>
      <c r="T226" s="1">
        <f t="shared" si="100"/>
        <v>0</v>
      </c>
      <c r="U226" s="9">
        <f t="shared" si="101"/>
        <v>-1.47</v>
      </c>
      <c r="V226" s="10">
        <f t="shared" si="102"/>
        <v>1.47</v>
      </c>
      <c r="W226" s="1">
        <f>SUMIFS(
  '[1]Hoja 1'!$M:$M,
  '[1]Hoja 1'!$S:$S, $A226,
  '[1]Hoja 1'!$R:$R, "&gt;="&amp;INT($Y$1),
  '[1]Hoja 1'!$R:$R, "&lt;"&amp;INT($Z$1+1)
)</f>
        <v>0</v>
      </c>
      <c r="X226" s="1">
        <f t="shared" si="103"/>
        <v>0</v>
      </c>
      <c r="Y226" s="9">
        <f t="shared" si="104"/>
        <v>0</v>
      </c>
      <c r="Z226" s="10">
        <f t="shared" si="105"/>
        <v>0</v>
      </c>
      <c r="AA226" s="1">
        <f>SUMIFS(
  '[1]Hoja 1'!$M:$M,
  '[1]Hoja 1'!$S:$S, $A226,
  '[1]Hoja 1'!$R:$R, "&gt;="&amp;INT($AC$1),
  '[1]Hoja 1'!$R:$R, "&lt;"&amp;INT($AD$1+1)
)</f>
        <v>0</v>
      </c>
      <c r="AB226" s="1">
        <f t="shared" si="106"/>
        <v>0</v>
      </c>
      <c r="AC226" s="9">
        <f t="shared" si="107"/>
        <v>0</v>
      </c>
      <c r="AD226" s="10">
        <f t="shared" si="108"/>
        <v>0</v>
      </c>
      <c r="AE226" s="1">
        <f>SUMIFS(
  '[1]Hoja 1'!$M:$M,
  '[1]Hoja 1'!$S:$S, $A226,
  '[1]Hoja 1'!$R:$R, "&gt;="&amp;INT($AG$1),
  '[1]Hoja 1'!$R:$R, "&lt;"&amp;INT($AH$1+1)
)</f>
        <v>0</v>
      </c>
      <c r="AF226" s="1">
        <f t="shared" si="109"/>
        <v>0</v>
      </c>
      <c r="AG226" s="9">
        <f t="shared" si="110"/>
        <v>0</v>
      </c>
      <c r="AH226" s="10">
        <f t="shared" si="111"/>
        <v>0</v>
      </c>
      <c r="AI226" s="1">
        <f>SUMIFS(
  '[1]Hoja 1'!$M:$M,
  '[1]Hoja 1'!$S:$S, $A226,
  '[1]Hoja 1'!$R:$R, "&gt;="&amp;INT($AK$1),
  '[1]Hoja 1'!$R:$R, "&lt;"&amp;INT($AJ$1+1)
)</f>
        <v>0</v>
      </c>
      <c r="AJ226" s="1">
        <f t="shared" si="112"/>
        <v>0</v>
      </c>
      <c r="AK226" s="9">
        <f t="shared" si="113"/>
        <v>0</v>
      </c>
      <c r="AL226" s="10">
        <f t="shared" si="114"/>
        <v>0</v>
      </c>
      <c r="AM226" s="1">
        <f>SUMIFS(
  '[1]Hoja 1'!$M:$M,
  '[1]Hoja 1'!$S:$S, $A226,
  '[1]Hoja 1'!$R:$R, "&gt;="&amp;INT($AO$1),
  '[1]Hoja 1'!$R:$R, "&lt;"&amp;INT($AP$1+1)
)</f>
        <v>0</v>
      </c>
      <c r="AN226" s="1">
        <f t="shared" si="115"/>
        <v>0</v>
      </c>
      <c r="AO226" s="9">
        <f t="shared" si="116"/>
        <v>0</v>
      </c>
      <c r="AP226" s="10">
        <f t="shared" si="117"/>
        <v>0</v>
      </c>
      <c r="AQ226" s="1">
        <f>SUMIFS(
  '[1]Hoja 1'!$M:$M,
  '[1]Hoja 1'!$S:$S, $A226,
  '[1]Hoja 1'!$R:$R, "&gt;="&amp;INT($AS$1),
  '[1]Hoja 1'!$R:$R, "&lt;"&amp;INT($AT$1+1)
)</f>
        <v>0</v>
      </c>
      <c r="AR226" s="1">
        <f t="shared" si="118"/>
        <v>0</v>
      </c>
      <c r="AS226" s="9">
        <f t="shared" si="119"/>
        <v>0</v>
      </c>
      <c r="AT226" s="10">
        <f t="shared" si="120"/>
        <v>0</v>
      </c>
      <c r="AU226" s="1">
        <f>SUMIFS(
  '[1]Hoja 1'!$M:$M,
  '[1]Hoja 1'!$S:$S, $A226,
  '[1]Hoja 1'!$R:$R, "&gt;="&amp;INT($AW$1),
  '[1]Hoja 1'!$R:$R, "&lt;"&amp;INT($AX$1+1)
)</f>
        <v>0</v>
      </c>
      <c r="AV226" s="1">
        <f t="shared" si="121"/>
        <v>0</v>
      </c>
      <c r="AW226" s="9">
        <f t="shared" si="122"/>
        <v>0</v>
      </c>
      <c r="AX226" s="10">
        <f t="shared" si="123"/>
        <v>0</v>
      </c>
    </row>
    <row r="227" spans="1:50" x14ac:dyDescent="0.25">
      <c r="A227" s="5">
        <v>323001</v>
      </c>
      <c r="B227" s="6" t="s">
        <v>224</v>
      </c>
      <c r="C227" s="1">
        <f>SUMIFS(
  '[1]Hoja 1'!$M:$M,
  '[1]Hoja 1'!$S:$S, $A227,
  '[1]Hoja 1'!$R:$R, "&gt;="&amp;INT($E$1),
  '[1]Hoja 1'!$R:$R, "&lt;"&amp;INT($F$1+1)
)</f>
        <v>0</v>
      </c>
      <c r="D227" s="1" t="str">
        <f>""</f>
        <v/>
      </c>
      <c r="F227" s="2"/>
      <c r="G227" s="1">
        <f>SUMIFS(
  '[1]Hoja 1'!$M:$M,
  '[1]Hoja 1'!$S:$S, $A227,
  '[1]Hoja 1'!$R:$R, "&gt;="&amp;INT($I$1),
  '[1]Hoja 1'!$R:$R, "&lt;"&amp;INT($J$1+1)
)</f>
        <v>0</v>
      </c>
      <c r="H227" s="1">
        <f t="shared" si="93"/>
        <v>0</v>
      </c>
      <c r="I227" s="1"/>
      <c r="J227" s="2"/>
      <c r="K227" s="1">
        <f>SUMIFS(
  '[1]Hoja 1'!$M:$M,
  '[1]Hoja 1'!$S:$S, $A227,
  '[1]Hoja 1'!$R:$R, "&gt;="&amp;INT($M$1),
  '[1]Hoja 1'!$R:$R, "&lt;"&amp;INT($N$1+1)
)</f>
        <v>0</v>
      </c>
      <c r="L227" s="1">
        <f t="shared" si="94"/>
        <v>0</v>
      </c>
      <c r="M227" s="9">
        <f t="shared" si="95"/>
        <v>0</v>
      </c>
      <c r="N227" s="10">
        <f t="shared" si="96"/>
        <v>0</v>
      </c>
      <c r="O227" s="1">
        <f>SUMIFS(
  '[1]Hoja 1'!$M:$M,
  '[1]Hoja 1'!$S:$S, $A227,
  '[1]Hoja 1'!$R:$R, "&gt;="&amp;INT($Q$1),
  '[1]Hoja 1'!$R:$R, "&lt;"&amp;INT($R$1+1)
)</f>
        <v>0</v>
      </c>
      <c r="P227" s="1">
        <f t="shared" si="97"/>
        <v>0</v>
      </c>
      <c r="Q227" s="9">
        <f t="shared" si="98"/>
        <v>0</v>
      </c>
      <c r="R227" s="10">
        <f t="shared" si="99"/>
        <v>0</v>
      </c>
      <c r="S227" s="1">
        <f>SUMIFS(
  '[1]Hoja 1'!$M:$M,
  '[1]Hoja 1'!$S:$S, $A227,
  '[1]Hoja 1'!$R:$R, "&gt;="&amp;INT($U$1),
  '[1]Hoja 1'!$R:$R, "&lt;"&amp;INT($V$1+1)
)</f>
        <v>0</v>
      </c>
      <c r="T227" s="1">
        <f t="shared" si="100"/>
        <v>0</v>
      </c>
      <c r="U227" s="9">
        <f t="shared" si="101"/>
        <v>-1.47</v>
      </c>
      <c r="V227" s="10">
        <f t="shared" si="102"/>
        <v>1.47</v>
      </c>
      <c r="W227" s="1">
        <f>SUMIFS(
  '[1]Hoja 1'!$M:$M,
  '[1]Hoja 1'!$S:$S, $A227,
  '[1]Hoja 1'!$R:$R, "&gt;="&amp;INT($Y$1),
  '[1]Hoja 1'!$R:$R, "&lt;"&amp;INT($Z$1+1)
)</f>
        <v>0</v>
      </c>
      <c r="X227" s="1">
        <f t="shared" si="103"/>
        <v>0</v>
      </c>
      <c r="Y227" s="9">
        <f t="shared" si="104"/>
        <v>0</v>
      </c>
      <c r="Z227" s="10">
        <f t="shared" si="105"/>
        <v>0</v>
      </c>
      <c r="AA227" s="1">
        <f>SUMIFS(
  '[1]Hoja 1'!$M:$M,
  '[1]Hoja 1'!$S:$S, $A227,
  '[1]Hoja 1'!$R:$R, "&gt;="&amp;INT($AC$1),
  '[1]Hoja 1'!$R:$R, "&lt;"&amp;INT($AD$1+1)
)</f>
        <v>0</v>
      </c>
      <c r="AB227" s="1">
        <f t="shared" si="106"/>
        <v>0</v>
      </c>
      <c r="AC227" s="9">
        <f t="shared" si="107"/>
        <v>0</v>
      </c>
      <c r="AD227" s="10">
        <f t="shared" si="108"/>
        <v>0</v>
      </c>
      <c r="AE227" s="1">
        <f>SUMIFS(
  '[1]Hoja 1'!$M:$M,
  '[1]Hoja 1'!$S:$S, $A227,
  '[1]Hoja 1'!$R:$R, "&gt;="&amp;INT($AG$1),
  '[1]Hoja 1'!$R:$R, "&lt;"&amp;INT($AH$1+1)
)</f>
        <v>0</v>
      </c>
      <c r="AF227" s="1">
        <f t="shared" si="109"/>
        <v>0</v>
      </c>
      <c r="AG227" s="9">
        <f t="shared" si="110"/>
        <v>0</v>
      </c>
      <c r="AH227" s="10">
        <f t="shared" si="111"/>
        <v>0</v>
      </c>
      <c r="AI227" s="1">
        <f>SUMIFS(
  '[1]Hoja 1'!$M:$M,
  '[1]Hoja 1'!$S:$S, $A227,
  '[1]Hoja 1'!$R:$R, "&gt;="&amp;INT($AK$1),
  '[1]Hoja 1'!$R:$R, "&lt;"&amp;INT($AJ$1+1)
)</f>
        <v>0</v>
      </c>
      <c r="AJ227" s="1">
        <f t="shared" si="112"/>
        <v>0</v>
      </c>
      <c r="AK227" s="9">
        <f t="shared" si="113"/>
        <v>0</v>
      </c>
      <c r="AL227" s="10">
        <f t="shared" si="114"/>
        <v>0</v>
      </c>
      <c r="AM227" s="1">
        <f>SUMIFS(
  '[1]Hoja 1'!$M:$M,
  '[1]Hoja 1'!$S:$S, $A227,
  '[1]Hoja 1'!$R:$R, "&gt;="&amp;INT($AO$1),
  '[1]Hoja 1'!$R:$R, "&lt;"&amp;INT($AP$1+1)
)</f>
        <v>0</v>
      </c>
      <c r="AN227" s="1">
        <f t="shared" si="115"/>
        <v>0</v>
      </c>
      <c r="AO227" s="9">
        <f t="shared" si="116"/>
        <v>0</v>
      </c>
      <c r="AP227" s="10">
        <f t="shared" si="117"/>
        <v>0</v>
      </c>
      <c r="AQ227" s="1">
        <f>SUMIFS(
  '[1]Hoja 1'!$M:$M,
  '[1]Hoja 1'!$S:$S, $A227,
  '[1]Hoja 1'!$R:$R, "&gt;="&amp;INT($AS$1),
  '[1]Hoja 1'!$R:$R, "&lt;"&amp;INT($AT$1+1)
)</f>
        <v>0</v>
      </c>
      <c r="AR227" s="1">
        <f t="shared" si="118"/>
        <v>0</v>
      </c>
      <c r="AS227" s="9">
        <f t="shared" si="119"/>
        <v>0</v>
      </c>
      <c r="AT227" s="10">
        <f t="shared" si="120"/>
        <v>0</v>
      </c>
      <c r="AU227" s="1">
        <f>SUMIFS(
  '[1]Hoja 1'!$M:$M,
  '[1]Hoja 1'!$S:$S, $A227,
  '[1]Hoja 1'!$R:$R, "&gt;="&amp;INT($AW$1),
  '[1]Hoja 1'!$R:$R, "&lt;"&amp;INT($AX$1+1)
)</f>
        <v>0</v>
      </c>
      <c r="AV227" s="1">
        <f t="shared" si="121"/>
        <v>0</v>
      </c>
      <c r="AW227" s="9">
        <f t="shared" si="122"/>
        <v>0</v>
      </c>
      <c r="AX227" s="10">
        <f t="shared" si="123"/>
        <v>0</v>
      </c>
    </row>
    <row r="228" spans="1:50" x14ac:dyDescent="0.25">
      <c r="A228" s="5">
        <v>328001</v>
      </c>
      <c r="B228" s="6" t="s">
        <v>225</v>
      </c>
      <c r="C228" s="1">
        <f>SUMIFS(
  '[1]Hoja 1'!$M:$M,
  '[1]Hoja 1'!$S:$S, $A228,
  '[1]Hoja 1'!$R:$R, "&gt;="&amp;INT($E$1),
  '[1]Hoja 1'!$R:$R, "&lt;"&amp;INT($F$1+1)
)</f>
        <v>0</v>
      </c>
      <c r="D228" s="1" t="str">
        <f>""</f>
        <v/>
      </c>
      <c r="F228" s="2"/>
      <c r="G228" s="1">
        <f>SUMIFS(
  '[1]Hoja 1'!$M:$M,
  '[1]Hoja 1'!$S:$S, $A228,
  '[1]Hoja 1'!$R:$R, "&gt;="&amp;INT($I$1),
  '[1]Hoja 1'!$R:$R, "&lt;"&amp;INT($J$1+1)
)</f>
        <v>0</v>
      </c>
      <c r="H228" s="1">
        <f t="shared" si="93"/>
        <v>0</v>
      </c>
      <c r="I228" s="1"/>
      <c r="J228" s="2"/>
      <c r="K228" s="1">
        <f>SUMIFS(
  '[1]Hoja 1'!$M:$M,
  '[1]Hoja 1'!$S:$S, $A228,
  '[1]Hoja 1'!$R:$R, "&gt;="&amp;INT($M$1),
  '[1]Hoja 1'!$R:$R, "&lt;"&amp;INT($N$1+1)
)</f>
        <v>0</v>
      </c>
      <c r="L228" s="1">
        <f t="shared" si="94"/>
        <v>0</v>
      </c>
      <c r="M228" s="9">
        <f t="shared" si="95"/>
        <v>0</v>
      </c>
      <c r="N228" s="10">
        <f t="shared" si="96"/>
        <v>0</v>
      </c>
      <c r="O228" s="1">
        <f>SUMIFS(
  '[1]Hoja 1'!$M:$M,
  '[1]Hoja 1'!$S:$S, $A228,
  '[1]Hoja 1'!$R:$R, "&gt;="&amp;INT($Q$1),
  '[1]Hoja 1'!$R:$R, "&lt;"&amp;INT($R$1+1)
)</f>
        <v>0</v>
      </c>
      <c r="P228" s="1">
        <f t="shared" si="97"/>
        <v>0</v>
      </c>
      <c r="Q228" s="9">
        <f t="shared" si="98"/>
        <v>0</v>
      </c>
      <c r="R228" s="10">
        <f t="shared" si="99"/>
        <v>0</v>
      </c>
      <c r="S228" s="1">
        <f>SUMIFS(
  '[1]Hoja 1'!$M:$M,
  '[1]Hoja 1'!$S:$S, $A228,
  '[1]Hoja 1'!$R:$R, "&gt;="&amp;INT($U$1),
  '[1]Hoja 1'!$R:$R, "&lt;"&amp;INT($V$1+1)
)</f>
        <v>0</v>
      </c>
      <c r="T228" s="1">
        <f t="shared" si="100"/>
        <v>0</v>
      </c>
      <c r="U228" s="9">
        <f t="shared" si="101"/>
        <v>-1.47</v>
      </c>
      <c r="V228" s="10">
        <f t="shared" si="102"/>
        <v>1.47</v>
      </c>
      <c r="W228" s="1">
        <f>SUMIFS(
  '[1]Hoja 1'!$M:$M,
  '[1]Hoja 1'!$S:$S, $A228,
  '[1]Hoja 1'!$R:$R, "&gt;="&amp;INT($Y$1),
  '[1]Hoja 1'!$R:$R, "&lt;"&amp;INT($Z$1+1)
)</f>
        <v>0</v>
      </c>
      <c r="X228" s="1">
        <f t="shared" si="103"/>
        <v>0</v>
      </c>
      <c r="Y228" s="9">
        <f t="shared" si="104"/>
        <v>0</v>
      </c>
      <c r="Z228" s="10">
        <f t="shared" si="105"/>
        <v>0</v>
      </c>
      <c r="AA228" s="1">
        <f>SUMIFS(
  '[1]Hoja 1'!$M:$M,
  '[1]Hoja 1'!$S:$S, $A228,
  '[1]Hoja 1'!$R:$R, "&gt;="&amp;INT($AC$1),
  '[1]Hoja 1'!$R:$R, "&lt;"&amp;INT($AD$1+1)
)</f>
        <v>0</v>
      </c>
      <c r="AB228" s="1">
        <f t="shared" si="106"/>
        <v>0</v>
      </c>
      <c r="AC228" s="9">
        <f t="shared" si="107"/>
        <v>0</v>
      </c>
      <c r="AD228" s="10">
        <f t="shared" si="108"/>
        <v>0</v>
      </c>
      <c r="AE228" s="1">
        <f>SUMIFS(
  '[1]Hoja 1'!$M:$M,
  '[1]Hoja 1'!$S:$S, $A228,
  '[1]Hoja 1'!$R:$R, "&gt;="&amp;INT($AG$1),
  '[1]Hoja 1'!$R:$R, "&lt;"&amp;INT($AH$1+1)
)</f>
        <v>0</v>
      </c>
      <c r="AF228" s="1">
        <f t="shared" si="109"/>
        <v>0</v>
      </c>
      <c r="AG228" s="9">
        <f t="shared" si="110"/>
        <v>0</v>
      </c>
      <c r="AH228" s="10">
        <f t="shared" si="111"/>
        <v>0</v>
      </c>
      <c r="AI228" s="1">
        <f>SUMIFS(
  '[1]Hoja 1'!$M:$M,
  '[1]Hoja 1'!$S:$S, $A228,
  '[1]Hoja 1'!$R:$R, "&gt;="&amp;INT($AK$1),
  '[1]Hoja 1'!$R:$R, "&lt;"&amp;INT($AJ$1+1)
)</f>
        <v>0</v>
      </c>
      <c r="AJ228" s="1">
        <f t="shared" si="112"/>
        <v>0</v>
      </c>
      <c r="AK228" s="9">
        <f t="shared" si="113"/>
        <v>0</v>
      </c>
      <c r="AL228" s="10">
        <f t="shared" si="114"/>
        <v>0</v>
      </c>
      <c r="AM228" s="1">
        <f>SUMIFS(
  '[1]Hoja 1'!$M:$M,
  '[1]Hoja 1'!$S:$S, $A228,
  '[1]Hoja 1'!$R:$R, "&gt;="&amp;INT($AO$1),
  '[1]Hoja 1'!$R:$R, "&lt;"&amp;INT($AP$1+1)
)</f>
        <v>0</v>
      </c>
      <c r="AN228" s="1">
        <f t="shared" si="115"/>
        <v>0</v>
      </c>
      <c r="AO228" s="9">
        <f t="shared" si="116"/>
        <v>0</v>
      </c>
      <c r="AP228" s="10">
        <f t="shared" si="117"/>
        <v>0</v>
      </c>
      <c r="AQ228" s="1">
        <f>SUMIFS(
  '[1]Hoja 1'!$M:$M,
  '[1]Hoja 1'!$S:$S, $A228,
  '[1]Hoja 1'!$R:$R, "&gt;="&amp;INT($AS$1),
  '[1]Hoja 1'!$R:$R, "&lt;"&amp;INT($AT$1+1)
)</f>
        <v>0</v>
      </c>
      <c r="AR228" s="1">
        <f t="shared" si="118"/>
        <v>0</v>
      </c>
      <c r="AS228" s="9">
        <f t="shared" si="119"/>
        <v>0</v>
      </c>
      <c r="AT228" s="10">
        <f t="shared" si="120"/>
        <v>0</v>
      </c>
      <c r="AU228" s="1">
        <f>SUMIFS(
  '[1]Hoja 1'!$M:$M,
  '[1]Hoja 1'!$S:$S, $A228,
  '[1]Hoja 1'!$R:$R, "&gt;="&amp;INT($AW$1),
  '[1]Hoja 1'!$R:$R, "&lt;"&amp;INT($AX$1+1)
)</f>
        <v>0</v>
      </c>
      <c r="AV228" s="1">
        <f t="shared" si="121"/>
        <v>0</v>
      </c>
      <c r="AW228" s="9">
        <f t="shared" si="122"/>
        <v>0</v>
      </c>
      <c r="AX228" s="10">
        <f t="shared" si="123"/>
        <v>0</v>
      </c>
    </row>
    <row r="229" spans="1:50" x14ac:dyDescent="0.25">
      <c r="A229" s="5">
        <v>341001</v>
      </c>
      <c r="B229" s="13" t="s">
        <v>226</v>
      </c>
      <c r="C229" s="1">
        <f>SUMIFS(
  '[1]Hoja 1'!$M:$M,
  '[1]Hoja 1'!$S:$S, $A229,
  '[1]Hoja 1'!$R:$R, "&gt;="&amp;INT($E$1),
  '[1]Hoja 1'!$R:$R, "&lt;"&amp;INT($F$1+1)
)</f>
        <v>2</v>
      </c>
      <c r="D229" s="1" t="str">
        <f>""</f>
        <v/>
      </c>
      <c r="F229" s="2"/>
      <c r="G229" s="1">
        <f>SUMIFS(
  '[1]Hoja 1'!$M:$M,
  '[1]Hoja 1'!$S:$S, $A229,
  '[1]Hoja 1'!$R:$R, "&gt;="&amp;INT($I$1),
  '[1]Hoja 1'!$R:$R, "&lt;"&amp;INT($J$1+1)
)</f>
        <v>0</v>
      </c>
      <c r="H229" s="1">
        <f t="shared" si="93"/>
        <v>1</v>
      </c>
      <c r="I229" s="1"/>
      <c r="J229" s="2"/>
      <c r="K229" s="1">
        <f>SUMIFS(
  '[1]Hoja 1'!$M:$M,
  '[1]Hoja 1'!$S:$S, $A229,
  '[1]Hoja 1'!$R:$R, "&gt;="&amp;INT($M$1),
  '[1]Hoja 1'!$R:$R, "&lt;"&amp;INT($N$1+1)
)</f>
        <v>0</v>
      </c>
      <c r="L229" s="1">
        <f t="shared" si="94"/>
        <v>0</v>
      </c>
      <c r="M229" s="9">
        <f t="shared" si="95"/>
        <v>-1.3859292911256331</v>
      </c>
      <c r="N229" s="10">
        <f t="shared" si="96"/>
        <v>1.3859292911256331</v>
      </c>
      <c r="O229" s="1">
        <f>SUMIFS(
  '[1]Hoja 1'!$M:$M,
  '[1]Hoja 1'!$S:$S, $A229,
  '[1]Hoja 1'!$R:$R, "&gt;="&amp;INT($Q$1),
  '[1]Hoja 1'!$R:$R, "&lt;"&amp;INT($R$1+1)
)</f>
        <v>0</v>
      </c>
      <c r="P229" s="1">
        <f t="shared" si="97"/>
        <v>0</v>
      </c>
      <c r="Q229" s="9">
        <f t="shared" si="98"/>
        <v>-1.1316065276116667</v>
      </c>
      <c r="R229" s="10">
        <f t="shared" si="99"/>
        <v>1.1316065276116667</v>
      </c>
      <c r="S229" s="1">
        <f>SUMIFS(
  '[1]Hoja 1'!$M:$M,
  '[1]Hoja 1'!$S:$S, $A229,
  '[1]Hoja 1'!$R:$R, "&gt;="&amp;INT($U$1),
  '[1]Hoja 1'!$R:$R, "&lt;"&amp;INT($V$1+1)
)</f>
        <v>0</v>
      </c>
      <c r="T229" s="1">
        <f t="shared" si="100"/>
        <v>0</v>
      </c>
      <c r="U229" s="9">
        <f t="shared" si="101"/>
        <v>-1.47</v>
      </c>
      <c r="V229" s="10">
        <f t="shared" si="102"/>
        <v>1.47</v>
      </c>
      <c r="W229" s="1">
        <f>SUMIFS(
  '[1]Hoja 1'!$M:$M,
  '[1]Hoja 1'!$S:$S, $A229,
  '[1]Hoja 1'!$R:$R, "&gt;="&amp;INT($Y$1),
  '[1]Hoja 1'!$R:$R, "&lt;"&amp;INT($Z$1+1)
)</f>
        <v>0</v>
      </c>
      <c r="X229" s="1">
        <f t="shared" si="103"/>
        <v>0</v>
      </c>
      <c r="Y229" s="9">
        <f t="shared" si="104"/>
        <v>-0.87653864717991747</v>
      </c>
      <c r="Z229" s="10">
        <f t="shared" si="105"/>
        <v>0.87653864717991747</v>
      </c>
      <c r="AA229" s="1">
        <f>SUMIFS(
  '[1]Hoja 1'!$M:$M,
  '[1]Hoja 1'!$S:$S, $A229,
  '[1]Hoja 1'!$R:$R, "&gt;="&amp;INT($AC$1),
  '[1]Hoja 1'!$R:$R, "&lt;"&amp;INT($AD$1+1)
)</f>
        <v>0</v>
      </c>
      <c r="AB229" s="1">
        <f t="shared" si="106"/>
        <v>0</v>
      </c>
      <c r="AC229" s="9">
        <f t="shared" si="107"/>
        <v>-0.80016664930917147</v>
      </c>
      <c r="AD229" s="10">
        <f t="shared" si="108"/>
        <v>0.80016664930917147</v>
      </c>
      <c r="AE229" s="1">
        <f>SUMIFS(
  '[1]Hoja 1'!$M:$M,
  '[1]Hoja 1'!$S:$S, $A229,
  '[1]Hoja 1'!$R:$R, "&gt;="&amp;INT($AG$1),
  '[1]Hoja 1'!$R:$R, "&lt;"&amp;INT($AH$1+1)
)</f>
        <v>0</v>
      </c>
      <c r="AF229" s="1">
        <f t="shared" si="109"/>
        <v>0</v>
      </c>
      <c r="AG229" s="9">
        <f t="shared" si="110"/>
        <v>-0.74081036709808545</v>
      </c>
      <c r="AH229" s="10">
        <f t="shared" si="111"/>
        <v>0.74081036709808545</v>
      </c>
      <c r="AI229" s="1">
        <f>SUMIFS(
  '[1]Hoja 1'!$M:$M,
  '[1]Hoja 1'!$S:$S, $A229,
  '[1]Hoja 1'!$R:$R, "&gt;="&amp;INT($AK$1),
  '[1]Hoja 1'!$R:$R, "&lt;"&amp;INT($AJ$1+1)
)</f>
        <v>0</v>
      </c>
      <c r="AJ229" s="1">
        <f t="shared" si="112"/>
        <v>0</v>
      </c>
      <c r="AK229" s="9">
        <f t="shared" si="113"/>
        <v>-0.69296464556281656</v>
      </c>
      <c r="AL229" s="10">
        <f t="shared" si="114"/>
        <v>0.69296464556281656</v>
      </c>
      <c r="AM229" s="1">
        <f>SUMIFS(
  '[1]Hoja 1'!$M:$M,
  '[1]Hoja 1'!$S:$S, $A229,
  '[1]Hoja 1'!$R:$R, "&gt;="&amp;INT($AO$1),
  '[1]Hoja 1'!$R:$R, "&lt;"&amp;INT($AP$1+1)
)</f>
        <v>0</v>
      </c>
      <c r="AN229" s="1">
        <f t="shared" si="115"/>
        <v>0</v>
      </c>
      <c r="AO229" s="9">
        <f t="shared" si="116"/>
        <v>-0.65333333333333332</v>
      </c>
      <c r="AP229" s="10">
        <f t="shared" si="117"/>
        <v>0.65333333333333332</v>
      </c>
      <c r="AQ229" s="1">
        <f>SUMIFS(
  '[1]Hoja 1'!$M:$M,
  '[1]Hoja 1'!$S:$S, $A229,
  '[1]Hoja 1'!$R:$R, "&gt;="&amp;INT($AS$1),
  '[1]Hoja 1'!$R:$R, "&lt;"&amp;INT($AT$1+1)
)</f>
        <v>0</v>
      </c>
      <c r="AR229" s="1">
        <f t="shared" si="118"/>
        <v>0</v>
      </c>
      <c r="AS229" s="9">
        <f t="shared" si="119"/>
        <v>-0.61980642139300235</v>
      </c>
      <c r="AT229" s="10">
        <f t="shared" si="120"/>
        <v>0.61980642139300235</v>
      </c>
      <c r="AU229" s="1">
        <f>SUMIFS(
  '[1]Hoja 1'!$M:$M,
  '[1]Hoja 1'!$S:$S, $A229,
  '[1]Hoja 1'!$R:$R, "&gt;="&amp;INT($AW$1),
  '[1]Hoja 1'!$R:$R, "&lt;"&amp;INT($AX$1+1)
)</f>
        <v>0</v>
      </c>
      <c r="AV229" s="1">
        <f t="shared" si="121"/>
        <v>0</v>
      </c>
      <c r="AW229" s="9">
        <f t="shared" si="122"/>
        <v>-0.59096223537241666</v>
      </c>
      <c r="AX229" s="10">
        <f t="shared" si="123"/>
        <v>0.59096223537241666</v>
      </c>
    </row>
    <row r="230" spans="1:50" x14ac:dyDescent="0.25">
      <c r="A230" s="5">
        <v>241001</v>
      </c>
      <c r="B230" s="6" t="s">
        <v>250</v>
      </c>
      <c r="C230" s="1">
        <f>SUMIFS(
  '[1]Hoja 1'!$M:$M,
  '[1]Hoja 1'!$S:$S, $A230,
  '[1]Hoja 1'!$R:$R, "&gt;="&amp;INT($E$1),
  '[1]Hoja 1'!$R:$R, "&lt;"&amp;INT($F$1+1)
)</f>
        <v>190</v>
      </c>
      <c r="D230" s="1"/>
      <c r="F230" s="2"/>
      <c r="G230" s="1">
        <f>SUMIFS(
  '[1]Hoja 1'!$M:$M,
  '[1]Hoja 1'!$S:$S, $A230,
  '[1]Hoja 1'!$R:$R, "&gt;="&amp;INT($I$1),
  '[1]Hoja 1'!$R:$R, "&lt;"&amp;INT($J$1+1)
)</f>
        <v>229</v>
      </c>
      <c r="H230" s="1">
        <f t="shared" si="93"/>
        <v>210</v>
      </c>
      <c r="I230" s="1"/>
      <c r="J230" s="2"/>
      <c r="K230" s="1">
        <f>SUMIFS(
  '[1]Hoja 1'!$M:$M,
  '[1]Hoja 1'!$S:$S, $A230,
  '[1]Hoja 1'!$R:$R, "&gt;="&amp;INT($M$1),
  '[1]Hoja 1'!$R:$R, "&lt;"&amp;INT($N$1+1)
)</f>
        <v>0</v>
      </c>
      <c r="L230" s="1">
        <f t="shared" si="94"/>
        <v>114.5</v>
      </c>
      <c r="M230" s="9">
        <f t="shared" si="95"/>
        <v>-71.214525010834848</v>
      </c>
      <c r="N230" s="10">
        <f t="shared" si="96"/>
        <v>300.21452501083485</v>
      </c>
      <c r="O230" s="1">
        <f>SUMIFS(
  '[1]Hoja 1'!$M:$M,
  '[1]Hoja 1'!$S:$S, $A230,
  '[1]Hoja 1'!$R:$R, "&gt;="&amp;INT($Q$1),
  '[1]Hoja 1'!$R:$R, "&lt;"&amp;INT($R$1+1)
)</f>
        <v>0</v>
      </c>
      <c r="P230" s="1">
        <f t="shared" si="97"/>
        <v>0</v>
      </c>
      <c r="Q230" s="9">
        <f t="shared" si="98"/>
        <v>-141.89484040419981</v>
      </c>
      <c r="R230" s="10">
        <f t="shared" si="99"/>
        <v>141.89484040419981</v>
      </c>
      <c r="S230" s="1">
        <f>SUMIFS(
  '[1]Hoja 1'!$M:$M,
  '[1]Hoja 1'!$S:$S, $A230,
  '[1]Hoja 1'!$R:$R, "&gt;="&amp;INT($U$1),
  '[1]Hoja 1'!$R:$R, "&lt;"&amp;INT($V$1+1)
)</f>
        <v>0</v>
      </c>
      <c r="T230" s="1">
        <f t="shared" si="100"/>
        <v>0</v>
      </c>
      <c r="U230" s="9">
        <f t="shared" si="101"/>
        <v>-119.5690365437474</v>
      </c>
      <c r="V230" s="10">
        <f t="shared" si="102"/>
        <v>119.5690365437474</v>
      </c>
      <c r="W230" s="1">
        <f>SUMIFS(
  '[1]Hoja 1'!$M:$M,
  '[1]Hoja 1'!$S:$S, $A230,
  '[1]Hoja 1'!$R:$R, "&gt;="&amp;INT($Y$1),
  '[1]Hoja 1'!$R:$R, "&lt;"&amp;INT($Z$1+1)
)</f>
        <v>0</v>
      </c>
      <c r="X230" s="1">
        <f t="shared" si="103"/>
        <v>0</v>
      </c>
      <c r="Y230" s="9">
        <f t="shared" si="104"/>
        <v>-105.93750138643067</v>
      </c>
      <c r="Z230" s="10">
        <f t="shared" si="105"/>
        <v>105.93750138643067</v>
      </c>
      <c r="AA230" s="1">
        <f>SUMIFS(
  '[1]Hoja 1'!$M:$M,
  '[1]Hoja 1'!$S:$S, $A230,
  '[1]Hoja 1'!$R:$R, "&gt;="&amp;INT($AC$1),
  '[1]Hoja 1'!$R:$R, "&lt;"&amp;INT($AD$1+1)
)</f>
        <v>0</v>
      </c>
      <c r="AB230" s="1">
        <f t="shared" si="106"/>
        <v>0</v>
      </c>
      <c r="AC230" s="9">
        <f t="shared" si="107"/>
        <v>-95.965304285802517</v>
      </c>
      <c r="AD230" s="10">
        <f t="shared" si="108"/>
        <v>95.965304285802517</v>
      </c>
      <c r="AE230" s="1">
        <f>SUMIFS(
  '[1]Hoja 1'!$M:$M,
  '[1]Hoja 1'!$S:$S, $A230,
  '[1]Hoja 1'!$R:$R, "&gt;="&amp;INT($AG$1),
  '[1]Hoja 1'!$R:$R, "&lt;"&amp;INT($AH$1+1)
)</f>
        <v>0</v>
      </c>
      <c r="AF230" s="1">
        <f t="shared" si="109"/>
        <v>0</v>
      </c>
      <c r="AG230" s="9">
        <f t="shared" si="110"/>
        <v>-88.385693412452227</v>
      </c>
      <c r="AH230" s="10">
        <f t="shared" si="111"/>
        <v>88.385693412452227</v>
      </c>
      <c r="AI230" s="1">
        <f>SUMIFS(
  '[1]Hoja 1'!$M:$M,
  '[1]Hoja 1'!$S:$S, $A230,
  '[1]Hoja 1'!$R:$R, "&gt;="&amp;INT($AK$1),
  '[1]Hoja 1'!$R:$R, "&lt;"&amp;INT($AJ$1+1)
)</f>
        <v>0</v>
      </c>
      <c r="AJ230" s="1">
        <f t="shared" si="112"/>
        <v>0</v>
      </c>
      <c r="AK230" s="9">
        <f t="shared" si="113"/>
        <v>-82.367902729157791</v>
      </c>
      <c r="AL230" s="10">
        <f t="shared" si="114"/>
        <v>82.367902729157791</v>
      </c>
      <c r="AM230" s="1">
        <f>SUMIFS(
  '[1]Hoja 1'!$M:$M,
  '[1]Hoja 1'!$S:$S, $A230,
  '[1]Hoja 1'!$R:$R, "&gt;="&amp;INT($AO$1),
  '[1]Hoja 1'!$R:$R, "&lt;"&amp;INT($AP$1+1)
)</f>
        <v>0</v>
      </c>
      <c r="AN230" s="1">
        <f t="shared" si="115"/>
        <v>0</v>
      </c>
      <c r="AO230" s="9">
        <f t="shared" si="116"/>
        <v>-77.4377440987992</v>
      </c>
      <c r="AP230" s="10">
        <f t="shared" si="117"/>
        <v>77.4377440987992</v>
      </c>
      <c r="AQ230" s="1">
        <f>SUMIFS(
  '[1]Hoja 1'!$M:$M,
  '[1]Hoja 1'!$S:$S, $A230,
  '[1]Hoja 1'!$R:$R, "&gt;="&amp;INT($AS$1),
  '[1]Hoja 1'!$R:$R, "&lt;"&amp;INT($AT$1+1)
)</f>
        <v>0</v>
      </c>
      <c r="AR230" s="1">
        <f t="shared" si="118"/>
        <v>0</v>
      </c>
      <c r="AS230" s="9">
        <f t="shared" si="119"/>
        <v>-73.301554326403377</v>
      </c>
      <c r="AT230" s="10">
        <f t="shared" si="120"/>
        <v>73.301554326403377</v>
      </c>
      <c r="AU230" s="1">
        <f>SUMIFS(
  '[1]Hoja 1'!$M:$M,
  '[1]Hoja 1'!$S:$S, $A230,
  '[1]Hoja 1'!$R:$R, "&gt;="&amp;INT($AW$1),
  '[1]Hoja 1'!$R:$R, "&lt;"&amp;INT($AX$1+1)
)</f>
        <v>0</v>
      </c>
      <c r="AV230" s="1">
        <f t="shared" si="121"/>
        <v>0</v>
      </c>
      <c r="AW230" s="9">
        <f t="shared" si="122"/>
        <v>-69.766214329130548</v>
      </c>
      <c r="AX230" s="10">
        <f t="shared" si="123"/>
        <v>69.766214329130548</v>
      </c>
    </row>
    <row r="231" spans="1:50" x14ac:dyDescent="0.25">
      <c r="A231" s="5">
        <v>261006</v>
      </c>
      <c r="B231" s="6" t="s">
        <v>251</v>
      </c>
      <c r="C231" s="1">
        <f>SUMIFS(
  '[1]Hoja 1'!$M:$M,
  '[1]Hoja 1'!$S:$S, $A231,
  '[1]Hoja 1'!$R:$R, "&gt;="&amp;INT($E$1),
  '[1]Hoja 1'!$R:$R, "&lt;"&amp;INT($F$1+1)
)</f>
        <v>0</v>
      </c>
      <c r="D231" s="1"/>
      <c r="F231" s="2"/>
      <c r="G231" s="1">
        <f>SUMIFS(
  '[1]Hoja 1'!$M:$M,
  '[1]Hoja 1'!$S:$S, $A231,
  '[1]Hoja 1'!$R:$R, "&gt;="&amp;INT($I$1),
  '[1]Hoja 1'!$R:$R, "&lt;"&amp;INT($J$1+1)
)</f>
        <v>40</v>
      </c>
      <c r="H231" s="1">
        <f t="shared" si="93"/>
        <v>20</v>
      </c>
      <c r="I231" s="1"/>
      <c r="J231" s="2"/>
      <c r="K231" s="1">
        <f>SUMIFS(
  '[1]Hoja 1'!$M:$M,
  '[1]Hoja 1'!$S:$S, $A231,
  '[1]Hoja 1'!$R:$R, "&gt;="&amp;INT($M$1),
  '[1]Hoja 1'!$R:$R, "&lt;"&amp;INT($N$1+1)
)</f>
        <v>0</v>
      </c>
      <c r="L231" s="1">
        <f t="shared" si="94"/>
        <v>20</v>
      </c>
      <c r="M231" s="9">
        <f t="shared" si="95"/>
        <v>-35.43717164502533</v>
      </c>
      <c r="N231" s="10">
        <f t="shared" si="96"/>
        <v>75.43717164502533</v>
      </c>
      <c r="O231" s="1">
        <f>SUMIFS(
  '[1]Hoja 1'!$M:$M,
  '[1]Hoja 1'!$S:$S, $A231,
  '[1]Hoja 1'!$R:$R, "&gt;="&amp;INT($Q$1),
  '[1]Hoja 1'!$R:$R, "&lt;"&amp;INT($R$1+1)
)</f>
        <v>0</v>
      </c>
      <c r="P231" s="1">
        <f t="shared" si="97"/>
        <v>0</v>
      </c>
      <c r="Q231" s="9">
        <f t="shared" si="98"/>
        <v>-39.200000000000003</v>
      </c>
      <c r="R231" s="10">
        <f t="shared" si="99"/>
        <v>39.200000000000003</v>
      </c>
      <c r="S231" s="1">
        <f>SUMIFS(
  '[1]Hoja 1'!$M:$M,
  '[1]Hoja 1'!$S:$S, $A231,
  '[1]Hoja 1'!$R:$R, "&gt;="&amp;INT($U$1),
  '[1]Hoja 1'!$R:$R, "&lt;"&amp;INT($V$1+1)
)</f>
        <v>0</v>
      </c>
      <c r="T231" s="1">
        <f t="shared" si="100"/>
        <v>0</v>
      </c>
      <c r="U231" s="9">
        <f t="shared" si="101"/>
        <v>-32.040405220075897</v>
      </c>
      <c r="V231" s="10">
        <f t="shared" si="102"/>
        <v>32.040405220075897</v>
      </c>
      <c r="W231" s="1">
        <f>SUMIFS(
  '[1]Hoja 1'!$M:$M,
  '[1]Hoja 1'!$S:$S, $A231,
  '[1]Hoja 1'!$R:$R, "&gt;="&amp;INT($Y$1),
  '[1]Hoja 1'!$R:$R, "&lt;"&amp;INT($Z$1+1)
)</f>
        <v>0</v>
      </c>
      <c r="X231" s="1">
        <f t="shared" si="103"/>
        <v>0</v>
      </c>
      <c r="Y231" s="9">
        <f t="shared" si="104"/>
        <v>-27.718585822512665</v>
      </c>
      <c r="Z231" s="10">
        <f t="shared" si="105"/>
        <v>27.718585822512665</v>
      </c>
      <c r="AA231" s="1">
        <f>SUMIFS(
  '[1]Hoja 1'!$M:$M,
  '[1]Hoja 1'!$S:$S, $A231,
  '[1]Hoja 1'!$R:$R, "&gt;="&amp;INT($AC$1),
  '[1]Hoja 1'!$R:$R, "&lt;"&amp;INT($AD$1+1)
)</f>
        <v>0</v>
      </c>
      <c r="AB231" s="1">
        <f t="shared" si="106"/>
        <v>0</v>
      </c>
      <c r="AC231" s="9">
        <f t="shared" si="107"/>
        <v>-24.792256855720094</v>
      </c>
      <c r="AD231" s="10">
        <f t="shared" si="108"/>
        <v>24.792256855720094</v>
      </c>
      <c r="AE231" s="1">
        <f>SUMIFS(
  '[1]Hoja 1'!$M:$M,
  '[1]Hoja 1'!$S:$S, $A231,
  '[1]Hoja 1'!$R:$R, "&gt;="&amp;INT($AG$1),
  '[1]Hoja 1'!$R:$R, "&lt;"&amp;INT($AH$1+1)
)</f>
        <v>0</v>
      </c>
      <c r="AF231" s="1">
        <f t="shared" si="109"/>
        <v>0</v>
      </c>
      <c r="AG231" s="9">
        <f t="shared" si="110"/>
        <v>-22.632130552233331</v>
      </c>
      <c r="AH231" s="10">
        <f t="shared" si="111"/>
        <v>22.632130552233331</v>
      </c>
      <c r="AI231" s="1">
        <f>SUMIFS(
  '[1]Hoja 1'!$M:$M,
  '[1]Hoja 1'!$S:$S, $A231,
  '[1]Hoja 1'!$R:$R, "&gt;="&amp;INT($AK$1),
  '[1]Hoja 1'!$R:$R, "&lt;"&amp;INT($AJ$1+1)
)</f>
        <v>0</v>
      </c>
      <c r="AJ231" s="1">
        <f t="shared" si="112"/>
        <v>0</v>
      </c>
      <c r="AK231" s="9">
        <f t="shared" si="113"/>
        <v>-20.953281365934071</v>
      </c>
      <c r="AL231" s="10">
        <f t="shared" si="114"/>
        <v>20.953281365934071</v>
      </c>
      <c r="AM231" s="1">
        <f>SUMIFS(
  '[1]Hoja 1'!$M:$M,
  '[1]Hoja 1'!$S:$S, $A231,
  '[1]Hoja 1'!$R:$R, "&gt;="&amp;INT($AO$1),
  '[1]Hoja 1'!$R:$R, "&lt;"&amp;INT($AP$1+1)
)</f>
        <v>0</v>
      </c>
      <c r="AN231" s="1">
        <f t="shared" si="115"/>
        <v>0</v>
      </c>
      <c r="AO231" s="9">
        <f t="shared" si="116"/>
        <v>-19.600000000000001</v>
      </c>
      <c r="AP231" s="10">
        <f t="shared" si="117"/>
        <v>19.600000000000001</v>
      </c>
      <c r="AQ231" s="1">
        <f>SUMIFS(
  '[1]Hoja 1'!$M:$M,
  '[1]Hoja 1'!$S:$S, $A231,
  '[1]Hoja 1'!$R:$R, "&gt;="&amp;INT($AS$1),
  '[1]Hoja 1'!$R:$R, "&lt;"&amp;INT($AT$1+1)
)</f>
        <v>0</v>
      </c>
      <c r="AR231" s="1">
        <f t="shared" si="118"/>
        <v>0</v>
      </c>
      <c r="AS231" s="9">
        <f t="shared" si="119"/>
        <v>-18.479057215008442</v>
      </c>
      <c r="AT231" s="10">
        <f t="shared" si="120"/>
        <v>18.479057215008442</v>
      </c>
      <c r="AU231" s="1">
        <f>SUMIFS(
  '[1]Hoja 1'!$M:$M,
  '[1]Hoja 1'!$S:$S, $A231,
  '[1]Hoja 1'!$R:$R, "&gt;="&amp;INT($AW$1),
  '[1]Hoja 1'!$R:$R, "&lt;"&amp;INT($AX$1+1)
)</f>
        <v>0</v>
      </c>
      <c r="AV231" s="1">
        <f t="shared" si="121"/>
        <v>0</v>
      </c>
      <c r="AW231" s="9">
        <f t="shared" si="122"/>
        <v>-17.53077294359835</v>
      </c>
      <c r="AX231" s="10">
        <f t="shared" si="123"/>
        <v>17.53077294359835</v>
      </c>
    </row>
    <row r="232" spans="1:50" x14ac:dyDescent="0.25">
      <c r="A232" s="5">
        <v>210009</v>
      </c>
      <c r="B232" s="6" t="s">
        <v>253</v>
      </c>
      <c r="C232" s="1">
        <f>SUMIFS(
  '[1]Hoja 1'!$M:$M,
  '[1]Hoja 1'!$S:$S, $A232,
  '[1]Hoja 1'!$R:$R, "&gt;="&amp;INT($E$1),
  '[1]Hoja 1'!$R:$R, "&lt;"&amp;INT($F$1+1)
)</f>
        <v>0</v>
      </c>
      <c r="D232" s="1"/>
      <c r="F232" s="2"/>
      <c r="G232" s="1">
        <f>SUMIFS(
  '[1]Hoja 1'!$M:$M,
  '[1]Hoja 1'!$S:$S, $A232,
  '[1]Hoja 1'!$R:$R, "&gt;="&amp;INT($I$1),
  '[1]Hoja 1'!$R:$R, "&lt;"&amp;INT($J$1+1)
)</f>
        <v>11</v>
      </c>
      <c r="H232" s="1">
        <f t="shared" si="93"/>
        <v>6</v>
      </c>
      <c r="I232" s="1"/>
      <c r="J232" s="2"/>
      <c r="K232" s="1">
        <f>SUMIFS(
  '[1]Hoja 1'!$M:$M,
  '[1]Hoja 1'!$S:$S, $A232,
  '[1]Hoja 1'!$R:$R, "&gt;="&amp;INT($M$1),
  '[1]Hoja 1'!$R:$R, "&lt;"&amp;INT($N$1+1)
)</f>
        <v>0</v>
      </c>
      <c r="L232" s="1">
        <f t="shared" si="94"/>
        <v>5.5</v>
      </c>
      <c r="M232" s="9">
        <f t="shared" si="95"/>
        <v>-9.7452222023819637</v>
      </c>
      <c r="N232" s="10">
        <f t="shared" si="96"/>
        <v>20.745222202381964</v>
      </c>
      <c r="O232" s="1">
        <f>SUMIFS(
  '[1]Hoja 1'!$M:$M,
  '[1]Hoja 1'!$S:$S, $A232,
  '[1]Hoja 1'!$R:$R, "&gt;="&amp;INT($Q$1),
  '[1]Hoja 1'!$R:$R, "&lt;"&amp;INT($R$1+1)
)</f>
        <v>0</v>
      </c>
      <c r="P232" s="1">
        <f t="shared" si="97"/>
        <v>0</v>
      </c>
      <c r="Q232" s="9">
        <f t="shared" si="98"/>
        <v>-10.78</v>
      </c>
      <c r="R232" s="10">
        <f t="shared" si="99"/>
        <v>10.78</v>
      </c>
      <c r="S232" s="1">
        <f>SUMIFS(
  '[1]Hoja 1'!$M:$M,
  '[1]Hoja 1'!$S:$S, $A232,
  '[1]Hoja 1'!$R:$R, "&gt;="&amp;INT($U$1),
  '[1]Hoja 1'!$R:$R, "&lt;"&amp;INT($V$1+1)
)</f>
        <v>0</v>
      </c>
      <c r="T232" s="1">
        <f t="shared" si="100"/>
        <v>0</v>
      </c>
      <c r="U232" s="9">
        <f t="shared" si="101"/>
        <v>-8.9237417413698541</v>
      </c>
      <c r="V232" s="10">
        <f t="shared" si="102"/>
        <v>8.9237417413698541</v>
      </c>
      <c r="W232" s="1">
        <f>SUMIFS(
  '[1]Hoja 1'!$M:$M,
  '[1]Hoja 1'!$S:$S, $A232,
  '[1]Hoja 1'!$R:$R, "&gt;="&amp;INT($Y$1),
  '[1]Hoja 1'!$R:$R, "&lt;"&amp;INT($Z$1+1)
)</f>
        <v>0</v>
      </c>
      <c r="X232" s="1">
        <f t="shared" si="103"/>
        <v>0</v>
      </c>
      <c r="Y232" s="9">
        <f t="shared" si="104"/>
        <v>-7.6226111011909818</v>
      </c>
      <c r="Z232" s="10">
        <f t="shared" si="105"/>
        <v>7.6226111011909818</v>
      </c>
      <c r="AA232" s="1">
        <f>SUMIFS(
  '[1]Hoja 1'!$M:$M,
  '[1]Hoja 1'!$S:$S, $A232,
  '[1]Hoja 1'!$R:$R, "&gt;="&amp;INT($AC$1),
  '[1]Hoja 1'!$R:$R, "&lt;"&amp;INT($AD$1+1)
)</f>
        <v>0</v>
      </c>
      <c r="AB232" s="1">
        <f t="shared" si="106"/>
        <v>0</v>
      </c>
      <c r="AC232" s="9">
        <f t="shared" si="107"/>
        <v>-6.8178706353230254</v>
      </c>
      <c r="AD232" s="10">
        <f t="shared" si="108"/>
        <v>6.8178706353230254</v>
      </c>
      <c r="AE232" s="1">
        <f>SUMIFS(
  '[1]Hoja 1'!$M:$M,
  '[1]Hoja 1'!$S:$S, $A232,
  '[1]Hoja 1'!$R:$R, "&gt;="&amp;INT($AG$1),
  '[1]Hoja 1'!$R:$R, "&lt;"&amp;INT($AH$1+1)
)</f>
        <v>0</v>
      </c>
      <c r="AF232" s="1">
        <f t="shared" si="109"/>
        <v>0</v>
      </c>
      <c r="AG232" s="9">
        <f t="shared" si="110"/>
        <v>-6.2238359018641658</v>
      </c>
      <c r="AH232" s="10">
        <f t="shared" si="111"/>
        <v>6.2238359018641658</v>
      </c>
      <c r="AI232" s="1">
        <f>SUMIFS(
  '[1]Hoja 1'!$M:$M,
  '[1]Hoja 1'!$S:$S, $A232,
  '[1]Hoja 1'!$R:$R, "&gt;="&amp;INT($AK$1),
  '[1]Hoja 1'!$R:$R, "&lt;"&amp;INT($AJ$1+1)
)</f>
        <v>0</v>
      </c>
      <c r="AJ232" s="1">
        <f t="shared" si="112"/>
        <v>0</v>
      </c>
      <c r="AK232" s="9">
        <f t="shared" si="113"/>
        <v>-5.7621523756318691</v>
      </c>
      <c r="AL232" s="10">
        <f t="shared" si="114"/>
        <v>5.7621523756318691</v>
      </c>
      <c r="AM232" s="1">
        <f>SUMIFS(
  '[1]Hoja 1'!$M:$M,
  '[1]Hoja 1'!$S:$S, $A232,
  '[1]Hoja 1'!$R:$R, "&gt;="&amp;INT($AO$1),
  '[1]Hoja 1'!$R:$R, "&lt;"&amp;INT($AP$1+1)
)</f>
        <v>0</v>
      </c>
      <c r="AN232" s="1">
        <f t="shared" si="115"/>
        <v>0</v>
      </c>
      <c r="AO232" s="9">
        <f t="shared" si="116"/>
        <v>-5.39</v>
      </c>
      <c r="AP232" s="10">
        <f t="shared" si="117"/>
        <v>5.39</v>
      </c>
      <c r="AQ232" s="1">
        <f>SUMIFS(
  '[1]Hoja 1'!$M:$M,
  '[1]Hoja 1'!$S:$S, $A232,
  '[1]Hoja 1'!$R:$R, "&gt;="&amp;INT($AS$1),
  '[1]Hoja 1'!$R:$R, "&lt;"&amp;INT($AT$1+1)
)</f>
        <v>0</v>
      </c>
      <c r="AR232" s="1">
        <f t="shared" si="118"/>
        <v>0</v>
      </c>
      <c r="AS232" s="9">
        <f t="shared" si="119"/>
        <v>-5.0817407341273215</v>
      </c>
      <c r="AT232" s="10">
        <f t="shared" si="120"/>
        <v>5.0817407341273215</v>
      </c>
      <c r="AU232" s="1">
        <f>SUMIFS(
  '[1]Hoja 1'!$M:$M,
  '[1]Hoja 1'!$S:$S, $A232,
  '[1]Hoja 1'!$R:$R, "&gt;="&amp;INT($AW$1),
  '[1]Hoja 1'!$R:$R, "&lt;"&amp;INT($AX$1+1)
)</f>
        <v>0</v>
      </c>
      <c r="AV232" s="1">
        <f t="shared" si="121"/>
        <v>0</v>
      </c>
      <c r="AW232" s="9">
        <f t="shared" si="122"/>
        <v>-4.820962559489546</v>
      </c>
      <c r="AX232" s="10">
        <f t="shared" si="123"/>
        <v>4.820962559489546</v>
      </c>
    </row>
  </sheetData>
  <autoFilter ref="A1:AX232" xr:uid="{44307267-07DC-486A-8663-68C681B66855}">
    <filterColumn colId="2" showButton="0"/>
    <filterColumn colId="6" showButton="0"/>
    <filterColumn colId="10" showButton="0"/>
    <filterColumn colId="14" showButton="0"/>
    <filterColumn colId="18" showButton="0"/>
    <filterColumn colId="22" showButton="0"/>
    <filterColumn colId="26" showButton="0"/>
    <filterColumn colId="30" showButton="0"/>
    <filterColumn colId="34" showButton="0"/>
    <filterColumn colId="38" showButton="0"/>
    <filterColumn colId="42" showButton="0"/>
    <filterColumn colId="46" showButton="0"/>
  </autoFilter>
  <mergeCells count="12">
    <mergeCell ref="AU1:AV1"/>
    <mergeCell ref="C1:D1"/>
    <mergeCell ref="G1:H1"/>
    <mergeCell ref="K1:L1"/>
    <mergeCell ref="O1:P1"/>
    <mergeCell ref="S1:T1"/>
    <mergeCell ref="W1:X1"/>
    <mergeCell ref="AA1:AB1"/>
    <mergeCell ref="AE1:AF1"/>
    <mergeCell ref="AI1:AJ1"/>
    <mergeCell ref="AM1:AN1"/>
    <mergeCell ref="AQ1:A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4A76D-6B9E-4597-8A80-E9DEC77CA54A}">
  <dimension ref="A1:DR233"/>
  <sheetViews>
    <sheetView tabSelected="1" zoomScale="80" zoomScaleNormal="80" workbookViewId="0">
      <pane xSplit="2" ySplit="2" topLeftCell="DA3" activePane="bottomRight" state="frozen"/>
      <selection pane="topRight" activeCell="C1" sqref="C1"/>
      <selection pane="bottomLeft" activeCell="A3" sqref="A3"/>
      <selection pane="bottomRight" activeCell="DO3" sqref="DO3:DR232"/>
    </sheetView>
  </sheetViews>
  <sheetFormatPr baseColWidth="10" defaultRowHeight="15" x14ac:dyDescent="0.25"/>
  <cols>
    <col min="2" max="2" width="82.42578125" bestFit="1" customWidth="1"/>
    <col min="4" max="4" width="12.7109375" bestFit="1" customWidth="1"/>
    <col min="8" max="8" width="12.7109375" bestFit="1" customWidth="1"/>
    <col min="12" max="12" width="12.7109375" bestFit="1" customWidth="1"/>
    <col min="13" max="14" width="11.28515625" bestFit="1" customWidth="1"/>
    <col min="16" max="16" width="12.7109375" bestFit="1" customWidth="1"/>
    <col min="17" max="18" width="11.28515625" bestFit="1" customWidth="1"/>
    <col min="20" max="20" width="12.7109375" bestFit="1" customWidth="1"/>
    <col min="21" max="22" width="11.28515625" bestFit="1" customWidth="1"/>
    <col min="24" max="24" width="12.7109375" bestFit="1" customWidth="1"/>
    <col min="28" max="28" width="12.7109375" bestFit="1" customWidth="1"/>
  </cols>
  <sheetData>
    <row r="1" spans="1:122" x14ac:dyDescent="0.25">
      <c r="C1" s="14" t="s">
        <v>231</v>
      </c>
      <c r="D1" s="14"/>
      <c r="E1" s="7">
        <v>46020</v>
      </c>
      <c r="F1" s="7">
        <v>46026</v>
      </c>
      <c r="G1" s="14" t="s">
        <v>232</v>
      </c>
      <c r="H1" s="14"/>
      <c r="I1" s="7">
        <v>46027</v>
      </c>
      <c r="J1" s="7">
        <v>46033</v>
      </c>
      <c r="K1" s="14" t="s">
        <v>233</v>
      </c>
      <c r="L1" s="14"/>
      <c r="M1" s="7">
        <v>46034</v>
      </c>
      <c r="N1" s="7">
        <v>46040</v>
      </c>
      <c r="O1" s="15" t="s">
        <v>234</v>
      </c>
      <c r="P1" s="14"/>
      <c r="Q1" s="7">
        <v>46041</v>
      </c>
      <c r="R1" s="7">
        <v>46047</v>
      </c>
      <c r="S1" s="14" t="s">
        <v>235</v>
      </c>
      <c r="T1" s="14"/>
      <c r="U1" s="7">
        <v>46048</v>
      </c>
      <c r="V1" s="7">
        <v>46054</v>
      </c>
      <c r="W1" s="14" t="s">
        <v>252</v>
      </c>
      <c r="X1" s="14"/>
      <c r="Y1" s="7">
        <v>46055</v>
      </c>
      <c r="Z1" s="7">
        <v>46061</v>
      </c>
      <c r="AA1" s="14" t="s">
        <v>254</v>
      </c>
      <c r="AB1" s="14"/>
      <c r="AC1" s="7">
        <v>46062</v>
      </c>
      <c r="AD1" s="7">
        <v>46068</v>
      </c>
      <c r="AE1" s="14" t="s">
        <v>261</v>
      </c>
      <c r="AF1" s="14"/>
      <c r="AG1" s="7">
        <v>46069</v>
      </c>
      <c r="AH1" s="7">
        <v>46075</v>
      </c>
      <c r="AI1" s="14" t="s">
        <v>262</v>
      </c>
      <c r="AJ1" s="14"/>
      <c r="AK1" s="7">
        <v>46076</v>
      </c>
      <c r="AL1" s="7">
        <v>46082</v>
      </c>
      <c r="AM1" s="14" t="s">
        <v>263</v>
      </c>
      <c r="AN1" s="14"/>
      <c r="AO1" s="7">
        <v>46083</v>
      </c>
      <c r="AP1" s="7">
        <v>46089</v>
      </c>
      <c r="AQ1" s="14" t="s">
        <v>264</v>
      </c>
      <c r="AR1" s="14"/>
      <c r="AS1" s="7">
        <v>46090</v>
      </c>
      <c r="AT1" s="7">
        <v>46096</v>
      </c>
      <c r="AU1" s="14" t="s">
        <v>265</v>
      </c>
      <c r="AV1" s="14"/>
      <c r="AW1" s="7">
        <v>46097</v>
      </c>
      <c r="AX1" s="7">
        <v>46103</v>
      </c>
      <c r="AY1" s="14" t="s">
        <v>266</v>
      </c>
      <c r="AZ1" s="14"/>
      <c r="BA1" s="7">
        <v>46104</v>
      </c>
      <c r="BB1" s="7">
        <v>46110</v>
      </c>
      <c r="BC1" s="14" t="s">
        <v>267</v>
      </c>
      <c r="BD1" s="14"/>
      <c r="BE1" s="7">
        <v>46111</v>
      </c>
      <c r="BF1" s="7">
        <v>46117</v>
      </c>
      <c r="BG1" s="14" t="s">
        <v>268</v>
      </c>
      <c r="BH1" s="14"/>
      <c r="BI1" s="7">
        <v>46118</v>
      </c>
      <c r="BJ1" s="7">
        <v>46124</v>
      </c>
      <c r="BK1" s="14" t="s">
        <v>269</v>
      </c>
      <c r="BL1" s="14"/>
      <c r="BM1" s="7">
        <v>46125</v>
      </c>
      <c r="BN1" s="7">
        <v>46131</v>
      </c>
      <c r="BO1" s="14" t="s">
        <v>270</v>
      </c>
      <c r="BP1" s="14"/>
      <c r="BQ1" s="7">
        <v>46132</v>
      </c>
      <c r="BR1" s="7">
        <v>46138</v>
      </c>
      <c r="BS1" s="14" t="s">
        <v>271</v>
      </c>
      <c r="BT1" s="14"/>
      <c r="BU1" s="7">
        <v>46139</v>
      </c>
      <c r="BV1" s="7">
        <v>46145</v>
      </c>
      <c r="BW1" s="14" t="s">
        <v>272</v>
      </c>
      <c r="BX1" s="14"/>
      <c r="BY1" s="7">
        <v>46146</v>
      </c>
      <c r="BZ1" s="7">
        <v>46152</v>
      </c>
      <c r="CA1" s="14" t="s">
        <v>273</v>
      </c>
      <c r="CB1" s="14"/>
      <c r="CC1" s="7">
        <v>46153</v>
      </c>
      <c r="CD1" s="7">
        <v>46159</v>
      </c>
      <c r="CE1" s="14" t="s">
        <v>274</v>
      </c>
      <c r="CF1" s="14"/>
      <c r="CG1" s="7">
        <v>46160</v>
      </c>
      <c r="CH1" s="7">
        <v>46166</v>
      </c>
      <c r="CI1" s="14" t="s">
        <v>275</v>
      </c>
      <c r="CJ1" s="14"/>
      <c r="CK1" s="7">
        <v>46167</v>
      </c>
      <c r="CL1" s="7">
        <v>46173</v>
      </c>
      <c r="CM1" s="14" t="s">
        <v>276</v>
      </c>
      <c r="CN1" s="14"/>
      <c r="CO1" s="7">
        <v>46174</v>
      </c>
      <c r="CP1" s="7">
        <v>46180</v>
      </c>
      <c r="CQ1" s="14" t="s">
        <v>277</v>
      </c>
      <c r="CR1" s="14"/>
      <c r="CS1" s="7">
        <v>46181</v>
      </c>
      <c r="CT1" s="7">
        <v>46187</v>
      </c>
      <c r="CU1" s="14" t="s">
        <v>278</v>
      </c>
      <c r="CV1" s="14"/>
      <c r="CW1" s="7">
        <v>46188</v>
      </c>
      <c r="CX1" s="7">
        <v>46194</v>
      </c>
      <c r="CY1" s="14" t="s">
        <v>279</v>
      </c>
      <c r="CZ1" s="14"/>
      <c r="DA1" s="7">
        <v>46195</v>
      </c>
      <c r="DB1" s="7">
        <v>46201</v>
      </c>
      <c r="DC1" s="14" t="s">
        <v>280</v>
      </c>
      <c r="DD1" s="14"/>
      <c r="DE1" s="7">
        <v>46202</v>
      </c>
      <c r="DF1" s="7">
        <v>46208</v>
      </c>
      <c r="DG1" s="14" t="s">
        <v>281</v>
      </c>
      <c r="DH1" s="14"/>
      <c r="DI1" s="7">
        <v>46209</v>
      </c>
      <c r="DJ1" s="7">
        <v>46215</v>
      </c>
      <c r="DK1" s="14" t="s">
        <v>282</v>
      </c>
      <c r="DL1" s="14"/>
      <c r="DM1" s="7">
        <v>46216</v>
      </c>
      <c r="DN1" s="7">
        <v>46222</v>
      </c>
      <c r="DO1" s="14" t="s">
        <v>283</v>
      </c>
      <c r="DP1" s="14"/>
      <c r="DQ1" s="7">
        <v>46230</v>
      </c>
      <c r="DR1" s="7">
        <v>46236</v>
      </c>
    </row>
    <row r="2" spans="1:122" x14ac:dyDescent="0.25">
      <c r="C2" s="5" t="s">
        <v>227</v>
      </c>
      <c r="D2" s="5" t="s">
        <v>228</v>
      </c>
      <c r="E2" s="5" t="s">
        <v>230</v>
      </c>
      <c r="F2" s="5" t="s">
        <v>229</v>
      </c>
      <c r="G2" s="5" t="s">
        <v>227</v>
      </c>
      <c r="H2" s="5" t="s">
        <v>228</v>
      </c>
      <c r="I2" s="5" t="s">
        <v>230</v>
      </c>
      <c r="J2" s="5" t="s">
        <v>229</v>
      </c>
      <c r="K2" s="5" t="s">
        <v>227</v>
      </c>
      <c r="L2" s="5" t="s">
        <v>228</v>
      </c>
      <c r="M2" s="5" t="s">
        <v>230</v>
      </c>
      <c r="N2" s="5" t="s">
        <v>229</v>
      </c>
      <c r="O2" s="11" t="s">
        <v>227</v>
      </c>
      <c r="P2" s="5" t="s">
        <v>228</v>
      </c>
      <c r="Q2" s="5" t="s">
        <v>230</v>
      </c>
      <c r="R2" s="5" t="s">
        <v>229</v>
      </c>
      <c r="S2" s="5" t="s">
        <v>227</v>
      </c>
      <c r="T2" s="5" t="s">
        <v>228</v>
      </c>
      <c r="U2" s="5" t="s">
        <v>230</v>
      </c>
      <c r="V2" s="5" t="s">
        <v>229</v>
      </c>
      <c r="W2" s="5" t="s">
        <v>227</v>
      </c>
      <c r="X2" s="5" t="s">
        <v>228</v>
      </c>
      <c r="Y2" s="5" t="s">
        <v>230</v>
      </c>
      <c r="Z2" s="5" t="s">
        <v>229</v>
      </c>
      <c r="AA2" s="5" t="s">
        <v>227</v>
      </c>
      <c r="AB2" s="5" t="s">
        <v>228</v>
      </c>
      <c r="AC2" s="5" t="s">
        <v>230</v>
      </c>
      <c r="AD2" s="5" t="s">
        <v>229</v>
      </c>
      <c r="AE2" s="5" t="s">
        <v>227</v>
      </c>
      <c r="AF2" s="5" t="s">
        <v>228</v>
      </c>
      <c r="AG2" s="5" t="s">
        <v>230</v>
      </c>
      <c r="AH2" s="5" t="s">
        <v>229</v>
      </c>
      <c r="AI2" s="5" t="s">
        <v>227</v>
      </c>
      <c r="AJ2" s="5" t="s">
        <v>228</v>
      </c>
      <c r="AK2" s="5" t="s">
        <v>230</v>
      </c>
      <c r="AL2" s="5" t="s">
        <v>229</v>
      </c>
      <c r="AM2" s="5" t="s">
        <v>227</v>
      </c>
      <c r="AN2" s="5" t="s">
        <v>228</v>
      </c>
      <c r="AO2" s="5" t="s">
        <v>230</v>
      </c>
      <c r="AP2" s="5" t="s">
        <v>229</v>
      </c>
      <c r="AQ2" s="5" t="s">
        <v>227</v>
      </c>
      <c r="AR2" s="5" t="s">
        <v>228</v>
      </c>
      <c r="AS2" s="5" t="s">
        <v>230</v>
      </c>
      <c r="AT2" s="5" t="s">
        <v>229</v>
      </c>
      <c r="AU2" s="5" t="s">
        <v>227</v>
      </c>
      <c r="AV2" s="5" t="s">
        <v>228</v>
      </c>
      <c r="AW2" s="5" t="s">
        <v>230</v>
      </c>
      <c r="AX2" s="5" t="s">
        <v>229</v>
      </c>
      <c r="AY2" s="5" t="s">
        <v>227</v>
      </c>
      <c r="AZ2" s="5" t="s">
        <v>228</v>
      </c>
      <c r="BA2" s="5" t="s">
        <v>230</v>
      </c>
      <c r="BB2" s="5" t="s">
        <v>229</v>
      </c>
      <c r="BC2" s="5" t="s">
        <v>227</v>
      </c>
      <c r="BD2" s="5" t="s">
        <v>228</v>
      </c>
      <c r="BE2" s="5" t="s">
        <v>230</v>
      </c>
      <c r="BF2" s="5" t="s">
        <v>229</v>
      </c>
      <c r="BG2" s="5" t="s">
        <v>227</v>
      </c>
      <c r="BH2" s="5" t="s">
        <v>228</v>
      </c>
      <c r="BI2" s="5" t="s">
        <v>230</v>
      </c>
      <c r="BJ2" s="5" t="s">
        <v>229</v>
      </c>
      <c r="BK2" s="5" t="s">
        <v>227</v>
      </c>
      <c r="BL2" s="5" t="s">
        <v>228</v>
      </c>
      <c r="BM2" s="5" t="s">
        <v>230</v>
      </c>
      <c r="BN2" s="5" t="s">
        <v>229</v>
      </c>
      <c r="BO2" s="5" t="s">
        <v>227</v>
      </c>
      <c r="BP2" s="5" t="s">
        <v>228</v>
      </c>
      <c r="BQ2" s="5" t="s">
        <v>230</v>
      </c>
      <c r="BR2" s="5" t="s">
        <v>229</v>
      </c>
      <c r="BS2" s="5" t="s">
        <v>227</v>
      </c>
      <c r="BT2" s="5" t="s">
        <v>228</v>
      </c>
      <c r="BU2" s="5" t="s">
        <v>230</v>
      </c>
      <c r="BV2" s="5" t="s">
        <v>229</v>
      </c>
      <c r="BW2" s="5" t="s">
        <v>227</v>
      </c>
      <c r="BX2" s="5" t="s">
        <v>228</v>
      </c>
      <c r="BY2" s="5" t="s">
        <v>230</v>
      </c>
      <c r="BZ2" s="5" t="s">
        <v>229</v>
      </c>
      <c r="CA2" s="5" t="s">
        <v>227</v>
      </c>
      <c r="CB2" s="5" t="s">
        <v>228</v>
      </c>
      <c r="CC2" s="5" t="s">
        <v>230</v>
      </c>
      <c r="CD2" s="5" t="s">
        <v>229</v>
      </c>
      <c r="CE2" s="5" t="s">
        <v>227</v>
      </c>
      <c r="CF2" s="5" t="s">
        <v>228</v>
      </c>
      <c r="CG2" s="5" t="s">
        <v>230</v>
      </c>
      <c r="CH2" s="5" t="s">
        <v>229</v>
      </c>
      <c r="CI2" s="5" t="s">
        <v>227</v>
      </c>
      <c r="CJ2" s="5" t="s">
        <v>228</v>
      </c>
      <c r="CK2" s="5" t="s">
        <v>230</v>
      </c>
      <c r="CL2" s="5" t="s">
        <v>229</v>
      </c>
      <c r="CM2" s="5" t="s">
        <v>227</v>
      </c>
      <c r="CN2" s="5" t="s">
        <v>228</v>
      </c>
      <c r="CO2" s="5" t="s">
        <v>230</v>
      </c>
      <c r="CP2" s="5" t="s">
        <v>229</v>
      </c>
      <c r="CQ2" s="5" t="s">
        <v>227</v>
      </c>
      <c r="CR2" s="5" t="s">
        <v>228</v>
      </c>
      <c r="CS2" s="5" t="s">
        <v>230</v>
      </c>
      <c r="CT2" s="5" t="s">
        <v>229</v>
      </c>
      <c r="CU2" s="5" t="s">
        <v>227</v>
      </c>
      <c r="CV2" s="5" t="s">
        <v>228</v>
      </c>
      <c r="CW2" s="5" t="s">
        <v>230</v>
      </c>
      <c r="CX2" s="5" t="s">
        <v>229</v>
      </c>
      <c r="CY2" s="5" t="s">
        <v>227</v>
      </c>
      <c r="CZ2" s="5" t="s">
        <v>228</v>
      </c>
      <c r="DA2" s="5" t="s">
        <v>230</v>
      </c>
      <c r="DB2" s="5" t="s">
        <v>229</v>
      </c>
      <c r="DC2" s="5" t="s">
        <v>227</v>
      </c>
      <c r="DD2" s="5" t="s">
        <v>228</v>
      </c>
      <c r="DE2" s="5" t="s">
        <v>230</v>
      </c>
      <c r="DF2" s="5" t="s">
        <v>229</v>
      </c>
      <c r="DG2" s="5" t="s">
        <v>227</v>
      </c>
      <c r="DH2" s="5" t="s">
        <v>228</v>
      </c>
      <c r="DI2" s="5" t="s">
        <v>230</v>
      </c>
      <c r="DJ2" s="5" t="s">
        <v>229</v>
      </c>
      <c r="DK2" s="5" t="s">
        <v>227</v>
      </c>
      <c r="DL2" s="5" t="s">
        <v>228</v>
      </c>
      <c r="DM2" s="5" t="s">
        <v>230</v>
      </c>
      <c r="DN2" s="5" t="s">
        <v>229</v>
      </c>
      <c r="DO2" s="5" t="s">
        <v>227</v>
      </c>
      <c r="DP2" s="5" t="s">
        <v>228</v>
      </c>
      <c r="DQ2" s="5" t="s">
        <v>230</v>
      </c>
      <c r="DR2" s="5" t="s">
        <v>229</v>
      </c>
    </row>
    <row r="3" spans="1:122" x14ac:dyDescent="0.25">
      <c r="A3" s="5">
        <v>201001</v>
      </c>
      <c r="B3" s="6" t="s">
        <v>0</v>
      </c>
      <c r="C3" s="1">
        <f>SUMIFS(
  '[1]Hoja 1'!$M:$M,
  '[1]Hoja 1'!$S:$S, $A3,
  '[1]Hoja 1'!$R:$R, "&gt;="&amp;INT($E$1),
  '[1]Hoja 1'!$R:$R, "&lt;"&amp;INT($F$1+1)
)</f>
        <v>63</v>
      </c>
      <c r="D3" s="1" t="str">
        <f>""</f>
        <v/>
      </c>
      <c r="F3" s="2"/>
      <c r="G3" s="1">
        <f>SUMIFS(
  '[1]Hoja 1'!$M:$M,
  '[1]Hoja 1'!$S:$S, $A3,
  '[1]Hoja 1'!$R:$R, "&gt;="&amp;INT($I$1),
  '[1]Hoja 1'!$R:$R, "&lt;"&amp;INT($J$1+1)
)</f>
        <v>83</v>
      </c>
      <c r="H3" s="1">
        <f>IF(
    OR(ISBLANK(C3),ISBLANK(G3)),
    "",
    ROUND(AVERAGE(C3,G3),0)
)</f>
        <v>73</v>
      </c>
      <c r="I3" s="1"/>
      <c r="J3" s="2"/>
      <c r="K3" s="1">
        <f>SUMIFS(
  '[1]Hoja 1'!$M:$M,
  '[1]Hoja 1'!$S:$S, $A3,
  '[1]Hoja 1'!$R:$R, "&gt;="&amp;INT($M$1),
  '[1]Hoja 1'!$R:$R, "&lt;"&amp;INT($N$1+1)
)</f>
        <v>111</v>
      </c>
      <c r="L3" s="1">
        <f>IF(
    OR(ISBLANK(G3),ISBLANK(K3)),
    "",
    AVERAGE(G3,K3)
)</f>
        <v>97</v>
      </c>
      <c r="M3" s="9">
        <f>IF(
  OR(ISBLANK(L3),ISBLANK(G3),ISBLANK(K3),ISBLANK(C3)),
  "",
  L3 - 1.96*_xlfn.STDEV.S(
    G3-AVERAGE(C3,G3),
    K3-AVERAGE(G3,K3)
  )
)</f>
        <v>91.456282835497461</v>
      </c>
      <c r="N3" s="10">
        <f>IF(
  OR(ISBLANK(L3),ISBLANK(G3),ISBLANK(K3),ISBLANK(C3)),
  "",
  L3 + 1.96*_xlfn.STDEV.S(
    G3-AVERAGE(C3,G3),
    K3-AVERAGE(G3,K3)
  )
)</f>
        <v>102.54371716450254</v>
      </c>
      <c r="O3" s="1">
        <f>SUMIFS(
  '[1]Hoja 1'!$M:$M,
  '[1]Hoja 1'!$S:$S, $A3,
  '[1]Hoja 1'!$R:$R, "&gt;="&amp;INT($Q$1),
  '[1]Hoja 1'!$R:$R, "&lt;"&amp;INT($R$1+1)
)</f>
        <v>55</v>
      </c>
      <c r="P3" s="1">
        <f>IF(
    OR(ISBLANK(K3),ISBLANK(O3)),
    "",
    AVERAGE(K3,O3)
)</f>
        <v>83</v>
      </c>
      <c r="Q3" s="9">
        <f>IF(
    OR(ISBLANK(P3),ISBLANK(G3),ISBLANK(K3),ISBLANK(C3)),
    "",
    L3 - 1.96*_xlfn.STDEV.S(
    G3-AVERAGE(C3,G3),
    K3-AVERAGE(G3,K3),
    O3-AVERAGE(K3,O3)
  )
)</f>
        <v>51.566314992801502</v>
      </c>
      <c r="R3" s="10">
        <f>IF(
    OR(ISBLANK(P3),ISBLANK(G3),ISBLANK(K3),ISBLANK(C3)),
    "",
    L3 + 1.96*_xlfn.STDEV.S(
    G3-AVERAGE(C3,G3),
    K3-AVERAGE(G3,K3),
    O3-AVERAGE(K3,O3)
  )
)</f>
        <v>142.43368500719851</v>
      </c>
      <c r="S3" s="1">
        <f>SUMIFS(
  '[1]Hoja 1'!$M:$M,
  '[1]Hoja 1'!$S:$S, $A3,
  '[1]Hoja 1'!$R:$R, "&gt;="&amp;INT($U$1),
  '[1]Hoja 1'!$R:$R, "&lt;"&amp;INT($V$1+1)
)</f>
        <v>48</v>
      </c>
      <c r="T3" s="1">
        <f>IF(
    OR(ISBLANK(O3),ISBLANK(S3)),
    "",
    ROUND(AVERAGE(O3,S3),0)
)</f>
        <v>52</v>
      </c>
      <c r="U3" s="9">
        <f>IF(
    OR(ISBLANK(L3),ISBLANK(G3),ISBLANK(K3),ISBLANK(C3)),
    "",
    T3 - 1.96*_xlfn.STDEV.S(
    G3-AVERAGE(C3,G3),
    K3-AVERAGE(G3,K3),
    O3-AVERAGE(K3,O3),
    S3-AVERAGE(O3,S3)
  )
)</f>
        <v>14.842833351648927</v>
      </c>
      <c r="V3" s="10">
        <f>IF(
    OR(ISBLANK(L3),ISBLANK(G3),ISBLANK(K3),ISBLANK(C3)),
    "",
    T3 + 1.96*_xlfn.STDEV.S(
    G3-AVERAGE(C3,G3),
    K3-AVERAGE(G3,K3),
    O3-AVERAGE(K3,O3),
    S3-AVERAGE(O3,S3)
  )
)</f>
        <v>89.15716664835108</v>
      </c>
      <c r="W3" s="1">
        <f>SUMIFS(
  '[1]Hoja 1'!$M:$M,
  '[1]Hoja 1'!$S:$S, $A3,
  '[1]Hoja 1'!$R:$R, "&gt;="&amp;INT($Y$1),
  '[1]Hoja 1'!$R:$R, "&lt;"&amp;INT($Z$1+1)
)</f>
        <v>127</v>
      </c>
      <c r="X3" s="1">
        <f>IF(
    OR(ISBLANK(S3),ISBLANK(W3)),
    "",
    ROUND(AVERAGE(S3,W3),0)
)</f>
        <v>88</v>
      </c>
      <c r="Y3" s="9">
        <f>IF(
    OR(ISBLANK(P3),ISBLANK(K3),ISBLANK(O3),ISBLANK(G3)),
    "",
    X3 - 1.96*_xlfn.STDEV.S(
    K3-AVERAGE(G3,K3),
    O3-AVERAGE(K3,O3),
    S3-AVERAGE(O3,S3),
    W3-AVERAGE(S3,W3)
  )
)</f>
        <v>32.20020788569191</v>
      </c>
      <c r="Z3" s="10">
        <f>IF(
    OR(ISBLANK(P3),ISBLANK(K3),ISBLANK(O3),ISBLANK(G3)),
    "",
    X3 + 1.96*_xlfn.STDEV.S(
    K3-AVERAGE(G3,K3),
    O3-AVERAGE(K3,O3),
    S3-AVERAGE(O3,S3),
    W3-AVERAGE(S3,W3)
  )
)</f>
        <v>143.7997921143081</v>
      </c>
      <c r="AA3" s="1">
        <f>SUMIFS(
  '[1]Hoja 1'!$M:$M,
  '[1]Hoja 1'!$S:$S, $A3,
  '[1]Hoja 1'!$R:$R, "&gt;="&amp;INT($AC$1),
  '[1]Hoja 1'!$R:$R, "&lt;"&amp;INT($AD$1+1)
)</f>
        <v>69</v>
      </c>
      <c r="AB3" s="1">
        <f>IF(
    OR(ISBLANK(W3),ISBLANK(AA3)),
    "",
    ROUND(AVERAGE(W3,AA3),0)
)</f>
        <v>98</v>
      </c>
      <c r="AC3" s="9">
        <f>IF(
    OR(ISBLANK(T3),ISBLANK(O3),ISBLANK(S3),ISBLANK(K3)),
    "",
    AB3 - 1.96*_xlfn.STDEV.S(
    O3-AVERAGE(K3,O3),
    S3-AVERAGE(O3,S3),
    W3-AVERAGE(S3,W3),
    AA3-AVERAGE(W3,AA3),
  )
)</f>
        <v>43.354124400829662</v>
      </c>
      <c r="AD3" s="10">
        <f>IF(
    OR(ISBLANK(T3),ISBLANK(O3),ISBLANK(S3),ISBLANK(K3)),
    "",
    AB3 + 1.96*_xlfn.STDEV.S(
    O3-AVERAGE(K3,O3),
    S3-AVERAGE(O3,S3),
    W3-AVERAGE(S3,W3),
    AA3-AVERAGE(W3,AA3)
  )
)</f>
        <v>160.875484358638</v>
      </c>
      <c r="AE3" s="1">
        <f>SUMIFS(
  '[1]Hoja 1'!$M:$M,
  '[1]Hoja 1'!$S:$S, $A3,
  '[1]Hoja 1'!$R:$R, "&gt;="&amp;INT($AG$1),
  '[1]Hoja 1'!$R:$R, "&lt;"&amp;INT($AH$1+1)
)</f>
        <v>0</v>
      </c>
      <c r="AF3" s="1">
        <f>IF(
    OR(ISBLANK(AA3),ISBLANK(AE3)),
    "",
    ROUND(AVERAGE(AA3,AE3),0)
)</f>
        <v>35</v>
      </c>
      <c r="AG3" s="9">
        <f>IF(
    OR(ISBLANK(X3),ISBLANK(S3),ISBLANK(W3),ISBLANK(O3)),
    "",
    AF3 - 1.96*_xlfn.STDEV.S(
    S3-AVERAGE(O3,S3),
    W3-AVERAGE(S3,W3),
    AA3-AVERAGE(W3,AA3),
    AE3-AVERAGE(AA3,AE3),
  )
)</f>
        <v>-22.58281861805655</v>
      </c>
      <c r="AH3" s="10">
        <f>IF(
    OR(ISBLANK(X3),ISBLANK(S3),ISBLANK(W3),ISBLANK(O3)),
    "",
    AF3 + 1.96*_xlfn.STDEV.S(
    S3-AVERAGE(O3,S3),
    W3-AVERAGE(S3,W3),
    AA3-AVERAGE(W3,AA3),
    AE3-AVERAGE(AA3,AE3)
  )
)</f>
        <v>101.1257980418132</v>
      </c>
      <c r="AI3" s="1">
        <f>SUMIFS(
  '[1]Hoja 1'!$M:$M,
  '[1]Hoja 1'!$S:$S, $A3,
  '[1]Hoja 1'!$R:$R, "&gt;="&amp;INT($AK$1),
  '[1]Hoja 1'!$R:$R, "&lt;"&amp;INT($AL$1+1)
)</f>
        <v>0</v>
      </c>
      <c r="AJ3" s="1">
        <f>IF(
    OR(ISBLANK(AE3),ISBLANK(AI3)),
    "",
    ROUND(AVERAGE(AE3,AI3),0)
)</f>
        <v>0</v>
      </c>
      <c r="AK3" s="9">
        <f>IF(
    OR(ISBLANK(AB3),ISBLANK(W3),ISBLANK(AA3),ISBLANK(S3)),
    "",
    AJ3 - 1.96*_xlfn.STDEV.S(
    W3-AVERAGE(S3,W3),
    AA3-AVERAGE(W3,AA3),
    AE3-AVERAGE(AA3,AE3),
    AI3-AVERAGE(AE3,AI3),
  )
)</f>
        <v>-57.780952917029673</v>
      </c>
      <c r="AL3" s="10">
        <f>IF(
    OR(ISBLANK(AB3),ISBLANK(W3),ISBLANK(AA3),ISBLANK(S3)),
    "",
    AJ3 + 1.96*_xlfn.STDEV.S(
    W3-AVERAGE(S3,W3),
    AA3-AVERAGE(W3,AA3),
    AE3-AVERAGE(AA3,AE3),
    AI3-AVERAGE(AE3,AI3)
  )
)</f>
        <v>66.442747284159367</v>
      </c>
      <c r="AM3" s="1">
        <f>SUMIFS(
  '[1]Hoja 1'!$M:$M,
  '[1]Hoja 1'!$S:$S, $A3,
  '[1]Hoja 1'!$R:$R, "&gt;="&amp;INT($AO$1),
  '[1]Hoja 1'!$R:$R, "&lt;"&amp;INT($AP$1+1)
)</f>
        <v>0</v>
      </c>
      <c r="AN3" s="1">
        <f>IF(
    OR(ISBLANK(AI3),ISBLANK(AM3)),
    "",
    ROUND(AVERAGE(AI3,AM3),0)
)</f>
        <v>0</v>
      </c>
      <c r="AO3" s="9">
        <f>IF(
    OR(ISBLANK(AF3),ISBLANK(AA3),ISBLANK(AE3),ISBLANK(W3)),
    "",
    AN3 - 1.96*_xlfn.STDEV.S(
    AA3-AVERAGE(W3,AA3),
    AE3-AVERAGE(AA3,AE3),
    AI3-AVERAGE(AE3,AI3),
    AM3-AVERAGE(AI3,AM3),
  )
)</f>
        <v>-34.297199885704956</v>
      </c>
      <c r="AP3" s="10">
        <f>IF(
    OR(ISBLANK(AF3),ISBLANK(AA3),ISBLANK(AE3),ISBLANK(W3)),
    "",
    AN3 + 1.96*_xlfn.STDEV.S(
    AA3-AVERAGE(W3,AA3),
    AE3-AVERAGE(AA3,AE3),
    AI3-AVERAGE(AE3,AI3),
    AM3-AVERAGE(AI3,AM3)
  )
)</f>
        <v>36.197039934226666</v>
      </c>
      <c r="AQ3" s="1">
        <f>SUMIFS(
  '[1]Hoja 1'!$M:$M,
  '[1]Hoja 1'!$S:$S, $A3,
  '[1]Hoja 1'!$R:$R, "&gt;="&amp;INT($AS$1),
  '[1]Hoja 1'!$R:$R, "&lt;"&amp;INT($AT$1+1)
)</f>
        <v>0</v>
      </c>
      <c r="AR3" s="1">
        <f>IF(
    OR(ISBLANK(AM3),ISBLANK(AQ3)),
    "",
    ROUND(AVERAGE(AM3,AQ3),0)
)</f>
        <v>0</v>
      </c>
      <c r="AS3" s="9">
        <f>IF(
    OR(ISBLANK(AJ3),ISBLANK(AE3),ISBLANK(AI3),ISBLANK(AA3)),
    "",
    AR3 - 1.96*_xlfn.STDEV.S(
    AE3-AVERAGE(AA3,AE3),
    AI3-AVERAGE(AE3,AI3),
    AM3-AVERAGE(AI3,AM3),
    AQ3-AVERAGE(AM3,AQ3),
  )
)</f>
        <v>-30.240583327707153</v>
      </c>
      <c r="AT3" s="10">
        <f>IF(
    OR(ISBLANK(AJ3),ISBLANK(AE3),ISBLANK(AI3),ISBLANK(AA3)),
    "",
    AR3 + 1.96*_xlfn.STDEV.S(
    AE3-AVERAGE(AA3,AE3),
    AI3-AVERAGE(AE3,AI3),
    AM3-AVERAGE(AI3,AM3),
    AQ3-AVERAGE(AM3,AQ3)
  )
)</f>
        <v>33.81</v>
      </c>
      <c r="AU3" s="1">
        <f>SUMIFS(
  '[1]Hoja 1'!$M:$M,
  '[1]Hoja 1'!$S:$S, $A3,
  '[1]Hoja 1'!$R:$R, "&gt;="&amp;INT($AW$1),
  '[1]Hoja 1'!$R:$R, "&lt;"&amp;INT($AX$1+1)
)</f>
        <v>0</v>
      </c>
      <c r="AV3" s="1">
        <f>IF(
    OR(ISBLANK(AQ3),ISBLANK(AU3)),
    "",
    ROUND(AVERAGE(AQ3,AU3),0)
)</f>
        <v>0</v>
      </c>
      <c r="AW3" s="9">
        <f>IF(
    OR(ISBLANK(AN3),ISBLANK(AI3),ISBLANK(AM3),ISBLANK(AE3)),
    "",
    AV3 - 1.96*_xlfn.STDEV.S(
    AI3-AVERAGE(AE3,AI3),
    AM3-AVERAGE(AI3,AM3),
    AQ3-AVERAGE(AM3,AQ3),
    AU3-AVERAGE(AQ3,AU3),
  )
)</f>
        <v>0</v>
      </c>
      <c r="AX3" s="10">
        <f>IF(
    OR(ISBLANK(AN3),ISBLANK(AI3),ISBLANK(AM3),ISBLANK(AE3)),
    "",
    AV3 + 1.96*_xlfn.STDEV.S(
    AI3-AVERAGE(AE3,AI3),
    AM3-AVERAGE(AI3,AM3),
    AQ3-AVERAGE(AM3,AQ3),
    AU3-AVERAGE(AQ3,AU3)
  )
)</f>
        <v>0</v>
      </c>
      <c r="AY3" s="1">
        <f>SUMIFS(
  '[1]Hoja 1'!$M:$M,
  '[1]Hoja 1'!$S:$S, $A3,
  '[1]Hoja 1'!$R:$R, "&gt;="&amp;INT($BA$1),
  '[1]Hoja 1'!$R:$R, "&lt;"&amp;INT($BB$1+1)
)</f>
        <v>0</v>
      </c>
      <c r="AZ3" s="1">
        <f>IF(
    OR(ISBLANK(AU3),ISBLANK(AY3)),
    "",
    ROUND(AVERAGE(AU3,AY3),0)
)</f>
        <v>0</v>
      </c>
      <c r="BA3" s="9">
        <f>IF(
    OR(ISBLANK(AR3),ISBLANK(AM3),ISBLANK(AQ3),ISBLANK(AI3)),
    "",
    AZ3 - 1.96*_xlfn.STDEV.S(
    AM3-AVERAGE(AI3,AM3),
    AQ3-AVERAGE(AM3,AQ3),
    AU3-AVERAGE(AQ3,AU3),
    AY3-AVERAGE(AU3,AY3),
  )
)</f>
        <v>0</v>
      </c>
      <c r="BB3" s="10">
        <f>IF(
    OR(ISBLANK(AR3),ISBLANK(AM3),ISBLANK(AQ3),ISBLANK(AI3)),
    "",
    AZ3 + 1.96*_xlfn.STDEV.S(
    AM3-AVERAGE(AI3,AM3),
    AQ3-AVERAGE(AM3,AQ3),
    AU3-AVERAGE(AQ3,AU3),
    AY3-AVERAGE(AU3,AY3)
  )
)</f>
        <v>0</v>
      </c>
      <c r="BC3" s="1">
        <f>SUMIFS(
  '[1]Hoja 1'!$M:$M,
  '[1]Hoja 1'!$S:$S, $A3,
  '[1]Hoja 1'!$R:$R, "&gt;="&amp;INT($BE$1),
  '[1]Hoja 1'!$R:$R, "&lt;"&amp;INT($BF$1+1)
)</f>
        <v>0</v>
      </c>
      <c r="BD3" s="1">
        <f>IF(
    OR(ISBLANK(AY3),ISBLANK(BC3)),
    "",
    ROUND(AVERAGE(AY3,BC3),0)
)</f>
        <v>0</v>
      </c>
      <c r="BE3" s="9">
        <f>IF(
    OR(ISBLANK(AV3),ISBLANK(AQ3),ISBLANK(AU3),ISBLANK(AM3)),
    "",
    BD3 - 1.96*_xlfn.STDEV.S(
    AQ3-AVERAGE(AM3,AQ3),
    AU3-AVERAGE(AQ3,AU3),
    AY3-AVERAGE(AU3,AY3),
    BC3-AVERAGE(AY3,BC3),
  )
)</f>
        <v>0</v>
      </c>
      <c r="BF3" s="10">
        <f>IF(
    OR(ISBLANK(AV3),ISBLANK(AQ3),ISBLANK(AU3),ISBLANK(AM3)),
    "",
    BD3 + 1.96*_xlfn.STDEV.S(
    AQ3-AVERAGE(AM3,AQ3),
    AU3-AVERAGE(AQ3,AU3),
    AY3-AVERAGE(AU3,AY3),
    BC3-AVERAGE(AY3,BC3)
  )
)</f>
        <v>0</v>
      </c>
      <c r="BG3" s="1">
        <f>SUMIFS(
  '[1]Hoja 1'!$M:$M,
  '[1]Hoja 1'!$S:$S, $A3,
  '[1]Hoja 1'!$R:$R, "&gt;="&amp;INT($BI$1),
  '[1]Hoja 1'!$R:$R, "&lt;"&amp;INT($BJ$1+1)
)</f>
        <v>0</v>
      </c>
      <c r="BH3" s="1">
        <f>IF(
    OR(ISBLANK(BC3),ISBLANK(BG3)),
    "",
    ROUND(AVERAGE(BC3,BG3),0)
)</f>
        <v>0</v>
      </c>
      <c r="BI3" s="9">
        <f>IF(
    OR(ISBLANK(AZ3),ISBLANK(AU3),ISBLANK(AY3),ISBLANK(AQ3)),
    "",
    BH3 - 1.96*_xlfn.STDEV.S(
    AU3-AVERAGE(AQ3,AU3),
    AY3-AVERAGE(AU3,AY3),
    BC3-AVERAGE(AY3,BC3),
    BG3-AVERAGE(BC3,BG3),
  )
)</f>
        <v>0</v>
      </c>
      <c r="BJ3" s="10">
        <f>IF(
    OR(ISBLANK(AZ3),ISBLANK(AU3),ISBLANK(AY3),ISBLANK(AQ3)),
    "",
    BH3 + 1.96*_xlfn.STDEV.S(
    AU3-AVERAGE(AQ3,AU3),
    AY3-AVERAGE(AU3,AY3),
    BC3-AVERAGE(AY3,BC3),
    BG3-AVERAGE(BC3,BG3)
  )
)</f>
        <v>0</v>
      </c>
      <c r="BK3" s="1">
        <f>SUMIFS(
  '[1]Hoja 1'!$M:$M,
  '[1]Hoja 1'!$S:$S, $A3,
  '[1]Hoja 1'!$R:$R, "&gt;="&amp;INT($BM$1),
  '[1]Hoja 1'!$R:$R, "&lt;"&amp;INT($BN$1+1)
)</f>
        <v>0</v>
      </c>
      <c r="BL3" s="1">
        <f>IF(
    OR(ISBLANK(BG3),ISBLANK(BK3)),
    "",
    ROUND(AVERAGE(BG3,BK3),0)
)</f>
        <v>0</v>
      </c>
      <c r="BM3" s="9">
        <f>IF(
    OR(ISBLANK(BD3),ISBLANK(AY3),ISBLANK(BC3),ISBLANK(AU3)),
    "",
    BL3 - 1.96*_xlfn.STDEV.S(
    AY3-AVERAGE(AU3,AY3),
    BC3-AVERAGE(AY3,BC3),
    BG3-AVERAGE(BC3,BG3),
    BK3-AVERAGE(BG3,BK3),
  )
)</f>
        <v>0</v>
      </c>
      <c r="BN3" s="10">
        <f>IF(
    OR(ISBLANK(BD3),ISBLANK(AY3),ISBLANK(BC3),ISBLANK(AU3)),
    "",
    BL3 + 1.96*_xlfn.STDEV.S(
    AY3-AVERAGE(AU3,AY3),
    BC3-AVERAGE(AY3,BC3),
    BG3-AVERAGE(BC3,BG3),
    BK3-AVERAGE(BG3,BK3)
  )
)</f>
        <v>0</v>
      </c>
      <c r="BO3" s="1">
        <f>SUMIFS(
  '[1]Hoja 1'!$M:$M,
  '[1]Hoja 1'!$S:$S, $A3,
  '[1]Hoja 1'!$R:$R, "&gt;="&amp;INT($BQ$1),
  '[1]Hoja 1'!$R:$R, "&lt;"&amp;INT($BR$1+1)
)</f>
        <v>0</v>
      </c>
      <c r="BP3" s="1">
        <f>IF(
    OR(ISBLANK(BK3),ISBLANK(BO3)),
    "",
    ROUND(AVERAGE(BK3,BO3),0)
)</f>
        <v>0</v>
      </c>
      <c r="BQ3" s="9">
        <f>IF(
    OR(ISBLANK(BH3),ISBLANK(BC3),ISBLANK(BG3),ISBLANK(AY3)),
    "",
    BP3 - 1.96*_xlfn.STDEV.S(
    BC3-AVERAGE(AY3,BC3),
    BG3-AVERAGE(BC3,BG3),
    BK3-AVERAGE(BG3,BK3),
    BO3-AVERAGE(BK3,BO3),
  )
)</f>
        <v>0</v>
      </c>
      <c r="BR3" s="10">
        <f>IF(
    OR(ISBLANK(BH3),ISBLANK(BC3),ISBLANK(BG3),ISBLANK(AY3)),
    "",
    BP3 + 1.96*_xlfn.STDEV.S(
    BC3-AVERAGE(AY3,BC3),
    BG3-AVERAGE(BC3,BG3),
    BK3-AVERAGE(BG3,BK3),
    BO3-AVERAGE(BK3,BO3)
  )
)</f>
        <v>0</v>
      </c>
      <c r="BS3" s="1">
        <f>SUMIFS(
  '[1]Hoja 1'!$M:$M,
  '[1]Hoja 1'!$S:$S, $A3,
  '[1]Hoja 1'!$R:$R, "&gt;="&amp;INT($BU$1),
  '[1]Hoja 1'!$R:$R, "&lt;"&amp;INT($BV$1+1)
)</f>
        <v>0</v>
      </c>
      <c r="BT3" s="1">
        <f>IF(
    OR(ISBLANK(BO3),ISBLANK(BS3)),
    "",
    ROUND(AVERAGE(BO3,BS3),0)
)</f>
        <v>0</v>
      </c>
      <c r="BU3" s="9">
        <f>IF(
    OR(ISBLANK(BL3),ISBLANK(BG3),ISBLANK(BK3),ISBLANK(BC3)),
    "",
    BT3 - 1.96*_xlfn.STDEV.S(
    BG3-AVERAGE(BC3,BG3),
    BK3-AVERAGE(BG3,BK3),
    BO3-AVERAGE(BK3,BO3),
    BS3-AVERAGE(BO3,BS3),
  )
)</f>
        <v>0</v>
      </c>
      <c r="BV3" s="10">
        <f>IF(
    OR(ISBLANK(BL3),ISBLANK(BG3),ISBLANK(BK3),ISBLANK(BC3)),
    "",
    BT3 + 1.96*_xlfn.STDEV.S(
    BG3-AVERAGE(BC3,BG3),
    BK3-AVERAGE(BG3,BK3),
    BO3-AVERAGE(BK3,BO3),
    BS3-AVERAGE(BO3,BS3)
  )
)</f>
        <v>0</v>
      </c>
      <c r="BW3" s="1">
        <f>SUMIFS(
  '[1]Hoja 1'!$M:$M,
  '[1]Hoja 1'!$S:$S, $A3,
  '[1]Hoja 1'!$R:$R, "&gt;="&amp;INT($BY$1),
  '[1]Hoja 1'!$R:$R, "&lt;"&amp;INT($BZ$1+1)
)</f>
        <v>0</v>
      </c>
      <c r="BX3" s="1">
        <f>IF(
    OR(ISBLANK(BS3),ISBLANK(BW3)),
    "",
    ROUND(AVERAGE(BS3,BW3),0)
)</f>
        <v>0</v>
      </c>
      <c r="BY3" s="9">
        <f>IF(
    OR(ISBLANK(BP3),ISBLANK(BK3),ISBLANK(BO3),ISBLANK(BG3)),
    "",
    BX3 - 1.96*_xlfn.STDEV.S(
    BK3-AVERAGE(BG3,BK3),
    BO3-AVERAGE(BK3,BO3),
    BS3-AVERAGE(BO3,BS3),
    BW3-AVERAGE(BS3,BW3),
  )
)</f>
        <v>0</v>
      </c>
      <c r="BZ3" s="10">
        <f>IF(
    OR(ISBLANK(BP3),ISBLANK(BK3),ISBLANK(BO3),ISBLANK(BG3)),
    "",
    BX3 + 1.96*_xlfn.STDEV.S(
    BK3-AVERAGE(BG3,BK3),
    BO3-AVERAGE(BK3,BO3),
    BS3-AVERAGE(BO3,BS3),
    BW3-AVERAGE(BS3,BW3)
  )
)</f>
        <v>0</v>
      </c>
      <c r="CA3" s="1">
        <f>SUMIFS(
  '[1]Hoja 1'!$M:$M,
  '[1]Hoja 1'!$S:$S, $A3,
  '[1]Hoja 1'!$R:$R, "&gt;="&amp;INT($CC$1),
  '[1]Hoja 1'!$R:$R, "&lt;"&amp;INT($CD$1+1)
)</f>
        <v>0</v>
      </c>
      <c r="CB3" s="1">
        <f>IF(
    OR(ISBLANK(BW3),ISBLANK(CA3)),
    "",
    ROUND(AVERAGE(BW3,CA3),0)
)</f>
        <v>0</v>
      </c>
      <c r="CC3" s="9">
        <f>IF(
    OR(ISBLANK(BT3),ISBLANK(BO3),ISBLANK(BS3),ISBLANK(BK3)),
    "",
    CB3 - 1.96*_xlfn.STDEV.S(
    BO3-AVERAGE(BK3,BO3),
    BS3-AVERAGE(BO3,BS3),
    BW3-AVERAGE(BS3,BW3),
    CA3-AVERAGE(BW3,CA3),
  )
)</f>
        <v>0</v>
      </c>
      <c r="CD3" s="10">
        <f>IF(
    OR(ISBLANK(BT3),ISBLANK(BO3),ISBLANK(BS3),ISBLANK(BK3)),
    "",
    CB3 + 1.96*_xlfn.STDEV.S(
    BO3-AVERAGE(BK3,BO3),
    BS3-AVERAGE(BO3,BS3),
    BW3-AVERAGE(BS3,BW3),
    CA3-AVERAGE(BW3,CA3)
  )
)</f>
        <v>0</v>
      </c>
      <c r="CE3" s="1">
        <f>SUMIFS(
  '[1]Hoja 1'!$M:$M,
  '[1]Hoja 1'!$S:$S, $A3,
  '[1]Hoja 1'!$R:$R, "&gt;="&amp;INT($CG$1),
  '[1]Hoja 1'!$R:$R, "&lt;"&amp;INT($CH$1+1)
)</f>
        <v>0</v>
      </c>
      <c r="CF3" s="1">
        <f>IF(
    OR(ISBLANK(CA3),ISBLANK(CE3)),
    "",
    ROUND(AVERAGE(CA3,CE3),0)
)</f>
        <v>0</v>
      </c>
      <c r="CG3" s="9">
        <f>IF(
    OR(ISBLANK(BX3),ISBLANK(BS3),ISBLANK(BW3),ISBLANK(BO3)),
    "",
    CF3 - 1.96*_xlfn.STDEV.S(
    BS3-AVERAGE(BO3,BS3),
    BW3-AVERAGE(BS3,BW3),
    CA3-AVERAGE(BW3,CA3),
    CE3-AVERAGE(CA3,CE3),
  )
)</f>
        <v>0</v>
      </c>
      <c r="CH3" s="10">
        <f>IF(
    OR(ISBLANK(BX3),ISBLANK(BS3),ISBLANK(BW3),ISBLANK(BO3)),
    "",
    CF3 + 1.96*_xlfn.STDEV.S(
    BS3-AVERAGE(BO3,BS3),
    BW3-AVERAGE(BS3,BW3),
    CA3-AVERAGE(BW3,CA3),
    CE3-AVERAGE(CA3,CE3)
  )
)</f>
        <v>0</v>
      </c>
      <c r="CI3" s="1">
        <f>SUMIFS(
  '[1]Hoja 1'!$M:$M,
  '[1]Hoja 1'!$S:$S, $A3,
  '[1]Hoja 1'!$R:$R, "&gt;="&amp;INT($CK$1),
  '[1]Hoja 1'!$R:$R, "&lt;"&amp;INT($CL$1+1)
)</f>
        <v>0</v>
      </c>
      <c r="CJ3" s="1">
        <f>IF(
    OR(ISBLANK(CE3),ISBLANK(CI3)),
    "",
    ROUND(AVERAGE(CE3,CI3),0)
)</f>
        <v>0</v>
      </c>
      <c r="CK3" s="9">
        <f>IF(
    OR(ISBLANK(CB3),ISBLANK(BW3),ISBLANK(CA3),ISBLANK(BS3)),
    "",
    CJ3 - 1.96*_xlfn.STDEV.S(
    BW3-AVERAGE(BS3,BW3),
    CA3-AVERAGE(BW3,CA3),
    CE3-AVERAGE(CA3,CE3),
    CI3-AVERAGE(CE3,CI3),
  )
)</f>
        <v>0</v>
      </c>
      <c r="CL3" s="10">
        <f>IF(
    OR(ISBLANK(CB3),ISBLANK(BW3),ISBLANK(CA3),ISBLANK(BS3)),
    "",
    CJ3 + 1.96*_xlfn.STDEV.S(
    BW3-AVERAGE(BS3,BW3),
    CA3-AVERAGE(BW3,CA3),
    CE3-AVERAGE(CA3,CE3),
    CI3-AVERAGE(CE3,CI3)
  )
)</f>
        <v>0</v>
      </c>
      <c r="CM3" s="1">
        <f>SUMIFS(
  '[1]Hoja 1'!$M:$M,
  '[1]Hoja 1'!$S:$S, $A3,
  '[1]Hoja 1'!$R:$R, "&gt;="&amp;INT($CO$1),
  '[1]Hoja 1'!$R:$R, "&lt;"&amp;INT($CP$1+1)
)</f>
        <v>0</v>
      </c>
      <c r="CN3" s="1">
        <f>IF(
    OR(ISBLANK(CI3),ISBLANK(CM3)),
    "",
    ROUND(AVERAGE(CI3,CM3),0)
)</f>
        <v>0</v>
      </c>
      <c r="CO3" s="9">
        <f>IF(
    OR(ISBLANK(CF3),ISBLANK(CA3),ISBLANK(CE3),ISBLANK(BW3)),
    "",
    CN3 - 1.96*_xlfn.STDEV.S(
    CA3-AVERAGE(BW3,CA3),
    CE3-AVERAGE(CA3,CE3),
    CI3-AVERAGE(CE3,CI3),
    CM3-AVERAGE(CI3,CM3),
  )
)</f>
        <v>0</v>
      </c>
      <c r="CP3" s="10">
        <f>IF(
    OR(ISBLANK(CF3),ISBLANK(CA3),ISBLANK(CE3),ISBLANK(BW3)),
    "",
    CN3 + 1.96*_xlfn.STDEV.S(
    CA3-AVERAGE(BW3,CA3),
    CE3-AVERAGE(CA3,CE3),
    CI3-AVERAGE(CE3,CI3),
    CM3-AVERAGE(CI3,CM3)
  )
)</f>
        <v>0</v>
      </c>
      <c r="CQ3" s="1">
        <f>SUMIFS(
  '[1]Hoja 1'!$M:$M,
  '[1]Hoja 1'!$S:$S, $A3,
  '[1]Hoja 1'!$R:$R, "&gt;="&amp;INT($CS$1),
  '[1]Hoja 1'!$R:$R, "&lt;"&amp;INT($CT$1+1)
)</f>
        <v>0</v>
      </c>
      <c r="CR3" s="1">
        <f>IF(
    OR(ISBLANK(CM3),ISBLANK(CQ3)),
    "",
    ROUND(AVERAGE(CM3,CQ3),0)
)</f>
        <v>0</v>
      </c>
      <c r="CS3" s="9">
        <f>IF(
    OR(ISBLANK(CJ3),ISBLANK(CE3),ISBLANK(CI3),ISBLANK(CA3)),
    "",
    CR3 - 1.96*_xlfn.STDEV.S(
    CE3-AVERAGE(CA3,CE3),
    CI3-AVERAGE(CE3,CI3),
    CM3-AVERAGE(CI3,CM3),
    CQ3-AVERAGE(CM3,CQ3),
  )
)</f>
        <v>0</v>
      </c>
      <c r="CT3" s="10">
        <f>IF(
    OR(ISBLANK(CJ3),ISBLANK(CE3),ISBLANK(CI3),ISBLANK(CA3)),
    "",
    CR3 + 1.96*_xlfn.STDEV.S(
    CE3-AVERAGE(CA3,CE3),
    CI3-AVERAGE(CE3,CI3),
    CM3-AVERAGE(CI3,CM3),
    CQ3-AVERAGE(CM3,CQ3)
  )
)</f>
        <v>0</v>
      </c>
      <c r="CU3" s="1">
        <f>SUMIFS(
  '[1]Hoja 1'!$M:$M,
  '[1]Hoja 1'!$S:$S, $A3,
  '[1]Hoja 1'!$R:$R, "&gt;="&amp;INT($CW$1),
  '[1]Hoja 1'!$R:$R, "&lt;"&amp;INT($CX$1+1)
)</f>
        <v>0</v>
      </c>
      <c r="CV3" s="1">
        <f>IF(
    OR(ISBLANK(CQ3),ISBLANK(CU3)),
    "",
    ROUND(AVERAGE(CQ3,CU3),0)
)</f>
        <v>0</v>
      </c>
      <c r="CW3" s="9">
        <f>IF(
    OR(ISBLANK(CN3),ISBLANK(CI3),ISBLANK(CM3),ISBLANK(CE3)),
    "",
    CV3 - 1.96*_xlfn.STDEV.S(
    CI3-AVERAGE(CE3,CI3),
    CM3-AVERAGE(CI3,CM3),
    CQ3-AVERAGE(CM3,CQ3),
    CU3-AVERAGE(CQ3,CU3),
  )
)</f>
        <v>0</v>
      </c>
      <c r="CX3" s="10">
        <f>IF(
    OR(ISBLANK(CN3),ISBLANK(CI3),ISBLANK(CM3),ISBLANK(CE3)),
    "",
    CV3 + 1.96*_xlfn.STDEV.S(
    CI3-AVERAGE(CE3,CI3),
    CM3-AVERAGE(CI3,CM3),
    CQ3-AVERAGE(CM3,CQ3),
    CU3-AVERAGE(CQ3,CU3)
  )
)</f>
        <v>0</v>
      </c>
      <c r="CY3" s="1">
        <f>SUMIFS(
  '[1]Hoja 1'!$M:$M,
  '[1]Hoja 1'!$S:$S, $A3,
  '[1]Hoja 1'!$R:$R, "&gt;="&amp;INT($DA$1),
  '[1]Hoja 1'!$R:$R, "&lt;"&amp;INT($DB$1+1)
)</f>
        <v>0</v>
      </c>
      <c r="CZ3" s="1">
        <f>IF(
    OR(ISBLANK(CU3),ISBLANK(CY3)),
    "",
    ROUND(AVERAGE(CU3,CY3),0)
)</f>
        <v>0</v>
      </c>
      <c r="DA3" s="9">
        <f>IF(
    OR(ISBLANK(CR3),ISBLANK(CM3),ISBLANK(CQ3),ISBLANK(CI3)),
    "",
    CZ3 - 1.96*_xlfn.STDEV.S(
    CM3-AVERAGE(CI3,CM3),
    CQ3-AVERAGE(CM3,CQ3),
    CU3-AVERAGE(CQ3,CU3),
    CY3-AVERAGE(CU3,CY3),
  )
)</f>
        <v>0</v>
      </c>
      <c r="DB3" s="10">
        <f>IF(
    OR(ISBLANK(CR3),ISBLANK(CM3),ISBLANK(CQ3),ISBLANK(CI3)),
    "",
    CZ3 + 1.96*_xlfn.STDEV.S(
    CM3-AVERAGE(CI3,CM3),
    CQ3-AVERAGE(CM3,CQ3),
    CU3-AVERAGE(CQ3,CU3),
    CY3-AVERAGE(CU3,CY3)
  )
)</f>
        <v>0</v>
      </c>
      <c r="DC3" s="1">
        <f>SUMIFS(
  '[1]Hoja 1'!$M:$M,
  '[1]Hoja 1'!$S:$S, $A3,
  '[1]Hoja 1'!$R:$R, "&gt;="&amp;INT($DE$1),
  '[1]Hoja 1'!$R:$R, "&lt;"&amp;INT($DF$1+1)
)</f>
        <v>0</v>
      </c>
      <c r="DD3" s="1">
        <f>IF(
    OR(ISBLANK(CY3),ISBLANK(DC3)),
    "",
    ROUND(AVERAGE(CY3,DC3),0)
)</f>
        <v>0</v>
      </c>
      <c r="DE3" s="9">
        <f>IF(
    OR(ISBLANK(CV3),ISBLANK(CQ3),ISBLANK(CU3),ISBLANK(CM3)),
    "",
    DD3 - 1.96*_xlfn.STDEV.S(
    CQ3-AVERAGE(CM3,CQ3),
    CU3-AVERAGE(CQ3,CU3),
    CY3-AVERAGE(CU3,CY3),
    DC3-AVERAGE(CY3,DC3),
  )
)</f>
        <v>0</v>
      </c>
      <c r="DF3" s="10">
        <f>IF(
    OR(ISBLANK(CV3),ISBLANK(CQ3),ISBLANK(CU3),ISBLANK(CM3)),
    "",
    DD3 + 1.96*_xlfn.STDEV.S(
    CQ3-AVERAGE(CM3,CQ3),
    CU3-AVERAGE(CQ3,CU3),
    CY3-AVERAGE(CU3,CY3),
    DC3-AVERAGE(CY3,DC3)
  )
)</f>
        <v>0</v>
      </c>
      <c r="DG3" s="1">
        <f>SUMIFS(
  '[1]Hoja 1'!$M:$M,
  '[1]Hoja 1'!$S:$S, $A3,
  '[1]Hoja 1'!$R:$R, "&gt;="&amp;INT($DI$1),
  '[1]Hoja 1'!$R:$R, "&lt;"&amp;INT($DJ$1+1)
)</f>
        <v>0</v>
      </c>
      <c r="DH3" s="1">
        <f>IF(
    OR(ISBLANK(DC3),ISBLANK(DG3)),
    "",
    ROUND(AVERAGE(DC3,DG3),0)
)</f>
        <v>0</v>
      </c>
      <c r="DI3" s="9">
        <f>IF(
    OR(ISBLANK(CZ3),ISBLANK(CU3),ISBLANK(CY3),ISBLANK(CQ3)),
    "",
    DH3 - 1.96*_xlfn.STDEV.S(
    CU3-AVERAGE(CQ3,CU3),
    CY3-AVERAGE(CU3,CY3),
    DC3-AVERAGE(CY3,DC3),
    DG3-AVERAGE(DC3,DG3),
  )
)</f>
        <v>0</v>
      </c>
      <c r="DJ3" s="10">
        <f>IF(
    OR(ISBLANK(CZ3),ISBLANK(CU3),ISBLANK(CY3),ISBLANK(CQ3)),
    "",
    DH3 + 1.96*_xlfn.STDEV.S(
    CU3-AVERAGE(CQ3,CU3),
    CY3-AVERAGE(CU3,CY3),
    DC3-AVERAGE(CY3,DC3),
    DG3-AVERAGE(DC3,DG3)
  )
)</f>
        <v>0</v>
      </c>
      <c r="DK3" s="1">
        <f>SUMIFS(
  '[1]Hoja 1'!$M:$M,
  '[1]Hoja 1'!$S:$S, $A3,
  '[1]Hoja 1'!$R:$R, "&gt;="&amp;INT($DM$1),
  '[1]Hoja 1'!$R:$R, "&lt;"&amp;INT($DN$1+1)
)</f>
        <v>0</v>
      </c>
      <c r="DL3" s="1">
        <f>IF(
    OR(ISBLANK(DG3),ISBLANK(DK3)),
    "",
    ROUND(AVERAGE(DG3,DK3),0)
)</f>
        <v>0</v>
      </c>
      <c r="DM3" s="9">
        <f>IF(
    OR(ISBLANK(DD3),ISBLANK(CY3),ISBLANK(DC3),ISBLANK(CU3)),
    "",
    DL3 - 1.96*_xlfn.STDEV.S(
    CY3-AVERAGE(CU3,CY3),
    DC3-AVERAGE(CY3,DC3),
    DG3-AVERAGE(DC3,DG3),
    DK3-AVERAGE(DG3,DK3),
  )
)</f>
        <v>0</v>
      </c>
      <c r="DN3" s="10">
        <f>IF(
    OR(ISBLANK(DD3),ISBLANK(CY3),ISBLANK(DC3),ISBLANK(CU3)),
    "",
    DL3 + 1.96*_xlfn.STDEV.S(
    CY3-AVERAGE(CU3,CY3),
    DC3-AVERAGE(CY3,DC3),
    DG3-AVERAGE(DC3,DG3),
    DK3-AVERAGE(DG3,DK3)
  )
)</f>
        <v>0</v>
      </c>
      <c r="DO3" s="1">
        <f>SUMIFS(
  '[1]Hoja 1'!$M:$M,
  '[1]Hoja 1'!$S:$S, $A3,
  '[1]Hoja 1'!$R:$R, "&gt;="&amp;INT($DQ$1),
  '[1]Hoja 1'!$R:$R, "&lt;"&amp;INT($DR$1+1)
)</f>
        <v>0</v>
      </c>
      <c r="DP3" s="1">
        <f>IF(
    OR(ISBLANK(DK3),ISBLANK(DO3)),
    "",
    ROUND(AVERAGE(DK3,DO3),0)
)</f>
        <v>0</v>
      </c>
      <c r="DQ3" s="9">
        <f>IF(
    OR(ISBLANK(DH3),ISBLANK(DC3),ISBLANK(DG3),ISBLANK(CY3)),
    "",
    DP3 - 1.96*_xlfn.STDEV.S(
    DC3-AVERAGE(CY3,DC3),
    DG3-AVERAGE(DC3,DG3),
    DK3-AVERAGE(DG3,DK3),
    DO3-AVERAGE(DK3,DO3),
  )
)</f>
        <v>0</v>
      </c>
      <c r="DR3" s="10">
        <f>IF(
    OR(ISBLANK(DH3),ISBLANK(DC3),ISBLANK(DG3),ISBLANK(CY3)),
    "",
    DP3 + 1.96*_xlfn.STDEV.S(
    DC3-AVERAGE(CY3,DC3),
    DG3-AVERAGE(DC3,DG3),
    DK3-AVERAGE(DG3,DK3),
    DO3-AVERAGE(DK3,DO3)
  )
)</f>
        <v>0</v>
      </c>
    </row>
    <row r="4" spans="1:122" x14ac:dyDescent="0.25">
      <c r="A4" s="5">
        <v>201002</v>
      </c>
      <c r="B4" s="6" t="s">
        <v>11</v>
      </c>
      <c r="C4" s="1">
        <f>SUMIFS(
  '[1]Hoja 1'!$M:$M,
  '[1]Hoja 1'!$S:$S, $A4,
  '[1]Hoja 1'!$R:$R, "&gt;="&amp;INT($E$1),
  '[1]Hoja 1'!$R:$R, "&lt;"&amp;INT($F$1+1)
)</f>
        <v>0</v>
      </c>
      <c r="D4" s="1" t="str">
        <f>""</f>
        <v/>
      </c>
      <c r="F4" s="2"/>
      <c r="G4" s="1">
        <f>SUMIFS(
  '[1]Hoja 1'!$M:$M,
  '[1]Hoja 1'!$S:$S, $A4,
  '[1]Hoja 1'!$R:$R, "&gt;="&amp;INT($I$1),
  '[1]Hoja 1'!$R:$R, "&lt;"&amp;INT($J$1+1)
)</f>
        <v>0</v>
      </c>
      <c r="H4" s="1">
        <f>IF(OR(ISBLANK(C4),ISBLANK(G4)),"",AVERAGE(C4,G4))</f>
        <v>0</v>
      </c>
      <c r="I4" s="1"/>
      <c r="J4" s="2"/>
      <c r="K4" s="1">
        <f>SUMIFS(
  '[1]Hoja 1'!$M:$M,
  '[1]Hoja 1'!$S:$S, $A4,
  '[1]Hoja 1'!$R:$R, "&gt;="&amp;INT($M$1),
  '[1]Hoja 1'!$R:$R, "&lt;"&amp;INT($N$1+1)
)</f>
        <v>0</v>
      </c>
      <c r="L4" s="1">
        <f t="shared" ref="L4:L67" si="0">IF(
    OR(ISBLANK(G4),ISBLANK(K4)),
    "",
    AVERAGE(G4,K4)
)</f>
        <v>0</v>
      </c>
      <c r="M4" s="9">
        <f t="shared" ref="M4:M67" si="1">IF(
  OR(ISBLANK(L4),ISBLANK(G4),ISBLANK(K4),ISBLANK(C4)),
  "",
  L4 - 1.96*_xlfn.STDEV.S(
    G4-AVERAGE(C4,G4),
    K4-AVERAGE(G4,K4)
  )
)</f>
        <v>0</v>
      </c>
      <c r="N4" s="10">
        <f t="shared" ref="N4:N67" si="2">IF(
  OR(ISBLANK(L4),ISBLANK(G4),ISBLANK(K4),ISBLANK(C4)),
  "",
  L4 + 1.96*_xlfn.STDEV.S(
    G4-AVERAGE(C4,G4),
    K4-AVERAGE(G4,K4)
  )
)</f>
        <v>0</v>
      </c>
      <c r="O4" s="1">
        <f>SUMIFS(
  '[1]Hoja 1'!$M:$M,
  '[1]Hoja 1'!$S:$S, $A4,
  '[1]Hoja 1'!$R:$R, "&gt;="&amp;INT($Q$1),
  '[1]Hoja 1'!$R:$R, "&lt;"&amp;INT($R$1+1)
)</f>
        <v>0</v>
      </c>
      <c r="P4" s="1">
        <f t="shared" ref="P4:P67" si="3">IF(
    OR(ISBLANK(K4),ISBLANK(O4)),
    "",
    AVERAGE(K4,O4)
)</f>
        <v>0</v>
      </c>
      <c r="Q4" s="9">
        <f t="shared" ref="Q4:Q67" si="4">IF(
    OR(ISBLANK(P4),ISBLANK(G4),ISBLANK(K4),ISBLANK(C4)),
    "",
    L4 - 1.96*_xlfn.STDEV.S(
    G4-AVERAGE(C4,G4),
    K4-AVERAGE(G4,K4),
    O4-AVERAGE(K4,O4)
  )
)</f>
        <v>0</v>
      </c>
      <c r="R4" s="10">
        <f t="shared" ref="R4:R67" si="5">IF(
    OR(ISBLANK(P4),ISBLANK(G4),ISBLANK(K4),ISBLANK(C4)),
    "",
    L4 + 1.96*_xlfn.STDEV.S(
    G4-AVERAGE(C4,G4),
    K4-AVERAGE(G4,K4),
    O4-AVERAGE(K4,O4)
  )
)</f>
        <v>0</v>
      </c>
      <c r="S4" s="1">
        <f>SUMIFS(
  '[1]Hoja 1'!$M:$M,
  '[1]Hoja 1'!$S:$S, $A4,
  '[1]Hoja 1'!$R:$R, "&gt;="&amp;INT($U$1),
  '[1]Hoja 1'!$R:$R, "&lt;"&amp;INT($V$1+1)
)</f>
        <v>0</v>
      </c>
      <c r="T4" s="1">
        <f t="shared" ref="T4:T67" si="6">IF(
    OR(ISBLANK(O4),ISBLANK(S4)),
    "",
    ROUND(AVERAGE(O4,S4),0)
)</f>
        <v>0</v>
      </c>
      <c r="U4" s="9">
        <f t="shared" ref="U4:U67" si="7">IF(
    OR(ISBLANK(L4),ISBLANK(G4),ISBLANK(K4),ISBLANK(C4)),
    "",
    T4 - 1.96*_xlfn.STDEV.S(
    G4-AVERAGE(C4,G4),
    K4-AVERAGE(G4,K4),
    O4-AVERAGE(K4,O4),
    S4-AVERAGE(O4,S4)
  )
)</f>
        <v>0</v>
      </c>
      <c r="V4" s="10">
        <f t="shared" ref="V4:V67" si="8">IF(
    OR(ISBLANK(L4),ISBLANK(G4),ISBLANK(K4),ISBLANK(C4)),
    "",
    T4 + 1.96*_xlfn.STDEV.S(
    G4-AVERAGE(C4,G4),
    K4-AVERAGE(G4,K4),
    O4-AVERAGE(K4,O4),
    S4-AVERAGE(O4,S4)
  )
)</f>
        <v>0</v>
      </c>
      <c r="W4" s="1">
        <f>SUMIFS(
  '[1]Hoja 1'!$M:$M,
  '[1]Hoja 1'!$S:$S, $A4,
  '[1]Hoja 1'!$R:$R, "&gt;="&amp;INT($Y$1),
  '[1]Hoja 1'!$R:$R, "&lt;"&amp;INT($Z$1+1)
)</f>
        <v>0</v>
      </c>
      <c r="X4" s="1">
        <f t="shared" ref="X4:X67" si="9">IF(
    OR(ISBLANK(S4),ISBLANK(W4)),
    "",
    ROUND(AVERAGE(S4,W4),0)
)</f>
        <v>0</v>
      </c>
      <c r="Y4" s="9">
        <f t="shared" ref="Y4:Y67" si="10">IF(
    OR(ISBLANK(P4),ISBLANK(K4),ISBLANK(O4),ISBLANK(G4)),
    "",
    X4 - 1.96*_xlfn.STDEV.S(
    K4-AVERAGE(G4,K4),
    O4-AVERAGE(K4,O4),
    S4-AVERAGE(O4,S4),
    W4-AVERAGE(S4,W4)
  )
)</f>
        <v>0</v>
      </c>
      <c r="Z4" s="10">
        <f t="shared" ref="Z4:Z67" si="11">IF(
    OR(ISBLANK(P4),ISBLANK(K4),ISBLANK(O4),ISBLANK(G4)),
    "",
    X4 + 1.96*_xlfn.STDEV.S(
    K4-AVERAGE(G4,K4),
    O4-AVERAGE(K4,O4),
    S4-AVERAGE(O4,S4),
    W4-AVERAGE(S4,W4)
  )
)</f>
        <v>0</v>
      </c>
      <c r="AA4" s="1">
        <f>SUMIFS(
  '[1]Hoja 1'!$M:$M,
  '[1]Hoja 1'!$S:$S, $A4,
  '[1]Hoja 1'!$R:$R, "&gt;="&amp;INT($AC$1),
  '[1]Hoja 1'!$R:$R, "&lt;"&amp;INT($AD$1+1)
)</f>
        <v>0</v>
      </c>
      <c r="AB4" s="1">
        <f t="shared" ref="AB4:AB67" si="12">IF(
    OR(ISBLANK(W4),ISBLANK(AA4)),
    "",
    ROUND(AVERAGE(W4,AA4),0)
)</f>
        <v>0</v>
      </c>
      <c r="AC4" s="9">
        <f t="shared" ref="AC4:AC67" si="13">IF(
    OR(ISBLANK(T4),ISBLANK(O4),ISBLANK(S4),ISBLANK(K4)),
    "",
    AB4 - 1.96*_xlfn.STDEV.S(
    O4-AVERAGE(K4,O4),
    S4-AVERAGE(O4,S4),
    W4-AVERAGE(S4,W4),
    AA4-AVERAGE(W4,AA4),
  )
)</f>
        <v>0</v>
      </c>
      <c r="AD4" s="10">
        <f t="shared" ref="AD4:AD67" si="14">IF(
    OR(ISBLANK(T4),ISBLANK(O4),ISBLANK(S4),ISBLANK(K4)),
    "",
    AB4 + 1.96*_xlfn.STDEV.S(
    O4-AVERAGE(K4,O4),
    S4-AVERAGE(O4,S4),
    W4-AVERAGE(S4,W4),
    AA4-AVERAGE(W4,AA4)
  )
)</f>
        <v>0</v>
      </c>
      <c r="AE4" s="1">
        <f>SUMIFS(
  '[1]Hoja 1'!$M:$M,
  '[1]Hoja 1'!$S:$S, $A4,
  '[1]Hoja 1'!$R:$R, "&gt;="&amp;INT($AG$1),
  '[1]Hoja 1'!$R:$R, "&lt;"&amp;INT($AH$1+1)
)</f>
        <v>0</v>
      </c>
      <c r="AF4" s="1">
        <f t="shared" ref="AF4:AF67" si="15">IF(
    OR(ISBLANK(AA4),ISBLANK(AE4)),
    "",
    ROUND(AVERAGE(AA4,AE4),0)
)</f>
        <v>0</v>
      </c>
      <c r="AG4" s="9">
        <f t="shared" ref="AG4:AG67" si="16">IF(
    OR(ISBLANK(X4),ISBLANK(S4),ISBLANK(W4),ISBLANK(O4)),
    "",
    AF4 - 1.96*_xlfn.STDEV.S(
    S4-AVERAGE(O4,S4),
    W4-AVERAGE(S4,W4),
    AA4-AVERAGE(W4,AA4),
    AE4-AVERAGE(AA4,AE4),
  )
)</f>
        <v>0</v>
      </c>
      <c r="AH4" s="10">
        <f t="shared" ref="AH4:AH67" si="17">IF(
    OR(ISBLANK(X4),ISBLANK(S4),ISBLANK(W4),ISBLANK(O4)),
    "",
    AF4 + 1.96*_xlfn.STDEV.S(
    S4-AVERAGE(O4,S4),
    W4-AVERAGE(S4,W4),
    AA4-AVERAGE(W4,AA4),
    AE4-AVERAGE(AA4,AE4)
  )
)</f>
        <v>0</v>
      </c>
      <c r="AI4" s="1">
        <f>SUMIFS(
  '[1]Hoja 1'!$M:$M,
  '[1]Hoja 1'!$S:$S, $A4,
  '[1]Hoja 1'!$R:$R, "&gt;="&amp;INT($AK$1),
  '[1]Hoja 1'!$R:$R, "&lt;"&amp;INT($AL$1+1)
)</f>
        <v>0</v>
      </c>
      <c r="AJ4" s="1">
        <f t="shared" ref="AJ4:AJ67" si="18">IF(
    OR(ISBLANK(AE4),ISBLANK(AI4)),
    "",
    ROUND(AVERAGE(AE4,AI4),0)
)</f>
        <v>0</v>
      </c>
      <c r="AK4" s="9">
        <f t="shared" ref="AK4:AK67" si="19">IF(
    OR(ISBLANK(AB4),ISBLANK(W4),ISBLANK(AA4),ISBLANK(S4)),
    "",
    AJ4 - 1.96*_xlfn.STDEV.S(
    W4-AVERAGE(S4,W4),
    AA4-AVERAGE(W4,AA4),
    AE4-AVERAGE(AA4,AE4),
    AI4-AVERAGE(AE4,AI4),
  )
)</f>
        <v>0</v>
      </c>
      <c r="AL4" s="10">
        <f t="shared" ref="AL4:AL67" si="20">IF(
    OR(ISBLANK(AB4),ISBLANK(W4),ISBLANK(AA4),ISBLANK(S4)),
    "",
    AJ4 + 1.96*_xlfn.STDEV.S(
    W4-AVERAGE(S4,W4),
    AA4-AVERAGE(W4,AA4),
    AE4-AVERAGE(AA4,AE4),
    AI4-AVERAGE(AE4,AI4)
  )
)</f>
        <v>0</v>
      </c>
      <c r="AM4" s="1">
        <f>SUMIFS(
  '[1]Hoja 1'!$M:$M,
  '[1]Hoja 1'!$S:$S, $A4,
  '[1]Hoja 1'!$R:$R, "&gt;="&amp;INT($AO$1),
  '[1]Hoja 1'!$R:$R, "&lt;"&amp;INT($AP$1+1)
)</f>
        <v>0</v>
      </c>
      <c r="AN4" s="1">
        <f t="shared" ref="AN4:AN67" si="21">IF(
    OR(ISBLANK(AI4),ISBLANK(AM4)),
    "",
    ROUND(AVERAGE(AI4,AM4),0)
)</f>
        <v>0</v>
      </c>
      <c r="AO4" s="9">
        <f t="shared" ref="AO4:AO67" si="22">IF(
    OR(ISBLANK(AF4),ISBLANK(AA4),ISBLANK(AE4),ISBLANK(W4)),
    "",
    AN4 - 1.96*_xlfn.STDEV.S(
    AA4-AVERAGE(W4,AA4),
    AE4-AVERAGE(AA4,AE4),
    AI4-AVERAGE(AE4,AI4),
    AM4-AVERAGE(AI4,AM4),
  )
)</f>
        <v>0</v>
      </c>
      <c r="AP4" s="10">
        <f t="shared" ref="AP4:AP67" si="23">IF(
    OR(ISBLANK(AF4),ISBLANK(AA4),ISBLANK(AE4),ISBLANK(W4)),
    "",
    AN4 + 1.96*_xlfn.STDEV.S(
    AA4-AVERAGE(W4,AA4),
    AE4-AVERAGE(AA4,AE4),
    AI4-AVERAGE(AE4,AI4),
    AM4-AVERAGE(AI4,AM4)
  )
)</f>
        <v>0</v>
      </c>
      <c r="AQ4" s="1">
        <f>SUMIFS(
  '[1]Hoja 1'!$M:$M,
  '[1]Hoja 1'!$S:$S, $A4,
  '[1]Hoja 1'!$R:$R, "&gt;="&amp;INT($AS$1),
  '[1]Hoja 1'!$R:$R, "&lt;"&amp;INT($AT$1+1)
)</f>
        <v>0</v>
      </c>
      <c r="AR4" s="1">
        <f t="shared" ref="AR4:AR67" si="24">IF(
    OR(ISBLANK(AM4),ISBLANK(AQ4)),
    "",
    ROUND(AVERAGE(AM4,AQ4),0)
)</f>
        <v>0</v>
      </c>
      <c r="AS4" s="9">
        <f t="shared" ref="AS4:AS67" si="25">IF(
    OR(ISBLANK(AJ4),ISBLANK(AE4),ISBLANK(AI4),ISBLANK(AA4)),
    "",
    AR4 - 1.96*_xlfn.STDEV.S(
    AE4-AVERAGE(AA4,AE4),
    AI4-AVERAGE(AE4,AI4),
    AM4-AVERAGE(AI4,AM4),
    AQ4-AVERAGE(AM4,AQ4),
  )
)</f>
        <v>0</v>
      </c>
      <c r="AT4" s="10">
        <f t="shared" ref="AT4:AT67" si="26">IF(
    OR(ISBLANK(AJ4),ISBLANK(AE4),ISBLANK(AI4),ISBLANK(AA4)),
    "",
    AR4 + 1.96*_xlfn.STDEV.S(
    AE4-AVERAGE(AA4,AE4),
    AI4-AVERAGE(AE4,AI4),
    AM4-AVERAGE(AI4,AM4),
    AQ4-AVERAGE(AM4,AQ4)
  )
)</f>
        <v>0</v>
      </c>
      <c r="AU4" s="1">
        <f>SUMIFS(
  '[1]Hoja 1'!$M:$M,
  '[1]Hoja 1'!$S:$S, $A4,
  '[1]Hoja 1'!$R:$R, "&gt;="&amp;INT($AW$1),
  '[1]Hoja 1'!$R:$R, "&lt;"&amp;INT($AX$1+1)
)</f>
        <v>0</v>
      </c>
      <c r="AV4" s="1">
        <f t="shared" ref="AV4:AV67" si="27">IF(
    OR(ISBLANK(AQ4),ISBLANK(AU4)),
    "",
    ROUND(AVERAGE(AQ4,AU4),0)
)</f>
        <v>0</v>
      </c>
      <c r="AW4" s="9">
        <f t="shared" ref="AW4:AW67" si="28">IF(
    OR(ISBLANK(AN4),ISBLANK(AI4),ISBLANK(AM4),ISBLANK(AE4)),
    "",
    AV4 - 1.96*_xlfn.STDEV.S(
    AI4-AVERAGE(AE4,AI4),
    AM4-AVERAGE(AI4,AM4),
    AQ4-AVERAGE(AM4,AQ4),
    AU4-AVERAGE(AQ4,AU4),
  )
)</f>
        <v>0</v>
      </c>
      <c r="AX4" s="10">
        <f t="shared" ref="AX4:AX67" si="29">IF(
    OR(ISBLANK(AN4),ISBLANK(AI4),ISBLANK(AM4),ISBLANK(AE4)),
    "",
    AV4 + 1.96*_xlfn.STDEV.S(
    AI4-AVERAGE(AE4,AI4),
    AM4-AVERAGE(AI4,AM4),
    AQ4-AVERAGE(AM4,AQ4),
    AU4-AVERAGE(AQ4,AU4)
  )
)</f>
        <v>0</v>
      </c>
      <c r="AY4" s="1">
        <f>SUMIFS(
  '[1]Hoja 1'!$M:$M,
  '[1]Hoja 1'!$S:$S, $A4,
  '[1]Hoja 1'!$R:$R, "&gt;="&amp;INT($BA$1),
  '[1]Hoja 1'!$R:$R, "&lt;"&amp;INT($BB$1+1)
)</f>
        <v>0</v>
      </c>
      <c r="AZ4" s="1">
        <f t="shared" ref="AZ4:AZ67" si="30">IF(
    OR(ISBLANK(AU4),ISBLANK(AY4)),
    "",
    ROUND(AVERAGE(AU4,AY4),0)
)</f>
        <v>0</v>
      </c>
      <c r="BA4" s="9">
        <f t="shared" ref="BA4:BA67" si="31">IF(
    OR(ISBLANK(AR4),ISBLANK(AM4),ISBLANK(AQ4),ISBLANK(AI4)),
    "",
    AZ4 - 1.96*_xlfn.STDEV.S(
    AM4-AVERAGE(AI4,AM4),
    AQ4-AVERAGE(AM4,AQ4),
    AU4-AVERAGE(AQ4,AU4),
    AY4-AVERAGE(AU4,AY4),
  )
)</f>
        <v>0</v>
      </c>
      <c r="BB4" s="10">
        <f t="shared" ref="BB4:BB67" si="32">IF(
    OR(ISBLANK(AR4),ISBLANK(AM4),ISBLANK(AQ4),ISBLANK(AI4)),
    "",
    AZ4 + 1.96*_xlfn.STDEV.S(
    AM4-AVERAGE(AI4,AM4),
    AQ4-AVERAGE(AM4,AQ4),
    AU4-AVERAGE(AQ4,AU4),
    AY4-AVERAGE(AU4,AY4)
  )
)</f>
        <v>0</v>
      </c>
      <c r="BC4" s="1">
        <f>SUMIFS(
  '[1]Hoja 1'!$M:$M,
  '[1]Hoja 1'!$S:$S, $A4,
  '[1]Hoja 1'!$R:$R, "&gt;="&amp;INT($BE$1),
  '[1]Hoja 1'!$R:$R, "&lt;"&amp;INT($BF$1+1)
)</f>
        <v>0</v>
      </c>
      <c r="BD4" s="1">
        <f t="shared" ref="BD4:BD67" si="33">IF(
    OR(ISBLANK(AY4),ISBLANK(BC4)),
    "",
    ROUND(AVERAGE(AY4,BC4),0)
)</f>
        <v>0</v>
      </c>
      <c r="BE4" s="9">
        <f t="shared" ref="BE4:BE67" si="34">IF(
    OR(ISBLANK(AV4),ISBLANK(AQ4),ISBLANK(AU4),ISBLANK(AM4)),
    "",
    BD4 - 1.96*_xlfn.STDEV.S(
    AQ4-AVERAGE(AM4,AQ4),
    AU4-AVERAGE(AQ4,AU4),
    AY4-AVERAGE(AU4,AY4),
    BC4-AVERAGE(AY4,BC4),
  )
)</f>
        <v>0</v>
      </c>
      <c r="BF4" s="10">
        <f t="shared" ref="BF4:BF67" si="35">IF(
    OR(ISBLANK(AV4),ISBLANK(AQ4),ISBLANK(AU4),ISBLANK(AM4)),
    "",
    BD4 + 1.96*_xlfn.STDEV.S(
    AQ4-AVERAGE(AM4,AQ4),
    AU4-AVERAGE(AQ4,AU4),
    AY4-AVERAGE(AU4,AY4),
    BC4-AVERAGE(AY4,BC4)
  )
)</f>
        <v>0</v>
      </c>
      <c r="BG4" s="1">
        <f>SUMIFS(
  '[1]Hoja 1'!$M:$M,
  '[1]Hoja 1'!$S:$S, $A4,
  '[1]Hoja 1'!$R:$R, "&gt;="&amp;INT($BI$1),
  '[1]Hoja 1'!$R:$R, "&lt;"&amp;INT($BJ$1+1)
)</f>
        <v>0</v>
      </c>
      <c r="BH4" s="1">
        <f t="shared" ref="BH4:BH67" si="36">IF(
    OR(ISBLANK(BC4),ISBLANK(BG4)),
    "",
    ROUND(AVERAGE(BC4,BG4),0)
)</f>
        <v>0</v>
      </c>
      <c r="BI4" s="9">
        <f t="shared" ref="BI4:BI67" si="37">IF(
    OR(ISBLANK(AZ4),ISBLANK(AU4),ISBLANK(AY4),ISBLANK(AQ4)),
    "",
    BH4 - 1.96*_xlfn.STDEV.S(
    AU4-AVERAGE(AQ4,AU4),
    AY4-AVERAGE(AU4,AY4),
    BC4-AVERAGE(AY4,BC4),
    BG4-AVERAGE(BC4,BG4),
  )
)</f>
        <v>0</v>
      </c>
      <c r="BJ4" s="10">
        <f t="shared" ref="BJ4:BJ67" si="38">IF(
    OR(ISBLANK(AZ4),ISBLANK(AU4),ISBLANK(AY4),ISBLANK(AQ4)),
    "",
    BH4 + 1.96*_xlfn.STDEV.S(
    AU4-AVERAGE(AQ4,AU4),
    AY4-AVERAGE(AU4,AY4),
    BC4-AVERAGE(AY4,BC4),
    BG4-AVERAGE(BC4,BG4)
  )
)</f>
        <v>0</v>
      </c>
      <c r="BK4" s="1">
        <f>SUMIFS(
  '[1]Hoja 1'!$M:$M,
  '[1]Hoja 1'!$S:$S, $A4,
  '[1]Hoja 1'!$R:$R, "&gt;="&amp;INT($BM$1),
  '[1]Hoja 1'!$R:$R, "&lt;"&amp;INT($BN$1+1)
)</f>
        <v>0</v>
      </c>
      <c r="BL4" s="1">
        <f t="shared" ref="BL4:BL67" si="39">IF(
    OR(ISBLANK(BG4),ISBLANK(BK4)),
    "",
    ROUND(AVERAGE(BG4,BK4),0)
)</f>
        <v>0</v>
      </c>
      <c r="BM4" s="9">
        <f t="shared" ref="BM4:BM67" si="40">IF(
    OR(ISBLANK(BD4),ISBLANK(AY4),ISBLANK(BC4),ISBLANK(AU4)),
    "",
    BL4 - 1.96*_xlfn.STDEV.S(
    AY4-AVERAGE(AU4,AY4),
    BC4-AVERAGE(AY4,BC4),
    BG4-AVERAGE(BC4,BG4),
    BK4-AVERAGE(BG4,BK4),
  )
)</f>
        <v>0</v>
      </c>
      <c r="BN4" s="10">
        <f t="shared" ref="BN4:BN67" si="41">IF(
    OR(ISBLANK(BD4),ISBLANK(AY4),ISBLANK(BC4),ISBLANK(AU4)),
    "",
    BL4 + 1.96*_xlfn.STDEV.S(
    AY4-AVERAGE(AU4,AY4),
    BC4-AVERAGE(AY4,BC4),
    BG4-AVERAGE(BC4,BG4),
    BK4-AVERAGE(BG4,BK4)
  )
)</f>
        <v>0</v>
      </c>
      <c r="BO4" s="1">
        <f>SUMIFS(
  '[1]Hoja 1'!$M:$M,
  '[1]Hoja 1'!$S:$S, $A4,
  '[1]Hoja 1'!$R:$R, "&gt;="&amp;INT($BQ$1),
  '[1]Hoja 1'!$R:$R, "&lt;"&amp;INT($BR$1+1)
)</f>
        <v>0</v>
      </c>
      <c r="BP4" s="1">
        <f t="shared" ref="BP4:BP67" si="42">IF(
    OR(ISBLANK(BK4),ISBLANK(BO4)),
    "",
    ROUND(AVERAGE(BK4,BO4),0)
)</f>
        <v>0</v>
      </c>
      <c r="BQ4" s="9">
        <f t="shared" ref="BQ4:BQ67" si="43">IF(
    OR(ISBLANK(BH4),ISBLANK(BC4),ISBLANK(BG4),ISBLANK(AY4)),
    "",
    BP4 - 1.96*_xlfn.STDEV.S(
    BC4-AVERAGE(AY4,BC4),
    BG4-AVERAGE(BC4,BG4),
    BK4-AVERAGE(BG4,BK4),
    BO4-AVERAGE(BK4,BO4),
  )
)</f>
        <v>0</v>
      </c>
      <c r="BR4" s="10">
        <f t="shared" ref="BR4:BR67" si="44">IF(
    OR(ISBLANK(BH4),ISBLANK(BC4),ISBLANK(BG4),ISBLANK(AY4)),
    "",
    BP4 + 1.96*_xlfn.STDEV.S(
    BC4-AVERAGE(AY4,BC4),
    BG4-AVERAGE(BC4,BG4),
    BK4-AVERAGE(BG4,BK4),
    BO4-AVERAGE(BK4,BO4)
  )
)</f>
        <v>0</v>
      </c>
      <c r="BS4" s="1">
        <f>SUMIFS(
  '[1]Hoja 1'!$M:$M,
  '[1]Hoja 1'!$S:$S, $A4,
  '[1]Hoja 1'!$R:$R, "&gt;="&amp;INT($BU$1),
  '[1]Hoja 1'!$R:$R, "&lt;"&amp;INT($BV$1+1)
)</f>
        <v>0</v>
      </c>
      <c r="BT4" s="1">
        <f t="shared" ref="BT4:BT67" si="45">IF(
    OR(ISBLANK(BO4),ISBLANK(BS4)),
    "",
    ROUND(AVERAGE(BO4,BS4),0)
)</f>
        <v>0</v>
      </c>
      <c r="BU4" s="9">
        <f t="shared" ref="BU4:BU67" si="46">IF(
    OR(ISBLANK(BL4),ISBLANK(BG4),ISBLANK(BK4),ISBLANK(BC4)),
    "",
    BT4 - 1.96*_xlfn.STDEV.S(
    BG4-AVERAGE(BC4,BG4),
    BK4-AVERAGE(BG4,BK4),
    BO4-AVERAGE(BK4,BO4),
    BS4-AVERAGE(BO4,BS4),
  )
)</f>
        <v>0</v>
      </c>
      <c r="BV4" s="10">
        <f t="shared" ref="BV4:BV67" si="47">IF(
    OR(ISBLANK(BL4),ISBLANK(BG4),ISBLANK(BK4),ISBLANK(BC4)),
    "",
    BT4 + 1.96*_xlfn.STDEV.S(
    BG4-AVERAGE(BC4,BG4),
    BK4-AVERAGE(BG4,BK4),
    BO4-AVERAGE(BK4,BO4),
    BS4-AVERAGE(BO4,BS4)
  )
)</f>
        <v>0</v>
      </c>
      <c r="BW4" s="1">
        <f>SUMIFS(
  '[1]Hoja 1'!$M:$M,
  '[1]Hoja 1'!$S:$S, $A4,
  '[1]Hoja 1'!$R:$R, "&gt;="&amp;INT($BY$1),
  '[1]Hoja 1'!$R:$R, "&lt;"&amp;INT($BZ$1+1)
)</f>
        <v>0</v>
      </c>
      <c r="BX4" s="1">
        <f t="shared" ref="BX4:BX67" si="48">IF(
    OR(ISBLANK(BS4),ISBLANK(BW4)),
    "",
    ROUND(AVERAGE(BS4,BW4),0)
)</f>
        <v>0</v>
      </c>
      <c r="BY4" s="9">
        <f t="shared" ref="BY4:BY67" si="49">IF(
    OR(ISBLANK(BP4),ISBLANK(BK4),ISBLANK(BO4),ISBLANK(BG4)),
    "",
    BX4 - 1.96*_xlfn.STDEV.S(
    BK4-AVERAGE(BG4,BK4),
    BO4-AVERAGE(BK4,BO4),
    BS4-AVERAGE(BO4,BS4),
    BW4-AVERAGE(BS4,BW4),
  )
)</f>
        <v>0</v>
      </c>
      <c r="BZ4" s="10">
        <f t="shared" ref="BZ4:BZ67" si="50">IF(
    OR(ISBLANK(BP4),ISBLANK(BK4),ISBLANK(BO4),ISBLANK(BG4)),
    "",
    BX4 + 1.96*_xlfn.STDEV.S(
    BK4-AVERAGE(BG4,BK4),
    BO4-AVERAGE(BK4,BO4),
    BS4-AVERAGE(BO4,BS4),
    BW4-AVERAGE(BS4,BW4)
  )
)</f>
        <v>0</v>
      </c>
      <c r="CA4" s="1">
        <f>SUMIFS(
  '[1]Hoja 1'!$M:$M,
  '[1]Hoja 1'!$S:$S, $A4,
  '[1]Hoja 1'!$R:$R, "&gt;="&amp;INT($CC$1),
  '[1]Hoja 1'!$R:$R, "&lt;"&amp;INT($CD$1+1)
)</f>
        <v>0</v>
      </c>
      <c r="CB4" s="1">
        <f t="shared" ref="CB4:CB67" si="51">IF(
    OR(ISBLANK(BW4),ISBLANK(CA4)),
    "",
    ROUND(AVERAGE(BW4,CA4),0)
)</f>
        <v>0</v>
      </c>
      <c r="CC4" s="9">
        <f t="shared" ref="CC4:CC67" si="52">IF(
    OR(ISBLANK(BT4),ISBLANK(BO4),ISBLANK(BS4),ISBLANK(BK4)),
    "",
    CB4 - 1.96*_xlfn.STDEV.S(
    BO4-AVERAGE(BK4,BO4),
    BS4-AVERAGE(BO4,BS4),
    BW4-AVERAGE(BS4,BW4),
    CA4-AVERAGE(BW4,CA4),
  )
)</f>
        <v>0</v>
      </c>
      <c r="CD4" s="10">
        <f t="shared" ref="CD4:CD67" si="53">IF(
    OR(ISBLANK(BT4),ISBLANK(BO4),ISBLANK(BS4),ISBLANK(BK4)),
    "",
    CB4 + 1.96*_xlfn.STDEV.S(
    BO4-AVERAGE(BK4,BO4),
    BS4-AVERAGE(BO4,BS4),
    BW4-AVERAGE(BS4,BW4),
    CA4-AVERAGE(BW4,CA4)
  )
)</f>
        <v>0</v>
      </c>
      <c r="CE4" s="1">
        <f>SUMIFS(
  '[1]Hoja 1'!$M:$M,
  '[1]Hoja 1'!$S:$S, $A4,
  '[1]Hoja 1'!$R:$R, "&gt;="&amp;INT($CG$1),
  '[1]Hoja 1'!$R:$R, "&lt;"&amp;INT($CH$1+1)
)</f>
        <v>0</v>
      </c>
      <c r="CF4" s="1">
        <f t="shared" ref="CF4:CF67" si="54">IF(
    OR(ISBLANK(CA4),ISBLANK(CE4)),
    "",
    ROUND(AVERAGE(CA4,CE4),0)
)</f>
        <v>0</v>
      </c>
      <c r="CG4" s="9">
        <f t="shared" ref="CG4:CG67" si="55">IF(
    OR(ISBLANK(BX4),ISBLANK(BS4),ISBLANK(BW4),ISBLANK(BO4)),
    "",
    CF4 - 1.96*_xlfn.STDEV.S(
    BS4-AVERAGE(BO4,BS4),
    BW4-AVERAGE(BS4,BW4),
    CA4-AVERAGE(BW4,CA4),
    CE4-AVERAGE(CA4,CE4),
  )
)</f>
        <v>0</v>
      </c>
      <c r="CH4" s="10">
        <f t="shared" ref="CH4:CH67" si="56">IF(
    OR(ISBLANK(BX4),ISBLANK(BS4),ISBLANK(BW4),ISBLANK(BO4)),
    "",
    CF4 + 1.96*_xlfn.STDEV.S(
    BS4-AVERAGE(BO4,BS4),
    BW4-AVERAGE(BS4,BW4),
    CA4-AVERAGE(BW4,CA4),
    CE4-AVERAGE(CA4,CE4)
  )
)</f>
        <v>0</v>
      </c>
      <c r="CI4" s="1">
        <f>SUMIFS(
  '[1]Hoja 1'!$M:$M,
  '[1]Hoja 1'!$S:$S, $A4,
  '[1]Hoja 1'!$R:$R, "&gt;="&amp;INT($CK$1),
  '[1]Hoja 1'!$R:$R, "&lt;"&amp;INT($CL$1+1)
)</f>
        <v>0</v>
      </c>
      <c r="CJ4" s="1">
        <f t="shared" ref="CJ4:CJ67" si="57">IF(
    OR(ISBLANK(CE4),ISBLANK(CI4)),
    "",
    ROUND(AVERAGE(CE4,CI4),0)
)</f>
        <v>0</v>
      </c>
      <c r="CK4" s="9">
        <f t="shared" ref="CK4:CK67" si="58">IF(
    OR(ISBLANK(CB4),ISBLANK(BW4),ISBLANK(CA4),ISBLANK(BS4)),
    "",
    CJ4 - 1.96*_xlfn.STDEV.S(
    BW4-AVERAGE(BS4,BW4),
    CA4-AVERAGE(BW4,CA4),
    CE4-AVERAGE(CA4,CE4),
    CI4-AVERAGE(CE4,CI4),
  )
)</f>
        <v>0</v>
      </c>
      <c r="CL4" s="10">
        <f t="shared" ref="CL4:CL67" si="59">IF(
    OR(ISBLANK(CB4),ISBLANK(BW4),ISBLANK(CA4),ISBLANK(BS4)),
    "",
    CJ4 + 1.96*_xlfn.STDEV.S(
    BW4-AVERAGE(BS4,BW4),
    CA4-AVERAGE(BW4,CA4),
    CE4-AVERAGE(CA4,CE4),
    CI4-AVERAGE(CE4,CI4)
  )
)</f>
        <v>0</v>
      </c>
      <c r="CM4" s="1">
        <f>SUMIFS(
  '[1]Hoja 1'!$M:$M,
  '[1]Hoja 1'!$S:$S, $A4,
  '[1]Hoja 1'!$R:$R, "&gt;="&amp;INT($CO$1),
  '[1]Hoja 1'!$R:$R, "&lt;"&amp;INT($CP$1+1)
)</f>
        <v>0</v>
      </c>
      <c r="CN4" s="1">
        <f t="shared" ref="CN4:CN67" si="60">IF(
    OR(ISBLANK(CI4),ISBLANK(CM4)),
    "",
    ROUND(AVERAGE(CI4,CM4),0)
)</f>
        <v>0</v>
      </c>
      <c r="CO4" s="9">
        <f t="shared" ref="CO4:CO67" si="61">IF(
    OR(ISBLANK(CF4),ISBLANK(CA4),ISBLANK(CE4),ISBLANK(BW4)),
    "",
    CN4 - 1.96*_xlfn.STDEV.S(
    CA4-AVERAGE(BW4,CA4),
    CE4-AVERAGE(CA4,CE4),
    CI4-AVERAGE(CE4,CI4),
    CM4-AVERAGE(CI4,CM4),
  )
)</f>
        <v>0</v>
      </c>
      <c r="CP4" s="10">
        <f t="shared" ref="CP4:CP67" si="62">IF(
    OR(ISBLANK(CF4),ISBLANK(CA4),ISBLANK(CE4),ISBLANK(BW4)),
    "",
    CN4 + 1.96*_xlfn.STDEV.S(
    CA4-AVERAGE(BW4,CA4),
    CE4-AVERAGE(CA4,CE4),
    CI4-AVERAGE(CE4,CI4),
    CM4-AVERAGE(CI4,CM4)
  )
)</f>
        <v>0</v>
      </c>
      <c r="CQ4" s="1">
        <f>SUMIFS(
  '[1]Hoja 1'!$M:$M,
  '[1]Hoja 1'!$S:$S, $A4,
  '[1]Hoja 1'!$R:$R, "&gt;="&amp;INT($CS$1),
  '[1]Hoja 1'!$R:$R, "&lt;"&amp;INT($CT$1+1)
)</f>
        <v>0</v>
      </c>
      <c r="CR4" s="1">
        <f t="shared" ref="CR4:CR67" si="63">IF(
    OR(ISBLANK(CM4),ISBLANK(CQ4)),
    "",
    ROUND(AVERAGE(CM4,CQ4),0)
)</f>
        <v>0</v>
      </c>
      <c r="CS4" s="9">
        <f t="shared" ref="CS4:CS67" si="64">IF(
    OR(ISBLANK(CJ4),ISBLANK(CE4),ISBLANK(CI4),ISBLANK(CA4)),
    "",
    CR4 - 1.96*_xlfn.STDEV.S(
    CE4-AVERAGE(CA4,CE4),
    CI4-AVERAGE(CE4,CI4),
    CM4-AVERAGE(CI4,CM4),
    CQ4-AVERAGE(CM4,CQ4),
  )
)</f>
        <v>0</v>
      </c>
      <c r="CT4" s="10">
        <f t="shared" ref="CT4:CT67" si="65">IF(
    OR(ISBLANK(CJ4),ISBLANK(CE4),ISBLANK(CI4),ISBLANK(CA4)),
    "",
    CR4 + 1.96*_xlfn.STDEV.S(
    CE4-AVERAGE(CA4,CE4),
    CI4-AVERAGE(CE4,CI4),
    CM4-AVERAGE(CI4,CM4),
    CQ4-AVERAGE(CM4,CQ4)
  )
)</f>
        <v>0</v>
      </c>
      <c r="CU4" s="1">
        <f>SUMIFS(
  '[1]Hoja 1'!$M:$M,
  '[1]Hoja 1'!$S:$S, $A4,
  '[1]Hoja 1'!$R:$R, "&gt;="&amp;INT($CW$1),
  '[1]Hoja 1'!$R:$R, "&lt;"&amp;INT($CX$1+1)
)</f>
        <v>0</v>
      </c>
      <c r="CV4" s="1">
        <f t="shared" ref="CV4:CV67" si="66">IF(
    OR(ISBLANK(CQ4),ISBLANK(CU4)),
    "",
    ROUND(AVERAGE(CQ4,CU4),0)
)</f>
        <v>0</v>
      </c>
      <c r="CW4" s="9">
        <f t="shared" ref="CW4:CW67" si="67">IF(
    OR(ISBLANK(CN4),ISBLANK(CI4),ISBLANK(CM4),ISBLANK(CE4)),
    "",
    CV4 - 1.96*_xlfn.STDEV.S(
    CI4-AVERAGE(CE4,CI4),
    CM4-AVERAGE(CI4,CM4),
    CQ4-AVERAGE(CM4,CQ4),
    CU4-AVERAGE(CQ4,CU4),
  )
)</f>
        <v>0</v>
      </c>
      <c r="CX4" s="10">
        <f t="shared" ref="CX4:CX67" si="68">IF(
    OR(ISBLANK(CN4),ISBLANK(CI4),ISBLANK(CM4),ISBLANK(CE4)),
    "",
    CV4 + 1.96*_xlfn.STDEV.S(
    CI4-AVERAGE(CE4,CI4),
    CM4-AVERAGE(CI4,CM4),
    CQ4-AVERAGE(CM4,CQ4),
    CU4-AVERAGE(CQ4,CU4)
  )
)</f>
        <v>0</v>
      </c>
      <c r="CY4" s="1">
        <f>SUMIFS(
  '[1]Hoja 1'!$M:$M,
  '[1]Hoja 1'!$S:$S, $A4,
  '[1]Hoja 1'!$R:$R, "&gt;="&amp;INT($DA$1),
  '[1]Hoja 1'!$R:$R, "&lt;"&amp;INT($DB$1+1)
)</f>
        <v>0</v>
      </c>
      <c r="CZ4" s="1">
        <f t="shared" ref="CZ4:CZ67" si="69">IF(
    OR(ISBLANK(CU4),ISBLANK(CY4)),
    "",
    ROUND(AVERAGE(CU4,CY4),0)
)</f>
        <v>0</v>
      </c>
      <c r="DA4" s="9">
        <f t="shared" ref="DA4:DA67" si="70">IF(
    OR(ISBLANK(CR4),ISBLANK(CM4),ISBLANK(CQ4),ISBLANK(CI4)),
    "",
    CZ4 - 1.96*_xlfn.STDEV.S(
    CM4-AVERAGE(CI4,CM4),
    CQ4-AVERAGE(CM4,CQ4),
    CU4-AVERAGE(CQ4,CU4),
    CY4-AVERAGE(CU4,CY4),
  )
)</f>
        <v>0</v>
      </c>
      <c r="DB4" s="10">
        <f t="shared" ref="DB4:DB67" si="71">IF(
    OR(ISBLANK(CR4),ISBLANK(CM4),ISBLANK(CQ4),ISBLANK(CI4)),
    "",
    CZ4 + 1.96*_xlfn.STDEV.S(
    CM4-AVERAGE(CI4,CM4),
    CQ4-AVERAGE(CM4,CQ4),
    CU4-AVERAGE(CQ4,CU4),
    CY4-AVERAGE(CU4,CY4)
  )
)</f>
        <v>0</v>
      </c>
      <c r="DC4" s="1">
        <f>SUMIFS(
  '[1]Hoja 1'!$M:$M,
  '[1]Hoja 1'!$S:$S, $A4,
  '[1]Hoja 1'!$R:$R, "&gt;="&amp;INT($DE$1),
  '[1]Hoja 1'!$R:$R, "&lt;"&amp;INT($DF$1+1)
)</f>
        <v>0</v>
      </c>
      <c r="DD4" s="1">
        <f t="shared" ref="DD4:DD67" si="72">IF(
    OR(ISBLANK(CY4),ISBLANK(DC4)),
    "",
    ROUND(AVERAGE(CY4,DC4),0)
)</f>
        <v>0</v>
      </c>
      <c r="DE4" s="9">
        <f t="shared" ref="DE4:DE67" si="73">IF(
    OR(ISBLANK(CV4),ISBLANK(CQ4),ISBLANK(CU4),ISBLANK(CM4)),
    "",
    DD4 - 1.96*_xlfn.STDEV.S(
    CQ4-AVERAGE(CM4,CQ4),
    CU4-AVERAGE(CQ4,CU4),
    CY4-AVERAGE(CU4,CY4),
    DC4-AVERAGE(CY4,DC4),
  )
)</f>
        <v>0</v>
      </c>
      <c r="DF4" s="10">
        <f t="shared" ref="DF4:DF67" si="74">IF(
    OR(ISBLANK(CV4),ISBLANK(CQ4),ISBLANK(CU4),ISBLANK(CM4)),
    "",
    DD4 + 1.96*_xlfn.STDEV.S(
    CQ4-AVERAGE(CM4,CQ4),
    CU4-AVERAGE(CQ4,CU4),
    CY4-AVERAGE(CU4,CY4),
    DC4-AVERAGE(CY4,DC4)
  )
)</f>
        <v>0</v>
      </c>
      <c r="DG4" s="1">
        <f>SUMIFS(
  '[1]Hoja 1'!$M:$M,
  '[1]Hoja 1'!$S:$S, $A4,
  '[1]Hoja 1'!$R:$R, "&gt;="&amp;INT($DI$1),
  '[1]Hoja 1'!$R:$R, "&lt;"&amp;INT($DJ$1+1)
)</f>
        <v>0</v>
      </c>
      <c r="DH4" s="1">
        <f t="shared" ref="DH4:DH67" si="75">IF(
    OR(ISBLANK(DC4),ISBLANK(DG4)),
    "",
    ROUND(AVERAGE(DC4,DG4),0)
)</f>
        <v>0</v>
      </c>
      <c r="DI4" s="9">
        <f t="shared" ref="DI4:DI67" si="76">IF(
    OR(ISBLANK(CZ4),ISBLANK(CU4),ISBLANK(CY4),ISBLANK(CQ4)),
    "",
    DH4 - 1.96*_xlfn.STDEV.S(
    CU4-AVERAGE(CQ4,CU4),
    CY4-AVERAGE(CU4,CY4),
    DC4-AVERAGE(CY4,DC4),
    DG4-AVERAGE(DC4,DG4),
  )
)</f>
        <v>0</v>
      </c>
      <c r="DJ4" s="10">
        <f t="shared" ref="DJ4:DJ67" si="77">IF(
    OR(ISBLANK(CZ4),ISBLANK(CU4),ISBLANK(CY4),ISBLANK(CQ4)),
    "",
    DH4 + 1.96*_xlfn.STDEV.S(
    CU4-AVERAGE(CQ4,CU4),
    CY4-AVERAGE(CU4,CY4),
    DC4-AVERAGE(CY4,DC4),
    DG4-AVERAGE(DC4,DG4)
  )
)</f>
        <v>0</v>
      </c>
      <c r="DK4" s="1">
        <f>SUMIFS(
  '[1]Hoja 1'!$M:$M,
  '[1]Hoja 1'!$S:$S, $A4,
  '[1]Hoja 1'!$R:$R, "&gt;="&amp;INT($DM$1),
  '[1]Hoja 1'!$R:$R, "&lt;"&amp;INT($DN$1+1)
)</f>
        <v>0</v>
      </c>
      <c r="DL4" s="1">
        <f t="shared" ref="DL4:DL67" si="78">IF(
    OR(ISBLANK(DG4),ISBLANK(DK4)),
    "",
    ROUND(AVERAGE(DG4,DK4),0)
)</f>
        <v>0</v>
      </c>
      <c r="DM4" s="9">
        <f t="shared" ref="DM4:DM67" si="79">IF(
    OR(ISBLANK(DD4),ISBLANK(CY4),ISBLANK(DC4),ISBLANK(CU4)),
    "",
    DL4 - 1.96*_xlfn.STDEV.S(
    CY4-AVERAGE(CU4,CY4),
    DC4-AVERAGE(CY4,DC4),
    DG4-AVERAGE(DC4,DG4),
    DK4-AVERAGE(DG4,DK4),
  )
)</f>
        <v>0</v>
      </c>
      <c r="DN4" s="10">
        <f t="shared" ref="DN4:DN67" si="80">IF(
    OR(ISBLANK(DD4),ISBLANK(CY4),ISBLANK(DC4),ISBLANK(CU4)),
    "",
    DL4 + 1.96*_xlfn.STDEV.S(
    CY4-AVERAGE(CU4,CY4),
    DC4-AVERAGE(CY4,DC4),
    DG4-AVERAGE(DC4,DG4),
    DK4-AVERAGE(DG4,DK4)
  )
)</f>
        <v>0</v>
      </c>
      <c r="DO4" s="1">
        <f>SUMIFS(
  '[1]Hoja 1'!$M:$M,
  '[1]Hoja 1'!$S:$S, $A4,
  '[1]Hoja 1'!$R:$R, "&gt;="&amp;INT($DQ$1),
  '[1]Hoja 1'!$R:$R, "&lt;"&amp;INT($DR$1+1)
)</f>
        <v>0</v>
      </c>
      <c r="DP4" s="1">
        <f t="shared" ref="DP4:DP67" si="81">IF(
    OR(ISBLANK(DK4),ISBLANK(DO4)),
    "",
    ROUND(AVERAGE(DK4,DO4),0)
)</f>
        <v>0</v>
      </c>
      <c r="DQ4" s="9">
        <f t="shared" ref="DQ4:DQ67" si="82">IF(
    OR(ISBLANK(DH4),ISBLANK(DC4),ISBLANK(DG4),ISBLANK(CY4)),
    "",
    DP4 - 1.96*_xlfn.STDEV.S(
    DC4-AVERAGE(CY4,DC4),
    DG4-AVERAGE(DC4,DG4),
    DK4-AVERAGE(DG4,DK4),
    DO4-AVERAGE(DK4,DO4),
  )
)</f>
        <v>0</v>
      </c>
      <c r="DR4" s="10">
        <f t="shared" ref="DR4:DR67" si="83">IF(
    OR(ISBLANK(DH4),ISBLANK(DC4),ISBLANK(DG4),ISBLANK(CY4)),
    "",
    DP4 + 1.96*_xlfn.STDEV.S(
    DC4-AVERAGE(CY4,DC4),
    DG4-AVERAGE(DC4,DG4),
    DK4-AVERAGE(DG4,DK4),
    DO4-AVERAGE(DK4,DO4)
  )
)</f>
        <v>0</v>
      </c>
    </row>
    <row r="5" spans="1:122" x14ac:dyDescent="0.25">
      <c r="A5" s="5">
        <v>201003</v>
      </c>
      <c r="B5" s="6" t="s">
        <v>12</v>
      </c>
      <c r="C5" s="1">
        <f>SUMIFS(
  '[1]Hoja 1'!$M:$M,
  '[1]Hoja 1'!$S:$S, $A5,
  '[1]Hoja 1'!$R:$R, "&gt;="&amp;INT($E$1),
  '[1]Hoja 1'!$R:$R, "&lt;"&amp;INT($F$1+1)
)</f>
        <v>0</v>
      </c>
      <c r="D5" s="1" t="str">
        <f>""</f>
        <v/>
      </c>
      <c r="F5" s="2"/>
      <c r="G5" s="1">
        <f>SUMIFS(
  '[1]Hoja 1'!$M:$M,
  '[1]Hoja 1'!$S:$S, $A5,
  '[1]Hoja 1'!$R:$R, "&gt;="&amp;INT($I$1),
  '[1]Hoja 1'!$R:$R, "&lt;"&amp;INT($J$1+1)
)</f>
        <v>0</v>
      </c>
      <c r="H5" s="1">
        <f t="shared" ref="H5:H67" si="84">IF(OR(ISBLANK(C5),ISBLANK(G5)),"",AVERAGE(C5,G5))</f>
        <v>0</v>
      </c>
      <c r="I5" s="1"/>
      <c r="J5" s="2"/>
      <c r="K5" s="1">
        <f>SUMIFS(
  '[1]Hoja 1'!$M:$M,
  '[1]Hoja 1'!$S:$S, $A5,
  '[1]Hoja 1'!$R:$R, "&gt;="&amp;INT($M$1),
  '[1]Hoja 1'!$R:$R, "&lt;"&amp;INT($N$1+1)
)</f>
        <v>0</v>
      </c>
      <c r="L5" s="1">
        <f t="shared" si="0"/>
        <v>0</v>
      </c>
      <c r="M5" s="9">
        <f t="shared" si="1"/>
        <v>0</v>
      </c>
      <c r="N5" s="10">
        <f t="shared" si="2"/>
        <v>0</v>
      </c>
      <c r="O5" s="1">
        <f>SUMIFS(
  '[1]Hoja 1'!$M:$M,
  '[1]Hoja 1'!$S:$S, $A5,
  '[1]Hoja 1'!$R:$R, "&gt;="&amp;INT($Q$1),
  '[1]Hoja 1'!$R:$R, "&lt;"&amp;INT($R$1+1)
)</f>
        <v>0</v>
      </c>
      <c r="P5" s="1">
        <f t="shared" si="3"/>
        <v>0</v>
      </c>
      <c r="Q5" s="9">
        <f t="shared" si="4"/>
        <v>0</v>
      </c>
      <c r="R5" s="10">
        <f t="shared" si="5"/>
        <v>0</v>
      </c>
      <c r="S5" s="1">
        <f>SUMIFS(
  '[1]Hoja 1'!$M:$M,
  '[1]Hoja 1'!$S:$S, $A5,
  '[1]Hoja 1'!$R:$R, "&gt;="&amp;INT($U$1),
  '[1]Hoja 1'!$R:$R, "&lt;"&amp;INT($V$1+1)
)</f>
        <v>0</v>
      </c>
      <c r="T5" s="1">
        <f t="shared" si="6"/>
        <v>0</v>
      </c>
      <c r="U5" s="9">
        <f t="shared" si="7"/>
        <v>0</v>
      </c>
      <c r="V5" s="10">
        <f t="shared" si="8"/>
        <v>0</v>
      </c>
      <c r="W5" s="1">
        <f>SUMIFS(
  '[1]Hoja 1'!$M:$M,
  '[1]Hoja 1'!$S:$S, $A5,
  '[1]Hoja 1'!$R:$R, "&gt;="&amp;INT($Y$1),
  '[1]Hoja 1'!$R:$R, "&lt;"&amp;INT($Z$1+1)
)</f>
        <v>0</v>
      </c>
      <c r="X5" s="1">
        <f t="shared" si="9"/>
        <v>0</v>
      </c>
      <c r="Y5" s="9">
        <f t="shared" si="10"/>
        <v>0</v>
      </c>
      <c r="Z5" s="10">
        <f t="shared" si="11"/>
        <v>0</v>
      </c>
      <c r="AA5" s="1">
        <f>SUMIFS(
  '[1]Hoja 1'!$M:$M,
  '[1]Hoja 1'!$S:$S, $A5,
  '[1]Hoja 1'!$R:$R, "&gt;="&amp;INT($AC$1),
  '[1]Hoja 1'!$R:$R, "&lt;"&amp;INT($AD$1+1)
)</f>
        <v>0</v>
      </c>
      <c r="AB5" s="1">
        <f t="shared" si="12"/>
        <v>0</v>
      </c>
      <c r="AC5" s="9">
        <f t="shared" si="13"/>
        <v>0</v>
      </c>
      <c r="AD5" s="10">
        <f t="shared" si="14"/>
        <v>0</v>
      </c>
      <c r="AE5" s="1">
        <f>SUMIFS(
  '[1]Hoja 1'!$M:$M,
  '[1]Hoja 1'!$S:$S, $A5,
  '[1]Hoja 1'!$R:$R, "&gt;="&amp;INT($AG$1),
  '[1]Hoja 1'!$R:$R, "&lt;"&amp;INT($AH$1+1)
)</f>
        <v>0</v>
      </c>
      <c r="AF5" s="1">
        <f t="shared" si="15"/>
        <v>0</v>
      </c>
      <c r="AG5" s="9">
        <f t="shared" si="16"/>
        <v>0</v>
      </c>
      <c r="AH5" s="10">
        <f t="shared" si="17"/>
        <v>0</v>
      </c>
      <c r="AI5" s="1">
        <f>SUMIFS(
  '[1]Hoja 1'!$M:$M,
  '[1]Hoja 1'!$S:$S, $A5,
  '[1]Hoja 1'!$R:$R, "&gt;="&amp;INT($AK$1),
  '[1]Hoja 1'!$R:$R, "&lt;"&amp;INT($AL$1+1)
)</f>
        <v>0</v>
      </c>
      <c r="AJ5" s="1">
        <f t="shared" si="18"/>
        <v>0</v>
      </c>
      <c r="AK5" s="9">
        <f t="shared" si="19"/>
        <v>0</v>
      </c>
      <c r="AL5" s="10">
        <f t="shared" si="20"/>
        <v>0</v>
      </c>
      <c r="AM5" s="1">
        <f>SUMIFS(
  '[1]Hoja 1'!$M:$M,
  '[1]Hoja 1'!$S:$S, $A5,
  '[1]Hoja 1'!$R:$R, "&gt;="&amp;INT($AO$1),
  '[1]Hoja 1'!$R:$R, "&lt;"&amp;INT($AP$1+1)
)</f>
        <v>0</v>
      </c>
      <c r="AN5" s="1">
        <f t="shared" si="21"/>
        <v>0</v>
      </c>
      <c r="AO5" s="9">
        <f t="shared" si="22"/>
        <v>0</v>
      </c>
      <c r="AP5" s="10">
        <f t="shared" si="23"/>
        <v>0</v>
      </c>
      <c r="AQ5" s="1">
        <f>SUMIFS(
  '[1]Hoja 1'!$M:$M,
  '[1]Hoja 1'!$S:$S, $A5,
  '[1]Hoja 1'!$R:$R, "&gt;="&amp;INT($AS$1),
  '[1]Hoja 1'!$R:$R, "&lt;"&amp;INT($AT$1+1)
)</f>
        <v>0</v>
      </c>
      <c r="AR5" s="1">
        <f t="shared" si="24"/>
        <v>0</v>
      </c>
      <c r="AS5" s="9">
        <f t="shared" si="25"/>
        <v>0</v>
      </c>
      <c r="AT5" s="10">
        <f t="shared" si="26"/>
        <v>0</v>
      </c>
      <c r="AU5" s="1">
        <f>SUMIFS(
  '[1]Hoja 1'!$M:$M,
  '[1]Hoja 1'!$S:$S, $A5,
  '[1]Hoja 1'!$R:$R, "&gt;="&amp;INT($AW$1),
  '[1]Hoja 1'!$R:$R, "&lt;"&amp;INT($AX$1+1)
)</f>
        <v>0</v>
      </c>
      <c r="AV5" s="1">
        <f t="shared" si="27"/>
        <v>0</v>
      </c>
      <c r="AW5" s="9">
        <f t="shared" si="28"/>
        <v>0</v>
      </c>
      <c r="AX5" s="10">
        <f t="shared" si="29"/>
        <v>0</v>
      </c>
      <c r="AY5" s="1">
        <f>SUMIFS(
  '[1]Hoja 1'!$M:$M,
  '[1]Hoja 1'!$S:$S, $A5,
  '[1]Hoja 1'!$R:$R, "&gt;="&amp;INT($BA$1),
  '[1]Hoja 1'!$R:$R, "&lt;"&amp;INT($BB$1+1)
)</f>
        <v>0</v>
      </c>
      <c r="AZ5" s="1">
        <f t="shared" si="30"/>
        <v>0</v>
      </c>
      <c r="BA5" s="9">
        <f t="shared" si="31"/>
        <v>0</v>
      </c>
      <c r="BB5" s="10">
        <f t="shared" si="32"/>
        <v>0</v>
      </c>
      <c r="BC5" s="1">
        <f>SUMIFS(
  '[1]Hoja 1'!$M:$M,
  '[1]Hoja 1'!$S:$S, $A5,
  '[1]Hoja 1'!$R:$R, "&gt;="&amp;INT($BE$1),
  '[1]Hoja 1'!$R:$R, "&lt;"&amp;INT($BF$1+1)
)</f>
        <v>0</v>
      </c>
      <c r="BD5" s="1">
        <f t="shared" si="33"/>
        <v>0</v>
      </c>
      <c r="BE5" s="9">
        <f t="shared" si="34"/>
        <v>0</v>
      </c>
      <c r="BF5" s="10">
        <f t="shared" si="35"/>
        <v>0</v>
      </c>
      <c r="BG5" s="1">
        <f>SUMIFS(
  '[1]Hoja 1'!$M:$M,
  '[1]Hoja 1'!$S:$S, $A5,
  '[1]Hoja 1'!$R:$R, "&gt;="&amp;INT($BI$1),
  '[1]Hoja 1'!$R:$R, "&lt;"&amp;INT($BJ$1+1)
)</f>
        <v>0</v>
      </c>
      <c r="BH5" s="1">
        <f t="shared" si="36"/>
        <v>0</v>
      </c>
      <c r="BI5" s="9">
        <f t="shared" si="37"/>
        <v>0</v>
      </c>
      <c r="BJ5" s="10">
        <f t="shared" si="38"/>
        <v>0</v>
      </c>
      <c r="BK5" s="1">
        <f>SUMIFS(
  '[1]Hoja 1'!$M:$M,
  '[1]Hoja 1'!$S:$S, $A5,
  '[1]Hoja 1'!$R:$R, "&gt;="&amp;INT($BM$1),
  '[1]Hoja 1'!$R:$R, "&lt;"&amp;INT($BN$1+1)
)</f>
        <v>0</v>
      </c>
      <c r="BL5" s="1">
        <f t="shared" si="39"/>
        <v>0</v>
      </c>
      <c r="BM5" s="9">
        <f t="shared" si="40"/>
        <v>0</v>
      </c>
      <c r="BN5" s="10">
        <f t="shared" si="41"/>
        <v>0</v>
      </c>
      <c r="BO5" s="1">
        <f>SUMIFS(
  '[1]Hoja 1'!$M:$M,
  '[1]Hoja 1'!$S:$S, $A5,
  '[1]Hoja 1'!$R:$R, "&gt;="&amp;INT($BQ$1),
  '[1]Hoja 1'!$R:$R, "&lt;"&amp;INT($BR$1+1)
)</f>
        <v>0</v>
      </c>
      <c r="BP5" s="1">
        <f t="shared" si="42"/>
        <v>0</v>
      </c>
      <c r="BQ5" s="9">
        <f t="shared" si="43"/>
        <v>0</v>
      </c>
      <c r="BR5" s="10">
        <f t="shared" si="44"/>
        <v>0</v>
      </c>
      <c r="BS5" s="1">
        <f>SUMIFS(
  '[1]Hoja 1'!$M:$M,
  '[1]Hoja 1'!$S:$S, $A5,
  '[1]Hoja 1'!$R:$R, "&gt;="&amp;INT($BU$1),
  '[1]Hoja 1'!$R:$R, "&lt;"&amp;INT($BV$1+1)
)</f>
        <v>0</v>
      </c>
      <c r="BT5" s="1">
        <f t="shared" si="45"/>
        <v>0</v>
      </c>
      <c r="BU5" s="9">
        <f t="shared" si="46"/>
        <v>0</v>
      </c>
      <c r="BV5" s="10">
        <f t="shared" si="47"/>
        <v>0</v>
      </c>
      <c r="BW5" s="1">
        <f>SUMIFS(
  '[1]Hoja 1'!$M:$M,
  '[1]Hoja 1'!$S:$S, $A5,
  '[1]Hoja 1'!$R:$R, "&gt;="&amp;INT($BY$1),
  '[1]Hoja 1'!$R:$R, "&lt;"&amp;INT($BZ$1+1)
)</f>
        <v>0</v>
      </c>
      <c r="BX5" s="1">
        <f t="shared" si="48"/>
        <v>0</v>
      </c>
      <c r="BY5" s="9">
        <f t="shared" si="49"/>
        <v>0</v>
      </c>
      <c r="BZ5" s="10">
        <f t="shared" si="50"/>
        <v>0</v>
      </c>
      <c r="CA5" s="1">
        <f>SUMIFS(
  '[1]Hoja 1'!$M:$M,
  '[1]Hoja 1'!$S:$S, $A5,
  '[1]Hoja 1'!$R:$R, "&gt;="&amp;INT($CC$1),
  '[1]Hoja 1'!$R:$R, "&lt;"&amp;INT($CD$1+1)
)</f>
        <v>0</v>
      </c>
      <c r="CB5" s="1">
        <f t="shared" si="51"/>
        <v>0</v>
      </c>
      <c r="CC5" s="9">
        <f t="shared" si="52"/>
        <v>0</v>
      </c>
      <c r="CD5" s="10">
        <f t="shared" si="53"/>
        <v>0</v>
      </c>
      <c r="CE5" s="1">
        <f>SUMIFS(
  '[1]Hoja 1'!$M:$M,
  '[1]Hoja 1'!$S:$S, $A5,
  '[1]Hoja 1'!$R:$R, "&gt;="&amp;INT($CG$1),
  '[1]Hoja 1'!$R:$R, "&lt;"&amp;INT($CH$1+1)
)</f>
        <v>0</v>
      </c>
      <c r="CF5" s="1">
        <f t="shared" si="54"/>
        <v>0</v>
      </c>
      <c r="CG5" s="9">
        <f t="shared" si="55"/>
        <v>0</v>
      </c>
      <c r="CH5" s="10">
        <f t="shared" si="56"/>
        <v>0</v>
      </c>
      <c r="CI5" s="1">
        <f>SUMIFS(
  '[1]Hoja 1'!$M:$M,
  '[1]Hoja 1'!$S:$S, $A5,
  '[1]Hoja 1'!$R:$R, "&gt;="&amp;INT($CK$1),
  '[1]Hoja 1'!$R:$R, "&lt;"&amp;INT($CL$1+1)
)</f>
        <v>0</v>
      </c>
      <c r="CJ5" s="1">
        <f t="shared" si="57"/>
        <v>0</v>
      </c>
      <c r="CK5" s="9">
        <f t="shared" si="58"/>
        <v>0</v>
      </c>
      <c r="CL5" s="10">
        <f t="shared" si="59"/>
        <v>0</v>
      </c>
      <c r="CM5" s="1">
        <f>SUMIFS(
  '[1]Hoja 1'!$M:$M,
  '[1]Hoja 1'!$S:$S, $A5,
  '[1]Hoja 1'!$R:$R, "&gt;="&amp;INT($CO$1),
  '[1]Hoja 1'!$R:$R, "&lt;"&amp;INT($CP$1+1)
)</f>
        <v>0</v>
      </c>
      <c r="CN5" s="1">
        <f t="shared" si="60"/>
        <v>0</v>
      </c>
      <c r="CO5" s="9">
        <f t="shared" si="61"/>
        <v>0</v>
      </c>
      <c r="CP5" s="10">
        <f t="shared" si="62"/>
        <v>0</v>
      </c>
      <c r="CQ5" s="1">
        <f>SUMIFS(
  '[1]Hoja 1'!$M:$M,
  '[1]Hoja 1'!$S:$S, $A5,
  '[1]Hoja 1'!$R:$R, "&gt;="&amp;INT($CS$1),
  '[1]Hoja 1'!$R:$R, "&lt;"&amp;INT($CT$1+1)
)</f>
        <v>0</v>
      </c>
      <c r="CR5" s="1">
        <f t="shared" si="63"/>
        <v>0</v>
      </c>
      <c r="CS5" s="9">
        <f t="shared" si="64"/>
        <v>0</v>
      </c>
      <c r="CT5" s="10">
        <f t="shared" si="65"/>
        <v>0</v>
      </c>
      <c r="CU5" s="1">
        <f>SUMIFS(
  '[1]Hoja 1'!$M:$M,
  '[1]Hoja 1'!$S:$S, $A5,
  '[1]Hoja 1'!$R:$R, "&gt;="&amp;INT($CW$1),
  '[1]Hoja 1'!$R:$R, "&lt;"&amp;INT($CX$1+1)
)</f>
        <v>0</v>
      </c>
      <c r="CV5" s="1">
        <f t="shared" si="66"/>
        <v>0</v>
      </c>
      <c r="CW5" s="9">
        <f t="shared" si="67"/>
        <v>0</v>
      </c>
      <c r="CX5" s="10">
        <f t="shared" si="68"/>
        <v>0</v>
      </c>
      <c r="CY5" s="1">
        <f>SUMIFS(
  '[1]Hoja 1'!$M:$M,
  '[1]Hoja 1'!$S:$S, $A5,
  '[1]Hoja 1'!$R:$R, "&gt;="&amp;INT($DA$1),
  '[1]Hoja 1'!$R:$R, "&lt;"&amp;INT($DB$1+1)
)</f>
        <v>0</v>
      </c>
      <c r="CZ5" s="1">
        <f t="shared" si="69"/>
        <v>0</v>
      </c>
      <c r="DA5" s="9">
        <f t="shared" si="70"/>
        <v>0</v>
      </c>
      <c r="DB5" s="10">
        <f t="shared" si="71"/>
        <v>0</v>
      </c>
      <c r="DC5" s="1">
        <f>SUMIFS(
  '[1]Hoja 1'!$M:$M,
  '[1]Hoja 1'!$S:$S, $A5,
  '[1]Hoja 1'!$R:$R, "&gt;="&amp;INT($DE$1),
  '[1]Hoja 1'!$R:$R, "&lt;"&amp;INT($DF$1+1)
)</f>
        <v>0</v>
      </c>
      <c r="DD5" s="1">
        <f t="shared" si="72"/>
        <v>0</v>
      </c>
      <c r="DE5" s="9">
        <f t="shared" si="73"/>
        <v>0</v>
      </c>
      <c r="DF5" s="10">
        <f t="shared" si="74"/>
        <v>0</v>
      </c>
      <c r="DG5" s="1">
        <f>SUMIFS(
  '[1]Hoja 1'!$M:$M,
  '[1]Hoja 1'!$S:$S, $A5,
  '[1]Hoja 1'!$R:$R, "&gt;="&amp;INT($DI$1),
  '[1]Hoja 1'!$R:$R, "&lt;"&amp;INT($DJ$1+1)
)</f>
        <v>0</v>
      </c>
      <c r="DH5" s="1">
        <f t="shared" si="75"/>
        <v>0</v>
      </c>
      <c r="DI5" s="9">
        <f t="shared" si="76"/>
        <v>0</v>
      </c>
      <c r="DJ5" s="10">
        <f t="shared" si="77"/>
        <v>0</v>
      </c>
      <c r="DK5" s="1">
        <f>SUMIFS(
  '[1]Hoja 1'!$M:$M,
  '[1]Hoja 1'!$S:$S, $A5,
  '[1]Hoja 1'!$R:$R, "&gt;="&amp;INT($DM$1),
  '[1]Hoja 1'!$R:$R, "&lt;"&amp;INT($DN$1+1)
)</f>
        <v>0</v>
      </c>
      <c r="DL5" s="1">
        <f t="shared" si="78"/>
        <v>0</v>
      </c>
      <c r="DM5" s="9">
        <f t="shared" si="79"/>
        <v>0</v>
      </c>
      <c r="DN5" s="10">
        <f t="shared" si="80"/>
        <v>0</v>
      </c>
      <c r="DO5" s="1">
        <f>SUMIFS(
  '[1]Hoja 1'!$M:$M,
  '[1]Hoja 1'!$S:$S, $A5,
  '[1]Hoja 1'!$R:$R, "&gt;="&amp;INT($DQ$1),
  '[1]Hoja 1'!$R:$R, "&lt;"&amp;INT($DR$1+1)
)</f>
        <v>0</v>
      </c>
      <c r="DP5" s="1">
        <f t="shared" si="81"/>
        <v>0</v>
      </c>
      <c r="DQ5" s="9">
        <f t="shared" si="82"/>
        <v>0</v>
      </c>
      <c r="DR5" s="10">
        <f t="shared" si="83"/>
        <v>0</v>
      </c>
    </row>
    <row r="6" spans="1:122" x14ac:dyDescent="0.25">
      <c r="A6" s="5">
        <v>201004</v>
      </c>
      <c r="B6" s="6" t="s">
        <v>13</v>
      </c>
      <c r="C6" s="1">
        <f>SUMIFS(
  '[1]Hoja 1'!$M:$M,
  '[1]Hoja 1'!$S:$S, $A6,
  '[1]Hoja 1'!$R:$R, "&gt;="&amp;INT($E$1),
  '[1]Hoja 1'!$R:$R, "&lt;"&amp;INT($F$1+1)
)</f>
        <v>0</v>
      </c>
      <c r="D6" s="1" t="str">
        <f>""</f>
        <v/>
      </c>
      <c r="F6" s="2"/>
      <c r="G6" s="1">
        <f>SUMIFS(
  '[1]Hoja 1'!$M:$M,
  '[1]Hoja 1'!$S:$S, $A6,
  '[1]Hoja 1'!$R:$R, "&gt;="&amp;INT($I$1),
  '[1]Hoja 1'!$R:$R, "&lt;"&amp;INT($J$1+1)
)</f>
        <v>0</v>
      </c>
      <c r="H6" s="1">
        <f t="shared" si="84"/>
        <v>0</v>
      </c>
      <c r="I6" s="1"/>
      <c r="J6" s="2"/>
      <c r="K6" s="1">
        <f>SUMIFS(
  '[1]Hoja 1'!$M:$M,
  '[1]Hoja 1'!$S:$S, $A6,
  '[1]Hoja 1'!$R:$R, "&gt;="&amp;INT($M$1),
  '[1]Hoja 1'!$R:$R, "&lt;"&amp;INT($N$1+1)
)</f>
        <v>0</v>
      </c>
      <c r="L6" s="1">
        <f t="shared" si="0"/>
        <v>0</v>
      </c>
      <c r="M6" s="9">
        <f t="shared" si="1"/>
        <v>0</v>
      </c>
      <c r="N6" s="10">
        <f t="shared" si="2"/>
        <v>0</v>
      </c>
      <c r="O6" s="1">
        <f>SUMIFS(
  '[1]Hoja 1'!$M:$M,
  '[1]Hoja 1'!$S:$S, $A6,
  '[1]Hoja 1'!$R:$R, "&gt;="&amp;INT($Q$1),
  '[1]Hoja 1'!$R:$R, "&lt;"&amp;INT($R$1+1)
)</f>
        <v>0</v>
      </c>
      <c r="P6" s="1">
        <f t="shared" si="3"/>
        <v>0</v>
      </c>
      <c r="Q6" s="9">
        <f t="shared" si="4"/>
        <v>0</v>
      </c>
      <c r="R6" s="10">
        <f t="shared" si="5"/>
        <v>0</v>
      </c>
      <c r="S6" s="1">
        <f>SUMIFS(
  '[1]Hoja 1'!$M:$M,
  '[1]Hoja 1'!$S:$S, $A6,
  '[1]Hoja 1'!$R:$R, "&gt;="&amp;INT($U$1),
  '[1]Hoja 1'!$R:$R, "&lt;"&amp;INT($V$1+1)
)</f>
        <v>0</v>
      </c>
      <c r="T6" s="1">
        <f t="shared" si="6"/>
        <v>0</v>
      </c>
      <c r="U6" s="9">
        <f t="shared" si="7"/>
        <v>0</v>
      </c>
      <c r="V6" s="10">
        <f t="shared" si="8"/>
        <v>0</v>
      </c>
      <c r="W6" s="1">
        <f>SUMIFS(
  '[1]Hoja 1'!$M:$M,
  '[1]Hoja 1'!$S:$S, $A6,
  '[1]Hoja 1'!$R:$R, "&gt;="&amp;INT($Y$1),
  '[1]Hoja 1'!$R:$R, "&lt;"&amp;INT($Z$1+1)
)</f>
        <v>0</v>
      </c>
      <c r="X6" s="1">
        <f t="shared" si="9"/>
        <v>0</v>
      </c>
      <c r="Y6" s="9">
        <f t="shared" si="10"/>
        <v>0</v>
      </c>
      <c r="Z6" s="10">
        <f t="shared" si="11"/>
        <v>0</v>
      </c>
      <c r="AA6" s="1">
        <f>SUMIFS(
  '[1]Hoja 1'!$M:$M,
  '[1]Hoja 1'!$S:$S, $A6,
  '[1]Hoja 1'!$R:$R, "&gt;="&amp;INT($AC$1),
  '[1]Hoja 1'!$R:$R, "&lt;"&amp;INT($AD$1+1)
)</f>
        <v>0</v>
      </c>
      <c r="AB6" s="1">
        <f t="shared" si="12"/>
        <v>0</v>
      </c>
      <c r="AC6" s="9">
        <f t="shared" si="13"/>
        <v>0</v>
      </c>
      <c r="AD6" s="10">
        <f t="shared" si="14"/>
        <v>0</v>
      </c>
      <c r="AE6" s="1">
        <f>SUMIFS(
  '[1]Hoja 1'!$M:$M,
  '[1]Hoja 1'!$S:$S, $A6,
  '[1]Hoja 1'!$R:$R, "&gt;="&amp;INT($AG$1),
  '[1]Hoja 1'!$R:$R, "&lt;"&amp;INT($AH$1+1)
)</f>
        <v>0</v>
      </c>
      <c r="AF6" s="1">
        <f t="shared" si="15"/>
        <v>0</v>
      </c>
      <c r="AG6" s="9">
        <f t="shared" si="16"/>
        <v>0</v>
      </c>
      <c r="AH6" s="10">
        <f t="shared" si="17"/>
        <v>0</v>
      </c>
      <c r="AI6" s="1">
        <f>SUMIFS(
  '[1]Hoja 1'!$M:$M,
  '[1]Hoja 1'!$S:$S, $A6,
  '[1]Hoja 1'!$R:$R, "&gt;="&amp;INT($AK$1),
  '[1]Hoja 1'!$R:$R, "&lt;"&amp;INT($AL$1+1)
)</f>
        <v>0</v>
      </c>
      <c r="AJ6" s="1">
        <f t="shared" si="18"/>
        <v>0</v>
      </c>
      <c r="AK6" s="9">
        <f t="shared" si="19"/>
        <v>0</v>
      </c>
      <c r="AL6" s="10">
        <f t="shared" si="20"/>
        <v>0</v>
      </c>
      <c r="AM6" s="1">
        <f>SUMIFS(
  '[1]Hoja 1'!$M:$M,
  '[1]Hoja 1'!$S:$S, $A6,
  '[1]Hoja 1'!$R:$R, "&gt;="&amp;INT($AO$1),
  '[1]Hoja 1'!$R:$R, "&lt;"&amp;INT($AP$1+1)
)</f>
        <v>0</v>
      </c>
      <c r="AN6" s="1">
        <f t="shared" si="21"/>
        <v>0</v>
      </c>
      <c r="AO6" s="9">
        <f t="shared" si="22"/>
        <v>0</v>
      </c>
      <c r="AP6" s="10">
        <f t="shared" si="23"/>
        <v>0</v>
      </c>
      <c r="AQ6" s="1">
        <f>SUMIFS(
  '[1]Hoja 1'!$M:$M,
  '[1]Hoja 1'!$S:$S, $A6,
  '[1]Hoja 1'!$R:$R, "&gt;="&amp;INT($AS$1),
  '[1]Hoja 1'!$R:$R, "&lt;"&amp;INT($AT$1+1)
)</f>
        <v>0</v>
      </c>
      <c r="AR6" s="1">
        <f t="shared" si="24"/>
        <v>0</v>
      </c>
      <c r="AS6" s="9">
        <f t="shared" si="25"/>
        <v>0</v>
      </c>
      <c r="AT6" s="10">
        <f t="shared" si="26"/>
        <v>0</v>
      </c>
      <c r="AU6" s="1">
        <f>SUMIFS(
  '[1]Hoja 1'!$M:$M,
  '[1]Hoja 1'!$S:$S, $A6,
  '[1]Hoja 1'!$R:$R, "&gt;="&amp;INT($AW$1),
  '[1]Hoja 1'!$R:$R, "&lt;"&amp;INT($AX$1+1)
)</f>
        <v>0</v>
      </c>
      <c r="AV6" s="1">
        <f t="shared" si="27"/>
        <v>0</v>
      </c>
      <c r="AW6" s="9">
        <f t="shared" si="28"/>
        <v>0</v>
      </c>
      <c r="AX6" s="10">
        <f t="shared" si="29"/>
        <v>0</v>
      </c>
      <c r="AY6" s="1">
        <f>SUMIFS(
  '[1]Hoja 1'!$M:$M,
  '[1]Hoja 1'!$S:$S, $A6,
  '[1]Hoja 1'!$R:$R, "&gt;="&amp;INT($BA$1),
  '[1]Hoja 1'!$R:$R, "&lt;"&amp;INT($BB$1+1)
)</f>
        <v>0</v>
      </c>
      <c r="AZ6" s="1">
        <f t="shared" si="30"/>
        <v>0</v>
      </c>
      <c r="BA6" s="9">
        <f t="shared" si="31"/>
        <v>0</v>
      </c>
      <c r="BB6" s="10">
        <f t="shared" si="32"/>
        <v>0</v>
      </c>
      <c r="BC6" s="1">
        <f>SUMIFS(
  '[1]Hoja 1'!$M:$M,
  '[1]Hoja 1'!$S:$S, $A6,
  '[1]Hoja 1'!$R:$R, "&gt;="&amp;INT($BE$1),
  '[1]Hoja 1'!$R:$R, "&lt;"&amp;INT($BF$1+1)
)</f>
        <v>0</v>
      </c>
      <c r="BD6" s="1">
        <f t="shared" si="33"/>
        <v>0</v>
      </c>
      <c r="BE6" s="9">
        <f t="shared" si="34"/>
        <v>0</v>
      </c>
      <c r="BF6" s="10">
        <f t="shared" si="35"/>
        <v>0</v>
      </c>
      <c r="BG6" s="1">
        <f>SUMIFS(
  '[1]Hoja 1'!$M:$M,
  '[1]Hoja 1'!$S:$S, $A6,
  '[1]Hoja 1'!$R:$R, "&gt;="&amp;INT($BI$1),
  '[1]Hoja 1'!$R:$R, "&lt;"&amp;INT($BJ$1+1)
)</f>
        <v>0</v>
      </c>
      <c r="BH6" s="1">
        <f t="shared" si="36"/>
        <v>0</v>
      </c>
      <c r="BI6" s="9">
        <f t="shared" si="37"/>
        <v>0</v>
      </c>
      <c r="BJ6" s="10">
        <f t="shared" si="38"/>
        <v>0</v>
      </c>
      <c r="BK6" s="1">
        <f>SUMIFS(
  '[1]Hoja 1'!$M:$M,
  '[1]Hoja 1'!$S:$S, $A6,
  '[1]Hoja 1'!$R:$R, "&gt;="&amp;INT($BM$1),
  '[1]Hoja 1'!$R:$R, "&lt;"&amp;INT($BN$1+1)
)</f>
        <v>0</v>
      </c>
      <c r="BL6" s="1">
        <f t="shared" si="39"/>
        <v>0</v>
      </c>
      <c r="BM6" s="9">
        <f t="shared" si="40"/>
        <v>0</v>
      </c>
      <c r="BN6" s="10">
        <f t="shared" si="41"/>
        <v>0</v>
      </c>
      <c r="BO6" s="1">
        <f>SUMIFS(
  '[1]Hoja 1'!$M:$M,
  '[1]Hoja 1'!$S:$S, $A6,
  '[1]Hoja 1'!$R:$R, "&gt;="&amp;INT($BQ$1),
  '[1]Hoja 1'!$R:$R, "&lt;"&amp;INT($BR$1+1)
)</f>
        <v>0</v>
      </c>
      <c r="BP6" s="1">
        <f t="shared" si="42"/>
        <v>0</v>
      </c>
      <c r="BQ6" s="9">
        <f t="shared" si="43"/>
        <v>0</v>
      </c>
      <c r="BR6" s="10">
        <f t="shared" si="44"/>
        <v>0</v>
      </c>
      <c r="BS6" s="1">
        <f>SUMIFS(
  '[1]Hoja 1'!$M:$M,
  '[1]Hoja 1'!$S:$S, $A6,
  '[1]Hoja 1'!$R:$R, "&gt;="&amp;INT($BU$1),
  '[1]Hoja 1'!$R:$R, "&lt;"&amp;INT($BV$1+1)
)</f>
        <v>0</v>
      </c>
      <c r="BT6" s="1">
        <f t="shared" si="45"/>
        <v>0</v>
      </c>
      <c r="BU6" s="9">
        <f t="shared" si="46"/>
        <v>0</v>
      </c>
      <c r="BV6" s="10">
        <f t="shared" si="47"/>
        <v>0</v>
      </c>
      <c r="BW6" s="1">
        <f>SUMIFS(
  '[1]Hoja 1'!$M:$M,
  '[1]Hoja 1'!$S:$S, $A6,
  '[1]Hoja 1'!$R:$R, "&gt;="&amp;INT($BY$1),
  '[1]Hoja 1'!$R:$R, "&lt;"&amp;INT($BZ$1+1)
)</f>
        <v>0</v>
      </c>
      <c r="BX6" s="1">
        <f t="shared" si="48"/>
        <v>0</v>
      </c>
      <c r="BY6" s="9">
        <f t="shared" si="49"/>
        <v>0</v>
      </c>
      <c r="BZ6" s="10">
        <f t="shared" si="50"/>
        <v>0</v>
      </c>
      <c r="CA6" s="1">
        <f>SUMIFS(
  '[1]Hoja 1'!$M:$M,
  '[1]Hoja 1'!$S:$S, $A6,
  '[1]Hoja 1'!$R:$R, "&gt;="&amp;INT($CC$1),
  '[1]Hoja 1'!$R:$R, "&lt;"&amp;INT($CD$1+1)
)</f>
        <v>0</v>
      </c>
      <c r="CB6" s="1">
        <f t="shared" si="51"/>
        <v>0</v>
      </c>
      <c r="CC6" s="9">
        <f t="shared" si="52"/>
        <v>0</v>
      </c>
      <c r="CD6" s="10">
        <f t="shared" si="53"/>
        <v>0</v>
      </c>
      <c r="CE6" s="1">
        <f>SUMIFS(
  '[1]Hoja 1'!$M:$M,
  '[1]Hoja 1'!$S:$S, $A6,
  '[1]Hoja 1'!$R:$R, "&gt;="&amp;INT($CG$1),
  '[1]Hoja 1'!$R:$R, "&lt;"&amp;INT($CH$1+1)
)</f>
        <v>0</v>
      </c>
      <c r="CF6" s="1">
        <f t="shared" si="54"/>
        <v>0</v>
      </c>
      <c r="CG6" s="9">
        <f t="shared" si="55"/>
        <v>0</v>
      </c>
      <c r="CH6" s="10">
        <f t="shared" si="56"/>
        <v>0</v>
      </c>
      <c r="CI6" s="1">
        <f>SUMIFS(
  '[1]Hoja 1'!$M:$M,
  '[1]Hoja 1'!$S:$S, $A6,
  '[1]Hoja 1'!$R:$R, "&gt;="&amp;INT($CK$1),
  '[1]Hoja 1'!$R:$R, "&lt;"&amp;INT($CL$1+1)
)</f>
        <v>0</v>
      </c>
      <c r="CJ6" s="1">
        <f t="shared" si="57"/>
        <v>0</v>
      </c>
      <c r="CK6" s="9">
        <f t="shared" si="58"/>
        <v>0</v>
      </c>
      <c r="CL6" s="10">
        <f t="shared" si="59"/>
        <v>0</v>
      </c>
      <c r="CM6" s="1">
        <f>SUMIFS(
  '[1]Hoja 1'!$M:$M,
  '[1]Hoja 1'!$S:$S, $A6,
  '[1]Hoja 1'!$R:$R, "&gt;="&amp;INT($CO$1),
  '[1]Hoja 1'!$R:$R, "&lt;"&amp;INT($CP$1+1)
)</f>
        <v>0</v>
      </c>
      <c r="CN6" s="1">
        <f t="shared" si="60"/>
        <v>0</v>
      </c>
      <c r="CO6" s="9">
        <f t="shared" si="61"/>
        <v>0</v>
      </c>
      <c r="CP6" s="10">
        <f t="shared" si="62"/>
        <v>0</v>
      </c>
      <c r="CQ6" s="1">
        <f>SUMIFS(
  '[1]Hoja 1'!$M:$M,
  '[1]Hoja 1'!$S:$S, $A6,
  '[1]Hoja 1'!$R:$R, "&gt;="&amp;INT($CS$1),
  '[1]Hoja 1'!$R:$R, "&lt;"&amp;INT($CT$1+1)
)</f>
        <v>0</v>
      </c>
      <c r="CR6" s="1">
        <f t="shared" si="63"/>
        <v>0</v>
      </c>
      <c r="CS6" s="9">
        <f t="shared" si="64"/>
        <v>0</v>
      </c>
      <c r="CT6" s="10">
        <f t="shared" si="65"/>
        <v>0</v>
      </c>
      <c r="CU6" s="1">
        <f>SUMIFS(
  '[1]Hoja 1'!$M:$M,
  '[1]Hoja 1'!$S:$S, $A6,
  '[1]Hoja 1'!$R:$R, "&gt;="&amp;INT($CW$1),
  '[1]Hoja 1'!$R:$R, "&lt;"&amp;INT($CX$1+1)
)</f>
        <v>0</v>
      </c>
      <c r="CV6" s="1">
        <f t="shared" si="66"/>
        <v>0</v>
      </c>
      <c r="CW6" s="9">
        <f t="shared" si="67"/>
        <v>0</v>
      </c>
      <c r="CX6" s="10">
        <f t="shared" si="68"/>
        <v>0</v>
      </c>
      <c r="CY6" s="1">
        <f>SUMIFS(
  '[1]Hoja 1'!$M:$M,
  '[1]Hoja 1'!$S:$S, $A6,
  '[1]Hoja 1'!$R:$R, "&gt;="&amp;INT($DA$1),
  '[1]Hoja 1'!$R:$R, "&lt;"&amp;INT($DB$1+1)
)</f>
        <v>0</v>
      </c>
      <c r="CZ6" s="1">
        <f t="shared" si="69"/>
        <v>0</v>
      </c>
      <c r="DA6" s="9">
        <f t="shared" si="70"/>
        <v>0</v>
      </c>
      <c r="DB6" s="10">
        <f t="shared" si="71"/>
        <v>0</v>
      </c>
      <c r="DC6" s="1">
        <f>SUMIFS(
  '[1]Hoja 1'!$M:$M,
  '[1]Hoja 1'!$S:$S, $A6,
  '[1]Hoja 1'!$R:$R, "&gt;="&amp;INT($DE$1),
  '[1]Hoja 1'!$R:$R, "&lt;"&amp;INT($DF$1+1)
)</f>
        <v>0</v>
      </c>
      <c r="DD6" s="1">
        <f t="shared" si="72"/>
        <v>0</v>
      </c>
      <c r="DE6" s="9">
        <f t="shared" si="73"/>
        <v>0</v>
      </c>
      <c r="DF6" s="10">
        <f t="shared" si="74"/>
        <v>0</v>
      </c>
      <c r="DG6" s="1">
        <f>SUMIFS(
  '[1]Hoja 1'!$M:$M,
  '[1]Hoja 1'!$S:$S, $A6,
  '[1]Hoja 1'!$R:$R, "&gt;="&amp;INT($DI$1),
  '[1]Hoja 1'!$R:$R, "&lt;"&amp;INT($DJ$1+1)
)</f>
        <v>0</v>
      </c>
      <c r="DH6" s="1">
        <f t="shared" si="75"/>
        <v>0</v>
      </c>
      <c r="DI6" s="9">
        <f t="shared" si="76"/>
        <v>0</v>
      </c>
      <c r="DJ6" s="10">
        <f t="shared" si="77"/>
        <v>0</v>
      </c>
      <c r="DK6" s="1">
        <f>SUMIFS(
  '[1]Hoja 1'!$M:$M,
  '[1]Hoja 1'!$S:$S, $A6,
  '[1]Hoja 1'!$R:$R, "&gt;="&amp;INT($DM$1),
  '[1]Hoja 1'!$R:$R, "&lt;"&amp;INT($DN$1+1)
)</f>
        <v>0</v>
      </c>
      <c r="DL6" s="1">
        <f t="shared" si="78"/>
        <v>0</v>
      </c>
      <c r="DM6" s="9">
        <f t="shared" si="79"/>
        <v>0</v>
      </c>
      <c r="DN6" s="10">
        <f t="shared" si="80"/>
        <v>0</v>
      </c>
      <c r="DO6" s="1">
        <f>SUMIFS(
  '[1]Hoja 1'!$M:$M,
  '[1]Hoja 1'!$S:$S, $A6,
  '[1]Hoja 1'!$R:$R, "&gt;="&amp;INT($DQ$1),
  '[1]Hoja 1'!$R:$R, "&lt;"&amp;INT($DR$1+1)
)</f>
        <v>0</v>
      </c>
      <c r="DP6" s="1">
        <f t="shared" si="81"/>
        <v>0</v>
      </c>
      <c r="DQ6" s="9">
        <f t="shared" si="82"/>
        <v>0</v>
      </c>
      <c r="DR6" s="10">
        <f t="shared" si="83"/>
        <v>0</v>
      </c>
    </row>
    <row r="7" spans="1:122" x14ac:dyDescent="0.25">
      <c r="A7" s="5">
        <v>201005</v>
      </c>
      <c r="B7" s="6" t="s">
        <v>14</v>
      </c>
      <c r="C7" s="1">
        <f>SUMIFS(
  '[1]Hoja 1'!$M:$M,
  '[1]Hoja 1'!$S:$S, $A7,
  '[1]Hoja 1'!$R:$R, "&gt;="&amp;INT($E$1),
  '[1]Hoja 1'!$R:$R, "&lt;"&amp;INT($F$1+1)
)</f>
        <v>0</v>
      </c>
      <c r="D7" s="1" t="str">
        <f>""</f>
        <v/>
      </c>
      <c r="F7" s="2"/>
      <c r="G7" s="1">
        <f>SUMIFS(
  '[1]Hoja 1'!$M:$M,
  '[1]Hoja 1'!$S:$S, $A7,
  '[1]Hoja 1'!$R:$R, "&gt;="&amp;INT($I$1),
  '[1]Hoja 1'!$R:$R, "&lt;"&amp;INT($J$1+1)
)</f>
        <v>0</v>
      </c>
      <c r="H7" s="1">
        <f t="shared" si="84"/>
        <v>0</v>
      </c>
      <c r="I7" s="1"/>
      <c r="J7" s="2"/>
      <c r="K7" s="1">
        <f>SUMIFS(
  '[1]Hoja 1'!$M:$M,
  '[1]Hoja 1'!$S:$S, $A7,
  '[1]Hoja 1'!$R:$R, "&gt;="&amp;INT($M$1),
  '[1]Hoja 1'!$R:$R, "&lt;"&amp;INT($N$1+1)
)</f>
        <v>1</v>
      </c>
      <c r="L7" s="1">
        <f t="shared" si="0"/>
        <v>0.5</v>
      </c>
      <c r="M7" s="9">
        <f t="shared" si="1"/>
        <v>-0.19296464556281656</v>
      </c>
      <c r="N7" s="10">
        <f t="shared" si="2"/>
        <v>1.1929646455628165</v>
      </c>
      <c r="O7" s="1">
        <f>SUMIFS(
  '[1]Hoja 1'!$M:$M,
  '[1]Hoja 1'!$S:$S, $A7,
  '[1]Hoja 1'!$R:$R, "&gt;="&amp;INT($Q$1),
  '[1]Hoja 1'!$R:$R, "&lt;"&amp;INT($R$1+1)
)</f>
        <v>0</v>
      </c>
      <c r="P7" s="1">
        <f t="shared" si="3"/>
        <v>0.5</v>
      </c>
      <c r="Q7" s="9">
        <f t="shared" si="4"/>
        <v>-0.48</v>
      </c>
      <c r="R7" s="10">
        <f t="shared" si="5"/>
        <v>1.48</v>
      </c>
      <c r="S7" s="1">
        <f>SUMIFS(
  '[1]Hoja 1'!$M:$M,
  '[1]Hoja 1'!$S:$S, $A7,
  '[1]Hoja 1'!$R:$R, "&gt;="&amp;INT($U$1),
  '[1]Hoja 1'!$R:$R, "&lt;"&amp;INT($V$1+1)
)</f>
        <v>0</v>
      </c>
      <c r="T7" s="1">
        <f t="shared" si="6"/>
        <v>0</v>
      </c>
      <c r="U7" s="9">
        <f t="shared" si="7"/>
        <v>-0.80016664930917147</v>
      </c>
      <c r="V7" s="10">
        <f t="shared" si="8"/>
        <v>0.80016664930917147</v>
      </c>
      <c r="W7" s="1">
        <f>SUMIFS(
  '[1]Hoja 1'!$M:$M,
  '[1]Hoja 1'!$S:$S, $A7,
  '[1]Hoja 1'!$R:$R, "&gt;="&amp;INT($Y$1),
  '[1]Hoja 1'!$R:$R, "&lt;"&amp;INT($Z$1+1)
)</f>
        <v>0</v>
      </c>
      <c r="X7" s="1">
        <f t="shared" si="9"/>
        <v>0</v>
      </c>
      <c r="Y7" s="9">
        <f t="shared" si="10"/>
        <v>-0.80016664930917147</v>
      </c>
      <c r="Z7" s="10">
        <f t="shared" si="11"/>
        <v>0.80016664930917147</v>
      </c>
      <c r="AA7" s="1">
        <f>SUMIFS(
  '[1]Hoja 1'!$M:$M,
  '[1]Hoja 1'!$S:$S, $A7,
  '[1]Hoja 1'!$R:$R, "&gt;="&amp;INT($AC$1),
  '[1]Hoja 1'!$R:$R, "&lt;"&amp;INT($AD$1+1)
)</f>
        <v>0</v>
      </c>
      <c r="AB7" s="1">
        <f t="shared" si="12"/>
        <v>0</v>
      </c>
      <c r="AC7" s="9">
        <f t="shared" si="13"/>
        <v>-0.43826932358995874</v>
      </c>
      <c r="AD7" s="10">
        <f t="shared" si="14"/>
        <v>0.49</v>
      </c>
      <c r="AE7" s="1">
        <f>SUMIFS(
  '[1]Hoja 1'!$M:$M,
  '[1]Hoja 1'!$S:$S, $A7,
  '[1]Hoja 1'!$R:$R, "&gt;="&amp;INT($AG$1),
  '[1]Hoja 1'!$R:$R, "&lt;"&amp;INT($AH$1+1)
)</f>
        <v>0</v>
      </c>
      <c r="AF7" s="1">
        <f t="shared" si="15"/>
        <v>0</v>
      </c>
      <c r="AG7" s="9">
        <f t="shared" si="16"/>
        <v>0</v>
      </c>
      <c r="AH7" s="10">
        <f t="shared" si="17"/>
        <v>0</v>
      </c>
      <c r="AI7" s="1">
        <f>SUMIFS(
  '[1]Hoja 1'!$M:$M,
  '[1]Hoja 1'!$S:$S, $A7,
  '[1]Hoja 1'!$R:$R, "&gt;="&amp;INT($AK$1),
  '[1]Hoja 1'!$R:$R, "&lt;"&amp;INT($AL$1+1)
)</f>
        <v>0</v>
      </c>
      <c r="AJ7" s="1">
        <f t="shared" si="18"/>
        <v>0</v>
      </c>
      <c r="AK7" s="9">
        <f t="shared" si="19"/>
        <v>0</v>
      </c>
      <c r="AL7" s="10">
        <f t="shared" si="20"/>
        <v>0</v>
      </c>
      <c r="AM7" s="1">
        <f>SUMIFS(
  '[1]Hoja 1'!$M:$M,
  '[1]Hoja 1'!$S:$S, $A7,
  '[1]Hoja 1'!$R:$R, "&gt;="&amp;INT($AO$1),
  '[1]Hoja 1'!$R:$R, "&lt;"&amp;INT($AP$1+1)
)</f>
        <v>0</v>
      </c>
      <c r="AN7" s="1">
        <f t="shared" si="21"/>
        <v>0</v>
      </c>
      <c r="AO7" s="9">
        <f t="shared" si="22"/>
        <v>0</v>
      </c>
      <c r="AP7" s="10">
        <f t="shared" si="23"/>
        <v>0</v>
      </c>
      <c r="AQ7" s="1">
        <f>SUMIFS(
  '[1]Hoja 1'!$M:$M,
  '[1]Hoja 1'!$S:$S, $A7,
  '[1]Hoja 1'!$R:$R, "&gt;="&amp;INT($AS$1),
  '[1]Hoja 1'!$R:$R, "&lt;"&amp;INT($AT$1+1)
)</f>
        <v>0</v>
      </c>
      <c r="AR7" s="1">
        <f t="shared" si="24"/>
        <v>0</v>
      </c>
      <c r="AS7" s="9">
        <f t="shared" si="25"/>
        <v>0</v>
      </c>
      <c r="AT7" s="10">
        <f t="shared" si="26"/>
        <v>0</v>
      </c>
      <c r="AU7" s="1">
        <f>SUMIFS(
  '[1]Hoja 1'!$M:$M,
  '[1]Hoja 1'!$S:$S, $A7,
  '[1]Hoja 1'!$R:$R, "&gt;="&amp;INT($AW$1),
  '[1]Hoja 1'!$R:$R, "&lt;"&amp;INT($AX$1+1)
)</f>
        <v>0</v>
      </c>
      <c r="AV7" s="1">
        <f t="shared" si="27"/>
        <v>0</v>
      </c>
      <c r="AW7" s="9">
        <f t="shared" si="28"/>
        <v>0</v>
      </c>
      <c r="AX7" s="10">
        <f t="shared" si="29"/>
        <v>0</v>
      </c>
      <c r="AY7" s="1">
        <f>SUMIFS(
  '[1]Hoja 1'!$M:$M,
  '[1]Hoja 1'!$S:$S, $A7,
  '[1]Hoja 1'!$R:$R, "&gt;="&amp;INT($BA$1),
  '[1]Hoja 1'!$R:$R, "&lt;"&amp;INT($BB$1+1)
)</f>
        <v>0</v>
      </c>
      <c r="AZ7" s="1">
        <f t="shared" si="30"/>
        <v>0</v>
      </c>
      <c r="BA7" s="9">
        <f t="shared" si="31"/>
        <v>0</v>
      </c>
      <c r="BB7" s="10">
        <f t="shared" si="32"/>
        <v>0</v>
      </c>
      <c r="BC7" s="1">
        <f>SUMIFS(
  '[1]Hoja 1'!$M:$M,
  '[1]Hoja 1'!$S:$S, $A7,
  '[1]Hoja 1'!$R:$R, "&gt;="&amp;INT($BE$1),
  '[1]Hoja 1'!$R:$R, "&lt;"&amp;INT($BF$1+1)
)</f>
        <v>0</v>
      </c>
      <c r="BD7" s="1">
        <f t="shared" si="33"/>
        <v>0</v>
      </c>
      <c r="BE7" s="9">
        <f t="shared" si="34"/>
        <v>0</v>
      </c>
      <c r="BF7" s="10">
        <f t="shared" si="35"/>
        <v>0</v>
      </c>
      <c r="BG7" s="1">
        <f>SUMIFS(
  '[1]Hoja 1'!$M:$M,
  '[1]Hoja 1'!$S:$S, $A7,
  '[1]Hoja 1'!$R:$R, "&gt;="&amp;INT($BI$1),
  '[1]Hoja 1'!$R:$R, "&lt;"&amp;INT($BJ$1+1)
)</f>
        <v>0</v>
      </c>
      <c r="BH7" s="1">
        <f t="shared" si="36"/>
        <v>0</v>
      </c>
      <c r="BI7" s="9">
        <f t="shared" si="37"/>
        <v>0</v>
      </c>
      <c r="BJ7" s="10">
        <f t="shared" si="38"/>
        <v>0</v>
      </c>
      <c r="BK7" s="1">
        <f>SUMIFS(
  '[1]Hoja 1'!$M:$M,
  '[1]Hoja 1'!$S:$S, $A7,
  '[1]Hoja 1'!$R:$R, "&gt;="&amp;INT($BM$1),
  '[1]Hoja 1'!$R:$R, "&lt;"&amp;INT($BN$1+1)
)</f>
        <v>0</v>
      </c>
      <c r="BL7" s="1">
        <f t="shared" si="39"/>
        <v>0</v>
      </c>
      <c r="BM7" s="9">
        <f t="shared" si="40"/>
        <v>0</v>
      </c>
      <c r="BN7" s="10">
        <f t="shared" si="41"/>
        <v>0</v>
      </c>
      <c r="BO7" s="1">
        <f>SUMIFS(
  '[1]Hoja 1'!$M:$M,
  '[1]Hoja 1'!$S:$S, $A7,
  '[1]Hoja 1'!$R:$R, "&gt;="&amp;INT($BQ$1),
  '[1]Hoja 1'!$R:$R, "&lt;"&amp;INT($BR$1+1)
)</f>
        <v>0</v>
      </c>
      <c r="BP7" s="1">
        <f t="shared" si="42"/>
        <v>0</v>
      </c>
      <c r="BQ7" s="9">
        <f t="shared" si="43"/>
        <v>0</v>
      </c>
      <c r="BR7" s="10">
        <f t="shared" si="44"/>
        <v>0</v>
      </c>
      <c r="BS7" s="1">
        <f>SUMIFS(
  '[1]Hoja 1'!$M:$M,
  '[1]Hoja 1'!$S:$S, $A7,
  '[1]Hoja 1'!$R:$R, "&gt;="&amp;INT($BU$1),
  '[1]Hoja 1'!$R:$R, "&lt;"&amp;INT($BV$1+1)
)</f>
        <v>0</v>
      </c>
      <c r="BT7" s="1">
        <f t="shared" si="45"/>
        <v>0</v>
      </c>
      <c r="BU7" s="9">
        <f t="shared" si="46"/>
        <v>0</v>
      </c>
      <c r="BV7" s="10">
        <f t="shared" si="47"/>
        <v>0</v>
      </c>
      <c r="BW7" s="1">
        <f>SUMIFS(
  '[1]Hoja 1'!$M:$M,
  '[1]Hoja 1'!$S:$S, $A7,
  '[1]Hoja 1'!$R:$R, "&gt;="&amp;INT($BY$1),
  '[1]Hoja 1'!$R:$R, "&lt;"&amp;INT($BZ$1+1)
)</f>
        <v>0</v>
      </c>
      <c r="BX7" s="1">
        <f t="shared" si="48"/>
        <v>0</v>
      </c>
      <c r="BY7" s="9">
        <f t="shared" si="49"/>
        <v>0</v>
      </c>
      <c r="BZ7" s="10">
        <f t="shared" si="50"/>
        <v>0</v>
      </c>
      <c r="CA7" s="1">
        <f>SUMIFS(
  '[1]Hoja 1'!$M:$M,
  '[1]Hoja 1'!$S:$S, $A7,
  '[1]Hoja 1'!$R:$R, "&gt;="&amp;INT($CC$1),
  '[1]Hoja 1'!$R:$R, "&lt;"&amp;INT($CD$1+1)
)</f>
        <v>0</v>
      </c>
      <c r="CB7" s="1">
        <f t="shared" si="51"/>
        <v>0</v>
      </c>
      <c r="CC7" s="9">
        <f t="shared" si="52"/>
        <v>0</v>
      </c>
      <c r="CD7" s="10">
        <f t="shared" si="53"/>
        <v>0</v>
      </c>
      <c r="CE7" s="1">
        <f>SUMIFS(
  '[1]Hoja 1'!$M:$M,
  '[1]Hoja 1'!$S:$S, $A7,
  '[1]Hoja 1'!$R:$R, "&gt;="&amp;INT($CG$1),
  '[1]Hoja 1'!$R:$R, "&lt;"&amp;INT($CH$1+1)
)</f>
        <v>0</v>
      </c>
      <c r="CF7" s="1">
        <f t="shared" si="54"/>
        <v>0</v>
      </c>
      <c r="CG7" s="9">
        <f t="shared" si="55"/>
        <v>0</v>
      </c>
      <c r="CH7" s="10">
        <f t="shared" si="56"/>
        <v>0</v>
      </c>
      <c r="CI7" s="1">
        <f>SUMIFS(
  '[1]Hoja 1'!$M:$M,
  '[1]Hoja 1'!$S:$S, $A7,
  '[1]Hoja 1'!$R:$R, "&gt;="&amp;INT($CK$1),
  '[1]Hoja 1'!$R:$R, "&lt;"&amp;INT($CL$1+1)
)</f>
        <v>0</v>
      </c>
      <c r="CJ7" s="1">
        <f t="shared" si="57"/>
        <v>0</v>
      </c>
      <c r="CK7" s="9">
        <f t="shared" si="58"/>
        <v>0</v>
      </c>
      <c r="CL7" s="10">
        <f t="shared" si="59"/>
        <v>0</v>
      </c>
      <c r="CM7" s="1">
        <f>SUMIFS(
  '[1]Hoja 1'!$M:$M,
  '[1]Hoja 1'!$S:$S, $A7,
  '[1]Hoja 1'!$R:$R, "&gt;="&amp;INT($CO$1),
  '[1]Hoja 1'!$R:$R, "&lt;"&amp;INT($CP$1+1)
)</f>
        <v>0</v>
      </c>
      <c r="CN7" s="1">
        <f t="shared" si="60"/>
        <v>0</v>
      </c>
      <c r="CO7" s="9">
        <f t="shared" si="61"/>
        <v>0</v>
      </c>
      <c r="CP7" s="10">
        <f t="shared" si="62"/>
        <v>0</v>
      </c>
      <c r="CQ7" s="1">
        <f>SUMIFS(
  '[1]Hoja 1'!$M:$M,
  '[1]Hoja 1'!$S:$S, $A7,
  '[1]Hoja 1'!$R:$R, "&gt;="&amp;INT($CS$1),
  '[1]Hoja 1'!$R:$R, "&lt;"&amp;INT($CT$1+1)
)</f>
        <v>0</v>
      </c>
      <c r="CR7" s="1">
        <f t="shared" si="63"/>
        <v>0</v>
      </c>
      <c r="CS7" s="9">
        <f t="shared" si="64"/>
        <v>0</v>
      </c>
      <c r="CT7" s="10">
        <f t="shared" si="65"/>
        <v>0</v>
      </c>
      <c r="CU7" s="1">
        <f>SUMIFS(
  '[1]Hoja 1'!$M:$M,
  '[1]Hoja 1'!$S:$S, $A7,
  '[1]Hoja 1'!$R:$R, "&gt;="&amp;INT($CW$1),
  '[1]Hoja 1'!$R:$R, "&lt;"&amp;INT($CX$1+1)
)</f>
        <v>0</v>
      </c>
      <c r="CV7" s="1">
        <f t="shared" si="66"/>
        <v>0</v>
      </c>
      <c r="CW7" s="9">
        <f t="shared" si="67"/>
        <v>0</v>
      </c>
      <c r="CX7" s="10">
        <f t="shared" si="68"/>
        <v>0</v>
      </c>
      <c r="CY7" s="1">
        <f>SUMIFS(
  '[1]Hoja 1'!$M:$M,
  '[1]Hoja 1'!$S:$S, $A7,
  '[1]Hoja 1'!$R:$R, "&gt;="&amp;INT($DA$1),
  '[1]Hoja 1'!$R:$R, "&lt;"&amp;INT($DB$1+1)
)</f>
        <v>0</v>
      </c>
      <c r="CZ7" s="1">
        <f t="shared" si="69"/>
        <v>0</v>
      </c>
      <c r="DA7" s="9">
        <f t="shared" si="70"/>
        <v>0</v>
      </c>
      <c r="DB7" s="10">
        <f t="shared" si="71"/>
        <v>0</v>
      </c>
      <c r="DC7" s="1">
        <f>SUMIFS(
  '[1]Hoja 1'!$M:$M,
  '[1]Hoja 1'!$S:$S, $A7,
  '[1]Hoja 1'!$R:$R, "&gt;="&amp;INT($DE$1),
  '[1]Hoja 1'!$R:$R, "&lt;"&amp;INT($DF$1+1)
)</f>
        <v>0</v>
      </c>
      <c r="DD7" s="1">
        <f t="shared" si="72"/>
        <v>0</v>
      </c>
      <c r="DE7" s="9">
        <f t="shared" si="73"/>
        <v>0</v>
      </c>
      <c r="DF7" s="10">
        <f t="shared" si="74"/>
        <v>0</v>
      </c>
      <c r="DG7" s="1">
        <f>SUMIFS(
  '[1]Hoja 1'!$M:$M,
  '[1]Hoja 1'!$S:$S, $A7,
  '[1]Hoja 1'!$R:$R, "&gt;="&amp;INT($DI$1),
  '[1]Hoja 1'!$R:$R, "&lt;"&amp;INT($DJ$1+1)
)</f>
        <v>0</v>
      </c>
      <c r="DH7" s="1">
        <f t="shared" si="75"/>
        <v>0</v>
      </c>
      <c r="DI7" s="9">
        <f t="shared" si="76"/>
        <v>0</v>
      </c>
      <c r="DJ7" s="10">
        <f t="shared" si="77"/>
        <v>0</v>
      </c>
      <c r="DK7" s="1">
        <f>SUMIFS(
  '[1]Hoja 1'!$M:$M,
  '[1]Hoja 1'!$S:$S, $A7,
  '[1]Hoja 1'!$R:$R, "&gt;="&amp;INT($DM$1),
  '[1]Hoja 1'!$R:$R, "&lt;"&amp;INT($DN$1+1)
)</f>
        <v>0</v>
      </c>
      <c r="DL7" s="1">
        <f t="shared" si="78"/>
        <v>0</v>
      </c>
      <c r="DM7" s="9">
        <f t="shared" si="79"/>
        <v>0</v>
      </c>
      <c r="DN7" s="10">
        <f t="shared" si="80"/>
        <v>0</v>
      </c>
      <c r="DO7" s="1">
        <f>SUMIFS(
  '[1]Hoja 1'!$M:$M,
  '[1]Hoja 1'!$S:$S, $A7,
  '[1]Hoja 1'!$R:$R, "&gt;="&amp;INT($DQ$1),
  '[1]Hoja 1'!$R:$R, "&lt;"&amp;INT($DR$1+1)
)</f>
        <v>0</v>
      </c>
      <c r="DP7" s="1">
        <f t="shared" si="81"/>
        <v>0</v>
      </c>
      <c r="DQ7" s="9">
        <f t="shared" si="82"/>
        <v>0</v>
      </c>
      <c r="DR7" s="10">
        <f t="shared" si="83"/>
        <v>0</v>
      </c>
    </row>
    <row r="8" spans="1:122" x14ac:dyDescent="0.25">
      <c r="A8" s="5">
        <v>201009</v>
      </c>
      <c r="B8" s="6" t="s">
        <v>15</v>
      </c>
      <c r="C8" s="1">
        <f>SUMIFS(
  '[1]Hoja 1'!$M:$M,
  '[1]Hoja 1'!$S:$S, $A8,
  '[1]Hoja 1'!$R:$R, "&gt;="&amp;INT($E$1),
  '[1]Hoja 1'!$R:$R, "&lt;"&amp;INT($F$1+1)
)</f>
        <v>2</v>
      </c>
      <c r="D8" s="1" t="str">
        <f>""</f>
        <v/>
      </c>
      <c r="F8" s="2"/>
      <c r="G8" s="1">
        <f>SUMIFS(
  '[1]Hoja 1'!$M:$M,
  '[1]Hoja 1'!$S:$S, $A8,
  '[1]Hoja 1'!$R:$R, "&gt;="&amp;INT($I$1),
  '[1]Hoja 1'!$R:$R, "&lt;"&amp;INT($J$1+1)
)</f>
        <v>0</v>
      </c>
      <c r="H8" s="1">
        <f t="shared" si="84"/>
        <v>1</v>
      </c>
      <c r="I8" s="1"/>
      <c r="J8" s="2"/>
      <c r="K8" s="1">
        <f>SUMIFS(
  '[1]Hoja 1'!$M:$M,
  '[1]Hoja 1'!$S:$S, $A8,
  '[1]Hoja 1'!$R:$R, "&gt;="&amp;INT($M$1),
  '[1]Hoja 1'!$R:$R, "&lt;"&amp;INT($N$1+1)
)</f>
        <v>7</v>
      </c>
      <c r="L8" s="1">
        <f t="shared" si="0"/>
        <v>3.5</v>
      </c>
      <c r="M8" s="9">
        <f t="shared" si="1"/>
        <v>-2.7366818100653489</v>
      </c>
      <c r="N8" s="10">
        <f t="shared" si="2"/>
        <v>9.7366818100653489</v>
      </c>
      <c r="O8" s="1">
        <f>SUMIFS(
  '[1]Hoja 1'!$M:$M,
  '[1]Hoja 1'!$S:$S, $A8,
  '[1]Hoja 1'!$R:$R, "&gt;="&amp;INT($Q$1),
  '[1]Hoja 1'!$R:$R, "&lt;"&amp;INT($R$1+1)
)</f>
        <v>1</v>
      </c>
      <c r="P8" s="1">
        <f t="shared" si="3"/>
        <v>4</v>
      </c>
      <c r="Q8" s="9">
        <f t="shared" si="4"/>
        <v>-3.0251615561098051</v>
      </c>
      <c r="R8" s="10">
        <f t="shared" si="5"/>
        <v>10.025161556109804</v>
      </c>
      <c r="S8" s="1">
        <f>SUMIFS(
  '[1]Hoja 1'!$M:$M,
  '[1]Hoja 1'!$S:$S, $A8,
  '[1]Hoja 1'!$R:$R, "&gt;="&amp;INT($U$1),
  '[1]Hoja 1'!$R:$R, "&lt;"&amp;INT($V$1+1)
)</f>
        <v>0</v>
      </c>
      <c r="T8" s="1">
        <f t="shared" si="6"/>
        <v>1</v>
      </c>
      <c r="U8" s="9">
        <f t="shared" si="7"/>
        <v>-4.3377773152002757</v>
      </c>
      <c r="V8" s="10">
        <f t="shared" si="8"/>
        <v>6.3377773152002757</v>
      </c>
      <c r="W8" s="1">
        <f>SUMIFS(
  '[1]Hoja 1'!$M:$M,
  '[1]Hoja 1'!$S:$S, $A8,
  '[1]Hoja 1'!$R:$R, "&gt;="&amp;INT($Y$1),
  '[1]Hoja 1'!$R:$R, "&lt;"&amp;INT($Z$1+1)
)</f>
        <v>10</v>
      </c>
      <c r="X8" s="1">
        <f t="shared" si="9"/>
        <v>5</v>
      </c>
      <c r="Y8" s="9">
        <f t="shared" si="10"/>
        <v>-2.1792385854397303</v>
      </c>
      <c r="Z8" s="10">
        <f t="shared" si="11"/>
        <v>12.17923858543973</v>
      </c>
      <c r="AA8" s="1">
        <f>SUMIFS(
  '[1]Hoja 1'!$M:$M,
  '[1]Hoja 1'!$S:$S, $A8,
  '[1]Hoja 1'!$R:$R, "&gt;="&amp;INT($AC$1),
  '[1]Hoja 1'!$R:$R, "&lt;"&amp;INT($AD$1+1)
)</f>
        <v>0</v>
      </c>
      <c r="AB8" s="1">
        <f t="shared" si="12"/>
        <v>5</v>
      </c>
      <c r="AC8" s="9">
        <f t="shared" si="13"/>
        <v>-2.3858459231153741</v>
      </c>
      <c r="AD8" s="10">
        <f t="shared" si="14"/>
        <v>13.482332619431206</v>
      </c>
      <c r="AE8" s="1">
        <f>SUMIFS(
  '[1]Hoja 1'!$M:$M,
  '[1]Hoja 1'!$S:$S, $A8,
  '[1]Hoja 1'!$R:$R, "&gt;="&amp;INT($AG$1),
  '[1]Hoja 1'!$R:$R, "&lt;"&amp;INT($AH$1+1)
)</f>
        <v>0</v>
      </c>
      <c r="AF8" s="1">
        <f t="shared" si="15"/>
        <v>0</v>
      </c>
      <c r="AG8" s="9">
        <f t="shared" si="16"/>
        <v>-6.9434919168959945</v>
      </c>
      <c r="AH8" s="10">
        <f t="shared" si="17"/>
        <v>8.0166555786479101</v>
      </c>
      <c r="AI8" s="1">
        <f>SUMIFS(
  '[1]Hoja 1'!$M:$M,
  '[1]Hoja 1'!$S:$S, $A8,
  '[1]Hoja 1'!$R:$R, "&gt;="&amp;INT($AK$1),
  '[1]Hoja 1'!$R:$R, "&lt;"&amp;INT($AL$1+1)
)</f>
        <v>0</v>
      </c>
      <c r="AJ8" s="1">
        <f t="shared" si="18"/>
        <v>0</v>
      </c>
      <c r="AK8" s="9">
        <f t="shared" si="19"/>
        <v>-6.9296464556281663</v>
      </c>
      <c r="AL8" s="10">
        <f t="shared" si="20"/>
        <v>8.0016664930917152</v>
      </c>
      <c r="AM8" s="1">
        <f>SUMIFS(
  '[1]Hoja 1'!$M:$M,
  '[1]Hoja 1'!$S:$S, $A8,
  '[1]Hoja 1'!$R:$R, "&gt;="&amp;INT($AO$1),
  '[1]Hoja 1'!$R:$R, "&lt;"&amp;INT($AP$1+1)
)</f>
        <v>0</v>
      </c>
      <c r="AN8" s="1">
        <f t="shared" si="21"/>
        <v>0</v>
      </c>
      <c r="AO8" s="9">
        <f t="shared" si="22"/>
        <v>-4.3826932358995876</v>
      </c>
      <c r="AP8" s="10">
        <f t="shared" si="23"/>
        <v>4.9000000000000004</v>
      </c>
      <c r="AQ8" s="1">
        <f>SUMIFS(
  '[1]Hoja 1'!$M:$M,
  '[1]Hoja 1'!$S:$S, $A8,
  '[1]Hoja 1'!$R:$R, "&gt;="&amp;INT($AS$1),
  '[1]Hoja 1'!$R:$R, "&lt;"&amp;INT($AT$1+1)
)</f>
        <v>0</v>
      </c>
      <c r="AR8" s="1">
        <f t="shared" si="24"/>
        <v>0</v>
      </c>
      <c r="AS8" s="9">
        <f t="shared" si="25"/>
        <v>0</v>
      </c>
      <c r="AT8" s="10">
        <f t="shared" si="26"/>
        <v>0</v>
      </c>
      <c r="AU8" s="1">
        <f>SUMIFS(
  '[1]Hoja 1'!$M:$M,
  '[1]Hoja 1'!$S:$S, $A8,
  '[1]Hoja 1'!$R:$R, "&gt;="&amp;INT($AW$1),
  '[1]Hoja 1'!$R:$R, "&lt;"&amp;INT($AX$1+1)
)</f>
        <v>0</v>
      </c>
      <c r="AV8" s="1">
        <f t="shared" si="27"/>
        <v>0</v>
      </c>
      <c r="AW8" s="9">
        <f t="shared" si="28"/>
        <v>0</v>
      </c>
      <c r="AX8" s="10">
        <f t="shared" si="29"/>
        <v>0</v>
      </c>
      <c r="AY8" s="1">
        <f>SUMIFS(
  '[1]Hoja 1'!$M:$M,
  '[1]Hoja 1'!$S:$S, $A8,
  '[1]Hoja 1'!$R:$R, "&gt;="&amp;INT($BA$1),
  '[1]Hoja 1'!$R:$R, "&lt;"&amp;INT($BB$1+1)
)</f>
        <v>0</v>
      </c>
      <c r="AZ8" s="1">
        <f t="shared" si="30"/>
        <v>0</v>
      </c>
      <c r="BA8" s="9">
        <f t="shared" si="31"/>
        <v>0</v>
      </c>
      <c r="BB8" s="10">
        <f t="shared" si="32"/>
        <v>0</v>
      </c>
      <c r="BC8" s="1">
        <f>SUMIFS(
  '[1]Hoja 1'!$M:$M,
  '[1]Hoja 1'!$S:$S, $A8,
  '[1]Hoja 1'!$R:$R, "&gt;="&amp;INT($BE$1),
  '[1]Hoja 1'!$R:$R, "&lt;"&amp;INT($BF$1+1)
)</f>
        <v>0</v>
      </c>
      <c r="BD8" s="1">
        <f t="shared" si="33"/>
        <v>0</v>
      </c>
      <c r="BE8" s="9">
        <f t="shared" si="34"/>
        <v>0</v>
      </c>
      <c r="BF8" s="10">
        <f t="shared" si="35"/>
        <v>0</v>
      </c>
      <c r="BG8" s="1">
        <f>SUMIFS(
  '[1]Hoja 1'!$M:$M,
  '[1]Hoja 1'!$S:$S, $A8,
  '[1]Hoja 1'!$R:$R, "&gt;="&amp;INT($BI$1),
  '[1]Hoja 1'!$R:$R, "&lt;"&amp;INT($BJ$1+1)
)</f>
        <v>0</v>
      </c>
      <c r="BH8" s="1">
        <f t="shared" si="36"/>
        <v>0</v>
      </c>
      <c r="BI8" s="9">
        <f t="shared" si="37"/>
        <v>0</v>
      </c>
      <c r="BJ8" s="10">
        <f t="shared" si="38"/>
        <v>0</v>
      </c>
      <c r="BK8" s="1">
        <f>SUMIFS(
  '[1]Hoja 1'!$M:$M,
  '[1]Hoja 1'!$S:$S, $A8,
  '[1]Hoja 1'!$R:$R, "&gt;="&amp;INT($BM$1),
  '[1]Hoja 1'!$R:$R, "&lt;"&amp;INT($BN$1+1)
)</f>
        <v>0</v>
      </c>
      <c r="BL8" s="1">
        <f t="shared" si="39"/>
        <v>0</v>
      </c>
      <c r="BM8" s="9">
        <f t="shared" si="40"/>
        <v>0</v>
      </c>
      <c r="BN8" s="10">
        <f t="shared" si="41"/>
        <v>0</v>
      </c>
      <c r="BO8" s="1">
        <f>SUMIFS(
  '[1]Hoja 1'!$M:$M,
  '[1]Hoja 1'!$S:$S, $A8,
  '[1]Hoja 1'!$R:$R, "&gt;="&amp;INT($BQ$1),
  '[1]Hoja 1'!$R:$R, "&lt;"&amp;INT($BR$1+1)
)</f>
        <v>0</v>
      </c>
      <c r="BP8" s="1">
        <f t="shared" si="42"/>
        <v>0</v>
      </c>
      <c r="BQ8" s="9">
        <f t="shared" si="43"/>
        <v>0</v>
      </c>
      <c r="BR8" s="10">
        <f t="shared" si="44"/>
        <v>0</v>
      </c>
      <c r="BS8" s="1">
        <f>SUMIFS(
  '[1]Hoja 1'!$M:$M,
  '[1]Hoja 1'!$S:$S, $A8,
  '[1]Hoja 1'!$R:$R, "&gt;="&amp;INT($BU$1),
  '[1]Hoja 1'!$R:$R, "&lt;"&amp;INT($BV$1+1)
)</f>
        <v>0</v>
      </c>
      <c r="BT8" s="1">
        <f t="shared" si="45"/>
        <v>0</v>
      </c>
      <c r="BU8" s="9">
        <f t="shared" si="46"/>
        <v>0</v>
      </c>
      <c r="BV8" s="10">
        <f t="shared" si="47"/>
        <v>0</v>
      </c>
      <c r="BW8" s="1">
        <f>SUMIFS(
  '[1]Hoja 1'!$M:$M,
  '[1]Hoja 1'!$S:$S, $A8,
  '[1]Hoja 1'!$R:$R, "&gt;="&amp;INT($BY$1),
  '[1]Hoja 1'!$R:$R, "&lt;"&amp;INT($BZ$1+1)
)</f>
        <v>0</v>
      </c>
      <c r="BX8" s="1">
        <f t="shared" si="48"/>
        <v>0</v>
      </c>
      <c r="BY8" s="9">
        <f t="shared" si="49"/>
        <v>0</v>
      </c>
      <c r="BZ8" s="10">
        <f t="shared" si="50"/>
        <v>0</v>
      </c>
      <c r="CA8" s="1">
        <f>SUMIFS(
  '[1]Hoja 1'!$M:$M,
  '[1]Hoja 1'!$S:$S, $A8,
  '[1]Hoja 1'!$R:$R, "&gt;="&amp;INT($CC$1),
  '[1]Hoja 1'!$R:$R, "&lt;"&amp;INT($CD$1+1)
)</f>
        <v>0</v>
      </c>
      <c r="CB8" s="1">
        <f t="shared" si="51"/>
        <v>0</v>
      </c>
      <c r="CC8" s="9">
        <f t="shared" si="52"/>
        <v>0</v>
      </c>
      <c r="CD8" s="10">
        <f t="shared" si="53"/>
        <v>0</v>
      </c>
      <c r="CE8" s="1">
        <f>SUMIFS(
  '[1]Hoja 1'!$M:$M,
  '[1]Hoja 1'!$S:$S, $A8,
  '[1]Hoja 1'!$R:$R, "&gt;="&amp;INT($CG$1),
  '[1]Hoja 1'!$R:$R, "&lt;"&amp;INT($CH$1+1)
)</f>
        <v>0</v>
      </c>
      <c r="CF8" s="1">
        <f t="shared" si="54"/>
        <v>0</v>
      </c>
      <c r="CG8" s="9">
        <f t="shared" si="55"/>
        <v>0</v>
      </c>
      <c r="CH8" s="10">
        <f t="shared" si="56"/>
        <v>0</v>
      </c>
      <c r="CI8" s="1">
        <f>SUMIFS(
  '[1]Hoja 1'!$M:$M,
  '[1]Hoja 1'!$S:$S, $A8,
  '[1]Hoja 1'!$R:$R, "&gt;="&amp;INT($CK$1),
  '[1]Hoja 1'!$R:$R, "&lt;"&amp;INT($CL$1+1)
)</f>
        <v>0</v>
      </c>
      <c r="CJ8" s="1">
        <f t="shared" si="57"/>
        <v>0</v>
      </c>
      <c r="CK8" s="9">
        <f t="shared" si="58"/>
        <v>0</v>
      </c>
      <c r="CL8" s="10">
        <f t="shared" si="59"/>
        <v>0</v>
      </c>
      <c r="CM8" s="1">
        <f>SUMIFS(
  '[1]Hoja 1'!$M:$M,
  '[1]Hoja 1'!$S:$S, $A8,
  '[1]Hoja 1'!$R:$R, "&gt;="&amp;INT($CO$1),
  '[1]Hoja 1'!$R:$R, "&lt;"&amp;INT($CP$1+1)
)</f>
        <v>0</v>
      </c>
      <c r="CN8" s="1">
        <f t="shared" si="60"/>
        <v>0</v>
      </c>
      <c r="CO8" s="9">
        <f t="shared" si="61"/>
        <v>0</v>
      </c>
      <c r="CP8" s="10">
        <f t="shared" si="62"/>
        <v>0</v>
      </c>
      <c r="CQ8" s="1">
        <f>SUMIFS(
  '[1]Hoja 1'!$M:$M,
  '[1]Hoja 1'!$S:$S, $A8,
  '[1]Hoja 1'!$R:$R, "&gt;="&amp;INT($CS$1),
  '[1]Hoja 1'!$R:$R, "&lt;"&amp;INT($CT$1+1)
)</f>
        <v>0</v>
      </c>
      <c r="CR8" s="1">
        <f t="shared" si="63"/>
        <v>0</v>
      </c>
      <c r="CS8" s="9">
        <f t="shared" si="64"/>
        <v>0</v>
      </c>
      <c r="CT8" s="10">
        <f t="shared" si="65"/>
        <v>0</v>
      </c>
      <c r="CU8" s="1">
        <f>SUMIFS(
  '[1]Hoja 1'!$M:$M,
  '[1]Hoja 1'!$S:$S, $A8,
  '[1]Hoja 1'!$R:$R, "&gt;="&amp;INT($CW$1),
  '[1]Hoja 1'!$R:$R, "&lt;"&amp;INT($CX$1+1)
)</f>
        <v>0</v>
      </c>
      <c r="CV8" s="1">
        <f t="shared" si="66"/>
        <v>0</v>
      </c>
      <c r="CW8" s="9">
        <f t="shared" si="67"/>
        <v>0</v>
      </c>
      <c r="CX8" s="10">
        <f t="shared" si="68"/>
        <v>0</v>
      </c>
      <c r="CY8" s="1">
        <f>SUMIFS(
  '[1]Hoja 1'!$M:$M,
  '[1]Hoja 1'!$S:$S, $A8,
  '[1]Hoja 1'!$R:$R, "&gt;="&amp;INT($DA$1),
  '[1]Hoja 1'!$R:$R, "&lt;"&amp;INT($DB$1+1)
)</f>
        <v>0</v>
      </c>
      <c r="CZ8" s="1">
        <f t="shared" si="69"/>
        <v>0</v>
      </c>
      <c r="DA8" s="9">
        <f t="shared" si="70"/>
        <v>0</v>
      </c>
      <c r="DB8" s="10">
        <f t="shared" si="71"/>
        <v>0</v>
      </c>
      <c r="DC8" s="1">
        <f>SUMIFS(
  '[1]Hoja 1'!$M:$M,
  '[1]Hoja 1'!$S:$S, $A8,
  '[1]Hoja 1'!$R:$R, "&gt;="&amp;INT($DE$1),
  '[1]Hoja 1'!$R:$R, "&lt;"&amp;INT($DF$1+1)
)</f>
        <v>0</v>
      </c>
      <c r="DD8" s="1">
        <f t="shared" si="72"/>
        <v>0</v>
      </c>
      <c r="DE8" s="9">
        <f t="shared" si="73"/>
        <v>0</v>
      </c>
      <c r="DF8" s="10">
        <f t="shared" si="74"/>
        <v>0</v>
      </c>
      <c r="DG8" s="1">
        <f>SUMIFS(
  '[1]Hoja 1'!$M:$M,
  '[1]Hoja 1'!$S:$S, $A8,
  '[1]Hoja 1'!$R:$R, "&gt;="&amp;INT($DI$1),
  '[1]Hoja 1'!$R:$R, "&lt;"&amp;INT($DJ$1+1)
)</f>
        <v>0</v>
      </c>
      <c r="DH8" s="1">
        <f t="shared" si="75"/>
        <v>0</v>
      </c>
      <c r="DI8" s="9">
        <f t="shared" si="76"/>
        <v>0</v>
      </c>
      <c r="DJ8" s="10">
        <f t="shared" si="77"/>
        <v>0</v>
      </c>
      <c r="DK8" s="1">
        <f>SUMIFS(
  '[1]Hoja 1'!$M:$M,
  '[1]Hoja 1'!$S:$S, $A8,
  '[1]Hoja 1'!$R:$R, "&gt;="&amp;INT($DM$1),
  '[1]Hoja 1'!$R:$R, "&lt;"&amp;INT($DN$1+1)
)</f>
        <v>0</v>
      </c>
      <c r="DL8" s="1">
        <f t="shared" si="78"/>
        <v>0</v>
      </c>
      <c r="DM8" s="9">
        <f t="shared" si="79"/>
        <v>0</v>
      </c>
      <c r="DN8" s="10">
        <f t="shared" si="80"/>
        <v>0</v>
      </c>
      <c r="DO8" s="1">
        <f>SUMIFS(
  '[1]Hoja 1'!$M:$M,
  '[1]Hoja 1'!$S:$S, $A8,
  '[1]Hoja 1'!$R:$R, "&gt;="&amp;INT($DQ$1),
  '[1]Hoja 1'!$R:$R, "&lt;"&amp;INT($DR$1+1)
)</f>
        <v>0</v>
      </c>
      <c r="DP8" s="1">
        <f t="shared" si="81"/>
        <v>0</v>
      </c>
      <c r="DQ8" s="9">
        <f t="shared" si="82"/>
        <v>0</v>
      </c>
      <c r="DR8" s="10">
        <f t="shared" si="83"/>
        <v>0</v>
      </c>
    </row>
    <row r="9" spans="1:122" x14ac:dyDescent="0.25">
      <c r="A9" s="5">
        <v>201011</v>
      </c>
      <c r="B9" s="6" t="s">
        <v>16</v>
      </c>
      <c r="C9" s="1">
        <f>SUMIFS(
  '[1]Hoja 1'!$M:$M,
  '[1]Hoja 1'!$S:$S, $A9,
  '[1]Hoja 1'!$R:$R, "&gt;="&amp;INT($E$1),
  '[1]Hoja 1'!$R:$R, "&lt;"&amp;INT($F$1+1)
)</f>
        <v>195</v>
      </c>
      <c r="D9" s="1" t="str">
        <f>""</f>
        <v/>
      </c>
      <c r="F9" s="2"/>
      <c r="G9" s="1">
        <f>SUMIFS(
  '[1]Hoja 1'!$M:$M,
  '[1]Hoja 1'!$S:$S, $A9,
  '[1]Hoja 1'!$R:$R, "&gt;="&amp;INT($I$1),
  '[1]Hoja 1'!$R:$R, "&lt;"&amp;INT($J$1+1)
)</f>
        <v>339</v>
      </c>
      <c r="H9" s="1">
        <f t="shared" si="84"/>
        <v>267</v>
      </c>
      <c r="I9" s="1"/>
      <c r="J9" s="2"/>
      <c r="K9" s="1">
        <f>SUMIFS(
  '[1]Hoja 1'!$M:$M,
  '[1]Hoja 1'!$S:$S, $A9,
  '[1]Hoja 1'!$R:$R, "&gt;="&amp;INT($M$1),
  '[1]Hoja 1'!$R:$R, "&lt;"&amp;INT($N$1+1)
)</f>
        <v>88</v>
      </c>
      <c r="L9" s="1">
        <f t="shared" si="0"/>
        <v>213.5</v>
      </c>
      <c r="M9" s="9">
        <f t="shared" si="1"/>
        <v>-60.221034997312529</v>
      </c>
      <c r="N9" s="10">
        <f t="shared" si="2"/>
        <v>487.22103499731253</v>
      </c>
      <c r="O9" s="1">
        <f>SUMIFS(
  '[1]Hoja 1'!$M:$M,
  '[1]Hoja 1'!$S:$S, $A9,
  '[1]Hoja 1'!$R:$R, "&gt;="&amp;INT($Q$1),
  '[1]Hoja 1'!$R:$R, "&lt;"&amp;INT($R$1+1)
)</f>
        <v>116</v>
      </c>
      <c r="P9" s="1">
        <f t="shared" si="3"/>
        <v>102</v>
      </c>
      <c r="Q9" s="9">
        <f t="shared" si="4"/>
        <v>14.532645558791899</v>
      </c>
      <c r="R9" s="10">
        <f t="shared" si="5"/>
        <v>412.4673544412081</v>
      </c>
      <c r="S9" s="1">
        <f>SUMIFS(
  '[1]Hoja 1'!$M:$M,
  '[1]Hoja 1'!$S:$S, $A9,
  '[1]Hoja 1'!$R:$R, "&gt;="&amp;INT($U$1),
  '[1]Hoja 1'!$R:$R, "&lt;"&amp;INT($V$1+1)
)</f>
        <v>510</v>
      </c>
      <c r="T9" s="1">
        <f t="shared" si="6"/>
        <v>313</v>
      </c>
      <c r="U9" s="9">
        <f t="shared" si="7"/>
        <v>50.677869595415189</v>
      </c>
      <c r="V9" s="10">
        <f t="shared" si="8"/>
        <v>575.32213040458487</v>
      </c>
      <c r="W9" s="1">
        <f>SUMIFS(
  '[1]Hoja 1'!$M:$M,
  '[1]Hoja 1'!$S:$S, $A9,
  '[1]Hoja 1'!$R:$R, "&gt;="&amp;INT($Y$1),
  '[1]Hoja 1'!$R:$R, "&lt;"&amp;INT($Z$1+1)
)</f>
        <v>170</v>
      </c>
      <c r="X9" s="1">
        <f t="shared" si="9"/>
        <v>340</v>
      </c>
      <c r="Y9" s="9">
        <f t="shared" si="10"/>
        <v>16.213798780738614</v>
      </c>
      <c r="Z9" s="10">
        <f t="shared" si="11"/>
        <v>663.78620121926133</v>
      </c>
      <c r="AA9" s="1">
        <f>SUMIFS(
  '[1]Hoja 1'!$M:$M,
  '[1]Hoja 1'!$S:$S, $A9,
  '[1]Hoja 1'!$R:$R, "&gt;="&amp;INT($AC$1),
  '[1]Hoja 1'!$R:$R, "&lt;"&amp;INT($AD$1+1)
)</f>
        <v>243</v>
      </c>
      <c r="AB9" s="1">
        <f t="shared" si="12"/>
        <v>207</v>
      </c>
      <c r="AC9" s="9">
        <f t="shared" si="13"/>
        <v>-48.620371645140949</v>
      </c>
      <c r="AD9" s="10">
        <f t="shared" si="14"/>
        <v>501.51282773420922</v>
      </c>
      <c r="AE9" s="1">
        <f>SUMIFS(
  '[1]Hoja 1'!$M:$M,
  '[1]Hoja 1'!$S:$S, $A9,
  '[1]Hoja 1'!$R:$R, "&gt;="&amp;INT($AG$1),
  '[1]Hoja 1'!$R:$R, "&lt;"&amp;INT($AH$1+1)
)</f>
        <v>0</v>
      </c>
      <c r="AF9" s="1">
        <f t="shared" si="15"/>
        <v>122</v>
      </c>
      <c r="AG9" s="9">
        <f t="shared" si="16"/>
        <v>-160.55747075595082</v>
      </c>
      <c r="AH9" s="10">
        <f t="shared" si="17"/>
        <v>447.93902292709089</v>
      </c>
      <c r="AI9" s="1">
        <f>SUMIFS(
  '[1]Hoja 1'!$M:$M,
  '[1]Hoja 1'!$S:$S, $A9,
  '[1]Hoja 1'!$R:$R, "&gt;="&amp;INT($AK$1),
  '[1]Hoja 1'!$R:$R, "&lt;"&amp;INT($AL$1+1)
)</f>
        <v>0</v>
      </c>
      <c r="AJ9" s="1">
        <f t="shared" si="18"/>
        <v>0</v>
      </c>
      <c r="AK9" s="9">
        <f t="shared" si="19"/>
        <v>-175.27896565190017</v>
      </c>
      <c r="AL9" s="10">
        <f t="shared" si="20"/>
        <v>191.83400915027204</v>
      </c>
      <c r="AM9" s="1">
        <f>SUMIFS(
  '[1]Hoja 1'!$M:$M,
  '[1]Hoja 1'!$S:$S, $A9,
  '[1]Hoja 1'!$R:$R, "&gt;="&amp;INT($AO$1),
  '[1]Hoja 1'!$R:$R, "&lt;"&amp;INT($AP$1+1)
)</f>
        <v>0</v>
      </c>
      <c r="AN9" s="1">
        <f t="shared" si="21"/>
        <v>0</v>
      </c>
      <c r="AO9" s="9">
        <f t="shared" si="22"/>
        <v>-118.61441649310594</v>
      </c>
      <c r="AP9" s="10">
        <f t="shared" si="23"/>
        <v>135.2648527888897</v>
      </c>
      <c r="AQ9" s="1">
        <f>SUMIFS(
  '[1]Hoja 1'!$M:$M,
  '[1]Hoja 1'!$S:$S, $A9,
  '[1]Hoja 1'!$R:$R, "&gt;="&amp;INT($AS$1),
  '[1]Hoja 1'!$R:$R, "&lt;"&amp;INT($AT$1+1)
)</f>
        <v>0</v>
      </c>
      <c r="AR9" s="1">
        <f t="shared" si="24"/>
        <v>0</v>
      </c>
      <c r="AS9" s="9">
        <f t="shared" si="25"/>
        <v>-106.49944563235998</v>
      </c>
      <c r="AT9" s="10">
        <f t="shared" si="26"/>
        <v>119.07</v>
      </c>
      <c r="AU9" s="1">
        <f>SUMIFS(
  '[1]Hoja 1'!$M:$M,
  '[1]Hoja 1'!$S:$S, $A9,
  '[1]Hoja 1'!$R:$R, "&gt;="&amp;INT($AW$1),
  '[1]Hoja 1'!$R:$R, "&lt;"&amp;INT($AX$1+1)
)</f>
        <v>0</v>
      </c>
      <c r="AV9" s="1">
        <f t="shared" si="27"/>
        <v>0</v>
      </c>
      <c r="AW9" s="9">
        <f t="shared" si="28"/>
        <v>0</v>
      </c>
      <c r="AX9" s="10">
        <f t="shared" si="29"/>
        <v>0</v>
      </c>
      <c r="AY9" s="1">
        <f>SUMIFS(
  '[1]Hoja 1'!$M:$M,
  '[1]Hoja 1'!$S:$S, $A9,
  '[1]Hoja 1'!$R:$R, "&gt;="&amp;INT($BA$1),
  '[1]Hoja 1'!$R:$R, "&lt;"&amp;INT($BB$1+1)
)</f>
        <v>0</v>
      </c>
      <c r="AZ9" s="1">
        <f t="shared" si="30"/>
        <v>0</v>
      </c>
      <c r="BA9" s="9">
        <f t="shared" si="31"/>
        <v>0</v>
      </c>
      <c r="BB9" s="10">
        <f t="shared" si="32"/>
        <v>0</v>
      </c>
      <c r="BC9" s="1">
        <f>SUMIFS(
  '[1]Hoja 1'!$M:$M,
  '[1]Hoja 1'!$S:$S, $A9,
  '[1]Hoja 1'!$R:$R, "&gt;="&amp;INT($BE$1),
  '[1]Hoja 1'!$R:$R, "&lt;"&amp;INT($BF$1+1)
)</f>
        <v>0</v>
      </c>
      <c r="BD9" s="1">
        <f t="shared" si="33"/>
        <v>0</v>
      </c>
      <c r="BE9" s="9">
        <f t="shared" si="34"/>
        <v>0</v>
      </c>
      <c r="BF9" s="10">
        <f t="shared" si="35"/>
        <v>0</v>
      </c>
      <c r="BG9" s="1">
        <f>SUMIFS(
  '[1]Hoja 1'!$M:$M,
  '[1]Hoja 1'!$S:$S, $A9,
  '[1]Hoja 1'!$R:$R, "&gt;="&amp;INT($BI$1),
  '[1]Hoja 1'!$R:$R, "&lt;"&amp;INT($BJ$1+1)
)</f>
        <v>0</v>
      </c>
      <c r="BH9" s="1">
        <f t="shared" si="36"/>
        <v>0</v>
      </c>
      <c r="BI9" s="9">
        <f t="shared" si="37"/>
        <v>0</v>
      </c>
      <c r="BJ9" s="10">
        <f t="shared" si="38"/>
        <v>0</v>
      </c>
      <c r="BK9" s="1">
        <f>SUMIFS(
  '[1]Hoja 1'!$M:$M,
  '[1]Hoja 1'!$S:$S, $A9,
  '[1]Hoja 1'!$R:$R, "&gt;="&amp;INT($BM$1),
  '[1]Hoja 1'!$R:$R, "&lt;"&amp;INT($BN$1+1)
)</f>
        <v>0</v>
      </c>
      <c r="BL9" s="1">
        <f t="shared" si="39"/>
        <v>0</v>
      </c>
      <c r="BM9" s="9">
        <f t="shared" si="40"/>
        <v>0</v>
      </c>
      <c r="BN9" s="10">
        <f t="shared" si="41"/>
        <v>0</v>
      </c>
      <c r="BO9" s="1">
        <f>SUMIFS(
  '[1]Hoja 1'!$M:$M,
  '[1]Hoja 1'!$S:$S, $A9,
  '[1]Hoja 1'!$R:$R, "&gt;="&amp;INT($BQ$1),
  '[1]Hoja 1'!$R:$R, "&lt;"&amp;INT($BR$1+1)
)</f>
        <v>0</v>
      </c>
      <c r="BP9" s="1">
        <f t="shared" si="42"/>
        <v>0</v>
      </c>
      <c r="BQ9" s="9">
        <f t="shared" si="43"/>
        <v>0</v>
      </c>
      <c r="BR9" s="10">
        <f t="shared" si="44"/>
        <v>0</v>
      </c>
      <c r="BS9" s="1">
        <f>SUMIFS(
  '[1]Hoja 1'!$M:$M,
  '[1]Hoja 1'!$S:$S, $A9,
  '[1]Hoja 1'!$R:$R, "&gt;="&amp;INT($BU$1),
  '[1]Hoja 1'!$R:$R, "&lt;"&amp;INT($BV$1+1)
)</f>
        <v>0</v>
      </c>
      <c r="BT9" s="1">
        <f t="shared" si="45"/>
        <v>0</v>
      </c>
      <c r="BU9" s="9">
        <f t="shared" si="46"/>
        <v>0</v>
      </c>
      <c r="BV9" s="10">
        <f t="shared" si="47"/>
        <v>0</v>
      </c>
      <c r="BW9" s="1">
        <f>SUMIFS(
  '[1]Hoja 1'!$M:$M,
  '[1]Hoja 1'!$S:$S, $A9,
  '[1]Hoja 1'!$R:$R, "&gt;="&amp;INT($BY$1),
  '[1]Hoja 1'!$R:$R, "&lt;"&amp;INT($BZ$1+1)
)</f>
        <v>0</v>
      </c>
      <c r="BX9" s="1">
        <f t="shared" si="48"/>
        <v>0</v>
      </c>
      <c r="BY9" s="9">
        <f t="shared" si="49"/>
        <v>0</v>
      </c>
      <c r="BZ9" s="10">
        <f t="shared" si="50"/>
        <v>0</v>
      </c>
      <c r="CA9" s="1">
        <f>SUMIFS(
  '[1]Hoja 1'!$M:$M,
  '[1]Hoja 1'!$S:$S, $A9,
  '[1]Hoja 1'!$R:$R, "&gt;="&amp;INT($CC$1),
  '[1]Hoja 1'!$R:$R, "&lt;"&amp;INT($CD$1+1)
)</f>
        <v>0</v>
      </c>
      <c r="CB9" s="1">
        <f t="shared" si="51"/>
        <v>0</v>
      </c>
      <c r="CC9" s="9">
        <f t="shared" si="52"/>
        <v>0</v>
      </c>
      <c r="CD9" s="10">
        <f t="shared" si="53"/>
        <v>0</v>
      </c>
      <c r="CE9" s="1">
        <f>SUMIFS(
  '[1]Hoja 1'!$M:$M,
  '[1]Hoja 1'!$S:$S, $A9,
  '[1]Hoja 1'!$R:$R, "&gt;="&amp;INT($CG$1),
  '[1]Hoja 1'!$R:$R, "&lt;"&amp;INT($CH$1+1)
)</f>
        <v>0</v>
      </c>
      <c r="CF9" s="1">
        <f t="shared" si="54"/>
        <v>0</v>
      </c>
      <c r="CG9" s="9">
        <f t="shared" si="55"/>
        <v>0</v>
      </c>
      <c r="CH9" s="10">
        <f t="shared" si="56"/>
        <v>0</v>
      </c>
      <c r="CI9" s="1">
        <f>SUMIFS(
  '[1]Hoja 1'!$M:$M,
  '[1]Hoja 1'!$S:$S, $A9,
  '[1]Hoja 1'!$R:$R, "&gt;="&amp;INT($CK$1),
  '[1]Hoja 1'!$R:$R, "&lt;"&amp;INT($CL$1+1)
)</f>
        <v>0</v>
      </c>
      <c r="CJ9" s="1">
        <f t="shared" si="57"/>
        <v>0</v>
      </c>
      <c r="CK9" s="9">
        <f t="shared" si="58"/>
        <v>0</v>
      </c>
      <c r="CL9" s="10">
        <f t="shared" si="59"/>
        <v>0</v>
      </c>
      <c r="CM9" s="1">
        <f>SUMIFS(
  '[1]Hoja 1'!$M:$M,
  '[1]Hoja 1'!$S:$S, $A9,
  '[1]Hoja 1'!$R:$R, "&gt;="&amp;INT($CO$1),
  '[1]Hoja 1'!$R:$R, "&lt;"&amp;INT($CP$1+1)
)</f>
        <v>0</v>
      </c>
      <c r="CN9" s="1">
        <f t="shared" si="60"/>
        <v>0</v>
      </c>
      <c r="CO9" s="9">
        <f t="shared" si="61"/>
        <v>0</v>
      </c>
      <c r="CP9" s="10">
        <f t="shared" si="62"/>
        <v>0</v>
      </c>
      <c r="CQ9" s="1">
        <f>SUMIFS(
  '[1]Hoja 1'!$M:$M,
  '[1]Hoja 1'!$S:$S, $A9,
  '[1]Hoja 1'!$R:$R, "&gt;="&amp;INT($CS$1),
  '[1]Hoja 1'!$R:$R, "&lt;"&amp;INT($CT$1+1)
)</f>
        <v>0</v>
      </c>
      <c r="CR9" s="1">
        <f t="shared" si="63"/>
        <v>0</v>
      </c>
      <c r="CS9" s="9">
        <f t="shared" si="64"/>
        <v>0</v>
      </c>
      <c r="CT9" s="10">
        <f t="shared" si="65"/>
        <v>0</v>
      </c>
      <c r="CU9" s="1">
        <f>SUMIFS(
  '[1]Hoja 1'!$M:$M,
  '[1]Hoja 1'!$S:$S, $A9,
  '[1]Hoja 1'!$R:$R, "&gt;="&amp;INT($CW$1),
  '[1]Hoja 1'!$R:$R, "&lt;"&amp;INT($CX$1+1)
)</f>
        <v>0</v>
      </c>
      <c r="CV9" s="1">
        <f t="shared" si="66"/>
        <v>0</v>
      </c>
      <c r="CW9" s="9">
        <f t="shared" si="67"/>
        <v>0</v>
      </c>
      <c r="CX9" s="10">
        <f t="shared" si="68"/>
        <v>0</v>
      </c>
      <c r="CY9" s="1">
        <f>SUMIFS(
  '[1]Hoja 1'!$M:$M,
  '[1]Hoja 1'!$S:$S, $A9,
  '[1]Hoja 1'!$R:$R, "&gt;="&amp;INT($DA$1),
  '[1]Hoja 1'!$R:$R, "&lt;"&amp;INT($DB$1+1)
)</f>
        <v>0</v>
      </c>
      <c r="CZ9" s="1">
        <f t="shared" si="69"/>
        <v>0</v>
      </c>
      <c r="DA9" s="9">
        <f t="shared" si="70"/>
        <v>0</v>
      </c>
      <c r="DB9" s="10">
        <f t="shared" si="71"/>
        <v>0</v>
      </c>
      <c r="DC9" s="1">
        <f>SUMIFS(
  '[1]Hoja 1'!$M:$M,
  '[1]Hoja 1'!$S:$S, $A9,
  '[1]Hoja 1'!$R:$R, "&gt;="&amp;INT($DE$1),
  '[1]Hoja 1'!$R:$R, "&lt;"&amp;INT($DF$1+1)
)</f>
        <v>0</v>
      </c>
      <c r="DD9" s="1">
        <f t="shared" si="72"/>
        <v>0</v>
      </c>
      <c r="DE9" s="9">
        <f t="shared" si="73"/>
        <v>0</v>
      </c>
      <c r="DF9" s="10">
        <f t="shared" si="74"/>
        <v>0</v>
      </c>
      <c r="DG9" s="1">
        <f>SUMIFS(
  '[1]Hoja 1'!$M:$M,
  '[1]Hoja 1'!$S:$S, $A9,
  '[1]Hoja 1'!$R:$R, "&gt;="&amp;INT($DI$1),
  '[1]Hoja 1'!$R:$R, "&lt;"&amp;INT($DJ$1+1)
)</f>
        <v>0</v>
      </c>
      <c r="DH9" s="1">
        <f t="shared" si="75"/>
        <v>0</v>
      </c>
      <c r="DI9" s="9">
        <f t="shared" si="76"/>
        <v>0</v>
      </c>
      <c r="DJ9" s="10">
        <f t="shared" si="77"/>
        <v>0</v>
      </c>
      <c r="DK9" s="1">
        <f>SUMIFS(
  '[1]Hoja 1'!$M:$M,
  '[1]Hoja 1'!$S:$S, $A9,
  '[1]Hoja 1'!$R:$R, "&gt;="&amp;INT($DM$1),
  '[1]Hoja 1'!$R:$R, "&lt;"&amp;INT($DN$1+1)
)</f>
        <v>0</v>
      </c>
      <c r="DL9" s="1">
        <f t="shared" si="78"/>
        <v>0</v>
      </c>
      <c r="DM9" s="9">
        <f t="shared" si="79"/>
        <v>0</v>
      </c>
      <c r="DN9" s="10">
        <f t="shared" si="80"/>
        <v>0</v>
      </c>
      <c r="DO9" s="1">
        <f>SUMIFS(
  '[1]Hoja 1'!$M:$M,
  '[1]Hoja 1'!$S:$S, $A9,
  '[1]Hoja 1'!$R:$R, "&gt;="&amp;INT($DQ$1),
  '[1]Hoja 1'!$R:$R, "&lt;"&amp;INT($DR$1+1)
)</f>
        <v>0</v>
      </c>
      <c r="DP9" s="1">
        <f t="shared" si="81"/>
        <v>0</v>
      </c>
      <c r="DQ9" s="9">
        <f t="shared" si="82"/>
        <v>0</v>
      </c>
      <c r="DR9" s="10">
        <f t="shared" si="83"/>
        <v>0</v>
      </c>
    </row>
    <row r="10" spans="1:122" x14ac:dyDescent="0.25">
      <c r="A10" s="5">
        <v>201020</v>
      </c>
      <c r="B10" s="6" t="s">
        <v>17</v>
      </c>
      <c r="C10" s="1">
        <f>SUMIFS(
  '[1]Hoja 1'!$M:$M,
  '[1]Hoja 1'!$S:$S, $A10,
  '[1]Hoja 1'!$R:$R, "&gt;="&amp;INT($E$1),
  '[1]Hoja 1'!$R:$R, "&lt;"&amp;INT($F$1+1)
)</f>
        <v>0</v>
      </c>
      <c r="D10" s="1" t="str">
        <f>""</f>
        <v/>
      </c>
      <c r="F10" s="2"/>
      <c r="G10" s="1">
        <f>SUMIFS(
  '[1]Hoja 1'!$M:$M,
  '[1]Hoja 1'!$S:$S, $A10,
  '[1]Hoja 1'!$R:$R, "&gt;="&amp;INT($I$1),
  '[1]Hoja 1'!$R:$R, "&lt;"&amp;INT($J$1+1)
)</f>
        <v>0</v>
      </c>
      <c r="H10" s="1">
        <f t="shared" si="84"/>
        <v>0</v>
      </c>
      <c r="I10" s="1"/>
      <c r="J10" s="2"/>
      <c r="K10" s="1">
        <f>SUMIFS(
  '[1]Hoja 1'!$M:$M,
  '[1]Hoja 1'!$S:$S, $A10,
  '[1]Hoja 1'!$R:$R, "&gt;="&amp;INT($M$1),
  '[1]Hoja 1'!$R:$R, "&lt;"&amp;INT($N$1+1)
)</f>
        <v>0</v>
      </c>
      <c r="L10" s="1">
        <f t="shared" si="0"/>
        <v>0</v>
      </c>
      <c r="M10" s="9">
        <f t="shared" si="1"/>
        <v>0</v>
      </c>
      <c r="N10" s="10">
        <f t="shared" si="2"/>
        <v>0</v>
      </c>
      <c r="O10" s="1">
        <f>SUMIFS(
  '[1]Hoja 1'!$M:$M,
  '[1]Hoja 1'!$S:$S, $A10,
  '[1]Hoja 1'!$R:$R, "&gt;="&amp;INT($Q$1),
  '[1]Hoja 1'!$R:$R, "&lt;"&amp;INT($R$1+1)
)</f>
        <v>0</v>
      </c>
      <c r="P10" s="1">
        <f t="shared" si="3"/>
        <v>0</v>
      </c>
      <c r="Q10" s="9">
        <f t="shared" si="4"/>
        <v>0</v>
      </c>
      <c r="R10" s="10">
        <f t="shared" si="5"/>
        <v>0</v>
      </c>
      <c r="S10" s="1">
        <f>SUMIFS(
  '[1]Hoja 1'!$M:$M,
  '[1]Hoja 1'!$S:$S, $A10,
  '[1]Hoja 1'!$R:$R, "&gt;="&amp;INT($U$1),
  '[1]Hoja 1'!$R:$R, "&lt;"&amp;INT($V$1+1)
)</f>
        <v>0</v>
      </c>
      <c r="T10" s="1">
        <f t="shared" si="6"/>
        <v>0</v>
      </c>
      <c r="U10" s="9">
        <f t="shared" si="7"/>
        <v>0</v>
      </c>
      <c r="V10" s="10">
        <f t="shared" si="8"/>
        <v>0</v>
      </c>
      <c r="W10" s="1">
        <f>SUMIFS(
  '[1]Hoja 1'!$M:$M,
  '[1]Hoja 1'!$S:$S, $A10,
  '[1]Hoja 1'!$R:$R, "&gt;="&amp;INT($Y$1),
  '[1]Hoja 1'!$R:$R, "&lt;"&amp;INT($Z$1+1)
)</f>
        <v>0</v>
      </c>
      <c r="X10" s="1">
        <f t="shared" si="9"/>
        <v>0</v>
      </c>
      <c r="Y10" s="9">
        <f t="shared" si="10"/>
        <v>0</v>
      </c>
      <c r="Z10" s="10">
        <f t="shared" si="11"/>
        <v>0</v>
      </c>
      <c r="AA10" s="1">
        <f>SUMIFS(
  '[1]Hoja 1'!$M:$M,
  '[1]Hoja 1'!$S:$S, $A10,
  '[1]Hoja 1'!$R:$R, "&gt;="&amp;INT($AC$1),
  '[1]Hoja 1'!$R:$R, "&lt;"&amp;INT($AD$1+1)
)</f>
        <v>0</v>
      </c>
      <c r="AB10" s="1">
        <f t="shared" si="12"/>
        <v>0</v>
      </c>
      <c r="AC10" s="9">
        <f t="shared" si="13"/>
        <v>0</v>
      </c>
      <c r="AD10" s="10">
        <f t="shared" si="14"/>
        <v>0</v>
      </c>
      <c r="AE10" s="1">
        <f>SUMIFS(
  '[1]Hoja 1'!$M:$M,
  '[1]Hoja 1'!$S:$S, $A10,
  '[1]Hoja 1'!$R:$R, "&gt;="&amp;INT($AG$1),
  '[1]Hoja 1'!$R:$R, "&lt;"&amp;INT($AH$1+1)
)</f>
        <v>0</v>
      </c>
      <c r="AF10" s="1">
        <f t="shared" si="15"/>
        <v>0</v>
      </c>
      <c r="AG10" s="9">
        <f t="shared" si="16"/>
        <v>0</v>
      </c>
      <c r="AH10" s="10">
        <f t="shared" si="17"/>
        <v>0</v>
      </c>
      <c r="AI10" s="1">
        <f>SUMIFS(
  '[1]Hoja 1'!$M:$M,
  '[1]Hoja 1'!$S:$S, $A10,
  '[1]Hoja 1'!$R:$R, "&gt;="&amp;INT($AK$1),
  '[1]Hoja 1'!$R:$R, "&lt;"&amp;INT($AL$1+1)
)</f>
        <v>0</v>
      </c>
      <c r="AJ10" s="1">
        <f t="shared" si="18"/>
        <v>0</v>
      </c>
      <c r="AK10" s="9">
        <f t="shared" si="19"/>
        <v>0</v>
      </c>
      <c r="AL10" s="10">
        <f t="shared" si="20"/>
        <v>0</v>
      </c>
      <c r="AM10" s="1">
        <f>SUMIFS(
  '[1]Hoja 1'!$M:$M,
  '[1]Hoja 1'!$S:$S, $A10,
  '[1]Hoja 1'!$R:$R, "&gt;="&amp;INT($AO$1),
  '[1]Hoja 1'!$R:$R, "&lt;"&amp;INT($AP$1+1)
)</f>
        <v>0</v>
      </c>
      <c r="AN10" s="1">
        <f t="shared" si="21"/>
        <v>0</v>
      </c>
      <c r="AO10" s="9">
        <f t="shared" si="22"/>
        <v>0</v>
      </c>
      <c r="AP10" s="10">
        <f t="shared" si="23"/>
        <v>0</v>
      </c>
      <c r="AQ10" s="1">
        <f>SUMIFS(
  '[1]Hoja 1'!$M:$M,
  '[1]Hoja 1'!$S:$S, $A10,
  '[1]Hoja 1'!$R:$R, "&gt;="&amp;INT($AS$1),
  '[1]Hoja 1'!$R:$R, "&lt;"&amp;INT($AT$1+1)
)</f>
        <v>0</v>
      </c>
      <c r="AR10" s="1">
        <f t="shared" si="24"/>
        <v>0</v>
      </c>
      <c r="AS10" s="9">
        <f t="shared" si="25"/>
        <v>0</v>
      </c>
      <c r="AT10" s="10">
        <f t="shared" si="26"/>
        <v>0</v>
      </c>
      <c r="AU10" s="1">
        <f>SUMIFS(
  '[1]Hoja 1'!$M:$M,
  '[1]Hoja 1'!$S:$S, $A10,
  '[1]Hoja 1'!$R:$R, "&gt;="&amp;INT($AW$1),
  '[1]Hoja 1'!$R:$R, "&lt;"&amp;INT($AX$1+1)
)</f>
        <v>0</v>
      </c>
      <c r="AV10" s="1">
        <f t="shared" si="27"/>
        <v>0</v>
      </c>
      <c r="AW10" s="9">
        <f t="shared" si="28"/>
        <v>0</v>
      </c>
      <c r="AX10" s="10">
        <f t="shared" si="29"/>
        <v>0</v>
      </c>
      <c r="AY10" s="1">
        <f>SUMIFS(
  '[1]Hoja 1'!$M:$M,
  '[1]Hoja 1'!$S:$S, $A10,
  '[1]Hoja 1'!$R:$R, "&gt;="&amp;INT($BA$1),
  '[1]Hoja 1'!$R:$R, "&lt;"&amp;INT($BB$1+1)
)</f>
        <v>0</v>
      </c>
      <c r="AZ10" s="1">
        <f t="shared" si="30"/>
        <v>0</v>
      </c>
      <c r="BA10" s="9">
        <f t="shared" si="31"/>
        <v>0</v>
      </c>
      <c r="BB10" s="10">
        <f t="shared" si="32"/>
        <v>0</v>
      </c>
      <c r="BC10" s="1">
        <f>SUMIFS(
  '[1]Hoja 1'!$M:$M,
  '[1]Hoja 1'!$S:$S, $A10,
  '[1]Hoja 1'!$R:$R, "&gt;="&amp;INT($BE$1),
  '[1]Hoja 1'!$R:$R, "&lt;"&amp;INT($BF$1+1)
)</f>
        <v>0</v>
      </c>
      <c r="BD10" s="1">
        <f t="shared" si="33"/>
        <v>0</v>
      </c>
      <c r="BE10" s="9">
        <f t="shared" si="34"/>
        <v>0</v>
      </c>
      <c r="BF10" s="10">
        <f t="shared" si="35"/>
        <v>0</v>
      </c>
      <c r="BG10" s="1">
        <f>SUMIFS(
  '[1]Hoja 1'!$M:$M,
  '[1]Hoja 1'!$S:$S, $A10,
  '[1]Hoja 1'!$R:$R, "&gt;="&amp;INT($BI$1),
  '[1]Hoja 1'!$R:$R, "&lt;"&amp;INT($BJ$1+1)
)</f>
        <v>0</v>
      </c>
      <c r="BH10" s="1">
        <f t="shared" si="36"/>
        <v>0</v>
      </c>
      <c r="BI10" s="9">
        <f t="shared" si="37"/>
        <v>0</v>
      </c>
      <c r="BJ10" s="10">
        <f t="shared" si="38"/>
        <v>0</v>
      </c>
      <c r="BK10" s="1">
        <f>SUMIFS(
  '[1]Hoja 1'!$M:$M,
  '[1]Hoja 1'!$S:$S, $A10,
  '[1]Hoja 1'!$R:$R, "&gt;="&amp;INT($BM$1),
  '[1]Hoja 1'!$R:$R, "&lt;"&amp;INT($BN$1+1)
)</f>
        <v>0</v>
      </c>
      <c r="BL10" s="1">
        <f t="shared" si="39"/>
        <v>0</v>
      </c>
      <c r="BM10" s="9">
        <f t="shared" si="40"/>
        <v>0</v>
      </c>
      <c r="BN10" s="10">
        <f t="shared" si="41"/>
        <v>0</v>
      </c>
      <c r="BO10" s="1">
        <f>SUMIFS(
  '[1]Hoja 1'!$M:$M,
  '[1]Hoja 1'!$S:$S, $A10,
  '[1]Hoja 1'!$R:$R, "&gt;="&amp;INT($BQ$1),
  '[1]Hoja 1'!$R:$R, "&lt;"&amp;INT($BR$1+1)
)</f>
        <v>0</v>
      </c>
      <c r="BP10" s="1">
        <f t="shared" si="42"/>
        <v>0</v>
      </c>
      <c r="BQ10" s="9">
        <f t="shared" si="43"/>
        <v>0</v>
      </c>
      <c r="BR10" s="10">
        <f t="shared" si="44"/>
        <v>0</v>
      </c>
      <c r="BS10" s="1">
        <f>SUMIFS(
  '[1]Hoja 1'!$M:$M,
  '[1]Hoja 1'!$S:$S, $A10,
  '[1]Hoja 1'!$R:$R, "&gt;="&amp;INT($BU$1),
  '[1]Hoja 1'!$R:$R, "&lt;"&amp;INT($BV$1+1)
)</f>
        <v>0</v>
      </c>
      <c r="BT10" s="1">
        <f t="shared" si="45"/>
        <v>0</v>
      </c>
      <c r="BU10" s="9">
        <f t="shared" si="46"/>
        <v>0</v>
      </c>
      <c r="BV10" s="10">
        <f t="shared" si="47"/>
        <v>0</v>
      </c>
      <c r="BW10" s="1">
        <f>SUMIFS(
  '[1]Hoja 1'!$M:$M,
  '[1]Hoja 1'!$S:$S, $A10,
  '[1]Hoja 1'!$R:$R, "&gt;="&amp;INT($BY$1),
  '[1]Hoja 1'!$R:$R, "&lt;"&amp;INT($BZ$1+1)
)</f>
        <v>0</v>
      </c>
      <c r="BX10" s="1">
        <f t="shared" si="48"/>
        <v>0</v>
      </c>
      <c r="BY10" s="9">
        <f t="shared" si="49"/>
        <v>0</v>
      </c>
      <c r="BZ10" s="10">
        <f t="shared" si="50"/>
        <v>0</v>
      </c>
      <c r="CA10" s="1">
        <f>SUMIFS(
  '[1]Hoja 1'!$M:$M,
  '[1]Hoja 1'!$S:$S, $A10,
  '[1]Hoja 1'!$R:$R, "&gt;="&amp;INT($CC$1),
  '[1]Hoja 1'!$R:$R, "&lt;"&amp;INT($CD$1+1)
)</f>
        <v>0</v>
      </c>
      <c r="CB10" s="1">
        <f t="shared" si="51"/>
        <v>0</v>
      </c>
      <c r="CC10" s="9">
        <f t="shared" si="52"/>
        <v>0</v>
      </c>
      <c r="CD10" s="10">
        <f t="shared" si="53"/>
        <v>0</v>
      </c>
      <c r="CE10" s="1">
        <f>SUMIFS(
  '[1]Hoja 1'!$M:$M,
  '[1]Hoja 1'!$S:$S, $A10,
  '[1]Hoja 1'!$R:$R, "&gt;="&amp;INT($CG$1),
  '[1]Hoja 1'!$R:$R, "&lt;"&amp;INT($CH$1+1)
)</f>
        <v>0</v>
      </c>
      <c r="CF10" s="1">
        <f t="shared" si="54"/>
        <v>0</v>
      </c>
      <c r="CG10" s="9">
        <f t="shared" si="55"/>
        <v>0</v>
      </c>
      <c r="CH10" s="10">
        <f t="shared" si="56"/>
        <v>0</v>
      </c>
      <c r="CI10" s="1">
        <f>SUMIFS(
  '[1]Hoja 1'!$M:$M,
  '[1]Hoja 1'!$S:$S, $A10,
  '[1]Hoja 1'!$R:$R, "&gt;="&amp;INT($CK$1),
  '[1]Hoja 1'!$R:$R, "&lt;"&amp;INT($CL$1+1)
)</f>
        <v>0</v>
      </c>
      <c r="CJ10" s="1">
        <f t="shared" si="57"/>
        <v>0</v>
      </c>
      <c r="CK10" s="9">
        <f t="shared" si="58"/>
        <v>0</v>
      </c>
      <c r="CL10" s="10">
        <f t="shared" si="59"/>
        <v>0</v>
      </c>
      <c r="CM10" s="1">
        <f>SUMIFS(
  '[1]Hoja 1'!$M:$M,
  '[1]Hoja 1'!$S:$S, $A10,
  '[1]Hoja 1'!$R:$R, "&gt;="&amp;INT($CO$1),
  '[1]Hoja 1'!$R:$R, "&lt;"&amp;INT($CP$1+1)
)</f>
        <v>0</v>
      </c>
      <c r="CN10" s="1">
        <f t="shared" si="60"/>
        <v>0</v>
      </c>
      <c r="CO10" s="9">
        <f t="shared" si="61"/>
        <v>0</v>
      </c>
      <c r="CP10" s="10">
        <f t="shared" si="62"/>
        <v>0</v>
      </c>
      <c r="CQ10" s="1">
        <f>SUMIFS(
  '[1]Hoja 1'!$M:$M,
  '[1]Hoja 1'!$S:$S, $A10,
  '[1]Hoja 1'!$R:$R, "&gt;="&amp;INT($CS$1),
  '[1]Hoja 1'!$R:$R, "&lt;"&amp;INT($CT$1+1)
)</f>
        <v>0</v>
      </c>
      <c r="CR10" s="1">
        <f t="shared" si="63"/>
        <v>0</v>
      </c>
      <c r="CS10" s="9">
        <f t="shared" si="64"/>
        <v>0</v>
      </c>
      <c r="CT10" s="10">
        <f t="shared" si="65"/>
        <v>0</v>
      </c>
      <c r="CU10" s="1">
        <f>SUMIFS(
  '[1]Hoja 1'!$M:$M,
  '[1]Hoja 1'!$S:$S, $A10,
  '[1]Hoja 1'!$R:$R, "&gt;="&amp;INT($CW$1),
  '[1]Hoja 1'!$R:$R, "&lt;"&amp;INT($CX$1+1)
)</f>
        <v>0</v>
      </c>
      <c r="CV10" s="1">
        <f t="shared" si="66"/>
        <v>0</v>
      </c>
      <c r="CW10" s="9">
        <f t="shared" si="67"/>
        <v>0</v>
      </c>
      <c r="CX10" s="10">
        <f t="shared" si="68"/>
        <v>0</v>
      </c>
      <c r="CY10" s="1">
        <f>SUMIFS(
  '[1]Hoja 1'!$M:$M,
  '[1]Hoja 1'!$S:$S, $A10,
  '[1]Hoja 1'!$R:$R, "&gt;="&amp;INT($DA$1),
  '[1]Hoja 1'!$R:$R, "&lt;"&amp;INT($DB$1+1)
)</f>
        <v>0</v>
      </c>
      <c r="CZ10" s="1">
        <f t="shared" si="69"/>
        <v>0</v>
      </c>
      <c r="DA10" s="9">
        <f t="shared" si="70"/>
        <v>0</v>
      </c>
      <c r="DB10" s="10">
        <f t="shared" si="71"/>
        <v>0</v>
      </c>
      <c r="DC10" s="1">
        <f>SUMIFS(
  '[1]Hoja 1'!$M:$M,
  '[1]Hoja 1'!$S:$S, $A10,
  '[1]Hoja 1'!$R:$R, "&gt;="&amp;INT($DE$1),
  '[1]Hoja 1'!$R:$R, "&lt;"&amp;INT($DF$1+1)
)</f>
        <v>0</v>
      </c>
      <c r="DD10" s="1">
        <f t="shared" si="72"/>
        <v>0</v>
      </c>
      <c r="DE10" s="9">
        <f t="shared" si="73"/>
        <v>0</v>
      </c>
      <c r="DF10" s="10">
        <f t="shared" si="74"/>
        <v>0</v>
      </c>
      <c r="DG10" s="1">
        <f>SUMIFS(
  '[1]Hoja 1'!$M:$M,
  '[1]Hoja 1'!$S:$S, $A10,
  '[1]Hoja 1'!$R:$R, "&gt;="&amp;INT($DI$1),
  '[1]Hoja 1'!$R:$R, "&lt;"&amp;INT($DJ$1+1)
)</f>
        <v>0</v>
      </c>
      <c r="DH10" s="1">
        <f t="shared" si="75"/>
        <v>0</v>
      </c>
      <c r="DI10" s="9">
        <f t="shared" si="76"/>
        <v>0</v>
      </c>
      <c r="DJ10" s="10">
        <f t="shared" si="77"/>
        <v>0</v>
      </c>
      <c r="DK10" s="1">
        <f>SUMIFS(
  '[1]Hoja 1'!$M:$M,
  '[1]Hoja 1'!$S:$S, $A10,
  '[1]Hoja 1'!$R:$R, "&gt;="&amp;INT($DM$1),
  '[1]Hoja 1'!$R:$R, "&lt;"&amp;INT($DN$1+1)
)</f>
        <v>0</v>
      </c>
      <c r="DL10" s="1">
        <f t="shared" si="78"/>
        <v>0</v>
      </c>
      <c r="DM10" s="9">
        <f t="shared" si="79"/>
        <v>0</v>
      </c>
      <c r="DN10" s="10">
        <f t="shared" si="80"/>
        <v>0</v>
      </c>
      <c r="DO10" s="1">
        <f>SUMIFS(
  '[1]Hoja 1'!$M:$M,
  '[1]Hoja 1'!$S:$S, $A10,
  '[1]Hoja 1'!$R:$R, "&gt;="&amp;INT($DQ$1),
  '[1]Hoja 1'!$R:$R, "&lt;"&amp;INT($DR$1+1)
)</f>
        <v>0</v>
      </c>
      <c r="DP10" s="1">
        <f t="shared" si="81"/>
        <v>0</v>
      </c>
      <c r="DQ10" s="9">
        <f t="shared" si="82"/>
        <v>0</v>
      </c>
      <c r="DR10" s="10">
        <f t="shared" si="83"/>
        <v>0</v>
      </c>
    </row>
    <row r="11" spans="1:122" x14ac:dyDescent="0.25">
      <c r="A11" s="5">
        <v>201021</v>
      </c>
      <c r="B11" s="6" t="s">
        <v>1</v>
      </c>
      <c r="C11" s="1">
        <f>SUMIFS(
  '[1]Hoja 1'!$M:$M,
  '[1]Hoja 1'!$S:$S, $A11,
  '[1]Hoja 1'!$R:$R, "&gt;="&amp;INT($E$1),
  '[1]Hoja 1'!$R:$R, "&lt;"&amp;INT($F$1+1)
)</f>
        <v>0</v>
      </c>
      <c r="D11" s="1" t="str">
        <f>""</f>
        <v/>
      </c>
      <c r="F11" s="2"/>
      <c r="G11" s="1">
        <f>SUMIFS(
  '[1]Hoja 1'!$M:$M,
  '[1]Hoja 1'!$S:$S, $A11,
  '[1]Hoja 1'!$R:$R, "&gt;="&amp;INT($I$1),
  '[1]Hoja 1'!$R:$R, "&lt;"&amp;INT($J$1+1)
)</f>
        <v>0</v>
      </c>
      <c r="H11" s="1">
        <f t="shared" si="84"/>
        <v>0</v>
      </c>
      <c r="I11" s="1"/>
      <c r="J11" s="2"/>
      <c r="K11" s="1">
        <f>SUMIFS(
  '[1]Hoja 1'!$M:$M,
  '[1]Hoja 1'!$S:$S, $A11,
  '[1]Hoja 1'!$R:$R, "&gt;="&amp;INT($M$1),
  '[1]Hoja 1'!$R:$R, "&lt;"&amp;INT($N$1+1)
)</f>
        <v>0</v>
      </c>
      <c r="L11" s="1">
        <f t="shared" si="0"/>
        <v>0</v>
      </c>
      <c r="M11" s="9">
        <f t="shared" si="1"/>
        <v>0</v>
      </c>
      <c r="N11" s="10">
        <f t="shared" si="2"/>
        <v>0</v>
      </c>
      <c r="O11" s="1">
        <f>SUMIFS(
  '[1]Hoja 1'!$M:$M,
  '[1]Hoja 1'!$S:$S, $A11,
  '[1]Hoja 1'!$R:$R, "&gt;="&amp;INT($Q$1),
  '[1]Hoja 1'!$R:$R, "&lt;"&amp;INT($R$1+1)
)</f>
        <v>0</v>
      </c>
      <c r="P11" s="1">
        <f t="shared" si="3"/>
        <v>0</v>
      </c>
      <c r="Q11" s="9">
        <f t="shared" si="4"/>
        <v>0</v>
      </c>
      <c r="R11" s="10">
        <f t="shared" si="5"/>
        <v>0</v>
      </c>
      <c r="S11" s="1">
        <f>SUMIFS(
  '[1]Hoja 1'!$M:$M,
  '[1]Hoja 1'!$S:$S, $A11,
  '[1]Hoja 1'!$R:$R, "&gt;="&amp;INT($U$1),
  '[1]Hoja 1'!$R:$R, "&lt;"&amp;INT($V$1+1)
)</f>
        <v>0</v>
      </c>
      <c r="T11" s="1">
        <f t="shared" si="6"/>
        <v>0</v>
      </c>
      <c r="U11" s="9">
        <f t="shared" si="7"/>
        <v>0</v>
      </c>
      <c r="V11" s="10">
        <f t="shared" si="8"/>
        <v>0</v>
      </c>
      <c r="W11" s="1">
        <f>SUMIFS(
  '[1]Hoja 1'!$M:$M,
  '[1]Hoja 1'!$S:$S, $A11,
  '[1]Hoja 1'!$R:$R, "&gt;="&amp;INT($Y$1),
  '[1]Hoja 1'!$R:$R, "&lt;"&amp;INT($Z$1+1)
)</f>
        <v>0</v>
      </c>
      <c r="X11" s="1">
        <f t="shared" si="9"/>
        <v>0</v>
      </c>
      <c r="Y11" s="9">
        <f t="shared" si="10"/>
        <v>0</v>
      </c>
      <c r="Z11" s="10">
        <f t="shared" si="11"/>
        <v>0</v>
      </c>
      <c r="AA11" s="1">
        <f>SUMIFS(
  '[1]Hoja 1'!$M:$M,
  '[1]Hoja 1'!$S:$S, $A11,
  '[1]Hoja 1'!$R:$R, "&gt;="&amp;INT($AC$1),
  '[1]Hoja 1'!$R:$R, "&lt;"&amp;INT($AD$1+1)
)</f>
        <v>0</v>
      </c>
      <c r="AB11" s="1">
        <f t="shared" si="12"/>
        <v>0</v>
      </c>
      <c r="AC11" s="9">
        <f t="shared" si="13"/>
        <v>0</v>
      </c>
      <c r="AD11" s="10">
        <f t="shared" si="14"/>
        <v>0</v>
      </c>
      <c r="AE11" s="1">
        <f>SUMIFS(
  '[1]Hoja 1'!$M:$M,
  '[1]Hoja 1'!$S:$S, $A11,
  '[1]Hoja 1'!$R:$R, "&gt;="&amp;INT($AG$1),
  '[1]Hoja 1'!$R:$R, "&lt;"&amp;INT($AH$1+1)
)</f>
        <v>0</v>
      </c>
      <c r="AF11" s="1">
        <f t="shared" si="15"/>
        <v>0</v>
      </c>
      <c r="AG11" s="9">
        <f t="shared" si="16"/>
        <v>0</v>
      </c>
      <c r="AH11" s="10">
        <f t="shared" si="17"/>
        <v>0</v>
      </c>
      <c r="AI11" s="1">
        <f>SUMIFS(
  '[1]Hoja 1'!$M:$M,
  '[1]Hoja 1'!$S:$S, $A11,
  '[1]Hoja 1'!$R:$R, "&gt;="&amp;INT($AK$1),
  '[1]Hoja 1'!$R:$R, "&lt;"&amp;INT($AL$1+1)
)</f>
        <v>0</v>
      </c>
      <c r="AJ11" s="1">
        <f t="shared" si="18"/>
        <v>0</v>
      </c>
      <c r="AK11" s="9">
        <f t="shared" si="19"/>
        <v>0</v>
      </c>
      <c r="AL11" s="10">
        <f t="shared" si="20"/>
        <v>0</v>
      </c>
      <c r="AM11" s="1">
        <f>SUMIFS(
  '[1]Hoja 1'!$M:$M,
  '[1]Hoja 1'!$S:$S, $A11,
  '[1]Hoja 1'!$R:$R, "&gt;="&amp;INT($AO$1),
  '[1]Hoja 1'!$R:$R, "&lt;"&amp;INT($AP$1+1)
)</f>
        <v>0</v>
      </c>
      <c r="AN11" s="1">
        <f t="shared" si="21"/>
        <v>0</v>
      </c>
      <c r="AO11" s="9">
        <f t="shared" si="22"/>
        <v>0</v>
      </c>
      <c r="AP11" s="10">
        <f t="shared" si="23"/>
        <v>0</v>
      </c>
      <c r="AQ11" s="1">
        <f>SUMIFS(
  '[1]Hoja 1'!$M:$M,
  '[1]Hoja 1'!$S:$S, $A11,
  '[1]Hoja 1'!$R:$R, "&gt;="&amp;INT($AS$1),
  '[1]Hoja 1'!$R:$R, "&lt;"&amp;INT($AT$1+1)
)</f>
        <v>0</v>
      </c>
      <c r="AR11" s="1">
        <f t="shared" si="24"/>
        <v>0</v>
      </c>
      <c r="AS11" s="9">
        <f t="shared" si="25"/>
        <v>0</v>
      </c>
      <c r="AT11" s="10">
        <f t="shared" si="26"/>
        <v>0</v>
      </c>
      <c r="AU11" s="1">
        <f>SUMIFS(
  '[1]Hoja 1'!$M:$M,
  '[1]Hoja 1'!$S:$S, $A11,
  '[1]Hoja 1'!$R:$R, "&gt;="&amp;INT($AW$1),
  '[1]Hoja 1'!$R:$R, "&lt;"&amp;INT($AX$1+1)
)</f>
        <v>0</v>
      </c>
      <c r="AV11" s="1">
        <f t="shared" si="27"/>
        <v>0</v>
      </c>
      <c r="AW11" s="9">
        <f t="shared" si="28"/>
        <v>0</v>
      </c>
      <c r="AX11" s="10">
        <f t="shared" si="29"/>
        <v>0</v>
      </c>
      <c r="AY11" s="1">
        <f>SUMIFS(
  '[1]Hoja 1'!$M:$M,
  '[1]Hoja 1'!$S:$S, $A11,
  '[1]Hoja 1'!$R:$R, "&gt;="&amp;INT($BA$1),
  '[1]Hoja 1'!$R:$R, "&lt;"&amp;INT($BB$1+1)
)</f>
        <v>0</v>
      </c>
      <c r="AZ11" s="1">
        <f t="shared" si="30"/>
        <v>0</v>
      </c>
      <c r="BA11" s="9">
        <f t="shared" si="31"/>
        <v>0</v>
      </c>
      <c r="BB11" s="10">
        <f t="shared" si="32"/>
        <v>0</v>
      </c>
      <c r="BC11" s="1">
        <f>SUMIFS(
  '[1]Hoja 1'!$M:$M,
  '[1]Hoja 1'!$S:$S, $A11,
  '[1]Hoja 1'!$R:$R, "&gt;="&amp;INT($BE$1),
  '[1]Hoja 1'!$R:$R, "&lt;"&amp;INT($BF$1+1)
)</f>
        <v>0</v>
      </c>
      <c r="BD11" s="1">
        <f t="shared" si="33"/>
        <v>0</v>
      </c>
      <c r="BE11" s="9">
        <f t="shared" si="34"/>
        <v>0</v>
      </c>
      <c r="BF11" s="10">
        <f t="shared" si="35"/>
        <v>0</v>
      </c>
      <c r="BG11" s="1">
        <f>SUMIFS(
  '[1]Hoja 1'!$M:$M,
  '[1]Hoja 1'!$S:$S, $A11,
  '[1]Hoja 1'!$R:$R, "&gt;="&amp;INT($BI$1),
  '[1]Hoja 1'!$R:$R, "&lt;"&amp;INT($BJ$1+1)
)</f>
        <v>0</v>
      </c>
      <c r="BH11" s="1">
        <f t="shared" si="36"/>
        <v>0</v>
      </c>
      <c r="BI11" s="9">
        <f t="shared" si="37"/>
        <v>0</v>
      </c>
      <c r="BJ11" s="10">
        <f t="shared" si="38"/>
        <v>0</v>
      </c>
      <c r="BK11" s="1">
        <f>SUMIFS(
  '[1]Hoja 1'!$M:$M,
  '[1]Hoja 1'!$S:$S, $A11,
  '[1]Hoja 1'!$R:$R, "&gt;="&amp;INT($BM$1),
  '[1]Hoja 1'!$R:$R, "&lt;"&amp;INT($BN$1+1)
)</f>
        <v>0</v>
      </c>
      <c r="BL11" s="1">
        <f t="shared" si="39"/>
        <v>0</v>
      </c>
      <c r="BM11" s="9">
        <f t="shared" si="40"/>
        <v>0</v>
      </c>
      <c r="BN11" s="10">
        <f t="shared" si="41"/>
        <v>0</v>
      </c>
      <c r="BO11" s="1">
        <f>SUMIFS(
  '[1]Hoja 1'!$M:$M,
  '[1]Hoja 1'!$S:$S, $A11,
  '[1]Hoja 1'!$R:$R, "&gt;="&amp;INT($BQ$1),
  '[1]Hoja 1'!$R:$R, "&lt;"&amp;INT($BR$1+1)
)</f>
        <v>0</v>
      </c>
      <c r="BP11" s="1">
        <f t="shared" si="42"/>
        <v>0</v>
      </c>
      <c r="BQ11" s="9">
        <f t="shared" si="43"/>
        <v>0</v>
      </c>
      <c r="BR11" s="10">
        <f t="shared" si="44"/>
        <v>0</v>
      </c>
      <c r="BS11" s="1">
        <f>SUMIFS(
  '[1]Hoja 1'!$M:$M,
  '[1]Hoja 1'!$S:$S, $A11,
  '[1]Hoja 1'!$R:$R, "&gt;="&amp;INT($BU$1),
  '[1]Hoja 1'!$R:$R, "&lt;"&amp;INT($BV$1+1)
)</f>
        <v>0</v>
      </c>
      <c r="BT11" s="1">
        <f t="shared" si="45"/>
        <v>0</v>
      </c>
      <c r="BU11" s="9">
        <f t="shared" si="46"/>
        <v>0</v>
      </c>
      <c r="BV11" s="10">
        <f t="shared" si="47"/>
        <v>0</v>
      </c>
      <c r="BW11" s="1">
        <f>SUMIFS(
  '[1]Hoja 1'!$M:$M,
  '[1]Hoja 1'!$S:$S, $A11,
  '[1]Hoja 1'!$R:$R, "&gt;="&amp;INT($BY$1),
  '[1]Hoja 1'!$R:$R, "&lt;"&amp;INT($BZ$1+1)
)</f>
        <v>0</v>
      </c>
      <c r="BX11" s="1">
        <f t="shared" si="48"/>
        <v>0</v>
      </c>
      <c r="BY11" s="9">
        <f t="shared" si="49"/>
        <v>0</v>
      </c>
      <c r="BZ11" s="10">
        <f t="shared" si="50"/>
        <v>0</v>
      </c>
      <c r="CA11" s="1">
        <f>SUMIFS(
  '[1]Hoja 1'!$M:$M,
  '[1]Hoja 1'!$S:$S, $A11,
  '[1]Hoja 1'!$R:$R, "&gt;="&amp;INT($CC$1),
  '[1]Hoja 1'!$R:$R, "&lt;"&amp;INT($CD$1+1)
)</f>
        <v>0</v>
      </c>
      <c r="CB11" s="1">
        <f t="shared" si="51"/>
        <v>0</v>
      </c>
      <c r="CC11" s="9">
        <f t="shared" si="52"/>
        <v>0</v>
      </c>
      <c r="CD11" s="10">
        <f t="shared" si="53"/>
        <v>0</v>
      </c>
      <c r="CE11" s="1">
        <f>SUMIFS(
  '[1]Hoja 1'!$M:$M,
  '[1]Hoja 1'!$S:$S, $A11,
  '[1]Hoja 1'!$R:$R, "&gt;="&amp;INT($CG$1),
  '[1]Hoja 1'!$R:$R, "&lt;"&amp;INT($CH$1+1)
)</f>
        <v>0</v>
      </c>
      <c r="CF11" s="1">
        <f t="shared" si="54"/>
        <v>0</v>
      </c>
      <c r="CG11" s="9">
        <f t="shared" si="55"/>
        <v>0</v>
      </c>
      <c r="CH11" s="10">
        <f t="shared" si="56"/>
        <v>0</v>
      </c>
      <c r="CI11" s="1">
        <f>SUMIFS(
  '[1]Hoja 1'!$M:$M,
  '[1]Hoja 1'!$S:$S, $A11,
  '[1]Hoja 1'!$R:$R, "&gt;="&amp;INT($CK$1),
  '[1]Hoja 1'!$R:$R, "&lt;"&amp;INT($CL$1+1)
)</f>
        <v>0</v>
      </c>
      <c r="CJ11" s="1">
        <f t="shared" si="57"/>
        <v>0</v>
      </c>
      <c r="CK11" s="9">
        <f t="shared" si="58"/>
        <v>0</v>
      </c>
      <c r="CL11" s="10">
        <f t="shared" si="59"/>
        <v>0</v>
      </c>
      <c r="CM11" s="1">
        <f>SUMIFS(
  '[1]Hoja 1'!$M:$M,
  '[1]Hoja 1'!$S:$S, $A11,
  '[1]Hoja 1'!$R:$R, "&gt;="&amp;INT($CO$1),
  '[1]Hoja 1'!$R:$R, "&lt;"&amp;INT($CP$1+1)
)</f>
        <v>0</v>
      </c>
      <c r="CN11" s="1">
        <f t="shared" si="60"/>
        <v>0</v>
      </c>
      <c r="CO11" s="9">
        <f t="shared" si="61"/>
        <v>0</v>
      </c>
      <c r="CP11" s="10">
        <f t="shared" si="62"/>
        <v>0</v>
      </c>
      <c r="CQ11" s="1">
        <f>SUMIFS(
  '[1]Hoja 1'!$M:$M,
  '[1]Hoja 1'!$S:$S, $A11,
  '[1]Hoja 1'!$R:$R, "&gt;="&amp;INT($CS$1),
  '[1]Hoja 1'!$R:$R, "&lt;"&amp;INT($CT$1+1)
)</f>
        <v>0</v>
      </c>
      <c r="CR11" s="1">
        <f t="shared" si="63"/>
        <v>0</v>
      </c>
      <c r="CS11" s="9">
        <f t="shared" si="64"/>
        <v>0</v>
      </c>
      <c r="CT11" s="10">
        <f t="shared" si="65"/>
        <v>0</v>
      </c>
      <c r="CU11" s="1">
        <f>SUMIFS(
  '[1]Hoja 1'!$M:$M,
  '[1]Hoja 1'!$S:$S, $A11,
  '[1]Hoja 1'!$R:$R, "&gt;="&amp;INT($CW$1),
  '[1]Hoja 1'!$R:$R, "&lt;"&amp;INT($CX$1+1)
)</f>
        <v>0</v>
      </c>
      <c r="CV11" s="1">
        <f t="shared" si="66"/>
        <v>0</v>
      </c>
      <c r="CW11" s="9">
        <f t="shared" si="67"/>
        <v>0</v>
      </c>
      <c r="CX11" s="10">
        <f t="shared" si="68"/>
        <v>0</v>
      </c>
      <c r="CY11" s="1">
        <f>SUMIFS(
  '[1]Hoja 1'!$M:$M,
  '[1]Hoja 1'!$S:$S, $A11,
  '[1]Hoja 1'!$R:$R, "&gt;="&amp;INT($DA$1),
  '[1]Hoja 1'!$R:$R, "&lt;"&amp;INT($DB$1+1)
)</f>
        <v>0</v>
      </c>
      <c r="CZ11" s="1">
        <f t="shared" si="69"/>
        <v>0</v>
      </c>
      <c r="DA11" s="9">
        <f t="shared" si="70"/>
        <v>0</v>
      </c>
      <c r="DB11" s="10">
        <f t="shared" si="71"/>
        <v>0</v>
      </c>
      <c r="DC11" s="1">
        <f>SUMIFS(
  '[1]Hoja 1'!$M:$M,
  '[1]Hoja 1'!$S:$S, $A11,
  '[1]Hoja 1'!$R:$R, "&gt;="&amp;INT($DE$1),
  '[1]Hoja 1'!$R:$R, "&lt;"&amp;INT($DF$1+1)
)</f>
        <v>0</v>
      </c>
      <c r="DD11" s="1">
        <f t="shared" si="72"/>
        <v>0</v>
      </c>
      <c r="DE11" s="9">
        <f t="shared" si="73"/>
        <v>0</v>
      </c>
      <c r="DF11" s="10">
        <f t="shared" si="74"/>
        <v>0</v>
      </c>
      <c r="DG11" s="1">
        <f>SUMIFS(
  '[1]Hoja 1'!$M:$M,
  '[1]Hoja 1'!$S:$S, $A11,
  '[1]Hoja 1'!$R:$R, "&gt;="&amp;INT($DI$1),
  '[1]Hoja 1'!$R:$R, "&lt;"&amp;INT($DJ$1+1)
)</f>
        <v>0</v>
      </c>
      <c r="DH11" s="1">
        <f t="shared" si="75"/>
        <v>0</v>
      </c>
      <c r="DI11" s="9">
        <f t="shared" si="76"/>
        <v>0</v>
      </c>
      <c r="DJ11" s="10">
        <f t="shared" si="77"/>
        <v>0</v>
      </c>
      <c r="DK11" s="1">
        <f>SUMIFS(
  '[1]Hoja 1'!$M:$M,
  '[1]Hoja 1'!$S:$S, $A11,
  '[1]Hoja 1'!$R:$R, "&gt;="&amp;INT($DM$1),
  '[1]Hoja 1'!$R:$R, "&lt;"&amp;INT($DN$1+1)
)</f>
        <v>0</v>
      </c>
      <c r="DL11" s="1">
        <f t="shared" si="78"/>
        <v>0</v>
      </c>
      <c r="DM11" s="9">
        <f t="shared" si="79"/>
        <v>0</v>
      </c>
      <c r="DN11" s="10">
        <f t="shared" si="80"/>
        <v>0</v>
      </c>
      <c r="DO11" s="1">
        <f>SUMIFS(
  '[1]Hoja 1'!$M:$M,
  '[1]Hoja 1'!$S:$S, $A11,
  '[1]Hoja 1'!$R:$R, "&gt;="&amp;INT($DQ$1),
  '[1]Hoja 1'!$R:$R, "&lt;"&amp;INT($DR$1+1)
)</f>
        <v>0</v>
      </c>
      <c r="DP11" s="1">
        <f t="shared" si="81"/>
        <v>0</v>
      </c>
      <c r="DQ11" s="9">
        <f t="shared" si="82"/>
        <v>0</v>
      </c>
      <c r="DR11" s="10">
        <f t="shared" si="83"/>
        <v>0</v>
      </c>
    </row>
    <row r="12" spans="1:122" x14ac:dyDescent="0.25">
      <c r="A12" s="5">
        <v>201022</v>
      </c>
      <c r="B12" s="6" t="s">
        <v>2</v>
      </c>
      <c r="C12" s="1">
        <f>SUMIFS(
  '[1]Hoja 1'!$M:$M,
  '[1]Hoja 1'!$S:$S, $A12,
  '[1]Hoja 1'!$R:$R, "&gt;="&amp;INT($E$1),
  '[1]Hoja 1'!$R:$R, "&lt;"&amp;INT($F$1+1)
)</f>
        <v>4</v>
      </c>
      <c r="D12" s="1" t="str">
        <f>""</f>
        <v/>
      </c>
      <c r="F12" s="2"/>
      <c r="G12" s="1">
        <f>SUMIFS(
  '[1]Hoja 1'!$M:$M,
  '[1]Hoja 1'!$S:$S, $A12,
  '[1]Hoja 1'!$R:$R, "&gt;="&amp;INT($I$1),
  '[1]Hoja 1'!$R:$R, "&lt;"&amp;INT($J$1+1)
)</f>
        <v>1</v>
      </c>
      <c r="H12" s="1">
        <f t="shared" si="84"/>
        <v>2.5</v>
      </c>
      <c r="I12" s="1"/>
      <c r="J12" s="2"/>
      <c r="K12" s="1">
        <f>SUMIFS(
  '[1]Hoja 1'!$M:$M,
  '[1]Hoja 1'!$S:$S, $A12,
  '[1]Hoja 1'!$R:$R, "&gt;="&amp;INT($M$1),
  '[1]Hoja 1'!$R:$R, "&lt;"&amp;INT($N$1+1)
)</f>
        <v>7</v>
      </c>
      <c r="L12" s="1">
        <f t="shared" si="0"/>
        <v>4</v>
      </c>
      <c r="M12" s="9">
        <f t="shared" si="1"/>
        <v>-2.2366818100653489</v>
      </c>
      <c r="N12" s="10">
        <f t="shared" si="2"/>
        <v>10.236681810065349</v>
      </c>
      <c r="O12" s="1">
        <f>SUMIFS(
  '[1]Hoja 1'!$M:$M,
  '[1]Hoja 1'!$S:$S, $A12,
  '[1]Hoja 1'!$R:$R, "&gt;="&amp;INT($Q$1),
  '[1]Hoja 1'!$R:$R, "&lt;"&amp;INT($R$1+1)
)</f>
        <v>4</v>
      </c>
      <c r="P12" s="1">
        <f t="shared" si="3"/>
        <v>5.5</v>
      </c>
      <c r="Q12" s="9">
        <f t="shared" si="4"/>
        <v>-1.0922293742524989</v>
      </c>
      <c r="R12" s="10">
        <f t="shared" si="5"/>
        <v>9.0922293742524989</v>
      </c>
      <c r="S12" s="1">
        <f>SUMIFS(
  '[1]Hoja 1'!$M:$M,
  '[1]Hoja 1'!$S:$S, $A12,
  '[1]Hoja 1'!$R:$R, "&gt;="&amp;INT($U$1),
  '[1]Hoja 1'!$R:$R, "&lt;"&amp;INT($V$1+1)
)</f>
        <v>2</v>
      </c>
      <c r="T12" s="1">
        <f t="shared" si="6"/>
        <v>3</v>
      </c>
      <c r="U12" s="9">
        <f t="shared" si="7"/>
        <v>-1.2717209646698606</v>
      </c>
      <c r="V12" s="10">
        <f t="shared" si="8"/>
        <v>7.2717209646698606</v>
      </c>
      <c r="W12" s="1">
        <f>SUMIFS(
  '[1]Hoja 1'!$M:$M,
  '[1]Hoja 1'!$S:$S, $A12,
  '[1]Hoja 1'!$R:$R, "&gt;="&amp;INT($Y$1),
  '[1]Hoja 1'!$R:$R, "&lt;"&amp;INT($Z$1+1)
)</f>
        <v>1</v>
      </c>
      <c r="X12" s="1">
        <f t="shared" si="9"/>
        <v>2</v>
      </c>
      <c r="Y12" s="9">
        <f t="shared" si="10"/>
        <v>-2.0008332465458576</v>
      </c>
      <c r="Z12" s="10">
        <f t="shared" si="11"/>
        <v>6.0008332465458576</v>
      </c>
      <c r="AA12" s="1">
        <f>SUMIFS(
  '[1]Hoja 1'!$M:$M,
  '[1]Hoja 1'!$S:$S, $A12,
  '[1]Hoja 1'!$R:$R, "&gt;="&amp;INT($AC$1),
  '[1]Hoja 1'!$R:$R, "&lt;"&amp;INT($AD$1+1)
)</f>
        <v>1</v>
      </c>
      <c r="AB12" s="1">
        <f t="shared" si="12"/>
        <v>1</v>
      </c>
      <c r="AC12" s="9">
        <f t="shared" si="13"/>
        <v>-0.27776367141971914</v>
      </c>
      <c r="AD12" s="10">
        <f t="shared" si="14"/>
        <v>2.2651745597610895</v>
      </c>
      <c r="AE12" s="1">
        <f>SUMIFS(
  '[1]Hoja 1'!$M:$M,
  '[1]Hoja 1'!$S:$S, $A12,
  '[1]Hoja 1'!$R:$R, "&gt;="&amp;INT($AG$1),
  '[1]Hoja 1'!$R:$R, "&lt;"&amp;INT($AH$1+1)
)</f>
        <v>0</v>
      </c>
      <c r="AF12" s="1">
        <f t="shared" si="15"/>
        <v>1</v>
      </c>
      <c r="AG12" s="9">
        <f t="shared" si="16"/>
        <v>0.18007317399660594</v>
      </c>
      <c r="AH12" s="10">
        <f t="shared" si="17"/>
        <v>1.8001666493091715</v>
      </c>
      <c r="AI12" s="1">
        <f>SUMIFS(
  '[1]Hoja 1'!$M:$M,
  '[1]Hoja 1'!$S:$S, $A12,
  '[1]Hoja 1'!$R:$R, "&gt;="&amp;INT($AK$1),
  '[1]Hoja 1'!$R:$R, "&lt;"&amp;INT($AL$1+1)
)</f>
        <v>0</v>
      </c>
      <c r="AJ12" s="1">
        <f t="shared" si="18"/>
        <v>0</v>
      </c>
      <c r="AK12" s="9">
        <f t="shared" si="19"/>
        <v>-0.53676810635506278</v>
      </c>
      <c r="AL12" s="10">
        <f t="shared" si="20"/>
        <v>0.56580326380583323</v>
      </c>
      <c r="AM12" s="1">
        <f>SUMIFS(
  '[1]Hoja 1'!$M:$M,
  '[1]Hoja 1'!$S:$S, $A12,
  '[1]Hoja 1'!$R:$R, "&gt;="&amp;INT($AO$1),
  '[1]Hoja 1'!$R:$R, "&lt;"&amp;INT($AP$1+1)
)</f>
        <v>0</v>
      </c>
      <c r="AN12" s="1">
        <f t="shared" si="21"/>
        <v>0</v>
      </c>
      <c r="AO12" s="9">
        <f t="shared" si="22"/>
        <v>-0.43826932358995874</v>
      </c>
      <c r="AP12" s="10">
        <f t="shared" si="23"/>
        <v>0.49</v>
      </c>
      <c r="AQ12" s="1">
        <f>SUMIFS(
  '[1]Hoja 1'!$M:$M,
  '[1]Hoja 1'!$S:$S, $A12,
  '[1]Hoja 1'!$R:$R, "&gt;="&amp;INT($AS$1),
  '[1]Hoja 1'!$R:$R, "&lt;"&amp;INT($AT$1+1)
)</f>
        <v>0</v>
      </c>
      <c r="AR12" s="1">
        <f t="shared" si="24"/>
        <v>0</v>
      </c>
      <c r="AS12" s="9">
        <f t="shared" si="25"/>
        <v>-0.43826932358995874</v>
      </c>
      <c r="AT12" s="10">
        <f t="shared" si="26"/>
        <v>0.49</v>
      </c>
      <c r="AU12" s="1">
        <f>SUMIFS(
  '[1]Hoja 1'!$M:$M,
  '[1]Hoja 1'!$S:$S, $A12,
  '[1]Hoja 1'!$R:$R, "&gt;="&amp;INT($AW$1),
  '[1]Hoja 1'!$R:$R, "&lt;"&amp;INT($AX$1+1)
)</f>
        <v>0</v>
      </c>
      <c r="AV12" s="1">
        <f t="shared" si="27"/>
        <v>0</v>
      </c>
      <c r="AW12" s="9">
        <f t="shared" si="28"/>
        <v>0</v>
      </c>
      <c r="AX12" s="10">
        <f t="shared" si="29"/>
        <v>0</v>
      </c>
      <c r="AY12" s="1">
        <f>SUMIFS(
  '[1]Hoja 1'!$M:$M,
  '[1]Hoja 1'!$S:$S, $A12,
  '[1]Hoja 1'!$R:$R, "&gt;="&amp;INT($BA$1),
  '[1]Hoja 1'!$R:$R, "&lt;"&amp;INT($BB$1+1)
)</f>
        <v>0</v>
      </c>
      <c r="AZ12" s="1">
        <f t="shared" si="30"/>
        <v>0</v>
      </c>
      <c r="BA12" s="9">
        <f t="shared" si="31"/>
        <v>0</v>
      </c>
      <c r="BB12" s="10">
        <f t="shared" si="32"/>
        <v>0</v>
      </c>
      <c r="BC12" s="1">
        <f>SUMIFS(
  '[1]Hoja 1'!$M:$M,
  '[1]Hoja 1'!$S:$S, $A12,
  '[1]Hoja 1'!$R:$R, "&gt;="&amp;INT($BE$1),
  '[1]Hoja 1'!$R:$R, "&lt;"&amp;INT($BF$1+1)
)</f>
        <v>0</v>
      </c>
      <c r="BD12" s="1">
        <f t="shared" si="33"/>
        <v>0</v>
      </c>
      <c r="BE12" s="9">
        <f t="shared" si="34"/>
        <v>0</v>
      </c>
      <c r="BF12" s="10">
        <f t="shared" si="35"/>
        <v>0</v>
      </c>
      <c r="BG12" s="1">
        <f>SUMIFS(
  '[1]Hoja 1'!$M:$M,
  '[1]Hoja 1'!$S:$S, $A12,
  '[1]Hoja 1'!$R:$R, "&gt;="&amp;INT($BI$1),
  '[1]Hoja 1'!$R:$R, "&lt;"&amp;INT($BJ$1+1)
)</f>
        <v>0</v>
      </c>
      <c r="BH12" s="1">
        <f t="shared" si="36"/>
        <v>0</v>
      </c>
      <c r="BI12" s="9">
        <f t="shared" si="37"/>
        <v>0</v>
      </c>
      <c r="BJ12" s="10">
        <f t="shared" si="38"/>
        <v>0</v>
      </c>
      <c r="BK12" s="1">
        <f>SUMIFS(
  '[1]Hoja 1'!$M:$M,
  '[1]Hoja 1'!$S:$S, $A12,
  '[1]Hoja 1'!$R:$R, "&gt;="&amp;INT($BM$1),
  '[1]Hoja 1'!$R:$R, "&lt;"&amp;INT($BN$1+1)
)</f>
        <v>0</v>
      </c>
      <c r="BL12" s="1">
        <f t="shared" si="39"/>
        <v>0</v>
      </c>
      <c r="BM12" s="9">
        <f t="shared" si="40"/>
        <v>0</v>
      </c>
      <c r="BN12" s="10">
        <f t="shared" si="41"/>
        <v>0</v>
      </c>
      <c r="BO12" s="1">
        <f>SUMIFS(
  '[1]Hoja 1'!$M:$M,
  '[1]Hoja 1'!$S:$S, $A12,
  '[1]Hoja 1'!$R:$R, "&gt;="&amp;INT($BQ$1),
  '[1]Hoja 1'!$R:$R, "&lt;"&amp;INT($BR$1+1)
)</f>
        <v>0</v>
      </c>
      <c r="BP12" s="1">
        <f t="shared" si="42"/>
        <v>0</v>
      </c>
      <c r="BQ12" s="9">
        <f t="shared" si="43"/>
        <v>0</v>
      </c>
      <c r="BR12" s="10">
        <f t="shared" si="44"/>
        <v>0</v>
      </c>
      <c r="BS12" s="1">
        <f>SUMIFS(
  '[1]Hoja 1'!$M:$M,
  '[1]Hoja 1'!$S:$S, $A12,
  '[1]Hoja 1'!$R:$R, "&gt;="&amp;INT($BU$1),
  '[1]Hoja 1'!$R:$R, "&lt;"&amp;INT($BV$1+1)
)</f>
        <v>0</v>
      </c>
      <c r="BT12" s="1">
        <f t="shared" si="45"/>
        <v>0</v>
      </c>
      <c r="BU12" s="9">
        <f t="shared" si="46"/>
        <v>0</v>
      </c>
      <c r="BV12" s="10">
        <f t="shared" si="47"/>
        <v>0</v>
      </c>
      <c r="BW12" s="1">
        <f>SUMIFS(
  '[1]Hoja 1'!$M:$M,
  '[1]Hoja 1'!$S:$S, $A12,
  '[1]Hoja 1'!$R:$R, "&gt;="&amp;INT($BY$1),
  '[1]Hoja 1'!$R:$R, "&lt;"&amp;INT($BZ$1+1)
)</f>
        <v>0</v>
      </c>
      <c r="BX12" s="1">
        <f t="shared" si="48"/>
        <v>0</v>
      </c>
      <c r="BY12" s="9">
        <f t="shared" si="49"/>
        <v>0</v>
      </c>
      <c r="BZ12" s="10">
        <f t="shared" si="50"/>
        <v>0</v>
      </c>
      <c r="CA12" s="1">
        <f>SUMIFS(
  '[1]Hoja 1'!$M:$M,
  '[1]Hoja 1'!$S:$S, $A12,
  '[1]Hoja 1'!$R:$R, "&gt;="&amp;INT($CC$1),
  '[1]Hoja 1'!$R:$R, "&lt;"&amp;INT($CD$1+1)
)</f>
        <v>0</v>
      </c>
      <c r="CB12" s="1">
        <f t="shared" si="51"/>
        <v>0</v>
      </c>
      <c r="CC12" s="9">
        <f t="shared" si="52"/>
        <v>0</v>
      </c>
      <c r="CD12" s="10">
        <f t="shared" si="53"/>
        <v>0</v>
      </c>
      <c r="CE12" s="1">
        <f>SUMIFS(
  '[1]Hoja 1'!$M:$M,
  '[1]Hoja 1'!$S:$S, $A12,
  '[1]Hoja 1'!$R:$R, "&gt;="&amp;INT($CG$1),
  '[1]Hoja 1'!$R:$R, "&lt;"&amp;INT($CH$1+1)
)</f>
        <v>0</v>
      </c>
      <c r="CF12" s="1">
        <f t="shared" si="54"/>
        <v>0</v>
      </c>
      <c r="CG12" s="9">
        <f t="shared" si="55"/>
        <v>0</v>
      </c>
      <c r="CH12" s="10">
        <f t="shared" si="56"/>
        <v>0</v>
      </c>
      <c r="CI12" s="1">
        <f>SUMIFS(
  '[1]Hoja 1'!$M:$M,
  '[1]Hoja 1'!$S:$S, $A12,
  '[1]Hoja 1'!$R:$R, "&gt;="&amp;INT($CK$1),
  '[1]Hoja 1'!$R:$R, "&lt;"&amp;INT($CL$1+1)
)</f>
        <v>0</v>
      </c>
      <c r="CJ12" s="1">
        <f t="shared" si="57"/>
        <v>0</v>
      </c>
      <c r="CK12" s="9">
        <f t="shared" si="58"/>
        <v>0</v>
      </c>
      <c r="CL12" s="10">
        <f t="shared" si="59"/>
        <v>0</v>
      </c>
      <c r="CM12" s="1">
        <f>SUMIFS(
  '[1]Hoja 1'!$M:$M,
  '[1]Hoja 1'!$S:$S, $A12,
  '[1]Hoja 1'!$R:$R, "&gt;="&amp;INT($CO$1),
  '[1]Hoja 1'!$R:$R, "&lt;"&amp;INT($CP$1+1)
)</f>
        <v>0</v>
      </c>
      <c r="CN12" s="1">
        <f t="shared" si="60"/>
        <v>0</v>
      </c>
      <c r="CO12" s="9">
        <f t="shared" si="61"/>
        <v>0</v>
      </c>
      <c r="CP12" s="10">
        <f t="shared" si="62"/>
        <v>0</v>
      </c>
      <c r="CQ12" s="1">
        <f>SUMIFS(
  '[1]Hoja 1'!$M:$M,
  '[1]Hoja 1'!$S:$S, $A12,
  '[1]Hoja 1'!$R:$R, "&gt;="&amp;INT($CS$1),
  '[1]Hoja 1'!$R:$R, "&lt;"&amp;INT($CT$1+1)
)</f>
        <v>0</v>
      </c>
      <c r="CR12" s="1">
        <f t="shared" si="63"/>
        <v>0</v>
      </c>
      <c r="CS12" s="9">
        <f t="shared" si="64"/>
        <v>0</v>
      </c>
      <c r="CT12" s="10">
        <f t="shared" si="65"/>
        <v>0</v>
      </c>
      <c r="CU12" s="1">
        <f>SUMIFS(
  '[1]Hoja 1'!$M:$M,
  '[1]Hoja 1'!$S:$S, $A12,
  '[1]Hoja 1'!$R:$R, "&gt;="&amp;INT($CW$1),
  '[1]Hoja 1'!$R:$R, "&lt;"&amp;INT($CX$1+1)
)</f>
        <v>0</v>
      </c>
      <c r="CV12" s="1">
        <f t="shared" si="66"/>
        <v>0</v>
      </c>
      <c r="CW12" s="9">
        <f t="shared" si="67"/>
        <v>0</v>
      </c>
      <c r="CX12" s="10">
        <f t="shared" si="68"/>
        <v>0</v>
      </c>
      <c r="CY12" s="1">
        <f>SUMIFS(
  '[1]Hoja 1'!$M:$M,
  '[1]Hoja 1'!$S:$S, $A12,
  '[1]Hoja 1'!$R:$R, "&gt;="&amp;INT($DA$1),
  '[1]Hoja 1'!$R:$R, "&lt;"&amp;INT($DB$1+1)
)</f>
        <v>0</v>
      </c>
      <c r="CZ12" s="1">
        <f t="shared" si="69"/>
        <v>0</v>
      </c>
      <c r="DA12" s="9">
        <f t="shared" si="70"/>
        <v>0</v>
      </c>
      <c r="DB12" s="10">
        <f t="shared" si="71"/>
        <v>0</v>
      </c>
      <c r="DC12" s="1">
        <f>SUMIFS(
  '[1]Hoja 1'!$M:$M,
  '[1]Hoja 1'!$S:$S, $A12,
  '[1]Hoja 1'!$R:$R, "&gt;="&amp;INT($DE$1),
  '[1]Hoja 1'!$R:$R, "&lt;"&amp;INT($DF$1+1)
)</f>
        <v>0</v>
      </c>
      <c r="DD12" s="1">
        <f t="shared" si="72"/>
        <v>0</v>
      </c>
      <c r="DE12" s="9">
        <f t="shared" si="73"/>
        <v>0</v>
      </c>
      <c r="DF12" s="10">
        <f t="shared" si="74"/>
        <v>0</v>
      </c>
      <c r="DG12" s="1">
        <f>SUMIFS(
  '[1]Hoja 1'!$M:$M,
  '[1]Hoja 1'!$S:$S, $A12,
  '[1]Hoja 1'!$R:$R, "&gt;="&amp;INT($DI$1),
  '[1]Hoja 1'!$R:$R, "&lt;"&amp;INT($DJ$1+1)
)</f>
        <v>0</v>
      </c>
      <c r="DH12" s="1">
        <f t="shared" si="75"/>
        <v>0</v>
      </c>
      <c r="DI12" s="9">
        <f t="shared" si="76"/>
        <v>0</v>
      </c>
      <c r="DJ12" s="10">
        <f t="shared" si="77"/>
        <v>0</v>
      </c>
      <c r="DK12" s="1">
        <f>SUMIFS(
  '[1]Hoja 1'!$M:$M,
  '[1]Hoja 1'!$S:$S, $A12,
  '[1]Hoja 1'!$R:$R, "&gt;="&amp;INT($DM$1),
  '[1]Hoja 1'!$R:$R, "&lt;"&amp;INT($DN$1+1)
)</f>
        <v>0</v>
      </c>
      <c r="DL12" s="1">
        <f t="shared" si="78"/>
        <v>0</v>
      </c>
      <c r="DM12" s="9">
        <f t="shared" si="79"/>
        <v>0</v>
      </c>
      <c r="DN12" s="10">
        <f t="shared" si="80"/>
        <v>0</v>
      </c>
      <c r="DO12" s="1">
        <f>SUMIFS(
  '[1]Hoja 1'!$M:$M,
  '[1]Hoja 1'!$S:$S, $A12,
  '[1]Hoja 1'!$R:$R, "&gt;="&amp;INT($DQ$1),
  '[1]Hoja 1'!$R:$R, "&lt;"&amp;INT($DR$1+1)
)</f>
        <v>0</v>
      </c>
      <c r="DP12" s="1">
        <f t="shared" si="81"/>
        <v>0</v>
      </c>
      <c r="DQ12" s="9">
        <f t="shared" si="82"/>
        <v>0</v>
      </c>
      <c r="DR12" s="10">
        <f t="shared" si="83"/>
        <v>0</v>
      </c>
    </row>
    <row r="13" spans="1:122" x14ac:dyDescent="0.25">
      <c r="A13" s="5">
        <v>201024</v>
      </c>
      <c r="B13" s="6" t="s">
        <v>255</v>
      </c>
      <c r="C13" s="1">
        <f>SUMIFS(
  '[1]Hoja 1'!$M:$M,
  '[1]Hoja 1'!$S:$S, $A13,
  '[1]Hoja 1'!$R:$R, "&gt;="&amp;INT($E$1),
  '[1]Hoja 1'!$R:$R, "&lt;"&amp;INT($F$1+1)
)</f>
        <v>27</v>
      </c>
      <c r="D13" s="1" t="str">
        <f>""</f>
        <v/>
      </c>
      <c r="F13" s="2"/>
      <c r="G13" s="1">
        <f>SUMIFS(
  '[1]Hoja 1'!$M:$M,
  '[1]Hoja 1'!$S:$S, $A13,
  '[1]Hoja 1'!$R:$R, "&gt;="&amp;INT($I$1),
  '[1]Hoja 1'!$R:$R, "&lt;"&amp;INT($J$1+1)
)</f>
        <v>15</v>
      </c>
      <c r="H13" s="1">
        <f t="shared" si="84"/>
        <v>21</v>
      </c>
      <c r="I13" s="1"/>
      <c r="J13" s="2"/>
      <c r="K13" s="1">
        <f>SUMIFS(
  '[1]Hoja 1'!$M:$M,
  '[1]Hoja 1'!$S:$S, $A13,
  '[1]Hoja 1'!$R:$R, "&gt;="&amp;INT($M$1),
  '[1]Hoja 1'!$R:$R, "&lt;"&amp;INT($N$1+1)
)</f>
        <v>17</v>
      </c>
      <c r="L13" s="1">
        <f t="shared" si="0"/>
        <v>16</v>
      </c>
      <c r="M13" s="9">
        <f t="shared" si="1"/>
        <v>6.2984949621205679</v>
      </c>
      <c r="N13" s="10">
        <f t="shared" si="2"/>
        <v>25.701505037879432</v>
      </c>
      <c r="O13" s="1">
        <f>SUMIFS(
  '[1]Hoja 1'!$M:$M,
  '[1]Hoja 1'!$S:$S, $A13,
  '[1]Hoja 1'!$R:$R, "&gt;="&amp;INT($Q$1),
  '[1]Hoja 1'!$R:$R, "&lt;"&amp;INT($R$1+1)
)</f>
        <v>28</v>
      </c>
      <c r="P13" s="1">
        <f t="shared" si="3"/>
        <v>22.5</v>
      </c>
      <c r="Q13" s="9">
        <f t="shared" si="4"/>
        <v>4.6415787482003754</v>
      </c>
      <c r="R13" s="10">
        <f t="shared" si="5"/>
        <v>27.358421251799626</v>
      </c>
      <c r="S13" s="1">
        <f>SUMIFS(
  '[1]Hoja 1'!$M:$M,
  '[1]Hoja 1'!$S:$S, $A13,
  '[1]Hoja 1'!$R:$R, "&gt;="&amp;INT($U$1),
  '[1]Hoja 1'!$R:$R, "&lt;"&amp;INT($V$1+1)
)</f>
        <v>17</v>
      </c>
      <c r="T13" s="1">
        <f t="shared" si="6"/>
        <v>23</v>
      </c>
      <c r="U13" s="9">
        <f t="shared" si="7"/>
        <v>12.190343822920793</v>
      </c>
      <c r="V13" s="10">
        <f t="shared" si="8"/>
        <v>33.809656177079205</v>
      </c>
      <c r="W13" s="1">
        <f>SUMIFS(
  '[1]Hoja 1'!$M:$M,
  '[1]Hoja 1'!$S:$S, $A13,
  '[1]Hoja 1'!$R:$R, "&gt;="&amp;INT($Y$1),
  '[1]Hoja 1'!$R:$R, "&lt;"&amp;INT($Z$1+1)
)</f>
        <v>25</v>
      </c>
      <c r="X13" s="1">
        <f t="shared" si="9"/>
        <v>21</v>
      </c>
      <c r="Y13" s="9">
        <f t="shared" si="10"/>
        <v>11.448141542087216</v>
      </c>
      <c r="Z13" s="10">
        <f t="shared" si="11"/>
        <v>30.551858457912786</v>
      </c>
      <c r="AA13" s="1">
        <f>SUMIFS(
  '[1]Hoja 1'!$M:$M,
  '[1]Hoja 1'!$S:$S, $A13,
  '[1]Hoja 1'!$R:$R, "&gt;="&amp;INT($AC$1),
  '[1]Hoja 1'!$R:$R, "&lt;"&amp;INT($AD$1+1)
)</f>
        <v>34</v>
      </c>
      <c r="AB13" s="1">
        <f t="shared" si="12"/>
        <v>30</v>
      </c>
      <c r="AC13" s="9">
        <f t="shared" si="13"/>
        <v>21.109503950847287</v>
      </c>
      <c r="AD13" s="10">
        <f t="shared" si="14"/>
        <v>40.038026034368841</v>
      </c>
      <c r="AE13" s="1">
        <f>SUMIFS(
  '[1]Hoja 1'!$M:$M,
  '[1]Hoja 1'!$S:$S, $A13,
  '[1]Hoja 1'!$R:$R, "&gt;="&amp;INT($AG$1),
  '[1]Hoja 1'!$R:$R, "&lt;"&amp;INT($AH$1+1)
)</f>
        <v>0</v>
      </c>
      <c r="AF13" s="1">
        <f t="shared" si="15"/>
        <v>17</v>
      </c>
      <c r="AG13" s="9">
        <f t="shared" si="16"/>
        <v>-0.42912849226834027</v>
      </c>
      <c r="AH13" s="10">
        <f t="shared" si="17"/>
        <v>36.811195488073572</v>
      </c>
      <c r="AI13" s="1">
        <f>SUMIFS(
  '[1]Hoja 1'!$M:$M,
  '[1]Hoja 1'!$S:$S, $A13,
  '[1]Hoja 1'!$R:$R, "&gt;="&amp;INT($AK$1),
  '[1]Hoja 1'!$R:$R, "&lt;"&amp;INT($AL$1+1)
)</f>
        <v>0</v>
      </c>
      <c r="AJ13" s="1">
        <f t="shared" si="18"/>
        <v>0</v>
      </c>
      <c r="AK13" s="9">
        <f t="shared" si="19"/>
        <v>-17.276930282894586</v>
      </c>
      <c r="AL13" s="10">
        <f t="shared" si="20"/>
        <v>19.833401960665583</v>
      </c>
      <c r="AM13" s="1">
        <f>SUMIFS(
  '[1]Hoja 1'!$M:$M,
  '[1]Hoja 1'!$S:$S, $A13,
  '[1]Hoja 1'!$R:$R, "&gt;="&amp;INT($AO$1),
  '[1]Hoja 1'!$R:$R, "&lt;"&amp;INT($AP$1+1)
)</f>
        <v>0</v>
      </c>
      <c r="AN13" s="1">
        <f t="shared" si="21"/>
        <v>0</v>
      </c>
      <c r="AO13" s="9">
        <f t="shared" si="22"/>
        <v>-16.339865360522403</v>
      </c>
      <c r="AP13" s="10">
        <f t="shared" si="23"/>
        <v>18.600647838180262</v>
      </c>
      <c r="AQ13" s="1">
        <f>SUMIFS(
  '[1]Hoja 1'!$M:$M,
  '[1]Hoja 1'!$S:$S, $A13,
  '[1]Hoja 1'!$R:$R, "&gt;="&amp;INT($AS$1),
  '[1]Hoja 1'!$R:$R, "&lt;"&amp;INT($AT$1+1)
)</f>
        <v>0</v>
      </c>
      <c r="AR13" s="1">
        <f t="shared" si="24"/>
        <v>0</v>
      </c>
      <c r="AS13" s="9">
        <f t="shared" si="25"/>
        <v>-14.901157002058598</v>
      </c>
      <c r="AT13" s="10">
        <f t="shared" si="26"/>
        <v>16.66</v>
      </c>
      <c r="AU13" s="1">
        <f>SUMIFS(
  '[1]Hoja 1'!$M:$M,
  '[1]Hoja 1'!$S:$S, $A13,
  '[1]Hoja 1'!$R:$R, "&gt;="&amp;INT($AW$1),
  '[1]Hoja 1'!$R:$R, "&lt;"&amp;INT($AX$1+1)
)</f>
        <v>0</v>
      </c>
      <c r="AV13" s="1">
        <f t="shared" si="27"/>
        <v>0</v>
      </c>
      <c r="AW13" s="9">
        <f t="shared" si="28"/>
        <v>0</v>
      </c>
      <c r="AX13" s="10">
        <f t="shared" si="29"/>
        <v>0</v>
      </c>
      <c r="AY13" s="1">
        <f>SUMIFS(
  '[1]Hoja 1'!$M:$M,
  '[1]Hoja 1'!$S:$S, $A13,
  '[1]Hoja 1'!$R:$R, "&gt;="&amp;INT($BA$1),
  '[1]Hoja 1'!$R:$R, "&lt;"&amp;INT($BB$1+1)
)</f>
        <v>0</v>
      </c>
      <c r="AZ13" s="1">
        <f t="shared" si="30"/>
        <v>0</v>
      </c>
      <c r="BA13" s="9">
        <f t="shared" si="31"/>
        <v>0</v>
      </c>
      <c r="BB13" s="10">
        <f t="shared" si="32"/>
        <v>0</v>
      </c>
      <c r="BC13" s="1">
        <f>SUMIFS(
  '[1]Hoja 1'!$M:$M,
  '[1]Hoja 1'!$S:$S, $A13,
  '[1]Hoja 1'!$R:$R, "&gt;="&amp;INT($BE$1),
  '[1]Hoja 1'!$R:$R, "&lt;"&amp;INT($BF$1+1)
)</f>
        <v>0</v>
      </c>
      <c r="BD13" s="1">
        <f t="shared" si="33"/>
        <v>0</v>
      </c>
      <c r="BE13" s="9">
        <f t="shared" si="34"/>
        <v>0</v>
      </c>
      <c r="BF13" s="10">
        <f t="shared" si="35"/>
        <v>0</v>
      </c>
      <c r="BG13" s="1">
        <f>SUMIFS(
  '[1]Hoja 1'!$M:$M,
  '[1]Hoja 1'!$S:$S, $A13,
  '[1]Hoja 1'!$R:$R, "&gt;="&amp;INT($BI$1),
  '[1]Hoja 1'!$R:$R, "&lt;"&amp;INT($BJ$1+1)
)</f>
        <v>0</v>
      </c>
      <c r="BH13" s="1">
        <f t="shared" si="36"/>
        <v>0</v>
      </c>
      <c r="BI13" s="9">
        <f t="shared" si="37"/>
        <v>0</v>
      </c>
      <c r="BJ13" s="10">
        <f t="shared" si="38"/>
        <v>0</v>
      </c>
      <c r="BK13" s="1">
        <f>SUMIFS(
  '[1]Hoja 1'!$M:$M,
  '[1]Hoja 1'!$S:$S, $A13,
  '[1]Hoja 1'!$R:$R, "&gt;="&amp;INT($BM$1),
  '[1]Hoja 1'!$R:$R, "&lt;"&amp;INT($BN$1+1)
)</f>
        <v>0</v>
      </c>
      <c r="BL13" s="1">
        <f t="shared" si="39"/>
        <v>0</v>
      </c>
      <c r="BM13" s="9">
        <f t="shared" si="40"/>
        <v>0</v>
      </c>
      <c r="BN13" s="10">
        <f t="shared" si="41"/>
        <v>0</v>
      </c>
      <c r="BO13" s="1">
        <f>SUMIFS(
  '[1]Hoja 1'!$M:$M,
  '[1]Hoja 1'!$S:$S, $A13,
  '[1]Hoja 1'!$R:$R, "&gt;="&amp;INT($BQ$1),
  '[1]Hoja 1'!$R:$R, "&lt;"&amp;INT($BR$1+1)
)</f>
        <v>0</v>
      </c>
      <c r="BP13" s="1">
        <f t="shared" si="42"/>
        <v>0</v>
      </c>
      <c r="BQ13" s="9">
        <f t="shared" si="43"/>
        <v>0</v>
      </c>
      <c r="BR13" s="10">
        <f t="shared" si="44"/>
        <v>0</v>
      </c>
      <c r="BS13" s="1">
        <f>SUMIFS(
  '[1]Hoja 1'!$M:$M,
  '[1]Hoja 1'!$S:$S, $A13,
  '[1]Hoja 1'!$R:$R, "&gt;="&amp;INT($BU$1),
  '[1]Hoja 1'!$R:$R, "&lt;"&amp;INT($BV$1+1)
)</f>
        <v>0</v>
      </c>
      <c r="BT13" s="1">
        <f t="shared" si="45"/>
        <v>0</v>
      </c>
      <c r="BU13" s="9">
        <f t="shared" si="46"/>
        <v>0</v>
      </c>
      <c r="BV13" s="10">
        <f t="shared" si="47"/>
        <v>0</v>
      </c>
      <c r="BW13" s="1">
        <f>SUMIFS(
  '[1]Hoja 1'!$M:$M,
  '[1]Hoja 1'!$S:$S, $A13,
  '[1]Hoja 1'!$R:$R, "&gt;="&amp;INT($BY$1),
  '[1]Hoja 1'!$R:$R, "&lt;"&amp;INT($BZ$1+1)
)</f>
        <v>0</v>
      </c>
      <c r="BX13" s="1">
        <f t="shared" si="48"/>
        <v>0</v>
      </c>
      <c r="BY13" s="9">
        <f t="shared" si="49"/>
        <v>0</v>
      </c>
      <c r="BZ13" s="10">
        <f t="shared" si="50"/>
        <v>0</v>
      </c>
      <c r="CA13" s="1">
        <f>SUMIFS(
  '[1]Hoja 1'!$M:$M,
  '[1]Hoja 1'!$S:$S, $A13,
  '[1]Hoja 1'!$R:$R, "&gt;="&amp;INT($CC$1),
  '[1]Hoja 1'!$R:$R, "&lt;"&amp;INT($CD$1+1)
)</f>
        <v>0</v>
      </c>
      <c r="CB13" s="1">
        <f t="shared" si="51"/>
        <v>0</v>
      </c>
      <c r="CC13" s="9">
        <f t="shared" si="52"/>
        <v>0</v>
      </c>
      <c r="CD13" s="10">
        <f t="shared" si="53"/>
        <v>0</v>
      </c>
      <c r="CE13" s="1">
        <f>SUMIFS(
  '[1]Hoja 1'!$M:$M,
  '[1]Hoja 1'!$S:$S, $A13,
  '[1]Hoja 1'!$R:$R, "&gt;="&amp;INT($CG$1),
  '[1]Hoja 1'!$R:$R, "&lt;"&amp;INT($CH$1+1)
)</f>
        <v>0</v>
      </c>
      <c r="CF13" s="1">
        <f t="shared" si="54"/>
        <v>0</v>
      </c>
      <c r="CG13" s="9">
        <f t="shared" si="55"/>
        <v>0</v>
      </c>
      <c r="CH13" s="10">
        <f t="shared" si="56"/>
        <v>0</v>
      </c>
      <c r="CI13" s="1">
        <f>SUMIFS(
  '[1]Hoja 1'!$M:$M,
  '[1]Hoja 1'!$S:$S, $A13,
  '[1]Hoja 1'!$R:$R, "&gt;="&amp;INT($CK$1),
  '[1]Hoja 1'!$R:$R, "&lt;"&amp;INT($CL$1+1)
)</f>
        <v>0</v>
      </c>
      <c r="CJ13" s="1">
        <f t="shared" si="57"/>
        <v>0</v>
      </c>
      <c r="CK13" s="9">
        <f t="shared" si="58"/>
        <v>0</v>
      </c>
      <c r="CL13" s="10">
        <f t="shared" si="59"/>
        <v>0</v>
      </c>
      <c r="CM13" s="1">
        <f>SUMIFS(
  '[1]Hoja 1'!$M:$M,
  '[1]Hoja 1'!$S:$S, $A13,
  '[1]Hoja 1'!$R:$R, "&gt;="&amp;INT($CO$1),
  '[1]Hoja 1'!$R:$R, "&lt;"&amp;INT($CP$1+1)
)</f>
        <v>0</v>
      </c>
      <c r="CN13" s="1">
        <f t="shared" si="60"/>
        <v>0</v>
      </c>
      <c r="CO13" s="9">
        <f t="shared" si="61"/>
        <v>0</v>
      </c>
      <c r="CP13" s="10">
        <f t="shared" si="62"/>
        <v>0</v>
      </c>
      <c r="CQ13" s="1">
        <f>SUMIFS(
  '[1]Hoja 1'!$M:$M,
  '[1]Hoja 1'!$S:$S, $A13,
  '[1]Hoja 1'!$R:$R, "&gt;="&amp;INT($CS$1),
  '[1]Hoja 1'!$R:$R, "&lt;"&amp;INT($CT$1+1)
)</f>
        <v>0</v>
      </c>
      <c r="CR13" s="1">
        <f t="shared" si="63"/>
        <v>0</v>
      </c>
      <c r="CS13" s="9">
        <f t="shared" si="64"/>
        <v>0</v>
      </c>
      <c r="CT13" s="10">
        <f t="shared" si="65"/>
        <v>0</v>
      </c>
      <c r="CU13" s="1">
        <f>SUMIFS(
  '[1]Hoja 1'!$M:$M,
  '[1]Hoja 1'!$S:$S, $A13,
  '[1]Hoja 1'!$R:$R, "&gt;="&amp;INT($CW$1),
  '[1]Hoja 1'!$R:$R, "&lt;"&amp;INT($CX$1+1)
)</f>
        <v>0</v>
      </c>
      <c r="CV13" s="1">
        <f t="shared" si="66"/>
        <v>0</v>
      </c>
      <c r="CW13" s="9">
        <f t="shared" si="67"/>
        <v>0</v>
      </c>
      <c r="CX13" s="10">
        <f t="shared" si="68"/>
        <v>0</v>
      </c>
      <c r="CY13" s="1">
        <f>SUMIFS(
  '[1]Hoja 1'!$M:$M,
  '[1]Hoja 1'!$S:$S, $A13,
  '[1]Hoja 1'!$R:$R, "&gt;="&amp;INT($DA$1),
  '[1]Hoja 1'!$R:$R, "&lt;"&amp;INT($DB$1+1)
)</f>
        <v>0</v>
      </c>
      <c r="CZ13" s="1">
        <f t="shared" si="69"/>
        <v>0</v>
      </c>
      <c r="DA13" s="9">
        <f t="shared" si="70"/>
        <v>0</v>
      </c>
      <c r="DB13" s="10">
        <f t="shared" si="71"/>
        <v>0</v>
      </c>
      <c r="DC13" s="1">
        <f>SUMIFS(
  '[1]Hoja 1'!$M:$M,
  '[1]Hoja 1'!$S:$S, $A13,
  '[1]Hoja 1'!$R:$R, "&gt;="&amp;INT($DE$1),
  '[1]Hoja 1'!$R:$R, "&lt;"&amp;INT($DF$1+1)
)</f>
        <v>0</v>
      </c>
      <c r="DD13" s="1">
        <f t="shared" si="72"/>
        <v>0</v>
      </c>
      <c r="DE13" s="9">
        <f t="shared" si="73"/>
        <v>0</v>
      </c>
      <c r="DF13" s="10">
        <f t="shared" si="74"/>
        <v>0</v>
      </c>
      <c r="DG13" s="1">
        <f>SUMIFS(
  '[1]Hoja 1'!$M:$M,
  '[1]Hoja 1'!$S:$S, $A13,
  '[1]Hoja 1'!$R:$R, "&gt;="&amp;INT($DI$1),
  '[1]Hoja 1'!$R:$R, "&lt;"&amp;INT($DJ$1+1)
)</f>
        <v>0</v>
      </c>
      <c r="DH13" s="1">
        <f t="shared" si="75"/>
        <v>0</v>
      </c>
      <c r="DI13" s="9">
        <f t="shared" si="76"/>
        <v>0</v>
      </c>
      <c r="DJ13" s="10">
        <f t="shared" si="77"/>
        <v>0</v>
      </c>
      <c r="DK13" s="1">
        <f>SUMIFS(
  '[1]Hoja 1'!$M:$M,
  '[1]Hoja 1'!$S:$S, $A13,
  '[1]Hoja 1'!$R:$R, "&gt;="&amp;INT($DM$1),
  '[1]Hoja 1'!$R:$R, "&lt;"&amp;INT($DN$1+1)
)</f>
        <v>0</v>
      </c>
      <c r="DL13" s="1">
        <f t="shared" si="78"/>
        <v>0</v>
      </c>
      <c r="DM13" s="9">
        <f t="shared" si="79"/>
        <v>0</v>
      </c>
      <c r="DN13" s="10">
        <f t="shared" si="80"/>
        <v>0</v>
      </c>
      <c r="DO13" s="1">
        <f>SUMIFS(
  '[1]Hoja 1'!$M:$M,
  '[1]Hoja 1'!$S:$S, $A13,
  '[1]Hoja 1'!$R:$R, "&gt;="&amp;INT($DQ$1),
  '[1]Hoja 1'!$R:$R, "&lt;"&amp;INT($DR$1+1)
)</f>
        <v>0</v>
      </c>
      <c r="DP13" s="1">
        <f t="shared" si="81"/>
        <v>0</v>
      </c>
      <c r="DQ13" s="9">
        <f t="shared" si="82"/>
        <v>0</v>
      </c>
      <c r="DR13" s="10">
        <f t="shared" si="83"/>
        <v>0</v>
      </c>
    </row>
    <row r="14" spans="1:122" x14ac:dyDescent="0.25">
      <c r="A14" s="5">
        <v>201025</v>
      </c>
      <c r="B14" s="6" t="s">
        <v>18</v>
      </c>
      <c r="C14" s="1">
        <f>SUMIFS(
  '[1]Hoja 1'!$M:$M,
  '[1]Hoja 1'!$S:$S, $A14,
  '[1]Hoja 1'!$R:$R, "&gt;="&amp;INT($E$1),
  '[1]Hoja 1'!$R:$R, "&lt;"&amp;INT($F$1+1)
)</f>
        <v>0</v>
      </c>
      <c r="D14" s="1" t="str">
        <f>""</f>
        <v/>
      </c>
      <c r="F14" s="2"/>
      <c r="G14" s="1">
        <f>SUMIFS(
  '[1]Hoja 1'!$M:$M,
  '[1]Hoja 1'!$S:$S, $A14,
  '[1]Hoja 1'!$R:$R, "&gt;="&amp;INT($I$1),
  '[1]Hoja 1'!$R:$R, "&lt;"&amp;INT($J$1+1)
)</f>
        <v>0</v>
      </c>
      <c r="H14" s="1">
        <f t="shared" si="84"/>
        <v>0</v>
      </c>
      <c r="I14" s="1"/>
      <c r="J14" s="2"/>
      <c r="K14" s="1">
        <f>SUMIFS(
  '[1]Hoja 1'!$M:$M,
  '[1]Hoja 1'!$S:$S, $A14,
  '[1]Hoja 1'!$R:$R, "&gt;="&amp;INT($M$1),
  '[1]Hoja 1'!$R:$R, "&lt;"&amp;INT($N$1+1)
)</f>
        <v>0</v>
      </c>
      <c r="L14" s="1">
        <f t="shared" si="0"/>
        <v>0</v>
      </c>
      <c r="M14" s="9">
        <f t="shared" si="1"/>
        <v>0</v>
      </c>
      <c r="N14" s="10">
        <f t="shared" si="2"/>
        <v>0</v>
      </c>
      <c r="O14" s="1">
        <f>SUMIFS(
  '[1]Hoja 1'!$M:$M,
  '[1]Hoja 1'!$S:$S, $A14,
  '[1]Hoja 1'!$R:$R, "&gt;="&amp;INT($Q$1),
  '[1]Hoja 1'!$R:$R, "&lt;"&amp;INT($R$1+1)
)</f>
        <v>0</v>
      </c>
      <c r="P14" s="1">
        <f t="shared" si="3"/>
        <v>0</v>
      </c>
      <c r="Q14" s="9">
        <f t="shared" si="4"/>
        <v>0</v>
      </c>
      <c r="R14" s="10">
        <f t="shared" si="5"/>
        <v>0</v>
      </c>
      <c r="S14" s="1">
        <f>SUMIFS(
  '[1]Hoja 1'!$M:$M,
  '[1]Hoja 1'!$S:$S, $A14,
  '[1]Hoja 1'!$R:$R, "&gt;="&amp;INT($U$1),
  '[1]Hoja 1'!$R:$R, "&lt;"&amp;INT($V$1+1)
)</f>
        <v>0</v>
      </c>
      <c r="T14" s="1">
        <f t="shared" si="6"/>
        <v>0</v>
      </c>
      <c r="U14" s="9">
        <f t="shared" si="7"/>
        <v>0</v>
      </c>
      <c r="V14" s="10">
        <f t="shared" si="8"/>
        <v>0</v>
      </c>
      <c r="W14" s="1">
        <f>SUMIFS(
  '[1]Hoja 1'!$M:$M,
  '[1]Hoja 1'!$S:$S, $A14,
  '[1]Hoja 1'!$R:$R, "&gt;="&amp;INT($Y$1),
  '[1]Hoja 1'!$R:$R, "&lt;"&amp;INT($Z$1+1)
)</f>
        <v>0</v>
      </c>
      <c r="X14" s="1">
        <f t="shared" si="9"/>
        <v>0</v>
      </c>
      <c r="Y14" s="9">
        <f t="shared" si="10"/>
        <v>0</v>
      </c>
      <c r="Z14" s="10">
        <f t="shared" si="11"/>
        <v>0</v>
      </c>
      <c r="AA14" s="1">
        <f>SUMIFS(
  '[1]Hoja 1'!$M:$M,
  '[1]Hoja 1'!$S:$S, $A14,
  '[1]Hoja 1'!$R:$R, "&gt;="&amp;INT($AC$1),
  '[1]Hoja 1'!$R:$R, "&lt;"&amp;INT($AD$1+1)
)</f>
        <v>0</v>
      </c>
      <c r="AB14" s="1">
        <f t="shared" si="12"/>
        <v>0</v>
      </c>
      <c r="AC14" s="9">
        <f t="shared" si="13"/>
        <v>0</v>
      </c>
      <c r="AD14" s="10">
        <f t="shared" si="14"/>
        <v>0</v>
      </c>
      <c r="AE14" s="1">
        <f>SUMIFS(
  '[1]Hoja 1'!$M:$M,
  '[1]Hoja 1'!$S:$S, $A14,
  '[1]Hoja 1'!$R:$R, "&gt;="&amp;INT($AG$1),
  '[1]Hoja 1'!$R:$R, "&lt;"&amp;INT($AH$1+1)
)</f>
        <v>0</v>
      </c>
      <c r="AF14" s="1">
        <f t="shared" si="15"/>
        <v>0</v>
      </c>
      <c r="AG14" s="9">
        <f t="shared" si="16"/>
        <v>0</v>
      </c>
      <c r="AH14" s="10">
        <f t="shared" si="17"/>
        <v>0</v>
      </c>
      <c r="AI14" s="1">
        <f>SUMIFS(
  '[1]Hoja 1'!$M:$M,
  '[1]Hoja 1'!$S:$S, $A14,
  '[1]Hoja 1'!$R:$R, "&gt;="&amp;INT($AK$1),
  '[1]Hoja 1'!$R:$R, "&lt;"&amp;INT($AL$1+1)
)</f>
        <v>0</v>
      </c>
      <c r="AJ14" s="1">
        <f t="shared" si="18"/>
        <v>0</v>
      </c>
      <c r="AK14" s="9">
        <f t="shared" si="19"/>
        <v>0</v>
      </c>
      <c r="AL14" s="10">
        <f t="shared" si="20"/>
        <v>0</v>
      </c>
      <c r="AM14" s="1">
        <f>SUMIFS(
  '[1]Hoja 1'!$M:$M,
  '[1]Hoja 1'!$S:$S, $A14,
  '[1]Hoja 1'!$R:$R, "&gt;="&amp;INT($AO$1),
  '[1]Hoja 1'!$R:$R, "&lt;"&amp;INT($AP$1+1)
)</f>
        <v>0</v>
      </c>
      <c r="AN14" s="1">
        <f t="shared" si="21"/>
        <v>0</v>
      </c>
      <c r="AO14" s="9">
        <f t="shared" si="22"/>
        <v>0</v>
      </c>
      <c r="AP14" s="10">
        <f t="shared" si="23"/>
        <v>0</v>
      </c>
      <c r="AQ14" s="1">
        <f>SUMIFS(
  '[1]Hoja 1'!$M:$M,
  '[1]Hoja 1'!$S:$S, $A14,
  '[1]Hoja 1'!$R:$R, "&gt;="&amp;INT($AS$1),
  '[1]Hoja 1'!$R:$R, "&lt;"&amp;INT($AT$1+1)
)</f>
        <v>0</v>
      </c>
      <c r="AR14" s="1">
        <f t="shared" si="24"/>
        <v>0</v>
      </c>
      <c r="AS14" s="9">
        <f t="shared" si="25"/>
        <v>0</v>
      </c>
      <c r="AT14" s="10">
        <f t="shared" si="26"/>
        <v>0</v>
      </c>
      <c r="AU14" s="1">
        <f>SUMIFS(
  '[1]Hoja 1'!$M:$M,
  '[1]Hoja 1'!$S:$S, $A14,
  '[1]Hoja 1'!$R:$R, "&gt;="&amp;INT($AW$1),
  '[1]Hoja 1'!$R:$R, "&lt;"&amp;INT($AX$1+1)
)</f>
        <v>0</v>
      </c>
      <c r="AV14" s="1">
        <f t="shared" si="27"/>
        <v>0</v>
      </c>
      <c r="AW14" s="9">
        <f t="shared" si="28"/>
        <v>0</v>
      </c>
      <c r="AX14" s="10">
        <f t="shared" si="29"/>
        <v>0</v>
      </c>
      <c r="AY14" s="1">
        <f>SUMIFS(
  '[1]Hoja 1'!$M:$M,
  '[1]Hoja 1'!$S:$S, $A14,
  '[1]Hoja 1'!$R:$R, "&gt;="&amp;INT($BA$1),
  '[1]Hoja 1'!$R:$R, "&lt;"&amp;INT($BB$1+1)
)</f>
        <v>0</v>
      </c>
      <c r="AZ14" s="1">
        <f t="shared" si="30"/>
        <v>0</v>
      </c>
      <c r="BA14" s="9">
        <f t="shared" si="31"/>
        <v>0</v>
      </c>
      <c r="BB14" s="10">
        <f t="shared" si="32"/>
        <v>0</v>
      </c>
      <c r="BC14" s="1">
        <f>SUMIFS(
  '[1]Hoja 1'!$M:$M,
  '[1]Hoja 1'!$S:$S, $A14,
  '[1]Hoja 1'!$R:$R, "&gt;="&amp;INT($BE$1),
  '[1]Hoja 1'!$R:$R, "&lt;"&amp;INT($BF$1+1)
)</f>
        <v>0</v>
      </c>
      <c r="BD14" s="1">
        <f t="shared" si="33"/>
        <v>0</v>
      </c>
      <c r="BE14" s="9">
        <f t="shared" si="34"/>
        <v>0</v>
      </c>
      <c r="BF14" s="10">
        <f t="shared" si="35"/>
        <v>0</v>
      </c>
      <c r="BG14" s="1">
        <f>SUMIFS(
  '[1]Hoja 1'!$M:$M,
  '[1]Hoja 1'!$S:$S, $A14,
  '[1]Hoja 1'!$R:$R, "&gt;="&amp;INT($BI$1),
  '[1]Hoja 1'!$R:$R, "&lt;"&amp;INT($BJ$1+1)
)</f>
        <v>0</v>
      </c>
      <c r="BH14" s="1">
        <f t="shared" si="36"/>
        <v>0</v>
      </c>
      <c r="BI14" s="9">
        <f t="shared" si="37"/>
        <v>0</v>
      </c>
      <c r="BJ14" s="10">
        <f t="shared" si="38"/>
        <v>0</v>
      </c>
      <c r="BK14" s="1">
        <f>SUMIFS(
  '[1]Hoja 1'!$M:$M,
  '[1]Hoja 1'!$S:$S, $A14,
  '[1]Hoja 1'!$R:$R, "&gt;="&amp;INT($BM$1),
  '[1]Hoja 1'!$R:$R, "&lt;"&amp;INT($BN$1+1)
)</f>
        <v>0</v>
      </c>
      <c r="BL14" s="1">
        <f t="shared" si="39"/>
        <v>0</v>
      </c>
      <c r="BM14" s="9">
        <f t="shared" si="40"/>
        <v>0</v>
      </c>
      <c r="BN14" s="10">
        <f t="shared" si="41"/>
        <v>0</v>
      </c>
      <c r="BO14" s="1">
        <f>SUMIFS(
  '[1]Hoja 1'!$M:$M,
  '[1]Hoja 1'!$S:$S, $A14,
  '[1]Hoja 1'!$R:$R, "&gt;="&amp;INT($BQ$1),
  '[1]Hoja 1'!$R:$R, "&lt;"&amp;INT($BR$1+1)
)</f>
        <v>0</v>
      </c>
      <c r="BP14" s="1">
        <f t="shared" si="42"/>
        <v>0</v>
      </c>
      <c r="BQ14" s="9">
        <f t="shared" si="43"/>
        <v>0</v>
      </c>
      <c r="BR14" s="10">
        <f t="shared" si="44"/>
        <v>0</v>
      </c>
      <c r="BS14" s="1">
        <f>SUMIFS(
  '[1]Hoja 1'!$M:$M,
  '[1]Hoja 1'!$S:$S, $A14,
  '[1]Hoja 1'!$R:$R, "&gt;="&amp;INT($BU$1),
  '[1]Hoja 1'!$R:$R, "&lt;"&amp;INT($BV$1+1)
)</f>
        <v>0</v>
      </c>
      <c r="BT14" s="1">
        <f t="shared" si="45"/>
        <v>0</v>
      </c>
      <c r="BU14" s="9">
        <f t="shared" si="46"/>
        <v>0</v>
      </c>
      <c r="BV14" s="10">
        <f t="shared" si="47"/>
        <v>0</v>
      </c>
      <c r="BW14" s="1">
        <f>SUMIFS(
  '[1]Hoja 1'!$M:$M,
  '[1]Hoja 1'!$S:$S, $A14,
  '[1]Hoja 1'!$R:$R, "&gt;="&amp;INT($BY$1),
  '[1]Hoja 1'!$R:$R, "&lt;"&amp;INT($BZ$1+1)
)</f>
        <v>0</v>
      </c>
      <c r="BX14" s="1">
        <f t="shared" si="48"/>
        <v>0</v>
      </c>
      <c r="BY14" s="9">
        <f t="shared" si="49"/>
        <v>0</v>
      </c>
      <c r="BZ14" s="10">
        <f t="shared" si="50"/>
        <v>0</v>
      </c>
      <c r="CA14" s="1">
        <f>SUMIFS(
  '[1]Hoja 1'!$M:$M,
  '[1]Hoja 1'!$S:$S, $A14,
  '[1]Hoja 1'!$R:$R, "&gt;="&amp;INT($CC$1),
  '[1]Hoja 1'!$R:$R, "&lt;"&amp;INT($CD$1+1)
)</f>
        <v>0</v>
      </c>
      <c r="CB14" s="1">
        <f t="shared" si="51"/>
        <v>0</v>
      </c>
      <c r="CC14" s="9">
        <f t="shared" si="52"/>
        <v>0</v>
      </c>
      <c r="CD14" s="10">
        <f t="shared" si="53"/>
        <v>0</v>
      </c>
      <c r="CE14" s="1">
        <f>SUMIFS(
  '[1]Hoja 1'!$M:$M,
  '[1]Hoja 1'!$S:$S, $A14,
  '[1]Hoja 1'!$R:$R, "&gt;="&amp;INT($CG$1),
  '[1]Hoja 1'!$R:$R, "&lt;"&amp;INT($CH$1+1)
)</f>
        <v>0</v>
      </c>
      <c r="CF14" s="1">
        <f t="shared" si="54"/>
        <v>0</v>
      </c>
      <c r="CG14" s="9">
        <f t="shared" si="55"/>
        <v>0</v>
      </c>
      <c r="CH14" s="10">
        <f t="shared" si="56"/>
        <v>0</v>
      </c>
      <c r="CI14" s="1">
        <f>SUMIFS(
  '[1]Hoja 1'!$M:$M,
  '[1]Hoja 1'!$S:$S, $A14,
  '[1]Hoja 1'!$R:$R, "&gt;="&amp;INT($CK$1),
  '[1]Hoja 1'!$R:$R, "&lt;"&amp;INT($CL$1+1)
)</f>
        <v>0</v>
      </c>
      <c r="CJ14" s="1">
        <f t="shared" si="57"/>
        <v>0</v>
      </c>
      <c r="CK14" s="9">
        <f t="shared" si="58"/>
        <v>0</v>
      </c>
      <c r="CL14" s="10">
        <f t="shared" si="59"/>
        <v>0</v>
      </c>
      <c r="CM14" s="1">
        <f>SUMIFS(
  '[1]Hoja 1'!$M:$M,
  '[1]Hoja 1'!$S:$S, $A14,
  '[1]Hoja 1'!$R:$R, "&gt;="&amp;INT($CO$1),
  '[1]Hoja 1'!$R:$R, "&lt;"&amp;INT($CP$1+1)
)</f>
        <v>0</v>
      </c>
      <c r="CN14" s="1">
        <f t="shared" si="60"/>
        <v>0</v>
      </c>
      <c r="CO14" s="9">
        <f t="shared" si="61"/>
        <v>0</v>
      </c>
      <c r="CP14" s="10">
        <f t="shared" si="62"/>
        <v>0</v>
      </c>
      <c r="CQ14" s="1">
        <f>SUMIFS(
  '[1]Hoja 1'!$M:$M,
  '[1]Hoja 1'!$S:$S, $A14,
  '[1]Hoja 1'!$R:$R, "&gt;="&amp;INT($CS$1),
  '[1]Hoja 1'!$R:$R, "&lt;"&amp;INT($CT$1+1)
)</f>
        <v>0</v>
      </c>
      <c r="CR14" s="1">
        <f t="shared" si="63"/>
        <v>0</v>
      </c>
      <c r="CS14" s="9">
        <f t="shared" si="64"/>
        <v>0</v>
      </c>
      <c r="CT14" s="10">
        <f t="shared" si="65"/>
        <v>0</v>
      </c>
      <c r="CU14" s="1">
        <f>SUMIFS(
  '[1]Hoja 1'!$M:$M,
  '[1]Hoja 1'!$S:$S, $A14,
  '[1]Hoja 1'!$R:$R, "&gt;="&amp;INT($CW$1),
  '[1]Hoja 1'!$R:$R, "&lt;"&amp;INT($CX$1+1)
)</f>
        <v>0</v>
      </c>
      <c r="CV14" s="1">
        <f t="shared" si="66"/>
        <v>0</v>
      </c>
      <c r="CW14" s="9">
        <f t="shared" si="67"/>
        <v>0</v>
      </c>
      <c r="CX14" s="10">
        <f t="shared" si="68"/>
        <v>0</v>
      </c>
      <c r="CY14" s="1">
        <f>SUMIFS(
  '[1]Hoja 1'!$M:$M,
  '[1]Hoja 1'!$S:$S, $A14,
  '[1]Hoja 1'!$R:$R, "&gt;="&amp;INT($DA$1),
  '[1]Hoja 1'!$R:$R, "&lt;"&amp;INT($DB$1+1)
)</f>
        <v>0</v>
      </c>
      <c r="CZ14" s="1">
        <f t="shared" si="69"/>
        <v>0</v>
      </c>
      <c r="DA14" s="9">
        <f t="shared" si="70"/>
        <v>0</v>
      </c>
      <c r="DB14" s="10">
        <f t="shared" si="71"/>
        <v>0</v>
      </c>
      <c r="DC14" s="1">
        <f>SUMIFS(
  '[1]Hoja 1'!$M:$M,
  '[1]Hoja 1'!$S:$S, $A14,
  '[1]Hoja 1'!$R:$R, "&gt;="&amp;INT($DE$1),
  '[1]Hoja 1'!$R:$R, "&lt;"&amp;INT($DF$1+1)
)</f>
        <v>0</v>
      </c>
      <c r="DD14" s="1">
        <f t="shared" si="72"/>
        <v>0</v>
      </c>
      <c r="DE14" s="9">
        <f t="shared" si="73"/>
        <v>0</v>
      </c>
      <c r="DF14" s="10">
        <f t="shared" si="74"/>
        <v>0</v>
      </c>
      <c r="DG14" s="1">
        <f>SUMIFS(
  '[1]Hoja 1'!$M:$M,
  '[1]Hoja 1'!$S:$S, $A14,
  '[1]Hoja 1'!$R:$R, "&gt;="&amp;INT($DI$1),
  '[1]Hoja 1'!$R:$R, "&lt;"&amp;INT($DJ$1+1)
)</f>
        <v>0</v>
      </c>
      <c r="DH14" s="1">
        <f t="shared" si="75"/>
        <v>0</v>
      </c>
      <c r="DI14" s="9">
        <f t="shared" si="76"/>
        <v>0</v>
      </c>
      <c r="DJ14" s="10">
        <f t="shared" si="77"/>
        <v>0</v>
      </c>
      <c r="DK14" s="1">
        <f>SUMIFS(
  '[1]Hoja 1'!$M:$M,
  '[1]Hoja 1'!$S:$S, $A14,
  '[1]Hoja 1'!$R:$R, "&gt;="&amp;INT($DM$1),
  '[1]Hoja 1'!$R:$R, "&lt;"&amp;INT($DN$1+1)
)</f>
        <v>0</v>
      </c>
      <c r="DL14" s="1">
        <f t="shared" si="78"/>
        <v>0</v>
      </c>
      <c r="DM14" s="9">
        <f t="shared" si="79"/>
        <v>0</v>
      </c>
      <c r="DN14" s="10">
        <f t="shared" si="80"/>
        <v>0</v>
      </c>
      <c r="DO14" s="1">
        <f>SUMIFS(
  '[1]Hoja 1'!$M:$M,
  '[1]Hoja 1'!$S:$S, $A14,
  '[1]Hoja 1'!$R:$R, "&gt;="&amp;INT($DQ$1),
  '[1]Hoja 1'!$R:$R, "&lt;"&amp;INT($DR$1+1)
)</f>
        <v>0</v>
      </c>
      <c r="DP14" s="1">
        <f t="shared" si="81"/>
        <v>0</v>
      </c>
      <c r="DQ14" s="9">
        <f t="shared" si="82"/>
        <v>0</v>
      </c>
      <c r="DR14" s="10">
        <f t="shared" si="83"/>
        <v>0</v>
      </c>
    </row>
    <row r="15" spans="1:122" x14ac:dyDescent="0.25">
      <c r="A15" s="5">
        <v>201026</v>
      </c>
      <c r="B15" s="6" t="s">
        <v>19</v>
      </c>
      <c r="C15" s="1">
        <f>SUMIFS(
  '[1]Hoja 1'!$M:$M,
  '[1]Hoja 1'!$S:$S, $A15,
  '[1]Hoja 1'!$R:$R, "&gt;="&amp;INT($E$1),
  '[1]Hoja 1'!$R:$R, "&lt;"&amp;INT($F$1+1)
)</f>
        <v>4</v>
      </c>
      <c r="D15" s="1" t="str">
        <f>""</f>
        <v/>
      </c>
      <c r="F15" s="2"/>
      <c r="G15" s="1">
        <f>SUMIFS(
  '[1]Hoja 1'!$M:$M,
  '[1]Hoja 1'!$S:$S, $A15,
  '[1]Hoja 1'!$R:$R, "&gt;="&amp;INT($I$1),
  '[1]Hoja 1'!$R:$R, "&lt;"&amp;INT($J$1+1)
)</f>
        <v>0</v>
      </c>
      <c r="H15" s="1">
        <f t="shared" si="84"/>
        <v>2</v>
      </c>
      <c r="I15" s="1"/>
      <c r="J15" s="2"/>
      <c r="K15" s="1">
        <f>SUMIFS(
  '[1]Hoja 1'!$M:$M,
  '[1]Hoja 1'!$S:$S, $A15,
  '[1]Hoja 1'!$R:$R, "&gt;="&amp;INT($M$1),
  '[1]Hoja 1'!$R:$R, "&lt;"&amp;INT($N$1+1)
)</f>
        <v>3</v>
      </c>
      <c r="L15" s="1">
        <f t="shared" si="0"/>
        <v>1.5</v>
      </c>
      <c r="M15" s="9">
        <f t="shared" si="1"/>
        <v>-3.350752518939716</v>
      </c>
      <c r="N15" s="10">
        <f t="shared" si="2"/>
        <v>6.350752518939716</v>
      </c>
      <c r="O15" s="1">
        <f>SUMIFS(
  '[1]Hoja 1'!$M:$M,
  '[1]Hoja 1'!$S:$S, $A15,
  '[1]Hoja 1'!$R:$R, "&gt;="&amp;INT($Q$1),
  '[1]Hoja 1'!$R:$R, "&lt;"&amp;INT($R$1+1)
)</f>
        <v>0</v>
      </c>
      <c r="P15" s="1">
        <f t="shared" si="3"/>
        <v>1.5</v>
      </c>
      <c r="Q15" s="9">
        <f t="shared" si="4"/>
        <v>-2.2102201192561788</v>
      </c>
      <c r="R15" s="10">
        <f t="shared" si="5"/>
        <v>5.2102201192561788</v>
      </c>
      <c r="S15" s="1">
        <f>SUMIFS(
  '[1]Hoja 1'!$M:$M,
  '[1]Hoja 1'!$S:$S, $A15,
  '[1]Hoja 1'!$R:$R, "&gt;="&amp;INT($U$1),
  '[1]Hoja 1'!$R:$R, "&lt;"&amp;INT($V$1+1)
)</f>
        <v>3</v>
      </c>
      <c r="T15" s="1">
        <f t="shared" si="6"/>
        <v>2</v>
      </c>
      <c r="U15" s="9">
        <f t="shared" si="7"/>
        <v>-1.6994188732826672</v>
      </c>
      <c r="V15" s="10">
        <f t="shared" si="8"/>
        <v>5.6994188732826672</v>
      </c>
      <c r="W15" s="1">
        <f>SUMIFS(
  '[1]Hoja 1'!$M:$M,
  '[1]Hoja 1'!$S:$S, $A15,
  '[1]Hoja 1'!$R:$R, "&gt;="&amp;INT($Y$1),
  '[1]Hoja 1'!$R:$R, "&lt;"&amp;INT($Z$1+1)
)</f>
        <v>0</v>
      </c>
      <c r="X15" s="1">
        <f t="shared" si="9"/>
        <v>2</v>
      </c>
      <c r="Y15" s="9">
        <f t="shared" si="10"/>
        <v>-1.3948195828349994</v>
      </c>
      <c r="Z15" s="10">
        <f t="shared" si="11"/>
        <v>5.3948195828349998</v>
      </c>
      <c r="AA15" s="1">
        <f>SUMIFS(
  '[1]Hoja 1'!$M:$M,
  '[1]Hoja 1'!$S:$S, $A15,
  '[1]Hoja 1'!$R:$R, "&gt;="&amp;INT($AC$1),
  '[1]Hoja 1'!$R:$R, "&lt;"&amp;INT($AD$1+1)
)</f>
        <v>3</v>
      </c>
      <c r="AB15" s="1">
        <f t="shared" si="12"/>
        <v>2</v>
      </c>
      <c r="AC15" s="9">
        <f t="shared" si="13"/>
        <v>-0.94</v>
      </c>
      <c r="AD15" s="10">
        <f t="shared" si="14"/>
        <v>5.3948195828349998</v>
      </c>
      <c r="AE15" s="1">
        <f>SUMIFS(
  '[1]Hoja 1'!$M:$M,
  '[1]Hoja 1'!$S:$S, $A15,
  '[1]Hoja 1'!$R:$R, "&gt;="&amp;INT($AG$1),
  '[1]Hoja 1'!$R:$R, "&lt;"&amp;INT($AH$1+1)
)</f>
        <v>0</v>
      </c>
      <c r="AF15" s="1">
        <f t="shared" si="15"/>
        <v>2</v>
      </c>
      <c r="AG15" s="9">
        <f t="shared" si="16"/>
        <v>-0.94</v>
      </c>
      <c r="AH15" s="10">
        <f t="shared" si="17"/>
        <v>5.3948195828349998</v>
      </c>
      <c r="AI15" s="1">
        <f>SUMIFS(
  '[1]Hoja 1'!$M:$M,
  '[1]Hoja 1'!$S:$S, $A15,
  '[1]Hoja 1'!$R:$R, "&gt;="&amp;INT($AK$1),
  '[1]Hoja 1'!$R:$R, "&lt;"&amp;INT($AL$1+1)
)</f>
        <v>0</v>
      </c>
      <c r="AJ15" s="1">
        <f t="shared" si="18"/>
        <v>0</v>
      </c>
      <c r="AK15" s="9">
        <f t="shared" si="19"/>
        <v>-2.459780478010182</v>
      </c>
      <c r="AL15" s="10">
        <f t="shared" si="20"/>
        <v>2.8148356968036339</v>
      </c>
      <c r="AM15" s="1">
        <f>SUMIFS(
  '[1]Hoja 1'!$M:$M,
  '[1]Hoja 1'!$S:$S, $A15,
  '[1]Hoja 1'!$R:$R, "&gt;="&amp;INT($AO$1),
  '[1]Hoja 1'!$R:$R, "&lt;"&amp;INT($AP$1+1)
)</f>
        <v>0</v>
      </c>
      <c r="AN15" s="1">
        <f t="shared" si="21"/>
        <v>0</v>
      </c>
      <c r="AO15" s="9">
        <f t="shared" si="22"/>
        <v>-2.0788939366884494</v>
      </c>
      <c r="AP15" s="10">
        <f t="shared" si="23"/>
        <v>2.4004999479275142</v>
      </c>
      <c r="AQ15" s="1">
        <f>SUMIFS(
  '[1]Hoja 1'!$M:$M,
  '[1]Hoja 1'!$S:$S, $A15,
  '[1]Hoja 1'!$R:$R, "&gt;="&amp;INT($AS$1),
  '[1]Hoja 1'!$R:$R, "&lt;"&amp;INT($AT$1+1)
)</f>
        <v>0</v>
      </c>
      <c r="AR15" s="1">
        <f t="shared" si="24"/>
        <v>0</v>
      </c>
      <c r="AS15" s="9">
        <f t="shared" si="25"/>
        <v>-1.3148079707698763</v>
      </c>
      <c r="AT15" s="10">
        <f t="shared" si="26"/>
        <v>1.47</v>
      </c>
      <c r="AU15" s="1">
        <f>SUMIFS(
  '[1]Hoja 1'!$M:$M,
  '[1]Hoja 1'!$S:$S, $A15,
  '[1]Hoja 1'!$R:$R, "&gt;="&amp;INT($AW$1),
  '[1]Hoja 1'!$R:$R, "&lt;"&amp;INT($AX$1+1)
)</f>
        <v>0</v>
      </c>
      <c r="AV15" s="1">
        <f t="shared" si="27"/>
        <v>0</v>
      </c>
      <c r="AW15" s="9">
        <f t="shared" si="28"/>
        <v>0</v>
      </c>
      <c r="AX15" s="10">
        <f t="shared" si="29"/>
        <v>0</v>
      </c>
      <c r="AY15" s="1">
        <f>SUMIFS(
  '[1]Hoja 1'!$M:$M,
  '[1]Hoja 1'!$S:$S, $A15,
  '[1]Hoja 1'!$R:$R, "&gt;="&amp;INT($BA$1),
  '[1]Hoja 1'!$R:$R, "&lt;"&amp;INT($BB$1+1)
)</f>
        <v>0</v>
      </c>
      <c r="AZ15" s="1">
        <f t="shared" si="30"/>
        <v>0</v>
      </c>
      <c r="BA15" s="9">
        <f t="shared" si="31"/>
        <v>0</v>
      </c>
      <c r="BB15" s="10">
        <f t="shared" si="32"/>
        <v>0</v>
      </c>
      <c r="BC15" s="1">
        <f>SUMIFS(
  '[1]Hoja 1'!$M:$M,
  '[1]Hoja 1'!$S:$S, $A15,
  '[1]Hoja 1'!$R:$R, "&gt;="&amp;INT($BE$1),
  '[1]Hoja 1'!$R:$R, "&lt;"&amp;INT($BF$1+1)
)</f>
        <v>0</v>
      </c>
      <c r="BD15" s="1">
        <f t="shared" si="33"/>
        <v>0</v>
      </c>
      <c r="BE15" s="9">
        <f t="shared" si="34"/>
        <v>0</v>
      </c>
      <c r="BF15" s="10">
        <f t="shared" si="35"/>
        <v>0</v>
      </c>
      <c r="BG15" s="1">
        <f>SUMIFS(
  '[1]Hoja 1'!$M:$M,
  '[1]Hoja 1'!$S:$S, $A15,
  '[1]Hoja 1'!$R:$R, "&gt;="&amp;INT($BI$1),
  '[1]Hoja 1'!$R:$R, "&lt;"&amp;INT($BJ$1+1)
)</f>
        <v>0</v>
      </c>
      <c r="BH15" s="1">
        <f t="shared" si="36"/>
        <v>0</v>
      </c>
      <c r="BI15" s="9">
        <f t="shared" si="37"/>
        <v>0</v>
      </c>
      <c r="BJ15" s="10">
        <f t="shared" si="38"/>
        <v>0</v>
      </c>
      <c r="BK15" s="1">
        <f>SUMIFS(
  '[1]Hoja 1'!$M:$M,
  '[1]Hoja 1'!$S:$S, $A15,
  '[1]Hoja 1'!$R:$R, "&gt;="&amp;INT($BM$1),
  '[1]Hoja 1'!$R:$R, "&lt;"&amp;INT($BN$1+1)
)</f>
        <v>0</v>
      </c>
      <c r="BL15" s="1">
        <f t="shared" si="39"/>
        <v>0</v>
      </c>
      <c r="BM15" s="9">
        <f t="shared" si="40"/>
        <v>0</v>
      </c>
      <c r="BN15" s="10">
        <f t="shared" si="41"/>
        <v>0</v>
      </c>
      <c r="BO15" s="1">
        <f>SUMIFS(
  '[1]Hoja 1'!$M:$M,
  '[1]Hoja 1'!$S:$S, $A15,
  '[1]Hoja 1'!$R:$R, "&gt;="&amp;INT($BQ$1),
  '[1]Hoja 1'!$R:$R, "&lt;"&amp;INT($BR$1+1)
)</f>
        <v>0</v>
      </c>
      <c r="BP15" s="1">
        <f t="shared" si="42"/>
        <v>0</v>
      </c>
      <c r="BQ15" s="9">
        <f t="shared" si="43"/>
        <v>0</v>
      </c>
      <c r="BR15" s="10">
        <f t="shared" si="44"/>
        <v>0</v>
      </c>
      <c r="BS15" s="1">
        <f>SUMIFS(
  '[1]Hoja 1'!$M:$M,
  '[1]Hoja 1'!$S:$S, $A15,
  '[1]Hoja 1'!$R:$R, "&gt;="&amp;INT($BU$1),
  '[1]Hoja 1'!$R:$R, "&lt;"&amp;INT($BV$1+1)
)</f>
        <v>0</v>
      </c>
      <c r="BT15" s="1">
        <f t="shared" si="45"/>
        <v>0</v>
      </c>
      <c r="BU15" s="9">
        <f t="shared" si="46"/>
        <v>0</v>
      </c>
      <c r="BV15" s="10">
        <f t="shared" si="47"/>
        <v>0</v>
      </c>
      <c r="BW15" s="1">
        <f>SUMIFS(
  '[1]Hoja 1'!$M:$M,
  '[1]Hoja 1'!$S:$S, $A15,
  '[1]Hoja 1'!$R:$R, "&gt;="&amp;INT($BY$1),
  '[1]Hoja 1'!$R:$R, "&lt;"&amp;INT($BZ$1+1)
)</f>
        <v>0</v>
      </c>
      <c r="BX15" s="1">
        <f t="shared" si="48"/>
        <v>0</v>
      </c>
      <c r="BY15" s="9">
        <f t="shared" si="49"/>
        <v>0</v>
      </c>
      <c r="BZ15" s="10">
        <f t="shared" si="50"/>
        <v>0</v>
      </c>
      <c r="CA15" s="1">
        <f>SUMIFS(
  '[1]Hoja 1'!$M:$M,
  '[1]Hoja 1'!$S:$S, $A15,
  '[1]Hoja 1'!$R:$R, "&gt;="&amp;INT($CC$1),
  '[1]Hoja 1'!$R:$R, "&lt;"&amp;INT($CD$1+1)
)</f>
        <v>0</v>
      </c>
      <c r="CB15" s="1">
        <f t="shared" si="51"/>
        <v>0</v>
      </c>
      <c r="CC15" s="9">
        <f t="shared" si="52"/>
        <v>0</v>
      </c>
      <c r="CD15" s="10">
        <f t="shared" si="53"/>
        <v>0</v>
      </c>
      <c r="CE15" s="1">
        <f>SUMIFS(
  '[1]Hoja 1'!$M:$M,
  '[1]Hoja 1'!$S:$S, $A15,
  '[1]Hoja 1'!$R:$R, "&gt;="&amp;INT($CG$1),
  '[1]Hoja 1'!$R:$R, "&lt;"&amp;INT($CH$1+1)
)</f>
        <v>0</v>
      </c>
      <c r="CF15" s="1">
        <f t="shared" si="54"/>
        <v>0</v>
      </c>
      <c r="CG15" s="9">
        <f t="shared" si="55"/>
        <v>0</v>
      </c>
      <c r="CH15" s="10">
        <f t="shared" si="56"/>
        <v>0</v>
      </c>
      <c r="CI15" s="1">
        <f>SUMIFS(
  '[1]Hoja 1'!$M:$M,
  '[1]Hoja 1'!$S:$S, $A15,
  '[1]Hoja 1'!$R:$R, "&gt;="&amp;INT($CK$1),
  '[1]Hoja 1'!$R:$R, "&lt;"&amp;INT($CL$1+1)
)</f>
        <v>0</v>
      </c>
      <c r="CJ15" s="1">
        <f t="shared" si="57"/>
        <v>0</v>
      </c>
      <c r="CK15" s="9">
        <f t="shared" si="58"/>
        <v>0</v>
      </c>
      <c r="CL15" s="10">
        <f t="shared" si="59"/>
        <v>0</v>
      </c>
      <c r="CM15" s="1">
        <f>SUMIFS(
  '[1]Hoja 1'!$M:$M,
  '[1]Hoja 1'!$S:$S, $A15,
  '[1]Hoja 1'!$R:$R, "&gt;="&amp;INT($CO$1),
  '[1]Hoja 1'!$R:$R, "&lt;"&amp;INT($CP$1+1)
)</f>
        <v>0</v>
      </c>
      <c r="CN15" s="1">
        <f t="shared" si="60"/>
        <v>0</v>
      </c>
      <c r="CO15" s="9">
        <f t="shared" si="61"/>
        <v>0</v>
      </c>
      <c r="CP15" s="10">
        <f t="shared" si="62"/>
        <v>0</v>
      </c>
      <c r="CQ15" s="1">
        <f>SUMIFS(
  '[1]Hoja 1'!$M:$M,
  '[1]Hoja 1'!$S:$S, $A15,
  '[1]Hoja 1'!$R:$R, "&gt;="&amp;INT($CS$1),
  '[1]Hoja 1'!$R:$R, "&lt;"&amp;INT($CT$1+1)
)</f>
        <v>0</v>
      </c>
      <c r="CR15" s="1">
        <f t="shared" si="63"/>
        <v>0</v>
      </c>
      <c r="CS15" s="9">
        <f t="shared" si="64"/>
        <v>0</v>
      </c>
      <c r="CT15" s="10">
        <f t="shared" si="65"/>
        <v>0</v>
      </c>
      <c r="CU15" s="1">
        <f>SUMIFS(
  '[1]Hoja 1'!$M:$M,
  '[1]Hoja 1'!$S:$S, $A15,
  '[1]Hoja 1'!$R:$R, "&gt;="&amp;INT($CW$1),
  '[1]Hoja 1'!$R:$R, "&lt;"&amp;INT($CX$1+1)
)</f>
        <v>0</v>
      </c>
      <c r="CV15" s="1">
        <f t="shared" si="66"/>
        <v>0</v>
      </c>
      <c r="CW15" s="9">
        <f t="shared" si="67"/>
        <v>0</v>
      </c>
      <c r="CX15" s="10">
        <f t="shared" si="68"/>
        <v>0</v>
      </c>
      <c r="CY15" s="1">
        <f>SUMIFS(
  '[1]Hoja 1'!$M:$M,
  '[1]Hoja 1'!$S:$S, $A15,
  '[1]Hoja 1'!$R:$R, "&gt;="&amp;INT($DA$1),
  '[1]Hoja 1'!$R:$R, "&lt;"&amp;INT($DB$1+1)
)</f>
        <v>0</v>
      </c>
      <c r="CZ15" s="1">
        <f t="shared" si="69"/>
        <v>0</v>
      </c>
      <c r="DA15" s="9">
        <f t="shared" si="70"/>
        <v>0</v>
      </c>
      <c r="DB15" s="10">
        <f t="shared" si="71"/>
        <v>0</v>
      </c>
      <c r="DC15" s="1">
        <f>SUMIFS(
  '[1]Hoja 1'!$M:$M,
  '[1]Hoja 1'!$S:$S, $A15,
  '[1]Hoja 1'!$R:$R, "&gt;="&amp;INT($DE$1),
  '[1]Hoja 1'!$R:$R, "&lt;"&amp;INT($DF$1+1)
)</f>
        <v>0</v>
      </c>
      <c r="DD15" s="1">
        <f t="shared" si="72"/>
        <v>0</v>
      </c>
      <c r="DE15" s="9">
        <f t="shared" si="73"/>
        <v>0</v>
      </c>
      <c r="DF15" s="10">
        <f t="shared" si="74"/>
        <v>0</v>
      </c>
      <c r="DG15" s="1">
        <f>SUMIFS(
  '[1]Hoja 1'!$M:$M,
  '[1]Hoja 1'!$S:$S, $A15,
  '[1]Hoja 1'!$R:$R, "&gt;="&amp;INT($DI$1),
  '[1]Hoja 1'!$R:$R, "&lt;"&amp;INT($DJ$1+1)
)</f>
        <v>0</v>
      </c>
      <c r="DH15" s="1">
        <f t="shared" si="75"/>
        <v>0</v>
      </c>
      <c r="DI15" s="9">
        <f t="shared" si="76"/>
        <v>0</v>
      </c>
      <c r="DJ15" s="10">
        <f t="shared" si="77"/>
        <v>0</v>
      </c>
      <c r="DK15" s="1">
        <f>SUMIFS(
  '[1]Hoja 1'!$M:$M,
  '[1]Hoja 1'!$S:$S, $A15,
  '[1]Hoja 1'!$R:$R, "&gt;="&amp;INT($DM$1),
  '[1]Hoja 1'!$R:$R, "&lt;"&amp;INT($DN$1+1)
)</f>
        <v>0</v>
      </c>
      <c r="DL15" s="1">
        <f t="shared" si="78"/>
        <v>0</v>
      </c>
      <c r="DM15" s="9">
        <f t="shared" si="79"/>
        <v>0</v>
      </c>
      <c r="DN15" s="10">
        <f t="shared" si="80"/>
        <v>0</v>
      </c>
      <c r="DO15" s="1">
        <f>SUMIFS(
  '[1]Hoja 1'!$M:$M,
  '[1]Hoja 1'!$S:$S, $A15,
  '[1]Hoja 1'!$R:$R, "&gt;="&amp;INT($DQ$1),
  '[1]Hoja 1'!$R:$R, "&lt;"&amp;INT($DR$1+1)
)</f>
        <v>0</v>
      </c>
      <c r="DP15" s="1">
        <f t="shared" si="81"/>
        <v>0</v>
      </c>
      <c r="DQ15" s="9">
        <f t="shared" si="82"/>
        <v>0</v>
      </c>
      <c r="DR15" s="10">
        <f t="shared" si="83"/>
        <v>0</v>
      </c>
    </row>
    <row r="16" spans="1:122" x14ac:dyDescent="0.25">
      <c r="A16" s="5">
        <v>201027</v>
      </c>
      <c r="B16" s="6" t="s">
        <v>20</v>
      </c>
      <c r="C16" s="1">
        <f>SUMIFS(
  '[1]Hoja 1'!$M:$M,
  '[1]Hoja 1'!$S:$S, $A16,
  '[1]Hoja 1'!$R:$R, "&gt;="&amp;INT($E$1),
  '[1]Hoja 1'!$R:$R, "&lt;"&amp;INT($F$1+1)
)</f>
        <v>5</v>
      </c>
      <c r="D16" s="1" t="str">
        <f>""</f>
        <v/>
      </c>
      <c r="F16" s="2"/>
      <c r="G16" s="1">
        <f>SUMIFS(
  '[1]Hoja 1'!$M:$M,
  '[1]Hoja 1'!$S:$S, $A16,
  '[1]Hoja 1'!$R:$R, "&gt;="&amp;INT($I$1),
  '[1]Hoja 1'!$R:$R, "&lt;"&amp;INT($J$1+1)
)</f>
        <v>5</v>
      </c>
      <c r="H16" s="1">
        <f t="shared" si="84"/>
        <v>5</v>
      </c>
      <c r="I16" s="1"/>
      <c r="J16" s="2"/>
      <c r="K16" s="1">
        <f>SUMIFS(
  '[1]Hoja 1'!$M:$M,
  '[1]Hoja 1'!$S:$S, $A16,
  '[1]Hoja 1'!$R:$R, "&gt;="&amp;INT($M$1),
  '[1]Hoja 1'!$R:$R, "&lt;"&amp;INT($N$1+1)
)</f>
        <v>5</v>
      </c>
      <c r="L16" s="1">
        <f t="shared" si="0"/>
        <v>5</v>
      </c>
      <c r="M16" s="9">
        <f t="shared" si="1"/>
        <v>5</v>
      </c>
      <c r="N16" s="10">
        <f t="shared" si="2"/>
        <v>5</v>
      </c>
      <c r="O16" s="1">
        <f>SUMIFS(
  '[1]Hoja 1'!$M:$M,
  '[1]Hoja 1'!$S:$S, $A16,
  '[1]Hoja 1'!$R:$R, "&gt;="&amp;INT($Q$1),
  '[1]Hoja 1'!$R:$R, "&lt;"&amp;INT($R$1+1)
)</f>
        <v>2</v>
      </c>
      <c r="P16" s="1">
        <f t="shared" si="3"/>
        <v>3.5</v>
      </c>
      <c r="Q16" s="9">
        <f t="shared" si="4"/>
        <v>3.3025902085825001</v>
      </c>
      <c r="R16" s="10">
        <f t="shared" si="5"/>
        <v>6.6974097914174999</v>
      </c>
      <c r="S16" s="1">
        <f>SUMIFS(
  '[1]Hoja 1'!$M:$M,
  '[1]Hoja 1'!$S:$S, $A16,
  '[1]Hoja 1'!$R:$R, "&gt;="&amp;INT($U$1),
  '[1]Hoja 1'!$R:$R, "&lt;"&amp;INT($V$1+1)
)</f>
        <v>2</v>
      </c>
      <c r="T16" s="1">
        <f t="shared" si="6"/>
        <v>2</v>
      </c>
      <c r="U16" s="9">
        <f t="shared" si="7"/>
        <v>0.53</v>
      </c>
      <c r="V16" s="10">
        <f t="shared" si="8"/>
        <v>3.4699999999999998</v>
      </c>
      <c r="W16" s="1">
        <f>SUMIFS(
  '[1]Hoja 1'!$M:$M,
  '[1]Hoja 1'!$S:$S, $A16,
  '[1]Hoja 1'!$R:$R, "&gt;="&amp;INT($Y$1),
  '[1]Hoja 1'!$R:$R, "&lt;"&amp;INT($Z$1+1)
)</f>
        <v>4</v>
      </c>
      <c r="X16" s="1">
        <f t="shared" si="9"/>
        <v>3</v>
      </c>
      <c r="Y16" s="9">
        <f t="shared" si="10"/>
        <v>0.97967824344734655</v>
      </c>
      <c r="Z16" s="10">
        <f t="shared" si="11"/>
        <v>5.0203217565526534</v>
      </c>
      <c r="AA16" s="1">
        <f>SUMIFS(
  '[1]Hoja 1'!$M:$M,
  '[1]Hoja 1'!$S:$S, $A16,
  '[1]Hoja 1'!$R:$R, "&gt;="&amp;INT($AC$1),
  '[1]Hoja 1'!$R:$R, "&lt;"&amp;INT($AD$1+1)
)</f>
        <v>7</v>
      </c>
      <c r="AB16" s="1">
        <f t="shared" si="12"/>
        <v>6</v>
      </c>
      <c r="AC16" s="9">
        <f t="shared" si="13"/>
        <v>3.743870571088618</v>
      </c>
      <c r="AD16" s="10">
        <f t="shared" si="14"/>
        <v>8.5928362848432993</v>
      </c>
      <c r="AE16" s="1">
        <f>SUMIFS(
  '[1]Hoja 1'!$M:$M,
  '[1]Hoja 1'!$S:$S, $A16,
  '[1]Hoja 1'!$R:$R, "&gt;="&amp;INT($AG$1),
  '[1]Hoja 1'!$R:$R, "&lt;"&amp;INT($AH$1+1)
)</f>
        <v>0</v>
      </c>
      <c r="AF16" s="1">
        <f t="shared" si="15"/>
        <v>4</v>
      </c>
      <c r="AG16" s="9">
        <f t="shared" si="16"/>
        <v>0.16670898574084259</v>
      </c>
      <c r="AH16" s="10">
        <f t="shared" si="17"/>
        <v>8.419064757766435</v>
      </c>
      <c r="AI16" s="1">
        <f>SUMIFS(
  '[1]Hoja 1'!$M:$M,
  '[1]Hoja 1'!$S:$S, $A16,
  '[1]Hoja 1'!$R:$R, "&gt;="&amp;INT($AK$1),
  '[1]Hoja 1'!$R:$R, "&lt;"&amp;INT($AL$1+1)
)</f>
        <v>0</v>
      </c>
      <c r="AJ16" s="1">
        <f t="shared" si="18"/>
        <v>0</v>
      </c>
      <c r="AK16" s="9">
        <f t="shared" si="19"/>
        <v>-3.8332910142591574</v>
      </c>
      <c r="AL16" s="10">
        <f t="shared" si="20"/>
        <v>4.4190647577664359</v>
      </c>
      <c r="AM16" s="1">
        <f>SUMIFS(
  '[1]Hoja 1'!$M:$M,
  '[1]Hoja 1'!$S:$S, $A16,
  '[1]Hoja 1'!$R:$R, "&gt;="&amp;INT($AO$1),
  '[1]Hoja 1'!$R:$R, "&lt;"&amp;INT($AP$1+1)
)</f>
        <v>0</v>
      </c>
      <c r="AN16" s="1">
        <f t="shared" si="21"/>
        <v>0</v>
      </c>
      <c r="AO16" s="9">
        <f t="shared" si="22"/>
        <v>-3.6273240825710622</v>
      </c>
      <c r="AP16" s="10">
        <f t="shared" si="23"/>
        <v>4.1577878733768987</v>
      </c>
      <c r="AQ16" s="1">
        <f>SUMIFS(
  '[1]Hoja 1'!$M:$M,
  '[1]Hoja 1'!$S:$S, $A16,
  '[1]Hoja 1'!$R:$R, "&gt;="&amp;INT($AS$1),
  '[1]Hoja 1'!$R:$R, "&lt;"&amp;INT($AT$1+1)
)</f>
        <v>0</v>
      </c>
      <c r="AR16" s="1">
        <f t="shared" si="24"/>
        <v>0</v>
      </c>
      <c r="AS16" s="9">
        <f t="shared" si="25"/>
        <v>-3.0678852651297115</v>
      </c>
      <c r="AT16" s="10">
        <f t="shared" si="26"/>
        <v>3.4299999999999997</v>
      </c>
      <c r="AU16" s="1">
        <f>SUMIFS(
  '[1]Hoja 1'!$M:$M,
  '[1]Hoja 1'!$S:$S, $A16,
  '[1]Hoja 1'!$R:$R, "&gt;="&amp;INT($AW$1),
  '[1]Hoja 1'!$R:$R, "&lt;"&amp;INT($AX$1+1)
)</f>
        <v>0</v>
      </c>
      <c r="AV16" s="1">
        <f t="shared" si="27"/>
        <v>0</v>
      </c>
      <c r="AW16" s="9">
        <f t="shared" si="28"/>
        <v>0</v>
      </c>
      <c r="AX16" s="10">
        <f t="shared" si="29"/>
        <v>0</v>
      </c>
      <c r="AY16" s="1">
        <f>SUMIFS(
  '[1]Hoja 1'!$M:$M,
  '[1]Hoja 1'!$S:$S, $A16,
  '[1]Hoja 1'!$R:$R, "&gt;="&amp;INT($BA$1),
  '[1]Hoja 1'!$R:$R, "&lt;"&amp;INT($BB$1+1)
)</f>
        <v>0</v>
      </c>
      <c r="AZ16" s="1">
        <f t="shared" si="30"/>
        <v>0</v>
      </c>
      <c r="BA16" s="9">
        <f t="shared" si="31"/>
        <v>0</v>
      </c>
      <c r="BB16" s="10">
        <f t="shared" si="32"/>
        <v>0</v>
      </c>
      <c r="BC16" s="1">
        <f>SUMIFS(
  '[1]Hoja 1'!$M:$M,
  '[1]Hoja 1'!$S:$S, $A16,
  '[1]Hoja 1'!$R:$R, "&gt;="&amp;INT($BE$1),
  '[1]Hoja 1'!$R:$R, "&lt;"&amp;INT($BF$1+1)
)</f>
        <v>0</v>
      </c>
      <c r="BD16" s="1">
        <f t="shared" si="33"/>
        <v>0</v>
      </c>
      <c r="BE16" s="9">
        <f t="shared" si="34"/>
        <v>0</v>
      </c>
      <c r="BF16" s="10">
        <f t="shared" si="35"/>
        <v>0</v>
      </c>
      <c r="BG16" s="1">
        <f>SUMIFS(
  '[1]Hoja 1'!$M:$M,
  '[1]Hoja 1'!$S:$S, $A16,
  '[1]Hoja 1'!$R:$R, "&gt;="&amp;INT($BI$1),
  '[1]Hoja 1'!$R:$R, "&lt;"&amp;INT($BJ$1+1)
)</f>
        <v>0</v>
      </c>
      <c r="BH16" s="1">
        <f t="shared" si="36"/>
        <v>0</v>
      </c>
      <c r="BI16" s="9">
        <f t="shared" si="37"/>
        <v>0</v>
      </c>
      <c r="BJ16" s="10">
        <f t="shared" si="38"/>
        <v>0</v>
      </c>
      <c r="BK16" s="1">
        <f>SUMIFS(
  '[1]Hoja 1'!$M:$M,
  '[1]Hoja 1'!$S:$S, $A16,
  '[1]Hoja 1'!$R:$R, "&gt;="&amp;INT($BM$1),
  '[1]Hoja 1'!$R:$R, "&lt;"&amp;INT($BN$1+1)
)</f>
        <v>0</v>
      </c>
      <c r="BL16" s="1">
        <f t="shared" si="39"/>
        <v>0</v>
      </c>
      <c r="BM16" s="9">
        <f t="shared" si="40"/>
        <v>0</v>
      </c>
      <c r="BN16" s="10">
        <f t="shared" si="41"/>
        <v>0</v>
      </c>
      <c r="BO16" s="1">
        <f>SUMIFS(
  '[1]Hoja 1'!$M:$M,
  '[1]Hoja 1'!$S:$S, $A16,
  '[1]Hoja 1'!$R:$R, "&gt;="&amp;INT($BQ$1),
  '[1]Hoja 1'!$R:$R, "&lt;"&amp;INT($BR$1+1)
)</f>
        <v>0</v>
      </c>
      <c r="BP16" s="1">
        <f t="shared" si="42"/>
        <v>0</v>
      </c>
      <c r="BQ16" s="9">
        <f t="shared" si="43"/>
        <v>0</v>
      </c>
      <c r="BR16" s="10">
        <f t="shared" si="44"/>
        <v>0</v>
      </c>
      <c r="BS16" s="1">
        <f>SUMIFS(
  '[1]Hoja 1'!$M:$M,
  '[1]Hoja 1'!$S:$S, $A16,
  '[1]Hoja 1'!$R:$R, "&gt;="&amp;INT($BU$1),
  '[1]Hoja 1'!$R:$R, "&lt;"&amp;INT($BV$1+1)
)</f>
        <v>0</v>
      </c>
      <c r="BT16" s="1">
        <f t="shared" si="45"/>
        <v>0</v>
      </c>
      <c r="BU16" s="9">
        <f t="shared" si="46"/>
        <v>0</v>
      </c>
      <c r="BV16" s="10">
        <f t="shared" si="47"/>
        <v>0</v>
      </c>
      <c r="BW16" s="1">
        <f>SUMIFS(
  '[1]Hoja 1'!$M:$M,
  '[1]Hoja 1'!$S:$S, $A16,
  '[1]Hoja 1'!$R:$R, "&gt;="&amp;INT($BY$1),
  '[1]Hoja 1'!$R:$R, "&lt;"&amp;INT($BZ$1+1)
)</f>
        <v>0</v>
      </c>
      <c r="BX16" s="1">
        <f t="shared" si="48"/>
        <v>0</v>
      </c>
      <c r="BY16" s="9">
        <f t="shared" si="49"/>
        <v>0</v>
      </c>
      <c r="BZ16" s="10">
        <f t="shared" si="50"/>
        <v>0</v>
      </c>
      <c r="CA16" s="1">
        <f>SUMIFS(
  '[1]Hoja 1'!$M:$M,
  '[1]Hoja 1'!$S:$S, $A16,
  '[1]Hoja 1'!$R:$R, "&gt;="&amp;INT($CC$1),
  '[1]Hoja 1'!$R:$R, "&lt;"&amp;INT($CD$1+1)
)</f>
        <v>0</v>
      </c>
      <c r="CB16" s="1">
        <f t="shared" si="51"/>
        <v>0</v>
      </c>
      <c r="CC16" s="9">
        <f t="shared" si="52"/>
        <v>0</v>
      </c>
      <c r="CD16" s="10">
        <f t="shared" si="53"/>
        <v>0</v>
      </c>
      <c r="CE16" s="1">
        <f>SUMIFS(
  '[1]Hoja 1'!$M:$M,
  '[1]Hoja 1'!$S:$S, $A16,
  '[1]Hoja 1'!$R:$R, "&gt;="&amp;INT($CG$1),
  '[1]Hoja 1'!$R:$R, "&lt;"&amp;INT($CH$1+1)
)</f>
        <v>0</v>
      </c>
      <c r="CF16" s="1">
        <f t="shared" si="54"/>
        <v>0</v>
      </c>
      <c r="CG16" s="9">
        <f t="shared" si="55"/>
        <v>0</v>
      </c>
      <c r="CH16" s="10">
        <f t="shared" si="56"/>
        <v>0</v>
      </c>
      <c r="CI16" s="1">
        <f>SUMIFS(
  '[1]Hoja 1'!$M:$M,
  '[1]Hoja 1'!$S:$S, $A16,
  '[1]Hoja 1'!$R:$R, "&gt;="&amp;INT($CK$1),
  '[1]Hoja 1'!$R:$R, "&lt;"&amp;INT($CL$1+1)
)</f>
        <v>0</v>
      </c>
      <c r="CJ16" s="1">
        <f t="shared" si="57"/>
        <v>0</v>
      </c>
      <c r="CK16" s="9">
        <f t="shared" si="58"/>
        <v>0</v>
      </c>
      <c r="CL16" s="10">
        <f t="shared" si="59"/>
        <v>0</v>
      </c>
      <c r="CM16" s="1">
        <f>SUMIFS(
  '[1]Hoja 1'!$M:$M,
  '[1]Hoja 1'!$S:$S, $A16,
  '[1]Hoja 1'!$R:$R, "&gt;="&amp;INT($CO$1),
  '[1]Hoja 1'!$R:$R, "&lt;"&amp;INT($CP$1+1)
)</f>
        <v>0</v>
      </c>
      <c r="CN16" s="1">
        <f t="shared" si="60"/>
        <v>0</v>
      </c>
      <c r="CO16" s="9">
        <f t="shared" si="61"/>
        <v>0</v>
      </c>
      <c r="CP16" s="10">
        <f t="shared" si="62"/>
        <v>0</v>
      </c>
      <c r="CQ16" s="1">
        <f>SUMIFS(
  '[1]Hoja 1'!$M:$M,
  '[1]Hoja 1'!$S:$S, $A16,
  '[1]Hoja 1'!$R:$R, "&gt;="&amp;INT($CS$1),
  '[1]Hoja 1'!$R:$R, "&lt;"&amp;INT($CT$1+1)
)</f>
        <v>0</v>
      </c>
      <c r="CR16" s="1">
        <f t="shared" si="63"/>
        <v>0</v>
      </c>
      <c r="CS16" s="9">
        <f t="shared" si="64"/>
        <v>0</v>
      </c>
      <c r="CT16" s="10">
        <f t="shared" si="65"/>
        <v>0</v>
      </c>
      <c r="CU16" s="1">
        <f>SUMIFS(
  '[1]Hoja 1'!$M:$M,
  '[1]Hoja 1'!$S:$S, $A16,
  '[1]Hoja 1'!$R:$R, "&gt;="&amp;INT($CW$1),
  '[1]Hoja 1'!$R:$R, "&lt;"&amp;INT($CX$1+1)
)</f>
        <v>0</v>
      </c>
      <c r="CV16" s="1">
        <f t="shared" si="66"/>
        <v>0</v>
      </c>
      <c r="CW16" s="9">
        <f t="shared" si="67"/>
        <v>0</v>
      </c>
      <c r="CX16" s="10">
        <f t="shared" si="68"/>
        <v>0</v>
      </c>
      <c r="CY16" s="1">
        <f>SUMIFS(
  '[1]Hoja 1'!$M:$M,
  '[1]Hoja 1'!$S:$S, $A16,
  '[1]Hoja 1'!$R:$R, "&gt;="&amp;INT($DA$1),
  '[1]Hoja 1'!$R:$R, "&lt;"&amp;INT($DB$1+1)
)</f>
        <v>0</v>
      </c>
      <c r="CZ16" s="1">
        <f t="shared" si="69"/>
        <v>0</v>
      </c>
      <c r="DA16" s="9">
        <f t="shared" si="70"/>
        <v>0</v>
      </c>
      <c r="DB16" s="10">
        <f t="shared" si="71"/>
        <v>0</v>
      </c>
      <c r="DC16" s="1">
        <f>SUMIFS(
  '[1]Hoja 1'!$M:$M,
  '[1]Hoja 1'!$S:$S, $A16,
  '[1]Hoja 1'!$R:$R, "&gt;="&amp;INT($DE$1),
  '[1]Hoja 1'!$R:$R, "&lt;"&amp;INT($DF$1+1)
)</f>
        <v>0</v>
      </c>
      <c r="DD16" s="1">
        <f t="shared" si="72"/>
        <v>0</v>
      </c>
      <c r="DE16" s="9">
        <f t="shared" si="73"/>
        <v>0</v>
      </c>
      <c r="DF16" s="10">
        <f t="shared" si="74"/>
        <v>0</v>
      </c>
      <c r="DG16" s="1">
        <f>SUMIFS(
  '[1]Hoja 1'!$M:$M,
  '[1]Hoja 1'!$S:$S, $A16,
  '[1]Hoja 1'!$R:$R, "&gt;="&amp;INT($DI$1),
  '[1]Hoja 1'!$R:$R, "&lt;"&amp;INT($DJ$1+1)
)</f>
        <v>0</v>
      </c>
      <c r="DH16" s="1">
        <f t="shared" si="75"/>
        <v>0</v>
      </c>
      <c r="DI16" s="9">
        <f t="shared" si="76"/>
        <v>0</v>
      </c>
      <c r="DJ16" s="10">
        <f t="shared" si="77"/>
        <v>0</v>
      </c>
      <c r="DK16" s="1">
        <f>SUMIFS(
  '[1]Hoja 1'!$M:$M,
  '[1]Hoja 1'!$S:$S, $A16,
  '[1]Hoja 1'!$R:$R, "&gt;="&amp;INT($DM$1),
  '[1]Hoja 1'!$R:$R, "&lt;"&amp;INT($DN$1+1)
)</f>
        <v>0</v>
      </c>
      <c r="DL16" s="1">
        <f t="shared" si="78"/>
        <v>0</v>
      </c>
      <c r="DM16" s="9">
        <f t="shared" si="79"/>
        <v>0</v>
      </c>
      <c r="DN16" s="10">
        <f t="shared" si="80"/>
        <v>0</v>
      </c>
      <c r="DO16" s="1">
        <f>SUMIFS(
  '[1]Hoja 1'!$M:$M,
  '[1]Hoja 1'!$S:$S, $A16,
  '[1]Hoja 1'!$R:$R, "&gt;="&amp;INT($DQ$1),
  '[1]Hoja 1'!$R:$R, "&lt;"&amp;INT($DR$1+1)
)</f>
        <v>0</v>
      </c>
      <c r="DP16" s="1">
        <f t="shared" si="81"/>
        <v>0</v>
      </c>
      <c r="DQ16" s="9">
        <f t="shared" si="82"/>
        <v>0</v>
      </c>
      <c r="DR16" s="10">
        <f t="shared" si="83"/>
        <v>0</v>
      </c>
    </row>
    <row r="17" spans="1:122" x14ac:dyDescent="0.25">
      <c r="A17" s="5">
        <v>201028</v>
      </c>
      <c r="B17" s="6" t="s">
        <v>21</v>
      </c>
      <c r="C17" s="1">
        <f>SUMIFS(
  '[1]Hoja 1'!$M:$M,
  '[1]Hoja 1'!$S:$S, $A17,
  '[1]Hoja 1'!$R:$R, "&gt;="&amp;INT($E$1),
  '[1]Hoja 1'!$R:$R, "&lt;"&amp;INT($F$1+1)
)</f>
        <v>0</v>
      </c>
      <c r="D17" s="1" t="str">
        <f>""</f>
        <v/>
      </c>
      <c r="F17" s="2"/>
      <c r="G17" s="1">
        <f>SUMIFS(
  '[1]Hoja 1'!$M:$M,
  '[1]Hoja 1'!$S:$S, $A17,
  '[1]Hoja 1'!$R:$R, "&gt;="&amp;INT($I$1),
  '[1]Hoja 1'!$R:$R, "&lt;"&amp;INT($J$1+1)
)</f>
        <v>4</v>
      </c>
      <c r="H17" s="1">
        <f t="shared" si="84"/>
        <v>2</v>
      </c>
      <c r="I17" s="1"/>
      <c r="J17" s="2"/>
      <c r="K17" s="1">
        <f>SUMIFS(
  '[1]Hoja 1'!$M:$M,
  '[1]Hoja 1'!$S:$S, $A17,
  '[1]Hoja 1'!$R:$R, "&gt;="&amp;INT($M$1),
  '[1]Hoja 1'!$R:$R, "&lt;"&amp;INT($N$1+1)
)</f>
        <v>0</v>
      </c>
      <c r="L17" s="1">
        <f t="shared" si="0"/>
        <v>2</v>
      </c>
      <c r="M17" s="9">
        <f t="shared" si="1"/>
        <v>-3.5437171645025325</v>
      </c>
      <c r="N17" s="10">
        <f t="shared" si="2"/>
        <v>7.5437171645025325</v>
      </c>
      <c r="O17" s="1">
        <f>SUMIFS(
  '[1]Hoja 1'!$M:$M,
  '[1]Hoja 1'!$S:$S, $A17,
  '[1]Hoja 1'!$R:$R, "&gt;="&amp;INT($Q$1),
  '[1]Hoja 1'!$R:$R, "&lt;"&amp;INT($R$1+1)
)</f>
        <v>0</v>
      </c>
      <c r="P17" s="1">
        <f t="shared" si="3"/>
        <v>0</v>
      </c>
      <c r="Q17" s="9">
        <f t="shared" si="4"/>
        <v>-1.92</v>
      </c>
      <c r="R17" s="10">
        <f t="shared" si="5"/>
        <v>5.92</v>
      </c>
      <c r="S17" s="1">
        <f>SUMIFS(
  '[1]Hoja 1'!$M:$M,
  '[1]Hoja 1'!$S:$S, $A17,
  '[1]Hoja 1'!$R:$R, "&gt;="&amp;INT($U$1),
  '[1]Hoja 1'!$R:$R, "&lt;"&amp;INT($V$1+1)
)</f>
        <v>5</v>
      </c>
      <c r="T17" s="1">
        <f t="shared" si="6"/>
        <v>3</v>
      </c>
      <c r="U17" s="9">
        <f t="shared" si="7"/>
        <v>-1.0307278085560014</v>
      </c>
      <c r="V17" s="10">
        <f t="shared" si="8"/>
        <v>7.0307278085560014</v>
      </c>
      <c r="W17" s="1">
        <f>SUMIFS(
  '[1]Hoja 1'!$M:$M,
  '[1]Hoja 1'!$S:$S, $A17,
  '[1]Hoja 1'!$R:$R, "&gt;="&amp;INT($Y$1),
  '[1]Hoja 1'!$R:$R, "&lt;"&amp;INT($Z$1+1)
)</f>
        <v>3</v>
      </c>
      <c r="X17" s="1">
        <f t="shared" si="9"/>
        <v>4</v>
      </c>
      <c r="Y17" s="9">
        <f t="shared" si="10"/>
        <v>0.21503412608955408</v>
      </c>
      <c r="Z17" s="10">
        <f t="shared" si="11"/>
        <v>7.7849658739104459</v>
      </c>
      <c r="AA17" s="1">
        <f>SUMIFS(
  '[1]Hoja 1'!$M:$M,
  '[1]Hoja 1'!$S:$S, $A17,
  '[1]Hoja 1'!$R:$R, "&gt;="&amp;INT($AC$1),
  '[1]Hoja 1'!$R:$R, "&lt;"&amp;INT($AD$1+1)
)</f>
        <v>1</v>
      </c>
      <c r="AB17" s="1">
        <f t="shared" si="12"/>
        <v>2</v>
      </c>
      <c r="AC17" s="9">
        <f t="shared" si="13"/>
        <v>-0.80629292840216493</v>
      </c>
      <c r="AD17" s="10">
        <f t="shared" si="14"/>
        <v>5.2379571749278382</v>
      </c>
      <c r="AE17" s="1">
        <f>SUMIFS(
  '[1]Hoja 1'!$M:$M,
  '[1]Hoja 1'!$S:$S, $A17,
  '[1]Hoja 1'!$R:$R, "&gt;="&amp;INT($AG$1),
  '[1]Hoja 1'!$R:$R, "&lt;"&amp;INT($AH$1+1)
)</f>
        <v>0</v>
      </c>
      <c r="AF17" s="1">
        <f t="shared" si="15"/>
        <v>1</v>
      </c>
      <c r="AG17" s="9">
        <f t="shared" si="16"/>
        <v>-1.8571664284741973</v>
      </c>
      <c r="AH17" s="10">
        <f t="shared" si="17"/>
        <v>4.2991716131982791</v>
      </c>
      <c r="AI17" s="1">
        <f>SUMIFS(
  '[1]Hoja 1'!$M:$M,
  '[1]Hoja 1'!$S:$S, $A17,
  '[1]Hoja 1'!$R:$R, "&gt;="&amp;INT($AK$1),
  '[1]Hoja 1'!$R:$R, "&lt;"&amp;INT($AL$1+1)
)</f>
        <v>0</v>
      </c>
      <c r="AJ17" s="1">
        <f t="shared" si="18"/>
        <v>0</v>
      </c>
      <c r="AK17" s="9">
        <f t="shared" si="19"/>
        <v>-0.98</v>
      </c>
      <c r="AL17" s="10">
        <f t="shared" si="20"/>
        <v>0.93827856560121137</v>
      </c>
      <c r="AM17" s="1">
        <f>SUMIFS(
  '[1]Hoja 1'!$M:$M,
  '[1]Hoja 1'!$S:$S, $A17,
  '[1]Hoja 1'!$R:$R, "&gt;="&amp;INT($AO$1),
  '[1]Hoja 1'!$R:$R, "&lt;"&amp;INT($AP$1+1)
)</f>
        <v>0</v>
      </c>
      <c r="AN17" s="1">
        <f t="shared" si="21"/>
        <v>0</v>
      </c>
      <c r="AO17" s="9">
        <f t="shared" si="22"/>
        <v>-0.87653864717991747</v>
      </c>
      <c r="AP17" s="10">
        <f t="shared" si="23"/>
        <v>0.93827856560121137</v>
      </c>
      <c r="AQ17" s="1">
        <f>SUMIFS(
  '[1]Hoja 1'!$M:$M,
  '[1]Hoja 1'!$S:$S, $A17,
  '[1]Hoja 1'!$R:$R, "&gt;="&amp;INT($AS$1),
  '[1]Hoja 1'!$R:$R, "&lt;"&amp;INT($AT$1+1)
)</f>
        <v>0</v>
      </c>
      <c r="AR17" s="1">
        <f t="shared" si="24"/>
        <v>0</v>
      </c>
      <c r="AS17" s="9">
        <f t="shared" si="25"/>
        <v>-0.43826932358995874</v>
      </c>
      <c r="AT17" s="10">
        <f t="shared" si="26"/>
        <v>0.49</v>
      </c>
      <c r="AU17" s="1">
        <f>SUMIFS(
  '[1]Hoja 1'!$M:$M,
  '[1]Hoja 1'!$S:$S, $A17,
  '[1]Hoja 1'!$R:$R, "&gt;="&amp;INT($AW$1),
  '[1]Hoja 1'!$R:$R, "&lt;"&amp;INT($AX$1+1)
)</f>
        <v>0</v>
      </c>
      <c r="AV17" s="1">
        <f t="shared" si="27"/>
        <v>0</v>
      </c>
      <c r="AW17" s="9">
        <f t="shared" si="28"/>
        <v>0</v>
      </c>
      <c r="AX17" s="10">
        <f t="shared" si="29"/>
        <v>0</v>
      </c>
      <c r="AY17" s="1">
        <f>SUMIFS(
  '[1]Hoja 1'!$M:$M,
  '[1]Hoja 1'!$S:$S, $A17,
  '[1]Hoja 1'!$R:$R, "&gt;="&amp;INT($BA$1),
  '[1]Hoja 1'!$R:$R, "&lt;"&amp;INT($BB$1+1)
)</f>
        <v>0</v>
      </c>
      <c r="AZ17" s="1">
        <f t="shared" si="30"/>
        <v>0</v>
      </c>
      <c r="BA17" s="9">
        <f t="shared" si="31"/>
        <v>0</v>
      </c>
      <c r="BB17" s="10">
        <f t="shared" si="32"/>
        <v>0</v>
      </c>
      <c r="BC17" s="1">
        <f>SUMIFS(
  '[1]Hoja 1'!$M:$M,
  '[1]Hoja 1'!$S:$S, $A17,
  '[1]Hoja 1'!$R:$R, "&gt;="&amp;INT($BE$1),
  '[1]Hoja 1'!$R:$R, "&lt;"&amp;INT($BF$1+1)
)</f>
        <v>0</v>
      </c>
      <c r="BD17" s="1">
        <f t="shared" si="33"/>
        <v>0</v>
      </c>
      <c r="BE17" s="9">
        <f t="shared" si="34"/>
        <v>0</v>
      </c>
      <c r="BF17" s="10">
        <f t="shared" si="35"/>
        <v>0</v>
      </c>
      <c r="BG17" s="1">
        <f>SUMIFS(
  '[1]Hoja 1'!$M:$M,
  '[1]Hoja 1'!$S:$S, $A17,
  '[1]Hoja 1'!$R:$R, "&gt;="&amp;INT($BI$1),
  '[1]Hoja 1'!$R:$R, "&lt;"&amp;INT($BJ$1+1)
)</f>
        <v>0</v>
      </c>
      <c r="BH17" s="1">
        <f t="shared" si="36"/>
        <v>0</v>
      </c>
      <c r="BI17" s="9">
        <f t="shared" si="37"/>
        <v>0</v>
      </c>
      <c r="BJ17" s="10">
        <f t="shared" si="38"/>
        <v>0</v>
      </c>
      <c r="BK17" s="1">
        <f>SUMIFS(
  '[1]Hoja 1'!$M:$M,
  '[1]Hoja 1'!$S:$S, $A17,
  '[1]Hoja 1'!$R:$R, "&gt;="&amp;INT($BM$1),
  '[1]Hoja 1'!$R:$R, "&lt;"&amp;INT($BN$1+1)
)</f>
        <v>0</v>
      </c>
      <c r="BL17" s="1">
        <f t="shared" si="39"/>
        <v>0</v>
      </c>
      <c r="BM17" s="9">
        <f t="shared" si="40"/>
        <v>0</v>
      </c>
      <c r="BN17" s="10">
        <f t="shared" si="41"/>
        <v>0</v>
      </c>
      <c r="BO17" s="1">
        <f>SUMIFS(
  '[1]Hoja 1'!$M:$M,
  '[1]Hoja 1'!$S:$S, $A17,
  '[1]Hoja 1'!$R:$R, "&gt;="&amp;INT($BQ$1),
  '[1]Hoja 1'!$R:$R, "&lt;"&amp;INT($BR$1+1)
)</f>
        <v>0</v>
      </c>
      <c r="BP17" s="1">
        <f t="shared" si="42"/>
        <v>0</v>
      </c>
      <c r="BQ17" s="9">
        <f t="shared" si="43"/>
        <v>0</v>
      </c>
      <c r="BR17" s="10">
        <f t="shared" si="44"/>
        <v>0</v>
      </c>
      <c r="BS17" s="1">
        <f>SUMIFS(
  '[1]Hoja 1'!$M:$M,
  '[1]Hoja 1'!$S:$S, $A17,
  '[1]Hoja 1'!$R:$R, "&gt;="&amp;INT($BU$1),
  '[1]Hoja 1'!$R:$R, "&lt;"&amp;INT($BV$1+1)
)</f>
        <v>0</v>
      </c>
      <c r="BT17" s="1">
        <f t="shared" si="45"/>
        <v>0</v>
      </c>
      <c r="BU17" s="9">
        <f t="shared" si="46"/>
        <v>0</v>
      </c>
      <c r="BV17" s="10">
        <f t="shared" si="47"/>
        <v>0</v>
      </c>
      <c r="BW17" s="1">
        <f>SUMIFS(
  '[1]Hoja 1'!$M:$M,
  '[1]Hoja 1'!$S:$S, $A17,
  '[1]Hoja 1'!$R:$R, "&gt;="&amp;INT($BY$1),
  '[1]Hoja 1'!$R:$R, "&lt;"&amp;INT($BZ$1+1)
)</f>
        <v>0</v>
      </c>
      <c r="BX17" s="1">
        <f t="shared" si="48"/>
        <v>0</v>
      </c>
      <c r="BY17" s="9">
        <f t="shared" si="49"/>
        <v>0</v>
      </c>
      <c r="BZ17" s="10">
        <f t="shared" si="50"/>
        <v>0</v>
      </c>
      <c r="CA17" s="1">
        <f>SUMIFS(
  '[1]Hoja 1'!$M:$M,
  '[1]Hoja 1'!$S:$S, $A17,
  '[1]Hoja 1'!$R:$R, "&gt;="&amp;INT($CC$1),
  '[1]Hoja 1'!$R:$R, "&lt;"&amp;INT($CD$1+1)
)</f>
        <v>0</v>
      </c>
      <c r="CB17" s="1">
        <f t="shared" si="51"/>
        <v>0</v>
      </c>
      <c r="CC17" s="9">
        <f t="shared" si="52"/>
        <v>0</v>
      </c>
      <c r="CD17" s="10">
        <f t="shared" si="53"/>
        <v>0</v>
      </c>
      <c r="CE17" s="1">
        <f>SUMIFS(
  '[1]Hoja 1'!$M:$M,
  '[1]Hoja 1'!$S:$S, $A17,
  '[1]Hoja 1'!$R:$R, "&gt;="&amp;INT($CG$1),
  '[1]Hoja 1'!$R:$R, "&lt;"&amp;INT($CH$1+1)
)</f>
        <v>0</v>
      </c>
      <c r="CF17" s="1">
        <f t="shared" si="54"/>
        <v>0</v>
      </c>
      <c r="CG17" s="9">
        <f t="shared" si="55"/>
        <v>0</v>
      </c>
      <c r="CH17" s="10">
        <f t="shared" si="56"/>
        <v>0</v>
      </c>
      <c r="CI17" s="1">
        <f>SUMIFS(
  '[1]Hoja 1'!$M:$M,
  '[1]Hoja 1'!$S:$S, $A17,
  '[1]Hoja 1'!$R:$R, "&gt;="&amp;INT($CK$1),
  '[1]Hoja 1'!$R:$R, "&lt;"&amp;INT($CL$1+1)
)</f>
        <v>0</v>
      </c>
      <c r="CJ17" s="1">
        <f t="shared" si="57"/>
        <v>0</v>
      </c>
      <c r="CK17" s="9">
        <f t="shared" si="58"/>
        <v>0</v>
      </c>
      <c r="CL17" s="10">
        <f t="shared" si="59"/>
        <v>0</v>
      </c>
      <c r="CM17" s="1">
        <f>SUMIFS(
  '[1]Hoja 1'!$M:$M,
  '[1]Hoja 1'!$S:$S, $A17,
  '[1]Hoja 1'!$R:$R, "&gt;="&amp;INT($CO$1),
  '[1]Hoja 1'!$R:$R, "&lt;"&amp;INT($CP$1+1)
)</f>
        <v>0</v>
      </c>
      <c r="CN17" s="1">
        <f t="shared" si="60"/>
        <v>0</v>
      </c>
      <c r="CO17" s="9">
        <f t="shared" si="61"/>
        <v>0</v>
      </c>
      <c r="CP17" s="10">
        <f t="shared" si="62"/>
        <v>0</v>
      </c>
      <c r="CQ17" s="1">
        <f>SUMIFS(
  '[1]Hoja 1'!$M:$M,
  '[1]Hoja 1'!$S:$S, $A17,
  '[1]Hoja 1'!$R:$R, "&gt;="&amp;INT($CS$1),
  '[1]Hoja 1'!$R:$R, "&lt;"&amp;INT($CT$1+1)
)</f>
        <v>0</v>
      </c>
      <c r="CR17" s="1">
        <f t="shared" si="63"/>
        <v>0</v>
      </c>
      <c r="CS17" s="9">
        <f t="shared" si="64"/>
        <v>0</v>
      </c>
      <c r="CT17" s="10">
        <f t="shared" si="65"/>
        <v>0</v>
      </c>
      <c r="CU17" s="1">
        <f>SUMIFS(
  '[1]Hoja 1'!$M:$M,
  '[1]Hoja 1'!$S:$S, $A17,
  '[1]Hoja 1'!$R:$R, "&gt;="&amp;INT($CW$1),
  '[1]Hoja 1'!$R:$R, "&lt;"&amp;INT($CX$1+1)
)</f>
        <v>0</v>
      </c>
      <c r="CV17" s="1">
        <f t="shared" si="66"/>
        <v>0</v>
      </c>
      <c r="CW17" s="9">
        <f t="shared" si="67"/>
        <v>0</v>
      </c>
      <c r="CX17" s="10">
        <f t="shared" si="68"/>
        <v>0</v>
      </c>
      <c r="CY17" s="1">
        <f>SUMIFS(
  '[1]Hoja 1'!$M:$M,
  '[1]Hoja 1'!$S:$S, $A17,
  '[1]Hoja 1'!$R:$R, "&gt;="&amp;INT($DA$1),
  '[1]Hoja 1'!$R:$R, "&lt;"&amp;INT($DB$1+1)
)</f>
        <v>0</v>
      </c>
      <c r="CZ17" s="1">
        <f t="shared" si="69"/>
        <v>0</v>
      </c>
      <c r="DA17" s="9">
        <f t="shared" si="70"/>
        <v>0</v>
      </c>
      <c r="DB17" s="10">
        <f t="shared" si="71"/>
        <v>0</v>
      </c>
      <c r="DC17" s="1">
        <f>SUMIFS(
  '[1]Hoja 1'!$M:$M,
  '[1]Hoja 1'!$S:$S, $A17,
  '[1]Hoja 1'!$R:$R, "&gt;="&amp;INT($DE$1),
  '[1]Hoja 1'!$R:$R, "&lt;"&amp;INT($DF$1+1)
)</f>
        <v>0</v>
      </c>
      <c r="DD17" s="1">
        <f t="shared" si="72"/>
        <v>0</v>
      </c>
      <c r="DE17" s="9">
        <f t="shared" si="73"/>
        <v>0</v>
      </c>
      <c r="DF17" s="10">
        <f t="shared" si="74"/>
        <v>0</v>
      </c>
      <c r="DG17" s="1">
        <f>SUMIFS(
  '[1]Hoja 1'!$M:$M,
  '[1]Hoja 1'!$S:$S, $A17,
  '[1]Hoja 1'!$R:$R, "&gt;="&amp;INT($DI$1),
  '[1]Hoja 1'!$R:$R, "&lt;"&amp;INT($DJ$1+1)
)</f>
        <v>0</v>
      </c>
      <c r="DH17" s="1">
        <f t="shared" si="75"/>
        <v>0</v>
      </c>
      <c r="DI17" s="9">
        <f t="shared" si="76"/>
        <v>0</v>
      </c>
      <c r="DJ17" s="10">
        <f t="shared" si="77"/>
        <v>0</v>
      </c>
      <c r="DK17" s="1">
        <f>SUMIFS(
  '[1]Hoja 1'!$M:$M,
  '[1]Hoja 1'!$S:$S, $A17,
  '[1]Hoja 1'!$R:$R, "&gt;="&amp;INT($DM$1),
  '[1]Hoja 1'!$R:$R, "&lt;"&amp;INT($DN$1+1)
)</f>
        <v>0</v>
      </c>
      <c r="DL17" s="1">
        <f t="shared" si="78"/>
        <v>0</v>
      </c>
      <c r="DM17" s="9">
        <f t="shared" si="79"/>
        <v>0</v>
      </c>
      <c r="DN17" s="10">
        <f t="shared" si="80"/>
        <v>0</v>
      </c>
      <c r="DO17" s="1">
        <f>SUMIFS(
  '[1]Hoja 1'!$M:$M,
  '[1]Hoja 1'!$S:$S, $A17,
  '[1]Hoja 1'!$R:$R, "&gt;="&amp;INT($DQ$1),
  '[1]Hoja 1'!$R:$R, "&lt;"&amp;INT($DR$1+1)
)</f>
        <v>0</v>
      </c>
      <c r="DP17" s="1">
        <f t="shared" si="81"/>
        <v>0</v>
      </c>
      <c r="DQ17" s="9">
        <f t="shared" si="82"/>
        <v>0</v>
      </c>
      <c r="DR17" s="10">
        <f t="shared" si="83"/>
        <v>0</v>
      </c>
    </row>
    <row r="18" spans="1:122" x14ac:dyDescent="0.25">
      <c r="A18" s="5">
        <v>202001</v>
      </c>
      <c r="B18" s="6" t="s">
        <v>22</v>
      </c>
      <c r="C18" s="1">
        <f>SUMIFS(
  '[1]Hoja 1'!$M:$M,
  '[1]Hoja 1'!$S:$S, $A18,
  '[1]Hoja 1'!$R:$R, "&gt;="&amp;INT($E$1),
  '[1]Hoja 1'!$R:$R, "&lt;"&amp;INT($F$1+1)
)</f>
        <v>0</v>
      </c>
      <c r="D18" s="1" t="str">
        <f>""</f>
        <v/>
      </c>
      <c r="F18" s="2"/>
      <c r="G18" s="1">
        <f>SUMIFS(
  '[1]Hoja 1'!$M:$M,
  '[1]Hoja 1'!$S:$S, $A18,
  '[1]Hoja 1'!$R:$R, "&gt;="&amp;INT($I$1),
  '[1]Hoja 1'!$R:$R, "&lt;"&amp;INT($J$1+1)
)</f>
        <v>2</v>
      </c>
      <c r="H18" s="1">
        <f t="shared" si="84"/>
        <v>1</v>
      </c>
      <c r="I18" s="1"/>
      <c r="J18" s="2"/>
      <c r="K18" s="1">
        <f>SUMIFS(
  '[1]Hoja 1'!$M:$M,
  '[1]Hoja 1'!$S:$S, $A18,
  '[1]Hoja 1'!$R:$R, "&gt;="&amp;INT($M$1),
  '[1]Hoja 1'!$R:$R, "&lt;"&amp;INT($N$1+1)
)</f>
        <v>0</v>
      </c>
      <c r="L18" s="1">
        <f t="shared" si="0"/>
        <v>1</v>
      </c>
      <c r="M18" s="9">
        <f t="shared" si="1"/>
        <v>-1.7718585822512662</v>
      </c>
      <c r="N18" s="10">
        <f t="shared" si="2"/>
        <v>3.7718585822512662</v>
      </c>
      <c r="O18" s="1">
        <f>SUMIFS(
  '[1]Hoja 1'!$M:$M,
  '[1]Hoja 1'!$S:$S, $A18,
  '[1]Hoja 1'!$R:$R, "&gt;="&amp;INT($Q$1),
  '[1]Hoja 1'!$R:$R, "&lt;"&amp;INT($R$1+1)
)</f>
        <v>0</v>
      </c>
      <c r="P18" s="1">
        <f t="shared" si="3"/>
        <v>0</v>
      </c>
      <c r="Q18" s="9">
        <f t="shared" si="4"/>
        <v>-0.96</v>
      </c>
      <c r="R18" s="10">
        <f t="shared" si="5"/>
        <v>2.96</v>
      </c>
      <c r="S18" s="1">
        <f>SUMIFS(
  '[1]Hoja 1'!$M:$M,
  '[1]Hoja 1'!$S:$S, $A18,
  '[1]Hoja 1'!$R:$R, "&gt;="&amp;INT($U$1),
  '[1]Hoja 1'!$R:$R, "&lt;"&amp;INT($V$1+1)
)</f>
        <v>4</v>
      </c>
      <c r="T18" s="1">
        <f t="shared" si="6"/>
        <v>2</v>
      </c>
      <c r="U18" s="9">
        <f t="shared" si="7"/>
        <v>-0.530349119522179</v>
      </c>
      <c r="V18" s="10">
        <f t="shared" si="8"/>
        <v>4.530349119522179</v>
      </c>
      <c r="W18" s="1">
        <f>SUMIFS(
  '[1]Hoja 1'!$M:$M,
  '[1]Hoja 1'!$S:$S, $A18,
  '[1]Hoja 1'!$R:$R, "&gt;="&amp;INT($Y$1),
  '[1]Hoja 1'!$R:$R, "&lt;"&amp;INT($Z$1+1)
)</f>
        <v>0</v>
      </c>
      <c r="X18" s="1">
        <f t="shared" si="9"/>
        <v>2</v>
      </c>
      <c r="Y18" s="9">
        <f t="shared" si="10"/>
        <v>-1.3473372502134686</v>
      </c>
      <c r="Z18" s="10">
        <f t="shared" si="11"/>
        <v>5.3473372502134691</v>
      </c>
      <c r="AA18" s="1">
        <f>SUMIFS(
  '[1]Hoja 1'!$M:$M,
  '[1]Hoja 1'!$S:$S, $A18,
  '[1]Hoja 1'!$R:$R, "&gt;="&amp;INT($AC$1),
  '[1]Hoja 1'!$R:$R, "&lt;"&amp;INT($AD$1+1)
)</f>
        <v>0</v>
      </c>
      <c r="AB18" s="1">
        <f t="shared" si="12"/>
        <v>0</v>
      </c>
      <c r="AC18" s="9">
        <f t="shared" si="13"/>
        <v>-2.7718585822512662</v>
      </c>
      <c r="AD18" s="10">
        <f t="shared" si="14"/>
        <v>3.2006665972366859</v>
      </c>
      <c r="AE18" s="1">
        <f>SUMIFS(
  '[1]Hoja 1'!$M:$M,
  '[1]Hoja 1'!$S:$S, $A18,
  '[1]Hoja 1'!$R:$R, "&gt;="&amp;INT($AG$1),
  '[1]Hoja 1'!$R:$R, "&lt;"&amp;INT($AH$1+1)
)</f>
        <v>0</v>
      </c>
      <c r="AF18" s="1">
        <f t="shared" si="15"/>
        <v>0</v>
      </c>
      <c r="AG18" s="9">
        <f t="shared" si="16"/>
        <v>-2.7718585822512662</v>
      </c>
      <c r="AH18" s="10">
        <f t="shared" si="17"/>
        <v>3.2006665972366859</v>
      </c>
      <c r="AI18" s="1">
        <f>SUMIFS(
  '[1]Hoja 1'!$M:$M,
  '[1]Hoja 1'!$S:$S, $A18,
  '[1]Hoja 1'!$R:$R, "&gt;="&amp;INT($AK$1),
  '[1]Hoja 1'!$R:$R, "&lt;"&amp;INT($AL$1+1)
)</f>
        <v>0</v>
      </c>
      <c r="AJ18" s="1">
        <f t="shared" si="18"/>
        <v>0</v>
      </c>
      <c r="AK18" s="9">
        <f t="shared" si="19"/>
        <v>-1.7530772943598349</v>
      </c>
      <c r="AL18" s="10">
        <f t="shared" si="20"/>
        <v>1.96</v>
      </c>
      <c r="AM18" s="1">
        <f>SUMIFS(
  '[1]Hoja 1'!$M:$M,
  '[1]Hoja 1'!$S:$S, $A18,
  '[1]Hoja 1'!$R:$R, "&gt;="&amp;INT($AO$1),
  '[1]Hoja 1'!$R:$R, "&lt;"&amp;INT($AP$1+1)
)</f>
        <v>0</v>
      </c>
      <c r="AN18" s="1">
        <f t="shared" si="21"/>
        <v>0</v>
      </c>
      <c r="AO18" s="9">
        <f t="shared" si="22"/>
        <v>0</v>
      </c>
      <c r="AP18" s="10">
        <f t="shared" si="23"/>
        <v>0</v>
      </c>
      <c r="AQ18" s="1">
        <f>SUMIFS(
  '[1]Hoja 1'!$M:$M,
  '[1]Hoja 1'!$S:$S, $A18,
  '[1]Hoja 1'!$R:$R, "&gt;="&amp;INT($AS$1),
  '[1]Hoja 1'!$R:$R, "&lt;"&amp;INT($AT$1+1)
)</f>
        <v>0</v>
      </c>
      <c r="AR18" s="1">
        <f t="shared" si="24"/>
        <v>0</v>
      </c>
      <c r="AS18" s="9">
        <f t="shared" si="25"/>
        <v>0</v>
      </c>
      <c r="AT18" s="10">
        <f t="shared" si="26"/>
        <v>0</v>
      </c>
      <c r="AU18" s="1">
        <f>SUMIFS(
  '[1]Hoja 1'!$M:$M,
  '[1]Hoja 1'!$S:$S, $A18,
  '[1]Hoja 1'!$R:$R, "&gt;="&amp;INT($AW$1),
  '[1]Hoja 1'!$R:$R, "&lt;"&amp;INT($AX$1+1)
)</f>
        <v>0</v>
      </c>
      <c r="AV18" s="1">
        <f t="shared" si="27"/>
        <v>0</v>
      </c>
      <c r="AW18" s="9">
        <f t="shared" si="28"/>
        <v>0</v>
      </c>
      <c r="AX18" s="10">
        <f t="shared" si="29"/>
        <v>0</v>
      </c>
      <c r="AY18" s="1">
        <f>SUMIFS(
  '[1]Hoja 1'!$M:$M,
  '[1]Hoja 1'!$S:$S, $A18,
  '[1]Hoja 1'!$R:$R, "&gt;="&amp;INT($BA$1),
  '[1]Hoja 1'!$R:$R, "&lt;"&amp;INT($BB$1+1)
)</f>
        <v>0</v>
      </c>
      <c r="AZ18" s="1">
        <f t="shared" si="30"/>
        <v>0</v>
      </c>
      <c r="BA18" s="9">
        <f t="shared" si="31"/>
        <v>0</v>
      </c>
      <c r="BB18" s="10">
        <f t="shared" si="32"/>
        <v>0</v>
      </c>
      <c r="BC18" s="1">
        <f>SUMIFS(
  '[1]Hoja 1'!$M:$M,
  '[1]Hoja 1'!$S:$S, $A18,
  '[1]Hoja 1'!$R:$R, "&gt;="&amp;INT($BE$1),
  '[1]Hoja 1'!$R:$R, "&lt;"&amp;INT($BF$1+1)
)</f>
        <v>0</v>
      </c>
      <c r="BD18" s="1">
        <f t="shared" si="33"/>
        <v>0</v>
      </c>
      <c r="BE18" s="9">
        <f t="shared" si="34"/>
        <v>0</v>
      </c>
      <c r="BF18" s="10">
        <f t="shared" si="35"/>
        <v>0</v>
      </c>
      <c r="BG18" s="1">
        <f>SUMIFS(
  '[1]Hoja 1'!$M:$M,
  '[1]Hoja 1'!$S:$S, $A18,
  '[1]Hoja 1'!$R:$R, "&gt;="&amp;INT($BI$1),
  '[1]Hoja 1'!$R:$R, "&lt;"&amp;INT($BJ$1+1)
)</f>
        <v>0</v>
      </c>
      <c r="BH18" s="1">
        <f t="shared" si="36"/>
        <v>0</v>
      </c>
      <c r="BI18" s="9">
        <f t="shared" si="37"/>
        <v>0</v>
      </c>
      <c r="BJ18" s="10">
        <f t="shared" si="38"/>
        <v>0</v>
      </c>
      <c r="BK18" s="1">
        <f>SUMIFS(
  '[1]Hoja 1'!$M:$M,
  '[1]Hoja 1'!$S:$S, $A18,
  '[1]Hoja 1'!$R:$R, "&gt;="&amp;INT($BM$1),
  '[1]Hoja 1'!$R:$R, "&lt;"&amp;INT($BN$1+1)
)</f>
        <v>0</v>
      </c>
      <c r="BL18" s="1">
        <f t="shared" si="39"/>
        <v>0</v>
      </c>
      <c r="BM18" s="9">
        <f t="shared" si="40"/>
        <v>0</v>
      </c>
      <c r="BN18" s="10">
        <f t="shared" si="41"/>
        <v>0</v>
      </c>
      <c r="BO18" s="1">
        <f>SUMIFS(
  '[1]Hoja 1'!$M:$M,
  '[1]Hoja 1'!$S:$S, $A18,
  '[1]Hoja 1'!$R:$R, "&gt;="&amp;INT($BQ$1),
  '[1]Hoja 1'!$R:$R, "&lt;"&amp;INT($BR$1+1)
)</f>
        <v>0</v>
      </c>
      <c r="BP18" s="1">
        <f t="shared" si="42"/>
        <v>0</v>
      </c>
      <c r="BQ18" s="9">
        <f t="shared" si="43"/>
        <v>0</v>
      </c>
      <c r="BR18" s="10">
        <f t="shared" si="44"/>
        <v>0</v>
      </c>
      <c r="BS18" s="1">
        <f>SUMIFS(
  '[1]Hoja 1'!$M:$M,
  '[1]Hoja 1'!$S:$S, $A18,
  '[1]Hoja 1'!$R:$R, "&gt;="&amp;INT($BU$1),
  '[1]Hoja 1'!$R:$R, "&lt;"&amp;INT($BV$1+1)
)</f>
        <v>0</v>
      </c>
      <c r="BT18" s="1">
        <f t="shared" si="45"/>
        <v>0</v>
      </c>
      <c r="BU18" s="9">
        <f t="shared" si="46"/>
        <v>0</v>
      </c>
      <c r="BV18" s="10">
        <f t="shared" si="47"/>
        <v>0</v>
      </c>
      <c r="BW18" s="1">
        <f>SUMIFS(
  '[1]Hoja 1'!$M:$M,
  '[1]Hoja 1'!$S:$S, $A18,
  '[1]Hoja 1'!$R:$R, "&gt;="&amp;INT($BY$1),
  '[1]Hoja 1'!$R:$R, "&lt;"&amp;INT($BZ$1+1)
)</f>
        <v>0</v>
      </c>
      <c r="BX18" s="1">
        <f t="shared" si="48"/>
        <v>0</v>
      </c>
      <c r="BY18" s="9">
        <f t="shared" si="49"/>
        <v>0</v>
      </c>
      <c r="BZ18" s="10">
        <f t="shared" si="50"/>
        <v>0</v>
      </c>
      <c r="CA18" s="1">
        <f>SUMIFS(
  '[1]Hoja 1'!$M:$M,
  '[1]Hoja 1'!$S:$S, $A18,
  '[1]Hoja 1'!$R:$R, "&gt;="&amp;INT($CC$1),
  '[1]Hoja 1'!$R:$R, "&lt;"&amp;INT($CD$1+1)
)</f>
        <v>0</v>
      </c>
      <c r="CB18" s="1">
        <f t="shared" si="51"/>
        <v>0</v>
      </c>
      <c r="CC18" s="9">
        <f t="shared" si="52"/>
        <v>0</v>
      </c>
      <c r="CD18" s="10">
        <f t="shared" si="53"/>
        <v>0</v>
      </c>
      <c r="CE18" s="1">
        <f>SUMIFS(
  '[1]Hoja 1'!$M:$M,
  '[1]Hoja 1'!$S:$S, $A18,
  '[1]Hoja 1'!$R:$R, "&gt;="&amp;INT($CG$1),
  '[1]Hoja 1'!$R:$R, "&lt;"&amp;INT($CH$1+1)
)</f>
        <v>0</v>
      </c>
      <c r="CF18" s="1">
        <f t="shared" si="54"/>
        <v>0</v>
      </c>
      <c r="CG18" s="9">
        <f t="shared" si="55"/>
        <v>0</v>
      </c>
      <c r="CH18" s="10">
        <f t="shared" si="56"/>
        <v>0</v>
      </c>
      <c r="CI18" s="1">
        <f>SUMIFS(
  '[1]Hoja 1'!$M:$M,
  '[1]Hoja 1'!$S:$S, $A18,
  '[1]Hoja 1'!$R:$R, "&gt;="&amp;INT($CK$1),
  '[1]Hoja 1'!$R:$R, "&lt;"&amp;INT($CL$1+1)
)</f>
        <v>0</v>
      </c>
      <c r="CJ18" s="1">
        <f t="shared" si="57"/>
        <v>0</v>
      </c>
      <c r="CK18" s="9">
        <f t="shared" si="58"/>
        <v>0</v>
      </c>
      <c r="CL18" s="10">
        <f t="shared" si="59"/>
        <v>0</v>
      </c>
      <c r="CM18" s="1">
        <f>SUMIFS(
  '[1]Hoja 1'!$M:$M,
  '[1]Hoja 1'!$S:$S, $A18,
  '[1]Hoja 1'!$R:$R, "&gt;="&amp;INT($CO$1),
  '[1]Hoja 1'!$R:$R, "&lt;"&amp;INT($CP$1+1)
)</f>
        <v>0</v>
      </c>
      <c r="CN18" s="1">
        <f t="shared" si="60"/>
        <v>0</v>
      </c>
      <c r="CO18" s="9">
        <f t="shared" si="61"/>
        <v>0</v>
      </c>
      <c r="CP18" s="10">
        <f t="shared" si="62"/>
        <v>0</v>
      </c>
      <c r="CQ18" s="1">
        <f>SUMIFS(
  '[1]Hoja 1'!$M:$M,
  '[1]Hoja 1'!$S:$S, $A18,
  '[1]Hoja 1'!$R:$R, "&gt;="&amp;INT($CS$1),
  '[1]Hoja 1'!$R:$R, "&lt;"&amp;INT($CT$1+1)
)</f>
        <v>0</v>
      </c>
      <c r="CR18" s="1">
        <f t="shared" si="63"/>
        <v>0</v>
      </c>
      <c r="CS18" s="9">
        <f t="shared" si="64"/>
        <v>0</v>
      </c>
      <c r="CT18" s="10">
        <f t="shared" si="65"/>
        <v>0</v>
      </c>
      <c r="CU18" s="1">
        <f>SUMIFS(
  '[1]Hoja 1'!$M:$M,
  '[1]Hoja 1'!$S:$S, $A18,
  '[1]Hoja 1'!$R:$R, "&gt;="&amp;INT($CW$1),
  '[1]Hoja 1'!$R:$R, "&lt;"&amp;INT($CX$1+1)
)</f>
        <v>0</v>
      </c>
      <c r="CV18" s="1">
        <f t="shared" si="66"/>
        <v>0</v>
      </c>
      <c r="CW18" s="9">
        <f t="shared" si="67"/>
        <v>0</v>
      </c>
      <c r="CX18" s="10">
        <f t="shared" si="68"/>
        <v>0</v>
      </c>
      <c r="CY18" s="1">
        <f>SUMIFS(
  '[1]Hoja 1'!$M:$M,
  '[1]Hoja 1'!$S:$S, $A18,
  '[1]Hoja 1'!$R:$R, "&gt;="&amp;INT($DA$1),
  '[1]Hoja 1'!$R:$R, "&lt;"&amp;INT($DB$1+1)
)</f>
        <v>0</v>
      </c>
      <c r="CZ18" s="1">
        <f t="shared" si="69"/>
        <v>0</v>
      </c>
      <c r="DA18" s="9">
        <f t="shared" si="70"/>
        <v>0</v>
      </c>
      <c r="DB18" s="10">
        <f t="shared" si="71"/>
        <v>0</v>
      </c>
      <c r="DC18" s="1">
        <f>SUMIFS(
  '[1]Hoja 1'!$M:$M,
  '[1]Hoja 1'!$S:$S, $A18,
  '[1]Hoja 1'!$R:$R, "&gt;="&amp;INT($DE$1),
  '[1]Hoja 1'!$R:$R, "&lt;"&amp;INT($DF$1+1)
)</f>
        <v>0</v>
      </c>
      <c r="DD18" s="1">
        <f t="shared" si="72"/>
        <v>0</v>
      </c>
      <c r="DE18" s="9">
        <f t="shared" si="73"/>
        <v>0</v>
      </c>
      <c r="DF18" s="10">
        <f t="shared" si="74"/>
        <v>0</v>
      </c>
      <c r="DG18" s="1">
        <f>SUMIFS(
  '[1]Hoja 1'!$M:$M,
  '[1]Hoja 1'!$S:$S, $A18,
  '[1]Hoja 1'!$R:$R, "&gt;="&amp;INT($DI$1),
  '[1]Hoja 1'!$R:$R, "&lt;"&amp;INT($DJ$1+1)
)</f>
        <v>0</v>
      </c>
      <c r="DH18" s="1">
        <f t="shared" si="75"/>
        <v>0</v>
      </c>
      <c r="DI18" s="9">
        <f t="shared" si="76"/>
        <v>0</v>
      </c>
      <c r="DJ18" s="10">
        <f t="shared" si="77"/>
        <v>0</v>
      </c>
      <c r="DK18" s="1">
        <f>SUMIFS(
  '[1]Hoja 1'!$M:$M,
  '[1]Hoja 1'!$S:$S, $A18,
  '[1]Hoja 1'!$R:$R, "&gt;="&amp;INT($DM$1),
  '[1]Hoja 1'!$R:$R, "&lt;"&amp;INT($DN$1+1)
)</f>
        <v>0</v>
      </c>
      <c r="DL18" s="1">
        <f t="shared" si="78"/>
        <v>0</v>
      </c>
      <c r="DM18" s="9">
        <f t="shared" si="79"/>
        <v>0</v>
      </c>
      <c r="DN18" s="10">
        <f t="shared" si="80"/>
        <v>0</v>
      </c>
      <c r="DO18" s="1">
        <f>SUMIFS(
  '[1]Hoja 1'!$M:$M,
  '[1]Hoja 1'!$S:$S, $A18,
  '[1]Hoja 1'!$R:$R, "&gt;="&amp;INT($DQ$1),
  '[1]Hoja 1'!$R:$R, "&lt;"&amp;INT($DR$1+1)
)</f>
        <v>0</v>
      </c>
      <c r="DP18" s="1">
        <f t="shared" si="81"/>
        <v>0</v>
      </c>
      <c r="DQ18" s="9">
        <f t="shared" si="82"/>
        <v>0</v>
      </c>
      <c r="DR18" s="10">
        <f t="shared" si="83"/>
        <v>0</v>
      </c>
    </row>
    <row r="19" spans="1:122" x14ac:dyDescent="0.25">
      <c r="A19" s="5">
        <v>202002</v>
      </c>
      <c r="B19" s="6" t="s">
        <v>23</v>
      </c>
      <c r="C19" s="1">
        <f>SUMIFS(
  '[1]Hoja 1'!$M:$M,
  '[1]Hoja 1'!$S:$S, $A19,
  '[1]Hoja 1'!$R:$R, "&gt;="&amp;INT($E$1),
  '[1]Hoja 1'!$R:$R, "&lt;"&amp;INT($F$1+1)
)</f>
        <v>0</v>
      </c>
      <c r="D19" s="1" t="str">
        <f>""</f>
        <v/>
      </c>
      <c r="F19" s="2"/>
      <c r="G19" s="1">
        <f>SUMIFS(
  '[1]Hoja 1'!$M:$M,
  '[1]Hoja 1'!$S:$S, $A19,
  '[1]Hoja 1'!$R:$R, "&gt;="&amp;INT($I$1),
  '[1]Hoja 1'!$R:$R, "&lt;"&amp;INT($J$1+1)
)</f>
        <v>0</v>
      </c>
      <c r="H19" s="1">
        <f t="shared" si="84"/>
        <v>0</v>
      </c>
      <c r="I19" s="1"/>
      <c r="J19" s="2"/>
      <c r="K19" s="1">
        <f>SUMIFS(
  '[1]Hoja 1'!$M:$M,
  '[1]Hoja 1'!$S:$S, $A19,
  '[1]Hoja 1'!$R:$R, "&gt;="&amp;INT($M$1),
  '[1]Hoja 1'!$R:$R, "&lt;"&amp;INT($N$1+1)
)</f>
        <v>0</v>
      </c>
      <c r="L19" s="1">
        <f t="shared" si="0"/>
        <v>0</v>
      </c>
      <c r="M19" s="9">
        <f t="shared" si="1"/>
        <v>0</v>
      </c>
      <c r="N19" s="10">
        <f t="shared" si="2"/>
        <v>0</v>
      </c>
      <c r="O19" s="1">
        <f>SUMIFS(
  '[1]Hoja 1'!$M:$M,
  '[1]Hoja 1'!$S:$S, $A19,
  '[1]Hoja 1'!$R:$R, "&gt;="&amp;INT($Q$1),
  '[1]Hoja 1'!$R:$R, "&lt;"&amp;INT($R$1+1)
)</f>
        <v>0</v>
      </c>
      <c r="P19" s="1">
        <f t="shared" si="3"/>
        <v>0</v>
      </c>
      <c r="Q19" s="9">
        <f t="shared" si="4"/>
        <v>0</v>
      </c>
      <c r="R19" s="10">
        <f t="shared" si="5"/>
        <v>0</v>
      </c>
      <c r="S19" s="1">
        <f>SUMIFS(
  '[1]Hoja 1'!$M:$M,
  '[1]Hoja 1'!$S:$S, $A19,
  '[1]Hoja 1'!$R:$R, "&gt;="&amp;INT($U$1),
  '[1]Hoja 1'!$R:$R, "&lt;"&amp;INT($V$1+1)
)</f>
        <v>0</v>
      </c>
      <c r="T19" s="1">
        <f t="shared" si="6"/>
        <v>0</v>
      </c>
      <c r="U19" s="9">
        <f t="shared" si="7"/>
        <v>0</v>
      </c>
      <c r="V19" s="10">
        <f t="shared" si="8"/>
        <v>0</v>
      </c>
      <c r="W19" s="1">
        <f>SUMIFS(
  '[1]Hoja 1'!$M:$M,
  '[1]Hoja 1'!$S:$S, $A19,
  '[1]Hoja 1'!$R:$R, "&gt;="&amp;INT($Y$1),
  '[1]Hoja 1'!$R:$R, "&lt;"&amp;INT($Z$1+1)
)</f>
        <v>0</v>
      </c>
      <c r="X19" s="1">
        <f t="shared" si="9"/>
        <v>0</v>
      </c>
      <c r="Y19" s="9">
        <f t="shared" si="10"/>
        <v>0</v>
      </c>
      <c r="Z19" s="10">
        <f t="shared" si="11"/>
        <v>0</v>
      </c>
      <c r="AA19" s="1">
        <f>SUMIFS(
  '[1]Hoja 1'!$M:$M,
  '[1]Hoja 1'!$S:$S, $A19,
  '[1]Hoja 1'!$R:$R, "&gt;="&amp;INT($AC$1),
  '[1]Hoja 1'!$R:$R, "&lt;"&amp;INT($AD$1+1)
)</f>
        <v>0</v>
      </c>
      <c r="AB19" s="1">
        <f t="shared" si="12"/>
        <v>0</v>
      </c>
      <c r="AC19" s="9">
        <f t="shared" si="13"/>
        <v>0</v>
      </c>
      <c r="AD19" s="10">
        <f t="shared" si="14"/>
        <v>0</v>
      </c>
      <c r="AE19" s="1">
        <f>SUMIFS(
  '[1]Hoja 1'!$M:$M,
  '[1]Hoja 1'!$S:$S, $A19,
  '[1]Hoja 1'!$R:$R, "&gt;="&amp;INT($AG$1),
  '[1]Hoja 1'!$R:$R, "&lt;"&amp;INT($AH$1+1)
)</f>
        <v>0</v>
      </c>
      <c r="AF19" s="1">
        <f t="shared" si="15"/>
        <v>0</v>
      </c>
      <c r="AG19" s="9">
        <f t="shared" si="16"/>
        <v>0</v>
      </c>
      <c r="AH19" s="10">
        <f t="shared" si="17"/>
        <v>0</v>
      </c>
      <c r="AI19" s="1">
        <f>SUMIFS(
  '[1]Hoja 1'!$M:$M,
  '[1]Hoja 1'!$S:$S, $A19,
  '[1]Hoja 1'!$R:$R, "&gt;="&amp;INT($AK$1),
  '[1]Hoja 1'!$R:$R, "&lt;"&amp;INT($AL$1+1)
)</f>
        <v>0</v>
      </c>
      <c r="AJ19" s="1">
        <f t="shared" si="18"/>
        <v>0</v>
      </c>
      <c r="AK19" s="9">
        <f t="shared" si="19"/>
        <v>0</v>
      </c>
      <c r="AL19" s="10">
        <f t="shared" si="20"/>
        <v>0</v>
      </c>
      <c r="AM19" s="1">
        <f>SUMIFS(
  '[1]Hoja 1'!$M:$M,
  '[1]Hoja 1'!$S:$S, $A19,
  '[1]Hoja 1'!$R:$R, "&gt;="&amp;INT($AO$1),
  '[1]Hoja 1'!$R:$R, "&lt;"&amp;INT($AP$1+1)
)</f>
        <v>0</v>
      </c>
      <c r="AN19" s="1">
        <f t="shared" si="21"/>
        <v>0</v>
      </c>
      <c r="AO19" s="9">
        <f t="shared" si="22"/>
        <v>0</v>
      </c>
      <c r="AP19" s="10">
        <f t="shared" si="23"/>
        <v>0</v>
      </c>
      <c r="AQ19" s="1">
        <f>SUMIFS(
  '[1]Hoja 1'!$M:$M,
  '[1]Hoja 1'!$S:$S, $A19,
  '[1]Hoja 1'!$R:$R, "&gt;="&amp;INT($AS$1),
  '[1]Hoja 1'!$R:$R, "&lt;"&amp;INT($AT$1+1)
)</f>
        <v>0</v>
      </c>
      <c r="AR19" s="1">
        <f t="shared" si="24"/>
        <v>0</v>
      </c>
      <c r="AS19" s="9">
        <f t="shared" si="25"/>
        <v>0</v>
      </c>
      <c r="AT19" s="10">
        <f t="shared" si="26"/>
        <v>0</v>
      </c>
      <c r="AU19" s="1">
        <f>SUMIFS(
  '[1]Hoja 1'!$M:$M,
  '[1]Hoja 1'!$S:$S, $A19,
  '[1]Hoja 1'!$R:$R, "&gt;="&amp;INT($AW$1),
  '[1]Hoja 1'!$R:$R, "&lt;"&amp;INT($AX$1+1)
)</f>
        <v>0</v>
      </c>
      <c r="AV19" s="1">
        <f t="shared" si="27"/>
        <v>0</v>
      </c>
      <c r="AW19" s="9">
        <f t="shared" si="28"/>
        <v>0</v>
      </c>
      <c r="AX19" s="10">
        <f t="shared" si="29"/>
        <v>0</v>
      </c>
      <c r="AY19" s="1">
        <f>SUMIFS(
  '[1]Hoja 1'!$M:$M,
  '[1]Hoja 1'!$S:$S, $A19,
  '[1]Hoja 1'!$R:$R, "&gt;="&amp;INT($BA$1),
  '[1]Hoja 1'!$R:$R, "&lt;"&amp;INT($BB$1+1)
)</f>
        <v>0</v>
      </c>
      <c r="AZ19" s="1">
        <f t="shared" si="30"/>
        <v>0</v>
      </c>
      <c r="BA19" s="9">
        <f t="shared" si="31"/>
        <v>0</v>
      </c>
      <c r="BB19" s="10">
        <f t="shared" si="32"/>
        <v>0</v>
      </c>
      <c r="BC19" s="1">
        <f>SUMIFS(
  '[1]Hoja 1'!$M:$M,
  '[1]Hoja 1'!$S:$S, $A19,
  '[1]Hoja 1'!$R:$R, "&gt;="&amp;INT($BE$1),
  '[1]Hoja 1'!$R:$R, "&lt;"&amp;INT($BF$1+1)
)</f>
        <v>0</v>
      </c>
      <c r="BD19" s="1">
        <f t="shared" si="33"/>
        <v>0</v>
      </c>
      <c r="BE19" s="9">
        <f t="shared" si="34"/>
        <v>0</v>
      </c>
      <c r="BF19" s="10">
        <f t="shared" si="35"/>
        <v>0</v>
      </c>
      <c r="BG19" s="1">
        <f>SUMIFS(
  '[1]Hoja 1'!$M:$M,
  '[1]Hoja 1'!$S:$S, $A19,
  '[1]Hoja 1'!$R:$R, "&gt;="&amp;INT($BI$1),
  '[1]Hoja 1'!$R:$R, "&lt;"&amp;INT($BJ$1+1)
)</f>
        <v>0</v>
      </c>
      <c r="BH19" s="1">
        <f t="shared" si="36"/>
        <v>0</v>
      </c>
      <c r="BI19" s="9">
        <f t="shared" si="37"/>
        <v>0</v>
      </c>
      <c r="BJ19" s="10">
        <f t="shared" si="38"/>
        <v>0</v>
      </c>
      <c r="BK19" s="1">
        <f>SUMIFS(
  '[1]Hoja 1'!$M:$M,
  '[1]Hoja 1'!$S:$S, $A19,
  '[1]Hoja 1'!$R:$R, "&gt;="&amp;INT($BM$1),
  '[1]Hoja 1'!$R:$R, "&lt;"&amp;INT($BN$1+1)
)</f>
        <v>0</v>
      </c>
      <c r="BL19" s="1">
        <f t="shared" si="39"/>
        <v>0</v>
      </c>
      <c r="BM19" s="9">
        <f t="shared" si="40"/>
        <v>0</v>
      </c>
      <c r="BN19" s="10">
        <f t="shared" si="41"/>
        <v>0</v>
      </c>
      <c r="BO19" s="1">
        <f>SUMIFS(
  '[1]Hoja 1'!$M:$M,
  '[1]Hoja 1'!$S:$S, $A19,
  '[1]Hoja 1'!$R:$R, "&gt;="&amp;INT($BQ$1),
  '[1]Hoja 1'!$R:$R, "&lt;"&amp;INT($BR$1+1)
)</f>
        <v>0</v>
      </c>
      <c r="BP19" s="1">
        <f t="shared" si="42"/>
        <v>0</v>
      </c>
      <c r="BQ19" s="9">
        <f t="shared" si="43"/>
        <v>0</v>
      </c>
      <c r="BR19" s="10">
        <f t="shared" si="44"/>
        <v>0</v>
      </c>
      <c r="BS19" s="1">
        <f>SUMIFS(
  '[1]Hoja 1'!$M:$M,
  '[1]Hoja 1'!$S:$S, $A19,
  '[1]Hoja 1'!$R:$R, "&gt;="&amp;INT($BU$1),
  '[1]Hoja 1'!$R:$R, "&lt;"&amp;INT($BV$1+1)
)</f>
        <v>0</v>
      </c>
      <c r="BT19" s="1">
        <f t="shared" si="45"/>
        <v>0</v>
      </c>
      <c r="BU19" s="9">
        <f t="shared" si="46"/>
        <v>0</v>
      </c>
      <c r="BV19" s="10">
        <f t="shared" si="47"/>
        <v>0</v>
      </c>
      <c r="BW19" s="1">
        <f>SUMIFS(
  '[1]Hoja 1'!$M:$M,
  '[1]Hoja 1'!$S:$S, $A19,
  '[1]Hoja 1'!$R:$R, "&gt;="&amp;INT($BY$1),
  '[1]Hoja 1'!$R:$R, "&lt;"&amp;INT($BZ$1+1)
)</f>
        <v>0</v>
      </c>
      <c r="BX19" s="1">
        <f t="shared" si="48"/>
        <v>0</v>
      </c>
      <c r="BY19" s="9">
        <f t="shared" si="49"/>
        <v>0</v>
      </c>
      <c r="BZ19" s="10">
        <f t="shared" si="50"/>
        <v>0</v>
      </c>
      <c r="CA19" s="1">
        <f>SUMIFS(
  '[1]Hoja 1'!$M:$M,
  '[1]Hoja 1'!$S:$S, $A19,
  '[1]Hoja 1'!$R:$R, "&gt;="&amp;INT($CC$1),
  '[1]Hoja 1'!$R:$R, "&lt;"&amp;INT($CD$1+1)
)</f>
        <v>0</v>
      </c>
      <c r="CB19" s="1">
        <f t="shared" si="51"/>
        <v>0</v>
      </c>
      <c r="CC19" s="9">
        <f t="shared" si="52"/>
        <v>0</v>
      </c>
      <c r="CD19" s="10">
        <f t="shared" si="53"/>
        <v>0</v>
      </c>
      <c r="CE19" s="1">
        <f>SUMIFS(
  '[1]Hoja 1'!$M:$M,
  '[1]Hoja 1'!$S:$S, $A19,
  '[1]Hoja 1'!$R:$R, "&gt;="&amp;INT($CG$1),
  '[1]Hoja 1'!$R:$R, "&lt;"&amp;INT($CH$1+1)
)</f>
        <v>0</v>
      </c>
      <c r="CF19" s="1">
        <f t="shared" si="54"/>
        <v>0</v>
      </c>
      <c r="CG19" s="9">
        <f t="shared" si="55"/>
        <v>0</v>
      </c>
      <c r="CH19" s="10">
        <f t="shared" si="56"/>
        <v>0</v>
      </c>
      <c r="CI19" s="1">
        <f>SUMIFS(
  '[1]Hoja 1'!$M:$M,
  '[1]Hoja 1'!$S:$S, $A19,
  '[1]Hoja 1'!$R:$R, "&gt;="&amp;INT($CK$1),
  '[1]Hoja 1'!$R:$R, "&lt;"&amp;INT($CL$1+1)
)</f>
        <v>0</v>
      </c>
      <c r="CJ19" s="1">
        <f t="shared" si="57"/>
        <v>0</v>
      </c>
      <c r="CK19" s="9">
        <f t="shared" si="58"/>
        <v>0</v>
      </c>
      <c r="CL19" s="10">
        <f t="shared" si="59"/>
        <v>0</v>
      </c>
      <c r="CM19" s="1">
        <f>SUMIFS(
  '[1]Hoja 1'!$M:$M,
  '[1]Hoja 1'!$S:$S, $A19,
  '[1]Hoja 1'!$R:$R, "&gt;="&amp;INT($CO$1),
  '[1]Hoja 1'!$R:$R, "&lt;"&amp;INT($CP$1+1)
)</f>
        <v>0</v>
      </c>
      <c r="CN19" s="1">
        <f t="shared" si="60"/>
        <v>0</v>
      </c>
      <c r="CO19" s="9">
        <f t="shared" si="61"/>
        <v>0</v>
      </c>
      <c r="CP19" s="10">
        <f t="shared" si="62"/>
        <v>0</v>
      </c>
      <c r="CQ19" s="1">
        <f>SUMIFS(
  '[1]Hoja 1'!$M:$M,
  '[1]Hoja 1'!$S:$S, $A19,
  '[1]Hoja 1'!$R:$R, "&gt;="&amp;INT($CS$1),
  '[1]Hoja 1'!$R:$R, "&lt;"&amp;INT($CT$1+1)
)</f>
        <v>0</v>
      </c>
      <c r="CR19" s="1">
        <f t="shared" si="63"/>
        <v>0</v>
      </c>
      <c r="CS19" s="9">
        <f t="shared" si="64"/>
        <v>0</v>
      </c>
      <c r="CT19" s="10">
        <f t="shared" si="65"/>
        <v>0</v>
      </c>
      <c r="CU19" s="1">
        <f>SUMIFS(
  '[1]Hoja 1'!$M:$M,
  '[1]Hoja 1'!$S:$S, $A19,
  '[1]Hoja 1'!$R:$R, "&gt;="&amp;INT($CW$1),
  '[1]Hoja 1'!$R:$R, "&lt;"&amp;INT($CX$1+1)
)</f>
        <v>0</v>
      </c>
      <c r="CV19" s="1">
        <f t="shared" si="66"/>
        <v>0</v>
      </c>
      <c r="CW19" s="9">
        <f t="shared" si="67"/>
        <v>0</v>
      </c>
      <c r="CX19" s="10">
        <f t="shared" si="68"/>
        <v>0</v>
      </c>
      <c r="CY19" s="1">
        <f>SUMIFS(
  '[1]Hoja 1'!$M:$M,
  '[1]Hoja 1'!$S:$S, $A19,
  '[1]Hoja 1'!$R:$R, "&gt;="&amp;INT($DA$1),
  '[1]Hoja 1'!$R:$R, "&lt;"&amp;INT($DB$1+1)
)</f>
        <v>0</v>
      </c>
      <c r="CZ19" s="1">
        <f t="shared" si="69"/>
        <v>0</v>
      </c>
      <c r="DA19" s="9">
        <f t="shared" si="70"/>
        <v>0</v>
      </c>
      <c r="DB19" s="10">
        <f t="shared" si="71"/>
        <v>0</v>
      </c>
      <c r="DC19" s="1">
        <f>SUMIFS(
  '[1]Hoja 1'!$M:$M,
  '[1]Hoja 1'!$S:$S, $A19,
  '[1]Hoja 1'!$R:$R, "&gt;="&amp;INT($DE$1),
  '[1]Hoja 1'!$R:$R, "&lt;"&amp;INT($DF$1+1)
)</f>
        <v>0</v>
      </c>
      <c r="DD19" s="1">
        <f t="shared" si="72"/>
        <v>0</v>
      </c>
      <c r="DE19" s="9">
        <f t="shared" si="73"/>
        <v>0</v>
      </c>
      <c r="DF19" s="10">
        <f t="shared" si="74"/>
        <v>0</v>
      </c>
      <c r="DG19" s="1">
        <f>SUMIFS(
  '[1]Hoja 1'!$M:$M,
  '[1]Hoja 1'!$S:$S, $A19,
  '[1]Hoja 1'!$R:$R, "&gt;="&amp;INT($DI$1),
  '[1]Hoja 1'!$R:$R, "&lt;"&amp;INT($DJ$1+1)
)</f>
        <v>0</v>
      </c>
      <c r="DH19" s="1">
        <f t="shared" si="75"/>
        <v>0</v>
      </c>
      <c r="DI19" s="9">
        <f t="shared" si="76"/>
        <v>0</v>
      </c>
      <c r="DJ19" s="10">
        <f t="shared" si="77"/>
        <v>0</v>
      </c>
      <c r="DK19" s="1">
        <f>SUMIFS(
  '[1]Hoja 1'!$M:$M,
  '[1]Hoja 1'!$S:$S, $A19,
  '[1]Hoja 1'!$R:$R, "&gt;="&amp;INT($DM$1),
  '[1]Hoja 1'!$R:$R, "&lt;"&amp;INT($DN$1+1)
)</f>
        <v>0</v>
      </c>
      <c r="DL19" s="1">
        <f t="shared" si="78"/>
        <v>0</v>
      </c>
      <c r="DM19" s="9">
        <f t="shared" si="79"/>
        <v>0</v>
      </c>
      <c r="DN19" s="10">
        <f t="shared" si="80"/>
        <v>0</v>
      </c>
      <c r="DO19" s="1">
        <f>SUMIFS(
  '[1]Hoja 1'!$M:$M,
  '[1]Hoja 1'!$S:$S, $A19,
  '[1]Hoja 1'!$R:$R, "&gt;="&amp;INT($DQ$1),
  '[1]Hoja 1'!$R:$R, "&lt;"&amp;INT($DR$1+1)
)</f>
        <v>0</v>
      </c>
      <c r="DP19" s="1">
        <f t="shared" si="81"/>
        <v>0</v>
      </c>
      <c r="DQ19" s="9">
        <f t="shared" si="82"/>
        <v>0</v>
      </c>
      <c r="DR19" s="10">
        <f t="shared" si="83"/>
        <v>0</v>
      </c>
    </row>
    <row r="20" spans="1:122" x14ac:dyDescent="0.25">
      <c r="A20" s="5">
        <v>202003</v>
      </c>
      <c r="B20" s="6" t="s">
        <v>24</v>
      </c>
      <c r="C20" s="1">
        <f>SUMIFS(
  '[1]Hoja 1'!$M:$M,
  '[1]Hoja 1'!$S:$S, $A20,
  '[1]Hoja 1'!$R:$R, "&gt;="&amp;INT($E$1),
  '[1]Hoja 1'!$R:$R, "&lt;"&amp;INT($F$1+1)
)</f>
        <v>0</v>
      </c>
      <c r="D20" s="1" t="str">
        <f>""</f>
        <v/>
      </c>
      <c r="F20" s="2"/>
      <c r="G20" s="1">
        <f>SUMIFS(
  '[1]Hoja 1'!$M:$M,
  '[1]Hoja 1'!$S:$S, $A20,
  '[1]Hoja 1'!$R:$R, "&gt;="&amp;INT($I$1),
  '[1]Hoja 1'!$R:$R, "&lt;"&amp;INT($J$1+1)
)</f>
        <v>0</v>
      </c>
      <c r="H20" s="1">
        <f t="shared" si="84"/>
        <v>0</v>
      </c>
      <c r="I20" s="1"/>
      <c r="J20" s="2"/>
      <c r="K20" s="1">
        <f>SUMIFS(
  '[1]Hoja 1'!$M:$M,
  '[1]Hoja 1'!$S:$S, $A20,
  '[1]Hoja 1'!$R:$R, "&gt;="&amp;INT($M$1),
  '[1]Hoja 1'!$R:$R, "&lt;"&amp;INT($N$1+1)
)</f>
        <v>0</v>
      </c>
      <c r="L20" s="1">
        <f t="shared" si="0"/>
        <v>0</v>
      </c>
      <c r="M20" s="9">
        <f t="shared" si="1"/>
        <v>0</v>
      </c>
      <c r="N20" s="10">
        <f t="shared" si="2"/>
        <v>0</v>
      </c>
      <c r="O20" s="1">
        <f>SUMIFS(
  '[1]Hoja 1'!$M:$M,
  '[1]Hoja 1'!$S:$S, $A20,
  '[1]Hoja 1'!$R:$R, "&gt;="&amp;INT($Q$1),
  '[1]Hoja 1'!$R:$R, "&lt;"&amp;INT($R$1+1)
)</f>
        <v>0</v>
      </c>
      <c r="P20" s="1">
        <f t="shared" si="3"/>
        <v>0</v>
      </c>
      <c r="Q20" s="9">
        <f t="shared" si="4"/>
        <v>0</v>
      </c>
      <c r="R20" s="10">
        <f t="shared" si="5"/>
        <v>0</v>
      </c>
      <c r="S20" s="1">
        <f>SUMIFS(
  '[1]Hoja 1'!$M:$M,
  '[1]Hoja 1'!$S:$S, $A20,
  '[1]Hoja 1'!$R:$R, "&gt;="&amp;INT($U$1),
  '[1]Hoja 1'!$R:$R, "&lt;"&amp;INT($V$1+1)
)</f>
        <v>0</v>
      </c>
      <c r="T20" s="1">
        <f t="shared" si="6"/>
        <v>0</v>
      </c>
      <c r="U20" s="9">
        <f t="shared" si="7"/>
        <v>0</v>
      </c>
      <c r="V20" s="10">
        <f t="shared" si="8"/>
        <v>0</v>
      </c>
      <c r="W20" s="1">
        <f>SUMIFS(
  '[1]Hoja 1'!$M:$M,
  '[1]Hoja 1'!$S:$S, $A20,
  '[1]Hoja 1'!$R:$R, "&gt;="&amp;INT($Y$1),
  '[1]Hoja 1'!$R:$R, "&lt;"&amp;INT($Z$1+1)
)</f>
        <v>0</v>
      </c>
      <c r="X20" s="1">
        <f t="shared" si="9"/>
        <v>0</v>
      </c>
      <c r="Y20" s="9">
        <f t="shared" si="10"/>
        <v>0</v>
      </c>
      <c r="Z20" s="10">
        <f t="shared" si="11"/>
        <v>0</v>
      </c>
      <c r="AA20" s="1">
        <f>SUMIFS(
  '[1]Hoja 1'!$M:$M,
  '[1]Hoja 1'!$S:$S, $A20,
  '[1]Hoja 1'!$R:$R, "&gt;="&amp;INT($AC$1),
  '[1]Hoja 1'!$R:$R, "&lt;"&amp;INT($AD$1+1)
)</f>
        <v>0</v>
      </c>
      <c r="AB20" s="1">
        <f t="shared" si="12"/>
        <v>0</v>
      </c>
      <c r="AC20" s="9">
        <f t="shared" si="13"/>
        <v>0</v>
      </c>
      <c r="AD20" s="10">
        <f t="shared" si="14"/>
        <v>0</v>
      </c>
      <c r="AE20" s="1">
        <f>SUMIFS(
  '[1]Hoja 1'!$M:$M,
  '[1]Hoja 1'!$S:$S, $A20,
  '[1]Hoja 1'!$R:$R, "&gt;="&amp;INT($AG$1),
  '[1]Hoja 1'!$R:$R, "&lt;"&amp;INT($AH$1+1)
)</f>
        <v>0</v>
      </c>
      <c r="AF20" s="1">
        <f t="shared" si="15"/>
        <v>0</v>
      </c>
      <c r="AG20" s="9">
        <f t="shared" si="16"/>
        <v>0</v>
      </c>
      <c r="AH20" s="10">
        <f t="shared" si="17"/>
        <v>0</v>
      </c>
      <c r="AI20" s="1">
        <f>SUMIFS(
  '[1]Hoja 1'!$M:$M,
  '[1]Hoja 1'!$S:$S, $A20,
  '[1]Hoja 1'!$R:$R, "&gt;="&amp;INT($AK$1),
  '[1]Hoja 1'!$R:$R, "&lt;"&amp;INT($AL$1+1)
)</f>
        <v>0</v>
      </c>
      <c r="AJ20" s="1">
        <f t="shared" si="18"/>
        <v>0</v>
      </c>
      <c r="AK20" s="9">
        <f t="shared" si="19"/>
        <v>0</v>
      </c>
      <c r="AL20" s="10">
        <f t="shared" si="20"/>
        <v>0</v>
      </c>
      <c r="AM20" s="1">
        <f>SUMIFS(
  '[1]Hoja 1'!$M:$M,
  '[1]Hoja 1'!$S:$S, $A20,
  '[1]Hoja 1'!$R:$R, "&gt;="&amp;INT($AO$1),
  '[1]Hoja 1'!$R:$R, "&lt;"&amp;INT($AP$1+1)
)</f>
        <v>0</v>
      </c>
      <c r="AN20" s="1">
        <f t="shared" si="21"/>
        <v>0</v>
      </c>
      <c r="AO20" s="9">
        <f t="shared" si="22"/>
        <v>0</v>
      </c>
      <c r="AP20" s="10">
        <f t="shared" si="23"/>
        <v>0</v>
      </c>
      <c r="AQ20" s="1">
        <f>SUMIFS(
  '[1]Hoja 1'!$M:$M,
  '[1]Hoja 1'!$S:$S, $A20,
  '[1]Hoja 1'!$R:$R, "&gt;="&amp;INT($AS$1),
  '[1]Hoja 1'!$R:$R, "&lt;"&amp;INT($AT$1+1)
)</f>
        <v>0</v>
      </c>
      <c r="AR20" s="1">
        <f t="shared" si="24"/>
        <v>0</v>
      </c>
      <c r="AS20" s="9">
        <f t="shared" si="25"/>
        <v>0</v>
      </c>
      <c r="AT20" s="10">
        <f t="shared" si="26"/>
        <v>0</v>
      </c>
      <c r="AU20" s="1">
        <f>SUMIFS(
  '[1]Hoja 1'!$M:$M,
  '[1]Hoja 1'!$S:$S, $A20,
  '[1]Hoja 1'!$R:$R, "&gt;="&amp;INT($AW$1),
  '[1]Hoja 1'!$R:$R, "&lt;"&amp;INT($AX$1+1)
)</f>
        <v>0</v>
      </c>
      <c r="AV20" s="1">
        <f t="shared" si="27"/>
        <v>0</v>
      </c>
      <c r="AW20" s="9">
        <f t="shared" si="28"/>
        <v>0</v>
      </c>
      <c r="AX20" s="10">
        <f t="shared" si="29"/>
        <v>0</v>
      </c>
      <c r="AY20" s="1">
        <f>SUMIFS(
  '[1]Hoja 1'!$M:$M,
  '[1]Hoja 1'!$S:$S, $A20,
  '[1]Hoja 1'!$R:$R, "&gt;="&amp;INT($BA$1),
  '[1]Hoja 1'!$R:$R, "&lt;"&amp;INT($BB$1+1)
)</f>
        <v>0</v>
      </c>
      <c r="AZ20" s="1">
        <f t="shared" si="30"/>
        <v>0</v>
      </c>
      <c r="BA20" s="9">
        <f t="shared" si="31"/>
        <v>0</v>
      </c>
      <c r="BB20" s="10">
        <f t="shared" si="32"/>
        <v>0</v>
      </c>
      <c r="BC20" s="1">
        <f>SUMIFS(
  '[1]Hoja 1'!$M:$M,
  '[1]Hoja 1'!$S:$S, $A20,
  '[1]Hoja 1'!$R:$R, "&gt;="&amp;INT($BE$1),
  '[1]Hoja 1'!$R:$R, "&lt;"&amp;INT($BF$1+1)
)</f>
        <v>0</v>
      </c>
      <c r="BD20" s="1">
        <f t="shared" si="33"/>
        <v>0</v>
      </c>
      <c r="BE20" s="9">
        <f t="shared" si="34"/>
        <v>0</v>
      </c>
      <c r="BF20" s="10">
        <f t="shared" si="35"/>
        <v>0</v>
      </c>
      <c r="BG20" s="1">
        <f>SUMIFS(
  '[1]Hoja 1'!$M:$M,
  '[1]Hoja 1'!$S:$S, $A20,
  '[1]Hoja 1'!$R:$R, "&gt;="&amp;INT($BI$1),
  '[1]Hoja 1'!$R:$R, "&lt;"&amp;INT($BJ$1+1)
)</f>
        <v>0</v>
      </c>
      <c r="BH20" s="1">
        <f t="shared" si="36"/>
        <v>0</v>
      </c>
      <c r="BI20" s="9">
        <f t="shared" si="37"/>
        <v>0</v>
      </c>
      <c r="BJ20" s="10">
        <f t="shared" si="38"/>
        <v>0</v>
      </c>
      <c r="BK20" s="1">
        <f>SUMIFS(
  '[1]Hoja 1'!$M:$M,
  '[1]Hoja 1'!$S:$S, $A20,
  '[1]Hoja 1'!$R:$R, "&gt;="&amp;INT($BM$1),
  '[1]Hoja 1'!$R:$R, "&lt;"&amp;INT($BN$1+1)
)</f>
        <v>0</v>
      </c>
      <c r="BL20" s="1">
        <f t="shared" si="39"/>
        <v>0</v>
      </c>
      <c r="BM20" s="9">
        <f t="shared" si="40"/>
        <v>0</v>
      </c>
      <c r="BN20" s="10">
        <f t="shared" si="41"/>
        <v>0</v>
      </c>
      <c r="BO20" s="1">
        <f>SUMIFS(
  '[1]Hoja 1'!$M:$M,
  '[1]Hoja 1'!$S:$S, $A20,
  '[1]Hoja 1'!$R:$R, "&gt;="&amp;INT($BQ$1),
  '[1]Hoja 1'!$R:$R, "&lt;"&amp;INT($BR$1+1)
)</f>
        <v>0</v>
      </c>
      <c r="BP20" s="1">
        <f t="shared" si="42"/>
        <v>0</v>
      </c>
      <c r="BQ20" s="9">
        <f t="shared" si="43"/>
        <v>0</v>
      </c>
      <c r="BR20" s="10">
        <f t="shared" si="44"/>
        <v>0</v>
      </c>
      <c r="BS20" s="1">
        <f>SUMIFS(
  '[1]Hoja 1'!$M:$M,
  '[1]Hoja 1'!$S:$S, $A20,
  '[1]Hoja 1'!$R:$R, "&gt;="&amp;INT($BU$1),
  '[1]Hoja 1'!$R:$R, "&lt;"&amp;INT($BV$1+1)
)</f>
        <v>0</v>
      </c>
      <c r="BT20" s="1">
        <f t="shared" si="45"/>
        <v>0</v>
      </c>
      <c r="BU20" s="9">
        <f t="shared" si="46"/>
        <v>0</v>
      </c>
      <c r="BV20" s="10">
        <f t="shared" si="47"/>
        <v>0</v>
      </c>
      <c r="BW20" s="1">
        <f>SUMIFS(
  '[1]Hoja 1'!$M:$M,
  '[1]Hoja 1'!$S:$S, $A20,
  '[1]Hoja 1'!$R:$R, "&gt;="&amp;INT($BY$1),
  '[1]Hoja 1'!$R:$R, "&lt;"&amp;INT($BZ$1+1)
)</f>
        <v>0</v>
      </c>
      <c r="BX20" s="1">
        <f t="shared" si="48"/>
        <v>0</v>
      </c>
      <c r="BY20" s="9">
        <f t="shared" si="49"/>
        <v>0</v>
      </c>
      <c r="BZ20" s="10">
        <f t="shared" si="50"/>
        <v>0</v>
      </c>
      <c r="CA20" s="1">
        <f>SUMIFS(
  '[1]Hoja 1'!$M:$M,
  '[1]Hoja 1'!$S:$S, $A20,
  '[1]Hoja 1'!$R:$R, "&gt;="&amp;INT($CC$1),
  '[1]Hoja 1'!$R:$R, "&lt;"&amp;INT($CD$1+1)
)</f>
        <v>0</v>
      </c>
      <c r="CB20" s="1">
        <f t="shared" si="51"/>
        <v>0</v>
      </c>
      <c r="CC20" s="9">
        <f t="shared" si="52"/>
        <v>0</v>
      </c>
      <c r="CD20" s="10">
        <f t="shared" si="53"/>
        <v>0</v>
      </c>
      <c r="CE20" s="1">
        <f>SUMIFS(
  '[1]Hoja 1'!$M:$M,
  '[1]Hoja 1'!$S:$S, $A20,
  '[1]Hoja 1'!$R:$R, "&gt;="&amp;INT($CG$1),
  '[1]Hoja 1'!$R:$R, "&lt;"&amp;INT($CH$1+1)
)</f>
        <v>0</v>
      </c>
      <c r="CF20" s="1">
        <f t="shared" si="54"/>
        <v>0</v>
      </c>
      <c r="CG20" s="9">
        <f t="shared" si="55"/>
        <v>0</v>
      </c>
      <c r="CH20" s="10">
        <f t="shared" si="56"/>
        <v>0</v>
      </c>
      <c r="CI20" s="1">
        <f>SUMIFS(
  '[1]Hoja 1'!$M:$M,
  '[1]Hoja 1'!$S:$S, $A20,
  '[1]Hoja 1'!$R:$R, "&gt;="&amp;INT($CK$1),
  '[1]Hoja 1'!$R:$R, "&lt;"&amp;INT($CL$1+1)
)</f>
        <v>0</v>
      </c>
      <c r="CJ20" s="1">
        <f t="shared" si="57"/>
        <v>0</v>
      </c>
      <c r="CK20" s="9">
        <f t="shared" si="58"/>
        <v>0</v>
      </c>
      <c r="CL20" s="10">
        <f t="shared" si="59"/>
        <v>0</v>
      </c>
      <c r="CM20" s="1">
        <f>SUMIFS(
  '[1]Hoja 1'!$M:$M,
  '[1]Hoja 1'!$S:$S, $A20,
  '[1]Hoja 1'!$R:$R, "&gt;="&amp;INT($CO$1),
  '[1]Hoja 1'!$R:$R, "&lt;"&amp;INT($CP$1+1)
)</f>
        <v>0</v>
      </c>
      <c r="CN20" s="1">
        <f t="shared" si="60"/>
        <v>0</v>
      </c>
      <c r="CO20" s="9">
        <f t="shared" si="61"/>
        <v>0</v>
      </c>
      <c r="CP20" s="10">
        <f t="shared" si="62"/>
        <v>0</v>
      </c>
      <c r="CQ20" s="1">
        <f>SUMIFS(
  '[1]Hoja 1'!$M:$M,
  '[1]Hoja 1'!$S:$S, $A20,
  '[1]Hoja 1'!$R:$R, "&gt;="&amp;INT($CS$1),
  '[1]Hoja 1'!$R:$R, "&lt;"&amp;INT($CT$1+1)
)</f>
        <v>0</v>
      </c>
      <c r="CR20" s="1">
        <f t="shared" si="63"/>
        <v>0</v>
      </c>
      <c r="CS20" s="9">
        <f t="shared" si="64"/>
        <v>0</v>
      </c>
      <c r="CT20" s="10">
        <f t="shared" si="65"/>
        <v>0</v>
      </c>
      <c r="CU20" s="1">
        <f>SUMIFS(
  '[1]Hoja 1'!$M:$M,
  '[1]Hoja 1'!$S:$S, $A20,
  '[1]Hoja 1'!$R:$R, "&gt;="&amp;INT($CW$1),
  '[1]Hoja 1'!$R:$R, "&lt;"&amp;INT($CX$1+1)
)</f>
        <v>0</v>
      </c>
      <c r="CV20" s="1">
        <f t="shared" si="66"/>
        <v>0</v>
      </c>
      <c r="CW20" s="9">
        <f t="shared" si="67"/>
        <v>0</v>
      </c>
      <c r="CX20" s="10">
        <f t="shared" si="68"/>
        <v>0</v>
      </c>
      <c r="CY20" s="1">
        <f>SUMIFS(
  '[1]Hoja 1'!$M:$M,
  '[1]Hoja 1'!$S:$S, $A20,
  '[1]Hoja 1'!$R:$R, "&gt;="&amp;INT($DA$1),
  '[1]Hoja 1'!$R:$R, "&lt;"&amp;INT($DB$1+1)
)</f>
        <v>0</v>
      </c>
      <c r="CZ20" s="1">
        <f t="shared" si="69"/>
        <v>0</v>
      </c>
      <c r="DA20" s="9">
        <f t="shared" si="70"/>
        <v>0</v>
      </c>
      <c r="DB20" s="10">
        <f t="shared" si="71"/>
        <v>0</v>
      </c>
      <c r="DC20" s="1">
        <f>SUMIFS(
  '[1]Hoja 1'!$M:$M,
  '[1]Hoja 1'!$S:$S, $A20,
  '[1]Hoja 1'!$R:$R, "&gt;="&amp;INT($DE$1),
  '[1]Hoja 1'!$R:$R, "&lt;"&amp;INT($DF$1+1)
)</f>
        <v>0</v>
      </c>
      <c r="DD20" s="1">
        <f t="shared" si="72"/>
        <v>0</v>
      </c>
      <c r="DE20" s="9">
        <f t="shared" si="73"/>
        <v>0</v>
      </c>
      <c r="DF20" s="10">
        <f t="shared" si="74"/>
        <v>0</v>
      </c>
      <c r="DG20" s="1">
        <f>SUMIFS(
  '[1]Hoja 1'!$M:$M,
  '[1]Hoja 1'!$S:$S, $A20,
  '[1]Hoja 1'!$R:$R, "&gt;="&amp;INT($DI$1),
  '[1]Hoja 1'!$R:$R, "&lt;"&amp;INT($DJ$1+1)
)</f>
        <v>0</v>
      </c>
      <c r="DH20" s="1">
        <f t="shared" si="75"/>
        <v>0</v>
      </c>
      <c r="DI20" s="9">
        <f t="shared" si="76"/>
        <v>0</v>
      </c>
      <c r="DJ20" s="10">
        <f t="shared" si="77"/>
        <v>0</v>
      </c>
      <c r="DK20" s="1">
        <f>SUMIFS(
  '[1]Hoja 1'!$M:$M,
  '[1]Hoja 1'!$S:$S, $A20,
  '[1]Hoja 1'!$R:$R, "&gt;="&amp;INT($DM$1),
  '[1]Hoja 1'!$R:$R, "&lt;"&amp;INT($DN$1+1)
)</f>
        <v>0</v>
      </c>
      <c r="DL20" s="1">
        <f t="shared" si="78"/>
        <v>0</v>
      </c>
      <c r="DM20" s="9">
        <f t="shared" si="79"/>
        <v>0</v>
      </c>
      <c r="DN20" s="10">
        <f t="shared" si="80"/>
        <v>0</v>
      </c>
      <c r="DO20" s="1">
        <f>SUMIFS(
  '[1]Hoja 1'!$M:$M,
  '[1]Hoja 1'!$S:$S, $A20,
  '[1]Hoja 1'!$R:$R, "&gt;="&amp;INT($DQ$1),
  '[1]Hoja 1'!$R:$R, "&lt;"&amp;INT($DR$1+1)
)</f>
        <v>0</v>
      </c>
      <c r="DP20" s="1">
        <f t="shared" si="81"/>
        <v>0</v>
      </c>
      <c r="DQ20" s="9">
        <f t="shared" si="82"/>
        <v>0</v>
      </c>
      <c r="DR20" s="10">
        <f t="shared" si="83"/>
        <v>0</v>
      </c>
    </row>
    <row r="21" spans="1:122" x14ac:dyDescent="0.25">
      <c r="A21" s="5">
        <v>202004</v>
      </c>
      <c r="B21" s="6" t="s">
        <v>25</v>
      </c>
      <c r="C21" s="1">
        <f>SUMIFS(
  '[1]Hoja 1'!$M:$M,
  '[1]Hoja 1'!$S:$S, $A21,
  '[1]Hoja 1'!$R:$R, "&gt;="&amp;INT($E$1),
  '[1]Hoja 1'!$R:$R, "&lt;"&amp;INT($F$1+1)
)</f>
        <v>0</v>
      </c>
      <c r="D21" s="1" t="str">
        <f>""</f>
        <v/>
      </c>
      <c r="F21" s="2"/>
      <c r="G21" s="1">
        <f>SUMIFS(
  '[1]Hoja 1'!$M:$M,
  '[1]Hoja 1'!$S:$S, $A21,
  '[1]Hoja 1'!$R:$R, "&gt;="&amp;INT($I$1),
  '[1]Hoja 1'!$R:$R, "&lt;"&amp;INT($J$1+1)
)</f>
        <v>0</v>
      </c>
      <c r="H21" s="1">
        <f t="shared" si="84"/>
        <v>0</v>
      </c>
      <c r="I21" s="1"/>
      <c r="J21" s="2"/>
      <c r="K21" s="1">
        <f>SUMIFS(
  '[1]Hoja 1'!$M:$M,
  '[1]Hoja 1'!$S:$S, $A21,
  '[1]Hoja 1'!$R:$R, "&gt;="&amp;INT($M$1),
  '[1]Hoja 1'!$R:$R, "&lt;"&amp;INT($N$1+1)
)</f>
        <v>0</v>
      </c>
      <c r="L21" s="1">
        <f t="shared" si="0"/>
        <v>0</v>
      </c>
      <c r="M21" s="9">
        <f t="shared" si="1"/>
        <v>0</v>
      </c>
      <c r="N21" s="10">
        <f t="shared" si="2"/>
        <v>0</v>
      </c>
      <c r="O21" s="1">
        <f>SUMIFS(
  '[1]Hoja 1'!$M:$M,
  '[1]Hoja 1'!$S:$S, $A21,
  '[1]Hoja 1'!$R:$R, "&gt;="&amp;INT($Q$1),
  '[1]Hoja 1'!$R:$R, "&lt;"&amp;INT($R$1+1)
)</f>
        <v>0</v>
      </c>
      <c r="P21" s="1">
        <f t="shared" si="3"/>
        <v>0</v>
      </c>
      <c r="Q21" s="9">
        <f t="shared" si="4"/>
        <v>0</v>
      </c>
      <c r="R21" s="10">
        <f t="shared" si="5"/>
        <v>0</v>
      </c>
      <c r="S21" s="1">
        <f>SUMIFS(
  '[1]Hoja 1'!$M:$M,
  '[1]Hoja 1'!$S:$S, $A21,
  '[1]Hoja 1'!$R:$R, "&gt;="&amp;INT($U$1),
  '[1]Hoja 1'!$R:$R, "&lt;"&amp;INT($V$1+1)
)</f>
        <v>0</v>
      </c>
      <c r="T21" s="1">
        <f t="shared" si="6"/>
        <v>0</v>
      </c>
      <c r="U21" s="9">
        <f t="shared" si="7"/>
        <v>0</v>
      </c>
      <c r="V21" s="10">
        <f t="shared" si="8"/>
        <v>0</v>
      </c>
      <c r="W21" s="1">
        <f>SUMIFS(
  '[1]Hoja 1'!$M:$M,
  '[1]Hoja 1'!$S:$S, $A21,
  '[1]Hoja 1'!$R:$R, "&gt;="&amp;INT($Y$1),
  '[1]Hoja 1'!$R:$R, "&lt;"&amp;INT($Z$1+1)
)</f>
        <v>0</v>
      </c>
      <c r="X21" s="1">
        <f t="shared" si="9"/>
        <v>0</v>
      </c>
      <c r="Y21" s="9">
        <f t="shared" si="10"/>
        <v>0</v>
      </c>
      <c r="Z21" s="10">
        <f t="shared" si="11"/>
        <v>0</v>
      </c>
      <c r="AA21" s="1">
        <f>SUMIFS(
  '[1]Hoja 1'!$M:$M,
  '[1]Hoja 1'!$S:$S, $A21,
  '[1]Hoja 1'!$R:$R, "&gt;="&amp;INT($AC$1),
  '[1]Hoja 1'!$R:$R, "&lt;"&amp;INT($AD$1+1)
)</f>
        <v>0</v>
      </c>
      <c r="AB21" s="1">
        <f t="shared" si="12"/>
        <v>0</v>
      </c>
      <c r="AC21" s="9">
        <f t="shared" si="13"/>
        <v>0</v>
      </c>
      <c r="AD21" s="10">
        <f t="shared" si="14"/>
        <v>0</v>
      </c>
      <c r="AE21" s="1">
        <f>SUMIFS(
  '[1]Hoja 1'!$M:$M,
  '[1]Hoja 1'!$S:$S, $A21,
  '[1]Hoja 1'!$R:$R, "&gt;="&amp;INT($AG$1),
  '[1]Hoja 1'!$R:$R, "&lt;"&amp;INT($AH$1+1)
)</f>
        <v>0</v>
      </c>
      <c r="AF21" s="1">
        <f t="shared" si="15"/>
        <v>0</v>
      </c>
      <c r="AG21" s="9">
        <f t="shared" si="16"/>
        <v>0</v>
      </c>
      <c r="AH21" s="10">
        <f t="shared" si="17"/>
        <v>0</v>
      </c>
      <c r="AI21" s="1">
        <f>SUMIFS(
  '[1]Hoja 1'!$M:$M,
  '[1]Hoja 1'!$S:$S, $A21,
  '[1]Hoja 1'!$R:$R, "&gt;="&amp;INT($AK$1),
  '[1]Hoja 1'!$R:$R, "&lt;"&amp;INT($AL$1+1)
)</f>
        <v>0</v>
      </c>
      <c r="AJ21" s="1">
        <f t="shared" si="18"/>
        <v>0</v>
      </c>
      <c r="AK21" s="9">
        <f t="shared" si="19"/>
        <v>0</v>
      </c>
      <c r="AL21" s="10">
        <f t="shared" si="20"/>
        <v>0</v>
      </c>
      <c r="AM21" s="1">
        <f>SUMIFS(
  '[1]Hoja 1'!$M:$M,
  '[1]Hoja 1'!$S:$S, $A21,
  '[1]Hoja 1'!$R:$R, "&gt;="&amp;INT($AO$1),
  '[1]Hoja 1'!$R:$R, "&lt;"&amp;INT($AP$1+1)
)</f>
        <v>0</v>
      </c>
      <c r="AN21" s="1">
        <f t="shared" si="21"/>
        <v>0</v>
      </c>
      <c r="AO21" s="9">
        <f t="shared" si="22"/>
        <v>0</v>
      </c>
      <c r="AP21" s="10">
        <f t="shared" si="23"/>
        <v>0</v>
      </c>
      <c r="AQ21" s="1">
        <f>SUMIFS(
  '[1]Hoja 1'!$M:$M,
  '[1]Hoja 1'!$S:$S, $A21,
  '[1]Hoja 1'!$R:$R, "&gt;="&amp;INT($AS$1),
  '[1]Hoja 1'!$R:$R, "&lt;"&amp;INT($AT$1+1)
)</f>
        <v>0</v>
      </c>
      <c r="AR21" s="1">
        <f t="shared" si="24"/>
        <v>0</v>
      </c>
      <c r="AS21" s="9">
        <f t="shared" si="25"/>
        <v>0</v>
      </c>
      <c r="AT21" s="10">
        <f t="shared" si="26"/>
        <v>0</v>
      </c>
      <c r="AU21" s="1">
        <f>SUMIFS(
  '[1]Hoja 1'!$M:$M,
  '[1]Hoja 1'!$S:$S, $A21,
  '[1]Hoja 1'!$R:$R, "&gt;="&amp;INT($AW$1),
  '[1]Hoja 1'!$R:$R, "&lt;"&amp;INT($AX$1+1)
)</f>
        <v>0</v>
      </c>
      <c r="AV21" s="1">
        <f t="shared" si="27"/>
        <v>0</v>
      </c>
      <c r="AW21" s="9">
        <f t="shared" si="28"/>
        <v>0</v>
      </c>
      <c r="AX21" s="10">
        <f t="shared" si="29"/>
        <v>0</v>
      </c>
      <c r="AY21" s="1">
        <f>SUMIFS(
  '[1]Hoja 1'!$M:$M,
  '[1]Hoja 1'!$S:$S, $A21,
  '[1]Hoja 1'!$R:$R, "&gt;="&amp;INT($BA$1),
  '[1]Hoja 1'!$R:$R, "&lt;"&amp;INT($BB$1+1)
)</f>
        <v>0</v>
      </c>
      <c r="AZ21" s="1">
        <f t="shared" si="30"/>
        <v>0</v>
      </c>
      <c r="BA21" s="9">
        <f t="shared" si="31"/>
        <v>0</v>
      </c>
      <c r="BB21" s="10">
        <f t="shared" si="32"/>
        <v>0</v>
      </c>
      <c r="BC21" s="1">
        <f>SUMIFS(
  '[1]Hoja 1'!$M:$M,
  '[1]Hoja 1'!$S:$S, $A21,
  '[1]Hoja 1'!$R:$R, "&gt;="&amp;INT($BE$1),
  '[1]Hoja 1'!$R:$R, "&lt;"&amp;INT($BF$1+1)
)</f>
        <v>0</v>
      </c>
      <c r="BD21" s="1">
        <f t="shared" si="33"/>
        <v>0</v>
      </c>
      <c r="BE21" s="9">
        <f t="shared" si="34"/>
        <v>0</v>
      </c>
      <c r="BF21" s="10">
        <f t="shared" si="35"/>
        <v>0</v>
      </c>
      <c r="BG21" s="1">
        <f>SUMIFS(
  '[1]Hoja 1'!$M:$M,
  '[1]Hoja 1'!$S:$S, $A21,
  '[1]Hoja 1'!$R:$R, "&gt;="&amp;INT($BI$1),
  '[1]Hoja 1'!$R:$R, "&lt;"&amp;INT($BJ$1+1)
)</f>
        <v>0</v>
      </c>
      <c r="BH21" s="1">
        <f t="shared" si="36"/>
        <v>0</v>
      </c>
      <c r="BI21" s="9">
        <f t="shared" si="37"/>
        <v>0</v>
      </c>
      <c r="BJ21" s="10">
        <f t="shared" si="38"/>
        <v>0</v>
      </c>
      <c r="BK21" s="1">
        <f>SUMIFS(
  '[1]Hoja 1'!$M:$M,
  '[1]Hoja 1'!$S:$S, $A21,
  '[1]Hoja 1'!$R:$R, "&gt;="&amp;INT($BM$1),
  '[1]Hoja 1'!$R:$R, "&lt;"&amp;INT($BN$1+1)
)</f>
        <v>0</v>
      </c>
      <c r="BL21" s="1">
        <f t="shared" si="39"/>
        <v>0</v>
      </c>
      <c r="BM21" s="9">
        <f t="shared" si="40"/>
        <v>0</v>
      </c>
      <c r="BN21" s="10">
        <f t="shared" si="41"/>
        <v>0</v>
      </c>
      <c r="BO21" s="1">
        <f>SUMIFS(
  '[1]Hoja 1'!$M:$M,
  '[1]Hoja 1'!$S:$S, $A21,
  '[1]Hoja 1'!$R:$R, "&gt;="&amp;INT($BQ$1),
  '[1]Hoja 1'!$R:$R, "&lt;"&amp;INT($BR$1+1)
)</f>
        <v>0</v>
      </c>
      <c r="BP21" s="1">
        <f t="shared" si="42"/>
        <v>0</v>
      </c>
      <c r="BQ21" s="9">
        <f t="shared" si="43"/>
        <v>0</v>
      </c>
      <c r="BR21" s="10">
        <f t="shared" si="44"/>
        <v>0</v>
      </c>
      <c r="BS21" s="1">
        <f>SUMIFS(
  '[1]Hoja 1'!$M:$M,
  '[1]Hoja 1'!$S:$S, $A21,
  '[1]Hoja 1'!$R:$R, "&gt;="&amp;INT($BU$1),
  '[1]Hoja 1'!$R:$R, "&lt;"&amp;INT($BV$1+1)
)</f>
        <v>0</v>
      </c>
      <c r="BT21" s="1">
        <f t="shared" si="45"/>
        <v>0</v>
      </c>
      <c r="BU21" s="9">
        <f t="shared" si="46"/>
        <v>0</v>
      </c>
      <c r="BV21" s="10">
        <f t="shared" si="47"/>
        <v>0</v>
      </c>
      <c r="BW21" s="1">
        <f>SUMIFS(
  '[1]Hoja 1'!$M:$M,
  '[1]Hoja 1'!$S:$S, $A21,
  '[1]Hoja 1'!$R:$R, "&gt;="&amp;INT($BY$1),
  '[1]Hoja 1'!$R:$R, "&lt;"&amp;INT($BZ$1+1)
)</f>
        <v>0</v>
      </c>
      <c r="BX21" s="1">
        <f t="shared" si="48"/>
        <v>0</v>
      </c>
      <c r="BY21" s="9">
        <f t="shared" si="49"/>
        <v>0</v>
      </c>
      <c r="BZ21" s="10">
        <f t="shared" si="50"/>
        <v>0</v>
      </c>
      <c r="CA21" s="1">
        <f>SUMIFS(
  '[1]Hoja 1'!$M:$M,
  '[1]Hoja 1'!$S:$S, $A21,
  '[1]Hoja 1'!$R:$R, "&gt;="&amp;INT($CC$1),
  '[1]Hoja 1'!$R:$R, "&lt;"&amp;INT($CD$1+1)
)</f>
        <v>0</v>
      </c>
      <c r="CB21" s="1">
        <f t="shared" si="51"/>
        <v>0</v>
      </c>
      <c r="CC21" s="9">
        <f t="shared" si="52"/>
        <v>0</v>
      </c>
      <c r="CD21" s="10">
        <f t="shared" si="53"/>
        <v>0</v>
      </c>
      <c r="CE21" s="1">
        <f>SUMIFS(
  '[1]Hoja 1'!$M:$M,
  '[1]Hoja 1'!$S:$S, $A21,
  '[1]Hoja 1'!$R:$R, "&gt;="&amp;INT($CG$1),
  '[1]Hoja 1'!$R:$R, "&lt;"&amp;INT($CH$1+1)
)</f>
        <v>0</v>
      </c>
      <c r="CF21" s="1">
        <f t="shared" si="54"/>
        <v>0</v>
      </c>
      <c r="CG21" s="9">
        <f t="shared" si="55"/>
        <v>0</v>
      </c>
      <c r="CH21" s="10">
        <f t="shared" si="56"/>
        <v>0</v>
      </c>
      <c r="CI21" s="1">
        <f>SUMIFS(
  '[1]Hoja 1'!$M:$M,
  '[1]Hoja 1'!$S:$S, $A21,
  '[1]Hoja 1'!$R:$R, "&gt;="&amp;INT($CK$1),
  '[1]Hoja 1'!$R:$R, "&lt;"&amp;INT($CL$1+1)
)</f>
        <v>0</v>
      </c>
      <c r="CJ21" s="1">
        <f t="shared" si="57"/>
        <v>0</v>
      </c>
      <c r="CK21" s="9">
        <f t="shared" si="58"/>
        <v>0</v>
      </c>
      <c r="CL21" s="10">
        <f t="shared" si="59"/>
        <v>0</v>
      </c>
      <c r="CM21" s="1">
        <f>SUMIFS(
  '[1]Hoja 1'!$M:$M,
  '[1]Hoja 1'!$S:$S, $A21,
  '[1]Hoja 1'!$R:$R, "&gt;="&amp;INT($CO$1),
  '[1]Hoja 1'!$R:$R, "&lt;"&amp;INT($CP$1+1)
)</f>
        <v>0</v>
      </c>
      <c r="CN21" s="1">
        <f t="shared" si="60"/>
        <v>0</v>
      </c>
      <c r="CO21" s="9">
        <f t="shared" si="61"/>
        <v>0</v>
      </c>
      <c r="CP21" s="10">
        <f t="shared" si="62"/>
        <v>0</v>
      </c>
      <c r="CQ21" s="1">
        <f>SUMIFS(
  '[1]Hoja 1'!$M:$M,
  '[1]Hoja 1'!$S:$S, $A21,
  '[1]Hoja 1'!$R:$R, "&gt;="&amp;INT($CS$1),
  '[1]Hoja 1'!$R:$R, "&lt;"&amp;INT($CT$1+1)
)</f>
        <v>0</v>
      </c>
      <c r="CR21" s="1">
        <f t="shared" si="63"/>
        <v>0</v>
      </c>
      <c r="CS21" s="9">
        <f t="shared" si="64"/>
        <v>0</v>
      </c>
      <c r="CT21" s="10">
        <f t="shared" si="65"/>
        <v>0</v>
      </c>
      <c r="CU21" s="1">
        <f>SUMIFS(
  '[1]Hoja 1'!$M:$M,
  '[1]Hoja 1'!$S:$S, $A21,
  '[1]Hoja 1'!$R:$R, "&gt;="&amp;INT($CW$1),
  '[1]Hoja 1'!$R:$R, "&lt;"&amp;INT($CX$1+1)
)</f>
        <v>0</v>
      </c>
      <c r="CV21" s="1">
        <f t="shared" si="66"/>
        <v>0</v>
      </c>
      <c r="CW21" s="9">
        <f t="shared" si="67"/>
        <v>0</v>
      </c>
      <c r="CX21" s="10">
        <f t="shared" si="68"/>
        <v>0</v>
      </c>
      <c r="CY21" s="1">
        <f>SUMIFS(
  '[1]Hoja 1'!$M:$M,
  '[1]Hoja 1'!$S:$S, $A21,
  '[1]Hoja 1'!$R:$R, "&gt;="&amp;INT($DA$1),
  '[1]Hoja 1'!$R:$R, "&lt;"&amp;INT($DB$1+1)
)</f>
        <v>0</v>
      </c>
      <c r="CZ21" s="1">
        <f t="shared" si="69"/>
        <v>0</v>
      </c>
      <c r="DA21" s="9">
        <f t="shared" si="70"/>
        <v>0</v>
      </c>
      <c r="DB21" s="10">
        <f t="shared" si="71"/>
        <v>0</v>
      </c>
      <c r="DC21" s="1">
        <f>SUMIFS(
  '[1]Hoja 1'!$M:$M,
  '[1]Hoja 1'!$S:$S, $A21,
  '[1]Hoja 1'!$R:$R, "&gt;="&amp;INT($DE$1),
  '[1]Hoja 1'!$R:$R, "&lt;"&amp;INT($DF$1+1)
)</f>
        <v>0</v>
      </c>
      <c r="DD21" s="1">
        <f t="shared" si="72"/>
        <v>0</v>
      </c>
      <c r="DE21" s="9">
        <f t="shared" si="73"/>
        <v>0</v>
      </c>
      <c r="DF21" s="10">
        <f t="shared" si="74"/>
        <v>0</v>
      </c>
      <c r="DG21" s="1">
        <f>SUMIFS(
  '[1]Hoja 1'!$M:$M,
  '[1]Hoja 1'!$S:$S, $A21,
  '[1]Hoja 1'!$R:$R, "&gt;="&amp;INT($DI$1),
  '[1]Hoja 1'!$R:$R, "&lt;"&amp;INT($DJ$1+1)
)</f>
        <v>0</v>
      </c>
      <c r="DH21" s="1">
        <f t="shared" si="75"/>
        <v>0</v>
      </c>
      <c r="DI21" s="9">
        <f t="shared" si="76"/>
        <v>0</v>
      </c>
      <c r="DJ21" s="10">
        <f t="shared" si="77"/>
        <v>0</v>
      </c>
      <c r="DK21" s="1">
        <f>SUMIFS(
  '[1]Hoja 1'!$M:$M,
  '[1]Hoja 1'!$S:$S, $A21,
  '[1]Hoja 1'!$R:$R, "&gt;="&amp;INT($DM$1),
  '[1]Hoja 1'!$R:$R, "&lt;"&amp;INT($DN$1+1)
)</f>
        <v>0</v>
      </c>
      <c r="DL21" s="1">
        <f t="shared" si="78"/>
        <v>0</v>
      </c>
      <c r="DM21" s="9">
        <f t="shared" si="79"/>
        <v>0</v>
      </c>
      <c r="DN21" s="10">
        <f t="shared" si="80"/>
        <v>0</v>
      </c>
      <c r="DO21" s="1">
        <f>SUMIFS(
  '[1]Hoja 1'!$M:$M,
  '[1]Hoja 1'!$S:$S, $A21,
  '[1]Hoja 1'!$R:$R, "&gt;="&amp;INT($DQ$1),
  '[1]Hoja 1'!$R:$R, "&lt;"&amp;INT($DR$1+1)
)</f>
        <v>0</v>
      </c>
      <c r="DP21" s="1">
        <f t="shared" si="81"/>
        <v>0</v>
      </c>
      <c r="DQ21" s="9">
        <f t="shared" si="82"/>
        <v>0</v>
      </c>
      <c r="DR21" s="10">
        <f t="shared" si="83"/>
        <v>0</v>
      </c>
    </row>
    <row r="22" spans="1:122" x14ac:dyDescent="0.25">
      <c r="A22" s="5">
        <v>203001</v>
      </c>
      <c r="B22" s="6" t="s">
        <v>26</v>
      </c>
      <c r="C22" s="1">
        <f>SUMIFS(
  '[1]Hoja 1'!$M:$M,
  '[1]Hoja 1'!$S:$S, $A22,
  '[1]Hoja 1'!$R:$R, "&gt;="&amp;INT($E$1),
  '[1]Hoja 1'!$R:$R, "&lt;"&amp;INT($F$1+1)
)</f>
        <v>9</v>
      </c>
      <c r="D22" s="1" t="str">
        <f>""</f>
        <v/>
      </c>
      <c r="F22" s="2"/>
      <c r="G22" s="1">
        <f>SUMIFS(
  '[1]Hoja 1'!$M:$M,
  '[1]Hoja 1'!$S:$S, $A22,
  '[1]Hoja 1'!$R:$R, "&gt;="&amp;INT($I$1),
  '[1]Hoja 1'!$R:$R, "&lt;"&amp;INT($J$1+1)
)</f>
        <v>13</v>
      </c>
      <c r="H22" s="1">
        <f t="shared" si="84"/>
        <v>11</v>
      </c>
      <c r="I22" s="1"/>
      <c r="J22" s="2"/>
      <c r="K22" s="1">
        <f>SUMIFS(
  '[1]Hoja 1'!$M:$M,
  '[1]Hoja 1'!$S:$S, $A22,
  '[1]Hoja 1'!$R:$R, "&gt;="&amp;INT($M$1),
  '[1]Hoja 1'!$R:$R, "&lt;"&amp;INT($N$1+1)
)</f>
        <v>7</v>
      </c>
      <c r="L22" s="1">
        <f t="shared" si="0"/>
        <v>10</v>
      </c>
      <c r="M22" s="9">
        <f t="shared" si="1"/>
        <v>3.0703535443718337</v>
      </c>
      <c r="N22" s="10">
        <f t="shared" si="2"/>
        <v>16.929646455628166</v>
      </c>
      <c r="O22" s="1">
        <f>SUMIFS(
  '[1]Hoja 1'!$M:$M,
  '[1]Hoja 1'!$S:$S, $A22,
  '[1]Hoja 1'!$R:$R, "&gt;="&amp;INT($Q$1),
  '[1]Hoja 1'!$R:$R, "&lt;"&amp;INT($R$1+1)
)</f>
        <v>53</v>
      </c>
      <c r="P22" s="1">
        <f t="shared" si="3"/>
        <v>30</v>
      </c>
      <c r="Q22" s="9">
        <f t="shared" si="4"/>
        <v>-17.040424059791171</v>
      </c>
      <c r="R22" s="10">
        <f t="shared" si="5"/>
        <v>37.040424059791171</v>
      </c>
      <c r="S22" s="1">
        <f>SUMIFS(
  '[1]Hoja 1'!$M:$M,
  '[1]Hoja 1'!$S:$S, $A22,
  '[1]Hoja 1'!$R:$R, "&gt;="&amp;INT($U$1),
  '[1]Hoja 1'!$R:$R, "&lt;"&amp;INT($V$1+1)
)</f>
        <v>16</v>
      </c>
      <c r="T22" s="1">
        <f t="shared" si="6"/>
        <v>35</v>
      </c>
      <c r="U22" s="9">
        <f t="shared" si="7"/>
        <v>1.4084837099206453</v>
      </c>
      <c r="V22" s="10">
        <f t="shared" si="8"/>
        <v>68.591516290079355</v>
      </c>
      <c r="W22" s="1">
        <f>SUMIFS(
  '[1]Hoja 1'!$M:$M,
  '[1]Hoja 1'!$S:$S, $A22,
  '[1]Hoja 1'!$R:$R, "&gt;="&amp;INT($Y$1),
  '[1]Hoja 1'!$R:$R, "&lt;"&amp;INT($Z$1+1)
)</f>
        <v>4</v>
      </c>
      <c r="X22" s="1">
        <f t="shared" si="9"/>
        <v>10</v>
      </c>
      <c r="Y22" s="9">
        <f t="shared" si="10"/>
        <v>-24.158541635536295</v>
      </c>
      <c r="Z22" s="10">
        <f t="shared" si="11"/>
        <v>44.158541635536295</v>
      </c>
      <c r="AA22" s="1">
        <f>SUMIFS(
  '[1]Hoja 1'!$M:$M,
  '[1]Hoja 1'!$S:$S, $A22,
  '[1]Hoja 1'!$R:$R, "&gt;="&amp;INT($AC$1),
  '[1]Hoja 1'!$R:$R, "&lt;"&amp;INT($AD$1+1)
)</f>
        <v>0</v>
      </c>
      <c r="AB22" s="1">
        <f t="shared" si="12"/>
        <v>2</v>
      </c>
      <c r="AC22" s="9">
        <f t="shared" si="13"/>
        <v>-27.543383692461497</v>
      </c>
      <c r="AD22" s="10">
        <f t="shared" si="14"/>
        <v>36.102263365745486</v>
      </c>
      <c r="AE22" s="1">
        <f>SUMIFS(
  '[1]Hoja 1'!$M:$M,
  '[1]Hoja 1'!$S:$S, $A22,
  '[1]Hoja 1'!$R:$R, "&gt;="&amp;INT($AG$1),
  '[1]Hoja 1'!$R:$R, "&lt;"&amp;INT($AH$1+1)
)</f>
        <v>0</v>
      </c>
      <c r="AF22" s="1">
        <f t="shared" si="15"/>
        <v>0</v>
      </c>
      <c r="AG22" s="9">
        <f t="shared" si="16"/>
        <v>-15.238921221661329</v>
      </c>
      <c r="AH22" s="10">
        <f t="shared" si="17"/>
        <v>16.268688740440432</v>
      </c>
      <c r="AI22" s="1">
        <f>SUMIFS(
  '[1]Hoja 1'!$M:$M,
  '[1]Hoja 1'!$S:$S, $A22,
  '[1]Hoja 1'!$R:$R, "&gt;="&amp;INT($AK$1),
  '[1]Hoja 1'!$R:$R, "&lt;"&amp;INT($AL$1+1)
)</f>
        <v>0</v>
      </c>
      <c r="AJ22" s="1">
        <f t="shared" si="18"/>
        <v>0</v>
      </c>
      <c r="AK22" s="9">
        <f t="shared" si="19"/>
        <v>-5.1110546856788766</v>
      </c>
      <c r="AL22" s="10">
        <f t="shared" si="20"/>
        <v>5.5437171645025325</v>
      </c>
      <c r="AM22" s="1">
        <f>SUMIFS(
  '[1]Hoja 1'!$M:$M,
  '[1]Hoja 1'!$S:$S, $A22,
  '[1]Hoja 1'!$R:$R, "&gt;="&amp;INT($AO$1),
  '[1]Hoja 1'!$R:$R, "&lt;"&amp;INT($AP$1+1)
)</f>
        <v>0</v>
      </c>
      <c r="AN22" s="1">
        <f t="shared" si="21"/>
        <v>0</v>
      </c>
      <c r="AO22" s="9">
        <f t="shared" si="22"/>
        <v>-1.7530772943598349</v>
      </c>
      <c r="AP22" s="10">
        <f t="shared" si="23"/>
        <v>1.96</v>
      </c>
      <c r="AQ22" s="1">
        <f>SUMIFS(
  '[1]Hoja 1'!$M:$M,
  '[1]Hoja 1'!$S:$S, $A22,
  '[1]Hoja 1'!$R:$R, "&gt;="&amp;INT($AS$1),
  '[1]Hoja 1'!$R:$R, "&lt;"&amp;INT($AT$1+1)
)</f>
        <v>0</v>
      </c>
      <c r="AR22" s="1">
        <f t="shared" si="24"/>
        <v>0</v>
      </c>
      <c r="AS22" s="9">
        <f t="shared" si="25"/>
        <v>0</v>
      </c>
      <c r="AT22" s="10">
        <f t="shared" si="26"/>
        <v>0</v>
      </c>
      <c r="AU22" s="1">
        <f>SUMIFS(
  '[1]Hoja 1'!$M:$M,
  '[1]Hoja 1'!$S:$S, $A22,
  '[1]Hoja 1'!$R:$R, "&gt;="&amp;INT($AW$1),
  '[1]Hoja 1'!$R:$R, "&lt;"&amp;INT($AX$1+1)
)</f>
        <v>0</v>
      </c>
      <c r="AV22" s="1">
        <f t="shared" si="27"/>
        <v>0</v>
      </c>
      <c r="AW22" s="9">
        <f t="shared" si="28"/>
        <v>0</v>
      </c>
      <c r="AX22" s="10">
        <f t="shared" si="29"/>
        <v>0</v>
      </c>
      <c r="AY22" s="1">
        <f>SUMIFS(
  '[1]Hoja 1'!$M:$M,
  '[1]Hoja 1'!$S:$S, $A22,
  '[1]Hoja 1'!$R:$R, "&gt;="&amp;INT($BA$1),
  '[1]Hoja 1'!$R:$R, "&lt;"&amp;INT($BB$1+1)
)</f>
        <v>0</v>
      </c>
      <c r="AZ22" s="1">
        <f t="shared" si="30"/>
        <v>0</v>
      </c>
      <c r="BA22" s="9">
        <f t="shared" si="31"/>
        <v>0</v>
      </c>
      <c r="BB22" s="10">
        <f t="shared" si="32"/>
        <v>0</v>
      </c>
      <c r="BC22" s="1">
        <f>SUMIFS(
  '[1]Hoja 1'!$M:$M,
  '[1]Hoja 1'!$S:$S, $A22,
  '[1]Hoja 1'!$R:$R, "&gt;="&amp;INT($BE$1),
  '[1]Hoja 1'!$R:$R, "&lt;"&amp;INT($BF$1+1)
)</f>
        <v>0</v>
      </c>
      <c r="BD22" s="1">
        <f t="shared" si="33"/>
        <v>0</v>
      </c>
      <c r="BE22" s="9">
        <f t="shared" si="34"/>
        <v>0</v>
      </c>
      <c r="BF22" s="10">
        <f t="shared" si="35"/>
        <v>0</v>
      </c>
      <c r="BG22" s="1">
        <f>SUMIFS(
  '[1]Hoja 1'!$M:$M,
  '[1]Hoja 1'!$S:$S, $A22,
  '[1]Hoja 1'!$R:$R, "&gt;="&amp;INT($BI$1),
  '[1]Hoja 1'!$R:$R, "&lt;"&amp;INT($BJ$1+1)
)</f>
        <v>0</v>
      </c>
      <c r="BH22" s="1">
        <f t="shared" si="36"/>
        <v>0</v>
      </c>
      <c r="BI22" s="9">
        <f t="shared" si="37"/>
        <v>0</v>
      </c>
      <c r="BJ22" s="10">
        <f t="shared" si="38"/>
        <v>0</v>
      </c>
      <c r="BK22" s="1">
        <f>SUMIFS(
  '[1]Hoja 1'!$M:$M,
  '[1]Hoja 1'!$S:$S, $A22,
  '[1]Hoja 1'!$R:$R, "&gt;="&amp;INT($BM$1),
  '[1]Hoja 1'!$R:$R, "&lt;"&amp;INT($BN$1+1)
)</f>
        <v>0</v>
      </c>
      <c r="BL22" s="1">
        <f t="shared" si="39"/>
        <v>0</v>
      </c>
      <c r="BM22" s="9">
        <f t="shared" si="40"/>
        <v>0</v>
      </c>
      <c r="BN22" s="10">
        <f t="shared" si="41"/>
        <v>0</v>
      </c>
      <c r="BO22" s="1">
        <f>SUMIFS(
  '[1]Hoja 1'!$M:$M,
  '[1]Hoja 1'!$S:$S, $A22,
  '[1]Hoja 1'!$R:$R, "&gt;="&amp;INT($BQ$1),
  '[1]Hoja 1'!$R:$R, "&lt;"&amp;INT($BR$1+1)
)</f>
        <v>0</v>
      </c>
      <c r="BP22" s="1">
        <f t="shared" si="42"/>
        <v>0</v>
      </c>
      <c r="BQ22" s="9">
        <f t="shared" si="43"/>
        <v>0</v>
      </c>
      <c r="BR22" s="10">
        <f t="shared" si="44"/>
        <v>0</v>
      </c>
      <c r="BS22" s="1">
        <f>SUMIFS(
  '[1]Hoja 1'!$M:$M,
  '[1]Hoja 1'!$S:$S, $A22,
  '[1]Hoja 1'!$R:$R, "&gt;="&amp;INT($BU$1),
  '[1]Hoja 1'!$R:$R, "&lt;"&amp;INT($BV$1+1)
)</f>
        <v>0</v>
      </c>
      <c r="BT22" s="1">
        <f t="shared" si="45"/>
        <v>0</v>
      </c>
      <c r="BU22" s="9">
        <f t="shared" si="46"/>
        <v>0</v>
      </c>
      <c r="BV22" s="10">
        <f t="shared" si="47"/>
        <v>0</v>
      </c>
      <c r="BW22" s="1">
        <f>SUMIFS(
  '[1]Hoja 1'!$M:$M,
  '[1]Hoja 1'!$S:$S, $A22,
  '[1]Hoja 1'!$R:$R, "&gt;="&amp;INT($BY$1),
  '[1]Hoja 1'!$R:$R, "&lt;"&amp;INT($BZ$1+1)
)</f>
        <v>0</v>
      </c>
      <c r="BX22" s="1">
        <f t="shared" si="48"/>
        <v>0</v>
      </c>
      <c r="BY22" s="9">
        <f t="shared" si="49"/>
        <v>0</v>
      </c>
      <c r="BZ22" s="10">
        <f t="shared" si="50"/>
        <v>0</v>
      </c>
      <c r="CA22" s="1">
        <f>SUMIFS(
  '[1]Hoja 1'!$M:$M,
  '[1]Hoja 1'!$S:$S, $A22,
  '[1]Hoja 1'!$R:$R, "&gt;="&amp;INT($CC$1),
  '[1]Hoja 1'!$R:$R, "&lt;"&amp;INT($CD$1+1)
)</f>
        <v>0</v>
      </c>
      <c r="CB22" s="1">
        <f t="shared" si="51"/>
        <v>0</v>
      </c>
      <c r="CC22" s="9">
        <f t="shared" si="52"/>
        <v>0</v>
      </c>
      <c r="CD22" s="10">
        <f t="shared" si="53"/>
        <v>0</v>
      </c>
      <c r="CE22" s="1">
        <f>SUMIFS(
  '[1]Hoja 1'!$M:$M,
  '[1]Hoja 1'!$S:$S, $A22,
  '[1]Hoja 1'!$R:$R, "&gt;="&amp;INT($CG$1),
  '[1]Hoja 1'!$R:$R, "&lt;"&amp;INT($CH$1+1)
)</f>
        <v>0</v>
      </c>
      <c r="CF22" s="1">
        <f t="shared" si="54"/>
        <v>0</v>
      </c>
      <c r="CG22" s="9">
        <f t="shared" si="55"/>
        <v>0</v>
      </c>
      <c r="CH22" s="10">
        <f t="shared" si="56"/>
        <v>0</v>
      </c>
      <c r="CI22" s="1">
        <f>SUMIFS(
  '[1]Hoja 1'!$M:$M,
  '[1]Hoja 1'!$S:$S, $A22,
  '[1]Hoja 1'!$R:$R, "&gt;="&amp;INT($CK$1),
  '[1]Hoja 1'!$R:$R, "&lt;"&amp;INT($CL$1+1)
)</f>
        <v>0</v>
      </c>
      <c r="CJ22" s="1">
        <f t="shared" si="57"/>
        <v>0</v>
      </c>
      <c r="CK22" s="9">
        <f t="shared" si="58"/>
        <v>0</v>
      </c>
      <c r="CL22" s="10">
        <f t="shared" si="59"/>
        <v>0</v>
      </c>
      <c r="CM22" s="1">
        <f>SUMIFS(
  '[1]Hoja 1'!$M:$M,
  '[1]Hoja 1'!$S:$S, $A22,
  '[1]Hoja 1'!$R:$R, "&gt;="&amp;INT($CO$1),
  '[1]Hoja 1'!$R:$R, "&lt;"&amp;INT($CP$1+1)
)</f>
        <v>0</v>
      </c>
      <c r="CN22" s="1">
        <f t="shared" si="60"/>
        <v>0</v>
      </c>
      <c r="CO22" s="9">
        <f t="shared" si="61"/>
        <v>0</v>
      </c>
      <c r="CP22" s="10">
        <f t="shared" si="62"/>
        <v>0</v>
      </c>
      <c r="CQ22" s="1">
        <f>SUMIFS(
  '[1]Hoja 1'!$M:$M,
  '[1]Hoja 1'!$S:$S, $A22,
  '[1]Hoja 1'!$R:$R, "&gt;="&amp;INT($CS$1),
  '[1]Hoja 1'!$R:$R, "&lt;"&amp;INT($CT$1+1)
)</f>
        <v>0</v>
      </c>
      <c r="CR22" s="1">
        <f t="shared" si="63"/>
        <v>0</v>
      </c>
      <c r="CS22" s="9">
        <f t="shared" si="64"/>
        <v>0</v>
      </c>
      <c r="CT22" s="10">
        <f t="shared" si="65"/>
        <v>0</v>
      </c>
      <c r="CU22" s="1">
        <f>SUMIFS(
  '[1]Hoja 1'!$M:$M,
  '[1]Hoja 1'!$S:$S, $A22,
  '[1]Hoja 1'!$R:$R, "&gt;="&amp;INT($CW$1),
  '[1]Hoja 1'!$R:$R, "&lt;"&amp;INT($CX$1+1)
)</f>
        <v>0</v>
      </c>
      <c r="CV22" s="1">
        <f t="shared" si="66"/>
        <v>0</v>
      </c>
      <c r="CW22" s="9">
        <f t="shared" si="67"/>
        <v>0</v>
      </c>
      <c r="CX22" s="10">
        <f t="shared" si="68"/>
        <v>0</v>
      </c>
      <c r="CY22" s="1">
        <f>SUMIFS(
  '[1]Hoja 1'!$M:$M,
  '[1]Hoja 1'!$S:$S, $A22,
  '[1]Hoja 1'!$R:$R, "&gt;="&amp;INT($DA$1),
  '[1]Hoja 1'!$R:$R, "&lt;"&amp;INT($DB$1+1)
)</f>
        <v>0</v>
      </c>
      <c r="CZ22" s="1">
        <f t="shared" si="69"/>
        <v>0</v>
      </c>
      <c r="DA22" s="9">
        <f t="shared" si="70"/>
        <v>0</v>
      </c>
      <c r="DB22" s="10">
        <f t="shared" si="71"/>
        <v>0</v>
      </c>
      <c r="DC22" s="1">
        <f>SUMIFS(
  '[1]Hoja 1'!$M:$M,
  '[1]Hoja 1'!$S:$S, $A22,
  '[1]Hoja 1'!$R:$R, "&gt;="&amp;INT($DE$1),
  '[1]Hoja 1'!$R:$R, "&lt;"&amp;INT($DF$1+1)
)</f>
        <v>0</v>
      </c>
      <c r="DD22" s="1">
        <f t="shared" si="72"/>
        <v>0</v>
      </c>
      <c r="DE22" s="9">
        <f t="shared" si="73"/>
        <v>0</v>
      </c>
      <c r="DF22" s="10">
        <f t="shared" si="74"/>
        <v>0</v>
      </c>
      <c r="DG22" s="1">
        <f>SUMIFS(
  '[1]Hoja 1'!$M:$M,
  '[1]Hoja 1'!$S:$S, $A22,
  '[1]Hoja 1'!$R:$R, "&gt;="&amp;INT($DI$1),
  '[1]Hoja 1'!$R:$R, "&lt;"&amp;INT($DJ$1+1)
)</f>
        <v>0</v>
      </c>
      <c r="DH22" s="1">
        <f t="shared" si="75"/>
        <v>0</v>
      </c>
      <c r="DI22" s="9">
        <f t="shared" si="76"/>
        <v>0</v>
      </c>
      <c r="DJ22" s="10">
        <f t="shared" si="77"/>
        <v>0</v>
      </c>
      <c r="DK22" s="1">
        <f>SUMIFS(
  '[1]Hoja 1'!$M:$M,
  '[1]Hoja 1'!$S:$S, $A22,
  '[1]Hoja 1'!$R:$R, "&gt;="&amp;INT($DM$1),
  '[1]Hoja 1'!$R:$R, "&lt;"&amp;INT($DN$1+1)
)</f>
        <v>0</v>
      </c>
      <c r="DL22" s="1">
        <f t="shared" si="78"/>
        <v>0</v>
      </c>
      <c r="DM22" s="9">
        <f t="shared" si="79"/>
        <v>0</v>
      </c>
      <c r="DN22" s="10">
        <f t="shared" si="80"/>
        <v>0</v>
      </c>
      <c r="DO22" s="1">
        <f>SUMIFS(
  '[1]Hoja 1'!$M:$M,
  '[1]Hoja 1'!$S:$S, $A22,
  '[1]Hoja 1'!$R:$R, "&gt;="&amp;INT($DQ$1),
  '[1]Hoja 1'!$R:$R, "&lt;"&amp;INT($DR$1+1)
)</f>
        <v>0</v>
      </c>
      <c r="DP22" s="1">
        <f t="shared" si="81"/>
        <v>0</v>
      </c>
      <c r="DQ22" s="9">
        <f t="shared" si="82"/>
        <v>0</v>
      </c>
      <c r="DR22" s="10">
        <f t="shared" si="83"/>
        <v>0</v>
      </c>
    </row>
    <row r="23" spans="1:122" x14ac:dyDescent="0.25">
      <c r="A23" s="5">
        <v>203003</v>
      </c>
      <c r="B23" s="6" t="s">
        <v>27</v>
      </c>
      <c r="C23" s="1">
        <f>SUMIFS(
  '[1]Hoja 1'!$M:$M,
  '[1]Hoja 1'!$S:$S, $A23,
  '[1]Hoja 1'!$R:$R, "&gt;="&amp;INT($E$1),
  '[1]Hoja 1'!$R:$R, "&lt;"&amp;INT($F$1+1)
)</f>
        <v>19</v>
      </c>
      <c r="D23" s="1" t="str">
        <f>""</f>
        <v/>
      </c>
      <c r="F23" s="2"/>
      <c r="G23" s="1">
        <f>SUMIFS(
  '[1]Hoja 1'!$M:$M,
  '[1]Hoja 1'!$S:$S, $A23,
  '[1]Hoja 1'!$R:$R, "&gt;="&amp;INT($I$1),
  '[1]Hoja 1'!$R:$R, "&lt;"&amp;INT($J$1+1)
)</f>
        <v>9</v>
      </c>
      <c r="H23" s="1">
        <f t="shared" si="84"/>
        <v>14</v>
      </c>
      <c r="I23" s="1"/>
      <c r="J23" s="2"/>
      <c r="K23" s="1">
        <f>SUMIFS(
  '[1]Hoja 1'!$M:$M,
  '[1]Hoja 1'!$S:$S, $A23,
  '[1]Hoja 1'!$R:$R, "&gt;="&amp;INT($M$1),
  '[1]Hoja 1'!$R:$R, "&lt;"&amp;INT($N$1+1)
)</f>
        <v>20</v>
      </c>
      <c r="L23" s="1">
        <f t="shared" si="0"/>
        <v>14.5</v>
      </c>
      <c r="M23" s="9">
        <f t="shared" si="1"/>
        <v>-5.2257556819146345E-2</v>
      </c>
      <c r="N23" s="10">
        <f t="shared" si="2"/>
        <v>29.052257556819146</v>
      </c>
      <c r="O23" s="1">
        <f>SUMIFS(
  '[1]Hoja 1'!$M:$M,
  '[1]Hoja 1'!$S:$S, $A23,
  '[1]Hoja 1'!$R:$R, "&gt;="&amp;INT($Q$1),
  '[1]Hoja 1'!$R:$R, "&lt;"&amp;INT($R$1+1)
)</f>
        <v>10</v>
      </c>
      <c r="P23" s="1">
        <f t="shared" si="3"/>
        <v>15</v>
      </c>
      <c r="Q23" s="9">
        <f t="shared" si="4"/>
        <v>2.6181314600775014</v>
      </c>
      <c r="R23" s="10">
        <f t="shared" si="5"/>
        <v>26.3818685399225</v>
      </c>
      <c r="S23" s="1">
        <f>SUMIFS(
  '[1]Hoja 1'!$M:$M,
  '[1]Hoja 1'!$S:$S, $A23,
  '[1]Hoja 1'!$R:$R, "&gt;="&amp;INT($U$1),
  '[1]Hoja 1'!$R:$R, "&lt;"&amp;INT($V$1+1)
)</f>
        <v>5</v>
      </c>
      <c r="T23" s="1">
        <f t="shared" si="6"/>
        <v>8</v>
      </c>
      <c r="U23" s="9">
        <f t="shared" si="7"/>
        <v>-1.7508768836448745</v>
      </c>
      <c r="V23" s="10">
        <f t="shared" si="8"/>
        <v>17.750876883644874</v>
      </c>
      <c r="W23" s="1">
        <f>SUMIFS(
  '[1]Hoja 1'!$M:$M,
  '[1]Hoja 1'!$S:$S, $A23,
  '[1]Hoja 1'!$R:$R, "&gt;="&amp;INT($Y$1),
  '[1]Hoja 1'!$R:$R, "&lt;"&amp;INT($Z$1+1)
)</f>
        <v>0</v>
      </c>
      <c r="X23" s="1">
        <f t="shared" si="9"/>
        <v>3</v>
      </c>
      <c r="Y23" s="9">
        <f t="shared" si="10"/>
        <v>-5.9595442592429517</v>
      </c>
      <c r="Z23" s="10">
        <f t="shared" si="11"/>
        <v>11.959544259242952</v>
      </c>
      <c r="AA23" s="1">
        <f>SUMIFS(
  '[1]Hoja 1'!$M:$M,
  '[1]Hoja 1'!$S:$S, $A23,
  '[1]Hoja 1'!$R:$R, "&gt;="&amp;INT($AC$1),
  '[1]Hoja 1'!$R:$R, "&lt;"&amp;INT($AD$1+1)
)</f>
        <v>0</v>
      </c>
      <c r="AB23" s="1">
        <f t="shared" si="12"/>
        <v>0</v>
      </c>
      <c r="AC23" s="9">
        <f t="shared" si="13"/>
        <v>-4.0996341300169705</v>
      </c>
      <c r="AD23" s="10">
        <f t="shared" si="14"/>
        <v>4.0008332465458576</v>
      </c>
      <c r="AE23" s="1">
        <f>SUMIFS(
  '[1]Hoja 1'!$M:$M,
  '[1]Hoja 1'!$S:$S, $A23,
  '[1]Hoja 1'!$R:$R, "&gt;="&amp;INT($AG$1),
  '[1]Hoja 1'!$R:$R, "&lt;"&amp;INT($AH$1+1)
)</f>
        <v>0</v>
      </c>
      <c r="AF23" s="1">
        <f t="shared" si="15"/>
        <v>0</v>
      </c>
      <c r="AG23" s="9">
        <f t="shared" si="16"/>
        <v>-2.683840531775314</v>
      </c>
      <c r="AH23" s="10">
        <f t="shared" si="17"/>
        <v>2.8290163190291664</v>
      </c>
      <c r="AI23" s="1">
        <f>SUMIFS(
  '[1]Hoja 1'!$M:$M,
  '[1]Hoja 1'!$S:$S, $A23,
  '[1]Hoja 1'!$R:$R, "&gt;="&amp;INT($AK$1),
  '[1]Hoja 1'!$R:$R, "&lt;"&amp;INT($AL$1+1)
)</f>
        <v>0</v>
      </c>
      <c r="AJ23" s="1">
        <f t="shared" si="18"/>
        <v>0</v>
      </c>
      <c r="AK23" s="9">
        <f t="shared" si="19"/>
        <v>-2.1913466179497938</v>
      </c>
      <c r="AL23" s="10">
        <f t="shared" si="20"/>
        <v>2.4500000000000002</v>
      </c>
      <c r="AM23" s="1">
        <f>SUMIFS(
  '[1]Hoja 1'!$M:$M,
  '[1]Hoja 1'!$S:$S, $A23,
  '[1]Hoja 1'!$R:$R, "&gt;="&amp;INT($AO$1),
  '[1]Hoja 1'!$R:$R, "&lt;"&amp;INT($AP$1+1)
)</f>
        <v>0</v>
      </c>
      <c r="AN23" s="1">
        <f t="shared" si="21"/>
        <v>0</v>
      </c>
      <c r="AO23" s="9">
        <f t="shared" si="22"/>
        <v>0</v>
      </c>
      <c r="AP23" s="10">
        <f t="shared" si="23"/>
        <v>0</v>
      </c>
      <c r="AQ23" s="1">
        <f>SUMIFS(
  '[1]Hoja 1'!$M:$M,
  '[1]Hoja 1'!$S:$S, $A23,
  '[1]Hoja 1'!$R:$R, "&gt;="&amp;INT($AS$1),
  '[1]Hoja 1'!$R:$R, "&lt;"&amp;INT($AT$1+1)
)</f>
        <v>0</v>
      </c>
      <c r="AR23" s="1">
        <f t="shared" si="24"/>
        <v>0</v>
      </c>
      <c r="AS23" s="9">
        <f t="shared" si="25"/>
        <v>0</v>
      </c>
      <c r="AT23" s="10">
        <f t="shared" si="26"/>
        <v>0</v>
      </c>
      <c r="AU23" s="1">
        <f>SUMIFS(
  '[1]Hoja 1'!$M:$M,
  '[1]Hoja 1'!$S:$S, $A23,
  '[1]Hoja 1'!$R:$R, "&gt;="&amp;INT($AW$1),
  '[1]Hoja 1'!$R:$R, "&lt;"&amp;INT($AX$1+1)
)</f>
        <v>0</v>
      </c>
      <c r="AV23" s="1">
        <f t="shared" si="27"/>
        <v>0</v>
      </c>
      <c r="AW23" s="9">
        <f t="shared" si="28"/>
        <v>0</v>
      </c>
      <c r="AX23" s="10">
        <f t="shared" si="29"/>
        <v>0</v>
      </c>
      <c r="AY23" s="1">
        <f>SUMIFS(
  '[1]Hoja 1'!$M:$M,
  '[1]Hoja 1'!$S:$S, $A23,
  '[1]Hoja 1'!$R:$R, "&gt;="&amp;INT($BA$1),
  '[1]Hoja 1'!$R:$R, "&lt;"&amp;INT($BB$1+1)
)</f>
        <v>0</v>
      </c>
      <c r="AZ23" s="1">
        <f t="shared" si="30"/>
        <v>0</v>
      </c>
      <c r="BA23" s="9">
        <f t="shared" si="31"/>
        <v>0</v>
      </c>
      <c r="BB23" s="10">
        <f t="shared" si="32"/>
        <v>0</v>
      </c>
      <c r="BC23" s="1">
        <f>SUMIFS(
  '[1]Hoja 1'!$M:$M,
  '[1]Hoja 1'!$S:$S, $A23,
  '[1]Hoja 1'!$R:$R, "&gt;="&amp;INT($BE$1),
  '[1]Hoja 1'!$R:$R, "&lt;"&amp;INT($BF$1+1)
)</f>
        <v>0</v>
      </c>
      <c r="BD23" s="1">
        <f t="shared" si="33"/>
        <v>0</v>
      </c>
      <c r="BE23" s="9">
        <f t="shared" si="34"/>
        <v>0</v>
      </c>
      <c r="BF23" s="10">
        <f t="shared" si="35"/>
        <v>0</v>
      </c>
      <c r="BG23" s="1">
        <f>SUMIFS(
  '[1]Hoja 1'!$M:$M,
  '[1]Hoja 1'!$S:$S, $A23,
  '[1]Hoja 1'!$R:$R, "&gt;="&amp;INT($BI$1),
  '[1]Hoja 1'!$R:$R, "&lt;"&amp;INT($BJ$1+1)
)</f>
        <v>0</v>
      </c>
      <c r="BH23" s="1">
        <f t="shared" si="36"/>
        <v>0</v>
      </c>
      <c r="BI23" s="9">
        <f t="shared" si="37"/>
        <v>0</v>
      </c>
      <c r="BJ23" s="10">
        <f t="shared" si="38"/>
        <v>0</v>
      </c>
      <c r="BK23" s="1">
        <f>SUMIFS(
  '[1]Hoja 1'!$M:$M,
  '[1]Hoja 1'!$S:$S, $A23,
  '[1]Hoja 1'!$R:$R, "&gt;="&amp;INT($BM$1),
  '[1]Hoja 1'!$R:$R, "&lt;"&amp;INT($BN$1+1)
)</f>
        <v>0</v>
      </c>
      <c r="BL23" s="1">
        <f t="shared" si="39"/>
        <v>0</v>
      </c>
      <c r="BM23" s="9">
        <f t="shared" si="40"/>
        <v>0</v>
      </c>
      <c r="BN23" s="10">
        <f t="shared" si="41"/>
        <v>0</v>
      </c>
      <c r="BO23" s="1">
        <f>SUMIFS(
  '[1]Hoja 1'!$M:$M,
  '[1]Hoja 1'!$S:$S, $A23,
  '[1]Hoja 1'!$R:$R, "&gt;="&amp;INT($BQ$1),
  '[1]Hoja 1'!$R:$R, "&lt;"&amp;INT($BR$1+1)
)</f>
        <v>0</v>
      </c>
      <c r="BP23" s="1">
        <f t="shared" si="42"/>
        <v>0</v>
      </c>
      <c r="BQ23" s="9">
        <f t="shared" si="43"/>
        <v>0</v>
      </c>
      <c r="BR23" s="10">
        <f t="shared" si="44"/>
        <v>0</v>
      </c>
      <c r="BS23" s="1">
        <f>SUMIFS(
  '[1]Hoja 1'!$M:$M,
  '[1]Hoja 1'!$S:$S, $A23,
  '[1]Hoja 1'!$R:$R, "&gt;="&amp;INT($BU$1),
  '[1]Hoja 1'!$R:$R, "&lt;"&amp;INT($BV$1+1)
)</f>
        <v>0</v>
      </c>
      <c r="BT23" s="1">
        <f t="shared" si="45"/>
        <v>0</v>
      </c>
      <c r="BU23" s="9">
        <f t="shared" si="46"/>
        <v>0</v>
      </c>
      <c r="BV23" s="10">
        <f t="shared" si="47"/>
        <v>0</v>
      </c>
      <c r="BW23" s="1">
        <f>SUMIFS(
  '[1]Hoja 1'!$M:$M,
  '[1]Hoja 1'!$S:$S, $A23,
  '[1]Hoja 1'!$R:$R, "&gt;="&amp;INT($BY$1),
  '[1]Hoja 1'!$R:$R, "&lt;"&amp;INT($BZ$1+1)
)</f>
        <v>0</v>
      </c>
      <c r="BX23" s="1">
        <f t="shared" si="48"/>
        <v>0</v>
      </c>
      <c r="BY23" s="9">
        <f t="shared" si="49"/>
        <v>0</v>
      </c>
      <c r="BZ23" s="10">
        <f t="shared" si="50"/>
        <v>0</v>
      </c>
      <c r="CA23" s="1">
        <f>SUMIFS(
  '[1]Hoja 1'!$M:$M,
  '[1]Hoja 1'!$S:$S, $A23,
  '[1]Hoja 1'!$R:$R, "&gt;="&amp;INT($CC$1),
  '[1]Hoja 1'!$R:$R, "&lt;"&amp;INT($CD$1+1)
)</f>
        <v>0</v>
      </c>
      <c r="CB23" s="1">
        <f t="shared" si="51"/>
        <v>0</v>
      </c>
      <c r="CC23" s="9">
        <f t="shared" si="52"/>
        <v>0</v>
      </c>
      <c r="CD23" s="10">
        <f t="shared" si="53"/>
        <v>0</v>
      </c>
      <c r="CE23" s="1">
        <f>SUMIFS(
  '[1]Hoja 1'!$M:$M,
  '[1]Hoja 1'!$S:$S, $A23,
  '[1]Hoja 1'!$R:$R, "&gt;="&amp;INT($CG$1),
  '[1]Hoja 1'!$R:$R, "&lt;"&amp;INT($CH$1+1)
)</f>
        <v>0</v>
      </c>
      <c r="CF23" s="1">
        <f t="shared" si="54"/>
        <v>0</v>
      </c>
      <c r="CG23" s="9">
        <f t="shared" si="55"/>
        <v>0</v>
      </c>
      <c r="CH23" s="10">
        <f t="shared" si="56"/>
        <v>0</v>
      </c>
      <c r="CI23" s="1">
        <f>SUMIFS(
  '[1]Hoja 1'!$M:$M,
  '[1]Hoja 1'!$S:$S, $A23,
  '[1]Hoja 1'!$R:$R, "&gt;="&amp;INT($CK$1),
  '[1]Hoja 1'!$R:$R, "&lt;"&amp;INT($CL$1+1)
)</f>
        <v>0</v>
      </c>
      <c r="CJ23" s="1">
        <f t="shared" si="57"/>
        <v>0</v>
      </c>
      <c r="CK23" s="9">
        <f t="shared" si="58"/>
        <v>0</v>
      </c>
      <c r="CL23" s="10">
        <f t="shared" si="59"/>
        <v>0</v>
      </c>
      <c r="CM23" s="1">
        <f>SUMIFS(
  '[1]Hoja 1'!$M:$M,
  '[1]Hoja 1'!$S:$S, $A23,
  '[1]Hoja 1'!$R:$R, "&gt;="&amp;INT($CO$1),
  '[1]Hoja 1'!$R:$R, "&lt;"&amp;INT($CP$1+1)
)</f>
        <v>0</v>
      </c>
      <c r="CN23" s="1">
        <f t="shared" si="60"/>
        <v>0</v>
      </c>
      <c r="CO23" s="9">
        <f t="shared" si="61"/>
        <v>0</v>
      </c>
      <c r="CP23" s="10">
        <f t="shared" si="62"/>
        <v>0</v>
      </c>
      <c r="CQ23" s="1">
        <f>SUMIFS(
  '[1]Hoja 1'!$M:$M,
  '[1]Hoja 1'!$S:$S, $A23,
  '[1]Hoja 1'!$R:$R, "&gt;="&amp;INT($CS$1),
  '[1]Hoja 1'!$R:$R, "&lt;"&amp;INT($CT$1+1)
)</f>
        <v>0</v>
      </c>
      <c r="CR23" s="1">
        <f t="shared" si="63"/>
        <v>0</v>
      </c>
      <c r="CS23" s="9">
        <f t="shared" si="64"/>
        <v>0</v>
      </c>
      <c r="CT23" s="10">
        <f t="shared" si="65"/>
        <v>0</v>
      </c>
      <c r="CU23" s="1">
        <f>SUMIFS(
  '[1]Hoja 1'!$M:$M,
  '[1]Hoja 1'!$S:$S, $A23,
  '[1]Hoja 1'!$R:$R, "&gt;="&amp;INT($CW$1),
  '[1]Hoja 1'!$R:$R, "&lt;"&amp;INT($CX$1+1)
)</f>
        <v>0</v>
      </c>
      <c r="CV23" s="1">
        <f t="shared" si="66"/>
        <v>0</v>
      </c>
      <c r="CW23" s="9">
        <f t="shared" si="67"/>
        <v>0</v>
      </c>
      <c r="CX23" s="10">
        <f t="shared" si="68"/>
        <v>0</v>
      </c>
      <c r="CY23" s="1">
        <f>SUMIFS(
  '[1]Hoja 1'!$M:$M,
  '[1]Hoja 1'!$S:$S, $A23,
  '[1]Hoja 1'!$R:$R, "&gt;="&amp;INT($DA$1),
  '[1]Hoja 1'!$R:$R, "&lt;"&amp;INT($DB$1+1)
)</f>
        <v>0</v>
      </c>
      <c r="CZ23" s="1">
        <f t="shared" si="69"/>
        <v>0</v>
      </c>
      <c r="DA23" s="9">
        <f t="shared" si="70"/>
        <v>0</v>
      </c>
      <c r="DB23" s="10">
        <f t="shared" si="71"/>
        <v>0</v>
      </c>
      <c r="DC23" s="1">
        <f>SUMIFS(
  '[1]Hoja 1'!$M:$M,
  '[1]Hoja 1'!$S:$S, $A23,
  '[1]Hoja 1'!$R:$R, "&gt;="&amp;INT($DE$1),
  '[1]Hoja 1'!$R:$R, "&lt;"&amp;INT($DF$1+1)
)</f>
        <v>0</v>
      </c>
      <c r="DD23" s="1">
        <f t="shared" si="72"/>
        <v>0</v>
      </c>
      <c r="DE23" s="9">
        <f t="shared" si="73"/>
        <v>0</v>
      </c>
      <c r="DF23" s="10">
        <f t="shared" si="74"/>
        <v>0</v>
      </c>
      <c r="DG23" s="1">
        <f>SUMIFS(
  '[1]Hoja 1'!$M:$M,
  '[1]Hoja 1'!$S:$S, $A23,
  '[1]Hoja 1'!$R:$R, "&gt;="&amp;INT($DI$1),
  '[1]Hoja 1'!$R:$R, "&lt;"&amp;INT($DJ$1+1)
)</f>
        <v>0</v>
      </c>
      <c r="DH23" s="1">
        <f t="shared" si="75"/>
        <v>0</v>
      </c>
      <c r="DI23" s="9">
        <f t="shared" si="76"/>
        <v>0</v>
      </c>
      <c r="DJ23" s="10">
        <f t="shared" si="77"/>
        <v>0</v>
      </c>
      <c r="DK23" s="1">
        <f>SUMIFS(
  '[1]Hoja 1'!$M:$M,
  '[1]Hoja 1'!$S:$S, $A23,
  '[1]Hoja 1'!$R:$R, "&gt;="&amp;INT($DM$1),
  '[1]Hoja 1'!$R:$R, "&lt;"&amp;INT($DN$1+1)
)</f>
        <v>0</v>
      </c>
      <c r="DL23" s="1">
        <f t="shared" si="78"/>
        <v>0</v>
      </c>
      <c r="DM23" s="9">
        <f t="shared" si="79"/>
        <v>0</v>
      </c>
      <c r="DN23" s="10">
        <f t="shared" si="80"/>
        <v>0</v>
      </c>
      <c r="DO23" s="1">
        <f>SUMIFS(
  '[1]Hoja 1'!$M:$M,
  '[1]Hoja 1'!$S:$S, $A23,
  '[1]Hoja 1'!$R:$R, "&gt;="&amp;INT($DQ$1),
  '[1]Hoja 1'!$R:$R, "&lt;"&amp;INT($DR$1+1)
)</f>
        <v>0</v>
      </c>
      <c r="DP23" s="1">
        <f t="shared" si="81"/>
        <v>0</v>
      </c>
      <c r="DQ23" s="9">
        <f t="shared" si="82"/>
        <v>0</v>
      </c>
      <c r="DR23" s="10">
        <f t="shared" si="83"/>
        <v>0</v>
      </c>
    </row>
    <row r="24" spans="1:122" x14ac:dyDescent="0.25">
      <c r="A24" s="5">
        <v>203004</v>
      </c>
      <c r="B24" s="6" t="s">
        <v>28</v>
      </c>
      <c r="C24" s="1">
        <f>SUMIFS(
  '[1]Hoja 1'!$M:$M,
  '[1]Hoja 1'!$S:$S, $A24,
  '[1]Hoja 1'!$R:$R, "&gt;="&amp;INT($E$1),
  '[1]Hoja 1'!$R:$R, "&lt;"&amp;INT($F$1+1)
)</f>
        <v>4</v>
      </c>
      <c r="D24" s="1" t="str">
        <f>""</f>
        <v/>
      </c>
      <c r="F24" s="2"/>
      <c r="G24" s="1">
        <f>SUMIFS(
  '[1]Hoja 1'!$M:$M,
  '[1]Hoja 1'!$S:$S, $A24,
  '[1]Hoja 1'!$R:$R, "&gt;="&amp;INT($I$1),
  '[1]Hoja 1'!$R:$R, "&lt;"&amp;INT($J$1+1)
)</f>
        <v>0</v>
      </c>
      <c r="H24" s="1">
        <f t="shared" si="84"/>
        <v>2</v>
      </c>
      <c r="I24" s="1"/>
      <c r="J24" s="2"/>
      <c r="K24" s="1">
        <f>SUMIFS(
  '[1]Hoja 1'!$M:$M,
  '[1]Hoja 1'!$S:$S, $A24,
  '[1]Hoja 1'!$R:$R, "&gt;="&amp;INT($M$1),
  '[1]Hoja 1'!$R:$R, "&lt;"&amp;INT($N$1+1)
)</f>
        <v>0</v>
      </c>
      <c r="L24" s="1">
        <f t="shared" si="0"/>
        <v>0</v>
      </c>
      <c r="M24" s="9">
        <f t="shared" si="1"/>
        <v>-2.7718585822512662</v>
      </c>
      <c r="N24" s="10">
        <f t="shared" si="2"/>
        <v>2.7718585822512662</v>
      </c>
      <c r="O24" s="1">
        <f>SUMIFS(
  '[1]Hoja 1'!$M:$M,
  '[1]Hoja 1'!$S:$S, $A24,
  '[1]Hoja 1'!$R:$R, "&gt;="&amp;INT($Q$1),
  '[1]Hoja 1'!$R:$R, "&lt;"&amp;INT($R$1+1)
)</f>
        <v>4</v>
      </c>
      <c r="P24" s="1">
        <f t="shared" si="3"/>
        <v>2</v>
      </c>
      <c r="Q24" s="9">
        <f t="shared" si="4"/>
        <v>-3.92</v>
      </c>
      <c r="R24" s="10">
        <f t="shared" si="5"/>
        <v>3.92</v>
      </c>
      <c r="S24" s="1">
        <f>SUMIFS(
  '[1]Hoja 1'!$M:$M,
  '[1]Hoja 1'!$S:$S, $A24,
  '[1]Hoja 1'!$R:$R, "&gt;="&amp;INT($U$1),
  '[1]Hoja 1'!$R:$R, "&lt;"&amp;INT($V$1+1)
)</f>
        <v>1</v>
      </c>
      <c r="T24" s="1">
        <f t="shared" si="6"/>
        <v>3</v>
      </c>
      <c r="U24" s="9">
        <f t="shared" si="7"/>
        <v>-0.52209691329847807</v>
      </c>
      <c r="V24" s="10">
        <f t="shared" si="8"/>
        <v>6.5220969132984781</v>
      </c>
      <c r="W24" s="1">
        <f>SUMIFS(
  '[1]Hoja 1'!$M:$M,
  '[1]Hoja 1'!$S:$S, $A24,
  '[1]Hoja 1'!$R:$R, "&gt;="&amp;INT($Y$1),
  '[1]Hoja 1'!$R:$R, "&lt;"&amp;INT($Z$1+1)
)</f>
        <v>2</v>
      </c>
      <c r="X24" s="1">
        <f t="shared" si="9"/>
        <v>2</v>
      </c>
      <c r="Y24" s="9">
        <f t="shared" si="10"/>
        <v>-0.82901631902916639</v>
      </c>
      <c r="Z24" s="10">
        <f t="shared" si="11"/>
        <v>4.8290163190291668</v>
      </c>
      <c r="AA24" s="1">
        <f>SUMIFS(
  '[1]Hoja 1'!$M:$M,
  '[1]Hoja 1'!$S:$S, $A24,
  '[1]Hoja 1'!$R:$R, "&gt;="&amp;INT($AC$1),
  '[1]Hoja 1'!$R:$R, "&lt;"&amp;INT($AD$1+1)
)</f>
        <v>1</v>
      </c>
      <c r="AB24" s="1">
        <f t="shared" si="12"/>
        <v>2</v>
      </c>
      <c r="AC24" s="9">
        <f t="shared" si="13"/>
        <v>-0.53666710468677747</v>
      </c>
      <c r="AD24" s="10">
        <f t="shared" si="14"/>
        <v>4.926357234970923</v>
      </c>
      <c r="AE24" s="1">
        <f>SUMIFS(
  '[1]Hoja 1'!$M:$M,
  '[1]Hoja 1'!$S:$S, $A24,
  '[1]Hoja 1'!$R:$R, "&gt;="&amp;INT($AG$1),
  '[1]Hoja 1'!$R:$R, "&lt;"&amp;INT($AH$1+1)
)</f>
        <v>0</v>
      </c>
      <c r="AF24" s="1">
        <f t="shared" si="15"/>
        <v>1</v>
      </c>
      <c r="AG24" s="9">
        <f t="shared" si="16"/>
        <v>-0.45357490347074991</v>
      </c>
      <c r="AH24" s="10">
        <f t="shared" si="17"/>
        <v>2.6003332986183429</v>
      </c>
      <c r="AI24" s="1">
        <f>SUMIFS(
  '[1]Hoja 1'!$M:$M,
  '[1]Hoja 1'!$S:$S, $A24,
  '[1]Hoja 1'!$R:$R, "&gt;="&amp;INT($AK$1),
  '[1]Hoja 1'!$R:$R, "&lt;"&amp;INT($AL$1+1)
)</f>
        <v>0</v>
      </c>
      <c r="AJ24" s="1">
        <f t="shared" si="18"/>
        <v>0</v>
      </c>
      <c r="AK24" s="9">
        <f t="shared" si="19"/>
        <v>-0.81992682600339406</v>
      </c>
      <c r="AL24" s="10">
        <f t="shared" si="20"/>
        <v>0.93827856560121137</v>
      </c>
      <c r="AM24" s="1">
        <f>SUMIFS(
  '[1]Hoja 1'!$M:$M,
  '[1]Hoja 1'!$S:$S, $A24,
  '[1]Hoja 1'!$R:$R, "&gt;="&amp;INT($AO$1),
  '[1]Hoja 1'!$R:$R, "&lt;"&amp;INT($AP$1+1)
)</f>
        <v>0</v>
      </c>
      <c r="AN24" s="1">
        <f t="shared" si="21"/>
        <v>0</v>
      </c>
      <c r="AO24" s="9">
        <f t="shared" si="22"/>
        <v>-0.53676810635506278</v>
      </c>
      <c r="AP24" s="10">
        <f t="shared" si="23"/>
        <v>0.56580326380583323</v>
      </c>
      <c r="AQ24" s="1">
        <f>SUMIFS(
  '[1]Hoja 1'!$M:$M,
  '[1]Hoja 1'!$S:$S, $A24,
  '[1]Hoja 1'!$R:$R, "&gt;="&amp;INT($AS$1),
  '[1]Hoja 1'!$R:$R, "&lt;"&amp;INT($AT$1+1)
)</f>
        <v>0</v>
      </c>
      <c r="AR24" s="1">
        <f t="shared" si="24"/>
        <v>0</v>
      </c>
      <c r="AS24" s="9">
        <f t="shared" si="25"/>
        <v>-0.43826932358995874</v>
      </c>
      <c r="AT24" s="10">
        <f t="shared" si="26"/>
        <v>0.49</v>
      </c>
      <c r="AU24" s="1">
        <f>SUMIFS(
  '[1]Hoja 1'!$M:$M,
  '[1]Hoja 1'!$S:$S, $A24,
  '[1]Hoja 1'!$R:$R, "&gt;="&amp;INT($AW$1),
  '[1]Hoja 1'!$R:$R, "&lt;"&amp;INT($AX$1+1)
)</f>
        <v>0</v>
      </c>
      <c r="AV24" s="1">
        <f t="shared" si="27"/>
        <v>0</v>
      </c>
      <c r="AW24" s="9">
        <f t="shared" si="28"/>
        <v>0</v>
      </c>
      <c r="AX24" s="10">
        <f t="shared" si="29"/>
        <v>0</v>
      </c>
      <c r="AY24" s="1">
        <f>SUMIFS(
  '[1]Hoja 1'!$M:$M,
  '[1]Hoja 1'!$S:$S, $A24,
  '[1]Hoja 1'!$R:$R, "&gt;="&amp;INT($BA$1),
  '[1]Hoja 1'!$R:$R, "&lt;"&amp;INT($BB$1+1)
)</f>
        <v>0</v>
      </c>
      <c r="AZ24" s="1">
        <f t="shared" si="30"/>
        <v>0</v>
      </c>
      <c r="BA24" s="9">
        <f t="shared" si="31"/>
        <v>0</v>
      </c>
      <c r="BB24" s="10">
        <f t="shared" si="32"/>
        <v>0</v>
      </c>
      <c r="BC24" s="1">
        <f>SUMIFS(
  '[1]Hoja 1'!$M:$M,
  '[1]Hoja 1'!$S:$S, $A24,
  '[1]Hoja 1'!$R:$R, "&gt;="&amp;INT($BE$1),
  '[1]Hoja 1'!$R:$R, "&lt;"&amp;INT($BF$1+1)
)</f>
        <v>0</v>
      </c>
      <c r="BD24" s="1">
        <f t="shared" si="33"/>
        <v>0</v>
      </c>
      <c r="BE24" s="9">
        <f t="shared" si="34"/>
        <v>0</v>
      </c>
      <c r="BF24" s="10">
        <f t="shared" si="35"/>
        <v>0</v>
      </c>
      <c r="BG24" s="1">
        <f>SUMIFS(
  '[1]Hoja 1'!$M:$M,
  '[1]Hoja 1'!$S:$S, $A24,
  '[1]Hoja 1'!$R:$R, "&gt;="&amp;INT($BI$1),
  '[1]Hoja 1'!$R:$R, "&lt;"&amp;INT($BJ$1+1)
)</f>
        <v>0</v>
      </c>
      <c r="BH24" s="1">
        <f t="shared" si="36"/>
        <v>0</v>
      </c>
      <c r="BI24" s="9">
        <f t="shared" si="37"/>
        <v>0</v>
      </c>
      <c r="BJ24" s="10">
        <f t="shared" si="38"/>
        <v>0</v>
      </c>
      <c r="BK24" s="1">
        <f>SUMIFS(
  '[1]Hoja 1'!$M:$M,
  '[1]Hoja 1'!$S:$S, $A24,
  '[1]Hoja 1'!$R:$R, "&gt;="&amp;INT($BM$1),
  '[1]Hoja 1'!$R:$R, "&lt;"&amp;INT($BN$1+1)
)</f>
        <v>0</v>
      </c>
      <c r="BL24" s="1">
        <f t="shared" si="39"/>
        <v>0</v>
      </c>
      <c r="BM24" s="9">
        <f t="shared" si="40"/>
        <v>0</v>
      </c>
      <c r="BN24" s="10">
        <f t="shared" si="41"/>
        <v>0</v>
      </c>
      <c r="BO24" s="1">
        <f>SUMIFS(
  '[1]Hoja 1'!$M:$M,
  '[1]Hoja 1'!$S:$S, $A24,
  '[1]Hoja 1'!$R:$R, "&gt;="&amp;INT($BQ$1),
  '[1]Hoja 1'!$R:$R, "&lt;"&amp;INT($BR$1+1)
)</f>
        <v>0</v>
      </c>
      <c r="BP24" s="1">
        <f t="shared" si="42"/>
        <v>0</v>
      </c>
      <c r="BQ24" s="9">
        <f t="shared" si="43"/>
        <v>0</v>
      </c>
      <c r="BR24" s="10">
        <f t="shared" si="44"/>
        <v>0</v>
      </c>
      <c r="BS24" s="1">
        <f>SUMIFS(
  '[1]Hoja 1'!$M:$M,
  '[1]Hoja 1'!$S:$S, $A24,
  '[1]Hoja 1'!$R:$R, "&gt;="&amp;INT($BU$1),
  '[1]Hoja 1'!$R:$R, "&lt;"&amp;INT($BV$1+1)
)</f>
        <v>0</v>
      </c>
      <c r="BT24" s="1">
        <f t="shared" si="45"/>
        <v>0</v>
      </c>
      <c r="BU24" s="9">
        <f t="shared" si="46"/>
        <v>0</v>
      </c>
      <c r="BV24" s="10">
        <f t="shared" si="47"/>
        <v>0</v>
      </c>
      <c r="BW24" s="1">
        <f>SUMIFS(
  '[1]Hoja 1'!$M:$M,
  '[1]Hoja 1'!$S:$S, $A24,
  '[1]Hoja 1'!$R:$R, "&gt;="&amp;INT($BY$1),
  '[1]Hoja 1'!$R:$R, "&lt;"&amp;INT($BZ$1+1)
)</f>
        <v>0</v>
      </c>
      <c r="BX24" s="1">
        <f t="shared" si="48"/>
        <v>0</v>
      </c>
      <c r="BY24" s="9">
        <f t="shared" si="49"/>
        <v>0</v>
      </c>
      <c r="BZ24" s="10">
        <f t="shared" si="50"/>
        <v>0</v>
      </c>
      <c r="CA24" s="1">
        <f>SUMIFS(
  '[1]Hoja 1'!$M:$M,
  '[1]Hoja 1'!$S:$S, $A24,
  '[1]Hoja 1'!$R:$R, "&gt;="&amp;INT($CC$1),
  '[1]Hoja 1'!$R:$R, "&lt;"&amp;INT($CD$1+1)
)</f>
        <v>0</v>
      </c>
      <c r="CB24" s="1">
        <f t="shared" si="51"/>
        <v>0</v>
      </c>
      <c r="CC24" s="9">
        <f t="shared" si="52"/>
        <v>0</v>
      </c>
      <c r="CD24" s="10">
        <f t="shared" si="53"/>
        <v>0</v>
      </c>
      <c r="CE24" s="1">
        <f>SUMIFS(
  '[1]Hoja 1'!$M:$M,
  '[1]Hoja 1'!$S:$S, $A24,
  '[1]Hoja 1'!$R:$R, "&gt;="&amp;INT($CG$1),
  '[1]Hoja 1'!$R:$R, "&lt;"&amp;INT($CH$1+1)
)</f>
        <v>0</v>
      </c>
      <c r="CF24" s="1">
        <f t="shared" si="54"/>
        <v>0</v>
      </c>
      <c r="CG24" s="9">
        <f t="shared" si="55"/>
        <v>0</v>
      </c>
      <c r="CH24" s="10">
        <f t="shared" si="56"/>
        <v>0</v>
      </c>
      <c r="CI24" s="1">
        <f>SUMIFS(
  '[1]Hoja 1'!$M:$M,
  '[1]Hoja 1'!$S:$S, $A24,
  '[1]Hoja 1'!$R:$R, "&gt;="&amp;INT($CK$1),
  '[1]Hoja 1'!$R:$R, "&lt;"&amp;INT($CL$1+1)
)</f>
        <v>0</v>
      </c>
      <c r="CJ24" s="1">
        <f t="shared" si="57"/>
        <v>0</v>
      </c>
      <c r="CK24" s="9">
        <f t="shared" si="58"/>
        <v>0</v>
      </c>
      <c r="CL24" s="10">
        <f t="shared" si="59"/>
        <v>0</v>
      </c>
      <c r="CM24" s="1">
        <f>SUMIFS(
  '[1]Hoja 1'!$M:$M,
  '[1]Hoja 1'!$S:$S, $A24,
  '[1]Hoja 1'!$R:$R, "&gt;="&amp;INT($CO$1),
  '[1]Hoja 1'!$R:$R, "&lt;"&amp;INT($CP$1+1)
)</f>
        <v>0</v>
      </c>
      <c r="CN24" s="1">
        <f t="shared" si="60"/>
        <v>0</v>
      </c>
      <c r="CO24" s="9">
        <f t="shared" si="61"/>
        <v>0</v>
      </c>
      <c r="CP24" s="10">
        <f t="shared" si="62"/>
        <v>0</v>
      </c>
      <c r="CQ24" s="1">
        <f>SUMIFS(
  '[1]Hoja 1'!$M:$M,
  '[1]Hoja 1'!$S:$S, $A24,
  '[1]Hoja 1'!$R:$R, "&gt;="&amp;INT($CS$1),
  '[1]Hoja 1'!$R:$R, "&lt;"&amp;INT($CT$1+1)
)</f>
        <v>0</v>
      </c>
      <c r="CR24" s="1">
        <f t="shared" si="63"/>
        <v>0</v>
      </c>
      <c r="CS24" s="9">
        <f t="shared" si="64"/>
        <v>0</v>
      </c>
      <c r="CT24" s="10">
        <f t="shared" si="65"/>
        <v>0</v>
      </c>
      <c r="CU24" s="1">
        <f>SUMIFS(
  '[1]Hoja 1'!$M:$M,
  '[1]Hoja 1'!$S:$S, $A24,
  '[1]Hoja 1'!$R:$R, "&gt;="&amp;INT($CW$1),
  '[1]Hoja 1'!$R:$R, "&lt;"&amp;INT($CX$1+1)
)</f>
        <v>0</v>
      </c>
      <c r="CV24" s="1">
        <f t="shared" si="66"/>
        <v>0</v>
      </c>
      <c r="CW24" s="9">
        <f t="shared" si="67"/>
        <v>0</v>
      </c>
      <c r="CX24" s="10">
        <f t="shared" si="68"/>
        <v>0</v>
      </c>
      <c r="CY24" s="1">
        <f>SUMIFS(
  '[1]Hoja 1'!$M:$M,
  '[1]Hoja 1'!$S:$S, $A24,
  '[1]Hoja 1'!$R:$R, "&gt;="&amp;INT($DA$1),
  '[1]Hoja 1'!$R:$R, "&lt;"&amp;INT($DB$1+1)
)</f>
        <v>0</v>
      </c>
      <c r="CZ24" s="1">
        <f t="shared" si="69"/>
        <v>0</v>
      </c>
      <c r="DA24" s="9">
        <f t="shared" si="70"/>
        <v>0</v>
      </c>
      <c r="DB24" s="10">
        <f t="shared" si="71"/>
        <v>0</v>
      </c>
      <c r="DC24" s="1">
        <f>SUMIFS(
  '[1]Hoja 1'!$M:$M,
  '[1]Hoja 1'!$S:$S, $A24,
  '[1]Hoja 1'!$R:$R, "&gt;="&amp;INT($DE$1),
  '[1]Hoja 1'!$R:$R, "&lt;"&amp;INT($DF$1+1)
)</f>
        <v>0</v>
      </c>
      <c r="DD24" s="1">
        <f t="shared" si="72"/>
        <v>0</v>
      </c>
      <c r="DE24" s="9">
        <f t="shared" si="73"/>
        <v>0</v>
      </c>
      <c r="DF24" s="10">
        <f t="shared" si="74"/>
        <v>0</v>
      </c>
      <c r="DG24" s="1">
        <f>SUMIFS(
  '[1]Hoja 1'!$M:$M,
  '[1]Hoja 1'!$S:$S, $A24,
  '[1]Hoja 1'!$R:$R, "&gt;="&amp;INT($DI$1),
  '[1]Hoja 1'!$R:$R, "&lt;"&amp;INT($DJ$1+1)
)</f>
        <v>0</v>
      </c>
      <c r="DH24" s="1">
        <f t="shared" si="75"/>
        <v>0</v>
      </c>
      <c r="DI24" s="9">
        <f t="shared" si="76"/>
        <v>0</v>
      </c>
      <c r="DJ24" s="10">
        <f t="shared" si="77"/>
        <v>0</v>
      </c>
      <c r="DK24" s="1">
        <f>SUMIFS(
  '[1]Hoja 1'!$M:$M,
  '[1]Hoja 1'!$S:$S, $A24,
  '[1]Hoja 1'!$R:$R, "&gt;="&amp;INT($DM$1),
  '[1]Hoja 1'!$R:$R, "&lt;"&amp;INT($DN$1+1)
)</f>
        <v>0</v>
      </c>
      <c r="DL24" s="1">
        <f t="shared" si="78"/>
        <v>0</v>
      </c>
      <c r="DM24" s="9">
        <f t="shared" si="79"/>
        <v>0</v>
      </c>
      <c r="DN24" s="10">
        <f t="shared" si="80"/>
        <v>0</v>
      </c>
      <c r="DO24" s="1">
        <f>SUMIFS(
  '[1]Hoja 1'!$M:$M,
  '[1]Hoja 1'!$S:$S, $A24,
  '[1]Hoja 1'!$R:$R, "&gt;="&amp;INT($DQ$1),
  '[1]Hoja 1'!$R:$R, "&lt;"&amp;INT($DR$1+1)
)</f>
        <v>0</v>
      </c>
      <c r="DP24" s="1">
        <f t="shared" si="81"/>
        <v>0</v>
      </c>
      <c r="DQ24" s="9">
        <f t="shared" si="82"/>
        <v>0</v>
      </c>
      <c r="DR24" s="10">
        <f t="shared" si="83"/>
        <v>0</v>
      </c>
    </row>
    <row r="25" spans="1:122" x14ac:dyDescent="0.25">
      <c r="A25" s="5">
        <v>203005</v>
      </c>
      <c r="B25" s="6" t="s">
        <v>29</v>
      </c>
      <c r="C25" s="1">
        <f>SUMIFS(
  '[1]Hoja 1'!$M:$M,
  '[1]Hoja 1'!$S:$S, $A25,
  '[1]Hoja 1'!$R:$R, "&gt;="&amp;INT($E$1),
  '[1]Hoja 1'!$R:$R, "&lt;"&amp;INT($F$1+1)
)</f>
        <v>0</v>
      </c>
      <c r="D25" s="1" t="str">
        <f>""</f>
        <v/>
      </c>
      <c r="F25" s="2"/>
      <c r="G25" s="1">
        <f>SUMIFS(
  '[1]Hoja 1'!$M:$M,
  '[1]Hoja 1'!$S:$S, $A25,
  '[1]Hoja 1'!$R:$R, "&gt;="&amp;INT($I$1),
  '[1]Hoja 1'!$R:$R, "&lt;"&amp;INT($J$1+1)
)</f>
        <v>0</v>
      </c>
      <c r="H25" s="1">
        <f t="shared" si="84"/>
        <v>0</v>
      </c>
      <c r="I25" s="1"/>
      <c r="J25" s="2"/>
      <c r="K25" s="1">
        <f>SUMIFS(
  '[1]Hoja 1'!$M:$M,
  '[1]Hoja 1'!$S:$S, $A25,
  '[1]Hoja 1'!$R:$R, "&gt;="&amp;INT($M$1),
  '[1]Hoja 1'!$R:$R, "&lt;"&amp;INT($N$1+1)
)</f>
        <v>0</v>
      </c>
      <c r="L25" s="1">
        <f t="shared" si="0"/>
        <v>0</v>
      </c>
      <c r="M25" s="9">
        <f t="shared" si="1"/>
        <v>0</v>
      </c>
      <c r="N25" s="10">
        <f t="shared" si="2"/>
        <v>0</v>
      </c>
      <c r="O25" s="1">
        <f>SUMIFS(
  '[1]Hoja 1'!$M:$M,
  '[1]Hoja 1'!$S:$S, $A25,
  '[1]Hoja 1'!$R:$R, "&gt;="&amp;INT($Q$1),
  '[1]Hoja 1'!$R:$R, "&lt;"&amp;INT($R$1+1)
)</f>
        <v>0</v>
      </c>
      <c r="P25" s="1">
        <f t="shared" si="3"/>
        <v>0</v>
      </c>
      <c r="Q25" s="9">
        <f t="shared" si="4"/>
        <v>0</v>
      </c>
      <c r="R25" s="10">
        <f t="shared" si="5"/>
        <v>0</v>
      </c>
      <c r="S25" s="1">
        <f>SUMIFS(
  '[1]Hoja 1'!$M:$M,
  '[1]Hoja 1'!$S:$S, $A25,
  '[1]Hoja 1'!$R:$R, "&gt;="&amp;INT($U$1),
  '[1]Hoja 1'!$R:$R, "&lt;"&amp;INT($V$1+1)
)</f>
        <v>0</v>
      </c>
      <c r="T25" s="1">
        <f t="shared" si="6"/>
        <v>0</v>
      </c>
      <c r="U25" s="9">
        <f t="shared" si="7"/>
        <v>0</v>
      </c>
      <c r="V25" s="10">
        <f t="shared" si="8"/>
        <v>0</v>
      </c>
      <c r="W25" s="1">
        <f>SUMIFS(
  '[1]Hoja 1'!$M:$M,
  '[1]Hoja 1'!$S:$S, $A25,
  '[1]Hoja 1'!$R:$R, "&gt;="&amp;INT($Y$1),
  '[1]Hoja 1'!$R:$R, "&lt;"&amp;INT($Z$1+1)
)</f>
        <v>0</v>
      </c>
      <c r="X25" s="1">
        <f t="shared" si="9"/>
        <v>0</v>
      </c>
      <c r="Y25" s="9">
        <f t="shared" si="10"/>
        <v>0</v>
      </c>
      <c r="Z25" s="10">
        <f t="shared" si="11"/>
        <v>0</v>
      </c>
      <c r="AA25" s="1">
        <f>SUMIFS(
  '[1]Hoja 1'!$M:$M,
  '[1]Hoja 1'!$S:$S, $A25,
  '[1]Hoja 1'!$R:$R, "&gt;="&amp;INT($AC$1),
  '[1]Hoja 1'!$R:$R, "&lt;"&amp;INT($AD$1+1)
)</f>
        <v>0</v>
      </c>
      <c r="AB25" s="1">
        <f t="shared" si="12"/>
        <v>0</v>
      </c>
      <c r="AC25" s="9">
        <f t="shared" si="13"/>
        <v>0</v>
      </c>
      <c r="AD25" s="10">
        <f t="shared" si="14"/>
        <v>0</v>
      </c>
      <c r="AE25" s="1">
        <f>SUMIFS(
  '[1]Hoja 1'!$M:$M,
  '[1]Hoja 1'!$S:$S, $A25,
  '[1]Hoja 1'!$R:$R, "&gt;="&amp;INT($AG$1),
  '[1]Hoja 1'!$R:$R, "&lt;"&amp;INT($AH$1+1)
)</f>
        <v>0</v>
      </c>
      <c r="AF25" s="1">
        <f t="shared" si="15"/>
        <v>0</v>
      </c>
      <c r="AG25" s="9">
        <f t="shared" si="16"/>
        <v>0</v>
      </c>
      <c r="AH25" s="10">
        <f t="shared" si="17"/>
        <v>0</v>
      </c>
      <c r="AI25" s="1">
        <f>SUMIFS(
  '[1]Hoja 1'!$M:$M,
  '[1]Hoja 1'!$S:$S, $A25,
  '[1]Hoja 1'!$R:$R, "&gt;="&amp;INT($AK$1),
  '[1]Hoja 1'!$R:$R, "&lt;"&amp;INT($AL$1+1)
)</f>
        <v>0</v>
      </c>
      <c r="AJ25" s="1">
        <f t="shared" si="18"/>
        <v>0</v>
      </c>
      <c r="AK25" s="9">
        <f t="shared" si="19"/>
        <v>0</v>
      </c>
      <c r="AL25" s="10">
        <f t="shared" si="20"/>
        <v>0</v>
      </c>
      <c r="AM25" s="1">
        <f>SUMIFS(
  '[1]Hoja 1'!$M:$M,
  '[1]Hoja 1'!$S:$S, $A25,
  '[1]Hoja 1'!$R:$R, "&gt;="&amp;INT($AO$1),
  '[1]Hoja 1'!$R:$R, "&lt;"&amp;INT($AP$1+1)
)</f>
        <v>0</v>
      </c>
      <c r="AN25" s="1">
        <f t="shared" si="21"/>
        <v>0</v>
      </c>
      <c r="AO25" s="9">
        <f t="shared" si="22"/>
        <v>0</v>
      </c>
      <c r="AP25" s="10">
        <f t="shared" si="23"/>
        <v>0</v>
      </c>
      <c r="AQ25" s="1">
        <f>SUMIFS(
  '[1]Hoja 1'!$M:$M,
  '[1]Hoja 1'!$S:$S, $A25,
  '[1]Hoja 1'!$R:$R, "&gt;="&amp;INT($AS$1),
  '[1]Hoja 1'!$R:$R, "&lt;"&amp;INT($AT$1+1)
)</f>
        <v>0</v>
      </c>
      <c r="AR25" s="1">
        <f t="shared" si="24"/>
        <v>0</v>
      </c>
      <c r="AS25" s="9">
        <f t="shared" si="25"/>
        <v>0</v>
      </c>
      <c r="AT25" s="10">
        <f t="shared" si="26"/>
        <v>0</v>
      </c>
      <c r="AU25" s="1">
        <f>SUMIFS(
  '[1]Hoja 1'!$M:$M,
  '[1]Hoja 1'!$S:$S, $A25,
  '[1]Hoja 1'!$R:$R, "&gt;="&amp;INT($AW$1),
  '[1]Hoja 1'!$R:$R, "&lt;"&amp;INT($AX$1+1)
)</f>
        <v>0</v>
      </c>
      <c r="AV25" s="1">
        <f t="shared" si="27"/>
        <v>0</v>
      </c>
      <c r="AW25" s="9">
        <f t="shared" si="28"/>
        <v>0</v>
      </c>
      <c r="AX25" s="10">
        <f t="shared" si="29"/>
        <v>0</v>
      </c>
      <c r="AY25" s="1">
        <f>SUMIFS(
  '[1]Hoja 1'!$M:$M,
  '[1]Hoja 1'!$S:$S, $A25,
  '[1]Hoja 1'!$R:$R, "&gt;="&amp;INT($BA$1),
  '[1]Hoja 1'!$R:$R, "&lt;"&amp;INT($BB$1+1)
)</f>
        <v>0</v>
      </c>
      <c r="AZ25" s="1">
        <f t="shared" si="30"/>
        <v>0</v>
      </c>
      <c r="BA25" s="9">
        <f t="shared" si="31"/>
        <v>0</v>
      </c>
      <c r="BB25" s="10">
        <f t="shared" si="32"/>
        <v>0</v>
      </c>
      <c r="BC25" s="1">
        <f>SUMIFS(
  '[1]Hoja 1'!$M:$M,
  '[1]Hoja 1'!$S:$S, $A25,
  '[1]Hoja 1'!$R:$R, "&gt;="&amp;INT($BE$1),
  '[1]Hoja 1'!$R:$R, "&lt;"&amp;INT($BF$1+1)
)</f>
        <v>0</v>
      </c>
      <c r="BD25" s="1">
        <f t="shared" si="33"/>
        <v>0</v>
      </c>
      <c r="BE25" s="9">
        <f t="shared" si="34"/>
        <v>0</v>
      </c>
      <c r="BF25" s="10">
        <f t="shared" si="35"/>
        <v>0</v>
      </c>
      <c r="BG25" s="1">
        <f>SUMIFS(
  '[1]Hoja 1'!$M:$M,
  '[1]Hoja 1'!$S:$S, $A25,
  '[1]Hoja 1'!$R:$R, "&gt;="&amp;INT($BI$1),
  '[1]Hoja 1'!$R:$R, "&lt;"&amp;INT($BJ$1+1)
)</f>
        <v>0</v>
      </c>
      <c r="BH25" s="1">
        <f t="shared" si="36"/>
        <v>0</v>
      </c>
      <c r="BI25" s="9">
        <f t="shared" si="37"/>
        <v>0</v>
      </c>
      <c r="BJ25" s="10">
        <f t="shared" si="38"/>
        <v>0</v>
      </c>
      <c r="BK25" s="1">
        <f>SUMIFS(
  '[1]Hoja 1'!$M:$M,
  '[1]Hoja 1'!$S:$S, $A25,
  '[1]Hoja 1'!$R:$R, "&gt;="&amp;INT($BM$1),
  '[1]Hoja 1'!$R:$R, "&lt;"&amp;INT($BN$1+1)
)</f>
        <v>0</v>
      </c>
      <c r="BL25" s="1">
        <f t="shared" si="39"/>
        <v>0</v>
      </c>
      <c r="BM25" s="9">
        <f t="shared" si="40"/>
        <v>0</v>
      </c>
      <c r="BN25" s="10">
        <f t="shared" si="41"/>
        <v>0</v>
      </c>
      <c r="BO25" s="1">
        <f>SUMIFS(
  '[1]Hoja 1'!$M:$M,
  '[1]Hoja 1'!$S:$S, $A25,
  '[1]Hoja 1'!$R:$R, "&gt;="&amp;INT($BQ$1),
  '[1]Hoja 1'!$R:$R, "&lt;"&amp;INT($BR$1+1)
)</f>
        <v>0</v>
      </c>
      <c r="BP25" s="1">
        <f t="shared" si="42"/>
        <v>0</v>
      </c>
      <c r="BQ25" s="9">
        <f t="shared" si="43"/>
        <v>0</v>
      </c>
      <c r="BR25" s="10">
        <f t="shared" si="44"/>
        <v>0</v>
      </c>
      <c r="BS25" s="1">
        <f>SUMIFS(
  '[1]Hoja 1'!$M:$M,
  '[1]Hoja 1'!$S:$S, $A25,
  '[1]Hoja 1'!$R:$R, "&gt;="&amp;INT($BU$1),
  '[1]Hoja 1'!$R:$R, "&lt;"&amp;INT($BV$1+1)
)</f>
        <v>0</v>
      </c>
      <c r="BT25" s="1">
        <f t="shared" si="45"/>
        <v>0</v>
      </c>
      <c r="BU25" s="9">
        <f t="shared" si="46"/>
        <v>0</v>
      </c>
      <c r="BV25" s="10">
        <f t="shared" si="47"/>
        <v>0</v>
      </c>
      <c r="BW25" s="1">
        <f>SUMIFS(
  '[1]Hoja 1'!$M:$M,
  '[1]Hoja 1'!$S:$S, $A25,
  '[1]Hoja 1'!$R:$R, "&gt;="&amp;INT($BY$1),
  '[1]Hoja 1'!$R:$R, "&lt;"&amp;INT($BZ$1+1)
)</f>
        <v>0</v>
      </c>
      <c r="BX25" s="1">
        <f t="shared" si="48"/>
        <v>0</v>
      </c>
      <c r="BY25" s="9">
        <f t="shared" si="49"/>
        <v>0</v>
      </c>
      <c r="BZ25" s="10">
        <f t="shared" si="50"/>
        <v>0</v>
      </c>
      <c r="CA25" s="1">
        <f>SUMIFS(
  '[1]Hoja 1'!$M:$M,
  '[1]Hoja 1'!$S:$S, $A25,
  '[1]Hoja 1'!$R:$R, "&gt;="&amp;INT($CC$1),
  '[1]Hoja 1'!$R:$R, "&lt;"&amp;INT($CD$1+1)
)</f>
        <v>0</v>
      </c>
      <c r="CB25" s="1">
        <f t="shared" si="51"/>
        <v>0</v>
      </c>
      <c r="CC25" s="9">
        <f t="shared" si="52"/>
        <v>0</v>
      </c>
      <c r="CD25" s="10">
        <f t="shared" si="53"/>
        <v>0</v>
      </c>
      <c r="CE25" s="1">
        <f>SUMIFS(
  '[1]Hoja 1'!$M:$M,
  '[1]Hoja 1'!$S:$S, $A25,
  '[1]Hoja 1'!$R:$R, "&gt;="&amp;INT($CG$1),
  '[1]Hoja 1'!$R:$R, "&lt;"&amp;INT($CH$1+1)
)</f>
        <v>0</v>
      </c>
      <c r="CF25" s="1">
        <f t="shared" si="54"/>
        <v>0</v>
      </c>
      <c r="CG25" s="9">
        <f t="shared" si="55"/>
        <v>0</v>
      </c>
      <c r="CH25" s="10">
        <f t="shared" si="56"/>
        <v>0</v>
      </c>
      <c r="CI25" s="1">
        <f>SUMIFS(
  '[1]Hoja 1'!$M:$M,
  '[1]Hoja 1'!$S:$S, $A25,
  '[1]Hoja 1'!$R:$R, "&gt;="&amp;INT($CK$1),
  '[1]Hoja 1'!$R:$R, "&lt;"&amp;INT($CL$1+1)
)</f>
        <v>0</v>
      </c>
      <c r="CJ25" s="1">
        <f t="shared" si="57"/>
        <v>0</v>
      </c>
      <c r="CK25" s="9">
        <f t="shared" si="58"/>
        <v>0</v>
      </c>
      <c r="CL25" s="10">
        <f t="shared" si="59"/>
        <v>0</v>
      </c>
      <c r="CM25" s="1">
        <f>SUMIFS(
  '[1]Hoja 1'!$M:$M,
  '[1]Hoja 1'!$S:$S, $A25,
  '[1]Hoja 1'!$R:$R, "&gt;="&amp;INT($CO$1),
  '[1]Hoja 1'!$R:$R, "&lt;"&amp;INT($CP$1+1)
)</f>
        <v>0</v>
      </c>
      <c r="CN25" s="1">
        <f t="shared" si="60"/>
        <v>0</v>
      </c>
      <c r="CO25" s="9">
        <f t="shared" si="61"/>
        <v>0</v>
      </c>
      <c r="CP25" s="10">
        <f t="shared" si="62"/>
        <v>0</v>
      </c>
      <c r="CQ25" s="1">
        <f>SUMIFS(
  '[1]Hoja 1'!$M:$M,
  '[1]Hoja 1'!$S:$S, $A25,
  '[1]Hoja 1'!$R:$R, "&gt;="&amp;INT($CS$1),
  '[1]Hoja 1'!$R:$R, "&lt;"&amp;INT($CT$1+1)
)</f>
        <v>0</v>
      </c>
      <c r="CR25" s="1">
        <f t="shared" si="63"/>
        <v>0</v>
      </c>
      <c r="CS25" s="9">
        <f t="shared" si="64"/>
        <v>0</v>
      </c>
      <c r="CT25" s="10">
        <f t="shared" si="65"/>
        <v>0</v>
      </c>
      <c r="CU25" s="1">
        <f>SUMIFS(
  '[1]Hoja 1'!$M:$M,
  '[1]Hoja 1'!$S:$S, $A25,
  '[1]Hoja 1'!$R:$R, "&gt;="&amp;INT($CW$1),
  '[1]Hoja 1'!$R:$R, "&lt;"&amp;INT($CX$1+1)
)</f>
        <v>0</v>
      </c>
      <c r="CV25" s="1">
        <f t="shared" si="66"/>
        <v>0</v>
      </c>
      <c r="CW25" s="9">
        <f t="shared" si="67"/>
        <v>0</v>
      </c>
      <c r="CX25" s="10">
        <f t="shared" si="68"/>
        <v>0</v>
      </c>
      <c r="CY25" s="1">
        <f>SUMIFS(
  '[1]Hoja 1'!$M:$M,
  '[1]Hoja 1'!$S:$S, $A25,
  '[1]Hoja 1'!$R:$R, "&gt;="&amp;INT($DA$1),
  '[1]Hoja 1'!$R:$R, "&lt;"&amp;INT($DB$1+1)
)</f>
        <v>0</v>
      </c>
      <c r="CZ25" s="1">
        <f t="shared" si="69"/>
        <v>0</v>
      </c>
      <c r="DA25" s="9">
        <f t="shared" si="70"/>
        <v>0</v>
      </c>
      <c r="DB25" s="10">
        <f t="shared" si="71"/>
        <v>0</v>
      </c>
      <c r="DC25" s="1">
        <f>SUMIFS(
  '[1]Hoja 1'!$M:$M,
  '[1]Hoja 1'!$S:$S, $A25,
  '[1]Hoja 1'!$R:$R, "&gt;="&amp;INT($DE$1),
  '[1]Hoja 1'!$R:$R, "&lt;"&amp;INT($DF$1+1)
)</f>
        <v>0</v>
      </c>
      <c r="DD25" s="1">
        <f t="shared" si="72"/>
        <v>0</v>
      </c>
      <c r="DE25" s="9">
        <f t="shared" si="73"/>
        <v>0</v>
      </c>
      <c r="DF25" s="10">
        <f t="shared" si="74"/>
        <v>0</v>
      </c>
      <c r="DG25" s="1">
        <f>SUMIFS(
  '[1]Hoja 1'!$M:$M,
  '[1]Hoja 1'!$S:$S, $A25,
  '[1]Hoja 1'!$R:$R, "&gt;="&amp;INT($DI$1),
  '[1]Hoja 1'!$R:$R, "&lt;"&amp;INT($DJ$1+1)
)</f>
        <v>0</v>
      </c>
      <c r="DH25" s="1">
        <f t="shared" si="75"/>
        <v>0</v>
      </c>
      <c r="DI25" s="9">
        <f t="shared" si="76"/>
        <v>0</v>
      </c>
      <c r="DJ25" s="10">
        <f t="shared" si="77"/>
        <v>0</v>
      </c>
      <c r="DK25" s="1">
        <f>SUMIFS(
  '[1]Hoja 1'!$M:$M,
  '[1]Hoja 1'!$S:$S, $A25,
  '[1]Hoja 1'!$R:$R, "&gt;="&amp;INT($DM$1),
  '[1]Hoja 1'!$R:$R, "&lt;"&amp;INT($DN$1+1)
)</f>
        <v>0</v>
      </c>
      <c r="DL25" s="1">
        <f t="shared" si="78"/>
        <v>0</v>
      </c>
      <c r="DM25" s="9">
        <f t="shared" si="79"/>
        <v>0</v>
      </c>
      <c r="DN25" s="10">
        <f t="shared" si="80"/>
        <v>0</v>
      </c>
      <c r="DO25" s="1">
        <f>SUMIFS(
  '[1]Hoja 1'!$M:$M,
  '[1]Hoja 1'!$S:$S, $A25,
  '[1]Hoja 1'!$R:$R, "&gt;="&amp;INT($DQ$1),
  '[1]Hoja 1'!$R:$R, "&lt;"&amp;INT($DR$1+1)
)</f>
        <v>0</v>
      </c>
      <c r="DP25" s="1">
        <f t="shared" si="81"/>
        <v>0</v>
      </c>
      <c r="DQ25" s="9">
        <f t="shared" si="82"/>
        <v>0</v>
      </c>
      <c r="DR25" s="10">
        <f t="shared" si="83"/>
        <v>0</v>
      </c>
    </row>
    <row r="26" spans="1:122" x14ac:dyDescent="0.25">
      <c r="A26" s="5">
        <v>203006</v>
      </c>
      <c r="B26" s="6" t="s">
        <v>30</v>
      </c>
      <c r="C26" s="1">
        <f>SUMIFS(
  '[1]Hoja 1'!$M:$M,
  '[1]Hoja 1'!$S:$S, $A26,
  '[1]Hoja 1'!$R:$R, "&gt;="&amp;INT($E$1),
  '[1]Hoja 1'!$R:$R, "&lt;"&amp;INT($F$1+1)
)</f>
        <v>0</v>
      </c>
      <c r="D26" s="1" t="str">
        <f>""</f>
        <v/>
      </c>
      <c r="F26" s="2"/>
      <c r="G26" s="1">
        <f>SUMIFS(
  '[1]Hoja 1'!$M:$M,
  '[1]Hoja 1'!$S:$S, $A26,
  '[1]Hoja 1'!$R:$R, "&gt;="&amp;INT($I$1),
  '[1]Hoja 1'!$R:$R, "&lt;"&amp;INT($J$1+1)
)</f>
        <v>0</v>
      </c>
      <c r="H26" s="1">
        <f t="shared" si="84"/>
        <v>0</v>
      </c>
      <c r="I26" s="1"/>
      <c r="J26" s="2"/>
      <c r="K26" s="1">
        <f>SUMIFS(
  '[1]Hoja 1'!$M:$M,
  '[1]Hoja 1'!$S:$S, $A26,
  '[1]Hoja 1'!$R:$R, "&gt;="&amp;INT($M$1),
  '[1]Hoja 1'!$R:$R, "&lt;"&amp;INT($N$1+1)
)</f>
        <v>0</v>
      </c>
      <c r="L26" s="1">
        <f t="shared" si="0"/>
        <v>0</v>
      </c>
      <c r="M26" s="9">
        <f t="shared" si="1"/>
        <v>0</v>
      </c>
      <c r="N26" s="10">
        <f t="shared" si="2"/>
        <v>0</v>
      </c>
      <c r="O26" s="1">
        <f>SUMIFS(
  '[1]Hoja 1'!$M:$M,
  '[1]Hoja 1'!$S:$S, $A26,
  '[1]Hoja 1'!$R:$R, "&gt;="&amp;INT($Q$1),
  '[1]Hoja 1'!$R:$R, "&lt;"&amp;INT($R$1+1)
)</f>
        <v>0</v>
      </c>
      <c r="P26" s="1">
        <f t="shared" si="3"/>
        <v>0</v>
      </c>
      <c r="Q26" s="9">
        <f t="shared" si="4"/>
        <v>0</v>
      </c>
      <c r="R26" s="10">
        <f t="shared" si="5"/>
        <v>0</v>
      </c>
      <c r="S26" s="1">
        <f>SUMIFS(
  '[1]Hoja 1'!$M:$M,
  '[1]Hoja 1'!$S:$S, $A26,
  '[1]Hoja 1'!$R:$R, "&gt;="&amp;INT($U$1),
  '[1]Hoja 1'!$R:$R, "&lt;"&amp;INT($V$1+1)
)</f>
        <v>0</v>
      </c>
      <c r="T26" s="1">
        <f t="shared" si="6"/>
        <v>0</v>
      </c>
      <c r="U26" s="9">
        <f t="shared" si="7"/>
        <v>0</v>
      </c>
      <c r="V26" s="10">
        <f t="shared" si="8"/>
        <v>0</v>
      </c>
      <c r="W26" s="1">
        <f>SUMIFS(
  '[1]Hoja 1'!$M:$M,
  '[1]Hoja 1'!$S:$S, $A26,
  '[1]Hoja 1'!$R:$R, "&gt;="&amp;INT($Y$1),
  '[1]Hoja 1'!$R:$R, "&lt;"&amp;INT($Z$1+1)
)</f>
        <v>0</v>
      </c>
      <c r="X26" s="1">
        <f t="shared" si="9"/>
        <v>0</v>
      </c>
      <c r="Y26" s="9">
        <f t="shared" si="10"/>
        <v>0</v>
      </c>
      <c r="Z26" s="10">
        <f t="shared" si="11"/>
        <v>0</v>
      </c>
      <c r="AA26" s="1">
        <f>SUMIFS(
  '[1]Hoja 1'!$M:$M,
  '[1]Hoja 1'!$S:$S, $A26,
  '[1]Hoja 1'!$R:$R, "&gt;="&amp;INT($AC$1),
  '[1]Hoja 1'!$R:$R, "&lt;"&amp;INT($AD$1+1)
)</f>
        <v>0</v>
      </c>
      <c r="AB26" s="1">
        <f t="shared" si="12"/>
        <v>0</v>
      </c>
      <c r="AC26" s="9">
        <f t="shared" si="13"/>
        <v>0</v>
      </c>
      <c r="AD26" s="10">
        <f t="shared" si="14"/>
        <v>0</v>
      </c>
      <c r="AE26" s="1">
        <f>SUMIFS(
  '[1]Hoja 1'!$M:$M,
  '[1]Hoja 1'!$S:$S, $A26,
  '[1]Hoja 1'!$R:$R, "&gt;="&amp;INT($AG$1),
  '[1]Hoja 1'!$R:$R, "&lt;"&amp;INT($AH$1+1)
)</f>
        <v>0</v>
      </c>
      <c r="AF26" s="1">
        <f t="shared" si="15"/>
        <v>0</v>
      </c>
      <c r="AG26" s="9">
        <f t="shared" si="16"/>
        <v>0</v>
      </c>
      <c r="AH26" s="10">
        <f t="shared" si="17"/>
        <v>0</v>
      </c>
      <c r="AI26" s="1">
        <f>SUMIFS(
  '[1]Hoja 1'!$M:$M,
  '[1]Hoja 1'!$S:$S, $A26,
  '[1]Hoja 1'!$R:$R, "&gt;="&amp;INT($AK$1),
  '[1]Hoja 1'!$R:$R, "&lt;"&amp;INT($AL$1+1)
)</f>
        <v>0</v>
      </c>
      <c r="AJ26" s="1">
        <f t="shared" si="18"/>
        <v>0</v>
      </c>
      <c r="AK26" s="9">
        <f t="shared" si="19"/>
        <v>0</v>
      </c>
      <c r="AL26" s="10">
        <f t="shared" si="20"/>
        <v>0</v>
      </c>
      <c r="AM26" s="1">
        <f>SUMIFS(
  '[1]Hoja 1'!$M:$M,
  '[1]Hoja 1'!$S:$S, $A26,
  '[1]Hoja 1'!$R:$R, "&gt;="&amp;INT($AO$1),
  '[1]Hoja 1'!$R:$R, "&lt;"&amp;INT($AP$1+1)
)</f>
        <v>0</v>
      </c>
      <c r="AN26" s="1">
        <f t="shared" si="21"/>
        <v>0</v>
      </c>
      <c r="AO26" s="9">
        <f t="shared" si="22"/>
        <v>0</v>
      </c>
      <c r="AP26" s="10">
        <f t="shared" si="23"/>
        <v>0</v>
      </c>
      <c r="AQ26" s="1">
        <f>SUMIFS(
  '[1]Hoja 1'!$M:$M,
  '[1]Hoja 1'!$S:$S, $A26,
  '[1]Hoja 1'!$R:$R, "&gt;="&amp;INT($AS$1),
  '[1]Hoja 1'!$R:$R, "&lt;"&amp;INT($AT$1+1)
)</f>
        <v>0</v>
      </c>
      <c r="AR26" s="1">
        <f t="shared" si="24"/>
        <v>0</v>
      </c>
      <c r="AS26" s="9">
        <f t="shared" si="25"/>
        <v>0</v>
      </c>
      <c r="AT26" s="10">
        <f t="shared" si="26"/>
        <v>0</v>
      </c>
      <c r="AU26" s="1">
        <f>SUMIFS(
  '[1]Hoja 1'!$M:$M,
  '[1]Hoja 1'!$S:$S, $A26,
  '[1]Hoja 1'!$R:$R, "&gt;="&amp;INT($AW$1),
  '[1]Hoja 1'!$R:$R, "&lt;"&amp;INT($AX$1+1)
)</f>
        <v>0</v>
      </c>
      <c r="AV26" s="1">
        <f t="shared" si="27"/>
        <v>0</v>
      </c>
      <c r="AW26" s="9">
        <f t="shared" si="28"/>
        <v>0</v>
      </c>
      <c r="AX26" s="10">
        <f t="shared" si="29"/>
        <v>0</v>
      </c>
      <c r="AY26" s="1">
        <f>SUMIFS(
  '[1]Hoja 1'!$M:$M,
  '[1]Hoja 1'!$S:$S, $A26,
  '[1]Hoja 1'!$R:$R, "&gt;="&amp;INT($BA$1),
  '[1]Hoja 1'!$R:$R, "&lt;"&amp;INT($BB$1+1)
)</f>
        <v>0</v>
      </c>
      <c r="AZ26" s="1">
        <f t="shared" si="30"/>
        <v>0</v>
      </c>
      <c r="BA26" s="9">
        <f t="shared" si="31"/>
        <v>0</v>
      </c>
      <c r="BB26" s="10">
        <f t="shared" si="32"/>
        <v>0</v>
      </c>
      <c r="BC26" s="1">
        <f>SUMIFS(
  '[1]Hoja 1'!$M:$M,
  '[1]Hoja 1'!$S:$S, $A26,
  '[1]Hoja 1'!$R:$R, "&gt;="&amp;INT($BE$1),
  '[1]Hoja 1'!$R:$R, "&lt;"&amp;INT($BF$1+1)
)</f>
        <v>0</v>
      </c>
      <c r="BD26" s="1">
        <f t="shared" si="33"/>
        <v>0</v>
      </c>
      <c r="BE26" s="9">
        <f t="shared" si="34"/>
        <v>0</v>
      </c>
      <c r="BF26" s="10">
        <f t="shared" si="35"/>
        <v>0</v>
      </c>
      <c r="BG26" s="1">
        <f>SUMIFS(
  '[1]Hoja 1'!$M:$M,
  '[1]Hoja 1'!$S:$S, $A26,
  '[1]Hoja 1'!$R:$R, "&gt;="&amp;INT($BI$1),
  '[1]Hoja 1'!$R:$R, "&lt;"&amp;INT($BJ$1+1)
)</f>
        <v>0</v>
      </c>
      <c r="BH26" s="1">
        <f t="shared" si="36"/>
        <v>0</v>
      </c>
      <c r="BI26" s="9">
        <f t="shared" si="37"/>
        <v>0</v>
      </c>
      <c r="BJ26" s="10">
        <f t="shared" si="38"/>
        <v>0</v>
      </c>
      <c r="BK26" s="1">
        <f>SUMIFS(
  '[1]Hoja 1'!$M:$M,
  '[1]Hoja 1'!$S:$S, $A26,
  '[1]Hoja 1'!$R:$R, "&gt;="&amp;INT($BM$1),
  '[1]Hoja 1'!$R:$R, "&lt;"&amp;INT($BN$1+1)
)</f>
        <v>0</v>
      </c>
      <c r="BL26" s="1">
        <f t="shared" si="39"/>
        <v>0</v>
      </c>
      <c r="BM26" s="9">
        <f t="shared" si="40"/>
        <v>0</v>
      </c>
      <c r="BN26" s="10">
        <f t="shared" si="41"/>
        <v>0</v>
      </c>
      <c r="BO26" s="1">
        <f>SUMIFS(
  '[1]Hoja 1'!$M:$M,
  '[1]Hoja 1'!$S:$S, $A26,
  '[1]Hoja 1'!$R:$R, "&gt;="&amp;INT($BQ$1),
  '[1]Hoja 1'!$R:$R, "&lt;"&amp;INT($BR$1+1)
)</f>
        <v>0</v>
      </c>
      <c r="BP26" s="1">
        <f t="shared" si="42"/>
        <v>0</v>
      </c>
      <c r="BQ26" s="9">
        <f t="shared" si="43"/>
        <v>0</v>
      </c>
      <c r="BR26" s="10">
        <f t="shared" si="44"/>
        <v>0</v>
      </c>
      <c r="BS26" s="1">
        <f>SUMIFS(
  '[1]Hoja 1'!$M:$M,
  '[1]Hoja 1'!$S:$S, $A26,
  '[1]Hoja 1'!$R:$R, "&gt;="&amp;INT($BU$1),
  '[1]Hoja 1'!$R:$R, "&lt;"&amp;INT($BV$1+1)
)</f>
        <v>0</v>
      </c>
      <c r="BT26" s="1">
        <f t="shared" si="45"/>
        <v>0</v>
      </c>
      <c r="BU26" s="9">
        <f t="shared" si="46"/>
        <v>0</v>
      </c>
      <c r="BV26" s="10">
        <f t="shared" si="47"/>
        <v>0</v>
      </c>
      <c r="BW26" s="1">
        <f>SUMIFS(
  '[1]Hoja 1'!$M:$M,
  '[1]Hoja 1'!$S:$S, $A26,
  '[1]Hoja 1'!$R:$R, "&gt;="&amp;INT($BY$1),
  '[1]Hoja 1'!$R:$R, "&lt;"&amp;INT($BZ$1+1)
)</f>
        <v>0</v>
      </c>
      <c r="BX26" s="1">
        <f t="shared" si="48"/>
        <v>0</v>
      </c>
      <c r="BY26" s="9">
        <f t="shared" si="49"/>
        <v>0</v>
      </c>
      <c r="BZ26" s="10">
        <f t="shared" si="50"/>
        <v>0</v>
      </c>
      <c r="CA26" s="1">
        <f>SUMIFS(
  '[1]Hoja 1'!$M:$M,
  '[1]Hoja 1'!$S:$S, $A26,
  '[1]Hoja 1'!$R:$R, "&gt;="&amp;INT($CC$1),
  '[1]Hoja 1'!$R:$R, "&lt;"&amp;INT($CD$1+1)
)</f>
        <v>0</v>
      </c>
      <c r="CB26" s="1">
        <f t="shared" si="51"/>
        <v>0</v>
      </c>
      <c r="CC26" s="9">
        <f t="shared" si="52"/>
        <v>0</v>
      </c>
      <c r="CD26" s="10">
        <f t="shared" si="53"/>
        <v>0</v>
      </c>
      <c r="CE26" s="1">
        <f>SUMIFS(
  '[1]Hoja 1'!$M:$M,
  '[1]Hoja 1'!$S:$S, $A26,
  '[1]Hoja 1'!$R:$R, "&gt;="&amp;INT($CG$1),
  '[1]Hoja 1'!$R:$R, "&lt;"&amp;INT($CH$1+1)
)</f>
        <v>0</v>
      </c>
      <c r="CF26" s="1">
        <f t="shared" si="54"/>
        <v>0</v>
      </c>
      <c r="CG26" s="9">
        <f t="shared" si="55"/>
        <v>0</v>
      </c>
      <c r="CH26" s="10">
        <f t="shared" si="56"/>
        <v>0</v>
      </c>
      <c r="CI26" s="1">
        <f>SUMIFS(
  '[1]Hoja 1'!$M:$M,
  '[1]Hoja 1'!$S:$S, $A26,
  '[1]Hoja 1'!$R:$R, "&gt;="&amp;INT($CK$1),
  '[1]Hoja 1'!$R:$R, "&lt;"&amp;INT($CL$1+1)
)</f>
        <v>0</v>
      </c>
      <c r="CJ26" s="1">
        <f t="shared" si="57"/>
        <v>0</v>
      </c>
      <c r="CK26" s="9">
        <f t="shared" si="58"/>
        <v>0</v>
      </c>
      <c r="CL26" s="10">
        <f t="shared" si="59"/>
        <v>0</v>
      </c>
      <c r="CM26" s="1">
        <f>SUMIFS(
  '[1]Hoja 1'!$M:$M,
  '[1]Hoja 1'!$S:$S, $A26,
  '[1]Hoja 1'!$R:$R, "&gt;="&amp;INT($CO$1),
  '[1]Hoja 1'!$R:$R, "&lt;"&amp;INT($CP$1+1)
)</f>
        <v>0</v>
      </c>
      <c r="CN26" s="1">
        <f t="shared" si="60"/>
        <v>0</v>
      </c>
      <c r="CO26" s="9">
        <f t="shared" si="61"/>
        <v>0</v>
      </c>
      <c r="CP26" s="10">
        <f t="shared" si="62"/>
        <v>0</v>
      </c>
      <c r="CQ26" s="1">
        <f>SUMIFS(
  '[1]Hoja 1'!$M:$M,
  '[1]Hoja 1'!$S:$S, $A26,
  '[1]Hoja 1'!$R:$R, "&gt;="&amp;INT($CS$1),
  '[1]Hoja 1'!$R:$R, "&lt;"&amp;INT($CT$1+1)
)</f>
        <v>0</v>
      </c>
      <c r="CR26" s="1">
        <f t="shared" si="63"/>
        <v>0</v>
      </c>
      <c r="CS26" s="9">
        <f t="shared" si="64"/>
        <v>0</v>
      </c>
      <c r="CT26" s="10">
        <f t="shared" si="65"/>
        <v>0</v>
      </c>
      <c r="CU26" s="1">
        <f>SUMIFS(
  '[1]Hoja 1'!$M:$M,
  '[1]Hoja 1'!$S:$S, $A26,
  '[1]Hoja 1'!$R:$R, "&gt;="&amp;INT($CW$1),
  '[1]Hoja 1'!$R:$R, "&lt;"&amp;INT($CX$1+1)
)</f>
        <v>0</v>
      </c>
      <c r="CV26" s="1">
        <f t="shared" si="66"/>
        <v>0</v>
      </c>
      <c r="CW26" s="9">
        <f t="shared" si="67"/>
        <v>0</v>
      </c>
      <c r="CX26" s="10">
        <f t="shared" si="68"/>
        <v>0</v>
      </c>
      <c r="CY26" s="1">
        <f>SUMIFS(
  '[1]Hoja 1'!$M:$M,
  '[1]Hoja 1'!$S:$S, $A26,
  '[1]Hoja 1'!$R:$R, "&gt;="&amp;INT($DA$1),
  '[1]Hoja 1'!$R:$R, "&lt;"&amp;INT($DB$1+1)
)</f>
        <v>0</v>
      </c>
      <c r="CZ26" s="1">
        <f t="shared" si="69"/>
        <v>0</v>
      </c>
      <c r="DA26" s="9">
        <f t="shared" si="70"/>
        <v>0</v>
      </c>
      <c r="DB26" s="10">
        <f t="shared" si="71"/>
        <v>0</v>
      </c>
      <c r="DC26" s="1">
        <f>SUMIFS(
  '[1]Hoja 1'!$M:$M,
  '[1]Hoja 1'!$S:$S, $A26,
  '[1]Hoja 1'!$R:$R, "&gt;="&amp;INT($DE$1),
  '[1]Hoja 1'!$R:$R, "&lt;"&amp;INT($DF$1+1)
)</f>
        <v>0</v>
      </c>
      <c r="DD26" s="1">
        <f t="shared" si="72"/>
        <v>0</v>
      </c>
      <c r="DE26" s="9">
        <f t="shared" si="73"/>
        <v>0</v>
      </c>
      <c r="DF26" s="10">
        <f t="shared" si="74"/>
        <v>0</v>
      </c>
      <c r="DG26" s="1">
        <f>SUMIFS(
  '[1]Hoja 1'!$M:$M,
  '[1]Hoja 1'!$S:$S, $A26,
  '[1]Hoja 1'!$R:$R, "&gt;="&amp;INT($DI$1),
  '[1]Hoja 1'!$R:$R, "&lt;"&amp;INT($DJ$1+1)
)</f>
        <v>0</v>
      </c>
      <c r="DH26" s="1">
        <f t="shared" si="75"/>
        <v>0</v>
      </c>
      <c r="DI26" s="9">
        <f t="shared" si="76"/>
        <v>0</v>
      </c>
      <c r="DJ26" s="10">
        <f t="shared" si="77"/>
        <v>0</v>
      </c>
      <c r="DK26" s="1">
        <f>SUMIFS(
  '[1]Hoja 1'!$M:$M,
  '[1]Hoja 1'!$S:$S, $A26,
  '[1]Hoja 1'!$R:$R, "&gt;="&amp;INT($DM$1),
  '[1]Hoja 1'!$R:$R, "&lt;"&amp;INT($DN$1+1)
)</f>
        <v>0</v>
      </c>
      <c r="DL26" s="1">
        <f t="shared" si="78"/>
        <v>0</v>
      </c>
      <c r="DM26" s="9">
        <f t="shared" si="79"/>
        <v>0</v>
      </c>
      <c r="DN26" s="10">
        <f t="shared" si="80"/>
        <v>0</v>
      </c>
      <c r="DO26" s="1">
        <f>SUMIFS(
  '[1]Hoja 1'!$M:$M,
  '[1]Hoja 1'!$S:$S, $A26,
  '[1]Hoja 1'!$R:$R, "&gt;="&amp;INT($DQ$1),
  '[1]Hoja 1'!$R:$R, "&lt;"&amp;INT($DR$1+1)
)</f>
        <v>0</v>
      </c>
      <c r="DP26" s="1">
        <f t="shared" si="81"/>
        <v>0</v>
      </c>
      <c r="DQ26" s="9">
        <f t="shared" si="82"/>
        <v>0</v>
      </c>
      <c r="DR26" s="10">
        <f t="shared" si="83"/>
        <v>0</v>
      </c>
    </row>
    <row r="27" spans="1:122" x14ac:dyDescent="0.25">
      <c r="A27" s="5">
        <v>205004</v>
      </c>
      <c r="B27" s="6" t="s">
        <v>31</v>
      </c>
      <c r="C27" s="1">
        <f>SUMIFS(
  '[1]Hoja 1'!$M:$M,
  '[1]Hoja 1'!$S:$S, $A27,
  '[1]Hoja 1'!$R:$R, "&gt;="&amp;INT($E$1),
  '[1]Hoja 1'!$R:$R, "&lt;"&amp;INT($F$1+1)
)</f>
        <v>1</v>
      </c>
      <c r="D27" s="1" t="str">
        <f>""</f>
        <v/>
      </c>
      <c r="F27" s="2"/>
      <c r="G27" s="1">
        <f>SUMIFS(
  '[1]Hoja 1'!$M:$M,
  '[1]Hoja 1'!$S:$S, $A27,
  '[1]Hoja 1'!$R:$R, "&gt;="&amp;INT($I$1),
  '[1]Hoja 1'!$R:$R, "&lt;"&amp;INT($J$1+1)
)</f>
        <v>0</v>
      </c>
      <c r="H27" s="1">
        <f t="shared" si="84"/>
        <v>0.5</v>
      </c>
      <c r="I27" s="1"/>
      <c r="J27" s="2"/>
      <c r="K27" s="1">
        <f>SUMIFS(
  '[1]Hoja 1'!$M:$M,
  '[1]Hoja 1'!$S:$S, $A27,
  '[1]Hoja 1'!$R:$R, "&gt;="&amp;INT($M$1),
  '[1]Hoja 1'!$R:$R, "&lt;"&amp;INT($N$1+1)
)</f>
        <v>0</v>
      </c>
      <c r="L27" s="1">
        <f t="shared" si="0"/>
        <v>0</v>
      </c>
      <c r="M27" s="9">
        <f t="shared" si="1"/>
        <v>-0.69296464556281656</v>
      </c>
      <c r="N27" s="10">
        <f t="shared" si="2"/>
        <v>0.69296464556281656</v>
      </c>
      <c r="O27" s="1">
        <f>SUMIFS(
  '[1]Hoja 1'!$M:$M,
  '[1]Hoja 1'!$S:$S, $A27,
  '[1]Hoja 1'!$R:$R, "&gt;="&amp;INT($Q$1),
  '[1]Hoja 1'!$R:$R, "&lt;"&amp;INT($R$1+1)
)</f>
        <v>1</v>
      </c>
      <c r="P27" s="1">
        <f t="shared" si="3"/>
        <v>0.5</v>
      </c>
      <c r="Q27" s="9">
        <f t="shared" si="4"/>
        <v>-0.98</v>
      </c>
      <c r="R27" s="10">
        <f t="shared" si="5"/>
        <v>0.98</v>
      </c>
      <c r="S27" s="1">
        <f>SUMIFS(
  '[1]Hoja 1'!$M:$M,
  '[1]Hoja 1'!$S:$S, $A27,
  '[1]Hoja 1'!$R:$R, "&gt;="&amp;INT($U$1),
  '[1]Hoja 1'!$R:$R, "&lt;"&amp;INT($V$1+1)
)</f>
        <v>0</v>
      </c>
      <c r="T27" s="1">
        <f t="shared" si="6"/>
        <v>1</v>
      </c>
      <c r="U27" s="9">
        <f t="shared" si="7"/>
        <v>6.1721434398788633E-2</v>
      </c>
      <c r="V27" s="10">
        <f t="shared" si="8"/>
        <v>1.9382785656012114</v>
      </c>
      <c r="W27" s="1">
        <f>SUMIFS(
  '[1]Hoja 1'!$M:$M,
  '[1]Hoja 1'!$S:$S, $A27,
  '[1]Hoja 1'!$R:$R, "&gt;="&amp;INT($Y$1),
  '[1]Hoja 1'!$R:$R, "&lt;"&amp;INT($Z$1+1)
)</f>
        <v>1</v>
      </c>
      <c r="X27" s="1">
        <f t="shared" si="9"/>
        <v>1</v>
      </c>
      <c r="Y27" s="9">
        <f t="shared" si="10"/>
        <v>6.1721434398788633E-2</v>
      </c>
      <c r="Z27" s="10">
        <f t="shared" si="11"/>
        <v>1.9382785656012114</v>
      </c>
      <c r="AA27" s="1">
        <f>SUMIFS(
  '[1]Hoja 1'!$M:$M,
  '[1]Hoja 1'!$S:$S, $A27,
  '[1]Hoja 1'!$R:$R, "&gt;="&amp;INT($AC$1),
  '[1]Hoja 1'!$R:$R, "&lt;"&amp;INT($AD$1+1)
)</f>
        <v>2</v>
      </c>
      <c r="AB27" s="1">
        <f t="shared" si="12"/>
        <v>2</v>
      </c>
      <c r="AC27" s="9">
        <f t="shared" si="13"/>
        <v>1.1234613528200825</v>
      </c>
      <c r="AD27" s="10">
        <f t="shared" si="14"/>
        <v>2.98</v>
      </c>
      <c r="AE27" s="1">
        <f>SUMIFS(
  '[1]Hoja 1'!$M:$M,
  '[1]Hoja 1'!$S:$S, $A27,
  '[1]Hoja 1'!$R:$R, "&gt;="&amp;INT($AG$1),
  '[1]Hoja 1'!$R:$R, "&lt;"&amp;INT($AH$1+1)
)</f>
        <v>0</v>
      </c>
      <c r="AF27" s="1">
        <f t="shared" si="15"/>
        <v>1</v>
      </c>
      <c r="AG27" s="9">
        <f t="shared" si="16"/>
        <v>-0.27776367141971914</v>
      </c>
      <c r="AH27" s="10">
        <f t="shared" si="17"/>
        <v>2.4699999999999998</v>
      </c>
      <c r="AI27" s="1">
        <f>SUMIFS(
  '[1]Hoja 1'!$M:$M,
  '[1]Hoja 1'!$S:$S, $A27,
  '[1]Hoja 1'!$R:$R, "&gt;="&amp;INT($AK$1),
  '[1]Hoja 1'!$R:$R, "&lt;"&amp;INT($AL$1+1)
)</f>
        <v>0</v>
      </c>
      <c r="AJ27" s="1">
        <f t="shared" si="18"/>
        <v>0</v>
      </c>
      <c r="AK27" s="9">
        <f t="shared" si="19"/>
        <v>-1.2002499739637571</v>
      </c>
      <c r="AL27" s="10">
        <f t="shared" si="20"/>
        <v>1.3859292911256331</v>
      </c>
      <c r="AM27" s="1">
        <f>SUMIFS(
  '[1]Hoja 1'!$M:$M,
  '[1]Hoja 1'!$S:$S, $A27,
  '[1]Hoja 1'!$R:$R, "&gt;="&amp;INT($AO$1),
  '[1]Hoja 1'!$R:$R, "&lt;"&amp;INT($AP$1+1)
)</f>
        <v>0</v>
      </c>
      <c r="AN27" s="1">
        <f t="shared" si="21"/>
        <v>0</v>
      </c>
      <c r="AO27" s="9">
        <f t="shared" si="22"/>
        <v>-1.0735362127101256</v>
      </c>
      <c r="AP27" s="10">
        <f t="shared" si="23"/>
        <v>1.2331396244275556</v>
      </c>
      <c r="AQ27" s="1">
        <f>SUMIFS(
  '[1]Hoja 1'!$M:$M,
  '[1]Hoja 1'!$S:$S, $A27,
  '[1]Hoja 1'!$R:$R, "&gt;="&amp;INT($AS$1),
  '[1]Hoja 1'!$R:$R, "&lt;"&amp;INT($AT$1+1)
)</f>
        <v>0</v>
      </c>
      <c r="AR27" s="1">
        <f t="shared" si="24"/>
        <v>0</v>
      </c>
      <c r="AS27" s="9">
        <f t="shared" si="25"/>
        <v>-0.87653864717991747</v>
      </c>
      <c r="AT27" s="10">
        <f t="shared" si="26"/>
        <v>0.98</v>
      </c>
      <c r="AU27" s="1">
        <f>SUMIFS(
  '[1]Hoja 1'!$M:$M,
  '[1]Hoja 1'!$S:$S, $A27,
  '[1]Hoja 1'!$R:$R, "&gt;="&amp;INT($AW$1),
  '[1]Hoja 1'!$R:$R, "&lt;"&amp;INT($AX$1+1)
)</f>
        <v>0</v>
      </c>
      <c r="AV27" s="1">
        <f t="shared" si="27"/>
        <v>0</v>
      </c>
      <c r="AW27" s="9">
        <f t="shared" si="28"/>
        <v>0</v>
      </c>
      <c r="AX27" s="10">
        <f t="shared" si="29"/>
        <v>0</v>
      </c>
      <c r="AY27" s="1">
        <f>SUMIFS(
  '[1]Hoja 1'!$M:$M,
  '[1]Hoja 1'!$S:$S, $A27,
  '[1]Hoja 1'!$R:$R, "&gt;="&amp;INT($BA$1),
  '[1]Hoja 1'!$R:$R, "&lt;"&amp;INT($BB$1+1)
)</f>
        <v>0</v>
      </c>
      <c r="AZ27" s="1">
        <f t="shared" si="30"/>
        <v>0</v>
      </c>
      <c r="BA27" s="9">
        <f t="shared" si="31"/>
        <v>0</v>
      </c>
      <c r="BB27" s="10">
        <f t="shared" si="32"/>
        <v>0</v>
      </c>
      <c r="BC27" s="1">
        <f>SUMIFS(
  '[1]Hoja 1'!$M:$M,
  '[1]Hoja 1'!$S:$S, $A27,
  '[1]Hoja 1'!$R:$R, "&gt;="&amp;INT($BE$1),
  '[1]Hoja 1'!$R:$R, "&lt;"&amp;INT($BF$1+1)
)</f>
        <v>0</v>
      </c>
      <c r="BD27" s="1">
        <f t="shared" si="33"/>
        <v>0</v>
      </c>
      <c r="BE27" s="9">
        <f t="shared" si="34"/>
        <v>0</v>
      </c>
      <c r="BF27" s="10">
        <f t="shared" si="35"/>
        <v>0</v>
      </c>
      <c r="BG27" s="1">
        <f>SUMIFS(
  '[1]Hoja 1'!$M:$M,
  '[1]Hoja 1'!$S:$S, $A27,
  '[1]Hoja 1'!$R:$R, "&gt;="&amp;INT($BI$1),
  '[1]Hoja 1'!$R:$R, "&lt;"&amp;INT($BJ$1+1)
)</f>
        <v>0</v>
      </c>
      <c r="BH27" s="1">
        <f t="shared" si="36"/>
        <v>0</v>
      </c>
      <c r="BI27" s="9">
        <f t="shared" si="37"/>
        <v>0</v>
      </c>
      <c r="BJ27" s="10">
        <f t="shared" si="38"/>
        <v>0</v>
      </c>
      <c r="BK27" s="1">
        <f>SUMIFS(
  '[1]Hoja 1'!$M:$M,
  '[1]Hoja 1'!$S:$S, $A27,
  '[1]Hoja 1'!$R:$R, "&gt;="&amp;INT($BM$1),
  '[1]Hoja 1'!$R:$R, "&lt;"&amp;INT($BN$1+1)
)</f>
        <v>0</v>
      </c>
      <c r="BL27" s="1">
        <f t="shared" si="39"/>
        <v>0</v>
      </c>
      <c r="BM27" s="9">
        <f t="shared" si="40"/>
        <v>0</v>
      </c>
      <c r="BN27" s="10">
        <f t="shared" si="41"/>
        <v>0</v>
      </c>
      <c r="BO27" s="1">
        <f>SUMIFS(
  '[1]Hoja 1'!$M:$M,
  '[1]Hoja 1'!$S:$S, $A27,
  '[1]Hoja 1'!$R:$R, "&gt;="&amp;INT($BQ$1),
  '[1]Hoja 1'!$R:$R, "&lt;"&amp;INT($BR$1+1)
)</f>
        <v>0</v>
      </c>
      <c r="BP27" s="1">
        <f t="shared" si="42"/>
        <v>0</v>
      </c>
      <c r="BQ27" s="9">
        <f t="shared" si="43"/>
        <v>0</v>
      </c>
      <c r="BR27" s="10">
        <f t="shared" si="44"/>
        <v>0</v>
      </c>
      <c r="BS27" s="1">
        <f>SUMIFS(
  '[1]Hoja 1'!$M:$M,
  '[1]Hoja 1'!$S:$S, $A27,
  '[1]Hoja 1'!$R:$R, "&gt;="&amp;INT($BU$1),
  '[1]Hoja 1'!$R:$R, "&lt;"&amp;INT($BV$1+1)
)</f>
        <v>0</v>
      </c>
      <c r="BT27" s="1">
        <f t="shared" si="45"/>
        <v>0</v>
      </c>
      <c r="BU27" s="9">
        <f t="shared" si="46"/>
        <v>0</v>
      </c>
      <c r="BV27" s="10">
        <f t="shared" si="47"/>
        <v>0</v>
      </c>
      <c r="BW27" s="1">
        <f>SUMIFS(
  '[1]Hoja 1'!$M:$M,
  '[1]Hoja 1'!$S:$S, $A27,
  '[1]Hoja 1'!$R:$R, "&gt;="&amp;INT($BY$1),
  '[1]Hoja 1'!$R:$R, "&lt;"&amp;INT($BZ$1+1)
)</f>
        <v>0</v>
      </c>
      <c r="BX27" s="1">
        <f t="shared" si="48"/>
        <v>0</v>
      </c>
      <c r="BY27" s="9">
        <f t="shared" si="49"/>
        <v>0</v>
      </c>
      <c r="BZ27" s="10">
        <f t="shared" si="50"/>
        <v>0</v>
      </c>
      <c r="CA27" s="1">
        <f>SUMIFS(
  '[1]Hoja 1'!$M:$M,
  '[1]Hoja 1'!$S:$S, $A27,
  '[1]Hoja 1'!$R:$R, "&gt;="&amp;INT($CC$1),
  '[1]Hoja 1'!$R:$R, "&lt;"&amp;INT($CD$1+1)
)</f>
        <v>0</v>
      </c>
      <c r="CB27" s="1">
        <f t="shared" si="51"/>
        <v>0</v>
      </c>
      <c r="CC27" s="9">
        <f t="shared" si="52"/>
        <v>0</v>
      </c>
      <c r="CD27" s="10">
        <f t="shared" si="53"/>
        <v>0</v>
      </c>
      <c r="CE27" s="1">
        <f>SUMIFS(
  '[1]Hoja 1'!$M:$M,
  '[1]Hoja 1'!$S:$S, $A27,
  '[1]Hoja 1'!$R:$R, "&gt;="&amp;INT($CG$1),
  '[1]Hoja 1'!$R:$R, "&lt;"&amp;INT($CH$1+1)
)</f>
        <v>0</v>
      </c>
      <c r="CF27" s="1">
        <f t="shared" si="54"/>
        <v>0</v>
      </c>
      <c r="CG27" s="9">
        <f t="shared" si="55"/>
        <v>0</v>
      </c>
      <c r="CH27" s="10">
        <f t="shared" si="56"/>
        <v>0</v>
      </c>
      <c r="CI27" s="1">
        <f>SUMIFS(
  '[1]Hoja 1'!$M:$M,
  '[1]Hoja 1'!$S:$S, $A27,
  '[1]Hoja 1'!$R:$R, "&gt;="&amp;INT($CK$1),
  '[1]Hoja 1'!$R:$R, "&lt;"&amp;INT($CL$1+1)
)</f>
        <v>0</v>
      </c>
      <c r="CJ27" s="1">
        <f t="shared" si="57"/>
        <v>0</v>
      </c>
      <c r="CK27" s="9">
        <f t="shared" si="58"/>
        <v>0</v>
      </c>
      <c r="CL27" s="10">
        <f t="shared" si="59"/>
        <v>0</v>
      </c>
      <c r="CM27" s="1">
        <f>SUMIFS(
  '[1]Hoja 1'!$M:$M,
  '[1]Hoja 1'!$S:$S, $A27,
  '[1]Hoja 1'!$R:$R, "&gt;="&amp;INT($CO$1),
  '[1]Hoja 1'!$R:$R, "&lt;"&amp;INT($CP$1+1)
)</f>
        <v>0</v>
      </c>
      <c r="CN27" s="1">
        <f t="shared" si="60"/>
        <v>0</v>
      </c>
      <c r="CO27" s="9">
        <f t="shared" si="61"/>
        <v>0</v>
      </c>
      <c r="CP27" s="10">
        <f t="shared" si="62"/>
        <v>0</v>
      </c>
      <c r="CQ27" s="1">
        <f>SUMIFS(
  '[1]Hoja 1'!$M:$M,
  '[1]Hoja 1'!$S:$S, $A27,
  '[1]Hoja 1'!$R:$R, "&gt;="&amp;INT($CS$1),
  '[1]Hoja 1'!$R:$R, "&lt;"&amp;INT($CT$1+1)
)</f>
        <v>0</v>
      </c>
      <c r="CR27" s="1">
        <f t="shared" si="63"/>
        <v>0</v>
      </c>
      <c r="CS27" s="9">
        <f t="shared" si="64"/>
        <v>0</v>
      </c>
      <c r="CT27" s="10">
        <f t="shared" si="65"/>
        <v>0</v>
      </c>
      <c r="CU27" s="1">
        <f>SUMIFS(
  '[1]Hoja 1'!$M:$M,
  '[1]Hoja 1'!$S:$S, $A27,
  '[1]Hoja 1'!$R:$R, "&gt;="&amp;INT($CW$1),
  '[1]Hoja 1'!$R:$R, "&lt;"&amp;INT($CX$1+1)
)</f>
        <v>0</v>
      </c>
      <c r="CV27" s="1">
        <f t="shared" si="66"/>
        <v>0</v>
      </c>
      <c r="CW27" s="9">
        <f t="shared" si="67"/>
        <v>0</v>
      </c>
      <c r="CX27" s="10">
        <f t="shared" si="68"/>
        <v>0</v>
      </c>
      <c r="CY27" s="1">
        <f>SUMIFS(
  '[1]Hoja 1'!$M:$M,
  '[1]Hoja 1'!$S:$S, $A27,
  '[1]Hoja 1'!$R:$R, "&gt;="&amp;INT($DA$1),
  '[1]Hoja 1'!$R:$R, "&lt;"&amp;INT($DB$1+1)
)</f>
        <v>0</v>
      </c>
      <c r="CZ27" s="1">
        <f t="shared" si="69"/>
        <v>0</v>
      </c>
      <c r="DA27" s="9">
        <f t="shared" si="70"/>
        <v>0</v>
      </c>
      <c r="DB27" s="10">
        <f t="shared" si="71"/>
        <v>0</v>
      </c>
      <c r="DC27" s="1">
        <f>SUMIFS(
  '[1]Hoja 1'!$M:$M,
  '[1]Hoja 1'!$S:$S, $A27,
  '[1]Hoja 1'!$R:$R, "&gt;="&amp;INT($DE$1),
  '[1]Hoja 1'!$R:$R, "&lt;"&amp;INT($DF$1+1)
)</f>
        <v>0</v>
      </c>
      <c r="DD27" s="1">
        <f t="shared" si="72"/>
        <v>0</v>
      </c>
      <c r="DE27" s="9">
        <f t="shared" si="73"/>
        <v>0</v>
      </c>
      <c r="DF27" s="10">
        <f t="shared" si="74"/>
        <v>0</v>
      </c>
      <c r="DG27" s="1">
        <f>SUMIFS(
  '[1]Hoja 1'!$M:$M,
  '[1]Hoja 1'!$S:$S, $A27,
  '[1]Hoja 1'!$R:$R, "&gt;="&amp;INT($DI$1),
  '[1]Hoja 1'!$R:$R, "&lt;"&amp;INT($DJ$1+1)
)</f>
        <v>0</v>
      </c>
      <c r="DH27" s="1">
        <f t="shared" si="75"/>
        <v>0</v>
      </c>
      <c r="DI27" s="9">
        <f t="shared" si="76"/>
        <v>0</v>
      </c>
      <c r="DJ27" s="10">
        <f t="shared" si="77"/>
        <v>0</v>
      </c>
      <c r="DK27" s="1">
        <f>SUMIFS(
  '[1]Hoja 1'!$M:$M,
  '[1]Hoja 1'!$S:$S, $A27,
  '[1]Hoja 1'!$R:$R, "&gt;="&amp;INT($DM$1),
  '[1]Hoja 1'!$R:$R, "&lt;"&amp;INT($DN$1+1)
)</f>
        <v>0</v>
      </c>
      <c r="DL27" s="1">
        <f t="shared" si="78"/>
        <v>0</v>
      </c>
      <c r="DM27" s="9">
        <f t="shared" si="79"/>
        <v>0</v>
      </c>
      <c r="DN27" s="10">
        <f t="shared" si="80"/>
        <v>0</v>
      </c>
      <c r="DO27" s="1">
        <f>SUMIFS(
  '[1]Hoja 1'!$M:$M,
  '[1]Hoja 1'!$S:$S, $A27,
  '[1]Hoja 1'!$R:$R, "&gt;="&amp;INT($DQ$1),
  '[1]Hoja 1'!$R:$R, "&lt;"&amp;INT($DR$1+1)
)</f>
        <v>0</v>
      </c>
      <c r="DP27" s="1">
        <f t="shared" si="81"/>
        <v>0</v>
      </c>
      <c r="DQ27" s="9">
        <f t="shared" si="82"/>
        <v>0</v>
      </c>
      <c r="DR27" s="10">
        <f t="shared" si="83"/>
        <v>0</v>
      </c>
    </row>
    <row r="28" spans="1:122" x14ac:dyDescent="0.25">
      <c r="A28" s="5">
        <v>205005</v>
      </c>
      <c r="B28" s="6" t="s">
        <v>32</v>
      </c>
      <c r="C28" s="1">
        <f>SUMIFS(
  '[1]Hoja 1'!$M:$M,
  '[1]Hoja 1'!$S:$S, $A28,
  '[1]Hoja 1'!$R:$R, "&gt;="&amp;INT($E$1),
  '[1]Hoja 1'!$R:$R, "&lt;"&amp;INT($F$1+1)
)</f>
        <v>0</v>
      </c>
      <c r="D28" s="1" t="str">
        <f>""</f>
        <v/>
      </c>
      <c r="F28" s="2"/>
      <c r="G28" s="1">
        <f>SUMIFS(
  '[1]Hoja 1'!$M:$M,
  '[1]Hoja 1'!$S:$S, $A28,
  '[1]Hoja 1'!$R:$R, "&gt;="&amp;INT($I$1),
  '[1]Hoja 1'!$R:$R, "&lt;"&amp;INT($J$1+1)
)</f>
        <v>0</v>
      </c>
      <c r="H28" s="1">
        <f t="shared" si="84"/>
        <v>0</v>
      </c>
      <c r="I28" s="1"/>
      <c r="J28" s="2"/>
      <c r="K28" s="1">
        <f>SUMIFS(
  '[1]Hoja 1'!$M:$M,
  '[1]Hoja 1'!$S:$S, $A28,
  '[1]Hoja 1'!$R:$R, "&gt;="&amp;INT($M$1),
  '[1]Hoja 1'!$R:$R, "&lt;"&amp;INT($N$1+1)
)</f>
        <v>0</v>
      </c>
      <c r="L28" s="1">
        <f t="shared" si="0"/>
        <v>0</v>
      </c>
      <c r="M28" s="9">
        <f t="shared" si="1"/>
        <v>0</v>
      </c>
      <c r="N28" s="10">
        <f t="shared" si="2"/>
        <v>0</v>
      </c>
      <c r="O28" s="1">
        <f>SUMIFS(
  '[1]Hoja 1'!$M:$M,
  '[1]Hoja 1'!$S:$S, $A28,
  '[1]Hoja 1'!$R:$R, "&gt;="&amp;INT($Q$1),
  '[1]Hoja 1'!$R:$R, "&lt;"&amp;INT($R$1+1)
)</f>
        <v>0</v>
      </c>
      <c r="P28" s="1">
        <f t="shared" si="3"/>
        <v>0</v>
      </c>
      <c r="Q28" s="9">
        <f t="shared" si="4"/>
        <v>0</v>
      </c>
      <c r="R28" s="10">
        <f t="shared" si="5"/>
        <v>0</v>
      </c>
      <c r="S28" s="1">
        <f>SUMIFS(
  '[1]Hoja 1'!$M:$M,
  '[1]Hoja 1'!$S:$S, $A28,
  '[1]Hoja 1'!$R:$R, "&gt;="&amp;INT($U$1),
  '[1]Hoja 1'!$R:$R, "&lt;"&amp;INT($V$1+1)
)</f>
        <v>0</v>
      </c>
      <c r="T28" s="1">
        <f t="shared" si="6"/>
        <v>0</v>
      </c>
      <c r="U28" s="9">
        <f t="shared" si="7"/>
        <v>0</v>
      </c>
      <c r="V28" s="10">
        <f t="shared" si="8"/>
        <v>0</v>
      </c>
      <c r="W28" s="1">
        <f>SUMIFS(
  '[1]Hoja 1'!$M:$M,
  '[1]Hoja 1'!$S:$S, $A28,
  '[1]Hoja 1'!$R:$R, "&gt;="&amp;INT($Y$1),
  '[1]Hoja 1'!$R:$R, "&lt;"&amp;INT($Z$1+1)
)</f>
        <v>0</v>
      </c>
      <c r="X28" s="1">
        <f t="shared" si="9"/>
        <v>0</v>
      </c>
      <c r="Y28" s="9">
        <f t="shared" si="10"/>
        <v>0</v>
      </c>
      <c r="Z28" s="10">
        <f t="shared" si="11"/>
        <v>0</v>
      </c>
      <c r="AA28" s="1">
        <f>SUMIFS(
  '[1]Hoja 1'!$M:$M,
  '[1]Hoja 1'!$S:$S, $A28,
  '[1]Hoja 1'!$R:$R, "&gt;="&amp;INT($AC$1),
  '[1]Hoja 1'!$R:$R, "&lt;"&amp;INT($AD$1+1)
)</f>
        <v>0</v>
      </c>
      <c r="AB28" s="1">
        <f t="shared" si="12"/>
        <v>0</v>
      </c>
      <c r="AC28" s="9">
        <f t="shared" si="13"/>
        <v>0</v>
      </c>
      <c r="AD28" s="10">
        <f t="shared" si="14"/>
        <v>0</v>
      </c>
      <c r="AE28" s="1">
        <f>SUMIFS(
  '[1]Hoja 1'!$M:$M,
  '[1]Hoja 1'!$S:$S, $A28,
  '[1]Hoja 1'!$R:$R, "&gt;="&amp;INT($AG$1),
  '[1]Hoja 1'!$R:$R, "&lt;"&amp;INT($AH$1+1)
)</f>
        <v>0</v>
      </c>
      <c r="AF28" s="1">
        <f t="shared" si="15"/>
        <v>0</v>
      </c>
      <c r="AG28" s="9">
        <f t="shared" si="16"/>
        <v>0</v>
      </c>
      <c r="AH28" s="10">
        <f t="shared" si="17"/>
        <v>0</v>
      </c>
      <c r="AI28" s="1">
        <f>SUMIFS(
  '[1]Hoja 1'!$M:$M,
  '[1]Hoja 1'!$S:$S, $A28,
  '[1]Hoja 1'!$R:$R, "&gt;="&amp;INT($AK$1),
  '[1]Hoja 1'!$R:$R, "&lt;"&amp;INT($AL$1+1)
)</f>
        <v>0</v>
      </c>
      <c r="AJ28" s="1">
        <f t="shared" si="18"/>
        <v>0</v>
      </c>
      <c r="AK28" s="9">
        <f t="shared" si="19"/>
        <v>0</v>
      </c>
      <c r="AL28" s="10">
        <f t="shared" si="20"/>
        <v>0</v>
      </c>
      <c r="AM28" s="1">
        <f>SUMIFS(
  '[1]Hoja 1'!$M:$M,
  '[1]Hoja 1'!$S:$S, $A28,
  '[1]Hoja 1'!$R:$R, "&gt;="&amp;INT($AO$1),
  '[1]Hoja 1'!$R:$R, "&lt;"&amp;INT($AP$1+1)
)</f>
        <v>0</v>
      </c>
      <c r="AN28" s="1">
        <f t="shared" si="21"/>
        <v>0</v>
      </c>
      <c r="AO28" s="9">
        <f t="shared" si="22"/>
        <v>0</v>
      </c>
      <c r="AP28" s="10">
        <f t="shared" si="23"/>
        <v>0</v>
      </c>
      <c r="AQ28" s="1">
        <f>SUMIFS(
  '[1]Hoja 1'!$M:$M,
  '[1]Hoja 1'!$S:$S, $A28,
  '[1]Hoja 1'!$R:$R, "&gt;="&amp;INT($AS$1),
  '[1]Hoja 1'!$R:$R, "&lt;"&amp;INT($AT$1+1)
)</f>
        <v>0</v>
      </c>
      <c r="AR28" s="1">
        <f t="shared" si="24"/>
        <v>0</v>
      </c>
      <c r="AS28" s="9">
        <f t="shared" si="25"/>
        <v>0</v>
      </c>
      <c r="AT28" s="10">
        <f t="shared" si="26"/>
        <v>0</v>
      </c>
      <c r="AU28" s="1">
        <f>SUMIFS(
  '[1]Hoja 1'!$M:$M,
  '[1]Hoja 1'!$S:$S, $A28,
  '[1]Hoja 1'!$R:$R, "&gt;="&amp;INT($AW$1),
  '[1]Hoja 1'!$R:$R, "&lt;"&amp;INT($AX$1+1)
)</f>
        <v>0</v>
      </c>
      <c r="AV28" s="1">
        <f t="shared" si="27"/>
        <v>0</v>
      </c>
      <c r="AW28" s="9">
        <f t="shared" si="28"/>
        <v>0</v>
      </c>
      <c r="AX28" s="10">
        <f t="shared" si="29"/>
        <v>0</v>
      </c>
      <c r="AY28" s="1">
        <f>SUMIFS(
  '[1]Hoja 1'!$M:$M,
  '[1]Hoja 1'!$S:$S, $A28,
  '[1]Hoja 1'!$R:$R, "&gt;="&amp;INT($BA$1),
  '[1]Hoja 1'!$R:$R, "&lt;"&amp;INT($BB$1+1)
)</f>
        <v>0</v>
      </c>
      <c r="AZ28" s="1">
        <f t="shared" si="30"/>
        <v>0</v>
      </c>
      <c r="BA28" s="9">
        <f t="shared" si="31"/>
        <v>0</v>
      </c>
      <c r="BB28" s="10">
        <f t="shared" si="32"/>
        <v>0</v>
      </c>
      <c r="BC28" s="1">
        <f>SUMIFS(
  '[1]Hoja 1'!$M:$M,
  '[1]Hoja 1'!$S:$S, $A28,
  '[1]Hoja 1'!$R:$R, "&gt;="&amp;INT($BE$1),
  '[1]Hoja 1'!$R:$R, "&lt;"&amp;INT($BF$1+1)
)</f>
        <v>0</v>
      </c>
      <c r="BD28" s="1">
        <f t="shared" si="33"/>
        <v>0</v>
      </c>
      <c r="BE28" s="9">
        <f t="shared" si="34"/>
        <v>0</v>
      </c>
      <c r="BF28" s="10">
        <f t="shared" si="35"/>
        <v>0</v>
      </c>
      <c r="BG28" s="1">
        <f>SUMIFS(
  '[1]Hoja 1'!$M:$M,
  '[1]Hoja 1'!$S:$S, $A28,
  '[1]Hoja 1'!$R:$R, "&gt;="&amp;INT($BI$1),
  '[1]Hoja 1'!$R:$R, "&lt;"&amp;INT($BJ$1+1)
)</f>
        <v>0</v>
      </c>
      <c r="BH28" s="1">
        <f t="shared" si="36"/>
        <v>0</v>
      </c>
      <c r="BI28" s="9">
        <f t="shared" si="37"/>
        <v>0</v>
      </c>
      <c r="BJ28" s="10">
        <f t="shared" si="38"/>
        <v>0</v>
      </c>
      <c r="BK28" s="1">
        <f>SUMIFS(
  '[1]Hoja 1'!$M:$M,
  '[1]Hoja 1'!$S:$S, $A28,
  '[1]Hoja 1'!$R:$R, "&gt;="&amp;INT($BM$1),
  '[1]Hoja 1'!$R:$R, "&lt;"&amp;INT($BN$1+1)
)</f>
        <v>0</v>
      </c>
      <c r="BL28" s="1">
        <f t="shared" si="39"/>
        <v>0</v>
      </c>
      <c r="BM28" s="9">
        <f t="shared" si="40"/>
        <v>0</v>
      </c>
      <c r="BN28" s="10">
        <f t="shared" si="41"/>
        <v>0</v>
      </c>
      <c r="BO28" s="1">
        <f>SUMIFS(
  '[1]Hoja 1'!$M:$M,
  '[1]Hoja 1'!$S:$S, $A28,
  '[1]Hoja 1'!$R:$R, "&gt;="&amp;INT($BQ$1),
  '[1]Hoja 1'!$R:$R, "&lt;"&amp;INT($BR$1+1)
)</f>
        <v>0</v>
      </c>
      <c r="BP28" s="1">
        <f t="shared" si="42"/>
        <v>0</v>
      </c>
      <c r="BQ28" s="9">
        <f t="shared" si="43"/>
        <v>0</v>
      </c>
      <c r="BR28" s="10">
        <f t="shared" si="44"/>
        <v>0</v>
      </c>
      <c r="BS28" s="1">
        <f>SUMIFS(
  '[1]Hoja 1'!$M:$M,
  '[1]Hoja 1'!$S:$S, $A28,
  '[1]Hoja 1'!$R:$R, "&gt;="&amp;INT($BU$1),
  '[1]Hoja 1'!$R:$R, "&lt;"&amp;INT($BV$1+1)
)</f>
        <v>0</v>
      </c>
      <c r="BT28" s="1">
        <f t="shared" si="45"/>
        <v>0</v>
      </c>
      <c r="BU28" s="9">
        <f t="shared" si="46"/>
        <v>0</v>
      </c>
      <c r="BV28" s="10">
        <f t="shared" si="47"/>
        <v>0</v>
      </c>
      <c r="BW28" s="1">
        <f>SUMIFS(
  '[1]Hoja 1'!$M:$M,
  '[1]Hoja 1'!$S:$S, $A28,
  '[1]Hoja 1'!$R:$R, "&gt;="&amp;INT($BY$1),
  '[1]Hoja 1'!$R:$R, "&lt;"&amp;INT($BZ$1+1)
)</f>
        <v>0</v>
      </c>
      <c r="BX28" s="1">
        <f t="shared" si="48"/>
        <v>0</v>
      </c>
      <c r="BY28" s="9">
        <f t="shared" si="49"/>
        <v>0</v>
      </c>
      <c r="BZ28" s="10">
        <f t="shared" si="50"/>
        <v>0</v>
      </c>
      <c r="CA28" s="1">
        <f>SUMIFS(
  '[1]Hoja 1'!$M:$M,
  '[1]Hoja 1'!$S:$S, $A28,
  '[1]Hoja 1'!$R:$R, "&gt;="&amp;INT($CC$1),
  '[1]Hoja 1'!$R:$R, "&lt;"&amp;INT($CD$1+1)
)</f>
        <v>0</v>
      </c>
      <c r="CB28" s="1">
        <f t="shared" si="51"/>
        <v>0</v>
      </c>
      <c r="CC28" s="9">
        <f t="shared" si="52"/>
        <v>0</v>
      </c>
      <c r="CD28" s="10">
        <f t="shared" si="53"/>
        <v>0</v>
      </c>
      <c r="CE28" s="1">
        <f>SUMIFS(
  '[1]Hoja 1'!$M:$M,
  '[1]Hoja 1'!$S:$S, $A28,
  '[1]Hoja 1'!$R:$R, "&gt;="&amp;INT($CG$1),
  '[1]Hoja 1'!$R:$R, "&lt;"&amp;INT($CH$1+1)
)</f>
        <v>0</v>
      </c>
      <c r="CF28" s="1">
        <f t="shared" si="54"/>
        <v>0</v>
      </c>
      <c r="CG28" s="9">
        <f t="shared" si="55"/>
        <v>0</v>
      </c>
      <c r="CH28" s="10">
        <f t="shared" si="56"/>
        <v>0</v>
      </c>
      <c r="CI28" s="1">
        <f>SUMIFS(
  '[1]Hoja 1'!$M:$M,
  '[1]Hoja 1'!$S:$S, $A28,
  '[1]Hoja 1'!$R:$R, "&gt;="&amp;INT($CK$1),
  '[1]Hoja 1'!$R:$R, "&lt;"&amp;INT($CL$1+1)
)</f>
        <v>0</v>
      </c>
      <c r="CJ28" s="1">
        <f t="shared" si="57"/>
        <v>0</v>
      </c>
      <c r="CK28" s="9">
        <f t="shared" si="58"/>
        <v>0</v>
      </c>
      <c r="CL28" s="10">
        <f t="shared" si="59"/>
        <v>0</v>
      </c>
      <c r="CM28" s="1">
        <f>SUMIFS(
  '[1]Hoja 1'!$M:$M,
  '[1]Hoja 1'!$S:$S, $A28,
  '[1]Hoja 1'!$R:$R, "&gt;="&amp;INT($CO$1),
  '[1]Hoja 1'!$R:$R, "&lt;"&amp;INT($CP$1+1)
)</f>
        <v>0</v>
      </c>
      <c r="CN28" s="1">
        <f t="shared" si="60"/>
        <v>0</v>
      </c>
      <c r="CO28" s="9">
        <f t="shared" si="61"/>
        <v>0</v>
      </c>
      <c r="CP28" s="10">
        <f t="shared" si="62"/>
        <v>0</v>
      </c>
      <c r="CQ28" s="1">
        <f>SUMIFS(
  '[1]Hoja 1'!$M:$M,
  '[1]Hoja 1'!$S:$S, $A28,
  '[1]Hoja 1'!$R:$R, "&gt;="&amp;INT($CS$1),
  '[1]Hoja 1'!$R:$R, "&lt;"&amp;INT($CT$1+1)
)</f>
        <v>0</v>
      </c>
      <c r="CR28" s="1">
        <f t="shared" si="63"/>
        <v>0</v>
      </c>
      <c r="CS28" s="9">
        <f t="shared" si="64"/>
        <v>0</v>
      </c>
      <c r="CT28" s="10">
        <f t="shared" si="65"/>
        <v>0</v>
      </c>
      <c r="CU28" s="1">
        <f>SUMIFS(
  '[1]Hoja 1'!$M:$M,
  '[1]Hoja 1'!$S:$S, $A28,
  '[1]Hoja 1'!$R:$R, "&gt;="&amp;INT($CW$1),
  '[1]Hoja 1'!$R:$R, "&lt;"&amp;INT($CX$1+1)
)</f>
        <v>0</v>
      </c>
      <c r="CV28" s="1">
        <f t="shared" si="66"/>
        <v>0</v>
      </c>
      <c r="CW28" s="9">
        <f t="shared" si="67"/>
        <v>0</v>
      </c>
      <c r="CX28" s="10">
        <f t="shared" si="68"/>
        <v>0</v>
      </c>
      <c r="CY28" s="1">
        <f>SUMIFS(
  '[1]Hoja 1'!$M:$M,
  '[1]Hoja 1'!$S:$S, $A28,
  '[1]Hoja 1'!$R:$R, "&gt;="&amp;INT($DA$1),
  '[1]Hoja 1'!$R:$R, "&lt;"&amp;INT($DB$1+1)
)</f>
        <v>0</v>
      </c>
      <c r="CZ28" s="1">
        <f t="shared" si="69"/>
        <v>0</v>
      </c>
      <c r="DA28" s="9">
        <f t="shared" si="70"/>
        <v>0</v>
      </c>
      <c r="DB28" s="10">
        <f t="shared" si="71"/>
        <v>0</v>
      </c>
      <c r="DC28" s="1">
        <f>SUMIFS(
  '[1]Hoja 1'!$M:$M,
  '[1]Hoja 1'!$S:$S, $A28,
  '[1]Hoja 1'!$R:$R, "&gt;="&amp;INT($DE$1),
  '[1]Hoja 1'!$R:$R, "&lt;"&amp;INT($DF$1+1)
)</f>
        <v>0</v>
      </c>
      <c r="DD28" s="1">
        <f t="shared" si="72"/>
        <v>0</v>
      </c>
      <c r="DE28" s="9">
        <f t="shared" si="73"/>
        <v>0</v>
      </c>
      <c r="DF28" s="10">
        <f t="shared" si="74"/>
        <v>0</v>
      </c>
      <c r="DG28" s="1">
        <f>SUMIFS(
  '[1]Hoja 1'!$M:$M,
  '[1]Hoja 1'!$S:$S, $A28,
  '[1]Hoja 1'!$R:$R, "&gt;="&amp;INT($DI$1),
  '[1]Hoja 1'!$R:$R, "&lt;"&amp;INT($DJ$1+1)
)</f>
        <v>0</v>
      </c>
      <c r="DH28" s="1">
        <f t="shared" si="75"/>
        <v>0</v>
      </c>
      <c r="DI28" s="9">
        <f t="shared" si="76"/>
        <v>0</v>
      </c>
      <c r="DJ28" s="10">
        <f t="shared" si="77"/>
        <v>0</v>
      </c>
      <c r="DK28" s="1">
        <f>SUMIFS(
  '[1]Hoja 1'!$M:$M,
  '[1]Hoja 1'!$S:$S, $A28,
  '[1]Hoja 1'!$R:$R, "&gt;="&amp;INT($DM$1),
  '[1]Hoja 1'!$R:$R, "&lt;"&amp;INT($DN$1+1)
)</f>
        <v>0</v>
      </c>
      <c r="DL28" s="1">
        <f t="shared" si="78"/>
        <v>0</v>
      </c>
      <c r="DM28" s="9">
        <f t="shared" si="79"/>
        <v>0</v>
      </c>
      <c r="DN28" s="10">
        <f t="shared" si="80"/>
        <v>0</v>
      </c>
      <c r="DO28" s="1">
        <f>SUMIFS(
  '[1]Hoja 1'!$M:$M,
  '[1]Hoja 1'!$S:$S, $A28,
  '[1]Hoja 1'!$R:$R, "&gt;="&amp;INT($DQ$1),
  '[1]Hoja 1'!$R:$R, "&lt;"&amp;INT($DR$1+1)
)</f>
        <v>0</v>
      </c>
      <c r="DP28" s="1">
        <f t="shared" si="81"/>
        <v>0</v>
      </c>
      <c r="DQ28" s="9">
        <f t="shared" si="82"/>
        <v>0</v>
      </c>
      <c r="DR28" s="10">
        <f t="shared" si="83"/>
        <v>0</v>
      </c>
    </row>
    <row r="29" spans="1:122" x14ac:dyDescent="0.25">
      <c r="A29" s="5">
        <v>206001</v>
      </c>
      <c r="B29" s="6" t="s">
        <v>33</v>
      </c>
      <c r="C29" s="1">
        <f>SUMIFS(
  '[1]Hoja 1'!$M:$M,
  '[1]Hoja 1'!$S:$S, $A29,
  '[1]Hoja 1'!$R:$R, "&gt;="&amp;INT($E$1),
  '[1]Hoja 1'!$R:$R, "&lt;"&amp;INT($F$1+1)
)</f>
        <v>0</v>
      </c>
      <c r="D29" s="1" t="str">
        <f>""</f>
        <v/>
      </c>
      <c r="F29" s="2"/>
      <c r="G29" s="1">
        <f>SUMIFS(
  '[1]Hoja 1'!$M:$M,
  '[1]Hoja 1'!$S:$S, $A29,
  '[1]Hoja 1'!$R:$R, "&gt;="&amp;INT($I$1),
  '[1]Hoja 1'!$R:$R, "&lt;"&amp;INT($J$1+1)
)</f>
        <v>0</v>
      </c>
      <c r="H29" s="1">
        <f t="shared" si="84"/>
        <v>0</v>
      </c>
      <c r="I29" s="1"/>
      <c r="J29" s="2"/>
      <c r="K29" s="1">
        <f>SUMIFS(
  '[1]Hoja 1'!$M:$M,
  '[1]Hoja 1'!$S:$S, $A29,
  '[1]Hoja 1'!$R:$R, "&gt;="&amp;INT($M$1),
  '[1]Hoja 1'!$R:$R, "&lt;"&amp;INT($N$1+1)
)</f>
        <v>0</v>
      </c>
      <c r="L29" s="1">
        <f t="shared" si="0"/>
        <v>0</v>
      </c>
      <c r="M29" s="9">
        <f t="shared" si="1"/>
        <v>0</v>
      </c>
      <c r="N29" s="10">
        <f t="shared" si="2"/>
        <v>0</v>
      </c>
      <c r="O29" s="1">
        <f>SUMIFS(
  '[1]Hoja 1'!$M:$M,
  '[1]Hoja 1'!$S:$S, $A29,
  '[1]Hoja 1'!$R:$R, "&gt;="&amp;INT($Q$1),
  '[1]Hoja 1'!$R:$R, "&lt;"&amp;INT($R$1+1)
)</f>
        <v>0</v>
      </c>
      <c r="P29" s="1">
        <f t="shared" si="3"/>
        <v>0</v>
      </c>
      <c r="Q29" s="9">
        <f t="shared" si="4"/>
        <v>0</v>
      </c>
      <c r="R29" s="10">
        <f t="shared" si="5"/>
        <v>0</v>
      </c>
      <c r="S29" s="1">
        <f>SUMIFS(
  '[1]Hoja 1'!$M:$M,
  '[1]Hoja 1'!$S:$S, $A29,
  '[1]Hoja 1'!$R:$R, "&gt;="&amp;INT($U$1),
  '[1]Hoja 1'!$R:$R, "&lt;"&amp;INT($V$1+1)
)</f>
        <v>0</v>
      </c>
      <c r="T29" s="1">
        <f t="shared" si="6"/>
        <v>0</v>
      </c>
      <c r="U29" s="9">
        <f t="shared" si="7"/>
        <v>0</v>
      </c>
      <c r="V29" s="10">
        <f t="shared" si="8"/>
        <v>0</v>
      </c>
      <c r="W29" s="1">
        <f>SUMIFS(
  '[1]Hoja 1'!$M:$M,
  '[1]Hoja 1'!$S:$S, $A29,
  '[1]Hoja 1'!$R:$R, "&gt;="&amp;INT($Y$1),
  '[1]Hoja 1'!$R:$R, "&lt;"&amp;INT($Z$1+1)
)</f>
        <v>0</v>
      </c>
      <c r="X29" s="1">
        <f t="shared" si="9"/>
        <v>0</v>
      </c>
      <c r="Y29" s="9">
        <f t="shared" si="10"/>
        <v>0</v>
      </c>
      <c r="Z29" s="10">
        <f t="shared" si="11"/>
        <v>0</v>
      </c>
      <c r="AA29" s="1">
        <f>SUMIFS(
  '[1]Hoja 1'!$M:$M,
  '[1]Hoja 1'!$S:$S, $A29,
  '[1]Hoja 1'!$R:$R, "&gt;="&amp;INT($AC$1),
  '[1]Hoja 1'!$R:$R, "&lt;"&amp;INT($AD$1+1)
)</f>
        <v>0</v>
      </c>
      <c r="AB29" s="1">
        <f t="shared" si="12"/>
        <v>0</v>
      </c>
      <c r="AC29" s="9">
        <f t="shared" si="13"/>
        <v>0</v>
      </c>
      <c r="AD29" s="10">
        <f t="shared" si="14"/>
        <v>0</v>
      </c>
      <c r="AE29" s="1">
        <f>SUMIFS(
  '[1]Hoja 1'!$M:$M,
  '[1]Hoja 1'!$S:$S, $A29,
  '[1]Hoja 1'!$R:$R, "&gt;="&amp;INT($AG$1),
  '[1]Hoja 1'!$R:$R, "&lt;"&amp;INT($AH$1+1)
)</f>
        <v>0</v>
      </c>
      <c r="AF29" s="1">
        <f t="shared" si="15"/>
        <v>0</v>
      </c>
      <c r="AG29" s="9">
        <f t="shared" si="16"/>
        <v>0</v>
      </c>
      <c r="AH29" s="10">
        <f t="shared" si="17"/>
        <v>0</v>
      </c>
      <c r="AI29" s="1">
        <f>SUMIFS(
  '[1]Hoja 1'!$M:$M,
  '[1]Hoja 1'!$S:$S, $A29,
  '[1]Hoja 1'!$R:$R, "&gt;="&amp;INT($AK$1),
  '[1]Hoja 1'!$R:$R, "&lt;"&amp;INT($AL$1+1)
)</f>
        <v>0</v>
      </c>
      <c r="AJ29" s="1">
        <f t="shared" si="18"/>
        <v>0</v>
      </c>
      <c r="AK29" s="9">
        <f t="shared" si="19"/>
        <v>0</v>
      </c>
      <c r="AL29" s="10">
        <f t="shared" si="20"/>
        <v>0</v>
      </c>
      <c r="AM29" s="1">
        <f>SUMIFS(
  '[1]Hoja 1'!$M:$M,
  '[1]Hoja 1'!$S:$S, $A29,
  '[1]Hoja 1'!$R:$R, "&gt;="&amp;INT($AO$1),
  '[1]Hoja 1'!$R:$R, "&lt;"&amp;INT($AP$1+1)
)</f>
        <v>0</v>
      </c>
      <c r="AN29" s="1">
        <f t="shared" si="21"/>
        <v>0</v>
      </c>
      <c r="AO29" s="9">
        <f t="shared" si="22"/>
        <v>0</v>
      </c>
      <c r="AP29" s="10">
        <f t="shared" si="23"/>
        <v>0</v>
      </c>
      <c r="AQ29" s="1">
        <f>SUMIFS(
  '[1]Hoja 1'!$M:$M,
  '[1]Hoja 1'!$S:$S, $A29,
  '[1]Hoja 1'!$R:$R, "&gt;="&amp;INT($AS$1),
  '[1]Hoja 1'!$R:$R, "&lt;"&amp;INT($AT$1+1)
)</f>
        <v>0</v>
      </c>
      <c r="AR29" s="1">
        <f t="shared" si="24"/>
        <v>0</v>
      </c>
      <c r="AS29" s="9">
        <f t="shared" si="25"/>
        <v>0</v>
      </c>
      <c r="AT29" s="10">
        <f t="shared" si="26"/>
        <v>0</v>
      </c>
      <c r="AU29" s="1">
        <f>SUMIFS(
  '[1]Hoja 1'!$M:$M,
  '[1]Hoja 1'!$S:$S, $A29,
  '[1]Hoja 1'!$R:$R, "&gt;="&amp;INT($AW$1),
  '[1]Hoja 1'!$R:$R, "&lt;"&amp;INT($AX$1+1)
)</f>
        <v>0</v>
      </c>
      <c r="AV29" s="1">
        <f t="shared" si="27"/>
        <v>0</v>
      </c>
      <c r="AW29" s="9">
        <f t="shared" si="28"/>
        <v>0</v>
      </c>
      <c r="AX29" s="10">
        <f t="shared" si="29"/>
        <v>0</v>
      </c>
      <c r="AY29" s="1">
        <f>SUMIFS(
  '[1]Hoja 1'!$M:$M,
  '[1]Hoja 1'!$S:$S, $A29,
  '[1]Hoja 1'!$R:$R, "&gt;="&amp;INT($BA$1),
  '[1]Hoja 1'!$R:$R, "&lt;"&amp;INT($BB$1+1)
)</f>
        <v>0</v>
      </c>
      <c r="AZ29" s="1">
        <f t="shared" si="30"/>
        <v>0</v>
      </c>
      <c r="BA29" s="9">
        <f t="shared" si="31"/>
        <v>0</v>
      </c>
      <c r="BB29" s="10">
        <f t="shared" si="32"/>
        <v>0</v>
      </c>
      <c r="BC29" s="1">
        <f>SUMIFS(
  '[1]Hoja 1'!$M:$M,
  '[1]Hoja 1'!$S:$S, $A29,
  '[1]Hoja 1'!$R:$R, "&gt;="&amp;INT($BE$1),
  '[1]Hoja 1'!$R:$R, "&lt;"&amp;INT($BF$1+1)
)</f>
        <v>0</v>
      </c>
      <c r="BD29" s="1">
        <f t="shared" si="33"/>
        <v>0</v>
      </c>
      <c r="BE29" s="9">
        <f t="shared" si="34"/>
        <v>0</v>
      </c>
      <c r="BF29" s="10">
        <f t="shared" si="35"/>
        <v>0</v>
      </c>
      <c r="BG29" s="1">
        <f>SUMIFS(
  '[1]Hoja 1'!$M:$M,
  '[1]Hoja 1'!$S:$S, $A29,
  '[1]Hoja 1'!$R:$R, "&gt;="&amp;INT($BI$1),
  '[1]Hoja 1'!$R:$R, "&lt;"&amp;INT($BJ$1+1)
)</f>
        <v>0</v>
      </c>
      <c r="BH29" s="1">
        <f t="shared" si="36"/>
        <v>0</v>
      </c>
      <c r="BI29" s="9">
        <f t="shared" si="37"/>
        <v>0</v>
      </c>
      <c r="BJ29" s="10">
        <f t="shared" si="38"/>
        <v>0</v>
      </c>
      <c r="BK29" s="1">
        <f>SUMIFS(
  '[1]Hoja 1'!$M:$M,
  '[1]Hoja 1'!$S:$S, $A29,
  '[1]Hoja 1'!$R:$R, "&gt;="&amp;INT($BM$1),
  '[1]Hoja 1'!$R:$R, "&lt;"&amp;INT($BN$1+1)
)</f>
        <v>0</v>
      </c>
      <c r="BL29" s="1">
        <f t="shared" si="39"/>
        <v>0</v>
      </c>
      <c r="BM29" s="9">
        <f t="shared" si="40"/>
        <v>0</v>
      </c>
      <c r="BN29" s="10">
        <f t="shared" si="41"/>
        <v>0</v>
      </c>
      <c r="BO29" s="1">
        <f>SUMIFS(
  '[1]Hoja 1'!$M:$M,
  '[1]Hoja 1'!$S:$S, $A29,
  '[1]Hoja 1'!$R:$R, "&gt;="&amp;INT($BQ$1),
  '[1]Hoja 1'!$R:$R, "&lt;"&amp;INT($BR$1+1)
)</f>
        <v>0</v>
      </c>
      <c r="BP29" s="1">
        <f t="shared" si="42"/>
        <v>0</v>
      </c>
      <c r="BQ29" s="9">
        <f t="shared" si="43"/>
        <v>0</v>
      </c>
      <c r="BR29" s="10">
        <f t="shared" si="44"/>
        <v>0</v>
      </c>
      <c r="BS29" s="1">
        <f>SUMIFS(
  '[1]Hoja 1'!$M:$M,
  '[1]Hoja 1'!$S:$S, $A29,
  '[1]Hoja 1'!$R:$R, "&gt;="&amp;INT($BU$1),
  '[1]Hoja 1'!$R:$R, "&lt;"&amp;INT($BV$1+1)
)</f>
        <v>0</v>
      </c>
      <c r="BT29" s="1">
        <f t="shared" si="45"/>
        <v>0</v>
      </c>
      <c r="BU29" s="9">
        <f t="shared" si="46"/>
        <v>0</v>
      </c>
      <c r="BV29" s="10">
        <f t="shared" si="47"/>
        <v>0</v>
      </c>
      <c r="BW29" s="1">
        <f>SUMIFS(
  '[1]Hoja 1'!$M:$M,
  '[1]Hoja 1'!$S:$S, $A29,
  '[1]Hoja 1'!$R:$R, "&gt;="&amp;INT($BY$1),
  '[1]Hoja 1'!$R:$R, "&lt;"&amp;INT($BZ$1+1)
)</f>
        <v>0</v>
      </c>
      <c r="BX29" s="1">
        <f t="shared" si="48"/>
        <v>0</v>
      </c>
      <c r="BY29" s="9">
        <f t="shared" si="49"/>
        <v>0</v>
      </c>
      <c r="BZ29" s="10">
        <f t="shared" si="50"/>
        <v>0</v>
      </c>
      <c r="CA29" s="1">
        <f>SUMIFS(
  '[1]Hoja 1'!$M:$M,
  '[1]Hoja 1'!$S:$S, $A29,
  '[1]Hoja 1'!$R:$R, "&gt;="&amp;INT($CC$1),
  '[1]Hoja 1'!$R:$R, "&lt;"&amp;INT($CD$1+1)
)</f>
        <v>0</v>
      </c>
      <c r="CB29" s="1">
        <f t="shared" si="51"/>
        <v>0</v>
      </c>
      <c r="CC29" s="9">
        <f t="shared" si="52"/>
        <v>0</v>
      </c>
      <c r="CD29" s="10">
        <f t="shared" si="53"/>
        <v>0</v>
      </c>
      <c r="CE29" s="1">
        <f>SUMIFS(
  '[1]Hoja 1'!$M:$M,
  '[1]Hoja 1'!$S:$S, $A29,
  '[1]Hoja 1'!$R:$R, "&gt;="&amp;INT($CG$1),
  '[1]Hoja 1'!$R:$R, "&lt;"&amp;INT($CH$1+1)
)</f>
        <v>0</v>
      </c>
      <c r="CF29" s="1">
        <f t="shared" si="54"/>
        <v>0</v>
      </c>
      <c r="CG29" s="9">
        <f t="shared" si="55"/>
        <v>0</v>
      </c>
      <c r="CH29" s="10">
        <f t="shared" si="56"/>
        <v>0</v>
      </c>
      <c r="CI29" s="1">
        <f>SUMIFS(
  '[1]Hoja 1'!$M:$M,
  '[1]Hoja 1'!$S:$S, $A29,
  '[1]Hoja 1'!$R:$R, "&gt;="&amp;INT($CK$1),
  '[1]Hoja 1'!$R:$R, "&lt;"&amp;INT($CL$1+1)
)</f>
        <v>0</v>
      </c>
      <c r="CJ29" s="1">
        <f t="shared" si="57"/>
        <v>0</v>
      </c>
      <c r="CK29" s="9">
        <f t="shared" si="58"/>
        <v>0</v>
      </c>
      <c r="CL29" s="10">
        <f t="shared" si="59"/>
        <v>0</v>
      </c>
      <c r="CM29" s="1">
        <f>SUMIFS(
  '[1]Hoja 1'!$M:$M,
  '[1]Hoja 1'!$S:$S, $A29,
  '[1]Hoja 1'!$R:$R, "&gt;="&amp;INT($CO$1),
  '[1]Hoja 1'!$R:$R, "&lt;"&amp;INT($CP$1+1)
)</f>
        <v>0</v>
      </c>
      <c r="CN29" s="1">
        <f t="shared" si="60"/>
        <v>0</v>
      </c>
      <c r="CO29" s="9">
        <f t="shared" si="61"/>
        <v>0</v>
      </c>
      <c r="CP29" s="10">
        <f t="shared" si="62"/>
        <v>0</v>
      </c>
      <c r="CQ29" s="1">
        <f>SUMIFS(
  '[1]Hoja 1'!$M:$M,
  '[1]Hoja 1'!$S:$S, $A29,
  '[1]Hoja 1'!$R:$R, "&gt;="&amp;INT($CS$1),
  '[1]Hoja 1'!$R:$R, "&lt;"&amp;INT($CT$1+1)
)</f>
        <v>0</v>
      </c>
      <c r="CR29" s="1">
        <f t="shared" si="63"/>
        <v>0</v>
      </c>
      <c r="CS29" s="9">
        <f t="shared" si="64"/>
        <v>0</v>
      </c>
      <c r="CT29" s="10">
        <f t="shared" si="65"/>
        <v>0</v>
      </c>
      <c r="CU29" s="1">
        <f>SUMIFS(
  '[1]Hoja 1'!$M:$M,
  '[1]Hoja 1'!$S:$S, $A29,
  '[1]Hoja 1'!$R:$R, "&gt;="&amp;INT($CW$1),
  '[1]Hoja 1'!$R:$R, "&lt;"&amp;INT($CX$1+1)
)</f>
        <v>0</v>
      </c>
      <c r="CV29" s="1">
        <f t="shared" si="66"/>
        <v>0</v>
      </c>
      <c r="CW29" s="9">
        <f t="shared" si="67"/>
        <v>0</v>
      </c>
      <c r="CX29" s="10">
        <f t="shared" si="68"/>
        <v>0</v>
      </c>
      <c r="CY29" s="1">
        <f>SUMIFS(
  '[1]Hoja 1'!$M:$M,
  '[1]Hoja 1'!$S:$S, $A29,
  '[1]Hoja 1'!$R:$R, "&gt;="&amp;INT($DA$1),
  '[1]Hoja 1'!$R:$R, "&lt;"&amp;INT($DB$1+1)
)</f>
        <v>0</v>
      </c>
      <c r="CZ29" s="1">
        <f t="shared" si="69"/>
        <v>0</v>
      </c>
      <c r="DA29" s="9">
        <f t="shared" si="70"/>
        <v>0</v>
      </c>
      <c r="DB29" s="10">
        <f t="shared" si="71"/>
        <v>0</v>
      </c>
      <c r="DC29" s="1">
        <f>SUMIFS(
  '[1]Hoja 1'!$M:$M,
  '[1]Hoja 1'!$S:$S, $A29,
  '[1]Hoja 1'!$R:$R, "&gt;="&amp;INT($DE$1),
  '[1]Hoja 1'!$R:$R, "&lt;"&amp;INT($DF$1+1)
)</f>
        <v>0</v>
      </c>
      <c r="DD29" s="1">
        <f t="shared" si="72"/>
        <v>0</v>
      </c>
      <c r="DE29" s="9">
        <f t="shared" si="73"/>
        <v>0</v>
      </c>
      <c r="DF29" s="10">
        <f t="shared" si="74"/>
        <v>0</v>
      </c>
      <c r="DG29" s="1">
        <f>SUMIFS(
  '[1]Hoja 1'!$M:$M,
  '[1]Hoja 1'!$S:$S, $A29,
  '[1]Hoja 1'!$R:$R, "&gt;="&amp;INT($DI$1),
  '[1]Hoja 1'!$R:$R, "&lt;"&amp;INT($DJ$1+1)
)</f>
        <v>0</v>
      </c>
      <c r="DH29" s="1">
        <f t="shared" si="75"/>
        <v>0</v>
      </c>
      <c r="DI29" s="9">
        <f t="shared" si="76"/>
        <v>0</v>
      </c>
      <c r="DJ29" s="10">
        <f t="shared" si="77"/>
        <v>0</v>
      </c>
      <c r="DK29" s="1">
        <f>SUMIFS(
  '[1]Hoja 1'!$M:$M,
  '[1]Hoja 1'!$S:$S, $A29,
  '[1]Hoja 1'!$R:$R, "&gt;="&amp;INT($DM$1),
  '[1]Hoja 1'!$R:$R, "&lt;"&amp;INT($DN$1+1)
)</f>
        <v>0</v>
      </c>
      <c r="DL29" s="1">
        <f t="shared" si="78"/>
        <v>0</v>
      </c>
      <c r="DM29" s="9">
        <f t="shared" si="79"/>
        <v>0</v>
      </c>
      <c r="DN29" s="10">
        <f t="shared" si="80"/>
        <v>0</v>
      </c>
      <c r="DO29" s="1">
        <f>SUMIFS(
  '[1]Hoja 1'!$M:$M,
  '[1]Hoja 1'!$S:$S, $A29,
  '[1]Hoja 1'!$R:$R, "&gt;="&amp;INT($DQ$1),
  '[1]Hoja 1'!$R:$R, "&lt;"&amp;INT($DR$1+1)
)</f>
        <v>0</v>
      </c>
      <c r="DP29" s="1">
        <f t="shared" si="81"/>
        <v>0</v>
      </c>
      <c r="DQ29" s="9">
        <f t="shared" si="82"/>
        <v>0</v>
      </c>
      <c r="DR29" s="10">
        <f t="shared" si="83"/>
        <v>0</v>
      </c>
    </row>
    <row r="30" spans="1:122" x14ac:dyDescent="0.25">
      <c r="A30" s="5">
        <v>206002</v>
      </c>
      <c r="B30" s="6" t="s">
        <v>34</v>
      </c>
      <c r="C30" s="1">
        <f>SUMIFS(
  '[1]Hoja 1'!$M:$M,
  '[1]Hoja 1'!$S:$S, $A30,
  '[1]Hoja 1'!$R:$R, "&gt;="&amp;INT($E$1),
  '[1]Hoja 1'!$R:$R, "&lt;"&amp;INT($F$1+1)
)</f>
        <v>0</v>
      </c>
      <c r="D30" s="1" t="str">
        <f>""</f>
        <v/>
      </c>
      <c r="F30" s="2"/>
      <c r="G30" s="1">
        <f>SUMIFS(
  '[1]Hoja 1'!$M:$M,
  '[1]Hoja 1'!$S:$S, $A30,
  '[1]Hoja 1'!$R:$R, "&gt;="&amp;INT($I$1),
  '[1]Hoja 1'!$R:$R, "&lt;"&amp;INT($J$1+1)
)</f>
        <v>0</v>
      </c>
      <c r="H30" s="1">
        <f t="shared" si="84"/>
        <v>0</v>
      </c>
      <c r="I30" s="1"/>
      <c r="J30" s="2"/>
      <c r="K30" s="1">
        <f>SUMIFS(
  '[1]Hoja 1'!$M:$M,
  '[1]Hoja 1'!$S:$S, $A30,
  '[1]Hoja 1'!$R:$R, "&gt;="&amp;INT($M$1),
  '[1]Hoja 1'!$R:$R, "&lt;"&amp;INT($N$1+1)
)</f>
        <v>5</v>
      </c>
      <c r="L30" s="1">
        <f t="shared" si="0"/>
        <v>2.5</v>
      </c>
      <c r="M30" s="9">
        <f t="shared" si="1"/>
        <v>-0.96482322781408314</v>
      </c>
      <c r="N30" s="10">
        <f t="shared" si="2"/>
        <v>5.9648232278140831</v>
      </c>
      <c r="O30" s="1">
        <f>SUMIFS(
  '[1]Hoja 1'!$M:$M,
  '[1]Hoja 1'!$S:$S, $A30,
  '[1]Hoja 1'!$R:$R, "&gt;="&amp;INT($Q$1),
  '[1]Hoja 1'!$R:$R, "&lt;"&amp;INT($R$1+1)
)</f>
        <v>3</v>
      </c>
      <c r="P30" s="1">
        <f t="shared" si="3"/>
        <v>4</v>
      </c>
      <c r="Q30" s="9">
        <f t="shared" si="4"/>
        <v>-1.0334402499547091</v>
      </c>
      <c r="R30" s="10">
        <f t="shared" si="5"/>
        <v>6.0334402499547091</v>
      </c>
      <c r="S30" s="1">
        <f>SUMIFS(
  '[1]Hoja 1'!$M:$M,
  '[1]Hoja 1'!$S:$S, $A30,
  '[1]Hoja 1'!$R:$R, "&gt;="&amp;INT($U$1),
  '[1]Hoja 1'!$R:$R, "&lt;"&amp;INT($V$1+1)
)</f>
        <v>1</v>
      </c>
      <c r="T30" s="1">
        <f t="shared" si="6"/>
        <v>2</v>
      </c>
      <c r="U30" s="9">
        <f t="shared" si="7"/>
        <v>-1.2379571749278382</v>
      </c>
      <c r="V30" s="10">
        <f t="shared" si="8"/>
        <v>5.2379571749278382</v>
      </c>
      <c r="W30" s="1">
        <f>SUMIFS(
  '[1]Hoja 1'!$M:$M,
  '[1]Hoja 1'!$S:$S, $A30,
  '[1]Hoja 1'!$R:$R, "&gt;="&amp;INT($Y$1),
  '[1]Hoja 1'!$R:$R, "&lt;"&amp;INT($Z$1+1)
)</f>
        <v>2</v>
      </c>
      <c r="X30" s="1">
        <f t="shared" si="9"/>
        <v>2</v>
      </c>
      <c r="Y30" s="9">
        <f t="shared" si="10"/>
        <v>-1.2502922945482919</v>
      </c>
      <c r="Z30" s="10">
        <f t="shared" si="11"/>
        <v>5.2502922945482915</v>
      </c>
      <c r="AA30" s="1">
        <f>SUMIFS(
  '[1]Hoja 1'!$M:$M,
  '[1]Hoja 1'!$S:$S, $A30,
  '[1]Hoja 1'!$R:$R, "&gt;="&amp;INT($AC$1),
  '[1]Hoja 1'!$R:$R, "&lt;"&amp;INT($AD$1+1)
)</f>
        <v>3</v>
      </c>
      <c r="AB30" s="1">
        <f t="shared" si="12"/>
        <v>3</v>
      </c>
      <c r="AC30" s="9">
        <f t="shared" si="13"/>
        <v>1.5137564129658962</v>
      </c>
      <c r="AD30" s="10">
        <f t="shared" si="14"/>
        <v>4.6974097914174999</v>
      </c>
      <c r="AE30" s="1">
        <f>SUMIFS(
  '[1]Hoja 1'!$M:$M,
  '[1]Hoja 1'!$S:$S, $A30,
  '[1]Hoja 1'!$R:$R, "&gt;="&amp;INT($AG$1),
  '[1]Hoja 1'!$R:$R, "&lt;"&amp;INT($AH$1+1)
)</f>
        <v>0</v>
      </c>
      <c r="AF30" s="1">
        <f t="shared" si="15"/>
        <v>2</v>
      </c>
      <c r="AG30" s="9">
        <f t="shared" si="16"/>
        <v>0.21974159179067509</v>
      </c>
      <c r="AH30" s="10">
        <f t="shared" si="17"/>
        <v>4.0203217565526534</v>
      </c>
      <c r="AI30" s="1">
        <f>SUMIFS(
  '[1]Hoja 1'!$M:$M,
  '[1]Hoja 1'!$S:$S, $A30,
  '[1]Hoja 1'!$R:$R, "&gt;="&amp;INT($AK$1),
  '[1]Hoja 1'!$R:$R, "&lt;"&amp;INT($AL$1+1)
)</f>
        <v>0</v>
      </c>
      <c r="AJ30" s="1">
        <f t="shared" si="18"/>
        <v>0</v>
      </c>
      <c r="AK30" s="9">
        <f t="shared" si="19"/>
        <v>-1.6103043190651884</v>
      </c>
      <c r="AL30" s="10">
        <f t="shared" si="20"/>
        <v>1.8551100596280894</v>
      </c>
      <c r="AM30" s="1">
        <f>SUMIFS(
  '[1]Hoja 1'!$M:$M,
  '[1]Hoja 1'!$S:$S, $A30,
  '[1]Hoja 1'!$R:$R, "&gt;="&amp;INT($AO$1),
  '[1]Hoja 1'!$R:$R, "&lt;"&amp;INT($AP$1+1)
)</f>
        <v>0</v>
      </c>
      <c r="AN30" s="1">
        <f t="shared" si="21"/>
        <v>0</v>
      </c>
      <c r="AO30" s="9">
        <f t="shared" si="22"/>
        <v>-1.4862435870341038</v>
      </c>
      <c r="AP30" s="10">
        <f t="shared" si="23"/>
        <v>1.6974097914174997</v>
      </c>
      <c r="AQ30" s="1">
        <f>SUMIFS(
  '[1]Hoja 1'!$M:$M,
  '[1]Hoja 1'!$S:$S, $A30,
  '[1]Hoja 1'!$R:$R, "&gt;="&amp;INT($AS$1),
  '[1]Hoja 1'!$R:$R, "&lt;"&amp;INT($AT$1+1)
)</f>
        <v>0</v>
      </c>
      <c r="AR30" s="1">
        <f t="shared" si="24"/>
        <v>0</v>
      </c>
      <c r="AS30" s="9">
        <f t="shared" si="25"/>
        <v>-1.3148079707698763</v>
      </c>
      <c r="AT30" s="10">
        <f t="shared" si="26"/>
        <v>1.47</v>
      </c>
      <c r="AU30" s="1">
        <f>SUMIFS(
  '[1]Hoja 1'!$M:$M,
  '[1]Hoja 1'!$S:$S, $A30,
  '[1]Hoja 1'!$R:$R, "&gt;="&amp;INT($AW$1),
  '[1]Hoja 1'!$R:$R, "&lt;"&amp;INT($AX$1+1)
)</f>
        <v>0</v>
      </c>
      <c r="AV30" s="1">
        <f t="shared" si="27"/>
        <v>0</v>
      </c>
      <c r="AW30" s="9">
        <f t="shared" si="28"/>
        <v>0</v>
      </c>
      <c r="AX30" s="10">
        <f t="shared" si="29"/>
        <v>0</v>
      </c>
      <c r="AY30" s="1">
        <f>SUMIFS(
  '[1]Hoja 1'!$M:$M,
  '[1]Hoja 1'!$S:$S, $A30,
  '[1]Hoja 1'!$R:$R, "&gt;="&amp;INT($BA$1),
  '[1]Hoja 1'!$R:$R, "&lt;"&amp;INT($BB$1+1)
)</f>
        <v>0</v>
      </c>
      <c r="AZ30" s="1">
        <f t="shared" si="30"/>
        <v>0</v>
      </c>
      <c r="BA30" s="9">
        <f t="shared" si="31"/>
        <v>0</v>
      </c>
      <c r="BB30" s="10">
        <f t="shared" si="32"/>
        <v>0</v>
      </c>
      <c r="BC30" s="1">
        <f>SUMIFS(
  '[1]Hoja 1'!$M:$M,
  '[1]Hoja 1'!$S:$S, $A30,
  '[1]Hoja 1'!$R:$R, "&gt;="&amp;INT($BE$1),
  '[1]Hoja 1'!$R:$R, "&lt;"&amp;INT($BF$1+1)
)</f>
        <v>0</v>
      </c>
      <c r="BD30" s="1">
        <f t="shared" si="33"/>
        <v>0</v>
      </c>
      <c r="BE30" s="9">
        <f t="shared" si="34"/>
        <v>0</v>
      </c>
      <c r="BF30" s="10">
        <f t="shared" si="35"/>
        <v>0</v>
      </c>
      <c r="BG30" s="1">
        <f>SUMIFS(
  '[1]Hoja 1'!$M:$M,
  '[1]Hoja 1'!$S:$S, $A30,
  '[1]Hoja 1'!$R:$R, "&gt;="&amp;INT($BI$1),
  '[1]Hoja 1'!$R:$R, "&lt;"&amp;INT($BJ$1+1)
)</f>
        <v>0</v>
      </c>
      <c r="BH30" s="1">
        <f t="shared" si="36"/>
        <v>0</v>
      </c>
      <c r="BI30" s="9">
        <f t="shared" si="37"/>
        <v>0</v>
      </c>
      <c r="BJ30" s="10">
        <f t="shared" si="38"/>
        <v>0</v>
      </c>
      <c r="BK30" s="1">
        <f>SUMIFS(
  '[1]Hoja 1'!$M:$M,
  '[1]Hoja 1'!$S:$S, $A30,
  '[1]Hoja 1'!$R:$R, "&gt;="&amp;INT($BM$1),
  '[1]Hoja 1'!$R:$R, "&lt;"&amp;INT($BN$1+1)
)</f>
        <v>0</v>
      </c>
      <c r="BL30" s="1">
        <f t="shared" si="39"/>
        <v>0</v>
      </c>
      <c r="BM30" s="9">
        <f t="shared" si="40"/>
        <v>0</v>
      </c>
      <c r="BN30" s="10">
        <f t="shared" si="41"/>
        <v>0</v>
      </c>
      <c r="BO30" s="1">
        <f>SUMIFS(
  '[1]Hoja 1'!$M:$M,
  '[1]Hoja 1'!$S:$S, $A30,
  '[1]Hoja 1'!$R:$R, "&gt;="&amp;INT($BQ$1),
  '[1]Hoja 1'!$R:$R, "&lt;"&amp;INT($BR$1+1)
)</f>
        <v>0</v>
      </c>
      <c r="BP30" s="1">
        <f t="shared" si="42"/>
        <v>0</v>
      </c>
      <c r="BQ30" s="9">
        <f t="shared" si="43"/>
        <v>0</v>
      </c>
      <c r="BR30" s="10">
        <f t="shared" si="44"/>
        <v>0</v>
      </c>
      <c r="BS30" s="1">
        <f>SUMIFS(
  '[1]Hoja 1'!$M:$M,
  '[1]Hoja 1'!$S:$S, $A30,
  '[1]Hoja 1'!$R:$R, "&gt;="&amp;INT($BU$1),
  '[1]Hoja 1'!$R:$R, "&lt;"&amp;INT($BV$1+1)
)</f>
        <v>0</v>
      </c>
      <c r="BT30" s="1">
        <f t="shared" si="45"/>
        <v>0</v>
      </c>
      <c r="BU30" s="9">
        <f t="shared" si="46"/>
        <v>0</v>
      </c>
      <c r="BV30" s="10">
        <f t="shared" si="47"/>
        <v>0</v>
      </c>
      <c r="BW30" s="1">
        <f>SUMIFS(
  '[1]Hoja 1'!$M:$M,
  '[1]Hoja 1'!$S:$S, $A30,
  '[1]Hoja 1'!$R:$R, "&gt;="&amp;INT($BY$1),
  '[1]Hoja 1'!$R:$R, "&lt;"&amp;INT($BZ$1+1)
)</f>
        <v>0</v>
      </c>
      <c r="BX30" s="1">
        <f t="shared" si="48"/>
        <v>0</v>
      </c>
      <c r="BY30" s="9">
        <f t="shared" si="49"/>
        <v>0</v>
      </c>
      <c r="BZ30" s="10">
        <f t="shared" si="50"/>
        <v>0</v>
      </c>
      <c r="CA30" s="1">
        <f>SUMIFS(
  '[1]Hoja 1'!$M:$M,
  '[1]Hoja 1'!$S:$S, $A30,
  '[1]Hoja 1'!$R:$R, "&gt;="&amp;INT($CC$1),
  '[1]Hoja 1'!$R:$R, "&lt;"&amp;INT($CD$1+1)
)</f>
        <v>0</v>
      </c>
      <c r="CB30" s="1">
        <f t="shared" si="51"/>
        <v>0</v>
      </c>
      <c r="CC30" s="9">
        <f t="shared" si="52"/>
        <v>0</v>
      </c>
      <c r="CD30" s="10">
        <f t="shared" si="53"/>
        <v>0</v>
      </c>
      <c r="CE30" s="1">
        <f>SUMIFS(
  '[1]Hoja 1'!$M:$M,
  '[1]Hoja 1'!$S:$S, $A30,
  '[1]Hoja 1'!$R:$R, "&gt;="&amp;INT($CG$1),
  '[1]Hoja 1'!$R:$R, "&lt;"&amp;INT($CH$1+1)
)</f>
        <v>0</v>
      </c>
      <c r="CF30" s="1">
        <f t="shared" si="54"/>
        <v>0</v>
      </c>
      <c r="CG30" s="9">
        <f t="shared" si="55"/>
        <v>0</v>
      </c>
      <c r="CH30" s="10">
        <f t="shared" si="56"/>
        <v>0</v>
      </c>
      <c r="CI30" s="1">
        <f>SUMIFS(
  '[1]Hoja 1'!$M:$M,
  '[1]Hoja 1'!$S:$S, $A30,
  '[1]Hoja 1'!$R:$R, "&gt;="&amp;INT($CK$1),
  '[1]Hoja 1'!$R:$R, "&lt;"&amp;INT($CL$1+1)
)</f>
        <v>0</v>
      </c>
      <c r="CJ30" s="1">
        <f t="shared" si="57"/>
        <v>0</v>
      </c>
      <c r="CK30" s="9">
        <f t="shared" si="58"/>
        <v>0</v>
      </c>
      <c r="CL30" s="10">
        <f t="shared" si="59"/>
        <v>0</v>
      </c>
      <c r="CM30" s="1">
        <f>SUMIFS(
  '[1]Hoja 1'!$M:$M,
  '[1]Hoja 1'!$S:$S, $A30,
  '[1]Hoja 1'!$R:$R, "&gt;="&amp;INT($CO$1),
  '[1]Hoja 1'!$R:$R, "&lt;"&amp;INT($CP$1+1)
)</f>
        <v>0</v>
      </c>
      <c r="CN30" s="1">
        <f t="shared" si="60"/>
        <v>0</v>
      </c>
      <c r="CO30" s="9">
        <f t="shared" si="61"/>
        <v>0</v>
      </c>
      <c r="CP30" s="10">
        <f t="shared" si="62"/>
        <v>0</v>
      </c>
      <c r="CQ30" s="1">
        <f>SUMIFS(
  '[1]Hoja 1'!$M:$M,
  '[1]Hoja 1'!$S:$S, $A30,
  '[1]Hoja 1'!$R:$R, "&gt;="&amp;INT($CS$1),
  '[1]Hoja 1'!$R:$R, "&lt;"&amp;INT($CT$1+1)
)</f>
        <v>0</v>
      </c>
      <c r="CR30" s="1">
        <f t="shared" si="63"/>
        <v>0</v>
      </c>
      <c r="CS30" s="9">
        <f t="shared" si="64"/>
        <v>0</v>
      </c>
      <c r="CT30" s="10">
        <f t="shared" si="65"/>
        <v>0</v>
      </c>
      <c r="CU30" s="1">
        <f>SUMIFS(
  '[1]Hoja 1'!$M:$M,
  '[1]Hoja 1'!$S:$S, $A30,
  '[1]Hoja 1'!$R:$R, "&gt;="&amp;INT($CW$1),
  '[1]Hoja 1'!$R:$R, "&lt;"&amp;INT($CX$1+1)
)</f>
        <v>0</v>
      </c>
      <c r="CV30" s="1">
        <f t="shared" si="66"/>
        <v>0</v>
      </c>
      <c r="CW30" s="9">
        <f t="shared" si="67"/>
        <v>0</v>
      </c>
      <c r="CX30" s="10">
        <f t="shared" si="68"/>
        <v>0</v>
      </c>
      <c r="CY30" s="1">
        <f>SUMIFS(
  '[1]Hoja 1'!$M:$M,
  '[1]Hoja 1'!$S:$S, $A30,
  '[1]Hoja 1'!$R:$R, "&gt;="&amp;INT($DA$1),
  '[1]Hoja 1'!$R:$R, "&lt;"&amp;INT($DB$1+1)
)</f>
        <v>0</v>
      </c>
      <c r="CZ30" s="1">
        <f t="shared" si="69"/>
        <v>0</v>
      </c>
      <c r="DA30" s="9">
        <f t="shared" si="70"/>
        <v>0</v>
      </c>
      <c r="DB30" s="10">
        <f t="shared" si="71"/>
        <v>0</v>
      </c>
      <c r="DC30" s="1">
        <f>SUMIFS(
  '[1]Hoja 1'!$M:$M,
  '[1]Hoja 1'!$S:$S, $A30,
  '[1]Hoja 1'!$R:$R, "&gt;="&amp;INT($DE$1),
  '[1]Hoja 1'!$R:$R, "&lt;"&amp;INT($DF$1+1)
)</f>
        <v>0</v>
      </c>
      <c r="DD30" s="1">
        <f t="shared" si="72"/>
        <v>0</v>
      </c>
      <c r="DE30" s="9">
        <f t="shared" si="73"/>
        <v>0</v>
      </c>
      <c r="DF30" s="10">
        <f t="shared" si="74"/>
        <v>0</v>
      </c>
      <c r="DG30" s="1">
        <f>SUMIFS(
  '[1]Hoja 1'!$M:$M,
  '[1]Hoja 1'!$S:$S, $A30,
  '[1]Hoja 1'!$R:$R, "&gt;="&amp;INT($DI$1),
  '[1]Hoja 1'!$R:$R, "&lt;"&amp;INT($DJ$1+1)
)</f>
        <v>0</v>
      </c>
      <c r="DH30" s="1">
        <f t="shared" si="75"/>
        <v>0</v>
      </c>
      <c r="DI30" s="9">
        <f t="shared" si="76"/>
        <v>0</v>
      </c>
      <c r="DJ30" s="10">
        <f t="shared" si="77"/>
        <v>0</v>
      </c>
      <c r="DK30" s="1">
        <f>SUMIFS(
  '[1]Hoja 1'!$M:$M,
  '[1]Hoja 1'!$S:$S, $A30,
  '[1]Hoja 1'!$R:$R, "&gt;="&amp;INT($DM$1),
  '[1]Hoja 1'!$R:$R, "&lt;"&amp;INT($DN$1+1)
)</f>
        <v>0</v>
      </c>
      <c r="DL30" s="1">
        <f t="shared" si="78"/>
        <v>0</v>
      </c>
      <c r="DM30" s="9">
        <f t="shared" si="79"/>
        <v>0</v>
      </c>
      <c r="DN30" s="10">
        <f t="shared" si="80"/>
        <v>0</v>
      </c>
      <c r="DO30" s="1">
        <f>SUMIFS(
  '[1]Hoja 1'!$M:$M,
  '[1]Hoja 1'!$S:$S, $A30,
  '[1]Hoja 1'!$R:$R, "&gt;="&amp;INT($DQ$1),
  '[1]Hoja 1'!$R:$R, "&lt;"&amp;INT($DR$1+1)
)</f>
        <v>0</v>
      </c>
      <c r="DP30" s="1">
        <f t="shared" si="81"/>
        <v>0</v>
      </c>
      <c r="DQ30" s="9">
        <f t="shared" si="82"/>
        <v>0</v>
      </c>
      <c r="DR30" s="10">
        <f t="shared" si="83"/>
        <v>0</v>
      </c>
    </row>
    <row r="31" spans="1:122" x14ac:dyDescent="0.25">
      <c r="A31" s="5">
        <v>206003</v>
      </c>
      <c r="B31" s="6" t="s">
        <v>35</v>
      </c>
      <c r="C31" s="1">
        <f>SUMIFS(
  '[1]Hoja 1'!$M:$M,
  '[1]Hoja 1'!$S:$S, $A31,
  '[1]Hoja 1'!$R:$R, "&gt;="&amp;INT($E$1),
  '[1]Hoja 1'!$R:$R, "&lt;"&amp;INT($F$1+1)
)</f>
        <v>0</v>
      </c>
      <c r="D31" s="1" t="str">
        <f>""</f>
        <v/>
      </c>
      <c r="F31" s="2"/>
      <c r="G31" s="1">
        <f>SUMIFS(
  '[1]Hoja 1'!$M:$M,
  '[1]Hoja 1'!$S:$S, $A31,
  '[1]Hoja 1'!$R:$R, "&gt;="&amp;INT($I$1),
  '[1]Hoja 1'!$R:$R, "&lt;"&amp;INT($J$1+1)
)</f>
        <v>0</v>
      </c>
      <c r="H31" s="1">
        <f t="shared" si="84"/>
        <v>0</v>
      </c>
      <c r="I31" s="1"/>
      <c r="J31" s="2"/>
      <c r="K31" s="1">
        <f>SUMIFS(
  '[1]Hoja 1'!$M:$M,
  '[1]Hoja 1'!$S:$S, $A31,
  '[1]Hoja 1'!$R:$R, "&gt;="&amp;INT($M$1),
  '[1]Hoja 1'!$R:$R, "&lt;"&amp;INT($N$1+1)
)</f>
        <v>0</v>
      </c>
      <c r="L31" s="1">
        <f t="shared" si="0"/>
        <v>0</v>
      </c>
      <c r="M31" s="9">
        <f t="shared" si="1"/>
        <v>0</v>
      </c>
      <c r="N31" s="10">
        <f t="shared" si="2"/>
        <v>0</v>
      </c>
      <c r="O31" s="1">
        <f>SUMIFS(
  '[1]Hoja 1'!$M:$M,
  '[1]Hoja 1'!$S:$S, $A31,
  '[1]Hoja 1'!$R:$R, "&gt;="&amp;INT($Q$1),
  '[1]Hoja 1'!$R:$R, "&lt;"&amp;INT($R$1+1)
)</f>
        <v>0</v>
      </c>
      <c r="P31" s="1">
        <f t="shared" si="3"/>
        <v>0</v>
      </c>
      <c r="Q31" s="9">
        <f t="shared" si="4"/>
        <v>0</v>
      </c>
      <c r="R31" s="10">
        <f t="shared" si="5"/>
        <v>0</v>
      </c>
      <c r="S31" s="1">
        <f>SUMIFS(
  '[1]Hoja 1'!$M:$M,
  '[1]Hoja 1'!$S:$S, $A31,
  '[1]Hoja 1'!$R:$R, "&gt;="&amp;INT($U$1),
  '[1]Hoja 1'!$R:$R, "&lt;"&amp;INT($V$1+1)
)</f>
        <v>0</v>
      </c>
      <c r="T31" s="1">
        <f t="shared" si="6"/>
        <v>0</v>
      </c>
      <c r="U31" s="9">
        <f t="shared" si="7"/>
        <v>0</v>
      </c>
      <c r="V31" s="10">
        <f t="shared" si="8"/>
        <v>0</v>
      </c>
      <c r="W31" s="1">
        <f>SUMIFS(
  '[1]Hoja 1'!$M:$M,
  '[1]Hoja 1'!$S:$S, $A31,
  '[1]Hoja 1'!$R:$R, "&gt;="&amp;INT($Y$1),
  '[1]Hoja 1'!$R:$R, "&lt;"&amp;INT($Z$1+1)
)</f>
        <v>0</v>
      </c>
      <c r="X31" s="1">
        <f t="shared" si="9"/>
        <v>0</v>
      </c>
      <c r="Y31" s="9">
        <f t="shared" si="10"/>
        <v>0</v>
      </c>
      <c r="Z31" s="10">
        <f t="shared" si="11"/>
        <v>0</v>
      </c>
      <c r="AA31" s="1">
        <f>SUMIFS(
  '[1]Hoja 1'!$M:$M,
  '[1]Hoja 1'!$S:$S, $A31,
  '[1]Hoja 1'!$R:$R, "&gt;="&amp;INT($AC$1),
  '[1]Hoja 1'!$R:$R, "&lt;"&amp;INT($AD$1+1)
)</f>
        <v>0</v>
      </c>
      <c r="AB31" s="1">
        <f t="shared" si="12"/>
        <v>0</v>
      </c>
      <c r="AC31" s="9">
        <f t="shared" si="13"/>
        <v>0</v>
      </c>
      <c r="AD31" s="10">
        <f t="shared" si="14"/>
        <v>0</v>
      </c>
      <c r="AE31" s="1">
        <f>SUMIFS(
  '[1]Hoja 1'!$M:$M,
  '[1]Hoja 1'!$S:$S, $A31,
  '[1]Hoja 1'!$R:$R, "&gt;="&amp;INT($AG$1),
  '[1]Hoja 1'!$R:$R, "&lt;"&amp;INT($AH$1+1)
)</f>
        <v>0</v>
      </c>
      <c r="AF31" s="1">
        <f t="shared" si="15"/>
        <v>0</v>
      </c>
      <c r="AG31" s="9">
        <f t="shared" si="16"/>
        <v>0</v>
      </c>
      <c r="AH31" s="10">
        <f t="shared" si="17"/>
        <v>0</v>
      </c>
      <c r="AI31" s="1">
        <f>SUMIFS(
  '[1]Hoja 1'!$M:$M,
  '[1]Hoja 1'!$S:$S, $A31,
  '[1]Hoja 1'!$R:$R, "&gt;="&amp;INT($AK$1),
  '[1]Hoja 1'!$R:$R, "&lt;"&amp;INT($AL$1+1)
)</f>
        <v>0</v>
      </c>
      <c r="AJ31" s="1">
        <f t="shared" si="18"/>
        <v>0</v>
      </c>
      <c r="AK31" s="9">
        <f t="shared" si="19"/>
        <v>0</v>
      </c>
      <c r="AL31" s="10">
        <f t="shared" si="20"/>
        <v>0</v>
      </c>
      <c r="AM31" s="1">
        <f>SUMIFS(
  '[1]Hoja 1'!$M:$M,
  '[1]Hoja 1'!$S:$S, $A31,
  '[1]Hoja 1'!$R:$R, "&gt;="&amp;INT($AO$1),
  '[1]Hoja 1'!$R:$R, "&lt;"&amp;INT($AP$1+1)
)</f>
        <v>0</v>
      </c>
      <c r="AN31" s="1">
        <f t="shared" si="21"/>
        <v>0</v>
      </c>
      <c r="AO31" s="9">
        <f t="shared" si="22"/>
        <v>0</v>
      </c>
      <c r="AP31" s="10">
        <f t="shared" si="23"/>
        <v>0</v>
      </c>
      <c r="AQ31" s="1">
        <f>SUMIFS(
  '[1]Hoja 1'!$M:$M,
  '[1]Hoja 1'!$S:$S, $A31,
  '[1]Hoja 1'!$R:$R, "&gt;="&amp;INT($AS$1),
  '[1]Hoja 1'!$R:$R, "&lt;"&amp;INT($AT$1+1)
)</f>
        <v>0</v>
      </c>
      <c r="AR31" s="1">
        <f t="shared" si="24"/>
        <v>0</v>
      </c>
      <c r="AS31" s="9">
        <f t="shared" si="25"/>
        <v>0</v>
      </c>
      <c r="AT31" s="10">
        <f t="shared" si="26"/>
        <v>0</v>
      </c>
      <c r="AU31" s="1">
        <f>SUMIFS(
  '[1]Hoja 1'!$M:$M,
  '[1]Hoja 1'!$S:$S, $A31,
  '[1]Hoja 1'!$R:$R, "&gt;="&amp;INT($AW$1),
  '[1]Hoja 1'!$R:$R, "&lt;"&amp;INT($AX$1+1)
)</f>
        <v>0</v>
      </c>
      <c r="AV31" s="1">
        <f t="shared" si="27"/>
        <v>0</v>
      </c>
      <c r="AW31" s="9">
        <f t="shared" si="28"/>
        <v>0</v>
      </c>
      <c r="AX31" s="10">
        <f t="shared" si="29"/>
        <v>0</v>
      </c>
      <c r="AY31" s="1">
        <f>SUMIFS(
  '[1]Hoja 1'!$M:$M,
  '[1]Hoja 1'!$S:$S, $A31,
  '[1]Hoja 1'!$R:$R, "&gt;="&amp;INT($BA$1),
  '[1]Hoja 1'!$R:$R, "&lt;"&amp;INT($BB$1+1)
)</f>
        <v>0</v>
      </c>
      <c r="AZ31" s="1">
        <f t="shared" si="30"/>
        <v>0</v>
      </c>
      <c r="BA31" s="9">
        <f t="shared" si="31"/>
        <v>0</v>
      </c>
      <c r="BB31" s="10">
        <f t="shared" si="32"/>
        <v>0</v>
      </c>
      <c r="BC31" s="1">
        <f>SUMIFS(
  '[1]Hoja 1'!$M:$M,
  '[1]Hoja 1'!$S:$S, $A31,
  '[1]Hoja 1'!$R:$R, "&gt;="&amp;INT($BE$1),
  '[1]Hoja 1'!$R:$R, "&lt;"&amp;INT($BF$1+1)
)</f>
        <v>0</v>
      </c>
      <c r="BD31" s="1">
        <f t="shared" si="33"/>
        <v>0</v>
      </c>
      <c r="BE31" s="9">
        <f t="shared" si="34"/>
        <v>0</v>
      </c>
      <c r="BF31" s="10">
        <f t="shared" si="35"/>
        <v>0</v>
      </c>
      <c r="BG31" s="1">
        <f>SUMIFS(
  '[1]Hoja 1'!$M:$M,
  '[1]Hoja 1'!$S:$S, $A31,
  '[1]Hoja 1'!$R:$R, "&gt;="&amp;INT($BI$1),
  '[1]Hoja 1'!$R:$R, "&lt;"&amp;INT($BJ$1+1)
)</f>
        <v>0</v>
      </c>
      <c r="BH31" s="1">
        <f t="shared" si="36"/>
        <v>0</v>
      </c>
      <c r="BI31" s="9">
        <f t="shared" si="37"/>
        <v>0</v>
      </c>
      <c r="BJ31" s="10">
        <f t="shared" si="38"/>
        <v>0</v>
      </c>
      <c r="BK31" s="1">
        <f>SUMIFS(
  '[1]Hoja 1'!$M:$M,
  '[1]Hoja 1'!$S:$S, $A31,
  '[1]Hoja 1'!$R:$R, "&gt;="&amp;INT($BM$1),
  '[1]Hoja 1'!$R:$R, "&lt;"&amp;INT($BN$1+1)
)</f>
        <v>0</v>
      </c>
      <c r="BL31" s="1">
        <f t="shared" si="39"/>
        <v>0</v>
      </c>
      <c r="BM31" s="9">
        <f t="shared" si="40"/>
        <v>0</v>
      </c>
      <c r="BN31" s="10">
        <f t="shared" si="41"/>
        <v>0</v>
      </c>
      <c r="BO31" s="1">
        <f>SUMIFS(
  '[1]Hoja 1'!$M:$M,
  '[1]Hoja 1'!$S:$S, $A31,
  '[1]Hoja 1'!$R:$R, "&gt;="&amp;INT($BQ$1),
  '[1]Hoja 1'!$R:$R, "&lt;"&amp;INT($BR$1+1)
)</f>
        <v>0</v>
      </c>
      <c r="BP31" s="1">
        <f t="shared" si="42"/>
        <v>0</v>
      </c>
      <c r="BQ31" s="9">
        <f t="shared" si="43"/>
        <v>0</v>
      </c>
      <c r="BR31" s="10">
        <f t="shared" si="44"/>
        <v>0</v>
      </c>
      <c r="BS31" s="1">
        <f>SUMIFS(
  '[1]Hoja 1'!$M:$M,
  '[1]Hoja 1'!$S:$S, $A31,
  '[1]Hoja 1'!$R:$R, "&gt;="&amp;INT($BU$1),
  '[1]Hoja 1'!$R:$R, "&lt;"&amp;INT($BV$1+1)
)</f>
        <v>0</v>
      </c>
      <c r="BT31" s="1">
        <f t="shared" si="45"/>
        <v>0</v>
      </c>
      <c r="BU31" s="9">
        <f t="shared" si="46"/>
        <v>0</v>
      </c>
      <c r="BV31" s="10">
        <f t="shared" si="47"/>
        <v>0</v>
      </c>
      <c r="BW31" s="1">
        <f>SUMIFS(
  '[1]Hoja 1'!$M:$M,
  '[1]Hoja 1'!$S:$S, $A31,
  '[1]Hoja 1'!$R:$R, "&gt;="&amp;INT($BY$1),
  '[1]Hoja 1'!$R:$R, "&lt;"&amp;INT($BZ$1+1)
)</f>
        <v>0</v>
      </c>
      <c r="BX31" s="1">
        <f t="shared" si="48"/>
        <v>0</v>
      </c>
      <c r="BY31" s="9">
        <f t="shared" si="49"/>
        <v>0</v>
      </c>
      <c r="BZ31" s="10">
        <f t="shared" si="50"/>
        <v>0</v>
      </c>
      <c r="CA31" s="1">
        <f>SUMIFS(
  '[1]Hoja 1'!$M:$M,
  '[1]Hoja 1'!$S:$S, $A31,
  '[1]Hoja 1'!$R:$R, "&gt;="&amp;INT($CC$1),
  '[1]Hoja 1'!$R:$R, "&lt;"&amp;INT($CD$1+1)
)</f>
        <v>0</v>
      </c>
      <c r="CB31" s="1">
        <f t="shared" si="51"/>
        <v>0</v>
      </c>
      <c r="CC31" s="9">
        <f t="shared" si="52"/>
        <v>0</v>
      </c>
      <c r="CD31" s="10">
        <f t="shared" si="53"/>
        <v>0</v>
      </c>
      <c r="CE31" s="1">
        <f>SUMIFS(
  '[1]Hoja 1'!$M:$M,
  '[1]Hoja 1'!$S:$S, $A31,
  '[1]Hoja 1'!$R:$R, "&gt;="&amp;INT($CG$1),
  '[1]Hoja 1'!$R:$R, "&lt;"&amp;INT($CH$1+1)
)</f>
        <v>0</v>
      </c>
      <c r="CF31" s="1">
        <f t="shared" si="54"/>
        <v>0</v>
      </c>
      <c r="CG31" s="9">
        <f t="shared" si="55"/>
        <v>0</v>
      </c>
      <c r="CH31" s="10">
        <f t="shared" si="56"/>
        <v>0</v>
      </c>
      <c r="CI31" s="1">
        <f>SUMIFS(
  '[1]Hoja 1'!$M:$M,
  '[1]Hoja 1'!$S:$S, $A31,
  '[1]Hoja 1'!$R:$R, "&gt;="&amp;INT($CK$1),
  '[1]Hoja 1'!$R:$R, "&lt;"&amp;INT($CL$1+1)
)</f>
        <v>0</v>
      </c>
      <c r="CJ31" s="1">
        <f t="shared" si="57"/>
        <v>0</v>
      </c>
      <c r="CK31" s="9">
        <f t="shared" si="58"/>
        <v>0</v>
      </c>
      <c r="CL31" s="10">
        <f t="shared" si="59"/>
        <v>0</v>
      </c>
      <c r="CM31" s="1">
        <f>SUMIFS(
  '[1]Hoja 1'!$M:$M,
  '[1]Hoja 1'!$S:$S, $A31,
  '[1]Hoja 1'!$R:$R, "&gt;="&amp;INT($CO$1),
  '[1]Hoja 1'!$R:$R, "&lt;"&amp;INT($CP$1+1)
)</f>
        <v>0</v>
      </c>
      <c r="CN31" s="1">
        <f t="shared" si="60"/>
        <v>0</v>
      </c>
      <c r="CO31" s="9">
        <f t="shared" si="61"/>
        <v>0</v>
      </c>
      <c r="CP31" s="10">
        <f t="shared" si="62"/>
        <v>0</v>
      </c>
      <c r="CQ31" s="1">
        <f>SUMIFS(
  '[1]Hoja 1'!$M:$M,
  '[1]Hoja 1'!$S:$S, $A31,
  '[1]Hoja 1'!$R:$R, "&gt;="&amp;INT($CS$1),
  '[1]Hoja 1'!$R:$R, "&lt;"&amp;INT($CT$1+1)
)</f>
        <v>0</v>
      </c>
      <c r="CR31" s="1">
        <f t="shared" si="63"/>
        <v>0</v>
      </c>
      <c r="CS31" s="9">
        <f t="shared" si="64"/>
        <v>0</v>
      </c>
      <c r="CT31" s="10">
        <f t="shared" si="65"/>
        <v>0</v>
      </c>
      <c r="CU31" s="1">
        <f>SUMIFS(
  '[1]Hoja 1'!$M:$M,
  '[1]Hoja 1'!$S:$S, $A31,
  '[1]Hoja 1'!$R:$R, "&gt;="&amp;INT($CW$1),
  '[1]Hoja 1'!$R:$R, "&lt;"&amp;INT($CX$1+1)
)</f>
        <v>0</v>
      </c>
      <c r="CV31" s="1">
        <f t="shared" si="66"/>
        <v>0</v>
      </c>
      <c r="CW31" s="9">
        <f t="shared" si="67"/>
        <v>0</v>
      </c>
      <c r="CX31" s="10">
        <f t="shared" si="68"/>
        <v>0</v>
      </c>
      <c r="CY31" s="1">
        <f>SUMIFS(
  '[1]Hoja 1'!$M:$M,
  '[1]Hoja 1'!$S:$S, $A31,
  '[1]Hoja 1'!$R:$R, "&gt;="&amp;INT($DA$1),
  '[1]Hoja 1'!$R:$R, "&lt;"&amp;INT($DB$1+1)
)</f>
        <v>0</v>
      </c>
      <c r="CZ31" s="1">
        <f t="shared" si="69"/>
        <v>0</v>
      </c>
      <c r="DA31" s="9">
        <f t="shared" si="70"/>
        <v>0</v>
      </c>
      <c r="DB31" s="10">
        <f t="shared" si="71"/>
        <v>0</v>
      </c>
      <c r="DC31" s="1">
        <f>SUMIFS(
  '[1]Hoja 1'!$M:$M,
  '[1]Hoja 1'!$S:$S, $A31,
  '[1]Hoja 1'!$R:$R, "&gt;="&amp;INT($DE$1),
  '[1]Hoja 1'!$R:$R, "&lt;"&amp;INT($DF$1+1)
)</f>
        <v>0</v>
      </c>
      <c r="DD31" s="1">
        <f t="shared" si="72"/>
        <v>0</v>
      </c>
      <c r="DE31" s="9">
        <f t="shared" si="73"/>
        <v>0</v>
      </c>
      <c r="DF31" s="10">
        <f t="shared" si="74"/>
        <v>0</v>
      </c>
      <c r="DG31" s="1">
        <f>SUMIFS(
  '[1]Hoja 1'!$M:$M,
  '[1]Hoja 1'!$S:$S, $A31,
  '[1]Hoja 1'!$R:$R, "&gt;="&amp;INT($DI$1),
  '[1]Hoja 1'!$R:$R, "&lt;"&amp;INT($DJ$1+1)
)</f>
        <v>0</v>
      </c>
      <c r="DH31" s="1">
        <f t="shared" si="75"/>
        <v>0</v>
      </c>
      <c r="DI31" s="9">
        <f t="shared" si="76"/>
        <v>0</v>
      </c>
      <c r="DJ31" s="10">
        <f t="shared" si="77"/>
        <v>0</v>
      </c>
      <c r="DK31" s="1">
        <f>SUMIFS(
  '[1]Hoja 1'!$M:$M,
  '[1]Hoja 1'!$S:$S, $A31,
  '[1]Hoja 1'!$R:$R, "&gt;="&amp;INT($DM$1),
  '[1]Hoja 1'!$R:$R, "&lt;"&amp;INT($DN$1+1)
)</f>
        <v>0</v>
      </c>
      <c r="DL31" s="1">
        <f t="shared" si="78"/>
        <v>0</v>
      </c>
      <c r="DM31" s="9">
        <f t="shared" si="79"/>
        <v>0</v>
      </c>
      <c r="DN31" s="10">
        <f t="shared" si="80"/>
        <v>0</v>
      </c>
      <c r="DO31" s="1">
        <f>SUMIFS(
  '[1]Hoja 1'!$M:$M,
  '[1]Hoja 1'!$S:$S, $A31,
  '[1]Hoja 1'!$R:$R, "&gt;="&amp;INT($DQ$1),
  '[1]Hoja 1'!$R:$R, "&lt;"&amp;INT($DR$1+1)
)</f>
        <v>0</v>
      </c>
      <c r="DP31" s="1">
        <f t="shared" si="81"/>
        <v>0</v>
      </c>
      <c r="DQ31" s="9">
        <f t="shared" si="82"/>
        <v>0</v>
      </c>
      <c r="DR31" s="10">
        <f t="shared" si="83"/>
        <v>0</v>
      </c>
    </row>
    <row r="32" spans="1:122" x14ac:dyDescent="0.25">
      <c r="A32" s="5">
        <v>206004</v>
      </c>
      <c r="B32" s="6" t="s">
        <v>36</v>
      </c>
      <c r="C32" s="1">
        <f>SUMIFS(
  '[1]Hoja 1'!$M:$M,
  '[1]Hoja 1'!$S:$S, $A32,
  '[1]Hoja 1'!$R:$R, "&gt;="&amp;INT($E$1),
  '[1]Hoja 1'!$R:$R, "&lt;"&amp;INT($F$1+1)
)</f>
        <v>0</v>
      </c>
      <c r="D32" s="1" t="str">
        <f>""</f>
        <v/>
      </c>
      <c r="F32" s="2"/>
      <c r="G32" s="1">
        <f>SUMIFS(
  '[1]Hoja 1'!$M:$M,
  '[1]Hoja 1'!$S:$S, $A32,
  '[1]Hoja 1'!$R:$R, "&gt;="&amp;INT($I$1),
  '[1]Hoja 1'!$R:$R, "&lt;"&amp;INT($J$1+1)
)</f>
        <v>0</v>
      </c>
      <c r="H32" s="1">
        <f t="shared" si="84"/>
        <v>0</v>
      </c>
      <c r="I32" s="1"/>
      <c r="J32" s="2"/>
      <c r="K32" s="1">
        <f>SUMIFS(
  '[1]Hoja 1'!$M:$M,
  '[1]Hoja 1'!$S:$S, $A32,
  '[1]Hoja 1'!$R:$R, "&gt;="&amp;INT($M$1),
  '[1]Hoja 1'!$R:$R, "&lt;"&amp;INT($N$1+1)
)</f>
        <v>0</v>
      </c>
      <c r="L32" s="1">
        <f t="shared" si="0"/>
        <v>0</v>
      </c>
      <c r="M32" s="9">
        <f t="shared" si="1"/>
        <v>0</v>
      </c>
      <c r="N32" s="10">
        <f t="shared" si="2"/>
        <v>0</v>
      </c>
      <c r="O32" s="1">
        <f>SUMIFS(
  '[1]Hoja 1'!$M:$M,
  '[1]Hoja 1'!$S:$S, $A32,
  '[1]Hoja 1'!$R:$R, "&gt;="&amp;INT($Q$1),
  '[1]Hoja 1'!$R:$R, "&lt;"&amp;INT($R$1+1)
)</f>
        <v>0</v>
      </c>
      <c r="P32" s="1">
        <f t="shared" si="3"/>
        <v>0</v>
      </c>
      <c r="Q32" s="9">
        <f t="shared" si="4"/>
        <v>0</v>
      </c>
      <c r="R32" s="10">
        <f t="shared" si="5"/>
        <v>0</v>
      </c>
      <c r="S32" s="1">
        <f>SUMIFS(
  '[1]Hoja 1'!$M:$M,
  '[1]Hoja 1'!$S:$S, $A32,
  '[1]Hoja 1'!$R:$R, "&gt;="&amp;INT($U$1),
  '[1]Hoja 1'!$R:$R, "&lt;"&amp;INT($V$1+1)
)</f>
        <v>0</v>
      </c>
      <c r="T32" s="1">
        <f t="shared" si="6"/>
        <v>0</v>
      </c>
      <c r="U32" s="9">
        <f t="shared" si="7"/>
        <v>0</v>
      </c>
      <c r="V32" s="10">
        <f t="shared" si="8"/>
        <v>0</v>
      </c>
      <c r="W32" s="1">
        <f>SUMIFS(
  '[1]Hoja 1'!$M:$M,
  '[1]Hoja 1'!$S:$S, $A32,
  '[1]Hoja 1'!$R:$R, "&gt;="&amp;INT($Y$1),
  '[1]Hoja 1'!$R:$R, "&lt;"&amp;INT($Z$1+1)
)</f>
        <v>0</v>
      </c>
      <c r="X32" s="1">
        <f t="shared" si="9"/>
        <v>0</v>
      </c>
      <c r="Y32" s="9">
        <f t="shared" si="10"/>
        <v>0</v>
      </c>
      <c r="Z32" s="10">
        <f t="shared" si="11"/>
        <v>0</v>
      </c>
      <c r="AA32" s="1">
        <f>SUMIFS(
  '[1]Hoja 1'!$M:$M,
  '[1]Hoja 1'!$S:$S, $A32,
  '[1]Hoja 1'!$R:$R, "&gt;="&amp;INT($AC$1),
  '[1]Hoja 1'!$R:$R, "&lt;"&amp;INT($AD$1+1)
)</f>
        <v>0</v>
      </c>
      <c r="AB32" s="1">
        <f t="shared" si="12"/>
        <v>0</v>
      </c>
      <c r="AC32" s="9">
        <f t="shared" si="13"/>
        <v>0</v>
      </c>
      <c r="AD32" s="10">
        <f t="shared" si="14"/>
        <v>0</v>
      </c>
      <c r="AE32" s="1">
        <f>SUMIFS(
  '[1]Hoja 1'!$M:$M,
  '[1]Hoja 1'!$S:$S, $A32,
  '[1]Hoja 1'!$R:$R, "&gt;="&amp;INT($AG$1),
  '[1]Hoja 1'!$R:$R, "&lt;"&amp;INT($AH$1+1)
)</f>
        <v>0</v>
      </c>
      <c r="AF32" s="1">
        <f t="shared" si="15"/>
        <v>0</v>
      </c>
      <c r="AG32" s="9">
        <f t="shared" si="16"/>
        <v>0</v>
      </c>
      <c r="AH32" s="10">
        <f t="shared" si="17"/>
        <v>0</v>
      </c>
      <c r="AI32" s="1">
        <f>SUMIFS(
  '[1]Hoja 1'!$M:$M,
  '[1]Hoja 1'!$S:$S, $A32,
  '[1]Hoja 1'!$R:$R, "&gt;="&amp;INT($AK$1),
  '[1]Hoja 1'!$R:$R, "&lt;"&amp;INT($AL$1+1)
)</f>
        <v>0</v>
      </c>
      <c r="AJ32" s="1">
        <f t="shared" si="18"/>
        <v>0</v>
      </c>
      <c r="AK32" s="9">
        <f t="shared" si="19"/>
        <v>0</v>
      </c>
      <c r="AL32" s="10">
        <f t="shared" si="20"/>
        <v>0</v>
      </c>
      <c r="AM32" s="1">
        <f>SUMIFS(
  '[1]Hoja 1'!$M:$M,
  '[1]Hoja 1'!$S:$S, $A32,
  '[1]Hoja 1'!$R:$R, "&gt;="&amp;INT($AO$1),
  '[1]Hoja 1'!$R:$R, "&lt;"&amp;INT($AP$1+1)
)</f>
        <v>0</v>
      </c>
      <c r="AN32" s="1">
        <f t="shared" si="21"/>
        <v>0</v>
      </c>
      <c r="AO32" s="9">
        <f t="shared" si="22"/>
        <v>0</v>
      </c>
      <c r="AP32" s="10">
        <f t="shared" si="23"/>
        <v>0</v>
      </c>
      <c r="AQ32" s="1">
        <f>SUMIFS(
  '[1]Hoja 1'!$M:$M,
  '[1]Hoja 1'!$S:$S, $A32,
  '[1]Hoja 1'!$R:$R, "&gt;="&amp;INT($AS$1),
  '[1]Hoja 1'!$R:$R, "&lt;"&amp;INT($AT$1+1)
)</f>
        <v>0</v>
      </c>
      <c r="AR32" s="1">
        <f t="shared" si="24"/>
        <v>0</v>
      </c>
      <c r="AS32" s="9">
        <f t="shared" si="25"/>
        <v>0</v>
      </c>
      <c r="AT32" s="10">
        <f t="shared" si="26"/>
        <v>0</v>
      </c>
      <c r="AU32" s="1">
        <f>SUMIFS(
  '[1]Hoja 1'!$M:$M,
  '[1]Hoja 1'!$S:$S, $A32,
  '[1]Hoja 1'!$R:$R, "&gt;="&amp;INT($AW$1),
  '[1]Hoja 1'!$R:$R, "&lt;"&amp;INT($AX$1+1)
)</f>
        <v>0</v>
      </c>
      <c r="AV32" s="1">
        <f t="shared" si="27"/>
        <v>0</v>
      </c>
      <c r="AW32" s="9">
        <f t="shared" si="28"/>
        <v>0</v>
      </c>
      <c r="AX32" s="10">
        <f t="shared" si="29"/>
        <v>0</v>
      </c>
      <c r="AY32" s="1">
        <f>SUMIFS(
  '[1]Hoja 1'!$M:$M,
  '[1]Hoja 1'!$S:$S, $A32,
  '[1]Hoja 1'!$R:$R, "&gt;="&amp;INT($BA$1),
  '[1]Hoja 1'!$R:$R, "&lt;"&amp;INT($BB$1+1)
)</f>
        <v>0</v>
      </c>
      <c r="AZ32" s="1">
        <f t="shared" si="30"/>
        <v>0</v>
      </c>
      <c r="BA32" s="9">
        <f t="shared" si="31"/>
        <v>0</v>
      </c>
      <c r="BB32" s="10">
        <f t="shared" si="32"/>
        <v>0</v>
      </c>
      <c r="BC32" s="1">
        <f>SUMIFS(
  '[1]Hoja 1'!$M:$M,
  '[1]Hoja 1'!$S:$S, $A32,
  '[1]Hoja 1'!$R:$R, "&gt;="&amp;INT($BE$1),
  '[1]Hoja 1'!$R:$R, "&lt;"&amp;INT($BF$1+1)
)</f>
        <v>0</v>
      </c>
      <c r="BD32" s="1">
        <f t="shared" si="33"/>
        <v>0</v>
      </c>
      <c r="BE32" s="9">
        <f t="shared" si="34"/>
        <v>0</v>
      </c>
      <c r="BF32" s="10">
        <f t="shared" si="35"/>
        <v>0</v>
      </c>
      <c r="BG32" s="1">
        <f>SUMIFS(
  '[1]Hoja 1'!$M:$M,
  '[1]Hoja 1'!$S:$S, $A32,
  '[1]Hoja 1'!$R:$R, "&gt;="&amp;INT($BI$1),
  '[1]Hoja 1'!$R:$R, "&lt;"&amp;INT($BJ$1+1)
)</f>
        <v>0</v>
      </c>
      <c r="BH32" s="1">
        <f t="shared" si="36"/>
        <v>0</v>
      </c>
      <c r="BI32" s="9">
        <f t="shared" si="37"/>
        <v>0</v>
      </c>
      <c r="BJ32" s="10">
        <f t="shared" si="38"/>
        <v>0</v>
      </c>
      <c r="BK32" s="1">
        <f>SUMIFS(
  '[1]Hoja 1'!$M:$M,
  '[1]Hoja 1'!$S:$S, $A32,
  '[1]Hoja 1'!$R:$R, "&gt;="&amp;INT($BM$1),
  '[1]Hoja 1'!$R:$R, "&lt;"&amp;INT($BN$1+1)
)</f>
        <v>0</v>
      </c>
      <c r="BL32" s="1">
        <f t="shared" si="39"/>
        <v>0</v>
      </c>
      <c r="BM32" s="9">
        <f t="shared" si="40"/>
        <v>0</v>
      </c>
      <c r="BN32" s="10">
        <f t="shared" si="41"/>
        <v>0</v>
      </c>
      <c r="BO32" s="1">
        <f>SUMIFS(
  '[1]Hoja 1'!$M:$M,
  '[1]Hoja 1'!$S:$S, $A32,
  '[1]Hoja 1'!$R:$R, "&gt;="&amp;INT($BQ$1),
  '[1]Hoja 1'!$R:$R, "&lt;"&amp;INT($BR$1+1)
)</f>
        <v>0</v>
      </c>
      <c r="BP32" s="1">
        <f t="shared" si="42"/>
        <v>0</v>
      </c>
      <c r="BQ32" s="9">
        <f t="shared" si="43"/>
        <v>0</v>
      </c>
      <c r="BR32" s="10">
        <f t="shared" si="44"/>
        <v>0</v>
      </c>
      <c r="BS32" s="1">
        <f>SUMIFS(
  '[1]Hoja 1'!$M:$M,
  '[1]Hoja 1'!$S:$S, $A32,
  '[1]Hoja 1'!$R:$R, "&gt;="&amp;INT($BU$1),
  '[1]Hoja 1'!$R:$R, "&lt;"&amp;INT($BV$1+1)
)</f>
        <v>0</v>
      </c>
      <c r="BT32" s="1">
        <f t="shared" si="45"/>
        <v>0</v>
      </c>
      <c r="BU32" s="9">
        <f t="shared" si="46"/>
        <v>0</v>
      </c>
      <c r="BV32" s="10">
        <f t="shared" si="47"/>
        <v>0</v>
      </c>
      <c r="BW32" s="1">
        <f>SUMIFS(
  '[1]Hoja 1'!$M:$M,
  '[1]Hoja 1'!$S:$S, $A32,
  '[1]Hoja 1'!$R:$R, "&gt;="&amp;INT($BY$1),
  '[1]Hoja 1'!$R:$R, "&lt;"&amp;INT($BZ$1+1)
)</f>
        <v>0</v>
      </c>
      <c r="BX32" s="1">
        <f t="shared" si="48"/>
        <v>0</v>
      </c>
      <c r="BY32" s="9">
        <f t="shared" si="49"/>
        <v>0</v>
      </c>
      <c r="BZ32" s="10">
        <f t="shared" si="50"/>
        <v>0</v>
      </c>
      <c r="CA32" s="1">
        <f>SUMIFS(
  '[1]Hoja 1'!$M:$M,
  '[1]Hoja 1'!$S:$S, $A32,
  '[1]Hoja 1'!$R:$R, "&gt;="&amp;INT($CC$1),
  '[1]Hoja 1'!$R:$R, "&lt;"&amp;INT($CD$1+1)
)</f>
        <v>0</v>
      </c>
      <c r="CB32" s="1">
        <f t="shared" si="51"/>
        <v>0</v>
      </c>
      <c r="CC32" s="9">
        <f t="shared" si="52"/>
        <v>0</v>
      </c>
      <c r="CD32" s="10">
        <f t="shared" si="53"/>
        <v>0</v>
      </c>
      <c r="CE32" s="1">
        <f>SUMIFS(
  '[1]Hoja 1'!$M:$M,
  '[1]Hoja 1'!$S:$S, $A32,
  '[1]Hoja 1'!$R:$R, "&gt;="&amp;INT($CG$1),
  '[1]Hoja 1'!$R:$R, "&lt;"&amp;INT($CH$1+1)
)</f>
        <v>0</v>
      </c>
      <c r="CF32" s="1">
        <f t="shared" si="54"/>
        <v>0</v>
      </c>
      <c r="CG32" s="9">
        <f t="shared" si="55"/>
        <v>0</v>
      </c>
      <c r="CH32" s="10">
        <f t="shared" si="56"/>
        <v>0</v>
      </c>
      <c r="CI32" s="1">
        <f>SUMIFS(
  '[1]Hoja 1'!$M:$M,
  '[1]Hoja 1'!$S:$S, $A32,
  '[1]Hoja 1'!$R:$R, "&gt;="&amp;INT($CK$1),
  '[1]Hoja 1'!$R:$R, "&lt;"&amp;INT($CL$1+1)
)</f>
        <v>0</v>
      </c>
      <c r="CJ32" s="1">
        <f t="shared" si="57"/>
        <v>0</v>
      </c>
      <c r="CK32" s="9">
        <f t="shared" si="58"/>
        <v>0</v>
      </c>
      <c r="CL32" s="10">
        <f t="shared" si="59"/>
        <v>0</v>
      </c>
      <c r="CM32" s="1">
        <f>SUMIFS(
  '[1]Hoja 1'!$M:$M,
  '[1]Hoja 1'!$S:$S, $A32,
  '[1]Hoja 1'!$R:$R, "&gt;="&amp;INT($CO$1),
  '[1]Hoja 1'!$R:$R, "&lt;"&amp;INT($CP$1+1)
)</f>
        <v>0</v>
      </c>
      <c r="CN32" s="1">
        <f t="shared" si="60"/>
        <v>0</v>
      </c>
      <c r="CO32" s="9">
        <f t="shared" si="61"/>
        <v>0</v>
      </c>
      <c r="CP32" s="10">
        <f t="shared" si="62"/>
        <v>0</v>
      </c>
      <c r="CQ32" s="1">
        <f>SUMIFS(
  '[1]Hoja 1'!$M:$M,
  '[1]Hoja 1'!$S:$S, $A32,
  '[1]Hoja 1'!$R:$R, "&gt;="&amp;INT($CS$1),
  '[1]Hoja 1'!$R:$R, "&lt;"&amp;INT($CT$1+1)
)</f>
        <v>0</v>
      </c>
      <c r="CR32" s="1">
        <f t="shared" si="63"/>
        <v>0</v>
      </c>
      <c r="CS32" s="9">
        <f t="shared" si="64"/>
        <v>0</v>
      </c>
      <c r="CT32" s="10">
        <f t="shared" si="65"/>
        <v>0</v>
      </c>
      <c r="CU32" s="1">
        <f>SUMIFS(
  '[1]Hoja 1'!$M:$M,
  '[1]Hoja 1'!$S:$S, $A32,
  '[1]Hoja 1'!$R:$R, "&gt;="&amp;INT($CW$1),
  '[1]Hoja 1'!$R:$R, "&lt;"&amp;INT($CX$1+1)
)</f>
        <v>0</v>
      </c>
      <c r="CV32" s="1">
        <f t="shared" si="66"/>
        <v>0</v>
      </c>
      <c r="CW32" s="9">
        <f t="shared" si="67"/>
        <v>0</v>
      </c>
      <c r="CX32" s="10">
        <f t="shared" si="68"/>
        <v>0</v>
      </c>
      <c r="CY32" s="1">
        <f>SUMIFS(
  '[1]Hoja 1'!$M:$M,
  '[1]Hoja 1'!$S:$S, $A32,
  '[1]Hoja 1'!$R:$R, "&gt;="&amp;INT($DA$1),
  '[1]Hoja 1'!$R:$R, "&lt;"&amp;INT($DB$1+1)
)</f>
        <v>0</v>
      </c>
      <c r="CZ32" s="1">
        <f t="shared" si="69"/>
        <v>0</v>
      </c>
      <c r="DA32" s="9">
        <f t="shared" si="70"/>
        <v>0</v>
      </c>
      <c r="DB32" s="10">
        <f t="shared" si="71"/>
        <v>0</v>
      </c>
      <c r="DC32" s="1">
        <f>SUMIFS(
  '[1]Hoja 1'!$M:$M,
  '[1]Hoja 1'!$S:$S, $A32,
  '[1]Hoja 1'!$R:$R, "&gt;="&amp;INT($DE$1),
  '[1]Hoja 1'!$R:$R, "&lt;"&amp;INT($DF$1+1)
)</f>
        <v>0</v>
      </c>
      <c r="DD32" s="1">
        <f t="shared" si="72"/>
        <v>0</v>
      </c>
      <c r="DE32" s="9">
        <f t="shared" si="73"/>
        <v>0</v>
      </c>
      <c r="DF32" s="10">
        <f t="shared" si="74"/>
        <v>0</v>
      </c>
      <c r="DG32" s="1">
        <f>SUMIFS(
  '[1]Hoja 1'!$M:$M,
  '[1]Hoja 1'!$S:$S, $A32,
  '[1]Hoja 1'!$R:$R, "&gt;="&amp;INT($DI$1),
  '[1]Hoja 1'!$R:$R, "&lt;"&amp;INT($DJ$1+1)
)</f>
        <v>0</v>
      </c>
      <c r="DH32" s="1">
        <f t="shared" si="75"/>
        <v>0</v>
      </c>
      <c r="DI32" s="9">
        <f t="shared" si="76"/>
        <v>0</v>
      </c>
      <c r="DJ32" s="10">
        <f t="shared" si="77"/>
        <v>0</v>
      </c>
      <c r="DK32" s="1">
        <f>SUMIFS(
  '[1]Hoja 1'!$M:$M,
  '[1]Hoja 1'!$S:$S, $A32,
  '[1]Hoja 1'!$R:$R, "&gt;="&amp;INT($DM$1),
  '[1]Hoja 1'!$R:$R, "&lt;"&amp;INT($DN$1+1)
)</f>
        <v>0</v>
      </c>
      <c r="DL32" s="1">
        <f t="shared" si="78"/>
        <v>0</v>
      </c>
      <c r="DM32" s="9">
        <f t="shared" si="79"/>
        <v>0</v>
      </c>
      <c r="DN32" s="10">
        <f t="shared" si="80"/>
        <v>0</v>
      </c>
      <c r="DO32" s="1">
        <f>SUMIFS(
  '[1]Hoja 1'!$M:$M,
  '[1]Hoja 1'!$S:$S, $A32,
  '[1]Hoja 1'!$R:$R, "&gt;="&amp;INT($DQ$1),
  '[1]Hoja 1'!$R:$R, "&lt;"&amp;INT($DR$1+1)
)</f>
        <v>0</v>
      </c>
      <c r="DP32" s="1">
        <f t="shared" si="81"/>
        <v>0</v>
      </c>
      <c r="DQ32" s="9">
        <f t="shared" si="82"/>
        <v>0</v>
      </c>
      <c r="DR32" s="10">
        <f t="shared" si="83"/>
        <v>0</v>
      </c>
    </row>
    <row r="33" spans="1:122" x14ac:dyDescent="0.25">
      <c r="A33" s="5">
        <v>206005</v>
      </c>
      <c r="B33" s="6" t="s">
        <v>37</v>
      </c>
      <c r="C33" s="1">
        <f>SUMIFS(
  '[1]Hoja 1'!$M:$M,
  '[1]Hoja 1'!$S:$S, $A33,
  '[1]Hoja 1'!$R:$R, "&gt;="&amp;INT($E$1),
  '[1]Hoja 1'!$R:$R, "&lt;"&amp;INT($F$1+1)
)</f>
        <v>0</v>
      </c>
      <c r="D33" s="1" t="str">
        <f>""</f>
        <v/>
      </c>
      <c r="F33" s="2"/>
      <c r="G33" s="1">
        <f>SUMIFS(
  '[1]Hoja 1'!$M:$M,
  '[1]Hoja 1'!$S:$S, $A33,
  '[1]Hoja 1'!$R:$R, "&gt;="&amp;INT($I$1),
  '[1]Hoja 1'!$R:$R, "&lt;"&amp;INT($J$1+1)
)</f>
        <v>0</v>
      </c>
      <c r="H33" s="1">
        <f t="shared" si="84"/>
        <v>0</v>
      </c>
      <c r="I33" s="1"/>
      <c r="J33" s="2"/>
      <c r="K33" s="1">
        <f>SUMIFS(
  '[1]Hoja 1'!$M:$M,
  '[1]Hoja 1'!$S:$S, $A33,
  '[1]Hoja 1'!$R:$R, "&gt;="&amp;INT($M$1),
  '[1]Hoja 1'!$R:$R, "&lt;"&amp;INT($N$1+1)
)</f>
        <v>2</v>
      </c>
      <c r="L33" s="1">
        <f t="shared" si="0"/>
        <v>1</v>
      </c>
      <c r="M33" s="9">
        <f t="shared" si="1"/>
        <v>-0.38592929112563312</v>
      </c>
      <c r="N33" s="10">
        <f t="shared" si="2"/>
        <v>2.3859292911256329</v>
      </c>
      <c r="O33" s="1">
        <f>SUMIFS(
  '[1]Hoja 1'!$M:$M,
  '[1]Hoja 1'!$S:$S, $A33,
  '[1]Hoja 1'!$R:$R, "&gt;="&amp;INT($Q$1),
  '[1]Hoja 1'!$R:$R, "&lt;"&amp;INT($R$1+1)
)</f>
        <v>1</v>
      </c>
      <c r="P33" s="1">
        <f t="shared" si="3"/>
        <v>1.5</v>
      </c>
      <c r="Q33" s="9">
        <f t="shared" si="4"/>
        <v>-0.49697472701890777</v>
      </c>
      <c r="R33" s="10">
        <f t="shared" si="5"/>
        <v>2.496974727018908</v>
      </c>
      <c r="S33" s="1">
        <f>SUMIFS(
  '[1]Hoja 1'!$M:$M,
  '[1]Hoja 1'!$S:$S, $A33,
  '[1]Hoja 1'!$R:$R, "&gt;="&amp;INT($U$1),
  '[1]Hoja 1'!$R:$R, "&lt;"&amp;INT($V$1+1)
)</f>
        <v>0</v>
      </c>
      <c r="T33" s="1">
        <f t="shared" si="6"/>
        <v>1</v>
      </c>
      <c r="U33" s="9">
        <f t="shared" si="7"/>
        <v>-0.38592929112563312</v>
      </c>
      <c r="V33" s="10">
        <f t="shared" si="8"/>
        <v>2.3859292911256329</v>
      </c>
      <c r="W33" s="1">
        <f>SUMIFS(
  '[1]Hoja 1'!$M:$M,
  '[1]Hoja 1'!$S:$S, $A33,
  '[1]Hoja 1'!$R:$R, "&gt;="&amp;INT($Y$1),
  '[1]Hoja 1'!$R:$R, "&lt;"&amp;INT($Z$1+1)
)</f>
        <v>2</v>
      </c>
      <c r="X33" s="1">
        <f t="shared" si="9"/>
        <v>1</v>
      </c>
      <c r="Y33" s="9">
        <f t="shared" si="10"/>
        <v>-0.6974097914174997</v>
      </c>
      <c r="Z33" s="10">
        <f t="shared" si="11"/>
        <v>2.6974097914174999</v>
      </c>
      <c r="AA33" s="1">
        <f>SUMIFS(
  '[1]Hoja 1'!$M:$M,
  '[1]Hoja 1'!$S:$S, $A33,
  '[1]Hoja 1'!$R:$R, "&gt;="&amp;INT($AC$1),
  '[1]Hoja 1'!$R:$R, "&lt;"&amp;INT($AD$1+1)
)</f>
        <v>1</v>
      </c>
      <c r="AB33" s="1">
        <f t="shared" si="12"/>
        <v>2</v>
      </c>
      <c r="AC33" s="9">
        <f t="shared" si="13"/>
        <v>0.72223632858028086</v>
      </c>
      <c r="AD33" s="10">
        <f t="shared" si="14"/>
        <v>3.4699999999999998</v>
      </c>
      <c r="AE33" s="1">
        <f>SUMIFS(
  '[1]Hoja 1'!$M:$M,
  '[1]Hoja 1'!$S:$S, $A33,
  '[1]Hoja 1'!$R:$R, "&gt;="&amp;INT($AG$1),
  '[1]Hoja 1'!$R:$R, "&lt;"&amp;INT($AH$1+1)
)</f>
        <v>0</v>
      </c>
      <c r="AF33" s="1">
        <f t="shared" si="15"/>
        <v>1</v>
      </c>
      <c r="AG33" s="9">
        <f t="shared" si="16"/>
        <v>-0.27776367141971914</v>
      </c>
      <c r="AH33" s="10">
        <f t="shared" si="17"/>
        <v>2.4699999999999998</v>
      </c>
      <c r="AI33" s="1">
        <f>SUMIFS(
  '[1]Hoja 1'!$M:$M,
  '[1]Hoja 1'!$S:$S, $A33,
  '[1]Hoja 1'!$R:$R, "&gt;="&amp;INT($AK$1),
  '[1]Hoja 1'!$R:$R, "&lt;"&amp;INT($AL$1+1)
)</f>
        <v>0</v>
      </c>
      <c r="AJ33" s="1">
        <f t="shared" si="18"/>
        <v>0</v>
      </c>
      <c r="AK33" s="9">
        <f t="shared" si="19"/>
        <v>-1.2002499739637571</v>
      </c>
      <c r="AL33" s="10">
        <f t="shared" si="20"/>
        <v>1.3859292911256331</v>
      </c>
      <c r="AM33" s="1">
        <f>SUMIFS(
  '[1]Hoja 1'!$M:$M,
  '[1]Hoja 1'!$S:$S, $A33,
  '[1]Hoja 1'!$R:$R, "&gt;="&amp;INT($AO$1),
  '[1]Hoja 1'!$R:$R, "&lt;"&amp;INT($AP$1+1)
)</f>
        <v>0</v>
      </c>
      <c r="AN33" s="1">
        <f t="shared" si="21"/>
        <v>0</v>
      </c>
      <c r="AO33" s="9">
        <f t="shared" si="22"/>
        <v>-0.53676810635506278</v>
      </c>
      <c r="AP33" s="10">
        <f t="shared" si="23"/>
        <v>0.56580326380583323</v>
      </c>
      <c r="AQ33" s="1">
        <f>SUMIFS(
  '[1]Hoja 1'!$M:$M,
  '[1]Hoja 1'!$S:$S, $A33,
  '[1]Hoja 1'!$R:$R, "&gt;="&amp;INT($AS$1),
  '[1]Hoja 1'!$R:$R, "&lt;"&amp;INT($AT$1+1)
)</f>
        <v>0</v>
      </c>
      <c r="AR33" s="1">
        <f t="shared" si="24"/>
        <v>0</v>
      </c>
      <c r="AS33" s="9">
        <f t="shared" si="25"/>
        <v>-0.43826932358995874</v>
      </c>
      <c r="AT33" s="10">
        <f t="shared" si="26"/>
        <v>0.49</v>
      </c>
      <c r="AU33" s="1">
        <f>SUMIFS(
  '[1]Hoja 1'!$M:$M,
  '[1]Hoja 1'!$S:$S, $A33,
  '[1]Hoja 1'!$R:$R, "&gt;="&amp;INT($AW$1),
  '[1]Hoja 1'!$R:$R, "&lt;"&amp;INT($AX$1+1)
)</f>
        <v>0</v>
      </c>
      <c r="AV33" s="1">
        <f t="shared" si="27"/>
        <v>0</v>
      </c>
      <c r="AW33" s="9">
        <f t="shared" si="28"/>
        <v>0</v>
      </c>
      <c r="AX33" s="10">
        <f t="shared" si="29"/>
        <v>0</v>
      </c>
      <c r="AY33" s="1">
        <f>SUMIFS(
  '[1]Hoja 1'!$M:$M,
  '[1]Hoja 1'!$S:$S, $A33,
  '[1]Hoja 1'!$R:$R, "&gt;="&amp;INT($BA$1),
  '[1]Hoja 1'!$R:$R, "&lt;"&amp;INT($BB$1+1)
)</f>
        <v>0</v>
      </c>
      <c r="AZ33" s="1">
        <f t="shared" si="30"/>
        <v>0</v>
      </c>
      <c r="BA33" s="9">
        <f t="shared" si="31"/>
        <v>0</v>
      </c>
      <c r="BB33" s="10">
        <f t="shared" si="32"/>
        <v>0</v>
      </c>
      <c r="BC33" s="1">
        <f>SUMIFS(
  '[1]Hoja 1'!$M:$M,
  '[1]Hoja 1'!$S:$S, $A33,
  '[1]Hoja 1'!$R:$R, "&gt;="&amp;INT($BE$1),
  '[1]Hoja 1'!$R:$R, "&lt;"&amp;INT($BF$1+1)
)</f>
        <v>0</v>
      </c>
      <c r="BD33" s="1">
        <f t="shared" si="33"/>
        <v>0</v>
      </c>
      <c r="BE33" s="9">
        <f t="shared" si="34"/>
        <v>0</v>
      </c>
      <c r="BF33" s="10">
        <f t="shared" si="35"/>
        <v>0</v>
      </c>
      <c r="BG33" s="1">
        <f>SUMIFS(
  '[1]Hoja 1'!$M:$M,
  '[1]Hoja 1'!$S:$S, $A33,
  '[1]Hoja 1'!$R:$R, "&gt;="&amp;INT($BI$1),
  '[1]Hoja 1'!$R:$R, "&lt;"&amp;INT($BJ$1+1)
)</f>
        <v>0</v>
      </c>
      <c r="BH33" s="1">
        <f t="shared" si="36"/>
        <v>0</v>
      </c>
      <c r="BI33" s="9">
        <f t="shared" si="37"/>
        <v>0</v>
      </c>
      <c r="BJ33" s="10">
        <f t="shared" si="38"/>
        <v>0</v>
      </c>
      <c r="BK33" s="1">
        <f>SUMIFS(
  '[1]Hoja 1'!$M:$M,
  '[1]Hoja 1'!$S:$S, $A33,
  '[1]Hoja 1'!$R:$R, "&gt;="&amp;INT($BM$1),
  '[1]Hoja 1'!$R:$R, "&lt;"&amp;INT($BN$1+1)
)</f>
        <v>0</v>
      </c>
      <c r="BL33" s="1">
        <f t="shared" si="39"/>
        <v>0</v>
      </c>
      <c r="BM33" s="9">
        <f t="shared" si="40"/>
        <v>0</v>
      </c>
      <c r="BN33" s="10">
        <f t="shared" si="41"/>
        <v>0</v>
      </c>
      <c r="BO33" s="1">
        <f>SUMIFS(
  '[1]Hoja 1'!$M:$M,
  '[1]Hoja 1'!$S:$S, $A33,
  '[1]Hoja 1'!$R:$R, "&gt;="&amp;INT($BQ$1),
  '[1]Hoja 1'!$R:$R, "&lt;"&amp;INT($BR$1+1)
)</f>
        <v>0</v>
      </c>
      <c r="BP33" s="1">
        <f t="shared" si="42"/>
        <v>0</v>
      </c>
      <c r="BQ33" s="9">
        <f t="shared" si="43"/>
        <v>0</v>
      </c>
      <c r="BR33" s="10">
        <f t="shared" si="44"/>
        <v>0</v>
      </c>
      <c r="BS33" s="1">
        <f>SUMIFS(
  '[1]Hoja 1'!$M:$M,
  '[1]Hoja 1'!$S:$S, $A33,
  '[1]Hoja 1'!$R:$R, "&gt;="&amp;INT($BU$1),
  '[1]Hoja 1'!$R:$R, "&lt;"&amp;INT($BV$1+1)
)</f>
        <v>0</v>
      </c>
      <c r="BT33" s="1">
        <f t="shared" si="45"/>
        <v>0</v>
      </c>
      <c r="BU33" s="9">
        <f t="shared" si="46"/>
        <v>0</v>
      </c>
      <c r="BV33" s="10">
        <f t="shared" si="47"/>
        <v>0</v>
      </c>
      <c r="BW33" s="1">
        <f>SUMIFS(
  '[1]Hoja 1'!$M:$M,
  '[1]Hoja 1'!$S:$S, $A33,
  '[1]Hoja 1'!$R:$R, "&gt;="&amp;INT($BY$1),
  '[1]Hoja 1'!$R:$R, "&lt;"&amp;INT($BZ$1+1)
)</f>
        <v>0</v>
      </c>
      <c r="BX33" s="1">
        <f t="shared" si="48"/>
        <v>0</v>
      </c>
      <c r="BY33" s="9">
        <f t="shared" si="49"/>
        <v>0</v>
      </c>
      <c r="BZ33" s="10">
        <f t="shared" si="50"/>
        <v>0</v>
      </c>
      <c r="CA33" s="1">
        <f>SUMIFS(
  '[1]Hoja 1'!$M:$M,
  '[1]Hoja 1'!$S:$S, $A33,
  '[1]Hoja 1'!$R:$R, "&gt;="&amp;INT($CC$1),
  '[1]Hoja 1'!$R:$R, "&lt;"&amp;INT($CD$1+1)
)</f>
        <v>0</v>
      </c>
      <c r="CB33" s="1">
        <f t="shared" si="51"/>
        <v>0</v>
      </c>
      <c r="CC33" s="9">
        <f t="shared" si="52"/>
        <v>0</v>
      </c>
      <c r="CD33" s="10">
        <f t="shared" si="53"/>
        <v>0</v>
      </c>
      <c r="CE33" s="1">
        <f>SUMIFS(
  '[1]Hoja 1'!$M:$M,
  '[1]Hoja 1'!$S:$S, $A33,
  '[1]Hoja 1'!$R:$R, "&gt;="&amp;INT($CG$1),
  '[1]Hoja 1'!$R:$R, "&lt;"&amp;INT($CH$1+1)
)</f>
        <v>0</v>
      </c>
      <c r="CF33" s="1">
        <f t="shared" si="54"/>
        <v>0</v>
      </c>
      <c r="CG33" s="9">
        <f t="shared" si="55"/>
        <v>0</v>
      </c>
      <c r="CH33" s="10">
        <f t="shared" si="56"/>
        <v>0</v>
      </c>
      <c r="CI33" s="1">
        <f>SUMIFS(
  '[1]Hoja 1'!$M:$M,
  '[1]Hoja 1'!$S:$S, $A33,
  '[1]Hoja 1'!$R:$R, "&gt;="&amp;INT($CK$1),
  '[1]Hoja 1'!$R:$R, "&lt;"&amp;INT($CL$1+1)
)</f>
        <v>0</v>
      </c>
      <c r="CJ33" s="1">
        <f t="shared" si="57"/>
        <v>0</v>
      </c>
      <c r="CK33" s="9">
        <f t="shared" si="58"/>
        <v>0</v>
      </c>
      <c r="CL33" s="10">
        <f t="shared" si="59"/>
        <v>0</v>
      </c>
      <c r="CM33" s="1">
        <f>SUMIFS(
  '[1]Hoja 1'!$M:$M,
  '[1]Hoja 1'!$S:$S, $A33,
  '[1]Hoja 1'!$R:$R, "&gt;="&amp;INT($CO$1),
  '[1]Hoja 1'!$R:$R, "&lt;"&amp;INT($CP$1+1)
)</f>
        <v>0</v>
      </c>
      <c r="CN33" s="1">
        <f t="shared" si="60"/>
        <v>0</v>
      </c>
      <c r="CO33" s="9">
        <f t="shared" si="61"/>
        <v>0</v>
      </c>
      <c r="CP33" s="10">
        <f t="shared" si="62"/>
        <v>0</v>
      </c>
      <c r="CQ33" s="1">
        <f>SUMIFS(
  '[1]Hoja 1'!$M:$M,
  '[1]Hoja 1'!$S:$S, $A33,
  '[1]Hoja 1'!$R:$R, "&gt;="&amp;INT($CS$1),
  '[1]Hoja 1'!$R:$R, "&lt;"&amp;INT($CT$1+1)
)</f>
        <v>0</v>
      </c>
      <c r="CR33" s="1">
        <f t="shared" si="63"/>
        <v>0</v>
      </c>
      <c r="CS33" s="9">
        <f t="shared" si="64"/>
        <v>0</v>
      </c>
      <c r="CT33" s="10">
        <f t="shared" si="65"/>
        <v>0</v>
      </c>
      <c r="CU33" s="1">
        <f>SUMIFS(
  '[1]Hoja 1'!$M:$M,
  '[1]Hoja 1'!$S:$S, $A33,
  '[1]Hoja 1'!$R:$R, "&gt;="&amp;INT($CW$1),
  '[1]Hoja 1'!$R:$R, "&lt;"&amp;INT($CX$1+1)
)</f>
        <v>0</v>
      </c>
      <c r="CV33" s="1">
        <f t="shared" si="66"/>
        <v>0</v>
      </c>
      <c r="CW33" s="9">
        <f t="shared" si="67"/>
        <v>0</v>
      </c>
      <c r="CX33" s="10">
        <f t="shared" si="68"/>
        <v>0</v>
      </c>
      <c r="CY33" s="1">
        <f>SUMIFS(
  '[1]Hoja 1'!$M:$M,
  '[1]Hoja 1'!$S:$S, $A33,
  '[1]Hoja 1'!$R:$R, "&gt;="&amp;INT($DA$1),
  '[1]Hoja 1'!$R:$R, "&lt;"&amp;INT($DB$1+1)
)</f>
        <v>0</v>
      </c>
      <c r="CZ33" s="1">
        <f t="shared" si="69"/>
        <v>0</v>
      </c>
      <c r="DA33" s="9">
        <f t="shared" si="70"/>
        <v>0</v>
      </c>
      <c r="DB33" s="10">
        <f t="shared" si="71"/>
        <v>0</v>
      </c>
      <c r="DC33" s="1">
        <f>SUMIFS(
  '[1]Hoja 1'!$M:$M,
  '[1]Hoja 1'!$S:$S, $A33,
  '[1]Hoja 1'!$R:$R, "&gt;="&amp;INT($DE$1),
  '[1]Hoja 1'!$R:$R, "&lt;"&amp;INT($DF$1+1)
)</f>
        <v>0</v>
      </c>
      <c r="DD33" s="1">
        <f t="shared" si="72"/>
        <v>0</v>
      </c>
      <c r="DE33" s="9">
        <f t="shared" si="73"/>
        <v>0</v>
      </c>
      <c r="DF33" s="10">
        <f t="shared" si="74"/>
        <v>0</v>
      </c>
      <c r="DG33" s="1">
        <f>SUMIFS(
  '[1]Hoja 1'!$M:$M,
  '[1]Hoja 1'!$S:$S, $A33,
  '[1]Hoja 1'!$R:$R, "&gt;="&amp;INT($DI$1),
  '[1]Hoja 1'!$R:$R, "&lt;"&amp;INT($DJ$1+1)
)</f>
        <v>0</v>
      </c>
      <c r="DH33" s="1">
        <f t="shared" si="75"/>
        <v>0</v>
      </c>
      <c r="DI33" s="9">
        <f t="shared" si="76"/>
        <v>0</v>
      </c>
      <c r="DJ33" s="10">
        <f t="shared" si="77"/>
        <v>0</v>
      </c>
      <c r="DK33" s="1">
        <f>SUMIFS(
  '[1]Hoja 1'!$M:$M,
  '[1]Hoja 1'!$S:$S, $A33,
  '[1]Hoja 1'!$R:$R, "&gt;="&amp;INT($DM$1),
  '[1]Hoja 1'!$R:$R, "&lt;"&amp;INT($DN$1+1)
)</f>
        <v>0</v>
      </c>
      <c r="DL33" s="1">
        <f t="shared" si="78"/>
        <v>0</v>
      </c>
      <c r="DM33" s="9">
        <f t="shared" si="79"/>
        <v>0</v>
      </c>
      <c r="DN33" s="10">
        <f t="shared" si="80"/>
        <v>0</v>
      </c>
      <c r="DO33" s="1">
        <f>SUMIFS(
  '[1]Hoja 1'!$M:$M,
  '[1]Hoja 1'!$S:$S, $A33,
  '[1]Hoja 1'!$R:$R, "&gt;="&amp;INT($DQ$1),
  '[1]Hoja 1'!$R:$R, "&lt;"&amp;INT($DR$1+1)
)</f>
        <v>0</v>
      </c>
      <c r="DP33" s="1">
        <f t="shared" si="81"/>
        <v>0</v>
      </c>
      <c r="DQ33" s="9">
        <f t="shared" si="82"/>
        <v>0</v>
      </c>
      <c r="DR33" s="10">
        <f t="shared" si="83"/>
        <v>0</v>
      </c>
    </row>
    <row r="34" spans="1:122" x14ac:dyDescent="0.25">
      <c r="A34" s="5">
        <v>206006</v>
      </c>
      <c r="B34" s="6" t="s">
        <v>38</v>
      </c>
      <c r="C34" s="1">
        <f>SUMIFS(
  '[1]Hoja 1'!$M:$M,
  '[1]Hoja 1'!$S:$S, $A34,
  '[1]Hoja 1'!$R:$R, "&gt;="&amp;INT($E$1),
  '[1]Hoja 1'!$R:$R, "&lt;"&amp;INT($F$1+1)
)</f>
        <v>0</v>
      </c>
      <c r="D34" s="1" t="str">
        <f>""</f>
        <v/>
      </c>
      <c r="F34" s="2"/>
      <c r="G34" s="1">
        <f>SUMIFS(
  '[1]Hoja 1'!$M:$M,
  '[1]Hoja 1'!$S:$S, $A34,
  '[1]Hoja 1'!$R:$R, "&gt;="&amp;INT($I$1),
  '[1]Hoja 1'!$R:$R, "&lt;"&amp;INT($J$1+1)
)</f>
        <v>0</v>
      </c>
      <c r="H34" s="1">
        <f t="shared" si="84"/>
        <v>0</v>
      </c>
      <c r="I34" s="1"/>
      <c r="J34" s="2"/>
      <c r="K34" s="1">
        <f>SUMIFS(
  '[1]Hoja 1'!$M:$M,
  '[1]Hoja 1'!$S:$S, $A34,
  '[1]Hoja 1'!$R:$R, "&gt;="&amp;INT($M$1),
  '[1]Hoja 1'!$R:$R, "&lt;"&amp;INT($N$1+1)
)</f>
        <v>1</v>
      </c>
      <c r="L34" s="1">
        <f t="shared" si="0"/>
        <v>0.5</v>
      </c>
      <c r="M34" s="9">
        <f t="shared" si="1"/>
        <v>-0.19296464556281656</v>
      </c>
      <c r="N34" s="10">
        <f t="shared" si="2"/>
        <v>1.1929646455628165</v>
      </c>
      <c r="O34" s="1">
        <f>SUMIFS(
  '[1]Hoja 1'!$M:$M,
  '[1]Hoja 1'!$S:$S, $A34,
  '[1]Hoja 1'!$R:$R, "&gt;="&amp;INT($Q$1),
  '[1]Hoja 1'!$R:$R, "&lt;"&amp;INT($R$1+1)
)</f>
        <v>0</v>
      </c>
      <c r="P34" s="1">
        <f t="shared" si="3"/>
        <v>0.5</v>
      </c>
      <c r="Q34" s="9">
        <f t="shared" si="4"/>
        <v>-0.48</v>
      </c>
      <c r="R34" s="10">
        <f t="shared" si="5"/>
        <v>1.48</v>
      </c>
      <c r="S34" s="1">
        <f>SUMIFS(
  '[1]Hoja 1'!$M:$M,
  '[1]Hoja 1'!$S:$S, $A34,
  '[1]Hoja 1'!$R:$R, "&gt;="&amp;INT($U$1),
  '[1]Hoja 1'!$R:$R, "&lt;"&amp;INT($V$1+1)
)</f>
        <v>0</v>
      </c>
      <c r="T34" s="1">
        <f t="shared" si="6"/>
        <v>0</v>
      </c>
      <c r="U34" s="9">
        <f t="shared" si="7"/>
        <v>-0.80016664930917147</v>
      </c>
      <c r="V34" s="10">
        <f t="shared" si="8"/>
        <v>0.80016664930917147</v>
      </c>
      <c r="W34" s="1">
        <f>SUMIFS(
  '[1]Hoja 1'!$M:$M,
  '[1]Hoja 1'!$S:$S, $A34,
  '[1]Hoja 1'!$R:$R, "&gt;="&amp;INT($Y$1),
  '[1]Hoja 1'!$R:$R, "&lt;"&amp;INT($Z$1+1)
)</f>
        <v>1</v>
      </c>
      <c r="X34" s="1">
        <f t="shared" si="9"/>
        <v>1</v>
      </c>
      <c r="Y34" s="9">
        <f t="shared" si="10"/>
        <v>6.1721434398788633E-2</v>
      </c>
      <c r="Z34" s="10">
        <f t="shared" si="11"/>
        <v>1.9382785656012114</v>
      </c>
      <c r="AA34" s="1">
        <f>SUMIFS(
  '[1]Hoja 1'!$M:$M,
  '[1]Hoja 1'!$S:$S, $A34,
  '[1]Hoja 1'!$R:$R, "&gt;="&amp;INT($AC$1),
  '[1]Hoja 1'!$R:$R, "&lt;"&amp;INT($AD$1+1)
)</f>
        <v>1</v>
      </c>
      <c r="AB34" s="1">
        <f t="shared" si="12"/>
        <v>1</v>
      </c>
      <c r="AC34" s="9">
        <f t="shared" si="13"/>
        <v>0.30703535443718344</v>
      </c>
      <c r="AD34" s="10">
        <f t="shared" si="14"/>
        <v>1.8001666493091715</v>
      </c>
      <c r="AE34" s="1">
        <f>SUMIFS(
  '[1]Hoja 1'!$M:$M,
  '[1]Hoja 1'!$S:$S, $A34,
  '[1]Hoja 1'!$R:$R, "&gt;="&amp;INT($AG$1),
  '[1]Hoja 1'!$R:$R, "&lt;"&amp;INT($AH$1+1)
)</f>
        <v>0</v>
      </c>
      <c r="AF34" s="1">
        <f t="shared" si="15"/>
        <v>1</v>
      </c>
      <c r="AG34" s="9">
        <f t="shared" si="16"/>
        <v>0.30703535443718344</v>
      </c>
      <c r="AH34" s="10">
        <f t="shared" si="17"/>
        <v>1.8001666493091715</v>
      </c>
      <c r="AI34" s="1">
        <f>SUMIFS(
  '[1]Hoja 1'!$M:$M,
  '[1]Hoja 1'!$S:$S, $A34,
  '[1]Hoja 1'!$R:$R, "&gt;="&amp;INT($AK$1),
  '[1]Hoja 1'!$R:$R, "&lt;"&amp;INT($AL$1+1)
)</f>
        <v>0</v>
      </c>
      <c r="AJ34" s="1">
        <f t="shared" si="18"/>
        <v>0</v>
      </c>
      <c r="AK34" s="9">
        <f t="shared" si="19"/>
        <v>-0.69296464556281656</v>
      </c>
      <c r="AL34" s="10">
        <f t="shared" si="20"/>
        <v>0.80016664930917147</v>
      </c>
      <c r="AM34" s="1">
        <f>SUMIFS(
  '[1]Hoja 1'!$M:$M,
  '[1]Hoja 1'!$S:$S, $A34,
  '[1]Hoja 1'!$R:$R, "&gt;="&amp;INT($AO$1),
  '[1]Hoja 1'!$R:$R, "&lt;"&amp;INT($AP$1+1)
)</f>
        <v>0</v>
      </c>
      <c r="AN34" s="1">
        <f t="shared" si="21"/>
        <v>0</v>
      </c>
      <c r="AO34" s="9">
        <f t="shared" si="22"/>
        <v>-0.43826932358995874</v>
      </c>
      <c r="AP34" s="10">
        <f t="shared" si="23"/>
        <v>0.49</v>
      </c>
      <c r="AQ34" s="1">
        <f>SUMIFS(
  '[1]Hoja 1'!$M:$M,
  '[1]Hoja 1'!$S:$S, $A34,
  '[1]Hoja 1'!$R:$R, "&gt;="&amp;INT($AS$1),
  '[1]Hoja 1'!$R:$R, "&lt;"&amp;INT($AT$1+1)
)</f>
        <v>0</v>
      </c>
      <c r="AR34" s="1">
        <f t="shared" si="24"/>
        <v>0</v>
      </c>
      <c r="AS34" s="9">
        <f t="shared" si="25"/>
        <v>-0.43826932358995874</v>
      </c>
      <c r="AT34" s="10">
        <f t="shared" si="26"/>
        <v>0.49</v>
      </c>
      <c r="AU34" s="1">
        <f>SUMIFS(
  '[1]Hoja 1'!$M:$M,
  '[1]Hoja 1'!$S:$S, $A34,
  '[1]Hoja 1'!$R:$R, "&gt;="&amp;INT($AW$1),
  '[1]Hoja 1'!$R:$R, "&lt;"&amp;INT($AX$1+1)
)</f>
        <v>0</v>
      </c>
      <c r="AV34" s="1">
        <f t="shared" si="27"/>
        <v>0</v>
      </c>
      <c r="AW34" s="9">
        <f t="shared" si="28"/>
        <v>0</v>
      </c>
      <c r="AX34" s="10">
        <f t="shared" si="29"/>
        <v>0</v>
      </c>
      <c r="AY34" s="1">
        <f>SUMIFS(
  '[1]Hoja 1'!$M:$M,
  '[1]Hoja 1'!$S:$S, $A34,
  '[1]Hoja 1'!$R:$R, "&gt;="&amp;INT($BA$1),
  '[1]Hoja 1'!$R:$R, "&lt;"&amp;INT($BB$1+1)
)</f>
        <v>0</v>
      </c>
      <c r="AZ34" s="1">
        <f t="shared" si="30"/>
        <v>0</v>
      </c>
      <c r="BA34" s="9">
        <f t="shared" si="31"/>
        <v>0</v>
      </c>
      <c r="BB34" s="10">
        <f t="shared" si="32"/>
        <v>0</v>
      </c>
      <c r="BC34" s="1">
        <f>SUMIFS(
  '[1]Hoja 1'!$M:$M,
  '[1]Hoja 1'!$S:$S, $A34,
  '[1]Hoja 1'!$R:$R, "&gt;="&amp;INT($BE$1),
  '[1]Hoja 1'!$R:$R, "&lt;"&amp;INT($BF$1+1)
)</f>
        <v>0</v>
      </c>
      <c r="BD34" s="1">
        <f t="shared" si="33"/>
        <v>0</v>
      </c>
      <c r="BE34" s="9">
        <f t="shared" si="34"/>
        <v>0</v>
      </c>
      <c r="BF34" s="10">
        <f t="shared" si="35"/>
        <v>0</v>
      </c>
      <c r="BG34" s="1">
        <f>SUMIFS(
  '[1]Hoja 1'!$M:$M,
  '[1]Hoja 1'!$S:$S, $A34,
  '[1]Hoja 1'!$R:$R, "&gt;="&amp;INT($BI$1),
  '[1]Hoja 1'!$R:$R, "&lt;"&amp;INT($BJ$1+1)
)</f>
        <v>0</v>
      </c>
      <c r="BH34" s="1">
        <f t="shared" si="36"/>
        <v>0</v>
      </c>
      <c r="BI34" s="9">
        <f t="shared" si="37"/>
        <v>0</v>
      </c>
      <c r="BJ34" s="10">
        <f t="shared" si="38"/>
        <v>0</v>
      </c>
      <c r="BK34" s="1">
        <f>SUMIFS(
  '[1]Hoja 1'!$M:$M,
  '[1]Hoja 1'!$S:$S, $A34,
  '[1]Hoja 1'!$R:$R, "&gt;="&amp;INT($BM$1),
  '[1]Hoja 1'!$R:$R, "&lt;"&amp;INT($BN$1+1)
)</f>
        <v>0</v>
      </c>
      <c r="BL34" s="1">
        <f t="shared" si="39"/>
        <v>0</v>
      </c>
      <c r="BM34" s="9">
        <f t="shared" si="40"/>
        <v>0</v>
      </c>
      <c r="BN34" s="10">
        <f t="shared" si="41"/>
        <v>0</v>
      </c>
      <c r="BO34" s="1">
        <f>SUMIFS(
  '[1]Hoja 1'!$M:$M,
  '[1]Hoja 1'!$S:$S, $A34,
  '[1]Hoja 1'!$R:$R, "&gt;="&amp;INT($BQ$1),
  '[1]Hoja 1'!$R:$R, "&lt;"&amp;INT($BR$1+1)
)</f>
        <v>0</v>
      </c>
      <c r="BP34" s="1">
        <f t="shared" si="42"/>
        <v>0</v>
      </c>
      <c r="BQ34" s="9">
        <f t="shared" si="43"/>
        <v>0</v>
      </c>
      <c r="BR34" s="10">
        <f t="shared" si="44"/>
        <v>0</v>
      </c>
      <c r="BS34" s="1">
        <f>SUMIFS(
  '[1]Hoja 1'!$M:$M,
  '[1]Hoja 1'!$S:$S, $A34,
  '[1]Hoja 1'!$R:$R, "&gt;="&amp;INT($BU$1),
  '[1]Hoja 1'!$R:$R, "&lt;"&amp;INT($BV$1+1)
)</f>
        <v>0</v>
      </c>
      <c r="BT34" s="1">
        <f t="shared" si="45"/>
        <v>0</v>
      </c>
      <c r="BU34" s="9">
        <f t="shared" si="46"/>
        <v>0</v>
      </c>
      <c r="BV34" s="10">
        <f t="shared" si="47"/>
        <v>0</v>
      </c>
      <c r="BW34" s="1">
        <f>SUMIFS(
  '[1]Hoja 1'!$M:$M,
  '[1]Hoja 1'!$S:$S, $A34,
  '[1]Hoja 1'!$R:$R, "&gt;="&amp;INT($BY$1),
  '[1]Hoja 1'!$R:$R, "&lt;"&amp;INT($BZ$1+1)
)</f>
        <v>0</v>
      </c>
      <c r="BX34" s="1">
        <f t="shared" si="48"/>
        <v>0</v>
      </c>
      <c r="BY34" s="9">
        <f t="shared" si="49"/>
        <v>0</v>
      </c>
      <c r="BZ34" s="10">
        <f t="shared" si="50"/>
        <v>0</v>
      </c>
      <c r="CA34" s="1">
        <f>SUMIFS(
  '[1]Hoja 1'!$M:$M,
  '[1]Hoja 1'!$S:$S, $A34,
  '[1]Hoja 1'!$R:$R, "&gt;="&amp;INT($CC$1),
  '[1]Hoja 1'!$R:$R, "&lt;"&amp;INT($CD$1+1)
)</f>
        <v>0</v>
      </c>
      <c r="CB34" s="1">
        <f t="shared" si="51"/>
        <v>0</v>
      </c>
      <c r="CC34" s="9">
        <f t="shared" si="52"/>
        <v>0</v>
      </c>
      <c r="CD34" s="10">
        <f t="shared" si="53"/>
        <v>0</v>
      </c>
      <c r="CE34" s="1">
        <f>SUMIFS(
  '[1]Hoja 1'!$M:$M,
  '[1]Hoja 1'!$S:$S, $A34,
  '[1]Hoja 1'!$R:$R, "&gt;="&amp;INT($CG$1),
  '[1]Hoja 1'!$R:$R, "&lt;"&amp;INT($CH$1+1)
)</f>
        <v>0</v>
      </c>
      <c r="CF34" s="1">
        <f t="shared" si="54"/>
        <v>0</v>
      </c>
      <c r="CG34" s="9">
        <f t="shared" si="55"/>
        <v>0</v>
      </c>
      <c r="CH34" s="10">
        <f t="shared" si="56"/>
        <v>0</v>
      </c>
      <c r="CI34" s="1">
        <f>SUMIFS(
  '[1]Hoja 1'!$M:$M,
  '[1]Hoja 1'!$S:$S, $A34,
  '[1]Hoja 1'!$R:$R, "&gt;="&amp;INT($CK$1),
  '[1]Hoja 1'!$R:$R, "&lt;"&amp;INT($CL$1+1)
)</f>
        <v>0</v>
      </c>
      <c r="CJ34" s="1">
        <f t="shared" si="57"/>
        <v>0</v>
      </c>
      <c r="CK34" s="9">
        <f t="shared" si="58"/>
        <v>0</v>
      </c>
      <c r="CL34" s="10">
        <f t="shared" si="59"/>
        <v>0</v>
      </c>
      <c r="CM34" s="1">
        <f>SUMIFS(
  '[1]Hoja 1'!$M:$M,
  '[1]Hoja 1'!$S:$S, $A34,
  '[1]Hoja 1'!$R:$R, "&gt;="&amp;INT($CO$1),
  '[1]Hoja 1'!$R:$R, "&lt;"&amp;INT($CP$1+1)
)</f>
        <v>0</v>
      </c>
      <c r="CN34" s="1">
        <f t="shared" si="60"/>
        <v>0</v>
      </c>
      <c r="CO34" s="9">
        <f t="shared" si="61"/>
        <v>0</v>
      </c>
      <c r="CP34" s="10">
        <f t="shared" si="62"/>
        <v>0</v>
      </c>
      <c r="CQ34" s="1">
        <f>SUMIFS(
  '[1]Hoja 1'!$M:$M,
  '[1]Hoja 1'!$S:$S, $A34,
  '[1]Hoja 1'!$R:$R, "&gt;="&amp;INT($CS$1),
  '[1]Hoja 1'!$R:$R, "&lt;"&amp;INT($CT$1+1)
)</f>
        <v>0</v>
      </c>
      <c r="CR34" s="1">
        <f t="shared" si="63"/>
        <v>0</v>
      </c>
      <c r="CS34" s="9">
        <f t="shared" si="64"/>
        <v>0</v>
      </c>
      <c r="CT34" s="10">
        <f t="shared" si="65"/>
        <v>0</v>
      </c>
      <c r="CU34" s="1">
        <f>SUMIFS(
  '[1]Hoja 1'!$M:$M,
  '[1]Hoja 1'!$S:$S, $A34,
  '[1]Hoja 1'!$R:$R, "&gt;="&amp;INT($CW$1),
  '[1]Hoja 1'!$R:$R, "&lt;"&amp;INT($CX$1+1)
)</f>
        <v>0</v>
      </c>
      <c r="CV34" s="1">
        <f t="shared" si="66"/>
        <v>0</v>
      </c>
      <c r="CW34" s="9">
        <f t="shared" si="67"/>
        <v>0</v>
      </c>
      <c r="CX34" s="10">
        <f t="shared" si="68"/>
        <v>0</v>
      </c>
      <c r="CY34" s="1">
        <f>SUMIFS(
  '[1]Hoja 1'!$M:$M,
  '[1]Hoja 1'!$S:$S, $A34,
  '[1]Hoja 1'!$R:$R, "&gt;="&amp;INT($DA$1),
  '[1]Hoja 1'!$R:$R, "&lt;"&amp;INT($DB$1+1)
)</f>
        <v>0</v>
      </c>
      <c r="CZ34" s="1">
        <f t="shared" si="69"/>
        <v>0</v>
      </c>
      <c r="DA34" s="9">
        <f t="shared" si="70"/>
        <v>0</v>
      </c>
      <c r="DB34" s="10">
        <f t="shared" si="71"/>
        <v>0</v>
      </c>
      <c r="DC34" s="1">
        <f>SUMIFS(
  '[1]Hoja 1'!$M:$M,
  '[1]Hoja 1'!$S:$S, $A34,
  '[1]Hoja 1'!$R:$R, "&gt;="&amp;INT($DE$1),
  '[1]Hoja 1'!$R:$R, "&lt;"&amp;INT($DF$1+1)
)</f>
        <v>0</v>
      </c>
      <c r="DD34" s="1">
        <f t="shared" si="72"/>
        <v>0</v>
      </c>
      <c r="DE34" s="9">
        <f t="shared" si="73"/>
        <v>0</v>
      </c>
      <c r="DF34" s="10">
        <f t="shared" si="74"/>
        <v>0</v>
      </c>
      <c r="DG34" s="1">
        <f>SUMIFS(
  '[1]Hoja 1'!$M:$M,
  '[1]Hoja 1'!$S:$S, $A34,
  '[1]Hoja 1'!$R:$R, "&gt;="&amp;INT($DI$1),
  '[1]Hoja 1'!$R:$R, "&lt;"&amp;INT($DJ$1+1)
)</f>
        <v>0</v>
      </c>
      <c r="DH34" s="1">
        <f t="shared" si="75"/>
        <v>0</v>
      </c>
      <c r="DI34" s="9">
        <f t="shared" si="76"/>
        <v>0</v>
      </c>
      <c r="DJ34" s="10">
        <f t="shared" si="77"/>
        <v>0</v>
      </c>
      <c r="DK34" s="1">
        <f>SUMIFS(
  '[1]Hoja 1'!$M:$M,
  '[1]Hoja 1'!$S:$S, $A34,
  '[1]Hoja 1'!$R:$R, "&gt;="&amp;INT($DM$1),
  '[1]Hoja 1'!$R:$R, "&lt;"&amp;INT($DN$1+1)
)</f>
        <v>0</v>
      </c>
      <c r="DL34" s="1">
        <f t="shared" si="78"/>
        <v>0</v>
      </c>
      <c r="DM34" s="9">
        <f t="shared" si="79"/>
        <v>0</v>
      </c>
      <c r="DN34" s="10">
        <f t="shared" si="80"/>
        <v>0</v>
      </c>
      <c r="DO34" s="1">
        <f>SUMIFS(
  '[1]Hoja 1'!$M:$M,
  '[1]Hoja 1'!$S:$S, $A34,
  '[1]Hoja 1'!$R:$R, "&gt;="&amp;INT($DQ$1),
  '[1]Hoja 1'!$R:$R, "&lt;"&amp;INT($DR$1+1)
)</f>
        <v>0</v>
      </c>
      <c r="DP34" s="1">
        <f t="shared" si="81"/>
        <v>0</v>
      </c>
      <c r="DQ34" s="9">
        <f t="shared" si="82"/>
        <v>0</v>
      </c>
      <c r="DR34" s="10">
        <f t="shared" si="83"/>
        <v>0</v>
      </c>
    </row>
    <row r="35" spans="1:122" x14ac:dyDescent="0.25">
      <c r="A35" s="5">
        <v>206007</v>
      </c>
      <c r="B35" s="6" t="s">
        <v>39</v>
      </c>
      <c r="C35" s="1">
        <f>SUMIFS(
  '[1]Hoja 1'!$M:$M,
  '[1]Hoja 1'!$S:$S, $A35,
  '[1]Hoja 1'!$R:$R, "&gt;="&amp;INT($E$1),
  '[1]Hoja 1'!$R:$R, "&lt;"&amp;INT($F$1+1)
)</f>
        <v>0</v>
      </c>
      <c r="D35" s="1" t="str">
        <f>""</f>
        <v/>
      </c>
      <c r="F35" s="2"/>
      <c r="G35" s="1">
        <f>SUMIFS(
  '[1]Hoja 1'!$M:$M,
  '[1]Hoja 1'!$S:$S, $A35,
  '[1]Hoja 1'!$R:$R, "&gt;="&amp;INT($I$1),
  '[1]Hoja 1'!$R:$R, "&lt;"&amp;INT($J$1+1)
)</f>
        <v>0</v>
      </c>
      <c r="H35" s="1">
        <f t="shared" si="84"/>
        <v>0</v>
      </c>
      <c r="I35" s="1"/>
      <c r="J35" s="2"/>
      <c r="K35" s="1">
        <f>SUMIFS(
  '[1]Hoja 1'!$M:$M,
  '[1]Hoja 1'!$S:$S, $A35,
  '[1]Hoja 1'!$R:$R, "&gt;="&amp;INT($M$1),
  '[1]Hoja 1'!$R:$R, "&lt;"&amp;INT($N$1+1)
)</f>
        <v>0</v>
      </c>
      <c r="L35" s="1">
        <f t="shared" si="0"/>
        <v>0</v>
      </c>
      <c r="M35" s="9">
        <f t="shared" si="1"/>
        <v>0</v>
      </c>
      <c r="N35" s="10">
        <f t="shared" si="2"/>
        <v>0</v>
      </c>
      <c r="O35" s="1">
        <f>SUMIFS(
  '[1]Hoja 1'!$M:$M,
  '[1]Hoja 1'!$S:$S, $A35,
  '[1]Hoja 1'!$R:$R, "&gt;="&amp;INT($Q$1),
  '[1]Hoja 1'!$R:$R, "&lt;"&amp;INT($R$1+1)
)</f>
        <v>0</v>
      </c>
      <c r="P35" s="1">
        <f t="shared" si="3"/>
        <v>0</v>
      </c>
      <c r="Q35" s="9">
        <f t="shared" si="4"/>
        <v>0</v>
      </c>
      <c r="R35" s="10">
        <f t="shared" si="5"/>
        <v>0</v>
      </c>
      <c r="S35" s="1">
        <f>SUMIFS(
  '[1]Hoja 1'!$M:$M,
  '[1]Hoja 1'!$S:$S, $A35,
  '[1]Hoja 1'!$R:$R, "&gt;="&amp;INT($U$1),
  '[1]Hoja 1'!$R:$R, "&lt;"&amp;INT($V$1+1)
)</f>
        <v>0</v>
      </c>
      <c r="T35" s="1">
        <f t="shared" si="6"/>
        <v>0</v>
      </c>
      <c r="U35" s="9">
        <f t="shared" si="7"/>
        <v>0</v>
      </c>
      <c r="V35" s="10">
        <f t="shared" si="8"/>
        <v>0</v>
      </c>
      <c r="W35" s="1">
        <f>SUMIFS(
  '[1]Hoja 1'!$M:$M,
  '[1]Hoja 1'!$S:$S, $A35,
  '[1]Hoja 1'!$R:$R, "&gt;="&amp;INT($Y$1),
  '[1]Hoja 1'!$R:$R, "&lt;"&amp;INT($Z$1+1)
)</f>
        <v>0</v>
      </c>
      <c r="X35" s="1">
        <f t="shared" si="9"/>
        <v>0</v>
      </c>
      <c r="Y35" s="9">
        <f t="shared" si="10"/>
        <v>0</v>
      </c>
      <c r="Z35" s="10">
        <f t="shared" si="11"/>
        <v>0</v>
      </c>
      <c r="AA35" s="1">
        <f>SUMIFS(
  '[1]Hoja 1'!$M:$M,
  '[1]Hoja 1'!$S:$S, $A35,
  '[1]Hoja 1'!$R:$R, "&gt;="&amp;INT($AC$1),
  '[1]Hoja 1'!$R:$R, "&lt;"&amp;INT($AD$1+1)
)</f>
        <v>0</v>
      </c>
      <c r="AB35" s="1">
        <f t="shared" si="12"/>
        <v>0</v>
      </c>
      <c r="AC35" s="9">
        <f t="shared" si="13"/>
        <v>0</v>
      </c>
      <c r="AD35" s="10">
        <f t="shared" si="14"/>
        <v>0</v>
      </c>
      <c r="AE35" s="1">
        <f>SUMIFS(
  '[1]Hoja 1'!$M:$M,
  '[1]Hoja 1'!$S:$S, $A35,
  '[1]Hoja 1'!$R:$R, "&gt;="&amp;INT($AG$1),
  '[1]Hoja 1'!$R:$R, "&lt;"&amp;INT($AH$1+1)
)</f>
        <v>0</v>
      </c>
      <c r="AF35" s="1">
        <f t="shared" si="15"/>
        <v>0</v>
      </c>
      <c r="AG35" s="9">
        <f t="shared" si="16"/>
        <v>0</v>
      </c>
      <c r="AH35" s="10">
        <f t="shared" si="17"/>
        <v>0</v>
      </c>
      <c r="AI35" s="1">
        <f>SUMIFS(
  '[1]Hoja 1'!$M:$M,
  '[1]Hoja 1'!$S:$S, $A35,
  '[1]Hoja 1'!$R:$R, "&gt;="&amp;INT($AK$1),
  '[1]Hoja 1'!$R:$R, "&lt;"&amp;INT($AL$1+1)
)</f>
        <v>0</v>
      </c>
      <c r="AJ35" s="1">
        <f t="shared" si="18"/>
        <v>0</v>
      </c>
      <c r="AK35" s="9">
        <f t="shared" si="19"/>
        <v>0</v>
      </c>
      <c r="AL35" s="10">
        <f t="shared" si="20"/>
        <v>0</v>
      </c>
      <c r="AM35" s="1">
        <f>SUMIFS(
  '[1]Hoja 1'!$M:$M,
  '[1]Hoja 1'!$S:$S, $A35,
  '[1]Hoja 1'!$R:$R, "&gt;="&amp;INT($AO$1),
  '[1]Hoja 1'!$R:$R, "&lt;"&amp;INT($AP$1+1)
)</f>
        <v>0</v>
      </c>
      <c r="AN35" s="1">
        <f t="shared" si="21"/>
        <v>0</v>
      </c>
      <c r="AO35" s="9">
        <f t="shared" si="22"/>
        <v>0</v>
      </c>
      <c r="AP35" s="10">
        <f t="shared" si="23"/>
        <v>0</v>
      </c>
      <c r="AQ35" s="1">
        <f>SUMIFS(
  '[1]Hoja 1'!$M:$M,
  '[1]Hoja 1'!$S:$S, $A35,
  '[1]Hoja 1'!$R:$R, "&gt;="&amp;INT($AS$1),
  '[1]Hoja 1'!$R:$R, "&lt;"&amp;INT($AT$1+1)
)</f>
        <v>0</v>
      </c>
      <c r="AR35" s="1">
        <f t="shared" si="24"/>
        <v>0</v>
      </c>
      <c r="AS35" s="9">
        <f t="shared" si="25"/>
        <v>0</v>
      </c>
      <c r="AT35" s="10">
        <f t="shared" si="26"/>
        <v>0</v>
      </c>
      <c r="AU35" s="1">
        <f>SUMIFS(
  '[1]Hoja 1'!$M:$M,
  '[1]Hoja 1'!$S:$S, $A35,
  '[1]Hoja 1'!$R:$R, "&gt;="&amp;INT($AW$1),
  '[1]Hoja 1'!$R:$R, "&lt;"&amp;INT($AX$1+1)
)</f>
        <v>0</v>
      </c>
      <c r="AV35" s="1">
        <f t="shared" si="27"/>
        <v>0</v>
      </c>
      <c r="AW35" s="9">
        <f t="shared" si="28"/>
        <v>0</v>
      </c>
      <c r="AX35" s="10">
        <f t="shared" si="29"/>
        <v>0</v>
      </c>
      <c r="AY35" s="1">
        <f>SUMIFS(
  '[1]Hoja 1'!$M:$M,
  '[1]Hoja 1'!$S:$S, $A35,
  '[1]Hoja 1'!$R:$R, "&gt;="&amp;INT($BA$1),
  '[1]Hoja 1'!$R:$R, "&lt;"&amp;INT($BB$1+1)
)</f>
        <v>0</v>
      </c>
      <c r="AZ35" s="1">
        <f t="shared" si="30"/>
        <v>0</v>
      </c>
      <c r="BA35" s="9">
        <f t="shared" si="31"/>
        <v>0</v>
      </c>
      <c r="BB35" s="10">
        <f t="shared" si="32"/>
        <v>0</v>
      </c>
      <c r="BC35" s="1">
        <f>SUMIFS(
  '[1]Hoja 1'!$M:$M,
  '[1]Hoja 1'!$S:$S, $A35,
  '[1]Hoja 1'!$R:$R, "&gt;="&amp;INT($BE$1),
  '[1]Hoja 1'!$R:$R, "&lt;"&amp;INT($BF$1+1)
)</f>
        <v>0</v>
      </c>
      <c r="BD35" s="1">
        <f t="shared" si="33"/>
        <v>0</v>
      </c>
      <c r="BE35" s="9">
        <f t="shared" si="34"/>
        <v>0</v>
      </c>
      <c r="BF35" s="10">
        <f t="shared" si="35"/>
        <v>0</v>
      </c>
      <c r="BG35" s="1">
        <f>SUMIFS(
  '[1]Hoja 1'!$M:$M,
  '[1]Hoja 1'!$S:$S, $A35,
  '[1]Hoja 1'!$R:$R, "&gt;="&amp;INT($BI$1),
  '[1]Hoja 1'!$R:$R, "&lt;"&amp;INT($BJ$1+1)
)</f>
        <v>0</v>
      </c>
      <c r="BH35" s="1">
        <f t="shared" si="36"/>
        <v>0</v>
      </c>
      <c r="BI35" s="9">
        <f t="shared" si="37"/>
        <v>0</v>
      </c>
      <c r="BJ35" s="10">
        <f t="shared" si="38"/>
        <v>0</v>
      </c>
      <c r="BK35" s="1">
        <f>SUMIFS(
  '[1]Hoja 1'!$M:$M,
  '[1]Hoja 1'!$S:$S, $A35,
  '[1]Hoja 1'!$R:$R, "&gt;="&amp;INT($BM$1),
  '[1]Hoja 1'!$R:$R, "&lt;"&amp;INT($BN$1+1)
)</f>
        <v>0</v>
      </c>
      <c r="BL35" s="1">
        <f t="shared" si="39"/>
        <v>0</v>
      </c>
      <c r="BM35" s="9">
        <f t="shared" si="40"/>
        <v>0</v>
      </c>
      <c r="BN35" s="10">
        <f t="shared" si="41"/>
        <v>0</v>
      </c>
      <c r="BO35" s="1">
        <f>SUMIFS(
  '[1]Hoja 1'!$M:$M,
  '[1]Hoja 1'!$S:$S, $A35,
  '[1]Hoja 1'!$R:$R, "&gt;="&amp;INT($BQ$1),
  '[1]Hoja 1'!$R:$R, "&lt;"&amp;INT($BR$1+1)
)</f>
        <v>0</v>
      </c>
      <c r="BP35" s="1">
        <f t="shared" si="42"/>
        <v>0</v>
      </c>
      <c r="BQ35" s="9">
        <f t="shared" si="43"/>
        <v>0</v>
      </c>
      <c r="BR35" s="10">
        <f t="shared" si="44"/>
        <v>0</v>
      </c>
      <c r="BS35" s="1">
        <f>SUMIFS(
  '[1]Hoja 1'!$M:$M,
  '[1]Hoja 1'!$S:$S, $A35,
  '[1]Hoja 1'!$R:$R, "&gt;="&amp;INT($BU$1),
  '[1]Hoja 1'!$R:$R, "&lt;"&amp;INT($BV$1+1)
)</f>
        <v>0</v>
      </c>
      <c r="BT35" s="1">
        <f t="shared" si="45"/>
        <v>0</v>
      </c>
      <c r="BU35" s="9">
        <f t="shared" si="46"/>
        <v>0</v>
      </c>
      <c r="BV35" s="10">
        <f t="shared" si="47"/>
        <v>0</v>
      </c>
      <c r="BW35" s="1">
        <f>SUMIFS(
  '[1]Hoja 1'!$M:$M,
  '[1]Hoja 1'!$S:$S, $A35,
  '[1]Hoja 1'!$R:$R, "&gt;="&amp;INT($BY$1),
  '[1]Hoja 1'!$R:$R, "&lt;"&amp;INT($BZ$1+1)
)</f>
        <v>0</v>
      </c>
      <c r="BX35" s="1">
        <f t="shared" si="48"/>
        <v>0</v>
      </c>
      <c r="BY35" s="9">
        <f t="shared" si="49"/>
        <v>0</v>
      </c>
      <c r="BZ35" s="10">
        <f t="shared" si="50"/>
        <v>0</v>
      </c>
      <c r="CA35" s="1">
        <f>SUMIFS(
  '[1]Hoja 1'!$M:$M,
  '[1]Hoja 1'!$S:$S, $A35,
  '[1]Hoja 1'!$R:$R, "&gt;="&amp;INT($CC$1),
  '[1]Hoja 1'!$R:$R, "&lt;"&amp;INT($CD$1+1)
)</f>
        <v>0</v>
      </c>
      <c r="CB35" s="1">
        <f t="shared" si="51"/>
        <v>0</v>
      </c>
      <c r="CC35" s="9">
        <f t="shared" si="52"/>
        <v>0</v>
      </c>
      <c r="CD35" s="10">
        <f t="shared" si="53"/>
        <v>0</v>
      </c>
      <c r="CE35" s="1">
        <f>SUMIFS(
  '[1]Hoja 1'!$M:$M,
  '[1]Hoja 1'!$S:$S, $A35,
  '[1]Hoja 1'!$R:$R, "&gt;="&amp;INT($CG$1),
  '[1]Hoja 1'!$R:$R, "&lt;"&amp;INT($CH$1+1)
)</f>
        <v>0</v>
      </c>
      <c r="CF35" s="1">
        <f t="shared" si="54"/>
        <v>0</v>
      </c>
      <c r="CG35" s="9">
        <f t="shared" si="55"/>
        <v>0</v>
      </c>
      <c r="CH35" s="10">
        <f t="shared" si="56"/>
        <v>0</v>
      </c>
      <c r="CI35" s="1">
        <f>SUMIFS(
  '[1]Hoja 1'!$M:$M,
  '[1]Hoja 1'!$S:$S, $A35,
  '[1]Hoja 1'!$R:$R, "&gt;="&amp;INT($CK$1),
  '[1]Hoja 1'!$R:$R, "&lt;"&amp;INT($CL$1+1)
)</f>
        <v>0</v>
      </c>
      <c r="CJ35" s="1">
        <f t="shared" si="57"/>
        <v>0</v>
      </c>
      <c r="CK35" s="9">
        <f t="shared" si="58"/>
        <v>0</v>
      </c>
      <c r="CL35" s="10">
        <f t="shared" si="59"/>
        <v>0</v>
      </c>
      <c r="CM35" s="1">
        <f>SUMIFS(
  '[1]Hoja 1'!$M:$M,
  '[1]Hoja 1'!$S:$S, $A35,
  '[1]Hoja 1'!$R:$R, "&gt;="&amp;INT($CO$1),
  '[1]Hoja 1'!$R:$R, "&lt;"&amp;INT($CP$1+1)
)</f>
        <v>0</v>
      </c>
      <c r="CN35" s="1">
        <f t="shared" si="60"/>
        <v>0</v>
      </c>
      <c r="CO35" s="9">
        <f t="shared" si="61"/>
        <v>0</v>
      </c>
      <c r="CP35" s="10">
        <f t="shared" si="62"/>
        <v>0</v>
      </c>
      <c r="CQ35" s="1">
        <f>SUMIFS(
  '[1]Hoja 1'!$M:$M,
  '[1]Hoja 1'!$S:$S, $A35,
  '[1]Hoja 1'!$R:$R, "&gt;="&amp;INT($CS$1),
  '[1]Hoja 1'!$R:$R, "&lt;"&amp;INT($CT$1+1)
)</f>
        <v>0</v>
      </c>
      <c r="CR35" s="1">
        <f t="shared" si="63"/>
        <v>0</v>
      </c>
      <c r="CS35" s="9">
        <f t="shared" si="64"/>
        <v>0</v>
      </c>
      <c r="CT35" s="10">
        <f t="shared" si="65"/>
        <v>0</v>
      </c>
      <c r="CU35" s="1">
        <f>SUMIFS(
  '[1]Hoja 1'!$M:$M,
  '[1]Hoja 1'!$S:$S, $A35,
  '[1]Hoja 1'!$R:$R, "&gt;="&amp;INT($CW$1),
  '[1]Hoja 1'!$R:$R, "&lt;"&amp;INT($CX$1+1)
)</f>
        <v>0</v>
      </c>
      <c r="CV35" s="1">
        <f t="shared" si="66"/>
        <v>0</v>
      </c>
      <c r="CW35" s="9">
        <f t="shared" si="67"/>
        <v>0</v>
      </c>
      <c r="CX35" s="10">
        <f t="shared" si="68"/>
        <v>0</v>
      </c>
      <c r="CY35" s="1">
        <f>SUMIFS(
  '[1]Hoja 1'!$M:$M,
  '[1]Hoja 1'!$S:$S, $A35,
  '[1]Hoja 1'!$R:$R, "&gt;="&amp;INT($DA$1),
  '[1]Hoja 1'!$R:$R, "&lt;"&amp;INT($DB$1+1)
)</f>
        <v>0</v>
      </c>
      <c r="CZ35" s="1">
        <f t="shared" si="69"/>
        <v>0</v>
      </c>
      <c r="DA35" s="9">
        <f t="shared" si="70"/>
        <v>0</v>
      </c>
      <c r="DB35" s="10">
        <f t="shared" si="71"/>
        <v>0</v>
      </c>
      <c r="DC35" s="1">
        <f>SUMIFS(
  '[1]Hoja 1'!$M:$M,
  '[1]Hoja 1'!$S:$S, $A35,
  '[1]Hoja 1'!$R:$R, "&gt;="&amp;INT($DE$1),
  '[1]Hoja 1'!$R:$R, "&lt;"&amp;INT($DF$1+1)
)</f>
        <v>0</v>
      </c>
      <c r="DD35" s="1">
        <f t="shared" si="72"/>
        <v>0</v>
      </c>
      <c r="DE35" s="9">
        <f t="shared" si="73"/>
        <v>0</v>
      </c>
      <c r="DF35" s="10">
        <f t="shared" si="74"/>
        <v>0</v>
      </c>
      <c r="DG35" s="1">
        <f>SUMIFS(
  '[1]Hoja 1'!$M:$M,
  '[1]Hoja 1'!$S:$S, $A35,
  '[1]Hoja 1'!$R:$R, "&gt;="&amp;INT($DI$1),
  '[1]Hoja 1'!$R:$R, "&lt;"&amp;INT($DJ$1+1)
)</f>
        <v>0</v>
      </c>
      <c r="DH35" s="1">
        <f t="shared" si="75"/>
        <v>0</v>
      </c>
      <c r="DI35" s="9">
        <f t="shared" si="76"/>
        <v>0</v>
      </c>
      <c r="DJ35" s="10">
        <f t="shared" si="77"/>
        <v>0</v>
      </c>
      <c r="DK35" s="1">
        <f>SUMIFS(
  '[1]Hoja 1'!$M:$M,
  '[1]Hoja 1'!$S:$S, $A35,
  '[1]Hoja 1'!$R:$R, "&gt;="&amp;INT($DM$1),
  '[1]Hoja 1'!$R:$R, "&lt;"&amp;INT($DN$1+1)
)</f>
        <v>0</v>
      </c>
      <c r="DL35" s="1">
        <f t="shared" si="78"/>
        <v>0</v>
      </c>
      <c r="DM35" s="9">
        <f t="shared" si="79"/>
        <v>0</v>
      </c>
      <c r="DN35" s="10">
        <f t="shared" si="80"/>
        <v>0</v>
      </c>
      <c r="DO35" s="1">
        <f>SUMIFS(
  '[1]Hoja 1'!$M:$M,
  '[1]Hoja 1'!$S:$S, $A35,
  '[1]Hoja 1'!$R:$R, "&gt;="&amp;INT($DQ$1),
  '[1]Hoja 1'!$R:$R, "&lt;"&amp;INT($DR$1+1)
)</f>
        <v>0</v>
      </c>
      <c r="DP35" s="1">
        <f t="shared" si="81"/>
        <v>0</v>
      </c>
      <c r="DQ35" s="9">
        <f t="shared" si="82"/>
        <v>0</v>
      </c>
      <c r="DR35" s="10">
        <f t="shared" si="83"/>
        <v>0</v>
      </c>
    </row>
    <row r="36" spans="1:122" x14ac:dyDescent="0.25">
      <c r="A36" s="5">
        <v>206008</v>
      </c>
      <c r="B36" s="6" t="s">
        <v>40</v>
      </c>
      <c r="C36" s="1">
        <f>SUMIFS(
  '[1]Hoja 1'!$M:$M,
  '[1]Hoja 1'!$S:$S, $A36,
  '[1]Hoja 1'!$R:$R, "&gt;="&amp;INT($E$1),
  '[1]Hoja 1'!$R:$R, "&lt;"&amp;INT($F$1+1)
)</f>
        <v>0</v>
      </c>
      <c r="D36" s="1" t="str">
        <f>""</f>
        <v/>
      </c>
      <c r="F36" s="2"/>
      <c r="G36" s="1">
        <f>SUMIFS(
  '[1]Hoja 1'!$M:$M,
  '[1]Hoja 1'!$S:$S, $A36,
  '[1]Hoja 1'!$R:$R, "&gt;="&amp;INT($I$1),
  '[1]Hoja 1'!$R:$R, "&lt;"&amp;INT($J$1+1)
)</f>
        <v>0</v>
      </c>
      <c r="H36" s="1">
        <f t="shared" si="84"/>
        <v>0</v>
      </c>
      <c r="I36" s="1"/>
      <c r="J36" s="2"/>
      <c r="K36" s="1">
        <f>SUMIFS(
  '[1]Hoja 1'!$M:$M,
  '[1]Hoja 1'!$S:$S, $A36,
  '[1]Hoja 1'!$R:$R, "&gt;="&amp;INT($M$1),
  '[1]Hoja 1'!$R:$R, "&lt;"&amp;INT($N$1+1)
)</f>
        <v>0</v>
      </c>
      <c r="L36" s="1">
        <f t="shared" si="0"/>
        <v>0</v>
      </c>
      <c r="M36" s="9">
        <f t="shared" si="1"/>
        <v>0</v>
      </c>
      <c r="N36" s="10">
        <f t="shared" si="2"/>
        <v>0</v>
      </c>
      <c r="O36" s="1">
        <f>SUMIFS(
  '[1]Hoja 1'!$M:$M,
  '[1]Hoja 1'!$S:$S, $A36,
  '[1]Hoja 1'!$R:$R, "&gt;="&amp;INT($Q$1),
  '[1]Hoja 1'!$R:$R, "&lt;"&amp;INT($R$1+1)
)</f>
        <v>0</v>
      </c>
      <c r="P36" s="1">
        <f t="shared" si="3"/>
        <v>0</v>
      </c>
      <c r="Q36" s="9">
        <f t="shared" si="4"/>
        <v>0</v>
      </c>
      <c r="R36" s="10">
        <f t="shared" si="5"/>
        <v>0</v>
      </c>
      <c r="S36" s="1">
        <f>SUMIFS(
  '[1]Hoja 1'!$M:$M,
  '[1]Hoja 1'!$S:$S, $A36,
  '[1]Hoja 1'!$R:$R, "&gt;="&amp;INT($U$1),
  '[1]Hoja 1'!$R:$R, "&lt;"&amp;INT($V$1+1)
)</f>
        <v>0</v>
      </c>
      <c r="T36" s="1">
        <f t="shared" si="6"/>
        <v>0</v>
      </c>
      <c r="U36" s="9">
        <f t="shared" si="7"/>
        <v>0</v>
      </c>
      <c r="V36" s="10">
        <f t="shared" si="8"/>
        <v>0</v>
      </c>
      <c r="W36" s="1">
        <f>SUMIFS(
  '[1]Hoja 1'!$M:$M,
  '[1]Hoja 1'!$S:$S, $A36,
  '[1]Hoja 1'!$R:$R, "&gt;="&amp;INT($Y$1),
  '[1]Hoja 1'!$R:$R, "&lt;"&amp;INT($Z$1+1)
)</f>
        <v>0</v>
      </c>
      <c r="X36" s="1">
        <f t="shared" si="9"/>
        <v>0</v>
      </c>
      <c r="Y36" s="9">
        <f t="shared" si="10"/>
        <v>0</v>
      </c>
      <c r="Z36" s="10">
        <f t="shared" si="11"/>
        <v>0</v>
      </c>
      <c r="AA36" s="1">
        <f>SUMIFS(
  '[1]Hoja 1'!$M:$M,
  '[1]Hoja 1'!$S:$S, $A36,
  '[1]Hoja 1'!$R:$R, "&gt;="&amp;INT($AC$1),
  '[1]Hoja 1'!$R:$R, "&lt;"&amp;INT($AD$1+1)
)</f>
        <v>0</v>
      </c>
      <c r="AB36" s="1">
        <f t="shared" si="12"/>
        <v>0</v>
      </c>
      <c r="AC36" s="9">
        <f t="shared" si="13"/>
        <v>0</v>
      </c>
      <c r="AD36" s="10">
        <f t="shared" si="14"/>
        <v>0</v>
      </c>
      <c r="AE36" s="1">
        <f>SUMIFS(
  '[1]Hoja 1'!$M:$M,
  '[1]Hoja 1'!$S:$S, $A36,
  '[1]Hoja 1'!$R:$R, "&gt;="&amp;INT($AG$1),
  '[1]Hoja 1'!$R:$R, "&lt;"&amp;INT($AH$1+1)
)</f>
        <v>0</v>
      </c>
      <c r="AF36" s="1">
        <f t="shared" si="15"/>
        <v>0</v>
      </c>
      <c r="AG36" s="9">
        <f t="shared" si="16"/>
        <v>0</v>
      </c>
      <c r="AH36" s="10">
        <f t="shared" si="17"/>
        <v>0</v>
      </c>
      <c r="AI36" s="1">
        <f>SUMIFS(
  '[1]Hoja 1'!$M:$M,
  '[1]Hoja 1'!$S:$S, $A36,
  '[1]Hoja 1'!$R:$R, "&gt;="&amp;INT($AK$1),
  '[1]Hoja 1'!$R:$R, "&lt;"&amp;INT($AL$1+1)
)</f>
        <v>0</v>
      </c>
      <c r="AJ36" s="1">
        <f t="shared" si="18"/>
        <v>0</v>
      </c>
      <c r="AK36" s="9">
        <f t="shared" si="19"/>
        <v>0</v>
      </c>
      <c r="AL36" s="10">
        <f t="shared" si="20"/>
        <v>0</v>
      </c>
      <c r="AM36" s="1">
        <f>SUMIFS(
  '[1]Hoja 1'!$M:$M,
  '[1]Hoja 1'!$S:$S, $A36,
  '[1]Hoja 1'!$R:$R, "&gt;="&amp;INT($AO$1),
  '[1]Hoja 1'!$R:$R, "&lt;"&amp;INT($AP$1+1)
)</f>
        <v>0</v>
      </c>
      <c r="AN36" s="1">
        <f t="shared" si="21"/>
        <v>0</v>
      </c>
      <c r="AO36" s="9">
        <f t="shared" si="22"/>
        <v>0</v>
      </c>
      <c r="AP36" s="10">
        <f t="shared" si="23"/>
        <v>0</v>
      </c>
      <c r="AQ36" s="1">
        <f>SUMIFS(
  '[1]Hoja 1'!$M:$M,
  '[1]Hoja 1'!$S:$S, $A36,
  '[1]Hoja 1'!$R:$R, "&gt;="&amp;INT($AS$1),
  '[1]Hoja 1'!$R:$R, "&lt;"&amp;INT($AT$1+1)
)</f>
        <v>0</v>
      </c>
      <c r="AR36" s="1">
        <f t="shared" si="24"/>
        <v>0</v>
      </c>
      <c r="AS36" s="9">
        <f t="shared" si="25"/>
        <v>0</v>
      </c>
      <c r="AT36" s="10">
        <f t="shared" si="26"/>
        <v>0</v>
      </c>
      <c r="AU36" s="1">
        <f>SUMIFS(
  '[1]Hoja 1'!$M:$M,
  '[1]Hoja 1'!$S:$S, $A36,
  '[1]Hoja 1'!$R:$R, "&gt;="&amp;INT($AW$1),
  '[1]Hoja 1'!$R:$R, "&lt;"&amp;INT($AX$1+1)
)</f>
        <v>0</v>
      </c>
      <c r="AV36" s="1">
        <f t="shared" si="27"/>
        <v>0</v>
      </c>
      <c r="AW36" s="9">
        <f t="shared" si="28"/>
        <v>0</v>
      </c>
      <c r="AX36" s="10">
        <f t="shared" si="29"/>
        <v>0</v>
      </c>
      <c r="AY36" s="1">
        <f>SUMIFS(
  '[1]Hoja 1'!$M:$M,
  '[1]Hoja 1'!$S:$S, $A36,
  '[1]Hoja 1'!$R:$R, "&gt;="&amp;INT($BA$1),
  '[1]Hoja 1'!$R:$R, "&lt;"&amp;INT($BB$1+1)
)</f>
        <v>0</v>
      </c>
      <c r="AZ36" s="1">
        <f t="shared" si="30"/>
        <v>0</v>
      </c>
      <c r="BA36" s="9">
        <f t="shared" si="31"/>
        <v>0</v>
      </c>
      <c r="BB36" s="10">
        <f t="shared" si="32"/>
        <v>0</v>
      </c>
      <c r="BC36" s="1">
        <f>SUMIFS(
  '[1]Hoja 1'!$M:$M,
  '[1]Hoja 1'!$S:$S, $A36,
  '[1]Hoja 1'!$R:$R, "&gt;="&amp;INT($BE$1),
  '[1]Hoja 1'!$R:$R, "&lt;"&amp;INT($BF$1+1)
)</f>
        <v>0</v>
      </c>
      <c r="BD36" s="1">
        <f t="shared" si="33"/>
        <v>0</v>
      </c>
      <c r="BE36" s="9">
        <f t="shared" si="34"/>
        <v>0</v>
      </c>
      <c r="BF36" s="10">
        <f t="shared" si="35"/>
        <v>0</v>
      </c>
      <c r="BG36" s="1">
        <f>SUMIFS(
  '[1]Hoja 1'!$M:$M,
  '[1]Hoja 1'!$S:$S, $A36,
  '[1]Hoja 1'!$R:$R, "&gt;="&amp;INT($BI$1),
  '[1]Hoja 1'!$R:$R, "&lt;"&amp;INT($BJ$1+1)
)</f>
        <v>0</v>
      </c>
      <c r="BH36" s="1">
        <f t="shared" si="36"/>
        <v>0</v>
      </c>
      <c r="BI36" s="9">
        <f t="shared" si="37"/>
        <v>0</v>
      </c>
      <c r="BJ36" s="10">
        <f t="shared" si="38"/>
        <v>0</v>
      </c>
      <c r="BK36" s="1">
        <f>SUMIFS(
  '[1]Hoja 1'!$M:$M,
  '[1]Hoja 1'!$S:$S, $A36,
  '[1]Hoja 1'!$R:$R, "&gt;="&amp;INT($BM$1),
  '[1]Hoja 1'!$R:$R, "&lt;"&amp;INT($BN$1+1)
)</f>
        <v>0</v>
      </c>
      <c r="BL36" s="1">
        <f t="shared" si="39"/>
        <v>0</v>
      </c>
      <c r="BM36" s="9">
        <f t="shared" si="40"/>
        <v>0</v>
      </c>
      <c r="BN36" s="10">
        <f t="shared" si="41"/>
        <v>0</v>
      </c>
      <c r="BO36" s="1">
        <f>SUMIFS(
  '[1]Hoja 1'!$M:$M,
  '[1]Hoja 1'!$S:$S, $A36,
  '[1]Hoja 1'!$R:$R, "&gt;="&amp;INT($BQ$1),
  '[1]Hoja 1'!$R:$R, "&lt;"&amp;INT($BR$1+1)
)</f>
        <v>0</v>
      </c>
      <c r="BP36" s="1">
        <f t="shared" si="42"/>
        <v>0</v>
      </c>
      <c r="BQ36" s="9">
        <f t="shared" si="43"/>
        <v>0</v>
      </c>
      <c r="BR36" s="10">
        <f t="shared" si="44"/>
        <v>0</v>
      </c>
      <c r="BS36" s="1">
        <f>SUMIFS(
  '[1]Hoja 1'!$M:$M,
  '[1]Hoja 1'!$S:$S, $A36,
  '[1]Hoja 1'!$R:$R, "&gt;="&amp;INT($BU$1),
  '[1]Hoja 1'!$R:$R, "&lt;"&amp;INT($BV$1+1)
)</f>
        <v>0</v>
      </c>
      <c r="BT36" s="1">
        <f t="shared" si="45"/>
        <v>0</v>
      </c>
      <c r="BU36" s="9">
        <f t="shared" si="46"/>
        <v>0</v>
      </c>
      <c r="BV36" s="10">
        <f t="shared" si="47"/>
        <v>0</v>
      </c>
      <c r="BW36" s="1">
        <f>SUMIFS(
  '[1]Hoja 1'!$M:$M,
  '[1]Hoja 1'!$S:$S, $A36,
  '[1]Hoja 1'!$R:$R, "&gt;="&amp;INT($BY$1),
  '[1]Hoja 1'!$R:$R, "&lt;"&amp;INT($BZ$1+1)
)</f>
        <v>0</v>
      </c>
      <c r="BX36" s="1">
        <f t="shared" si="48"/>
        <v>0</v>
      </c>
      <c r="BY36" s="9">
        <f t="shared" si="49"/>
        <v>0</v>
      </c>
      <c r="BZ36" s="10">
        <f t="shared" si="50"/>
        <v>0</v>
      </c>
      <c r="CA36" s="1">
        <f>SUMIFS(
  '[1]Hoja 1'!$M:$M,
  '[1]Hoja 1'!$S:$S, $A36,
  '[1]Hoja 1'!$R:$R, "&gt;="&amp;INT($CC$1),
  '[1]Hoja 1'!$R:$R, "&lt;"&amp;INT($CD$1+1)
)</f>
        <v>0</v>
      </c>
      <c r="CB36" s="1">
        <f t="shared" si="51"/>
        <v>0</v>
      </c>
      <c r="CC36" s="9">
        <f t="shared" si="52"/>
        <v>0</v>
      </c>
      <c r="CD36" s="10">
        <f t="shared" si="53"/>
        <v>0</v>
      </c>
      <c r="CE36" s="1">
        <f>SUMIFS(
  '[1]Hoja 1'!$M:$M,
  '[1]Hoja 1'!$S:$S, $A36,
  '[1]Hoja 1'!$R:$R, "&gt;="&amp;INT($CG$1),
  '[1]Hoja 1'!$R:$R, "&lt;"&amp;INT($CH$1+1)
)</f>
        <v>0</v>
      </c>
      <c r="CF36" s="1">
        <f t="shared" si="54"/>
        <v>0</v>
      </c>
      <c r="CG36" s="9">
        <f t="shared" si="55"/>
        <v>0</v>
      </c>
      <c r="CH36" s="10">
        <f t="shared" si="56"/>
        <v>0</v>
      </c>
      <c r="CI36" s="1">
        <f>SUMIFS(
  '[1]Hoja 1'!$M:$M,
  '[1]Hoja 1'!$S:$S, $A36,
  '[1]Hoja 1'!$R:$R, "&gt;="&amp;INT($CK$1),
  '[1]Hoja 1'!$R:$R, "&lt;"&amp;INT($CL$1+1)
)</f>
        <v>0</v>
      </c>
      <c r="CJ36" s="1">
        <f t="shared" si="57"/>
        <v>0</v>
      </c>
      <c r="CK36" s="9">
        <f t="shared" si="58"/>
        <v>0</v>
      </c>
      <c r="CL36" s="10">
        <f t="shared" si="59"/>
        <v>0</v>
      </c>
      <c r="CM36" s="1">
        <f>SUMIFS(
  '[1]Hoja 1'!$M:$M,
  '[1]Hoja 1'!$S:$S, $A36,
  '[1]Hoja 1'!$R:$R, "&gt;="&amp;INT($CO$1),
  '[1]Hoja 1'!$R:$R, "&lt;"&amp;INT($CP$1+1)
)</f>
        <v>0</v>
      </c>
      <c r="CN36" s="1">
        <f t="shared" si="60"/>
        <v>0</v>
      </c>
      <c r="CO36" s="9">
        <f t="shared" si="61"/>
        <v>0</v>
      </c>
      <c r="CP36" s="10">
        <f t="shared" si="62"/>
        <v>0</v>
      </c>
      <c r="CQ36" s="1">
        <f>SUMIFS(
  '[1]Hoja 1'!$M:$M,
  '[1]Hoja 1'!$S:$S, $A36,
  '[1]Hoja 1'!$R:$R, "&gt;="&amp;INT($CS$1),
  '[1]Hoja 1'!$R:$R, "&lt;"&amp;INT($CT$1+1)
)</f>
        <v>0</v>
      </c>
      <c r="CR36" s="1">
        <f t="shared" si="63"/>
        <v>0</v>
      </c>
      <c r="CS36" s="9">
        <f t="shared" si="64"/>
        <v>0</v>
      </c>
      <c r="CT36" s="10">
        <f t="shared" si="65"/>
        <v>0</v>
      </c>
      <c r="CU36" s="1">
        <f>SUMIFS(
  '[1]Hoja 1'!$M:$M,
  '[1]Hoja 1'!$S:$S, $A36,
  '[1]Hoja 1'!$R:$R, "&gt;="&amp;INT($CW$1),
  '[1]Hoja 1'!$R:$R, "&lt;"&amp;INT($CX$1+1)
)</f>
        <v>0</v>
      </c>
      <c r="CV36" s="1">
        <f t="shared" si="66"/>
        <v>0</v>
      </c>
      <c r="CW36" s="9">
        <f t="shared" si="67"/>
        <v>0</v>
      </c>
      <c r="CX36" s="10">
        <f t="shared" si="68"/>
        <v>0</v>
      </c>
      <c r="CY36" s="1">
        <f>SUMIFS(
  '[1]Hoja 1'!$M:$M,
  '[1]Hoja 1'!$S:$S, $A36,
  '[1]Hoja 1'!$R:$R, "&gt;="&amp;INT($DA$1),
  '[1]Hoja 1'!$R:$R, "&lt;"&amp;INT($DB$1+1)
)</f>
        <v>0</v>
      </c>
      <c r="CZ36" s="1">
        <f t="shared" si="69"/>
        <v>0</v>
      </c>
      <c r="DA36" s="9">
        <f t="shared" si="70"/>
        <v>0</v>
      </c>
      <c r="DB36" s="10">
        <f t="shared" si="71"/>
        <v>0</v>
      </c>
      <c r="DC36" s="1">
        <f>SUMIFS(
  '[1]Hoja 1'!$M:$M,
  '[1]Hoja 1'!$S:$S, $A36,
  '[1]Hoja 1'!$R:$R, "&gt;="&amp;INT($DE$1),
  '[1]Hoja 1'!$R:$R, "&lt;"&amp;INT($DF$1+1)
)</f>
        <v>0</v>
      </c>
      <c r="DD36" s="1">
        <f t="shared" si="72"/>
        <v>0</v>
      </c>
      <c r="DE36" s="9">
        <f t="shared" si="73"/>
        <v>0</v>
      </c>
      <c r="DF36" s="10">
        <f t="shared" si="74"/>
        <v>0</v>
      </c>
      <c r="DG36" s="1">
        <f>SUMIFS(
  '[1]Hoja 1'!$M:$M,
  '[1]Hoja 1'!$S:$S, $A36,
  '[1]Hoja 1'!$R:$R, "&gt;="&amp;INT($DI$1),
  '[1]Hoja 1'!$R:$R, "&lt;"&amp;INT($DJ$1+1)
)</f>
        <v>0</v>
      </c>
      <c r="DH36" s="1">
        <f t="shared" si="75"/>
        <v>0</v>
      </c>
      <c r="DI36" s="9">
        <f t="shared" si="76"/>
        <v>0</v>
      </c>
      <c r="DJ36" s="10">
        <f t="shared" si="77"/>
        <v>0</v>
      </c>
      <c r="DK36" s="1">
        <f>SUMIFS(
  '[1]Hoja 1'!$M:$M,
  '[1]Hoja 1'!$S:$S, $A36,
  '[1]Hoja 1'!$R:$R, "&gt;="&amp;INT($DM$1),
  '[1]Hoja 1'!$R:$R, "&lt;"&amp;INT($DN$1+1)
)</f>
        <v>0</v>
      </c>
      <c r="DL36" s="1">
        <f t="shared" si="78"/>
        <v>0</v>
      </c>
      <c r="DM36" s="9">
        <f t="shared" si="79"/>
        <v>0</v>
      </c>
      <c r="DN36" s="10">
        <f t="shared" si="80"/>
        <v>0</v>
      </c>
      <c r="DO36" s="1">
        <f>SUMIFS(
  '[1]Hoja 1'!$M:$M,
  '[1]Hoja 1'!$S:$S, $A36,
  '[1]Hoja 1'!$R:$R, "&gt;="&amp;INT($DQ$1),
  '[1]Hoja 1'!$R:$R, "&lt;"&amp;INT($DR$1+1)
)</f>
        <v>0</v>
      </c>
      <c r="DP36" s="1">
        <f t="shared" si="81"/>
        <v>0</v>
      </c>
      <c r="DQ36" s="9">
        <f t="shared" si="82"/>
        <v>0</v>
      </c>
      <c r="DR36" s="10">
        <f t="shared" si="83"/>
        <v>0</v>
      </c>
    </row>
    <row r="37" spans="1:122" x14ac:dyDescent="0.25">
      <c r="A37" s="5">
        <v>206014</v>
      </c>
      <c r="B37" s="6" t="s">
        <v>41</v>
      </c>
      <c r="C37" s="1">
        <f>SUMIFS(
  '[1]Hoja 1'!$M:$M,
  '[1]Hoja 1'!$S:$S, $A37,
  '[1]Hoja 1'!$R:$R, "&gt;="&amp;INT($E$1),
  '[1]Hoja 1'!$R:$R, "&lt;"&amp;INT($F$1+1)
)</f>
        <v>1</v>
      </c>
      <c r="D37" s="1" t="str">
        <f>""</f>
        <v/>
      </c>
      <c r="F37" s="2"/>
      <c r="G37" s="1">
        <f>SUMIFS(
  '[1]Hoja 1'!$M:$M,
  '[1]Hoja 1'!$S:$S, $A37,
  '[1]Hoja 1'!$R:$R, "&gt;="&amp;INT($I$1),
  '[1]Hoja 1'!$R:$R, "&lt;"&amp;INT($J$1+1)
)</f>
        <v>0</v>
      </c>
      <c r="H37" s="1">
        <f t="shared" si="84"/>
        <v>0.5</v>
      </c>
      <c r="I37" s="1"/>
      <c r="J37" s="2"/>
      <c r="K37" s="1">
        <f>SUMIFS(
  '[1]Hoja 1'!$M:$M,
  '[1]Hoja 1'!$S:$S, $A37,
  '[1]Hoja 1'!$R:$R, "&gt;="&amp;INT($M$1),
  '[1]Hoja 1'!$R:$R, "&lt;"&amp;INT($N$1+1)
)</f>
        <v>0</v>
      </c>
      <c r="L37" s="1">
        <f t="shared" si="0"/>
        <v>0</v>
      </c>
      <c r="M37" s="9">
        <f t="shared" si="1"/>
        <v>-0.69296464556281656</v>
      </c>
      <c r="N37" s="10">
        <f t="shared" si="2"/>
        <v>0.69296464556281656</v>
      </c>
      <c r="O37" s="1">
        <f>SUMIFS(
  '[1]Hoja 1'!$M:$M,
  '[1]Hoja 1'!$S:$S, $A37,
  '[1]Hoja 1'!$R:$R, "&gt;="&amp;INT($Q$1),
  '[1]Hoja 1'!$R:$R, "&lt;"&amp;INT($R$1+1)
)</f>
        <v>0</v>
      </c>
      <c r="P37" s="1">
        <f t="shared" si="3"/>
        <v>0</v>
      </c>
      <c r="Q37" s="9">
        <f t="shared" si="4"/>
        <v>-0.56580326380583335</v>
      </c>
      <c r="R37" s="10">
        <f t="shared" si="5"/>
        <v>0.56580326380583335</v>
      </c>
      <c r="S37" s="1">
        <f>SUMIFS(
  '[1]Hoja 1'!$M:$M,
  '[1]Hoja 1'!$S:$S, $A37,
  '[1]Hoja 1'!$R:$R, "&gt;="&amp;INT($U$1),
  '[1]Hoja 1'!$R:$R, "&lt;"&amp;INT($V$1+1)
)</f>
        <v>0</v>
      </c>
      <c r="T37" s="1">
        <f t="shared" si="6"/>
        <v>0</v>
      </c>
      <c r="U37" s="9">
        <f t="shared" si="7"/>
        <v>-0.49</v>
      </c>
      <c r="V37" s="10">
        <f t="shared" si="8"/>
        <v>0.49</v>
      </c>
      <c r="W37" s="1">
        <f>SUMIFS(
  '[1]Hoja 1'!$M:$M,
  '[1]Hoja 1'!$S:$S, $A37,
  '[1]Hoja 1'!$R:$R, "&gt;="&amp;INT($Y$1),
  '[1]Hoja 1'!$R:$R, "&lt;"&amp;INT($Z$1+1)
)</f>
        <v>0</v>
      </c>
      <c r="X37" s="1">
        <f t="shared" si="9"/>
        <v>0</v>
      </c>
      <c r="Y37" s="9">
        <f t="shared" si="10"/>
        <v>0</v>
      </c>
      <c r="Z37" s="10">
        <f t="shared" si="11"/>
        <v>0</v>
      </c>
      <c r="AA37" s="1">
        <f>SUMIFS(
  '[1]Hoja 1'!$M:$M,
  '[1]Hoja 1'!$S:$S, $A37,
  '[1]Hoja 1'!$R:$R, "&gt;="&amp;INT($AC$1),
  '[1]Hoja 1'!$R:$R, "&lt;"&amp;INT($AD$1+1)
)</f>
        <v>0</v>
      </c>
      <c r="AB37" s="1">
        <f t="shared" si="12"/>
        <v>0</v>
      </c>
      <c r="AC37" s="9">
        <f t="shared" si="13"/>
        <v>0</v>
      </c>
      <c r="AD37" s="10">
        <f t="shared" si="14"/>
        <v>0</v>
      </c>
      <c r="AE37" s="1">
        <f>SUMIFS(
  '[1]Hoja 1'!$M:$M,
  '[1]Hoja 1'!$S:$S, $A37,
  '[1]Hoja 1'!$R:$R, "&gt;="&amp;INT($AG$1),
  '[1]Hoja 1'!$R:$R, "&lt;"&amp;INT($AH$1+1)
)</f>
        <v>0</v>
      </c>
      <c r="AF37" s="1">
        <f t="shared" si="15"/>
        <v>0</v>
      </c>
      <c r="AG37" s="9">
        <f t="shared" si="16"/>
        <v>0</v>
      </c>
      <c r="AH37" s="10">
        <f t="shared" si="17"/>
        <v>0</v>
      </c>
      <c r="AI37" s="1">
        <f>SUMIFS(
  '[1]Hoja 1'!$M:$M,
  '[1]Hoja 1'!$S:$S, $A37,
  '[1]Hoja 1'!$R:$R, "&gt;="&amp;INT($AK$1),
  '[1]Hoja 1'!$R:$R, "&lt;"&amp;INT($AL$1+1)
)</f>
        <v>0</v>
      </c>
      <c r="AJ37" s="1">
        <f t="shared" si="18"/>
        <v>0</v>
      </c>
      <c r="AK37" s="9">
        <f t="shared" si="19"/>
        <v>0</v>
      </c>
      <c r="AL37" s="10">
        <f t="shared" si="20"/>
        <v>0</v>
      </c>
      <c r="AM37" s="1">
        <f>SUMIFS(
  '[1]Hoja 1'!$M:$M,
  '[1]Hoja 1'!$S:$S, $A37,
  '[1]Hoja 1'!$R:$R, "&gt;="&amp;INT($AO$1),
  '[1]Hoja 1'!$R:$R, "&lt;"&amp;INT($AP$1+1)
)</f>
        <v>0</v>
      </c>
      <c r="AN37" s="1">
        <f t="shared" si="21"/>
        <v>0</v>
      </c>
      <c r="AO37" s="9">
        <f t="shared" si="22"/>
        <v>0</v>
      </c>
      <c r="AP37" s="10">
        <f t="shared" si="23"/>
        <v>0</v>
      </c>
      <c r="AQ37" s="1">
        <f>SUMIFS(
  '[1]Hoja 1'!$M:$M,
  '[1]Hoja 1'!$S:$S, $A37,
  '[1]Hoja 1'!$R:$R, "&gt;="&amp;INT($AS$1),
  '[1]Hoja 1'!$R:$R, "&lt;"&amp;INT($AT$1+1)
)</f>
        <v>0</v>
      </c>
      <c r="AR37" s="1">
        <f t="shared" si="24"/>
        <v>0</v>
      </c>
      <c r="AS37" s="9">
        <f t="shared" si="25"/>
        <v>0</v>
      </c>
      <c r="AT37" s="10">
        <f t="shared" si="26"/>
        <v>0</v>
      </c>
      <c r="AU37" s="1">
        <f>SUMIFS(
  '[1]Hoja 1'!$M:$M,
  '[1]Hoja 1'!$S:$S, $A37,
  '[1]Hoja 1'!$R:$R, "&gt;="&amp;INT($AW$1),
  '[1]Hoja 1'!$R:$R, "&lt;"&amp;INT($AX$1+1)
)</f>
        <v>0</v>
      </c>
      <c r="AV37" s="1">
        <f t="shared" si="27"/>
        <v>0</v>
      </c>
      <c r="AW37" s="9">
        <f t="shared" si="28"/>
        <v>0</v>
      </c>
      <c r="AX37" s="10">
        <f t="shared" si="29"/>
        <v>0</v>
      </c>
      <c r="AY37" s="1">
        <f>SUMIFS(
  '[1]Hoja 1'!$M:$M,
  '[1]Hoja 1'!$S:$S, $A37,
  '[1]Hoja 1'!$R:$R, "&gt;="&amp;INT($BA$1),
  '[1]Hoja 1'!$R:$R, "&lt;"&amp;INT($BB$1+1)
)</f>
        <v>0</v>
      </c>
      <c r="AZ37" s="1">
        <f t="shared" si="30"/>
        <v>0</v>
      </c>
      <c r="BA37" s="9">
        <f t="shared" si="31"/>
        <v>0</v>
      </c>
      <c r="BB37" s="10">
        <f t="shared" si="32"/>
        <v>0</v>
      </c>
      <c r="BC37" s="1">
        <f>SUMIFS(
  '[1]Hoja 1'!$M:$M,
  '[1]Hoja 1'!$S:$S, $A37,
  '[1]Hoja 1'!$R:$R, "&gt;="&amp;INT($BE$1),
  '[1]Hoja 1'!$R:$R, "&lt;"&amp;INT($BF$1+1)
)</f>
        <v>0</v>
      </c>
      <c r="BD37" s="1">
        <f t="shared" si="33"/>
        <v>0</v>
      </c>
      <c r="BE37" s="9">
        <f t="shared" si="34"/>
        <v>0</v>
      </c>
      <c r="BF37" s="10">
        <f t="shared" si="35"/>
        <v>0</v>
      </c>
      <c r="BG37" s="1">
        <f>SUMIFS(
  '[1]Hoja 1'!$M:$M,
  '[1]Hoja 1'!$S:$S, $A37,
  '[1]Hoja 1'!$R:$R, "&gt;="&amp;INT($BI$1),
  '[1]Hoja 1'!$R:$R, "&lt;"&amp;INT($BJ$1+1)
)</f>
        <v>0</v>
      </c>
      <c r="BH37" s="1">
        <f t="shared" si="36"/>
        <v>0</v>
      </c>
      <c r="BI37" s="9">
        <f t="shared" si="37"/>
        <v>0</v>
      </c>
      <c r="BJ37" s="10">
        <f t="shared" si="38"/>
        <v>0</v>
      </c>
      <c r="BK37" s="1">
        <f>SUMIFS(
  '[1]Hoja 1'!$M:$M,
  '[1]Hoja 1'!$S:$S, $A37,
  '[1]Hoja 1'!$R:$R, "&gt;="&amp;INT($BM$1),
  '[1]Hoja 1'!$R:$R, "&lt;"&amp;INT($BN$1+1)
)</f>
        <v>0</v>
      </c>
      <c r="BL37" s="1">
        <f t="shared" si="39"/>
        <v>0</v>
      </c>
      <c r="BM37" s="9">
        <f t="shared" si="40"/>
        <v>0</v>
      </c>
      <c r="BN37" s="10">
        <f t="shared" si="41"/>
        <v>0</v>
      </c>
      <c r="BO37" s="1">
        <f>SUMIFS(
  '[1]Hoja 1'!$M:$M,
  '[1]Hoja 1'!$S:$S, $A37,
  '[1]Hoja 1'!$R:$R, "&gt;="&amp;INT($BQ$1),
  '[1]Hoja 1'!$R:$R, "&lt;"&amp;INT($BR$1+1)
)</f>
        <v>0</v>
      </c>
      <c r="BP37" s="1">
        <f t="shared" si="42"/>
        <v>0</v>
      </c>
      <c r="BQ37" s="9">
        <f t="shared" si="43"/>
        <v>0</v>
      </c>
      <c r="BR37" s="10">
        <f t="shared" si="44"/>
        <v>0</v>
      </c>
      <c r="BS37" s="1">
        <f>SUMIFS(
  '[1]Hoja 1'!$M:$M,
  '[1]Hoja 1'!$S:$S, $A37,
  '[1]Hoja 1'!$R:$R, "&gt;="&amp;INT($BU$1),
  '[1]Hoja 1'!$R:$R, "&lt;"&amp;INT($BV$1+1)
)</f>
        <v>0</v>
      </c>
      <c r="BT37" s="1">
        <f t="shared" si="45"/>
        <v>0</v>
      </c>
      <c r="BU37" s="9">
        <f t="shared" si="46"/>
        <v>0</v>
      </c>
      <c r="BV37" s="10">
        <f t="shared" si="47"/>
        <v>0</v>
      </c>
      <c r="BW37" s="1">
        <f>SUMIFS(
  '[1]Hoja 1'!$M:$M,
  '[1]Hoja 1'!$S:$S, $A37,
  '[1]Hoja 1'!$R:$R, "&gt;="&amp;INT($BY$1),
  '[1]Hoja 1'!$R:$R, "&lt;"&amp;INT($BZ$1+1)
)</f>
        <v>0</v>
      </c>
      <c r="BX37" s="1">
        <f t="shared" si="48"/>
        <v>0</v>
      </c>
      <c r="BY37" s="9">
        <f t="shared" si="49"/>
        <v>0</v>
      </c>
      <c r="BZ37" s="10">
        <f t="shared" si="50"/>
        <v>0</v>
      </c>
      <c r="CA37" s="1">
        <f>SUMIFS(
  '[1]Hoja 1'!$M:$M,
  '[1]Hoja 1'!$S:$S, $A37,
  '[1]Hoja 1'!$R:$R, "&gt;="&amp;INT($CC$1),
  '[1]Hoja 1'!$R:$R, "&lt;"&amp;INT($CD$1+1)
)</f>
        <v>0</v>
      </c>
      <c r="CB37" s="1">
        <f t="shared" si="51"/>
        <v>0</v>
      </c>
      <c r="CC37" s="9">
        <f t="shared" si="52"/>
        <v>0</v>
      </c>
      <c r="CD37" s="10">
        <f t="shared" si="53"/>
        <v>0</v>
      </c>
      <c r="CE37" s="1">
        <f>SUMIFS(
  '[1]Hoja 1'!$M:$M,
  '[1]Hoja 1'!$S:$S, $A37,
  '[1]Hoja 1'!$R:$R, "&gt;="&amp;INT($CG$1),
  '[1]Hoja 1'!$R:$R, "&lt;"&amp;INT($CH$1+1)
)</f>
        <v>0</v>
      </c>
      <c r="CF37" s="1">
        <f t="shared" si="54"/>
        <v>0</v>
      </c>
      <c r="CG37" s="9">
        <f t="shared" si="55"/>
        <v>0</v>
      </c>
      <c r="CH37" s="10">
        <f t="shared" si="56"/>
        <v>0</v>
      </c>
      <c r="CI37" s="1">
        <f>SUMIFS(
  '[1]Hoja 1'!$M:$M,
  '[1]Hoja 1'!$S:$S, $A37,
  '[1]Hoja 1'!$R:$R, "&gt;="&amp;INT($CK$1),
  '[1]Hoja 1'!$R:$R, "&lt;"&amp;INT($CL$1+1)
)</f>
        <v>0</v>
      </c>
      <c r="CJ37" s="1">
        <f t="shared" si="57"/>
        <v>0</v>
      </c>
      <c r="CK37" s="9">
        <f t="shared" si="58"/>
        <v>0</v>
      </c>
      <c r="CL37" s="10">
        <f t="shared" si="59"/>
        <v>0</v>
      </c>
      <c r="CM37" s="1">
        <f>SUMIFS(
  '[1]Hoja 1'!$M:$M,
  '[1]Hoja 1'!$S:$S, $A37,
  '[1]Hoja 1'!$R:$R, "&gt;="&amp;INT($CO$1),
  '[1]Hoja 1'!$R:$R, "&lt;"&amp;INT($CP$1+1)
)</f>
        <v>0</v>
      </c>
      <c r="CN37" s="1">
        <f t="shared" si="60"/>
        <v>0</v>
      </c>
      <c r="CO37" s="9">
        <f t="shared" si="61"/>
        <v>0</v>
      </c>
      <c r="CP37" s="10">
        <f t="shared" si="62"/>
        <v>0</v>
      </c>
      <c r="CQ37" s="1">
        <f>SUMIFS(
  '[1]Hoja 1'!$M:$M,
  '[1]Hoja 1'!$S:$S, $A37,
  '[1]Hoja 1'!$R:$R, "&gt;="&amp;INT($CS$1),
  '[1]Hoja 1'!$R:$R, "&lt;"&amp;INT($CT$1+1)
)</f>
        <v>0</v>
      </c>
      <c r="CR37" s="1">
        <f t="shared" si="63"/>
        <v>0</v>
      </c>
      <c r="CS37" s="9">
        <f t="shared" si="64"/>
        <v>0</v>
      </c>
      <c r="CT37" s="10">
        <f t="shared" si="65"/>
        <v>0</v>
      </c>
      <c r="CU37" s="1">
        <f>SUMIFS(
  '[1]Hoja 1'!$M:$M,
  '[1]Hoja 1'!$S:$S, $A37,
  '[1]Hoja 1'!$R:$R, "&gt;="&amp;INT($CW$1),
  '[1]Hoja 1'!$R:$R, "&lt;"&amp;INT($CX$1+1)
)</f>
        <v>0</v>
      </c>
      <c r="CV37" s="1">
        <f t="shared" si="66"/>
        <v>0</v>
      </c>
      <c r="CW37" s="9">
        <f t="shared" si="67"/>
        <v>0</v>
      </c>
      <c r="CX37" s="10">
        <f t="shared" si="68"/>
        <v>0</v>
      </c>
      <c r="CY37" s="1">
        <f>SUMIFS(
  '[1]Hoja 1'!$M:$M,
  '[1]Hoja 1'!$S:$S, $A37,
  '[1]Hoja 1'!$R:$R, "&gt;="&amp;INT($DA$1),
  '[1]Hoja 1'!$R:$R, "&lt;"&amp;INT($DB$1+1)
)</f>
        <v>0</v>
      </c>
      <c r="CZ37" s="1">
        <f t="shared" si="69"/>
        <v>0</v>
      </c>
      <c r="DA37" s="9">
        <f t="shared" si="70"/>
        <v>0</v>
      </c>
      <c r="DB37" s="10">
        <f t="shared" si="71"/>
        <v>0</v>
      </c>
      <c r="DC37" s="1">
        <f>SUMIFS(
  '[1]Hoja 1'!$M:$M,
  '[1]Hoja 1'!$S:$S, $A37,
  '[1]Hoja 1'!$R:$R, "&gt;="&amp;INT($DE$1),
  '[1]Hoja 1'!$R:$R, "&lt;"&amp;INT($DF$1+1)
)</f>
        <v>0</v>
      </c>
      <c r="DD37" s="1">
        <f t="shared" si="72"/>
        <v>0</v>
      </c>
      <c r="DE37" s="9">
        <f t="shared" si="73"/>
        <v>0</v>
      </c>
      <c r="DF37" s="10">
        <f t="shared" si="74"/>
        <v>0</v>
      </c>
      <c r="DG37" s="1">
        <f>SUMIFS(
  '[1]Hoja 1'!$M:$M,
  '[1]Hoja 1'!$S:$S, $A37,
  '[1]Hoja 1'!$R:$R, "&gt;="&amp;INT($DI$1),
  '[1]Hoja 1'!$R:$R, "&lt;"&amp;INT($DJ$1+1)
)</f>
        <v>0</v>
      </c>
      <c r="DH37" s="1">
        <f t="shared" si="75"/>
        <v>0</v>
      </c>
      <c r="DI37" s="9">
        <f t="shared" si="76"/>
        <v>0</v>
      </c>
      <c r="DJ37" s="10">
        <f t="shared" si="77"/>
        <v>0</v>
      </c>
      <c r="DK37" s="1">
        <f>SUMIFS(
  '[1]Hoja 1'!$M:$M,
  '[1]Hoja 1'!$S:$S, $A37,
  '[1]Hoja 1'!$R:$R, "&gt;="&amp;INT($DM$1),
  '[1]Hoja 1'!$R:$R, "&lt;"&amp;INT($DN$1+1)
)</f>
        <v>0</v>
      </c>
      <c r="DL37" s="1">
        <f t="shared" si="78"/>
        <v>0</v>
      </c>
      <c r="DM37" s="9">
        <f t="shared" si="79"/>
        <v>0</v>
      </c>
      <c r="DN37" s="10">
        <f t="shared" si="80"/>
        <v>0</v>
      </c>
      <c r="DO37" s="1">
        <f>SUMIFS(
  '[1]Hoja 1'!$M:$M,
  '[1]Hoja 1'!$S:$S, $A37,
  '[1]Hoja 1'!$R:$R, "&gt;="&amp;INT($DQ$1),
  '[1]Hoja 1'!$R:$R, "&lt;"&amp;INT($DR$1+1)
)</f>
        <v>0</v>
      </c>
      <c r="DP37" s="1">
        <f t="shared" si="81"/>
        <v>0</v>
      </c>
      <c r="DQ37" s="9">
        <f t="shared" si="82"/>
        <v>0</v>
      </c>
      <c r="DR37" s="10">
        <f t="shared" si="83"/>
        <v>0</v>
      </c>
    </row>
    <row r="38" spans="1:122" x14ac:dyDescent="0.25">
      <c r="A38" s="5">
        <v>206015</v>
      </c>
      <c r="B38" s="6" t="s">
        <v>42</v>
      </c>
      <c r="C38" s="1">
        <f>SUMIFS(
  '[1]Hoja 1'!$M:$M,
  '[1]Hoja 1'!$S:$S, $A38,
  '[1]Hoja 1'!$R:$R, "&gt;="&amp;INT($E$1),
  '[1]Hoja 1'!$R:$R, "&lt;"&amp;INT($F$1+1)
)</f>
        <v>0</v>
      </c>
      <c r="D38" s="1" t="str">
        <f>""</f>
        <v/>
      </c>
      <c r="F38" s="2"/>
      <c r="G38" s="1">
        <f>SUMIFS(
  '[1]Hoja 1'!$M:$M,
  '[1]Hoja 1'!$S:$S, $A38,
  '[1]Hoja 1'!$R:$R, "&gt;="&amp;INT($I$1),
  '[1]Hoja 1'!$R:$R, "&lt;"&amp;INT($J$1+1)
)</f>
        <v>0</v>
      </c>
      <c r="H38" s="1">
        <f t="shared" si="84"/>
        <v>0</v>
      </c>
      <c r="I38" s="1"/>
      <c r="J38" s="2"/>
      <c r="K38" s="1">
        <f>SUMIFS(
  '[1]Hoja 1'!$M:$M,
  '[1]Hoja 1'!$S:$S, $A38,
  '[1]Hoja 1'!$R:$R, "&gt;="&amp;INT($M$1),
  '[1]Hoja 1'!$R:$R, "&lt;"&amp;INT($N$1+1)
)</f>
        <v>0</v>
      </c>
      <c r="L38" s="1">
        <f t="shared" si="0"/>
        <v>0</v>
      </c>
      <c r="M38" s="9">
        <f t="shared" si="1"/>
        <v>0</v>
      </c>
      <c r="N38" s="10">
        <f t="shared" si="2"/>
        <v>0</v>
      </c>
      <c r="O38" s="1">
        <f>SUMIFS(
  '[1]Hoja 1'!$M:$M,
  '[1]Hoja 1'!$S:$S, $A38,
  '[1]Hoja 1'!$R:$R, "&gt;="&amp;INT($Q$1),
  '[1]Hoja 1'!$R:$R, "&lt;"&amp;INT($R$1+1)
)</f>
        <v>0</v>
      </c>
      <c r="P38" s="1">
        <f t="shared" si="3"/>
        <v>0</v>
      </c>
      <c r="Q38" s="9">
        <f t="shared" si="4"/>
        <v>0</v>
      </c>
      <c r="R38" s="10">
        <f t="shared" si="5"/>
        <v>0</v>
      </c>
      <c r="S38" s="1">
        <f>SUMIFS(
  '[1]Hoja 1'!$M:$M,
  '[1]Hoja 1'!$S:$S, $A38,
  '[1]Hoja 1'!$R:$R, "&gt;="&amp;INT($U$1),
  '[1]Hoja 1'!$R:$R, "&lt;"&amp;INT($V$1+1)
)</f>
        <v>0</v>
      </c>
      <c r="T38" s="1">
        <f t="shared" si="6"/>
        <v>0</v>
      </c>
      <c r="U38" s="9">
        <f t="shared" si="7"/>
        <v>0</v>
      </c>
      <c r="V38" s="10">
        <f t="shared" si="8"/>
        <v>0</v>
      </c>
      <c r="W38" s="1">
        <f>SUMIFS(
  '[1]Hoja 1'!$M:$M,
  '[1]Hoja 1'!$S:$S, $A38,
  '[1]Hoja 1'!$R:$R, "&gt;="&amp;INT($Y$1),
  '[1]Hoja 1'!$R:$R, "&lt;"&amp;INT($Z$1+1)
)</f>
        <v>0</v>
      </c>
      <c r="X38" s="1">
        <f t="shared" si="9"/>
        <v>0</v>
      </c>
      <c r="Y38" s="9">
        <f t="shared" si="10"/>
        <v>0</v>
      </c>
      <c r="Z38" s="10">
        <f t="shared" si="11"/>
        <v>0</v>
      </c>
      <c r="AA38" s="1">
        <f>SUMIFS(
  '[1]Hoja 1'!$M:$M,
  '[1]Hoja 1'!$S:$S, $A38,
  '[1]Hoja 1'!$R:$R, "&gt;="&amp;INT($AC$1),
  '[1]Hoja 1'!$R:$R, "&lt;"&amp;INT($AD$1+1)
)</f>
        <v>0</v>
      </c>
      <c r="AB38" s="1">
        <f t="shared" si="12"/>
        <v>0</v>
      </c>
      <c r="AC38" s="9">
        <f t="shared" si="13"/>
        <v>0</v>
      </c>
      <c r="AD38" s="10">
        <f t="shared" si="14"/>
        <v>0</v>
      </c>
      <c r="AE38" s="1">
        <f>SUMIFS(
  '[1]Hoja 1'!$M:$M,
  '[1]Hoja 1'!$S:$S, $A38,
  '[1]Hoja 1'!$R:$R, "&gt;="&amp;INT($AG$1),
  '[1]Hoja 1'!$R:$R, "&lt;"&amp;INT($AH$1+1)
)</f>
        <v>0</v>
      </c>
      <c r="AF38" s="1">
        <f t="shared" si="15"/>
        <v>0</v>
      </c>
      <c r="AG38" s="9">
        <f t="shared" si="16"/>
        <v>0</v>
      </c>
      <c r="AH38" s="10">
        <f t="shared" si="17"/>
        <v>0</v>
      </c>
      <c r="AI38" s="1">
        <f>SUMIFS(
  '[1]Hoja 1'!$M:$M,
  '[1]Hoja 1'!$S:$S, $A38,
  '[1]Hoja 1'!$R:$R, "&gt;="&amp;INT($AK$1),
  '[1]Hoja 1'!$R:$R, "&lt;"&amp;INT($AL$1+1)
)</f>
        <v>0</v>
      </c>
      <c r="AJ38" s="1">
        <f t="shared" si="18"/>
        <v>0</v>
      </c>
      <c r="AK38" s="9">
        <f t="shared" si="19"/>
        <v>0</v>
      </c>
      <c r="AL38" s="10">
        <f t="shared" si="20"/>
        <v>0</v>
      </c>
      <c r="AM38" s="1">
        <f>SUMIFS(
  '[1]Hoja 1'!$M:$M,
  '[1]Hoja 1'!$S:$S, $A38,
  '[1]Hoja 1'!$R:$R, "&gt;="&amp;INT($AO$1),
  '[1]Hoja 1'!$R:$R, "&lt;"&amp;INT($AP$1+1)
)</f>
        <v>0</v>
      </c>
      <c r="AN38" s="1">
        <f t="shared" si="21"/>
        <v>0</v>
      </c>
      <c r="AO38" s="9">
        <f t="shared" si="22"/>
        <v>0</v>
      </c>
      <c r="AP38" s="10">
        <f t="shared" si="23"/>
        <v>0</v>
      </c>
      <c r="AQ38" s="1">
        <f>SUMIFS(
  '[1]Hoja 1'!$M:$M,
  '[1]Hoja 1'!$S:$S, $A38,
  '[1]Hoja 1'!$R:$R, "&gt;="&amp;INT($AS$1),
  '[1]Hoja 1'!$R:$R, "&lt;"&amp;INT($AT$1+1)
)</f>
        <v>0</v>
      </c>
      <c r="AR38" s="1">
        <f t="shared" si="24"/>
        <v>0</v>
      </c>
      <c r="AS38" s="9">
        <f t="shared" si="25"/>
        <v>0</v>
      </c>
      <c r="AT38" s="10">
        <f t="shared" si="26"/>
        <v>0</v>
      </c>
      <c r="AU38" s="1">
        <f>SUMIFS(
  '[1]Hoja 1'!$M:$M,
  '[1]Hoja 1'!$S:$S, $A38,
  '[1]Hoja 1'!$R:$R, "&gt;="&amp;INT($AW$1),
  '[1]Hoja 1'!$R:$R, "&lt;"&amp;INT($AX$1+1)
)</f>
        <v>0</v>
      </c>
      <c r="AV38" s="1">
        <f t="shared" si="27"/>
        <v>0</v>
      </c>
      <c r="AW38" s="9">
        <f t="shared" si="28"/>
        <v>0</v>
      </c>
      <c r="AX38" s="10">
        <f t="shared" si="29"/>
        <v>0</v>
      </c>
      <c r="AY38" s="1">
        <f>SUMIFS(
  '[1]Hoja 1'!$M:$M,
  '[1]Hoja 1'!$S:$S, $A38,
  '[1]Hoja 1'!$R:$R, "&gt;="&amp;INT($BA$1),
  '[1]Hoja 1'!$R:$R, "&lt;"&amp;INT($BB$1+1)
)</f>
        <v>0</v>
      </c>
      <c r="AZ38" s="1">
        <f t="shared" si="30"/>
        <v>0</v>
      </c>
      <c r="BA38" s="9">
        <f t="shared" si="31"/>
        <v>0</v>
      </c>
      <c r="BB38" s="10">
        <f t="shared" si="32"/>
        <v>0</v>
      </c>
      <c r="BC38" s="1">
        <f>SUMIFS(
  '[1]Hoja 1'!$M:$M,
  '[1]Hoja 1'!$S:$S, $A38,
  '[1]Hoja 1'!$R:$R, "&gt;="&amp;INT($BE$1),
  '[1]Hoja 1'!$R:$R, "&lt;"&amp;INT($BF$1+1)
)</f>
        <v>0</v>
      </c>
      <c r="BD38" s="1">
        <f t="shared" si="33"/>
        <v>0</v>
      </c>
      <c r="BE38" s="9">
        <f t="shared" si="34"/>
        <v>0</v>
      </c>
      <c r="BF38" s="10">
        <f t="shared" si="35"/>
        <v>0</v>
      </c>
      <c r="BG38" s="1">
        <f>SUMIFS(
  '[1]Hoja 1'!$M:$M,
  '[1]Hoja 1'!$S:$S, $A38,
  '[1]Hoja 1'!$R:$R, "&gt;="&amp;INT($BI$1),
  '[1]Hoja 1'!$R:$R, "&lt;"&amp;INT($BJ$1+1)
)</f>
        <v>0</v>
      </c>
      <c r="BH38" s="1">
        <f t="shared" si="36"/>
        <v>0</v>
      </c>
      <c r="BI38" s="9">
        <f t="shared" si="37"/>
        <v>0</v>
      </c>
      <c r="BJ38" s="10">
        <f t="shared" si="38"/>
        <v>0</v>
      </c>
      <c r="BK38" s="1">
        <f>SUMIFS(
  '[1]Hoja 1'!$M:$M,
  '[1]Hoja 1'!$S:$S, $A38,
  '[1]Hoja 1'!$R:$R, "&gt;="&amp;INT($BM$1),
  '[1]Hoja 1'!$R:$R, "&lt;"&amp;INT($BN$1+1)
)</f>
        <v>0</v>
      </c>
      <c r="BL38" s="1">
        <f t="shared" si="39"/>
        <v>0</v>
      </c>
      <c r="BM38" s="9">
        <f t="shared" si="40"/>
        <v>0</v>
      </c>
      <c r="BN38" s="10">
        <f t="shared" si="41"/>
        <v>0</v>
      </c>
      <c r="BO38" s="1">
        <f>SUMIFS(
  '[1]Hoja 1'!$M:$M,
  '[1]Hoja 1'!$S:$S, $A38,
  '[1]Hoja 1'!$R:$R, "&gt;="&amp;INT($BQ$1),
  '[1]Hoja 1'!$R:$R, "&lt;"&amp;INT($BR$1+1)
)</f>
        <v>0</v>
      </c>
      <c r="BP38" s="1">
        <f t="shared" si="42"/>
        <v>0</v>
      </c>
      <c r="BQ38" s="9">
        <f t="shared" si="43"/>
        <v>0</v>
      </c>
      <c r="BR38" s="10">
        <f t="shared" si="44"/>
        <v>0</v>
      </c>
      <c r="BS38" s="1">
        <f>SUMIFS(
  '[1]Hoja 1'!$M:$M,
  '[1]Hoja 1'!$S:$S, $A38,
  '[1]Hoja 1'!$R:$R, "&gt;="&amp;INT($BU$1),
  '[1]Hoja 1'!$R:$R, "&lt;"&amp;INT($BV$1+1)
)</f>
        <v>0</v>
      </c>
      <c r="BT38" s="1">
        <f t="shared" si="45"/>
        <v>0</v>
      </c>
      <c r="BU38" s="9">
        <f t="shared" si="46"/>
        <v>0</v>
      </c>
      <c r="BV38" s="10">
        <f t="shared" si="47"/>
        <v>0</v>
      </c>
      <c r="BW38" s="1">
        <f>SUMIFS(
  '[1]Hoja 1'!$M:$M,
  '[1]Hoja 1'!$S:$S, $A38,
  '[1]Hoja 1'!$R:$R, "&gt;="&amp;INT($BY$1),
  '[1]Hoja 1'!$R:$R, "&lt;"&amp;INT($BZ$1+1)
)</f>
        <v>0</v>
      </c>
      <c r="BX38" s="1">
        <f t="shared" si="48"/>
        <v>0</v>
      </c>
      <c r="BY38" s="9">
        <f t="shared" si="49"/>
        <v>0</v>
      </c>
      <c r="BZ38" s="10">
        <f t="shared" si="50"/>
        <v>0</v>
      </c>
      <c r="CA38" s="1">
        <f>SUMIFS(
  '[1]Hoja 1'!$M:$M,
  '[1]Hoja 1'!$S:$S, $A38,
  '[1]Hoja 1'!$R:$R, "&gt;="&amp;INT($CC$1),
  '[1]Hoja 1'!$R:$R, "&lt;"&amp;INT($CD$1+1)
)</f>
        <v>0</v>
      </c>
      <c r="CB38" s="1">
        <f t="shared" si="51"/>
        <v>0</v>
      </c>
      <c r="CC38" s="9">
        <f t="shared" si="52"/>
        <v>0</v>
      </c>
      <c r="CD38" s="10">
        <f t="shared" si="53"/>
        <v>0</v>
      </c>
      <c r="CE38" s="1">
        <f>SUMIFS(
  '[1]Hoja 1'!$M:$M,
  '[1]Hoja 1'!$S:$S, $A38,
  '[1]Hoja 1'!$R:$R, "&gt;="&amp;INT($CG$1),
  '[1]Hoja 1'!$R:$R, "&lt;"&amp;INT($CH$1+1)
)</f>
        <v>0</v>
      </c>
      <c r="CF38" s="1">
        <f t="shared" si="54"/>
        <v>0</v>
      </c>
      <c r="CG38" s="9">
        <f t="shared" si="55"/>
        <v>0</v>
      </c>
      <c r="CH38" s="10">
        <f t="shared" si="56"/>
        <v>0</v>
      </c>
      <c r="CI38" s="1">
        <f>SUMIFS(
  '[1]Hoja 1'!$M:$M,
  '[1]Hoja 1'!$S:$S, $A38,
  '[1]Hoja 1'!$R:$R, "&gt;="&amp;INT($CK$1),
  '[1]Hoja 1'!$R:$R, "&lt;"&amp;INT($CL$1+1)
)</f>
        <v>0</v>
      </c>
      <c r="CJ38" s="1">
        <f t="shared" si="57"/>
        <v>0</v>
      </c>
      <c r="CK38" s="9">
        <f t="shared" si="58"/>
        <v>0</v>
      </c>
      <c r="CL38" s="10">
        <f t="shared" si="59"/>
        <v>0</v>
      </c>
      <c r="CM38" s="1">
        <f>SUMIFS(
  '[1]Hoja 1'!$M:$M,
  '[1]Hoja 1'!$S:$S, $A38,
  '[1]Hoja 1'!$R:$R, "&gt;="&amp;INT($CO$1),
  '[1]Hoja 1'!$R:$R, "&lt;"&amp;INT($CP$1+1)
)</f>
        <v>0</v>
      </c>
      <c r="CN38" s="1">
        <f t="shared" si="60"/>
        <v>0</v>
      </c>
      <c r="CO38" s="9">
        <f t="shared" si="61"/>
        <v>0</v>
      </c>
      <c r="CP38" s="10">
        <f t="shared" si="62"/>
        <v>0</v>
      </c>
      <c r="CQ38" s="1">
        <f>SUMIFS(
  '[1]Hoja 1'!$M:$M,
  '[1]Hoja 1'!$S:$S, $A38,
  '[1]Hoja 1'!$R:$R, "&gt;="&amp;INT($CS$1),
  '[1]Hoja 1'!$R:$R, "&lt;"&amp;INT($CT$1+1)
)</f>
        <v>0</v>
      </c>
      <c r="CR38" s="1">
        <f t="shared" si="63"/>
        <v>0</v>
      </c>
      <c r="CS38" s="9">
        <f t="shared" si="64"/>
        <v>0</v>
      </c>
      <c r="CT38" s="10">
        <f t="shared" si="65"/>
        <v>0</v>
      </c>
      <c r="CU38" s="1">
        <f>SUMIFS(
  '[1]Hoja 1'!$M:$M,
  '[1]Hoja 1'!$S:$S, $A38,
  '[1]Hoja 1'!$R:$R, "&gt;="&amp;INT($CW$1),
  '[1]Hoja 1'!$R:$R, "&lt;"&amp;INT($CX$1+1)
)</f>
        <v>0</v>
      </c>
      <c r="CV38" s="1">
        <f t="shared" si="66"/>
        <v>0</v>
      </c>
      <c r="CW38" s="9">
        <f t="shared" si="67"/>
        <v>0</v>
      </c>
      <c r="CX38" s="10">
        <f t="shared" si="68"/>
        <v>0</v>
      </c>
      <c r="CY38" s="1">
        <f>SUMIFS(
  '[1]Hoja 1'!$M:$M,
  '[1]Hoja 1'!$S:$S, $A38,
  '[1]Hoja 1'!$R:$R, "&gt;="&amp;INT($DA$1),
  '[1]Hoja 1'!$R:$R, "&lt;"&amp;INT($DB$1+1)
)</f>
        <v>0</v>
      </c>
      <c r="CZ38" s="1">
        <f t="shared" si="69"/>
        <v>0</v>
      </c>
      <c r="DA38" s="9">
        <f t="shared" si="70"/>
        <v>0</v>
      </c>
      <c r="DB38" s="10">
        <f t="shared" si="71"/>
        <v>0</v>
      </c>
      <c r="DC38" s="1">
        <f>SUMIFS(
  '[1]Hoja 1'!$M:$M,
  '[1]Hoja 1'!$S:$S, $A38,
  '[1]Hoja 1'!$R:$R, "&gt;="&amp;INT($DE$1),
  '[1]Hoja 1'!$R:$R, "&lt;"&amp;INT($DF$1+1)
)</f>
        <v>0</v>
      </c>
      <c r="DD38" s="1">
        <f t="shared" si="72"/>
        <v>0</v>
      </c>
      <c r="DE38" s="9">
        <f t="shared" si="73"/>
        <v>0</v>
      </c>
      <c r="DF38" s="10">
        <f t="shared" si="74"/>
        <v>0</v>
      </c>
      <c r="DG38" s="1">
        <f>SUMIFS(
  '[1]Hoja 1'!$M:$M,
  '[1]Hoja 1'!$S:$S, $A38,
  '[1]Hoja 1'!$R:$R, "&gt;="&amp;INT($DI$1),
  '[1]Hoja 1'!$R:$R, "&lt;"&amp;INT($DJ$1+1)
)</f>
        <v>0</v>
      </c>
      <c r="DH38" s="1">
        <f t="shared" si="75"/>
        <v>0</v>
      </c>
      <c r="DI38" s="9">
        <f t="shared" si="76"/>
        <v>0</v>
      </c>
      <c r="DJ38" s="10">
        <f t="shared" si="77"/>
        <v>0</v>
      </c>
      <c r="DK38" s="1">
        <f>SUMIFS(
  '[1]Hoja 1'!$M:$M,
  '[1]Hoja 1'!$S:$S, $A38,
  '[1]Hoja 1'!$R:$R, "&gt;="&amp;INT($DM$1),
  '[1]Hoja 1'!$R:$R, "&lt;"&amp;INT($DN$1+1)
)</f>
        <v>0</v>
      </c>
      <c r="DL38" s="1">
        <f t="shared" si="78"/>
        <v>0</v>
      </c>
      <c r="DM38" s="9">
        <f t="shared" si="79"/>
        <v>0</v>
      </c>
      <c r="DN38" s="10">
        <f t="shared" si="80"/>
        <v>0</v>
      </c>
      <c r="DO38" s="1">
        <f>SUMIFS(
  '[1]Hoja 1'!$M:$M,
  '[1]Hoja 1'!$S:$S, $A38,
  '[1]Hoja 1'!$R:$R, "&gt;="&amp;INT($DQ$1),
  '[1]Hoja 1'!$R:$R, "&lt;"&amp;INT($DR$1+1)
)</f>
        <v>0</v>
      </c>
      <c r="DP38" s="1">
        <f t="shared" si="81"/>
        <v>0</v>
      </c>
      <c r="DQ38" s="9">
        <f t="shared" si="82"/>
        <v>0</v>
      </c>
      <c r="DR38" s="10">
        <f t="shared" si="83"/>
        <v>0</v>
      </c>
    </row>
    <row r="39" spans="1:122" x14ac:dyDescent="0.25">
      <c r="A39" s="5">
        <v>207002</v>
      </c>
      <c r="B39" s="6" t="s">
        <v>43</v>
      </c>
      <c r="C39" s="1">
        <f>SUMIFS(
  '[1]Hoja 1'!$M:$M,
  '[1]Hoja 1'!$S:$S, $A39,
  '[1]Hoja 1'!$R:$R, "&gt;="&amp;INT($E$1),
  '[1]Hoja 1'!$R:$R, "&lt;"&amp;INT($F$1+1)
)</f>
        <v>3</v>
      </c>
      <c r="D39" s="1" t="str">
        <f>""</f>
        <v/>
      </c>
      <c r="F39" s="2"/>
      <c r="G39" s="1">
        <f>SUMIFS(
  '[1]Hoja 1'!$M:$M,
  '[1]Hoja 1'!$S:$S, $A39,
  '[1]Hoja 1'!$R:$R, "&gt;="&amp;INT($I$1),
  '[1]Hoja 1'!$R:$R, "&lt;"&amp;INT($J$1+1)
)</f>
        <v>1</v>
      </c>
      <c r="H39" s="1">
        <f t="shared" si="84"/>
        <v>2</v>
      </c>
      <c r="I39" s="1"/>
      <c r="J39" s="2"/>
      <c r="K39" s="1">
        <f>SUMIFS(
  '[1]Hoja 1'!$M:$M,
  '[1]Hoja 1'!$S:$S, $A39,
  '[1]Hoja 1'!$R:$R, "&gt;="&amp;INT($M$1),
  '[1]Hoja 1'!$R:$R, "&lt;"&amp;INT($N$1+1)
)</f>
        <v>2</v>
      </c>
      <c r="L39" s="1">
        <f t="shared" si="0"/>
        <v>1.5</v>
      </c>
      <c r="M39" s="9">
        <f t="shared" si="1"/>
        <v>-0.57889393668844935</v>
      </c>
      <c r="N39" s="10">
        <f t="shared" si="2"/>
        <v>3.5788939366884494</v>
      </c>
      <c r="O39" s="1">
        <f>SUMIFS(
  '[1]Hoja 1'!$M:$M,
  '[1]Hoja 1'!$S:$S, $A39,
  '[1]Hoja 1'!$R:$R, "&gt;="&amp;INT($Q$1),
  '[1]Hoja 1'!$R:$R, "&lt;"&amp;INT($R$1+1)
)</f>
        <v>0</v>
      </c>
      <c r="P39" s="1">
        <f t="shared" si="3"/>
        <v>1</v>
      </c>
      <c r="Q39" s="9">
        <f t="shared" si="4"/>
        <v>-0.1974097914174997</v>
      </c>
      <c r="R39" s="10">
        <f t="shared" si="5"/>
        <v>3.1974097914174999</v>
      </c>
      <c r="S39" s="1">
        <f>SUMIFS(
  '[1]Hoja 1'!$M:$M,
  '[1]Hoja 1'!$S:$S, $A39,
  '[1]Hoja 1'!$R:$R, "&gt;="&amp;INT($U$1),
  '[1]Hoja 1'!$R:$R, "&lt;"&amp;INT($V$1+1)
)</f>
        <v>0</v>
      </c>
      <c r="T39" s="1">
        <f t="shared" si="6"/>
        <v>0</v>
      </c>
      <c r="U39" s="9">
        <f t="shared" si="7"/>
        <v>-1.47</v>
      </c>
      <c r="V39" s="10">
        <f t="shared" si="8"/>
        <v>1.47</v>
      </c>
      <c r="W39" s="1">
        <f>SUMIFS(
  '[1]Hoja 1'!$M:$M,
  '[1]Hoja 1'!$S:$S, $A39,
  '[1]Hoja 1'!$R:$R, "&gt;="&amp;INT($Y$1),
  '[1]Hoja 1'!$R:$R, "&lt;"&amp;INT($Z$1+1)
)</f>
        <v>0</v>
      </c>
      <c r="X39" s="1">
        <f t="shared" si="9"/>
        <v>0</v>
      </c>
      <c r="Y39" s="9">
        <f t="shared" si="10"/>
        <v>-1.2331396244275556</v>
      </c>
      <c r="Z39" s="10">
        <f t="shared" si="11"/>
        <v>1.2331396244275556</v>
      </c>
      <c r="AA39" s="1">
        <f>SUMIFS(
  '[1]Hoja 1'!$M:$M,
  '[1]Hoja 1'!$S:$S, $A39,
  '[1]Hoja 1'!$R:$R, "&gt;="&amp;INT($AC$1),
  '[1]Hoja 1'!$R:$R, "&lt;"&amp;INT($AD$1+1)
)</f>
        <v>2</v>
      </c>
      <c r="AB39" s="1">
        <f t="shared" si="12"/>
        <v>1</v>
      </c>
      <c r="AC39" s="9">
        <f t="shared" si="13"/>
        <v>-0.38592929112563312</v>
      </c>
      <c r="AD39" s="10">
        <f t="shared" si="14"/>
        <v>2.6003332986183429</v>
      </c>
      <c r="AE39" s="1">
        <f>SUMIFS(
  '[1]Hoja 1'!$M:$M,
  '[1]Hoja 1'!$S:$S, $A39,
  '[1]Hoja 1'!$R:$R, "&gt;="&amp;INT($AG$1),
  '[1]Hoja 1'!$R:$R, "&lt;"&amp;INT($AH$1+1)
)</f>
        <v>0</v>
      </c>
      <c r="AF39" s="1">
        <f t="shared" si="15"/>
        <v>1</v>
      </c>
      <c r="AG39" s="9">
        <f t="shared" si="16"/>
        <v>-0.38592929112563312</v>
      </c>
      <c r="AH39" s="10">
        <f t="shared" si="17"/>
        <v>2.6003332986183429</v>
      </c>
      <c r="AI39" s="1">
        <f>SUMIFS(
  '[1]Hoja 1'!$M:$M,
  '[1]Hoja 1'!$S:$S, $A39,
  '[1]Hoja 1'!$R:$R, "&gt;="&amp;INT($AK$1),
  '[1]Hoja 1'!$R:$R, "&lt;"&amp;INT($AL$1+1)
)</f>
        <v>0</v>
      </c>
      <c r="AJ39" s="1">
        <f t="shared" si="18"/>
        <v>0</v>
      </c>
      <c r="AK39" s="9">
        <f t="shared" si="19"/>
        <v>-1.3859292911256331</v>
      </c>
      <c r="AL39" s="10">
        <f t="shared" si="20"/>
        <v>1.6003332986183429</v>
      </c>
      <c r="AM39" s="1">
        <f>SUMIFS(
  '[1]Hoja 1'!$M:$M,
  '[1]Hoja 1'!$S:$S, $A39,
  '[1]Hoja 1'!$R:$R, "&gt;="&amp;INT($AO$1),
  '[1]Hoja 1'!$R:$R, "&lt;"&amp;INT($AP$1+1)
)</f>
        <v>0</v>
      </c>
      <c r="AN39" s="1">
        <f t="shared" si="21"/>
        <v>0</v>
      </c>
      <c r="AO39" s="9">
        <f t="shared" si="22"/>
        <v>-1.3859292911256331</v>
      </c>
      <c r="AP39" s="10">
        <f t="shared" si="23"/>
        <v>1.6003332986183429</v>
      </c>
      <c r="AQ39" s="1">
        <f>SUMIFS(
  '[1]Hoja 1'!$M:$M,
  '[1]Hoja 1'!$S:$S, $A39,
  '[1]Hoja 1'!$R:$R, "&gt;="&amp;INT($AS$1),
  '[1]Hoja 1'!$R:$R, "&lt;"&amp;INT($AT$1+1)
)</f>
        <v>0</v>
      </c>
      <c r="AR39" s="1">
        <f t="shared" si="24"/>
        <v>0</v>
      </c>
      <c r="AS39" s="9">
        <f t="shared" si="25"/>
        <v>-0.87653864717991747</v>
      </c>
      <c r="AT39" s="10">
        <f t="shared" si="26"/>
        <v>0.98</v>
      </c>
      <c r="AU39" s="1">
        <f>SUMIFS(
  '[1]Hoja 1'!$M:$M,
  '[1]Hoja 1'!$S:$S, $A39,
  '[1]Hoja 1'!$R:$R, "&gt;="&amp;INT($AW$1),
  '[1]Hoja 1'!$R:$R, "&lt;"&amp;INT($AX$1+1)
)</f>
        <v>0</v>
      </c>
      <c r="AV39" s="1">
        <f t="shared" si="27"/>
        <v>0</v>
      </c>
      <c r="AW39" s="9">
        <f t="shared" si="28"/>
        <v>0</v>
      </c>
      <c r="AX39" s="10">
        <f t="shared" si="29"/>
        <v>0</v>
      </c>
      <c r="AY39" s="1">
        <f>SUMIFS(
  '[1]Hoja 1'!$M:$M,
  '[1]Hoja 1'!$S:$S, $A39,
  '[1]Hoja 1'!$R:$R, "&gt;="&amp;INT($BA$1),
  '[1]Hoja 1'!$R:$R, "&lt;"&amp;INT($BB$1+1)
)</f>
        <v>0</v>
      </c>
      <c r="AZ39" s="1">
        <f t="shared" si="30"/>
        <v>0</v>
      </c>
      <c r="BA39" s="9">
        <f t="shared" si="31"/>
        <v>0</v>
      </c>
      <c r="BB39" s="10">
        <f t="shared" si="32"/>
        <v>0</v>
      </c>
      <c r="BC39" s="1">
        <f>SUMIFS(
  '[1]Hoja 1'!$M:$M,
  '[1]Hoja 1'!$S:$S, $A39,
  '[1]Hoja 1'!$R:$R, "&gt;="&amp;INT($BE$1),
  '[1]Hoja 1'!$R:$R, "&lt;"&amp;INT($BF$1+1)
)</f>
        <v>0</v>
      </c>
      <c r="BD39" s="1">
        <f t="shared" si="33"/>
        <v>0</v>
      </c>
      <c r="BE39" s="9">
        <f t="shared" si="34"/>
        <v>0</v>
      </c>
      <c r="BF39" s="10">
        <f t="shared" si="35"/>
        <v>0</v>
      </c>
      <c r="BG39" s="1">
        <f>SUMIFS(
  '[1]Hoja 1'!$M:$M,
  '[1]Hoja 1'!$S:$S, $A39,
  '[1]Hoja 1'!$R:$R, "&gt;="&amp;INT($BI$1),
  '[1]Hoja 1'!$R:$R, "&lt;"&amp;INT($BJ$1+1)
)</f>
        <v>0</v>
      </c>
      <c r="BH39" s="1">
        <f t="shared" si="36"/>
        <v>0</v>
      </c>
      <c r="BI39" s="9">
        <f t="shared" si="37"/>
        <v>0</v>
      </c>
      <c r="BJ39" s="10">
        <f t="shared" si="38"/>
        <v>0</v>
      </c>
      <c r="BK39" s="1">
        <f>SUMIFS(
  '[1]Hoja 1'!$M:$M,
  '[1]Hoja 1'!$S:$S, $A39,
  '[1]Hoja 1'!$R:$R, "&gt;="&amp;INT($BM$1),
  '[1]Hoja 1'!$R:$R, "&lt;"&amp;INT($BN$1+1)
)</f>
        <v>0</v>
      </c>
      <c r="BL39" s="1">
        <f t="shared" si="39"/>
        <v>0</v>
      </c>
      <c r="BM39" s="9">
        <f t="shared" si="40"/>
        <v>0</v>
      </c>
      <c r="BN39" s="10">
        <f t="shared" si="41"/>
        <v>0</v>
      </c>
      <c r="BO39" s="1">
        <f>SUMIFS(
  '[1]Hoja 1'!$M:$M,
  '[1]Hoja 1'!$S:$S, $A39,
  '[1]Hoja 1'!$R:$R, "&gt;="&amp;INT($BQ$1),
  '[1]Hoja 1'!$R:$R, "&lt;"&amp;INT($BR$1+1)
)</f>
        <v>0</v>
      </c>
      <c r="BP39" s="1">
        <f t="shared" si="42"/>
        <v>0</v>
      </c>
      <c r="BQ39" s="9">
        <f t="shared" si="43"/>
        <v>0</v>
      </c>
      <c r="BR39" s="10">
        <f t="shared" si="44"/>
        <v>0</v>
      </c>
      <c r="BS39" s="1">
        <f>SUMIFS(
  '[1]Hoja 1'!$M:$M,
  '[1]Hoja 1'!$S:$S, $A39,
  '[1]Hoja 1'!$R:$R, "&gt;="&amp;INT($BU$1),
  '[1]Hoja 1'!$R:$R, "&lt;"&amp;INT($BV$1+1)
)</f>
        <v>0</v>
      </c>
      <c r="BT39" s="1">
        <f t="shared" si="45"/>
        <v>0</v>
      </c>
      <c r="BU39" s="9">
        <f t="shared" si="46"/>
        <v>0</v>
      </c>
      <c r="BV39" s="10">
        <f t="shared" si="47"/>
        <v>0</v>
      </c>
      <c r="BW39" s="1">
        <f>SUMIFS(
  '[1]Hoja 1'!$M:$M,
  '[1]Hoja 1'!$S:$S, $A39,
  '[1]Hoja 1'!$R:$R, "&gt;="&amp;INT($BY$1),
  '[1]Hoja 1'!$R:$R, "&lt;"&amp;INT($BZ$1+1)
)</f>
        <v>0</v>
      </c>
      <c r="BX39" s="1">
        <f t="shared" si="48"/>
        <v>0</v>
      </c>
      <c r="BY39" s="9">
        <f t="shared" si="49"/>
        <v>0</v>
      </c>
      <c r="BZ39" s="10">
        <f t="shared" si="50"/>
        <v>0</v>
      </c>
      <c r="CA39" s="1">
        <f>SUMIFS(
  '[1]Hoja 1'!$M:$M,
  '[1]Hoja 1'!$S:$S, $A39,
  '[1]Hoja 1'!$R:$R, "&gt;="&amp;INT($CC$1),
  '[1]Hoja 1'!$R:$R, "&lt;"&amp;INT($CD$1+1)
)</f>
        <v>0</v>
      </c>
      <c r="CB39" s="1">
        <f t="shared" si="51"/>
        <v>0</v>
      </c>
      <c r="CC39" s="9">
        <f t="shared" si="52"/>
        <v>0</v>
      </c>
      <c r="CD39" s="10">
        <f t="shared" si="53"/>
        <v>0</v>
      </c>
      <c r="CE39" s="1">
        <f>SUMIFS(
  '[1]Hoja 1'!$M:$M,
  '[1]Hoja 1'!$S:$S, $A39,
  '[1]Hoja 1'!$R:$R, "&gt;="&amp;INT($CG$1),
  '[1]Hoja 1'!$R:$R, "&lt;"&amp;INT($CH$1+1)
)</f>
        <v>0</v>
      </c>
      <c r="CF39" s="1">
        <f t="shared" si="54"/>
        <v>0</v>
      </c>
      <c r="CG39" s="9">
        <f t="shared" si="55"/>
        <v>0</v>
      </c>
      <c r="CH39" s="10">
        <f t="shared" si="56"/>
        <v>0</v>
      </c>
      <c r="CI39" s="1">
        <f>SUMIFS(
  '[1]Hoja 1'!$M:$M,
  '[1]Hoja 1'!$S:$S, $A39,
  '[1]Hoja 1'!$R:$R, "&gt;="&amp;INT($CK$1),
  '[1]Hoja 1'!$R:$R, "&lt;"&amp;INT($CL$1+1)
)</f>
        <v>0</v>
      </c>
      <c r="CJ39" s="1">
        <f t="shared" si="57"/>
        <v>0</v>
      </c>
      <c r="CK39" s="9">
        <f t="shared" si="58"/>
        <v>0</v>
      </c>
      <c r="CL39" s="10">
        <f t="shared" si="59"/>
        <v>0</v>
      </c>
      <c r="CM39" s="1">
        <f>SUMIFS(
  '[1]Hoja 1'!$M:$M,
  '[1]Hoja 1'!$S:$S, $A39,
  '[1]Hoja 1'!$R:$R, "&gt;="&amp;INT($CO$1),
  '[1]Hoja 1'!$R:$R, "&lt;"&amp;INT($CP$1+1)
)</f>
        <v>0</v>
      </c>
      <c r="CN39" s="1">
        <f t="shared" si="60"/>
        <v>0</v>
      </c>
      <c r="CO39" s="9">
        <f t="shared" si="61"/>
        <v>0</v>
      </c>
      <c r="CP39" s="10">
        <f t="shared" si="62"/>
        <v>0</v>
      </c>
      <c r="CQ39" s="1">
        <f>SUMIFS(
  '[1]Hoja 1'!$M:$M,
  '[1]Hoja 1'!$S:$S, $A39,
  '[1]Hoja 1'!$R:$R, "&gt;="&amp;INT($CS$1),
  '[1]Hoja 1'!$R:$R, "&lt;"&amp;INT($CT$1+1)
)</f>
        <v>0</v>
      </c>
      <c r="CR39" s="1">
        <f t="shared" si="63"/>
        <v>0</v>
      </c>
      <c r="CS39" s="9">
        <f t="shared" si="64"/>
        <v>0</v>
      </c>
      <c r="CT39" s="10">
        <f t="shared" si="65"/>
        <v>0</v>
      </c>
      <c r="CU39" s="1">
        <f>SUMIFS(
  '[1]Hoja 1'!$M:$M,
  '[1]Hoja 1'!$S:$S, $A39,
  '[1]Hoja 1'!$R:$R, "&gt;="&amp;INT($CW$1),
  '[1]Hoja 1'!$R:$R, "&lt;"&amp;INT($CX$1+1)
)</f>
        <v>0</v>
      </c>
      <c r="CV39" s="1">
        <f t="shared" si="66"/>
        <v>0</v>
      </c>
      <c r="CW39" s="9">
        <f t="shared" si="67"/>
        <v>0</v>
      </c>
      <c r="CX39" s="10">
        <f t="shared" si="68"/>
        <v>0</v>
      </c>
      <c r="CY39" s="1">
        <f>SUMIFS(
  '[1]Hoja 1'!$M:$M,
  '[1]Hoja 1'!$S:$S, $A39,
  '[1]Hoja 1'!$R:$R, "&gt;="&amp;INT($DA$1),
  '[1]Hoja 1'!$R:$R, "&lt;"&amp;INT($DB$1+1)
)</f>
        <v>0</v>
      </c>
      <c r="CZ39" s="1">
        <f t="shared" si="69"/>
        <v>0</v>
      </c>
      <c r="DA39" s="9">
        <f t="shared" si="70"/>
        <v>0</v>
      </c>
      <c r="DB39" s="10">
        <f t="shared" si="71"/>
        <v>0</v>
      </c>
      <c r="DC39" s="1">
        <f>SUMIFS(
  '[1]Hoja 1'!$M:$M,
  '[1]Hoja 1'!$S:$S, $A39,
  '[1]Hoja 1'!$R:$R, "&gt;="&amp;INT($DE$1),
  '[1]Hoja 1'!$R:$R, "&lt;"&amp;INT($DF$1+1)
)</f>
        <v>0</v>
      </c>
      <c r="DD39" s="1">
        <f t="shared" si="72"/>
        <v>0</v>
      </c>
      <c r="DE39" s="9">
        <f t="shared" si="73"/>
        <v>0</v>
      </c>
      <c r="DF39" s="10">
        <f t="shared" si="74"/>
        <v>0</v>
      </c>
      <c r="DG39" s="1">
        <f>SUMIFS(
  '[1]Hoja 1'!$M:$M,
  '[1]Hoja 1'!$S:$S, $A39,
  '[1]Hoja 1'!$R:$R, "&gt;="&amp;INT($DI$1),
  '[1]Hoja 1'!$R:$R, "&lt;"&amp;INT($DJ$1+1)
)</f>
        <v>0</v>
      </c>
      <c r="DH39" s="1">
        <f t="shared" si="75"/>
        <v>0</v>
      </c>
      <c r="DI39" s="9">
        <f t="shared" si="76"/>
        <v>0</v>
      </c>
      <c r="DJ39" s="10">
        <f t="shared" si="77"/>
        <v>0</v>
      </c>
      <c r="DK39" s="1">
        <f>SUMIFS(
  '[1]Hoja 1'!$M:$M,
  '[1]Hoja 1'!$S:$S, $A39,
  '[1]Hoja 1'!$R:$R, "&gt;="&amp;INT($DM$1),
  '[1]Hoja 1'!$R:$R, "&lt;"&amp;INT($DN$1+1)
)</f>
        <v>0</v>
      </c>
      <c r="DL39" s="1">
        <f t="shared" si="78"/>
        <v>0</v>
      </c>
      <c r="DM39" s="9">
        <f t="shared" si="79"/>
        <v>0</v>
      </c>
      <c r="DN39" s="10">
        <f t="shared" si="80"/>
        <v>0</v>
      </c>
      <c r="DO39" s="1">
        <f>SUMIFS(
  '[1]Hoja 1'!$M:$M,
  '[1]Hoja 1'!$S:$S, $A39,
  '[1]Hoja 1'!$R:$R, "&gt;="&amp;INT($DQ$1),
  '[1]Hoja 1'!$R:$R, "&lt;"&amp;INT($DR$1+1)
)</f>
        <v>0</v>
      </c>
      <c r="DP39" s="1">
        <f t="shared" si="81"/>
        <v>0</v>
      </c>
      <c r="DQ39" s="9">
        <f t="shared" si="82"/>
        <v>0</v>
      </c>
      <c r="DR39" s="10">
        <f t="shared" si="83"/>
        <v>0</v>
      </c>
    </row>
    <row r="40" spans="1:122" x14ac:dyDescent="0.25">
      <c r="A40" s="5">
        <v>207003</v>
      </c>
      <c r="B40" s="6" t="s">
        <v>44</v>
      </c>
      <c r="C40" s="1">
        <f>SUMIFS(
  '[1]Hoja 1'!$M:$M,
  '[1]Hoja 1'!$S:$S, $A40,
  '[1]Hoja 1'!$R:$R, "&gt;="&amp;INT($E$1),
  '[1]Hoja 1'!$R:$R, "&lt;"&amp;INT($F$1+1)
)</f>
        <v>0</v>
      </c>
      <c r="D40" s="1" t="str">
        <f>""</f>
        <v/>
      </c>
      <c r="F40" s="2"/>
      <c r="G40" s="1">
        <f>SUMIFS(
  '[1]Hoja 1'!$M:$M,
  '[1]Hoja 1'!$S:$S, $A40,
  '[1]Hoja 1'!$R:$R, "&gt;="&amp;INT($I$1),
  '[1]Hoja 1'!$R:$R, "&lt;"&amp;INT($J$1+1)
)</f>
        <v>0</v>
      </c>
      <c r="H40" s="1">
        <f t="shared" si="84"/>
        <v>0</v>
      </c>
      <c r="I40" s="1"/>
      <c r="J40" s="2"/>
      <c r="K40" s="1">
        <f>SUMIFS(
  '[1]Hoja 1'!$M:$M,
  '[1]Hoja 1'!$S:$S, $A40,
  '[1]Hoja 1'!$R:$R, "&gt;="&amp;INT($M$1),
  '[1]Hoja 1'!$R:$R, "&lt;"&amp;INT($N$1+1)
)</f>
        <v>0</v>
      </c>
      <c r="L40" s="1">
        <f t="shared" si="0"/>
        <v>0</v>
      </c>
      <c r="M40" s="9">
        <f t="shared" si="1"/>
        <v>0</v>
      </c>
      <c r="N40" s="10">
        <f t="shared" si="2"/>
        <v>0</v>
      </c>
      <c r="O40" s="1">
        <f>SUMIFS(
  '[1]Hoja 1'!$M:$M,
  '[1]Hoja 1'!$S:$S, $A40,
  '[1]Hoja 1'!$R:$R, "&gt;="&amp;INT($Q$1),
  '[1]Hoja 1'!$R:$R, "&lt;"&amp;INT($R$1+1)
)</f>
        <v>0</v>
      </c>
      <c r="P40" s="1">
        <f t="shared" si="3"/>
        <v>0</v>
      </c>
      <c r="Q40" s="9">
        <f t="shared" si="4"/>
        <v>0</v>
      </c>
      <c r="R40" s="10">
        <f t="shared" si="5"/>
        <v>0</v>
      </c>
      <c r="S40" s="1">
        <f>SUMIFS(
  '[1]Hoja 1'!$M:$M,
  '[1]Hoja 1'!$S:$S, $A40,
  '[1]Hoja 1'!$R:$R, "&gt;="&amp;INT($U$1),
  '[1]Hoja 1'!$R:$R, "&lt;"&amp;INT($V$1+1)
)</f>
        <v>0</v>
      </c>
      <c r="T40" s="1">
        <f t="shared" si="6"/>
        <v>0</v>
      </c>
      <c r="U40" s="9">
        <f t="shared" si="7"/>
        <v>0</v>
      </c>
      <c r="V40" s="10">
        <f t="shared" si="8"/>
        <v>0</v>
      </c>
      <c r="W40" s="1">
        <f>SUMIFS(
  '[1]Hoja 1'!$M:$M,
  '[1]Hoja 1'!$S:$S, $A40,
  '[1]Hoja 1'!$R:$R, "&gt;="&amp;INT($Y$1),
  '[1]Hoja 1'!$R:$R, "&lt;"&amp;INT($Z$1+1)
)</f>
        <v>0</v>
      </c>
      <c r="X40" s="1">
        <f t="shared" si="9"/>
        <v>0</v>
      </c>
      <c r="Y40" s="9">
        <f t="shared" si="10"/>
        <v>0</v>
      </c>
      <c r="Z40" s="10">
        <f t="shared" si="11"/>
        <v>0</v>
      </c>
      <c r="AA40" s="1">
        <f>SUMIFS(
  '[1]Hoja 1'!$M:$M,
  '[1]Hoja 1'!$S:$S, $A40,
  '[1]Hoja 1'!$R:$R, "&gt;="&amp;INT($AC$1),
  '[1]Hoja 1'!$R:$R, "&lt;"&amp;INT($AD$1+1)
)</f>
        <v>0</v>
      </c>
      <c r="AB40" s="1">
        <f t="shared" si="12"/>
        <v>0</v>
      </c>
      <c r="AC40" s="9">
        <f t="shared" si="13"/>
        <v>0</v>
      </c>
      <c r="AD40" s="10">
        <f t="shared" si="14"/>
        <v>0</v>
      </c>
      <c r="AE40" s="1">
        <f>SUMIFS(
  '[1]Hoja 1'!$M:$M,
  '[1]Hoja 1'!$S:$S, $A40,
  '[1]Hoja 1'!$R:$R, "&gt;="&amp;INT($AG$1),
  '[1]Hoja 1'!$R:$R, "&lt;"&amp;INT($AH$1+1)
)</f>
        <v>0</v>
      </c>
      <c r="AF40" s="1">
        <f t="shared" si="15"/>
        <v>0</v>
      </c>
      <c r="AG40" s="9">
        <f t="shared" si="16"/>
        <v>0</v>
      </c>
      <c r="AH40" s="10">
        <f t="shared" si="17"/>
        <v>0</v>
      </c>
      <c r="AI40" s="1">
        <f>SUMIFS(
  '[1]Hoja 1'!$M:$M,
  '[1]Hoja 1'!$S:$S, $A40,
  '[1]Hoja 1'!$R:$R, "&gt;="&amp;INT($AK$1),
  '[1]Hoja 1'!$R:$R, "&lt;"&amp;INT($AL$1+1)
)</f>
        <v>0</v>
      </c>
      <c r="AJ40" s="1">
        <f t="shared" si="18"/>
        <v>0</v>
      </c>
      <c r="AK40" s="9">
        <f t="shared" si="19"/>
        <v>0</v>
      </c>
      <c r="AL40" s="10">
        <f t="shared" si="20"/>
        <v>0</v>
      </c>
      <c r="AM40" s="1">
        <f>SUMIFS(
  '[1]Hoja 1'!$M:$M,
  '[1]Hoja 1'!$S:$S, $A40,
  '[1]Hoja 1'!$R:$R, "&gt;="&amp;INT($AO$1),
  '[1]Hoja 1'!$R:$R, "&lt;"&amp;INT($AP$1+1)
)</f>
        <v>0</v>
      </c>
      <c r="AN40" s="1">
        <f t="shared" si="21"/>
        <v>0</v>
      </c>
      <c r="AO40" s="9">
        <f t="shared" si="22"/>
        <v>0</v>
      </c>
      <c r="AP40" s="10">
        <f t="shared" si="23"/>
        <v>0</v>
      </c>
      <c r="AQ40" s="1">
        <f>SUMIFS(
  '[1]Hoja 1'!$M:$M,
  '[1]Hoja 1'!$S:$S, $A40,
  '[1]Hoja 1'!$R:$R, "&gt;="&amp;INT($AS$1),
  '[1]Hoja 1'!$R:$R, "&lt;"&amp;INT($AT$1+1)
)</f>
        <v>0</v>
      </c>
      <c r="AR40" s="1">
        <f t="shared" si="24"/>
        <v>0</v>
      </c>
      <c r="AS40" s="9">
        <f t="shared" si="25"/>
        <v>0</v>
      </c>
      <c r="AT40" s="10">
        <f t="shared" si="26"/>
        <v>0</v>
      </c>
      <c r="AU40" s="1">
        <f>SUMIFS(
  '[1]Hoja 1'!$M:$M,
  '[1]Hoja 1'!$S:$S, $A40,
  '[1]Hoja 1'!$R:$R, "&gt;="&amp;INT($AW$1),
  '[1]Hoja 1'!$R:$R, "&lt;"&amp;INT($AX$1+1)
)</f>
        <v>0</v>
      </c>
      <c r="AV40" s="1">
        <f t="shared" si="27"/>
        <v>0</v>
      </c>
      <c r="AW40" s="9">
        <f t="shared" si="28"/>
        <v>0</v>
      </c>
      <c r="AX40" s="10">
        <f t="shared" si="29"/>
        <v>0</v>
      </c>
      <c r="AY40" s="1">
        <f>SUMIFS(
  '[1]Hoja 1'!$M:$M,
  '[1]Hoja 1'!$S:$S, $A40,
  '[1]Hoja 1'!$R:$R, "&gt;="&amp;INT($BA$1),
  '[1]Hoja 1'!$R:$R, "&lt;"&amp;INT($BB$1+1)
)</f>
        <v>0</v>
      </c>
      <c r="AZ40" s="1">
        <f t="shared" si="30"/>
        <v>0</v>
      </c>
      <c r="BA40" s="9">
        <f t="shared" si="31"/>
        <v>0</v>
      </c>
      <c r="BB40" s="10">
        <f t="shared" si="32"/>
        <v>0</v>
      </c>
      <c r="BC40" s="1">
        <f>SUMIFS(
  '[1]Hoja 1'!$M:$M,
  '[1]Hoja 1'!$S:$S, $A40,
  '[1]Hoja 1'!$R:$R, "&gt;="&amp;INT($BE$1),
  '[1]Hoja 1'!$R:$R, "&lt;"&amp;INT($BF$1+1)
)</f>
        <v>0</v>
      </c>
      <c r="BD40" s="1">
        <f t="shared" si="33"/>
        <v>0</v>
      </c>
      <c r="BE40" s="9">
        <f t="shared" si="34"/>
        <v>0</v>
      </c>
      <c r="BF40" s="10">
        <f t="shared" si="35"/>
        <v>0</v>
      </c>
      <c r="BG40" s="1">
        <f>SUMIFS(
  '[1]Hoja 1'!$M:$M,
  '[1]Hoja 1'!$S:$S, $A40,
  '[1]Hoja 1'!$R:$R, "&gt;="&amp;INT($BI$1),
  '[1]Hoja 1'!$R:$R, "&lt;"&amp;INT($BJ$1+1)
)</f>
        <v>0</v>
      </c>
      <c r="BH40" s="1">
        <f t="shared" si="36"/>
        <v>0</v>
      </c>
      <c r="BI40" s="9">
        <f t="shared" si="37"/>
        <v>0</v>
      </c>
      <c r="BJ40" s="10">
        <f t="shared" si="38"/>
        <v>0</v>
      </c>
      <c r="BK40" s="1">
        <f>SUMIFS(
  '[1]Hoja 1'!$M:$M,
  '[1]Hoja 1'!$S:$S, $A40,
  '[1]Hoja 1'!$R:$R, "&gt;="&amp;INT($BM$1),
  '[1]Hoja 1'!$R:$R, "&lt;"&amp;INT($BN$1+1)
)</f>
        <v>0</v>
      </c>
      <c r="BL40" s="1">
        <f t="shared" si="39"/>
        <v>0</v>
      </c>
      <c r="BM40" s="9">
        <f t="shared" si="40"/>
        <v>0</v>
      </c>
      <c r="BN40" s="10">
        <f t="shared" si="41"/>
        <v>0</v>
      </c>
      <c r="BO40" s="1">
        <f>SUMIFS(
  '[1]Hoja 1'!$M:$M,
  '[1]Hoja 1'!$S:$S, $A40,
  '[1]Hoja 1'!$R:$R, "&gt;="&amp;INT($BQ$1),
  '[1]Hoja 1'!$R:$R, "&lt;"&amp;INT($BR$1+1)
)</f>
        <v>0</v>
      </c>
      <c r="BP40" s="1">
        <f t="shared" si="42"/>
        <v>0</v>
      </c>
      <c r="BQ40" s="9">
        <f t="shared" si="43"/>
        <v>0</v>
      </c>
      <c r="BR40" s="10">
        <f t="shared" si="44"/>
        <v>0</v>
      </c>
      <c r="BS40" s="1">
        <f>SUMIFS(
  '[1]Hoja 1'!$M:$M,
  '[1]Hoja 1'!$S:$S, $A40,
  '[1]Hoja 1'!$R:$R, "&gt;="&amp;INT($BU$1),
  '[1]Hoja 1'!$R:$R, "&lt;"&amp;INT($BV$1+1)
)</f>
        <v>0</v>
      </c>
      <c r="BT40" s="1">
        <f t="shared" si="45"/>
        <v>0</v>
      </c>
      <c r="BU40" s="9">
        <f t="shared" si="46"/>
        <v>0</v>
      </c>
      <c r="BV40" s="10">
        <f t="shared" si="47"/>
        <v>0</v>
      </c>
      <c r="BW40" s="1">
        <f>SUMIFS(
  '[1]Hoja 1'!$M:$M,
  '[1]Hoja 1'!$S:$S, $A40,
  '[1]Hoja 1'!$R:$R, "&gt;="&amp;INT($BY$1),
  '[1]Hoja 1'!$R:$R, "&lt;"&amp;INT($BZ$1+1)
)</f>
        <v>0</v>
      </c>
      <c r="BX40" s="1">
        <f t="shared" si="48"/>
        <v>0</v>
      </c>
      <c r="BY40" s="9">
        <f t="shared" si="49"/>
        <v>0</v>
      </c>
      <c r="BZ40" s="10">
        <f t="shared" si="50"/>
        <v>0</v>
      </c>
      <c r="CA40" s="1">
        <f>SUMIFS(
  '[1]Hoja 1'!$M:$M,
  '[1]Hoja 1'!$S:$S, $A40,
  '[1]Hoja 1'!$R:$R, "&gt;="&amp;INT($CC$1),
  '[1]Hoja 1'!$R:$R, "&lt;"&amp;INT($CD$1+1)
)</f>
        <v>0</v>
      </c>
      <c r="CB40" s="1">
        <f t="shared" si="51"/>
        <v>0</v>
      </c>
      <c r="CC40" s="9">
        <f t="shared" si="52"/>
        <v>0</v>
      </c>
      <c r="CD40" s="10">
        <f t="shared" si="53"/>
        <v>0</v>
      </c>
      <c r="CE40" s="1">
        <f>SUMIFS(
  '[1]Hoja 1'!$M:$M,
  '[1]Hoja 1'!$S:$S, $A40,
  '[1]Hoja 1'!$R:$R, "&gt;="&amp;INT($CG$1),
  '[1]Hoja 1'!$R:$R, "&lt;"&amp;INT($CH$1+1)
)</f>
        <v>0</v>
      </c>
      <c r="CF40" s="1">
        <f t="shared" si="54"/>
        <v>0</v>
      </c>
      <c r="CG40" s="9">
        <f t="shared" si="55"/>
        <v>0</v>
      </c>
      <c r="CH40" s="10">
        <f t="shared" si="56"/>
        <v>0</v>
      </c>
      <c r="CI40" s="1">
        <f>SUMIFS(
  '[1]Hoja 1'!$M:$M,
  '[1]Hoja 1'!$S:$S, $A40,
  '[1]Hoja 1'!$R:$R, "&gt;="&amp;INT($CK$1),
  '[1]Hoja 1'!$R:$R, "&lt;"&amp;INT($CL$1+1)
)</f>
        <v>0</v>
      </c>
      <c r="CJ40" s="1">
        <f t="shared" si="57"/>
        <v>0</v>
      </c>
      <c r="CK40" s="9">
        <f t="shared" si="58"/>
        <v>0</v>
      </c>
      <c r="CL40" s="10">
        <f t="shared" si="59"/>
        <v>0</v>
      </c>
      <c r="CM40" s="1">
        <f>SUMIFS(
  '[1]Hoja 1'!$M:$M,
  '[1]Hoja 1'!$S:$S, $A40,
  '[1]Hoja 1'!$R:$R, "&gt;="&amp;INT($CO$1),
  '[1]Hoja 1'!$R:$R, "&lt;"&amp;INT($CP$1+1)
)</f>
        <v>0</v>
      </c>
      <c r="CN40" s="1">
        <f t="shared" si="60"/>
        <v>0</v>
      </c>
      <c r="CO40" s="9">
        <f t="shared" si="61"/>
        <v>0</v>
      </c>
      <c r="CP40" s="10">
        <f t="shared" si="62"/>
        <v>0</v>
      </c>
      <c r="CQ40" s="1">
        <f>SUMIFS(
  '[1]Hoja 1'!$M:$M,
  '[1]Hoja 1'!$S:$S, $A40,
  '[1]Hoja 1'!$R:$R, "&gt;="&amp;INT($CS$1),
  '[1]Hoja 1'!$R:$R, "&lt;"&amp;INT($CT$1+1)
)</f>
        <v>0</v>
      </c>
      <c r="CR40" s="1">
        <f t="shared" si="63"/>
        <v>0</v>
      </c>
      <c r="CS40" s="9">
        <f t="shared" si="64"/>
        <v>0</v>
      </c>
      <c r="CT40" s="10">
        <f t="shared" si="65"/>
        <v>0</v>
      </c>
      <c r="CU40" s="1">
        <f>SUMIFS(
  '[1]Hoja 1'!$M:$M,
  '[1]Hoja 1'!$S:$S, $A40,
  '[1]Hoja 1'!$R:$R, "&gt;="&amp;INT($CW$1),
  '[1]Hoja 1'!$R:$R, "&lt;"&amp;INT($CX$1+1)
)</f>
        <v>0</v>
      </c>
      <c r="CV40" s="1">
        <f t="shared" si="66"/>
        <v>0</v>
      </c>
      <c r="CW40" s="9">
        <f t="shared" si="67"/>
        <v>0</v>
      </c>
      <c r="CX40" s="10">
        <f t="shared" si="68"/>
        <v>0</v>
      </c>
      <c r="CY40" s="1">
        <f>SUMIFS(
  '[1]Hoja 1'!$M:$M,
  '[1]Hoja 1'!$S:$S, $A40,
  '[1]Hoja 1'!$R:$R, "&gt;="&amp;INT($DA$1),
  '[1]Hoja 1'!$R:$R, "&lt;"&amp;INT($DB$1+1)
)</f>
        <v>0</v>
      </c>
      <c r="CZ40" s="1">
        <f t="shared" si="69"/>
        <v>0</v>
      </c>
      <c r="DA40" s="9">
        <f t="shared" si="70"/>
        <v>0</v>
      </c>
      <c r="DB40" s="10">
        <f t="shared" si="71"/>
        <v>0</v>
      </c>
      <c r="DC40" s="1">
        <f>SUMIFS(
  '[1]Hoja 1'!$M:$M,
  '[1]Hoja 1'!$S:$S, $A40,
  '[1]Hoja 1'!$R:$R, "&gt;="&amp;INT($DE$1),
  '[1]Hoja 1'!$R:$R, "&lt;"&amp;INT($DF$1+1)
)</f>
        <v>0</v>
      </c>
      <c r="DD40" s="1">
        <f t="shared" si="72"/>
        <v>0</v>
      </c>
      <c r="DE40" s="9">
        <f t="shared" si="73"/>
        <v>0</v>
      </c>
      <c r="DF40" s="10">
        <f t="shared" si="74"/>
        <v>0</v>
      </c>
      <c r="DG40" s="1">
        <f>SUMIFS(
  '[1]Hoja 1'!$M:$M,
  '[1]Hoja 1'!$S:$S, $A40,
  '[1]Hoja 1'!$R:$R, "&gt;="&amp;INT($DI$1),
  '[1]Hoja 1'!$R:$R, "&lt;"&amp;INT($DJ$1+1)
)</f>
        <v>0</v>
      </c>
      <c r="DH40" s="1">
        <f t="shared" si="75"/>
        <v>0</v>
      </c>
      <c r="DI40" s="9">
        <f t="shared" si="76"/>
        <v>0</v>
      </c>
      <c r="DJ40" s="10">
        <f t="shared" si="77"/>
        <v>0</v>
      </c>
      <c r="DK40" s="1">
        <f>SUMIFS(
  '[1]Hoja 1'!$M:$M,
  '[1]Hoja 1'!$S:$S, $A40,
  '[1]Hoja 1'!$R:$R, "&gt;="&amp;INT($DM$1),
  '[1]Hoja 1'!$R:$R, "&lt;"&amp;INT($DN$1+1)
)</f>
        <v>0</v>
      </c>
      <c r="DL40" s="1">
        <f t="shared" si="78"/>
        <v>0</v>
      </c>
      <c r="DM40" s="9">
        <f t="shared" si="79"/>
        <v>0</v>
      </c>
      <c r="DN40" s="10">
        <f t="shared" si="80"/>
        <v>0</v>
      </c>
      <c r="DO40" s="1">
        <f>SUMIFS(
  '[1]Hoja 1'!$M:$M,
  '[1]Hoja 1'!$S:$S, $A40,
  '[1]Hoja 1'!$R:$R, "&gt;="&amp;INT($DQ$1),
  '[1]Hoja 1'!$R:$R, "&lt;"&amp;INT($DR$1+1)
)</f>
        <v>0</v>
      </c>
      <c r="DP40" s="1">
        <f t="shared" si="81"/>
        <v>0</v>
      </c>
      <c r="DQ40" s="9">
        <f t="shared" si="82"/>
        <v>0</v>
      </c>
      <c r="DR40" s="10">
        <f t="shared" si="83"/>
        <v>0</v>
      </c>
    </row>
    <row r="41" spans="1:122" x14ac:dyDescent="0.25">
      <c r="A41" s="5">
        <v>207005</v>
      </c>
      <c r="B41" s="6" t="s">
        <v>45</v>
      </c>
      <c r="C41" s="1">
        <f>SUMIFS(
  '[1]Hoja 1'!$M:$M,
  '[1]Hoja 1'!$S:$S, $A41,
  '[1]Hoja 1'!$R:$R, "&gt;="&amp;INT($E$1),
  '[1]Hoja 1'!$R:$R, "&lt;"&amp;INT($F$1+1)
)</f>
        <v>0</v>
      </c>
      <c r="D41" s="1" t="str">
        <f>""</f>
        <v/>
      </c>
      <c r="F41" s="2"/>
      <c r="G41" s="1">
        <f>SUMIFS(
  '[1]Hoja 1'!$M:$M,
  '[1]Hoja 1'!$S:$S, $A41,
  '[1]Hoja 1'!$R:$R, "&gt;="&amp;INT($I$1),
  '[1]Hoja 1'!$R:$R, "&lt;"&amp;INT($J$1+1)
)</f>
        <v>0</v>
      </c>
      <c r="H41" s="1">
        <f t="shared" si="84"/>
        <v>0</v>
      </c>
      <c r="I41" s="1"/>
      <c r="J41" s="2"/>
      <c r="K41" s="1">
        <f>SUMIFS(
  '[1]Hoja 1'!$M:$M,
  '[1]Hoja 1'!$S:$S, $A41,
  '[1]Hoja 1'!$R:$R, "&gt;="&amp;INT($M$1),
  '[1]Hoja 1'!$R:$R, "&lt;"&amp;INT($N$1+1)
)</f>
        <v>0</v>
      </c>
      <c r="L41" s="1">
        <f t="shared" si="0"/>
        <v>0</v>
      </c>
      <c r="M41" s="9">
        <f t="shared" si="1"/>
        <v>0</v>
      </c>
      <c r="N41" s="10">
        <f t="shared" si="2"/>
        <v>0</v>
      </c>
      <c r="O41" s="1">
        <f>SUMIFS(
  '[1]Hoja 1'!$M:$M,
  '[1]Hoja 1'!$S:$S, $A41,
  '[1]Hoja 1'!$R:$R, "&gt;="&amp;INT($Q$1),
  '[1]Hoja 1'!$R:$R, "&lt;"&amp;INT($R$1+1)
)</f>
        <v>0</v>
      </c>
      <c r="P41" s="1">
        <f t="shared" si="3"/>
        <v>0</v>
      </c>
      <c r="Q41" s="9">
        <f t="shared" si="4"/>
        <v>0</v>
      </c>
      <c r="R41" s="10">
        <f t="shared" si="5"/>
        <v>0</v>
      </c>
      <c r="S41" s="1">
        <f>SUMIFS(
  '[1]Hoja 1'!$M:$M,
  '[1]Hoja 1'!$S:$S, $A41,
  '[1]Hoja 1'!$R:$R, "&gt;="&amp;INT($U$1),
  '[1]Hoja 1'!$R:$R, "&lt;"&amp;INT($V$1+1)
)</f>
        <v>0</v>
      </c>
      <c r="T41" s="1">
        <f t="shared" si="6"/>
        <v>0</v>
      </c>
      <c r="U41" s="9">
        <f t="shared" si="7"/>
        <v>0</v>
      </c>
      <c r="V41" s="10">
        <f t="shared" si="8"/>
        <v>0</v>
      </c>
      <c r="W41" s="1">
        <f>SUMIFS(
  '[1]Hoja 1'!$M:$M,
  '[1]Hoja 1'!$S:$S, $A41,
  '[1]Hoja 1'!$R:$R, "&gt;="&amp;INT($Y$1),
  '[1]Hoja 1'!$R:$R, "&lt;"&amp;INT($Z$1+1)
)</f>
        <v>0</v>
      </c>
      <c r="X41" s="1">
        <f t="shared" si="9"/>
        <v>0</v>
      </c>
      <c r="Y41" s="9">
        <f t="shared" si="10"/>
        <v>0</v>
      </c>
      <c r="Z41" s="10">
        <f t="shared" si="11"/>
        <v>0</v>
      </c>
      <c r="AA41" s="1">
        <f>SUMIFS(
  '[1]Hoja 1'!$M:$M,
  '[1]Hoja 1'!$S:$S, $A41,
  '[1]Hoja 1'!$R:$R, "&gt;="&amp;INT($AC$1),
  '[1]Hoja 1'!$R:$R, "&lt;"&amp;INT($AD$1+1)
)</f>
        <v>0</v>
      </c>
      <c r="AB41" s="1">
        <f t="shared" si="12"/>
        <v>0</v>
      </c>
      <c r="AC41" s="9">
        <f t="shared" si="13"/>
        <v>0</v>
      </c>
      <c r="AD41" s="10">
        <f t="shared" si="14"/>
        <v>0</v>
      </c>
      <c r="AE41" s="1">
        <f>SUMIFS(
  '[1]Hoja 1'!$M:$M,
  '[1]Hoja 1'!$S:$S, $A41,
  '[1]Hoja 1'!$R:$R, "&gt;="&amp;INT($AG$1),
  '[1]Hoja 1'!$R:$R, "&lt;"&amp;INT($AH$1+1)
)</f>
        <v>0</v>
      </c>
      <c r="AF41" s="1">
        <f t="shared" si="15"/>
        <v>0</v>
      </c>
      <c r="AG41" s="9">
        <f t="shared" si="16"/>
        <v>0</v>
      </c>
      <c r="AH41" s="10">
        <f t="shared" si="17"/>
        <v>0</v>
      </c>
      <c r="AI41" s="1">
        <f>SUMIFS(
  '[1]Hoja 1'!$M:$M,
  '[1]Hoja 1'!$S:$S, $A41,
  '[1]Hoja 1'!$R:$R, "&gt;="&amp;INT($AK$1),
  '[1]Hoja 1'!$R:$R, "&lt;"&amp;INT($AL$1+1)
)</f>
        <v>0</v>
      </c>
      <c r="AJ41" s="1">
        <f t="shared" si="18"/>
        <v>0</v>
      </c>
      <c r="AK41" s="9">
        <f t="shared" si="19"/>
        <v>0</v>
      </c>
      <c r="AL41" s="10">
        <f t="shared" si="20"/>
        <v>0</v>
      </c>
      <c r="AM41" s="1">
        <f>SUMIFS(
  '[1]Hoja 1'!$M:$M,
  '[1]Hoja 1'!$S:$S, $A41,
  '[1]Hoja 1'!$R:$R, "&gt;="&amp;INT($AO$1),
  '[1]Hoja 1'!$R:$R, "&lt;"&amp;INT($AP$1+1)
)</f>
        <v>0</v>
      </c>
      <c r="AN41" s="1">
        <f t="shared" si="21"/>
        <v>0</v>
      </c>
      <c r="AO41" s="9">
        <f t="shared" si="22"/>
        <v>0</v>
      </c>
      <c r="AP41" s="10">
        <f t="shared" si="23"/>
        <v>0</v>
      </c>
      <c r="AQ41" s="1">
        <f>SUMIFS(
  '[1]Hoja 1'!$M:$M,
  '[1]Hoja 1'!$S:$S, $A41,
  '[1]Hoja 1'!$R:$R, "&gt;="&amp;INT($AS$1),
  '[1]Hoja 1'!$R:$R, "&lt;"&amp;INT($AT$1+1)
)</f>
        <v>0</v>
      </c>
      <c r="AR41" s="1">
        <f t="shared" si="24"/>
        <v>0</v>
      </c>
      <c r="AS41" s="9">
        <f t="shared" si="25"/>
        <v>0</v>
      </c>
      <c r="AT41" s="10">
        <f t="shared" si="26"/>
        <v>0</v>
      </c>
      <c r="AU41" s="1">
        <f>SUMIFS(
  '[1]Hoja 1'!$M:$M,
  '[1]Hoja 1'!$S:$S, $A41,
  '[1]Hoja 1'!$R:$R, "&gt;="&amp;INT($AW$1),
  '[1]Hoja 1'!$R:$R, "&lt;"&amp;INT($AX$1+1)
)</f>
        <v>0</v>
      </c>
      <c r="AV41" s="1">
        <f t="shared" si="27"/>
        <v>0</v>
      </c>
      <c r="AW41" s="9">
        <f t="shared" si="28"/>
        <v>0</v>
      </c>
      <c r="AX41" s="10">
        <f t="shared" si="29"/>
        <v>0</v>
      </c>
      <c r="AY41" s="1">
        <f>SUMIFS(
  '[1]Hoja 1'!$M:$M,
  '[1]Hoja 1'!$S:$S, $A41,
  '[1]Hoja 1'!$R:$R, "&gt;="&amp;INT($BA$1),
  '[1]Hoja 1'!$R:$R, "&lt;"&amp;INT($BB$1+1)
)</f>
        <v>0</v>
      </c>
      <c r="AZ41" s="1">
        <f t="shared" si="30"/>
        <v>0</v>
      </c>
      <c r="BA41" s="9">
        <f t="shared" si="31"/>
        <v>0</v>
      </c>
      <c r="BB41" s="10">
        <f t="shared" si="32"/>
        <v>0</v>
      </c>
      <c r="BC41" s="1">
        <f>SUMIFS(
  '[1]Hoja 1'!$M:$M,
  '[1]Hoja 1'!$S:$S, $A41,
  '[1]Hoja 1'!$R:$R, "&gt;="&amp;INT($BE$1),
  '[1]Hoja 1'!$R:$R, "&lt;"&amp;INT($BF$1+1)
)</f>
        <v>0</v>
      </c>
      <c r="BD41" s="1">
        <f t="shared" si="33"/>
        <v>0</v>
      </c>
      <c r="BE41" s="9">
        <f t="shared" si="34"/>
        <v>0</v>
      </c>
      <c r="BF41" s="10">
        <f t="shared" si="35"/>
        <v>0</v>
      </c>
      <c r="BG41" s="1">
        <f>SUMIFS(
  '[1]Hoja 1'!$M:$M,
  '[1]Hoja 1'!$S:$S, $A41,
  '[1]Hoja 1'!$R:$R, "&gt;="&amp;INT($BI$1),
  '[1]Hoja 1'!$R:$R, "&lt;"&amp;INT($BJ$1+1)
)</f>
        <v>0</v>
      </c>
      <c r="BH41" s="1">
        <f t="shared" si="36"/>
        <v>0</v>
      </c>
      <c r="BI41" s="9">
        <f t="shared" si="37"/>
        <v>0</v>
      </c>
      <c r="BJ41" s="10">
        <f t="shared" si="38"/>
        <v>0</v>
      </c>
      <c r="BK41" s="1">
        <f>SUMIFS(
  '[1]Hoja 1'!$M:$M,
  '[1]Hoja 1'!$S:$S, $A41,
  '[1]Hoja 1'!$R:$R, "&gt;="&amp;INT($BM$1),
  '[1]Hoja 1'!$R:$R, "&lt;"&amp;INT($BN$1+1)
)</f>
        <v>0</v>
      </c>
      <c r="BL41" s="1">
        <f t="shared" si="39"/>
        <v>0</v>
      </c>
      <c r="BM41" s="9">
        <f t="shared" si="40"/>
        <v>0</v>
      </c>
      <c r="BN41" s="10">
        <f t="shared" si="41"/>
        <v>0</v>
      </c>
      <c r="BO41" s="1">
        <f>SUMIFS(
  '[1]Hoja 1'!$M:$M,
  '[1]Hoja 1'!$S:$S, $A41,
  '[1]Hoja 1'!$R:$R, "&gt;="&amp;INT($BQ$1),
  '[1]Hoja 1'!$R:$R, "&lt;"&amp;INT($BR$1+1)
)</f>
        <v>0</v>
      </c>
      <c r="BP41" s="1">
        <f t="shared" si="42"/>
        <v>0</v>
      </c>
      <c r="BQ41" s="9">
        <f t="shared" si="43"/>
        <v>0</v>
      </c>
      <c r="BR41" s="10">
        <f t="shared" si="44"/>
        <v>0</v>
      </c>
      <c r="BS41" s="1">
        <f>SUMIFS(
  '[1]Hoja 1'!$M:$M,
  '[1]Hoja 1'!$S:$S, $A41,
  '[1]Hoja 1'!$R:$R, "&gt;="&amp;INT($BU$1),
  '[1]Hoja 1'!$R:$R, "&lt;"&amp;INT($BV$1+1)
)</f>
        <v>0</v>
      </c>
      <c r="BT41" s="1">
        <f t="shared" si="45"/>
        <v>0</v>
      </c>
      <c r="BU41" s="9">
        <f t="shared" si="46"/>
        <v>0</v>
      </c>
      <c r="BV41" s="10">
        <f t="shared" si="47"/>
        <v>0</v>
      </c>
      <c r="BW41" s="1">
        <f>SUMIFS(
  '[1]Hoja 1'!$M:$M,
  '[1]Hoja 1'!$S:$S, $A41,
  '[1]Hoja 1'!$R:$R, "&gt;="&amp;INT($BY$1),
  '[1]Hoja 1'!$R:$R, "&lt;"&amp;INT($BZ$1+1)
)</f>
        <v>0</v>
      </c>
      <c r="BX41" s="1">
        <f t="shared" si="48"/>
        <v>0</v>
      </c>
      <c r="BY41" s="9">
        <f t="shared" si="49"/>
        <v>0</v>
      </c>
      <c r="BZ41" s="10">
        <f t="shared" si="50"/>
        <v>0</v>
      </c>
      <c r="CA41" s="1">
        <f>SUMIFS(
  '[1]Hoja 1'!$M:$M,
  '[1]Hoja 1'!$S:$S, $A41,
  '[1]Hoja 1'!$R:$R, "&gt;="&amp;INT($CC$1),
  '[1]Hoja 1'!$R:$R, "&lt;"&amp;INT($CD$1+1)
)</f>
        <v>0</v>
      </c>
      <c r="CB41" s="1">
        <f t="shared" si="51"/>
        <v>0</v>
      </c>
      <c r="CC41" s="9">
        <f t="shared" si="52"/>
        <v>0</v>
      </c>
      <c r="CD41" s="10">
        <f t="shared" si="53"/>
        <v>0</v>
      </c>
      <c r="CE41" s="1">
        <f>SUMIFS(
  '[1]Hoja 1'!$M:$M,
  '[1]Hoja 1'!$S:$S, $A41,
  '[1]Hoja 1'!$R:$R, "&gt;="&amp;INT($CG$1),
  '[1]Hoja 1'!$R:$R, "&lt;"&amp;INT($CH$1+1)
)</f>
        <v>0</v>
      </c>
      <c r="CF41" s="1">
        <f t="shared" si="54"/>
        <v>0</v>
      </c>
      <c r="CG41" s="9">
        <f t="shared" si="55"/>
        <v>0</v>
      </c>
      <c r="CH41" s="10">
        <f t="shared" si="56"/>
        <v>0</v>
      </c>
      <c r="CI41" s="1">
        <f>SUMIFS(
  '[1]Hoja 1'!$M:$M,
  '[1]Hoja 1'!$S:$S, $A41,
  '[1]Hoja 1'!$R:$R, "&gt;="&amp;INT($CK$1),
  '[1]Hoja 1'!$R:$R, "&lt;"&amp;INT($CL$1+1)
)</f>
        <v>0</v>
      </c>
      <c r="CJ41" s="1">
        <f t="shared" si="57"/>
        <v>0</v>
      </c>
      <c r="CK41" s="9">
        <f t="shared" si="58"/>
        <v>0</v>
      </c>
      <c r="CL41" s="10">
        <f t="shared" si="59"/>
        <v>0</v>
      </c>
      <c r="CM41" s="1">
        <f>SUMIFS(
  '[1]Hoja 1'!$M:$M,
  '[1]Hoja 1'!$S:$S, $A41,
  '[1]Hoja 1'!$R:$R, "&gt;="&amp;INT($CO$1),
  '[1]Hoja 1'!$R:$R, "&lt;"&amp;INT($CP$1+1)
)</f>
        <v>0</v>
      </c>
      <c r="CN41" s="1">
        <f t="shared" si="60"/>
        <v>0</v>
      </c>
      <c r="CO41" s="9">
        <f t="shared" si="61"/>
        <v>0</v>
      </c>
      <c r="CP41" s="10">
        <f t="shared" si="62"/>
        <v>0</v>
      </c>
      <c r="CQ41" s="1">
        <f>SUMIFS(
  '[1]Hoja 1'!$M:$M,
  '[1]Hoja 1'!$S:$S, $A41,
  '[1]Hoja 1'!$R:$R, "&gt;="&amp;INT($CS$1),
  '[1]Hoja 1'!$R:$R, "&lt;"&amp;INT($CT$1+1)
)</f>
        <v>0</v>
      </c>
      <c r="CR41" s="1">
        <f t="shared" si="63"/>
        <v>0</v>
      </c>
      <c r="CS41" s="9">
        <f t="shared" si="64"/>
        <v>0</v>
      </c>
      <c r="CT41" s="10">
        <f t="shared" si="65"/>
        <v>0</v>
      </c>
      <c r="CU41" s="1">
        <f>SUMIFS(
  '[1]Hoja 1'!$M:$M,
  '[1]Hoja 1'!$S:$S, $A41,
  '[1]Hoja 1'!$R:$R, "&gt;="&amp;INT($CW$1),
  '[1]Hoja 1'!$R:$R, "&lt;"&amp;INT($CX$1+1)
)</f>
        <v>0</v>
      </c>
      <c r="CV41" s="1">
        <f t="shared" si="66"/>
        <v>0</v>
      </c>
      <c r="CW41" s="9">
        <f t="shared" si="67"/>
        <v>0</v>
      </c>
      <c r="CX41" s="10">
        <f t="shared" si="68"/>
        <v>0</v>
      </c>
      <c r="CY41" s="1">
        <f>SUMIFS(
  '[1]Hoja 1'!$M:$M,
  '[1]Hoja 1'!$S:$S, $A41,
  '[1]Hoja 1'!$R:$R, "&gt;="&amp;INT($DA$1),
  '[1]Hoja 1'!$R:$R, "&lt;"&amp;INT($DB$1+1)
)</f>
        <v>0</v>
      </c>
      <c r="CZ41" s="1">
        <f t="shared" si="69"/>
        <v>0</v>
      </c>
      <c r="DA41" s="9">
        <f t="shared" si="70"/>
        <v>0</v>
      </c>
      <c r="DB41" s="10">
        <f t="shared" si="71"/>
        <v>0</v>
      </c>
      <c r="DC41" s="1">
        <f>SUMIFS(
  '[1]Hoja 1'!$M:$M,
  '[1]Hoja 1'!$S:$S, $A41,
  '[1]Hoja 1'!$R:$R, "&gt;="&amp;INT($DE$1),
  '[1]Hoja 1'!$R:$R, "&lt;"&amp;INT($DF$1+1)
)</f>
        <v>0</v>
      </c>
      <c r="DD41" s="1">
        <f t="shared" si="72"/>
        <v>0</v>
      </c>
      <c r="DE41" s="9">
        <f t="shared" si="73"/>
        <v>0</v>
      </c>
      <c r="DF41" s="10">
        <f t="shared" si="74"/>
        <v>0</v>
      </c>
      <c r="DG41" s="1">
        <f>SUMIFS(
  '[1]Hoja 1'!$M:$M,
  '[1]Hoja 1'!$S:$S, $A41,
  '[1]Hoja 1'!$R:$R, "&gt;="&amp;INT($DI$1),
  '[1]Hoja 1'!$R:$R, "&lt;"&amp;INT($DJ$1+1)
)</f>
        <v>0</v>
      </c>
      <c r="DH41" s="1">
        <f t="shared" si="75"/>
        <v>0</v>
      </c>
      <c r="DI41" s="9">
        <f t="shared" si="76"/>
        <v>0</v>
      </c>
      <c r="DJ41" s="10">
        <f t="shared" si="77"/>
        <v>0</v>
      </c>
      <c r="DK41" s="1">
        <f>SUMIFS(
  '[1]Hoja 1'!$M:$M,
  '[1]Hoja 1'!$S:$S, $A41,
  '[1]Hoja 1'!$R:$R, "&gt;="&amp;INT($DM$1),
  '[1]Hoja 1'!$R:$R, "&lt;"&amp;INT($DN$1+1)
)</f>
        <v>0</v>
      </c>
      <c r="DL41" s="1">
        <f t="shared" si="78"/>
        <v>0</v>
      </c>
      <c r="DM41" s="9">
        <f t="shared" si="79"/>
        <v>0</v>
      </c>
      <c r="DN41" s="10">
        <f t="shared" si="80"/>
        <v>0</v>
      </c>
      <c r="DO41" s="1">
        <f>SUMIFS(
  '[1]Hoja 1'!$M:$M,
  '[1]Hoja 1'!$S:$S, $A41,
  '[1]Hoja 1'!$R:$R, "&gt;="&amp;INT($DQ$1),
  '[1]Hoja 1'!$R:$R, "&lt;"&amp;INT($DR$1+1)
)</f>
        <v>0</v>
      </c>
      <c r="DP41" s="1">
        <f t="shared" si="81"/>
        <v>0</v>
      </c>
      <c r="DQ41" s="9">
        <f t="shared" si="82"/>
        <v>0</v>
      </c>
      <c r="DR41" s="10">
        <f t="shared" si="83"/>
        <v>0</v>
      </c>
    </row>
    <row r="42" spans="1:122" x14ac:dyDescent="0.25">
      <c r="A42" s="5">
        <v>207007</v>
      </c>
      <c r="B42" s="6" t="s">
        <v>46</v>
      </c>
      <c r="C42" s="1">
        <f>SUMIFS(
  '[1]Hoja 1'!$M:$M,
  '[1]Hoja 1'!$S:$S, $A42,
  '[1]Hoja 1'!$R:$R, "&gt;="&amp;INT($E$1),
  '[1]Hoja 1'!$R:$R, "&lt;"&amp;INT($F$1+1)
)</f>
        <v>0</v>
      </c>
      <c r="D42" s="1" t="str">
        <f>""</f>
        <v/>
      </c>
      <c r="F42" s="2"/>
      <c r="G42" s="1">
        <f>SUMIFS(
  '[1]Hoja 1'!$M:$M,
  '[1]Hoja 1'!$S:$S, $A42,
  '[1]Hoja 1'!$R:$R, "&gt;="&amp;INT($I$1),
  '[1]Hoja 1'!$R:$R, "&lt;"&amp;INT($J$1+1)
)</f>
        <v>0</v>
      </c>
      <c r="H42" s="1">
        <f t="shared" si="84"/>
        <v>0</v>
      </c>
      <c r="I42" s="1"/>
      <c r="J42" s="2"/>
      <c r="K42" s="1">
        <f>SUMIFS(
  '[1]Hoja 1'!$M:$M,
  '[1]Hoja 1'!$S:$S, $A42,
  '[1]Hoja 1'!$R:$R, "&gt;="&amp;INT($M$1),
  '[1]Hoja 1'!$R:$R, "&lt;"&amp;INT($N$1+1)
)</f>
        <v>0</v>
      </c>
      <c r="L42" s="1">
        <f t="shared" si="0"/>
        <v>0</v>
      </c>
      <c r="M42" s="9">
        <f t="shared" si="1"/>
        <v>0</v>
      </c>
      <c r="N42" s="10">
        <f t="shared" si="2"/>
        <v>0</v>
      </c>
      <c r="O42" s="1">
        <f>SUMIFS(
  '[1]Hoja 1'!$M:$M,
  '[1]Hoja 1'!$S:$S, $A42,
  '[1]Hoja 1'!$R:$R, "&gt;="&amp;INT($Q$1),
  '[1]Hoja 1'!$R:$R, "&lt;"&amp;INT($R$1+1)
)</f>
        <v>0</v>
      </c>
      <c r="P42" s="1">
        <f t="shared" si="3"/>
        <v>0</v>
      </c>
      <c r="Q42" s="9">
        <f t="shared" si="4"/>
        <v>0</v>
      </c>
      <c r="R42" s="10">
        <f t="shared" si="5"/>
        <v>0</v>
      </c>
      <c r="S42" s="1">
        <f>SUMIFS(
  '[1]Hoja 1'!$M:$M,
  '[1]Hoja 1'!$S:$S, $A42,
  '[1]Hoja 1'!$R:$R, "&gt;="&amp;INT($U$1),
  '[1]Hoja 1'!$R:$R, "&lt;"&amp;INT($V$1+1)
)</f>
        <v>0</v>
      </c>
      <c r="T42" s="1">
        <f t="shared" si="6"/>
        <v>0</v>
      </c>
      <c r="U42" s="9">
        <f t="shared" si="7"/>
        <v>0</v>
      </c>
      <c r="V42" s="10">
        <f t="shared" si="8"/>
        <v>0</v>
      </c>
      <c r="W42" s="1">
        <f>SUMIFS(
  '[1]Hoja 1'!$M:$M,
  '[1]Hoja 1'!$S:$S, $A42,
  '[1]Hoja 1'!$R:$R, "&gt;="&amp;INT($Y$1),
  '[1]Hoja 1'!$R:$R, "&lt;"&amp;INT($Z$1+1)
)</f>
        <v>0</v>
      </c>
      <c r="X42" s="1">
        <f t="shared" si="9"/>
        <v>0</v>
      </c>
      <c r="Y42" s="9">
        <f t="shared" si="10"/>
        <v>0</v>
      </c>
      <c r="Z42" s="10">
        <f t="shared" si="11"/>
        <v>0</v>
      </c>
      <c r="AA42" s="1">
        <f>SUMIFS(
  '[1]Hoja 1'!$M:$M,
  '[1]Hoja 1'!$S:$S, $A42,
  '[1]Hoja 1'!$R:$R, "&gt;="&amp;INT($AC$1),
  '[1]Hoja 1'!$R:$R, "&lt;"&amp;INT($AD$1+1)
)</f>
        <v>0</v>
      </c>
      <c r="AB42" s="1">
        <f t="shared" si="12"/>
        <v>0</v>
      </c>
      <c r="AC42" s="9">
        <f t="shared" si="13"/>
        <v>0</v>
      </c>
      <c r="AD42" s="10">
        <f t="shared" si="14"/>
        <v>0</v>
      </c>
      <c r="AE42" s="1">
        <f>SUMIFS(
  '[1]Hoja 1'!$M:$M,
  '[1]Hoja 1'!$S:$S, $A42,
  '[1]Hoja 1'!$R:$R, "&gt;="&amp;INT($AG$1),
  '[1]Hoja 1'!$R:$R, "&lt;"&amp;INT($AH$1+1)
)</f>
        <v>0</v>
      </c>
      <c r="AF42" s="1">
        <f t="shared" si="15"/>
        <v>0</v>
      </c>
      <c r="AG42" s="9">
        <f t="shared" si="16"/>
        <v>0</v>
      </c>
      <c r="AH42" s="10">
        <f t="shared" si="17"/>
        <v>0</v>
      </c>
      <c r="AI42" s="1">
        <f>SUMIFS(
  '[1]Hoja 1'!$M:$M,
  '[1]Hoja 1'!$S:$S, $A42,
  '[1]Hoja 1'!$R:$R, "&gt;="&amp;INT($AK$1),
  '[1]Hoja 1'!$R:$R, "&lt;"&amp;INT($AL$1+1)
)</f>
        <v>0</v>
      </c>
      <c r="AJ42" s="1">
        <f t="shared" si="18"/>
        <v>0</v>
      </c>
      <c r="AK42" s="9">
        <f t="shared" si="19"/>
        <v>0</v>
      </c>
      <c r="AL42" s="10">
        <f t="shared" si="20"/>
        <v>0</v>
      </c>
      <c r="AM42" s="1">
        <f>SUMIFS(
  '[1]Hoja 1'!$M:$M,
  '[1]Hoja 1'!$S:$S, $A42,
  '[1]Hoja 1'!$R:$R, "&gt;="&amp;INT($AO$1),
  '[1]Hoja 1'!$R:$R, "&lt;"&amp;INT($AP$1+1)
)</f>
        <v>0</v>
      </c>
      <c r="AN42" s="1">
        <f t="shared" si="21"/>
        <v>0</v>
      </c>
      <c r="AO42" s="9">
        <f t="shared" si="22"/>
        <v>0</v>
      </c>
      <c r="AP42" s="10">
        <f t="shared" si="23"/>
        <v>0</v>
      </c>
      <c r="AQ42" s="1">
        <f>SUMIFS(
  '[1]Hoja 1'!$M:$M,
  '[1]Hoja 1'!$S:$S, $A42,
  '[1]Hoja 1'!$R:$R, "&gt;="&amp;INT($AS$1),
  '[1]Hoja 1'!$R:$R, "&lt;"&amp;INT($AT$1+1)
)</f>
        <v>0</v>
      </c>
      <c r="AR42" s="1">
        <f t="shared" si="24"/>
        <v>0</v>
      </c>
      <c r="AS42" s="9">
        <f t="shared" si="25"/>
        <v>0</v>
      </c>
      <c r="AT42" s="10">
        <f t="shared" si="26"/>
        <v>0</v>
      </c>
      <c r="AU42" s="1">
        <f>SUMIFS(
  '[1]Hoja 1'!$M:$M,
  '[1]Hoja 1'!$S:$S, $A42,
  '[1]Hoja 1'!$R:$R, "&gt;="&amp;INT($AW$1),
  '[1]Hoja 1'!$R:$R, "&lt;"&amp;INT($AX$1+1)
)</f>
        <v>0</v>
      </c>
      <c r="AV42" s="1">
        <f t="shared" si="27"/>
        <v>0</v>
      </c>
      <c r="AW42" s="9">
        <f t="shared" si="28"/>
        <v>0</v>
      </c>
      <c r="AX42" s="10">
        <f t="shared" si="29"/>
        <v>0</v>
      </c>
      <c r="AY42" s="1">
        <f>SUMIFS(
  '[1]Hoja 1'!$M:$M,
  '[1]Hoja 1'!$S:$S, $A42,
  '[1]Hoja 1'!$R:$R, "&gt;="&amp;INT($BA$1),
  '[1]Hoja 1'!$R:$R, "&lt;"&amp;INT($BB$1+1)
)</f>
        <v>0</v>
      </c>
      <c r="AZ42" s="1">
        <f t="shared" si="30"/>
        <v>0</v>
      </c>
      <c r="BA42" s="9">
        <f t="shared" si="31"/>
        <v>0</v>
      </c>
      <c r="BB42" s="10">
        <f t="shared" si="32"/>
        <v>0</v>
      </c>
      <c r="BC42" s="1">
        <f>SUMIFS(
  '[1]Hoja 1'!$M:$M,
  '[1]Hoja 1'!$S:$S, $A42,
  '[1]Hoja 1'!$R:$R, "&gt;="&amp;INT($BE$1),
  '[1]Hoja 1'!$R:$R, "&lt;"&amp;INT($BF$1+1)
)</f>
        <v>0</v>
      </c>
      <c r="BD42" s="1">
        <f t="shared" si="33"/>
        <v>0</v>
      </c>
      <c r="BE42" s="9">
        <f t="shared" si="34"/>
        <v>0</v>
      </c>
      <c r="BF42" s="10">
        <f t="shared" si="35"/>
        <v>0</v>
      </c>
      <c r="BG42" s="1">
        <f>SUMIFS(
  '[1]Hoja 1'!$M:$M,
  '[1]Hoja 1'!$S:$S, $A42,
  '[1]Hoja 1'!$R:$R, "&gt;="&amp;INT($BI$1),
  '[1]Hoja 1'!$R:$R, "&lt;"&amp;INT($BJ$1+1)
)</f>
        <v>0</v>
      </c>
      <c r="BH42" s="1">
        <f t="shared" si="36"/>
        <v>0</v>
      </c>
      <c r="BI42" s="9">
        <f t="shared" si="37"/>
        <v>0</v>
      </c>
      <c r="BJ42" s="10">
        <f t="shared" si="38"/>
        <v>0</v>
      </c>
      <c r="BK42" s="1">
        <f>SUMIFS(
  '[1]Hoja 1'!$M:$M,
  '[1]Hoja 1'!$S:$S, $A42,
  '[1]Hoja 1'!$R:$R, "&gt;="&amp;INT($BM$1),
  '[1]Hoja 1'!$R:$R, "&lt;"&amp;INT($BN$1+1)
)</f>
        <v>0</v>
      </c>
      <c r="BL42" s="1">
        <f t="shared" si="39"/>
        <v>0</v>
      </c>
      <c r="BM42" s="9">
        <f t="shared" si="40"/>
        <v>0</v>
      </c>
      <c r="BN42" s="10">
        <f t="shared" si="41"/>
        <v>0</v>
      </c>
      <c r="BO42" s="1">
        <f>SUMIFS(
  '[1]Hoja 1'!$M:$M,
  '[1]Hoja 1'!$S:$S, $A42,
  '[1]Hoja 1'!$R:$R, "&gt;="&amp;INT($BQ$1),
  '[1]Hoja 1'!$R:$R, "&lt;"&amp;INT($BR$1+1)
)</f>
        <v>0</v>
      </c>
      <c r="BP42" s="1">
        <f t="shared" si="42"/>
        <v>0</v>
      </c>
      <c r="BQ42" s="9">
        <f t="shared" si="43"/>
        <v>0</v>
      </c>
      <c r="BR42" s="10">
        <f t="shared" si="44"/>
        <v>0</v>
      </c>
      <c r="BS42" s="1">
        <f>SUMIFS(
  '[1]Hoja 1'!$M:$M,
  '[1]Hoja 1'!$S:$S, $A42,
  '[1]Hoja 1'!$R:$R, "&gt;="&amp;INT($BU$1),
  '[1]Hoja 1'!$R:$R, "&lt;"&amp;INT($BV$1+1)
)</f>
        <v>0</v>
      </c>
      <c r="BT42" s="1">
        <f t="shared" si="45"/>
        <v>0</v>
      </c>
      <c r="BU42" s="9">
        <f t="shared" si="46"/>
        <v>0</v>
      </c>
      <c r="BV42" s="10">
        <f t="shared" si="47"/>
        <v>0</v>
      </c>
      <c r="BW42" s="1">
        <f>SUMIFS(
  '[1]Hoja 1'!$M:$M,
  '[1]Hoja 1'!$S:$S, $A42,
  '[1]Hoja 1'!$R:$R, "&gt;="&amp;INT($BY$1),
  '[1]Hoja 1'!$R:$R, "&lt;"&amp;INT($BZ$1+1)
)</f>
        <v>0</v>
      </c>
      <c r="BX42" s="1">
        <f t="shared" si="48"/>
        <v>0</v>
      </c>
      <c r="BY42" s="9">
        <f t="shared" si="49"/>
        <v>0</v>
      </c>
      <c r="BZ42" s="10">
        <f t="shared" si="50"/>
        <v>0</v>
      </c>
      <c r="CA42" s="1">
        <f>SUMIFS(
  '[1]Hoja 1'!$M:$M,
  '[1]Hoja 1'!$S:$S, $A42,
  '[1]Hoja 1'!$R:$R, "&gt;="&amp;INT($CC$1),
  '[1]Hoja 1'!$R:$R, "&lt;"&amp;INT($CD$1+1)
)</f>
        <v>0</v>
      </c>
      <c r="CB42" s="1">
        <f t="shared" si="51"/>
        <v>0</v>
      </c>
      <c r="CC42" s="9">
        <f t="shared" si="52"/>
        <v>0</v>
      </c>
      <c r="CD42" s="10">
        <f t="shared" si="53"/>
        <v>0</v>
      </c>
      <c r="CE42" s="1">
        <f>SUMIFS(
  '[1]Hoja 1'!$M:$M,
  '[1]Hoja 1'!$S:$S, $A42,
  '[1]Hoja 1'!$R:$R, "&gt;="&amp;INT($CG$1),
  '[1]Hoja 1'!$R:$R, "&lt;"&amp;INT($CH$1+1)
)</f>
        <v>0</v>
      </c>
      <c r="CF42" s="1">
        <f t="shared" si="54"/>
        <v>0</v>
      </c>
      <c r="CG42" s="9">
        <f t="shared" si="55"/>
        <v>0</v>
      </c>
      <c r="CH42" s="10">
        <f t="shared" si="56"/>
        <v>0</v>
      </c>
      <c r="CI42" s="1">
        <f>SUMIFS(
  '[1]Hoja 1'!$M:$M,
  '[1]Hoja 1'!$S:$S, $A42,
  '[1]Hoja 1'!$R:$R, "&gt;="&amp;INT($CK$1),
  '[1]Hoja 1'!$R:$R, "&lt;"&amp;INT($CL$1+1)
)</f>
        <v>0</v>
      </c>
      <c r="CJ42" s="1">
        <f t="shared" si="57"/>
        <v>0</v>
      </c>
      <c r="CK42" s="9">
        <f t="shared" si="58"/>
        <v>0</v>
      </c>
      <c r="CL42" s="10">
        <f t="shared" si="59"/>
        <v>0</v>
      </c>
      <c r="CM42" s="1">
        <f>SUMIFS(
  '[1]Hoja 1'!$M:$M,
  '[1]Hoja 1'!$S:$S, $A42,
  '[1]Hoja 1'!$R:$R, "&gt;="&amp;INT($CO$1),
  '[1]Hoja 1'!$R:$R, "&lt;"&amp;INT($CP$1+1)
)</f>
        <v>0</v>
      </c>
      <c r="CN42" s="1">
        <f t="shared" si="60"/>
        <v>0</v>
      </c>
      <c r="CO42" s="9">
        <f t="shared" si="61"/>
        <v>0</v>
      </c>
      <c r="CP42" s="10">
        <f t="shared" si="62"/>
        <v>0</v>
      </c>
      <c r="CQ42" s="1">
        <f>SUMIFS(
  '[1]Hoja 1'!$M:$M,
  '[1]Hoja 1'!$S:$S, $A42,
  '[1]Hoja 1'!$R:$R, "&gt;="&amp;INT($CS$1),
  '[1]Hoja 1'!$R:$R, "&lt;"&amp;INT($CT$1+1)
)</f>
        <v>0</v>
      </c>
      <c r="CR42" s="1">
        <f t="shared" si="63"/>
        <v>0</v>
      </c>
      <c r="CS42" s="9">
        <f t="shared" si="64"/>
        <v>0</v>
      </c>
      <c r="CT42" s="10">
        <f t="shared" si="65"/>
        <v>0</v>
      </c>
      <c r="CU42" s="1">
        <f>SUMIFS(
  '[1]Hoja 1'!$M:$M,
  '[1]Hoja 1'!$S:$S, $A42,
  '[1]Hoja 1'!$R:$R, "&gt;="&amp;INT($CW$1),
  '[1]Hoja 1'!$R:$R, "&lt;"&amp;INT($CX$1+1)
)</f>
        <v>0</v>
      </c>
      <c r="CV42" s="1">
        <f t="shared" si="66"/>
        <v>0</v>
      </c>
      <c r="CW42" s="9">
        <f t="shared" si="67"/>
        <v>0</v>
      </c>
      <c r="CX42" s="10">
        <f t="shared" si="68"/>
        <v>0</v>
      </c>
      <c r="CY42" s="1">
        <f>SUMIFS(
  '[1]Hoja 1'!$M:$M,
  '[1]Hoja 1'!$S:$S, $A42,
  '[1]Hoja 1'!$R:$R, "&gt;="&amp;INT($DA$1),
  '[1]Hoja 1'!$R:$R, "&lt;"&amp;INT($DB$1+1)
)</f>
        <v>0</v>
      </c>
      <c r="CZ42" s="1">
        <f t="shared" si="69"/>
        <v>0</v>
      </c>
      <c r="DA42" s="9">
        <f t="shared" si="70"/>
        <v>0</v>
      </c>
      <c r="DB42" s="10">
        <f t="shared" si="71"/>
        <v>0</v>
      </c>
      <c r="DC42" s="1">
        <f>SUMIFS(
  '[1]Hoja 1'!$M:$M,
  '[1]Hoja 1'!$S:$S, $A42,
  '[1]Hoja 1'!$R:$R, "&gt;="&amp;INT($DE$1),
  '[1]Hoja 1'!$R:$R, "&lt;"&amp;INT($DF$1+1)
)</f>
        <v>0</v>
      </c>
      <c r="DD42" s="1">
        <f t="shared" si="72"/>
        <v>0</v>
      </c>
      <c r="DE42" s="9">
        <f t="shared" si="73"/>
        <v>0</v>
      </c>
      <c r="DF42" s="10">
        <f t="shared" si="74"/>
        <v>0</v>
      </c>
      <c r="DG42" s="1">
        <f>SUMIFS(
  '[1]Hoja 1'!$M:$M,
  '[1]Hoja 1'!$S:$S, $A42,
  '[1]Hoja 1'!$R:$R, "&gt;="&amp;INT($DI$1),
  '[1]Hoja 1'!$R:$R, "&lt;"&amp;INT($DJ$1+1)
)</f>
        <v>0</v>
      </c>
      <c r="DH42" s="1">
        <f t="shared" si="75"/>
        <v>0</v>
      </c>
      <c r="DI42" s="9">
        <f t="shared" si="76"/>
        <v>0</v>
      </c>
      <c r="DJ42" s="10">
        <f t="shared" si="77"/>
        <v>0</v>
      </c>
      <c r="DK42" s="1">
        <f>SUMIFS(
  '[1]Hoja 1'!$M:$M,
  '[1]Hoja 1'!$S:$S, $A42,
  '[1]Hoja 1'!$R:$R, "&gt;="&amp;INT($DM$1),
  '[1]Hoja 1'!$R:$R, "&lt;"&amp;INT($DN$1+1)
)</f>
        <v>0</v>
      </c>
      <c r="DL42" s="1">
        <f t="shared" si="78"/>
        <v>0</v>
      </c>
      <c r="DM42" s="9">
        <f t="shared" si="79"/>
        <v>0</v>
      </c>
      <c r="DN42" s="10">
        <f t="shared" si="80"/>
        <v>0</v>
      </c>
      <c r="DO42" s="1">
        <f>SUMIFS(
  '[1]Hoja 1'!$M:$M,
  '[1]Hoja 1'!$S:$S, $A42,
  '[1]Hoja 1'!$R:$R, "&gt;="&amp;INT($DQ$1),
  '[1]Hoja 1'!$R:$R, "&lt;"&amp;INT($DR$1+1)
)</f>
        <v>0</v>
      </c>
      <c r="DP42" s="1">
        <f t="shared" si="81"/>
        <v>0</v>
      </c>
      <c r="DQ42" s="9">
        <f t="shared" si="82"/>
        <v>0</v>
      </c>
      <c r="DR42" s="10">
        <f t="shared" si="83"/>
        <v>0</v>
      </c>
    </row>
    <row r="43" spans="1:122" x14ac:dyDescent="0.25">
      <c r="A43" s="5">
        <v>207008</v>
      </c>
      <c r="B43" s="6" t="s">
        <v>47</v>
      </c>
      <c r="C43" s="1">
        <f>SUMIFS(
  '[1]Hoja 1'!$M:$M,
  '[1]Hoja 1'!$S:$S, $A43,
  '[1]Hoja 1'!$R:$R, "&gt;="&amp;INT($E$1),
  '[1]Hoja 1'!$R:$R, "&lt;"&amp;INT($F$1+1)
)</f>
        <v>0</v>
      </c>
      <c r="D43" s="1" t="str">
        <f>""</f>
        <v/>
      </c>
      <c r="F43" s="2"/>
      <c r="G43" s="1">
        <f>SUMIFS(
  '[1]Hoja 1'!$M:$M,
  '[1]Hoja 1'!$S:$S, $A43,
  '[1]Hoja 1'!$R:$R, "&gt;="&amp;INT($I$1),
  '[1]Hoja 1'!$R:$R, "&lt;"&amp;INT($J$1+1)
)</f>
        <v>0</v>
      </c>
      <c r="H43" s="1">
        <f t="shared" si="84"/>
        <v>0</v>
      </c>
      <c r="I43" s="1"/>
      <c r="J43" s="2"/>
      <c r="K43" s="1">
        <f>SUMIFS(
  '[1]Hoja 1'!$M:$M,
  '[1]Hoja 1'!$S:$S, $A43,
  '[1]Hoja 1'!$R:$R, "&gt;="&amp;INT($M$1),
  '[1]Hoja 1'!$R:$R, "&lt;"&amp;INT($N$1+1)
)</f>
        <v>0</v>
      </c>
      <c r="L43" s="1">
        <f t="shared" si="0"/>
        <v>0</v>
      </c>
      <c r="M43" s="9">
        <f t="shared" si="1"/>
        <v>0</v>
      </c>
      <c r="N43" s="10">
        <f t="shared" si="2"/>
        <v>0</v>
      </c>
      <c r="O43" s="1">
        <f>SUMIFS(
  '[1]Hoja 1'!$M:$M,
  '[1]Hoja 1'!$S:$S, $A43,
  '[1]Hoja 1'!$R:$R, "&gt;="&amp;INT($Q$1),
  '[1]Hoja 1'!$R:$R, "&lt;"&amp;INT($R$1+1)
)</f>
        <v>0</v>
      </c>
      <c r="P43" s="1">
        <f t="shared" si="3"/>
        <v>0</v>
      </c>
      <c r="Q43" s="9">
        <f t="shared" si="4"/>
        <v>0</v>
      </c>
      <c r="R43" s="10">
        <f t="shared" si="5"/>
        <v>0</v>
      </c>
      <c r="S43" s="1">
        <f>SUMIFS(
  '[1]Hoja 1'!$M:$M,
  '[1]Hoja 1'!$S:$S, $A43,
  '[1]Hoja 1'!$R:$R, "&gt;="&amp;INT($U$1),
  '[1]Hoja 1'!$R:$R, "&lt;"&amp;INT($V$1+1)
)</f>
        <v>0</v>
      </c>
      <c r="T43" s="1">
        <f t="shared" si="6"/>
        <v>0</v>
      </c>
      <c r="U43" s="9">
        <f t="shared" si="7"/>
        <v>0</v>
      </c>
      <c r="V43" s="10">
        <f t="shared" si="8"/>
        <v>0</v>
      </c>
      <c r="W43" s="1">
        <f>SUMIFS(
  '[1]Hoja 1'!$M:$M,
  '[1]Hoja 1'!$S:$S, $A43,
  '[1]Hoja 1'!$R:$R, "&gt;="&amp;INT($Y$1),
  '[1]Hoja 1'!$R:$R, "&lt;"&amp;INT($Z$1+1)
)</f>
        <v>0</v>
      </c>
      <c r="X43" s="1">
        <f t="shared" si="9"/>
        <v>0</v>
      </c>
      <c r="Y43" s="9">
        <f t="shared" si="10"/>
        <v>0</v>
      </c>
      <c r="Z43" s="10">
        <f t="shared" si="11"/>
        <v>0</v>
      </c>
      <c r="AA43" s="1">
        <f>SUMIFS(
  '[1]Hoja 1'!$M:$M,
  '[1]Hoja 1'!$S:$S, $A43,
  '[1]Hoja 1'!$R:$R, "&gt;="&amp;INT($AC$1),
  '[1]Hoja 1'!$R:$R, "&lt;"&amp;INT($AD$1+1)
)</f>
        <v>0</v>
      </c>
      <c r="AB43" s="1">
        <f t="shared" si="12"/>
        <v>0</v>
      </c>
      <c r="AC43" s="9">
        <f t="shared" si="13"/>
        <v>0</v>
      </c>
      <c r="AD43" s="10">
        <f t="shared" si="14"/>
        <v>0</v>
      </c>
      <c r="AE43" s="1">
        <f>SUMIFS(
  '[1]Hoja 1'!$M:$M,
  '[1]Hoja 1'!$S:$S, $A43,
  '[1]Hoja 1'!$R:$R, "&gt;="&amp;INT($AG$1),
  '[1]Hoja 1'!$R:$R, "&lt;"&amp;INT($AH$1+1)
)</f>
        <v>0</v>
      </c>
      <c r="AF43" s="1">
        <f t="shared" si="15"/>
        <v>0</v>
      </c>
      <c r="AG43" s="9">
        <f t="shared" si="16"/>
        <v>0</v>
      </c>
      <c r="AH43" s="10">
        <f t="shared" si="17"/>
        <v>0</v>
      </c>
      <c r="AI43" s="1">
        <f>SUMIFS(
  '[1]Hoja 1'!$M:$M,
  '[1]Hoja 1'!$S:$S, $A43,
  '[1]Hoja 1'!$R:$R, "&gt;="&amp;INT($AK$1),
  '[1]Hoja 1'!$R:$R, "&lt;"&amp;INT($AL$1+1)
)</f>
        <v>0</v>
      </c>
      <c r="AJ43" s="1">
        <f t="shared" si="18"/>
        <v>0</v>
      </c>
      <c r="AK43" s="9">
        <f t="shared" si="19"/>
        <v>0</v>
      </c>
      <c r="AL43" s="10">
        <f t="shared" si="20"/>
        <v>0</v>
      </c>
      <c r="AM43" s="1">
        <f>SUMIFS(
  '[1]Hoja 1'!$M:$M,
  '[1]Hoja 1'!$S:$S, $A43,
  '[1]Hoja 1'!$R:$R, "&gt;="&amp;INT($AO$1),
  '[1]Hoja 1'!$R:$R, "&lt;"&amp;INT($AP$1+1)
)</f>
        <v>0</v>
      </c>
      <c r="AN43" s="1">
        <f t="shared" si="21"/>
        <v>0</v>
      </c>
      <c r="AO43" s="9">
        <f t="shared" si="22"/>
        <v>0</v>
      </c>
      <c r="AP43" s="10">
        <f t="shared" si="23"/>
        <v>0</v>
      </c>
      <c r="AQ43" s="1">
        <f>SUMIFS(
  '[1]Hoja 1'!$M:$M,
  '[1]Hoja 1'!$S:$S, $A43,
  '[1]Hoja 1'!$R:$R, "&gt;="&amp;INT($AS$1),
  '[1]Hoja 1'!$R:$R, "&lt;"&amp;INT($AT$1+1)
)</f>
        <v>0</v>
      </c>
      <c r="AR43" s="1">
        <f t="shared" si="24"/>
        <v>0</v>
      </c>
      <c r="AS43" s="9">
        <f t="shared" si="25"/>
        <v>0</v>
      </c>
      <c r="AT43" s="10">
        <f t="shared" si="26"/>
        <v>0</v>
      </c>
      <c r="AU43" s="1">
        <f>SUMIFS(
  '[1]Hoja 1'!$M:$M,
  '[1]Hoja 1'!$S:$S, $A43,
  '[1]Hoja 1'!$R:$R, "&gt;="&amp;INT($AW$1),
  '[1]Hoja 1'!$R:$R, "&lt;"&amp;INT($AX$1+1)
)</f>
        <v>0</v>
      </c>
      <c r="AV43" s="1">
        <f t="shared" si="27"/>
        <v>0</v>
      </c>
      <c r="AW43" s="9">
        <f t="shared" si="28"/>
        <v>0</v>
      </c>
      <c r="AX43" s="10">
        <f t="shared" si="29"/>
        <v>0</v>
      </c>
      <c r="AY43" s="1">
        <f>SUMIFS(
  '[1]Hoja 1'!$M:$M,
  '[1]Hoja 1'!$S:$S, $A43,
  '[1]Hoja 1'!$R:$R, "&gt;="&amp;INT($BA$1),
  '[1]Hoja 1'!$R:$R, "&lt;"&amp;INT($BB$1+1)
)</f>
        <v>0</v>
      </c>
      <c r="AZ43" s="1">
        <f t="shared" si="30"/>
        <v>0</v>
      </c>
      <c r="BA43" s="9">
        <f t="shared" si="31"/>
        <v>0</v>
      </c>
      <c r="BB43" s="10">
        <f t="shared" si="32"/>
        <v>0</v>
      </c>
      <c r="BC43" s="1">
        <f>SUMIFS(
  '[1]Hoja 1'!$M:$M,
  '[1]Hoja 1'!$S:$S, $A43,
  '[1]Hoja 1'!$R:$R, "&gt;="&amp;INT($BE$1),
  '[1]Hoja 1'!$R:$R, "&lt;"&amp;INT($BF$1+1)
)</f>
        <v>0</v>
      </c>
      <c r="BD43" s="1">
        <f t="shared" si="33"/>
        <v>0</v>
      </c>
      <c r="BE43" s="9">
        <f t="shared" si="34"/>
        <v>0</v>
      </c>
      <c r="BF43" s="10">
        <f t="shared" si="35"/>
        <v>0</v>
      </c>
      <c r="BG43" s="1">
        <f>SUMIFS(
  '[1]Hoja 1'!$M:$M,
  '[1]Hoja 1'!$S:$S, $A43,
  '[1]Hoja 1'!$R:$R, "&gt;="&amp;INT($BI$1),
  '[1]Hoja 1'!$R:$R, "&lt;"&amp;INT($BJ$1+1)
)</f>
        <v>0</v>
      </c>
      <c r="BH43" s="1">
        <f t="shared" si="36"/>
        <v>0</v>
      </c>
      <c r="BI43" s="9">
        <f t="shared" si="37"/>
        <v>0</v>
      </c>
      <c r="BJ43" s="10">
        <f t="shared" si="38"/>
        <v>0</v>
      </c>
      <c r="BK43" s="1">
        <f>SUMIFS(
  '[1]Hoja 1'!$M:$M,
  '[1]Hoja 1'!$S:$S, $A43,
  '[1]Hoja 1'!$R:$R, "&gt;="&amp;INT($BM$1),
  '[1]Hoja 1'!$R:$R, "&lt;"&amp;INT($BN$1+1)
)</f>
        <v>0</v>
      </c>
      <c r="BL43" s="1">
        <f t="shared" si="39"/>
        <v>0</v>
      </c>
      <c r="BM43" s="9">
        <f t="shared" si="40"/>
        <v>0</v>
      </c>
      <c r="BN43" s="10">
        <f t="shared" si="41"/>
        <v>0</v>
      </c>
      <c r="BO43" s="1">
        <f>SUMIFS(
  '[1]Hoja 1'!$M:$M,
  '[1]Hoja 1'!$S:$S, $A43,
  '[1]Hoja 1'!$R:$R, "&gt;="&amp;INT($BQ$1),
  '[1]Hoja 1'!$R:$R, "&lt;"&amp;INT($BR$1+1)
)</f>
        <v>0</v>
      </c>
      <c r="BP43" s="1">
        <f t="shared" si="42"/>
        <v>0</v>
      </c>
      <c r="BQ43" s="9">
        <f t="shared" si="43"/>
        <v>0</v>
      </c>
      <c r="BR43" s="10">
        <f t="shared" si="44"/>
        <v>0</v>
      </c>
      <c r="BS43" s="1">
        <f>SUMIFS(
  '[1]Hoja 1'!$M:$M,
  '[1]Hoja 1'!$S:$S, $A43,
  '[1]Hoja 1'!$R:$R, "&gt;="&amp;INT($BU$1),
  '[1]Hoja 1'!$R:$R, "&lt;"&amp;INT($BV$1+1)
)</f>
        <v>0</v>
      </c>
      <c r="BT43" s="1">
        <f t="shared" si="45"/>
        <v>0</v>
      </c>
      <c r="BU43" s="9">
        <f t="shared" si="46"/>
        <v>0</v>
      </c>
      <c r="BV43" s="10">
        <f t="shared" si="47"/>
        <v>0</v>
      </c>
      <c r="BW43" s="1">
        <f>SUMIFS(
  '[1]Hoja 1'!$M:$M,
  '[1]Hoja 1'!$S:$S, $A43,
  '[1]Hoja 1'!$R:$R, "&gt;="&amp;INT($BY$1),
  '[1]Hoja 1'!$R:$R, "&lt;"&amp;INT($BZ$1+1)
)</f>
        <v>0</v>
      </c>
      <c r="BX43" s="1">
        <f t="shared" si="48"/>
        <v>0</v>
      </c>
      <c r="BY43" s="9">
        <f t="shared" si="49"/>
        <v>0</v>
      </c>
      <c r="BZ43" s="10">
        <f t="shared" si="50"/>
        <v>0</v>
      </c>
      <c r="CA43" s="1">
        <f>SUMIFS(
  '[1]Hoja 1'!$M:$M,
  '[1]Hoja 1'!$S:$S, $A43,
  '[1]Hoja 1'!$R:$R, "&gt;="&amp;INT($CC$1),
  '[1]Hoja 1'!$R:$R, "&lt;"&amp;INT($CD$1+1)
)</f>
        <v>0</v>
      </c>
      <c r="CB43" s="1">
        <f t="shared" si="51"/>
        <v>0</v>
      </c>
      <c r="CC43" s="9">
        <f t="shared" si="52"/>
        <v>0</v>
      </c>
      <c r="CD43" s="10">
        <f t="shared" si="53"/>
        <v>0</v>
      </c>
      <c r="CE43" s="1">
        <f>SUMIFS(
  '[1]Hoja 1'!$M:$M,
  '[1]Hoja 1'!$S:$S, $A43,
  '[1]Hoja 1'!$R:$R, "&gt;="&amp;INT($CG$1),
  '[1]Hoja 1'!$R:$R, "&lt;"&amp;INT($CH$1+1)
)</f>
        <v>0</v>
      </c>
      <c r="CF43" s="1">
        <f t="shared" si="54"/>
        <v>0</v>
      </c>
      <c r="CG43" s="9">
        <f t="shared" si="55"/>
        <v>0</v>
      </c>
      <c r="CH43" s="10">
        <f t="shared" si="56"/>
        <v>0</v>
      </c>
      <c r="CI43" s="1">
        <f>SUMIFS(
  '[1]Hoja 1'!$M:$M,
  '[1]Hoja 1'!$S:$S, $A43,
  '[1]Hoja 1'!$R:$R, "&gt;="&amp;INT($CK$1),
  '[1]Hoja 1'!$R:$R, "&lt;"&amp;INT($CL$1+1)
)</f>
        <v>0</v>
      </c>
      <c r="CJ43" s="1">
        <f t="shared" si="57"/>
        <v>0</v>
      </c>
      <c r="CK43" s="9">
        <f t="shared" si="58"/>
        <v>0</v>
      </c>
      <c r="CL43" s="10">
        <f t="shared" si="59"/>
        <v>0</v>
      </c>
      <c r="CM43" s="1">
        <f>SUMIFS(
  '[1]Hoja 1'!$M:$M,
  '[1]Hoja 1'!$S:$S, $A43,
  '[1]Hoja 1'!$R:$R, "&gt;="&amp;INT($CO$1),
  '[1]Hoja 1'!$R:$R, "&lt;"&amp;INT($CP$1+1)
)</f>
        <v>0</v>
      </c>
      <c r="CN43" s="1">
        <f t="shared" si="60"/>
        <v>0</v>
      </c>
      <c r="CO43" s="9">
        <f t="shared" si="61"/>
        <v>0</v>
      </c>
      <c r="CP43" s="10">
        <f t="shared" si="62"/>
        <v>0</v>
      </c>
      <c r="CQ43" s="1">
        <f>SUMIFS(
  '[1]Hoja 1'!$M:$M,
  '[1]Hoja 1'!$S:$S, $A43,
  '[1]Hoja 1'!$R:$R, "&gt;="&amp;INT($CS$1),
  '[1]Hoja 1'!$R:$R, "&lt;"&amp;INT($CT$1+1)
)</f>
        <v>0</v>
      </c>
      <c r="CR43" s="1">
        <f t="shared" si="63"/>
        <v>0</v>
      </c>
      <c r="CS43" s="9">
        <f t="shared" si="64"/>
        <v>0</v>
      </c>
      <c r="CT43" s="10">
        <f t="shared" si="65"/>
        <v>0</v>
      </c>
      <c r="CU43" s="1">
        <f>SUMIFS(
  '[1]Hoja 1'!$M:$M,
  '[1]Hoja 1'!$S:$S, $A43,
  '[1]Hoja 1'!$R:$R, "&gt;="&amp;INT($CW$1),
  '[1]Hoja 1'!$R:$R, "&lt;"&amp;INT($CX$1+1)
)</f>
        <v>0</v>
      </c>
      <c r="CV43" s="1">
        <f t="shared" si="66"/>
        <v>0</v>
      </c>
      <c r="CW43" s="9">
        <f t="shared" si="67"/>
        <v>0</v>
      </c>
      <c r="CX43" s="10">
        <f t="shared" si="68"/>
        <v>0</v>
      </c>
      <c r="CY43" s="1">
        <f>SUMIFS(
  '[1]Hoja 1'!$M:$M,
  '[1]Hoja 1'!$S:$S, $A43,
  '[1]Hoja 1'!$R:$R, "&gt;="&amp;INT($DA$1),
  '[1]Hoja 1'!$R:$R, "&lt;"&amp;INT($DB$1+1)
)</f>
        <v>0</v>
      </c>
      <c r="CZ43" s="1">
        <f t="shared" si="69"/>
        <v>0</v>
      </c>
      <c r="DA43" s="9">
        <f t="shared" si="70"/>
        <v>0</v>
      </c>
      <c r="DB43" s="10">
        <f t="shared" si="71"/>
        <v>0</v>
      </c>
      <c r="DC43" s="1">
        <f>SUMIFS(
  '[1]Hoja 1'!$M:$M,
  '[1]Hoja 1'!$S:$S, $A43,
  '[1]Hoja 1'!$R:$R, "&gt;="&amp;INT($DE$1),
  '[1]Hoja 1'!$R:$R, "&lt;"&amp;INT($DF$1+1)
)</f>
        <v>0</v>
      </c>
      <c r="DD43" s="1">
        <f t="shared" si="72"/>
        <v>0</v>
      </c>
      <c r="DE43" s="9">
        <f t="shared" si="73"/>
        <v>0</v>
      </c>
      <c r="DF43" s="10">
        <f t="shared" si="74"/>
        <v>0</v>
      </c>
      <c r="DG43" s="1">
        <f>SUMIFS(
  '[1]Hoja 1'!$M:$M,
  '[1]Hoja 1'!$S:$S, $A43,
  '[1]Hoja 1'!$R:$R, "&gt;="&amp;INT($DI$1),
  '[1]Hoja 1'!$R:$R, "&lt;"&amp;INT($DJ$1+1)
)</f>
        <v>0</v>
      </c>
      <c r="DH43" s="1">
        <f t="shared" si="75"/>
        <v>0</v>
      </c>
      <c r="DI43" s="9">
        <f t="shared" si="76"/>
        <v>0</v>
      </c>
      <c r="DJ43" s="10">
        <f t="shared" si="77"/>
        <v>0</v>
      </c>
      <c r="DK43" s="1">
        <f>SUMIFS(
  '[1]Hoja 1'!$M:$M,
  '[1]Hoja 1'!$S:$S, $A43,
  '[1]Hoja 1'!$R:$R, "&gt;="&amp;INT($DM$1),
  '[1]Hoja 1'!$R:$R, "&lt;"&amp;INT($DN$1+1)
)</f>
        <v>0</v>
      </c>
      <c r="DL43" s="1">
        <f t="shared" si="78"/>
        <v>0</v>
      </c>
      <c r="DM43" s="9">
        <f t="shared" si="79"/>
        <v>0</v>
      </c>
      <c r="DN43" s="10">
        <f t="shared" si="80"/>
        <v>0</v>
      </c>
      <c r="DO43" s="1">
        <f>SUMIFS(
  '[1]Hoja 1'!$M:$M,
  '[1]Hoja 1'!$S:$S, $A43,
  '[1]Hoja 1'!$R:$R, "&gt;="&amp;INT($DQ$1),
  '[1]Hoja 1'!$R:$R, "&lt;"&amp;INT($DR$1+1)
)</f>
        <v>0</v>
      </c>
      <c r="DP43" s="1">
        <f t="shared" si="81"/>
        <v>0</v>
      </c>
      <c r="DQ43" s="9">
        <f t="shared" si="82"/>
        <v>0</v>
      </c>
      <c r="DR43" s="10">
        <f t="shared" si="83"/>
        <v>0</v>
      </c>
    </row>
    <row r="44" spans="1:122" x14ac:dyDescent="0.25">
      <c r="A44" s="5">
        <v>207009</v>
      </c>
      <c r="B44" s="6" t="s">
        <v>48</v>
      </c>
      <c r="C44" s="1">
        <f>SUMIFS(
  '[1]Hoja 1'!$M:$M,
  '[1]Hoja 1'!$S:$S, $A44,
  '[1]Hoja 1'!$R:$R, "&gt;="&amp;INT($E$1),
  '[1]Hoja 1'!$R:$R, "&lt;"&amp;INT($F$1+1)
)</f>
        <v>0</v>
      </c>
      <c r="D44" s="1" t="str">
        <f>""</f>
        <v/>
      </c>
      <c r="F44" s="2"/>
      <c r="G44" s="1">
        <f>SUMIFS(
  '[1]Hoja 1'!$M:$M,
  '[1]Hoja 1'!$S:$S, $A44,
  '[1]Hoja 1'!$R:$R, "&gt;="&amp;INT($I$1),
  '[1]Hoja 1'!$R:$R, "&lt;"&amp;INT($J$1+1)
)</f>
        <v>0</v>
      </c>
      <c r="H44" s="1">
        <f t="shared" si="84"/>
        <v>0</v>
      </c>
      <c r="I44" s="1"/>
      <c r="J44" s="2"/>
      <c r="K44" s="1">
        <f>SUMIFS(
  '[1]Hoja 1'!$M:$M,
  '[1]Hoja 1'!$S:$S, $A44,
  '[1]Hoja 1'!$R:$R, "&gt;="&amp;INT($M$1),
  '[1]Hoja 1'!$R:$R, "&lt;"&amp;INT($N$1+1)
)</f>
        <v>0</v>
      </c>
      <c r="L44" s="1">
        <f t="shared" si="0"/>
        <v>0</v>
      </c>
      <c r="M44" s="9">
        <f t="shared" si="1"/>
        <v>0</v>
      </c>
      <c r="N44" s="10">
        <f t="shared" si="2"/>
        <v>0</v>
      </c>
      <c r="O44" s="1">
        <f>SUMIFS(
  '[1]Hoja 1'!$M:$M,
  '[1]Hoja 1'!$S:$S, $A44,
  '[1]Hoja 1'!$R:$R, "&gt;="&amp;INT($Q$1),
  '[1]Hoja 1'!$R:$R, "&lt;"&amp;INT($R$1+1)
)</f>
        <v>0</v>
      </c>
      <c r="P44" s="1">
        <f t="shared" si="3"/>
        <v>0</v>
      </c>
      <c r="Q44" s="9">
        <f t="shared" si="4"/>
        <v>0</v>
      </c>
      <c r="R44" s="10">
        <f t="shared" si="5"/>
        <v>0</v>
      </c>
      <c r="S44" s="1">
        <f>SUMIFS(
  '[1]Hoja 1'!$M:$M,
  '[1]Hoja 1'!$S:$S, $A44,
  '[1]Hoja 1'!$R:$R, "&gt;="&amp;INT($U$1),
  '[1]Hoja 1'!$R:$R, "&lt;"&amp;INT($V$1+1)
)</f>
        <v>0</v>
      </c>
      <c r="T44" s="1">
        <f t="shared" si="6"/>
        <v>0</v>
      </c>
      <c r="U44" s="9">
        <f t="shared" si="7"/>
        <v>0</v>
      </c>
      <c r="V44" s="10">
        <f t="shared" si="8"/>
        <v>0</v>
      </c>
      <c r="W44" s="1">
        <f>SUMIFS(
  '[1]Hoja 1'!$M:$M,
  '[1]Hoja 1'!$S:$S, $A44,
  '[1]Hoja 1'!$R:$R, "&gt;="&amp;INT($Y$1),
  '[1]Hoja 1'!$R:$R, "&lt;"&amp;INT($Z$1+1)
)</f>
        <v>0</v>
      </c>
      <c r="X44" s="1">
        <f t="shared" si="9"/>
        <v>0</v>
      </c>
      <c r="Y44" s="9">
        <f t="shared" si="10"/>
        <v>0</v>
      </c>
      <c r="Z44" s="10">
        <f t="shared" si="11"/>
        <v>0</v>
      </c>
      <c r="AA44" s="1">
        <f>SUMIFS(
  '[1]Hoja 1'!$M:$M,
  '[1]Hoja 1'!$S:$S, $A44,
  '[1]Hoja 1'!$R:$R, "&gt;="&amp;INT($AC$1),
  '[1]Hoja 1'!$R:$R, "&lt;"&amp;INT($AD$1+1)
)</f>
        <v>0</v>
      </c>
      <c r="AB44" s="1">
        <f t="shared" si="12"/>
        <v>0</v>
      </c>
      <c r="AC44" s="9">
        <f t="shared" si="13"/>
        <v>0</v>
      </c>
      <c r="AD44" s="10">
        <f t="shared" si="14"/>
        <v>0</v>
      </c>
      <c r="AE44" s="1">
        <f>SUMIFS(
  '[1]Hoja 1'!$M:$M,
  '[1]Hoja 1'!$S:$S, $A44,
  '[1]Hoja 1'!$R:$R, "&gt;="&amp;INT($AG$1),
  '[1]Hoja 1'!$R:$R, "&lt;"&amp;INT($AH$1+1)
)</f>
        <v>0</v>
      </c>
      <c r="AF44" s="1">
        <f t="shared" si="15"/>
        <v>0</v>
      </c>
      <c r="AG44" s="9">
        <f t="shared" si="16"/>
        <v>0</v>
      </c>
      <c r="AH44" s="10">
        <f t="shared" si="17"/>
        <v>0</v>
      </c>
      <c r="AI44" s="1">
        <f>SUMIFS(
  '[1]Hoja 1'!$M:$M,
  '[1]Hoja 1'!$S:$S, $A44,
  '[1]Hoja 1'!$R:$R, "&gt;="&amp;INT($AK$1),
  '[1]Hoja 1'!$R:$R, "&lt;"&amp;INT($AL$1+1)
)</f>
        <v>0</v>
      </c>
      <c r="AJ44" s="1">
        <f t="shared" si="18"/>
        <v>0</v>
      </c>
      <c r="AK44" s="9">
        <f t="shared" si="19"/>
        <v>0</v>
      </c>
      <c r="AL44" s="10">
        <f t="shared" si="20"/>
        <v>0</v>
      </c>
      <c r="AM44" s="1">
        <f>SUMIFS(
  '[1]Hoja 1'!$M:$M,
  '[1]Hoja 1'!$S:$S, $A44,
  '[1]Hoja 1'!$R:$R, "&gt;="&amp;INT($AO$1),
  '[1]Hoja 1'!$R:$R, "&lt;"&amp;INT($AP$1+1)
)</f>
        <v>0</v>
      </c>
      <c r="AN44" s="1">
        <f t="shared" si="21"/>
        <v>0</v>
      </c>
      <c r="AO44" s="9">
        <f t="shared" si="22"/>
        <v>0</v>
      </c>
      <c r="AP44" s="10">
        <f t="shared" si="23"/>
        <v>0</v>
      </c>
      <c r="AQ44" s="1">
        <f>SUMIFS(
  '[1]Hoja 1'!$M:$M,
  '[1]Hoja 1'!$S:$S, $A44,
  '[1]Hoja 1'!$R:$R, "&gt;="&amp;INT($AS$1),
  '[1]Hoja 1'!$R:$R, "&lt;"&amp;INT($AT$1+1)
)</f>
        <v>0</v>
      </c>
      <c r="AR44" s="1">
        <f t="shared" si="24"/>
        <v>0</v>
      </c>
      <c r="AS44" s="9">
        <f t="shared" si="25"/>
        <v>0</v>
      </c>
      <c r="AT44" s="10">
        <f t="shared" si="26"/>
        <v>0</v>
      </c>
      <c r="AU44" s="1">
        <f>SUMIFS(
  '[1]Hoja 1'!$M:$M,
  '[1]Hoja 1'!$S:$S, $A44,
  '[1]Hoja 1'!$R:$R, "&gt;="&amp;INT($AW$1),
  '[1]Hoja 1'!$R:$R, "&lt;"&amp;INT($AX$1+1)
)</f>
        <v>0</v>
      </c>
      <c r="AV44" s="1">
        <f t="shared" si="27"/>
        <v>0</v>
      </c>
      <c r="AW44" s="9">
        <f t="shared" si="28"/>
        <v>0</v>
      </c>
      <c r="AX44" s="10">
        <f t="shared" si="29"/>
        <v>0</v>
      </c>
      <c r="AY44" s="1">
        <f>SUMIFS(
  '[1]Hoja 1'!$M:$M,
  '[1]Hoja 1'!$S:$S, $A44,
  '[1]Hoja 1'!$R:$R, "&gt;="&amp;INT($BA$1),
  '[1]Hoja 1'!$R:$R, "&lt;"&amp;INT($BB$1+1)
)</f>
        <v>0</v>
      </c>
      <c r="AZ44" s="1">
        <f t="shared" si="30"/>
        <v>0</v>
      </c>
      <c r="BA44" s="9">
        <f t="shared" si="31"/>
        <v>0</v>
      </c>
      <c r="BB44" s="10">
        <f t="shared" si="32"/>
        <v>0</v>
      </c>
      <c r="BC44" s="1">
        <f>SUMIFS(
  '[1]Hoja 1'!$M:$M,
  '[1]Hoja 1'!$S:$S, $A44,
  '[1]Hoja 1'!$R:$R, "&gt;="&amp;INT($BE$1),
  '[1]Hoja 1'!$R:$R, "&lt;"&amp;INT($BF$1+1)
)</f>
        <v>0</v>
      </c>
      <c r="BD44" s="1">
        <f t="shared" si="33"/>
        <v>0</v>
      </c>
      <c r="BE44" s="9">
        <f t="shared" si="34"/>
        <v>0</v>
      </c>
      <c r="BF44" s="10">
        <f t="shared" si="35"/>
        <v>0</v>
      </c>
      <c r="BG44" s="1">
        <f>SUMIFS(
  '[1]Hoja 1'!$M:$M,
  '[1]Hoja 1'!$S:$S, $A44,
  '[1]Hoja 1'!$R:$R, "&gt;="&amp;INT($BI$1),
  '[1]Hoja 1'!$R:$R, "&lt;"&amp;INT($BJ$1+1)
)</f>
        <v>0</v>
      </c>
      <c r="BH44" s="1">
        <f t="shared" si="36"/>
        <v>0</v>
      </c>
      <c r="BI44" s="9">
        <f t="shared" si="37"/>
        <v>0</v>
      </c>
      <c r="BJ44" s="10">
        <f t="shared" si="38"/>
        <v>0</v>
      </c>
      <c r="BK44" s="1">
        <f>SUMIFS(
  '[1]Hoja 1'!$M:$M,
  '[1]Hoja 1'!$S:$S, $A44,
  '[1]Hoja 1'!$R:$R, "&gt;="&amp;INT($BM$1),
  '[1]Hoja 1'!$R:$R, "&lt;"&amp;INT($BN$1+1)
)</f>
        <v>0</v>
      </c>
      <c r="BL44" s="1">
        <f t="shared" si="39"/>
        <v>0</v>
      </c>
      <c r="BM44" s="9">
        <f t="shared" si="40"/>
        <v>0</v>
      </c>
      <c r="BN44" s="10">
        <f t="shared" si="41"/>
        <v>0</v>
      </c>
      <c r="BO44" s="1">
        <f>SUMIFS(
  '[1]Hoja 1'!$M:$M,
  '[1]Hoja 1'!$S:$S, $A44,
  '[1]Hoja 1'!$R:$R, "&gt;="&amp;INT($BQ$1),
  '[1]Hoja 1'!$R:$R, "&lt;"&amp;INT($BR$1+1)
)</f>
        <v>0</v>
      </c>
      <c r="BP44" s="1">
        <f t="shared" si="42"/>
        <v>0</v>
      </c>
      <c r="BQ44" s="9">
        <f t="shared" si="43"/>
        <v>0</v>
      </c>
      <c r="BR44" s="10">
        <f t="shared" si="44"/>
        <v>0</v>
      </c>
      <c r="BS44" s="1">
        <f>SUMIFS(
  '[1]Hoja 1'!$M:$M,
  '[1]Hoja 1'!$S:$S, $A44,
  '[1]Hoja 1'!$R:$R, "&gt;="&amp;INT($BU$1),
  '[1]Hoja 1'!$R:$R, "&lt;"&amp;INT($BV$1+1)
)</f>
        <v>0</v>
      </c>
      <c r="BT44" s="1">
        <f t="shared" si="45"/>
        <v>0</v>
      </c>
      <c r="BU44" s="9">
        <f t="shared" si="46"/>
        <v>0</v>
      </c>
      <c r="BV44" s="10">
        <f t="shared" si="47"/>
        <v>0</v>
      </c>
      <c r="BW44" s="1">
        <f>SUMIFS(
  '[1]Hoja 1'!$M:$M,
  '[1]Hoja 1'!$S:$S, $A44,
  '[1]Hoja 1'!$R:$R, "&gt;="&amp;INT($BY$1),
  '[1]Hoja 1'!$R:$R, "&lt;"&amp;INT($BZ$1+1)
)</f>
        <v>0</v>
      </c>
      <c r="BX44" s="1">
        <f t="shared" si="48"/>
        <v>0</v>
      </c>
      <c r="BY44" s="9">
        <f t="shared" si="49"/>
        <v>0</v>
      </c>
      <c r="BZ44" s="10">
        <f t="shared" si="50"/>
        <v>0</v>
      </c>
      <c r="CA44" s="1">
        <f>SUMIFS(
  '[1]Hoja 1'!$M:$M,
  '[1]Hoja 1'!$S:$S, $A44,
  '[1]Hoja 1'!$R:$R, "&gt;="&amp;INT($CC$1),
  '[1]Hoja 1'!$R:$R, "&lt;"&amp;INT($CD$1+1)
)</f>
        <v>0</v>
      </c>
      <c r="CB44" s="1">
        <f t="shared" si="51"/>
        <v>0</v>
      </c>
      <c r="CC44" s="9">
        <f t="shared" si="52"/>
        <v>0</v>
      </c>
      <c r="CD44" s="10">
        <f t="shared" si="53"/>
        <v>0</v>
      </c>
      <c r="CE44" s="1">
        <f>SUMIFS(
  '[1]Hoja 1'!$M:$M,
  '[1]Hoja 1'!$S:$S, $A44,
  '[1]Hoja 1'!$R:$R, "&gt;="&amp;INT($CG$1),
  '[1]Hoja 1'!$R:$R, "&lt;"&amp;INT($CH$1+1)
)</f>
        <v>0</v>
      </c>
      <c r="CF44" s="1">
        <f t="shared" si="54"/>
        <v>0</v>
      </c>
      <c r="CG44" s="9">
        <f t="shared" si="55"/>
        <v>0</v>
      </c>
      <c r="CH44" s="10">
        <f t="shared" si="56"/>
        <v>0</v>
      </c>
      <c r="CI44" s="1">
        <f>SUMIFS(
  '[1]Hoja 1'!$M:$M,
  '[1]Hoja 1'!$S:$S, $A44,
  '[1]Hoja 1'!$R:$R, "&gt;="&amp;INT($CK$1),
  '[1]Hoja 1'!$R:$R, "&lt;"&amp;INT($CL$1+1)
)</f>
        <v>0</v>
      </c>
      <c r="CJ44" s="1">
        <f t="shared" si="57"/>
        <v>0</v>
      </c>
      <c r="CK44" s="9">
        <f t="shared" si="58"/>
        <v>0</v>
      </c>
      <c r="CL44" s="10">
        <f t="shared" si="59"/>
        <v>0</v>
      </c>
      <c r="CM44" s="1">
        <f>SUMIFS(
  '[1]Hoja 1'!$M:$M,
  '[1]Hoja 1'!$S:$S, $A44,
  '[1]Hoja 1'!$R:$R, "&gt;="&amp;INT($CO$1),
  '[1]Hoja 1'!$R:$R, "&lt;"&amp;INT($CP$1+1)
)</f>
        <v>0</v>
      </c>
      <c r="CN44" s="1">
        <f t="shared" si="60"/>
        <v>0</v>
      </c>
      <c r="CO44" s="9">
        <f t="shared" si="61"/>
        <v>0</v>
      </c>
      <c r="CP44" s="10">
        <f t="shared" si="62"/>
        <v>0</v>
      </c>
      <c r="CQ44" s="1">
        <f>SUMIFS(
  '[1]Hoja 1'!$M:$M,
  '[1]Hoja 1'!$S:$S, $A44,
  '[1]Hoja 1'!$R:$R, "&gt;="&amp;INT($CS$1),
  '[1]Hoja 1'!$R:$R, "&lt;"&amp;INT($CT$1+1)
)</f>
        <v>0</v>
      </c>
      <c r="CR44" s="1">
        <f t="shared" si="63"/>
        <v>0</v>
      </c>
      <c r="CS44" s="9">
        <f t="shared" si="64"/>
        <v>0</v>
      </c>
      <c r="CT44" s="10">
        <f t="shared" si="65"/>
        <v>0</v>
      </c>
      <c r="CU44" s="1">
        <f>SUMIFS(
  '[1]Hoja 1'!$M:$M,
  '[1]Hoja 1'!$S:$S, $A44,
  '[1]Hoja 1'!$R:$R, "&gt;="&amp;INT($CW$1),
  '[1]Hoja 1'!$R:$R, "&lt;"&amp;INT($CX$1+1)
)</f>
        <v>0</v>
      </c>
      <c r="CV44" s="1">
        <f t="shared" si="66"/>
        <v>0</v>
      </c>
      <c r="CW44" s="9">
        <f t="shared" si="67"/>
        <v>0</v>
      </c>
      <c r="CX44" s="10">
        <f t="shared" si="68"/>
        <v>0</v>
      </c>
      <c r="CY44" s="1">
        <f>SUMIFS(
  '[1]Hoja 1'!$M:$M,
  '[1]Hoja 1'!$S:$S, $A44,
  '[1]Hoja 1'!$R:$R, "&gt;="&amp;INT($DA$1),
  '[1]Hoja 1'!$R:$R, "&lt;"&amp;INT($DB$1+1)
)</f>
        <v>0</v>
      </c>
      <c r="CZ44" s="1">
        <f t="shared" si="69"/>
        <v>0</v>
      </c>
      <c r="DA44" s="9">
        <f t="shared" si="70"/>
        <v>0</v>
      </c>
      <c r="DB44" s="10">
        <f t="shared" si="71"/>
        <v>0</v>
      </c>
      <c r="DC44" s="1">
        <f>SUMIFS(
  '[1]Hoja 1'!$M:$M,
  '[1]Hoja 1'!$S:$S, $A44,
  '[1]Hoja 1'!$R:$R, "&gt;="&amp;INT($DE$1),
  '[1]Hoja 1'!$R:$R, "&lt;"&amp;INT($DF$1+1)
)</f>
        <v>0</v>
      </c>
      <c r="DD44" s="1">
        <f t="shared" si="72"/>
        <v>0</v>
      </c>
      <c r="DE44" s="9">
        <f t="shared" si="73"/>
        <v>0</v>
      </c>
      <c r="DF44" s="10">
        <f t="shared" si="74"/>
        <v>0</v>
      </c>
      <c r="DG44" s="1">
        <f>SUMIFS(
  '[1]Hoja 1'!$M:$M,
  '[1]Hoja 1'!$S:$S, $A44,
  '[1]Hoja 1'!$R:$R, "&gt;="&amp;INT($DI$1),
  '[1]Hoja 1'!$R:$R, "&lt;"&amp;INT($DJ$1+1)
)</f>
        <v>0</v>
      </c>
      <c r="DH44" s="1">
        <f t="shared" si="75"/>
        <v>0</v>
      </c>
      <c r="DI44" s="9">
        <f t="shared" si="76"/>
        <v>0</v>
      </c>
      <c r="DJ44" s="10">
        <f t="shared" si="77"/>
        <v>0</v>
      </c>
      <c r="DK44" s="1">
        <f>SUMIFS(
  '[1]Hoja 1'!$M:$M,
  '[1]Hoja 1'!$S:$S, $A44,
  '[1]Hoja 1'!$R:$R, "&gt;="&amp;INT($DM$1),
  '[1]Hoja 1'!$R:$R, "&lt;"&amp;INT($DN$1+1)
)</f>
        <v>0</v>
      </c>
      <c r="DL44" s="1">
        <f t="shared" si="78"/>
        <v>0</v>
      </c>
      <c r="DM44" s="9">
        <f t="shared" si="79"/>
        <v>0</v>
      </c>
      <c r="DN44" s="10">
        <f t="shared" si="80"/>
        <v>0</v>
      </c>
      <c r="DO44" s="1">
        <f>SUMIFS(
  '[1]Hoja 1'!$M:$M,
  '[1]Hoja 1'!$S:$S, $A44,
  '[1]Hoja 1'!$R:$R, "&gt;="&amp;INT($DQ$1),
  '[1]Hoja 1'!$R:$R, "&lt;"&amp;INT($DR$1+1)
)</f>
        <v>0</v>
      </c>
      <c r="DP44" s="1">
        <f t="shared" si="81"/>
        <v>0</v>
      </c>
      <c r="DQ44" s="9">
        <f t="shared" si="82"/>
        <v>0</v>
      </c>
      <c r="DR44" s="10">
        <f t="shared" si="83"/>
        <v>0</v>
      </c>
    </row>
    <row r="45" spans="1:122" x14ac:dyDescent="0.25">
      <c r="A45" s="5">
        <v>207010</v>
      </c>
      <c r="B45" s="6" t="s">
        <v>49</v>
      </c>
      <c r="C45" s="1">
        <f>SUMIFS(
  '[1]Hoja 1'!$M:$M,
  '[1]Hoja 1'!$S:$S, $A45,
  '[1]Hoja 1'!$R:$R, "&gt;="&amp;INT($E$1),
  '[1]Hoja 1'!$R:$R, "&lt;"&amp;INT($F$1+1)
)</f>
        <v>0</v>
      </c>
      <c r="D45" s="1" t="str">
        <f>""</f>
        <v/>
      </c>
      <c r="F45" s="2"/>
      <c r="G45" s="1">
        <f>SUMIFS(
  '[1]Hoja 1'!$M:$M,
  '[1]Hoja 1'!$S:$S, $A45,
  '[1]Hoja 1'!$R:$R, "&gt;="&amp;INT($I$1),
  '[1]Hoja 1'!$R:$R, "&lt;"&amp;INT($J$1+1)
)</f>
        <v>0</v>
      </c>
      <c r="H45" s="1">
        <f t="shared" si="84"/>
        <v>0</v>
      </c>
      <c r="I45" s="1"/>
      <c r="J45" s="2"/>
      <c r="K45" s="1">
        <f>SUMIFS(
  '[1]Hoja 1'!$M:$M,
  '[1]Hoja 1'!$S:$S, $A45,
  '[1]Hoja 1'!$R:$R, "&gt;="&amp;INT($M$1),
  '[1]Hoja 1'!$R:$R, "&lt;"&amp;INT($N$1+1)
)</f>
        <v>0</v>
      </c>
      <c r="L45" s="1">
        <f t="shared" si="0"/>
        <v>0</v>
      </c>
      <c r="M45" s="9">
        <f t="shared" si="1"/>
        <v>0</v>
      </c>
      <c r="N45" s="10">
        <f t="shared" si="2"/>
        <v>0</v>
      </c>
      <c r="O45" s="1">
        <f>SUMIFS(
  '[1]Hoja 1'!$M:$M,
  '[1]Hoja 1'!$S:$S, $A45,
  '[1]Hoja 1'!$R:$R, "&gt;="&amp;INT($Q$1),
  '[1]Hoja 1'!$R:$R, "&lt;"&amp;INT($R$1+1)
)</f>
        <v>0</v>
      </c>
      <c r="P45" s="1">
        <f t="shared" si="3"/>
        <v>0</v>
      </c>
      <c r="Q45" s="9">
        <f t="shared" si="4"/>
        <v>0</v>
      </c>
      <c r="R45" s="10">
        <f t="shared" si="5"/>
        <v>0</v>
      </c>
      <c r="S45" s="1">
        <f>SUMIFS(
  '[1]Hoja 1'!$M:$M,
  '[1]Hoja 1'!$S:$S, $A45,
  '[1]Hoja 1'!$R:$R, "&gt;="&amp;INT($U$1),
  '[1]Hoja 1'!$R:$R, "&lt;"&amp;INT($V$1+1)
)</f>
        <v>0</v>
      </c>
      <c r="T45" s="1">
        <f t="shared" si="6"/>
        <v>0</v>
      </c>
      <c r="U45" s="9">
        <f t="shared" si="7"/>
        <v>0</v>
      </c>
      <c r="V45" s="10">
        <f t="shared" si="8"/>
        <v>0</v>
      </c>
      <c r="W45" s="1">
        <f>SUMIFS(
  '[1]Hoja 1'!$M:$M,
  '[1]Hoja 1'!$S:$S, $A45,
  '[1]Hoja 1'!$R:$R, "&gt;="&amp;INT($Y$1),
  '[1]Hoja 1'!$R:$R, "&lt;"&amp;INT($Z$1+1)
)</f>
        <v>0</v>
      </c>
      <c r="X45" s="1">
        <f t="shared" si="9"/>
        <v>0</v>
      </c>
      <c r="Y45" s="9">
        <f t="shared" si="10"/>
        <v>0</v>
      </c>
      <c r="Z45" s="10">
        <f t="shared" si="11"/>
        <v>0</v>
      </c>
      <c r="AA45" s="1">
        <f>SUMIFS(
  '[1]Hoja 1'!$M:$M,
  '[1]Hoja 1'!$S:$S, $A45,
  '[1]Hoja 1'!$R:$R, "&gt;="&amp;INT($AC$1),
  '[1]Hoja 1'!$R:$R, "&lt;"&amp;INT($AD$1+1)
)</f>
        <v>0</v>
      </c>
      <c r="AB45" s="1">
        <f t="shared" si="12"/>
        <v>0</v>
      </c>
      <c r="AC45" s="9">
        <f t="shared" si="13"/>
        <v>0</v>
      </c>
      <c r="AD45" s="10">
        <f t="shared" si="14"/>
        <v>0</v>
      </c>
      <c r="AE45" s="1">
        <f>SUMIFS(
  '[1]Hoja 1'!$M:$M,
  '[1]Hoja 1'!$S:$S, $A45,
  '[1]Hoja 1'!$R:$R, "&gt;="&amp;INT($AG$1),
  '[1]Hoja 1'!$R:$R, "&lt;"&amp;INT($AH$1+1)
)</f>
        <v>0</v>
      </c>
      <c r="AF45" s="1">
        <f t="shared" si="15"/>
        <v>0</v>
      </c>
      <c r="AG45" s="9">
        <f t="shared" si="16"/>
        <v>0</v>
      </c>
      <c r="AH45" s="10">
        <f t="shared" si="17"/>
        <v>0</v>
      </c>
      <c r="AI45" s="1">
        <f>SUMIFS(
  '[1]Hoja 1'!$M:$M,
  '[1]Hoja 1'!$S:$S, $A45,
  '[1]Hoja 1'!$R:$R, "&gt;="&amp;INT($AK$1),
  '[1]Hoja 1'!$R:$R, "&lt;"&amp;INT($AL$1+1)
)</f>
        <v>0</v>
      </c>
      <c r="AJ45" s="1">
        <f t="shared" si="18"/>
        <v>0</v>
      </c>
      <c r="AK45" s="9">
        <f t="shared" si="19"/>
        <v>0</v>
      </c>
      <c r="AL45" s="10">
        <f t="shared" si="20"/>
        <v>0</v>
      </c>
      <c r="AM45" s="1">
        <f>SUMIFS(
  '[1]Hoja 1'!$M:$M,
  '[1]Hoja 1'!$S:$S, $A45,
  '[1]Hoja 1'!$R:$R, "&gt;="&amp;INT($AO$1),
  '[1]Hoja 1'!$R:$R, "&lt;"&amp;INT($AP$1+1)
)</f>
        <v>0</v>
      </c>
      <c r="AN45" s="1">
        <f t="shared" si="21"/>
        <v>0</v>
      </c>
      <c r="AO45" s="9">
        <f t="shared" si="22"/>
        <v>0</v>
      </c>
      <c r="AP45" s="10">
        <f t="shared" si="23"/>
        <v>0</v>
      </c>
      <c r="AQ45" s="1">
        <f>SUMIFS(
  '[1]Hoja 1'!$M:$M,
  '[1]Hoja 1'!$S:$S, $A45,
  '[1]Hoja 1'!$R:$R, "&gt;="&amp;INT($AS$1),
  '[1]Hoja 1'!$R:$R, "&lt;"&amp;INT($AT$1+1)
)</f>
        <v>0</v>
      </c>
      <c r="AR45" s="1">
        <f t="shared" si="24"/>
        <v>0</v>
      </c>
      <c r="AS45" s="9">
        <f t="shared" si="25"/>
        <v>0</v>
      </c>
      <c r="AT45" s="10">
        <f t="shared" si="26"/>
        <v>0</v>
      </c>
      <c r="AU45" s="1">
        <f>SUMIFS(
  '[1]Hoja 1'!$M:$M,
  '[1]Hoja 1'!$S:$S, $A45,
  '[1]Hoja 1'!$R:$R, "&gt;="&amp;INT($AW$1),
  '[1]Hoja 1'!$R:$R, "&lt;"&amp;INT($AX$1+1)
)</f>
        <v>0</v>
      </c>
      <c r="AV45" s="1">
        <f t="shared" si="27"/>
        <v>0</v>
      </c>
      <c r="AW45" s="9">
        <f t="shared" si="28"/>
        <v>0</v>
      </c>
      <c r="AX45" s="10">
        <f t="shared" si="29"/>
        <v>0</v>
      </c>
      <c r="AY45" s="1">
        <f>SUMIFS(
  '[1]Hoja 1'!$M:$M,
  '[1]Hoja 1'!$S:$S, $A45,
  '[1]Hoja 1'!$R:$R, "&gt;="&amp;INT($BA$1),
  '[1]Hoja 1'!$R:$R, "&lt;"&amp;INT($BB$1+1)
)</f>
        <v>0</v>
      </c>
      <c r="AZ45" s="1">
        <f t="shared" si="30"/>
        <v>0</v>
      </c>
      <c r="BA45" s="9">
        <f t="shared" si="31"/>
        <v>0</v>
      </c>
      <c r="BB45" s="10">
        <f t="shared" si="32"/>
        <v>0</v>
      </c>
      <c r="BC45" s="1">
        <f>SUMIFS(
  '[1]Hoja 1'!$M:$M,
  '[1]Hoja 1'!$S:$S, $A45,
  '[1]Hoja 1'!$R:$R, "&gt;="&amp;INT($BE$1),
  '[1]Hoja 1'!$R:$R, "&lt;"&amp;INT($BF$1+1)
)</f>
        <v>0</v>
      </c>
      <c r="BD45" s="1">
        <f t="shared" si="33"/>
        <v>0</v>
      </c>
      <c r="BE45" s="9">
        <f t="shared" si="34"/>
        <v>0</v>
      </c>
      <c r="BF45" s="10">
        <f t="shared" si="35"/>
        <v>0</v>
      </c>
      <c r="BG45" s="1">
        <f>SUMIFS(
  '[1]Hoja 1'!$M:$M,
  '[1]Hoja 1'!$S:$S, $A45,
  '[1]Hoja 1'!$R:$R, "&gt;="&amp;INT($BI$1),
  '[1]Hoja 1'!$R:$R, "&lt;"&amp;INT($BJ$1+1)
)</f>
        <v>0</v>
      </c>
      <c r="BH45" s="1">
        <f t="shared" si="36"/>
        <v>0</v>
      </c>
      <c r="BI45" s="9">
        <f t="shared" si="37"/>
        <v>0</v>
      </c>
      <c r="BJ45" s="10">
        <f t="shared" si="38"/>
        <v>0</v>
      </c>
      <c r="BK45" s="1">
        <f>SUMIFS(
  '[1]Hoja 1'!$M:$M,
  '[1]Hoja 1'!$S:$S, $A45,
  '[1]Hoja 1'!$R:$R, "&gt;="&amp;INT($BM$1),
  '[1]Hoja 1'!$R:$R, "&lt;"&amp;INT($BN$1+1)
)</f>
        <v>0</v>
      </c>
      <c r="BL45" s="1">
        <f t="shared" si="39"/>
        <v>0</v>
      </c>
      <c r="BM45" s="9">
        <f t="shared" si="40"/>
        <v>0</v>
      </c>
      <c r="BN45" s="10">
        <f t="shared" si="41"/>
        <v>0</v>
      </c>
      <c r="BO45" s="1">
        <f>SUMIFS(
  '[1]Hoja 1'!$M:$M,
  '[1]Hoja 1'!$S:$S, $A45,
  '[1]Hoja 1'!$R:$R, "&gt;="&amp;INT($BQ$1),
  '[1]Hoja 1'!$R:$R, "&lt;"&amp;INT($BR$1+1)
)</f>
        <v>0</v>
      </c>
      <c r="BP45" s="1">
        <f t="shared" si="42"/>
        <v>0</v>
      </c>
      <c r="BQ45" s="9">
        <f t="shared" si="43"/>
        <v>0</v>
      </c>
      <c r="BR45" s="10">
        <f t="shared" si="44"/>
        <v>0</v>
      </c>
      <c r="BS45" s="1">
        <f>SUMIFS(
  '[1]Hoja 1'!$M:$M,
  '[1]Hoja 1'!$S:$S, $A45,
  '[1]Hoja 1'!$R:$R, "&gt;="&amp;INT($BU$1),
  '[1]Hoja 1'!$R:$R, "&lt;"&amp;INT($BV$1+1)
)</f>
        <v>0</v>
      </c>
      <c r="BT45" s="1">
        <f t="shared" si="45"/>
        <v>0</v>
      </c>
      <c r="BU45" s="9">
        <f t="shared" si="46"/>
        <v>0</v>
      </c>
      <c r="BV45" s="10">
        <f t="shared" si="47"/>
        <v>0</v>
      </c>
      <c r="BW45" s="1">
        <f>SUMIFS(
  '[1]Hoja 1'!$M:$M,
  '[1]Hoja 1'!$S:$S, $A45,
  '[1]Hoja 1'!$R:$R, "&gt;="&amp;INT($BY$1),
  '[1]Hoja 1'!$R:$R, "&lt;"&amp;INT($BZ$1+1)
)</f>
        <v>0</v>
      </c>
      <c r="BX45" s="1">
        <f t="shared" si="48"/>
        <v>0</v>
      </c>
      <c r="BY45" s="9">
        <f t="shared" si="49"/>
        <v>0</v>
      </c>
      <c r="BZ45" s="10">
        <f t="shared" si="50"/>
        <v>0</v>
      </c>
      <c r="CA45" s="1">
        <f>SUMIFS(
  '[1]Hoja 1'!$M:$M,
  '[1]Hoja 1'!$S:$S, $A45,
  '[1]Hoja 1'!$R:$R, "&gt;="&amp;INT($CC$1),
  '[1]Hoja 1'!$R:$R, "&lt;"&amp;INT($CD$1+1)
)</f>
        <v>0</v>
      </c>
      <c r="CB45" s="1">
        <f t="shared" si="51"/>
        <v>0</v>
      </c>
      <c r="CC45" s="9">
        <f t="shared" si="52"/>
        <v>0</v>
      </c>
      <c r="CD45" s="10">
        <f t="shared" si="53"/>
        <v>0</v>
      </c>
      <c r="CE45" s="1">
        <f>SUMIFS(
  '[1]Hoja 1'!$M:$M,
  '[1]Hoja 1'!$S:$S, $A45,
  '[1]Hoja 1'!$R:$R, "&gt;="&amp;INT($CG$1),
  '[1]Hoja 1'!$R:$R, "&lt;"&amp;INT($CH$1+1)
)</f>
        <v>0</v>
      </c>
      <c r="CF45" s="1">
        <f t="shared" si="54"/>
        <v>0</v>
      </c>
      <c r="CG45" s="9">
        <f t="shared" si="55"/>
        <v>0</v>
      </c>
      <c r="CH45" s="10">
        <f t="shared" si="56"/>
        <v>0</v>
      </c>
      <c r="CI45" s="1">
        <f>SUMIFS(
  '[1]Hoja 1'!$M:$M,
  '[1]Hoja 1'!$S:$S, $A45,
  '[1]Hoja 1'!$R:$R, "&gt;="&amp;INT($CK$1),
  '[1]Hoja 1'!$R:$R, "&lt;"&amp;INT($CL$1+1)
)</f>
        <v>0</v>
      </c>
      <c r="CJ45" s="1">
        <f t="shared" si="57"/>
        <v>0</v>
      </c>
      <c r="CK45" s="9">
        <f t="shared" si="58"/>
        <v>0</v>
      </c>
      <c r="CL45" s="10">
        <f t="shared" si="59"/>
        <v>0</v>
      </c>
      <c r="CM45" s="1">
        <f>SUMIFS(
  '[1]Hoja 1'!$M:$M,
  '[1]Hoja 1'!$S:$S, $A45,
  '[1]Hoja 1'!$R:$R, "&gt;="&amp;INT($CO$1),
  '[1]Hoja 1'!$R:$R, "&lt;"&amp;INT($CP$1+1)
)</f>
        <v>0</v>
      </c>
      <c r="CN45" s="1">
        <f t="shared" si="60"/>
        <v>0</v>
      </c>
      <c r="CO45" s="9">
        <f t="shared" si="61"/>
        <v>0</v>
      </c>
      <c r="CP45" s="10">
        <f t="shared" si="62"/>
        <v>0</v>
      </c>
      <c r="CQ45" s="1">
        <f>SUMIFS(
  '[1]Hoja 1'!$M:$M,
  '[1]Hoja 1'!$S:$S, $A45,
  '[1]Hoja 1'!$R:$R, "&gt;="&amp;INT($CS$1),
  '[1]Hoja 1'!$R:$R, "&lt;"&amp;INT($CT$1+1)
)</f>
        <v>0</v>
      </c>
      <c r="CR45" s="1">
        <f t="shared" si="63"/>
        <v>0</v>
      </c>
      <c r="CS45" s="9">
        <f t="shared" si="64"/>
        <v>0</v>
      </c>
      <c r="CT45" s="10">
        <f t="shared" si="65"/>
        <v>0</v>
      </c>
      <c r="CU45" s="1">
        <f>SUMIFS(
  '[1]Hoja 1'!$M:$M,
  '[1]Hoja 1'!$S:$S, $A45,
  '[1]Hoja 1'!$R:$R, "&gt;="&amp;INT($CW$1),
  '[1]Hoja 1'!$R:$R, "&lt;"&amp;INT($CX$1+1)
)</f>
        <v>0</v>
      </c>
      <c r="CV45" s="1">
        <f t="shared" si="66"/>
        <v>0</v>
      </c>
      <c r="CW45" s="9">
        <f t="shared" si="67"/>
        <v>0</v>
      </c>
      <c r="CX45" s="10">
        <f t="shared" si="68"/>
        <v>0</v>
      </c>
      <c r="CY45" s="1">
        <f>SUMIFS(
  '[1]Hoja 1'!$M:$M,
  '[1]Hoja 1'!$S:$S, $A45,
  '[1]Hoja 1'!$R:$R, "&gt;="&amp;INT($DA$1),
  '[1]Hoja 1'!$R:$R, "&lt;"&amp;INT($DB$1+1)
)</f>
        <v>0</v>
      </c>
      <c r="CZ45" s="1">
        <f t="shared" si="69"/>
        <v>0</v>
      </c>
      <c r="DA45" s="9">
        <f t="shared" si="70"/>
        <v>0</v>
      </c>
      <c r="DB45" s="10">
        <f t="shared" si="71"/>
        <v>0</v>
      </c>
      <c r="DC45" s="1">
        <f>SUMIFS(
  '[1]Hoja 1'!$M:$M,
  '[1]Hoja 1'!$S:$S, $A45,
  '[1]Hoja 1'!$R:$R, "&gt;="&amp;INT($DE$1),
  '[1]Hoja 1'!$R:$R, "&lt;"&amp;INT($DF$1+1)
)</f>
        <v>0</v>
      </c>
      <c r="DD45" s="1">
        <f t="shared" si="72"/>
        <v>0</v>
      </c>
      <c r="DE45" s="9">
        <f t="shared" si="73"/>
        <v>0</v>
      </c>
      <c r="DF45" s="10">
        <f t="shared" si="74"/>
        <v>0</v>
      </c>
      <c r="DG45" s="1">
        <f>SUMIFS(
  '[1]Hoja 1'!$M:$M,
  '[1]Hoja 1'!$S:$S, $A45,
  '[1]Hoja 1'!$R:$R, "&gt;="&amp;INT($DI$1),
  '[1]Hoja 1'!$R:$R, "&lt;"&amp;INT($DJ$1+1)
)</f>
        <v>0</v>
      </c>
      <c r="DH45" s="1">
        <f t="shared" si="75"/>
        <v>0</v>
      </c>
      <c r="DI45" s="9">
        <f t="shared" si="76"/>
        <v>0</v>
      </c>
      <c r="DJ45" s="10">
        <f t="shared" si="77"/>
        <v>0</v>
      </c>
      <c r="DK45" s="1">
        <f>SUMIFS(
  '[1]Hoja 1'!$M:$M,
  '[1]Hoja 1'!$S:$S, $A45,
  '[1]Hoja 1'!$R:$R, "&gt;="&amp;INT($DM$1),
  '[1]Hoja 1'!$R:$R, "&lt;"&amp;INT($DN$1+1)
)</f>
        <v>0</v>
      </c>
      <c r="DL45" s="1">
        <f t="shared" si="78"/>
        <v>0</v>
      </c>
      <c r="DM45" s="9">
        <f t="shared" si="79"/>
        <v>0</v>
      </c>
      <c r="DN45" s="10">
        <f t="shared" si="80"/>
        <v>0</v>
      </c>
      <c r="DO45" s="1">
        <f>SUMIFS(
  '[1]Hoja 1'!$M:$M,
  '[1]Hoja 1'!$S:$S, $A45,
  '[1]Hoja 1'!$R:$R, "&gt;="&amp;INT($DQ$1),
  '[1]Hoja 1'!$R:$R, "&lt;"&amp;INT($DR$1+1)
)</f>
        <v>0</v>
      </c>
      <c r="DP45" s="1">
        <f t="shared" si="81"/>
        <v>0</v>
      </c>
      <c r="DQ45" s="9">
        <f t="shared" si="82"/>
        <v>0</v>
      </c>
      <c r="DR45" s="10">
        <f t="shared" si="83"/>
        <v>0</v>
      </c>
    </row>
    <row r="46" spans="1:122" x14ac:dyDescent="0.25">
      <c r="A46" s="5">
        <v>207011</v>
      </c>
      <c r="B46" s="6" t="s">
        <v>50</v>
      </c>
      <c r="C46" s="1">
        <f>SUMIFS(
  '[1]Hoja 1'!$M:$M,
  '[1]Hoja 1'!$S:$S, $A46,
  '[1]Hoja 1'!$R:$R, "&gt;="&amp;INT($E$1),
  '[1]Hoja 1'!$R:$R, "&lt;"&amp;INT($F$1+1)
)</f>
        <v>0</v>
      </c>
      <c r="D46" s="1" t="str">
        <f>""</f>
        <v/>
      </c>
      <c r="F46" s="2"/>
      <c r="G46" s="1">
        <f>SUMIFS(
  '[1]Hoja 1'!$M:$M,
  '[1]Hoja 1'!$S:$S, $A46,
  '[1]Hoja 1'!$R:$R, "&gt;="&amp;INT($I$1),
  '[1]Hoja 1'!$R:$R, "&lt;"&amp;INT($J$1+1)
)</f>
        <v>0</v>
      </c>
      <c r="H46" s="1">
        <f t="shared" si="84"/>
        <v>0</v>
      </c>
      <c r="I46" s="1"/>
      <c r="J46" s="2"/>
      <c r="K46" s="1">
        <f>SUMIFS(
  '[1]Hoja 1'!$M:$M,
  '[1]Hoja 1'!$S:$S, $A46,
  '[1]Hoja 1'!$R:$R, "&gt;="&amp;INT($M$1),
  '[1]Hoja 1'!$R:$R, "&lt;"&amp;INT($N$1+1)
)</f>
        <v>0</v>
      </c>
      <c r="L46" s="1">
        <f t="shared" si="0"/>
        <v>0</v>
      </c>
      <c r="M46" s="9">
        <f t="shared" si="1"/>
        <v>0</v>
      </c>
      <c r="N46" s="10">
        <f t="shared" si="2"/>
        <v>0</v>
      </c>
      <c r="O46" s="1">
        <f>SUMIFS(
  '[1]Hoja 1'!$M:$M,
  '[1]Hoja 1'!$S:$S, $A46,
  '[1]Hoja 1'!$R:$R, "&gt;="&amp;INT($Q$1),
  '[1]Hoja 1'!$R:$R, "&lt;"&amp;INT($R$1+1)
)</f>
        <v>0</v>
      </c>
      <c r="P46" s="1">
        <f t="shared" si="3"/>
        <v>0</v>
      </c>
      <c r="Q46" s="9">
        <f t="shared" si="4"/>
        <v>0</v>
      </c>
      <c r="R46" s="10">
        <f t="shared" si="5"/>
        <v>0</v>
      </c>
      <c r="S46" s="1">
        <f>SUMIFS(
  '[1]Hoja 1'!$M:$M,
  '[1]Hoja 1'!$S:$S, $A46,
  '[1]Hoja 1'!$R:$R, "&gt;="&amp;INT($U$1),
  '[1]Hoja 1'!$R:$R, "&lt;"&amp;INT($V$1+1)
)</f>
        <v>0</v>
      </c>
      <c r="T46" s="1">
        <f t="shared" si="6"/>
        <v>0</v>
      </c>
      <c r="U46" s="9">
        <f t="shared" si="7"/>
        <v>0</v>
      </c>
      <c r="V46" s="10">
        <f t="shared" si="8"/>
        <v>0</v>
      </c>
      <c r="W46" s="1">
        <f>SUMIFS(
  '[1]Hoja 1'!$M:$M,
  '[1]Hoja 1'!$S:$S, $A46,
  '[1]Hoja 1'!$R:$R, "&gt;="&amp;INT($Y$1),
  '[1]Hoja 1'!$R:$R, "&lt;"&amp;INT($Z$1+1)
)</f>
        <v>0</v>
      </c>
      <c r="X46" s="1">
        <f t="shared" si="9"/>
        <v>0</v>
      </c>
      <c r="Y46" s="9">
        <f t="shared" si="10"/>
        <v>0</v>
      </c>
      <c r="Z46" s="10">
        <f t="shared" si="11"/>
        <v>0</v>
      </c>
      <c r="AA46" s="1">
        <f>SUMIFS(
  '[1]Hoja 1'!$M:$M,
  '[1]Hoja 1'!$S:$S, $A46,
  '[1]Hoja 1'!$R:$R, "&gt;="&amp;INT($AC$1),
  '[1]Hoja 1'!$R:$R, "&lt;"&amp;INT($AD$1+1)
)</f>
        <v>0</v>
      </c>
      <c r="AB46" s="1">
        <f t="shared" si="12"/>
        <v>0</v>
      </c>
      <c r="AC46" s="9">
        <f t="shared" si="13"/>
        <v>0</v>
      </c>
      <c r="AD46" s="10">
        <f t="shared" si="14"/>
        <v>0</v>
      </c>
      <c r="AE46" s="1">
        <f>SUMIFS(
  '[1]Hoja 1'!$M:$M,
  '[1]Hoja 1'!$S:$S, $A46,
  '[1]Hoja 1'!$R:$R, "&gt;="&amp;INT($AG$1),
  '[1]Hoja 1'!$R:$R, "&lt;"&amp;INT($AH$1+1)
)</f>
        <v>0</v>
      </c>
      <c r="AF46" s="1">
        <f t="shared" si="15"/>
        <v>0</v>
      </c>
      <c r="AG46" s="9">
        <f t="shared" si="16"/>
        <v>0</v>
      </c>
      <c r="AH46" s="10">
        <f t="shared" si="17"/>
        <v>0</v>
      </c>
      <c r="AI46" s="1">
        <f>SUMIFS(
  '[1]Hoja 1'!$M:$M,
  '[1]Hoja 1'!$S:$S, $A46,
  '[1]Hoja 1'!$R:$R, "&gt;="&amp;INT($AK$1),
  '[1]Hoja 1'!$R:$R, "&lt;"&amp;INT($AL$1+1)
)</f>
        <v>0</v>
      </c>
      <c r="AJ46" s="1">
        <f t="shared" si="18"/>
        <v>0</v>
      </c>
      <c r="AK46" s="9">
        <f t="shared" si="19"/>
        <v>0</v>
      </c>
      <c r="AL46" s="10">
        <f t="shared" si="20"/>
        <v>0</v>
      </c>
      <c r="AM46" s="1">
        <f>SUMIFS(
  '[1]Hoja 1'!$M:$M,
  '[1]Hoja 1'!$S:$S, $A46,
  '[1]Hoja 1'!$R:$R, "&gt;="&amp;INT($AO$1),
  '[1]Hoja 1'!$R:$R, "&lt;"&amp;INT($AP$1+1)
)</f>
        <v>0</v>
      </c>
      <c r="AN46" s="1">
        <f t="shared" si="21"/>
        <v>0</v>
      </c>
      <c r="AO46" s="9">
        <f t="shared" si="22"/>
        <v>0</v>
      </c>
      <c r="AP46" s="10">
        <f t="shared" si="23"/>
        <v>0</v>
      </c>
      <c r="AQ46" s="1">
        <f>SUMIFS(
  '[1]Hoja 1'!$M:$M,
  '[1]Hoja 1'!$S:$S, $A46,
  '[1]Hoja 1'!$R:$R, "&gt;="&amp;INT($AS$1),
  '[1]Hoja 1'!$R:$R, "&lt;"&amp;INT($AT$1+1)
)</f>
        <v>0</v>
      </c>
      <c r="AR46" s="1">
        <f t="shared" si="24"/>
        <v>0</v>
      </c>
      <c r="AS46" s="9">
        <f t="shared" si="25"/>
        <v>0</v>
      </c>
      <c r="AT46" s="10">
        <f t="shared" si="26"/>
        <v>0</v>
      </c>
      <c r="AU46" s="1">
        <f>SUMIFS(
  '[1]Hoja 1'!$M:$M,
  '[1]Hoja 1'!$S:$S, $A46,
  '[1]Hoja 1'!$R:$R, "&gt;="&amp;INT($AW$1),
  '[1]Hoja 1'!$R:$R, "&lt;"&amp;INT($AX$1+1)
)</f>
        <v>0</v>
      </c>
      <c r="AV46" s="1">
        <f t="shared" si="27"/>
        <v>0</v>
      </c>
      <c r="AW46" s="9">
        <f t="shared" si="28"/>
        <v>0</v>
      </c>
      <c r="AX46" s="10">
        <f t="shared" si="29"/>
        <v>0</v>
      </c>
      <c r="AY46" s="1">
        <f>SUMIFS(
  '[1]Hoja 1'!$M:$M,
  '[1]Hoja 1'!$S:$S, $A46,
  '[1]Hoja 1'!$R:$R, "&gt;="&amp;INT($BA$1),
  '[1]Hoja 1'!$R:$R, "&lt;"&amp;INT($BB$1+1)
)</f>
        <v>0</v>
      </c>
      <c r="AZ46" s="1">
        <f t="shared" si="30"/>
        <v>0</v>
      </c>
      <c r="BA46" s="9">
        <f t="shared" si="31"/>
        <v>0</v>
      </c>
      <c r="BB46" s="10">
        <f t="shared" si="32"/>
        <v>0</v>
      </c>
      <c r="BC46" s="1">
        <f>SUMIFS(
  '[1]Hoja 1'!$M:$M,
  '[1]Hoja 1'!$S:$S, $A46,
  '[1]Hoja 1'!$R:$R, "&gt;="&amp;INT($BE$1),
  '[1]Hoja 1'!$R:$R, "&lt;"&amp;INT($BF$1+1)
)</f>
        <v>0</v>
      </c>
      <c r="BD46" s="1">
        <f t="shared" si="33"/>
        <v>0</v>
      </c>
      <c r="BE46" s="9">
        <f t="shared" si="34"/>
        <v>0</v>
      </c>
      <c r="BF46" s="10">
        <f t="shared" si="35"/>
        <v>0</v>
      </c>
      <c r="BG46" s="1">
        <f>SUMIFS(
  '[1]Hoja 1'!$M:$M,
  '[1]Hoja 1'!$S:$S, $A46,
  '[1]Hoja 1'!$R:$R, "&gt;="&amp;INT($BI$1),
  '[1]Hoja 1'!$R:$R, "&lt;"&amp;INT($BJ$1+1)
)</f>
        <v>0</v>
      </c>
      <c r="BH46" s="1">
        <f t="shared" si="36"/>
        <v>0</v>
      </c>
      <c r="BI46" s="9">
        <f t="shared" si="37"/>
        <v>0</v>
      </c>
      <c r="BJ46" s="10">
        <f t="shared" si="38"/>
        <v>0</v>
      </c>
      <c r="BK46" s="1">
        <f>SUMIFS(
  '[1]Hoja 1'!$M:$M,
  '[1]Hoja 1'!$S:$S, $A46,
  '[1]Hoja 1'!$R:$R, "&gt;="&amp;INT($BM$1),
  '[1]Hoja 1'!$R:$R, "&lt;"&amp;INT($BN$1+1)
)</f>
        <v>0</v>
      </c>
      <c r="BL46" s="1">
        <f t="shared" si="39"/>
        <v>0</v>
      </c>
      <c r="BM46" s="9">
        <f t="shared" si="40"/>
        <v>0</v>
      </c>
      <c r="BN46" s="10">
        <f t="shared" si="41"/>
        <v>0</v>
      </c>
      <c r="BO46" s="1">
        <f>SUMIFS(
  '[1]Hoja 1'!$M:$M,
  '[1]Hoja 1'!$S:$S, $A46,
  '[1]Hoja 1'!$R:$R, "&gt;="&amp;INT($BQ$1),
  '[1]Hoja 1'!$R:$R, "&lt;"&amp;INT($BR$1+1)
)</f>
        <v>0</v>
      </c>
      <c r="BP46" s="1">
        <f t="shared" si="42"/>
        <v>0</v>
      </c>
      <c r="BQ46" s="9">
        <f t="shared" si="43"/>
        <v>0</v>
      </c>
      <c r="BR46" s="10">
        <f t="shared" si="44"/>
        <v>0</v>
      </c>
      <c r="BS46" s="1">
        <f>SUMIFS(
  '[1]Hoja 1'!$M:$M,
  '[1]Hoja 1'!$S:$S, $A46,
  '[1]Hoja 1'!$R:$R, "&gt;="&amp;INT($BU$1),
  '[1]Hoja 1'!$R:$R, "&lt;"&amp;INT($BV$1+1)
)</f>
        <v>0</v>
      </c>
      <c r="BT46" s="1">
        <f t="shared" si="45"/>
        <v>0</v>
      </c>
      <c r="BU46" s="9">
        <f t="shared" si="46"/>
        <v>0</v>
      </c>
      <c r="BV46" s="10">
        <f t="shared" si="47"/>
        <v>0</v>
      </c>
      <c r="BW46" s="1">
        <f>SUMIFS(
  '[1]Hoja 1'!$M:$M,
  '[1]Hoja 1'!$S:$S, $A46,
  '[1]Hoja 1'!$R:$R, "&gt;="&amp;INT($BY$1),
  '[1]Hoja 1'!$R:$R, "&lt;"&amp;INT($BZ$1+1)
)</f>
        <v>0</v>
      </c>
      <c r="BX46" s="1">
        <f t="shared" si="48"/>
        <v>0</v>
      </c>
      <c r="BY46" s="9">
        <f t="shared" si="49"/>
        <v>0</v>
      </c>
      <c r="BZ46" s="10">
        <f t="shared" si="50"/>
        <v>0</v>
      </c>
      <c r="CA46" s="1">
        <f>SUMIFS(
  '[1]Hoja 1'!$M:$M,
  '[1]Hoja 1'!$S:$S, $A46,
  '[1]Hoja 1'!$R:$R, "&gt;="&amp;INT($CC$1),
  '[1]Hoja 1'!$R:$R, "&lt;"&amp;INT($CD$1+1)
)</f>
        <v>0</v>
      </c>
      <c r="CB46" s="1">
        <f t="shared" si="51"/>
        <v>0</v>
      </c>
      <c r="CC46" s="9">
        <f t="shared" si="52"/>
        <v>0</v>
      </c>
      <c r="CD46" s="10">
        <f t="shared" si="53"/>
        <v>0</v>
      </c>
      <c r="CE46" s="1">
        <f>SUMIFS(
  '[1]Hoja 1'!$M:$M,
  '[1]Hoja 1'!$S:$S, $A46,
  '[1]Hoja 1'!$R:$R, "&gt;="&amp;INT($CG$1),
  '[1]Hoja 1'!$R:$R, "&lt;"&amp;INT($CH$1+1)
)</f>
        <v>0</v>
      </c>
      <c r="CF46" s="1">
        <f t="shared" si="54"/>
        <v>0</v>
      </c>
      <c r="CG46" s="9">
        <f t="shared" si="55"/>
        <v>0</v>
      </c>
      <c r="CH46" s="10">
        <f t="shared" si="56"/>
        <v>0</v>
      </c>
      <c r="CI46" s="1">
        <f>SUMIFS(
  '[1]Hoja 1'!$M:$M,
  '[1]Hoja 1'!$S:$S, $A46,
  '[1]Hoja 1'!$R:$R, "&gt;="&amp;INT($CK$1),
  '[1]Hoja 1'!$R:$R, "&lt;"&amp;INT($CL$1+1)
)</f>
        <v>0</v>
      </c>
      <c r="CJ46" s="1">
        <f t="shared" si="57"/>
        <v>0</v>
      </c>
      <c r="CK46" s="9">
        <f t="shared" si="58"/>
        <v>0</v>
      </c>
      <c r="CL46" s="10">
        <f t="shared" si="59"/>
        <v>0</v>
      </c>
      <c r="CM46" s="1">
        <f>SUMIFS(
  '[1]Hoja 1'!$M:$M,
  '[1]Hoja 1'!$S:$S, $A46,
  '[1]Hoja 1'!$R:$R, "&gt;="&amp;INT($CO$1),
  '[1]Hoja 1'!$R:$R, "&lt;"&amp;INT($CP$1+1)
)</f>
        <v>0</v>
      </c>
      <c r="CN46" s="1">
        <f t="shared" si="60"/>
        <v>0</v>
      </c>
      <c r="CO46" s="9">
        <f t="shared" si="61"/>
        <v>0</v>
      </c>
      <c r="CP46" s="10">
        <f t="shared" si="62"/>
        <v>0</v>
      </c>
      <c r="CQ46" s="1">
        <f>SUMIFS(
  '[1]Hoja 1'!$M:$M,
  '[1]Hoja 1'!$S:$S, $A46,
  '[1]Hoja 1'!$R:$R, "&gt;="&amp;INT($CS$1),
  '[1]Hoja 1'!$R:$R, "&lt;"&amp;INT($CT$1+1)
)</f>
        <v>0</v>
      </c>
      <c r="CR46" s="1">
        <f t="shared" si="63"/>
        <v>0</v>
      </c>
      <c r="CS46" s="9">
        <f t="shared" si="64"/>
        <v>0</v>
      </c>
      <c r="CT46" s="10">
        <f t="shared" si="65"/>
        <v>0</v>
      </c>
      <c r="CU46" s="1">
        <f>SUMIFS(
  '[1]Hoja 1'!$M:$M,
  '[1]Hoja 1'!$S:$S, $A46,
  '[1]Hoja 1'!$R:$R, "&gt;="&amp;INT($CW$1),
  '[1]Hoja 1'!$R:$R, "&lt;"&amp;INT($CX$1+1)
)</f>
        <v>0</v>
      </c>
      <c r="CV46" s="1">
        <f t="shared" si="66"/>
        <v>0</v>
      </c>
      <c r="CW46" s="9">
        <f t="shared" si="67"/>
        <v>0</v>
      </c>
      <c r="CX46" s="10">
        <f t="shared" si="68"/>
        <v>0</v>
      </c>
      <c r="CY46" s="1">
        <f>SUMIFS(
  '[1]Hoja 1'!$M:$M,
  '[1]Hoja 1'!$S:$S, $A46,
  '[1]Hoja 1'!$R:$R, "&gt;="&amp;INT($DA$1),
  '[1]Hoja 1'!$R:$R, "&lt;"&amp;INT($DB$1+1)
)</f>
        <v>0</v>
      </c>
      <c r="CZ46" s="1">
        <f t="shared" si="69"/>
        <v>0</v>
      </c>
      <c r="DA46" s="9">
        <f t="shared" si="70"/>
        <v>0</v>
      </c>
      <c r="DB46" s="10">
        <f t="shared" si="71"/>
        <v>0</v>
      </c>
      <c r="DC46" s="1">
        <f>SUMIFS(
  '[1]Hoja 1'!$M:$M,
  '[1]Hoja 1'!$S:$S, $A46,
  '[1]Hoja 1'!$R:$R, "&gt;="&amp;INT($DE$1),
  '[1]Hoja 1'!$R:$R, "&lt;"&amp;INT($DF$1+1)
)</f>
        <v>0</v>
      </c>
      <c r="DD46" s="1">
        <f t="shared" si="72"/>
        <v>0</v>
      </c>
      <c r="DE46" s="9">
        <f t="shared" si="73"/>
        <v>0</v>
      </c>
      <c r="DF46" s="10">
        <f t="shared" si="74"/>
        <v>0</v>
      </c>
      <c r="DG46" s="1">
        <f>SUMIFS(
  '[1]Hoja 1'!$M:$M,
  '[1]Hoja 1'!$S:$S, $A46,
  '[1]Hoja 1'!$R:$R, "&gt;="&amp;INT($DI$1),
  '[1]Hoja 1'!$R:$R, "&lt;"&amp;INT($DJ$1+1)
)</f>
        <v>0</v>
      </c>
      <c r="DH46" s="1">
        <f t="shared" si="75"/>
        <v>0</v>
      </c>
      <c r="DI46" s="9">
        <f t="shared" si="76"/>
        <v>0</v>
      </c>
      <c r="DJ46" s="10">
        <f t="shared" si="77"/>
        <v>0</v>
      </c>
      <c r="DK46" s="1">
        <f>SUMIFS(
  '[1]Hoja 1'!$M:$M,
  '[1]Hoja 1'!$S:$S, $A46,
  '[1]Hoja 1'!$R:$R, "&gt;="&amp;INT($DM$1),
  '[1]Hoja 1'!$R:$R, "&lt;"&amp;INT($DN$1+1)
)</f>
        <v>0</v>
      </c>
      <c r="DL46" s="1">
        <f t="shared" si="78"/>
        <v>0</v>
      </c>
      <c r="DM46" s="9">
        <f t="shared" si="79"/>
        <v>0</v>
      </c>
      <c r="DN46" s="10">
        <f t="shared" si="80"/>
        <v>0</v>
      </c>
      <c r="DO46" s="1">
        <f>SUMIFS(
  '[1]Hoja 1'!$M:$M,
  '[1]Hoja 1'!$S:$S, $A46,
  '[1]Hoja 1'!$R:$R, "&gt;="&amp;INT($DQ$1),
  '[1]Hoja 1'!$R:$R, "&lt;"&amp;INT($DR$1+1)
)</f>
        <v>0</v>
      </c>
      <c r="DP46" s="1">
        <f t="shared" si="81"/>
        <v>0</v>
      </c>
      <c r="DQ46" s="9">
        <f t="shared" si="82"/>
        <v>0</v>
      </c>
      <c r="DR46" s="10">
        <f t="shared" si="83"/>
        <v>0</v>
      </c>
    </row>
    <row r="47" spans="1:122" x14ac:dyDescent="0.25">
      <c r="A47" s="5">
        <v>207012</v>
      </c>
      <c r="B47" s="6" t="s">
        <v>51</v>
      </c>
      <c r="C47" s="1">
        <f>SUMIFS(
  '[1]Hoja 1'!$M:$M,
  '[1]Hoja 1'!$S:$S, $A47,
  '[1]Hoja 1'!$R:$R, "&gt;="&amp;INT($E$1),
  '[1]Hoja 1'!$R:$R, "&lt;"&amp;INT($F$1+1)
)</f>
        <v>0</v>
      </c>
      <c r="D47" s="1" t="str">
        <f>""</f>
        <v/>
      </c>
      <c r="F47" s="2"/>
      <c r="G47" s="1">
        <f>SUMIFS(
  '[1]Hoja 1'!$M:$M,
  '[1]Hoja 1'!$S:$S, $A47,
  '[1]Hoja 1'!$R:$R, "&gt;="&amp;INT($I$1),
  '[1]Hoja 1'!$R:$R, "&lt;"&amp;INT($J$1+1)
)</f>
        <v>0</v>
      </c>
      <c r="H47" s="1">
        <f t="shared" si="84"/>
        <v>0</v>
      </c>
      <c r="I47" s="1"/>
      <c r="J47" s="2"/>
      <c r="K47" s="1">
        <f>SUMIFS(
  '[1]Hoja 1'!$M:$M,
  '[1]Hoja 1'!$S:$S, $A47,
  '[1]Hoja 1'!$R:$R, "&gt;="&amp;INT($M$1),
  '[1]Hoja 1'!$R:$R, "&lt;"&amp;INT($N$1+1)
)</f>
        <v>0</v>
      </c>
      <c r="L47" s="1">
        <f t="shared" si="0"/>
        <v>0</v>
      </c>
      <c r="M47" s="9">
        <f t="shared" si="1"/>
        <v>0</v>
      </c>
      <c r="N47" s="10">
        <f t="shared" si="2"/>
        <v>0</v>
      </c>
      <c r="O47" s="1">
        <f>SUMIFS(
  '[1]Hoja 1'!$M:$M,
  '[1]Hoja 1'!$S:$S, $A47,
  '[1]Hoja 1'!$R:$R, "&gt;="&amp;INT($Q$1),
  '[1]Hoja 1'!$R:$R, "&lt;"&amp;INT($R$1+1)
)</f>
        <v>0</v>
      </c>
      <c r="P47" s="1">
        <f t="shared" si="3"/>
        <v>0</v>
      </c>
      <c r="Q47" s="9">
        <f t="shared" si="4"/>
        <v>0</v>
      </c>
      <c r="R47" s="10">
        <f t="shared" si="5"/>
        <v>0</v>
      </c>
      <c r="S47" s="1">
        <f>SUMIFS(
  '[1]Hoja 1'!$M:$M,
  '[1]Hoja 1'!$S:$S, $A47,
  '[1]Hoja 1'!$R:$R, "&gt;="&amp;INT($U$1),
  '[1]Hoja 1'!$R:$R, "&lt;"&amp;INT($V$1+1)
)</f>
        <v>0</v>
      </c>
      <c r="T47" s="1">
        <f t="shared" si="6"/>
        <v>0</v>
      </c>
      <c r="U47" s="9">
        <f t="shared" si="7"/>
        <v>0</v>
      </c>
      <c r="V47" s="10">
        <f t="shared" si="8"/>
        <v>0</v>
      </c>
      <c r="W47" s="1">
        <f>SUMIFS(
  '[1]Hoja 1'!$M:$M,
  '[1]Hoja 1'!$S:$S, $A47,
  '[1]Hoja 1'!$R:$R, "&gt;="&amp;INT($Y$1),
  '[1]Hoja 1'!$R:$R, "&lt;"&amp;INT($Z$1+1)
)</f>
        <v>0</v>
      </c>
      <c r="X47" s="1">
        <f t="shared" si="9"/>
        <v>0</v>
      </c>
      <c r="Y47" s="9">
        <f t="shared" si="10"/>
        <v>0</v>
      </c>
      <c r="Z47" s="10">
        <f t="shared" si="11"/>
        <v>0</v>
      </c>
      <c r="AA47" s="1">
        <f>SUMIFS(
  '[1]Hoja 1'!$M:$M,
  '[1]Hoja 1'!$S:$S, $A47,
  '[1]Hoja 1'!$R:$R, "&gt;="&amp;INT($AC$1),
  '[1]Hoja 1'!$R:$R, "&lt;"&amp;INT($AD$1+1)
)</f>
        <v>0</v>
      </c>
      <c r="AB47" s="1">
        <f t="shared" si="12"/>
        <v>0</v>
      </c>
      <c r="AC47" s="9">
        <f t="shared" si="13"/>
        <v>0</v>
      </c>
      <c r="AD47" s="10">
        <f t="shared" si="14"/>
        <v>0</v>
      </c>
      <c r="AE47" s="1">
        <f>SUMIFS(
  '[1]Hoja 1'!$M:$M,
  '[1]Hoja 1'!$S:$S, $A47,
  '[1]Hoja 1'!$R:$R, "&gt;="&amp;INT($AG$1),
  '[1]Hoja 1'!$R:$R, "&lt;"&amp;INT($AH$1+1)
)</f>
        <v>0</v>
      </c>
      <c r="AF47" s="1">
        <f t="shared" si="15"/>
        <v>0</v>
      </c>
      <c r="AG47" s="9">
        <f t="shared" si="16"/>
        <v>0</v>
      </c>
      <c r="AH47" s="10">
        <f t="shared" si="17"/>
        <v>0</v>
      </c>
      <c r="AI47" s="1">
        <f>SUMIFS(
  '[1]Hoja 1'!$M:$M,
  '[1]Hoja 1'!$S:$S, $A47,
  '[1]Hoja 1'!$R:$R, "&gt;="&amp;INT($AK$1),
  '[1]Hoja 1'!$R:$R, "&lt;"&amp;INT($AL$1+1)
)</f>
        <v>0</v>
      </c>
      <c r="AJ47" s="1">
        <f t="shared" si="18"/>
        <v>0</v>
      </c>
      <c r="AK47" s="9">
        <f t="shared" si="19"/>
        <v>0</v>
      </c>
      <c r="AL47" s="10">
        <f t="shared" si="20"/>
        <v>0</v>
      </c>
      <c r="AM47" s="1">
        <f>SUMIFS(
  '[1]Hoja 1'!$M:$M,
  '[1]Hoja 1'!$S:$S, $A47,
  '[1]Hoja 1'!$R:$R, "&gt;="&amp;INT($AO$1),
  '[1]Hoja 1'!$R:$R, "&lt;"&amp;INT($AP$1+1)
)</f>
        <v>0</v>
      </c>
      <c r="AN47" s="1">
        <f t="shared" si="21"/>
        <v>0</v>
      </c>
      <c r="AO47" s="9">
        <f t="shared" si="22"/>
        <v>0</v>
      </c>
      <c r="AP47" s="10">
        <f t="shared" si="23"/>
        <v>0</v>
      </c>
      <c r="AQ47" s="1">
        <f>SUMIFS(
  '[1]Hoja 1'!$M:$M,
  '[1]Hoja 1'!$S:$S, $A47,
  '[1]Hoja 1'!$R:$R, "&gt;="&amp;INT($AS$1),
  '[1]Hoja 1'!$R:$R, "&lt;"&amp;INT($AT$1+1)
)</f>
        <v>0</v>
      </c>
      <c r="AR47" s="1">
        <f t="shared" si="24"/>
        <v>0</v>
      </c>
      <c r="AS47" s="9">
        <f t="shared" si="25"/>
        <v>0</v>
      </c>
      <c r="AT47" s="10">
        <f t="shared" si="26"/>
        <v>0</v>
      </c>
      <c r="AU47" s="1">
        <f>SUMIFS(
  '[1]Hoja 1'!$M:$M,
  '[1]Hoja 1'!$S:$S, $A47,
  '[1]Hoja 1'!$R:$R, "&gt;="&amp;INT($AW$1),
  '[1]Hoja 1'!$R:$R, "&lt;"&amp;INT($AX$1+1)
)</f>
        <v>0</v>
      </c>
      <c r="AV47" s="1">
        <f t="shared" si="27"/>
        <v>0</v>
      </c>
      <c r="AW47" s="9">
        <f t="shared" si="28"/>
        <v>0</v>
      </c>
      <c r="AX47" s="10">
        <f t="shared" si="29"/>
        <v>0</v>
      </c>
      <c r="AY47" s="1">
        <f>SUMIFS(
  '[1]Hoja 1'!$M:$M,
  '[1]Hoja 1'!$S:$S, $A47,
  '[1]Hoja 1'!$R:$R, "&gt;="&amp;INT($BA$1),
  '[1]Hoja 1'!$R:$R, "&lt;"&amp;INT($BB$1+1)
)</f>
        <v>0</v>
      </c>
      <c r="AZ47" s="1">
        <f t="shared" si="30"/>
        <v>0</v>
      </c>
      <c r="BA47" s="9">
        <f t="shared" si="31"/>
        <v>0</v>
      </c>
      <c r="BB47" s="10">
        <f t="shared" si="32"/>
        <v>0</v>
      </c>
      <c r="BC47" s="1">
        <f>SUMIFS(
  '[1]Hoja 1'!$M:$M,
  '[1]Hoja 1'!$S:$S, $A47,
  '[1]Hoja 1'!$R:$R, "&gt;="&amp;INT($BE$1),
  '[1]Hoja 1'!$R:$R, "&lt;"&amp;INT($BF$1+1)
)</f>
        <v>0</v>
      </c>
      <c r="BD47" s="1">
        <f t="shared" si="33"/>
        <v>0</v>
      </c>
      <c r="BE47" s="9">
        <f t="shared" si="34"/>
        <v>0</v>
      </c>
      <c r="BF47" s="10">
        <f t="shared" si="35"/>
        <v>0</v>
      </c>
      <c r="BG47" s="1">
        <f>SUMIFS(
  '[1]Hoja 1'!$M:$M,
  '[1]Hoja 1'!$S:$S, $A47,
  '[1]Hoja 1'!$R:$R, "&gt;="&amp;INT($BI$1),
  '[1]Hoja 1'!$R:$R, "&lt;"&amp;INT($BJ$1+1)
)</f>
        <v>0</v>
      </c>
      <c r="BH47" s="1">
        <f t="shared" si="36"/>
        <v>0</v>
      </c>
      <c r="BI47" s="9">
        <f t="shared" si="37"/>
        <v>0</v>
      </c>
      <c r="BJ47" s="10">
        <f t="shared" si="38"/>
        <v>0</v>
      </c>
      <c r="BK47" s="1">
        <f>SUMIFS(
  '[1]Hoja 1'!$M:$M,
  '[1]Hoja 1'!$S:$S, $A47,
  '[1]Hoja 1'!$R:$R, "&gt;="&amp;INT($BM$1),
  '[1]Hoja 1'!$R:$R, "&lt;"&amp;INT($BN$1+1)
)</f>
        <v>0</v>
      </c>
      <c r="BL47" s="1">
        <f t="shared" si="39"/>
        <v>0</v>
      </c>
      <c r="BM47" s="9">
        <f t="shared" si="40"/>
        <v>0</v>
      </c>
      <c r="BN47" s="10">
        <f t="shared" si="41"/>
        <v>0</v>
      </c>
      <c r="BO47" s="1">
        <f>SUMIFS(
  '[1]Hoja 1'!$M:$M,
  '[1]Hoja 1'!$S:$S, $A47,
  '[1]Hoja 1'!$R:$R, "&gt;="&amp;INT($BQ$1),
  '[1]Hoja 1'!$R:$R, "&lt;"&amp;INT($BR$1+1)
)</f>
        <v>0</v>
      </c>
      <c r="BP47" s="1">
        <f t="shared" si="42"/>
        <v>0</v>
      </c>
      <c r="BQ47" s="9">
        <f t="shared" si="43"/>
        <v>0</v>
      </c>
      <c r="BR47" s="10">
        <f t="shared" si="44"/>
        <v>0</v>
      </c>
      <c r="BS47" s="1">
        <f>SUMIFS(
  '[1]Hoja 1'!$M:$M,
  '[1]Hoja 1'!$S:$S, $A47,
  '[1]Hoja 1'!$R:$R, "&gt;="&amp;INT($BU$1),
  '[1]Hoja 1'!$R:$R, "&lt;"&amp;INT($BV$1+1)
)</f>
        <v>0</v>
      </c>
      <c r="BT47" s="1">
        <f t="shared" si="45"/>
        <v>0</v>
      </c>
      <c r="BU47" s="9">
        <f t="shared" si="46"/>
        <v>0</v>
      </c>
      <c r="BV47" s="10">
        <f t="shared" si="47"/>
        <v>0</v>
      </c>
      <c r="BW47" s="1">
        <f>SUMIFS(
  '[1]Hoja 1'!$M:$M,
  '[1]Hoja 1'!$S:$S, $A47,
  '[1]Hoja 1'!$R:$R, "&gt;="&amp;INT($BY$1),
  '[1]Hoja 1'!$R:$R, "&lt;"&amp;INT($BZ$1+1)
)</f>
        <v>0</v>
      </c>
      <c r="BX47" s="1">
        <f t="shared" si="48"/>
        <v>0</v>
      </c>
      <c r="BY47" s="9">
        <f t="shared" si="49"/>
        <v>0</v>
      </c>
      <c r="BZ47" s="10">
        <f t="shared" si="50"/>
        <v>0</v>
      </c>
      <c r="CA47" s="1">
        <f>SUMIFS(
  '[1]Hoja 1'!$M:$M,
  '[1]Hoja 1'!$S:$S, $A47,
  '[1]Hoja 1'!$R:$R, "&gt;="&amp;INT($CC$1),
  '[1]Hoja 1'!$R:$R, "&lt;"&amp;INT($CD$1+1)
)</f>
        <v>0</v>
      </c>
      <c r="CB47" s="1">
        <f t="shared" si="51"/>
        <v>0</v>
      </c>
      <c r="CC47" s="9">
        <f t="shared" si="52"/>
        <v>0</v>
      </c>
      <c r="CD47" s="10">
        <f t="shared" si="53"/>
        <v>0</v>
      </c>
      <c r="CE47" s="1">
        <f>SUMIFS(
  '[1]Hoja 1'!$M:$M,
  '[1]Hoja 1'!$S:$S, $A47,
  '[1]Hoja 1'!$R:$R, "&gt;="&amp;INT($CG$1),
  '[1]Hoja 1'!$R:$R, "&lt;"&amp;INT($CH$1+1)
)</f>
        <v>0</v>
      </c>
      <c r="CF47" s="1">
        <f t="shared" si="54"/>
        <v>0</v>
      </c>
      <c r="CG47" s="9">
        <f t="shared" si="55"/>
        <v>0</v>
      </c>
      <c r="CH47" s="10">
        <f t="shared" si="56"/>
        <v>0</v>
      </c>
      <c r="CI47" s="1">
        <f>SUMIFS(
  '[1]Hoja 1'!$M:$M,
  '[1]Hoja 1'!$S:$S, $A47,
  '[1]Hoja 1'!$R:$R, "&gt;="&amp;INT($CK$1),
  '[1]Hoja 1'!$R:$R, "&lt;"&amp;INT($CL$1+1)
)</f>
        <v>0</v>
      </c>
      <c r="CJ47" s="1">
        <f t="shared" si="57"/>
        <v>0</v>
      </c>
      <c r="CK47" s="9">
        <f t="shared" si="58"/>
        <v>0</v>
      </c>
      <c r="CL47" s="10">
        <f t="shared" si="59"/>
        <v>0</v>
      </c>
      <c r="CM47" s="1">
        <f>SUMIFS(
  '[1]Hoja 1'!$M:$M,
  '[1]Hoja 1'!$S:$S, $A47,
  '[1]Hoja 1'!$R:$R, "&gt;="&amp;INT($CO$1),
  '[1]Hoja 1'!$R:$R, "&lt;"&amp;INT($CP$1+1)
)</f>
        <v>0</v>
      </c>
      <c r="CN47" s="1">
        <f t="shared" si="60"/>
        <v>0</v>
      </c>
      <c r="CO47" s="9">
        <f t="shared" si="61"/>
        <v>0</v>
      </c>
      <c r="CP47" s="10">
        <f t="shared" si="62"/>
        <v>0</v>
      </c>
      <c r="CQ47" s="1">
        <f>SUMIFS(
  '[1]Hoja 1'!$M:$M,
  '[1]Hoja 1'!$S:$S, $A47,
  '[1]Hoja 1'!$R:$R, "&gt;="&amp;INT($CS$1),
  '[1]Hoja 1'!$R:$R, "&lt;"&amp;INT($CT$1+1)
)</f>
        <v>0</v>
      </c>
      <c r="CR47" s="1">
        <f t="shared" si="63"/>
        <v>0</v>
      </c>
      <c r="CS47" s="9">
        <f t="shared" si="64"/>
        <v>0</v>
      </c>
      <c r="CT47" s="10">
        <f t="shared" si="65"/>
        <v>0</v>
      </c>
      <c r="CU47" s="1">
        <f>SUMIFS(
  '[1]Hoja 1'!$M:$M,
  '[1]Hoja 1'!$S:$S, $A47,
  '[1]Hoja 1'!$R:$R, "&gt;="&amp;INT($CW$1),
  '[1]Hoja 1'!$R:$R, "&lt;"&amp;INT($CX$1+1)
)</f>
        <v>0</v>
      </c>
      <c r="CV47" s="1">
        <f t="shared" si="66"/>
        <v>0</v>
      </c>
      <c r="CW47" s="9">
        <f t="shared" si="67"/>
        <v>0</v>
      </c>
      <c r="CX47" s="10">
        <f t="shared" si="68"/>
        <v>0</v>
      </c>
      <c r="CY47" s="1">
        <f>SUMIFS(
  '[1]Hoja 1'!$M:$M,
  '[1]Hoja 1'!$S:$S, $A47,
  '[1]Hoja 1'!$R:$R, "&gt;="&amp;INT($DA$1),
  '[1]Hoja 1'!$R:$R, "&lt;"&amp;INT($DB$1+1)
)</f>
        <v>0</v>
      </c>
      <c r="CZ47" s="1">
        <f t="shared" si="69"/>
        <v>0</v>
      </c>
      <c r="DA47" s="9">
        <f t="shared" si="70"/>
        <v>0</v>
      </c>
      <c r="DB47" s="10">
        <f t="shared" si="71"/>
        <v>0</v>
      </c>
      <c r="DC47" s="1">
        <f>SUMIFS(
  '[1]Hoja 1'!$M:$M,
  '[1]Hoja 1'!$S:$S, $A47,
  '[1]Hoja 1'!$R:$R, "&gt;="&amp;INT($DE$1),
  '[1]Hoja 1'!$R:$R, "&lt;"&amp;INT($DF$1+1)
)</f>
        <v>0</v>
      </c>
      <c r="DD47" s="1">
        <f t="shared" si="72"/>
        <v>0</v>
      </c>
      <c r="DE47" s="9">
        <f t="shared" si="73"/>
        <v>0</v>
      </c>
      <c r="DF47" s="10">
        <f t="shared" si="74"/>
        <v>0</v>
      </c>
      <c r="DG47" s="1">
        <f>SUMIFS(
  '[1]Hoja 1'!$M:$M,
  '[1]Hoja 1'!$S:$S, $A47,
  '[1]Hoja 1'!$R:$R, "&gt;="&amp;INT($DI$1),
  '[1]Hoja 1'!$R:$R, "&lt;"&amp;INT($DJ$1+1)
)</f>
        <v>0</v>
      </c>
      <c r="DH47" s="1">
        <f t="shared" si="75"/>
        <v>0</v>
      </c>
      <c r="DI47" s="9">
        <f t="shared" si="76"/>
        <v>0</v>
      </c>
      <c r="DJ47" s="10">
        <f t="shared" si="77"/>
        <v>0</v>
      </c>
      <c r="DK47" s="1">
        <f>SUMIFS(
  '[1]Hoja 1'!$M:$M,
  '[1]Hoja 1'!$S:$S, $A47,
  '[1]Hoja 1'!$R:$R, "&gt;="&amp;INT($DM$1),
  '[1]Hoja 1'!$R:$R, "&lt;"&amp;INT($DN$1+1)
)</f>
        <v>0</v>
      </c>
      <c r="DL47" s="1">
        <f t="shared" si="78"/>
        <v>0</v>
      </c>
      <c r="DM47" s="9">
        <f t="shared" si="79"/>
        <v>0</v>
      </c>
      <c r="DN47" s="10">
        <f t="shared" si="80"/>
        <v>0</v>
      </c>
      <c r="DO47" s="1">
        <f>SUMIFS(
  '[1]Hoja 1'!$M:$M,
  '[1]Hoja 1'!$S:$S, $A47,
  '[1]Hoja 1'!$R:$R, "&gt;="&amp;INT($DQ$1),
  '[1]Hoja 1'!$R:$R, "&lt;"&amp;INT($DR$1+1)
)</f>
        <v>0</v>
      </c>
      <c r="DP47" s="1">
        <f t="shared" si="81"/>
        <v>0</v>
      </c>
      <c r="DQ47" s="9">
        <f t="shared" si="82"/>
        <v>0</v>
      </c>
      <c r="DR47" s="10">
        <f t="shared" si="83"/>
        <v>0</v>
      </c>
    </row>
    <row r="48" spans="1:122" x14ac:dyDescent="0.25">
      <c r="A48" s="5">
        <v>207013</v>
      </c>
      <c r="B48" s="6" t="s">
        <v>52</v>
      </c>
      <c r="C48" s="1">
        <f>SUMIFS(
  '[1]Hoja 1'!$M:$M,
  '[1]Hoja 1'!$S:$S, $A48,
  '[1]Hoja 1'!$R:$R, "&gt;="&amp;INT($E$1),
  '[1]Hoja 1'!$R:$R, "&lt;"&amp;INT($F$1+1)
)</f>
        <v>1</v>
      </c>
      <c r="D48" s="1" t="str">
        <f>""</f>
        <v/>
      </c>
      <c r="F48" s="2"/>
      <c r="G48" s="1">
        <f>SUMIFS(
  '[1]Hoja 1'!$M:$M,
  '[1]Hoja 1'!$S:$S, $A48,
  '[1]Hoja 1'!$R:$R, "&gt;="&amp;INT($I$1),
  '[1]Hoja 1'!$R:$R, "&lt;"&amp;INT($J$1+1)
)</f>
        <v>1</v>
      </c>
      <c r="H48" s="1">
        <f t="shared" si="84"/>
        <v>1</v>
      </c>
      <c r="I48" s="1"/>
      <c r="J48" s="2"/>
      <c r="K48" s="1">
        <f>SUMIFS(
  '[1]Hoja 1'!$M:$M,
  '[1]Hoja 1'!$S:$S, $A48,
  '[1]Hoja 1'!$R:$R, "&gt;="&amp;INT($M$1),
  '[1]Hoja 1'!$R:$R, "&lt;"&amp;INT($N$1+1)
)</f>
        <v>0</v>
      </c>
      <c r="L48" s="1">
        <f t="shared" si="0"/>
        <v>0.5</v>
      </c>
      <c r="M48" s="9">
        <f t="shared" si="1"/>
        <v>-0.19296464556281656</v>
      </c>
      <c r="N48" s="10">
        <f t="shared" si="2"/>
        <v>1.1929646455628165</v>
      </c>
      <c r="O48" s="1">
        <f>SUMIFS(
  '[1]Hoja 1'!$M:$M,
  '[1]Hoja 1'!$S:$S, $A48,
  '[1]Hoja 1'!$R:$R, "&gt;="&amp;INT($Q$1),
  '[1]Hoja 1'!$R:$R, "&lt;"&amp;INT($R$1+1)
)</f>
        <v>0</v>
      </c>
      <c r="P48" s="1">
        <f t="shared" si="3"/>
        <v>0</v>
      </c>
      <c r="Q48" s="9">
        <f t="shared" si="4"/>
        <v>-6.5803263805833345E-2</v>
      </c>
      <c r="R48" s="10">
        <f t="shared" si="5"/>
        <v>1.0658032638058335</v>
      </c>
      <c r="S48" s="1">
        <f>SUMIFS(
  '[1]Hoja 1'!$M:$M,
  '[1]Hoja 1'!$S:$S, $A48,
  '[1]Hoja 1'!$R:$R, "&gt;="&amp;INT($U$1),
  '[1]Hoja 1'!$R:$R, "&lt;"&amp;INT($V$1+1)
)</f>
        <v>0</v>
      </c>
      <c r="T48" s="1">
        <f t="shared" si="6"/>
        <v>0</v>
      </c>
      <c r="U48" s="9">
        <f t="shared" si="7"/>
        <v>-0.49</v>
      </c>
      <c r="V48" s="10">
        <f t="shared" si="8"/>
        <v>0.49</v>
      </c>
      <c r="W48" s="1">
        <f>SUMIFS(
  '[1]Hoja 1'!$M:$M,
  '[1]Hoja 1'!$S:$S, $A48,
  '[1]Hoja 1'!$R:$R, "&gt;="&amp;INT($Y$1),
  '[1]Hoja 1'!$R:$R, "&lt;"&amp;INT($Z$1+1)
)</f>
        <v>0</v>
      </c>
      <c r="X48" s="1">
        <f t="shared" si="9"/>
        <v>0</v>
      </c>
      <c r="Y48" s="9">
        <f t="shared" si="10"/>
        <v>-0.49</v>
      </c>
      <c r="Z48" s="10">
        <f t="shared" si="11"/>
        <v>0.49</v>
      </c>
      <c r="AA48" s="1">
        <f>SUMIFS(
  '[1]Hoja 1'!$M:$M,
  '[1]Hoja 1'!$S:$S, $A48,
  '[1]Hoja 1'!$R:$R, "&gt;="&amp;INT($AC$1),
  '[1]Hoja 1'!$R:$R, "&lt;"&amp;INT($AD$1+1)
)</f>
        <v>0</v>
      </c>
      <c r="AB48" s="1">
        <f t="shared" si="12"/>
        <v>0</v>
      </c>
      <c r="AC48" s="9">
        <f t="shared" si="13"/>
        <v>0</v>
      </c>
      <c r="AD48" s="10">
        <f t="shared" si="14"/>
        <v>0</v>
      </c>
      <c r="AE48" s="1">
        <f>SUMIFS(
  '[1]Hoja 1'!$M:$M,
  '[1]Hoja 1'!$S:$S, $A48,
  '[1]Hoja 1'!$R:$R, "&gt;="&amp;INT($AG$1),
  '[1]Hoja 1'!$R:$R, "&lt;"&amp;INT($AH$1+1)
)</f>
        <v>0</v>
      </c>
      <c r="AF48" s="1">
        <f t="shared" si="15"/>
        <v>0</v>
      </c>
      <c r="AG48" s="9">
        <f t="shared" si="16"/>
        <v>0</v>
      </c>
      <c r="AH48" s="10">
        <f t="shared" si="17"/>
        <v>0</v>
      </c>
      <c r="AI48" s="1">
        <f>SUMIFS(
  '[1]Hoja 1'!$M:$M,
  '[1]Hoja 1'!$S:$S, $A48,
  '[1]Hoja 1'!$R:$R, "&gt;="&amp;INT($AK$1),
  '[1]Hoja 1'!$R:$R, "&lt;"&amp;INT($AL$1+1)
)</f>
        <v>0</v>
      </c>
      <c r="AJ48" s="1">
        <f t="shared" si="18"/>
        <v>0</v>
      </c>
      <c r="AK48" s="9">
        <f t="shared" si="19"/>
        <v>0</v>
      </c>
      <c r="AL48" s="10">
        <f t="shared" si="20"/>
        <v>0</v>
      </c>
      <c r="AM48" s="1">
        <f>SUMIFS(
  '[1]Hoja 1'!$M:$M,
  '[1]Hoja 1'!$S:$S, $A48,
  '[1]Hoja 1'!$R:$R, "&gt;="&amp;INT($AO$1),
  '[1]Hoja 1'!$R:$R, "&lt;"&amp;INT($AP$1+1)
)</f>
        <v>0</v>
      </c>
      <c r="AN48" s="1">
        <f t="shared" si="21"/>
        <v>0</v>
      </c>
      <c r="AO48" s="9">
        <f t="shared" si="22"/>
        <v>0</v>
      </c>
      <c r="AP48" s="10">
        <f t="shared" si="23"/>
        <v>0</v>
      </c>
      <c r="AQ48" s="1">
        <f>SUMIFS(
  '[1]Hoja 1'!$M:$M,
  '[1]Hoja 1'!$S:$S, $A48,
  '[1]Hoja 1'!$R:$R, "&gt;="&amp;INT($AS$1),
  '[1]Hoja 1'!$R:$R, "&lt;"&amp;INT($AT$1+1)
)</f>
        <v>0</v>
      </c>
      <c r="AR48" s="1">
        <f t="shared" si="24"/>
        <v>0</v>
      </c>
      <c r="AS48" s="9">
        <f t="shared" si="25"/>
        <v>0</v>
      </c>
      <c r="AT48" s="10">
        <f t="shared" si="26"/>
        <v>0</v>
      </c>
      <c r="AU48" s="1">
        <f>SUMIFS(
  '[1]Hoja 1'!$M:$M,
  '[1]Hoja 1'!$S:$S, $A48,
  '[1]Hoja 1'!$R:$R, "&gt;="&amp;INT($AW$1),
  '[1]Hoja 1'!$R:$R, "&lt;"&amp;INT($AX$1+1)
)</f>
        <v>0</v>
      </c>
      <c r="AV48" s="1">
        <f t="shared" si="27"/>
        <v>0</v>
      </c>
      <c r="AW48" s="9">
        <f t="shared" si="28"/>
        <v>0</v>
      </c>
      <c r="AX48" s="10">
        <f t="shared" si="29"/>
        <v>0</v>
      </c>
      <c r="AY48" s="1">
        <f>SUMIFS(
  '[1]Hoja 1'!$M:$M,
  '[1]Hoja 1'!$S:$S, $A48,
  '[1]Hoja 1'!$R:$R, "&gt;="&amp;INT($BA$1),
  '[1]Hoja 1'!$R:$R, "&lt;"&amp;INT($BB$1+1)
)</f>
        <v>0</v>
      </c>
      <c r="AZ48" s="1">
        <f t="shared" si="30"/>
        <v>0</v>
      </c>
      <c r="BA48" s="9">
        <f t="shared" si="31"/>
        <v>0</v>
      </c>
      <c r="BB48" s="10">
        <f t="shared" si="32"/>
        <v>0</v>
      </c>
      <c r="BC48" s="1">
        <f>SUMIFS(
  '[1]Hoja 1'!$M:$M,
  '[1]Hoja 1'!$S:$S, $A48,
  '[1]Hoja 1'!$R:$R, "&gt;="&amp;INT($BE$1),
  '[1]Hoja 1'!$R:$R, "&lt;"&amp;INT($BF$1+1)
)</f>
        <v>0</v>
      </c>
      <c r="BD48" s="1">
        <f t="shared" si="33"/>
        <v>0</v>
      </c>
      <c r="BE48" s="9">
        <f t="shared" si="34"/>
        <v>0</v>
      </c>
      <c r="BF48" s="10">
        <f t="shared" si="35"/>
        <v>0</v>
      </c>
      <c r="BG48" s="1">
        <f>SUMIFS(
  '[1]Hoja 1'!$M:$M,
  '[1]Hoja 1'!$S:$S, $A48,
  '[1]Hoja 1'!$R:$R, "&gt;="&amp;INT($BI$1),
  '[1]Hoja 1'!$R:$R, "&lt;"&amp;INT($BJ$1+1)
)</f>
        <v>0</v>
      </c>
      <c r="BH48" s="1">
        <f t="shared" si="36"/>
        <v>0</v>
      </c>
      <c r="BI48" s="9">
        <f t="shared" si="37"/>
        <v>0</v>
      </c>
      <c r="BJ48" s="10">
        <f t="shared" si="38"/>
        <v>0</v>
      </c>
      <c r="BK48" s="1">
        <f>SUMIFS(
  '[1]Hoja 1'!$M:$M,
  '[1]Hoja 1'!$S:$S, $A48,
  '[1]Hoja 1'!$R:$R, "&gt;="&amp;INT($BM$1),
  '[1]Hoja 1'!$R:$R, "&lt;"&amp;INT($BN$1+1)
)</f>
        <v>0</v>
      </c>
      <c r="BL48" s="1">
        <f t="shared" si="39"/>
        <v>0</v>
      </c>
      <c r="BM48" s="9">
        <f t="shared" si="40"/>
        <v>0</v>
      </c>
      <c r="BN48" s="10">
        <f t="shared" si="41"/>
        <v>0</v>
      </c>
      <c r="BO48" s="1">
        <f>SUMIFS(
  '[1]Hoja 1'!$M:$M,
  '[1]Hoja 1'!$S:$S, $A48,
  '[1]Hoja 1'!$R:$R, "&gt;="&amp;INT($BQ$1),
  '[1]Hoja 1'!$R:$R, "&lt;"&amp;INT($BR$1+1)
)</f>
        <v>0</v>
      </c>
      <c r="BP48" s="1">
        <f t="shared" si="42"/>
        <v>0</v>
      </c>
      <c r="BQ48" s="9">
        <f t="shared" si="43"/>
        <v>0</v>
      </c>
      <c r="BR48" s="10">
        <f t="shared" si="44"/>
        <v>0</v>
      </c>
      <c r="BS48" s="1">
        <f>SUMIFS(
  '[1]Hoja 1'!$M:$M,
  '[1]Hoja 1'!$S:$S, $A48,
  '[1]Hoja 1'!$R:$R, "&gt;="&amp;INT($BU$1),
  '[1]Hoja 1'!$R:$R, "&lt;"&amp;INT($BV$1+1)
)</f>
        <v>0</v>
      </c>
      <c r="BT48" s="1">
        <f t="shared" si="45"/>
        <v>0</v>
      </c>
      <c r="BU48" s="9">
        <f t="shared" si="46"/>
        <v>0</v>
      </c>
      <c r="BV48" s="10">
        <f t="shared" si="47"/>
        <v>0</v>
      </c>
      <c r="BW48" s="1">
        <f>SUMIFS(
  '[1]Hoja 1'!$M:$M,
  '[1]Hoja 1'!$S:$S, $A48,
  '[1]Hoja 1'!$R:$R, "&gt;="&amp;INT($BY$1),
  '[1]Hoja 1'!$R:$R, "&lt;"&amp;INT($BZ$1+1)
)</f>
        <v>0</v>
      </c>
      <c r="BX48" s="1">
        <f t="shared" si="48"/>
        <v>0</v>
      </c>
      <c r="BY48" s="9">
        <f t="shared" si="49"/>
        <v>0</v>
      </c>
      <c r="BZ48" s="10">
        <f t="shared" si="50"/>
        <v>0</v>
      </c>
      <c r="CA48" s="1">
        <f>SUMIFS(
  '[1]Hoja 1'!$M:$M,
  '[1]Hoja 1'!$S:$S, $A48,
  '[1]Hoja 1'!$R:$R, "&gt;="&amp;INT($CC$1),
  '[1]Hoja 1'!$R:$R, "&lt;"&amp;INT($CD$1+1)
)</f>
        <v>0</v>
      </c>
      <c r="CB48" s="1">
        <f t="shared" si="51"/>
        <v>0</v>
      </c>
      <c r="CC48" s="9">
        <f t="shared" si="52"/>
        <v>0</v>
      </c>
      <c r="CD48" s="10">
        <f t="shared" si="53"/>
        <v>0</v>
      </c>
      <c r="CE48" s="1">
        <f>SUMIFS(
  '[1]Hoja 1'!$M:$M,
  '[1]Hoja 1'!$S:$S, $A48,
  '[1]Hoja 1'!$R:$R, "&gt;="&amp;INT($CG$1),
  '[1]Hoja 1'!$R:$R, "&lt;"&amp;INT($CH$1+1)
)</f>
        <v>0</v>
      </c>
      <c r="CF48" s="1">
        <f t="shared" si="54"/>
        <v>0</v>
      </c>
      <c r="CG48" s="9">
        <f t="shared" si="55"/>
        <v>0</v>
      </c>
      <c r="CH48" s="10">
        <f t="shared" si="56"/>
        <v>0</v>
      </c>
      <c r="CI48" s="1">
        <f>SUMIFS(
  '[1]Hoja 1'!$M:$M,
  '[1]Hoja 1'!$S:$S, $A48,
  '[1]Hoja 1'!$R:$R, "&gt;="&amp;INT($CK$1),
  '[1]Hoja 1'!$R:$R, "&lt;"&amp;INT($CL$1+1)
)</f>
        <v>0</v>
      </c>
      <c r="CJ48" s="1">
        <f t="shared" si="57"/>
        <v>0</v>
      </c>
      <c r="CK48" s="9">
        <f t="shared" si="58"/>
        <v>0</v>
      </c>
      <c r="CL48" s="10">
        <f t="shared" si="59"/>
        <v>0</v>
      </c>
      <c r="CM48" s="1">
        <f>SUMIFS(
  '[1]Hoja 1'!$M:$M,
  '[1]Hoja 1'!$S:$S, $A48,
  '[1]Hoja 1'!$R:$R, "&gt;="&amp;INT($CO$1),
  '[1]Hoja 1'!$R:$R, "&lt;"&amp;INT($CP$1+1)
)</f>
        <v>0</v>
      </c>
      <c r="CN48" s="1">
        <f t="shared" si="60"/>
        <v>0</v>
      </c>
      <c r="CO48" s="9">
        <f t="shared" si="61"/>
        <v>0</v>
      </c>
      <c r="CP48" s="10">
        <f t="shared" si="62"/>
        <v>0</v>
      </c>
      <c r="CQ48" s="1">
        <f>SUMIFS(
  '[1]Hoja 1'!$M:$M,
  '[1]Hoja 1'!$S:$S, $A48,
  '[1]Hoja 1'!$R:$R, "&gt;="&amp;INT($CS$1),
  '[1]Hoja 1'!$R:$R, "&lt;"&amp;INT($CT$1+1)
)</f>
        <v>0</v>
      </c>
      <c r="CR48" s="1">
        <f t="shared" si="63"/>
        <v>0</v>
      </c>
      <c r="CS48" s="9">
        <f t="shared" si="64"/>
        <v>0</v>
      </c>
      <c r="CT48" s="10">
        <f t="shared" si="65"/>
        <v>0</v>
      </c>
      <c r="CU48" s="1">
        <f>SUMIFS(
  '[1]Hoja 1'!$M:$M,
  '[1]Hoja 1'!$S:$S, $A48,
  '[1]Hoja 1'!$R:$R, "&gt;="&amp;INT($CW$1),
  '[1]Hoja 1'!$R:$R, "&lt;"&amp;INT($CX$1+1)
)</f>
        <v>0</v>
      </c>
      <c r="CV48" s="1">
        <f t="shared" si="66"/>
        <v>0</v>
      </c>
      <c r="CW48" s="9">
        <f t="shared" si="67"/>
        <v>0</v>
      </c>
      <c r="CX48" s="10">
        <f t="shared" si="68"/>
        <v>0</v>
      </c>
      <c r="CY48" s="1">
        <f>SUMIFS(
  '[1]Hoja 1'!$M:$M,
  '[1]Hoja 1'!$S:$S, $A48,
  '[1]Hoja 1'!$R:$R, "&gt;="&amp;INT($DA$1),
  '[1]Hoja 1'!$R:$R, "&lt;"&amp;INT($DB$1+1)
)</f>
        <v>0</v>
      </c>
      <c r="CZ48" s="1">
        <f t="shared" si="69"/>
        <v>0</v>
      </c>
      <c r="DA48" s="9">
        <f t="shared" si="70"/>
        <v>0</v>
      </c>
      <c r="DB48" s="10">
        <f t="shared" si="71"/>
        <v>0</v>
      </c>
      <c r="DC48" s="1">
        <f>SUMIFS(
  '[1]Hoja 1'!$M:$M,
  '[1]Hoja 1'!$S:$S, $A48,
  '[1]Hoja 1'!$R:$R, "&gt;="&amp;INT($DE$1),
  '[1]Hoja 1'!$R:$R, "&lt;"&amp;INT($DF$1+1)
)</f>
        <v>0</v>
      </c>
      <c r="DD48" s="1">
        <f t="shared" si="72"/>
        <v>0</v>
      </c>
      <c r="DE48" s="9">
        <f t="shared" si="73"/>
        <v>0</v>
      </c>
      <c r="DF48" s="10">
        <f t="shared" si="74"/>
        <v>0</v>
      </c>
      <c r="DG48" s="1">
        <f>SUMIFS(
  '[1]Hoja 1'!$M:$M,
  '[1]Hoja 1'!$S:$S, $A48,
  '[1]Hoja 1'!$R:$R, "&gt;="&amp;INT($DI$1),
  '[1]Hoja 1'!$R:$R, "&lt;"&amp;INT($DJ$1+1)
)</f>
        <v>0</v>
      </c>
      <c r="DH48" s="1">
        <f t="shared" si="75"/>
        <v>0</v>
      </c>
      <c r="DI48" s="9">
        <f t="shared" si="76"/>
        <v>0</v>
      </c>
      <c r="DJ48" s="10">
        <f t="shared" si="77"/>
        <v>0</v>
      </c>
      <c r="DK48" s="1">
        <f>SUMIFS(
  '[1]Hoja 1'!$M:$M,
  '[1]Hoja 1'!$S:$S, $A48,
  '[1]Hoja 1'!$R:$R, "&gt;="&amp;INT($DM$1),
  '[1]Hoja 1'!$R:$R, "&lt;"&amp;INT($DN$1+1)
)</f>
        <v>0</v>
      </c>
      <c r="DL48" s="1">
        <f t="shared" si="78"/>
        <v>0</v>
      </c>
      <c r="DM48" s="9">
        <f t="shared" si="79"/>
        <v>0</v>
      </c>
      <c r="DN48" s="10">
        <f t="shared" si="80"/>
        <v>0</v>
      </c>
      <c r="DO48" s="1">
        <f>SUMIFS(
  '[1]Hoja 1'!$M:$M,
  '[1]Hoja 1'!$S:$S, $A48,
  '[1]Hoja 1'!$R:$R, "&gt;="&amp;INT($DQ$1),
  '[1]Hoja 1'!$R:$R, "&lt;"&amp;INT($DR$1+1)
)</f>
        <v>0</v>
      </c>
      <c r="DP48" s="1">
        <f t="shared" si="81"/>
        <v>0</v>
      </c>
      <c r="DQ48" s="9">
        <f t="shared" si="82"/>
        <v>0</v>
      </c>
      <c r="DR48" s="10">
        <f t="shared" si="83"/>
        <v>0</v>
      </c>
    </row>
    <row r="49" spans="1:122" x14ac:dyDescent="0.25">
      <c r="A49" s="5">
        <v>207014</v>
      </c>
      <c r="B49" s="6" t="s">
        <v>53</v>
      </c>
      <c r="C49" s="1">
        <f>SUMIFS(
  '[1]Hoja 1'!$M:$M,
  '[1]Hoja 1'!$S:$S, $A49,
  '[1]Hoja 1'!$R:$R, "&gt;="&amp;INT($E$1),
  '[1]Hoja 1'!$R:$R, "&lt;"&amp;INT($F$1+1)
)</f>
        <v>0</v>
      </c>
      <c r="D49" s="1" t="str">
        <f>""</f>
        <v/>
      </c>
      <c r="F49" s="2"/>
      <c r="G49" s="1">
        <f>SUMIFS(
  '[1]Hoja 1'!$M:$M,
  '[1]Hoja 1'!$S:$S, $A49,
  '[1]Hoja 1'!$R:$R, "&gt;="&amp;INT($I$1),
  '[1]Hoja 1'!$R:$R, "&lt;"&amp;INT($J$1+1)
)</f>
        <v>0</v>
      </c>
      <c r="H49" s="1">
        <f t="shared" si="84"/>
        <v>0</v>
      </c>
      <c r="I49" s="1"/>
      <c r="J49" s="2"/>
      <c r="K49" s="1">
        <f>SUMIFS(
  '[1]Hoja 1'!$M:$M,
  '[1]Hoja 1'!$S:$S, $A49,
  '[1]Hoja 1'!$R:$R, "&gt;="&amp;INT($M$1),
  '[1]Hoja 1'!$R:$R, "&lt;"&amp;INT($N$1+1)
)</f>
        <v>0</v>
      </c>
      <c r="L49" s="1">
        <f t="shared" si="0"/>
        <v>0</v>
      </c>
      <c r="M49" s="9">
        <f t="shared" si="1"/>
        <v>0</v>
      </c>
      <c r="N49" s="10">
        <f t="shared" si="2"/>
        <v>0</v>
      </c>
      <c r="O49" s="1">
        <f>SUMIFS(
  '[1]Hoja 1'!$M:$M,
  '[1]Hoja 1'!$S:$S, $A49,
  '[1]Hoja 1'!$R:$R, "&gt;="&amp;INT($Q$1),
  '[1]Hoja 1'!$R:$R, "&lt;"&amp;INT($R$1+1)
)</f>
        <v>0</v>
      </c>
      <c r="P49" s="1">
        <f t="shared" si="3"/>
        <v>0</v>
      </c>
      <c r="Q49" s="9">
        <f t="shared" si="4"/>
        <v>0</v>
      </c>
      <c r="R49" s="10">
        <f t="shared" si="5"/>
        <v>0</v>
      </c>
      <c r="S49" s="1">
        <f>SUMIFS(
  '[1]Hoja 1'!$M:$M,
  '[1]Hoja 1'!$S:$S, $A49,
  '[1]Hoja 1'!$R:$R, "&gt;="&amp;INT($U$1),
  '[1]Hoja 1'!$R:$R, "&lt;"&amp;INT($V$1+1)
)</f>
        <v>0</v>
      </c>
      <c r="T49" s="1">
        <f t="shared" si="6"/>
        <v>0</v>
      </c>
      <c r="U49" s="9">
        <f t="shared" si="7"/>
        <v>0</v>
      </c>
      <c r="V49" s="10">
        <f t="shared" si="8"/>
        <v>0</v>
      </c>
      <c r="W49" s="1">
        <f>SUMIFS(
  '[1]Hoja 1'!$M:$M,
  '[1]Hoja 1'!$S:$S, $A49,
  '[1]Hoja 1'!$R:$R, "&gt;="&amp;INT($Y$1),
  '[1]Hoja 1'!$R:$R, "&lt;"&amp;INT($Z$1+1)
)</f>
        <v>0</v>
      </c>
      <c r="X49" s="1">
        <f t="shared" si="9"/>
        <v>0</v>
      </c>
      <c r="Y49" s="9">
        <f t="shared" si="10"/>
        <v>0</v>
      </c>
      <c r="Z49" s="10">
        <f t="shared" si="11"/>
        <v>0</v>
      </c>
      <c r="AA49" s="1">
        <f>SUMIFS(
  '[1]Hoja 1'!$M:$M,
  '[1]Hoja 1'!$S:$S, $A49,
  '[1]Hoja 1'!$R:$R, "&gt;="&amp;INT($AC$1),
  '[1]Hoja 1'!$R:$R, "&lt;"&amp;INT($AD$1+1)
)</f>
        <v>0</v>
      </c>
      <c r="AB49" s="1">
        <f t="shared" si="12"/>
        <v>0</v>
      </c>
      <c r="AC49" s="9">
        <f t="shared" si="13"/>
        <v>0</v>
      </c>
      <c r="AD49" s="10">
        <f t="shared" si="14"/>
        <v>0</v>
      </c>
      <c r="AE49" s="1">
        <f>SUMIFS(
  '[1]Hoja 1'!$M:$M,
  '[1]Hoja 1'!$S:$S, $A49,
  '[1]Hoja 1'!$R:$R, "&gt;="&amp;INT($AG$1),
  '[1]Hoja 1'!$R:$R, "&lt;"&amp;INT($AH$1+1)
)</f>
        <v>0</v>
      </c>
      <c r="AF49" s="1">
        <f t="shared" si="15"/>
        <v>0</v>
      </c>
      <c r="AG49" s="9">
        <f t="shared" si="16"/>
        <v>0</v>
      </c>
      <c r="AH49" s="10">
        <f t="shared" si="17"/>
        <v>0</v>
      </c>
      <c r="AI49" s="1">
        <f>SUMIFS(
  '[1]Hoja 1'!$M:$M,
  '[1]Hoja 1'!$S:$S, $A49,
  '[1]Hoja 1'!$R:$R, "&gt;="&amp;INT($AK$1),
  '[1]Hoja 1'!$R:$R, "&lt;"&amp;INT($AL$1+1)
)</f>
        <v>0</v>
      </c>
      <c r="AJ49" s="1">
        <f t="shared" si="18"/>
        <v>0</v>
      </c>
      <c r="AK49" s="9">
        <f t="shared" si="19"/>
        <v>0</v>
      </c>
      <c r="AL49" s="10">
        <f t="shared" si="20"/>
        <v>0</v>
      </c>
      <c r="AM49" s="1">
        <f>SUMIFS(
  '[1]Hoja 1'!$M:$M,
  '[1]Hoja 1'!$S:$S, $A49,
  '[1]Hoja 1'!$R:$R, "&gt;="&amp;INT($AO$1),
  '[1]Hoja 1'!$R:$R, "&lt;"&amp;INT($AP$1+1)
)</f>
        <v>0</v>
      </c>
      <c r="AN49" s="1">
        <f t="shared" si="21"/>
        <v>0</v>
      </c>
      <c r="AO49" s="9">
        <f t="shared" si="22"/>
        <v>0</v>
      </c>
      <c r="AP49" s="10">
        <f t="shared" si="23"/>
        <v>0</v>
      </c>
      <c r="AQ49" s="1">
        <f>SUMIFS(
  '[1]Hoja 1'!$M:$M,
  '[1]Hoja 1'!$S:$S, $A49,
  '[1]Hoja 1'!$R:$R, "&gt;="&amp;INT($AS$1),
  '[1]Hoja 1'!$R:$R, "&lt;"&amp;INT($AT$1+1)
)</f>
        <v>0</v>
      </c>
      <c r="AR49" s="1">
        <f t="shared" si="24"/>
        <v>0</v>
      </c>
      <c r="AS49" s="9">
        <f t="shared" si="25"/>
        <v>0</v>
      </c>
      <c r="AT49" s="10">
        <f t="shared" si="26"/>
        <v>0</v>
      </c>
      <c r="AU49" s="1">
        <f>SUMIFS(
  '[1]Hoja 1'!$M:$M,
  '[1]Hoja 1'!$S:$S, $A49,
  '[1]Hoja 1'!$R:$R, "&gt;="&amp;INT($AW$1),
  '[1]Hoja 1'!$R:$R, "&lt;"&amp;INT($AX$1+1)
)</f>
        <v>0</v>
      </c>
      <c r="AV49" s="1">
        <f t="shared" si="27"/>
        <v>0</v>
      </c>
      <c r="AW49" s="9">
        <f t="shared" si="28"/>
        <v>0</v>
      </c>
      <c r="AX49" s="10">
        <f t="shared" si="29"/>
        <v>0</v>
      </c>
      <c r="AY49" s="1">
        <f>SUMIFS(
  '[1]Hoja 1'!$M:$M,
  '[1]Hoja 1'!$S:$S, $A49,
  '[1]Hoja 1'!$R:$R, "&gt;="&amp;INT($BA$1),
  '[1]Hoja 1'!$R:$R, "&lt;"&amp;INT($BB$1+1)
)</f>
        <v>0</v>
      </c>
      <c r="AZ49" s="1">
        <f t="shared" si="30"/>
        <v>0</v>
      </c>
      <c r="BA49" s="9">
        <f t="shared" si="31"/>
        <v>0</v>
      </c>
      <c r="BB49" s="10">
        <f t="shared" si="32"/>
        <v>0</v>
      </c>
      <c r="BC49" s="1">
        <f>SUMIFS(
  '[1]Hoja 1'!$M:$M,
  '[1]Hoja 1'!$S:$S, $A49,
  '[1]Hoja 1'!$R:$R, "&gt;="&amp;INT($BE$1),
  '[1]Hoja 1'!$R:$R, "&lt;"&amp;INT($BF$1+1)
)</f>
        <v>0</v>
      </c>
      <c r="BD49" s="1">
        <f t="shared" si="33"/>
        <v>0</v>
      </c>
      <c r="BE49" s="9">
        <f t="shared" si="34"/>
        <v>0</v>
      </c>
      <c r="BF49" s="10">
        <f t="shared" si="35"/>
        <v>0</v>
      </c>
      <c r="BG49" s="1">
        <f>SUMIFS(
  '[1]Hoja 1'!$M:$M,
  '[1]Hoja 1'!$S:$S, $A49,
  '[1]Hoja 1'!$R:$R, "&gt;="&amp;INT($BI$1),
  '[1]Hoja 1'!$R:$R, "&lt;"&amp;INT($BJ$1+1)
)</f>
        <v>0</v>
      </c>
      <c r="BH49" s="1">
        <f t="shared" si="36"/>
        <v>0</v>
      </c>
      <c r="BI49" s="9">
        <f t="shared" si="37"/>
        <v>0</v>
      </c>
      <c r="BJ49" s="10">
        <f t="shared" si="38"/>
        <v>0</v>
      </c>
      <c r="BK49" s="1">
        <f>SUMIFS(
  '[1]Hoja 1'!$M:$M,
  '[1]Hoja 1'!$S:$S, $A49,
  '[1]Hoja 1'!$R:$R, "&gt;="&amp;INT($BM$1),
  '[1]Hoja 1'!$R:$R, "&lt;"&amp;INT($BN$1+1)
)</f>
        <v>0</v>
      </c>
      <c r="BL49" s="1">
        <f t="shared" si="39"/>
        <v>0</v>
      </c>
      <c r="BM49" s="9">
        <f t="shared" si="40"/>
        <v>0</v>
      </c>
      <c r="BN49" s="10">
        <f t="shared" si="41"/>
        <v>0</v>
      </c>
      <c r="BO49" s="1">
        <f>SUMIFS(
  '[1]Hoja 1'!$M:$M,
  '[1]Hoja 1'!$S:$S, $A49,
  '[1]Hoja 1'!$R:$R, "&gt;="&amp;INT($BQ$1),
  '[1]Hoja 1'!$R:$R, "&lt;"&amp;INT($BR$1+1)
)</f>
        <v>0</v>
      </c>
      <c r="BP49" s="1">
        <f t="shared" si="42"/>
        <v>0</v>
      </c>
      <c r="BQ49" s="9">
        <f t="shared" si="43"/>
        <v>0</v>
      </c>
      <c r="BR49" s="10">
        <f t="shared" si="44"/>
        <v>0</v>
      </c>
      <c r="BS49" s="1">
        <f>SUMIFS(
  '[1]Hoja 1'!$M:$M,
  '[1]Hoja 1'!$S:$S, $A49,
  '[1]Hoja 1'!$R:$R, "&gt;="&amp;INT($BU$1),
  '[1]Hoja 1'!$R:$R, "&lt;"&amp;INT($BV$1+1)
)</f>
        <v>0</v>
      </c>
      <c r="BT49" s="1">
        <f t="shared" si="45"/>
        <v>0</v>
      </c>
      <c r="BU49" s="9">
        <f t="shared" si="46"/>
        <v>0</v>
      </c>
      <c r="BV49" s="10">
        <f t="shared" si="47"/>
        <v>0</v>
      </c>
      <c r="BW49" s="1">
        <f>SUMIFS(
  '[1]Hoja 1'!$M:$M,
  '[1]Hoja 1'!$S:$S, $A49,
  '[1]Hoja 1'!$R:$R, "&gt;="&amp;INT($BY$1),
  '[1]Hoja 1'!$R:$R, "&lt;"&amp;INT($BZ$1+1)
)</f>
        <v>0</v>
      </c>
      <c r="BX49" s="1">
        <f t="shared" si="48"/>
        <v>0</v>
      </c>
      <c r="BY49" s="9">
        <f t="shared" si="49"/>
        <v>0</v>
      </c>
      <c r="BZ49" s="10">
        <f t="shared" si="50"/>
        <v>0</v>
      </c>
      <c r="CA49" s="1">
        <f>SUMIFS(
  '[1]Hoja 1'!$M:$M,
  '[1]Hoja 1'!$S:$S, $A49,
  '[1]Hoja 1'!$R:$R, "&gt;="&amp;INT($CC$1),
  '[1]Hoja 1'!$R:$R, "&lt;"&amp;INT($CD$1+1)
)</f>
        <v>0</v>
      </c>
      <c r="CB49" s="1">
        <f t="shared" si="51"/>
        <v>0</v>
      </c>
      <c r="CC49" s="9">
        <f t="shared" si="52"/>
        <v>0</v>
      </c>
      <c r="CD49" s="10">
        <f t="shared" si="53"/>
        <v>0</v>
      </c>
      <c r="CE49" s="1">
        <f>SUMIFS(
  '[1]Hoja 1'!$M:$M,
  '[1]Hoja 1'!$S:$S, $A49,
  '[1]Hoja 1'!$R:$R, "&gt;="&amp;INT($CG$1),
  '[1]Hoja 1'!$R:$R, "&lt;"&amp;INT($CH$1+1)
)</f>
        <v>0</v>
      </c>
      <c r="CF49" s="1">
        <f t="shared" si="54"/>
        <v>0</v>
      </c>
      <c r="CG49" s="9">
        <f t="shared" si="55"/>
        <v>0</v>
      </c>
      <c r="CH49" s="10">
        <f t="shared" si="56"/>
        <v>0</v>
      </c>
      <c r="CI49" s="1">
        <f>SUMIFS(
  '[1]Hoja 1'!$M:$M,
  '[1]Hoja 1'!$S:$S, $A49,
  '[1]Hoja 1'!$R:$R, "&gt;="&amp;INT($CK$1),
  '[1]Hoja 1'!$R:$R, "&lt;"&amp;INT($CL$1+1)
)</f>
        <v>0</v>
      </c>
      <c r="CJ49" s="1">
        <f t="shared" si="57"/>
        <v>0</v>
      </c>
      <c r="CK49" s="9">
        <f t="shared" si="58"/>
        <v>0</v>
      </c>
      <c r="CL49" s="10">
        <f t="shared" si="59"/>
        <v>0</v>
      </c>
      <c r="CM49" s="1">
        <f>SUMIFS(
  '[1]Hoja 1'!$M:$M,
  '[1]Hoja 1'!$S:$S, $A49,
  '[1]Hoja 1'!$R:$R, "&gt;="&amp;INT($CO$1),
  '[1]Hoja 1'!$R:$R, "&lt;"&amp;INT($CP$1+1)
)</f>
        <v>0</v>
      </c>
      <c r="CN49" s="1">
        <f t="shared" si="60"/>
        <v>0</v>
      </c>
      <c r="CO49" s="9">
        <f t="shared" si="61"/>
        <v>0</v>
      </c>
      <c r="CP49" s="10">
        <f t="shared" si="62"/>
        <v>0</v>
      </c>
      <c r="CQ49" s="1">
        <f>SUMIFS(
  '[1]Hoja 1'!$M:$M,
  '[1]Hoja 1'!$S:$S, $A49,
  '[1]Hoja 1'!$R:$R, "&gt;="&amp;INT($CS$1),
  '[1]Hoja 1'!$R:$R, "&lt;"&amp;INT($CT$1+1)
)</f>
        <v>0</v>
      </c>
      <c r="CR49" s="1">
        <f t="shared" si="63"/>
        <v>0</v>
      </c>
      <c r="CS49" s="9">
        <f t="shared" si="64"/>
        <v>0</v>
      </c>
      <c r="CT49" s="10">
        <f t="shared" si="65"/>
        <v>0</v>
      </c>
      <c r="CU49" s="1">
        <f>SUMIFS(
  '[1]Hoja 1'!$M:$M,
  '[1]Hoja 1'!$S:$S, $A49,
  '[1]Hoja 1'!$R:$R, "&gt;="&amp;INT($CW$1),
  '[1]Hoja 1'!$R:$R, "&lt;"&amp;INT($CX$1+1)
)</f>
        <v>0</v>
      </c>
      <c r="CV49" s="1">
        <f t="shared" si="66"/>
        <v>0</v>
      </c>
      <c r="CW49" s="9">
        <f t="shared" si="67"/>
        <v>0</v>
      </c>
      <c r="CX49" s="10">
        <f t="shared" si="68"/>
        <v>0</v>
      </c>
      <c r="CY49" s="1">
        <f>SUMIFS(
  '[1]Hoja 1'!$M:$M,
  '[1]Hoja 1'!$S:$S, $A49,
  '[1]Hoja 1'!$R:$R, "&gt;="&amp;INT($DA$1),
  '[1]Hoja 1'!$R:$R, "&lt;"&amp;INT($DB$1+1)
)</f>
        <v>0</v>
      </c>
      <c r="CZ49" s="1">
        <f t="shared" si="69"/>
        <v>0</v>
      </c>
      <c r="DA49" s="9">
        <f t="shared" si="70"/>
        <v>0</v>
      </c>
      <c r="DB49" s="10">
        <f t="shared" si="71"/>
        <v>0</v>
      </c>
      <c r="DC49" s="1">
        <f>SUMIFS(
  '[1]Hoja 1'!$M:$M,
  '[1]Hoja 1'!$S:$S, $A49,
  '[1]Hoja 1'!$R:$R, "&gt;="&amp;INT($DE$1),
  '[1]Hoja 1'!$R:$R, "&lt;"&amp;INT($DF$1+1)
)</f>
        <v>0</v>
      </c>
      <c r="DD49" s="1">
        <f t="shared" si="72"/>
        <v>0</v>
      </c>
      <c r="DE49" s="9">
        <f t="shared" si="73"/>
        <v>0</v>
      </c>
      <c r="DF49" s="10">
        <f t="shared" si="74"/>
        <v>0</v>
      </c>
      <c r="DG49" s="1">
        <f>SUMIFS(
  '[1]Hoja 1'!$M:$M,
  '[1]Hoja 1'!$S:$S, $A49,
  '[1]Hoja 1'!$R:$R, "&gt;="&amp;INT($DI$1),
  '[1]Hoja 1'!$R:$R, "&lt;"&amp;INT($DJ$1+1)
)</f>
        <v>0</v>
      </c>
      <c r="DH49" s="1">
        <f t="shared" si="75"/>
        <v>0</v>
      </c>
      <c r="DI49" s="9">
        <f t="shared" si="76"/>
        <v>0</v>
      </c>
      <c r="DJ49" s="10">
        <f t="shared" si="77"/>
        <v>0</v>
      </c>
      <c r="DK49" s="1">
        <f>SUMIFS(
  '[1]Hoja 1'!$M:$M,
  '[1]Hoja 1'!$S:$S, $A49,
  '[1]Hoja 1'!$R:$R, "&gt;="&amp;INT($DM$1),
  '[1]Hoja 1'!$R:$R, "&lt;"&amp;INT($DN$1+1)
)</f>
        <v>0</v>
      </c>
      <c r="DL49" s="1">
        <f t="shared" si="78"/>
        <v>0</v>
      </c>
      <c r="DM49" s="9">
        <f t="shared" si="79"/>
        <v>0</v>
      </c>
      <c r="DN49" s="10">
        <f t="shared" si="80"/>
        <v>0</v>
      </c>
      <c r="DO49" s="1">
        <f>SUMIFS(
  '[1]Hoja 1'!$M:$M,
  '[1]Hoja 1'!$S:$S, $A49,
  '[1]Hoja 1'!$R:$R, "&gt;="&amp;INT($DQ$1),
  '[1]Hoja 1'!$R:$R, "&lt;"&amp;INT($DR$1+1)
)</f>
        <v>0</v>
      </c>
      <c r="DP49" s="1">
        <f t="shared" si="81"/>
        <v>0</v>
      </c>
      <c r="DQ49" s="9">
        <f t="shared" si="82"/>
        <v>0</v>
      </c>
      <c r="DR49" s="10">
        <f t="shared" si="83"/>
        <v>0</v>
      </c>
    </row>
    <row r="50" spans="1:122" x14ac:dyDescent="0.25">
      <c r="A50" s="5">
        <v>207017</v>
      </c>
      <c r="B50" s="6" t="s">
        <v>4</v>
      </c>
      <c r="C50" s="1">
        <f>SUMIFS(
  '[1]Hoja 1'!$M:$M,
  '[1]Hoja 1'!$S:$S, $A50,
  '[1]Hoja 1'!$R:$R, "&gt;="&amp;INT($E$1),
  '[1]Hoja 1'!$R:$R, "&lt;"&amp;INT($F$1+1)
)</f>
        <v>9</v>
      </c>
      <c r="D50" s="1" t="str">
        <f>""</f>
        <v/>
      </c>
      <c r="F50" s="2"/>
      <c r="G50" s="1">
        <f>SUMIFS(
  '[1]Hoja 1'!$M:$M,
  '[1]Hoja 1'!$S:$S, $A50,
  '[1]Hoja 1'!$R:$R, "&gt;="&amp;INT($I$1),
  '[1]Hoja 1'!$R:$R, "&lt;"&amp;INT($J$1+1)
)</f>
        <v>9</v>
      </c>
      <c r="H50" s="1">
        <f t="shared" si="84"/>
        <v>9</v>
      </c>
      <c r="I50" s="1"/>
      <c r="J50" s="2"/>
      <c r="K50" s="1">
        <f>SUMIFS(
  '[1]Hoja 1'!$M:$M,
  '[1]Hoja 1'!$S:$S, $A50,
  '[1]Hoja 1'!$R:$R, "&gt;="&amp;INT($M$1),
  '[1]Hoja 1'!$R:$R, "&lt;"&amp;INT($N$1+1)
)</f>
        <v>15</v>
      </c>
      <c r="L50" s="1">
        <f t="shared" si="0"/>
        <v>12</v>
      </c>
      <c r="M50" s="9">
        <f t="shared" si="1"/>
        <v>7.8422121266231013</v>
      </c>
      <c r="N50" s="10">
        <f t="shared" si="2"/>
        <v>16.157787873376897</v>
      </c>
      <c r="O50" s="1">
        <f>SUMIFS(
  '[1]Hoja 1'!$M:$M,
  '[1]Hoja 1'!$S:$S, $A50,
  '[1]Hoja 1'!$R:$R, "&gt;="&amp;INT($Q$1),
  '[1]Hoja 1'!$R:$R, "&lt;"&amp;INT($R$1+1)
)</f>
        <v>3</v>
      </c>
      <c r="P50" s="1">
        <f t="shared" si="3"/>
        <v>9</v>
      </c>
      <c r="Q50" s="9">
        <f t="shared" si="4"/>
        <v>3.0181516378865538</v>
      </c>
      <c r="R50" s="10">
        <f t="shared" si="5"/>
        <v>20.981848362113446</v>
      </c>
      <c r="S50" s="1">
        <f>SUMIFS(
  '[1]Hoja 1'!$M:$M,
  '[1]Hoja 1'!$S:$S, $A50,
  '[1]Hoja 1'!$R:$R, "&gt;="&amp;INT($U$1),
  '[1]Hoja 1'!$R:$R, "&lt;"&amp;INT($V$1+1)
)</f>
        <v>6</v>
      </c>
      <c r="T50" s="1">
        <f t="shared" si="6"/>
        <v>5</v>
      </c>
      <c r="U50" s="9">
        <f t="shared" si="7"/>
        <v>-2.7320695806491546</v>
      </c>
      <c r="V50" s="10">
        <f t="shared" si="8"/>
        <v>12.732069580649155</v>
      </c>
      <c r="W50" s="1">
        <f>SUMIFS(
  '[1]Hoja 1'!$M:$M,
  '[1]Hoja 1'!$S:$S, $A50,
  '[1]Hoja 1'!$R:$R, "&gt;="&amp;INT($Y$1),
  '[1]Hoja 1'!$R:$R, "&lt;"&amp;INT($Z$1+1)
)</f>
        <v>4</v>
      </c>
      <c r="X50" s="1">
        <f t="shared" si="9"/>
        <v>5</v>
      </c>
      <c r="Y50" s="9">
        <f t="shared" si="10"/>
        <v>-2.7320695806491546</v>
      </c>
      <c r="Z50" s="10">
        <f t="shared" si="11"/>
        <v>12.732069580649155</v>
      </c>
      <c r="AA50" s="1">
        <f>SUMIFS(
  '[1]Hoja 1'!$M:$M,
  '[1]Hoja 1'!$S:$S, $A50,
  '[1]Hoja 1'!$R:$R, "&gt;="&amp;INT($AC$1),
  '[1]Hoja 1'!$R:$R, "&lt;"&amp;INT($AD$1+1)
)</f>
        <v>10</v>
      </c>
      <c r="AB50" s="1">
        <f t="shared" si="12"/>
        <v>7</v>
      </c>
      <c r="AC50" s="9">
        <f t="shared" si="13"/>
        <v>0.28145849160697711</v>
      </c>
      <c r="AD50" s="10">
        <f t="shared" si="14"/>
        <v>14.732069580649155</v>
      </c>
      <c r="AE50" s="1">
        <f>SUMIFS(
  '[1]Hoja 1'!$M:$M,
  '[1]Hoja 1'!$S:$S, $A50,
  '[1]Hoja 1'!$R:$R, "&gt;="&amp;INT($AG$1),
  '[1]Hoja 1'!$R:$R, "&lt;"&amp;INT($AH$1+1)
)</f>
        <v>0</v>
      </c>
      <c r="AF50" s="1">
        <f t="shared" si="15"/>
        <v>5</v>
      </c>
      <c r="AG50" s="9">
        <f t="shared" si="16"/>
        <v>-0.94497434813641501</v>
      </c>
      <c r="AH50" s="10">
        <f t="shared" si="17"/>
        <v>11.854164184396714</v>
      </c>
      <c r="AI50" s="1">
        <f>SUMIFS(
  '[1]Hoja 1'!$M:$M,
  '[1]Hoja 1'!$S:$S, $A50,
  '[1]Hoja 1'!$R:$R, "&gt;="&amp;INT($AK$1),
  '[1]Hoja 1'!$R:$R, "&lt;"&amp;INT($AL$1+1)
)</f>
        <v>0</v>
      </c>
      <c r="AJ50" s="1">
        <f t="shared" si="18"/>
        <v>0</v>
      </c>
      <c r="AK50" s="9">
        <f t="shared" si="19"/>
        <v>-5.6467052340280697</v>
      </c>
      <c r="AL50" s="10">
        <f t="shared" si="20"/>
        <v>6.4759143498556764</v>
      </c>
      <c r="AM50" s="1">
        <f>SUMIFS(
  '[1]Hoja 1'!$M:$M,
  '[1]Hoja 1'!$S:$S, $A50,
  '[1]Hoja 1'!$R:$R, "&gt;="&amp;INT($AO$1),
  '[1]Hoja 1'!$R:$R, "&lt;"&amp;INT($AP$1+1)
)</f>
        <v>0</v>
      </c>
      <c r="AN50" s="1">
        <f t="shared" si="21"/>
        <v>0</v>
      </c>
      <c r="AO50" s="9">
        <f t="shared" si="22"/>
        <v>-5.6467052340280697</v>
      </c>
      <c r="AP50" s="10">
        <f t="shared" si="23"/>
        <v>6.5005845890965839</v>
      </c>
      <c r="AQ50" s="1">
        <f>SUMIFS(
  '[1]Hoja 1'!$M:$M,
  '[1]Hoja 1'!$S:$S, $A50,
  '[1]Hoja 1'!$R:$R, "&gt;="&amp;INT($AS$1),
  '[1]Hoja 1'!$R:$R, "&lt;"&amp;INT($AT$1+1)
)</f>
        <v>0</v>
      </c>
      <c r="AR50" s="1">
        <f t="shared" si="24"/>
        <v>0</v>
      </c>
      <c r="AS50" s="9">
        <f t="shared" si="25"/>
        <v>-4.3826932358995876</v>
      </c>
      <c r="AT50" s="10">
        <f t="shared" si="26"/>
        <v>4.9000000000000004</v>
      </c>
      <c r="AU50" s="1">
        <f>SUMIFS(
  '[1]Hoja 1'!$M:$M,
  '[1]Hoja 1'!$S:$S, $A50,
  '[1]Hoja 1'!$R:$R, "&gt;="&amp;INT($AW$1),
  '[1]Hoja 1'!$R:$R, "&lt;"&amp;INT($AX$1+1)
)</f>
        <v>0</v>
      </c>
      <c r="AV50" s="1">
        <f t="shared" si="27"/>
        <v>0</v>
      </c>
      <c r="AW50" s="9">
        <f t="shared" si="28"/>
        <v>0</v>
      </c>
      <c r="AX50" s="10">
        <f t="shared" si="29"/>
        <v>0</v>
      </c>
      <c r="AY50" s="1">
        <f>SUMIFS(
  '[1]Hoja 1'!$M:$M,
  '[1]Hoja 1'!$S:$S, $A50,
  '[1]Hoja 1'!$R:$R, "&gt;="&amp;INT($BA$1),
  '[1]Hoja 1'!$R:$R, "&lt;"&amp;INT($BB$1+1)
)</f>
        <v>0</v>
      </c>
      <c r="AZ50" s="1">
        <f t="shared" si="30"/>
        <v>0</v>
      </c>
      <c r="BA50" s="9">
        <f t="shared" si="31"/>
        <v>0</v>
      </c>
      <c r="BB50" s="10">
        <f t="shared" si="32"/>
        <v>0</v>
      </c>
      <c r="BC50" s="1">
        <f>SUMIFS(
  '[1]Hoja 1'!$M:$M,
  '[1]Hoja 1'!$S:$S, $A50,
  '[1]Hoja 1'!$R:$R, "&gt;="&amp;INT($BE$1),
  '[1]Hoja 1'!$R:$R, "&lt;"&amp;INT($BF$1+1)
)</f>
        <v>0</v>
      </c>
      <c r="BD50" s="1">
        <f t="shared" si="33"/>
        <v>0</v>
      </c>
      <c r="BE50" s="9">
        <f t="shared" si="34"/>
        <v>0</v>
      </c>
      <c r="BF50" s="10">
        <f t="shared" si="35"/>
        <v>0</v>
      </c>
      <c r="BG50" s="1">
        <f>SUMIFS(
  '[1]Hoja 1'!$M:$M,
  '[1]Hoja 1'!$S:$S, $A50,
  '[1]Hoja 1'!$R:$R, "&gt;="&amp;INT($BI$1),
  '[1]Hoja 1'!$R:$R, "&lt;"&amp;INT($BJ$1+1)
)</f>
        <v>0</v>
      </c>
      <c r="BH50" s="1">
        <f t="shared" si="36"/>
        <v>0</v>
      </c>
      <c r="BI50" s="9">
        <f t="shared" si="37"/>
        <v>0</v>
      </c>
      <c r="BJ50" s="10">
        <f t="shared" si="38"/>
        <v>0</v>
      </c>
      <c r="BK50" s="1">
        <f>SUMIFS(
  '[1]Hoja 1'!$M:$M,
  '[1]Hoja 1'!$S:$S, $A50,
  '[1]Hoja 1'!$R:$R, "&gt;="&amp;INT($BM$1),
  '[1]Hoja 1'!$R:$R, "&lt;"&amp;INT($BN$1+1)
)</f>
        <v>0</v>
      </c>
      <c r="BL50" s="1">
        <f t="shared" si="39"/>
        <v>0</v>
      </c>
      <c r="BM50" s="9">
        <f t="shared" si="40"/>
        <v>0</v>
      </c>
      <c r="BN50" s="10">
        <f t="shared" si="41"/>
        <v>0</v>
      </c>
      <c r="BO50" s="1">
        <f>SUMIFS(
  '[1]Hoja 1'!$M:$M,
  '[1]Hoja 1'!$S:$S, $A50,
  '[1]Hoja 1'!$R:$R, "&gt;="&amp;INT($BQ$1),
  '[1]Hoja 1'!$R:$R, "&lt;"&amp;INT($BR$1+1)
)</f>
        <v>0</v>
      </c>
      <c r="BP50" s="1">
        <f t="shared" si="42"/>
        <v>0</v>
      </c>
      <c r="BQ50" s="9">
        <f t="shared" si="43"/>
        <v>0</v>
      </c>
      <c r="BR50" s="10">
        <f t="shared" si="44"/>
        <v>0</v>
      </c>
      <c r="BS50" s="1">
        <f>SUMIFS(
  '[1]Hoja 1'!$M:$M,
  '[1]Hoja 1'!$S:$S, $A50,
  '[1]Hoja 1'!$R:$R, "&gt;="&amp;INT($BU$1),
  '[1]Hoja 1'!$R:$R, "&lt;"&amp;INT($BV$1+1)
)</f>
        <v>0</v>
      </c>
      <c r="BT50" s="1">
        <f t="shared" si="45"/>
        <v>0</v>
      </c>
      <c r="BU50" s="9">
        <f t="shared" si="46"/>
        <v>0</v>
      </c>
      <c r="BV50" s="10">
        <f t="shared" si="47"/>
        <v>0</v>
      </c>
      <c r="BW50" s="1">
        <f>SUMIFS(
  '[1]Hoja 1'!$M:$M,
  '[1]Hoja 1'!$S:$S, $A50,
  '[1]Hoja 1'!$R:$R, "&gt;="&amp;INT($BY$1),
  '[1]Hoja 1'!$R:$R, "&lt;"&amp;INT($BZ$1+1)
)</f>
        <v>0</v>
      </c>
      <c r="BX50" s="1">
        <f t="shared" si="48"/>
        <v>0</v>
      </c>
      <c r="BY50" s="9">
        <f t="shared" si="49"/>
        <v>0</v>
      </c>
      <c r="BZ50" s="10">
        <f t="shared" si="50"/>
        <v>0</v>
      </c>
      <c r="CA50" s="1">
        <f>SUMIFS(
  '[1]Hoja 1'!$M:$M,
  '[1]Hoja 1'!$S:$S, $A50,
  '[1]Hoja 1'!$R:$R, "&gt;="&amp;INT($CC$1),
  '[1]Hoja 1'!$R:$R, "&lt;"&amp;INT($CD$1+1)
)</f>
        <v>0</v>
      </c>
      <c r="CB50" s="1">
        <f t="shared" si="51"/>
        <v>0</v>
      </c>
      <c r="CC50" s="9">
        <f t="shared" si="52"/>
        <v>0</v>
      </c>
      <c r="CD50" s="10">
        <f t="shared" si="53"/>
        <v>0</v>
      </c>
      <c r="CE50" s="1">
        <f>SUMIFS(
  '[1]Hoja 1'!$M:$M,
  '[1]Hoja 1'!$S:$S, $A50,
  '[1]Hoja 1'!$R:$R, "&gt;="&amp;INT($CG$1),
  '[1]Hoja 1'!$R:$R, "&lt;"&amp;INT($CH$1+1)
)</f>
        <v>0</v>
      </c>
      <c r="CF50" s="1">
        <f t="shared" si="54"/>
        <v>0</v>
      </c>
      <c r="CG50" s="9">
        <f t="shared" si="55"/>
        <v>0</v>
      </c>
      <c r="CH50" s="10">
        <f t="shared" si="56"/>
        <v>0</v>
      </c>
      <c r="CI50" s="1">
        <f>SUMIFS(
  '[1]Hoja 1'!$M:$M,
  '[1]Hoja 1'!$S:$S, $A50,
  '[1]Hoja 1'!$R:$R, "&gt;="&amp;INT($CK$1),
  '[1]Hoja 1'!$R:$R, "&lt;"&amp;INT($CL$1+1)
)</f>
        <v>0</v>
      </c>
      <c r="CJ50" s="1">
        <f t="shared" si="57"/>
        <v>0</v>
      </c>
      <c r="CK50" s="9">
        <f t="shared" si="58"/>
        <v>0</v>
      </c>
      <c r="CL50" s="10">
        <f t="shared" si="59"/>
        <v>0</v>
      </c>
      <c r="CM50" s="1">
        <f>SUMIFS(
  '[1]Hoja 1'!$M:$M,
  '[1]Hoja 1'!$S:$S, $A50,
  '[1]Hoja 1'!$R:$R, "&gt;="&amp;INT($CO$1),
  '[1]Hoja 1'!$R:$R, "&lt;"&amp;INT($CP$1+1)
)</f>
        <v>0</v>
      </c>
      <c r="CN50" s="1">
        <f t="shared" si="60"/>
        <v>0</v>
      </c>
      <c r="CO50" s="9">
        <f t="shared" si="61"/>
        <v>0</v>
      </c>
      <c r="CP50" s="10">
        <f t="shared" si="62"/>
        <v>0</v>
      </c>
      <c r="CQ50" s="1">
        <f>SUMIFS(
  '[1]Hoja 1'!$M:$M,
  '[1]Hoja 1'!$S:$S, $A50,
  '[1]Hoja 1'!$R:$R, "&gt;="&amp;INT($CS$1),
  '[1]Hoja 1'!$R:$R, "&lt;"&amp;INT($CT$1+1)
)</f>
        <v>0</v>
      </c>
      <c r="CR50" s="1">
        <f t="shared" si="63"/>
        <v>0</v>
      </c>
      <c r="CS50" s="9">
        <f t="shared" si="64"/>
        <v>0</v>
      </c>
      <c r="CT50" s="10">
        <f t="shared" si="65"/>
        <v>0</v>
      </c>
      <c r="CU50" s="1">
        <f>SUMIFS(
  '[1]Hoja 1'!$M:$M,
  '[1]Hoja 1'!$S:$S, $A50,
  '[1]Hoja 1'!$R:$R, "&gt;="&amp;INT($CW$1),
  '[1]Hoja 1'!$R:$R, "&lt;"&amp;INT($CX$1+1)
)</f>
        <v>0</v>
      </c>
      <c r="CV50" s="1">
        <f t="shared" si="66"/>
        <v>0</v>
      </c>
      <c r="CW50" s="9">
        <f t="shared" si="67"/>
        <v>0</v>
      </c>
      <c r="CX50" s="10">
        <f t="shared" si="68"/>
        <v>0</v>
      </c>
      <c r="CY50" s="1">
        <f>SUMIFS(
  '[1]Hoja 1'!$M:$M,
  '[1]Hoja 1'!$S:$S, $A50,
  '[1]Hoja 1'!$R:$R, "&gt;="&amp;INT($DA$1),
  '[1]Hoja 1'!$R:$R, "&lt;"&amp;INT($DB$1+1)
)</f>
        <v>0</v>
      </c>
      <c r="CZ50" s="1">
        <f t="shared" si="69"/>
        <v>0</v>
      </c>
      <c r="DA50" s="9">
        <f t="shared" si="70"/>
        <v>0</v>
      </c>
      <c r="DB50" s="10">
        <f t="shared" si="71"/>
        <v>0</v>
      </c>
      <c r="DC50" s="1">
        <f>SUMIFS(
  '[1]Hoja 1'!$M:$M,
  '[1]Hoja 1'!$S:$S, $A50,
  '[1]Hoja 1'!$R:$R, "&gt;="&amp;INT($DE$1),
  '[1]Hoja 1'!$R:$R, "&lt;"&amp;INT($DF$1+1)
)</f>
        <v>0</v>
      </c>
      <c r="DD50" s="1">
        <f t="shared" si="72"/>
        <v>0</v>
      </c>
      <c r="DE50" s="9">
        <f t="shared" si="73"/>
        <v>0</v>
      </c>
      <c r="DF50" s="10">
        <f t="shared" si="74"/>
        <v>0</v>
      </c>
      <c r="DG50" s="1">
        <f>SUMIFS(
  '[1]Hoja 1'!$M:$M,
  '[1]Hoja 1'!$S:$S, $A50,
  '[1]Hoja 1'!$R:$R, "&gt;="&amp;INT($DI$1),
  '[1]Hoja 1'!$R:$R, "&lt;"&amp;INT($DJ$1+1)
)</f>
        <v>0</v>
      </c>
      <c r="DH50" s="1">
        <f t="shared" si="75"/>
        <v>0</v>
      </c>
      <c r="DI50" s="9">
        <f t="shared" si="76"/>
        <v>0</v>
      </c>
      <c r="DJ50" s="10">
        <f t="shared" si="77"/>
        <v>0</v>
      </c>
      <c r="DK50" s="1">
        <f>SUMIFS(
  '[1]Hoja 1'!$M:$M,
  '[1]Hoja 1'!$S:$S, $A50,
  '[1]Hoja 1'!$R:$R, "&gt;="&amp;INT($DM$1),
  '[1]Hoja 1'!$R:$R, "&lt;"&amp;INT($DN$1+1)
)</f>
        <v>0</v>
      </c>
      <c r="DL50" s="1">
        <f t="shared" si="78"/>
        <v>0</v>
      </c>
      <c r="DM50" s="9">
        <f t="shared" si="79"/>
        <v>0</v>
      </c>
      <c r="DN50" s="10">
        <f t="shared" si="80"/>
        <v>0</v>
      </c>
      <c r="DO50" s="1">
        <f>SUMIFS(
  '[1]Hoja 1'!$M:$M,
  '[1]Hoja 1'!$S:$S, $A50,
  '[1]Hoja 1'!$R:$R, "&gt;="&amp;INT($DQ$1),
  '[1]Hoja 1'!$R:$R, "&lt;"&amp;INT($DR$1+1)
)</f>
        <v>0</v>
      </c>
      <c r="DP50" s="1">
        <f t="shared" si="81"/>
        <v>0</v>
      </c>
      <c r="DQ50" s="9">
        <f t="shared" si="82"/>
        <v>0</v>
      </c>
      <c r="DR50" s="10">
        <f t="shared" si="83"/>
        <v>0</v>
      </c>
    </row>
    <row r="51" spans="1:122" x14ac:dyDescent="0.25">
      <c r="A51" s="5">
        <v>208001</v>
      </c>
      <c r="B51" s="6" t="s">
        <v>54</v>
      </c>
      <c r="C51" s="1">
        <f>SUMIFS(
  '[1]Hoja 1'!$M:$M,
  '[1]Hoja 1'!$S:$S, $A51,
  '[1]Hoja 1'!$R:$R, "&gt;="&amp;INT($E$1),
  '[1]Hoja 1'!$R:$R, "&lt;"&amp;INT($F$1+1)
)</f>
        <v>1</v>
      </c>
      <c r="D51" s="1" t="str">
        <f>""</f>
        <v/>
      </c>
      <c r="F51" s="2"/>
      <c r="G51" s="1">
        <f>SUMIFS(
  '[1]Hoja 1'!$M:$M,
  '[1]Hoja 1'!$S:$S, $A51,
  '[1]Hoja 1'!$R:$R, "&gt;="&amp;INT($I$1),
  '[1]Hoja 1'!$R:$R, "&lt;"&amp;INT($J$1+1)
)</f>
        <v>2</v>
      </c>
      <c r="H51" s="1">
        <f t="shared" si="84"/>
        <v>1.5</v>
      </c>
      <c r="I51" s="1"/>
      <c r="J51" s="2"/>
      <c r="K51" s="1">
        <f>SUMIFS(
  '[1]Hoja 1'!$M:$M,
  '[1]Hoja 1'!$S:$S, $A51,
  '[1]Hoja 1'!$R:$R, "&gt;="&amp;INT($M$1),
  '[1]Hoja 1'!$R:$R, "&lt;"&amp;INT($N$1+1)
)</f>
        <v>4</v>
      </c>
      <c r="L51" s="1">
        <f t="shared" si="0"/>
        <v>3</v>
      </c>
      <c r="M51" s="9">
        <f t="shared" si="1"/>
        <v>2.3070353544371835</v>
      </c>
      <c r="N51" s="10">
        <f t="shared" si="2"/>
        <v>3.6929646455628165</v>
      </c>
      <c r="O51" s="1">
        <f>SUMIFS(
  '[1]Hoja 1'!$M:$M,
  '[1]Hoja 1'!$S:$S, $A51,
  '[1]Hoja 1'!$R:$R, "&gt;="&amp;INT($Q$1),
  '[1]Hoja 1'!$R:$R, "&lt;"&amp;INT($R$1+1)
)</f>
        <v>2</v>
      </c>
      <c r="P51" s="1">
        <f t="shared" si="3"/>
        <v>3</v>
      </c>
      <c r="Q51" s="9">
        <f t="shared" si="4"/>
        <v>0.95996732052319</v>
      </c>
      <c r="R51" s="10">
        <f t="shared" si="5"/>
        <v>5.04003267947681</v>
      </c>
      <c r="S51" s="1">
        <f>SUMIFS(
  '[1]Hoja 1'!$M:$M,
  '[1]Hoja 1'!$S:$S, $A51,
  '[1]Hoja 1'!$R:$R, "&gt;="&amp;INT($U$1),
  '[1]Hoja 1'!$R:$R, "&lt;"&amp;INT($V$1+1)
)</f>
        <v>0</v>
      </c>
      <c r="T51" s="1">
        <f t="shared" si="6"/>
        <v>1</v>
      </c>
      <c r="U51" s="9">
        <f t="shared" si="7"/>
        <v>-1.0203217565526534</v>
      </c>
      <c r="V51" s="10">
        <f t="shared" si="8"/>
        <v>3.0203217565526534</v>
      </c>
      <c r="W51" s="1">
        <f>SUMIFS(
  '[1]Hoja 1'!$M:$M,
  '[1]Hoja 1'!$S:$S, $A51,
  '[1]Hoja 1'!$R:$R, "&gt;="&amp;INT($Y$1),
  '[1]Hoja 1'!$R:$R, "&lt;"&amp;INT($Z$1+1)
)</f>
        <v>1</v>
      </c>
      <c r="X51" s="1">
        <f t="shared" si="9"/>
        <v>1</v>
      </c>
      <c r="Y51" s="9">
        <f t="shared" si="10"/>
        <v>-1.0203217565526534</v>
      </c>
      <c r="Z51" s="10">
        <f t="shared" si="11"/>
        <v>3.0203217565526534</v>
      </c>
      <c r="AA51" s="1">
        <f>SUMIFS(
  '[1]Hoja 1'!$M:$M,
  '[1]Hoja 1'!$S:$S, $A51,
  '[1]Hoja 1'!$R:$R, "&gt;="&amp;INT($AC$1),
  '[1]Hoja 1'!$R:$R, "&lt;"&amp;INT($AD$1+1)
)</f>
        <v>3</v>
      </c>
      <c r="AB51" s="1">
        <f t="shared" si="12"/>
        <v>2</v>
      </c>
      <c r="AC51" s="9">
        <f t="shared" si="13"/>
        <v>0.24692270564016505</v>
      </c>
      <c r="AD51" s="10">
        <f t="shared" si="14"/>
        <v>4.0203217565526534</v>
      </c>
      <c r="AE51" s="1">
        <f>SUMIFS(
  '[1]Hoja 1'!$M:$M,
  '[1]Hoja 1'!$S:$S, $A51,
  '[1]Hoja 1'!$R:$R, "&gt;="&amp;INT($AG$1),
  '[1]Hoja 1'!$R:$R, "&lt;"&amp;INT($AH$1+1)
)</f>
        <v>0</v>
      </c>
      <c r="AF51" s="1">
        <f t="shared" si="15"/>
        <v>2</v>
      </c>
      <c r="AG51" s="9">
        <f t="shared" si="16"/>
        <v>-3.217125262611642E-2</v>
      </c>
      <c r="AH51" s="10">
        <f t="shared" si="17"/>
        <v>4.3328666199906642</v>
      </c>
      <c r="AI51" s="1">
        <f>SUMIFS(
  '[1]Hoja 1'!$M:$M,
  '[1]Hoja 1'!$S:$S, $A51,
  '[1]Hoja 1'!$R:$R, "&gt;="&amp;INT($AK$1),
  '[1]Hoja 1'!$R:$R, "&lt;"&amp;INT($AL$1+1)
)</f>
        <v>0</v>
      </c>
      <c r="AJ51" s="1">
        <f t="shared" si="18"/>
        <v>0</v>
      </c>
      <c r="AK51" s="9">
        <f t="shared" si="19"/>
        <v>-1.8334121195192312</v>
      </c>
      <c r="AL51" s="10">
        <f t="shared" si="20"/>
        <v>2.117041961479901</v>
      </c>
      <c r="AM51" s="1">
        <f>SUMIFS(
  '[1]Hoja 1'!$M:$M,
  '[1]Hoja 1'!$S:$S, $A51,
  '[1]Hoja 1'!$R:$R, "&gt;="&amp;INT($AO$1),
  '[1]Hoja 1'!$R:$R, "&lt;"&amp;INT($AP$1+1)
)</f>
        <v>0</v>
      </c>
      <c r="AN51" s="1">
        <f t="shared" si="21"/>
        <v>0</v>
      </c>
      <c r="AO51" s="9">
        <f t="shared" si="22"/>
        <v>-1.7530772943598349</v>
      </c>
      <c r="AP51" s="10">
        <f t="shared" si="23"/>
        <v>2.0203217565526534</v>
      </c>
      <c r="AQ51" s="1">
        <f>SUMIFS(
  '[1]Hoja 1'!$M:$M,
  '[1]Hoja 1'!$S:$S, $A51,
  '[1]Hoja 1'!$R:$R, "&gt;="&amp;INT($AS$1),
  '[1]Hoja 1'!$R:$R, "&lt;"&amp;INT($AT$1+1)
)</f>
        <v>0</v>
      </c>
      <c r="AR51" s="1">
        <f t="shared" si="24"/>
        <v>0</v>
      </c>
      <c r="AS51" s="9">
        <f t="shared" si="25"/>
        <v>-1.3148079707698763</v>
      </c>
      <c r="AT51" s="10">
        <f t="shared" si="26"/>
        <v>1.47</v>
      </c>
      <c r="AU51" s="1">
        <f>SUMIFS(
  '[1]Hoja 1'!$M:$M,
  '[1]Hoja 1'!$S:$S, $A51,
  '[1]Hoja 1'!$R:$R, "&gt;="&amp;INT($AW$1),
  '[1]Hoja 1'!$R:$R, "&lt;"&amp;INT($AX$1+1)
)</f>
        <v>0</v>
      </c>
      <c r="AV51" s="1">
        <f t="shared" si="27"/>
        <v>0</v>
      </c>
      <c r="AW51" s="9">
        <f t="shared" si="28"/>
        <v>0</v>
      </c>
      <c r="AX51" s="10">
        <f t="shared" si="29"/>
        <v>0</v>
      </c>
      <c r="AY51" s="1">
        <f>SUMIFS(
  '[1]Hoja 1'!$M:$M,
  '[1]Hoja 1'!$S:$S, $A51,
  '[1]Hoja 1'!$R:$R, "&gt;="&amp;INT($BA$1),
  '[1]Hoja 1'!$R:$R, "&lt;"&amp;INT($BB$1+1)
)</f>
        <v>0</v>
      </c>
      <c r="AZ51" s="1">
        <f t="shared" si="30"/>
        <v>0</v>
      </c>
      <c r="BA51" s="9">
        <f t="shared" si="31"/>
        <v>0</v>
      </c>
      <c r="BB51" s="10">
        <f t="shared" si="32"/>
        <v>0</v>
      </c>
      <c r="BC51" s="1">
        <f>SUMIFS(
  '[1]Hoja 1'!$M:$M,
  '[1]Hoja 1'!$S:$S, $A51,
  '[1]Hoja 1'!$R:$R, "&gt;="&amp;INT($BE$1),
  '[1]Hoja 1'!$R:$R, "&lt;"&amp;INT($BF$1+1)
)</f>
        <v>0</v>
      </c>
      <c r="BD51" s="1">
        <f t="shared" si="33"/>
        <v>0</v>
      </c>
      <c r="BE51" s="9">
        <f t="shared" si="34"/>
        <v>0</v>
      </c>
      <c r="BF51" s="10">
        <f t="shared" si="35"/>
        <v>0</v>
      </c>
      <c r="BG51" s="1">
        <f>SUMIFS(
  '[1]Hoja 1'!$M:$M,
  '[1]Hoja 1'!$S:$S, $A51,
  '[1]Hoja 1'!$R:$R, "&gt;="&amp;INT($BI$1),
  '[1]Hoja 1'!$R:$R, "&lt;"&amp;INT($BJ$1+1)
)</f>
        <v>0</v>
      </c>
      <c r="BH51" s="1">
        <f t="shared" si="36"/>
        <v>0</v>
      </c>
      <c r="BI51" s="9">
        <f t="shared" si="37"/>
        <v>0</v>
      </c>
      <c r="BJ51" s="10">
        <f t="shared" si="38"/>
        <v>0</v>
      </c>
      <c r="BK51" s="1">
        <f>SUMIFS(
  '[1]Hoja 1'!$M:$M,
  '[1]Hoja 1'!$S:$S, $A51,
  '[1]Hoja 1'!$R:$R, "&gt;="&amp;INT($BM$1),
  '[1]Hoja 1'!$R:$R, "&lt;"&amp;INT($BN$1+1)
)</f>
        <v>0</v>
      </c>
      <c r="BL51" s="1">
        <f t="shared" si="39"/>
        <v>0</v>
      </c>
      <c r="BM51" s="9">
        <f t="shared" si="40"/>
        <v>0</v>
      </c>
      <c r="BN51" s="10">
        <f t="shared" si="41"/>
        <v>0</v>
      </c>
      <c r="BO51" s="1">
        <f>SUMIFS(
  '[1]Hoja 1'!$M:$M,
  '[1]Hoja 1'!$S:$S, $A51,
  '[1]Hoja 1'!$R:$R, "&gt;="&amp;INT($BQ$1),
  '[1]Hoja 1'!$R:$R, "&lt;"&amp;INT($BR$1+1)
)</f>
        <v>0</v>
      </c>
      <c r="BP51" s="1">
        <f t="shared" si="42"/>
        <v>0</v>
      </c>
      <c r="BQ51" s="9">
        <f t="shared" si="43"/>
        <v>0</v>
      </c>
      <c r="BR51" s="10">
        <f t="shared" si="44"/>
        <v>0</v>
      </c>
      <c r="BS51" s="1">
        <f>SUMIFS(
  '[1]Hoja 1'!$M:$M,
  '[1]Hoja 1'!$S:$S, $A51,
  '[1]Hoja 1'!$R:$R, "&gt;="&amp;INT($BU$1),
  '[1]Hoja 1'!$R:$R, "&lt;"&amp;INT($BV$1+1)
)</f>
        <v>0</v>
      </c>
      <c r="BT51" s="1">
        <f t="shared" si="45"/>
        <v>0</v>
      </c>
      <c r="BU51" s="9">
        <f t="shared" si="46"/>
        <v>0</v>
      </c>
      <c r="BV51" s="10">
        <f t="shared" si="47"/>
        <v>0</v>
      </c>
      <c r="BW51" s="1">
        <f>SUMIFS(
  '[1]Hoja 1'!$M:$M,
  '[1]Hoja 1'!$S:$S, $A51,
  '[1]Hoja 1'!$R:$R, "&gt;="&amp;INT($BY$1),
  '[1]Hoja 1'!$R:$R, "&lt;"&amp;INT($BZ$1+1)
)</f>
        <v>0</v>
      </c>
      <c r="BX51" s="1">
        <f t="shared" si="48"/>
        <v>0</v>
      </c>
      <c r="BY51" s="9">
        <f t="shared" si="49"/>
        <v>0</v>
      </c>
      <c r="BZ51" s="10">
        <f t="shared" si="50"/>
        <v>0</v>
      </c>
      <c r="CA51" s="1">
        <f>SUMIFS(
  '[1]Hoja 1'!$M:$M,
  '[1]Hoja 1'!$S:$S, $A51,
  '[1]Hoja 1'!$R:$R, "&gt;="&amp;INT($CC$1),
  '[1]Hoja 1'!$R:$R, "&lt;"&amp;INT($CD$1+1)
)</f>
        <v>0</v>
      </c>
      <c r="CB51" s="1">
        <f t="shared" si="51"/>
        <v>0</v>
      </c>
      <c r="CC51" s="9">
        <f t="shared" si="52"/>
        <v>0</v>
      </c>
      <c r="CD51" s="10">
        <f t="shared" si="53"/>
        <v>0</v>
      </c>
      <c r="CE51" s="1">
        <f>SUMIFS(
  '[1]Hoja 1'!$M:$M,
  '[1]Hoja 1'!$S:$S, $A51,
  '[1]Hoja 1'!$R:$R, "&gt;="&amp;INT($CG$1),
  '[1]Hoja 1'!$R:$R, "&lt;"&amp;INT($CH$1+1)
)</f>
        <v>0</v>
      </c>
      <c r="CF51" s="1">
        <f t="shared" si="54"/>
        <v>0</v>
      </c>
      <c r="CG51" s="9">
        <f t="shared" si="55"/>
        <v>0</v>
      </c>
      <c r="CH51" s="10">
        <f t="shared" si="56"/>
        <v>0</v>
      </c>
      <c r="CI51" s="1">
        <f>SUMIFS(
  '[1]Hoja 1'!$M:$M,
  '[1]Hoja 1'!$S:$S, $A51,
  '[1]Hoja 1'!$R:$R, "&gt;="&amp;INT($CK$1),
  '[1]Hoja 1'!$R:$R, "&lt;"&amp;INT($CL$1+1)
)</f>
        <v>0</v>
      </c>
      <c r="CJ51" s="1">
        <f t="shared" si="57"/>
        <v>0</v>
      </c>
      <c r="CK51" s="9">
        <f t="shared" si="58"/>
        <v>0</v>
      </c>
      <c r="CL51" s="10">
        <f t="shared" si="59"/>
        <v>0</v>
      </c>
      <c r="CM51" s="1">
        <f>SUMIFS(
  '[1]Hoja 1'!$M:$M,
  '[1]Hoja 1'!$S:$S, $A51,
  '[1]Hoja 1'!$R:$R, "&gt;="&amp;INT($CO$1),
  '[1]Hoja 1'!$R:$R, "&lt;"&amp;INT($CP$1+1)
)</f>
        <v>0</v>
      </c>
      <c r="CN51" s="1">
        <f t="shared" si="60"/>
        <v>0</v>
      </c>
      <c r="CO51" s="9">
        <f t="shared" si="61"/>
        <v>0</v>
      </c>
      <c r="CP51" s="10">
        <f t="shared" si="62"/>
        <v>0</v>
      </c>
      <c r="CQ51" s="1">
        <f>SUMIFS(
  '[1]Hoja 1'!$M:$M,
  '[1]Hoja 1'!$S:$S, $A51,
  '[1]Hoja 1'!$R:$R, "&gt;="&amp;INT($CS$1),
  '[1]Hoja 1'!$R:$R, "&lt;"&amp;INT($CT$1+1)
)</f>
        <v>0</v>
      </c>
      <c r="CR51" s="1">
        <f t="shared" si="63"/>
        <v>0</v>
      </c>
      <c r="CS51" s="9">
        <f t="shared" si="64"/>
        <v>0</v>
      </c>
      <c r="CT51" s="10">
        <f t="shared" si="65"/>
        <v>0</v>
      </c>
      <c r="CU51" s="1">
        <f>SUMIFS(
  '[1]Hoja 1'!$M:$M,
  '[1]Hoja 1'!$S:$S, $A51,
  '[1]Hoja 1'!$R:$R, "&gt;="&amp;INT($CW$1),
  '[1]Hoja 1'!$R:$R, "&lt;"&amp;INT($CX$1+1)
)</f>
        <v>0</v>
      </c>
      <c r="CV51" s="1">
        <f t="shared" si="66"/>
        <v>0</v>
      </c>
      <c r="CW51" s="9">
        <f t="shared" si="67"/>
        <v>0</v>
      </c>
      <c r="CX51" s="10">
        <f t="shared" si="68"/>
        <v>0</v>
      </c>
      <c r="CY51" s="1">
        <f>SUMIFS(
  '[1]Hoja 1'!$M:$M,
  '[1]Hoja 1'!$S:$S, $A51,
  '[1]Hoja 1'!$R:$R, "&gt;="&amp;INT($DA$1),
  '[1]Hoja 1'!$R:$R, "&lt;"&amp;INT($DB$1+1)
)</f>
        <v>0</v>
      </c>
      <c r="CZ51" s="1">
        <f t="shared" si="69"/>
        <v>0</v>
      </c>
      <c r="DA51" s="9">
        <f t="shared" si="70"/>
        <v>0</v>
      </c>
      <c r="DB51" s="10">
        <f t="shared" si="71"/>
        <v>0</v>
      </c>
      <c r="DC51" s="1">
        <f>SUMIFS(
  '[1]Hoja 1'!$M:$M,
  '[1]Hoja 1'!$S:$S, $A51,
  '[1]Hoja 1'!$R:$R, "&gt;="&amp;INT($DE$1),
  '[1]Hoja 1'!$R:$R, "&lt;"&amp;INT($DF$1+1)
)</f>
        <v>0</v>
      </c>
      <c r="DD51" s="1">
        <f t="shared" si="72"/>
        <v>0</v>
      </c>
      <c r="DE51" s="9">
        <f t="shared" si="73"/>
        <v>0</v>
      </c>
      <c r="DF51" s="10">
        <f t="shared" si="74"/>
        <v>0</v>
      </c>
      <c r="DG51" s="1">
        <f>SUMIFS(
  '[1]Hoja 1'!$M:$M,
  '[1]Hoja 1'!$S:$S, $A51,
  '[1]Hoja 1'!$R:$R, "&gt;="&amp;INT($DI$1),
  '[1]Hoja 1'!$R:$R, "&lt;"&amp;INT($DJ$1+1)
)</f>
        <v>0</v>
      </c>
      <c r="DH51" s="1">
        <f t="shared" si="75"/>
        <v>0</v>
      </c>
      <c r="DI51" s="9">
        <f t="shared" si="76"/>
        <v>0</v>
      </c>
      <c r="DJ51" s="10">
        <f t="shared" si="77"/>
        <v>0</v>
      </c>
      <c r="DK51" s="1">
        <f>SUMIFS(
  '[1]Hoja 1'!$M:$M,
  '[1]Hoja 1'!$S:$S, $A51,
  '[1]Hoja 1'!$R:$R, "&gt;="&amp;INT($DM$1),
  '[1]Hoja 1'!$R:$R, "&lt;"&amp;INT($DN$1+1)
)</f>
        <v>0</v>
      </c>
      <c r="DL51" s="1">
        <f t="shared" si="78"/>
        <v>0</v>
      </c>
      <c r="DM51" s="9">
        <f t="shared" si="79"/>
        <v>0</v>
      </c>
      <c r="DN51" s="10">
        <f t="shared" si="80"/>
        <v>0</v>
      </c>
      <c r="DO51" s="1">
        <f>SUMIFS(
  '[1]Hoja 1'!$M:$M,
  '[1]Hoja 1'!$S:$S, $A51,
  '[1]Hoja 1'!$R:$R, "&gt;="&amp;INT($DQ$1),
  '[1]Hoja 1'!$R:$R, "&lt;"&amp;INT($DR$1+1)
)</f>
        <v>0</v>
      </c>
      <c r="DP51" s="1">
        <f t="shared" si="81"/>
        <v>0</v>
      </c>
      <c r="DQ51" s="9">
        <f t="shared" si="82"/>
        <v>0</v>
      </c>
      <c r="DR51" s="10">
        <f t="shared" si="83"/>
        <v>0</v>
      </c>
    </row>
    <row r="52" spans="1:122" x14ac:dyDescent="0.25">
      <c r="A52" s="5">
        <v>208002</v>
      </c>
      <c r="B52" s="6" t="s">
        <v>55</v>
      </c>
      <c r="C52" s="1">
        <f>SUMIFS(
  '[1]Hoja 1'!$M:$M,
  '[1]Hoja 1'!$S:$S, $A52,
  '[1]Hoja 1'!$R:$R, "&gt;="&amp;INT($E$1),
  '[1]Hoja 1'!$R:$R, "&lt;"&amp;INT($F$1+1)
)</f>
        <v>0</v>
      </c>
      <c r="D52" s="1" t="str">
        <f>""</f>
        <v/>
      </c>
      <c r="F52" s="2"/>
      <c r="G52" s="1">
        <f>SUMIFS(
  '[1]Hoja 1'!$M:$M,
  '[1]Hoja 1'!$S:$S, $A52,
  '[1]Hoja 1'!$R:$R, "&gt;="&amp;INT($I$1),
  '[1]Hoja 1'!$R:$R, "&lt;"&amp;INT($J$1+1)
)</f>
        <v>0</v>
      </c>
      <c r="H52" s="1">
        <f t="shared" si="84"/>
        <v>0</v>
      </c>
      <c r="I52" s="1"/>
      <c r="J52" s="2"/>
      <c r="K52" s="1">
        <f>SUMIFS(
  '[1]Hoja 1'!$M:$M,
  '[1]Hoja 1'!$S:$S, $A52,
  '[1]Hoja 1'!$R:$R, "&gt;="&amp;INT($M$1),
  '[1]Hoja 1'!$R:$R, "&lt;"&amp;INT($N$1+1)
)</f>
        <v>0</v>
      </c>
      <c r="L52" s="1">
        <f t="shared" si="0"/>
        <v>0</v>
      </c>
      <c r="M52" s="9">
        <f t="shared" si="1"/>
        <v>0</v>
      </c>
      <c r="N52" s="10">
        <f t="shared" si="2"/>
        <v>0</v>
      </c>
      <c r="O52" s="1">
        <f>SUMIFS(
  '[1]Hoja 1'!$M:$M,
  '[1]Hoja 1'!$S:$S, $A52,
  '[1]Hoja 1'!$R:$R, "&gt;="&amp;INT($Q$1),
  '[1]Hoja 1'!$R:$R, "&lt;"&amp;INT($R$1+1)
)</f>
        <v>0</v>
      </c>
      <c r="P52" s="1">
        <f t="shared" si="3"/>
        <v>0</v>
      </c>
      <c r="Q52" s="9">
        <f t="shared" si="4"/>
        <v>0</v>
      </c>
      <c r="R52" s="10">
        <f t="shared" si="5"/>
        <v>0</v>
      </c>
      <c r="S52" s="1">
        <f>SUMIFS(
  '[1]Hoja 1'!$M:$M,
  '[1]Hoja 1'!$S:$S, $A52,
  '[1]Hoja 1'!$R:$R, "&gt;="&amp;INT($U$1),
  '[1]Hoja 1'!$R:$R, "&lt;"&amp;INT($V$1+1)
)</f>
        <v>0</v>
      </c>
      <c r="T52" s="1">
        <f t="shared" si="6"/>
        <v>0</v>
      </c>
      <c r="U52" s="9">
        <f t="shared" si="7"/>
        <v>0</v>
      </c>
      <c r="V52" s="10">
        <f t="shared" si="8"/>
        <v>0</v>
      </c>
      <c r="W52" s="1">
        <f>SUMIFS(
  '[1]Hoja 1'!$M:$M,
  '[1]Hoja 1'!$S:$S, $A52,
  '[1]Hoja 1'!$R:$R, "&gt;="&amp;INT($Y$1),
  '[1]Hoja 1'!$R:$R, "&lt;"&amp;INT($Z$1+1)
)</f>
        <v>0</v>
      </c>
      <c r="X52" s="1">
        <f t="shared" si="9"/>
        <v>0</v>
      </c>
      <c r="Y52" s="9">
        <f t="shared" si="10"/>
        <v>0</v>
      </c>
      <c r="Z52" s="10">
        <f t="shared" si="11"/>
        <v>0</v>
      </c>
      <c r="AA52" s="1">
        <f>SUMIFS(
  '[1]Hoja 1'!$M:$M,
  '[1]Hoja 1'!$S:$S, $A52,
  '[1]Hoja 1'!$R:$R, "&gt;="&amp;INT($AC$1),
  '[1]Hoja 1'!$R:$R, "&lt;"&amp;INT($AD$1+1)
)</f>
        <v>0</v>
      </c>
      <c r="AB52" s="1">
        <f t="shared" si="12"/>
        <v>0</v>
      </c>
      <c r="AC52" s="9">
        <f t="shared" si="13"/>
        <v>0</v>
      </c>
      <c r="AD52" s="10">
        <f t="shared" si="14"/>
        <v>0</v>
      </c>
      <c r="AE52" s="1">
        <f>SUMIFS(
  '[1]Hoja 1'!$M:$M,
  '[1]Hoja 1'!$S:$S, $A52,
  '[1]Hoja 1'!$R:$R, "&gt;="&amp;INT($AG$1),
  '[1]Hoja 1'!$R:$R, "&lt;"&amp;INT($AH$1+1)
)</f>
        <v>0</v>
      </c>
      <c r="AF52" s="1">
        <f t="shared" si="15"/>
        <v>0</v>
      </c>
      <c r="AG52" s="9">
        <f t="shared" si="16"/>
        <v>0</v>
      </c>
      <c r="AH52" s="10">
        <f t="shared" si="17"/>
        <v>0</v>
      </c>
      <c r="AI52" s="1">
        <f>SUMIFS(
  '[1]Hoja 1'!$M:$M,
  '[1]Hoja 1'!$S:$S, $A52,
  '[1]Hoja 1'!$R:$R, "&gt;="&amp;INT($AK$1),
  '[1]Hoja 1'!$R:$R, "&lt;"&amp;INT($AL$1+1)
)</f>
        <v>0</v>
      </c>
      <c r="AJ52" s="1">
        <f t="shared" si="18"/>
        <v>0</v>
      </c>
      <c r="AK52" s="9">
        <f t="shared" si="19"/>
        <v>0</v>
      </c>
      <c r="AL52" s="10">
        <f t="shared" si="20"/>
        <v>0</v>
      </c>
      <c r="AM52" s="1">
        <f>SUMIFS(
  '[1]Hoja 1'!$M:$M,
  '[1]Hoja 1'!$S:$S, $A52,
  '[1]Hoja 1'!$R:$R, "&gt;="&amp;INT($AO$1),
  '[1]Hoja 1'!$R:$R, "&lt;"&amp;INT($AP$1+1)
)</f>
        <v>0</v>
      </c>
      <c r="AN52" s="1">
        <f t="shared" si="21"/>
        <v>0</v>
      </c>
      <c r="AO52" s="9">
        <f t="shared" si="22"/>
        <v>0</v>
      </c>
      <c r="AP52" s="10">
        <f t="shared" si="23"/>
        <v>0</v>
      </c>
      <c r="AQ52" s="1">
        <f>SUMIFS(
  '[1]Hoja 1'!$M:$M,
  '[1]Hoja 1'!$S:$S, $A52,
  '[1]Hoja 1'!$R:$R, "&gt;="&amp;INT($AS$1),
  '[1]Hoja 1'!$R:$R, "&lt;"&amp;INT($AT$1+1)
)</f>
        <v>0</v>
      </c>
      <c r="AR52" s="1">
        <f t="shared" si="24"/>
        <v>0</v>
      </c>
      <c r="AS52" s="9">
        <f t="shared" si="25"/>
        <v>0</v>
      </c>
      <c r="AT52" s="10">
        <f t="shared" si="26"/>
        <v>0</v>
      </c>
      <c r="AU52" s="1">
        <f>SUMIFS(
  '[1]Hoja 1'!$M:$M,
  '[1]Hoja 1'!$S:$S, $A52,
  '[1]Hoja 1'!$R:$R, "&gt;="&amp;INT($AW$1),
  '[1]Hoja 1'!$R:$R, "&lt;"&amp;INT($AX$1+1)
)</f>
        <v>0</v>
      </c>
      <c r="AV52" s="1">
        <f t="shared" si="27"/>
        <v>0</v>
      </c>
      <c r="AW52" s="9">
        <f t="shared" si="28"/>
        <v>0</v>
      </c>
      <c r="AX52" s="10">
        <f t="shared" si="29"/>
        <v>0</v>
      </c>
      <c r="AY52" s="1">
        <f>SUMIFS(
  '[1]Hoja 1'!$M:$M,
  '[1]Hoja 1'!$S:$S, $A52,
  '[1]Hoja 1'!$R:$R, "&gt;="&amp;INT($BA$1),
  '[1]Hoja 1'!$R:$R, "&lt;"&amp;INT($BB$1+1)
)</f>
        <v>0</v>
      </c>
      <c r="AZ52" s="1">
        <f t="shared" si="30"/>
        <v>0</v>
      </c>
      <c r="BA52" s="9">
        <f t="shared" si="31"/>
        <v>0</v>
      </c>
      <c r="BB52" s="10">
        <f t="shared" si="32"/>
        <v>0</v>
      </c>
      <c r="BC52" s="1">
        <f>SUMIFS(
  '[1]Hoja 1'!$M:$M,
  '[1]Hoja 1'!$S:$S, $A52,
  '[1]Hoja 1'!$R:$R, "&gt;="&amp;INT($BE$1),
  '[1]Hoja 1'!$R:$R, "&lt;"&amp;INT($BF$1+1)
)</f>
        <v>0</v>
      </c>
      <c r="BD52" s="1">
        <f t="shared" si="33"/>
        <v>0</v>
      </c>
      <c r="BE52" s="9">
        <f t="shared" si="34"/>
        <v>0</v>
      </c>
      <c r="BF52" s="10">
        <f t="shared" si="35"/>
        <v>0</v>
      </c>
      <c r="BG52" s="1">
        <f>SUMIFS(
  '[1]Hoja 1'!$M:$M,
  '[1]Hoja 1'!$S:$S, $A52,
  '[1]Hoja 1'!$R:$R, "&gt;="&amp;INT($BI$1),
  '[1]Hoja 1'!$R:$R, "&lt;"&amp;INT($BJ$1+1)
)</f>
        <v>0</v>
      </c>
      <c r="BH52" s="1">
        <f t="shared" si="36"/>
        <v>0</v>
      </c>
      <c r="BI52" s="9">
        <f t="shared" si="37"/>
        <v>0</v>
      </c>
      <c r="BJ52" s="10">
        <f t="shared" si="38"/>
        <v>0</v>
      </c>
      <c r="BK52" s="1">
        <f>SUMIFS(
  '[1]Hoja 1'!$M:$M,
  '[1]Hoja 1'!$S:$S, $A52,
  '[1]Hoja 1'!$R:$R, "&gt;="&amp;INT($BM$1),
  '[1]Hoja 1'!$R:$R, "&lt;"&amp;INT($BN$1+1)
)</f>
        <v>0</v>
      </c>
      <c r="BL52" s="1">
        <f t="shared" si="39"/>
        <v>0</v>
      </c>
      <c r="BM52" s="9">
        <f t="shared" si="40"/>
        <v>0</v>
      </c>
      <c r="BN52" s="10">
        <f t="shared" si="41"/>
        <v>0</v>
      </c>
      <c r="BO52" s="1">
        <f>SUMIFS(
  '[1]Hoja 1'!$M:$M,
  '[1]Hoja 1'!$S:$S, $A52,
  '[1]Hoja 1'!$R:$R, "&gt;="&amp;INT($BQ$1),
  '[1]Hoja 1'!$R:$R, "&lt;"&amp;INT($BR$1+1)
)</f>
        <v>0</v>
      </c>
      <c r="BP52" s="1">
        <f t="shared" si="42"/>
        <v>0</v>
      </c>
      <c r="BQ52" s="9">
        <f t="shared" si="43"/>
        <v>0</v>
      </c>
      <c r="BR52" s="10">
        <f t="shared" si="44"/>
        <v>0</v>
      </c>
      <c r="BS52" s="1">
        <f>SUMIFS(
  '[1]Hoja 1'!$M:$M,
  '[1]Hoja 1'!$S:$S, $A52,
  '[1]Hoja 1'!$R:$R, "&gt;="&amp;INT($BU$1),
  '[1]Hoja 1'!$R:$R, "&lt;"&amp;INT($BV$1+1)
)</f>
        <v>0</v>
      </c>
      <c r="BT52" s="1">
        <f t="shared" si="45"/>
        <v>0</v>
      </c>
      <c r="BU52" s="9">
        <f t="shared" si="46"/>
        <v>0</v>
      </c>
      <c r="BV52" s="10">
        <f t="shared" si="47"/>
        <v>0</v>
      </c>
      <c r="BW52" s="1">
        <f>SUMIFS(
  '[1]Hoja 1'!$M:$M,
  '[1]Hoja 1'!$S:$S, $A52,
  '[1]Hoja 1'!$R:$R, "&gt;="&amp;INT($BY$1),
  '[1]Hoja 1'!$R:$R, "&lt;"&amp;INT($BZ$1+1)
)</f>
        <v>0</v>
      </c>
      <c r="BX52" s="1">
        <f t="shared" si="48"/>
        <v>0</v>
      </c>
      <c r="BY52" s="9">
        <f t="shared" si="49"/>
        <v>0</v>
      </c>
      <c r="BZ52" s="10">
        <f t="shared" si="50"/>
        <v>0</v>
      </c>
      <c r="CA52" s="1">
        <f>SUMIFS(
  '[1]Hoja 1'!$M:$M,
  '[1]Hoja 1'!$S:$S, $A52,
  '[1]Hoja 1'!$R:$R, "&gt;="&amp;INT($CC$1),
  '[1]Hoja 1'!$R:$R, "&lt;"&amp;INT($CD$1+1)
)</f>
        <v>0</v>
      </c>
      <c r="CB52" s="1">
        <f t="shared" si="51"/>
        <v>0</v>
      </c>
      <c r="CC52" s="9">
        <f t="shared" si="52"/>
        <v>0</v>
      </c>
      <c r="CD52" s="10">
        <f t="shared" si="53"/>
        <v>0</v>
      </c>
      <c r="CE52" s="1">
        <f>SUMIFS(
  '[1]Hoja 1'!$M:$M,
  '[1]Hoja 1'!$S:$S, $A52,
  '[1]Hoja 1'!$R:$R, "&gt;="&amp;INT($CG$1),
  '[1]Hoja 1'!$R:$R, "&lt;"&amp;INT($CH$1+1)
)</f>
        <v>0</v>
      </c>
      <c r="CF52" s="1">
        <f t="shared" si="54"/>
        <v>0</v>
      </c>
      <c r="CG52" s="9">
        <f t="shared" si="55"/>
        <v>0</v>
      </c>
      <c r="CH52" s="10">
        <f t="shared" si="56"/>
        <v>0</v>
      </c>
      <c r="CI52" s="1">
        <f>SUMIFS(
  '[1]Hoja 1'!$M:$M,
  '[1]Hoja 1'!$S:$S, $A52,
  '[1]Hoja 1'!$R:$R, "&gt;="&amp;INT($CK$1),
  '[1]Hoja 1'!$R:$R, "&lt;"&amp;INT($CL$1+1)
)</f>
        <v>0</v>
      </c>
      <c r="CJ52" s="1">
        <f t="shared" si="57"/>
        <v>0</v>
      </c>
      <c r="CK52" s="9">
        <f t="shared" si="58"/>
        <v>0</v>
      </c>
      <c r="CL52" s="10">
        <f t="shared" si="59"/>
        <v>0</v>
      </c>
      <c r="CM52" s="1">
        <f>SUMIFS(
  '[1]Hoja 1'!$M:$M,
  '[1]Hoja 1'!$S:$S, $A52,
  '[1]Hoja 1'!$R:$R, "&gt;="&amp;INT($CO$1),
  '[1]Hoja 1'!$R:$R, "&lt;"&amp;INT($CP$1+1)
)</f>
        <v>0</v>
      </c>
      <c r="CN52" s="1">
        <f t="shared" si="60"/>
        <v>0</v>
      </c>
      <c r="CO52" s="9">
        <f t="shared" si="61"/>
        <v>0</v>
      </c>
      <c r="CP52" s="10">
        <f t="shared" si="62"/>
        <v>0</v>
      </c>
      <c r="CQ52" s="1">
        <f>SUMIFS(
  '[1]Hoja 1'!$M:$M,
  '[1]Hoja 1'!$S:$S, $A52,
  '[1]Hoja 1'!$R:$R, "&gt;="&amp;INT($CS$1),
  '[1]Hoja 1'!$R:$R, "&lt;"&amp;INT($CT$1+1)
)</f>
        <v>0</v>
      </c>
      <c r="CR52" s="1">
        <f t="shared" si="63"/>
        <v>0</v>
      </c>
      <c r="CS52" s="9">
        <f t="shared" si="64"/>
        <v>0</v>
      </c>
      <c r="CT52" s="10">
        <f t="shared" si="65"/>
        <v>0</v>
      </c>
      <c r="CU52" s="1">
        <f>SUMIFS(
  '[1]Hoja 1'!$M:$M,
  '[1]Hoja 1'!$S:$S, $A52,
  '[1]Hoja 1'!$R:$R, "&gt;="&amp;INT($CW$1),
  '[1]Hoja 1'!$R:$R, "&lt;"&amp;INT($CX$1+1)
)</f>
        <v>0</v>
      </c>
      <c r="CV52" s="1">
        <f t="shared" si="66"/>
        <v>0</v>
      </c>
      <c r="CW52" s="9">
        <f t="shared" si="67"/>
        <v>0</v>
      </c>
      <c r="CX52" s="10">
        <f t="shared" si="68"/>
        <v>0</v>
      </c>
      <c r="CY52" s="1">
        <f>SUMIFS(
  '[1]Hoja 1'!$M:$M,
  '[1]Hoja 1'!$S:$S, $A52,
  '[1]Hoja 1'!$R:$R, "&gt;="&amp;INT($DA$1),
  '[1]Hoja 1'!$R:$R, "&lt;"&amp;INT($DB$1+1)
)</f>
        <v>0</v>
      </c>
      <c r="CZ52" s="1">
        <f t="shared" si="69"/>
        <v>0</v>
      </c>
      <c r="DA52" s="9">
        <f t="shared" si="70"/>
        <v>0</v>
      </c>
      <c r="DB52" s="10">
        <f t="shared" si="71"/>
        <v>0</v>
      </c>
      <c r="DC52" s="1">
        <f>SUMIFS(
  '[1]Hoja 1'!$M:$M,
  '[1]Hoja 1'!$S:$S, $A52,
  '[1]Hoja 1'!$R:$R, "&gt;="&amp;INT($DE$1),
  '[1]Hoja 1'!$R:$R, "&lt;"&amp;INT($DF$1+1)
)</f>
        <v>0</v>
      </c>
      <c r="DD52" s="1">
        <f t="shared" si="72"/>
        <v>0</v>
      </c>
      <c r="DE52" s="9">
        <f t="shared" si="73"/>
        <v>0</v>
      </c>
      <c r="DF52" s="10">
        <f t="shared" si="74"/>
        <v>0</v>
      </c>
      <c r="DG52" s="1">
        <f>SUMIFS(
  '[1]Hoja 1'!$M:$M,
  '[1]Hoja 1'!$S:$S, $A52,
  '[1]Hoja 1'!$R:$R, "&gt;="&amp;INT($DI$1),
  '[1]Hoja 1'!$R:$R, "&lt;"&amp;INT($DJ$1+1)
)</f>
        <v>0</v>
      </c>
      <c r="DH52" s="1">
        <f t="shared" si="75"/>
        <v>0</v>
      </c>
      <c r="DI52" s="9">
        <f t="shared" si="76"/>
        <v>0</v>
      </c>
      <c r="DJ52" s="10">
        <f t="shared" si="77"/>
        <v>0</v>
      </c>
      <c r="DK52" s="1">
        <f>SUMIFS(
  '[1]Hoja 1'!$M:$M,
  '[1]Hoja 1'!$S:$S, $A52,
  '[1]Hoja 1'!$R:$R, "&gt;="&amp;INT($DM$1),
  '[1]Hoja 1'!$R:$R, "&lt;"&amp;INT($DN$1+1)
)</f>
        <v>0</v>
      </c>
      <c r="DL52" s="1">
        <f t="shared" si="78"/>
        <v>0</v>
      </c>
      <c r="DM52" s="9">
        <f t="shared" si="79"/>
        <v>0</v>
      </c>
      <c r="DN52" s="10">
        <f t="shared" si="80"/>
        <v>0</v>
      </c>
      <c r="DO52" s="1">
        <f>SUMIFS(
  '[1]Hoja 1'!$M:$M,
  '[1]Hoja 1'!$S:$S, $A52,
  '[1]Hoja 1'!$R:$R, "&gt;="&amp;INT($DQ$1),
  '[1]Hoja 1'!$R:$R, "&lt;"&amp;INT($DR$1+1)
)</f>
        <v>0</v>
      </c>
      <c r="DP52" s="1">
        <f t="shared" si="81"/>
        <v>0</v>
      </c>
      <c r="DQ52" s="9">
        <f t="shared" si="82"/>
        <v>0</v>
      </c>
      <c r="DR52" s="10">
        <f t="shared" si="83"/>
        <v>0</v>
      </c>
    </row>
    <row r="53" spans="1:122" x14ac:dyDescent="0.25">
      <c r="A53" s="5">
        <v>208003</v>
      </c>
      <c r="B53" s="6" t="s">
        <v>56</v>
      </c>
      <c r="C53" s="1">
        <f>SUMIFS(
  '[1]Hoja 1'!$M:$M,
  '[1]Hoja 1'!$S:$S, $A53,
  '[1]Hoja 1'!$R:$R, "&gt;="&amp;INT($E$1),
  '[1]Hoja 1'!$R:$R, "&lt;"&amp;INT($F$1+1)
)</f>
        <v>0</v>
      </c>
      <c r="D53" s="1" t="str">
        <f>""</f>
        <v/>
      </c>
      <c r="F53" s="2"/>
      <c r="G53" s="1">
        <f>SUMIFS(
  '[1]Hoja 1'!$M:$M,
  '[1]Hoja 1'!$S:$S, $A53,
  '[1]Hoja 1'!$R:$R, "&gt;="&amp;INT($I$1),
  '[1]Hoja 1'!$R:$R, "&lt;"&amp;INT($J$1+1)
)</f>
        <v>0</v>
      </c>
      <c r="H53" s="1">
        <f t="shared" si="84"/>
        <v>0</v>
      </c>
      <c r="I53" s="1"/>
      <c r="J53" s="2"/>
      <c r="K53" s="1">
        <f>SUMIFS(
  '[1]Hoja 1'!$M:$M,
  '[1]Hoja 1'!$S:$S, $A53,
  '[1]Hoja 1'!$R:$R, "&gt;="&amp;INT($M$1),
  '[1]Hoja 1'!$R:$R, "&lt;"&amp;INT($N$1+1)
)</f>
        <v>0</v>
      </c>
      <c r="L53" s="1">
        <f t="shared" si="0"/>
        <v>0</v>
      </c>
      <c r="M53" s="9">
        <f t="shared" si="1"/>
        <v>0</v>
      </c>
      <c r="N53" s="10">
        <f t="shared" si="2"/>
        <v>0</v>
      </c>
      <c r="O53" s="1">
        <f>SUMIFS(
  '[1]Hoja 1'!$M:$M,
  '[1]Hoja 1'!$S:$S, $A53,
  '[1]Hoja 1'!$R:$R, "&gt;="&amp;INT($Q$1),
  '[1]Hoja 1'!$R:$R, "&lt;"&amp;INT($R$1+1)
)</f>
        <v>0</v>
      </c>
      <c r="P53" s="1">
        <f t="shared" si="3"/>
        <v>0</v>
      </c>
      <c r="Q53" s="9">
        <f t="shared" si="4"/>
        <v>0</v>
      </c>
      <c r="R53" s="10">
        <f t="shared" si="5"/>
        <v>0</v>
      </c>
      <c r="S53" s="1">
        <f>SUMIFS(
  '[1]Hoja 1'!$M:$M,
  '[1]Hoja 1'!$S:$S, $A53,
  '[1]Hoja 1'!$R:$R, "&gt;="&amp;INT($U$1),
  '[1]Hoja 1'!$R:$R, "&lt;"&amp;INT($V$1+1)
)</f>
        <v>0</v>
      </c>
      <c r="T53" s="1">
        <f t="shared" si="6"/>
        <v>0</v>
      </c>
      <c r="U53" s="9">
        <f t="shared" si="7"/>
        <v>0</v>
      </c>
      <c r="V53" s="10">
        <f t="shared" si="8"/>
        <v>0</v>
      </c>
      <c r="W53" s="1">
        <f>SUMIFS(
  '[1]Hoja 1'!$M:$M,
  '[1]Hoja 1'!$S:$S, $A53,
  '[1]Hoja 1'!$R:$R, "&gt;="&amp;INT($Y$1),
  '[1]Hoja 1'!$R:$R, "&lt;"&amp;INT($Z$1+1)
)</f>
        <v>0</v>
      </c>
      <c r="X53" s="1">
        <f t="shared" si="9"/>
        <v>0</v>
      </c>
      <c r="Y53" s="9">
        <f t="shared" si="10"/>
        <v>0</v>
      </c>
      <c r="Z53" s="10">
        <f t="shared" si="11"/>
        <v>0</v>
      </c>
      <c r="AA53" s="1">
        <f>SUMIFS(
  '[1]Hoja 1'!$M:$M,
  '[1]Hoja 1'!$S:$S, $A53,
  '[1]Hoja 1'!$R:$R, "&gt;="&amp;INT($AC$1),
  '[1]Hoja 1'!$R:$R, "&lt;"&amp;INT($AD$1+1)
)</f>
        <v>0</v>
      </c>
      <c r="AB53" s="1">
        <f t="shared" si="12"/>
        <v>0</v>
      </c>
      <c r="AC53" s="9">
        <f t="shared" si="13"/>
        <v>0</v>
      </c>
      <c r="AD53" s="10">
        <f t="shared" si="14"/>
        <v>0</v>
      </c>
      <c r="AE53" s="1">
        <f>SUMIFS(
  '[1]Hoja 1'!$M:$M,
  '[1]Hoja 1'!$S:$S, $A53,
  '[1]Hoja 1'!$R:$R, "&gt;="&amp;INT($AG$1),
  '[1]Hoja 1'!$R:$R, "&lt;"&amp;INT($AH$1+1)
)</f>
        <v>0</v>
      </c>
      <c r="AF53" s="1">
        <f t="shared" si="15"/>
        <v>0</v>
      </c>
      <c r="AG53" s="9">
        <f t="shared" si="16"/>
        <v>0</v>
      </c>
      <c r="AH53" s="10">
        <f t="shared" si="17"/>
        <v>0</v>
      </c>
      <c r="AI53" s="1">
        <f>SUMIFS(
  '[1]Hoja 1'!$M:$M,
  '[1]Hoja 1'!$S:$S, $A53,
  '[1]Hoja 1'!$R:$R, "&gt;="&amp;INT($AK$1),
  '[1]Hoja 1'!$R:$R, "&lt;"&amp;INT($AL$1+1)
)</f>
        <v>0</v>
      </c>
      <c r="AJ53" s="1">
        <f t="shared" si="18"/>
        <v>0</v>
      </c>
      <c r="AK53" s="9">
        <f t="shared" si="19"/>
        <v>0</v>
      </c>
      <c r="AL53" s="10">
        <f t="shared" si="20"/>
        <v>0</v>
      </c>
      <c r="AM53" s="1">
        <f>SUMIFS(
  '[1]Hoja 1'!$M:$M,
  '[1]Hoja 1'!$S:$S, $A53,
  '[1]Hoja 1'!$R:$R, "&gt;="&amp;INT($AO$1),
  '[1]Hoja 1'!$R:$R, "&lt;"&amp;INT($AP$1+1)
)</f>
        <v>0</v>
      </c>
      <c r="AN53" s="1">
        <f t="shared" si="21"/>
        <v>0</v>
      </c>
      <c r="AO53" s="9">
        <f t="shared" si="22"/>
        <v>0</v>
      </c>
      <c r="AP53" s="10">
        <f t="shared" si="23"/>
        <v>0</v>
      </c>
      <c r="AQ53" s="1">
        <f>SUMIFS(
  '[1]Hoja 1'!$M:$M,
  '[1]Hoja 1'!$S:$S, $A53,
  '[1]Hoja 1'!$R:$R, "&gt;="&amp;INT($AS$1),
  '[1]Hoja 1'!$R:$R, "&lt;"&amp;INT($AT$1+1)
)</f>
        <v>0</v>
      </c>
      <c r="AR53" s="1">
        <f t="shared" si="24"/>
        <v>0</v>
      </c>
      <c r="AS53" s="9">
        <f t="shared" si="25"/>
        <v>0</v>
      </c>
      <c r="AT53" s="10">
        <f t="shared" si="26"/>
        <v>0</v>
      </c>
      <c r="AU53" s="1">
        <f>SUMIFS(
  '[1]Hoja 1'!$M:$M,
  '[1]Hoja 1'!$S:$S, $A53,
  '[1]Hoja 1'!$R:$R, "&gt;="&amp;INT($AW$1),
  '[1]Hoja 1'!$R:$R, "&lt;"&amp;INT($AX$1+1)
)</f>
        <v>0</v>
      </c>
      <c r="AV53" s="1">
        <f t="shared" si="27"/>
        <v>0</v>
      </c>
      <c r="AW53" s="9">
        <f t="shared" si="28"/>
        <v>0</v>
      </c>
      <c r="AX53" s="10">
        <f t="shared" si="29"/>
        <v>0</v>
      </c>
      <c r="AY53" s="1">
        <f>SUMIFS(
  '[1]Hoja 1'!$M:$M,
  '[1]Hoja 1'!$S:$S, $A53,
  '[1]Hoja 1'!$R:$R, "&gt;="&amp;INT($BA$1),
  '[1]Hoja 1'!$R:$R, "&lt;"&amp;INT($BB$1+1)
)</f>
        <v>0</v>
      </c>
      <c r="AZ53" s="1">
        <f t="shared" si="30"/>
        <v>0</v>
      </c>
      <c r="BA53" s="9">
        <f t="shared" si="31"/>
        <v>0</v>
      </c>
      <c r="BB53" s="10">
        <f t="shared" si="32"/>
        <v>0</v>
      </c>
      <c r="BC53" s="1">
        <f>SUMIFS(
  '[1]Hoja 1'!$M:$M,
  '[1]Hoja 1'!$S:$S, $A53,
  '[1]Hoja 1'!$R:$R, "&gt;="&amp;INT($BE$1),
  '[1]Hoja 1'!$R:$R, "&lt;"&amp;INT($BF$1+1)
)</f>
        <v>0</v>
      </c>
      <c r="BD53" s="1">
        <f t="shared" si="33"/>
        <v>0</v>
      </c>
      <c r="BE53" s="9">
        <f t="shared" si="34"/>
        <v>0</v>
      </c>
      <c r="BF53" s="10">
        <f t="shared" si="35"/>
        <v>0</v>
      </c>
      <c r="BG53" s="1">
        <f>SUMIFS(
  '[1]Hoja 1'!$M:$M,
  '[1]Hoja 1'!$S:$S, $A53,
  '[1]Hoja 1'!$R:$R, "&gt;="&amp;INT($BI$1),
  '[1]Hoja 1'!$R:$R, "&lt;"&amp;INT($BJ$1+1)
)</f>
        <v>0</v>
      </c>
      <c r="BH53" s="1">
        <f t="shared" si="36"/>
        <v>0</v>
      </c>
      <c r="BI53" s="9">
        <f t="shared" si="37"/>
        <v>0</v>
      </c>
      <c r="BJ53" s="10">
        <f t="shared" si="38"/>
        <v>0</v>
      </c>
      <c r="BK53" s="1">
        <f>SUMIFS(
  '[1]Hoja 1'!$M:$M,
  '[1]Hoja 1'!$S:$S, $A53,
  '[1]Hoja 1'!$R:$R, "&gt;="&amp;INT($BM$1),
  '[1]Hoja 1'!$R:$R, "&lt;"&amp;INT($BN$1+1)
)</f>
        <v>0</v>
      </c>
      <c r="BL53" s="1">
        <f t="shared" si="39"/>
        <v>0</v>
      </c>
      <c r="BM53" s="9">
        <f t="shared" si="40"/>
        <v>0</v>
      </c>
      <c r="BN53" s="10">
        <f t="shared" si="41"/>
        <v>0</v>
      </c>
      <c r="BO53" s="1">
        <f>SUMIFS(
  '[1]Hoja 1'!$M:$M,
  '[1]Hoja 1'!$S:$S, $A53,
  '[1]Hoja 1'!$R:$R, "&gt;="&amp;INT($BQ$1),
  '[1]Hoja 1'!$R:$R, "&lt;"&amp;INT($BR$1+1)
)</f>
        <v>0</v>
      </c>
      <c r="BP53" s="1">
        <f t="shared" si="42"/>
        <v>0</v>
      </c>
      <c r="BQ53" s="9">
        <f t="shared" si="43"/>
        <v>0</v>
      </c>
      <c r="BR53" s="10">
        <f t="shared" si="44"/>
        <v>0</v>
      </c>
      <c r="BS53" s="1">
        <f>SUMIFS(
  '[1]Hoja 1'!$M:$M,
  '[1]Hoja 1'!$S:$S, $A53,
  '[1]Hoja 1'!$R:$R, "&gt;="&amp;INT($BU$1),
  '[1]Hoja 1'!$R:$R, "&lt;"&amp;INT($BV$1+1)
)</f>
        <v>0</v>
      </c>
      <c r="BT53" s="1">
        <f t="shared" si="45"/>
        <v>0</v>
      </c>
      <c r="BU53" s="9">
        <f t="shared" si="46"/>
        <v>0</v>
      </c>
      <c r="BV53" s="10">
        <f t="shared" si="47"/>
        <v>0</v>
      </c>
      <c r="BW53" s="1">
        <f>SUMIFS(
  '[1]Hoja 1'!$M:$M,
  '[1]Hoja 1'!$S:$S, $A53,
  '[1]Hoja 1'!$R:$R, "&gt;="&amp;INT($BY$1),
  '[1]Hoja 1'!$R:$R, "&lt;"&amp;INT($BZ$1+1)
)</f>
        <v>0</v>
      </c>
      <c r="BX53" s="1">
        <f t="shared" si="48"/>
        <v>0</v>
      </c>
      <c r="BY53" s="9">
        <f t="shared" si="49"/>
        <v>0</v>
      </c>
      <c r="BZ53" s="10">
        <f t="shared" si="50"/>
        <v>0</v>
      </c>
      <c r="CA53" s="1">
        <f>SUMIFS(
  '[1]Hoja 1'!$M:$M,
  '[1]Hoja 1'!$S:$S, $A53,
  '[1]Hoja 1'!$R:$R, "&gt;="&amp;INT($CC$1),
  '[1]Hoja 1'!$R:$R, "&lt;"&amp;INT($CD$1+1)
)</f>
        <v>0</v>
      </c>
      <c r="CB53" s="1">
        <f t="shared" si="51"/>
        <v>0</v>
      </c>
      <c r="CC53" s="9">
        <f t="shared" si="52"/>
        <v>0</v>
      </c>
      <c r="CD53" s="10">
        <f t="shared" si="53"/>
        <v>0</v>
      </c>
      <c r="CE53" s="1">
        <f>SUMIFS(
  '[1]Hoja 1'!$M:$M,
  '[1]Hoja 1'!$S:$S, $A53,
  '[1]Hoja 1'!$R:$R, "&gt;="&amp;INT($CG$1),
  '[1]Hoja 1'!$R:$R, "&lt;"&amp;INT($CH$1+1)
)</f>
        <v>0</v>
      </c>
      <c r="CF53" s="1">
        <f t="shared" si="54"/>
        <v>0</v>
      </c>
      <c r="CG53" s="9">
        <f t="shared" si="55"/>
        <v>0</v>
      </c>
      <c r="CH53" s="10">
        <f t="shared" si="56"/>
        <v>0</v>
      </c>
      <c r="CI53" s="1">
        <f>SUMIFS(
  '[1]Hoja 1'!$M:$M,
  '[1]Hoja 1'!$S:$S, $A53,
  '[1]Hoja 1'!$R:$R, "&gt;="&amp;INT($CK$1),
  '[1]Hoja 1'!$R:$R, "&lt;"&amp;INT($CL$1+1)
)</f>
        <v>0</v>
      </c>
      <c r="CJ53" s="1">
        <f t="shared" si="57"/>
        <v>0</v>
      </c>
      <c r="CK53" s="9">
        <f t="shared" si="58"/>
        <v>0</v>
      </c>
      <c r="CL53" s="10">
        <f t="shared" si="59"/>
        <v>0</v>
      </c>
      <c r="CM53" s="1">
        <f>SUMIFS(
  '[1]Hoja 1'!$M:$M,
  '[1]Hoja 1'!$S:$S, $A53,
  '[1]Hoja 1'!$R:$R, "&gt;="&amp;INT($CO$1),
  '[1]Hoja 1'!$R:$R, "&lt;"&amp;INT($CP$1+1)
)</f>
        <v>0</v>
      </c>
      <c r="CN53" s="1">
        <f t="shared" si="60"/>
        <v>0</v>
      </c>
      <c r="CO53" s="9">
        <f t="shared" si="61"/>
        <v>0</v>
      </c>
      <c r="CP53" s="10">
        <f t="shared" si="62"/>
        <v>0</v>
      </c>
      <c r="CQ53" s="1">
        <f>SUMIFS(
  '[1]Hoja 1'!$M:$M,
  '[1]Hoja 1'!$S:$S, $A53,
  '[1]Hoja 1'!$R:$R, "&gt;="&amp;INT($CS$1),
  '[1]Hoja 1'!$R:$R, "&lt;"&amp;INT($CT$1+1)
)</f>
        <v>0</v>
      </c>
      <c r="CR53" s="1">
        <f t="shared" si="63"/>
        <v>0</v>
      </c>
      <c r="CS53" s="9">
        <f t="shared" si="64"/>
        <v>0</v>
      </c>
      <c r="CT53" s="10">
        <f t="shared" si="65"/>
        <v>0</v>
      </c>
      <c r="CU53" s="1">
        <f>SUMIFS(
  '[1]Hoja 1'!$M:$M,
  '[1]Hoja 1'!$S:$S, $A53,
  '[1]Hoja 1'!$R:$R, "&gt;="&amp;INT($CW$1),
  '[1]Hoja 1'!$R:$R, "&lt;"&amp;INT($CX$1+1)
)</f>
        <v>0</v>
      </c>
      <c r="CV53" s="1">
        <f t="shared" si="66"/>
        <v>0</v>
      </c>
      <c r="CW53" s="9">
        <f t="shared" si="67"/>
        <v>0</v>
      </c>
      <c r="CX53" s="10">
        <f t="shared" si="68"/>
        <v>0</v>
      </c>
      <c r="CY53" s="1">
        <f>SUMIFS(
  '[1]Hoja 1'!$M:$M,
  '[1]Hoja 1'!$S:$S, $A53,
  '[1]Hoja 1'!$R:$R, "&gt;="&amp;INT($DA$1),
  '[1]Hoja 1'!$R:$R, "&lt;"&amp;INT($DB$1+1)
)</f>
        <v>0</v>
      </c>
      <c r="CZ53" s="1">
        <f t="shared" si="69"/>
        <v>0</v>
      </c>
      <c r="DA53" s="9">
        <f t="shared" si="70"/>
        <v>0</v>
      </c>
      <c r="DB53" s="10">
        <f t="shared" si="71"/>
        <v>0</v>
      </c>
      <c r="DC53" s="1">
        <f>SUMIFS(
  '[1]Hoja 1'!$M:$M,
  '[1]Hoja 1'!$S:$S, $A53,
  '[1]Hoja 1'!$R:$R, "&gt;="&amp;INT($DE$1),
  '[1]Hoja 1'!$R:$R, "&lt;"&amp;INT($DF$1+1)
)</f>
        <v>0</v>
      </c>
      <c r="DD53" s="1">
        <f t="shared" si="72"/>
        <v>0</v>
      </c>
      <c r="DE53" s="9">
        <f t="shared" si="73"/>
        <v>0</v>
      </c>
      <c r="DF53" s="10">
        <f t="shared" si="74"/>
        <v>0</v>
      </c>
      <c r="DG53" s="1">
        <f>SUMIFS(
  '[1]Hoja 1'!$M:$M,
  '[1]Hoja 1'!$S:$S, $A53,
  '[1]Hoja 1'!$R:$R, "&gt;="&amp;INT($DI$1),
  '[1]Hoja 1'!$R:$R, "&lt;"&amp;INT($DJ$1+1)
)</f>
        <v>0</v>
      </c>
      <c r="DH53" s="1">
        <f t="shared" si="75"/>
        <v>0</v>
      </c>
      <c r="DI53" s="9">
        <f t="shared" si="76"/>
        <v>0</v>
      </c>
      <c r="DJ53" s="10">
        <f t="shared" si="77"/>
        <v>0</v>
      </c>
      <c r="DK53" s="1">
        <f>SUMIFS(
  '[1]Hoja 1'!$M:$M,
  '[1]Hoja 1'!$S:$S, $A53,
  '[1]Hoja 1'!$R:$R, "&gt;="&amp;INT($DM$1),
  '[1]Hoja 1'!$R:$R, "&lt;"&amp;INT($DN$1+1)
)</f>
        <v>0</v>
      </c>
      <c r="DL53" s="1">
        <f t="shared" si="78"/>
        <v>0</v>
      </c>
      <c r="DM53" s="9">
        <f t="shared" si="79"/>
        <v>0</v>
      </c>
      <c r="DN53" s="10">
        <f t="shared" si="80"/>
        <v>0</v>
      </c>
      <c r="DO53" s="1">
        <f>SUMIFS(
  '[1]Hoja 1'!$M:$M,
  '[1]Hoja 1'!$S:$S, $A53,
  '[1]Hoja 1'!$R:$R, "&gt;="&amp;INT($DQ$1),
  '[1]Hoja 1'!$R:$R, "&lt;"&amp;INT($DR$1+1)
)</f>
        <v>0</v>
      </c>
      <c r="DP53" s="1">
        <f t="shared" si="81"/>
        <v>0</v>
      </c>
      <c r="DQ53" s="9">
        <f t="shared" si="82"/>
        <v>0</v>
      </c>
      <c r="DR53" s="10">
        <f t="shared" si="83"/>
        <v>0</v>
      </c>
    </row>
    <row r="54" spans="1:122" x14ac:dyDescent="0.25">
      <c r="A54" s="5">
        <v>209001</v>
      </c>
      <c r="B54" s="6" t="s">
        <v>57</v>
      </c>
      <c r="C54" s="1">
        <f>SUMIFS(
  '[1]Hoja 1'!$M:$M,
  '[1]Hoja 1'!$S:$S, $A54,
  '[1]Hoja 1'!$R:$R, "&gt;="&amp;INT($E$1),
  '[1]Hoja 1'!$R:$R, "&lt;"&amp;INT($F$1+1)
)</f>
        <v>14</v>
      </c>
      <c r="D54" s="1" t="str">
        <f>""</f>
        <v/>
      </c>
      <c r="F54" s="2"/>
      <c r="G54" s="1">
        <f>SUMIFS(
  '[1]Hoja 1'!$M:$M,
  '[1]Hoja 1'!$S:$S, $A54,
  '[1]Hoja 1'!$R:$R, "&gt;="&amp;INT($I$1),
  '[1]Hoja 1'!$R:$R, "&lt;"&amp;INT($J$1+1)
)</f>
        <v>12</v>
      </c>
      <c r="H54" s="1">
        <f t="shared" si="84"/>
        <v>13</v>
      </c>
      <c r="I54" s="1"/>
      <c r="J54" s="2"/>
      <c r="K54" s="1">
        <f>SUMIFS(
  '[1]Hoja 1'!$M:$M,
  '[1]Hoja 1'!$S:$S, $A54,
  '[1]Hoja 1'!$R:$R, "&gt;="&amp;INT($M$1),
  '[1]Hoja 1'!$R:$R, "&lt;"&amp;INT($N$1+1)
)</f>
        <v>15</v>
      </c>
      <c r="L54" s="1">
        <f t="shared" si="0"/>
        <v>13.5</v>
      </c>
      <c r="M54" s="9">
        <f t="shared" si="1"/>
        <v>10.035176772185917</v>
      </c>
      <c r="N54" s="10">
        <f t="shared" si="2"/>
        <v>16.964823227814083</v>
      </c>
      <c r="O54" s="1">
        <f>SUMIFS(
  '[1]Hoja 1'!$M:$M,
  '[1]Hoja 1'!$S:$S, $A54,
  '[1]Hoja 1'!$R:$R, "&gt;="&amp;INT($Q$1),
  '[1]Hoja 1'!$R:$R, "&lt;"&amp;INT($R$1+1)
)</f>
        <v>8</v>
      </c>
      <c r="P54" s="1">
        <f t="shared" si="3"/>
        <v>11.5</v>
      </c>
      <c r="Q54" s="9">
        <f t="shared" si="4"/>
        <v>8.6</v>
      </c>
      <c r="R54" s="10">
        <f t="shared" si="5"/>
        <v>18.399999999999999</v>
      </c>
      <c r="S54" s="1">
        <f>SUMIFS(
  '[1]Hoja 1'!$M:$M,
  '[1]Hoja 1'!$S:$S, $A54,
  '[1]Hoja 1'!$R:$R, "&gt;="&amp;INT($U$1),
  '[1]Hoja 1'!$R:$R, "&lt;"&amp;INT($V$1+1)
)</f>
        <v>12</v>
      </c>
      <c r="T54" s="1">
        <f t="shared" si="6"/>
        <v>10</v>
      </c>
      <c r="U54" s="9">
        <f t="shared" si="7"/>
        <v>5.0350965098335827</v>
      </c>
      <c r="V54" s="10">
        <f t="shared" si="8"/>
        <v>14.964903490166417</v>
      </c>
      <c r="W54" s="1">
        <f>SUMIFS(
  '[1]Hoja 1'!$M:$M,
  '[1]Hoja 1'!$S:$S, $A54,
  '[1]Hoja 1'!$R:$R, "&gt;="&amp;INT($Y$1),
  '[1]Hoja 1'!$R:$R, "&lt;"&amp;INT($Z$1+1)
)</f>
        <v>9</v>
      </c>
      <c r="X54" s="1">
        <f t="shared" si="9"/>
        <v>11</v>
      </c>
      <c r="Y54" s="9">
        <f t="shared" si="10"/>
        <v>5.9156350773506956</v>
      </c>
      <c r="Z54" s="10">
        <f t="shared" si="11"/>
        <v>16.084364922649304</v>
      </c>
      <c r="AA54" s="1">
        <f>SUMIFS(
  '[1]Hoja 1'!$M:$M,
  '[1]Hoja 1'!$S:$S, $A54,
  '[1]Hoja 1'!$R:$R, "&gt;="&amp;INT($AC$1),
  '[1]Hoja 1'!$R:$R, "&lt;"&amp;INT($AD$1+1)
)</f>
        <v>8</v>
      </c>
      <c r="AB54" s="1">
        <f t="shared" si="12"/>
        <v>9</v>
      </c>
      <c r="AC54" s="9">
        <f t="shared" si="13"/>
        <v>5.0434206693154753</v>
      </c>
      <c r="AD54" s="10">
        <f t="shared" si="14"/>
        <v>13.482004759777332</v>
      </c>
      <c r="AE54" s="1">
        <f>SUMIFS(
  '[1]Hoja 1'!$M:$M,
  '[1]Hoja 1'!$S:$S, $A54,
  '[1]Hoja 1'!$R:$R, "&gt;="&amp;INT($AG$1),
  '[1]Hoja 1'!$R:$R, "&lt;"&amp;INT($AH$1+1)
)</f>
        <v>0</v>
      </c>
      <c r="AF54" s="1">
        <f t="shared" si="15"/>
        <v>4</v>
      </c>
      <c r="AG54" s="9">
        <f t="shared" si="16"/>
        <v>-0.30531299675180446</v>
      </c>
      <c r="AH54" s="10">
        <f t="shared" si="17"/>
        <v>8.8672237124121054</v>
      </c>
      <c r="AI54" s="1">
        <f>SUMIFS(
  '[1]Hoja 1'!$M:$M,
  '[1]Hoja 1'!$S:$S, $A54,
  '[1]Hoja 1'!$R:$R, "&gt;="&amp;INT($AK$1),
  '[1]Hoja 1'!$R:$R, "&lt;"&amp;INT($AL$1+1)
)</f>
        <v>0</v>
      </c>
      <c r="AJ54" s="1">
        <f t="shared" si="18"/>
        <v>0</v>
      </c>
      <c r="AK54" s="9">
        <f t="shared" si="19"/>
        <v>-3.2943163175384358</v>
      </c>
      <c r="AL54" s="10">
        <f t="shared" si="20"/>
        <v>3.4878455623302282</v>
      </c>
      <c r="AM54" s="1">
        <f>SUMIFS(
  '[1]Hoja 1'!$M:$M,
  '[1]Hoja 1'!$S:$S, $A54,
  '[1]Hoja 1'!$R:$R, "&gt;="&amp;INT($AO$1),
  '[1]Hoja 1'!$R:$R, "&lt;"&amp;INT($AP$1+1)
)</f>
        <v>0</v>
      </c>
      <c r="AN54" s="1">
        <f t="shared" si="21"/>
        <v>0</v>
      </c>
      <c r="AO54" s="9">
        <f t="shared" si="22"/>
        <v>-3.4229928425283043</v>
      </c>
      <c r="AP54" s="10">
        <f t="shared" si="23"/>
        <v>3.7849658739104459</v>
      </c>
      <c r="AQ54" s="1">
        <f>SUMIFS(
  '[1]Hoja 1'!$M:$M,
  '[1]Hoja 1'!$S:$S, $A54,
  '[1]Hoja 1'!$R:$R, "&gt;="&amp;INT($AS$1),
  '[1]Hoja 1'!$R:$R, "&lt;"&amp;INT($AT$1+1)
)</f>
        <v>0</v>
      </c>
      <c r="AR54" s="1">
        <f t="shared" si="24"/>
        <v>0</v>
      </c>
      <c r="AS54" s="9">
        <f t="shared" si="25"/>
        <v>-3.5061545887196699</v>
      </c>
      <c r="AT54" s="10">
        <f t="shared" si="26"/>
        <v>3.92</v>
      </c>
      <c r="AU54" s="1">
        <f>SUMIFS(
  '[1]Hoja 1'!$M:$M,
  '[1]Hoja 1'!$S:$S, $A54,
  '[1]Hoja 1'!$R:$R, "&gt;="&amp;INT($AW$1),
  '[1]Hoja 1'!$R:$R, "&lt;"&amp;INT($AX$1+1)
)</f>
        <v>0</v>
      </c>
      <c r="AV54" s="1">
        <f t="shared" si="27"/>
        <v>0</v>
      </c>
      <c r="AW54" s="9">
        <f t="shared" si="28"/>
        <v>0</v>
      </c>
      <c r="AX54" s="10">
        <f t="shared" si="29"/>
        <v>0</v>
      </c>
      <c r="AY54" s="1">
        <f>SUMIFS(
  '[1]Hoja 1'!$M:$M,
  '[1]Hoja 1'!$S:$S, $A54,
  '[1]Hoja 1'!$R:$R, "&gt;="&amp;INT($BA$1),
  '[1]Hoja 1'!$R:$R, "&lt;"&amp;INT($BB$1+1)
)</f>
        <v>0</v>
      </c>
      <c r="AZ54" s="1">
        <f t="shared" si="30"/>
        <v>0</v>
      </c>
      <c r="BA54" s="9">
        <f t="shared" si="31"/>
        <v>0</v>
      </c>
      <c r="BB54" s="10">
        <f t="shared" si="32"/>
        <v>0</v>
      </c>
      <c r="BC54" s="1">
        <f>SUMIFS(
  '[1]Hoja 1'!$M:$M,
  '[1]Hoja 1'!$S:$S, $A54,
  '[1]Hoja 1'!$R:$R, "&gt;="&amp;INT($BE$1),
  '[1]Hoja 1'!$R:$R, "&lt;"&amp;INT($BF$1+1)
)</f>
        <v>0</v>
      </c>
      <c r="BD54" s="1">
        <f t="shared" si="33"/>
        <v>0</v>
      </c>
      <c r="BE54" s="9">
        <f t="shared" si="34"/>
        <v>0</v>
      </c>
      <c r="BF54" s="10">
        <f t="shared" si="35"/>
        <v>0</v>
      </c>
      <c r="BG54" s="1">
        <f>SUMIFS(
  '[1]Hoja 1'!$M:$M,
  '[1]Hoja 1'!$S:$S, $A54,
  '[1]Hoja 1'!$R:$R, "&gt;="&amp;INT($BI$1),
  '[1]Hoja 1'!$R:$R, "&lt;"&amp;INT($BJ$1+1)
)</f>
        <v>0</v>
      </c>
      <c r="BH54" s="1">
        <f t="shared" si="36"/>
        <v>0</v>
      </c>
      <c r="BI54" s="9">
        <f t="shared" si="37"/>
        <v>0</v>
      </c>
      <c r="BJ54" s="10">
        <f t="shared" si="38"/>
        <v>0</v>
      </c>
      <c r="BK54" s="1">
        <f>SUMIFS(
  '[1]Hoja 1'!$M:$M,
  '[1]Hoja 1'!$S:$S, $A54,
  '[1]Hoja 1'!$R:$R, "&gt;="&amp;INT($BM$1),
  '[1]Hoja 1'!$R:$R, "&lt;"&amp;INT($BN$1+1)
)</f>
        <v>0</v>
      </c>
      <c r="BL54" s="1">
        <f t="shared" si="39"/>
        <v>0</v>
      </c>
      <c r="BM54" s="9">
        <f t="shared" si="40"/>
        <v>0</v>
      </c>
      <c r="BN54" s="10">
        <f t="shared" si="41"/>
        <v>0</v>
      </c>
      <c r="BO54" s="1">
        <f>SUMIFS(
  '[1]Hoja 1'!$M:$M,
  '[1]Hoja 1'!$S:$S, $A54,
  '[1]Hoja 1'!$R:$R, "&gt;="&amp;INT($BQ$1),
  '[1]Hoja 1'!$R:$R, "&lt;"&amp;INT($BR$1+1)
)</f>
        <v>0</v>
      </c>
      <c r="BP54" s="1">
        <f t="shared" si="42"/>
        <v>0</v>
      </c>
      <c r="BQ54" s="9">
        <f t="shared" si="43"/>
        <v>0</v>
      </c>
      <c r="BR54" s="10">
        <f t="shared" si="44"/>
        <v>0</v>
      </c>
      <c r="BS54" s="1">
        <f>SUMIFS(
  '[1]Hoja 1'!$M:$M,
  '[1]Hoja 1'!$S:$S, $A54,
  '[1]Hoja 1'!$R:$R, "&gt;="&amp;INT($BU$1),
  '[1]Hoja 1'!$R:$R, "&lt;"&amp;INT($BV$1+1)
)</f>
        <v>0</v>
      </c>
      <c r="BT54" s="1">
        <f t="shared" si="45"/>
        <v>0</v>
      </c>
      <c r="BU54" s="9">
        <f t="shared" si="46"/>
        <v>0</v>
      </c>
      <c r="BV54" s="10">
        <f t="shared" si="47"/>
        <v>0</v>
      </c>
      <c r="BW54" s="1">
        <f>SUMIFS(
  '[1]Hoja 1'!$M:$M,
  '[1]Hoja 1'!$S:$S, $A54,
  '[1]Hoja 1'!$R:$R, "&gt;="&amp;INT($BY$1),
  '[1]Hoja 1'!$R:$R, "&lt;"&amp;INT($BZ$1+1)
)</f>
        <v>0</v>
      </c>
      <c r="BX54" s="1">
        <f t="shared" si="48"/>
        <v>0</v>
      </c>
      <c r="BY54" s="9">
        <f t="shared" si="49"/>
        <v>0</v>
      </c>
      <c r="BZ54" s="10">
        <f t="shared" si="50"/>
        <v>0</v>
      </c>
      <c r="CA54" s="1">
        <f>SUMIFS(
  '[1]Hoja 1'!$M:$M,
  '[1]Hoja 1'!$S:$S, $A54,
  '[1]Hoja 1'!$R:$R, "&gt;="&amp;INT($CC$1),
  '[1]Hoja 1'!$R:$R, "&lt;"&amp;INT($CD$1+1)
)</f>
        <v>0</v>
      </c>
      <c r="CB54" s="1">
        <f t="shared" si="51"/>
        <v>0</v>
      </c>
      <c r="CC54" s="9">
        <f t="shared" si="52"/>
        <v>0</v>
      </c>
      <c r="CD54" s="10">
        <f t="shared" si="53"/>
        <v>0</v>
      </c>
      <c r="CE54" s="1">
        <f>SUMIFS(
  '[1]Hoja 1'!$M:$M,
  '[1]Hoja 1'!$S:$S, $A54,
  '[1]Hoja 1'!$R:$R, "&gt;="&amp;INT($CG$1),
  '[1]Hoja 1'!$R:$R, "&lt;"&amp;INT($CH$1+1)
)</f>
        <v>0</v>
      </c>
      <c r="CF54" s="1">
        <f t="shared" si="54"/>
        <v>0</v>
      </c>
      <c r="CG54" s="9">
        <f t="shared" si="55"/>
        <v>0</v>
      </c>
      <c r="CH54" s="10">
        <f t="shared" si="56"/>
        <v>0</v>
      </c>
      <c r="CI54" s="1">
        <f>SUMIFS(
  '[1]Hoja 1'!$M:$M,
  '[1]Hoja 1'!$S:$S, $A54,
  '[1]Hoja 1'!$R:$R, "&gt;="&amp;INT($CK$1),
  '[1]Hoja 1'!$R:$R, "&lt;"&amp;INT($CL$1+1)
)</f>
        <v>0</v>
      </c>
      <c r="CJ54" s="1">
        <f t="shared" si="57"/>
        <v>0</v>
      </c>
      <c r="CK54" s="9">
        <f t="shared" si="58"/>
        <v>0</v>
      </c>
      <c r="CL54" s="10">
        <f t="shared" si="59"/>
        <v>0</v>
      </c>
      <c r="CM54" s="1">
        <f>SUMIFS(
  '[1]Hoja 1'!$M:$M,
  '[1]Hoja 1'!$S:$S, $A54,
  '[1]Hoja 1'!$R:$R, "&gt;="&amp;INT($CO$1),
  '[1]Hoja 1'!$R:$R, "&lt;"&amp;INT($CP$1+1)
)</f>
        <v>0</v>
      </c>
      <c r="CN54" s="1">
        <f t="shared" si="60"/>
        <v>0</v>
      </c>
      <c r="CO54" s="9">
        <f t="shared" si="61"/>
        <v>0</v>
      </c>
      <c r="CP54" s="10">
        <f t="shared" si="62"/>
        <v>0</v>
      </c>
      <c r="CQ54" s="1">
        <f>SUMIFS(
  '[1]Hoja 1'!$M:$M,
  '[1]Hoja 1'!$S:$S, $A54,
  '[1]Hoja 1'!$R:$R, "&gt;="&amp;INT($CS$1),
  '[1]Hoja 1'!$R:$R, "&lt;"&amp;INT($CT$1+1)
)</f>
        <v>0</v>
      </c>
      <c r="CR54" s="1">
        <f t="shared" si="63"/>
        <v>0</v>
      </c>
      <c r="CS54" s="9">
        <f t="shared" si="64"/>
        <v>0</v>
      </c>
      <c r="CT54" s="10">
        <f t="shared" si="65"/>
        <v>0</v>
      </c>
      <c r="CU54" s="1">
        <f>SUMIFS(
  '[1]Hoja 1'!$M:$M,
  '[1]Hoja 1'!$S:$S, $A54,
  '[1]Hoja 1'!$R:$R, "&gt;="&amp;INT($CW$1),
  '[1]Hoja 1'!$R:$R, "&lt;"&amp;INT($CX$1+1)
)</f>
        <v>0</v>
      </c>
      <c r="CV54" s="1">
        <f t="shared" si="66"/>
        <v>0</v>
      </c>
      <c r="CW54" s="9">
        <f t="shared" si="67"/>
        <v>0</v>
      </c>
      <c r="CX54" s="10">
        <f t="shared" si="68"/>
        <v>0</v>
      </c>
      <c r="CY54" s="1">
        <f>SUMIFS(
  '[1]Hoja 1'!$M:$M,
  '[1]Hoja 1'!$S:$S, $A54,
  '[1]Hoja 1'!$R:$R, "&gt;="&amp;INT($DA$1),
  '[1]Hoja 1'!$R:$R, "&lt;"&amp;INT($DB$1+1)
)</f>
        <v>0</v>
      </c>
      <c r="CZ54" s="1">
        <f t="shared" si="69"/>
        <v>0</v>
      </c>
      <c r="DA54" s="9">
        <f t="shared" si="70"/>
        <v>0</v>
      </c>
      <c r="DB54" s="10">
        <f t="shared" si="71"/>
        <v>0</v>
      </c>
      <c r="DC54" s="1">
        <f>SUMIFS(
  '[1]Hoja 1'!$M:$M,
  '[1]Hoja 1'!$S:$S, $A54,
  '[1]Hoja 1'!$R:$R, "&gt;="&amp;INT($DE$1),
  '[1]Hoja 1'!$R:$R, "&lt;"&amp;INT($DF$1+1)
)</f>
        <v>0</v>
      </c>
      <c r="DD54" s="1">
        <f t="shared" si="72"/>
        <v>0</v>
      </c>
      <c r="DE54" s="9">
        <f t="shared" si="73"/>
        <v>0</v>
      </c>
      <c r="DF54" s="10">
        <f t="shared" si="74"/>
        <v>0</v>
      </c>
      <c r="DG54" s="1">
        <f>SUMIFS(
  '[1]Hoja 1'!$M:$M,
  '[1]Hoja 1'!$S:$S, $A54,
  '[1]Hoja 1'!$R:$R, "&gt;="&amp;INT($DI$1),
  '[1]Hoja 1'!$R:$R, "&lt;"&amp;INT($DJ$1+1)
)</f>
        <v>0</v>
      </c>
      <c r="DH54" s="1">
        <f t="shared" si="75"/>
        <v>0</v>
      </c>
      <c r="DI54" s="9">
        <f t="shared" si="76"/>
        <v>0</v>
      </c>
      <c r="DJ54" s="10">
        <f t="shared" si="77"/>
        <v>0</v>
      </c>
      <c r="DK54" s="1">
        <f>SUMIFS(
  '[1]Hoja 1'!$M:$M,
  '[1]Hoja 1'!$S:$S, $A54,
  '[1]Hoja 1'!$R:$R, "&gt;="&amp;INT($DM$1),
  '[1]Hoja 1'!$R:$R, "&lt;"&amp;INT($DN$1+1)
)</f>
        <v>0</v>
      </c>
      <c r="DL54" s="1">
        <f t="shared" si="78"/>
        <v>0</v>
      </c>
      <c r="DM54" s="9">
        <f t="shared" si="79"/>
        <v>0</v>
      </c>
      <c r="DN54" s="10">
        <f t="shared" si="80"/>
        <v>0</v>
      </c>
      <c r="DO54" s="1">
        <f>SUMIFS(
  '[1]Hoja 1'!$M:$M,
  '[1]Hoja 1'!$S:$S, $A54,
  '[1]Hoja 1'!$R:$R, "&gt;="&amp;INT($DQ$1),
  '[1]Hoja 1'!$R:$R, "&lt;"&amp;INT($DR$1+1)
)</f>
        <v>0</v>
      </c>
      <c r="DP54" s="1">
        <f t="shared" si="81"/>
        <v>0</v>
      </c>
      <c r="DQ54" s="9">
        <f t="shared" si="82"/>
        <v>0</v>
      </c>
      <c r="DR54" s="10">
        <f t="shared" si="83"/>
        <v>0</v>
      </c>
    </row>
    <row r="55" spans="1:122" x14ac:dyDescent="0.25">
      <c r="A55" s="5">
        <v>209002</v>
      </c>
      <c r="B55" s="6" t="s">
        <v>58</v>
      </c>
      <c r="C55" s="1">
        <f>SUMIFS(
  '[1]Hoja 1'!$M:$M,
  '[1]Hoja 1'!$S:$S, $A55,
  '[1]Hoja 1'!$R:$R, "&gt;="&amp;INT($E$1),
  '[1]Hoja 1'!$R:$R, "&lt;"&amp;INT($F$1+1)
)</f>
        <v>0</v>
      </c>
      <c r="D55" s="1" t="str">
        <f>""</f>
        <v/>
      </c>
      <c r="F55" s="2"/>
      <c r="G55" s="1">
        <f>SUMIFS(
  '[1]Hoja 1'!$M:$M,
  '[1]Hoja 1'!$S:$S, $A55,
  '[1]Hoja 1'!$R:$R, "&gt;="&amp;INT($I$1),
  '[1]Hoja 1'!$R:$R, "&lt;"&amp;INT($J$1+1)
)</f>
        <v>0</v>
      </c>
      <c r="H55" s="1">
        <f t="shared" si="84"/>
        <v>0</v>
      </c>
      <c r="I55" s="1"/>
      <c r="J55" s="2"/>
      <c r="K55" s="1">
        <f>SUMIFS(
  '[1]Hoja 1'!$M:$M,
  '[1]Hoja 1'!$S:$S, $A55,
  '[1]Hoja 1'!$R:$R, "&gt;="&amp;INT($M$1),
  '[1]Hoja 1'!$R:$R, "&lt;"&amp;INT($N$1+1)
)</f>
        <v>1</v>
      </c>
      <c r="L55" s="1">
        <f t="shared" si="0"/>
        <v>0.5</v>
      </c>
      <c r="M55" s="9">
        <f t="shared" si="1"/>
        <v>-0.19296464556281656</v>
      </c>
      <c r="N55" s="10">
        <f t="shared" si="2"/>
        <v>1.1929646455628165</v>
      </c>
      <c r="O55" s="1">
        <f>SUMIFS(
  '[1]Hoja 1'!$M:$M,
  '[1]Hoja 1'!$S:$S, $A55,
  '[1]Hoja 1'!$R:$R, "&gt;="&amp;INT($Q$1),
  '[1]Hoja 1'!$R:$R, "&lt;"&amp;INT($R$1+1)
)</f>
        <v>0</v>
      </c>
      <c r="P55" s="1">
        <f t="shared" si="3"/>
        <v>0.5</v>
      </c>
      <c r="Q55" s="9">
        <f t="shared" si="4"/>
        <v>-0.48</v>
      </c>
      <c r="R55" s="10">
        <f t="shared" si="5"/>
        <v>1.48</v>
      </c>
      <c r="S55" s="1">
        <f>SUMIFS(
  '[1]Hoja 1'!$M:$M,
  '[1]Hoja 1'!$S:$S, $A55,
  '[1]Hoja 1'!$R:$R, "&gt;="&amp;INT($U$1),
  '[1]Hoja 1'!$R:$R, "&lt;"&amp;INT($V$1+1)
)</f>
        <v>0</v>
      </c>
      <c r="T55" s="1">
        <f t="shared" si="6"/>
        <v>0</v>
      </c>
      <c r="U55" s="9">
        <f t="shared" si="7"/>
        <v>-0.80016664930917147</v>
      </c>
      <c r="V55" s="10">
        <f t="shared" si="8"/>
        <v>0.80016664930917147</v>
      </c>
      <c r="W55" s="1">
        <f>SUMIFS(
  '[1]Hoja 1'!$M:$M,
  '[1]Hoja 1'!$S:$S, $A55,
  '[1]Hoja 1'!$R:$R, "&gt;="&amp;INT($Y$1),
  '[1]Hoja 1'!$R:$R, "&lt;"&amp;INT($Z$1+1)
)</f>
        <v>1</v>
      </c>
      <c r="X55" s="1">
        <f t="shared" si="9"/>
        <v>1</v>
      </c>
      <c r="Y55" s="9">
        <f t="shared" si="10"/>
        <v>6.1721434398788633E-2</v>
      </c>
      <c r="Z55" s="10">
        <f t="shared" si="11"/>
        <v>1.9382785656012114</v>
      </c>
      <c r="AA55" s="1">
        <f>SUMIFS(
  '[1]Hoja 1'!$M:$M,
  '[1]Hoja 1'!$S:$S, $A55,
  '[1]Hoja 1'!$R:$R, "&gt;="&amp;INT($AC$1),
  '[1]Hoja 1'!$R:$R, "&lt;"&amp;INT($AD$1+1)
)</f>
        <v>0</v>
      </c>
      <c r="AB55" s="1">
        <f t="shared" si="12"/>
        <v>1</v>
      </c>
      <c r="AC55" s="9">
        <f t="shared" si="13"/>
        <v>0.18007317399660594</v>
      </c>
      <c r="AD55" s="10">
        <f t="shared" si="14"/>
        <v>1.9382785656012114</v>
      </c>
      <c r="AE55" s="1">
        <f>SUMIFS(
  '[1]Hoja 1'!$M:$M,
  '[1]Hoja 1'!$S:$S, $A55,
  '[1]Hoja 1'!$R:$R, "&gt;="&amp;INT($AG$1),
  '[1]Hoja 1'!$R:$R, "&lt;"&amp;INT($AH$1+1)
)</f>
        <v>0</v>
      </c>
      <c r="AF55" s="1">
        <f t="shared" si="15"/>
        <v>0</v>
      </c>
      <c r="AG55" s="9">
        <f t="shared" si="16"/>
        <v>-0.69296464556281656</v>
      </c>
      <c r="AH55" s="10">
        <f t="shared" si="17"/>
        <v>0.80016664930917147</v>
      </c>
      <c r="AI55" s="1">
        <f>SUMIFS(
  '[1]Hoja 1'!$M:$M,
  '[1]Hoja 1'!$S:$S, $A55,
  '[1]Hoja 1'!$R:$R, "&gt;="&amp;INT($AK$1),
  '[1]Hoja 1'!$R:$R, "&lt;"&amp;INT($AL$1+1)
)</f>
        <v>0</v>
      </c>
      <c r="AJ55" s="1">
        <f t="shared" si="18"/>
        <v>0</v>
      </c>
      <c r="AK55" s="9">
        <f t="shared" si="19"/>
        <v>-0.69296464556281656</v>
      </c>
      <c r="AL55" s="10">
        <f t="shared" si="20"/>
        <v>0.80016664930917147</v>
      </c>
      <c r="AM55" s="1">
        <f>SUMIFS(
  '[1]Hoja 1'!$M:$M,
  '[1]Hoja 1'!$S:$S, $A55,
  '[1]Hoja 1'!$R:$R, "&gt;="&amp;INT($AO$1),
  '[1]Hoja 1'!$R:$R, "&lt;"&amp;INT($AP$1+1)
)</f>
        <v>0</v>
      </c>
      <c r="AN55" s="1">
        <f t="shared" si="21"/>
        <v>0</v>
      </c>
      <c r="AO55" s="9">
        <f t="shared" si="22"/>
        <v>-0.43826932358995874</v>
      </c>
      <c r="AP55" s="10">
        <f t="shared" si="23"/>
        <v>0.49</v>
      </c>
      <c r="AQ55" s="1">
        <f>SUMIFS(
  '[1]Hoja 1'!$M:$M,
  '[1]Hoja 1'!$S:$S, $A55,
  '[1]Hoja 1'!$R:$R, "&gt;="&amp;INT($AS$1),
  '[1]Hoja 1'!$R:$R, "&lt;"&amp;INT($AT$1+1)
)</f>
        <v>0</v>
      </c>
      <c r="AR55" s="1">
        <f t="shared" si="24"/>
        <v>0</v>
      </c>
      <c r="AS55" s="9">
        <f t="shared" si="25"/>
        <v>0</v>
      </c>
      <c r="AT55" s="10">
        <f t="shared" si="26"/>
        <v>0</v>
      </c>
      <c r="AU55" s="1">
        <f>SUMIFS(
  '[1]Hoja 1'!$M:$M,
  '[1]Hoja 1'!$S:$S, $A55,
  '[1]Hoja 1'!$R:$R, "&gt;="&amp;INT($AW$1),
  '[1]Hoja 1'!$R:$R, "&lt;"&amp;INT($AX$1+1)
)</f>
        <v>0</v>
      </c>
      <c r="AV55" s="1">
        <f t="shared" si="27"/>
        <v>0</v>
      </c>
      <c r="AW55" s="9">
        <f t="shared" si="28"/>
        <v>0</v>
      </c>
      <c r="AX55" s="10">
        <f t="shared" si="29"/>
        <v>0</v>
      </c>
      <c r="AY55" s="1">
        <f>SUMIFS(
  '[1]Hoja 1'!$M:$M,
  '[1]Hoja 1'!$S:$S, $A55,
  '[1]Hoja 1'!$R:$R, "&gt;="&amp;INT($BA$1),
  '[1]Hoja 1'!$R:$R, "&lt;"&amp;INT($BB$1+1)
)</f>
        <v>0</v>
      </c>
      <c r="AZ55" s="1">
        <f t="shared" si="30"/>
        <v>0</v>
      </c>
      <c r="BA55" s="9">
        <f t="shared" si="31"/>
        <v>0</v>
      </c>
      <c r="BB55" s="10">
        <f t="shared" si="32"/>
        <v>0</v>
      </c>
      <c r="BC55" s="1">
        <f>SUMIFS(
  '[1]Hoja 1'!$M:$M,
  '[1]Hoja 1'!$S:$S, $A55,
  '[1]Hoja 1'!$R:$R, "&gt;="&amp;INT($BE$1),
  '[1]Hoja 1'!$R:$R, "&lt;"&amp;INT($BF$1+1)
)</f>
        <v>0</v>
      </c>
      <c r="BD55" s="1">
        <f t="shared" si="33"/>
        <v>0</v>
      </c>
      <c r="BE55" s="9">
        <f t="shared" si="34"/>
        <v>0</v>
      </c>
      <c r="BF55" s="10">
        <f t="shared" si="35"/>
        <v>0</v>
      </c>
      <c r="BG55" s="1">
        <f>SUMIFS(
  '[1]Hoja 1'!$M:$M,
  '[1]Hoja 1'!$S:$S, $A55,
  '[1]Hoja 1'!$R:$R, "&gt;="&amp;INT($BI$1),
  '[1]Hoja 1'!$R:$R, "&lt;"&amp;INT($BJ$1+1)
)</f>
        <v>0</v>
      </c>
      <c r="BH55" s="1">
        <f t="shared" si="36"/>
        <v>0</v>
      </c>
      <c r="BI55" s="9">
        <f t="shared" si="37"/>
        <v>0</v>
      </c>
      <c r="BJ55" s="10">
        <f t="shared" si="38"/>
        <v>0</v>
      </c>
      <c r="BK55" s="1">
        <f>SUMIFS(
  '[1]Hoja 1'!$M:$M,
  '[1]Hoja 1'!$S:$S, $A55,
  '[1]Hoja 1'!$R:$R, "&gt;="&amp;INT($BM$1),
  '[1]Hoja 1'!$R:$R, "&lt;"&amp;INT($BN$1+1)
)</f>
        <v>0</v>
      </c>
      <c r="BL55" s="1">
        <f t="shared" si="39"/>
        <v>0</v>
      </c>
      <c r="BM55" s="9">
        <f t="shared" si="40"/>
        <v>0</v>
      </c>
      <c r="BN55" s="10">
        <f t="shared" si="41"/>
        <v>0</v>
      </c>
      <c r="BO55" s="1">
        <f>SUMIFS(
  '[1]Hoja 1'!$M:$M,
  '[1]Hoja 1'!$S:$S, $A55,
  '[1]Hoja 1'!$R:$R, "&gt;="&amp;INT($BQ$1),
  '[1]Hoja 1'!$R:$R, "&lt;"&amp;INT($BR$1+1)
)</f>
        <v>0</v>
      </c>
      <c r="BP55" s="1">
        <f t="shared" si="42"/>
        <v>0</v>
      </c>
      <c r="BQ55" s="9">
        <f t="shared" si="43"/>
        <v>0</v>
      </c>
      <c r="BR55" s="10">
        <f t="shared" si="44"/>
        <v>0</v>
      </c>
      <c r="BS55" s="1">
        <f>SUMIFS(
  '[1]Hoja 1'!$M:$M,
  '[1]Hoja 1'!$S:$S, $A55,
  '[1]Hoja 1'!$R:$R, "&gt;="&amp;INT($BU$1),
  '[1]Hoja 1'!$R:$R, "&lt;"&amp;INT($BV$1+1)
)</f>
        <v>0</v>
      </c>
      <c r="BT55" s="1">
        <f t="shared" si="45"/>
        <v>0</v>
      </c>
      <c r="BU55" s="9">
        <f t="shared" si="46"/>
        <v>0</v>
      </c>
      <c r="BV55" s="10">
        <f t="shared" si="47"/>
        <v>0</v>
      </c>
      <c r="BW55" s="1">
        <f>SUMIFS(
  '[1]Hoja 1'!$M:$M,
  '[1]Hoja 1'!$S:$S, $A55,
  '[1]Hoja 1'!$R:$R, "&gt;="&amp;INT($BY$1),
  '[1]Hoja 1'!$R:$R, "&lt;"&amp;INT($BZ$1+1)
)</f>
        <v>0</v>
      </c>
      <c r="BX55" s="1">
        <f t="shared" si="48"/>
        <v>0</v>
      </c>
      <c r="BY55" s="9">
        <f t="shared" si="49"/>
        <v>0</v>
      </c>
      <c r="BZ55" s="10">
        <f t="shared" si="50"/>
        <v>0</v>
      </c>
      <c r="CA55" s="1">
        <f>SUMIFS(
  '[1]Hoja 1'!$M:$M,
  '[1]Hoja 1'!$S:$S, $A55,
  '[1]Hoja 1'!$R:$R, "&gt;="&amp;INT($CC$1),
  '[1]Hoja 1'!$R:$R, "&lt;"&amp;INT($CD$1+1)
)</f>
        <v>0</v>
      </c>
      <c r="CB55" s="1">
        <f t="shared" si="51"/>
        <v>0</v>
      </c>
      <c r="CC55" s="9">
        <f t="shared" si="52"/>
        <v>0</v>
      </c>
      <c r="CD55" s="10">
        <f t="shared" si="53"/>
        <v>0</v>
      </c>
      <c r="CE55" s="1">
        <f>SUMIFS(
  '[1]Hoja 1'!$M:$M,
  '[1]Hoja 1'!$S:$S, $A55,
  '[1]Hoja 1'!$R:$R, "&gt;="&amp;INT($CG$1),
  '[1]Hoja 1'!$R:$R, "&lt;"&amp;INT($CH$1+1)
)</f>
        <v>0</v>
      </c>
      <c r="CF55" s="1">
        <f t="shared" si="54"/>
        <v>0</v>
      </c>
      <c r="CG55" s="9">
        <f t="shared" si="55"/>
        <v>0</v>
      </c>
      <c r="CH55" s="10">
        <f t="shared" si="56"/>
        <v>0</v>
      </c>
      <c r="CI55" s="1">
        <f>SUMIFS(
  '[1]Hoja 1'!$M:$M,
  '[1]Hoja 1'!$S:$S, $A55,
  '[1]Hoja 1'!$R:$R, "&gt;="&amp;INT($CK$1),
  '[1]Hoja 1'!$R:$R, "&lt;"&amp;INT($CL$1+1)
)</f>
        <v>0</v>
      </c>
      <c r="CJ55" s="1">
        <f t="shared" si="57"/>
        <v>0</v>
      </c>
      <c r="CK55" s="9">
        <f t="shared" si="58"/>
        <v>0</v>
      </c>
      <c r="CL55" s="10">
        <f t="shared" si="59"/>
        <v>0</v>
      </c>
      <c r="CM55" s="1">
        <f>SUMIFS(
  '[1]Hoja 1'!$M:$M,
  '[1]Hoja 1'!$S:$S, $A55,
  '[1]Hoja 1'!$R:$R, "&gt;="&amp;INT($CO$1),
  '[1]Hoja 1'!$R:$R, "&lt;"&amp;INT($CP$1+1)
)</f>
        <v>0</v>
      </c>
      <c r="CN55" s="1">
        <f t="shared" si="60"/>
        <v>0</v>
      </c>
      <c r="CO55" s="9">
        <f t="shared" si="61"/>
        <v>0</v>
      </c>
      <c r="CP55" s="10">
        <f t="shared" si="62"/>
        <v>0</v>
      </c>
      <c r="CQ55" s="1">
        <f>SUMIFS(
  '[1]Hoja 1'!$M:$M,
  '[1]Hoja 1'!$S:$S, $A55,
  '[1]Hoja 1'!$R:$R, "&gt;="&amp;INT($CS$1),
  '[1]Hoja 1'!$R:$R, "&lt;"&amp;INT($CT$1+1)
)</f>
        <v>0</v>
      </c>
      <c r="CR55" s="1">
        <f t="shared" si="63"/>
        <v>0</v>
      </c>
      <c r="CS55" s="9">
        <f t="shared" si="64"/>
        <v>0</v>
      </c>
      <c r="CT55" s="10">
        <f t="shared" si="65"/>
        <v>0</v>
      </c>
      <c r="CU55" s="1">
        <f>SUMIFS(
  '[1]Hoja 1'!$M:$M,
  '[1]Hoja 1'!$S:$S, $A55,
  '[1]Hoja 1'!$R:$R, "&gt;="&amp;INT($CW$1),
  '[1]Hoja 1'!$R:$R, "&lt;"&amp;INT($CX$1+1)
)</f>
        <v>0</v>
      </c>
      <c r="CV55" s="1">
        <f t="shared" si="66"/>
        <v>0</v>
      </c>
      <c r="CW55" s="9">
        <f t="shared" si="67"/>
        <v>0</v>
      </c>
      <c r="CX55" s="10">
        <f t="shared" si="68"/>
        <v>0</v>
      </c>
      <c r="CY55" s="1">
        <f>SUMIFS(
  '[1]Hoja 1'!$M:$M,
  '[1]Hoja 1'!$S:$S, $A55,
  '[1]Hoja 1'!$R:$R, "&gt;="&amp;INT($DA$1),
  '[1]Hoja 1'!$R:$R, "&lt;"&amp;INT($DB$1+1)
)</f>
        <v>0</v>
      </c>
      <c r="CZ55" s="1">
        <f t="shared" si="69"/>
        <v>0</v>
      </c>
      <c r="DA55" s="9">
        <f t="shared" si="70"/>
        <v>0</v>
      </c>
      <c r="DB55" s="10">
        <f t="shared" si="71"/>
        <v>0</v>
      </c>
      <c r="DC55" s="1">
        <f>SUMIFS(
  '[1]Hoja 1'!$M:$M,
  '[1]Hoja 1'!$S:$S, $A55,
  '[1]Hoja 1'!$R:$R, "&gt;="&amp;INT($DE$1),
  '[1]Hoja 1'!$R:$R, "&lt;"&amp;INT($DF$1+1)
)</f>
        <v>0</v>
      </c>
      <c r="DD55" s="1">
        <f t="shared" si="72"/>
        <v>0</v>
      </c>
      <c r="DE55" s="9">
        <f t="shared" si="73"/>
        <v>0</v>
      </c>
      <c r="DF55" s="10">
        <f t="shared" si="74"/>
        <v>0</v>
      </c>
      <c r="DG55" s="1">
        <f>SUMIFS(
  '[1]Hoja 1'!$M:$M,
  '[1]Hoja 1'!$S:$S, $A55,
  '[1]Hoja 1'!$R:$R, "&gt;="&amp;INT($DI$1),
  '[1]Hoja 1'!$R:$R, "&lt;"&amp;INT($DJ$1+1)
)</f>
        <v>0</v>
      </c>
      <c r="DH55" s="1">
        <f t="shared" si="75"/>
        <v>0</v>
      </c>
      <c r="DI55" s="9">
        <f t="shared" si="76"/>
        <v>0</v>
      </c>
      <c r="DJ55" s="10">
        <f t="shared" si="77"/>
        <v>0</v>
      </c>
      <c r="DK55" s="1">
        <f>SUMIFS(
  '[1]Hoja 1'!$M:$M,
  '[1]Hoja 1'!$S:$S, $A55,
  '[1]Hoja 1'!$R:$R, "&gt;="&amp;INT($DM$1),
  '[1]Hoja 1'!$R:$R, "&lt;"&amp;INT($DN$1+1)
)</f>
        <v>0</v>
      </c>
      <c r="DL55" s="1">
        <f t="shared" si="78"/>
        <v>0</v>
      </c>
      <c r="DM55" s="9">
        <f t="shared" si="79"/>
        <v>0</v>
      </c>
      <c r="DN55" s="10">
        <f t="shared" si="80"/>
        <v>0</v>
      </c>
      <c r="DO55" s="1">
        <f>SUMIFS(
  '[1]Hoja 1'!$M:$M,
  '[1]Hoja 1'!$S:$S, $A55,
  '[1]Hoja 1'!$R:$R, "&gt;="&amp;INT($DQ$1),
  '[1]Hoja 1'!$R:$R, "&lt;"&amp;INT($DR$1+1)
)</f>
        <v>0</v>
      </c>
      <c r="DP55" s="1">
        <f t="shared" si="81"/>
        <v>0</v>
      </c>
      <c r="DQ55" s="9">
        <f t="shared" si="82"/>
        <v>0</v>
      </c>
      <c r="DR55" s="10">
        <f t="shared" si="83"/>
        <v>0</v>
      </c>
    </row>
    <row r="56" spans="1:122" x14ac:dyDescent="0.25">
      <c r="A56" s="5">
        <v>209003</v>
      </c>
      <c r="B56" s="6" t="s">
        <v>59</v>
      </c>
      <c r="C56" s="1">
        <f>SUMIFS(
  '[1]Hoja 1'!$M:$M,
  '[1]Hoja 1'!$S:$S, $A56,
  '[1]Hoja 1'!$R:$R, "&gt;="&amp;INT($E$1),
  '[1]Hoja 1'!$R:$R, "&lt;"&amp;INT($F$1+1)
)</f>
        <v>0</v>
      </c>
      <c r="D56" s="1" t="str">
        <f>""</f>
        <v/>
      </c>
      <c r="F56" s="2"/>
      <c r="G56" s="1">
        <f>SUMIFS(
  '[1]Hoja 1'!$M:$M,
  '[1]Hoja 1'!$S:$S, $A56,
  '[1]Hoja 1'!$R:$R, "&gt;="&amp;INT($I$1),
  '[1]Hoja 1'!$R:$R, "&lt;"&amp;INT($J$1+1)
)</f>
        <v>0</v>
      </c>
      <c r="H56" s="1">
        <f t="shared" si="84"/>
        <v>0</v>
      </c>
      <c r="I56" s="1"/>
      <c r="J56" s="2"/>
      <c r="K56" s="1">
        <f>SUMIFS(
  '[1]Hoja 1'!$M:$M,
  '[1]Hoja 1'!$S:$S, $A56,
  '[1]Hoja 1'!$R:$R, "&gt;="&amp;INT($M$1),
  '[1]Hoja 1'!$R:$R, "&lt;"&amp;INT($N$1+1)
)</f>
        <v>0</v>
      </c>
      <c r="L56" s="1">
        <f t="shared" si="0"/>
        <v>0</v>
      </c>
      <c r="M56" s="9">
        <f t="shared" si="1"/>
        <v>0</v>
      </c>
      <c r="N56" s="10">
        <f t="shared" si="2"/>
        <v>0</v>
      </c>
      <c r="O56" s="1">
        <f>SUMIFS(
  '[1]Hoja 1'!$M:$M,
  '[1]Hoja 1'!$S:$S, $A56,
  '[1]Hoja 1'!$R:$R, "&gt;="&amp;INT($Q$1),
  '[1]Hoja 1'!$R:$R, "&lt;"&amp;INT($R$1+1)
)</f>
        <v>0</v>
      </c>
      <c r="P56" s="1">
        <f t="shared" si="3"/>
        <v>0</v>
      </c>
      <c r="Q56" s="9">
        <f t="shared" si="4"/>
        <v>0</v>
      </c>
      <c r="R56" s="10">
        <f t="shared" si="5"/>
        <v>0</v>
      </c>
      <c r="S56" s="1">
        <f>SUMIFS(
  '[1]Hoja 1'!$M:$M,
  '[1]Hoja 1'!$S:$S, $A56,
  '[1]Hoja 1'!$R:$R, "&gt;="&amp;INT($U$1),
  '[1]Hoja 1'!$R:$R, "&lt;"&amp;INT($V$1+1)
)</f>
        <v>0</v>
      </c>
      <c r="T56" s="1">
        <f t="shared" si="6"/>
        <v>0</v>
      </c>
      <c r="U56" s="9">
        <f t="shared" si="7"/>
        <v>0</v>
      </c>
      <c r="V56" s="10">
        <f t="shared" si="8"/>
        <v>0</v>
      </c>
      <c r="W56" s="1">
        <f>SUMIFS(
  '[1]Hoja 1'!$M:$M,
  '[1]Hoja 1'!$S:$S, $A56,
  '[1]Hoja 1'!$R:$R, "&gt;="&amp;INT($Y$1),
  '[1]Hoja 1'!$R:$R, "&lt;"&amp;INT($Z$1+1)
)</f>
        <v>1</v>
      </c>
      <c r="X56" s="1">
        <f t="shared" si="9"/>
        <v>1</v>
      </c>
      <c r="Y56" s="9">
        <f t="shared" si="10"/>
        <v>0.51</v>
      </c>
      <c r="Z56" s="10">
        <f t="shared" si="11"/>
        <v>1.49</v>
      </c>
      <c r="AA56" s="1">
        <f>SUMIFS(
  '[1]Hoja 1'!$M:$M,
  '[1]Hoja 1'!$S:$S, $A56,
  '[1]Hoja 1'!$R:$R, "&gt;="&amp;INT($AC$1),
  '[1]Hoja 1'!$R:$R, "&lt;"&amp;INT($AD$1+1)
)</f>
        <v>0</v>
      </c>
      <c r="AB56" s="1">
        <f t="shared" si="12"/>
        <v>1</v>
      </c>
      <c r="AC56" s="9">
        <f t="shared" si="13"/>
        <v>0.30703535443718344</v>
      </c>
      <c r="AD56" s="10">
        <f t="shared" si="14"/>
        <v>1.8001666493091715</v>
      </c>
      <c r="AE56" s="1">
        <f>SUMIFS(
  '[1]Hoja 1'!$M:$M,
  '[1]Hoja 1'!$S:$S, $A56,
  '[1]Hoja 1'!$R:$R, "&gt;="&amp;INT($AG$1),
  '[1]Hoja 1'!$R:$R, "&lt;"&amp;INT($AH$1+1)
)</f>
        <v>0</v>
      </c>
      <c r="AF56" s="1">
        <f t="shared" si="15"/>
        <v>0</v>
      </c>
      <c r="AG56" s="9">
        <f t="shared" si="16"/>
        <v>-0.69296464556281656</v>
      </c>
      <c r="AH56" s="10">
        <f t="shared" si="17"/>
        <v>0.80016664930917147</v>
      </c>
      <c r="AI56" s="1">
        <f>SUMIFS(
  '[1]Hoja 1'!$M:$M,
  '[1]Hoja 1'!$S:$S, $A56,
  '[1]Hoja 1'!$R:$R, "&gt;="&amp;INT($AK$1),
  '[1]Hoja 1'!$R:$R, "&lt;"&amp;INT($AL$1+1)
)</f>
        <v>0</v>
      </c>
      <c r="AJ56" s="1">
        <f t="shared" si="18"/>
        <v>0</v>
      </c>
      <c r="AK56" s="9">
        <f t="shared" si="19"/>
        <v>-0.69296464556281656</v>
      </c>
      <c r="AL56" s="10">
        <f t="shared" si="20"/>
        <v>0.80016664930917147</v>
      </c>
      <c r="AM56" s="1">
        <f>SUMIFS(
  '[1]Hoja 1'!$M:$M,
  '[1]Hoja 1'!$S:$S, $A56,
  '[1]Hoja 1'!$R:$R, "&gt;="&amp;INT($AO$1),
  '[1]Hoja 1'!$R:$R, "&lt;"&amp;INT($AP$1+1)
)</f>
        <v>0</v>
      </c>
      <c r="AN56" s="1">
        <f t="shared" si="21"/>
        <v>0</v>
      </c>
      <c r="AO56" s="9">
        <f t="shared" si="22"/>
        <v>-0.43826932358995874</v>
      </c>
      <c r="AP56" s="10">
        <f t="shared" si="23"/>
        <v>0.49</v>
      </c>
      <c r="AQ56" s="1">
        <f>SUMIFS(
  '[1]Hoja 1'!$M:$M,
  '[1]Hoja 1'!$S:$S, $A56,
  '[1]Hoja 1'!$R:$R, "&gt;="&amp;INT($AS$1),
  '[1]Hoja 1'!$R:$R, "&lt;"&amp;INT($AT$1+1)
)</f>
        <v>0</v>
      </c>
      <c r="AR56" s="1">
        <f t="shared" si="24"/>
        <v>0</v>
      </c>
      <c r="AS56" s="9">
        <f t="shared" si="25"/>
        <v>0</v>
      </c>
      <c r="AT56" s="10">
        <f t="shared" si="26"/>
        <v>0</v>
      </c>
      <c r="AU56" s="1">
        <f>SUMIFS(
  '[1]Hoja 1'!$M:$M,
  '[1]Hoja 1'!$S:$S, $A56,
  '[1]Hoja 1'!$R:$R, "&gt;="&amp;INT($AW$1),
  '[1]Hoja 1'!$R:$R, "&lt;"&amp;INT($AX$1+1)
)</f>
        <v>0</v>
      </c>
      <c r="AV56" s="1">
        <f t="shared" si="27"/>
        <v>0</v>
      </c>
      <c r="AW56" s="9">
        <f t="shared" si="28"/>
        <v>0</v>
      </c>
      <c r="AX56" s="10">
        <f t="shared" si="29"/>
        <v>0</v>
      </c>
      <c r="AY56" s="1">
        <f>SUMIFS(
  '[1]Hoja 1'!$M:$M,
  '[1]Hoja 1'!$S:$S, $A56,
  '[1]Hoja 1'!$R:$R, "&gt;="&amp;INT($BA$1),
  '[1]Hoja 1'!$R:$R, "&lt;"&amp;INT($BB$1+1)
)</f>
        <v>0</v>
      </c>
      <c r="AZ56" s="1">
        <f t="shared" si="30"/>
        <v>0</v>
      </c>
      <c r="BA56" s="9">
        <f t="shared" si="31"/>
        <v>0</v>
      </c>
      <c r="BB56" s="10">
        <f t="shared" si="32"/>
        <v>0</v>
      </c>
      <c r="BC56" s="1">
        <f>SUMIFS(
  '[1]Hoja 1'!$M:$M,
  '[1]Hoja 1'!$S:$S, $A56,
  '[1]Hoja 1'!$R:$R, "&gt;="&amp;INT($BE$1),
  '[1]Hoja 1'!$R:$R, "&lt;"&amp;INT($BF$1+1)
)</f>
        <v>0</v>
      </c>
      <c r="BD56" s="1">
        <f t="shared" si="33"/>
        <v>0</v>
      </c>
      <c r="BE56" s="9">
        <f t="shared" si="34"/>
        <v>0</v>
      </c>
      <c r="BF56" s="10">
        <f t="shared" si="35"/>
        <v>0</v>
      </c>
      <c r="BG56" s="1">
        <f>SUMIFS(
  '[1]Hoja 1'!$M:$M,
  '[1]Hoja 1'!$S:$S, $A56,
  '[1]Hoja 1'!$R:$R, "&gt;="&amp;INT($BI$1),
  '[1]Hoja 1'!$R:$R, "&lt;"&amp;INT($BJ$1+1)
)</f>
        <v>0</v>
      </c>
      <c r="BH56" s="1">
        <f t="shared" si="36"/>
        <v>0</v>
      </c>
      <c r="BI56" s="9">
        <f t="shared" si="37"/>
        <v>0</v>
      </c>
      <c r="BJ56" s="10">
        <f t="shared" si="38"/>
        <v>0</v>
      </c>
      <c r="BK56" s="1">
        <f>SUMIFS(
  '[1]Hoja 1'!$M:$M,
  '[1]Hoja 1'!$S:$S, $A56,
  '[1]Hoja 1'!$R:$R, "&gt;="&amp;INT($BM$1),
  '[1]Hoja 1'!$R:$R, "&lt;"&amp;INT($BN$1+1)
)</f>
        <v>0</v>
      </c>
      <c r="BL56" s="1">
        <f t="shared" si="39"/>
        <v>0</v>
      </c>
      <c r="BM56" s="9">
        <f t="shared" si="40"/>
        <v>0</v>
      </c>
      <c r="BN56" s="10">
        <f t="shared" si="41"/>
        <v>0</v>
      </c>
      <c r="BO56" s="1">
        <f>SUMIFS(
  '[1]Hoja 1'!$M:$M,
  '[1]Hoja 1'!$S:$S, $A56,
  '[1]Hoja 1'!$R:$R, "&gt;="&amp;INT($BQ$1),
  '[1]Hoja 1'!$R:$R, "&lt;"&amp;INT($BR$1+1)
)</f>
        <v>0</v>
      </c>
      <c r="BP56" s="1">
        <f t="shared" si="42"/>
        <v>0</v>
      </c>
      <c r="BQ56" s="9">
        <f t="shared" si="43"/>
        <v>0</v>
      </c>
      <c r="BR56" s="10">
        <f t="shared" si="44"/>
        <v>0</v>
      </c>
      <c r="BS56" s="1">
        <f>SUMIFS(
  '[1]Hoja 1'!$M:$M,
  '[1]Hoja 1'!$S:$S, $A56,
  '[1]Hoja 1'!$R:$R, "&gt;="&amp;INT($BU$1),
  '[1]Hoja 1'!$R:$R, "&lt;"&amp;INT($BV$1+1)
)</f>
        <v>0</v>
      </c>
      <c r="BT56" s="1">
        <f t="shared" si="45"/>
        <v>0</v>
      </c>
      <c r="BU56" s="9">
        <f t="shared" si="46"/>
        <v>0</v>
      </c>
      <c r="BV56" s="10">
        <f t="shared" si="47"/>
        <v>0</v>
      </c>
      <c r="BW56" s="1">
        <f>SUMIFS(
  '[1]Hoja 1'!$M:$M,
  '[1]Hoja 1'!$S:$S, $A56,
  '[1]Hoja 1'!$R:$R, "&gt;="&amp;INT($BY$1),
  '[1]Hoja 1'!$R:$R, "&lt;"&amp;INT($BZ$1+1)
)</f>
        <v>0</v>
      </c>
      <c r="BX56" s="1">
        <f t="shared" si="48"/>
        <v>0</v>
      </c>
      <c r="BY56" s="9">
        <f t="shared" si="49"/>
        <v>0</v>
      </c>
      <c r="BZ56" s="10">
        <f t="shared" si="50"/>
        <v>0</v>
      </c>
      <c r="CA56" s="1">
        <f>SUMIFS(
  '[1]Hoja 1'!$M:$M,
  '[1]Hoja 1'!$S:$S, $A56,
  '[1]Hoja 1'!$R:$R, "&gt;="&amp;INT($CC$1),
  '[1]Hoja 1'!$R:$R, "&lt;"&amp;INT($CD$1+1)
)</f>
        <v>0</v>
      </c>
      <c r="CB56" s="1">
        <f t="shared" si="51"/>
        <v>0</v>
      </c>
      <c r="CC56" s="9">
        <f t="shared" si="52"/>
        <v>0</v>
      </c>
      <c r="CD56" s="10">
        <f t="shared" si="53"/>
        <v>0</v>
      </c>
      <c r="CE56" s="1">
        <f>SUMIFS(
  '[1]Hoja 1'!$M:$M,
  '[1]Hoja 1'!$S:$S, $A56,
  '[1]Hoja 1'!$R:$R, "&gt;="&amp;INT($CG$1),
  '[1]Hoja 1'!$R:$R, "&lt;"&amp;INT($CH$1+1)
)</f>
        <v>0</v>
      </c>
      <c r="CF56" s="1">
        <f t="shared" si="54"/>
        <v>0</v>
      </c>
      <c r="CG56" s="9">
        <f t="shared" si="55"/>
        <v>0</v>
      </c>
      <c r="CH56" s="10">
        <f t="shared" si="56"/>
        <v>0</v>
      </c>
      <c r="CI56" s="1">
        <f>SUMIFS(
  '[1]Hoja 1'!$M:$M,
  '[1]Hoja 1'!$S:$S, $A56,
  '[1]Hoja 1'!$R:$R, "&gt;="&amp;INT($CK$1),
  '[1]Hoja 1'!$R:$R, "&lt;"&amp;INT($CL$1+1)
)</f>
        <v>0</v>
      </c>
      <c r="CJ56" s="1">
        <f t="shared" si="57"/>
        <v>0</v>
      </c>
      <c r="CK56" s="9">
        <f t="shared" si="58"/>
        <v>0</v>
      </c>
      <c r="CL56" s="10">
        <f t="shared" si="59"/>
        <v>0</v>
      </c>
      <c r="CM56" s="1">
        <f>SUMIFS(
  '[1]Hoja 1'!$M:$M,
  '[1]Hoja 1'!$S:$S, $A56,
  '[1]Hoja 1'!$R:$R, "&gt;="&amp;INT($CO$1),
  '[1]Hoja 1'!$R:$R, "&lt;"&amp;INT($CP$1+1)
)</f>
        <v>0</v>
      </c>
      <c r="CN56" s="1">
        <f t="shared" si="60"/>
        <v>0</v>
      </c>
      <c r="CO56" s="9">
        <f t="shared" si="61"/>
        <v>0</v>
      </c>
      <c r="CP56" s="10">
        <f t="shared" si="62"/>
        <v>0</v>
      </c>
      <c r="CQ56" s="1">
        <f>SUMIFS(
  '[1]Hoja 1'!$M:$M,
  '[1]Hoja 1'!$S:$S, $A56,
  '[1]Hoja 1'!$R:$R, "&gt;="&amp;INT($CS$1),
  '[1]Hoja 1'!$R:$R, "&lt;"&amp;INT($CT$1+1)
)</f>
        <v>0</v>
      </c>
      <c r="CR56" s="1">
        <f t="shared" si="63"/>
        <v>0</v>
      </c>
      <c r="CS56" s="9">
        <f t="shared" si="64"/>
        <v>0</v>
      </c>
      <c r="CT56" s="10">
        <f t="shared" si="65"/>
        <v>0</v>
      </c>
      <c r="CU56" s="1">
        <f>SUMIFS(
  '[1]Hoja 1'!$M:$M,
  '[1]Hoja 1'!$S:$S, $A56,
  '[1]Hoja 1'!$R:$R, "&gt;="&amp;INT($CW$1),
  '[1]Hoja 1'!$R:$R, "&lt;"&amp;INT($CX$1+1)
)</f>
        <v>0</v>
      </c>
      <c r="CV56" s="1">
        <f t="shared" si="66"/>
        <v>0</v>
      </c>
      <c r="CW56" s="9">
        <f t="shared" si="67"/>
        <v>0</v>
      </c>
      <c r="CX56" s="10">
        <f t="shared" si="68"/>
        <v>0</v>
      </c>
      <c r="CY56" s="1">
        <f>SUMIFS(
  '[1]Hoja 1'!$M:$M,
  '[1]Hoja 1'!$S:$S, $A56,
  '[1]Hoja 1'!$R:$R, "&gt;="&amp;INT($DA$1),
  '[1]Hoja 1'!$R:$R, "&lt;"&amp;INT($DB$1+1)
)</f>
        <v>0</v>
      </c>
      <c r="CZ56" s="1">
        <f t="shared" si="69"/>
        <v>0</v>
      </c>
      <c r="DA56" s="9">
        <f t="shared" si="70"/>
        <v>0</v>
      </c>
      <c r="DB56" s="10">
        <f t="shared" si="71"/>
        <v>0</v>
      </c>
      <c r="DC56" s="1">
        <f>SUMIFS(
  '[1]Hoja 1'!$M:$M,
  '[1]Hoja 1'!$S:$S, $A56,
  '[1]Hoja 1'!$R:$R, "&gt;="&amp;INT($DE$1),
  '[1]Hoja 1'!$R:$R, "&lt;"&amp;INT($DF$1+1)
)</f>
        <v>0</v>
      </c>
      <c r="DD56" s="1">
        <f t="shared" si="72"/>
        <v>0</v>
      </c>
      <c r="DE56" s="9">
        <f t="shared" si="73"/>
        <v>0</v>
      </c>
      <c r="DF56" s="10">
        <f t="shared" si="74"/>
        <v>0</v>
      </c>
      <c r="DG56" s="1">
        <f>SUMIFS(
  '[1]Hoja 1'!$M:$M,
  '[1]Hoja 1'!$S:$S, $A56,
  '[1]Hoja 1'!$R:$R, "&gt;="&amp;INT($DI$1),
  '[1]Hoja 1'!$R:$R, "&lt;"&amp;INT($DJ$1+1)
)</f>
        <v>0</v>
      </c>
      <c r="DH56" s="1">
        <f t="shared" si="75"/>
        <v>0</v>
      </c>
      <c r="DI56" s="9">
        <f t="shared" si="76"/>
        <v>0</v>
      </c>
      <c r="DJ56" s="10">
        <f t="shared" si="77"/>
        <v>0</v>
      </c>
      <c r="DK56" s="1">
        <f>SUMIFS(
  '[1]Hoja 1'!$M:$M,
  '[1]Hoja 1'!$S:$S, $A56,
  '[1]Hoja 1'!$R:$R, "&gt;="&amp;INT($DM$1),
  '[1]Hoja 1'!$R:$R, "&lt;"&amp;INT($DN$1+1)
)</f>
        <v>0</v>
      </c>
      <c r="DL56" s="1">
        <f t="shared" si="78"/>
        <v>0</v>
      </c>
      <c r="DM56" s="9">
        <f t="shared" si="79"/>
        <v>0</v>
      </c>
      <c r="DN56" s="10">
        <f t="shared" si="80"/>
        <v>0</v>
      </c>
      <c r="DO56" s="1">
        <f>SUMIFS(
  '[1]Hoja 1'!$M:$M,
  '[1]Hoja 1'!$S:$S, $A56,
  '[1]Hoja 1'!$R:$R, "&gt;="&amp;INT($DQ$1),
  '[1]Hoja 1'!$R:$R, "&lt;"&amp;INT($DR$1+1)
)</f>
        <v>0</v>
      </c>
      <c r="DP56" s="1">
        <f t="shared" si="81"/>
        <v>0</v>
      </c>
      <c r="DQ56" s="9">
        <f t="shared" si="82"/>
        <v>0</v>
      </c>
      <c r="DR56" s="10">
        <f t="shared" si="83"/>
        <v>0</v>
      </c>
    </row>
    <row r="57" spans="1:122" x14ac:dyDescent="0.25">
      <c r="A57" s="5">
        <v>209004</v>
      </c>
      <c r="B57" s="6" t="s">
        <v>60</v>
      </c>
      <c r="C57" s="1">
        <f>SUMIFS(
  '[1]Hoja 1'!$M:$M,
  '[1]Hoja 1'!$S:$S, $A57,
  '[1]Hoja 1'!$R:$R, "&gt;="&amp;INT($E$1),
  '[1]Hoja 1'!$R:$R, "&lt;"&amp;INT($F$1+1)
)</f>
        <v>8</v>
      </c>
      <c r="D57" s="1" t="str">
        <f>""</f>
        <v/>
      </c>
      <c r="F57" s="2"/>
      <c r="G57" s="1">
        <f>SUMIFS(
  '[1]Hoja 1'!$M:$M,
  '[1]Hoja 1'!$S:$S, $A57,
  '[1]Hoja 1'!$R:$R, "&gt;="&amp;INT($I$1),
  '[1]Hoja 1'!$R:$R, "&lt;"&amp;INT($J$1+1)
)</f>
        <v>10</v>
      </c>
      <c r="H57" s="1">
        <f t="shared" si="84"/>
        <v>9</v>
      </c>
      <c r="I57" s="1"/>
      <c r="J57" s="2"/>
      <c r="K57" s="1">
        <f>SUMIFS(
  '[1]Hoja 1'!$M:$M,
  '[1]Hoja 1'!$S:$S, $A57,
  '[1]Hoja 1'!$R:$R, "&gt;="&amp;INT($M$1),
  '[1]Hoja 1'!$R:$R, "&lt;"&amp;INT($N$1+1)
)</f>
        <v>17</v>
      </c>
      <c r="L57" s="1">
        <f t="shared" si="0"/>
        <v>13.5</v>
      </c>
      <c r="M57" s="9">
        <f t="shared" si="1"/>
        <v>10.035176772185917</v>
      </c>
      <c r="N57" s="10">
        <f t="shared" si="2"/>
        <v>16.964823227814083</v>
      </c>
      <c r="O57" s="1">
        <f>SUMIFS(
  '[1]Hoja 1'!$M:$M,
  '[1]Hoja 1'!$S:$S, $A57,
  '[1]Hoja 1'!$R:$R, "&gt;="&amp;INT($Q$1),
  '[1]Hoja 1'!$R:$R, "&lt;"&amp;INT($R$1+1)
)</f>
        <v>5</v>
      </c>
      <c r="P57" s="1">
        <f t="shared" si="3"/>
        <v>11</v>
      </c>
      <c r="Q57" s="9">
        <f t="shared" si="4"/>
        <v>3.8481193542398184</v>
      </c>
      <c r="R57" s="10">
        <f t="shared" si="5"/>
        <v>23.15188064576018</v>
      </c>
      <c r="S57" s="1">
        <f>SUMIFS(
  '[1]Hoja 1'!$M:$M,
  '[1]Hoja 1'!$S:$S, $A57,
  '[1]Hoja 1'!$R:$R, "&gt;="&amp;INT($U$1),
  '[1]Hoja 1'!$R:$R, "&lt;"&amp;INT($V$1+1)
)</f>
        <v>9</v>
      </c>
      <c r="T57" s="1">
        <f t="shared" si="6"/>
        <v>7</v>
      </c>
      <c r="U57" s="9">
        <f t="shared" si="7"/>
        <v>-1.2527793298177237</v>
      </c>
      <c r="V57" s="10">
        <f t="shared" si="8"/>
        <v>15.252779329817724</v>
      </c>
      <c r="W57" s="1">
        <f>SUMIFS(
  '[1]Hoja 1'!$M:$M,
  '[1]Hoja 1'!$S:$S, $A57,
  '[1]Hoja 1'!$R:$R, "&gt;="&amp;INT($Y$1),
  '[1]Hoja 1'!$R:$R, "&lt;"&amp;INT($Z$1+1)
)</f>
        <v>6</v>
      </c>
      <c r="X57" s="1">
        <f t="shared" si="9"/>
        <v>8</v>
      </c>
      <c r="Y57" s="9">
        <f t="shared" si="10"/>
        <v>-0.2769881800890186</v>
      </c>
      <c r="Z57" s="10">
        <f t="shared" si="11"/>
        <v>16.27698818008902</v>
      </c>
      <c r="AA57" s="1">
        <f>SUMIFS(
  '[1]Hoja 1'!$M:$M,
  '[1]Hoja 1'!$S:$S, $A57,
  '[1]Hoja 1'!$R:$R, "&gt;="&amp;INT($AC$1),
  '[1]Hoja 1'!$R:$R, "&lt;"&amp;INT($AD$1+1)
)</f>
        <v>14</v>
      </c>
      <c r="AB57" s="1">
        <f t="shared" si="12"/>
        <v>10</v>
      </c>
      <c r="AC57" s="9">
        <f t="shared" si="13"/>
        <v>2.5494214989707009</v>
      </c>
      <c r="AD57" s="10">
        <f t="shared" si="14"/>
        <v>18.594810449722942</v>
      </c>
      <c r="AE57" s="1">
        <f>SUMIFS(
  '[1]Hoja 1'!$M:$M,
  '[1]Hoja 1'!$S:$S, $A57,
  '[1]Hoja 1'!$R:$R, "&gt;="&amp;INT($AG$1),
  '[1]Hoja 1'!$R:$R, "&lt;"&amp;INT($AH$1+1)
)</f>
        <v>0</v>
      </c>
      <c r="AF57" s="1">
        <f t="shared" si="15"/>
        <v>7</v>
      </c>
      <c r="AG57" s="9">
        <f t="shared" si="16"/>
        <v>-1.199268260033941</v>
      </c>
      <c r="AH57" s="10">
        <f t="shared" si="17"/>
        <v>16.446542577401885</v>
      </c>
      <c r="AI57" s="1">
        <f>SUMIFS(
  '[1]Hoja 1'!$M:$M,
  '[1]Hoja 1'!$S:$S, $A57,
  '[1]Hoja 1'!$R:$R, "&gt;="&amp;INT($AK$1),
  '[1]Hoja 1'!$R:$R, "&lt;"&amp;INT($AL$1+1)
)</f>
        <v>0</v>
      </c>
      <c r="AJ57" s="1">
        <f t="shared" si="18"/>
        <v>0</v>
      </c>
      <c r="AK57" s="9">
        <f t="shared" si="19"/>
        <v>-7.7908459104259018</v>
      </c>
      <c r="AL57" s="10">
        <f t="shared" si="20"/>
        <v>8.9237417413698541</v>
      </c>
      <c r="AM57" s="1">
        <f>SUMIFS(
  '[1]Hoja 1'!$M:$M,
  '[1]Hoja 1'!$S:$S, $A57,
  '[1]Hoja 1'!$R:$R, "&gt;="&amp;INT($AO$1),
  '[1]Hoja 1'!$R:$R, "&lt;"&amp;INT($AP$1+1)
)</f>
        <v>0</v>
      </c>
      <c r="AN57" s="1">
        <f t="shared" si="21"/>
        <v>0</v>
      </c>
      <c r="AO57" s="9">
        <f t="shared" si="22"/>
        <v>-7.7908459104259018</v>
      </c>
      <c r="AP57" s="10">
        <f t="shared" si="23"/>
        <v>8.964009519554665</v>
      </c>
      <c r="AQ57" s="1">
        <f>SUMIFS(
  '[1]Hoja 1'!$M:$M,
  '[1]Hoja 1'!$S:$S, $A57,
  '[1]Hoja 1'!$R:$R, "&gt;="&amp;INT($AS$1),
  '[1]Hoja 1'!$R:$R, "&lt;"&amp;INT($AT$1+1)
)</f>
        <v>0</v>
      </c>
      <c r="AR57" s="1">
        <f t="shared" si="24"/>
        <v>0</v>
      </c>
      <c r="AS57" s="9">
        <f t="shared" si="25"/>
        <v>-6.135770530259423</v>
      </c>
      <c r="AT57" s="10">
        <f t="shared" si="26"/>
        <v>6.8599999999999994</v>
      </c>
      <c r="AU57" s="1">
        <f>SUMIFS(
  '[1]Hoja 1'!$M:$M,
  '[1]Hoja 1'!$S:$S, $A57,
  '[1]Hoja 1'!$R:$R, "&gt;="&amp;INT($AW$1),
  '[1]Hoja 1'!$R:$R, "&lt;"&amp;INT($AX$1+1)
)</f>
        <v>0</v>
      </c>
      <c r="AV57" s="1">
        <f t="shared" si="27"/>
        <v>0</v>
      </c>
      <c r="AW57" s="9">
        <f t="shared" si="28"/>
        <v>0</v>
      </c>
      <c r="AX57" s="10">
        <f t="shared" si="29"/>
        <v>0</v>
      </c>
      <c r="AY57" s="1">
        <f>SUMIFS(
  '[1]Hoja 1'!$M:$M,
  '[1]Hoja 1'!$S:$S, $A57,
  '[1]Hoja 1'!$R:$R, "&gt;="&amp;INT($BA$1),
  '[1]Hoja 1'!$R:$R, "&lt;"&amp;INT($BB$1+1)
)</f>
        <v>0</v>
      </c>
      <c r="AZ57" s="1">
        <f t="shared" si="30"/>
        <v>0</v>
      </c>
      <c r="BA57" s="9">
        <f t="shared" si="31"/>
        <v>0</v>
      </c>
      <c r="BB57" s="10">
        <f t="shared" si="32"/>
        <v>0</v>
      </c>
      <c r="BC57" s="1">
        <f>SUMIFS(
  '[1]Hoja 1'!$M:$M,
  '[1]Hoja 1'!$S:$S, $A57,
  '[1]Hoja 1'!$R:$R, "&gt;="&amp;INT($BE$1),
  '[1]Hoja 1'!$R:$R, "&lt;"&amp;INT($BF$1+1)
)</f>
        <v>0</v>
      </c>
      <c r="BD57" s="1">
        <f t="shared" si="33"/>
        <v>0</v>
      </c>
      <c r="BE57" s="9">
        <f t="shared" si="34"/>
        <v>0</v>
      </c>
      <c r="BF57" s="10">
        <f t="shared" si="35"/>
        <v>0</v>
      </c>
      <c r="BG57" s="1">
        <f>SUMIFS(
  '[1]Hoja 1'!$M:$M,
  '[1]Hoja 1'!$S:$S, $A57,
  '[1]Hoja 1'!$R:$R, "&gt;="&amp;INT($BI$1),
  '[1]Hoja 1'!$R:$R, "&lt;"&amp;INT($BJ$1+1)
)</f>
        <v>0</v>
      </c>
      <c r="BH57" s="1">
        <f t="shared" si="36"/>
        <v>0</v>
      </c>
      <c r="BI57" s="9">
        <f t="shared" si="37"/>
        <v>0</v>
      </c>
      <c r="BJ57" s="10">
        <f t="shared" si="38"/>
        <v>0</v>
      </c>
      <c r="BK57" s="1">
        <f>SUMIFS(
  '[1]Hoja 1'!$M:$M,
  '[1]Hoja 1'!$S:$S, $A57,
  '[1]Hoja 1'!$R:$R, "&gt;="&amp;INT($BM$1),
  '[1]Hoja 1'!$R:$R, "&lt;"&amp;INT($BN$1+1)
)</f>
        <v>0</v>
      </c>
      <c r="BL57" s="1">
        <f t="shared" si="39"/>
        <v>0</v>
      </c>
      <c r="BM57" s="9">
        <f t="shared" si="40"/>
        <v>0</v>
      </c>
      <c r="BN57" s="10">
        <f t="shared" si="41"/>
        <v>0</v>
      </c>
      <c r="BO57" s="1">
        <f>SUMIFS(
  '[1]Hoja 1'!$M:$M,
  '[1]Hoja 1'!$S:$S, $A57,
  '[1]Hoja 1'!$R:$R, "&gt;="&amp;INT($BQ$1),
  '[1]Hoja 1'!$R:$R, "&lt;"&amp;INT($BR$1+1)
)</f>
        <v>0</v>
      </c>
      <c r="BP57" s="1">
        <f t="shared" si="42"/>
        <v>0</v>
      </c>
      <c r="BQ57" s="9">
        <f t="shared" si="43"/>
        <v>0</v>
      </c>
      <c r="BR57" s="10">
        <f t="shared" si="44"/>
        <v>0</v>
      </c>
      <c r="BS57" s="1">
        <f>SUMIFS(
  '[1]Hoja 1'!$M:$M,
  '[1]Hoja 1'!$S:$S, $A57,
  '[1]Hoja 1'!$R:$R, "&gt;="&amp;INT($BU$1),
  '[1]Hoja 1'!$R:$R, "&lt;"&amp;INT($BV$1+1)
)</f>
        <v>0</v>
      </c>
      <c r="BT57" s="1">
        <f t="shared" si="45"/>
        <v>0</v>
      </c>
      <c r="BU57" s="9">
        <f t="shared" si="46"/>
        <v>0</v>
      </c>
      <c r="BV57" s="10">
        <f t="shared" si="47"/>
        <v>0</v>
      </c>
      <c r="BW57" s="1">
        <f>SUMIFS(
  '[1]Hoja 1'!$M:$M,
  '[1]Hoja 1'!$S:$S, $A57,
  '[1]Hoja 1'!$R:$R, "&gt;="&amp;INT($BY$1),
  '[1]Hoja 1'!$R:$R, "&lt;"&amp;INT($BZ$1+1)
)</f>
        <v>0</v>
      </c>
      <c r="BX57" s="1">
        <f t="shared" si="48"/>
        <v>0</v>
      </c>
      <c r="BY57" s="9">
        <f t="shared" si="49"/>
        <v>0</v>
      </c>
      <c r="BZ57" s="10">
        <f t="shared" si="50"/>
        <v>0</v>
      </c>
      <c r="CA57" s="1">
        <f>SUMIFS(
  '[1]Hoja 1'!$M:$M,
  '[1]Hoja 1'!$S:$S, $A57,
  '[1]Hoja 1'!$R:$R, "&gt;="&amp;INT($CC$1),
  '[1]Hoja 1'!$R:$R, "&lt;"&amp;INT($CD$1+1)
)</f>
        <v>0</v>
      </c>
      <c r="CB57" s="1">
        <f t="shared" si="51"/>
        <v>0</v>
      </c>
      <c r="CC57" s="9">
        <f t="shared" si="52"/>
        <v>0</v>
      </c>
      <c r="CD57" s="10">
        <f t="shared" si="53"/>
        <v>0</v>
      </c>
      <c r="CE57" s="1">
        <f>SUMIFS(
  '[1]Hoja 1'!$M:$M,
  '[1]Hoja 1'!$S:$S, $A57,
  '[1]Hoja 1'!$R:$R, "&gt;="&amp;INT($CG$1),
  '[1]Hoja 1'!$R:$R, "&lt;"&amp;INT($CH$1+1)
)</f>
        <v>0</v>
      </c>
      <c r="CF57" s="1">
        <f t="shared" si="54"/>
        <v>0</v>
      </c>
      <c r="CG57" s="9">
        <f t="shared" si="55"/>
        <v>0</v>
      </c>
      <c r="CH57" s="10">
        <f t="shared" si="56"/>
        <v>0</v>
      </c>
      <c r="CI57" s="1">
        <f>SUMIFS(
  '[1]Hoja 1'!$M:$M,
  '[1]Hoja 1'!$S:$S, $A57,
  '[1]Hoja 1'!$R:$R, "&gt;="&amp;INT($CK$1),
  '[1]Hoja 1'!$R:$R, "&lt;"&amp;INT($CL$1+1)
)</f>
        <v>0</v>
      </c>
      <c r="CJ57" s="1">
        <f t="shared" si="57"/>
        <v>0</v>
      </c>
      <c r="CK57" s="9">
        <f t="shared" si="58"/>
        <v>0</v>
      </c>
      <c r="CL57" s="10">
        <f t="shared" si="59"/>
        <v>0</v>
      </c>
      <c r="CM57" s="1">
        <f>SUMIFS(
  '[1]Hoja 1'!$M:$M,
  '[1]Hoja 1'!$S:$S, $A57,
  '[1]Hoja 1'!$R:$R, "&gt;="&amp;INT($CO$1),
  '[1]Hoja 1'!$R:$R, "&lt;"&amp;INT($CP$1+1)
)</f>
        <v>0</v>
      </c>
      <c r="CN57" s="1">
        <f t="shared" si="60"/>
        <v>0</v>
      </c>
      <c r="CO57" s="9">
        <f t="shared" si="61"/>
        <v>0</v>
      </c>
      <c r="CP57" s="10">
        <f t="shared" si="62"/>
        <v>0</v>
      </c>
      <c r="CQ57" s="1">
        <f>SUMIFS(
  '[1]Hoja 1'!$M:$M,
  '[1]Hoja 1'!$S:$S, $A57,
  '[1]Hoja 1'!$R:$R, "&gt;="&amp;INT($CS$1),
  '[1]Hoja 1'!$R:$R, "&lt;"&amp;INT($CT$1+1)
)</f>
        <v>0</v>
      </c>
      <c r="CR57" s="1">
        <f t="shared" si="63"/>
        <v>0</v>
      </c>
      <c r="CS57" s="9">
        <f t="shared" si="64"/>
        <v>0</v>
      </c>
      <c r="CT57" s="10">
        <f t="shared" si="65"/>
        <v>0</v>
      </c>
      <c r="CU57" s="1">
        <f>SUMIFS(
  '[1]Hoja 1'!$M:$M,
  '[1]Hoja 1'!$S:$S, $A57,
  '[1]Hoja 1'!$R:$R, "&gt;="&amp;INT($CW$1),
  '[1]Hoja 1'!$R:$R, "&lt;"&amp;INT($CX$1+1)
)</f>
        <v>0</v>
      </c>
      <c r="CV57" s="1">
        <f t="shared" si="66"/>
        <v>0</v>
      </c>
      <c r="CW57" s="9">
        <f t="shared" si="67"/>
        <v>0</v>
      </c>
      <c r="CX57" s="10">
        <f t="shared" si="68"/>
        <v>0</v>
      </c>
      <c r="CY57" s="1">
        <f>SUMIFS(
  '[1]Hoja 1'!$M:$M,
  '[1]Hoja 1'!$S:$S, $A57,
  '[1]Hoja 1'!$R:$R, "&gt;="&amp;INT($DA$1),
  '[1]Hoja 1'!$R:$R, "&lt;"&amp;INT($DB$1+1)
)</f>
        <v>0</v>
      </c>
      <c r="CZ57" s="1">
        <f t="shared" si="69"/>
        <v>0</v>
      </c>
      <c r="DA57" s="9">
        <f t="shared" si="70"/>
        <v>0</v>
      </c>
      <c r="DB57" s="10">
        <f t="shared" si="71"/>
        <v>0</v>
      </c>
      <c r="DC57" s="1">
        <f>SUMIFS(
  '[1]Hoja 1'!$M:$M,
  '[1]Hoja 1'!$S:$S, $A57,
  '[1]Hoja 1'!$R:$R, "&gt;="&amp;INT($DE$1),
  '[1]Hoja 1'!$R:$R, "&lt;"&amp;INT($DF$1+1)
)</f>
        <v>0</v>
      </c>
      <c r="DD57" s="1">
        <f t="shared" si="72"/>
        <v>0</v>
      </c>
      <c r="DE57" s="9">
        <f t="shared" si="73"/>
        <v>0</v>
      </c>
      <c r="DF57" s="10">
        <f t="shared" si="74"/>
        <v>0</v>
      </c>
      <c r="DG57" s="1">
        <f>SUMIFS(
  '[1]Hoja 1'!$M:$M,
  '[1]Hoja 1'!$S:$S, $A57,
  '[1]Hoja 1'!$R:$R, "&gt;="&amp;INT($DI$1),
  '[1]Hoja 1'!$R:$R, "&lt;"&amp;INT($DJ$1+1)
)</f>
        <v>0</v>
      </c>
      <c r="DH57" s="1">
        <f t="shared" si="75"/>
        <v>0</v>
      </c>
      <c r="DI57" s="9">
        <f t="shared" si="76"/>
        <v>0</v>
      </c>
      <c r="DJ57" s="10">
        <f t="shared" si="77"/>
        <v>0</v>
      </c>
      <c r="DK57" s="1">
        <f>SUMIFS(
  '[1]Hoja 1'!$M:$M,
  '[1]Hoja 1'!$S:$S, $A57,
  '[1]Hoja 1'!$R:$R, "&gt;="&amp;INT($DM$1),
  '[1]Hoja 1'!$R:$R, "&lt;"&amp;INT($DN$1+1)
)</f>
        <v>0</v>
      </c>
      <c r="DL57" s="1">
        <f t="shared" si="78"/>
        <v>0</v>
      </c>
      <c r="DM57" s="9">
        <f t="shared" si="79"/>
        <v>0</v>
      </c>
      <c r="DN57" s="10">
        <f t="shared" si="80"/>
        <v>0</v>
      </c>
      <c r="DO57" s="1">
        <f>SUMIFS(
  '[1]Hoja 1'!$M:$M,
  '[1]Hoja 1'!$S:$S, $A57,
  '[1]Hoja 1'!$R:$R, "&gt;="&amp;INT($DQ$1),
  '[1]Hoja 1'!$R:$R, "&lt;"&amp;INT($DR$1+1)
)</f>
        <v>0</v>
      </c>
      <c r="DP57" s="1">
        <f t="shared" si="81"/>
        <v>0</v>
      </c>
      <c r="DQ57" s="9">
        <f t="shared" si="82"/>
        <v>0</v>
      </c>
      <c r="DR57" s="10">
        <f t="shared" si="83"/>
        <v>0</v>
      </c>
    </row>
    <row r="58" spans="1:122" x14ac:dyDescent="0.25">
      <c r="A58" s="5">
        <v>209006</v>
      </c>
      <c r="B58" s="6" t="s">
        <v>61</v>
      </c>
      <c r="C58" s="1">
        <f>SUMIFS(
  '[1]Hoja 1'!$M:$M,
  '[1]Hoja 1'!$S:$S, $A58,
  '[1]Hoja 1'!$R:$R, "&gt;="&amp;INT($E$1),
  '[1]Hoja 1'!$R:$R, "&lt;"&amp;INT($F$1+1)
)</f>
        <v>0</v>
      </c>
      <c r="D58" s="1" t="str">
        <f>""</f>
        <v/>
      </c>
      <c r="F58" s="2"/>
      <c r="G58" s="1">
        <f>SUMIFS(
  '[1]Hoja 1'!$M:$M,
  '[1]Hoja 1'!$S:$S, $A58,
  '[1]Hoja 1'!$R:$R, "&gt;="&amp;INT($I$1),
  '[1]Hoja 1'!$R:$R, "&lt;"&amp;INT($J$1+1)
)</f>
        <v>0</v>
      </c>
      <c r="H58" s="1">
        <f t="shared" si="84"/>
        <v>0</v>
      </c>
      <c r="I58" s="1"/>
      <c r="J58" s="2"/>
      <c r="K58" s="1">
        <f>SUMIFS(
  '[1]Hoja 1'!$M:$M,
  '[1]Hoja 1'!$S:$S, $A58,
  '[1]Hoja 1'!$R:$R, "&gt;="&amp;INT($M$1),
  '[1]Hoja 1'!$R:$R, "&lt;"&amp;INT($N$1+1)
)</f>
        <v>0</v>
      </c>
      <c r="L58" s="1">
        <f t="shared" si="0"/>
        <v>0</v>
      </c>
      <c r="M58" s="9">
        <f t="shared" si="1"/>
        <v>0</v>
      </c>
      <c r="N58" s="10">
        <f t="shared" si="2"/>
        <v>0</v>
      </c>
      <c r="O58" s="1">
        <f>SUMIFS(
  '[1]Hoja 1'!$M:$M,
  '[1]Hoja 1'!$S:$S, $A58,
  '[1]Hoja 1'!$R:$R, "&gt;="&amp;INT($Q$1),
  '[1]Hoja 1'!$R:$R, "&lt;"&amp;INT($R$1+1)
)</f>
        <v>1</v>
      </c>
      <c r="P58" s="1">
        <f t="shared" si="3"/>
        <v>0.5</v>
      </c>
      <c r="Q58" s="9">
        <f t="shared" si="4"/>
        <v>-0.56580326380583335</v>
      </c>
      <c r="R58" s="10">
        <f t="shared" si="5"/>
        <v>0.56580326380583335</v>
      </c>
      <c r="S58" s="1">
        <f>SUMIFS(
  '[1]Hoja 1'!$M:$M,
  '[1]Hoja 1'!$S:$S, $A58,
  '[1]Hoja 1'!$R:$R, "&gt;="&amp;INT($U$1),
  '[1]Hoja 1'!$R:$R, "&lt;"&amp;INT($V$1+1)
)</f>
        <v>0</v>
      </c>
      <c r="T58" s="1">
        <f t="shared" si="6"/>
        <v>1</v>
      </c>
      <c r="U58" s="9">
        <f t="shared" si="7"/>
        <v>0.19983335069082853</v>
      </c>
      <c r="V58" s="10">
        <f t="shared" si="8"/>
        <v>1.8001666493091715</v>
      </c>
      <c r="W58" s="1">
        <f>SUMIFS(
  '[1]Hoja 1'!$M:$M,
  '[1]Hoja 1'!$S:$S, $A58,
  '[1]Hoja 1'!$R:$R, "&gt;="&amp;INT($Y$1),
  '[1]Hoja 1'!$R:$R, "&lt;"&amp;INT($Z$1+1)
)</f>
        <v>0</v>
      </c>
      <c r="X58" s="1">
        <f t="shared" si="9"/>
        <v>0</v>
      </c>
      <c r="Y58" s="9">
        <f t="shared" si="10"/>
        <v>-0.80016664930917147</v>
      </c>
      <c r="Z58" s="10">
        <f t="shared" si="11"/>
        <v>0.80016664930917147</v>
      </c>
      <c r="AA58" s="1">
        <f>SUMIFS(
  '[1]Hoja 1'!$M:$M,
  '[1]Hoja 1'!$S:$S, $A58,
  '[1]Hoja 1'!$R:$R, "&gt;="&amp;INT($AC$1),
  '[1]Hoja 1'!$R:$R, "&lt;"&amp;INT($AD$1+1)
)</f>
        <v>1</v>
      </c>
      <c r="AB58" s="1">
        <f t="shared" si="12"/>
        <v>1</v>
      </c>
      <c r="AC58" s="9">
        <f t="shared" si="13"/>
        <v>0.18007317399660594</v>
      </c>
      <c r="AD58" s="10">
        <f t="shared" si="14"/>
        <v>1.9382785656012114</v>
      </c>
      <c r="AE58" s="1">
        <f>SUMIFS(
  '[1]Hoja 1'!$M:$M,
  '[1]Hoja 1'!$S:$S, $A58,
  '[1]Hoja 1'!$R:$R, "&gt;="&amp;INT($AG$1),
  '[1]Hoja 1'!$R:$R, "&lt;"&amp;INT($AH$1+1)
)</f>
        <v>0</v>
      </c>
      <c r="AF58" s="1">
        <f t="shared" si="15"/>
        <v>1</v>
      </c>
      <c r="AG58" s="9">
        <f t="shared" si="16"/>
        <v>0.18007317399660594</v>
      </c>
      <c r="AH58" s="10">
        <f t="shared" si="17"/>
        <v>1.9382785656012114</v>
      </c>
      <c r="AI58" s="1">
        <f>SUMIFS(
  '[1]Hoja 1'!$M:$M,
  '[1]Hoja 1'!$S:$S, $A58,
  '[1]Hoja 1'!$R:$R, "&gt;="&amp;INT($AK$1),
  '[1]Hoja 1'!$R:$R, "&lt;"&amp;INT($AL$1+1)
)</f>
        <v>0</v>
      </c>
      <c r="AJ58" s="1">
        <f t="shared" si="18"/>
        <v>0</v>
      </c>
      <c r="AK58" s="9">
        <f t="shared" si="19"/>
        <v>-0.69296464556281656</v>
      </c>
      <c r="AL58" s="10">
        <f t="shared" si="20"/>
        <v>0.80016664930917147</v>
      </c>
      <c r="AM58" s="1">
        <f>SUMIFS(
  '[1]Hoja 1'!$M:$M,
  '[1]Hoja 1'!$S:$S, $A58,
  '[1]Hoja 1'!$R:$R, "&gt;="&amp;INT($AO$1),
  '[1]Hoja 1'!$R:$R, "&lt;"&amp;INT($AP$1+1)
)</f>
        <v>0</v>
      </c>
      <c r="AN58" s="1">
        <f t="shared" si="21"/>
        <v>0</v>
      </c>
      <c r="AO58" s="9">
        <f t="shared" si="22"/>
        <v>-0.69296464556281656</v>
      </c>
      <c r="AP58" s="10">
        <f t="shared" si="23"/>
        <v>0.80016664930917147</v>
      </c>
      <c r="AQ58" s="1">
        <f>SUMIFS(
  '[1]Hoja 1'!$M:$M,
  '[1]Hoja 1'!$S:$S, $A58,
  '[1]Hoja 1'!$R:$R, "&gt;="&amp;INT($AS$1),
  '[1]Hoja 1'!$R:$R, "&lt;"&amp;INT($AT$1+1)
)</f>
        <v>0</v>
      </c>
      <c r="AR58" s="1">
        <f t="shared" si="24"/>
        <v>0</v>
      </c>
      <c r="AS58" s="9">
        <f t="shared" si="25"/>
        <v>-0.43826932358995874</v>
      </c>
      <c r="AT58" s="10">
        <f t="shared" si="26"/>
        <v>0.49</v>
      </c>
      <c r="AU58" s="1">
        <f>SUMIFS(
  '[1]Hoja 1'!$M:$M,
  '[1]Hoja 1'!$S:$S, $A58,
  '[1]Hoja 1'!$R:$R, "&gt;="&amp;INT($AW$1),
  '[1]Hoja 1'!$R:$R, "&lt;"&amp;INT($AX$1+1)
)</f>
        <v>0</v>
      </c>
      <c r="AV58" s="1">
        <f t="shared" si="27"/>
        <v>0</v>
      </c>
      <c r="AW58" s="9">
        <f t="shared" si="28"/>
        <v>0</v>
      </c>
      <c r="AX58" s="10">
        <f t="shared" si="29"/>
        <v>0</v>
      </c>
      <c r="AY58" s="1">
        <f>SUMIFS(
  '[1]Hoja 1'!$M:$M,
  '[1]Hoja 1'!$S:$S, $A58,
  '[1]Hoja 1'!$R:$R, "&gt;="&amp;INT($BA$1),
  '[1]Hoja 1'!$R:$R, "&lt;"&amp;INT($BB$1+1)
)</f>
        <v>0</v>
      </c>
      <c r="AZ58" s="1">
        <f t="shared" si="30"/>
        <v>0</v>
      </c>
      <c r="BA58" s="9">
        <f t="shared" si="31"/>
        <v>0</v>
      </c>
      <c r="BB58" s="10">
        <f t="shared" si="32"/>
        <v>0</v>
      </c>
      <c r="BC58" s="1">
        <f>SUMIFS(
  '[1]Hoja 1'!$M:$M,
  '[1]Hoja 1'!$S:$S, $A58,
  '[1]Hoja 1'!$R:$R, "&gt;="&amp;INT($BE$1),
  '[1]Hoja 1'!$R:$R, "&lt;"&amp;INT($BF$1+1)
)</f>
        <v>0</v>
      </c>
      <c r="BD58" s="1">
        <f t="shared" si="33"/>
        <v>0</v>
      </c>
      <c r="BE58" s="9">
        <f t="shared" si="34"/>
        <v>0</v>
      </c>
      <c r="BF58" s="10">
        <f t="shared" si="35"/>
        <v>0</v>
      </c>
      <c r="BG58" s="1">
        <f>SUMIFS(
  '[1]Hoja 1'!$M:$M,
  '[1]Hoja 1'!$S:$S, $A58,
  '[1]Hoja 1'!$R:$R, "&gt;="&amp;INT($BI$1),
  '[1]Hoja 1'!$R:$R, "&lt;"&amp;INT($BJ$1+1)
)</f>
        <v>0</v>
      </c>
      <c r="BH58" s="1">
        <f t="shared" si="36"/>
        <v>0</v>
      </c>
      <c r="BI58" s="9">
        <f t="shared" si="37"/>
        <v>0</v>
      </c>
      <c r="BJ58" s="10">
        <f t="shared" si="38"/>
        <v>0</v>
      </c>
      <c r="BK58" s="1">
        <f>SUMIFS(
  '[1]Hoja 1'!$M:$M,
  '[1]Hoja 1'!$S:$S, $A58,
  '[1]Hoja 1'!$R:$R, "&gt;="&amp;INT($BM$1),
  '[1]Hoja 1'!$R:$R, "&lt;"&amp;INT($BN$1+1)
)</f>
        <v>0</v>
      </c>
      <c r="BL58" s="1">
        <f t="shared" si="39"/>
        <v>0</v>
      </c>
      <c r="BM58" s="9">
        <f t="shared" si="40"/>
        <v>0</v>
      </c>
      <c r="BN58" s="10">
        <f t="shared" si="41"/>
        <v>0</v>
      </c>
      <c r="BO58" s="1">
        <f>SUMIFS(
  '[1]Hoja 1'!$M:$M,
  '[1]Hoja 1'!$S:$S, $A58,
  '[1]Hoja 1'!$R:$R, "&gt;="&amp;INT($BQ$1),
  '[1]Hoja 1'!$R:$R, "&lt;"&amp;INT($BR$1+1)
)</f>
        <v>0</v>
      </c>
      <c r="BP58" s="1">
        <f t="shared" si="42"/>
        <v>0</v>
      </c>
      <c r="BQ58" s="9">
        <f t="shared" si="43"/>
        <v>0</v>
      </c>
      <c r="BR58" s="10">
        <f t="shared" si="44"/>
        <v>0</v>
      </c>
      <c r="BS58" s="1">
        <f>SUMIFS(
  '[1]Hoja 1'!$M:$M,
  '[1]Hoja 1'!$S:$S, $A58,
  '[1]Hoja 1'!$R:$R, "&gt;="&amp;INT($BU$1),
  '[1]Hoja 1'!$R:$R, "&lt;"&amp;INT($BV$1+1)
)</f>
        <v>0</v>
      </c>
      <c r="BT58" s="1">
        <f t="shared" si="45"/>
        <v>0</v>
      </c>
      <c r="BU58" s="9">
        <f t="shared" si="46"/>
        <v>0</v>
      </c>
      <c r="BV58" s="10">
        <f t="shared" si="47"/>
        <v>0</v>
      </c>
      <c r="BW58" s="1">
        <f>SUMIFS(
  '[1]Hoja 1'!$M:$M,
  '[1]Hoja 1'!$S:$S, $A58,
  '[1]Hoja 1'!$R:$R, "&gt;="&amp;INT($BY$1),
  '[1]Hoja 1'!$R:$R, "&lt;"&amp;INT($BZ$1+1)
)</f>
        <v>0</v>
      </c>
      <c r="BX58" s="1">
        <f t="shared" si="48"/>
        <v>0</v>
      </c>
      <c r="BY58" s="9">
        <f t="shared" si="49"/>
        <v>0</v>
      </c>
      <c r="BZ58" s="10">
        <f t="shared" si="50"/>
        <v>0</v>
      </c>
      <c r="CA58" s="1">
        <f>SUMIFS(
  '[1]Hoja 1'!$M:$M,
  '[1]Hoja 1'!$S:$S, $A58,
  '[1]Hoja 1'!$R:$R, "&gt;="&amp;INT($CC$1),
  '[1]Hoja 1'!$R:$R, "&lt;"&amp;INT($CD$1+1)
)</f>
        <v>0</v>
      </c>
      <c r="CB58" s="1">
        <f t="shared" si="51"/>
        <v>0</v>
      </c>
      <c r="CC58" s="9">
        <f t="shared" si="52"/>
        <v>0</v>
      </c>
      <c r="CD58" s="10">
        <f t="shared" si="53"/>
        <v>0</v>
      </c>
      <c r="CE58" s="1">
        <f>SUMIFS(
  '[1]Hoja 1'!$M:$M,
  '[1]Hoja 1'!$S:$S, $A58,
  '[1]Hoja 1'!$R:$R, "&gt;="&amp;INT($CG$1),
  '[1]Hoja 1'!$R:$R, "&lt;"&amp;INT($CH$1+1)
)</f>
        <v>0</v>
      </c>
      <c r="CF58" s="1">
        <f t="shared" si="54"/>
        <v>0</v>
      </c>
      <c r="CG58" s="9">
        <f t="shared" si="55"/>
        <v>0</v>
      </c>
      <c r="CH58" s="10">
        <f t="shared" si="56"/>
        <v>0</v>
      </c>
      <c r="CI58" s="1">
        <f>SUMIFS(
  '[1]Hoja 1'!$M:$M,
  '[1]Hoja 1'!$S:$S, $A58,
  '[1]Hoja 1'!$R:$R, "&gt;="&amp;INT($CK$1),
  '[1]Hoja 1'!$R:$R, "&lt;"&amp;INT($CL$1+1)
)</f>
        <v>0</v>
      </c>
      <c r="CJ58" s="1">
        <f t="shared" si="57"/>
        <v>0</v>
      </c>
      <c r="CK58" s="9">
        <f t="shared" si="58"/>
        <v>0</v>
      </c>
      <c r="CL58" s="10">
        <f t="shared" si="59"/>
        <v>0</v>
      </c>
      <c r="CM58" s="1">
        <f>SUMIFS(
  '[1]Hoja 1'!$M:$M,
  '[1]Hoja 1'!$S:$S, $A58,
  '[1]Hoja 1'!$R:$R, "&gt;="&amp;INT($CO$1),
  '[1]Hoja 1'!$R:$R, "&lt;"&amp;INT($CP$1+1)
)</f>
        <v>0</v>
      </c>
      <c r="CN58" s="1">
        <f t="shared" si="60"/>
        <v>0</v>
      </c>
      <c r="CO58" s="9">
        <f t="shared" si="61"/>
        <v>0</v>
      </c>
      <c r="CP58" s="10">
        <f t="shared" si="62"/>
        <v>0</v>
      </c>
      <c r="CQ58" s="1">
        <f>SUMIFS(
  '[1]Hoja 1'!$M:$M,
  '[1]Hoja 1'!$S:$S, $A58,
  '[1]Hoja 1'!$R:$R, "&gt;="&amp;INT($CS$1),
  '[1]Hoja 1'!$R:$R, "&lt;"&amp;INT($CT$1+1)
)</f>
        <v>0</v>
      </c>
      <c r="CR58" s="1">
        <f t="shared" si="63"/>
        <v>0</v>
      </c>
      <c r="CS58" s="9">
        <f t="shared" si="64"/>
        <v>0</v>
      </c>
      <c r="CT58" s="10">
        <f t="shared" si="65"/>
        <v>0</v>
      </c>
      <c r="CU58" s="1">
        <f>SUMIFS(
  '[1]Hoja 1'!$M:$M,
  '[1]Hoja 1'!$S:$S, $A58,
  '[1]Hoja 1'!$R:$R, "&gt;="&amp;INT($CW$1),
  '[1]Hoja 1'!$R:$R, "&lt;"&amp;INT($CX$1+1)
)</f>
        <v>0</v>
      </c>
      <c r="CV58" s="1">
        <f t="shared" si="66"/>
        <v>0</v>
      </c>
      <c r="CW58" s="9">
        <f t="shared" si="67"/>
        <v>0</v>
      </c>
      <c r="CX58" s="10">
        <f t="shared" si="68"/>
        <v>0</v>
      </c>
      <c r="CY58" s="1">
        <f>SUMIFS(
  '[1]Hoja 1'!$M:$M,
  '[1]Hoja 1'!$S:$S, $A58,
  '[1]Hoja 1'!$R:$R, "&gt;="&amp;INT($DA$1),
  '[1]Hoja 1'!$R:$R, "&lt;"&amp;INT($DB$1+1)
)</f>
        <v>0</v>
      </c>
      <c r="CZ58" s="1">
        <f t="shared" si="69"/>
        <v>0</v>
      </c>
      <c r="DA58" s="9">
        <f t="shared" si="70"/>
        <v>0</v>
      </c>
      <c r="DB58" s="10">
        <f t="shared" si="71"/>
        <v>0</v>
      </c>
      <c r="DC58" s="1">
        <f>SUMIFS(
  '[1]Hoja 1'!$M:$M,
  '[1]Hoja 1'!$S:$S, $A58,
  '[1]Hoja 1'!$R:$R, "&gt;="&amp;INT($DE$1),
  '[1]Hoja 1'!$R:$R, "&lt;"&amp;INT($DF$1+1)
)</f>
        <v>0</v>
      </c>
      <c r="DD58" s="1">
        <f t="shared" si="72"/>
        <v>0</v>
      </c>
      <c r="DE58" s="9">
        <f t="shared" si="73"/>
        <v>0</v>
      </c>
      <c r="DF58" s="10">
        <f t="shared" si="74"/>
        <v>0</v>
      </c>
      <c r="DG58" s="1">
        <f>SUMIFS(
  '[1]Hoja 1'!$M:$M,
  '[1]Hoja 1'!$S:$S, $A58,
  '[1]Hoja 1'!$R:$R, "&gt;="&amp;INT($DI$1),
  '[1]Hoja 1'!$R:$R, "&lt;"&amp;INT($DJ$1+1)
)</f>
        <v>0</v>
      </c>
      <c r="DH58" s="1">
        <f t="shared" si="75"/>
        <v>0</v>
      </c>
      <c r="DI58" s="9">
        <f t="shared" si="76"/>
        <v>0</v>
      </c>
      <c r="DJ58" s="10">
        <f t="shared" si="77"/>
        <v>0</v>
      </c>
      <c r="DK58" s="1">
        <f>SUMIFS(
  '[1]Hoja 1'!$M:$M,
  '[1]Hoja 1'!$S:$S, $A58,
  '[1]Hoja 1'!$R:$R, "&gt;="&amp;INT($DM$1),
  '[1]Hoja 1'!$R:$R, "&lt;"&amp;INT($DN$1+1)
)</f>
        <v>0</v>
      </c>
      <c r="DL58" s="1">
        <f t="shared" si="78"/>
        <v>0</v>
      </c>
      <c r="DM58" s="9">
        <f t="shared" si="79"/>
        <v>0</v>
      </c>
      <c r="DN58" s="10">
        <f t="shared" si="80"/>
        <v>0</v>
      </c>
      <c r="DO58" s="1">
        <f>SUMIFS(
  '[1]Hoja 1'!$M:$M,
  '[1]Hoja 1'!$S:$S, $A58,
  '[1]Hoja 1'!$R:$R, "&gt;="&amp;INT($DQ$1),
  '[1]Hoja 1'!$R:$R, "&lt;"&amp;INT($DR$1+1)
)</f>
        <v>0</v>
      </c>
      <c r="DP58" s="1">
        <f t="shared" si="81"/>
        <v>0</v>
      </c>
      <c r="DQ58" s="9">
        <f t="shared" si="82"/>
        <v>0</v>
      </c>
      <c r="DR58" s="10">
        <f t="shared" si="83"/>
        <v>0</v>
      </c>
    </row>
    <row r="59" spans="1:122" x14ac:dyDescent="0.25">
      <c r="A59" s="5">
        <v>209007</v>
      </c>
      <c r="B59" s="6" t="s">
        <v>62</v>
      </c>
      <c r="C59" s="1">
        <f>SUMIFS(
  '[1]Hoja 1'!$M:$M,
  '[1]Hoja 1'!$S:$S, $A59,
  '[1]Hoja 1'!$R:$R, "&gt;="&amp;INT($E$1),
  '[1]Hoja 1'!$R:$R, "&lt;"&amp;INT($F$1+1)
)</f>
        <v>0</v>
      </c>
      <c r="D59" s="1" t="str">
        <f>""</f>
        <v/>
      </c>
      <c r="F59" s="2"/>
      <c r="G59" s="1">
        <f>SUMIFS(
  '[1]Hoja 1'!$M:$M,
  '[1]Hoja 1'!$S:$S, $A59,
  '[1]Hoja 1'!$R:$R, "&gt;="&amp;INT($I$1),
  '[1]Hoja 1'!$R:$R, "&lt;"&amp;INT($J$1+1)
)</f>
        <v>0</v>
      </c>
      <c r="H59" s="1">
        <f t="shared" si="84"/>
        <v>0</v>
      </c>
      <c r="I59" s="1"/>
      <c r="J59" s="2"/>
      <c r="K59" s="1">
        <f>SUMIFS(
  '[1]Hoja 1'!$M:$M,
  '[1]Hoja 1'!$S:$S, $A59,
  '[1]Hoja 1'!$R:$R, "&gt;="&amp;INT($M$1),
  '[1]Hoja 1'!$R:$R, "&lt;"&amp;INT($N$1+1)
)</f>
        <v>0</v>
      </c>
      <c r="L59" s="1">
        <f t="shared" si="0"/>
        <v>0</v>
      </c>
      <c r="M59" s="9">
        <f t="shared" si="1"/>
        <v>0</v>
      </c>
      <c r="N59" s="10">
        <f t="shared" si="2"/>
        <v>0</v>
      </c>
      <c r="O59" s="1">
        <f>SUMIFS(
  '[1]Hoja 1'!$M:$M,
  '[1]Hoja 1'!$S:$S, $A59,
  '[1]Hoja 1'!$R:$R, "&gt;="&amp;INT($Q$1),
  '[1]Hoja 1'!$R:$R, "&lt;"&amp;INT($R$1+1)
)</f>
        <v>0</v>
      </c>
      <c r="P59" s="1">
        <f t="shared" si="3"/>
        <v>0</v>
      </c>
      <c r="Q59" s="9">
        <f t="shared" si="4"/>
        <v>0</v>
      </c>
      <c r="R59" s="10">
        <f t="shared" si="5"/>
        <v>0</v>
      </c>
      <c r="S59" s="1">
        <f>SUMIFS(
  '[1]Hoja 1'!$M:$M,
  '[1]Hoja 1'!$S:$S, $A59,
  '[1]Hoja 1'!$R:$R, "&gt;="&amp;INT($U$1),
  '[1]Hoja 1'!$R:$R, "&lt;"&amp;INT($V$1+1)
)</f>
        <v>0</v>
      </c>
      <c r="T59" s="1">
        <f t="shared" si="6"/>
        <v>0</v>
      </c>
      <c r="U59" s="9">
        <f t="shared" si="7"/>
        <v>0</v>
      </c>
      <c r="V59" s="10">
        <f t="shared" si="8"/>
        <v>0</v>
      </c>
      <c r="W59" s="1">
        <f>SUMIFS(
  '[1]Hoja 1'!$M:$M,
  '[1]Hoja 1'!$S:$S, $A59,
  '[1]Hoja 1'!$R:$R, "&gt;="&amp;INT($Y$1),
  '[1]Hoja 1'!$R:$R, "&lt;"&amp;INT($Z$1+1)
)</f>
        <v>0</v>
      </c>
      <c r="X59" s="1">
        <f t="shared" si="9"/>
        <v>0</v>
      </c>
      <c r="Y59" s="9">
        <f t="shared" si="10"/>
        <v>0</v>
      </c>
      <c r="Z59" s="10">
        <f t="shared" si="11"/>
        <v>0</v>
      </c>
      <c r="AA59" s="1">
        <f>SUMIFS(
  '[1]Hoja 1'!$M:$M,
  '[1]Hoja 1'!$S:$S, $A59,
  '[1]Hoja 1'!$R:$R, "&gt;="&amp;INT($AC$1),
  '[1]Hoja 1'!$R:$R, "&lt;"&amp;INT($AD$1+1)
)</f>
        <v>0</v>
      </c>
      <c r="AB59" s="1">
        <f t="shared" si="12"/>
        <v>0</v>
      </c>
      <c r="AC59" s="9">
        <f t="shared" si="13"/>
        <v>0</v>
      </c>
      <c r="AD59" s="10">
        <f t="shared" si="14"/>
        <v>0</v>
      </c>
      <c r="AE59" s="1">
        <f>SUMIFS(
  '[1]Hoja 1'!$M:$M,
  '[1]Hoja 1'!$S:$S, $A59,
  '[1]Hoja 1'!$R:$R, "&gt;="&amp;INT($AG$1),
  '[1]Hoja 1'!$R:$R, "&lt;"&amp;INT($AH$1+1)
)</f>
        <v>0</v>
      </c>
      <c r="AF59" s="1">
        <f t="shared" si="15"/>
        <v>0</v>
      </c>
      <c r="AG59" s="9">
        <f t="shared" si="16"/>
        <v>0</v>
      </c>
      <c r="AH59" s="10">
        <f t="shared" si="17"/>
        <v>0</v>
      </c>
      <c r="AI59" s="1">
        <f>SUMIFS(
  '[1]Hoja 1'!$M:$M,
  '[1]Hoja 1'!$S:$S, $A59,
  '[1]Hoja 1'!$R:$R, "&gt;="&amp;INT($AK$1),
  '[1]Hoja 1'!$R:$R, "&lt;"&amp;INT($AL$1+1)
)</f>
        <v>0</v>
      </c>
      <c r="AJ59" s="1">
        <f t="shared" si="18"/>
        <v>0</v>
      </c>
      <c r="AK59" s="9">
        <f t="shared" si="19"/>
        <v>0</v>
      </c>
      <c r="AL59" s="10">
        <f t="shared" si="20"/>
        <v>0</v>
      </c>
      <c r="AM59" s="1">
        <f>SUMIFS(
  '[1]Hoja 1'!$M:$M,
  '[1]Hoja 1'!$S:$S, $A59,
  '[1]Hoja 1'!$R:$R, "&gt;="&amp;INT($AO$1),
  '[1]Hoja 1'!$R:$R, "&lt;"&amp;INT($AP$1+1)
)</f>
        <v>0</v>
      </c>
      <c r="AN59" s="1">
        <f t="shared" si="21"/>
        <v>0</v>
      </c>
      <c r="AO59" s="9">
        <f t="shared" si="22"/>
        <v>0</v>
      </c>
      <c r="AP59" s="10">
        <f t="shared" si="23"/>
        <v>0</v>
      </c>
      <c r="AQ59" s="1">
        <f>SUMIFS(
  '[1]Hoja 1'!$M:$M,
  '[1]Hoja 1'!$S:$S, $A59,
  '[1]Hoja 1'!$R:$R, "&gt;="&amp;INT($AS$1),
  '[1]Hoja 1'!$R:$R, "&lt;"&amp;INT($AT$1+1)
)</f>
        <v>0</v>
      </c>
      <c r="AR59" s="1">
        <f t="shared" si="24"/>
        <v>0</v>
      </c>
      <c r="AS59" s="9">
        <f t="shared" si="25"/>
        <v>0</v>
      </c>
      <c r="AT59" s="10">
        <f t="shared" si="26"/>
        <v>0</v>
      </c>
      <c r="AU59" s="1">
        <f>SUMIFS(
  '[1]Hoja 1'!$M:$M,
  '[1]Hoja 1'!$S:$S, $A59,
  '[1]Hoja 1'!$R:$R, "&gt;="&amp;INT($AW$1),
  '[1]Hoja 1'!$R:$R, "&lt;"&amp;INT($AX$1+1)
)</f>
        <v>0</v>
      </c>
      <c r="AV59" s="1">
        <f t="shared" si="27"/>
        <v>0</v>
      </c>
      <c r="AW59" s="9">
        <f t="shared" si="28"/>
        <v>0</v>
      </c>
      <c r="AX59" s="10">
        <f t="shared" si="29"/>
        <v>0</v>
      </c>
      <c r="AY59" s="1">
        <f>SUMIFS(
  '[1]Hoja 1'!$M:$M,
  '[1]Hoja 1'!$S:$S, $A59,
  '[1]Hoja 1'!$R:$R, "&gt;="&amp;INT($BA$1),
  '[1]Hoja 1'!$R:$R, "&lt;"&amp;INT($BB$1+1)
)</f>
        <v>0</v>
      </c>
      <c r="AZ59" s="1">
        <f t="shared" si="30"/>
        <v>0</v>
      </c>
      <c r="BA59" s="9">
        <f t="shared" si="31"/>
        <v>0</v>
      </c>
      <c r="BB59" s="10">
        <f t="shared" si="32"/>
        <v>0</v>
      </c>
      <c r="BC59" s="1">
        <f>SUMIFS(
  '[1]Hoja 1'!$M:$M,
  '[1]Hoja 1'!$S:$S, $A59,
  '[1]Hoja 1'!$R:$R, "&gt;="&amp;INT($BE$1),
  '[1]Hoja 1'!$R:$R, "&lt;"&amp;INT($BF$1+1)
)</f>
        <v>0</v>
      </c>
      <c r="BD59" s="1">
        <f t="shared" si="33"/>
        <v>0</v>
      </c>
      <c r="BE59" s="9">
        <f t="shared" si="34"/>
        <v>0</v>
      </c>
      <c r="BF59" s="10">
        <f t="shared" si="35"/>
        <v>0</v>
      </c>
      <c r="BG59" s="1">
        <f>SUMIFS(
  '[1]Hoja 1'!$M:$M,
  '[1]Hoja 1'!$S:$S, $A59,
  '[1]Hoja 1'!$R:$R, "&gt;="&amp;INT($BI$1),
  '[1]Hoja 1'!$R:$R, "&lt;"&amp;INT($BJ$1+1)
)</f>
        <v>0</v>
      </c>
      <c r="BH59" s="1">
        <f t="shared" si="36"/>
        <v>0</v>
      </c>
      <c r="BI59" s="9">
        <f t="shared" si="37"/>
        <v>0</v>
      </c>
      <c r="BJ59" s="10">
        <f t="shared" si="38"/>
        <v>0</v>
      </c>
      <c r="BK59" s="1">
        <f>SUMIFS(
  '[1]Hoja 1'!$M:$M,
  '[1]Hoja 1'!$S:$S, $A59,
  '[1]Hoja 1'!$R:$R, "&gt;="&amp;INT($BM$1),
  '[1]Hoja 1'!$R:$R, "&lt;"&amp;INT($BN$1+1)
)</f>
        <v>0</v>
      </c>
      <c r="BL59" s="1">
        <f t="shared" si="39"/>
        <v>0</v>
      </c>
      <c r="BM59" s="9">
        <f t="shared" si="40"/>
        <v>0</v>
      </c>
      <c r="BN59" s="10">
        <f t="shared" si="41"/>
        <v>0</v>
      </c>
      <c r="BO59" s="1">
        <f>SUMIFS(
  '[1]Hoja 1'!$M:$M,
  '[1]Hoja 1'!$S:$S, $A59,
  '[1]Hoja 1'!$R:$R, "&gt;="&amp;INT($BQ$1),
  '[1]Hoja 1'!$R:$R, "&lt;"&amp;INT($BR$1+1)
)</f>
        <v>0</v>
      </c>
      <c r="BP59" s="1">
        <f t="shared" si="42"/>
        <v>0</v>
      </c>
      <c r="BQ59" s="9">
        <f t="shared" si="43"/>
        <v>0</v>
      </c>
      <c r="BR59" s="10">
        <f t="shared" si="44"/>
        <v>0</v>
      </c>
      <c r="BS59" s="1">
        <f>SUMIFS(
  '[1]Hoja 1'!$M:$M,
  '[1]Hoja 1'!$S:$S, $A59,
  '[1]Hoja 1'!$R:$R, "&gt;="&amp;INT($BU$1),
  '[1]Hoja 1'!$R:$R, "&lt;"&amp;INT($BV$1+1)
)</f>
        <v>0</v>
      </c>
      <c r="BT59" s="1">
        <f t="shared" si="45"/>
        <v>0</v>
      </c>
      <c r="BU59" s="9">
        <f t="shared" si="46"/>
        <v>0</v>
      </c>
      <c r="BV59" s="10">
        <f t="shared" si="47"/>
        <v>0</v>
      </c>
      <c r="BW59" s="1">
        <f>SUMIFS(
  '[1]Hoja 1'!$M:$M,
  '[1]Hoja 1'!$S:$S, $A59,
  '[1]Hoja 1'!$R:$R, "&gt;="&amp;INT($BY$1),
  '[1]Hoja 1'!$R:$R, "&lt;"&amp;INT($BZ$1+1)
)</f>
        <v>0</v>
      </c>
      <c r="BX59" s="1">
        <f t="shared" si="48"/>
        <v>0</v>
      </c>
      <c r="BY59" s="9">
        <f t="shared" si="49"/>
        <v>0</v>
      </c>
      <c r="BZ59" s="10">
        <f t="shared" si="50"/>
        <v>0</v>
      </c>
      <c r="CA59" s="1">
        <f>SUMIFS(
  '[1]Hoja 1'!$M:$M,
  '[1]Hoja 1'!$S:$S, $A59,
  '[1]Hoja 1'!$R:$R, "&gt;="&amp;INT($CC$1),
  '[1]Hoja 1'!$R:$R, "&lt;"&amp;INT($CD$1+1)
)</f>
        <v>0</v>
      </c>
      <c r="CB59" s="1">
        <f t="shared" si="51"/>
        <v>0</v>
      </c>
      <c r="CC59" s="9">
        <f t="shared" si="52"/>
        <v>0</v>
      </c>
      <c r="CD59" s="10">
        <f t="shared" si="53"/>
        <v>0</v>
      </c>
      <c r="CE59" s="1">
        <f>SUMIFS(
  '[1]Hoja 1'!$M:$M,
  '[1]Hoja 1'!$S:$S, $A59,
  '[1]Hoja 1'!$R:$R, "&gt;="&amp;INT($CG$1),
  '[1]Hoja 1'!$R:$R, "&lt;"&amp;INT($CH$1+1)
)</f>
        <v>0</v>
      </c>
      <c r="CF59" s="1">
        <f t="shared" si="54"/>
        <v>0</v>
      </c>
      <c r="CG59" s="9">
        <f t="shared" si="55"/>
        <v>0</v>
      </c>
      <c r="CH59" s="10">
        <f t="shared" si="56"/>
        <v>0</v>
      </c>
      <c r="CI59" s="1">
        <f>SUMIFS(
  '[1]Hoja 1'!$M:$M,
  '[1]Hoja 1'!$S:$S, $A59,
  '[1]Hoja 1'!$R:$R, "&gt;="&amp;INT($CK$1),
  '[1]Hoja 1'!$R:$R, "&lt;"&amp;INT($CL$1+1)
)</f>
        <v>0</v>
      </c>
      <c r="CJ59" s="1">
        <f t="shared" si="57"/>
        <v>0</v>
      </c>
      <c r="CK59" s="9">
        <f t="shared" si="58"/>
        <v>0</v>
      </c>
      <c r="CL59" s="10">
        <f t="shared" si="59"/>
        <v>0</v>
      </c>
      <c r="CM59" s="1">
        <f>SUMIFS(
  '[1]Hoja 1'!$M:$M,
  '[1]Hoja 1'!$S:$S, $A59,
  '[1]Hoja 1'!$R:$R, "&gt;="&amp;INT($CO$1),
  '[1]Hoja 1'!$R:$R, "&lt;"&amp;INT($CP$1+1)
)</f>
        <v>0</v>
      </c>
      <c r="CN59" s="1">
        <f t="shared" si="60"/>
        <v>0</v>
      </c>
      <c r="CO59" s="9">
        <f t="shared" si="61"/>
        <v>0</v>
      </c>
      <c r="CP59" s="10">
        <f t="shared" si="62"/>
        <v>0</v>
      </c>
      <c r="CQ59" s="1">
        <f>SUMIFS(
  '[1]Hoja 1'!$M:$M,
  '[1]Hoja 1'!$S:$S, $A59,
  '[1]Hoja 1'!$R:$R, "&gt;="&amp;INT($CS$1),
  '[1]Hoja 1'!$R:$R, "&lt;"&amp;INT($CT$1+1)
)</f>
        <v>0</v>
      </c>
      <c r="CR59" s="1">
        <f t="shared" si="63"/>
        <v>0</v>
      </c>
      <c r="CS59" s="9">
        <f t="shared" si="64"/>
        <v>0</v>
      </c>
      <c r="CT59" s="10">
        <f t="shared" si="65"/>
        <v>0</v>
      </c>
      <c r="CU59" s="1">
        <f>SUMIFS(
  '[1]Hoja 1'!$M:$M,
  '[1]Hoja 1'!$S:$S, $A59,
  '[1]Hoja 1'!$R:$R, "&gt;="&amp;INT($CW$1),
  '[1]Hoja 1'!$R:$R, "&lt;"&amp;INT($CX$1+1)
)</f>
        <v>0</v>
      </c>
      <c r="CV59" s="1">
        <f t="shared" si="66"/>
        <v>0</v>
      </c>
      <c r="CW59" s="9">
        <f t="shared" si="67"/>
        <v>0</v>
      </c>
      <c r="CX59" s="10">
        <f t="shared" si="68"/>
        <v>0</v>
      </c>
      <c r="CY59" s="1">
        <f>SUMIFS(
  '[1]Hoja 1'!$M:$M,
  '[1]Hoja 1'!$S:$S, $A59,
  '[1]Hoja 1'!$R:$R, "&gt;="&amp;INT($DA$1),
  '[1]Hoja 1'!$R:$R, "&lt;"&amp;INT($DB$1+1)
)</f>
        <v>0</v>
      </c>
      <c r="CZ59" s="1">
        <f t="shared" si="69"/>
        <v>0</v>
      </c>
      <c r="DA59" s="9">
        <f t="shared" si="70"/>
        <v>0</v>
      </c>
      <c r="DB59" s="10">
        <f t="shared" si="71"/>
        <v>0</v>
      </c>
      <c r="DC59" s="1">
        <f>SUMIFS(
  '[1]Hoja 1'!$M:$M,
  '[1]Hoja 1'!$S:$S, $A59,
  '[1]Hoja 1'!$R:$R, "&gt;="&amp;INT($DE$1),
  '[1]Hoja 1'!$R:$R, "&lt;"&amp;INT($DF$1+1)
)</f>
        <v>0</v>
      </c>
      <c r="DD59" s="1">
        <f t="shared" si="72"/>
        <v>0</v>
      </c>
      <c r="DE59" s="9">
        <f t="shared" si="73"/>
        <v>0</v>
      </c>
      <c r="DF59" s="10">
        <f t="shared" si="74"/>
        <v>0</v>
      </c>
      <c r="DG59" s="1">
        <f>SUMIFS(
  '[1]Hoja 1'!$M:$M,
  '[1]Hoja 1'!$S:$S, $A59,
  '[1]Hoja 1'!$R:$R, "&gt;="&amp;INT($DI$1),
  '[1]Hoja 1'!$R:$R, "&lt;"&amp;INT($DJ$1+1)
)</f>
        <v>0</v>
      </c>
      <c r="DH59" s="1">
        <f t="shared" si="75"/>
        <v>0</v>
      </c>
      <c r="DI59" s="9">
        <f t="shared" si="76"/>
        <v>0</v>
      </c>
      <c r="DJ59" s="10">
        <f t="shared" si="77"/>
        <v>0</v>
      </c>
      <c r="DK59" s="1">
        <f>SUMIFS(
  '[1]Hoja 1'!$M:$M,
  '[1]Hoja 1'!$S:$S, $A59,
  '[1]Hoja 1'!$R:$R, "&gt;="&amp;INT($DM$1),
  '[1]Hoja 1'!$R:$R, "&lt;"&amp;INT($DN$1+1)
)</f>
        <v>0</v>
      </c>
      <c r="DL59" s="1">
        <f t="shared" si="78"/>
        <v>0</v>
      </c>
      <c r="DM59" s="9">
        <f t="shared" si="79"/>
        <v>0</v>
      </c>
      <c r="DN59" s="10">
        <f t="shared" si="80"/>
        <v>0</v>
      </c>
      <c r="DO59" s="1">
        <f>SUMIFS(
  '[1]Hoja 1'!$M:$M,
  '[1]Hoja 1'!$S:$S, $A59,
  '[1]Hoja 1'!$R:$R, "&gt;="&amp;INT($DQ$1),
  '[1]Hoja 1'!$R:$R, "&lt;"&amp;INT($DR$1+1)
)</f>
        <v>0</v>
      </c>
      <c r="DP59" s="1">
        <f t="shared" si="81"/>
        <v>0</v>
      </c>
      <c r="DQ59" s="9">
        <f t="shared" si="82"/>
        <v>0</v>
      </c>
      <c r="DR59" s="10">
        <f t="shared" si="83"/>
        <v>0</v>
      </c>
    </row>
    <row r="60" spans="1:122" x14ac:dyDescent="0.25">
      <c r="A60" s="5">
        <v>209008</v>
      </c>
      <c r="B60" s="6" t="s">
        <v>63</v>
      </c>
      <c r="C60" s="1">
        <f>SUMIFS(
  '[1]Hoja 1'!$M:$M,
  '[1]Hoja 1'!$S:$S, $A60,
  '[1]Hoja 1'!$R:$R, "&gt;="&amp;INT($E$1),
  '[1]Hoja 1'!$R:$R, "&lt;"&amp;INT($F$1+1)
)</f>
        <v>0</v>
      </c>
      <c r="D60" s="1" t="str">
        <f>""</f>
        <v/>
      </c>
      <c r="F60" s="2"/>
      <c r="G60" s="1">
        <f>SUMIFS(
  '[1]Hoja 1'!$M:$M,
  '[1]Hoja 1'!$S:$S, $A60,
  '[1]Hoja 1'!$R:$R, "&gt;="&amp;INT($I$1),
  '[1]Hoja 1'!$R:$R, "&lt;"&amp;INT($J$1+1)
)</f>
        <v>0</v>
      </c>
      <c r="H60" s="1">
        <f t="shared" si="84"/>
        <v>0</v>
      </c>
      <c r="I60" s="1"/>
      <c r="J60" s="2"/>
      <c r="K60" s="1">
        <f>SUMIFS(
  '[1]Hoja 1'!$M:$M,
  '[1]Hoja 1'!$S:$S, $A60,
  '[1]Hoja 1'!$R:$R, "&gt;="&amp;INT($M$1),
  '[1]Hoja 1'!$R:$R, "&lt;"&amp;INT($N$1+1)
)</f>
        <v>0</v>
      </c>
      <c r="L60" s="1">
        <f t="shared" si="0"/>
        <v>0</v>
      </c>
      <c r="M60" s="9">
        <f t="shared" si="1"/>
        <v>0</v>
      </c>
      <c r="N60" s="10">
        <f t="shared" si="2"/>
        <v>0</v>
      </c>
      <c r="O60" s="1">
        <f>SUMIFS(
  '[1]Hoja 1'!$M:$M,
  '[1]Hoja 1'!$S:$S, $A60,
  '[1]Hoja 1'!$R:$R, "&gt;="&amp;INT($Q$1),
  '[1]Hoja 1'!$R:$R, "&lt;"&amp;INT($R$1+1)
)</f>
        <v>0</v>
      </c>
      <c r="P60" s="1">
        <f t="shared" si="3"/>
        <v>0</v>
      </c>
      <c r="Q60" s="9">
        <f t="shared" si="4"/>
        <v>0</v>
      </c>
      <c r="R60" s="10">
        <f t="shared" si="5"/>
        <v>0</v>
      </c>
      <c r="S60" s="1">
        <f>SUMIFS(
  '[1]Hoja 1'!$M:$M,
  '[1]Hoja 1'!$S:$S, $A60,
  '[1]Hoja 1'!$R:$R, "&gt;="&amp;INT($U$1),
  '[1]Hoja 1'!$R:$R, "&lt;"&amp;INT($V$1+1)
)</f>
        <v>0</v>
      </c>
      <c r="T60" s="1">
        <f t="shared" si="6"/>
        <v>0</v>
      </c>
      <c r="U60" s="9">
        <f t="shared" si="7"/>
        <v>0</v>
      </c>
      <c r="V60" s="10">
        <f t="shared" si="8"/>
        <v>0</v>
      </c>
      <c r="W60" s="1">
        <f>SUMIFS(
  '[1]Hoja 1'!$M:$M,
  '[1]Hoja 1'!$S:$S, $A60,
  '[1]Hoja 1'!$R:$R, "&gt;="&amp;INT($Y$1),
  '[1]Hoja 1'!$R:$R, "&lt;"&amp;INT($Z$1+1)
)</f>
        <v>0</v>
      </c>
      <c r="X60" s="1">
        <f t="shared" si="9"/>
        <v>0</v>
      </c>
      <c r="Y60" s="9">
        <f t="shared" si="10"/>
        <v>0</v>
      </c>
      <c r="Z60" s="10">
        <f t="shared" si="11"/>
        <v>0</v>
      </c>
      <c r="AA60" s="1">
        <f>SUMIFS(
  '[1]Hoja 1'!$M:$M,
  '[1]Hoja 1'!$S:$S, $A60,
  '[1]Hoja 1'!$R:$R, "&gt;="&amp;INT($AC$1),
  '[1]Hoja 1'!$R:$R, "&lt;"&amp;INT($AD$1+1)
)</f>
        <v>0</v>
      </c>
      <c r="AB60" s="1">
        <f t="shared" si="12"/>
        <v>0</v>
      </c>
      <c r="AC60" s="9">
        <f t="shared" si="13"/>
        <v>0</v>
      </c>
      <c r="AD60" s="10">
        <f t="shared" si="14"/>
        <v>0</v>
      </c>
      <c r="AE60" s="1">
        <f>SUMIFS(
  '[1]Hoja 1'!$M:$M,
  '[1]Hoja 1'!$S:$S, $A60,
  '[1]Hoja 1'!$R:$R, "&gt;="&amp;INT($AG$1),
  '[1]Hoja 1'!$R:$R, "&lt;"&amp;INT($AH$1+1)
)</f>
        <v>0</v>
      </c>
      <c r="AF60" s="1">
        <f t="shared" si="15"/>
        <v>0</v>
      </c>
      <c r="AG60" s="9">
        <f t="shared" si="16"/>
        <v>0</v>
      </c>
      <c r="AH60" s="10">
        <f t="shared" si="17"/>
        <v>0</v>
      </c>
      <c r="AI60" s="1">
        <f>SUMIFS(
  '[1]Hoja 1'!$M:$M,
  '[1]Hoja 1'!$S:$S, $A60,
  '[1]Hoja 1'!$R:$R, "&gt;="&amp;INT($AK$1),
  '[1]Hoja 1'!$R:$R, "&lt;"&amp;INT($AL$1+1)
)</f>
        <v>0</v>
      </c>
      <c r="AJ60" s="1">
        <f t="shared" si="18"/>
        <v>0</v>
      </c>
      <c r="AK60" s="9">
        <f t="shared" si="19"/>
        <v>0</v>
      </c>
      <c r="AL60" s="10">
        <f t="shared" si="20"/>
        <v>0</v>
      </c>
      <c r="AM60" s="1">
        <f>SUMIFS(
  '[1]Hoja 1'!$M:$M,
  '[1]Hoja 1'!$S:$S, $A60,
  '[1]Hoja 1'!$R:$R, "&gt;="&amp;INT($AO$1),
  '[1]Hoja 1'!$R:$R, "&lt;"&amp;INT($AP$1+1)
)</f>
        <v>0</v>
      </c>
      <c r="AN60" s="1">
        <f t="shared" si="21"/>
        <v>0</v>
      </c>
      <c r="AO60" s="9">
        <f t="shared" si="22"/>
        <v>0</v>
      </c>
      <c r="AP60" s="10">
        <f t="shared" si="23"/>
        <v>0</v>
      </c>
      <c r="AQ60" s="1">
        <f>SUMIFS(
  '[1]Hoja 1'!$M:$M,
  '[1]Hoja 1'!$S:$S, $A60,
  '[1]Hoja 1'!$R:$R, "&gt;="&amp;INT($AS$1),
  '[1]Hoja 1'!$R:$R, "&lt;"&amp;INT($AT$1+1)
)</f>
        <v>0</v>
      </c>
      <c r="AR60" s="1">
        <f t="shared" si="24"/>
        <v>0</v>
      </c>
      <c r="AS60" s="9">
        <f t="shared" si="25"/>
        <v>0</v>
      </c>
      <c r="AT60" s="10">
        <f t="shared" si="26"/>
        <v>0</v>
      </c>
      <c r="AU60" s="1">
        <f>SUMIFS(
  '[1]Hoja 1'!$M:$M,
  '[1]Hoja 1'!$S:$S, $A60,
  '[1]Hoja 1'!$R:$R, "&gt;="&amp;INT($AW$1),
  '[1]Hoja 1'!$R:$R, "&lt;"&amp;INT($AX$1+1)
)</f>
        <v>0</v>
      </c>
      <c r="AV60" s="1">
        <f t="shared" si="27"/>
        <v>0</v>
      </c>
      <c r="AW60" s="9">
        <f t="shared" si="28"/>
        <v>0</v>
      </c>
      <c r="AX60" s="10">
        <f t="shared" si="29"/>
        <v>0</v>
      </c>
      <c r="AY60" s="1">
        <f>SUMIFS(
  '[1]Hoja 1'!$M:$M,
  '[1]Hoja 1'!$S:$S, $A60,
  '[1]Hoja 1'!$R:$R, "&gt;="&amp;INT($BA$1),
  '[1]Hoja 1'!$R:$R, "&lt;"&amp;INT($BB$1+1)
)</f>
        <v>0</v>
      </c>
      <c r="AZ60" s="1">
        <f t="shared" si="30"/>
        <v>0</v>
      </c>
      <c r="BA60" s="9">
        <f t="shared" si="31"/>
        <v>0</v>
      </c>
      <c r="BB60" s="10">
        <f t="shared" si="32"/>
        <v>0</v>
      </c>
      <c r="BC60" s="1">
        <f>SUMIFS(
  '[1]Hoja 1'!$M:$M,
  '[1]Hoja 1'!$S:$S, $A60,
  '[1]Hoja 1'!$R:$R, "&gt;="&amp;INT($BE$1),
  '[1]Hoja 1'!$R:$R, "&lt;"&amp;INT($BF$1+1)
)</f>
        <v>0</v>
      </c>
      <c r="BD60" s="1">
        <f t="shared" si="33"/>
        <v>0</v>
      </c>
      <c r="BE60" s="9">
        <f t="shared" si="34"/>
        <v>0</v>
      </c>
      <c r="BF60" s="10">
        <f t="shared" si="35"/>
        <v>0</v>
      </c>
      <c r="BG60" s="1">
        <f>SUMIFS(
  '[1]Hoja 1'!$M:$M,
  '[1]Hoja 1'!$S:$S, $A60,
  '[1]Hoja 1'!$R:$R, "&gt;="&amp;INT($BI$1),
  '[1]Hoja 1'!$R:$R, "&lt;"&amp;INT($BJ$1+1)
)</f>
        <v>0</v>
      </c>
      <c r="BH60" s="1">
        <f t="shared" si="36"/>
        <v>0</v>
      </c>
      <c r="BI60" s="9">
        <f t="shared" si="37"/>
        <v>0</v>
      </c>
      <c r="BJ60" s="10">
        <f t="shared" si="38"/>
        <v>0</v>
      </c>
      <c r="BK60" s="1">
        <f>SUMIFS(
  '[1]Hoja 1'!$M:$M,
  '[1]Hoja 1'!$S:$S, $A60,
  '[1]Hoja 1'!$R:$R, "&gt;="&amp;INT($BM$1),
  '[1]Hoja 1'!$R:$R, "&lt;"&amp;INT($BN$1+1)
)</f>
        <v>0</v>
      </c>
      <c r="BL60" s="1">
        <f t="shared" si="39"/>
        <v>0</v>
      </c>
      <c r="BM60" s="9">
        <f t="shared" si="40"/>
        <v>0</v>
      </c>
      <c r="BN60" s="10">
        <f t="shared" si="41"/>
        <v>0</v>
      </c>
      <c r="BO60" s="1">
        <f>SUMIFS(
  '[1]Hoja 1'!$M:$M,
  '[1]Hoja 1'!$S:$S, $A60,
  '[1]Hoja 1'!$R:$R, "&gt;="&amp;INT($BQ$1),
  '[1]Hoja 1'!$R:$R, "&lt;"&amp;INT($BR$1+1)
)</f>
        <v>0</v>
      </c>
      <c r="BP60" s="1">
        <f t="shared" si="42"/>
        <v>0</v>
      </c>
      <c r="BQ60" s="9">
        <f t="shared" si="43"/>
        <v>0</v>
      </c>
      <c r="BR60" s="10">
        <f t="shared" si="44"/>
        <v>0</v>
      </c>
      <c r="BS60" s="1">
        <f>SUMIFS(
  '[1]Hoja 1'!$M:$M,
  '[1]Hoja 1'!$S:$S, $A60,
  '[1]Hoja 1'!$R:$R, "&gt;="&amp;INT($BU$1),
  '[1]Hoja 1'!$R:$R, "&lt;"&amp;INT($BV$1+1)
)</f>
        <v>0</v>
      </c>
      <c r="BT60" s="1">
        <f t="shared" si="45"/>
        <v>0</v>
      </c>
      <c r="BU60" s="9">
        <f t="shared" si="46"/>
        <v>0</v>
      </c>
      <c r="BV60" s="10">
        <f t="shared" si="47"/>
        <v>0</v>
      </c>
      <c r="BW60" s="1">
        <f>SUMIFS(
  '[1]Hoja 1'!$M:$M,
  '[1]Hoja 1'!$S:$S, $A60,
  '[1]Hoja 1'!$R:$R, "&gt;="&amp;INT($BY$1),
  '[1]Hoja 1'!$R:$R, "&lt;"&amp;INT($BZ$1+1)
)</f>
        <v>0</v>
      </c>
      <c r="BX60" s="1">
        <f t="shared" si="48"/>
        <v>0</v>
      </c>
      <c r="BY60" s="9">
        <f t="shared" si="49"/>
        <v>0</v>
      </c>
      <c r="BZ60" s="10">
        <f t="shared" si="50"/>
        <v>0</v>
      </c>
      <c r="CA60" s="1">
        <f>SUMIFS(
  '[1]Hoja 1'!$M:$M,
  '[1]Hoja 1'!$S:$S, $A60,
  '[1]Hoja 1'!$R:$R, "&gt;="&amp;INT($CC$1),
  '[1]Hoja 1'!$R:$R, "&lt;"&amp;INT($CD$1+1)
)</f>
        <v>0</v>
      </c>
      <c r="CB60" s="1">
        <f t="shared" si="51"/>
        <v>0</v>
      </c>
      <c r="CC60" s="9">
        <f t="shared" si="52"/>
        <v>0</v>
      </c>
      <c r="CD60" s="10">
        <f t="shared" si="53"/>
        <v>0</v>
      </c>
      <c r="CE60" s="1">
        <f>SUMIFS(
  '[1]Hoja 1'!$M:$M,
  '[1]Hoja 1'!$S:$S, $A60,
  '[1]Hoja 1'!$R:$R, "&gt;="&amp;INT($CG$1),
  '[1]Hoja 1'!$R:$R, "&lt;"&amp;INT($CH$1+1)
)</f>
        <v>0</v>
      </c>
      <c r="CF60" s="1">
        <f t="shared" si="54"/>
        <v>0</v>
      </c>
      <c r="CG60" s="9">
        <f t="shared" si="55"/>
        <v>0</v>
      </c>
      <c r="CH60" s="10">
        <f t="shared" si="56"/>
        <v>0</v>
      </c>
      <c r="CI60" s="1">
        <f>SUMIFS(
  '[1]Hoja 1'!$M:$M,
  '[1]Hoja 1'!$S:$S, $A60,
  '[1]Hoja 1'!$R:$R, "&gt;="&amp;INT($CK$1),
  '[1]Hoja 1'!$R:$R, "&lt;"&amp;INT($CL$1+1)
)</f>
        <v>0</v>
      </c>
      <c r="CJ60" s="1">
        <f t="shared" si="57"/>
        <v>0</v>
      </c>
      <c r="CK60" s="9">
        <f t="shared" si="58"/>
        <v>0</v>
      </c>
      <c r="CL60" s="10">
        <f t="shared" si="59"/>
        <v>0</v>
      </c>
      <c r="CM60" s="1">
        <f>SUMIFS(
  '[1]Hoja 1'!$M:$M,
  '[1]Hoja 1'!$S:$S, $A60,
  '[1]Hoja 1'!$R:$R, "&gt;="&amp;INT($CO$1),
  '[1]Hoja 1'!$R:$R, "&lt;"&amp;INT($CP$1+1)
)</f>
        <v>0</v>
      </c>
      <c r="CN60" s="1">
        <f t="shared" si="60"/>
        <v>0</v>
      </c>
      <c r="CO60" s="9">
        <f t="shared" si="61"/>
        <v>0</v>
      </c>
      <c r="CP60" s="10">
        <f t="shared" si="62"/>
        <v>0</v>
      </c>
      <c r="CQ60" s="1">
        <f>SUMIFS(
  '[1]Hoja 1'!$M:$M,
  '[1]Hoja 1'!$S:$S, $A60,
  '[1]Hoja 1'!$R:$R, "&gt;="&amp;INT($CS$1),
  '[1]Hoja 1'!$R:$R, "&lt;"&amp;INT($CT$1+1)
)</f>
        <v>0</v>
      </c>
      <c r="CR60" s="1">
        <f t="shared" si="63"/>
        <v>0</v>
      </c>
      <c r="CS60" s="9">
        <f t="shared" si="64"/>
        <v>0</v>
      </c>
      <c r="CT60" s="10">
        <f t="shared" si="65"/>
        <v>0</v>
      </c>
      <c r="CU60" s="1">
        <f>SUMIFS(
  '[1]Hoja 1'!$M:$M,
  '[1]Hoja 1'!$S:$S, $A60,
  '[1]Hoja 1'!$R:$R, "&gt;="&amp;INT($CW$1),
  '[1]Hoja 1'!$R:$R, "&lt;"&amp;INT($CX$1+1)
)</f>
        <v>0</v>
      </c>
      <c r="CV60" s="1">
        <f t="shared" si="66"/>
        <v>0</v>
      </c>
      <c r="CW60" s="9">
        <f t="shared" si="67"/>
        <v>0</v>
      </c>
      <c r="CX60" s="10">
        <f t="shared" si="68"/>
        <v>0</v>
      </c>
      <c r="CY60" s="1">
        <f>SUMIFS(
  '[1]Hoja 1'!$M:$M,
  '[1]Hoja 1'!$S:$S, $A60,
  '[1]Hoja 1'!$R:$R, "&gt;="&amp;INT($DA$1),
  '[1]Hoja 1'!$R:$R, "&lt;"&amp;INT($DB$1+1)
)</f>
        <v>0</v>
      </c>
      <c r="CZ60" s="1">
        <f t="shared" si="69"/>
        <v>0</v>
      </c>
      <c r="DA60" s="9">
        <f t="shared" si="70"/>
        <v>0</v>
      </c>
      <c r="DB60" s="10">
        <f t="shared" si="71"/>
        <v>0</v>
      </c>
      <c r="DC60" s="1">
        <f>SUMIFS(
  '[1]Hoja 1'!$M:$M,
  '[1]Hoja 1'!$S:$S, $A60,
  '[1]Hoja 1'!$R:$R, "&gt;="&amp;INT($DE$1),
  '[1]Hoja 1'!$R:$R, "&lt;"&amp;INT($DF$1+1)
)</f>
        <v>0</v>
      </c>
      <c r="DD60" s="1">
        <f t="shared" si="72"/>
        <v>0</v>
      </c>
      <c r="DE60" s="9">
        <f t="shared" si="73"/>
        <v>0</v>
      </c>
      <c r="DF60" s="10">
        <f t="shared" si="74"/>
        <v>0</v>
      </c>
      <c r="DG60" s="1">
        <f>SUMIFS(
  '[1]Hoja 1'!$M:$M,
  '[1]Hoja 1'!$S:$S, $A60,
  '[1]Hoja 1'!$R:$R, "&gt;="&amp;INT($DI$1),
  '[1]Hoja 1'!$R:$R, "&lt;"&amp;INT($DJ$1+1)
)</f>
        <v>0</v>
      </c>
      <c r="DH60" s="1">
        <f t="shared" si="75"/>
        <v>0</v>
      </c>
      <c r="DI60" s="9">
        <f t="shared" si="76"/>
        <v>0</v>
      </c>
      <c r="DJ60" s="10">
        <f t="shared" si="77"/>
        <v>0</v>
      </c>
      <c r="DK60" s="1">
        <f>SUMIFS(
  '[1]Hoja 1'!$M:$M,
  '[1]Hoja 1'!$S:$S, $A60,
  '[1]Hoja 1'!$R:$R, "&gt;="&amp;INT($DM$1),
  '[1]Hoja 1'!$R:$R, "&lt;"&amp;INT($DN$1+1)
)</f>
        <v>0</v>
      </c>
      <c r="DL60" s="1">
        <f t="shared" si="78"/>
        <v>0</v>
      </c>
      <c r="DM60" s="9">
        <f t="shared" si="79"/>
        <v>0</v>
      </c>
      <c r="DN60" s="10">
        <f t="shared" si="80"/>
        <v>0</v>
      </c>
      <c r="DO60" s="1">
        <f>SUMIFS(
  '[1]Hoja 1'!$M:$M,
  '[1]Hoja 1'!$S:$S, $A60,
  '[1]Hoja 1'!$R:$R, "&gt;="&amp;INT($DQ$1),
  '[1]Hoja 1'!$R:$R, "&lt;"&amp;INT($DR$1+1)
)</f>
        <v>0</v>
      </c>
      <c r="DP60" s="1">
        <f t="shared" si="81"/>
        <v>0</v>
      </c>
      <c r="DQ60" s="9">
        <f t="shared" si="82"/>
        <v>0</v>
      </c>
      <c r="DR60" s="10">
        <f t="shared" si="83"/>
        <v>0</v>
      </c>
    </row>
    <row r="61" spans="1:122" x14ac:dyDescent="0.25">
      <c r="A61" s="5">
        <v>209011</v>
      </c>
      <c r="B61" s="6" t="s">
        <v>5</v>
      </c>
      <c r="C61" s="1">
        <f>SUMIFS(
  '[1]Hoja 1'!$M:$M,
  '[1]Hoja 1'!$S:$S, $A61,
  '[1]Hoja 1'!$R:$R, "&gt;="&amp;INT($E$1),
  '[1]Hoja 1'!$R:$R, "&lt;"&amp;INT($F$1+1)
)</f>
        <v>0</v>
      </c>
      <c r="D61" s="1" t="str">
        <f>""</f>
        <v/>
      </c>
      <c r="F61" s="2"/>
      <c r="G61" s="1">
        <f>SUMIFS(
  '[1]Hoja 1'!$M:$M,
  '[1]Hoja 1'!$S:$S, $A61,
  '[1]Hoja 1'!$R:$R, "&gt;="&amp;INT($I$1),
  '[1]Hoja 1'!$R:$R, "&lt;"&amp;INT($J$1+1)
)</f>
        <v>2</v>
      </c>
      <c r="H61" s="1">
        <f t="shared" si="84"/>
        <v>1</v>
      </c>
      <c r="I61" s="1"/>
      <c r="J61" s="2"/>
      <c r="K61" s="1">
        <f>SUMIFS(
  '[1]Hoja 1'!$M:$M,
  '[1]Hoja 1'!$S:$S, $A61,
  '[1]Hoja 1'!$R:$R, "&gt;="&amp;INT($M$1),
  '[1]Hoja 1'!$R:$R, "&lt;"&amp;INT($N$1+1)
)</f>
        <v>0</v>
      </c>
      <c r="L61" s="1">
        <f t="shared" si="0"/>
        <v>1</v>
      </c>
      <c r="M61" s="9">
        <f t="shared" si="1"/>
        <v>-1.7718585822512662</v>
      </c>
      <c r="N61" s="10">
        <f t="shared" si="2"/>
        <v>3.7718585822512662</v>
      </c>
      <c r="O61" s="1">
        <f>SUMIFS(
  '[1]Hoja 1'!$M:$M,
  '[1]Hoja 1'!$S:$S, $A61,
  '[1]Hoja 1'!$R:$R, "&gt;="&amp;INT($Q$1),
  '[1]Hoja 1'!$R:$R, "&lt;"&amp;INT($R$1+1)
)</f>
        <v>0</v>
      </c>
      <c r="P61" s="1">
        <f t="shared" si="3"/>
        <v>0</v>
      </c>
      <c r="Q61" s="9">
        <f t="shared" si="4"/>
        <v>-0.96</v>
      </c>
      <c r="R61" s="10">
        <f t="shared" si="5"/>
        <v>2.96</v>
      </c>
      <c r="S61" s="1">
        <f>SUMIFS(
  '[1]Hoja 1'!$M:$M,
  '[1]Hoja 1'!$S:$S, $A61,
  '[1]Hoja 1'!$R:$R, "&gt;="&amp;INT($U$1),
  '[1]Hoja 1'!$R:$R, "&lt;"&amp;INT($V$1+1)
)</f>
        <v>0</v>
      </c>
      <c r="T61" s="1">
        <f t="shared" si="6"/>
        <v>0</v>
      </c>
      <c r="U61" s="9">
        <f t="shared" si="7"/>
        <v>-1.6003332986183429</v>
      </c>
      <c r="V61" s="10">
        <f t="shared" si="8"/>
        <v>1.6003332986183429</v>
      </c>
      <c r="W61" s="1">
        <f>SUMIFS(
  '[1]Hoja 1'!$M:$M,
  '[1]Hoja 1'!$S:$S, $A61,
  '[1]Hoja 1'!$R:$R, "&gt;="&amp;INT($Y$1),
  '[1]Hoja 1'!$R:$R, "&lt;"&amp;INT($Z$1+1)
)</f>
        <v>1</v>
      </c>
      <c r="X61" s="1">
        <f t="shared" si="9"/>
        <v>1</v>
      </c>
      <c r="Y61" s="9">
        <f t="shared" si="10"/>
        <v>-0.23313962442755565</v>
      </c>
      <c r="Z61" s="10">
        <f t="shared" si="11"/>
        <v>2.2331396244275554</v>
      </c>
      <c r="AA61" s="1">
        <f>SUMIFS(
  '[1]Hoja 1'!$M:$M,
  '[1]Hoja 1'!$S:$S, $A61,
  '[1]Hoja 1'!$R:$R, "&gt;="&amp;INT($AC$1),
  '[1]Hoja 1'!$R:$R, "&lt;"&amp;INT($AD$1+1)
)</f>
        <v>3</v>
      </c>
      <c r="AB61" s="1">
        <f t="shared" si="12"/>
        <v>2</v>
      </c>
      <c r="AC61" s="9">
        <f t="shared" si="13"/>
        <v>1.1234613528200825</v>
      </c>
      <c r="AD61" s="10">
        <f t="shared" si="14"/>
        <v>2.9382785656012116</v>
      </c>
      <c r="AE61" s="1">
        <f>SUMIFS(
  '[1]Hoja 1'!$M:$M,
  '[1]Hoja 1'!$S:$S, $A61,
  '[1]Hoja 1'!$R:$R, "&gt;="&amp;INT($AG$1),
  '[1]Hoja 1'!$R:$R, "&lt;"&amp;INT($AH$1+1)
)</f>
        <v>0</v>
      </c>
      <c r="AF61" s="1">
        <f t="shared" si="15"/>
        <v>2</v>
      </c>
      <c r="AG61" s="9">
        <f t="shared" si="16"/>
        <v>0.16658788048076878</v>
      </c>
      <c r="AH61" s="10">
        <f t="shared" si="17"/>
        <v>4.1170419614799005</v>
      </c>
      <c r="AI61" s="1">
        <f>SUMIFS(
  '[1]Hoja 1'!$M:$M,
  '[1]Hoja 1'!$S:$S, $A61,
  '[1]Hoja 1'!$R:$R, "&gt;="&amp;INT($AK$1),
  '[1]Hoja 1'!$R:$R, "&lt;"&amp;INT($AL$1+1)
)</f>
        <v>0</v>
      </c>
      <c r="AJ61" s="1">
        <f t="shared" si="18"/>
        <v>0</v>
      </c>
      <c r="AK61" s="9">
        <f t="shared" si="19"/>
        <v>-1.8334121195192312</v>
      </c>
      <c r="AL61" s="10">
        <f t="shared" si="20"/>
        <v>2.117041961479901</v>
      </c>
      <c r="AM61" s="1">
        <f>SUMIFS(
  '[1]Hoja 1'!$M:$M,
  '[1]Hoja 1'!$S:$S, $A61,
  '[1]Hoja 1'!$R:$R, "&gt;="&amp;INT($AO$1),
  '[1]Hoja 1'!$R:$R, "&lt;"&amp;INT($AP$1+1)
)</f>
        <v>0</v>
      </c>
      <c r="AN61" s="1">
        <f t="shared" si="21"/>
        <v>0</v>
      </c>
      <c r="AO61" s="9">
        <f t="shared" si="22"/>
        <v>-1.7530772943598349</v>
      </c>
      <c r="AP61" s="10">
        <f t="shared" si="23"/>
        <v>2.0203217565526534</v>
      </c>
      <c r="AQ61" s="1">
        <f>SUMIFS(
  '[1]Hoja 1'!$M:$M,
  '[1]Hoja 1'!$S:$S, $A61,
  '[1]Hoja 1'!$R:$R, "&gt;="&amp;INT($AS$1),
  '[1]Hoja 1'!$R:$R, "&lt;"&amp;INT($AT$1+1)
)</f>
        <v>0</v>
      </c>
      <c r="AR61" s="1">
        <f t="shared" si="24"/>
        <v>0</v>
      </c>
      <c r="AS61" s="9">
        <f t="shared" si="25"/>
        <v>-1.3148079707698763</v>
      </c>
      <c r="AT61" s="10">
        <f t="shared" si="26"/>
        <v>1.47</v>
      </c>
      <c r="AU61" s="1">
        <f>SUMIFS(
  '[1]Hoja 1'!$M:$M,
  '[1]Hoja 1'!$S:$S, $A61,
  '[1]Hoja 1'!$R:$R, "&gt;="&amp;INT($AW$1),
  '[1]Hoja 1'!$R:$R, "&lt;"&amp;INT($AX$1+1)
)</f>
        <v>0</v>
      </c>
      <c r="AV61" s="1">
        <f t="shared" si="27"/>
        <v>0</v>
      </c>
      <c r="AW61" s="9">
        <f t="shared" si="28"/>
        <v>0</v>
      </c>
      <c r="AX61" s="10">
        <f t="shared" si="29"/>
        <v>0</v>
      </c>
      <c r="AY61" s="1">
        <f>SUMIFS(
  '[1]Hoja 1'!$M:$M,
  '[1]Hoja 1'!$S:$S, $A61,
  '[1]Hoja 1'!$R:$R, "&gt;="&amp;INT($BA$1),
  '[1]Hoja 1'!$R:$R, "&lt;"&amp;INT($BB$1+1)
)</f>
        <v>0</v>
      </c>
      <c r="AZ61" s="1">
        <f t="shared" si="30"/>
        <v>0</v>
      </c>
      <c r="BA61" s="9">
        <f t="shared" si="31"/>
        <v>0</v>
      </c>
      <c r="BB61" s="10">
        <f t="shared" si="32"/>
        <v>0</v>
      </c>
      <c r="BC61" s="1">
        <f>SUMIFS(
  '[1]Hoja 1'!$M:$M,
  '[1]Hoja 1'!$S:$S, $A61,
  '[1]Hoja 1'!$R:$R, "&gt;="&amp;INT($BE$1),
  '[1]Hoja 1'!$R:$R, "&lt;"&amp;INT($BF$1+1)
)</f>
        <v>0</v>
      </c>
      <c r="BD61" s="1">
        <f t="shared" si="33"/>
        <v>0</v>
      </c>
      <c r="BE61" s="9">
        <f t="shared" si="34"/>
        <v>0</v>
      </c>
      <c r="BF61" s="10">
        <f t="shared" si="35"/>
        <v>0</v>
      </c>
      <c r="BG61" s="1">
        <f>SUMIFS(
  '[1]Hoja 1'!$M:$M,
  '[1]Hoja 1'!$S:$S, $A61,
  '[1]Hoja 1'!$R:$R, "&gt;="&amp;INT($BI$1),
  '[1]Hoja 1'!$R:$R, "&lt;"&amp;INT($BJ$1+1)
)</f>
        <v>0</v>
      </c>
      <c r="BH61" s="1">
        <f t="shared" si="36"/>
        <v>0</v>
      </c>
      <c r="BI61" s="9">
        <f t="shared" si="37"/>
        <v>0</v>
      </c>
      <c r="BJ61" s="10">
        <f t="shared" si="38"/>
        <v>0</v>
      </c>
      <c r="BK61" s="1">
        <f>SUMIFS(
  '[1]Hoja 1'!$M:$M,
  '[1]Hoja 1'!$S:$S, $A61,
  '[1]Hoja 1'!$R:$R, "&gt;="&amp;INT($BM$1),
  '[1]Hoja 1'!$R:$R, "&lt;"&amp;INT($BN$1+1)
)</f>
        <v>0</v>
      </c>
      <c r="BL61" s="1">
        <f t="shared" si="39"/>
        <v>0</v>
      </c>
      <c r="BM61" s="9">
        <f t="shared" si="40"/>
        <v>0</v>
      </c>
      <c r="BN61" s="10">
        <f t="shared" si="41"/>
        <v>0</v>
      </c>
      <c r="BO61" s="1">
        <f>SUMIFS(
  '[1]Hoja 1'!$M:$M,
  '[1]Hoja 1'!$S:$S, $A61,
  '[1]Hoja 1'!$R:$R, "&gt;="&amp;INT($BQ$1),
  '[1]Hoja 1'!$R:$R, "&lt;"&amp;INT($BR$1+1)
)</f>
        <v>0</v>
      </c>
      <c r="BP61" s="1">
        <f t="shared" si="42"/>
        <v>0</v>
      </c>
      <c r="BQ61" s="9">
        <f t="shared" si="43"/>
        <v>0</v>
      </c>
      <c r="BR61" s="10">
        <f t="shared" si="44"/>
        <v>0</v>
      </c>
      <c r="BS61" s="1">
        <f>SUMIFS(
  '[1]Hoja 1'!$M:$M,
  '[1]Hoja 1'!$S:$S, $A61,
  '[1]Hoja 1'!$R:$R, "&gt;="&amp;INT($BU$1),
  '[1]Hoja 1'!$R:$R, "&lt;"&amp;INT($BV$1+1)
)</f>
        <v>0</v>
      </c>
      <c r="BT61" s="1">
        <f t="shared" si="45"/>
        <v>0</v>
      </c>
      <c r="BU61" s="9">
        <f t="shared" si="46"/>
        <v>0</v>
      </c>
      <c r="BV61" s="10">
        <f t="shared" si="47"/>
        <v>0</v>
      </c>
      <c r="BW61" s="1">
        <f>SUMIFS(
  '[1]Hoja 1'!$M:$M,
  '[1]Hoja 1'!$S:$S, $A61,
  '[1]Hoja 1'!$R:$R, "&gt;="&amp;INT($BY$1),
  '[1]Hoja 1'!$R:$R, "&lt;"&amp;INT($BZ$1+1)
)</f>
        <v>0</v>
      </c>
      <c r="BX61" s="1">
        <f t="shared" si="48"/>
        <v>0</v>
      </c>
      <c r="BY61" s="9">
        <f t="shared" si="49"/>
        <v>0</v>
      </c>
      <c r="BZ61" s="10">
        <f t="shared" si="50"/>
        <v>0</v>
      </c>
      <c r="CA61" s="1">
        <f>SUMIFS(
  '[1]Hoja 1'!$M:$M,
  '[1]Hoja 1'!$S:$S, $A61,
  '[1]Hoja 1'!$R:$R, "&gt;="&amp;INT($CC$1),
  '[1]Hoja 1'!$R:$R, "&lt;"&amp;INT($CD$1+1)
)</f>
        <v>0</v>
      </c>
      <c r="CB61" s="1">
        <f t="shared" si="51"/>
        <v>0</v>
      </c>
      <c r="CC61" s="9">
        <f t="shared" si="52"/>
        <v>0</v>
      </c>
      <c r="CD61" s="10">
        <f t="shared" si="53"/>
        <v>0</v>
      </c>
      <c r="CE61" s="1">
        <f>SUMIFS(
  '[1]Hoja 1'!$M:$M,
  '[1]Hoja 1'!$S:$S, $A61,
  '[1]Hoja 1'!$R:$R, "&gt;="&amp;INT($CG$1),
  '[1]Hoja 1'!$R:$R, "&lt;"&amp;INT($CH$1+1)
)</f>
        <v>0</v>
      </c>
      <c r="CF61" s="1">
        <f t="shared" si="54"/>
        <v>0</v>
      </c>
      <c r="CG61" s="9">
        <f t="shared" si="55"/>
        <v>0</v>
      </c>
      <c r="CH61" s="10">
        <f t="shared" si="56"/>
        <v>0</v>
      </c>
      <c r="CI61" s="1">
        <f>SUMIFS(
  '[1]Hoja 1'!$M:$M,
  '[1]Hoja 1'!$S:$S, $A61,
  '[1]Hoja 1'!$R:$R, "&gt;="&amp;INT($CK$1),
  '[1]Hoja 1'!$R:$R, "&lt;"&amp;INT($CL$1+1)
)</f>
        <v>0</v>
      </c>
      <c r="CJ61" s="1">
        <f t="shared" si="57"/>
        <v>0</v>
      </c>
      <c r="CK61" s="9">
        <f t="shared" si="58"/>
        <v>0</v>
      </c>
      <c r="CL61" s="10">
        <f t="shared" si="59"/>
        <v>0</v>
      </c>
      <c r="CM61" s="1">
        <f>SUMIFS(
  '[1]Hoja 1'!$M:$M,
  '[1]Hoja 1'!$S:$S, $A61,
  '[1]Hoja 1'!$R:$R, "&gt;="&amp;INT($CO$1),
  '[1]Hoja 1'!$R:$R, "&lt;"&amp;INT($CP$1+1)
)</f>
        <v>0</v>
      </c>
      <c r="CN61" s="1">
        <f t="shared" si="60"/>
        <v>0</v>
      </c>
      <c r="CO61" s="9">
        <f t="shared" si="61"/>
        <v>0</v>
      </c>
      <c r="CP61" s="10">
        <f t="shared" si="62"/>
        <v>0</v>
      </c>
      <c r="CQ61" s="1">
        <f>SUMIFS(
  '[1]Hoja 1'!$M:$M,
  '[1]Hoja 1'!$S:$S, $A61,
  '[1]Hoja 1'!$R:$R, "&gt;="&amp;INT($CS$1),
  '[1]Hoja 1'!$R:$R, "&lt;"&amp;INT($CT$1+1)
)</f>
        <v>0</v>
      </c>
      <c r="CR61" s="1">
        <f t="shared" si="63"/>
        <v>0</v>
      </c>
      <c r="CS61" s="9">
        <f t="shared" si="64"/>
        <v>0</v>
      </c>
      <c r="CT61" s="10">
        <f t="shared" si="65"/>
        <v>0</v>
      </c>
      <c r="CU61" s="1">
        <f>SUMIFS(
  '[1]Hoja 1'!$M:$M,
  '[1]Hoja 1'!$S:$S, $A61,
  '[1]Hoja 1'!$R:$R, "&gt;="&amp;INT($CW$1),
  '[1]Hoja 1'!$R:$R, "&lt;"&amp;INT($CX$1+1)
)</f>
        <v>0</v>
      </c>
      <c r="CV61" s="1">
        <f t="shared" si="66"/>
        <v>0</v>
      </c>
      <c r="CW61" s="9">
        <f t="shared" si="67"/>
        <v>0</v>
      </c>
      <c r="CX61" s="10">
        <f t="shared" si="68"/>
        <v>0</v>
      </c>
      <c r="CY61" s="1">
        <f>SUMIFS(
  '[1]Hoja 1'!$M:$M,
  '[1]Hoja 1'!$S:$S, $A61,
  '[1]Hoja 1'!$R:$R, "&gt;="&amp;INT($DA$1),
  '[1]Hoja 1'!$R:$R, "&lt;"&amp;INT($DB$1+1)
)</f>
        <v>0</v>
      </c>
      <c r="CZ61" s="1">
        <f t="shared" si="69"/>
        <v>0</v>
      </c>
      <c r="DA61" s="9">
        <f t="shared" si="70"/>
        <v>0</v>
      </c>
      <c r="DB61" s="10">
        <f t="shared" si="71"/>
        <v>0</v>
      </c>
      <c r="DC61" s="1">
        <f>SUMIFS(
  '[1]Hoja 1'!$M:$M,
  '[1]Hoja 1'!$S:$S, $A61,
  '[1]Hoja 1'!$R:$R, "&gt;="&amp;INT($DE$1),
  '[1]Hoja 1'!$R:$R, "&lt;"&amp;INT($DF$1+1)
)</f>
        <v>0</v>
      </c>
      <c r="DD61" s="1">
        <f t="shared" si="72"/>
        <v>0</v>
      </c>
      <c r="DE61" s="9">
        <f t="shared" si="73"/>
        <v>0</v>
      </c>
      <c r="DF61" s="10">
        <f t="shared" si="74"/>
        <v>0</v>
      </c>
      <c r="DG61" s="1">
        <f>SUMIFS(
  '[1]Hoja 1'!$M:$M,
  '[1]Hoja 1'!$S:$S, $A61,
  '[1]Hoja 1'!$R:$R, "&gt;="&amp;INT($DI$1),
  '[1]Hoja 1'!$R:$R, "&lt;"&amp;INT($DJ$1+1)
)</f>
        <v>0</v>
      </c>
      <c r="DH61" s="1">
        <f t="shared" si="75"/>
        <v>0</v>
      </c>
      <c r="DI61" s="9">
        <f t="shared" si="76"/>
        <v>0</v>
      </c>
      <c r="DJ61" s="10">
        <f t="shared" si="77"/>
        <v>0</v>
      </c>
      <c r="DK61" s="1">
        <f>SUMIFS(
  '[1]Hoja 1'!$M:$M,
  '[1]Hoja 1'!$S:$S, $A61,
  '[1]Hoja 1'!$R:$R, "&gt;="&amp;INT($DM$1),
  '[1]Hoja 1'!$R:$R, "&lt;"&amp;INT($DN$1+1)
)</f>
        <v>0</v>
      </c>
      <c r="DL61" s="1">
        <f t="shared" si="78"/>
        <v>0</v>
      </c>
      <c r="DM61" s="9">
        <f t="shared" si="79"/>
        <v>0</v>
      </c>
      <c r="DN61" s="10">
        <f t="shared" si="80"/>
        <v>0</v>
      </c>
      <c r="DO61" s="1">
        <f>SUMIFS(
  '[1]Hoja 1'!$M:$M,
  '[1]Hoja 1'!$S:$S, $A61,
  '[1]Hoja 1'!$R:$R, "&gt;="&amp;INT($DQ$1),
  '[1]Hoja 1'!$R:$R, "&lt;"&amp;INT($DR$1+1)
)</f>
        <v>0</v>
      </c>
      <c r="DP61" s="1">
        <f t="shared" si="81"/>
        <v>0</v>
      </c>
      <c r="DQ61" s="9">
        <f t="shared" si="82"/>
        <v>0</v>
      </c>
      <c r="DR61" s="10">
        <f t="shared" si="83"/>
        <v>0</v>
      </c>
    </row>
    <row r="62" spans="1:122" x14ac:dyDescent="0.25">
      <c r="A62" s="5">
        <v>209012</v>
      </c>
      <c r="B62" s="6" t="s">
        <v>64</v>
      </c>
      <c r="C62" s="1">
        <f>SUMIFS(
  '[1]Hoja 1'!$M:$M,
  '[1]Hoja 1'!$S:$S, $A62,
  '[1]Hoja 1'!$R:$R, "&gt;="&amp;INT($E$1),
  '[1]Hoja 1'!$R:$R, "&lt;"&amp;INT($F$1+1)
)</f>
        <v>4</v>
      </c>
      <c r="D62" s="1" t="str">
        <f>""</f>
        <v/>
      </c>
      <c r="F62" s="2"/>
      <c r="G62" s="1">
        <f>SUMIFS(
  '[1]Hoja 1'!$M:$M,
  '[1]Hoja 1'!$S:$S, $A62,
  '[1]Hoja 1'!$R:$R, "&gt;="&amp;INT($I$1),
  '[1]Hoja 1'!$R:$R, "&lt;"&amp;INT($J$1+1)
)</f>
        <v>15</v>
      </c>
      <c r="H62" s="1">
        <f t="shared" si="84"/>
        <v>9.5</v>
      </c>
      <c r="I62" s="1"/>
      <c r="J62" s="2"/>
      <c r="K62" s="1">
        <f>SUMIFS(
  '[1]Hoja 1'!$M:$M,
  '[1]Hoja 1'!$S:$S, $A62,
  '[1]Hoja 1'!$R:$R, "&gt;="&amp;INT($M$1),
  '[1]Hoja 1'!$R:$R, "&lt;"&amp;INT($N$1+1)
)</f>
        <v>5</v>
      </c>
      <c r="L62" s="1">
        <f t="shared" si="0"/>
        <v>10</v>
      </c>
      <c r="M62" s="9">
        <f t="shared" si="1"/>
        <v>-4.5522575568191463</v>
      </c>
      <c r="N62" s="10">
        <f t="shared" si="2"/>
        <v>24.552257556819146</v>
      </c>
      <c r="O62" s="1">
        <f>SUMIFS(
  '[1]Hoja 1'!$M:$M,
  '[1]Hoja 1'!$S:$S, $A62,
  '[1]Hoja 1'!$R:$R, "&gt;="&amp;INT($Q$1),
  '[1]Hoja 1'!$R:$R, "&lt;"&amp;INT($R$1+1)
)</f>
        <v>2</v>
      </c>
      <c r="P62" s="1">
        <f t="shared" si="3"/>
        <v>3.5</v>
      </c>
      <c r="Q62" s="9">
        <f t="shared" si="4"/>
        <v>-0.47882308913235327</v>
      </c>
      <c r="R62" s="10">
        <f t="shared" si="5"/>
        <v>20.478823089132355</v>
      </c>
      <c r="S62" s="1">
        <f>SUMIFS(
  '[1]Hoja 1'!$M:$M,
  '[1]Hoja 1'!$S:$S, $A62,
  '[1]Hoja 1'!$R:$R, "&gt;="&amp;INT($U$1),
  '[1]Hoja 1'!$R:$R, "&lt;"&amp;INT($V$1+1)
)</f>
        <v>4</v>
      </c>
      <c r="T62" s="1">
        <f t="shared" si="6"/>
        <v>3</v>
      </c>
      <c r="U62" s="9">
        <f t="shared" si="7"/>
        <v>-5.65512564900129</v>
      </c>
      <c r="V62" s="10">
        <f t="shared" si="8"/>
        <v>11.65512564900129</v>
      </c>
      <c r="W62" s="1">
        <f>SUMIFS(
  '[1]Hoja 1'!$M:$M,
  '[1]Hoja 1'!$S:$S, $A62,
  '[1]Hoja 1'!$R:$R, "&gt;="&amp;INT($Y$1),
  '[1]Hoja 1'!$R:$R, "&lt;"&amp;INT($Z$1+1)
)</f>
        <v>6</v>
      </c>
      <c r="X62" s="1">
        <f t="shared" si="9"/>
        <v>5</v>
      </c>
      <c r="Y62" s="9">
        <f t="shared" si="10"/>
        <v>-0.56533017888426773</v>
      </c>
      <c r="Z62" s="10">
        <f t="shared" si="11"/>
        <v>10.565330178884267</v>
      </c>
      <c r="AA62" s="1">
        <f>SUMIFS(
  '[1]Hoja 1'!$M:$M,
  '[1]Hoja 1'!$S:$S, $A62,
  '[1]Hoja 1'!$R:$R, "&gt;="&amp;INT($AC$1),
  '[1]Hoja 1'!$R:$R, "&lt;"&amp;INT($AD$1+1)
)</f>
        <v>10</v>
      </c>
      <c r="AB62" s="1">
        <f t="shared" si="12"/>
        <v>8</v>
      </c>
      <c r="AC62" s="9">
        <f t="shared" si="13"/>
        <v>5.4071637151567007</v>
      </c>
      <c r="AD62" s="10">
        <f t="shared" si="14"/>
        <v>10.926357234970922</v>
      </c>
      <c r="AE62" s="1">
        <f>SUMIFS(
  '[1]Hoja 1'!$M:$M,
  '[1]Hoja 1'!$S:$S, $A62,
  '[1]Hoja 1'!$R:$R, "&gt;="&amp;INT($AG$1),
  '[1]Hoja 1'!$R:$R, "&lt;"&amp;INT($AH$1+1)
)</f>
        <v>0</v>
      </c>
      <c r="AF62" s="1">
        <f t="shared" si="15"/>
        <v>5</v>
      </c>
      <c r="AG62" s="9">
        <f t="shared" si="16"/>
        <v>-0.43877927480055057</v>
      </c>
      <c r="AH62" s="10">
        <f t="shared" si="17"/>
        <v>11.275061752684191</v>
      </c>
      <c r="AI62" s="1">
        <f>SUMIFS(
  '[1]Hoja 1'!$M:$M,
  '[1]Hoja 1'!$S:$S, $A62,
  '[1]Hoja 1'!$R:$R, "&gt;="&amp;INT($AK$1),
  '[1]Hoja 1'!$R:$R, "&lt;"&amp;INT($AL$1+1)
)</f>
        <v>0</v>
      </c>
      <c r="AJ62" s="1">
        <f t="shared" si="18"/>
        <v>0</v>
      </c>
      <c r="AK62" s="9">
        <f t="shared" si="19"/>
        <v>-5.2956283857536679</v>
      </c>
      <c r="AL62" s="10">
        <f t="shared" si="20"/>
        <v>6.0938876480180255</v>
      </c>
      <c r="AM62" s="1">
        <f>SUMIFS(
  '[1]Hoja 1'!$M:$M,
  '[1]Hoja 1'!$S:$S, $A62,
  '[1]Hoja 1'!$R:$R, "&gt;="&amp;INT($AO$1),
  '[1]Hoja 1'!$R:$R, "&lt;"&amp;INT($AP$1+1)
)</f>
        <v>0</v>
      </c>
      <c r="AN62" s="1">
        <f t="shared" si="21"/>
        <v>0</v>
      </c>
      <c r="AO62" s="9">
        <f t="shared" si="22"/>
        <v>-5.1110546856788766</v>
      </c>
      <c r="AP62" s="10">
        <f t="shared" si="23"/>
        <v>5.8527144699418461</v>
      </c>
      <c r="AQ62" s="1">
        <f>SUMIFS(
  '[1]Hoja 1'!$M:$M,
  '[1]Hoja 1'!$S:$S, $A62,
  '[1]Hoja 1'!$R:$R, "&gt;="&amp;INT($AS$1),
  '[1]Hoja 1'!$R:$R, "&lt;"&amp;INT($AT$1+1)
)</f>
        <v>0</v>
      </c>
      <c r="AR62" s="1">
        <f t="shared" si="24"/>
        <v>0</v>
      </c>
      <c r="AS62" s="9">
        <f t="shared" si="25"/>
        <v>-4.3826932358995876</v>
      </c>
      <c r="AT62" s="10">
        <f t="shared" si="26"/>
        <v>4.9000000000000004</v>
      </c>
      <c r="AU62" s="1">
        <f>SUMIFS(
  '[1]Hoja 1'!$M:$M,
  '[1]Hoja 1'!$S:$S, $A62,
  '[1]Hoja 1'!$R:$R, "&gt;="&amp;INT($AW$1),
  '[1]Hoja 1'!$R:$R, "&lt;"&amp;INT($AX$1+1)
)</f>
        <v>0</v>
      </c>
      <c r="AV62" s="1">
        <f t="shared" si="27"/>
        <v>0</v>
      </c>
      <c r="AW62" s="9">
        <f t="shared" si="28"/>
        <v>0</v>
      </c>
      <c r="AX62" s="10">
        <f t="shared" si="29"/>
        <v>0</v>
      </c>
      <c r="AY62" s="1">
        <f>SUMIFS(
  '[1]Hoja 1'!$M:$M,
  '[1]Hoja 1'!$S:$S, $A62,
  '[1]Hoja 1'!$R:$R, "&gt;="&amp;INT($BA$1),
  '[1]Hoja 1'!$R:$R, "&lt;"&amp;INT($BB$1+1)
)</f>
        <v>0</v>
      </c>
      <c r="AZ62" s="1">
        <f t="shared" si="30"/>
        <v>0</v>
      </c>
      <c r="BA62" s="9">
        <f t="shared" si="31"/>
        <v>0</v>
      </c>
      <c r="BB62" s="10">
        <f t="shared" si="32"/>
        <v>0</v>
      </c>
      <c r="BC62" s="1">
        <f>SUMIFS(
  '[1]Hoja 1'!$M:$M,
  '[1]Hoja 1'!$S:$S, $A62,
  '[1]Hoja 1'!$R:$R, "&gt;="&amp;INT($BE$1),
  '[1]Hoja 1'!$R:$R, "&lt;"&amp;INT($BF$1+1)
)</f>
        <v>0</v>
      </c>
      <c r="BD62" s="1">
        <f t="shared" si="33"/>
        <v>0</v>
      </c>
      <c r="BE62" s="9">
        <f t="shared" si="34"/>
        <v>0</v>
      </c>
      <c r="BF62" s="10">
        <f t="shared" si="35"/>
        <v>0</v>
      </c>
      <c r="BG62" s="1">
        <f>SUMIFS(
  '[1]Hoja 1'!$M:$M,
  '[1]Hoja 1'!$S:$S, $A62,
  '[1]Hoja 1'!$R:$R, "&gt;="&amp;INT($BI$1),
  '[1]Hoja 1'!$R:$R, "&lt;"&amp;INT($BJ$1+1)
)</f>
        <v>0</v>
      </c>
      <c r="BH62" s="1">
        <f t="shared" si="36"/>
        <v>0</v>
      </c>
      <c r="BI62" s="9">
        <f t="shared" si="37"/>
        <v>0</v>
      </c>
      <c r="BJ62" s="10">
        <f t="shared" si="38"/>
        <v>0</v>
      </c>
      <c r="BK62" s="1">
        <f>SUMIFS(
  '[1]Hoja 1'!$M:$M,
  '[1]Hoja 1'!$S:$S, $A62,
  '[1]Hoja 1'!$R:$R, "&gt;="&amp;INT($BM$1),
  '[1]Hoja 1'!$R:$R, "&lt;"&amp;INT($BN$1+1)
)</f>
        <v>0</v>
      </c>
      <c r="BL62" s="1">
        <f t="shared" si="39"/>
        <v>0</v>
      </c>
      <c r="BM62" s="9">
        <f t="shared" si="40"/>
        <v>0</v>
      </c>
      <c r="BN62" s="10">
        <f t="shared" si="41"/>
        <v>0</v>
      </c>
      <c r="BO62" s="1">
        <f>SUMIFS(
  '[1]Hoja 1'!$M:$M,
  '[1]Hoja 1'!$S:$S, $A62,
  '[1]Hoja 1'!$R:$R, "&gt;="&amp;INT($BQ$1),
  '[1]Hoja 1'!$R:$R, "&lt;"&amp;INT($BR$1+1)
)</f>
        <v>0</v>
      </c>
      <c r="BP62" s="1">
        <f t="shared" si="42"/>
        <v>0</v>
      </c>
      <c r="BQ62" s="9">
        <f t="shared" si="43"/>
        <v>0</v>
      </c>
      <c r="BR62" s="10">
        <f t="shared" si="44"/>
        <v>0</v>
      </c>
      <c r="BS62" s="1">
        <f>SUMIFS(
  '[1]Hoja 1'!$M:$M,
  '[1]Hoja 1'!$S:$S, $A62,
  '[1]Hoja 1'!$R:$R, "&gt;="&amp;INT($BU$1),
  '[1]Hoja 1'!$R:$R, "&lt;"&amp;INT($BV$1+1)
)</f>
        <v>0</v>
      </c>
      <c r="BT62" s="1">
        <f t="shared" si="45"/>
        <v>0</v>
      </c>
      <c r="BU62" s="9">
        <f t="shared" si="46"/>
        <v>0</v>
      </c>
      <c r="BV62" s="10">
        <f t="shared" si="47"/>
        <v>0</v>
      </c>
      <c r="BW62" s="1">
        <f>SUMIFS(
  '[1]Hoja 1'!$M:$M,
  '[1]Hoja 1'!$S:$S, $A62,
  '[1]Hoja 1'!$R:$R, "&gt;="&amp;INT($BY$1),
  '[1]Hoja 1'!$R:$R, "&lt;"&amp;INT($BZ$1+1)
)</f>
        <v>0</v>
      </c>
      <c r="BX62" s="1">
        <f t="shared" si="48"/>
        <v>0</v>
      </c>
      <c r="BY62" s="9">
        <f t="shared" si="49"/>
        <v>0</v>
      </c>
      <c r="BZ62" s="10">
        <f t="shared" si="50"/>
        <v>0</v>
      </c>
      <c r="CA62" s="1">
        <f>SUMIFS(
  '[1]Hoja 1'!$M:$M,
  '[1]Hoja 1'!$S:$S, $A62,
  '[1]Hoja 1'!$R:$R, "&gt;="&amp;INT($CC$1),
  '[1]Hoja 1'!$R:$R, "&lt;"&amp;INT($CD$1+1)
)</f>
        <v>0</v>
      </c>
      <c r="CB62" s="1">
        <f t="shared" si="51"/>
        <v>0</v>
      </c>
      <c r="CC62" s="9">
        <f t="shared" si="52"/>
        <v>0</v>
      </c>
      <c r="CD62" s="10">
        <f t="shared" si="53"/>
        <v>0</v>
      </c>
      <c r="CE62" s="1">
        <f>SUMIFS(
  '[1]Hoja 1'!$M:$M,
  '[1]Hoja 1'!$S:$S, $A62,
  '[1]Hoja 1'!$R:$R, "&gt;="&amp;INT($CG$1),
  '[1]Hoja 1'!$R:$R, "&lt;"&amp;INT($CH$1+1)
)</f>
        <v>0</v>
      </c>
      <c r="CF62" s="1">
        <f t="shared" si="54"/>
        <v>0</v>
      </c>
      <c r="CG62" s="9">
        <f t="shared" si="55"/>
        <v>0</v>
      </c>
      <c r="CH62" s="10">
        <f t="shared" si="56"/>
        <v>0</v>
      </c>
      <c r="CI62" s="1">
        <f>SUMIFS(
  '[1]Hoja 1'!$M:$M,
  '[1]Hoja 1'!$S:$S, $A62,
  '[1]Hoja 1'!$R:$R, "&gt;="&amp;INT($CK$1),
  '[1]Hoja 1'!$R:$R, "&lt;"&amp;INT($CL$1+1)
)</f>
        <v>0</v>
      </c>
      <c r="CJ62" s="1">
        <f t="shared" si="57"/>
        <v>0</v>
      </c>
      <c r="CK62" s="9">
        <f t="shared" si="58"/>
        <v>0</v>
      </c>
      <c r="CL62" s="10">
        <f t="shared" si="59"/>
        <v>0</v>
      </c>
      <c r="CM62" s="1">
        <f>SUMIFS(
  '[1]Hoja 1'!$M:$M,
  '[1]Hoja 1'!$S:$S, $A62,
  '[1]Hoja 1'!$R:$R, "&gt;="&amp;INT($CO$1),
  '[1]Hoja 1'!$R:$R, "&lt;"&amp;INT($CP$1+1)
)</f>
        <v>0</v>
      </c>
      <c r="CN62" s="1">
        <f t="shared" si="60"/>
        <v>0</v>
      </c>
      <c r="CO62" s="9">
        <f t="shared" si="61"/>
        <v>0</v>
      </c>
      <c r="CP62" s="10">
        <f t="shared" si="62"/>
        <v>0</v>
      </c>
      <c r="CQ62" s="1">
        <f>SUMIFS(
  '[1]Hoja 1'!$M:$M,
  '[1]Hoja 1'!$S:$S, $A62,
  '[1]Hoja 1'!$R:$R, "&gt;="&amp;INT($CS$1),
  '[1]Hoja 1'!$R:$R, "&lt;"&amp;INT($CT$1+1)
)</f>
        <v>0</v>
      </c>
      <c r="CR62" s="1">
        <f t="shared" si="63"/>
        <v>0</v>
      </c>
      <c r="CS62" s="9">
        <f t="shared" si="64"/>
        <v>0</v>
      </c>
      <c r="CT62" s="10">
        <f t="shared" si="65"/>
        <v>0</v>
      </c>
      <c r="CU62" s="1">
        <f>SUMIFS(
  '[1]Hoja 1'!$M:$M,
  '[1]Hoja 1'!$S:$S, $A62,
  '[1]Hoja 1'!$R:$R, "&gt;="&amp;INT($CW$1),
  '[1]Hoja 1'!$R:$R, "&lt;"&amp;INT($CX$1+1)
)</f>
        <v>0</v>
      </c>
      <c r="CV62" s="1">
        <f t="shared" si="66"/>
        <v>0</v>
      </c>
      <c r="CW62" s="9">
        <f t="shared" si="67"/>
        <v>0</v>
      </c>
      <c r="CX62" s="10">
        <f t="shared" si="68"/>
        <v>0</v>
      </c>
      <c r="CY62" s="1">
        <f>SUMIFS(
  '[1]Hoja 1'!$M:$M,
  '[1]Hoja 1'!$S:$S, $A62,
  '[1]Hoja 1'!$R:$R, "&gt;="&amp;INT($DA$1),
  '[1]Hoja 1'!$R:$R, "&lt;"&amp;INT($DB$1+1)
)</f>
        <v>0</v>
      </c>
      <c r="CZ62" s="1">
        <f t="shared" si="69"/>
        <v>0</v>
      </c>
      <c r="DA62" s="9">
        <f t="shared" si="70"/>
        <v>0</v>
      </c>
      <c r="DB62" s="10">
        <f t="shared" si="71"/>
        <v>0</v>
      </c>
      <c r="DC62" s="1">
        <f>SUMIFS(
  '[1]Hoja 1'!$M:$M,
  '[1]Hoja 1'!$S:$S, $A62,
  '[1]Hoja 1'!$R:$R, "&gt;="&amp;INT($DE$1),
  '[1]Hoja 1'!$R:$R, "&lt;"&amp;INT($DF$1+1)
)</f>
        <v>0</v>
      </c>
      <c r="DD62" s="1">
        <f t="shared" si="72"/>
        <v>0</v>
      </c>
      <c r="DE62" s="9">
        <f t="shared" si="73"/>
        <v>0</v>
      </c>
      <c r="DF62" s="10">
        <f t="shared" si="74"/>
        <v>0</v>
      </c>
      <c r="DG62" s="1">
        <f>SUMIFS(
  '[1]Hoja 1'!$M:$M,
  '[1]Hoja 1'!$S:$S, $A62,
  '[1]Hoja 1'!$R:$R, "&gt;="&amp;INT($DI$1),
  '[1]Hoja 1'!$R:$R, "&lt;"&amp;INT($DJ$1+1)
)</f>
        <v>0</v>
      </c>
      <c r="DH62" s="1">
        <f t="shared" si="75"/>
        <v>0</v>
      </c>
      <c r="DI62" s="9">
        <f t="shared" si="76"/>
        <v>0</v>
      </c>
      <c r="DJ62" s="10">
        <f t="shared" si="77"/>
        <v>0</v>
      </c>
      <c r="DK62" s="1">
        <f>SUMIFS(
  '[1]Hoja 1'!$M:$M,
  '[1]Hoja 1'!$S:$S, $A62,
  '[1]Hoja 1'!$R:$R, "&gt;="&amp;INT($DM$1),
  '[1]Hoja 1'!$R:$R, "&lt;"&amp;INT($DN$1+1)
)</f>
        <v>0</v>
      </c>
      <c r="DL62" s="1">
        <f t="shared" si="78"/>
        <v>0</v>
      </c>
      <c r="DM62" s="9">
        <f t="shared" si="79"/>
        <v>0</v>
      </c>
      <c r="DN62" s="10">
        <f t="shared" si="80"/>
        <v>0</v>
      </c>
      <c r="DO62" s="1">
        <f>SUMIFS(
  '[1]Hoja 1'!$M:$M,
  '[1]Hoja 1'!$S:$S, $A62,
  '[1]Hoja 1'!$R:$R, "&gt;="&amp;INT($DQ$1),
  '[1]Hoja 1'!$R:$R, "&lt;"&amp;INT($DR$1+1)
)</f>
        <v>0</v>
      </c>
      <c r="DP62" s="1">
        <f t="shared" si="81"/>
        <v>0</v>
      </c>
      <c r="DQ62" s="9">
        <f t="shared" si="82"/>
        <v>0</v>
      </c>
      <c r="DR62" s="10">
        <f t="shared" si="83"/>
        <v>0</v>
      </c>
    </row>
    <row r="63" spans="1:122" x14ac:dyDescent="0.25">
      <c r="A63" s="5">
        <v>209016</v>
      </c>
      <c r="B63" s="6" t="s">
        <v>65</v>
      </c>
      <c r="C63" s="1">
        <f>SUMIFS(
  '[1]Hoja 1'!$M:$M,
  '[1]Hoja 1'!$S:$S, $A63,
  '[1]Hoja 1'!$R:$R, "&gt;="&amp;INT($E$1),
  '[1]Hoja 1'!$R:$R, "&lt;"&amp;INT($F$1+1)
)</f>
        <v>3</v>
      </c>
      <c r="D63" s="1" t="str">
        <f>""</f>
        <v/>
      </c>
      <c r="F63" s="2"/>
      <c r="G63" s="1">
        <f>SUMIFS(
  '[1]Hoja 1'!$M:$M,
  '[1]Hoja 1'!$S:$S, $A63,
  '[1]Hoja 1'!$R:$R, "&gt;="&amp;INT($I$1),
  '[1]Hoja 1'!$R:$R, "&lt;"&amp;INT($J$1+1)
)</f>
        <v>3</v>
      </c>
      <c r="H63" s="1">
        <f t="shared" si="84"/>
        <v>3</v>
      </c>
      <c r="I63" s="1"/>
      <c r="J63" s="2"/>
      <c r="K63" s="1">
        <f>SUMIFS(
  '[1]Hoja 1'!$M:$M,
  '[1]Hoja 1'!$S:$S, $A63,
  '[1]Hoja 1'!$R:$R, "&gt;="&amp;INT($M$1),
  '[1]Hoja 1'!$R:$R, "&lt;"&amp;INT($N$1+1)
)</f>
        <v>10</v>
      </c>
      <c r="L63" s="1">
        <f t="shared" si="0"/>
        <v>6.5</v>
      </c>
      <c r="M63" s="9">
        <f t="shared" si="1"/>
        <v>1.649247481060284</v>
      </c>
      <c r="N63" s="10">
        <f t="shared" si="2"/>
        <v>11.350752518939716</v>
      </c>
      <c r="O63" s="1">
        <f>SUMIFS(
  '[1]Hoja 1'!$M:$M,
  '[1]Hoja 1'!$S:$S, $A63,
  '[1]Hoja 1'!$R:$R, "&gt;="&amp;INT($Q$1),
  '[1]Hoja 1'!$R:$R, "&lt;"&amp;INT($R$1+1)
)</f>
        <v>6</v>
      </c>
      <c r="P63" s="1">
        <f t="shared" si="3"/>
        <v>8</v>
      </c>
      <c r="Q63" s="9">
        <f t="shared" si="4"/>
        <v>1.0435909244265789</v>
      </c>
      <c r="R63" s="10">
        <f t="shared" si="5"/>
        <v>11.956409075573422</v>
      </c>
      <c r="S63" s="1">
        <f>SUMIFS(
  '[1]Hoja 1'!$M:$M,
  '[1]Hoja 1'!$S:$S, $A63,
  '[1]Hoja 1'!$R:$R, "&gt;="&amp;INT($U$1),
  '[1]Hoja 1'!$R:$R, "&lt;"&amp;INT($V$1+1)
)</f>
        <v>0</v>
      </c>
      <c r="T63" s="1">
        <f t="shared" si="6"/>
        <v>3</v>
      </c>
      <c r="U63" s="9">
        <f t="shared" si="7"/>
        <v>-2.6225587294991115</v>
      </c>
      <c r="V63" s="10">
        <f t="shared" si="8"/>
        <v>8.6225587294991115</v>
      </c>
      <c r="W63" s="1">
        <f>SUMIFS(
  '[1]Hoja 1'!$M:$M,
  '[1]Hoja 1'!$S:$S, $A63,
  '[1]Hoja 1'!$R:$R, "&gt;="&amp;INT($Y$1),
  '[1]Hoja 1'!$R:$R, "&lt;"&amp;INT($Z$1+1)
)</f>
        <v>6</v>
      </c>
      <c r="X63" s="1">
        <f t="shared" si="9"/>
        <v>3</v>
      </c>
      <c r="Y63" s="9">
        <f t="shared" si="10"/>
        <v>-3.5679499592084793</v>
      </c>
      <c r="Z63" s="10">
        <f t="shared" si="11"/>
        <v>9.5679499592084802</v>
      </c>
      <c r="AA63" s="1">
        <f>SUMIFS(
  '[1]Hoja 1'!$M:$M,
  '[1]Hoja 1'!$S:$S, $A63,
  '[1]Hoja 1'!$R:$R, "&gt;="&amp;INT($AC$1),
  '[1]Hoja 1'!$R:$R, "&lt;"&amp;INT($AD$1+1)
)</f>
        <v>2</v>
      </c>
      <c r="AB63" s="1">
        <f t="shared" si="12"/>
        <v>4</v>
      </c>
      <c r="AC63" s="9">
        <f t="shared" si="13"/>
        <v>-0.6794358634348221</v>
      </c>
      <c r="AD63" s="10">
        <f t="shared" si="14"/>
        <v>9.3077050910288275</v>
      </c>
      <c r="AE63" s="1">
        <f>SUMIFS(
  '[1]Hoja 1'!$M:$M,
  '[1]Hoja 1'!$S:$S, $A63,
  '[1]Hoja 1'!$R:$R, "&gt;="&amp;INT($AG$1),
  '[1]Hoja 1'!$R:$R, "&lt;"&amp;INT($AH$1+1)
)</f>
        <v>0</v>
      </c>
      <c r="AF63" s="1">
        <f t="shared" si="15"/>
        <v>1</v>
      </c>
      <c r="AG63" s="9">
        <f t="shared" si="16"/>
        <v>-3.512258857822764</v>
      </c>
      <c r="AH63" s="10">
        <f t="shared" si="17"/>
        <v>6.1547130537661037</v>
      </c>
      <c r="AI63" s="1">
        <f>SUMIFS(
  '[1]Hoja 1'!$M:$M,
  '[1]Hoja 1'!$S:$S, $A63,
  '[1]Hoja 1'!$R:$R, "&gt;="&amp;INT($AK$1),
  '[1]Hoja 1'!$R:$R, "&lt;"&amp;INT($AL$1+1)
)</f>
        <v>0</v>
      </c>
      <c r="AJ63" s="1">
        <f t="shared" si="18"/>
        <v>0</v>
      </c>
      <c r="AK63" s="9">
        <f t="shared" si="19"/>
        <v>-3.6668242390384624</v>
      </c>
      <c r="AL63" s="10">
        <f t="shared" si="20"/>
        <v>4.234083922959802</v>
      </c>
      <c r="AM63" s="1">
        <f>SUMIFS(
  '[1]Hoja 1'!$M:$M,
  '[1]Hoja 1'!$S:$S, $A63,
  '[1]Hoja 1'!$R:$R, "&gt;="&amp;INT($AO$1),
  '[1]Hoja 1'!$R:$R, "&lt;"&amp;INT($AP$1+1)
)</f>
        <v>0</v>
      </c>
      <c r="AN63" s="1">
        <f t="shared" si="21"/>
        <v>0</v>
      </c>
      <c r="AO63" s="9">
        <f t="shared" si="22"/>
        <v>-1.7530772943598349</v>
      </c>
      <c r="AP63" s="10">
        <f t="shared" si="23"/>
        <v>1.8765571312024227</v>
      </c>
      <c r="AQ63" s="1">
        <f>SUMIFS(
  '[1]Hoja 1'!$M:$M,
  '[1]Hoja 1'!$S:$S, $A63,
  '[1]Hoja 1'!$R:$R, "&gt;="&amp;INT($AS$1),
  '[1]Hoja 1'!$R:$R, "&lt;"&amp;INT($AT$1+1)
)</f>
        <v>0</v>
      </c>
      <c r="AR63" s="1">
        <f t="shared" si="24"/>
        <v>0</v>
      </c>
      <c r="AS63" s="9">
        <f t="shared" si="25"/>
        <v>-0.87653864717991747</v>
      </c>
      <c r="AT63" s="10">
        <f t="shared" si="26"/>
        <v>0.98</v>
      </c>
      <c r="AU63" s="1">
        <f>SUMIFS(
  '[1]Hoja 1'!$M:$M,
  '[1]Hoja 1'!$S:$S, $A63,
  '[1]Hoja 1'!$R:$R, "&gt;="&amp;INT($AW$1),
  '[1]Hoja 1'!$R:$R, "&lt;"&amp;INT($AX$1+1)
)</f>
        <v>0</v>
      </c>
      <c r="AV63" s="1">
        <f t="shared" si="27"/>
        <v>0</v>
      </c>
      <c r="AW63" s="9">
        <f t="shared" si="28"/>
        <v>0</v>
      </c>
      <c r="AX63" s="10">
        <f t="shared" si="29"/>
        <v>0</v>
      </c>
      <c r="AY63" s="1">
        <f>SUMIFS(
  '[1]Hoja 1'!$M:$M,
  '[1]Hoja 1'!$S:$S, $A63,
  '[1]Hoja 1'!$R:$R, "&gt;="&amp;INT($BA$1),
  '[1]Hoja 1'!$R:$R, "&lt;"&amp;INT($BB$1+1)
)</f>
        <v>0</v>
      </c>
      <c r="AZ63" s="1">
        <f t="shared" si="30"/>
        <v>0</v>
      </c>
      <c r="BA63" s="9">
        <f t="shared" si="31"/>
        <v>0</v>
      </c>
      <c r="BB63" s="10">
        <f t="shared" si="32"/>
        <v>0</v>
      </c>
      <c r="BC63" s="1">
        <f>SUMIFS(
  '[1]Hoja 1'!$M:$M,
  '[1]Hoja 1'!$S:$S, $A63,
  '[1]Hoja 1'!$R:$R, "&gt;="&amp;INT($BE$1),
  '[1]Hoja 1'!$R:$R, "&lt;"&amp;INT($BF$1+1)
)</f>
        <v>0</v>
      </c>
      <c r="BD63" s="1">
        <f t="shared" si="33"/>
        <v>0</v>
      </c>
      <c r="BE63" s="9">
        <f t="shared" si="34"/>
        <v>0</v>
      </c>
      <c r="BF63" s="10">
        <f t="shared" si="35"/>
        <v>0</v>
      </c>
      <c r="BG63" s="1">
        <f>SUMIFS(
  '[1]Hoja 1'!$M:$M,
  '[1]Hoja 1'!$S:$S, $A63,
  '[1]Hoja 1'!$R:$R, "&gt;="&amp;INT($BI$1),
  '[1]Hoja 1'!$R:$R, "&lt;"&amp;INT($BJ$1+1)
)</f>
        <v>0</v>
      </c>
      <c r="BH63" s="1">
        <f t="shared" si="36"/>
        <v>0</v>
      </c>
      <c r="BI63" s="9">
        <f t="shared" si="37"/>
        <v>0</v>
      </c>
      <c r="BJ63" s="10">
        <f t="shared" si="38"/>
        <v>0</v>
      </c>
      <c r="BK63" s="1">
        <f>SUMIFS(
  '[1]Hoja 1'!$M:$M,
  '[1]Hoja 1'!$S:$S, $A63,
  '[1]Hoja 1'!$R:$R, "&gt;="&amp;INT($BM$1),
  '[1]Hoja 1'!$R:$R, "&lt;"&amp;INT($BN$1+1)
)</f>
        <v>0</v>
      </c>
      <c r="BL63" s="1">
        <f t="shared" si="39"/>
        <v>0</v>
      </c>
      <c r="BM63" s="9">
        <f t="shared" si="40"/>
        <v>0</v>
      </c>
      <c r="BN63" s="10">
        <f t="shared" si="41"/>
        <v>0</v>
      </c>
      <c r="BO63" s="1">
        <f>SUMIFS(
  '[1]Hoja 1'!$M:$M,
  '[1]Hoja 1'!$S:$S, $A63,
  '[1]Hoja 1'!$R:$R, "&gt;="&amp;INT($BQ$1),
  '[1]Hoja 1'!$R:$R, "&lt;"&amp;INT($BR$1+1)
)</f>
        <v>0</v>
      </c>
      <c r="BP63" s="1">
        <f t="shared" si="42"/>
        <v>0</v>
      </c>
      <c r="BQ63" s="9">
        <f t="shared" si="43"/>
        <v>0</v>
      </c>
      <c r="BR63" s="10">
        <f t="shared" si="44"/>
        <v>0</v>
      </c>
      <c r="BS63" s="1">
        <f>SUMIFS(
  '[1]Hoja 1'!$M:$M,
  '[1]Hoja 1'!$S:$S, $A63,
  '[1]Hoja 1'!$R:$R, "&gt;="&amp;INT($BU$1),
  '[1]Hoja 1'!$R:$R, "&lt;"&amp;INT($BV$1+1)
)</f>
        <v>0</v>
      </c>
      <c r="BT63" s="1">
        <f t="shared" si="45"/>
        <v>0</v>
      </c>
      <c r="BU63" s="9">
        <f t="shared" si="46"/>
        <v>0</v>
      </c>
      <c r="BV63" s="10">
        <f t="shared" si="47"/>
        <v>0</v>
      </c>
      <c r="BW63" s="1">
        <f>SUMIFS(
  '[1]Hoja 1'!$M:$M,
  '[1]Hoja 1'!$S:$S, $A63,
  '[1]Hoja 1'!$R:$R, "&gt;="&amp;INT($BY$1),
  '[1]Hoja 1'!$R:$R, "&lt;"&amp;INT($BZ$1+1)
)</f>
        <v>0</v>
      </c>
      <c r="BX63" s="1">
        <f t="shared" si="48"/>
        <v>0</v>
      </c>
      <c r="BY63" s="9">
        <f t="shared" si="49"/>
        <v>0</v>
      </c>
      <c r="BZ63" s="10">
        <f t="shared" si="50"/>
        <v>0</v>
      </c>
      <c r="CA63" s="1">
        <f>SUMIFS(
  '[1]Hoja 1'!$M:$M,
  '[1]Hoja 1'!$S:$S, $A63,
  '[1]Hoja 1'!$R:$R, "&gt;="&amp;INT($CC$1),
  '[1]Hoja 1'!$R:$R, "&lt;"&amp;INT($CD$1+1)
)</f>
        <v>0</v>
      </c>
      <c r="CB63" s="1">
        <f t="shared" si="51"/>
        <v>0</v>
      </c>
      <c r="CC63" s="9">
        <f t="shared" si="52"/>
        <v>0</v>
      </c>
      <c r="CD63" s="10">
        <f t="shared" si="53"/>
        <v>0</v>
      </c>
      <c r="CE63" s="1">
        <f>SUMIFS(
  '[1]Hoja 1'!$M:$M,
  '[1]Hoja 1'!$S:$S, $A63,
  '[1]Hoja 1'!$R:$R, "&gt;="&amp;INT($CG$1),
  '[1]Hoja 1'!$R:$R, "&lt;"&amp;INT($CH$1+1)
)</f>
        <v>0</v>
      </c>
      <c r="CF63" s="1">
        <f t="shared" si="54"/>
        <v>0</v>
      </c>
      <c r="CG63" s="9">
        <f t="shared" si="55"/>
        <v>0</v>
      </c>
      <c r="CH63" s="10">
        <f t="shared" si="56"/>
        <v>0</v>
      </c>
      <c r="CI63" s="1">
        <f>SUMIFS(
  '[1]Hoja 1'!$M:$M,
  '[1]Hoja 1'!$S:$S, $A63,
  '[1]Hoja 1'!$R:$R, "&gt;="&amp;INT($CK$1),
  '[1]Hoja 1'!$R:$R, "&lt;"&amp;INT($CL$1+1)
)</f>
        <v>0</v>
      </c>
      <c r="CJ63" s="1">
        <f t="shared" si="57"/>
        <v>0</v>
      </c>
      <c r="CK63" s="9">
        <f t="shared" si="58"/>
        <v>0</v>
      </c>
      <c r="CL63" s="10">
        <f t="shared" si="59"/>
        <v>0</v>
      </c>
      <c r="CM63" s="1">
        <f>SUMIFS(
  '[1]Hoja 1'!$M:$M,
  '[1]Hoja 1'!$S:$S, $A63,
  '[1]Hoja 1'!$R:$R, "&gt;="&amp;INT($CO$1),
  '[1]Hoja 1'!$R:$R, "&lt;"&amp;INT($CP$1+1)
)</f>
        <v>0</v>
      </c>
      <c r="CN63" s="1">
        <f t="shared" si="60"/>
        <v>0</v>
      </c>
      <c r="CO63" s="9">
        <f t="shared" si="61"/>
        <v>0</v>
      </c>
      <c r="CP63" s="10">
        <f t="shared" si="62"/>
        <v>0</v>
      </c>
      <c r="CQ63" s="1">
        <f>SUMIFS(
  '[1]Hoja 1'!$M:$M,
  '[1]Hoja 1'!$S:$S, $A63,
  '[1]Hoja 1'!$R:$R, "&gt;="&amp;INT($CS$1),
  '[1]Hoja 1'!$R:$R, "&lt;"&amp;INT($CT$1+1)
)</f>
        <v>0</v>
      </c>
      <c r="CR63" s="1">
        <f t="shared" si="63"/>
        <v>0</v>
      </c>
      <c r="CS63" s="9">
        <f t="shared" si="64"/>
        <v>0</v>
      </c>
      <c r="CT63" s="10">
        <f t="shared" si="65"/>
        <v>0</v>
      </c>
      <c r="CU63" s="1">
        <f>SUMIFS(
  '[1]Hoja 1'!$M:$M,
  '[1]Hoja 1'!$S:$S, $A63,
  '[1]Hoja 1'!$R:$R, "&gt;="&amp;INT($CW$1),
  '[1]Hoja 1'!$R:$R, "&lt;"&amp;INT($CX$1+1)
)</f>
        <v>0</v>
      </c>
      <c r="CV63" s="1">
        <f t="shared" si="66"/>
        <v>0</v>
      </c>
      <c r="CW63" s="9">
        <f t="shared" si="67"/>
        <v>0</v>
      </c>
      <c r="CX63" s="10">
        <f t="shared" si="68"/>
        <v>0</v>
      </c>
      <c r="CY63" s="1">
        <f>SUMIFS(
  '[1]Hoja 1'!$M:$M,
  '[1]Hoja 1'!$S:$S, $A63,
  '[1]Hoja 1'!$R:$R, "&gt;="&amp;INT($DA$1),
  '[1]Hoja 1'!$R:$R, "&lt;"&amp;INT($DB$1+1)
)</f>
        <v>0</v>
      </c>
      <c r="CZ63" s="1">
        <f t="shared" si="69"/>
        <v>0</v>
      </c>
      <c r="DA63" s="9">
        <f t="shared" si="70"/>
        <v>0</v>
      </c>
      <c r="DB63" s="10">
        <f t="shared" si="71"/>
        <v>0</v>
      </c>
      <c r="DC63" s="1">
        <f>SUMIFS(
  '[1]Hoja 1'!$M:$M,
  '[1]Hoja 1'!$S:$S, $A63,
  '[1]Hoja 1'!$R:$R, "&gt;="&amp;INT($DE$1),
  '[1]Hoja 1'!$R:$R, "&lt;"&amp;INT($DF$1+1)
)</f>
        <v>0</v>
      </c>
      <c r="DD63" s="1">
        <f t="shared" si="72"/>
        <v>0</v>
      </c>
      <c r="DE63" s="9">
        <f t="shared" si="73"/>
        <v>0</v>
      </c>
      <c r="DF63" s="10">
        <f t="shared" si="74"/>
        <v>0</v>
      </c>
      <c r="DG63" s="1">
        <f>SUMIFS(
  '[1]Hoja 1'!$M:$M,
  '[1]Hoja 1'!$S:$S, $A63,
  '[1]Hoja 1'!$R:$R, "&gt;="&amp;INT($DI$1),
  '[1]Hoja 1'!$R:$R, "&lt;"&amp;INT($DJ$1+1)
)</f>
        <v>0</v>
      </c>
      <c r="DH63" s="1">
        <f t="shared" si="75"/>
        <v>0</v>
      </c>
      <c r="DI63" s="9">
        <f t="shared" si="76"/>
        <v>0</v>
      </c>
      <c r="DJ63" s="10">
        <f t="shared" si="77"/>
        <v>0</v>
      </c>
      <c r="DK63" s="1">
        <f>SUMIFS(
  '[1]Hoja 1'!$M:$M,
  '[1]Hoja 1'!$S:$S, $A63,
  '[1]Hoja 1'!$R:$R, "&gt;="&amp;INT($DM$1),
  '[1]Hoja 1'!$R:$R, "&lt;"&amp;INT($DN$1+1)
)</f>
        <v>0</v>
      </c>
      <c r="DL63" s="1">
        <f t="shared" si="78"/>
        <v>0</v>
      </c>
      <c r="DM63" s="9">
        <f t="shared" si="79"/>
        <v>0</v>
      </c>
      <c r="DN63" s="10">
        <f t="shared" si="80"/>
        <v>0</v>
      </c>
      <c r="DO63" s="1">
        <f>SUMIFS(
  '[1]Hoja 1'!$M:$M,
  '[1]Hoja 1'!$S:$S, $A63,
  '[1]Hoja 1'!$R:$R, "&gt;="&amp;INT($DQ$1),
  '[1]Hoja 1'!$R:$R, "&lt;"&amp;INT($DR$1+1)
)</f>
        <v>0</v>
      </c>
      <c r="DP63" s="1">
        <f t="shared" si="81"/>
        <v>0</v>
      </c>
      <c r="DQ63" s="9">
        <f t="shared" si="82"/>
        <v>0</v>
      </c>
      <c r="DR63" s="10">
        <f t="shared" si="83"/>
        <v>0</v>
      </c>
    </row>
    <row r="64" spans="1:122" x14ac:dyDescent="0.25">
      <c r="A64" s="5">
        <v>209017</v>
      </c>
      <c r="B64" s="6" t="s">
        <v>66</v>
      </c>
      <c r="C64" s="1">
        <f>SUMIFS(
  '[1]Hoja 1'!$M:$M,
  '[1]Hoja 1'!$S:$S, $A64,
  '[1]Hoja 1'!$R:$R, "&gt;="&amp;INT($E$1),
  '[1]Hoja 1'!$R:$R, "&lt;"&amp;INT($F$1+1)
)</f>
        <v>0</v>
      </c>
      <c r="D64" s="1" t="str">
        <f>""</f>
        <v/>
      </c>
      <c r="F64" s="2"/>
      <c r="G64" s="1">
        <f>SUMIFS(
  '[1]Hoja 1'!$M:$M,
  '[1]Hoja 1'!$S:$S, $A64,
  '[1]Hoja 1'!$R:$R, "&gt;="&amp;INT($I$1),
  '[1]Hoja 1'!$R:$R, "&lt;"&amp;INT($J$1+1)
)</f>
        <v>3</v>
      </c>
      <c r="H64" s="1">
        <f t="shared" si="84"/>
        <v>1.5</v>
      </c>
      <c r="I64" s="1"/>
      <c r="J64" s="2"/>
      <c r="K64" s="1">
        <f>SUMIFS(
  '[1]Hoja 1'!$M:$M,
  '[1]Hoja 1'!$S:$S, $A64,
  '[1]Hoja 1'!$R:$R, "&gt;="&amp;INT($M$1),
  '[1]Hoja 1'!$R:$R, "&lt;"&amp;INT($N$1+1)
)</f>
        <v>1</v>
      </c>
      <c r="L64" s="1">
        <f t="shared" si="0"/>
        <v>2</v>
      </c>
      <c r="M64" s="9">
        <f t="shared" si="1"/>
        <v>-1.4648232278140831</v>
      </c>
      <c r="N64" s="10">
        <f t="shared" si="2"/>
        <v>5.4648232278140831</v>
      </c>
      <c r="O64" s="1">
        <f>SUMIFS(
  '[1]Hoja 1'!$M:$M,
  '[1]Hoja 1'!$S:$S, $A64,
  '[1]Hoja 1'!$R:$R, "&gt;="&amp;INT($Q$1),
  '[1]Hoja 1'!$R:$R, "&lt;"&amp;INT($R$1+1)
)</f>
        <v>1</v>
      </c>
      <c r="P64" s="1">
        <f t="shared" si="3"/>
        <v>1</v>
      </c>
      <c r="Q64" s="9">
        <f t="shared" si="4"/>
        <v>-0.46627924885511129</v>
      </c>
      <c r="R64" s="10">
        <f t="shared" si="5"/>
        <v>4.4662792488551109</v>
      </c>
      <c r="S64" s="1">
        <f>SUMIFS(
  '[1]Hoja 1'!$M:$M,
  '[1]Hoja 1'!$S:$S, $A64,
  '[1]Hoja 1'!$R:$R, "&gt;="&amp;INT($U$1),
  '[1]Hoja 1'!$R:$R, "&lt;"&amp;INT($V$1+1)
)</f>
        <v>3</v>
      </c>
      <c r="T64" s="1">
        <f t="shared" si="6"/>
        <v>2</v>
      </c>
      <c r="U64" s="9">
        <f t="shared" si="7"/>
        <v>-0.17300866695617811</v>
      </c>
      <c r="V64" s="10">
        <f t="shared" si="8"/>
        <v>4.1730086669561786</v>
      </c>
      <c r="W64" s="1">
        <f>SUMIFS(
  '[1]Hoja 1'!$M:$M,
  '[1]Hoja 1'!$S:$S, $A64,
  '[1]Hoja 1'!$R:$R, "&gt;="&amp;INT($Y$1),
  '[1]Hoja 1'!$R:$R, "&lt;"&amp;INT($Z$1+1)
)</f>
        <v>0</v>
      </c>
      <c r="X64" s="1">
        <f t="shared" si="9"/>
        <v>2</v>
      </c>
      <c r="Y64" s="9">
        <f t="shared" si="10"/>
        <v>-0.17300866695617811</v>
      </c>
      <c r="Z64" s="10">
        <f t="shared" si="11"/>
        <v>4.1730086669561786</v>
      </c>
      <c r="AA64" s="1">
        <f>SUMIFS(
  '[1]Hoja 1'!$M:$M,
  '[1]Hoja 1'!$S:$S, $A64,
  '[1]Hoja 1'!$R:$R, "&gt;="&amp;INT($AC$1),
  '[1]Hoja 1'!$R:$R, "&lt;"&amp;INT($AD$1+1)
)</f>
        <v>2</v>
      </c>
      <c r="AB64" s="1">
        <f t="shared" si="12"/>
        <v>1</v>
      </c>
      <c r="AC64" s="9">
        <f t="shared" si="13"/>
        <v>-1.0084023501280814</v>
      </c>
      <c r="AD64" s="10">
        <f t="shared" si="14"/>
        <v>3.3156496568637777</v>
      </c>
      <c r="AE64" s="1">
        <f>SUMIFS(
  '[1]Hoja 1'!$M:$M,
  '[1]Hoja 1'!$S:$S, $A64,
  '[1]Hoja 1'!$R:$R, "&gt;="&amp;INT($AG$1),
  '[1]Hoja 1'!$R:$R, "&lt;"&amp;INT($AH$1+1)
)</f>
        <v>0</v>
      </c>
      <c r="AF64" s="1">
        <f t="shared" si="15"/>
        <v>1</v>
      </c>
      <c r="AG64" s="9">
        <f t="shared" si="16"/>
        <v>-1.2347438331943104</v>
      </c>
      <c r="AH64" s="10">
        <f t="shared" si="17"/>
        <v>3.5773565268830518</v>
      </c>
      <c r="AI64" s="1">
        <f>SUMIFS(
  '[1]Hoja 1'!$M:$M,
  '[1]Hoja 1'!$S:$S, $A64,
  '[1]Hoja 1'!$R:$R, "&gt;="&amp;INT($AK$1),
  '[1]Hoja 1'!$R:$R, "&lt;"&amp;INT($AL$1+1)
)</f>
        <v>0</v>
      </c>
      <c r="AJ64" s="1">
        <f t="shared" si="18"/>
        <v>0</v>
      </c>
      <c r="AK64" s="9">
        <f t="shared" si="19"/>
        <v>-1.9103716915825568</v>
      </c>
      <c r="AL64" s="10">
        <f t="shared" si="20"/>
        <v>2.1730086669561781</v>
      </c>
      <c r="AM64" s="1">
        <f>SUMIFS(
  '[1]Hoja 1'!$M:$M,
  '[1]Hoja 1'!$S:$S, $A64,
  '[1]Hoja 1'!$R:$R, "&gt;="&amp;INT($AO$1),
  '[1]Hoja 1'!$R:$R, "&lt;"&amp;INT($AP$1+1)
)</f>
        <v>0</v>
      </c>
      <c r="AN64" s="1">
        <f t="shared" si="21"/>
        <v>0</v>
      </c>
      <c r="AO64" s="9">
        <f t="shared" si="22"/>
        <v>-1.3859292911256331</v>
      </c>
      <c r="AP64" s="10">
        <f t="shared" si="23"/>
        <v>1.6003332986183429</v>
      </c>
      <c r="AQ64" s="1">
        <f>SUMIFS(
  '[1]Hoja 1'!$M:$M,
  '[1]Hoja 1'!$S:$S, $A64,
  '[1]Hoja 1'!$R:$R, "&gt;="&amp;INT($AS$1),
  '[1]Hoja 1'!$R:$R, "&lt;"&amp;INT($AT$1+1)
)</f>
        <v>0</v>
      </c>
      <c r="AR64" s="1">
        <f t="shared" si="24"/>
        <v>0</v>
      </c>
      <c r="AS64" s="9">
        <f t="shared" si="25"/>
        <v>-0.87653864717991747</v>
      </c>
      <c r="AT64" s="10">
        <f t="shared" si="26"/>
        <v>0.98</v>
      </c>
      <c r="AU64" s="1">
        <f>SUMIFS(
  '[1]Hoja 1'!$M:$M,
  '[1]Hoja 1'!$S:$S, $A64,
  '[1]Hoja 1'!$R:$R, "&gt;="&amp;INT($AW$1),
  '[1]Hoja 1'!$R:$R, "&lt;"&amp;INT($AX$1+1)
)</f>
        <v>0</v>
      </c>
      <c r="AV64" s="1">
        <f t="shared" si="27"/>
        <v>0</v>
      </c>
      <c r="AW64" s="9">
        <f t="shared" si="28"/>
        <v>0</v>
      </c>
      <c r="AX64" s="10">
        <f t="shared" si="29"/>
        <v>0</v>
      </c>
      <c r="AY64" s="1">
        <f>SUMIFS(
  '[1]Hoja 1'!$M:$M,
  '[1]Hoja 1'!$S:$S, $A64,
  '[1]Hoja 1'!$R:$R, "&gt;="&amp;INT($BA$1),
  '[1]Hoja 1'!$R:$R, "&lt;"&amp;INT($BB$1+1)
)</f>
        <v>0</v>
      </c>
      <c r="AZ64" s="1">
        <f t="shared" si="30"/>
        <v>0</v>
      </c>
      <c r="BA64" s="9">
        <f t="shared" si="31"/>
        <v>0</v>
      </c>
      <c r="BB64" s="10">
        <f t="shared" si="32"/>
        <v>0</v>
      </c>
      <c r="BC64" s="1">
        <f>SUMIFS(
  '[1]Hoja 1'!$M:$M,
  '[1]Hoja 1'!$S:$S, $A64,
  '[1]Hoja 1'!$R:$R, "&gt;="&amp;INT($BE$1),
  '[1]Hoja 1'!$R:$R, "&lt;"&amp;INT($BF$1+1)
)</f>
        <v>0</v>
      </c>
      <c r="BD64" s="1">
        <f t="shared" si="33"/>
        <v>0</v>
      </c>
      <c r="BE64" s="9">
        <f t="shared" si="34"/>
        <v>0</v>
      </c>
      <c r="BF64" s="10">
        <f t="shared" si="35"/>
        <v>0</v>
      </c>
      <c r="BG64" s="1">
        <f>SUMIFS(
  '[1]Hoja 1'!$M:$M,
  '[1]Hoja 1'!$S:$S, $A64,
  '[1]Hoja 1'!$R:$R, "&gt;="&amp;INT($BI$1),
  '[1]Hoja 1'!$R:$R, "&lt;"&amp;INT($BJ$1+1)
)</f>
        <v>0</v>
      </c>
      <c r="BH64" s="1">
        <f t="shared" si="36"/>
        <v>0</v>
      </c>
      <c r="BI64" s="9">
        <f t="shared" si="37"/>
        <v>0</v>
      </c>
      <c r="BJ64" s="10">
        <f t="shared" si="38"/>
        <v>0</v>
      </c>
      <c r="BK64" s="1">
        <f>SUMIFS(
  '[1]Hoja 1'!$M:$M,
  '[1]Hoja 1'!$S:$S, $A64,
  '[1]Hoja 1'!$R:$R, "&gt;="&amp;INT($BM$1),
  '[1]Hoja 1'!$R:$R, "&lt;"&amp;INT($BN$1+1)
)</f>
        <v>0</v>
      </c>
      <c r="BL64" s="1">
        <f t="shared" si="39"/>
        <v>0</v>
      </c>
      <c r="BM64" s="9">
        <f t="shared" si="40"/>
        <v>0</v>
      </c>
      <c r="BN64" s="10">
        <f t="shared" si="41"/>
        <v>0</v>
      </c>
      <c r="BO64" s="1">
        <f>SUMIFS(
  '[1]Hoja 1'!$M:$M,
  '[1]Hoja 1'!$S:$S, $A64,
  '[1]Hoja 1'!$R:$R, "&gt;="&amp;INT($BQ$1),
  '[1]Hoja 1'!$R:$R, "&lt;"&amp;INT($BR$1+1)
)</f>
        <v>0</v>
      </c>
      <c r="BP64" s="1">
        <f t="shared" si="42"/>
        <v>0</v>
      </c>
      <c r="BQ64" s="9">
        <f t="shared" si="43"/>
        <v>0</v>
      </c>
      <c r="BR64" s="10">
        <f t="shared" si="44"/>
        <v>0</v>
      </c>
      <c r="BS64" s="1">
        <f>SUMIFS(
  '[1]Hoja 1'!$M:$M,
  '[1]Hoja 1'!$S:$S, $A64,
  '[1]Hoja 1'!$R:$R, "&gt;="&amp;INT($BU$1),
  '[1]Hoja 1'!$R:$R, "&lt;"&amp;INT($BV$1+1)
)</f>
        <v>0</v>
      </c>
      <c r="BT64" s="1">
        <f t="shared" si="45"/>
        <v>0</v>
      </c>
      <c r="BU64" s="9">
        <f t="shared" si="46"/>
        <v>0</v>
      </c>
      <c r="BV64" s="10">
        <f t="shared" si="47"/>
        <v>0</v>
      </c>
      <c r="BW64" s="1">
        <f>SUMIFS(
  '[1]Hoja 1'!$M:$M,
  '[1]Hoja 1'!$S:$S, $A64,
  '[1]Hoja 1'!$R:$R, "&gt;="&amp;INT($BY$1),
  '[1]Hoja 1'!$R:$R, "&lt;"&amp;INT($BZ$1+1)
)</f>
        <v>0</v>
      </c>
      <c r="BX64" s="1">
        <f t="shared" si="48"/>
        <v>0</v>
      </c>
      <c r="BY64" s="9">
        <f t="shared" si="49"/>
        <v>0</v>
      </c>
      <c r="BZ64" s="10">
        <f t="shared" si="50"/>
        <v>0</v>
      </c>
      <c r="CA64" s="1">
        <f>SUMIFS(
  '[1]Hoja 1'!$M:$M,
  '[1]Hoja 1'!$S:$S, $A64,
  '[1]Hoja 1'!$R:$R, "&gt;="&amp;INT($CC$1),
  '[1]Hoja 1'!$R:$R, "&lt;"&amp;INT($CD$1+1)
)</f>
        <v>0</v>
      </c>
      <c r="CB64" s="1">
        <f t="shared" si="51"/>
        <v>0</v>
      </c>
      <c r="CC64" s="9">
        <f t="shared" si="52"/>
        <v>0</v>
      </c>
      <c r="CD64" s="10">
        <f t="shared" si="53"/>
        <v>0</v>
      </c>
      <c r="CE64" s="1">
        <f>SUMIFS(
  '[1]Hoja 1'!$M:$M,
  '[1]Hoja 1'!$S:$S, $A64,
  '[1]Hoja 1'!$R:$R, "&gt;="&amp;INT($CG$1),
  '[1]Hoja 1'!$R:$R, "&lt;"&amp;INT($CH$1+1)
)</f>
        <v>0</v>
      </c>
      <c r="CF64" s="1">
        <f t="shared" si="54"/>
        <v>0</v>
      </c>
      <c r="CG64" s="9">
        <f t="shared" si="55"/>
        <v>0</v>
      </c>
      <c r="CH64" s="10">
        <f t="shared" si="56"/>
        <v>0</v>
      </c>
      <c r="CI64" s="1">
        <f>SUMIFS(
  '[1]Hoja 1'!$M:$M,
  '[1]Hoja 1'!$S:$S, $A64,
  '[1]Hoja 1'!$R:$R, "&gt;="&amp;INT($CK$1),
  '[1]Hoja 1'!$R:$R, "&lt;"&amp;INT($CL$1+1)
)</f>
        <v>0</v>
      </c>
      <c r="CJ64" s="1">
        <f t="shared" si="57"/>
        <v>0</v>
      </c>
      <c r="CK64" s="9">
        <f t="shared" si="58"/>
        <v>0</v>
      </c>
      <c r="CL64" s="10">
        <f t="shared" si="59"/>
        <v>0</v>
      </c>
      <c r="CM64" s="1">
        <f>SUMIFS(
  '[1]Hoja 1'!$M:$M,
  '[1]Hoja 1'!$S:$S, $A64,
  '[1]Hoja 1'!$R:$R, "&gt;="&amp;INT($CO$1),
  '[1]Hoja 1'!$R:$R, "&lt;"&amp;INT($CP$1+1)
)</f>
        <v>0</v>
      </c>
      <c r="CN64" s="1">
        <f t="shared" si="60"/>
        <v>0</v>
      </c>
      <c r="CO64" s="9">
        <f t="shared" si="61"/>
        <v>0</v>
      </c>
      <c r="CP64" s="10">
        <f t="shared" si="62"/>
        <v>0</v>
      </c>
      <c r="CQ64" s="1">
        <f>SUMIFS(
  '[1]Hoja 1'!$M:$M,
  '[1]Hoja 1'!$S:$S, $A64,
  '[1]Hoja 1'!$R:$R, "&gt;="&amp;INT($CS$1),
  '[1]Hoja 1'!$R:$R, "&lt;"&amp;INT($CT$1+1)
)</f>
        <v>0</v>
      </c>
      <c r="CR64" s="1">
        <f t="shared" si="63"/>
        <v>0</v>
      </c>
      <c r="CS64" s="9">
        <f t="shared" si="64"/>
        <v>0</v>
      </c>
      <c r="CT64" s="10">
        <f t="shared" si="65"/>
        <v>0</v>
      </c>
      <c r="CU64" s="1">
        <f>SUMIFS(
  '[1]Hoja 1'!$M:$M,
  '[1]Hoja 1'!$S:$S, $A64,
  '[1]Hoja 1'!$R:$R, "&gt;="&amp;INT($CW$1),
  '[1]Hoja 1'!$R:$R, "&lt;"&amp;INT($CX$1+1)
)</f>
        <v>0</v>
      </c>
      <c r="CV64" s="1">
        <f t="shared" si="66"/>
        <v>0</v>
      </c>
      <c r="CW64" s="9">
        <f t="shared" si="67"/>
        <v>0</v>
      </c>
      <c r="CX64" s="10">
        <f t="shared" si="68"/>
        <v>0</v>
      </c>
      <c r="CY64" s="1">
        <f>SUMIFS(
  '[1]Hoja 1'!$M:$M,
  '[1]Hoja 1'!$S:$S, $A64,
  '[1]Hoja 1'!$R:$R, "&gt;="&amp;INT($DA$1),
  '[1]Hoja 1'!$R:$R, "&lt;"&amp;INT($DB$1+1)
)</f>
        <v>0</v>
      </c>
      <c r="CZ64" s="1">
        <f t="shared" si="69"/>
        <v>0</v>
      </c>
      <c r="DA64" s="9">
        <f t="shared" si="70"/>
        <v>0</v>
      </c>
      <c r="DB64" s="10">
        <f t="shared" si="71"/>
        <v>0</v>
      </c>
      <c r="DC64" s="1">
        <f>SUMIFS(
  '[1]Hoja 1'!$M:$M,
  '[1]Hoja 1'!$S:$S, $A64,
  '[1]Hoja 1'!$R:$R, "&gt;="&amp;INT($DE$1),
  '[1]Hoja 1'!$R:$R, "&lt;"&amp;INT($DF$1+1)
)</f>
        <v>0</v>
      </c>
      <c r="DD64" s="1">
        <f t="shared" si="72"/>
        <v>0</v>
      </c>
      <c r="DE64" s="9">
        <f t="shared" si="73"/>
        <v>0</v>
      </c>
      <c r="DF64" s="10">
        <f t="shared" si="74"/>
        <v>0</v>
      </c>
      <c r="DG64" s="1">
        <f>SUMIFS(
  '[1]Hoja 1'!$M:$M,
  '[1]Hoja 1'!$S:$S, $A64,
  '[1]Hoja 1'!$R:$R, "&gt;="&amp;INT($DI$1),
  '[1]Hoja 1'!$R:$R, "&lt;"&amp;INT($DJ$1+1)
)</f>
        <v>0</v>
      </c>
      <c r="DH64" s="1">
        <f t="shared" si="75"/>
        <v>0</v>
      </c>
      <c r="DI64" s="9">
        <f t="shared" si="76"/>
        <v>0</v>
      </c>
      <c r="DJ64" s="10">
        <f t="shared" si="77"/>
        <v>0</v>
      </c>
      <c r="DK64" s="1">
        <f>SUMIFS(
  '[1]Hoja 1'!$M:$M,
  '[1]Hoja 1'!$S:$S, $A64,
  '[1]Hoja 1'!$R:$R, "&gt;="&amp;INT($DM$1),
  '[1]Hoja 1'!$R:$R, "&lt;"&amp;INT($DN$1+1)
)</f>
        <v>0</v>
      </c>
      <c r="DL64" s="1">
        <f t="shared" si="78"/>
        <v>0</v>
      </c>
      <c r="DM64" s="9">
        <f t="shared" si="79"/>
        <v>0</v>
      </c>
      <c r="DN64" s="10">
        <f t="shared" si="80"/>
        <v>0</v>
      </c>
      <c r="DO64" s="1">
        <f>SUMIFS(
  '[1]Hoja 1'!$M:$M,
  '[1]Hoja 1'!$S:$S, $A64,
  '[1]Hoja 1'!$R:$R, "&gt;="&amp;INT($DQ$1),
  '[1]Hoja 1'!$R:$R, "&lt;"&amp;INT($DR$1+1)
)</f>
        <v>0</v>
      </c>
      <c r="DP64" s="1">
        <f t="shared" si="81"/>
        <v>0</v>
      </c>
      <c r="DQ64" s="9">
        <f t="shared" si="82"/>
        <v>0</v>
      </c>
      <c r="DR64" s="10">
        <f t="shared" si="83"/>
        <v>0</v>
      </c>
    </row>
    <row r="65" spans="1:122" x14ac:dyDescent="0.25">
      <c r="A65" s="5">
        <v>209018</v>
      </c>
      <c r="B65" s="6" t="s">
        <v>67</v>
      </c>
      <c r="C65" s="1">
        <f>SUMIFS(
  '[1]Hoja 1'!$M:$M,
  '[1]Hoja 1'!$S:$S, $A65,
  '[1]Hoja 1'!$R:$R, "&gt;="&amp;INT($E$1),
  '[1]Hoja 1'!$R:$R, "&lt;"&amp;INT($F$1+1)
)</f>
        <v>0</v>
      </c>
      <c r="D65" s="1" t="str">
        <f>""</f>
        <v/>
      </c>
      <c r="F65" s="2"/>
      <c r="G65" s="1">
        <f>SUMIFS(
  '[1]Hoja 1'!$M:$M,
  '[1]Hoja 1'!$S:$S, $A65,
  '[1]Hoja 1'!$R:$R, "&gt;="&amp;INT($I$1),
  '[1]Hoja 1'!$R:$R, "&lt;"&amp;INT($J$1+1)
)</f>
        <v>0</v>
      </c>
      <c r="H65" s="1">
        <f t="shared" si="84"/>
        <v>0</v>
      </c>
      <c r="I65" s="1"/>
      <c r="J65" s="2"/>
      <c r="K65" s="1">
        <f>SUMIFS(
  '[1]Hoja 1'!$M:$M,
  '[1]Hoja 1'!$S:$S, $A65,
  '[1]Hoja 1'!$R:$R, "&gt;="&amp;INT($M$1),
  '[1]Hoja 1'!$R:$R, "&lt;"&amp;INT($N$1+1)
)</f>
        <v>0</v>
      </c>
      <c r="L65" s="1">
        <f t="shared" si="0"/>
        <v>0</v>
      </c>
      <c r="M65" s="9">
        <f t="shared" si="1"/>
        <v>0</v>
      </c>
      <c r="N65" s="10">
        <f t="shared" si="2"/>
        <v>0</v>
      </c>
      <c r="O65" s="1">
        <f>SUMIFS(
  '[1]Hoja 1'!$M:$M,
  '[1]Hoja 1'!$S:$S, $A65,
  '[1]Hoja 1'!$R:$R, "&gt;="&amp;INT($Q$1),
  '[1]Hoja 1'!$R:$R, "&lt;"&amp;INT($R$1+1)
)</f>
        <v>0</v>
      </c>
      <c r="P65" s="1">
        <f t="shared" si="3"/>
        <v>0</v>
      </c>
      <c r="Q65" s="9">
        <f t="shared" si="4"/>
        <v>0</v>
      </c>
      <c r="R65" s="10">
        <f t="shared" si="5"/>
        <v>0</v>
      </c>
      <c r="S65" s="1">
        <f>SUMIFS(
  '[1]Hoja 1'!$M:$M,
  '[1]Hoja 1'!$S:$S, $A65,
  '[1]Hoja 1'!$R:$R, "&gt;="&amp;INT($U$1),
  '[1]Hoja 1'!$R:$R, "&lt;"&amp;INT($V$1+1)
)</f>
        <v>0</v>
      </c>
      <c r="T65" s="1">
        <f t="shared" si="6"/>
        <v>0</v>
      </c>
      <c r="U65" s="9">
        <f t="shared" si="7"/>
        <v>0</v>
      </c>
      <c r="V65" s="10">
        <f t="shared" si="8"/>
        <v>0</v>
      </c>
      <c r="W65" s="1">
        <f>SUMIFS(
  '[1]Hoja 1'!$M:$M,
  '[1]Hoja 1'!$S:$S, $A65,
  '[1]Hoja 1'!$R:$R, "&gt;="&amp;INT($Y$1),
  '[1]Hoja 1'!$R:$R, "&lt;"&amp;INT($Z$1+1)
)</f>
        <v>0</v>
      </c>
      <c r="X65" s="1">
        <f t="shared" si="9"/>
        <v>0</v>
      </c>
      <c r="Y65" s="9">
        <f t="shared" si="10"/>
        <v>0</v>
      </c>
      <c r="Z65" s="10">
        <f t="shared" si="11"/>
        <v>0</v>
      </c>
      <c r="AA65" s="1">
        <f>SUMIFS(
  '[1]Hoja 1'!$M:$M,
  '[1]Hoja 1'!$S:$S, $A65,
  '[1]Hoja 1'!$R:$R, "&gt;="&amp;INT($AC$1),
  '[1]Hoja 1'!$R:$R, "&lt;"&amp;INT($AD$1+1)
)</f>
        <v>0</v>
      </c>
      <c r="AB65" s="1">
        <f t="shared" si="12"/>
        <v>0</v>
      </c>
      <c r="AC65" s="9">
        <f t="shared" si="13"/>
        <v>0</v>
      </c>
      <c r="AD65" s="10">
        <f t="shared" si="14"/>
        <v>0</v>
      </c>
      <c r="AE65" s="1">
        <f>SUMIFS(
  '[1]Hoja 1'!$M:$M,
  '[1]Hoja 1'!$S:$S, $A65,
  '[1]Hoja 1'!$R:$R, "&gt;="&amp;INT($AG$1),
  '[1]Hoja 1'!$R:$R, "&lt;"&amp;INT($AH$1+1)
)</f>
        <v>0</v>
      </c>
      <c r="AF65" s="1">
        <f t="shared" si="15"/>
        <v>0</v>
      </c>
      <c r="AG65" s="9">
        <f t="shared" si="16"/>
        <v>0</v>
      </c>
      <c r="AH65" s="10">
        <f t="shared" si="17"/>
        <v>0</v>
      </c>
      <c r="AI65" s="1">
        <f>SUMIFS(
  '[1]Hoja 1'!$M:$M,
  '[1]Hoja 1'!$S:$S, $A65,
  '[1]Hoja 1'!$R:$R, "&gt;="&amp;INT($AK$1),
  '[1]Hoja 1'!$R:$R, "&lt;"&amp;INT($AL$1+1)
)</f>
        <v>0</v>
      </c>
      <c r="AJ65" s="1">
        <f t="shared" si="18"/>
        <v>0</v>
      </c>
      <c r="AK65" s="9">
        <f t="shared" si="19"/>
        <v>0</v>
      </c>
      <c r="AL65" s="10">
        <f t="shared" si="20"/>
        <v>0</v>
      </c>
      <c r="AM65" s="1">
        <f>SUMIFS(
  '[1]Hoja 1'!$M:$M,
  '[1]Hoja 1'!$S:$S, $A65,
  '[1]Hoja 1'!$R:$R, "&gt;="&amp;INT($AO$1),
  '[1]Hoja 1'!$R:$R, "&lt;"&amp;INT($AP$1+1)
)</f>
        <v>0</v>
      </c>
      <c r="AN65" s="1">
        <f t="shared" si="21"/>
        <v>0</v>
      </c>
      <c r="AO65" s="9">
        <f t="shared" si="22"/>
        <v>0</v>
      </c>
      <c r="AP65" s="10">
        <f t="shared" si="23"/>
        <v>0</v>
      </c>
      <c r="AQ65" s="1">
        <f>SUMIFS(
  '[1]Hoja 1'!$M:$M,
  '[1]Hoja 1'!$S:$S, $A65,
  '[1]Hoja 1'!$R:$R, "&gt;="&amp;INT($AS$1),
  '[1]Hoja 1'!$R:$R, "&lt;"&amp;INT($AT$1+1)
)</f>
        <v>0</v>
      </c>
      <c r="AR65" s="1">
        <f t="shared" si="24"/>
        <v>0</v>
      </c>
      <c r="AS65" s="9">
        <f t="shared" si="25"/>
        <v>0</v>
      </c>
      <c r="AT65" s="10">
        <f t="shared" si="26"/>
        <v>0</v>
      </c>
      <c r="AU65" s="1">
        <f>SUMIFS(
  '[1]Hoja 1'!$M:$M,
  '[1]Hoja 1'!$S:$S, $A65,
  '[1]Hoja 1'!$R:$R, "&gt;="&amp;INT($AW$1),
  '[1]Hoja 1'!$R:$R, "&lt;"&amp;INT($AX$1+1)
)</f>
        <v>0</v>
      </c>
      <c r="AV65" s="1">
        <f t="shared" si="27"/>
        <v>0</v>
      </c>
      <c r="AW65" s="9">
        <f t="shared" si="28"/>
        <v>0</v>
      </c>
      <c r="AX65" s="10">
        <f t="shared" si="29"/>
        <v>0</v>
      </c>
      <c r="AY65" s="1">
        <f>SUMIFS(
  '[1]Hoja 1'!$M:$M,
  '[1]Hoja 1'!$S:$S, $A65,
  '[1]Hoja 1'!$R:$R, "&gt;="&amp;INT($BA$1),
  '[1]Hoja 1'!$R:$R, "&lt;"&amp;INT($BB$1+1)
)</f>
        <v>0</v>
      </c>
      <c r="AZ65" s="1">
        <f t="shared" si="30"/>
        <v>0</v>
      </c>
      <c r="BA65" s="9">
        <f t="shared" si="31"/>
        <v>0</v>
      </c>
      <c r="BB65" s="10">
        <f t="shared" si="32"/>
        <v>0</v>
      </c>
      <c r="BC65" s="1">
        <f>SUMIFS(
  '[1]Hoja 1'!$M:$M,
  '[1]Hoja 1'!$S:$S, $A65,
  '[1]Hoja 1'!$R:$R, "&gt;="&amp;INT($BE$1),
  '[1]Hoja 1'!$R:$R, "&lt;"&amp;INT($BF$1+1)
)</f>
        <v>0</v>
      </c>
      <c r="BD65" s="1">
        <f t="shared" si="33"/>
        <v>0</v>
      </c>
      <c r="BE65" s="9">
        <f t="shared" si="34"/>
        <v>0</v>
      </c>
      <c r="BF65" s="10">
        <f t="shared" si="35"/>
        <v>0</v>
      </c>
      <c r="BG65" s="1">
        <f>SUMIFS(
  '[1]Hoja 1'!$M:$M,
  '[1]Hoja 1'!$S:$S, $A65,
  '[1]Hoja 1'!$R:$R, "&gt;="&amp;INT($BI$1),
  '[1]Hoja 1'!$R:$R, "&lt;"&amp;INT($BJ$1+1)
)</f>
        <v>0</v>
      </c>
      <c r="BH65" s="1">
        <f t="shared" si="36"/>
        <v>0</v>
      </c>
      <c r="BI65" s="9">
        <f t="shared" si="37"/>
        <v>0</v>
      </c>
      <c r="BJ65" s="10">
        <f t="shared" si="38"/>
        <v>0</v>
      </c>
      <c r="BK65" s="1">
        <f>SUMIFS(
  '[1]Hoja 1'!$M:$M,
  '[1]Hoja 1'!$S:$S, $A65,
  '[1]Hoja 1'!$R:$R, "&gt;="&amp;INT($BM$1),
  '[1]Hoja 1'!$R:$R, "&lt;"&amp;INT($BN$1+1)
)</f>
        <v>0</v>
      </c>
      <c r="BL65" s="1">
        <f t="shared" si="39"/>
        <v>0</v>
      </c>
      <c r="BM65" s="9">
        <f t="shared" si="40"/>
        <v>0</v>
      </c>
      <c r="BN65" s="10">
        <f t="shared" si="41"/>
        <v>0</v>
      </c>
      <c r="BO65" s="1">
        <f>SUMIFS(
  '[1]Hoja 1'!$M:$M,
  '[1]Hoja 1'!$S:$S, $A65,
  '[1]Hoja 1'!$R:$R, "&gt;="&amp;INT($BQ$1),
  '[1]Hoja 1'!$R:$R, "&lt;"&amp;INT($BR$1+1)
)</f>
        <v>0</v>
      </c>
      <c r="BP65" s="1">
        <f t="shared" si="42"/>
        <v>0</v>
      </c>
      <c r="BQ65" s="9">
        <f t="shared" si="43"/>
        <v>0</v>
      </c>
      <c r="BR65" s="10">
        <f t="shared" si="44"/>
        <v>0</v>
      </c>
      <c r="BS65" s="1">
        <f>SUMIFS(
  '[1]Hoja 1'!$M:$M,
  '[1]Hoja 1'!$S:$S, $A65,
  '[1]Hoja 1'!$R:$R, "&gt;="&amp;INT($BU$1),
  '[1]Hoja 1'!$R:$R, "&lt;"&amp;INT($BV$1+1)
)</f>
        <v>0</v>
      </c>
      <c r="BT65" s="1">
        <f t="shared" si="45"/>
        <v>0</v>
      </c>
      <c r="BU65" s="9">
        <f t="shared" si="46"/>
        <v>0</v>
      </c>
      <c r="BV65" s="10">
        <f t="shared" si="47"/>
        <v>0</v>
      </c>
      <c r="BW65" s="1">
        <f>SUMIFS(
  '[1]Hoja 1'!$M:$M,
  '[1]Hoja 1'!$S:$S, $A65,
  '[1]Hoja 1'!$R:$R, "&gt;="&amp;INT($BY$1),
  '[1]Hoja 1'!$R:$R, "&lt;"&amp;INT($BZ$1+1)
)</f>
        <v>0</v>
      </c>
      <c r="BX65" s="1">
        <f t="shared" si="48"/>
        <v>0</v>
      </c>
      <c r="BY65" s="9">
        <f t="shared" si="49"/>
        <v>0</v>
      </c>
      <c r="BZ65" s="10">
        <f t="shared" si="50"/>
        <v>0</v>
      </c>
      <c r="CA65" s="1">
        <f>SUMIFS(
  '[1]Hoja 1'!$M:$M,
  '[1]Hoja 1'!$S:$S, $A65,
  '[1]Hoja 1'!$R:$R, "&gt;="&amp;INT($CC$1),
  '[1]Hoja 1'!$R:$R, "&lt;"&amp;INT($CD$1+1)
)</f>
        <v>0</v>
      </c>
      <c r="CB65" s="1">
        <f t="shared" si="51"/>
        <v>0</v>
      </c>
      <c r="CC65" s="9">
        <f t="shared" si="52"/>
        <v>0</v>
      </c>
      <c r="CD65" s="10">
        <f t="shared" si="53"/>
        <v>0</v>
      </c>
      <c r="CE65" s="1">
        <f>SUMIFS(
  '[1]Hoja 1'!$M:$M,
  '[1]Hoja 1'!$S:$S, $A65,
  '[1]Hoja 1'!$R:$R, "&gt;="&amp;INT($CG$1),
  '[1]Hoja 1'!$R:$R, "&lt;"&amp;INT($CH$1+1)
)</f>
        <v>0</v>
      </c>
      <c r="CF65" s="1">
        <f t="shared" si="54"/>
        <v>0</v>
      </c>
      <c r="CG65" s="9">
        <f t="shared" si="55"/>
        <v>0</v>
      </c>
      <c r="CH65" s="10">
        <f t="shared" si="56"/>
        <v>0</v>
      </c>
      <c r="CI65" s="1">
        <f>SUMIFS(
  '[1]Hoja 1'!$M:$M,
  '[1]Hoja 1'!$S:$S, $A65,
  '[1]Hoja 1'!$R:$R, "&gt;="&amp;INT($CK$1),
  '[1]Hoja 1'!$R:$R, "&lt;"&amp;INT($CL$1+1)
)</f>
        <v>0</v>
      </c>
      <c r="CJ65" s="1">
        <f t="shared" si="57"/>
        <v>0</v>
      </c>
      <c r="CK65" s="9">
        <f t="shared" si="58"/>
        <v>0</v>
      </c>
      <c r="CL65" s="10">
        <f t="shared" si="59"/>
        <v>0</v>
      </c>
      <c r="CM65" s="1">
        <f>SUMIFS(
  '[1]Hoja 1'!$M:$M,
  '[1]Hoja 1'!$S:$S, $A65,
  '[1]Hoja 1'!$R:$R, "&gt;="&amp;INT($CO$1),
  '[1]Hoja 1'!$R:$R, "&lt;"&amp;INT($CP$1+1)
)</f>
        <v>0</v>
      </c>
      <c r="CN65" s="1">
        <f t="shared" si="60"/>
        <v>0</v>
      </c>
      <c r="CO65" s="9">
        <f t="shared" si="61"/>
        <v>0</v>
      </c>
      <c r="CP65" s="10">
        <f t="shared" si="62"/>
        <v>0</v>
      </c>
      <c r="CQ65" s="1">
        <f>SUMIFS(
  '[1]Hoja 1'!$M:$M,
  '[1]Hoja 1'!$S:$S, $A65,
  '[1]Hoja 1'!$R:$R, "&gt;="&amp;INT($CS$1),
  '[1]Hoja 1'!$R:$R, "&lt;"&amp;INT($CT$1+1)
)</f>
        <v>0</v>
      </c>
      <c r="CR65" s="1">
        <f t="shared" si="63"/>
        <v>0</v>
      </c>
      <c r="CS65" s="9">
        <f t="shared" si="64"/>
        <v>0</v>
      </c>
      <c r="CT65" s="10">
        <f t="shared" si="65"/>
        <v>0</v>
      </c>
      <c r="CU65" s="1">
        <f>SUMIFS(
  '[1]Hoja 1'!$M:$M,
  '[1]Hoja 1'!$S:$S, $A65,
  '[1]Hoja 1'!$R:$R, "&gt;="&amp;INT($CW$1),
  '[1]Hoja 1'!$R:$R, "&lt;"&amp;INT($CX$1+1)
)</f>
        <v>0</v>
      </c>
      <c r="CV65" s="1">
        <f t="shared" si="66"/>
        <v>0</v>
      </c>
      <c r="CW65" s="9">
        <f t="shared" si="67"/>
        <v>0</v>
      </c>
      <c r="CX65" s="10">
        <f t="shared" si="68"/>
        <v>0</v>
      </c>
      <c r="CY65" s="1">
        <f>SUMIFS(
  '[1]Hoja 1'!$M:$M,
  '[1]Hoja 1'!$S:$S, $A65,
  '[1]Hoja 1'!$R:$R, "&gt;="&amp;INT($DA$1),
  '[1]Hoja 1'!$R:$R, "&lt;"&amp;INT($DB$1+1)
)</f>
        <v>0</v>
      </c>
      <c r="CZ65" s="1">
        <f t="shared" si="69"/>
        <v>0</v>
      </c>
      <c r="DA65" s="9">
        <f t="shared" si="70"/>
        <v>0</v>
      </c>
      <c r="DB65" s="10">
        <f t="shared" si="71"/>
        <v>0</v>
      </c>
      <c r="DC65" s="1">
        <f>SUMIFS(
  '[1]Hoja 1'!$M:$M,
  '[1]Hoja 1'!$S:$S, $A65,
  '[1]Hoja 1'!$R:$R, "&gt;="&amp;INT($DE$1),
  '[1]Hoja 1'!$R:$R, "&lt;"&amp;INT($DF$1+1)
)</f>
        <v>0</v>
      </c>
      <c r="DD65" s="1">
        <f t="shared" si="72"/>
        <v>0</v>
      </c>
      <c r="DE65" s="9">
        <f t="shared" si="73"/>
        <v>0</v>
      </c>
      <c r="DF65" s="10">
        <f t="shared" si="74"/>
        <v>0</v>
      </c>
      <c r="DG65" s="1">
        <f>SUMIFS(
  '[1]Hoja 1'!$M:$M,
  '[1]Hoja 1'!$S:$S, $A65,
  '[1]Hoja 1'!$R:$R, "&gt;="&amp;INT($DI$1),
  '[1]Hoja 1'!$R:$R, "&lt;"&amp;INT($DJ$1+1)
)</f>
        <v>0</v>
      </c>
      <c r="DH65" s="1">
        <f t="shared" si="75"/>
        <v>0</v>
      </c>
      <c r="DI65" s="9">
        <f t="shared" si="76"/>
        <v>0</v>
      </c>
      <c r="DJ65" s="10">
        <f t="shared" si="77"/>
        <v>0</v>
      </c>
      <c r="DK65" s="1">
        <f>SUMIFS(
  '[1]Hoja 1'!$M:$M,
  '[1]Hoja 1'!$S:$S, $A65,
  '[1]Hoja 1'!$R:$R, "&gt;="&amp;INT($DM$1),
  '[1]Hoja 1'!$R:$R, "&lt;"&amp;INT($DN$1+1)
)</f>
        <v>0</v>
      </c>
      <c r="DL65" s="1">
        <f t="shared" si="78"/>
        <v>0</v>
      </c>
      <c r="DM65" s="9">
        <f t="shared" si="79"/>
        <v>0</v>
      </c>
      <c r="DN65" s="10">
        <f t="shared" si="80"/>
        <v>0</v>
      </c>
      <c r="DO65" s="1">
        <f>SUMIFS(
  '[1]Hoja 1'!$M:$M,
  '[1]Hoja 1'!$S:$S, $A65,
  '[1]Hoja 1'!$R:$R, "&gt;="&amp;INT($DQ$1),
  '[1]Hoja 1'!$R:$R, "&lt;"&amp;INT($DR$1+1)
)</f>
        <v>0</v>
      </c>
      <c r="DP65" s="1">
        <f t="shared" si="81"/>
        <v>0</v>
      </c>
      <c r="DQ65" s="9">
        <f t="shared" si="82"/>
        <v>0</v>
      </c>
      <c r="DR65" s="10">
        <f t="shared" si="83"/>
        <v>0</v>
      </c>
    </row>
    <row r="66" spans="1:122" x14ac:dyDescent="0.25">
      <c r="A66" s="5">
        <v>209021</v>
      </c>
      <c r="B66" s="6" t="s">
        <v>68</v>
      </c>
      <c r="C66" s="1">
        <f>SUMIFS(
  '[1]Hoja 1'!$M:$M,
  '[1]Hoja 1'!$S:$S, $A66,
  '[1]Hoja 1'!$R:$R, "&gt;="&amp;INT($E$1),
  '[1]Hoja 1'!$R:$R, "&lt;"&amp;INT($F$1+1)
)</f>
        <v>0</v>
      </c>
      <c r="D66" s="1" t="str">
        <f>""</f>
        <v/>
      </c>
      <c r="F66" s="2"/>
      <c r="G66" s="1">
        <f>SUMIFS(
  '[1]Hoja 1'!$M:$M,
  '[1]Hoja 1'!$S:$S, $A66,
  '[1]Hoja 1'!$R:$R, "&gt;="&amp;INT($I$1),
  '[1]Hoja 1'!$R:$R, "&lt;"&amp;INT($J$1+1)
)</f>
        <v>0</v>
      </c>
      <c r="H66" s="1">
        <f t="shared" si="84"/>
        <v>0</v>
      </c>
      <c r="I66" s="1"/>
      <c r="J66" s="2"/>
      <c r="K66" s="1">
        <f>SUMIFS(
  '[1]Hoja 1'!$M:$M,
  '[1]Hoja 1'!$S:$S, $A66,
  '[1]Hoja 1'!$R:$R, "&gt;="&amp;INT($M$1),
  '[1]Hoja 1'!$R:$R, "&lt;"&amp;INT($N$1+1)
)</f>
        <v>0</v>
      </c>
      <c r="L66" s="1">
        <f t="shared" si="0"/>
        <v>0</v>
      </c>
      <c r="M66" s="9">
        <f t="shared" si="1"/>
        <v>0</v>
      </c>
      <c r="N66" s="10">
        <f t="shared" si="2"/>
        <v>0</v>
      </c>
      <c r="O66" s="1">
        <f>SUMIFS(
  '[1]Hoja 1'!$M:$M,
  '[1]Hoja 1'!$S:$S, $A66,
  '[1]Hoja 1'!$R:$R, "&gt;="&amp;INT($Q$1),
  '[1]Hoja 1'!$R:$R, "&lt;"&amp;INT($R$1+1)
)</f>
        <v>0</v>
      </c>
      <c r="P66" s="1">
        <f t="shared" si="3"/>
        <v>0</v>
      </c>
      <c r="Q66" s="9">
        <f t="shared" si="4"/>
        <v>0</v>
      </c>
      <c r="R66" s="10">
        <f t="shared" si="5"/>
        <v>0</v>
      </c>
      <c r="S66" s="1">
        <f>SUMIFS(
  '[1]Hoja 1'!$M:$M,
  '[1]Hoja 1'!$S:$S, $A66,
  '[1]Hoja 1'!$R:$R, "&gt;="&amp;INT($U$1),
  '[1]Hoja 1'!$R:$R, "&lt;"&amp;INT($V$1+1)
)</f>
        <v>0</v>
      </c>
      <c r="T66" s="1">
        <f t="shared" si="6"/>
        <v>0</v>
      </c>
      <c r="U66" s="9">
        <f t="shared" si="7"/>
        <v>0</v>
      </c>
      <c r="V66" s="10">
        <f t="shared" si="8"/>
        <v>0</v>
      </c>
      <c r="W66" s="1">
        <f>SUMIFS(
  '[1]Hoja 1'!$M:$M,
  '[1]Hoja 1'!$S:$S, $A66,
  '[1]Hoja 1'!$R:$R, "&gt;="&amp;INT($Y$1),
  '[1]Hoja 1'!$R:$R, "&lt;"&amp;INT($Z$1+1)
)</f>
        <v>0</v>
      </c>
      <c r="X66" s="1">
        <f t="shared" si="9"/>
        <v>0</v>
      </c>
      <c r="Y66" s="9">
        <f t="shared" si="10"/>
        <v>0</v>
      </c>
      <c r="Z66" s="10">
        <f t="shared" si="11"/>
        <v>0</v>
      </c>
      <c r="AA66" s="1">
        <f>SUMIFS(
  '[1]Hoja 1'!$M:$M,
  '[1]Hoja 1'!$S:$S, $A66,
  '[1]Hoja 1'!$R:$R, "&gt;="&amp;INT($AC$1),
  '[1]Hoja 1'!$R:$R, "&lt;"&amp;INT($AD$1+1)
)</f>
        <v>0</v>
      </c>
      <c r="AB66" s="1">
        <f t="shared" si="12"/>
        <v>0</v>
      </c>
      <c r="AC66" s="9">
        <f t="shared" si="13"/>
        <v>0</v>
      </c>
      <c r="AD66" s="10">
        <f t="shared" si="14"/>
        <v>0</v>
      </c>
      <c r="AE66" s="1">
        <f>SUMIFS(
  '[1]Hoja 1'!$M:$M,
  '[1]Hoja 1'!$S:$S, $A66,
  '[1]Hoja 1'!$R:$R, "&gt;="&amp;INT($AG$1),
  '[1]Hoja 1'!$R:$R, "&lt;"&amp;INT($AH$1+1)
)</f>
        <v>0</v>
      </c>
      <c r="AF66" s="1">
        <f t="shared" si="15"/>
        <v>0</v>
      </c>
      <c r="AG66" s="9">
        <f t="shared" si="16"/>
        <v>0</v>
      </c>
      <c r="AH66" s="10">
        <f t="shared" si="17"/>
        <v>0</v>
      </c>
      <c r="AI66" s="1">
        <f>SUMIFS(
  '[1]Hoja 1'!$M:$M,
  '[1]Hoja 1'!$S:$S, $A66,
  '[1]Hoja 1'!$R:$R, "&gt;="&amp;INT($AK$1),
  '[1]Hoja 1'!$R:$R, "&lt;"&amp;INT($AL$1+1)
)</f>
        <v>0</v>
      </c>
      <c r="AJ66" s="1">
        <f t="shared" si="18"/>
        <v>0</v>
      </c>
      <c r="AK66" s="9">
        <f t="shared" si="19"/>
        <v>0</v>
      </c>
      <c r="AL66" s="10">
        <f t="shared" si="20"/>
        <v>0</v>
      </c>
      <c r="AM66" s="1">
        <f>SUMIFS(
  '[1]Hoja 1'!$M:$M,
  '[1]Hoja 1'!$S:$S, $A66,
  '[1]Hoja 1'!$R:$R, "&gt;="&amp;INT($AO$1),
  '[1]Hoja 1'!$R:$R, "&lt;"&amp;INT($AP$1+1)
)</f>
        <v>0</v>
      </c>
      <c r="AN66" s="1">
        <f t="shared" si="21"/>
        <v>0</v>
      </c>
      <c r="AO66" s="9">
        <f t="shared" si="22"/>
        <v>0</v>
      </c>
      <c r="AP66" s="10">
        <f t="shared" si="23"/>
        <v>0</v>
      </c>
      <c r="AQ66" s="1">
        <f>SUMIFS(
  '[1]Hoja 1'!$M:$M,
  '[1]Hoja 1'!$S:$S, $A66,
  '[1]Hoja 1'!$R:$R, "&gt;="&amp;INT($AS$1),
  '[1]Hoja 1'!$R:$R, "&lt;"&amp;INT($AT$1+1)
)</f>
        <v>0</v>
      </c>
      <c r="AR66" s="1">
        <f t="shared" si="24"/>
        <v>0</v>
      </c>
      <c r="AS66" s="9">
        <f t="shared" si="25"/>
        <v>0</v>
      </c>
      <c r="AT66" s="10">
        <f t="shared" si="26"/>
        <v>0</v>
      </c>
      <c r="AU66" s="1">
        <f>SUMIFS(
  '[1]Hoja 1'!$M:$M,
  '[1]Hoja 1'!$S:$S, $A66,
  '[1]Hoja 1'!$R:$R, "&gt;="&amp;INT($AW$1),
  '[1]Hoja 1'!$R:$R, "&lt;"&amp;INT($AX$1+1)
)</f>
        <v>0</v>
      </c>
      <c r="AV66" s="1">
        <f t="shared" si="27"/>
        <v>0</v>
      </c>
      <c r="AW66" s="9">
        <f t="shared" si="28"/>
        <v>0</v>
      </c>
      <c r="AX66" s="10">
        <f t="shared" si="29"/>
        <v>0</v>
      </c>
      <c r="AY66" s="1">
        <f>SUMIFS(
  '[1]Hoja 1'!$M:$M,
  '[1]Hoja 1'!$S:$S, $A66,
  '[1]Hoja 1'!$R:$R, "&gt;="&amp;INT($BA$1),
  '[1]Hoja 1'!$R:$R, "&lt;"&amp;INT($BB$1+1)
)</f>
        <v>0</v>
      </c>
      <c r="AZ66" s="1">
        <f t="shared" si="30"/>
        <v>0</v>
      </c>
      <c r="BA66" s="9">
        <f t="shared" si="31"/>
        <v>0</v>
      </c>
      <c r="BB66" s="10">
        <f t="shared" si="32"/>
        <v>0</v>
      </c>
      <c r="BC66" s="1">
        <f>SUMIFS(
  '[1]Hoja 1'!$M:$M,
  '[1]Hoja 1'!$S:$S, $A66,
  '[1]Hoja 1'!$R:$R, "&gt;="&amp;INT($BE$1),
  '[1]Hoja 1'!$R:$R, "&lt;"&amp;INT($BF$1+1)
)</f>
        <v>0</v>
      </c>
      <c r="BD66" s="1">
        <f t="shared" si="33"/>
        <v>0</v>
      </c>
      <c r="BE66" s="9">
        <f t="shared" si="34"/>
        <v>0</v>
      </c>
      <c r="BF66" s="10">
        <f t="shared" si="35"/>
        <v>0</v>
      </c>
      <c r="BG66" s="1">
        <f>SUMIFS(
  '[1]Hoja 1'!$M:$M,
  '[1]Hoja 1'!$S:$S, $A66,
  '[1]Hoja 1'!$R:$R, "&gt;="&amp;INT($BI$1),
  '[1]Hoja 1'!$R:$R, "&lt;"&amp;INT($BJ$1+1)
)</f>
        <v>0</v>
      </c>
      <c r="BH66" s="1">
        <f t="shared" si="36"/>
        <v>0</v>
      </c>
      <c r="BI66" s="9">
        <f t="shared" si="37"/>
        <v>0</v>
      </c>
      <c r="BJ66" s="10">
        <f t="shared" si="38"/>
        <v>0</v>
      </c>
      <c r="BK66" s="1">
        <f>SUMIFS(
  '[1]Hoja 1'!$M:$M,
  '[1]Hoja 1'!$S:$S, $A66,
  '[1]Hoja 1'!$R:$R, "&gt;="&amp;INT($BM$1),
  '[1]Hoja 1'!$R:$R, "&lt;"&amp;INT($BN$1+1)
)</f>
        <v>0</v>
      </c>
      <c r="BL66" s="1">
        <f t="shared" si="39"/>
        <v>0</v>
      </c>
      <c r="BM66" s="9">
        <f t="shared" si="40"/>
        <v>0</v>
      </c>
      <c r="BN66" s="10">
        <f t="shared" si="41"/>
        <v>0</v>
      </c>
      <c r="BO66" s="1">
        <f>SUMIFS(
  '[1]Hoja 1'!$M:$M,
  '[1]Hoja 1'!$S:$S, $A66,
  '[1]Hoja 1'!$R:$R, "&gt;="&amp;INT($BQ$1),
  '[1]Hoja 1'!$R:$R, "&lt;"&amp;INT($BR$1+1)
)</f>
        <v>0</v>
      </c>
      <c r="BP66" s="1">
        <f t="shared" si="42"/>
        <v>0</v>
      </c>
      <c r="BQ66" s="9">
        <f t="shared" si="43"/>
        <v>0</v>
      </c>
      <c r="BR66" s="10">
        <f t="shared" si="44"/>
        <v>0</v>
      </c>
      <c r="BS66" s="1">
        <f>SUMIFS(
  '[1]Hoja 1'!$M:$M,
  '[1]Hoja 1'!$S:$S, $A66,
  '[1]Hoja 1'!$R:$R, "&gt;="&amp;INT($BU$1),
  '[1]Hoja 1'!$R:$R, "&lt;"&amp;INT($BV$1+1)
)</f>
        <v>0</v>
      </c>
      <c r="BT66" s="1">
        <f t="shared" si="45"/>
        <v>0</v>
      </c>
      <c r="BU66" s="9">
        <f t="shared" si="46"/>
        <v>0</v>
      </c>
      <c r="BV66" s="10">
        <f t="shared" si="47"/>
        <v>0</v>
      </c>
      <c r="BW66" s="1">
        <f>SUMIFS(
  '[1]Hoja 1'!$M:$M,
  '[1]Hoja 1'!$S:$S, $A66,
  '[1]Hoja 1'!$R:$R, "&gt;="&amp;INT($BY$1),
  '[1]Hoja 1'!$R:$R, "&lt;"&amp;INT($BZ$1+1)
)</f>
        <v>0</v>
      </c>
      <c r="BX66" s="1">
        <f t="shared" si="48"/>
        <v>0</v>
      </c>
      <c r="BY66" s="9">
        <f t="shared" si="49"/>
        <v>0</v>
      </c>
      <c r="BZ66" s="10">
        <f t="shared" si="50"/>
        <v>0</v>
      </c>
      <c r="CA66" s="1">
        <f>SUMIFS(
  '[1]Hoja 1'!$M:$M,
  '[1]Hoja 1'!$S:$S, $A66,
  '[1]Hoja 1'!$R:$R, "&gt;="&amp;INT($CC$1),
  '[1]Hoja 1'!$R:$R, "&lt;"&amp;INT($CD$1+1)
)</f>
        <v>0</v>
      </c>
      <c r="CB66" s="1">
        <f t="shared" si="51"/>
        <v>0</v>
      </c>
      <c r="CC66" s="9">
        <f t="shared" si="52"/>
        <v>0</v>
      </c>
      <c r="CD66" s="10">
        <f t="shared" si="53"/>
        <v>0</v>
      </c>
      <c r="CE66" s="1">
        <f>SUMIFS(
  '[1]Hoja 1'!$M:$M,
  '[1]Hoja 1'!$S:$S, $A66,
  '[1]Hoja 1'!$R:$R, "&gt;="&amp;INT($CG$1),
  '[1]Hoja 1'!$R:$R, "&lt;"&amp;INT($CH$1+1)
)</f>
        <v>0</v>
      </c>
      <c r="CF66" s="1">
        <f t="shared" si="54"/>
        <v>0</v>
      </c>
      <c r="CG66" s="9">
        <f t="shared" si="55"/>
        <v>0</v>
      </c>
      <c r="CH66" s="10">
        <f t="shared" si="56"/>
        <v>0</v>
      </c>
      <c r="CI66" s="1">
        <f>SUMIFS(
  '[1]Hoja 1'!$M:$M,
  '[1]Hoja 1'!$S:$S, $A66,
  '[1]Hoja 1'!$R:$R, "&gt;="&amp;INT($CK$1),
  '[1]Hoja 1'!$R:$R, "&lt;"&amp;INT($CL$1+1)
)</f>
        <v>0</v>
      </c>
      <c r="CJ66" s="1">
        <f t="shared" si="57"/>
        <v>0</v>
      </c>
      <c r="CK66" s="9">
        <f t="shared" si="58"/>
        <v>0</v>
      </c>
      <c r="CL66" s="10">
        <f t="shared" si="59"/>
        <v>0</v>
      </c>
      <c r="CM66" s="1">
        <f>SUMIFS(
  '[1]Hoja 1'!$M:$M,
  '[1]Hoja 1'!$S:$S, $A66,
  '[1]Hoja 1'!$R:$R, "&gt;="&amp;INT($CO$1),
  '[1]Hoja 1'!$R:$R, "&lt;"&amp;INT($CP$1+1)
)</f>
        <v>0</v>
      </c>
      <c r="CN66" s="1">
        <f t="shared" si="60"/>
        <v>0</v>
      </c>
      <c r="CO66" s="9">
        <f t="shared" si="61"/>
        <v>0</v>
      </c>
      <c r="CP66" s="10">
        <f t="shared" si="62"/>
        <v>0</v>
      </c>
      <c r="CQ66" s="1">
        <f>SUMIFS(
  '[1]Hoja 1'!$M:$M,
  '[1]Hoja 1'!$S:$S, $A66,
  '[1]Hoja 1'!$R:$R, "&gt;="&amp;INT($CS$1),
  '[1]Hoja 1'!$R:$R, "&lt;"&amp;INT($CT$1+1)
)</f>
        <v>0</v>
      </c>
      <c r="CR66" s="1">
        <f t="shared" si="63"/>
        <v>0</v>
      </c>
      <c r="CS66" s="9">
        <f t="shared" si="64"/>
        <v>0</v>
      </c>
      <c r="CT66" s="10">
        <f t="shared" si="65"/>
        <v>0</v>
      </c>
      <c r="CU66" s="1">
        <f>SUMIFS(
  '[1]Hoja 1'!$M:$M,
  '[1]Hoja 1'!$S:$S, $A66,
  '[1]Hoja 1'!$R:$R, "&gt;="&amp;INT($CW$1),
  '[1]Hoja 1'!$R:$R, "&lt;"&amp;INT($CX$1+1)
)</f>
        <v>0</v>
      </c>
      <c r="CV66" s="1">
        <f t="shared" si="66"/>
        <v>0</v>
      </c>
      <c r="CW66" s="9">
        <f t="shared" si="67"/>
        <v>0</v>
      </c>
      <c r="CX66" s="10">
        <f t="shared" si="68"/>
        <v>0</v>
      </c>
      <c r="CY66" s="1">
        <f>SUMIFS(
  '[1]Hoja 1'!$M:$M,
  '[1]Hoja 1'!$S:$S, $A66,
  '[1]Hoja 1'!$R:$R, "&gt;="&amp;INT($DA$1),
  '[1]Hoja 1'!$R:$R, "&lt;"&amp;INT($DB$1+1)
)</f>
        <v>0</v>
      </c>
      <c r="CZ66" s="1">
        <f t="shared" si="69"/>
        <v>0</v>
      </c>
      <c r="DA66" s="9">
        <f t="shared" si="70"/>
        <v>0</v>
      </c>
      <c r="DB66" s="10">
        <f t="shared" si="71"/>
        <v>0</v>
      </c>
      <c r="DC66" s="1">
        <f>SUMIFS(
  '[1]Hoja 1'!$M:$M,
  '[1]Hoja 1'!$S:$S, $A66,
  '[1]Hoja 1'!$R:$R, "&gt;="&amp;INT($DE$1),
  '[1]Hoja 1'!$R:$R, "&lt;"&amp;INT($DF$1+1)
)</f>
        <v>0</v>
      </c>
      <c r="DD66" s="1">
        <f t="shared" si="72"/>
        <v>0</v>
      </c>
      <c r="DE66" s="9">
        <f t="shared" si="73"/>
        <v>0</v>
      </c>
      <c r="DF66" s="10">
        <f t="shared" si="74"/>
        <v>0</v>
      </c>
      <c r="DG66" s="1">
        <f>SUMIFS(
  '[1]Hoja 1'!$M:$M,
  '[1]Hoja 1'!$S:$S, $A66,
  '[1]Hoja 1'!$R:$R, "&gt;="&amp;INT($DI$1),
  '[1]Hoja 1'!$R:$R, "&lt;"&amp;INT($DJ$1+1)
)</f>
        <v>0</v>
      </c>
      <c r="DH66" s="1">
        <f t="shared" si="75"/>
        <v>0</v>
      </c>
      <c r="DI66" s="9">
        <f t="shared" si="76"/>
        <v>0</v>
      </c>
      <c r="DJ66" s="10">
        <f t="shared" si="77"/>
        <v>0</v>
      </c>
      <c r="DK66" s="1">
        <f>SUMIFS(
  '[1]Hoja 1'!$M:$M,
  '[1]Hoja 1'!$S:$S, $A66,
  '[1]Hoja 1'!$R:$R, "&gt;="&amp;INT($DM$1),
  '[1]Hoja 1'!$R:$R, "&lt;"&amp;INT($DN$1+1)
)</f>
        <v>0</v>
      </c>
      <c r="DL66" s="1">
        <f t="shared" si="78"/>
        <v>0</v>
      </c>
      <c r="DM66" s="9">
        <f t="shared" si="79"/>
        <v>0</v>
      </c>
      <c r="DN66" s="10">
        <f t="shared" si="80"/>
        <v>0</v>
      </c>
      <c r="DO66" s="1">
        <f>SUMIFS(
  '[1]Hoja 1'!$M:$M,
  '[1]Hoja 1'!$S:$S, $A66,
  '[1]Hoja 1'!$R:$R, "&gt;="&amp;INT($DQ$1),
  '[1]Hoja 1'!$R:$R, "&lt;"&amp;INT($DR$1+1)
)</f>
        <v>0</v>
      </c>
      <c r="DP66" s="1">
        <f t="shared" si="81"/>
        <v>0</v>
      </c>
      <c r="DQ66" s="9">
        <f t="shared" si="82"/>
        <v>0</v>
      </c>
      <c r="DR66" s="10">
        <f t="shared" si="83"/>
        <v>0</v>
      </c>
    </row>
    <row r="67" spans="1:122" x14ac:dyDescent="0.25">
      <c r="A67" s="5">
        <v>209022</v>
      </c>
      <c r="B67" s="6" t="s">
        <v>69</v>
      </c>
      <c r="C67" s="1">
        <f>SUMIFS(
  '[1]Hoja 1'!$M:$M,
  '[1]Hoja 1'!$S:$S, $A67,
  '[1]Hoja 1'!$R:$R, "&gt;="&amp;INT($E$1),
  '[1]Hoja 1'!$R:$R, "&lt;"&amp;INT($F$1+1)
)</f>
        <v>7</v>
      </c>
      <c r="D67" s="1" t="str">
        <f>""</f>
        <v/>
      </c>
      <c r="F67" s="2"/>
      <c r="G67" s="1">
        <f>SUMIFS(
  '[1]Hoja 1'!$M:$M,
  '[1]Hoja 1'!$S:$S, $A67,
  '[1]Hoja 1'!$R:$R, "&gt;="&amp;INT($I$1),
  '[1]Hoja 1'!$R:$R, "&lt;"&amp;INT($J$1+1)
)</f>
        <v>2</v>
      </c>
      <c r="H67" s="1">
        <f t="shared" si="84"/>
        <v>4.5</v>
      </c>
      <c r="I67" s="1"/>
      <c r="J67" s="2"/>
      <c r="K67" s="1">
        <f>SUMIFS(
  '[1]Hoja 1'!$M:$M,
  '[1]Hoja 1'!$S:$S, $A67,
  '[1]Hoja 1'!$R:$R, "&gt;="&amp;INT($M$1),
  '[1]Hoja 1'!$R:$R, "&lt;"&amp;INT($N$1+1)
)</f>
        <v>0</v>
      </c>
      <c r="L67" s="1">
        <f t="shared" si="0"/>
        <v>1</v>
      </c>
      <c r="M67" s="9">
        <f t="shared" si="1"/>
        <v>-1.0788939366884494</v>
      </c>
      <c r="N67" s="10">
        <f t="shared" si="2"/>
        <v>3.0788939366884494</v>
      </c>
      <c r="O67" s="1">
        <f>SUMIFS(
  '[1]Hoja 1'!$M:$M,
  '[1]Hoja 1'!$S:$S, $A67,
  '[1]Hoja 1'!$R:$R, "&gt;="&amp;INT($Q$1),
  '[1]Hoja 1'!$R:$R, "&lt;"&amp;INT($R$1+1)
)</f>
        <v>6</v>
      </c>
      <c r="P67" s="1">
        <f t="shared" si="3"/>
        <v>3</v>
      </c>
      <c r="Q67" s="9">
        <f t="shared" si="4"/>
        <v>-4.5725158890157802</v>
      </c>
      <c r="R67" s="10">
        <f t="shared" si="5"/>
        <v>6.5725158890157802</v>
      </c>
      <c r="S67" s="1">
        <f>SUMIFS(
  '[1]Hoja 1'!$M:$M,
  '[1]Hoja 1'!$S:$S, $A67,
  '[1]Hoja 1'!$R:$R, "&gt;="&amp;INT($U$1),
  '[1]Hoja 1'!$R:$R, "&lt;"&amp;INT($V$1+1)
)</f>
        <v>0</v>
      </c>
      <c r="T67" s="1">
        <f t="shared" si="6"/>
        <v>3</v>
      </c>
      <c r="U67" s="9">
        <f t="shared" si="7"/>
        <v>-2.3302751648797013</v>
      </c>
      <c r="V67" s="10">
        <f t="shared" si="8"/>
        <v>8.3302751648797013</v>
      </c>
      <c r="W67" s="1">
        <f>SUMIFS(
  '[1]Hoja 1'!$M:$M,
  '[1]Hoja 1'!$S:$S, $A67,
  '[1]Hoja 1'!$R:$R, "&gt;="&amp;INT($Y$1),
  '[1]Hoja 1'!$R:$R, "&lt;"&amp;INT($Z$1+1)
)</f>
        <v>0</v>
      </c>
      <c r="X67" s="1">
        <f t="shared" si="9"/>
        <v>0</v>
      </c>
      <c r="Y67" s="9">
        <f t="shared" si="10"/>
        <v>-4.9000000000000004</v>
      </c>
      <c r="Z67" s="10">
        <f t="shared" si="11"/>
        <v>4.9000000000000004</v>
      </c>
      <c r="AA67" s="1">
        <f>SUMIFS(
  '[1]Hoja 1'!$M:$M,
  '[1]Hoja 1'!$S:$S, $A67,
  '[1]Hoja 1'!$R:$R, "&gt;="&amp;INT($AC$1),
  '[1]Hoja 1'!$R:$R, "&lt;"&amp;INT($AD$1+1)
)</f>
        <v>0</v>
      </c>
      <c r="AB67" s="1">
        <f t="shared" si="12"/>
        <v>0</v>
      </c>
      <c r="AC67" s="9">
        <f t="shared" si="13"/>
        <v>-4.1577878733768987</v>
      </c>
      <c r="AD67" s="10">
        <f t="shared" si="14"/>
        <v>4.8009998958550284</v>
      </c>
      <c r="AE67" s="1">
        <f>SUMIFS(
  '[1]Hoja 1'!$M:$M,
  '[1]Hoja 1'!$S:$S, $A67,
  '[1]Hoja 1'!$R:$R, "&gt;="&amp;INT($AG$1),
  '[1]Hoja 1'!$R:$R, "&lt;"&amp;INT($AH$1+1)
)</f>
        <v>0</v>
      </c>
      <c r="AF67" s="1">
        <f t="shared" si="15"/>
        <v>0</v>
      </c>
      <c r="AG67" s="9">
        <f t="shared" si="16"/>
        <v>-2.6296159415397526</v>
      </c>
      <c r="AH67" s="10">
        <f t="shared" si="17"/>
        <v>2.94</v>
      </c>
      <c r="AI67" s="1">
        <f>SUMIFS(
  '[1]Hoja 1'!$M:$M,
  '[1]Hoja 1'!$S:$S, $A67,
  '[1]Hoja 1'!$R:$R, "&gt;="&amp;INT($AK$1),
  '[1]Hoja 1'!$R:$R, "&lt;"&amp;INT($AL$1+1)
)</f>
        <v>0</v>
      </c>
      <c r="AJ67" s="1">
        <f t="shared" si="18"/>
        <v>0</v>
      </c>
      <c r="AK67" s="9">
        <f t="shared" si="19"/>
        <v>0</v>
      </c>
      <c r="AL67" s="10">
        <f t="shared" si="20"/>
        <v>0</v>
      </c>
      <c r="AM67" s="1">
        <f>SUMIFS(
  '[1]Hoja 1'!$M:$M,
  '[1]Hoja 1'!$S:$S, $A67,
  '[1]Hoja 1'!$R:$R, "&gt;="&amp;INT($AO$1),
  '[1]Hoja 1'!$R:$R, "&lt;"&amp;INT($AP$1+1)
)</f>
        <v>0</v>
      </c>
      <c r="AN67" s="1">
        <f t="shared" si="21"/>
        <v>0</v>
      </c>
      <c r="AO67" s="9">
        <f t="shared" si="22"/>
        <v>0</v>
      </c>
      <c r="AP67" s="10">
        <f t="shared" si="23"/>
        <v>0</v>
      </c>
      <c r="AQ67" s="1">
        <f>SUMIFS(
  '[1]Hoja 1'!$M:$M,
  '[1]Hoja 1'!$S:$S, $A67,
  '[1]Hoja 1'!$R:$R, "&gt;="&amp;INT($AS$1),
  '[1]Hoja 1'!$R:$R, "&lt;"&amp;INT($AT$1+1)
)</f>
        <v>0</v>
      </c>
      <c r="AR67" s="1">
        <f t="shared" si="24"/>
        <v>0</v>
      </c>
      <c r="AS67" s="9">
        <f t="shared" si="25"/>
        <v>0</v>
      </c>
      <c r="AT67" s="10">
        <f t="shared" si="26"/>
        <v>0</v>
      </c>
      <c r="AU67" s="1">
        <f>SUMIFS(
  '[1]Hoja 1'!$M:$M,
  '[1]Hoja 1'!$S:$S, $A67,
  '[1]Hoja 1'!$R:$R, "&gt;="&amp;INT($AW$1),
  '[1]Hoja 1'!$R:$R, "&lt;"&amp;INT($AX$1+1)
)</f>
        <v>0</v>
      </c>
      <c r="AV67" s="1">
        <f t="shared" si="27"/>
        <v>0</v>
      </c>
      <c r="AW67" s="9">
        <f t="shared" si="28"/>
        <v>0</v>
      </c>
      <c r="AX67" s="10">
        <f t="shared" si="29"/>
        <v>0</v>
      </c>
      <c r="AY67" s="1">
        <f>SUMIFS(
  '[1]Hoja 1'!$M:$M,
  '[1]Hoja 1'!$S:$S, $A67,
  '[1]Hoja 1'!$R:$R, "&gt;="&amp;INT($BA$1),
  '[1]Hoja 1'!$R:$R, "&lt;"&amp;INT($BB$1+1)
)</f>
        <v>0</v>
      </c>
      <c r="AZ67" s="1">
        <f t="shared" si="30"/>
        <v>0</v>
      </c>
      <c r="BA67" s="9">
        <f t="shared" si="31"/>
        <v>0</v>
      </c>
      <c r="BB67" s="10">
        <f t="shared" si="32"/>
        <v>0</v>
      </c>
      <c r="BC67" s="1">
        <f>SUMIFS(
  '[1]Hoja 1'!$M:$M,
  '[1]Hoja 1'!$S:$S, $A67,
  '[1]Hoja 1'!$R:$R, "&gt;="&amp;INT($BE$1),
  '[1]Hoja 1'!$R:$R, "&lt;"&amp;INT($BF$1+1)
)</f>
        <v>0</v>
      </c>
      <c r="BD67" s="1">
        <f t="shared" si="33"/>
        <v>0</v>
      </c>
      <c r="BE67" s="9">
        <f t="shared" si="34"/>
        <v>0</v>
      </c>
      <c r="BF67" s="10">
        <f t="shared" si="35"/>
        <v>0</v>
      </c>
      <c r="BG67" s="1">
        <f>SUMIFS(
  '[1]Hoja 1'!$M:$M,
  '[1]Hoja 1'!$S:$S, $A67,
  '[1]Hoja 1'!$R:$R, "&gt;="&amp;INT($BI$1),
  '[1]Hoja 1'!$R:$R, "&lt;"&amp;INT($BJ$1+1)
)</f>
        <v>0</v>
      </c>
      <c r="BH67" s="1">
        <f t="shared" si="36"/>
        <v>0</v>
      </c>
      <c r="BI67" s="9">
        <f t="shared" si="37"/>
        <v>0</v>
      </c>
      <c r="BJ67" s="10">
        <f t="shared" si="38"/>
        <v>0</v>
      </c>
      <c r="BK67" s="1">
        <f>SUMIFS(
  '[1]Hoja 1'!$M:$M,
  '[1]Hoja 1'!$S:$S, $A67,
  '[1]Hoja 1'!$R:$R, "&gt;="&amp;INT($BM$1),
  '[1]Hoja 1'!$R:$R, "&lt;"&amp;INT($BN$1+1)
)</f>
        <v>0</v>
      </c>
      <c r="BL67" s="1">
        <f t="shared" si="39"/>
        <v>0</v>
      </c>
      <c r="BM67" s="9">
        <f t="shared" si="40"/>
        <v>0</v>
      </c>
      <c r="BN67" s="10">
        <f t="shared" si="41"/>
        <v>0</v>
      </c>
      <c r="BO67" s="1">
        <f>SUMIFS(
  '[1]Hoja 1'!$M:$M,
  '[1]Hoja 1'!$S:$S, $A67,
  '[1]Hoja 1'!$R:$R, "&gt;="&amp;INT($BQ$1),
  '[1]Hoja 1'!$R:$R, "&lt;"&amp;INT($BR$1+1)
)</f>
        <v>0</v>
      </c>
      <c r="BP67" s="1">
        <f t="shared" si="42"/>
        <v>0</v>
      </c>
      <c r="BQ67" s="9">
        <f t="shared" si="43"/>
        <v>0</v>
      </c>
      <c r="BR67" s="10">
        <f t="shared" si="44"/>
        <v>0</v>
      </c>
      <c r="BS67" s="1">
        <f>SUMIFS(
  '[1]Hoja 1'!$M:$M,
  '[1]Hoja 1'!$S:$S, $A67,
  '[1]Hoja 1'!$R:$R, "&gt;="&amp;INT($BU$1),
  '[1]Hoja 1'!$R:$R, "&lt;"&amp;INT($BV$1+1)
)</f>
        <v>0</v>
      </c>
      <c r="BT67" s="1">
        <f t="shared" si="45"/>
        <v>0</v>
      </c>
      <c r="BU67" s="9">
        <f t="shared" si="46"/>
        <v>0</v>
      </c>
      <c r="BV67" s="10">
        <f t="shared" si="47"/>
        <v>0</v>
      </c>
      <c r="BW67" s="1">
        <f>SUMIFS(
  '[1]Hoja 1'!$M:$M,
  '[1]Hoja 1'!$S:$S, $A67,
  '[1]Hoja 1'!$R:$R, "&gt;="&amp;INT($BY$1),
  '[1]Hoja 1'!$R:$R, "&lt;"&amp;INT($BZ$1+1)
)</f>
        <v>0</v>
      </c>
      <c r="BX67" s="1">
        <f t="shared" si="48"/>
        <v>0</v>
      </c>
      <c r="BY67" s="9">
        <f t="shared" si="49"/>
        <v>0</v>
      </c>
      <c r="BZ67" s="10">
        <f t="shared" si="50"/>
        <v>0</v>
      </c>
      <c r="CA67" s="1">
        <f>SUMIFS(
  '[1]Hoja 1'!$M:$M,
  '[1]Hoja 1'!$S:$S, $A67,
  '[1]Hoja 1'!$R:$R, "&gt;="&amp;INT($CC$1),
  '[1]Hoja 1'!$R:$R, "&lt;"&amp;INT($CD$1+1)
)</f>
        <v>0</v>
      </c>
      <c r="CB67" s="1">
        <f t="shared" si="51"/>
        <v>0</v>
      </c>
      <c r="CC67" s="9">
        <f t="shared" si="52"/>
        <v>0</v>
      </c>
      <c r="CD67" s="10">
        <f t="shared" si="53"/>
        <v>0</v>
      </c>
      <c r="CE67" s="1">
        <f>SUMIFS(
  '[1]Hoja 1'!$M:$M,
  '[1]Hoja 1'!$S:$S, $A67,
  '[1]Hoja 1'!$R:$R, "&gt;="&amp;INT($CG$1),
  '[1]Hoja 1'!$R:$R, "&lt;"&amp;INT($CH$1+1)
)</f>
        <v>0</v>
      </c>
      <c r="CF67" s="1">
        <f t="shared" si="54"/>
        <v>0</v>
      </c>
      <c r="CG67" s="9">
        <f t="shared" si="55"/>
        <v>0</v>
      </c>
      <c r="CH67" s="10">
        <f t="shared" si="56"/>
        <v>0</v>
      </c>
      <c r="CI67" s="1">
        <f>SUMIFS(
  '[1]Hoja 1'!$M:$M,
  '[1]Hoja 1'!$S:$S, $A67,
  '[1]Hoja 1'!$R:$R, "&gt;="&amp;INT($CK$1),
  '[1]Hoja 1'!$R:$R, "&lt;"&amp;INT($CL$1+1)
)</f>
        <v>0</v>
      </c>
      <c r="CJ67" s="1">
        <f t="shared" si="57"/>
        <v>0</v>
      </c>
      <c r="CK67" s="9">
        <f t="shared" si="58"/>
        <v>0</v>
      </c>
      <c r="CL67" s="10">
        <f t="shared" si="59"/>
        <v>0</v>
      </c>
      <c r="CM67" s="1">
        <f>SUMIFS(
  '[1]Hoja 1'!$M:$M,
  '[1]Hoja 1'!$S:$S, $A67,
  '[1]Hoja 1'!$R:$R, "&gt;="&amp;INT($CO$1),
  '[1]Hoja 1'!$R:$R, "&lt;"&amp;INT($CP$1+1)
)</f>
        <v>0</v>
      </c>
      <c r="CN67" s="1">
        <f t="shared" si="60"/>
        <v>0</v>
      </c>
      <c r="CO67" s="9">
        <f t="shared" si="61"/>
        <v>0</v>
      </c>
      <c r="CP67" s="10">
        <f t="shared" si="62"/>
        <v>0</v>
      </c>
      <c r="CQ67" s="1">
        <f>SUMIFS(
  '[1]Hoja 1'!$M:$M,
  '[1]Hoja 1'!$S:$S, $A67,
  '[1]Hoja 1'!$R:$R, "&gt;="&amp;INT($CS$1),
  '[1]Hoja 1'!$R:$R, "&lt;"&amp;INT($CT$1+1)
)</f>
        <v>0</v>
      </c>
      <c r="CR67" s="1">
        <f t="shared" si="63"/>
        <v>0</v>
      </c>
      <c r="CS67" s="9">
        <f t="shared" si="64"/>
        <v>0</v>
      </c>
      <c r="CT67" s="10">
        <f t="shared" si="65"/>
        <v>0</v>
      </c>
      <c r="CU67" s="1">
        <f>SUMIFS(
  '[1]Hoja 1'!$M:$M,
  '[1]Hoja 1'!$S:$S, $A67,
  '[1]Hoja 1'!$R:$R, "&gt;="&amp;INT($CW$1),
  '[1]Hoja 1'!$R:$R, "&lt;"&amp;INT($CX$1+1)
)</f>
        <v>0</v>
      </c>
      <c r="CV67" s="1">
        <f t="shared" si="66"/>
        <v>0</v>
      </c>
      <c r="CW67" s="9">
        <f t="shared" si="67"/>
        <v>0</v>
      </c>
      <c r="CX67" s="10">
        <f t="shared" si="68"/>
        <v>0</v>
      </c>
      <c r="CY67" s="1">
        <f>SUMIFS(
  '[1]Hoja 1'!$M:$M,
  '[1]Hoja 1'!$S:$S, $A67,
  '[1]Hoja 1'!$R:$R, "&gt;="&amp;INT($DA$1),
  '[1]Hoja 1'!$R:$R, "&lt;"&amp;INT($DB$1+1)
)</f>
        <v>0</v>
      </c>
      <c r="CZ67" s="1">
        <f t="shared" si="69"/>
        <v>0</v>
      </c>
      <c r="DA67" s="9">
        <f t="shared" si="70"/>
        <v>0</v>
      </c>
      <c r="DB67" s="10">
        <f t="shared" si="71"/>
        <v>0</v>
      </c>
      <c r="DC67" s="1">
        <f>SUMIFS(
  '[1]Hoja 1'!$M:$M,
  '[1]Hoja 1'!$S:$S, $A67,
  '[1]Hoja 1'!$R:$R, "&gt;="&amp;INT($DE$1),
  '[1]Hoja 1'!$R:$R, "&lt;"&amp;INT($DF$1+1)
)</f>
        <v>0</v>
      </c>
      <c r="DD67" s="1">
        <f t="shared" si="72"/>
        <v>0</v>
      </c>
      <c r="DE67" s="9">
        <f t="shared" si="73"/>
        <v>0</v>
      </c>
      <c r="DF67" s="10">
        <f t="shared" si="74"/>
        <v>0</v>
      </c>
      <c r="DG67" s="1">
        <f>SUMIFS(
  '[1]Hoja 1'!$M:$M,
  '[1]Hoja 1'!$S:$S, $A67,
  '[1]Hoja 1'!$R:$R, "&gt;="&amp;INT($DI$1),
  '[1]Hoja 1'!$R:$R, "&lt;"&amp;INT($DJ$1+1)
)</f>
        <v>0</v>
      </c>
      <c r="DH67" s="1">
        <f t="shared" si="75"/>
        <v>0</v>
      </c>
      <c r="DI67" s="9">
        <f t="shared" si="76"/>
        <v>0</v>
      </c>
      <c r="DJ67" s="10">
        <f t="shared" si="77"/>
        <v>0</v>
      </c>
      <c r="DK67" s="1">
        <f>SUMIFS(
  '[1]Hoja 1'!$M:$M,
  '[1]Hoja 1'!$S:$S, $A67,
  '[1]Hoja 1'!$R:$R, "&gt;="&amp;INT($DM$1),
  '[1]Hoja 1'!$R:$R, "&lt;"&amp;INT($DN$1+1)
)</f>
        <v>0</v>
      </c>
      <c r="DL67" s="1">
        <f t="shared" si="78"/>
        <v>0</v>
      </c>
      <c r="DM67" s="9">
        <f t="shared" si="79"/>
        <v>0</v>
      </c>
      <c r="DN67" s="10">
        <f t="shared" si="80"/>
        <v>0</v>
      </c>
      <c r="DO67" s="1">
        <f>SUMIFS(
  '[1]Hoja 1'!$M:$M,
  '[1]Hoja 1'!$S:$S, $A67,
  '[1]Hoja 1'!$R:$R, "&gt;="&amp;INT($DQ$1),
  '[1]Hoja 1'!$R:$R, "&lt;"&amp;INT($DR$1+1)
)</f>
        <v>0</v>
      </c>
      <c r="DP67" s="1">
        <f t="shared" si="81"/>
        <v>0</v>
      </c>
      <c r="DQ67" s="9">
        <f t="shared" si="82"/>
        <v>0</v>
      </c>
      <c r="DR67" s="10">
        <f t="shared" si="83"/>
        <v>0</v>
      </c>
    </row>
    <row r="68" spans="1:122" x14ac:dyDescent="0.25">
      <c r="A68" s="5">
        <v>209023</v>
      </c>
      <c r="B68" s="6" t="s">
        <v>70</v>
      </c>
      <c r="C68" s="1">
        <f>SUMIFS(
  '[1]Hoja 1'!$M:$M,
  '[1]Hoja 1'!$S:$S, $A68,
  '[1]Hoja 1'!$R:$R, "&gt;="&amp;INT($E$1),
  '[1]Hoja 1'!$R:$R, "&lt;"&amp;INT($F$1+1)
)</f>
        <v>0</v>
      </c>
      <c r="D68" s="1" t="str">
        <f>""</f>
        <v/>
      </c>
      <c r="F68" s="2"/>
      <c r="G68" s="1">
        <f>SUMIFS(
  '[1]Hoja 1'!$M:$M,
  '[1]Hoja 1'!$S:$S, $A68,
  '[1]Hoja 1'!$R:$R, "&gt;="&amp;INT($I$1),
  '[1]Hoja 1'!$R:$R, "&lt;"&amp;INT($J$1+1)
)</f>
        <v>0</v>
      </c>
      <c r="H68" s="1">
        <f t="shared" ref="H68:H131" si="85">IF(OR(ISBLANK(C68),ISBLANK(G68)),"",AVERAGE(C68,G68))</f>
        <v>0</v>
      </c>
      <c r="I68" s="1"/>
      <c r="J68" s="2"/>
      <c r="K68" s="1">
        <f>SUMIFS(
  '[1]Hoja 1'!$M:$M,
  '[1]Hoja 1'!$S:$S, $A68,
  '[1]Hoja 1'!$R:$R, "&gt;="&amp;INT($M$1),
  '[1]Hoja 1'!$R:$R, "&lt;"&amp;INT($N$1+1)
)</f>
        <v>0</v>
      </c>
      <c r="L68" s="1">
        <f t="shared" ref="L68:L131" si="86">IF(
    OR(ISBLANK(G68),ISBLANK(K68)),
    "",
    AVERAGE(G68,K68)
)</f>
        <v>0</v>
      </c>
      <c r="M68" s="9">
        <f t="shared" ref="M68:M131" si="87">IF(
  OR(ISBLANK(L68),ISBLANK(G68),ISBLANK(K68),ISBLANK(C68)),
  "",
  L68 - 1.96*_xlfn.STDEV.S(
    G68-AVERAGE(C68,G68),
    K68-AVERAGE(G68,K68)
  )
)</f>
        <v>0</v>
      </c>
      <c r="N68" s="10">
        <f t="shared" ref="N68:N131" si="88">IF(
  OR(ISBLANK(L68),ISBLANK(G68),ISBLANK(K68),ISBLANK(C68)),
  "",
  L68 + 1.96*_xlfn.STDEV.S(
    G68-AVERAGE(C68,G68),
    K68-AVERAGE(G68,K68)
  )
)</f>
        <v>0</v>
      </c>
      <c r="O68" s="1">
        <f>SUMIFS(
  '[1]Hoja 1'!$M:$M,
  '[1]Hoja 1'!$S:$S, $A68,
  '[1]Hoja 1'!$R:$R, "&gt;="&amp;INT($Q$1),
  '[1]Hoja 1'!$R:$R, "&lt;"&amp;INT($R$1+1)
)</f>
        <v>0</v>
      </c>
      <c r="P68" s="1">
        <f t="shared" ref="P68:P131" si="89">IF(
    OR(ISBLANK(K68),ISBLANK(O68)),
    "",
    AVERAGE(K68,O68)
)</f>
        <v>0</v>
      </c>
      <c r="Q68" s="9">
        <f t="shared" ref="Q68:Q131" si="90">IF(
    OR(ISBLANK(P68),ISBLANK(G68),ISBLANK(K68),ISBLANK(C68)),
    "",
    L68 - 1.96*_xlfn.STDEV.S(
    G68-AVERAGE(C68,G68),
    K68-AVERAGE(G68,K68),
    O68-AVERAGE(K68,O68)
  )
)</f>
        <v>0</v>
      </c>
      <c r="R68" s="10">
        <f t="shared" ref="R68:R131" si="91">IF(
    OR(ISBLANK(P68),ISBLANK(G68),ISBLANK(K68),ISBLANK(C68)),
    "",
    L68 + 1.96*_xlfn.STDEV.S(
    G68-AVERAGE(C68,G68),
    K68-AVERAGE(G68,K68),
    O68-AVERAGE(K68,O68)
  )
)</f>
        <v>0</v>
      </c>
      <c r="S68" s="1">
        <f>SUMIFS(
  '[1]Hoja 1'!$M:$M,
  '[1]Hoja 1'!$S:$S, $A68,
  '[1]Hoja 1'!$R:$R, "&gt;="&amp;INT($U$1),
  '[1]Hoja 1'!$R:$R, "&lt;"&amp;INT($V$1+1)
)</f>
        <v>0</v>
      </c>
      <c r="T68" s="1">
        <f t="shared" ref="T68:T131" si="92">IF(
    OR(ISBLANK(O68),ISBLANK(S68)),
    "",
    ROUND(AVERAGE(O68,S68),0)
)</f>
        <v>0</v>
      </c>
      <c r="U68" s="9">
        <f t="shared" ref="U68:U131" si="93">IF(
    OR(ISBLANK(L68),ISBLANK(G68),ISBLANK(K68),ISBLANK(C68)),
    "",
    T68 - 1.96*_xlfn.STDEV.S(
    G68-AVERAGE(C68,G68),
    K68-AVERAGE(G68,K68),
    O68-AVERAGE(K68,O68),
    S68-AVERAGE(O68,S68)
  )
)</f>
        <v>0</v>
      </c>
      <c r="V68" s="10">
        <f t="shared" ref="V68:V131" si="94">IF(
    OR(ISBLANK(L68),ISBLANK(G68),ISBLANK(K68),ISBLANK(C68)),
    "",
    T68 + 1.96*_xlfn.STDEV.S(
    G68-AVERAGE(C68,G68),
    K68-AVERAGE(G68,K68),
    O68-AVERAGE(K68,O68),
    S68-AVERAGE(O68,S68)
  )
)</f>
        <v>0</v>
      </c>
      <c r="W68" s="1">
        <f>SUMIFS(
  '[1]Hoja 1'!$M:$M,
  '[1]Hoja 1'!$S:$S, $A68,
  '[1]Hoja 1'!$R:$R, "&gt;="&amp;INT($Y$1),
  '[1]Hoja 1'!$R:$R, "&lt;"&amp;INT($Z$1+1)
)</f>
        <v>0</v>
      </c>
      <c r="X68" s="1">
        <f t="shared" ref="X68:X131" si="95">IF(
    OR(ISBLANK(S68),ISBLANK(W68)),
    "",
    ROUND(AVERAGE(S68,W68),0)
)</f>
        <v>0</v>
      </c>
      <c r="Y68" s="9">
        <f t="shared" ref="Y68:Y131" si="96">IF(
    OR(ISBLANK(P68),ISBLANK(K68),ISBLANK(O68),ISBLANK(G68)),
    "",
    X68 - 1.96*_xlfn.STDEV.S(
    K68-AVERAGE(G68,K68),
    O68-AVERAGE(K68,O68),
    S68-AVERAGE(O68,S68),
    W68-AVERAGE(S68,W68)
  )
)</f>
        <v>0</v>
      </c>
      <c r="Z68" s="10">
        <f t="shared" ref="Z68:Z131" si="97">IF(
    OR(ISBLANK(P68),ISBLANK(K68),ISBLANK(O68),ISBLANK(G68)),
    "",
    X68 + 1.96*_xlfn.STDEV.S(
    K68-AVERAGE(G68,K68),
    O68-AVERAGE(K68,O68),
    S68-AVERAGE(O68,S68),
    W68-AVERAGE(S68,W68)
  )
)</f>
        <v>0</v>
      </c>
      <c r="AA68" s="1">
        <f>SUMIFS(
  '[1]Hoja 1'!$M:$M,
  '[1]Hoja 1'!$S:$S, $A68,
  '[1]Hoja 1'!$R:$R, "&gt;="&amp;INT($AC$1),
  '[1]Hoja 1'!$R:$R, "&lt;"&amp;INT($AD$1+1)
)</f>
        <v>0</v>
      </c>
      <c r="AB68" s="1">
        <f t="shared" ref="AB68:AB131" si="98">IF(
    OR(ISBLANK(W68),ISBLANK(AA68)),
    "",
    ROUND(AVERAGE(W68,AA68),0)
)</f>
        <v>0</v>
      </c>
      <c r="AC68" s="9">
        <f t="shared" ref="AC68:AC131" si="99">IF(
    OR(ISBLANK(T68),ISBLANK(O68),ISBLANK(S68),ISBLANK(K68)),
    "",
    AB68 - 1.96*_xlfn.STDEV.S(
    O68-AVERAGE(K68,O68),
    S68-AVERAGE(O68,S68),
    W68-AVERAGE(S68,W68),
    AA68-AVERAGE(W68,AA68),
  )
)</f>
        <v>0</v>
      </c>
      <c r="AD68" s="10">
        <f t="shared" ref="AD68:AD131" si="100">IF(
    OR(ISBLANK(T68),ISBLANK(O68),ISBLANK(S68),ISBLANK(K68)),
    "",
    AB68 + 1.96*_xlfn.STDEV.S(
    O68-AVERAGE(K68,O68),
    S68-AVERAGE(O68,S68),
    W68-AVERAGE(S68,W68),
    AA68-AVERAGE(W68,AA68)
  )
)</f>
        <v>0</v>
      </c>
      <c r="AE68" s="1">
        <f>SUMIFS(
  '[1]Hoja 1'!$M:$M,
  '[1]Hoja 1'!$S:$S, $A68,
  '[1]Hoja 1'!$R:$R, "&gt;="&amp;INT($AG$1),
  '[1]Hoja 1'!$R:$R, "&lt;"&amp;INT($AH$1+1)
)</f>
        <v>0</v>
      </c>
      <c r="AF68" s="1">
        <f t="shared" ref="AF68:AF131" si="101">IF(
    OR(ISBLANK(AA68),ISBLANK(AE68)),
    "",
    ROUND(AVERAGE(AA68,AE68),0)
)</f>
        <v>0</v>
      </c>
      <c r="AG68" s="9">
        <f t="shared" ref="AG68:AG131" si="102">IF(
    OR(ISBLANK(X68),ISBLANK(S68),ISBLANK(W68),ISBLANK(O68)),
    "",
    AF68 - 1.96*_xlfn.STDEV.S(
    S68-AVERAGE(O68,S68),
    W68-AVERAGE(S68,W68),
    AA68-AVERAGE(W68,AA68),
    AE68-AVERAGE(AA68,AE68),
  )
)</f>
        <v>0</v>
      </c>
      <c r="AH68" s="10">
        <f t="shared" ref="AH68:AH131" si="103">IF(
    OR(ISBLANK(X68),ISBLANK(S68),ISBLANK(W68),ISBLANK(O68)),
    "",
    AF68 + 1.96*_xlfn.STDEV.S(
    S68-AVERAGE(O68,S68),
    W68-AVERAGE(S68,W68),
    AA68-AVERAGE(W68,AA68),
    AE68-AVERAGE(AA68,AE68)
  )
)</f>
        <v>0</v>
      </c>
      <c r="AI68" s="1">
        <f>SUMIFS(
  '[1]Hoja 1'!$M:$M,
  '[1]Hoja 1'!$S:$S, $A68,
  '[1]Hoja 1'!$R:$R, "&gt;="&amp;INT($AK$1),
  '[1]Hoja 1'!$R:$R, "&lt;"&amp;INT($AL$1+1)
)</f>
        <v>0</v>
      </c>
      <c r="AJ68" s="1">
        <f t="shared" ref="AJ68:AJ131" si="104">IF(
    OR(ISBLANK(AE68),ISBLANK(AI68)),
    "",
    ROUND(AVERAGE(AE68,AI68),0)
)</f>
        <v>0</v>
      </c>
      <c r="AK68" s="9">
        <f t="shared" ref="AK68:AK131" si="105">IF(
    OR(ISBLANK(AB68),ISBLANK(W68),ISBLANK(AA68),ISBLANK(S68)),
    "",
    AJ68 - 1.96*_xlfn.STDEV.S(
    W68-AVERAGE(S68,W68),
    AA68-AVERAGE(W68,AA68),
    AE68-AVERAGE(AA68,AE68),
    AI68-AVERAGE(AE68,AI68),
  )
)</f>
        <v>0</v>
      </c>
      <c r="AL68" s="10">
        <f t="shared" ref="AL68:AL131" si="106">IF(
    OR(ISBLANK(AB68),ISBLANK(W68),ISBLANK(AA68),ISBLANK(S68)),
    "",
    AJ68 + 1.96*_xlfn.STDEV.S(
    W68-AVERAGE(S68,W68),
    AA68-AVERAGE(W68,AA68),
    AE68-AVERAGE(AA68,AE68),
    AI68-AVERAGE(AE68,AI68)
  )
)</f>
        <v>0</v>
      </c>
      <c r="AM68" s="1">
        <f>SUMIFS(
  '[1]Hoja 1'!$M:$M,
  '[1]Hoja 1'!$S:$S, $A68,
  '[1]Hoja 1'!$R:$R, "&gt;="&amp;INT($AO$1),
  '[1]Hoja 1'!$R:$R, "&lt;"&amp;INT($AP$1+1)
)</f>
        <v>0</v>
      </c>
      <c r="AN68" s="1">
        <f t="shared" ref="AN68:AN131" si="107">IF(
    OR(ISBLANK(AI68),ISBLANK(AM68)),
    "",
    ROUND(AVERAGE(AI68,AM68),0)
)</f>
        <v>0</v>
      </c>
      <c r="AO68" s="9">
        <f t="shared" ref="AO68:AO131" si="108">IF(
    OR(ISBLANK(AF68),ISBLANK(AA68),ISBLANK(AE68),ISBLANK(W68)),
    "",
    AN68 - 1.96*_xlfn.STDEV.S(
    AA68-AVERAGE(W68,AA68),
    AE68-AVERAGE(AA68,AE68),
    AI68-AVERAGE(AE68,AI68),
    AM68-AVERAGE(AI68,AM68),
  )
)</f>
        <v>0</v>
      </c>
      <c r="AP68" s="10">
        <f t="shared" ref="AP68:AP131" si="109">IF(
    OR(ISBLANK(AF68),ISBLANK(AA68),ISBLANK(AE68),ISBLANK(W68)),
    "",
    AN68 + 1.96*_xlfn.STDEV.S(
    AA68-AVERAGE(W68,AA68),
    AE68-AVERAGE(AA68,AE68),
    AI68-AVERAGE(AE68,AI68),
    AM68-AVERAGE(AI68,AM68)
  )
)</f>
        <v>0</v>
      </c>
      <c r="AQ68" s="1">
        <f>SUMIFS(
  '[1]Hoja 1'!$M:$M,
  '[1]Hoja 1'!$S:$S, $A68,
  '[1]Hoja 1'!$R:$R, "&gt;="&amp;INT($AS$1),
  '[1]Hoja 1'!$R:$R, "&lt;"&amp;INT($AT$1+1)
)</f>
        <v>0</v>
      </c>
      <c r="AR68" s="1">
        <f t="shared" ref="AR68:AR131" si="110">IF(
    OR(ISBLANK(AM68),ISBLANK(AQ68)),
    "",
    ROUND(AVERAGE(AM68,AQ68),0)
)</f>
        <v>0</v>
      </c>
      <c r="AS68" s="9">
        <f t="shared" ref="AS68:AS131" si="111">IF(
    OR(ISBLANK(AJ68),ISBLANK(AE68),ISBLANK(AI68),ISBLANK(AA68)),
    "",
    AR68 - 1.96*_xlfn.STDEV.S(
    AE68-AVERAGE(AA68,AE68),
    AI68-AVERAGE(AE68,AI68),
    AM68-AVERAGE(AI68,AM68),
    AQ68-AVERAGE(AM68,AQ68),
  )
)</f>
        <v>0</v>
      </c>
      <c r="AT68" s="10">
        <f t="shared" ref="AT68:AT131" si="112">IF(
    OR(ISBLANK(AJ68),ISBLANK(AE68),ISBLANK(AI68),ISBLANK(AA68)),
    "",
    AR68 + 1.96*_xlfn.STDEV.S(
    AE68-AVERAGE(AA68,AE68),
    AI68-AVERAGE(AE68,AI68),
    AM68-AVERAGE(AI68,AM68),
    AQ68-AVERAGE(AM68,AQ68)
  )
)</f>
        <v>0</v>
      </c>
      <c r="AU68" s="1">
        <f>SUMIFS(
  '[1]Hoja 1'!$M:$M,
  '[1]Hoja 1'!$S:$S, $A68,
  '[1]Hoja 1'!$R:$R, "&gt;="&amp;INT($AW$1),
  '[1]Hoja 1'!$R:$R, "&lt;"&amp;INT($AX$1+1)
)</f>
        <v>0</v>
      </c>
      <c r="AV68" s="1">
        <f t="shared" ref="AV68:AV131" si="113">IF(
    OR(ISBLANK(AQ68),ISBLANK(AU68)),
    "",
    ROUND(AVERAGE(AQ68,AU68),0)
)</f>
        <v>0</v>
      </c>
      <c r="AW68" s="9">
        <f t="shared" ref="AW68:AW131" si="114">IF(
    OR(ISBLANK(AN68),ISBLANK(AI68),ISBLANK(AM68),ISBLANK(AE68)),
    "",
    AV68 - 1.96*_xlfn.STDEV.S(
    AI68-AVERAGE(AE68,AI68),
    AM68-AVERAGE(AI68,AM68),
    AQ68-AVERAGE(AM68,AQ68),
    AU68-AVERAGE(AQ68,AU68),
  )
)</f>
        <v>0</v>
      </c>
      <c r="AX68" s="10">
        <f t="shared" ref="AX68:AX131" si="115">IF(
    OR(ISBLANK(AN68),ISBLANK(AI68),ISBLANK(AM68),ISBLANK(AE68)),
    "",
    AV68 + 1.96*_xlfn.STDEV.S(
    AI68-AVERAGE(AE68,AI68),
    AM68-AVERAGE(AI68,AM68),
    AQ68-AVERAGE(AM68,AQ68),
    AU68-AVERAGE(AQ68,AU68)
  )
)</f>
        <v>0</v>
      </c>
      <c r="AY68" s="1">
        <f>SUMIFS(
  '[1]Hoja 1'!$M:$M,
  '[1]Hoja 1'!$S:$S, $A68,
  '[1]Hoja 1'!$R:$R, "&gt;="&amp;INT($BA$1),
  '[1]Hoja 1'!$R:$R, "&lt;"&amp;INT($BB$1+1)
)</f>
        <v>0</v>
      </c>
      <c r="AZ68" s="1">
        <f t="shared" ref="AZ68:AZ131" si="116">IF(
    OR(ISBLANK(AU68),ISBLANK(AY68)),
    "",
    ROUND(AVERAGE(AU68,AY68),0)
)</f>
        <v>0</v>
      </c>
      <c r="BA68" s="9">
        <f t="shared" ref="BA68:BA131" si="117">IF(
    OR(ISBLANK(AR68),ISBLANK(AM68),ISBLANK(AQ68),ISBLANK(AI68)),
    "",
    AZ68 - 1.96*_xlfn.STDEV.S(
    AM68-AVERAGE(AI68,AM68),
    AQ68-AVERAGE(AM68,AQ68),
    AU68-AVERAGE(AQ68,AU68),
    AY68-AVERAGE(AU68,AY68),
  )
)</f>
        <v>0</v>
      </c>
      <c r="BB68" s="10">
        <f t="shared" ref="BB68:BB131" si="118">IF(
    OR(ISBLANK(AR68),ISBLANK(AM68),ISBLANK(AQ68),ISBLANK(AI68)),
    "",
    AZ68 + 1.96*_xlfn.STDEV.S(
    AM68-AVERAGE(AI68,AM68),
    AQ68-AVERAGE(AM68,AQ68),
    AU68-AVERAGE(AQ68,AU68),
    AY68-AVERAGE(AU68,AY68)
  )
)</f>
        <v>0</v>
      </c>
      <c r="BC68" s="1">
        <f>SUMIFS(
  '[1]Hoja 1'!$M:$M,
  '[1]Hoja 1'!$S:$S, $A68,
  '[1]Hoja 1'!$R:$R, "&gt;="&amp;INT($BE$1),
  '[1]Hoja 1'!$R:$R, "&lt;"&amp;INT($BF$1+1)
)</f>
        <v>0</v>
      </c>
      <c r="BD68" s="1">
        <f t="shared" ref="BD68:BD131" si="119">IF(
    OR(ISBLANK(AY68),ISBLANK(BC68)),
    "",
    ROUND(AVERAGE(AY68,BC68),0)
)</f>
        <v>0</v>
      </c>
      <c r="BE68" s="9">
        <f t="shared" ref="BE68:BE131" si="120">IF(
    OR(ISBLANK(AV68),ISBLANK(AQ68),ISBLANK(AU68),ISBLANK(AM68)),
    "",
    BD68 - 1.96*_xlfn.STDEV.S(
    AQ68-AVERAGE(AM68,AQ68),
    AU68-AVERAGE(AQ68,AU68),
    AY68-AVERAGE(AU68,AY68),
    BC68-AVERAGE(AY68,BC68),
  )
)</f>
        <v>0</v>
      </c>
      <c r="BF68" s="10">
        <f t="shared" ref="BF68:BF131" si="121">IF(
    OR(ISBLANK(AV68),ISBLANK(AQ68),ISBLANK(AU68),ISBLANK(AM68)),
    "",
    BD68 + 1.96*_xlfn.STDEV.S(
    AQ68-AVERAGE(AM68,AQ68),
    AU68-AVERAGE(AQ68,AU68),
    AY68-AVERAGE(AU68,AY68),
    BC68-AVERAGE(AY68,BC68)
  )
)</f>
        <v>0</v>
      </c>
      <c r="BG68" s="1">
        <f>SUMIFS(
  '[1]Hoja 1'!$M:$M,
  '[1]Hoja 1'!$S:$S, $A68,
  '[1]Hoja 1'!$R:$R, "&gt;="&amp;INT($BI$1),
  '[1]Hoja 1'!$R:$R, "&lt;"&amp;INT($BJ$1+1)
)</f>
        <v>0</v>
      </c>
      <c r="BH68" s="1">
        <f t="shared" ref="BH68:BH131" si="122">IF(
    OR(ISBLANK(BC68),ISBLANK(BG68)),
    "",
    ROUND(AVERAGE(BC68,BG68),0)
)</f>
        <v>0</v>
      </c>
      <c r="BI68" s="9">
        <f t="shared" ref="BI68:BI131" si="123">IF(
    OR(ISBLANK(AZ68),ISBLANK(AU68),ISBLANK(AY68),ISBLANK(AQ68)),
    "",
    BH68 - 1.96*_xlfn.STDEV.S(
    AU68-AVERAGE(AQ68,AU68),
    AY68-AVERAGE(AU68,AY68),
    BC68-AVERAGE(AY68,BC68),
    BG68-AVERAGE(BC68,BG68),
  )
)</f>
        <v>0</v>
      </c>
      <c r="BJ68" s="10">
        <f t="shared" ref="BJ68:BJ131" si="124">IF(
    OR(ISBLANK(AZ68),ISBLANK(AU68),ISBLANK(AY68),ISBLANK(AQ68)),
    "",
    BH68 + 1.96*_xlfn.STDEV.S(
    AU68-AVERAGE(AQ68,AU68),
    AY68-AVERAGE(AU68,AY68),
    BC68-AVERAGE(AY68,BC68),
    BG68-AVERAGE(BC68,BG68)
  )
)</f>
        <v>0</v>
      </c>
      <c r="BK68" s="1">
        <f>SUMIFS(
  '[1]Hoja 1'!$M:$M,
  '[1]Hoja 1'!$S:$S, $A68,
  '[1]Hoja 1'!$R:$R, "&gt;="&amp;INT($BM$1),
  '[1]Hoja 1'!$R:$R, "&lt;"&amp;INT($BN$1+1)
)</f>
        <v>0</v>
      </c>
      <c r="BL68" s="1">
        <f t="shared" ref="BL68:BL131" si="125">IF(
    OR(ISBLANK(BG68),ISBLANK(BK68)),
    "",
    ROUND(AVERAGE(BG68,BK68),0)
)</f>
        <v>0</v>
      </c>
      <c r="BM68" s="9">
        <f t="shared" ref="BM68:BM131" si="126">IF(
    OR(ISBLANK(BD68),ISBLANK(AY68),ISBLANK(BC68),ISBLANK(AU68)),
    "",
    BL68 - 1.96*_xlfn.STDEV.S(
    AY68-AVERAGE(AU68,AY68),
    BC68-AVERAGE(AY68,BC68),
    BG68-AVERAGE(BC68,BG68),
    BK68-AVERAGE(BG68,BK68),
  )
)</f>
        <v>0</v>
      </c>
      <c r="BN68" s="10">
        <f t="shared" ref="BN68:BN131" si="127">IF(
    OR(ISBLANK(BD68),ISBLANK(AY68),ISBLANK(BC68),ISBLANK(AU68)),
    "",
    BL68 + 1.96*_xlfn.STDEV.S(
    AY68-AVERAGE(AU68,AY68),
    BC68-AVERAGE(AY68,BC68),
    BG68-AVERAGE(BC68,BG68),
    BK68-AVERAGE(BG68,BK68)
  )
)</f>
        <v>0</v>
      </c>
      <c r="BO68" s="1">
        <f>SUMIFS(
  '[1]Hoja 1'!$M:$M,
  '[1]Hoja 1'!$S:$S, $A68,
  '[1]Hoja 1'!$R:$R, "&gt;="&amp;INT($BQ$1),
  '[1]Hoja 1'!$R:$R, "&lt;"&amp;INT($BR$1+1)
)</f>
        <v>0</v>
      </c>
      <c r="BP68" s="1">
        <f t="shared" ref="BP68:BP131" si="128">IF(
    OR(ISBLANK(BK68),ISBLANK(BO68)),
    "",
    ROUND(AVERAGE(BK68,BO68),0)
)</f>
        <v>0</v>
      </c>
      <c r="BQ68" s="9">
        <f t="shared" ref="BQ68:BQ131" si="129">IF(
    OR(ISBLANK(BH68),ISBLANK(BC68),ISBLANK(BG68),ISBLANK(AY68)),
    "",
    BP68 - 1.96*_xlfn.STDEV.S(
    BC68-AVERAGE(AY68,BC68),
    BG68-AVERAGE(BC68,BG68),
    BK68-AVERAGE(BG68,BK68),
    BO68-AVERAGE(BK68,BO68),
  )
)</f>
        <v>0</v>
      </c>
      <c r="BR68" s="10">
        <f t="shared" ref="BR68:BR131" si="130">IF(
    OR(ISBLANK(BH68),ISBLANK(BC68),ISBLANK(BG68),ISBLANK(AY68)),
    "",
    BP68 + 1.96*_xlfn.STDEV.S(
    BC68-AVERAGE(AY68,BC68),
    BG68-AVERAGE(BC68,BG68),
    BK68-AVERAGE(BG68,BK68),
    BO68-AVERAGE(BK68,BO68)
  )
)</f>
        <v>0</v>
      </c>
      <c r="BS68" s="1">
        <f>SUMIFS(
  '[1]Hoja 1'!$M:$M,
  '[1]Hoja 1'!$S:$S, $A68,
  '[1]Hoja 1'!$R:$R, "&gt;="&amp;INT($BU$1),
  '[1]Hoja 1'!$R:$R, "&lt;"&amp;INT($BV$1+1)
)</f>
        <v>0</v>
      </c>
      <c r="BT68" s="1">
        <f t="shared" ref="BT68:BT131" si="131">IF(
    OR(ISBLANK(BO68),ISBLANK(BS68)),
    "",
    ROUND(AVERAGE(BO68,BS68),0)
)</f>
        <v>0</v>
      </c>
      <c r="BU68" s="9">
        <f t="shared" ref="BU68:BU131" si="132">IF(
    OR(ISBLANK(BL68),ISBLANK(BG68),ISBLANK(BK68),ISBLANK(BC68)),
    "",
    BT68 - 1.96*_xlfn.STDEV.S(
    BG68-AVERAGE(BC68,BG68),
    BK68-AVERAGE(BG68,BK68),
    BO68-AVERAGE(BK68,BO68),
    BS68-AVERAGE(BO68,BS68),
  )
)</f>
        <v>0</v>
      </c>
      <c r="BV68" s="10">
        <f t="shared" ref="BV68:BV131" si="133">IF(
    OR(ISBLANK(BL68),ISBLANK(BG68),ISBLANK(BK68),ISBLANK(BC68)),
    "",
    BT68 + 1.96*_xlfn.STDEV.S(
    BG68-AVERAGE(BC68,BG68),
    BK68-AVERAGE(BG68,BK68),
    BO68-AVERAGE(BK68,BO68),
    BS68-AVERAGE(BO68,BS68)
  )
)</f>
        <v>0</v>
      </c>
      <c r="BW68" s="1">
        <f>SUMIFS(
  '[1]Hoja 1'!$M:$M,
  '[1]Hoja 1'!$S:$S, $A68,
  '[1]Hoja 1'!$R:$R, "&gt;="&amp;INT($BY$1),
  '[1]Hoja 1'!$R:$R, "&lt;"&amp;INT($BZ$1+1)
)</f>
        <v>0</v>
      </c>
      <c r="BX68" s="1">
        <f t="shared" ref="BX68:BX131" si="134">IF(
    OR(ISBLANK(BS68),ISBLANK(BW68)),
    "",
    ROUND(AVERAGE(BS68,BW68),0)
)</f>
        <v>0</v>
      </c>
      <c r="BY68" s="9">
        <f t="shared" ref="BY68:BY131" si="135">IF(
    OR(ISBLANK(BP68),ISBLANK(BK68),ISBLANK(BO68),ISBLANK(BG68)),
    "",
    BX68 - 1.96*_xlfn.STDEV.S(
    BK68-AVERAGE(BG68,BK68),
    BO68-AVERAGE(BK68,BO68),
    BS68-AVERAGE(BO68,BS68),
    BW68-AVERAGE(BS68,BW68),
  )
)</f>
        <v>0</v>
      </c>
      <c r="BZ68" s="10">
        <f t="shared" ref="BZ68:BZ131" si="136">IF(
    OR(ISBLANK(BP68),ISBLANK(BK68),ISBLANK(BO68),ISBLANK(BG68)),
    "",
    BX68 + 1.96*_xlfn.STDEV.S(
    BK68-AVERAGE(BG68,BK68),
    BO68-AVERAGE(BK68,BO68),
    BS68-AVERAGE(BO68,BS68),
    BW68-AVERAGE(BS68,BW68)
  )
)</f>
        <v>0</v>
      </c>
      <c r="CA68" s="1">
        <f>SUMIFS(
  '[1]Hoja 1'!$M:$M,
  '[1]Hoja 1'!$S:$S, $A68,
  '[1]Hoja 1'!$R:$R, "&gt;="&amp;INT($CC$1),
  '[1]Hoja 1'!$R:$R, "&lt;"&amp;INT($CD$1+1)
)</f>
        <v>0</v>
      </c>
      <c r="CB68" s="1">
        <f t="shared" ref="CB68:CB131" si="137">IF(
    OR(ISBLANK(BW68),ISBLANK(CA68)),
    "",
    ROUND(AVERAGE(BW68,CA68),0)
)</f>
        <v>0</v>
      </c>
      <c r="CC68" s="9">
        <f t="shared" ref="CC68:CC131" si="138">IF(
    OR(ISBLANK(BT68),ISBLANK(BO68),ISBLANK(BS68),ISBLANK(BK68)),
    "",
    CB68 - 1.96*_xlfn.STDEV.S(
    BO68-AVERAGE(BK68,BO68),
    BS68-AVERAGE(BO68,BS68),
    BW68-AVERAGE(BS68,BW68),
    CA68-AVERAGE(BW68,CA68),
  )
)</f>
        <v>0</v>
      </c>
      <c r="CD68" s="10">
        <f t="shared" ref="CD68:CD131" si="139">IF(
    OR(ISBLANK(BT68),ISBLANK(BO68),ISBLANK(BS68),ISBLANK(BK68)),
    "",
    CB68 + 1.96*_xlfn.STDEV.S(
    BO68-AVERAGE(BK68,BO68),
    BS68-AVERAGE(BO68,BS68),
    BW68-AVERAGE(BS68,BW68),
    CA68-AVERAGE(BW68,CA68)
  )
)</f>
        <v>0</v>
      </c>
      <c r="CE68" s="1">
        <f>SUMIFS(
  '[1]Hoja 1'!$M:$M,
  '[1]Hoja 1'!$S:$S, $A68,
  '[1]Hoja 1'!$R:$R, "&gt;="&amp;INT($CG$1),
  '[1]Hoja 1'!$R:$R, "&lt;"&amp;INT($CH$1+1)
)</f>
        <v>0</v>
      </c>
      <c r="CF68" s="1">
        <f t="shared" ref="CF68:CF131" si="140">IF(
    OR(ISBLANK(CA68),ISBLANK(CE68)),
    "",
    ROUND(AVERAGE(CA68,CE68),0)
)</f>
        <v>0</v>
      </c>
      <c r="CG68" s="9">
        <f t="shared" ref="CG68:CG131" si="141">IF(
    OR(ISBLANK(BX68),ISBLANK(BS68),ISBLANK(BW68),ISBLANK(BO68)),
    "",
    CF68 - 1.96*_xlfn.STDEV.S(
    BS68-AVERAGE(BO68,BS68),
    BW68-AVERAGE(BS68,BW68),
    CA68-AVERAGE(BW68,CA68),
    CE68-AVERAGE(CA68,CE68),
  )
)</f>
        <v>0</v>
      </c>
      <c r="CH68" s="10">
        <f t="shared" ref="CH68:CH131" si="142">IF(
    OR(ISBLANK(BX68),ISBLANK(BS68),ISBLANK(BW68),ISBLANK(BO68)),
    "",
    CF68 + 1.96*_xlfn.STDEV.S(
    BS68-AVERAGE(BO68,BS68),
    BW68-AVERAGE(BS68,BW68),
    CA68-AVERAGE(BW68,CA68),
    CE68-AVERAGE(CA68,CE68)
  )
)</f>
        <v>0</v>
      </c>
      <c r="CI68" s="1">
        <f>SUMIFS(
  '[1]Hoja 1'!$M:$M,
  '[1]Hoja 1'!$S:$S, $A68,
  '[1]Hoja 1'!$R:$R, "&gt;="&amp;INT($CK$1),
  '[1]Hoja 1'!$R:$R, "&lt;"&amp;INT($CL$1+1)
)</f>
        <v>0</v>
      </c>
      <c r="CJ68" s="1">
        <f t="shared" ref="CJ68:CJ131" si="143">IF(
    OR(ISBLANK(CE68),ISBLANK(CI68)),
    "",
    ROUND(AVERAGE(CE68,CI68),0)
)</f>
        <v>0</v>
      </c>
      <c r="CK68" s="9">
        <f t="shared" ref="CK68:CK131" si="144">IF(
    OR(ISBLANK(CB68),ISBLANK(BW68),ISBLANK(CA68),ISBLANK(BS68)),
    "",
    CJ68 - 1.96*_xlfn.STDEV.S(
    BW68-AVERAGE(BS68,BW68),
    CA68-AVERAGE(BW68,CA68),
    CE68-AVERAGE(CA68,CE68),
    CI68-AVERAGE(CE68,CI68),
  )
)</f>
        <v>0</v>
      </c>
      <c r="CL68" s="10">
        <f t="shared" ref="CL68:CL131" si="145">IF(
    OR(ISBLANK(CB68),ISBLANK(BW68),ISBLANK(CA68),ISBLANK(BS68)),
    "",
    CJ68 + 1.96*_xlfn.STDEV.S(
    BW68-AVERAGE(BS68,BW68),
    CA68-AVERAGE(BW68,CA68),
    CE68-AVERAGE(CA68,CE68),
    CI68-AVERAGE(CE68,CI68)
  )
)</f>
        <v>0</v>
      </c>
      <c r="CM68" s="1">
        <f>SUMIFS(
  '[1]Hoja 1'!$M:$M,
  '[1]Hoja 1'!$S:$S, $A68,
  '[1]Hoja 1'!$R:$R, "&gt;="&amp;INT($CO$1),
  '[1]Hoja 1'!$R:$R, "&lt;"&amp;INT($CP$1+1)
)</f>
        <v>0</v>
      </c>
      <c r="CN68" s="1">
        <f t="shared" ref="CN68:CN131" si="146">IF(
    OR(ISBLANK(CI68),ISBLANK(CM68)),
    "",
    ROUND(AVERAGE(CI68,CM68),0)
)</f>
        <v>0</v>
      </c>
      <c r="CO68" s="9">
        <f t="shared" ref="CO68:CO131" si="147">IF(
    OR(ISBLANK(CF68),ISBLANK(CA68),ISBLANK(CE68),ISBLANK(BW68)),
    "",
    CN68 - 1.96*_xlfn.STDEV.S(
    CA68-AVERAGE(BW68,CA68),
    CE68-AVERAGE(CA68,CE68),
    CI68-AVERAGE(CE68,CI68),
    CM68-AVERAGE(CI68,CM68),
  )
)</f>
        <v>0</v>
      </c>
      <c r="CP68" s="10">
        <f t="shared" ref="CP68:CP131" si="148">IF(
    OR(ISBLANK(CF68),ISBLANK(CA68),ISBLANK(CE68),ISBLANK(BW68)),
    "",
    CN68 + 1.96*_xlfn.STDEV.S(
    CA68-AVERAGE(BW68,CA68),
    CE68-AVERAGE(CA68,CE68),
    CI68-AVERAGE(CE68,CI68),
    CM68-AVERAGE(CI68,CM68)
  )
)</f>
        <v>0</v>
      </c>
      <c r="CQ68" s="1">
        <f>SUMIFS(
  '[1]Hoja 1'!$M:$M,
  '[1]Hoja 1'!$S:$S, $A68,
  '[1]Hoja 1'!$R:$R, "&gt;="&amp;INT($CS$1),
  '[1]Hoja 1'!$R:$R, "&lt;"&amp;INT($CT$1+1)
)</f>
        <v>0</v>
      </c>
      <c r="CR68" s="1">
        <f t="shared" ref="CR68:CR131" si="149">IF(
    OR(ISBLANK(CM68),ISBLANK(CQ68)),
    "",
    ROUND(AVERAGE(CM68,CQ68),0)
)</f>
        <v>0</v>
      </c>
      <c r="CS68" s="9">
        <f t="shared" ref="CS68:CS131" si="150">IF(
    OR(ISBLANK(CJ68),ISBLANK(CE68),ISBLANK(CI68),ISBLANK(CA68)),
    "",
    CR68 - 1.96*_xlfn.STDEV.S(
    CE68-AVERAGE(CA68,CE68),
    CI68-AVERAGE(CE68,CI68),
    CM68-AVERAGE(CI68,CM68),
    CQ68-AVERAGE(CM68,CQ68),
  )
)</f>
        <v>0</v>
      </c>
      <c r="CT68" s="10">
        <f t="shared" ref="CT68:CT131" si="151">IF(
    OR(ISBLANK(CJ68),ISBLANK(CE68),ISBLANK(CI68),ISBLANK(CA68)),
    "",
    CR68 + 1.96*_xlfn.STDEV.S(
    CE68-AVERAGE(CA68,CE68),
    CI68-AVERAGE(CE68,CI68),
    CM68-AVERAGE(CI68,CM68),
    CQ68-AVERAGE(CM68,CQ68)
  )
)</f>
        <v>0</v>
      </c>
      <c r="CU68" s="1">
        <f>SUMIFS(
  '[1]Hoja 1'!$M:$M,
  '[1]Hoja 1'!$S:$S, $A68,
  '[1]Hoja 1'!$R:$R, "&gt;="&amp;INT($CW$1),
  '[1]Hoja 1'!$R:$R, "&lt;"&amp;INT($CX$1+1)
)</f>
        <v>0</v>
      </c>
      <c r="CV68" s="1">
        <f t="shared" ref="CV68:CV131" si="152">IF(
    OR(ISBLANK(CQ68),ISBLANK(CU68)),
    "",
    ROUND(AVERAGE(CQ68,CU68),0)
)</f>
        <v>0</v>
      </c>
      <c r="CW68" s="9">
        <f t="shared" ref="CW68:CW131" si="153">IF(
    OR(ISBLANK(CN68),ISBLANK(CI68),ISBLANK(CM68),ISBLANK(CE68)),
    "",
    CV68 - 1.96*_xlfn.STDEV.S(
    CI68-AVERAGE(CE68,CI68),
    CM68-AVERAGE(CI68,CM68),
    CQ68-AVERAGE(CM68,CQ68),
    CU68-AVERAGE(CQ68,CU68),
  )
)</f>
        <v>0</v>
      </c>
      <c r="CX68" s="10">
        <f t="shared" ref="CX68:CX131" si="154">IF(
    OR(ISBLANK(CN68),ISBLANK(CI68),ISBLANK(CM68),ISBLANK(CE68)),
    "",
    CV68 + 1.96*_xlfn.STDEV.S(
    CI68-AVERAGE(CE68,CI68),
    CM68-AVERAGE(CI68,CM68),
    CQ68-AVERAGE(CM68,CQ68),
    CU68-AVERAGE(CQ68,CU68)
  )
)</f>
        <v>0</v>
      </c>
      <c r="CY68" s="1">
        <f>SUMIFS(
  '[1]Hoja 1'!$M:$M,
  '[1]Hoja 1'!$S:$S, $A68,
  '[1]Hoja 1'!$R:$R, "&gt;="&amp;INT($DA$1),
  '[1]Hoja 1'!$R:$R, "&lt;"&amp;INT($DB$1+1)
)</f>
        <v>0</v>
      </c>
      <c r="CZ68" s="1">
        <f t="shared" ref="CZ68:CZ131" si="155">IF(
    OR(ISBLANK(CU68),ISBLANK(CY68)),
    "",
    ROUND(AVERAGE(CU68,CY68),0)
)</f>
        <v>0</v>
      </c>
      <c r="DA68" s="9">
        <f t="shared" ref="DA68:DA131" si="156">IF(
    OR(ISBLANK(CR68),ISBLANK(CM68),ISBLANK(CQ68),ISBLANK(CI68)),
    "",
    CZ68 - 1.96*_xlfn.STDEV.S(
    CM68-AVERAGE(CI68,CM68),
    CQ68-AVERAGE(CM68,CQ68),
    CU68-AVERAGE(CQ68,CU68),
    CY68-AVERAGE(CU68,CY68),
  )
)</f>
        <v>0</v>
      </c>
      <c r="DB68" s="10">
        <f t="shared" ref="DB68:DB131" si="157">IF(
    OR(ISBLANK(CR68),ISBLANK(CM68),ISBLANK(CQ68),ISBLANK(CI68)),
    "",
    CZ68 + 1.96*_xlfn.STDEV.S(
    CM68-AVERAGE(CI68,CM68),
    CQ68-AVERAGE(CM68,CQ68),
    CU68-AVERAGE(CQ68,CU68),
    CY68-AVERAGE(CU68,CY68)
  )
)</f>
        <v>0</v>
      </c>
      <c r="DC68" s="1">
        <f>SUMIFS(
  '[1]Hoja 1'!$M:$M,
  '[1]Hoja 1'!$S:$S, $A68,
  '[1]Hoja 1'!$R:$R, "&gt;="&amp;INT($DE$1),
  '[1]Hoja 1'!$R:$R, "&lt;"&amp;INT($DF$1+1)
)</f>
        <v>0</v>
      </c>
      <c r="DD68" s="1">
        <f t="shared" ref="DD68:DD131" si="158">IF(
    OR(ISBLANK(CY68),ISBLANK(DC68)),
    "",
    ROUND(AVERAGE(CY68,DC68),0)
)</f>
        <v>0</v>
      </c>
      <c r="DE68" s="9">
        <f t="shared" ref="DE68:DE131" si="159">IF(
    OR(ISBLANK(CV68),ISBLANK(CQ68),ISBLANK(CU68),ISBLANK(CM68)),
    "",
    DD68 - 1.96*_xlfn.STDEV.S(
    CQ68-AVERAGE(CM68,CQ68),
    CU68-AVERAGE(CQ68,CU68),
    CY68-AVERAGE(CU68,CY68),
    DC68-AVERAGE(CY68,DC68),
  )
)</f>
        <v>0</v>
      </c>
      <c r="DF68" s="10">
        <f t="shared" ref="DF68:DF131" si="160">IF(
    OR(ISBLANK(CV68),ISBLANK(CQ68),ISBLANK(CU68),ISBLANK(CM68)),
    "",
    DD68 + 1.96*_xlfn.STDEV.S(
    CQ68-AVERAGE(CM68,CQ68),
    CU68-AVERAGE(CQ68,CU68),
    CY68-AVERAGE(CU68,CY68),
    DC68-AVERAGE(CY68,DC68)
  )
)</f>
        <v>0</v>
      </c>
      <c r="DG68" s="1">
        <f>SUMIFS(
  '[1]Hoja 1'!$M:$M,
  '[1]Hoja 1'!$S:$S, $A68,
  '[1]Hoja 1'!$R:$R, "&gt;="&amp;INT($DI$1),
  '[1]Hoja 1'!$R:$R, "&lt;"&amp;INT($DJ$1+1)
)</f>
        <v>0</v>
      </c>
      <c r="DH68" s="1">
        <f t="shared" ref="DH68:DH131" si="161">IF(
    OR(ISBLANK(DC68),ISBLANK(DG68)),
    "",
    ROUND(AVERAGE(DC68,DG68),0)
)</f>
        <v>0</v>
      </c>
      <c r="DI68" s="9">
        <f t="shared" ref="DI68:DI131" si="162">IF(
    OR(ISBLANK(CZ68),ISBLANK(CU68),ISBLANK(CY68),ISBLANK(CQ68)),
    "",
    DH68 - 1.96*_xlfn.STDEV.S(
    CU68-AVERAGE(CQ68,CU68),
    CY68-AVERAGE(CU68,CY68),
    DC68-AVERAGE(CY68,DC68),
    DG68-AVERAGE(DC68,DG68),
  )
)</f>
        <v>0</v>
      </c>
      <c r="DJ68" s="10">
        <f t="shared" ref="DJ68:DJ131" si="163">IF(
    OR(ISBLANK(CZ68),ISBLANK(CU68),ISBLANK(CY68),ISBLANK(CQ68)),
    "",
    DH68 + 1.96*_xlfn.STDEV.S(
    CU68-AVERAGE(CQ68,CU68),
    CY68-AVERAGE(CU68,CY68),
    DC68-AVERAGE(CY68,DC68),
    DG68-AVERAGE(DC68,DG68)
  )
)</f>
        <v>0</v>
      </c>
      <c r="DK68" s="1">
        <f>SUMIFS(
  '[1]Hoja 1'!$M:$M,
  '[1]Hoja 1'!$S:$S, $A68,
  '[1]Hoja 1'!$R:$R, "&gt;="&amp;INT($DM$1),
  '[1]Hoja 1'!$R:$R, "&lt;"&amp;INT($DN$1+1)
)</f>
        <v>0</v>
      </c>
      <c r="DL68" s="1">
        <f t="shared" ref="DL68:DL131" si="164">IF(
    OR(ISBLANK(DG68),ISBLANK(DK68)),
    "",
    ROUND(AVERAGE(DG68,DK68),0)
)</f>
        <v>0</v>
      </c>
      <c r="DM68" s="9">
        <f t="shared" ref="DM68:DM131" si="165">IF(
    OR(ISBLANK(DD68),ISBLANK(CY68),ISBLANK(DC68),ISBLANK(CU68)),
    "",
    DL68 - 1.96*_xlfn.STDEV.S(
    CY68-AVERAGE(CU68,CY68),
    DC68-AVERAGE(CY68,DC68),
    DG68-AVERAGE(DC68,DG68),
    DK68-AVERAGE(DG68,DK68),
  )
)</f>
        <v>0</v>
      </c>
      <c r="DN68" s="10">
        <f t="shared" ref="DN68:DN131" si="166">IF(
    OR(ISBLANK(DD68),ISBLANK(CY68),ISBLANK(DC68),ISBLANK(CU68)),
    "",
    DL68 + 1.96*_xlfn.STDEV.S(
    CY68-AVERAGE(CU68,CY68),
    DC68-AVERAGE(CY68,DC68),
    DG68-AVERAGE(DC68,DG68),
    DK68-AVERAGE(DG68,DK68)
  )
)</f>
        <v>0</v>
      </c>
      <c r="DO68" s="1">
        <f>SUMIFS(
  '[1]Hoja 1'!$M:$M,
  '[1]Hoja 1'!$S:$S, $A68,
  '[1]Hoja 1'!$R:$R, "&gt;="&amp;INT($DQ$1),
  '[1]Hoja 1'!$R:$R, "&lt;"&amp;INT($DR$1+1)
)</f>
        <v>0</v>
      </c>
      <c r="DP68" s="1">
        <f t="shared" ref="DP68:DP131" si="167">IF(
    OR(ISBLANK(DK68),ISBLANK(DO68)),
    "",
    ROUND(AVERAGE(DK68,DO68),0)
)</f>
        <v>0</v>
      </c>
      <c r="DQ68" s="9">
        <f t="shared" ref="DQ68:DQ131" si="168">IF(
    OR(ISBLANK(DH68),ISBLANK(DC68),ISBLANK(DG68),ISBLANK(CY68)),
    "",
    DP68 - 1.96*_xlfn.STDEV.S(
    DC68-AVERAGE(CY68,DC68),
    DG68-AVERAGE(DC68,DG68),
    DK68-AVERAGE(DG68,DK68),
    DO68-AVERAGE(DK68,DO68),
  )
)</f>
        <v>0</v>
      </c>
      <c r="DR68" s="10">
        <f t="shared" ref="DR68:DR131" si="169">IF(
    OR(ISBLANK(DH68),ISBLANK(DC68),ISBLANK(DG68),ISBLANK(CY68)),
    "",
    DP68 + 1.96*_xlfn.STDEV.S(
    DC68-AVERAGE(CY68,DC68),
    DG68-AVERAGE(DC68,DG68),
    DK68-AVERAGE(DG68,DK68),
    DO68-AVERAGE(DK68,DO68)
  )
)</f>
        <v>0</v>
      </c>
    </row>
    <row r="69" spans="1:122" x14ac:dyDescent="0.25">
      <c r="A69" s="5">
        <v>210001</v>
      </c>
      <c r="B69" s="6" t="s">
        <v>6</v>
      </c>
      <c r="C69" s="1">
        <f>SUMIFS(
  '[1]Hoja 1'!$M:$M,
  '[1]Hoja 1'!$S:$S, $A69,
  '[1]Hoja 1'!$R:$R, "&gt;="&amp;INT($E$1),
  '[1]Hoja 1'!$R:$R, "&lt;"&amp;INT($F$1+1)
)</f>
        <v>0</v>
      </c>
      <c r="D69" s="1" t="str">
        <f>""</f>
        <v/>
      </c>
      <c r="F69" s="2"/>
      <c r="G69" s="1">
        <f>SUMIFS(
  '[1]Hoja 1'!$M:$M,
  '[1]Hoja 1'!$S:$S, $A69,
  '[1]Hoja 1'!$R:$R, "&gt;="&amp;INT($I$1),
  '[1]Hoja 1'!$R:$R, "&lt;"&amp;INT($J$1+1)
)</f>
        <v>0</v>
      </c>
      <c r="H69" s="1">
        <f t="shared" si="85"/>
        <v>0</v>
      </c>
      <c r="I69" s="1"/>
      <c r="J69" s="2"/>
      <c r="K69" s="1">
        <f>SUMIFS(
  '[1]Hoja 1'!$M:$M,
  '[1]Hoja 1'!$S:$S, $A69,
  '[1]Hoja 1'!$R:$R, "&gt;="&amp;INT($M$1),
  '[1]Hoja 1'!$R:$R, "&lt;"&amp;INT($N$1+1)
)</f>
        <v>4</v>
      </c>
      <c r="L69" s="1">
        <f t="shared" si="86"/>
        <v>2</v>
      </c>
      <c r="M69" s="9">
        <f t="shared" si="87"/>
        <v>-0.77185858225126625</v>
      </c>
      <c r="N69" s="10">
        <f t="shared" si="88"/>
        <v>4.7718585822512658</v>
      </c>
      <c r="O69" s="1">
        <f>SUMIFS(
  '[1]Hoja 1'!$M:$M,
  '[1]Hoja 1'!$S:$S, $A69,
  '[1]Hoja 1'!$R:$R, "&gt;="&amp;INT($Q$1),
  '[1]Hoja 1'!$R:$R, "&lt;"&amp;INT($R$1+1)
)</f>
        <v>0</v>
      </c>
      <c r="P69" s="1">
        <f t="shared" si="89"/>
        <v>2</v>
      </c>
      <c r="Q69" s="9">
        <f t="shared" si="90"/>
        <v>-1.92</v>
      </c>
      <c r="R69" s="10">
        <f t="shared" si="91"/>
        <v>5.92</v>
      </c>
      <c r="S69" s="1">
        <f>SUMIFS(
  '[1]Hoja 1'!$M:$M,
  '[1]Hoja 1'!$S:$S, $A69,
  '[1]Hoja 1'!$R:$R, "&gt;="&amp;INT($U$1),
  '[1]Hoja 1'!$R:$R, "&lt;"&amp;INT($V$1+1)
)</f>
        <v>0</v>
      </c>
      <c r="T69" s="1">
        <f t="shared" si="92"/>
        <v>0</v>
      </c>
      <c r="U69" s="9">
        <f t="shared" si="93"/>
        <v>-3.2006665972366859</v>
      </c>
      <c r="V69" s="10">
        <f t="shared" si="94"/>
        <v>3.2006665972366859</v>
      </c>
      <c r="W69" s="1">
        <f>SUMIFS(
  '[1]Hoja 1'!$M:$M,
  '[1]Hoja 1'!$S:$S, $A69,
  '[1]Hoja 1'!$R:$R, "&gt;="&amp;INT($Y$1),
  '[1]Hoja 1'!$R:$R, "&lt;"&amp;INT($Z$1+1)
)</f>
        <v>1</v>
      </c>
      <c r="X69" s="1">
        <f t="shared" si="95"/>
        <v>1</v>
      </c>
      <c r="Y69" s="9">
        <f t="shared" si="96"/>
        <v>-2.2379571749278382</v>
      </c>
      <c r="Z69" s="10">
        <f t="shared" si="97"/>
        <v>4.2379571749278382</v>
      </c>
      <c r="AA69" s="1">
        <f>SUMIFS(
  '[1]Hoja 1'!$M:$M,
  '[1]Hoja 1'!$S:$S, $A69,
  '[1]Hoja 1'!$R:$R, "&gt;="&amp;INT($AC$1),
  '[1]Hoja 1'!$R:$R, "&lt;"&amp;INT($AD$1+1)
)</f>
        <v>0</v>
      </c>
      <c r="AB69" s="1">
        <f t="shared" si="98"/>
        <v>1</v>
      </c>
      <c r="AC69" s="9">
        <f t="shared" si="99"/>
        <v>-0.88506763804379185</v>
      </c>
      <c r="AD69" s="10">
        <f t="shared" si="100"/>
        <v>3.117041961479901</v>
      </c>
      <c r="AE69" s="1">
        <f>SUMIFS(
  '[1]Hoja 1'!$M:$M,
  '[1]Hoja 1'!$S:$S, $A69,
  '[1]Hoja 1'!$R:$R, "&gt;="&amp;INT($AG$1),
  '[1]Hoja 1'!$R:$R, "&lt;"&amp;INT($AH$1+1)
)</f>
        <v>0</v>
      </c>
      <c r="AF69" s="1">
        <f t="shared" si="101"/>
        <v>0</v>
      </c>
      <c r="AG69" s="9">
        <f t="shared" si="102"/>
        <v>-0.69296464556281656</v>
      </c>
      <c r="AH69" s="10">
        <f t="shared" si="103"/>
        <v>0.80016664930917147</v>
      </c>
      <c r="AI69" s="1">
        <f>SUMIFS(
  '[1]Hoja 1'!$M:$M,
  '[1]Hoja 1'!$S:$S, $A69,
  '[1]Hoja 1'!$R:$R, "&gt;="&amp;INT($AK$1),
  '[1]Hoja 1'!$R:$R, "&lt;"&amp;INT($AL$1+1)
)</f>
        <v>0</v>
      </c>
      <c r="AJ69" s="1">
        <f t="shared" si="104"/>
        <v>0</v>
      </c>
      <c r="AK69" s="9">
        <f t="shared" si="105"/>
        <v>-0.69296464556281656</v>
      </c>
      <c r="AL69" s="10">
        <f t="shared" si="106"/>
        <v>0.80016664930917147</v>
      </c>
      <c r="AM69" s="1">
        <f>SUMIFS(
  '[1]Hoja 1'!$M:$M,
  '[1]Hoja 1'!$S:$S, $A69,
  '[1]Hoja 1'!$R:$R, "&gt;="&amp;INT($AO$1),
  '[1]Hoja 1'!$R:$R, "&lt;"&amp;INT($AP$1+1)
)</f>
        <v>0</v>
      </c>
      <c r="AN69" s="1">
        <f t="shared" si="107"/>
        <v>0</v>
      </c>
      <c r="AO69" s="9">
        <f t="shared" si="108"/>
        <v>-0.43826932358995874</v>
      </c>
      <c r="AP69" s="10">
        <f t="shared" si="109"/>
        <v>0.49</v>
      </c>
      <c r="AQ69" s="1">
        <f>SUMIFS(
  '[1]Hoja 1'!$M:$M,
  '[1]Hoja 1'!$S:$S, $A69,
  '[1]Hoja 1'!$R:$R, "&gt;="&amp;INT($AS$1),
  '[1]Hoja 1'!$R:$R, "&lt;"&amp;INT($AT$1+1)
)</f>
        <v>0</v>
      </c>
      <c r="AR69" s="1">
        <f t="shared" si="110"/>
        <v>0</v>
      </c>
      <c r="AS69" s="9">
        <f t="shared" si="111"/>
        <v>0</v>
      </c>
      <c r="AT69" s="10">
        <f t="shared" si="112"/>
        <v>0</v>
      </c>
      <c r="AU69" s="1">
        <f>SUMIFS(
  '[1]Hoja 1'!$M:$M,
  '[1]Hoja 1'!$S:$S, $A69,
  '[1]Hoja 1'!$R:$R, "&gt;="&amp;INT($AW$1),
  '[1]Hoja 1'!$R:$R, "&lt;"&amp;INT($AX$1+1)
)</f>
        <v>0</v>
      </c>
      <c r="AV69" s="1">
        <f t="shared" si="113"/>
        <v>0</v>
      </c>
      <c r="AW69" s="9">
        <f t="shared" si="114"/>
        <v>0</v>
      </c>
      <c r="AX69" s="10">
        <f t="shared" si="115"/>
        <v>0</v>
      </c>
      <c r="AY69" s="1">
        <f>SUMIFS(
  '[1]Hoja 1'!$M:$M,
  '[1]Hoja 1'!$S:$S, $A69,
  '[1]Hoja 1'!$R:$R, "&gt;="&amp;INT($BA$1),
  '[1]Hoja 1'!$R:$R, "&lt;"&amp;INT($BB$1+1)
)</f>
        <v>0</v>
      </c>
      <c r="AZ69" s="1">
        <f t="shared" si="116"/>
        <v>0</v>
      </c>
      <c r="BA69" s="9">
        <f t="shared" si="117"/>
        <v>0</v>
      </c>
      <c r="BB69" s="10">
        <f t="shared" si="118"/>
        <v>0</v>
      </c>
      <c r="BC69" s="1">
        <f>SUMIFS(
  '[1]Hoja 1'!$M:$M,
  '[1]Hoja 1'!$S:$S, $A69,
  '[1]Hoja 1'!$R:$R, "&gt;="&amp;INT($BE$1),
  '[1]Hoja 1'!$R:$R, "&lt;"&amp;INT($BF$1+1)
)</f>
        <v>0</v>
      </c>
      <c r="BD69" s="1">
        <f t="shared" si="119"/>
        <v>0</v>
      </c>
      <c r="BE69" s="9">
        <f t="shared" si="120"/>
        <v>0</v>
      </c>
      <c r="BF69" s="10">
        <f t="shared" si="121"/>
        <v>0</v>
      </c>
      <c r="BG69" s="1">
        <f>SUMIFS(
  '[1]Hoja 1'!$M:$M,
  '[1]Hoja 1'!$S:$S, $A69,
  '[1]Hoja 1'!$R:$R, "&gt;="&amp;INT($BI$1),
  '[1]Hoja 1'!$R:$R, "&lt;"&amp;INT($BJ$1+1)
)</f>
        <v>0</v>
      </c>
      <c r="BH69" s="1">
        <f t="shared" si="122"/>
        <v>0</v>
      </c>
      <c r="BI69" s="9">
        <f t="shared" si="123"/>
        <v>0</v>
      </c>
      <c r="BJ69" s="10">
        <f t="shared" si="124"/>
        <v>0</v>
      </c>
      <c r="BK69" s="1">
        <f>SUMIFS(
  '[1]Hoja 1'!$M:$M,
  '[1]Hoja 1'!$S:$S, $A69,
  '[1]Hoja 1'!$R:$R, "&gt;="&amp;INT($BM$1),
  '[1]Hoja 1'!$R:$R, "&lt;"&amp;INT($BN$1+1)
)</f>
        <v>0</v>
      </c>
      <c r="BL69" s="1">
        <f t="shared" si="125"/>
        <v>0</v>
      </c>
      <c r="BM69" s="9">
        <f t="shared" si="126"/>
        <v>0</v>
      </c>
      <c r="BN69" s="10">
        <f t="shared" si="127"/>
        <v>0</v>
      </c>
      <c r="BO69" s="1">
        <f>SUMIFS(
  '[1]Hoja 1'!$M:$M,
  '[1]Hoja 1'!$S:$S, $A69,
  '[1]Hoja 1'!$R:$R, "&gt;="&amp;INT($BQ$1),
  '[1]Hoja 1'!$R:$R, "&lt;"&amp;INT($BR$1+1)
)</f>
        <v>0</v>
      </c>
      <c r="BP69" s="1">
        <f t="shared" si="128"/>
        <v>0</v>
      </c>
      <c r="BQ69" s="9">
        <f t="shared" si="129"/>
        <v>0</v>
      </c>
      <c r="BR69" s="10">
        <f t="shared" si="130"/>
        <v>0</v>
      </c>
      <c r="BS69" s="1">
        <f>SUMIFS(
  '[1]Hoja 1'!$M:$M,
  '[1]Hoja 1'!$S:$S, $A69,
  '[1]Hoja 1'!$R:$R, "&gt;="&amp;INT($BU$1),
  '[1]Hoja 1'!$R:$R, "&lt;"&amp;INT($BV$1+1)
)</f>
        <v>0</v>
      </c>
      <c r="BT69" s="1">
        <f t="shared" si="131"/>
        <v>0</v>
      </c>
      <c r="BU69" s="9">
        <f t="shared" si="132"/>
        <v>0</v>
      </c>
      <c r="BV69" s="10">
        <f t="shared" si="133"/>
        <v>0</v>
      </c>
      <c r="BW69" s="1">
        <f>SUMIFS(
  '[1]Hoja 1'!$M:$M,
  '[1]Hoja 1'!$S:$S, $A69,
  '[1]Hoja 1'!$R:$R, "&gt;="&amp;INT($BY$1),
  '[1]Hoja 1'!$R:$R, "&lt;"&amp;INT($BZ$1+1)
)</f>
        <v>0</v>
      </c>
      <c r="BX69" s="1">
        <f t="shared" si="134"/>
        <v>0</v>
      </c>
      <c r="BY69" s="9">
        <f t="shared" si="135"/>
        <v>0</v>
      </c>
      <c r="BZ69" s="10">
        <f t="shared" si="136"/>
        <v>0</v>
      </c>
      <c r="CA69" s="1">
        <f>SUMIFS(
  '[1]Hoja 1'!$M:$M,
  '[1]Hoja 1'!$S:$S, $A69,
  '[1]Hoja 1'!$R:$R, "&gt;="&amp;INT($CC$1),
  '[1]Hoja 1'!$R:$R, "&lt;"&amp;INT($CD$1+1)
)</f>
        <v>0</v>
      </c>
      <c r="CB69" s="1">
        <f t="shared" si="137"/>
        <v>0</v>
      </c>
      <c r="CC69" s="9">
        <f t="shared" si="138"/>
        <v>0</v>
      </c>
      <c r="CD69" s="10">
        <f t="shared" si="139"/>
        <v>0</v>
      </c>
      <c r="CE69" s="1">
        <f>SUMIFS(
  '[1]Hoja 1'!$M:$M,
  '[1]Hoja 1'!$S:$S, $A69,
  '[1]Hoja 1'!$R:$R, "&gt;="&amp;INT($CG$1),
  '[1]Hoja 1'!$R:$R, "&lt;"&amp;INT($CH$1+1)
)</f>
        <v>0</v>
      </c>
      <c r="CF69" s="1">
        <f t="shared" si="140"/>
        <v>0</v>
      </c>
      <c r="CG69" s="9">
        <f t="shared" si="141"/>
        <v>0</v>
      </c>
      <c r="CH69" s="10">
        <f t="shared" si="142"/>
        <v>0</v>
      </c>
      <c r="CI69" s="1">
        <f>SUMIFS(
  '[1]Hoja 1'!$M:$M,
  '[1]Hoja 1'!$S:$S, $A69,
  '[1]Hoja 1'!$R:$R, "&gt;="&amp;INT($CK$1),
  '[1]Hoja 1'!$R:$R, "&lt;"&amp;INT($CL$1+1)
)</f>
        <v>0</v>
      </c>
      <c r="CJ69" s="1">
        <f t="shared" si="143"/>
        <v>0</v>
      </c>
      <c r="CK69" s="9">
        <f t="shared" si="144"/>
        <v>0</v>
      </c>
      <c r="CL69" s="10">
        <f t="shared" si="145"/>
        <v>0</v>
      </c>
      <c r="CM69" s="1">
        <f>SUMIFS(
  '[1]Hoja 1'!$M:$M,
  '[1]Hoja 1'!$S:$S, $A69,
  '[1]Hoja 1'!$R:$R, "&gt;="&amp;INT($CO$1),
  '[1]Hoja 1'!$R:$R, "&lt;"&amp;INT($CP$1+1)
)</f>
        <v>0</v>
      </c>
      <c r="CN69" s="1">
        <f t="shared" si="146"/>
        <v>0</v>
      </c>
      <c r="CO69" s="9">
        <f t="shared" si="147"/>
        <v>0</v>
      </c>
      <c r="CP69" s="10">
        <f t="shared" si="148"/>
        <v>0</v>
      </c>
      <c r="CQ69" s="1">
        <f>SUMIFS(
  '[1]Hoja 1'!$M:$M,
  '[1]Hoja 1'!$S:$S, $A69,
  '[1]Hoja 1'!$R:$R, "&gt;="&amp;INT($CS$1),
  '[1]Hoja 1'!$R:$R, "&lt;"&amp;INT($CT$1+1)
)</f>
        <v>0</v>
      </c>
      <c r="CR69" s="1">
        <f t="shared" si="149"/>
        <v>0</v>
      </c>
      <c r="CS69" s="9">
        <f t="shared" si="150"/>
        <v>0</v>
      </c>
      <c r="CT69" s="10">
        <f t="shared" si="151"/>
        <v>0</v>
      </c>
      <c r="CU69" s="1">
        <f>SUMIFS(
  '[1]Hoja 1'!$M:$M,
  '[1]Hoja 1'!$S:$S, $A69,
  '[1]Hoja 1'!$R:$R, "&gt;="&amp;INT($CW$1),
  '[1]Hoja 1'!$R:$R, "&lt;"&amp;INT($CX$1+1)
)</f>
        <v>0</v>
      </c>
      <c r="CV69" s="1">
        <f t="shared" si="152"/>
        <v>0</v>
      </c>
      <c r="CW69" s="9">
        <f t="shared" si="153"/>
        <v>0</v>
      </c>
      <c r="CX69" s="10">
        <f t="shared" si="154"/>
        <v>0</v>
      </c>
      <c r="CY69" s="1">
        <f>SUMIFS(
  '[1]Hoja 1'!$M:$M,
  '[1]Hoja 1'!$S:$S, $A69,
  '[1]Hoja 1'!$R:$R, "&gt;="&amp;INT($DA$1),
  '[1]Hoja 1'!$R:$R, "&lt;"&amp;INT($DB$1+1)
)</f>
        <v>0</v>
      </c>
      <c r="CZ69" s="1">
        <f t="shared" si="155"/>
        <v>0</v>
      </c>
      <c r="DA69" s="9">
        <f t="shared" si="156"/>
        <v>0</v>
      </c>
      <c r="DB69" s="10">
        <f t="shared" si="157"/>
        <v>0</v>
      </c>
      <c r="DC69" s="1">
        <f>SUMIFS(
  '[1]Hoja 1'!$M:$M,
  '[1]Hoja 1'!$S:$S, $A69,
  '[1]Hoja 1'!$R:$R, "&gt;="&amp;INT($DE$1),
  '[1]Hoja 1'!$R:$R, "&lt;"&amp;INT($DF$1+1)
)</f>
        <v>0</v>
      </c>
      <c r="DD69" s="1">
        <f t="shared" si="158"/>
        <v>0</v>
      </c>
      <c r="DE69" s="9">
        <f t="shared" si="159"/>
        <v>0</v>
      </c>
      <c r="DF69" s="10">
        <f t="shared" si="160"/>
        <v>0</v>
      </c>
      <c r="DG69" s="1">
        <f>SUMIFS(
  '[1]Hoja 1'!$M:$M,
  '[1]Hoja 1'!$S:$S, $A69,
  '[1]Hoja 1'!$R:$R, "&gt;="&amp;INT($DI$1),
  '[1]Hoja 1'!$R:$R, "&lt;"&amp;INT($DJ$1+1)
)</f>
        <v>0</v>
      </c>
      <c r="DH69" s="1">
        <f t="shared" si="161"/>
        <v>0</v>
      </c>
      <c r="DI69" s="9">
        <f t="shared" si="162"/>
        <v>0</v>
      </c>
      <c r="DJ69" s="10">
        <f t="shared" si="163"/>
        <v>0</v>
      </c>
      <c r="DK69" s="1">
        <f>SUMIFS(
  '[1]Hoja 1'!$M:$M,
  '[1]Hoja 1'!$S:$S, $A69,
  '[1]Hoja 1'!$R:$R, "&gt;="&amp;INT($DM$1),
  '[1]Hoja 1'!$R:$R, "&lt;"&amp;INT($DN$1+1)
)</f>
        <v>0</v>
      </c>
      <c r="DL69" s="1">
        <f t="shared" si="164"/>
        <v>0</v>
      </c>
      <c r="DM69" s="9">
        <f t="shared" si="165"/>
        <v>0</v>
      </c>
      <c r="DN69" s="10">
        <f t="shared" si="166"/>
        <v>0</v>
      </c>
      <c r="DO69" s="1">
        <f>SUMIFS(
  '[1]Hoja 1'!$M:$M,
  '[1]Hoja 1'!$S:$S, $A69,
  '[1]Hoja 1'!$R:$R, "&gt;="&amp;INT($DQ$1),
  '[1]Hoja 1'!$R:$R, "&lt;"&amp;INT($DR$1+1)
)</f>
        <v>0</v>
      </c>
      <c r="DP69" s="1">
        <f t="shared" si="167"/>
        <v>0</v>
      </c>
      <c r="DQ69" s="9">
        <f t="shared" si="168"/>
        <v>0</v>
      </c>
      <c r="DR69" s="10">
        <f t="shared" si="169"/>
        <v>0</v>
      </c>
    </row>
    <row r="70" spans="1:122" x14ac:dyDescent="0.25">
      <c r="A70" s="5">
        <v>210002</v>
      </c>
      <c r="B70" s="6" t="s">
        <v>71</v>
      </c>
      <c r="C70" s="1">
        <f>SUMIFS(
  '[1]Hoja 1'!$M:$M,
  '[1]Hoja 1'!$S:$S, $A70,
  '[1]Hoja 1'!$R:$R, "&gt;="&amp;INT($E$1),
  '[1]Hoja 1'!$R:$R, "&lt;"&amp;INT($F$1+1)
)</f>
        <v>0</v>
      </c>
      <c r="D70" s="1" t="str">
        <f>""</f>
        <v/>
      </c>
      <c r="F70" s="2"/>
      <c r="G70" s="1">
        <f>SUMIFS(
  '[1]Hoja 1'!$M:$M,
  '[1]Hoja 1'!$S:$S, $A70,
  '[1]Hoja 1'!$R:$R, "&gt;="&amp;INT($I$1),
  '[1]Hoja 1'!$R:$R, "&lt;"&amp;INT($J$1+1)
)</f>
        <v>2</v>
      </c>
      <c r="H70" s="1">
        <f t="shared" si="85"/>
        <v>1</v>
      </c>
      <c r="I70" s="1"/>
      <c r="J70" s="2"/>
      <c r="K70" s="1">
        <f>SUMIFS(
  '[1]Hoja 1'!$M:$M,
  '[1]Hoja 1'!$S:$S, $A70,
  '[1]Hoja 1'!$R:$R, "&gt;="&amp;INT($M$1),
  '[1]Hoja 1'!$R:$R, "&lt;"&amp;INT($N$1+1)
)</f>
        <v>0</v>
      </c>
      <c r="L70" s="1">
        <f t="shared" si="86"/>
        <v>1</v>
      </c>
      <c r="M70" s="9">
        <f t="shared" si="87"/>
        <v>-1.7718585822512662</v>
      </c>
      <c r="N70" s="10">
        <f t="shared" si="88"/>
        <v>3.7718585822512662</v>
      </c>
      <c r="O70" s="1">
        <f>SUMIFS(
  '[1]Hoja 1'!$M:$M,
  '[1]Hoja 1'!$S:$S, $A70,
  '[1]Hoja 1'!$R:$R, "&gt;="&amp;INT($Q$1),
  '[1]Hoja 1'!$R:$R, "&lt;"&amp;INT($R$1+1)
)</f>
        <v>2</v>
      </c>
      <c r="P70" s="1">
        <f t="shared" si="89"/>
        <v>1</v>
      </c>
      <c r="Q70" s="9">
        <f t="shared" si="90"/>
        <v>-1.2632130552233329</v>
      </c>
      <c r="R70" s="10">
        <f t="shared" si="91"/>
        <v>3.2632130552233329</v>
      </c>
      <c r="S70" s="1">
        <f>SUMIFS(
  '[1]Hoja 1'!$M:$M,
  '[1]Hoja 1'!$S:$S, $A70,
  '[1]Hoja 1'!$R:$R, "&gt;="&amp;INT($U$1),
  '[1]Hoja 1'!$R:$R, "&lt;"&amp;INT($V$1+1)
)</f>
        <v>0</v>
      </c>
      <c r="T70" s="1">
        <f t="shared" si="92"/>
        <v>1</v>
      </c>
      <c r="U70" s="9">
        <f t="shared" si="93"/>
        <v>-1.2632130552233329</v>
      </c>
      <c r="V70" s="10">
        <f t="shared" si="94"/>
        <v>3.2632130552233329</v>
      </c>
      <c r="W70" s="1">
        <f>SUMIFS(
  '[1]Hoja 1'!$M:$M,
  '[1]Hoja 1'!$S:$S, $A70,
  '[1]Hoja 1'!$R:$R, "&gt;="&amp;INT($Y$1),
  '[1]Hoja 1'!$R:$R, "&lt;"&amp;INT($Z$1+1)
)</f>
        <v>1</v>
      </c>
      <c r="X70" s="1">
        <f t="shared" si="95"/>
        <v>1</v>
      </c>
      <c r="Y70" s="9">
        <f t="shared" si="96"/>
        <v>-1.0203217565526534</v>
      </c>
      <c r="Z70" s="10">
        <f t="shared" si="97"/>
        <v>3.0203217565526534</v>
      </c>
      <c r="AA70" s="1">
        <f>SUMIFS(
  '[1]Hoja 1'!$M:$M,
  '[1]Hoja 1'!$S:$S, $A70,
  '[1]Hoja 1'!$R:$R, "&gt;="&amp;INT($AC$1),
  '[1]Hoja 1'!$R:$R, "&lt;"&amp;INT($AD$1+1)
)</f>
        <v>0</v>
      </c>
      <c r="AB70" s="1">
        <f t="shared" si="98"/>
        <v>1</v>
      </c>
      <c r="AC70" s="9">
        <f t="shared" si="99"/>
        <v>-0.54951605348250587</v>
      </c>
      <c r="AD70" s="10">
        <f t="shared" si="100"/>
        <v>2.7892270211835424</v>
      </c>
      <c r="AE70" s="1">
        <f>SUMIFS(
  '[1]Hoja 1'!$M:$M,
  '[1]Hoja 1'!$S:$S, $A70,
  '[1]Hoja 1'!$R:$R, "&gt;="&amp;INT($AG$1),
  '[1]Hoja 1'!$R:$R, "&lt;"&amp;INT($AH$1+1)
)</f>
        <v>0</v>
      </c>
      <c r="AF70" s="1">
        <f t="shared" si="101"/>
        <v>0</v>
      </c>
      <c r="AG70" s="9">
        <f t="shared" si="102"/>
        <v>-1.1173719165971552</v>
      </c>
      <c r="AH70" s="10">
        <f t="shared" si="103"/>
        <v>1.2651745597610895</v>
      </c>
      <c r="AI70" s="1">
        <f>SUMIFS(
  '[1]Hoja 1'!$M:$M,
  '[1]Hoja 1'!$S:$S, $A70,
  '[1]Hoja 1'!$R:$R, "&gt;="&amp;INT($AK$1),
  '[1]Hoja 1'!$R:$R, "&lt;"&amp;INT($AL$1+1)
)</f>
        <v>0</v>
      </c>
      <c r="AJ70" s="1">
        <f t="shared" si="104"/>
        <v>0</v>
      </c>
      <c r="AK70" s="9">
        <f t="shared" si="105"/>
        <v>-0.69296464556281656</v>
      </c>
      <c r="AL70" s="10">
        <f t="shared" si="106"/>
        <v>0.80016664930917147</v>
      </c>
      <c r="AM70" s="1">
        <f>SUMIFS(
  '[1]Hoja 1'!$M:$M,
  '[1]Hoja 1'!$S:$S, $A70,
  '[1]Hoja 1'!$R:$R, "&gt;="&amp;INT($AO$1),
  '[1]Hoja 1'!$R:$R, "&lt;"&amp;INT($AP$1+1)
)</f>
        <v>0</v>
      </c>
      <c r="AN70" s="1">
        <f t="shared" si="107"/>
        <v>0</v>
      </c>
      <c r="AO70" s="9">
        <f t="shared" si="108"/>
        <v>-0.43826932358995874</v>
      </c>
      <c r="AP70" s="10">
        <f t="shared" si="109"/>
        <v>0.49</v>
      </c>
      <c r="AQ70" s="1">
        <f>SUMIFS(
  '[1]Hoja 1'!$M:$M,
  '[1]Hoja 1'!$S:$S, $A70,
  '[1]Hoja 1'!$R:$R, "&gt;="&amp;INT($AS$1),
  '[1]Hoja 1'!$R:$R, "&lt;"&amp;INT($AT$1+1)
)</f>
        <v>0</v>
      </c>
      <c r="AR70" s="1">
        <f t="shared" si="110"/>
        <v>0</v>
      </c>
      <c r="AS70" s="9">
        <f t="shared" si="111"/>
        <v>0</v>
      </c>
      <c r="AT70" s="10">
        <f t="shared" si="112"/>
        <v>0</v>
      </c>
      <c r="AU70" s="1">
        <f>SUMIFS(
  '[1]Hoja 1'!$M:$M,
  '[1]Hoja 1'!$S:$S, $A70,
  '[1]Hoja 1'!$R:$R, "&gt;="&amp;INT($AW$1),
  '[1]Hoja 1'!$R:$R, "&lt;"&amp;INT($AX$1+1)
)</f>
        <v>0</v>
      </c>
      <c r="AV70" s="1">
        <f t="shared" si="113"/>
        <v>0</v>
      </c>
      <c r="AW70" s="9">
        <f t="shared" si="114"/>
        <v>0</v>
      </c>
      <c r="AX70" s="10">
        <f t="shared" si="115"/>
        <v>0</v>
      </c>
      <c r="AY70" s="1">
        <f>SUMIFS(
  '[1]Hoja 1'!$M:$M,
  '[1]Hoja 1'!$S:$S, $A70,
  '[1]Hoja 1'!$R:$R, "&gt;="&amp;INT($BA$1),
  '[1]Hoja 1'!$R:$R, "&lt;"&amp;INT($BB$1+1)
)</f>
        <v>0</v>
      </c>
      <c r="AZ70" s="1">
        <f t="shared" si="116"/>
        <v>0</v>
      </c>
      <c r="BA70" s="9">
        <f t="shared" si="117"/>
        <v>0</v>
      </c>
      <c r="BB70" s="10">
        <f t="shared" si="118"/>
        <v>0</v>
      </c>
      <c r="BC70" s="1">
        <f>SUMIFS(
  '[1]Hoja 1'!$M:$M,
  '[1]Hoja 1'!$S:$S, $A70,
  '[1]Hoja 1'!$R:$R, "&gt;="&amp;INT($BE$1),
  '[1]Hoja 1'!$R:$R, "&lt;"&amp;INT($BF$1+1)
)</f>
        <v>0</v>
      </c>
      <c r="BD70" s="1">
        <f t="shared" si="119"/>
        <v>0</v>
      </c>
      <c r="BE70" s="9">
        <f t="shared" si="120"/>
        <v>0</v>
      </c>
      <c r="BF70" s="10">
        <f t="shared" si="121"/>
        <v>0</v>
      </c>
      <c r="BG70" s="1">
        <f>SUMIFS(
  '[1]Hoja 1'!$M:$M,
  '[1]Hoja 1'!$S:$S, $A70,
  '[1]Hoja 1'!$R:$R, "&gt;="&amp;INT($BI$1),
  '[1]Hoja 1'!$R:$R, "&lt;"&amp;INT($BJ$1+1)
)</f>
        <v>0</v>
      </c>
      <c r="BH70" s="1">
        <f t="shared" si="122"/>
        <v>0</v>
      </c>
      <c r="BI70" s="9">
        <f t="shared" si="123"/>
        <v>0</v>
      </c>
      <c r="BJ70" s="10">
        <f t="shared" si="124"/>
        <v>0</v>
      </c>
      <c r="BK70" s="1">
        <f>SUMIFS(
  '[1]Hoja 1'!$M:$M,
  '[1]Hoja 1'!$S:$S, $A70,
  '[1]Hoja 1'!$R:$R, "&gt;="&amp;INT($BM$1),
  '[1]Hoja 1'!$R:$R, "&lt;"&amp;INT($BN$1+1)
)</f>
        <v>0</v>
      </c>
      <c r="BL70" s="1">
        <f t="shared" si="125"/>
        <v>0</v>
      </c>
      <c r="BM70" s="9">
        <f t="shared" si="126"/>
        <v>0</v>
      </c>
      <c r="BN70" s="10">
        <f t="shared" si="127"/>
        <v>0</v>
      </c>
      <c r="BO70" s="1">
        <f>SUMIFS(
  '[1]Hoja 1'!$M:$M,
  '[1]Hoja 1'!$S:$S, $A70,
  '[1]Hoja 1'!$R:$R, "&gt;="&amp;INT($BQ$1),
  '[1]Hoja 1'!$R:$R, "&lt;"&amp;INT($BR$1+1)
)</f>
        <v>0</v>
      </c>
      <c r="BP70" s="1">
        <f t="shared" si="128"/>
        <v>0</v>
      </c>
      <c r="BQ70" s="9">
        <f t="shared" si="129"/>
        <v>0</v>
      </c>
      <c r="BR70" s="10">
        <f t="shared" si="130"/>
        <v>0</v>
      </c>
      <c r="BS70" s="1">
        <f>SUMIFS(
  '[1]Hoja 1'!$M:$M,
  '[1]Hoja 1'!$S:$S, $A70,
  '[1]Hoja 1'!$R:$R, "&gt;="&amp;INT($BU$1),
  '[1]Hoja 1'!$R:$R, "&lt;"&amp;INT($BV$1+1)
)</f>
        <v>0</v>
      </c>
      <c r="BT70" s="1">
        <f t="shared" si="131"/>
        <v>0</v>
      </c>
      <c r="BU70" s="9">
        <f t="shared" si="132"/>
        <v>0</v>
      </c>
      <c r="BV70" s="10">
        <f t="shared" si="133"/>
        <v>0</v>
      </c>
      <c r="BW70" s="1">
        <f>SUMIFS(
  '[1]Hoja 1'!$M:$M,
  '[1]Hoja 1'!$S:$S, $A70,
  '[1]Hoja 1'!$R:$R, "&gt;="&amp;INT($BY$1),
  '[1]Hoja 1'!$R:$R, "&lt;"&amp;INT($BZ$1+1)
)</f>
        <v>0</v>
      </c>
      <c r="BX70" s="1">
        <f t="shared" si="134"/>
        <v>0</v>
      </c>
      <c r="BY70" s="9">
        <f t="shared" si="135"/>
        <v>0</v>
      </c>
      <c r="BZ70" s="10">
        <f t="shared" si="136"/>
        <v>0</v>
      </c>
      <c r="CA70" s="1">
        <f>SUMIFS(
  '[1]Hoja 1'!$M:$M,
  '[1]Hoja 1'!$S:$S, $A70,
  '[1]Hoja 1'!$R:$R, "&gt;="&amp;INT($CC$1),
  '[1]Hoja 1'!$R:$R, "&lt;"&amp;INT($CD$1+1)
)</f>
        <v>0</v>
      </c>
      <c r="CB70" s="1">
        <f t="shared" si="137"/>
        <v>0</v>
      </c>
      <c r="CC70" s="9">
        <f t="shared" si="138"/>
        <v>0</v>
      </c>
      <c r="CD70" s="10">
        <f t="shared" si="139"/>
        <v>0</v>
      </c>
      <c r="CE70" s="1">
        <f>SUMIFS(
  '[1]Hoja 1'!$M:$M,
  '[1]Hoja 1'!$S:$S, $A70,
  '[1]Hoja 1'!$R:$R, "&gt;="&amp;INT($CG$1),
  '[1]Hoja 1'!$R:$R, "&lt;"&amp;INT($CH$1+1)
)</f>
        <v>0</v>
      </c>
      <c r="CF70" s="1">
        <f t="shared" si="140"/>
        <v>0</v>
      </c>
      <c r="CG70" s="9">
        <f t="shared" si="141"/>
        <v>0</v>
      </c>
      <c r="CH70" s="10">
        <f t="shared" si="142"/>
        <v>0</v>
      </c>
      <c r="CI70" s="1">
        <f>SUMIFS(
  '[1]Hoja 1'!$M:$M,
  '[1]Hoja 1'!$S:$S, $A70,
  '[1]Hoja 1'!$R:$R, "&gt;="&amp;INT($CK$1),
  '[1]Hoja 1'!$R:$R, "&lt;"&amp;INT($CL$1+1)
)</f>
        <v>0</v>
      </c>
      <c r="CJ70" s="1">
        <f t="shared" si="143"/>
        <v>0</v>
      </c>
      <c r="CK70" s="9">
        <f t="shared" si="144"/>
        <v>0</v>
      </c>
      <c r="CL70" s="10">
        <f t="shared" si="145"/>
        <v>0</v>
      </c>
      <c r="CM70" s="1">
        <f>SUMIFS(
  '[1]Hoja 1'!$M:$M,
  '[1]Hoja 1'!$S:$S, $A70,
  '[1]Hoja 1'!$R:$R, "&gt;="&amp;INT($CO$1),
  '[1]Hoja 1'!$R:$R, "&lt;"&amp;INT($CP$1+1)
)</f>
        <v>0</v>
      </c>
      <c r="CN70" s="1">
        <f t="shared" si="146"/>
        <v>0</v>
      </c>
      <c r="CO70" s="9">
        <f t="shared" si="147"/>
        <v>0</v>
      </c>
      <c r="CP70" s="10">
        <f t="shared" si="148"/>
        <v>0</v>
      </c>
      <c r="CQ70" s="1">
        <f>SUMIFS(
  '[1]Hoja 1'!$M:$M,
  '[1]Hoja 1'!$S:$S, $A70,
  '[1]Hoja 1'!$R:$R, "&gt;="&amp;INT($CS$1),
  '[1]Hoja 1'!$R:$R, "&lt;"&amp;INT($CT$1+1)
)</f>
        <v>0</v>
      </c>
      <c r="CR70" s="1">
        <f t="shared" si="149"/>
        <v>0</v>
      </c>
      <c r="CS70" s="9">
        <f t="shared" si="150"/>
        <v>0</v>
      </c>
      <c r="CT70" s="10">
        <f t="shared" si="151"/>
        <v>0</v>
      </c>
      <c r="CU70" s="1">
        <f>SUMIFS(
  '[1]Hoja 1'!$M:$M,
  '[1]Hoja 1'!$S:$S, $A70,
  '[1]Hoja 1'!$R:$R, "&gt;="&amp;INT($CW$1),
  '[1]Hoja 1'!$R:$R, "&lt;"&amp;INT($CX$1+1)
)</f>
        <v>0</v>
      </c>
      <c r="CV70" s="1">
        <f t="shared" si="152"/>
        <v>0</v>
      </c>
      <c r="CW70" s="9">
        <f t="shared" si="153"/>
        <v>0</v>
      </c>
      <c r="CX70" s="10">
        <f t="shared" si="154"/>
        <v>0</v>
      </c>
      <c r="CY70" s="1">
        <f>SUMIFS(
  '[1]Hoja 1'!$M:$M,
  '[1]Hoja 1'!$S:$S, $A70,
  '[1]Hoja 1'!$R:$R, "&gt;="&amp;INT($DA$1),
  '[1]Hoja 1'!$R:$R, "&lt;"&amp;INT($DB$1+1)
)</f>
        <v>0</v>
      </c>
      <c r="CZ70" s="1">
        <f t="shared" si="155"/>
        <v>0</v>
      </c>
      <c r="DA70" s="9">
        <f t="shared" si="156"/>
        <v>0</v>
      </c>
      <c r="DB70" s="10">
        <f t="shared" si="157"/>
        <v>0</v>
      </c>
      <c r="DC70" s="1">
        <f>SUMIFS(
  '[1]Hoja 1'!$M:$M,
  '[1]Hoja 1'!$S:$S, $A70,
  '[1]Hoja 1'!$R:$R, "&gt;="&amp;INT($DE$1),
  '[1]Hoja 1'!$R:$R, "&lt;"&amp;INT($DF$1+1)
)</f>
        <v>0</v>
      </c>
      <c r="DD70" s="1">
        <f t="shared" si="158"/>
        <v>0</v>
      </c>
      <c r="DE70" s="9">
        <f t="shared" si="159"/>
        <v>0</v>
      </c>
      <c r="DF70" s="10">
        <f t="shared" si="160"/>
        <v>0</v>
      </c>
      <c r="DG70" s="1">
        <f>SUMIFS(
  '[1]Hoja 1'!$M:$M,
  '[1]Hoja 1'!$S:$S, $A70,
  '[1]Hoja 1'!$R:$R, "&gt;="&amp;INT($DI$1),
  '[1]Hoja 1'!$R:$R, "&lt;"&amp;INT($DJ$1+1)
)</f>
        <v>0</v>
      </c>
      <c r="DH70" s="1">
        <f t="shared" si="161"/>
        <v>0</v>
      </c>
      <c r="DI70" s="9">
        <f t="shared" si="162"/>
        <v>0</v>
      </c>
      <c r="DJ70" s="10">
        <f t="shared" si="163"/>
        <v>0</v>
      </c>
      <c r="DK70" s="1">
        <f>SUMIFS(
  '[1]Hoja 1'!$M:$M,
  '[1]Hoja 1'!$S:$S, $A70,
  '[1]Hoja 1'!$R:$R, "&gt;="&amp;INT($DM$1),
  '[1]Hoja 1'!$R:$R, "&lt;"&amp;INT($DN$1+1)
)</f>
        <v>0</v>
      </c>
      <c r="DL70" s="1">
        <f t="shared" si="164"/>
        <v>0</v>
      </c>
      <c r="DM70" s="9">
        <f t="shared" si="165"/>
        <v>0</v>
      </c>
      <c r="DN70" s="10">
        <f t="shared" si="166"/>
        <v>0</v>
      </c>
      <c r="DO70" s="1">
        <f>SUMIFS(
  '[1]Hoja 1'!$M:$M,
  '[1]Hoja 1'!$S:$S, $A70,
  '[1]Hoja 1'!$R:$R, "&gt;="&amp;INT($DQ$1),
  '[1]Hoja 1'!$R:$R, "&lt;"&amp;INT($DR$1+1)
)</f>
        <v>0</v>
      </c>
      <c r="DP70" s="1">
        <f t="shared" si="167"/>
        <v>0</v>
      </c>
      <c r="DQ70" s="9">
        <f t="shared" si="168"/>
        <v>0</v>
      </c>
      <c r="DR70" s="10">
        <f t="shared" si="169"/>
        <v>0</v>
      </c>
    </row>
    <row r="71" spans="1:122" x14ac:dyDescent="0.25">
      <c r="A71" s="5">
        <v>210003</v>
      </c>
      <c r="B71" s="6" t="s">
        <v>72</v>
      </c>
      <c r="C71" s="1">
        <f>SUMIFS(
  '[1]Hoja 1'!$M:$M,
  '[1]Hoja 1'!$S:$S, $A71,
  '[1]Hoja 1'!$R:$R, "&gt;="&amp;INT($E$1),
  '[1]Hoja 1'!$R:$R, "&lt;"&amp;INT($F$1+1)
)</f>
        <v>0</v>
      </c>
      <c r="D71" s="1" t="str">
        <f>""</f>
        <v/>
      </c>
      <c r="F71" s="2"/>
      <c r="G71" s="1">
        <f>SUMIFS(
  '[1]Hoja 1'!$M:$M,
  '[1]Hoja 1'!$S:$S, $A71,
  '[1]Hoja 1'!$R:$R, "&gt;="&amp;INT($I$1),
  '[1]Hoja 1'!$R:$R, "&lt;"&amp;INT($J$1+1)
)</f>
        <v>0</v>
      </c>
      <c r="H71" s="1">
        <f t="shared" si="85"/>
        <v>0</v>
      </c>
      <c r="I71" s="1"/>
      <c r="J71" s="2"/>
      <c r="K71" s="1">
        <f>SUMIFS(
  '[1]Hoja 1'!$M:$M,
  '[1]Hoja 1'!$S:$S, $A71,
  '[1]Hoja 1'!$R:$R, "&gt;="&amp;INT($M$1),
  '[1]Hoja 1'!$R:$R, "&lt;"&amp;INT($N$1+1)
)</f>
        <v>1</v>
      </c>
      <c r="L71" s="1">
        <f t="shared" si="86"/>
        <v>0.5</v>
      </c>
      <c r="M71" s="9">
        <f t="shared" si="87"/>
        <v>-0.19296464556281656</v>
      </c>
      <c r="N71" s="10">
        <f t="shared" si="88"/>
        <v>1.1929646455628165</v>
      </c>
      <c r="O71" s="1">
        <f>SUMIFS(
  '[1]Hoja 1'!$M:$M,
  '[1]Hoja 1'!$S:$S, $A71,
  '[1]Hoja 1'!$R:$R, "&gt;="&amp;INT($Q$1),
  '[1]Hoja 1'!$R:$R, "&lt;"&amp;INT($R$1+1)
)</f>
        <v>0</v>
      </c>
      <c r="P71" s="1">
        <f t="shared" si="89"/>
        <v>0.5</v>
      </c>
      <c r="Q71" s="9">
        <f t="shared" si="90"/>
        <v>-0.48</v>
      </c>
      <c r="R71" s="10">
        <f t="shared" si="91"/>
        <v>1.48</v>
      </c>
      <c r="S71" s="1">
        <f>SUMIFS(
  '[1]Hoja 1'!$M:$M,
  '[1]Hoja 1'!$S:$S, $A71,
  '[1]Hoja 1'!$R:$R, "&gt;="&amp;INT($U$1),
  '[1]Hoja 1'!$R:$R, "&lt;"&amp;INT($V$1+1)
)</f>
        <v>0</v>
      </c>
      <c r="T71" s="1">
        <f t="shared" si="92"/>
        <v>0</v>
      </c>
      <c r="U71" s="9">
        <f t="shared" si="93"/>
        <v>-0.80016664930917147</v>
      </c>
      <c r="V71" s="10">
        <f t="shared" si="94"/>
        <v>0.80016664930917147</v>
      </c>
      <c r="W71" s="1">
        <f>SUMIFS(
  '[1]Hoja 1'!$M:$M,
  '[1]Hoja 1'!$S:$S, $A71,
  '[1]Hoja 1'!$R:$R, "&gt;="&amp;INT($Y$1),
  '[1]Hoja 1'!$R:$R, "&lt;"&amp;INT($Z$1+1)
)</f>
        <v>0</v>
      </c>
      <c r="X71" s="1">
        <f t="shared" si="95"/>
        <v>0</v>
      </c>
      <c r="Y71" s="9">
        <f t="shared" si="96"/>
        <v>-0.80016664930917147</v>
      </c>
      <c r="Z71" s="10">
        <f t="shared" si="97"/>
        <v>0.80016664930917147</v>
      </c>
      <c r="AA71" s="1">
        <f>SUMIFS(
  '[1]Hoja 1'!$M:$M,
  '[1]Hoja 1'!$S:$S, $A71,
  '[1]Hoja 1'!$R:$R, "&gt;="&amp;INT($AC$1),
  '[1]Hoja 1'!$R:$R, "&lt;"&amp;INT($AD$1+1)
)</f>
        <v>0</v>
      </c>
      <c r="AB71" s="1">
        <f t="shared" si="98"/>
        <v>0</v>
      </c>
      <c r="AC71" s="9">
        <f t="shared" si="99"/>
        <v>-0.43826932358995874</v>
      </c>
      <c r="AD71" s="10">
        <f t="shared" si="100"/>
        <v>0.49</v>
      </c>
      <c r="AE71" s="1">
        <f>SUMIFS(
  '[1]Hoja 1'!$M:$M,
  '[1]Hoja 1'!$S:$S, $A71,
  '[1]Hoja 1'!$R:$R, "&gt;="&amp;INT($AG$1),
  '[1]Hoja 1'!$R:$R, "&lt;"&amp;INT($AH$1+1)
)</f>
        <v>0</v>
      </c>
      <c r="AF71" s="1">
        <f t="shared" si="101"/>
        <v>0</v>
      </c>
      <c r="AG71" s="9">
        <f t="shared" si="102"/>
        <v>0</v>
      </c>
      <c r="AH71" s="10">
        <f t="shared" si="103"/>
        <v>0</v>
      </c>
      <c r="AI71" s="1">
        <f>SUMIFS(
  '[1]Hoja 1'!$M:$M,
  '[1]Hoja 1'!$S:$S, $A71,
  '[1]Hoja 1'!$R:$R, "&gt;="&amp;INT($AK$1),
  '[1]Hoja 1'!$R:$R, "&lt;"&amp;INT($AL$1+1)
)</f>
        <v>0</v>
      </c>
      <c r="AJ71" s="1">
        <f t="shared" si="104"/>
        <v>0</v>
      </c>
      <c r="AK71" s="9">
        <f t="shared" si="105"/>
        <v>0</v>
      </c>
      <c r="AL71" s="10">
        <f t="shared" si="106"/>
        <v>0</v>
      </c>
      <c r="AM71" s="1">
        <f>SUMIFS(
  '[1]Hoja 1'!$M:$M,
  '[1]Hoja 1'!$S:$S, $A71,
  '[1]Hoja 1'!$R:$R, "&gt;="&amp;INT($AO$1),
  '[1]Hoja 1'!$R:$R, "&lt;"&amp;INT($AP$1+1)
)</f>
        <v>0</v>
      </c>
      <c r="AN71" s="1">
        <f t="shared" si="107"/>
        <v>0</v>
      </c>
      <c r="AO71" s="9">
        <f t="shared" si="108"/>
        <v>0</v>
      </c>
      <c r="AP71" s="10">
        <f t="shared" si="109"/>
        <v>0</v>
      </c>
      <c r="AQ71" s="1">
        <f>SUMIFS(
  '[1]Hoja 1'!$M:$M,
  '[1]Hoja 1'!$S:$S, $A71,
  '[1]Hoja 1'!$R:$R, "&gt;="&amp;INT($AS$1),
  '[1]Hoja 1'!$R:$R, "&lt;"&amp;INT($AT$1+1)
)</f>
        <v>0</v>
      </c>
      <c r="AR71" s="1">
        <f t="shared" si="110"/>
        <v>0</v>
      </c>
      <c r="AS71" s="9">
        <f t="shared" si="111"/>
        <v>0</v>
      </c>
      <c r="AT71" s="10">
        <f t="shared" si="112"/>
        <v>0</v>
      </c>
      <c r="AU71" s="1">
        <f>SUMIFS(
  '[1]Hoja 1'!$M:$M,
  '[1]Hoja 1'!$S:$S, $A71,
  '[1]Hoja 1'!$R:$R, "&gt;="&amp;INT($AW$1),
  '[1]Hoja 1'!$R:$R, "&lt;"&amp;INT($AX$1+1)
)</f>
        <v>0</v>
      </c>
      <c r="AV71" s="1">
        <f t="shared" si="113"/>
        <v>0</v>
      </c>
      <c r="AW71" s="9">
        <f t="shared" si="114"/>
        <v>0</v>
      </c>
      <c r="AX71" s="10">
        <f t="shared" si="115"/>
        <v>0</v>
      </c>
      <c r="AY71" s="1">
        <f>SUMIFS(
  '[1]Hoja 1'!$M:$M,
  '[1]Hoja 1'!$S:$S, $A71,
  '[1]Hoja 1'!$R:$R, "&gt;="&amp;INT($BA$1),
  '[1]Hoja 1'!$R:$R, "&lt;"&amp;INT($BB$1+1)
)</f>
        <v>0</v>
      </c>
      <c r="AZ71" s="1">
        <f t="shared" si="116"/>
        <v>0</v>
      </c>
      <c r="BA71" s="9">
        <f t="shared" si="117"/>
        <v>0</v>
      </c>
      <c r="BB71" s="10">
        <f t="shared" si="118"/>
        <v>0</v>
      </c>
      <c r="BC71" s="1">
        <f>SUMIFS(
  '[1]Hoja 1'!$M:$M,
  '[1]Hoja 1'!$S:$S, $A71,
  '[1]Hoja 1'!$R:$R, "&gt;="&amp;INT($BE$1),
  '[1]Hoja 1'!$R:$R, "&lt;"&amp;INT($BF$1+1)
)</f>
        <v>0</v>
      </c>
      <c r="BD71" s="1">
        <f t="shared" si="119"/>
        <v>0</v>
      </c>
      <c r="BE71" s="9">
        <f t="shared" si="120"/>
        <v>0</v>
      </c>
      <c r="BF71" s="10">
        <f t="shared" si="121"/>
        <v>0</v>
      </c>
      <c r="BG71" s="1">
        <f>SUMIFS(
  '[1]Hoja 1'!$M:$M,
  '[1]Hoja 1'!$S:$S, $A71,
  '[1]Hoja 1'!$R:$R, "&gt;="&amp;INT($BI$1),
  '[1]Hoja 1'!$R:$R, "&lt;"&amp;INT($BJ$1+1)
)</f>
        <v>0</v>
      </c>
      <c r="BH71" s="1">
        <f t="shared" si="122"/>
        <v>0</v>
      </c>
      <c r="BI71" s="9">
        <f t="shared" si="123"/>
        <v>0</v>
      </c>
      <c r="BJ71" s="10">
        <f t="shared" si="124"/>
        <v>0</v>
      </c>
      <c r="BK71" s="1">
        <f>SUMIFS(
  '[1]Hoja 1'!$M:$M,
  '[1]Hoja 1'!$S:$S, $A71,
  '[1]Hoja 1'!$R:$R, "&gt;="&amp;INT($BM$1),
  '[1]Hoja 1'!$R:$R, "&lt;"&amp;INT($BN$1+1)
)</f>
        <v>0</v>
      </c>
      <c r="BL71" s="1">
        <f t="shared" si="125"/>
        <v>0</v>
      </c>
      <c r="BM71" s="9">
        <f t="shared" si="126"/>
        <v>0</v>
      </c>
      <c r="BN71" s="10">
        <f t="shared" si="127"/>
        <v>0</v>
      </c>
      <c r="BO71" s="1">
        <f>SUMIFS(
  '[1]Hoja 1'!$M:$M,
  '[1]Hoja 1'!$S:$S, $A71,
  '[1]Hoja 1'!$R:$R, "&gt;="&amp;INT($BQ$1),
  '[1]Hoja 1'!$R:$R, "&lt;"&amp;INT($BR$1+1)
)</f>
        <v>0</v>
      </c>
      <c r="BP71" s="1">
        <f t="shared" si="128"/>
        <v>0</v>
      </c>
      <c r="BQ71" s="9">
        <f t="shared" si="129"/>
        <v>0</v>
      </c>
      <c r="BR71" s="10">
        <f t="shared" si="130"/>
        <v>0</v>
      </c>
      <c r="BS71" s="1">
        <f>SUMIFS(
  '[1]Hoja 1'!$M:$M,
  '[1]Hoja 1'!$S:$S, $A71,
  '[1]Hoja 1'!$R:$R, "&gt;="&amp;INT($BU$1),
  '[1]Hoja 1'!$R:$R, "&lt;"&amp;INT($BV$1+1)
)</f>
        <v>0</v>
      </c>
      <c r="BT71" s="1">
        <f t="shared" si="131"/>
        <v>0</v>
      </c>
      <c r="BU71" s="9">
        <f t="shared" si="132"/>
        <v>0</v>
      </c>
      <c r="BV71" s="10">
        <f t="shared" si="133"/>
        <v>0</v>
      </c>
      <c r="BW71" s="1">
        <f>SUMIFS(
  '[1]Hoja 1'!$M:$M,
  '[1]Hoja 1'!$S:$S, $A71,
  '[1]Hoja 1'!$R:$R, "&gt;="&amp;INT($BY$1),
  '[1]Hoja 1'!$R:$R, "&lt;"&amp;INT($BZ$1+1)
)</f>
        <v>0</v>
      </c>
      <c r="BX71" s="1">
        <f t="shared" si="134"/>
        <v>0</v>
      </c>
      <c r="BY71" s="9">
        <f t="shared" si="135"/>
        <v>0</v>
      </c>
      <c r="BZ71" s="10">
        <f t="shared" si="136"/>
        <v>0</v>
      </c>
      <c r="CA71" s="1">
        <f>SUMIFS(
  '[1]Hoja 1'!$M:$M,
  '[1]Hoja 1'!$S:$S, $A71,
  '[1]Hoja 1'!$R:$R, "&gt;="&amp;INT($CC$1),
  '[1]Hoja 1'!$R:$R, "&lt;"&amp;INT($CD$1+1)
)</f>
        <v>0</v>
      </c>
      <c r="CB71" s="1">
        <f t="shared" si="137"/>
        <v>0</v>
      </c>
      <c r="CC71" s="9">
        <f t="shared" si="138"/>
        <v>0</v>
      </c>
      <c r="CD71" s="10">
        <f t="shared" si="139"/>
        <v>0</v>
      </c>
      <c r="CE71" s="1">
        <f>SUMIFS(
  '[1]Hoja 1'!$M:$M,
  '[1]Hoja 1'!$S:$S, $A71,
  '[1]Hoja 1'!$R:$R, "&gt;="&amp;INT($CG$1),
  '[1]Hoja 1'!$R:$R, "&lt;"&amp;INT($CH$1+1)
)</f>
        <v>0</v>
      </c>
      <c r="CF71" s="1">
        <f t="shared" si="140"/>
        <v>0</v>
      </c>
      <c r="CG71" s="9">
        <f t="shared" si="141"/>
        <v>0</v>
      </c>
      <c r="CH71" s="10">
        <f t="shared" si="142"/>
        <v>0</v>
      </c>
      <c r="CI71" s="1">
        <f>SUMIFS(
  '[1]Hoja 1'!$M:$M,
  '[1]Hoja 1'!$S:$S, $A71,
  '[1]Hoja 1'!$R:$R, "&gt;="&amp;INT($CK$1),
  '[1]Hoja 1'!$R:$R, "&lt;"&amp;INT($CL$1+1)
)</f>
        <v>0</v>
      </c>
      <c r="CJ71" s="1">
        <f t="shared" si="143"/>
        <v>0</v>
      </c>
      <c r="CK71" s="9">
        <f t="shared" si="144"/>
        <v>0</v>
      </c>
      <c r="CL71" s="10">
        <f t="shared" si="145"/>
        <v>0</v>
      </c>
      <c r="CM71" s="1">
        <f>SUMIFS(
  '[1]Hoja 1'!$M:$M,
  '[1]Hoja 1'!$S:$S, $A71,
  '[1]Hoja 1'!$R:$R, "&gt;="&amp;INT($CO$1),
  '[1]Hoja 1'!$R:$R, "&lt;"&amp;INT($CP$1+1)
)</f>
        <v>0</v>
      </c>
      <c r="CN71" s="1">
        <f t="shared" si="146"/>
        <v>0</v>
      </c>
      <c r="CO71" s="9">
        <f t="shared" si="147"/>
        <v>0</v>
      </c>
      <c r="CP71" s="10">
        <f t="shared" si="148"/>
        <v>0</v>
      </c>
      <c r="CQ71" s="1">
        <f>SUMIFS(
  '[1]Hoja 1'!$M:$M,
  '[1]Hoja 1'!$S:$S, $A71,
  '[1]Hoja 1'!$R:$R, "&gt;="&amp;INT($CS$1),
  '[1]Hoja 1'!$R:$R, "&lt;"&amp;INT($CT$1+1)
)</f>
        <v>0</v>
      </c>
      <c r="CR71" s="1">
        <f t="shared" si="149"/>
        <v>0</v>
      </c>
      <c r="CS71" s="9">
        <f t="shared" si="150"/>
        <v>0</v>
      </c>
      <c r="CT71" s="10">
        <f t="shared" si="151"/>
        <v>0</v>
      </c>
      <c r="CU71" s="1">
        <f>SUMIFS(
  '[1]Hoja 1'!$M:$M,
  '[1]Hoja 1'!$S:$S, $A71,
  '[1]Hoja 1'!$R:$R, "&gt;="&amp;INT($CW$1),
  '[1]Hoja 1'!$R:$R, "&lt;"&amp;INT($CX$1+1)
)</f>
        <v>0</v>
      </c>
      <c r="CV71" s="1">
        <f t="shared" si="152"/>
        <v>0</v>
      </c>
      <c r="CW71" s="9">
        <f t="shared" si="153"/>
        <v>0</v>
      </c>
      <c r="CX71" s="10">
        <f t="shared" si="154"/>
        <v>0</v>
      </c>
      <c r="CY71" s="1">
        <f>SUMIFS(
  '[1]Hoja 1'!$M:$M,
  '[1]Hoja 1'!$S:$S, $A71,
  '[1]Hoja 1'!$R:$R, "&gt;="&amp;INT($DA$1),
  '[1]Hoja 1'!$R:$R, "&lt;"&amp;INT($DB$1+1)
)</f>
        <v>0</v>
      </c>
      <c r="CZ71" s="1">
        <f t="shared" si="155"/>
        <v>0</v>
      </c>
      <c r="DA71" s="9">
        <f t="shared" si="156"/>
        <v>0</v>
      </c>
      <c r="DB71" s="10">
        <f t="shared" si="157"/>
        <v>0</v>
      </c>
      <c r="DC71" s="1">
        <f>SUMIFS(
  '[1]Hoja 1'!$M:$M,
  '[1]Hoja 1'!$S:$S, $A71,
  '[1]Hoja 1'!$R:$R, "&gt;="&amp;INT($DE$1),
  '[1]Hoja 1'!$R:$R, "&lt;"&amp;INT($DF$1+1)
)</f>
        <v>0</v>
      </c>
      <c r="DD71" s="1">
        <f t="shared" si="158"/>
        <v>0</v>
      </c>
      <c r="DE71" s="9">
        <f t="shared" si="159"/>
        <v>0</v>
      </c>
      <c r="DF71" s="10">
        <f t="shared" si="160"/>
        <v>0</v>
      </c>
      <c r="DG71" s="1">
        <f>SUMIFS(
  '[1]Hoja 1'!$M:$M,
  '[1]Hoja 1'!$S:$S, $A71,
  '[1]Hoja 1'!$R:$R, "&gt;="&amp;INT($DI$1),
  '[1]Hoja 1'!$R:$R, "&lt;"&amp;INT($DJ$1+1)
)</f>
        <v>0</v>
      </c>
      <c r="DH71" s="1">
        <f t="shared" si="161"/>
        <v>0</v>
      </c>
      <c r="DI71" s="9">
        <f t="shared" si="162"/>
        <v>0</v>
      </c>
      <c r="DJ71" s="10">
        <f t="shared" si="163"/>
        <v>0</v>
      </c>
      <c r="DK71" s="1">
        <f>SUMIFS(
  '[1]Hoja 1'!$M:$M,
  '[1]Hoja 1'!$S:$S, $A71,
  '[1]Hoja 1'!$R:$R, "&gt;="&amp;INT($DM$1),
  '[1]Hoja 1'!$R:$R, "&lt;"&amp;INT($DN$1+1)
)</f>
        <v>0</v>
      </c>
      <c r="DL71" s="1">
        <f t="shared" si="164"/>
        <v>0</v>
      </c>
      <c r="DM71" s="9">
        <f t="shared" si="165"/>
        <v>0</v>
      </c>
      <c r="DN71" s="10">
        <f t="shared" si="166"/>
        <v>0</v>
      </c>
      <c r="DO71" s="1">
        <f>SUMIFS(
  '[1]Hoja 1'!$M:$M,
  '[1]Hoja 1'!$S:$S, $A71,
  '[1]Hoja 1'!$R:$R, "&gt;="&amp;INT($DQ$1),
  '[1]Hoja 1'!$R:$R, "&lt;"&amp;INT($DR$1+1)
)</f>
        <v>0</v>
      </c>
      <c r="DP71" s="1">
        <f t="shared" si="167"/>
        <v>0</v>
      </c>
      <c r="DQ71" s="9">
        <f t="shared" si="168"/>
        <v>0</v>
      </c>
      <c r="DR71" s="10">
        <f t="shared" si="169"/>
        <v>0</v>
      </c>
    </row>
    <row r="72" spans="1:122" x14ac:dyDescent="0.25">
      <c r="A72" s="5">
        <v>210004</v>
      </c>
      <c r="B72" s="6" t="s">
        <v>73</v>
      </c>
      <c r="C72" s="1">
        <f>SUMIFS(
  '[1]Hoja 1'!$M:$M,
  '[1]Hoja 1'!$S:$S, $A72,
  '[1]Hoja 1'!$R:$R, "&gt;="&amp;INT($E$1),
  '[1]Hoja 1'!$R:$R, "&lt;"&amp;INT($F$1+1)
)</f>
        <v>0</v>
      </c>
      <c r="D72" s="1" t="str">
        <f>""</f>
        <v/>
      </c>
      <c r="F72" s="2"/>
      <c r="G72" s="1">
        <f>SUMIFS(
  '[1]Hoja 1'!$M:$M,
  '[1]Hoja 1'!$S:$S, $A72,
  '[1]Hoja 1'!$R:$R, "&gt;="&amp;INT($I$1),
  '[1]Hoja 1'!$R:$R, "&lt;"&amp;INT($J$1+1)
)</f>
        <v>1</v>
      </c>
      <c r="H72" s="1">
        <f t="shared" si="85"/>
        <v>0.5</v>
      </c>
      <c r="I72" s="1"/>
      <c r="J72" s="2"/>
      <c r="K72" s="1">
        <f>SUMIFS(
  '[1]Hoja 1'!$M:$M,
  '[1]Hoja 1'!$S:$S, $A72,
  '[1]Hoja 1'!$R:$R, "&gt;="&amp;INT($M$1),
  '[1]Hoja 1'!$R:$R, "&lt;"&amp;INT($N$1+1)
)</f>
        <v>0</v>
      </c>
      <c r="L72" s="1">
        <f t="shared" si="86"/>
        <v>0.5</v>
      </c>
      <c r="M72" s="9">
        <f t="shared" si="87"/>
        <v>-0.88592929112563312</v>
      </c>
      <c r="N72" s="10">
        <f t="shared" si="88"/>
        <v>1.8859292911256331</v>
      </c>
      <c r="O72" s="1">
        <f>SUMIFS(
  '[1]Hoja 1'!$M:$M,
  '[1]Hoja 1'!$S:$S, $A72,
  '[1]Hoja 1'!$R:$R, "&gt;="&amp;INT($Q$1),
  '[1]Hoja 1'!$R:$R, "&lt;"&amp;INT($R$1+1)
)</f>
        <v>1</v>
      </c>
      <c r="P72" s="1">
        <f t="shared" si="89"/>
        <v>0.5</v>
      </c>
      <c r="Q72" s="9">
        <f t="shared" si="90"/>
        <v>-0.63160652761166647</v>
      </c>
      <c r="R72" s="10">
        <f t="shared" si="91"/>
        <v>1.6316065276116665</v>
      </c>
      <c r="S72" s="1">
        <f>SUMIFS(
  '[1]Hoja 1'!$M:$M,
  '[1]Hoja 1'!$S:$S, $A72,
  '[1]Hoja 1'!$R:$R, "&gt;="&amp;INT($U$1),
  '[1]Hoja 1'!$R:$R, "&lt;"&amp;INT($V$1+1)
)</f>
        <v>0</v>
      </c>
      <c r="T72" s="1">
        <f t="shared" si="92"/>
        <v>1</v>
      </c>
      <c r="U72" s="9">
        <f t="shared" si="93"/>
        <v>-0.13160652761166647</v>
      </c>
      <c r="V72" s="10">
        <f t="shared" si="94"/>
        <v>2.1316065276116665</v>
      </c>
      <c r="W72" s="1">
        <f>SUMIFS(
  '[1]Hoja 1'!$M:$M,
  '[1]Hoja 1'!$S:$S, $A72,
  '[1]Hoja 1'!$R:$R, "&gt;="&amp;INT($Y$1),
  '[1]Hoja 1'!$R:$R, "&lt;"&amp;INT($Z$1+1)
)</f>
        <v>1</v>
      </c>
      <c r="X72" s="1">
        <f t="shared" si="95"/>
        <v>1</v>
      </c>
      <c r="Y72" s="9">
        <f t="shared" si="96"/>
        <v>-0.13160652761166647</v>
      </c>
      <c r="Z72" s="10">
        <f t="shared" si="97"/>
        <v>2.1316065276116665</v>
      </c>
      <c r="AA72" s="1">
        <f>SUMIFS(
  '[1]Hoja 1'!$M:$M,
  '[1]Hoja 1'!$S:$S, $A72,
  '[1]Hoja 1'!$R:$R, "&gt;="&amp;INT($AC$1),
  '[1]Hoja 1'!$R:$R, "&lt;"&amp;INT($AD$1+1)
)</f>
        <v>0</v>
      </c>
      <c r="AB72" s="1">
        <f t="shared" si="98"/>
        <v>1</v>
      </c>
      <c r="AC72" s="9">
        <f t="shared" si="99"/>
        <v>2.0000000000000018E-2</v>
      </c>
      <c r="AD72" s="10">
        <f t="shared" si="100"/>
        <v>2.1316065276116665</v>
      </c>
      <c r="AE72" s="1">
        <f>SUMIFS(
  '[1]Hoja 1'!$M:$M,
  '[1]Hoja 1'!$S:$S, $A72,
  '[1]Hoja 1'!$R:$R, "&gt;="&amp;INT($AG$1),
  '[1]Hoja 1'!$R:$R, "&lt;"&amp;INT($AH$1+1)
)</f>
        <v>0</v>
      </c>
      <c r="AF72" s="1">
        <f t="shared" si="101"/>
        <v>0</v>
      </c>
      <c r="AG72" s="9">
        <f t="shared" si="102"/>
        <v>-0.81992682600339406</v>
      </c>
      <c r="AH72" s="10">
        <f t="shared" si="103"/>
        <v>0.93827856560121137</v>
      </c>
      <c r="AI72" s="1">
        <f>SUMIFS(
  '[1]Hoja 1'!$M:$M,
  '[1]Hoja 1'!$S:$S, $A72,
  '[1]Hoja 1'!$R:$R, "&gt;="&amp;INT($AK$1),
  '[1]Hoja 1'!$R:$R, "&lt;"&amp;INT($AL$1+1)
)</f>
        <v>0</v>
      </c>
      <c r="AJ72" s="1">
        <f t="shared" si="104"/>
        <v>0</v>
      </c>
      <c r="AK72" s="9">
        <f t="shared" si="105"/>
        <v>-0.69296464556281656</v>
      </c>
      <c r="AL72" s="10">
        <f t="shared" si="106"/>
        <v>0.80016664930917147</v>
      </c>
      <c r="AM72" s="1">
        <f>SUMIFS(
  '[1]Hoja 1'!$M:$M,
  '[1]Hoja 1'!$S:$S, $A72,
  '[1]Hoja 1'!$R:$R, "&gt;="&amp;INT($AO$1),
  '[1]Hoja 1'!$R:$R, "&lt;"&amp;INT($AP$1+1)
)</f>
        <v>0</v>
      </c>
      <c r="AN72" s="1">
        <f t="shared" si="107"/>
        <v>0</v>
      </c>
      <c r="AO72" s="9">
        <f t="shared" si="108"/>
        <v>-0.43826932358995874</v>
      </c>
      <c r="AP72" s="10">
        <f t="shared" si="109"/>
        <v>0.49</v>
      </c>
      <c r="AQ72" s="1">
        <f>SUMIFS(
  '[1]Hoja 1'!$M:$M,
  '[1]Hoja 1'!$S:$S, $A72,
  '[1]Hoja 1'!$R:$R, "&gt;="&amp;INT($AS$1),
  '[1]Hoja 1'!$R:$R, "&lt;"&amp;INT($AT$1+1)
)</f>
        <v>0</v>
      </c>
      <c r="AR72" s="1">
        <f t="shared" si="110"/>
        <v>0</v>
      </c>
      <c r="AS72" s="9">
        <f t="shared" si="111"/>
        <v>0</v>
      </c>
      <c r="AT72" s="10">
        <f t="shared" si="112"/>
        <v>0</v>
      </c>
      <c r="AU72" s="1">
        <f>SUMIFS(
  '[1]Hoja 1'!$M:$M,
  '[1]Hoja 1'!$S:$S, $A72,
  '[1]Hoja 1'!$R:$R, "&gt;="&amp;INT($AW$1),
  '[1]Hoja 1'!$R:$R, "&lt;"&amp;INT($AX$1+1)
)</f>
        <v>0</v>
      </c>
      <c r="AV72" s="1">
        <f t="shared" si="113"/>
        <v>0</v>
      </c>
      <c r="AW72" s="9">
        <f t="shared" si="114"/>
        <v>0</v>
      </c>
      <c r="AX72" s="10">
        <f t="shared" si="115"/>
        <v>0</v>
      </c>
      <c r="AY72" s="1">
        <f>SUMIFS(
  '[1]Hoja 1'!$M:$M,
  '[1]Hoja 1'!$S:$S, $A72,
  '[1]Hoja 1'!$R:$R, "&gt;="&amp;INT($BA$1),
  '[1]Hoja 1'!$R:$R, "&lt;"&amp;INT($BB$1+1)
)</f>
        <v>0</v>
      </c>
      <c r="AZ72" s="1">
        <f t="shared" si="116"/>
        <v>0</v>
      </c>
      <c r="BA72" s="9">
        <f t="shared" si="117"/>
        <v>0</v>
      </c>
      <c r="BB72" s="10">
        <f t="shared" si="118"/>
        <v>0</v>
      </c>
      <c r="BC72" s="1">
        <f>SUMIFS(
  '[1]Hoja 1'!$M:$M,
  '[1]Hoja 1'!$S:$S, $A72,
  '[1]Hoja 1'!$R:$R, "&gt;="&amp;INT($BE$1),
  '[1]Hoja 1'!$R:$R, "&lt;"&amp;INT($BF$1+1)
)</f>
        <v>0</v>
      </c>
      <c r="BD72" s="1">
        <f t="shared" si="119"/>
        <v>0</v>
      </c>
      <c r="BE72" s="9">
        <f t="shared" si="120"/>
        <v>0</v>
      </c>
      <c r="BF72" s="10">
        <f t="shared" si="121"/>
        <v>0</v>
      </c>
      <c r="BG72" s="1">
        <f>SUMIFS(
  '[1]Hoja 1'!$M:$M,
  '[1]Hoja 1'!$S:$S, $A72,
  '[1]Hoja 1'!$R:$R, "&gt;="&amp;INT($BI$1),
  '[1]Hoja 1'!$R:$R, "&lt;"&amp;INT($BJ$1+1)
)</f>
        <v>0</v>
      </c>
      <c r="BH72" s="1">
        <f t="shared" si="122"/>
        <v>0</v>
      </c>
      <c r="BI72" s="9">
        <f t="shared" si="123"/>
        <v>0</v>
      </c>
      <c r="BJ72" s="10">
        <f t="shared" si="124"/>
        <v>0</v>
      </c>
      <c r="BK72" s="1">
        <f>SUMIFS(
  '[1]Hoja 1'!$M:$M,
  '[1]Hoja 1'!$S:$S, $A72,
  '[1]Hoja 1'!$R:$R, "&gt;="&amp;INT($BM$1),
  '[1]Hoja 1'!$R:$R, "&lt;"&amp;INT($BN$1+1)
)</f>
        <v>0</v>
      </c>
      <c r="BL72" s="1">
        <f t="shared" si="125"/>
        <v>0</v>
      </c>
      <c r="BM72" s="9">
        <f t="shared" si="126"/>
        <v>0</v>
      </c>
      <c r="BN72" s="10">
        <f t="shared" si="127"/>
        <v>0</v>
      </c>
      <c r="BO72" s="1">
        <f>SUMIFS(
  '[1]Hoja 1'!$M:$M,
  '[1]Hoja 1'!$S:$S, $A72,
  '[1]Hoja 1'!$R:$R, "&gt;="&amp;INT($BQ$1),
  '[1]Hoja 1'!$R:$R, "&lt;"&amp;INT($BR$1+1)
)</f>
        <v>0</v>
      </c>
      <c r="BP72" s="1">
        <f t="shared" si="128"/>
        <v>0</v>
      </c>
      <c r="BQ72" s="9">
        <f t="shared" si="129"/>
        <v>0</v>
      </c>
      <c r="BR72" s="10">
        <f t="shared" si="130"/>
        <v>0</v>
      </c>
      <c r="BS72" s="1">
        <f>SUMIFS(
  '[1]Hoja 1'!$M:$M,
  '[1]Hoja 1'!$S:$S, $A72,
  '[1]Hoja 1'!$R:$R, "&gt;="&amp;INT($BU$1),
  '[1]Hoja 1'!$R:$R, "&lt;"&amp;INT($BV$1+1)
)</f>
        <v>0</v>
      </c>
      <c r="BT72" s="1">
        <f t="shared" si="131"/>
        <v>0</v>
      </c>
      <c r="BU72" s="9">
        <f t="shared" si="132"/>
        <v>0</v>
      </c>
      <c r="BV72" s="10">
        <f t="shared" si="133"/>
        <v>0</v>
      </c>
      <c r="BW72" s="1">
        <f>SUMIFS(
  '[1]Hoja 1'!$M:$M,
  '[1]Hoja 1'!$S:$S, $A72,
  '[1]Hoja 1'!$R:$R, "&gt;="&amp;INT($BY$1),
  '[1]Hoja 1'!$R:$R, "&lt;"&amp;INT($BZ$1+1)
)</f>
        <v>0</v>
      </c>
      <c r="BX72" s="1">
        <f t="shared" si="134"/>
        <v>0</v>
      </c>
      <c r="BY72" s="9">
        <f t="shared" si="135"/>
        <v>0</v>
      </c>
      <c r="BZ72" s="10">
        <f t="shared" si="136"/>
        <v>0</v>
      </c>
      <c r="CA72" s="1">
        <f>SUMIFS(
  '[1]Hoja 1'!$M:$M,
  '[1]Hoja 1'!$S:$S, $A72,
  '[1]Hoja 1'!$R:$R, "&gt;="&amp;INT($CC$1),
  '[1]Hoja 1'!$R:$R, "&lt;"&amp;INT($CD$1+1)
)</f>
        <v>0</v>
      </c>
      <c r="CB72" s="1">
        <f t="shared" si="137"/>
        <v>0</v>
      </c>
      <c r="CC72" s="9">
        <f t="shared" si="138"/>
        <v>0</v>
      </c>
      <c r="CD72" s="10">
        <f t="shared" si="139"/>
        <v>0</v>
      </c>
      <c r="CE72" s="1">
        <f>SUMIFS(
  '[1]Hoja 1'!$M:$M,
  '[1]Hoja 1'!$S:$S, $A72,
  '[1]Hoja 1'!$R:$R, "&gt;="&amp;INT($CG$1),
  '[1]Hoja 1'!$R:$R, "&lt;"&amp;INT($CH$1+1)
)</f>
        <v>0</v>
      </c>
      <c r="CF72" s="1">
        <f t="shared" si="140"/>
        <v>0</v>
      </c>
      <c r="CG72" s="9">
        <f t="shared" si="141"/>
        <v>0</v>
      </c>
      <c r="CH72" s="10">
        <f t="shared" si="142"/>
        <v>0</v>
      </c>
      <c r="CI72" s="1">
        <f>SUMIFS(
  '[1]Hoja 1'!$M:$M,
  '[1]Hoja 1'!$S:$S, $A72,
  '[1]Hoja 1'!$R:$R, "&gt;="&amp;INT($CK$1),
  '[1]Hoja 1'!$R:$R, "&lt;"&amp;INT($CL$1+1)
)</f>
        <v>0</v>
      </c>
      <c r="CJ72" s="1">
        <f t="shared" si="143"/>
        <v>0</v>
      </c>
      <c r="CK72" s="9">
        <f t="shared" si="144"/>
        <v>0</v>
      </c>
      <c r="CL72" s="10">
        <f t="shared" si="145"/>
        <v>0</v>
      </c>
      <c r="CM72" s="1">
        <f>SUMIFS(
  '[1]Hoja 1'!$M:$M,
  '[1]Hoja 1'!$S:$S, $A72,
  '[1]Hoja 1'!$R:$R, "&gt;="&amp;INT($CO$1),
  '[1]Hoja 1'!$R:$R, "&lt;"&amp;INT($CP$1+1)
)</f>
        <v>0</v>
      </c>
      <c r="CN72" s="1">
        <f t="shared" si="146"/>
        <v>0</v>
      </c>
      <c r="CO72" s="9">
        <f t="shared" si="147"/>
        <v>0</v>
      </c>
      <c r="CP72" s="10">
        <f t="shared" si="148"/>
        <v>0</v>
      </c>
      <c r="CQ72" s="1">
        <f>SUMIFS(
  '[1]Hoja 1'!$M:$M,
  '[1]Hoja 1'!$S:$S, $A72,
  '[1]Hoja 1'!$R:$R, "&gt;="&amp;INT($CS$1),
  '[1]Hoja 1'!$R:$R, "&lt;"&amp;INT($CT$1+1)
)</f>
        <v>0</v>
      </c>
      <c r="CR72" s="1">
        <f t="shared" si="149"/>
        <v>0</v>
      </c>
      <c r="CS72" s="9">
        <f t="shared" si="150"/>
        <v>0</v>
      </c>
      <c r="CT72" s="10">
        <f t="shared" si="151"/>
        <v>0</v>
      </c>
      <c r="CU72" s="1">
        <f>SUMIFS(
  '[1]Hoja 1'!$M:$M,
  '[1]Hoja 1'!$S:$S, $A72,
  '[1]Hoja 1'!$R:$R, "&gt;="&amp;INT($CW$1),
  '[1]Hoja 1'!$R:$R, "&lt;"&amp;INT($CX$1+1)
)</f>
        <v>0</v>
      </c>
      <c r="CV72" s="1">
        <f t="shared" si="152"/>
        <v>0</v>
      </c>
      <c r="CW72" s="9">
        <f t="shared" si="153"/>
        <v>0</v>
      </c>
      <c r="CX72" s="10">
        <f t="shared" si="154"/>
        <v>0</v>
      </c>
      <c r="CY72" s="1">
        <f>SUMIFS(
  '[1]Hoja 1'!$M:$M,
  '[1]Hoja 1'!$S:$S, $A72,
  '[1]Hoja 1'!$R:$R, "&gt;="&amp;INT($DA$1),
  '[1]Hoja 1'!$R:$R, "&lt;"&amp;INT($DB$1+1)
)</f>
        <v>0</v>
      </c>
      <c r="CZ72" s="1">
        <f t="shared" si="155"/>
        <v>0</v>
      </c>
      <c r="DA72" s="9">
        <f t="shared" si="156"/>
        <v>0</v>
      </c>
      <c r="DB72" s="10">
        <f t="shared" si="157"/>
        <v>0</v>
      </c>
      <c r="DC72" s="1">
        <f>SUMIFS(
  '[1]Hoja 1'!$M:$M,
  '[1]Hoja 1'!$S:$S, $A72,
  '[1]Hoja 1'!$R:$R, "&gt;="&amp;INT($DE$1),
  '[1]Hoja 1'!$R:$R, "&lt;"&amp;INT($DF$1+1)
)</f>
        <v>0</v>
      </c>
      <c r="DD72" s="1">
        <f t="shared" si="158"/>
        <v>0</v>
      </c>
      <c r="DE72" s="9">
        <f t="shared" si="159"/>
        <v>0</v>
      </c>
      <c r="DF72" s="10">
        <f t="shared" si="160"/>
        <v>0</v>
      </c>
      <c r="DG72" s="1">
        <f>SUMIFS(
  '[1]Hoja 1'!$M:$M,
  '[1]Hoja 1'!$S:$S, $A72,
  '[1]Hoja 1'!$R:$R, "&gt;="&amp;INT($DI$1),
  '[1]Hoja 1'!$R:$R, "&lt;"&amp;INT($DJ$1+1)
)</f>
        <v>0</v>
      </c>
      <c r="DH72" s="1">
        <f t="shared" si="161"/>
        <v>0</v>
      </c>
      <c r="DI72" s="9">
        <f t="shared" si="162"/>
        <v>0</v>
      </c>
      <c r="DJ72" s="10">
        <f t="shared" si="163"/>
        <v>0</v>
      </c>
      <c r="DK72" s="1">
        <f>SUMIFS(
  '[1]Hoja 1'!$M:$M,
  '[1]Hoja 1'!$S:$S, $A72,
  '[1]Hoja 1'!$R:$R, "&gt;="&amp;INT($DM$1),
  '[1]Hoja 1'!$R:$R, "&lt;"&amp;INT($DN$1+1)
)</f>
        <v>0</v>
      </c>
      <c r="DL72" s="1">
        <f t="shared" si="164"/>
        <v>0</v>
      </c>
      <c r="DM72" s="9">
        <f t="shared" si="165"/>
        <v>0</v>
      </c>
      <c r="DN72" s="10">
        <f t="shared" si="166"/>
        <v>0</v>
      </c>
      <c r="DO72" s="1">
        <f>SUMIFS(
  '[1]Hoja 1'!$M:$M,
  '[1]Hoja 1'!$S:$S, $A72,
  '[1]Hoja 1'!$R:$R, "&gt;="&amp;INT($DQ$1),
  '[1]Hoja 1'!$R:$R, "&lt;"&amp;INT($DR$1+1)
)</f>
        <v>0</v>
      </c>
      <c r="DP72" s="1">
        <f t="shared" si="167"/>
        <v>0</v>
      </c>
      <c r="DQ72" s="9">
        <f t="shared" si="168"/>
        <v>0</v>
      </c>
      <c r="DR72" s="10">
        <f t="shared" si="169"/>
        <v>0</v>
      </c>
    </row>
    <row r="73" spans="1:122" x14ac:dyDescent="0.25">
      <c r="A73" s="5">
        <v>210009</v>
      </c>
      <c r="B73" s="6" t="s">
        <v>253</v>
      </c>
      <c r="C73" s="1">
        <f>SUMIFS(
  '[1]Hoja 1'!$M:$M,
  '[1]Hoja 1'!$S:$S, $A73,
  '[1]Hoja 1'!$R:$R, "&gt;="&amp;INT($E$1),
  '[1]Hoja 1'!$R:$R, "&lt;"&amp;INT($F$1+1)
)</f>
        <v>0</v>
      </c>
      <c r="D73" s="1" t="str">
        <f>""</f>
        <v/>
      </c>
      <c r="F73" s="2"/>
      <c r="G73" s="1">
        <f>SUMIFS(
  '[1]Hoja 1'!$M:$M,
  '[1]Hoja 1'!$S:$S, $A73,
  '[1]Hoja 1'!$R:$R, "&gt;="&amp;INT($I$1),
  '[1]Hoja 1'!$R:$R, "&lt;"&amp;INT($J$1+1)
)</f>
        <v>0</v>
      </c>
      <c r="H73" s="1">
        <f t="shared" si="85"/>
        <v>0</v>
      </c>
      <c r="I73" s="1"/>
      <c r="J73" s="2"/>
      <c r="K73" s="1">
        <f>SUMIFS(
  '[1]Hoja 1'!$M:$M,
  '[1]Hoja 1'!$S:$S, $A73,
  '[1]Hoja 1'!$R:$R, "&gt;="&amp;INT($M$1),
  '[1]Hoja 1'!$R:$R, "&lt;"&amp;INT($N$1+1)
)</f>
        <v>0</v>
      </c>
      <c r="L73" s="1">
        <f t="shared" si="86"/>
        <v>0</v>
      </c>
      <c r="M73" s="9">
        <f t="shared" si="87"/>
        <v>0</v>
      </c>
      <c r="N73" s="10">
        <f t="shared" si="88"/>
        <v>0</v>
      </c>
      <c r="O73" s="1">
        <f>SUMIFS(
  '[1]Hoja 1'!$M:$M,
  '[1]Hoja 1'!$S:$S, $A73,
  '[1]Hoja 1'!$R:$R, "&gt;="&amp;INT($Q$1),
  '[1]Hoja 1'!$R:$R, "&lt;"&amp;INT($R$1+1)
)</f>
        <v>0</v>
      </c>
      <c r="P73" s="1">
        <f t="shared" si="89"/>
        <v>0</v>
      </c>
      <c r="Q73" s="9">
        <f t="shared" si="90"/>
        <v>0</v>
      </c>
      <c r="R73" s="10">
        <f t="shared" si="91"/>
        <v>0</v>
      </c>
      <c r="S73" s="1">
        <f>SUMIFS(
  '[1]Hoja 1'!$M:$M,
  '[1]Hoja 1'!$S:$S, $A73,
  '[1]Hoja 1'!$R:$R, "&gt;="&amp;INT($U$1),
  '[1]Hoja 1'!$R:$R, "&lt;"&amp;INT($V$1+1)
)</f>
        <v>0</v>
      </c>
      <c r="T73" s="1">
        <f t="shared" si="92"/>
        <v>0</v>
      </c>
      <c r="U73" s="9">
        <f t="shared" si="93"/>
        <v>0</v>
      </c>
      <c r="V73" s="10">
        <f t="shared" si="94"/>
        <v>0</v>
      </c>
      <c r="W73" s="1">
        <f>SUMIFS(
  '[1]Hoja 1'!$M:$M,
  '[1]Hoja 1'!$S:$S, $A73,
  '[1]Hoja 1'!$R:$R, "&gt;="&amp;INT($Y$1),
  '[1]Hoja 1'!$R:$R, "&lt;"&amp;INT($Z$1+1)
)</f>
        <v>5</v>
      </c>
      <c r="X73" s="1">
        <f t="shared" si="95"/>
        <v>3</v>
      </c>
      <c r="Y73" s="9">
        <f t="shared" si="96"/>
        <v>0.54999999999999982</v>
      </c>
      <c r="Z73" s="10">
        <f t="shared" si="97"/>
        <v>5.45</v>
      </c>
      <c r="AA73" s="1">
        <f>SUMIFS(
  '[1]Hoja 1'!$M:$M,
  '[1]Hoja 1'!$S:$S, $A73,
  '[1]Hoja 1'!$R:$R, "&gt;="&amp;INT($AC$1),
  '[1]Hoja 1'!$R:$R, "&lt;"&amp;INT($AD$1+1)
)</f>
        <v>6</v>
      </c>
      <c r="AB73" s="1">
        <f t="shared" si="98"/>
        <v>6</v>
      </c>
      <c r="AC73" s="9">
        <f t="shared" si="99"/>
        <v>3.8754106279094778</v>
      </c>
      <c r="AD73" s="10">
        <f t="shared" si="100"/>
        <v>8.3328666199906642</v>
      </c>
      <c r="AE73" s="1">
        <f>SUMIFS(
  '[1]Hoja 1'!$M:$M,
  '[1]Hoja 1'!$S:$S, $A73,
  '[1]Hoja 1'!$R:$R, "&gt;="&amp;INT($AG$1),
  '[1]Hoja 1'!$R:$R, "&lt;"&amp;INT($AH$1+1)
)</f>
        <v>0</v>
      </c>
      <c r="AF73" s="1">
        <f t="shared" si="101"/>
        <v>3</v>
      </c>
      <c r="AG73" s="9">
        <f t="shared" si="102"/>
        <v>-0.85826385826578733</v>
      </c>
      <c r="AH73" s="10">
        <f t="shared" si="103"/>
        <v>7.455139354348713</v>
      </c>
      <c r="AI73" s="1">
        <f>SUMIFS(
  '[1]Hoja 1'!$M:$M,
  '[1]Hoja 1'!$S:$S, $A73,
  '[1]Hoja 1'!$R:$R, "&gt;="&amp;INT($AK$1),
  '[1]Hoja 1'!$R:$R, "&lt;"&amp;INT($AL$1+1)
)</f>
        <v>0</v>
      </c>
      <c r="AJ73" s="1">
        <f t="shared" si="104"/>
        <v>0</v>
      </c>
      <c r="AK73" s="9">
        <f t="shared" si="105"/>
        <v>-3.8582638582657873</v>
      </c>
      <c r="AL73" s="10">
        <f t="shared" si="106"/>
        <v>4.455139354348713</v>
      </c>
      <c r="AM73" s="1">
        <f>SUMIFS(
  '[1]Hoja 1'!$M:$M,
  '[1]Hoja 1'!$S:$S, $A73,
  '[1]Hoja 1'!$R:$R, "&gt;="&amp;INT($AO$1),
  '[1]Hoja 1'!$R:$R, "&lt;"&amp;INT($AP$1+1)
)</f>
        <v>0</v>
      </c>
      <c r="AN73" s="1">
        <f t="shared" si="107"/>
        <v>0</v>
      </c>
      <c r="AO73" s="9">
        <f t="shared" si="108"/>
        <v>-2.7718585822512662</v>
      </c>
      <c r="AP73" s="10">
        <f t="shared" si="109"/>
        <v>3.1375308763420957</v>
      </c>
      <c r="AQ73" s="1">
        <f>SUMIFS(
  '[1]Hoja 1'!$M:$M,
  '[1]Hoja 1'!$S:$S, $A73,
  '[1]Hoja 1'!$R:$R, "&gt;="&amp;INT($AS$1),
  '[1]Hoja 1'!$R:$R, "&lt;"&amp;INT($AT$1+1)
)</f>
        <v>0</v>
      </c>
      <c r="AR73" s="1">
        <f t="shared" si="110"/>
        <v>0</v>
      </c>
      <c r="AS73" s="9">
        <f t="shared" si="111"/>
        <v>-2.6296159415397526</v>
      </c>
      <c r="AT73" s="10">
        <f t="shared" si="112"/>
        <v>2.94</v>
      </c>
      <c r="AU73" s="1">
        <f>SUMIFS(
  '[1]Hoja 1'!$M:$M,
  '[1]Hoja 1'!$S:$S, $A73,
  '[1]Hoja 1'!$R:$R, "&gt;="&amp;INT($AW$1),
  '[1]Hoja 1'!$R:$R, "&lt;"&amp;INT($AX$1+1)
)</f>
        <v>0</v>
      </c>
      <c r="AV73" s="1">
        <f t="shared" si="113"/>
        <v>0</v>
      </c>
      <c r="AW73" s="9">
        <f t="shared" si="114"/>
        <v>0</v>
      </c>
      <c r="AX73" s="10">
        <f t="shared" si="115"/>
        <v>0</v>
      </c>
      <c r="AY73" s="1">
        <f>SUMIFS(
  '[1]Hoja 1'!$M:$M,
  '[1]Hoja 1'!$S:$S, $A73,
  '[1]Hoja 1'!$R:$R, "&gt;="&amp;INT($BA$1),
  '[1]Hoja 1'!$R:$R, "&lt;"&amp;INT($BB$1+1)
)</f>
        <v>0</v>
      </c>
      <c r="AZ73" s="1">
        <f t="shared" si="116"/>
        <v>0</v>
      </c>
      <c r="BA73" s="9">
        <f t="shared" si="117"/>
        <v>0</v>
      </c>
      <c r="BB73" s="10">
        <f t="shared" si="118"/>
        <v>0</v>
      </c>
      <c r="BC73" s="1">
        <f>SUMIFS(
  '[1]Hoja 1'!$M:$M,
  '[1]Hoja 1'!$S:$S, $A73,
  '[1]Hoja 1'!$R:$R, "&gt;="&amp;INT($BE$1),
  '[1]Hoja 1'!$R:$R, "&lt;"&amp;INT($BF$1+1)
)</f>
        <v>0</v>
      </c>
      <c r="BD73" s="1">
        <f t="shared" si="119"/>
        <v>0</v>
      </c>
      <c r="BE73" s="9">
        <f t="shared" si="120"/>
        <v>0</v>
      </c>
      <c r="BF73" s="10">
        <f t="shared" si="121"/>
        <v>0</v>
      </c>
      <c r="BG73" s="1">
        <f>SUMIFS(
  '[1]Hoja 1'!$M:$M,
  '[1]Hoja 1'!$S:$S, $A73,
  '[1]Hoja 1'!$R:$R, "&gt;="&amp;INT($BI$1),
  '[1]Hoja 1'!$R:$R, "&lt;"&amp;INT($BJ$1+1)
)</f>
        <v>0</v>
      </c>
      <c r="BH73" s="1">
        <f t="shared" si="122"/>
        <v>0</v>
      </c>
      <c r="BI73" s="9">
        <f t="shared" si="123"/>
        <v>0</v>
      </c>
      <c r="BJ73" s="10">
        <f t="shared" si="124"/>
        <v>0</v>
      </c>
      <c r="BK73" s="1">
        <f>SUMIFS(
  '[1]Hoja 1'!$M:$M,
  '[1]Hoja 1'!$S:$S, $A73,
  '[1]Hoja 1'!$R:$R, "&gt;="&amp;INT($BM$1),
  '[1]Hoja 1'!$R:$R, "&lt;"&amp;INT($BN$1+1)
)</f>
        <v>0</v>
      </c>
      <c r="BL73" s="1">
        <f t="shared" si="125"/>
        <v>0</v>
      </c>
      <c r="BM73" s="9">
        <f t="shared" si="126"/>
        <v>0</v>
      </c>
      <c r="BN73" s="10">
        <f t="shared" si="127"/>
        <v>0</v>
      </c>
      <c r="BO73" s="1">
        <f>SUMIFS(
  '[1]Hoja 1'!$M:$M,
  '[1]Hoja 1'!$S:$S, $A73,
  '[1]Hoja 1'!$R:$R, "&gt;="&amp;INT($BQ$1),
  '[1]Hoja 1'!$R:$R, "&lt;"&amp;INT($BR$1+1)
)</f>
        <v>0</v>
      </c>
      <c r="BP73" s="1">
        <f t="shared" si="128"/>
        <v>0</v>
      </c>
      <c r="BQ73" s="9">
        <f t="shared" si="129"/>
        <v>0</v>
      </c>
      <c r="BR73" s="10">
        <f t="shared" si="130"/>
        <v>0</v>
      </c>
      <c r="BS73" s="1">
        <f>SUMIFS(
  '[1]Hoja 1'!$M:$M,
  '[1]Hoja 1'!$S:$S, $A73,
  '[1]Hoja 1'!$R:$R, "&gt;="&amp;INT($BU$1),
  '[1]Hoja 1'!$R:$R, "&lt;"&amp;INT($BV$1+1)
)</f>
        <v>0</v>
      </c>
      <c r="BT73" s="1">
        <f t="shared" si="131"/>
        <v>0</v>
      </c>
      <c r="BU73" s="9">
        <f t="shared" si="132"/>
        <v>0</v>
      </c>
      <c r="BV73" s="10">
        <f t="shared" si="133"/>
        <v>0</v>
      </c>
      <c r="BW73" s="1">
        <f>SUMIFS(
  '[1]Hoja 1'!$M:$M,
  '[1]Hoja 1'!$S:$S, $A73,
  '[1]Hoja 1'!$R:$R, "&gt;="&amp;INT($BY$1),
  '[1]Hoja 1'!$R:$R, "&lt;"&amp;INT($BZ$1+1)
)</f>
        <v>0</v>
      </c>
      <c r="BX73" s="1">
        <f t="shared" si="134"/>
        <v>0</v>
      </c>
      <c r="BY73" s="9">
        <f t="shared" si="135"/>
        <v>0</v>
      </c>
      <c r="BZ73" s="10">
        <f t="shared" si="136"/>
        <v>0</v>
      </c>
      <c r="CA73" s="1">
        <f>SUMIFS(
  '[1]Hoja 1'!$M:$M,
  '[1]Hoja 1'!$S:$S, $A73,
  '[1]Hoja 1'!$R:$R, "&gt;="&amp;INT($CC$1),
  '[1]Hoja 1'!$R:$R, "&lt;"&amp;INT($CD$1+1)
)</f>
        <v>0</v>
      </c>
      <c r="CB73" s="1">
        <f t="shared" si="137"/>
        <v>0</v>
      </c>
      <c r="CC73" s="9">
        <f t="shared" si="138"/>
        <v>0</v>
      </c>
      <c r="CD73" s="10">
        <f t="shared" si="139"/>
        <v>0</v>
      </c>
      <c r="CE73" s="1">
        <f>SUMIFS(
  '[1]Hoja 1'!$M:$M,
  '[1]Hoja 1'!$S:$S, $A73,
  '[1]Hoja 1'!$R:$R, "&gt;="&amp;INT($CG$1),
  '[1]Hoja 1'!$R:$R, "&lt;"&amp;INT($CH$1+1)
)</f>
        <v>0</v>
      </c>
      <c r="CF73" s="1">
        <f t="shared" si="140"/>
        <v>0</v>
      </c>
      <c r="CG73" s="9">
        <f t="shared" si="141"/>
        <v>0</v>
      </c>
      <c r="CH73" s="10">
        <f t="shared" si="142"/>
        <v>0</v>
      </c>
      <c r="CI73" s="1">
        <f>SUMIFS(
  '[1]Hoja 1'!$M:$M,
  '[1]Hoja 1'!$S:$S, $A73,
  '[1]Hoja 1'!$R:$R, "&gt;="&amp;INT($CK$1),
  '[1]Hoja 1'!$R:$R, "&lt;"&amp;INT($CL$1+1)
)</f>
        <v>0</v>
      </c>
      <c r="CJ73" s="1">
        <f t="shared" si="143"/>
        <v>0</v>
      </c>
      <c r="CK73" s="9">
        <f t="shared" si="144"/>
        <v>0</v>
      </c>
      <c r="CL73" s="10">
        <f t="shared" si="145"/>
        <v>0</v>
      </c>
      <c r="CM73" s="1">
        <f>SUMIFS(
  '[1]Hoja 1'!$M:$M,
  '[1]Hoja 1'!$S:$S, $A73,
  '[1]Hoja 1'!$R:$R, "&gt;="&amp;INT($CO$1),
  '[1]Hoja 1'!$R:$R, "&lt;"&amp;INT($CP$1+1)
)</f>
        <v>0</v>
      </c>
      <c r="CN73" s="1">
        <f t="shared" si="146"/>
        <v>0</v>
      </c>
      <c r="CO73" s="9">
        <f t="shared" si="147"/>
        <v>0</v>
      </c>
      <c r="CP73" s="10">
        <f t="shared" si="148"/>
        <v>0</v>
      </c>
      <c r="CQ73" s="1">
        <f>SUMIFS(
  '[1]Hoja 1'!$M:$M,
  '[1]Hoja 1'!$S:$S, $A73,
  '[1]Hoja 1'!$R:$R, "&gt;="&amp;INT($CS$1),
  '[1]Hoja 1'!$R:$R, "&lt;"&amp;INT($CT$1+1)
)</f>
        <v>0</v>
      </c>
      <c r="CR73" s="1">
        <f t="shared" si="149"/>
        <v>0</v>
      </c>
      <c r="CS73" s="9">
        <f t="shared" si="150"/>
        <v>0</v>
      </c>
      <c r="CT73" s="10">
        <f t="shared" si="151"/>
        <v>0</v>
      </c>
      <c r="CU73" s="1">
        <f>SUMIFS(
  '[1]Hoja 1'!$M:$M,
  '[1]Hoja 1'!$S:$S, $A73,
  '[1]Hoja 1'!$R:$R, "&gt;="&amp;INT($CW$1),
  '[1]Hoja 1'!$R:$R, "&lt;"&amp;INT($CX$1+1)
)</f>
        <v>0</v>
      </c>
      <c r="CV73" s="1">
        <f t="shared" si="152"/>
        <v>0</v>
      </c>
      <c r="CW73" s="9">
        <f t="shared" si="153"/>
        <v>0</v>
      </c>
      <c r="CX73" s="10">
        <f t="shared" si="154"/>
        <v>0</v>
      </c>
      <c r="CY73" s="1">
        <f>SUMIFS(
  '[1]Hoja 1'!$M:$M,
  '[1]Hoja 1'!$S:$S, $A73,
  '[1]Hoja 1'!$R:$R, "&gt;="&amp;INT($DA$1),
  '[1]Hoja 1'!$R:$R, "&lt;"&amp;INT($DB$1+1)
)</f>
        <v>0</v>
      </c>
      <c r="CZ73" s="1">
        <f t="shared" si="155"/>
        <v>0</v>
      </c>
      <c r="DA73" s="9">
        <f t="shared" si="156"/>
        <v>0</v>
      </c>
      <c r="DB73" s="10">
        <f t="shared" si="157"/>
        <v>0</v>
      </c>
      <c r="DC73" s="1">
        <f>SUMIFS(
  '[1]Hoja 1'!$M:$M,
  '[1]Hoja 1'!$S:$S, $A73,
  '[1]Hoja 1'!$R:$R, "&gt;="&amp;INT($DE$1),
  '[1]Hoja 1'!$R:$R, "&lt;"&amp;INT($DF$1+1)
)</f>
        <v>0</v>
      </c>
      <c r="DD73" s="1">
        <f t="shared" si="158"/>
        <v>0</v>
      </c>
      <c r="DE73" s="9">
        <f t="shared" si="159"/>
        <v>0</v>
      </c>
      <c r="DF73" s="10">
        <f t="shared" si="160"/>
        <v>0</v>
      </c>
      <c r="DG73" s="1">
        <f>SUMIFS(
  '[1]Hoja 1'!$M:$M,
  '[1]Hoja 1'!$S:$S, $A73,
  '[1]Hoja 1'!$R:$R, "&gt;="&amp;INT($DI$1),
  '[1]Hoja 1'!$R:$R, "&lt;"&amp;INT($DJ$1+1)
)</f>
        <v>0</v>
      </c>
      <c r="DH73" s="1">
        <f t="shared" si="161"/>
        <v>0</v>
      </c>
      <c r="DI73" s="9">
        <f t="shared" si="162"/>
        <v>0</v>
      </c>
      <c r="DJ73" s="10">
        <f t="shared" si="163"/>
        <v>0</v>
      </c>
      <c r="DK73" s="1">
        <f>SUMIFS(
  '[1]Hoja 1'!$M:$M,
  '[1]Hoja 1'!$S:$S, $A73,
  '[1]Hoja 1'!$R:$R, "&gt;="&amp;INT($DM$1),
  '[1]Hoja 1'!$R:$R, "&lt;"&amp;INT($DN$1+1)
)</f>
        <v>0</v>
      </c>
      <c r="DL73" s="1">
        <f t="shared" si="164"/>
        <v>0</v>
      </c>
      <c r="DM73" s="9">
        <f t="shared" si="165"/>
        <v>0</v>
      </c>
      <c r="DN73" s="10">
        <f t="shared" si="166"/>
        <v>0</v>
      </c>
      <c r="DO73" s="1">
        <f>SUMIFS(
  '[1]Hoja 1'!$M:$M,
  '[1]Hoja 1'!$S:$S, $A73,
  '[1]Hoja 1'!$R:$R, "&gt;="&amp;INT($DQ$1),
  '[1]Hoja 1'!$R:$R, "&lt;"&amp;INT($DR$1+1)
)</f>
        <v>0</v>
      </c>
      <c r="DP73" s="1">
        <f t="shared" si="167"/>
        <v>0</v>
      </c>
      <c r="DQ73" s="9">
        <f t="shared" si="168"/>
        <v>0</v>
      </c>
      <c r="DR73" s="10">
        <f t="shared" si="169"/>
        <v>0</v>
      </c>
    </row>
    <row r="74" spans="1:122" x14ac:dyDescent="0.25">
      <c r="A74" s="5">
        <v>210010</v>
      </c>
      <c r="B74" s="6" t="s">
        <v>74</v>
      </c>
      <c r="C74" s="1">
        <f>SUMIFS(
  '[1]Hoja 1'!$M:$M,
  '[1]Hoja 1'!$S:$S, $A74,
  '[1]Hoja 1'!$R:$R, "&gt;="&amp;INT($E$1),
  '[1]Hoja 1'!$R:$R, "&lt;"&amp;INT($F$1+1)
)</f>
        <v>2</v>
      </c>
      <c r="D74" s="1" t="str">
        <f>""</f>
        <v/>
      </c>
      <c r="F74" s="2"/>
      <c r="G74" s="1">
        <f>SUMIFS(
  '[1]Hoja 1'!$M:$M,
  '[1]Hoja 1'!$S:$S, $A74,
  '[1]Hoja 1'!$R:$R, "&gt;="&amp;INT($I$1),
  '[1]Hoja 1'!$R:$R, "&lt;"&amp;INT($J$1+1)
)</f>
        <v>1</v>
      </c>
      <c r="H74" s="1">
        <f t="shared" si="85"/>
        <v>1.5</v>
      </c>
      <c r="I74" s="1"/>
      <c r="J74" s="2"/>
      <c r="K74" s="1">
        <f>SUMIFS(
  '[1]Hoja 1'!$M:$M,
  '[1]Hoja 1'!$S:$S, $A74,
  '[1]Hoja 1'!$R:$R, "&gt;="&amp;INT($M$1),
  '[1]Hoja 1'!$R:$R, "&lt;"&amp;INT($N$1+1)
)</f>
        <v>1</v>
      </c>
      <c r="L74" s="1">
        <f t="shared" si="86"/>
        <v>1</v>
      </c>
      <c r="M74" s="9">
        <f t="shared" si="87"/>
        <v>0.30703535443718344</v>
      </c>
      <c r="N74" s="10">
        <f t="shared" si="88"/>
        <v>1.6929646455628165</v>
      </c>
      <c r="O74" s="1">
        <f>SUMIFS(
  '[1]Hoja 1'!$M:$M,
  '[1]Hoja 1'!$S:$S, $A74,
  '[1]Hoja 1'!$R:$R, "&gt;="&amp;INT($Q$1),
  '[1]Hoja 1'!$R:$R, "&lt;"&amp;INT($R$1+1)
)</f>
        <v>0</v>
      </c>
      <c r="P74" s="1">
        <f t="shared" si="89"/>
        <v>0.5</v>
      </c>
      <c r="Q74" s="9">
        <f t="shared" si="90"/>
        <v>0.43419673619416665</v>
      </c>
      <c r="R74" s="10">
        <f t="shared" si="91"/>
        <v>1.5658032638058335</v>
      </c>
      <c r="S74" s="1">
        <f>SUMIFS(
  '[1]Hoja 1'!$M:$M,
  '[1]Hoja 1'!$S:$S, $A74,
  '[1]Hoja 1'!$R:$R, "&gt;="&amp;INT($U$1),
  '[1]Hoja 1'!$R:$R, "&lt;"&amp;INT($V$1+1)
)</f>
        <v>1</v>
      </c>
      <c r="T74" s="1">
        <f t="shared" si="92"/>
        <v>1</v>
      </c>
      <c r="U74" s="9">
        <f t="shared" si="93"/>
        <v>6.1721434398788633E-2</v>
      </c>
      <c r="V74" s="10">
        <f t="shared" si="94"/>
        <v>1.9382785656012114</v>
      </c>
      <c r="W74" s="1">
        <f>SUMIFS(
  '[1]Hoja 1'!$M:$M,
  '[1]Hoja 1'!$S:$S, $A74,
  '[1]Hoja 1'!$R:$R, "&gt;="&amp;INT($Y$1),
  '[1]Hoja 1'!$R:$R, "&lt;"&amp;INT($Z$1+1)
)</f>
        <v>0</v>
      </c>
      <c r="X74" s="1">
        <f t="shared" si="95"/>
        <v>1</v>
      </c>
      <c r="Y74" s="9">
        <f t="shared" si="96"/>
        <v>6.1721434398788633E-2</v>
      </c>
      <c r="Z74" s="10">
        <f t="shared" si="97"/>
        <v>1.9382785656012114</v>
      </c>
      <c r="AA74" s="1">
        <f>SUMIFS(
  '[1]Hoja 1'!$M:$M,
  '[1]Hoja 1'!$S:$S, $A74,
  '[1]Hoja 1'!$R:$R, "&gt;="&amp;INT($AC$1),
  '[1]Hoja 1'!$R:$R, "&lt;"&amp;INT($AD$1+1)
)</f>
        <v>3</v>
      </c>
      <c r="AB74" s="1">
        <f t="shared" si="98"/>
        <v>2</v>
      </c>
      <c r="AC74" s="9">
        <f t="shared" si="99"/>
        <v>0.36014634799321188</v>
      </c>
      <c r="AD74" s="10">
        <f t="shared" si="100"/>
        <v>3.8765571312024227</v>
      </c>
      <c r="AE74" s="1">
        <f>SUMIFS(
  '[1]Hoja 1'!$M:$M,
  '[1]Hoja 1'!$S:$S, $A74,
  '[1]Hoja 1'!$R:$R, "&gt;="&amp;INT($AG$1),
  '[1]Hoja 1'!$R:$R, "&lt;"&amp;INT($AH$1+1)
)</f>
        <v>0</v>
      </c>
      <c r="AF74" s="1">
        <f t="shared" si="101"/>
        <v>2</v>
      </c>
      <c r="AG74" s="9">
        <f t="shared" si="102"/>
        <v>-0.1913466179497938</v>
      </c>
      <c r="AH74" s="10">
        <f t="shared" si="103"/>
        <v>4.530349119522179</v>
      </c>
      <c r="AI74" s="1">
        <f>SUMIFS(
  '[1]Hoja 1'!$M:$M,
  '[1]Hoja 1'!$S:$S, $A74,
  '[1]Hoja 1'!$R:$R, "&gt;="&amp;INT($AK$1),
  '[1]Hoja 1'!$R:$R, "&lt;"&amp;INT($AL$1+1)
)</f>
        <v>0</v>
      </c>
      <c r="AJ74" s="1">
        <f t="shared" si="104"/>
        <v>0</v>
      </c>
      <c r="AK74" s="9">
        <f t="shared" si="105"/>
        <v>-2.1245893720905222</v>
      </c>
      <c r="AL74" s="10">
        <f t="shared" si="106"/>
        <v>2.4500000000000002</v>
      </c>
      <c r="AM74" s="1">
        <f>SUMIFS(
  '[1]Hoja 1'!$M:$M,
  '[1]Hoja 1'!$S:$S, $A74,
  '[1]Hoja 1'!$R:$R, "&gt;="&amp;INT($AO$1),
  '[1]Hoja 1'!$R:$R, "&lt;"&amp;INT($AP$1+1)
)</f>
        <v>0</v>
      </c>
      <c r="AN74" s="1">
        <f t="shared" si="107"/>
        <v>0</v>
      </c>
      <c r="AO74" s="9">
        <f t="shared" si="108"/>
        <v>-2.0788939366884494</v>
      </c>
      <c r="AP74" s="10">
        <f t="shared" si="109"/>
        <v>2.4004999479275142</v>
      </c>
      <c r="AQ74" s="1">
        <f>SUMIFS(
  '[1]Hoja 1'!$M:$M,
  '[1]Hoja 1'!$S:$S, $A74,
  '[1]Hoja 1'!$R:$R, "&gt;="&amp;INT($AS$1),
  '[1]Hoja 1'!$R:$R, "&lt;"&amp;INT($AT$1+1)
)</f>
        <v>0</v>
      </c>
      <c r="AR74" s="1">
        <f t="shared" si="110"/>
        <v>0</v>
      </c>
      <c r="AS74" s="9">
        <f t="shared" si="111"/>
        <v>-1.3148079707698763</v>
      </c>
      <c r="AT74" s="10">
        <f t="shared" si="112"/>
        <v>1.47</v>
      </c>
      <c r="AU74" s="1">
        <f>SUMIFS(
  '[1]Hoja 1'!$M:$M,
  '[1]Hoja 1'!$S:$S, $A74,
  '[1]Hoja 1'!$R:$R, "&gt;="&amp;INT($AW$1),
  '[1]Hoja 1'!$R:$R, "&lt;"&amp;INT($AX$1+1)
)</f>
        <v>0</v>
      </c>
      <c r="AV74" s="1">
        <f t="shared" si="113"/>
        <v>0</v>
      </c>
      <c r="AW74" s="9">
        <f t="shared" si="114"/>
        <v>0</v>
      </c>
      <c r="AX74" s="10">
        <f t="shared" si="115"/>
        <v>0</v>
      </c>
      <c r="AY74" s="1">
        <f>SUMIFS(
  '[1]Hoja 1'!$M:$M,
  '[1]Hoja 1'!$S:$S, $A74,
  '[1]Hoja 1'!$R:$R, "&gt;="&amp;INT($BA$1),
  '[1]Hoja 1'!$R:$R, "&lt;"&amp;INT($BB$1+1)
)</f>
        <v>0</v>
      </c>
      <c r="AZ74" s="1">
        <f t="shared" si="116"/>
        <v>0</v>
      </c>
      <c r="BA74" s="9">
        <f t="shared" si="117"/>
        <v>0</v>
      </c>
      <c r="BB74" s="10">
        <f t="shared" si="118"/>
        <v>0</v>
      </c>
      <c r="BC74" s="1">
        <f>SUMIFS(
  '[1]Hoja 1'!$M:$M,
  '[1]Hoja 1'!$S:$S, $A74,
  '[1]Hoja 1'!$R:$R, "&gt;="&amp;INT($BE$1),
  '[1]Hoja 1'!$R:$R, "&lt;"&amp;INT($BF$1+1)
)</f>
        <v>0</v>
      </c>
      <c r="BD74" s="1">
        <f t="shared" si="119"/>
        <v>0</v>
      </c>
      <c r="BE74" s="9">
        <f t="shared" si="120"/>
        <v>0</v>
      </c>
      <c r="BF74" s="10">
        <f t="shared" si="121"/>
        <v>0</v>
      </c>
      <c r="BG74" s="1">
        <f>SUMIFS(
  '[1]Hoja 1'!$M:$M,
  '[1]Hoja 1'!$S:$S, $A74,
  '[1]Hoja 1'!$R:$R, "&gt;="&amp;INT($BI$1),
  '[1]Hoja 1'!$R:$R, "&lt;"&amp;INT($BJ$1+1)
)</f>
        <v>0</v>
      </c>
      <c r="BH74" s="1">
        <f t="shared" si="122"/>
        <v>0</v>
      </c>
      <c r="BI74" s="9">
        <f t="shared" si="123"/>
        <v>0</v>
      </c>
      <c r="BJ74" s="10">
        <f t="shared" si="124"/>
        <v>0</v>
      </c>
      <c r="BK74" s="1">
        <f>SUMIFS(
  '[1]Hoja 1'!$M:$M,
  '[1]Hoja 1'!$S:$S, $A74,
  '[1]Hoja 1'!$R:$R, "&gt;="&amp;INT($BM$1),
  '[1]Hoja 1'!$R:$R, "&lt;"&amp;INT($BN$1+1)
)</f>
        <v>0</v>
      </c>
      <c r="BL74" s="1">
        <f t="shared" si="125"/>
        <v>0</v>
      </c>
      <c r="BM74" s="9">
        <f t="shared" si="126"/>
        <v>0</v>
      </c>
      <c r="BN74" s="10">
        <f t="shared" si="127"/>
        <v>0</v>
      </c>
      <c r="BO74" s="1">
        <f>SUMIFS(
  '[1]Hoja 1'!$M:$M,
  '[1]Hoja 1'!$S:$S, $A74,
  '[1]Hoja 1'!$R:$R, "&gt;="&amp;INT($BQ$1),
  '[1]Hoja 1'!$R:$R, "&lt;"&amp;INT($BR$1+1)
)</f>
        <v>0</v>
      </c>
      <c r="BP74" s="1">
        <f t="shared" si="128"/>
        <v>0</v>
      </c>
      <c r="BQ74" s="9">
        <f t="shared" si="129"/>
        <v>0</v>
      </c>
      <c r="BR74" s="10">
        <f t="shared" si="130"/>
        <v>0</v>
      </c>
      <c r="BS74" s="1">
        <f>SUMIFS(
  '[1]Hoja 1'!$M:$M,
  '[1]Hoja 1'!$S:$S, $A74,
  '[1]Hoja 1'!$R:$R, "&gt;="&amp;INT($BU$1),
  '[1]Hoja 1'!$R:$R, "&lt;"&amp;INT($BV$1+1)
)</f>
        <v>0</v>
      </c>
      <c r="BT74" s="1">
        <f t="shared" si="131"/>
        <v>0</v>
      </c>
      <c r="BU74" s="9">
        <f t="shared" si="132"/>
        <v>0</v>
      </c>
      <c r="BV74" s="10">
        <f t="shared" si="133"/>
        <v>0</v>
      </c>
      <c r="BW74" s="1">
        <f>SUMIFS(
  '[1]Hoja 1'!$M:$M,
  '[1]Hoja 1'!$S:$S, $A74,
  '[1]Hoja 1'!$R:$R, "&gt;="&amp;INT($BY$1),
  '[1]Hoja 1'!$R:$R, "&lt;"&amp;INT($BZ$1+1)
)</f>
        <v>0</v>
      </c>
      <c r="BX74" s="1">
        <f t="shared" si="134"/>
        <v>0</v>
      </c>
      <c r="BY74" s="9">
        <f t="shared" si="135"/>
        <v>0</v>
      </c>
      <c r="BZ74" s="10">
        <f t="shared" si="136"/>
        <v>0</v>
      </c>
      <c r="CA74" s="1">
        <f>SUMIFS(
  '[1]Hoja 1'!$M:$M,
  '[1]Hoja 1'!$S:$S, $A74,
  '[1]Hoja 1'!$R:$R, "&gt;="&amp;INT($CC$1),
  '[1]Hoja 1'!$R:$R, "&lt;"&amp;INT($CD$1+1)
)</f>
        <v>0</v>
      </c>
      <c r="CB74" s="1">
        <f t="shared" si="137"/>
        <v>0</v>
      </c>
      <c r="CC74" s="9">
        <f t="shared" si="138"/>
        <v>0</v>
      </c>
      <c r="CD74" s="10">
        <f t="shared" si="139"/>
        <v>0</v>
      </c>
      <c r="CE74" s="1">
        <f>SUMIFS(
  '[1]Hoja 1'!$M:$M,
  '[1]Hoja 1'!$S:$S, $A74,
  '[1]Hoja 1'!$R:$R, "&gt;="&amp;INT($CG$1),
  '[1]Hoja 1'!$R:$R, "&lt;"&amp;INT($CH$1+1)
)</f>
        <v>0</v>
      </c>
      <c r="CF74" s="1">
        <f t="shared" si="140"/>
        <v>0</v>
      </c>
      <c r="CG74" s="9">
        <f t="shared" si="141"/>
        <v>0</v>
      </c>
      <c r="CH74" s="10">
        <f t="shared" si="142"/>
        <v>0</v>
      </c>
      <c r="CI74" s="1">
        <f>SUMIFS(
  '[1]Hoja 1'!$M:$M,
  '[1]Hoja 1'!$S:$S, $A74,
  '[1]Hoja 1'!$R:$R, "&gt;="&amp;INT($CK$1),
  '[1]Hoja 1'!$R:$R, "&lt;"&amp;INT($CL$1+1)
)</f>
        <v>0</v>
      </c>
      <c r="CJ74" s="1">
        <f t="shared" si="143"/>
        <v>0</v>
      </c>
      <c r="CK74" s="9">
        <f t="shared" si="144"/>
        <v>0</v>
      </c>
      <c r="CL74" s="10">
        <f t="shared" si="145"/>
        <v>0</v>
      </c>
      <c r="CM74" s="1">
        <f>SUMIFS(
  '[1]Hoja 1'!$M:$M,
  '[1]Hoja 1'!$S:$S, $A74,
  '[1]Hoja 1'!$R:$R, "&gt;="&amp;INT($CO$1),
  '[1]Hoja 1'!$R:$R, "&lt;"&amp;INT($CP$1+1)
)</f>
        <v>0</v>
      </c>
      <c r="CN74" s="1">
        <f t="shared" si="146"/>
        <v>0</v>
      </c>
      <c r="CO74" s="9">
        <f t="shared" si="147"/>
        <v>0</v>
      </c>
      <c r="CP74" s="10">
        <f t="shared" si="148"/>
        <v>0</v>
      </c>
      <c r="CQ74" s="1">
        <f>SUMIFS(
  '[1]Hoja 1'!$M:$M,
  '[1]Hoja 1'!$S:$S, $A74,
  '[1]Hoja 1'!$R:$R, "&gt;="&amp;INT($CS$1),
  '[1]Hoja 1'!$R:$R, "&lt;"&amp;INT($CT$1+1)
)</f>
        <v>0</v>
      </c>
      <c r="CR74" s="1">
        <f t="shared" si="149"/>
        <v>0</v>
      </c>
      <c r="CS74" s="9">
        <f t="shared" si="150"/>
        <v>0</v>
      </c>
      <c r="CT74" s="10">
        <f t="shared" si="151"/>
        <v>0</v>
      </c>
      <c r="CU74" s="1">
        <f>SUMIFS(
  '[1]Hoja 1'!$M:$M,
  '[1]Hoja 1'!$S:$S, $A74,
  '[1]Hoja 1'!$R:$R, "&gt;="&amp;INT($CW$1),
  '[1]Hoja 1'!$R:$R, "&lt;"&amp;INT($CX$1+1)
)</f>
        <v>0</v>
      </c>
      <c r="CV74" s="1">
        <f t="shared" si="152"/>
        <v>0</v>
      </c>
      <c r="CW74" s="9">
        <f t="shared" si="153"/>
        <v>0</v>
      </c>
      <c r="CX74" s="10">
        <f t="shared" si="154"/>
        <v>0</v>
      </c>
      <c r="CY74" s="1">
        <f>SUMIFS(
  '[1]Hoja 1'!$M:$M,
  '[1]Hoja 1'!$S:$S, $A74,
  '[1]Hoja 1'!$R:$R, "&gt;="&amp;INT($DA$1),
  '[1]Hoja 1'!$R:$R, "&lt;"&amp;INT($DB$1+1)
)</f>
        <v>0</v>
      </c>
      <c r="CZ74" s="1">
        <f t="shared" si="155"/>
        <v>0</v>
      </c>
      <c r="DA74" s="9">
        <f t="shared" si="156"/>
        <v>0</v>
      </c>
      <c r="DB74" s="10">
        <f t="shared" si="157"/>
        <v>0</v>
      </c>
      <c r="DC74" s="1">
        <f>SUMIFS(
  '[1]Hoja 1'!$M:$M,
  '[1]Hoja 1'!$S:$S, $A74,
  '[1]Hoja 1'!$R:$R, "&gt;="&amp;INT($DE$1),
  '[1]Hoja 1'!$R:$R, "&lt;"&amp;INT($DF$1+1)
)</f>
        <v>0</v>
      </c>
      <c r="DD74" s="1">
        <f t="shared" si="158"/>
        <v>0</v>
      </c>
      <c r="DE74" s="9">
        <f t="shared" si="159"/>
        <v>0</v>
      </c>
      <c r="DF74" s="10">
        <f t="shared" si="160"/>
        <v>0</v>
      </c>
      <c r="DG74" s="1">
        <f>SUMIFS(
  '[1]Hoja 1'!$M:$M,
  '[1]Hoja 1'!$S:$S, $A74,
  '[1]Hoja 1'!$R:$R, "&gt;="&amp;INT($DI$1),
  '[1]Hoja 1'!$R:$R, "&lt;"&amp;INT($DJ$1+1)
)</f>
        <v>0</v>
      </c>
      <c r="DH74" s="1">
        <f t="shared" si="161"/>
        <v>0</v>
      </c>
      <c r="DI74" s="9">
        <f t="shared" si="162"/>
        <v>0</v>
      </c>
      <c r="DJ74" s="10">
        <f t="shared" si="163"/>
        <v>0</v>
      </c>
      <c r="DK74" s="1">
        <f>SUMIFS(
  '[1]Hoja 1'!$M:$M,
  '[1]Hoja 1'!$S:$S, $A74,
  '[1]Hoja 1'!$R:$R, "&gt;="&amp;INT($DM$1),
  '[1]Hoja 1'!$R:$R, "&lt;"&amp;INT($DN$1+1)
)</f>
        <v>0</v>
      </c>
      <c r="DL74" s="1">
        <f t="shared" si="164"/>
        <v>0</v>
      </c>
      <c r="DM74" s="9">
        <f t="shared" si="165"/>
        <v>0</v>
      </c>
      <c r="DN74" s="10">
        <f t="shared" si="166"/>
        <v>0</v>
      </c>
      <c r="DO74" s="1">
        <f>SUMIFS(
  '[1]Hoja 1'!$M:$M,
  '[1]Hoja 1'!$S:$S, $A74,
  '[1]Hoja 1'!$R:$R, "&gt;="&amp;INT($DQ$1),
  '[1]Hoja 1'!$R:$R, "&lt;"&amp;INT($DR$1+1)
)</f>
        <v>0</v>
      </c>
      <c r="DP74" s="1">
        <f t="shared" si="167"/>
        <v>0</v>
      </c>
      <c r="DQ74" s="9">
        <f t="shared" si="168"/>
        <v>0</v>
      </c>
      <c r="DR74" s="10">
        <f t="shared" si="169"/>
        <v>0</v>
      </c>
    </row>
    <row r="75" spans="1:122" x14ac:dyDescent="0.25">
      <c r="A75" s="5">
        <v>210012</v>
      </c>
      <c r="B75" s="6" t="s">
        <v>75</v>
      </c>
      <c r="C75" s="1">
        <f>SUMIFS(
  '[1]Hoja 1'!$M:$M,
  '[1]Hoja 1'!$S:$S, $A75,
  '[1]Hoja 1'!$R:$R, "&gt;="&amp;INT($E$1),
  '[1]Hoja 1'!$R:$R, "&lt;"&amp;INT($F$1+1)
)</f>
        <v>0</v>
      </c>
      <c r="D75" s="1" t="str">
        <f>""</f>
        <v/>
      </c>
      <c r="F75" s="2"/>
      <c r="G75" s="1">
        <f>SUMIFS(
  '[1]Hoja 1'!$M:$M,
  '[1]Hoja 1'!$S:$S, $A75,
  '[1]Hoja 1'!$R:$R, "&gt;="&amp;INT($I$1),
  '[1]Hoja 1'!$R:$R, "&lt;"&amp;INT($J$1+1)
)</f>
        <v>0</v>
      </c>
      <c r="H75" s="1">
        <f t="shared" si="85"/>
        <v>0</v>
      </c>
      <c r="I75" s="1"/>
      <c r="J75" s="2"/>
      <c r="K75" s="1">
        <f>SUMIFS(
  '[1]Hoja 1'!$M:$M,
  '[1]Hoja 1'!$S:$S, $A75,
  '[1]Hoja 1'!$R:$R, "&gt;="&amp;INT($M$1),
  '[1]Hoja 1'!$R:$R, "&lt;"&amp;INT($N$1+1)
)</f>
        <v>0</v>
      </c>
      <c r="L75" s="1">
        <f t="shared" si="86"/>
        <v>0</v>
      </c>
      <c r="M75" s="9">
        <f t="shared" si="87"/>
        <v>0</v>
      </c>
      <c r="N75" s="10">
        <f t="shared" si="88"/>
        <v>0</v>
      </c>
      <c r="O75" s="1">
        <f>SUMIFS(
  '[1]Hoja 1'!$M:$M,
  '[1]Hoja 1'!$S:$S, $A75,
  '[1]Hoja 1'!$R:$R, "&gt;="&amp;INT($Q$1),
  '[1]Hoja 1'!$R:$R, "&lt;"&amp;INT($R$1+1)
)</f>
        <v>0</v>
      </c>
      <c r="P75" s="1">
        <f t="shared" si="89"/>
        <v>0</v>
      </c>
      <c r="Q75" s="9">
        <f t="shared" si="90"/>
        <v>0</v>
      </c>
      <c r="R75" s="10">
        <f t="shared" si="91"/>
        <v>0</v>
      </c>
      <c r="S75" s="1">
        <f>SUMIFS(
  '[1]Hoja 1'!$M:$M,
  '[1]Hoja 1'!$S:$S, $A75,
  '[1]Hoja 1'!$R:$R, "&gt;="&amp;INT($U$1),
  '[1]Hoja 1'!$R:$R, "&lt;"&amp;INT($V$1+1)
)</f>
        <v>0</v>
      </c>
      <c r="T75" s="1">
        <f t="shared" si="92"/>
        <v>0</v>
      </c>
      <c r="U75" s="9">
        <f t="shared" si="93"/>
        <v>0</v>
      </c>
      <c r="V75" s="10">
        <f t="shared" si="94"/>
        <v>0</v>
      </c>
      <c r="W75" s="1">
        <f>SUMIFS(
  '[1]Hoja 1'!$M:$M,
  '[1]Hoja 1'!$S:$S, $A75,
  '[1]Hoja 1'!$R:$R, "&gt;="&amp;INT($Y$1),
  '[1]Hoja 1'!$R:$R, "&lt;"&amp;INT($Z$1+1)
)</f>
        <v>0</v>
      </c>
      <c r="X75" s="1">
        <f t="shared" si="95"/>
        <v>0</v>
      </c>
      <c r="Y75" s="9">
        <f t="shared" si="96"/>
        <v>0</v>
      </c>
      <c r="Z75" s="10">
        <f t="shared" si="97"/>
        <v>0</v>
      </c>
      <c r="AA75" s="1">
        <f>SUMIFS(
  '[1]Hoja 1'!$M:$M,
  '[1]Hoja 1'!$S:$S, $A75,
  '[1]Hoja 1'!$R:$R, "&gt;="&amp;INT($AC$1),
  '[1]Hoja 1'!$R:$R, "&lt;"&amp;INT($AD$1+1)
)</f>
        <v>0</v>
      </c>
      <c r="AB75" s="1">
        <f t="shared" si="98"/>
        <v>0</v>
      </c>
      <c r="AC75" s="9">
        <f t="shared" si="99"/>
        <v>0</v>
      </c>
      <c r="AD75" s="10">
        <f t="shared" si="100"/>
        <v>0</v>
      </c>
      <c r="AE75" s="1">
        <f>SUMIFS(
  '[1]Hoja 1'!$M:$M,
  '[1]Hoja 1'!$S:$S, $A75,
  '[1]Hoja 1'!$R:$R, "&gt;="&amp;INT($AG$1),
  '[1]Hoja 1'!$R:$R, "&lt;"&amp;INT($AH$1+1)
)</f>
        <v>0</v>
      </c>
      <c r="AF75" s="1">
        <f t="shared" si="101"/>
        <v>0</v>
      </c>
      <c r="AG75" s="9">
        <f t="shared" si="102"/>
        <v>0</v>
      </c>
      <c r="AH75" s="10">
        <f t="shared" si="103"/>
        <v>0</v>
      </c>
      <c r="AI75" s="1">
        <f>SUMIFS(
  '[1]Hoja 1'!$M:$M,
  '[1]Hoja 1'!$S:$S, $A75,
  '[1]Hoja 1'!$R:$R, "&gt;="&amp;INT($AK$1),
  '[1]Hoja 1'!$R:$R, "&lt;"&amp;INT($AL$1+1)
)</f>
        <v>0</v>
      </c>
      <c r="AJ75" s="1">
        <f t="shared" si="104"/>
        <v>0</v>
      </c>
      <c r="AK75" s="9">
        <f t="shared" si="105"/>
        <v>0</v>
      </c>
      <c r="AL75" s="10">
        <f t="shared" si="106"/>
        <v>0</v>
      </c>
      <c r="AM75" s="1">
        <f>SUMIFS(
  '[1]Hoja 1'!$M:$M,
  '[1]Hoja 1'!$S:$S, $A75,
  '[1]Hoja 1'!$R:$R, "&gt;="&amp;INT($AO$1),
  '[1]Hoja 1'!$R:$R, "&lt;"&amp;INT($AP$1+1)
)</f>
        <v>0</v>
      </c>
      <c r="AN75" s="1">
        <f t="shared" si="107"/>
        <v>0</v>
      </c>
      <c r="AO75" s="9">
        <f t="shared" si="108"/>
        <v>0</v>
      </c>
      <c r="AP75" s="10">
        <f t="shared" si="109"/>
        <v>0</v>
      </c>
      <c r="AQ75" s="1">
        <f>SUMIFS(
  '[1]Hoja 1'!$M:$M,
  '[1]Hoja 1'!$S:$S, $A75,
  '[1]Hoja 1'!$R:$R, "&gt;="&amp;INT($AS$1),
  '[1]Hoja 1'!$R:$R, "&lt;"&amp;INT($AT$1+1)
)</f>
        <v>0</v>
      </c>
      <c r="AR75" s="1">
        <f t="shared" si="110"/>
        <v>0</v>
      </c>
      <c r="AS75" s="9">
        <f t="shared" si="111"/>
        <v>0</v>
      </c>
      <c r="AT75" s="10">
        <f t="shared" si="112"/>
        <v>0</v>
      </c>
      <c r="AU75" s="1">
        <f>SUMIFS(
  '[1]Hoja 1'!$M:$M,
  '[1]Hoja 1'!$S:$S, $A75,
  '[1]Hoja 1'!$R:$R, "&gt;="&amp;INT($AW$1),
  '[1]Hoja 1'!$R:$R, "&lt;"&amp;INT($AX$1+1)
)</f>
        <v>0</v>
      </c>
      <c r="AV75" s="1">
        <f t="shared" si="113"/>
        <v>0</v>
      </c>
      <c r="AW75" s="9">
        <f t="shared" si="114"/>
        <v>0</v>
      </c>
      <c r="AX75" s="10">
        <f t="shared" si="115"/>
        <v>0</v>
      </c>
      <c r="AY75" s="1">
        <f>SUMIFS(
  '[1]Hoja 1'!$M:$M,
  '[1]Hoja 1'!$S:$S, $A75,
  '[1]Hoja 1'!$R:$R, "&gt;="&amp;INT($BA$1),
  '[1]Hoja 1'!$R:$R, "&lt;"&amp;INT($BB$1+1)
)</f>
        <v>0</v>
      </c>
      <c r="AZ75" s="1">
        <f t="shared" si="116"/>
        <v>0</v>
      </c>
      <c r="BA75" s="9">
        <f t="shared" si="117"/>
        <v>0</v>
      </c>
      <c r="BB75" s="10">
        <f t="shared" si="118"/>
        <v>0</v>
      </c>
      <c r="BC75" s="1">
        <f>SUMIFS(
  '[1]Hoja 1'!$M:$M,
  '[1]Hoja 1'!$S:$S, $A75,
  '[1]Hoja 1'!$R:$R, "&gt;="&amp;INT($BE$1),
  '[1]Hoja 1'!$R:$R, "&lt;"&amp;INT($BF$1+1)
)</f>
        <v>0</v>
      </c>
      <c r="BD75" s="1">
        <f t="shared" si="119"/>
        <v>0</v>
      </c>
      <c r="BE75" s="9">
        <f t="shared" si="120"/>
        <v>0</v>
      </c>
      <c r="BF75" s="10">
        <f t="shared" si="121"/>
        <v>0</v>
      </c>
      <c r="BG75" s="1">
        <f>SUMIFS(
  '[1]Hoja 1'!$M:$M,
  '[1]Hoja 1'!$S:$S, $A75,
  '[1]Hoja 1'!$R:$R, "&gt;="&amp;INT($BI$1),
  '[1]Hoja 1'!$R:$R, "&lt;"&amp;INT($BJ$1+1)
)</f>
        <v>0</v>
      </c>
      <c r="BH75" s="1">
        <f t="shared" si="122"/>
        <v>0</v>
      </c>
      <c r="BI75" s="9">
        <f t="shared" si="123"/>
        <v>0</v>
      </c>
      <c r="BJ75" s="10">
        <f t="shared" si="124"/>
        <v>0</v>
      </c>
      <c r="BK75" s="1">
        <f>SUMIFS(
  '[1]Hoja 1'!$M:$M,
  '[1]Hoja 1'!$S:$S, $A75,
  '[1]Hoja 1'!$R:$R, "&gt;="&amp;INT($BM$1),
  '[1]Hoja 1'!$R:$R, "&lt;"&amp;INT($BN$1+1)
)</f>
        <v>0</v>
      </c>
      <c r="BL75" s="1">
        <f t="shared" si="125"/>
        <v>0</v>
      </c>
      <c r="BM75" s="9">
        <f t="shared" si="126"/>
        <v>0</v>
      </c>
      <c r="BN75" s="10">
        <f t="shared" si="127"/>
        <v>0</v>
      </c>
      <c r="BO75" s="1">
        <f>SUMIFS(
  '[1]Hoja 1'!$M:$M,
  '[1]Hoja 1'!$S:$S, $A75,
  '[1]Hoja 1'!$R:$R, "&gt;="&amp;INT($BQ$1),
  '[1]Hoja 1'!$R:$R, "&lt;"&amp;INT($BR$1+1)
)</f>
        <v>0</v>
      </c>
      <c r="BP75" s="1">
        <f t="shared" si="128"/>
        <v>0</v>
      </c>
      <c r="BQ75" s="9">
        <f t="shared" si="129"/>
        <v>0</v>
      </c>
      <c r="BR75" s="10">
        <f t="shared" si="130"/>
        <v>0</v>
      </c>
      <c r="BS75" s="1">
        <f>SUMIFS(
  '[1]Hoja 1'!$M:$M,
  '[1]Hoja 1'!$S:$S, $A75,
  '[1]Hoja 1'!$R:$R, "&gt;="&amp;INT($BU$1),
  '[1]Hoja 1'!$R:$R, "&lt;"&amp;INT($BV$1+1)
)</f>
        <v>0</v>
      </c>
      <c r="BT75" s="1">
        <f t="shared" si="131"/>
        <v>0</v>
      </c>
      <c r="BU75" s="9">
        <f t="shared" si="132"/>
        <v>0</v>
      </c>
      <c r="BV75" s="10">
        <f t="shared" si="133"/>
        <v>0</v>
      </c>
      <c r="BW75" s="1">
        <f>SUMIFS(
  '[1]Hoja 1'!$M:$M,
  '[1]Hoja 1'!$S:$S, $A75,
  '[1]Hoja 1'!$R:$R, "&gt;="&amp;INT($BY$1),
  '[1]Hoja 1'!$R:$R, "&lt;"&amp;INT($BZ$1+1)
)</f>
        <v>0</v>
      </c>
      <c r="BX75" s="1">
        <f t="shared" si="134"/>
        <v>0</v>
      </c>
      <c r="BY75" s="9">
        <f t="shared" si="135"/>
        <v>0</v>
      </c>
      <c r="BZ75" s="10">
        <f t="shared" si="136"/>
        <v>0</v>
      </c>
      <c r="CA75" s="1">
        <f>SUMIFS(
  '[1]Hoja 1'!$M:$M,
  '[1]Hoja 1'!$S:$S, $A75,
  '[1]Hoja 1'!$R:$R, "&gt;="&amp;INT($CC$1),
  '[1]Hoja 1'!$R:$R, "&lt;"&amp;INT($CD$1+1)
)</f>
        <v>0</v>
      </c>
      <c r="CB75" s="1">
        <f t="shared" si="137"/>
        <v>0</v>
      </c>
      <c r="CC75" s="9">
        <f t="shared" si="138"/>
        <v>0</v>
      </c>
      <c r="CD75" s="10">
        <f t="shared" si="139"/>
        <v>0</v>
      </c>
      <c r="CE75" s="1">
        <f>SUMIFS(
  '[1]Hoja 1'!$M:$M,
  '[1]Hoja 1'!$S:$S, $A75,
  '[1]Hoja 1'!$R:$R, "&gt;="&amp;INT($CG$1),
  '[1]Hoja 1'!$R:$R, "&lt;"&amp;INT($CH$1+1)
)</f>
        <v>0</v>
      </c>
      <c r="CF75" s="1">
        <f t="shared" si="140"/>
        <v>0</v>
      </c>
      <c r="CG75" s="9">
        <f t="shared" si="141"/>
        <v>0</v>
      </c>
      <c r="CH75" s="10">
        <f t="shared" si="142"/>
        <v>0</v>
      </c>
      <c r="CI75" s="1">
        <f>SUMIFS(
  '[1]Hoja 1'!$M:$M,
  '[1]Hoja 1'!$S:$S, $A75,
  '[1]Hoja 1'!$R:$R, "&gt;="&amp;INT($CK$1),
  '[1]Hoja 1'!$R:$R, "&lt;"&amp;INT($CL$1+1)
)</f>
        <v>0</v>
      </c>
      <c r="CJ75" s="1">
        <f t="shared" si="143"/>
        <v>0</v>
      </c>
      <c r="CK75" s="9">
        <f t="shared" si="144"/>
        <v>0</v>
      </c>
      <c r="CL75" s="10">
        <f t="shared" si="145"/>
        <v>0</v>
      </c>
      <c r="CM75" s="1">
        <f>SUMIFS(
  '[1]Hoja 1'!$M:$M,
  '[1]Hoja 1'!$S:$S, $A75,
  '[1]Hoja 1'!$R:$R, "&gt;="&amp;INT($CO$1),
  '[1]Hoja 1'!$R:$R, "&lt;"&amp;INT($CP$1+1)
)</f>
        <v>0</v>
      </c>
      <c r="CN75" s="1">
        <f t="shared" si="146"/>
        <v>0</v>
      </c>
      <c r="CO75" s="9">
        <f t="shared" si="147"/>
        <v>0</v>
      </c>
      <c r="CP75" s="10">
        <f t="shared" si="148"/>
        <v>0</v>
      </c>
      <c r="CQ75" s="1">
        <f>SUMIFS(
  '[1]Hoja 1'!$M:$M,
  '[1]Hoja 1'!$S:$S, $A75,
  '[1]Hoja 1'!$R:$R, "&gt;="&amp;INT($CS$1),
  '[1]Hoja 1'!$R:$R, "&lt;"&amp;INT($CT$1+1)
)</f>
        <v>0</v>
      </c>
      <c r="CR75" s="1">
        <f t="shared" si="149"/>
        <v>0</v>
      </c>
      <c r="CS75" s="9">
        <f t="shared" si="150"/>
        <v>0</v>
      </c>
      <c r="CT75" s="10">
        <f t="shared" si="151"/>
        <v>0</v>
      </c>
      <c r="CU75" s="1">
        <f>SUMIFS(
  '[1]Hoja 1'!$M:$M,
  '[1]Hoja 1'!$S:$S, $A75,
  '[1]Hoja 1'!$R:$R, "&gt;="&amp;INT($CW$1),
  '[1]Hoja 1'!$R:$R, "&lt;"&amp;INT($CX$1+1)
)</f>
        <v>0</v>
      </c>
      <c r="CV75" s="1">
        <f t="shared" si="152"/>
        <v>0</v>
      </c>
      <c r="CW75" s="9">
        <f t="shared" si="153"/>
        <v>0</v>
      </c>
      <c r="CX75" s="10">
        <f t="shared" si="154"/>
        <v>0</v>
      </c>
      <c r="CY75" s="1">
        <f>SUMIFS(
  '[1]Hoja 1'!$M:$M,
  '[1]Hoja 1'!$S:$S, $A75,
  '[1]Hoja 1'!$R:$R, "&gt;="&amp;INT($DA$1),
  '[1]Hoja 1'!$R:$R, "&lt;"&amp;INT($DB$1+1)
)</f>
        <v>0</v>
      </c>
      <c r="CZ75" s="1">
        <f t="shared" si="155"/>
        <v>0</v>
      </c>
      <c r="DA75" s="9">
        <f t="shared" si="156"/>
        <v>0</v>
      </c>
      <c r="DB75" s="10">
        <f t="shared" si="157"/>
        <v>0</v>
      </c>
      <c r="DC75" s="1">
        <f>SUMIFS(
  '[1]Hoja 1'!$M:$M,
  '[1]Hoja 1'!$S:$S, $A75,
  '[1]Hoja 1'!$R:$R, "&gt;="&amp;INT($DE$1),
  '[1]Hoja 1'!$R:$R, "&lt;"&amp;INT($DF$1+1)
)</f>
        <v>0</v>
      </c>
      <c r="DD75" s="1">
        <f t="shared" si="158"/>
        <v>0</v>
      </c>
      <c r="DE75" s="9">
        <f t="shared" si="159"/>
        <v>0</v>
      </c>
      <c r="DF75" s="10">
        <f t="shared" si="160"/>
        <v>0</v>
      </c>
      <c r="DG75" s="1">
        <f>SUMIFS(
  '[1]Hoja 1'!$M:$M,
  '[1]Hoja 1'!$S:$S, $A75,
  '[1]Hoja 1'!$R:$R, "&gt;="&amp;INT($DI$1),
  '[1]Hoja 1'!$R:$R, "&lt;"&amp;INT($DJ$1+1)
)</f>
        <v>0</v>
      </c>
      <c r="DH75" s="1">
        <f t="shared" si="161"/>
        <v>0</v>
      </c>
      <c r="DI75" s="9">
        <f t="shared" si="162"/>
        <v>0</v>
      </c>
      <c r="DJ75" s="10">
        <f t="shared" si="163"/>
        <v>0</v>
      </c>
      <c r="DK75" s="1">
        <f>SUMIFS(
  '[1]Hoja 1'!$M:$M,
  '[1]Hoja 1'!$S:$S, $A75,
  '[1]Hoja 1'!$R:$R, "&gt;="&amp;INT($DM$1),
  '[1]Hoja 1'!$R:$R, "&lt;"&amp;INT($DN$1+1)
)</f>
        <v>0</v>
      </c>
      <c r="DL75" s="1">
        <f t="shared" si="164"/>
        <v>0</v>
      </c>
      <c r="DM75" s="9">
        <f t="shared" si="165"/>
        <v>0</v>
      </c>
      <c r="DN75" s="10">
        <f t="shared" si="166"/>
        <v>0</v>
      </c>
      <c r="DO75" s="1">
        <f>SUMIFS(
  '[1]Hoja 1'!$M:$M,
  '[1]Hoja 1'!$S:$S, $A75,
  '[1]Hoja 1'!$R:$R, "&gt;="&amp;INT($DQ$1),
  '[1]Hoja 1'!$R:$R, "&lt;"&amp;INT($DR$1+1)
)</f>
        <v>0</v>
      </c>
      <c r="DP75" s="1">
        <f t="shared" si="167"/>
        <v>0</v>
      </c>
      <c r="DQ75" s="9">
        <f t="shared" si="168"/>
        <v>0</v>
      </c>
      <c r="DR75" s="10">
        <f t="shared" si="169"/>
        <v>0</v>
      </c>
    </row>
    <row r="76" spans="1:122" x14ac:dyDescent="0.25">
      <c r="A76" s="5">
        <v>210013</v>
      </c>
      <c r="B76" s="6" t="s">
        <v>76</v>
      </c>
      <c r="C76" s="1">
        <f>SUMIFS(
  '[1]Hoja 1'!$M:$M,
  '[1]Hoja 1'!$S:$S, $A76,
  '[1]Hoja 1'!$R:$R, "&gt;="&amp;INT($E$1),
  '[1]Hoja 1'!$R:$R, "&lt;"&amp;INT($F$1+1)
)</f>
        <v>3</v>
      </c>
      <c r="D76" s="1" t="str">
        <f>""</f>
        <v/>
      </c>
      <c r="F76" s="2"/>
      <c r="G76" s="1">
        <f>SUMIFS(
  '[1]Hoja 1'!$M:$M,
  '[1]Hoja 1'!$S:$S, $A76,
  '[1]Hoja 1'!$R:$R, "&gt;="&amp;INT($I$1),
  '[1]Hoja 1'!$R:$R, "&lt;"&amp;INT($J$1+1)
)</f>
        <v>5</v>
      </c>
      <c r="H76" s="1">
        <f t="shared" si="85"/>
        <v>4</v>
      </c>
      <c r="I76" s="1"/>
      <c r="J76" s="2"/>
      <c r="K76" s="1">
        <f>SUMIFS(
  '[1]Hoja 1'!$M:$M,
  '[1]Hoja 1'!$S:$S, $A76,
  '[1]Hoja 1'!$R:$R, "&gt;="&amp;INT($M$1),
  '[1]Hoja 1'!$R:$R, "&lt;"&amp;INT($N$1+1)
)</f>
        <v>0</v>
      </c>
      <c r="L76" s="1">
        <f t="shared" si="86"/>
        <v>2.5</v>
      </c>
      <c r="M76" s="9">
        <f t="shared" si="87"/>
        <v>-2.350752518939716</v>
      </c>
      <c r="N76" s="10">
        <f t="shared" si="88"/>
        <v>7.350752518939716</v>
      </c>
      <c r="O76" s="1">
        <f>SUMIFS(
  '[1]Hoja 1'!$M:$M,
  '[1]Hoja 1'!$S:$S, $A76,
  '[1]Hoja 1'!$R:$R, "&gt;="&amp;INT($Q$1),
  '[1]Hoja 1'!$R:$R, "&lt;"&amp;INT($R$1+1)
)</f>
        <v>0</v>
      </c>
      <c r="P76" s="1">
        <f t="shared" si="89"/>
        <v>0</v>
      </c>
      <c r="Q76" s="9">
        <f t="shared" si="90"/>
        <v>-1.0334402499547091</v>
      </c>
      <c r="R76" s="10">
        <f t="shared" si="91"/>
        <v>6.0334402499547091</v>
      </c>
      <c r="S76" s="1">
        <f>SUMIFS(
  '[1]Hoja 1'!$M:$M,
  '[1]Hoja 1'!$S:$S, $A76,
  '[1]Hoja 1'!$R:$R, "&gt;="&amp;INT($U$1),
  '[1]Hoja 1'!$R:$R, "&lt;"&amp;INT($V$1+1)
)</f>
        <v>5</v>
      </c>
      <c r="T76" s="1">
        <f t="shared" si="92"/>
        <v>3</v>
      </c>
      <c r="U76" s="9">
        <f t="shared" si="93"/>
        <v>-1.119109936220041</v>
      </c>
      <c r="V76" s="10">
        <f t="shared" si="94"/>
        <v>7.119109936220041</v>
      </c>
      <c r="W76" s="1">
        <f>SUMIFS(
  '[1]Hoja 1'!$M:$M,
  '[1]Hoja 1'!$S:$S, $A76,
  '[1]Hoja 1'!$R:$R, "&gt;="&amp;INT($Y$1),
  '[1]Hoja 1'!$R:$R, "&lt;"&amp;INT($Z$1+1)
)</f>
        <v>0</v>
      </c>
      <c r="X76" s="1">
        <f t="shared" si="95"/>
        <v>3</v>
      </c>
      <c r="Y76" s="9">
        <f t="shared" si="96"/>
        <v>-1.6913928280060571</v>
      </c>
      <c r="Z76" s="10">
        <f t="shared" si="97"/>
        <v>7.6913928280060571</v>
      </c>
      <c r="AA76" s="1">
        <f>SUMIFS(
  '[1]Hoja 1'!$M:$M,
  '[1]Hoja 1'!$S:$S, $A76,
  '[1]Hoja 1'!$R:$R, "&gt;="&amp;INT($AC$1),
  '[1]Hoja 1'!$R:$R, "&lt;"&amp;INT($AD$1+1)
)</f>
        <v>4</v>
      </c>
      <c r="AB76" s="1">
        <f t="shared" si="98"/>
        <v>2</v>
      </c>
      <c r="AC76" s="9">
        <f t="shared" si="99"/>
        <v>-1.8830761002071541</v>
      </c>
      <c r="AD76" s="10">
        <f t="shared" si="100"/>
        <v>6.455139354348713</v>
      </c>
      <c r="AE76" s="1">
        <f>SUMIFS(
  '[1]Hoja 1'!$M:$M,
  '[1]Hoja 1'!$S:$S, $A76,
  '[1]Hoja 1'!$R:$R, "&gt;="&amp;INT($AG$1),
  '[1]Hoja 1'!$R:$R, "&lt;"&amp;INT($AH$1+1)
)</f>
        <v>0</v>
      </c>
      <c r="AF76" s="1">
        <f t="shared" si="101"/>
        <v>2</v>
      </c>
      <c r="AG76" s="9">
        <f t="shared" si="102"/>
        <v>-2.4371387176873345</v>
      </c>
      <c r="AH76" s="10">
        <f t="shared" si="103"/>
        <v>7.1235664661769862</v>
      </c>
      <c r="AI76" s="1">
        <f>SUMIFS(
  '[1]Hoja 1'!$M:$M,
  '[1]Hoja 1'!$S:$S, $A76,
  '[1]Hoja 1'!$R:$R, "&gt;="&amp;INT($AK$1),
  '[1]Hoja 1'!$R:$R, "&lt;"&amp;INT($AL$1+1)
)</f>
        <v>0</v>
      </c>
      <c r="AJ76" s="1">
        <f t="shared" si="104"/>
        <v>0</v>
      </c>
      <c r="AK76" s="9">
        <f t="shared" si="105"/>
        <v>-3.5334402499547091</v>
      </c>
      <c r="AL76" s="10">
        <f t="shared" si="106"/>
        <v>4.0307278085560014</v>
      </c>
      <c r="AM76" s="1">
        <f>SUMIFS(
  '[1]Hoja 1'!$M:$M,
  '[1]Hoja 1'!$S:$S, $A76,
  '[1]Hoja 1'!$R:$R, "&gt;="&amp;INT($AO$1),
  '[1]Hoja 1'!$R:$R, "&lt;"&amp;INT($AP$1+1)
)</f>
        <v>0</v>
      </c>
      <c r="AN76" s="1">
        <f t="shared" si="107"/>
        <v>0</v>
      </c>
      <c r="AO76" s="9">
        <f t="shared" si="108"/>
        <v>-2.7718585822512662</v>
      </c>
      <c r="AP76" s="10">
        <f t="shared" si="109"/>
        <v>3.2006665972366859</v>
      </c>
      <c r="AQ76" s="1">
        <f>SUMIFS(
  '[1]Hoja 1'!$M:$M,
  '[1]Hoja 1'!$S:$S, $A76,
  '[1]Hoja 1'!$R:$R, "&gt;="&amp;INT($AS$1),
  '[1]Hoja 1'!$R:$R, "&lt;"&amp;INT($AT$1+1)
)</f>
        <v>0</v>
      </c>
      <c r="AR76" s="1">
        <f t="shared" si="110"/>
        <v>0</v>
      </c>
      <c r="AS76" s="9">
        <f t="shared" si="111"/>
        <v>-1.7530772943598349</v>
      </c>
      <c r="AT76" s="10">
        <f t="shared" si="112"/>
        <v>1.96</v>
      </c>
      <c r="AU76" s="1">
        <f>SUMIFS(
  '[1]Hoja 1'!$M:$M,
  '[1]Hoja 1'!$S:$S, $A76,
  '[1]Hoja 1'!$R:$R, "&gt;="&amp;INT($AW$1),
  '[1]Hoja 1'!$R:$R, "&lt;"&amp;INT($AX$1+1)
)</f>
        <v>0</v>
      </c>
      <c r="AV76" s="1">
        <f t="shared" si="113"/>
        <v>0</v>
      </c>
      <c r="AW76" s="9">
        <f t="shared" si="114"/>
        <v>0</v>
      </c>
      <c r="AX76" s="10">
        <f t="shared" si="115"/>
        <v>0</v>
      </c>
      <c r="AY76" s="1">
        <f>SUMIFS(
  '[1]Hoja 1'!$M:$M,
  '[1]Hoja 1'!$S:$S, $A76,
  '[1]Hoja 1'!$R:$R, "&gt;="&amp;INT($BA$1),
  '[1]Hoja 1'!$R:$R, "&lt;"&amp;INT($BB$1+1)
)</f>
        <v>0</v>
      </c>
      <c r="AZ76" s="1">
        <f t="shared" si="116"/>
        <v>0</v>
      </c>
      <c r="BA76" s="9">
        <f t="shared" si="117"/>
        <v>0</v>
      </c>
      <c r="BB76" s="10">
        <f t="shared" si="118"/>
        <v>0</v>
      </c>
      <c r="BC76" s="1">
        <f>SUMIFS(
  '[1]Hoja 1'!$M:$M,
  '[1]Hoja 1'!$S:$S, $A76,
  '[1]Hoja 1'!$R:$R, "&gt;="&amp;INT($BE$1),
  '[1]Hoja 1'!$R:$R, "&lt;"&amp;INT($BF$1+1)
)</f>
        <v>0</v>
      </c>
      <c r="BD76" s="1">
        <f t="shared" si="119"/>
        <v>0</v>
      </c>
      <c r="BE76" s="9">
        <f t="shared" si="120"/>
        <v>0</v>
      </c>
      <c r="BF76" s="10">
        <f t="shared" si="121"/>
        <v>0</v>
      </c>
      <c r="BG76" s="1">
        <f>SUMIFS(
  '[1]Hoja 1'!$M:$M,
  '[1]Hoja 1'!$S:$S, $A76,
  '[1]Hoja 1'!$R:$R, "&gt;="&amp;INT($BI$1),
  '[1]Hoja 1'!$R:$R, "&lt;"&amp;INT($BJ$1+1)
)</f>
        <v>0</v>
      </c>
      <c r="BH76" s="1">
        <f t="shared" si="122"/>
        <v>0</v>
      </c>
      <c r="BI76" s="9">
        <f t="shared" si="123"/>
        <v>0</v>
      </c>
      <c r="BJ76" s="10">
        <f t="shared" si="124"/>
        <v>0</v>
      </c>
      <c r="BK76" s="1">
        <f>SUMIFS(
  '[1]Hoja 1'!$M:$M,
  '[1]Hoja 1'!$S:$S, $A76,
  '[1]Hoja 1'!$R:$R, "&gt;="&amp;INT($BM$1),
  '[1]Hoja 1'!$R:$R, "&lt;"&amp;INT($BN$1+1)
)</f>
        <v>0</v>
      </c>
      <c r="BL76" s="1">
        <f t="shared" si="125"/>
        <v>0</v>
      </c>
      <c r="BM76" s="9">
        <f t="shared" si="126"/>
        <v>0</v>
      </c>
      <c r="BN76" s="10">
        <f t="shared" si="127"/>
        <v>0</v>
      </c>
      <c r="BO76" s="1">
        <f>SUMIFS(
  '[1]Hoja 1'!$M:$M,
  '[1]Hoja 1'!$S:$S, $A76,
  '[1]Hoja 1'!$R:$R, "&gt;="&amp;INT($BQ$1),
  '[1]Hoja 1'!$R:$R, "&lt;"&amp;INT($BR$1+1)
)</f>
        <v>0</v>
      </c>
      <c r="BP76" s="1">
        <f t="shared" si="128"/>
        <v>0</v>
      </c>
      <c r="BQ76" s="9">
        <f t="shared" si="129"/>
        <v>0</v>
      </c>
      <c r="BR76" s="10">
        <f t="shared" si="130"/>
        <v>0</v>
      </c>
      <c r="BS76" s="1">
        <f>SUMIFS(
  '[1]Hoja 1'!$M:$M,
  '[1]Hoja 1'!$S:$S, $A76,
  '[1]Hoja 1'!$R:$R, "&gt;="&amp;INT($BU$1),
  '[1]Hoja 1'!$R:$R, "&lt;"&amp;INT($BV$1+1)
)</f>
        <v>0</v>
      </c>
      <c r="BT76" s="1">
        <f t="shared" si="131"/>
        <v>0</v>
      </c>
      <c r="BU76" s="9">
        <f t="shared" si="132"/>
        <v>0</v>
      </c>
      <c r="BV76" s="10">
        <f t="shared" si="133"/>
        <v>0</v>
      </c>
      <c r="BW76" s="1">
        <f>SUMIFS(
  '[1]Hoja 1'!$M:$M,
  '[1]Hoja 1'!$S:$S, $A76,
  '[1]Hoja 1'!$R:$R, "&gt;="&amp;INT($BY$1),
  '[1]Hoja 1'!$R:$R, "&lt;"&amp;INT($BZ$1+1)
)</f>
        <v>0</v>
      </c>
      <c r="BX76" s="1">
        <f t="shared" si="134"/>
        <v>0</v>
      </c>
      <c r="BY76" s="9">
        <f t="shared" si="135"/>
        <v>0</v>
      </c>
      <c r="BZ76" s="10">
        <f t="shared" si="136"/>
        <v>0</v>
      </c>
      <c r="CA76" s="1">
        <f>SUMIFS(
  '[1]Hoja 1'!$M:$M,
  '[1]Hoja 1'!$S:$S, $A76,
  '[1]Hoja 1'!$R:$R, "&gt;="&amp;INT($CC$1),
  '[1]Hoja 1'!$R:$R, "&lt;"&amp;INT($CD$1+1)
)</f>
        <v>0</v>
      </c>
      <c r="CB76" s="1">
        <f t="shared" si="137"/>
        <v>0</v>
      </c>
      <c r="CC76" s="9">
        <f t="shared" si="138"/>
        <v>0</v>
      </c>
      <c r="CD76" s="10">
        <f t="shared" si="139"/>
        <v>0</v>
      </c>
      <c r="CE76" s="1">
        <f>SUMIFS(
  '[1]Hoja 1'!$M:$M,
  '[1]Hoja 1'!$S:$S, $A76,
  '[1]Hoja 1'!$R:$R, "&gt;="&amp;INT($CG$1),
  '[1]Hoja 1'!$R:$R, "&lt;"&amp;INT($CH$1+1)
)</f>
        <v>0</v>
      </c>
      <c r="CF76" s="1">
        <f t="shared" si="140"/>
        <v>0</v>
      </c>
      <c r="CG76" s="9">
        <f t="shared" si="141"/>
        <v>0</v>
      </c>
      <c r="CH76" s="10">
        <f t="shared" si="142"/>
        <v>0</v>
      </c>
      <c r="CI76" s="1">
        <f>SUMIFS(
  '[1]Hoja 1'!$M:$M,
  '[1]Hoja 1'!$S:$S, $A76,
  '[1]Hoja 1'!$R:$R, "&gt;="&amp;INT($CK$1),
  '[1]Hoja 1'!$R:$R, "&lt;"&amp;INT($CL$1+1)
)</f>
        <v>0</v>
      </c>
      <c r="CJ76" s="1">
        <f t="shared" si="143"/>
        <v>0</v>
      </c>
      <c r="CK76" s="9">
        <f t="shared" si="144"/>
        <v>0</v>
      </c>
      <c r="CL76" s="10">
        <f t="shared" si="145"/>
        <v>0</v>
      </c>
      <c r="CM76" s="1">
        <f>SUMIFS(
  '[1]Hoja 1'!$M:$M,
  '[1]Hoja 1'!$S:$S, $A76,
  '[1]Hoja 1'!$R:$R, "&gt;="&amp;INT($CO$1),
  '[1]Hoja 1'!$R:$R, "&lt;"&amp;INT($CP$1+1)
)</f>
        <v>0</v>
      </c>
      <c r="CN76" s="1">
        <f t="shared" si="146"/>
        <v>0</v>
      </c>
      <c r="CO76" s="9">
        <f t="shared" si="147"/>
        <v>0</v>
      </c>
      <c r="CP76" s="10">
        <f t="shared" si="148"/>
        <v>0</v>
      </c>
      <c r="CQ76" s="1">
        <f>SUMIFS(
  '[1]Hoja 1'!$M:$M,
  '[1]Hoja 1'!$S:$S, $A76,
  '[1]Hoja 1'!$R:$R, "&gt;="&amp;INT($CS$1),
  '[1]Hoja 1'!$R:$R, "&lt;"&amp;INT($CT$1+1)
)</f>
        <v>0</v>
      </c>
      <c r="CR76" s="1">
        <f t="shared" si="149"/>
        <v>0</v>
      </c>
      <c r="CS76" s="9">
        <f t="shared" si="150"/>
        <v>0</v>
      </c>
      <c r="CT76" s="10">
        <f t="shared" si="151"/>
        <v>0</v>
      </c>
      <c r="CU76" s="1">
        <f>SUMIFS(
  '[1]Hoja 1'!$M:$M,
  '[1]Hoja 1'!$S:$S, $A76,
  '[1]Hoja 1'!$R:$R, "&gt;="&amp;INT($CW$1),
  '[1]Hoja 1'!$R:$R, "&lt;"&amp;INT($CX$1+1)
)</f>
        <v>0</v>
      </c>
      <c r="CV76" s="1">
        <f t="shared" si="152"/>
        <v>0</v>
      </c>
      <c r="CW76" s="9">
        <f t="shared" si="153"/>
        <v>0</v>
      </c>
      <c r="CX76" s="10">
        <f t="shared" si="154"/>
        <v>0</v>
      </c>
      <c r="CY76" s="1">
        <f>SUMIFS(
  '[1]Hoja 1'!$M:$M,
  '[1]Hoja 1'!$S:$S, $A76,
  '[1]Hoja 1'!$R:$R, "&gt;="&amp;INT($DA$1),
  '[1]Hoja 1'!$R:$R, "&lt;"&amp;INT($DB$1+1)
)</f>
        <v>0</v>
      </c>
      <c r="CZ76" s="1">
        <f t="shared" si="155"/>
        <v>0</v>
      </c>
      <c r="DA76" s="9">
        <f t="shared" si="156"/>
        <v>0</v>
      </c>
      <c r="DB76" s="10">
        <f t="shared" si="157"/>
        <v>0</v>
      </c>
      <c r="DC76" s="1">
        <f>SUMIFS(
  '[1]Hoja 1'!$M:$M,
  '[1]Hoja 1'!$S:$S, $A76,
  '[1]Hoja 1'!$R:$R, "&gt;="&amp;INT($DE$1),
  '[1]Hoja 1'!$R:$R, "&lt;"&amp;INT($DF$1+1)
)</f>
        <v>0</v>
      </c>
      <c r="DD76" s="1">
        <f t="shared" si="158"/>
        <v>0</v>
      </c>
      <c r="DE76" s="9">
        <f t="shared" si="159"/>
        <v>0</v>
      </c>
      <c r="DF76" s="10">
        <f t="shared" si="160"/>
        <v>0</v>
      </c>
      <c r="DG76" s="1">
        <f>SUMIFS(
  '[1]Hoja 1'!$M:$M,
  '[1]Hoja 1'!$S:$S, $A76,
  '[1]Hoja 1'!$R:$R, "&gt;="&amp;INT($DI$1),
  '[1]Hoja 1'!$R:$R, "&lt;"&amp;INT($DJ$1+1)
)</f>
        <v>0</v>
      </c>
      <c r="DH76" s="1">
        <f t="shared" si="161"/>
        <v>0</v>
      </c>
      <c r="DI76" s="9">
        <f t="shared" si="162"/>
        <v>0</v>
      </c>
      <c r="DJ76" s="10">
        <f t="shared" si="163"/>
        <v>0</v>
      </c>
      <c r="DK76" s="1">
        <f>SUMIFS(
  '[1]Hoja 1'!$M:$M,
  '[1]Hoja 1'!$S:$S, $A76,
  '[1]Hoja 1'!$R:$R, "&gt;="&amp;INT($DM$1),
  '[1]Hoja 1'!$R:$R, "&lt;"&amp;INT($DN$1+1)
)</f>
        <v>0</v>
      </c>
      <c r="DL76" s="1">
        <f t="shared" si="164"/>
        <v>0</v>
      </c>
      <c r="DM76" s="9">
        <f t="shared" si="165"/>
        <v>0</v>
      </c>
      <c r="DN76" s="10">
        <f t="shared" si="166"/>
        <v>0</v>
      </c>
      <c r="DO76" s="1">
        <f>SUMIFS(
  '[1]Hoja 1'!$M:$M,
  '[1]Hoja 1'!$S:$S, $A76,
  '[1]Hoja 1'!$R:$R, "&gt;="&amp;INT($DQ$1),
  '[1]Hoja 1'!$R:$R, "&lt;"&amp;INT($DR$1+1)
)</f>
        <v>0</v>
      </c>
      <c r="DP76" s="1">
        <f t="shared" si="167"/>
        <v>0</v>
      </c>
      <c r="DQ76" s="9">
        <f t="shared" si="168"/>
        <v>0</v>
      </c>
      <c r="DR76" s="10">
        <f t="shared" si="169"/>
        <v>0</v>
      </c>
    </row>
    <row r="77" spans="1:122" x14ac:dyDescent="0.25">
      <c r="A77" s="5">
        <v>210014</v>
      </c>
      <c r="B77" s="6" t="s">
        <v>77</v>
      </c>
      <c r="C77" s="1">
        <f>SUMIFS(
  '[1]Hoja 1'!$M:$M,
  '[1]Hoja 1'!$S:$S, $A77,
  '[1]Hoja 1'!$R:$R, "&gt;="&amp;INT($E$1),
  '[1]Hoja 1'!$R:$R, "&lt;"&amp;INT($F$1+1)
)</f>
        <v>14</v>
      </c>
      <c r="D77" s="1" t="str">
        <f>""</f>
        <v/>
      </c>
      <c r="F77" s="2"/>
      <c r="G77" s="1">
        <f>SUMIFS(
  '[1]Hoja 1'!$M:$M,
  '[1]Hoja 1'!$S:$S, $A77,
  '[1]Hoja 1'!$R:$R, "&gt;="&amp;INT($I$1),
  '[1]Hoja 1'!$R:$R, "&lt;"&amp;INT($J$1+1)
)</f>
        <v>4</v>
      </c>
      <c r="H77" s="1">
        <f t="shared" si="85"/>
        <v>9</v>
      </c>
      <c r="I77" s="1"/>
      <c r="J77" s="2"/>
      <c r="K77" s="1">
        <f>SUMIFS(
  '[1]Hoja 1'!$M:$M,
  '[1]Hoja 1'!$S:$S, $A77,
  '[1]Hoja 1'!$R:$R, "&gt;="&amp;INT($M$1),
  '[1]Hoja 1'!$R:$R, "&lt;"&amp;INT($N$1+1)
)</f>
        <v>12</v>
      </c>
      <c r="L77" s="1">
        <f t="shared" si="86"/>
        <v>8</v>
      </c>
      <c r="M77" s="9">
        <f t="shared" si="87"/>
        <v>-4.4733636201306979</v>
      </c>
      <c r="N77" s="10">
        <f t="shared" si="88"/>
        <v>20.473363620130698</v>
      </c>
      <c r="O77" s="1">
        <f>SUMIFS(
  '[1]Hoja 1'!$M:$M,
  '[1]Hoja 1'!$S:$S, $A77,
  '[1]Hoja 1'!$R:$R, "&gt;="&amp;INT($Q$1),
  '[1]Hoja 1'!$R:$R, "&lt;"&amp;INT($R$1+1)
)</f>
        <v>5</v>
      </c>
      <c r="P77" s="1">
        <f t="shared" si="89"/>
        <v>8.5</v>
      </c>
      <c r="Q77" s="9">
        <f t="shared" si="90"/>
        <v>-1.4507777457730953</v>
      </c>
      <c r="R77" s="10">
        <f t="shared" si="91"/>
        <v>17.450777745773095</v>
      </c>
      <c r="S77" s="1">
        <f>SUMIFS(
  '[1]Hoja 1'!$M:$M,
  '[1]Hoja 1'!$S:$S, $A77,
  '[1]Hoja 1'!$R:$R, "&gt;="&amp;INT($U$1),
  '[1]Hoja 1'!$R:$R, "&lt;"&amp;INT($V$1+1)
)</f>
        <v>7</v>
      </c>
      <c r="T77" s="1">
        <f t="shared" si="92"/>
        <v>6</v>
      </c>
      <c r="U77" s="9">
        <f t="shared" si="93"/>
        <v>-2.0961287045105692</v>
      </c>
      <c r="V77" s="10">
        <f t="shared" si="94"/>
        <v>14.096128704510569</v>
      </c>
      <c r="W77" s="1">
        <f>SUMIFS(
  '[1]Hoja 1'!$M:$M,
  '[1]Hoja 1'!$S:$S, $A77,
  '[1]Hoja 1'!$R:$R, "&gt;="&amp;INT($Y$1),
  '[1]Hoja 1'!$R:$R, "&lt;"&amp;INT($Z$1+1)
)</f>
        <v>8</v>
      </c>
      <c r="X77" s="1">
        <f t="shared" si="95"/>
        <v>8</v>
      </c>
      <c r="Y77" s="9">
        <f t="shared" si="96"/>
        <v>1.9588742770904037</v>
      </c>
      <c r="Z77" s="10">
        <f t="shared" si="97"/>
        <v>14.041125722909596</v>
      </c>
      <c r="AA77" s="1">
        <f>SUMIFS(
  '[1]Hoja 1'!$M:$M,
  '[1]Hoja 1'!$S:$S, $A77,
  '[1]Hoja 1'!$R:$R, "&gt;="&amp;INT($AC$1),
  '[1]Hoja 1'!$R:$R, "&lt;"&amp;INT($AD$1+1)
)</f>
        <v>10</v>
      </c>
      <c r="AB77" s="1">
        <f t="shared" si="98"/>
        <v>9</v>
      </c>
      <c r="AC77" s="9">
        <f t="shared" si="99"/>
        <v>5.2940966013669488</v>
      </c>
      <c r="AD77" s="10">
        <f t="shared" si="100"/>
        <v>13.271720964669861</v>
      </c>
      <c r="AE77" s="1">
        <f>SUMIFS(
  '[1]Hoja 1'!$M:$M,
  '[1]Hoja 1'!$S:$S, $A77,
  '[1]Hoja 1'!$R:$R, "&gt;="&amp;INT($AG$1),
  '[1]Hoja 1'!$R:$R, "&lt;"&amp;INT($AH$1+1)
)</f>
        <v>0</v>
      </c>
      <c r="AF77" s="1">
        <f t="shared" si="101"/>
        <v>5</v>
      </c>
      <c r="AG77" s="9">
        <f t="shared" si="102"/>
        <v>2.9608766790714114E-3</v>
      </c>
      <c r="AH77" s="10">
        <f t="shared" si="103"/>
        <v>10.735302956252617</v>
      </c>
      <c r="AI77" s="1">
        <f>SUMIFS(
  '[1]Hoja 1'!$M:$M,
  '[1]Hoja 1'!$S:$S, $A77,
  '[1]Hoja 1'!$R:$R, "&gt;="&amp;INT($AK$1),
  '[1]Hoja 1'!$R:$R, "&lt;"&amp;INT($AL$1+1)
)</f>
        <v>0</v>
      </c>
      <c r="AJ77" s="1">
        <f t="shared" si="104"/>
        <v>0</v>
      </c>
      <c r="AK77" s="9">
        <f t="shared" si="105"/>
        <v>-4.7809538797189832</v>
      </c>
      <c r="AL77" s="10">
        <f t="shared" si="106"/>
        <v>5.4490702570866771</v>
      </c>
      <c r="AM77" s="1">
        <f>SUMIFS(
  '[1]Hoja 1'!$M:$M,
  '[1]Hoja 1'!$S:$S, $A77,
  '[1]Hoja 1'!$R:$R, "&gt;="&amp;INT($AO$1),
  '[1]Hoja 1'!$R:$R, "&lt;"&amp;INT($AP$1+1)
)</f>
        <v>0</v>
      </c>
      <c r="AN77" s="1">
        <f t="shared" si="107"/>
        <v>0</v>
      </c>
      <c r="AO77" s="9">
        <f t="shared" si="108"/>
        <v>-4.6794358634348221</v>
      </c>
      <c r="AP77" s="10">
        <f t="shared" si="109"/>
        <v>5.3077050910288275</v>
      </c>
      <c r="AQ77" s="1">
        <f>SUMIFS(
  '[1]Hoja 1'!$M:$M,
  '[1]Hoja 1'!$S:$S, $A77,
  '[1]Hoja 1'!$R:$R, "&gt;="&amp;INT($AS$1),
  '[1]Hoja 1'!$R:$R, "&lt;"&amp;INT($AT$1+1)
)</f>
        <v>0</v>
      </c>
      <c r="AR77" s="1">
        <f t="shared" si="110"/>
        <v>0</v>
      </c>
      <c r="AS77" s="9">
        <f t="shared" si="111"/>
        <v>-4.3826932358995876</v>
      </c>
      <c r="AT77" s="10">
        <f t="shared" si="112"/>
        <v>4.9000000000000004</v>
      </c>
      <c r="AU77" s="1">
        <f>SUMIFS(
  '[1]Hoja 1'!$M:$M,
  '[1]Hoja 1'!$S:$S, $A77,
  '[1]Hoja 1'!$R:$R, "&gt;="&amp;INT($AW$1),
  '[1]Hoja 1'!$R:$R, "&lt;"&amp;INT($AX$1+1)
)</f>
        <v>0</v>
      </c>
      <c r="AV77" s="1">
        <f t="shared" si="113"/>
        <v>0</v>
      </c>
      <c r="AW77" s="9">
        <f t="shared" si="114"/>
        <v>0</v>
      </c>
      <c r="AX77" s="10">
        <f t="shared" si="115"/>
        <v>0</v>
      </c>
      <c r="AY77" s="1">
        <f>SUMIFS(
  '[1]Hoja 1'!$M:$M,
  '[1]Hoja 1'!$S:$S, $A77,
  '[1]Hoja 1'!$R:$R, "&gt;="&amp;INT($BA$1),
  '[1]Hoja 1'!$R:$R, "&lt;"&amp;INT($BB$1+1)
)</f>
        <v>0</v>
      </c>
      <c r="AZ77" s="1">
        <f t="shared" si="116"/>
        <v>0</v>
      </c>
      <c r="BA77" s="9">
        <f t="shared" si="117"/>
        <v>0</v>
      </c>
      <c r="BB77" s="10">
        <f t="shared" si="118"/>
        <v>0</v>
      </c>
      <c r="BC77" s="1">
        <f>SUMIFS(
  '[1]Hoja 1'!$M:$M,
  '[1]Hoja 1'!$S:$S, $A77,
  '[1]Hoja 1'!$R:$R, "&gt;="&amp;INT($BE$1),
  '[1]Hoja 1'!$R:$R, "&lt;"&amp;INT($BF$1+1)
)</f>
        <v>0</v>
      </c>
      <c r="BD77" s="1">
        <f t="shared" si="119"/>
        <v>0</v>
      </c>
      <c r="BE77" s="9">
        <f t="shared" si="120"/>
        <v>0</v>
      </c>
      <c r="BF77" s="10">
        <f t="shared" si="121"/>
        <v>0</v>
      </c>
      <c r="BG77" s="1">
        <f>SUMIFS(
  '[1]Hoja 1'!$M:$M,
  '[1]Hoja 1'!$S:$S, $A77,
  '[1]Hoja 1'!$R:$R, "&gt;="&amp;INT($BI$1),
  '[1]Hoja 1'!$R:$R, "&lt;"&amp;INT($BJ$1+1)
)</f>
        <v>0</v>
      </c>
      <c r="BH77" s="1">
        <f t="shared" si="122"/>
        <v>0</v>
      </c>
      <c r="BI77" s="9">
        <f t="shared" si="123"/>
        <v>0</v>
      </c>
      <c r="BJ77" s="10">
        <f t="shared" si="124"/>
        <v>0</v>
      </c>
      <c r="BK77" s="1">
        <f>SUMIFS(
  '[1]Hoja 1'!$M:$M,
  '[1]Hoja 1'!$S:$S, $A77,
  '[1]Hoja 1'!$R:$R, "&gt;="&amp;INT($BM$1),
  '[1]Hoja 1'!$R:$R, "&lt;"&amp;INT($BN$1+1)
)</f>
        <v>0</v>
      </c>
      <c r="BL77" s="1">
        <f t="shared" si="125"/>
        <v>0</v>
      </c>
      <c r="BM77" s="9">
        <f t="shared" si="126"/>
        <v>0</v>
      </c>
      <c r="BN77" s="10">
        <f t="shared" si="127"/>
        <v>0</v>
      </c>
      <c r="BO77" s="1">
        <f>SUMIFS(
  '[1]Hoja 1'!$M:$M,
  '[1]Hoja 1'!$S:$S, $A77,
  '[1]Hoja 1'!$R:$R, "&gt;="&amp;INT($BQ$1),
  '[1]Hoja 1'!$R:$R, "&lt;"&amp;INT($BR$1+1)
)</f>
        <v>0</v>
      </c>
      <c r="BP77" s="1">
        <f t="shared" si="128"/>
        <v>0</v>
      </c>
      <c r="BQ77" s="9">
        <f t="shared" si="129"/>
        <v>0</v>
      </c>
      <c r="BR77" s="10">
        <f t="shared" si="130"/>
        <v>0</v>
      </c>
      <c r="BS77" s="1">
        <f>SUMIFS(
  '[1]Hoja 1'!$M:$M,
  '[1]Hoja 1'!$S:$S, $A77,
  '[1]Hoja 1'!$R:$R, "&gt;="&amp;INT($BU$1),
  '[1]Hoja 1'!$R:$R, "&lt;"&amp;INT($BV$1+1)
)</f>
        <v>0</v>
      </c>
      <c r="BT77" s="1">
        <f t="shared" si="131"/>
        <v>0</v>
      </c>
      <c r="BU77" s="9">
        <f t="shared" si="132"/>
        <v>0</v>
      </c>
      <c r="BV77" s="10">
        <f t="shared" si="133"/>
        <v>0</v>
      </c>
      <c r="BW77" s="1">
        <f>SUMIFS(
  '[1]Hoja 1'!$M:$M,
  '[1]Hoja 1'!$S:$S, $A77,
  '[1]Hoja 1'!$R:$R, "&gt;="&amp;INT($BY$1),
  '[1]Hoja 1'!$R:$R, "&lt;"&amp;INT($BZ$1+1)
)</f>
        <v>0</v>
      </c>
      <c r="BX77" s="1">
        <f t="shared" si="134"/>
        <v>0</v>
      </c>
      <c r="BY77" s="9">
        <f t="shared" si="135"/>
        <v>0</v>
      </c>
      <c r="BZ77" s="10">
        <f t="shared" si="136"/>
        <v>0</v>
      </c>
      <c r="CA77" s="1">
        <f>SUMIFS(
  '[1]Hoja 1'!$M:$M,
  '[1]Hoja 1'!$S:$S, $A77,
  '[1]Hoja 1'!$R:$R, "&gt;="&amp;INT($CC$1),
  '[1]Hoja 1'!$R:$R, "&lt;"&amp;INT($CD$1+1)
)</f>
        <v>0</v>
      </c>
      <c r="CB77" s="1">
        <f t="shared" si="137"/>
        <v>0</v>
      </c>
      <c r="CC77" s="9">
        <f t="shared" si="138"/>
        <v>0</v>
      </c>
      <c r="CD77" s="10">
        <f t="shared" si="139"/>
        <v>0</v>
      </c>
      <c r="CE77" s="1">
        <f>SUMIFS(
  '[1]Hoja 1'!$M:$M,
  '[1]Hoja 1'!$S:$S, $A77,
  '[1]Hoja 1'!$R:$R, "&gt;="&amp;INT($CG$1),
  '[1]Hoja 1'!$R:$R, "&lt;"&amp;INT($CH$1+1)
)</f>
        <v>0</v>
      </c>
      <c r="CF77" s="1">
        <f t="shared" si="140"/>
        <v>0</v>
      </c>
      <c r="CG77" s="9">
        <f t="shared" si="141"/>
        <v>0</v>
      </c>
      <c r="CH77" s="10">
        <f t="shared" si="142"/>
        <v>0</v>
      </c>
      <c r="CI77" s="1">
        <f>SUMIFS(
  '[1]Hoja 1'!$M:$M,
  '[1]Hoja 1'!$S:$S, $A77,
  '[1]Hoja 1'!$R:$R, "&gt;="&amp;INT($CK$1),
  '[1]Hoja 1'!$R:$R, "&lt;"&amp;INT($CL$1+1)
)</f>
        <v>0</v>
      </c>
      <c r="CJ77" s="1">
        <f t="shared" si="143"/>
        <v>0</v>
      </c>
      <c r="CK77" s="9">
        <f t="shared" si="144"/>
        <v>0</v>
      </c>
      <c r="CL77" s="10">
        <f t="shared" si="145"/>
        <v>0</v>
      </c>
      <c r="CM77" s="1">
        <f>SUMIFS(
  '[1]Hoja 1'!$M:$M,
  '[1]Hoja 1'!$S:$S, $A77,
  '[1]Hoja 1'!$R:$R, "&gt;="&amp;INT($CO$1),
  '[1]Hoja 1'!$R:$R, "&lt;"&amp;INT($CP$1+1)
)</f>
        <v>0</v>
      </c>
      <c r="CN77" s="1">
        <f t="shared" si="146"/>
        <v>0</v>
      </c>
      <c r="CO77" s="9">
        <f t="shared" si="147"/>
        <v>0</v>
      </c>
      <c r="CP77" s="10">
        <f t="shared" si="148"/>
        <v>0</v>
      </c>
      <c r="CQ77" s="1">
        <f>SUMIFS(
  '[1]Hoja 1'!$M:$M,
  '[1]Hoja 1'!$S:$S, $A77,
  '[1]Hoja 1'!$R:$R, "&gt;="&amp;INT($CS$1),
  '[1]Hoja 1'!$R:$R, "&lt;"&amp;INT($CT$1+1)
)</f>
        <v>0</v>
      </c>
      <c r="CR77" s="1">
        <f t="shared" si="149"/>
        <v>0</v>
      </c>
      <c r="CS77" s="9">
        <f t="shared" si="150"/>
        <v>0</v>
      </c>
      <c r="CT77" s="10">
        <f t="shared" si="151"/>
        <v>0</v>
      </c>
      <c r="CU77" s="1">
        <f>SUMIFS(
  '[1]Hoja 1'!$M:$M,
  '[1]Hoja 1'!$S:$S, $A77,
  '[1]Hoja 1'!$R:$R, "&gt;="&amp;INT($CW$1),
  '[1]Hoja 1'!$R:$R, "&lt;"&amp;INT($CX$1+1)
)</f>
        <v>0</v>
      </c>
      <c r="CV77" s="1">
        <f t="shared" si="152"/>
        <v>0</v>
      </c>
      <c r="CW77" s="9">
        <f t="shared" si="153"/>
        <v>0</v>
      </c>
      <c r="CX77" s="10">
        <f t="shared" si="154"/>
        <v>0</v>
      </c>
      <c r="CY77" s="1">
        <f>SUMIFS(
  '[1]Hoja 1'!$M:$M,
  '[1]Hoja 1'!$S:$S, $A77,
  '[1]Hoja 1'!$R:$R, "&gt;="&amp;INT($DA$1),
  '[1]Hoja 1'!$R:$R, "&lt;"&amp;INT($DB$1+1)
)</f>
        <v>0</v>
      </c>
      <c r="CZ77" s="1">
        <f t="shared" si="155"/>
        <v>0</v>
      </c>
      <c r="DA77" s="9">
        <f t="shared" si="156"/>
        <v>0</v>
      </c>
      <c r="DB77" s="10">
        <f t="shared" si="157"/>
        <v>0</v>
      </c>
      <c r="DC77" s="1">
        <f>SUMIFS(
  '[1]Hoja 1'!$M:$M,
  '[1]Hoja 1'!$S:$S, $A77,
  '[1]Hoja 1'!$R:$R, "&gt;="&amp;INT($DE$1),
  '[1]Hoja 1'!$R:$R, "&lt;"&amp;INT($DF$1+1)
)</f>
        <v>0</v>
      </c>
      <c r="DD77" s="1">
        <f t="shared" si="158"/>
        <v>0</v>
      </c>
      <c r="DE77" s="9">
        <f t="shared" si="159"/>
        <v>0</v>
      </c>
      <c r="DF77" s="10">
        <f t="shared" si="160"/>
        <v>0</v>
      </c>
      <c r="DG77" s="1">
        <f>SUMIFS(
  '[1]Hoja 1'!$M:$M,
  '[1]Hoja 1'!$S:$S, $A77,
  '[1]Hoja 1'!$R:$R, "&gt;="&amp;INT($DI$1),
  '[1]Hoja 1'!$R:$R, "&lt;"&amp;INT($DJ$1+1)
)</f>
        <v>0</v>
      </c>
      <c r="DH77" s="1">
        <f t="shared" si="161"/>
        <v>0</v>
      </c>
      <c r="DI77" s="9">
        <f t="shared" si="162"/>
        <v>0</v>
      </c>
      <c r="DJ77" s="10">
        <f t="shared" si="163"/>
        <v>0</v>
      </c>
      <c r="DK77" s="1">
        <f>SUMIFS(
  '[1]Hoja 1'!$M:$M,
  '[1]Hoja 1'!$S:$S, $A77,
  '[1]Hoja 1'!$R:$R, "&gt;="&amp;INT($DM$1),
  '[1]Hoja 1'!$R:$R, "&lt;"&amp;INT($DN$1+1)
)</f>
        <v>0</v>
      </c>
      <c r="DL77" s="1">
        <f t="shared" si="164"/>
        <v>0</v>
      </c>
      <c r="DM77" s="9">
        <f t="shared" si="165"/>
        <v>0</v>
      </c>
      <c r="DN77" s="10">
        <f t="shared" si="166"/>
        <v>0</v>
      </c>
      <c r="DO77" s="1">
        <f>SUMIFS(
  '[1]Hoja 1'!$M:$M,
  '[1]Hoja 1'!$S:$S, $A77,
  '[1]Hoja 1'!$R:$R, "&gt;="&amp;INT($DQ$1),
  '[1]Hoja 1'!$R:$R, "&lt;"&amp;INT($DR$1+1)
)</f>
        <v>0</v>
      </c>
      <c r="DP77" s="1">
        <f t="shared" si="167"/>
        <v>0</v>
      </c>
      <c r="DQ77" s="9">
        <f t="shared" si="168"/>
        <v>0</v>
      </c>
      <c r="DR77" s="10">
        <f t="shared" si="169"/>
        <v>0</v>
      </c>
    </row>
    <row r="78" spans="1:122" x14ac:dyDescent="0.25">
      <c r="A78" s="5">
        <v>210015</v>
      </c>
      <c r="B78" s="6" t="s">
        <v>78</v>
      </c>
      <c r="C78" s="1">
        <f>SUMIFS(
  '[1]Hoja 1'!$M:$M,
  '[1]Hoja 1'!$S:$S, $A78,
  '[1]Hoja 1'!$R:$R, "&gt;="&amp;INT($E$1),
  '[1]Hoja 1'!$R:$R, "&lt;"&amp;INT($F$1+1)
)</f>
        <v>4</v>
      </c>
      <c r="D78" s="1" t="str">
        <f>""</f>
        <v/>
      </c>
      <c r="F78" s="2"/>
      <c r="G78" s="1">
        <f>SUMIFS(
  '[1]Hoja 1'!$M:$M,
  '[1]Hoja 1'!$S:$S, $A78,
  '[1]Hoja 1'!$R:$R, "&gt;="&amp;INT($I$1),
  '[1]Hoja 1'!$R:$R, "&lt;"&amp;INT($J$1+1)
)</f>
        <v>42</v>
      </c>
      <c r="H78" s="1">
        <f t="shared" si="85"/>
        <v>23</v>
      </c>
      <c r="I78" s="1"/>
      <c r="J78" s="2"/>
      <c r="K78" s="1">
        <f>SUMIFS(
  '[1]Hoja 1'!$M:$M,
  '[1]Hoja 1'!$S:$S, $A78,
  '[1]Hoja 1'!$R:$R, "&gt;="&amp;INT($M$1),
  '[1]Hoja 1'!$R:$R, "&lt;"&amp;INT($N$1+1)
)</f>
        <v>41</v>
      </c>
      <c r="L78" s="1">
        <f t="shared" si="86"/>
        <v>41.5</v>
      </c>
      <c r="M78" s="9">
        <f t="shared" si="87"/>
        <v>14.474378823050156</v>
      </c>
      <c r="N78" s="10">
        <f t="shared" si="88"/>
        <v>68.525621176949841</v>
      </c>
      <c r="O78" s="1">
        <f>SUMIFS(
  '[1]Hoja 1'!$M:$M,
  '[1]Hoja 1'!$S:$S, $A78,
  '[1]Hoja 1'!$R:$R, "&gt;="&amp;INT($Q$1),
  '[1]Hoja 1'!$R:$R, "&lt;"&amp;INT($R$1+1)
)</f>
        <v>71</v>
      </c>
      <c r="P78" s="1">
        <f t="shared" si="89"/>
        <v>56</v>
      </c>
      <c r="Q78" s="9">
        <f t="shared" si="90"/>
        <v>21.31263431417231</v>
      </c>
      <c r="R78" s="10">
        <f t="shared" si="91"/>
        <v>61.687365685827686</v>
      </c>
      <c r="S78" s="1">
        <f>SUMIFS(
  '[1]Hoja 1'!$M:$M,
  '[1]Hoja 1'!$S:$S, $A78,
  '[1]Hoja 1'!$R:$R, "&gt;="&amp;INT($U$1),
  '[1]Hoja 1'!$R:$R, "&lt;"&amp;INT($V$1+1)
)</f>
        <v>21</v>
      </c>
      <c r="T78" s="1">
        <f t="shared" si="92"/>
        <v>46</v>
      </c>
      <c r="U78" s="9">
        <f t="shared" si="93"/>
        <v>6.9114292066508654</v>
      </c>
      <c r="V78" s="10">
        <f t="shared" si="94"/>
        <v>85.088570793349135</v>
      </c>
      <c r="W78" s="1">
        <f>SUMIFS(
  '[1]Hoja 1'!$M:$M,
  '[1]Hoja 1'!$S:$S, $A78,
  '[1]Hoja 1'!$R:$R, "&gt;="&amp;INT($Y$1),
  '[1]Hoja 1'!$R:$R, "&lt;"&amp;INT($Z$1+1)
)</f>
        <v>53</v>
      </c>
      <c r="X78" s="1">
        <f t="shared" si="95"/>
        <v>37</v>
      </c>
      <c r="Y78" s="9">
        <f t="shared" si="96"/>
        <v>-0.50874520250799549</v>
      </c>
      <c r="Z78" s="10">
        <f t="shared" si="97"/>
        <v>74.508745202507995</v>
      </c>
      <c r="AA78" s="1">
        <f>SUMIFS(
  '[1]Hoja 1'!$M:$M,
  '[1]Hoja 1'!$S:$S, $A78,
  '[1]Hoja 1'!$R:$R, "&gt;="&amp;INT($AC$1),
  '[1]Hoja 1'!$R:$R, "&lt;"&amp;INT($AD$1+1)
)</f>
        <v>82</v>
      </c>
      <c r="AB78" s="1">
        <f t="shared" si="98"/>
        <v>68</v>
      </c>
      <c r="AC78" s="9">
        <f t="shared" si="99"/>
        <v>33.599347680603501</v>
      </c>
      <c r="AD78" s="10">
        <f t="shared" si="100"/>
        <v>107.38230524825416</v>
      </c>
      <c r="AE78" s="1">
        <f>SUMIFS(
  '[1]Hoja 1'!$M:$M,
  '[1]Hoja 1'!$S:$S, $A78,
  '[1]Hoja 1'!$R:$R, "&gt;="&amp;INT($AG$1),
  '[1]Hoja 1'!$R:$R, "&lt;"&amp;INT($AH$1+1)
)</f>
        <v>0</v>
      </c>
      <c r="AF78" s="1">
        <f t="shared" si="101"/>
        <v>41</v>
      </c>
      <c r="AG78" s="9">
        <f t="shared" si="102"/>
        <v>-8.1975617281994957</v>
      </c>
      <c r="AH78" s="10">
        <f t="shared" si="103"/>
        <v>97.093765250694304</v>
      </c>
      <c r="AI78" s="1">
        <f>SUMIFS(
  '[1]Hoja 1'!$M:$M,
  '[1]Hoja 1'!$S:$S, $A78,
  '[1]Hoja 1'!$R:$R, "&gt;="&amp;INT($AK$1),
  '[1]Hoja 1'!$R:$R, "&lt;"&amp;INT($AL$1+1)
)</f>
        <v>0</v>
      </c>
      <c r="AJ78" s="1">
        <f t="shared" si="104"/>
        <v>0</v>
      </c>
      <c r="AK78" s="9">
        <f t="shared" si="105"/>
        <v>-45.177893709202507</v>
      </c>
      <c r="AL78" s="10">
        <f t="shared" si="106"/>
        <v>52.099237038559409</v>
      </c>
      <c r="AM78" s="1">
        <f>SUMIFS(
  '[1]Hoja 1'!$M:$M,
  '[1]Hoja 1'!$S:$S, $A78,
  '[1]Hoja 1'!$R:$R, "&gt;="&amp;INT($AO$1),
  '[1]Hoja 1'!$R:$R, "&lt;"&amp;INT($AP$1+1)
)</f>
        <v>0</v>
      </c>
      <c r="AN78" s="1">
        <f t="shared" si="107"/>
        <v>0</v>
      </c>
      <c r="AO78" s="9">
        <f t="shared" si="108"/>
        <v>-41.005710821786764</v>
      </c>
      <c r="AP78" s="10">
        <f t="shared" si="109"/>
        <v>46.872113600021635</v>
      </c>
      <c r="AQ78" s="1">
        <f>SUMIFS(
  '[1]Hoja 1'!$M:$M,
  '[1]Hoja 1'!$S:$S, $A78,
  '[1]Hoja 1'!$R:$R, "&gt;="&amp;INT($AS$1),
  '[1]Hoja 1'!$R:$R, "&lt;"&amp;INT($AT$1+1)
)</f>
        <v>0</v>
      </c>
      <c r="AR78" s="1">
        <f t="shared" si="110"/>
        <v>0</v>
      </c>
      <c r="AS78" s="9">
        <f t="shared" si="111"/>
        <v>-35.938084534376621</v>
      </c>
      <c r="AT78" s="10">
        <f t="shared" si="112"/>
        <v>40.18</v>
      </c>
      <c r="AU78" s="1">
        <f>SUMIFS(
  '[1]Hoja 1'!$M:$M,
  '[1]Hoja 1'!$S:$S, $A78,
  '[1]Hoja 1'!$R:$R, "&gt;="&amp;INT($AW$1),
  '[1]Hoja 1'!$R:$R, "&lt;"&amp;INT($AX$1+1)
)</f>
        <v>0</v>
      </c>
      <c r="AV78" s="1">
        <f t="shared" si="113"/>
        <v>0</v>
      </c>
      <c r="AW78" s="9">
        <f t="shared" si="114"/>
        <v>0</v>
      </c>
      <c r="AX78" s="10">
        <f t="shared" si="115"/>
        <v>0</v>
      </c>
      <c r="AY78" s="1">
        <f>SUMIFS(
  '[1]Hoja 1'!$M:$M,
  '[1]Hoja 1'!$S:$S, $A78,
  '[1]Hoja 1'!$R:$R, "&gt;="&amp;INT($BA$1),
  '[1]Hoja 1'!$R:$R, "&lt;"&amp;INT($BB$1+1)
)</f>
        <v>0</v>
      </c>
      <c r="AZ78" s="1">
        <f t="shared" si="116"/>
        <v>0</v>
      </c>
      <c r="BA78" s="9">
        <f t="shared" si="117"/>
        <v>0</v>
      </c>
      <c r="BB78" s="10">
        <f t="shared" si="118"/>
        <v>0</v>
      </c>
      <c r="BC78" s="1">
        <f>SUMIFS(
  '[1]Hoja 1'!$M:$M,
  '[1]Hoja 1'!$S:$S, $A78,
  '[1]Hoja 1'!$R:$R, "&gt;="&amp;INT($BE$1),
  '[1]Hoja 1'!$R:$R, "&lt;"&amp;INT($BF$1+1)
)</f>
        <v>0</v>
      </c>
      <c r="BD78" s="1">
        <f t="shared" si="119"/>
        <v>0</v>
      </c>
      <c r="BE78" s="9">
        <f t="shared" si="120"/>
        <v>0</v>
      </c>
      <c r="BF78" s="10">
        <f t="shared" si="121"/>
        <v>0</v>
      </c>
      <c r="BG78" s="1">
        <f>SUMIFS(
  '[1]Hoja 1'!$M:$M,
  '[1]Hoja 1'!$S:$S, $A78,
  '[1]Hoja 1'!$R:$R, "&gt;="&amp;INT($BI$1),
  '[1]Hoja 1'!$R:$R, "&lt;"&amp;INT($BJ$1+1)
)</f>
        <v>0</v>
      </c>
      <c r="BH78" s="1">
        <f t="shared" si="122"/>
        <v>0</v>
      </c>
      <c r="BI78" s="9">
        <f t="shared" si="123"/>
        <v>0</v>
      </c>
      <c r="BJ78" s="10">
        <f t="shared" si="124"/>
        <v>0</v>
      </c>
      <c r="BK78" s="1">
        <f>SUMIFS(
  '[1]Hoja 1'!$M:$M,
  '[1]Hoja 1'!$S:$S, $A78,
  '[1]Hoja 1'!$R:$R, "&gt;="&amp;INT($BM$1),
  '[1]Hoja 1'!$R:$R, "&lt;"&amp;INT($BN$1+1)
)</f>
        <v>0</v>
      </c>
      <c r="BL78" s="1">
        <f t="shared" si="125"/>
        <v>0</v>
      </c>
      <c r="BM78" s="9">
        <f t="shared" si="126"/>
        <v>0</v>
      </c>
      <c r="BN78" s="10">
        <f t="shared" si="127"/>
        <v>0</v>
      </c>
      <c r="BO78" s="1">
        <f>SUMIFS(
  '[1]Hoja 1'!$M:$M,
  '[1]Hoja 1'!$S:$S, $A78,
  '[1]Hoja 1'!$R:$R, "&gt;="&amp;INT($BQ$1),
  '[1]Hoja 1'!$R:$R, "&lt;"&amp;INT($BR$1+1)
)</f>
        <v>0</v>
      </c>
      <c r="BP78" s="1">
        <f t="shared" si="128"/>
        <v>0</v>
      </c>
      <c r="BQ78" s="9">
        <f t="shared" si="129"/>
        <v>0</v>
      </c>
      <c r="BR78" s="10">
        <f t="shared" si="130"/>
        <v>0</v>
      </c>
      <c r="BS78" s="1">
        <f>SUMIFS(
  '[1]Hoja 1'!$M:$M,
  '[1]Hoja 1'!$S:$S, $A78,
  '[1]Hoja 1'!$R:$R, "&gt;="&amp;INT($BU$1),
  '[1]Hoja 1'!$R:$R, "&lt;"&amp;INT($BV$1+1)
)</f>
        <v>0</v>
      </c>
      <c r="BT78" s="1">
        <f t="shared" si="131"/>
        <v>0</v>
      </c>
      <c r="BU78" s="9">
        <f t="shared" si="132"/>
        <v>0</v>
      </c>
      <c r="BV78" s="10">
        <f t="shared" si="133"/>
        <v>0</v>
      </c>
      <c r="BW78" s="1">
        <f>SUMIFS(
  '[1]Hoja 1'!$M:$M,
  '[1]Hoja 1'!$S:$S, $A78,
  '[1]Hoja 1'!$R:$R, "&gt;="&amp;INT($BY$1),
  '[1]Hoja 1'!$R:$R, "&lt;"&amp;INT($BZ$1+1)
)</f>
        <v>0</v>
      </c>
      <c r="BX78" s="1">
        <f t="shared" si="134"/>
        <v>0</v>
      </c>
      <c r="BY78" s="9">
        <f t="shared" si="135"/>
        <v>0</v>
      </c>
      <c r="BZ78" s="10">
        <f t="shared" si="136"/>
        <v>0</v>
      </c>
      <c r="CA78" s="1">
        <f>SUMIFS(
  '[1]Hoja 1'!$M:$M,
  '[1]Hoja 1'!$S:$S, $A78,
  '[1]Hoja 1'!$R:$R, "&gt;="&amp;INT($CC$1),
  '[1]Hoja 1'!$R:$R, "&lt;"&amp;INT($CD$1+1)
)</f>
        <v>0</v>
      </c>
      <c r="CB78" s="1">
        <f t="shared" si="137"/>
        <v>0</v>
      </c>
      <c r="CC78" s="9">
        <f t="shared" si="138"/>
        <v>0</v>
      </c>
      <c r="CD78" s="10">
        <f t="shared" si="139"/>
        <v>0</v>
      </c>
      <c r="CE78" s="1">
        <f>SUMIFS(
  '[1]Hoja 1'!$M:$M,
  '[1]Hoja 1'!$S:$S, $A78,
  '[1]Hoja 1'!$R:$R, "&gt;="&amp;INT($CG$1),
  '[1]Hoja 1'!$R:$R, "&lt;"&amp;INT($CH$1+1)
)</f>
        <v>0</v>
      </c>
      <c r="CF78" s="1">
        <f t="shared" si="140"/>
        <v>0</v>
      </c>
      <c r="CG78" s="9">
        <f t="shared" si="141"/>
        <v>0</v>
      </c>
      <c r="CH78" s="10">
        <f t="shared" si="142"/>
        <v>0</v>
      </c>
      <c r="CI78" s="1">
        <f>SUMIFS(
  '[1]Hoja 1'!$M:$M,
  '[1]Hoja 1'!$S:$S, $A78,
  '[1]Hoja 1'!$R:$R, "&gt;="&amp;INT($CK$1),
  '[1]Hoja 1'!$R:$R, "&lt;"&amp;INT($CL$1+1)
)</f>
        <v>0</v>
      </c>
      <c r="CJ78" s="1">
        <f t="shared" si="143"/>
        <v>0</v>
      </c>
      <c r="CK78" s="9">
        <f t="shared" si="144"/>
        <v>0</v>
      </c>
      <c r="CL78" s="10">
        <f t="shared" si="145"/>
        <v>0</v>
      </c>
      <c r="CM78" s="1">
        <f>SUMIFS(
  '[1]Hoja 1'!$M:$M,
  '[1]Hoja 1'!$S:$S, $A78,
  '[1]Hoja 1'!$R:$R, "&gt;="&amp;INT($CO$1),
  '[1]Hoja 1'!$R:$R, "&lt;"&amp;INT($CP$1+1)
)</f>
        <v>0</v>
      </c>
      <c r="CN78" s="1">
        <f t="shared" si="146"/>
        <v>0</v>
      </c>
      <c r="CO78" s="9">
        <f t="shared" si="147"/>
        <v>0</v>
      </c>
      <c r="CP78" s="10">
        <f t="shared" si="148"/>
        <v>0</v>
      </c>
      <c r="CQ78" s="1">
        <f>SUMIFS(
  '[1]Hoja 1'!$M:$M,
  '[1]Hoja 1'!$S:$S, $A78,
  '[1]Hoja 1'!$R:$R, "&gt;="&amp;INT($CS$1),
  '[1]Hoja 1'!$R:$R, "&lt;"&amp;INT($CT$1+1)
)</f>
        <v>0</v>
      </c>
      <c r="CR78" s="1">
        <f t="shared" si="149"/>
        <v>0</v>
      </c>
      <c r="CS78" s="9">
        <f t="shared" si="150"/>
        <v>0</v>
      </c>
      <c r="CT78" s="10">
        <f t="shared" si="151"/>
        <v>0</v>
      </c>
      <c r="CU78" s="1">
        <f>SUMIFS(
  '[1]Hoja 1'!$M:$M,
  '[1]Hoja 1'!$S:$S, $A78,
  '[1]Hoja 1'!$R:$R, "&gt;="&amp;INT($CW$1),
  '[1]Hoja 1'!$R:$R, "&lt;"&amp;INT($CX$1+1)
)</f>
        <v>0</v>
      </c>
      <c r="CV78" s="1">
        <f t="shared" si="152"/>
        <v>0</v>
      </c>
      <c r="CW78" s="9">
        <f t="shared" si="153"/>
        <v>0</v>
      </c>
      <c r="CX78" s="10">
        <f t="shared" si="154"/>
        <v>0</v>
      </c>
      <c r="CY78" s="1">
        <f>SUMIFS(
  '[1]Hoja 1'!$M:$M,
  '[1]Hoja 1'!$S:$S, $A78,
  '[1]Hoja 1'!$R:$R, "&gt;="&amp;INT($DA$1),
  '[1]Hoja 1'!$R:$R, "&lt;"&amp;INT($DB$1+1)
)</f>
        <v>0</v>
      </c>
      <c r="CZ78" s="1">
        <f t="shared" si="155"/>
        <v>0</v>
      </c>
      <c r="DA78" s="9">
        <f t="shared" si="156"/>
        <v>0</v>
      </c>
      <c r="DB78" s="10">
        <f t="shared" si="157"/>
        <v>0</v>
      </c>
      <c r="DC78" s="1">
        <f>SUMIFS(
  '[1]Hoja 1'!$M:$M,
  '[1]Hoja 1'!$S:$S, $A78,
  '[1]Hoja 1'!$R:$R, "&gt;="&amp;INT($DE$1),
  '[1]Hoja 1'!$R:$R, "&lt;"&amp;INT($DF$1+1)
)</f>
        <v>0</v>
      </c>
      <c r="DD78" s="1">
        <f t="shared" si="158"/>
        <v>0</v>
      </c>
      <c r="DE78" s="9">
        <f t="shared" si="159"/>
        <v>0</v>
      </c>
      <c r="DF78" s="10">
        <f t="shared" si="160"/>
        <v>0</v>
      </c>
      <c r="DG78" s="1">
        <f>SUMIFS(
  '[1]Hoja 1'!$M:$M,
  '[1]Hoja 1'!$S:$S, $A78,
  '[1]Hoja 1'!$R:$R, "&gt;="&amp;INT($DI$1),
  '[1]Hoja 1'!$R:$R, "&lt;"&amp;INT($DJ$1+1)
)</f>
        <v>0</v>
      </c>
      <c r="DH78" s="1">
        <f t="shared" si="161"/>
        <v>0</v>
      </c>
      <c r="DI78" s="9">
        <f t="shared" si="162"/>
        <v>0</v>
      </c>
      <c r="DJ78" s="10">
        <f t="shared" si="163"/>
        <v>0</v>
      </c>
      <c r="DK78" s="1">
        <f>SUMIFS(
  '[1]Hoja 1'!$M:$M,
  '[1]Hoja 1'!$S:$S, $A78,
  '[1]Hoja 1'!$R:$R, "&gt;="&amp;INT($DM$1),
  '[1]Hoja 1'!$R:$R, "&lt;"&amp;INT($DN$1+1)
)</f>
        <v>0</v>
      </c>
      <c r="DL78" s="1">
        <f t="shared" si="164"/>
        <v>0</v>
      </c>
      <c r="DM78" s="9">
        <f t="shared" si="165"/>
        <v>0</v>
      </c>
      <c r="DN78" s="10">
        <f t="shared" si="166"/>
        <v>0</v>
      </c>
      <c r="DO78" s="1">
        <f>SUMIFS(
  '[1]Hoja 1'!$M:$M,
  '[1]Hoja 1'!$S:$S, $A78,
  '[1]Hoja 1'!$R:$R, "&gt;="&amp;INT($DQ$1),
  '[1]Hoja 1'!$R:$R, "&lt;"&amp;INT($DR$1+1)
)</f>
        <v>0</v>
      </c>
      <c r="DP78" s="1">
        <f t="shared" si="167"/>
        <v>0</v>
      </c>
      <c r="DQ78" s="9">
        <f t="shared" si="168"/>
        <v>0</v>
      </c>
      <c r="DR78" s="10">
        <f t="shared" si="169"/>
        <v>0</v>
      </c>
    </row>
    <row r="79" spans="1:122" x14ac:dyDescent="0.25">
      <c r="A79" s="5">
        <v>212002</v>
      </c>
      <c r="B79" s="6" t="s">
        <v>79</v>
      </c>
      <c r="C79" s="1">
        <f>SUMIFS(
  '[1]Hoja 1'!$M:$M,
  '[1]Hoja 1'!$S:$S, $A79,
  '[1]Hoja 1'!$R:$R, "&gt;="&amp;INT($E$1),
  '[1]Hoja 1'!$R:$R, "&lt;"&amp;INT($F$1+1)
)</f>
        <v>2</v>
      </c>
      <c r="D79" s="1" t="str">
        <f>""</f>
        <v/>
      </c>
      <c r="F79" s="2"/>
      <c r="G79" s="1">
        <f>SUMIFS(
  '[1]Hoja 1'!$M:$M,
  '[1]Hoja 1'!$S:$S, $A79,
  '[1]Hoja 1'!$R:$R, "&gt;="&amp;INT($I$1),
  '[1]Hoja 1'!$R:$R, "&lt;"&amp;INT($J$1+1)
)</f>
        <v>13</v>
      </c>
      <c r="H79" s="1">
        <f t="shared" si="85"/>
        <v>7.5</v>
      </c>
      <c r="I79" s="1"/>
      <c r="J79" s="2"/>
      <c r="K79" s="1">
        <f>SUMIFS(
  '[1]Hoja 1'!$M:$M,
  '[1]Hoja 1'!$S:$S, $A79,
  '[1]Hoja 1'!$R:$R, "&gt;="&amp;INT($M$1),
  '[1]Hoja 1'!$R:$R, "&lt;"&amp;INT($N$1+1)
)</f>
        <v>38</v>
      </c>
      <c r="L79" s="1">
        <f t="shared" si="86"/>
        <v>25.5</v>
      </c>
      <c r="M79" s="9">
        <f t="shared" si="87"/>
        <v>15.798494962120568</v>
      </c>
      <c r="N79" s="10">
        <f t="shared" si="88"/>
        <v>35.201505037879429</v>
      </c>
      <c r="O79" s="1">
        <f>SUMIFS(
  '[1]Hoja 1'!$M:$M,
  '[1]Hoja 1'!$S:$S, $A79,
  '[1]Hoja 1'!$R:$R, "&gt;="&amp;INT($Q$1),
  '[1]Hoja 1'!$R:$R, "&lt;"&amp;INT($R$1+1)
)</f>
        <v>8</v>
      </c>
      <c r="P79" s="1">
        <f t="shared" si="89"/>
        <v>23</v>
      </c>
      <c r="Q79" s="9">
        <f t="shared" si="90"/>
        <v>-2.5115476187946442</v>
      </c>
      <c r="R79" s="10">
        <f t="shared" si="91"/>
        <v>53.511547618794644</v>
      </c>
      <c r="S79" s="1">
        <f>SUMIFS(
  '[1]Hoja 1'!$M:$M,
  '[1]Hoja 1'!$S:$S, $A79,
  '[1]Hoja 1'!$R:$R, "&gt;="&amp;INT($U$1),
  '[1]Hoja 1'!$R:$R, "&lt;"&amp;INT($V$1+1)
)</f>
        <v>9</v>
      </c>
      <c r="T79" s="1">
        <f t="shared" si="92"/>
        <v>9</v>
      </c>
      <c r="U79" s="9">
        <f t="shared" si="93"/>
        <v>-13.876581183967737</v>
      </c>
      <c r="V79" s="10">
        <f t="shared" si="94"/>
        <v>31.876581183967737</v>
      </c>
      <c r="W79" s="1">
        <f>SUMIFS(
  '[1]Hoja 1'!$M:$M,
  '[1]Hoja 1'!$S:$S, $A79,
  '[1]Hoja 1'!$R:$R, "&gt;="&amp;INT($Y$1),
  '[1]Hoja 1'!$R:$R, "&lt;"&amp;INT($Z$1+1)
)</f>
        <v>14</v>
      </c>
      <c r="X79" s="1">
        <f t="shared" si="95"/>
        <v>12</v>
      </c>
      <c r="Y79" s="9">
        <f t="shared" si="96"/>
        <v>-10.281085401449065</v>
      </c>
      <c r="Z79" s="10">
        <f t="shared" si="97"/>
        <v>34.281085401449062</v>
      </c>
      <c r="AA79" s="1">
        <f>SUMIFS(
  '[1]Hoja 1'!$M:$M,
  '[1]Hoja 1'!$S:$S, $A79,
  '[1]Hoja 1'!$R:$R, "&gt;="&amp;INT($AC$1),
  '[1]Hoja 1'!$R:$R, "&lt;"&amp;INT($AD$1+1)
)</f>
        <v>17</v>
      </c>
      <c r="AB79" s="1">
        <f t="shared" si="98"/>
        <v>16</v>
      </c>
      <c r="AC79" s="9">
        <f t="shared" si="99"/>
        <v>1.7410841926884224</v>
      </c>
      <c r="AD79" s="10">
        <f t="shared" si="100"/>
        <v>32.248998943524697</v>
      </c>
      <c r="AE79" s="1">
        <f>SUMIFS(
  '[1]Hoja 1'!$M:$M,
  '[1]Hoja 1'!$S:$S, $A79,
  '[1]Hoja 1'!$R:$R, "&gt;="&amp;INT($AG$1),
  '[1]Hoja 1'!$R:$R, "&lt;"&amp;INT($AH$1+1)
)</f>
        <v>0</v>
      </c>
      <c r="AF79" s="1">
        <f t="shared" si="101"/>
        <v>9</v>
      </c>
      <c r="AG79" s="9">
        <f t="shared" si="102"/>
        <v>0.35597778808962133</v>
      </c>
      <c r="AH79" s="10">
        <f t="shared" si="103"/>
        <v>18.929806980332835</v>
      </c>
      <c r="AI79" s="1">
        <f>SUMIFS(
  '[1]Hoja 1'!$M:$M,
  '[1]Hoja 1'!$S:$S, $A79,
  '[1]Hoja 1'!$R:$R, "&gt;="&amp;INT($AK$1),
  '[1]Hoja 1'!$R:$R, "&lt;"&amp;INT($AL$1+1)
)</f>
        <v>0</v>
      </c>
      <c r="AJ79" s="1">
        <f t="shared" si="104"/>
        <v>0</v>
      </c>
      <c r="AK79" s="9">
        <f t="shared" si="105"/>
        <v>-8.5826965459580364</v>
      </c>
      <c r="AL79" s="10">
        <f t="shared" si="106"/>
        <v>9.8448142017341631</v>
      </c>
      <c r="AM79" s="1">
        <f>SUMIFS(
  '[1]Hoja 1'!$M:$M,
  '[1]Hoja 1'!$S:$S, $A79,
  '[1]Hoja 1'!$R:$R, "&gt;="&amp;INT($AO$1),
  '[1]Hoja 1'!$R:$R, "&lt;"&amp;INT($AP$1+1)
)</f>
        <v>0</v>
      </c>
      <c r="AN79" s="1">
        <f t="shared" si="107"/>
        <v>0</v>
      </c>
      <c r="AO79" s="9">
        <f t="shared" si="108"/>
        <v>-7.8827584004585605</v>
      </c>
      <c r="AP79" s="10">
        <f t="shared" si="109"/>
        <v>8.9282249075614128</v>
      </c>
      <c r="AQ79" s="1">
        <f>SUMIFS(
  '[1]Hoja 1'!$M:$M,
  '[1]Hoja 1'!$S:$S, $A79,
  '[1]Hoja 1'!$R:$R, "&gt;="&amp;INT($AS$1),
  '[1]Hoja 1'!$R:$R, "&lt;"&amp;INT($AT$1+1)
)</f>
        <v>0</v>
      </c>
      <c r="AR79" s="1">
        <f t="shared" si="110"/>
        <v>0</v>
      </c>
      <c r="AS79" s="9">
        <f t="shared" si="111"/>
        <v>-7.4505785010292991</v>
      </c>
      <c r="AT79" s="10">
        <f t="shared" si="112"/>
        <v>8.33</v>
      </c>
      <c r="AU79" s="1">
        <f>SUMIFS(
  '[1]Hoja 1'!$M:$M,
  '[1]Hoja 1'!$S:$S, $A79,
  '[1]Hoja 1'!$R:$R, "&gt;="&amp;INT($AW$1),
  '[1]Hoja 1'!$R:$R, "&lt;"&amp;INT($AX$1+1)
)</f>
        <v>0</v>
      </c>
      <c r="AV79" s="1">
        <f t="shared" si="113"/>
        <v>0</v>
      </c>
      <c r="AW79" s="9">
        <f t="shared" si="114"/>
        <v>0</v>
      </c>
      <c r="AX79" s="10">
        <f t="shared" si="115"/>
        <v>0</v>
      </c>
      <c r="AY79" s="1">
        <f>SUMIFS(
  '[1]Hoja 1'!$M:$M,
  '[1]Hoja 1'!$S:$S, $A79,
  '[1]Hoja 1'!$R:$R, "&gt;="&amp;INT($BA$1),
  '[1]Hoja 1'!$R:$R, "&lt;"&amp;INT($BB$1+1)
)</f>
        <v>0</v>
      </c>
      <c r="AZ79" s="1">
        <f t="shared" si="116"/>
        <v>0</v>
      </c>
      <c r="BA79" s="9">
        <f t="shared" si="117"/>
        <v>0</v>
      </c>
      <c r="BB79" s="10">
        <f t="shared" si="118"/>
        <v>0</v>
      </c>
      <c r="BC79" s="1">
        <f>SUMIFS(
  '[1]Hoja 1'!$M:$M,
  '[1]Hoja 1'!$S:$S, $A79,
  '[1]Hoja 1'!$R:$R, "&gt;="&amp;INT($BE$1),
  '[1]Hoja 1'!$R:$R, "&lt;"&amp;INT($BF$1+1)
)</f>
        <v>0</v>
      </c>
      <c r="BD79" s="1">
        <f t="shared" si="119"/>
        <v>0</v>
      </c>
      <c r="BE79" s="9">
        <f t="shared" si="120"/>
        <v>0</v>
      </c>
      <c r="BF79" s="10">
        <f t="shared" si="121"/>
        <v>0</v>
      </c>
      <c r="BG79" s="1">
        <f>SUMIFS(
  '[1]Hoja 1'!$M:$M,
  '[1]Hoja 1'!$S:$S, $A79,
  '[1]Hoja 1'!$R:$R, "&gt;="&amp;INT($BI$1),
  '[1]Hoja 1'!$R:$R, "&lt;"&amp;INT($BJ$1+1)
)</f>
        <v>0</v>
      </c>
      <c r="BH79" s="1">
        <f t="shared" si="122"/>
        <v>0</v>
      </c>
      <c r="BI79" s="9">
        <f t="shared" si="123"/>
        <v>0</v>
      </c>
      <c r="BJ79" s="10">
        <f t="shared" si="124"/>
        <v>0</v>
      </c>
      <c r="BK79" s="1">
        <f>SUMIFS(
  '[1]Hoja 1'!$M:$M,
  '[1]Hoja 1'!$S:$S, $A79,
  '[1]Hoja 1'!$R:$R, "&gt;="&amp;INT($BM$1),
  '[1]Hoja 1'!$R:$R, "&lt;"&amp;INT($BN$1+1)
)</f>
        <v>0</v>
      </c>
      <c r="BL79" s="1">
        <f t="shared" si="125"/>
        <v>0</v>
      </c>
      <c r="BM79" s="9">
        <f t="shared" si="126"/>
        <v>0</v>
      </c>
      <c r="BN79" s="10">
        <f t="shared" si="127"/>
        <v>0</v>
      </c>
      <c r="BO79" s="1">
        <f>SUMIFS(
  '[1]Hoja 1'!$M:$M,
  '[1]Hoja 1'!$S:$S, $A79,
  '[1]Hoja 1'!$R:$R, "&gt;="&amp;INT($BQ$1),
  '[1]Hoja 1'!$R:$R, "&lt;"&amp;INT($BR$1+1)
)</f>
        <v>0</v>
      </c>
      <c r="BP79" s="1">
        <f t="shared" si="128"/>
        <v>0</v>
      </c>
      <c r="BQ79" s="9">
        <f t="shared" si="129"/>
        <v>0</v>
      </c>
      <c r="BR79" s="10">
        <f t="shared" si="130"/>
        <v>0</v>
      </c>
      <c r="BS79" s="1">
        <f>SUMIFS(
  '[1]Hoja 1'!$M:$M,
  '[1]Hoja 1'!$S:$S, $A79,
  '[1]Hoja 1'!$R:$R, "&gt;="&amp;INT($BU$1),
  '[1]Hoja 1'!$R:$R, "&lt;"&amp;INT($BV$1+1)
)</f>
        <v>0</v>
      </c>
      <c r="BT79" s="1">
        <f t="shared" si="131"/>
        <v>0</v>
      </c>
      <c r="BU79" s="9">
        <f t="shared" si="132"/>
        <v>0</v>
      </c>
      <c r="BV79" s="10">
        <f t="shared" si="133"/>
        <v>0</v>
      </c>
      <c r="BW79" s="1">
        <f>SUMIFS(
  '[1]Hoja 1'!$M:$M,
  '[1]Hoja 1'!$S:$S, $A79,
  '[1]Hoja 1'!$R:$R, "&gt;="&amp;INT($BY$1),
  '[1]Hoja 1'!$R:$R, "&lt;"&amp;INT($BZ$1+1)
)</f>
        <v>0</v>
      </c>
      <c r="BX79" s="1">
        <f t="shared" si="134"/>
        <v>0</v>
      </c>
      <c r="BY79" s="9">
        <f t="shared" si="135"/>
        <v>0</v>
      </c>
      <c r="BZ79" s="10">
        <f t="shared" si="136"/>
        <v>0</v>
      </c>
      <c r="CA79" s="1">
        <f>SUMIFS(
  '[1]Hoja 1'!$M:$M,
  '[1]Hoja 1'!$S:$S, $A79,
  '[1]Hoja 1'!$R:$R, "&gt;="&amp;INT($CC$1),
  '[1]Hoja 1'!$R:$R, "&lt;"&amp;INT($CD$1+1)
)</f>
        <v>0</v>
      </c>
      <c r="CB79" s="1">
        <f t="shared" si="137"/>
        <v>0</v>
      </c>
      <c r="CC79" s="9">
        <f t="shared" si="138"/>
        <v>0</v>
      </c>
      <c r="CD79" s="10">
        <f t="shared" si="139"/>
        <v>0</v>
      </c>
      <c r="CE79" s="1">
        <f>SUMIFS(
  '[1]Hoja 1'!$M:$M,
  '[1]Hoja 1'!$S:$S, $A79,
  '[1]Hoja 1'!$R:$R, "&gt;="&amp;INT($CG$1),
  '[1]Hoja 1'!$R:$R, "&lt;"&amp;INT($CH$1+1)
)</f>
        <v>0</v>
      </c>
      <c r="CF79" s="1">
        <f t="shared" si="140"/>
        <v>0</v>
      </c>
      <c r="CG79" s="9">
        <f t="shared" si="141"/>
        <v>0</v>
      </c>
      <c r="CH79" s="10">
        <f t="shared" si="142"/>
        <v>0</v>
      </c>
      <c r="CI79" s="1">
        <f>SUMIFS(
  '[1]Hoja 1'!$M:$M,
  '[1]Hoja 1'!$S:$S, $A79,
  '[1]Hoja 1'!$R:$R, "&gt;="&amp;INT($CK$1),
  '[1]Hoja 1'!$R:$R, "&lt;"&amp;INT($CL$1+1)
)</f>
        <v>0</v>
      </c>
      <c r="CJ79" s="1">
        <f t="shared" si="143"/>
        <v>0</v>
      </c>
      <c r="CK79" s="9">
        <f t="shared" si="144"/>
        <v>0</v>
      </c>
      <c r="CL79" s="10">
        <f t="shared" si="145"/>
        <v>0</v>
      </c>
      <c r="CM79" s="1">
        <f>SUMIFS(
  '[1]Hoja 1'!$M:$M,
  '[1]Hoja 1'!$S:$S, $A79,
  '[1]Hoja 1'!$R:$R, "&gt;="&amp;INT($CO$1),
  '[1]Hoja 1'!$R:$R, "&lt;"&amp;INT($CP$1+1)
)</f>
        <v>0</v>
      </c>
      <c r="CN79" s="1">
        <f t="shared" si="146"/>
        <v>0</v>
      </c>
      <c r="CO79" s="9">
        <f t="shared" si="147"/>
        <v>0</v>
      </c>
      <c r="CP79" s="10">
        <f t="shared" si="148"/>
        <v>0</v>
      </c>
      <c r="CQ79" s="1">
        <f>SUMIFS(
  '[1]Hoja 1'!$M:$M,
  '[1]Hoja 1'!$S:$S, $A79,
  '[1]Hoja 1'!$R:$R, "&gt;="&amp;INT($CS$1),
  '[1]Hoja 1'!$R:$R, "&lt;"&amp;INT($CT$1+1)
)</f>
        <v>0</v>
      </c>
      <c r="CR79" s="1">
        <f t="shared" si="149"/>
        <v>0</v>
      </c>
      <c r="CS79" s="9">
        <f t="shared" si="150"/>
        <v>0</v>
      </c>
      <c r="CT79" s="10">
        <f t="shared" si="151"/>
        <v>0</v>
      </c>
      <c r="CU79" s="1">
        <f>SUMIFS(
  '[1]Hoja 1'!$M:$M,
  '[1]Hoja 1'!$S:$S, $A79,
  '[1]Hoja 1'!$R:$R, "&gt;="&amp;INT($CW$1),
  '[1]Hoja 1'!$R:$R, "&lt;"&amp;INT($CX$1+1)
)</f>
        <v>0</v>
      </c>
      <c r="CV79" s="1">
        <f t="shared" si="152"/>
        <v>0</v>
      </c>
      <c r="CW79" s="9">
        <f t="shared" si="153"/>
        <v>0</v>
      </c>
      <c r="CX79" s="10">
        <f t="shared" si="154"/>
        <v>0</v>
      </c>
      <c r="CY79" s="1">
        <f>SUMIFS(
  '[1]Hoja 1'!$M:$M,
  '[1]Hoja 1'!$S:$S, $A79,
  '[1]Hoja 1'!$R:$R, "&gt;="&amp;INT($DA$1),
  '[1]Hoja 1'!$R:$R, "&lt;"&amp;INT($DB$1+1)
)</f>
        <v>0</v>
      </c>
      <c r="CZ79" s="1">
        <f t="shared" si="155"/>
        <v>0</v>
      </c>
      <c r="DA79" s="9">
        <f t="shared" si="156"/>
        <v>0</v>
      </c>
      <c r="DB79" s="10">
        <f t="shared" si="157"/>
        <v>0</v>
      </c>
      <c r="DC79" s="1">
        <f>SUMIFS(
  '[1]Hoja 1'!$M:$M,
  '[1]Hoja 1'!$S:$S, $A79,
  '[1]Hoja 1'!$R:$R, "&gt;="&amp;INT($DE$1),
  '[1]Hoja 1'!$R:$R, "&lt;"&amp;INT($DF$1+1)
)</f>
        <v>0</v>
      </c>
      <c r="DD79" s="1">
        <f t="shared" si="158"/>
        <v>0</v>
      </c>
      <c r="DE79" s="9">
        <f t="shared" si="159"/>
        <v>0</v>
      </c>
      <c r="DF79" s="10">
        <f t="shared" si="160"/>
        <v>0</v>
      </c>
      <c r="DG79" s="1">
        <f>SUMIFS(
  '[1]Hoja 1'!$M:$M,
  '[1]Hoja 1'!$S:$S, $A79,
  '[1]Hoja 1'!$R:$R, "&gt;="&amp;INT($DI$1),
  '[1]Hoja 1'!$R:$R, "&lt;"&amp;INT($DJ$1+1)
)</f>
        <v>0</v>
      </c>
      <c r="DH79" s="1">
        <f t="shared" si="161"/>
        <v>0</v>
      </c>
      <c r="DI79" s="9">
        <f t="shared" si="162"/>
        <v>0</v>
      </c>
      <c r="DJ79" s="10">
        <f t="shared" si="163"/>
        <v>0</v>
      </c>
      <c r="DK79" s="1">
        <f>SUMIFS(
  '[1]Hoja 1'!$M:$M,
  '[1]Hoja 1'!$S:$S, $A79,
  '[1]Hoja 1'!$R:$R, "&gt;="&amp;INT($DM$1),
  '[1]Hoja 1'!$R:$R, "&lt;"&amp;INT($DN$1+1)
)</f>
        <v>0</v>
      </c>
      <c r="DL79" s="1">
        <f t="shared" si="164"/>
        <v>0</v>
      </c>
      <c r="DM79" s="9">
        <f t="shared" si="165"/>
        <v>0</v>
      </c>
      <c r="DN79" s="10">
        <f t="shared" si="166"/>
        <v>0</v>
      </c>
      <c r="DO79" s="1">
        <f>SUMIFS(
  '[1]Hoja 1'!$M:$M,
  '[1]Hoja 1'!$S:$S, $A79,
  '[1]Hoja 1'!$R:$R, "&gt;="&amp;INT($DQ$1),
  '[1]Hoja 1'!$R:$R, "&lt;"&amp;INT($DR$1+1)
)</f>
        <v>0</v>
      </c>
      <c r="DP79" s="1">
        <f t="shared" si="167"/>
        <v>0</v>
      </c>
      <c r="DQ79" s="9">
        <f t="shared" si="168"/>
        <v>0</v>
      </c>
      <c r="DR79" s="10">
        <f t="shared" si="169"/>
        <v>0</v>
      </c>
    </row>
    <row r="80" spans="1:122" x14ac:dyDescent="0.25">
      <c r="A80" s="5">
        <v>212010</v>
      </c>
      <c r="B80" s="6" t="s">
        <v>80</v>
      </c>
      <c r="C80" s="1">
        <f>SUMIFS(
  '[1]Hoja 1'!$M:$M,
  '[1]Hoja 1'!$S:$S, $A80,
  '[1]Hoja 1'!$R:$R, "&gt;="&amp;INT($E$1),
  '[1]Hoja 1'!$R:$R, "&lt;"&amp;INT($F$1+1)
)</f>
        <v>24</v>
      </c>
      <c r="D80" s="1" t="str">
        <f>""</f>
        <v/>
      </c>
      <c r="F80" s="2"/>
      <c r="G80" s="1">
        <f>SUMIFS(
  '[1]Hoja 1'!$M:$M,
  '[1]Hoja 1'!$S:$S, $A80,
  '[1]Hoja 1'!$R:$R, "&gt;="&amp;INT($I$1),
  '[1]Hoja 1'!$R:$R, "&lt;"&amp;INT($J$1+1)
)</f>
        <v>20</v>
      </c>
      <c r="H80" s="1">
        <f t="shared" si="85"/>
        <v>22</v>
      </c>
      <c r="I80" s="1"/>
      <c r="J80" s="2"/>
      <c r="K80" s="1">
        <f>SUMIFS(
  '[1]Hoja 1'!$M:$M,
  '[1]Hoja 1'!$S:$S, $A80,
  '[1]Hoja 1'!$R:$R, "&gt;="&amp;INT($M$1),
  '[1]Hoja 1'!$R:$R, "&lt;"&amp;INT($N$1+1)
)</f>
        <v>16</v>
      </c>
      <c r="L80" s="1">
        <f t="shared" si="86"/>
        <v>18</v>
      </c>
      <c r="M80" s="9">
        <f t="shared" si="87"/>
        <v>18</v>
      </c>
      <c r="N80" s="10">
        <f t="shared" si="88"/>
        <v>18</v>
      </c>
      <c r="O80" s="1">
        <f>SUMIFS(
  '[1]Hoja 1'!$M:$M,
  '[1]Hoja 1'!$S:$S, $A80,
  '[1]Hoja 1'!$R:$R, "&gt;="&amp;INT($Q$1),
  '[1]Hoja 1'!$R:$R, "&lt;"&amp;INT($R$1+1)
)</f>
        <v>66</v>
      </c>
      <c r="P80" s="1">
        <f t="shared" si="89"/>
        <v>41</v>
      </c>
      <c r="Q80" s="9">
        <f t="shared" si="90"/>
        <v>-12.553376245514997</v>
      </c>
      <c r="R80" s="10">
        <f t="shared" si="91"/>
        <v>48.553376245514997</v>
      </c>
      <c r="S80" s="1">
        <f>SUMIFS(
  '[1]Hoja 1'!$M:$M,
  '[1]Hoja 1'!$S:$S, $A80,
  '[1]Hoja 1'!$R:$R, "&gt;="&amp;INT($U$1),
  '[1]Hoja 1'!$R:$R, "&lt;"&amp;INT($V$1+1)
)</f>
        <v>76</v>
      </c>
      <c r="T80" s="1">
        <f t="shared" si="92"/>
        <v>71</v>
      </c>
      <c r="U80" s="9">
        <f t="shared" si="93"/>
        <v>45.976395143784742</v>
      </c>
      <c r="V80" s="10">
        <f t="shared" si="94"/>
        <v>96.023604856215258</v>
      </c>
      <c r="W80" s="1">
        <f>SUMIFS(
  '[1]Hoja 1'!$M:$M,
  '[1]Hoja 1'!$S:$S, $A80,
  '[1]Hoja 1'!$R:$R, "&gt;="&amp;INT($Y$1),
  '[1]Hoja 1'!$R:$R, "&lt;"&amp;INT($Z$1+1)
)</f>
        <v>34</v>
      </c>
      <c r="X80" s="1">
        <f t="shared" si="95"/>
        <v>55</v>
      </c>
      <c r="Y80" s="9">
        <f t="shared" si="96"/>
        <v>17.764298493694696</v>
      </c>
      <c r="Z80" s="10">
        <f t="shared" si="97"/>
        <v>92.235701506305304</v>
      </c>
      <c r="AA80" s="1">
        <f>SUMIFS(
  '[1]Hoja 1'!$M:$M,
  '[1]Hoja 1'!$S:$S, $A80,
  '[1]Hoja 1'!$R:$R, "&gt;="&amp;INT($AC$1),
  '[1]Hoja 1'!$R:$R, "&lt;"&amp;INT($AD$1+1)
)</f>
        <v>58</v>
      </c>
      <c r="AB80" s="1">
        <f t="shared" si="98"/>
        <v>46</v>
      </c>
      <c r="AC80" s="9">
        <f t="shared" si="99"/>
        <v>12.812853090390554</v>
      </c>
      <c r="AD80" s="10">
        <f t="shared" si="100"/>
        <v>83.951019309982527</v>
      </c>
      <c r="AE80" s="1">
        <f>SUMIFS(
  '[1]Hoja 1'!$M:$M,
  '[1]Hoja 1'!$S:$S, $A80,
  '[1]Hoja 1'!$R:$R, "&gt;="&amp;INT($AG$1),
  '[1]Hoja 1'!$R:$R, "&lt;"&amp;INT($AH$1+1)
)</f>
        <v>0</v>
      </c>
      <c r="AF80" s="1">
        <f t="shared" si="101"/>
        <v>29</v>
      </c>
      <c r="AG80" s="9">
        <f t="shared" si="102"/>
        <v>-5.4146085260315004</v>
      </c>
      <c r="AH80" s="10">
        <f t="shared" si="103"/>
        <v>67.851366342339446</v>
      </c>
      <c r="AI80" s="1">
        <f>SUMIFS(
  '[1]Hoja 1'!$M:$M,
  '[1]Hoja 1'!$S:$S, $A80,
  '[1]Hoja 1'!$R:$R, "&gt;="&amp;INT($AK$1),
  '[1]Hoja 1'!$R:$R, "&lt;"&amp;INT($AL$1+1)
)</f>
        <v>0</v>
      </c>
      <c r="AJ80" s="1">
        <f t="shared" si="104"/>
        <v>0</v>
      </c>
      <c r="AK80" s="9">
        <f t="shared" si="105"/>
        <v>-33.047948196521972</v>
      </c>
      <c r="AL80" s="10">
        <f t="shared" si="106"/>
        <v>36.929229615576872</v>
      </c>
      <c r="AM80" s="1">
        <f>SUMIFS(
  '[1]Hoja 1'!$M:$M,
  '[1]Hoja 1'!$S:$S, $A80,
  '[1]Hoja 1'!$R:$R, "&gt;="&amp;INT($AO$1),
  '[1]Hoja 1'!$R:$R, "&lt;"&amp;INT($AP$1+1)
)</f>
        <v>0</v>
      </c>
      <c r="AN80" s="1">
        <f t="shared" si="107"/>
        <v>0</v>
      </c>
      <c r="AO80" s="9">
        <f t="shared" si="108"/>
        <v>-29.840959770087824</v>
      </c>
      <c r="AP80" s="10">
        <f t="shared" si="109"/>
        <v>34.187816543324324</v>
      </c>
      <c r="AQ80" s="1">
        <f>SUMIFS(
  '[1]Hoja 1'!$M:$M,
  '[1]Hoja 1'!$S:$S, $A80,
  '[1]Hoja 1'!$R:$R, "&gt;="&amp;INT($AS$1),
  '[1]Hoja 1'!$R:$R, "&lt;"&amp;INT($AT$1+1)
)</f>
        <v>0</v>
      </c>
      <c r="AR80" s="1">
        <f t="shared" si="110"/>
        <v>0</v>
      </c>
      <c r="AS80" s="9">
        <f t="shared" si="111"/>
        <v>-25.419620768217609</v>
      </c>
      <c r="AT80" s="10">
        <f t="shared" si="112"/>
        <v>28.419999999999998</v>
      </c>
      <c r="AU80" s="1">
        <f>SUMIFS(
  '[1]Hoja 1'!$M:$M,
  '[1]Hoja 1'!$S:$S, $A80,
  '[1]Hoja 1'!$R:$R, "&gt;="&amp;INT($AW$1),
  '[1]Hoja 1'!$R:$R, "&lt;"&amp;INT($AX$1+1)
)</f>
        <v>0</v>
      </c>
      <c r="AV80" s="1">
        <f t="shared" si="113"/>
        <v>0</v>
      </c>
      <c r="AW80" s="9">
        <f t="shared" si="114"/>
        <v>0</v>
      </c>
      <c r="AX80" s="10">
        <f t="shared" si="115"/>
        <v>0</v>
      </c>
      <c r="AY80" s="1">
        <f>SUMIFS(
  '[1]Hoja 1'!$M:$M,
  '[1]Hoja 1'!$S:$S, $A80,
  '[1]Hoja 1'!$R:$R, "&gt;="&amp;INT($BA$1),
  '[1]Hoja 1'!$R:$R, "&lt;"&amp;INT($BB$1+1)
)</f>
        <v>0</v>
      </c>
      <c r="AZ80" s="1">
        <f t="shared" si="116"/>
        <v>0</v>
      </c>
      <c r="BA80" s="9">
        <f t="shared" si="117"/>
        <v>0</v>
      </c>
      <c r="BB80" s="10">
        <f t="shared" si="118"/>
        <v>0</v>
      </c>
      <c r="BC80" s="1">
        <f>SUMIFS(
  '[1]Hoja 1'!$M:$M,
  '[1]Hoja 1'!$S:$S, $A80,
  '[1]Hoja 1'!$R:$R, "&gt;="&amp;INT($BE$1),
  '[1]Hoja 1'!$R:$R, "&lt;"&amp;INT($BF$1+1)
)</f>
        <v>0</v>
      </c>
      <c r="BD80" s="1">
        <f t="shared" si="119"/>
        <v>0</v>
      </c>
      <c r="BE80" s="9">
        <f t="shared" si="120"/>
        <v>0</v>
      </c>
      <c r="BF80" s="10">
        <f t="shared" si="121"/>
        <v>0</v>
      </c>
      <c r="BG80" s="1">
        <f>SUMIFS(
  '[1]Hoja 1'!$M:$M,
  '[1]Hoja 1'!$S:$S, $A80,
  '[1]Hoja 1'!$R:$R, "&gt;="&amp;INT($BI$1),
  '[1]Hoja 1'!$R:$R, "&lt;"&amp;INT($BJ$1+1)
)</f>
        <v>0</v>
      </c>
      <c r="BH80" s="1">
        <f t="shared" si="122"/>
        <v>0</v>
      </c>
      <c r="BI80" s="9">
        <f t="shared" si="123"/>
        <v>0</v>
      </c>
      <c r="BJ80" s="10">
        <f t="shared" si="124"/>
        <v>0</v>
      </c>
      <c r="BK80" s="1">
        <f>SUMIFS(
  '[1]Hoja 1'!$M:$M,
  '[1]Hoja 1'!$S:$S, $A80,
  '[1]Hoja 1'!$R:$R, "&gt;="&amp;INT($BM$1),
  '[1]Hoja 1'!$R:$R, "&lt;"&amp;INT($BN$1+1)
)</f>
        <v>0</v>
      </c>
      <c r="BL80" s="1">
        <f t="shared" si="125"/>
        <v>0</v>
      </c>
      <c r="BM80" s="9">
        <f t="shared" si="126"/>
        <v>0</v>
      </c>
      <c r="BN80" s="10">
        <f t="shared" si="127"/>
        <v>0</v>
      </c>
      <c r="BO80" s="1">
        <f>SUMIFS(
  '[1]Hoja 1'!$M:$M,
  '[1]Hoja 1'!$S:$S, $A80,
  '[1]Hoja 1'!$R:$R, "&gt;="&amp;INT($BQ$1),
  '[1]Hoja 1'!$R:$R, "&lt;"&amp;INT($BR$1+1)
)</f>
        <v>0</v>
      </c>
      <c r="BP80" s="1">
        <f t="shared" si="128"/>
        <v>0</v>
      </c>
      <c r="BQ80" s="9">
        <f t="shared" si="129"/>
        <v>0</v>
      </c>
      <c r="BR80" s="10">
        <f t="shared" si="130"/>
        <v>0</v>
      </c>
      <c r="BS80" s="1">
        <f>SUMIFS(
  '[1]Hoja 1'!$M:$M,
  '[1]Hoja 1'!$S:$S, $A80,
  '[1]Hoja 1'!$R:$R, "&gt;="&amp;INT($BU$1),
  '[1]Hoja 1'!$R:$R, "&lt;"&amp;INT($BV$1+1)
)</f>
        <v>0</v>
      </c>
      <c r="BT80" s="1">
        <f t="shared" si="131"/>
        <v>0</v>
      </c>
      <c r="BU80" s="9">
        <f t="shared" si="132"/>
        <v>0</v>
      </c>
      <c r="BV80" s="10">
        <f t="shared" si="133"/>
        <v>0</v>
      </c>
      <c r="BW80" s="1">
        <f>SUMIFS(
  '[1]Hoja 1'!$M:$M,
  '[1]Hoja 1'!$S:$S, $A80,
  '[1]Hoja 1'!$R:$R, "&gt;="&amp;INT($BY$1),
  '[1]Hoja 1'!$R:$R, "&lt;"&amp;INT($BZ$1+1)
)</f>
        <v>0</v>
      </c>
      <c r="BX80" s="1">
        <f t="shared" si="134"/>
        <v>0</v>
      </c>
      <c r="BY80" s="9">
        <f t="shared" si="135"/>
        <v>0</v>
      </c>
      <c r="BZ80" s="10">
        <f t="shared" si="136"/>
        <v>0</v>
      </c>
      <c r="CA80" s="1">
        <f>SUMIFS(
  '[1]Hoja 1'!$M:$M,
  '[1]Hoja 1'!$S:$S, $A80,
  '[1]Hoja 1'!$R:$R, "&gt;="&amp;INT($CC$1),
  '[1]Hoja 1'!$R:$R, "&lt;"&amp;INT($CD$1+1)
)</f>
        <v>0</v>
      </c>
      <c r="CB80" s="1">
        <f t="shared" si="137"/>
        <v>0</v>
      </c>
      <c r="CC80" s="9">
        <f t="shared" si="138"/>
        <v>0</v>
      </c>
      <c r="CD80" s="10">
        <f t="shared" si="139"/>
        <v>0</v>
      </c>
      <c r="CE80" s="1">
        <f>SUMIFS(
  '[1]Hoja 1'!$M:$M,
  '[1]Hoja 1'!$S:$S, $A80,
  '[1]Hoja 1'!$R:$R, "&gt;="&amp;INT($CG$1),
  '[1]Hoja 1'!$R:$R, "&lt;"&amp;INT($CH$1+1)
)</f>
        <v>0</v>
      </c>
      <c r="CF80" s="1">
        <f t="shared" si="140"/>
        <v>0</v>
      </c>
      <c r="CG80" s="9">
        <f t="shared" si="141"/>
        <v>0</v>
      </c>
      <c r="CH80" s="10">
        <f t="shared" si="142"/>
        <v>0</v>
      </c>
      <c r="CI80" s="1">
        <f>SUMIFS(
  '[1]Hoja 1'!$M:$M,
  '[1]Hoja 1'!$S:$S, $A80,
  '[1]Hoja 1'!$R:$R, "&gt;="&amp;INT($CK$1),
  '[1]Hoja 1'!$R:$R, "&lt;"&amp;INT($CL$1+1)
)</f>
        <v>0</v>
      </c>
      <c r="CJ80" s="1">
        <f t="shared" si="143"/>
        <v>0</v>
      </c>
      <c r="CK80" s="9">
        <f t="shared" si="144"/>
        <v>0</v>
      </c>
      <c r="CL80" s="10">
        <f t="shared" si="145"/>
        <v>0</v>
      </c>
      <c r="CM80" s="1">
        <f>SUMIFS(
  '[1]Hoja 1'!$M:$M,
  '[1]Hoja 1'!$S:$S, $A80,
  '[1]Hoja 1'!$R:$R, "&gt;="&amp;INT($CO$1),
  '[1]Hoja 1'!$R:$R, "&lt;"&amp;INT($CP$1+1)
)</f>
        <v>0</v>
      </c>
      <c r="CN80" s="1">
        <f t="shared" si="146"/>
        <v>0</v>
      </c>
      <c r="CO80" s="9">
        <f t="shared" si="147"/>
        <v>0</v>
      </c>
      <c r="CP80" s="10">
        <f t="shared" si="148"/>
        <v>0</v>
      </c>
      <c r="CQ80" s="1">
        <f>SUMIFS(
  '[1]Hoja 1'!$M:$M,
  '[1]Hoja 1'!$S:$S, $A80,
  '[1]Hoja 1'!$R:$R, "&gt;="&amp;INT($CS$1),
  '[1]Hoja 1'!$R:$R, "&lt;"&amp;INT($CT$1+1)
)</f>
        <v>0</v>
      </c>
      <c r="CR80" s="1">
        <f t="shared" si="149"/>
        <v>0</v>
      </c>
      <c r="CS80" s="9">
        <f t="shared" si="150"/>
        <v>0</v>
      </c>
      <c r="CT80" s="10">
        <f t="shared" si="151"/>
        <v>0</v>
      </c>
      <c r="CU80" s="1">
        <f>SUMIFS(
  '[1]Hoja 1'!$M:$M,
  '[1]Hoja 1'!$S:$S, $A80,
  '[1]Hoja 1'!$R:$R, "&gt;="&amp;INT($CW$1),
  '[1]Hoja 1'!$R:$R, "&lt;"&amp;INT($CX$1+1)
)</f>
        <v>0</v>
      </c>
      <c r="CV80" s="1">
        <f t="shared" si="152"/>
        <v>0</v>
      </c>
      <c r="CW80" s="9">
        <f t="shared" si="153"/>
        <v>0</v>
      </c>
      <c r="CX80" s="10">
        <f t="shared" si="154"/>
        <v>0</v>
      </c>
      <c r="CY80" s="1">
        <f>SUMIFS(
  '[1]Hoja 1'!$M:$M,
  '[1]Hoja 1'!$S:$S, $A80,
  '[1]Hoja 1'!$R:$R, "&gt;="&amp;INT($DA$1),
  '[1]Hoja 1'!$R:$R, "&lt;"&amp;INT($DB$1+1)
)</f>
        <v>0</v>
      </c>
      <c r="CZ80" s="1">
        <f t="shared" si="155"/>
        <v>0</v>
      </c>
      <c r="DA80" s="9">
        <f t="shared" si="156"/>
        <v>0</v>
      </c>
      <c r="DB80" s="10">
        <f t="shared" si="157"/>
        <v>0</v>
      </c>
      <c r="DC80" s="1">
        <f>SUMIFS(
  '[1]Hoja 1'!$M:$M,
  '[1]Hoja 1'!$S:$S, $A80,
  '[1]Hoja 1'!$R:$R, "&gt;="&amp;INT($DE$1),
  '[1]Hoja 1'!$R:$R, "&lt;"&amp;INT($DF$1+1)
)</f>
        <v>0</v>
      </c>
      <c r="DD80" s="1">
        <f t="shared" si="158"/>
        <v>0</v>
      </c>
      <c r="DE80" s="9">
        <f t="shared" si="159"/>
        <v>0</v>
      </c>
      <c r="DF80" s="10">
        <f t="shared" si="160"/>
        <v>0</v>
      </c>
      <c r="DG80" s="1">
        <f>SUMIFS(
  '[1]Hoja 1'!$M:$M,
  '[1]Hoja 1'!$S:$S, $A80,
  '[1]Hoja 1'!$R:$R, "&gt;="&amp;INT($DI$1),
  '[1]Hoja 1'!$R:$R, "&lt;"&amp;INT($DJ$1+1)
)</f>
        <v>0</v>
      </c>
      <c r="DH80" s="1">
        <f t="shared" si="161"/>
        <v>0</v>
      </c>
      <c r="DI80" s="9">
        <f t="shared" si="162"/>
        <v>0</v>
      </c>
      <c r="DJ80" s="10">
        <f t="shared" si="163"/>
        <v>0</v>
      </c>
      <c r="DK80" s="1">
        <f>SUMIFS(
  '[1]Hoja 1'!$M:$M,
  '[1]Hoja 1'!$S:$S, $A80,
  '[1]Hoja 1'!$R:$R, "&gt;="&amp;INT($DM$1),
  '[1]Hoja 1'!$R:$R, "&lt;"&amp;INT($DN$1+1)
)</f>
        <v>0</v>
      </c>
      <c r="DL80" s="1">
        <f t="shared" si="164"/>
        <v>0</v>
      </c>
      <c r="DM80" s="9">
        <f t="shared" si="165"/>
        <v>0</v>
      </c>
      <c r="DN80" s="10">
        <f t="shared" si="166"/>
        <v>0</v>
      </c>
      <c r="DO80" s="1">
        <f>SUMIFS(
  '[1]Hoja 1'!$M:$M,
  '[1]Hoja 1'!$S:$S, $A80,
  '[1]Hoja 1'!$R:$R, "&gt;="&amp;INT($DQ$1),
  '[1]Hoja 1'!$R:$R, "&lt;"&amp;INT($DR$1+1)
)</f>
        <v>0</v>
      </c>
      <c r="DP80" s="1">
        <f t="shared" si="167"/>
        <v>0</v>
      </c>
      <c r="DQ80" s="9">
        <f t="shared" si="168"/>
        <v>0</v>
      </c>
      <c r="DR80" s="10">
        <f t="shared" si="169"/>
        <v>0</v>
      </c>
    </row>
    <row r="81" spans="1:122" x14ac:dyDescent="0.25">
      <c r="A81" s="5">
        <v>212035</v>
      </c>
      <c r="B81" s="6" t="s">
        <v>81</v>
      </c>
      <c r="C81" s="1">
        <f>SUMIFS(
  '[1]Hoja 1'!$M:$M,
  '[1]Hoja 1'!$S:$S, $A81,
  '[1]Hoja 1'!$R:$R, "&gt;="&amp;INT($E$1),
  '[1]Hoja 1'!$R:$R, "&lt;"&amp;INT($F$1+1)
)</f>
        <v>13</v>
      </c>
      <c r="D81" s="1" t="str">
        <f>""</f>
        <v/>
      </c>
      <c r="F81" s="2"/>
      <c r="G81" s="1">
        <f>SUMIFS(
  '[1]Hoja 1'!$M:$M,
  '[1]Hoja 1'!$S:$S, $A81,
  '[1]Hoja 1'!$R:$R, "&gt;="&amp;INT($I$1),
  '[1]Hoja 1'!$R:$R, "&lt;"&amp;INT($J$1+1)
)</f>
        <v>13</v>
      </c>
      <c r="H81" s="1">
        <f t="shared" si="85"/>
        <v>13</v>
      </c>
      <c r="I81" s="1"/>
      <c r="J81" s="2"/>
      <c r="K81" s="1">
        <f>SUMIFS(
  '[1]Hoja 1'!$M:$M,
  '[1]Hoja 1'!$S:$S, $A81,
  '[1]Hoja 1'!$R:$R, "&gt;="&amp;INT($M$1),
  '[1]Hoja 1'!$R:$R, "&lt;"&amp;INT($N$1+1)
)</f>
        <v>32</v>
      </c>
      <c r="L81" s="1">
        <f t="shared" si="86"/>
        <v>22.5</v>
      </c>
      <c r="M81" s="9">
        <f t="shared" si="87"/>
        <v>9.3336717343064848</v>
      </c>
      <c r="N81" s="10">
        <f t="shared" si="88"/>
        <v>35.666328265693515</v>
      </c>
      <c r="O81" s="1">
        <f>SUMIFS(
  '[1]Hoja 1'!$M:$M,
  '[1]Hoja 1'!$S:$S, $A81,
  '[1]Hoja 1'!$R:$R, "&gt;="&amp;INT($Q$1),
  '[1]Hoja 1'!$R:$R, "&lt;"&amp;INT($R$1+1)
)</f>
        <v>22</v>
      </c>
      <c r="P81" s="1">
        <f t="shared" si="89"/>
        <v>27</v>
      </c>
      <c r="Q81" s="9">
        <f t="shared" si="90"/>
        <v>8.0636985345968899</v>
      </c>
      <c r="R81" s="10">
        <f t="shared" si="91"/>
        <v>36.936301465403112</v>
      </c>
      <c r="S81" s="1">
        <f>SUMIFS(
  '[1]Hoja 1'!$M:$M,
  '[1]Hoja 1'!$S:$S, $A81,
  '[1]Hoja 1'!$R:$R, "&gt;="&amp;INT($U$1),
  '[1]Hoja 1'!$R:$R, "&lt;"&amp;INT($V$1+1)
)</f>
        <v>21</v>
      </c>
      <c r="T81" s="1">
        <f t="shared" si="92"/>
        <v>22</v>
      </c>
      <c r="U81" s="9">
        <f t="shared" si="93"/>
        <v>10.050963776661037</v>
      </c>
      <c r="V81" s="10">
        <f t="shared" si="94"/>
        <v>33.949036223338965</v>
      </c>
      <c r="W81" s="1">
        <f>SUMIFS(
  '[1]Hoja 1'!$M:$M,
  '[1]Hoja 1'!$S:$S, $A81,
  '[1]Hoja 1'!$R:$R, "&gt;="&amp;INT($Y$1),
  '[1]Hoja 1'!$R:$R, "&lt;"&amp;INT($Z$1+1)
)</f>
        <v>25</v>
      </c>
      <c r="X81" s="1">
        <f t="shared" si="95"/>
        <v>23</v>
      </c>
      <c r="Y81" s="9">
        <f t="shared" si="96"/>
        <v>11.10466758205836</v>
      </c>
      <c r="Z81" s="10">
        <f t="shared" si="97"/>
        <v>34.895332417941638</v>
      </c>
      <c r="AA81" s="1">
        <f>SUMIFS(
  '[1]Hoja 1'!$M:$M,
  '[1]Hoja 1'!$S:$S, $A81,
  '[1]Hoja 1'!$R:$R, "&gt;="&amp;INT($AC$1),
  '[1]Hoja 1'!$R:$R, "&lt;"&amp;INT($AD$1+1)
)</f>
        <v>25</v>
      </c>
      <c r="AB81" s="1">
        <f t="shared" si="98"/>
        <v>25</v>
      </c>
      <c r="AC81" s="9">
        <f t="shared" si="99"/>
        <v>19.926665790626444</v>
      </c>
      <c r="AD81" s="10">
        <f t="shared" si="100"/>
        <v>30.790851981070372</v>
      </c>
      <c r="AE81" s="1">
        <f>SUMIFS(
  '[1]Hoja 1'!$M:$M,
  '[1]Hoja 1'!$S:$S, $A81,
  '[1]Hoja 1'!$R:$R, "&gt;="&amp;INT($AG$1),
  '[1]Hoja 1'!$R:$R, "&lt;"&amp;INT($AH$1+1)
)</f>
        <v>0</v>
      </c>
      <c r="AF81" s="1">
        <f t="shared" si="101"/>
        <v>13</v>
      </c>
      <c r="AG81" s="9">
        <f t="shared" si="102"/>
        <v>1.5587360838061262</v>
      </c>
      <c r="AH81" s="10">
        <f t="shared" si="103"/>
        <v>25.914699635170251</v>
      </c>
      <c r="AI81" s="1">
        <f>SUMIFS(
  '[1]Hoja 1'!$M:$M,
  '[1]Hoja 1'!$S:$S, $A81,
  '[1]Hoja 1'!$R:$R, "&gt;="&amp;INT($AK$1),
  '[1]Hoja 1'!$R:$R, "&lt;"&amp;INT($AL$1+1)
)</f>
        <v>0</v>
      </c>
      <c r="AJ81" s="1">
        <f t="shared" si="104"/>
        <v>0</v>
      </c>
      <c r="AK81" s="9">
        <f t="shared" si="105"/>
        <v>-11.520732615593506</v>
      </c>
      <c r="AL81" s="10">
        <f t="shared" si="106"/>
        <v>13.034982419116133</v>
      </c>
      <c r="AM81" s="1">
        <f>SUMIFS(
  '[1]Hoja 1'!$M:$M,
  '[1]Hoja 1'!$S:$S, $A81,
  '[1]Hoja 1'!$R:$R, "&gt;="&amp;INT($AO$1),
  '[1]Hoja 1'!$R:$R, "&lt;"&amp;INT($AP$1+1)
)</f>
        <v>0</v>
      </c>
      <c r="AN81" s="1">
        <f t="shared" si="107"/>
        <v>0</v>
      </c>
      <c r="AO81" s="9">
        <f t="shared" si="108"/>
        <v>-10.956733089748969</v>
      </c>
      <c r="AP81" s="10">
        <f t="shared" si="109"/>
        <v>12.25</v>
      </c>
      <c r="AQ81" s="1">
        <f>SUMIFS(
  '[1]Hoja 1'!$M:$M,
  '[1]Hoja 1'!$S:$S, $A81,
  '[1]Hoja 1'!$R:$R, "&gt;="&amp;INT($AS$1),
  '[1]Hoja 1'!$R:$R, "&lt;"&amp;INT($AT$1+1)
)</f>
        <v>0</v>
      </c>
      <c r="AR81" s="1">
        <f t="shared" si="110"/>
        <v>0</v>
      </c>
      <c r="AS81" s="9">
        <f t="shared" si="111"/>
        <v>-10.956733089748969</v>
      </c>
      <c r="AT81" s="10">
        <f t="shared" si="112"/>
        <v>12.25</v>
      </c>
      <c r="AU81" s="1">
        <f>SUMIFS(
  '[1]Hoja 1'!$M:$M,
  '[1]Hoja 1'!$S:$S, $A81,
  '[1]Hoja 1'!$R:$R, "&gt;="&amp;INT($AW$1),
  '[1]Hoja 1'!$R:$R, "&lt;"&amp;INT($AX$1+1)
)</f>
        <v>0</v>
      </c>
      <c r="AV81" s="1">
        <f t="shared" si="113"/>
        <v>0</v>
      </c>
      <c r="AW81" s="9">
        <f t="shared" si="114"/>
        <v>0</v>
      </c>
      <c r="AX81" s="10">
        <f t="shared" si="115"/>
        <v>0</v>
      </c>
      <c r="AY81" s="1">
        <f>SUMIFS(
  '[1]Hoja 1'!$M:$M,
  '[1]Hoja 1'!$S:$S, $A81,
  '[1]Hoja 1'!$R:$R, "&gt;="&amp;INT($BA$1),
  '[1]Hoja 1'!$R:$R, "&lt;"&amp;INT($BB$1+1)
)</f>
        <v>0</v>
      </c>
      <c r="AZ81" s="1">
        <f t="shared" si="116"/>
        <v>0</v>
      </c>
      <c r="BA81" s="9">
        <f t="shared" si="117"/>
        <v>0</v>
      </c>
      <c r="BB81" s="10">
        <f t="shared" si="118"/>
        <v>0</v>
      </c>
      <c r="BC81" s="1">
        <f>SUMIFS(
  '[1]Hoja 1'!$M:$M,
  '[1]Hoja 1'!$S:$S, $A81,
  '[1]Hoja 1'!$R:$R, "&gt;="&amp;INT($BE$1),
  '[1]Hoja 1'!$R:$R, "&lt;"&amp;INT($BF$1+1)
)</f>
        <v>0</v>
      </c>
      <c r="BD81" s="1">
        <f t="shared" si="119"/>
        <v>0</v>
      </c>
      <c r="BE81" s="9">
        <f t="shared" si="120"/>
        <v>0</v>
      </c>
      <c r="BF81" s="10">
        <f t="shared" si="121"/>
        <v>0</v>
      </c>
      <c r="BG81" s="1">
        <f>SUMIFS(
  '[1]Hoja 1'!$M:$M,
  '[1]Hoja 1'!$S:$S, $A81,
  '[1]Hoja 1'!$R:$R, "&gt;="&amp;INT($BI$1),
  '[1]Hoja 1'!$R:$R, "&lt;"&amp;INT($BJ$1+1)
)</f>
        <v>0</v>
      </c>
      <c r="BH81" s="1">
        <f t="shared" si="122"/>
        <v>0</v>
      </c>
      <c r="BI81" s="9">
        <f t="shared" si="123"/>
        <v>0</v>
      </c>
      <c r="BJ81" s="10">
        <f t="shared" si="124"/>
        <v>0</v>
      </c>
      <c r="BK81" s="1">
        <f>SUMIFS(
  '[1]Hoja 1'!$M:$M,
  '[1]Hoja 1'!$S:$S, $A81,
  '[1]Hoja 1'!$R:$R, "&gt;="&amp;INT($BM$1),
  '[1]Hoja 1'!$R:$R, "&lt;"&amp;INT($BN$1+1)
)</f>
        <v>0</v>
      </c>
      <c r="BL81" s="1">
        <f t="shared" si="125"/>
        <v>0</v>
      </c>
      <c r="BM81" s="9">
        <f t="shared" si="126"/>
        <v>0</v>
      </c>
      <c r="BN81" s="10">
        <f t="shared" si="127"/>
        <v>0</v>
      </c>
      <c r="BO81" s="1">
        <f>SUMIFS(
  '[1]Hoja 1'!$M:$M,
  '[1]Hoja 1'!$S:$S, $A81,
  '[1]Hoja 1'!$R:$R, "&gt;="&amp;INT($BQ$1),
  '[1]Hoja 1'!$R:$R, "&lt;"&amp;INT($BR$1+1)
)</f>
        <v>0</v>
      </c>
      <c r="BP81" s="1">
        <f t="shared" si="128"/>
        <v>0</v>
      </c>
      <c r="BQ81" s="9">
        <f t="shared" si="129"/>
        <v>0</v>
      </c>
      <c r="BR81" s="10">
        <f t="shared" si="130"/>
        <v>0</v>
      </c>
      <c r="BS81" s="1">
        <f>SUMIFS(
  '[1]Hoja 1'!$M:$M,
  '[1]Hoja 1'!$S:$S, $A81,
  '[1]Hoja 1'!$R:$R, "&gt;="&amp;INT($BU$1),
  '[1]Hoja 1'!$R:$R, "&lt;"&amp;INT($BV$1+1)
)</f>
        <v>0</v>
      </c>
      <c r="BT81" s="1">
        <f t="shared" si="131"/>
        <v>0</v>
      </c>
      <c r="BU81" s="9">
        <f t="shared" si="132"/>
        <v>0</v>
      </c>
      <c r="BV81" s="10">
        <f t="shared" si="133"/>
        <v>0</v>
      </c>
      <c r="BW81" s="1">
        <f>SUMIFS(
  '[1]Hoja 1'!$M:$M,
  '[1]Hoja 1'!$S:$S, $A81,
  '[1]Hoja 1'!$R:$R, "&gt;="&amp;INT($BY$1),
  '[1]Hoja 1'!$R:$R, "&lt;"&amp;INT($BZ$1+1)
)</f>
        <v>0</v>
      </c>
      <c r="BX81" s="1">
        <f t="shared" si="134"/>
        <v>0</v>
      </c>
      <c r="BY81" s="9">
        <f t="shared" si="135"/>
        <v>0</v>
      </c>
      <c r="BZ81" s="10">
        <f t="shared" si="136"/>
        <v>0</v>
      </c>
      <c r="CA81" s="1">
        <f>SUMIFS(
  '[1]Hoja 1'!$M:$M,
  '[1]Hoja 1'!$S:$S, $A81,
  '[1]Hoja 1'!$R:$R, "&gt;="&amp;INT($CC$1),
  '[1]Hoja 1'!$R:$R, "&lt;"&amp;INT($CD$1+1)
)</f>
        <v>0</v>
      </c>
      <c r="CB81" s="1">
        <f t="shared" si="137"/>
        <v>0</v>
      </c>
      <c r="CC81" s="9">
        <f t="shared" si="138"/>
        <v>0</v>
      </c>
      <c r="CD81" s="10">
        <f t="shared" si="139"/>
        <v>0</v>
      </c>
      <c r="CE81" s="1">
        <f>SUMIFS(
  '[1]Hoja 1'!$M:$M,
  '[1]Hoja 1'!$S:$S, $A81,
  '[1]Hoja 1'!$R:$R, "&gt;="&amp;INT($CG$1),
  '[1]Hoja 1'!$R:$R, "&lt;"&amp;INT($CH$1+1)
)</f>
        <v>0</v>
      </c>
      <c r="CF81" s="1">
        <f t="shared" si="140"/>
        <v>0</v>
      </c>
      <c r="CG81" s="9">
        <f t="shared" si="141"/>
        <v>0</v>
      </c>
      <c r="CH81" s="10">
        <f t="shared" si="142"/>
        <v>0</v>
      </c>
      <c r="CI81" s="1">
        <f>SUMIFS(
  '[1]Hoja 1'!$M:$M,
  '[1]Hoja 1'!$S:$S, $A81,
  '[1]Hoja 1'!$R:$R, "&gt;="&amp;INT($CK$1),
  '[1]Hoja 1'!$R:$R, "&lt;"&amp;INT($CL$1+1)
)</f>
        <v>0</v>
      </c>
      <c r="CJ81" s="1">
        <f t="shared" si="143"/>
        <v>0</v>
      </c>
      <c r="CK81" s="9">
        <f t="shared" si="144"/>
        <v>0</v>
      </c>
      <c r="CL81" s="10">
        <f t="shared" si="145"/>
        <v>0</v>
      </c>
      <c r="CM81" s="1">
        <f>SUMIFS(
  '[1]Hoja 1'!$M:$M,
  '[1]Hoja 1'!$S:$S, $A81,
  '[1]Hoja 1'!$R:$R, "&gt;="&amp;INT($CO$1),
  '[1]Hoja 1'!$R:$R, "&lt;"&amp;INT($CP$1+1)
)</f>
        <v>0</v>
      </c>
      <c r="CN81" s="1">
        <f t="shared" si="146"/>
        <v>0</v>
      </c>
      <c r="CO81" s="9">
        <f t="shared" si="147"/>
        <v>0</v>
      </c>
      <c r="CP81" s="10">
        <f t="shared" si="148"/>
        <v>0</v>
      </c>
      <c r="CQ81" s="1">
        <f>SUMIFS(
  '[1]Hoja 1'!$M:$M,
  '[1]Hoja 1'!$S:$S, $A81,
  '[1]Hoja 1'!$R:$R, "&gt;="&amp;INT($CS$1),
  '[1]Hoja 1'!$R:$R, "&lt;"&amp;INT($CT$1+1)
)</f>
        <v>0</v>
      </c>
      <c r="CR81" s="1">
        <f t="shared" si="149"/>
        <v>0</v>
      </c>
      <c r="CS81" s="9">
        <f t="shared" si="150"/>
        <v>0</v>
      </c>
      <c r="CT81" s="10">
        <f t="shared" si="151"/>
        <v>0</v>
      </c>
      <c r="CU81" s="1">
        <f>SUMIFS(
  '[1]Hoja 1'!$M:$M,
  '[1]Hoja 1'!$S:$S, $A81,
  '[1]Hoja 1'!$R:$R, "&gt;="&amp;INT($CW$1),
  '[1]Hoja 1'!$R:$R, "&lt;"&amp;INT($CX$1+1)
)</f>
        <v>0</v>
      </c>
      <c r="CV81" s="1">
        <f t="shared" si="152"/>
        <v>0</v>
      </c>
      <c r="CW81" s="9">
        <f t="shared" si="153"/>
        <v>0</v>
      </c>
      <c r="CX81" s="10">
        <f t="shared" si="154"/>
        <v>0</v>
      </c>
      <c r="CY81" s="1">
        <f>SUMIFS(
  '[1]Hoja 1'!$M:$M,
  '[1]Hoja 1'!$S:$S, $A81,
  '[1]Hoja 1'!$R:$R, "&gt;="&amp;INT($DA$1),
  '[1]Hoja 1'!$R:$R, "&lt;"&amp;INT($DB$1+1)
)</f>
        <v>0</v>
      </c>
      <c r="CZ81" s="1">
        <f t="shared" si="155"/>
        <v>0</v>
      </c>
      <c r="DA81" s="9">
        <f t="shared" si="156"/>
        <v>0</v>
      </c>
      <c r="DB81" s="10">
        <f t="shared" si="157"/>
        <v>0</v>
      </c>
      <c r="DC81" s="1">
        <f>SUMIFS(
  '[1]Hoja 1'!$M:$M,
  '[1]Hoja 1'!$S:$S, $A81,
  '[1]Hoja 1'!$R:$R, "&gt;="&amp;INT($DE$1),
  '[1]Hoja 1'!$R:$R, "&lt;"&amp;INT($DF$1+1)
)</f>
        <v>0</v>
      </c>
      <c r="DD81" s="1">
        <f t="shared" si="158"/>
        <v>0</v>
      </c>
      <c r="DE81" s="9">
        <f t="shared" si="159"/>
        <v>0</v>
      </c>
      <c r="DF81" s="10">
        <f t="shared" si="160"/>
        <v>0</v>
      </c>
      <c r="DG81" s="1">
        <f>SUMIFS(
  '[1]Hoja 1'!$M:$M,
  '[1]Hoja 1'!$S:$S, $A81,
  '[1]Hoja 1'!$R:$R, "&gt;="&amp;INT($DI$1),
  '[1]Hoja 1'!$R:$R, "&lt;"&amp;INT($DJ$1+1)
)</f>
        <v>0</v>
      </c>
      <c r="DH81" s="1">
        <f t="shared" si="161"/>
        <v>0</v>
      </c>
      <c r="DI81" s="9">
        <f t="shared" si="162"/>
        <v>0</v>
      </c>
      <c r="DJ81" s="10">
        <f t="shared" si="163"/>
        <v>0</v>
      </c>
      <c r="DK81" s="1">
        <f>SUMIFS(
  '[1]Hoja 1'!$M:$M,
  '[1]Hoja 1'!$S:$S, $A81,
  '[1]Hoja 1'!$R:$R, "&gt;="&amp;INT($DM$1),
  '[1]Hoja 1'!$R:$R, "&lt;"&amp;INT($DN$1+1)
)</f>
        <v>0</v>
      </c>
      <c r="DL81" s="1">
        <f t="shared" si="164"/>
        <v>0</v>
      </c>
      <c r="DM81" s="9">
        <f t="shared" si="165"/>
        <v>0</v>
      </c>
      <c r="DN81" s="10">
        <f t="shared" si="166"/>
        <v>0</v>
      </c>
      <c r="DO81" s="1">
        <f>SUMIFS(
  '[1]Hoja 1'!$M:$M,
  '[1]Hoja 1'!$S:$S, $A81,
  '[1]Hoja 1'!$R:$R, "&gt;="&amp;INT($DQ$1),
  '[1]Hoja 1'!$R:$R, "&lt;"&amp;INT($DR$1+1)
)</f>
        <v>0</v>
      </c>
      <c r="DP81" s="1">
        <f t="shared" si="167"/>
        <v>0</v>
      </c>
      <c r="DQ81" s="9">
        <f t="shared" si="168"/>
        <v>0</v>
      </c>
      <c r="DR81" s="10">
        <f t="shared" si="169"/>
        <v>0</v>
      </c>
    </row>
    <row r="82" spans="1:122" x14ac:dyDescent="0.25">
      <c r="A82" s="5">
        <v>213002</v>
      </c>
      <c r="B82" s="6" t="s">
        <v>82</v>
      </c>
      <c r="C82" s="1">
        <f>SUMIFS(
  '[1]Hoja 1'!$M:$M,
  '[1]Hoja 1'!$S:$S, $A82,
  '[1]Hoja 1'!$R:$R, "&gt;="&amp;INT($E$1),
  '[1]Hoja 1'!$R:$R, "&lt;"&amp;INT($F$1+1)
)</f>
        <v>39</v>
      </c>
      <c r="D82" s="1" t="str">
        <f>""</f>
        <v/>
      </c>
      <c r="F82" s="2"/>
      <c r="G82" s="1">
        <f>SUMIFS(
  '[1]Hoja 1'!$M:$M,
  '[1]Hoja 1'!$S:$S, $A82,
  '[1]Hoja 1'!$R:$R, "&gt;="&amp;INT($I$1),
  '[1]Hoja 1'!$R:$R, "&lt;"&amp;INT($J$1+1)
)</f>
        <v>56</v>
      </c>
      <c r="H82" s="1">
        <f t="shared" si="85"/>
        <v>47.5</v>
      </c>
      <c r="I82" s="1"/>
      <c r="J82" s="2"/>
      <c r="K82" s="1">
        <f>SUMIFS(
  '[1]Hoja 1'!$M:$M,
  '[1]Hoja 1'!$S:$S, $A82,
  '[1]Hoja 1'!$R:$R, "&gt;="&amp;INT($M$1),
  '[1]Hoja 1'!$R:$R, "&lt;"&amp;INT($N$1+1)
)</f>
        <v>100</v>
      </c>
      <c r="L82" s="1">
        <f t="shared" si="86"/>
        <v>78</v>
      </c>
      <c r="M82" s="9">
        <f t="shared" si="87"/>
        <v>59.289954569803953</v>
      </c>
      <c r="N82" s="10">
        <f t="shared" si="88"/>
        <v>96.710045430196047</v>
      </c>
      <c r="O82" s="1">
        <f>SUMIFS(
  '[1]Hoja 1'!$M:$M,
  '[1]Hoja 1'!$S:$S, $A82,
  '[1]Hoja 1'!$R:$R, "&gt;="&amp;INT($Q$1),
  '[1]Hoja 1'!$R:$R, "&lt;"&amp;INT($R$1+1)
)</f>
        <v>26</v>
      </c>
      <c r="P82" s="1">
        <f t="shared" si="89"/>
        <v>63</v>
      </c>
      <c r="Q82" s="9">
        <f t="shared" si="90"/>
        <v>17.411478534846772</v>
      </c>
      <c r="R82" s="10">
        <f t="shared" si="91"/>
        <v>138.58852146515324</v>
      </c>
      <c r="S82" s="1">
        <f>SUMIFS(
  '[1]Hoja 1'!$M:$M,
  '[1]Hoja 1'!$S:$S, $A82,
  '[1]Hoja 1'!$R:$R, "&gt;="&amp;INT($U$1),
  '[1]Hoja 1'!$R:$R, "&lt;"&amp;INT($V$1+1)
)</f>
        <v>38</v>
      </c>
      <c r="T82" s="1">
        <f t="shared" si="92"/>
        <v>32</v>
      </c>
      <c r="U82" s="9">
        <f t="shared" si="93"/>
        <v>-18.113530774299534</v>
      </c>
      <c r="V82" s="10">
        <f t="shared" si="94"/>
        <v>82.113530774299534</v>
      </c>
      <c r="W82" s="1">
        <f>SUMIFS(
  '[1]Hoja 1'!$M:$M,
  '[1]Hoja 1'!$S:$S, $A82,
  '[1]Hoja 1'!$R:$R, "&gt;="&amp;INT($Y$1),
  '[1]Hoja 1'!$R:$R, "&lt;"&amp;INT($Z$1+1)
)</f>
        <v>70</v>
      </c>
      <c r="X82" s="1">
        <f t="shared" si="95"/>
        <v>54</v>
      </c>
      <c r="Y82" s="9">
        <f t="shared" si="96"/>
        <v>1.7404796552181665</v>
      </c>
      <c r="Z82" s="10">
        <f t="shared" si="97"/>
        <v>106.25952034478183</v>
      </c>
      <c r="AA82" s="1">
        <f>SUMIFS(
  '[1]Hoja 1'!$M:$M,
  '[1]Hoja 1'!$S:$S, $A82,
  '[1]Hoja 1'!$R:$R, "&gt;="&amp;INT($AC$1),
  '[1]Hoja 1'!$R:$R, "&lt;"&amp;INT($AD$1+1)
)</f>
        <v>52</v>
      </c>
      <c r="AB82" s="1">
        <f t="shared" si="98"/>
        <v>61</v>
      </c>
      <c r="AC82" s="9">
        <f t="shared" si="99"/>
        <v>21.473063361803511</v>
      </c>
      <c r="AD82" s="10">
        <f t="shared" si="100"/>
        <v>106.23596209507062</v>
      </c>
      <c r="AE82" s="1">
        <f>SUMIFS(
  '[1]Hoja 1'!$M:$M,
  '[1]Hoja 1'!$S:$S, $A82,
  '[1]Hoja 1'!$R:$R, "&gt;="&amp;INT($AG$1),
  '[1]Hoja 1'!$R:$R, "&lt;"&amp;INT($AH$1+1)
)</f>
        <v>0</v>
      </c>
      <c r="AF82" s="1">
        <f t="shared" si="101"/>
        <v>26</v>
      </c>
      <c r="AG82" s="9">
        <f t="shared" si="102"/>
        <v>-5.2249592473713236</v>
      </c>
      <c r="AH82" s="10">
        <f t="shared" si="103"/>
        <v>61.905110128411152</v>
      </c>
      <c r="AI82" s="1">
        <f>SUMIFS(
  '[1]Hoja 1'!$M:$M,
  '[1]Hoja 1'!$S:$S, $A82,
  '[1]Hoja 1'!$R:$R, "&gt;="&amp;INT($AK$1),
  '[1]Hoja 1'!$R:$R, "&lt;"&amp;INT($AL$1+1)
)</f>
        <v>0</v>
      </c>
      <c r="AJ82" s="1">
        <f t="shared" si="104"/>
        <v>0</v>
      </c>
      <c r="AK82" s="9">
        <f t="shared" si="105"/>
        <v>-30.059013955883515</v>
      </c>
      <c r="AL82" s="10">
        <f t="shared" si="106"/>
        <v>34.374585573259402</v>
      </c>
      <c r="AM82" s="1">
        <f>SUMIFS(
  '[1]Hoja 1'!$M:$M,
  '[1]Hoja 1'!$S:$S, $A82,
  '[1]Hoja 1'!$R:$R, "&gt;="&amp;INT($AO$1),
  '[1]Hoja 1'!$R:$R, "&lt;"&amp;INT($AP$1+1)
)</f>
        <v>0</v>
      </c>
      <c r="AN82" s="1">
        <f t="shared" si="107"/>
        <v>0</v>
      </c>
      <c r="AO82" s="9">
        <f t="shared" si="108"/>
        <v>-22.17486865801013</v>
      </c>
      <c r="AP82" s="10">
        <f t="shared" si="109"/>
        <v>24.024995317377275</v>
      </c>
      <c r="AQ82" s="1">
        <f>SUMIFS(
  '[1]Hoja 1'!$M:$M,
  '[1]Hoja 1'!$S:$S, $A82,
  '[1]Hoja 1'!$R:$R, "&gt;="&amp;INT($AS$1),
  '[1]Hoja 1'!$R:$R, "&lt;"&amp;INT($AT$1+1)
)</f>
        <v>0</v>
      </c>
      <c r="AR82" s="1">
        <f t="shared" si="110"/>
        <v>0</v>
      </c>
      <c r="AS82" s="9">
        <f t="shared" si="111"/>
        <v>-22.790004826677855</v>
      </c>
      <c r="AT82" s="10">
        <f t="shared" si="112"/>
        <v>25.48</v>
      </c>
      <c r="AU82" s="1">
        <f>SUMIFS(
  '[1]Hoja 1'!$M:$M,
  '[1]Hoja 1'!$S:$S, $A82,
  '[1]Hoja 1'!$R:$R, "&gt;="&amp;INT($AW$1),
  '[1]Hoja 1'!$R:$R, "&lt;"&amp;INT($AX$1+1)
)</f>
        <v>0</v>
      </c>
      <c r="AV82" s="1">
        <f t="shared" si="113"/>
        <v>0</v>
      </c>
      <c r="AW82" s="9">
        <f t="shared" si="114"/>
        <v>0</v>
      </c>
      <c r="AX82" s="10">
        <f t="shared" si="115"/>
        <v>0</v>
      </c>
      <c r="AY82" s="1">
        <f>SUMIFS(
  '[1]Hoja 1'!$M:$M,
  '[1]Hoja 1'!$S:$S, $A82,
  '[1]Hoja 1'!$R:$R, "&gt;="&amp;INT($BA$1),
  '[1]Hoja 1'!$R:$R, "&lt;"&amp;INT($BB$1+1)
)</f>
        <v>0</v>
      </c>
      <c r="AZ82" s="1">
        <f t="shared" si="116"/>
        <v>0</v>
      </c>
      <c r="BA82" s="9">
        <f t="shared" si="117"/>
        <v>0</v>
      </c>
      <c r="BB82" s="10">
        <f t="shared" si="118"/>
        <v>0</v>
      </c>
      <c r="BC82" s="1">
        <f>SUMIFS(
  '[1]Hoja 1'!$M:$M,
  '[1]Hoja 1'!$S:$S, $A82,
  '[1]Hoja 1'!$R:$R, "&gt;="&amp;INT($BE$1),
  '[1]Hoja 1'!$R:$R, "&lt;"&amp;INT($BF$1+1)
)</f>
        <v>0</v>
      </c>
      <c r="BD82" s="1">
        <f t="shared" si="119"/>
        <v>0</v>
      </c>
      <c r="BE82" s="9">
        <f t="shared" si="120"/>
        <v>0</v>
      </c>
      <c r="BF82" s="10">
        <f t="shared" si="121"/>
        <v>0</v>
      </c>
      <c r="BG82" s="1">
        <f>SUMIFS(
  '[1]Hoja 1'!$M:$M,
  '[1]Hoja 1'!$S:$S, $A82,
  '[1]Hoja 1'!$R:$R, "&gt;="&amp;INT($BI$1),
  '[1]Hoja 1'!$R:$R, "&lt;"&amp;INT($BJ$1+1)
)</f>
        <v>0</v>
      </c>
      <c r="BH82" s="1">
        <f t="shared" si="122"/>
        <v>0</v>
      </c>
      <c r="BI82" s="9">
        <f t="shared" si="123"/>
        <v>0</v>
      </c>
      <c r="BJ82" s="10">
        <f t="shared" si="124"/>
        <v>0</v>
      </c>
      <c r="BK82" s="1">
        <f>SUMIFS(
  '[1]Hoja 1'!$M:$M,
  '[1]Hoja 1'!$S:$S, $A82,
  '[1]Hoja 1'!$R:$R, "&gt;="&amp;INT($BM$1),
  '[1]Hoja 1'!$R:$R, "&lt;"&amp;INT($BN$1+1)
)</f>
        <v>0</v>
      </c>
      <c r="BL82" s="1">
        <f t="shared" si="125"/>
        <v>0</v>
      </c>
      <c r="BM82" s="9">
        <f t="shared" si="126"/>
        <v>0</v>
      </c>
      <c r="BN82" s="10">
        <f t="shared" si="127"/>
        <v>0</v>
      </c>
      <c r="BO82" s="1">
        <f>SUMIFS(
  '[1]Hoja 1'!$M:$M,
  '[1]Hoja 1'!$S:$S, $A82,
  '[1]Hoja 1'!$R:$R, "&gt;="&amp;INT($BQ$1),
  '[1]Hoja 1'!$R:$R, "&lt;"&amp;INT($BR$1+1)
)</f>
        <v>0</v>
      </c>
      <c r="BP82" s="1">
        <f t="shared" si="128"/>
        <v>0</v>
      </c>
      <c r="BQ82" s="9">
        <f t="shared" si="129"/>
        <v>0</v>
      </c>
      <c r="BR82" s="10">
        <f t="shared" si="130"/>
        <v>0</v>
      </c>
      <c r="BS82" s="1">
        <f>SUMIFS(
  '[1]Hoja 1'!$M:$M,
  '[1]Hoja 1'!$S:$S, $A82,
  '[1]Hoja 1'!$R:$R, "&gt;="&amp;INT($BU$1),
  '[1]Hoja 1'!$R:$R, "&lt;"&amp;INT($BV$1+1)
)</f>
        <v>0</v>
      </c>
      <c r="BT82" s="1">
        <f t="shared" si="131"/>
        <v>0</v>
      </c>
      <c r="BU82" s="9">
        <f t="shared" si="132"/>
        <v>0</v>
      </c>
      <c r="BV82" s="10">
        <f t="shared" si="133"/>
        <v>0</v>
      </c>
      <c r="BW82" s="1">
        <f>SUMIFS(
  '[1]Hoja 1'!$M:$M,
  '[1]Hoja 1'!$S:$S, $A82,
  '[1]Hoja 1'!$R:$R, "&gt;="&amp;INT($BY$1),
  '[1]Hoja 1'!$R:$R, "&lt;"&amp;INT($BZ$1+1)
)</f>
        <v>0</v>
      </c>
      <c r="BX82" s="1">
        <f t="shared" si="134"/>
        <v>0</v>
      </c>
      <c r="BY82" s="9">
        <f t="shared" si="135"/>
        <v>0</v>
      </c>
      <c r="BZ82" s="10">
        <f t="shared" si="136"/>
        <v>0</v>
      </c>
      <c r="CA82" s="1">
        <f>SUMIFS(
  '[1]Hoja 1'!$M:$M,
  '[1]Hoja 1'!$S:$S, $A82,
  '[1]Hoja 1'!$R:$R, "&gt;="&amp;INT($CC$1),
  '[1]Hoja 1'!$R:$R, "&lt;"&amp;INT($CD$1+1)
)</f>
        <v>0</v>
      </c>
      <c r="CB82" s="1">
        <f t="shared" si="137"/>
        <v>0</v>
      </c>
      <c r="CC82" s="9">
        <f t="shared" si="138"/>
        <v>0</v>
      </c>
      <c r="CD82" s="10">
        <f t="shared" si="139"/>
        <v>0</v>
      </c>
      <c r="CE82" s="1">
        <f>SUMIFS(
  '[1]Hoja 1'!$M:$M,
  '[1]Hoja 1'!$S:$S, $A82,
  '[1]Hoja 1'!$R:$R, "&gt;="&amp;INT($CG$1),
  '[1]Hoja 1'!$R:$R, "&lt;"&amp;INT($CH$1+1)
)</f>
        <v>0</v>
      </c>
      <c r="CF82" s="1">
        <f t="shared" si="140"/>
        <v>0</v>
      </c>
      <c r="CG82" s="9">
        <f t="shared" si="141"/>
        <v>0</v>
      </c>
      <c r="CH82" s="10">
        <f t="shared" si="142"/>
        <v>0</v>
      </c>
      <c r="CI82" s="1">
        <f>SUMIFS(
  '[1]Hoja 1'!$M:$M,
  '[1]Hoja 1'!$S:$S, $A82,
  '[1]Hoja 1'!$R:$R, "&gt;="&amp;INT($CK$1),
  '[1]Hoja 1'!$R:$R, "&lt;"&amp;INT($CL$1+1)
)</f>
        <v>0</v>
      </c>
      <c r="CJ82" s="1">
        <f t="shared" si="143"/>
        <v>0</v>
      </c>
      <c r="CK82" s="9">
        <f t="shared" si="144"/>
        <v>0</v>
      </c>
      <c r="CL82" s="10">
        <f t="shared" si="145"/>
        <v>0</v>
      </c>
      <c r="CM82" s="1">
        <f>SUMIFS(
  '[1]Hoja 1'!$M:$M,
  '[1]Hoja 1'!$S:$S, $A82,
  '[1]Hoja 1'!$R:$R, "&gt;="&amp;INT($CO$1),
  '[1]Hoja 1'!$R:$R, "&lt;"&amp;INT($CP$1+1)
)</f>
        <v>0</v>
      </c>
      <c r="CN82" s="1">
        <f t="shared" si="146"/>
        <v>0</v>
      </c>
      <c r="CO82" s="9">
        <f t="shared" si="147"/>
        <v>0</v>
      </c>
      <c r="CP82" s="10">
        <f t="shared" si="148"/>
        <v>0</v>
      </c>
      <c r="CQ82" s="1">
        <f>SUMIFS(
  '[1]Hoja 1'!$M:$M,
  '[1]Hoja 1'!$S:$S, $A82,
  '[1]Hoja 1'!$R:$R, "&gt;="&amp;INT($CS$1),
  '[1]Hoja 1'!$R:$R, "&lt;"&amp;INT($CT$1+1)
)</f>
        <v>0</v>
      </c>
      <c r="CR82" s="1">
        <f t="shared" si="149"/>
        <v>0</v>
      </c>
      <c r="CS82" s="9">
        <f t="shared" si="150"/>
        <v>0</v>
      </c>
      <c r="CT82" s="10">
        <f t="shared" si="151"/>
        <v>0</v>
      </c>
      <c r="CU82" s="1">
        <f>SUMIFS(
  '[1]Hoja 1'!$M:$M,
  '[1]Hoja 1'!$S:$S, $A82,
  '[1]Hoja 1'!$R:$R, "&gt;="&amp;INT($CW$1),
  '[1]Hoja 1'!$R:$R, "&lt;"&amp;INT($CX$1+1)
)</f>
        <v>0</v>
      </c>
      <c r="CV82" s="1">
        <f t="shared" si="152"/>
        <v>0</v>
      </c>
      <c r="CW82" s="9">
        <f t="shared" si="153"/>
        <v>0</v>
      </c>
      <c r="CX82" s="10">
        <f t="shared" si="154"/>
        <v>0</v>
      </c>
      <c r="CY82" s="1">
        <f>SUMIFS(
  '[1]Hoja 1'!$M:$M,
  '[1]Hoja 1'!$S:$S, $A82,
  '[1]Hoja 1'!$R:$R, "&gt;="&amp;INT($DA$1),
  '[1]Hoja 1'!$R:$R, "&lt;"&amp;INT($DB$1+1)
)</f>
        <v>0</v>
      </c>
      <c r="CZ82" s="1">
        <f t="shared" si="155"/>
        <v>0</v>
      </c>
      <c r="DA82" s="9">
        <f t="shared" si="156"/>
        <v>0</v>
      </c>
      <c r="DB82" s="10">
        <f t="shared" si="157"/>
        <v>0</v>
      </c>
      <c r="DC82" s="1">
        <f>SUMIFS(
  '[1]Hoja 1'!$M:$M,
  '[1]Hoja 1'!$S:$S, $A82,
  '[1]Hoja 1'!$R:$R, "&gt;="&amp;INT($DE$1),
  '[1]Hoja 1'!$R:$R, "&lt;"&amp;INT($DF$1+1)
)</f>
        <v>0</v>
      </c>
      <c r="DD82" s="1">
        <f t="shared" si="158"/>
        <v>0</v>
      </c>
      <c r="DE82" s="9">
        <f t="shared" si="159"/>
        <v>0</v>
      </c>
      <c r="DF82" s="10">
        <f t="shared" si="160"/>
        <v>0</v>
      </c>
      <c r="DG82" s="1">
        <f>SUMIFS(
  '[1]Hoja 1'!$M:$M,
  '[1]Hoja 1'!$S:$S, $A82,
  '[1]Hoja 1'!$R:$R, "&gt;="&amp;INT($DI$1),
  '[1]Hoja 1'!$R:$R, "&lt;"&amp;INT($DJ$1+1)
)</f>
        <v>0</v>
      </c>
      <c r="DH82" s="1">
        <f t="shared" si="161"/>
        <v>0</v>
      </c>
      <c r="DI82" s="9">
        <f t="shared" si="162"/>
        <v>0</v>
      </c>
      <c r="DJ82" s="10">
        <f t="shared" si="163"/>
        <v>0</v>
      </c>
      <c r="DK82" s="1">
        <f>SUMIFS(
  '[1]Hoja 1'!$M:$M,
  '[1]Hoja 1'!$S:$S, $A82,
  '[1]Hoja 1'!$R:$R, "&gt;="&amp;INT($DM$1),
  '[1]Hoja 1'!$R:$R, "&lt;"&amp;INT($DN$1+1)
)</f>
        <v>0</v>
      </c>
      <c r="DL82" s="1">
        <f t="shared" si="164"/>
        <v>0</v>
      </c>
      <c r="DM82" s="9">
        <f t="shared" si="165"/>
        <v>0</v>
      </c>
      <c r="DN82" s="10">
        <f t="shared" si="166"/>
        <v>0</v>
      </c>
      <c r="DO82" s="1">
        <f>SUMIFS(
  '[1]Hoja 1'!$M:$M,
  '[1]Hoja 1'!$S:$S, $A82,
  '[1]Hoja 1'!$R:$R, "&gt;="&amp;INT($DQ$1),
  '[1]Hoja 1'!$R:$R, "&lt;"&amp;INT($DR$1+1)
)</f>
        <v>0</v>
      </c>
      <c r="DP82" s="1">
        <f t="shared" si="167"/>
        <v>0</v>
      </c>
      <c r="DQ82" s="9">
        <f t="shared" si="168"/>
        <v>0</v>
      </c>
      <c r="DR82" s="10">
        <f t="shared" si="169"/>
        <v>0</v>
      </c>
    </row>
    <row r="83" spans="1:122" x14ac:dyDescent="0.25">
      <c r="A83" s="5">
        <v>213003</v>
      </c>
      <c r="B83" s="6" t="s">
        <v>83</v>
      </c>
      <c r="C83" s="1">
        <f>SUMIFS(
  '[1]Hoja 1'!$M:$M,
  '[1]Hoja 1'!$S:$S, $A83,
  '[1]Hoja 1'!$R:$R, "&gt;="&amp;INT($E$1),
  '[1]Hoja 1'!$R:$R, "&lt;"&amp;INT($F$1+1)
)</f>
        <v>0</v>
      </c>
      <c r="D83" s="1" t="str">
        <f>""</f>
        <v/>
      </c>
      <c r="F83" s="2"/>
      <c r="G83" s="1">
        <f>SUMIFS(
  '[1]Hoja 1'!$M:$M,
  '[1]Hoja 1'!$S:$S, $A83,
  '[1]Hoja 1'!$R:$R, "&gt;="&amp;INT($I$1),
  '[1]Hoja 1'!$R:$R, "&lt;"&amp;INT($J$1+1)
)</f>
        <v>0</v>
      </c>
      <c r="H83" s="1">
        <f t="shared" si="85"/>
        <v>0</v>
      </c>
      <c r="I83" s="1"/>
      <c r="J83" s="2"/>
      <c r="K83" s="1">
        <f>SUMIFS(
  '[1]Hoja 1'!$M:$M,
  '[1]Hoja 1'!$S:$S, $A83,
  '[1]Hoja 1'!$R:$R, "&gt;="&amp;INT($M$1),
  '[1]Hoja 1'!$R:$R, "&lt;"&amp;INT($N$1+1)
)</f>
        <v>0</v>
      </c>
      <c r="L83" s="1">
        <f t="shared" si="86"/>
        <v>0</v>
      </c>
      <c r="M83" s="9">
        <f t="shared" si="87"/>
        <v>0</v>
      </c>
      <c r="N83" s="10">
        <f t="shared" si="88"/>
        <v>0</v>
      </c>
      <c r="O83" s="1">
        <f>SUMIFS(
  '[1]Hoja 1'!$M:$M,
  '[1]Hoja 1'!$S:$S, $A83,
  '[1]Hoja 1'!$R:$R, "&gt;="&amp;INT($Q$1),
  '[1]Hoja 1'!$R:$R, "&lt;"&amp;INT($R$1+1)
)</f>
        <v>0</v>
      </c>
      <c r="P83" s="1">
        <f t="shared" si="89"/>
        <v>0</v>
      </c>
      <c r="Q83" s="9">
        <f t="shared" si="90"/>
        <v>0</v>
      </c>
      <c r="R83" s="10">
        <f t="shared" si="91"/>
        <v>0</v>
      </c>
      <c r="S83" s="1">
        <f>SUMIFS(
  '[1]Hoja 1'!$M:$M,
  '[1]Hoja 1'!$S:$S, $A83,
  '[1]Hoja 1'!$R:$R, "&gt;="&amp;INT($U$1),
  '[1]Hoja 1'!$R:$R, "&lt;"&amp;INT($V$1+1)
)</f>
        <v>0</v>
      </c>
      <c r="T83" s="1">
        <f t="shared" si="92"/>
        <v>0</v>
      </c>
      <c r="U83" s="9">
        <f t="shared" si="93"/>
        <v>0</v>
      </c>
      <c r="V83" s="10">
        <f t="shared" si="94"/>
        <v>0</v>
      </c>
      <c r="W83" s="1">
        <f>SUMIFS(
  '[1]Hoja 1'!$M:$M,
  '[1]Hoja 1'!$S:$S, $A83,
  '[1]Hoja 1'!$R:$R, "&gt;="&amp;INT($Y$1),
  '[1]Hoja 1'!$R:$R, "&lt;"&amp;INT($Z$1+1)
)</f>
        <v>0</v>
      </c>
      <c r="X83" s="1">
        <f t="shared" si="95"/>
        <v>0</v>
      </c>
      <c r="Y83" s="9">
        <f t="shared" si="96"/>
        <v>0</v>
      </c>
      <c r="Z83" s="10">
        <f t="shared" si="97"/>
        <v>0</v>
      </c>
      <c r="AA83" s="1">
        <f>SUMIFS(
  '[1]Hoja 1'!$M:$M,
  '[1]Hoja 1'!$S:$S, $A83,
  '[1]Hoja 1'!$R:$R, "&gt;="&amp;INT($AC$1),
  '[1]Hoja 1'!$R:$R, "&lt;"&amp;INT($AD$1+1)
)</f>
        <v>0</v>
      </c>
      <c r="AB83" s="1">
        <f t="shared" si="98"/>
        <v>0</v>
      </c>
      <c r="AC83" s="9">
        <f t="shared" si="99"/>
        <v>0</v>
      </c>
      <c r="AD83" s="10">
        <f t="shared" si="100"/>
        <v>0</v>
      </c>
      <c r="AE83" s="1">
        <f>SUMIFS(
  '[1]Hoja 1'!$M:$M,
  '[1]Hoja 1'!$S:$S, $A83,
  '[1]Hoja 1'!$R:$R, "&gt;="&amp;INT($AG$1),
  '[1]Hoja 1'!$R:$R, "&lt;"&amp;INT($AH$1+1)
)</f>
        <v>0</v>
      </c>
      <c r="AF83" s="1">
        <f t="shared" si="101"/>
        <v>0</v>
      </c>
      <c r="AG83" s="9">
        <f t="shared" si="102"/>
        <v>0</v>
      </c>
      <c r="AH83" s="10">
        <f t="shared" si="103"/>
        <v>0</v>
      </c>
      <c r="AI83" s="1">
        <f>SUMIFS(
  '[1]Hoja 1'!$M:$M,
  '[1]Hoja 1'!$S:$S, $A83,
  '[1]Hoja 1'!$R:$R, "&gt;="&amp;INT($AK$1),
  '[1]Hoja 1'!$R:$R, "&lt;"&amp;INT($AL$1+1)
)</f>
        <v>0</v>
      </c>
      <c r="AJ83" s="1">
        <f t="shared" si="104"/>
        <v>0</v>
      </c>
      <c r="AK83" s="9">
        <f t="shared" si="105"/>
        <v>0</v>
      </c>
      <c r="AL83" s="10">
        <f t="shared" si="106"/>
        <v>0</v>
      </c>
      <c r="AM83" s="1">
        <f>SUMIFS(
  '[1]Hoja 1'!$M:$M,
  '[1]Hoja 1'!$S:$S, $A83,
  '[1]Hoja 1'!$R:$R, "&gt;="&amp;INT($AO$1),
  '[1]Hoja 1'!$R:$R, "&lt;"&amp;INT($AP$1+1)
)</f>
        <v>0</v>
      </c>
      <c r="AN83" s="1">
        <f t="shared" si="107"/>
        <v>0</v>
      </c>
      <c r="AO83" s="9">
        <f t="shared" si="108"/>
        <v>0</v>
      </c>
      <c r="AP83" s="10">
        <f t="shared" si="109"/>
        <v>0</v>
      </c>
      <c r="AQ83" s="1">
        <f>SUMIFS(
  '[1]Hoja 1'!$M:$M,
  '[1]Hoja 1'!$S:$S, $A83,
  '[1]Hoja 1'!$R:$R, "&gt;="&amp;INT($AS$1),
  '[1]Hoja 1'!$R:$R, "&lt;"&amp;INT($AT$1+1)
)</f>
        <v>0</v>
      </c>
      <c r="AR83" s="1">
        <f t="shared" si="110"/>
        <v>0</v>
      </c>
      <c r="AS83" s="9">
        <f t="shared" si="111"/>
        <v>0</v>
      </c>
      <c r="AT83" s="10">
        <f t="shared" si="112"/>
        <v>0</v>
      </c>
      <c r="AU83" s="1">
        <f>SUMIFS(
  '[1]Hoja 1'!$M:$M,
  '[1]Hoja 1'!$S:$S, $A83,
  '[1]Hoja 1'!$R:$R, "&gt;="&amp;INT($AW$1),
  '[1]Hoja 1'!$R:$R, "&lt;"&amp;INT($AX$1+1)
)</f>
        <v>0</v>
      </c>
      <c r="AV83" s="1">
        <f t="shared" si="113"/>
        <v>0</v>
      </c>
      <c r="AW83" s="9">
        <f t="shared" si="114"/>
        <v>0</v>
      </c>
      <c r="AX83" s="10">
        <f t="shared" si="115"/>
        <v>0</v>
      </c>
      <c r="AY83" s="1">
        <f>SUMIFS(
  '[1]Hoja 1'!$M:$M,
  '[1]Hoja 1'!$S:$S, $A83,
  '[1]Hoja 1'!$R:$R, "&gt;="&amp;INT($BA$1),
  '[1]Hoja 1'!$R:$R, "&lt;"&amp;INT($BB$1+1)
)</f>
        <v>0</v>
      </c>
      <c r="AZ83" s="1">
        <f t="shared" si="116"/>
        <v>0</v>
      </c>
      <c r="BA83" s="9">
        <f t="shared" si="117"/>
        <v>0</v>
      </c>
      <c r="BB83" s="10">
        <f t="shared" si="118"/>
        <v>0</v>
      </c>
      <c r="BC83" s="1">
        <f>SUMIFS(
  '[1]Hoja 1'!$M:$M,
  '[1]Hoja 1'!$S:$S, $A83,
  '[1]Hoja 1'!$R:$R, "&gt;="&amp;INT($BE$1),
  '[1]Hoja 1'!$R:$R, "&lt;"&amp;INT($BF$1+1)
)</f>
        <v>0</v>
      </c>
      <c r="BD83" s="1">
        <f t="shared" si="119"/>
        <v>0</v>
      </c>
      <c r="BE83" s="9">
        <f t="shared" si="120"/>
        <v>0</v>
      </c>
      <c r="BF83" s="10">
        <f t="shared" si="121"/>
        <v>0</v>
      </c>
      <c r="BG83" s="1">
        <f>SUMIFS(
  '[1]Hoja 1'!$M:$M,
  '[1]Hoja 1'!$S:$S, $A83,
  '[1]Hoja 1'!$R:$R, "&gt;="&amp;INT($BI$1),
  '[1]Hoja 1'!$R:$R, "&lt;"&amp;INT($BJ$1+1)
)</f>
        <v>0</v>
      </c>
      <c r="BH83" s="1">
        <f t="shared" si="122"/>
        <v>0</v>
      </c>
      <c r="BI83" s="9">
        <f t="shared" si="123"/>
        <v>0</v>
      </c>
      <c r="BJ83" s="10">
        <f t="shared" si="124"/>
        <v>0</v>
      </c>
      <c r="BK83" s="1">
        <f>SUMIFS(
  '[1]Hoja 1'!$M:$M,
  '[1]Hoja 1'!$S:$S, $A83,
  '[1]Hoja 1'!$R:$R, "&gt;="&amp;INT($BM$1),
  '[1]Hoja 1'!$R:$R, "&lt;"&amp;INT($BN$1+1)
)</f>
        <v>0</v>
      </c>
      <c r="BL83" s="1">
        <f t="shared" si="125"/>
        <v>0</v>
      </c>
      <c r="BM83" s="9">
        <f t="shared" si="126"/>
        <v>0</v>
      </c>
      <c r="BN83" s="10">
        <f t="shared" si="127"/>
        <v>0</v>
      </c>
      <c r="BO83" s="1">
        <f>SUMIFS(
  '[1]Hoja 1'!$M:$M,
  '[1]Hoja 1'!$S:$S, $A83,
  '[1]Hoja 1'!$R:$R, "&gt;="&amp;INT($BQ$1),
  '[1]Hoja 1'!$R:$R, "&lt;"&amp;INT($BR$1+1)
)</f>
        <v>0</v>
      </c>
      <c r="BP83" s="1">
        <f t="shared" si="128"/>
        <v>0</v>
      </c>
      <c r="BQ83" s="9">
        <f t="shared" si="129"/>
        <v>0</v>
      </c>
      <c r="BR83" s="10">
        <f t="shared" si="130"/>
        <v>0</v>
      </c>
      <c r="BS83" s="1">
        <f>SUMIFS(
  '[1]Hoja 1'!$M:$M,
  '[1]Hoja 1'!$S:$S, $A83,
  '[1]Hoja 1'!$R:$R, "&gt;="&amp;INT($BU$1),
  '[1]Hoja 1'!$R:$R, "&lt;"&amp;INT($BV$1+1)
)</f>
        <v>0</v>
      </c>
      <c r="BT83" s="1">
        <f t="shared" si="131"/>
        <v>0</v>
      </c>
      <c r="BU83" s="9">
        <f t="shared" si="132"/>
        <v>0</v>
      </c>
      <c r="BV83" s="10">
        <f t="shared" si="133"/>
        <v>0</v>
      </c>
      <c r="BW83" s="1">
        <f>SUMIFS(
  '[1]Hoja 1'!$M:$M,
  '[1]Hoja 1'!$S:$S, $A83,
  '[1]Hoja 1'!$R:$R, "&gt;="&amp;INT($BY$1),
  '[1]Hoja 1'!$R:$R, "&lt;"&amp;INT($BZ$1+1)
)</f>
        <v>0</v>
      </c>
      <c r="BX83" s="1">
        <f t="shared" si="134"/>
        <v>0</v>
      </c>
      <c r="BY83" s="9">
        <f t="shared" si="135"/>
        <v>0</v>
      </c>
      <c r="BZ83" s="10">
        <f t="shared" si="136"/>
        <v>0</v>
      </c>
      <c r="CA83" s="1">
        <f>SUMIFS(
  '[1]Hoja 1'!$M:$M,
  '[1]Hoja 1'!$S:$S, $A83,
  '[1]Hoja 1'!$R:$R, "&gt;="&amp;INT($CC$1),
  '[1]Hoja 1'!$R:$R, "&lt;"&amp;INT($CD$1+1)
)</f>
        <v>0</v>
      </c>
      <c r="CB83" s="1">
        <f t="shared" si="137"/>
        <v>0</v>
      </c>
      <c r="CC83" s="9">
        <f t="shared" si="138"/>
        <v>0</v>
      </c>
      <c r="CD83" s="10">
        <f t="shared" si="139"/>
        <v>0</v>
      </c>
      <c r="CE83" s="1">
        <f>SUMIFS(
  '[1]Hoja 1'!$M:$M,
  '[1]Hoja 1'!$S:$S, $A83,
  '[1]Hoja 1'!$R:$R, "&gt;="&amp;INT($CG$1),
  '[1]Hoja 1'!$R:$R, "&lt;"&amp;INT($CH$1+1)
)</f>
        <v>0</v>
      </c>
      <c r="CF83" s="1">
        <f t="shared" si="140"/>
        <v>0</v>
      </c>
      <c r="CG83" s="9">
        <f t="shared" si="141"/>
        <v>0</v>
      </c>
      <c r="CH83" s="10">
        <f t="shared" si="142"/>
        <v>0</v>
      </c>
      <c r="CI83" s="1">
        <f>SUMIFS(
  '[1]Hoja 1'!$M:$M,
  '[1]Hoja 1'!$S:$S, $A83,
  '[1]Hoja 1'!$R:$R, "&gt;="&amp;INT($CK$1),
  '[1]Hoja 1'!$R:$R, "&lt;"&amp;INT($CL$1+1)
)</f>
        <v>0</v>
      </c>
      <c r="CJ83" s="1">
        <f t="shared" si="143"/>
        <v>0</v>
      </c>
      <c r="CK83" s="9">
        <f t="shared" si="144"/>
        <v>0</v>
      </c>
      <c r="CL83" s="10">
        <f t="shared" si="145"/>
        <v>0</v>
      </c>
      <c r="CM83" s="1">
        <f>SUMIFS(
  '[1]Hoja 1'!$M:$M,
  '[1]Hoja 1'!$S:$S, $A83,
  '[1]Hoja 1'!$R:$R, "&gt;="&amp;INT($CO$1),
  '[1]Hoja 1'!$R:$R, "&lt;"&amp;INT($CP$1+1)
)</f>
        <v>0</v>
      </c>
      <c r="CN83" s="1">
        <f t="shared" si="146"/>
        <v>0</v>
      </c>
      <c r="CO83" s="9">
        <f t="shared" si="147"/>
        <v>0</v>
      </c>
      <c r="CP83" s="10">
        <f t="shared" si="148"/>
        <v>0</v>
      </c>
      <c r="CQ83" s="1">
        <f>SUMIFS(
  '[1]Hoja 1'!$M:$M,
  '[1]Hoja 1'!$S:$S, $A83,
  '[1]Hoja 1'!$R:$R, "&gt;="&amp;INT($CS$1),
  '[1]Hoja 1'!$R:$R, "&lt;"&amp;INT($CT$1+1)
)</f>
        <v>0</v>
      </c>
      <c r="CR83" s="1">
        <f t="shared" si="149"/>
        <v>0</v>
      </c>
      <c r="CS83" s="9">
        <f t="shared" si="150"/>
        <v>0</v>
      </c>
      <c r="CT83" s="10">
        <f t="shared" si="151"/>
        <v>0</v>
      </c>
      <c r="CU83" s="1">
        <f>SUMIFS(
  '[1]Hoja 1'!$M:$M,
  '[1]Hoja 1'!$S:$S, $A83,
  '[1]Hoja 1'!$R:$R, "&gt;="&amp;INT($CW$1),
  '[1]Hoja 1'!$R:$R, "&lt;"&amp;INT($CX$1+1)
)</f>
        <v>0</v>
      </c>
      <c r="CV83" s="1">
        <f t="shared" si="152"/>
        <v>0</v>
      </c>
      <c r="CW83" s="9">
        <f t="shared" si="153"/>
        <v>0</v>
      </c>
      <c r="CX83" s="10">
        <f t="shared" si="154"/>
        <v>0</v>
      </c>
      <c r="CY83" s="1">
        <f>SUMIFS(
  '[1]Hoja 1'!$M:$M,
  '[1]Hoja 1'!$S:$S, $A83,
  '[1]Hoja 1'!$R:$R, "&gt;="&amp;INT($DA$1),
  '[1]Hoja 1'!$R:$R, "&lt;"&amp;INT($DB$1+1)
)</f>
        <v>0</v>
      </c>
      <c r="CZ83" s="1">
        <f t="shared" si="155"/>
        <v>0</v>
      </c>
      <c r="DA83" s="9">
        <f t="shared" si="156"/>
        <v>0</v>
      </c>
      <c r="DB83" s="10">
        <f t="shared" si="157"/>
        <v>0</v>
      </c>
      <c r="DC83" s="1">
        <f>SUMIFS(
  '[1]Hoja 1'!$M:$M,
  '[1]Hoja 1'!$S:$S, $A83,
  '[1]Hoja 1'!$R:$R, "&gt;="&amp;INT($DE$1),
  '[1]Hoja 1'!$R:$R, "&lt;"&amp;INT($DF$1+1)
)</f>
        <v>0</v>
      </c>
      <c r="DD83" s="1">
        <f t="shared" si="158"/>
        <v>0</v>
      </c>
      <c r="DE83" s="9">
        <f t="shared" si="159"/>
        <v>0</v>
      </c>
      <c r="DF83" s="10">
        <f t="shared" si="160"/>
        <v>0</v>
      </c>
      <c r="DG83" s="1">
        <f>SUMIFS(
  '[1]Hoja 1'!$M:$M,
  '[1]Hoja 1'!$S:$S, $A83,
  '[1]Hoja 1'!$R:$R, "&gt;="&amp;INT($DI$1),
  '[1]Hoja 1'!$R:$R, "&lt;"&amp;INT($DJ$1+1)
)</f>
        <v>0</v>
      </c>
      <c r="DH83" s="1">
        <f t="shared" si="161"/>
        <v>0</v>
      </c>
      <c r="DI83" s="9">
        <f t="shared" si="162"/>
        <v>0</v>
      </c>
      <c r="DJ83" s="10">
        <f t="shared" si="163"/>
        <v>0</v>
      </c>
      <c r="DK83" s="1">
        <f>SUMIFS(
  '[1]Hoja 1'!$M:$M,
  '[1]Hoja 1'!$S:$S, $A83,
  '[1]Hoja 1'!$R:$R, "&gt;="&amp;INT($DM$1),
  '[1]Hoja 1'!$R:$R, "&lt;"&amp;INT($DN$1+1)
)</f>
        <v>0</v>
      </c>
      <c r="DL83" s="1">
        <f t="shared" si="164"/>
        <v>0</v>
      </c>
      <c r="DM83" s="9">
        <f t="shared" si="165"/>
        <v>0</v>
      </c>
      <c r="DN83" s="10">
        <f t="shared" si="166"/>
        <v>0</v>
      </c>
      <c r="DO83" s="1">
        <f>SUMIFS(
  '[1]Hoja 1'!$M:$M,
  '[1]Hoja 1'!$S:$S, $A83,
  '[1]Hoja 1'!$R:$R, "&gt;="&amp;INT($DQ$1),
  '[1]Hoja 1'!$R:$R, "&lt;"&amp;INT($DR$1+1)
)</f>
        <v>0</v>
      </c>
      <c r="DP83" s="1">
        <f t="shared" si="167"/>
        <v>0</v>
      </c>
      <c r="DQ83" s="9">
        <f t="shared" si="168"/>
        <v>0</v>
      </c>
      <c r="DR83" s="10">
        <f t="shared" si="169"/>
        <v>0</v>
      </c>
    </row>
    <row r="84" spans="1:122" x14ac:dyDescent="0.25">
      <c r="A84" s="5">
        <v>213005</v>
      </c>
      <c r="B84" s="6" t="s">
        <v>84</v>
      </c>
      <c r="C84" s="1">
        <f>SUMIFS(
  '[1]Hoja 1'!$M:$M,
  '[1]Hoja 1'!$S:$S, $A84,
  '[1]Hoja 1'!$R:$R, "&gt;="&amp;INT($E$1),
  '[1]Hoja 1'!$R:$R, "&lt;"&amp;INT($F$1+1)
)</f>
        <v>0</v>
      </c>
      <c r="D84" s="1" t="str">
        <f>""</f>
        <v/>
      </c>
      <c r="F84" s="2"/>
      <c r="G84" s="1">
        <f>SUMIFS(
  '[1]Hoja 1'!$M:$M,
  '[1]Hoja 1'!$S:$S, $A84,
  '[1]Hoja 1'!$R:$R, "&gt;="&amp;INT($I$1),
  '[1]Hoja 1'!$R:$R, "&lt;"&amp;INT($J$1+1)
)</f>
        <v>0</v>
      </c>
      <c r="H84" s="1">
        <f t="shared" si="85"/>
        <v>0</v>
      </c>
      <c r="I84" s="1"/>
      <c r="J84" s="2"/>
      <c r="K84" s="1">
        <f>SUMIFS(
  '[1]Hoja 1'!$M:$M,
  '[1]Hoja 1'!$S:$S, $A84,
  '[1]Hoja 1'!$R:$R, "&gt;="&amp;INT($M$1),
  '[1]Hoja 1'!$R:$R, "&lt;"&amp;INT($N$1+1)
)</f>
        <v>0</v>
      </c>
      <c r="L84" s="1">
        <f t="shared" si="86"/>
        <v>0</v>
      </c>
      <c r="M84" s="9">
        <f t="shared" si="87"/>
        <v>0</v>
      </c>
      <c r="N84" s="10">
        <f t="shared" si="88"/>
        <v>0</v>
      </c>
      <c r="O84" s="1">
        <f>SUMIFS(
  '[1]Hoja 1'!$M:$M,
  '[1]Hoja 1'!$S:$S, $A84,
  '[1]Hoja 1'!$R:$R, "&gt;="&amp;INT($Q$1),
  '[1]Hoja 1'!$R:$R, "&lt;"&amp;INT($R$1+1)
)</f>
        <v>0</v>
      </c>
      <c r="P84" s="1">
        <f t="shared" si="89"/>
        <v>0</v>
      </c>
      <c r="Q84" s="9">
        <f t="shared" si="90"/>
        <v>0</v>
      </c>
      <c r="R84" s="10">
        <f t="shared" si="91"/>
        <v>0</v>
      </c>
      <c r="S84" s="1">
        <f>SUMIFS(
  '[1]Hoja 1'!$M:$M,
  '[1]Hoja 1'!$S:$S, $A84,
  '[1]Hoja 1'!$R:$R, "&gt;="&amp;INT($U$1),
  '[1]Hoja 1'!$R:$R, "&lt;"&amp;INT($V$1+1)
)</f>
        <v>0</v>
      </c>
      <c r="T84" s="1">
        <f t="shared" si="92"/>
        <v>0</v>
      </c>
      <c r="U84" s="9">
        <f t="shared" si="93"/>
        <v>0</v>
      </c>
      <c r="V84" s="10">
        <f t="shared" si="94"/>
        <v>0</v>
      </c>
      <c r="W84" s="1">
        <f>SUMIFS(
  '[1]Hoja 1'!$M:$M,
  '[1]Hoja 1'!$S:$S, $A84,
  '[1]Hoja 1'!$R:$R, "&gt;="&amp;INT($Y$1),
  '[1]Hoja 1'!$R:$R, "&lt;"&amp;INT($Z$1+1)
)</f>
        <v>0</v>
      </c>
      <c r="X84" s="1">
        <f t="shared" si="95"/>
        <v>0</v>
      </c>
      <c r="Y84" s="9">
        <f t="shared" si="96"/>
        <v>0</v>
      </c>
      <c r="Z84" s="10">
        <f t="shared" si="97"/>
        <v>0</v>
      </c>
      <c r="AA84" s="1">
        <f>SUMIFS(
  '[1]Hoja 1'!$M:$M,
  '[1]Hoja 1'!$S:$S, $A84,
  '[1]Hoja 1'!$R:$R, "&gt;="&amp;INT($AC$1),
  '[1]Hoja 1'!$R:$R, "&lt;"&amp;INT($AD$1+1)
)</f>
        <v>0</v>
      </c>
      <c r="AB84" s="1">
        <f t="shared" si="98"/>
        <v>0</v>
      </c>
      <c r="AC84" s="9">
        <f t="shared" si="99"/>
        <v>0</v>
      </c>
      <c r="AD84" s="10">
        <f t="shared" si="100"/>
        <v>0</v>
      </c>
      <c r="AE84" s="1">
        <f>SUMIFS(
  '[1]Hoja 1'!$M:$M,
  '[1]Hoja 1'!$S:$S, $A84,
  '[1]Hoja 1'!$R:$R, "&gt;="&amp;INT($AG$1),
  '[1]Hoja 1'!$R:$R, "&lt;"&amp;INT($AH$1+1)
)</f>
        <v>0</v>
      </c>
      <c r="AF84" s="1">
        <f t="shared" si="101"/>
        <v>0</v>
      </c>
      <c r="AG84" s="9">
        <f t="shared" si="102"/>
        <v>0</v>
      </c>
      <c r="AH84" s="10">
        <f t="shared" si="103"/>
        <v>0</v>
      </c>
      <c r="AI84" s="1">
        <f>SUMIFS(
  '[1]Hoja 1'!$M:$M,
  '[1]Hoja 1'!$S:$S, $A84,
  '[1]Hoja 1'!$R:$R, "&gt;="&amp;INT($AK$1),
  '[1]Hoja 1'!$R:$R, "&lt;"&amp;INT($AL$1+1)
)</f>
        <v>0</v>
      </c>
      <c r="AJ84" s="1">
        <f t="shared" si="104"/>
        <v>0</v>
      </c>
      <c r="AK84" s="9">
        <f t="shared" si="105"/>
        <v>0</v>
      </c>
      <c r="AL84" s="10">
        <f t="shared" si="106"/>
        <v>0</v>
      </c>
      <c r="AM84" s="1">
        <f>SUMIFS(
  '[1]Hoja 1'!$M:$M,
  '[1]Hoja 1'!$S:$S, $A84,
  '[1]Hoja 1'!$R:$R, "&gt;="&amp;INT($AO$1),
  '[1]Hoja 1'!$R:$R, "&lt;"&amp;INT($AP$1+1)
)</f>
        <v>0</v>
      </c>
      <c r="AN84" s="1">
        <f t="shared" si="107"/>
        <v>0</v>
      </c>
      <c r="AO84" s="9">
        <f t="shared" si="108"/>
        <v>0</v>
      </c>
      <c r="AP84" s="10">
        <f t="shared" si="109"/>
        <v>0</v>
      </c>
      <c r="AQ84" s="1">
        <f>SUMIFS(
  '[1]Hoja 1'!$M:$M,
  '[1]Hoja 1'!$S:$S, $A84,
  '[1]Hoja 1'!$R:$R, "&gt;="&amp;INT($AS$1),
  '[1]Hoja 1'!$R:$R, "&lt;"&amp;INT($AT$1+1)
)</f>
        <v>0</v>
      </c>
      <c r="AR84" s="1">
        <f t="shared" si="110"/>
        <v>0</v>
      </c>
      <c r="AS84" s="9">
        <f t="shared" si="111"/>
        <v>0</v>
      </c>
      <c r="AT84" s="10">
        <f t="shared" si="112"/>
        <v>0</v>
      </c>
      <c r="AU84" s="1">
        <f>SUMIFS(
  '[1]Hoja 1'!$M:$M,
  '[1]Hoja 1'!$S:$S, $A84,
  '[1]Hoja 1'!$R:$R, "&gt;="&amp;INT($AW$1),
  '[1]Hoja 1'!$R:$R, "&lt;"&amp;INT($AX$1+1)
)</f>
        <v>0</v>
      </c>
      <c r="AV84" s="1">
        <f t="shared" si="113"/>
        <v>0</v>
      </c>
      <c r="AW84" s="9">
        <f t="shared" si="114"/>
        <v>0</v>
      </c>
      <c r="AX84" s="10">
        <f t="shared" si="115"/>
        <v>0</v>
      </c>
      <c r="AY84" s="1">
        <f>SUMIFS(
  '[1]Hoja 1'!$M:$M,
  '[1]Hoja 1'!$S:$S, $A84,
  '[1]Hoja 1'!$R:$R, "&gt;="&amp;INT($BA$1),
  '[1]Hoja 1'!$R:$R, "&lt;"&amp;INT($BB$1+1)
)</f>
        <v>0</v>
      </c>
      <c r="AZ84" s="1">
        <f t="shared" si="116"/>
        <v>0</v>
      </c>
      <c r="BA84" s="9">
        <f t="shared" si="117"/>
        <v>0</v>
      </c>
      <c r="BB84" s="10">
        <f t="shared" si="118"/>
        <v>0</v>
      </c>
      <c r="BC84" s="1">
        <f>SUMIFS(
  '[1]Hoja 1'!$M:$M,
  '[1]Hoja 1'!$S:$S, $A84,
  '[1]Hoja 1'!$R:$R, "&gt;="&amp;INT($BE$1),
  '[1]Hoja 1'!$R:$R, "&lt;"&amp;INT($BF$1+1)
)</f>
        <v>0</v>
      </c>
      <c r="BD84" s="1">
        <f t="shared" si="119"/>
        <v>0</v>
      </c>
      <c r="BE84" s="9">
        <f t="shared" si="120"/>
        <v>0</v>
      </c>
      <c r="BF84" s="10">
        <f t="shared" si="121"/>
        <v>0</v>
      </c>
      <c r="BG84" s="1">
        <f>SUMIFS(
  '[1]Hoja 1'!$M:$M,
  '[1]Hoja 1'!$S:$S, $A84,
  '[1]Hoja 1'!$R:$R, "&gt;="&amp;INT($BI$1),
  '[1]Hoja 1'!$R:$R, "&lt;"&amp;INT($BJ$1+1)
)</f>
        <v>0</v>
      </c>
      <c r="BH84" s="1">
        <f t="shared" si="122"/>
        <v>0</v>
      </c>
      <c r="BI84" s="9">
        <f t="shared" si="123"/>
        <v>0</v>
      </c>
      <c r="BJ84" s="10">
        <f t="shared" si="124"/>
        <v>0</v>
      </c>
      <c r="BK84" s="1">
        <f>SUMIFS(
  '[1]Hoja 1'!$M:$M,
  '[1]Hoja 1'!$S:$S, $A84,
  '[1]Hoja 1'!$R:$R, "&gt;="&amp;INT($BM$1),
  '[1]Hoja 1'!$R:$R, "&lt;"&amp;INT($BN$1+1)
)</f>
        <v>0</v>
      </c>
      <c r="BL84" s="1">
        <f t="shared" si="125"/>
        <v>0</v>
      </c>
      <c r="BM84" s="9">
        <f t="shared" si="126"/>
        <v>0</v>
      </c>
      <c r="BN84" s="10">
        <f t="shared" si="127"/>
        <v>0</v>
      </c>
      <c r="BO84" s="1">
        <f>SUMIFS(
  '[1]Hoja 1'!$M:$M,
  '[1]Hoja 1'!$S:$S, $A84,
  '[1]Hoja 1'!$R:$R, "&gt;="&amp;INT($BQ$1),
  '[1]Hoja 1'!$R:$R, "&lt;"&amp;INT($BR$1+1)
)</f>
        <v>0</v>
      </c>
      <c r="BP84" s="1">
        <f t="shared" si="128"/>
        <v>0</v>
      </c>
      <c r="BQ84" s="9">
        <f t="shared" si="129"/>
        <v>0</v>
      </c>
      <c r="BR84" s="10">
        <f t="shared" si="130"/>
        <v>0</v>
      </c>
      <c r="BS84" s="1">
        <f>SUMIFS(
  '[1]Hoja 1'!$M:$M,
  '[1]Hoja 1'!$S:$S, $A84,
  '[1]Hoja 1'!$R:$R, "&gt;="&amp;INT($BU$1),
  '[1]Hoja 1'!$R:$R, "&lt;"&amp;INT($BV$1+1)
)</f>
        <v>0</v>
      </c>
      <c r="BT84" s="1">
        <f t="shared" si="131"/>
        <v>0</v>
      </c>
      <c r="BU84" s="9">
        <f t="shared" si="132"/>
        <v>0</v>
      </c>
      <c r="BV84" s="10">
        <f t="shared" si="133"/>
        <v>0</v>
      </c>
      <c r="BW84" s="1">
        <f>SUMIFS(
  '[1]Hoja 1'!$M:$M,
  '[1]Hoja 1'!$S:$S, $A84,
  '[1]Hoja 1'!$R:$R, "&gt;="&amp;INT($BY$1),
  '[1]Hoja 1'!$R:$R, "&lt;"&amp;INT($BZ$1+1)
)</f>
        <v>0</v>
      </c>
      <c r="BX84" s="1">
        <f t="shared" si="134"/>
        <v>0</v>
      </c>
      <c r="BY84" s="9">
        <f t="shared" si="135"/>
        <v>0</v>
      </c>
      <c r="BZ84" s="10">
        <f t="shared" si="136"/>
        <v>0</v>
      </c>
      <c r="CA84" s="1">
        <f>SUMIFS(
  '[1]Hoja 1'!$M:$M,
  '[1]Hoja 1'!$S:$S, $A84,
  '[1]Hoja 1'!$R:$R, "&gt;="&amp;INT($CC$1),
  '[1]Hoja 1'!$R:$R, "&lt;"&amp;INT($CD$1+1)
)</f>
        <v>0</v>
      </c>
      <c r="CB84" s="1">
        <f t="shared" si="137"/>
        <v>0</v>
      </c>
      <c r="CC84" s="9">
        <f t="shared" si="138"/>
        <v>0</v>
      </c>
      <c r="CD84" s="10">
        <f t="shared" si="139"/>
        <v>0</v>
      </c>
      <c r="CE84" s="1">
        <f>SUMIFS(
  '[1]Hoja 1'!$M:$M,
  '[1]Hoja 1'!$S:$S, $A84,
  '[1]Hoja 1'!$R:$R, "&gt;="&amp;INT($CG$1),
  '[1]Hoja 1'!$R:$R, "&lt;"&amp;INT($CH$1+1)
)</f>
        <v>0</v>
      </c>
      <c r="CF84" s="1">
        <f t="shared" si="140"/>
        <v>0</v>
      </c>
      <c r="CG84" s="9">
        <f t="shared" si="141"/>
        <v>0</v>
      </c>
      <c r="CH84" s="10">
        <f t="shared" si="142"/>
        <v>0</v>
      </c>
      <c r="CI84" s="1">
        <f>SUMIFS(
  '[1]Hoja 1'!$M:$M,
  '[1]Hoja 1'!$S:$S, $A84,
  '[1]Hoja 1'!$R:$R, "&gt;="&amp;INT($CK$1),
  '[1]Hoja 1'!$R:$R, "&lt;"&amp;INT($CL$1+1)
)</f>
        <v>0</v>
      </c>
      <c r="CJ84" s="1">
        <f t="shared" si="143"/>
        <v>0</v>
      </c>
      <c r="CK84" s="9">
        <f t="shared" si="144"/>
        <v>0</v>
      </c>
      <c r="CL84" s="10">
        <f t="shared" si="145"/>
        <v>0</v>
      </c>
      <c r="CM84" s="1">
        <f>SUMIFS(
  '[1]Hoja 1'!$M:$M,
  '[1]Hoja 1'!$S:$S, $A84,
  '[1]Hoja 1'!$R:$R, "&gt;="&amp;INT($CO$1),
  '[1]Hoja 1'!$R:$R, "&lt;"&amp;INT($CP$1+1)
)</f>
        <v>0</v>
      </c>
      <c r="CN84" s="1">
        <f t="shared" si="146"/>
        <v>0</v>
      </c>
      <c r="CO84" s="9">
        <f t="shared" si="147"/>
        <v>0</v>
      </c>
      <c r="CP84" s="10">
        <f t="shared" si="148"/>
        <v>0</v>
      </c>
      <c r="CQ84" s="1">
        <f>SUMIFS(
  '[1]Hoja 1'!$M:$M,
  '[1]Hoja 1'!$S:$S, $A84,
  '[1]Hoja 1'!$R:$R, "&gt;="&amp;INT($CS$1),
  '[1]Hoja 1'!$R:$R, "&lt;"&amp;INT($CT$1+1)
)</f>
        <v>0</v>
      </c>
      <c r="CR84" s="1">
        <f t="shared" si="149"/>
        <v>0</v>
      </c>
      <c r="CS84" s="9">
        <f t="shared" si="150"/>
        <v>0</v>
      </c>
      <c r="CT84" s="10">
        <f t="shared" si="151"/>
        <v>0</v>
      </c>
      <c r="CU84" s="1">
        <f>SUMIFS(
  '[1]Hoja 1'!$M:$M,
  '[1]Hoja 1'!$S:$S, $A84,
  '[1]Hoja 1'!$R:$R, "&gt;="&amp;INT($CW$1),
  '[1]Hoja 1'!$R:$R, "&lt;"&amp;INT($CX$1+1)
)</f>
        <v>0</v>
      </c>
      <c r="CV84" s="1">
        <f t="shared" si="152"/>
        <v>0</v>
      </c>
      <c r="CW84" s="9">
        <f t="shared" si="153"/>
        <v>0</v>
      </c>
      <c r="CX84" s="10">
        <f t="shared" si="154"/>
        <v>0</v>
      </c>
      <c r="CY84" s="1">
        <f>SUMIFS(
  '[1]Hoja 1'!$M:$M,
  '[1]Hoja 1'!$S:$S, $A84,
  '[1]Hoja 1'!$R:$R, "&gt;="&amp;INT($DA$1),
  '[1]Hoja 1'!$R:$R, "&lt;"&amp;INT($DB$1+1)
)</f>
        <v>0</v>
      </c>
      <c r="CZ84" s="1">
        <f t="shared" si="155"/>
        <v>0</v>
      </c>
      <c r="DA84" s="9">
        <f t="shared" si="156"/>
        <v>0</v>
      </c>
      <c r="DB84" s="10">
        <f t="shared" si="157"/>
        <v>0</v>
      </c>
      <c r="DC84" s="1">
        <f>SUMIFS(
  '[1]Hoja 1'!$M:$M,
  '[1]Hoja 1'!$S:$S, $A84,
  '[1]Hoja 1'!$R:$R, "&gt;="&amp;INT($DE$1),
  '[1]Hoja 1'!$R:$R, "&lt;"&amp;INT($DF$1+1)
)</f>
        <v>0</v>
      </c>
      <c r="DD84" s="1">
        <f t="shared" si="158"/>
        <v>0</v>
      </c>
      <c r="DE84" s="9">
        <f t="shared" si="159"/>
        <v>0</v>
      </c>
      <c r="DF84" s="10">
        <f t="shared" si="160"/>
        <v>0</v>
      </c>
      <c r="DG84" s="1">
        <f>SUMIFS(
  '[1]Hoja 1'!$M:$M,
  '[1]Hoja 1'!$S:$S, $A84,
  '[1]Hoja 1'!$R:$R, "&gt;="&amp;INT($DI$1),
  '[1]Hoja 1'!$R:$R, "&lt;"&amp;INT($DJ$1+1)
)</f>
        <v>0</v>
      </c>
      <c r="DH84" s="1">
        <f t="shared" si="161"/>
        <v>0</v>
      </c>
      <c r="DI84" s="9">
        <f t="shared" si="162"/>
        <v>0</v>
      </c>
      <c r="DJ84" s="10">
        <f t="shared" si="163"/>
        <v>0</v>
      </c>
      <c r="DK84" s="1">
        <f>SUMIFS(
  '[1]Hoja 1'!$M:$M,
  '[1]Hoja 1'!$S:$S, $A84,
  '[1]Hoja 1'!$R:$R, "&gt;="&amp;INT($DM$1),
  '[1]Hoja 1'!$R:$R, "&lt;"&amp;INT($DN$1+1)
)</f>
        <v>0</v>
      </c>
      <c r="DL84" s="1">
        <f t="shared" si="164"/>
        <v>0</v>
      </c>
      <c r="DM84" s="9">
        <f t="shared" si="165"/>
        <v>0</v>
      </c>
      <c r="DN84" s="10">
        <f t="shared" si="166"/>
        <v>0</v>
      </c>
      <c r="DO84" s="1">
        <f>SUMIFS(
  '[1]Hoja 1'!$M:$M,
  '[1]Hoja 1'!$S:$S, $A84,
  '[1]Hoja 1'!$R:$R, "&gt;="&amp;INT($DQ$1),
  '[1]Hoja 1'!$R:$R, "&lt;"&amp;INT($DR$1+1)
)</f>
        <v>0</v>
      </c>
      <c r="DP84" s="1">
        <f t="shared" si="167"/>
        <v>0</v>
      </c>
      <c r="DQ84" s="9">
        <f t="shared" si="168"/>
        <v>0</v>
      </c>
      <c r="DR84" s="10">
        <f t="shared" si="169"/>
        <v>0</v>
      </c>
    </row>
    <row r="85" spans="1:122" x14ac:dyDescent="0.25">
      <c r="A85" s="5">
        <v>213006</v>
      </c>
      <c r="B85" s="6" t="s">
        <v>85</v>
      </c>
      <c r="C85" s="1">
        <f>SUMIFS(
  '[1]Hoja 1'!$M:$M,
  '[1]Hoja 1'!$S:$S, $A85,
  '[1]Hoja 1'!$R:$R, "&gt;="&amp;INT($E$1),
  '[1]Hoja 1'!$R:$R, "&lt;"&amp;INT($F$1+1)
)</f>
        <v>0</v>
      </c>
      <c r="D85" s="1" t="str">
        <f>""</f>
        <v/>
      </c>
      <c r="F85" s="2"/>
      <c r="G85" s="1">
        <f>SUMIFS(
  '[1]Hoja 1'!$M:$M,
  '[1]Hoja 1'!$S:$S, $A85,
  '[1]Hoja 1'!$R:$R, "&gt;="&amp;INT($I$1),
  '[1]Hoja 1'!$R:$R, "&lt;"&amp;INT($J$1+1)
)</f>
        <v>0</v>
      </c>
      <c r="H85" s="1">
        <f t="shared" si="85"/>
        <v>0</v>
      </c>
      <c r="I85" s="1"/>
      <c r="J85" s="2"/>
      <c r="K85" s="1">
        <f>SUMIFS(
  '[1]Hoja 1'!$M:$M,
  '[1]Hoja 1'!$S:$S, $A85,
  '[1]Hoja 1'!$R:$R, "&gt;="&amp;INT($M$1),
  '[1]Hoja 1'!$R:$R, "&lt;"&amp;INT($N$1+1)
)</f>
        <v>0</v>
      </c>
      <c r="L85" s="1">
        <f t="shared" si="86"/>
        <v>0</v>
      </c>
      <c r="M85" s="9">
        <f t="shared" si="87"/>
        <v>0</v>
      </c>
      <c r="N85" s="10">
        <f t="shared" si="88"/>
        <v>0</v>
      </c>
      <c r="O85" s="1">
        <f>SUMIFS(
  '[1]Hoja 1'!$M:$M,
  '[1]Hoja 1'!$S:$S, $A85,
  '[1]Hoja 1'!$R:$R, "&gt;="&amp;INT($Q$1),
  '[1]Hoja 1'!$R:$R, "&lt;"&amp;INT($R$1+1)
)</f>
        <v>0</v>
      </c>
      <c r="P85" s="1">
        <f t="shared" si="89"/>
        <v>0</v>
      </c>
      <c r="Q85" s="9">
        <f t="shared" si="90"/>
        <v>0</v>
      </c>
      <c r="R85" s="10">
        <f t="shared" si="91"/>
        <v>0</v>
      </c>
      <c r="S85" s="1">
        <f>SUMIFS(
  '[1]Hoja 1'!$M:$M,
  '[1]Hoja 1'!$S:$S, $A85,
  '[1]Hoja 1'!$R:$R, "&gt;="&amp;INT($U$1),
  '[1]Hoja 1'!$R:$R, "&lt;"&amp;INT($V$1+1)
)</f>
        <v>0</v>
      </c>
      <c r="T85" s="1">
        <f t="shared" si="92"/>
        <v>0</v>
      </c>
      <c r="U85" s="9">
        <f t="shared" si="93"/>
        <v>0</v>
      </c>
      <c r="V85" s="10">
        <f t="shared" si="94"/>
        <v>0</v>
      </c>
      <c r="W85" s="1">
        <f>SUMIFS(
  '[1]Hoja 1'!$M:$M,
  '[1]Hoja 1'!$S:$S, $A85,
  '[1]Hoja 1'!$R:$R, "&gt;="&amp;INT($Y$1),
  '[1]Hoja 1'!$R:$R, "&lt;"&amp;INT($Z$1+1)
)</f>
        <v>0</v>
      </c>
      <c r="X85" s="1">
        <f t="shared" si="95"/>
        <v>0</v>
      </c>
      <c r="Y85" s="9">
        <f t="shared" si="96"/>
        <v>0</v>
      </c>
      <c r="Z85" s="10">
        <f t="shared" si="97"/>
        <v>0</v>
      </c>
      <c r="AA85" s="1">
        <f>SUMIFS(
  '[1]Hoja 1'!$M:$M,
  '[1]Hoja 1'!$S:$S, $A85,
  '[1]Hoja 1'!$R:$R, "&gt;="&amp;INT($AC$1),
  '[1]Hoja 1'!$R:$R, "&lt;"&amp;INT($AD$1+1)
)</f>
        <v>0</v>
      </c>
      <c r="AB85" s="1">
        <f t="shared" si="98"/>
        <v>0</v>
      </c>
      <c r="AC85" s="9">
        <f t="shared" si="99"/>
        <v>0</v>
      </c>
      <c r="AD85" s="10">
        <f t="shared" si="100"/>
        <v>0</v>
      </c>
      <c r="AE85" s="1">
        <f>SUMIFS(
  '[1]Hoja 1'!$M:$M,
  '[1]Hoja 1'!$S:$S, $A85,
  '[1]Hoja 1'!$R:$R, "&gt;="&amp;INT($AG$1),
  '[1]Hoja 1'!$R:$R, "&lt;"&amp;INT($AH$1+1)
)</f>
        <v>0</v>
      </c>
      <c r="AF85" s="1">
        <f t="shared" si="101"/>
        <v>0</v>
      </c>
      <c r="AG85" s="9">
        <f t="shared" si="102"/>
        <v>0</v>
      </c>
      <c r="AH85" s="10">
        <f t="shared" si="103"/>
        <v>0</v>
      </c>
      <c r="AI85" s="1">
        <f>SUMIFS(
  '[1]Hoja 1'!$M:$M,
  '[1]Hoja 1'!$S:$S, $A85,
  '[1]Hoja 1'!$R:$R, "&gt;="&amp;INT($AK$1),
  '[1]Hoja 1'!$R:$R, "&lt;"&amp;INT($AL$1+1)
)</f>
        <v>0</v>
      </c>
      <c r="AJ85" s="1">
        <f t="shared" si="104"/>
        <v>0</v>
      </c>
      <c r="AK85" s="9">
        <f t="shared" si="105"/>
        <v>0</v>
      </c>
      <c r="AL85" s="10">
        <f t="shared" si="106"/>
        <v>0</v>
      </c>
      <c r="AM85" s="1">
        <f>SUMIFS(
  '[1]Hoja 1'!$M:$M,
  '[1]Hoja 1'!$S:$S, $A85,
  '[1]Hoja 1'!$R:$R, "&gt;="&amp;INT($AO$1),
  '[1]Hoja 1'!$R:$R, "&lt;"&amp;INT($AP$1+1)
)</f>
        <v>0</v>
      </c>
      <c r="AN85" s="1">
        <f t="shared" si="107"/>
        <v>0</v>
      </c>
      <c r="AO85" s="9">
        <f t="shared" si="108"/>
        <v>0</v>
      </c>
      <c r="AP85" s="10">
        <f t="shared" si="109"/>
        <v>0</v>
      </c>
      <c r="AQ85" s="1">
        <f>SUMIFS(
  '[1]Hoja 1'!$M:$M,
  '[1]Hoja 1'!$S:$S, $A85,
  '[1]Hoja 1'!$R:$R, "&gt;="&amp;INT($AS$1),
  '[1]Hoja 1'!$R:$R, "&lt;"&amp;INT($AT$1+1)
)</f>
        <v>0</v>
      </c>
      <c r="AR85" s="1">
        <f t="shared" si="110"/>
        <v>0</v>
      </c>
      <c r="AS85" s="9">
        <f t="shared" si="111"/>
        <v>0</v>
      </c>
      <c r="AT85" s="10">
        <f t="shared" si="112"/>
        <v>0</v>
      </c>
      <c r="AU85" s="1">
        <f>SUMIFS(
  '[1]Hoja 1'!$M:$M,
  '[1]Hoja 1'!$S:$S, $A85,
  '[1]Hoja 1'!$R:$R, "&gt;="&amp;INT($AW$1),
  '[1]Hoja 1'!$R:$R, "&lt;"&amp;INT($AX$1+1)
)</f>
        <v>0</v>
      </c>
      <c r="AV85" s="1">
        <f t="shared" si="113"/>
        <v>0</v>
      </c>
      <c r="AW85" s="9">
        <f t="shared" si="114"/>
        <v>0</v>
      </c>
      <c r="AX85" s="10">
        <f t="shared" si="115"/>
        <v>0</v>
      </c>
      <c r="AY85" s="1">
        <f>SUMIFS(
  '[1]Hoja 1'!$M:$M,
  '[1]Hoja 1'!$S:$S, $A85,
  '[1]Hoja 1'!$R:$R, "&gt;="&amp;INT($BA$1),
  '[1]Hoja 1'!$R:$R, "&lt;"&amp;INT($BB$1+1)
)</f>
        <v>0</v>
      </c>
      <c r="AZ85" s="1">
        <f t="shared" si="116"/>
        <v>0</v>
      </c>
      <c r="BA85" s="9">
        <f t="shared" si="117"/>
        <v>0</v>
      </c>
      <c r="BB85" s="10">
        <f t="shared" si="118"/>
        <v>0</v>
      </c>
      <c r="BC85" s="1">
        <f>SUMIFS(
  '[1]Hoja 1'!$M:$M,
  '[1]Hoja 1'!$S:$S, $A85,
  '[1]Hoja 1'!$R:$R, "&gt;="&amp;INT($BE$1),
  '[1]Hoja 1'!$R:$R, "&lt;"&amp;INT($BF$1+1)
)</f>
        <v>0</v>
      </c>
      <c r="BD85" s="1">
        <f t="shared" si="119"/>
        <v>0</v>
      </c>
      <c r="BE85" s="9">
        <f t="shared" si="120"/>
        <v>0</v>
      </c>
      <c r="BF85" s="10">
        <f t="shared" si="121"/>
        <v>0</v>
      </c>
      <c r="BG85" s="1">
        <f>SUMIFS(
  '[1]Hoja 1'!$M:$M,
  '[1]Hoja 1'!$S:$S, $A85,
  '[1]Hoja 1'!$R:$R, "&gt;="&amp;INT($BI$1),
  '[1]Hoja 1'!$R:$R, "&lt;"&amp;INT($BJ$1+1)
)</f>
        <v>0</v>
      </c>
      <c r="BH85" s="1">
        <f t="shared" si="122"/>
        <v>0</v>
      </c>
      <c r="BI85" s="9">
        <f t="shared" si="123"/>
        <v>0</v>
      </c>
      <c r="BJ85" s="10">
        <f t="shared" si="124"/>
        <v>0</v>
      </c>
      <c r="BK85" s="1">
        <f>SUMIFS(
  '[1]Hoja 1'!$M:$M,
  '[1]Hoja 1'!$S:$S, $A85,
  '[1]Hoja 1'!$R:$R, "&gt;="&amp;INT($BM$1),
  '[1]Hoja 1'!$R:$R, "&lt;"&amp;INT($BN$1+1)
)</f>
        <v>0</v>
      </c>
      <c r="BL85" s="1">
        <f t="shared" si="125"/>
        <v>0</v>
      </c>
      <c r="BM85" s="9">
        <f t="shared" si="126"/>
        <v>0</v>
      </c>
      <c r="BN85" s="10">
        <f t="shared" si="127"/>
        <v>0</v>
      </c>
      <c r="BO85" s="1">
        <f>SUMIFS(
  '[1]Hoja 1'!$M:$M,
  '[1]Hoja 1'!$S:$S, $A85,
  '[1]Hoja 1'!$R:$R, "&gt;="&amp;INT($BQ$1),
  '[1]Hoja 1'!$R:$R, "&lt;"&amp;INT($BR$1+1)
)</f>
        <v>0</v>
      </c>
      <c r="BP85" s="1">
        <f t="shared" si="128"/>
        <v>0</v>
      </c>
      <c r="BQ85" s="9">
        <f t="shared" si="129"/>
        <v>0</v>
      </c>
      <c r="BR85" s="10">
        <f t="shared" si="130"/>
        <v>0</v>
      </c>
      <c r="BS85" s="1">
        <f>SUMIFS(
  '[1]Hoja 1'!$M:$M,
  '[1]Hoja 1'!$S:$S, $A85,
  '[1]Hoja 1'!$R:$R, "&gt;="&amp;INT($BU$1),
  '[1]Hoja 1'!$R:$R, "&lt;"&amp;INT($BV$1+1)
)</f>
        <v>0</v>
      </c>
      <c r="BT85" s="1">
        <f t="shared" si="131"/>
        <v>0</v>
      </c>
      <c r="BU85" s="9">
        <f t="shared" si="132"/>
        <v>0</v>
      </c>
      <c r="BV85" s="10">
        <f t="shared" si="133"/>
        <v>0</v>
      </c>
      <c r="BW85" s="1">
        <f>SUMIFS(
  '[1]Hoja 1'!$M:$M,
  '[1]Hoja 1'!$S:$S, $A85,
  '[1]Hoja 1'!$R:$R, "&gt;="&amp;INT($BY$1),
  '[1]Hoja 1'!$R:$R, "&lt;"&amp;INT($BZ$1+1)
)</f>
        <v>0</v>
      </c>
      <c r="BX85" s="1">
        <f t="shared" si="134"/>
        <v>0</v>
      </c>
      <c r="BY85" s="9">
        <f t="shared" si="135"/>
        <v>0</v>
      </c>
      <c r="BZ85" s="10">
        <f t="shared" si="136"/>
        <v>0</v>
      </c>
      <c r="CA85" s="1">
        <f>SUMIFS(
  '[1]Hoja 1'!$M:$M,
  '[1]Hoja 1'!$S:$S, $A85,
  '[1]Hoja 1'!$R:$R, "&gt;="&amp;INT($CC$1),
  '[1]Hoja 1'!$R:$R, "&lt;"&amp;INT($CD$1+1)
)</f>
        <v>0</v>
      </c>
      <c r="CB85" s="1">
        <f t="shared" si="137"/>
        <v>0</v>
      </c>
      <c r="CC85" s="9">
        <f t="shared" si="138"/>
        <v>0</v>
      </c>
      <c r="CD85" s="10">
        <f t="shared" si="139"/>
        <v>0</v>
      </c>
      <c r="CE85" s="1">
        <f>SUMIFS(
  '[1]Hoja 1'!$M:$M,
  '[1]Hoja 1'!$S:$S, $A85,
  '[1]Hoja 1'!$R:$R, "&gt;="&amp;INT($CG$1),
  '[1]Hoja 1'!$R:$R, "&lt;"&amp;INT($CH$1+1)
)</f>
        <v>0</v>
      </c>
      <c r="CF85" s="1">
        <f t="shared" si="140"/>
        <v>0</v>
      </c>
      <c r="CG85" s="9">
        <f t="shared" si="141"/>
        <v>0</v>
      </c>
      <c r="CH85" s="10">
        <f t="shared" si="142"/>
        <v>0</v>
      </c>
      <c r="CI85" s="1">
        <f>SUMIFS(
  '[1]Hoja 1'!$M:$M,
  '[1]Hoja 1'!$S:$S, $A85,
  '[1]Hoja 1'!$R:$R, "&gt;="&amp;INT($CK$1),
  '[1]Hoja 1'!$R:$R, "&lt;"&amp;INT($CL$1+1)
)</f>
        <v>0</v>
      </c>
      <c r="CJ85" s="1">
        <f t="shared" si="143"/>
        <v>0</v>
      </c>
      <c r="CK85" s="9">
        <f t="shared" si="144"/>
        <v>0</v>
      </c>
      <c r="CL85" s="10">
        <f t="shared" si="145"/>
        <v>0</v>
      </c>
      <c r="CM85" s="1">
        <f>SUMIFS(
  '[1]Hoja 1'!$M:$M,
  '[1]Hoja 1'!$S:$S, $A85,
  '[1]Hoja 1'!$R:$R, "&gt;="&amp;INT($CO$1),
  '[1]Hoja 1'!$R:$R, "&lt;"&amp;INT($CP$1+1)
)</f>
        <v>0</v>
      </c>
      <c r="CN85" s="1">
        <f t="shared" si="146"/>
        <v>0</v>
      </c>
      <c r="CO85" s="9">
        <f t="shared" si="147"/>
        <v>0</v>
      </c>
      <c r="CP85" s="10">
        <f t="shared" si="148"/>
        <v>0</v>
      </c>
      <c r="CQ85" s="1">
        <f>SUMIFS(
  '[1]Hoja 1'!$M:$M,
  '[1]Hoja 1'!$S:$S, $A85,
  '[1]Hoja 1'!$R:$R, "&gt;="&amp;INT($CS$1),
  '[1]Hoja 1'!$R:$R, "&lt;"&amp;INT($CT$1+1)
)</f>
        <v>0</v>
      </c>
      <c r="CR85" s="1">
        <f t="shared" si="149"/>
        <v>0</v>
      </c>
      <c r="CS85" s="9">
        <f t="shared" si="150"/>
        <v>0</v>
      </c>
      <c r="CT85" s="10">
        <f t="shared" si="151"/>
        <v>0</v>
      </c>
      <c r="CU85" s="1">
        <f>SUMIFS(
  '[1]Hoja 1'!$M:$M,
  '[1]Hoja 1'!$S:$S, $A85,
  '[1]Hoja 1'!$R:$R, "&gt;="&amp;INT($CW$1),
  '[1]Hoja 1'!$R:$R, "&lt;"&amp;INT($CX$1+1)
)</f>
        <v>0</v>
      </c>
      <c r="CV85" s="1">
        <f t="shared" si="152"/>
        <v>0</v>
      </c>
      <c r="CW85" s="9">
        <f t="shared" si="153"/>
        <v>0</v>
      </c>
      <c r="CX85" s="10">
        <f t="shared" si="154"/>
        <v>0</v>
      </c>
      <c r="CY85" s="1">
        <f>SUMIFS(
  '[1]Hoja 1'!$M:$M,
  '[1]Hoja 1'!$S:$S, $A85,
  '[1]Hoja 1'!$R:$R, "&gt;="&amp;INT($DA$1),
  '[1]Hoja 1'!$R:$R, "&lt;"&amp;INT($DB$1+1)
)</f>
        <v>0</v>
      </c>
      <c r="CZ85" s="1">
        <f t="shared" si="155"/>
        <v>0</v>
      </c>
      <c r="DA85" s="9">
        <f t="shared" si="156"/>
        <v>0</v>
      </c>
      <c r="DB85" s="10">
        <f t="shared" si="157"/>
        <v>0</v>
      </c>
      <c r="DC85" s="1">
        <f>SUMIFS(
  '[1]Hoja 1'!$M:$M,
  '[1]Hoja 1'!$S:$S, $A85,
  '[1]Hoja 1'!$R:$R, "&gt;="&amp;INT($DE$1),
  '[1]Hoja 1'!$R:$R, "&lt;"&amp;INT($DF$1+1)
)</f>
        <v>0</v>
      </c>
      <c r="DD85" s="1">
        <f t="shared" si="158"/>
        <v>0</v>
      </c>
      <c r="DE85" s="9">
        <f t="shared" si="159"/>
        <v>0</v>
      </c>
      <c r="DF85" s="10">
        <f t="shared" si="160"/>
        <v>0</v>
      </c>
      <c r="DG85" s="1">
        <f>SUMIFS(
  '[1]Hoja 1'!$M:$M,
  '[1]Hoja 1'!$S:$S, $A85,
  '[1]Hoja 1'!$R:$R, "&gt;="&amp;INT($DI$1),
  '[1]Hoja 1'!$R:$R, "&lt;"&amp;INT($DJ$1+1)
)</f>
        <v>0</v>
      </c>
      <c r="DH85" s="1">
        <f t="shared" si="161"/>
        <v>0</v>
      </c>
      <c r="DI85" s="9">
        <f t="shared" si="162"/>
        <v>0</v>
      </c>
      <c r="DJ85" s="10">
        <f t="shared" si="163"/>
        <v>0</v>
      </c>
      <c r="DK85" s="1">
        <f>SUMIFS(
  '[1]Hoja 1'!$M:$M,
  '[1]Hoja 1'!$S:$S, $A85,
  '[1]Hoja 1'!$R:$R, "&gt;="&amp;INT($DM$1),
  '[1]Hoja 1'!$R:$R, "&lt;"&amp;INT($DN$1+1)
)</f>
        <v>0</v>
      </c>
      <c r="DL85" s="1">
        <f t="shared" si="164"/>
        <v>0</v>
      </c>
      <c r="DM85" s="9">
        <f t="shared" si="165"/>
        <v>0</v>
      </c>
      <c r="DN85" s="10">
        <f t="shared" si="166"/>
        <v>0</v>
      </c>
      <c r="DO85" s="1">
        <f>SUMIFS(
  '[1]Hoja 1'!$M:$M,
  '[1]Hoja 1'!$S:$S, $A85,
  '[1]Hoja 1'!$R:$R, "&gt;="&amp;INT($DQ$1),
  '[1]Hoja 1'!$R:$R, "&lt;"&amp;INT($DR$1+1)
)</f>
        <v>0</v>
      </c>
      <c r="DP85" s="1">
        <f t="shared" si="167"/>
        <v>0</v>
      </c>
      <c r="DQ85" s="9">
        <f t="shared" si="168"/>
        <v>0</v>
      </c>
      <c r="DR85" s="10">
        <f t="shared" si="169"/>
        <v>0</v>
      </c>
    </row>
    <row r="86" spans="1:122" x14ac:dyDescent="0.25">
      <c r="A86" s="5">
        <v>213008</v>
      </c>
      <c r="B86" s="6" t="s">
        <v>86</v>
      </c>
      <c r="C86" s="1">
        <f>SUMIFS(
  '[1]Hoja 1'!$M:$M,
  '[1]Hoja 1'!$S:$S, $A86,
  '[1]Hoja 1'!$R:$R, "&gt;="&amp;INT($E$1),
  '[1]Hoja 1'!$R:$R, "&lt;"&amp;INT($F$1+1)
)</f>
        <v>0</v>
      </c>
      <c r="D86" s="1" t="str">
        <f>""</f>
        <v/>
      </c>
      <c r="F86" s="2"/>
      <c r="G86" s="1">
        <f>SUMIFS(
  '[1]Hoja 1'!$M:$M,
  '[1]Hoja 1'!$S:$S, $A86,
  '[1]Hoja 1'!$R:$R, "&gt;="&amp;INT($I$1),
  '[1]Hoja 1'!$R:$R, "&lt;"&amp;INT($J$1+1)
)</f>
        <v>0</v>
      </c>
      <c r="H86" s="1">
        <f t="shared" si="85"/>
        <v>0</v>
      </c>
      <c r="I86" s="1"/>
      <c r="J86" s="2"/>
      <c r="K86" s="1">
        <f>SUMIFS(
  '[1]Hoja 1'!$M:$M,
  '[1]Hoja 1'!$S:$S, $A86,
  '[1]Hoja 1'!$R:$R, "&gt;="&amp;INT($M$1),
  '[1]Hoja 1'!$R:$R, "&lt;"&amp;INT($N$1+1)
)</f>
        <v>0</v>
      </c>
      <c r="L86" s="1">
        <f t="shared" si="86"/>
        <v>0</v>
      </c>
      <c r="M86" s="9">
        <f t="shared" si="87"/>
        <v>0</v>
      </c>
      <c r="N86" s="10">
        <f t="shared" si="88"/>
        <v>0</v>
      </c>
      <c r="O86" s="1">
        <f>SUMIFS(
  '[1]Hoja 1'!$M:$M,
  '[1]Hoja 1'!$S:$S, $A86,
  '[1]Hoja 1'!$R:$R, "&gt;="&amp;INT($Q$1),
  '[1]Hoja 1'!$R:$R, "&lt;"&amp;INT($R$1+1)
)</f>
        <v>0</v>
      </c>
      <c r="P86" s="1">
        <f t="shared" si="89"/>
        <v>0</v>
      </c>
      <c r="Q86" s="9">
        <f t="shared" si="90"/>
        <v>0</v>
      </c>
      <c r="R86" s="10">
        <f t="shared" si="91"/>
        <v>0</v>
      </c>
      <c r="S86" s="1">
        <f>SUMIFS(
  '[1]Hoja 1'!$M:$M,
  '[1]Hoja 1'!$S:$S, $A86,
  '[1]Hoja 1'!$R:$R, "&gt;="&amp;INT($U$1),
  '[1]Hoja 1'!$R:$R, "&lt;"&amp;INT($V$1+1)
)</f>
        <v>0</v>
      </c>
      <c r="T86" s="1">
        <f t="shared" si="92"/>
        <v>0</v>
      </c>
      <c r="U86" s="9">
        <f t="shared" si="93"/>
        <v>0</v>
      </c>
      <c r="V86" s="10">
        <f t="shared" si="94"/>
        <v>0</v>
      </c>
      <c r="W86" s="1">
        <f>SUMIFS(
  '[1]Hoja 1'!$M:$M,
  '[1]Hoja 1'!$S:$S, $A86,
  '[1]Hoja 1'!$R:$R, "&gt;="&amp;INT($Y$1),
  '[1]Hoja 1'!$R:$R, "&lt;"&amp;INT($Z$1+1)
)</f>
        <v>0</v>
      </c>
      <c r="X86" s="1">
        <f t="shared" si="95"/>
        <v>0</v>
      </c>
      <c r="Y86" s="9">
        <f t="shared" si="96"/>
        <v>0</v>
      </c>
      <c r="Z86" s="10">
        <f t="shared" si="97"/>
        <v>0</v>
      </c>
      <c r="AA86" s="1">
        <f>SUMIFS(
  '[1]Hoja 1'!$M:$M,
  '[1]Hoja 1'!$S:$S, $A86,
  '[1]Hoja 1'!$R:$R, "&gt;="&amp;INT($AC$1),
  '[1]Hoja 1'!$R:$R, "&lt;"&amp;INT($AD$1+1)
)</f>
        <v>0</v>
      </c>
      <c r="AB86" s="1">
        <f t="shared" si="98"/>
        <v>0</v>
      </c>
      <c r="AC86" s="9">
        <f t="shared" si="99"/>
        <v>0</v>
      </c>
      <c r="AD86" s="10">
        <f t="shared" si="100"/>
        <v>0</v>
      </c>
      <c r="AE86" s="1">
        <f>SUMIFS(
  '[1]Hoja 1'!$M:$M,
  '[1]Hoja 1'!$S:$S, $A86,
  '[1]Hoja 1'!$R:$R, "&gt;="&amp;INT($AG$1),
  '[1]Hoja 1'!$R:$R, "&lt;"&amp;INT($AH$1+1)
)</f>
        <v>0</v>
      </c>
      <c r="AF86" s="1">
        <f t="shared" si="101"/>
        <v>0</v>
      </c>
      <c r="AG86" s="9">
        <f t="shared" si="102"/>
        <v>0</v>
      </c>
      <c r="AH86" s="10">
        <f t="shared" si="103"/>
        <v>0</v>
      </c>
      <c r="AI86" s="1">
        <f>SUMIFS(
  '[1]Hoja 1'!$M:$M,
  '[1]Hoja 1'!$S:$S, $A86,
  '[1]Hoja 1'!$R:$R, "&gt;="&amp;INT($AK$1),
  '[1]Hoja 1'!$R:$R, "&lt;"&amp;INT($AL$1+1)
)</f>
        <v>0</v>
      </c>
      <c r="AJ86" s="1">
        <f t="shared" si="104"/>
        <v>0</v>
      </c>
      <c r="AK86" s="9">
        <f t="shared" si="105"/>
        <v>0</v>
      </c>
      <c r="AL86" s="10">
        <f t="shared" si="106"/>
        <v>0</v>
      </c>
      <c r="AM86" s="1">
        <f>SUMIFS(
  '[1]Hoja 1'!$M:$M,
  '[1]Hoja 1'!$S:$S, $A86,
  '[1]Hoja 1'!$R:$R, "&gt;="&amp;INT($AO$1),
  '[1]Hoja 1'!$R:$R, "&lt;"&amp;INT($AP$1+1)
)</f>
        <v>0</v>
      </c>
      <c r="AN86" s="1">
        <f t="shared" si="107"/>
        <v>0</v>
      </c>
      <c r="AO86" s="9">
        <f t="shared" si="108"/>
        <v>0</v>
      </c>
      <c r="AP86" s="10">
        <f t="shared" si="109"/>
        <v>0</v>
      </c>
      <c r="AQ86" s="1">
        <f>SUMIFS(
  '[1]Hoja 1'!$M:$M,
  '[1]Hoja 1'!$S:$S, $A86,
  '[1]Hoja 1'!$R:$R, "&gt;="&amp;INT($AS$1),
  '[1]Hoja 1'!$R:$R, "&lt;"&amp;INT($AT$1+1)
)</f>
        <v>0</v>
      </c>
      <c r="AR86" s="1">
        <f t="shared" si="110"/>
        <v>0</v>
      </c>
      <c r="AS86" s="9">
        <f t="shared" si="111"/>
        <v>0</v>
      </c>
      <c r="AT86" s="10">
        <f t="shared" si="112"/>
        <v>0</v>
      </c>
      <c r="AU86" s="1">
        <f>SUMIFS(
  '[1]Hoja 1'!$M:$M,
  '[1]Hoja 1'!$S:$S, $A86,
  '[1]Hoja 1'!$R:$R, "&gt;="&amp;INT($AW$1),
  '[1]Hoja 1'!$R:$R, "&lt;"&amp;INT($AX$1+1)
)</f>
        <v>0</v>
      </c>
      <c r="AV86" s="1">
        <f t="shared" si="113"/>
        <v>0</v>
      </c>
      <c r="AW86" s="9">
        <f t="shared" si="114"/>
        <v>0</v>
      </c>
      <c r="AX86" s="10">
        <f t="shared" si="115"/>
        <v>0</v>
      </c>
      <c r="AY86" s="1">
        <f>SUMIFS(
  '[1]Hoja 1'!$M:$M,
  '[1]Hoja 1'!$S:$S, $A86,
  '[1]Hoja 1'!$R:$R, "&gt;="&amp;INT($BA$1),
  '[1]Hoja 1'!$R:$R, "&lt;"&amp;INT($BB$1+1)
)</f>
        <v>0</v>
      </c>
      <c r="AZ86" s="1">
        <f t="shared" si="116"/>
        <v>0</v>
      </c>
      <c r="BA86" s="9">
        <f t="shared" si="117"/>
        <v>0</v>
      </c>
      <c r="BB86" s="10">
        <f t="shared" si="118"/>
        <v>0</v>
      </c>
      <c r="BC86" s="1">
        <f>SUMIFS(
  '[1]Hoja 1'!$M:$M,
  '[1]Hoja 1'!$S:$S, $A86,
  '[1]Hoja 1'!$R:$R, "&gt;="&amp;INT($BE$1),
  '[1]Hoja 1'!$R:$R, "&lt;"&amp;INT($BF$1+1)
)</f>
        <v>0</v>
      </c>
      <c r="BD86" s="1">
        <f t="shared" si="119"/>
        <v>0</v>
      </c>
      <c r="BE86" s="9">
        <f t="shared" si="120"/>
        <v>0</v>
      </c>
      <c r="BF86" s="10">
        <f t="shared" si="121"/>
        <v>0</v>
      </c>
      <c r="BG86" s="1">
        <f>SUMIFS(
  '[1]Hoja 1'!$M:$M,
  '[1]Hoja 1'!$S:$S, $A86,
  '[1]Hoja 1'!$R:$R, "&gt;="&amp;INT($BI$1),
  '[1]Hoja 1'!$R:$R, "&lt;"&amp;INT($BJ$1+1)
)</f>
        <v>0</v>
      </c>
      <c r="BH86" s="1">
        <f t="shared" si="122"/>
        <v>0</v>
      </c>
      <c r="BI86" s="9">
        <f t="shared" si="123"/>
        <v>0</v>
      </c>
      <c r="BJ86" s="10">
        <f t="shared" si="124"/>
        <v>0</v>
      </c>
      <c r="BK86" s="1">
        <f>SUMIFS(
  '[1]Hoja 1'!$M:$M,
  '[1]Hoja 1'!$S:$S, $A86,
  '[1]Hoja 1'!$R:$R, "&gt;="&amp;INT($BM$1),
  '[1]Hoja 1'!$R:$R, "&lt;"&amp;INT($BN$1+1)
)</f>
        <v>0</v>
      </c>
      <c r="BL86" s="1">
        <f t="shared" si="125"/>
        <v>0</v>
      </c>
      <c r="BM86" s="9">
        <f t="shared" si="126"/>
        <v>0</v>
      </c>
      <c r="BN86" s="10">
        <f t="shared" si="127"/>
        <v>0</v>
      </c>
      <c r="BO86" s="1">
        <f>SUMIFS(
  '[1]Hoja 1'!$M:$M,
  '[1]Hoja 1'!$S:$S, $A86,
  '[1]Hoja 1'!$R:$R, "&gt;="&amp;INT($BQ$1),
  '[1]Hoja 1'!$R:$R, "&lt;"&amp;INT($BR$1+1)
)</f>
        <v>0</v>
      </c>
      <c r="BP86" s="1">
        <f t="shared" si="128"/>
        <v>0</v>
      </c>
      <c r="BQ86" s="9">
        <f t="shared" si="129"/>
        <v>0</v>
      </c>
      <c r="BR86" s="10">
        <f t="shared" si="130"/>
        <v>0</v>
      </c>
      <c r="BS86" s="1">
        <f>SUMIFS(
  '[1]Hoja 1'!$M:$M,
  '[1]Hoja 1'!$S:$S, $A86,
  '[1]Hoja 1'!$R:$R, "&gt;="&amp;INT($BU$1),
  '[1]Hoja 1'!$R:$R, "&lt;"&amp;INT($BV$1+1)
)</f>
        <v>0</v>
      </c>
      <c r="BT86" s="1">
        <f t="shared" si="131"/>
        <v>0</v>
      </c>
      <c r="BU86" s="9">
        <f t="shared" si="132"/>
        <v>0</v>
      </c>
      <c r="BV86" s="10">
        <f t="shared" si="133"/>
        <v>0</v>
      </c>
      <c r="BW86" s="1">
        <f>SUMIFS(
  '[1]Hoja 1'!$M:$M,
  '[1]Hoja 1'!$S:$S, $A86,
  '[1]Hoja 1'!$R:$R, "&gt;="&amp;INT($BY$1),
  '[1]Hoja 1'!$R:$R, "&lt;"&amp;INT($BZ$1+1)
)</f>
        <v>0</v>
      </c>
      <c r="BX86" s="1">
        <f t="shared" si="134"/>
        <v>0</v>
      </c>
      <c r="BY86" s="9">
        <f t="shared" si="135"/>
        <v>0</v>
      </c>
      <c r="BZ86" s="10">
        <f t="shared" si="136"/>
        <v>0</v>
      </c>
      <c r="CA86" s="1">
        <f>SUMIFS(
  '[1]Hoja 1'!$M:$M,
  '[1]Hoja 1'!$S:$S, $A86,
  '[1]Hoja 1'!$R:$R, "&gt;="&amp;INT($CC$1),
  '[1]Hoja 1'!$R:$R, "&lt;"&amp;INT($CD$1+1)
)</f>
        <v>0</v>
      </c>
      <c r="CB86" s="1">
        <f t="shared" si="137"/>
        <v>0</v>
      </c>
      <c r="CC86" s="9">
        <f t="shared" si="138"/>
        <v>0</v>
      </c>
      <c r="CD86" s="10">
        <f t="shared" si="139"/>
        <v>0</v>
      </c>
      <c r="CE86" s="1">
        <f>SUMIFS(
  '[1]Hoja 1'!$M:$M,
  '[1]Hoja 1'!$S:$S, $A86,
  '[1]Hoja 1'!$R:$R, "&gt;="&amp;INT($CG$1),
  '[1]Hoja 1'!$R:$R, "&lt;"&amp;INT($CH$1+1)
)</f>
        <v>0</v>
      </c>
      <c r="CF86" s="1">
        <f t="shared" si="140"/>
        <v>0</v>
      </c>
      <c r="CG86" s="9">
        <f t="shared" si="141"/>
        <v>0</v>
      </c>
      <c r="CH86" s="10">
        <f t="shared" si="142"/>
        <v>0</v>
      </c>
      <c r="CI86" s="1">
        <f>SUMIFS(
  '[1]Hoja 1'!$M:$M,
  '[1]Hoja 1'!$S:$S, $A86,
  '[1]Hoja 1'!$R:$R, "&gt;="&amp;INT($CK$1),
  '[1]Hoja 1'!$R:$R, "&lt;"&amp;INT($CL$1+1)
)</f>
        <v>0</v>
      </c>
      <c r="CJ86" s="1">
        <f t="shared" si="143"/>
        <v>0</v>
      </c>
      <c r="CK86" s="9">
        <f t="shared" si="144"/>
        <v>0</v>
      </c>
      <c r="CL86" s="10">
        <f t="shared" si="145"/>
        <v>0</v>
      </c>
      <c r="CM86" s="1">
        <f>SUMIFS(
  '[1]Hoja 1'!$M:$M,
  '[1]Hoja 1'!$S:$S, $A86,
  '[1]Hoja 1'!$R:$R, "&gt;="&amp;INT($CO$1),
  '[1]Hoja 1'!$R:$R, "&lt;"&amp;INT($CP$1+1)
)</f>
        <v>0</v>
      </c>
      <c r="CN86" s="1">
        <f t="shared" si="146"/>
        <v>0</v>
      </c>
      <c r="CO86" s="9">
        <f t="shared" si="147"/>
        <v>0</v>
      </c>
      <c r="CP86" s="10">
        <f t="shared" si="148"/>
        <v>0</v>
      </c>
      <c r="CQ86" s="1">
        <f>SUMIFS(
  '[1]Hoja 1'!$M:$M,
  '[1]Hoja 1'!$S:$S, $A86,
  '[1]Hoja 1'!$R:$R, "&gt;="&amp;INT($CS$1),
  '[1]Hoja 1'!$R:$R, "&lt;"&amp;INT($CT$1+1)
)</f>
        <v>0</v>
      </c>
      <c r="CR86" s="1">
        <f t="shared" si="149"/>
        <v>0</v>
      </c>
      <c r="CS86" s="9">
        <f t="shared" si="150"/>
        <v>0</v>
      </c>
      <c r="CT86" s="10">
        <f t="shared" si="151"/>
        <v>0</v>
      </c>
      <c r="CU86" s="1">
        <f>SUMIFS(
  '[1]Hoja 1'!$M:$M,
  '[1]Hoja 1'!$S:$S, $A86,
  '[1]Hoja 1'!$R:$R, "&gt;="&amp;INT($CW$1),
  '[1]Hoja 1'!$R:$R, "&lt;"&amp;INT($CX$1+1)
)</f>
        <v>0</v>
      </c>
      <c r="CV86" s="1">
        <f t="shared" si="152"/>
        <v>0</v>
      </c>
      <c r="CW86" s="9">
        <f t="shared" si="153"/>
        <v>0</v>
      </c>
      <c r="CX86" s="10">
        <f t="shared" si="154"/>
        <v>0</v>
      </c>
      <c r="CY86" s="1">
        <f>SUMIFS(
  '[1]Hoja 1'!$M:$M,
  '[1]Hoja 1'!$S:$S, $A86,
  '[1]Hoja 1'!$R:$R, "&gt;="&amp;INT($DA$1),
  '[1]Hoja 1'!$R:$R, "&lt;"&amp;INT($DB$1+1)
)</f>
        <v>0</v>
      </c>
      <c r="CZ86" s="1">
        <f t="shared" si="155"/>
        <v>0</v>
      </c>
      <c r="DA86" s="9">
        <f t="shared" si="156"/>
        <v>0</v>
      </c>
      <c r="DB86" s="10">
        <f t="shared" si="157"/>
        <v>0</v>
      </c>
      <c r="DC86" s="1">
        <f>SUMIFS(
  '[1]Hoja 1'!$M:$M,
  '[1]Hoja 1'!$S:$S, $A86,
  '[1]Hoja 1'!$R:$R, "&gt;="&amp;INT($DE$1),
  '[1]Hoja 1'!$R:$R, "&lt;"&amp;INT($DF$1+1)
)</f>
        <v>0</v>
      </c>
      <c r="DD86" s="1">
        <f t="shared" si="158"/>
        <v>0</v>
      </c>
      <c r="DE86" s="9">
        <f t="shared" si="159"/>
        <v>0</v>
      </c>
      <c r="DF86" s="10">
        <f t="shared" si="160"/>
        <v>0</v>
      </c>
      <c r="DG86" s="1">
        <f>SUMIFS(
  '[1]Hoja 1'!$M:$M,
  '[1]Hoja 1'!$S:$S, $A86,
  '[1]Hoja 1'!$R:$R, "&gt;="&amp;INT($DI$1),
  '[1]Hoja 1'!$R:$R, "&lt;"&amp;INT($DJ$1+1)
)</f>
        <v>0</v>
      </c>
      <c r="DH86" s="1">
        <f t="shared" si="161"/>
        <v>0</v>
      </c>
      <c r="DI86" s="9">
        <f t="shared" si="162"/>
        <v>0</v>
      </c>
      <c r="DJ86" s="10">
        <f t="shared" si="163"/>
        <v>0</v>
      </c>
      <c r="DK86" s="1">
        <f>SUMIFS(
  '[1]Hoja 1'!$M:$M,
  '[1]Hoja 1'!$S:$S, $A86,
  '[1]Hoja 1'!$R:$R, "&gt;="&amp;INT($DM$1),
  '[1]Hoja 1'!$R:$R, "&lt;"&amp;INT($DN$1+1)
)</f>
        <v>0</v>
      </c>
      <c r="DL86" s="1">
        <f t="shared" si="164"/>
        <v>0</v>
      </c>
      <c r="DM86" s="9">
        <f t="shared" si="165"/>
        <v>0</v>
      </c>
      <c r="DN86" s="10">
        <f t="shared" si="166"/>
        <v>0</v>
      </c>
      <c r="DO86" s="1">
        <f>SUMIFS(
  '[1]Hoja 1'!$M:$M,
  '[1]Hoja 1'!$S:$S, $A86,
  '[1]Hoja 1'!$R:$R, "&gt;="&amp;INT($DQ$1),
  '[1]Hoja 1'!$R:$R, "&lt;"&amp;INT($DR$1+1)
)</f>
        <v>0</v>
      </c>
      <c r="DP86" s="1">
        <f t="shared" si="167"/>
        <v>0</v>
      </c>
      <c r="DQ86" s="9">
        <f t="shared" si="168"/>
        <v>0</v>
      </c>
      <c r="DR86" s="10">
        <f t="shared" si="169"/>
        <v>0</v>
      </c>
    </row>
    <row r="87" spans="1:122" x14ac:dyDescent="0.25">
      <c r="A87" s="5">
        <v>213011</v>
      </c>
      <c r="B87" s="6" t="s">
        <v>87</v>
      </c>
      <c r="C87" s="1">
        <f>SUMIFS(
  '[1]Hoja 1'!$M:$M,
  '[1]Hoja 1'!$S:$S, $A87,
  '[1]Hoja 1'!$R:$R, "&gt;="&amp;INT($E$1),
  '[1]Hoja 1'!$R:$R, "&lt;"&amp;INT($F$1+1)
)</f>
        <v>0</v>
      </c>
      <c r="D87" s="1" t="str">
        <f>""</f>
        <v/>
      </c>
      <c r="F87" s="2"/>
      <c r="G87" s="1">
        <f>SUMIFS(
  '[1]Hoja 1'!$M:$M,
  '[1]Hoja 1'!$S:$S, $A87,
  '[1]Hoja 1'!$R:$R, "&gt;="&amp;INT($I$1),
  '[1]Hoja 1'!$R:$R, "&lt;"&amp;INT($J$1+1)
)</f>
        <v>0</v>
      </c>
      <c r="H87" s="1">
        <f t="shared" si="85"/>
        <v>0</v>
      </c>
      <c r="I87" s="1"/>
      <c r="J87" s="2"/>
      <c r="K87" s="1">
        <f>SUMIFS(
  '[1]Hoja 1'!$M:$M,
  '[1]Hoja 1'!$S:$S, $A87,
  '[1]Hoja 1'!$R:$R, "&gt;="&amp;INT($M$1),
  '[1]Hoja 1'!$R:$R, "&lt;"&amp;INT($N$1+1)
)</f>
        <v>0</v>
      </c>
      <c r="L87" s="1">
        <f t="shared" si="86"/>
        <v>0</v>
      </c>
      <c r="M87" s="9">
        <f t="shared" si="87"/>
        <v>0</v>
      </c>
      <c r="N87" s="10">
        <f t="shared" si="88"/>
        <v>0</v>
      </c>
      <c r="O87" s="1">
        <f>SUMIFS(
  '[1]Hoja 1'!$M:$M,
  '[1]Hoja 1'!$S:$S, $A87,
  '[1]Hoja 1'!$R:$R, "&gt;="&amp;INT($Q$1),
  '[1]Hoja 1'!$R:$R, "&lt;"&amp;INT($R$1+1)
)</f>
        <v>0</v>
      </c>
      <c r="P87" s="1">
        <f t="shared" si="89"/>
        <v>0</v>
      </c>
      <c r="Q87" s="9">
        <f t="shared" si="90"/>
        <v>0</v>
      </c>
      <c r="R87" s="10">
        <f t="shared" si="91"/>
        <v>0</v>
      </c>
      <c r="S87" s="1">
        <f>SUMIFS(
  '[1]Hoja 1'!$M:$M,
  '[1]Hoja 1'!$S:$S, $A87,
  '[1]Hoja 1'!$R:$R, "&gt;="&amp;INT($U$1),
  '[1]Hoja 1'!$R:$R, "&lt;"&amp;INT($V$1+1)
)</f>
        <v>0</v>
      </c>
      <c r="T87" s="1">
        <f t="shared" si="92"/>
        <v>0</v>
      </c>
      <c r="U87" s="9">
        <f t="shared" si="93"/>
        <v>0</v>
      </c>
      <c r="V87" s="10">
        <f t="shared" si="94"/>
        <v>0</v>
      </c>
      <c r="W87" s="1">
        <f>SUMIFS(
  '[1]Hoja 1'!$M:$M,
  '[1]Hoja 1'!$S:$S, $A87,
  '[1]Hoja 1'!$R:$R, "&gt;="&amp;INT($Y$1),
  '[1]Hoja 1'!$R:$R, "&lt;"&amp;INT($Z$1+1)
)</f>
        <v>0</v>
      </c>
      <c r="X87" s="1">
        <f t="shared" si="95"/>
        <v>0</v>
      </c>
      <c r="Y87" s="9">
        <f t="shared" si="96"/>
        <v>0</v>
      </c>
      <c r="Z87" s="10">
        <f t="shared" si="97"/>
        <v>0</v>
      </c>
      <c r="AA87" s="1">
        <f>SUMIFS(
  '[1]Hoja 1'!$M:$M,
  '[1]Hoja 1'!$S:$S, $A87,
  '[1]Hoja 1'!$R:$R, "&gt;="&amp;INT($AC$1),
  '[1]Hoja 1'!$R:$R, "&lt;"&amp;INT($AD$1+1)
)</f>
        <v>0</v>
      </c>
      <c r="AB87" s="1">
        <f t="shared" si="98"/>
        <v>0</v>
      </c>
      <c r="AC87" s="9">
        <f t="shared" si="99"/>
        <v>0</v>
      </c>
      <c r="AD87" s="10">
        <f t="shared" si="100"/>
        <v>0</v>
      </c>
      <c r="AE87" s="1">
        <f>SUMIFS(
  '[1]Hoja 1'!$M:$M,
  '[1]Hoja 1'!$S:$S, $A87,
  '[1]Hoja 1'!$R:$R, "&gt;="&amp;INT($AG$1),
  '[1]Hoja 1'!$R:$R, "&lt;"&amp;INT($AH$1+1)
)</f>
        <v>0</v>
      </c>
      <c r="AF87" s="1">
        <f t="shared" si="101"/>
        <v>0</v>
      </c>
      <c r="AG87" s="9">
        <f t="shared" si="102"/>
        <v>0</v>
      </c>
      <c r="AH87" s="10">
        <f t="shared" si="103"/>
        <v>0</v>
      </c>
      <c r="AI87" s="1">
        <f>SUMIFS(
  '[1]Hoja 1'!$M:$M,
  '[1]Hoja 1'!$S:$S, $A87,
  '[1]Hoja 1'!$R:$R, "&gt;="&amp;INT($AK$1),
  '[1]Hoja 1'!$R:$R, "&lt;"&amp;INT($AL$1+1)
)</f>
        <v>0</v>
      </c>
      <c r="AJ87" s="1">
        <f t="shared" si="104"/>
        <v>0</v>
      </c>
      <c r="AK87" s="9">
        <f t="shared" si="105"/>
        <v>0</v>
      </c>
      <c r="AL87" s="10">
        <f t="shared" si="106"/>
        <v>0</v>
      </c>
      <c r="AM87" s="1">
        <f>SUMIFS(
  '[1]Hoja 1'!$M:$M,
  '[1]Hoja 1'!$S:$S, $A87,
  '[1]Hoja 1'!$R:$R, "&gt;="&amp;INT($AO$1),
  '[1]Hoja 1'!$R:$R, "&lt;"&amp;INT($AP$1+1)
)</f>
        <v>0</v>
      </c>
      <c r="AN87" s="1">
        <f t="shared" si="107"/>
        <v>0</v>
      </c>
      <c r="AO87" s="9">
        <f t="shared" si="108"/>
        <v>0</v>
      </c>
      <c r="AP87" s="10">
        <f t="shared" si="109"/>
        <v>0</v>
      </c>
      <c r="AQ87" s="1">
        <f>SUMIFS(
  '[1]Hoja 1'!$M:$M,
  '[1]Hoja 1'!$S:$S, $A87,
  '[1]Hoja 1'!$R:$R, "&gt;="&amp;INT($AS$1),
  '[1]Hoja 1'!$R:$R, "&lt;"&amp;INT($AT$1+1)
)</f>
        <v>0</v>
      </c>
      <c r="AR87" s="1">
        <f t="shared" si="110"/>
        <v>0</v>
      </c>
      <c r="AS87" s="9">
        <f t="shared" si="111"/>
        <v>0</v>
      </c>
      <c r="AT87" s="10">
        <f t="shared" si="112"/>
        <v>0</v>
      </c>
      <c r="AU87" s="1">
        <f>SUMIFS(
  '[1]Hoja 1'!$M:$M,
  '[1]Hoja 1'!$S:$S, $A87,
  '[1]Hoja 1'!$R:$R, "&gt;="&amp;INT($AW$1),
  '[1]Hoja 1'!$R:$R, "&lt;"&amp;INT($AX$1+1)
)</f>
        <v>0</v>
      </c>
      <c r="AV87" s="1">
        <f t="shared" si="113"/>
        <v>0</v>
      </c>
      <c r="AW87" s="9">
        <f t="shared" si="114"/>
        <v>0</v>
      </c>
      <c r="AX87" s="10">
        <f t="shared" si="115"/>
        <v>0</v>
      </c>
      <c r="AY87" s="1">
        <f>SUMIFS(
  '[1]Hoja 1'!$M:$M,
  '[1]Hoja 1'!$S:$S, $A87,
  '[1]Hoja 1'!$R:$R, "&gt;="&amp;INT($BA$1),
  '[1]Hoja 1'!$R:$R, "&lt;"&amp;INT($BB$1+1)
)</f>
        <v>0</v>
      </c>
      <c r="AZ87" s="1">
        <f t="shared" si="116"/>
        <v>0</v>
      </c>
      <c r="BA87" s="9">
        <f t="shared" si="117"/>
        <v>0</v>
      </c>
      <c r="BB87" s="10">
        <f t="shared" si="118"/>
        <v>0</v>
      </c>
      <c r="BC87" s="1">
        <f>SUMIFS(
  '[1]Hoja 1'!$M:$M,
  '[1]Hoja 1'!$S:$S, $A87,
  '[1]Hoja 1'!$R:$R, "&gt;="&amp;INT($BE$1),
  '[1]Hoja 1'!$R:$R, "&lt;"&amp;INT($BF$1+1)
)</f>
        <v>0</v>
      </c>
      <c r="BD87" s="1">
        <f t="shared" si="119"/>
        <v>0</v>
      </c>
      <c r="BE87" s="9">
        <f t="shared" si="120"/>
        <v>0</v>
      </c>
      <c r="BF87" s="10">
        <f t="shared" si="121"/>
        <v>0</v>
      </c>
      <c r="BG87" s="1">
        <f>SUMIFS(
  '[1]Hoja 1'!$M:$M,
  '[1]Hoja 1'!$S:$S, $A87,
  '[1]Hoja 1'!$R:$R, "&gt;="&amp;INT($BI$1),
  '[1]Hoja 1'!$R:$R, "&lt;"&amp;INT($BJ$1+1)
)</f>
        <v>0</v>
      </c>
      <c r="BH87" s="1">
        <f t="shared" si="122"/>
        <v>0</v>
      </c>
      <c r="BI87" s="9">
        <f t="shared" si="123"/>
        <v>0</v>
      </c>
      <c r="BJ87" s="10">
        <f t="shared" si="124"/>
        <v>0</v>
      </c>
      <c r="BK87" s="1">
        <f>SUMIFS(
  '[1]Hoja 1'!$M:$M,
  '[1]Hoja 1'!$S:$S, $A87,
  '[1]Hoja 1'!$R:$R, "&gt;="&amp;INT($BM$1),
  '[1]Hoja 1'!$R:$R, "&lt;"&amp;INT($BN$1+1)
)</f>
        <v>0</v>
      </c>
      <c r="BL87" s="1">
        <f t="shared" si="125"/>
        <v>0</v>
      </c>
      <c r="BM87" s="9">
        <f t="shared" si="126"/>
        <v>0</v>
      </c>
      <c r="BN87" s="10">
        <f t="shared" si="127"/>
        <v>0</v>
      </c>
      <c r="BO87" s="1">
        <f>SUMIFS(
  '[1]Hoja 1'!$M:$M,
  '[1]Hoja 1'!$S:$S, $A87,
  '[1]Hoja 1'!$R:$R, "&gt;="&amp;INT($BQ$1),
  '[1]Hoja 1'!$R:$R, "&lt;"&amp;INT($BR$1+1)
)</f>
        <v>0</v>
      </c>
      <c r="BP87" s="1">
        <f t="shared" si="128"/>
        <v>0</v>
      </c>
      <c r="BQ87" s="9">
        <f t="shared" si="129"/>
        <v>0</v>
      </c>
      <c r="BR87" s="10">
        <f t="shared" si="130"/>
        <v>0</v>
      </c>
      <c r="BS87" s="1">
        <f>SUMIFS(
  '[1]Hoja 1'!$M:$M,
  '[1]Hoja 1'!$S:$S, $A87,
  '[1]Hoja 1'!$R:$R, "&gt;="&amp;INT($BU$1),
  '[1]Hoja 1'!$R:$R, "&lt;"&amp;INT($BV$1+1)
)</f>
        <v>0</v>
      </c>
      <c r="BT87" s="1">
        <f t="shared" si="131"/>
        <v>0</v>
      </c>
      <c r="BU87" s="9">
        <f t="shared" si="132"/>
        <v>0</v>
      </c>
      <c r="BV87" s="10">
        <f t="shared" si="133"/>
        <v>0</v>
      </c>
      <c r="BW87" s="1">
        <f>SUMIFS(
  '[1]Hoja 1'!$M:$M,
  '[1]Hoja 1'!$S:$S, $A87,
  '[1]Hoja 1'!$R:$R, "&gt;="&amp;INT($BY$1),
  '[1]Hoja 1'!$R:$R, "&lt;"&amp;INT($BZ$1+1)
)</f>
        <v>0</v>
      </c>
      <c r="BX87" s="1">
        <f t="shared" si="134"/>
        <v>0</v>
      </c>
      <c r="BY87" s="9">
        <f t="shared" si="135"/>
        <v>0</v>
      </c>
      <c r="BZ87" s="10">
        <f t="shared" si="136"/>
        <v>0</v>
      </c>
      <c r="CA87" s="1">
        <f>SUMIFS(
  '[1]Hoja 1'!$M:$M,
  '[1]Hoja 1'!$S:$S, $A87,
  '[1]Hoja 1'!$R:$R, "&gt;="&amp;INT($CC$1),
  '[1]Hoja 1'!$R:$R, "&lt;"&amp;INT($CD$1+1)
)</f>
        <v>0</v>
      </c>
      <c r="CB87" s="1">
        <f t="shared" si="137"/>
        <v>0</v>
      </c>
      <c r="CC87" s="9">
        <f t="shared" si="138"/>
        <v>0</v>
      </c>
      <c r="CD87" s="10">
        <f t="shared" si="139"/>
        <v>0</v>
      </c>
      <c r="CE87" s="1">
        <f>SUMIFS(
  '[1]Hoja 1'!$M:$M,
  '[1]Hoja 1'!$S:$S, $A87,
  '[1]Hoja 1'!$R:$R, "&gt;="&amp;INT($CG$1),
  '[1]Hoja 1'!$R:$R, "&lt;"&amp;INT($CH$1+1)
)</f>
        <v>0</v>
      </c>
      <c r="CF87" s="1">
        <f t="shared" si="140"/>
        <v>0</v>
      </c>
      <c r="CG87" s="9">
        <f t="shared" si="141"/>
        <v>0</v>
      </c>
      <c r="CH87" s="10">
        <f t="shared" si="142"/>
        <v>0</v>
      </c>
      <c r="CI87" s="1">
        <f>SUMIFS(
  '[1]Hoja 1'!$M:$M,
  '[1]Hoja 1'!$S:$S, $A87,
  '[1]Hoja 1'!$R:$R, "&gt;="&amp;INT($CK$1),
  '[1]Hoja 1'!$R:$R, "&lt;"&amp;INT($CL$1+1)
)</f>
        <v>0</v>
      </c>
      <c r="CJ87" s="1">
        <f t="shared" si="143"/>
        <v>0</v>
      </c>
      <c r="CK87" s="9">
        <f t="shared" si="144"/>
        <v>0</v>
      </c>
      <c r="CL87" s="10">
        <f t="shared" si="145"/>
        <v>0</v>
      </c>
      <c r="CM87" s="1">
        <f>SUMIFS(
  '[1]Hoja 1'!$M:$M,
  '[1]Hoja 1'!$S:$S, $A87,
  '[1]Hoja 1'!$R:$R, "&gt;="&amp;INT($CO$1),
  '[1]Hoja 1'!$R:$R, "&lt;"&amp;INT($CP$1+1)
)</f>
        <v>0</v>
      </c>
      <c r="CN87" s="1">
        <f t="shared" si="146"/>
        <v>0</v>
      </c>
      <c r="CO87" s="9">
        <f t="shared" si="147"/>
        <v>0</v>
      </c>
      <c r="CP87" s="10">
        <f t="shared" si="148"/>
        <v>0</v>
      </c>
      <c r="CQ87" s="1">
        <f>SUMIFS(
  '[1]Hoja 1'!$M:$M,
  '[1]Hoja 1'!$S:$S, $A87,
  '[1]Hoja 1'!$R:$R, "&gt;="&amp;INT($CS$1),
  '[1]Hoja 1'!$R:$R, "&lt;"&amp;INT($CT$1+1)
)</f>
        <v>0</v>
      </c>
      <c r="CR87" s="1">
        <f t="shared" si="149"/>
        <v>0</v>
      </c>
      <c r="CS87" s="9">
        <f t="shared" si="150"/>
        <v>0</v>
      </c>
      <c r="CT87" s="10">
        <f t="shared" si="151"/>
        <v>0</v>
      </c>
      <c r="CU87" s="1">
        <f>SUMIFS(
  '[1]Hoja 1'!$M:$M,
  '[1]Hoja 1'!$S:$S, $A87,
  '[1]Hoja 1'!$R:$R, "&gt;="&amp;INT($CW$1),
  '[1]Hoja 1'!$R:$R, "&lt;"&amp;INT($CX$1+1)
)</f>
        <v>0</v>
      </c>
      <c r="CV87" s="1">
        <f t="shared" si="152"/>
        <v>0</v>
      </c>
      <c r="CW87" s="9">
        <f t="shared" si="153"/>
        <v>0</v>
      </c>
      <c r="CX87" s="10">
        <f t="shared" si="154"/>
        <v>0</v>
      </c>
      <c r="CY87" s="1">
        <f>SUMIFS(
  '[1]Hoja 1'!$M:$M,
  '[1]Hoja 1'!$S:$S, $A87,
  '[1]Hoja 1'!$R:$R, "&gt;="&amp;INT($DA$1),
  '[1]Hoja 1'!$R:$R, "&lt;"&amp;INT($DB$1+1)
)</f>
        <v>0</v>
      </c>
      <c r="CZ87" s="1">
        <f t="shared" si="155"/>
        <v>0</v>
      </c>
      <c r="DA87" s="9">
        <f t="shared" si="156"/>
        <v>0</v>
      </c>
      <c r="DB87" s="10">
        <f t="shared" si="157"/>
        <v>0</v>
      </c>
      <c r="DC87" s="1">
        <f>SUMIFS(
  '[1]Hoja 1'!$M:$M,
  '[1]Hoja 1'!$S:$S, $A87,
  '[1]Hoja 1'!$R:$R, "&gt;="&amp;INT($DE$1),
  '[1]Hoja 1'!$R:$R, "&lt;"&amp;INT($DF$1+1)
)</f>
        <v>0</v>
      </c>
      <c r="DD87" s="1">
        <f t="shared" si="158"/>
        <v>0</v>
      </c>
      <c r="DE87" s="9">
        <f t="shared" si="159"/>
        <v>0</v>
      </c>
      <c r="DF87" s="10">
        <f t="shared" si="160"/>
        <v>0</v>
      </c>
      <c r="DG87" s="1">
        <f>SUMIFS(
  '[1]Hoja 1'!$M:$M,
  '[1]Hoja 1'!$S:$S, $A87,
  '[1]Hoja 1'!$R:$R, "&gt;="&amp;INT($DI$1),
  '[1]Hoja 1'!$R:$R, "&lt;"&amp;INT($DJ$1+1)
)</f>
        <v>0</v>
      </c>
      <c r="DH87" s="1">
        <f t="shared" si="161"/>
        <v>0</v>
      </c>
      <c r="DI87" s="9">
        <f t="shared" si="162"/>
        <v>0</v>
      </c>
      <c r="DJ87" s="10">
        <f t="shared" si="163"/>
        <v>0</v>
      </c>
      <c r="DK87" s="1">
        <f>SUMIFS(
  '[1]Hoja 1'!$M:$M,
  '[1]Hoja 1'!$S:$S, $A87,
  '[1]Hoja 1'!$R:$R, "&gt;="&amp;INT($DM$1),
  '[1]Hoja 1'!$R:$R, "&lt;"&amp;INT($DN$1+1)
)</f>
        <v>0</v>
      </c>
      <c r="DL87" s="1">
        <f t="shared" si="164"/>
        <v>0</v>
      </c>
      <c r="DM87" s="9">
        <f t="shared" si="165"/>
        <v>0</v>
      </c>
      <c r="DN87" s="10">
        <f t="shared" si="166"/>
        <v>0</v>
      </c>
      <c r="DO87" s="1">
        <f>SUMIFS(
  '[1]Hoja 1'!$M:$M,
  '[1]Hoja 1'!$S:$S, $A87,
  '[1]Hoja 1'!$R:$R, "&gt;="&amp;INT($DQ$1),
  '[1]Hoja 1'!$R:$R, "&lt;"&amp;INT($DR$1+1)
)</f>
        <v>0</v>
      </c>
      <c r="DP87" s="1">
        <f t="shared" si="167"/>
        <v>0</v>
      </c>
      <c r="DQ87" s="9">
        <f t="shared" si="168"/>
        <v>0</v>
      </c>
      <c r="DR87" s="10">
        <f t="shared" si="169"/>
        <v>0</v>
      </c>
    </row>
    <row r="88" spans="1:122" x14ac:dyDescent="0.25">
      <c r="A88" s="5">
        <v>213012</v>
      </c>
      <c r="B88" s="6" t="s">
        <v>88</v>
      </c>
      <c r="C88" s="1">
        <f>SUMIFS(
  '[1]Hoja 1'!$M:$M,
  '[1]Hoja 1'!$S:$S, $A88,
  '[1]Hoja 1'!$R:$R, "&gt;="&amp;INT($E$1),
  '[1]Hoja 1'!$R:$R, "&lt;"&amp;INT($F$1+1)
)</f>
        <v>0</v>
      </c>
      <c r="D88" s="1" t="str">
        <f>""</f>
        <v/>
      </c>
      <c r="F88" s="2"/>
      <c r="G88" s="1">
        <f>SUMIFS(
  '[1]Hoja 1'!$M:$M,
  '[1]Hoja 1'!$S:$S, $A88,
  '[1]Hoja 1'!$R:$R, "&gt;="&amp;INT($I$1),
  '[1]Hoja 1'!$R:$R, "&lt;"&amp;INT($J$1+1)
)</f>
        <v>0</v>
      </c>
      <c r="H88" s="1">
        <f t="shared" si="85"/>
        <v>0</v>
      </c>
      <c r="I88" s="1"/>
      <c r="J88" s="2"/>
      <c r="K88" s="1">
        <f>SUMIFS(
  '[1]Hoja 1'!$M:$M,
  '[1]Hoja 1'!$S:$S, $A88,
  '[1]Hoja 1'!$R:$R, "&gt;="&amp;INT($M$1),
  '[1]Hoja 1'!$R:$R, "&lt;"&amp;INT($N$1+1)
)</f>
        <v>0</v>
      </c>
      <c r="L88" s="1">
        <f t="shared" si="86"/>
        <v>0</v>
      </c>
      <c r="M88" s="9">
        <f t="shared" si="87"/>
        <v>0</v>
      </c>
      <c r="N88" s="10">
        <f t="shared" si="88"/>
        <v>0</v>
      </c>
      <c r="O88" s="1">
        <f>SUMIFS(
  '[1]Hoja 1'!$M:$M,
  '[1]Hoja 1'!$S:$S, $A88,
  '[1]Hoja 1'!$R:$R, "&gt;="&amp;INT($Q$1),
  '[1]Hoja 1'!$R:$R, "&lt;"&amp;INT($R$1+1)
)</f>
        <v>0</v>
      </c>
      <c r="P88" s="1">
        <f t="shared" si="89"/>
        <v>0</v>
      </c>
      <c r="Q88" s="9">
        <f t="shared" si="90"/>
        <v>0</v>
      </c>
      <c r="R88" s="10">
        <f t="shared" si="91"/>
        <v>0</v>
      </c>
      <c r="S88" s="1">
        <f>SUMIFS(
  '[1]Hoja 1'!$M:$M,
  '[1]Hoja 1'!$S:$S, $A88,
  '[1]Hoja 1'!$R:$R, "&gt;="&amp;INT($U$1),
  '[1]Hoja 1'!$R:$R, "&lt;"&amp;INT($V$1+1)
)</f>
        <v>0</v>
      </c>
      <c r="T88" s="1">
        <f t="shared" si="92"/>
        <v>0</v>
      </c>
      <c r="U88" s="9">
        <f t="shared" si="93"/>
        <v>0</v>
      </c>
      <c r="V88" s="10">
        <f t="shared" si="94"/>
        <v>0</v>
      </c>
      <c r="W88" s="1">
        <f>SUMIFS(
  '[1]Hoja 1'!$M:$M,
  '[1]Hoja 1'!$S:$S, $A88,
  '[1]Hoja 1'!$R:$R, "&gt;="&amp;INT($Y$1),
  '[1]Hoja 1'!$R:$R, "&lt;"&amp;INT($Z$1+1)
)</f>
        <v>0</v>
      </c>
      <c r="X88" s="1">
        <f t="shared" si="95"/>
        <v>0</v>
      </c>
      <c r="Y88" s="9">
        <f t="shared" si="96"/>
        <v>0</v>
      </c>
      <c r="Z88" s="10">
        <f t="shared" si="97"/>
        <v>0</v>
      </c>
      <c r="AA88" s="1">
        <f>SUMIFS(
  '[1]Hoja 1'!$M:$M,
  '[1]Hoja 1'!$S:$S, $A88,
  '[1]Hoja 1'!$R:$R, "&gt;="&amp;INT($AC$1),
  '[1]Hoja 1'!$R:$R, "&lt;"&amp;INT($AD$1+1)
)</f>
        <v>0</v>
      </c>
      <c r="AB88" s="1">
        <f t="shared" si="98"/>
        <v>0</v>
      </c>
      <c r="AC88" s="9">
        <f t="shared" si="99"/>
        <v>0</v>
      </c>
      <c r="AD88" s="10">
        <f t="shared" si="100"/>
        <v>0</v>
      </c>
      <c r="AE88" s="1">
        <f>SUMIFS(
  '[1]Hoja 1'!$M:$M,
  '[1]Hoja 1'!$S:$S, $A88,
  '[1]Hoja 1'!$R:$R, "&gt;="&amp;INT($AG$1),
  '[1]Hoja 1'!$R:$R, "&lt;"&amp;INT($AH$1+1)
)</f>
        <v>0</v>
      </c>
      <c r="AF88" s="1">
        <f t="shared" si="101"/>
        <v>0</v>
      </c>
      <c r="AG88" s="9">
        <f t="shared" si="102"/>
        <v>0</v>
      </c>
      <c r="AH88" s="10">
        <f t="shared" si="103"/>
        <v>0</v>
      </c>
      <c r="AI88" s="1">
        <f>SUMIFS(
  '[1]Hoja 1'!$M:$M,
  '[1]Hoja 1'!$S:$S, $A88,
  '[1]Hoja 1'!$R:$R, "&gt;="&amp;INT($AK$1),
  '[1]Hoja 1'!$R:$R, "&lt;"&amp;INT($AL$1+1)
)</f>
        <v>0</v>
      </c>
      <c r="AJ88" s="1">
        <f t="shared" si="104"/>
        <v>0</v>
      </c>
      <c r="AK88" s="9">
        <f t="shared" si="105"/>
        <v>0</v>
      </c>
      <c r="AL88" s="10">
        <f t="shared" si="106"/>
        <v>0</v>
      </c>
      <c r="AM88" s="1">
        <f>SUMIFS(
  '[1]Hoja 1'!$M:$M,
  '[1]Hoja 1'!$S:$S, $A88,
  '[1]Hoja 1'!$R:$R, "&gt;="&amp;INT($AO$1),
  '[1]Hoja 1'!$R:$R, "&lt;"&amp;INT($AP$1+1)
)</f>
        <v>0</v>
      </c>
      <c r="AN88" s="1">
        <f t="shared" si="107"/>
        <v>0</v>
      </c>
      <c r="AO88" s="9">
        <f t="shared" si="108"/>
        <v>0</v>
      </c>
      <c r="AP88" s="10">
        <f t="shared" si="109"/>
        <v>0</v>
      </c>
      <c r="AQ88" s="1">
        <f>SUMIFS(
  '[1]Hoja 1'!$M:$M,
  '[1]Hoja 1'!$S:$S, $A88,
  '[1]Hoja 1'!$R:$R, "&gt;="&amp;INT($AS$1),
  '[1]Hoja 1'!$R:$R, "&lt;"&amp;INT($AT$1+1)
)</f>
        <v>0</v>
      </c>
      <c r="AR88" s="1">
        <f t="shared" si="110"/>
        <v>0</v>
      </c>
      <c r="AS88" s="9">
        <f t="shared" si="111"/>
        <v>0</v>
      </c>
      <c r="AT88" s="10">
        <f t="shared" si="112"/>
        <v>0</v>
      </c>
      <c r="AU88" s="1">
        <f>SUMIFS(
  '[1]Hoja 1'!$M:$M,
  '[1]Hoja 1'!$S:$S, $A88,
  '[1]Hoja 1'!$R:$R, "&gt;="&amp;INT($AW$1),
  '[1]Hoja 1'!$R:$R, "&lt;"&amp;INT($AX$1+1)
)</f>
        <v>0</v>
      </c>
      <c r="AV88" s="1">
        <f t="shared" si="113"/>
        <v>0</v>
      </c>
      <c r="AW88" s="9">
        <f t="shared" si="114"/>
        <v>0</v>
      </c>
      <c r="AX88" s="10">
        <f t="shared" si="115"/>
        <v>0</v>
      </c>
      <c r="AY88" s="1">
        <f>SUMIFS(
  '[1]Hoja 1'!$M:$M,
  '[1]Hoja 1'!$S:$S, $A88,
  '[1]Hoja 1'!$R:$R, "&gt;="&amp;INT($BA$1),
  '[1]Hoja 1'!$R:$R, "&lt;"&amp;INT($BB$1+1)
)</f>
        <v>0</v>
      </c>
      <c r="AZ88" s="1">
        <f t="shared" si="116"/>
        <v>0</v>
      </c>
      <c r="BA88" s="9">
        <f t="shared" si="117"/>
        <v>0</v>
      </c>
      <c r="BB88" s="10">
        <f t="shared" si="118"/>
        <v>0</v>
      </c>
      <c r="BC88" s="1">
        <f>SUMIFS(
  '[1]Hoja 1'!$M:$M,
  '[1]Hoja 1'!$S:$S, $A88,
  '[1]Hoja 1'!$R:$R, "&gt;="&amp;INT($BE$1),
  '[1]Hoja 1'!$R:$R, "&lt;"&amp;INT($BF$1+1)
)</f>
        <v>0</v>
      </c>
      <c r="BD88" s="1">
        <f t="shared" si="119"/>
        <v>0</v>
      </c>
      <c r="BE88" s="9">
        <f t="shared" si="120"/>
        <v>0</v>
      </c>
      <c r="BF88" s="10">
        <f t="shared" si="121"/>
        <v>0</v>
      </c>
      <c r="BG88" s="1">
        <f>SUMIFS(
  '[1]Hoja 1'!$M:$M,
  '[1]Hoja 1'!$S:$S, $A88,
  '[1]Hoja 1'!$R:$R, "&gt;="&amp;INT($BI$1),
  '[1]Hoja 1'!$R:$R, "&lt;"&amp;INT($BJ$1+1)
)</f>
        <v>0</v>
      </c>
      <c r="BH88" s="1">
        <f t="shared" si="122"/>
        <v>0</v>
      </c>
      <c r="BI88" s="9">
        <f t="shared" si="123"/>
        <v>0</v>
      </c>
      <c r="BJ88" s="10">
        <f t="shared" si="124"/>
        <v>0</v>
      </c>
      <c r="BK88" s="1">
        <f>SUMIFS(
  '[1]Hoja 1'!$M:$M,
  '[1]Hoja 1'!$S:$S, $A88,
  '[1]Hoja 1'!$R:$R, "&gt;="&amp;INT($BM$1),
  '[1]Hoja 1'!$R:$R, "&lt;"&amp;INT($BN$1+1)
)</f>
        <v>0</v>
      </c>
      <c r="BL88" s="1">
        <f t="shared" si="125"/>
        <v>0</v>
      </c>
      <c r="BM88" s="9">
        <f t="shared" si="126"/>
        <v>0</v>
      </c>
      <c r="BN88" s="10">
        <f t="shared" si="127"/>
        <v>0</v>
      </c>
      <c r="BO88" s="1">
        <f>SUMIFS(
  '[1]Hoja 1'!$M:$M,
  '[1]Hoja 1'!$S:$S, $A88,
  '[1]Hoja 1'!$R:$R, "&gt;="&amp;INT($BQ$1),
  '[1]Hoja 1'!$R:$R, "&lt;"&amp;INT($BR$1+1)
)</f>
        <v>0</v>
      </c>
      <c r="BP88" s="1">
        <f t="shared" si="128"/>
        <v>0</v>
      </c>
      <c r="BQ88" s="9">
        <f t="shared" si="129"/>
        <v>0</v>
      </c>
      <c r="BR88" s="10">
        <f t="shared" si="130"/>
        <v>0</v>
      </c>
      <c r="BS88" s="1">
        <f>SUMIFS(
  '[1]Hoja 1'!$M:$M,
  '[1]Hoja 1'!$S:$S, $A88,
  '[1]Hoja 1'!$R:$R, "&gt;="&amp;INT($BU$1),
  '[1]Hoja 1'!$R:$R, "&lt;"&amp;INT($BV$1+1)
)</f>
        <v>0</v>
      </c>
      <c r="BT88" s="1">
        <f t="shared" si="131"/>
        <v>0</v>
      </c>
      <c r="BU88" s="9">
        <f t="shared" si="132"/>
        <v>0</v>
      </c>
      <c r="BV88" s="10">
        <f t="shared" si="133"/>
        <v>0</v>
      </c>
      <c r="BW88" s="1">
        <f>SUMIFS(
  '[1]Hoja 1'!$M:$M,
  '[1]Hoja 1'!$S:$S, $A88,
  '[1]Hoja 1'!$R:$R, "&gt;="&amp;INT($BY$1),
  '[1]Hoja 1'!$R:$R, "&lt;"&amp;INT($BZ$1+1)
)</f>
        <v>0</v>
      </c>
      <c r="BX88" s="1">
        <f t="shared" si="134"/>
        <v>0</v>
      </c>
      <c r="BY88" s="9">
        <f t="shared" si="135"/>
        <v>0</v>
      </c>
      <c r="BZ88" s="10">
        <f t="shared" si="136"/>
        <v>0</v>
      </c>
      <c r="CA88" s="1">
        <f>SUMIFS(
  '[1]Hoja 1'!$M:$M,
  '[1]Hoja 1'!$S:$S, $A88,
  '[1]Hoja 1'!$R:$R, "&gt;="&amp;INT($CC$1),
  '[1]Hoja 1'!$R:$R, "&lt;"&amp;INT($CD$1+1)
)</f>
        <v>0</v>
      </c>
      <c r="CB88" s="1">
        <f t="shared" si="137"/>
        <v>0</v>
      </c>
      <c r="CC88" s="9">
        <f t="shared" si="138"/>
        <v>0</v>
      </c>
      <c r="CD88" s="10">
        <f t="shared" si="139"/>
        <v>0</v>
      </c>
      <c r="CE88" s="1">
        <f>SUMIFS(
  '[1]Hoja 1'!$M:$M,
  '[1]Hoja 1'!$S:$S, $A88,
  '[1]Hoja 1'!$R:$R, "&gt;="&amp;INT($CG$1),
  '[1]Hoja 1'!$R:$R, "&lt;"&amp;INT($CH$1+1)
)</f>
        <v>0</v>
      </c>
      <c r="CF88" s="1">
        <f t="shared" si="140"/>
        <v>0</v>
      </c>
      <c r="CG88" s="9">
        <f t="shared" si="141"/>
        <v>0</v>
      </c>
      <c r="CH88" s="10">
        <f t="shared" si="142"/>
        <v>0</v>
      </c>
      <c r="CI88" s="1">
        <f>SUMIFS(
  '[1]Hoja 1'!$M:$M,
  '[1]Hoja 1'!$S:$S, $A88,
  '[1]Hoja 1'!$R:$R, "&gt;="&amp;INT($CK$1),
  '[1]Hoja 1'!$R:$R, "&lt;"&amp;INT($CL$1+1)
)</f>
        <v>0</v>
      </c>
      <c r="CJ88" s="1">
        <f t="shared" si="143"/>
        <v>0</v>
      </c>
      <c r="CK88" s="9">
        <f t="shared" si="144"/>
        <v>0</v>
      </c>
      <c r="CL88" s="10">
        <f t="shared" si="145"/>
        <v>0</v>
      </c>
      <c r="CM88" s="1">
        <f>SUMIFS(
  '[1]Hoja 1'!$M:$M,
  '[1]Hoja 1'!$S:$S, $A88,
  '[1]Hoja 1'!$R:$R, "&gt;="&amp;INT($CO$1),
  '[1]Hoja 1'!$R:$R, "&lt;"&amp;INT($CP$1+1)
)</f>
        <v>0</v>
      </c>
      <c r="CN88" s="1">
        <f t="shared" si="146"/>
        <v>0</v>
      </c>
      <c r="CO88" s="9">
        <f t="shared" si="147"/>
        <v>0</v>
      </c>
      <c r="CP88" s="10">
        <f t="shared" si="148"/>
        <v>0</v>
      </c>
      <c r="CQ88" s="1">
        <f>SUMIFS(
  '[1]Hoja 1'!$M:$M,
  '[1]Hoja 1'!$S:$S, $A88,
  '[1]Hoja 1'!$R:$R, "&gt;="&amp;INT($CS$1),
  '[1]Hoja 1'!$R:$R, "&lt;"&amp;INT($CT$1+1)
)</f>
        <v>0</v>
      </c>
      <c r="CR88" s="1">
        <f t="shared" si="149"/>
        <v>0</v>
      </c>
      <c r="CS88" s="9">
        <f t="shared" si="150"/>
        <v>0</v>
      </c>
      <c r="CT88" s="10">
        <f t="shared" si="151"/>
        <v>0</v>
      </c>
      <c r="CU88" s="1">
        <f>SUMIFS(
  '[1]Hoja 1'!$M:$M,
  '[1]Hoja 1'!$S:$S, $A88,
  '[1]Hoja 1'!$R:$R, "&gt;="&amp;INT($CW$1),
  '[1]Hoja 1'!$R:$R, "&lt;"&amp;INT($CX$1+1)
)</f>
        <v>0</v>
      </c>
      <c r="CV88" s="1">
        <f t="shared" si="152"/>
        <v>0</v>
      </c>
      <c r="CW88" s="9">
        <f t="shared" si="153"/>
        <v>0</v>
      </c>
      <c r="CX88" s="10">
        <f t="shared" si="154"/>
        <v>0</v>
      </c>
      <c r="CY88" s="1">
        <f>SUMIFS(
  '[1]Hoja 1'!$M:$M,
  '[1]Hoja 1'!$S:$S, $A88,
  '[1]Hoja 1'!$R:$R, "&gt;="&amp;INT($DA$1),
  '[1]Hoja 1'!$R:$R, "&lt;"&amp;INT($DB$1+1)
)</f>
        <v>0</v>
      </c>
      <c r="CZ88" s="1">
        <f t="shared" si="155"/>
        <v>0</v>
      </c>
      <c r="DA88" s="9">
        <f t="shared" si="156"/>
        <v>0</v>
      </c>
      <c r="DB88" s="10">
        <f t="shared" si="157"/>
        <v>0</v>
      </c>
      <c r="DC88" s="1">
        <f>SUMIFS(
  '[1]Hoja 1'!$M:$M,
  '[1]Hoja 1'!$S:$S, $A88,
  '[1]Hoja 1'!$R:$R, "&gt;="&amp;INT($DE$1),
  '[1]Hoja 1'!$R:$R, "&lt;"&amp;INT($DF$1+1)
)</f>
        <v>0</v>
      </c>
      <c r="DD88" s="1">
        <f t="shared" si="158"/>
        <v>0</v>
      </c>
      <c r="DE88" s="9">
        <f t="shared" si="159"/>
        <v>0</v>
      </c>
      <c r="DF88" s="10">
        <f t="shared" si="160"/>
        <v>0</v>
      </c>
      <c r="DG88" s="1">
        <f>SUMIFS(
  '[1]Hoja 1'!$M:$M,
  '[1]Hoja 1'!$S:$S, $A88,
  '[1]Hoja 1'!$R:$R, "&gt;="&amp;INT($DI$1),
  '[1]Hoja 1'!$R:$R, "&lt;"&amp;INT($DJ$1+1)
)</f>
        <v>0</v>
      </c>
      <c r="DH88" s="1">
        <f t="shared" si="161"/>
        <v>0</v>
      </c>
      <c r="DI88" s="9">
        <f t="shared" si="162"/>
        <v>0</v>
      </c>
      <c r="DJ88" s="10">
        <f t="shared" si="163"/>
        <v>0</v>
      </c>
      <c r="DK88" s="1">
        <f>SUMIFS(
  '[1]Hoja 1'!$M:$M,
  '[1]Hoja 1'!$S:$S, $A88,
  '[1]Hoja 1'!$R:$R, "&gt;="&amp;INT($DM$1),
  '[1]Hoja 1'!$R:$R, "&lt;"&amp;INT($DN$1+1)
)</f>
        <v>0</v>
      </c>
      <c r="DL88" s="1">
        <f t="shared" si="164"/>
        <v>0</v>
      </c>
      <c r="DM88" s="9">
        <f t="shared" si="165"/>
        <v>0</v>
      </c>
      <c r="DN88" s="10">
        <f t="shared" si="166"/>
        <v>0</v>
      </c>
      <c r="DO88" s="1">
        <f>SUMIFS(
  '[1]Hoja 1'!$M:$M,
  '[1]Hoja 1'!$S:$S, $A88,
  '[1]Hoja 1'!$R:$R, "&gt;="&amp;INT($DQ$1),
  '[1]Hoja 1'!$R:$R, "&lt;"&amp;INT($DR$1+1)
)</f>
        <v>0</v>
      </c>
      <c r="DP88" s="1">
        <f t="shared" si="167"/>
        <v>0</v>
      </c>
      <c r="DQ88" s="9">
        <f t="shared" si="168"/>
        <v>0</v>
      </c>
      <c r="DR88" s="10">
        <f t="shared" si="169"/>
        <v>0</v>
      </c>
    </row>
    <row r="89" spans="1:122" x14ac:dyDescent="0.25">
      <c r="A89" s="5">
        <v>213017</v>
      </c>
      <c r="B89" s="6" t="s">
        <v>89</v>
      </c>
      <c r="C89" s="1">
        <f>SUMIFS(
  '[1]Hoja 1'!$M:$M,
  '[1]Hoja 1'!$S:$S, $A89,
  '[1]Hoja 1'!$R:$R, "&gt;="&amp;INT($E$1),
  '[1]Hoja 1'!$R:$R, "&lt;"&amp;INT($F$1+1)
)</f>
        <v>0</v>
      </c>
      <c r="D89" s="1" t="str">
        <f>""</f>
        <v/>
      </c>
      <c r="F89" s="2"/>
      <c r="G89" s="1">
        <f>SUMIFS(
  '[1]Hoja 1'!$M:$M,
  '[1]Hoja 1'!$S:$S, $A89,
  '[1]Hoja 1'!$R:$R, "&gt;="&amp;INT($I$1),
  '[1]Hoja 1'!$R:$R, "&lt;"&amp;INT($J$1+1)
)</f>
        <v>0</v>
      </c>
      <c r="H89" s="1">
        <f t="shared" si="85"/>
        <v>0</v>
      </c>
      <c r="I89" s="1"/>
      <c r="J89" s="2"/>
      <c r="K89" s="1">
        <f>SUMIFS(
  '[1]Hoja 1'!$M:$M,
  '[1]Hoja 1'!$S:$S, $A89,
  '[1]Hoja 1'!$R:$R, "&gt;="&amp;INT($M$1),
  '[1]Hoja 1'!$R:$R, "&lt;"&amp;INT($N$1+1)
)</f>
        <v>0</v>
      </c>
      <c r="L89" s="1">
        <f t="shared" si="86"/>
        <v>0</v>
      </c>
      <c r="M89" s="9">
        <f t="shared" si="87"/>
        <v>0</v>
      </c>
      <c r="N89" s="10">
        <f t="shared" si="88"/>
        <v>0</v>
      </c>
      <c r="O89" s="1">
        <f>SUMIFS(
  '[1]Hoja 1'!$M:$M,
  '[1]Hoja 1'!$S:$S, $A89,
  '[1]Hoja 1'!$R:$R, "&gt;="&amp;INT($Q$1),
  '[1]Hoja 1'!$R:$R, "&lt;"&amp;INT($R$1+1)
)</f>
        <v>0</v>
      </c>
      <c r="P89" s="1">
        <f t="shared" si="89"/>
        <v>0</v>
      </c>
      <c r="Q89" s="9">
        <f t="shared" si="90"/>
        <v>0</v>
      </c>
      <c r="R89" s="10">
        <f t="shared" si="91"/>
        <v>0</v>
      </c>
      <c r="S89" s="1">
        <f>SUMIFS(
  '[1]Hoja 1'!$M:$M,
  '[1]Hoja 1'!$S:$S, $A89,
  '[1]Hoja 1'!$R:$R, "&gt;="&amp;INT($U$1),
  '[1]Hoja 1'!$R:$R, "&lt;"&amp;INT($V$1+1)
)</f>
        <v>0</v>
      </c>
      <c r="T89" s="1">
        <f t="shared" si="92"/>
        <v>0</v>
      </c>
      <c r="U89" s="9">
        <f t="shared" si="93"/>
        <v>0</v>
      </c>
      <c r="V89" s="10">
        <f t="shared" si="94"/>
        <v>0</v>
      </c>
      <c r="W89" s="1">
        <f>SUMIFS(
  '[1]Hoja 1'!$M:$M,
  '[1]Hoja 1'!$S:$S, $A89,
  '[1]Hoja 1'!$R:$R, "&gt;="&amp;INT($Y$1),
  '[1]Hoja 1'!$R:$R, "&lt;"&amp;INT($Z$1+1)
)</f>
        <v>0</v>
      </c>
      <c r="X89" s="1">
        <f t="shared" si="95"/>
        <v>0</v>
      </c>
      <c r="Y89" s="9">
        <f t="shared" si="96"/>
        <v>0</v>
      </c>
      <c r="Z89" s="10">
        <f t="shared" si="97"/>
        <v>0</v>
      </c>
      <c r="AA89" s="1">
        <f>SUMIFS(
  '[1]Hoja 1'!$M:$M,
  '[1]Hoja 1'!$S:$S, $A89,
  '[1]Hoja 1'!$R:$R, "&gt;="&amp;INT($AC$1),
  '[1]Hoja 1'!$R:$R, "&lt;"&amp;INT($AD$1+1)
)</f>
        <v>0</v>
      </c>
      <c r="AB89" s="1">
        <f t="shared" si="98"/>
        <v>0</v>
      </c>
      <c r="AC89" s="9">
        <f t="shared" si="99"/>
        <v>0</v>
      </c>
      <c r="AD89" s="10">
        <f t="shared" si="100"/>
        <v>0</v>
      </c>
      <c r="AE89" s="1">
        <f>SUMIFS(
  '[1]Hoja 1'!$M:$M,
  '[1]Hoja 1'!$S:$S, $A89,
  '[1]Hoja 1'!$R:$R, "&gt;="&amp;INT($AG$1),
  '[1]Hoja 1'!$R:$R, "&lt;"&amp;INT($AH$1+1)
)</f>
        <v>0</v>
      </c>
      <c r="AF89" s="1">
        <f t="shared" si="101"/>
        <v>0</v>
      </c>
      <c r="AG89" s="9">
        <f t="shared" si="102"/>
        <v>0</v>
      </c>
      <c r="AH89" s="10">
        <f t="shared" si="103"/>
        <v>0</v>
      </c>
      <c r="AI89" s="1">
        <f>SUMIFS(
  '[1]Hoja 1'!$M:$M,
  '[1]Hoja 1'!$S:$S, $A89,
  '[1]Hoja 1'!$R:$R, "&gt;="&amp;INT($AK$1),
  '[1]Hoja 1'!$R:$R, "&lt;"&amp;INT($AL$1+1)
)</f>
        <v>0</v>
      </c>
      <c r="AJ89" s="1">
        <f t="shared" si="104"/>
        <v>0</v>
      </c>
      <c r="AK89" s="9">
        <f t="shared" si="105"/>
        <v>0</v>
      </c>
      <c r="AL89" s="10">
        <f t="shared" si="106"/>
        <v>0</v>
      </c>
      <c r="AM89" s="1">
        <f>SUMIFS(
  '[1]Hoja 1'!$M:$M,
  '[1]Hoja 1'!$S:$S, $A89,
  '[1]Hoja 1'!$R:$R, "&gt;="&amp;INT($AO$1),
  '[1]Hoja 1'!$R:$R, "&lt;"&amp;INT($AP$1+1)
)</f>
        <v>0</v>
      </c>
      <c r="AN89" s="1">
        <f t="shared" si="107"/>
        <v>0</v>
      </c>
      <c r="AO89" s="9">
        <f t="shared" si="108"/>
        <v>0</v>
      </c>
      <c r="AP89" s="10">
        <f t="shared" si="109"/>
        <v>0</v>
      </c>
      <c r="AQ89" s="1">
        <f>SUMIFS(
  '[1]Hoja 1'!$M:$M,
  '[1]Hoja 1'!$S:$S, $A89,
  '[1]Hoja 1'!$R:$R, "&gt;="&amp;INT($AS$1),
  '[1]Hoja 1'!$R:$R, "&lt;"&amp;INT($AT$1+1)
)</f>
        <v>0</v>
      </c>
      <c r="AR89" s="1">
        <f t="shared" si="110"/>
        <v>0</v>
      </c>
      <c r="AS89" s="9">
        <f t="shared" si="111"/>
        <v>0</v>
      </c>
      <c r="AT89" s="10">
        <f t="shared" si="112"/>
        <v>0</v>
      </c>
      <c r="AU89" s="1">
        <f>SUMIFS(
  '[1]Hoja 1'!$M:$M,
  '[1]Hoja 1'!$S:$S, $A89,
  '[1]Hoja 1'!$R:$R, "&gt;="&amp;INT($AW$1),
  '[1]Hoja 1'!$R:$R, "&lt;"&amp;INT($AX$1+1)
)</f>
        <v>0</v>
      </c>
      <c r="AV89" s="1">
        <f t="shared" si="113"/>
        <v>0</v>
      </c>
      <c r="AW89" s="9">
        <f t="shared" si="114"/>
        <v>0</v>
      </c>
      <c r="AX89" s="10">
        <f t="shared" si="115"/>
        <v>0</v>
      </c>
      <c r="AY89" s="1">
        <f>SUMIFS(
  '[1]Hoja 1'!$M:$M,
  '[1]Hoja 1'!$S:$S, $A89,
  '[1]Hoja 1'!$R:$R, "&gt;="&amp;INT($BA$1),
  '[1]Hoja 1'!$R:$R, "&lt;"&amp;INT($BB$1+1)
)</f>
        <v>0</v>
      </c>
      <c r="AZ89" s="1">
        <f t="shared" si="116"/>
        <v>0</v>
      </c>
      <c r="BA89" s="9">
        <f t="shared" si="117"/>
        <v>0</v>
      </c>
      <c r="BB89" s="10">
        <f t="shared" si="118"/>
        <v>0</v>
      </c>
      <c r="BC89" s="1">
        <f>SUMIFS(
  '[1]Hoja 1'!$M:$M,
  '[1]Hoja 1'!$S:$S, $A89,
  '[1]Hoja 1'!$R:$R, "&gt;="&amp;INT($BE$1),
  '[1]Hoja 1'!$R:$R, "&lt;"&amp;INT($BF$1+1)
)</f>
        <v>0</v>
      </c>
      <c r="BD89" s="1">
        <f t="shared" si="119"/>
        <v>0</v>
      </c>
      <c r="BE89" s="9">
        <f t="shared" si="120"/>
        <v>0</v>
      </c>
      <c r="BF89" s="10">
        <f t="shared" si="121"/>
        <v>0</v>
      </c>
      <c r="BG89" s="1">
        <f>SUMIFS(
  '[1]Hoja 1'!$M:$M,
  '[1]Hoja 1'!$S:$S, $A89,
  '[1]Hoja 1'!$R:$R, "&gt;="&amp;INT($BI$1),
  '[1]Hoja 1'!$R:$R, "&lt;"&amp;INT($BJ$1+1)
)</f>
        <v>0</v>
      </c>
      <c r="BH89" s="1">
        <f t="shared" si="122"/>
        <v>0</v>
      </c>
      <c r="BI89" s="9">
        <f t="shared" si="123"/>
        <v>0</v>
      </c>
      <c r="BJ89" s="10">
        <f t="shared" si="124"/>
        <v>0</v>
      </c>
      <c r="BK89" s="1">
        <f>SUMIFS(
  '[1]Hoja 1'!$M:$M,
  '[1]Hoja 1'!$S:$S, $A89,
  '[1]Hoja 1'!$R:$R, "&gt;="&amp;INT($BM$1),
  '[1]Hoja 1'!$R:$R, "&lt;"&amp;INT($BN$1+1)
)</f>
        <v>0</v>
      </c>
      <c r="BL89" s="1">
        <f t="shared" si="125"/>
        <v>0</v>
      </c>
      <c r="BM89" s="9">
        <f t="shared" si="126"/>
        <v>0</v>
      </c>
      <c r="BN89" s="10">
        <f t="shared" si="127"/>
        <v>0</v>
      </c>
      <c r="BO89" s="1">
        <f>SUMIFS(
  '[1]Hoja 1'!$M:$M,
  '[1]Hoja 1'!$S:$S, $A89,
  '[1]Hoja 1'!$R:$R, "&gt;="&amp;INT($BQ$1),
  '[1]Hoja 1'!$R:$R, "&lt;"&amp;INT($BR$1+1)
)</f>
        <v>0</v>
      </c>
      <c r="BP89" s="1">
        <f t="shared" si="128"/>
        <v>0</v>
      </c>
      <c r="BQ89" s="9">
        <f t="shared" si="129"/>
        <v>0</v>
      </c>
      <c r="BR89" s="10">
        <f t="shared" si="130"/>
        <v>0</v>
      </c>
      <c r="BS89" s="1">
        <f>SUMIFS(
  '[1]Hoja 1'!$M:$M,
  '[1]Hoja 1'!$S:$S, $A89,
  '[1]Hoja 1'!$R:$R, "&gt;="&amp;INT($BU$1),
  '[1]Hoja 1'!$R:$R, "&lt;"&amp;INT($BV$1+1)
)</f>
        <v>0</v>
      </c>
      <c r="BT89" s="1">
        <f t="shared" si="131"/>
        <v>0</v>
      </c>
      <c r="BU89" s="9">
        <f t="shared" si="132"/>
        <v>0</v>
      </c>
      <c r="BV89" s="10">
        <f t="shared" si="133"/>
        <v>0</v>
      </c>
      <c r="BW89" s="1">
        <f>SUMIFS(
  '[1]Hoja 1'!$M:$M,
  '[1]Hoja 1'!$S:$S, $A89,
  '[1]Hoja 1'!$R:$R, "&gt;="&amp;INT($BY$1),
  '[1]Hoja 1'!$R:$R, "&lt;"&amp;INT($BZ$1+1)
)</f>
        <v>0</v>
      </c>
      <c r="BX89" s="1">
        <f t="shared" si="134"/>
        <v>0</v>
      </c>
      <c r="BY89" s="9">
        <f t="shared" si="135"/>
        <v>0</v>
      </c>
      <c r="BZ89" s="10">
        <f t="shared" si="136"/>
        <v>0</v>
      </c>
      <c r="CA89" s="1">
        <f>SUMIFS(
  '[1]Hoja 1'!$M:$M,
  '[1]Hoja 1'!$S:$S, $A89,
  '[1]Hoja 1'!$R:$R, "&gt;="&amp;INT($CC$1),
  '[1]Hoja 1'!$R:$R, "&lt;"&amp;INT($CD$1+1)
)</f>
        <v>0</v>
      </c>
      <c r="CB89" s="1">
        <f t="shared" si="137"/>
        <v>0</v>
      </c>
      <c r="CC89" s="9">
        <f t="shared" si="138"/>
        <v>0</v>
      </c>
      <c r="CD89" s="10">
        <f t="shared" si="139"/>
        <v>0</v>
      </c>
      <c r="CE89" s="1">
        <f>SUMIFS(
  '[1]Hoja 1'!$M:$M,
  '[1]Hoja 1'!$S:$S, $A89,
  '[1]Hoja 1'!$R:$R, "&gt;="&amp;INT($CG$1),
  '[1]Hoja 1'!$R:$R, "&lt;"&amp;INT($CH$1+1)
)</f>
        <v>0</v>
      </c>
      <c r="CF89" s="1">
        <f t="shared" si="140"/>
        <v>0</v>
      </c>
      <c r="CG89" s="9">
        <f t="shared" si="141"/>
        <v>0</v>
      </c>
      <c r="CH89" s="10">
        <f t="shared" si="142"/>
        <v>0</v>
      </c>
      <c r="CI89" s="1">
        <f>SUMIFS(
  '[1]Hoja 1'!$M:$M,
  '[1]Hoja 1'!$S:$S, $A89,
  '[1]Hoja 1'!$R:$R, "&gt;="&amp;INT($CK$1),
  '[1]Hoja 1'!$R:$R, "&lt;"&amp;INT($CL$1+1)
)</f>
        <v>0</v>
      </c>
      <c r="CJ89" s="1">
        <f t="shared" si="143"/>
        <v>0</v>
      </c>
      <c r="CK89" s="9">
        <f t="shared" si="144"/>
        <v>0</v>
      </c>
      <c r="CL89" s="10">
        <f t="shared" si="145"/>
        <v>0</v>
      </c>
      <c r="CM89" s="1">
        <f>SUMIFS(
  '[1]Hoja 1'!$M:$M,
  '[1]Hoja 1'!$S:$S, $A89,
  '[1]Hoja 1'!$R:$R, "&gt;="&amp;INT($CO$1),
  '[1]Hoja 1'!$R:$R, "&lt;"&amp;INT($CP$1+1)
)</f>
        <v>0</v>
      </c>
      <c r="CN89" s="1">
        <f t="shared" si="146"/>
        <v>0</v>
      </c>
      <c r="CO89" s="9">
        <f t="shared" si="147"/>
        <v>0</v>
      </c>
      <c r="CP89" s="10">
        <f t="shared" si="148"/>
        <v>0</v>
      </c>
      <c r="CQ89" s="1">
        <f>SUMIFS(
  '[1]Hoja 1'!$M:$M,
  '[1]Hoja 1'!$S:$S, $A89,
  '[1]Hoja 1'!$R:$R, "&gt;="&amp;INT($CS$1),
  '[1]Hoja 1'!$R:$R, "&lt;"&amp;INT($CT$1+1)
)</f>
        <v>0</v>
      </c>
      <c r="CR89" s="1">
        <f t="shared" si="149"/>
        <v>0</v>
      </c>
      <c r="CS89" s="9">
        <f t="shared" si="150"/>
        <v>0</v>
      </c>
      <c r="CT89" s="10">
        <f t="shared" si="151"/>
        <v>0</v>
      </c>
      <c r="CU89" s="1">
        <f>SUMIFS(
  '[1]Hoja 1'!$M:$M,
  '[1]Hoja 1'!$S:$S, $A89,
  '[1]Hoja 1'!$R:$R, "&gt;="&amp;INT($CW$1),
  '[1]Hoja 1'!$R:$R, "&lt;"&amp;INT($CX$1+1)
)</f>
        <v>0</v>
      </c>
      <c r="CV89" s="1">
        <f t="shared" si="152"/>
        <v>0</v>
      </c>
      <c r="CW89" s="9">
        <f t="shared" si="153"/>
        <v>0</v>
      </c>
      <c r="CX89" s="10">
        <f t="shared" si="154"/>
        <v>0</v>
      </c>
      <c r="CY89" s="1">
        <f>SUMIFS(
  '[1]Hoja 1'!$M:$M,
  '[1]Hoja 1'!$S:$S, $A89,
  '[1]Hoja 1'!$R:$R, "&gt;="&amp;INT($DA$1),
  '[1]Hoja 1'!$R:$R, "&lt;"&amp;INT($DB$1+1)
)</f>
        <v>0</v>
      </c>
      <c r="CZ89" s="1">
        <f t="shared" si="155"/>
        <v>0</v>
      </c>
      <c r="DA89" s="9">
        <f t="shared" si="156"/>
        <v>0</v>
      </c>
      <c r="DB89" s="10">
        <f t="shared" si="157"/>
        <v>0</v>
      </c>
      <c r="DC89" s="1">
        <f>SUMIFS(
  '[1]Hoja 1'!$M:$M,
  '[1]Hoja 1'!$S:$S, $A89,
  '[1]Hoja 1'!$R:$R, "&gt;="&amp;INT($DE$1),
  '[1]Hoja 1'!$R:$R, "&lt;"&amp;INT($DF$1+1)
)</f>
        <v>0</v>
      </c>
      <c r="DD89" s="1">
        <f t="shared" si="158"/>
        <v>0</v>
      </c>
      <c r="DE89" s="9">
        <f t="shared" si="159"/>
        <v>0</v>
      </c>
      <c r="DF89" s="10">
        <f t="shared" si="160"/>
        <v>0</v>
      </c>
      <c r="DG89" s="1">
        <f>SUMIFS(
  '[1]Hoja 1'!$M:$M,
  '[1]Hoja 1'!$S:$S, $A89,
  '[1]Hoja 1'!$R:$R, "&gt;="&amp;INT($DI$1),
  '[1]Hoja 1'!$R:$R, "&lt;"&amp;INT($DJ$1+1)
)</f>
        <v>0</v>
      </c>
      <c r="DH89" s="1">
        <f t="shared" si="161"/>
        <v>0</v>
      </c>
      <c r="DI89" s="9">
        <f t="shared" si="162"/>
        <v>0</v>
      </c>
      <c r="DJ89" s="10">
        <f t="shared" si="163"/>
        <v>0</v>
      </c>
      <c r="DK89" s="1">
        <f>SUMIFS(
  '[1]Hoja 1'!$M:$M,
  '[1]Hoja 1'!$S:$S, $A89,
  '[1]Hoja 1'!$R:$R, "&gt;="&amp;INT($DM$1),
  '[1]Hoja 1'!$R:$R, "&lt;"&amp;INT($DN$1+1)
)</f>
        <v>0</v>
      </c>
      <c r="DL89" s="1">
        <f t="shared" si="164"/>
        <v>0</v>
      </c>
      <c r="DM89" s="9">
        <f t="shared" si="165"/>
        <v>0</v>
      </c>
      <c r="DN89" s="10">
        <f t="shared" si="166"/>
        <v>0</v>
      </c>
      <c r="DO89" s="1">
        <f>SUMIFS(
  '[1]Hoja 1'!$M:$M,
  '[1]Hoja 1'!$S:$S, $A89,
  '[1]Hoja 1'!$R:$R, "&gt;="&amp;INT($DQ$1),
  '[1]Hoja 1'!$R:$R, "&lt;"&amp;INT($DR$1+1)
)</f>
        <v>0</v>
      </c>
      <c r="DP89" s="1">
        <f t="shared" si="167"/>
        <v>0</v>
      </c>
      <c r="DQ89" s="9">
        <f t="shared" si="168"/>
        <v>0</v>
      </c>
      <c r="DR89" s="10">
        <f t="shared" si="169"/>
        <v>0</v>
      </c>
    </row>
    <row r="90" spans="1:122" x14ac:dyDescent="0.25">
      <c r="A90" s="5">
        <v>213018</v>
      </c>
      <c r="B90" s="6" t="s">
        <v>90</v>
      </c>
      <c r="C90" s="1">
        <f>SUMIFS(
  '[1]Hoja 1'!$M:$M,
  '[1]Hoja 1'!$S:$S, $A90,
  '[1]Hoja 1'!$R:$R, "&gt;="&amp;INT($E$1),
  '[1]Hoja 1'!$R:$R, "&lt;"&amp;INT($F$1+1)
)</f>
        <v>0</v>
      </c>
      <c r="D90" s="1" t="str">
        <f>""</f>
        <v/>
      </c>
      <c r="F90" s="2"/>
      <c r="G90" s="1">
        <f>SUMIFS(
  '[1]Hoja 1'!$M:$M,
  '[1]Hoja 1'!$S:$S, $A90,
  '[1]Hoja 1'!$R:$R, "&gt;="&amp;INT($I$1),
  '[1]Hoja 1'!$R:$R, "&lt;"&amp;INT($J$1+1)
)</f>
        <v>0</v>
      </c>
      <c r="H90" s="1">
        <f t="shared" si="85"/>
        <v>0</v>
      </c>
      <c r="I90" s="1"/>
      <c r="J90" s="2"/>
      <c r="K90" s="1">
        <f>SUMIFS(
  '[1]Hoja 1'!$M:$M,
  '[1]Hoja 1'!$S:$S, $A90,
  '[1]Hoja 1'!$R:$R, "&gt;="&amp;INT($M$1),
  '[1]Hoja 1'!$R:$R, "&lt;"&amp;INT($N$1+1)
)</f>
        <v>0</v>
      </c>
      <c r="L90" s="1">
        <f t="shared" si="86"/>
        <v>0</v>
      </c>
      <c r="M90" s="9">
        <f t="shared" si="87"/>
        <v>0</v>
      </c>
      <c r="N90" s="10">
        <f t="shared" si="88"/>
        <v>0</v>
      </c>
      <c r="O90" s="1">
        <f>SUMIFS(
  '[1]Hoja 1'!$M:$M,
  '[1]Hoja 1'!$S:$S, $A90,
  '[1]Hoja 1'!$R:$R, "&gt;="&amp;INT($Q$1),
  '[1]Hoja 1'!$R:$R, "&lt;"&amp;INT($R$1+1)
)</f>
        <v>0</v>
      </c>
      <c r="P90" s="1">
        <f t="shared" si="89"/>
        <v>0</v>
      </c>
      <c r="Q90" s="9">
        <f t="shared" si="90"/>
        <v>0</v>
      </c>
      <c r="R90" s="10">
        <f t="shared" si="91"/>
        <v>0</v>
      </c>
      <c r="S90" s="1">
        <f>SUMIFS(
  '[1]Hoja 1'!$M:$M,
  '[1]Hoja 1'!$S:$S, $A90,
  '[1]Hoja 1'!$R:$R, "&gt;="&amp;INT($U$1),
  '[1]Hoja 1'!$R:$R, "&lt;"&amp;INT($V$1+1)
)</f>
        <v>0</v>
      </c>
      <c r="T90" s="1">
        <f t="shared" si="92"/>
        <v>0</v>
      </c>
      <c r="U90" s="9">
        <f t="shared" si="93"/>
        <v>0</v>
      </c>
      <c r="V90" s="10">
        <f t="shared" si="94"/>
        <v>0</v>
      </c>
      <c r="W90" s="1">
        <f>SUMIFS(
  '[1]Hoja 1'!$M:$M,
  '[1]Hoja 1'!$S:$S, $A90,
  '[1]Hoja 1'!$R:$R, "&gt;="&amp;INT($Y$1),
  '[1]Hoja 1'!$R:$R, "&lt;"&amp;INT($Z$1+1)
)</f>
        <v>1</v>
      </c>
      <c r="X90" s="1">
        <f t="shared" si="95"/>
        <v>1</v>
      </c>
      <c r="Y90" s="9">
        <f t="shared" si="96"/>
        <v>0.51</v>
      </c>
      <c r="Z90" s="10">
        <f t="shared" si="97"/>
        <v>1.49</v>
      </c>
      <c r="AA90" s="1">
        <f>SUMIFS(
  '[1]Hoja 1'!$M:$M,
  '[1]Hoja 1'!$S:$S, $A90,
  '[1]Hoja 1'!$R:$R, "&gt;="&amp;INT($AC$1),
  '[1]Hoja 1'!$R:$R, "&lt;"&amp;INT($AD$1+1)
)</f>
        <v>0</v>
      </c>
      <c r="AB90" s="1">
        <f t="shared" si="98"/>
        <v>1</v>
      </c>
      <c r="AC90" s="9">
        <f t="shared" si="99"/>
        <v>0.30703535443718344</v>
      </c>
      <c r="AD90" s="10">
        <f t="shared" si="100"/>
        <v>1.8001666493091715</v>
      </c>
      <c r="AE90" s="1">
        <f>SUMIFS(
  '[1]Hoja 1'!$M:$M,
  '[1]Hoja 1'!$S:$S, $A90,
  '[1]Hoja 1'!$R:$R, "&gt;="&amp;INT($AG$1),
  '[1]Hoja 1'!$R:$R, "&lt;"&amp;INT($AH$1+1)
)</f>
        <v>0</v>
      </c>
      <c r="AF90" s="1">
        <f t="shared" si="101"/>
        <v>0</v>
      </c>
      <c r="AG90" s="9">
        <f t="shared" si="102"/>
        <v>-0.69296464556281656</v>
      </c>
      <c r="AH90" s="10">
        <f t="shared" si="103"/>
        <v>0.80016664930917147</v>
      </c>
      <c r="AI90" s="1">
        <f>SUMIFS(
  '[1]Hoja 1'!$M:$M,
  '[1]Hoja 1'!$S:$S, $A90,
  '[1]Hoja 1'!$R:$R, "&gt;="&amp;INT($AK$1),
  '[1]Hoja 1'!$R:$R, "&lt;"&amp;INT($AL$1+1)
)</f>
        <v>0</v>
      </c>
      <c r="AJ90" s="1">
        <f t="shared" si="104"/>
        <v>0</v>
      </c>
      <c r="AK90" s="9">
        <f t="shared" si="105"/>
        <v>-0.69296464556281656</v>
      </c>
      <c r="AL90" s="10">
        <f t="shared" si="106"/>
        <v>0.80016664930917147</v>
      </c>
      <c r="AM90" s="1">
        <f>SUMIFS(
  '[1]Hoja 1'!$M:$M,
  '[1]Hoja 1'!$S:$S, $A90,
  '[1]Hoja 1'!$R:$R, "&gt;="&amp;INT($AO$1),
  '[1]Hoja 1'!$R:$R, "&lt;"&amp;INT($AP$1+1)
)</f>
        <v>0</v>
      </c>
      <c r="AN90" s="1">
        <f t="shared" si="107"/>
        <v>0</v>
      </c>
      <c r="AO90" s="9">
        <f t="shared" si="108"/>
        <v>-0.43826932358995874</v>
      </c>
      <c r="AP90" s="10">
        <f t="shared" si="109"/>
        <v>0.49</v>
      </c>
      <c r="AQ90" s="1">
        <f>SUMIFS(
  '[1]Hoja 1'!$M:$M,
  '[1]Hoja 1'!$S:$S, $A90,
  '[1]Hoja 1'!$R:$R, "&gt;="&amp;INT($AS$1),
  '[1]Hoja 1'!$R:$R, "&lt;"&amp;INT($AT$1+1)
)</f>
        <v>0</v>
      </c>
      <c r="AR90" s="1">
        <f t="shared" si="110"/>
        <v>0</v>
      </c>
      <c r="AS90" s="9">
        <f t="shared" si="111"/>
        <v>0</v>
      </c>
      <c r="AT90" s="10">
        <f t="shared" si="112"/>
        <v>0</v>
      </c>
      <c r="AU90" s="1">
        <f>SUMIFS(
  '[1]Hoja 1'!$M:$M,
  '[1]Hoja 1'!$S:$S, $A90,
  '[1]Hoja 1'!$R:$R, "&gt;="&amp;INT($AW$1),
  '[1]Hoja 1'!$R:$R, "&lt;"&amp;INT($AX$1+1)
)</f>
        <v>0</v>
      </c>
      <c r="AV90" s="1">
        <f t="shared" si="113"/>
        <v>0</v>
      </c>
      <c r="AW90" s="9">
        <f t="shared" si="114"/>
        <v>0</v>
      </c>
      <c r="AX90" s="10">
        <f t="shared" si="115"/>
        <v>0</v>
      </c>
      <c r="AY90" s="1">
        <f>SUMIFS(
  '[1]Hoja 1'!$M:$M,
  '[1]Hoja 1'!$S:$S, $A90,
  '[1]Hoja 1'!$R:$R, "&gt;="&amp;INT($BA$1),
  '[1]Hoja 1'!$R:$R, "&lt;"&amp;INT($BB$1+1)
)</f>
        <v>0</v>
      </c>
      <c r="AZ90" s="1">
        <f t="shared" si="116"/>
        <v>0</v>
      </c>
      <c r="BA90" s="9">
        <f t="shared" si="117"/>
        <v>0</v>
      </c>
      <c r="BB90" s="10">
        <f t="shared" si="118"/>
        <v>0</v>
      </c>
      <c r="BC90" s="1">
        <f>SUMIFS(
  '[1]Hoja 1'!$M:$M,
  '[1]Hoja 1'!$S:$S, $A90,
  '[1]Hoja 1'!$R:$R, "&gt;="&amp;INT($BE$1),
  '[1]Hoja 1'!$R:$R, "&lt;"&amp;INT($BF$1+1)
)</f>
        <v>0</v>
      </c>
      <c r="BD90" s="1">
        <f t="shared" si="119"/>
        <v>0</v>
      </c>
      <c r="BE90" s="9">
        <f t="shared" si="120"/>
        <v>0</v>
      </c>
      <c r="BF90" s="10">
        <f t="shared" si="121"/>
        <v>0</v>
      </c>
      <c r="BG90" s="1">
        <f>SUMIFS(
  '[1]Hoja 1'!$M:$M,
  '[1]Hoja 1'!$S:$S, $A90,
  '[1]Hoja 1'!$R:$R, "&gt;="&amp;INT($BI$1),
  '[1]Hoja 1'!$R:$R, "&lt;"&amp;INT($BJ$1+1)
)</f>
        <v>0</v>
      </c>
      <c r="BH90" s="1">
        <f t="shared" si="122"/>
        <v>0</v>
      </c>
      <c r="BI90" s="9">
        <f t="shared" si="123"/>
        <v>0</v>
      </c>
      <c r="BJ90" s="10">
        <f t="shared" si="124"/>
        <v>0</v>
      </c>
      <c r="BK90" s="1">
        <f>SUMIFS(
  '[1]Hoja 1'!$M:$M,
  '[1]Hoja 1'!$S:$S, $A90,
  '[1]Hoja 1'!$R:$R, "&gt;="&amp;INT($BM$1),
  '[1]Hoja 1'!$R:$R, "&lt;"&amp;INT($BN$1+1)
)</f>
        <v>0</v>
      </c>
      <c r="BL90" s="1">
        <f t="shared" si="125"/>
        <v>0</v>
      </c>
      <c r="BM90" s="9">
        <f t="shared" si="126"/>
        <v>0</v>
      </c>
      <c r="BN90" s="10">
        <f t="shared" si="127"/>
        <v>0</v>
      </c>
      <c r="BO90" s="1">
        <f>SUMIFS(
  '[1]Hoja 1'!$M:$M,
  '[1]Hoja 1'!$S:$S, $A90,
  '[1]Hoja 1'!$R:$R, "&gt;="&amp;INT($BQ$1),
  '[1]Hoja 1'!$R:$R, "&lt;"&amp;INT($BR$1+1)
)</f>
        <v>0</v>
      </c>
      <c r="BP90" s="1">
        <f t="shared" si="128"/>
        <v>0</v>
      </c>
      <c r="BQ90" s="9">
        <f t="shared" si="129"/>
        <v>0</v>
      </c>
      <c r="BR90" s="10">
        <f t="shared" si="130"/>
        <v>0</v>
      </c>
      <c r="BS90" s="1">
        <f>SUMIFS(
  '[1]Hoja 1'!$M:$M,
  '[1]Hoja 1'!$S:$S, $A90,
  '[1]Hoja 1'!$R:$R, "&gt;="&amp;INT($BU$1),
  '[1]Hoja 1'!$R:$R, "&lt;"&amp;INT($BV$1+1)
)</f>
        <v>0</v>
      </c>
      <c r="BT90" s="1">
        <f t="shared" si="131"/>
        <v>0</v>
      </c>
      <c r="BU90" s="9">
        <f t="shared" si="132"/>
        <v>0</v>
      </c>
      <c r="BV90" s="10">
        <f t="shared" si="133"/>
        <v>0</v>
      </c>
      <c r="BW90" s="1">
        <f>SUMIFS(
  '[1]Hoja 1'!$M:$M,
  '[1]Hoja 1'!$S:$S, $A90,
  '[1]Hoja 1'!$R:$R, "&gt;="&amp;INT($BY$1),
  '[1]Hoja 1'!$R:$R, "&lt;"&amp;INT($BZ$1+1)
)</f>
        <v>0</v>
      </c>
      <c r="BX90" s="1">
        <f t="shared" si="134"/>
        <v>0</v>
      </c>
      <c r="BY90" s="9">
        <f t="shared" si="135"/>
        <v>0</v>
      </c>
      <c r="BZ90" s="10">
        <f t="shared" si="136"/>
        <v>0</v>
      </c>
      <c r="CA90" s="1">
        <f>SUMIFS(
  '[1]Hoja 1'!$M:$M,
  '[1]Hoja 1'!$S:$S, $A90,
  '[1]Hoja 1'!$R:$R, "&gt;="&amp;INT($CC$1),
  '[1]Hoja 1'!$R:$R, "&lt;"&amp;INT($CD$1+1)
)</f>
        <v>0</v>
      </c>
      <c r="CB90" s="1">
        <f t="shared" si="137"/>
        <v>0</v>
      </c>
      <c r="CC90" s="9">
        <f t="shared" si="138"/>
        <v>0</v>
      </c>
      <c r="CD90" s="10">
        <f t="shared" si="139"/>
        <v>0</v>
      </c>
      <c r="CE90" s="1">
        <f>SUMIFS(
  '[1]Hoja 1'!$M:$M,
  '[1]Hoja 1'!$S:$S, $A90,
  '[1]Hoja 1'!$R:$R, "&gt;="&amp;INT($CG$1),
  '[1]Hoja 1'!$R:$R, "&lt;"&amp;INT($CH$1+1)
)</f>
        <v>0</v>
      </c>
      <c r="CF90" s="1">
        <f t="shared" si="140"/>
        <v>0</v>
      </c>
      <c r="CG90" s="9">
        <f t="shared" si="141"/>
        <v>0</v>
      </c>
      <c r="CH90" s="10">
        <f t="shared" si="142"/>
        <v>0</v>
      </c>
      <c r="CI90" s="1">
        <f>SUMIFS(
  '[1]Hoja 1'!$M:$M,
  '[1]Hoja 1'!$S:$S, $A90,
  '[1]Hoja 1'!$R:$R, "&gt;="&amp;INT($CK$1),
  '[1]Hoja 1'!$R:$R, "&lt;"&amp;INT($CL$1+1)
)</f>
        <v>0</v>
      </c>
      <c r="CJ90" s="1">
        <f t="shared" si="143"/>
        <v>0</v>
      </c>
      <c r="CK90" s="9">
        <f t="shared" si="144"/>
        <v>0</v>
      </c>
      <c r="CL90" s="10">
        <f t="shared" si="145"/>
        <v>0</v>
      </c>
      <c r="CM90" s="1">
        <f>SUMIFS(
  '[1]Hoja 1'!$M:$M,
  '[1]Hoja 1'!$S:$S, $A90,
  '[1]Hoja 1'!$R:$R, "&gt;="&amp;INT($CO$1),
  '[1]Hoja 1'!$R:$R, "&lt;"&amp;INT($CP$1+1)
)</f>
        <v>0</v>
      </c>
      <c r="CN90" s="1">
        <f t="shared" si="146"/>
        <v>0</v>
      </c>
      <c r="CO90" s="9">
        <f t="shared" si="147"/>
        <v>0</v>
      </c>
      <c r="CP90" s="10">
        <f t="shared" si="148"/>
        <v>0</v>
      </c>
      <c r="CQ90" s="1">
        <f>SUMIFS(
  '[1]Hoja 1'!$M:$M,
  '[1]Hoja 1'!$S:$S, $A90,
  '[1]Hoja 1'!$R:$R, "&gt;="&amp;INT($CS$1),
  '[1]Hoja 1'!$R:$R, "&lt;"&amp;INT($CT$1+1)
)</f>
        <v>0</v>
      </c>
      <c r="CR90" s="1">
        <f t="shared" si="149"/>
        <v>0</v>
      </c>
      <c r="CS90" s="9">
        <f t="shared" si="150"/>
        <v>0</v>
      </c>
      <c r="CT90" s="10">
        <f t="shared" si="151"/>
        <v>0</v>
      </c>
      <c r="CU90" s="1">
        <f>SUMIFS(
  '[1]Hoja 1'!$M:$M,
  '[1]Hoja 1'!$S:$S, $A90,
  '[1]Hoja 1'!$R:$R, "&gt;="&amp;INT($CW$1),
  '[1]Hoja 1'!$R:$R, "&lt;"&amp;INT($CX$1+1)
)</f>
        <v>0</v>
      </c>
      <c r="CV90" s="1">
        <f t="shared" si="152"/>
        <v>0</v>
      </c>
      <c r="CW90" s="9">
        <f t="shared" si="153"/>
        <v>0</v>
      </c>
      <c r="CX90" s="10">
        <f t="shared" si="154"/>
        <v>0</v>
      </c>
      <c r="CY90" s="1">
        <f>SUMIFS(
  '[1]Hoja 1'!$M:$M,
  '[1]Hoja 1'!$S:$S, $A90,
  '[1]Hoja 1'!$R:$R, "&gt;="&amp;INT($DA$1),
  '[1]Hoja 1'!$R:$R, "&lt;"&amp;INT($DB$1+1)
)</f>
        <v>0</v>
      </c>
      <c r="CZ90" s="1">
        <f t="shared" si="155"/>
        <v>0</v>
      </c>
      <c r="DA90" s="9">
        <f t="shared" si="156"/>
        <v>0</v>
      </c>
      <c r="DB90" s="10">
        <f t="shared" si="157"/>
        <v>0</v>
      </c>
      <c r="DC90" s="1">
        <f>SUMIFS(
  '[1]Hoja 1'!$M:$M,
  '[1]Hoja 1'!$S:$S, $A90,
  '[1]Hoja 1'!$R:$R, "&gt;="&amp;INT($DE$1),
  '[1]Hoja 1'!$R:$R, "&lt;"&amp;INT($DF$1+1)
)</f>
        <v>0</v>
      </c>
      <c r="DD90" s="1">
        <f t="shared" si="158"/>
        <v>0</v>
      </c>
      <c r="DE90" s="9">
        <f t="shared" si="159"/>
        <v>0</v>
      </c>
      <c r="DF90" s="10">
        <f t="shared" si="160"/>
        <v>0</v>
      </c>
      <c r="DG90" s="1">
        <f>SUMIFS(
  '[1]Hoja 1'!$M:$M,
  '[1]Hoja 1'!$S:$S, $A90,
  '[1]Hoja 1'!$R:$R, "&gt;="&amp;INT($DI$1),
  '[1]Hoja 1'!$R:$R, "&lt;"&amp;INT($DJ$1+1)
)</f>
        <v>0</v>
      </c>
      <c r="DH90" s="1">
        <f t="shared" si="161"/>
        <v>0</v>
      </c>
      <c r="DI90" s="9">
        <f t="shared" si="162"/>
        <v>0</v>
      </c>
      <c r="DJ90" s="10">
        <f t="shared" si="163"/>
        <v>0</v>
      </c>
      <c r="DK90" s="1">
        <f>SUMIFS(
  '[1]Hoja 1'!$M:$M,
  '[1]Hoja 1'!$S:$S, $A90,
  '[1]Hoja 1'!$R:$R, "&gt;="&amp;INT($DM$1),
  '[1]Hoja 1'!$R:$R, "&lt;"&amp;INT($DN$1+1)
)</f>
        <v>0</v>
      </c>
      <c r="DL90" s="1">
        <f t="shared" si="164"/>
        <v>0</v>
      </c>
      <c r="DM90" s="9">
        <f t="shared" si="165"/>
        <v>0</v>
      </c>
      <c r="DN90" s="10">
        <f t="shared" si="166"/>
        <v>0</v>
      </c>
      <c r="DO90" s="1">
        <f>SUMIFS(
  '[1]Hoja 1'!$M:$M,
  '[1]Hoja 1'!$S:$S, $A90,
  '[1]Hoja 1'!$R:$R, "&gt;="&amp;INT($DQ$1),
  '[1]Hoja 1'!$R:$R, "&lt;"&amp;INT($DR$1+1)
)</f>
        <v>0</v>
      </c>
      <c r="DP90" s="1">
        <f t="shared" si="167"/>
        <v>0</v>
      </c>
      <c r="DQ90" s="9">
        <f t="shared" si="168"/>
        <v>0</v>
      </c>
      <c r="DR90" s="10">
        <f t="shared" si="169"/>
        <v>0</v>
      </c>
    </row>
    <row r="91" spans="1:122" x14ac:dyDescent="0.25">
      <c r="A91" s="5">
        <v>213020</v>
      </c>
      <c r="B91" s="6" t="s">
        <v>91</v>
      </c>
      <c r="C91" s="1">
        <f>SUMIFS(
  '[1]Hoja 1'!$M:$M,
  '[1]Hoja 1'!$S:$S, $A91,
  '[1]Hoja 1'!$R:$R, "&gt;="&amp;INT($E$1),
  '[1]Hoja 1'!$R:$R, "&lt;"&amp;INT($F$1+1)
)</f>
        <v>0</v>
      </c>
      <c r="D91" s="1" t="str">
        <f>""</f>
        <v/>
      </c>
      <c r="F91" s="2"/>
      <c r="G91" s="1">
        <f>SUMIFS(
  '[1]Hoja 1'!$M:$M,
  '[1]Hoja 1'!$S:$S, $A91,
  '[1]Hoja 1'!$R:$R, "&gt;="&amp;INT($I$1),
  '[1]Hoja 1'!$R:$R, "&lt;"&amp;INT($J$1+1)
)</f>
        <v>0</v>
      </c>
      <c r="H91" s="1">
        <f t="shared" si="85"/>
        <v>0</v>
      </c>
      <c r="I91" s="1"/>
      <c r="J91" s="2"/>
      <c r="K91" s="1">
        <f>SUMIFS(
  '[1]Hoja 1'!$M:$M,
  '[1]Hoja 1'!$S:$S, $A91,
  '[1]Hoja 1'!$R:$R, "&gt;="&amp;INT($M$1),
  '[1]Hoja 1'!$R:$R, "&lt;"&amp;INT($N$1+1)
)</f>
        <v>0</v>
      </c>
      <c r="L91" s="1">
        <f t="shared" si="86"/>
        <v>0</v>
      </c>
      <c r="M91" s="9">
        <f t="shared" si="87"/>
        <v>0</v>
      </c>
      <c r="N91" s="10">
        <f t="shared" si="88"/>
        <v>0</v>
      </c>
      <c r="O91" s="1">
        <f>SUMIFS(
  '[1]Hoja 1'!$M:$M,
  '[1]Hoja 1'!$S:$S, $A91,
  '[1]Hoja 1'!$R:$R, "&gt;="&amp;INT($Q$1),
  '[1]Hoja 1'!$R:$R, "&lt;"&amp;INT($R$1+1)
)</f>
        <v>0</v>
      </c>
      <c r="P91" s="1">
        <f t="shared" si="89"/>
        <v>0</v>
      </c>
      <c r="Q91" s="9">
        <f t="shared" si="90"/>
        <v>0</v>
      </c>
      <c r="R91" s="10">
        <f t="shared" si="91"/>
        <v>0</v>
      </c>
      <c r="S91" s="1">
        <f>SUMIFS(
  '[1]Hoja 1'!$M:$M,
  '[1]Hoja 1'!$S:$S, $A91,
  '[1]Hoja 1'!$R:$R, "&gt;="&amp;INT($U$1),
  '[1]Hoja 1'!$R:$R, "&lt;"&amp;INT($V$1+1)
)</f>
        <v>0</v>
      </c>
      <c r="T91" s="1">
        <f t="shared" si="92"/>
        <v>0</v>
      </c>
      <c r="U91" s="9">
        <f t="shared" si="93"/>
        <v>0</v>
      </c>
      <c r="V91" s="10">
        <f t="shared" si="94"/>
        <v>0</v>
      </c>
      <c r="W91" s="1">
        <f>SUMIFS(
  '[1]Hoja 1'!$M:$M,
  '[1]Hoja 1'!$S:$S, $A91,
  '[1]Hoja 1'!$R:$R, "&gt;="&amp;INT($Y$1),
  '[1]Hoja 1'!$R:$R, "&lt;"&amp;INT($Z$1+1)
)</f>
        <v>0</v>
      </c>
      <c r="X91" s="1">
        <f t="shared" si="95"/>
        <v>0</v>
      </c>
      <c r="Y91" s="9">
        <f t="shared" si="96"/>
        <v>0</v>
      </c>
      <c r="Z91" s="10">
        <f t="shared" si="97"/>
        <v>0</v>
      </c>
      <c r="AA91" s="1">
        <f>SUMIFS(
  '[1]Hoja 1'!$M:$M,
  '[1]Hoja 1'!$S:$S, $A91,
  '[1]Hoja 1'!$R:$R, "&gt;="&amp;INT($AC$1),
  '[1]Hoja 1'!$R:$R, "&lt;"&amp;INT($AD$1+1)
)</f>
        <v>0</v>
      </c>
      <c r="AB91" s="1">
        <f t="shared" si="98"/>
        <v>0</v>
      </c>
      <c r="AC91" s="9">
        <f t="shared" si="99"/>
        <v>0</v>
      </c>
      <c r="AD91" s="10">
        <f t="shared" si="100"/>
        <v>0</v>
      </c>
      <c r="AE91" s="1">
        <f>SUMIFS(
  '[1]Hoja 1'!$M:$M,
  '[1]Hoja 1'!$S:$S, $A91,
  '[1]Hoja 1'!$R:$R, "&gt;="&amp;INT($AG$1),
  '[1]Hoja 1'!$R:$R, "&lt;"&amp;INT($AH$1+1)
)</f>
        <v>0</v>
      </c>
      <c r="AF91" s="1">
        <f t="shared" si="101"/>
        <v>0</v>
      </c>
      <c r="AG91" s="9">
        <f t="shared" si="102"/>
        <v>0</v>
      </c>
      <c r="AH91" s="10">
        <f t="shared" si="103"/>
        <v>0</v>
      </c>
      <c r="AI91" s="1">
        <f>SUMIFS(
  '[1]Hoja 1'!$M:$M,
  '[1]Hoja 1'!$S:$S, $A91,
  '[1]Hoja 1'!$R:$R, "&gt;="&amp;INT($AK$1),
  '[1]Hoja 1'!$R:$R, "&lt;"&amp;INT($AL$1+1)
)</f>
        <v>0</v>
      </c>
      <c r="AJ91" s="1">
        <f t="shared" si="104"/>
        <v>0</v>
      </c>
      <c r="AK91" s="9">
        <f t="shared" si="105"/>
        <v>0</v>
      </c>
      <c r="AL91" s="10">
        <f t="shared" si="106"/>
        <v>0</v>
      </c>
      <c r="AM91" s="1">
        <f>SUMIFS(
  '[1]Hoja 1'!$M:$M,
  '[1]Hoja 1'!$S:$S, $A91,
  '[1]Hoja 1'!$R:$R, "&gt;="&amp;INT($AO$1),
  '[1]Hoja 1'!$R:$R, "&lt;"&amp;INT($AP$1+1)
)</f>
        <v>0</v>
      </c>
      <c r="AN91" s="1">
        <f t="shared" si="107"/>
        <v>0</v>
      </c>
      <c r="AO91" s="9">
        <f t="shared" si="108"/>
        <v>0</v>
      </c>
      <c r="AP91" s="10">
        <f t="shared" si="109"/>
        <v>0</v>
      </c>
      <c r="AQ91" s="1">
        <f>SUMIFS(
  '[1]Hoja 1'!$M:$M,
  '[1]Hoja 1'!$S:$S, $A91,
  '[1]Hoja 1'!$R:$R, "&gt;="&amp;INT($AS$1),
  '[1]Hoja 1'!$R:$R, "&lt;"&amp;INT($AT$1+1)
)</f>
        <v>0</v>
      </c>
      <c r="AR91" s="1">
        <f t="shared" si="110"/>
        <v>0</v>
      </c>
      <c r="AS91" s="9">
        <f t="shared" si="111"/>
        <v>0</v>
      </c>
      <c r="AT91" s="10">
        <f t="shared" si="112"/>
        <v>0</v>
      </c>
      <c r="AU91" s="1">
        <f>SUMIFS(
  '[1]Hoja 1'!$M:$M,
  '[1]Hoja 1'!$S:$S, $A91,
  '[1]Hoja 1'!$R:$R, "&gt;="&amp;INT($AW$1),
  '[1]Hoja 1'!$R:$R, "&lt;"&amp;INT($AX$1+1)
)</f>
        <v>0</v>
      </c>
      <c r="AV91" s="1">
        <f t="shared" si="113"/>
        <v>0</v>
      </c>
      <c r="AW91" s="9">
        <f t="shared" si="114"/>
        <v>0</v>
      </c>
      <c r="AX91" s="10">
        <f t="shared" si="115"/>
        <v>0</v>
      </c>
      <c r="AY91" s="1">
        <f>SUMIFS(
  '[1]Hoja 1'!$M:$M,
  '[1]Hoja 1'!$S:$S, $A91,
  '[1]Hoja 1'!$R:$R, "&gt;="&amp;INT($BA$1),
  '[1]Hoja 1'!$R:$R, "&lt;"&amp;INT($BB$1+1)
)</f>
        <v>0</v>
      </c>
      <c r="AZ91" s="1">
        <f t="shared" si="116"/>
        <v>0</v>
      </c>
      <c r="BA91" s="9">
        <f t="shared" si="117"/>
        <v>0</v>
      </c>
      <c r="BB91" s="10">
        <f t="shared" si="118"/>
        <v>0</v>
      </c>
      <c r="BC91" s="1">
        <f>SUMIFS(
  '[1]Hoja 1'!$M:$M,
  '[1]Hoja 1'!$S:$S, $A91,
  '[1]Hoja 1'!$R:$R, "&gt;="&amp;INT($BE$1),
  '[1]Hoja 1'!$R:$R, "&lt;"&amp;INT($BF$1+1)
)</f>
        <v>0</v>
      </c>
      <c r="BD91" s="1">
        <f t="shared" si="119"/>
        <v>0</v>
      </c>
      <c r="BE91" s="9">
        <f t="shared" si="120"/>
        <v>0</v>
      </c>
      <c r="BF91" s="10">
        <f t="shared" si="121"/>
        <v>0</v>
      </c>
      <c r="BG91" s="1">
        <f>SUMIFS(
  '[1]Hoja 1'!$M:$M,
  '[1]Hoja 1'!$S:$S, $A91,
  '[1]Hoja 1'!$R:$R, "&gt;="&amp;INT($BI$1),
  '[1]Hoja 1'!$R:$R, "&lt;"&amp;INT($BJ$1+1)
)</f>
        <v>0</v>
      </c>
      <c r="BH91" s="1">
        <f t="shared" si="122"/>
        <v>0</v>
      </c>
      <c r="BI91" s="9">
        <f t="shared" si="123"/>
        <v>0</v>
      </c>
      <c r="BJ91" s="10">
        <f t="shared" si="124"/>
        <v>0</v>
      </c>
      <c r="BK91" s="1">
        <f>SUMIFS(
  '[1]Hoja 1'!$M:$M,
  '[1]Hoja 1'!$S:$S, $A91,
  '[1]Hoja 1'!$R:$R, "&gt;="&amp;INT($BM$1),
  '[1]Hoja 1'!$R:$R, "&lt;"&amp;INT($BN$1+1)
)</f>
        <v>0</v>
      </c>
      <c r="BL91" s="1">
        <f t="shared" si="125"/>
        <v>0</v>
      </c>
      <c r="BM91" s="9">
        <f t="shared" si="126"/>
        <v>0</v>
      </c>
      <c r="BN91" s="10">
        <f t="shared" si="127"/>
        <v>0</v>
      </c>
      <c r="BO91" s="1">
        <f>SUMIFS(
  '[1]Hoja 1'!$M:$M,
  '[1]Hoja 1'!$S:$S, $A91,
  '[1]Hoja 1'!$R:$R, "&gt;="&amp;INT($BQ$1),
  '[1]Hoja 1'!$R:$R, "&lt;"&amp;INT($BR$1+1)
)</f>
        <v>0</v>
      </c>
      <c r="BP91" s="1">
        <f t="shared" si="128"/>
        <v>0</v>
      </c>
      <c r="BQ91" s="9">
        <f t="shared" si="129"/>
        <v>0</v>
      </c>
      <c r="BR91" s="10">
        <f t="shared" si="130"/>
        <v>0</v>
      </c>
      <c r="BS91" s="1">
        <f>SUMIFS(
  '[1]Hoja 1'!$M:$M,
  '[1]Hoja 1'!$S:$S, $A91,
  '[1]Hoja 1'!$R:$R, "&gt;="&amp;INT($BU$1),
  '[1]Hoja 1'!$R:$R, "&lt;"&amp;INT($BV$1+1)
)</f>
        <v>0</v>
      </c>
      <c r="BT91" s="1">
        <f t="shared" si="131"/>
        <v>0</v>
      </c>
      <c r="BU91" s="9">
        <f t="shared" si="132"/>
        <v>0</v>
      </c>
      <c r="BV91" s="10">
        <f t="shared" si="133"/>
        <v>0</v>
      </c>
      <c r="BW91" s="1">
        <f>SUMIFS(
  '[1]Hoja 1'!$M:$M,
  '[1]Hoja 1'!$S:$S, $A91,
  '[1]Hoja 1'!$R:$R, "&gt;="&amp;INT($BY$1),
  '[1]Hoja 1'!$R:$R, "&lt;"&amp;INT($BZ$1+1)
)</f>
        <v>0</v>
      </c>
      <c r="BX91" s="1">
        <f t="shared" si="134"/>
        <v>0</v>
      </c>
      <c r="BY91" s="9">
        <f t="shared" si="135"/>
        <v>0</v>
      </c>
      <c r="BZ91" s="10">
        <f t="shared" si="136"/>
        <v>0</v>
      </c>
      <c r="CA91" s="1">
        <f>SUMIFS(
  '[1]Hoja 1'!$M:$M,
  '[1]Hoja 1'!$S:$S, $A91,
  '[1]Hoja 1'!$R:$R, "&gt;="&amp;INT($CC$1),
  '[1]Hoja 1'!$R:$R, "&lt;"&amp;INT($CD$1+1)
)</f>
        <v>0</v>
      </c>
      <c r="CB91" s="1">
        <f t="shared" si="137"/>
        <v>0</v>
      </c>
      <c r="CC91" s="9">
        <f t="shared" si="138"/>
        <v>0</v>
      </c>
      <c r="CD91" s="10">
        <f t="shared" si="139"/>
        <v>0</v>
      </c>
      <c r="CE91" s="1">
        <f>SUMIFS(
  '[1]Hoja 1'!$M:$M,
  '[1]Hoja 1'!$S:$S, $A91,
  '[1]Hoja 1'!$R:$R, "&gt;="&amp;INT($CG$1),
  '[1]Hoja 1'!$R:$R, "&lt;"&amp;INT($CH$1+1)
)</f>
        <v>0</v>
      </c>
      <c r="CF91" s="1">
        <f t="shared" si="140"/>
        <v>0</v>
      </c>
      <c r="CG91" s="9">
        <f t="shared" si="141"/>
        <v>0</v>
      </c>
      <c r="CH91" s="10">
        <f t="shared" si="142"/>
        <v>0</v>
      </c>
      <c r="CI91" s="1">
        <f>SUMIFS(
  '[1]Hoja 1'!$M:$M,
  '[1]Hoja 1'!$S:$S, $A91,
  '[1]Hoja 1'!$R:$R, "&gt;="&amp;INT($CK$1),
  '[1]Hoja 1'!$R:$R, "&lt;"&amp;INT($CL$1+1)
)</f>
        <v>0</v>
      </c>
      <c r="CJ91" s="1">
        <f t="shared" si="143"/>
        <v>0</v>
      </c>
      <c r="CK91" s="9">
        <f t="shared" si="144"/>
        <v>0</v>
      </c>
      <c r="CL91" s="10">
        <f t="shared" si="145"/>
        <v>0</v>
      </c>
      <c r="CM91" s="1">
        <f>SUMIFS(
  '[1]Hoja 1'!$M:$M,
  '[1]Hoja 1'!$S:$S, $A91,
  '[1]Hoja 1'!$R:$R, "&gt;="&amp;INT($CO$1),
  '[1]Hoja 1'!$R:$R, "&lt;"&amp;INT($CP$1+1)
)</f>
        <v>0</v>
      </c>
      <c r="CN91" s="1">
        <f t="shared" si="146"/>
        <v>0</v>
      </c>
      <c r="CO91" s="9">
        <f t="shared" si="147"/>
        <v>0</v>
      </c>
      <c r="CP91" s="10">
        <f t="shared" si="148"/>
        <v>0</v>
      </c>
      <c r="CQ91" s="1">
        <f>SUMIFS(
  '[1]Hoja 1'!$M:$M,
  '[1]Hoja 1'!$S:$S, $A91,
  '[1]Hoja 1'!$R:$R, "&gt;="&amp;INT($CS$1),
  '[1]Hoja 1'!$R:$R, "&lt;"&amp;INT($CT$1+1)
)</f>
        <v>0</v>
      </c>
      <c r="CR91" s="1">
        <f t="shared" si="149"/>
        <v>0</v>
      </c>
      <c r="CS91" s="9">
        <f t="shared" si="150"/>
        <v>0</v>
      </c>
      <c r="CT91" s="10">
        <f t="shared" si="151"/>
        <v>0</v>
      </c>
      <c r="CU91" s="1">
        <f>SUMIFS(
  '[1]Hoja 1'!$M:$M,
  '[1]Hoja 1'!$S:$S, $A91,
  '[1]Hoja 1'!$R:$R, "&gt;="&amp;INT($CW$1),
  '[1]Hoja 1'!$R:$R, "&lt;"&amp;INT($CX$1+1)
)</f>
        <v>0</v>
      </c>
      <c r="CV91" s="1">
        <f t="shared" si="152"/>
        <v>0</v>
      </c>
      <c r="CW91" s="9">
        <f t="shared" si="153"/>
        <v>0</v>
      </c>
      <c r="CX91" s="10">
        <f t="shared" si="154"/>
        <v>0</v>
      </c>
      <c r="CY91" s="1">
        <f>SUMIFS(
  '[1]Hoja 1'!$M:$M,
  '[1]Hoja 1'!$S:$S, $A91,
  '[1]Hoja 1'!$R:$R, "&gt;="&amp;INT($DA$1),
  '[1]Hoja 1'!$R:$R, "&lt;"&amp;INT($DB$1+1)
)</f>
        <v>0</v>
      </c>
      <c r="CZ91" s="1">
        <f t="shared" si="155"/>
        <v>0</v>
      </c>
      <c r="DA91" s="9">
        <f t="shared" si="156"/>
        <v>0</v>
      </c>
      <c r="DB91" s="10">
        <f t="shared" si="157"/>
        <v>0</v>
      </c>
      <c r="DC91" s="1">
        <f>SUMIFS(
  '[1]Hoja 1'!$M:$M,
  '[1]Hoja 1'!$S:$S, $A91,
  '[1]Hoja 1'!$R:$R, "&gt;="&amp;INT($DE$1),
  '[1]Hoja 1'!$R:$R, "&lt;"&amp;INT($DF$1+1)
)</f>
        <v>0</v>
      </c>
      <c r="DD91" s="1">
        <f t="shared" si="158"/>
        <v>0</v>
      </c>
      <c r="DE91" s="9">
        <f t="shared" si="159"/>
        <v>0</v>
      </c>
      <c r="DF91" s="10">
        <f t="shared" si="160"/>
        <v>0</v>
      </c>
      <c r="DG91" s="1">
        <f>SUMIFS(
  '[1]Hoja 1'!$M:$M,
  '[1]Hoja 1'!$S:$S, $A91,
  '[1]Hoja 1'!$R:$R, "&gt;="&amp;INT($DI$1),
  '[1]Hoja 1'!$R:$R, "&lt;"&amp;INT($DJ$1+1)
)</f>
        <v>0</v>
      </c>
      <c r="DH91" s="1">
        <f t="shared" si="161"/>
        <v>0</v>
      </c>
      <c r="DI91" s="9">
        <f t="shared" si="162"/>
        <v>0</v>
      </c>
      <c r="DJ91" s="10">
        <f t="shared" si="163"/>
        <v>0</v>
      </c>
      <c r="DK91" s="1">
        <f>SUMIFS(
  '[1]Hoja 1'!$M:$M,
  '[1]Hoja 1'!$S:$S, $A91,
  '[1]Hoja 1'!$R:$R, "&gt;="&amp;INT($DM$1),
  '[1]Hoja 1'!$R:$R, "&lt;"&amp;INT($DN$1+1)
)</f>
        <v>0</v>
      </c>
      <c r="DL91" s="1">
        <f t="shared" si="164"/>
        <v>0</v>
      </c>
      <c r="DM91" s="9">
        <f t="shared" si="165"/>
        <v>0</v>
      </c>
      <c r="DN91" s="10">
        <f t="shared" si="166"/>
        <v>0</v>
      </c>
      <c r="DO91" s="1">
        <f>SUMIFS(
  '[1]Hoja 1'!$M:$M,
  '[1]Hoja 1'!$S:$S, $A91,
  '[1]Hoja 1'!$R:$R, "&gt;="&amp;INT($DQ$1),
  '[1]Hoja 1'!$R:$R, "&lt;"&amp;INT($DR$1+1)
)</f>
        <v>0</v>
      </c>
      <c r="DP91" s="1">
        <f t="shared" si="167"/>
        <v>0</v>
      </c>
      <c r="DQ91" s="9">
        <f t="shared" si="168"/>
        <v>0</v>
      </c>
      <c r="DR91" s="10">
        <f t="shared" si="169"/>
        <v>0</v>
      </c>
    </row>
    <row r="92" spans="1:122" x14ac:dyDescent="0.25">
      <c r="A92" s="5">
        <v>213021</v>
      </c>
      <c r="B92" s="6" t="s">
        <v>92</v>
      </c>
      <c r="C92" s="1">
        <f>SUMIFS(
  '[1]Hoja 1'!$M:$M,
  '[1]Hoja 1'!$S:$S, $A92,
  '[1]Hoja 1'!$R:$R, "&gt;="&amp;INT($E$1),
  '[1]Hoja 1'!$R:$R, "&lt;"&amp;INT($F$1+1)
)</f>
        <v>1</v>
      </c>
      <c r="D92" s="1" t="str">
        <f>""</f>
        <v/>
      </c>
      <c r="F92" s="2"/>
      <c r="G92" s="1">
        <f>SUMIFS(
  '[1]Hoja 1'!$M:$M,
  '[1]Hoja 1'!$S:$S, $A92,
  '[1]Hoja 1'!$R:$R, "&gt;="&amp;INT($I$1),
  '[1]Hoja 1'!$R:$R, "&lt;"&amp;INT($J$1+1)
)</f>
        <v>0</v>
      </c>
      <c r="H92" s="1">
        <f t="shared" si="85"/>
        <v>0.5</v>
      </c>
      <c r="I92" s="1"/>
      <c r="J92" s="2"/>
      <c r="K92" s="1">
        <f>SUMIFS(
  '[1]Hoja 1'!$M:$M,
  '[1]Hoja 1'!$S:$S, $A92,
  '[1]Hoja 1'!$R:$R, "&gt;="&amp;INT($M$1),
  '[1]Hoja 1'!$R:$R, "&lt;"&amp;INT($N$1+1)
)</f>
        <v>0</v>
      </c>
      <c r="L92" s="1">
        <f t="shared" si="86"/>
        <v>0</v>
      </c>
      <c r="M92" s="9">
        <f t="shared" si="87"/>
        <v>-0.69296464556281656</v>
      </c>
      <c r="N92" s="10">
        <f t="shared" si="88"/>
        <v>0.69296464556281656</v>
      </c>
      <c r="O92" s="1">
        <f>SUMIFS(
  '[1]Hoja 1'!$M:$M,
  '[1]Hoja 1'!$S:$S, $A92,
  '[1]Hoja 1'!$R:$R, "&gt;="&amp;INT($Q$1),
  '[1]Hoja 1'!$R:$R, "&lt;"&amp;INT($R$1+1)
)</f>
        <v>0</v>
      </c>
      <c r="P92" s="1">
        <f t="shared" si="89"/>
        <v>0</v>
      </c>
      <c r="Q92" s="9">
        <f t="shared" si="90"/>
        <v>-0.56580326380583335</v>
      </c>
      <c r="R92" s="10">
        <f t="shared" si="91"/>
        <v>0.56580326380583335</v>
      </c>
      <c r="S92" s="1">
        <f>SUMIFS(
  '[1]Hoja 1'!$M:$M,
  '[1]Hoja 1'!$S:$S, $A92,
  '[1]Hoja 1'!$R:$R, "&gt;="&amp;INT($U$1),
  '[1]Hoja 1'!$R:$R, "&lt;"&amp;INT($V$1+1)
)</f>
        <v>1</v>
      </c>
      <c r="T92" s="1">
        <f t="shared" si="92"/>
        <v>1</v>
      </c>
      <c r="U92" s="9">
        <f t="shared" si="93"/>
        <v>0.19983335069082853</v>
      </c>
      <c r="V92" s="10">
        <f t="shared" si="94"/>
        <v>1.8001666493091715</v>
      </c>
      <c r="W92" s="1">
        <f>SUMIFS(
  '[1]Hoja 1'!$M:$M,
  '[1]Hoja 1'!$S:$S, $A92,
  '[1]Hoja 1'!$R:$R, "&gt;="&amp;INT($Y$1),
  '[1]Hoja 1'!$R:$R, "&lt;"&amp;INT($Z$1+1)
)</f>
        <v>4</v>
      </c>
      <c r="X92" s="1">
        <f t="shared" si="95"/>
        <v>3</v>
      </c>
      <c r="Y92" s="9">
        <f t="shared" si="96"/>
        <v>1.6140707088743669</v>
      </c>
      <c r="Z92" s="10">
        <f t="shared" si="97"/>
        <v>4.3859292911256329</v>
      </c>
      <c r="AA92" s="1">
        <f>SUMIFS(
  '[1]Hoja 1'!$M:$M,
  '[1]Hoja 1'!$S:$S, $A92,
  '[1]Hoja 1'!$R:$R, "&gt;="&amp;INT($AC$1),
  '[1]Hoja 1'!$R:$R, "&lt;"&amp;INT($AD$1+1)
)</f>
        <v>0</v>
      </c>
      <c r="AB92" s="1">
        <f t="shared" si="98"/>
        <v>2</v>
      </c>
      <c r="AC92" s="9">
        <f t="shared" si="99"/>
        <v>-0.49851956166046429</v>
      </c>
      <c r="AD92" s="10">
        <f t="shared" si="100"/>
        <v>4.8850418830004294</v>
      </c>
      <c r="AE92" s="1">
        <f>SUMIFS(
  '[1]Hoja 1'!$M:$M,
  '[1]Hoja 1'!$S:$S, $A92,
  '[1]Hoja 1'!$R:$R, "&gt;="&amp;INT($AG$1),
  '[1]Hoja 1'!$R:$R, "&lt;"&amp;INT($AH$1+1)
)</f>
        <v>0</v>
      </c>
      <c r="AF92" s="1">
        <f t="shared" si="101"/>
        <v>0</v>
      </c>
      <c r="AG92" s="9">
        <f t="shared" si="102"/>
        <v>-2.4985195616604643</v>
      </c>
      <c r="AH92" s="10">
        <f t="shared" si="103"/>
        <v>2.8850418830004299</v>
      </c>
      <c r="AI92" s="1">
        <f>SUMIFS(
  '[1]Hoja 1'!$M:$M,
  '[1]Hoja 1'!$S:$S, $A92,
  '[1]Hoja 1'!$R:$R, "&gt;="&amp;INT($AK$1),
  '[1]Hoja 1'!$R:$R, "&lt;"&amp;INT($AL$1+1)
)</f>
        <v>0</v>
      </c>
      <c r="AJ92" s="1">
        <f t="shared" si="104"/>
        <v>0</v>
      </c>
      <c r="AK92" s="9">
        <f t="shared" si="105"/>
        <v>-2.4401803212057915</v>
      </c>
      <c r="AL92" s="10">
        <f t="shared" si="106"/>
        <v>2.8148356968036339</v>
      </c>
      <c r="AM92" s="1">
        <f>SUMIFS(
  '[1]Hoja 1'!$M:$M,
  '[1]Hoja 1'!$S:$S, $A92,
  '[1]Hoja 1'!$R:$R, "&gt;="&amp;INT($AO$1),
  '[1]Hoja 1'!$R:$R, "&lt;"&amp;INT($AP$1+1)
)</f>
        <v>0</v>
      </c>
      <c r="AN92" s="1">
        <f t="shared" si="107"/>
        <v>0</v>
      </c>
      <c r="AO92" s="9">
        <f t="shared" si="108"/>
        <v>-1.7530772943598349</v>
      </c>
      <c r="AP92" s="10">
        <f t="shared" si="109"/>
        <v>1.96</v>
      </c>
      <c r="AQ92" s="1">
        <f>SUMIFS(
  '[1]Hoja 1'!$M:$M,
  '[1]Hoja 1'!$S:$S, $A92,
  '[1]Hoja 1'!$R:$R, "&gt;="&amp;INT($AS$1),
  '[1]Hoja 1'!$R:$R, "&lt;"&amp;INT($AT$1+1)
)</f>
        <v>0</v>
      </c>
      <c r="AR92" s="1">
        <f t="shared" si="110"/>
        <v>0</v>
      </c>
      <c r="AS92" s="9">
        <f t="shared" si="111"/>
        <v>0</v>
      </c>
      <c r="AT92" s="10">
        <f t="shared" si="112"/>
        <v>0</v>
      </c>
      <c r="AU92" s="1">
        <f>SUMIFS(
  '[1]Hoja 1'!$M:$M,
  '[1]Hoja 1'!$S:$S, $A92,
  '[1]Hoja 1'!$R:$R, "&gt;="&amp;INT($AW$1),
  '[1]Hoja 1'!$R:$R, "&lt;"&amp;INT($AX$1+1)
)</f>
        <v>0</v>
      </c>
      <c r="AV92" s="1">
        <f t="shared" si="113"/>
        <v>0</v>
      </c>
      <c r="AW92" s="9">
        <f t="shared" si="114"/>
        <v>0</v>
      </c>
      <c r="AX92" s="10">
        <f t="shared" si="115"/>
        <v>0</v>
      </c>
      <c r="AY92" s="1">
        <f>SUMIFS(
  '[1]Hoja 1'!$M:$M,
  '[1]Hoja 1'!$S:$S, $A92,
  '[1]Hoja 1'!$R:$R, "&gt;="&amp;INT($BA$1),
  '[1]Hoja 1'!$R:$R, "&lt;"&amp;INT($BB$1+1)
)</f>
        <v>0</v>
      </c>
      <c r="AZ92" s="1">
        <f t="shared" si="116"/>
        <v>0</v>
      </c>
      <c r="BA92" s="9">
        <f t="shared" si="117"/>
        <v>0</v>
      </c>
      <c r="BB92" s="10">
        <f t="shared" si="118"/>
        <v>0</v>
      </c>
      <c r="BC92" s="1">
        <f>SUMIFS(
  '[1]Hoja 1'!$M:$M,
  '[1]Hoja 1'!$S:$S, $A92,
  '[1]Hoja 1'!$R:$R, "&gt;="&amp;INT($BE$1),
  '[1]Hoja 1'!$R:$R, "&lt;"&amp;INT($BF$1+1)
)</f>
        <v>0</v>
      </c>
      <c r="BD92" s="1">
        <f t="shared" si="119"/>
        <v>0</v>
      </c>
      <c r="BE92" s="9">
        <f t="shared" si="120"/>
        <v>0</v>
      </c>
      <c r="BF92" s="10">
        <f t="shared" si="121"/>
        <v>0</v>
      </c>
      <c r="BG92" s="1">
        <f>SUMIFS(
  '[1]Hoja 1'!$M:$M,
  '[1]Hoja 1'!$S:$S, $A92,
  '[1]Hoja 1'!$R:$R, "&gt;="&amp;INT($BI$1),
  '[1]Hoja 1'!$R:$R, "&lt;"&amp;INT($BJ$1+1)
)</f>
        <v>0</v>
      </c>
      <c r="BH92" s="1">
        <f t="shared" si="122"/>
        <v>0</v>
      </c>
      <c r="BI92" s="9">
        <f t="shared" si="123"/>
        <v>0</v>
      </c>
      <c r="BJ92" s="10">
        <f t="shared" si="124"/>
        <v>0</v>
      </c>
      <c r="BK92" s="1">
        <f>SUMIFS(
  '[1]Hoja 1'!$M:$M,
  '[1]Hoja 1'!$S:$S, $A92,
  '[1]Hoja 1'!$R:$R, "&gt;="&amp;INT($BM$1),
  '[1]Hoja 1'!$R:$R, "&lt;"&amp;INT($BN$1+1)
)</f>
        <v>0</v>
      </c>
      <c r="BL92" s="1">
        <f t="shared" si="125"/>
        <v>0</v>
      </c>
      <c r="BM92" s="9">
        <f t="shared" si="126"/>
        <v>0</v>
      </c>
      <c r="BN92" s="10">
        <f t="shared" si="127"/>
        <v>0</v>
      </c>
      <c r="BO92" s="1">
        <f>SUMIFS(
  '[1]Hoja 1'!$M:$M,
  '[1]Hoja 1'!$S:$S, $A92,
  '[1]Hoja 1'!$R:$R, "&gt;="&amp;INT($BQ$1),
  '[1]Hoja 1'!$R:$R, "&lt;"&amp;INT($BR$1+1)
)</f>
        <v>0</v>
      </c>
      <c r="BP92" s="1">
        <f t="shared" si="128"/>
        <v>0</v>
      </c>
      <c r="BQ92" s="9">
        <f t="shared" si="129"/>
        <v>0</v>
      </c>
      <c r="BR92" s="10">
        <f t="shared" si="130"/>
        <v>0</v>
      </c>
      <c r="BS92" s="1">
        <f>SUMIFS(
  '[1]Hoja 1'!$M:$M,
  '[1]Hoja 1'!$S:$S, $A92,
  '[1]Hoja 1'!$R:$R, "&gt;="&amp;INT($BU$1),
  '[1]Hoja 1'!$R:$R, "&lt;"&amp;INT($BV$1+1)
)</f>
        <v>0</v>
      </c>
      <c r="BT92" s="1">
        <f t="shared" si="131"/>
        <v>0</v>
      </c>
      <c r="BU92" s="9">
        <f t="shared" si="132"/>
        <v>0</v>
      </c>
      <c r="BV92" s="10">
        <f t="shared" si="133"/>
        <v>0</v>
      </c>
      <c r="BW92" s="1">
        <f>SUMIFS(
  '[1]Hoja 1'!$M:$M,
  '[1]Hoja 1'!$S:$S, $A92,
  '[1]Hoja 1'!$R:$R, "&gt;="&amp;INT($BY$1),
  '[1]Hoja 1'!$R:$R, "&lt;"&amp;INT($BZ$1+1)
)</f>
        <v>0</v>
      </c>
      <c r="BX92" s="1">
        <f t="shared" si="134"/>
        <v>0</v>
      </c>
      <c r="BY92" s="9">
        <f t="shared" si="135"/>
        <v>0</v>
      </c>
      <c r="BZ92" s="10">
        <f t="shared" si="136"/>
        <v>0</v>
      </c>
      <c r="CA92" s="1">
        <f>SUMIFS(
  '[1]Hoja 1'!$M:$M,
  '[1]Hoja 1'!$S:$S, $A92,
  '[1]Hoja 1'!$R:$R, "&gt;="&amp;INT($CC$1),
  '[1]Hoja 1'!$R:$R, "&lt;"&amp;INT($CD$1+1)
)</f>
        <v>0</v>
      </c>
      <c r="CB92" s="1">
        <f t="shared" si="137"/>
        <v>0</v>
      </c>
      <c r="CC92" s="9">
        <f t="shared" si="138"/>
        <v>0</v>
      </c>
      <c r="CD92" s="10">
        <f t="shared" si="139"/>
        <v>0</v>
      </c>
      <c r="CE92" s="1">
        <f>SUMIFS(
  '[1]Hoja 1'!$M:$M,
  '[1]Hoja 1'!$S:$S, $A92,
  '[1]Hoja 1'!$R:$R, "&gt;="&amp;INT($CG$1),
  '[1]Hoja 1'!$R:$R, "&lt;"&amp;INT($CH$1+1)
)</f>
        <v>0</v>
      </c>
      <c r="CF92" s="1">
        <f t="shared" si="140"/>
        <v>0</v>
      </c>
      <c r="CG92" s="9">
        <f t="shared" si="141"/>
        <v>0</v>
      </c>
      <c r="CH92" s="10">
        <f t="shared" si="142"/>
        <v>0</v>
      </c>
      <c r="CI92" s="1">
        <f>SUMIFS(
  '[1]Hoja 1'!$M:$M,
  '[1]Hoja 1'!$S:$S, $A92,
  '[1]Hoja 1'!$R:$R, "&gt;="&amp;INT($CK$1),
  '[1]Hoja 1'!$R:$R, "&lt;"&amp;INT($CL$1+1)
)</f>
        <v>0</v>
      </c>
      <c r="CJ92" s="1">
        <f t="shared" si="143"/>
        <v>0</v>
      </c>
      <c r="CK92" s="9">
        <f t="shared" si="144"/>
        <v>0</v>
      </c>
      <c r="CL92" s="10">
        <f t="shared" si="145"/>
        <v>0</v>
      </c>
      <c r="CM92" s="1">
        <f>SUMIFS(
  '[1]Hoja 1'!$M:$M,
  '[1]Hoja 1'!$S:$S, $A92,
  '[1]Hoja 1'!$R:$R, "&gt;="&amp;INT($CO$1),
  '[1]Hoja 1'!$R:$R, "&lt;"&amp;INT($CP$1+1)
)</f>
        <v>0</v>
      </c>
      <c r="CN92" s="1">
        <f t="shared" si="146"/>
        <v>0</v>
      </c>
      <c r="CO92" s="9">
        <f t="shared" si="147"/>
        <v>0</v>
      </c>
      <c r="CP92" s="10">
        <f t="shared" si="148"/>
        <v>0</v>
      </c>
      <c r="CQ92" s="1">
        <f>SUMIFS(
  '[1]Hoja 1'!$M:$M,
  '[1]Hoja 1'!$S:$S, $A92,
  '[1]Hoja 1'!$R:$R, "&gt;="&amp;INT($CS$1),
  '[1]Hoja 1'!$R:$R, "&lt;"&amp;INT($CT$1+1)
)</f>
        <v>0</v>
      </c>
      <c r="CR92" s="1">
        <f t="shared" si="149"/>
        <v>0</v>
      </c>
      <c r="CS92" s="9">
        <f t="shared" si="150"/>
        <v>0</v>
      </c>
      <c r="CT92" s="10">
        <f t="shared" si="151"/>
        <v>0</v>
      </c>
      <c r="CU92" s="1">
        <f>SUMIFS(
  '[1]Hoja 1'!$M:$M,
  '[1]Hoja 1'!$S:$S, $A92,
  '[1]Hoja 1'!$R:$R, "&gt;="&amp;INT($CW$1),
  '[1]Hoja 1'!$R:$R, "&lt;"&amp;INT($CX$1+1)
)</f>
        <v>0</v>
      </c>
      <c r="CV92" s="1">
        <f t="shared" si="152"/>
        <v>0</v>
      </c>
      <c r="CW92" s="9">
        <f t="shared" si="153"/>
        <v>0</v>
      </c>
      <c r="CX92" s="10">
        <f t="shared" si="154"/>
        <v>0</v>
      </c>
      <c r="CY92" s="1">
        <f>SUMIFS(
  '[1]Hoja 1'!$M:$M,
  '[1]Hoja 1'!$S:$S, $A92,
  '[1]Hoja 1'!$R:$R, "&gt;="&amp;INT($DA$1),
  '[1]Hoja 1'!$R:$R, "&lt;"&amp;INT($DB$1+1)
)</f>
        <v>0</v>
      </c>
      <c r="CZ92" s="1">
        <f t="shared" si="155"/>
        <v>0</v>
      </c>
      <c r="DA92" s="9">
        <f t="shared" si="156"/>
        <v>0</v>
      </c>
      <c r="DB92" s="10">
        <f t="shared" si="157"/>
        <v>0</v>
      </c>
      <c r="DC92" s="1">
        <f>SUMIFS(
  '[1]Hoja 1'!$M:$M,
  '[1]Hoja 1'!$S:$S, $A92,
  '[1]Hoja 1'!$R:$R, "&gt;="&amp;INT($DE$1),
  '[1]Hoja 1'!$R:$R, "&lt;"&amp;INT($DF$1+1)
)</f>
        <v>0</v>
      </c>
      <c r="DD92" s="1">
        <f t="shared" si="158"/>
        <v>0</v>
      </c>
      <c r="DE92" s="9">
        <f t="shared" si="159"/>
        <v>0</v>
      </c>
      <c r="DF92" s="10">
        <f t="shared" si="160"/>
        <v>0</v>
      </c>
      <c r="DG92" s="1">
        <f>SUMIFS(
  '[1]Hoja 1'!$M:$M,
  '[1]Hoja 1'!$S:$S, $A92,
  '[1]Hoja 1'!$R:$R, "&gt;="&amp;INT($DI$1),
  '[1]Hoja 1'!$R:$R, "&lt;"&amp;INT($DJ$1+1)
)</f>
        <v>0</v>
      </c>
      <c r="DH92" s="1">
        <f t="shared" si="161"/>
        <v>0</v>
      </c>
      <c r="DI92" s="9">
        <f t="shared" si="162"/>
        <v>0</v>
      </c>
      <c r="DJ92" s="10">
        <f t="shared" si="163"/>
        <v>0</v>
      </c>
      <c r="DK92" s="1">
        <f>SUMIFS(
  '[1]Hoja 1'!$M:$M,
  '[1]Hoja 1'!$S:$S, $A92,
  '[1]Hoja 1'!$R:$R, "&gt;="&amp;INT($DM$1),
  '[1]Hoja 1'!$R:$R, "&lt;"&amp;INT($DN$1+1)
)</f>
        <v>0</v>
      </c>
      <c r="DL92" s="1">
        <f t="shared" si="164"/>
        <v>0</v>
      </c>
      <c r="DM92" s="9">
        <f t="shared" si="165"/>
        <v>0</v>
      </c>
      <c r="DN92" s="10">
        <f t="shared" si="166"/>
        <v>0</v>
      </c>
      <c r="DO92" s="1">
        <f>SUMIFS(
  '[1]Hoja 1'!$M:$M,
  '[1]Hoja 1'!$S:$S, $A92,
  '[1]Hoja 1'!$R:$R, "&gt;="&amp;INT($DQ$1),
  '[1]Hoja 1'!$R:$R, "&lt;"&amp;INT($DR$1+1)
)</f>
        <v>0</v>
      </c>
      <c r="DP92" s="1">
        <f t="shared" si="167"/>
        <v>0</v>
      </c>
      <c r="DQ92" s="9">
        <f t="shared" si="168"/>
        <v>0</v>
      </c>
      <c r="DR92" s="10">
        <f t="shared" si="169"/>
        <v>0</v>
      </c>
    </row>
    <row r="93" spans="1:122" x14ac:dyDescent="0.25">
      <c r="A93" s="5">
        <v>213022</v>
      </c>
      <c r="B93" s="6" t="s">
        <v>93</v>
      </c>
      <c r="C93" s="1">
        <f>SUMIFS(
  '[1]Hoja 1'!$M:$M,
  '[1]Hoja 1'!$S:$S, $A93,
  '[1]Hoja 1'!$R:$R, "&gt;="&amp;INT($E$1),
  '[1]Hoja 1'!$R:$R, "&lt;"&amp;INT($F$1+1)
)</f>
        <v>33</v>
      </c>
      <c r="D93" s="1" t="str">
        <f>""</f>
        <v/>
      </c>
      <c r="F93" s="2"/>
      <c r="G93" s="1">
        <f>SUMIFS(
  '[1]Hoja 1'!$M:$M,
  '[1]Hoja 1'!$S:$S, $A93,
  '[1]Hoja 1'!$R:$R, "&gt;="&amp;INT($I$1),
  '[1]Hoja 1'!$R:$R, "&lt;"&amp;INT($J$1+1)
)</f>
        <v>31</v>
      </c>
      <c r="H93" s="1">
        <f t="shared" si="85"/>
        <v>32</v>
      </c>
      <c r="I93" s="1"/>
      <c r="J93" s="2"/>
      <c r="K93" s="1">
        <f>SUMIFS(
  '[1]Hoja 1'!$M:$M,
  '[1]Hoja 1'!$S:$S, $A93,
  '[1]Hoja 1'!$R:$R, "&gt;="&amp;INT($M$1),
  '[1]Hoja 1'!$R:$R, "&lt;"&amp;INT($N$1+1)
)</f>
        <v>31</v>
      </c>
      <c r="L93" s="1">
        <f t="shared" si="86"/>
        <v>31</v>
      </c>
      <c r="M93" s="9">
        <f t="shared" si="87"/>
        <v>29.614070708874365</v>
      </c>
      <c r="N93" s="10">
        <f t="shared" si="88"/>
        <v>32.385929291125635</v>
      </c>
      <c r="O93" s="1">
        <f>SUMIFS(
  '[1]Hoja 1'!$M:$M,
  '[1]Hoja 1'!$S:$S, $A93,
  '[1]Hoja 1'!$R:$R, "&gt;="&amp;INT($Q$1),
  '[1]Hoja 1'!$R:$R, "&lt;"&amp;INT($R$1+1)
)</f>
        <v>36</v>
      </c>
      <c r="P93" s="1">
        <f t="shared" si="89"/>
        <v>33.5</v>
      </c>
      <c r="Q93" s="9">
        <f t="shared" si="90"/>
        <v>27.466559750045292</v>
      </c>
      <c r="R93" s="10">
        <f t="shared" si="91"/>
        <v>34.533440249954708</v>
      </c>
      <c r="S93" s="1">
        <f>SUMIFS(
  '[1]Hoja 1'!$M:$M,
  '[1]Hoja 1'!$S:$S, $A93,
  '[1]Hoja 1'!$R:$R, "&gt;="&amp;INT($U$1),
  '[1]Hoja 1'!$R:$R, "&lt;"&amp;INT($V$1+1)
)</f>
        <v>109</v>
      </c>
      <c r="T93" s="1">
        <f t="shared" si="92"/>
        <v>73</v>
      </c>
      <c r="U93" s="9">
        <f t="shared" si="93"/>
        <v>37.602233592122417</v>
      </c>
      <c r="V93" s="10">
        <f t="shared" si="94"/>
        <v>108.39776640787758</v>
      </c>
      <c r="W93" s="1">
        <f>SUMIFS(
  '[1]Hoja 1'!$M:$M,
  '[1]Hoja 1'!$S:$S, $A93,
  '[1]Hoja 1'!$R:$R, "&gt;="&amp;INT($Y$1),
  '[1]Hoja 1'!$R:$R, "&lt;"&amp;INT($Z$1+1)
)</f>
        <v>356</v>
      </c>
      <c r="X93" s="1">
        <f t="shared" si="95"/>
        <v>233</v>
      </c>
      <c r="Y93" s="9">
        <f t="shared" si="96"/>
        <v>119.90054126271573</v>
      </c>
      <c r="Z93" s="10">
        <f t="shared" si="97"/>
        <v>346.09945873728429</v>
      </c>
      <c r="AA93" s="1">
        <f>SUMIFS(
  '[1]Hoja 1'!$M:$M,
  '[1]Hoja 1'!$S:$S, $A93,
  '[1]Hoja 1'!$R:$R, "&gt;="&amp;INT($AC$1),
  '[1]Hoja 1'!$R:$R, "&lt;"&amp;INT($AD$1+1)
)</f>
        <v>80</v>
      </c>
      <c r="AB93" s="1">
        <f t="shared" si="98"/>
        <v>218</v>
      </c>
      <c r="AC93" s="9">
        <f t="shared" si="99"/>
        <v>33.31562632426099</v>
      </c>
      <c r="AD93" s="10">
        <f t="shared" si="100"/>
        <v>431.16501862797907</v>
      </c>
      <c r="AE93" s="1">
        <f>SUMIFS(
  '[1]Hoja 1'!$M:$M,
  '[1]Hoja 1'!$S:$S, $A93,
  '[1]Hoja 1'!$R:$R, "&gt;="&amp;INT($AG$1),
  '[1]Hoja 1'!$R:$R, "&lt;"&amp;INT($AH$1+1)
)</f>
        <v>0</v>
      </c>
      <c r="AF93" s="1">
        <f t="shared" si="101"/>
        <v>40</v>
      </c>
      <c r="AG93" s="9">
        <f t="shared" si="102"/>
        <v>-148.92331110797312</v>
      </c>
      <c r="AH93" s="10">
        <f t="shared" si="103"/>
        <v>258.10229709931991</v>
      </c>
      <c r="AI93" s="1">
        <f>SUMIFS(
  '[1]Hoja 1'!$M:$M,
  '[1]Hoja 1'!$S:$S, $A93,
  '[1]Hoja 1'!$R:$R, "&gt;="&amp;INT($AK$1),
  '[1]Hoja 1'!$R:$R, "&lt;"&amp;INT($AL$1+1)
)</f>
        <v>0</v>
      </c>
      <c r="AJ93" s="1">
        <f t="shared" si="104"/>
        <v>0</v>
      </c>
      <c r="AK93" s="9">
        <f t="shared" si="105"/>
        <v>-184.13102096061922</v>
      </c>
      <c r="AL93" s="10">
        <f t="shared" si="106"/>
        <v>212.16849114167101</v>
      </c>
      <c r="AM93" s="1">
        <f>SUMIFS(
  '[1]Hoja 1'!$M:$M,
  '[1]Hoja 1'!$S:$S, $A93,
  '[1]Hoja 1'!$R:$R, "&gt;="&amp;INT($AO$1),
  '[1]Hoja 1'!$R:$R, "&lt;"&amp;INT($AP$1+1)
)</f>
        <v>0</v>
      </c>
      <c r="AN93" s="1">
        <f t="shared" si="107"/>
        <v>0</v>
      </c>
      <c r="AO93" s="9">
        <f t="shared" si="108"/>
        <v>-117.22045418782508</v>
      </c>
      <c r="AP93" s="10">
        <f t="shared" si="109"/>
        <v>127.64100281649308</v>
      </c>
      <c r="AQ93" s="1">
        <f>SUMIFS(
  '[1]Hoja 1'!$M:$M,
  '[1]Hoja 1'!$S:$S, $A93,
  '[1]Hoja 1'!$R:$R, "&gt;="&amp;INT($AS$1),
  '[1]Hoja 1'!$R:$R, "&lt;"&amp;INT($AT$1+1)
)</f>
        <v>0</v>
      </c>
      <c r="AR93" s="1">
        <f t="shared" si="110"/>
        <v>0</v>
      </c>
      <c r="AS93" s="9">
        <f t="shared" si="111"/>
        <v>-35.061545887196701</v>
      </c>
      <c r="AT93" s="10">
        <f t="shared" si="112"/>
        <v>39.200000000000003</v>
      </c>
      <c r="AU93" s="1">
        <f>SUMIFS(
  '[1]Hoja 1'!$M:$M,
  '[1]Hoja 1'!$S:$S, $A93,
  '[1]Hoja 1'!$R:$R, "&gt;="&amp;INT($AW$1),
  '[1]Hoja 1'!$R:$R, "&lt;"&amp;INT($AX$1+1)
)</f>
        <v>0</v>
      </c>
      <c r="AV93" s="1">
        <f t="shared" si="113"/>
        <v>0</v>
      </c>
      <c r="AW93" s="9">
        <f t="shared" si="114"/>
        <v>0</v>
      </c>
      <c r="AX93" s="10">
        <f t="shared" si="115"/>
        <v>0</v>
      </c>
      <c r="AY93" s="1">
        <f>SUMIFS(
  '[1]Hoja 1'!$M:$M,
  '[1]Hoja 1'!$S:$S, $A93,
  '[1]Hoja 1'!$R:$R, "&gt;="&amp;INT($BA$1),
  '[1]Hoja 1'!$R:$R, "&lt;"&amp;INT($BB$1+1)
)</f>
        <v>0</v>
      </c>
      <c r="AZ93" s="1">
        <f t="shared" si="116"/>
        <v>0</v>
      </c>
      <c r="BA93" s="9">
        <f t="shared" si="117"/>
        <v>0</v>
      </c>
      <c r="BB93" s="10">
        <f t="shared" si="118"/>
        <v>0</v>
      </c>
      <c r="BC93" s="1">
        <f>SUMIFS(
  '[1]Hoja 1'!$M:$M,
  '[1]Hoja 1'!$S:$S, $A93,
  '[1]Hoja 1'!$R:$R, "&gt;="&amp;INT($BE$1),
  '[1]Hoja 1'!$R:$R, "&lt;"&amp;INT($BF$1+1)
)</f>
        <v>0</v>
      </c>
      <c r="BD93" s="1">
        <f t="shared" si="119"/>
        <v>0</v>
      </c>
      <c r="BE93" s="9">
        <f t="shared" si="120"/>
        <v>0</v>
      </c>
      <c r="BF93" s="10">
        <f t="shared" si="121"/>
        <v>0</v>
      </c>
      <c r="BG93" s="1">
        <f>SUMIFS(
  '[1]Hoja 1'!$M:$M,
  '[1]Hoja 1'!$S:$S, $A93,
  '[1]Hoja 1'!$R:$R, "&gt;="&amp;INT($BI$1),
  '[1]Hoja 1'!$R:$R, "&lt;"&amp;INT($BJ$1+1)
)</f>
        <v>0</v>
      </c>
      <c r="BH93" s="1">
        <f t="shared" si="122"/>
        <v>0</v>
      </c>
      <c r="BI93" s="9">
        <f t="shared" si="123"/>
        <v>0</v>
      </c>
      <c r="BJ93" s="10">
        <f t="shared" si="124"/>
        <v>0</v>
      </c>
      <c r="BK93" s="1">
        <f>SUMIFS(
  '[1]Hoja 1'!$M:$M,
  '[1]Hoja 1'!$S:$S, $A93,
  '[1]Hoja 1'!$R:$R, "&gt;="&amp;INT($BM$1),
  '[1]Hoja 1'!$R:$R, "&lt;"&amp;INT($BN$1+1)
)</f>
        <v>0</v>
      </c>
      <c r="BL93" s="1">
        <f t="shared" si="125"/>
        <v>0</v>
      </c>
      <c r="BM93" s="9">
        <f t="shared" si="126"/>
        <v>0</v>
      </c>
      <c r="BN93" s="10">
        <f t="shared" si="127"/>
        <v>0</v>
      </c>
      <c r="BO93" s="1">
        <f>SUMIFS(
  '[1]Hoja 1'!$M:$M,
  '[1]Hoja 1'!$S:$S, $A93,
  '[1]Hoja 1'!$R:$R, "&gt;="&amp;INT($BQ$1),
  '[1]Hoja 1'!$R:$R, "&lt;"&amp;INT($BR$1+1)
)</f>
        <v>0</v>
      </c>
      <c r="BP93" s="1">
        <f t="shared" si="128"/>
        <v>0</v>
      </c>
      <c r="BQ93" s="9">
        <f t="shared" si="129"/>
        <v>0</v>
      </c>
      <c r="BR93" s="10">
        <f t="shared" si="130"/>
        <v>0</v>
      </c>
      <c r="BS93" s="1">
        <f>SUMIFS(
  '[1]Hoja 1'!$M:$M,
  '[1]Hoja 1'!$S:$S, $A93,
  '[1]Hoja 1'!$R:$R, "&gt;="&amp;INT($BU$1),
  '[1]Hoja 1'!$R:$R, "&lt;"&amp;INT($BV$1+1)
)</f>
        <v>0</v>
      </c>
      <c r="BT93" s="1">
        <f t="shared" si="131"/>
        <v>0</v>
      </c>
      <c r="BU93" s="9">
        <f t="shared" si="132"/>
        <v>0</v>
      </c>
      <c r="BV93" s="10">
        <f t="shared" si="133"/>
        <v>0</v>
      </c>
      <c r="BW93" s="1">
        <f>SUMIFS(
  '[1]Hoja 1'!$M:$M,
  '[1]Hoja 1'!$S:$S, $A93,
  '[1]Hoja 1'!$R:$R, "&gt;="&amp;INT($BY$1),
  '[1]Hoja 1'!$R:$R, "&lt;"&amp;INT($BZ$1+1)
)</f>
        <v>0</v>
      </c>
      <c r="BX93" s="1">
        <f t="shared" si="134"/>
        <v>0</v>
      </c>
      <c r="BY93" s="9">
        <f t="shared" si="135"/>
        <v>0</v>
      </c>
      <c r="BZ93" s="10">
        <f t="shared" si="136"/>
        <v>0</v>
      </c>
      <c r="CA93" s="1">
        <f>SUMIFS(
  '[1]Hoja 1'!$M:$M,
  '[1]Hoja 1'!$S:$S, $A93,
  '[1]Hoja 1'!$R:$R, "&gt;="&amp;INT($CC$1),
  '[1]Hoja 1'!$R:$R, "&lt;"&amp;INT($CD$1+1)
)</f>
        <v>0</v>
      </c>
      <c r="CB93" s="1">
        <f t="shared" si="137"/>
        <v>0</v>
      </c>
      <c r="CC93" s="9">
        <f t="shared" si="138"/>
        <v>0</v>
      </c>
      <c r="CD93" s="10">
        <f t="shared" si="139"/>
        <v>0</v>
      </c>
      <c r="CE93" s="1">
        <f>SUMIFS(
  '[1]Hoja 1'!$M:$M,
  '[1]Hoja 1'!$S:$S, $A93,
  '[1]Hoja 1'!$R:$R, "&gt;="&amp;INT($CG$1),
  '[1]Hoja 1'!$R:$R, "&lt;"&amp;INT($CH$1+1)
)</f>
        <v>0</v>
      </c>
      <c r="CF93" s="1">
        <f t="shared" si="140"/>
        <v>0</v>
      </c>
      <c r="CG93" s="9">
        <f t="shared" si="141"/>
        <v>0</v>
      </c>
      <c r="CH93" s="10">
        <f t="shared" si="142"/>
        <v>0</v>
      </c>
      <c r="CI93" s="1">
        <f>SUMIFS(
  '[1]Hoja 1'!$M:$M,
  '[1]Hoja 1'!$S:$S, $A93,
  '[1]Hoja 1'!$R:$R, "&gt;="&amp;INT($CK$1),
  '[1]Hoja 1'!$R:$R, "&lt;"&amp;INT($CL$1+1)
)</f>
        <v>0</v>
      </c>
      <c r="CJ93" s="1">
        <f t="shared" si="143"/>
        <v>0</v>
      </c>
      <c r="CK93" s="9">
        <f t="shared" si="144"/>
        <v>0</v>
      </c>
      <c r="CL93" s="10">
        <f t="shared" si="145"/>
        <v>0</v>
      </c>
      <c r="CM93" s="1">
        <f>SUMIFS(
  '[1]Hoja 1'!$M:$M,
  '[1]Hoja 1'!$S:$S, $A93,
  '[1]Hoja 1'!$R:$R, "&gt;="&amp;INT($CO$1),
  '[1]Hoja 1'!$R:$R, "&lt;"&amp;INT($CP$1+1)
)</f>
        <v>0</v>
      </c>
      <c r="CN93" s="1">
        <f t="shared" si="146"/>
        <v>0</v>
      </c>
      <c r="CO93" s="9">
        <f t="shared" si="147"/>
        <v>0</v>
      </c>
      <c r="CP93" s="10">
        <f t="shared" si="148"/>
        <v>0</v>
      </c>
      <c r="CQ93" s="1">
        <f>SUMIFS(
  '[1]Hoja 1'!$M:$M,
  '[1]Hoja 1'!$S:$S, $A93,
  '[1]Hoja 1'!$R:$R, "&gt;="&amp;INT($CS$1),
  '[1]Hoja 1'!$R:$R, "&lt;"&amp;INT($CT$1+1)
)</f>
        <v>0</v>
      </c>
      <c r="CR93" s="1">
        <f t="shared" si="149"/>
        <v>0</v>
      </c>
      <c r="CS93" s="9">
        <f t="shared" si="150"/>
        <v>0</v>
      </c>
      <c r="CT93" s="10">
        <f t="shared" si="151"/>
        <v>0</v>
      </c>
      <c r="CU93" s="1">
        <f>SUMIFS(
  '[1]Hoja 1'!$M:$M,
  '[1]Hoja 1'!$S:$S, $A93,
  '[1]Hoja 1'!$R:$R, "&gt;="&amp;INT($CW$1),
  '[1]Hoja 1'!$R:$R, "&lt;"&amp;INT($CX$1+1)
)</f>
        <v>0</v>
      </c>
      <c r="CV93" s="1">
        <f t="shared" si="152"/>
        <v>0</v>
      </c>
      <c r="CW93" s="9">
        <f t="shared" si="153"/>
        <v>0</v>
      </c>
      <c r="CX93" s="10">
        <f t="shared" si="154"/>
        <v>0</v>
      </c>
      <c r="CY93" s="1">
        <f>SUMIFS(
  '[1]Hoja 1'!$M:$M,
  '[1]Hoja 1'!$S:$S, $A93,
  '[1]Hoja 1'!$R:$R, "&gt;="&amp;INT($DA$1),
  '[1]Hoja 1'!$R:$R, "&lt;"&amp;INT($DB$1+1)
)</f>
        <v>0</v>
      </c>
      <c r="CZ93" s="1">
        <f t="shared" si="155"/>
        <v>0</v>
      </c>
      <c r="DA93" s="9">
        <f t="shared" si="156"/>
        <v>0</v>
      </c>
      <c r="DB93" s="10">
        <f t="shared" si="157"/>
        <v>0</v>
      </c>
      <c r="DC93" s="1">
        <f>SUMIFS(
  '[1]Hoja 1'!$M:$M,
  '[1]Hoja 1'!$S:$S, $A93,
  '[1]Hoja 1'!$R:$R, "&gt;="&amp;INT($DE$1),
  '[1]Hoja 1'!$R:$R, "&lt;"&amp;INT($DF$1+1)
)</f>
        <v>0</v>
      </c>
      <c r="DD93" s="1">
        <f t="shared" si="158"/>
        <v>0</v>
      </c>
      <c r="DE93" s="9">
        <f t="shared" si="159"/>
        <v>0</v>
      </c>
      <c r="DF93" s="10">
        <f t="shared" si="160"/>
        <v>0</v>
      </c>
      <c r="DG93" s="1">
        <f>SUMIFS(
  '[1]Hoja 1'!$M:$M,
  '[1]Hoja 1'!$S:$S, $A93,
  '[1]Hoja 1'!$R:$R, "&gt;="&amp;INT($DI$1),
  '[1]Hoja 1'!$R:$R, "&lt;"&amp;INT($DJ$1+1)
)</f>
        <v>0</v>
      </c>
      <c r="DH93" s="1">
        <f t="shared" si="161"/>
        <v>0</v>
      </c>
      <c r="DI93" s="9">
        <f t="shared" si="162"/>
        <v>0</v>
      </c>
      <c r="DJ93" s="10">
        <f t="shared" si="163"/>
        <v>0</v>
      </c>
      <c r="DK93" s="1">
        <f>SUMIFS(
  '[1]Hoja 1'!$M:$M,
  '[1]Hoja 1'!$S:$S, $A93,
  '[1]Hoja 1'!$R:$R, "&gt;="&amp;INT($DM$1),
  '[1]Hoja 1'!$R:$R, "&lt;"&amp;INT($DN$1+1)
)</f>
        <v>0</v>
      </c>
      <c r="DL93" s="1">
        <f t="shared" si="164"/>
        <v>0</v>
      </c>
      <c r="DM93" s="9">
        <f t="shared" si="165"/>
        <v>0</v>
      </c>
      <c r="DN93" s="10">
        <f t="shared" si="166"/>
        <v>0</v>
      </c>
      <c r="DO93" s="1">
        <f>SUMIFS(
  '[1]Hoja 1'!$M:$M,
  '[1]Hoja 1'!$S:$S, $A93,
  '[1]Hoja 1'!$R:$R, "&gt;="&amp;INT($DQ$1),
  '[1]Hoja 1'!$R:$R, "&lt;"&amp;INT($DR$1+1)
)</f>
        <v>0</v>
      </c>
      <c r="DP93" s="1">
        <f t="shared" si="167"/>
        <v>0</v>
      </c>
      <c r="DQ93" s="9">
        <f t="shared" si="168"/>
        <v>0</v>
      </c>
      <c r="DR93" s="10">
        <f t="shared" si="169"/>
        <v>0</v>
      </c>
    </row>
    <row r="94" spans="1:122" x14ac:dyDescent="0.25">
      <c r="A94" s="5">
        <v>213024</v>
      </c>
      <c r="B94" s="6" t="s">
        <v>94</v>
      </c>
      <c r="C94" s="1">
        <f>SUMIFS(
  '[1]Hoja 1'!$M:$M,
  '[1]Hoja 1'!$S:$S, $A94,
  '[1]Hoja 1'!$R:$R, "&gt;="&amp;INT($E$1),
  '[1]Hoja 1'!$R:$R, "&lt;"&amp;INT($F$1+1)
)</f>
        <v>0</v>
      </c>
      <c r="D94" s="1" t="str">
        <f>""</f>
        <v/>
      </c>
      <c r="F94" s="2"/>
      <c r="G94" s="1">
        <f>SUMIFS(
  '[1]Hoja 1'!$M:$M,
  '[1]Hoja 1'!$S:$S, $A94,
  '[1]Hoja 1'!$R:$R, "&gt;="&amp;INT($I$1),
  '[1]Hoja 1'!$R:$R, "&lt;"&amp;INT($J$1+1)
)</f>
        <v>0</v>
      </c>
      <c r="H94" s="1">
        <f t="shared" si="85"/>
        <v>0</v>
      </c>
      <c r="I94" s="1"/>
      <c r="J94" s="2"/>
      <c r="K94" s="1">
        <f>SUMIFS(
  '[1]Hoja 1'!$M:$M,
  '[1]Hoja 1'!$S:$S, $A94,
  '[1]Hoja 1'!$R:$R, "&gt;="&amp;INT($M$1),
  '[1]Hoja 1'!$R:$R, "&lt;"&amp;INT($N$1+1)
)</f>
        <v>0</v>
      </c>
      <c r="L94" s="1">
        <f t="shared" si="86"/>
        <v>0</v>
      </c>
      <c r="M94" s="9">
        <f t="shared" si="87"/>
        <v>0</v>
      </c>
      <c r="N94" s="10">
        <f t="shared" si="88"/>
        <v>0</v>
      </c>
      <c r="O94" s="1">
        <f>SUMIFS(
  '[1]Hoja 1'!$M:$M,
  '[1]Hoja 1'!$S:$S, $A94,
  '[1]Hoja 1'!$R:$R, "&gt;="&amp;INT($Q$1),
  '[1]Hoja 1'!$R:$R, "&lt;"&amp;INT($R$1+1)
)</f>
        <v>0</v>
      </c>
      <c r="P94" s="1">
        <f t="shared" si="89"/>
        <v>0</v>
      </c>
      <c r="Q94" s="9">
        <f t="shared" si="90"/>
        <v>0</v>
      </c>
      <c r="R94" s="10">
        <f t="shared" si="91"/>
        <v>0</v>
      </c>
      <c r="S94" s="1">
        <f>SUMIFS(
  '[1]Hoja 1'!$M:$M,
  '[1]Hoja 1'!$S:$S, $A94,
  '[1]Hoja 1'!$R:$R, "&gt;="&amp;INT($U$1),
  '[1]Hoja 1'!$R:$R, "&lt;"&amp;INT($V$1+1)
)</f>
        <v>0</v>
      </c>
      <c r="T94" s="1">
        <f t="shared" si="92"/>
        <v>0</v>
      </c>
      <c r="U94" s="9">
        <f t="shared" si="93"/>
        <v>0</v>
      </c>
      <c r="V94" s="10">
        <f t="shared" si="94"/>
        <v>0</v>
      </c>
      <c r="W94" s="1">
        <f>SUMIFS(
  '[1]Hoja 1'!$M:$M,
  '[1]Hoja 1'!$S:$S, $A94,
  '[1]Hoja 1'!$R:$R, "&gt;="&amp;INT($Y$1),
  '[1]Hoja 1'!$R:$R, "&lt;"&amp;INT($Z$1+1)
)</f>
        <v>0</v>
      </c>
      <c r="X94" s="1">
        <f t="shared" si="95"/>
        <v>0</v>
      </c>
      <c r="Y94" s="9">
        <f t="shared" si="96"/>
        <v>0</v>
      </c>
      <c r="Z94" s="10">
        <f t="shared" si="97"/>
        <v>0</v>
      </c>
      <c r="AA94" s="1">
        <f>SUMIFS(
  '[1]Hoja 1'!$M:$M,
  '[1]Hoja 1'!$S:$S, $A94,
  '[1]Hoja 1'!$R:$R, "&gt;="&amp;INT($AC$1),
  '[1]Hoja 1'!$R:$R, "&lt;"&amp;INT($AD$1+1)
)</f>
        <v>0</v>
      </c>
      <c r="AB94" s="1">
        <f t="shared" si="98"/>
        <v>0</v>
      </c>
      <c r="AC94" s="9">
        <f t="shared" si="99"/>
        <v>0</v>
      </c>
      <c r="AD94" s="10">
        <f t="shared" si="100"/>
        <v>0</v>
      </c>
      <c r="AE94" s="1">
        <f>SUMIFS(
  '[1]Hoja 1'!$M:$M,
  '[1]Hoja 1'!$S:$S, $A94,
  '[1]Hoja 1'!$R:$R, "&gt;="&amp;INT($AG$1),
  '[1]Hoja 1'!$R:$R, "&lt;"&amp;INT($AH$1+1)
)</f>
        <v>0</v>
      </c>
      <c r="AF94" s="1">
        <f t="shared" si="101"/>
        <v>0</v>
      </c>
      <c r="AG94" s="9">
        <f t="shared" si="102"/>
        <v>0</v>
      </c>
      <c r="AH94" s="10">
        <f t="shared" si="103"/>
        <v>0</v>
      </c>
      <c r="AI94" s="1">
        <f>SUMIFS(
  '[1]Hoja 1'!$M:$M,
  '[1]Hoja 1'!$S:$S, $A94,
  '[1]Hoja 1'!$R:$R, "&gt;="&amp;INT($AK$1),
  '[1]Hoja 1'!$R:$R, "&lt;"&amp;INT($AL$1+1)
)</f>
        <v>0</v>
      </c>
      <c r="AJ94" s="1">
        <f t="shared" si="104"/>
        <v>0</v>
      </c>
      <c r="AK94" s="9">
        <f t="shared" si="105"/>
        <v>0</v>
      </c>
      <c r="AL94" s="10">
        <f t="shared" si="106"/>
        <v>0</v>
      </c>
      <c r="AM94" s="1">
        <f>SUMIFS(
  '[1]Hoja 1'!$M:$M,
  '[1]Hoja 1'!$S:$S, $A94,
  '[1]Hoja 1'!$R:$R, "&gt;="&amp;INT($AO$1),
  '[1]Hoja 1'!$R:$R, "&lt;"&amp;INT($AP$1+1)
)</f>
        <v>0</v>
      </c>
      <c r="AN94" s="1">
        <f t="shared" si="107"/>
        <v>0</v>
      </c>
      <c r="AO94" s="9">
        <f t="shared" si="108"/>
        <v>0</v>
      </c>
      <c r="AP94" s="10">
        <f t="shared" si="109"/>
        <v>0</v>
      </c>
      <c r="AQ94" s="1">
        <f>SUMIFS(
  '[1]Hoja 1'!$M:$M,
  '[1]Hoja 1'!$S:$S, $A94,
  '[1]Hoja 1'!$R:$R, "&gt;="&amp;INT($AS$1),
  '[1]Hoja 1'!$R:$R, "&lt;"&amp;INT($AT$1+1)
)</f>
        <v>0</v>
      </c>
      <c r="AR94" s="1">
        <f t="shared" si="110"/>
        <v>0</v>
      </c>
      <c r="AS94" s="9">
        <f t="shared" si="111"/>
        <v>0</v>
      </c>
      <c r="AT94" s="10">
        <f t="shared" si="112"/>
        <v>0</v>
      </c>
      <c r="AU94" s="1">
        <f>SUMIFS(
  '[1]Hoja 1'!$M:$M,
  '[1]Hoja 1'!$S:$S, $A94,
  '[1]Hoja 1'!$R:$R, "&gt;="&amp;INT($AW$1),
  '[1]Hoja 1'!$R:$R, "&lt;"&amp;INT($AX$1+1)
)</f>
        <v>0</v>
      </c>
      <c r="AV94" s="1">
        <f t="shared" si="113"/>
        <v>0</v>
      </c>
      <c r="AW94" s="9">
        <f t="shared" si="114"/>
        <v>0</v>
      </c>
      <c r="AX94" s="10">
        <f t="shared" si="115"/>
        <v>0</v>
      </c>
      <c r="AY94" s="1">
        <f>SUMIFS(
  '[1]Hoja 1'!$M:$M,
  '[1]Hoja 1'!$S:$S, $A94,
  '[1]Hoja 1'!$R:$R, "&gt;="&amp;INT($BA$1),
  '[1]Hoja 1'!$R:$R, "&lt;"&amp;INT($BB$1+1)
)</f>
        <v>0</v>
      </c>
      <c r="AZ94" s="1">
        <f t="shared" si="116"/>
        <v>0</v>
      </c>
      <c r="BA94" s="9">
        <f t="shared" si="117"/>
        <v>0</v>
      </c>
      <c r="BB94" s="10">
        <f t="shared" si="118"/>
        <v>0</v>
      </c>
      <c r="BC94" s="1">
        <f>SUMIFS(
  '[1]Hoja 1'!$M:$M,
  '[1]Hoja 1'!$S:$S, $A94,
  '[1]Hoja 1'!$R:$R, "&gt;="&amp;INT($BE$1),
  '[1]Hoja 1'!$R:$R, "&lt;"&amp;INT($BF$1+1)
)</f>
        <v>0</v>
      </c>
      <c r="BD94" s="1">
        <f t="shared" si="119"/>
        <v>0</v>
      </c>
      <c r="BE94" s="9">
        <f t="shared" si="120"/>
        <v>0</v>
      </c>
      <c r="BF94" s="10">
        <f t="shared" si="121"/>
        <v>0</v>
      </c>
      <c r="BG94" s="1">
        <f>SUMIFS(
  '[1]Hoja 1'!$M:$M,
  '[1]Hoja 1'!$S:$S, $A94,
  '[1]Hoja 1'!$R:$R, "&gt;="&amp;INT($BI$1),
  '[1]Hoja 1'!$R:$R, "&lt;"&amp;INT($BJ$1+1)
)</f>
        <v>0</v>
      </c>
      <c r="BH94" s="1">
        <f t="shared" si="122"/>
        <v>0</v>
      </c>
      <c r="BI94" s="9">
        <f t="shared" si="123"/>
        <v>0</v>
      </c>
      <c r="BJ94" s="10">
        <f t="shared" si="124"/>
        <v>0</v>
      </c>
      <c r="BK94" s="1">
        <f>SUMIFS(
  '[1]Hoja 1'!$M:$M,
  '[1]Hoja 1'!$S:$S, $A94,
  '[1]Hoja 1'!$R:$R, "&gt;="&amp;INT($BM$1),
  '[1]Hoja 1'!$R:$R, "&lt;"&amp;INT($BN$1+1)
)</f>
        <v>0</v>
      </c>
      <c r="BL94" s="1">
        <f t="shared" si="125"/>
        <v>0</v>
      </c>
      <c r="BM94" s="9">
        <f t="shared" si="126"/>
        <v>0</v>
      </c>
      <c r="BN94" s="10">
        <f t="shared" si="127"/>
        <v>0</v>
      </c>
      <c r="BO94" s="1">
        <f>SUMIFS(
  '[1]Hoja 1'!$M:$M,
  '[1]Hoja 1'!$S:$S, $A94,
  '[1]Hoja 1'!$R:$R, "&gt;="&amp;INT($BQ$1),
  '[1]Hoja 1'!$R:$R, "&lt;"&amp;INT($BR$1+1)
)</f>
        <v>0</v>
      </c>
      <c r="BP94" s="1">
        <f t="shared" si="128"/>
        <v>0</v>
      </c>
      <c r="BQ94" s="9">
        <f t="shared" si="129"/>
        <v>0</v>
      </c>
      <c r="BR94" s="10">
        <f t="shared" si="130"/>
        <v>0</v>
      </c>
      <c r="BS94" s="1">
        <f>SUMIFS(
  '[1]Hoja 1'!$M:$M,
  '[1]Hoja 1'!$S:$S, $A94,
  '[1]Hoja 1'!$R:$R, "&gt;="&amp;INT($BU$1),
  '[1]Hoja 1'!$R:$R, "&lt;"&amp;INT($BV$1+1)
)</f>
        <v>0</v>
      </c>
      <c r="BT94" s="1">
        <f t="shared" si="131"/>
        <v>0</v>
      </c>
      <c r="BU94" s="9">
        <f t="shared" si="132"/>
        <v>0</v>
      </c>
      <c r="BV94" s="10">
        <f t="shared" si="133"/>
        <v>0</v>
      </c>
      <c r="BW94" s="1">
        <f>SUMIFS(
  '[1]Hoja 1'!$M:$M,
  '[1]Hoja 1'!$S:$S, $A94,
  '[1]Hoja 1'!$R:$R, "&gt;="&amp;INT($BY$1),
  '[1]Hoja 1'!$R:$R, "&lt;"&amp;INT($BZ$1+1)
)</f>
        <v>0</v>
      </c>
      <c r="BX94" s="1">
        <f t="shared" si="134"/>
        <v>0</v>
      </c>
      <c r="BY94" s="9">
        <f t="shared" si="135"/>
        <v>0</v>
      </c>
      <c r="BZ94" s="10">
        <f t="shared" si="136"/>
        <v>0</v>
      </c>
      <c r="CA94" s="1">
        <f>SUMIFS(
  '[1]Hoja 1'!$M:$M,
  '[1]Hoja 1'!$S:$S, $A94,
  '[1]Hoja 1'!$R:$R, "&gt;="&amp;INT($CC$1),
  '[1]Hoja 1'!$R:$R, "&lt;"&amp;INT($CD$1+1)
)</f>
        <v>0</v>
      </c>
      <c r="CB94" s="1">
        <f t="shared" si="137"/>
        <v>0</v>
      </c>
      <c r="CC94" s="9">
        <f t="shared" si="138"/>
        <v>0</v>
      </c>
      <c r="CD94" s="10">
        <f t="shared" si="139"/>
        <v>0</v>
      </c>
      <c r="CE94" s="1">
        <f>SUMIFS(
  '[1]Hoja 1'!$M:$M,
  '[1]Hoja 1'!$S:$S, $A94,
  '[1]Hoja 1'!$R:$R, "&gt;="&amp;INT($CG$1),
  '[1]Hoja 1'!$R:$R, "&lt;"&amp;INT($CH$1+1)
)</f>
        <v>0</v>
      </c>
      <c r="CF94" s="1">
        <f t="shared" si="140"/>
        <v>0</v>
      </c>
      <c r="CG94" s="9">
        <f t="shared" si="141"/>
        <v>0</v>
      </c>
      <c r="CH94" s="10">
        <f t="shared" si="142"/>
        <v>0</v>
      </c>
      <c r="CI94" s="1">
        <f>SUMIFS(
  '[1]Hoja 1'!$M:$M,
  '[1]Hoja 1'!$S:$S, $A94,
  '[1]Hoja 1'!$R:$R, "&gt;="&amp;INT($CK$1),
  '[1]Hoja 1'!$R:$R, "&lt;"&amp;INT($CL$1+1)
)</f>
        <v>0</v>
      </c>
      <c r="CJ94" s="1">
        <f t="shared" si="143"/>
        <v>0</v>
      </c>
      <c r="CK94" s="9">
        <f t="shared" si="144"/>
        <v>0</v>
      </c>
      <c r="CL94" s="10">
        <f t="shared" si="145"/>
        <v>0</v>
      </c>
      <c r="CM94" s="1">
        <f>SUMIFS(
  '[1]Hoja 1'!$M:$M,
  '[1]Hoja 1'!$S:$S, $A94,
  '[1]Hoja 1'!$R:$R, "&gt;="&amp;INT($CO$1),
  '[1]Hoja 1'!$R:$R, "&lt;"&amp;INT($CP$1+1)
)</f>
        <v>0</v>
      </c>
      <c r="CN94" s="1">
        <f t="shared" si="146"/>
        <v>0</v>
      </c>
      <c r="CO94" s="9">
        <f t="shared" si="147"/>
        <v>0</v>
      </c>
      <c r="CP94" s="10">
        <f t="shared" si="148"/>
        <v>0</v>
      </c>
      <c r="CQ94" s="1">
        <f>SUMIFS(
  '[1]Hoja 1'!$M:$M,
  '[1]Hoja 1'!$S:$S, $A94,
  '[1]Hoja 1'!$R:$R, "&gt;="&amp;INT($CS$1),
  '[1]Hoja 1'!$R:$R, "&lt;"&amp;INT($CT$1+1)
)</f>
        <v>0</v>
      </c>
      <c r="CR94" s="1">
        <f t="shared" si="149"/>
        <v>0</v>
      </c>
      <c r="CS94" s="9">
        <f t="shared" si="150"/>
        <v>0</v>
      </c>
      <c r="CT94" s="10">
        <f t="shared" si="151"/>
        <v>0</v>
      </c>
      <c r="CU94" s="1">
        <f>SUMIFS(
  '[1]Hoja 1'!$M:$M,
  '[1]Hoja 1'!$S:$S, $A94,
  '[1]Hoja 1'!$R:$R, "&gt;="&amp;INT($CW$1),
  '[1]Hoja 1'!$R:$R, "&lt;"&amp;INT($CX$1+1)
)</f>
        <v>0</v>
      </c>
      <c r="CV94" s="1">
        <f t="shared" si="152"/>
        <v>0</v>
      </c>
      <c r="CW94" s="9">
        <f t="shared" si="153"/>
        <v>0</v>
      </c>
      <c r="CX94" s="10">
        <f t="shared" si="154"/>
        <v>0</v>
      </c>
      <c r="CY94" s="1">
        <f>SUMIFS(
  '[1]Hoja 1'!$M:$M,
  '[1]Hoja 1'!$S:$S, $A94,
  '[1]Hoja 1'!$R:$R, "&gt;="&amp;INT($DA$1),
  '[1]Hoja 1'!$R:$R, "&lt;"&amp;INT($DB$1+1)
)</f>
        <v>0</v>
      </c>
      <c r="CZ94" s="1">
        <f t="shared" si="155"/>
        <v>0</v>
      </c>
      <c r="DA94" s="9">
        <f t="shared" si="156"/>
        <v>0</v>
      </c>
      <c r="DB94" s="10">
        <f t="shared" si="157"/>
        <v>0</v>
      </c>
      <c r="DC94" s="1">
        <f>SUMIFS(
  '[1]Hoja 1'!$M:$M,
  '[1]Hoja 1'!$S:$S, $A94,
  '[1]Hoja 1'!$R:$R, "&gt;="&amp;INT($DE$1),
  '[1]Hoja 1'!$R:$R, "&lt;"&amp;INT($DF$1+1)
)</f>
        <v>0</v>
      </c>
      <c r="DD94" s="1">
        <f t="shared" si="158"/>
        <v>0</v>
      </c>
      <c r="DE94" s="9">
        <f t="shared" si="159"/>
        <v>0</v>
      </c>
      <c r="DF94" s="10">
        <f t="shared" si="160"/>
        <v>0</v>
      </c>
      <c r="DG94" s="1">
        <f>SUMIFS(
  '[1]Hoja 1'!$M:$M,
  '[1]Hoja 1'!$S:$S, $A94,
  '[1]Hoja 1'!$R:$R, "&gt;="&amp;INT($DI$1),
  '[1]Hoja 1'!$R:$R, "&lt;"&amp;INT($DJ$1+1)
)</f>
        <v>0</v>
      </c>
      <c r="DH94" s="1">
        <f t="shared" si="161"/>
        <v>0</v>
      </c>
      <c r="DI94" s="9">
        <f t="shared" si="162"/>
        <v>0</v>
      </c>
      <c r="DJ94" s="10">
        <f t="shared" si="163"/>
        <v>0</v>
      </c>
      <c r="DK94" s="1">
        <f>SUMIFS(
  '[1]Hoja 1'!$M:$M,
  '[1]Hoja 1'!$S:$S, $A94,
  '[1]Hoja 1'!$R:$R, "&gt;="&amp;INT($DM$1),
  '[1]Hoja 1'!$R:$R, "&lt;"&amp;INT($DN$1+1)
)</f>
        <v>0</v>
      </c>
      <c r="DL94" s="1">
        <f t="shared" si="164"/>
        <v>0</v>
      </c>
      <c r="DM94" s="9">
        <f t="shared" si="165"/>
        <v>0</v>
      </c>
      <c r="DN94" s="10">
        <f t="shared" si="166"/>
        <v>0</v>
      </c>
      <c r="DO94" s="1">
        <f>SUMIFS(
  '[1]Hoja 1'!$M:$M,
  '[1]Hoja 1'!$S:$S, $A94,
  '[1]Hoja 1'!$R:$R, "&gt;="&amp;INT($DQ$1),
  '[1]Hoja 1'!$R:$R, "&lt;"&amp;INT($DR$1+1)
)</f>
        <v>0</v>
      </c>
      <c r="DP94" s="1">
        <f t="shared" si="167"/>
        <v>0</v>
      </c>
      <c r="DQ94" s="9">
        <f t="shared" si="168"/>
        <v>0</v>
      </c>
      <c r="DR94" s="10">
        <f t="shared" si="169"/>
        <v>0</v>
      </c>
    </row>
    <row r="95" spans="1:122" x14ac:dyDescent="0.25">
      <c r="A95" s="5">
        <v>213025</v>
      </c>
      <c r="B95" s="6" t="s">
        <v>95</v>
      </c>
      <c r="C95" s="1">
        <f>SUMIFS(
  '[1]Hoja 1'!$M:$M,
  '[1]Hoja 1'!$S:$S, $A95,
  '[1]Hoja 1'!$R:$R, "&gt;="&amp;INT($E$1),
  '[1]Hoja 1'!$R:$R, "&lt;"&amp;INT($F$1+1)
)</f>
        <v>0</v>
      </c>
      <c r="D95" s="1" t="str">
        <f>""</f>
        <v/>
      </c>
      <c r="F95" s="2"/>
      <c r="G95" s="1">
        <f>SUMIFS(
  '[1]Hoja 1'!$M:$M,
  '[1]Hoja 1'!$S:$S, $A95,
  '[1]Hoja 1'!$R:$R, "&gt;="&amp;INT($I$1),
  '[1]Hoja 1'!$R:$R, "&lt;"&amp;INT($J$1+1)
)</f>
        <v>0</v>
      </c>
      <c r="H95" s="1">
        <f t="shared" si="85"/>
        <v>0</v>
      </c>
      <c r="I95" s="1"/>
      <c r="J95" s="2"/>
      <c r="K95" s="1">
        <f>SUMIFS(
  '[1]Hoja 1'!$M:$M,
  '[1]Hoja 1'!$S:$S, $A95,
  '[1]Hoja 1'!$R:$R, "&gt;="&amp;INT($M$1),
  '[1]Hoja 1'!$R:$R, "&lt;"&amp;INT($N$1+1)
)</f>
        <v>0</v>
      </c>
      <c r="L95" s="1">
        <f t="shared" si="86"/>
        <v>0</v>
      </c>
      <c r="M95" s="9">
        <f t="shared" si="87"/>
        <v>0</v>
      </c>
      <c r="N95" s="10">
        <f t="shared" si="88"/>
        <v>0</v>
      </c>
      <c r="O95" s="1">
        <f>SUMIFS(
  '[1]Hoja 1'!$M:$M,
  '[1]Hoja 1'!$S:$S, $A95,
  '[1]Hoja 1'!$R:$R, "&gt;="&amp;INT($Q$1),
  '[1]Hoja 1'!$R:$R, "&lt;"&amp;INT($R$1+1)
)</f>
        <v>0</v>
      </c>
      <c r="P95" s="1">
        <f t="shared" si="89"/>
        <v>0</v>
      </c>
      <c r="Q95" s="9">
        <f t="shared" si="90"/>
        <v>0</v>
      </c>
      <c r="R95" s="10">
        <f t="shared" si="91"/>
        <v>0</v>
      </c>
      <c r="S95" s="1">
        <f>SUMIFS(
  '[1]Hoja 1'!$M:$M,
  '[1]Hoja 1'!$S:$S, $A95,
  '[1]Hoja 1'!$R:$R, "&gt;="&amp;INT($U$1),
  '[1]Hoja 1'!$R:$R, "&lt;"&amp;INT($V$1+1)
)</f>
        <v>0</v>
      </c>
      <c r="T95" s="1">
        <f t="shared" si="92"/>
        <v>0</v>
      </c>
      <c r="U95" s="9">
        <f t="shared" si="93"/>
        <v>0</v>
      </c>
      <c r="V95" s="10">
        <f t="shared" si="94"/>
        <v>0</v>
      </c>
      <c r="W95" s="1">
        <f>SUMIFS(
  '[1]Hoja 1'!$M:$M,
  '[1]Hoja 1'!$S:$S, $A95,
  '[1]Hoja 1'!$R:$R, "&gt;="&amp;INT($Y$1),
  '[1]Hoja 1'!$R:$R, "&lt;"&amp;INT($Z$1+1)
)</f>
        <v>0</v>
      </c>
      <c r="X95" s="1">
        <f t="shared" si="95"/>
        <v>0</v>
      </c>
      <c r="Y95" s="9">
        <f t="shared" si="96"/>
        <v>0</v>
      </c>
      <c r="Z95" s="10">
        <f t="shared" si="97"/>
        <v>0</v>
      </c>
      <c r="AA95" s="1">
        <f>SUMIFS(
  '[1]Hoja 1'!$M:$M,
  '[1]Hoja 1'!$S:$S, $A95,
  '[1]Hoja 1'!$R:$R, "&gt;="&amp;INT($AC$1),
  '[1]Hoja 1'!$R:$R, "&lt;"&amp;INT($AD$1+1)
)</f>
        <v>0</v>
      </c>
      <c r="AB95" s="1">
        <f t="shared" si="98"/>
        <v>0</v>
      </c>
      <c r="AC95" s="9">
        <f t="shared" si="99"/>
        <v>0</v>
      </c>
      <c r="AD95" s="10">
        <f t="shared" si="100"/>
        <v>0</v>
      </c>
      <c r="AE95" s="1">
        <f>SUMIFS(
  '[1]Hoja 1'!$M:$M,
  '[1]Hoja 1'!$S:$S, $A95,
  '[1]Hoja 1'!$R:$R, "&gt;="&amp;INT($AG$1),
  '[1]Hoja 1'!$R:$R, "&lt;"&amp;INT($AH$1+1)
)</f>
        <v>0</v>
      </c>
      <c r="AF95" s="1">
        <f t="shared" si="101"/>
        <v>0</v>
      </c>
      <c r="AG95" s="9">
        <f t="shared" si="102"/>
        <v>0</v>
      </c>
      <c r="AH95" s="10">
        <f t="shared" si="103"/>
        <v>0</v>
      </c>
      <c r="AI95" s="1">
        <f>SUMIFS(
  '[1]Hoja 1'!$M:$M,
  '[1]Hoja 1'!$S:$S, $A95,
  '[1]Hoja 1'!$R:$R, "&gt;="&amp;INT($AK$1),
  '[1]Hoja 1'!$R:$R, "&lt;"&amp;INT($AL$1+1)
)</f>
        <v>0</v>
      </c>
      <c r="AJ95" s="1">
        <f t="shared" si="104"/>
        <v>0</v>
      </c>
      <c r="AK95" s="9">
        <f t="shared" si="105"/>
        <v>0</v>
      </c>
      <c r="AL95" s="10">
        <f t="shared" si="106"/>
        <v>0</v>
      </c>
      <c r="AM95" s="1">
        <f>SUMIFS(
  '[1]Hoja 1'!$M:$M,
  '[1]Hoja 1'!$S:$S, $A95,
  '[1]Hoja 1'!$R:$R, "&gt;="&amp;INT($AO$1),
  '[1]Hoja 1'!$R:$R, "&lt;"&amp;INT($AP$1+1)
)</f>
        <v>0</v>
      </c>
      <c r="AN95" s="1">
        <f t="shared" si="107"/>
        <v>0</v>
      </c>
      <c r="AO95" s="9">
        <f t="shared" si="108"/>
        <v>0</v>
      </c>
      <c r="AP95" s="10">
        <f t="shared" si="109"/>
        <v>0</v>
      </c>
      <c r="AQ95" s="1">
        <f>SUMIFS(
  '[1]Hoja 1'!$M:$M,
  '[1]Hoja 1'!$S:$S, $A95,
  '[1]Hoja 1'!$R:$R, "&gt;="&amp;INT($AS$1),
  '[1]Hoja 1'!$R:$R, "&lt;"&amp;INT($AT$1+1)
)</f>
        <v>0</v>
      </c>
      <c r="AR95" s="1">
        <f t="shared" si="110"/>
        <v>0</v>
      </c>
      <c r="AS95" s="9">
        <f t="shared" si="111"/>
        <v>0</v>
      </c>
      <c r="AT95" s="10">
        <f t="shared" si="112"/>
        <v>0</v>
      </c>
      <c r="AU95" s="1">
        <f>SUMIFS(
  '[1]Hoja 1'!$M:$M,
  '[1]Hoja 1'!$S:$S, $A95,
  '[1]Hoja 1'!$R:$R, "&gt;="&amp;INT($AW$1),
  '[1]Hoja 1'!$R:$R, "&lt;"&amp;INT($AX$1+1)
)</f>
        <v>0</v>
      </c>
      <c r="AV95" s="1">
        <f t="shared" si="113"/>
        <v>0</v>
      </c>
      <c r="AW95" s="9">
        <f t="shared" si="114"/>
        <v>0</v>
      </c>
      <c r="AX95" s="10">
        <f t="shared" si="115"/>
        <v>0</v>
      </c>
      <c r="AY95" s="1">
        <f>SUMIFS(
  '[1]Hoja 1'!$M:$M,
  '[1]Hoja 1'!$S:$S, $A95,
  '[1]Hoja 1'!$R:$R, "&gt;="&amp;INT($BA$1),
  '[1]Hoja 1'!$R:$R, "&lt;"&amp;INT($BB$1+1)
)</f>
        <v>0</v>
      </c>
      <c r="AZ95" s="1">
        <f t="shared" si="116"/>
        <v>0</v>
      </c>
      <c r="BA95" s="9">
        <f t="shared" si="117"/>
        <v>0</v>
      </c>
      <c r="BB95" s="10">
        <f t="shared" si="118"/>
        <v>0</v>
      </c>
      <c r="BC95" s="1">
        <f>SUMIFS(
  '[1]Hoja 1'!$M:$M,
  '[1]Hoja 1'!$S:$S, $A95,
  '[1]Hoja 1'!$R:$R, "&gt;="&amp;INT($BE$1),
  '[1]Hoja 1'!$R:$R, "&lt;"&amp;INT($BF$1+1)
)</f>
        <v>0</v>
      </c>
      <c r="BD95" s="1">
        <f t="shared" si="119"/>
        <v>0</v>
      </c>
      <c r="BE95" s="9">
        <f t="shared" si="120"/>
        <v>0</v>
      </c>
      <c r="BF95" s="10">
        <f t="shared" si="121"/>
        <v>0</v>
      </c>
      <c r="BG95" s="1">
        <f>SUMIFS(
  '[1]Hoja 1'!$M:$M,
  '[1]Hoja 1'!$S:$S, $A95,
  '[1]Hoja 1'!$R:$R, "&gt;="&amp;INT($BI$1),
  '[1]Hoja 1'!$R:$R, "&lt;"&amp;INT($BJ$1+1)
)</f>
        <v>0</v>
      </c>
      <c r="BH95" s="1">
        <f t="shared" si="122"/>
        <v>0</v>
      </c>
      <c r="BI95" s="9">
        <f t="shared" si="123"/>
        <v>0</v>
      </c>
      <c r="BJ95" s="10">
        <f t="shared" si="124"/>
        <v>0</v>
      </c>
      <c r="BK95" s="1">
        <f>SUMIFS(
  '[1]Hoja 1'!$M:$M,
  '[1]Hoja 1'!$S:$S, $A95,
  '[1]Hoja 1'!$R:$R, "&gt;="&amp;INT($BM$1),
  '[1]Hoja 1'!$R:$R, "&lt;"&amp;INT($BN$1+1)
)</f>
        <v>0</v>
      </c>
      <c r="BL95" s="1">
        <f t="shared" si="125"/>
        <v>0</v>
      </c>
      <c r="BM95" s="9">
        <f t="shared" si="126"/>
        <v>0</v>
      </c>
      <c r="BN95" s="10">
        <f t="shared" si="127"/>
        <v>0</v>
      </c>
      <c r="BO95" s="1">
        <f>SUMIFS(
  '[1]Hoja 1'!$M:$M,
  '[1]Hoja 1'!$S:$S, $A95,
  '[1]Hoja 1'!$R:$R, "&gt;="&amp;INT($BQ$1),
  '[1]Hoja 1'!$R:$R, "&lt;"&amp;INT($BR$1+1)
)</f>
        <v>0</v>
      </c>
      <c r="BP95" s="1">
        <f t="shared" si="128"/>
        <v>0</v>
      </c>
      <c r="BQ95" s="9">
        <f t="shared" si="129"/>
        <v>0</v>
      </c>
      <c r="BR95" s="10">
        <f t="shared" si="130"/>
        <v>0</v>
      </c>
      <c r="BS95" s="1">
        <f>SUMIFS(
  '[1]Hoja 1'!$M:$M,
  '[1]Hoja 1'!$S:$S, $A95,
  '[1]Hoja 1'!$R:$R, "&gt;="&amp;INT($BU$1),
  '[1]Hoja 1'!$R:$R, "&lt;"&amp;INT($BV$1+1)
)</f>
        <v>0</v>
      </c>
      <c r="BT95" s="1">
        <f t="shared" si="131"/>
        <v>0</v>
      </c>
      <c r="BU95" s="9">
        <f t="shared" si="132"/>
        <v>0</v>
      </c>
      <c r="BV95" s="10">
        <f t="shared" si="133"/>
        <v>0</v>
      </c>
      <c r="BW95" s="1">
        <f>SUMIFS(
  '[1]Hoja 1'!$M:$M,
  '[1]Hoja 1'!$S:$S, $A95,
  '[1]Hoja 1'!$R:$R, "&gt;="&amp;INT($BY$1),
  '[1]Hoja 1'!$R:$R, "&lt;"&amp;INT($BZ$1+1)
)</f>
        <v>0</v>
      </c>
      <c r="BX95" s="1">
        <f t="shared" si="134"/>
        <v>0</v>
      </c>
      <c r="BY95" s="9">
        <f t="shared" si="135"/>
        <v>0</v>
      </c>
      <c r="BZ95" s="10">
        <f t="shared" si="136"/>
        <v>0</v>
      </c>
      <c r="CA95" s="1">
        <f>SUMIFS(
  '[1]Hoja 1'!$M:$M,
  '[1]Hoja 1'!$S:$S, $A95,
  '[1]Hoja 1'!$R:$R, "&gt;="&amp;INT($CC$1),
  '[1]Hoja 1'!$R:$R, "&lt;"&amp;INT($CD$1+1)
)</f>
        <v>0</v>
      </c>
      <c r="CB95" s="1">
        <f t="shared" si="137"/>
        <v>0</v>
      </c>
      <c r="CC95" s="9">
        <f t="shared" si="138"/>
        <v>0</v>
      </c>
      <c r="CD95" s="10">
        <f t="shared" si="139"/>
        <v>0</v>
      </c>
      <c r="CE95" s="1">
        <f>SUMIFS(
  '[1]Hoja 1'!$M:$M,
  '[1]Hoja 1'!$S:$S, $A95,
  '[1]Hoja 1'!$R:$R, "&gt;="&amp;INT($CG$1),
  '[1]Hoja 1'!$R:$R, "&lt;"&amp;INT($CH$1+1)
)</f>
        <v>0</v>
      </c>
      <c r="CF95" s="1">
        <f t="shared" si="140"/>
        <v>0</v>
      </c>
      <c r="CG95" s="9">
        <f t="shared" si="141"/>
        <v>0</v>
      </c>
      <c r="CH95" s="10">
        <f t="shared" si="142"/>
        <v>0</v>
      </c>
      <c r="CI95" s="1">
        <f>SUMIFS(
  '[1]Hoja 1'!$M:$M,
  '[1]Hoja 1'!$S:$S, $A95,
  '[1]Hoja 1'!$R:$R, "&gt;="&amp;INT($CK$1),
  '[1]Hoja 1'!$R:$R, "&lt;"&amp;INT($CL$1+1)
)</f>
        <v>0</v>
      </c>
      <c r="CJ95" s="1">
        <f t="shared" si="143"/>
        <v>0</v>
      </c>
      <c r="CK95" s="9">
        <f t="shared" si="144"/>
        <v>0</v>
      </c>
      <c r="CL95" s="10">
        <f t="shared" si="145"/>
        <v>0</v>
      </c>
      <c r="CM95" s="1">
        <f>SUMIFS(
  '[1]Hoja 1'!$M:$M,
  '[1]Hoja 1'!$S:$S, $A95,
  '[1]Hoja 1'!$R:$R, "&gt;="&amp;INT($CO$1),
  '[1]Hoja 1'!$R:$R, "&lt;"&amp;INT($CP$1+1)
)</f>
        <v>0</v>
      </c>
      <c r="CN95" s="1">
        <f t="shared" si="146"/>
        <v>0</v>
      </c>
      <c r="CO95" s="9">
        <f t="shared" si="147"/>
        <v>0</v>
      </c>
      <c r="CP95" s="10">
        <f t="shared" si="148"/>
        <v>0</v>
      </c>
      <c r="CQ95" s="1">
        <f>SUMIFS(
  '[1]Hoja 1'!$M:$M,
  '[1]Hoja 1'!$S:$S, $A95,
  '[1]Hoja 1'!$R:$R, "&gt;="&amp;INT($CS$1),
  '[1]Hoja 1'!$R:$R, "&lt;"&amp;INT($CT$1+1)
)</f>
        <v>0</v>
      </c>
      <c r="CR95" s="1">
        <f t="shared" si="149"/>
        <v>0</v>
      </c>
      <c r="CS95" s="9">
        <f t="shared" si="150"/>
        <v>0</v>
      </c>
      <c r="CT95" s="10">
        <f t="shared" si="151"/>
        <v>0</v>
      </c>
      <c r="CU95" s="1">
        <f>SUMIFS(
  '[1]Hoja 1'!$M:$M,
  '[1]Hoja 1'!$S:$S, $A95,
  '[1]Hoja 1'!$R:$R, "&gt;="&amp;INT($CW$1),
  '[1]Hoja 1'!$R:$R, "&lt;"&amp;INT($CX$1+1)
)</f>
        <v>0</v>
      </c>
      <c r="CV95" s="1">
        <f t="shared" si="152"/>
        <v>0</v>
      </c>
      <c r="CW95" s="9">
        <f t="shared" si="153"/>
        <v>0</v>
      </c>
      <c r="CX95" s="10">
        <f t="shared" si="154"/>
        <v>0</v>
      </c>
      <c r="CY95" s="1">
        <f>SUMIFS(
  '[1]Hoja 1'!$M:$M,
  '[1]Hoja 1'!$S:$S, $A95,
  '[1]Hoja 1'!$R:$R, "&gt;="&amp;INT($DA$1),
  '[1]Hoja 1'!$R:$R, "&lt;"&amp;INT($DB$1+1)
)</f>
        <v>0</v>
      </c>
      <c r="CZ95" s="1">
        <f t="shared" si="155"/>
        <v>0</v>
      </c>
      <c r="DA95" s="9">
        <f t="shared" si="156"/>
        <v>0</v>
      </c>
      <c r="DB95" s="10">
        <f t="shared" si="157"/>
        <v>0</v>
      </c>
      <c r="DC95" s="1">
        <f>SUMIFS(
  '[1]Hoja 1'!$M:$M,
  '[1]Hoja 1'!$S:$S, $A95,
  '[1]Hoja 1'!$R:$R, "&gt;="&amp;INT($DE$1),
  '[1]Hoja 1'!$R:$R, "&lt;"&amp;INT($DF$1+1)
)</f>
        <v>0</v>
      </c>
      <c r="DD95" s="1">
        <f t="shared" si="158"/>
        <v>0</v>
      </c>
      <c r="DE95" s="9">
        <f t="shared" si="159"/>
        <v>0</v>
      </c>
      <c r="DF95" s="10">
        <f t="shared" si="160"/>
        <v>0</v>
      </c>
      <c r="DG95" s="1">
        <f>SUMIFS(
  '[1]Hoja 1'!$M:$M,
  '[1]Hoja 1'!$S:$S, $A95,
  '[1]Hoja 1'!$R:$R, "&gt;="&amp;INT($DI$1),
  '[1]Hoja 1'!$R:$R, "&lt;"&amp;INT($DJ$1+1)
)</f>
        <v>0</v>
      </c>
      <c r="DH95" s="1">
        <f t="shared" si="161"/>
        <v>0</v>
      </c>
      <c r="DI95" s="9">
        <f t="shared" si="162"/>
        <v>0</v>
      </c>
      <c r="DJ95" s="10">
        <f t="shared" si="163"/>
        <v>0</v>
      </c>
      <c r="DK95" s="1">
        <f>SUMIFS(
  '[1]Hoja 1'!$M:$M,
  '[1]Hoja 1'!$S:$S, $A95,
  '[1]Hoja 1'!$R:$R, "&gt;="&amp;INT($DM$1),
  '[1]Hoja 1'!$R:$R, "&lt;"&amp;INT($DN$1+1)
)</f>
        <v>0</v>
      </c>
      <c r="DL95" s="1">
        <f t="shared" si="164"/>
        <v>0</v>
      </c>
      <c r="DM95" s="9">
        <f t="shared" si="165"/>
        <v>0</v>
      </c>
      <c r="DN95" s="10">
        <f t="shared" si="166"/>
        <v>0</v>
      </c>
      <c r="DO95" s="1">
        <f>SUMIFS(
  '[1]Hoja 1'!$M:$M,
  '[1]Hoja 1'!$S:$S, $A95,
  '[1]Hoja 1'!$R:$R, "&gt;="&amp;INT($DQ$1),
  '[1]Hoja 1'!$R:$R, "&lt;"&amp;INT($DR$1+1)
)</f>
        <v>0</v>
      </c>
      <c r="DP95" s="1">
        <f t="shared" si="167"/>
        <v>0</v>
      </c>
      <c r="DQ95" s="9">
        <f t="shared" si="168"/>
        <v>0</v>
      </c>
      <c r="DR95" s="10">
        <f t="shared" si="169"/>
        <v>0</v>
      </c>
    </row>
    <row r="96" spans="1:122" x14ac:dyDescent="0.25">
      <c r="A96" s="5">
        <v>213030</v>
      </c>
      <c r="B96" s="6" t="s">
        <v>96</v>
      </c>
      <c r="C96" s="1">
        <f>SUMIFS(
  '[1]Hoja 1'!$M:$M,
  '[1]Hoja 1'!$S:$S, $A96,
  '[1]Hoja 1'!$R:$R, "&gt;="&amp;INT($E$1),
  '[1]Hoja 1'!$R:$R, "&lt;"&amp;INT($F$1+1)
)</f>
        <v>0</v>
      </c>
      <c r="D96" s="1" t="str">
        <f>""</f>
        <v/>
      </c>
      <c r="F96" s="2"/>
      <c r="G96" s="1">
        <f>SUMIFS(
  '[1]Hoja 1'!$M:$M,
  '[1]Hoja 1'!$S:$S, $A96,
  '[1]Hoja 1'!$R:$R, "&gt;="&amp;INT($I$1),
  '[1]Hoja 1'!$R:$R, "&lt;"&amp;INT($J$1+1)
)</f>
        <v>0</v>
      </c>
      <c r="H96" s="1">
        <f t="shared" si="85"/>
        <v>0</v>
      </c>
      <c r="I96" s="1"/>
      <c r="J96" s="2"/>
      <c r="K96" s="1">
        <f>SUMIFS(
  '[1]Hoja 1'!$M:$M,
  '[1]Hoja 1'!$S:$S, $A96,
  '[1]Hoja 1'!$R:$R, "&gt;="&amp;INT($M$1),
  '[1]Hoja 1'!$R:$R, "&lt;"&amp;INT($N$1+1)
)</f>
        <v>0</v>
      </c>
      <c r="L96" s="1">
        <f t="shared" si="86"/>
        <v>0</v>
      </c>
      <c r="M96" s="9">
        <f t="shared" si="87"/>
        <v>0</v>
      </c>
      <c r="N96" s="10">
        <f t="shared" si="88"/>
        <v>0</v>
      </c>
      <c r="O96" s="1">
        <f>SUMIFS(
  '[1]Hoja 1'!$M:$M,
  '[1]Hoja 1'!$S:$S, $A96,
  '[1]Hoja 1'!$R:$R, "&gt;="&amp;INT($Q$1),
  '[1]Hoja 1'!$R:$R, "&lt;"&amp;INT($R$1+1)
)</f>
        <v>0</v>
      </c>
      <c r="P96" s="1">
        <f t="shared" si="89"/>
        <v>0</v>
      </c>
      <c r="Q96" s="9">
        <f t="shared" si="90"/>
        <v>0</v>
      </c>
      <c r="R96" s="10">
        <f t="shared" si="91"/>
        <v>0</v>
      </c>
      <c r="S96" s="1">
        <f>SUMIFS(
  '[1]Hoja 1'!$M:$M,
  '[1]Hoja 1'!$S:$S, $A96,
  '[1]Hoja 1'!$R:$R, "&gt;="&amp;INT($U$1),
  '[1]Hoja 1'!$R:$R, "&lt;"&amp;INT($V$1+1)
)</f>
        <v>6</v>
      </c>
      <c r="T96" s="1">
        <f t="shared" si="92"/>
        <v>3</v>
      </c>
      <c r="U96" s="9">
        <f t="shared" si="93"/>
        <v>6.0000000000000053E-2</v>
      </c>
      <c r="V96" s="10">
        <f t="shared" si="94"/>
        <v>5.9399999999999995</v>
      </c>
      <c r="W96" s="1">
        <f>SUMIFS(
  '[1]Hoja 1'!$M:$M,
  '[1]Hoja 1'!$S:$S, $A96,
  '[1]Hoja 1'!$R:$R, "&gt;="&amp;INT($Y$1),
  '[1]Hoja 1'!$R:$R, "&lt;"&amp;INT($Z$1+1)
)</f>
        <v>0</v>
      </c>
      <c r="X96" s="1">
        <f t="shared" si="95"/>
        <v>3</v>
      </c>
      <c r="Y96" s="9">
        <f t="shared" si="96"/>
        <v>-1.8009998958550284</v>
      </c>
      <c r="Z96" s="10">
        <f t="shared" si="97"/>
        <v>7.8009998958550284</v>
      </c>
      <c r="AA96" s="1">
        <f>SUMIFS(
  '[1]Hoja 1'!$M:$M,
  '[1]Hoja 1'!$S:$S, $A96,
  '[1]Hoja 1'!$R:$R, "&gt;="&amp;INT($AC$1),
  '[1]Hoja 1'!$R:$R, "&lt;"&amp;INT($AD$1+1)
)</f>
        <v>0</v>
      </c>
      <c r="AB96" s="1">
        <f t="shared" si="98"/>
        <v>0</v>
      </c>
      <c r="AC96" s="9">
        <f t="shared" si="99"/>
        <v>-4.1577878733768987</v>
      </c>
      <c r="AD96" s="10">
        <f t="shared" si="100"/>
        <v>4.8009998958550284</v>
      </c>
      <c r="AE96" s="1">
        <f>SUMIFS(
  '[1]Hoja 1'!$M:$M,
  '[1]Hoja 1'!$S:$S, $A96,
  '[1]Hoja 1'!$R:$R, "&gt;="&amp;INT($AG$1),
  '[1]Hoja 1'!$R:$R, "&lt;"&amp;INT($AH$1+1)
)</f>
        <v>0</v>
      </c>
      <c r="AF96" s="1">
        <f t="shared" si="101"/>
        <v>0</v>
      </c>
      <c r="AG96" s="9">
        <f t="shared" si="102"/>
        <v>-4.1577878733768987</v>
      </c>
      <c r="AH96" s="10">
        <f t="shared" si="103"/>
        <v>4.8009998958550284</v>
      </c>
      <c r="AI96" s="1">
        <f>SUMIFS(
  '[1]Hoja 1'!$M:$M,
  '[1]Hoja 1'!$S:$S, $A96,
  '[1]Hoja 1'!$R:$R, "&gt;="&amp;INT($AK$1),
  '[1]Hoja 1'!$R:$R, "&lt;"&amp;INT($AL$1+1)
)</f>
        <v>0</v>
      </c>
      <c r="AJ96" s="1">
        <f t="shared" si="104"/>
        <v>0</v>
      </c>
      <c r="AK96" s="9">
        <f t="shared" si="105"/>
        <v>-2.6296159415397526</v>
      </c>
      <c r="AL96" s="10">
        <f t="shared" si="106"/>
        <v>2.94</v>
      </c>
      <c r="AM96" s="1">
        <f>SUMIFS(
  '[1]Hoja 1'!$M:$M,
  '[1]Hoja 1'!$S:$S, $A96,
  '[1]Hoja 1'!$R:$R, "&gt;="&amp;INT($AO$1),
  '[1]Hoja 1'!$R:$R, "&lt;"&amp;INT($AP$1+1)
)</f>
        <v>0</v>
      </c>
      <c r="AN96" s="1">
        <f t="shared" si="107"/>
        <v>0</v>
      </c>
      <c r="AO96" s="9">
        <f t="shared" si="108"/>
        <v>0</v>
      </c>
      <c r="AP96" s="10">
        <f t="shared" si="109"/>
        <v>0</v>
      </c>
      <c r="AQ96" s="1">
        <f>SUMIFS(
  '[1]Hoja 1'!$M:$M,
  '[1]Hoja 1'!$S:$S, $A96,
  '[1]Hoja 1'!$R:$R, "&gt;="&amp;INT($AS$1),
  '[1]Hoja 1'!$R:$R, "&lt;"&amp;INT($AT$1+1)
)</f>
        <v>0</v>
      </c>
      <c r="AR96" s="1">
        <f t="shared" si="110"/>
        <v>0</v>
      </c>
      <c r="AS96" s="9">
        <f t="shared" si="111"/>
        <v>0</v>
      </c>
      <c r="AT96" s="10">
        <f t="shared" si="112"/>
        <v>0</v>
      </c>
      <c r="AU96" s="1">
        <f>SUMIFS(
  '[1]Hoja 1'!$M:$M,
  '[1]Hoja 1'!$S:$S, $A96,
  '[1]Hoja 1'!$R:$R, "&gt;="&amp;INT($AW$1),
  '[1]Hoja 1'!$R:$R, "&lt;"&amp;INT($AX$1+1)
)</f>
        <v>0</v>
      </c>
      <c r="AV96" s="1">
        <f t="shared" si="113"/>
        <v>0</v>
      </c>
      <c r="AW96" s="9">
        <f t="shared" si="114"/>
        <v>0</v>
      </c>
      <c r="AX96" s="10">
        <f t="shared" si="115"/>
        <v>0</v>
      </c>
      <c r="AY96" s="1">
        <f>SUMIFS(
  '[1]Hoja 1'!$M:$M,
  '[1]Hoja 1'!$S:$S, $A96,
  '[1]Hoja 1'!$R:$R, "&gt;="&amp;INT($BA$1),
  '[1]Hoja 1'!$R:$R, "&lt;"&amp;INT($BB$1+1)
)</f>
        <v>0</v>
      </c>
      <c r="AZ96" s="1">
        <f t="shared" si="116"/>
        <v>0</v>
      </c>
      <c r="BA96" s="9">
        <f t="shared" si="117"/>
        <v>0</v>
      </c>
      <c r="BB96" s="10">
        <f t="shared" si="118"/>
        <v>0</v>
      </c>
      <c r="BC96" s="1">
        <f>SUMIFS(
  '[1]Hoja 1'!$M:$M,
  '[1]Hoja 1'!$S:$S, $A96,
  '[1]Hoja 1'!$R:$R, "&gt;="&amp;INT($BE$1),
  '[1]Hoja 1'!$R:$R, "&lt;"&amp;INT($BF$1+1)
)</f>
        <v>0</v>
      </c>
      <c r="BD96" s="1">
        <f t="shared" si="119"/>
        <v>0</v>
      </c>
      <c r="BE96" s="9">
        <f t="shared" si="120"/>
        <v>0</v>
      </c>
      <c r="BF96" s="10">
        <f t="shared" si="121"/>
        <v>0</v>
      </c>
      <c r="BG96" s="1">
        <f>SUMIFS(
  '[1]Hoja 1'!$M:$M,
  '[1]Hoja 1'!$S:$S, $A96,
  '[1]Hoja 1'!$R:$R, "&gt;="&amp;INT($BI$1),
  '[1]Hoja 1'!$R:$R, "&lt;"&amp;INT($BJ$1+1)
)</f>
        <v>0</v>
      </c>
      <c r="BH96" s="1">
        <f t="shared" si="122"/>
        <v>0</v>
      </c>
      <c r="BI96" s="9">
        <f t="shared" si="123"/>
        <v>0</v>
      </c>
      <c r="BJ96" s="10">
        <f t="shared" si="124"/>
        <v>0</v>
      </c>
      <c r="BK96" s="1">
        <f>SUMIFS(
  '[1]Hoja 1'!$M:$M,
  '[1]Hoja 1'!$S:$S, $A96,
  '[1]Hoja 1'!$R:$R, "&gt;="&amp;INT($BM$1),
  '[1]Hoja 1'!$R:$R, "&lt;"&amp;INT($BN$1+1)
)</f>
        <v>0</v>
      </c>
      <c r="BL96" s="1">
        <f t="shared" si="125"/>
        <v>0</v>
      </c>
      <c r="BM96" s="9">
        <f t="shared" si="126"/>
        <v>0</v>
      </c>
      <c r="BN96" s="10">
        <f t="shared" si="127"/>
        <v>0</v>
      </c>
      <c r="BO96" s="1">
        <f>SUMIFS(
  '[1]Hoja 1'!$M:$M,
  '[1]Hoja 1'!$S:$S, $A96,
  '[1]Hoja 1'!$R:$R, "&gt;="&amp;INT($BQ$1),
  '[1]Hoja 1'!$R:$R, "&lt;"&amp;INT($BR$1+1)
)</f>
        <v>0</v>
      </c>
      <c r="BP96" s="1">
        <f t="shared" si="128"/>
        <v>0</v>
      </c>
      <c r="BQ96" s="9">
        <f t="shared" si="129"/>
        <v>0</v>
      </c>
      <c r="BR96" s="10">
        <f t="shared" si="130"/>
        <v>0</v>
      </c>
      <c r="BS96" s="1">
        <f>SUMIFS(
  '[1]Hoja 1'!$M:$M,
  '[1]Hoja 1'!$S:$S, $A96,
  '[1]Hoja 1'!$R:$R, "&gt;="&amp;INT($BU$1),
  '[1]Hoja 1'!$R:$R, "&lt;"&amp;INT($BV$1+1)
)</f>
        <v>0</v>
      </c>
      <c r="BT96" s="1">
        <f t="shared" si="131"/>
        <v>0</v>
      </c>
      <c r="BU96" s="9">
        <f t="shared" si="132"/>
        <v>0</v>
      </c>
      <c r="BV96" s="10">
        <f t="shared" si="133"/>
        <v>0</v>
      </c>
      <c r="BW96" s="1">
        <f>SUMIFS(
  '[1]Hoja 1'!$M:$M,
  '[1]Hoja 1'!$S:$S, $A96,
  '[1]Hoja 1'!$R:$R, "&gt;="&amp;INT($BY$1),
  '[1]Hoja 1'!$R:$R, "&lt;"&amp;INT($BZ$1+1)
)</f>
        <v>0</v>
      </c>
      <c r="BX96" s="1">
        <f t="shared" si="134"/>
        <v>0</v>
      </c>
      <c r="BY96" s="9">
        <f t="shared" si="135"/>
        <v>0</v>
      </c>
      <c r="BZ96" s="10">
        <f t="shared" si="136"/>
        <v>0</v>
      </c>
      <c r="CA96" s="1">
        <f>SUMIFS(
  '[1]Hoja 1'!$M:$M,
  '[1]Hoja 1'!$S:$S, $A96,
  '[1]Hoja 1'!$R:$R, "&gt;="&amp;INT($CC$1),
  '[1]Hoja 1'!$R:$R, "&lt;"&amp;INT($CD$1+1)
)</f>
        <v>0</v>
      </c>
      <c r="CB96" s="1">
        <f t="shared" si="137"/>
        <v>0</v>
      </c>
      <c r="CC96" s="9">
        <f t="shared" si="138"/>
        <v>0</v>
      </c>
      <c r="CD96" s="10">
        <f t="shared" si="139"/>
        <v>0</v>
      </c>
      <c r="CE96" s="1">
        <f>SUMIFS(
  '[1]Hoja 1'!$M:$M,
  '[1]Hoja 1'!$S:$S, $A96,
  '[1]Hoja 1'!$R:$R, "&gt;="&amp;INT($CG$1),
  '[1]Hoja 1'!$R:$R, "&lt;"&amp;INT($CH$1+1)
)</f>
        <v>0</v>
      </c>
      <c r="CF96" s="1">
        <f t="shared" si="140"/>
        <v>0</v>
      </c>
      <c r="CG96" s="9">
        <f t="shared" si="141"/>
        <v>0</v>
      </c>
      <c r="CH96" s="10">
        <f t="shared" si="142"/>
        <v>0</v>
      </c>
      <c r="CI96" s="1">
        <f>SUMIFS(
  '[1]Hoja 1'!$M:$M,
  '[1]Hoja 1'!$S:$S, $A96,
  '[1]Hoja 1'!$R:$R, "&gt;="&amp;INT($CK$1),
  '[1]Hoja 1'!$R:$R, "&lt;"&amp;INT($CL$1+1)
)</f>
        <v>0</v>
      </c>
      <c r="CJ96" s="1">
        <f t="shared" si="143"/>
        <v>0</v>
      </c>
      <c r="CK96" s="9">
        <f t="shared" si="144"/>
        <v>0</v>
      </c>
      <c r="CL96" s="10">
        <f t="shared" si="145"/>
        <v>0</v>
      </c>
      <c r="CM96" s="1">
        <f>SUMIFS(
  '[1]Hoja 1'!$M:$M,
  '[1]Hoja 1'!$S:$S, $A96,
  '[1]Hoja 1'!$R:$R, "&gt;="&amp;INT($CO$1),
  '[1]Hoja 1'!$R:$R, "&lt;"&amp;INT($CP$1+1)
)</f>
        <v>0</v>
      </c>
      <c r="CN96" s="1">
        <f t="shared" si="146"/>
        <v>0</v>
      </c>
      <c r="CO96" s="9">
        <f t="shared" si="147"/>
        <v>0</v>
      </c>
      <c r="CP96" s="10">
        <f t="shared" si="148"/>
        <v>0</v>
      </c>
      <c r="CQ96" s="1">
        <f>SUMIFS(
  '[1]Hoja 1'!$M:$M,
  '[1]Hoja 1'!$S:$S, $A96,
  '[1]Hoja 1'!$R:$R, "&gt;="&amp;INT($CS$1),
  '[1]Hoja 1'!$R:$R, "&lt;"&amp;INT($CT$1+1)
)</f>
        <v>0</v>
      </c>
      <c r="CR96" s="1">
        <f t="shared" si="149"/>
        <v>0</v>
      </c>
      <c r="CS96" s="9">
        <f t="shared" si="150"/>
        <v>0</v>
      </c>
      <c r="CT96" s="10">
        <f t="shared" si="151"/>
        <v>0</v>
      </c>
      <c r="CU96" s="1">
        <f>SUMIFS(
  '[1]Hoja 1'!$M:$M,
  '[1]Hoja 1'!$S:$S, $A96,
  '[1]Hoja 1'!$R:$R, "&gt;="&amp;INT($CW$1),
  '[1]Hoja 1'!$R:$R, "&lt;"&amp;INT($CX$1+1)
)</f>
        <v>0</v>
      </c>
      <c r="CV96" s="1">
        <f t="shared" si="152"/>
        <v>0</v>
      </c>
      <c r="CW96" s="9">
        <f t="shared" si="153"/>
        <v>0</v>
      </c>
      <c r="CX96" s="10">
        <f t="shared" si="154"/>
        <v>0</v>
      </c>
      <c r="CY96" s="1">
        <f>SUMIFS(
  '[1]Hoja 1'!$M:$M,
  '[1]Hoja 1'!$S:$S, $A96,
  '[1]Hoja 1'!$R:$R, "&gt;="&amp;INT($DA$1),
  '[1]Hoja 1'!$R:$R, "&lt;"&amp;INT($DB$1+1)
)</f>
        <v>0</v>
      </c>
      <c r="CZ96" s="1">
        <f t="shared" si="155"/>
        <v>0</v>
      </c>
      <c r="DA96" s="9">
        <f t="shared" si="156"/>
        <v>0</v>
      </c>
      <c r="DB96" s="10">
        <f t="shared" si="157"/>
        <v>0</v>
      </c>
      <c r="DC96" s="1">
        <f>SUMIFS(
  '[1]Hoja 1'!$M:$M,
  '[1]Hoja 1'!$S:$S, $A96,
  '[1]Hoja 1'!$R:$R, "&gt;="&amp;INT($DE$1),
  '[1]Hoja 1'!$R:$R, "&lt;"&amp;INT($DF$1+1)
)</f>
        <v>0</v>
      </c>
      <c r="DD96" s="1">
        <f t="shared" si="158"/>
        <v>0</v>
      </c>
      <c r="DE96" s="9">
        <f t="shared" si="159"/>
        <v>0</v>
      </c>
      <c r="DF96" s="10">
        <f t="shared" si="160"/>
        <v>0</v>
      </c>
      <c r="DG96" s="1">
        <f>SUMIFS(
  '[1]Hoja 1'!$M:$M,
  '[1]Hoja 1'!$S:$S, $A96,
  '[1]Hoja 1'!$R:$R, "&gt;="&amp;INT($DI$1),
  '[1]Hoja 1'!$R:$R, "&lt;"&amp;INT($DJ$1+1)
)</f>
        <v>0</v>
      </c>
      <c r="DH96" s="1">
        <f t="shared" si="161"/>
        <v>0</v>
      </c>
      <c r="DI96" s="9">
        <f t="shared" si="162"/>
        <v>0</v>
      </c>
      <c r="DJ96" s="10">
        <f t="shared" si="163"/>
        <v>0</v>
      </c>
      <c r="DK96" s="1">
        <f>SUMIFS(
  '[1]Hoja 1'!$M:$M,
  '[1]Hoja 1'!$S:$S, $A96,
  '[1]Hoja 1'!$R:$R, "&gt;="&amp;INT($DM$1),
  '[1]Hoja 1'!$R:$R, "&lt;"&amp;INT($DN$1+1)
)</f>
        <v>0</v>
      </c>
      <c r="DL96" s="1">
        <f t="shared" si="164"/>
        <v>0</v>
      </c>
      <c r="DM96" s="9">
        <f t="shared" si="165"/>
        <v>0</v>
      </c>
      <c r="DN96" s="10">
        <f t="shared" si="166"/>
        <v>0</v>
      </c>
      <c r="DO96" s="1">
        <f>SUMIFS(
  '[1]Hoja 1'!$M:$M,
  '[1]Hoja 1'!$S:$S, $A96,
  '[1]Hoja 1'!$R:$R, "&gt;="&amp;INT($DQ$1),
  '[1]Hoja 1'!$R:$R, "&lt;"&amp;INT($DR$1+1)
)</f>
        <v>0</v>
      </c>
      <c r="DP96" s="1">
        <f t="shared" si="167"/>
        <v>0</v>
      </c>
      <c r="DQ96" s="9">
        <f t="shared" si="168"/>
        <v>0</v>
      </c>
      <c r="DR96" s="10">
        <f t="shared" si="169"/>
        <v>0</v>
      </c>
    </row>
    <row r="97" spans="1:122" x14ac:dyDescent="0.25">
      <c r="A97" s="5">
        <v>214001</v>
      </c>
      <c r="B97" s="6" t="s">
        <v>97</v>
      </c>
      <c r="C97" s="1">
        <f>SUMIFS(
  '[1]Hoja 1'!$M:$M,
  '[1]Hoja 1'!$S:$S, $A97,
  '[1]Hoja 1'!$R:$R, "&gt;="&amp;INT($E$1),
  '[1]Hoja 1'!$R:$R, "&lt;"&amp;INT($F$1+1)
)</f>
        <v>0</v>
      </c>
      <c r="D97" s="1" t="str">
        <f>""</f>
        <v/>
      </c>
      <c r="F97" s="2"/>
      <c r="G97" s="1">
        <f>SUMIFS(
  '[1]Hoja 1'!$M:$M,
  '[1]Hoja 1'!$S:$S, $A97,
  '[1]Hoja 1'!$R:$R, "&gt;="&amp;INT($I$1),
  '[1]Hoja 1'!$R:$R, "&lt;"&amp;INT($J$1+1)
)</f>
        <v>0</v>
      </c>
      <c r="H97" s="1">
        <f t="shared" si="85"/>
        <v>0</v>
      </c>
      <c r="I97" s="1"/>
      <c r="J97" s="2"/>
      <c r="K97" s="1">
        <f>SUMIFS(
  '[1]Hoja 1'!$M:$M,
  '[1]Hoja 1'!$S:$S, $A97,
  '[1]Hoja 1'!$R:$R, "&gt;="&amp;INT($M$1),
  '[1]Hoja 1'!$R:$R, "&lt;"&amp;INT($N$1+1)
)</f>
        <v>0</v>
      </c>
      <c r="L97" s="1">
        <f t="shared" si="86"/>
        <v>0</v>
      </c>
      <c r="M97" s="9">
        <f t="shared" si="87"/>
        <v>0</v>
      </c>
      <c r="N97" s="10">
        <f t="shared" si="88"/>
        <v>0</v>
      </c>
      <c r="O97" s="1">
        <f>SUMIFS(
  '[1]Hoja 1'!$M:$M,
  '[1]Hoja 1'!$S:$S, $A97,
  '[1]Hoja 1'!$R:$R, "&gt;="&amp;INT($Q$1),
  '[1]Hoja 1'!$R:$R, "&lt;"&amp;INT($R$1+1)
)</f>
        <v>0</v>
      </c>
      <c r="P97" s="1">
        <f t="shared" si="89"/>
        <v>0</v>
      </c>
      <c r="Q97" s="9">
        <f t="shared" si="90"/>
        <v>0</v>
      </c>
      <c r="R97" s="10">
        <f t="shared" si="91"/>
        <v>0</v>
      </c>
      <c r="S97" s="1">
        <f>SUMIFS(
  '[1]Hoja 1'!$M:$M,
  '[1]Hoja 1'!$S:$S, $A97,
  '[1]Hoja 1'!$R:$R, "&gt;="&amp;INT($U$1),
  '[1]Hoja 1'!$R:$R, "&lt;"&amp;INT($V$1+1)
)</f>
        <v>0</v>
      </c>
      <c r="T97" s="1">
        <f t="shared" si="92"/>
        <v>0</v>
      </c>
      <c r="U97" s="9">
        <f t="shared" si="93"/>
        <v>0</v>
      </c>
      <c r="V97" s="10">
        <f t="shared" si="94"/>
        <v>0</v>
      </c>
      <c r="W97" s="1">
        <f>SUMIFS(
  '[1]Hoja 1'!$M:$M,
  '[1]Hoja 1'!$S:$S, $A97,
  '[1]Hoja 1'!$R:$R, "&gt;="&amp;INT($Y$1),
  '[1]Hoja 1'!$R:$R, "&lt;"&amp;INT($Z$1+1)
)</f>
        <v>0</v>
      </c>
      <c r="X97" s="1">
        <f t="shared" si="95"/>
        <v>0</v>
      </c>
      <c r="Y97" s="9">
        <f t="shared" si="96"/>
        <v>0</v>
      </c>
      <c r="Z97" s="10">
        <f t="shared" si="97"/>
        <v>0</v>
      </c>
      <c r="AA97" s="1">
        <f>SUMIFS(
  '[1]Hoja 1'!$M:$M,
  '[1]Hoja 1'!$S:$S, $A97,
  '[1]Hoja 1'!$R:$R, "&gt;="&amp;INT($AC$1),
  '[1]Hoja 1'!$R:$R, "&lt;"&amp;INT($AD$1+1)
)</f>
        <v>0</v>
      </c>
      <c r="AB97" s="1">
        <f t="shared" si="98"/>
        <v>0</v>
      </c>
      <c r="AC97" s="9">
        <f t="shared" si="99"/>
        <v>0</v>
      </c>
      <c r="AD97" s="10">
        <f t="shared" si="100"/>
        <v>0</v>
      </c>
      <c r="AE97" s="1">
        <f>SUMIFS(
  '[1]Hoja 1'!$M:$M,
  '[1]Hoja 1'!$S:$S, $A97,
  '[1]Hoja 1'!$R:$R, "&gt;="&amp;INT($AG$1),
  '[1]Hoja 1'!$R:$R, "&lt;"&amp;INT($AH$1+1)
)</f>
        <v>0</v>
      </c>
      <c r="AF97" s="1">
        <f t="shared" si="101"/>
        <v>0</v>
      </c>
      <c r="AG97" s="9">
        <f t="shared" si="102"/>
        <v>0</v>
      </c>
      <c r="AH97" s="10">
        <f t="shared" si="103"/>
        <v>0</v>
      </c>
      <c r="AI97" s="1">
        <f>SUMIFS(
  '[1]Hoja 1'!$M:$M,
  '[1]Hoja 1'!$S:$S, $A97,
  '[1]Hoja 1'!$R:$R, "&gt;="&amp;INT($AK$1),
  '[1]Hoja 1'!$R:$R, "&lt;"&amp;INT($AL$1+1)
)</f>
        <v>0</v>
      </c>
      <c r="AJ97" s="1">
        <f t="shared" si="104"/>
        <v>0</v>
      </c>
      <c r="AK97" s="9">
        <f t="shared" si="105"/>
        <v>0</v>
      </c>
      <c r="AL97" s="10">
        <f t="shared" si="106"/>
        <v>0</v>
      </c>
      <c r="AM97" s="1">
        <f>SUMIFS(
  '[1]Hoja 1'!$M:$M,
  '[1]Hoja 1'!$S:$S, $A97,
  '[1]Hoja 1'!$R:$R, "&gt;="&amp;INT($AO$1),
  '[1]Hoja 1'!$R:$R, "&lt;"&amp;INT($AP$1+1)
)</f>
        <v>0</v>
      </c>
      <c r="AN97" s="1">
        <f t="shared" si="107"/>
        <v>0</v>
      </c>
      <c r="AO97" s="9">
        <f t="shared" si="108"/>
        <v>0</v>
      </c>
      <c r="AP97" s="10">
        <f t="shared" si="109"/>
        <v>0</v>
      </c>
      <c r="AQ97" s="1">
        <f>SUMIFS(
  '[1]Hoja 1'!$M:$M,
  '[1]Hoja 1'!$S:$S, $A97,
  '[1]Hoja 1'!$R:$R, "&gt;="&amp;INT($AS$1),
  '[1]Hoja 1'!$R:$R, "&lt;"&amp;INT($AT$1+1)
)</f>
        <v>0</v>
      </c>
      <c r="AR97" s="1">
        <f t="shared" si="110"/>
        <v>0</v>
      </c>
      <c r="AS97" s="9">
        <f t="shared" si="111"/>
        <v>0</v>
      </c>
      <c r="AT97" s="10">
        <f t="shared" si="112"/>
        <v>0</v>
      </c>
      <c r="AU97" s="1">
        <f>SUMIFS(
  '[1]Hoja 1'!$M:$M,
  '[1]Hoja 1'!$S:$S, $A97,
  '[1]Hoja 1'!$R:$R, "&gt;="&amp;INT($AW$1),
  '[1]Hoja 1'!$R:$R, "&lt;"&amp;INT($AX$1+1)
)</f>
        <v>0</v>
      </c>
      <c r="AV97" s="1">
        <f t="shared" si="113"/>
        <v>0</v>
      </c>
      <c r="AW97" s="9">
        <f t="shared" si="114"/>
        <v>0</v>
      </c>
      <c r="AX97" s="10">
        <f t="shared" si="115"/>
        <v>0</v>
      </c>
      <c r="AY97" s="1">
        <f>SUMIFS(
  '[1]Hoja 1'!$M:$M,
  '[1]Hoja 1'!$S:$S, $A97,
  '[1]Hoja 1'!$R:$R, "&gt;="&amp;INT($BA$1),
  '[1]Hoja 1'!$R:$R, "&lt;"&amp;INT($BB$1+1)
)</f>
        <v>0</v>
      </c>
      <c r="AZ97" s="1">
        <f t="shared" si="116"/>
        <v>0</v>
      </c>
      <c r="BA97" s="9">
        <f t="shared" si="117"/>
        <v>0</v>
      </c>
      <c r="BB97" s="10">
        <f t="shared" si="118"/>
        <v>0</v>
      </c>
      <c r="BC97" s="1">
        <f>SUMIFS(
  '[1]Hoja 1'!$M:$M,
  '[1]Hoja 1'!$S:$S, $A97,
  '[1]Hoja 1'!$R:$R, "&gt;="&amp;INT($BE$1),
  '[1]Hoja 1'!$R:$R, "&lt;"&amp;INT($BF$1+1)
)</f>
        <v>0</v>
      </c>
      <c r="BD97" s="1">
        <f t="shared" si="119"/>
        <v>0</v>
      </c>
      <c r="BE97" s="9">
        <f t="shared" si="120"/>
        <v>0</v>
      </c>
      <c r="BF97" s="10">
        <f t="shared" si="121"/>
        <v>0</v>
      </c>
      <c r="BG97" s="1">
        <f>SUMIFS(
  '[1]Hoja 1'!$M:$M,
  '[1]Hoja 1'!$S:$S, $A97,
  '[1]Hoja 1'!$R:$R, "&gt;="&amp;INT($BI$1),
  '[1]Hoja 1'!$R:$R, "&lt;"&amp;INT($BJ$1+1)
)</f>
        <v>0</v>
      </c>
      <c r="BH97" s="1">
        <f t="shared" si="122"/>
        <v>0</v>
      </c>
      <c r="BI97" s="9">
        <f t="shared" si="123"/>
        <v>0</v>
      </c>
      <c r="BJ97" s="10">
        <f t="shared" si="124"/>
        <v>0</v>
      </c>
      <c r="BK97" s="1">
        <f>SUMIFS(
  '[1]Hoja 1'!$M:$M,
  '[1]Hoja 1'!$S:$S, $A97,
  '[1]Hoja 1'!$R:$R, "&gt;="&amp;INT($BM$1),
  '[1]Hoja 1'!$R:$R, "&lt;"&amp;INT($BN$1+1)
)</f>
        <v>0</v>
      </c>
      <c r="BL97" s="1">
        <f t="shared" si="125"/>
        <v>0</v>
      </c>
      <c r="BM97" s="9">
        <f t="shared" si="126"/>
        <v>0</v>
      </c>
      <c r="BN97" s="10">
        <f t="shared" si="127"/>
        <v>0</v>
      </c>
      <c r="BO97" s="1">
        <f>SUMIFS(
  '[1]Hoja 1'!$M:$M,
  '[1]Hoja 1'!$S:$S, $A97,
  '[1]Hoja 1'!$R:$R, "&gt;="&amp;INT($BQ$1),
  '[1]Hoja 1'!$R:$R, "&lt;"&amp;INT($BR$1+1)
)</f>
        <v>0</v>
      </c>
      <c r="BP97" s="1">
        <f t="shared" si="128"/>
        <v>0</v>
      </c>
      <c r="BQ97" s="9">
        <f t="shared" si="129"/>
        <v>0</v>
      </c>
      <c r="BR97" s="10">
        <f t="shared" si="130"/>
        <v>0</v>
      </c>
      <c r="BS97" s="1">
        <f>SUMIFS(
  '[1]Hoja 1'!$M:$M,
  '[1]Hoja 1'!$S:$S, $A97,
  '[1]Hoja 1'!$R:$R, "&gt;="&amp;INT($BU$1),
  '[1]Hoja 1'!$R:$R, "&lt;"&amp;INT($BV$1+1)
)</f>
        <v>0</v>
      </c>
      <c r="BT97" s="1">
        <f t="shared" si="131"/>
        <v>0</v>
      </c>
      <c r="BU97" s="9">
        <f t="shared" si="132"/>
        <v>0</v>
      </c>
      <c r="BV97" s="10">
        <f t="shared" si="133"/>
        <v>0</v>
      </c>
      <c r="BW97" s="1">
        <f>SUMIFS(
  '[1]Hoja 1'!$M:$M,
  '[1]Hoja 1'!$S:$S, $A97,
  '[1]Hoja 1'!$R:$R, "&gt;="&amp;INT($BY$1),
  '[1]Hoja 1'!$R:$R, "&lt;"&amp;INT($BZ$1+1)
)</f>
        <v>0</v>
      </c>
      <c r="BX97" s="1">
        <f t="shared" si="134"/>
        <v>0</v>
      </c>
      <c r="BY97" s="9">
        <f t="shared" si="135"/>
        <v>0</v>
      </c>
      <c r="BZ97" s="10">
        <f t="shared" si="136"/>
        <v>0</v>
      </c>
      <c r="CA97" s="1">
        <f>SUMIFS(
  '[1]Hoja 1'!$M:$M,
  '[1]Hoja 1'!$S:$S, $A97,
  '[1]Hoja 1'!$R:$R, "&gt;="&amp;INT($CC$1),
  '[1]Hoja 1'!$R:$R, "&lt;"&amp;INT($CD$1+1)
)</f>
        <v>0</v>
      </c>
      <c r="CB97" s="1">
        <f t="shared" si="137"/>
        <v>0</v>
      </c>
      <c r="CC97" s="9">
        <f t="shared" si="138"/>
        <v>0</v>
      </c>
      <c r="CD97" s="10">
        <f t="shared" si="139"/>
        <v>0</v>
      </c>
      <c r="CE97" s="1">
        <f>SUMIFS(
  '[1]Hoja 1'!$M:$M,
  '[1]Hoja 1'!$S:$S, $A97,
  '[1]Hoja 1'!$R:$R, "&gt;="&amp;INT($CG$1),
  '[1]Hoja 1'!$R:$R, "&lt;"&amp;INT($CH$1+1)
)</f>
        <v>0</v>
      </c>
      <c r="CF97" s="1">
        <f t="shared" si="140"/>
        <v>0</v>
      </c>
      <c r="CG97" s="9">
        <f t="shared" si="141"/>
        <v>0</v>
      </c>
      <c r="CH97" s="10">
        <f t="shared" si="142"/>
        <v>0</v>
      </c>
      <c r="CI97" s="1">
        <f>SUMIFS(
  '[1]Hoja 1'!$M:$M,
  '[1]Hoja 1'!$S:$S, $A97,
  '[1]Hoja 1'!$R:$R, "&gt;="&amp;INT($CK$1),
  '[1]Hoja 1'!$R:$R, "&lt;"&amp;INT($CL$1+1)
)</f>
        <v>0</v>
      </c>
      <c r="CJ97" s="1">
        <f t="shared" si="143"/>
        <v>0</v>
      </c>
      <c r="CK97" s="9">
        <f t="shared" si="144"/>
        <v>0</v>
      </c>
      <c r="CL97" s="10">
        <f t="shared" si="145"/>
        <v>0</v>
      </c>
      <c r="CM97" s="1">
        <f>SUMIFS(
  '[1]Hoja 1'!$M:$M,
  '[1]Hoja 1'!$S:$S, $A97,
  '[1]Hoja 1'!$R:$R, "&gt;="&amp;INT($CO$1),
  '[1]Hoja 1'!$R:$R, "&lt;"&amp;INT($CP$1+1)
)</f>
        <v>0</v>
      </c>
      <c r="CN97" s="1">
        <f t="shared" si="146"/>
        <v>0</v>
      </c>
      <c r="CO97" s="9">
        <f t="shared" si="147"/>
        <v>0</v>
      </c>
      <c r="CP97" s="10">
        <f t="shared" si="148"/>
        <v>0</v>
      </c>
      <c r="CQ97" s="1">
        <f>SUMIFS(
  '[1]Hoja 1'!$M:$M,
  '[1]Hoja 1'!$S:$S, $A97,
  '[1]Hoja 1'!$R:$R, "&gt;="&amp;INT($CS$1),
  '[1]Hoja 1'!$R:$R, "&lt;"&amp;INT($CT$1+1)
)</f>
        <v>0</v>
      </c>
      <c r="CR97" s="1">
        <f t="shared" si="149"/>
        <v>0</v>
      </c>
      <c r="CS97" s="9">
        <f t="shared" si="150"/>
        <v>0</v>
      </c>
      <c r="CT97" s="10">
        <f t="shared" si="151"/>
        <v>0</v>
      </c>
      <c r="CU97" s="1">
        <f>SUMIFS(
  '[1]Hoja 1'!$M:$M,
  '[1]Hoja 1'!$S:$S, $A97,
  '[1]Hoja 1'!$R:$R, "&gt;="&amp;INT($CW$1),
  '[1]Hoja 1'!$R:$R, "&lt;"&amp;INT($CX$1+1)
)</f>
        <v>0</v>
      </c>
      <c r="CV97" s="1">
        <f t="shared" si="152"/>
        <v>0</v>
      </c>
      <c r="CW97" s="9">
        <f t="shared" si="153"/>
        <v>0</v>
      </c>
      <c r="CX97" s="10">
        <f t="shared" si="154"/>
        <v>0</v>
      </c>
      <c r="CY97" s="1">
        <f>SUMIFS(
  '[1]Hoja 1'!$M:$M,
  '[1]Hoja 1'!$S:$S, $A97,
  '[1]Hoja 1'!$R:$R, "&gt;="&amp;INT($DA$1),
  '[1]Hoja 1'!$R:$R, "&lt;"&amp;INT($DB$1+1)
)</f>
        <v>0</v>
      </c>
      <c r="CZ97" s="1">
        <f t="shared" si="155"/>
        <v>0</v>
      </c>
      <c r="DA97" s="9">
        <f t="shared" si="156"/>
        <v>0</v>
      </c>
      <c r="DB97" s="10">
        <f t="shared" si="157"/>
        <v>0</v>
      </c>
      <c r="DC97" s="1">
        <f>SUMIFS(
  '[1]Hoja 1'!$M:$M,
  '[1]Hoja 1'!$S:$S, $A97,
  '[1]Hoja 1'!$R:$R, "&gt;="&amp;INT($DE$1),
  '[1]Hoja 1'!$R:$R, "&lt;"&amp;INT($DF$1+1)
)</f>
        <v>0</v>
      </c>
      <c r="DD97" s="1">
        <f t="shared" si="158"/>
        <v>0</v>
      </c>
      <c r="DE97" s="9">
        <f t="shared" si="159"/>
        <v>0</v>
      </c>
      <c r="DF97" s="10">
        <f t="shared" si="160"/>
        <v>0</v>
      </c>
      <c r="DG97" s="1">
        <f>SUMIFS(
  '[1]Hoja 1'!$M:$M,
  '[1]Hoja 1'!$S:$S, $A97,
  '[1]Hoja 1'!$R:$R, "&gt;="&amp;INT($DI$1),
  '[1]Hoja 1'!$R:$R, "&lt;"&amp;INT($DJ$1+1)
)</f>
        <v>0</v>
      </c>
      <c r="DH97" s="1">
        <f t="shared" si="161"/>
        <v>0</v>
      </c>
      <c r="DI97" s="9">
        <f t="shared" si="162"/>
        <v>0</v>
      </c>
      <c r="DJ97" s="10">
        <f t="shared" si="163"/>
        <v>0</v>
      </c>
      <c r="DK97" s="1">
        <f>SUMIFS(
  '[1]Hoja 1'!$M:$M,
  '[1]Hoja 1'!$S:$S, $A97,
  '[1]Hoja 1'!$R:$R, "&gt;="&amp;INT($DM$1),
  '[1]Hoja 1'!$R:$R, "&lt;"&amp;INT($DN$1+1)
)</f>
        <v>0</v>
      </c>
      <c r="DL97" s="1">
        <f t="shared" si="164"/>
        <v>0</v>
      </c>
      <c r="DM97" s="9">
        <f t="shared" si="165"/>
        <v>0</v>
      </c>
      <c r="DN97" s="10">
        <f t="shared" si="166"/>
        <v>0</v>
      </c>
      <c r="DO97" s="1">
        <f>SUMIFS(
  '[1]Hoja 1'!$M:$M,
  '[1]Hoja 1'!$S:$S, $A97,
  '[1]Hoja 1'!$R:$R, "&gt;="&amp;INT($DQ$1),
  '[1]Hoja 1'!$R:$R, "&lt;"&amp;INT($DR$1+1)
)</f>
        <v>0</v>
      </c>
      <c r="DP97" s="1">
        <f t="shared" si="167"/>
        <v>0</v>
      </c>
      <c r="DQ97" s="9">
        <f t="shared" si="168"/>
        <v>0</v>
      </c>
      <c r="DR97" s="10">
        <f t="shared" si="169"/>
        <v>0</v>
      </c>
    </row>
    <row r="98" spans="1:122" x14ac:dyDescent="0.25">
      <c r="A98" s="5">
        <v>214002</v>
      </c>
      <c r="B98" s="6" t="s">
        <v>98</v>
      </c>
      <c r="C98" s="1">
        <f>SUMIFS(
  '[1]Hoja 1'!$M:$M,
  '[1]Hoja 1'!$S:$S, $A98,
  '[1]Hoja 1'!$R:$R, "&gt;="&amp;INT($E$1),
  '[1]Hoja 1'!$R:$R, "&lt;"&amp;INT($F$1+1)
)</f>
        <v>0</v>
      </c>
      <c r="D98" s="1" t="str">
        <f>""</f>
        <v/>
      </c>
      <c r="F98" s="2"/>
      <c r="G98" s="1">
        <f>SUMIFS(
  '[1]Hoja 1'!$M:$M,
  '[1]Hoja 1'!$S:$S, $A98,
  '[1]Hoja 1'!$R:$R, "&gt;="&amp;INT($I$1),
  '[1]Hoja 1'!$R:$R, "&lt;"&amp;INT($J$1+1)
)</f>
        <v>1</v>
      </c>
      <c r="H98" s="1">
        <f t="shared" si="85"/>
        <v>0.5</v>
      </c>
      <c r="I98" s="1"/>
      <c r="J98" s="2"/>
      <c r="K98" s="1">
        <f>SUMIFS(
  '[1]Hoja 1'!$M:$M,
  '[1]Hoja 1'!$S:$S, $A98,
  '[1]Hoja 1'!$R:$R, "&gt;="&amp;INT($M$1),
  '[1]Hoja 1'!$R:$R, "&lt;"&amp;INT($N$1+1)
)</f>
        <v>0</v>
      </c>
      <c r="L98" s="1">
        <f t="shared" si="86"/>
        <v>0.5</v>
      </c>
      <c r="M98" s="9">
        <f t="shared" si="87"/>
        <v>-0.88592929112563312</v>
      </c>
      <c r="N98" s="10">
        <f t="shared" si="88"/>
        <v>1.8859292911256331</v>
      </c>
      <c r="O98" s="1">
        <f>SUMIFS(
  '[1]Hoja 1'!$M:$M,
  '[1]Hoja 1'!$S:$S, $A98,
  '[1]Hoja 1'!$R:$R, "&gt;="&amp;INT($Q$1),
  '[1]Hoja 1'!$R:$R, "&lt;"&amp;INT($R$1+1)
)</f>
        <v>0</v>
      </c>
      <c r="P98" s="1">
        <f t="shared" si="89"/>
        <v>0</v>
      </c>
      <c r="Q98" s="9">
        <f t="shared" si="90"/>
        <v>-0.48</v>
      </c>
      <c r="R98" s="10">
        <f t="shared" si="91"/>
        <v>1.48</v>
      </c>
      <c r="S98" s="1">
        <f>SUMIFS(
  '[1]Hoja 1'!$M:$M,
  '[1]Hoja 1'!$S:$S, $A98,
  '[1]Hoja 1'!$R:$R, "&gt;="&amp;INT($U$1),
  '[1]Hoja 1'!$R:$R, "&lt;"&amp;INT($V$1+1)
)</f>
        <v>0</v>
      </c>
      <c r="T98" s="1">
        <f t="shared" si="92"/>
        <v>0</v>
      </c>
      <c r="U98" s="9">
        <f t="shared" si="93"/>
        <v>-0.80016664930917147</v>
      </c>
      <c r="V98" s="10">
        <f t="shared" si="94"/>
        <v>0.80016664930917147</v>
      </c>
      <c r="W98" s="1">
        <f>SUMIFS(
  '[1]Hoja 1'!$M:$M,
  '[1]Hoja 1'!$S:$S, $A98,
  '[1]Hoja 1'!$R:$R, "&gt;="&amp;INT($Y$1),
  '[1]Hoja 1'!$R:$R, "&lt;"&amp;INT($Z$1+1)
)</f>
        <v>0</v>
      </c>
      <c r="X98" s="1">
        <f t="shared" si="95"/>
        <v>0</v>
      </c>
      <c r="Y98" s="9">
        <f t="shared" si="96"/>
        <v>-0.49</v>
      </c>
      <c r="Z98" s="10">
        <f t="shared" si="97"/>
        <v>0.49</v>
      </c>
      <c r="AA98" s="1">
        <f>SUMIFS(
  '[1]Hoja 1'!$M:$M,
  '[1]Hoja 1'!$S:$S, $A98,
  '[1]Hoja 1'!$R:$R, "&gt;="&amp;INT($AC$1),
  '[1]Hoja 1'!$R:$R, "&lt;"&amp;INT($AD$1+1)
)</f>
        <v>0</v>
      </c>
      <c r="AB98" s="1">
        <f t="shared" si="98"/>
        <v>0</v>
      </c>
      <c r="AC98" s="9">
        <f t="shared" si="99"/>
        <v>0</v>
      </c>
      <c r="AD98" s="10">
        <f t="shared" si="100"/>
        <v>0</v>
      </c>
      <c r="AE98" s="1">
        <f>SUMIFS(
  '[1]Hoja 1'!$M:$M,
  '[1]Hoja 1'!$S:$S, $A98,
  '[1]Hoja 1'!$R:$R, "&gt;="&amp;INT($AG$1),
  '[1]Hoja 1'!$R:$R, "&lt;"&amp;INT($AH$1+1)
)</f>
        <v>0</v>
      </c>
      <c r="AF98" s="1">
        <f t="shared" si="101"/>
        <v>0</v>
      </c>
      <c r="AG98" s="9">
        <f t="shared" si="102"/>
        <v>0</v>
      </c>
      <c r="AH98" s="10">
        <f t="shared" si="103"/>
        <v>0</v>
      </c>
      <c r="AI98" s="1">
        <f>SUMIFS(
  '[1]Hoja 1'!$M:$M,
  '[1]Hoja 1'!$S:$S, $A98,
  '[1]Hoja 1'!$R:$R, "&gt;="&amp;INT($AK$1),
  '[1]Hoja 1'!$R:$R, "&lt;"&amp;INT($AL$1+1)
)</f>
        <v>0</v>
      </c>
      <c r="AJ98" s="1">
        <f t="shared" si="104"/>
        <v>0</v>
      </c>
      <c r="AK98" s="9">
        <f t="shared" si="105"/>
        <v>0</v>
      </c>
      <c r="AL98" s="10">
        <f t="shared" si="106"/>
        <v>0</v>
      </c>
      <c r="AM98" s="1">
        <f>SUMIFS(
  '[1]Hoja 1'!$M:$M,
  '[1]Hoja 1'!$S:$S, $A98,
  '[1]Hoja 1'!$R:$R, "&gt;="&amp;INT($AO$1),
  '[1]Hoja 1'!$R:$R, "&lt;"&amp;INT($AP$1+1)
)</f>
        <v>0</v>
      </c>
      <c r="AN98" s="1">
        <f t="shared" si="107"/>
        <v>0</v>
      </c>
      <c r="AO98" s="9">
        <f t="shared" si="108"/>
        <v>0</v>
      </c>
      <c r="AP98" s="10">
        <f t="shared" si="109"/>
        <v>0</v>
      </c>
      <c r="AQ98" s="1">
        <f>SUMIFS(
  '[1]Hoja 1'!$M:$M,
  '[1]Hoja 1'!$S:$S, $A98,
  '[1]Hoja 1'!$R:$R, "&gt;="&amp;INT($AS$1),
  '[1]Hoja 1'!$R:$R, "&lt;"&amp;INT($AT$1+1)
)</f>
        <v>0</v>
      </c>
      <c r="AR98" s="1">
        <f t="shared" si="110"/>
        <v>0</v>
      </c>
      <c r="AS98" s="9">
        <f t="shared" si="111"/>
        <v>0</v>
      </c>
      <c r="AT98" s="10">
        <f t="shared" si="112"/>
        <v>0</v>
      </c>
      <c r="AU98" s="1">
        <f>SUMIFS(
  '[1]Hoja 1'!$M:$M,
  '[1]Hoja 1'!$S:$S, $A98,
  '[1]Hoja 1'!$R:$R, "&gt;="&amp;INT($AW$1),
  '[1]Hoja 1'!$R:$R, "&lt;"&amp;INT($AX$1+1)
)</f>
        <v>0</v>
      </c>
      <c r="AV98" s="1">
        <f t="shared" si="113"/>
        <v>0</v>
      </c>
      <c r="AW98" s="9">
        <f t="shared" si="114"/>
        <v>0</v>
      </c>
      <c r="AX98" s="10">
        <f t="shared" si="115"/>
        <v>0</v>
      </c>
      <c r="AY98" s="1">
        <f>SUMIFS(
  '[1]Hoja 1'!$M:$M,
  '[1]Hoja 1'!$S:$S, $A98,
  '[1]Hoja 1'!$R:$R, "&gt;="&amp;INT($BA$1),
  '[1]Hoja 1'!$R:$R, "&lt;"&amp;INT($BB$1+1)
)</f>
        <v>0</v>
      </c>
      <c r="AZ98" s="1">
        <f t="shared" si="116"/>
        <v>0</v>
      </c>
      <c r="BA98" s="9">
        <f t="shared" si="117"/>
        <v>0</v>
      </c>
      <c r="BB98" s="10">
        <f t="shared" si="118"/>
        <v>0</v>
      </c>
      <c r="BC98" s="1">
        <f>SUMIFS(
  '[1]Hoja 1'!$M:$M,
  '[1]Hoja 1'!$S:$S, $A98,
  '[1]Hoja 1'!$R:$R, "&gt;="&amp;INT($BE$1),
  '[1]Hoja 1'!$R:$R, "&lt;"&amp;INT($BF$1+1)
)</f>
        <v>0</v>
      </c>
      <c r="BD98" s="1">
        <f t="shared" si="119"/>
        <v>0</v>
      </c>
      <c r="BE98" s="9">
        <f t="shared" si="120"/>
        <v>0</v>
      </c>
      <c r="BF98" s="10">
        <f t="shared" si="121"/>
        <v>0</v>
      </c>
      <c r="BG98" s="1">
        <f>SUMIFS(
  '[1]Hoja 1'!$M:$M,
  '[1]Hoja 1'!$S:$S, $A98,
  '[1]Hoja 1'!$R:$R, "&gt;="&amp;INT($BI$1),
  '[1]Hoja 1'!$R:$R, "&lt;"&amp;INT($BJ$1+1)
)</f>
        <v>0</v>
      </c>
      <c r="BH98" s="1">
        <f t="shared" si="122"/>
        <v>0</v>
      </c>
      <c r="BI98" s="9">
        <f t="shared" si="123"/>
        <v>0</v>
      </c>
      <c r="BJ98" s="10">
        <f t="shared" si="124"/>
        <v>0</v>
      </c>
      <c r="BK98" s="1">
        <f>SUMIFS(
  '[1]Hoja 1'!$M:$M,
  '[1]Hoja 1'!$S:$S, $A98,
  '[1]Hoja 1'!$R:$R, "&gt;="&amp;INT($BM$1),
  '[1]Hoja 1'!$R:$R, "&lt;"&amp;INT($BN$1+1)
)</f>
        <v>0</v>
      </c>
      <c r="BL98" s="1">
        <f t="shared" si="125"/>
        <v>0</v>
      </c>
      <c r="BM98" s="9">
        <f t="shared" si="126"/>
        <v>0</v>
      </c>
      <c r="BN98" s="10">
        <f t="shared" si="127"/>
        <v>0</v>
      </c>
      <c r="BO98" s="1">
        <f>SUMIFS(
  '[1]Hoja 1'!$M:$M,
  '[1]Hoja 1'!$S:$S, $A98,
  '[1]Hoja 1'!$R:$R, "&gt;="&amp;INT($BQ$1),
  '[1]Hoja 1'!$R:$R, "&lt;"&amp;INT($BR$1+1)
)</f>
        <v>0</v>
      </c>
      <c r="BP98" s="1">
        <f t="shared" si="128"/>
        <v>0</v>
      </c>
      <c r="BQ98" s="9">
        <f t="shared" si="129"/>
        <v>0</v>
      </c>
      <c r="BR98" s="10">
        <f t="shared" si="130"/>
        <v>0</v>
      </c>
      <c r="BS98" s="1">
        <f>SUMIFS(
  '[1]Hoja 1'!$M:$M,
  '[1]Hoja 1'!$S:$S, $A98,
  '[1]Hoja 1'!$R:$R, "&gt;="&amp;INT($BU$1),
  '[1]Hoja 1'!$R:$R, "&lt;"&amp;INT($BV$1+1)
)</f>
        <v>0</v>
      </c>
      <c r="BT98" s="1">
        <f t="shared" si="131"/>
        <v>0</v>
      </c>
      <c r="BU98" s="9">
        <f t="shared" si="132"/>
        <v>0</v>
      </c>
      <c r="BV98" s="10">
        <f t="shared" si="133"/>
        <v>0</v>
      </c>
      <c r="BW98" s="1">
        <f>SUMIFS(
  '[1]Hoja 1'!$M:$M,
  '[1]Hoja 1'!$S:$S, $A98,
  '[1]Hoja 1'!$R:$R, "&gt;="&amp;INT($BY$1),
  '[1]Hoja 1'!$R:$R, "&lt;"&amp;INT($BZ$1+1)
)</f>
        <v>0</v>
      </c>
      <c r="BX98" s="1">
        <f t="shared" si="134"/>
        <v>0</v>
      </c>
      <c r="BY98" s="9">
        <f t="shared" si="135"/>
        <v>0</v>
      </c>
      <c r="BZ98" s="10">
        <f t="shared" si="136"/>
        <v>0</v>
      </c>
      <c r="CA98" s="1">
        <f>SUMIFS(
  '[1]Hoja 1'!$M:$M,
  '[1]Hoja 1'!$S:$S, $A98,
  '[1]Hoja 1'!$R:$R, "&gt;="&amp;INT($CC$1),
  '[1]Hoja 1'!$R:$R, "&lt;"&amp;INT($CD$1+1)
)</f>
        <v>0</v>
      </c>
      <c r="CB98" s="1">
        <f t="shared" si="137"/>
        <v>0</v>
      </c>
      <c r="CC98" s="9">
        <f t="shared" si="138"/>
        <v>0</v>
      </c>
      <c r="CD98" s="10">
        <f t="shared" si="139"/>
        <v>0</v>
      </c>
      <c r="CE98" s="1">
        <f>SUMIFS(
  '[1]Hoja 1'!$M:$M,
  '[1]Hoja 1'!$S:$S, $A98,
  '[1]Hoja 1'!$R:$R, "&gt;="&amp;INT($CG$1),
  '[1]Hoja 1'!$R:$R, "&lt;"&amp;INT($CH$1+1)
)</f>
        <v>0</v>
      </c>
      <c r="CF98" s="1">
        <f t="shared" si="140"/>
        <v>0</v>
      </c>
      <c r="CG98" s="9">
        <f t="shared" si="141"/>
        <v>0</v>
      </c>
      <c r="CH98" s="10">
        <f t="shared" si="142"/>
        <v>0</v>
      </c>
      <c r="CI98" s="1">
        <f>SUMIFS(
  '[1]Hoja 1'!$M:$M,
  '[1]Hoja 1'!$S:$S, $A98,
  '[1]Hoja 1'!$R:$R, "&gt;="&amp;INT($CK$1),
  '[1]Hoja 1'!$R:$R, "&lt;"&amp;INT($CL$1+1)
)</f>
        <v>0</v>
      </c>
      <c r="CJ98" s="1">
        <f t="shared" si="143"/>
        <v>0</v>
      </c>
      <c r="CK98" s="9">
        <f t="shared" si="144"/>
        <v>0</v>
      </c>
      <c r="CL98" s="10">
        <f t="shared" si="145"/>
        <v>0</v>
      </c>
      <c r="CM98" s="1">
        <f>SUMIFS(
  '[1]Hoja 1'!$M:$M,
  '[1]Hoja 1'!$S:$S, $A98,
  '[1]Hoja 1'!$R:$R, "&gt;="&amp;INT($CO$1),
  '[1]Hoja 1'!$R:$R, "&lt;"&amp;INT($CP$1+1)
)</f>
        <v>0</v>
      </c>
      <c r="CN98" s="1">
        <f t="shared" si="146"/>
        <v>0</v>
      </c>
      <c r="CO98" s="9">
        <f t="shared" si="147"/>
        <v>0</v>
      </c>
      <c r="CP98" s="10">
        <f t="shared" si="148"/>
        <v>0</v>
      </c>
      <c r="CQ98" s="1">
        <f>SUMIFS(
  '[1]Hoja 1'!$M:$M,
  '[1]Hoja 1'!$S:$S, $A98,
  '[1]Hoja 1'!$R:$R, "&gt;="&amp;INT($CS$1),
  '[1]Hoja 1'!$R:$R, "&lt;"&amp;INT($CT$1+1)
)</f>
        <v>0</v>
      </c>
      <c r="CR98" s="1">
        <f t="shared" si="149"/>
        <v>0</v>
      </c>
      <c r="CS98" s="9">
        <f t="shared" si="150"/>
        <v>0</v>
      </c>
      <c r="CT98" s="10">
        <f t="shared" si="151"/>
        <v>0</v>
      </c>
      <c r="CU98" s="1">
        <f>SUMIFS(
  '[1]Hoja 1'!$M:$M,
  '[1]Hoja 1'!$S:$S, $A98,
  '[1]Hoja 1'!$R:$R, "&gt;="&amp;INT($CW$1),
  '[1]Hoja 1'!$R:$R, "&lt;"&amp;INT($CX$1+1)
)</f>
        <v>0</v>
      </c>
      <c r="CV98" s="1">
        <f t="shared" si="152"/>
        <v>0</v>
      </c>
      <c r="CW98" s="9">
        <f t="shared" si="153"/>
        <v>0</v>
      </c>
      <c r="CX98" s="10">
        <f t="shared" si="154"/>
        <v>0</v>
      </c>
      <c r="CY98" s="1">
        <f>SUMIFS(
  '[1]Hoja 1'!$M:$M,
  '[1]Hoja 1'!$S:$S, $A98,
  '[1]Hoja 1'!$R:$R, "&gt;="&amp;INT($DA$1),
  '[1]Hoja 1'!$R:$R, "&lt;"&amp;INT($DB$1+1)
)</f>
        <v>0</v>
      </c>
      <c r="CZ98" s="1">
        <f t="shared" si="155"/>
        <v>0</v>
      </c>
      <c r="DA98" s="9">
        <f t="shared" si="156"/>
        <v>0</v>
      </c>
      <c r="DB98" s="10">
        <f t="shared" si="157"/>
        <v>0</v>
      </c>
      <c r="DC98" s="1">
        <f>SUMIFS(
  '[1]Hoja 1'!$M:$M,
  '[1]Hoja 1'!$S:$S, $A98,
  '[1]Hoja 1'!$R:$R, "&gt;="&amp;INT($DE$1),
  '[1]Hoja 1'!$R:$R, "&lt;"&amp;INT($DF$1+1)
)</f>
        <v>0</v>
      </c>
      <c r="DD98" s="1">
        <f t="shared" si="158"/>
        <v>0</v>
      </c>
      <c r="DE98" s="9">
        <f t="shared" si="159"/>
        <v>0</v>
      </c>
      <c r="DF98" s="10">
        <f t="shared" si="160"/>
        <v>0</v>
      </c>
      <c r="DG98" s="1">
        <f>SUMIFS(
  '[1]Hoja 1'!$M:$M,
  '[1]Hoja 1'!$S:$S, $A98,
  '[1]Hoja 1'!$R:$R, "&gt;="&amp;INT($DI$1),
  '[1]Hoja 1'!$R:$R, "&lt;"&amp;INT($DJ$1+1)
)</f>
        <v>0</v>
      </c>
      <c r="DH98" s="1">
        <f t="shared" si="161"/>
        <v>0</v>
      </c>
      <c r="DI98" s="9">
        <f t="shared" si="162"/>
        <v>0</v>
      </c>
      <c r="DJ98" s="10">
        <f t="shared" si="163"/>
        <v>0</v>
      </c>
      <c r="DK98" s="1">
        <f>SUMIFS(
  '[1]Hoja 1'!$M:$M,
  '[1]Hoja 1'!$S:$S, $A98,
  '[1]Hoja 1'!$R:$R, "&gt;="&amp;INT($DM$1),
  '[1]Hoja 1'!$R:$R, "&lt;"&amp;INT($DN$1+1)
)</f>
        <v>0</v>
      </c>
      <c r="DL98" s="1">
        <f t="shared" si="164"/>
        <v>0</v>
      </c>
      <c r="DM98" s="9">
        <f t="shared" si="165"/>
        <v>0</v>
      </c>
      <c r="DN98" s="10">
        <f t="shared" si="166"/>
        <v>0</v>
      </c>
      <c r="DO98" s="1">
        <f>SUMIFS(
  '[1]Hoja 1'!$M:$M,
  '[1]Hoja 1'!$S:$S, $A98,
  '[1]Hoja 1'!$R:$R, "&gt;="&amp;INT($DQ$1),
  '[1]Hoja 1'!$R:$R, "&lt;"&amp;INT($DR$1+1)
)</f>
        <v>0</v>
      </c>
      <c r="DP98" s="1">
        <f t="shared" si="167"/>
        <v>0</v>
      </c>
      <c r="DQ98" s="9">
        <f t="shared" si="168"/>
        <v>0</v>
      </c>
      <c r="DR98" s="10">
        <f t="shared" si="169"/>
        <v>0</v>
      </c>
    </row>
    <row r="99" spans="1:122" x14ac:dyDescent="0.25">
      <c r="A99" s="5">
        <v>215001</v>
      </c>
      <c r="B99" s="6" t="s">
        <v>99</v>
      </c>
      <c r="C99" s="1">
        <f>SUMIFS(
  '[1]Hoja 1'!$M:$M,
  '[1]Hoja 1'!$S:$S, $A99,
  '[1]Hoja 1'!$R:$R, "&gt;="&amp;INT($E$1),
  '[1]Hoja 1'!$R:$R, "&lt;"&amp;INT($F$1+1)
)</f>
        <v>0</v>
      </c>
      <c r="D99" s="1" t="str">
        <f>""</f>
        <v/>
      </c>
      <c r="F99" s="2"/>
      <c r="G99" s="1">
        <f>SUMIFS(
  '[1]Hoja 1'!$M:$M,
  '[1]Hoja 1'!$S:$S, $A99,
  '[1]Hoja 1'!$R:$R, "&gt;="&amp;INT($I$1),
  '[1]Hoja 1'!$R:$R, "&lt;"&amp;INT($J$1+1)
)</f>
        <v>1</v>
      </c>
      <c r="H99" s="1">
        <f t="shared" si="85"/>
        <v>0.5</v>
      </c>
      <c r="I99" s="1"/>
      <c r="J99" s="2"/>
      <c r="K99" s="1">
        <f>SUMIFS(
  '[1]Hoja 1'!$M:$M,
  '[1]Hoja 1'!$S:$S, $A99,
  '[1]Hoja 1'!$R:$R, "&gt;="&amp;INT($M$1),
  '[1]Hoja 1'!$R:$R, "&lt;"&amp;INT($N$1+1)
)</f>
        <v>1</v>
      </c>
      <c r="L99" s="1">
        <f t="shared" si="86"/>
        <v>1</v>
      </c>
      <c r="M99" s="9">
        <f t="shared" si="87"/>
        <v>0.30703535443718344</v>
      </c>
      <c r="N99" s="10">
        <f t="shared" si="88"/>
        <v>1.6929646455628165</v>
      </c>
      <c r="O99" s="1">
        <f>SUMIFS(
  '[1]Hoja 1'!$M:$M,
  '[1]Hoja 1'!$S:$S, $A99,
  '[1]Hoja 1'!$R:$R, "&gt;="&amp;INT($Q$1),
  '[1]Hoja 1'!$R:$R, "&lt;"&amp;INT($R$1+1)
)</f>
        <v>0</v>
      </c>
      <c r="P99" s="1">
        <f t="shared" si="89"/>
        <v>0.5</v>
      </c>
      <c r="Q99" s="9">
        <f t="shared" si="90"/>
        <v>2.0000000000000018E-2</v>
      </c>
      <c r="R99" s="10">
        <f t="shared" si="91"/>
        <v>1.98</v>
      </c>
      <c r="S99" s="1">
        <f>SUMIFS(
  '[1]Hoja 1'!$M:$M,
  '[1]Hoja 1'!$S:$S, $A99,
  '[1]Hoja 1'!$R:$R, "&gt;="&amp;INT($U$1),
  '[1]Hoja 1'!$R:$R, "&lt;"&amp;INT($V$1+1)
)</f>
        <v>0</v>
      </c>
      <c r="T99" s="1">
        <f t="shared" si="92"/>
        <v>0</v>
      </c>
      <c r="U99" s="9">
        <f t="shared" si="93"/>
        <v>-0.80016664930917147</v>
      </c>
      <c r="V99" s="10">
        <f t="shared" si="94"/>
        <v>0.80016664930917147</v>
      </c>
      <c r="W99" s="1">
        <f>SUMIFS(
  '[1]Hoja 1'!$M:$M,
  '[1]Hoja 1'!$S:$S, $A99,
  '[1]Hoja 1'!$R:$R, "&gt;="&amp;INT($Y$1),
  '[1]Hoja 1'!$R:$R, "&lt;"&amp;INT($Z$1+1)
)</f>
        <v>0</v>
      </c>
      <c r="X99" s="1">
        <f t="shared" si="95"/>
        <v>0</v>
      </c>
      <c r="Y99" s="9">
        <f t="shared" si="96"/>
        <v>-0.49</v>
      </c>
      <c r="Z99" s="10">
        <f t="shared" si="97"/>
        <v>0.49</v>
      </c>
      <c r="AA99" s="1">
        <f>SUMIFS(
  '[1]Hoja 1'!$M:$M,
  '[1]Hoja 1'!$S:$S, $A99,
  '[1]Hoja 1'!$R:$R, "&gt;="&amp;INT($AC$1),
  '[1]Hoja 1'!$R:$R, "&lt;"&amp;INT($AD$1+1)
)</f>
        <v>1</v>
      </c>
      <c r="AB99" s="1">
        <f t="shared" si="98"/>
        <v>1</v>
      </c>
      <c r="AC99" s="9">
        <f t="shared" si="99"/>
        <v>0.30703535443718344</v>
      </c>
      <c r="AD99" s="10">
        <f t="shared" si="100"/>
        <v>1.8001666493091715</v>
      </c>
      <c r="AE99" s="1">
        <f>SUMIFS(
  '[1]Hoja 1'!$M:$M,
  '[1]Hoja 1'!$S:$S, $A99,
  '[1]Hoja 1'!$R:$R, "&gt;="&amp;INT($AG$1),
  '[1]Hoja 1'!$R:$R, "&lt;"&amp;INT($AH$1+1)
)</f>
        <v>0</v>
      </c>
      <c r="AF99" s="1">
        <f t="shared" si="101"/>
        <v>1</v>
      </c>
      <c r="AG99" s="9">
        <f t="shared" si="102"/>
        <v>0.30703535443718344</v>
      </c>
      <c r="AH99" s="10">
        <f t="shared" si="103"/>
        <v>1.8001666493091715</v>
      </c>
      <c r="AI99" s="1">
        <f>SUMIFS(
  '[1]Hoja 1'!$M:$M,
  '[1]Hoja 1'!$S:$S, $A99,
  '[1]Hoja 1'!$R:$R, "&gt;="&amp;INT($AK$1),
  '[1]Hoja 1'!$R:$R, "&lt;"&amp;INT($AL$1+1)
)</f>
        <v>0</v>
      </c>
      <c r="AJ99" s="1">
        <f t="shared" si="104"/>
        <v>0</v>
      </c>
      <c r="AK99" s="9">
        <f t="shared" si="105"/>
        <v>-0.69296464556281656</v>
      </c>
      <c r="AL99" s="10">
        <f t="shared" si="106"/>
        <v>0.80016664930917147</v>
      </c>
      <c r="AM99" s="1">
        <f>SUMIFS(
  '[1]Hoja 1'!$M:$M,
  '[1]Hoja 1'!$S:$S, $A99,
  '[1]Hoja 1'!$R:$R, "&gt;="&amp;INT($AO$1),
  '[1]Hoja 1'!$R:$R, "&lt;"&amp;INT($AP$1+1)
)</f>
        <v>0</v>
      </c>
      <c r="AN99" s="1">
        <f t="shared" si="107"/>
        <v>0</v>
      </c>
      <c r="AO99" s="9">
        <f t="shared" si="108"/>
        <v>-0.69296464556281656</v>
      </c>
      <c r="AP99" s="10">
        <f t="shared" si="109"/>
        <v>0.80016664930917147</v>
      </c>
      <c r="AQ99" s="1">
        <f>SUMIFS(
  '[1]Hoja 1'!$M:$M,
  '[1]Hoja 1'!$S:$S, $A99,
  '[1]Hoja 1'!$R:$R, "&gt;="&amp;INT($AS$1),
  '[1]Hoja 1'!$R:$R, "&lt;"&amp;INT($AT$1+1)
)</f>
        <v>0</v>
      </c>
      <c r="AR99" s="1">
        <f t="shared" si="110"/>
        <v>0</v>
      </c>
      <c r="AS99" s="9">
        <f t="shared" si="111"/>
        <v>-0.43826932358995874</v>
      </c>
      <c r="AT99" s="10">
        <f t="shared" si="112"/>
        <v>0.49</v>
      </c>
      <c r="AU99" s="1">
        <f>SUMIFS(
  '[1]Hoja 1'!$M:$M,
  '[1]Hoja 1'!$S:$S, $A99,
  '[1]Hoja 1'!$R:$R, "&gt;="&amp;INT($AW$1),
  '[1]Hoja 1'!$R:$R, "&lt;"&amp;INT($AX$1+1)
)</f>
        <v>0</v>
      </c>
      <c r="AV99" s="1">
        <f t="shared" si="113"/>
        <v>0</v>
      </c>
      <c r="AW99" s="9">
        <f t="shared" si="114"/>
        <v>0</v>
      </c>
      <c r="AX99" s="10">
        <f t="shared" si="115"/>
        <v>0</v>
      </c>
      <c r="AY99" s="1">
        <f>SUMIFS(
  '[1]Hoja 1'!$M:$M,
  '[1]Hoja 1'!$S:$S, $A99,
  '[1]Hoja 1'!$R:$R, "&gt;="&amp;INT($BA$1),
  '[1]Hoja 1'!$R:$R, "&lt;"&amp;INT($BB$1+1)
)</f>
        <v>0</v>
      </c>
      <c r="AZ99" s="1">
        <f t="shared" si="116"/>
        <v>0</v>
      </c>
      <c r="BA99" s="9">
        <f t="shared" si="117"/>
        <v>0</v>
      </c>
      <c r="BB99" s="10">
        <f t="shared" si="118"/>
        <v>0</v>
      </c>
      <c r="BC99" s="1">
        <f>SUMIFS(
  '[1]Hoja 1'!$M:$M,
  '[1]Hoja 1'!$S:$S, $A99,
  '[1]Hoja 1'!$R:$R, "&gt;="&amp;INT($BE$1),
  '[1]Hoja 1'!$R:$R, "&lt;"&amp;INT($BF$1+1)
)</f>
        <v>0</v>
      </c>
      <c r="BD99" s="1">
        <f t="shared" si="119"/>
        <v>0</v>
      </c>
      <c r="BE99" s="9">
        <f t="shared" si="120"/>
        <v>0</v>
      </c>
      <c r="BF99" s="10">
        <f t="shared" si="121"/>
        <v>0</v>
      </c>
      <c r="BG99" s="1">
        <f>SUMIFS(
  '[1]Hoja 1'!$M:$M,
  '[1]Hoja 1'!$S:$S, $A99,
  '[1]Hoja 1'!$R:$R, "&gt;="&amp;INT($BI$1),
  '[1]Hoja 1'!$R:$R, "&lt;"&amp;INT($BJ$1+1)
)</f>
        <v>0</v>
      </c>
      <c r="BH99" s="1">
        <f t="shared" si="122"/>
        <v>0</v>
      </c>
      <c r="BI99" s="9">
        <f t="shared" si="123"/>
        <v>0</v>
      </c>
      <c r="BJ99" s="10">
        <f t="shared" si="124"/>
        <v>0</v>
      </c>
      <c r="BK99" s="1">
        <f>SUMIFS(
  '[1]Hoja 1'!$M:$M,
  '[1]Hoja 1'!$S:$S, $A99,
  '[1]Hoja 1'!$R:$R, "&gt;="&amp;INT($BM$1),
  '[1]Hoja 1'!$R:$R, "&lt;"&amp;INT($BN$1+1)
)</f>
        <v>0</v>
      </c>
      <c r="BL99" s="1">
        <f t="shared" si="125"/>
        <v>0</v>
      </c>
      <c r="BM99" s="9">
        <f t="shared" si="126"/>
        <v>0</v>
      </c>
      <c r="BN99" s="10">
        <f t="shared" si="127"/>
        <v>0</v>
      </c>
      <c r="BO99" s="1">
        <f>SUMIFS(
  '[1]Hoja 1'!$M:$M,
  '[1]Hoja 1'!$S:$S, $A99,
  '[1]Hoja 1'!$R:$R, "&gt;="&amp;INT($BQ$1),
  '[1]Hoja 1'!$R:$R, "&lt;"&amp;INT($BR$1+1)
)</f>
        <v>0</v>
      </c>
      <c r="BP99" s="1">
        <f t="shared" si="128"/>
        <v>0</v>
      </c>
      <c r="BQ99" s="9">
        <f t="shared" si="129"/>
        <v>0</v>
      </c>
      <c r="BR99" s="10">
        <f t="shared" si="130"/>
        <v>0</v>
      </c>
      <c r="BS99" s="1">
        <f>SUMIFS(
  '[1]Hoja 1'!$M:$M,
  '[1]Hoja 1'!$S:$S, $A99,
  '[1]Hoja 1'!$R:$R, "&gt;="&amp;INT($BU$1),
  '[1]Hoja 1'!$R:$R, "&lt;"&amp;INT($BV$1+1)
)</f>
        <v>0</v>
      </c>
      <c r="BT99" s="1">
        <f t="shared" si="131"/>
        <v>0</v>
      </c>
      <c r="BU99" s="9">
        <f t="shared" si="132"/>
        <v>0</v>
      </c>
      <c r="BV99" s="10">
        <f t="shared" si="133"/>
        <v>0</v>
      </c>
      <c r="BW99" s="1">
        <f>SUMIFS(
  '[1]Hoja 1'!$M:$M,
  '[1]Hoja 1'!$S:$S, $A99,
  '[1]Hoja 1'!$R:$R, "&gt;="&amp;INT($BY$1),
  '[1]Hoja 1'!$R:$R, "&lt;"&amp;INT($BZ$1+1)
)</f>
        <v>0</v>
      </c>
      <c r="BX99" s="1">
        <f t="shared" si="134"/>
        <v>0</v>
      </c>
      <c r="BY99" s="9">
        <f t="shared" si="135"/>
        <v>0</v>
      </c>
      <c r="BZ99" s="10">
        <f t="shared" si="136"/>
        <v>0</v>
      </c>
      <c r="CA99" s="1">
        <f>SUMIFS(
  '[1]Hoja 1'!$M:$M,
  '[1]Hoja 1'!$S:$S, $A99,
  '[1]Hoja 1'!$R:$R, "&gt;="&amp;INT($CC$1),
  '[1]Hoja 1'!$R:$R, "&lt;"&amp;INT($CD$1+1)
)</f>
        <v>0</v>
      </c>
      <c r="CB99" s="1">
        <f t="shared" si="137"/>
        <v>0</v>
      </c>
      <c r="CC99" s="9">
        <f t="shared" si="138"/>
        <v>0</v>
      </c>
      <c r="CD99" s="10">
        <f t="shared" si="139"/>
        <v>0</v>
      </c>
      <c r="CE99" s="1">
        <f>SUMIFS(
  '[1]Hoja 1'!$M:$M,
  '[1]Hoja 1'!$S:$S, $A99,
  '[1]Hoja 1'!$R:$R, "&gt;="&amp;INT($CG$1),
  '[1]Hoja 1'!$R:$R, "&lt;"&amp;INT($CH$1+1)
)</f>
        <v>0</v>
      </c>
      <c r="CF99" s="1">
        <f t="shared" si="140"/>
        <v>0</v>
      </c>
      <c r="CG99" s="9">
        <f t="shared" si="141"/>
        <v>0</v>
      </c>
      <c r="CH99" s="10">
        <f t="shared" si="142"/>
        <v>0</v>
      </c>
      <c r="CI99" s="1">
        <f>SUMIFS(
  '[1]Hoja 1'!$M:$M,
  '[1]Hoja 1'!$S:$S, $A99,
  '[1]Hoja 1'!$R:$R, "&gt;="&amp;INT($CK$1),
  '[1]Hoja 1'!$R:$R, "&lt;"&amp;INT($CL$1+1)
)</f>
        <v>0</v>
      </c>
      <c r="CJ99" s="1">
        <f t="shared" si="143"/>
        <v>0</v>
      </c>
      <c r="CK99" s="9">
        <f t="shared" si="144"/>
        <v>0</v>
      </c>
      <c r="CL99" s="10">
        <f t="shared" si="145"/>
        <v>0</v>
      </c>
      <c r="CM99" s="1">
        <f>SUMIFS(
  '[1]Hoja 1'!$M:$M,
  '[1]Hoja 1'!$S:$S, $A99,
  '[1]Hoja 1'!$R:$R, "&gt;="&amp;INT($CO$1),
  '[1]Hoja 1'!$R:$R, "&lt;"&amp;INT($CP$1+1)
)</f>
        <v>0</v>
      </c>
      <c r="CN99" s="1">
        <f t="shared" si="146"/>
        <v>0</v>
      </c>
      <c r="CO99" s="9">
        <f t="shared" si="147"/>
        <v>0</v>
      </c>
      <c r="CP99" s="10">
        <f t="shared" si="148"/>
        <v>0</v>
      </c>
      <c r="CQ99" s="1">
        <f>SUMIFS(
  '[1]Hoja 1'!$M:$M,
  '[1]Hoja 1'!$S:$S, $A99,
  '[1]Hoja 1'!$R:$R, "&gt;="&amp;INT($CS$1),
  '[1]Hoja 1'!$R:$R, "&lt;"&amp;INT($CT$1+1)
)</f>
        <v>0</v>
      </c>
      <c r="CR99" s="1">
        <f t="shared" si="149"/>
        <v>0</v>
      </c>
      <c r="CS99" s="9">
        <f t="shared" si="150"/>
        <v>0</v>
      </c>
      <c r="CT99" s="10">
        <f t="shared" si="151"/>
        <v>0</v>
      </c>
      <c r="CU99" s="1">
        <f>SUMIFS(
  '[1]Hoja 1'!$M:$M,
  '[1]Hoja 1'!$S:$S, $A99,
  '[1]Hoja 1'!$R:$R, "&gt;="&amp;INT($CW$1),
  '[1]Hoja 1'!$R:$R, "&lt;"&amp;INT($CX$1+1)
)</f>
        <v>0</v>
      </c>
      <c r="CV99" s="1">
        <f t="shared" si="152"/>
        <v>0</v>
      </c>
      <c r="CW99" s="9">
        <f t="shared" si="153"/>
        <v>0</v>
      </c>
      <c r="CX99" s="10">
        <f t="shared" si="154"/>
        <v>0</v>
      </c>
      <c r="CY99" s="1">
        <f>SUMIFS(
  '[1]Hoja 1'!$M:$M,
  '[1]Hoja 1'!$S:$S, $A99,
  '[1]Hoja 1'!$R:$R, "&gt;="&amp;INT($DA$1),
  '[1]Hoja 1'!$R:$R, "&lt;"&amp;INT($DB$1+1)
)</f>
        <v>0</v>
      </c>
      <c r="CZ99" s="1">
        <f t="shared" si="155"/>
        <v>0</v>
      </c>
      <c r="DA99" s="9">
        <f t="shared" si="156"/>
        <v>0</v>
      </c>
      <c r="DB99" s="10">
        <f t="shared" si="157"/>
        <v>0</v>
      </c>
      <c r="DC99" s="1">
        <f>SUMIFS(
  '[1]Hoja 1'!$M:$M,
  '[1]Hoja 1'!$S:$S, $A99,
  '[1]Hoja 1'!$R:$R, "&gt;="&amp;INT($DE$1),
  '[1]Hoja 1'!$R:$R, "&lt;"&amp;INT($DF$1+1)
)</f>
        <v>0</v>
      </c>
      <c r="DD99" s="1">
        <f t="shared" si="158"/>
        <v>0</v>
      </c>
      <c r="DE99" s="9">
        <f t="shared" si="159"/>
        <v>0</v>
      </c>
      <c r="DF99" s="10">
        <f t="shared" si="160"/>
        <v>0</v>
      </c>
      <c r="DG99" s="1">
        <f>SUMIFS(
  '[1]Hoja 1'!$M:$M,
  '[1]Hoja 1'!$S:$S, $A99,
  '[1]Hoja 1'!$R:$R, "&gt;="&amp;INT($DI$1),
  '[1]Hoja 1'!$R:$R, "&lt;"&amp;INT($DJ$1+1)
)</f>
        <v>0</v>
      </c>
      <c r="DH99" s="1">
        <f t="shared" si="161"/>
        <v>0</v>
      </c>
      <c r="DI99" s="9">
        <f t="shared" si="162"/>
        <v>0</v>
      </c>
      <c r="DJ99" s="10">
        <f t="shared" si="163"/>
        <v>0</v>
      </c>
      <c r="DK99" s="1">
        <f>SUMIFS(
  '[1]Hoja 1'!$M:$M,
  '[1]Hoja 1'!$S:$S, $A99,
  '[1]Hoja 1'!$R:$R, "&gt;="&amp;INT($DM$1),
  '[1]Hoja 1'!$R:$R, "&lt;"&amp;INT($DN$1+1)
)</f>
        <v>0</v>
      </c>
      <c r="DL99" s="1">
        <f t="shared" si="164"/>
        <v>0</v>
      </c>
      <c r="DM99" s="9">
        <f t="shared" si="165"/>
        <v>0</v>
      </c>
      <c r="DN99" s="10">
        <f t="shared" si="166"/>
        <v>0</v>
      </c>
      <c r="DO99" s="1">
        <f>SUMIFS(
  '[1]Hoja 1'!$M:$M,
  '[1]Hoja 1'!$S:$S, $A99,
  '[1]Hoja 1'!$R:$R, "&gt;="&amp;INT($DQ$1),
  '[1]Hoja 1'!$R:$R, "&lt;"&amp;INT($DR$1+1)
)</f>
        <v>0</v>
      </c>
      <c r="DP99" s="1">
        <f t="shared" si="167"/>
        <v>0</v>
      </c>
      <c r="DQ99" s="9">
        <f t="shared" si="168"/>
        <v>0</v>
      </c>
      <c r="DR99" s="10">
        <f t="shared" si="169"/>
        <v>0</v>
      </c>
    </row>
    <row r="100" spans="1:122" x14ac:dyDescent="0.25">
      <c r="A100" s="5">
        <v>215002</v>
      </c>
      <c r="B100" s="6" t="s">
        <v>100</v>
      </c>
      <c r="C100" s="1">
        <f>SUMIFS(
  '[1]Hoja 1'!$M:$M,
  '[1]Hoja 1'!$S:$S, $A100,
  '[1]Hoja 1'!$R:$R, "&gt;="&amp;INT($E$1),
  '[1]Hoja 1'!$R:$R, "&lt;"&amp;INT($F$1+1)
)</f>
        <v>0</v>
      </c>
      <c r="D100" s="1" t="str">
        <f>""</f>
        <v/>
      </c>
      <c r="F100" s="2"/>
      <c r="G100" s="1">
        <f>SUMIFS(
  '[1]Hoja 1'!$M:$M,
  '[1]Hoja 1'!$S:$S, $A100,
  '[1]Hoja 1'!$R:$R, "&gt;="&amp;INT($I$1),
  '[1]Hoja 1'!$R:$R, "&lt;"&amp;INT($J$1+1)
)</f>
        <v>0</v>
      </c>
      <c r="H100" s="1">
        <f t="shared" si="85"/>
        <v>0</v>
      </c>
      <c r="I100" s="1"/>
      <c r="J100" s="2"/>
      <c r="K100" s="1">
        <f>SUMIFS(
  '[1]Hoja 1'!$M:$M,
  '[1]Hoja 1'!$S:$S, $A100,
  '[1]Hoja 1'!$R:$R, "&gt;="&amp;INT($M$1),
  '[1]Hoja 1'!$R:$R, "&lt;"&amp;INT($N$1+1)
)</f>
        <v>0</v>
      </c>
      <c r="L100" s="1">
        <f t="shared" si="86"/>
        <v>0</v>
      </c>
      <c r="M100" s="9">
        <f t="shared" si="87"/>
        <v>0</v>
      </c>
      <c r="N100" s="10">
        <f t="shared" si="88"/>
        <v>0</v>
      </c>
      <c r="O100" s="1">
        <f>SUMIFS(
  '[1]Hoja 1'!$M:$M,
  '[1]Hoja 1'!$S:$S, $A100,
  '[1]Hoja 1'!$R:$R, "&gt;="&amp;INT($Q$1),
  '[1]Hoja 1'!$R:$R, "&lt;"&amp;INT($R$1+1)
)</f>
        <v>0</v>
      </c>
      <c r="P100" s="1">
        <f t="shared" si="89"/>
        <v>0</v>
      </c>
      <c r="Q100" s="9">
        <f t="shared" si="90"/>
        <v>0</v>
      </c>
      <c r="R100" s="10">
        <f t="shared" si="91"/>
        <v>0</v>
      </c>
      <c r="S100" s="1">
        <f>SUMIFS(
  '[1]Hoja 1'!$M:$M,
  '[1]Hoja 1'!$S:$S, $A100,
  '[1]Hoja 1'!$R:$R, "&gt;="&amp;INT($U$1),
  '[1]Hoja 1'!$R:$R, "&lt;"&amp;INT($V$1+1)
)</f>
        <v>0</v>
      </c>
      <c r="T100" s="1">
        <f t="shared" si="92"/>
        <v>0</v>
      </c>
      <c r="U100" s="9">
        <f t="shared" si="93"/>
        <v>0</v>
      </c>
      <c r="V100" s="10">
        <f t="shared" si="94"/>
        <v>0</v>
      </c>
      <c r="W100" s="1">
        <f>SUMIFS(
  '[1]Hoja 1'!$M:$M,
  '[1]Hoja 1'!$S:$S, $A100,
  '[1]Hoja 1'!$R:$R, "&gt;="&amp;INT($Y$1),
  '[1]Hoja 1'!$R:$R, "&lt;"&amp;INT($Z$1+1)
)</f>
        <v>0</v>
      </c>
      <c r="X100" s="1">
        <f t="shared" si="95"/>
        <v>0</v>
      </c>
      <c r="Y100" s="9">
        <f t="shared" si="96"/>
        <v>0</v>
      </c>
      <c r="Z100" s="10">
        <f t="shared" si="97"/>
        <v>0</v>
      </c>
      <c r="AA100" s="1">
        <f>SUMIFS(
  '[1]Hoja 1'!$M:$M,
  '[1]Hoja 1'!$S:$S, $A100,
  '[1]Hoja 1'!$R:$R, "&gt;="&amp;INT($AC$1),
  '[1]Hoja 1'!$R:$R, "&lt;"&amp;INT($AD$1+1)
)</f>
        <v>0</v>
      </c>
      <c r="AB100" s="1">
        <f t="shared" si="98"/>
        <v>0</v>
      </c>
      <c r="AC100" s="9">
        <f t="shared" si="99"/>
        <v>0</v>
      </c>
      <c r="AD100" s="10">
        <f t="shared" si="100"/>
        <v>0</v>
      </c>
      <c r="AE100" s="1">
        <f>SUMIFS(
  '[1]Hoja 1'!$M:$M,
  '[1]Hoja 1'!$S:$S, $A100,
  '[1]Hoja 1'!$R:$R, "&gt;="&amp;INT($AG$1),
  '[1]Hoja 1'!$R:$R, "&lt;"&amp;INT($AH$1+1)
)</f>
        <v>0</v>
      </c>
      <c r="AF100" s="1">
        <f t="shared" si="101"/>
        <v>0</v>
      </c>
      <c r="AG100" s="9">
        <f t="shared" si="102"/>
        <v>0</v>
      </c>
      <c r="AH100" s="10">
        <f t="shared" si="103"/>
        <v>0</v>
      </c>
      <c r="AI100" s="1">
        <f>SUMIFS(
  '[1]Hoja 1'!$M:$M,
  '[1]Hoja 1'!$S:$S, $A100,
  '[1]Hoja 1'!$R:$R, "&gt;="&amp;INT($AK$1),
  '[1]Hoja 1'!$R:$R, "&lt;"&amp;INT($AL$1+1)
)</f>
        <v>0</v>
      </c>
      <c r="AJ100" s="1">
        <f t="shared" si="104"/>
        <v>0</v>
      </c>
      <c r="AK100" s="9">
        <f t="shared" si="105"/>
        <v>0</v>
      </c>
      <c r="AL100" s="10">
        <f t="shared" si="106"/>
        <v>0</v>
      </c>
      <c r="AM100" s="1">
        <f>SUMIFS(
  '[1]Hoja 1'!$M:$M,
  '[1]Hoja 1'!$S:$S, $A100,
  '[1]Hoja 1'!$R:$R, "&gt;="&amp;INT($AO$1),
  '[1]Hoja 1'!$R:$R, "&lt;"&amp;INT($AP$1+1)
)</f>
        <v>0</v>
      </c>
      <c r="AN100" s="1">
        <f t="shared" si="107"/>
        <v>0</v>
      </c>
      <c r="AO100" s="9">
        <f t="shared" si="108"/>
        <v>0</v>
      </c>
      <c r="AP100" s="10">
        <f t="shared" si="109"/>
        <v>0</v>
      </c>
      <c r="AQ100" s="1">
        <f>SUMIFS(
  '[1]Hoja 1'!$M:$M,
  '[1]Hoja 1'!$S:$S, $A100,
  '[1]Hoja 1'!$R:$R, "&gt;="&amp;INT($AS$1),
  '[1]Hoja 1'!$R:$R, "&lt;"&amp;INT($AT$1+1)
)</f>
        <v>0</v>
      </c>
      <c r="AR100" s="1">
        <f t="shared" si="110"/>
        <v>0</v>
      </c>
      <c r="AS100" s="9">
        <f t="shared" si="111"/>
        <v>0</v>
      </c>
      <c r="AT100" s="10">
        <f t="shared" si="112"/>
        <v>0</v>
      </c>
      <c r="AU100" s="1">
        <f>SUMIFS(
  '[1]Hoja 1'!$M:$M,
  '[1]Hoja 1'!$S:$S, $A100,
  '[1]Hoja 1'!$R:$R, "&gt;="&amp;INT($AW$1),
  '[1]Hoja 1'!$R:$R, "&lt;"&amp;INT($AX$1+1)
)</f>
        <v>0</v>
      </c>
      <c r="AV100" s="1">
        <f t="shared" si="113"/>
        <v>0</v>
      </c>
      <c r="AW100" s="9">
        <f t="shared" si="114"/>
        <v>0</v>
      </c>
      <c r="AX100" s="10">
        <f t="shared" si="115"/>
        <v>0</v>
      </c>
      <c r="AY100" s="1">
        <f>SUMIFS(
  '[1]Hoja 1'!$M:$M,
  '[1]Hoja 1'!$S:$S, $A100,
  '[1]Hoja 1'!$R:$R, "&gt;="&amp;INT($BA$1),
  '[1]Hoja 1'!$R:$R, "&lt;"&amp;INT($BB$1+1)
)</f>
        <v>0</v>
      </c>
      <c r="AZ100" s="1">
        <f t="shared" si="116"/>
        <v>0</v>
      </c>
      <c r="BA100" s="9">
        <f t="shared" si="117"/>
        <v>0</v>
      </c>
      <c r="BB100" s="10">
        <f t="shared" si="118"/>
        <v>0</v>
      </c>
      <c r="BC100" s="1">
        <f>SUMIFS(
  '[1]Hoja 1'!$M:$M,
  '[1]Hoja 1'!$S:$S, $A100,
  '[1]Hoja 1'!$R:$R, "&gt;="&amp;INT($BE$1),
  '[1]Hoja 1'!$R:$R, "&lt;"&amp;INT($BF$1+1)
)</f>
        <v>0</v>
      </c>
      <c r="BD100" s="1">
        <f t="shared" si="119"/>
        <v>0</v>
      </c>
      <c r="BE100" s="9">
        <f t="shared" si="120"/>
        <v>0</v>
      </c>
      <c r="BF100" s="10">
        <f t="shared" si="121"/>
        <v>0</v>
      </c>
      <c r="BG100" s="1">
        <f>SUMIFS(
  '[1]Hoja 1'!$M:$M,
  '[1]Hoja 1'!$S:$S, $A100,
  '[1]Hoja 1'!$R:$R, "&gt;="&amp;INT($BI$1),
  '[1]Hoja 1'!$R:$R, "&lt;"&amp;INT($BJ$1+1)
)</f>
        <v>0</v>
      </c>
      <c r="BH100" s="1">
        <f t="shared" si="122"/>
        <v>0</v>
      </c>
      <c r="BI100" s="9">
        <f t="shared" si="123"/>
        <v>0</v>
      </c>
      <c r="BJ100" s="10">
        <f t="shared" si="124"/>
        <v>0</v>
      </c>
      <c r="BK100" s="1">
        <f>SUMIFS(
  '[1]Hoja 1'!$M:$M,
  '[1]Hoja 1'!$S:$S, $A100,
  '[1]Hoja 1'!$R:$R, "&gt;="&amp;INT($BM$1),
  '[1]Hoja 1'!$R:$R, "&lt;"&amp;INT($BN$1+1)
)</f>
        <v>0</v>
      </c>
      <c r="BL100" s="1">
        <f t="shared" si="125"/>
        <v>0</v>
      </c>
      <c r="BM100" s="9">
        <f t="shared" si="126"/>
        <v>0</v>
      </c>
      <c r="BN100" s="10">
        <f t="shared" si="127"/>
        <v>0</v>
      </c>
      <c r="BO100" s="1">
        <f>SUMIFS(
  '[1]Hoja 1'!$M:$M,
  '[1]Hoja 1'!$S:$S, $A100,
  '[1]Hoja 1'!$R:$R, "&gt;="&amp;INT($BQ$1),
  '[1]Hoja 1'!$R:$R, "&lt;"&amp;INT($BR$1+1)
)</f>
        <v>0</v>
      </c>
      <c r="BP100" s="1">
        <f t="shared" si="128"/>
        <v>0</v>
      </c>
      <c r="BQ100" s="9">
        <f t="shared" si="129"/>
        <v>0</v>
      </c>
      <c r="BR100" s="10">
        <f t="shared" si="130"/>
        <v>0</v>
      </c>
      <c r="BS100" s="1">
        <f>SUMIFS(
  '[1]Hoja 1'!$M:$M,
  '[1]Hoja 1'!$S:$S, $A100,
  '[1]Hoja 1'!$R:$R, "&gt;="&amp;INT($BU$1),
  '[1]Hoja 1'!$R:$R, "&lt;"&amp;INT($BV$1+1)
)</f>
        <v>0</v>
      </c>
      <c r="BT100" s="1">
        <f t="shared" si="131"/>
        <v>0</v>
      </c>
      <c r="BU100" s="9">
        <f t="shared" si="132"/>
        <v>0</v>
      </c>
      <c r="BV100" s="10">
        <f t="shared" si="133"/>
        <v>0</v>
      </c>
      <c r="BW100" s="1">
        <f>SUMIFS(
  '[1]Hoja 1'!$M:$M,
  '[1]Hoja 1'!$S:$S, $A100,
  '[1]Hoja 1'!$R:$R, "&gt;="&amp;INT($BY$1),
  '[1]Hoja 1'!$R:$R, "&lt;"&amp;INT($BZ$1+1)
)</f>
        <v>0</v>
      </c>
      <c r="BX100" s="1">
        <f t="shared" si="134"/>
        <v>0</v>
      </c>
      <c r="BY100" s="9">
        <f t="shared" si="135"/>
        <v>0</v>
      </c>
      <c r="BZ100" s="10">
        <f t="shared" si="136"/>
        <v>0</v>
      </c>
      <c r="CA100" s="1">
        <f>SUMIFS(
  '[1]Hoja 1'!$M:$M,
  '[1]Hoja 1'!$S:$S, $A100,
  '[1]Hoja 1'!$R:$R, "&gt;="&amp;INT($CC$1),
  '[1]Hoja 1'!$R:$R, "&lt;"&amp;INT($CD$1+1)
)</f>
        <v>0</v>
      </c>
      <c r="CB100" s="1">
        <f t="shared" si="137"/>
        <v>0</v>
      </c>
      <c r="CC100" s="9">
        <f t="shared" si="138"/>
        <v>0</v>
      </c>
      <c r="CD100" s="10">
        <f t="shared" si="139"/>
        <v>0</v>
      </c>
      <c r="CE100" s="1">
        <f>SUMIFS(
  '[1]Hoja 1'!$M:$M,
  '[1]Hoja 1'!$S:$S, $A100,
  '[1]Hoja 1'!$R:$R, "&gt;="&amp;INT($CG$1),
  '[1]Hoja 1'!$R:$R, "&lt;"&amp;INT($CH$1+1)
)</f>
        <v>0</v>
      </c>
      <c r="CF100" s="1">
        <f t="shared" si="140"/>
        <v>0</v>
      </c>
      <c r="CG100" s="9">
        <f t="shared" si="141"/>
        <v>0</v>
      </c>
      <c r="CH100" s="10">
        <f t="shared" si="142"/>
        <v>0</v>
      </c>
      <c r="CI100" s="1">
        <f>SUMIFS(
  '[1]Hoja 1'!$M:$M,
  '[1]Hoja 1'!$S:$S, $A100,
  '[1]Hoja 1'!$R:$R, "&gt;="&amp;INT($CK$1),
  '[1]Hoja 1'!$R:$R, "&lt;"&amp;INT($CL$1+1)
)</f>
        <v>0</v>
      </c>
      <c r="CJ100" s="1">
        <f t="shared" si="143"/>
        <v>0</v>
      </c>
      <c r="CK100" s="9">
        <f t="shared" si="144"/>
        <v>0</v>
      </c>
      <c r="CL100" s="10">
        <f t="shared" si="145"/>
        <v>0</v>
      </c>
      <c r="CM100" s="1">
        <f>SUMIFS(
  '[1]Hoja 1'!$M:$M,
  '[1]Hoja 1'!$S:$S, $A100,
  '[1]Hoja 1'!$R:$R, "&gt;="&amp;INT($CO$1),
  '[1]Hoja 1'!$R:$R, "&lt;"&amp;INT($CP$1+1)
)</f>
        <v>0</v>
      </c>
      <c r="CN100" s="1">
        <f t="shared" si="146"/>
        <v>0</v>
      </c>
      <c r="CO100" s="9">
        <f t="shared" si="147"/>
        <v>0</v>
      </c>
      <c r="CP100" s="10">
        <f t="shared" si="148"/>
        <v>0</v>
      </c>
      <c r="CQ100" s="1">
        <f>SUMIFS(
  '[1]Hoja 1'!$M:$M,
  '[1]Hoja 1'!$S:$S, $A100,
  '[1]Hoja 1'!$R:$R, "&gt;="&amp;INT($CS$1),
  '[1]Hoja 1'!$R:$R, "&lt;"&amp;INT($CT$1+1)
)</f>
        <v>0</v>
      </c>
      <c r="CR100" s="1">
        <f t="shared" si="149"/>
        <v>0</v>
      </c>
      <c r="CS100" s="9">
        <f t="shared" si="150"/>
        <v>0</v>
      </c>
      <c r="CT100" s="10">
        <f t="shared" si="151"/>
        <v>0</v>
      </c>
      <c r="CU100" s="1">
        <f>SUMIFS(
  '[1]Hoja 1'!$M:$M,
  '[1]Hoja 1'!$S:$S, $A100,
  '[1]Hoja 1'!$R:$R, "&gt;="&amp;INT($CW$1),
  '[1]Hoja 1'!$R:$R, "&lt;"&amp;INT($CX$1+1)
)</f>
        <v>0</v>
      </c>
      <c r="CV100" s="1">
        <f t="shared" si="152"/>
        <v>0</v>
      </c>
      <c r="CW100" s="9">
        <f t="shared" si="153"/>
        <v>0</v>
      </c>
      <c r="CX100" s="10">
        <f t="shared" si="154"/>
        <v>0</v>
      </c>
      <c r="CY100" s="1">
        <f>SUMIFS(
  '[1]Hoja 1'!$M:$M,
  '[1]Hoja 1'!$S:$S, $A100,
  '[1]Hoja 1'!$R:$R, "&gt;="&amp;INT($DA$1),
  '[1]Hoja 1'!$R:$R, "&lt;"&amp;INT($DB$1+1)
)</f>
        <v>0</v>
      </c>
      <c r="CZ100" s="1">
        <f t="shared" si="155"/>
        <v>0</v>
      </c>
      <c r="DA100" s="9">
        <f t="shared" si="156"/>
        <v>0</v>
      </c>
      <c r="DB100" s="10">
        <f t="shared" si="157"/>
        <v>0</v>
      </c>
      <c r="DC100" s="1">
        <f>SUMIFS(
  '[1]Hoja 1'!$M:$M,
  '[1]Hoja 1'!$S:$S, $A100,
  '[1]Hoja 1'!$R:$R, "&gt;="&amp;INT($DE$1),
  '[1]Hoja 1'!$R:$R, "&lt;"&amp;INT($DF$1+1)
)</f>
        <v>0</v>
      </c>
      <c r="DD100" s="1">
        <f t="shared" si="158"/>
        <v>0</v>
      </c>
      <c r="DE100" s="9">
        <f t="shared" si="159"/>
        <v>0</v>
      </c>
      <c r="DF100" s="10">
        <f t="shared" si="160"/>
        <v>0</v>
      </c>
      <c r="DG100" s="1">
        <f>SUMIFS(
  '[1]Hoja 1'!$M:$M,
  '[1]Hoja 1'!$S:$S, $A100,
  '[1]Hoja 1'!$R:$R, "&gt;="&amp;INT($DI$1),
  '[1]Hoja 1'!$R:$R, "&lt;"&amp;INT($DJ$1+1)
)</f>
        <v>0</v>
      </c>
      <c r="DH100" s="1">
        <f t="shared" si="161"/>
        <v>0</v>
      </c>
      <c r="DI100" s="9">
        <f t="shared" si="162"/>
        <v>0</v>
      </c>
      <c r="DJ100" s="10">
        <f t="shared" si="163"/>
        <v>0</v>
      </c>
      <c r="DK100" s="1">
        <f>SUMIFS(
  '[1]Hoja 1'!$M:$M,
  '[1]Hoja 1'!$S:$S, $A100,
  '[1]Hoja 1'!$R:$R, "&gt;="&amp;INT($DM$1),
  '[1]Hoja 1'!$R:$R, "&lt;"&amp;INT($DN$1+1)
)</f>
        <v>0</v>
      </c>
      <c r="DL100" s="1">
        <f t="shared" si="164"/>
        <v>0</v>
      </c>
      <c r="DM100" s="9">
        <f t="shared" si="165"/>
        <v>0</v>
      </c>
      <c r="DN100" s="10">
        <f t="shared" si="166"/>
        <v>0</v>
      </c>
      <c r="DO100" s="1">
        <f>SUMIFS(
  '[1]Hoja 1'!$M:$M,
  '[1]Hoja 1'!$S:$S, $A100,
  '[1]Hoja 1'!$R:$R, "&gt;="&amp;INT($DQ$1),
  '[1]Hoja 1'!$R:$R, "&lt;"&amp;INT($DR$1+1)
)</f>
        <v>0</v>
      </c>
      <c r="DP100" s="1">
        <f t="shared" si="167"/>
        <v>0</v>
      </c>
      <c r="DQ100" s="9">
        <f t="shared" si="168"/>
        <v>0</v>
      </c>
      <c r="DR100" s="10">
        <f t="shared" si="169"/>
        <v>0</v>
      </c>
    </row>
    <row r="101" spans="1:122" x14ac:dyDescent="0.25">
      <c r="A101" s="5">
        <v>217001</v>
      </c>
      <c r="B101" s="6" t="s">
        <v>101</v>
      </c>
      <c r="C101" s="1">
        <f>SUMIFS(
  '[1]Hoja 1'!$M:$M,
  '[1]Hoja 1'!$S:$S, $A101,
  '[1]Hoja 1'!$R:$R, "&gt;="&amp;INT($E$1),
  '[1]Hoja 1'!$R:$R, "&lt;"&amp;INT($F$1+1)
)</f>
        <v>0</v>
      </c>
      <c r="D101" s="1" t="str">
        <f>""</f>
        <v/>
      </c>
      <c r="F101" s="2"/>
      <c r="G101" s="1">
        <f>SUMIFS(
  '[1]Hoja 1'!$M:$M,
  '[1]Hoja 1'!$S:$S, $A101,
  '[1]Hoja 1'!$R:$R, "&gt;="&amp;INT($I$1),
  '[1]Hoja 1'!$R:$R, "&lt;"&amp;INT($J$1+1)
)</f>
        <v>0</v>
      </c>
      <c r="H101" s="1">
        <f t="shared" si="85"/>
        <v>0</v>
      </c>
      <c r="I101" s="1"/>
      <c r="J101" s="2"/>
      <c r="K101" s="1">
        <f>SUMIFS(
  '[1]Hoja 1'!$M:$M,
  '[1]Hoja 1'!$S:$S, $A101,
  '[1]Hoja 1'!$R:$R, "&gt;="&amp;INT($M$1),
  '[1]Hoja 1'!$R:$R, "&lt;"&amp;INT($N$1+1)
)</f>
        <v>0</v>
      </c>
      <c r="L101" s="1">
        <f t="shared" si="86"/>
        <v>0</v>
      </c>
      <c r="M101" s="9">
        <f t="shared" si="87"/>
        <v>0</v>
      </c>
      <c r="N101" s="10">
        <f t="shared" si="88"/>
        <v>0</v>
      </c>
      <c r="O101" s="1">
        <f>SUMIFS(
  '[1]Hoja 1'!$M:$M,
  '[1]Hoja 1'!$S:$S, $A101,
  '[1]Hoja 1'!$R:$R, "&gt;="&amp;INT($Q$1),
  '[1]Hoja 1'!$R:$R, "&lt;"&amp;INT($R$1+1)
)</f>
        <v>0</v>
      </c>
      <c r="P101" s="1">
        <f t="shared" si="89"/>
        <v>0</v>
      </c>
      <c r="Q101" s="9">
        <f t="shared" si="90"/>
        <v>0</v>
      </c>
      <c r="R101" s="10">
        <f t="shared" si="91"/>
        <v>0</v>
      </c>
      <c r="S101" s="1">
        <f>SUMIFS(
  '[1]Hoja 1'!$M:$M,
  '[1]Hoja 1'!$S:$S, $A101,
  '[1]Hoja 1'!$R:$R, "&gt;="&amp;INT($U$1),
  '[1]Hoja 1'!$R:$R, "&lt;"&amp;INT($V$1+1)
)</f>
        <v>0</v>
      </c>
      <c r="T101" s="1">
        <f t="shared" si="92"/>
        <v>0</v>
      </c>
      <c r="U101" s="9">
        <f t="shared" si="93"/>
        <v>0</v>
      </c>
      <c r="V101" s="10">
        <f t="shared" si="94"/>
        <v>0</v>
      </c>
      <c r="W101" s="1">
        <f>SUMIFS(
  '[1]Hoja 1'!$M:$M,
  '[1]Hoja 1'!$S:$S, $A101,
  '[1]Hoja 1'!$R:$R, "&gt;="&amp;INT($Y$1),
  '[1]Hoja 1'!$R:$R, "&lt;"&amp;INT($Z$1+1)
)</f>
        <v>0</v>
      </c>
      <c r="X101" s="1">
        <f t="shared" si="95"/>
        <v>0</v>
      </c>
      <c r="Y101" s="9">
        <f t="shared" si="96"/>
        <v>0</v>
      </c>
      <c r="Z101" s="10">
        <f t="shared" si="97"/>
        <v>0</v>
      </c>
      <c r="AA101" s="1">
        <f>SUMIFS(
  '[1]Hoja 1'!$M:$M,
  '[1]Hoja 1'!$S:$S, $A101,
  '[1]Hoja 1'!$R:$R, "&gt;="&amp;INT($AC$1),
  '[1]Hoja 1'!$R:$R, "&lt;"&amp;INT($AD$1+1)
)</f>
        <v>0</v>
      </c>
      <c r="AB101" s="1">
        <f t="shared" si="98"/>
        <v>0</v>
      </c>
      <c r="AC101" s="9">
        <f t="shared" si="99"/>
        <v>0</v>
      </c>
      <c r="AD101" s="10">
        <f t="shared" si="100"/>
        <v>0</v>
      </c>
      <c r="AE101" s="1">
        <f>SUMIFS(
  '[1]Hoja 1'!$M:$M,
  '[1]Hoja 1'!$S:$S, $A101,
  '[1]Hoja 1'!$R:$R, "&gt;="&amp;INT($AG$1),
  '[1]Hoja 1'!$R:$R, "&lt;"&amp;INT($AH$1+1)
)</f>
        <v>0</v>
      </c>
      <c r="AF101" s="1">
        <f t="shared" si="101"/>
        <v>0</v>
      </c>
      <c r="AG101" s="9">
        <f t="shared" si="102"/>
        <v>0</v>
      </c>
      <c r="AH101" s="10">
        <f t="shared" si="103"/>
        <v>0</v>
      </c>
      <c r="AI101" s="1">
        <f>SUMIFS(
  '[1]Hoja 1'!$M:$M,
  '[1]Hoja 1'!$S:$S, $A101,
  '[1]Hoja 1'!$R:$R, "&gt;="&amp;INT($AK$1),
  '[1]Hoja 1'!$R:$R, "&lt;"&amp;INT($AL$1+1)
)</f>
        <v>0</v>
      </c>
      <c r="AJ101" s="1">
        <f t="shared" si="104"/>
        <v>0</v>
      </c>
      <c r="AK101" s="9">
        <f t="shared" si="105"/>
        <v>0</v>
      </c>
      <c r="AL101" s="10">
        <f t="shared" si="106"/>
        <v>0</v>
      </c>
      <c r="AM101" s="1">
        <f>SUMIFS(
  '[1]Hoja 1'!$M:$M,
  '[1]Hoja 1'!$S:$S, $A101,
  '[1]Hoja 1'!$R:$R, "&gt;="&amp;INT($AO$1),
  '[1]Hoja 1'!$R:$R, "&lt;"&amp;INT($AP$1+1)
)</f>
        <v>0</v>
      </c>
      <c r="AN101" s="1">
        <f t="shared" si="107"/>
        <v>0</v>
      </c>
      <c r="AO101" s="9">
        <f t="shared" si="108"/>
        <v>0</v>
      </c>
      <c r="AP101" s="10">
        <f t="shared" si="109"/>
        <v>0</v>
      </c>
      <c r="AQ101" s="1">
        <f>SUMIFS(
  '[1]Hoja 1'!$M:$M,
  '[1]Hoja 1'!$S:$S, $A101,
  '[1]Hoja 1'!$R:$R, "&gt;="&amp;INT($AS$1),
  '[1]Hoja 1'!$R:$R, "&lt;"&amp;INT($AT$1+1)
)</f>
        <v>0</v>
      </c>
      <c r="AR101" s="1">
        <f t="shared" si="110"/>
        <v>0</v>
      </c>
      <c r="AS101" s="9">
        <f t="shared" si="111"/>
        <v>0</v>
      </c>
      <c r="AT101" s="10">
        <f t="shared" si="112"/>
        <v>0</v>
      </c>
      <c r="AU101" s="1">
        <f>SUMIFS(
  '[1]Hoja 1'!$M:$M,
  '[1]Hoja 1'!$S:$S, $A101,
  '[1]Hoja 1'!$R:$R, "&gt;="&amp;INT($AW$1),
  '[1]Hoja 1'!$R:$R, "&lt;"&amp;INT($AX$1+1)
)</f>
        <v>0</v>
      </c>
      <c r="AV101" s="1">
        <f t="shared" si="113"/>
        <v>0</v>
      </c>
      <c r="AW101" s="9">
        <f t="shared" si="114"/>
        <v>0</v>
      </c>
      <c r="AX101" s="10">
        <f t="shared" si="115"/>
        <v>0</v>
      </c>
      <c r="AY101" s="1">
        <f>SUMIFS(
  '[1]Hoja 1'!$M:$M,
  '[1]Hoja 1'!$S:$S, $A101,
  '[1]Hoja 1'!$R:$R, "&gt;="&amp;INT($BA$1),
  '[1]Hoja 1'!$R:$R, "&lt;"&amp;INT($BB$1+1)
)</f>
        <v>0</v>
      </c>
      <c r="AZ101" s="1">
        <f t="shared" si="116"/>
        <v>0</v>
      </c>
      <c r="BA101" s="9">
        <f t="shared" si="117"/>
        <v>0</v>
      </c>
      <c r="BB101" s="10">
        <f t="shared" si="118"/>
        <v>0</v>
      </c>
      <c r="BC101" s="1">
        <f>SUMIFS(
  '[1]Hoja 1'!$M:$M,
  '[1]Hoja 1'!$S:$S, $A101,
  '[1]Hoja 1'!$R:$R, "&gt;="&amp;INT($BE$1),
  '[1]Hoja 1'!$R:$R, "&lt;"&amp;INT($BF$1+1)
)</f>
        <v>0</v>
      </c>
      <c r="BD101" s="1">
        <f t="shared" si="119"/>
        <v>0</v>
      </c>
      <c r="BE101" s="9">
        <f t="shared" si="120"/>
        <v>0</v>
      </c>
      <c r="BF101" s="10">
        <f t="shared" si="121"/>
        <v>0</v>
      </c>
      <c r="BG101" s="1">
        <f>SUMIFS(
  '[1]Hoja 1'!$M:$M,
  '[1]Hoja 1'!$S:$S, $A101,
  '[1]Hoja 1'!$R:$R, "&gt;="&amp;INT($BI$1),
  '[1]Hoja 1'!$R:$R, "&lt;"&amp;INT($BJ$1+1)
)</f>
        <v>0</v>
      </c>
      <c r="BH101" s="1">
        <f t="shared" si="122"/>
        <v>0</v>
      </c>
      <c r="BI101" s="9">
        <f t="shared" si="123"/>
        <v>0</v>
      </c>
      <c r="BJ101" s="10">
        <f t="shared" si="124"/>
        <v>0</v>
      </c>
      <c r="BK101" s="1">
        <f>SUMIFS(
  '[1]Hoja 1'!$M:$M,
  '[1]Hoja 1'!$S:$S, $A101,
  '[1]Hoja 1'!$R:$R, "&gt;="&amp;INT($BM$1),
  '[1]Hoja 1'!$R:$R, "&lt;"&amp;INT($BN$1+1)
)</f>
        <v>0</v>
      </c>
      <c r="BL101" s="1">
        <f t="shared" si="125"/>
        <v>0</v>
      </c>
      <c r="BM101" s="9">
        <f t="shared" si="126"/>
        <v>0</v>
      </c>
      <c r="BN101" s="10">
        <f t="shared" si="127"/>
        <v>0</v>
      </c>
      <c r="BO101" s="1">
        <f>SUMIFS(
  '[1]Hoja 1'!$M:$M,
  '[1]Hoja 1'!$S:$S, $A101,
  '[1]Hoja 1'!$R:$R, "&gt;="&amp;INT($BQ$1),
  '[1]Hoja 1'!$R:$R, "&lt;"&amp;INT($BR$1+1)
)</f>
        <v>0</v>
      </c>
      <c r="BP101" s="1">
        <f t="shared" si="128"/>
        <v>0</v>
      </c>
      <c r="BQ101" s="9">
        <f t="shared" si="129"/>
        <v>0</v>
      </c>
      <c r="BR101" s="10">
        <f t="shared" si="130"/>
        <v>0</v>
      </c>
      <c r="BS101" s="1">
        <f>SUMIFS(
  '[1]Hoja 1'!$M:$M,
  '[1]Hoja 1'!$S:$S, $A101,
  '[1]Hoja 1'!$R:$R, "&gt;="&amp;INT($BU$1),
  '[1]Hoja 1'!$R:$R, "&lt;"&amp;INT($BV$1+1)
)</f>
        <v>0</v>
      </c>
      <c r="BT101" s="1">
        <f t="shared" si="131"/>
        <v>0</v>
      </c>
      <c r="BU101" s="9">
        <f t="shared" si="132"/>
        <v>0</v>
      </c>
      <c r="BV101" s="10">
        <f t="shared" si="133"/>
        <v>0</v>
      </c>
      <c r="BW101" s="1">
        <f>SUMIFS(
  '[1]Hoja 1'!$M:$M,
  '[1]Hoja 1'!$S:$S, $A101,
  '[1]Hoja 1'!$R:$R, "&gt;="&amp;INT($BY$1),
  '[1]Hoja 1'!$R:$R, "&lt;"&amp;INT($BZ$1+1)
)</f>
        <v>0</v>
      </c>
      <c r="BX101" s="1">
        <f t="shared" si="134"/>
        <v>0</v>
      </c>
      <c r="BY101" s="9">
        <f t="shared" si="135"/>
        <v>0</v>
      </c>
      <c r="BZ101" s="10">
        <f t="shared" si="136"/>
        <v>0</v>
      </c>
      <c r="CA101" s="1">
        <f>SUMIFS(
  '[1]Hoja 1'!$M:$M,
  '[1]Hoja 1'!$S:$S, $A101,
  '[1]Hoja 1'!$R:$R, "&gt;="&amp;INT($CC$1),
  '[1]Hoja 1'!$R:$R, "&lt;"&amp;INT($CD$1+1)
)</f>
        <v>0</v>
      </c>
      <c r="CB101" s="1">
        <f t="shared" si="137"/>
        <v>0</v>
      </c>
      <c r="CC101" s="9">
        <f t="shared" si="138"/>
        <v>0</v>
      </c>
      <c r="CD101" s="10">
        <f t="shared" si="139"/>
        <v>0</v>
      </c>
      <c r="CE101" s="1">
        <f>SUMIFS(
  '[1]Hoja 1'!$M:$M,
  '[1]Hoja 1'!$S:$S, $A101,
  '[1]Hoja 1'!$R:$R, "&gt;="&amp;INT($CG$1),
  '[1]Hoja 1'!$R:$R, "&lt;"&amp;INT($CH$1+1)
)</f>
        <v>0</v>
      </c>
      <c r="CF101" s="1">
        <f t="shared" si="140"/>
        <v>0</v>
      </c>
      <c r="CG101" s="9">
        <f t="shared" si="141"/>
        <v>0</v>
      </c>
      <c r="CH101" s="10">
        <f t="shared" si="142"/>
        <v>0</v>
      </c>
      <c r="CI101" s="1">
        <f>SUMIFS(
  '[1]Hoja 1'!$M:$M,
  '[1]Hoja 1'!$S:$S, $A101,
  '[1]Hoja 1'!$R:$R, "&gt;="&amp;INT($CK$1),
  '[1]Hoja 1'!$R:$R, "&lt;"&amp;INT($CL$1+1)
)</f>
        <v>0</v>
      </c>
      <c r="CJ101" s="1">
        <f t="shared" si="143"/>
        <v>0</v>
      </c>
      <c r="CK101" s="9">
        <f t="shared" si="144"/>
        <v>0</v>
      </c>
      <c r="CL101" s="10">
        <f t="shared" si="145"/>
        <v>0</v>
      </c>
      <c r="CM101" s="1">
        <f>SUMIFS(
  '[1]Hoja 1'!$M:$M,
  '[1]Hoja 1'!$S:$S, $A101,
  '[1]Hoja 1'!$R:$R, "&gt;="&amp;INT($CO$1),
  '[1]Hoja 1'!$R:$R, "&lt;"&amp;INT($CP$1+1)
)</f>
        <v>0</v>
      </c>
      <c r="CN101" s="1">
        <f t="shared" si="146"/>
        <v>0</v>
      </c>
      <c r="CO101" s="9">
        <f t="shared" si="147"/>
        <v>0</v>
      </c>
      <c r="CP101" s="10">
        <f t="shared" si="148"/>
        <v>0</v>
      </c>
      <c r="CQ101" s="1">
        <f>SUMIFS(
  '[1]Hoja 1'!$M:$M,
  '[1]Hoja 1'!$S:$S, $A101,
  '[1]Hoja 1'!$R:$R, "&gt;="&amp;INT($CS$1),
  '[1]Hoja 1'!$R:$R, "&lt;"&amp;INT($CT$1+1)
)</f>
        <v>0</v>
      </c>
      <c r="CR101" s="1">
        <f t="shared" si="149"/>
        <v>0</v>
      </c>
      <c r="CS101" s="9">
        <f t="shared" si="150"/>
        <v>0</v>
      </c>
      <c r="CT101" s="10">
        <f t="shared" si="151"/>
        <v>0</v>
      </c>
      <c r="CU101" s="1">
        <f>SUMIFS(
  '[1]Hoja 1'!$M:$M,
  '[1]Hoja 1'!$S:$S, $A101,
  '[1]Hoja 1'!$R:$R, "&gt;="&amp;INT($CW$1),
  '[1]Hoja 1'!$R:$R, "&lt;"&amp;INT($CX$1+1)
)</f>
        <v>0</v>
      </c>
      <c r="CV101" s="1">
        <f t="shared" si="152"/>
        <v>0</v>
      </c>
      <c r="CW101" s="9">
        <f t="shared" si="153"/>
        <v>0</v>
      </c>
      <c r="CX101" s="10">
        <f t="shared" si="154"/>
        <v>0</v>
      </c>
      <c r="CY101" s="1">
        <f>SUMIFS(
  '[1]Hoja 1'!$M:$M,
  '[1]Hoja 1'!$S:$S, $A101,
  '[1]Hoja 1'!$R:$R, "&gt;="&amp;INT($DA$1),
  '[1]Hoja 1'!$R:$R, "&lt;"&amp;INT($DB$1+1)
)</f>
        <v>0</v>
      </c>
      <c r="CZ101" s="1">
        <f t="shared" si="155"/>
        <v>0</v>
      </c>
      <c r="DA101" s="9">
        <f t="shared" si="156"/>
        <v>0</v>
      </c>
      <c r="DB101" s="10">
        <f t="shared" si="157"/>
        <v>0</v>
      </c>
      <c r="DC101" s="1">
        <f>SUMIFS(
  '[1]Hoja 1'!$M:$M,
  '[1]Hoja 1'!$S:$S, $A101,
  '[1]Hoja 1'!$R:$R, "&gt;="&amp;INT($DE$1),
  '[1]Hoja 1'!$R:$R, "&lt;"&amp;INT($DF$1+1)
)</f>
        <v>0</v>
      </c>
      <c r="DD101" s="1">
        <f t="shared" si="158"/>
        <v>0</v>
      </c>
      <c r="DE101" s="9">
        <f t="shared" si="159"/>
        <v>0</v>
      </c>
      <c r="DF101" s="10">
        <f t="shared" si="160"/>
        <v>0</v>
      </c>
      <c r="DG101" s="1">
        <f>SUMIFS(
  '[1]Hoja 1'!$M:$M,
  '[1]Hoja 1'!$S:$S, $A101,
  '[1]Hoja 1'!$R:$R, "&gt;="&amp;INT($DI$1),
  '[1]Hoja 1'!$R:$R, "&lt;"&amp;INT($DJ$1+1)
)</f>
        <v>0</v>
      </c>
      <c r="DH101" s="1">
        <f t="shared" si="161"/>
        <v>0</v>
      </c>
      <c r="DI101" s="9">
        <f t="shared" si="162"/>
        <v>0</v>
      </c>
      <c r="DJ101" s="10">
        <f t="shared" si="163"/>
        <v>0</v>
      </c>
      <c r="DK101" s="1">
        <f>SUMIFS(
  '[1]Hoja 1'!$M:$M,
  '[1]Hoja 1'!$S:$S, $A101,
  '[1]Hoja 1'!$R:$R, "&gt;="&amp;INT($DM$1),
  '[1]Hoja 1'!$R:$R, "&lt;"&amp;INT($DN$1+1)
)</f>
        <v>0</v>
      </c>
      <c r="DL101" s="1">
        <f t="shared" si="164"/>
        <v>0</v>
      </c>
      <c r="DM101" s="9">
        <f t="shared" si="165"/>
        <v>0</v>
      </c>
      <c r="DN101" s="10">
        <f t="shared" si="166"/>
        <v>0</v>
      </c>
      <c r="DO101" s="1">
        <f>SUMIFS(
  '[1]Hoja 1'!$M:$M,
  '[1]Hoja 1'!$S:$S, $A101,
  '[1]Hoja 1'!$R:$R, "&gt;="&amp;INT($DQ$1),
  '[1]Hoja 1'!$R:$R, "&lt;"&amp;INT($DR$1+1)
)</f>
        <v>0</v>
      </c>
      <c r="DP101" s="1">
        <f t="shared" si="167"/>
        <v>0</v>
      </c>
      <c r="DQ101" s="9">
        <f t="shared" si="168"/>
        <v>0</v>
      </c>
      <c r="DR101" s="10">
        <f t="shared" si="169"/>
        <v>0</v>
      </c>
    </row>
    <row r="102" spans="1:122" x14ac:dyDescent="0.25">
      <c r="A102" s="5">
        <v>217002</v>
      </c>
      <c r="B102" s="6" t="s">
        <v>102</v>
      </c>
      <c r="C102" s="1">
        <f>SUMIFS(
  '[1]Hoja 1'!$M:$M,
  '[1]Hoja 1'!$S:$S, $A102,
  '[1]Hoja 1'!$R:$R, "&gt;="&amp;INT($E$1),
  '[1]Hoja 1'!$R:$R, "&lt;"&amp;INT($F$1+1)
)</f>
        <v>0</v>
      </c>
      <c r="D102" s="1" t="str">
        <f>""</f>
        <v/>
      </c>
      <c r="F102" s="2"/>
      <c r="G102" s="1">
        <f>SUMIFS(
  '[1]Hoja 1'!$M:$M,
  '[1]Hoja 1'!$S:$S, $A102,
  '[1]Hoja 1'!$R:$R, "&gt;="&amp;INT($I$1),
  '[1]Hoja 1'!$R:$R, "&lt;"&amp;INT($J$1+1)
)</f>
        <v>0</v>
      </c>
      <c r="H102" s="1">
        <f t="shared" si="85"/>
        <v>0</v>
      </c>
      <c r="I102" s="1"/>
      <c r="J102" s="2"/>
      <c r="K102" s="1">
        <f>SUMIFS(
  '[1]Hoja 1'!$M:$M,
  '[1]Hoja 1'!$S:$S, $A102,
  '[1]Hoja 1'!$R:$R, "&gt;="&amp;INT($M$1),
  '[1]Hoja 1'!$R:$R, "&lt;"&amp;INT($N$1+1)
)</f>
        <v>0</v>
      </c>
      <c r="L102" s="1">
        <f t="shared" si="86"/>
        <v>0</v>
      </c>
      <c r="M102" s="9">
        <f t="shared" si="87"/>
        <v>0</v>
      </c>
      <c r="N102" s="10">
        <f t="shared" si="88"/>
        <v>0</v>
      </c>
      <c r="O102" s="1">
        <f>SUMIFS(
  '[1]Hoja 1'!$M:$M,
  '[1]Hoja 1'!$S:$S, $A102,
  '[1]Hoja 1'!$R:$R, "&gt;="&amp;INT($Q$1),
  '[1]Hoja 1'!$R:$R, "&lt;"&amp;INT($R$1+1)
)</f>
        <v>0</v>
      </c>
      <c r="P102" s="1">
        <f t="shared" si="89"/>
        <v>0</v>
      </c>
      <c r="Q102" s="9">
        <f t="shared" si="90"/>
        <v>0</v>
      </c>
      <c r="R102" s="10">
        <f t="shared" si="91"/>
        <v>0</v>
      </c>
      <c r="S102" s="1">
        <f>SUMIFS(
  '[1]Hoja 1'!$M:$M,
  '[1]Hoja 1'!$S:$S, $A102,
  '[1]Hoja 1'!$R:$R, "&gt;="&amp;INT($U$1),
  '[1]Hoja 1'!$R:$R, "&lt;"&amp;INT($V$1+1)
)</f>
        <v>0</v>
      </c>
      <c r="T102" s="1">
        <f t="shared" si="92"/>
        <v>0</v>
      </c>
      <c r="U102" s="9">
        <f t="shared" si="93"/>
        <v>0</v>
      </c>
      <c r="V102" s="10">
        <f t="shared" si="94"/>
        <v>0</v>
      </c>
      <c r="W102" s="1">
        <f>SUMIFS(
  '[1]Hoja 1'!$M:$M,
  '[1]Hoja 1'!$S:$S, $A102,
  '[1]Hoja 1'!$R:$R, "&gt;="&amp;INT($Y$1),
  '[1]Hoja 1'!$R:$R, "&lt;"&amp;INT($Z$1+1)
)</f>
        <v>0</v>
      </c>
      <c r="X102" s="1">
        <f t="shared" si="95"/>
        <v>0</v>
      </c>
      <c r="Y102" s="9">
        <f t="shared" si="96"/>
        <v>0</v>
      </c>
      <c r="Z102" s="10">
        <f t="shared" si="97"/>
        <v>0</v>
      </c>
      <c r="AA102" s="1">
        <f>SUMIFS(
  '[1]Hoja 1'!$M:$M,
  '[1]Hoja 1'!$S:$S, $A102,
  '[1]Hoja 1'!$R:$R, "&gt;="&amp;INT($AC$1),
  '[1]Hoja 1'!$R:$R, "&lt;"&amp;INT($AD$1+1)
)</f>
        <v>0</v>
      </c>
      <c r="AB102" s="1">
        <f t="shared" si="98"/>
        <v>0</v>
      </c>
      <c r="AC102" s="9">
        <f t="shared" si="99"/>
        <v>0</v>
      </c>
      <c r="AD102" s="10">
        <f t="shared" si="100"/>
        <v>0</v>
      </c>
      <c r="AE102" s="1">
        <f>SUMIFS(
  '[1]Hoja 1'!$M:$M,
  '[1]Hoja 1'!$S:$S, $A102,
  '[1]Hoja 1'!$R:$R, "&gt;="&amp;INT($AG$1),
  '[1]Hoja 1'!$R:$R, "&lt;"&amp;INT($AH$1+1)
)</f>
        <v>0</v>
      </c>
      <c r="AF102" s="1">
        <f t="shared" si="101"/>
        <v>0</v>
      </c>
      <c r="AG102" s="9">
        <f t="shared" si="102"/>
        <v>0</v>
      </c>
      <c r="AH102" s="10">
        <f t="shared" si="103"/>
        <v>0</v>
      </c>
      <c r="AI102" s="1">
        <f>SUMIFS(
  '[1]Hoja 1'!$M:$M,
  '[1]Hoja 1'!$S:$S, $A102,
  '[1]Hoja 1'!$R:$R, "&gt;="&amp;INT($AK$1),
  '[1]Hoja 1'!$R:$R, "&lt;"&amp;INT($AL$1+1)
)</f>
        <v>0</v>
      </c>
      <c r="AJ102" s="1">
        <f t="shared" si="104"/>
        <v>0</v>
      </c>
      <c r="AK102" s="9">
        <f t="shared" si="105"/>
        <v>0</v>
      </c>
      <c r="AL102" s="10">
        <f t="shared" si="106"/>
        <v>0</v>
      </c>
      <c r="AM102" s="1">
        <f>SUMIFS(
  '[1]Hoja 1'!$M:$M,
  '[1]Hoja 1'!$S:$S, $A102,
  '[1]Hoja 1'!$R:$R, "&gt;="&amp;INT($AO$1),
  '[1]Hoja 1'!$R:$R, "&lt;"&amp;INT($AP$1+1)
)</f>
        <v>0</v>
      </c>
      <c r="AN102" s="1">
        <f t="shared" si="107"/>
        <v>0</v>
      </c>
      <c r="AO102" s="9">
        <f t="shared" si="108"/>
        <v>0</v>
      </c>
      <c r="AP102" s="10">
        <f t="shared" si="109"/>
        <v>0</v>
      </c>
      <c r="AQ102" s="1">
        <f>SUMIFS(
  '[1]Hoja 1'!$M:$M,
  '[1]Hoja 1'!$S:$S, $A102,
  '[1]Hoja 1'!$R:$R, "&gt;="&amp;INT($AS$1),
  '[1]Hoja 1'!$R:$R, "&lt;"&amp;INT($AT$1+1)
)</f>
        <v>0</v>
      </c>
      <c r="AR102" s="1">
        <f t="shared" si="110"/>
        <v>0</v>
      </c>
      <c r="AS102" s="9">
        <f t="shared" si="111"/>
        <v>0</v>
      </c>
      <c r="AT102" s="10">
        <f t="shared" si="112"/>
        <v>0</v>
      </c>
      <c r="AU102" s="1">
        <f>SUMIFS(
  '[1]Hoja 1'!$M:$M,
  '[1]Hoja 1'!$S:$S, $A102,
  '[1]Hoja 1'!$R:$R, "&gt;="&amp;INT($AW$1),
  '[1]Hoja 1'!$R:$R, "&lt;"&amp;INT($AX$1+1)
)</f>
        <v>0</v>
      </c>
      <c r="AV102" s="1">
        <f t="shared" si="113"/>
        <v>0</v>
      </c>
      <c r="AW102" s="9">
        <f t="shared" si="114"/>
        <v>0</v>
      </c>
      <c r="AX102" s="10">
        <f t="shared" si="115"/>
        <v>0</v>
      </c>
      <c r="AY102" s="1">
        <f>SUMIFS(
  '[1]Hoja 1'!$M:$M,
  '[1]Hoja 1'!$S:$S, $A102,
  '[1]Hoja 1'!$R:$R, "&gt;="&amp;INT($BA$1),
  '[1]Hoja 1'!$R:$R, "&lt;"&amp;INT($BB$1+1)
)</f>
        <v>0</v>
      </c>
      <c r="AZ102" s="1">
        <f t="shared" si="116"/>
        <v>0</v>
      </c>
      <c r="BA102" s="9">
        <f t="shared" si="117"/>
        <v>0</v>
      </c>
      <c r="BB102" s="10">
        <f t="shared" si="118"/>
        <v>0</v>
      </c>
      <c r="BC102" s="1">
        <f>SUMIFS(
  '[1]Hoja 1'!$M:$M,
  '[1]Hoja 1'!$S:$S, $A102,
  '[1]Hoja 1'!$R:$R, "&gt;="&amp;INT($BE$1),
  '[1]Hoja 1'!$R:$R, "&lt;"&amp;INT($BF$1+1)
)</f>
        <v>0</v>
      </c>
      <c r="BD102" s="1">
        <f t="shared" si="119"/>
        <v>0</v>
      </c>
      <c r="BE102" s="9">
        <f t="shared" si="120"/>
        <v>0</v>
      </c>
      <c r="BF102" s="10">
        <f t="shared" si="121"/>
        <v>0</v>
      </c>
      <c r="BG102" s="1">
        <f>SUMIFS(
  '[1]Hoja 1'!$M:$M,
  '[1]Hoja 1'!$S:$S, $A102,
  '[1]Hoja 1'!$R:$R, "&gt;="&amp;INT($BI$1),
  '[1]Hoja 1'!$R:$R, "&lt;"&amp;INT($BJ$1+1)
)</f>
        <v>0</v>
      </c>
      <c r="BH102" s="1">
        <f t="shared" si="122"/>
        <v>0</v>
      </c>
      <c r="BI102" s="9">
        <f t="shared" si="123"/>
        <v>0</v>
      </c>
      <c r="BJ102" s="10">
        <f t="shared" si="124"/>
        <v>0</v>
      </c>
      <c r="BK102" s="1">
        <f>SUMIFS(
  '[1]Hoja 1'!$M:$M,
  '[1]Hoja 1'!$S:$S, $A102,
  '[1]Hoja 1'!$R:$R, "&gt;="&amp;INT($BM$1),
  '[1]Hoja 1'!$R:$R, "&lt;"&amp;INT($BN$1+1)
)</f>
        <v>0</v>
      </c>
      <c r="BL102" s="1">
        <f t="shared" si="125"/>
        <v>0</v>
      </c>
      <c r="BM102" s="9">
        <f t="shared" si="126"/>
        <v>0</v>
      </c>
      <c r="BN102" s="10">
        <f t="shared" si="127"/>
        <v>0</v>
      </c>
      <c r="BO102" s="1">
        <f>SUMIFS(
  '[1]Hoja 1'!$M:$M,
  '[1]Hoja 1'!$S:$S, $A102,
  '[1]Hoja 1'!$R:$R, "&gt;="&amp;INT($BQ$1),
  '[1]Hoja 1'!$R:$R, "&lt;"&amp;INT($BR$1+1)
)</f>
        <v>0</v>
      </c>
      <c r="BP102" s="1">
        <f t="shared" si="128"/>
        <v>0</v>
      </c>
      <c r="BQ102" s="9">
        <f t="shared" si="129"/>
        <v>0</v>
      </c>
      <c r="BR102" s="10">
        <f t="shared" si="130"/>
        <v>0</v>
      </c>
      <c r="BS102" s="1">
        <f>SUMIFS(
  '[1]Hoja 1'!$M:$M,
  '[1]Hoja 1'!$S:$S, $A102,
  '[1]Hoja 1'!$R:$R, "&gt;="&amp;INT($BU$1),
  '[1]Hoja 1'!$R:$R, "&lt;"&amp;INT($BV$1+1)
)</f>
        <v>0</v>
      </c>
      <c r="BT102" s="1">
        <f t="shared" si="131"/>
        <v>0</v>
      </c>
      <c r="BU102" s="9">
        <f t="shared" si="132"/>
        <v>0</v>
      </c>
      <c r="BV102" s="10">
        <f t="shared" si="133"/>
        <v>0</v>
      </c>
      <c r="BW102" s="1">
        <f>SUMIFS(
  '[1]Hoja 1'!$M:$M,
  '[1]Hoja 1'!$S:$S, $A102,
  '[1]Hoja 1'!$R:$R, "&gt;="&amp;INT($BY$1),
  '[1]Hoja 1'!$R:$R, "&lt;"&amp;INT($BZ$1+1)
)</f>
        <v>0</v>
      </c>
      <c r="BX102" s="1">
        <f t="shared" si="134"/>
        <v>0</v>
      </c>
      <c r="BY102" s="9">
        <f t="shared" si="135"/>
        <v>0</v>
      </c>
      <c r="BZ102" s="10">
        <f t="shared" si="136"/>
        <v>0</v>
      </c>
      <c r="CA102" s="1">
        <f>SUMIFS(
  '[1]Hoja 1'!$M:$M,
  '[1]Hoja 1'!$S:$S, $A102,
  '[1]Hoja 1'!$R:$R, "&gt;="&amp;INT($CC$1),
  '[1]Hoja 1'!$R:$R, "&lt;"&amp;INT($CD$1+1)
)</f>
        <v>0</v>
      </c>
      <c r="CB102" s="1">
        <f t="shared" si="137"/>
        <v>0</v>
      </c>
      <c r="CC102" s="9">
        <f t="shared" si="138"/>
        <v>0</v>
      </c>
      <c r="CD102" s="10">
        <f t="shared" si="139"/>
        <v>0</v>
      </c>
      <c r="CE102" s="1">
        <f>SUMIFS(
  '[1]Hoja 1'!$M:$M,
  '[1]Hoja 1'!$S:$S, $A102,
  '[1]Hoja 1'!$R:$R, "&gt;="&amp;INT($CG$1),
  '[1]Hoja 1'!$R:$R, "&lt;"&amp;INT($CH$1+1)
)</f>
        <v>0</v>
      </c>
      <c r="CF102" s="1">
        <f t="shared" si="140"/>
        <v>0</v>
      </c>
      <c r="CG102" s="9">
        <f t="shared" si="141"/>
        <v>0</v>
      </c>
      <c r="CH102" s="10">
        <f t="shared" si="142"/>
        <v>0</v>
      </c>
      <c r="CI102" s="1">
        <f>SUMIFS(
  '[1]Hoja 1'!$M:$M,
  '[1]Hoja 1'!$S:$S, $A102,
  '[1]Hoja 1'!$R:$R, "&gt;="&amp;INT($CK$1),
  '[1]Hoja 1'!$R:$R, "&lt;"&amp;INT($CL$1+1)
)</f>
        <v>0</v>
      </c>
      <c r="CJ102" s="1">
        <f t="shared" si="143"/>
        <v>0</v>
      </c>
      <c r="CK102" s="9">
        <f t="shared" si="144"/>
        <v>0</v>
      </c>
      <c r="CL102" s="10">
        <f t="shared" si="145"/>
        <v>0</v>
      </c>
      <c r="CM102" s="1">
        <f>SUMIFS(
  '[1]Hoja 1'!$M:$M,
  '[1]Hoja 1'!$S:$S, $A102,
  '[1]Hoja 1'!$R:$R, "&gt;="&amp;INT($CO$1),
  '[1]Hoja 1'!$R:$R, "&lt;"&amp;INT($CP$1+1)
)</f>
        <v>0</v>
      </c>
      <c r="CN102" s="1">
        <f t="shared" si="146"/>
        <v>0</v>
      </c>
      <c r="CO102" s="9">
        <f t="shared" si="147"/>
        <v>0</v>
      </c>
      <c r="CP102" s="10">
        <f t="shared" si="148"/>
        <v>0</v>
      </c>
      <c r="CQ102" s="1">
        <f>SUMIFS(
  '[1]Hoja 1'!$M:$M,
  '[1]Hoja 1'!$S:$S, $A102,
  '[1]Hoja 1'!$R:$R, "&gt;="&amp;INT($CS$1),
  '[1]Hoja 1'!$R:$R, "&lt;"&amp;INT($CT$1+1)
)</f>
        <v>0</v>
      </c>
      <c r="CR102" s="1">
        <f t="shared" si="149"/>
        <v>0</v>
      </c>
      <c r="CS102" s="9">
        <f t="shared" si="150"/>
        <v>0</v>
      </c>
      <c r="CT102" s="10">
        <f t="shared" si="151"/>
        <v>0</v>
      </c>
      <c r="CU102" s="1">
        <f>SUMIFS(
  '[1]Hoja 1'!$M:$M,
  '[1]Hoja 1'!$S:$S, $A102,
  '[1]Hoja 1'!$R:$R, "&gt;="&amp;INT($CW$1),
  '[1]Hoja 1'!$R:$R, "&lt;"&amp;INT($CX$1+1)
)</f>
        <v>0</v>
      </c>
      <c r="CV102" s="1">
        <f t="shared" si="152"/>
        <v>0</v>
      </c>
      <c r="CW102" s="9">
        <f t="shared" si="153"/>
        <v>0</v>
      </c>
      <c r="CX102" s="10">
        <f t="shared" si="154"/>
        <v>0</v>
      </c>
      <c r="CY102" s="1">
        <f>SUMIFS(
  '[1]Hoja 1'!$M:$M,
  '[1]Hoja 1'!$S:$S, $A102,
  '[1]Hoja 1'!$R:$R, "&gt;="&amp;INT($DA$1),
  '[1]Hoja 1'!$R:$R, "&lt;"&amp;INT($DB$1+1)
)</f>
        <v>0</v>
      </c>
      <c r="CZ102" s="1">
        <f t="shared" si="155"/>
        <v>0</v>
      </c>
      <c r="DA102" s="9">
        <f t="shared" si="156"/>
        <v>0</v>
      </c>
      <c r="DB102" s="10">
        <f t="shared" si="157"/>
        <v>0</v>
      </c>
      <c r="DC102" s="1">
        <f>SUMIFS(
  '[1]Hoja 1'!$M:$M,
  '[1]Hoja 1'!$S:$S, $A102,
  '[1]Hoja 1'!$R:$R, "&gt;="&amp;INT($DE$1),
  '[1]Hoja 1'!$R:$R, "&lt;"&amp;INT($DF$1+1)
)</f>
        <v>0</v>
      </c>
      <c r="DD102" s="1">
        <f t="shared" si="158"/>
        <v>0</v>
      </c>
      <c r="DE102" s="9">
        <f t="shared" si="159"/>
        <v>0</v>
      </c>
      <c r="DF102" s="10">
        <f t="shared" si="160"/>
        <v>0</v>
      </c>
      <c r="DG102" s="1">
        <f>SUMIFS(
  '[1]Hoja 1'!$M:$M,
  '[1]Hoja 1'!$S:$S, $A102,
  '[1]Hoja 1'!$R:$R, "&gt;="&amp;INT($DI$1),
  '[1]Hoja 1'!$R:$R, "&lt;"&amp;INT($DJ$1+1)
)</f>
        <v>0</v>
      </c>
      <c r="DH102" s="1">
        <f t="shared" si="161"/>
        <v>0</v>
      </c>
      <c r="DI102" s="9">
        <f t="shared" si="162"/>
        <v>0</v>
      </c>
      <c r="DJ102" s="10">
        <f t="shared" si="163"/>
        <v>0</v>
      </c>
      <c r="DK102" s="1">
        <f>SUMIFS(
  '[1]Hoja 1'!$M:$M,
  '[1]Hoja 1'!$S:$S, $A102,
  '[1]Hoja 1'!$R:$R, "&gt;="&amp;INT($DM$1),
  '[1]Hoja 1'!$R:$R, "&lt;"&amp;INT($DN$1+1)
)</f>
        <v>0</v>
      </c>
      <c r="DL102" s="1">
        <f t="shared" si="164"/>
        <v>0</v>
      </c>
      <c r="DM102" s="9">
        <f t="shared" si="165"/>
        <v>0</v>
      </c>
      <c r="DN102" s="10">
        <f t="shared" si="166"/>
        <v>0</v>
      </c>
      <c r="DO102" s="1">
        <f>SUMIFS(
  '[1]Hoja 1'!$M:$M,
  '[1]Hoja 1'!$S:$S, $A102,
  '[1]Hoja 1'!$R:$R, "&gt;="&amp;INT($DQ$1),
  '[1]Hoja 1'!$R:$R, "&lt;"&amp;INT($DR$1+1)
)</f>
        <v>0</v>
      </c>
      <c r="DP102" s="1">
        <f t="shared" si="167"/>
        <v>0</v>
      </c>
      <c r="DQ102" s="9">
        <f t="shared" si="168"/>
        <v>0</v>
      </c>
      <c r="DR102" s="10">
        <f t="shared" si="169"/>
        <v>0</v>
      </c>
    </row>
    <row r="103" spans="1:122" x14ac:dyDescent="0.25">
      <c r="A103" s="5">
        <v>217006</v>
      </c>
      <c r="B103" s="6" t="s">
        <v>103</v>
      </c>
      <c r="C103" s="1">
        <f>SUMIFS(
  '[1]Hoja 1'!$M:$M,
  '[1]Hoja 1'!$S:$S, $A103,
  '[1]Hoja 1'!$R:$R, "&gt;="&amp;INT($E$1),
  '[1]Hoja 1'!$R:$R, "&lt;"&amp;INT($F$1+1)
)</f>
        <v>0</v>
      </c>
      <c r="D103" s="1" t="str">
        <f>""</f>
        <v/>
      </c>
      <c r="F103" s="2"/>
      <c r="G103" s="1">
        <f>SUMIFS(
  '[1]Hoja 1'!$M:$M,
  '[1]Hoja 1'!$S:$S, $A103,
  '[1]Hoja 1'!$R:$R, "&gt;="&amp;INT($I$1),
  '[1]Hoja 1'!$R:$R, "&lt;"&amp;INT($J$1+1)
)</f>
        <v>0</v>
      </c>
      <c r="H103" s="1">
        <f t="shared" si="85"/>
        <v>0</v>
      </c>
      <c r="I103" s="1"/>
      <c r="J103" s="2"/>
      <c r="K103" s="1">
        <f>SUMIFS(
  '[1]Hoja 1'!$M:$M,
  '[1]Hoja 1'!$S:$S, $A103,
  '[1]Hoja 1'!$R:$R, "&gt;="&amp;INT($M$1),
  '[1]Hoja 1'!$R:$R, "&lt;"&amp;INT($N$1+1)
)</f>
        <v>0</v>
      </c>
      <c r="L103" s="1">
        <f t="shared" si="86"/>
        <v>0</v>
      </c>
      <c r="M103" s="9">
        <f t="shared" si="87"/>
        <v>0</v>
      </c>
      <c r="N103" s="10">
        <f t="shared" si="88"/>
        <v>0</v>
      </c>
      <c r="O103" s="1">
        <f>SUMIFS(
  '[1]Hoja 1'!$M:$M,
  '[1]Hoja 1'!$S:$S, $A103,
  '[1]Hoja 1'!$R:$R, "&gt;="&amp;INT($Q$1),
  '[1]Hoja 1'!$R:$R, "&lt;"&amp;INT($R$1+1)
)</f>
        <v>0</v>
      </c>
      <c r="P103" s="1">
        <f t="shared" si="89"/>
        <v>0</v>
      </c>
      <c r="Q103" s="9">
        <f t="shared" si="90"/>
        <v>0</v>
      </c>
      <c r="R103" s="10">
        <f t="shared" si="91"/>
        <v>0</v>
      </c>
      <c r="S103" s="1">
        <f>SUMIFS(
  '[1]Hoja 1'!$M:$M,
  '[1]Hoja 1'!$S:$S, $A103,
  '[1]Hoja 1'!$R:$R, "&gt;="&amp;INT($U$1),
  '[1]Hoja 1'!$R:$R, "&lt;"&amp;INT($V$1+1)
)</f>
        <v>0</v>
      </c>
      <c r="T103" s="1">
        <f t="shared" si="92"/>
        <v>0</v>
      </c>
      <c r="U103" s="9">
        <f t="shared" si="93"/>
        <v>0</v>
      </c>
      <c r="V103" s="10">
        <f t="shared" si="94"/>
        <v>0</v>
      </c>
      <c r="W103" s="1">
        <f>SUMIFS(
  '[1]Hoja 1'!$M:$M,
  '[1]Hoja 1'!$S:$S, $A103,
  '[1]Hoja 1'!$R:$R, "&gt;="&amp;INT($Y$1),
  '[1]Hoja 1'!$R:$R, "&lt;"&amp;INT($Z$1+1)
)</f>
        <v>0</v>
      </c>
      <c r="X103" s="1">
        <f t="shared" si="95"/>
        <v>0</v>
      </c>
      <c r="Y103" s="9">
        <f t="shared" si="96"/>
        <v>0</v>
      </c>
      <c r="Z103" s="10">
        <f t="shared" si="97"/>
        <v>0</v>
      </c>
      <c r="AA103" s="1">
        <f>SUMIFS(
  '[1]Hoja 1'!$M:$M,
  '[1]Hoja 1'!$S:$S, $A103,
  '[1]Hoja 1'!$R:$R, "&gt;="&amp;INT($AC$1),
  '[1]Hoja 1'!$R:$R, "&lt;"&amp;INT($AD$1+1)
)</f>
        <v>0</v>
      </c>
      <c r="AB103" s="1">
        <f t="shared" si="98"/>
        <v>0</v>
      </c>
      <c r="AC103" s="9">
        <f t="shared" si="99"/>
        <v>0</v>
      </c>
      <c r="AD103" s="10">
        <f t="shared" si="100"/>
        <v>0</v>
      </c>
      <c r="AE103" s="1">
        <f>SUMIFS(
  '[1]Hoja 1'!$M:$M,
  '[1]Hoja 1'!$S:$S, $A103,
  '[1]Hoja 1'!$R:$R, "&gt;="&amp;INT($AG$1),
  '[1]Hoja 1'!$R:$R, "&lt;"&amp;INT($AH$1+1)
)</f>
        <v>0</v>
      </c>
      <c r="AF103" s="1">
        <f t="shared" si="101"/>
        <v>0</v>
      </c>
      <c r="AG103" s="9">
        <f t="shared" si="102"/>
        <v>0</v>
      </c>
      <c r="AH103" s="10">
        <f t="shared" si="103"/>
        <v>0</v>
      </c>
      <c r="AI103" s="1">
        <f>SUMIFS(
  '[1]Hoja 1'!$M:$M,
  '[1]Hoja 1'!$S:$S, $A103,
  '[1]Hoja 1'!$R:$R, "&gt;="&amp;INT($AK$1),
  '[1]Hoja 1'!$R:$R, "&lt;"&amp;INT($AL$1+1)
)</f>
        <v>0</v>
      </c>
      <c r="AJ103" s="1">
        <f t="shared" si="104"/>
        <v>0</v>
      </c>
      <c r="AK103" s="9">
        <f t="shared" si="105"/>
        <v>0</v>
      </c>
      <c r="AL103" s="10">
        <f t="shared" si="106"/>
        <v>0</v>
      </c>
      <c r="AM103" s="1">
        <f>SUMIFS(
  '[1]Hoja 1'!$M:$M,
  '[1]Hoja 1'!$S:$S, $A103,
  '[1]Hoja 1'!$R:$R, "&gt;="&amp;INT($AO$1),
  '[1]Hoja 1'!$R:$R, "&lt;"&amp;INT($AP$1+1)
)</f>
        <v>0</v>
      </c>
      <c r="AN103" s="1">
        <f t="shared" si="107"/>
        <v>0</v>
      </c>
      <c r="AO103" s="9">
        <f t="shared" si="108"/>
        <v>0</v>
      </c>
      <c r="AP103" s="10">
        <f t="shared" si="109"/>
        <v>0</v>
      </c>
      <c r="AQ103" s="1">
        <f>SUMIFS(
  '[1]Hoja 1'!$M:$M,
  '[1]Hoja 1'!$S:$S, $A103,
  '[1]Hoja 1'!$R:$R, "&gt;="&amp;INT($AS$1),
  '[1]Hoja 1'!$R:$R, "&lt;"&amp;INT($AT$1+1)
)</f>
        <v>0</v>
      </c>
      <c r="AR103" s="1">
        <f t="shared" si="110"/>
        <v>0</v>
      </c>
      <c r="AS103" s="9">
        <f t="shared" si="111"/>
        <v>0</v>
      </c>
      <c r="AT103" s="10">
        <f t="shared" si="112"/>
        <v>0</v>
      </c>
      <c r="AU103" s="1">
        <f>SUMIFS(
  '[1]Hoja 1'!$M:$M,
  '[1]Hoja 1'!$S:$S, $A103,
  '[1]Hoja 1'!$R:$R, "&gt;="&amp;INT($AW$1),
  '[1]Hoja 1'!$R:$R, "&lt;"&amp;INT($AX$1+1)
)</f>
        <v>0</v>
      </c>
      <c r="AV103" s="1">
        <f t="shared" si="113"/>
        <v>0</v>
      </c>
      <c r="AW103" s="9">
        <f t="shared" si="114"/>
        <v>0</v>
      </c>
      <c r="AX103" s="10">
        <f t="shared" si="115"/>
        <v>0</v>
      </c>
      <c r="AY103" s="1">
        <f>SUMIFS(
  '[1]Hoja 1'!$M:$M,
  '[1]Hoja 1'!$S:$S, $A103,
  '[1]Hoja 1'!$R:$R, "&gt;="&amp;INT($BA$1),
  '[1]Hoja 1'!$R:$R, "&lt;"&amp;INT($BB$1+1)
)</f>
        <v>0</v>
      </c>
      <c r="AZ103" s="1">
        <f t="shared" si="116"/>
        <v>0</v>
      </c>
      <c r="BA103" s="9">
        <f t="shared" si="117"/>
        <v>0</v>
      </c>
      <c r="BB103" s="10">
        <f t="shared" si="118"/>
        <v>0</v>
      </c>
      <c r="BC103" s="1">
        <f>SUMIFS(
  '[1]Hoja 1'!$M:$M,
  '[1]Hoja 1'!$S:$S, $A103,
  '[1]Hoja 1'!$R:$R, "&gt;="&amp;INT($BE$1),
  '[1]Hoja 1'!$R:$R, "&lt;"&amp;INT($BF$1+1)
)</f>
        <v>0</v>
      </c>
      <c r="BD103" s="1">
        <f t="shared" si="119"/>
        <v>0</v>
      </c>
      <c r="BE103" s="9">
        <f t="shared" si="120"/>
        <v>0</v>
      </c>
      <c r="BF103" s="10">
        <f t="shared" si="121"/>
        <v>0</v>
      </c>
      <c r="BG103" s="1">
        <f>SUMIFS(
  '[1]Hoja 1'!$M:$M,
  '[1]Hoja 1'!$S:$S, $A103,
  '[1]Hoja 1'!$R:$R, "&gt;="&amp;INT($BI$1),
  '[1]Hoja 1'!$R:$R, "&lt;"&amp;INT($BJ$1+1)
)</f>
        <v>0</v>
      </c>
      <c r="BH103" s="1">
        <f t="shared" si="122"/>
        <v>0</v>
      </c>
      <c r="BI103" s="9">
        <f t="shared" si="123"/>
        <v>0</v>
      </c>
      <c r="BJ103" s="10">
        <f t="shared" si="124"/>
        <v>0</v>
      </c>
      <c r="BK103" s="1">
        <f>SUMIFS(
  '[1]Hoja 1'!$M:$M,
  '[1]Hoja 1'!$S:$S, $A103,
  '[1]Hoja 1'!$R:$R, "&gt;="&amp;INT($BM$1),
  '[1]Hoja 1'!$R:$R, "&lt;"&amp;INT($BN$1+1)
)</f>
        <v>0</v>
      </c>
      <c r="BL103" s="1">
        <f t="shared" si="125"/>
        <v>0</v>
      </c>
      <c r="BM103" s="9">
        <f t="shared" si="126"/>
        <v>0</v>
      </c>
      <c r="BN103" s="10">
        <f t="shared" si="127"/>
        <v>0</v>
      </c>
      <c r="BO103" s="1">
        <f>SUMIFS(
  '[1]Hoja 1'!$M:$M,
  '[1]Hoja 1'!$S:$S, $A103,
  '[1]Hoja 1'!$R:$R, "&gt;="&amp;INT($BQ$1),
  '[1]Hoja 1'!$R:$R, "&lt;"&amp;INT($BR$1+1)
)</f>
        <v>0</v>
      </c>
      <c r="BP103" s="1">
        <f t="shared" si="128"/>
        <v>0</v>
      </c>
      <c r="BQ103" s="9">
        <f t="shared" si="129"/>
        <v>0</v>
      </c>
      <c r="BR103" s="10">
        <f t="shared" si="130"/>
        <v>0</v>
      </c>
      <c r="BS103" s="1">
        <f>SUMIFS(
  '[1]Hoja 1'!$M:$M,
  '[1]Hoja 1'!$S:$S, $A103,
  '[1]Hoja 1'!$R:$R, "&gt;="&amp;INT($BU$1),
  '[1]Hoja 1'!$R:$R, "&lt;"&amp;INT($BV$1+1)
)</f>
        <v>0</v>
      </c>
      <c r="BT103" s="1">
        <f t="shared" si="131"/>
        <v>0</v>
      </c>
      <c r="BU103" s="9">
        <f t="shared" si="132"/>
        <v>0</v>
      </c>
      <c r="BV103" s="10">
        <f t="shared" si="133"/>
        <v>0</v>
      </c>
      <c r="BW103" s="1">
        <f>SUMIFS(
  '[1]Hoja 1'!$M:$M,
  '[1]Hoja 1'!$S:$S, $A103,
  '[1]Hoja 1'!$R:$R, "&gt;="&amp;INT($BY$1),
  '[1]Hoja 1'!$R:$R, "&lt;"&amp;INT($BZ$1+1)
)</f>
        <v>0</v>
      </c>
      <c r="BX103" s="1">
        <f t="shared" si="134"/>
        <v>0</v>
      </c>
      <c r="BY103" s="9">
        <f t="shared" si="135"/>
        <v>0</v>
      </c>
      <c r="BZ103" s="10">
        <f t="shared" si="136"/>
        <v>0</v>
      </c>
      <c r="CA103" s="1">
        <f>SUMIFS(
  '[1]Hoja 1'!$M:$M,
  '[1]Hoja 1'!$S:$S, $A103,
  '[1]Hoja 1'!$R:$R, "&gt;="&amp;INT($CC$1),
  '[1]Hoja 1'!$R:$R, "&lt;"&amp;INT($CD$1+1)
)</f>
        <v>0</v>
      </c>
      <c r="CB103" s="1">
        <f t="shared" si="137"/>
        <v>0</v>
      </c>
      <c r="CC103" s="9">
        <f t="shared" si="138"/>
        <v>0</v>
      </c>
      <c r="CD103" s="10">
        <f t="shared" si="139"/>
        <v>0</v>
      </c>
      <c r="CE103" s="1">
        <f>SUMIFS(
  '[1]Hoja 1'!$M:$M,
  '[1]Hoja 1'!$S:$S, $A103,
  '[1]Hoja 1'!$R:$R, "&gt;="&amp;INT($CG$1),
  '[1]Hoja 1'!$R:$R, "&lt;"&amp;INT($CH$1+1)
)</f>
        <v>0</v>
      </c>
      <c r="CF103" s="1">
        <f t="shared" si="140"/>
        <v>0</v>
      </c>
      <c r="CG103" s="9">
        <f t="shared" si="141"/>
        <v>0</v>
      </c>
      <c r="CH103" s="10">
        <f t="shared" si="142"/>
        <v>0</v>
      </c>
      <c r="CI103" s="1">
        <f>SUMIFS(
  '[1]Hoja 1'!$M:$M,
  '[1]Hoja 1'!$S:$S, $A103,
  '[1]Hoja 1'!$R:$R, "&gt;="&amp;INT($CK$1),
  '[1]Hoja 1'!$R:$R, "&lt;"&amp;INT($CL$1+1)
)</f>
        <v>0</v>
      </c>
      <c r="CJ103" s="1">
        <f t="shared" si="143"/>
        <v>0</v>
      </c>
      <c r="CK103" s="9">
        <f t="shared" si="144"/>
        <v>0</v>
      </c>
      <c r="CL103" s="10">
        <f t="shared" si="145"/>
        <v>0</v>
      </c>
      <c r="CM103" s="1">
        <f>SUMIFS(
  '[1]Hoja 1'!$M:$M,
  '[1]Hoja 1'!$S:$S, $A103,
  '[1]Hoja 1'!$R:$R, "&gt;="&amp;INT($CO$1),
  '[1]Hoja 1'!$R:$R, "&lt;"&amp;INT($CP$1+1)
)</f>
        <v>0</v>
      </c>
      <c r="CN103" s="1">
        <f t="shared" si="146"/>
        <v>0</v>
      </c>
      <c r="CO103" s="9">
        <f t="shared" si="147"/>
        <v>0</v>
      </c>
      <c r="CP103" s="10">
        <f t="shared" si="148"/>
        <v>0</v>
      </c>
      <c r="CQ103" s="1">
        <f>SUMIFS(
  '[1]Hoja 1'!$M:$M,
  '[1]Hoja 1'!$S:$S, $A103,
  '[1]Hoja 1'!$R:$R, "&gt;="&amp;INT($CS$1),
  '[1]Hoja 1'!$R:$R, "&lt;"&amp;INT($CT$1+1)
)</f>
        <v>0</v>
      </c>
      <c r="CR103" s="1">
        <f t="shared" si="149"/>
        <v>0</v>
      </c>
      <c r="CS103" s="9">
        <f t="shared" si="150"/>
        <v>0</v>
      </c>
      <c r="CT103" s="10">
        <f t="shared" si="151"/>
        <v>0</v>
      </c>
      <c r="CU103" s="1">
        <f>SUMIFS(
  '[1]Hoja 1'!$M:$M,
  '[1]Hoja 1'!$S:$S, $A103,
  '[1]Hoja 1'!$R:$R, "&gt;="&amp;INT($CW$1),
  '[1]Hoja 1'!$R:$R, "&lt;"&amp;INT($CX$1+1)
)</f>
        <v>0</v>
      </c>
      <c r="CV103" s="1">
        <f t="shared" si="152"/>
        <v>0</v>
      </c>
      <c r="CW103" s="9">
        <f t="shared" si="153"/>
        <v>0</v>
      </c>
      <c r="CX103" s="10">
        <f t="shared" si="154"/>
        <v>0</v>
      </c>
      <c r="CY103" s="1">
        <f>SUMIFS(
  '[1]Hoja 1'!$M:$M,
  '[1]Hoja 1'!$S:$S, $A103,
  '[1]Hoja 1'!$R:$R, "&gt;="&amp;INT($DA$1),
  '[1]Hoja 1'!$R:$R, "&lt;"&amp;INT($DB$1+1)
)</f>
        <v>0</v>
      </c>
      <c r="CZ103" s="1">
        <f t="shared" si="155"/>
        <v>0</v>
      </c>
      <c r="DA103" s="9">
        <f t="shared" si="156"/>
        <v>0</v>
      </c>
      <c r="DB103" s="10">
        <f t="shared" si="157"/>
        <v>0</v>
      </c>
      <c r="DC103" s="1">
        <f>SUMIFS(
  '[1]Hoja 1'!$M:$M,
  '[1]Hoja 1'!$S:$S, $A103,
  '[1]Hoja 1'!$R:$R, "&gt;="&amp;INT($DE$1),
  '[1]Hoja 1'!$R:$R, "&lt;"&amp;INT($DF$1+1)
)</f>
        <v>0</v>
      </c>
      <c r="DD103" s="1">
        <f t="shared" si="158"/>
        <v>0</v>
      </c>
      <c r="DE103" s="9">
        <f t="shared" si="159"/>
        <v>0</v>
      </c>
      <c r="DF103" s="10">
        <f t="shared" si="160"/>
        <v>0</v>
      </c>
      <c r="DG103" s="1">
        <f>SUMIFS(
  '[1]Hoja 1'!$M:$M,
  '[1]Hoja 1'!$S:$S, $A103,
  '[1]Hoja 1'!$R:$R, "&gt;="&amp;INT($DI$1),
  '[1]Hoja 1'!$R:$R, "&lt;"&amp;INT($DJ$1+1)
)</f>
        <v>0</v>
      </c>
      <c r="DH103" s="1">
        <f t="shared" si="161"/>
        <v>0</v>
      </c>
      <c r="DI103" s="9">
        <f t="shared" si="162"/>
        <v>0</v>
      </c>
      <c r="DJ103" s="10">
        <f t="shared" si="163"/>
        <v>0</v>
      </c>
      <c r="DK103" s="1">
        <f>SUMIFS(
  '[1]Hoja 1'!$M:$M,
  '[1]Hoja 1'!$S:$S, $A103,
  '[1]Hoja 1'!$R:$R, "&gt;="&amp;INT($DM$1),
  '[1]Hoja 1'!$R:$R, "&lt;"&amp;INT($DN$1+1)
)</f>
        <v>0</v>
      </c>
      <c r="DL103" s="1">
        <f t="shared" si="164"/>
        <v>0</v>
      </c>
      <c r="DM103" s="9">
        <f t="shared" si="165"/>
        <v>0</v>
      </c>
      <c r="DN103" s="10">
        <f t="shared" si="166"/>
        <v>0</v>
      </c>
      <c r="DO103" s="1">
        <f>SUMIFS(
  '[1]Hoja 1'!$M:$M,
  '[1]Hoja 1'!$S:$S, $A103,
  '[1]Hoja 1'!$R:$R, "&gt;="&amp;INT($DQ$1),
  '[1]Hoja 1'!$R:$R, "&lt;"&amp;INT($DR$1+1)
)</f>
        <v>0</v>
      </c>
      <c r="DP103" s="1">
        <f t="shared" si="167"/>
        <v>0</v>
      </c>
      <c r="DQ103" s="9">
        <f t="shared" si="168"/>
        <v>0</v>
      </c>
      <c r="DR103" s="10">
        <f t="shared" si="169"/>
        <v>0</v>
      </c>
    </row>
    <row r="104" spans="1:122" x14ac:dyDescent="0.25">
      <c r="A104" s="5">
        <v>217008</v>
      </c>
      <c r="B104" s="6" t="s">
        <v>104</v>
      </c>
      <c r="C104" s="1">
        <f>SUMIFS(
  '[1]Hoja 1'!$M:$M,
  '[1]Hoja 1'!$S:$S, $A104,
  '[1]Hoja 1'!$R:$R, "&gt;="&amp;INT($E$1),
  '[1]Hoja 1'!$R:$R, "&lt;"&amp;INT($F$1+1)
)</f>
        <v>0</v>
      </c>
      <c r="D104" s="1" t="str">
        <f>""</f>
        <v/>
      </c>
      <c r="F104" s="2"/>
      <c r="G104" s="1">
        <f>SUMIFS(
  '[1]Hoja 1'!$M:$M,
  '[1]Hoja 1'!$S:$S, $A104,
  '[1]Hoja 1'!$R:$R, "&gt;="&amp;INT($I$1),
  '[1]Hoja 1'!$R:$R, "&lt;"&amp;INT($J$1+1)
)</f>
        <v>0</v>
      </c>
      <c r="H104" s="1">
        <f t="shared" si="85"/>
        <v>0</v>
      </c>
      <c r="I104" s="1"/>
      <c r="J104" s="2"/>
      <c r="K104" s="1">
        <f>SUMIFS(
  '[1]Hoja 1'!$M:$M,
  '[1]Hoja 1'!$S:$S, $A104,
  '[1]Hoja 1'!$R:$R, "&gt;="&amp;INT($M$1),
  '[1]Hoja 1'!$R:$R, "&lt;"&amp;INT($N$1+1)
)</f>
        <v>0</v>
      </c>
      <c r="L104" s="1">
        <f t="shared" si="86"/>
        <v>0</v>
      </c>
      <c r="M104" s="9">
        <f t="shared" si="87"/>
        <v>0</v>
      </c>
      <c r="N104" s="10">
        <f t="shared" si="88"/>
        <v>0</v>
      </c>
      <c r="O104" s="1">
        <f>SUMIFS(
  '[1]Hoja 1'!$M:$M,
  '[1]Hoja 1'!$S:$S, $A104,
  '[1]Hoja 1'!$R:$R, "&gt;="&amp;INT($Q$1),
  '[1]Hoja 1'!$R:$R, "&lt;"&amp;INT($R$1+1)
)</f>
        <v>0</v>
      </c>
      <c r="P104" s="1">
        <f t="shared" si="89"/>
        <v>0</v>
      </c>
      <c r="Q104" s="9">
        <f t="shared" si="90"/>
        <v>0</v>
      </c>
      <c r="R104" s="10">
        <f t="shared" si="91"/>
        <v>0</v>
      </c>
      <c r="S104" s="1">
        <f>SUMIFS(
  '[1]Hoja 1'!$M:$M,
  '[1]Hoja 1'!$S:$S, $A104,
  '[1]Hoja 1'!$R:$R, "&gt;="&amp;INT($U$1),
  '[1]Hoja 1'!$R:$R, "&lt;"&amp;INT($V$1+1)
)</f>
        <v>0</v>
      </c>
      <c r="T104" s="1">
        <f t="shared" si="92"/>
        <v>0</v>
      </c>
      <c r="U104" s="9">
        <f t="shared" si="93"/>
        <v>0</v>
      </c>
      <c r="V104" s="10">
        <f t="shared" si="94"/>
        <v>0</v>
      </c>
      <c r="W104" s="1">
        <f>SUMIFS(
  '[1]Hoja 1'!$M:$M,
  '[1]Hoja 1'!$S:$S, $A104,
  '[1]Hoja 1'!$R:$R, "&gt;="&amp;INT($Y$1),
  '[1]Hoja 1'!$R:$R, "&lt;"&amp;INT($Z$1+1)
)</f>
        <v>0</v>
      </c>
      <c r="X104" s="1">
        <f t="shared" si="95"/>
        <v>0</v>
      </c>
      <c r="Y104" s="9">
        <f t="shared" si="96"/>
        <v>0</v>
      </c>
      <c r="Z104" s="10">
        <f t="shared" si="97"/>
        <v>0</v>
      </c>
      <c r="AA104" s="1">
        <f>SUMIFS(
  '[1]Hoja 1'!$M:$M,
  '[1]Hoja 1'!$S:$S, $A104,
  '[1]Hoja 1'!$R:$R, "&gt;="&amp;INT($AC$1),
  '[1]Hoja 1'!$R:$R, "&lt;"&amp;INT($AD$1+1)
)</f>
        <v>0</v>
      </c>
      <c r="AB104" s="1">
        <f t="shared" si="98"/>
        <v>0</v>
      </c>
      <c r="AC104" s="9">
        <f t="shared" si="99"/>
        <v>0</v>
      </c>
      <c r="AD104" s="10">
        <f t="shared" si="100"/>
        <v>0</v>
      </c>
      <c r="AE104" s="1">
        <f>SUMIFS(
  '[1]Hoja 1'!$M:$M,
  '[1]Hoja 1'!$S:$S, $A104,
  '[1]Hoja 1'!$R:$R, "&gt;="&amp;INT($AG$1),
  '[1]Hoja 1'!$R:$R, "&lt;"&amp;INT($AH$1+1)
)</f>
        <v>0</v>
      </c>
      <c r="AF104" s="1">
        <f t="shared" si="101"/>
        <v>0</v>
      </c>
      <c r="AG104" s="9">
        <f t="shared" si="102"/>
        <v>0</v>
      </c>
      <c r="AH104" s="10">
        <f t="shared" si="103"/>
        <v>0</v>
      </c>
      <c r="AI104" s="1">
        <f>SUMIFS(
  '[1]Hoja 1'!$M:$M,
  '[1]Hoja 1'!$S:$S, $A104,
  '[1]Hoja 1'!$R:$R, "&gt;="&amp;INT($AK$1),
  '[1]Hoja 1'!$R:$R, "&lt;"&amp;INT($AL$1+1)
)</f>
        <v>0</v>
      </c>
      <c r="AJ104" s="1">
        <f t="shared" si="104"/>
        <v>0</v>
      </c>
      <c r="AK104" s="9">
        <f t="shared" si="105"/>
        <v>0</v>
      </c>
      <c r="AL104" s="10">
        <f t="shared" si="106"/>
        <v>0</v>
      </c>
      <c r="AM104" s="1">
        <f>SUMIFS(
  '[1]Hoja 1'!$M:$M,
  '[1]Hoja 1'!$S:$S, $A104,
  '[1]Hoja 1'!$R:$R, "&gt;="&amp;INT($AO$1),
  '[1]Hoja 1'!$R:$R, "&lt;"&amp;INT($AP$1+1)
)</f>
        <v>0</v>
      </c>
      <c r="AN104" s="1">
        <f t="shared" si="107"/>
        <v>0</v>
      </c>
      <c r="AO104" s="9">
        <f t="shared" si="108"/>
        <v>0</v>
      </c>
      <c r="AP104" s="10">
        <f t="shared" si="109"/>
        <v>0</v>
      </c>
      <c r="AQ104" s="1">
        <f>SUMIFS(
  '[1]Hoja 1'!$M:$M,
  '[1]Hoja 1'!$S:$S, $A104,
  '[1]Hoja 1'!$R:$R, "&gt;="&amp;INT($AS$1),
  '[1]Hoja 1'!$R:$R, "&lt;"&amp;INT($AT$1+1)
)</f>
        <v>0</v>
      </c>
      <c r="AR104" s="1">
        <f t="shared" si="110"/>
        <v>0</v>
      </c>
      <c r="AS104" s="9">
        <f t="shared" si="111"/>
        <v>0</v>
      </c>
      <c r="AT104" s="10">
        <f t="shared" si="112"/>
        <v>0</v>
      </c>
      <c r="AU104" s="1">
        <f>SUMIFS(
  '[1]Hoja 1'!$M:$M,
  '[1]Hoja 1'!$S:$S, $A104,
  '[1]Hoja 1'!$R:$R, "&gt;="&amp;INT($AW$1),
  '[1]Hoja 1'!$R:$R, "&lt;"&amp;INT($AX$1+1)
)</f>
        <v>0</v>
      </c>
      <c r="AV104" s="1">
        <f t="shared" si="113"/>
        <v>0</v>
      </c>
      <c r="AW104" s="9">
        <f t="shared" si="114"/>
        <v>0</v>
      </c>
      <c r="AX104" s="10">
        <f t="shared" si="115"/>
        <v>0</v>
      </c>
      <c r="AY104" s="1">
        <f>SUMIFS(
  '[1]Hoja 1'!$M:$M,
  '[1]Hoja 1'!$S:$S, $A104,
  '[1]Hoja 1'!$R:$R, "&gt;="&amp;INT($BA$1),
  '[1]Hoja 1'!$R:$R, "&lt;"&amp;INT($BB$1+1)
)</f>
        <v>0</v>
      </c>
      <c r="AZ104" s="1">
        <f t="shared" si="116"/>
        <v>0</v>
      </c>
      <c r="BA104" s="9">
        <f t="shared" si="117"/>
        <v>0</v>
      </c>
      <c r="BB104" s="10">
        <f t="shared" si="118"/>
        <v>0</v>
      </c>
      <c r="BC104" s="1">
        <f>SUMIFS(
  '[1]Hoja 1'!$M:$M,
  '[1]Hoja 1'!$S:$S, $A104,
  '[1]Hoja 1'!$R:$R, "&gt;="&amp;INT($BE$1),
  '[1]Hoja 1'!$R:$R, "&lt;"&amp;INT($BF$1+1)
)</f>
        <v>0</v>
      </c>
      <c r="BD104" s="1">
        <f t="shared" si="119"/>
        <v>0</v>
      </c>
      <c r="BE104" s="9">
        <f t="shared" si="120"/>
        <v>0</v>
      </c>
      <c r="BF104" s="10">
        <f t="shared" si="121"/>
        <v>0</v>
      </c>
      <c r="BG104" s="1">
        <f>SUMIFS(
  '[1]Hoja 1'!$M:$M,
  '[1]Hoja 1'!$S:$S, $A104,
  '[1]Hoja 1'!$R:$R, "&gt;="&amp;INT($BI$1),
  '[1]Hoja 1'!$R:$R, "&lt;"&amp;INT($BJ$1+1)
)</f>
        <v>0</v>
      </c>
      <c r="BH104" s="1">
        <f t="shared" si="122"/>
        <v>0</v>
      </c>
      <c r="BI104" s="9">
        <f t="shared" si="123"/>
        <v>0</v>
      </c>
      <c r="BJ104" s="10">
        <f t="shared" si="124"/>
        <v>0</v>
      </c>
      <c r="BK104" s="1">
        <f>SUMIFS(
  '[1]Hoja 1'!$M:$M,
  '[1]Hoja 1'!$S:$S, $A104,
  '[1]Hoja 1'!$R:$R, "&gt;="&amp;INT($BM$1),
  '[1]Hoja 1'!$R:$R, "&lt;"&amp;INT($BN$1+1)
)</f>
        <v>0</v>
      </c>
      <c r="BL104" s="1">
        <f t="shared" si="125"/>
        <v>0</v>
      </c>
      <c r="BM104" s="9">
        <f t="shared" si="126"/>
        <v>0</v>
      </c>
      <c r="BN104" s="10">
        <f t="shared" si="127"/>
        <v>0</v>
      </c>
      <c r="BO104" s="1">
        <f>SUMIFS(
  '[1]Hoja 1'!$M:$M,
  '[1]Hoja 1'!$S:$S, $A104,
  '[1]Hoja 1'!$R:$R, "&gt;="&amp;INT($BQ$1),
  '[1]Hoja 1'!$R:$R, "&lt;"&amp;INT($BR$1+1)
)</f>
        <v>0</v>
      </c>
      <c r="BP104" s="1">
        <f t="shared" si="128"/>
        <v>0</v>
      </c>
      <c r="BQ104" s="9">
        <f t="shared" si="129"/>
        <v>0</v>
      </c>
      <c r="BR104" s="10">
        <f t="shared" si="130"/>
        <v>0</v>
      </c>
      <c r="BS104" s="1">
        <f>SUMIFS(
  '[1]Hoja 1'!$M:$M,
  '[1]Hoja 1'!$S:$S, $A104,
  '[1]Hoja 1'!$R:$R, "&gt;="&amp;INT($BU$1),
  '[1]Hoja 1'!$R:$R, "&lt;"&amp;INT($BV$1+1)
)</f>
        <v>0</v>
      </c>
      <c r="BT104" s="1">
        <f t="shared" si="131"/>
        <v>0</v>
      </c>
      <c r="BU104" s="9">
        <f t="shared" si="132"/>
        <v>0</v>
      </c>
      <c r="BV104" s="10">
        <f t="shared" si="133"/>
        <v>0</v>
      </c>
      <c r="BW104" s="1">
        <f>SUMIFS(
  '[1]Hoja 1'!$M:$M,
  '[1]Hoja 1'!$S:$S, $A104,
  '[1]Hoja 1'!$R:$R, "&gt;="&amp;INT($BY$1),
  '[1]Hoja 1'!$R:$R, "&lt;"&amp;INT($BZ$1+1)
)</f>
        <v>0</v>
      </c>
      <c r="BX104" s="1">
        <f t="shared" si="134"/>
        <v>0</v>
      </c>
      <c r="BY104" s="9">
        <f t="shared" si="135"/>
        <v>0</v>
      </c>
      <c r="BZ104" s="10">
        <f t="shared" si="136"/>
        <v>0</v>
      </c>
      <c r="CA104" s="1">
        <f>SUMIFS(
  '[1]Hoja 1'!$M:$M,
  '[1]Hoja 1'!$S:$S, $A104,
  '[1]Hoja 1'!$R:$R, "&gt;="&amp;INT($CC$1),
  '[1]Hoja 1'!$R:$R, "&lt;"&amp;INT($CD$1+1)
)</f>
        <v>0</v>
      </c>
      <c r="CB104" s="1">
        <f t="shared" si="137"/>
        <v>0</v>
      </c>
      <c r="CC104" s="9">
        <f t="shared" si="138"/>
        <v>0</v>
      </c>
      <c r="CD104" s="10">
        <f t="shared" si="139"/>
        <v>0</v>
      </c>
      <c r="CE104" s="1">
        <f>SUMIFS(
  '[1]Hoja 1'!$M:$M,
  '[1]Hoja 1'!$S:$S, $A104,
  '[1]Hoja 1'!$R:$R, "&gt;="&amp;INT($CG$1),
  '[1]Hoja 1'!$R:$R, "&lt;"&amp;INT($CH$1+1)
)</f>
        <v>0</v>
      </c>
      <c r="CF104" s="1">
        <f t="shared" si="140"/>
        <v>0</v>
      </c>
      <c r="CG104" s="9">
        <f t="shared" si="141"/>
        <v>0</v>
      </c>
      <c r="CH104" s="10">
        <f t="shared" si="142"/>
        <v>0</v>
      </c>
      <c r="CI104" s="1">
        <f>SUMIFS(
  '[1]Hoja 1'!$M:$M,
  '[1]Hoja 1'!$S:$S, $A104,
  '[1]Hoja 1'!$R:$R, "&gt;="&amp;INT($CK$1),
  '[1]Hoja 1'!$R:$R, "&lt;"&amp;INT($CL$1+1)
)</f>
        <v>0</v>
      </c>
      <c r="CJ104" s="1">
        <f t="shared" si="143"/>
        <v>0</v>
      </c>
      <c r="CK104" s="9">
        <f t="shared" si="144"/>
        <v>0</v>
      </c>
      <c r="CL104" s="10">
        <f t="shared" si="145"/>
        <v>0</v>
      </c>
      <c r="CM104" s="1">
        <f>SUMIFS(
  '[1]Hoja 1'!$M:$M,
  '[1]Hoja 1'!$S:$S, $A104,
  '[1]Hoja 1'!$R:$R, "&gt;="&amp;INT($CO$1),
  '[1]Hoja 1'!$R:$R, "&lt;"&amp;INT($CP$1+1)
)</f>
        <v>0</v>
      </c>
      <c r="CN104" s="1">
        <f t="shared" si="146"/>
        <v>0</v>
      </c>
      <c r="CO104" s="9">
        <f t="shared" si="147"/>
        <v>0</v>
      </c>
      <c r="CP104" s="10">
        <f t="shared" si="148"/>
        <v>0</v>
      </c>
      <c r="CQ104" s="1">
        <f>SUMIFS(
  '[1]Hoja 1'!$M:$M,
  '[1]Hoja 1'!$S:$S, $A104,
  '[1]Hoja 1'!$R:$R, "&gt;="&amp;INT($CS$1),
  '[1]Hoja 1'!$R:$R, "&lt;"&amp;INT($CT$1+1)
)</f>
        <v>0</v>
      </c>
      <c r="CR104" s="1">
        <f t="shared" si="149"/>
        <v>0</v>
      </c>
      <c r="CS104" s="9">
        <f t="shared" si="150"/>
        <v>0</v>
      </c>
      <c r="CT104" s="10">
        <f t="shared" si="151"/>
        <v>0</v>
      </c>
      <c r="CU104" s="1">
        <f>SUMIFS(
  '[1]Hoja 1'!$M:$M,
  '[1]Hoja 1'!$S:$S, $A104,
  '[1]Hoja 1'!$R:$R, "&gt;="&amp;INT($CW$1),
  '[1]Hoja 1'!$R:$R, "&lt;"&amp;INT($CX$1+1)
)</f>
        <v>0</v>
      </c>
      <c r="CV104" s="1">
        <f t="shared" si="152"/>
        <v>0</v>
      </c>
      <c r="CW104" s="9">
        <f t="shared" si="153"/>
        <v>0</v>
      </c>
      <c r="CX104" s="10">
        <f t="shared" si="154"/>
        <v>0</v>
      </c>
      <c r="CY104" s="1">
        <f>SUMIFS(
  '[1]Hoja 1'!$M:$M,
  '[1]Hoja 1'!$S:$S, $A104,
  '[1]Hoja 1'!$R:$R, "&gt;="&amp;INT($DA$1),
  '[1]Hoja 1'!$R:$R, "&lt;"&amp;INT($DB$1+1)
)</f>
        <v>0</v>
      </c>
      <c r="CZ104" s="1">
        <f t="shared" si="155"/>
        <v>0</v>
      </c>
      <c r="DA104" s="9">
        <f t="shared" si="156"/>
        <v>0</v>
      </c>
      <c r="DB104" s="10">
        <f t="shared" si="157"/>
        <v>0</v>
      </c>
      <c r="DC104" s="1">
        <f>SUMIFS(
  '[1]Hoja 1'!$M:$M,
  '[1]Hoja 1'!$S:$S, $A104,
  '[1]Hoja 1'!$R:$R, "&gt;="&amp;INT($DE$1),
  '[1]Hoja 1'!$R:$R, "&lt;"&amp;INT($DF$1+1)
)</f>
        <v>0</v>
      </c>
      <c r="DD104" s="1">
        <f t="shared" si="158"/>
        <v>0</v>
      </c>
      <c r="DE104" s="9">
        <f t="shared" si="159"/>
        <v>0</v>
      </c>
      <c r="DF104" s="10">
        <f t="shared" si="160"/>
        <v>0</v>
      </c>
      <c r="DG104" s="1">
        <f>SUMIFS(
  '[1]Hoja 1'!$M:$M,
  '[1]Hoja 1'!$S:$S, $A104,
  '[1]Hoja 1'!$R:$R, "&gt;="&amp;INT($DI$1),
  '[1]Hoja 1'!$R:$R, "&lt;"&amp;INT($DJ$1+1)
)</f>
        <v>0</v>
      </c>
      <c r="DH104" s="1">
        <f t="shared" si="161"/>
        <v>0</v>
      </c>
      <c r="DI104" s="9">
        <f t="shared" si="162"/>
        <v>0</v>
      </c>
      <c r="DJ104" s="10">
        <f t="shared" si="163"/>
        <v>0</v>
      </c>
      <c r="DK104" s="1">
        <f>SUMIFS(
  '[1]Hoja 1'!$M:$M,
  '[1]Hoja 1'!$S:$S, $A104,
  '[1]Hoja 1'!$R:$R, "&gt;="&amp;INT($DM$1),
  '[1]Hoja 1'!$R:$R, "&lt;"&amp;INT($DN$1+1)
)</f>
        <v>0</v>
      </c>
      <c r="DL104" s="1">
        <f t="shared" si="164"/>
        <v>0</v>
      </c>
      <c r="DM104" s="9">
        <f t="shared" si="165"/>
        <v>0</v>
      </c>
      <c r="DN104" s="10">
        <f t="shared" si="166"/>
        <v>0</v>
      </c>
      <c r="DO104" s="1">
        <f>SUMIFS(
  '[1]Hoja 1'!$M:$M,
  '[1]Hoja 1'!$S:$S, $A104,
  '[1]Hoja 1'!$R:$R, "&gt;="&amp;INT($DQ$1),
  '[1]Hoja 1'!$R:$R, "&lt;"&amp;INT($DR$1+1)
)</f>
        <v>0</v>
      </c>
      <c r="DP104" s="1">
        <f t="shared" si="167"/>
        <v>0</v>
      </c>
      <c r="DQ104" s="9">
        <f t="shared" si="168"/>
        <v>0</v>
      </c>
      <c r="DR104" s="10">
        <f t="shared" si="169"/>
        <v>0</v>
      </c>
    </row>
    <row r="105" spans="1:122" x14ac:dyDescent="0.25">
      <c r="A105" s="5">
        <v>217011</v>
      </c>
      <c r="B105" s="6" t="s">
        <v>105</v>
      </c>
      <c r="C105" s="1">
        <f>SUMIFS(
  '[1]Hoja 1'!$M:$M,
  '[1]Hoja 1'!$S:$S, $A105,
  '[1]Hoja 1'!$R:$R, "&gt;="&amp;INT($E$1),
  '[1]Hoja 1'!$R:$R, "&lt;"&amp;INT($F$1+1)
)</f>
        <v>14</v>
      </c>
      <c r="D105" s="1" t="str">
        <f>""</f>
        <v/>
      </c>
      <c r="F105" s="2"/>
      <c r="G105" s="1">
        <f>SUMIFS(
  '[1]Hoja 1'!$M:$M,
  '[1]Hoja 1'!$S:$S, $A105,
  '[1]Hoja 1'!$R:$R, "&gt;="&amp;INT($I$1),
  '[1]Hoja 1'!$R:$R, "&lt;"&amp;INT($J$1+1)
)</f>
        <v>8</v>
      </c>
      <c r="H105" s="1">
        <f t="shared" si="85"/>
        <v>11</v>
      </c>
      <c r="I105" s="1"/>
      <c r="J105" s="2"/>
      <c r="K105" s="1">
        <f>SUMIFS(
  '[1]Hoja 1'!$M:$M,
  '[1]Hoja 1'!$S:$S, $A105,
  '[1]Hoja 1'!$R:$R, "&gt;="&amp;INT($M$1),
  '[1]Hoja 1'!$R:$R, "&lt;"&amp;INT($N$1+1)
)</f>
        <v>15</v>
      </c>
      <c r="L105" s="1">
        <f t="shared" si="86"/>
        <v>11.5</v>
      </c>
      <c r="M105" s="9">
        <f t="shared" si="87"/>
        <v>2.4914596076833853</v>
      </c>
      <c r="N105" s="10">
        <f t="shared" si="88"/>
        <v>20.508540392316615</v>
      </c>
      <c r="O105" s="1">
        <f>SUMIFS(
  '[1]Hoja 1'!$M:$M,
  '[1]Hoja 1'!$S:$S, $A105,
  '[1]Hoja 1'!$R:$R, "&gt;="&amp;INT($Q$1),
  '[1]Hoja 1'!$R:$R, "&lt;"&amp;INT($R$1+1)
)</f>
        <v>9</v>
      </c>
      <c r="P105" s="1">
        <f t="shared" si="89"/>
        <v>12</v>
      </c>
      <c r="Q105" s="9">
        <f t="shared" si="90"/>
        <v>4.1445575705241682</v>
      </c>
      <c r="R105" s="10">
        <f t="shared" si="91"/>
        <v>18.855442429475833</v>
      </c>
      <c r="S105" s="1">
        <f>SUMIFS(
  '[1]Hoja 1'!$M:$M,
  '[1]Hoja 1'!$S:$S, $A105,
  '[1]Hoja 1'!$R:$R, "&gt;="&amp;INT($U$1),
  '[1]Hoja 1'!$R:$R, "&lt;"&amp;INT($V$1+1)
)</f>
        <v>10</v>
      </c>
      <c r="T105" s="1">
        <f t="shared" si="92"/>
        <v>10</v>
      </c>
      <c r="U105" s="9">
        <f t="shared" si="93"/>
        <v>3.8538033440725856</v>
      </c>
      <c r="V105" s="10">
        <f t="shared" si="94"/>
        <v>16.146196655927415</v>
      </c>
      <c r="W105" s="1">
        <f>SUMIFS(
  '[1]Hoja 1'!$M:$M,
  '[1]Hoja 1'!$S:$S, $A105,
  '[1]Hoja 1'!$R:$R, "&gt;="&amp;INT($Y$1),
  '[1]Hoja 1'!$R:$R, "&lt;"&amp;INT($Z$1+1)
)</f>
        <v>19</v>
      </c>
      <c r="X105" s="1">
        <f t="shared" si="95"/>
        <v>15</v>
      </c>
      <c r="Y105" s="9">
        <f t="shared" si="96"/>
        <v>8.3834878271604971</v>
      </c>
      <c r="Z105" s="10">
        <f t="shared" si="97"/>
        <v>21.616512172839503</v>
      </c>
      <c r="AA105" s="1">
        <f>SUMIFS(
  '[1]Hoja 1'!$M:$M,
  '[1]Hoja 1'!$S:$S, $A105,
  '[1]Hoja 1'!$R:$R, "&gt;="&amp;INT($AC$1),
  '[1]Hoja 1'!$R:$R, "&lt;"&amp;INT($AD$1+1)
)</f>
        <v>10</v>
      </c>
      <c r="AB105" s="1">
        <f t="shared" si="98"/>
        <v>15</v>
      </c>
      <c r="AC105" s="9">
        <f t="shared" si="99"/>
        <v>8.1750897441797825</v>
      </c>
      <c r="AD105" s="10">
        <f t="shared" si="100"/>
        <v>22.855297575521885</v>
      </c>
      <c r="AE105" s="1">
        <f>SUMIFS(
  '[1]Hoja 1'!$M:$M,
  '[1]Hoja 1'!$S:$S, $A105,
  '[1]Hoja 1'!$R:$R, "&gt;="&amp;INT($AG$1),
  '[1]Hoja 1'!$R:$R, "&lt;"&amp;INT($AH$1+1)
)</f>
        <v>0</v>
      </c>
      <c r="AF105" s="1">
        <f t="shared" si="101"/>
        <v>5</v>
      </c>
      <c r="AG105" s="9">
        <f t="shared" si="102"/>
        <v>-2.6978360595689486</v>
      </c>
      <c r="AH105" s="10">
        <f t="shared" si="103"/>
        <v>13.815461795428908</v>
      </c>
      <c r="AI105" s="1">
        <f>SUMIFS(
  '[1]Hoja 1'!$M:$M,
  '[1]Hoja 1'!$S:$S, $A105,
  '[1]Hoja 1'!$R:$R, "&gt;="&amp;INT($AK$1),
  '[1]Hoja 1'!$R:$R, "&lt;"&amp;INT($AL$1+1)
)</f>
        <v>0</v>
      </c>
      <c r="AJ105" s="1">
        <f t="shared" si="104"/>
        <v>0</v>
      </c>
      <c r="AK105" s="9">
        <f t="shared" si="105"/>
        <v>-7.6226111011909818</v>
      </c>
      <c r="AL105" s="10">
        <f t="shared" si="106"/>
        <v>8.7104305289692761</v>
      </c>
      <c r="AM105" s="1">
        <f>SUMIFS(
  '[1]Hoja 1'!$M:$M,
  '[1]Hoja 1'!$S:$S, $A105,
  '[1]Hoja 1'!$R:$R, "&gt;="&amp;INT($AO$1),
  '[1]Hoja 1'!$R:$R, "&lt;"&amp;INT($AP$1+1)
)</f>
        <v>0</v>
      </c>
      <c r="AN105" s="1">
        <f t="shared" si="107"/>
        <v>0</v>
      </c>
      <c r="AO105" s="9">
        <f t="shared" si="108"/>
        <v>-5.1110546856788766</v>
      </c>
      <c r="AP105" s="10">
        <f t="shared" si="109"/>
        <v>5.39</v>
      </c>
      <c r="AQ105" s="1">
        <f>SUMIFS(
  '[1]Hoja 1'!$M:$M,
  '[1]Hoja 1'!$S:$S, $A105,
  '[1]Hoja 1'!$R:$R, "&gt;="&amp;INT($AS$1),
  '[1]Hoja 1'!$R:$R, "&lt;"&amp;INT($AT$1+1)
)</f>
        <v>0</v>
      </c>
      <c r="AR105" s="1">
        <f t="shared" si="110"/>
        <v>0</v>
      </c>
      <c r="AS105" s="9">
        <f t="shared" si="111"/>
        <v>-4.3826932358995876</v>
      </c>
      <c r="AT105" s="10">
        <f t="shared" si="112"/>
        <v>4.9000000000000004</v>
      </c>
      <c r="AU105" s="1">
        <f>SUMIFS(
  '[1]Hoja 1'!$M:$M,
  '[1]Hoja 1'!$S:$S, $A105,
  '[1]Hoja 1'!$R:$R, "&gt;="&amp;INT($AW$1),
  '[1]Hoja 1'!$R:$R, "&lt;"&amp;INT($AX$1+1)
)</f>
        <v>0</v>
      </c>
      <c r="AV105" s="1">
        <f t="shared" si="113"/>
        <v>0</v>
      </c>
      <c r="AW105" s="9">
        <f t="shared" si="114"/>
        <v>0</v>
      </c>
      <c r="AX105" s="10">
        <f t="shared" si="115"/>
        <v>0</v>
      </c>
      <c r="AY105" s="1">
        <f>SUMIFS(
  '[1]Hoja 1'!$M:$M,
  '[1]Hoja 1'!$S:$S, $A105,
  '[1]Hoja 1'!$R:$R, "&gt;="&amp;INT($BA$1),
  '[1]Hoja 1'!$R:$R, "&lt;"&amp;INT($BB$1+1)
)</f>
        <v>0</v>
      </c>
      <c r="AZ105" s="1">
        <f t="shared" si="116"/>
        <v>0</v>
      </c>
      <c r="BA105" s="9">
        <f t="shared" si="117"/>
        <v>0</v>
      </c>
      <c r="BB105" s="10">
        <f t="shared" si="118"/>
        <v>0</v>
      </c>
      <c r="BC105" s="1">
        <f>SUMIFS(
  '[1]Hoja 1'!$M:$M,
  '[1]Hoja 1'!$S:$S, $A105,
  '[1]Hoja 1'!$R:$R, "&gt;="&amp;INT($BE$1),
  '[1]Hoja 1'!$R:$R, "&lt;"&amp;INT($BF$1+1)
)</f>
        <v>0</v>
      </c>
      <c r="BD105" s="1">
        <f t="shared" si="119"/>
        <v>0</v>
      </c>
      <c r="BE105" s="9">
        <f t="shared" si="120"/>
        <v>0</v>
      </c>
      <c r="BF105" s="10">
        <f t="shared" si="121"/>
        <v>0</v>
      </c>
      <c r="BG105" s="1">
        <f>SUMIFS(
  '[1]Hoja 1'!$M:$M,
  '[1]Hoja 1'!$S:$S, $A105,
  '[1]Hoja 1'!$R:$R, "&gt;="&amp;INT($BI$1),
  '[1]Hoja 1'!$R:$R, "&lt;"&amp;INT($BJ$1+1)
)</f>
        <v>0</v>
      </c>
      <c r="BH105" s="1">
        <f t="shared" si="122"/>
        <v>0</v>
      </c>
      <c r="BI105" s="9">
        <f t="shared" si="123"/>
        <v>0</v>
      </c>
      <c r="BJ105" s="10">
        <f t="shared" si="124"/>
        <v>0</v>
      </c>
      <c r="BK105" s="1">
        <f>SUMIFS(
  '[1]Hoja 1'!$M:$M,
  '[1]Hoja 1'!$S:$S, $A105,
  '[1]Hoja 1'!$R:$R, "&gt;="&amp;INT($BM$1),
  '[1]Hoja 1'!$R:$R, "&lt;"&amp;INT($BN$1+1)
)</f>
        <v>0</v>
      </c>
      <c r="BL105" s="1">
        <f t="shared" si="125"/>
        <v>0</v>
      </c>
      <c r="BM105" s="9">
        <f t="shared" si="126"/>
        <v>0</v>
      </c>
      <c r="BN105" s="10">
        <f t="shared" si="127"/>
        <v>0</v>
      </c>
      <c r="BO105" s="1">
        <f>SUMIFS(
  '[1]Hoja 1'!$M:$M,
  '[1]Hoja 1'!$S:$S, $A105,
  '[1]Hoja 1'!$R:$R, "&gt;="&amp;INT($BQ$1),
  '[1]Hoja 1'!$R:$R, "&lt;"&amp;INT($BR$1+1)
)</f>
        <v>0</v>
      </c>
      <c r="BP105" s="1">
        <f t="shared" si="128"/>
        <v>0</v>
      </c>
      <c r="BQ105" s="9">
        <f t="shared" si="129"/>
        <v>0</v>
      </c>
      <c r="BR105" s="10">
        <f t="shared" si="130"/>
        <v>0</v>
      </c>
      <c r="BS105" s="1">
        <f>SUMIFS(
  '[1]Hoja 1'!$M:$M,
  '[1]Hoja 1'!$S:$S, $A105,
  '[1]Hoja 1'!$R:$R, "&gt;="&amp;INT($BU$1),
  '[1]Hoja 1'!$R:$R, "&lt;"&amp;INT($BV$1+1)
)</f>
        <v>0</v>
      </c>
      <c r="BT105" s="1">
        <f t="shared" si="131"/>
        <v>0</v>
      </c>
      <c r="BU105" s="9">
        <f t="shared" si="132"/>
        <v>0</v>
      </c>
      <c r="BV105" s="10">
        <f t="shared" si="133"/>
        <v>0</v>
      </c>
      <c r="BW105" s="1">
        <f>SUMIFS(
  '[1]Hoja 1'!$M:$M,
  '[1]Hoja 1'!$S:$S, $A105,
  '[1]Hoja 1'!$R:$R, "&gt;="&amp;INT($BY$1),
  '[1]Hoja 1'!$R:$R, "&lt;"&amp;INT($BZ$1+1)
)</f>
        <v>0</v>
      </c>
      <c r="BX105" s="1">
        <f t="shared" si="134"/>
        <v>0</v>
      </c>
      <c r="BY105" s="9">
        <f t="shared" si="135"/>
        <v>0</v>
      </c>
      <c r="BZ105" s="10">
        <f t="shared" si="136"/>
        <v>0</v>
      </c>
      <c r="CA105" s="1">
        <f>SUMIFS(
  '[1]Hoja 1'!$M:$M,
  '[1]Hoja 1'!$S:$S, $A105,
  '[1]Hoja 1'!$R:$R, "&gt;="&amp;INT($CC$1),
  '[1]Hoja 1'!$R:$R, "&lt;"&amp;INT($CD$1+1)
)</f>
        <v>0</v>
      </c>
      <c r="CB105" s="1">
        <f t="shared" si="137"/>
        <v>0</v>
      </c>
      <c r="CC105" s="9">
        <f t="shared" si="138"/>
        <v>0</v>
      </c>
      <c r="CD105" s="10">
        <f t="shared" si="139"/>
        <v>0</v>
      </c>
      <c r="CE105" s="1">
        <f>SUMIFS(
  '[1]Hoja 1'!$M:$M,
  '[1]Hoja 1'!$S:$S, $A105,
  '[1]Hoja 1'!$R:$R, "&gt;="&amp;INT($CG$1),
  '[1]Hoja 1'!$R:$R, "&lt;"&amp;INT($CH$1+1)
)</f>
        <v>0</v>
      </c>
      <c r="CF105" s="1">
        <f t="shared" si="140"/>
        <v>0</v>
      </c>
      <c r="CG105" s="9">
        <f t="shared" si="141"/>
        <v>0</v>
      </c>
      <c r="CH105" s="10">
        <f t="shared" si="142"/>
        <v>0</v>
      </c>
      <c r="CI105" s="1">
        <f>SUMIFS(
  '[1]Hoja 1'!$M:$M,
  '[1]Hoja 1'!$S:$S, $A105,
  '[1]Hoja 1'!$R:$R, "&gt;="&amp;INT($CK$1),
  '[1]Hoja 1'!$R:$R, "&lt;"&amp;INT($CL$1+1)
)</f>
        <v>0</v>
      </c>
      <c r="CJ105" s="1">
        <f t="shared" si="143"/>
        <v>0</v>
      </c>
      <c r="CK105" s="9">
        <f t="shared" si="144"/>
        <v>0</v>
      </c>
      <c r="CL105" s="10">
        <f t="shared" si="145"/>
        <v>0</v>
      </c>
      <c r="CM105" s="1">
        <f>SUMIFS(
  '[1]Hoja 1'!$M:$M,
  '[1]Hoja 1'!$S:$S, $A105,
  '[1]Hoja 1'!$R:$R, "&gt;="&amp;INT($CO$1),
  '[1]Hoja 1'!$R:$R, "&lt;"&amp;INT($CP$1+1)
)</f>
        <v>0</v>
      </c>
      <c r="CN105" s="1">
        <f t="shared" si="146"/>
        <v>0</v>
      </c>
      <c r="CO105" s="9">
        <f t="shared" si="147"/>
        <v>0</v>
      </c>
      <c r="CP105" s="10">
        <f t="shared" si="148"/>
        <v>0</v>
      </c>
      <c r="CQ105" s="1">
        <f>SUMIFS(
  '[1]Hoja 1'!$M:$M,
  '[1]Hoja 1'!$S:$S, $A105,
  '[1]Hoja 1'!$R:$R, "&gt;="&amp;INT($CS$1),
  '[1]Hoja 1'!$R:$R, "&lt;"&amp;INT($CT$1+1)
)</f>
        <v>0</v>
      </c>
      <c r="CR105" s="1">
        <f t="shared" si="149"/>
        <v>0</v>
      </c>
      <c r="CS105" s="9">
        <f t="shared" si="150"/>
        <v>0</v>
      </c>
      <c r="CT105" s="10">
        <f t="shared" si="151"/>
        <v>0</v>
      </c>
      <c r="CU105" s="1">
        <f>SUMIFS(
  '[1]Hoja 1'!$M:$M,
  '[1]Hoja 1'!$S:$S, $A105,
  '[1]Hoja 1'!$R:$R, "&gt;="&amp;INT($CW$1),
  '[1]Hoja 1'!$R:$R, "&lt;"&amp;INT($CX$1+1)
)</f>
        <v>0</v>
      </c>
      <c r="CV105" s="1">
        <f t="shared" si="152"/>
        <v>0</v>
      </c>
      <c r="CW105" s="9">
        <f t="shared" si="153"/>
        <v>0</v>
      </c>
      <c r="CX105" s="10">
        <f t="shared" si="154"/>
        <v>0</v>
      </c>
      <c r="CY105" s="1">
        <f>SUMIFS(
  '[1]Hoja 1'!$M:$M,
  '[1]Hoja 1'!$S:$S, $A105,
  '[1]Hoja 1'!$R:$R, "&gt;="&amp;INT($DA$1),
  '[1]Hoja 1'!$R:$R, "&lt;"&amp;INT($DB$1+1)
)</f>
        <v>0</v>
      </c>
      <c r="CZ105" s="1">
        <f t="shared" si="155"/>
        <v>0</v>
      </c>
      <c r="DA105" s="9">
        <f t="shared" si="156"/>
        <v>0</v>
      </c>
      <c r="DB105" s="10">
        <f t="shared" si="157"/>
        <v>0</v>
      </c>
      <c r="DC105" s="1">
        <f>SUMIFS(
  '[1]Hoja 1'!$M:$M,
  '[1]Hoja 1'!$S:$S, $A105,
  '[1]Hoja 1'!$R:$R, "&gt;="&amp;INT($DE$1),
  '[1]Hoja 1'!$R:$R, "&lt;"&amp;INT($DF$1+1)
)</f>
        <v>0</v>
      </c>
      <c r="DD105" s="1">
        <f t="shared" si="158"/>
        <v>0</v>
      </c>
      <c r="DE105" s="9">
        <f t="shared" si="159"/>
        <v>0</v>
      </c>
      <c r="DF105" s="10">
        <f t="shared" si="160"/>
        <v>0</v>
      </c>
      <c r="DG105" s="1">
        <f>SUMIFS(
  '[1]Hoja 1'!$M:$M,
  '[1]Hoja 1'!$S:$S, $A105,
  '[1]Hoja 1'!$R:$R, "&gt;="&amp;INT($DI$1),
  '[1]Hoja 1'!$R:$R, "&lt;"&amp;INT($DJ$1+1)
)</f>
        <v>0</v>
      </c>
      <c r="DH105" s="1">
        <f t="shared" si="161"/>
        <v>0</v>
      </c>
      <c r="DI105" s="9">
        <f t="shared" si="162"/>
        <v>0</v>
      </c>
      <c r="DJ105" s="10">
        <f t="shared" si="163"/>
        <v>0</v>
      </c>
      <c r="DK105" s="1">
        <f>SUMIFS(
  '[1]Hoja 1'!$M:$M,
  '[1]Hoja 1'!$S:$S, $A105,
  '[1]Hoja 1'!$R:$R, "&gt;="&amp;INT($DM$1),
  '[1]Hoja 1'!$R:$R, "&lt;"&amp;INT($DN$1+1)
)</f>
        <v>0</v>
      </c>
      <c r="DL105" s="1">
        <f t="shared" si="164"/>
        <v>0</v>
      </c>
      <c r="DM105" s="9">
        <f t="shared" si="165"/>
        <v>0</v>
      </c>
      <c r="DN105" s="10">
        <f t="shared" si="166"/>
        <v>0</v>
      </c>
      <c r="DO105" s="1">
        <f>SUMIFS(
  '[1]Hoja 1'!$M:$M,
  '[1]Hoja 1'!$S:$S, $A105,
  '[1]Hoja 1'!$R:$R, "&gt;="&amp;INT($DQ$1),
  '[1]Hoja 1'!$R:$R, "&lt;"&amp;INT($DR$1+1)
)</f>
        <v>0</v>
      </c>
      <c r="DP105" s="1">
        <f t="shared" si="167"/>
        <v>0</v>
      </c>
      <c r="DQ105" s="9">
        <f t="shared" si="168"/>
        <v>0</v>
      </c>
      <c r="DR105" s="10">
        <f t="shared" si="169"/>
        <v>0</v>
      </c>
    </row>
    <row r="106" spans="1:122" x14ac:dyDescent="0.25">
      <c r="A106" s="5">
        <v>217012</v>
      </c>
      <c r="B106" s="6" t="s">
        <v>106</v>
      </c>
      <c r="C106" s="1">
        <f>SUMIFS(
  '[1]Hoja 1'!$M:$M,
  '[1]Hoja 1'!$S:$S, $A106,
  '[1]Hoja 1'!$R:$R, "&gt;="&amp;INT($E$1),
  '[1]Hoja 1'!$R:$R, "&lt;"&amp;INT($F$1+1)
)</f>
        <v>0</v>
      </c>
      <c r="D106" s="1" t="str">
        <f>""</f>
        <v/>
      </c>
      <c r="F106" s="2"/>
      <c r="G106" s="1">
        <f>SUMIFS(
  '[1]Hoja 1'!$M:$M,
  '[1]Hoja 1'!$S:$S, $A106,
  '[1]Hoja 1'!$R:$R, "&gt;="&amp;INT($I$1),
  '[1]Hoja 1'!$R:$R, "&lt;"&amp;INT($J$1+1)
)</f>
        <v>0</v>
      </c>
      <c r="H106" s="1">
        <f t="shared" si="85"/>
        <v>0</v>
      </c>
      <c r="I106" s="1"/>
      <c r="J106" s="2"/>
      <c r="K106" s="1">
        <f>SUMIFS(
  '[1]Hoja 1'!$M:$M,
  '[1]Hoja 1'!$S:$S, $A106,
  '[1]Hoja 1'!$R:$R, "&gt;="&amp;INT($M$1),
  '[1]Hoja 1'!$R:$R, "&lt;"&amp;INT($N$1+1)
)</f>
        <v>0</v>
      </c>
      <c r="L106" s="1">
        <f t="shared" si="86"/>
        <v>0</v>
      </c>
      <c r="M106" s="9">
        <f t="shared" si="87"/>
        <v>0</v>
      </c>
      <c r="N106" s="10">
        <f t="shared" si="88"/>
        <v>0</v>
      </c>
      <c r="O106" s="1">
        <f>SUMIFS(
  '[1]Hoja 1'!$M:$M,
  '[1]Hoja 1'!$S:$S, $A106,
  '[1]Hoja 1'!$R:$R, "&gt;="&amp;INT($Q$1),
  '[1]Hoja 1'!$R:$R, "&lt;"&amp;INT($R$1+1)
)</f>
        <v>0</v>
      </c>
      <c r="P106" s="1">
        <f t="shared" si="89"/>
        <v>0</v>
      </c>
      <c r="Q106" s="9">
        <f t="shared" si="90"/>
        <v>0</v>
      </c>
      <c r="R106" s="10">
        <f t="shared" si="91"/>
        <v>0</v>
      </c>
      <c r="S106" s="1">
        <f>SUMIFS(
  '[1]Hoja 1'!$M:$M,
  '[1]Hoja 1'!$S:$S, $A106,
  '[1]Hoja 1'!$R:$R, "&gt;="&amp;INT($U$1),
  '[1]Hoja 1'!$R:$R, "&lt;"&amp;INT($V$1+1)
)</f>
        <v>0</v>
      </c>
      <c r="T106" s="1">
        <f t="shared" si="92"/>
        <v>0</v>
      </c>
      <c r="U106" s="9">
        <f t="shared" si="93"/>
        <v>0</v>
      </c>
      <c r="V106" s="10">
        <f t="shared" si="94"/>
        <v>0</v>
      </c>
      <c r="W106" s="1">
        <f>SUMIFS(
  '[1]Hoja 1'!$M:$M,
  '[1]Hoja 1'!$S:$S, $A106,
  '[1]Hoja 1'!$R:$R, "&gt;="&amp;INT($Y$1),
  '[1]Hoja 1'!$R:$R, "&lt;"&amp;INT($Z$1+1)
)</f>
        <v>0</v>
      </c>
      <c r="X106" s="1">
        <f t="shared" si="95"/>
        <v>0</v>
      </c>
      <c r="Y106" s="9">
        <f t="shared" si="96"/>
        <v>0</v>
      </c>
      <c r="Z106" s="10">
        <f t="shared" si="97"/>
        <v>0</v>
      </c>
      <c r="AA106" s="1">
        <f>SUMIFS(
  '[1]Hoja 1'!$M:$M,
  '[1]Hoja 1'!$S:$S, $A106,
  '[1]Hoja 1'!$R:$R, "&gt;="&amp;INT($AC$1),
  '[1]Hoja 1'!$R:$R, "&lt;"&amp;INT($AD$1+1)
)</f>
        <v>0</v>
      </c>
      <c r="AB106" s="1">
        <f t="shared" si="98"/>
        <v>0</v>
      </c>
      <c r="AC106" s="9">
        <f t="shared" si="99"/>
        <v>0</v>
      </c>
      <c r="AD106" s="10">
        <f t="shared" si="100"/>
        <v>0</v>
      </c>
      <c r="AE106" s="1">
        <f>SUMIFS(
  '[1]Hoja 1'!$M:$M,
  '[1]Hoja 1'!$S:$S, $A106,
  '[1]Hoja 1'!$R:$R, "&gt;="&amp;INT($AG$1),
  '[1]Hoja 1'!$R:$R, "&lt;"&amp;INT($AH$1+1)
)</f>
        <v>0</v>
      </c>
      <c r="AF106" s="1">
        <f t="shared" si="101"/>
        <v>0</v>
      </c>
      <c r="AG106" s="9">
        <f t="shared" si="102"/>
        <v>0</v>
      </c>
      <c r="AH106" s="10">
        <f t="shared" si="103"/>
        <v>0</v>
      </c>
      <c r="AI106" s="1">
        <f>SUMIFS(
  '[1]Hoja 1'!$M:$M,
  '[1]Hoja 1'!$S:$S, $A106,
  '[1]Hoja 1'!$R:$R, "&gt;="&amp;INT($AK$1),
  '[1]Hoja 1'!$R:$R, "&lt;"&amp;INT($AL$1+1)
)</f>
        <v>0</v>
      </c>
      <c r="AJ106" s="1">
        <f t="shared" si="104"/>
        <v>0</v>
      </c>
      <c r="AK106" s="9">
        <f t="shared" si="105"/>
        <v>0</v>
      </c>
      <c r="AL106" s="10">
        <f t="shared" si="106"/>
        <v>0</v>
      </c>
      <c r="AM106" s="1">
        <f>SUMIFS(
  '[1]Hoja 1'!$M:$M,
  '[1]Hoja 1'!$S:$S, $A106,
  '[1]Hoja 1'!$R:$R, "&gt;="&amp;INT($AO$1),
  '[1]Hoja 1'!$R:$R, "&lt;"&amp;INT($AP$1+1)
)</f>
        <v>0</v>
      </c>
      <c r="AN106" s="1">
        <f t="shared" si="107"/>
        <v>0</v>
      </c>
      <c r="AO106" s="9">
        <f t="shared" si="108"/>
        <v>0</v>
      </c>
      <c r="AP106" s="10">
        <f t="shared" si="109"/>
        <v>0</v>
      </c>
      <c r="AQ106" s="1">
        <f>SUMIFS(
  '[1]Hoja 1'!$M:$M,
  '[1]Hoja 1'!$S:$S, $A106,
  '[1]Hoja 1'!$R:$R, "&gt;="&amp;INT($AS$1),
  '[1]Hoja 1'!$R:$R, "&lt;"&amp;INT($AT$1+1)
)</f>
        <v>0</v>
      </c>
      <c r="AR106" s="1">
        <f t="shared" si="110"/>
        <v>0</v>
      </c>
      <c r="AS106" s="9">
        <f t="shared" si="111"/>
        <v>0</v>
      </c>
      <c r="AT106" s="10">
        <f t="shared" si="112"/>
        <v>0</v>
      </c>
      <c r="AU106" s="1">
        <f>SUMIFS(
  '[1]Hoja 1'!$M:$M,
  '[1]Hoja 1'!$S:$S, $A106,
  '[1]Hoja 1'!$R:$R, "&gt;="&amp;INT($AW$1),
  '[1]Hoja 1'!$R:$R, "&lt;"&amp;INT($AX$1+1)
)</f>
        <v>0</v>
      </c>
      <c r="AV106" s="1">
        <f t="shared" si="113"/>
        <v>0</v>
      </c>
      <c r="AW106" s="9">
        <f t="shared" si="114"/>
        <v>0</v>
      </c>
      <c r="AX106" s="10">
        <f t="shared" si="115"/>
        <v>0</v>
      </c>
      <c r="AY106" s="1">
        <f>SUMIFS(
  '[1]Hoja 1'!$M:$M,
  '[1]Hoja 1'!$S:$S, $A106,
  '[1]Hoja 1'!$R:$R, "&gt;="&amp;INT($BA$1),
  '[1]Hoja 1'!$R:$R, "&lt;"&amp;INT($BB$1+1)
)</f>
        <v>0</v>
      </c>
      <c r="AZ106" s="1">
        <f t="shared" si="116"/>
        <v>0</v>
      </c>
      <c r="BA106" s="9">
        <f t="shared" si="117"/>
        <v>0</v>
      </c>
      <c r="BB106" s="10">
        <f t="shared" si="118"/>
        <v>0</v>
      </c>
      <c r="BC106" s="1">
        <f>SUMIFS(
  '[1]Hoja 1'!$M:$M,
  '[1]Hoja 1'!$S:$S, $A106,
  '[1]Hoja 1'!$R:$R, "&gt;="&amp;INT($BE$1),
  '[1]Hoja 1'!$R:$R, "&lt;"&amp;INT($BF$1+1)
)</f>
        <v>0</v>
      </c>
      <c r="BD106" s="1">
        <f t="shared" si="119"/>
        <v>0</v>
      </c>
      <c r="BE106" s="9">
        <f t="shared" si="120"/>
        <v>0</v>
      </c>
      <c r="BF106" s="10">
        <f t="shared" si="121"/>
        <v>0</v>
      </c>
      <c r="BG106" s="1">
        <f>SUMIFS(
  '[1]Hoja 1'!$M:$M,
  '[1]Hoja 1'!$S:$S, $A106,
  '[1]Hoja 1'!$R:$R, "&gt;="&amp;INT($BI$1),
  '[1]Hoja 1'!$R:$R, "&lt;"&amp;INT($BJ$1+1)
)</f>
        <v>0</v>
      </c>
      <c r="BH106" s="1">
        <f t="shared" si="122"/>
        <v>0</v>
      </c>
      <c r="BI106" s="9">
        <f t="shared" si="123"/>
        <v>0</v>
      </c>
      <c r="BJ106" s="10">
        <f t="shared" si="124"/>
        <v>0</v>
      </c>
      <c r="BK106" s="1">
        <f>SUMIFS(
  '[1]Hoja 1'!$M:$M,
  '[1]Hoja 1'!$S:$S, $A106,
  '[1]Hoja 1'!$R:$R, "&gt;="&amp;INT($BM$1),
  '[1]Hoja 1'!$R:$R, "&lt;"&amp;INT($BN$1+1)
)</f>
        <v>0</v>
      </c>
      <c r="BL106" s="1">
        <f t="shared" si="125"/>
        <v>0</v>
      </c>
      <c r="BM106" s="9">
        <f t="shared" si="126"/>
        <v>0</v>
      </c>
      <c r="BN106" s="10">
        <f t="shared" si="127"/>
        <v>0</v>
      </c>
      <c r="BO106" s="1">
        <f>SUMIFS(
  '[1]Hoja 1'!$M:$M,
  '[1]Hoja 1'!$S:$S, $A106,
  '[1]Hoja 1'!$R:$R, "&gt;="&amp;INT($BQ$1),
  '[1]Hoja 1'!$R:$R, "&lt;"&amp;INT($BR$1+1)
)</f>
        <v>0</v>
      </c>
      <c r="BP106" s="1">
        <f t="shared" si="128"/>
        <v>0</v>
      </c>
      <c r="BQ106" s="9">
        <f t="shared" si="129"/>
        <v>0</v>
      </c>
      <c r="BR106" s="10">
        <f t="shared" si="130"/>
        <v>0</v>
      </c>
      <c r="BS106" s="1">
        <f>SUMIFS(
  '[1]Hoja 1'!$M:$M,
  '[1]Hoja 1'!$S:$S, $A106,
  '[1]Hoja 1'!$R:$R, "&gt;="&amp;INT($BU$1),
  '[1]Hoja 1'!$R:$R, "&lt;"&amp;INT($BV$1+1)
)</f>
        <v>0</v>
      </c>
      <c r="BT106" s="1">
        <f t="shared" si="131"/>
        <v>0</v>
      </c>
      <c r="BU106" s="9">
        <f t="shared" si="132"/>
        <v>0</v>
      </c>
      <c r="BV106" s="10">
        <f t="shared" si="133"/>
        <v>0</v>
      </c>
      <c r="BW106" s="1">
        <f>SUMIFS(
  '[1]Hoja 1'!$M:$M,
  '[1]Hoja 1'!$S:$S, $A106,
  '[1]Hoja 1'!$R:$R, "&gt;="&amp;INT($BY$1),
  '[1]Hoja 1'!$R:$R, "&lt;"&amp;INT($BZ$1+1)
)</f>
        <v>0</v>
      </c>
      <c r="BX106" s="1">
        <f t="shared" si="134"/>
        <v>0</v>
      </c>
      <c r="BY106" s="9">
        <f t="shared" si="135"/>
        <v>0</v>
      </c>
      <c r="BZ106" s="10">
        <f t="shared" si="136"/>
        <v>0</v>
      </c>
      <c r="CA106" s="1">
        <f>SUMIFS(
  '[1]Hoja 1'!$M:$M,
  '[1]Hoja 1'!$S:$S, $A106,
  '[1]Hoja 1'!$R:$R, "&gt;="&amp;INT($CC$1),
  '[1]Hoja 1'!$R:$R, "&lt;"&amp;INT($CD$1+1)
)</f>
        <v>0</v>
      </c>
      <c r="CB106" s="1">
        <f t="shared" si="137"/>
        <v>0</v>
      </c>
      <c r="CC106" s="9">
        <f t="shared" si="138"/>
        <v>0</v>
      </c>
      <c r="CD106" s="10">
        <f t="shared" si="139"/>
        <v>0</v>
      </c>
      <c r="CE106" s="1">
        <f>SUMIFS(
  '[1]Hoja 1'!$M:$M,
  '[1]Hoja 1'!$S:$S, $A106,
  '[1]Hoja 1'!$R:$R, "&gt;="&amp;INT($CG$1),
  '[1]Hoja 1'!$R:$R, "&lt;"&amp;INT($CH$1+1)
)</f>
        <v>0</v>
      </c>
      <c r="CF106" s="1">
        <f t="shared" si="140"/>
        <v>0</v>
      </c>
      <c r="CG106" s="9">
        <f t="shared" si="141"/>
        <v>0</v>
      </c>
      <c r="CH106" s="10">
        <f t="shared" si="142"/>
        <v>0</v>
      </c>
      <c r="CI106" s="1">
        <f>SUMIFS(
  '[1]Hoja 1'!$M:$M,
  '[1]Hoja 1'!$S:$S, $A106,
  '[1]Hoja 1'!$R:$R, "&gt;="&amp;INT($CK$1),
  '[1]Hoja 1'!$R:$R, "&lt;"&amp;INT($CL$1+1)
)</f>
        <v>0</v>
      </c>
      <c r="CJ106" s="1">
        <f t="shared" si="143"/>
        <v>0</v>
      </c>
      <c r="CK106" s="9">
        <f t="shared" si="144"/>
        <v>0</v>
      </c>
      <c r="CL106" s="10">
        <f t="shared" si="145"/>
        <v>0</v>
      </c>
      <c r="CM106" s="1">
        <f>SUMIFS(
  '[1]Hoja 1'!$M:$M,
  '[1]Hoja 1'!$S:$S, $A106,
  '[1]Hoja 1'!$R:$R, "&gt;="&amp;INT($CO$1),
  '[1]Hoja 1'!$R:$R, "&lt;"&amp;INT($CP$1+1)
)</f>
        <v>0</v>
      </c>
      <c r="CN106" s="1">
        <f t="shared" si="146"/>
        <v>0</v>
      </c>
      <c r="CO106" s="9">
        <f t="shared" si="147"/>
        <v>0</v>
      </c>
      <c r="CP106" s="10">
        <f t="shared" si="148"/>
        <v>0</v>
      </c>
      <c r="CQ106" s="1">
        <f>SUMIFS(
  '[1]Hoja 1'!$M:$M,
  '[1]Hoja 1'!$S:$S, $A106,
  '[1]Hoja 1'!$R:$R, "&gt;="&amp;INT($CS$1),
  '[1]Hoja 1'!$R:$R, "&lt;"&amp;INT($CT$1+1)
)</f>
        <v>0</v>
      </c>
      <c r="CR106" s="1">
        <f t="shared" si="149"/>
        <v>0</v>
      </c>
      <c r="CS106" s="9">
        <f t="shared" si="150"/>
        <v>0</v>
      </c>
      <c r="CT106" s="10">
        <f t="shared" si="151"/>
        <v>0</v>
      </c>
      <c r="CU106" s="1">
        <f>SUMIFS(
  '[1]Hoja 1'!$M:$M,
  '[1]Hoja 1'!$S:$S, $A106,
  '[1]Hoja 1'!$R:$R, "&gt;="&amp;INT($CW$1),
  '[1]Hoja 1'!$R:$R, "&lt;"&amp;INT($CX$1+1)
)</f>
        <v>0</v>
      </c>
      <c r="CV106" s="1">
        <f t="shared" si="152"/>
        <v>0</v>
      </c>
      <c r="CW106" s="9">
        <f t="shared" si="153"/>
        <v>0</v>
      </c>
      <c r="CX106" s="10">
        <f t="shared" si="154"/>
        <v>0</v>
      </c>
      <c r="CY106" s="1">
        <f>SUMIFS(
  '[1]Hoja 1'!$M:$M,
  '[1]Hoja 1'!$S:$S, $A106,
  '[1]Hoja 1'!$R:$R, "&gt;="&amp;INT($DA$1),
  '[1]Hoja 1'!$R:$R, "&lt;"&amp;INT($DB$1+1)
)</f>
        <v>0</v>
      </c>
      <c r="CZ106" s="1">
        <f t="shared" si="155"/>
        <v>0</v>
      </c>
      <c r="DA106" s="9">
        <f t="shared" si="156"/>
        <v>0</v>
      </c>
      <c r="DB106" s="10">
        <f t="shared" si="157"/>
        <v>0</v>
      </c>
      <c r="DC106" s="1">
        <f>SUMIFS(
  '[1]Hoja 1'!$M:$M,
  '[1]Hoja 1'!$S:$S, $A106,
  '[1]Hoja 1'!$R:$R, "&gt;="&amp;INT($DE$1),
  '[1]Hoja 1'!$R:$R, "&lt;"&amp;INT($DF$1+1)
)</f>
        <v>0</v>
      </c>
      <c r="DD106" s="1">
        <f t="shared" si="158"/>
        <v>0</v>
      </c>
      <c r="DE106" s="9">
        <f t="shared" si="159"/>
        <v>0</v>
      </c>
      <c r="DF106" s="10">
        <f t="shared" si="160"/>
        <v>0</v>
      </c>
      <c r="DG106" s="1">
        <f>SUMIFS(
  '[1]Hoja 1'!$M:$M,
  '[1]Hoja 1'!$S:$S, $A106,
  '[1]Hoja 1'!$R:$R, "&gt;="&amp;INT($DI$1),
  '[1]Hoja 1'!$R:$R, "&lt;"&amp;INT($DJ$1+1)
)</f>
        <v>0</v>
      </c>
      <c r="DH106" s="1">
        <f t="shared" si="161"/>
        <v>0</v>
      </c>
      <c r="DI106" s="9">
        <f t="shared" si="162"/>
        <v>0</v>
      </c>
      <c r="DJ106" s="10">
        <f t="shared" si="163"/>
        <v>0</v>
      </c>
      <c r="DK106" s="1">
        <f>SUMIFS(
  '[1]Hoja 1'!$M:$M,
  '[1]Hoja 1'!$S:$S, $A106,
  '[1]Hoja 1'!$R:$R, "&gt;="&amp;INT($DM$1),
  '[1]Hoja 1'!$R:$R, "&lt;"&amp;INT($DN$1+1)
)</f>
        <v>0</v>
      </c>
      <c r="DL106" s="1">
        <f t="shared" si="164"/>
        <v>0</v>
      </c>
      <c r="DM106" s="9">
        <f t="shared" si="165"/>
        <v>0</v>
      </c>
      <c r="DN106" s="10">
        <f t="shared" si="166"/>
        <v>0</v>
      </c>
      <c r="DO106" s="1">
        <f>SUMIFS(
  '[1]Hoja 1'!$M:$M,
  '[1]Hoja 1'!$S:$S, $A106,
  '[1]Hoja 1'!$R:$R, "&gt;="&amp;INT($DQ$1),
  '[1]Hoja 1'!$R:$R, "&lt;"&amp;INT($DR$1+1)
)</f>
        <v>0</v>
      </c>
      <c r="DP106" s="1">
        <f t="shared" si="167"/>
        <v>0</v>
      </c>
      <c r="DQ106" s="9">
        <f t="shared" si="168"/>
        <v>0</v>
      </c>
      <c r="DR106" s="10">
        <f t="shared" si="169"/>
        <v>0</v>
      </c>
    </row>
    <row r="107" spans="1:122" x14ac:dyDescent="0.25">
      <c r="A107" s="5">
        <v>217018</v>
      </c>
      <c r="B107" s="6" t="s">
        <v>107</v>
      </c>
      <c r="C107" s="1">
        <f>SUMIFS(
  '[1]Hoja 1'!$M:$M,
  '[1]Hoja 1'!$S:$S, $A107,
  '[1]Hoja 1'!$R:$R, "&gt;="&amp;INT($E$1),
  '[1]Hoja 1'!$R:$R, "&lt;"&amp;INT($F$1+1)
)</f>
        <v>40</v>
      </c>
      <c r="D107" s="1" t="str">
        <f>""</f>
        <v/>
      </c>
      <c r="F107" s="2"/>
      <c r="G107" s="1">
        <f>SUMIFS(
  '[1]Hoja 1'!$M:$M,
  '[1]Hoja 1'!$S:$S, $A107,
  '[1]Hoja 1'!$R:$R, "&gt;="&amp;INT($I$1),
  '[1]Hoja 1'!$R:$R, "&lt;"&amp;INT($J$1+1)
)</f>
        <v>18</v>
      </c>
      <c r="H107" s="1">
        <f t="shared" si="85"/>
        <v>29</v>
      </c>
      <c r="I107" s="1"/>
      <c r="J107" s="2"/>
      <c r="K107" s="1">
        <f>SUMIFS(
  '[1]Hoja 1'!$M:$M,
  '[1]Hoja 1'!$S:$S, $A107,
  '[1]Hoja 1'!$R:$R, "&gt;="&amp;INT($M$1),
  '[1]Hoja 1'!$R:$R, "&lt;"&amp;INT($N$1+1)
)</f>
        <v>51</v>
      </c>
      <c r="L107" s="1">
        <f t="shared" si="86"/>
        <v>34.5</v>
      </c>
      <c r="M107" s="9">
        <f t="shared" si="87"/>
        <v>-3.613055505954911</v>
      </c>
      <c r="N107" s="10">
        <f t="shared" si="88"/>
        <v>72.613055505954918</v>
      </c>
      <c r="O107" s="1">
        <f>SUMIFS(
  '[1]Hoja 1'!$M:$M,
  '[1]Hoja 1'!$S:$S, $A107,
  '[1]Hoja 1'!$R:$R, "&gt;="&amp;INT($Q$1),
  '[1]Hoja 1'!$R:$R, "&lt;"&amp;INT($R$1+1)
)</f>
        <v>50</v>
      </c>
      <c r="P107" s="1">
        <f t="shared" si="89"/>
        <v>50.5</v>
      </c>
      <c r="Q107" s="9">
        <f t="shared" si="90"/>
        <v>7.3002181381296118</v>
      </c>
      <c r="R107" s="10">
        <f t="shared" si="91"/>
        <v>61.699781861870392</v>
      </c>
      <c r="S107" s="1">
        <f>SUMIFS(
  '[1]Hoja 1'!$M:$M,
  '[1]Hoja 1'!$S:$S, $A107,
  '[1]Hoja 1'!$R:$R, "&gt;="&amp;INT($U$1),
  '[1]Hoja 1'!$R:$R, "&lt;"&amp;INT($V$1+1)
)</f>
        <v>15</v>
      </c>
      <c r="T107" s="1">
        <f t="shared" si="92"/>
        <v>33</v>
      </c>
      <c r="U107" s="9">
        <f t="shared" si="93"/>
        <v>3.9133644663624487</v>
      </c>
      <c r="V107" s="10">
        <f t="shared" si="94"/>
        <v>62.086635533637548</v>
      </c>
      <c r="W107" s="1">
        <f>SUMIFS(
  '[1]Hoja 1'!$M:$M,
  '[1]Hoja 1'!$S:$S, $A107,
  '[1]Hoja 1'!$R:$R, "&gt;="&amp;INT($Y$1),
  '[1]Hoja 1'!$R:$R, "&lt;"&amp;INT($Z$1+1)
)</f>
        <v>23</v>
      </c>
      <c r="X107" s="1">
        <f t="shared" si="95"/>
        <v>19</v>
      </c>
      <c r="Y107" s="9">
        <f t="shared" si="96"/>
        <v>-8.560775872000896</v>
      </c>
      <c r="Z107" s="10">
        <f t="shared" si="97"/>
        <v>46.560775872000896</v>
      </c>
      <c r="AA107" s="1">
        <f>SUMIFS(
  '[1]Hoja 1'!$M:$M,
  '[1]Hoja 1'!$S:$S, $A107,
  '[1]Hoja 1'!$R:$R, "&gt;="&amp;INT($AC$1),
  '[1]Hoja 1'!$R:$R, "&lt;"&amp;INT($AD$1+1)
)</f>
        <v>4</v>
      </c>
      <c r="AB107" s="1">
        <f t="shared" si="98"/>
        <v>14</v>
      </c>
      <c r="AC107" s="9">
        <f t="shared" si="99"/>
        <v>-3.0390410528292335</v>
      </c>
      <c r="AD107" s="10">
        <f t="shared" si="100"/>
        <v>32.75490602482455</v>
      </c>
      <c r="AE107" s="1">
        <f>SUMIFS(
  '[1]Hoja 1'!$M:$M,
  '[1]Hoja 1'!$S:$S, $A107,
  '[1]Hoja 1'!$R:$R, "&gt;="&amp;INT($AG$1),
  '[1]Hoja 1'!$R:$R, "&lt;"&amp;INT($AH$1+1)
)</f>
        <v>0</v>
      </c>
      <c r="AF107" s="1">
        <f t="shared" si="101"/>
        <v>2</v>
      </c>
      <c r="AG107" s="9">
        <f t="shared" si="102"/>
        <v>-14.731903657384596</v>
      </c>
      <c r="AH107" s="10">
        <f t="shared" si="103"/>
        <v>20.255377289993213</v>
      </c>
      <c r="AI107" s="1">
        <f>SUMIFS(
  '[1]Hoja 1'!$M:$M,
  '[1]Hoja 1'!$S:$S, $A107,
  '[1]Hoja 1'!$R:$R, "&gt;="&amp;INT($AK$1),
  '[1]Hoja 1'!$R:$R, "&lt;"&amp;INT($AL$1+1)
)</f>
        <v>0</v>
      </c>
      <c r="AJ107" s="1">
        <f t="shared" si="104"/>
        <v>0</v>
      </c>
      <c r="AK107" s="9">
        <f t="shared" si="105"/>
        <v>-9.7508768836448745</v>
      </c>
      <c r="AL107" s="10">
        <f t="shared" si="106"/>
        <v>11.098256619848001</v>
      </c>
      <c r="AM107" s="1">
        <f>SUMIFS(
  '[1]Hoja 1'!$M:$M,
  '[1]Hoja 1'!$S:$S, $A107,
  '[1]Hoja 1'!$R:$R, "&gt;="&amp;INT($AO$1),
  '[1]Hoja 1'!$R:$R, "&lt;"&amp;INT($AP$1+1)
)</f>
        <v>0</v>
      </c>
      <c r="AN107" s="1">
        <f t="shared" si="107"/>
        <v>0</v>
      </c>
      <c r="AO107" s="9">
        <f t="shared" si="108"/>
        <v>-8.0693940292936492</v>
      </c>
      <c r="AP107" s="10">
        <f t="shared" si="109"/>
        <v>8.8517022844949622</v>
      </c>
      <c r="AQ107" s="1">
        <f>SUMIFS(
  '[1]Hoja 1'!$M:$M,
  '[1]Hoja 1'!$S:$S, $A107,
  '[1]Hoja 1'!$R:$R, "&gt;="&amp;INT($AS$1),
  '[1]Hoja 1'!$R:$R, "&lt;"&amp;INT($AT$1+1)
)</f>
        <v>0</v>
      </c>
      <c r="AR107" s="1">
        <f t="shared" si="110"/>
        <v>0</v>
      </c>
      <c r="AS107" s="9">
        <f t="shared" si="111"/>
        <v>-1.7530772943598349</v>
      </c>
      <c r="AT107" s="10">
        <f t="shared" si="112"/>
        <v>1.96</v>
      </c>
      <c r="AU107" s="1">
        <f>SUMIFS(
  '[1]Hoja 1'!$M:$M,
  '[1]Hoja 1'!$S:$S, $A107,
  '[1]Hoja 1'!$R:$R, "&gt;="&amp;INT($AW$1),
  '[1]Hoja 1'!$R:$R, "&lt;"&amp;INT($AX$1+1)
)</f>
        <v>0</v>
      </c>
      <c r="AV107" s="1">
        <f t="shared" si="113"/>
        <v>0</v>
      </c>
      <c r="AW107" s="9">
        <f t="shared" si="114"/>
        <v>0</v>
      </c>
      <c r="AX107" s="10">
        <f t="shared" si="115"/>
        <v>0</v>
      </c>
      <c r="AY107" s="1">
        <f>SUMIFS(
  '[1]Hoja 1'!$M:$M,
  '[1]Hoja 1'!$S:$S, $A107,
  '[1]Hoja 1'!$R:$R, "&gt;="&amp;INT($BA$1),
  '[1]Hoja 1'!$R:$R, "&lt;"&amp;INT($BB$1+1)
)</f>
        <v>0</v>
      </c>
      <c r="AZ107" s="1">
        <f t="shared" si="116"/>
        <v>0</v>
      </c>
      <c r="BA107" s="9">
        <f t="shared" si="117"/>
        <v>0</v>
      </c>
      <c r="BB107" s="10">
        <f t="shared" si="118"/>
        <v>0</v>
      </c>
      <c r="BC107" s="1">
        <f>SUMIFS(
  '[1]Hoja 1'!$M:$M,
  '[1]Hoja 1'!$S:$S, $A107,
  '[1]Hoja 1'!$R:$R, "&gt;="&amp;INT($BE$1),
  '[1]Hoja 1'!$R:$R, "&lt;"&amp;INT($BF$1+1)
)</f>
        <v>0</v>
      </c>
      <c r="BD107" s="1">
        <f t="shared" si="119"/>
        <v>0</v>
      </c>
      <c r="BE107" s="9">
        <f t="shared" si="120"/>
        <v>0</v>
      </c>
      <c r="BF107" s="10">
        <f t="shared" si="121"/>
        <v>0</v>
      </c>
      <c r="BG107" s="1">
        <f>SUMIFS(
  '[1]Hoja 1'!$M:$M,
  '[1]Hoja 1'!$S:$S, $A107,
  '[1]Hoja 1'!$R:$R, "&gt;="&amp;INT($BI$1),
  '[1]Hoja 1'!$R:$R, "&lt;"&amp;INT($BJ$1+1)
)</f>
        <v>0</v>
      </c>
      <c r="BH107" s="1">
        <f t="shared" si="122"/>
        <v>0</v>
      </c>
      <c r="BI107" s="9">
        <f t="shared" si="123"/>
        <v>0</v>
      </c>
      <c r="BJ107" s="10">
        <f t="shared" si="124"/>
        <v>0</v>
      </c>
      <c r="BK107" s="1">
        <f>SUMIFS(
  '[1]Hoja 1'!$M:$M,
  '[1]Hoja 1'!$S:$S, $A107,
  '[1]Hoja 1'!$R:$R, "&gt;="&amp;INT($BM$1),
  '[1]Hoja 1'!$R:$R, "&lt;"&amp;INT($BN$1+1)
)</f>
        <v>0</v>
      </c>
      <c r="BL107" s="1">
        <f t="shared" si="125"/>
        <v>0</v>
      </c>
      <c r="BM107" s="9">
        <f t="shared" si="126"/>
        <v>0</v>
      </c>
      <c r="BN107" s="10">
        <f t="shared" si="127"/>
        <v>0</v>
      </c>
      <c r="BO107" s="1">
        <f>SUMIFS(
  '[1]Hoja 1'!$M:$M,
  '[1]Hoja 1'!$S:$S, $A107,
  '[1]Hoja 1'!$R:$R, "&gt;="&amp;INT($BQ$1),
  '[1]Hoja 1'!$R:$R, "&lt;"&amp;INT($BR$1+1)
)</f>
        <v>0</v>
      </c>
      <c r="BP107" s="1">
        <f t="shared" si="128"/>
        <v>0</v>
      </c>
      <c r="BQ107" s="9">
        <f t="shared" si="129"/>
        <v>0</v>
      </c>
      <c r="BR107" s="10">
        <f t="shared" si="130"/>
        <v>0</v>
      </c>
      <c r="BS107" s="1">
        <f>SUMIFS(
  '[1]Hoja 1'!$M:$M,
  '[1]Hoja 1'!$S:$S, $A107,
  '[1]Hoja 1'!$R:$R, "&gt;="&amp;INT($BU$1),
  '[1]Hoja 1'!$R:$R, "&lt;"&amp;INT($BV$1+1)
)</f>
        <v>0</v>
      </c>
      <c r="BT107" s="1">
        <f t="shared" si="131"/>
        <v>0</v>
      </c>
      <c r="BU107" s="9">
        <f t="shared" si="132"/>
        <v>0</v>
      </c>
      <c r="BV107" s="10">
        <f t="shared" si="133"/>
        <v>0</v>
      </c>
      <c r="BW107" s="1">
        <f>SUMIFS(
  '[1]Hoja 1'!$M:$M,
  '[1]Hoja 1'!$S:$S, $A107,
  '[1]Hoja 1'!$R:$R, "&gt;="&amp;INT($BY$1),
  '[1]Hoja 1'!$R:$R, "&lt;"&amp;INT($BZ$1+1)
)</f>
        <v>0</v>
      </c>
      <c r="BX107" s="1">
        <f t="shared" si="134"/>
        <v>0</v>
      </c>
      <c r="BY107" s="9">
        <f t="shared" si="135"/>
        <v>0</v>
      </c>
      <c r="BZ107" s="10">
        <f t="shared" si="136"/>
        <v>0</v>
      </c>
      <c r="CA107" s="1">
        <f>SUMIFS(
  '[1]Hoja 1'!$M:$M,
  '[1]Hoja 1'!$S:$S, $A107,
  '[1]Hoja 1'!$R:$R, "&gt;="&amp;INT($CC$1),
  '[1]Hoja 1'!$R:$R, "&lt;"&amp;INT($CD$1+1)
)</f>
        <v>0</v>
      </c>
      <c r="CB107" s="1">
        <f t="shared" si="137"/>
        <v>0</v>
      </c>
      <c r="CC107" s="9">
        <f t="shared" si="138"/>
        <v>0</v>
      </c>
      <c r="CD107" s="10">
        <f t="shared" si="139"/>
        <v>0</v>
      </c>
      <c r="CE107" s="1">
        <f>SUMIFS(
  '[1]Hoja 1'!$M:$M,
  '[1]Hoja 1'!$S:$S, $A107,
  '[1]Hoja 1'!$R:$R, "&gt;="&amp;INT($CG$1),
  '[1]Hoja 1'!$R:$R, "&lt;"&amp;INT($CH$1+1)
)</f>
        <v>0</v>
      </c>
      <c r="CF107" s="1">
        <f t="shared" si="140"/>
        <v>0</v>
      </c>
      <c r="CG107" s="9">
        <f t="shared" si="141"/>
        <v>0</v>
      </c>
      <c r="CH107" s="10">
        <f t="shared" si="142"/>
        <v>0</v>
      </c>
      <c r="CI107" s="1">
        <f>SUMIFS(
  '[1]Hoja 1'!$M:$M,
  '[1]Hoja 1'!$S:$S, $A107,
  '[1]Hoja 1'!$R:$R, "&gt;="&amp;INT($CK$1),
  '[1]Hoja 1'!$R:$R, "&lt;"&amp;INT($CL$1+1)
)</f>
        <v>0</v>
      </c>
      <c r="CJ107" s="1">
        <f t="shared" si="143"/>
        <v>0</v>
      </c>
      <c r="CK107" s="9">
        <f t="shared" si="144"/>
        <v>0</v>
      </c>
      <c r="CL107" s="10">
        <f t="shared" si="145"/>
        <v>0</v>
      </c>
      <c r="CM107" s="1">
        <f>SUMIFS(
  '[1]Hoja 1'!$M:$M,
  '[1]Hoja 1'!$S:$S, $A107,
  '[1]Hoja 1'!$R:$R, "&gt;="&amp;INT($CO$1),
  '[1]Hoja 1'!$R:$R, "&lt;"&amp;INT($CP$1+1)
)</f>
        <v>0</v>
      </c>
      <c r="CN107" s="1">
        <f t="shared" si="146"/>
        <v>0</v>
      </c>
      <c r="CO107" s="9">
        <f t="shared" si="147"/>
        <v>0</v>
      </c>
      <c r="CP107" s="10">
        <f t="shared" si="148"/>
        <v>0</v>
      </c>
      <c r="CQ107" s="1">
        <f>SUMIFS(
  '[1]Hoja 1'!$M:$M,
  '[1]Hoja 1'!$S:$S, $A107,
  '[1]Hoja 1'!$R:$R, "&gt;="&amp;INT($CS$1),
  '[1]Hoja 1'!$R:$R, "&lt;"&amp;INT($CT$1+1)
)</f>
        <v>0</v>
      </c>
      <c r="CR107" s="1">
        <f t="shared" si="149"/>
        <v>0</v>
      </c>
      <c r="CS107" s="9">
        <f t="shared" si="150"/>
        <v>0</v>
      </c>
      <c r="CT107" s="10">
        <f t="shared" si="151"/>
        <v>0</v>
      </c>
      <c r="CU107" s="1">
        <f>SUMIFS(
  '[1]Hoja 1'!$M:$M,
  '[1]Hoja 1'!$S:$S, $A107,
  '[1]Hoja 1'!$R:$R, "&gt;="&amp;INT($CW$1),
  '[1]Hoja 1'!$R:$R, "&lt;"&amp;INT($CX$1+1)
)</f>
        <v>0</v>
      </c>
      <c r="CV107" s="1">
        <f t="shared" si="152"/>
        <v>0</v>
      </c>
      <c r="CW107" s="9">
        <f t="shared" si="153"/>
        <v>0</v>
      </c>
      <c r="CX107" s="10">
        <f t="shared" si="154"/>
        <v>0</v>
      </c>
      <c r="CY107" s="1">
        <f>SUMIFS(
  '[1]Hoja 1'!$M:$M,
  '[1]Hoja 1'!$S:$S, $A107,
  '[1]Hoja 1'!$R:$R, "&gt;="&amp;INT($DA$1),
  '[1]Hoja 1'!$R:$R, "&lt;"&amp;INT($DB$1+1)
)</f>
        <v>0</v>
      </c>
      <c r="CZ107" s="1">
        <f t="shared" si="155"/>
        <v>0</v>
      </c>
      <c r="DA107" s="9">
        <f t="shared" si="156"/>
        <v>0</v>
      </c>
      <c r="DB107" s="10">
        <f t="shared" si="157"/>
        <v>0</v>
      </c>
      <c r="DC107" s="1">
        <f>SUMIFS(
  '[1]Hoja 1'!$M:$M,
  '[1]Hoja 1'!$S:$S, $A107,
  '[1]Hoja 1'!$R:$R, "&gt;="&amp;INT($DE$1),
  '[1]Hoja 1'!$R:$R, "&lt;"&amp;INT($DF$1+1)
)</f>
        <v>0</v>
      </c>
      <c r="DD107" s="1">
        <f t="shared" si="158"/>
        <v>0</v>
      </c>
      <c r="DE107" s="9">
        <f t="shared" si="159"/>
        <v>0</v>
      </c>
      <c r="DF107" s="10">
        <f t="shared" si="160"/>
        <v>0</v>
      </c>
      <c r="DG107" s="1">
        <f>SUMIFS(
  '[1]Hoja 1'!$M:$M,
  '[1]Hoja 1'!$S:$S, $A107,
  '[1]Hoja 1'!$R:$R, "&gt;="&amp;INT($DI$1),
  '[1]Hoja 1'!$R:$R, "&lt;"&amp;INT($DJ$1+1)
)</f>
        <v>0</v>
      </c>
      <c r="DH107" s="1">
        <f t="shared" si="161"/>
        <v>0</v>
      </c>
      <c r="DI107" s="9">
        <f t="shared" si="162"/>
        <v>0</v>
      </c>
      <c r="DJ107" s="10">
        <f t="shared" si="163"/>
        <v>0</v>
      </c>
      <c r="DK107" s="1">
        <f>SUMIFS(
  '[1]Hoja 1'!$M:$M,
  '[1]Hoja 1'!$S:$S, $A107,
  '[1]Hoja 1'!$R:$R, "&gt;="&amp;INT($DM$1),
  '[1]Hoja 1'!$R:$R, "&lt;"&amp;INT($DN$1+1)
)</f>
        <v>0</v>
      </c>
      <c r="DL107" s="1">
        <f t="shared" si="164"/>
        <v>0</v>
      </c>
      <c r="DM107" s="9">
        <f t="shared" si="165"/>
        <v>0</v>
      </c>
      <c r="DN107" s="10">
        <f t="shared" si="166"/>
        <v>0</v>
      </c>
      <c r="DO107" s="1">
        <f>SUMIFS(
  '[1]Hoja 1'!$M:$M,
  '[1]Hoja 1'!$S:$S, $A107,
  '[1]Hoja 1'!$R:$R, "&gt;="&amp;INT($DQ$1),
  '[1]Hoja 1'!$R:$R, "&lt;"&amp;INT($DR$1+1)
)</f>
        <v>0</v>
      </c>
      <c r="DP107" s="1">
        <f t="shared" si="167"/>
        <v>0</v>
      </c>
      <c r="DQ107" s="9">
        <f t="shared" si="168"/>
        <v>0</v>
      </c>
      <c r="DR107" s="10">
        <f t="shared" si="169"/>
        <v>0</v>
      </c>
    </row>
    <row r="108" spans="1:122" x14ac:dyDescent="0.25">
      <c r="A108" s="5">
        <v>217019</v>
      </c>
      <c r="B108" s="6" t="s">
        <v>108</v>
      </c>
      <c r="C108" s="1">
        <f>SUMIFS(
  '[1]Hoja 1'!$M:$M,
  '[1]Hoja 1'!$S:$S, $A108,
  '[1]Hoja 1'!$R:$R, "&gt;="&amp;INT($E$1),
  '[1]Hoja 1'!$R:$R, "&lt;"&amp;INT($F$1+1)
)</f>
        <v>12</v>
      </c>
      <c r="D108" s="1" t="str">
        <f>""</f>
        <v/>
      </c>
      <c r="F108" s="2"/>
      <c r="G108" s="1">
        <f>SUMIFS(
  '[1]Hoja 1'!$M:$M,
  '[1]Hoja 1'!$S:$S, $A108,
  '[1]Hoja 1'!$R:$R, "&gt;="&amp;INT($I$1),
  '[1]Hoja 1'!$R:$R, "&lt;"&amp;INT($J$1+1)
)</f>
        <v>11</v>
      </c>
      <c r="H108" s="1">
        <f t="shared" si="85"/>
        <v>11.5</v>
      </c>
      <c r="I108" s="1"/>
      <c r="J108" s="2"/>
      <c r="K108" s="1">
        <f>SUMIFS(
  '[1]Hoja 1'!$M:$M,
  '[1]Hoja 1'!$S:$S, $A108,
  '[1]Hoja 1'!$R:$R, "&gt;="&amp;INT($M$1),
  '[1]Hoja 1'!$R:$R, "&lt;"&amp;INT($N$1+1)
)</f>
        <v>10</v>
      </c>
      <c r="L108" s="1">
        <f t="shared" si="86"/>
        <v>10.5</v>
      </c>
      <c r="M108" s="9">
        <f t="shared" si="87"/>
        <v>10.5</v>
      </c>
      <c r="N108" s="10">
        <f t="shared" si="88"/>
        <v>10.5</v>
      </c>
      <c r="O108" s="1">
        <f>SUMIFS(
  '[1]Hoja 1'!$M:$M,
  '[1]Hoja 1'!$S:$S, $A108,
  '[1]Hoja 1'!$R:$R, "&gt;="&amp;INT($Q$1),
  '[1]Hoja 1'!$R:$R, "&lt;"&amp;INT($R$1+1)
)</f>
        <v>0</v>
      </c>
      <c r="P108" s="1">
        <f t="shared" si="89"/>
        <v>5</v>
      </c>
      <c r="Q108" s="9">
        <f t="shared" si="90"/>
        <v>5.4077706257475011</v>
      </c>
      <c r="R108" s="10">
        <f t="shared" si="91"/>
        <v>15.592229374252499</v>
      </c>
      <c r="S108" s="1">
        <f>SUMIFS(
  '[1]Hoja 1'!$M:$M,
  '[1]Hoja 1'!$S:$S, $A108,
  '[1]Hoja 1'!$R:$R, "&gt;="&amp;INT($U$1),
  '[1]Hoja 1'!$R:$R, "&lt;"&amp;INT($V$1+1)
)</f>
        <v>13</v>
      </c>
      <c r="T108" s="1">
        <f t="shared" si="92"/>
        <v>7</v>
      </c>
      <c r="U108" s="9">
        <f t="shared" si="93"/>
        <v>-2.3100000000000005</v>
      </c>
      <c r="V108" s="10">
        <f t="shared" si="94"/>
        <v>16.310000000000002</v>
      </c>
      <c r="W108" s="1">
        <f>SUMIFS(
  '[1]Hoja 1'!$M:$M,
  '[1]Hoja 1'!$S:$S, $A108,
  '[1]Hoja 1'!$R:$R, "&gt;="&amp;INT($Y$1),
  '[1]Hoja 1'!$R:$R, "&lt;"&amp;INT($Z$1+1)
)</f>
        <v>12</v>
      </c>
      <c r="X108" s="1">
        <f t="shared" si="95"/>
        <v>13</v>
      </c>
      <c r="Y108" s="9">
        <f t="shared" si="96"/>
        <v>3.6899999999999995</v>
      </c>
      <c r="Z108" s="10">
        <f t="shared" si="97"/>
        <v>22.310000000000002</v>
      </c>
      <c r="AA108" s="1">
        <f>SUMIFS(
  '[1]Hoja 1'!$M:$M,
  '[1]Hoja 1'!$S:$S, $A108,
  '[1]Hoja 1'!$R:$R, "&gt;="&amp;INT($AC$1),
  '[1]Hoja 1'!$R:$R, "&lt;"&amp;INT($AD$1+1)
)</f>
        <v>9</v>
      </c>
      <c r="AB108" s="1">
        <f t="shared" si="98"/>
        <v>11</v>
      </c>
      <c r="AC108" s="9">
        <f t="shared" si="99"/>
        <v>2.8183204658212144</v>
      </c>
      <c r="AD108" s="10">
        <f t="shared" si="100"/>
        <v>20.446542577401885</v>
      </c>
      <c r="AE108" s="1">
        <f>SUMIFS(
  '[1]Hoja 1'!$M:$M,
  '[1]Hoja 1'!$S:$S, $A108,
  '[1]Hoja 1'!$R:$R, "&gt;="&amp;INT($AG$1),
  '[1]Hoja 1'!$R:$R, "&lt;"&amp;INT($AH$1+1)
)</f>
        <v>0</v>
      </c>
      <c r="AF108" s="1">
        <f t="shared" si="101"/>
        <v>5</v>
      </c>
      <c r="AG108" s="9">
        <f t="shared" si="102"/>
        <v>-2.9010125933325783</v>
      </c>
      <c r="AH108" s="10">
        <f t="shared" si="103"/>
        <v>14.123303495262375</v>
      </c>
      <c r="AI108" s="1">
        <f>SUMIFS(
  '[1]Hoja 1'!$M:$M,
  '[1]Hoja 1'!$S:$S, $A108,
  '[1]Hoja 1'!$R:$R, "&gt;="&amp;INT($AK$1),
  '[1]Hoja 1'!$R:$R, "&lt;"&amp;INT($AL$1+1)
)</f>
        <v>0</v>
      </c>
      <c r="AJ108" s="1">
        <f t="shared" si="104"/>
        <v>0</v>
      </c>
      <c r="AK108" s="9">
        <f t="shared" si="105"/>
        <v>-3.7059033986330516</v>
      </c>
      <c r="AL108" s="10">
        <f t="shared" si="106"/>
        <v>3.9505062966662892</v>
      </c>
      <c r="AM108" s="1">
        <f>SUMIFS(
  '[1]Hoja 1'!$M:$M,
  '[1]Hoja 1'!$S:$S, $A108,
  '[1]Hoja 1'!$R:$R, "&gt;="&amp;INT($AO$1),
  '[1]Hoja 1'!$R:$R, "&lt;"&amp;INT($AP$1+1)
)</f>
        <v>0</v>
      </c>
      <c r="AN108" s="1">
        <f t="shared" si="107"/>
        <v>0</v>
      </c>
      <c r="AO108" s="9">
        <f t="shared" si="108"/>
        <v>-3.8332910142591574</v>
      </c>
      <c r="AP108" s="10">
        <f t="shared" si="109"/>
        <v>4.1577878733768987</v>
      </c>
      <c r="AQ108" s="1">
        <f>SUMIFS(
  '[1]Hoja 1'!$M:$M,
  '[1]Hoja 1'!$S:$S, $A108,
  '[1]Hoja 1'!$R:$R, "&gt;="&amp;INT($AS$1),
  '[1]Hoja 1'!$R:$R, "&lt;"&amp;INT($AT$1+1)
)</f>
        <v>0</v>
      </c>
      <c r="AR108" s="1">
        <f t="shared" si="110"/>
        <v>0</v>
      </c>
      <c r="AS108" s="9">
        <f t="shared" si="111"/>
        <v>-3.9444239123096287</v>
      </c>
      <c r="AT108" s="10">
        <f t="shared" si="112"/>
        <v>4.41</v>
      </c>
      <c r="AU108" s="1">
        <f>SUMIFS(
  '[1]Hoja 1'!$M:$M,
  '[1]Hoja 1'!$S:$S, $A108,
  '[1]Hoja 1'!$R:$R, "&gt;="&amp;INT($AW$1),
  '[1]Hoja 1'!$R:$R, "&lt;"&amp;INT($AX$1+1)
)</f>
        <v>0</v>
      </c>
      <c r="AV108" s="1">
        <f t="shared" si="113"/>
        <v>0</v>
      </c>
      <c r="AW108" s="9">
        <f t="shared" si="114"/>
        <v>0</v>
      </c>
      <c r="AX108" s="10">
        <f t="shared" si="115"/>
        <v>0</v>
      </c>
      <c r="AY108" s="1">
        <f>SUMIFS(
  '[1]Hoja 1'!$M:$M,
  '[1]Hoja 1'!$S:$S, $A108,
  '[1]Hoja 1'!$R:$R, "&gt;="&amp;INT($BA$1),
  '[1]Hoja 1'!$R:$R, "&lt;"&amp;INT($BB$1+1)
)</f>
        <v>0</v>
      </c>
      <c r="AZ108" s="1">
        <f t="shared" si="116"/>
        <v>0</v>
      </c>
      <c r="BA108" s="9">
        <f t="shared" si="117"/>
        <v>0</v>
      </c>
      <c r="BB108" s="10">
        <f t="shared" si="118"/>
        <v>0</v>
      </c>
      <c r="BC108" s="1">
        <f>SUMIFS(
  '[1]Hoja 1'!$M:$M,
  '[1]Hoja 1'!$S:$S, $A108,
  '[1]Hoja 1'!$R:$R, "&gt;="&amp;INT($BE$1),
  '[1]Hoja 1'!$R:$R, "&lt;"&amp;INT($BF$1+1)
)</f>
        <v>0</v>
      </c>
      <c r="BD108" s="1">
        <f t="shared" si="119"/>
        <v>0</v>
      </c>
      <c r="BE108" s="9">
        <f t="shared" si="120"/>
        <v>0</v>
      </c>
      <c r="BF108" s="10">
        <f t="shared" si="121"/>
        <v>0</v>
      </c>
      <c r="BG108" s="1">
        <f>SUMIFS(
  '[1]Hoja 1'!$M:$M,
  '[1]Hoja 1'!$S:$S, $A108,
  '[1]Hoja 1'!$R:$R, "&gt;="&amp;INT($BI$1),
  '[1]Hoja 1'!$R:$R, "&lt;"&amp;INT($BJ$1+1)
)</f>
        <v>0</v>
      </c>
      <c r="BH108" s="1">
        <f t="shared" si="122"/>
        <v>0</v>
      </c>
      <c r="BI108" s="9">
        <f t="shared" si="123"/>
        <v>0</v>
      </c>
      <c r="BJ108" s="10">
        <f t="shared" si="124"/>
        <v>0</v>
      </c>
      <c r="BK108" s="1">
        <f>SUMIFS(
  '[1]Hoja 1'!$M:$M,
  '[1]Hoja 1'!$S:$S, $A108,
  '[1]Hoja 1'!$R:$R, "&gt;="&amp;INT($BM$1),
  '[1]Hoja 1'!$R:$R, "&lt;"&amp;INT($BN$1+1)
)</f>
        <v>0</v>
      </c>
      <c r="BL108" s="1">
        <f t="shared" si="125"/>
        <v>0</v>
      </c>
      <c r="BM108" s="9">
        <f t="shared" si="126"/>
        <v>0</v>
      </c>
      <c r="BN108" s="10">
        <f t="shared" si="127"/>
        <v>0</v>
      </c>
      <c r="BO108" s="1">
        <f>SUMIFS(
  '[1]Hoja 1'!$M:$M,
  '[1]Hoja 1'!$S:$S, $A108,
  '[1]Hoja 1'!$R:$R, "&gt;="&amp;INT($BQ$1),
  '[1]Hoja 1'!$R:$R, "&lt;"&amp;INT($BR$1+1)
)</f>
        <v>0</v>
      </c>
      <c r="BP108" s="1">
        <f t="shared" si="128"/>
        <v>0</v>
      </c>
      <c r="BQ108" s="9">
        <f t="shared" si="129"/>
        <v>0</v>
      </c>
      <c r="BR108" s="10">
        <f t="shared" si="130"/>
        <v>0</v>
      </c>
      <c r="BS108" s="1">
        <f>SUMIFS(
  '[1]Hoja 1'!$M:$M,
  '[1]Hoja 1'!$S:$S, $A108,
  '[1]Hoja 1'!$R:$R, "&gt;="&amp;INT($BU$1),
  '[1]Hoja 1'!$R:$R, "&lt;"&amp;INT($BV$1+1)
)</f>
        <v>0</v>
      </c>
      <c r="BT108" s="1">
        <f t="shared" si="131"/>
        <v>0</v>
      </c>
      <c r="BU108" s="9">
        <f t="shared" si="132"/>
        <v>0</v>
      </c>
      <c r="BV108" s="10">
        <f t="shared" si="133"/>
        <v>0</v>
      </c>
      <c r="BW108" s="1">
        <f>SUMIFS(
  '[1]Hoja 1'!$M:$M,
  '[1]Hoja 1'!$S:$S, $A108,
  '[1]Hoja 1'!$R:$R, "&gt;="&amp;INT($BY$1),
  '[1]Hoja 1'!$R:$R, "&lt;"&amp;INT($BZ$1+1)
)</f>
        <v>0</v>
      </c>
      <c r="BX108" s="1">
        <f t="shared" si="134"/>
        <v>0</v>
      </c>
      <c r="BY108" s="9">
        <f t="shared" si="135"/>
        <v>0</v>
      </c>
      <c r="BZ108" s="10">
        <f t="shared" si="136"/>
        <v>0</v>
      </c>
      <c r="CA108" s="1">
        <f>SUMIFS(
  '[1]Hoja 1'!$M:$M,
  '[1]Hoja 1'!$S:$S, $A108,
  '[1]Hoja 1'!$R:$R, "&gt;="&amp;INT($CC$1),
  '[1]Hoja 1'!$R:$R, "&lt;"&amp;INT($CD$1+1)
)</f>
        <v>0</v>
      </c>
      <c r="CB108" s="1">
        <f t="shared" si="137"/>
        <v>0</v>
      </c>
      <c r="CC108" s="9">
        <f t="shared" si="138"/>
        <v>0</v>
      </c>
      <c r="CD108" s="10">
        <f t="shared" si="139"/>
        <v>0</v>
      </c>
      <c r="CE108" s="1">
        <f>SUMIFS(
  '[1]Hoja 1'!$M:$M,
  '[1]Hoja 1'!$S:$S, $A108,
  '[1]Hoja 1'!$R:$R, "&gt;="&amp;INT($CG$1),
  '[1]Hoja 1'!$R:$R, "&lt;"&amp;INT($CH$1+1)
)</f>
        <v>0</v>
      </c>
      <c r="CF108" s="1">
        <f t="shared" si="140"/>
        <v>0</v>
      </c>
      <c r="CG108" s="9">
        <f t="shared" si="141"/>
        <v>0</v>
      </c>
      <c r="CH108" s="10">
        <f t="shared" si="142"/>
        <v>0</v>
      </c>
      <c r="CI108" s="1">
        <f>SUMIFS(
  '[1]Hoja 1'!$M:$M,
  '[1]Hoja 1'!$S:$S, $A108,
  '[1]Hoja 1'!$R:$R, "&gt;="&amp;INT($CK$1),
  '[1]Hoja 1'!$R:$R, "&lt;"&amp;INT($CL$1+1)
)</f>
        <v>0</v>
      </c>
      <c r="CJ108" s="1">
        <f t="shared" si="143"/>
        <v>0</v>
      </c>
      <c r="CK108" s="9">
        <f t="shared" si="144"/>
        <v>0</v>
      </c>
      <c r="CL108" s="10">
        <f t="shared" si="145"/>
        <v>0</v>
      </c>
      <c r="CM108" s="1">
        <f>SUMIFS(
  '[1]Hoja 1'!$M:$M,
  '[1]Hoja 1'!$S:$S, $A108,
  '[1]Hoja 1'!$R:$R, "&gt;="&amp;INT($CO$1),
  '[1]Hoja 1'!$R:$R, "&lt;"&amp;INT($CP$1+1)
)</f>
        <v>0</v>
      </c>
      <c r="CN108" s="1">
        <f t="shared" si="146"/>
        <v>0</v>
      </c>
      <c r="CO108" s="9">
        <f t="shared" si="147"/>
        <v>0</v>
      </c>
      <c r="CP108" s="10">
        <f t="shared" si="148"/>
        <v>0</v>
      </c>
      <c r="CQ108" s="1">
        <f>SUMIFS(
  '[1]Hoja 1'!$M:$M,
  '[1]Hoja 1'!$S:$S, $A108,
  '[1]Hoja 1'!$R:$R, "&gt;="&amp;INT($CS$1),
  '[1]Hoja 1'!$R:$R, "&lt;"&amp;INT($CT$1+1)
)</f>
        <v>0</v>
      </c>
      <c r="CR108" s="1">
        <f t="shared" si="149"/>
        <v>0</v>
      </c>
      <c r="CS108" s="9">
        <f t="shared" si="150"/>
        <v>0</v>
      </c>
      <c r="CT108" s="10">
        <f t="shared" si="151"/>
        <v>0</v>
      </c>
      <c r="CU108" s="1">
        <f>SUMIFS(
  '[1]Hoja 1'!$M:$M,
  '[1]Hoja 1'!$S:$S, $A108,
  '[1]Hoja 1'!$R:$R, "&gt;="&amp;INT($CW$1),
  '[1]Hoja 1'!$R:$R, "&lt;"&amp;INT($CX$1+1)
)</f>
        <v>0</v>
      </c>
      <c r="CV108" s="1">
        <f t="shared" si="152"/>
        <v>0</v>
      </c>
      <c r="CW108" s="9">
        <f t="shared" si="153"/>
        <v>0</v>
      </c>
      <c r="CX108" s="10">
        <f t="shared" si="154"/>
        <v>0</v>
      </c>
      <c r="CY108" s="1">
        <f>SUMIFS(
  '[1]Hoja 1'!$M:$M,
  '[1]Hoja 1'!$S:$S, $A108,
  '[1]Hoja 1'!$R:$R, "&gt;="&amp;INT($DA$1),
  '[1]Hoja 1'!$R:$R, "&lt;"&amp;INT($DB$1+1)
)</f>
        <v>0</v>
      </c>
      <c r="CZ108" s="1">
        <f t="shared" si="155"/>
        <v>0</v>
      </c>
      <c r="DA108" s="9">
        <f t="shared" si="156"/>
        <v>0</v>
      </c>
      <c r="DB108" s="10">
        <f t="shared" si="157"/>
        <v>0</v>
      </c>
      <c r="DC108" s="1">
        <f>SUMIFS(
  '[1]Hoja 1'!$M:$M,
  '[1]Hoja 1'!$S:$S, $A108,
  '[1]Hoja 1'!$R:$R, "&gt;="&amp;INT($DE$1),
  '[1]Hoja 1'!$R:$R, "&lt;"&amp;INT($DF$1+1)
)</f>
        <v>0</v>
      </c>
      <c r="DD108" s="1">
        <f t="shared" si="158"/>
        <v>0</v>
      </c>
      <c r="DE108" s="9">
        <f t="shared" si="159"/>
        <v>0</v>
      </c>
      <c r="DF108" s="10">
        <f t="shared" si="160"/>
        <v>0</v>
      </c>
      <c r="DG108" s="1">
        <f>SUMIFS(
  '[1]Hoja 1'!$M:$M,
  '[1]Hoja 1'!$S:$S, $A108,
  '[1]Hoja 1'!$R:$R, "&gt;="&amp;INT($DI$1),
  '[1]Hoja 1'!$R:$R, "&lt;"&amp;INT($DJ$1+1)
)</f>
        <v>0</v>
      </c>
      <c r="DH108" s="1">
        <f t="shared" si="161"/>
        <v>0</v>
      </c>
      <c r="DI108" s="9">
        <f t="shared" si="162"/>
        <v>0</v>
      </c>
      <c r="DJ108" s="10">
        <f t="shared" si="163"/>
        <v>0</v>
      </c>
      <c r="DK108" s="1">
        <f>SUMIFS(
  '[1]Hoja 1'!$M:$M,
  '[1]Hoja 1'!$S:$S, $A108,
  '[1]Hoja 1'!$R:$R, "&gt;="&amp;INT($DM$1),
  '[1]Hoja 1'!$R:$R, "&lt;"&amp;INT($DN$1+1)
)</f>
        <v>0</v>
      </c>
      <c r="DL108" s="1">
        <f t="shared" si="164"/>
        <v>0</v>
      </c>
      <c r="DM108" s="9">
        <f t="shared" si="165"/>
        <v>0</v>
      </c>
      <c r="DN108" s="10">
        <f t="shared" si="166"/>
        <v>0</v>
      </c>
      <c r="DO108" s="1">
        <f>SUMIFS(
  '[1]Hoja 1'!$M:$M,
  '[1]Hoja 1'!$S:$S, $A108,
  '[1]Hoja 1'!$R:$R, "&gt;="&amp;INT($DQ$1),
  '[1]Hoja 1'!$R:$R, "&lt;"&amp;INT($DR$1+1)
)</f>
        <v>0</v>
      </c>
      <c r="DP108" s="1">
        <f t="shared" si="167"/>
        <v>0</v>
      </c>
      <c r="DQ108" s="9">
        <f t="shared" si="168"/>
        <v>0</v>
      </c>
      <c r="DR108" s="10">
        <f t="shared" si="169"/>
        <v>0</v>
      </c>
    </row>
    <row r="109" spans="1:122" x14ac:dyDescent="0.25">
      <c r="A109" s="5">
        <v>217020</v>
      </c>
      <c r="B109" s="6" t="s">
        <v>109</v>
      </c>
      <c r="C109" s="1">
        <f>SUMIFS(
  '[1]Hoja 1'!$M:$M,
  '[1]Hoja 1'!$S:$S, $A109,
  '[1]Hoja 1'!$R:$R, "&gt;="&amp;INT($E$1),
  '[1]Hoja 1'!$R:$R, "&lt;"&amp;INT($F$1+1)
)</f>
        <v>0</v>
      </c>
      <c r="D109" s="1" t="str">
        <f>""</f>
        <v/>
      </c>
      <c r="F109" s="2"/>
      <c r="G109" s="1">
        <f>SUMIFS(
  '[1]Hoja 1'!$M:$M,
  '[1]Hoja 1'!$S:$S, $A109,
  '[1]Hoja 1'!$R:$R, "&gt;="&amp;INT($I$1),
  '[1]Hoja 1'!$R:$R, "&lt;"&amp;INT($J$1+1)
)</f>
        <v>0</v>
      </c>
      <c r="H109" s="1">
        <f t="shared" si="85"/>
        <v>0</v>
      </c>
      <c r="I109" s="1"/>
      <c r="J109" s="2"/>
      <c r="K109" s="1">
        <f>SUMIFS(
  '[1]Hoja 1'!$M:$M,
  '[1]Hoja 1'!$S:$S, $A109,
  '[1]Hoja 1'!$R:$R, "&gt;="&amp;INT($M$1),
  '[1]Hoja 1'!$R:$R, "&lt;"&amp;INT($N$1+1)
)</f>
        <v>0</v>
      </c>
      <c r="L109" s="1">
        <f t="shared" si="86"/>
        <v>0</v>
      </c>
      <c r="M109" s="9">
        <f t="shared" si="87"/>
        <v>0</v>
      </c>
      <c r="N109" s="10">
        <f t="shared" si="88"/>
        <v>0</v>
      </c>
      <c r="O109" s="1">
        <f>SUMIFS(
  '[1]Hoja 1'!$M:$M,
  '[1]Hoja 1'!$S:$S, $A109,
  '[1]Hoja 1'!$R:$R, "&gt;="&amp;INT($Q$1),
  '[1]Hoja 1'!$R:$R, "&lt;"&amp;INT($R$1+1)
)</f>
        <v>0</v>
      </c>
      <c r="P109" s="1">
        <f t="shared" si="89"/>
        <v>0</v>
      </c>
      <c r="Q109" s="9">
        <f t="shared" si="90"/>
        <v>0</v>
      </c>
      <c r="R109" s="10">
        <f t="shared" si="91"/>
        <v>0</v>
      </c>
      <c r="S109" s="1">
        <f>SUMIFS(
  '[1]Hoja 1'!$M:$M,
  '[1]Hoja 1'!$S:$S, $A109,
  '[1]Hoja 1'!$R:$R, "&gt;="&amp;INT($U$1),
  '[1]Hoja 1'!$R:$R, "&lt;"&amp;INT($V$1+1)
)</f>
        <v>0</v>
      </c>
      <c r="T109" s="1">
        <f t="shared" si="92"/>
        <v>0</v>
      </c>
      <c r="U109" s="9">
        <f t="shared" si="93"/>
        <v>0</v>
      </c>
      <c r="V109" s="10">
        <f t="shared" si="94"/>
        <v>0</v>
      </c>
      <c r="W109" s="1">
        <f>SUMIFS(
  '[1]Hoja 1'!$M:$M,
  '[1]Hoja 1'!$S:$S, $A109,
  '[1]Hoja 1'!$R:$R, "&gt;="&amp;INT($Y$1),
  '[1]Hoja 1'!$R:$R, "&lt;"&amp;INT($Z$1+1)
)</f>
        <v>0</v>
      </c>
      <c r="X109" s="1">
        <f t="shared" si="95"/>
        <v>0</v>
      </c>
      <c r="Y109" s="9">
        <f t="shared" si="96"/>
        <v>0</v>
      </c>
      <c r="Z109" s="10">
        <f t="shared" si="97"/>
        <v>0</v>
      </c>
      <c r="AA109" s="1">
        <f>SUMIFS(
  '[1]Hoja 1'!$M:$M,
  '[1]Hoja 1'!$S:$S, $A109,
  '[1]Hoja 1'!$R:$R, "&gt;="&amp;INT($AC$1),
  '[1]Hoja 1'!$R:$R, "&lt;"&amp;INT($AD$1+1)
)</f>
        <v>0</v>
      </c>
      <c r="AB109" s="1">
        <f t="shared" si="98"/>
        <v>0</v>
      </c>
      <c r="AC109" s="9">
        <f t="shared" si="99"/>
        <v>0</v>
      </c>
      <c r="AD109" s="10">
        <f t="shared" si="100"/>
        <v>0</v>
      </c>
      <c r="AE109" s="1">
        <f>SUMIFS(
  '[1]Hoja 1'!$M:$M,
  '[1]Hoja 1'!$S:$S, $A109,
  '[1]Hoja 1'!$R:$R, "&gt;="&amp;INT($AG$1),
  '[1]Hoja 1'!$R:$R, "&lt;"&amp;INT($AH$1+1)
)</f>
        <v>0</v>
      </c>
      <c r="AF109" s="1">
        <f t="shared" si="101"/>
        <v>0</v>
      </c>
      <c r="AG109" s="9">
        <f t="shared" si="102"/>
        <v>0</v>
      </c>
      <c r="AH109" s="10">
        <f t="shared" si="103"/>
        <v>0</v>
      </c>
      <c r="AI109" s="1">
        <f>SUMIFS(
  '[1]Hoja 1'!$M:$M,
  '[1]Hoja 1'!$S:$S, $A109,
  '[1]Hoja 1'!$R:$R, "&gt;="&amp;INT($AK$1),
  '[1]Hoja 1'!$R:$R, "&lt;"&amp;INT($AL$1+1)
)</f>
        <v>0</v>
      </c>
      <c r="AJ109" s="1">
        <f t="shared" si="104"/>
        <v>0</v>
      </c>
      <c r="AK109" s="9">
        <f t="shared" si="105"/>
        <v>0</v>
      </c>
      <c r="AL109" s="10">
        <f t="shared" si="106"/>
        <v>0</v>
      </c>
      <c r="AM109" s="1">
        <f>SUMIFS(
  '[1]Hoja 1'!$M:$M,
  '[1]Hoja 1'!$S:$S, $A109,
  '[1]Hoja 1'!$R:$R, "&gt;="&amp;INT($AO$1),
  '[1]Hoja 1'!$R:$R, "&lt;"&amp;INT($AP$1+1)
)</f>
        <v>0</v>
      </c>
      <c r="AN109" s="1">
        <f t="shared" si="107"/>
        <v>0</v>
      </c>
      <c r="AO109" s="9">
        <f t="shared" si="108"/>
        <v>0</v>
      </c>
      <c r="AP109" s="10">
        <f t="shared" si="109"/>
        <v>0</v>
      </c>
      <c r="AQ109" s="1">
        <f>SUMIFS(
  '[1]Hoja 1'!$M:$M,
  '[1]Hoja 1'!$S:$S, $A109,
  '[1]Hoja 1'!$R:$R, "&gt;="&amp;INT($AS$1),
  '[1]Hoja 1'!$R:$R, "&lt;"&amp;INT($AT$1+1)
)</f>
        <v>0</v>
      </c>
      <c r="AR109" s="1">
        <f t="shared" si="110"/>
        <v>0</v>
      </c>
      <c r="AS109" s="9">
        <f t="shared" si="111"/>
        <v>0</v>
      </c>
      <c r="AT109" s="10">
        <f t="shared" si="112"/>
        <v>0</v>
      </c>
      <c r="AU109" s="1">
        <f>SUMIFS(
  '[1]Hoja 1'!$M:$M,
  '[1]Hoja 1'!$S:$S, $A109,
  '[1]Hoja 1'!$R:$R, "&gt;="&amp;INT($AW$1),
  '[1]Hoja 1'!$R:$R, "&lt;"&amp;INT($AX$1+1)
)</f>
        <v>0</v>
      </c>
      <c r="AV109" s="1">
        <f t="shared" si="113"/>
        <v>0</v>
      </c>
      <c r="AW109" s="9">
        <f t="shared" si="114"/>
        <v>0</v>
      </c>
      <c r="AX109" s="10">
        <f t="shared" si="115"/>
        <v>0</v>
      </c>
      <c r="AY109" s="1">
        <f>SUMIFS(
  '[1]Hoja 1'!$M:$M,
  '[1]Hoja 1'!$S:$S, $A109,
  '[1]Hoja 1'!$R:$R, "&gt;="&amp;INT($BA$1),
  '[1]Hoja 1'!$R:$R, "&lt;"&amp;INT($BB$1+1)
)</f>
        <v>0</v>
      </c>
      <c r="AZ109" s="1">
        <f t="shared" si="116"/>
        <v>0</v>
      </c>
      <c r="BA109" s="9">
        <f t="shared" si="117"/>
        <v>0</v>
      </c>
      <c r="BB109" s="10">
        <f t="shared" si="118"/>
        <v>0</v>
      </c>
      <c r="BC109" s="1">
        <f>SUMIFS(
  '[1]Hoja 1'!$M:$M,
  '[1]Hoja 1'!$S:$S, $A109,
  '[1]Hoja 1'!$R:$R, "&gt;="&amp;INT($BE$1),
  '[1]Hoja 1'!$R:$R, "&lt;"&amp;INT($BF$1+1)
)</f>
        <v>0</v>
      </c>
      <c r="BD109" s="1">
        <f t="shared" si="119"/>
        <v>0</v>
      </c>
      <c r="BE109" s="9">
        <f t="shared" si="120"/>
        <v>0</v>
      </c>
      <c r="BF109" s="10">
        <f t="shared" si="121"/>
        <v>0</v>
      </c>
      <c r="BG109" s="1">
        <f>SUMIFS(
  '[1]Hoja 1'!$M:$M,
  '[1]Hoja 1'!$S:$S, $A109,
  '[1]Hoja 1'!$R:$R, "&gt;="&amp;INT($BI$1),
  '[1]Hoja 1'!$R:$R, "&lt;"&amp;INT($BJ$1+1)
)</f>
        <v>0</v>
      </c>
      <c r="BH109" s="1">
        <f t="shared" si="122"/>
        <v>0</v>
      </c>
      <c r="BI109" s="9">
        <f t="shared" si="123"/>
        <v>0</v>
      </c>
      <c r="BJ109" s="10">
        <f t="shared" si="124"/>
        <v>0</v>
      </c>
      <c r="BK109" s="1">
        <f>SUMIFS(
  '[1]Hoja 1'!$M:$M,
  '[1]Hoja 1'!$S:$S, $A109,
  '[1]Hoja 1'!$R:$R, "&gt;="&amp;INT($BM$1),
  '[1]Hoja 1'!$R:$R, "&lt;"&amp;INT($BN$1+1)
)</f>
        <v>0</v>
      </c>
      <c r="BL109" s="1">
        <f t="shared" si="125"/>
        <v>0</v>
      </c>
      <c r="BM109" s="9">
        <f t="shared" si="126"/>
        <v>0</v>
      </c>
      <c r="BN109" s="10">
        <f t="shared" si="127"/>
        <v>0</v>
      </c>
      <c r="BO109" s="1">
        <f>SUMIFS(
  '[1]Hoja 1'!$M:$M,
  '[1]Hoja 1'!$S:$S, $A109,
  '[1]Hoja 1'!$R:$R, "&gt;="&amp;INT($BQ$1),
  '[1]Hoja 1'!$R:$R, "&lt;"&amp;INT($BR$1+1)
)</f>
        <v>0</v>
      </c>
      <c r="BP109" s="1">
        <f t="shared" si="128"/>
        <v>0</v>
      </c>
      <c r="BQ109" s="9">
        <f t="shared" si="129"/>
        <v>0</v>
      </c>
      <c r="BR109" s="10">
        <f t="shared" si="130"/>
        <v>0</v>
      </c>
      <c r="BS109" s="1">
        <f>SUMIFS(
  '[1]Hoja 1'!$M:$M,
  '[1]Hoja 1'!$S:$S, $A109,
  '[1]Hoja 1'!$R:$R, "&gt;="&amp;INT($BU$1),
  '[1]Hoja 1'!$R:$R, "&lt;"&amp;INT($BV$1+1)
)</f>
        <v>0</v>
      </c>
      <c r="BT109" s="1">
        <f t="shared" si="131"/>
        <v>0</v>
      </c>
      <c r="BU109" s="9">
        <f t="shared" si="132"/>
        <v>0</v>
      </c>
      <c r="BV109" s="10">
        <f t="shared" si="133"/>
        <v>0</v>
      </c>
      <c r="BW109" s="1">
        <f>SUMIFS(
  '[1]Hoja 1'!$M:$M,
  '[1]Hoja 1'!$S:$S, $A109,
  '[1]Hoja 1'!$R:$R, "&gt;="&amp;INT($BY$1),
  '[1]Hoja 1'!$R:$R, "&lt;"&amp;INT($BZ$1+1)
)</f>
        <v>0</v>
      </c>
      <c r="BX109" s="1">
        <f t="shared" si="134"/>
        <v>0</v>
      </c>
      <c r="BY109" s="9">
        <f t="shared" si="135"/>
        <v>0</v>
      </c>
      <c r="BZ109" s="10">
        <f t="shared" si="136"/>
        <v>0</v>
      </c>
      <c r="CA109" s="1">
        <f>SUMIFS(
  '[1]Hoja 1'!$M:$M,
  '[1]Hoja 1'!$S:$S, $A109,
  '[1]Hoja 1'!$R:$R, "&gt;="&amp;INT($CC$1),
  '[1]Hoja 1'!$R:$R, "&lt;"&amp;INT($CD$1+1)
)</f>
        <v>0</v>
      </c>
      <c r="CB109" s="1">
        <f t="shared" si="137"/>
        <v>0</v>
      </c>
      <c r="CC109" s="9">
        <f t="shared" si="138"/>
        <v>0</v>
      </c>
      <c r="CD109" s="10">
        <f t="shared" si="139"/>
        <v>0</v>
      </c>
      <c r="CE109" s="1">
        <f>SUMIFS(
  '[1]Hoja 1'!$M:$M,
  '[1]Hoja 1'!$S:$S, $A109,
  '[1]Hoja 1'!$R:$R, "&gt;="&amp;INT($CG$1),
  '[1]Hoja 1'!$R:$R, "&lt;"&amp;INT($CH$1+1)
)</f>
        <v>0</v>
      </c>
      <c r="CF109" s="1">
        <f t="shared" si="140"/>
        <v>0</v>
      </c>
      <c r="CG109" s="9">
        <f t="shared" si="141"/>
        <v>0</v>
      </c>
      <c r="CH109" s="10">
        <f t="shared" si="142"/>
        <v>0</v>
      </c>
      <c r="CI109" s="1">
        <f>SUMIFS(
  '[1]Hoja 1'!$M:$M,
  '[1]Hoja 1'!$S:$S, $A109,
  '[1]Hoja 1'!$R:$R, "&gt;="&amp;INT($CK$1),
  '[1]Hoja 1'!$R:$R, "&lt;"&amp;INT($CL$1+1)
)</f>
        <v>0</v>
      </c>
      <c r="CJ109" s="1">
        <f t="shared" si="143"/>
        <v>0</v>
      </c>
      <c r="CK109" s="9">
        <f t="shared" si="144"/>
        <v>0</v>
      </c>
      <c r="CL109" s="10">
        <f t="shared" si="145"/>
        <v>0</v>
      </c>
      <c r="CM109" s="1">
        <f>SUMIFS(
  '[1]Hoja 1'!$M:$M,
  '[1]Hoja 1'!$S:$S, $A109,
  '[1]Hoja 1'!$R:$R, "&gt;="&amp;INT($CO$1),
  '[1]Hoja 1'!$R:$R, "&lt;"&amp;INT($CP$1+1)
)</f>
        <v>0</v>
      </c>
      <c r="CN109" s="1">
        <f t="shared" si="146"/>
        <v>0</v>
      </c>
      <c r="CO109" s="9">
        <f t="shared" si="147"/>
        <v>0</v>
      </c>
      <c r="CP109" s="10">
        <f t="shared" si="148"/>
        <v>0</v>
      </c>
      <c r="CQ109" s="1">
        <f>SUMIFS(
  '[1]Hoja 1'!$M:$M,
  '[1]Hoja 1'!$S:$S, $A109,
  '[1]Hoja 1'!$R:$R, "&gt;="&amp;INT($CS$1),
  '[1]Hoja 1'!$R:$R, "&lt;"&amp;INT($CT$1+1)
)</f>
        <v>0</v>
      </c>
      <c r="CR109" s="1">
        <f t="shared" si="149"/>
        <v>0</v>
      </c>
      <c r="CS109" s="9">
        <f t="shared" si="150"/>
        <v>0</v>
      </c>
      <c r="CT109" s="10">
        <f t="shared" si="151"/>
        <v>0</v>
      </c>
      <c r="CU109" s="1">
        <f>SUMIFS(
  '[1]Hoja 1'!$M:$M,
  '[1]Hoja 1'!$S:$S, $A109,
  '[1]Hoja 1'!$R:$R, "&gt;="&amp;INT($CW$1),
  '[1]Hoja 1'!$R:$R, "&lt;"&amp;INT($CX$1+1)
)</f>
        <v>0</v>
      </c>
      <c r="CV109" s="1">
        <f t="shared" si="152"/>
        <v>0</v>
      </c>
      <c r="CW109" s="9">
        <f t="shared" si="153"/>
        <v>0</v>
      </c>
      <c r="CX109" s="10">
        <f t="shared" si="154"/>
        <v>0</v>
      </c>
      <c r="CY109" s="1">
        <f>SUMIFS(
  '[1]Hoja 1'!$M:$M,
  '[1]Hoja 1'!$S:$S, $A109,
  '[1]Hoja 1'!$R:$R, "&gt;="&amp;INT($DA$1),
  '[1]Hoja 1'!$R:$R, "&lt;"&amp;INT($DB$1+1)
)</f>
        <v>0</v>
      </c>
      <c r="CZ109" s="1">
        <f t="shared" si="155"/>
        <v>0</v>
      </c>
      <c r="DA109" s="9">
        <f t="shared" si="156"/>
        <v>0</v>
      </c>
      <c r="DB109" s="10">
        <f t="shared" si="157"/>
        <v>0</v>
      </c>
      <c r="DC109" s="1">
        <f>SUMIFS(
  '[1]Hoja 1'!$M:$M,
  '[1]Hoja 1'!$S:$S, $A109,
  '[1]Hoja 1'!$R:$R, "&gt;="&amp;INT($DE$1),
  '[1]Hoja 1'!$R:$R, "&lt;"&amp;INT($DF$1+1)
)</f>
        <v>0</v>
      </c>
      <c r="DD109" s="1">
        <f t="shared" si="158"/>
        <v>0</v>
      </c>
      <c r="DE109" s="9">
        <f t="shared" si="159"/>
        <v>0</v>
      </c>
      <c r="DF109" s="10">
        <f t="shared" si="160"/>
        <v>0</v>
      </c>
      <c r="DG109" s="1">
        <f>SUMIFS(
  '[1]Hoja 1'!$M:$M,
  '[1]Hoja 1'!$S:$S, $A109,
  '[1]Hoja 1'!$R:$R, "&gt;="&amp;INT($DI$1),
  '[1]Hoja 1'!$R:$R, "&lt;"&amp;INT($DJ$1+1)
)</f>
        <v>0</v>
      </c>
      <c r="DH109" s="1">
        <f t="shared" si="161"/>
        <v>0</v>
      </c>
      <c r="DI109" s="9">
        <f t="shared" si="162"/>
        <v>0</v>
      </c>
      <c r="DJ109" s="10">
        <f t="shared" si="163"/>
        <v>0</v>
      </c>
      <c r="DK109" s="1">
        <f>SUMIFS(
  '[1]Hoja 1'!$M:$M,
  '[1]Hoja 1'!$S:$S, $A109,
  '[1]Hoja 1'!$R:$R, "&gt;="&amp;INT($DM$1),
  '[1]Hoja 1'!$R:$R, "&lt;"&amp;INT($DN$1+1)
)</f>
        <v>0</v>
      </c>
      <c r="DL109" s="1">
        <f t="shared" si="164"/>
        <v>0</v>
      </c>
      <c r="DM109" s="9">
        <f t="shared" si="165"/>
        <v>0</v>
      </c>
      <c r="DN109" s="10">
        <f t="shared" si="166"/>
        <v>0</v>
      </c>
      <c r="DO109" s="1">
        <f>SUMIFS(
  '[1]Hoja 1'!$M:$M,
  '[1]Hoja 1'!$S:$S, $A109,
  '[1]Hoja 1'!$R:$R, "&gt;="&amp;INT($DQ$1),
  '[1]Hoja 1'!$R:$R, "&lt;"&amp;INT($DR$1+1)
)</f>
        <v>0</v>
      </c>
      <c r="DP109" s="1">
        <f t="shared" si="167"/>
        <v>0</v>
      </c>
      <c r="DQ109" s="9">
        <f t="shared" si="168"/>
        <v>0</v>
      </c>
      <c r="DR109" s="10">
        <f t="shared" si="169"/>
        <v>0</v>
      </c>
    </row>
    <row r="110" spans="1:122" x14ac:dyDescent="0.25">
      <c r="A110" s="5">
        <v>217021</v>
      </c>
      <c r="B110" s="6" t="s">
        <v>110</v>
      </c>
      <c r="C110" s="1">
        <f>SUMIFS(
  '[1]Hoja 1'!$M:$M,
  '[1]Hoja 1'!$S:$S, $A110,
  '[1]Hoja 1'!$R:$R, "&gt;="&amp;INT($E$1),
  '[1]Hoja 1'!$R:$R, "&lt;"&amp;INT($F$1+1)
)</f>
        <v>1</v>
      </c>
      <c r="D110" s="1" t="str">
        <f>""</f>
        <v/>
      </c>
      <c r="F110" s="2"/>
      <c r="G110" s="1">
        <f>SUMIFS(
  '[1]Hoja 1'!$M:$M,
  '[1]Hoja 1'!$S:$S, $A110,
  '[1]Hoja 1'!$R:$R, "&gt;="&amp;INT($I$1),
  '[1]Hoja 1'!$R:$R, "&lt;"&amp;INT($J$1+1)
)</f>
        <v>1</v>
      </c>
      <c r="H110" s="1">
        <f t="shared" si="85"/>
        <v>1</v>
      </c>
      <c r="I110" s="1"/>
      <c r="J110" s="2"/>
      <c r="K110" s="1">
        <f>SUMIFS(
  '[1]Hoja 1'!$M:$M,
  '[1]Hoja 1'!$S:$S, $A110,
  '[1]Hoja 1'!$R:$R, "&gt;="&amp;INT($M$1),
  '[1]Hoja 1'!$R:$R, "&lt;"&amp;INT($N$1+1)
)</f>
        <v>1</v>
      </c>
      <c r="L110" s="1">
        <f t="shared" si="86"/>
        <v>1</v>
      </c>
      <c r="M110" s="9">
        <f t="shared" si="87"/>
        <v>1</v>
      </c>
      <c r="N110" s="10">
        <f t="shared" si="88"/>
        <v>1</v>
      </c>
      <c r="O110" s="1">
        <f>SUMIFS(
  '[1]Hoja 1'!$M:$M,
  '[1]Hoja 1'!$S:$S, $A110,
  '[1]Hoja 1'!$R:$R, "&gt;="&amp;INT($Q$1),
  '[1]Hoja 1'!$R:$R, "&lt;"&amp;INT($R$1+1)
)</f>
        <v>1</v>
      </c>
      <c r="P110" s="1">
        <f t="shared" si="89"/>
        <v>1</v>
      </c>
      <c r="Q110" s="9">
        <f t="shared" si="90"/>
        <v>1</v>
      </c>
      <c r="R110" s="10">
        <f t="shared" si="91"/>
        <v>1</v>
      </c>
      <c r="S110" s="1">
        <f>SUMIFS(
  '[1]Hoja 1'!$M:$M,
  '[1]Hoja 1'!$S:$S, $A110,
  '[1]Hoja 1'!$R:$R, "&gt;="&amp;INT($U$1),
  '[1]Hoja 1'!$R:$R, "&lt;"&amp;INT($V$1+1)
)</f>
        <v>2</v>
      </c>
      <c r="T110" s="1">
        <f t="shared" si="92"/>
        <v>2</v>
      </c>
      <c r="U110" s="9">
        <f t="shared" si="93"/>
        <v>1.51</v>
      </c>
      <c r="V110" s="10">
        <f t="shared" si="94"/>
        <v>2.4900000000000002</v>
      </c>
      <c r="W110" s="1">
        <f>SUMIFS(
  '[1]Hoja 1'!$M:$M,
  '[1]Hoja 1'!$S:$S, $A110,
  '[1]Hoja 1'!$R:$R, "&gt;="&amp;INT($Y$1),
  '[1]Hoja 1'!$R:$R, "&lt;"&amp;INT($Z$1+1)
)</f>
        <v>0</v>
      </c>
      <c r="X110" s="1">
        <f t="shared" si="95"/>
        <v>1</v>
      </c>
      <c r="Y110" s="9">
        <f t="shared" si="96"/>
        <v>-0.23313962442755565</v>
      </c>
      <c r="Z110" s="10">
        <f t="shared" si="97"/>
        <v>2.2331396244275554</v>
      </c>
      <c r="AA110" s="1">
        <f>SUMIFS(
  '[1]Hoja 1'!$M:$M,
  '[1]Hoja 1'!$S:$S, $A110,
  '[1]Hoja 1'!$R:$R, "&gt;="&amp;INT($AC$1),
  '[1]Hoja 1'!$R:$R, "&lt;"&amp;INT($AD$1+1)
)</f>
        <v>1</v>
      </c>
      <c r="AB110" s="1">
        <f t="shared" si="98"/>
        <v>1</v>
      </c>
      <c r="AC110" s="9">
        <f t="shared" si="99"/>
        <v>-0.2002499739637571</v>
      </c>
      <c r="AD110" s="10">
        <f t="shared" si="100"/>
        <v>2.3859292911256329</v>
      </c>
      <c r="AE110" s="1">
        <f>SUMIFS(
  '[1]Hoja 1'!$M:$M,
  '[1]Hoja 1'!$S:$S, $A110,
  '[1]Hoja 1'!$R:$R, "&gt;="&amp;INT($AG$1),
  '[1]Hoja 1'!$R:$R, "&lt;"&amp;INT($AH$1+1)
)</f>
        <v>0</v>
      </c>
      <c r="AF110" s="1">
        <f t="shared" si="101"/>
        <v>1</v>
      </c>
      <c r="AG110" s="9">
        <f t="shared" si="102"/>
        <v>-0.27776367141971914</v>
      </c>
      <c r="AH110" s="10">
        <f t="shared" si="103"/>
        <v>2.4699999999999998</v>
      </c>
      <c r="AI110" s="1">
        <f>SUMIFS(
  '[1]Hoja 1'!$M:$M,
  '[1]Hoja 1'!$S:$S, $A110,
  '[1]Hoja 1'!$R:$R, "&gt;="&amp;INT($AK$1),
  '[1]Hoja 1'!$R:$R, "&lt;"&amp;INT($AL$1+1)
)</f>
        <v>0</v>
      </c>
      <c r="AJ110" s="1">
        <f t="shared" si="104"/>
        <v>0</v>
      </c>
      <c r="AK110" s="9">
        <f t="shared" si="105"/>
        <v>-1.1173719165971552</v>
      </c>
      <c r="AL110" s="10">
        <f t="shared" si="106"/>
        <v>1.2651745597610895</v>
      </c>
      <c r="AM110" s="1">
        <f>SUMIFS(
  '[1]Hoja 1'!$M:$M,
  '[1]Hoja 1'!$S:$S, $A110,
  '[1]Hoja 1'!$R:$R, "&gt;="&amp;INT($AO$1),
  '[1]Hoja 1'!$R:$R, "&lt;"&amp;INT($AP$1+1)
)</f>
        <v>0</v>
      </c>
      <c r="AN110" s="1">
        <f t="shared" si="107"/>
        <v>0</v>
      </c>
      <c r="AO110" s="9">
        <f t="shared" si="108"/>
        <v>-0.69296464556281656</v>
      </c>
      <c r="AP110" s="10">
        <f t="shared" si="109"/>
        <v>0.80016664930917147</v>
      </c>
      <c r="AQ110" s="1">
        <f>SUMIFS(
  '[1]Hoja 1'!$M:$M,
  '[1]Hoja 1'!$S:$S, $A110,
  '[1]Hoja 1'!$R:$R, "&gt;="&amp;INT($AS$1),
  '[1]Hoja 1'!$R:$R, "&lt;"&amp;INT($AT$1+1)
)</f>
        <v>0</v>
      </c>
      <c r="AR110" s="1">
        <f t="shared" si="110"/>
        <v>0</v>
      </c>
      <c r="AS110" s="9">
        <f t="shared" si="111"/>
        <v>-0.43826932358995874</v>
      </c>
      <c r="AT110" s="10">
        <f t="shared" si="112"/>
        <v>0.49</v>
      </c>
      <c r="AU110" s="1">
        <f>SUMIFS(
  '[1]Hoja 1'!$M:$M,
  '[1]Hoja 1'!$S:$S, $A110,
  '[1]Hoja 1'!$R:$R, "&gt;="&amp;INT($AW$1),
  '[1]Hoja 1'!$R:$R, "&lt;"&amp;INT($AX$1+1)
)</f>
        <v>0</v>
      </c>
      <c r="AV110" s="1">
        <f t="shared" si="113"/>
        <v>0</v>
      </c>
      <c r="AW110" s="9">
        <f t="shared" si="114"/>
        <v>0</v>
      </c>
      <c r="AX110" s="10">
        <f t="shared" si="115"/>
        <v>0</v>
      </c>
      <c r="AY110" s="1">
        <f>SUMIFS(
  '[1]Hoja 1'!$M:$M,
  '[1]Hoja 1'!$S:$S, $A110,
  '[1]Hoja 1'!$R:$R, "&gt;="&amp;INT($BA$1),
  '[1]Hoja 1'!$R:$R, "&lt;"&amp;INT($BB$1+1)
)</f>
        <v>0</v>
      </c>
      <c r="AZ110" s="1">
        <f t="shared" si="116"/>
        <v>0</v>
      </c>
      <c r="BA110" s="9">
        <f t="shared" si="117"/>
        <v>0</v>
      </c>
      <c r="BB110" s="10">
        <f t="shared" si="118"/>
        <v>0</v>
      </c>
      <c r="BC110" s="1">
        <f>SUMIFS(
  '[1]Hoja 1'!$M:$M,
  '[1]Hoja 1'!$S:$S, $A110,
  '[1]Hoja 1'!$R:$R, "&gt;="&amp;INT($BE$1),
  '[1]Hoja 1'!$R:$R, "&lt;"&amp;INT($BF$1+1)
)</f>
        <v>0</v>
      </c>
      <c r="BD110" s="1">
        <f t="shared" si="119"/>
        <v>0</v>
      </c>
      <c r="BE110" s="9">
        <f t="shared" si="120"/>
        <v>0</v>
      </c>
      <c r="BF110" s="10">
        <f t="shared" si="121"/>
        <v>0</v>
      </c>
      <c r="BG110" s="1">
        <f>SUMIFS(
  '[1]Hoja 1'!$M:$M,
  '[1]Hoja 1'!$S:$S, $A110,
  '[1]Hoja 1'!$R:$R, "&gt;="&amp;INT($BI$1),
  '[1]Hoja 1'!$R:$R, "&lt;"&amp;INT($BJ$1+1)
)</f>
        <v>0</v>
      </c>
      <c r="BH110" s="1">
        <f t="shared" si="122"/>
        <v>0</v>
      </c>
      <c r="BI110" s="9">
        <f t="shared" si="123"/>
        <v>0</v>
      </c>
      <c r="BJ110" s="10">
        <f t="shared" si="124"/>
        <v>0</v>
      </c>
      <c r="BK110" s="1">
        <f>SUMIFS(
  '[1]Hoja 1'!$M:$M,
  '[1]Hoja 1'!$S:$S, $A110,
  '[1]Hoja 1'!$R:$R, "&gt;="&amp;INT($BM$1),
  '[1]Hoja 1'!$R:$R, "&lt;"&amp;INT($BN$1+1)
)</f>
        <v>0</v>
      </c>
      <c r="BL110" s="1">
        <f t="shared" si="125"/>
        <v>0</v>
      </c>
      <c r="BM110" s="9">
        <f t="shared" si="126"/>
        <v>0</v>
      </c>
      <c r="BN110" s="10">
        <f t="shared" si="127"/>
        <v>0</v>
      </c>
      <c r="BO110" s="1">
        <f>SUMIFS(
  '[1]Hoja 1'!$M:$M,
  '[1]Hoja 1'!$S:$S, $A110,
  '[1]Hoja 1'!$R:$R, "&gt;="&amp;INT($BQ$1),
  '[1]Hoja 1'!$R:$R, "&lt;"&amp;INT($BR$1+1)
)</f>
        <v>0</v>
      </c>
      <c r="BP110" s="1">
        <f t="shared" si="128"/>
        <v>0</v>
      </c>
      <c r="BQ110" s="9">
        <f t="shared" si="129"/>
        <v>0</v>
      </c>
      <c r="BR110" s="10">
        <f t="shared" si="130"/>
        <v>0</v>
      </c>
      <c r="BS110" s="1">
        <f>SUMIFS(
  '[1]Hoja 1'!$M:$M,
  '[1]Hoja 1'!$S:$S, $A110,
  '[1]Hoja 1'!$R:$R, "&gt;="&amp;INT($BU$1),
  '[1]Hoja 1'!$R:$R, "&lt;"&amp;INT($BV$1+1)
)</f>
        <v>0</v>
      </c>
      <c r="BT110" s="1">
        <f t="shared" si="131"/>
        <v>0</v>
      </c>
      <c r="BU110" s="9">
        <f t="shared" si="132"/>
        <v>0</v>
      </c>
      <c r="BV110" s="10">
        <f t="shared" si="133"/>
        <v>0</v>
      </c>
      <c r="BW110" s="1">
        <f>SUMIFS(
  '[1]Hoja 1'!$M:$M,
  '[1]Hoja 1'!$S:$S, $A110,
  '[1]Hoja 1'!$R:$R, "&gt;="&amp;INT($BY$1),
  '[1]Hoja 1'!$R:$R, "&lt;"&amp;INT($BZ$1+1)
)</f>
        <v>0</v>
      </c>
      <c r="BX110" s="1">
        <f t="shared" si="134"/>
        <v>0</v>
      </c>
      <c r="BY110" s="9">
        <f t="shared" si="135"/>
        <v>0</v>
      </c>
      <c r="BZ110" s="10">
        <f t="shared" si="136"/>
        <v>0</v>
      </c>
      <c r="CA110" s="1">
        <f>SUMIFS(
  '[1]Hoja 1'!$M:$M,
  '[1]Hoja 1'!$S:$S, $A110,
  '[1]Hoja 1'!$R:$R, "&gt;="&amp;INT($CC$1),
  '[1]Hoja 1'!$R:$R, "&lt;"&amp;INT($CD$1+1)
)</f>
        <v>0</v>
      </c>
      <c r="CB110" s="1">
        <f t="shared" si="137"/>
        <v>0</v>
      </c>
      <c r="CC110" s="9">
        <f t="shared" si="138"/>
        <v>0</v>
      </c>
      <c r="CD110" s="10">
        <f t="shared" si="139"/>
        <v>0</v>
      </c>
      <c r="CE110" s="1">
        <f>SUMIFS(
  '[1]Hoja 1'!$M:$M,
  '[1]Hoja 1'!$S:$S, $A110,
  '[1]Hoja 1'!$R:$R, "&gt;="&amp;INT($CG$1),
  '[1]Hoja 1'!$R:$R, "&lt;"&amp;INT($CH$1+1)
)</f>
        <v>0</v>
      </c>
      <c r="CF110" s="1">
        <f t="shared" si="140"/>
        <v>0</v>
      </c>
      <c r="CG110" s="9">
        <f t="shared" si="141"/>
        <v>0</v>
      </c>
      <c r="CH110" s="10">
        <f t="shared" si="142"/>
        <v>0</v>
      </c>
      <c r="CI110" s="1">
        <f>SUMIFS(
  '[1]Hoja 1'!$M:$M,
  '[1]Hoja 1'!$S:$S, $A110,
  '[1]Hoja 1'!$R:$R, "&gt;="&amp;INT($CK$1),
  '[1]Hoja 1'!$R:$R, "&lt;"&amp;INT($CL$1+1)
)</f>
        <v>0</v>
      </c>
      <c r="CJ110" s="1">
        <f t="shared" si="143"/>
        <v>0</v>
      </c>
      <c r="CK110" s="9">
        <f t="shared" si="144"/>
        <v>0</v>
      </c>
      <c r="CL110" s="10">
        <f t="shared" si="145"/>
        <v>0</v>
      </c>
      <c r="CM110" s="1">
        <f>SUMIFS(
  '[1]Hoja 1'!$M:$M,
  '[1]Hoja 1'!$S:$S, $A110,
  '[1]Hoja 1'!$R:$R, "&gt;="&amp;INT($CO$1),
  '[1]Hoja 1'!$R:$R, "&lt;"&amp;INT($CP$1+1)
)</f>
        <v>0</v>
      </c>
      <c r="CN110" s="1">
        <f t="shared" si="146"/>
        <v>0</v>
      </c>
      <c r="CO110" s="9">
        <f t="shared" si="147"/>
        <v>0</v>
      </c>
      <c r="CP110" s="10">
        <f t="shared" si="148"/>
        <v>0</v>
      </c>
      <c r="CQ110" s="1">
        <f>SUMIFS(
  '[1]Hoja 1'!$M:$M,
  '[1]Hoja 1'!$S:$S, $A110,
  '[1]Hoja 1'!$R:$R, "&gt;="&amp;INT($CS$1),
  '[1]Hoja 1'!$R:$R, "&lt;"&amp;INT($CT$1+1)
)</f>
        <v>0</v>
      </c>
      <c r="CR110" s="1">
        <f t="shared" si="149"/>
        <v>0</v>
      </c>
      <c r="CS110" s="9">
        <f t="shared" si="150"/>
        <v>0</v>
      </c>
      <c r="CT110" s="10">
        <f t="shared" si="151"/>
        <v>0</v>
      </c>
      <c r="CU110" s="1">
        <f>SUMIFS(
  '[1]Hoja 1'!$M:$M,
  '[1]Hoja 1'!$S:$S, $A110,
  '[1]Hoja 1'!$R:$R, "&gt;="&amp;INT($CW$1),
  '[1]Hoja 1'!$R:$R, "&lt;"&amp;INT($CX$1+1)
)</f>
        <v>0</v>
      </c>
      <c r="CV110" s="1">
        <f t="shared" si="152"/>
        <v>0</v>
      </c>
      <c r="CW110" s="9">
        <f t="shared" si="153"/>
        <v>0</v>
      </c>
      <c r="CX110" s="10">
        <f t="shared" si="154"/>
        <v>0</v>
      </c>
      <c r="CY110" s="1">
        <f>SUMIFS(
  '[1]Hoja 1'!$M:$M,
  '[1]Hoja 1'!$S:$S, $A110,
  '[1]Hoja 1'!$R:$R, "&gt;="&amp;INT($DA$1),
  '[1]Hoja 1'!$R:$R, "&lt;"&amp;INT($DB$1+1)
)</f>
        <v>0</v>
      </c>
      <c r="CZ110" s="1">
        <f t="shared" si="155"/>
        <v>0</v>
      </c>
      <c r="DA110" s="9">
        <f t="shared" si="156"/>
        <v>0</v>
      </c>
      <c r="DB110" s="10">
        <f t="shared" si="157"/>
        <v>0</v>
      </c>
      <c r="DC110" s="1">
        <f>SUMIFS(
  '[1]Hoja 1'!$M:$M,
  '[1]Hoja 1'!$S:$S, $A110,
  '[1]Hoja 1'!$R:$R, "&gt;="&amp;INT($DE$1),
  '[1]Hoja 1'!$R:$R, "&lt;"&amp;INT($DF$1+1)
)</f>
        <v>0</v>
      </c>
      <c r="DD110" s="1">
        <f t="shared" si="158"/>
        <v>0</v>
      </c>
      <c r="DE110" s="9">
        <f t="shared" si="159"/>
        <v>0</v>
      </c>
      <c r="DF110" s="10">
        <f t="shared" si="160"/>
        <v>0</v>
      </c>
      <c r="DG110" s="1">
        <f>SUMIFS(
  '[1]Hoja 1'!$M:$M,
  '[1]Hoja 1'!$S:$S, $A110,
  '[1]Hoja 1'!$R:$R, "&gt;="&amp;INT($DI$1),
  '[1]Hoja 1'!$R:$R, "&lt;"&amp;INT($DJ$1+1)
)</f>
        <v>0</v>
      </c>
      <c r="DH110" s="1">
        <f t="shared" si="161"/>
        <v>0</v>
      </c>
      <c r="DI110" s="9">
        <f t="shared" si="162"/>
        <v>0</v>
      </c>
      <c r="DJ110" s="10">
        <f t="shared" si="163"/>
        <v>0</v>
      </c>
      <c r="DK110" s="1">
        <f>SUMIFS(
  '[1]Hoja 1'!$M:$M,
  '[1]Hoja 1'!$S:$S, $A110,
  '[1]Hoja 1'!$R:$R, "&gt;="&amp;INT($DM$1),
  '[1]Hoja 1'!$R:$R, "&lt;"&amp;INT($DN$1+1)
)</f>
        <v>0</v>
      </c>
      <c r="DL110" s="1">
        <f t="shared" si="164"/>
        <v>0</v>
      </c>
      <c r="DM110" s="9">
        <f t="shared" si="165"/>
        <v>0</v>
      </c>
      <c r="DN110" s="10">
        <f t="shared" si="166"/>
        <v>0</v>
      </c>
      <c r="DO110" s="1">
        <f>SUMIFS(
  '[1]Hoja 1'!$M:$M,
  '[1]Hoja 1'!$S:$S, $A110,
  '[1]Hoja 1'!$R:$R, "&gt;="&amp;INT($DQ$1),
  '[1]Hoja 1'!$R:$R, "&lt;"&amp;INT($DR$1+1)
)</f>
        <v>0</v>
      </c>
      <c r="DP110" s="1">
        <f t="shared" si="167"/>
        <v>0</v>
      </c>
      <c r="DQ110" s="9">
        <f t="shared" si="168"/>
        <v>0</v>
      </c>
      <c r="DR110" s="10">
        <f t="shared" si="169"/>
        <v>0</v>
      </c>
    </row>
    <row r="111" spans="1:122" x14ac:dyDescent="0.25">
      <c r="A111" s="5">
        <v>217022</v>
      </c>
      <c r="B111" s="6" t="s">
        <v>111</v>
      </c>
      <c r="C111" s="1">
        <f>SUMIFS(
  '[1]Hoja 1'!$M:$M,
  '[1]Hoja 1'!$S:$S, $A111,
  '[1]Hoja 1'!$R:$R, "&gt;="&amp;INT($E$1),
  '[1]Hoja 1'!$R:$R, "&lt;"&amp;INT($F$1+1)
)</f>
        <v>30</v>
      </c>
      <c r="D111" s="1" t="str">
        <f>""</f>
        <v/>
      </c>
      <c r="F111" s="2"/>
      <c r="G111" s="1">
        <f>SUMIFS(
  '[1]Hoja 1'!$M:$M,
  '[1]Hoja 1'!$S:$S, $A111,
  '[1]Hoja 1'!$R:$R, "&gt;="&amp;INT($I$1),
  '[1]Hoja 1'!$R:$R, "&lt;"&amp;INT($J$1+1)
)</f>
        <v>23</v>
      </c>
      <c r="H111" s="1">
        <f t="shared" si="85"/>
        <v>26.5</v>
      </c>
      <c r="I111" s="1"/>
      <c r="J111" s="2"/>
      <c r="K111" s="1">
        <f>SUMIFS(
  '[1]Hoja 1'!$M:$M,
  '[1]Hoja 1'!$S:$S, $A111,
  '[1]Hoja 1'!$R:$R, "&gt;="&amp;INT($M$1),
  '[1]Hoja 1'!$R:$R, "&lt;"&amp;INT($N$1+1)
)</f>
        <v>32</v>
      </c>
      <c r="L111" s="1">
        <f t="shared" si="86"/>
        <v>27.5</v>
      </c>
      <c r="M111" s="9">
        <f t="shared" si="87"/>
        <v>16.412565670994937</v>
      </c>
      <c r="N111" s="10">
        <f t="shared" si="88"/>
        <v>38.587434329005063</v>
      </c>
      <c r="O111" s="1">
        <f>SUMIFS(
  '[1]Hoja 1'!$M:$M,
  '[1]Hoja 1'!$S:$S, $A111,
  '[1]Hoja 1'!$R:$R, "&gt;="&amp;INT($Q$1),
  '[1]Hoja 1'!$R:$R, "&lt;"&amp;INT($R$1+1)
)</f>
        <v>22</v>
      </c>
      <c r="P111" s="1">
        <f t="shared" si="89"/>
        <v>27</v>
      </c>
      <c r="Q111" s="9">
        <f t="shared" si="90"/>
        <v>17.489918415250884</v>
      </c>
      <c r="R111" s="10">
        <f t="shared" si="91"/>
        <v>37.510081584749116</v>
      </c>
      <c r="S111" s="1">
        <f>SUMIFS(
  '[1]Hoja 1'!$M:$M,
  '[1]Hoja 1'!$S:$S, $A111,
  '[1]Hoja 1'!$R:$R, "&gt;="&amp;INT($U$1),
  '[1]Hoja 1'!$R:$R, "&lt;"&amp;INT($V$1+1)
)</f>
        <v>24</v>
      </c>
      <c r="T111" s="1">
        <f t="shared" si="92"/>
        <v>23</v>
      </c>
      <c r="U111" s="9">
        <f t="shared" si="93"/>
        <v>14.512951042912501</v>
      </c>
      <c r="V111" s="10">
        <f t="shared" si="94"/>
        <v>31.487048957087499</v>
      </c>
      <c r="W111" s="1">
        <f>SUMIFS(
  '[1]Hoja 1'!$M:$M,
  '[1]Hoja 1'!$S:$S, $A111,
  '[1]Hoja 1'!$R:$R, "&gt;="&amp;INT($Y$1),
  '[1]Hoja 1'!$R:$R, "&lt;"&amp;INT($Z$1+1)
)</f>
        <v>47</v>
      </c>
      <c r="X111" s="1">
        <f t="shared" si="95"/>
        <v>36</v>
      </c>
      <c r="Y111" s="9">
        <f t="shared" si="96"/>
        <v>22.491632222951583</v>
      </c>
      <c r="Z111" s="10">
        <f t="shared" si="97"/>
        <v>49.50836777704842</v>
      </c>
      <c r="AA111" s="1">
        <f>SUMIFS(
  '[1]Hoja 1'!$M:$M,
  '[1]Hoja 1'!$S:$S, $A111,
  '[1]Hoja 1'!$R:$R, "&gt;="&amp;INT($AC$1),
  '[1]Hoja 1'!$R:$R, "&lt;"&amp;INT($AD$1+1)
)</f>
        <v>16</v>
      </c>
      <c r="AB111" s="1">
        <f t="shared" si="98"/>
        <v>32</v>
      </c>
      <c r="AC111" s="9">
        <f t="shared" si="99"/>
        <v>12.753538507039792</v>
      </c>
      <c r="AD111" s="10">
        <f t="shared" si="100"/>
        <v>54.131515989646985</v>
      </c>
      <c r="AE111" s="1">
        <f>SUMIFS(
  '[1]Hoja 1'!$M:$M,
  '[1]Hoja 1'!$S:$S, $A111,
  '[1]Hoja 1'!$R:$R, "&gt;="&amp;INT($AG$1),
  '[1]Hoja 1'!$R:$R, "&lt;"&amp;INT($AH$1+1)
)</f>
        <v>0</v>
      </c>
      <c r="AF111" s="1">
        <f t="shared" si="101"/>
        <v>8</v>
      </c>
      <c r="AG111" s="9">
        <f t="shared" si="102"/>
        <v>-11.923185488269691</v>
      </c>
      <c r="AH111" s="10">
        <f t="shared" si="103"/>
        <v>30.836313187552847</v>
      </c>
      <c r="AI111" s="1">
        <f>SUMIFS(
  '[1]Hoja 1'!$M:$M,
  '[1]Hoja 1'!$S:$S, $A111,
  '[1]Hoja 1'!$R:$R, "&gt;="&amp;INT($AK$1),
  '[1]Hoja 1'!$R:$R, "&lt;"&amp;INT($AL$1+1)
)</f>
        <v>0</v>
      </c>
      <c r="AJ111" s="1">
        <f t="shared" si="104"/>
        <v>0</v>
      </c>
      <c r="AK111" s="9">
        <f t="shared" si="105"/>
        <v>-19.787750756465478</v>
      </c>
      <c r="AL111" s="10">
        <f t="shared" si="106"/>
        <v>22.646271216251034</v>
      </c>
      <c r="AM111" s="1">
        <f>SUMIFS(
  '[1]Hoja 1'!$M:$M,
  '[1]Hoja 1'!$S:$S, $A111,
  '[1]Hoja 1'!$R:$R, "&gt;="&amp;INT($AO$1),
  '[1]Hoja 1'!$R:$R, "&lt;"&amp;INT($AP$1+1)
)</f>
        <v>0</v>
      </c>
      <c r="AN111" s="1">
        <f t="shared" si="107"/>
        <v>0</v>
      </c>
      <c r="AO111" s="9">
        <f t="shared" si="108"/>
        <v>-13.642782707351166</v>
      </c>
      <c r="AP111" s="10">
        <f t="shared" si="109"/>
        <v>14.587961932132034</v>
      </c>
      <c r="AQ111" s="1">
        <f>SUMIFS(
  '[1]Hoja 1'!$M:$M,
  '[1]Hoja 1'!$S:$S, $A111,
  '[1]Hoja 1'!$R:$R, "&gt;="&amp;INT($AS$1),
  '[1]Hoja 1'!$R:$R, "&lt;"&amp;INT($AT$1+1)
)</f>
        <v>0</v>
      </c>
      <c r="AR111" s="1">
        <f t="shared" si="110"/>
        <v>0</v>
      </c>
      <c r="AS111" s="9">
        <f t="shared" si="111"/>
        <v>-7.0123091774393398</v>
      </c>
      <c r="AT111" s="10">
        <f t="shared" si="112"/>
        <v>7.84</v>
      </c>
      <c r="AU111" s="1">
        <f>SUMIFS(
  '[1]Hoja 1'!$M:$M,
  '[1]Hoja 1'!$S:$S, $A111,
  '[1]Hoja 1'!$R:$R, "&gt;="&amp;INT($AW$1),
  '[1]Hoja 1'!$R:$R, "&lt;"&amp;INT($AX$1+1)
)</f>
        <v>0</v>
      </c>
      <c r="AV111" s="1">
        <f t="shared" si="113"/>
        <v>0</v>
      </c>
      <c r="AW111" s="9">
        <f t="shared" si="114"/>
        <v>0</v>
      </c>
      <c r="AX111" s="10">
        <f t="shared" si="115"/>
        <v>0</v>
      </c>
      <c r="AY111" s="1">
        <f>SUMIFS(
  '[1]Hoja 1'!$M:$M,
  '[1]Hoja 1'!$S:$S, $A111,
  '[1]Hoja 1'!$R:$R, "&gt;="&amp;INT($BA$1),
  '[1]Hoja 1'!$R:$R, "&lt;"&amp;INT($BB$1+1)
)</f>
        <v>0</v>
      </c>
      <c r="AZ111" s="1">
        <f t="shared" si="116"/>
        <v>0</v>
      </c>
      <c r="BA111" s="9">
        <f t="shared" si="117"/>
        <v>0</v>
      </c>
      <c r="BB111" s="10">
        <f t="shared" si="118"/>
        <v>0</v>
      </c>
      <c r="BC111" s="1">
        <f>SUMIFS(
  '[1]Hoja 1'!$M:$M,
  '[1]Hoja 1'!$S:$S, $A111,
  '[1]Hoja 1'!$R:$R, "&gt;="&amp;INT($BE$1),
  '[1]Hoja 1'!$R:$R, "&lt;"&amp;INT($BF$1+1)
)</f>
        <v>0</v>
      </c>
      <c r="BD111" s="1">
        <f t="shared" si="119"/>
        <v>0</v>
      </c>
      <c r="BE111" s="9">
        <f t="shared" si="120"/>
        <v>0</v>
      </c>
      <c r="BF111" s="10">
        <f t="shared" si="121"/>
        <v>0</v>
      </c>
      <c r="BG111" s="1">
        <f>SUMIFS(
  '[1]Hoja 1'!$M:$M,
  '[1]Hoja 1'!$S:$S, $A111,
  '[1]Hoja 1'!$R:$R, "&gt;="&amp;INT($BI$1),
  '[1]Hoja 1'!$R:$R, "&lt;"&amp;INT($BJ$1+1)
)</f>
        <v>0</v>
      </c>
      <c r="BH111" s="1">
        <f t="shared" si="122"/>
        <v>0</v>
      </c>
      <c r="BI111" s="9">
        <f t="shared" si="123"/>
        <v>0</v>
      </c>
      <c r="BJ111" s="10">
        <f t="shared" si="124"/>
        <v>0</v>
      </c>
      <c r="BK111" s="1">
        <f>SUMIFS(
  '[1]Hoja 1'!$M:$M,
  '[1]Hoja 1'!$S:$S, $A111,
  '[1]Hoja 1'!$R:$R, "&gt;="&amp;INT($BM$1),
  '[1]Hoja 1'!$R:$R, "&lt;"&amp;INT($BN$1+1)
)</f>
        <v>0</v>
      </c>
      <c r="BL111" s="1">
        <f t="shared" si="125"/>
        <v>0</v>
      </c>
      <c r="BM111" s="9">
        <f t="shared" si="126"/>
        <v>0</v>
      </c>
      <c r="BN111" s="10">
        <f t="shared" si="127"/>
        <v>0</v>
      </c>
      <c r="BO111" s="1">
        <f>SUMIFS(
  '[1]Hoja 1'!$M:$M,
  '[1]Hoja 1'!$S:$S, $A111,
  '[1]Hoja 1'!$R:$R, "&gt;="&amp;INT($BQ$1),
  '[1]Hoja 1'!$R:$R, "&lt;"&amp;INT($BR$1+1)
)</f>
        <v>0</v>
      </c>
      <c r="BP111" s="1">
        <f t="shared" si="128"/>
        <v>0</v>
      </c>
      <c r="BQ111" s="9">
        <f t="shared" si="129"/>
        <v>0</v>
      </c>
      <c r="BR111" s="10">
        <f t="shared" si="130"/>
        <v>0</v>
      </c>
      <c r="BS111" s="1">
        <f>SUMIFS(
  '[1]Hoja 1'!$M:$M,
  '[1]Hoja 1'!$S:$S, $A111,
  '[1]Hoja 1'!$R:$R, "&gt;="&amp;INT($BU$1),
  '[1]Hoja 1'!$R:$R, "&lt;"&amp;INT($BV$1+1)
)</f>
        <v>0</v>
      </c>
      <c r="BT111" s="1">
        <f t="shared" si="131"/>
        <v>0</v>
      </c>
      <c r="BU111" s="9">
        <f t="shared" si="132"/>
        <v>0</v>
      </c>
      <c r="BV111" s="10">
        <f t="shared" si="133"/>
        <v>0</v>
      </c>
      <c r="BW111" s="1">
        <f>SUMIFS(
  '[1]Hoja 1'!$M:$M,
  '[1]Hoja 1'!$S:$S, $A111,
  '[1]Hoja 1'!$R:$R, "&gt;="&amp;INT($BY$1),
  '[1]Hoja 1'!$R:$R, "&lt;"&amp;INT($BZ$1+1)
)</f>
        <v>0</v>
      </c>
      <c r="BX111" s="1">
        <f t="shared" si="134"/>
        <v>0</v>
      </c>
      <c r="BY111" s="9">
        <f t="shared" si="135"/>
        <v>0</v>
      </c>
      <c r="BZ111" s="10">
        <f t="shared" si="136"/>
        <v>0</v>
      </c>
      <c r="CA111" s="1">
        <f>SUMIFS(
  '[1]Hoja 1'!$M:$M,
  '[1]Hoja 1'!$S:$S, $A111,
  '[1]Hoja 1'!$R:$R, "&gt;="&amp;INT($CC$1),
  '[1]Hoja 1'!$R:$R, "&lt;"&amp;INT($CD$1+1)
)</f>
        <v>0</v>
      </c>
      <c r="CB111" s="1">
        <f t="shared" si="137"/>
        <v>0</v>
      </c>
      <c r="CC111" s="9">
        <f t="shared" si="138"/>
        <v>0</v>
      </c>
      <c r="CD111" s="10">
        <f t="shared" si="139"/>
        <v>0</v>
      </c>
      <c r="CE111" s="1">
        <f>SUMIFS(
  '[1]Hoja 1'!$M:$M,
  '[1]Hoja 1'!$S:$S, $A111,
  '[1]Hoja 1'!$R:$R, "&gt;="&amp;INT($CG$1),
  '[1]Hoja 1'!$R:$R, "&lt;"&amp;INT($CH$1+1)
)</f>
        <v>0</v>
      </c>
      <c r="CF111" s="1">
        <f t="shared" si="140"/>
        <v>0</v>
      </c>
      <c r="CG111" s="9">
        <f t="shared" si="141"/>
        <v>0</v>
      </c>
      <c r="CH111" s="10">
        <f t="shared" si="142"/>
        <v>0</v>
      </c>
      <c r="CI111" s="1">
        <f>SUMIFS(
  '[1]Hoja 1'!$M:$M,
  '[1]Hoja 1'!$S:$S, $A111,
  '[1]Hoja 1'!$R:$R, "&gt;="&amp;INT($CK$1),
  '[1]Hoja 1'!$R:$R, "&lt;"&amp;INT($CL$1+1)
)</f>
        <v>0</v>
      </c>
      <c r="CJ111" s="1">
        <f t="shared" si="143"/>
        <v>0</v>
      </c>
      <c r="CK111" s="9">
        <f t="shared" si="144"/>
        <v>0</v>
      </c>
      <c r="CL111" s="10">
        <f t="shared" si="145"/>
        <v>0</v>
      </c>
      <c r="CM111" s="1">
        <f>SUMIFS(
  '[1]Hoja 1'!$M:$M,
  '[1]Hoja 1'!$S:$S, $A111,
  '[1]Hoja 1'!$R:$R, "&gt;="&amp;INT($CO$1),
  '[1]Hoja 1'!$R:$R, "&lt;"&amp;INT($CP$1+1)
)</f>
        <v>0</v>
      </c>
      <c r="CN111" s="1">
        <f t="shared" si="146"/>
        <v>0</v>
      </c>
      <c r="CO111" s="9">
        <f t="shared" si="147"/>
        <v>0</v>
      </c>
      <c r="CP111" s="10">
        <f t="shared" si="148"/>
        <v>0</v>
      </c>
      <c r="CQ111" s="1">
        <f>SUMIFS(
  '[1]Hoja 1'!$M:$M,
  '[1]Hoja 1'!$S:$S, $A111,
  '[1]Hoja 1'!$R:$R, "&gt;="&amp;INT($CS$1),
  '[1]Hoja 1'!$R:$R, "&lt;"&amp;INT($CT$1+1)
)</f>
        <v>0</v>
      </c>
      <c r="CR111" s="1">
        <f t="shared" si="149"/>
        <v>0</v>
      </c>
      <c r="CS111" s="9">
        <f t="shared" si="150"/>
        <v>0</v>
      </c>
      <c r="CT111" s="10">
        <f t="shared" si="151"/>
        <v>0</v>
      </c>
      <c r="CU111" s="1">
        <f>SUMIFS(
  '[1]Hoja 1'!$M:$M,
  '[1]Hoja 1'!$S:$S, $A111,
  '[1]Hoja 1'!$R:$R, "&gt;="&amp;INT($CW$1),
  '[1]Hoja 1'!$R:$R, "&lt;"&amp;INT($CX$1+1)
)</f>
        <v>0</v>
      </c>
      <c r="CV111" s="1">
        <f t="shared" si="152"/>
        <v>0</v>
      </c>
      <c r="CW111" s="9">
        <f t="shared" si="153"/>
        <v>0</v>
      </c>
      <c r="CX111" s="10">
        <f t="shared" si="154"/>
        <v>0</v>
      </c>
      <c r="CY111" s="1">
        <f>SUMIFS(
  '[1]Hoja 1'!$M:$M,
  '[1]Hoja 1'!$S:$S, $A111,
  '[1]Hoja 1'!$R:$R, "&gt;="&amp;INT($DA$1),
  '[1]Hoja 1'!$R:$R, "&lt;"&amp;INT($DB$1+1)
)</f>
        <v>0</v>
      </c>
      <c r="CZ111" s="1">
        <f t="shared" si="155"/>
        <v>0</v>
      </c>
      <c r="DA111" s="9">
        <f t="shared" si="156"/>
        <v>0</v>
      </c>
      <c r="DB111" s="10">
        <f t="shared" si="157"/>
        <v>0</v>
      </c>
      <c r="DC111" s="1">
        <f>SUMIFS(
  '[1]Hoja 1'!$M:$M,
  '[1]Hoja 1'!$S:$S, $A111,
  '[1]Hoja 1'!$R:$R, "&gt;="&amp;INT($DE$1),
  '[1]Hoja 1'!$R:$R, "&lt;"&amp;INT($DF$1+1)
)</f>
        <v>0</v>
      </c>
      <c r="DD111" s="1">
        <f t="shared" si="158"/>
        <v>0</v>
      </c>
      <c r="DE111" s="9">
        <f t="shared" si="159"/>
        <v>0</v>
      </c>
      <c r="DF111" s="10">
        <f t="shared" si="160"/>
        <v>0</v>
      </c>
      <c r="DG111" s="1">
        <f>SUMIFS(
  '[1]Hoja 1'!$M:$M,
  '[1]Hoja 1'!$S:$S, $A111,
  '[1]Hoja 1'!$R:$R, "&gt;="&amp;INT($DI$1),
  '[1]Hoja 1'!$R:$R, "&lt;"&amp;INT($DJ$1+1)
)</f>
        <v>0</v>
      </c>
      <c r="DH111" s="1">
        <f t="shared" si="161"/>
        <v>0</v>
      </c>
      <c r="DI111" s="9">
        <f t="shared" si="162"/>
        <v>0</v>
      </c>
      <c r="DJ111" s="10">
        <f t="shared" si="163"/>
        <v>0</v>
      </c>
      <c r="DK111" s="1">
        <f>SUMIFS(
  '[1]Hoja 1'!$M:$M,
  '[1]Hoja 1'!$S:$S, $A111,
  '[1]Hoja 1'!$R:$R, "&gt;="&amp;INT($DM$1),
  '[1]Hoja 1'!$R:$R, "&lt;"&amp;INT($DN$1+1)
)</f>
        <v>0</v>
      </c>
      <c r="DL111" s="1">
        <f t="shared" si="164"/>
        <v>0</v>
      </c>
      <c r="DM111" s="9">
        <f t="shared" si="165"/>
        <v>0</v>
      </c>
      <c r="DN111" s="10">
        <f t="shared" si="166"/>
        <v>0</v>
      </c>
      <c r="DO111" s="1">
        <f>SUMIFS(
  '[1]Hoja 1'!$M:$M,
  '[1]Hoja 1'!$S:$S, $A111,
  '[1]Hoja 1'!$R:$R, "&gt;="&amp;INT($DQ$1),
  '[1]Hoja 1'!$R:$R, "&lt;"&amp;INT($DR$1+1)
)</f>
        <v>0</v>
      </c>
      <c r="DP111" s="1">
        <f t="shared" si="167"/>
        <v>0</v>
      </c>
      <c r="DQ111" s="9">
        <f t="shared" si="168"/>
        <v>0</v>
      </c>
      <c r="DR111" s="10">
        <f t="shared" si="169"/>
        <v>0</v>
      </c>
    </row>
    <row r="112" spans="1:122" x14ac:dyDescent="0.25">
      <c r="A112" s="5">
        <v>217023</v>
      </c>
      <c r="B112" s="6" t="s">
        <v>112</v>
      </c>
      <c r="C112" s="1">
        <f>SUMIFS(
  '[1]Hoja 1'!$M:$M,
  '[1]Hoja 1'!$S:$S, $A112,
  '[1]Hoja 1'!$R:$R, "&gt;="&amp;INT($E$1),
  '[1]Hoja 1'!$R:$R, "&lt;"&amp;INT($F$1+1)
)</f>
        <v>0</v>
      </c>
      <c r="D112" s="1" t="str">
        <f>""</f>
        <v/>
      </c>
      <c r="F112" s="2"/>
      <c r="G112" s="1">
        <f>SUMIFS(
  '[1]Hoja 1'!$M:$M,
  '[1]Hoja 1'!$S:$S, $A112,
  '[1]Hoja 1'!$R:$R, "&gt;="&amp;INT($I$1),
  '[1]Hoja 1'!$R:$R, "&lt;"&amp;INT($J$1+1)
)</f>
        <v>1</v>
      </c>
      <c r="H112" s="1">
        <f t="shared" si="85"/>
        <v>0.5</v>
      </c>
      <c r="I112" s="1"/>
      <c r="J112" s="2"/>
      <c r="K112" s="1">
        <f>SUMIFS(
  '[1]Hoja 1'!$M:$M,
  '[1]Hoja 1'!$S:$S, $A112,
  '[1]Hoja 1'!$R:$R, "&gt;="&amp;INT($M$1),
  '[1]Hoja 1'!$R:$R, "&lt;"&amp;INT($N$1+1)
)</f>
        <v>5</v>
      </c>
      <c r="L112" s="1">
        <f t="shared" si="86"/>
        <v>3</v>
      </c>
      <c r="M112" s="9">
        <f t="shared" si="87"/>
        <v>0.92110606331155065</v>
      </c>
      <c r="N112" s="10">
        <f t="shared" si="88"/>
        <v>5.0788939366884494</v>
      </c>
      <c r="O112" s="1">
        <f>SUMIFS(
  '[1]Hoja 1'!$M:$M,
  '[1]Hoja 1'!$S:$S, $A112,
  '[1]Hoja 1'!$R:$R, "&gt;="&amp;INT($Q$1),
  '[1]Hoja 1'!$R:$R, "&lt;"&amp;INT($R$1+1)
)</f>
        <v>5</v>
      </c>
      <c r="P112" s="1">
        <f t="shared" si="89"/>
        <v>5</v>
      </c>
      <c r="Q112" s="9">
        <f t="shared" si="90"/>
        <v>0.95996732052319</v>
      </c>
      <c r="R112" s="10">
        <f t="shared" si="91"/>
        <v>5.04003267947681</v>
      </c>
      <c r="S112" s="1">
        <f>SUMIFS(
  '[1]Hoja 1'!$M:$M,
  '[1]Hoja 1'!$S:$S, $A112,
  '[1]Hoja 1'!$R:$R, "&gt;="&amp;INT($U$1),
  '[1]Hoja 1'!$R:$R, "&lt;"&amp;INT($V$1+1)
)</f>
        <v>2</v>
      </c>
      <c r="T112" s="1">
        <f t="shared" si="92"/>
        <v>4</v>
      </c>
      <c r="U112" s="9">
        <f t="shared" si="93"/>
        <v>1.1709836809708336</v>
      </c>
      <c r="V112" s="10">
        <f t="shared" si="94"/>
        <v>6.8290163190291668</v>
      </c>
      <c r="W112" s="1">
        <f>SUMIFS(
  '[1]Hoja 1'!$M:$M,
  '[1]Hoja 1'!$S:$S, $A112,
  '[1]Hoja 1'!$R:$R, "&gt;="&amp;INT($Y$1),
  '[1]Hoja 1'!$R:$R, "&lt;"&amp;INT($Z$1+1)
)</f>
        <v>6</v>
      </c>
      <c r="X112" s="1">
        <f t="shared" si="95"/>
        <v>4</v>
      </c>
      <c r="Y112" s="9">
        <f t="shared" si="96"/>
        <v>0.6646389500785177</v>
      </c>
      <c r="Z112" s="10">
        <f t="shared" si="97"/>
        <v>7.3353610499214827</v>
      </c>
      <c r="AA112" s="1">
        <f>SUMIFS(
  '[1]Hoja 1'!$M:$M,
  '[1]Hoja 1'!$S:$S, $A112,
  '[1]Hoja 1'!$R:$R, "&gt;="&amp;INT($AC$1),
  '[1]Hoja 1'!$R:$R, "&lt;"&amp;INT($AD$1+1)
)</f>
        <v>0</v>
      </c>
      <c r="AB112" s="1">
        <f t="shared" si="98"/>
        <v>3</v>
      </c>
      <c r="AC112" s="9">
        <f t="shared" si="99"/>
        <v>-0.66682423903846244</v>
      </c>
      <c r="AD112" s="10">
        <f t="shared" si="100"/>
        <v>7.1865618352055902</v>
      </c>
      <c r="AE112" s="1">
        <f>SUMIFS(
  '[1]Hoja 1'!$M:$M,
  '[1]Hoja 1'!$S:$S, $A112,
  '[1]Hoja 1'!$R:$R, "&gt;="&amp;INT($AG$1),
  '[1]Hoja 1'!$R:$R, "&lt;"&amp;INT($AH$1+1)
)</f>
        <v>0</v>
      </c>
      <c r="AF112" s="1">
        <f t="shared" si="101"/>
        <v>0</v>
      </c>
      <c r="AG112" s="9">
        <f t="shared" si="102"/>
        <v>-3.6668242390384624</v>
      </c>
      <c r="AH112" s="10">
        <f t="shared" si="103"/>
        <v>4.1865618352055902</v>
      </c>
      <c r="AI112" s="1">
        <f>SUMIFS(
  '[1]Hoja 1'!$M:$M,
  '[1]Hoja 1'!$S:$S, $A112,
  '[1]Hoja 1'!$R:$R, "&gt;="&amp;INT($AK$1),
  '[1]Hoja 1'!$R:$R, "&lt;"&amp;INT($AL$1+1)
)</f>
        <v>0</v>
      </c>
      <c r="AJ112" s="1">
        <f t="shared" si="104"/>
        <v>0</v>
      </c>
      <c r="AK112" s="9">
        <f t="shared" si="105"/>
        <v>-3.5061545887196699</v>
      </c>
      <c r="AL112" s="10">
        <f t="shared" si="106"/>
        <v>4.0406435131053069</v>
      </c>
      <c r="AM112" s="1">
        <f>SUMIFS(
  '[1]Hoja 1'!$M:$M,
  '[1]Hoja 1'!$S:$S, $A112,
  '[1]Hoja 1'!$R:$R, "&gt;="&amp;INT($AO$1),
  '[1]Hoja 1'!$R:$R, "&lt;"&amp;INT($AP$1+1)
)</f>
        <v>0</v>
      </c>
      <c r="AN112" s="1">
        <f t="shared" si="107"/>
        <v>0</v>
      </c>
      <c r="AO112" s="9">
        <f t="shared" si="108"/>
        <v>-2.6296159415397526</v>
      </c>
      <c r="AP112" s="10">
        <f t="shared" si="109"/>
        <v>2.94</v>
      </c>
      <c r="AQ112" s="1">
        <f>SUMIFS(
  '[1]Hoja 1'!$M:$M,
  '[1]Hoja 1'!$S:$S, $A112,
  '[1]Hoja 1'!$R:$R, "&gt;="&amp;INT($AS$1),
  '[1]Hoja 1'!$R:$R, "&lt;"&amp;INT($AT$1+1)
)</f>
        <v>0</v>
      </c>
      <c r="AR112" s="1">
        <f t="shared" si="110"/>
        <v>0</v>
      </c>
      <c r="AS112" s="9">
        <f t="shared" si="111"/>
        <v>0</v>
      </c>
      <c r="AT112" s="10">
        <f t="shared" si="112"/>
        <v>0</v>
      </c>
      <c r="AU112" s="1">
        <f>SUMIFS(
  '[1]Hoja 1'!$M:$M,
  '[1]Hoja 1'!$S:$S, $A112,
  '[1]Hoja 1'!$R:$R, "&gt;="&amp;INT($AW$1),
  '[1]Hoja 1'!$R:$R, "&lt;"&amp;INT($AX$1+1)
)</f>
        <v>0</v>
      </c>
      <c r="AV112" s="1">
        <f t="shared" si="113"/>
        <v>0</v>
      </c>
      <c r="AW112" s="9">
        <f t="shared" si="114"/>
        <v>0</v>
      </c>
      <c r="AX112" s="10">
        <f t="shared" si="115"/>
        <v>0</v>
      </c>
      <c r="AY112" s="1">
        <f>SUMIFS(
  '[1]Hoja 1'!$M:$M,
  '[1]Hoja 1'!$S:$S, $A112,
  '[1]Hoja 1'!$R:$R, "&gt;="&amp;INT($BA$1),
  '[1]Hoja 1'!$R:$R, "&lt;"&amp;INT($BB$1+1)
)</f>
        <v>0</v>
      </c>
      <c r="AZ112" s="1">
        <f t="shared" si="116"/>
        <v>0</v>
      </c>
      <c r="BA112" s="9">
        <f t="shared" si="117"/>
        <v>0</v>
      </c>
      <c r="BB112" s="10">
        <f t="shared" si="118"/>
        <v>0</v>
      </c>
      <c r="BC112" s="1">
        <f>SUMIFS(
  '[1]Hoja 1'!$M:$M,
  '[1]Hoja 1'!$S:$S, $A112,
  '[1]Hoja 1'!$R:$R, "&gt;="&amp;INT($BE$1),
  '[1]Hoja 1'!$R:$R, "&lt;"&amp;INT($BF$1+1)
)</f>
        <v>0</v>
      </c>
      <c r="BD112" s="1">
        <f t="shared" si="119"/>
        <v>0</v>
      </c>
      <c r="BE112" s="9">
        <f t="shared" si="120"/>
        <v>0</v>
      </c>
      <c r="BF112" s="10">
        <f t="shared" si="121"/>
        <v>0</v>
      </c>
      <c r="BG112" s="1">
        <f>SUMIFS(
  '[1]Hoja 1'!$M:$M,
  '[1]Hoja 1'!$S:$S, $A112,
  '[1]Hoja 1'!$R:$R, "&gt;="&amp;INT($BI$1),
  '[1]Hoja 1'!$R:$R, "&lt;"&amp;INT($BJ$1+1)
)</f>
        <v>0</v>
      </c>
      <c r="BH112" s="1">
        <f t="shared" si="122"/>
        <v>0</v>
      </c>
      <c r="BI112" s="9">
        <f t="shared" si="123"/>
        <v>0</v>
      </c>
      <c r="BJ112" s="10">
        <f t="shared" si="124"/>
        <v>0</v>
      </c>
      <c r="BK112" s="1">
        <f>SUMIFS(
  '[1]Hoja 1'!$M:$M,
  '[1]Hoja 1'!$S:$S, $A112,
  '[1]Hoja 1'!$R:$R, "&gt;="&amp;INT($BM$1),
  '[1]Hoja 1'!$R:$R, "&lt;"&amp;INT($BN$1+1)
)</f>
        <v>0</v>
      </c>
      <c r="BL112" s="1">
        <f t="shared" si="125"/>
        <v>0</v>
      </c>
      <c r="BM112" s="9">
        <f t="shared" si="126"/>
        <v>0</v>
      </c>
      <c r="BN112" s="10">
        <f t="shared" si="127"/>
        <v>0</v>
      </c>
      <c r="BO112" s="1">
        <f>SUMIFS(
  '[1]Hoja 1'!$M:$M,
  '[1]Hoja 1'!$S:$S, $A112,
  '[1]Hoja 1'!$R:$R, "&gt;="&amp;INT($BQ$1),
  '[1]Hoja 1'!$R:$R, "&lt;"&amp;INT($BR$1+1)
)</f>
        <v>0</v>
      </c>
      <c r="BP112" s="1">
        <f t="shared" si="128"/>
        <v>0</v>
      </c>
      <c r="BQ112" s="9">
        <f t="shared" si="129"/>
        <v>0</v>
      </c>
      <c r="BR112" s="10">
        <f t="shared" si="130"/>
        <v>0</v>
      </c>
      <c r="BS112" s="1">
        <f>SUMIFS(
  '[1]Hoja 1'!$M:$M,
  '[1]Hoja 1'!$S:$S, $A112,
  '[1]Hoja 1'!$R:$R, "&gt;="&amp;INT($BU$1),
  '[1]Hoja 1'!$R:$R, "&lt;"&amp;INT($BV$1+1)
)</f>
        <v>0</v>
      </c>
      <c r="BT112" s="1">
        <f t="shared" si="131"/>
        <v>0</v>
      </c>
      <c r="BU112" s="9">
        <f t="shared" si="132"/>
        <v>0</v>
      </c>
      <c r="BV112" s="10">
        <f t="shared" si="133"/>
        <v>0</v>
      </c>
      <c r="BW112" s="1">
        <f>SUMIFS(
  '[1]Hoja 1'!$M:$M,
  '[1]Hoja 1'!$S:$S, $A112,
  '[1]Hoja 1'!$R:$R, "&gt;="&amp;INT($BY$1),
  '[1]Hoja 1'!$R:$R, "&lt;"&amp;INT($BZ$1+1)
)</f>
        <v>0</v>
      </c>
      <c r="BX112" s="1">
        <f t="shared" si="134"/>
        <v>0</v>
      </c>
      <c r="BY112" s="9">
        <f t="shared" si="135"/>
        <v>0</v>
      </c>
      <c r="BZ112" s="10">
        <f t="shared" si="136"/>
        <v>0</v>
      </c>
      <c r="CA112" s="1">
        <f>SUMIFS(
  '[1]Hoja 1'!$M:$M,
  '[1]Hoja 1'!$S:$S, $A112,
  '[1]Hoja 1'!$R:$R, "&gt;="&amp;INT($CC$1),
  '[1]Hoja 1'!$R:$R, "&lt;"&amp;INT($CD$1+1)
)</f>
        <v>0</v>
      </c>
      <c r="CB112" s="1">
        <f t="shared" si="137"/>
        <v>0</v>
      </c>
      <c r="CC112" s="9">
        <f t="shared" si="138"/>
        <v>0</v>
      </c>
      <c r="CD112" s="10">
        <f t="shared" si="139"/>
        <v>0</v>
      </c>
      <c r="CE112" s="1">
        <f>SUMIFS(
  '[1]Hoja 1'!$M:$M,
  '[1]Hoja 1'!$S:$S, $A112,
  '[1]Hoja 1'!$R:$R, "&gt;="&amp;INT($CG$1),
  '[1]Hoja 1'!$R:$R, "&lt;"&amp;INT($CH$1+1)
)</f>
        <v>0</v>
      </c>
      <c r="CF112" s="1">
        <f t="shared" si="140"/>
        <v>0</v>
      </c>
      <c r="CG112" s="9">
        <f t="shared" si="141"/>
        <v>0</v>
      </c>
      <c r="CH112" s="10">
        <f t="shared" si="142"/>
        <v>0</v>
      </c>
      <c r="CI112" s="1">
        <f>SUMIFS(
  '[1]Hoja 1'!$M:$M,
  '[1]Hoja 1'!$S:$S, $A112,
  '[1]Hoja 1'!$R:$R, "&gt;="&amp;INT($CK$1),
  '[1]Hoja 1'!$R:$R, "&lt;"&amp;INT($CL$1+1)
)</f>
        <v>0</v>
      </c>
      <c r="CJ112" s="1">
        <f t="shared" si="143"/>
        <v>0</v>
      </c>
      <c r="CK112" s="9">
        <f t="shared" si="144"/>
        <v>0</v>
      </c>
      <c r="CL112" s="10">
        <f t="shared" si="145"/>
        <v>0</v>
      </c>
      <c r="CM112" s="1">
        <f>SUMIFS(
  '[1]Hoja 1'!$M:$M,
  '[1]Hoja 1'!$S:$S, $A112,
  '[1]Hoja 1'!$R:$R, "&gt;="&amp;INT($CO$1),
  '[1]Hoja 1'!$R:$R, "&lt;"&amp;INT($CP$1+1)
)</f>
        <v>0</v>
      </c>
      <c r="CN112" s="1">
        <f t="shared" si="146"/>
        <v>0</v>
      </c>
      <c r="CO112" s="9">
        <f t="shared" si="147"/>
        <v>0</v>
      </c>
      <c r="CP112" s="10">
        <f t="shared" si="148"/>
        <v>0</v>
      </c>
      <c r="CQ112" s="1">
        <f>SUMIFS(
  '[1]Hoja 1'!$M:$M,
  '[1]Hoja 1'!$S:$S, $A112,
  '[1]Hoja 1'!$R:$R, "&gt;="&amp;INT($CS$1),
  '[1]Hoja 1'!$R:$R, "&lt;"&amp;INT($CT$1+1)
)</f>
        <v>0</v>
      </c>
      <c r="CR112" s="1">
        <f t="shared" si="149"/>
        <v>0</v>
      </c>
      <c r="CS112" s="9">
        <f t="shared" si="150"/>
        <v>0</v>
      </c>
      <c r="CT112" s="10">
        <f t="shared" si="151"/>
        <v>0</v>
      </c>
      <c r="CU112" s="1">
        <f>SUMIFS(
  '[1]Hoja 1'!$M:$M,
  '[1]Hoja 1'!$S:$S, $A112,
  '[1]Hoja 1'!$R:$R, "&gt;="&amp;INT($CW$1),
  '[1]Hoja 1'!$R:$R, "&lt;"&amp;INT($CX$1+1)
)</f>
        <v>0</v>
      </c>
      <c r="CV112" s="1">
        <f t="shared" si="152"/>
        <v>0</v>
      </c>
      <c r="CW112" s="9">
        <f t="shared" si="153"/>
        <v>0</v>
      </c>
      <c r="CX112" s="10">
        <f t="shared" si="154"/>
        <v>0</v>
      </c>
      <c r="CY112" s="1">
        <f>SUMIFS(
  '[1]Hoja 1'!$M:$M,
  '[1]Hoja 1'!$S:$S, $A112,
  '[1]Hoja 1'!$R:$R, "&gt;="&amp;INT($DA$1),
  '[1]Hoja 1'!$R:$R, "&lt;"&amp;INT($DB$1+1)
)</f>
        <v>0</v>
      </c>
      <c r="CZ112" s="1">
        <f t="shared" si="155"/>
        <v>0</v>
      </c>
      <c r="DA112" s="9">
        <f t="shared" si="156"/>
        <v>0</v>
      </c>
      <c r="DB112" s="10">
        <f t="shared" si="157"/>
        <v>0</v>
      </c>
      <c r="DC112" s="1">
        <f>SUMIFS(
  '[1]Hoja 1'!$M:$M,
  '[1]Hoja 1'!$S:$S, $A112,
  '[1]Hoja 1'!$R:$R, "&gt;="&amp;INT($DE$1),
  '[1]Hoja 1'!$R:$R, "&lt;"&amp;INT($DF$1+1)
)</f>
        <v>0</v>
      </c>
      <c r="DD112" s="1">
        <f t="shared" si="158"/>
        <v>0</v>
      </c>
      <c r="DE112" s="9">
        <f t="shared" si="159"/>
        <v>0</v>
      </c>
      <c r="DF112" s="10">
        <f t="shared" si="160"/>
        <v>0</v>
      </c>
      <c r="DG112" s="1">
        <f>SUMIFS(
  '[1]Hoja 1'!$M:$M,
  '[1]Hoja 1'!$S:$S, $A112,
  '[1]Hoja 1'!$R:$R, "&gt;="&amp;INT($DI$1),
  '[1]Hoja 1'!$R:$R, "&lt;"&amp;INT($DJ$1+1)
)</f>
        <v>0</v>
      </c>
      <c r="DH112" s="1">
        <f t="shared" si="161"/>
        <v>0</v>
      </c>
      <c r="DI112" s="9">
        <f t="shared" si="162"/>
        <v>0</v>
      </c>
      <c r="DJ112" s="10">
        <f t="shared" si="163"/>
        <v>0</v>
      </c>
      <c r="DK112" s="1">
        <f>SUMIFS(
  '[1]Hoja 1'!$M:$M,
  '[1]Hoja 1'!$S:$S, $A112,
  '[1]Hoja 1'!$R:$R, "&gt;="&amp;INT($DM$1),
  '[1]Hoja 1'!$R:$R, "&lt;"&amp;INT($DN$1+1)
)</f>
        <v>0</v>
      </c>
      <c r="DL112" s="1">
        <f t="shared" si="164"/>
        <v>0</v>
      </c>
      <c r="DM112" s="9">
        <f t="shared" si="165"/>
        <v>0</v>
      </c>
      <c r="DN112" s="10">
        <f t="shared" si="166"/>
        <v>0</v>
      </c>
      <c r="DO112" s="1">
        <f>SUMIFS(
  '[1]Hoja 1'!$M:$M,
  '[1]Hoja 1'!$S:$S, $A112,
  '[1]Hoja 1'!$R:$R, "&gt;="&amp;INT($DQ$1),
  '[1]Hoja 1'!$R:$R, "&lt;"&amp;INT($DR$1+1)
)</f>
        <v>0</v>
      </c>
      <c r="DP112" s="1">
        <f t="shared" si="167"/>
        <v>0</v>
      </c>
      <c r="DQ112" s="9">
        <f t="shared" si="168"/>
        <v>0</v>
      </c>
      <c r="DR112" s="10">
        <f t="shared" si="169"/>
        <v>0</v>
      </c>
    </row>
    <row r="113" spans="1:122" x14ac:dyDescent="0.25">
      <c r="A113" s="5">
        <v>217024</v>
      </c>
      <c r="B113" s="6" t="s">
        <v>113</v>
      </c>
      <c r="C113" s="1">
        <f>SUMIFS(
  '[1]Hoja 1'!$M:$M,
  '[1]Hoja 1'!$S:$S, $A113,
  '[1]Hoja 1'!$R:$R, "&gt;="&amp;INT($E$1),
  '[1]Hoja 1'!$R:$R, "&lt;"&amp;INT($F$1+1)
)</f>
        <v>3</v>
      </c>
      <c r="D113" s="1" t="str">
        <f>""</f>
        <v/>
      </c>
      <c r="F113" s="2"/>
      <c r="G113" s="1">
        <f>SUMIFS(
  '[1]Hoja 1'!$M:$M,
  '[1]Hoja 1'!$S:$S, $A113,
  '[1]Hoja 1'!$R:$R, "&gt;="&amp;INT($I$1),
  '[1]Hoja 1'!$R:$R, "&lt;"&amp;INT($J$1+1)
)</f>
        <v>0</v>
      </c>
      <c r="H113" s="1">
        <f t="shared" si="85"/>
        <v>1.5</v>
      </c>
      <c r="I113" s="1"/>
      <c r="J113" s="2"/>
      <c r="K113" s="1">
        <f>SUMIFS(
  '[1]Hoja 1'!$M:$M,
  '[1]Hoja 1'!$S:$S, $A113,
  '[1]Hoja 1'!$R:$R, "&gt;="&amp;INT($M$1),
  '[1]Hoja 1'!$R:$R, "&lt;"&amp;INT($N$1+1)
)</f>
        <v>0</v>
      </c>
      <c r="L113" s="1">
        <f t="shared" si="86"/>
        <v>0</v>
      </c>
      <c r="M113" s="9">
        <f t="shared" si="87"/>
        <v>-2.0788939366884494</v>
      </c>
      <c r="N113" s="10">
        <f t="shared" si="88"/>
        <v>2.0788939366884494</v>
      </c>
      <c r="O113" s="1">
        <f>SUMIFS(
  '[1]Hoja 1'!$M:$M,
  '[1]Hoja 1'!$S:$S, $A113,
  '[1]Hoja 1'!$R:$R, "&gt;="&amp;INT($Q$1),
  '[1]Hoja 1'!$R:$R, "&lt;"&amp;INT($R$1+1)
)</f>
        <v>0</v>
      </c>
      <c r="P113" s="1">
        <f t="shared" si="89"/>
        <v>0</v>
      </c>
      <c r="Q113" s="9">
        <f t="shared" si="90"/>
        <v>-1.6974097914174997</v>
      </c>
      <c r="R113" s="10">
        <f t="shared" si="91"/>
        <v>1.6974097914174997</v>
      </c>
      <c r="S113" s="1">
        <f>SUMIFS(
  '[1]Hoja 1'!$M:$M,
  '[1]Hoja 1'!$S:$S, $A113,
  '[1]Hoja 1'!$R:$R, "&gt;="&amp;INT($U$1),
  '[1]Hoja 1'!$R:$R, "&lt;"&amp;INT($V$1+1)
)</f>
        <v>1</v>
      </c>
      <c r="T113" s="1">
        <f t="shared" si="92"/>
        <v>1</v>
      </c>
      <c r="U113" s="9">
        <f t="shared" si="93"/>
        <v>-0.6974097914174997</v>
      </c>
      <c r="V113" s="10">
        <f t="shared" si="94"/>
        <v>2.6974097914174999</v>
      </c>
      <c r="W113" s="1">
        <f>SUMIFS(
  '[1]Hoja 1'!$M:$M,
  '[1]Hoja 1'!$S:$S, $A113,
  '[1]Hoja 1'!$R:$R, "&gt;="&amp;INT($Y$1),
  '[1]Hoja 1'!$R:$R, "&lt;"&amp;INT($Z$1+1)
)</f>
        <v>1</v>
      </c>
      <c r="X113" s="1">
        <f t="shared" si="95"/>
        <v>1</v>
      </c>
      <c r="Y113" s="9">
        <f t="shared" si="96"/>
        <v>0.51</v>
      </c>
      <c r="Z113" s="10">
        <f t="shared" si="97"/>
        <v>1.49</v>
      </c>
      <c r="AA113" s="1">
        <f>SUMIFS(
  '[1]Hoja 1'!$M:$M,
  '[1]Hoja 1'!$S:$S, $A113,
  '[1]Hoja 1'!$R:$R, "&gt;="&amp;INT($AC$1),
  '[1]Hoja 1'!$R:$R, "&lt;"&amp;INT($AD$1+1)
)</f>
        <v>0</v>
      </c>
      <c r="AB113" s="1">
        <f t="shared" si="98"/>
        <v>1</v>
      </c>
      <c r="AC113" s="9">
        <f t="shared" si="99"/>
        <v>0.30703535443718344</v>
      </c>
      <c r="AD113" s="10">
        <f t="shared" si="100"/>
        <v>1.8001666493091715</v>
      </c>
      <c r="AE113" s="1">
        <f>SUMIFS(
  '[1]Hoja 1'!$M:$M,
  '[1]Hoja 1'!$S:$S, $A113,
  '[1]Hoja 1'!$R:$R, "&gt;="&amp;INT($AG$1),
  '[1]Hoja 1'!$R:$R, "&lt;"&amp;INT($AH$1+1)
)</f>
        <v>0</v>
      </c>
      <c r="AF113" s="1">
        <f t="shared" si="101"/>
        <v>0</v>
      </c>
      <c r="AG113" s="9">
        <f t="shared" si="102"/>
        <v>-0.69296464556281656</v>
      </c>
      <c r="AH113" s="10">
        <f t="shared" si="103"/>
        <v>0.80016664930917147</v>
      </c>
      <c r="AI113" s="1">
        <f>SUMIFS(
  '[1]Hoja 1'!$M:$M,
  '[1]Hoja 1'!$S:$S, $A113,
  '[1]Hoja 1'!$R:$R, "&gt;="&amp;INT($AK$1),
  '[1]Hoja 1'!$R:$R, "&lt;"&amp;INT($AL$1+1)
)</f>
        <v>0</v>
      </c>
      <c r="AJ113" s="1">
        <f t="shared" si="104"/>
        <v>0</v>
      </c>
      <c r="AK113" s="9">
        <f t="shared" si="105"/>
        <v>-0.43826932358995874</v>
      </c>
      <c r="AL113" s="10">
        <f t="shared" si="106"/>
        <v>0.49</v>
      </c>
      <c r="AM113" s="1">
        <f>SUMIFS(
  '[1]Hoja 1'!$M:$M,
  '[1]Hoja 1'!$S:$S, $A113,
  '[1]Hoja 1'!$R:$R, "&gt;="&amp;INT($AO$1),
  '[1]Hoja 1'!$R:$R, "&lt;"&amp;INT($AP$1+1)
)</f>
        <v>0</v>
      </c>
      <c r="AN113" s="1">
        <f t="shared" si="107"/>
        <v>0</v>
      </c>
      <c r="AO113" s="9">
        <f t="shared" si="108"/>
        <v>-0.43826932358995874</v>
      </c>
      <c r="AP113" s="10">
        <f t="shared" si="109"/>
        <v>0.49</v>
      </c>
      <c r="AQ113" s="1">
        <f>SUMIFS(
  '[1]Hoja 1'!$M:$M,
  '[1]Hoja 1'!$S:$S, $A113,
  '[1]Hoja 1'!$R:$R, "&gt;="&amp;INT($AS$1),
  '[1]Hoja 1'!$R:$R, "&lt;"&amp;INT($AT$1+1)
)</f>
        <v>0</v>
      </c>
      <c r="AR113" s="1">
        <f t="shared" si="110"/>
        <v>0</v>
      </c>
      <c r="AS113" s="9">
        <f t="shared" si="111"/>
        <v>0</v>
      </c>
      <c r="AT113" s="10">
        <f t="shared" si="112"/>
        <v>0</v>
      </c>
      <c r="AU113" s="1">
        <f>SUMIFS(
  '[1]Hoja 1'!$M:$M,
  '[1]Hoja 1'!$S:$S, $A113,
  '[1]Hoja 1'!$R:$R, "&gt;="&amp;INT($AW$1),
  '[1]Hoja 1'!$R:$R, "&lt;"&amp;INT($AX$1+1)
)</f>
        <v>0</v>
      </c>
      <c r="AV113" s="1">
        <f t="shared" si="113"/>
        <v>0</v>
      </c>
      <c r="AW113" s="9">
        <f t="shared" si="114"/>
        <v>0</v>
      </c>
      <c r="AX113" s="10">
        <f t="shared" si="115"/>
        <v>0</v>
      </c>
      <c r="AY113" s="1">
        <f>SUMIFS(
  '[1]Hoja 1'!$M:$M,
  '[1]Hoja 1'!$S:$S, $A113,
  '[1]Hoja 1'!$R:$R, "&gt;="&amp;INT($BA$1),
  '[1]Hoja 1'!$R:$R, "&lt;"&amp;INT($BB$1+1)
)</f>
        <v>0</v>
      </c>
      <c r="AZ113" s="1">
        <f t="shared" si="116"/>
        <v>0</v>
      </c>
      <c r="BA113" s="9">
        <f t="shared" si="117"/>
        <v>0</v>
      </c>
      <c r="BB113" s="10">
        <f t="shared" si="118"/>
        <v>0</v>
      </c>
      <c r="BC113" s="1">
        <f>SUMIFS(
  '[1]Hoja 1'!$M:$M,
  '[1]Hoja 1'!$S:$S, $A113,
  '[1]Hoja 1'!$R:$R, "&gt;="&amp;INT($BE$1),
  '[1]Hoja 1'!$R:$R, "&lt;"&amp;INT($BF$1+1)
)</f>
        <v>0</v>
      </c>
      <c r="BD113" s="1">
        <f t="shared" si="119"/>
        <v>0</v>
      </c>
      <c r="BE113" s="9">
        <f t="shared" si="120"/>
        <v>0</v>
      </c>
      <c r="BF113" s="10">
        <f t="shared" si="121"/>
        <v>0</v>
      </c>
      <c r="BG113" s="1">
        <f>SUMIFS(
  '[1]Hoja 1'!$M:$M,
  '[1]Hoja 1'!$S:$S, $A113,
  '[1]Hoja 1'!$R:$R, "&gt;="&amp;INT($BI$1),
  '[1]Hoja 1'!$R:$R, "&lt;"&amp;INT($BJ$1+1)
)</f>
        <v>0</v>
      </c>
      <c r="BH113" s="1">
        <f t="shared" si="122"/>
        <v>0</v>
      </c>
      <c r="BI113" s="9">
        <f t="shared" si="123"/>
        <v>0</v>
      </c>
      <c r="BJ113" s="10">
        <f t="shared" si="124"/>
        <v>0</v>
      </c>
      <c r="BK113" s="1">
        <f>SUMIFS(
  '[1]Hoja 1'!$M:$M,
  '[1]Hoja 1'!$S:$S, $A113,
  '[1]Hoja 1'!$R:$R, "&gt;="&amp;INT($BM$1),
  '[1]Hoja 1'!$R:$R, "&lt;"&amp;INT($BN$1+1)
)</f>
        <v>0</v>
      </c>
      <c r="BL113" s="1">
        <f t="shared" si="125"/>
        <v>0</v>
      </c>
      <c r="BM113" s="9">
        <f t="shared" si="126"/>
        <v>0</v>
      </c>
      <c r="BN113" s="10">
        <f t="shared" si="127"/>
        <v>0</v>
      </c>
      <c r="BO113" s="1">
        <f>SUMIFS(
  '[1]Hoja 1'!$M:$M,
  '[1]Hoja 1'!$S:$S, $A113,
  '[1]Hoja 1'!$R:$R, "&gt;="&amp;INT($BQ$1),
  '[1]Hoja 1'!$R:$R, "&lt;"&amp;INT($BR$1+1)
)</f>
        <v>0</v>
      </c>
      <c r="BP113" s="1">
        <f t="shared" si="128"/>
        <v>0</v>
      </c>
      <c r="BQ113" s="9">
        <f t="shared" si="129"/>
        <v>0</v>
      </c>
      <c r="BR113" s="10">
        <f t="shared" si="130"/>
        <v>0</v>
      </c>
      <c r="BS113" s="1">
        <f>SUMIFS(
  '[1]Hoja 1'!$M:$M,
  '[1]Hoja 1'!$S:$S, $A113,
  '[1]Hoja 1'!$R:$R, "&gt;="&amp;INT($BU$1),
  '[1]Hoja 1'!$R:$R, "&lt;"&amp;INT($BV$1+1)
)</f>
        <v>0</v>
      </c>
      <c r="BT113" s="1">
        <f t="shared" si="131"/>
        <v>0</v>
      </c>
      <c r="BU113" s="9">
        <f t="shared" si="132"/>
        <v>0</v>
      </c>
      <c r="BV113" s="10">
        <f t="shared" si="133"/>
        <v>0</v>
      </c>
      <c r="BW113" s="1">
        <f>SUMIFS(
  '[1]Hoja 1'!$M:$M,
  '[1]Hoja 1'!$S:$S, $A113,
  '[1]Hoja 1'!$R:$R, "&gt;="&amp;INT($BY$1),
  '[1]Hoja 1'!$R:$R, "&lt;"&amp;INT($BZ$1+1)
)</f>
        <v>0</v>
      </c>
      <c r="BX113" s="1">
        <f t="shared" si="134"/>
        <v>0</v>
      </c>
      <c r="BY113" s="9">
        <f t="shared" si="135"/>
        <v>0</v>
      </c>
      <c r="BZ113" s="10">
        <f t="shared" si="136"/>
        <v>0</v>
      </c>
      <c r="CA113" s="1">
        <f>SUMIFS(
  '[1]Hoja 1'!$M:$M,
  '[1]Hoja 1'!$S:$S, $A113,
  '[1]Hoja 1'!$R:$R, "&gt;="&amp;INT($CC$1),
  '[1]Hoja 1'!$R:$R, "&lt;"&amp;INT($CD$1+1)
)</f>
        <v>0</v>
      </c>
      <c r="CB113" s="1">
        <f t="shared" si="137"/>
        <v>0</v>
      </c>
      <c r="CC113" s="9">
        <f t="shared" si="138"/>
        <v>0</v>
      </c>
      <c r="CD113" s="10">
        <f t="shared" si="139"/>
        <v>0</v>
      </c>
      <c r="CE113" s="1">
        <f>SUMIFS(
  '[1]Hoja 1'!$M:$M,
  '[1]Hoja 1'!$S:$S, $A113,
  '[1]Hoja 1'!$R:$R, "&gt;="&amp;INT($CG$1),
  '[1]Hoja 1'!$R:$R, "&lt;"&amp;INT($CH$1+1)
)</f>
        <v>0</v>
      </c>
      <c r="CF113" s="1">
        <f t="shared" si="140"/>
        <v>0</v>
      </c>
      <c r="CG113" s="9">
        <f t="shared" si="141"/>
        <v>0</v>
      </c>
      <c r="CH113" s="10">
        <f t="shared" si="142"/>
        <v>0</v>
      </c>
      <c r="CI113" s="1">
        <f>SUMIFS(
  '[1]Hoja 1'!$M:$M,
  '[1]Hoja 1'!$S:$S, $A113,
  '[1]Hoja 1'!$R:$R, "&gt;="&amp;INT($CK$1),
  '[1]Hoja 1'!$R:$R, "&lt;"&amp;INT($CL$1+1)
)</f>
        <v>0</v>
      </c>
      <c r="CJ113" s="1">
        <f t="shared" si="143"/>
        <v>0</v>
      </c>
      <c r="CK113" s="9">
        <f t="shared" si="144"/>
        <v>0</v>
      </c>
      <c r="CL113" s="10">
        <f t="shared" si="145"/>
        <v>0</v>
      </c>
      <c r="CM113" s="1">
        <f>SUMIFS(
  '[1]Hoja 1'!$M:$M,
  '[1]Hoja 1'!$S:$S, $A113,
  '[1]Hoja 1'!$R:$R, "&gt;="&amp;INT($CO$1),
  '[1]Hoja 1'!$R:$R, "&lt;"&amp;INT($CP$1+1)
)</f>
        <v>0</v>
      </c>
      <c r="CN113" s="1">
        <f t="shared" si="146"/>
        <v>0</v>
      </c>
      <c r="CO113" s="9">
        <f t="shared" si="147"/>
        <v>0</v>
      </c>
      <c r="CP113" s="10">
        <f t="shared" si="148"/>
        <v>0</v>
      </c>
      <c r="CQ113" s="1">
        <f>SUMIFS(
  '[1]Hoja 1'!$M:$M,
  '[1]Hoja 1'!$S:$S, $A113,
  '[1]Hoja 1'!$R:$R, "&gt;="&amp;INT($CS$1),
  '[1]Hoja 1'!$R:$R, "&lt;"&amp;INT($CT$1+1)
)</f>
        <v>0</v>
      </c>
      <c r="CR113" s="1">
        <f t="shared" si="149"/>
        <v>0</v>
      </c>
      <c r="CS113" s="9">
        <f t="shared" si="150"/>
        <v>0</v>
      </c>
      <c r="CT113" s="10">
        <f t="shared" si="151"/>
        <v>0</v>
      </c>
      <c r="CU113" s="1">
        <f>SUMIFS(
  '[1]Hoja 1'!$M:$M,
  '[1]Hoja 1'!$S:$S, $A113,
  '[1]Hoja 1'!$R:$R, "&gt;="&amp;INT($CW$1),
  '[1]Hoja 1'!$R:$R, "&lt;"&amp;INT($CX$1+1)
)</f>
        <v>0</v>
      </c>
      <c r="CV113" s="1">
        <f t="shared" si="152"/>
        <v>0</v>
      </c>
      <c r="CW113" s="9">
        <f t="shared" si="153"/>
        <v>0</v>
      </c>
      <c r="CX113" s="10">
        <f t="shared" si="154"/>
        <v>0</v>
      </c>
      <c r="CY113" s="1">
        <f>SUMIFS(
  '[1]Hoja 1'!$M:$M,
  '[1]Hoja 1'!$S:$S, $A113,
  '[1]Hoja 1'!$R:$R, "&gt;="&amp;INT($DA$1),
  '[1]Hoja 1'!$R:$R, "&lt;"&amp;INT($DB$1+1)
)</f>
        <v>0</v>
      </c>
      <c r="CZ113" s="1">
        <f t="shared" si="155"/>
        <v>0</v>
      </c>
      <c r="DA113" s="9">
        <f t="shared" si="156"/>
        <v>0</v>
      </c>
      <c r="DB113" s="10">
        <f t="shared" si="157"/>
        <v>0</v>
      </c>
      <c r="DC113" s="1">
        <f>SUMIFS(
  '[1]Hoja 1'!$M:$M,
  '[1]Hoja 1'!$S:$S, $A113,
  '[1]Hoja 1'!$R:$R, "&gt;="&amp;INT($DE$1),
  '[1]Hoja 1'!$R:$R, "&lt;"&amp;INT($DF$1+1)
)</f>
        <v>0</v>
      </c>
      <c r="DD113" s="1">
        <f t="shared" si="158"/>
        <v>0</v>
      </c>
      <c r="DE113" s="9">
        <f t="shared" si="159"/>
        <v>0</v>
      </c>
      <c r="DF113" s="10">
        <f t="shared" si="160"/>
        <v>0</v>
      </c>
      <c r="DG113" s="1">
        <f>SUMIFS(
  '[1]Hoja 1'!$M:$M,
  '[1]Hoja 1'!$S:$S, $A113,
  '[1]Hoja 1'!$R:$R, "&gt;="&amp;INT($DI$1),
  '[1]Hoja 1'!$R:$R, "&lt;"&amp;INT($DJ$1+1)
)</f>
        <v>0</v>
      </c>
      <c r="DH113" s="1">
        <f t="shared" si="161"/>
        <v>0</v>
      </c>
      <c r="DI113" s="9">
        <f t="shared" si="162"/>
        <v>0</v>
      </c>
      <c r="DJ113" s="10">
        <f t="shared" si="163"/>
        <v>0</v>
      </c>
      <c r="DK113" s="1">
        <f>SUMIFS(
  '[1]Hoja 1'!$M:$M,
  '[1]Hoja 1'!$S:$S, $A113,
  '[1]Hoja 1'!$R:$R, "&gt;="&amp;INT($DM$1),
  '[1]Hoja 1'!$R:$R, "&lt;"&amp;INT($DN$1+1)
)</f>
        <v>0</v>
      </c>
      <c r="DL113" s="1">
        <f t="shared" si="164"/>
        <v>0</v>
      </c>
      <c r="DM113" s="9">
        <f t="shared" si="165"/>
        <v>0</v>
      </c>
      <c r="DN113" s="10">
        <f t="shared" si="166"/>
        <v>0</v>
      </c>
      <c r="DO113" s="1">
        <f>SUMIFS(
  '[1]Hoja 1'!$M:$M,
  '[1]Hoja 1'!$S:$S, $A113,
  '[1]Hoja 1'!$R:$R, "&gt;="&amp;INT($DQ$1),
  '[1]Hoja 1'!$R:$R, "&lt;"&amp;INT($DR$1+1)
)</f>
        <v>0</v>
      </c>
      <c r="DP113" s="1">
        <f t="shared" si="167"/>
        <v>0</v>
      </c>
      <c r="DQ113" s="9">
        <f t="shared" si="168"/>
        <v>0</v>
      </c>
      <c r="DR113" s="10">
        <f t="shared" si="169"/>
        <v>0</v>
      </c>
    </row>
    <row r="114" spans="1:122" x14ac:dyDescent="0.25">
      <c r="A114" s="5">
        <v>217025</v>
      </c>
      <c r="B114" s="6" t="s">
        <v>256</v>
      </c>
      <c r="C114" s="1">
        <f>SUMIFS(
  '[1]Hoja 1'!$M:$M,
  '[1]Hoja 1'!$S:$S, $A114,
  '[1]Hoja 1'!$R:$R, "&gt;="&amp;INT($E$1),
  '[1]Hoja 1'!$R:$R, "&lt;"&amp;INT($F$1+1)
)</f>
        <v>0</v>
      </c>
      <c r="D114" s="1" t="str">
        <f>""</f>
        <v/>
      </c>
      <c r="F114" s="2"/>
      <c r="G114" s="1">
        <f>SUMIFS(
  '[1]Hoja 1'!$M:$M,
  '[1]Hoja 1'!$S:$S, $A114,
  '[1]Hoja 1'!$R:$R, "&gt;="&amp;INT($I$1),
  '[1]Hoja 1'!$R:$R, "&lt;"&amp;INT($J$1+1)
)</f>
        <v>0</v>
      </c>
      <c r="H114" s="1">
        <f t="shared" si="85"/>
        <v>0</v>
      </c>
      <c r="I114" s="1"/>
      <c r="J114" s="2"/>
      <c r="K114" s="1">
        <f>SUMIFS(
  '[1]Hoja 1'!$M:$M,
  '[1]Hoja 1'!$S:$S, $A114,
  '[1]Hoja 1'!$R:$R, "&gt;="&amp;INT($M$1),
  '[1]Hoja 1'!$R:$R, "&lt;"&amp;INT($N$1+1)
)</f>
        <v>0</v>
      </c>
      <c r="L114" s="1">
        <f t="shared" si="86"/>
        <v>0</v>
      </c>
      <c r="M114" s="9">
        <f t="shared" si="87"/>
        <v>0</v>
      </c>
      <c r="N114" s="10">
        <f t="shared" si="88"/>
        <v>0</v>
      </c>
      <c r="O114" s="1">
        <f>SUMIFS(
  '[1]Hoja 1'!$M:$M,
  '[1]Hoja 1'!$S:$S, $A114,
  '[1]Hoja 1'!$R:$R, "&gt;="&amp;INT($Q$1),
  '[1]Hoja 1'!$R:$R, "&lt;"&amp;INT($R$1+1)
)</f>
        <v>0</v>
      </c>
      <c r="P114" s="1">
        <f t="shared" si="89"/>
        <v>0</v>
      </c>
      <c r="Q114" s="9">
        <f t="shared" si="90"/>
        <v>0</v>
      </c>
      <c r="R114" s="10">
        <f t="shared" si="91"/>
        <v>0</v>
      </c>
      <c r="S114" s="1">
        <f>SUMIFS(
  '[1]Hoja 1'!$M:$M,
  '[1]Hoja 1'!$S:$S, $A114,
  '[1]Hoja 1'!$R:$R, "&gt;="&amp;INT($U$1),
  '[1]Hoja 1'!$R:$R, "&lt;"&amp;INT($V$1+1)
)</f>
        <v>7</v>
      </c>
      <c r="T114" s="1">
        <f t="shared" si="92"/>
        <v>4</v>
      </c>
      <c r="U114" s="9">
        <f t="shared" si="93"/>
        <v>0.57000000000000028</v>
      </c>
      <c r="V114" s="10">
        <f t="shared" si="94"/>
        <v>7.43</v>
      </c>
      <c r="W114" s="1">
        <f>SUMIFS(
  '[1]Hoja 1'!$M:$M,
  '[1]Hoja 1'!$S:$S, $A114,
  '[1]Hoja 1'!$R:$R, "&gt;="&amp;INT($Y$1),
  '[1]Hoja 1'!$R:$R, "&lt;"&amp;INT($Z$1+1)
)</f>
        <v>0</v>
      </c>
      <c r="X114" s="1">
        <f t="shared" si="95"/>
        <v>4</v>
      </c>
      <c r="Y114" s="9">
        <f t="shared" si="96"/>
        <v>-1.6011665451642001</v>
      </c>
      <c r="Z114" s="10">
        <f t="shared" si="97"/>
        <v>9.601166545164201</v>
      </c>
      <c r="AA114" s="1">
        <f>SUMIFS(
  '[1]Hoja 1'!$M:$M,
  '[1]Hoja 1'!$S:$S, $A114,
  '[1]Hoja 1'!$R:$R, "&gt;="&amp;INT($AC$1),
  '[1]Hoja 1'!$R:$R, "&lt;"&amp;INT($AD$1+1)
)</f>
        <v>0</v>
      </c>
      <c r="AB114" s="1">
        <f t="shared" si="98"/>
        <v>0</v>
      </c>
      <c r="AC114" s="9">
        <f t="shared" si="99"/>
        <v>-4.850752518939716</v>
      </c>
      <c r="AD114" s="10">
        <f t="shared" si="100"/>
        <v>5.6011665451642001</v>
      </c>
      <c r="AE114" s="1">
        <f>SUMIFS(
  '[1]Hoja 1'!$M:$M,
  '[1]Hoja 1'!$S:$S, $A114,
  '[1]Hoja 1'!$R:$R, "&gt;="&amp;INT($AG$1),
  '[1]Hoja 1'!$R:$R, "&lt;"&amp;INT($AH$1+1)
)</f>
        <v>0</v>
      </c>
      <c r="AF114" s="1">
        <f t="shared" si="101"/>
        <v>0</v>
      </c>
      <c r="AG114" s="9">
        <f t="shared" si="102"/>
        <v>-4.850752518939716</v>
      </c>
      <c r="AH114" s="10">
        <f t="shared" si="103"/>
        <v>5.6011665451642001</v>
      </c>
      <c r="AI114" s="1">
        <f>SUMIFS(
  '[1]Hoja 1'!$M:$M,
  '[1]Hoja 1'!$S:$S, $A114,
  '[1]Hoja 1'!$R:$R, "&gt;="&amp;INT($AK$1),
  '[1]Hoja 1'!$R:$R, "&lt;"&amp;INT($AL$1+1)
)</f>
        <v>0</v>
      </c>
      <c r="AJ114" s="1">
        <f t="shared" si="104"/>
        <v>0</v>
      </c>
      <c r="AK114" s="9">
        <f t="shared" si="105"/>
        <v>-3.0678852651297115</v>
      </c>
      <c r="AL114" s="10">
        <f t="shared" si="106"/>
        <v>3.4299999999999997</v>
      </c>
      <c r="AM114" s="1">
        <f>SUMIFS(
  '[1]Hoja 1'!$M:$M,
  '[1]Hoja 1'!$S:$S, $A114,
  '[1]Hoja 1'!$R:$R, "&gt;="&amp;INT($AO$1),
  '[1]Hoja 1'!$R:$R, "&lt;"&amp;INT($AP$1+1)
)</f>
        <v>0</v>
      </c>
      <c r="AN114" s="1">
        <f t="shared" si="107"/>
        <v>0</v>
      </c>
      <c r="AO114" s="9">
        <f t="shared" si="108"/>
        <v>0</v>
      </c>
      <c r="AP114" s="10">
        <f t="shared" si="109"/>
        <v>0</v>
      </c>
      <c r="AQ114" s="1">
        <f>SUMIFS(
  '[1]Hoja 1'!$M:$M,
  '[1]Hoja 1'!$S:$S, $A114,
  '[1]Hoja 1'!$R:$R, "&gt;="&amp;INT($AS$1),
  '[1]Hoja 1'!$R:$R, "&lt;"&amp;INT($AT$1+1)
)</f>
        <v>0</v>
      </c>
      <c r="AR114" s="1">
        <f t="shared" si="110"/>
        <v>0</v>
      </c>
      <c r="AS114" s="9">
        <f t="shared" si="111"/>
        <v>0</v>
      </c>
      <c r="AT114" s="10">
        <f t="shared" si="112"/>
        <v>0</v>
      </c>
      <c r="AU114" s="1">
        <f>SUMIFS(
  '[1]Hoja 1'!$M:$M,
  '[1]Hoja 1'!$S:$S, $A114,
  '[1]Hoja 1'!$R:$R, "&gt;="&amp;INT($AW$1),
  '[1]Hoja 1'!$R:$R, "&lt;"&amp;INT($AX$1+1)
)</f>
        <v>0</v>
      </c>
      <c r="AV114" s="1">
        <f t="shared" si="113"/>
        <v>0</v>
      </c>
      <c r="AW114" s="9">
        <f t="shared" si="114"/>
        <v>0</v>
      </c>
      <c r="AX114" s="10">
        <f t="shared" si="115"/>
        <v>0</v>
      </c>
      <c r="AY114" s="1">
        <f>SUMIFS(
  '[1]Hoja 1'!$M:$M,
  '[1]Hoja 1'!$S:$S, $A114,
  '[1]Hoja 1'!$R:$R, "&gt;="&amp;INT($BA$1),
  '[1]Hoja 1'!$R:$R, "&lt;"&amp;INT($BB$1+1)
)</f>
        <v>0</v>
      </c>
      <c r="AZ114" s="1">
        <f t="shared" si="116"/>
        <v>0</v>
      </c>
      <c r="BA114" s="9">
        <f t="shared" si="117"/>
        <v>0</v>
      </c>
      <c r="BB114" s="10">
        <f t="shared" si="118"/>
        <v>0</v>
      </c>
      <c r="BC114" s="1">
        <f>SUMIFS(
  '[1]Hoja 1'!$M:$M,
  '[1]Hoja 1'!$S:$S, $A114,
  '[1]Hoja 1'!$R:$R, "&gt;="&amp;INT($BE$1),
  '[1]Hoja 1'!$R:$R, "&lt;"&amp;INT($BF$1+1)
)</f>
        <v>0</v>
      </c>
      <c r="BD114" s="1">
        <f t="shared" si="119"/>
        <v>0</v>
      </c>
      <c r="BE114" s="9">
        <f t="shared" si="120"/>
        <v>0</v>
      </c>
      <c r="BF114" s="10">
        <f t="shared" si="121"/>
        <v>0</v>
      </c>
      <c r="BG114" s="1">
        <f>SUMIFS(
  '[1]Hoja 1'!$M:$M,
  '[1]Hoja 1'!$S:$S, $A114,
  '[1]Hoja 1'!$R:$R, "&gt;="&amp;INT($BI$1),
  '[1]Hoja 1'!$R:$R, "&lt;"&amp;INT($BJ$1+1)
)</f>
        <v>0</v>
      </c>
      <c r="BH114" s="1">
        <f t="shared" si="122"/>
        <v>0</v>
      </c>
      <c r="BI114" s="9">
        <f t="shared" si="123"/>
        <v>0</v>
      </c>
      <c r="BJ114" s="10">
        <f t="shared" si="124"/>
        <v>0</v>
      </c>
      <c r="BK114" s="1">
        <f>SUMIFS(
  '[1]Hoja 1'!$M:$M,
  '[1]Hoja 1'!$S:$S, $A114,
  '[1]Hoja 1'!$R:$R, "&gt;="&amp;INT($BM$1),
  '[1]Hoja 1'!$R:$R, "&lt;"&amp;INT($BN$1+1)
)</f>
        <v>0</v>
      </c>
      <c r="BL114" s="1">
        <f t="shared" si="125"/>
        <v>0</v>
      </c>
      <c r="BM114" s="9">
        <f t="shared" si="126"/>
        <v>0</v>
      </c>
      <c r="BN114" s="10">
        <f t="shared" si="127"/>
        <v>0</v>
      </c>
      <c r="BO114" s="1">
        <f>SUMIFS(
  '[1]Hoja 1'!$M:$M,
  '[1]Hoja 1'!$S:$S, $A114,
  '[1]Hoja 1'!$R:$R, "&gt;="&amp;INT($BQ$1),
  '[1]Hoja 1'!$R:$R, "&lt;"&amp;INT($BR$1+1)
)</f>
        <v>0</v>
      </c>
      <c r="BP114" s="1">
        <f t="shared" si="128"/>
        <v>0</v>
      </c>
      <c r="BQ114" s="9">
        <f t="shared" si="129"/>
        <v>0</v>
      </c>
      <c r="BR114" s="10">
        <f t="shared" si="130"/>
        <v>0</v>
      </c>
      <c r="BS114" s="1">
        <f>SUMIFS(
  '[1]Hoja 1'!$M:$M,
  '[1]Hoja 1'!$S:$S, $A114,
  '[1]Hoja 1'!$R:$R, "&gt;="&amp;INT($BU$1),
  '[1]Hoja 1'!$R:$R, "&lt;"&amp;INT($BV$1+1)
)</f>
        <v>0</v>
      </c>
      <c r="BT114" s="1">
        <f t="shared" si="131"/>
        <v>0</v>
      </c>
      <c r="BU114" s="9">
        <f t="shared" si="132"/>
        <v>0</v>
      </c>
      <c r="BV114" s="10">
        <f t="shared" si="133"/>
        <v>0</v>
      </c>
      <c r="BW114" s="1">
        <f>SUMIFS(
  '[1]Hoja 1'!$M:$M,
  '[1]Hoja 1'!$S:$S, $A114,
  '[1]Hoja 1'!$R:$R, "&gt;="&amp;INT($BY$1),
  '[1]Hoja 1'!$R:$R, "&lt;"&amp;INT($BZ$1+1)
)</f>
        <v>0</v>
      </c>
      <c r="BX114" s="1">
        <f t="shared" si="134"/>
        <v>0</v>
      </c>
      <c r="BY114" s="9">
        <f t="shared" si="135"/>
        <v>0</v>
      </c>
      <c r="BZ114" s="10">
        <f t="shared" si="136"/>
        <v>0</v>
      </c>
      <c r="CA114" s="1">
        <f>SUMIFS(
  '[1]Hoja 1'!$M:$M,
  '[1]Hoja 1'!$S:$S, $A114,
  '[1]Hoja 1'!$R:$R, "&gt;="&amp;INT($CC$1),
  '[1]Hoja 1'!$R:$R, "&lt;"&amp;INT($CD$1+1)
)</f>
        <v>0</v>
      </c>
      <c r="CB114" s="1">
        <f t="shared" si="137"/>
        <v>0</v>
      </c>
      <c r="CC114" s="9">
        <f t="shared" si="138"/>
        <v>0</v>
      </c>
      <c r="CD114" s="10">
        <f t="shared" si="139"/>
        <v>0</v>
      </c>
      <c r="CE114" s="1">
        <f>SUMIFS(
  '[1]Hoja 1'!$M:$M,
  '[1]Hoja 1'!$S:$S, $A114,
  '[1]Hoja 1'!$R:$R, "&gt;="&amp;INT($CG$1),
  '[1]Hoja 1'!$R:$R, "&lt;"&amp;INT($CH$1+1)
)</f>
        <v>0</v>
      </c>
      <c r="CF114" s="1">
        <f t="shared" si="140"/>
        <v>0</v>
      </c>
      <c r="CG114" s="9">
        <f t="shared" si="141"/>
        <v>0</v>
      </c>
      <c r="CH114" s="10">
        <f t="shared" si="142"/>
        <v>0</v>
      </c>
      <c r="CI114" s="1">
        <f>SUMIFS(
  '[1]Hoja 1'!$M:$M,
  '[1]Hoja 1'!$S:$S, $A114,
  '[1]Hoja 1'!$R:$R, "&gt;="&amp;INT($CK$1),
  '[1]Hoja 1'!$R:$R, "&lt;"&amp;INT($CL$1+1)
)</f>
        <v>0</v>
      </c>
      <c r="CJ114" s="1">
        <f t="shared" si="143"/>
        <v>0</v>
      </c>
      <c r="CK114" s="9">
        <f t="shared" si="144"/>
        <v>0</v>
      </c>
      <c r="CL114" s="10">
        <f t="shared" si="145"/>
        <v>0</v>
      </c>
      <c r="CM114" s="1">
        <f>SUMIFS(
  '[1]Hoja 1'!$M:$M,
  '[1]Hoja 1'!$S:$S, $A114,
  '[1]Hoja 1'!$R:$R, "&gt;="&amp;INT($CO$1),
  '[1]Hoja 1'!$R:$R, "&lt;"&amp;INT($CP$1+1)
)</f>
        <v>0</v>
      </c>
      <c r="CN114" s="1">
        <f t="shared" si="146"/>
        <v>0</v>
      </c>
      <c r="CO114" s="9">
        <f t="shared" si="147"/>
        <v>0</v>
      </c>
      <c r="CP114" s="10">
        <f t="shared" si="148"/>
        <v>0</v>
      </c>
      <c r="CQ114" s="1">
        <f>SUMIFS(
  '[1]Hoja 1'!$M:$M,
  '[1]Hoja 1'!$S:$S, $A114,
  '[1]Hoja 1'!$R:$R, "&gt;="&amp;INT($CS$1),
  '[1]Hoja 1'!$R:$R, "&lt;"&amp;INT($CT$1+1)
)</f>
        <v>0</v>
      </c>
      <c r="CR114" s="1">
        <f t="shared" si="149"/>
        <v>0</v>
      </c>
      <c r="CS114" s="9">
        <f t="shared" si="150"/>
        <v>0</v>
      </c>
      <c r="CT114" s="10">
        <f t="shared" si="151"/>
        <v>0</v>
      </c>
      <c r="CU114" s="1">
        <f>SUMIFS(
  '[1]Hoja 1'!$M:$M,
  '[1]Hoja 1'!$S:$S, $A114,
  '[1]Hoja 1'!$R:$R, "&gt;="&amp;INT($CW$1),
  '[1]Hoja 1'!$R:$R, "&lt;"&amp;INT($CX$1+1)
)</f>
        <v>0</v>
      </c>
      <c r="CV114" s="1">
        <f t="shared" si="152"/>
        <v>0</v>
      </c>
      <c r="CW114" s="9">
        <f t="shared" si="153"/>
        <v>0</v>
      </c>
      <c r="CX114" s="10">
        <f t="shared" si="154"/>
        <v>0</v>
      </c>
      <c r="CY114" s="1">
        <f>SUMIFS(
  '[1]Hoja 1'!$M:$M,
  '[1]Hoja 1'!$S:$S, $A114,
  '[1]Hoja 1'!$R:$R, "&gt;="&amp;INT($DA$1),
  '[1]Hoja 1'!$R:$R, "&lt;"&amp;INT($DB$1+1)
)</f>
        <v>0</v>
      </c>
      <c r="CZ114" s="1">
        <f t="shared" si="155"/>
        <v>0</v>
      </c>
      <c r="DA114" s="9">
        <f t="shared" si="156"/>
        <v>0</v>
      </c>
      <c r="DB114" s="10">
        <f t="shared" si="157"/>
        <v>0</v>
      </c>
      <c r="DC114" s="1">
        <f>SUMIFS(
  '[1]Hoja 1'!$M:$M,
  '[1]Hoja 1'!$S:$S, $A114,
  '[1]Hoja 1'!$R:$R, "&gt;="&amp;INT($DE$1),
  '[1]Hoja 1'!$R:$R, "&lt;"&amp;INT($DF$1+1)
)</f>
        <v>0</v>
      </c>
      <c r="DD114" s="1">
        <f t="shared" si="158"/>
        <v>0</v>
      </c>
      <c r="DE114" s="9">
        <f t="shared" si="159"/>
        <v>0</v>
      </c>
      <c r="DF114" s="10">
        <f t="shared" si="160"/>
        <v>0</v>
      </c>
      <c r="DG114" s="1">
        <f>SUMIFS(
  '[1]Hoja 1'!$M:$M,
  '[1]Hoja 1'!$S:$S, $A114,
  '[1]Hoja 1'!$R:$R, "&gt;="&amp;INT($DI$1),
  '[1]Hoja 1'!$R:$R, "&lt;"&amp;INT($DJ$1+1)
)</f>
        <v>0</v>
      </c>
      <c r="DH114" s="1">
        <f t="shared" si="161"/>
        <v>0</v>
      </c>
      <c r="DI114" s="9">
        <f t="shared" si="162"/>
        <v>0</v>
      </c>
      <c r="DJ114" s="10">
        <f t="shared" si="163"/>
        <v>0</v>
      </c>
      <c r="DK114" s="1">
        <f>SUMIFS(
  '[1]Hoja 1'!$M:$M,
  '[1]Hoja 1'!$S:$S, $A114,
  '[1]Hoja 1'!$R:$R, "&gt;="&amp;INT($DM$1),
  '[1]Hoja 1'!$R:$R, "&lt;"&amp;INT($DN$1+1)
)</f>
        <v>0</v>
      </c>
      <c r="DL114" s="1">
        <f t="shared" si="164"/>
        <v>0</v>
      </c>
      <c r="DM114" s="9">
        <f t="shared" si="165"/>
        <v>0</v>
      </c>
      <c r="DN114" s="10">
        <f t="shared" si="166"/>
        <v>0</v>
      </c>
      <c r="DO114" s="1">
        <f>SUMIFS(
  '[1]Hoja 1'!$M:$M,
  '[1]Hoja 1'!$S:$S, $A114,
  '[1]Hoja 1'!$R:$R, "&gt;="&amp;INT($DQ$1),
  '[1]Hoja 1'!$R:$R, "&lt;"&amp;INT($DR$1+1)
)</f>
        <v>0</v>
      </c>
      <c r="DP114" s="1">
        <f t="shared" si="167"/>
        <v>0</v>
      </c>
      <c r="DQ114" s="9">
        <f t="shared" si="168"/>
        <v>0</v>
      </c>
      <c r="DR114" s="10">
        <f t="shared" si="169"/>
        <v>0</v>
      </c>
    </row>
    <row r="115" spans="1:122" x14ac:dyDescent="0.25">
      <c r="A115" s="5">
        <v>218001</v>
      </c>
      <c r="B115" s="6" t="s">
        <v>114</v>
      </c>
      <c r="C115" s="1">
        <f>SUMIFS(
  '[1]Hoja 1'!$M:$M,
  '[1]Hoja 1'!$S:$S, $A115,
  '[1]Hoja 1'!$R:$R, "&gt;="&amp;INT($E$1),
  '[1]Hoja 1'!$R:$R, "&lt;"&amp;INT($F$1+1)
)</f>
        <v>4</v>
      </c>
      <c r="D115" s="1" t="str">
        <f>""</f>
        <v/>
      </c>
      <c r="F115" s="2"/>
      <c r="G115" s="1">
        <f>SUMIFS(
  '[1]Hoja 1'!$M:$M,
  '[1]Hoja 1'!$S:$S, $A115,
  '[1]Hoja 1'!$R:$R, "&gt;="&amp;INT($I$1),
  '[1]Hoja 1'!$R:$R, "&lt;"&amp;INT($J$1+1)
)</f>
        <v>0</v>
      </c>
      <c r="H115" s="1">
        <f t="shared" si="85"/>
        <v>2</v>
      </c>
      <c r="I115" s="1"/>
      <c r="J115" s="2"/>
      <c r="K115" s="1">
        <f>SUMIFS(
  '[1]Hoja 1'!$M:$M,
  '[1]Hoja 1'!$S:$S, $A115,
  '[1]Hoja 1'!$R:$R, "&gt;="&amp;INT($M$1),
  '[1]Hoja 1'!$R:$R, "&lt;"&amp;INT($N$1+1)
)</f>
        <v>3</v>
      </c>
      <c r="L115" s="1">
        <f t="shared" si="86"/>
        <v>1.5</v>
      </c>
      <c r="M115" s="9">
        <f t="shared" si="87"/>
        <v>-3.350752518939716</v>
      </c>
      <c r="N115" s="10">
        <f t="shared" si="88"/>
        <v>6.350752518939716</v>
      </c>
      <c r="O115" s="1">
        <f>SUMIFS(
  '[1]Hoja 1'!$M:$M,
  '[1]Hoja 1'!$S:$S, $A115,
  '[1]Hoja 1'!$R:$R, "&gt;="&amp;INT($Q$1),
  '[1]Hoja 1'!$R:$R, "&lt;"&amp;INT($R$1+1)
)</f>
        <v>1</v>
      </c>
      <c r="P115" s="1">
        <f t="shared" si="89"/>
        <v>2</v>
      </c>
      <c r="Q115" s="9">
        <f t="shared" si="90"/>
        <v>-2.0334402499547091</v>
      </c>
      <c r="R115" s="10">
        <f t="shared" si="91"/>
        <v>5.0334402499547091</v>
      </c>
      <c r="S115" s="1">
        <f>SUMIFS(
  '[1]Hoja 1'!$M:$M,
  '[1]Hoja 1'!$S:$S, $A115,
  '[1]Hoja 1'!$R:$R, "&gt;="&amp;INT($U$1),
  '[1]Hoja 1'!$R:$R, "&lt;"&amp;INT($V$1+1)
)</f>
        <v>0</v>
      </c>
      <c r="T115" s="1">
        <f t="shared" si="92"/>
        <v>1</v>
      </c>
      <c r="U115" s="9">
        <f t="shared" si="93"/>
        <v>-1.8850418830004299</v>
      </c>
      <c r="V115" s="10">
        <f t="shared" si="94"/>
        <v>3.8850418830004299</v>
      </c>
      <c r="W115" s="1">
        <f>SUMIFS(
  '[1]Hoja 1'!$M:$M,
  '[1]Hoja 1'!$S:$S, $A115,
  '[1]Hoja 1'!$R:$R, "&gt;="&amp;INT($Y$1),
  '[1]Hoja 1'!$R:$R, "&lt;"&amp;INT($Z$1+1)
)</f>
        <v>3</v>
      </c>
      <c r="X115" s="1">
        <f t="shared" si="95"/>
        <v>2</v>
      </c>
      <c r="Y115" s="9">
        <f t="shared" si="96"/>
        <v>-0.57735652688305183</v>
      </c>
      <c r="Z115" s="10">
        <f t="shared" si="97"/>
        <v>4.5773565268830518</v>
      </c>
      <c r="AA115" s="1">
        <f>SUMIFS(
  '[1]Hoja 1'!$M:$M,
  '[1]Hoja 1'!$S:$S, $A115,
  '[1]Hoja 1'!$R:$R, "&gt;="&amp;INT($AC$1),
  '[1]Hoja 1'!$R:$R, "&lt;"&amp;INT($AD$1+1)
)</f>
        <v>1</v>
      </c>
      <c r="AB115" s="1">
        <f t="shared" si="98"/>
        <v>2</v>
      </c>
      <c r="AC115" s="9">
        <f t="shared" si="99"/>
        <v>-3.217125262611642E-2</v>
      </c>
      <c r="AD115" s="10">
        <f t="shared" si="100"/>
        <v>4.3328666199906642</v>
      </c>
      <c r="AE115" s="1">
        <f>SUMIFS(
  '[1]Hoja 1'!$M:$M,
  '[1]Hoja 1'!$S:$S, $A115,
  '[1]Hoja 1'!$R:$R, "&gt;="&amp;INT($AG$1),
  '[1]Hoja 1'!$R:$R, "&lt;"&amp;INT($AH$1+1)
)</f>
        <v>0</v>
      </c>
      <c r="AF115" s="1">
        <f t="shared" si="101"/>
        <v>1</v>
      </c>
      <c r="AG115" s="9">
        <f t="shared" si="102"/>
        <v>-0.88506763804379185</v>
      </c>
      <c r="AH115" s="10">
        <f t="shared" si="103"/>
        <v>3.1730086669561781</v>
      </c>
      <c r="AI115" s="1">
        <f>SUMIFS(
  '[1]Hoja 1'!$M:$M,
  '[1]Hoja 1'!$S:$S, $A115,
  '[1]Hoja 1'!$R:$R, "&gt;="&amp;INT($AK$1),
  '[1]Hoja 1'!$R:$R, "&lt;"&amp;INT($AL$1+1)
)</f>
        <v>0</v>
      </c>
      <c r="AJ115" s="1">
        <f t="shared" si="104"/>
        <v>0</v>
      </c>
      <c r="AK115" s="9">
        <f t="shared" si="105"/>
        <v>-1.8334121195192312</v>
      </c>
      <c r="AL115" s="10">
        <f t="shared" si="106"/>
        <v>2.117041961479901</v>
      </c>
      <c r="AM115" s="1">
        <f>SUMIFS(
  '[1]Hoja 1'!$M:$M,
  '[1]Hoja 1'!$S:$S, $A115,
  '[1]Hoja 1'!$R:$R, "&gt;="&amp;INT($AO$1),
  '[1]Hoja 1'!$R:$R, "&lt;"&amp;INT($AP$1+1)
)</f>
        <v>0</v>
      </c>
      <c r="AN115" s="1">
        <f t="shared" si="107"/>
        <v>0</v>
      </c>
      <c r="AO115" s="9">
        <f t="shared" si="108"/>
        <v>-0.87653864717991747</v>
      </c>
      <c r="AP115" s="10">
        <f t="shared" si="109"/>
        <v>0.93827856560121137</v>
      </c>
      <c r="AQ115" s="1">
        <f>SUMIFS(
  '[1]Hoja 1'!$M:$M,
  '[1]Hoja 1'!$S:$S, $A115,
  '[1]Hoja 1'!$R:$R, "&gt;="&amp;INT($AS$1),
  '[1]Hoja 1'!$R:$R, "&lt;"&amp;INT($AT$1+1)
)</f>
        <v>0</v>
      </c>
      <c r="AR115" s="1">
        <f t="shared" si="110"/>
        <v>0</v>
      </c>
      <c r="AS115" s="9">
        <f t="shared" si="111"/>
        <v>-0.43826932358995874</v>
      </c>
      <c r="AT115" s="10">
        <f t="shared" si="112"/>
        <v>0.49</v>
      </c>
      <c r="AU115" s="1">
        <f>SUMIFS(
  '[1]Hoja 1'!$M:$M,
  '[1]Hoja 1'!$S:$S, $A115,
  '[1]Hoja 1'!$R:$R, "&gt;="&amp;INT($AW$1),
  '[1]Hoja 1'!$R:$R, "&lt;"&amp;INT($AX$1+1)
)</f>
        <v>0</v>
      </c>
      <c r="AV115" s="1">
        <f t="shared" si="113"/>
        <v>0</v>
      </c>
      <c r="AW115" s="9">
        <f t="shared" si="114"/>
        <v>0</v>
      </c>
      <c r="AX115" s="10">
        <f t="shared" si="115"/>
        <v>0</v>
      </c>
      <c r="AY115" s="1">
        <f>SUMIFS(
  '[1]Hoja 1'!$M:$M,
  '[1]Hoja 1'!$S:$S, $A115,
  '[1]Hoja 1'!$R:$R, "&gt;="&amp;INT($BA$1),
  '[1]Hoja 1'!$R:$R, "&lt;"&amp;INT($BB$1+1)
)</f>
        <v>0</v>
      </c>
      <c r="AZ115" s="1">
        <f t="shared" si="116"/>
        <v>0</v>
      </c>
      <c r="BA115" s="9">
        <f t="shared" si="117"/>
        <v>0</v>
      </c>
      <c r="BB115" s="10">
        <f t="shared" si="118"/>
        <v>0</v>
      </c>
      <c r="BC115" s="1">
        <f>SUMIFS(
  '[1]Hoja 1'!$M:$M,
  '[1]Hoja 1'!$S:$S, $A115,
  '[1]Hoja 1'!$R:$R, "&gt;="&amp;INT($BE$1),
  '[1]Hoja 1'!$R:$R, "&lt;"&amp;INT($BF$1+1)
)</f>
        <v>0</v>
      </c>
      <c r="BD115" s="1">
        <f t="shared" si="119"/>
        <v>0</v>
      </c>
      <c r="BE115" s="9">
        <f t="shared" si="120"/>
        <v>0</v>
      </c>
      <c r="BF115" s="10">
        <f t="shared" si="121"/>
        <v>0</v>
      </c>
      <c r="BG115" s="1">
        <f>SUMIFS(
  '[1]Hoja 1'!$M:$M,
  '[1]Hoja 1'!$S:$S, $A115,
  '[1]Hoja 1'!$R:$R, "&gt;="&amp;INT($BI$1),
  '[1]Hoja 1'!$R:$R, "&lt;"&amp;INT($BJ$1+1)
)</f>
        <v>0</v>
      </c>
      <c r="BH115" s="1">
        <f t="shared" si="122"/>
        <v>0</v>
      </c>
      <c r="BI115" s="9">
        <f t="shared" si="123"/>
        <v>0</v>
      </c>
      <c r="BJ115" s="10">
        <f t="shared" si="124"/>
        <v>0</v>
      </c>
      <c r="BK115" s="1">
        <f>SUMIFS(
  '[1]Hoja 1'!$M:$M,
  '[1]Hoja 1'!$S:$S, $A115,
  '[1]Hoja 1'!$R:$R, "&gt;="&amp;INT($BM$1),
  '[1]Hoja 1'!$R:$R, "&lt;"&amp;INT($BN$1+1)
)</f>
        <v>0</v>
      </c>
      <c r="BL115" s="1">
        <f t="shared" si="125"/>
        <v>0</v>
      </c>
      <c r="BM115" s="9">
        <f t="shared" si="126"/>
        <v>0</v>
      </c>
      <c r="BN115" s="10">
        <f t="shared" si="127"/>
        <v>0</v>
      </c>
      <c r="BO115" s="1">
        <f>SUMIFS(
  '[1]Hoja 1'!$M:$M,
  '[1]Hoja 1'!$S:$S, $A115,
  '[1]Hoja 1'!$R:$R, "&gt;="&amp;INT($BQ$1),
  '[1]Hoja 1'!$R:$R, "&lt;"&amp;INT($BR$1+1)
)</f>
        <v>0</v>
      </c>
      <c r="BP115" s="1">
        <f t="shared" si="128"/>
        <v>0</v>
      </c>
      <c r="BQ115" s="9">
        <f t="shared" si="129"/>
        <v>0</v>
      </c>
      <c r="BR115" s="10">
        <f t="shared" si="130"/>
        <v>0</v>
      </c>
      <c r="BS115" s="1">
        <f>SUMIFS(
  '[1]Hoja 1'!$M:$M,
  '[1]Hoja 1'!$S:$S, $A115,
  '[1]Hoja 1'!$R:$R, "&gt;="&amp;INT($BU$1),
  '[1]Hoja 1'!$R:$R, "&lt;"&amp;INT($BV$1+1)
)</f>
        <v>0</v>
      </c>
      <c r="BT115" s="1">
        <f t="shared" si="131"/>
        <v>0</v>
      </c>
      <c r="BU115" s="9">
        <f t="shared" si="132"/>
        <v>0</v>
      </c>
      <c r="BV115" s="10">
        <f t="shared" si="133"/>
        <v>0</v>
      </c>
      <c r="BW115" s="1">
        <f>SUMIFS(
  '[1]Hoja 1'!$M:$M,
  '[1]Hoja 1'!$S:$S, $A115,
  '[1]Hoja 1'!$R:$R, "&gt;="&amp;INT($BY$1),
  '[1]Hoja 1'!$R:$R, "&lt;"&amp;INT($BZ$1+1)
)</f>
        <v>0</v>
      </c>
      <c r="BX115" s="1">
        <f t="shared" si="134"/>
        <v>0</v>
      </c>
      <c r="BY115" s="9">
        <f t="shared" si="135"/>
        <v>0</v>
      </c>
      <c r="BZ115" s="10">
        <f t="shared" si="136"/>
        <v>0</v>
      </c>
      <c r="CA115" s="1">
        <f>SUMIFS(
  '[1]Hoja 1'!$M:$M,
  '[1]Hoja 1'!$S:$S, $A115,
  '[1]Hoja 1'!$R:$R, "&gt;="&amp;INT($CC$1),
  '[1]Hoja 1'!$R:$R, "&lt;"&amp;INT($CD$1+1)
)</f>
        <v>0</v>
      </c>
      <c r="CB115" s="1">
        <f t="shared" si="137"/>
        <v>0</v>
      </c>
      <c r="CC115" s="9">
        <f t="shared" si="138"/>
        <v>0</v>
      </c>
      <c r="CD115" s="10">
        <f t="shared" si="139"/>
        <v>0</v>
      </c>
      <c r="CE115" s="1">
        <f>SUMIFS(
  '[1]Hoja 1'!$M:$M,
  '[1]Hoja 1'!$S:$S, $A115,
  '[1]Hoja 1'!$R:$R, "&gt;="&amp;INT($CG$1),
  '[1]Hoja 1'!$R:$R, "&lt;"&amp;INT($CH$1+1)
)</f>
        <v>0</v>
      </c>
      <c r="CF115" s="1">
        <f t="shared" si="140"/>
        <v>0</v>
      </c>
      <c r="CG115" s="9">
        <f t="shared" si="141"/>
        <v>0</v>
      </c>
      <c r="CH115" s="10">
        <f t="shared" si="142"/>
        <v>0</v>
      </c>
      <c r="CI115" s="1">
        <f>SUMIFS(
  '[1]Hoja 1'!$M:$M,
  '[1]Hoja 1'!$S:$S, $A115,
  '[1]Hoja 1'!$R:$R, "&gt;="&amp;INT($CK$1),
  '[1]Hoja 1'!$R:$R, "&lt;"&amp;INT($CL$1+1)
)</f>
        <v>0</v>
      </c>
      <c r="CJ115" s="1">
        <f t="shared" si="143"/>
        <v>0</v>
      </c>
      <c r="CK115" s="9">
        <f t="shared" si="144"/>
        <v>0</v>
      </c>
      <c r="CL115" s="10">
        <f t="shared" si="145"/>
        <v>0</v>
      </c>
      <c r="CM115" s="1">
        <f>SUMIFS(
  '[1]Hoja 1'!$M:$M,
  '[1]Hoja 1'!$S:$S, $A115,
  '[1]Hoja 1'!$R:$R, "&gt;="&amp;INT($CO$1),
  '[1]Hoja 1'!$R:$R, "&lt;"&amp;INT($CP$1+1)
)</f>
        <v>0</v>
      </c>
      <c r="CN115" s="1">
        <f t="shared" si="146"/>
        <v>0</v>
      </c>
      <c r="CO115" s="9">
        <f t="shared" si="147"/>
        <v>0</v>
      </c>
      <c r="CP115" s="10">
        <f t="shared" si="148"/>
        <v>0</v>
      </c>
      <c r="CQ115" s="1">
        <f>SUMIFS(
  '[1]Hoja 1'!$M:$M,
  '[1]Hoja 1'!$S:$S, $A115,
  '[1]Hoja 1'!$R:$R, "&gt;="&amp;INT($CS$1),
  '[1]Hoja 1'!$R:$R, "&lt;"&amp;INT($CT$1+1)
)</f>
        <v>0</v>
      </c>
      <c r="CR115" s="1">
        <f t="shared" si="149"/>
        <v>0</v>
      </c>
      <c r="CS115" s="9">
        <f t="shared" si="150"/>
        <v>0</v>
      </c>
      <c r="CT115" s="10">
        <f t="shared" si="151"/>
        <v>0</v>
      </c>
      <c r="CU115" s="1">
        <f>SUMIFS(
  '[1]Hoja 1'!$M:$M,
  '[1]Hoja 1'!$S:$S, $A115,
  '[1]Hoja 1'!$R:$R, "&gt;="&amp;INT($CW$1),
  '[1]Hoja 1'!$R:$R, "&lt;"&amp;INT($CX$1+1)
)</f>
        <v>0</v>
      </c>
      <c r="CV115" s="1">
        <f t="shared" si="152"/>
        <v>0</v>
      </c>
      <c r="CW115" s="9">
        <f t="shared" si="153"/>
        <v>0</v>
      </c>
      <c r="CX115" s="10">
        <f t="shared" si="154"/>
        <v>0</v>
      </c>
      <c r="CY115" s="1">
        <f>SUMIFS(
  '[1]Hoja 1'!$M:$M,
  '[1]Hoja 1'!$S:$S, $A115,
  '[1]Hoja 1'!$R:$R, "&gt;="&amp;INT($DA$1),
  '[1]Hoja 1'!$R:$R, "&lt;"&amp;INT($DB$1+1)
)</f>
        <v>0</v>
      </c>
      <c r="CZ115" s="1">
        <f t="shared" si="155"/>
        <v>0</v>
      </c>
      <c r="DA115" s="9">
        <f t="shared" si="156"/>
        <v>0</v>
      </c>
      <c r="DB115" s="10">
        <f t="shared" si="157"/>
        <v>0</v>
      </c>
      <c r="DC115" s="1">
        <f>SUMIFS(
  '[1]Hoja 1'!$M:$M,
  '[1]Hoja 1'!$S:$S, $A115,
  '[1]Hoja 1'!$R:$R, "&gt;="&amp;INT($DE$1),
  '[1]Hoja 1'!$R:$R, "&lt;"&amp;INT($DF$1+1)
)</f>
        <v>0</v>
      </c>
      <c r="DD115" s="1">
        <f t="shared" si="158"/>
        <v>0</v>
      </c>
      <c r="DE115" s="9">
        <f t="shared" si="159"/>
        <v>0</v>
      </c>
      <c r="DF115" s="10">
        <f t="shared" si="160"/>
        <v>0</v>
      </c>
      <c r="DG115" s="1">
        <f>SUMIFS(
  '[1]Hoja 1'!$M:$M,
  '[1]Hoja 1'!$S:$S, $A115,
  '[1]Hoja 1'!$R:$R, "&gt;="&amp;INT($DI$1),
  '[1]Hoja 1'!$R:$R, "&lt;"&amp;INT($DJ$1+1)
)</f>
        <v>0</v>
      </c>
      <c r="DH115" s="1">
        <f t="shared" si="161"/>
        <v>0</v>
      </c>
      <c r="DI115" s="9">
        <f t="shared" si="162"/>
        <v>0</v>
      </c>
      <c r="DJ115" s="10">
        <f t="shared" si="163"/>
        <v>0</v>
      </c>
      <c r="DK115" s="1">
        <f>SUMIFS(
  '[1]Hoja 1'!$M:$M,
  '[1]Hoja 1'!$S:$S, $A115,
  '[1]Hoja 1'!$R:$R, "&gt;="&amp;INT($DM$1),
  '[1]Hoja 1'!$R:$R, "&lt;"&amp;INT($DN$1+1)
)</f>
        <v>0</v>
      </c>
      <c r="DL115" s="1">
        <f t="shared" si="164"/>
        <v>0</v>
      </c>
      <c r="DM115" s="9">
        <f t="shared" si="165"/>
        <v>0</v>
      </c>
      <c r="DN115" s="10">
        <f t="shared" si="166"/>
        <v>0</v>
      </c>
      <c r="DO115" s="1">
        <f>SUMIFS(
  '[1]Hoja 1'!$M:$M,
  '[1]Hoja 1'!$S:$S, $A115,
  '[1]Hoja 1'!$R:$R, "&gt;="&amp;INT($DQ$1),
  '[1]Hoja 1'!$R:$R, "&lt;"&amp;INT($DR$1+1)
)</f>
        <v>0</v>
      </c>
      <c r="DP115" s="1">
        <f t="shared" si="167"/>
        <v>0</v>
      </c>
      <c r="DQ115" s="9">
        <f t="shared" si="168"/>
        <v>0</v>
      </c>
      <c r="DR115" s="10">
        <f t="shared" si="169"/>
        <v>0</v>
      </c>
    </row>
    <row r="116" spans="1:122" x14ac:dyDescent="0.25">
      <c r="A116" s="5">
        <v>218002</v>
      </c>
      <c r="B116" s="6" t="s">
        <v>115</v>
      </c>
      <c r="C116" s="1">
        <f>SUMIFS(
  '[1]Hoja 1'!$M:$M,
  '[1]Hoja 1'!$S:$S, $A116,
  '[1]Hoja 1'!$R:$R, "&gt;="&amp;INT($E$1),
  '[1]Hoja 1'!$R:$R, "&lt;"&amp;INT($F$1+1)
)</f>
        <v>0</v>
      </c>
      <c r="D116" s="1" t="str">
        <f>""</f>
        <v/>
      </c>
      <c r="F116" s="2"/>
      <c r="G116" s="1">
        <f>SUMIFS(
  '[1]Hoja 1'!$M:$M,
  '[1]Hoja 1'!$S:$S, $A116,
  '[1]Hoja 1'!$R:$R, "&gt;="&amp;INT($I$1),
  '[1]Hoja 1'!$R:$R, "&lt;"&amp;INT($J$1+1)
)</f>
        <v>0</v>
      </c>
      <c r="H116" s="1">
        <f t="shared" si="85"/>
        <v>0</v>
      </c>
      <c r="I116" s="1"/>
      <c r="J116" s="2"/>
      <c r="K116" s="1">
        <f>SUMIFS(
  '[1]Hoja 1'!$M:$M,
  '[1]Hoja 1'!$S:$S, $A116,
  '[1]Hoja 1'!$R:$R, "&gt;="&amp;INT($M$1),
  '[1]Hoja 1'!$R:$R, "&lt;"&amp;INT($N$1+1)
)</f>
        <v>0</v>
      </c>
      <c r="L116" s="1">
        <f t="shared" si="86"/>
        <v>0</v>
      </c>
      <c r="M116" s="9">
        <f t="shared" si="87"/>
        <v>0</v>
      </c>
      <c r="N116" s="10">
        <f t="shared" si="88"/>
        <v>0</v>
      </c>
      <c r="O116" s="1">
        <f>SUMIFS(
  '[1]Hoja 1'!$M:$M,
  '[1]Hoja 1'!$S:$S, $A116,
  '[1]Hoja 1'!$R:$R, "&gt;="&amp;INT($Q$1),
  '[1]Hoja 1'!$R:$R, "&lt;"&amp;INT($R$1+1)
)</f>
        <v>0</v>
      </c>
      <c r="P116" s="1">
        <f t="shared" si="89"/>
        <v>0</v>
      </c>
      <c r="Q116" s="9">
        <f t="shared" si="90"/>
        <v>0</v>
      </c>
      <c r="R116" s="10">
        <f t="shared" si="91"/>
        <v>0</v>
      </c>
      <c r="S116" s="1">
        <f>SUMIFS(
  '[1]Hoja 1'!$M:$M,
  '[1]Hoja 1'!$S:$S, $A116,
  '[1]Hoja 1'!$R:$R, "&gt;="&amp;INT($U$1),
  '[1]Hoja 1'!$R:$R, "&lt;"&amp;INT($V$1+1)
)</f>
        <v>0</v>
      </c>
      <c r="T116" s="1">
        <f t="shared" si="92"/>
        <v>0</v>
      </c>
      <c r="U116" s="9">
        <f t="shared" si="93"/>
        <v>0</v>
      </c>
      <c r="V116" s="10">
        <f t="shared" si="94"/>
        <v>0</v>
      </c>
      <c r="W116" s="1">
        <f>SUMIFS(
  '[1]Hoja 1'!$M:$M,
  '[1]Hoja 1'!$S:$S, $A116,
  '[1]Hoja 1'!$R:$R, "&gt;="&amp;INT($Y$1),
  '[1]Hoja 1'!$R:$R, "&lt;"&amp;INT($Z$1+1)
)</f>
        <v>0</v>
      </c>
      <c r="X116" s="1">
        <f t="shared" si="95"/>
        <v>0</v>
      </c>
      <c r="Y116" s="9">
        <f t="shared" si="96"/>
        <v>0</v>
      </c>
      <c r="Z116" s="10">
        <f t="shared" si="97"/>
        <v>0</v>
      </c>
      <c r="AA116" s="1">
        <f>SUMIFS(
  '[1]Hoja 1'!$M:$M,
  '[1]Hoja 1'!$S:$S, $A116,
  '[1]Hoja 1'!$R:$R, "&gt;="&amp;INT($AC$1),
  '[1]Hoja 1'!$R:$R, "&lt;"&amp;INT($AD$1+1)
)</f>
        <v>0</v>
      </c>
      <c r="AB116" s="1">
        <f t="shared" si="98"/>
        <v>0</v>
      </c>
      <c r="AC116" s="9">
        <f t="shared" si="99"/>
        <v>0</v>
      </c>
      <c r="AD116" s="10">
        <f t="shared" si="100"/>
        <v>0</v>
      </c>
      <c r="AE116" s="1">
        <f>SUMIFS(
  '[1]Hoja 1'!$M:$M,
  '[1]Hoja 1'!$S:$S, $A116,
  '[1]Hoja 1'!$R:$R, "&gt;="&amp;INT($AG$1),
  '[1]Hoja 1'!$R:$R, "&lt;"&amp;INT($AH$1+1)
)</f>
        <v>0</v>
      </c>
      <c r="AF116" s="1">
        <f t="shared" si="101"/>
        <v>0</v>
      </c>
      <c r="AG116" s="9">
        <f t="shared" si="102"/>
        <v>0</v>
      </c>
      <c r="AH116" s="10">
        <f t="shared" si="103"/>
        <v>0</v>
      </c>
      <c r="AI116" s="1">
        <f>SUMIFS(
  '[1]Hoja 1'!$M:$M,
  '[1]Hoja 1'!$S:$S, $A116,
  '[1]Hoja 1'!$R:$R, "&gt;="&amp;INT($AK$1),
  '[1]Hoja 1'!$R:$R, "&lt;"&amp;INT($AL$1+1)
)</f>
        <v>0</v>
      </c>
      <c r="AJ116" s="1">
        <f t="shared" si="104"/>
        <v>0</v>
      </c>
      <c r="AK116" s="9">
        <f t="shared" si="105"/>
        <v>0</v>
      </c>
      <c r="AL116" s="10">
        <f t="shared" si="106"/>
        <v>0</v>
      </c>
      <c r="AM116" s="1">
        <f>SUMIFS(
  '[1]Hoja 1'!$M:$M,
  '[1]Hoja 1'!$S:$S, $A116,
  '[1]Hoja 1'!$R:$R, "&gt;="&amp;INT($AO$1),
  '[1]Hoja 1'!$R:$R, "&lt;"&amp;INT($AP$1+1)
)</f>
        <v>0</v>
      </c>
      <c r="AN116" s="1">
        <f t="shared" si="107"/>
        <v>0</v>
      </c>
      <c r="AO116" s="9">
        <f t="shared" si="108"/>
        <v>0</v>
      </c>
      <c r="AP116" s="10">
        <f t="shared" si="109"/>
        <v>0</v>
      </c>
      <c r="AQ116" s="1">
        <f>SUMIFS(
  '[1]Hoja 1'!$M:$M,
  '[1]Hoja 1'!$S:$S, $A116,
  '[1]Hoja 1'!$R:$R, "&gt;="&amp;INT($AS$1),
  '[1]Hoja 1'!$R:$R, "&lt;"&amp;INT($AT$1+1)
)</f>
        <v>0</v>
      </c>
      <c r="AR116" s="1">
        <f t="shared" si="110"/>
        <v>0</v>
      </c>
      <c r="AS116" s="9">
        <f t="shared" si="111"/>
        <v>0</v>
      </c>
      <c r="AT116" s="10">
        <f t="shared" si="112"/>
        <v>0</v>
      </c>
      <c r="AU116" s="1">
        <f>SUMIFS(
  '[1]Hoja 1'!$M:$M,
  '[1]Hoja 1'!$S:$S, $A116,
  '[1]Hoja 1'!$R:$R, "&gt;="&amp;INT($AW$1),
  '[1]Hoja 1'!$R:$R, "&lt;"&amp;INT($AX$1+1)
)</f>
        <v>0</v>
      </c>
      <c r="AV116" s="1">
        <f t="shared" si="113"/>
        <v>0</v>
      </c>
      <c r="AW116" s="9">
        <f t="shared" si="114"/>
        <v>0</v>
      </c>
      <c r="AX116" s="10">
        <f t="shared" si="115"/>
        <v>0</v>
      </c>
      <c r="AY116" s="1">
        <f>SUMIFS(
  '[1]Hoja 1'!$M:$M,
  '[1]Hoja 1'!$S:$S, $A116,
  '[1]Hoja 1'!$R:$R, "&gt;="&amp;INT($BA$1),
  '[1]Hoja 1'!$R:$R, "&lt;"&amp;INT($BB$1+1)
)</f>
        <v>0</v>
      </c>
      <c r="AZ116" s="1">
        <f t="shared" si="116"/>
        <v>0</v>
      </c>
      <c r="BA116" s="9">
        <f t="shared" si="117"/>
        <v>0</v>
      </c>
      <c r="BB116" s="10">
        <f t="shared" si="118"/>
        <v>0</v>
      </c>
      <c r="BC116" s="1">
        <f>SUMIFS(
  '[1]Hoja 1'!$M:$M,
  '[1]Hoja 1'!$S:$S, $A116,
  '[1]Hoja 1'!$R:$R, "&gt;="&amp;INT($BE$1),
  '[1]Hoja 1'!$R:$R, "&lt;"&amp;INT($BF$1+1)
)</f>
        <v>0</v>
      </c>
      <c r="BD116" s="1">
        <f t="shared" si="119"/>
        <v>0</v>
      </c>
      <c r="BE116" s="9">
        <f t="shared" si="120"/>
        <v>0</v>
      </c>
      <c r="BF116" s="10">
        <f t="shared" si="121"/>
        <v>0</v>
      </c>
      <c r="BG116" s="1">
        <f>SUMIFS(
  '[1]Hoja 1'!$M:$M,
  '[1]Hoja 1'!$S:$S, $A116,
  '[1]Hoja 1'!$R:$R, "&gt;="&amp;INT($BI$1),
  '[1]Hoja 1'!$R:$R, "&lt;"&amp;INT($BJ$1+1)
)</f>
        <v>0</v>
      </c>
      <c r="BH116" s="1">
        <f t="shared" si="122"/>
        <v>0</v>
      </c>
      <c r="BI116" s="9">
        <f t="shared" si="123"/>
        <v>0</v>
      </c>
      <c r="BJ116" s="10">
        <f t="shared" si="124"/>
        <v>0</v>
      </c>
      <c r="BK116" s="1">
        <f>SUMIFS(
  '[1]Hoja 1'!$M:$M,
  '[1]Hoja 1'!$S:$S, $A116,
  '[1]Hoja 1'!$R:$R, "&gt;="&amp;INT($BM$1),
  '[1]Hoja 1'!$R:$R, "&lt;"&amp;INT($BN$1+1)
)</f>
        <v>0</v>
      </c>
      <c r="BL116" s="1">
        <f t="shared" si="125"/>
        <v>0</v>
      </c>
      <c r="BM116" s="9">
        <f t="shared" si="126"/>
        <v>0</v>
      </c>
      <c r="BN116" s="10">
        <f t="shared" si="127"/>
        <v>0</v>
      </c>
      <c r="BO116" s="1">
        <f>SUMIFS(
  '[1]Hoja 1'!$M:$M,
  '[1]Hoja 1'!$S:$S, $A116,
  '[1]Hoja 1'!$R:$R, "&gt;="&amp;INT($BQ$1),
  '[1]Hoja 1'!$R:$R, "&lt;"&amp;INT($BR$1+1)
)</f>
        <v>0</v>
      </c>
      <c r="BP116" s="1">
        <f t="shared" si="128"/>
        <v>0</v>
      </c>
      <c r="BQ116" s="9">
        <f t="shared" si="129"/>
        <v>0</v>
      </c>
      <c r="BR116" s="10">
        <f t="shared" si="130"/>
        <v>0</v>
      </c>
      <c r="BS116" s="1">
        <f>SUMIFS(
  '[1]Hoja 1'!$M:$M,
  '[1]Hoja 1'!$S:$S, $A116,
  '[1]Hoja 1'!$R:$R, "&gt;="&amp;INT($BU$1),
  '[1]Hoja 1'!$R:$R, "&lt;"&amp;INT($BV$1+1)
)</f>
        <v>0</v>
      </c>
      <c r="BT116" s="1">
        <f t="shared" si="131"/>
        <v>0</v>
      </c>
      <c r="BU116" s="9">
        <f t="shared" si="132"/>
        <v>0</v>
      </c>
      <c r="BV116" s="10">
        <f t="shared" si="133"/>
        <v>0</v>
      </c>
      <c r="BW116" s="1">
        <f>SUMIFS(
  '[1]Hoja 1'!$M:$M,
  '[1]Hoja 1'!$S:$S, $A116,
  '[1]Hoja 1'!$R:$R, "&gt;="&amp;INT($BY$1),
  '[1]Hoja 1'!$R:$R, "&lt;"&amp;INT($BZ$1+1)
)</f>
        <v>0</v>
      </c>
      <c r="BX116" s="1">
        <f t="shared" si="134"/>
        <v>0</v>
      </c>
      <c r="BY116" s="9">
        <f t="shared" si="135"/>
        <v>0</v>
      </c>
      <c r="BZ116" s="10">
        <f t="shared" si="136"/>
        <v>0</v>
      </c>
      <c r="CA116" s="1">
        <f>SUMIFS(
  '[1]Hoja 1'!$M:$M,
  '[1]Hoja 1'!$S:$S, $A116,
  '[1]Hoja 1'!$R:$R, "&gt;="&amp;INT($CC$1),
  '[1]Hoja 1'!$R:$R, "&lt;"&amp;INT($CD$1+1)
)</f>
        <v>0</v>
      </c>
      <c r="CB116" s="1">
        <f t="shared" si="137"/>
        <v>0</v>
      </c>
      <c r="CC116" s="9">
        <f t="shared" si="138"/>
        <v>0</v>
      </c>
      <c r="CD116" s="10">
        <f t="shared" si="139"/>
        <v>0</v>
      </c>
      <c r="CE116" s="1">
        <f>SUMIFS(
  '[1]Hoja 1'!$M:$M,
  '[1]Hoja 1'!$S:$S, $A116,
  '[1]Hoja 1'!$R:$R, "&gt;="&amp;INT($CG$1),
  '[1]Hoja 1'!$R:$R, "&lt;"&amp;INT($CH$1+1)
)</f>
        <v>0</v>
      </c>
      <c r="CF116" s="1">
        <f t="shared" si="140"/>
        <v>0</v>
      </c>
      <c r="CG116" s="9">
        <f t="shared" si="141"/>
        <v>0</v>
      </c>
      <c r="CH116" s="10">
        <f t="shared" si="142"/>
        <v>0</v>
      </c>
      <c r="CI116" s="1">
        <f>SUMIFS(
  '[1]Hoja 1'!$M:$M,
  '[1]Hoja 1'!$S:$S, $A116,
  '[1]Hoja 1'!$R:$R, "&gt;="&amp;INT($CK$1),
  '[1]Hoja 1'!$R:$R, "&lt;"&amp;INT($CL$1+1)
)</f>
        <v>0</v>
      </c>
      <c r="CJ116" s="1">
        <f t="shared" si="143"/>
        <v>0</v>
      </c>
      <c r="CK116" s="9">
        <f t="shared" si="144"/>
        <v>0</v>
      </c>
      <c r="CL116" s="10">
        <f t="shared" si="145"/>
        <v>0</v>
      </c>
      <c r="CM116" s="1">
        <f>SUMIFS(
  '[1]Hoja 1'!$M:$M,
  '[1]Hoja 1'!$S:$S, $A116,
  '[1]Hoja 1'!$R:$R, "&gt;="&amp;INT($CO$1),
  '[1]Hoja 1'!$R:$R, "&lt;"&amp;INT($CP$1+1)
)</f>
        <v>0</v>
      </c>
      <c r="CN116" s="1">
        <f t="shared" si="146"/>
        <v>0</v>
      </c>
      <c r="CO116" s="9">
        <f t="shared" si="147"/>
        <v>0</v>
      </c>
      <c r="CP116" s="10">
        <f t="shared" si="148"/>
        <v>0</v>
      </c>
      <c r="CQ116" s="1">
        <f>SUMIFS(
  '[1]Hoja 1'!$M:$M,
  '[1]Hoja 1'!$S:$S, $A116,
  '[1]Hoja 1'!$R:$R, "&gt;="&amp;INT($CS$1),
  '[1]Hoja 1'!$R:$R, "&lt;"&amp;INT($CT$1+1)
)</f>
        <v>0</v>
      </c>
      <c r="CR116" s="1">
        <f t="shared" si="149"/>
        <v>0</v>
      </c>
      <c r="CS116" s="9">
        <f t="shared" si="150"/>
        <v>0</v>
      </c>
      <c r="CT116" s="10">
        <f t="shared" si="151"/>
        <v>0</v>
      </c>
      <c r="CU116" s="1">
        <f>SUMIFS(
  '[1]Hoja 1'!$M:$M,
  '[1]Hoja 1'!$S:$S, $A116,
  '[1]Hoja 1'!$R:$R, "&gt;="&amp;INT($CW$1),
  '[1]Hoja 1'!$R:$R, "&lt;"&amp;INT($CX$1+1)
)</f>
        <v>0</v>
      </c>
      <c r="CV116" s="1">
        <f t="shared" si="152"/>
        <v>0</v>
      </c>
      <c r="CW116" s="9">
        <f t="shared" si="153"/>
        <v>0</v>
      </c>
      <c r="CX116" s="10">
        <f t="shared" si="154"/>
        <v>0</v>
      </c>
      <c r="CY116" s="1">
        <f>SUMIFS(
  '[1]Hoja 1'!$M:$M,
  '[1]Hoja 1'!$S:$S, $A116,
  '[1]Hoja 1'!$R:$R, "&gt;="&amp;INT($DA$1),
  '[1]Hoja 1'!$R:$R, "&lt;"&amp;INT($DB$1+1)
)</f>
        <v>0</v>
      </c>
      <c r="CZ116" s="1">
        <f t="shared" si="155"/>
        <v>0</v>
      </c>
      <c r="DA116" s="9">
        <f t="shared" si="156"/>
        <v>0</v>
      </c>
      <c r="DB116" s="10">
        <f t="shared" si="157"/>
        <v>0</v>
      </c>
      <c r="DC116" s="1">
        <f>SUMIFS(
  '[1]Hoja 1'!$M:$M,
  '[1]Hoja 1'!$S:$S, $A116,
  '[1]Hoja 1'!$R:$R, "&gt;="&amp;INT($DE$1),
  '[1]Hoja 1'!$R:$R, "&lt;"&amp;INT($DF$1+1)
)</f>
        <v>0</v>
      </c>
      <c r="DD116" s="1">
        <f t="shared" si="158"/>
        <v>0</v>
      </c>
      <c r="DE116" s="9">
        <f t="shared" si="159"/>
        <v>0</v>
      </c>
      <c r="DF116" s="10">
        <f t="shared" si="160"/>
        <v>0</v>
      </c>
      <c r="DG116" s="1">
        <f>SUMIFS(
  '[1]Hoja 1'!$M:$M,
  '[1]Hoja 1'!$S:$S, $A116,
  '[1]Hoja 1'!$R:$R, "&gt;="&amp;INT($DI$1),
  '[1]Hoja 1'!$R:$R, "&lt;"&amp;INT($DJ$1+1)
)</f>
        <v>0</v>
      </c>
      <c r="DH116" s="1">
        <f t="shared" si="161"/>
        <v>0</v>
      </c>
      <c r="DI116" s="9">
        <f t="shared" si="162"/>
        <v>0</v>
      </c>
      <c r="DJ116" s="10">
        <f t="shared" si="163"/>
        <v>0</v>
      </c>
      <c r="DK116" s="1">
        <f>SUMIFS(
  '[1]Hoja 1'!$M:$M,
  '[1]Hoja 1'!$S:$S, $A116,
  '[1]Hoja 1'!$R:$R, "&gt;="&amp;INT($DM$1),
  '[1]Hoja 1'!$R:$R, "&lt;"&amp;INT($DN$1+1)
)</f>
        <v>0</v>
      </c>
      <c r="DL116" s="1">
        <f t="shared" si="164"/>
        <v>0</v>
      </c>
      <c r="DM116" s="9">
        <f t="shared" si="165"/>
        <v>0</v>
      </c>
      <c r="DN116" s="10">
        <f t="shared" si="166"/>
        <v>0</v>
      </c>
      <c r="DO116" s="1">
        <f>SUMIFS(
  '[1]Hoja 1'!$M:$M,
  '[1]Hoja 1'!$S:$S, $A116,
  '[1]Hoja 1'!$R:$R, "&gt;="&amp;INT($DQ$1),
  '[1]Hoja 1'!$R:$R, "&lt;"&amp;INT($DR$1+1)
)</f>
        <v>0</v>
      </c>
      <c r="DP116" s="1">
        <f t="shared" si="167"/>
        <v>0</v>
      </c>
      <c r="DQ116" s="9">
        <f t="shared" si="168"/>
        <v>0</v>
      </c>
      <c r="DR116" s="10">
        <f t="shared" si="169"/>
        <v>0</v>
      </c>
    </row>
    <row r="117" spans="1:122" x14ac:dyDescent="0.25">
      <c r="A117" s="5">
        <v>218003</v>
      </c>
      <c r="B117" s="6" t="s">
        <v>116</v>
      </c>
      <c r="C117" s="1">
        <f>SUMIFS(
  '[1]Hoja 1'!$M:$M,
  '[1]Hoja 1'!$S:$S, $A117,
  '[1]Hoja 1'!$R:$R, "&gt;="&amp;INT($E$1),
  '[1]Hoja 1'!$R:$R, "&lt;"&amp;INT($F$1+1)
)</f>
        <v>0</v>
      </c>
      <c r="D117" s="1" t="str">
        <f>""</f>
        <v/>
      </c>
      <c r="F117" s="2"/>
      <c r="G117" s="1">
        <f>SUMIFS(
  '[1]Hoja 1'!$M:$M,
  '[1]Hoja 1'!$S:$S, $A117,
  '[1]Hoja 1'!$R:$R, "&gt;="&amp;INT($I$1),
  '[1]Hoja 1'!$R:$R, "&lt;"&amp;INT($J$1+1)
)</f>
        <v>0</v>
      </c>
      <c r="H117" s="1">
        <f t="shared" si="85"/>
        <v>0</v>
      </c>
      <c r="I117" s="1"/>
      <c r="J117" s="2"/>
      <c r="K117" s="1">
        <f>SUMIFS(
  '[1]Hoja 1'!$M:$M,
  '[1]Hoja 1'!$S:$S, $A117,
  '[1]Hoja 1'!$R:$R, "&gt;="&amp;INT($M$1),
  '[1]Hoja 1'!$R:$R, "&lt;"&amp;INT($N$1+1)
)</f>
        <v>0</v>
      </c>
      <c r="L117" s="1">
        <f t="shared" si="86"/>
        <v>0</v>
      </c>
      <c r="M117" s="9">
        <f t="shared" si="87"/>
        <v>0</v>
      </c>
      <c r="N117" s="10">
        <f t="shared" si="88"/>
        <v>0</v>
      </c>
      <c r="O117" s="1">
        <f>SUMIFS(
  '[1]Hoja 1'!$M:$M,
  '[1]Hoja 1'!$S:$S, $A117,
  '[1]Hoja 1'!$R:$R, "&gt;="&amp;INT($Q$1),
  '[1]Hoja 1'!$R:$R, "&lt;"&amp;INT($R$1+1)
)</f>
        <v>2</v>
      </c>
      <c r="P117" s="1">
        <f t="shared" si="89"/>
        <v>1</v>
      </c>
      <c r="Q117" s="9">
        <f t="shared" si="90"/>
        <v>-1.1316065276116667</v>
      </c>
      <c r="R117" s="10">
        <f t="shared" si="91"/>
        <v>1.1316065276116667</v>
      </c>
      <c r="S117" s="1">
        <f>SUMIFS(
  '[1]Hoja 1'!$M:$M,
  '[1]Hoja 1'!$S:$S, $A117,
  '[1]Hoja 1'!$R:$R, "&gt;="&amp;INT($U$1),
  '[1]Hoja 1'!$R:$R, "&lt;"&amp;INT($V$1+1)
)</f>
        <v>0</v>
      </c>
      <c r="T117" s="1">
        <f t="shared" si="92"/>
        <v>1</v>
      </c>
      <c r="U117" s="9">
        <f t="shared" si="93"/>
        <v>-0.60033329861834295</v>
      </c>
      <c r="V117" s="10">
        <f t="shared" si="94"/>
        <v>2.6003332986183429</v>
      </c>
      <c r="W117" s="1">
        <f>SUMIFS(
  '[1]Hoja 1'!$M:$M,
  '[1]Hoja 1'!$S:$S, $A117,
  '[1]Hoja 1'!$R:$R, "&gt;="&amp;INT($Y$1),
  '[1]Hoja 1'!$R:$R, "&lt;"&amp;INT($Z$1+1)
)</f>
        <v>1</v>
      </c>
      <c r="X117" s="1">
        <f t="shared" si="95"/>
        <v>1</v>
      </c>
      <c r="Y117" s="9">
        <f t="shared" si="96"/>
        <v>-0.67366862510673431</v>
      </c>
      <c r="Z117" s="10">
        <f t="shared" si="97"/>
        <v>2.6736686251067345</v>
      </c>
      <c r="AA117" s="1">
        <f>SUMIFS(
  '[1]Hoja 1'!$M:$M,
  '[1]Hoja 1'!$S:$S, $A117,
  '[1]Hoja 1'!$R:$R, "&gt;="&amp;INT($AC$1),
  '[1]Hoja 1'!$R:$R, "&lt;"&amp;INT($AD$1+1)
)</f>
        <v>0</v>
      </c>
      <c r="AB117" s="1">
        <f t="shared" si="98"/>
        <v>1</v>
      </c>
      <c r="AC117" s="9">
        <f t="shared" si="99"/>
        <v>-0.54951605348250587</v>
      </c>
      <c r="AD117" s="10">
        <f t="shared" si="100"/>
        <v>2.7892270211835424</v>
      </c>
      <c r="AE117" s="1">
        <f>SUMIFS(
  '[1]Hoja 1'!$M:$M,
  '[1]Hoja 1'!$S:$S, $A117,
  '[1]Hoja 1'!$R:$R, "&gt;="&amp;INT($AG$1),
  '[1]Hoja 1'!$R:$R, "&lt;"&amp;INT($AH$1+1)
)</f>
        <v>0</v>
      </c>
      <c r="AF117" s="1">
        <f t="shared" si="101"/>
        <v>0</v>
      </c>
      <c r="AG117" s="9">
        <f t="shared" si="102"/>
        <v>-1.1173719165971552</v>
      </c>
      <c r="AH117" s="10">
        <f t="shared" si="103"/>
        <v>1.2651745597610895</v>
      </c>
      <c r="AI117" s="1">
        <f>SUMIFS(
  '[1]Hoja 1'!$M:$M,
  '[1]Hoja 1'!$S:$S, $A117,
  '[1]Hoja 1'!$R:$R, "&gt;="&amp;INT($AK$1),
  '[1]Hoja 1'!$R:$R, "&lt;"&amp;INT($AL$1+1)
)</f>
        <v>0</v>
      </c>
      <c r="AJ117" s="1">
        <f t="shared" si="104"/>
        <v>0</v>
      </c>
      <c r="AK117" s="9">
        <f t="shared" si="105"/>
        <v>-0.69296464556281656</v>
      </c>
      <c r="AL117" s="10">
        <f t="shared" si="106"/>
        <v>0.80016664930917147</v>
      </c>
      <c r="AM117" s="1">
        <f>SUMIFS(
  '[1]Hoja 1'!$M:$M,
  '[1]Hoja 1'!$S:$S, $A117,
  '[1]Hoja 1'!$R:$R, "&gt;="&amp;INT($AO$1),
  '[1]Hoja 1'!$R:$R, "&lt;"&amp;INT($AP$1+1)
)</f>
        <v>0</v>
      </c>
      <c r="AN117" s="1">
        <f t="shared" si="107"/>
        <v>0</v>
      </c>
      <c r="AO117" s="9">
        <f t="shared" si="108"/>
        <v>-0.43826932358995874</v>
      </c>
      <c r="AP117" s="10">
        <f t="shared" si="109"/>
        <v>0.49</v>
      </c>
      <c r="AQ117" s="1">
        <f>SUMIFS(
  '[1]Hoja 1'!$M:$M,
  '[1]Hoja 1'!$S:$S, $A117,
  '[1]Hoja 1'!$R:$R, "&gt;="&amp;INT($AS$1),
  '[1]Hoja 1'!$R:$R, "&lt;"&amp;INT($AT$1+1)
)</f>
        <v>0</v>
      </c>
      <c r="AR117" s="1">
        <f t="shared" si="110"/>
        <v>0</v>
      </c>
      <c r="AS117" s="9">
        <f t="shared" si="111"/>
        <v>0</v>
      </c>
      <c r="AT117" s="10">
        <f t="shared" si="112"/>
        <v>0</v>
      </c>
      <c r="AU117" s="1">
        <f>SUMIFS(
  '[1]Hoja 1'!$M:$M,
  '[1]Hoja 1'!$S:$S, $A117,
  '[1]Hoja 1'!$R:$R, "&gt;="&amp;INT($AW$1),
  '[1]Hoja 1'!$R:$R, "&lt;"&amp;INT($AX$1+1)
)</f>
        <v>0</v>
      </c>
      <c r="AV117" s="1">
        <f t="shared" si="113"/>
        <v>0</v>
      </c>
      <c r="AW117" s="9">
        <f t="shared" si="114"/>
        <v>0</v>
      </c>
      <c r="AX117" s="10">
        <f t="shared" si="115"/>
        <v>0</v>
      </c>
      <c r="AY117" s="1">
        <f>SUMIFS(
  '[1]Hoja 1'!$M:$M,
  '[1]Hoja 1'!$S:$S, $A117,
  '[1]Hoja 1'!$R:$R, "&gt;="&amp;INT($BA$1),
  '[1]Hoja 1'!$R:$R, "&lt;"&amp;INT($BB$1+1)
)</f>
        <v>0</v>
      </c>
      <c r="AZ117" s="1">
        <f t="shared" si="116"/>
        <v>0</v>
      </c>
      <c r="BA117" s="9">
        <f t="shared" si="117"/>
        <v>0</v>
      </c>
      <c r="BB117" s="10">
        <f t="shared" si="118"/>
        <v>0</v>
      </c>
      <c r="BC117" s="1">
        <f>SUMIFS(
  '[1]Hoja 1'!$M:$M,
  '[1]Hoja 1'!$S:$S, $A117,
  '[1]Hoja 1'!$R:$R, "&gt;="&amp;INT($BE$1),
  '[1]Hoja 1'!$R:$R, "&lt;"&amp;INT($BF$1+1)
)</f>
        <v>0</v>
      </c>
      <c r="BD117" s="1">
        <f t="shared" si="119"/>
        <v>0</v>
      </c>
      <c r="BE117" s="9">
        <f t="shared" si="120"/>
        <v>0</v>
      </c>
      <c r="BF117" s="10">
        <f t="shared" si="121"/>
        <v>0</v>
      </c>
      <c r="BG117" s="1">
        <f>SUMIFS(
  '[1]Hoja 1'!$M:$M,
  '[1]Hoja 1'!$S:$S, $A117,
  '[1]Hoja 1'!$R:$R, "&gt;="&amp;INT($BI$1),
  '[1]Hoja 1'!$R:$R, "&lt;"&amp;INT($BJ$1+1)
)</f>
        <v>0</v>
      </c>
      <c r="BH117" s="1">
        <f t="shared" si="122"/>
        <v>0</v>
      </c>
      <c r="BI117" s="9">
        <f t="shared" si="123"/>
        <v>0</v>
      </c>
      <c r="BJ117" s="10">
        <f t="shared" si="124"/>
        <v>0</v>
      </c>
      <c r="BK117" s="1">
        <f>SUMIFS(
  '[1]Hoja 1'!$M:$M,
  '[1]Hoja 1'!$S:$S, $A117,
  '[1]Hoja 1'!$R:$R, "&gt;="&amp;INT($BM$1),
  '[1]Hoja 1'!$R:$R, "&lt;"&amp;INT($BN$1+1)
)</f>
        <v>0</v>
      </c>
      <c r="BL117" s="1">
        <f t="shared" si="125"/>
        <v>0</v>
      </c>
      <c r="BM117" s="9">
        <f t="shared" si="126"/>
        <v>0</v>
      </c>
      <c r="BN117" s="10">
        <f t="shared" si="127"/>
        <v>0</v>
      </c>
      <c r="BO117" s="1">
        <f>SUMIFS(
  '[1]Hoja 1'!$M:$M,
  '[1]Hoja 1'!$S:$S, $A117,
  '[1]Hoja 1'!$R:$R, "&gt;="&amp;INT($BQ$1),
  '[1]Hoja 1'!$R:$R, "&lt;"&amp;INT($BR$1+1)
)</f>
        <v>0</v>
      </c>
      <c r="BP117" s="1">
        <f t="shared" si="128"/>
        <v>0</v>
      </c>
      <c r="BQ117" s="9">
        <f t="shared" si="129"/>
        <v>0</v>
      </c>
      <c r="BR117" s="10">
        <f t="shared" si="130"/>
        <v>0</v>
      </c>
      <c r="BS117" s="1">
        <f>SUMIFS(
  '[1]Hoja 1'!$M:$M,
  '[1]Hoja 1'!$S:$S, $A117,
  '[1]Hoja 1'!$R:$R, "&gt;="&amp;INT($BU$1),
  '[1]Hoja 1'!$R:$R, "&lt;"&amp;INT($BV$1+1)
)</f>
        <v>0</v>
      </c>
      <c r="BT117" s="1">
        <f t="shared" si="131"/>
        <v>0</v>
      </c>
      <c r="BU117" s="9">
        <f t="shared" si="132"/>
        <v>0</v>
      </c>
      <c r="BV117" s="10">
        <f t="shared" si="133"/>
        <v>0</v>
      </c>
      <c r="BW117" s="1">
        <f>SUMIFS(
  '[1]Hoja 1'!$M:$M,
  '[1]Hoja 1'!$S:$S, $A117,
  '[1]Hoja 1'!$R:$R, "&gt;="&amp;INT($BY$1),
  '[1]Hoja 1'!$R:$R, "&lt;"&amp;INT($BZ$1+1)
)</f>
        <v>0</v>
      </c>
      <c r="BX117" s="1">
        <f t="shared" si="134"/>
        <v>0</v>
      </c>
      <c r="BY117" s="9">
        <f t="shared" si="135"/>
        <v>0</v>
      </c>
      <c r="BZ117" s="10">
        <f t="shared" si="136"/>
        <v>0</v>
      </c>
      <c r="CA117" s="1">
        <f>SUMIFS(
  '[1]Hoja 1'!$M:$M,
  '[1]Hoja 1'!$S:$S, $A117,
  '[1]Hoja 1'!$R:$R, "&gt;="&amp;INT($CC$1),
  '[1]Hoja 1'!$R:$R, "&lt;"&amp;INT($CD$1+1)
)</f>
        <v>0</v>
      </c>
      <c r="CB117" s="1">
        <f t="shared" si="137"/>
        <v>0</v>
      </c>
      <c r="CC117" s="9">
        <f t="shared" si="138"/>
        <v>0</v>
      </c>
      <c r="CD117" s="10">
        <f t="shared" si="139"/>
        <v>0</v>
      </c>
      <c r="CE117" s="1">
        <f>SUMIFS(
  '[1]Hoja 1'!$M:$M,
  '[1]Hoja 1'!$S:$S, $A117,
  '[1]Hoja 1'!$R:$R, "&gt;="&amp;INT($CG$1),
  '[1]Hoja 1'!$R:$R, "&lt;"&amp;INT($CH$1+1)
)</f>
        <v>0</v>
      </c>
      <c r="CF117" s="1">
        <f t="shared" si="140"/>
        <v>0</v>
      </c>
      <c r="CG117" s="9">
        <f t="shared" si="141"/>
        <v>0</v>
      </c>
      <c r="CH117" s="10">
        <f t="shared" si="142"/>
        <v>0</v>
      </c>
      <c r="CI117" s="1">
        <f>SUMIFS(
  '[1]Hoja 1'!$M:$M,
  '[1]Hoja 1'!$S:$S, $A117,
  '[1]Hoja 1'!$R:$R, "&gt;="&amp;INT($CK$1),
  '[1]Hoja 1'!$R:$R, "&lt;"&amp;INT($CL$1+1)
)</f>
        <v>0</v>
      </c>
      <c r="CJ117" s="1">
        <f t="shared" si="143"/>
        <v>0</v>
      </c>
      <c r="CK117" s="9">
        <f t="shared" si="144"/>
        <v>0</v>
      </c>
      <c r="CL117" s="10">
        <f t="shared" si="145"/>
        <v>0</v>
      </c>
      <c r="CM117" s="1">
        <f>SUMIFS(
  '[1]Hoja 1'!$M:$M,
  '[1]Hoja 1'!$S:$S, $A117,
  '[1]Hoja 1'!$R:$R, "&gt;="&amp;INT($CO$1),
  '[1]Hoja 1'!$R:$R, "&lt;"&amp;INT($CP$1+1)
)</f>
        <v>0</v>
      </c>
      <c r="CN117" s="1">
        <f t="shared" si="146"/>
        <v>0</v>
      </c>
      <c r="CO117" s="9">
        <f t="shared" si="147"/>
        <v>0</v>
      </c>
      <c r="CP117" s="10">
        <f t="shared" si="148"/>
        <v>0</v>
      </c>
      <c r="CQ117" s="1">
        <f>SUMIFS(
  '[1]Hoja 1'!$M:$M,
  '[1]Hoja 1'!$S:$S, $A117,
  '[1]Hoja 1'!$R:$R, "&gt;="&amp;INT($CS$1),
  '[1]Hoja 1'!$R:$R, "&lt;"&amp;INT($CT$1+1)
)</f>
        <v>0</v>
      </c>
      <c r="CR117" s="1">
        <f t="shared" si="149"/>
        <v>0</v>
      </c>
      <c r="CS117" s="9">
        <f t="shared" si="150"/>
        <v>0</v>
      </c>
      <c r="CT117" s="10">
        <f t="shared" si="151"/>
        <v>0</v>
      </c>
      <c r="CU117" s="1">
        <f>SUMIFS(
  '[1]Hoja 1'!$M:$M,
  '[1]Hoja 1'!$S:$S, $A117,
  '[1]Hoja 1'!$R:$R, "&gt;="&amp;INT($CW$1),
  '[1]Hoja 1'!$R:$R, "&lt;"&amp;INT($CX$1+1)
)</f>
        <v>0</v>
      </c>
      <c r="CV117" s="1">
        <f t="shared" si="152"/>
        <v>0</v>
      </c>
      <c r="CW117" s="9">
        <f t="shared" si="153"/>
        <v>0</v>
      </c>
      <c r="CX117" s="10">
        <f t="shared" si="154"/>
        <v>0</v>
      </c>
      <c r="CY117" s="1">
        <f>SUMIFS(
  '[1]Hoja 1'!$M:$M,
  '[1]Hoja 1'!$S:$S, $A117,
  '[1]Hoja 1'!$R:$R, "&gt;="&amp;INT($DA$1),
  '[1]Hoja 1'!$R:$R, "&lt;"&amp;INT($DB$1+1)
)</f>
        <v>0</v>
      </c>
      <c r="CZ117" s="1">
        <f t="shared" si="155"/>
        <v>0</v>
      </c>
      <c r="DA117" s="9">
        <f t="shared" si="156"/>
        <v>0</v>
      </c>
      <c r="DB117" s="10">
        <f t="shared" si="157"/>
        <v>0</v>
      </c>
      <c r="DC117" s="1">
        <f>SUMIFS(
  '[1]Hoja 1'!$M:$M,
  '[1]Hoja 1'!$S:$S, $A117,
  '[1]Hoja 1'!$R:$R, "&gt;="&amp;INT($DE$1),
  '[1]Hoja 1'!$R:$R, "&lt;"&amp;INT($DF$1+1)
)</f>
        <v>0</v>
      </c>
      <c r="DD117" s="1">
        <f t="shared" si="158"/>
        <v>0</v>
      </c>
      <c r="DE117" s="9">
        <f t="shared" si="159"/>
        <v>0</v>
      </c>
      <c r="DF117" s="10">
        <f t="shared" si="160"/>
        <v>0</v>
      </c>
      <c r="DG117" s="1">
        <f>SUMIFS(
  '[1]Hoja 1'!$M:$M,
  '[1]Hoja 1'!$S:$S, $A117,
  '[1]Hoja 1'!$R:$R, "&gt;="&amp;INT($DI$1),
  '[1]Hoja 1'!$R:$R, "&lt;"&amp;INT($DJ$1+1)
)</f>
        <v>0</v>
      </c>
      <c r="DH117" s="1">
        <f t="shared" si="161"/>
        <v>0</v>
      </c>
      <c r="DI117" s="9">
        <f t="shared" si="162"/>
        <v>0</v>
      </c>
      <c r="DJ117" s="10">
        <f t="shared" si="163"/>
        <v>0</v>
      </c>
      <c r="DK117" s="1">
        <f>SUMIFS(
  '[1]Hoja 1'!$M:$M,
  '[1]Hoja 1'!$S:$S, $A117,
  '[1]Hoja 1'!$R:$R, "&gt;="&amp;INT($DM$1),
  '[1]Hoja 1'!$R:$R, "&lt;"&amp;INT($DN$1+1)
)</f>
        <v>0</v>
      </c>
      <c r="DL117" s="1">
        <f t="shared" si="164"/>
        <v>0</v>
      </c>
      <c r="DM117" s="9">
        <f t="shared" si="165"/>
        <v>0</v>
      </c>
      <c r="DN117" s="10">
        <f t="shared" si="166"/>
        <v>0</v>
      </c>
      <c r="DO117" s="1">
        <f>SUMIFS(
  '[1]Hoja 1'!$M:$M,
  '[1]Hoja 1'!$S:$S, $A117,
  '[1]Hoja 1'!$R:$R, "&gt;="&amp;INT($DQ$1),
  '[1]Hoja 1'!$R:$R, "&lt;"&amp;INT($DR$1+1)
)</f>
        <v>0</v>
      </c>
      <c r="DP117" s="1">
        <f t="shared" si="167"/>
        <v>0</v>
      </c>
      <c r="DQ117" s="9">
        <f t="shared" si="168"/>
        <v>0</v>
      </c>
      <c r="DR117" s="10">
        <f t="shared" si="169"/>
        <v>0</v>
      </c>
    </row>
    <row r="118" spans="1:122" x14ac:dyDescent="0.25">
      <c r="A118" s="5">
        <v>218004</v>
      </c>
      <c r="B118" s="6" t="s">
        <v>117</v>
      </c>
      <c r="C118" s="1">
        <f>SUMIFS(
  '[1]Hoja 1'!$M:$M,
  '[1]Hoja 1'!$S:$S, $A118,
  '[1]Hoja 1'!$R:$R, "&gt;="&amp;INT($E$1),
  '[1]Hoja 1'!$R:$R, "&lt;"&amp;INT($F$1+1)
)</f>
        <v>0</v>
      </c>
      <c r="D118" s="1" t="str">
        <f>""</f>
        <v/>
      </c>
      <c r="F118" s="2"/>
      <c r="G118" s="1">
        <f>SUMIFS(
  '[1]Hoja 1'!$M:$M,
  '[1]Hoja 1'!$S:$S, $A118,
  '[1]Hoja 1'!$R:$R, "&gt;="&amp;INT($I$1),
  '[1]Hoja 1'!$R:$R, "&lt;"&amp;INT($J$1+1)
)</f>
        <v>0</v>
      </c>
      <c r="H118" s="1">
        <f t="shared" si="85"/>
        <v>0</v>
      </c>
      <c r="I118" s="1"/>
      <c r="J118" s="2"/>
      <c r="K118" s="1">
        <f>SUMIFS(
  '[1]Hoja 1'!$M:$M,
  '[1]Hoja 1'!$S:$S, $A118,
  '[1]Hoja 1'!$R:$R, "&gt;="&amp;INT($M$1),
  '[1]Hoja 1'!$R:$R, "&lt;"&amp;INT($N$1+1)
)</f>
        <v>0</v>
      </c>
      <c r="L118" s="1">
        <f t="shared" si="86"/>
        <v>0</v>
      </c>
      <c r="M118" s="9">
        <f t="shared" si="87"/>
        <v>0</v>
      </c>
      <c r="N118" s="10">
        <f t="shared" si="88"/>
        <v>0</v>
      </c>
      <c r="O118" s="1">
        <f>SUMIFS(
  '[1]Hoja 1'!$M:$M,
  '[1]Hoja 1'!$S:$S, $A118,
  '[1]Hoja 1'!$R:$R, "&gt;="&amp;INT($Q$1),
  '[1]Hoja 1'!$R:$R, "&lt;"&amp;INT($R$1+1)
)</f>
        <v>0</v>
      </c>
      <c r="P118" s="1">
        <f t="shared" si="89"/>
        <v>0</v>
      </c>
      <c r="Q118" s="9">
        <f t="shared" si="90"/>
        <v>0</v>
      </c>
      <c r="R118" s="10">
        <f t="shared" si="91"/>
        <v>0</v>
      </c>
      <c r="S118" s="1">
        <f>SUMIFS(
  '[1]Hoja 1'!$M:$M,
  '[1]Hoja 1'!$S:$S, $A118,
  '[1]Hoja 1'!$R:$R, "&gt;="&amp;INT($U$1),
  '[1]Hoja 1'!$R:$R, "&lt;"&amp;INT($V$1+1)
)</f>
        <v>0</v>
      </c>
      <c r="T118" s="1">
        <f t="shared" si="92"/>
        <v>0</v>
      </c>
      <c r="U118" s="9">
        <f t="shared" si="93"/>
        <v>0</v>
      </c>
      <c r="V118" s="10">
        <f t="shared" si="94"/>
        <v>0</v>
      </c>
      <c r="W118" s="1">
        <f>SUMIFS(
  '[1]Hoja 1'!$M:$M,
  '[1]Hoja 1'!$S:$S, $A118,
  '[1]Hoja 1'!$R:$R, "&gt;="&amp;INT($Y$1),
  '[1]Hoja 1'!$R:$R, "&lt;"&amp;INT($Z$1+1)
)</f>
        <v>0</v>
      </c>
      <c r="X118" s="1">
        <f t="shared" si="95"/>
        <v>0</v>
      </c>
      <c r="Y118" s="9">
        <f t="shared" si="96"/>
        <v>0</v>
      </c>
      <c r="Z118" s="10">
        <f t="shared" si="97"/>
        <v>0</v>
      </c>
      <c r="AA118" s="1">
        <f>SUMIFS(
  '[1]Hoja 1'!$M:$M,
  '[1]Hoja 1'!$S:$S, $A118,
  '[1]Hoja 1'!$R:$R, "&gt;="&amp;INT($AC$1),
  '[1]Hoja 1'!$R:$R, "&lt;"&amp;INT($AD$1+1)
)</f>
        <v>0</v>
      </c>
      <c r="AB118" s="1">
        <f t="shared" si="98"/>
        <v>0</v>
      </c>
      <c r="AC118" s="9">
        <f t="shared" si="99"/>
        <v>0</v>
      </c>
      <c r="AD118" s="10">
        <f t="shared" si="100"/>
        <v>0</v>
      </c>
      <c r="AE118" s="1">
        <f>SUMIFS(
  '[1]Hoja 1'!$M:$M,
  '[1]Hoja 1'!$S:$S, $A118,
  '[1]Hoja 1'!$R:$R, "&gt;="&amp;INT($AG$1),
  '[1]Hoja 1'!$R:$R, "&lt;"&amp;INT($AH$1+1)
)</f>
        <v>0</v>
      </c>
      <c r="AF118" s="1">
        <f t="shared" si="101"/>
        <v>0</v>
      </c>
      <c r="AG118" s="9">
        <f t="shared" si="102"/>
        <v>0</v>
      </c>
      <c r="AH118" s="10">
        <f t="shared" si="103"/>
        <v>0</v>
      </c>
      <c r="AI118" s="1">
        <f>SUMIFS(
  '[1]Hoja 1'!$M:$M,
  '[1]Hoja 1'!$S:$S, $A118,
  '[1]Hoja 1'!$R:$R, "&gt;="&amp;INT($AK$1),
  '[1]Hoja 1'!$R:$R, "&lt;"&amp;INT($AL$1+1)
)</f>
        <v>0</v>
      </c>
      <c r="AJ118" s="1">
        <f t="shared" si="104"/>
        <v>0</v>
      </c>
      <c r="AK118" s="9">
        <f t="shared" si="105"/>
        <v>0</v>
      </c>
      <c r="AL118" s="10">
        <f t="shared" si="106"/>
        <v>0</v>
      </c>
      <c r="AM118" s="1">
        <f>SUMIFS(
  '[1]Hoja 1'!$M:$M,
  '[1]Hoja 1'!$S:$S, $A118,
  '[1]Hoja 1'!$R:$R, "&gt;="&amp;INT($AO$1),
  '[1]Hoja 1'!$R:$R, "&lt;"&amp;INT($AP$1+1)
)</f>
        <v>0</v>
      </c>
      <c r="AN118" s="1">
        <f t="shared" si="107"/>
        <v>0</v>
      </c>
      <c r="AO118" s="9">
        <f t="shared" si="108"/>
        <v>0</v>
      </c>
      <c r="AP118" s="10">
        <f t="shared" si="109"/>
        <v>0</v>
      </c>
      <c r="AQ118" s="1">
        <f>SUMIFS(
  '[1]Hoja 1'!$M:$M,
  '[1]Hoja 1'!$S:$S, $A118,
  '[1]Hoja 1'!$R:$R, "&gt;="&amp;INT($AS$1),
  '[1]Hoja 1'!$R:$R, "&lt;"&amp;INT($AT$1+1)
)</f>
        <v>0</v>
      </c>
      <c r="AR118" s="1">
        <f t="shared" si="110"/>
        <v>0</v>
      </c>
      <c r="AS118" s="9">
        <f t="shared" si="111"/>
        <v>0</v>
      </c>
      <c r="AT118" s="10">
        <f t="shared" si="112"/>
        <v>0</v>
      </c>
      <c r="AU118" s="1">
        <f>SUMIFS(
  '[1]Hoja 1'!$M:$M,
  '[1]Hoja 1'!$S:$S, $A118,
  '[1]Hoja 1'!$R:$R, "&gt;="&amp;INT($AW$1),
  '[1]Hoja 1'!$R:$R, "&lt;"&amp;INT($AX$1+1)
)</f>
        <v>0</v>
      </c>
      <c r="AV118" s="1">
        <f t="shared" si="113"/>
        <v>0</v>
      </c>
      <c r="AW118" s="9">
        <f t="shared" si="114"/>
        <v>0</v>
      </c>
      <c r="AX118" s="10">
        <f t="shared" si="115"/>
        <v>0</v>
      </c>
      <c r="AY118" s="1">
        <f>SUMIFS(
  '[1]Hoja 1'!$M:$M,
  '[1]Hoja 1'!$S:$S, $A118,
  '[1]Hoja 1'!$R:$R, "&gt;="&amp;INT($BA$1),
  '[1]Hoja 1'!$R:$R, "&lt;"&amp;INT($BB$1+1)
)</f>
        <v>0</v>
      </c>
      <c r="AZ118" s="1">
        <f t="shared" si="116"/>
        <v>0</v>
      </c>
      <c r="BA118" s="9">
        <f t="shared" si="117"/>
        <v>0</v>
      </c>
      <c r="BB118" s="10">
        <f t="shared" si="118"/>
        <v>0</v>
      </c>
      <c r="BC118" s="1">
        <f>SUMIFS(
  '[1]Hoja 1'!$M:$M,
  '[1]Hoja 1'!$S:$S, $A118,
  '[1]Hoja 1'!$R:$R, "&gt;="&amp;INT($BE$1),
  '[1]Hoja 1'!$R:$R, "&lt;"&amp;INT($BF$1+1)
)</f>
        <v>0</v>
      </c>
      <c r="BD118" s="1">
        <f t="shared" si="119"/>
        <v>0</v>
      </c>
      <c r="BE118" s="9">
        <f t="shared" si="120"/>
        <v>0</v>
      </c>
      <c r="BF118" s="10">
        <f t="shared" si="121"/>
        <v>0</v>
      </c>
      <c r="BG118" s="1">
        <f>SUMIFS(
  '[1]Hoja 1'!$M:$M,
  '[1]Hoja 1'!$S:$S, $A118,
  '[1]Hoja 1'!$R:$R, "&gt;="&amp;INT($BI$1),
  '[1]Hoja 1'!$R:$R, "&lt;"&amp;INT($BJ$1+1)
)</f>
        <v>0</v>
      </c>
      <c r="BH118" s="1">
        <f t="shared" si="122"/>
        <v>0</v>
      </c>
      <c r="BI118" s="9">
        <f t="shared" si="123"/>
        <v>0</v>
      </c>
      <c r="BJ118" s="10">
        <f t="shared" si="124"/>
        <v>0</v>
      </c>
      <c r="BK118" s="1">
        <f>SUMIFS(
  '[1]Hoja 1'!$M:$M,
  '[1]Hoja 1'!$S:$S, $A118,
  '[1]Hoja 1'!$R:$R, "&gt;="&amp;INT($BM$1),
  '[1]Hoja 1'!$R:$R, "&lt;"&amp;INT($BN$1+1)
)</f>
        <v>0</v>
      </c>
      <c r="BL118" s="1">
        <f t="shared" si="125"/>
        <v>0</v>
      </c>
      <c r="BM118" s="9">
        <f t="shared" si="126"/>
        <v>0</v>
      </c>
      <c r="BN118" s="10">
        <f t="shared" si="127"/>
        <v>0</v>
      </c>
      <c r="BO118" s="1">
        <f>SUMIFS(
  '[1]Hoja 1'!$M:$M,
  '[1]Hoja 1'!$S:$S, $A118,
  '[1]Hoja 1'!$R:$R, "&gt;="&amp;INT($BQ$1),
  '[1]Hoja 1'!$R:$R, "&lt;"&amp;INT($BR$1+1)
)</f>
        <v>0</v>
      </c>
      <c r="BP118" s="1">
        <f t="shared" si="128"/>
        <v>0</v>
      </c>
      <c r="BQ118" s="9">
        <f t="shared" si="129"/>
        <v>0</v>
      </c>
      <c r="BR118" s="10">
        <f t="shared" si="130"/>
        <v>0</v>
      </c>
      <c r="BS118" s="1">
        <f>SUMIFS(
  '[1]Hoja 1'!$M:$M,
  '[1]Hoja 1'!$S:$S, $A118,
  '[1]Hoja 1'!$R:$R, "&gt;="&amp;INT($BU$1),
  '[1]Hoja 1'!$R:$R, "&lt;"&amp;INT($BV$1+1)
)</f>
        <v>0</v>
      </c>
      <c r="BT118" s="1">
        <f t="shared" si="131"/>
        <v>0</v>
      </c>
      <c r="BU118" s="9">
        <f t="shared" si="132"/>
        <v>0</v>
      </c>
      <c r="BV118" s="10">
        <f t="shared" si="133"/>
        <v>0</v>
      </c>
      <c r="BW118" s="1">
        <f>SUMIFS(
  '[1]Hoja 1'!$M:$M,
  '[1]Hoja 1'!$S:$S, $A118,
  '[1]Hoja 1'!$R:$R, "&gt;="&amp;INT($BY$1),
  '[1]Hoja 1'!$R:$R, "&lt;"&amp;INT($BZ$1+1)
)</f>
        <v>0</v>
      </c>
      <c r="BX118" s="1">
        <f t="shared" si="134"/>
        <v>0</v>
      </c>
      <c r="BY118" s="9">
        <f t="shared" si="135"/>
        <v>0</v>
      </c>
      <c r="BZ118" s="10">
        <f t="shared" si="136"/>
        <v>0</v>
      </c>
      <c r="CA118" s="1">
        <f>SUMIFS(
  '[1]Hoja 1'!$M:$M,
  '[1]Hoja 1'!$S:$S, $A118,
  '[1]Hoja 1'!$R:$R, "&gt;="&amp;INT($CC$1),
  '[1]Hoja 1'!$R:$R, "&lt;"&amp;INT($CD$1+1)
)</f>
        <v>0</v>
      </c>
      <c r="CB118" s="1">
        <f t="shared" si="137"/>
        <v>0</v>
      </c>
      <c r="CC118" s="9">
        <f t="shared" si="138"/>
        <v>0</v>
      </c>
      <c r="CD118" s="10">
        <f t="shared" si="139"/>
        <v>0</v>
      </c>
      <c r="CE118" s="1">
        <f>SUMIFS(
  '[1]Hoja 1'!$M:$M,
  '[1]Hoja 1'!$S:$S, $A118,
  '[1]Hoja 1'!$R:$R, "&gt;="&amp;INT($CG$1),
  '[1]Hoja 1'!$R:$R, "&lt;"&amp;INT($CH$1+1)
)</f>
        <v>0</v>
      </c>
      <c r="CF118" s="1">
        <f t="shared" si="140"/>
        <v>0</v>
      </c>
      <c r="CG118" s="9">
        <f t="shared" si="141"/>
        <v>0</v>
      </c>
      <c r="CH118" s="10">
        <f t="shared" si="142"/>
        <v>0</v>
      </c>
      <c r="CI118" s="1">
        <f>SUMIFS(
  '[1]Hoja 1'!$M:$M,
  '[1]Hoja 1'!$S:$S, $A118,
  '[1]Hoja 1'!$R:$R, "&gt;="&amp;INT($CK$1),
  '[1]Hoja 1'!$R:$R, "&lt;"&amp;INT($CL$1+1)
)</f>
        <v>0</v>
      </c>
      <c r="CJ118" s="1">
        <f t="shared" si="143"/>
        <v>0</v>
      </c>
      <c r="CK118" s="9">
        <f t="shared" si="144"/>
        <v>0</v>
      </c>
      <c r="CL118" s="10">
        <f t="shared" si="145"/>
        <v>0</v>
      </c>
      <c r="CM118" s="1">
        <f>SUMIFS(
  '[1]Hoja 1'!$M:$M,
  '[1]Hoja 1'!$S:$S, $A118,
  '[1]Hoja 1'!$R:$R, "&gt;="&amp;INT($CO$1),
  '[1]Hoja 1'!$R:$R, "&lt;"&amp;INT($CP$1+1)
)</f>
        <v>0</v>
      </c>
      <c r="CN118" s="1">
        <f t="shared" si="146"/>
        <v>0</v>
      </c>
      <c r="CO118" s="9">
        <f t="shared" si="147"/>
        <v>0</v>
      </c>
      <c r="CP118" s="10">
        <f t="shared" si="148"/>
        <v>0</v>
      </c>
      <c r="CQ118" s="1">
        <f>SUMIFS(
  '[1]Hoja 1'!$M:$M,
  '[1]Hoja 1'!$S:$S, $A118,
  '[1]Hoja 1'!$R:$R, "&gt;="&amp;INT($CS$1),
  '[1]Hoja 1'!$R:$R, "&lt;"&amp;INT($CT$1+1)
)</f>
        <v>0</v>
      </c>
      <c r="CR118" s="1">
        <f t="shared" si="149"/>
        <v>0</v>
      </c>
      <c r="CS118" s="9">
        <f t="shared" si="150"/>
        <v>0</v>
      </c>
      <c r="CT118" s="10">
        <f t="shared" si="151"/>
        <v>0</v>
      </c>
      <c r="CU118" s="1">
        <f>SUMIFS(
  '[1]Hoja 1'!$M:$M,
  '[1]Hoja 1'!$S:$S, $A118,
  '[1]Hoja 1'!$R:$R, "&gt;="&amp;INT($CW$1),
  '[1]Hoja 1'!$R:$R, "&lt;"&amp;INT($CX$1+1)
)</f>
        <v>0</v>
      </c>
      <c r="CV118" s="1">
        <f t="shared" si="152"/>
        <v>0</v>
      </c>
      <c r="CW118" s="9">
        <f t="shared" si="153"/>
        <v>0</v>
      </c>
      <c r="CX118" s="10">
        <f t="shared" si="154"/>
        <v>0</v>
      </c>
      <c r="CY118" s="1">
        <f>SUMIFS(
  '[1]Hoja 1'!$M:$M,
  '[1]Hoja 1'!$S:$S, $A118,
  '[1]Hoja 1'!$R:$R, "&gt;="&amp;INT($DA$1),
  '[1]Hoja 1'!$R:$R, "&lt;"&amp;INT($DB$1+1)
)</f>
        <v>0</v>
      </c>
      <c r="CZ118" s="1">
        <f t="shared" si="155"/>
        <v>0</v>
      </c>
      <c r="DA118" s="9">
        <f t="shared" si="156"/>
        <v>0</v>
      </c>
      <c r="DB118" s="10">
        <f t="shared" si="157"/>
        <v>0</v>
      </c>
      <c r="DC118" s="1">
        <f>SUMIFS(
  '[1]Hoja 1'!$M:$M,
  '[1]Hoja 1'!$S:$S, $A118,
  '[1]Hoja 1'!$R:$R, "&gt;="&amp;INT($DE$1),
  '[1]Hoja 1'!$R:$R, "&lt;"&amp;INT($DF$1+1)
)</f>
        <v>0</v>
      </c>
      <c r="DD118" s="1">
        <f t="shared" si="158"/>
        <v>0</v>
      </c>
      <c r="DE118" s="9">
        <f t="shared" si="159"/>
        <v>0</v>
      </c>
      <c r="DF118" s="10">
        <f t="shared" si="160"/>
        <v>0</v>
      </c>
      <c r="DG118" s="1">
        <f>SUMIFS(
  '[1]Hoja 1'!$M:$M,
  '[1]Hoja 1'!$S:$S, $A118,
  '[1]Hoja 1'!$R:$R, "&gt;="&amp;INT($DI$1),
  '[1]Hoja 1'!$R:$R, "&lt;"&amp;INT($DJ$1+1)
)</f>
        <v>0</v>
      </c>
      <c r="DH118" s="1">
        <f t="shared" si="161"/>
        <v>0</v>
      </c>
      <c r="DI118" s="9">
        <f t="shared" si="162"/>
        <v>0</v>
      </c>
      <c r="DJ118" s="10">
        <f t="shared" si="163"/>
        <v>0</v>
      </c>
      <c r="DK118" s="1">
        <f>SUMIFS(
  '[1]Hoja 1'!$M:$M,
  '[1]Hoja 1'!$S:$S, $A118,
  '[1]Hoja 1'!$R:$R, "&gt;="&amp;INT($DM$1),
  '[1]Hoja 1'!$R:$R, "&lt;"&amp;INT($DN$1+1)
)</f>
        <v>0</v>
      </c>
      <c r="DL118" s="1">
        <f t="shared" si="164"/>
        <v>0</v>
      </c>
      <c r="DM118" s="9">
        <f t="shared" si="165"/>
        <v>0</v>
      </c>
      <c r="DN118" s="10">
        <f t="shared" si="166"/>
        <v>0</v>
      </c>
      <c r="DO118" s="1">
        <f>SUMIFS(
  '[1]Hoja 1'!$M:$M,
  '[1]Hoja 1'!$S:$S, $A118,
  '[1]Hoja 1'!$R:$R, "&gt;="&amp;INT($DQ$1),
  '[1]Hoja 1'!$R:$R, "&lt;"&amp;INT($DR$1+1)
)</f>
        <v>0</v>
      </c>
      <c r="DP118" s="1">
        <f t="shared" si="167"/>
        <v>0</v>
      </c>
      <c r="DQ118" s="9">
        <f t="shared" si="168"/>
        <v>0</v>
      </c>
      <c r="DR118" s="10">
        <f t="shared" si="169"/>
        <v>0</v>
      </c>
    </row>
    <row r="119" spans="1:122" x14ac:dyDescent="0.25">
      <c r="A119" s="5">
        <v>220002</v>
      </c>
      <c r="B119" s="6" t="s">
        <v>7</v>
      </c>
      <c r="C119" s="1">
        <f>SUMIFS(
  '[1]Hoja 1'!$M:$M,
  '[1]Hoja 1'!$S:$S, $A119,
  '[1]Hoja 1'!$R:$R, "&gt;="&amp;INT($E$1),
  '[1]Hoja 1'!$R:$R, "&lt;"&amp;INT($F$1+1)
)</f>
        <v>22</v>
      </c>
      <c r="D119" s="1" t="str">
        <f>""</f>
        <v/>
      </c>
      <c r="F119" s="2"/>
      <c r="G119" s="1">
        <f>SUMIFS(
  '[1]Hoja 1'!$M:$M,
  '[1]Hoja 1'!$S:$S, $A119,
  '[1]Hoja 1'!$R:$R, "&gt;="&amp;INT($I$1),
  '[1]Hoja 1'!$R:$R, "&lt;"&amp;INT($J$1+1)
)</f>
        <v>49</v>
      </c>
      <c r="H119" s="1">
        <f t="shared" si="85"/>
        <v>35.5</v>
      </c>
      <c r="I119" s="1"/>
      <c r="J119" s="2"/>
      <c r="K119" s="1">
        <f>SUMIFS(
  '[1]Hoja 1'!$M:$M,
  '[1]Hoja 1'!$S:$S, $A119,
  '[1]Hoja 1'!$R:$R, "&gt;="&amp;INT($M$1),
  '[1]Hoja 1'!$R:$R, "&lt;"&amp;INT($N$1+1)
)</f>
        <v>20</v>
      </c>
      <c r="L119" s="1">
        <f t="shared" si="86"/>
        <v>34.5</v>
      </c>
      <c r="M119" s="9">
        <f t="shared" si="87"/>
        <v>-4.3060201515177283</v>
      </c>
      <c r="N119" s="10">
        <f t="shared" si="88"/>
        <v>73.306020151517728</v>
      </c>
      <c r="O119" s="1">
        <f>SUMIFS(
  '[1]Hoja 1'!$M:$M,
  '[1]Hoja 1'!$S:$S, $A119,
  '[1]Hoja 1'!$R:$R, "&gt;="&amp;INT($Q$1),
  '[1]Hoja 1'!$R:$R, "&lt;"&amp;INT($R$1+1)
)</f>
        <v>43</v>
      </c>
      <c r="P119" s="1">
        <f t="shared" si="89"/>
        <v>31.5</v>
      </c>
      <c r="Q119" s="9">
        <f t="shared" si="90"/>
        <v>3.8838212704459174</v>
      </c>
      <c r="R119" s="10">
        <f t="shared" si="91"/>
        <v>65.116178729554079</v>
      </c>
      <c r="S119" s="1">
        <f>SUMIFS(
  '[1]Hoja 1'!$M:$M,
  '[1]Hoja 1'!$S:$S, $A119,
  '[1]Hoja 1'!$R:$R, "&gt;="&amp;INT($U$1),
  '[1]Hoja 1'!$R:$R, "&lt;"&amp;INT($V$1+1)
)</f>
        <v>22</v>
      </c>
      <c r="T119" s="1">
        <f t="shared" si="92"/>
        <v>33</v>
      </c>
      <c r="U119" s="9">
        <f t="shared" si="93"/>
        <v>4.4844136187476131</v>
      </c>
      <c r="V119" s="10">
        <f t="shared" si="94"/>
        <v>61.51558638125239</v>
      </c>
      <c r="W119" s="1">
        <f>SUMIFS(
  '[1]Hoja 1'!$M:$M,
  '[1]Hoja 1'!$S:$S, $A119,
  '[1]Hoja 1'!$R:$R, "&gt;="&amp;INT($Y$1),
  '[1]Hoja 1'!$R:$R, "&lt;"&amp;INT($Z$1+1)
)</f>
        <v>32</v>
      </c>
      <c r="X119" s="1">
        <f t="shared" si="95"/>
        <v>27</v>
      </c>
      <c r="Y119" s="9">
        <f t="shared" si="96"/>
        <v>2.7379892287002185</v>
      </c>
      <c r="Z119" s="10">
        <f t="shared" si="97"/>
        <v>51.262010771299785</v>
      </c>
      <c r="AA119" s="1">
        <f>SUMIFS(
  '[1]Hoja 1'!$M:$M,
  '[1]Hoja 1'!$S:$S, $A119,
  '[1]Hoja 1'!$R:$R, "&gt;="&amp;INT($AC$1),
  '[1]Hoja 1'!$R:$R, "&lt;"&amp;INT($AD$1+1)
)</f>
        <v>18</v>
      </c>
      <c r="AB119" s="1">
        <f t="shared" si="98"/>
        <v>25</v>
      </c>
      <c r="AC119" s="9">
        <f t="shared" si="99"/>
        <v>7.5708715077316597</v>
      </c>
      <c r="AD119" s="10">
        <f t="shared" si="100"/>
        <v>45.123833299514942</v>
      </c>
      <c r="AE119" s="1">
        <f>SUMIFS(
  '[1]Hoja 1'!$M:$M,
  '[1]Hoja 1'!$S:$S, $A119,
  '[1]Hoja 1'!$R:$R, "&gt;="&amp;INT($AG$1),
  '[1]Hoja 1'!$R:$R, "&lt;"&amp;INT($AH$1+1)
)</f>
        <v>0</v>
      </c>
      <c r="AF119" s="1">
        <f t="shared" si="101"/>
        <v>9</v>
      </c>
      <c r="AG119" s="9">
        <f t="shared" si="102"/>
        <v>-3.8824345525215076</v>
      </c>
      <c r="AH119" s="10">
        <f t="shared" si="103"/>
        <v>22.844848620816819</v>
      </c>
      <c r="AI119" s="1">
        <f>SUMIFS(
  '[1]Hoja 1'!$M:$M,
  '[1]Hoja 1'!$S:$S, $A119,
  '[1]Hoja 1'!$R:$R, "&gt;="&amp;INT($AK$1),
  '[1]Hoja 1'!$R:$R, "&lt;"&amp;INT($AL$1+1)
)</f>
        <v>0</v>
      </c>
      <c r="AJ119" s="1">
        <f t="shared" si="104"/>
        <v>0</v>
      </c>
      <c r="AK119" s="9">
        <f t="shared" si="105"/>
        <v>-11.208047109108705</v>
      </c>
      <c r="AL119" s="10">
        <f t="shared" si="106"/>
        <v>12.639087519806695</v>
      </c>
      <c r="AM119" s="1">
        <f>SUMIFS(
  '[1]Hoja 1'!$M:$M,
  '[1]Hoja 1'!$S:$S, $A119,
  '[1]Hoja 1'!$R:$R, "&gt;="&amp;INT($AO$1),
  '[1]Hoja 1'!$R:$R, "&lt;"&amp;INT($AP$1+1)
)</f>
        <v>0</v>
      </c>
      <c r="AN119" s="1">
        <f t="shared" si="107"/>
        <v>0</v>
      </c>
      <c r="AO119" s="9">
        <f t="shared" si="108"/>
        <v>-8.6993976802994819</v>
      </c>
      <c r="AP119" s="10">
        <f t="shared" si="109"/>
        <v>9.1932148892539214</v>
      </c>
      <c r="AQ119" s="1">
        <f>SUMIFS(
  '[1]Hoja 1'!$M:$M,
  '[1]Hoja 1'!$S:$S, $A119,
  '[1]Hoja 1'!$R:$R, "&gt;="&amp;INT($AS$1),
  '[1]Hoja 1'!$R:$R, "&lt;"&amp;INT($AT$1+1)
)</f>
        <v>0</v>
      </c>
      <c r="AR119" s="1">
        <f t="shared" si="110"/>
        <v>0</v>
      </c>
      <c r="AS119" s="9">
        <f t="shared" si="111"/>
        <v>-7.8888478246192575</v>
      </c>
      <c r="AT119" s="10">
        <f t="shared" si="112"/>
        <v>8.82</v>
      </c>
      <c r="AU119" s="1">
        <f>SUMIFS(
  '[1]Hoja 1'!$M:$M,
  '[1]Hoja 1'!$S:$S, $A119,
  '[1]Hoja 1'!$R:$R, "&gt;="&amp;INT($AW$1),
  '[1]Hoja 1'!$R:$R, "&lt;"&amp;INT($AX$1+1)
)</f>
        <v>0</v>
      </c>
      <c r="AV119" s="1">
        <f t="shared" si="113"/>
        <v>0</v>
      </c>
      <c r="AW119" s="9">
        <f t="shared" si="114"/>
        <v>0</v>
      </c>
      <c r="AX119" s="10">
        <f t="shared" si="115"/>
        <v>0</v>
      </c>
      <c r="AY119" s="1">
        <f>SUMIFS(
  '[1]Hoja 1'!$M:$M,
  '[1]Hoja 1'!$S:$S, $A119,
  '[1]Hoja 1'!$R:$R, "&gt;="&amp;INT($BA$1),
  '[1]Hoja 1'!$R:$R, "&lt;"&amp;INT($BB$1+1)
)</f>
        <v>0</v>
      </c>
      <c r="AZ119" s="1">
        <f t="shared" si="116"/>
        <v>0</v>
      </c>
      <c r="BA119" s="9">
        <f t="shared" si="117"/>
        <v>0</v>
      </c>
      <c r="BB119" s="10">
        <f t="shared" si="118"/>
        <v>0</v>
      </c>
      <c r="BC119" s="1">
        <f>SUMIFS(
  '[1]Hoja 1'!$M:$M,
  '[1]Hoja 1'!$S:$S, $A119,
  '[1]Hoja 1'!$R:$R, "&gt;="&amp;INT($BE$1),
  '[1]Hoja 1'!$R:$R, "&lt;"&amp;INT($BF$1+1)
)</f>
        <v>0</v>
      </c>
      <c r="BD119" s="1">
        <f t="shared" si="119"/>
        <v>0</v>
      </c>
      <c r="BE119" s="9">
        <f t="shared" si="120"/>
        <v>0</v>
      </c>
      <c r="BF119" s="10">
        <f t="shared" si="121"/>
        <v>0</v>
      </c>
      <c r="BG119" s="1">
        <f>SUMIFS(
  '[1]Hoja 1'!$M:$M,
  '[1]Hoja 1'!$S:$S, $A119,
  '[1]Hoja 1'!$R:$R, "&gt;="&amp;INT($BI$1),
  '[1]Hoja 1'!$R:$R, "&lt;"&amp;INT($BJ$1+1)
)</f>
        <v>0</v>
      </c>
      <c r="BH119" s="1">
        <f t="shared" si="122"/>
        <v>0</v>
      </c>
      <c r="BI119" s="9">
        <f t="shared" si="123"/>
        <v>0</v>
      </c>
      <c r="BJ119" s="10">
        <f t="shared" si="124"/>
        <v>0</v>
      </c>
      <c r="BK119" s="1">
        <f>SUMIFS(
  '[1]Hoja 1'!$M:$M,
  '[1]Hoja 1'!$S:$S, $A119,
  '[1]Hoja 1'!$R:$R, "&gt;="&amp;INT($BM$1),
  '[1]Hoja 1'!$R:$R, "&lt;"&amp;INT($BN$1+1)
)</f>
        <v>0</v>
      </c>
      <c r="BL119" s="1">
        <f t="shared" si="125"/>
        <v>0</v>
      </c>
      <c r="BM119" s="9">
        <f t="shared" si="126"/>
        <v>0</v>
      </c>
      <c r="BN119" s="10">
        <f t="shared" si="127"/>
        <v>0</v>
      </c>
      <c r="BO119" s="1">
        <f>SUMIFS(
  '[1]Hoja 1'!$M:$M,
  '[1]Hoja 1'!$S:$S, $A119,
  '[1]Hoja 1'!$R:$R, "&gt;="&amp;INT($BQ$1),
  '[1]Hoja 1'!$R:$R, "&lt;"&amp;INT($BR$1+1)
)</f>
        <v>0</v>
      </c>
      <c r="BP119" s="1">
        <f t="shared" si="128"/>
        <v>0</v>
      </c>
      <c r="BQ119" s="9">
        <f t="shared" si="129"/>
        <v>0</v>
      </c>
      <c r="BR119" s="10">
        <f t="shared" si="130"/>
        <v>0</v>
      </c>
      <c r="BS119" s="1">
        <f>SUMIFS(
  '[1]Hoja 1'!$M:$M,
  '[1]Hoja 1'!$S:$S, $A119,
  '[1]Hoja 1'!$R:$R, "&gt;="&amp;INT($BU$1),
  '[1]Hoja 1'!$R:$R, "&lt;"&amp;INT($BV$1+1)
)</f>
        <v>0</v>
      </c>
      <c r="BT119" s="1">
        <f t="shared" si="131"/>
        <v>0</v>
      </c>
      <c r="BU119" s="9">
        <f t="shared" si="132"/>
        <v>0</v>
      </c>
      <c r="BV119" s="10">
        <f t="shared" si="133"/>
        <v>0</v>
      </c>
      <c r="BW119" s="1">
        <f>SUMIFS(
  '[1]Hoja 1'!$M:$M,
  '[1]Hoja 1'!$S:$S, $A119,
  '[1]Hoja 1'!$R:$R, "&gt;="&amp;INT($BY$1),
  '[1]Hoja 1'!$R:$R, "&lt;"&amp;INT($BZ$1+1)
)</f>
        <v>0</v>
      </c>
      <c r="BX119" s="1">
        <f t="shared" si="134"/>
        <v>0</v>
      </c>
      <c r="BY119" s="9">
        <f t="shared" si="135"/>
        <v>0</v>
      </c>
      <c r="BZ119" s="10">
        <f t="shared" si="136"/>
        <v>0</v>
      </c>
      <c r="CA119" s="1">
        <f>SUMIFS(
  '[1]Hoja 1'!$M:$M,
  '[1]Hoja 1'!$S:$S, $A119,
  '[1]Hoja 1'!$R:$R, "&gt;="&amp;INT($CC$1),
  '[1]Hoja 1'!$R:$R, "&lt;"&amp;INT($CD$1+1)
)</f>
        <v>0</v>
      </c>
      <c r="CB119" s="1">
        <f t="shared" si="137"/>
        <v>0</v>
      </c>
      <c r="CC119" s="9">
        <f t="shared" si="138"/>
        <v>0</v>
      </c>
      <c r="CD119" s="10">
        <f t="shared" si="139"/>
        <v>0</v>
      </c>
      <c r="CE119" s="1">
        <f>SUMIFS(
  '[1]Hoja 1'!$M:$M,
  '[1]Hoja 1'!$S:$S, $A119,
  '[1]Hoja 1'!$R:$R, "&gt;="&amp;INT($CG$1),
  '[1]Hoja 1'!$R:$R, "&lt;"&amp;INT($CH$1+1)
)</f>
        <v>0</v>
      </c>
      <c r="CF119" s="1">
        <f t="shared" si="140"/>
        <v>0</v>
      </c>
      <c r="CG119" s="9">
        <f t="shared" si="141"/>
        <v>0</v>
      </c>
      <c r="CH119" s="10">
        <f t="shared" si="142"/>
        <v>0</v>
      </c>
      <c r="CI119" s="1">
        <f>SUMIFS(
  '[1]Hoja 1'!$M:$M,
  '[1]Hoja 1'!$S:$S, $A119,
  '[1]Hoja 1'!$R:$R, "&gt;="&amp;INT($CK$1),
  '[1]Hoja 1'!$R:$R, "&lt;"&amp;INT($CL$1+1)
)</f>
        <v>0</v>
      </c>
      <c r="CJ119" s="1">
        <f t="shared" si="143"/>
        <v>0</v>
      </c>
      <c r="CK119" s="9">
        <f t="shared" si="144"/>
        <v>0</v>
      </c>
      <c r="CL119" s="10">
        <f t="shared" si="145"/>
        <v>0</v>
      </c>
      <c r="CM119" s="1">
        <f>SUMIFS(
  '[1]Hoja 1'!$M:$M,
  '[1]Hoja 1'!$S:$S, $A119,
  '[1]Hoja 1'!$R:$R, "&gt;="&amp;INT($CO$1),
  '[1]Hoja 1'!$R:$R, "&lt;"&amp;INT($CP$1+1)
)</f>
        <v>0</v>
      </c>
      <c r="CN119" s="1">
        <f t="shared" si="146"/>
        <v>0</v>
      </c>
      <c r="CO119" s="9">
        <f t="shared" si="147"/>
        <v>0</v>
      </c>
      <c r="CP119" s="10">
        <f t="shared" si="148"/>
        <v>0</v>
      </c>
      <c r="CQ119" s="1">
        <f>SUMIFS(
  '[1]Hoja 1'!$M:$M,
  '[1]Hoja 1'!$S:$S, $A119,
  '[1]Hoja 1'!$R:$R, "&gt;="&amp;INT($CS$1),
  '[1]Hoja 1'!$R:$R, "&lt;"&amp;INT($CT$1+1)
)</f>
        <v>0</v>
      </c>
      <c r="CR119" s="1">
        <f t="shared" si="149"/>
        <v>0</v>
      </c>
      <c r="CS119" s="9">
        <f t="shared" si="150"/>
        <v>0</v>
      </c>
      <c r="CT119" s="10">
        <f t="shared" si="151"/>
        <v>0</v>
      </c>
      <c r="CU119" s="1">
        <f>SUMIFS(
  '[1]Hoja 1'!$M:$M,
  '[1]Hoja 1'!$S:$S, $A119,
  '[1]Hoja 1'!$R:$R, "&gt;="&amp;INT($CW$1),
  '[1]Hoja 1'!$R:$R, "&lt;"&amp;INT($CX$1+1)
)</f>
        <v>0</v>
      </c>
      <c r="CV119" s="1">
        <f t="shared" si="152"/>
        <v>0</v>
      </c>
      <c r="CW119" s="9">
        <f t="shared" si="153"/>
        <v>0</v>
      </c>
      <c r="CX119" s="10">
        <f t="shared" si="154"/>
        <v>0</v>
      </c>
      <c r="CY119" s="1">
        <f>SUMIFS(
  '[1]Hoja 1'!$M:$M,
  '[1]Hoja 1'!$S:$S, $A119,
  '[1]Hoja 1'!$R:$R, "&gt;="&amp;INT($DA$1),
  '[1]Hoja 1'!$R:$R, "&lt;"&amp;INT($DB$1+1)
)</f>
        <v>0</v>
      </c>
      <c r="CZ119" s="1">
        <f t="shared" si="155"/>
        <v>0</v>
      </c>
      <c r="DA119" s="9">
        <f t="shared" si="156"/>
        <v>0</v>
      </c>
      <c r="DB119" s="10">
        <f t="shared" si="157"/>
        <v>0</v>
      </c>
      <c r="DC119" s="1">
        <f>SUMIFS(
  '[1]Hoja 1'!$M:$M,
  '[1]Hoja 1'!$S:$S, $A119,
  '[1]Hoja 1'!$R:$R, "&gt;="&amp;INT($DE$1),
  '[1]Hoja 1'!$R:$R, "&lt;"&amp;INT($DF$1+1)
)</f>
        <v>0</v>
      </c>
      <c r="DD119" s="1">
        <f t="shared" si="158"/>
        <v>0</v>
      </c>
      <c r="DE119" s="9">
        <f t="shared" si="159"/>
        <v>0</v>
      </c>
      <c r="DF119" s="10">
        <f t="shared" si="160"/>
        <v>0</v>
      </c>
      <c r="DG119" s="1">
        <f>SUMIFS(
  '[1]Hoja 1'!$M:$M,
  '[1]Hoja 1'!$S:$S, $A119,
  '[1]Hoja 1'!$R:$R, "&gt;="&amp;INT($DI$1),
  '[1]Hoja 1'!$R:$R, "&lt;"&amp;INT($DJ$1+1)
)</f>
        <v>0</v>
      </c>
      <c r="DH119" s="1">
        <f t="shared" si="161"/>
        <v>0</v>
      </c>
      <c r="DI119" s="9">
        <f t="shared" si="162"/>
        <v>0</v>
      </c>
      <c r="DJ119" s="10">
        <f t="shared" si="163"/>
        <v>0</v>
      </c>
      <c r="DK119" s="1">
        <f>SUMIFS(
  '[1]Hoja 1'!$M:$M,
  '[1]Hoja 1'!$S:$S, $A119,
  '[1]Hoja 1'!$R:$R, "&gt;="&amp;INT($DM$1),
  '[1]Hoja 1'!$R:$R, "&lt;"&amp;INT($DN$1+1)
)</f>
        <v>0</v>
      </c>
      <c r="DL119" s="1">
        <f t="shared" si="164"/>
        <v>0</v>
      </c>
      <c r="DM119" s="9">
        <f t="shared" si="165"/>
        <v>0</v>
      </c>
      <c r="DN119" s="10">
        <f t="shared" si="166"/>
        <v>0</v>
      </c>
      <c r="DO119" s="1">
        <f>SUMIFS(
  '[1]Hoja 1'!$M:$M,
  '[1]Hoja 1'!$S:$S, $A119,
  '[1]Hoja 1'!$R:$R, "&gt;="&amp;INT($DQ$1),
  '[1]Hoja 1'!$R:$R, "&lt;"&amp;INT($DR$1+1)
)</f>
        <v>0</v>
      </c>
      <c r="DP119" s="1">
        <f t="shared" si="167"/>
        <v>0</v>
      </c>
      <c r="DQ119" s="9">
        <f t="shared" si="168"/>
        <v>0</v>
      </c>
      <c r="DR119" s="10">
        <f t="shared" si="169"/>
        <v>0</v>
      </c>
    </row>
    <row r="120" spans="1:122" x14ac:dyDescent="0.25">
      <c r="A120" s="5">
        <v>220003</v>
      </c>
      <c r="B120" s="6" t="s">
        <v>118</v>
      </c>
      <c r="C120" s="1">
        <f>SUMIFS(
  '[1]Hoja 1'!$M:$M,
  '[1]Hoja 1'!$S:$S, $A120,
  '[1]Hoja 1'!$R:$R, "&gt;="&amp;INT($E$1),
  '[1]Hoja 1'!$R:$R, "&lt;"&amp;INT($F$1+1)
)</f>
        <v>0</v>
      </c>
      <c r="D120" s="1" t="str">
        <f>""</f>
        <v/>
      </c>
      <c r="F120" s="2"/>
      <c r="G120" s="1">
        <f>SUMIFS(
  '[1]Hoja 1'!$M:$M,
  '[1]Hoja 1'!$S:$S, $A120,
  '[1]Hoja 1'!$R:$R, "&gt;="&amp;INT($I$1),
  '[1]Hoja 1'!$R:$R, "&lt;"&amp;INT($J$1+1)
)</f>
        <v>0</v>
      </c>
      <c r="H120" s="1">
        <f t="shared" si="85"/>
        <v>0</v>
      </c>
      <c r="I120" s="1"/>
      <c r="J120" s="2"/>
      <c r="K120" s="1">
        <f>SUMIFS(
  '[1]Hoja 1'!$M:$M,
  '[1]Hoja 1'!$S:$S, $A120,
  '[1]Hoja 1'!$R:$R, "&gt;="&amp;INT($M$1),
  '[1]Hoja 1'!$R:$R, "&lt;"&amp;INT($N$1+1)
)</f>
        <v>0</v>
      </c>
      <c r="L120" s="1">
        <f t="shared" si="86"/>
        <v>0</v>
      </c>
      <c r="M120" s="9">
        <f t="shared" si="87"/>
        <v>0</v>
      </c>
      <c r="N120" s="10">
        <f t="shared" si="88"/>
        <v>0</v>
      </c>
      <c r="O120" s="1">
        <f>SUMIFS(
  '[1]Hoja 1'!$M:$M,
  '[1]Hoja 1'!$S:$S, $A120,
  '[1]Hoja 1'!$R:$R, "&gt;="&amp;INT($Q$1),
  '[1]Hoja 1'!$R:$R, "&lt;"&amp;INT($R$1+1)
)</f>
        <v>0</v>
      </c>
      <c r="P120" s="1">
        <f t="shared" si="89"/>
        <v>0</v>
      </c>
      <c r="Q120" s="9">
        <f t="shared" si="90"/>
        <v>0</v>
      </c>
      <c r="R120" s="10">
        <f t="shared" si="91"/>
        <v>0</v>
      </c>
      <c r="S120" s="1">
        <f>SUMIFS(
  '[1]Hoja 1'!$M:$M,
  '[1]Hoja 1'!$S:$S, $A120,
  '[1]Hoja 1'!$R:$R, "&gt;="&amp;INT($U$1),
  '[1]Hoja 1'!$R:$R, "&lt;"&amp;INT($V$1+1)
)</f>
        <v>0</v>
      </c>
      <c r="T120" s="1">
        <f t="shared" si="92"/>
        <v>0</v>
      </c>
      <c r="U120" s="9">
        <f t="shared" si="93"/>
        <v>0</v>
      </c>
      <c r="V120" s="10">
        <f t="shared" si="94"/>
        <v>0</v>
      </c>
      <c r="W120" s="1">
        <f>SUMIFS(
  '[1]Hoja 1'!$M:$M,
  '[1]Hoja 1'!$S:$S, $A120,
  '[1]Hoja 1'!$R:$R, "&gt;="&amp;INT($Y$1),
  '[1]Hoja 1'!$R:$R, "&lt;"&amp;INT($Z$1+1)
)</f>
        <v>0</v>
      </c>
      <c r="X120" s="1">
        <f t="shared" si="95"/>
        <v>0</v>
      </c>
      <c r="Y120" s="9">
        <f t="shared" si="96"/>
        <v>0</v>
      </c>
      <c r="Z120" s="10">
        <f t="shared" si="97"/>
        <v>0</v>
      </c>
      <c r="AA120" s="1">
        <f>SUMIFS(
  '[1]Hoja 1'!$M:$M,
  '[1]Hoja 1'!$S:$S, $A120,
  '[1]Hoja 1'!$R:$R, "&gt;="&amp;INT($AC$1),
  '[1]Hoja 1'!$R:$R, "&lt;"&amp;INT($AD$1+1)
)</f>
        <v>0</v>
      </c>
      <c r="AB120" s="1">
        <f t="shared" si="98"/>
        <v>0</v>
      </c>
      <c r="AC120" s="9">
        <f t="shared" si="99"/>
        <v>0</v>
      </c>
      <c r="AD120" s="10">
        <f t="shared" si="100"/>
        <v>0</v>
      </c>
      <c r="AE120" s="1">
        <f>SUMIFS(
  '[1]Hoja 1'!$M:$M,
  '[1]Hoja 1'!$S:$S, $A120,
  '[1]Hoja 1'!$R:$R, "&gt;="&amp;INT($AG$1),
  '[1]Hoja 1'!$R:$R, "&lt;"&amp;INT($AH$1+1)
)</f>
        <v>0</v>
      </c>
      <c r="AF120" s="1">
        <f t="shared" si="101"/>
        <v>0</v>
      </c>
      <c r="AG120" s="9">
        <f t="shared" si="102"/>
        <v>0</v>
      </c>
      <c r="AH120" s="10">
        <f t="shared" si="103"/>
        <v>0</v>
      </c>
      <c r="AI120" s="1">
        <f>SUMIFS(
  '[1]Hoja 1'!$M:$M,
  '[1]Hoja 1'!$S:$S, $A120,
  '[1]Hoja 1'!$R:$R, "&gt;="&amp;INT($AK$1),
  '[1]Hoja 1'!$R:$R, "&lt;"&amp;INT($AL$1+1)
)</f>
        <v>0</v>
      </c>
      <c r="AJ120" s="1">
        <f t="shared" si="104"/>
        <v>0</v>
      </c>
      <c r="AK120" s="9">
        <f t="shared" si="105"/>
        <v>0</v>
      </c>
      <c r="AL120" s="10">
        <f t="shared" si="106"/>
        <v>0</v>
      </c>
      <c r="AM120" s="1">
        <f>SUMIFS(
  '[1]Hoja 1'!$M:$M,
  '[1]Hoja 1'!$S:$S, $A120,
  '[1]Hoja 1'!$R:$R, "&gt;="&amp;INT($AO$1),
  '[1]Hoja 1'!$R:$R, "&lt;"&amp;INT($AP$1+1)
)</f>
        <v>0</v>
      </c>
      <c r="AN120" s="1">
        <f t="shared" si="107"/>
        <v>0</v>
      </c>
      <c r="AO120" s="9">
        <f t="shared" si="108"/>
        <v>0</v>
      </c>
      <c r="AP120" s="10">
        <f t="shared" si="109"/>
        <v>0</v>
      </c>
      <c r="AQ120" s="1">
        <f>SUMIFS(
  '[1]Hoja 1'!$M:$M,
  '[1]Hoja 1'!$S:$S, $A120,
  '[1]Hoja 1'!$R:$R, "&gt;="&amp;INT($AS$1),
  '[1]Hoja 1'!$R:$R, "&lt;"&amp;INT($AT$1+1)
)</f>
        <v>0</v>
      </c>
      <c r="AR120" s="1">
        <f t="shared" si="110"/>
        <v>0</v>
      </c>
      <c r="AS120" s="9">
        <f t="shared" si="111"/>
        <v>0</v>
      </c>
      <c r="AT120" s="10">
        <f t="shared" si="112"/>
        <v>0</v>
      </c>
      <c r="AU120" s="1">
        <f>SUMIFS(
  '[1]Hoja 1'!$M:$M,
  '[1]Hoja 1'!$S:$S, $A120,
  '[1]Hoja 1'!$R:$R, "&gt;="&amp;INT($AW$1),
  '[1]Hoja 1'!$R:$R, "&lt;"&amp;INT($AX$1+1)
)</f>
        <v>0</v>
      </c>
      <c r="AV120" s="1">
        <f t="shared" si="113"/>
        <v>0</v>
      </c>
      <c r="AW120" s="9">
        <f t="shared" si="114"/>
        <v>0</v>
      </c>
      <c r="AX120" s="10">
        <f t="shared" si="115"/>
        <v>0</v>
      </c>
      <c r="AY120" s="1">
        <f>SUMIFS(
  '[1]Hoja 1'!$M:$M,
  '[1]Hoja 1'!$S:$S, $A120,
  '[1]Hoja 1'!$R:$R, "&gt;="&amp;INT($BA$1),
  '[1]Hoja 1'!$R:$R, "&lt;"&amp;INT($BB$1+1)
)</f>
        <v>0</v>
      </c>
      <c r="AZ120" s="1">
        <f t="shared" si="116"/>
        <v>0</v>
      </c>
      <c r="BA120" s="9">
        <f t="shared" si="117"/>
        <v>0</v>
      </c>
      <c r="BB120" s="10">
        <f t="shared" si="118"/>
        <v>0</v>
      </c>
      <c r="BC120" s="1">
        <f>SUMIFS(
  '[1]Hoja 1'!$M:$M,
  '[1]Hoja 1'!$S:$S, $A120,
  '[1]Hoja 1'!$R:$R, "&gt;="&amp;INT($BE$1),
  '[1]Hoja 1'!$R:$R, "&lt;"&amp;INT($BF$1+1)
)</f>
        <v>0</v>
      </c>
      <c r="BD120" s="1">
        <f t="shared" si="119"/>
        <v>0</v>
      </c>
      <c r="BE120" s="9">
        <f t="shared" si="120"/>
        <v>0</v>
      </c>
      <c r="BF120" s="10">
        <f t="shared" si="121"/>
        <v>0</v>
      </c>
      <c r="BG120" s="1">
        <f>SUMIFS(
  '[1]Hoja 1'!$M:$M,
  '[1]Hoja 1'!$S:$S, $A120,
  '[1]Hoja 1'!$R:$R, "&gt;="&amp;INT($BI$1),
  '[1]Hoja 1'!$R:$R, "&lt;"&amp;INT($BJ$1+1)
)</f>
        <v>0</v>
      </c>
      <c r="BH120" s="1">
        <f t="shared" si="122"/>
        <v>0</v>
      </c>
      <c r="BI120" s="9">
        <f t="shared" si="123"/>
        <v>0</v>
      </c>
      <c r="BJ120" s="10">
        <f t="shared" si="124"/>
        <v>0</v>
      </c>
      <c r="BK120" s="1">
        <f>SUMIFS(
  '[1]Hoja 1'!$M:$M,
  '[1]Hoja 1'!$S:$S, $A120,
  '[1]Hoja 1'!$R:$R, "&gt;="&amp;INT($BM$1),
  '[1]Hoja 1'!$R:$R, "&lt;"&amp;INT($BN$1+1)
)</f>
        <v>0</v>
      </c>
      <c r="BL120" s="1">
        <f t="shared" si="125"/>
        <v>0</v>
      </c>
      <c r="BM120" s="9">
        <f t="shared" si="126"/>
        <v>0</v>
      </c>
      <c r="BN120" s="10">
        <f t="shared" si="127"/>
        <v>0</v>
      </c>
      <c r="BO120" s="1">
        <f>SUMIFS(
  '[1]Hoja 1'!$M:$M,
  '[1]Hoja 1'!$S:$S, $A120,
  '[1]Hoja 1'!$R:$R, "&gt;="&amp;INT($BQ$1),
  '[1]Hoja 1'!$R:$R, "&lt;"&amp;INT($BR$1+1)
)</f>
        <v>0</v>
      </c>
      <c r="BP120" s="1">
        <f t="shared" si="128"/>
        <v>0</v>
      </c>
      <c r="BQ120" s="9">
        <f t="shared" si="129"/>
        <v>0</v>
      </c>
      <c r="BR120" s="10">
        <f t="shared" si="130"/>
        <v>0</v>
      </c>
      <c r="BS120" s="1">
        <f>SUMIFS(
  '[1]Hoja 1'!$M:$M,
  '[1]Hoja 1'!$S:$S, $A120,
  '[1]Hoja 1'!$R:$R, "&gt;="&amp;INT($BU$1),
  '[1]Hoja 1'!$R:$R, "&lt;"&amp;INT($BV$1+1)
)</f>
        <v>0</v>
      </c>
      <c r="BT120" s="1">
        <f t="shared" si="131"/>
        <v>0</v>
      </c>
      <c r="BU120" s="9">
        <f t="shared" si="132"/>
        <v>0</v>
      </c>
      <c r="BV120" s="10">
        <f t="shared" si="133"/>
        <v>0</v>
      </c>
      <c r="BW120" s="1">
        <f>SUMIFS(
  '[1]Hoja 1'!$M:$M,
  '[1]Hoja 1'!$S:$S, $A120,
  '[1]Hoja 1'!$R:$R, "&gt;="&amp;INT($BY$1),
  '[1]Hoja 1'!$R:$R, "&lt;"&amp;INT($BZ$1+1)
)</f>
        <v>0</v>
      </c>
      <c r="BX120" s="1">
        <f t="shared" si="134"/>
        <v>0</v>
      </c>
      <c r="BY120" s="9">
        <f t="shared" si="135"/>
        <v>0</v>
      </c>
      <c r="BZ120" s="10">
        <f t="shared" si="136"/>
        <v>0</v>
      </c>
      <c r="CA120" s="1">
        <f>SUMIFS(
  '[1]Hoja 1'!$M:$M,
  '[1]Hoja 1'!$S:$S, $A120,
  '[1]Hoja 1'!$R:$R, "&gt;="&amp;INT($CC$1),
  '[1]Hoja 1'!$R:$R, "&lt;"&amp;INT($CD$1+1)
)</f>
        <v>0</v>
      </c>
      <c r="CB120" s="1">
        <f t="shared" si="137"/>
        <v>0</v>
      </c>
      <c r="CC120" s="9">
        <f t="shared" si="138"/>
        <v>0</v>
      </c>
      <c r="CD120" s="10">
        <f t="shared" si="139"/>
        <v>0</v>
      </c>
      <c r="CE120" s="1">
        <f>SUMIFS(
  '[1]Hoja 1'!$M:$M,
  '[1]Hoja 1'!$S:$S, $A120,
  '[1]Hoja 1'!$R:$R, "&gt;="&amp;INT($CG$1),
  '[1]Hoja 1'!$R:$R, "&lt;"&amp;INT($CH$1+1)
)</f>
        <v>0</v>
      </c>
      <c r="CF120" s="1">
        <f t="shared" si="140"/>
        <v>0</v>
      </c>
      <c r="CG120" s="9">
        <f t="shared" si="141"/>
        <v>0</v>
      </c>
      <c r="CH120" s="10">
        <f t="shared" si="142"/>
        <v>0</v>
      </c>
      <c r="CI120" s="1">
        <f>SUMIFS(
  '[1]Hoja 1'!$M:$M,
  '[1]Hoja 1'!$S:$S, $A120,
  '[1]Hoja 1'!$R:$R, "&gt;="&amp;INT($CK$1),
  '[1]Hoja 1'!$R:$R, "&lt;"&amp;INT($CL$1+1)
)</f>
        <v>0</v>
      </c>
      <c r="CJ120" s="1">
        <f t="shared" si="143"/>
        <v>0</v>
      </c>
      <c r="CK120" s="9">
        <f t="shared" si="144"/>
        <v>0</v>
      </c>
      <c r="CL120" s="10">
        <f t="shared" si="145"/>
        <v>0</v>
      </c>
      <c r="CM120" s="1">
        <f>SUMIFS(
  '[1]Hoja 1'!$M:$M,
  '[1]Hoja 1'!$S:$S, $A120,
  '[1]Hoja 1'!$R:$R, "&gt;="&amp;INT($CO$1),
  '[1]Hoja 1'!$R:$R, "&lt;"&amp;INT($CP$1+1)
)</f>
        <v>0</v>
      </c>
      <c r="CN120" s="1">
        <f t="shared" si="146"/>
        <v>0</v>
      </c>
      <c r="CO120" s="9">
        <f t="shared" si="147"/>
        <v>0</v>
      </c>
      <c r="CP120" s="10">
        <f t="shared" si="148"/>
        <v>0</v>
      </c>
      <c r="CQ120" s="1">
        <f>SUMIFS(
  '[1]Hoja 1'!$M:$M,
  '[1]Hoja 1'!$S:$S, $A120,
  '[1]Hoja 1'!$R:$R, "&gt;="&amp;INT($CS$1),
  '[1]Hoja 1'!$R:$R, "&lt;"&amp;INT($CT$1+1)
)</f>
        <v>0</v>
      </c>
      <c r="CR120" s="1">
        <f t="shared" si="149"/>
        <v>0</v>
      </c>
      <c r="CS120" s="9">
        <f t="shared" si="150"/>
        <v>0</v>
      </c>
      <c r="CT120" s="10">
        <f t="shared" si="151"/>
        <v>0</v>
      </c>
      <c r="CU120" s="1">
        <f>SUMIFS(
  '[1]Hoja 1'!$M:$M,
  '[1]Hoja 1'!$S:$S, $A120,
  '[1]Hoja 1'!$R:$R, "&gt;="&amp;INT($CW$1),
  '[1]Hoja 1'!$R:$R, "&lt;"&amp;INT($CX$1+1)
)</f>
        <v>0</v>
      </c>
      <c r="CV120" s="1">
        <f t="shared" si="152"/>
        <v>0</v>
      </c>
      <c r="CW120" s="9">
        <f t="shared" si="153"/>
        <v>0</v>
      </c>
      <c r="CX120" s="10">
        <f t="shared" si="154"/>
        <v>0</v>
      </c>
      <c r="CY120" s="1">
        <f>SUMIFS(
  '[1]Hoja 1'!$M:$M,
  '[1]Hoja 1'!$S:$S, $A120,
  '[1]Hoja 1'!$R:$R, "&gt;="&amp;INT($DA$1),
  '[1]Hoja 1'!$R:$R, "&lt;"&amp;INT($DB$1+1)
)</f>
        <v>0</v>
      </c>
      <c r="CZ120" s="1">
        <f t="shared" si="155"/>
        <v>0</v>
      </c>
      <c r="DA120" s="9">
        <f t="shared" si="156"/>
        <v>0</v>
      </c>
      <c r="DB120" s="10">
        <f t="shared" si="157"/>
        <v>0</v>
      </c>
      <c r="DC120" s="1">
        <f>SUMIFS(
  '[1]Hoja 1'!$M:$M,
  '[1]Hoja 1'!$S:$S, $A120,
  '[1]Hoja 1'!$R:$R, "&gt;="&amp;INT($DE$1),
  '[1]Hoja 1'!$R:$R, "&lt;"&amp;INT($DF$1+1)
)</f>
        <v>0</v>
      </c>
      <c r="DD120" s="1">
        <f t="shared" si="158"/>
        <v>0</v>
      </c>
      <c r="DE120" s="9">
        <f t="shared" si="159"/>
        <v>0</v>
      </c>
      <c r="DF120" s="10">
        <f t="shared" si="160"/>
        <v>0</v>
      </c>
      <c r="DG120" s="1">
        <f>SUMIFS(
  '[1]Hoja 1'!$M:$M,
  '[1]Hoja 1'!$S:$S, $A120,
  '[1]Hoja 1'!$R:$R, "&gt;="&amp;INT($DI$1),
  '[1]Hoja 1'!$R:$R, "&lt;"&amp;INT($DJ$1+1)
)</f>
        <v>0</v>
      </c>
      <c r="DH120" s="1">
        <f t="shared" si="161"/>
        <v>0</v>
      </c>
      <c r="DI120" s="9">
        <f t="shared" si="162"/>
        <v>0</v>
      </c>
      <c r="DJ120" s="10">
        <f t="shared" si="163"/>
        <v>0</v>
      </c>
      <c r="DK120" s="1">
        <f>SUMIFS(
  '[1]Hoja 1'!$M:$M,
  '[1]Hoja 1'!$S:$S, $A120,
  '[1]Hoja 1'!$R:$R, "&gt;="&amp;INT($DM$1),
  '[1]Hoja 1'!$R:$R, "&lt;"&amp;INT($DN$1+1)
)</f>
        <v>0</v>
      </c>
      <c r="DL120" s="1">
        <f t="shared" si="164"/>
        <v>0</v>
      </c>
      <c r="DM120" s="9">
        <f t="shared" si="165"/>
        <v>0</v>
      </c>
      <c r="DN120" s="10">
        <f t="shared" si="166"/>
        <v>0</v>
      </c>
      <c r="DO120" s="1">
        <f>SUMIFS(
  '[1]Hoja 1'!$M:$M,
  '[1]Hoja 1'!$S:$S, $A120,
  '[1]Hoja 1'!$R:$R, "&gt;="&amp;INT($DQ$1),
  '[1]Hoja 1'!$R:$R, "&lt;"&amp;INT($DR$1+1)
)</f>
        <v>0</v>
      </c>
      <c r="DP120" s="1">
        <f t="shared" si="167"/>
        <v>0</v>
      </c>
      <c r="DQ120" s="9">
        <f t="shared" si="168"/>
        <v>0</v>
      </c>
      <c r="DR120" s="10">
        <f t="shared" si="169"/>
        <v>0</v>
      </c>
    </row>
    <row r="121" spans="1:122" x14ac:dyDescent="0.25">
      <c r="A121" s="5">
        <v>221001</v>
      </c>
      <c r="B121" s="6" t="s">
        <v>119</v>
      </c>
      <c r="C121" s="1">
        <f>SUMIFS(
  '[1]Hoja 1'!$M:$M,
  '[1]Hoja 1'!$S:$S, $A121,
  '[1]Hoja 1'!$R:$R, "&gt;="&amp;INT($E$1),
  '[1]Hoja 1'!$R:$R, "&lt;"&amp;INT($F$1+1)
)</f>
        <v>0</v>
      </c>
      <c r="D121" s="1" t="str">
        <f>""</f>
        <v/>
      </c>
      <c r="F121" s="2"/>
      <c r="G121" s="1">
        <f>SUMIFS(
  '[1]Hoja 1'!$M:$M,
  '[1]Hoja 1'!$S:$S, $A121,
  '[1]Hoja 1'!$R:$R, "&gt;="&amp;INT($I$1),
  '[1]Hoja 1'!$R:$R, "&lt;"&amp;INT($J$1+1)
)</f>
        <v>0</v>
      </c>
      <c r="H121" s="1">
        <f t="shared" si="85"/>
        <v>0</v>
      </c>
      <c r="I121" s="1"/>
      <c r="J121" s="2"/>
      <c r="K121" s="1">
        <f>SUMIFS(
  '[1]Hoja 1'!$M:$M,
  '[1]Hoja 1'!$S:$S, $A121,
  '[1]Hoja 1'!$R:$R, "&gt;="&amp;INT($M$1),
  '[1]Hoja 1'!$R:$R, "&lt;"&amp;INT($N$1+1)
)</f>
        <v>0</v>
      </c>
      <c r="L121" s="1">
        <f t="shared" si="86"/>
        <v>0</v>
      </c>
      <c r="M121" s="9">
        <f t="shared" si="87"/>
        <v>0</v>
      </c>
      <c r="N121" s="10">
        <f t="shared" si="88"/>
        <v>0</v>
      </c>
      <c r="O121" s="1">
        <f>SUMIFS(
  '[1]Hoja 1'!$M:$M,
  '[1]Hoja 1'!$S:$S, $A121,
  '[1]Hoja 1'!$R:$R, "&gt;="&amp;INT($Q$1),
  '[1]Hoja 1'!$R:$R, "&lt;"&amp;INT($R$1+1)
)</f>
        <v>0</v>
      </c>
      <c r="P121" s="1">
        <f t="shared" si="89"/>
        <v>0</v>
      </c>
      <c r="Q121" s="9">
        <f t="shared" si="90"/>
        <v>0</v>
      </c>
      <c r="R121" s="10">
        <f t="shared" si="91"/>
        <v>0</v>
      </c>
      <c r="S121" s="1">
        <f>SUMIFS(
  '[1]Hoja 1'!$M:$M,
  '[1]Hoja 1'!$S:$S, $A121,
  '[1]Hoja 1'!$R:$R, "&gt;="&amp;INT($U$1),
  '[1]Hoja 1'!$R:$R, "&lt;"&amp;INT($V$1+1)
)</f>
        <v>0</v>
      </c>
      <c r="T121" s="1">
        <f t="shared" si="92"/>
        <v>0</v>
      </c>
      <c r="U121" s="9">
        <f t="shared" si="93"/>
        <v>0</v>
      </c>
      <c r="V121" s="10">
        <f t="shared" si="94"/>
        <v>0</v>
      </c>
      <c r="W121" s="1">
        <f>SUMIFS(
  '[1]Hoja 1'!$M:$M,
  '[1]Hoja 1'!$S:$S, $A121,
  '[1]Hoja 1'!$R:$R, "&gt;="&amp;INT($Y$1),
  '[1]Hoja 1'!$R:$R, "&lt;"&amp;INT($Z$1+1)
)</f>
        <v>0</v>
      </c>
      <c r="X121" s="1">
        <f t="shared" si="95"/>
        <v>0</v>
      </c>
      <c r="Y121" s="9">
        <f t="shared" si="96"/>
        <v>0</v>
      </c>
      <c r="Z121" s="10">
        <f t="shared" si="97"/>
        <v>0</v>
      </c>
      <c r="AA121" s="1">
        <f>SUMIFS(
  '[1]Hoja 1'!$M:$M,
  '[1]Hoja 1'!$S:$S, $A121,
  '[1]Hoja 1'!$R:$R, "&gt;="&amp;INT($AC$1),
  '[1]Hoja 1'!$R:$R, "&lt;"&amp;INT($AD$1+1)
)</f>
        <v>0</v>
      </c>
      <c r="AB121" s="1">
        <f t="shared" si="98"/>
        <v>0</v>
      </c>
      <c r="AC121" s="9">
        <f t="shared" si="99"/>
        <v>0</v>
      </c>
      <c r="AD121" s="10">
        <f t="shared" si="100"/>
        <v>0</v>
      </c>
      <c r="AE121" s="1">
        <f>SUMIFS(
  '[1]Hoja 1'!$M:$M,
  '[1]Hoja 1'!$S:$S, $A121,
  '[1]Hoja 1'!$R:$R, "&gt;="&amp;INT($AG$1),
  '[1]Hoja 1'!$R:$R, "&lt;"&amp;INT($AH$1+1)
)</f>
        <v>0</v>
      </c>
      <c r="AF121" s="1">
        <f t="shared" si="101"/>
        <v>0</v>
      </c>
      <c r="AG121" s="9">
        <f t="shared" si="102"/>
        <v>0</v>
      </c>
      <c r="AH121" s="10">
        <f t="shared" si="103"/>
        <v>0</v>
      </c>
      <c r="AI121" s="1">
        <f>SUMIFS(
  '[1]Hoja 1'!$M:$M,
  '[1]Hoja 1'!$S:$S, $A121,
  '[1]Hoja 1'!$R:$R, "&gt;="&amp;INT($AK$1),
  '[1]Hoja 1'!$R:$R, "&lt;"&amp;INT($AL$1+1)
)</f>
        <v>0</v>
      </c>
      <c r="AJ121" s="1">
        <f t="shared" si="104"/>
        <v>0</v>
      </c>
      <c r="AK121" s="9">
        <f t="shared" si="105"/>
        <v>0</v>
      </c>
      <c r="AL121" s="10">
        <f t="shared" si="106"/>
        <v>0</v>
      </c>
      <c r="AM121" s="1">
        <f>SUMIFS(
  '[1]Hoja 1'!$M:$M,
  '[1]Hoja 1'!$S:$S, $A121,
  '[1]Hoja 1'!$R:$R, "&gt;="&amp;INT($AO$1),
  '[1]Hoja 1'!$R:$R, "&lt;"&amp;INT($AP$1+1)
)</f>
        <v>0</v>
      </c>
      <c r="AN121" s="1">
        <f t="shared" si="107"/>
        <v>0</v>
      </c>
      <c r="AO121" s="9">
        <f t="shared" si="108"/>
        <v>0</v>
      </c>
      <c r="AP121" s="10">
        <f t="shared" si="109"/>
        <v>0</v>
      </c>
      <c r="AQ121" s="1">
        <f>SUMIFS(
  '[1]Hoja 1'!$M:$M,
  '[1]Hoja 1'!$S:$S, $A121,
  '[1]Hoja 1'!$R:$R, "&gt;="&amp;INT($AS$1),
  '[1]Hoja 1'!$R:$R, "&lt;"&amp;INT($AT$1+1)
)</f>
        <v>0</v>
      </c>
      <c r="AR121" s="1">
        <f t="shared" si="110"/>
        <v>0</v>
      </c>
      <c r="AS121" s="9">
        <f t="shared" si="111"/>
        <v>0</v>
      </c>
      <c r="AT121" s="10">
        <f t="shared" si="112"/>
        <v>0</v>
      </c>
      <c r="AU121" s="1">
        <f>SUMIFS(
  '[1]Hoja 1'!$M:$M,
  '[1]Hoja 1'!$S:$S, $A121,
  '[1]Hoja 1'!$R:$R, "&gt;="&amp;INT($AW$1),
  '[1]Hoja 1'!$R:$R, "&lt;"&amp;INT($AX$1+1)
)</f>
        <v>0</v>
      </c>
      <c r="AV121" s="1">
        <f t="shared" si="113"/>
        <v>0</v>
      </c>
      <c r="AW121" s="9">
        <f t="shared" si="114"/>
        <v>0</v>
      </c>
      <c r="AX121" s="10">
        <f t="shared" si="115"/>
        <v>0</v>
      </c>
      <c r="AY121" s="1">
        <f>SUMIFS(
  '[1]Hoja 1'!$M:$M,
  '[1]Hoja 1'!$S:$S, $A121,
  '[1]Hoja 1'!$R:$R, "&gt;="&amp;INT($BA$1),
  '[1]Hoja 1'!$R:$R, "&lt;"&amp;INT($BB$1+1)
)</f>
        <v>0</v>
      </c>
      <c r="AZ121" s="1">
        <f t="shared" si="116"/>
        <v>0</v>
      </c>
      <c r="BA121" s="9">
        <f t="shared" si="117"/>
        <v>0</v>
      </c>
      <c r="BB121" s="10">
        <f t="shared" si="118"/>
        <v>0</v>
      </c>
      <c r="BC121" s="1">
        <f>SUMIFS(
  '[1]Hoja 1'!$M:$M,
  '[1]Hoja 1'!$S:$S, $A121,
  '[1]Hoja 1'!$R:$R, "&gt;="&amp;INT($BE$1),
  '[1]Hoja 1'!$R:$R, "&lt;"&amp;INT($BF$1+1)
)</f>
        <v>0</v>
      </c>
      <c r="BD121" s="1">
        <f t="shared" si="119"/>
        <v>0</v>
      </c>
      <c r="BE121" s="9">
        <f t="shared" si="120"/>
        <v>0</v>
      </c>
      <c r="BF121" s="10">
        <f t="shared" si="121"/>
        <v>0</v>
      </c>
      <c r="BG121" s="1">
        <f>SUMIFS(
  '[1]Hoja 1'!$M:$M,
  '[1]Hoja 1'!$S:$S, $A121,
  '[1]Hoja 1'!$R:$R, "&gt;="&amp;INT($BI$1),
  '[1]Hoja 1'!$R:$R, "&lt;"&amp;INT($BJ$1+1)
)</f>
        <v>0</v>
      </c>
      <c r="BH121" s="1">
        <f t="shared" si="122"/>
        <v>0</v>
      </c>
      <c r="BI121" s="9">
        <f t="shared" si="123"/>
        <v>0</v>
      </c>
      <c r="BJ121" s="10">
        <f t="shared" si="124"/>
        <v>0</v>
      </c>
      <c r="BK121" s="1">
        <f>SUMIFS(
  '[1]Hoja 1'!$M:$M,
  '[1]Hoja 1'!$S:$S, $A121,
  '[1]Hoja 1'!$R:$R, "&gt;="&amp;INT($BM$1),
  '[1]Hoja 1'!$R:$R, "&lt;"&amp;INT($BN$1+1)
)</f>
        <v>0</v>
      </c>
      <c r="BL121" s="1">
        <f t="shared" si="125"/>
        <v>0</v>
      </c>
      <c r="BM121" s="9">
        <f t="shared" si="126"/>
        <v>0</v>
      </c>
      <c r="BN121" s="10">
        <f t="shared" si="127"/>
        <v>0</v>
      </c>
      <c r="BO121" s="1">
        <f>SUMIFS(
  '[1]Hoja 1'!$M:$M,
  '[1]Hoja 1'!$S:$S, $A121,
  '[1]Hoja 1'!$R:$R, "&gt;="&amp;INT($BQ$1),
  '[1]Hoja 1'!$R:$R, "&lt;"&amp;INT($BR$1+1)
)</f>
        <v>0</v>
      </c>
      <c r="BP121" s="1">
        <f t="shared" si="128"/>
        <v>0</v>
      </c>
      <c r="BQ121" s="9">
        <f t="shared" si="129"/>
        <v>0</v>
      </c>
      <c r="BR121" s="10">
        <f t="shared" si="130"/>
        <v>0</v>
      </c>
      <c r="BS121" s="1">
        <f>SUMIFS(
  '[1]Hoja 1'!$M:$M,
  '[1]Hoja 1'!$S:$S, $A121,
  '[1]Hoja 1'!$R:$R, "&gt;="&amp;INT($BU$1),
  '[1]Hoja 1'!$R:$R, "&lt;"&amp;INT($BV$1+1)
)</f>
        <v>0</v>
      </c>
      <c r="BT121" s="1">
        <f t="shared" si="131"/>
        <v>0</v>
      </c>
      <c r="BU121" s="9">
        <f t="shared" si="132"/>
        <v>0</v>
      </c>
      <c r="BV121" s="10">
        <f t="shared" si="133"/>
        <v>0</v>
      </c>
      <c r="BW121" s="1">
        <f>SUMIFS(
  '[1]Hoja 1'!$M:$M,
  '[1]Hoja 1'!$S:$S, $A121,
  '[1]Hoja 1'!$R:$R, "&gt;="&amp;INT($BY$1),
  '[1]Hoja 1'!$R:$R, "&lt;"&amp;INT($BZ$1+1)
)</f>
        <v>0</v>
      </c>
      <c r="BX121" s="1">
        <f t="shared" si="134"/>
        <v>0</v>
      </c>
      <c r="BY121" s="9">
        <f t="shared" si="135"/>
        <v>0</v>
      </c>
      <c r="BZ121" s="10">
        <f t="shared" si="136"/>
        <v>0</v>
      </c>
      <c r="CA121" s="1">
        <f>SUMIFS(
  '[1]Hoja 1'!$M:$M,
  '[1]Hoja 1'!$S:$S, $A121,
  '[1]Hoja 1'!$R:$R, "&gt;="&amp;INT($CC$1),
  '[1]Hoja 1'!$R:$R, "&lt;"&amp;INT($CD$1+1)
)</f>
        <v>0</v>
      </c>
      <c r="CB121" s="1">
        <f t="shared" si="137"/>
        <v>0</v>
      </c>
      <c r="CC121" s="9">
        <f t="shared" si="138"/>
        <v>0</v>
      </c>
      <c r="CD121" s="10">
        <f t="shared" si="139"/>
        <v>0</v>
      </c>
      <c r="CE121" s="1">
        <f>SUMIFS(
  '[1]Hoja 1'!$M:$M,
  '[1]Hoja 1'!$S:$S, $A121,
  '[1]Hoja 1'!$R:$R, "&gt;="&amp;INT($CG$1),
  '[1]Hoja 1'!$R:$R, "&lt;"&amp;INT($CH$1+1)
)</f>
        <v>0</v>
      </c>
      <c r="CF121" s="1">
        <f t="shared" si="140"/>
        <v>0</v>
      </c>
      <c r="CG121" s="9">
        <f t="shared" si="141"/>
        <v>0</v>
      </c>
      <c r="CH121" s="10">
        <f t="shared" si="142"/>
        <v>0</v>
      </c>
      <c r="CI121" s="1">
        <f>SUMIFS(
  '[1]Hoja 1'!$M:$M,
  '[1]Hoja 1'!$S:$S, $A121,
  '[1]Hoja 1'!$R:$R, "&gt;="&amp;INT($CK$1),
  '[1]Hoja 1'!$R:$R, "&lt;"&amp;INT($CL$1+1)
)</f>
        <v>0</v>
      </c>
      <c r="CJ121" s="1">
        <f t="shared" si="143"/>
        <v>0</v>
      </c>
      <c r="CK121" s="9">
        <f t="shared" si="144"/>
        <v>0</v>
      </c>
      <c r="CL121" s="10">
        <f t="shared" si="145"/>
        <v>0</v>
      </c>
      <c r="CM121" s="1">
        <f>SUMIFS(
  '[1]Hoja 1'!$M:$M,
  '[1]Hoja 1'!$S:$S, $A121,
  '[1]Hoja 1'!$R:$R, "&gt;="&amp;INT($CO$1),
  '[1]Hoja 1'!$R:$R, "&lt;"&amp;INT($CP$1+1)
)</f>
        <v>0</v>
      </c>
      <c r="CN121" s="1">
        <f t="shared" si="146"/>
        <v>0</v>
      </c>
      <c r="CO121" s="9">
        <f t="shared" si="147"/>
        <v>0</v>
      </c>
      <c r="CP121" s="10">
        <f t="shared" si="148"/>
        <v>0</v>
      </c>
      <c r="CQ121" s="1">
        <f>SUMIFS(
  '[1]Hoja 1'!$M:$M,
  '[1]Hoja 1'!$S:$S, $A121,
  '[1]Hoja 1'!$R:$R, "&gt;="&amp;INT($CS$1),
  '[1]Hoja 1'!$R:$R, "&lt;"&amp;INT($CT$1+1)
)</f>
        <v>0</v>
      </c>
      <c r="CR121" s="1">
        <f t="shared" si="149"/>
        <v>0</v>
      </c>
      <c r="CS121" s="9">
        <f t="shared" si="150"/>
        <v>0</v>
      </c>
      <c r="CT121" s="10">
        <f t="shared" si="151"/>
        <v>0</v>
      </c>
      <c r="CU121" s="1">
        <f>SUMIFS(
  '[1]Hoja 1'!$M:$M,
  '[1]Hoja 1'!$S:$S, $A121,
  '[1]Hoja 1'!$R:$R, "&gt;="&amp;INT($CW$1),
  '[1]Hoja 1'!$R:$R, "&lt;"&amp;INT($CX$1+1)
)</f>
        <v>0</v>
      </c>
      <c r="CV121" s="1">
        <f t="shared" si="152"/>
        <v>0</v>
      </c>
      <c r="CW121" s="9">
        <f t="shared" si="153"/>
        <v>0</v>
      </c>
      <c r="CX121" s="10">
        <f t="shared" si="154"/>
        <v>0</v>
      </c>
      <c r="CY121" s="1">
        <f>SUMIFS(
  '[1]Hoja 1'!$M:$M,
  '[1]Hoja 1'!$S:$S, $A121,
  '[1]Hoja 1'!$R:$R, "&gt;="&amp;INT($DA$1),
  '[1]Hoja 1'!$R:$R, "&lt;"&amp;INT($DB$1+1)
)</f>
        <v>0</v>
      </c>
      <c r="CZ121" s="1">
        <f t="shared" si="155"/>
        <v>0</v>
      </c>
      <c r="DA121" s="9">
        <f t="shared" si="156"/>
        <v>0</v>
      </c>
      <c r="DB121" s="10">
        <f t="shared" si="157"/>
        <v>0</v>
      </c>
      <c r="DC121" s="1">
        <f>SUMIFS(
  '[1]Hoja 1'!$M:$M,
  '[1]Hoja 1'!$S:$S, $A121,
  '[1]Hoja 1'!$R:$R, "&gt;="&amp;INT($DE$1),
  '[1]Hoja 1'!$R:$R, "&lt;"&amp;INT($DF$1+1)
)</f>
        <v>0</v>
      </c>
      <c r="DD121" s="1">
        <f t="shared" si="158"/>
        <v>0</v>
      </c>
      <c r="DE121" s="9">
        <f t="shared" si="159"/>
        <v>0</v>
      </c>
      <c r="DF121" s="10">
        <f t="shared" si="160"/>
        <v>0</v>
      </c>
      <c r="DG121" s="1">
        <f>SUMIFS(
  '[1]Hoja 1'!$M:$M,
  '[1]Hoja 1'!$S:$S, $A121,
  '[1]Hoja 1'!$R:$R, "&gt;="&amp;INT($DI$1),
  '[1]Hoja 1'!$R:$R, "&lt;"&amp;INT($DJ$1+1)
)</f>
        <v>0</v>
      </c>
      <c r="DH121" s="1">
        <f t="shared" si="161"/>
        <v>0</v>
      </c>
      <c r="DI121" s="9">
        <f t="shared" si="162"/>
        <v>0</v>
      </c>
      <c r="DJ121" s="10">
        <f t="shared" si="163"/>
        <v>0</v>
      </c>
      <c r="DK121" s="1">
        <f>SUMIFS(
  '[1]Hoja 1'!$M:$M,
  '[1]Hoja 1'!$S:$S, $A121,
  '[1]Hoja 1'!$R:$R, "&gt;="&amp;INT($DM$1),
  '[1]Hoja 1'!$R:$R, "&lt;"&amp;INT($DN$1+1)
)</f>
        <v>0</v>
      </c>
      <c r="DL121" s="1">
        <f t="shared" si="164"/>
        <v>0</v>
      </c>
      <c r="DM121" s="9">
        <f t="shared" si="165"/>
        <v>0</v>
      </c>
      <c r="DN121" s="10">
        <f t="shared" si="166"/>
        <v>0</v>
      </c>
      <c r="DO121" s="1">
        <f>SUMIFS(
  '[1]Hoja 1'!$M:$M,
  '[1]Hoja 1'!$S:$S, $A121,
  '[1]Hoja 1'!$R:$R, "&gt;="&amp;INT($DQ$1),
  '[1]Hoja 1'!$R:$R, "&lt;"&amp;INT($DR$1+1)
)</f>
        <v>0</v>
      </c>
      <c r="DP121" s="1">
        <f t="shared" si="167"/>
        <v>0</v>
      </c>
      <c r="DQ121" s="9">
        <f t="shared" si="168"/>
        <v>0</v>
      </c>
      <c r="DR121" s="10">
        <f t="shared" si="169"/>
        <v>0</v>
      </c>
    </row>
    <row r="122" spans="1:122" x14ac:dyDescent="0.25">
      <c r="A122" s="5">
        <v>221002</v>
      </c>
      <c r="B122" s="6" t="s">
        <v>120</v>
      </c>
      <c r="C122" s="1">
        <f>SUMIFS(
  '[1]Hoja 1'!$M:$M,
  '[1]Hoja 1'!$S:$S, $A122,
  '[1]Hoja 1'!$R:$R, "&gt;="&amp;INT($E$1),
  '[1]Hoja 1'!$R:$R, "&lt;"&amp;INT($F$1+1)
)</f>
        <v>0</v>
      </c>
      <c r="D122" s="1" t="str">
        <f>""</f>
        <v/>
      </c>
      <c r="F122" s="2"/>
      <c r="G122" s="1">
        <f>SUMIFS(
  '[1]Hoja 1'!$M:$M,
  '[1]Hoja 1'!$S:$S, $A122,
  '[1]Hoja 1'!$R:$R, "&gt;="&amp;INT($I$1),
  '[1]Hoja 1'!$R:$R, "&lt;"&amp;INT($J$1+1)
)</f>
        <v>0</v>
      </c>
      <c r="H122" s="1">
        <f t="shared" si="85"/>
        <v>0</v>
      </c>
      <c r="I122" s="1"/>
      <c r="J122" s="2"/>
      <c r="K122" s="1">
        <f>SUMIFS(
  '[1]Hoja 1'!$M:$M,
  '[1]Hoja 1'!$S:$S, $A122,
  '[1]Hoja 1'!$R:$R, "&gt;="&amp;INT($M$1),
  '[1]Hoja 1'!$R:$R, "&lt;"&amp;INT($N$1+1)
)</f>
        <v>0</v>
      </c>
      <c r="L122" s="1">
        <f t="shared" si="86"/>
        <v>0</v>
      </c>
      <c r="M122" s="9">
        <f t="shared" si="87"/>
        <v>0</v>
      </c>
      <c r="N122" s="10">
        <f t="shared" si="88"/>
        <v>0</v>
      </c>
      <c r="O122" s="1">
        <f>SUMIFS(
  '[1]Hoja 1'!$M:$M,
  '[1]Hoja 1'!$S:$S, $A122,
  '[1]Hoja 1'!$R:$R, "&gt;="&amp;INT($Q$1),
  '[1]Hoja 1'!$R:$R, "&lt;"&amp;INT($R$1+1)
)</f>
        <v>0</v>
      </c>
      <c r="P122" s="1">
        <f t="shared" si="89"/>
        <v>0</v>
      </c>
      <c r="Q122" s="9">
        <f t="shared" si="90"/>
        <v>0</v>
      </c>
      <c r="R122" s="10">
        <f t="shared" si="91"/>
        <v>0</v>
      </c>
      <c r="S122" s="1">
        <f>SUMIFS(
  '[1]Hoja 1'!$M:$M,
  '[1]Hoja 1'!$S:$S, $A122,
  '[1]Hoja 1'!$R:$R, "&gt;="&amp;INT($U$1),
  '[1]Hoja 1'!$R:$R, "&lt;"&amp;INT($V$1+1)
)</f>
        <v>0</v>
      </c>
      <c r="T122" s="1">
        <f t="shared" si="92"/>
        <v>0</v>
      </c>
      <c r="U122" s="9">
        <f t="shared" si="93"/>
        <v>0</v>
      </c>
      <c r="V122" s="10">
        <f t="shared" si="94"/>
        <v>0</v>
      </c>
      <c r="W122" s="1">
        <f>SUMIFS(
  '[1]Hoja 1'!$M:$M,
  '[1]Hoja 1'!$S:$S, $A122,
  '[1]Hoja 1'!$R:$R, "&gt;="&amp;INT($Y$1),
  '[1]Hoja 1'!$R:$R, "&lt;"&amp;INT($Z$1+1)
)</f>
        <v>0</v>
      </c>
      <c r="X122" s="1">
        <f t="shared" si="95"/>
        <v>0</v>
      </c>
      <c r="Y122" s="9">
        <f t="shared" si="96"/>
        <v>0</v>
      </c>
      <c r="Z122" s="10">
        <f t="shared" si="97"/>
        <v>0</v>
      </c>
      <c r="AA122" s="1">
        <f>SUMIFS(
  '[1]Hoja 1'!$M:$M,
  '[1]Hoja 1'!$S:$S, $A122,
  '[1]Hoja 1'!$R:$R, "&gt;="&amp;INT($AC$1),
  '[1]Hoja 1'!$R:$R, "&lt;"&amp;INT($AD$1+1)
)</f>
        <v>0</v>
      </c>
      <c r="AB122" s="1">
        <f t="shared" si="98"/>
        <v>0</v>
      </c>
      <c r="AC122" s="9">
        <f t="shared" si="99"/>
        <v>0</v>
      </c>
      <c r="AD122" s="10">
        <f t="shared" si="100"/>
        <v>0</v>
      </c>
      <c r="AE122" s="1">
        <f>SUMIFS(
  '[1]Hoja 1'!$M:$M,
  '[1]Hoja 1'!$S:$S, $A122,
  '[1]Hoja 1'!$R:$R, "&gt;="&amp;INT($AG$1),
  '[1]Hoja 1'!$R:$R, "&lt;"&amp;INT($AH$1+1)
)</f>
        <v>0</v>
      </c>
      <c r="AF122" s="1">
        <f t="shared" si="101"/>
        <v>0</v>
      </c>
      <c r="AG122" s="9">
        <f t="shared" si="102"/>
        <v>0</v>
      </c>
      <c r="AH122" s="10">
        <f t="shared" si="103"/>
        <v>0</v>
      </c>
      <c r="AI122" s="1">
        <f>SUMIFS(
  '[1]Hoja 1'!$M:$M,
  '[1]Hoja 1'!$S:$S, $A122,
  '[1]Hoja 1'!$R:$R, "&gt;="&amp;INT($AK$1),
  '[1]Hoja 1'!$R:$R, "&lt;"&amp;INT($AL$1+1)
)</f>
        <v>0</v>
      </c>
      <c r="AJ122" s="1">
        <f t="shared" si="104"/>
        <v>0</v>
      </c>
      <c r="AK122" s="9">
        <f t="shared" si="105"/>
        <v>0</v>
      </c>
      <c r="AL122" s="10">
        <f t="shared" si="106"/>
        <v>0</v>
      </c>
      <c r="AM122" s="1">
        <f>SUMIFS(
  '[1]Hoja 1'!$M:$M,
  '[1]Hoja 1'!$S:$S, $A122,
  '[1]Hoja 1'!$R:$R, "&gt;="&amp;INT($AO$1),
  '[1]Hoja 1'!$R:$R, "&lt;"&amp;INT($AP$1+1)
)</f>
        <v>0</v>
      </c>
      <c r="AN122" s="1">
        <f t="shared" si="107"/>
        <v>0</v>
      </c>
      <c r="AO122" s="9">
        <f t="shared" si="108"/>
        <v>0</v>
      </c>
      <c r="AP122" s="10">
        <f t="shared" si="109"/>
        <v>0</v>
      </c>
      <c r="AQ122" s="1">
        <f>SUMIFS(
  '[1]Hoja 1'!$M:$M,
  '[1]Hoja 1'!$S:$S, $A122,
  '[1]Hoja 1'!$R:$R, "&gt;="&amp;INT($AS$1),
  '[1]Hoja 1'!$R:$R, "&lt;"&amp;INT($AT$1+1)
)</f>
        <v>0</v>
      </c>
      <c r="AR122" s="1">
        <f t="shared" si="110"/>
        <v>0</v>
      </c>
      <c r="AS122" s="9">
        <f t="shared" si="111"/>
        <v>0</v>
      </c>
      <c r="AT122" s="10">
        <f t="shared" si="112"/>
        <v>0</v>
      </c>
      <c r="AU122" s="1">
        <f>SUMIFS(
  '[1]Hoja 1'!$M:$M,
  '[1]Hoja 1'!$S:$S, $A122,
  '[1]Hoja 1'!$R:$R, "&gt;="&amp;INT($AW$1),
  '[1]Hoja 1'!$R:$R, "&lt;"&amp;INT($AX$1+1)
)</f>
        <v>0</v>
      </c>
      <c r="AV122" s="1">
        <f t="shared" si="113"/>
        <v>0</v>
      </c>
      <c r="AW122" s="9">
        <f t="shared" si="114"/>
        <v>0</v>
      </c>
      <c r="AX122" s="10">
        <f t="shared" si="115"/>
        <v>0</v>
      </c>
      <c r="AY122" s="1">
        <f>SUMIFS(
  '[1]Hoja 1'!$M:$M,
  '[1]Hoja 1'!$S:$S, $A122,
  '[1]Hoja 1'!$R:$R, "&gt;="&amp;INT($BA$1),
  '[1]Hoja 1'!$R:$R, "&lt;"&amp;INT($BB$1+1)
)</f>
        <v>0</v>
      </c>
      <c r="AZ122" s="1">
        <f t="shared" si="116"/>
        <v>0</v>
      </c>
      <c r="BA122" s="9">
        <f t="shared" si="117"/>
        <v>0</v>
      </c>
      <c r="BB122" s="10">
        <f t="shared" si="118"/>
        <v>0</v>
      </c>
      <c r="BC122" s="1">
        <f>SUMIFS(
  '[1]Hoja 1'!$M:$M,
  '[1]Hoja 1'!$S:$S, $A122,
  '[1]Hoja 1'!$R:$R, "&gt;="&amp;INT($BE$1),
  '[1]Hoja 1'!$R:$R, "&lt;"&amp;INT($BF$1+1)
)</f>
        <v>0</v>
      </c>
      <c r="BD122" s="1">
        <f t="shared" si="119"/>
        <v>0</v>
      </c>
      <c r="BE122" s="9">
        <f t="shared" si="120"/>
        <v>0</v>
      </c>
      <c r="BF122" s="10">
        <f t="shared" si="121"/>
        <v>0</v>
      </c>
      <c r="BG122" s="1">
        <f>SUMIFS(
  '[1]Hoja 1'!$M:$M,
  '[1]Hoja 1'!$S:$S, $A122,
  '[1]Hoja 1'!$R:$R, "&gt;="&amp;INT($BI$1),
  '[1]Hoja 1'!$R:$R, "&lt;"&amp;INT($BJ$1+1)
)</f>
        <v>0</v>
      </c>
      <c r="BH122" s="1">
        <f t="shared" si="122"/>
        <v>0</v>
      </c>
      <c r="BI122" s="9">
        <f t="shared" si="123"/>
        <v>0</v>
      </c>
      <c r="BJ122" s="10">
        <f t="shared" si="124"/>
        <v>0</v>
      </c>
      <c r="BK122" s="1">
        <f>SUMIFS(
  '[1]Hoja 1'!$M:$M,
  '[1]Hoja 1'!$S:$S, $A122,
  '[1]Hoja 1'!$R:$R, "&gt;="&amp;INT($BM$1),
  '[1]Hoja 1'!$R:$R, "&lt;"&amp;INT($BN$1+1)
)</f>
        <v>0</v>
      </c>
      <c r="BL122" s="1">
        <f t="shared" si="125"/>
        <v>0</v>
      </c>
      <c r="BM122" s="9">
        <f t="shared" si="126"/>
        <v>0</v>
      </c>
      <c r="BN122" s="10">
        <f t="shared" si="127"/>
        <v>0</v>
      </c>
      <c r="BO122" s="1">
        <f>SUMIFS(
  '[1]Hoja 1'!$M:$M,
  '[1]Hoja 1'!$S:$S, $A122,
  '[1]Hoja 1'!$R:$R, "&gt;="&amp;INT($BQ$1),
  '[1]Hoja 1'!$R:$R, "&lt;"&amp;INT($BR$1+1)
)</f>
        <v>0</v>
      </c>
      <c r="BP122" s="1">
        <f t="shared" si="128"/>
        <v>0</v>
      </c>
      <c r="BQ122" s="9">
        <f t="shared" si="129"/>
        <v>0</v>
      </c>
      <c r="BR122" s="10">
        <f t="shared" si="130"/>
        <v>0</v>
      </c>
      <c r="BS122" s="1">
        <f>SUMIFS(
  '[1]Hoja 1'!$M:$M,
  '[1]Hoja 1'!$S:$S, $A122,
  '[1]Hoja 1'!$R:$R, "&gt;="&amp;INT($BU$1),
  '[1]Hoja 1'!$R:$R, "&lt;"&amp;INT($BV$1+1)
)</f>
        <v>0</v>
      </c>
      <c r="BT122" s="1">
        <f t="shared" si="131"/>
        <v>0</v>
      </c>
      <c r="BU122" s="9">
        <f t="shared" si="132"/>
        <v>0</v>
      </c>
      <c r="BV122" s="10">
        <f t="shared" si="133"/>
        <v>0</v>
      </c>
      <c r="BW122" s="1">
        <f>SUMIFS(
  '[1]Hoja 1'!$M:$M,
  '[1]Hoja 1'!$S:$S, $A122,
  '[1]Hoja 1'!$R:$R, "&gt;="&amp;INT($BY$1),
  '[1]Hoja 1'!$R:$R, "&lt;"&amp;INT($BZ$1+1)
)</f>
        <v>0</v>
      </c>
      <c r="BX122" s="1">
        <f t="shared" si="134"/>
        <v>0</v>
      </c>
      <c r="BY122" s="9">
        <f t="shared" si="135"/>
        <v>0</v>
      </c>
      <c r="BZ122" s="10">
        <f t="shared" si="136"/>
        <v>0</v>
      </c>
      <c r="CA122" s="1">
        <f>SUMIFS(
  '[1]Hoja 1'!$M:$M,
  '[1]Hoja 1'!$S:$S, $A122,
  '[1]Hoja 1'!$R:$R, "&gt;="&amp;INT($CC$1),
  '[1]Hoja 1'!$R:$R, "&lt;"&amp;INT($CD$1+1)
)</f>
        <v>0</v>
      </c>
      <c r="CB122" s="1">
        <f t="shared" si="137"/>
        <v>0</v>
      </c>
      <c r="CC122" s="9">
        <f t="shared" si="138"/>
        <v>0</v>
      </c>
      <c r="CD122" s="10">
        <f t="shared" si="139"/>
        <v>0</v>
      </c>
      <c r="CE122" s="1">
        <f>SUMIFS(
  '[1]Hoja 1'!$M:$M,
  '[1]Hoja 1'!$S:$S, $A122,
  '[1]Hoja 1'!$R:$R, "&gt;="&amp;INT($CG$1),
  '[1]Hoja 1'!$R:$R, "&lt;"&amp;INT($CH$1+1)
)</f>
        <v>0</v>
      </c>
      <c r="CF122" s="1">
        <f t="shared" si="140"/>
        <v>0</v>
      </c>
      <c r="CG122" s="9">
        <f t="shared" si="141"/>
        <v>0</v>
      </c>
      <c r="CH122" s="10">
        <f t="shared" si="142"/>
        <v>0</v>
      </c>
      <c r="CI122" s="1">
        <f>SUMIFS(
  '[1]Hoja 1'!$M:$M,
  '[1]Hoja 1'!$S:$S, $A122,
  '[1]Hoja 1'!$R:$R, "&gt;="&amp;INT($CK$1),
  '[1]Hoja 1'!$R:$R, "&lt;"&amp;INT($CL$1+1)
)</f>
        <v>0</v>
      </c>
      <c r="CJ122" s="1">
        <f t="shared" si="143"/>
        <v>0</v>
      </c>
      <c r="CK122" s="9">
        <f t="shared" si="144"/>
        <v>0</v>
      </c>
      <c r="CL122" s="10">
        <f t="shared" si="145"/>
        <v>0</v>
      </c>
      <c r="CM122" s="1">
        <f>SUMIFS(
  '[1]Hoja 1'!$M:$M,
  '[1]Hoja 1'!$S:$S, $A122,
  '[1]Hoja 1'!$R:$R, "&gt;="&amp;INT($CO$1),
  '[1]Hoja 1'!$R:$R, "&lt;"&amp;INT($CP$1+1)
)</f>
        <v>0</v>
      </c>
      <c r="CN122" s="1">
        <f t="shared" si="146"/>
        <v>0</v>
      </c>
      <c r="CO122" s="9">
        <f t="shared" si="147"/>
        <v>0</v>
      </c>
      <c r="CP122" s="10">
        <f t="shared" si="148"/>
        <v>0</v>
      </c>
      <c r="CQ122" s="1">
        <f>SUMIFS(
  '[1]Hoja 1'!$M:$M,
  '[1]Hoja 1'!$S:$S, $A122,
  '[1]Hoja 1'!$R:$R, "&gt;="&amp;INT($CS$1),
  '[1]Hoja 1'!$R:$R, "&lt;"&amp;INT($CT$1+1)
)</f>
        <v>0</v>
      </c>
      <c r="CR122" s="1">
        <f t="shared" si="149"/>
        <v>0</v>
      </c>
      <c r="CS122" s="9">
        <f t="shared" si="150"/>
        <v>0</v>
      </c>
      <c r="CT122" s="10">
        <f t="shared" si="151"/>
        <v>0</v>
      </c>
      <c r="CU122" s="1">
        <f>SUMIFS(
  '[1]Hoja 1'!$M:$M,
  '[1]Hoja 1'!$S:$S, $A122,
  '[1]Hoja 1'!$R:$R, "&gt;="&amp;INT($CW$1),
  '[1]Hoja 1'!$R:$R, "&lt;"&amp;INT($CX$1+1)
)</f>
        <v>0</v>
      </c>
      <c r="CV122" s="1">
        <f t="shared" si="152"/>
        <v>0</v>
      </c>
      <c r="CW122" s="9">
        <f t="shared" si="153"/>
        <v>0</v>
      </c>
      <c r="CX122" s="10">
        <f t="shared" si="154"/>
        <v>0</v>
      </c>
      <c r="CY122" s="1">
        <f>SUMIFS(
  '[1]Hoja 1'!$M:$M,
  '[1]Hoja 1'!$S:$S, $A122,
  '[1]Hoja 1'!$R:$R, "&gt;="&amp;INT($DA$1),
  '[1]Hoja 1'!$R:$R, "&lt;"&amp;INT($DB$1+1)
)</f>
        <v>0</v>
      </c>
      <c r="CZ122" s="1">
        <f t="shared" si="155"/>
        <v>0</v>
      </c>
      <c r="DA122" s="9">
        <f t="shared" si="156"/>
        <v>0</v>
      </c>
      <c r="DB122" s="10">
        <f t="shared" si="157"/>
        <v>0</v>
      </c>
      <c r="DC122" s="1">
        <f>SUMIFS(
  '[1]Hoja 1'!$M:$M,
  '[1]Hoja 1'!$S:$S, $A122,
  '[1]Hoja 1'!$R:$R, "&gt;="&amp;INT($DE$1),
  '[1]Hoja 1'!$R:$R, "&lt;"&amp;INT($DF$1+1)
)</f>
        <v>0</v>
      </c>
      <c r="DD122" s="1">
        <f t="shared" si="158"/>
        <v>0</v>
      </c>
      <c r="DE122" s="9">
        <f t="shared" si="159"/>
        <v>0</v>
      </c>
      <c r="DF122" s="10">
        <f t="shared" si="160"/>
        <v>0</v>
      </c>
      <c r="DG122" s="1">
        <f>SUMIFS(
  '[1]Hoja 1'!$M:$M,
  '[1]Hoja 1'!$S:$S, $A122,
  '[1]Hoja 1'!$R:$R, "&gt;="&amp;INT($DI$1),
  '[1]Hoja 1'!$R:$R, "&lt;"&amp;INT($DJ$1+1)
)</f>
        <v>0</v>
      </c>
      <c r="DH122" s="1">
        <f t="shared" si="161"/>
        <v>0</v>
      </c>
      <c r="DI122" s="9">
        <f t="shared" si="162"/>
        <v>0</v>
      </c>
      <c r="DJ122" s="10">
        <f t="shared" si="163"/>
        <v>0</v>
      </c>
      <c r="DK122" s="1">
        <f>SUMIFS(
  '[1]Hoja 1'!$M:$M,
  '[1]Hoja 1'!$S:$S, $A122,
  '[1]Hoja 1'!$R:$R, "&gt;="&amp;INT($DM$1),
  '[1]Hoja 1'!$R:$R, "&lt;"&amp;INT($DN$1+1)
)</f>
        <v>0</v>
      </c>
      <c r="DL122" s="1">
        <f t="shared" si="164"/>
        <v>0</v>
      </c>
      <c r="DM122" s="9">
        <f t="shared" si="165"/>
        <v>0</v>
      </c>
      <c r="DN122" s="10">
        <f t="shared" si="166"/>
        <v>0</v>
      </c>
      <c r="DO122" s="1">
        <f>SUMIFS(
  '[1]Hoja 1'!$M:$M,
  '[1]Hoja 1'!$S:$S, $A122,
  '[1]Hoja 1'!$R:$R, "&gt;="&amp;INT($DQ$1),
  '[1]Hoja 1'!$R:$R, "&lt;"&amp;INT($DR$1+1)
)</f>
        <v>0</v>
      </c>
      <c r="DP122" s="1">
        <f t="shared" si="167"/>
        <v>0</v>
      </c>
      <c r="DQ122" s="9">
        <f t="shared" si="168"/>
        <v>0</v>
      </c>
      <c r="DR122" s="10">
        <f t="shared" si="169"/>
        <v>0</v>
      </c>
    </row>
    <row r="123" spans="1:122" x14ac:dyDescent="0.25">
      <c r="A123" s="5">
        <v>221003</v>
      </c>
      <c r="B123" s="6" t="s">
        <v>121</v>
      </c>
      <c r="C123" s="1">
        <f>SUMIFS(
  '[1]Hoja 1'!$M:$M,
  '[1]Hoja 1'!$S:$S, $A123,
  '[1]Hoja 1'!$R:$R, "&gt;="&amp;INT($E$1),
  '[1]Hoja 1'!$R:$R, "&lt;"&amp;INT($F$1+1)
)</f>
        <v>0</v>
      </c>
      <c r="D123" s="1" t="str">
        <f>""</f>
        <v/>
      </c>
      <c r="F123" s="2"/>
      <c r="G123" s="1">
        <f>SUMIFS(
  '[1]Hoja 1'!$M:$M,
  '[1]Hoja 1'!$S:$S, $A123,
  '[1]Hoja 1'!$R:$R, "&gt;="&amp;INT($I$1),
  '[1]Hoja 1'!$R:$R, "&lt;"&amp;INT($J$1+1)
)</f>
        <v>0</v>
      </c>
      <c r="H123" s="1">
        <f t="shared" si="85"/>
        <v>0</v>
      </c>
      <c r="I123" s="1"/>
      <c r="J123" s="2"/>
      <c r="K123" s="1">
        <f>SUMIFS(
  '[1]Hoja 1'!$M:$M,
  '[1]Hoja 1'!$S:$S, $A123,
  '[1]Hoja 1'!$R:$R, "&gt;="&amp;INT($M$1),
  '[1]Hoja 1'!$R:$R, "&lt;"&amp;INT($N$1+1)
)</f>
        <v>0</v>
      </c>
      <c r="L123" s="1">
        <f t="shared" si="86"/>
        <v>0</v>
      </c>
      <c r="M123" s="9">
        <f t="shared" si="87"/>
        <v>0</v>
      </c>
      <c r="N123" s="10">
        <f t="shared" si="88"/>
        <v>0</v>
      </c>
      <c r="O123" s="1">
        <f>SUMIFS(
  '[1]Hoja 1'!$M:$M,
  '[1]Hoja 1'!$S:$S, $A123,
  '[1]Hoja 1'!$R:$R, "&gt;="&amp;INT($Q$1),
  '[1]Hoja 1'!$R:$R, "&lt;"&amp;INT($R$1+1)
)</f>
        <v>0</v>
      </c>
      <c r="P123" s="1">
        <f t="shared" si="89"/>
        <v>0</v>
      </c>
      <c r="Q123" s="9">
        <f t="shared" si="90"/>
        <v>0</v>
      </c>
      <c r="R123" s="10">
        <f t="shared" si="91"/>
        <v>0</v>
      </c>
      <c r="S123" s="1">
        <f>SUMIFS(
  '[1]Hoja 1'!$M:$M,
  '[1]Hoja 1'!$S:$S, $A123,
  '[1]Hoja 1'!$R:$R, "&gt;="&amp;INT($U$1),
  '[1]Hoja 1'!$R:$R, "&lt;"&amp;INT($V$1+1)
)</f>
        <v>0</v>
      </c>
      <c r="T123" s="1">
        <f t="shared" si="92"/>
        <v>0</v>
      </c>
      <c r="U123" s="9">
        <f t="shared" si="93"/>
        <v>0</v>
      </c>
      <c r="V123" s="10">
        <f t="shared" si="94"/>
        <v>0</v>
      </c>
      <c r="W123" s="1">
        <f>SUMIFS(
  '[1]Hoja 1'!$M:$M,
  '[1]Hoja 1'!$S:$S, $A123,
  '[1]Hoja 1'!$R:$R, "&gt;="&amp;INT($Y$1),
  '[1]Hoja 1'!$R:$R, "&lt;"&amp;INT($Z$1+1)
)</f>
        <v>0</v>
      </c>
      <c r="X123" s="1">
        <f t="shared" si="95"/>
        <v>0</v>
      </c>
      <c r="Y123" s="9">
        <f t="shared" si="96"/>
        <v>0</v>
      </c>
      <c r="Z123" s="10">
        <f t="shared" si="97"/>
        <v>0</v>
      </c>
      <c r="AA123" s="1">
        <f>SUMIFS(
  '[1]Hoja 1'!$M:$M,
  '[1]Hoja 1'!$S:$S, $A123,
  '[1]Hoja 1'!$R:$R, "&gt;="&amp;INT($AC$1),
  '[1]Hoja 1'!$R:$R, "&lt;"&amp;INT($AD$1+1)
)</f>
        <v>0</v>
      </c>
      <c r="AB123" s="1">
        <f t="shared" si="98"/>
        <v>0</v>
      </c>
      <c r="AC123" s="9">
        <f t="shared" si="99"/>
        <v>0</v>
      </c>
      <c r="AD123" s="10">
        <f t="shared" si="100"/>
        <v>0</v>
      </c>
      <c r="AE123" s="1">
        <f>SUMIFS(
  '[1]Hoja 1'!$M:$M,
  '[1]Hoja 1'!$S:$S, $A123,
  '[1]Hoja 1'!$R:$R, "&gt;="&amp;INT($AG$1),
  '[1]Hoja 1'!$R:$R, "&lt;"&amp;INT($AH$1+1)
)</f>
        <v>0</v>
      </c>
      <c r="AF123" s="1">
        <f t="shared" si="101"/>
        <v>0</v>
      </c>
      <c r="AG123" s="9">
        <f t="shared" si="102"/>
        <v>0</v>
      </c>
      <c r="AH123" s="10">
        <f t="shared" si="103"/>
        <v>0</v>
      </c>
      <c r="AI123" s="1">
        <f>SUMIFS(
  '[1]Hoja 1'!$M:$M,
  '[1]Hoja 1'!$S:$S, $A123,
  '[1]Hoja 1'!$R:$R, "&gt;="&amp;INT($AK$1),
  '[1]Hoja 1'!$R:$R, "&lt;"&amp;INT($AL$1+1)
)</f>
        <v>0</v>
      </c>
      <c r="AJ123" s="1">
        <f t="shared" si="104"/>
        <v>0</v>
      </c>
      <c r="AK123" s="9">
        <f t="shared" si="105"/>
        <v>0</v>
      </c>
      <c r="AL123" s="10">
        <f t="shared" si="106"/>
        <v>0</v>
      </c>
      <c r="AM123" s="1">
        <f>SUMIFS(
  '[1]Hoja 1'!$M:$M,
  '[1]Hoja 1'!$S:$S, $A123,
  '[1]Hoja 1'!$R:$R, "&gt;="&amp;INT($AO$1),
  '[1]Hoja 1'!$R:$R, "&lt;"&amp;INT($AP$1+1)
)</f>
        <v>0</v>
      </c>
      <c r="AN123" s="1">
        <f t="shared" si="107"/>
        <v>0</v>
      </c>
      <c r="AO123" s="9">
        <f t="shared" si="108"/>
        <v>0</v>
      </c>
      <c r="AP123" s="10">
        <f t="shared" si="109"/>
        <v>0</v>
      </c>
      <c r="AQ123" s="1">
        <f>SUMIFS(
  '[1]Hoja 1'!$M:$M,
  '[1]Hoja 1'!$S:$S, $A123,
  '[1]Hoja 1'!$R:$R, "&gt;="&amp;INT($AS$1),
  '[1]Hoja 1'!$R:$R, "&lt;"&amp;INT($AT$1+1)
)</f>
        <v>0</v>
      </c>
      <c r="AR123" s="1">
        <f t="shared" si="110"/>
        <v>0</v>
      </c>
      <c r="AS123" s="9">
        <f t="shared" si="111"/>
        <v>0</v>
      </c>
      <c r="AT123" s="10">
        <f t="shared" si="112"/>
        <v>0</v>
      </c>
      <c r="AU123" s="1">
        <f>SUMIFS(
  '[1]Hoja 1'!$M:$M,
  '[1]Hoja 1'!$S:$S, $A123,
  '[1]Hoja 1'!$R:$R, "&gt;="&amp;INT($AW$1),
  '[1]Hoja 1'!$R:$R, "&lt;"&amp;INT($AX$1+1)
)</f>
        <v>0</v>
      </c>
      <c r="AV123" s="1">
        <f t="shared" si="113"/>
        <v>0</v>
      </c>
      <c r="AW123" s="9">
        <f t="shared" si="114"/>
        <v>0</v>
      </c>
      <c r="AX123" s="10">
        <f t="shared" si="115"/>
        <v>0</v>
      </c>
      <c r="AY123" s="1">
        <f>SUMIFS(
  '[1]Hoja 1'!$M:$M,
  '[1]Hoja 1'!$S:$S, $A123,
  '[1]Hoja 1'!$R:$R, "&gt;="&amp;INT($BA$1),
  '[1]Hoja 1'!$R:$R, "&lt;"&amp;INT($BB$1+1)
)</f>
        <v>0</v>
      </c>
      <c r="AZ123" s="1">
        <f t="shared" si="116"/>
        <v>0</v>
      </c>
      <c r="BA123" s="9">
        <f t="shared" si="117"/>
        <v>0</v>
      </c>
      <c r="BB123" s="10">
        <f t="shared" si="118"/>
        <v>0</v>
      </c>
      <c r="BC123" s="1">
        <f>SUMIFS(
  '[1]Hoja 1'!$M:$M,
  '[1]Hoja 1'!$S:$S, $A123,
  '[1]Hoja 1'!$R:$R, "&gt;="&amp;INT($BE$1),
  '[1]Hoja 1'!$R:$R, "&lt;"&amp;INT($BF$1+1)
)</f>
        <v>0</v>
      </c>
      <c r="BD123" s="1">
        <f t="shared" si="119"/>
        <v>0</v>
      </c>
      <c r="BE123" s="9">
        <f t="shared" si="120"/>
        <v>0</v>
      </c>
      <c r="BF123" s="10">
        <f t="shared" si="121"/>
        <v>0</v>
      </c>
      <c r="BG123" s="1">
        <f>SUMIFS(
  '[1]Hoja 1'!$M:$M,
  '[1]Hoja 1'!$S:$S, $A123,
  '[1]Hoja 1'!$R:$R, "&gt;="&amp;INT($BI$1),
  '[1]Hoja 1'!$R:$R, "&lt;"&amp;INT($BJ$1+1)
)</f>
        <v>0</v>
      </c>
      <c r="BH123" s="1">
        <f t="shared" si="122"/>
        <v>0</v>
      </c>
      <c r="BI123" s="9">
        <f t="shared" si="123"/>
        <v>0</v>
      </c>
      <c r="BJ123" s="10">
        <f t="shared" si="124"/>
        <v>0</v>
      </c>
      <c r="BK123" s="1">
        <f>SUMIFS(
  '[1]Hoja 1'!$M:$M,
  '[1]Hoja 1'!$S:$S, $A123,
  '[1]Hoja 1'!$R:$R, "&gt;="&amp;INT($BM$1),
  '[1]Hoja 1'!$R:$R, "&lt;"&amp;INT($BN$1+1)
)</f>
        <v>0</v>
      </c>
      <c r="BL123" s="1">
        <f t="shared" si="125"/>
        <v>0</v>
      </c>
      <c r="BM123" s="9">
        <f t="shared" si="126"/>
        <v>0</v>
      </c>
      <c r="BN123" s="10">
        <f t="shared" si="127"/>
        <v>0</v>
      </c>
      <c r="BO123" s="1">
        <f>SUMIFS(
  '[1]Hoja 1'!$M:$M,
  '[1]Hoja 1'!$S:$S, $A123,
  '[1]Hoja 1'!$R:$R, "&gt;="&amp;INT($BQ$1),
  '[1]Hoja 1'!$R:$R, "&lt;"&amp;INT($BR$1+1)
)</f>
        <v>0</v>
      </c>
      <c r="BP123" s="1">
        <f t="shared" si="128"/>
        <v>0</v>
      </c>
      <c r="BQ123" s="9">
        <f t="shared" si="129"/>
        <v>0</v>
      </c>
      <c r="BR123" s="10">
        <f t="shared" si="130"/>
        <v>0</v>
      </c>
      <c r="BS123" s="1">
        <f>SUMIFS(
  '[1]Hoja 1'!$M:$M,
  '[1]Hoja 1'!$S:$S, $A123,
  '[1]Hoja 1'!$R:$R, "&gt;="&amp;INT($BU$1),
  '[1]Hoja 1'!$R:$R, "&lt;"&amp;INT($BV$1+1)
)</f>
        <v>0</v>
      </c>
      <c r="BT123" s="1">
        <f t="shared" si="131"/>
        <v>0</v>
      </c>
      <c r="BU123" s="9">
        <f t="shared" si="132"/>
        <v>0</v>
      </c>
      <c r="BV123" s="10">
        <f t="shared" si="133"/>
        <v>0</v>
      </c>
      <c r="BW123" s="1">
        <f>SUMIFS(
  '[1]Hoja 1'!$M:$M,
  '[1]Hoja 1'!$S:$S, $A123,
  '[1]Hoja 1'!$R:$R, "&gt;="&amp;INT($BY$1),
  '[1]Hoja 1'!$R:$R, "&lt;"&amp;INT($BZ$1+1)
)</f>
        <v>0</v>
      </c>
      <c r="BX123" s="1">
        <f t="shared" si="134"/>
        <v>0</v>
      </c>
      <c r="BY123" s="9">
        <f t="shared" si="135"/>
        <v>0</v>
      </c>
      <c r="BZ123" s="10">
        <f t="shared" si="136"/>
        <v>0</v>
      </c>
      <c r="CA123" s="1">
        <f>SUMIFS(
  '[1]Hoja 1'!$M:$M,
  '[1]Hoja 1'!$S:$S, $A123,
  '[1]Hoja 1'!$R:$R, "&gt;="&amp;INT($CC$1),
  '[1]Hoja 1'!$R:$R, "&lt;"&amp;INT($CD$1+1)
)</f>
        <v>0</v>
      </c>
      <c r="CB123" s="1">
        <f t="shared" si="137"/>
        <v>0</v>
      </c>
      <c r="CC123" s="9">
        <f t="shared" si="138"/>
        <v>0</v>
      </c>
      <c r="CD123" s="10">
        <f t="shared" si="139"/>
        <v>0</v>
      </c>
      <c r="CE123" s="1">
        <f>SUMIFS(
  '[1]Hoja 1'!$M:$M,
  '[1]Hoja 1'!$S:$S, $A123,
  '[1]Hoja 1'!$R:$R, "&gt;="&amp;INT($CG$1),
  '[1]Hoja 1'!$R:$R, "&lt;"&amp;INT($CH$1+1)
)</f>
        <v>0</v>
      </c>
      <c r="CF123" s="1">
        <f t="shared" si="140"/>
        <v>0</v>
      </c>
      <c r="CG123" s="9">
        <f t="shared" si="141"/>
        <v>0</v>
      </c>
      <c r="CH123" s="10">
        <f t="shared" si="142"/>
        <v>0</v>
      </c>
      <c r="CI123" s="1">
        <f>SUMIFS(
  '[1]Hoja 1'!$M:$M,
  '[1]Hoja 1'!$S:$S, $A123,
  '[1]Hoja 1'!$R:$R, "&gt;="&amp;INT($CK$1),
  '[1]Hoja 1'!$R:$R, "&lt;"&amp;INT($CL$1+1)
)</f>
        <v>0</v>
      </c>
      <c r="CJ123" s="1">
        <f t="shared" si="143"/>
        <v>0</v>
      </c>
      <c r="CK123" s="9">
        <f t="shared" si="144"/>
        <v>0</v>
      </c>
      <c r="CL123" s="10">
        <f t="shared" si="145"/>
        <v>0</v>
      </c>
      <c r="CM123" s="1">
        <f>SUMIFS(
  '[1]Hoja 1'!$M:$M,
  '[1]Hoja 1'!$S:$S, $A123,
  '[1]Hoja 1'!$R:$R, "&gt;="&amp;INT($CO$1),
  '[1]Hoja 1'!$R:$R, "&lt;"&amp;INT($CP$1+1)
)</f>
        <v>0</v>
      </c>
      <c r="CN123" s="1">
        <f t="shared" si="146"/>
        <v>0</v>
      </c>
      <c r="CO123" s="9">
        <f t="shared" si="147"/>
        <v>0</v>
      </c>
      <c r="CP123" s="10">
        <f t="shared" si="148"/>
        <v>0</v>
      </c>
      <c r="CQ123" s="1">
        <f>SUMIFS(
  '[1]Hoja 1'!$M:$M,
  '[1]Hoja 1'!$S:$S, $A123,
  '[1]Hoja 1'!$R:$R, "&gt;="&amp;INT($CS$1),
  '[1]Hoja 1'!$R:$R, "&lt;"&amp;INT($CT$1+1)
)</f>
        <v>0</v>
      </c>
      <c r="CR123" s="1">
        <f t="shared" si="149"/>
        <v>0</v>
      </c>
      <c r="CS123" s="9">
        <f t="shared" si="150"/>
        <v>0</v>
      </c>
      <c r="CT123" s="10">
        <f t="shared" si="151"/>
        <v>0</v>
      </c>
      <c r="CU123" s="1">
        <f>SUMIFS(
  '[1]Hoja 1'!$M:$M,
  '[1]Hoja 1'!$S:$S, $A123,
  '[1]Hoja 1'!$R:$R, "&gt;="&amp;INT($CW$1),
  '[1]Hoja 1'!$R:$R, "&lt;"&amp;INT($CX$1+1)
)</f>
        <v>0</v>
      </c>
      <c r="CV123" s="1">
        <f t="shared" si="152"/>
        <v>0</v>
      </c>
      <c r="CW123" s="9">
        <f t="shared" si="153"/>
        <v>0</v>
      </c>
      <c r="CX123" s="10">
        <f t="shared" si="154"/>
        <v>0</v>
      </c>
      <c r="CY123" s="1">
        <f>SUMIFS(
  '[1]Hoja 1'!$M:$M,
  '[1]Hoja 1'!$S:$S, $A123,
  '[1]Hoja 1'!$R:$R, "&gt;="&amp;INT($DA$1),
  '[1]Hoja 1'!$R:$R, "&lt;"&amp;INT($DB$1+1)
)</f>
        <v>0</v>
      </c>
      <c r="CZ123" s="1">
        <f t="shared" si="155"/>
        <v>0</v>
      </c>
      <c r="DA123" s="9">
        <f t="shared" si="156"/>
        <v>0</v>
      </c>
      <c r="DB123" s="10">
        <f t="shared" si="157"/>
        <v>0</v>
      </c>
      <c r="DC123" s="1">
        <f>SUMIFS(
  '[1]Hoja 1'!$M:$M,
  '[1]Hoja 1'!$S:$S, $A123,
  '[1]Hoja 1'!$R:$R, "&gt;="&amp;INT($DE$1),
  '[1]Hoja 1'!$R:$R, "&lt;"&amp;INT($DF$1+1)
)</f>
        <v>0</v>
      </c>
      <c r="DD123" s="1">
        <f t="shared" si="158"/>
        <v>0</v>
      </c>
      <c r="DE123" s="9">
        <f t="shared" si="159"/>
        <v>0</v>
      </c>
      <c r="DF123" s="10">
        <f t="shared" si="160"/>
        <v>0</v>
      </c>
      <c r="DG123" s="1">
        <f>SUMIFS(
  '[1]Hoja 1'!$M:$M,
  '[1]Hoja 1'!$S:$S, $A123,
  '[1]Hoja 1'!$R:$R, "&gt;="&amp;INT($DI$1),
  '[1]Hoja 1'!$R:$R, "&lt;"&amp;INT($DJ$1+1)
)</f>
        <v>0</v>
      </c>
      <c r="DH123" s="1">
        <f t="shared" si="161"/>
        <v>0</v>
      </c>
      <c r="DI123" s="9">
        <f t="shared" si="162"/>
        <v>0</v>
      </c>
      <c r="DJ123" s="10">
        <f t="shared" si="163"/>
        <v>0</v>
      </c>
      <c r="DK123" s="1">
        <f>SUMIFS(
  '[1]Hoja 1'!$M:$M,
  '[1]Hoja 1'!$S:$S, $A123,
  '[1]Hoja 1'!$R:$R, "&gt;="&amp;INT($DM$1),
  '[1]Hoja 1'!$R:$R, "&lt;"&amp;INT($DN$1+1)
)</f>
        <v>0</v>
      </c>
      <c r="DL123" s="1">
        <f t="shared" si="164"/>
        <v>0</v>
      </c>
      <c r="DM123" s="9">
        <f t="shared" si="165"/>
        <v>0</v>
      </c>
      <c r="DN123" s="10">
        <f t="shared" si="166"/>
        <v>0</v>
      </c>
      <c r="DO123" s="1">
        <f>SUMIFS(
  '[1]Hoja 1'!$M:$M,
  '[1]Hoja 1'!$S:$S, $A123,
  '[1]Hoja 1'!$R:$R, "&gt;="&amp;INT($DQ$1),
  '[1]Hoja 1'!$R:$R, "&lt;"&amp;INT($DR$1+1)
)</f>
        <v>0</v>
      </c>
      <c r="DP123" s="1">
        <f t="shared" si="167"/>
        <v>0</v>
      </c>
      <c r="DQ123" s="9">
        <f t="shared" si="168"/>
        <v>0</v>
      </c>
      <c r="DR123" s="10">
        <f t="shared" si="169"/>
        <v>0</v>
      </c>
    </row>
    <row r="124" spans="1:122" x14ac:dyDescent="0.25">
      <c r="A124" s="5">
        <v>221004</v>
      </c>
      <c r="B124" s="6" t="s">
        <v>122</v>
      </c>
      <c r="C124" s="1">
        <f>SUMIFS(
  '[1]Hoja 1'!$M:$M,
  '[1]Hoja 1'!$S:$S, $A124,
  '[1]Hoja 1'!$R:$R, "&gt;="&amp;INT($E$1),
  '[1]Hoja 1'!$R:$R, "&lt;"&amp;INT($F$1+1)
)</f>
        <v>0</v>
      </c>
      <c r="D124" s="1" t="str">
        <f>""</f>
        <v/>
      </c>
      <c r="F124" s="2"/>
      <c r="G124" s="1">
        <f>SUMIFS(
  '[1]Hoja 1'!$M:$M,
  '[1]Hoja 1'!$S:$S, $A124,
  '[1]Hoja 1'!$R:$R, "&gt;="&amp;INT($I$1),
  '[1]Hoja 1'!$R:$R, "&lt;"&amp;INT($J$1+1)
)</f>
        <v>0</v>
      </c>
      <c r="H124" s="1">
        <f t="shared" si="85"/>
        <v>0</v>
      </c>
      <c r="I124" s="1"/>
      <c r="J124" s="2"/>
      <c r="K124" s="1">
        <f>SUMIFS(
  '[1]Hoja 1'!$M:$M,
  '[1]Hoja 1'!$S:$S, $A124,
  '[1]Hoja 1'!$R:$R, "&gt;="&amp;INT($M$1),
  '[1]Hoja 1'!$R:$R, "&lt;"&amp;INT($N$1+1)
)</f>
        <v>0</v>
      </c>
      <c r="L124" s="1">
        <f t="shared" si="86"/>
        <v>0</v>
      </c>
      <c r="M124" s="9">
        <f t="shared" si="87"/>
        <v>0</v>
      </c>
      <c r="N124" s="10">
        <f t="shared" si="88"/>
        <v>0</v>
      </c>
      <c r="O124" s="1">
        <f>SUMIFS(
  '[1]Hoja 1'!$M:$M,
  '[1]Hoja 1'!$S:$S, $A124,
  '[1]Hoja 1'!$R:$R, "&gt;="&amp;INT($Q$1),
  '[1]Hoja 1'!$R:$R, "&lt;"&amp;INT($R$1+1)
)</f>
        <v>0</v>
      </c>
      <c r="P124" s="1">
        <f t="shared" si="89"/>
        <v>0</v>
      </c>
      <c r="Q124" s="9">
        <f t="shared" si="90"/>
        <v>0</v>
      </c>
      <c r="R124" s="10">
        <f t="shared" si="91"/>
        <v>0</v>
      </c>
      <c r="S124" s="1">
        <f>SUMIFS(
  '[1]Hoja 1'!$M:$M,
  '[1]Hoja 1'!$S:$S, $A124,
  '[1]Hoja 1'!$R:$R, "&gt;="&amp;INT($U$1),
  '[1]Hoja 1'!$R:$R, "&lt;"&amp;INT($V$1+1)
)</f>
        <v>0</v>
      </c>
      <c r="T124" s="1">
        <f t="shared" si="92"/>
        <v>0</v>
      </c>
      <c r="U124" s="9">
        <f t="shared" si="93"/>
        <v>0</v>
      </c>
      <c r="V124" s="10">
        <f t="shared" si="94"/>
        <v>0</v>
      </c>
      <c r="W124" s="1">
        <f>SUMIFS(
  '[1]Hoja 1'!$M:$M,
  '[1]Hoja 1'!$S:$S, $A124,
  '[1]Hoja 1'!$R:$R, "&gt;="&amp;INT($Y$1),
  '[1]Hoja 1'!$R:$R, "&lt;"&amp;INT($Z$1+1)
)</f>
        <v>0</v>
      </c>
      <c r="X124" s="1">
        <f t="shared" si="95"/>
        <v>0</v>
      </c>
      <c r="Y124" s="9">
        <f t="shared" si="96"/>
        <v>0</v>
      </c>
      <c r="Z124" s="10">
        <f t="shared" si="97"/>
        <v>0</v>
      </c>
      <c r="AA124" s="1">
        <f>SUMIFS(
  '[1]Hoja 1'!$M:$M,
  '[1]Hoja 1'!$S:$S, $A124,
  '[1]Hoja 1'!$R:$R, "&gt;="&amp;INT($AC$1),
  '[1]Hoja 1'!$R:$R, "&lt;"&amp;INT($AD$1+1)
)</f>
        <v>0</v>
      </c>
      <c r="AB124" s="1">
        <f t="shared" si="98"/>
        <v>0</v>
      </c>
      <c r="AC124" s="9">
        <f t="shared" si="99"/>
        <v>0</v>
      </c>
      <c r="AD124" s="10">
        <f t="shared" si="100"/>
        <v>0</v>
      </c>
      <c r="AE124" s="1">
        <f>SUMIFS(
  '[1]Hoja 1'!$M:$M,
  '[1]Hoja 1'!$S:$S, $A124,
  '[1]Hoja 1'!$R:$R, "&gt;="&amp;INT($AG$1),
  '[1]Hoja 1'!$R:$R, "&lt;"&amp;INT($AH$1+1)
)</f>
        <v>0</v>
      </c>
      <c r="AF124" s="1">
        <f t="shared" si="101"/>
        <v>0</v>
      </c>
      <c r="AG124" s="9">
        <f t="shared" si="102"/>
        <v>0</v>
      </c>
      <c r="AH124" s="10">
        <f t="shared" si="103"/>
        <v>0</v>
      </c>
      <c r="AI124" s="1">
        <f>SUMIFS(
  '[1]Hoja 1'!$M:$M,
  '[1]Hoja 1'!$S:$S, $A124,
  '[1]Hoja 1'!$R:$R, "&gt;="&amp;INT($AK$1),
  '[1]Hoja 1'!$R:$R, "&lt;"&amp;INT($AL$1+1)
)</f>
        <v>0</v>
      </c>
      <c r="AJ124" s="1">
        <f t="shared" si="104"/>
        <v>0</v>
      </c>
      <c r="AK124" s="9">
        <f t="shared" si="105"/>
        <v>0</v>
      </c>
      <c r="AL124" s="10">
        <f t="shared" si="106"/>
        <v>0</v>
      </c>
      <c r="AM124" s="1">
        <f>SUMIFS(
  '[1]Hoja 1'!$M:$M,
  '[1]Hoja 1'!$S:$S, $A124,
  '[1]Hoja 1'!$R:$R, "&gt;="&amp;INT($AO$1),
  '[1]Hoja 1'!$R:$R, "&lt;"&amp;INT($AP$1+1)
)</f>
        <v>0</v>
      </c>
      <c r="AN124" s="1">
        <f t="shared" si="107"/>
        <v>0</v>
      </c>
      <c r="AO124" s="9">
        <f t="shared" si="108"/>
        <v>0</v>
      </c>
      <c r="AP124" s="10">
        <f t="shared" si="109"/>
        <v>0</v>
      </c>
      <c r="AQ124" s="1">
        <f>SUMIFS(
  '[1]Hoja 1'!$M:$M,
  '[1]Hoja 1'!$S:$S, $A124,
  '[1]Hoja 1'!$R:$R, "&gt;="&amp;INT($AS$1),
  '[1]Hoja 1'!$R:$R, "&lt;"&amp;INT($AT$1+1)
)</f>
        <v>0</v>
      </c>
      <c r="AR124" s="1">
        <f t="shared" si="110"/>
        <v>0</v>
      </c>
      <c r="AS124" s="9">
        <f t="shared" si="111"/>
        <v>0</v>
      </c>
      <c r="AT124" s="10">
        <f t="shared" si="112"/>
        <v>0</v>
      </c>
      <c r="AU124" s="1">
        <f>SUMIFS(
  '[1]Hoja 1'!$M:$M,
  '[1]Hoja 1'!$S:$S, $A124,
  '[1]Hoja 1'!$R:$R, "&gt;="&amp;INT($AW$1),
  '[1]Hoja 1'!$R:$R, "&lt;"&amp;INT($AX$1+1)
)</f>
        <v>0</v>
      </c>
      <c r="AV124" s="1">
        <f t="shared" si="113"/>
        <v>0</v>
      </c>
      <c r="AW124" s="9">
        <f t="shared" si="114"/>
        <v>0</v>
      </c>
      <c r="AX124" s="10">
        <f t="shared" si="115"/>
        <v>0</v>
      </c>
      <c r="AY124" s="1">
        <f>SUMIFS(
  '[1]Hoja 1'!$M:$M,
  '[1]Hoja 1'!$S:$S, $A124,
  '[1]Hoja 1'!$R:$R, "&gt;="&amp;INT($BA$1),
  '[1]Hoja 1'!$R:$R, "&lt;"&amp;INT($BB$1+1)
)</f>
        <v>0</v>
      </c>
      <c r="AZ124" s="1">
        <f t="shared" si="116"/>
        <v>0</v>
      </c>
      <c r="BA124" s="9">
        <f t="shared" si="117"/>
        <v>0</v>
      </c>
      <c r="BB124" s="10">
        <f t="shared" si="118"/>
        <v>0</v>
      </c>
      <c r="BC124" s="1">
        <f>SUMIFS(
  '[1]Hoja 1'!$M:$M,
  '[1]Hoja 1'!$S:$S, $A124,
  '[1]Hoja 1'!$R:$R, "&gt;="&amp;INT($BE$1),
  '[1]Hoja 1'!$R:$R, "&lt;"&amp;INT($BF$1+1)
)</f>
        <v>0</v>
      </c>
      <c r="BD124" s="1">
        <f t="shared" si="119"/>
        <v>0</v>
      </c>
      <c r="BE124" s="9">
        <f t="shared" si="120"/>
        <v>0</v>
      </c>
      <c r="BF124" s="10">
        <f t="shared" si="121"/>
        <v>0</v>
      </c>
      <c r="BG124" s="1">
        <f>SUMIFS(
  '[1]Hoja 1'!$M:$M,
  '[1]Hoja 1'!$S:$S, $A124,
  '[1]Hoja 1'!$R:$R, "&gt;="&amp;INT($BI$1),
  '[1]Hoja 1'!$R:$R, "&lt;"&amp;INT($BJ$1+1)
)</f>
        <v>0</v>
      </c>
      <c r="BH124" s="1">
        <f t="shared" si="122"/>
        <v>0</v>
      </c>
      <c r="BI124" s="9">
        <f t="shared" si="123"/>
        <v>0</v>
      </c>
      <c r="BJ124" s="10">
        <f t="shared" si="124"/>
        <v>0</v>
      </c>
      <c r="BK124" s="1">
        <f>SUMIFS(
  '[1]Hoja 1'!$M:$M,
  '[1]Hoja 1'!$S:$S, $A124,
  '[1]Hoja 1'!$R:$R, "&gt;="&amp;INT($BM$1),
  '[1]Hoja 1'!$R:$R, "&lt;"&amp;INT($BN$1+1)
)</f>
        <v>0</v>
      </c>
      <c r="BL124" s="1">
        <f t="shared" si="125"/>
        <v>0</v>
      </c>
      <c r="BM124" s="9">
        <f t="shared" si="126"/>
        <v>0</v>
      </c>
      <c r="BN124" s="10">
        <f t="shared" si="127"/>
        <v>0</v>
      </c>
      <c r="BO124" s="1">
        <f>SUMIFS(
  '[1]Hoja 1'!$M:$M,
  '[1]Hoja 1'!$S:$S, $A124,
  '[1]Hoja 1'!$R:$R, "&gt;="&amp;INT($BQ$1),
  '[1]Hoja 1'!$R:$R, "&lt;"&amp;INT($BR$1+1)
)</f>
        <v>0</v>
      </c>
      <c r="BP124" s="1">
        <f t="shared" si="128"/>
        <v>0</v>
      </c>
      <c r="BQ124" s="9">
        <f t="shared" si="129"/>
        <v>0</v>
      </c>
      <c r="BR124" s="10">
        <f t="shared" si="130"/>
        <v>0</v>
      </c>
      <c r="BS124" s="1">
        <f>SUMIFS(
  '[1]Hoja 1'!$M:$M,
  '[1]Hoja 1'!$S:$S, $A124,
  '[1]Hoja 1'!$R:$R, "&gt;="&amp;INT($BU$1),
  '[1]Hoja 1'!$R:$R, "&lt;"&amp;INT($BV$1+1)
)</f>
        <v>0</v>
      </c>
      <c r="BT124" s="1">
        <f t="shared" si="131"/>
        <v>0</v>
      </c>
      <c r="BU124" s="9">
        <f t="shared" si="132"/>
        <v>0</v>
      </c>
      <c r="BV124" s="10">
        <f t="shared" si="133"/>
        <v>0</v>
      </c>
      <c r="BW124" s="1">
        <f>SUMIFS(
  '[1]Hoja 1'!$M:$M,
  '[1]Hoja 1'!$S:$S, $A124,
  '[1]Hoja 1'!$R:$R, "&gt;="&amp;INT($BY$1),
  '[1]Hoja 1'!$R:$R, "&lt;"&amp;INT($BZ$1+1)
)</f>
        <v>0</v>
      </c>
      <c r="BX124" s="1">
        <f t="shared" si="134"/>
        <v>0</v>
      </c>
      <c r="BY124" s="9">
        <f t="shared" si="135"/>
        <v>0</v>
      </c>
      <c r="BZ124" s="10">
        <f t="shared" si="136"/>
        <v>0</v>
      </c>
      <c r="CA124" s="1">
        <f>SUMIFS(
  '[1]Hoja 1'!$M:$M,
  '[1]Hoja 1'!$S:$S, $A124,
  '[1]Hoja 1'!$R:$R, "&gt;="&amp;INT($CC$1),
  '[1]Hoja 1'!$R:$R, "&lt;"&amp;INT($CD$1+1)
)</f>
        <v>0</v>
      </c>
      <c r="CB124" s="1">
        <f t="shared" si="137"/>
        <v>0</v>
      </c>
      <c r="CC124" s="9">
        <f t="shared" si="138"/>
        <v>0</v>
      </c>
      <c r="CD124" s="10">
        <f t="shared" si="139"/>
        <v>0</v>
      </c>
      <c r="CE124" s="1">
        <f>SUMIFS(
  '[1]Hoja 1'!$M:$M,
  '[1]Hoja 1'!$S:$S, $A124,
  '[1]Hoja 1'!$R:$R, "&gt;="&amp;INT($CG$1),
  '[1]Hoja 1'!$R:$R, "&lt;"&amp;INT($CH$1+1)
)</f>
        <v>0</v>
      </c>
      <c r="CF124" s="1">
        <f t="shared" si="140"/>
        <v>0</v>
      </c>
      <c r="CG124" s="9">
        <f t="shared" si="141"/>
        <v>0</v>
      </c>
      <c r="CH124" s="10">
        <f t="shared" si="142"/>
        <v>0</v>
      </c>
      <c r="CI124" s="1">
        <f>SUMIFS(
  '[1]Hoja 1'!$M:$M,
  '[1]Hoja 1'!$S:$S, $A124,
  '[1]Hoja 1'!$R:$R, "&gt;="&amp;INT($CK$1),
  '[1]Hoja 1'!$R:$R, "&lt;"&amp;INT($CL$1+1)
)</f>
        <v>0</v>
      </c>
      <c r="CJ124" s="1">
        <f t="shared" si="143"/>
        <v>0</v>
      </c>
      <c r="CK124" s="9">
        <f t="shared" si="144"/>
        <v>0</v>
      </c>
      <c r="CL124" s="10">
        <f t="shared" si="145"/>
        <v>0</v>
      </c>
      <c r="CM124" s="1">
        <f>SUMIFS(
  '[1]Hoja 1'!$M:$M,
  '[1]Hoja 1'!$S:$S, $A124,
  '[1]Hoja 1'!$R:$R, "&gt;="&amp;INT($CO$1),
  '[1]Hoja 1'!$R:$R, "&lt;"&amp;INT($CP$1+1)
)</f>
        <v>0</v>
      </c>
      <c r="CN124" s="1">
        <f t="shared" si="146"/>
        <v>0</v>
      </c>
      <c r="CO124" s="9">
        <f t="shared" si="147"/>
        <v>0</v>
      </c>
      <c r="CP124" s="10">
        <f t="shared" si="148"/>
        <v>0</v>
      </c>
      <c r="CQ124" s="1">
        <f>SUMIFS(
  '[1]Hoja 1'!$M:$M,
  '[1]Hoja 1'!$S:$S, $A124,
  '[1]Hoja 1'!$R:$R, "&gt;="&amp;INT($CS$1),
  '[1]Hoja 1'!$R:$R, "&lt;"&amp;INT($CT$1+1)
)</f>
        <v>0</v>
      </c>
      <c r="CR124" s="1">
        <f t="shared" si="149"/>
        <v>0</v>
      </c>
      <c r="CS124" s="9">
        <f t="shared" si="150"/>
        <v>0</v>
      </c>
      <c r="CT124" s="10">
        <f t="shared" si="151"/>
        <v>0</v>
      </c>
      <c r="CU124" s="1">
        <f>SUMIFS(
  '[1]Hoja 1'!$M:$M,
  '[1]Hoja 1'!$S:$S, $A124,
  '[1]Hoja 1'!$R:$R, "&gt;="&amp;INT($CW$1),
  '[1]Hoja 1'!$R:$R, "&lt;"&amp;INT($CX$1+1)
)</f>
        <v>0</v>
      </c>
      <c r="CV124" s="1">
        <f t="shared" si="152"/>
        <v>0</v>
      </c>
      <c r="CW124" s="9">
        <f t="shared" si="153"/>
        <v>0</v>
      </c>
      <c r="CX124" s="10">
        <f t="shared" si="154"/>
        <v>0</v>
      </c>
      <c r="CY124" s="1">
        <f>SUMIFS(
  '[1]Hoja 1'!$M:$M,
  '[1]Hoja 1'!$S:$S, $A124,
  '[1]Hoja 1'!$R:$R, "&gt;="&amp;INT($DA$1),
  '[1]Hoja 1'!$R:$R, "&lt;"&amp;INT($DB$1+1)
)</f>
        <v>0</v>
      </c>
      <c r="CZ124" s="1">
        <f t="shared" si="155"/>
        <v>0</v>
      </c>
      <c r="DA124" s="9">
        <f t="shared" si="156"/>
        <v>0</v>
      </c>
      <c r="DB124" s="10">
        <f t="shared" si="157"/>
        <v>0</v>
      </c>
      <c r="DC124" s="1">
        <f>SUMIFS(
  '[1]Hoja 1'!$M:$M,
  '[1]Hoja 1'!$S:$S, $A124,
  '[1]Hoja 1'!$R:$R, "&gt;="&amp;INT($DE$1),
  '[1]Hoja 1'!$R:$R, "&lt;"&amp;INT($DF$1+1)
)</f>
        <v>0</v>
      </c>
      <c r="DD124" s="1">
        <f t="shared" si="158"/>
        <v>0</v>
      </c>
      <c r="DE124" s="9">
        <f t="shared" si="159"/>
        <v>0</v>
      </c>
      <c r="DF124" s="10">
        <f t="shared" si="160"/>
        <v>0</v>
      </c>
      <c r="DG124" s="1">
        <f>SUMIFS(
  '[1]Hoja 1'!$M:$M,
  '[1]Hoja 1'!$S:$S, $A124,
  '[1]Hoja 1'!$R:$R, "&gt;="&amp;INT($DI$1),
  '[1]Hoja 1'!$R:$R, "&lt;"&amp;INT($DJ$1+1)
)</f>
        <v>0</v>
      </c>
      <c r="DH124" s="1">
        <f t="shared" si="161"/>
        <v>0</v>
      </c>
      <c r="DI124" s="9">
        <f t="shared" si="162"/>
        <v>0</v>
      </c>
      <c r="DJ124" s="10">
        <f t="shared" si="163"/>
        <v>0</v>
      </c>
      <c r="DK124" s="1">
        <f>SUMIFS(
  '[1]Hoja 1'!$M:$M,
  '[1]Hoja 1'!$S:$S, $A124,
  '[1]Hoja 1'!$R:$R, "&gt;="&amp;INT($DM$1),
  '[1]Hoja 1'!$R:$R, "&lt;"&amp;INT($DN$1+1)
)</f>
        <v>0</v>
      </c>
      <c r="DL124" s="1">
        <f t="shared" si="164"/>
        <v>0</v>
      </c>
      <c r="DM124" s="9">
        <f t="shared" si="165"/>
        <v>0</v>
      </c>
      <c r="DN124" s="10">
        <f t="shared" si="166"/>
        <v>0</v>
      </c>
      <c r="DO124" s="1">
        <f>SUMIFS(
  '[1]Hoja 1'!$M:$M,
  '[1]Hoja 1'!$S:$S, $A124,
  '[1]Hoja 1'!$R:$R, "&gt;="&amp;INT($DQ$1),
  '[1]Hoja 1'!$R:$R, "&lt;"&amp;INT($DR$1+1)
)</f>
        <v>0</v>
      </c>
      <c r="DP124" s="1">
        <f t="shared" si="167"/>
        <v>0</v>
      </c>
      <c r="DQ124" s="9">
        <f t="shared" si="168"/>
        <v>0</v>
      </c>
      <c r="DR124" s="10">
        <f t="shared" si="169"/>
        <v>0</v>
      </c>
    </row>
    <row r="125" spans="1:122" x14ac:dyDescent="0.25">
      <c r="A125" s="5">
        <v>221005</v>
      </c>
      <c r="B125" s="6" t="s">
        <v>123</v>
      </c>
      <c r="C125" s="1">
        <f>SUMIFS(
  '[1]Hoja 1'!$M:$M,
  '[1]Hoja 1'!$S:$S, $A125,
  '[1]Hoja 1'!$R:$R, "&gt;="&amp;INT($E$1),
  '[1]Hoja 1'!$R:$R, "&lt;"&amp;INT($F$1+1)
)</f>
        <v>0</v>
      </c>
      <c r="D125" s="1" t="str">
        <f>""</f>
        <v/>
      </c>
      <c r="F125" s="2"/>
      <c r="G125" s="1">
        <f>SUMIFS(
  '[1]Hoja 1'!$M:$M,
  '[1]Hoja 1'!$S:$S, $A125,
  '[1]Hoja 1'!$R:$R, "&gt;="&amp;INT($I$1),
  '[1]Hoja 1'!$R:$R, "&lt;"&amp;INT($J$1+1)
)</f>
        <v>0</v>
      </c>
      <c r="H125" s="1">
        <f t="shared" si="85"/>
        <v>0</v>
      </c>
      <c r="I125" s="1"/>
      <c r="J125" s="2"/>
      <c r="K125" s="1">
        <f>SUMIFS(
  '[1]Hoja 1'!$M:$M,
  '[1]Hoja 1'!$S:$S, $A125,
  '[1]Hoja 1'!$R:$R, "&gt;="&amp;INT($M$1),
  '[1]Hoja 1'!$R:$R, "&lt;"&amp;INT($N$1+1)
)</f>
        <v>0</v>
      </c>
      <c r="L125" s="1">
        <f t="shared" si="86"/>
        <v>0</v>
      </c>
      <c r="M125" s="9">
        <f t="shared" si="87"/>
        <v>0</v>
      </c>
      <c r="N125" s="10">
        <f t="shared" si="88"/>
        <v>0</v>
      </c>
      <c r="O125" s="1">
        <f>SUMIFS(
  '[1]Hoja 1'!$M:$M,
  '[1]Hoja 1'!$S:$S, $A125,
  '[1]Hoja 1'!$R:$R, "&gt;="&amp;INT($Q$1),
  '[1]Hoja 1'!$R:$R, "&lt;"&amp;INT($R$1+1)
)</f>
        <v>0</v>
      </c>
      <c r="P125" s="1">
        <f t="shared" si="89"/>
        <v>0</v>
      </c>
      <c r="Q125" s="9">
        <f t="shared" si="90"/>
        <v>0</v>
      </c>
      <c r="R125" s="10">
        <f t="shared" si="91"/>
        <v>0</v>
      </c>
      <c r="S125" s="1">
        <f>SUMIFS(
  '[1]Hoja 1'!$M:$M,
  '[1]Hoja 1'!$S:$S, $A125,
  '[1]Hoja 1'!$R:$R, "&gt;="&amp;INT($U$1),
  '[1]Hoja 1'!$R:$R, "&lt;"&amp;INT($V$1+1)
)</f>
        <v>0</v>
      </c>
      <c r="T125" s="1">
        <f t="shared" si="92"/>
        <v>0</v>
      </c>
      <c r="U125" s="9">
        <f t="shared" si="93"/>
        <v>0</v>
      </c>
      <c r="V125" s="10">
        <f t="shared" si="94"/>
        <v>0</v>
      </c>
      <c r="W125" s="1">
        <f>SUMIFS(
  '[1]Hoja 1'!$M:$M,
  '[1]Hoja 1'!$S:$S, $A125,
  '[1]Hoja 1'!$R:$R, "&gt;="&amp;INT($Y$1),
  '[1]Hoja 1'!$R:$R, "&lt;"&amp;INT($Z$1+1)
)</f>
        <v>0</v>
      </c>
      <c r="X125" s="1">
        <f t="shared" si="95"/>
        <v>0</v>
      </c>
      <c r="Y125" s="9">
        <f t="shared" si="96"/>
        <v>0</v>
      </c>
      <c r="Z125" s="10">
        <f t="shared" si="97"/>
        <v>0</v>
      </c>
      <c r="AA125" s="1">
        <f>SUMIFS(
  '[1]Hoja 1'!$M:$M,
  '[1]Hoja 1'!$S:$S, $A125,
  '[1]Hoja 1'!$R:$R, "&gt;="&amp;INT($AC$1),
  '[1]Hoja 1'!$R:$R, "&lt;"&amp;INT($AD$1+1)
)</f>
        <v>0</v>
      </c>
      <c r="AB125" s="1">
        <f t="shared" si="98"/>
        <v>0</v>
      </c>
      <c r="AC125" s="9">
        <f t="shared" si="99"/>
        <v>0</v>
      </c>
      <c r="AD125" s="10">
        <f t="shared" si="100"/>
        <v>0</v>
      </c>
      <c r="AE125" s="1">
        <f>SUMIFS(
  '[1]Hoja 1'!$M:$M,
  '[1]Hoja 1'!$S:$S, $A125,
  '[1]Hoja 1'!$R:$R, "&gt;="&amp;INT($AG$1),
  '[1]Hoja 1'!$R:$R, "&lt;"&amp;INT($AH$1+1)
)</f>
        <v>0</v>
      </c>
      <c r="AF125" s="1">
        <f t="shared" si="101"/>
        <v>0</v>
      </c>
      <c r="AG125" s="9">
        <f t="shared" si="102"/>
        <v>0</v>
      </c>
      <c r="AH125" s="10">
        <f t="shared" si="103"/>
        <v>0</v>
      </c>
      <c r="AI125" s="1">
        <f>SUMIFS(
  '[1]Hoja 1'!$M:$M,
  '[1]Hoja 1'!$S:$S, $A125,
  '[1]Hoja 1'!$R:$R, "&gt;="&amp;INT($AK$1),
  '[1]Hoja 1'!$R:$R, "&lt;"&amp;INT($AL$1+1)
)</f>
        <v>0</v>
      </c>
      <c r="AJ125" s="1">
        <f t="shared" si="104"/>
        <v>0</v>
      </c>
      <c r="AK125" s="9">
        <f t="shared" si="105"/>
        <v>0</v>
      </c>
      <c r="AL125" s="10">
        <f t="shared" si="106"/>
        <v>0</v>
      </c>
      <c r="AM125" s="1">
        <f>SUMIFS(
  '[1]Hoja 1'!$M:$M,
  '[1]Hoja 1'!$S:$S, $A125,
  '[1]Hoja 1'!$R:$R, "&gt;="&amp;INT($AO$1),
  '[1]Hoja 1'!$R:$R, "&lt;"&amp;INT($AP$1+1)
)</f>
        <v>0</v>
      </c>
      <c r="AN125" s="1">
        <f t="shared" si="107"/>
        <v>0</v>
      </c>
      <c r="AO125" s="9">
        <f t="shared" si="108"/>
        <v>0</v>
      </c>
      <c r="AP125" s="10">
        <f t="shared" si="109"/>
        <v>0</v>
      </c>
      <c r="AQ125" s="1">
        <f>SUMIFS(
  '[1]Hoja 1'!$M:$M,
  '[1]Hoja 1'!$S:$S, $A125,
  '[1]Hoja 1'!$R:$R, "&gt;="&amp;INT($AS$1),
  '[1]Hoja 1'!$R:$R, "&lt;"&amp;INT($AT$1+1)
)</f>
        <v>0</v>
      </c>
      <c r="AR125" s="1">
        <f t="shared" si="110"/>
        <v>0</v>
      </c>
      <c r="AS125" s="9">
        <f t="shared" si="111"/>
        <v>0</v>
      </c>
      <c r="AT125" s="10">
        <f t="shared" si="112"/>
        <v>0</v>
      </c>
      <c r="AU125" s="1">
        <f>SUMIFS(
  '[1]Hoja 1'!$M:$M,
  '[1]Hoja 1'!$S:$S, $A125,
  '[1]Hoja 1'!$R:$R, "&gt;="&amp;INT($AW$1),
  '[1]Hoja 1'!$R:$R, "&lt;"&amp;INT($AX$1+1)
)</f>
        <v>0</v>
      </c>
      <c r="AV125" s="1">
        <f t="shared" si="113"/>
        <v>0</v>
      </c>
      <c r="AW125" s="9">
        <f t="shared" si="114"/>
        <v>0</v>
      </c>
      <c r="AX125" s="10">
        <f t="shared" si="115"/>
        <v>0</v>
      </c>
      <c r="AY125" s="1">
        <f>SUMIFS(
  '[1]Hoja 1'!$M:$M,
  '[1]Hoja 1'!$S:$S, $A125,
  '[1]Hoja 1'!$R:$R, "&gt;="&amp;INT($BA$1),
  '[1]Hoja 1'!$R:$R, "&lt;"&amp;INT($BB$1+1)
)</f>
        <v>0</v>
      </c>
      <c r="AZ125" s="1">
        <f t="shared" si="116"/>
        <v>0</v>
      </c>
      <c r="BA125" s="9">
        <f t="shared" si="117"/>
        <v>0</v>
      </c>
      <c r="BB125" s="10">
        <f t="shared" si="118"/>
        <v>0</v>
      </c>
      <c r="BC125" s="1">
        <f>SUMIFS(
  '[1]Hoja 1'!$M:$M,
  '[1]Hoja 1'!$S:$S, $A125,
  '[1]Hoja 1'!$R:$R, "&gt;="&amp;INT($BE$1),
  '[1]Hoja 1'!$R:$R, "&lt;"&amp;INT($BF$1+1)
)</f>
        <v>0</v>
      </c>
      <c r="BD125" s="1">
        <f t="shared" si="119"/>
        <v>0</v>
      </c>
      <c r="BE125" s="9">
        <f t="shared" si="120"/>
        <v>0</v>
      </c>
      <c r="BF125" s="10">
        <f t="shared" si="121"/>
        <v>0</v>
      </c>
      <c r="BG125" s="1">
        <f>SUMIFS(
  '[1]Hoja 1'!$M:$M,
  '[1]Hoja 1'!$S:$S, $A125,
  '[1]Hoja 1'!$R:$R, "&gt;="&amp;INT($BI$1),
  '[1]Hoja 1'!$R:$R, "&lt;"&amp;INT($BJ$1+1)
)</f>
        <v>0</v>
      </c>
      <c r="BH125" s="1">
        <f t="shared" si="122"/>
        <v>0</v>
      </c>
      <c r="BI125" s="9">
        <f t="shared" si="123"/>
        <v>0</v>
      </c>
      <c r="BJ125" s="10">
        <f t="shared" si="124"/>
        <v>0</v>
      </c>
      <c r="BK125" s="1">
        <f>SUMIFS(
  '[1]Hoja 1'!$M:$M,
  '[1]Hoja 1'!$S:$S, $A125,
  '[1]Hoja 1'!$R:$R, "&gt;="&amp;INT($BM$1),
  '[1]Hoja 1'!$R:$R, "&lt;"&amp;INT($BN$1+1)
)</f>
        <v>0</v>
      </c>
      <c r="BL125" s="1">
        <f t="shared" si="125"/>
        <v>0</v>
      </c>
      <c r="BM125" s="9">
        <f t="shared" si="126"/>
        <v>0</v>
      </c>
      <c r="BN125" s="10">
        <f t="shared" si="127"/>
        <v>0</v>
      </c>
      <c r="BO125" s="1">
        <f>SUMIFS(
  '[1]Hoja 1'!$M:$M,
  '[1]Hoja 1'!$S:$S, $A125,
  '[1]Hoja 1'!$R:$R, "&gt;="&amp;INT($BQ$1),
  '[1]Hoja 1'!$R:$R, "&lt;"&amp;INT($BR$1+1)
)</f>
        <v>0</v>
      </c>
      <c r="BP125" s="1">
        <f t="shared" si="128"/>
        <v>0</v>
      </c>
      <c r="BQ125" s="9">
        <f t="shared" si="129"/>
        <v>0</v>
      </c>
      <c r="BR125" s="10">
        <f t="shared" si="130"/>
        <v>0</v>
      </c>
      <c r="BS125" s="1">
        <f>SUMIFS(
  '[1]Hoja 1'!$M:$M,
  '[1]Hoja 1'!$S:$S, $A125,
  '[1]Hoja 1'!$R:$R, "&gt;="&amp;INT($BU$1),
  '[1]Hoja 1'!$R:$R, "&lt;"&amp;INT($BV$1+1)
)</f>
        <v>0</v>
      </c>
      <c r="BT125" s="1">
        <f t="shared" si="131"/>
        <v>0</v>
      </c>
      <c r="BU125" s="9">
        <f t="shared" si="132"/>
        <v>0</v>
      </c>
      <c r="BV125" s="10">
        <f t="shared" si="133"/>
        <v>0</v>
      </c>
      <c r="BW125" s="1">
        <f>SUMIFS(
  '[1]Hoja 1'!$M:$M,
  '[1]Hoja 1'!$S:$S, $A125,
  '[1]Hoja 1'!$R:$R, "&gt;="&amp;INT($BY$1),
  '[1]Hoja 1'!$R:$R, "&lt;"&amp;INT($BZ$1+1)
)</f>
        <v>0</v>
      </c>
      <c r="BX125" s="1">
        <f t="shared" si="134"/>
        <v>0</v>
      </c>
      <c r="BY125" s="9">
        <f t="shared" si="135"/>
        <v>0</v>
      </c>
      <c r="BZ125" s="10">
        <f t="shared" si="136"/>
        <v>0</v>
      </c>
      <c r="CA125" s="1">
        <f>SUMIFS(
  '[1]Hoja 1'!$M:$M,
  '[1]Hoja 1'!$S:$S, $A125,
  '[1]Hoja 1'!$R:$R, "&gt;="&amp;INT($CC$1),
  '[1]Hoja 1'!$R:$R, "&lt;"&amp;INT($CD$1+1)
)</f>
        <v>0</v>
      </c>
      <c r="CB125" s="1">
        <f t="shared" si="137"/>
        <v>0</v>
      </c>
      <c r="CC125" s="9">
        <f t="shared" si="138"/>
        <v>0</v>
      </c>
      <c r="CD125" s="10">
        <f t="shared" si="139"/>
        <v>0</v>
      </c>
      <c r="CE125" s="1">
        <f>SUMIFS(
  '[1]Hoja 1'!$M:$M,
  '[1]Hoja 1'!$S:$S, $A125,
  '[1]Hoja 1'!$R:$R, "&gt;="&amp;INT($CG$1),
  '[1]Hoja 1'!$R:$R, "&lt;"&amp;INT($CH$1+1)
)</f>
        <v>0</v>
      </c>
      <c r="CF125" s="1">
        <f t="shared" si="140"/>
        <v>0</v>
      </c>
      <c r="CG125" s="9">
        <f t="shared" si="141"/>
        <v>0</v>
      </c>
      <c r="CH125" s="10">
        <f t="shared" si="142"/>
        <v>0</v>
      </c>
      <c r="CI125" s="1">
        <f>SUMIFS(
  '[1]Hoja 1'!$M:$M,
  '[1]Hoja 1'!$S:$S, $A125,
  '[1]Hoja 1'!$R:$R, "&gt;="&amp;INT($CK$1),
  '[1]Hoja 1'!$R:$R, "&lt;"&amp;INT($CL$1+1)
)</f>
        <v>0</v>
      </c>
      <c r="CJ125" s="1">
        <f t="shared" si="143"/>
        <v>0</v>
      </c>
      <c r="CK125" s="9">
        <f t="shared" si="144"/>
        <v>0</v>
      </c>
      <c r="CL125" s="10">
        <f t="shared" si="145"/>
        <v>0</v>
      </c>
      <c r="CM125" s="1">
        <f>SUMIFS(
  '[1]Hoja 1'!$M:$M,
  '[1]Hoja 1'!$S:$S, $A125,
  '[1]Hoja 1'!$R:$R, "&gt;="&amp;INT($CO$1),
  '[1]Hoja 1'!$R:$R, "&lt;"&amp;INT($CP$1+1)
)</f>
        <v>0</v>
      </c>
      <c r="CN125" s="1">
        <f t="shared" si="146"/>
        <v>0</v>
      </c>
      <c r="CO125" s="9">
        <f t="shared" si="147"/>
        <v>0</v>
      </c>
      <c r="CP125" s="10">
        <f t="shared" si="148"/>
        <v>0</v>
      </c>
      <c r="CQ125" s="1">
        <f>SUMIFS(
  '[1]Hoja 1'!$M:$M,
  '[1]Hoja 1'!$S:$S, $A125,
  '[1]Hoja 1'!$R:$R, "&gt;="&amp;INT($CS$1),
  '[1]Hoja 1'!$R:$R, "&lt;"&amp;INT($CT$1+1)
)</f>
        <v>0</v>
      </c>
      <c r="CR125" s="1">
        <f t="shared" si="149"/>
        <v>0</v>
      </c>
      <c r="CS125" s="9">
        <f t="shared" si="150"/>
        <v>0</v>
      </c>
      <c r="CT125" s="10">
        <f t="shared" si="151"/>
        <v>0</v>
      </c>
      <c r="CU125" s="1">
        <f>SUMIFS(
  '[1]Hoja 1'!$M:$M,
  '[1]Hoja 1'!$S:$S, $A125,
  '[1]Hoja 1'!$R:$R, "&gt;="&amp;INT($CW$1),
  '[1]Hoja 1'!$R:$R, "&lt;"&amp;INT($CX$1+1)
)</f>
        <v>0</v>
      </c>
      <c r="CV125" s="1">
        <f t="shared" si="152"/>
        <v>0</v>
      </c>
      <c r="CW125" s="9">
        <f t="shared" si="153"/>
        <v>0</v>
      </c>
      <c r="CX125" s="10">
        <f t="shared" si="154"/>
        <v>0</v>
      </c>
      <c r="CY125" s="1">
        <f>SUMIFS(
  '[1]Hoja 1'!$M:$M,
  '[1]Hoja 1'!$S:$S, $A125,
  '[1]Hoja 1'!$R:$R, "&gt;="&amp;INT($DA$1),
  '[1]Hoja 1'!$R:$R, "&lt;"&amp;INT($DB$1+1)
)</f>
        <v>0</v>
      </c>
      <c r="CZ125" s="1">
        <f t="shared" si="155"/>
        <v>0</v>
      </c>
      <c r="DA125" s="9">
        <f t="shared" si="156"/>
        <v>0</v>
      </c>
      <c r="DB125" s="10">
        <f t="shared" si="157"/>
        <v>0</v>
      </c>
      <c r="DC125" s="1">
        <f>SUMIFS(
  '[1]Hoja 1'!$M:$M,
  '[1]Hoja 1'!$S:$S, $A125,
  '[1]Hoja 1'!$R:$R, "&gt;="&amp;INT($DE$1),
  '[1]Hoja 1'!$R:$R, "&lt;"&amp;INT($DF$1+1)
)</f>
        <v>0</v>
      </c>
      <c r="DD125" s="1">
        <f t="shared" si="158"/>
        <v>0</v>
      </c>
      <c r="DE125" s="9">
        <f t="shared" si="159"/>
        <v>0</v>
      </c>
      <c r="DF125" s="10">
        <f t="shared" si="160"/>
        <v>0</v>
      </c>
      <c r="DG125" s="1">
        <f>SUMIFS(
  '[1]Hoja 1'!$M:$M,
  '[1]Hoja 1'!$S:$S, $A125,
  '[1]Hoja 1'!$R:$R, "&gt;="&amp;INT($DI$1),
  '[1]Hoja 1'!$R:$R, "&lt;"&amp;INT($DJ$1+1)
)</f>
        <v>0</v>
      </c>
      <c r="DH125" s="1">
        <f t="shared" si="161"/>
        <v>0</v>
      </c>
      <c r="DI125" s="9">
        <f t="shared" si="162"/>
        <v>0</v>
      </c>
      <c r="DJ125" s="10">
        <f t="shared" si="163"/>
        <v>0</v>
      </c>
      <c r="DK125" s="1">
        <f>SUMIFS(
  '[1]Hoja 1'!$M:$M,
  '[1]Hoja 1'!$S:$S, $A125,
  '[1]Hoja 1'!$R:$R, "&gt;="&amp;INT($DM$1),
  '[1]Hoja 1'!$R:$R, "&lt;"&amp;INT($DN$1+1)
)</f>
        <v>0</v>
      </c>
      <c r="DL125" s="1">
        <f t="shared" si="164"/>
        <v>0</v>
      </c>
      <c r="DM125" s="9">
        <f t="shared" si="165"/>
        <v>0</v>
      </c>
      <c r="DN125" s="10">
        <f t="shared" si="166"/>
        <v>0</v>
      </c>
      <c r="DO125" s="1">
        <f>SUMIFS(
  '[1]Hoja 1'!$M:$M,
  '[1]Hoja 1'!$S:$S, $A125,
  '[1]Hoja 1'!$R:$R, "&gt;="&amp;INT($DQ$1),
  '[1]Hoja 1'!$R:$R, "&lt;"&amp;INT($DR$1+1)
)</f>
        <v>0</v>
      </c>
      <c r="DP125" s="1">
        <f t="shared" si="167"/>
        <v>0</v>
      </c>
      <c r="DQ125" s="9">
        <f t="shared" si="168"/>
        <v>0</v>
      </c>
      <c r="DR125" s="10">
        <f t="shared" si="169"/>
        <v>0</v>
      </c>
    </row>
    <row r="126" spans="1:122" x14ac:dyDescent="0.25">
      <c r="A126" s="5">
        <v>222001</v>
      </c>
      <c r="B126" s="6" t="s">
        <v>124</v>
      </c>
      <c r="C126" s="1">
        <f>SUMIFS(
  '[1]Hoja 1'!$M:$M,
  '[1]Hoja 1'!$S:$S, $A126,
  '[1]Hoja 1'!$R:$R, "&gt;="&amp;INT($E$1),
  '[1]Hoja 1'!$R:$R, "&lt;"&amp;INT($F$1+1)
)</f>
        <v>12</v>
      </c>
      <c r="D126" s="1" t="str">
        <f>""</f>
        <v/>
      </c>
      <c r="F126" s="2"/>
      <c r="G126" s="1">
        <f>SUMIFS(
  '[1]Hoja 1'!$M:$M,
  '[1]Hoja 1'!$S:$S, $A126,
  '[1]Hoja 1'!$R:$R, "&gt;="&amp;INT($I$1),
  '[1]Hoja 1'!$R:$R, "&lt;"&amp;INT($J$1+1)
)</f>
        <v>16</v>
      </c>
      <c r="H126" s="1">
        <f t="shared" si="85"/>
        <v>14</v>
      </c>
      <c r="I126" s="1"/>
      <c r="J126" s="2"/>
      <c r="K126" s="1">
        <f>SUMIFS(
  '[1]Hoja 1'!$M:$M,
  '[1]Hoja 1'!$S:$S, $A126,
  '[1]Hoja 1'!$R:$R, "&gt;="&amp;INT($M$1),
  '[1]Hoja 1'!$R:$R, "&lt;"&amp;INT($N$1+1)
)</f>
        <v>15</v>
      </c>
      <c r="L126" s="1">
        <f t="shared" si="86"/>
        <v>15.5</v>
      </c>
      <c r="M126" s="9">
        <f t="shared" si="87"/>
        <v>12.035176772185917</v>
      </c>
      <c r="N126" s="10">
        <f t="shared" si="88"/>
        <v>18.964823227814083</v>
      </c>
      <c r="O126" s="1">
        <f>SUMIFS(
  '[1]Hoja 1'!$M:$M,
  '[1]Hoja 1'!$S:$S, $A126,
  '[1]Hoja 1'!$R:$R, "&gt;="&amp;INT($Q$1),
  '[1]Hoja 1'!$R:$R, "&lt;"&amp;INT($R$1+1)
)</f>
        <v>9</v>
      </c>
      <c r="P126" s="1">
        <f t="shared" si="89"/>
        <v>12</v>
      </c>
      <c r="Q126" s="9">
        <f t="shared" si="90"/>
        <v>10.6</v>
      </c>
      <c r="R126" s="10">
        <f t="shared" si="91"/>
        <v>20.399999999999999</v>
      </c>
      <c r="S126" s="1">
        <f>SUMIFS(
  '[1]Hoja 1'!$M:$M,
  '[1]Hoja 1'!$S:$S, $A126,
  '[1]Hoja 1'!$R:$R, "&gt;="&amp;INT($U$1),
  '[1]Hoja 1'!$R:$R, "&lt;"&amp;INT($V$1+1)
)</f>
        <v>3</v>
      </c>
      <c r="T126" s="1">
        <f t="shared" si="92"/>
        <v>6</v>
      </c>
      <c r="U126" s="9">
        <f t="shared" si="93"/>
        <v>1.3086071719939429</v>
      </c>
      <c r="V126" s="10">
        <f t="shared" si="94"/>
        <v>10.691392828006057</v>
      </c>
      <c r="W126" s="1">
        <f>SUMIFS(
  '[1]Hoja 1'!$M:$M,
  '[1]Hoja 1'!$S:$S, $A126,
  '[1]Hoja 1'!$R:$R, "&gt;="&amp;INT($Y$1),
  '[1]Hoja 1'!$R:$R, "&lt;"&amp;INT($Z$1+1)
)</f>
        <v>5</v>
      </c>
      <c r="X126" s="1">
        <f t="shared" si="95"/>
        <v>4</v>
      </c>
      <c r="Y126" s="9">
        <f t="shared" si="96"/>
        <v>0.13137836777317613</v>
      </c>
      <c r="Z126" s="10">
        <f t="shared" si="97"/>
        <v>7.8686216322268239</v>
      </c>
      <c r="AA126" s="1">
        <f>SUMIFS(
  '[1]Hoja 1'!$M:$M,
  '[1]Hoja 1'!$S:$S, $A126,
  '[1]Hoja 1'!$R:$R, "&gt;="&amp;INT($AC$1),
  '[1]Hoja 1'!$R:$R, "&lt;"&amp;INT($AD$1+1)
)</f>
        <v>12</v>
      </c>
      <c r="AB126" s="1">
        <f t="shared" si="98"/>
        <v>9</v>
      </c>
      <c r="AC126" s="9">
        <f t="shared" si="99"/>
        <v>3.5612207251994494</v>
      </c>
      <c r="AD126" s="10">
        <f t="shared" si="100"/>
        <v>15.268681413715859</v>
      </c>
      <c r="AE126" s="1">
        <f>SUMIFS(
  '[1]Hoja 1'!$M:$M,
  '[1]Hoja 1'!$S:$S, $A126,
  '[1]Hoja 1'!$R:$R, "&gt;="&amp;INT($AG$1),
  '[1]Hoja 1'!$R:$R, "&lt;"&amp;INT($AH$1+1)
)</f>
        <v>0</v>
      </c>
      <c r="AF126" s="1">
        <f t="shared" si="101"/>
        <v>6</v>
      </c>
      <c r="AG126" s="9">
        <f t="shared" si="102"/>
        <v>-1.2148236291679364</v>
      </c>
      <c r="AH126" s="10">
        <f t="shared" si="103"/>
        <v>14.252779329817724</v>
      </c>
      <c r="AI126" s="1">
        <f>SUMIFS(
  '[1]Hoja 1'!$M:$M,
  '[1]Hoja 1'!$S:$S, $A126,
  '[1]Hoja 1'!$R:$R, "&gt;="&amp;INT($AK$1),
  '[1]Hoja 1'!$R:$R, "&lt;"&amp;INT($AL$1+1)
)</f>
        <v>0</v>
      </c>
      <c r="AJ126" s="1">
        <f t="shared" si="104"/>
        <v>0</v>
      </c>
      <c r="AK126" s="9">
        <f t="shared" si="105"/>
        <v>-6.8459856850566085</v>
      </c>
      <c r="AL126" s="10">
        <f t="shared" si="106"/>
        <v>7.8959462173109225</v>
      </c>
      <c r="AM126" s="1">
        <f>SUMIFS(
  '[1]Hoja 1'!$M:$M,
  '[1]Hoja 1'!$S:$S, $A126,
  '[1]Hoja 1'!$R:$R, "&gt;="&amp;INT($AO$1),
  '[1]Hoja 1'!$R:$R, "&lt;"&amp;INT($AP$1+1)
)</f>
        <v>0</v>
      </c>
      <c r="AN126" s="1">
        <f t="shared" si="107"/>
        <v>0</v>
      </c>
      <c r="AO126" s="9">
        <f t="shared" si="108"/>
        <v>-6.7185415083930229</v>
      </c>
      <c r="AP126" s="10">
        <f t="shared" si="109"/>
        <v>7.7320695806491546</v>
      </c>
      <c r="AQ126" s="1">
        <f>SUMIFS(
  '[1]Hoja 1'!$M:$M,
  '[1]Hoja 1'!$S:$S, $A126,
  '[1]Hoja 1'!$R:$R, "&gt;="&amp;INT($AS$1),
  '[1]Hoja 1'!$R:$R, "&lt;"&amp;INT($AT$1+1)
)</f>
        <v>0</v>
      </c>
      <c r="AR126" s="1">
        <f t="shared" si="110"/>
        <v>0</v>
      </c>
      <c r="AS126" s="9">
        <f t="shared" si="111"/>
        <v>-5.2592318830795053</v>
      </c>
      <c r="AT126" s="10">
        <f t="shared" si="112"/>
        <v>5.88</v>
      </c>
      <c r="AU126" s="1">
        <f>SUMIFS(
  '[1]Hoja 1'!$M:$M,
  '[1]Hoja 1'!$S:$S, $A126,
  '[1]Hoja 1'!$R:$R, "&gt;="&amp;INT($AW$1),
  '[1]Hoja 1'!$R:$R, "&lt;"&amp;INT($AX$1+1)
)</f>
        <v>0</v>
      </c>
      <c r="AV126" s="1">
        <f t="shared" si="113"/>
        <v>0</v>
      </c>
      <c r="AW126" s="9">
        <f t="shared" si="114"/>
        <v>0</v>
      </c>
      <c r="AX126" s="10">
        <f t="shared" si="115"/>
        <v>0</v>
      </c>
      <c r="AY126" s="1">
        <f>SUMIFS(
  '[1]Hoja 1'!$M:$M,
  '[1]Hoja 1'!$S:$S, $A126,
  '[1]Hoja 1'!$R:$R, "&gt;="&amp;INT($BA$1),
  '[1]Hoja 1'!$R:$R, "&lt;"&amp;INT($BB$1+1)
)</f>
        <v>0</v>
      </c>
      <c r="AZ126" s="1">
        <f t="shared" si="116"/>
        <v>0</v>
      </c>
      <c r="BA126" s="9">
        <f t="shared" si="117"/>
        <v>0</v>
      </c>
      <c r="BB126" s="10">
        <f t="shared" si="118"/>
        <v>0</v>
      </c>
      <c r="BC126" s="1">
        <f>SUMIFS(
  '[1]Hoja 1'!$M:$M,
  '[1]Hoja 1'!$S:$S, $A126,
  '[1]Hoja 1'!$R:$R, "&gt;="&amp;INT($BE$1),
  '[1]Hoja 1'!$R:$R, "&lt;"&amp;INT($BF$1+1)
)</f>
        <v>0</v>
      </c>
      <c r="BD126" s="1">
        <f t="shared" si="119"/>
        <v>0</v>
      </c>
      <c r="BE126" s="9">
        <f t="shared" si="120"/>
        <v>0</v>
      </c>
      <c r="BF126" s="10">
        <f t="shared" si="121"/>
        <v>0</v>
      </c>
      <c r="BG126" s="1">
        <f>SUMIFS(
  '[1]Hoja 1'!$M:$M,
  '[1]Hoja 1'!$S:$S, $A126,
  '[1]Hoja 1'!$R:$R, "&gt;="&amp;INT($BI$1),
  '[1]Hoja 1'!$R:$R, "&lt;"&amp;INT($BJ$1+1)
)</f>
        <v>0</v>
      </c>
      <c r="BH126" s="1">
        <f t="shared" si="122"/>
        <v>0</v>
      </c>
      <c r="BI126" s="9">
        <f t="shared" si="123"/>
        <v>0</v>
      </c>
      <c r="BJ126" s="10">
        <f t="shared" si="124"/>
        <v>0</v>
      </c>
      <c r="BK126" s="1">
        <f>SUMIFS(
  '[1]Hoja 1'!$M:$M,
  '[1]Hoja 1'!$S:$S, $A126,
  '[1]Hoja 1'!$R:$R, "&gt;="&amp;INT($BM$1),
  '[1]Hoja 1'!$R:$R, "&lt;"&amp;INT($BN$1+1)
)</f>
        <v>0</v>
      </c>
      <c r="BL126" s="1">
        <f t="shared" si="125"/>
        <v>0</v>
      </c>
      <c r="BM126" s="9">
        <f t="shared" si="126"/>
        <v>0</v>
      </c>
      <c r="BN126" s="10">
        <f t="shared" si="127"/>
        <v>0</v>
      </c>
      <c r="BO126" s="1">
        <f>SUMIFS(
  '[1]Hoja 1'!$M:$M,
  '[1]Hoja 1'!$S:$S, $A126,
  '[1]Hoja 1'!$R:$R, "&gt;="&amp;INT($BQ$1),
  '[1]Hoja 1'!$R:$R, "&lt;"&amp;INT($BR$1+1)
)</f>
        <v>0</v>
      </c>
      <c r="BP126" s="1">
        <f t="shared" si="128"/>
        <v>0</v>
      </c>
      <c r="BQ126" s="9">
        <f t="shared" si="129"/>
        <v>0</v>
      </c>
      <c r="BR126" s="10">
        <f t="shared" si="130"/>
        <v>0</v>
      </c>
      <c r="BS126" s="1">
        <f>SUMIFS(
  '[1]Hoja 1'!$M:$M,
  '[1]Hoja 1'!$S:$S, $A126,
  '[1]Hoja 1'!$R:$R, "&gt;="&amp;INT($BU$1),
  '[1]Hoja 1'!$R:$R, "&lt;"&amp;INT($BV$1+1)
)</f>
        <v>0</v>
      </c>
      <c r="BT126" s="1">
        <f t="shared" si="131"/>
        <v>0</v>
      </c>
      <c r="BU126" s="9">
        <f t="shared" si="132"/>
        <v>0</v>
      </c>
      <c r="BV126" s="10">
        <f t="shared" si="133"/>
        <v>0</v>
      </c>
      <c r="BW126" s="1">
        <f>SUMIFS(
  '[1]Hoja 1'!$M:$M,
  '[1]Hoja 1'!$S:$S, $A126,
  '[1]Hoja 1'!$R:$R, "&gt;="&amp;INT($BY$1),
  '[1]Hoja 1'!$R:$R, "&lt;"&amp;INT($BZ$1+1)
)</f>
        <v>0</v>
      </c>
      <c r="BX126" s="1">
        <f t="shared" si="134"/>
        <v>0</v>
      </c>
      <c r="BY126" s="9">
        <f t="shared" si="135"/>
        <v>0</v>
      </c>
      <c r="BZ126" s="10">
        <f t="shared" si="136"/>
        <v>0</v>
      </c>
      <c r="CA126" s="1">
        <f>SUMIFS(
  '[1]Hoja 1'!$M:$M,
  '[1]Hoja 1'!$S:$S, $A126,
  '[1]Hoja 1'!$R:$R, "&gt;="&amp;INT($CC$1),
  '[1]Hoja 1'!$R:$R, "&lt;"&amp;INT($CD$1+1)
)</f>
        <v>0</v>
      </c>
      <c r="CB126" s="1">
        <f t="shared" si="137"/>
        <v>0</v>
      </c>
      <c r="CC126" s="9">
        <f t="shared" si="138"/>
        <v>0</v>
      </c>
      <c r="CD126" s="10">
        <f t="shared" si="139"/>
        <v>0</v>
      </c>
      <c r="CE126" s="1">
        <f>SUMIFS(
  '[1]Hoja 1'!$M:$M,
  '[1]Hoja 1'!$S:$S, $A126,
  '[1]Hoja 1'!$R:$R, "&gt;="&amp;INT($CG$1),
  '[1]Hoja 1'!$R:$R, "&lt;"&amp;INT($CH$1+1)
)</f>
        <v>0</v>
      </c>
      <c r="CF126" s="1">
        <f t="shared" si="140"/>
        <v>0</v>
      </c>
      <c r="CG126" s="9">
        <f t="shared" si="141"/>
        <v>0</v>
      </c>
      <c r="CH126" s="10">
        <f t="shared" si="142"/>
        <v>0</v>
      </c>
      <c r="CI126" s="1">
        <f>SUMIFS(
  '[1]Hoja 1'!$M:$M,
  '[1]Hoja 1'!$S:$S, $A126,
  '[1]Hoja 1'!$R:$R, "&gt;="&amp;INT($CK$1),
  '[1]Hoja 1'!$R:$R, "&lt;"&amp;INT($CL$1+1)
)</f>
        <v>0</v>
      </c>
      <c r="CJ126" s="1">
        <f t="shared" si="143"/>
        <v>0</v>
      </c>
      <c r="CK126" s="9">
        <f t="shared" si="144"/>
        <v>0</v>
      </c>
      <c r="CL126" s="10">
        <f t="shared" si="145"/>
        <v>0</v>
      </c>
      <c r="CM126" s="1">
        <f>SUMIFS(
  '[1]Hoja 1'!$M:$M,
  '[1]Hoja 1'!$S:$S, $A126,
  '[1]Hoja 1'!$R:$R, "&gt;="&amp;INT($CO$1),
  '[1]Hoja 1'!$R:$R, "&lt;"&amp;INT($CP$1+1)
)</f>
        <v>0</v>
      </c>
      <c r="CN126" s="1">
        <f t="shared" si="146"/>
        <v>0</v>
      </c>
      <c r="CO126" s="9">
        <f t="shared" si="147"/>
        <v>0</v>
      </c>
      <c r="CP126" s="10">
        <f t="shared" si="148"/>
        <v>0</v>
      </c>
      <c r="CQ126" s="1">
        <f>SUMIFS(
  '[1]Hoja 1'!$M:$M,
  '[1]Hoja 1'!$S:$S, $A126,
  '[1]Hoja 1'!$R:$R, "&gt;="&amp;INT($CS$1),
  '[1]Hoja 1'!$R:$R, "&lt;"&amp;INT($CT$1+1)
)</f>
        <v>0</v>
      </c>
      <c r="CR126" s="1">
        <f t="shared" si="149"/>
        <v>0</v>
      </c>
      <c r="CS126" s="9">
        <f t="shared" si="150"/>
        <v>0</v>
      </c>
      <c r="CT126" s="10">
        <f t="shared" si="151"/>
        <v>0</v>
      </c>
      <c r="CU126" s="1">
        <f>SUMIFS(
  '[1]Hoja 1'!$M:$M,
  '[1]Hoja 1'!$S:$S, $A126,
  '[1]Hoja 1'!$R:$R, "&gt;="&amp;INT($CW$1),
  '[1]Hoja 1'!$R:$R, "&lt;"&amp;INT($CX$1+1)
)</f>
        <v>0</v>
      </c>
      <c r="CV126" s="1">
        <f t="shared" si="152"/>
        <v>0</v>
      </c>
      <c r="CW126" s="9">
        <f t="shared" si="153"/>
        <v>0</v>
      </c>
      <c r="CX126" s="10">
        <f t="shared" si="154"/>
        <v>0</v>
      </c>
      <c r="CY126" s="1">
        <f>SUMIFS(
  '[1]Hoja 1'!$M:$M,
  '[1]Hoja 1'!$S:$S, $A126,
  '[1]Hoja 1'!$R:$R, "&gt;="&amp;INT($DA$1),
  '[1]Hoja 1'!$R:$R, "&lt;"&amp;INT($DB$1+1)
)</f>
        <v>0</v>
      </c>
      <c r="CZ126" s="1">
        <f t="shared" si="155"/>
        <v>0</v>
      </c>
      <c r="DA126" s="9">
        <f t="shared" si="156"/>
        <v>0</v>
      </c>
      <c r="DB126" s="10">
        <f t="shared" si="157"/>
        <v>0</v>
      </c>
      <c r="DC126" s="1">
        <f>SUMIFS(
  '[1]Hoja 1'!$M:$M,
  '[1]Hoja 1'!$S:$S, $A126,
  '[1]Hoja 1'!$R:$R, "&gt;="&amp;INT($DE$1),
  '[1]Hoja 1'!$R:$R, "&lt;"&amp;INT($DF$1+1)
)</f>
        <v>0</v>
      </c>
      <c r="DD126" s="1">
        <f t="shared" si="158"/>
        <v>0</v>
      </c>
      <c r="DE126" s="9">
        <f t="shared" si="159"/>
        <v>0</v>
      </c>
      <c r="DF126" s="10">
        <f t="shared" si="160"/>
        <v>0</v>
      </c>
      <c r="DG126" s="1">
        <f>SUMIFS(
  '[1]Hoja 1'!$M:$M,
  '[1]Hoja 1'!$S:$S, $A126,
  '[1]Hoja 1'!$R:$R, "&gt;="&amp;INT($DI$1),
  '[1]Hoja 1'!$R:$R, "&lt;"&amp;INT($DJ$1+1)
)</f>
        <v>0</v>
      </c>
      <c r="DH126" s="1">
        <f t="shared" si="161"/>
        <v>0</v>
      </c>
      <c r="DI126" s="9">
        <f t="shared" si="162"/>
        <v>0</v>
      </c>
      <c r="DJ126" s="10">
        <f t="shared" si="163"/>
        <v>0</v>
      </c>
      <c r="DK126" s="1">
        <f>SUMIFS(
  '[1]Hoja 1'!$M:$M,
  '[1]Hoja 1'!$S:$S, $A126,
  '[1]Hoja 1'!$R:$R, "&gt;="&amp;INT($DM$1),
  '[1]Hoja 1'!$R:$R, "&lt;"&amp;INT($DN$1+1)
)</f>
        <v>0</v>
      </c>
      <c r="DL126" s="1">
        <f t="shared" si="164"/>
        <v>0</v>
      </c>
      <c r="DM126" s="9">
        <f t="shared" si="165"/>
        <v>0</v>
      </c>
      <c r="DN126" s="10">
        <f t="shared" si="166"/>
        <v>0</v>
      </c>
      <c r="DO126" s="1">
        <f>SUMIFS(
  '[1]Hoja 1'!$M:$M,
  '[1]Hoja 1'!$S:$S, $A126,
  '[1]Hoja 1'!$R:$R, "&gt;="&amp;INT($DQ$1),
  '[1]Hoja 1'!$R:$R, "&lt;"&amp;INT($DR$1+1)
)</f>
        <v>0</v>
      </c>
      <c r="DP126" s="1">
        <f t="shared" si="167"/>
        <v>0</v>
      </c>
      <c r="DQ126" s="9">
        <f t="shared" si="168"/>
        <v>0</v>
      </c>
      <c r="DR126" s="10">
        <f t="shared" si="169"/>
        <v>0</v>
      </c>
    </row>
    <row r="127" spans="1:122" x14ac:dyDescent="0.25">
      <c r="A127" s="5">
        <v>222002</v>
      </c>
      <c r="B127" s="6" t="s">
        <v>125</v>
      </c>
      <c r="C127" s="1">
        <f>SUMIFS(
  '[1]Hoja 1'!$M:$M,
  '[1]Hoja 1'!$S:$S, $A127,
  '[1]Hoja 1'!$R:$R, "&gt;="&amp;INT($E$1),
  '[1]Hoja 1'!$R:$R, "&lt;"&amp;INT($F$1+1)
)</f>
        <v>0</v>
      </c>
      <c r="D127" s="1" t="str">
        <f>""</f>
        <v/>
      </c>
      <c r="F127" s="2"/>
      <c r="G127" s="1">
        <f>SUMIFS(
  '[1]Hoja 1'!$M:$M,
  '[1]Hoja 1'!$S:$S, $A127,
  '[1]Hoja 1'!$R:$R, "&gt;="&amp;INT($I$1),
  '[1]Hoja 1'!$R:$R, "&lt;"&amp;INT($J$1+1)
)</f>
        <v>0</v>
      </c>
      <c r="H127" s="1">
        <f t="shared" si="85"/>
        <v>0</v>
      </c>
      <c r="I127" s="1"/>
      <c r="J127" s="2"/>
      <c r="K127" s="1">
        <f>SUMIFS(
  '[1]Hoja 1'!$M:$M,
  '[1]Hoja 1'!$S:$S, $A127,
  '[1]Hoja 1'!$R:$R, "&gt;="&amp;INT($M$1),
  '[1]Hoja 1'!$R:$R, "&lt;"&amp;INT($N$1+1)
)</f>
        <v>0</v>
      </c>
      <c r="L127" s="1">
        <f t="shared" si="86"/>
        <v>0</v>
      </c>
      <c r="M127" s="9">
        <f t="shared" si="87"/>
        <v>0</v>
      </c>
      <c r="N127" s="10">
        <f t="shared" si="88"/>
        <v>0</v>
      </c>
      <c r="O127" s="1">
        <f>SUMIFS(
  '[1]Hoja 1'!$M:$M,
  '[1]Hoja 1'!$S:$S, $A127,
  '[1]Hoja 1'!$R:$R, "&gt;="&amp;INT($Q$1),
  '[1]Hoja 1'!$R:$R, "&lt;"&amp;INT($R$1+1)
)</f>
        <v>0</v>
      </c>
      <c r="P127" s="1">
        <f t="shared" si="89"/>
        <v>0</v>
      </c>
      <c r="Q127" s="9">
        <f t="shared" si="90"/>
        <v>0</v>
      </c>
      <c r="R127" s="10">
        <f t="shared" si="91"/>
        <v>0</v>
      </c>
      <c r="S127" s="1">
        <f>SUMIFS(
  '[1]Hoja 1'!$M:$M,
  '[1]Hoja 1'!$S:$S, $A127,
  '[1]Hoja 1'!$R:$R, "&gt;="&amp;INT($U$1),
  '[1]Hoja 1'!$R:$R, "&lt;"&amp;INT($V$1+1)
)</f>
        <v>1</v>
      </c>
      <c r="T127" s="1">
        <f t="shared" si="92"/>
        <v>1</v>
      </c>
      <c r="U127" s="9">
        <f t="shared" si="93"/>
        <v>0.51</v>
      </c>
      <c r="V127" s="10">
        <f t="shared" si="94"/>
        <v>1.49</v>
      </c>
      <c r="W127" s="1">
        <f>SUMIFS(
  '[1]Hoja 1'!$M:$M,
  '[1]Hoja 1'!$S:$S, $A127,
  '[1]Hoja 1'!$R:$R, "&gt;="&amp;INT($Y$1),
  '[1]Hoja 1'!$R:$R, "&lt;"&amp;INT($Z$1+1)
)</f>
        <v>5</v>
      </c>
      <c r="X127" s="1">
        <f t="shared" si="95"/>
        <v>3</v>
      </c>
      <c r="Y127" s="9">
        <f t="shared" si="96"/>
        <v>1.1448899403719106</v>
      </c>
      <c r="Z127" s="10">
        <f t="shared" si="97"/>
        <v>4.8551100596280889</v>
      </c>
      <c r="AA127" s="1">
        <f>SUMIFS(
  '[1]Hoja 1'!$M:$M,
  '[1]Hoja 1'!$S:$S, $A127,
  '[1]Hoja 1'!$R:$R, "&gt;="&amp;INT($AC$1),
  '[1]Hoja 1'!$R:$R, "&lt;"&amp;INT($AD$1+1)
)</f>
        <v>6</v>
      </c>
      <c r="AB127" s="1">
        <f t="shared" si="98"/>
        <v>6</v>
      </c>
      <c r="AC127" s="9">
        <f t="shared" si="99"/>
        <v>4.3896956809348113</v>
      </c>
      <c r="AD127" s="10">
        <f t="shared" si="100"/>
        <v>7.6974097914174999</v>
      </c>
      <c r="AE127" s="1">
        <f>SUMIFS(
  '[1]Hoja 1'!$M:$M,
  '[1]Hoja 1'!$S:$S, $A127,
  '[1]Hoja 1'!$R:$R, "&gt;="&amp;INT($AG$1),
  '[1]Hoja 1'!$R:$R, "&lt;"&amp;INT($AH$1+1)
)</f>
        <v>0</v>
      </c>
      <c r="AF127" s="1">
        <f t="shared" si="101"/>
        <v>3</v>
      </c>
      <c r="AG127" s="9">
        <f t="shared" si="102"/>
        <v>-0.60074992189127174</v>
      </c>
      <c r="AH127" s="10">
        <f t="shared" si="103"/>
        <v>7.1577878733768987</v>
      </c>
      <c r="AI127" s="1">
        <f>SUMIFS(
  '[1]Hoja 1'!$M:$M,
  '[1]Hoja 1'!$S:$S, $A127,
  '[1]Hoja 1'!$R:$R, "&gt;="&amp;INT($AK$1),
  '[1]Hoja 1'!$R:$R, "&lt;"&amp;INT($AL$1+1)
)</f>
        <v>0</v>
      </c>
      <c r="AJ127" s="1">
        <f t="shared" si="104"/>
        <v>0</v>
      </c>
      <c r="AK127" s="9">
        <f t="shared" si="105"/>
        <v>-3.5605168164186498</v>
      </c>
      <c r="AL127" s="10">
        <f t="shared" si="106"/>
        <v>4.1093835709669806</v>
      </c>
      <c r="AM127" s="1">
        <f>SUMIFS(
  '[1]Hoja 1'!$M:$M,
  '[1]Hoja 1'!$S:$S, $A127,
  '[1]Hoja 1'!$R:$R, "&gt;="&amp;INT($AO$1),
  '[1]Hoja 1'!$R:$R, "&lt;"&amp;INT($AP$1+1)
)</f>
        <v>0</v>
      </c>
      <c r="AN127" s="1">
        <f t="shared" si="107"/>
        <v>0</v>
      </c>
      <c r="AO127" s="9">
        <f t="shared" si="108"/>
        <v>-2.7718585822512662</v>
      </c>
      <c r="AP127" s="10">
        <f t="shared" si="109"/>
        <v>3.1375308763420957</v>
      </c>
      <c r="AQ127" s="1">
        <f>SUMIFS(
  '[1]Hoja 1'!$M:$M,
  '[1]Hoja 1'!$S:$S, $A127,
  '[1]Hoja 1'!$R:$R, "&gt;="&amp;INT($AS$1),
  '[1]Hoja 1'!$R:$R, "&lt;"&amp;INT($AT$1+1)
)</f>
        <v>0</v>
      </c>
      <c r="AR127" s="1">
        <f t="shared" si="110"/>
        <v>0</v>
      </c>
      <c r="AS127" s="9">
        <f t="shared" si="111"/>
        <v>-2.6296159415397526</v>
      </c>
      <c r="AT127" s="10">
        <f t="shared" si="112"/>
        <v>2.94</v>
      </c>
      <c r="AU127" s="1">
        <f>SUMIFS(
  '[1]Hoja 1'!$M:$M,
  '[1]Hoja 1'!$S:$S, $A127,
  '[1]Hoja 1'!$R:$R, "&gt;="&amp;INT($AW$1),
  '[1]Hoja 1'!$R:$R, "&lt;"&amp;INT($AX$1+1)
)</f>
        <v>0</v>
      </c>
      <c r="AV127" s="1">
        <f t="shared" si="113"/>
        <v>0</v>
      </c>
      <c r="AW127" s="9">
        <f t="shared" si="114"/>
        <v>0</v>
      </c>
      <c r="AX127" s="10">
        <f t="shared" si="115"/>
        <v>0</v>
      </c>
      <c r="AY127" s="1">
        <f>SUMIFS(
  '[1]Hoja 1'!$M:$M,
  '[1]Hoja 1'!$S:$S, $A127,
  '[1]Hoja 1'!$R:$R, "&gt;="&amp;INT($BA$1),
  '[1]Hoja 1'!$R:$R, "&lt;"&amp;INT($BB$1+1)
)</f>
        <v>0</v>
      </c>
      <c r="AZ127" s="1">
        <f t="shared" si="116"/>
        <v>0</v>
      </c>
      <c r="BA127" s="9">
        <f t="shared" si="117"/>
        <v>0</v>
      </c>
      <c r="BB127" s="10">
        <f t="shared" si="118"/>
        <v>0</v>
      </c>
      <c r="BC127" s="1">
        <f>SUMIFS(
  '[1]Hoja 1'!$M:$M,
  '[1]Hoja 1'!$S:$S, $A127,
  '[1]Hoja 1'!$R:$R, "&gt;="&amp;INT($BE$1),
  '[1]Hoja 1'!$R:$R, "&lt;"&amp;INT($BF$1+1)
)</f>
        <v>0</v>
      </c>
      <c r="BD127" s="1">
        <f t="shared" si="119"/>
        <v>0</v>
      </c>
      <c r="BE127" s="9">
        <f t="shared" si="120"/>
        <v>0</v>
      </c>
      <c r="BF127" s="10">
        <f t="shared" si="121"/>
        <v>0</v>
      </c>
      <c r="BG127" s="1">
        <f>SUMIFS(
  '[1]Hoja 1'!$M:$M,
  '[1]Hoja 1'!$S:$S, $A127,
  '[1]Hoja 1'!$R:$R, "&gt;="&amp;INT($BI$1),
  '[1]Hoja 1'!$R:$R, "&lt;"&amp;INT($BJ$1+1)
)</f>
        <v>0</v>
      </c>
      <c r="BH127" s="1">
        <f t="shared" si="122"/>
        <v>0</v>
      </c>
      <c r="BI127" s="9">
        <f t="shared" si="123"/>
        <v>0</v>
      </c>
      <c r="BJ127" s="10">
        <f t="shared" si="124"/>
        <v>0</v>
      </c>
      <c r="BK127" s="1">
        <f>SUMIFS(
  '[1]Hoja 1'!$M:$M,
  '[1]Hoja 1'!$S:$S, $A127,
  '[1]Hoja 1'!$R:$R, "&gt;="&amp;INT($BM$1),
  '[1]Hoja 1'!$R:$R, "&lt;"&amp;INT($BN$1+1)
)</f>
        <v>0</v>
      </c>
      <c r="BL127" s="1">
        <f t="shared" si="125"/>
        <v>0</v>
      </c>
      <c r="BM127" s="9">
        <f t="shared" si="126"/>
        <v>0</v>
      </c>
      <c r="BN127" s="10">
        <f t="shared" si="127"/>
        <v>0</v>
      </c>
      <c r="BO127" s="1">
        <f>SUMIFS(
  '[1]Hoja 1'!$M:$M,
  '[1]Hoja 1'!$S:$S, $A127,
  '[1]Hoja 1'!$R:$R, "&gt;="&amp;INT($BQ$1),
  '[1]Hoja 1'!$R:$R, "&lt;"&amp;INT($BR$1+1)
)</f>
        <v>0</v>
      </c>
      <c r="BP127" s="1">
        <f t="shared" si="128"/>
        <v>0</v>
      </c>
      <c r="BQ127" s="9">
        <f t="shared" si="129"/>
        <v>0</v>
      </c>
      <c r="BR127" s="10">
        <f t="shared" si="130"/>
        <v>0</v>
      </c>
      <c r="BS127" s="1">
        <f>SUMIFS(
  '[1]Hoja 1'!$M:$M,
  '[1]Hoja 1'!$S:$S, $A127,
  '[1]Hoja 1'!$R:$R, "&gt;="&amp;INT($BU$1),
  '[1]Hoja 1'!$R:$R, "&lt;"&amp;INT($BV$1+1)
)</f>
        <v>0</v>
      </c>
      <c r="BT127" s="1">
        <f t="shared" si="131"/>
        <v>0</v>
      </c>
      <c r="BU127" s="9">
        <f t="shared" si="132"/>
        <v>0</v>
      </c>
      <c r="BV127" s="10">
        <f t="shared" si="133"/>
        <v>0</v>
      </c>
      <c r="BW127" s="1">
        <f>SUMIFS(
  '[1]Hoja 1'!$M:$M,
  '[1]Hoja 1'!$S:$S, $A127,
  '[1]Hoja 1'!$R:$R, "&gt;="&amp;INT($BY$1),
  '[1]Hoja 1'!$R:$R, "&lt;"&amp;INT($BZ$1+1)
)</f>
        <v>0</v>
      </c>
      <c r="BX127" s="1">
        <f t="shared" si="134"/>
        <v>0</v>
      </c>
      <c r="BY127" s="9">
        <f t="shared" si="135"/>
        <v>0</v>
      </c>
      <c r="BZ127" s="10">
        <f t="shared" si="136"/>
        <v>0</v>
      </c>
      <c r="CA127" s="1">
        <f>SUMIFS(
  '[1]Hoja 1'!$M:$M,
  '[1]Hoja 1'!$S:$S, $A127,
  '[1]Hoja 1'!$R:$R, "&gt;="&amp;INT($CC$1),
  '[1]Hoja 1'!$R:$R, "&lt;"&amp;INT($CD$1+1)
)</f>
        <v>0</v>
      </c>
      <c r="CB127" s="1">
        <f t="shared" si="137"/>
        <v>0</v>
      </c>
      <c r="CC127" s="9">
        <f t="shared" si="138"/>
        <v>0</v>
      </c>
      <c r="CD127" s="10">
        <f t="shared" si="139"/>
        <v>0</v>
      </c>
      <c r="CE127" s="1">
        <f>SUMIFS(
  '[1]Hoja 1'!$M:$M,
  '[1]Hoja 1'!$S:$S, $A127,
  '[1]Hoja 1'!$R:$R, "&gt;="&amp;INT($CG$1),
  '[1]Hoja 1'!$R:$R, "&lt;"&amp;INT($CH$1+1)
)</f>
        <v>0</v>
      </c>
      <c r="CF127" s="1">
        <f t="shared" si="140"/>
        <v>0</v>
      </c>
      <c r="CG127" s="9">
        <f t="shared" si="141"/>
        <v>0</v>
      </c>
      <c r="CH127" s="10">
        <f t="shared" si="142"/>
        <v>0</v>
      </c>
      <c r="CI127" s="1">
        <f>SUMIFS(
  '[1]Hoja 1'!$M:$M,
  '[1]Hoja 1'!$S:$S, $A127,
  '[1]Hoja 1'!$R:$R, "&gt;="&amp;INT($CK$1),
  '[1]Hoja 1'!$R:$R, "&lt;"&amp;INT($CL$1+1)
)</f>
        <v>0</v>
      </c>
      <c r="CJ127" s="1">
        <f t="shared" si="143"/>
        <v>0</v>
      </c>
      <c r="CK127" s="9">
        <f t="shared" si="144"/>
        <v>0</v>
      </c>
      <c r="CL127" s="10">
        <f t="shared" si="145"/>
        <v>0</v>
      </c>
      <c r="CM127" s="1">
        <f>SUMIFS(
  '[1]Hoja 1'!$M:$M,
  '[1]Hoja 1'!$S:$S, $A127,
  '[1]Hoja 1'!$R:$R, "&gt;="&amp;INT($CO$1),
  '[1]Hoja 1'!$R:$R, "&lt;"&amp;INT($CP$1+1)
)</f>
        <v>0</v>
      </c>
      <c r="CN127" s="1">
        <f t="shared" si="146"/>
        <v>0</v>
      </c>
      <c r="CO127" s="9">
        <f t="shared" si="147"/>
        <v>0</v>
      </c>
      <c r="CP127" s="10">
        <f t="shared" si="148"/>
        <v>0</v>
      </c>
      <c r="CQ127" s="1">
        <f>SUMIFS(
  '[1]Hoja 1'!$M:$M,
  '[1]Hoja 1'!$S:$S, $A127,
  '[1]Hoja 1'!$R:$R, "&gt;="&amp;INT($CS$1),
  '[1]Hoja 1'!$R:$R, "&lt;"&amp;INT($CT$1+1)
)</f>
        <v>0</v>
      </c>
      <c r="CR127" s="1">
        <f t="shared" si="149"/>
        <v>0</v>
      </c>
      <c r="CS127" s="9">
        <f t="shared" si="150"/>
        <v>0</v>
      </c>
      <c r="CT127" s="10">
        <f t="shared" si="151"/>
        <v>0</v>
      </c>
      <c r="CU127" s="1">
        <f>SUMIFS(
  '[1]Hoja 1'!$M:$M,
  '[1]Hoja 1'!$S:$S, $A127,
  '[1]Hoja 1'!$R:$R, "&gt;="&amp;INT($CW$1),
  '[1]Hoja 1'!$R:$R, "&lt;"&amp;INT($CX$1+1)
)</f>
        <v>0</v>
      </c>
      <c r="CV127" s="1">
        <f t="shared" si="152"/>
        <v>0</v>
      </c>
      <c r="CW127" s="9">
        <f t="shared" si="153"/>
        <v>0</v>
      </c>
      <c r="CX127" s="10">
        <f t="shared" si="154"/>
        <v>0</v>
      </c>
      <c r="CY127" s="1">
        <f>SUMIFS(
  '[1]Hoja 1'!$M:$M,
  '[1]Hoja 1'!$S:$S, $A127,
  '[1]Hoja 1'!$R:$R, "&gt;="&amp;INT($DA$1),
  '[1]Hoja 1'!$R:$R, "&lt;"&amp;INT($DB$1+1)
)</f>
        <v>0</v>
      </c>
      <c r="CZ127" s="1">
        <f t="shared" si="155"/>
        <v>0</v>
      </c>
      <c r="DA127" s="9">
        <f t="shared" si="156"/>
        <v>0</v>
      </c>
      <c r="DB127" s="10">
        <f t="shared" si="157"/>
        <v>0</v>
      </c>
      <c r="DC127" s="1">
        <f>SUMIFS(
  '[1]Hoja 1'!$M:$M,
  '[1]Hoja 1'!$S:$S, $A127,
  '[1]Hoja 1'!$R:$R, "&gt;="&amp;INT($DE$1),
  '[1]Hoja 1'!$R:$R, "&lt;"&amp;INT($DF$1+1)
)</f>
        <v>0</v>
      </c>
      <c r="DD127" s="1">
        <f t="shared" si="158"/>
        <v>0</v>
      </c>
      <c r="DE127" s="9">
        <f t="shared" si="159"/>
        <v>0</v>
      </c>
      <c r="DF127" s="10">
        <f t="shared" si="160"/>
        <v>0</v>
      </c>
      <c r="DG127" s="1">
        <f>SUMIFS(
  '[1]Hoja 1'!$M:$M,
  '[1]Hoja 1'!$S:$S, $A127,
  '[1]Hoja 1'!$R:$R, "&gt;="&amp;INT($DI$1),
  '[1]Hoja 1'!$R:$R, "&lt;"&amp;INT($DJ$1+1)
)</f>
        <v>0</v>
      </c>
      <c r="DH127" s="1">
        <f t="shared" si="161"/>
        <v>0</v>
      </c>
      <c r="DI127" s="9">
        <f t="shared" si="162"/>
        <v>0</v>
      </c>
      <c r="DJ127" s="10">
        <f t="shared" si="163"/>
        <v>0</v>
      </c>
      <c r="DK127" s="1">
        <f>SUMIFS(
  '[1]Hoja 1'!$M:$M,
  '[1]Hoja 1'!$S:$S, $A127,
  '[1]Hoja 1'!$R:$R, "&gt;="&amp;INT($DM$1),
  '[1]Hoja 1'!$R:$R, "&lt;"&amp;INT($DN$1+1)
)</f>
        <v>0</v>
      </c>
      <c r="DL127" s="1">
        <f t="shared" si="164"/>
        <v>0</v>
      </c>
      <c r="DM127" s="9">
        <f t="shared" si="165"/>
        <v>0</v>
      </c>
      <c r="DN127" s="10">
        <f t="shared" si="166"/>
        <v>0</v>
      </c>
      <c r="DO127" s="1">
        <f>SUMIFS(
  '[1]Hoja 1'!$M:$M,
  '[1]Hoja 1'!$S:$S, $A127,
  '[1]Hoja 1'!$R:$R, "&gt;="&amp;INT($DQ$1),
  '[1]Hoja 1'!$R:$R, "&lt;"&amp;INT($DR$1+1)
)</f>
        <v>0</v>
      </c>
      <c r="DP127" s="1">
        <f t="shared" si="167"/>
        <v>0</v>
      </c>
      <c r="DQ127" s="9">
        <f t="shared" si="168"/>
        <v>0</v>
      </c>
      <c r="DR127" s="10">
        <f t="shared" si="169"/>
        <v>0</v>
      </c>
    </row>
    <row r="128" spans="1:122" x14ac:dyDescent="0.25">
      <c r="A128" s="5">
        <v>222005</v>
      </c>
      <c r="B128" s="6" t="s">
        <v>126</v>
      </c>
      <c r="C128" s="1">
        <f>SUMIFS(
  '[1]Hoja 1'!$M:$M,
  '[1]Hoja 1'!$S:$S, $A128,
  '[1]Hoja 1'!$R:$R, "&gt;="&amp;INT($E$1),
  '[1]Hoja 1'!$R:$R, "&lt;"&amp;INT($F$1+1)
)</f>
        <v>1</v>
      </c>
      <c r="D128" s="1" t="str">
        <f>""</f>
        <v/>
      </c>
      <c r="F128" s="2"/>
      <c r="G128" s="1">
        <f>SUMIFS(
  '[1]Hoja 1'!$M:$M,
  '[1]Hoja 1'!$S:$S, $A128,
  '[1]Hoja 1'!$R:$R, "&gt;="&amp;INT($I$1),
  '[1]Hoja 1'!$R:$R, "&lt;"&amp;INT($J$1+1)
)</f>
        <v>4</v>
      </c>
      <c r="H128" s="1">
        <f t="shared" si="85"/>
        <v>2.5</v>
      </c>
      <c r="I128" s="1"/>
      <c r="J128" s="2"/>
      <c r="K128" s="1">
        <f>SUMIFS(
  '[1]Hoja 1'!$M:$M,
  '[1]Hoja 1'!$S:$S, $A128,
  '[1]Hoja 1'!$R:$R, "&gt;="&amp;INT($M$1),
  '[1]Hoja 1'!$R:$R, "&lt;"&amp;INT($N$1+1)
)</f>
        <v>1</v>
      </c>
      <c r="L128" s="1">
        <f t="shared" si="86"/>
        <v>2.5</v>
      </c>
      <c r="M128" s="9">
        <f t="shared" si="87"/>
        <v>-1.6577878733768987</v>
      </c>
      <c r="N128" s="10">
        <f t="shared" si="88"/>
        <v>6.6577878733768987</v>
      </c>
      <c r="O128" s="1">
        <f>SUMIFS(
  '[1]Hoja 1'!$M:$M,
  '[1]Hoja 1'!$S:$S, $A128,
  '[1]Hoja 1'!$R:$R, "&gt;="&amp;INT($Q$1),
  '[1]Hoja 1'!$R:$R, "&lt;"&amp;INT($R$1+1)
)</f>
        <v>0</v>
      </c>
      <c r="P128" s="1">
        <f t="shared" si="89"/>
        <v>0.5</v>
      </c>
      <c r="Q128" s="9">
        <f t="shared" si="90"/>
        <v>-0.49394945403781554</v>
      </c>
      <c r="R128" s="10">
        <f t="shared" si="91"/>
        <v>5.493949454037816</v>
      </c>
      <c r="S128" s="1">
        <f>SUMIFS(
  '[1]Hoja 1'!$M:$M,
  '[1]Hoja 1'!$S:$S, $A128,
  '[1]Hoja 1'!$R:$R, "&gt;="&amp;INT($U$1),
  '[1]Hoja 1'!$R:$R, "&lt;"&amp;INT($V$1+1)
)</f>
        <v>0</v>
      </c>
      <c r="T128" s="1">
        <f t="shared" si="92"/>
        <v>0</v>
      </c>
      <c r="U128" s="9">
        <f t="shared" si="93"/>
        <v>-2.4500000000000002</v>
      </c>
      <c r="V128" s="10">
        <f t="shared" si="94"/>
        <v>2.4500000000000002</v>
      </c>
      <c r="W128" s="1">
        <f>SUMIFS(
  '[1]Hoja 1'!$M:$M,
  '[1]Hoja 1'!$S:$S, $A128,
  '[1]Hoja 1'!$R:$R, "&gt;="&amp;INT($Y$1),
  '[1]Hoja 1'!$R:$R, "&lt;"&amp;INT($Z$1+1)
)</f>
        <v>0</v>
      </c>
      <c r="X128" s="1">
        <f t="shared" si="95"/>
        <v>0</v>
      </c>
      <c r="Y128" s="9">
        <f t="shared" si="96"/>
        <v>-1.3859292911256331</v>
      </c>
      <c r="Z128" s="10">
        <f t="shared" si="97"/>
        <v>1.3859292911256331</v>
      </c>
      <c r="AA128" s="1">
        <f>SUMIFS(
  '[1]Hoja 1'!$M:$M,
  '[1]Hoja 1'!$S:$S, $A128,
  '[1]Hoja 1'!$R:$R, "&gt;="&amp;INT($AC$1),
  '[1]Hoja 1'!$R:$R, "&lt;"&amp;INT($AD$1+1)
)</f>
        <v>2</v>
      </c>
      <c r="AB128" s="1">
        <f t="shared" si="98"/>
        <v>1</v>
      </c>
      <c r="AC128" s="9">
        <f t="shared" si="99"/>
        <v>-7.3536212710125559E-2</v>
      </c>
      <c r="AD128" s="10">
        <f t="shared" si="100"/>
        <v>2.2331396244275554</v>
      </c>
      <c r="AE128" s="1">
        <f>SUMIFS(
  '[1]Hoja 1'!$M:$M,
  '[1]Hoja 1'!$S:$S, $A128,
  '[1]Hoja 1'!$R:$R, "&gt;="&amp;INT($AG$1),
  '[1]Hoja 1'!$R:$R, "&lt;"&amp;INT($AH$1+1)
)</f>
        <v>0</v>
      </c>
      <c r="AF128" s="1">
        <f t="shared" si="101"/>
        <v>1</v>
      </c>
      <c r="AG128" s="9">
        <f t="shared" si="102"/>
        <v>-0.38592929112563312</v>
      </c>
      <c r="AH128" s="10">
        <f t="shared" si="103"/>
        <v>2.6003332986183429</v>
      </c>
      <c r="AI128" s="1">
        <f>SUMIFS(
  '[1]Hoja 1'!$M:$M,
  '[1]Hoja 1'!$S:$S, $A128,
  '[1]Hoja 1'!$R:$R, "&gt;="&amp;INT($AK$1),
  '[1]Hoja 1'!$R:$R, "&lt;"&amp;INT($AL$1+1)
)</f>
        <v>0</v>
      </c>
      <c r="AJ128" s="1">
        <f t="shared" si="104"/>
        <v>0</v>
      </c>
      <c r="AK128" s="9">
        <f t="shared" si="105"/>
        <v>-1.3859292911256331</v>
      </c>
      <c r="AL128" s="10">
        <f t="shared" si="106"/>
        <v>1.6003332986183429</v>
      </c>
      <c r="AM128" s="1">
        <f>SUMIFS(
  '[1]Hoja 1'!$M:$M,
  '[1]Hoja 1'!$S:$S, $A128,
  '[1]Hoja 1'!$R:$R, "&gt;="&amp;INT($AO$1),
  '[1]Hoja 1'!$R:$R, "&lt;"&amp;INT($AP$1+1)
)</f>
        <v>0</v>
      </c>
      <c r="AN128" s="1">
        <f t="shared" si="107"/>
        <v>0</v>
      </c>
      <c r="AO128" s="9">
        <f t="shared" si="108"/>
        <v>-1.3859292911256331</v>
      </c>
      <c r="AP128" s="10">
        <f t="shared" si="109"/>
        <v>1.6003332986183429</v>
      </c>
      <c r="AQ128" s="1">
        <f>SUMIFS(
  '[1]Hoja 1'!$M:$M,
  '[1]Hoja 1'!$S:$S, $A128,
  '[1]Hoja 1'!$R:$R, "&gt;="&amp;INT($AS$1),
  '[1]Hoja 1'!$R:$R, "&lt;"&amp;INT($AT$1+1)
)</f>
        <v>0</v>
      </c>
      <c r="AR128" s="1">
        <f t="shared" si="110"/>
        <v>0</v>
      </c>
      <c r="AS128" s="9">
        <f t="shared" si="111"/>
        <v>-0.87653864717991747</v>
      </c>
      <c r="AT128" s="10">
        <f t="shared" si="112"/>
        <v>0.98</v>
      </c>
      <c r="AU128" s="1">
        <f>SUMIFS(
  '[1]Hoja 1'!$M:$M,
  '[1]Hoja 1'!$S:$S, $A128,
  '[1]Hoja 1'!$R:$R, "&gt;="&amp;INT($AW$1),
  '[1]Hoja 1'!$R:$R, "&lt;"&amp;INT($AX$1+1)
)</f>
        <v>0</v>
      </c>
      <c r="AV128" s="1">
        <f t="shared" si="113"/>
        <v>0</v>
      </c>
      <c r="AW128" s="9">
        <f t="shared" si="114"/>
        <v>0</v>
      </c>
      <c r="AX128" s="10">
        <f t="shared" si="115"/>
        <v>0</v>
      </c>
      <c r="AY128" s="1">
        <f>SUMIFS(
  '[1]Hoja 1'!$M:$M,
  '[1]Hoja 1'!$S:$S, $A128,
  '[1]Hoja 1'!$R:$R, "&gt;="&amp;INT($BA$1),
  '[1]Hoja 1'!$R:$R, "&lt;"&amp;INT($BB$1+1)
)</f>
        <v>0</v>
      </c>
      <c r="AZ128" s="1">
        <f t="shared" si="116"/>
        <v>0</v>
      </c>
      <c r="BA128" s="9">
        <f t="shared" si="117"/>
        <v>0</v>
      </c>
      <c r="BB128" s="10">
        <f t="shared" si="118"/>
        <v>0</v>
      </c>
      <c r="BC128" s="1">
        <f>SUMIFS(
  '[1]Hoja 1'!$M:$M,
  '[1]Hoja 1'!$S:$S, $A128,
  '[1]Hoja 1'!$R:$R, "&gt;="&amp;INT($BE$1),
  '[1]Hoja 1'!$R:$R, "&lt;"&amp;INT($BF$1+1)
)</f>
        <v>0</v>
      </c>
      <c r="BD128" s="1">
        <f t="shared" si="119"/>
        <v>0</v>
      </c>
      <c r="BE128" s="9">
        <f t="shared" si="120"/>
        <v>0</v>
      </c>
      <c r="BF128" s="10">
        <f t="shared" si="121"/>
        <v>0</v>
      </c>
      <c r="BG128" s="1">
        <f>SUMIFS(
  '[1]Hoja 1'!$M:$M,
  '[1]Hoja 1'!$S:$S, $A128,
  '[1]Hoja 1'!$R:$R, "&gt;="&amp;INT($BI$1),
  '[1]Hoja 1'!$R:$R, "&lt;"&amp;INT($BJ$1+1)
)</f>
        <v>0</v>
      </c>
      <c r="BH128" s="1">
        <f t="shared" si="122"/>
        <v>0</v>
      </c>
      <c r="BI128" s="9">
        <f t="shared" si="123"/>
        <v>0</v>
      </c>
      <c r="BJ128" s="10">
        <f t="shared" si="124"/>
        <v>0</v>
      </c>
      <c r="BK128" s="1">
        <f>SUMIFS(
  '[1]Hoja 1'!$M:$M,
  '[1]Hoja 1'!$S:$S, $A128,
  '[1]Hoja 1'!$R:$R, "&gt;="&amp;INT($BM$1),
  '[1]Hoja 1'!$R:$R, "&lt;"&amp;INT($BN$1+1)
)</f>
        <v>0</v>
      </c>
      <c r="BL128" s="1">
        <f t="shared" si="125"/>
        <v>0</v>
      </c>
      <c r="BM128" s="9">
        <f t="shared" si="126"/>
        <v>0</v>
      </c>
      <c r="BN128" s="10">
        <f t="shared" si="127"/>
        <v>0</v>
      </c>
      <c r="BO128" s="1">
        <f>SUMIFS(
  '[1]Hoja 1'!$M:$M,
  '[1]Hoja 1'!$S:$S, $A128,
  '[1]Hoja 1'!$R:$R, "&gt;="&amp;INT($BQ$1),
  '[1]Hoja 1'!$R:$R, "&lt;"&amp;INT($BR$1+1)
)</f>
        <v>0</v>
      </c>
      <c r="BP128" s="1">
        <f t="shared" si="128"/>
        <v>0</v>
      </c>
      <c r="BQ128" s="9">
        <f t="shared" si="129"/>
        <v>0</v>
      </c>
      <c r="BR128" s="10">
        <f t="shared" si="130"/>
        <v>0</v>
      </c>
      <c r="BS128" s="1">
        <f>SUMIFS(
  '[1]Hoja 1'!$M:$M,
  '[1]Hoja 1'!$S:$S, $A128,
  '[1]Hoja 1'!$R:$R, "&gt;="&amp;INT($BU$1),
  '[1]Hoja 1'!$R:$R, "&lt;"&amp;INT($BV$1+1)
)</f>
        <v>0</v>
      </c>
      <c r="BT128" s="1">
        <f t="shared" si="131"/>
        <v>0</v>
      </c>
      <c r="BU128" s="9">
        <f t="shared" si="132"/>
        <v>0</v>
      </c>
      <c r="BV128" s="10">
        <f t="shared" si="133"/>
        <v>0</v>
      </c>
      <c r="BW128" s="1">
        <f>SUMIFS(
  '[1]Hoja 1'!$M:$M,
  '[1]Hoja 1'!$S:$S, $A128,
  '[1]Hoja 1'!$R:$R, "&gt;="&amp;INT($BY$1),
  '[1]Hoja 1'!$R:$R, "&lt;"&amp;INT($BZ$1+1)
)</f>
        <v>0</v>
      </c>
      <c r="BX128" s="1">
        <f t="shared" si="134"/>
        <v>0</v>
      </c>
      <c r="BY128" s="9">
        <f t="shared" si="135"/>
        <v>0</v>
      </c>
      <c r="BZ128" s="10">
        <f t="shared" si="136"/>
        <v>0</v>
      </c>
      <c r="CA128" s="1">
        <f>SUMIFS(
  '[1]Hoja 1'!$M:$M,
  '[1]Hoja 1'!$S:$S, $A128,
  '[1]Hoja 1'!$R:$R, "&gt;="&amp;INT($CC$1),
  '[1]Hoja 1'!$R:$R, "&lt;"&amp;INT($CD$1+1)
)</f>
        <v>0</v>
      </c>
      <c r="CB128" s="1">
        <f t="shared" si="137"/>
        <v>0</v>
      </c>
      <c r="CC128" s="9">
        <f t="shared" si="138"/>
        <v>0</v>
      </c>
      <c r="CD128" s="10">
        <f t="shared" si="139"/>
        <v>0</v>
      </c>
      <c r="CE128" s="1">
        <f>SUMIFS(
  '[1]Hoja 1'!$M:$M,
  '[1]Hoja 1'!$S:$S, $A128,
  '[1]Hoja 1'!$R:$R, "&gt;="&amp;INT($CG$1),
  '[1]Hoja 1'!$R:$R, "&lt;"&amp;INT($CH$1+1)
)</f>
        <v>0</v>
      </c>
      <c r="CF128" s="1">
        <f t="shared" si="140"/>
        <v>0</v>
      </c>
      <c r="CG128" s="9">
        <f t="shared" si="141"/>
        <v>0</v>
      </c>
      <c r="CH128" s="10">
        <f t="shared" si="142"/>
        <v>0</v>
      </c>
      <c r="CI128" s="1">
        <f>SUMIFS(
  '[1]Hoja 1'!$M:$M,
  '[1]Hoja 1'!$S:$S, $A128,
  '[1]Hoja 1'!$R:$R, "&gt;="&amp;INT($CK$1),
  '[1]Hoja 1'!$R:$R, "&lt;"&amp;INT($CL$1+1)
)</f>
        <v>0</v>
      </c>
      <c r="CJ128" s="1">
        <f t="shared" si="143"/>
        <v>0</v>
      </c>
      <c r="CK128" s="9">
        <f t="shared" si="144"/>
        <v>0</v>
      </c>
      <c r="CL128" s="10">
        <f t="shared" si="145"/>
        <v>0</v>
      </c>
      <c r="CM128" s="1">
        <f>SUMIFS(
  '[1]Hoja 1'!$M:$M,
  '[1]Hoja 1'!$S:$S, $A128,
  '[1]Hoja 1'!$R:$R, "&gt;="&amp;INT($CO$1),
  '[1]Hoja 1'!$R:$R, "&lt;"&amp;INT($CP$1+1)
)</f>
        <v>0</v>
      </c>
      <c r="CN128" s="1">
        <f t="shared" si="146"/>
        <v>0</v>
      </c>
      <c r="CO128" s="9">
        <f t="shared" si="147"/>
        <v>0</v>
      </c>
      <c r="CP128" s="10">
        <f t="shared" si="148"/>
        <v>0</v>
      </c>
      <c r="CQ128" s="1">
        <f>SUMIFS(
  '[1]Hoja 1'!$M:$M,
  '[1]Hoja 1'!$S:$S, $A128,
  '[1]Hoja 1'!$R:$R, "&gt;="&amp;INT($CS$1),
  '[1]Hoja 1'!$R:$R, "&lt;"&amp;INT($CT$1+1)
)</f>
        <v>0</v>
      </c>
      <c r="CR128" s="1">
        <f t="shared" si="149"/>
        <v>0</v>
      </c>
      <c r="CS128" s="9">
        <f t="shared" si="150"/>
        <v>0</v>
      </c>
      <c r="CT128" s="10">
        <f t="shared" si="151"/>
        <v>0</v>
      </c>
      <c r="CU128" s="1">
        <f>SUMIFS(
  '[1]Hoja 1'!$M:$M,
  '[1]Hoja 1'!$S:$S, $A128,
  '[1]Hoja 1'!$R:$R, "&gt;="&amp;INT($CW$1),
  '[1]Hoja 1'!$R:$R, "&lt;"&amp;INT($CX$1+1)
)</f>
        <v>0</v>
      </c>
      <c r="CV128" s="1">
        <f t="shared" si="152"/>
        <v>0</v>
      </c>
      <c r="CW128" s="9">
        <f t="shared" si="153"/>
        <v>0</v>
      </c>
      <c r="CX128" s="10">
        <f t="shared" si="154"/>
        <v>0</v>
      </c>
      <c r="CY128" s="1">
        <f>SUMIFS(
  '[1]Hoja 1'!$M:$M,
  '[1]Hoja 1'!$S:$S, $A128,
  '[1]Hoja 1'!$R:$R, "&gt;="&amp;INT($DA$1),
  '[1]Hoja 1'!$R:$R, "&lt;"&amp;INT($DB$1+1)
)</f>
        <v>0</v>
      </c>
      <c r="CZ128" s="1">
        <f t="shared" si="155"/>
        <v>0</v>
      </c>
      <c r="DA128" s="9">
        <f t="shared" si="156"/>
        <v>0</v>
      </c>
      <c r="DB128" s="10">
        <f t="shared" si="157"/>
        <v>0</v>
      </c>
      <c r="DC128" s="1">
        <f>SUMIFS(
  '[1]Hoja 1'!$M:$M,
  '[1]Hoja 1'!$S:$S, $A128,
  '[1]Hoja 1'!$R:$R, "&gt;="&amp;INT($DE$1),
  '[1]Hoja 1'!$R:$R, "&lt;"&amp;INT($DF$1+1)
)</f>
        <v>0</v>
      </c>
      <c r="DD128" s="1">
        <f t="shared" si="158"/>
        <v>0</v>
      </c>
      <c r="DE128" s="9">
        <f t="shared" si="159"/>
        <v>0</v>
      </c>
      <c r="DF128" s="10">
        <f t="shared" si="160"/>
        <v>0</v>
      </c>
      <c r="DG128" s="1">
        <f>SUMIFS(
  '[1]Hoja 1'!$M:$M,
  '[1]Hoja 1'!$S:$S, $A128,
  '[1]Hoja 1'!$R:$R, "&gt;="&amp;INT($DI$1),
  '[1]Hoja 1'!$R:$R, "&lt;"&amp;INT($DJ$1+1)
)</f>
        <v>0</v>
      </c>
      <c r="DH128" s="1">
        <f t="shared" si="161"/>
        <v>0</v>
      </c>
      <c r="DI128" s="9">
        <f t="shared" si="162"/>
        <v>0</v>
      </c>
      <c r="DJ128" s="10">
        <f t="shared" si="163"/>
        <v>0</v>
      </c>
      <c r="DK128" s="1">
        <f>SUMIFS(
  '[1]Hoja 1'!$M:$M,
  '[1]Hoja 1'!$S:$S, $A128,
  '[1]Hoja 1'!$R:$R, "&gt;="&amp;INT($DM$1),
  '[1]Hoja 1'!$R:$R, "&lt;"&amp;INT($DN$1+1)
)</f>
        <v>0</v>
      </c>
      <c r="DL128" s="1">
        <f t="shared" si="164"/>
        <v>0</v>
      </c>
      <c r="DM128" s="9">
        <f t="shared" si="165"/>
        <v>0</v>
      </c>
      <c r="DN128" s="10">
        <f t="shared" si="166"/>
        <v>0</v>
      </c>
      <c r="DO128" s="1">
        <f>SUMIFS(
  '[1]Hoja 1'!$M:$M,
  '[1]Hoja 1'!$S:$S, $A128,
  '[1]Hoja 1'!$R:$R, "&gt;="&amp;INT($DQ$1),
  '[1]Hoja 1'!$R:$R, "&lt;"&amp;INT($DR$1+1)
)</f>
        <v>0</v>
      </c>
      <c r="DP128" s="1">
        <f t="shared" si="167"/>
        <v>0</v>
      </c>
      <c r="DQ128" s="9">
        <f t="shared" si="168"/>
        <v>0</v>
      </c>
      <c r="DR128" s="10">
        <f t="shared" si="169"/>
        <v>0</v>
      </c>
    </row>
    <row r="129" spans="1:122" x14ac:dyDescent="0.25">
      <c r="A129" s="5">
        <v>222007</v>
      </c>
      <c r="B129" s="6" t="s">
        <v>257</v>
      </c>
      <c r="C129" s="1">
        <f>SUMIFS(
  '[1]Hoja 1'!$M:$M,
  '[1]Hoja 1'!$S:$S, $A129,
  '[1]Hoja 1'!$R:$R, "&gt;="&amp;INT($E$1),
  '[1]Hoja 1'!$R:$R, "&lt;"&amp;INT($F$1+1)
)</f>
        <v>3</v>
      </c>
      <c r="D129" s="1" t="str">
        <f>""</f>
        <v/>
      </c>
      <c r="F129" s="2"/>
      <c r="G129" s="1">
        <f>SUMIFS(
  '[1]Hoja 1'!$M:$M,
  '[1]Hoja 1'!$S:$S, $A129,
  '[1]Hoja 1'!$R:$R, "&gt;="&amp;INT($I$1),
  '[1]Hoja 1'!$R:$R, "&lt;"&amp;INT($J$1+1)
)</f>
        <v>4</v>
      </c>
      <c r="H129" s="1">
        <f t="shared" si="85"/>
        <v>3.5</v>
      </c>
      <c r="I129" s="1"/>
      <c r="J129" s="2"/>
      <c r="K129" s="1">
        <f>SUMIFS(
  '[1]Hoja 1'!$M:$M,
  '[1]Hoja 1'!$S:$S, $A129,
  '[1]Hoja 1'!$R:$R, "&gt;="&amp;INT($M$1),
  '[1]Hoja 1'!$R:$R, "&lt;"&amp;INT($N$1+1)
)</f>
        <v>5</v>
      </c>
      <c r="L129" s="1">
        <f t="shared" si="86"/>
        <v>4.5</v>
      </c>
      <c r="M129" s="9">
        <f t="shared" si="87"/>
        <v>4.5</v>
      </c>
      <c r="N129" s="10">
        <f t="shared" si="88"/>
        <v>4.5</v>
      </c>
      <c r="O129" s="1">
        <f>SUMIFS(
  '[1]Hoja 1'!$M:$M,
  '[1]Hoja 1'!$S:$S, $A129,
  '[1]Hoja 1'!$R:$R, "&gt;="&amp;INT($Q$1),
  '[1]Hoja 1'!$R:$R, "&lt;"&amp;INT($R$1+1)
)</f>
        <v>6</v>
      </c>
      <c r="P129" s="1">
        <f t="shared" si="89"/>
        <v>5.5</v>
      </c>
      <c r="Q129" s="9">
        <f t="shared" si="90"/>
        <v>4.5</v>
      </c>
      <c r="R129" s="10">
        <f t="shared" si="91"/>
        <v>4.5</v>
      </c>
      <c r="S129" s="1">
        <f>SUMIFS(
  '[1]Hoja 1'!$M:$M,
  '[1]Hoja 1'!$S:$S, $A129,
  '[1]Hoja 1'!$R:$R, "&gt;="&amp;INT($U$1),
  '[1]Hoja 1'!$R:$R, "&lt;"&amp;INT($V$1+1)
)</f>
        <v>2</v>
      </c>
      <c r="T129" s="1">
        <f t="shared" si="92"/>
        <v>4</v>
      </c>
      <c r="U129" s="9">
        <f t="shared" si="93"/>
        <v>1.5499999999999998</v>
      </c>
      <c r="V129" s="10">
        <f t="shared" si="94"/>
        <v>6.45</v>
      </c>
      <c r="W129" s="1">
        <f>SUMIFS(
  '[1]Hoja 1'!$M:$M,
  '[1]Hoja 1'!$S:$S, $A129,
  '[1]Hoja 1'!$R:$R, "&gt;="&amp;INT($Y$1),
  '[1]Hoja 1'!$R:$R, "&lt;"&amp;INT($Z$1+1)
)</f>
        <v>0</v>
      </c>
      <c r="X129" s="1">
        <f t="shared" si="95"/>
        <v>1</v>
      </c>
      <c r="Y129" s="9">
        <f t="shared" si="96"/>
        <v>-1.4004999479275142</v>
      </c>
      <c r="Z129" s="10">
        <f t="shared" si="97"/>
        <v>3.4004999479275142</v>
      </c>
      <c r="AA129" s="1">
        <f>SUMIFS(
  '[1]Hoja 1'!$M:$M,
  '[1]Hoja 1'!$S:$S, $A129,
  '[1]Hoja 1'!$R:$R, "&gt;="&amp;INT($AC$1),
  '[1]Hoja 1'!$R:$R, "&lt;"&amp;INT($AD$1+1)
)</f>
        <v>0</v>
      </c>
      <c r="AB129" s="1">
        <f t="shared" si="98"/>
        <v>0</v>
      </c>
      <c r="AC129" s="9">
        <f t="shared" si="99"/>
        <v>-1.96</v>
      </c>
      <c r="AD129" s="10">
        <f t="shared" si="100"/>
        <v>2.1730086669561781</v>
      </c>
      <c r="AE129" s="1">
        <f>SUMIFS(
  '[1]Hoja 1'!$M:$M,
  '[1]Hoja 1'!$S:$S, $A129,
  '[1]Hoja 1'!$R:$R, "&gt;="&amp;INT($AG$1),
  '[1]Hoja 1'!$R:$R, "&lt;"&amp;INT($AH$1+1)
)</f>
        <v>0</v>
      </c>
      <c r="AF129" s="1">
        <f t="shared" si="101"/>
        <v>0</v>
      </c>
      <c r="AG129" s="9">
        <f t="shared" si="102"/>
        <v>-1.7530772943598349</v>
      </c>
      <c r="AH129" s="10">
        <f t="shared" si="103"/>
        <v>1.8765571312024227</v>
      </c>
      <c r="AI129" s="1">
        <f>SUMIFS(
  '[1]Hoja 1'!$M:$M,
  '[1]Hoja 1'!$S:$S, $A129,
  '[1]Hoja 1'!$R:$R, "&gt;="&amp;INT($AK$1),
  '[1]Hoja 1'!$R:$R, "&lt;"&amp;INT($AL$1+1)
)</f>
        <v>0</v>
      </c>
      <c r="AJ129" s="1">
        <f t="shared" si="104"/>
        <v>0</v>
      </c>
      <c r="AK129" s="9">
        <f t="shared" si="105"/>
        <v>-0.87653864717991747</v>
      </c>
      <c r="AL129" s="10">
        <f t="shared" si="106"/>
        <v>0.98</v>
      </c>
      <c r="AM129" s="1">
        <f>SUMIFS(
  '[1]Hoja 1'!$M:$M,
  '[1]Hoja 1'!$S:$S, $A129,
  '[1]Hoja 1'!$R:$R, "&gt;="&amp;INT($AO$1),
  '[1]Hoja 1'!$R:$R, "&lt;"&amp;INT($AP$1+1)
)</f>
        <v>0</v>
      </c>
      <c r="AN129" s="1">
        <f t="shared" si="107"/>
        <v>0</v>
      </c>
      <c r="AO129" s="9">
        <f t="shared" si="108"/>
        <v>0</v>
      </c>
      <c r="AP129" s="10">
        <f t="shared" si="109"/>
        <v>0</v>
      </c>
      <c r="AQ129" s="1">
        <f>SUMIFS(
  '[1]Hoja 1'!$M:$M,
  '[1]Hoja 1'!$S:$S, $A129,
  '[1]Hoja 1'!$R:$R, "&gt;="&amp;INT($AS$1),
  '[1]Hoja 1'!$R:$R, "&lt;"&amp;INT($AT$1+1)
)</f>
        <v>0</v>
      </c>
      <c r="AR129" s="1">
        <f t="shared" si="110"/>
        <v>0</v>
      </c>
      <c r="AS129" s="9">
        <f t="shared" si="111"/>
        <v>0</v>
      </c>
      <c r="AT129" s="10">
        <f t="shared" si="112"/>
        <v>0</v>
      </c>
      <c r="AU129" s="1">
        <f>SUMIFS(
  '[1]Hoja 1'!$M:$M,
  '[1]Hoja 1'!$S:$S, $A129,
  '[1]Hoja 1'!$R:$R, "&gt;="&amp;INT($AW$1),
  '[1]Hoja 1'!$R:$R, "&lt;"&amp;INT($AX$1+1)
)</f>
        <v>0</v>
      </c>
      <c r="AV129" s="1">
        <f t="shared" si="113"/>
        <v>0</v>
      </c>
      <c r="AW129" s="9">
        <f t="shared" si="114"/>
        <v>0</v>
      </c>
      <c r="AX129" s="10">
        <f t="shared" si="115"/>
        <v>0</v>
      </c>
      <c r="AY129" s="1">
        <f>SUMIFS(
  '[1]Hoja 1'!$M:$M,
  '[1]Hoja 1'!$S:$S, $A129,
  '[1]Hoja 1'!$R:$R, "&gt;="&amp;INT($BA$1),
  '[1]Hoja 1'!$R:$R, "&lt;"&amp;INT($BB$1+1)
)</f>
        <v>0</v>
      </c>
      <c r="AZ129" s="1">
        <f t="shared" si="116"/>
        <v>0</v>
      </c>
      <c r="BA129" s="9">
        <f t="shared" si="117"/>
        <v>0</v>
      </c>
      <c r="BB129" s="10">
        <f t="shared" si="118"/>
        <v>0</v>
      </c>
      <c r="BC129" s="1">
        <f>SUMIFS(
  '[1]Hoja 1'!$M:$M,
  '[1]Hoja 1'!$S:$S, $A129,
  '[1]Hoja 1'!$R:$R, "&gt;="&amp;INT($BE$1),
  '[1]Hoja 1'!$R:$R, "&lt;"&amp;INT($BF$1+1)
)</f>
        <v>0</v>
      </c>
      <c r="BD129" s="1">
        <f t="shared" si="119"/>
        <v>0</v>
      </c>
      <c r="BE129" s="9">
        <f t="shared" si="120"/>
        <v>0</v>
      </c>
      <c r="BF129" s="10">
        <f t="shared" si="121"/>
        <v>0</v>
      </c>
      <c r="BG129" s="1">
        <f>SUMIFS(
  '[1]Hoja 1'!$M:$M,
  '[1]Hoja 1'!$S:$S, $A129,
  '[1]Hoja 1'!$R:$R, "&gt;="&amp;INT($BI$1),
  '[1]Hoja 1'!$R:$R, "&lt;"&amp;INT($BJ$1+1)
)</f>
        <v>0</v>
      </c>
      <c r="BH129" s="1">
        <f t="shared" si="122"/>
        <v>0</v>
      </c>
      <c r="BI129" s="9">
        <f t="shared" si="123"/>
        <v>0</v>
      </c>
      <c r="BJ129" s="10">
        <f t="shared" si="124"/>
        <v>0</v>
      </c>
      <c r="BK129" s="1">
        <f>SUMIFS(
  '[1]Hoja 1'!$M:$M,
  '[1]Hoja 1'!$S:$S, $A129,
  '[1]Hoja 1'!$R:$R, "&gt;="&amp;INT($BM$1),
  '[1]Hoja 1'!$R:$R, "&lt;"&amp;INT($BN$1+1)
)</f>
        <v>0</v>
      </c>
      <c r="BL129" s="1">
        <f t="shared" si="125"/>
        <v>0</v>
      </c>
      <c r="BM129" s="9">
        <f t="shared" si="126"/>
        <v>0</v>
      </c>
      <c r="BN129" s="10">
        <f t="shared" si="127"/>
        <v>0</v>
      </c>
      <c r="BO129" s="1">
        <f>SUMIFS(
  '[1]Hoja 1'!$M:$M,
  '[1]Hoja 1'!$S:$S, $A129,
  '[1]Hoja 1'!$R:$R, "&gt;="&amp;INT($BQ$1),
  '[1]Hoja 1'!$R:$R, "&lt;"&amp;INT($BR$1+1)
)</f>
        <v>0</v>
      </c>
      <c r="BP129" s="1">
        <f t="shared" si="128"/>
        <v>0</v>
      </c>
      <c r="BQ129" s="9">
        <f t="shared" si="129"/>
        <v>0</v>
      </c>
      <c r="BR129" s="10">
        <f t="shared" si="130"/>
        <v>0</v>
      </c>
      <c r="BS129" s="1">
        <f>SUMIFS(
  '[1]Hoja 1'!$M:$M,
  '[1]Hoja 1'!$S:$S, $A129,
  '[1]Hoja 1'!$R:$R, "&gt;="&amp;INT($BU$1),
  '[1]Hoja 1'!$R:$R, "&lt;"&amp;INT($BV$1+1)
)</f>
        <v>0</v>
      </c>
      <c r="BT129" s="1">
        <f t="shared" si="131"/>
        <v>0</v>
      </c>
      <c r="BU129" s="9">
        <f t="shared" si="132"/>
        <v>0</v>
      </c>
      <c r="BV129" s="10">
        <f t="shared" si="133"/>
        <v>0</v>
      </c>
      <c r="BW129" s="1">
        <f>SUMIFS(
  '[1]Hoja 1'!$M:$M,
  '[1]Hoja 1'!$S:$S, $A129,
  '[1]Hoja 1'!$R:$R, "&gt;="&amp;INT($BY$1),
  '[1]Hoja 1'!$R:$R, "&lt;"&amp;INT($BZ$1+1)
)</f>
        <v>0</v>
      </c>
      <c r="BX129" s="1">
        <f t="shared" si="134"/>
        <v>0</v>
      </c>
      <c r="BY129" s="9">
        <f t="shared" si="135"/>
        <v>0</v>
      </c>
      <c r="BZ129" s="10">
        <f t="shared" si="136"/>
        <v>0</v>
      </c>
      <c r="CA129" s="1">
        <f>SUMIFS(
  '[1]Hoja 1'!$M:$M,
  '[1]Hoja 1'!$S:$S, $A129,
  '[1]Hoja 1'!$R:$R, "&gt;="&amp;INT($CC$1),
  '[1]Hoja 1'!$R:$R, "&lt;"&amp;INT($CD$1+1)
)</f>
        <v>0</v>
      </c>
      <c r="CB129" s="1">
        <f t="shared" si="137"/>
        <v>0</v>
      </c>
      <c r="CC129" s="9">
        <f t="shared" si="138"/>
        <v>0</v>
      </c>
      <c r="CD129" s="10">
        <f t="shared" si="139"/>
        <v>0</v>
      </c>
      <c r="CE129" s="1">
        <f>SUMIFS(
  '[1]Hoja 1'!$M:$M,
  '[1]Hoja 1'!$S:$S, $A129,
  '[1]Hoja 1'!$R:$R, "&gt;="&amp;INT($CG$1),
  '[1]Hoja 1'!$R:$R, "&lt;"&amp;INT($CH$1+1)
)</f>
        <v>0</v>
      </c>
      <c r="CF129" s="1">
        <f t="shared" si="140"/>
        <v>0</v>
      </c>
      <c r="CG129" s="9">
        <f t="shared" si="141"/>
        <v>0</v>
      </c>
      <c r="CH129" s="10">
        <f t="shared" si="142"/>
        <v>0</v>
      </c>
      <c r="CI129" s="1">
        <f>SUMIFS(
  '[1]Hoja 1'!$M:$M,
  '[1]Hoja 1'!$S:$S, $A129,
  '[1]Hoja 1'!$R:$R, "&gt;="&amp;INT($CK$1),
  '[1]Hoja 1'!$R:$R, "&lt;"&amp;INT($CL$1+1)
)</f>
        <v>0</v>
      </c>
      <c r="CJ129" s="1">
        <f t="shared" si="143"/>
        <v>0</v>
      </c>
      <c r="CK129" s="9">
        <f t="shared" si="144"/>
        <v>0</v>
      </c>
      <c r="CL129" s="10">
        <f t="shared" si="145"/>
        <v>0</v>
      </c>
      <c r="CM129" s="1">
        <f>SUMIFS(
  '[1]Hoja 1'!$M:$M,
  '[1]Hoja 1'!$S:$S, $A129,
  '[1]Hoja 1'!$R:$R, "&gt;="&amp;INT($CO$1),
  '[1]Hoja 1'!$R:$R, "&lt;"&amp;INT($CP$1+1)
)</f>
        <v>0</v>
      </c>
      <c r="CN129" s="1">
        <f t="shared" si="146"/>
        <v>0</v>
      </c>
      <c r="CO129" s="9">
        <f t="shared" si="147"/>
        <v>0</v>
      </c>
      <c r="CP129" s="10">
        <f t="shared" si="148"/>
        <v>0</v>
      </c>
      <c r="CQ129" s="1">
        <f>SUMIFS(
  '[1]Hoja 1'!$M:$M,
  '[1]Hoja 1'!$S:$S, $A129,
  '[1]Hoja 1'!$R:$R, "&gt;="&amp;INT($CS$1),
  '[1]Hoja 1'!$R:$R, "&lt;"&amp;INT($CT$1+1)
)</f>
        <v>0</v>
      </c>
      <c r="CR129" s="1">
        <f t="shared" si="149"/>
        <v>0</v>
      </c>
      <c r="CS129" s="9">
        <f t="shared" si="150"/>
        <v>0</v>
      </c>
      <c r="CT129" s="10">
        <f t="shared" si="151"/>
        <v>0</v>
      </c>
      <c r="CU129" s="1">
        <f>SUMIFS(
  '[1]Hoja 1'!$M:$M,
  '[1]Hoja 1'!$S:$S, $A129,
  '[1]Hoja 1'!$R:$R, "&gt;="&amp;INT($CW$1),
  '[1]Hoja 1'!$R:$R, "&lt;"&amp;INT($CX$1+1)
)</f>
        <v>0</v>
      </c>
      <c r="CV129" s="1">
        <f t="shared" si="152"/>
        <v>0</v>
      </c>
      <c r="CW129" s="9">
        <f t="shared" si="153"/>
        <v>0</v>
      </c>
      <c r="CX129" s="10">
        <f t="shared" si="154"/>
        <v>0</v>
      </c>
      <c r="CY129" s="1">
        <f>SUMIFS(
  '[1]Hoja 1'!$M:$M,
  '[1]Hoja 1'!$S:$S, $A129,
  '[1]Hoja 1'!$R:$R, "&gt;="&amp;INT($DA$1),
  '[1]Hoja 1'!$R:$R, "&lt;"&amp;INT($DB$1+1)
)</f>
        <v>0</v>
      </c>
      <c r="CZ129" s="1">
        <f t="shared" si="155"/>
        <v>0</v>
      </c>
      <c r="DA129" s="9">
        <f t="shared" si="156"/>
        <v>0</v>
      </c>
      <c r="DB129" s="10">
        <f t="shared" si="157"/>
        <v>0</v>
      </c>
      <c r="DC129" s="1">
        <f>SUMIFS(
  '[1]Hoja 1'!$M:$M,
  '[1]Hoja 1'!$S:$S, $A129,
  '[1]Hoja 1'!$R:$R, "&gt;="&amp;INT($DE$1),
  '[1]Hoja 1'!$R:$R, "&lt;"&amp;INT($DF$1+1)
)</f>
        <v>0</v>
      </c>
      <c r="DD129" s="1">
        <f t="shared" si="158"/>
        <v>0</v>
      </c>
      <c r="DE129" s="9">
        <f t="shared" si="159"/>
        <v>0</v>
      </c>
      <c r="DF129" s="10">
        <f t="shared" si="160"/>
        <v>0</v>
      </c>
      <c r="DG129" s="1">
        <f>SUMIFS(
  '[1]Hoja 1'!$M:$M,
  '[1]Hoja 1'!$S:$S, $A129,
  '[1]Hoja 1'!$R:$R, "&gt;="&amp;INT($DI$1),
  '[1]Hoja 1'!$R:$R, "&lt;"&amp;INT($DJ$1+1)
)</f>
        <v>0</v>
      </c>
      <c r="DH129" s="1">
        <f t="shared" si="161"/>
        <v>0</v>
      </c>
      <c r="DI129" s="9">
        <f t="shared" si="162"/>
        <v>0</v>
      </c>
      <c r="DJ129" s="10">
        <f t="shared" si="163"/>
        <v>0</v>
      </c>
      <c r="DK129" s="1">
        <f>SUMIFS(
  '[1]Hoja 1'!$M:$M,
  '[1]Hoja 1'!$S:$S, $A129,
  '[1]Hoja 1'!$R:$R, "&gt;="&amp;INT($DM$1),
  '[1]Hoja 1'!$R:$R, "&lt;"&amp;INT($DN$1+1)
)</f>
        <v>0</v>
      </c>
      <c r="DL129" s="1">
        <f t="shared" si="164"/>
        <v>0</v>
      </c>
      <c r="DM129" s="9">
        <f t="shared" si="165"/>
        <v>0</v>
      </c>
      <c r="DN129" s="10">
        <f t="shared" si="166"/>
        <v>0</v>
      </c>
      <c r="DO129" s="1">
        <f>SUMIFS(
  '[1]Hoja 1'!$M:$M,
  '[1]Hoja 1'!$S:$S, $A129,
  '[1]Hoja 1'!$R:$R, "&gt;="&amp;INT($DQ$1),
  '[1]Hoja 1'!$R:$R, "&lt;"&amp;INT($DR$1+1)
)</f>
        <v>0</v>
      </c>
      <c r="DP129" s="1">
        <f t="shared" si="167"/>
        <v>0</v>
      </c>
      <c r="DQ129" s="9">
        <f t="shared" si="168"/>
        <v>0</v>
      </c>
      <c r="DR129" s="10">
        <f t="shared" si="169"/>
        <v>0</v>
      </c>
    </row>
    <row r="130" spans="1:122" x14ac:dyDescent="0.25">
      <c r="A130" s="5">
        <v>222027</v>
      </c>
      <c r="B130" s="6" t="s">
        <v>128</v>
      </c>
      <c r="C130" s="1">
        <f>SUMIFS(
  '[1]Hoja 1'!$M:$M,
  '[1]Hoja 1'!$S:$S, $A130,
  '[1]Hoja 1'!$R:$R, "&gt;="&amp;INT($E$1),
  '[1]Hoja 1'!$R:$R, "&lt;"&amp;INT($F$1+1)
)</f>
        <v>0</v>
      </c>
      <c r="D130" s="1" t="str">
        <f>""</f>
        <v/>
      </c>
      <c r="F130" s="2"/>
      <c r="G130" s="1">
        <f>SUMIFS(
  '[1]Hoja 1'!$M:$M,
  '[1]Hoja 1'!$S:$S, $A130,
  '[1]Hoja 1'!$R:$R, "&gt;="&amp;INT($I$1),
  '[1]Hoja 1'!$R:$R, "&lt;"&amp;INT($J$1+1)
)</f>
        <v>0</v>
      </c>
      <c r="H130" s="1">
        <f t="shared" si="85"/>
        <v>0</v>
      </c>
      <c r="I130" s="1"/>
      <c r="J130" s="2"/>
      <c r="K130" s="1">
        <f>SUMIFS(
  '[1]Hoja 1'!$M:$M,
  '[1]Hoja 1'!$S:$S, $A130,
  '[1]Hoja 1'!$R:$R, "&gt;="&amp;INT($M$1),
  '[1]Hoja 1'!$R:$R, "&lt;"&amp;INT($N$1+1)
)</f>
        <v>0</v>
      </c>
      <c r="L130" s="1">
        <f t="shared" si="86"/>
        <v>0</v>
      </c>
      <c r="M130" s="9">
        <f t="shared" si="87"/>
        <v>0</v>
      </c>
      <c r="N130" s="10">
        <f t="shared" si="88"/>
        <v>0</v>
      </c>
      <c r="O130" s="1">
        <f>SUMIFS(
  '[1]Hoja 1'!$M:$M,
  '[1]Hoja 1'!$S:$S, $A130,
  '[1]Hoja 1'!$R:$R, "&gt;="&amp;INT($Q$1),
  '[1]Hoja 1'!$R:$R, "&lt;"&amp;INT($R$1+1)
)</f>
        <v>0</v>
      </c>
      <c r="P130" s="1">
        <f t="shared" si="89"/>
        <v>0</v>
      </c>
      <c r="Q130" s="9">
        <f t="shared" si="90"/>
        <v>0</v>
      </c>
      <c r="R130" s="10">
        <f t="shared" si="91"/>
        <v>0</v>
      </c>
      <c r="S130" s="1">
        <f>SUMIFS(
  '[1]Hoja 1'!$M:$M,
  '[1]Hoja 1'!$S:$S, $A130,
  '[1]Hoja 1'!$R:$R, "&gt;="&amp;INT($U$1),
  '[1]Hoja 1'!$R:$R, "&lt;"&amp;INT($V$1+1)
)</f>
        <v>0</v>
      </c>
      <c r="T130" s="1">
        <f t="shared" si="92"/>
        <v>0</v>
      </c>
      <c r="U130" s="9">
        <f t="shared" si="93"/>
        <v>0</v>
      </c>
      <c r="V130" s="10">
        <f t="shared" si="94"/>
        <v>0</v>
      </c>
      <c r="W130" s="1">
        <f>SUMIFS(
  '[1]Hoja 1'!$M:$M,
  '[1]Hoja 1'!$S:$S, $A130,
  '[1]Hoja 1'!$R:$R, "&gt;="&amp;INT($Y$1),
  '[1]Hoja 1'!$R:$R, "&lt;"&amp;INT($Z$1+1)
)</f>
        <v>0</v>
      </c>
      <c r="X130" s="1">
        <f t="shared" si="95"/>
        <v>0</v>
      </c>
      <c r="Y130" s="9">
        <f t="shared" si="96"/>
        <v>0</v>
      </c>
      <c r="Z130" s="10">
        <f t="shared" si="97"/>
        <v>0</v>
      </c>
      <c r="AA130" s="1">
        <f>SUMIFS(
  '[1]Hoja 1'!$M:$M,
  '[1]Hoja 1'!$S:$S, $A130,
  '[1]Hoja 1'!$R:$R, "&gt;="&amp;INT($AC$1),
  '[1]Hoja 1'!$R:$R, "&lt;"&amp;INT($AD$1+1)
)</f>
        <v>0</v>
      </c>
      <c r="AB130" s="1">
        <f t="shared" si="98"/>
        <v>0</v>
      </c>
      <c r="AC130" s="9">
        <f t="shared" si="99"/>
        <v>0</v>
      </c>
      <c r="AD130" s="10">
        <f t="shared" si="100"/>
        <v>0</v>
      </c>
      <c r="AE130" s="1">
        <f>SUMIFS(
  '[1]Hoja 1'!$M:$M,
  '[1]Hoja 1'!$S:$S, $A130,
  '[1]Hoja 1'!$R:$R, "&gt;="&amp;INT($AG$1),
  '[1]Hoja 1'!$R:$R, "&lt;"&amp;INT($AH$1+1)
)</f>
        <v>0</v>
      </c>
      <c r="AF130" s="1">
        <f t="shared" si="101"/>
        <v>0</v>
      </c>
      <c r="AG130" s="9">
        <f t="shared" si="102"/>
        <v>0</v>
      </c>
      <c r="AH130" s="10">
        <f t="shared" si="103"/>
        <v>0</v>
      </c>
      <c r="AI130" s="1">
        <f>SUMIFS(
  '[1]Hoja 1'!$M:$M,
  '[1]Hoja 1'!$S:$S, $A130,
  '[1]Hoja 1'!$R:$R, "&gt;="&amp;INT($AK$1),
  '[1]Hoja 1'!$R:$R, "&lt;"&amp;INT($AL$1+1)
)</f>
        <v>0</v>
      </c>
      <c r="AJ130" s="1">
        <f t="shared" si="104"/>
        <v>0</v>
      </c>
      <c r="AK130" s="9">
        <f t="shared" si="105"/>
        <v>0</v>
      </c>
      <c r="AL130" s="10">
        <f t="shared" si="106"/>
        <v>0</v>
      </c>
      <c r="AM130" s="1">
        <f>SUMIFS(
  '[1]Hoja 1'!$M:$M,
  '[1]Hoja 1'!$S:$S, $A130,
  '[1]Hoja 1'!$R:$R, "&gt;="&amp;INT($AO$1),
  '[1]Hoja 1'!$R:$R, "&lt;"&amp;INT($AP$1+1)
)</f>
        <v>0</v>
      </c>
      <c r="AN130" s="1">
        <f t="shared" si="107"/>
        <v>0</v>
      </c>
      <c r="AO130" s="9">
        <f t="shared" si="108"/>
        <v>0</v>
      </c>
      <c r="AP130" s="10">
        <f t="shared" si="109"/>
        <v>0</v>
      </c>
      <c r="AQ130" s="1">
        <f>SUMIFS(
  '[1]Hoja 1'!$M:$M,
  '[1]Hoja 1'!$S:$S, $A130,
  '[1]Hoja 1'!$R:$R, "&gt;="&amp;INT($AS$1),
  '[1]Hoja 1'!$R:$R, "&lt;"&amp;INT($AT$1+1)
)</f>
        <v>0</v>
      </c>
      <c r="AR130" s="1">
        <f t="shared" si="110"/>
        <v>0</v>
      </c>
      <c r="AS130" s="9">
        <f t="shared" si="111"/>
        <v>0</v>
      </c>
      <c r="AT130" s="10">
        <f t="shared" si="112"/>
        <v>0</v>
      </c>
      <c r="AU130" s="1">
        <f>SUMIFS(
  '[1]Hoja 1'!$M:$M,
  '[1]Hoja 1'!$S:$S, $A130,
  '[1]Hoja 1'!$R:$R, "&gt;="&amp;INT($AW$1),
  '[1]Hoja 1'!$R:$R, "&lt;"&amp;INT($AX$1+1)
)</f>
        <v>0</v>
      </c>
      <c r="AV130" s="1">
        <f t="shared" si="113"/>
        <v>0</v>
      </c>
      <c r="AW130" s="9">
        <f t="shared" si="114"/>
        <v>0</v>
      </c>
      <c r="AX130" s="10">
        <f t="shared" si="115"/>
        <v>0</v>
      </c>
      <c r="AY130" s="1">
        <f>SUMIFS(
  '[1]Hoja 1'!$M:$M,
  '[1]Hoja 1'!$S:$S, $A130,
  '[1]Hoja 1'!$R:$R, "&gt;="&amp;INT($BA$1),
  '[1]Hoja 1'!$R:$R, "&lt;"&amp;INT($BB$1+1)
)</f>
        <v>0</v>
      </c>
      <c r="AZ130" s="1">
        <f t="shared" si="116"/>
        <v>0</v>
      </c>
      <c r="BA130" s="9">
        <f t="shared" si="117"/>
        <v>0</v>
      </c>
      <c r="BB130" s="10">
        <f t="shared" si="118"/>
        <v>0</v>
      </c>
      <c r="BC130" s="1">
        <f>SUMIFS(
  '[1]Hoja 1'!$M:$M,
  '[1]Hoja 1'!$S:$S, $A130,
  '[1]Hoja 1'!$R:$R, "&gt;="&amp;INT($BE$1),
  '[1]Hoja 1'!$R:$R, "&lt;"&amp;INT($BF$1+1)
)</f>
        <v>0</v>
      </c>
      <c r="BD130" s="1">
        <f t="shared" si="119"/>
        <v>0</v>
      </c>
      <c r="BE130" s="9">
        <f t="shared" si="120"/>
        <v>0</v>
      </c>
      <c r="BF130" s="10">
        <f t="shared" si="121"/>
        <v>0</v>
      </c>
      <c r="BG130" s="1">
        <f>SUMIFS(
  '[1]Hoja 1'!$M:$M,
  '[1]Hoja 1'!$S:$S, $A130,
  '[1]Hoja 1'!$R:$R, "&gt;="&amp;INT($BI$1),
  '[1]Hoja 1'!$R:$R, "&lt;"&amp;INT($BJ$1+1)
)</f>
        <v>0</v>
      </c>
      <c r="BH130" s="1">
        <f t="shared" si="122"/>
        <v>0</v>
      </c>
      <c r="BI130" s="9">
        <f t="shared" si="123"/>
        <v>0</v>
      </c>
      <c r="BJ130" s="10">
        <f t="shared" si="124"/>
        <v>0</v>
      </c>
      <c r="BK130" s="1">
        <f>SUMIFS(
  '[1]Hoja 1'!$M:$M,
  '[1]Hoja 1'!$S:$S, $A130,
  '[1]Hoja 1'!$R:$R, "&gt;="&amp;INT($BM$1),
  '[1]Hoja 1'!$R:$R, "&lt;"&amp;INT($BN$1+1)
)</f>
        <v>0</v>
      </c>
      <c r="BL130" s="1">
        <f t="shared" si="125"/>
        <v>0</v>
      </c>
      <c r="BM130" s="9">
        <f t="shared" si="126"/>
        <v>0</v>
      </c>
      <c r="BN130" s="10">
        <f t="shared" si="127"/>
        <v>0</v>
      </c>
      <c r="BO130" s="1">
        <f>SUMIFS(
  '[1]Hoja 1'!$M:$M,
  '[1]Hoja 1'!$S:$S, $A130,
  '[1]Hoja 1'!$R:$R, "&gt;="&amp;INT($BQ$1),
  '[1]Hoja 1'!$R:$R, "&lt;"&amp;INT($BR$1+1)
)</f>
        <v>0</v>
      </c>
      <c r="BP130" s="1">
        <f t="shared" si="128"/>
        <v>0</v>
      </c>
      <c r="BQ130" s="9">
        <f t="shared" si="129"/>
        <v>0</v>
      </c>
      <c r="BR130" s="10">
        <f t="shared" si="130"/>
        <v>0</v>
      </c>
      <c r="BS130" s="1">
        <f>SUMIFS(
  '[1]Hoja 1'!$M:$M,
  '[1]Hoja 1'!$S:$S, $A130,
  '[1]Hoja 1'!$R:$R, "&gt;="&amp;INT($BU$1),
  '[1]Hoja 1'!$R:$R, "&lt;"&amp;INT($BV$1+1)
)</f>
        <v>0</v>
      </c>
      <c r="BT130" s="1">
        <f t="shared" si="131"/>
        <v>0</v>
      </c>
      <c r="BU130" s="9">
        <f t="shared" si="132"/>
        <v>0</v>
      </c>
      <c r="BV130" s="10">
        <f t="shared" si="133"/>
        <v>0</v>
      </c>
      <c r="BW130" s="1">
        <f>SUMIFS(
  '[1]Hoja 1'!$M:$M,
  '[1]Hoja 1'!$S:$S, $A130,
  '[1]Hoja 1'!$R:$R, "&gt;="&amp;INT($BY$1),
  '[1]Hoja 1'!$R:$R, "&lt;"&amp;INT($BZ$1+1)
)</f>
        <v>0</v>
      </c>
      <c r="BX130" s="1">
        <f t="shared" si="134"/>
        <v>0</v>
      </c>
      <c r="BY130" s="9">
        <f t="shared" si="135"/>
        <v>0</v>
      </c>
      <c r="BZ130" s="10">
        <f t="shared" si="136"/>
        <v>0</v>
      </c>
      <c r="CA130" s="1">
        <f>SUMIFS(
  '[1]Hoja 1'!$M:$M,
  '[1]Hoja 1'!$S:$S, $A130,
  '[1]Hoja 1'!$R:$R, "&gt;="&amp;INT($CC$1),
  '[1]Hoja 1'!$R:$R, "&lt;"&amp;INT($CD$1+1)
)</f>
        <v>0</v>
      </c>
      <c r="CB130" s="1">
        <f t="shared" si="137"/>
        <v>0</v>
      </c>
      <c r="CC130" s="9">
        <f t="shared" si="138"/>
        <v>0</v>
      </c>
      <c r="CD130" s="10">
        <f t="shared" si="139"/>
        <v>0</v>
      </c>
      <c r="CE130" s="1">
        <f>SUMIFS(
  '[1]Hoja 1'!$M:$M,
  '[1]Hoja 1'!$S:$S, $A130,
  '[1]Hoja 1'!$R:$R, "&gt;="&amp;INT($CG$1),
  '[1]Hoja 1'!$R:$R, "&lt;"&amp;INT($CH$1+1)
)</f>
        <v>0</v>
      </c>
      <c r="CF130" s="1">
        <f t="shared" si="140"/>
        <v>0</v>
      </c>
      <c r="CG130" s="9">
        <f t="shared" si="141"/>
        <v>0</v>
      </c>
      <c r="CH130" s="10">
        <f t="shared" si="142"/>
        <v>0</v>
      </c>
      <c r="CI130" s="1">
        <f>SUMIFS(
  '[1]Hoja 1'!$M:$M,
  '[1]Hoja 1'!$S:$S, $A130,
  '[1]Hoja 1'!$R:$R, "&gt;="&amp;INT($CK$1),
  '[1]Hoja 1'!$R:$R, "&lt;"&amp;INT($CL$1+1)
)</f>
        <v>0</v>
      </c>
      <c r="CJ130" s="1">
        <f t="shared" si="143"/>
        <v>0</v>
      </c>
      <c r="CK130" s="9">
        <f t="shared" si="144"/>
        <v>0</v>
      </c>
      <c r="CL130" s="10">
        <f t="shared" si="145"/>
        <v>0</v>
      </c>
      <c r="CM130" s="1">
        <f>SUMIFS(
  '[1]Hoja 1'!$M:$M,
  '[1]Hoja 1'!$S:$S, $A130,
  '[1]Hoja 1'!$R:$R, "&gt;="&amp;INT($CO$1),
  '[1]Hoja 1'!$R:$R, "&lt;"&amp;INT($CP$1+1)
)</f>
        <v>0</v>
      </c>
      <c r="CN130" s="1">
        <f t="shared" si="146"/>
        <v>0</v>
      </c>
      <c r="CO130" s="9">
        <f t="shared" si="147"/>
        <v>0</v>
      </c>
      <c r="CP130" s="10">
        <f t="shared" si="148"/>
        <v>0</v>
      </c>
      <c r="CQ130" s="1">
        <f>SUMIFS(
  '[1]Hoja 1'!$M:$M,
  '[1]Hoja 1'!$S:$S, $A130,
  '[1]Hoja 1'!$R:$R, "&gt;="&amp;INT($CS$1),
  '[1]Hoja 1'!$R:$R, "&lt;"&amp;INT($CT$1+1)
)</f>
        <v>0</v>
      </c>
      <c r="CR130" s="1">
        <f t="shared" si="149"/>
        <v>0</v>
      </c>
      <c r="CS130" s="9">
        <f t="shared" si="150"/>
        <v>0</v>
      </c>
      <c r="CT130" s="10">
        <f t="shared" si="151"/>
        <v>0</v>
      </c>
      <c r="CU130" s="1">
        <f>SUMIFS(
  '[1]Hoja 1'!$M:$M,
  '[1]Hoja 1'!$S:$S, $A130,
  '[1]Hoja 1'!$R:$R, "&gt;="&amp;INT($CW$1),
  '[1]Hoja 1'!$R:$R, "&lt;"&amp;INT($CX$1+1)
)</f>
        <v>0</v>
      </c>
      <c r="CV130" s="1">
        <f t="shared" si="152"/>
        <v>0</v>
      </c>
      <c r="CW130" s="9">
        <f t="shared" si="153"/>
        <v>0</v>
      </c>
      <c r="CX130" s="10">
        <f t="shared" si="154"/>
        <v>0</v>
      </c>
      <c r="CY130" s="1">
        <f>SUMIFS(
  '[1]Hoja 1'!$M:$M,
  '[1]Hoja 1'!$S:$S, $A130,
  '[1]Hoja 1'!$R:$R, "&gt;="&amp;INT($DA$1),
  '[1]Hoja 1'!$R:$R, "&lt;"&amp;INT($DB$1+1)
)</f>
        <v>0</v>
      </c>
      <c r="CZ130" s="1">
        <f t="shared" si="155"/>
        <v>0</v>
      </c>
      <c r="DA130" s="9">
        <f t="shared" si="156"/>
        <v>0</v>
      </c>
      <c r="DB130" s="10">
        <f t="shared" si="157"/>
        <v>0</v>
      </c>
      <c r="DC130" s="1">
        <f>SUMIFS(
  '[1]Hoja 1'!$M:$M,
  '[1]Hoja 1'!$S:$S, $A130,
  '[1]Hoja 1'!$R:$R, "&gt;="&amp;INT($DE$1),
  '[1]Hoja 1'!$R:$R, "&lt;"&amp;INT($DF$1+1)
)</f>
        <v>0</v>
      </c>
      <c r="DD130" s="1">
        <f t="shared" si="158"/>
        <v>0</v>
      </c>
      <c r="DE130" s="9">
        <f t="shared" si="159"/>
        <v>0</v>
      </c>
      <c r="DF130" s="10">
        <f t="shared" si="160"/>
        <v>0</v>
      </c>
      <c r="DG130" s="1">
        <f>SUMIFS(
  '[1]Hoja 1'!$M:$M,
  '[1]Hoja 1'!$S:$S, $A130,
  '[1]Hoja 1'!$R:$R, "&gt;="&amp;INT($DI$1),
  '[1]Hoja 1'!$R:$R, "&lt;"&amp;INT($DJ$1+1)
)</f>
        <v>0</v>
      </c>
      <c r="DH130" s="1">
        <f t="shared" si="161"/>
        <v>0</v>
      </c>
      <c r="DI130" s="9">
        <f t="shared" si="162"/>
        <v>0</v>
      </c>
      <c r="DJ130" s="10">
        <f t="shared" si="163"/>
        <v>0</v>
      </c>
      <c r="DK130" s="1">
        <f>SUMIFS(
  '[1]Hoja 1'!$M:$M,
  '[1]Hoja 1'!$S:$S, $A130,
  '[1]Hoja 1'!$R:$R, "&gt;="&amp;INT($DM$1),
  '[1]Hoja 1'!$R:$R, "&lt;"&amp;INT($DN$1+1)
)</f>
        <v>0</v>
      </c>
      <c r="DL130" s="1">
        <f t="shared" si="164"/>
        <v>0</v>
      </c>
      <c r="DM130" s="9">
        <f t="shared" si="165"/>
        <v>0</v>
      </c>
      <c r="DN130" s="10">
        <f t="shared" si="166"/>
        <v>0</v>
      </c>
      <c r="DO130" s="1">
        <f>SUMIFS(
  '[1]Hoja 1'!$M:$M,
  '[1]Hoja 1'!$S:$S, $A130,
  '[1]Hoja 1'!$R:$R, "&gt;="&amp;INT($DQ$1),
  '[1]Hoja 1'!$R:$R, "&lt;"&amp;INT($DR$1+1)
)</f>
        <v>0</v>
      </c>
      <c r="DP130" s="1">
        <f t="shared" si="167"/>
        <v>0</v>
      </c>
      <c r="DQ130" s="9">
        <f t="shared" si="168"/>
        <v>0</v>
      </c>
      <c r="DR130" s="10">
        <f t="shared" si="169"/>
        <v>0</v>
      </c>
    </row>
    <row r="131" spans="1:122" x14ac:dyDescent="0.25">
      <c r="A131" s="5">
        <v>222038</v>
      </c>
      <c r="B131" s="6" t="s">
        <v>129</v>
      </c>
      <c r="C131" s="1">
        <f>SUMIFS(
  '[1]Hoja 1'!$M:$M,
  '[1]Hoja 1'!$S:$S, $A131,
  '[1]Hoja 1'!$R:$R, "&gt;="&amp;INT($E$1),
  '[1]Hoja 1'!$R:$R, "&lt;"&amp;INT($F$1+1)
)</f>
        <v>0</v>
      </c>
      <c r="D131" s="1" t="str">
        <f>""</f>
        <v/>
      </c>
      <c r="F131" s="2"/>
      <c r="G131" s="1">
        <f>SUMIFS(
  '[1]Hoja 1'!$M:$M,
  '[1]Hoja 1'!$S:$S, $A131,
  '[1]Hoja 1'!$R:$R, "&gt;="&amp;INT($I$1),
  '[1]Hoja 1'!$R:$R, "&lt;"&amp;INT($J$1+1)
)</f>
        <v>0</v>
      </c>
      <c r="H131" s="1">
        <f t="shared" si="85"/>
        <v>0</v>
      </c>
      <c r="I131" s="1"/>
      <c r="J131" s="2"/>
      <c r="K131" s="1">
        <f>SUMIFS(
  '[1]Hoja 1'!$M:$M,
  '[1]Hoja 1'!$S:$S, $A131,
  '[1]Hoja 1'!$R:$R, "&gt;="&amp;INT($M$1),
  '[1]Hoja 1'!$R:$R, "&lt;"&amp;INT($N$1+1)
)</f>
        <v>0</v>
      </c>
      <c r="L131" s="1">
        <f t="shared" si="86"/>
        <v>0</v>
      </c>
      <c r="M131" s="9">
        <f t="shared" si="87"/>
        <v>0</v>
      </c>
      <c r="N131" s="10">
        <f t="shared" si="88"/>
        <v>0</v>
      </c>
      <c r="O131" s="1">
        <f>SUMIFS(
  '[1]Hoja 1'!$M:$M,
  '[1]Hoja 1'!$S:$S, $A131,
  '[1]Hoja 1'!$R:$R, "&gt;="&amp;INT($Q$1),
  '[1]Hoja 1'!$R:$R, "&lt;"&amp;INT($R$1+1)
)</f>
        <v>0</v>
      </c>
      <c r="P131" s="1">
        <f t="shared" si="89"/>
        <v>0</v>
      </c>
      <c r="Q131" s="9">
        <f t="shared" si="90"/>
        <v>0</v>
      </c>
      <c r="R131" s="10">
        <f t="shared" si="91"/>
        <v>0</v>
      </c>
      <c r="S131" s="1">
        <f>SUMIFS(
  '[1]Hoja 1'!$M:$M,
  '[1]Hoja 1'!$S:$S, $A131,
  '[1]Hoja 1'!$R:$R, "&gt;="&amp;INT($U$1),
  '[1]Hoja 1'!$R:$R, "&lt;"&amp;INT($V$1+1)
)</f>
        <v>0</v>
      </c>
      <c r="T131" s="1">
        <f t="shared" si="92"/>
        <v>0</v>
      </c>
      <c r="U131" s="9">
        <f t="shared" si="93"/>
        <v>0</v>
      </c>
      <c r="V131" s="10">
        <f t="shared" si="94"/>
        <v>0</v>
      </c>
      <c r="W131" s="1">
        <f>SUMIFS(
  '[1]Hoja 1'!$M:$M,
  '[1]Hoja 1'!$S:$S, $A131,
  '[1]Hoja 1'!$R:$R, "&gt;="&amp;INT($Y$1),
  '[1]Hoja 1'!$R:$R, "&lt;"&amp;INT($Z$1+1)
)</f>
        <v>0</v>
      </c>
      <c r="X131" s="1">
        <f t="shared" si="95"/>
        <v>0</v>
      </c>
      <c r="Y131" s="9">
        <f t="shared" si="96"/>
        <v>0</v>
      </c>
      <c r="Z131" s="10">
        <f t="shared" si="97"/>
        <v>0</v>
      </c>
      <c r="AA131" s="1">
        <f>SUMIFS(
  '[1]Hoja 1'!$M:$M,
  '[1]Hoja 1'!$S:$S, $A131,
  '[1]Hoja 1'!$R:$R, "&gt;="&amp;INT($AC$1),
  '[1]Hoja 1'!$R:$R, "&lt;"&amp;INT($AD$1+1)
)</f>
        <v>0</v>
      </c>
      <c r="AB131" s="1">
        <f t="shared" si="98"/>
        <v>0</v>
      </c>
      <c r="AC131" s="9">
        <f t="shared" si="99"/>
        <v>0</v>
      </c>
      <c r="AD131" s="10">
        <f t="shared" si="100"/>
        <v>0</v>
      </c>
      <c r="AE131" s="1">
        <f>SUMIFS(
  '[1]Hoja 1'!$M:$M,
  '[1]Hoja 1'!$S:$S, $A131,
  '[1]Hoja 1'!$R:$R, "&gt;="&amp;INT($AG$1),
  '[1]Hoja 1'!$R:$R, "&lt;"&amp;INT($AH$1+1)
)</f>
        <v>0</v>
      </c>
      <c r="AF131" s="1">
        <f t="shared" si="101"/>
        <v>0</v>
      </c>
      <c r="AG131" s="9">
        <f t="shared" si="102"/>
        <v>0</v>
      </c>
      <c r="AH131" s="10">
        <f t="shared" si="103"/>
        <v>0</v>
      </c>
      <c r="AI131" s="1">
        <f>SUMIFS(
  '[1]Hoja 1'!$M:$M,
  '[1]Hoja 1'!$S:$S, $A131,
  '[1]Hoja 1'!$R:$R, "&gt;="&amp;INT($AK$1),
  '[1]Hoja 1'!$R:$R, "&lt;"&amp;INT($AL$1+1)
)</f>
        <v>0</v>
      </c>
      <c r="AJ131" s="1">
        <f t="shared" si="104"/>
        <v>0</v>
      </c>
      <c r="AK131" s="9">
        <f t="shared" si="105"/>
        <v>0</v>
      </c>
      <c r="AL131" s="10">
        <f t="shared" si="106"/>
        <v>0</v>
      </c>
      <c r="AM131" s="1">
        <f>SUMIFS(
  '[1]Hoja 1'!$M:$M,
  '[1]Hoja 1'!$S:$S, $A131,
  '[1]Hoja 1'!$R:$R, "&gt;="&amp;INT($AO$1),
  '[1]Hoja 1'!$R:$R, "&lt;"&amp;INT($AP$1+1)
)</f>
        <v>0</v>
      </c>
      <c r="AN131" s="1">
        <f t="shared" si="107"/>
        <v>0</v>
      </c>
      <c r="AO131" s="9">
        <f t="shared" si="108"/>
        <v>0</v>
      </c>
      <c r="AP131" s="10">
        <f t="shared" si="109"/>
        <v>0</v>
      </c>
      <c r="AQ131" s="1">
        <f>SUMIFS(
  '[1]Hoja 1'!$M:$M,
  '[1]Hoja 1'!$S:$S, $A131,
  '[1]Hoja 1'!$R:$R, "&gt;="&amp;INT($AS$1),
  '[1]Hoja 1'!$R:$R, "&lt;"&amp;INT($AT$1+1)
)</f>
        <v>0</v>
      </c>
      <c r="AR131" s="1">
        <f t="shared" si="110"/>
        <v>0</v>
      </c>
      <c r="AS131" s="9">
        <f t="shared" si="111"/>
        <v>0</v>
      </c>
      <c r="AT131" s="10">
        <f t="shared" si="112"/>
        <v>0</v>
      </c>
      <c r="AU131" s="1">
        <f>SUMIFS(
  '[1]Hoja 1'!$M:$M,
  '[1]Hoja 1'!$S:$S, $A131,
  '[1]Hoja 1'!$R:$R, "&gt;="&amp;INT($AW$1),
  '[1]Hoja 1'!$R:$R, "&lt;"&amp;INT($AX$1+1)
)</f>
        <v>0</v>
      </c>
      <c r="AV131" s="1">
        <f t="shared" si="113"/>
        <v>0</v>
      </c>
      <c r="AW131" s="9">
        <f t="shared" si="114"/>
        <v>0</v>
      </c>
      <c r="AX131" s="10">
        <f t="shared" si="115"/>
        <v>0</v>
      </c>
      <c r="AY131" s="1">
        <f>SUMIFS(
  '[1]Hoja 1'!$M:$M,
  '[1]Hoja 1'!$S:$S, $A131,
  '[1]Hoja 1'!$R:$R, "&gt;="&amp;INT($BA$1),
  '[1]Hoja 1'!$R:$R, "&lt;"&amp;INT($BB$1+1)
)</f>
        <v>0</v>
      </c>
      <c r="AZ131" s="1">
        <f t="shared" si="116"/>
        <v>0</v>
      </c>
      <c r="BA131" s="9">
        <f t="shared" si="117"/>
        <v>0</v>
      </c>
      <c r="BB131" s="10">
        <f t="shared" si="118"/>
        <v>0</v>
      </c>
      <c r="BC131" s="1">
        <f>SUMIFS(
  '[1]Hoja 1'!$M:$M,
  '[1]Hoja 1'!$S:$S, $A131,
  '[1]Hoja 1'!$R:$R, "&gt;="&amp;INT($BE$1),
  '[1]Hoja 1'!$R:$R, "&lt;"&amp;INT($BF$1+1)
)</f>
        <v>0</v>
      </c>
      <c r="BD131" s="1">
        <f t="shared" si="119"/>
        <v>0</v>
      </c>
      <c r="BE131" s="9">
        <f t="shared" si="120"/>
        <v>0</v>
      </c>
      <c r="BF131" s="10">
        <f t="shared" si="121"/>
        <v>0</v>
      </c>
      <c r="BG131" s="1">
        <f>SUMIFS(
  '[1]Hoja 1'!$M:$M,
  '[1]Hoja 1'!$S:$S, $A131,
  '[1]Hoja 1'!$R:$R, "&gt;="&amp;INT($BI$1),
  '[1]Hoja 1'!$R:$R, "&lt;"&amp;INT($BJ$1+1)
)</f>
        <v>0</v>
      </c>
      <c r="BH131" s="1">
        <f t="shared" si="122"/>
        <v>0</v>
      </c>
      <c r="BI131" s="9">
        <f t="shared" si="123"/>
        <v>0</v>
      </c>
      <c r="BJ131" s="10">
        <f t="shared" si="124"/>
        <v>0</v>
      </c>
      <c r="BK131" s="1">
        <f>SUMIFS(
  '[1]Hoja 1'!$M:$M,
  '[1]Hoja 1'!$S:$S, $A131,
  '[1]Hoja 1'!$R:$R, "&gt;="&amp;INT($BM$1),
  '[1]Hoja 1'!$R:$R, "&lt;"&amp;INT($BN$1+1)
)</f>
        <v>0</v>
      </c>
      <c r="BL131" s="1">
        <f t="shared" si="125"/>
        <v>0</v>
      </c>
      <c r="BM131" s="9">
        <f t="shared" si="126"/>
        <v>0</v>
      </c>
      <c r="BN131" s="10">
        <f t="shared" si="127"/>
        <v>0</v>
      </c>
      <c r="BO131" s="1">
        <f>SUMIFS(
  '[1]Hoja 1'!$M:$M,
  '[1]Hoja 1'!$S:$S, $A131,
  '[1]Hoja 1'!$R:$R, "&gt;="&amp;INT($BQ$1),
  '[1]Hoja 1'!$R:$R, "&lt;"&amp;INT($BR$1+1)
)</f>
        <v>0</v>
      </c>
      <c r="BP131" s="1">
        <f t="shared" si="128"/>
        <v>0</v>
      </c>
      <c r="BQ131" s="9">
        <f t="shared" si="129"/>
        <v>0</v>
      </c>
      <c r="BR131" s="10">
        <f t="shared" si="130"/>
        <v>0</v>
      </c>
      <c r="BS131" s="1">
        <f>SUMIFS(
  '[1]Hoja 1'!$M:$M,
  '[1]Hoja 1'!$S:$S, $A131,
  '[1]Hoja 1'!$R:$R, "&gt;="&amp;INT($BU$1),
  '[1]Hoja 1'!$R:$R, "&lt;"&amp;INT($BV$1+1)
)</f>
        <v>0</v>
      </c>
      <c r="BT131" s="1">
        <f t="shared" si="131"/>
        <v>0</v>
      </c>
      <c r="BU131" s="9">
        <f t="shared" si="132"/>
        <v>0</v>
      </c>
      <c r="BV131" s="10">
        <f t="shared" si="133"/>
        <v>0</v>
      </c>
      <c r="BW131" s="1">
        <f>SUMIFS(
  '[1]Hoja 1'!$M:$M,
  '[1]Hoja 1'!$S:$S, $A131,
  '[1]Hoja 1'!$R:$R, "&gt;="&amp;INT($BY$1),
  '[1]Hoja 1'!$R:$R, "&lt;"&amp;INT($BZ$1+1)
)</f>
        <v>0</v>
      </c>
      <c r="BX131" s="1">
        <f t="shared" si="134"/>
        <v>0</v>
      </c>
      <c r="BY131" s="9">
        <f t="shared" si="135"/>
        <v>0</v>
      </c>
      <c r="BZ131" s="10">
        <f t="shared" si="136"/>
        <v>0</v>
      </c>
      <c r="CA131" s="1">
        <f>SUMIFS(
  '[1]Hoja 1'!$M:$M,
  '[1]Hoja 1'!$S:$S, $A131,
  '[1]Hoja 1'!$R:$R, "&gt;="&amp;INT($CC$1),
  '[1]Hoja 1'!$R:$R, "&lt;"&amp;INT($CD$1+1)
)</f>
        <v>0</v>
      </c>
      <c r="CB131" s="1">
        <f t="shared" si="137"/>
        <v>0</v>
      </c>
      <c r="CC131" s="9">
        <f t="shared" si="138"/>
        <v>0</v>
      </c>
      <c r="CD131" s="10">
        <f t="shared" si="139"/>
        <v>0</v>
      </c>
      <c r="CE131" s="1">
        <f>SUMIFS(
  '[1]Hoja 1'!$M:$M,
  '[1]Hoja 1'!$S:$S, $A131,
  '[1]Hoja 1'!$R:$R, "&gt;="&amp;INT($CG$1),
  '[1]Hoja 1'!$R:$R, "&lt;"&amp;INT($CH$1+1)
)</f>
        <v>0</v>
      </c>
      <c r="CF131" s="1">
        <f t="shared" si="140"/>
        <v>0</v>
      </c>
      <c r="CG131" s="9">
        <f t="shared" si="141"/>
        <v>0</v>
      </c>
      <c r="CH131" s="10">
        <f t="shared" si="142"/>
        <v>0</v>
      </c>
      <c r="CI131" s="1">
        <f>SUMIFS(
  '[1]Hoja 1'!$M:$M,
  '[1]Hoja 1'!$S:$S, $A131,
  '[1]Hoja 1'!$R:$R, "&gt;="&amp;INT($CK$1),
  '[1]Hoja 1'!$R:$R, "&lt;"&amp;INT($CL$1+1)
)</f>
        <v>0</v>
      </c>
      <c r="CJ131" s="1">
        <f t="shared" si="143"/>
        <v>0</v>
      </c>
      <c r="CK131" s="9">
        <f t="shared" si="144"/>
        <v>0</v>
      </c>
      <c r="CL131" s="10">
        <f t="shared" si="145"/>
        <v>0</v>
      </c>
      <c r="CM131" s="1">
        <f>SUMIFS(
  '[1]Hoja 1'!$M:$M,
  '[1]Hoja 1'!$S:$S, $A131,
  '[1]Hoja 1'!$R:$R, "&gt;="&amp;INT($CO$1),
  '[1]Hoja 1'!$R:$R, "&lt;"&amp;INT($CP$1+1)
)</f>
        <v>0</v>
      </c>
      <c r="CN131" s="1">
        <f t="shared" si="146"/>
        <v>0</v>
      </c>
      <c r="CO131" s="9">
        <f t="shared" si="147"/>
        <v>0</v>
      </c>
      <c r="CP131" s="10">
        <f t="shared" si="148"/>
        <v>0</v>
      </c>
      <c r="CQ131" s="1">
        <f>SUMIFS(
  '[1]Hoja 1'!$M:$M,
  '[1]Hoja 1'!$S:$S, $A131,
  '[1]Hoja 1'!$R:$R, "&gt;="&amp;INT($CS$1),
  '[1]Hoja 1'!$R:$R, "&lt;"&amp;INT($CT$1+1)
)</f>
        <v>0</v>
      </c>
      <c r="CR131" s="1">
        <f t="shared" si="149"/>
        <v>0</v>
      </c>
      <c r="CS131" s="9">
        <f t="shared" si="150"/>
        <v>0</v>
      </c>
      <c r="CT131" s="10">
        <f t="shared" si="151"/>
        <v>0</v>
      </c>
      <c r="CU131" s="1">
        <f>SUMIFS(
  '[1]Hoja 1'!$M:$M,
  '[1]Hoja 1'!$S:$S, $A131,
  '[1]Hoja 1'!$R:$R, "&gt;="&amp;INT($CW$1),
  '[1]Hoja 1'!$R:$R, "&lt;"&amp;INT($CX$1+1)
)</f>
        <v>0</v>
      </c>
      <c r="CV131" s="1">
        <f t="shared" si="152"/>
        <v>0</v>
      </c>
      <c r="CW131" s="9">
        <f t="shared" si="153"/>
        <v>0</v>
      </c>
      <c r="CX131" s="10">
        <f t="shared" si="154"/>
        <v>0</v>
      </c>
      <c r="CY131" s="1">
        <f>SUMIFS(
  '[1]Hoja 1'!$M:$M,
  '[1]Hoja 1'!$S:$S, $A131,
  '[1]Hoja 1'!$R:$R, "&gt;="&amp;INT($DA$1),
  '[1]Hoja 1'!$R:$R, "&lt;"&amp;INT($DB$1+1)
)</f>
        <v>0</v>
      </c>
      <c r="CZ131" s="1">
        <f t="shared" si="155"/>
        <v>0</v>
      </c>
      <c r="DA131" s="9">
        <f t="shared" si="156"/>
        <v>0</v>
      </c>
      <c r="DB131" s="10">
        <f t="shared" si="157"/>
        <v>0</v>
      </c>
      <c r="DC131" s="1">
        <f>SUMIFS(
  '[1]Hoja 1'!$M:$M,
  '[1]Hoja 1'!$S:$S, $A131,
  '[1]Hoja 1'!$R:$R, "&gt;="&amp;INT($DE$1),
  '[1]Hoja 1'!$R:$R, "&lt;"&amp;INT($DF$1+1)
)</f>
        <v>0</v>
      </c>
      <c r="DD131" s="1">
        <f t="shared" si="158"/>
        <v>0</v>
      </c>
      <c r="DE131" s="9">
        <f t="shared" si="159"/>
        <v>0</v>
      </c>
      <c r="DF131" s="10">
        <f t="shared" si="160"/>
        <v>0</v>
      </c>
      <c r="DG131" s="1">
        <f>SUMIFS(
  '[1]Hoja 1'!$M:$M,
  '[1]Hoja 1'!$S:$S, $A131,
  '[1]Hoja 1'!$R:$R, "&gt;="&amp;INT($DI$1),
  '[1]Hoja 1'!$R:$R, "&lt;"&amp;INT($DJ$1+1)
)</f>
        <v>0</v>
      </c>
      <c r="DH131" s="1">
        <f t="shared" si="161"/>
        <v>0</v>
      </c>
      <c r="DI131" s="9">
        <f t="shared" si="162"/>
        <v>0</v>
      </c>
      <c r="DJ131" s="10">
        <f t="shared" si="163"/>
        <v>0</v>
      </c>
      <c r="DK131" s="1">
        <f>SUMIFS(
  '[1]Hoja 1'!$M:$M,
  '[1]Hoja 1'!$S:$S, $A131,
  '[1]Hoja 1'!$R:$R, "&gt;="&amp;INT($DM$1),
  '[1]Hoja 1'!$R:$R, "&lt;"&amp;INT($DN$1+1)
)</f>
        <v>0</v>
      </c>
      <c r="DL131" s="1">
        <f t="shared" si="164"/>
        <v>0</v>
      </c>
      <c r="DM131" s="9">
        <f t="shared" si="165"/>
        <v>0</v>
      </c>
      <c r="DN131" s="10">
        <f t="shared" si="166"/>
        <v>0</v>
      </c>
      <c r="DO131" s="1">
        <f>SUMIFS(
  '[1]Hoja 1'!$M:$M,
  '[1]Hoja 1'!$S:$S, $A131,
  '[1]Hoja 1'!$R:$R, "&gt;="&amp;INT($DQ$1),
  '[1]Hoja 1'!$R:$R, "&lt;"&amp;INT($DR$1+1)
)</f>
        <v>0</v>
      </c>
      <c r="DP131" s="1">
        <f t="shared" si="167"/>
        <v>0</v>
      </c>
      <c r="DQ131" s="9">
        <f t="shared" si="168"/>
        <v>0</v>
      </c>
      <c r="DR131" s="10">
        <f t="shared" si="169"/>
        <v>0</v>
      </c>
    </row>
    <row r="132" spans="1:122" x14ac:dyDescent="0.25">
      <c r="A132" s="5">
        <v>223001</v>
      </c>
      <c r="B132" s="6" t="s">
        <v>130</v>
      </c>
      <c r="C132" s="1">
        <f>SUMIFS(
  '[1]Hoja 1'!$M:$M,
  '[1]Hoja 1'!$S:$S, $A132,
  '[1]Hoja 1'!$R:$R, "&gt;="&amp;INT($E$1),
  '[1]Hoja 1'!$R:$R, "&lt;"&amp;INT($F$1+1)
)</f>
        <v>60</v>
      </c>
      <c r="D132" s="1" t="str">
        <f>""</f>
        <v/>
      </c>
      <c r="F132" s="2"/>
      <c r="G132" s="1">
        <f>SUMIFS(
  '[1]Hoja 1'!$M:$M,
  '[1]Hoja 1'!$S:$S, $A132,
  '[1]Hoja 1'!$R:$R, "&gt;="&amp;INT($I$1),
  '[1]Hoja 1'!$R:$R, "&lt;"&amp;INT($J$1+1)
)</f>
        <v>76</v>
      </c>
      <c r="H132" s="1">
        <f t="shared" ref="H132:H195" si="170">IF(OR(ISBLANK(C132),ISBLANK(G132)),"",AVERAGE(C132,G132))</f>
        <v>68</v>
      </c>
      <c r="I132" s="1"/>
      <c r="J132" s="2"/>
      <c r="K132" s="1">
        <f>SUMIFS(
  '[1]Hoja 1'!$M:$M,
  '[1]Hoja 1'!$S:$S, $A132,
  '[1]Hoja 1'!$R:$R, "&gt;="&amp;INT($M$1),
  '[1]Hoja 1'!$R:$R, "&lt;"&amp;INT($N$1+1)
)</f>
        <v>79</v>
      </c>
      <c r="L132" s="1">
        <f t="shared" ref="L132:L195" si="171">IF(
    OR(ISBLANK(G132),ISBLANK(K132)),
    "",
    AVERAGE(G132,K132)
)</f>
        <v>77.5</v>
      </c>
      <c r="M132" s="9">
        <f t="shared" ref="M132:M195" si="172">IF(
  OR(ISBLANK(L132),ISBLANK(G132),ISBLANK(K132),ISBLANK(C132)),
  "",
  L132 - 1.96*_xlfn.STDEV.S(
    G132-AVERAGE(C132,G132),
    K132-AVERAGE(G132,K132)
  )
)</f>
        <v>68.491459607683382</v>
      </c>
      <c r="N132" s="10">
        <f t="shared" ref="N132:N195" si="173">IF(
  OR(ISBLANK(L132),ISBLANK(G132),ISBLANK(K132),ISBLANK(C132)),
  "",
  L132 + 1.96*_xlfn.STDEV.S(
    G132-AVERAGE(C132,G132),
    K132-AVERAGE(G132,K132)
  )
)</f>
        <v>86.508540392316618</v>
      </c>
      <c r="O132" s="1">
        <f>SUMIFS(
  '[1]Hoja 1'!$M:$M,
  '[1]Hoja 1'!$S:$S, $A132,
  '[1]Hoja 1'!$R:$R, "&gt;="&amp;INT($Q$1),
  '[1]Hoja 1'!$R:$R, "&lt;"&amp;INT($R$1+1)
)</f>
        <v>81</v>
      </c>
      <c r="P132" s="1">
        <f t="shared" ref="P132:P195" si="174">IF(
    OR(ISBLANK(K132),ISBLANK(O132)),
    "",
    AVERAGE(K132,O132)
)</f>
        <v>80</v>
      </c>
      <c r="Q132" s="9">
        <f t="shared" ref="Q132:Q195" si="175">IF(
    OR(ISBLANK(P132),ISBLANK(G132),ISBLANK(K132),ISBLANK(C132)),
    "",
    L132 - 1.96*_xlfn.STDEV.S(
    G132-AVERAGE(C132,G132),
    K132-AVERAGE(G132,K132),
    O132-AVERAGE(K132,O132)
  )
)</f>
        <v>69.845955317611484</v>
      </c>
      <c r="R132" s="10">
        <f t="shared" ref="R132:R195" si="176">IF(
    OR(ISBLANK(P132),ISBLANK(G132),ISBLANK(K132),ISBLANK(C132)),
    "",
    L132 + 1.96*_xlfn.STDEV.S(
    G132-AVERAGE(C132,G132),
    K132-AVERAGE(G132,K132),
    O132-AVERAGE(K132,O132)
  )
)</f>
        <v>85.154044682388516</v>
      </c>
      <c r="S132" s="1">
        <f>SUMIFS(
  '[1]Hoja 1'!$M:$M,
  '[1]Hoja 1'!$S:$S, $A132,
  '[1]Hoja 1'!$R:$R, "&gt;="&amp;INT($U$1),
  '[1]Hoja 1'!$R:$R, "&lt;"&amp;INT($V$1+1)
)</f>
        <v>77</v>
      </c>
      <c r="T132" s="1">
        <f t="shared" ref="T132:T195" si="177">IF(
    OR(ISBLANK(O132),ISBLANK(S132)),
    "",
    ROUND(AVERAGE(O132,S132),0)
)</f>
        <v>79</v>
      </c>
      <c r="U132" s="9">
        <f t="shared" ref="U132:U195" si="178">IF(
    OR(ISBLANK(L132),ISBLANK(G132),ISBLANK(K132),ISBLANK(C132)),
    "",
    T132 - 1.96*_xlfn.STDEV.S(
    G132-AVERAGE(C132,G132),
    K132-AVERAGE(G132,K132),
    O132-AVERAGE(K132,O132),
    S132-AVERAGE(O132,S132)
  )
)</f>
        <v>70.747220670182273</v>
      </c>
      <c r="V132" s="10">
        <f t="shared" ref="V132:V195" si="179">IF(
    OR(ISBLANK(L132),ISBLANK(G132),ISBLANK(K132),ISBLANK(C132)),
    "",
    T132 + 1.96*_xlfn.STDEV.S(
    G132-AVERAGE(C132,G132),
    K132-AVERAGE(G132,K132),
    O132-AVERAGE(K132,O132),
    S132-AVERAGE(O132,S132)
  )
)</f>
        <v>87.252779329817727</v>
      </c>
      <c r="W132" s="1">
        <f>SUMIFS(
  '[1]Hoja 1'!$M:$M,
  '[1]Hoja 1'!$S:$S, $A132,
  '[1]Hoja 1'!$R:$R, "&gt;="&amp;INT($Y$1),
  '[1]Hoja 1'!$R:$R, "&lt;"&amp;INT($Z$1+1)
)</f>
        <v>98</v>
      </c>
      <c r="X132" s="1">
        <f t="shared" ref="X132:X195" si="180">IF(
    OR(ISBLANK(S132),ISBLANK(W132)),
    "",
    ROUND(AVERAGE(S132,W132),0)
)</f>
        <v>88</v>
      </c>
      <c r="Y132" s="9">
        <f t="shared" ref="Y132:Y195" si="181">IF(
    OR(ISBLANK(P132),ISBLANK(K132),ISBLANK(O132),ISBLANK(G132)),
    "",
    X132 - 1.96*_xlfn.STDEV.S(
    K132-AVERAGE(G132,K132),
    O132-AVERAGE(K132,O132),
    S132-AVERAGE(O132,S132),
    W132-AVERAGE(S132,W132)
  )
)</f>
        <v>77.429922737589223</v>
      </c>
      <c r="Z132" s="10">
        <f t="shared" ref="Z132:Z195" si="182">IF(
    OR(ISBLANK(P132),ISBLANK(K132),ISBLANK(O132),ISBLANK(G132)),
    "",
    X132 + 1.96*_xlfn.STDEV.S(
    K132-AVERAGE(G132,K132),
    O132-AVERAGE(K132,O132),
    S132-AVERAGE(O132,S132),
    W132-AVERAGE(S132,W132)
  )
)</f>
        <v>98.570077262410777</v>
      </c>
      <c r="AA132" s="1">
        <f>SUMIFS(
  '[1]Hoja 1'!$M:$M,
  '[1]Hoja 1'!$S:$S, $A132,
  '[1]Hoja 1'!$R:$R, "&gt;="&amp;INT($AC$1),
  '[1]Hoja 1'!$R:$R, "&lt;"&amp;INT($AD$1+1)
)</f>
        <v>134</v>
      </c>
      <c r="AB132" s="1">
        <f t="shared" ref="AB132:AB195" si="183">IF(
    OR(ISBLANK(W132),ISBLANK(AA132)),
    "",
    ROUND(AVERAGE(W132,AA132),0)
)</f>
        <v>116</v>
      </c>
      <c r="AC132" s="9">
        <f t="shared" ref="AC132:AC195" si="184">IF(
    OR(ISBLANK(T132),ISBLANK(O132),ISBLANK(S132),ISBLANK(K132)),
    "",
    AB132 - 1.96*_xlfn.STDEV.S(
    O132-AVERAGE(K132,O132),
    S132-AVERAGE(O132,S132),
    W132-AVERAGE(S132,W132),
    AA132-AVERAGE(W132,AA132),
  )
)</f>
        <v>99.368848506492412</v>
      </c>
      <c r="AD132" s="10">
        <f t="shared" ref="AD132:AD195" si="185">IF(
    OR(ISBLANK(T132),ISBLANK(O132),ISBLANK(S132),ISBLANK(K132)),
    "",
    AB132 + 1.96*_xlfn.STDEV.S(
    O132-AVERAGE(K132,O132),
    S132-AVERAGE(O132,S132),
    W132-AVERAGE(S132,W132),
    AA132-AVERAGE(W132,AA132)
  )
)</f>
        <v>133.89897855558615</v>
      </c>
      <c r="AE132" s="1">
        <f>SUMIFS(
  '[1]Hoja 1'!$M:$M,
  '[1]Hoja 1'!$S:$S, $A132,
  '[1]Hoja 1'!$R:$R, "&gt;="&amp;INT($AG$1),
  '[1]Hoja 1'!$R:$R, "&lt;"&amp;INT($AH$1+1)
)</f>
        <v>0</v>
      </c>
      <c r="AF132" s="1">
        <f t="shared" ref="AF132:AF195" si="186">IF(
    OR(ISBLANK(AA132),ISBLANK(AE132)),
    "",
    ROUND(AVERAGE(AA132,AE132),0)
)</f>
        <v>67</v>
      </c>
      <c r="AG132" s="9">
        <f t="shared" ref="AG132:AG195" si="187">IF(
    OR(ISBLANK(X132),ISBLANK(S132),ISBLANK(W132),ISBLANK(O132)),
    "",
    AF132 - 1.96*_xlfn.STDEV.S(
    S132-AVERAGE(O132,S132),
    W132-AVERAGE(S132,W132),
    AA132-AVERAGE(W132,AA132),
    AE132-AVERAGE(AA132,AE132),
  )
)</f>
        <v>0.53894614136787311</v>
      </c>
      <c r="AH132" s="10">
        <f t="shared" ref="AH132:AH195" si="188">IF(
    OR(ISBLANK(X132),ISBLANK(S132),ISBLANK(W132),ISBLANK(O132)),
    "",
    AF132 + 1.96*_xlfn.STDEV.S(
    S132-AVERAGE(O132,S132),
    W132-AVERAGE(S132,W132),
    AA132-AVERAGE(W132,AA132),
    AE132-AVERAGE(AA132,AE132)
  )
)</f>
        <v>143.05530334346622</v>
      </c>
      <c r="AI132" s="1">
        <f>SUMIFS(
  '[1]Hoja 1'!$M:$M,
  '[1]Hoja 1'!$S:$S, $A132,
  '[1]Hoja 1'!$R:$R, "&gt;="&amp;INT($AK$1),
  '[1]Hoja 1'!$R:$R, "&lt;"&amp;INT($AL$1+1)
)</f>
        <v>0</v>
      </c>
      <c r="AJ132" s="1">
        <f t="shared" ref="AJ132:AJ195" si="189">IF(
    OR(ISBLANK(AE132),ISBLANK(AI132)),
    "",
    ROUND(AVERAGE(AE132,AI132),0)
)</f>
        <v>0</v>
      </c>
      <c r="AK132" s="9">
        <f t="shared" ref="AK132:AK195" si="190">IF(
    OR(ISBLANK(AB132),ISBLANK(W132),ISBLANK(AA132),ISBLANK(S132)),
    "",
    AJ132 - 1.96*_xlfn.STDEV.S(
    W132-AVERAGE(S132,W132),
    AA132-AVERAGE(W132,AA132),
    AE132-AVERAGE(AA132,AE132),
    AI132-AVERAGE(AE132,AI132),
  )
)</f>
        <v>-66.66017341711617</v>
      </c>
      <c r="AL132" s="10">
        <f t="shared" ref="AL132:AL195" si="191">IF(
    OR(ISBLANK(AB132),ISBLANK(W132),ISBLANK(AA132),ISBLANK(S132)),
    "",
    AJ132 + 1.96*_xlfn.STDEV.S(
    W132-AVERAGE(S132,W132),
    AA132-AVERAGE(W132,AA132),
    AE132-AVERAGE(AA132,AE132),
    AI132-AVERAGE(AE132,AI132)
  )
)</f>
        <v>76.353572935390531</v>
      </c>
      <c r="AM132" s="1">
        <f>SUMIFS(
  '[1]Hoja 1'!$M:$M,
  '[1]Hoja 1'!$S:$S, $A132,
  '[1]Hoja 1'!$R:$R, "&gt;="&amp;INT($AO$1),
  '[1]Hoja 1'!$R:$R, "&lt;"&amp;INT($AP$1+1)
)</f>
        <v>0</v>
      </c>
      <c r="AN132" s="1">
        <f t="shared" ref="AN132:AN195" si="192">IF(
    OR(ISBLANK(AI132),ISBLANK(AM132)),
    "",
    ROUND(AVERAGE(AI132,AM132),0)
)</f>
        <v>0</v>
      </c>
      <c r="AO132" s="9">
        <f t="shared" ref="AO132:AO195" si="193">IF(
    OR(ISBLANK(AF132),ISBLANK(AA132),ISBLANK(AE132),ISBLANK(W132)),
    "",
    AN132 - 1.96*_xlfn.STDEV.S(
    AA132-AVERAGE(W132,AA132),
    AE132-AVERAGE(AA132,AE132),
    AI132-AVERAGE(AE132,AI132),
    AM132-AVERAGE(AI132,AM132),
  )
)</f>
        <v>-64.507527622751127</v>
      </c>
      <c r="AP132" s="10">
        <f t="shared" ref="AP132:AP195" si="194">IF(
    OR(ISBLANK(AF132),ISBLANK(AA132),ISBLANK(AE132),ISBLANK(W132)),
    "",
    AN132 + 1.96*_xlfn.STDEV.S(
    AA132-AVERAGE(W132,AA132),
    AE132-AVERAGE(AA132,AE132),
    AI132-AVERAGE(AE132,AI132),
    AM132-AVERAGE(AI132,AM132)
  )
)</f>
        <v>73.447714736402787</v>
      </c>
      <c r="AQ132" s="1">
        <f>SUMIFS(
  '[1]Hoja 1'!$M:$M,
  '[1]Hoja 1'!$S:$S, $A132,
  '[1]Hoja 1'!$R:$R, "&gt;="&amp;INT($AS$1),
  '[1]Hoja 1'!$R:$R, "&lt;"&amp;INT($AT$1+1)
)</f>
        <v>0</v>
      </c>
      <c r="AR132" s="1">
        <f t="shared" ref="AR132:AR195" si="195">IF(
    OR(ISBLANK(AM132),ISBLANK(AQ132)),
    "",
    ROUND(AVERAGE(AM132,AQ132),0)
)</f>
        <v>0</v>
      </c>
      <c r="AS132" s="9">
        <f t="shared" ref="AS132:AS195" si="196">IF(
    OR(ISBLANK(AJ132),ISBLANK(AE132),ISBLANK(AI132),ISBLANK(AA132)),
    "",
    AR132 - 1.96*_xlfn.STDEV.S(
    AE132-AVERAGE(AA132,AE132),
    AI132-AVERAGE(AE132,AI132),
    AM132-AVERAGE(AI132,AM132),
    AQ132-AVERAGE(AM132,AQ132),
  )
)</f>
        <v>-58.728089361054472</v>
      </c>
      <c r="AT132" s="10">
        <f t="shared" ref="AT132:AT195" si="197">IF(
    OR(ISBLANK(AJ132),ISBLANK(AE132),ISBLANK(AI132),ISBLANK(AA132)),
    "",
    AR132 + 1.96*_xlfn.STDEV.S(
    AE132-AVERAGE(AA132,AE132),
    AI132-AVERAGE(AE132,AI132),
    AM132-AVERAGE(AI132,AM132),
    AQ132-AVERAGE(AM132,AQ132)
  )
)</f>
        <v>65.66</v>
      </c>
      <c r="AU132" s="1">
        <f>SUMIFS(
  '[1]Hoja 1'!$M:$M,
  '[1]Hoja 1'!$S:$S, $A132,
  '[1]Hoja 1'!$R:$R, "&gt;="&amp;INT($AW$1),
  '[1]Hoja 1'!$R:$R, "&lt;"&amp;INT($AX$1+1)
)</f>
        <v>0</v>
      </c>
      <c r="AV132" s="1">
        <f t="shared" ref="AV132:AV195" si="198">IF(
    OR(ISBLANK(AQ132),ISBLANK(AU132)),
    "",
    ROUND(AVERAGE(AQ132,AU132),0)
)</f>
        <v>0</v>
      </c>
      <c r="AW132" s="9">
        <f t="shared" ref="AW132:AW195" si="199">IF(
    OR(ISBLANK(AN132),ISBLANK(AI132),ISBLANK(AM132),ISBLANK(AE132)),
    "",
    AV132 - 1.96*_xlfn.STDEV.S(
    AI132-AVERAGE(AE132,AI132),
    AM132-AVERAGE(AI132,AM132),
    AQ132-AVERAGE(AM132,AQ132),
    AU132-AVERAGE(AQ132,AU132),
  )
)</f>
        <v>0</v>
      </c>
      <c r="AX132" s="10">
        <f t="shared" ref="AX132:AX195" si="200">IF(
    OR(ISBLANK(AN132),ISBLANK(AI132),ISBLANK(AM132),ISBLANK(AE132)),
    "",
    AV132 + 1.96*_xlfn.STDEV.S(
    AI132-AVERAGE(AE132,AI132),
    AM132-AVERAGE(AI132,AM132),
    AQ132-AVERAGE(AM132,AQ132),
    AU132-AVERAGE(AQ132,AU132)
  )
)</f>
        <v>0</v>
      </c>
      <c r="AY132" s="1">
        <f>SUMIFS(
  '[1]Hoja 1'!$M:$M,
  '[1]Hoja 1'!$S:$S, $A132,
  '[1]Hoja 1'!$R:$R, "&gt;="&amp;INT($BA$1),
  '[1]Hoja 1'!$R:$R, "&lt;"&amp;INT($BB$1+1)
)</f>
        <v>0</v>
      </c>
      <c r="AZ132" s="1">
        <f t="shared" ref="AZ132:AZ195" si="201">IF(
    OR(ISBLANK(AU132),ISBLANK(AY132)),
    "",
    ROUND(AVERAGE(AU132,AY132),0)
)</f>
        <v>0</v>
      </c>
      <c r="BA132" s="9">
        <f t="shared" ref="BA132:BA195" si="202">IF(
    OR(ISBLANK(AR132),ISBLANK(AM132),ISBLANK(AQ132),ISBLANK(AI132)),
    "",
    AZ132 - 1.96*_xlfn.STDEV.S(
    AM132-AVERAGE(AI132,AM132),
    AQ132-AVERAGE(AM132,AQ132),
    AU132-AVERAGE(AQ132,AU132),
    AY132-AVERAGE(AU132,AY132),
  )
)</f>
        <v>0</v>
      </c>
      <c r="BB132" s="10">
        <f t="shared" ref="BB132:BB195" si="203">IF(
    OR(ISBLANK(AR132),ISBLANK(AM132),ISBLANK(AQ132),ISBLANK(AI132)),
    "",
    AZ132 + 1.96*_xlfn.STDEV.S(
    AM132-AVERAGE(AI132,AM132),
    AQ132-AVERAGE(AM132,AQ132),
    AU132-AVERAGE(AQ132,AU132),
    AY132-AVERAGE(AU132,AY132)
  )
)</f>
        <v>0</v>
      </c>
      <c r="BC132" s="1">
        <f>SUMIFS(
  '[1]Hoja 1'!$M:$M,
  '[1]Hoja 1'!$S:$S, $A132,
  '[1]Hoja 1'!$R:$R, "&gt;="&amp;INT($BE$1),
  '[1]Hoja 1'!$R:$R, "&lt;"&amp;INT($BF$1+1)
)</f>
        <v>0</v>
      </c>
      <c r="BD132" s="1">
        <f t="shared" ref="BD132:BD195" si="204">IF(
    OR(ISBLANK(AY132),ISBLANK(BC132)),
    "",
    ROUND(AVERAGE(AY132,BC132),0)
)</f>
        <v>0</v>
      </c>
      <c r="BE132" s="9">
        <f t="shared" ref="BE132:BE195" si="205">IF(
    OR(ISBLANK(AV132),ISBLANK(AQ132),ISBLANK(AU132),ISBLANK(AM132)),
    "",
    BD132 - 1.96*_xlfn.STDEV.S(
    AQ132-AVERAGE(AM132,AQ132),
    AU132-AVERAGE(AQ132,AU132),
    AY132-AVERAGE(AU132,AY132),
    BC132-AVERAGE(AY132,BC132),
  )
)</f>
        <v>0</v>
      </c>
      <c r="BF132" s="10">
        <f t="shared" ref="BF132:BF195" si="206">IF(
    OR(ISBLANK(AV132),ISBLANK(AQ132),ISBLANK(AU132),ISBLANK(AM132)),
    "",
    BD132 + 1.96*_xlfn.STDEV.S(
    AQ132-AVERAGE(AM132,AQ132),
    AU132-AVERAGE(AQ132,AU132),
    AY132-AVERAGE(AU132,AY132),
    BC132-AVERAGE(AY132,BC132)
  )
)</f>
        <v>0</v>
      </c>
      <c r="BG132" s="1">
        <f>SUMIFS(
  '[1]Hoja 1'!$M:$M,
  '[1]Hoja 1'!$S:$S, $A132,
  '[1]Hoja 1'!$R:$R, "&gt;="&amp;INT($BI$1),
  '[1]Hoja 1'!$R:$R, "&lt;"&amp;INT($BJ$1+1)
)</f>
        <v>0</v>
      </c>
      <c r="BH132" s="1">
        <f t="shared" ref="BH132:BH195" si="207">IF(
    OR(ISBLANK(BC132),ISBLANK(BG132)),
    "",
    ROUND(AVERAGE(BC132,BG132),0)
)</f>
        <v>0</v>
      </c>
      <c r="BI132" s="9">
        <f t="shared" ref="BI132:BI195" si="208">IF(
    OR(ISBLANK(AZ132),ISBLANK(AU132),ISBLANK(AY132),ISBLANK(AQ132)),
    "",
    BH132 - 1.96*_xlfn.STDEV.S(
    AU132-AVERAGE(AQ132,AU132),
    AY132-AVERAGE(AU132,AY132),
    BC132-AVERAGE(AY132,BC132),
    BG132-AVERAGE(BC132,BG132),
  )
)</f>
        <v>0</v>
      </c>
      <c r="BJ132" s="10">
        <f t="shared" ref="BJ132:BJ195" si="209">IF(
    OR(ISBLANK(AZ132),ISBLANK(AU132),ISBLANK(AY132),ISBLANK(AQ132)),
    "",
    BH132 + 1.96*_xlfn.STDEV.S(
    AU132-AVERAGE(AQ132,AU132),
    AY132-AVERAGE(AU132,AY132),
    BC132-AVERAGE(AY132,BC132),
    BG132-AVERAGE(BC132,BG132)
  )
)</f>
        <v>0</v>
      </c>
      <c r="BK132" s="1">
        <f>SUMIFS(
  '[1]Hoja 1'!$M:$M,
  '[1]Hoja 1'!$S:$S, $A132,
  '[1]Hoja 1'!$R:$R, "&gt;="&amp;INT($BM$1),
  '[1]Hoja 1'!$R:$R, "&lt;"&amp;INT($BN$1+1)
)</f>
        <v>0</v>
      </c>
      <c r="BL132" s="1">
        <f t="shared" ref="BL132:BL195" si="210">IF(
    OR(ISBLANK(BG132),ISBLANK(BK132)),
    "",
    ROUND(AVERAGE(BG132,BK132),0)
)</f>
        <v>0</v>
      </c>
      <c r="BM132" s="9">
        <f t="shared" ref="BM132:BM195" si="211">IF(
    OR(ISBLANK(BD132),ISBLANK(AY132),ISBLANK(BC132),ISBLANK(AU132)),
    "",
    BL132 - 1.96*_xlfn.STDEV.S(
    AY132-AVERAGE(AU132,AY132),
    BC132-AVERAGE(AY132,BC132),
    BG132-AVERAGE(BC132,BG132),
    BK132-AVERAGE(BG132,BK132),
  )
)</f>
        <v>0</v>
      </c>
      <c r="BN132" s="10">
        <f t="shared" ref="BN132:BN195" si="212">IF(
    OR(ISBLANK(BD132),ISBLANK(AY132),ISBLANK(BC132),ISBLANK(AU132)),
    "",
    BL132 + 1.96*_xlfn.STDEV.S(
    AY132-AVERAGE(AU132,AY132),
    BC132-AVERAGE(AY132,BC132),
    BG132-AVERAGE(BC132,BG132),
    BK132-AVERAGE(BG132,BK132)
  )
)</f>
        <v>0</v>
      </c>
      <c r="BO132" s="1">
        <f>SUMIFS(
  '[1]Hoja 1'!$M:$M,
  '[1]Hoja 1'!$S:$S, $A132,
  '[1]Hoja 1'!$R:$R, "&gt;="&amp;INT($BQ$1),
  '[1]Hoja 1'!$R:$R, "&lt;"&amp;INT($BR$1+1)
)</f>
        <v>0</v>
      </c>
      <c r="BP132" s="1">
        <f t="shared" ref="BP132:BP195" si="213">IF(
    OR(ISBLANK(BK132),ISBLANK(BO132)),
    "",
    ROUND(AVERAGE(BK132,BO132),0)
)</f>
        <v>0</v>
      </c>
      <c r="BQ132" s="9">
        <f t="shared" ref="BQ132:BQ195" si="214">IF(
    OR(ISBLANK(BH132),ISBLANK(BC132),ISBLANK(BG132),ISBLANK(AY132)),
    "",
    BP132 - 1.96*_xlfn.STDEV.S(
    BC132-AVERAGE(AY132,BC132),
    BG132-AVERAGE(BC132,BG132),
    BK132-AVERAGE(BG132,BK132),
    BO132-AVERAGE(BK132,BO132),
  )
)</f>
        <v>0</v>
      </c>
      <c r="BR132" s="10">
        <f t="shared" ref="BR132:BR195" si="215">IF(
    OR(ISBLANK(BH132),ISBLANK(BC132),ISBLANK(BG132),ISBLANK(AY132)),
    "",
    BP132 + 1.96*_xlfn.STDEV.S(
    BC132-AVERAGE(AY132,BC132),
    BG132-AVERAGE(BC132,BG132),
    BK132-AVERAGE(BG132,BK132),
    BO132-AVERAGE(BK132,BO132)
  )
)</f>
        <v>0</v>
      </c>
      <c r="BS132" s="1">
        <f>SUMIFS(
  '[1]Hoja 1'!$M:$M,
  '[1]Hoja 1'!$S:$S, $A132,
  '[1]Hoja 1'!$R:$R, "&gt;="&amp;INT($BU$1),
  '[1]Hoja 1'!$R:$R, "&lt;"&amp;INT($BV$1+1)
)</f>
        <v>0</v>
      </c>
      <c r="BT132" s="1">
        <f t="shared" ref="BT132:BT195" si="216">IF(
    OR(ISBLANK(BO132),ISBLANK(BS132)),
    "",
    ROUND(AVERAGE(BO132,BS132),0)
)</f>
        <v>0</v>
      </c>
      <c r="BU132" s="9">
        <f t="shared" ref="BU132:BU195" si="217">IF(
    OR(ISBLANK(BL132),ISBLANK(BG132),ISBLANK(BK132),ISBLANK(BC132)),
    "",
    BT132 - 1.96*_xlfn.STDEV.S(
    BG132-AVERAGE(BC132,BG132),
    BK132-AVERAGE(BG132,BK132),
    BO132-AVERAGE(BK132,BO132),
    BS132-AVERAGE(BO132,BS132),
  )
)</f>
        <v>0</v>
      </c>
      <c r="BV132" s="10">
        <f t="shared" ref="BV132:BV195" si="218">IF(
    OR(ISBLANK(BL132),ISBLANK(BG132),ISBLANK(BK132),ISBLANK(BC132)),
    "",
    BT132 + 1.96*_xlfn.STDEV.S(
    BG132-AVERAGE(BC132,BG132),
    BK132-AVERAGE(BG132,BK132),
    BO132-AVERAGE(BK132,BO132),
    BS132-AVERAGE(BO132,BS132)
  )
)</f>
        <v>0</v>
      </c>
      <c r="BW132" s="1">
        <f>SUMIFS(
  '[1]Hoja 1'!$M:$M,
  '[1]Hoja 1'!$S:$S, $A132,
  '[1]Hoja 1'!$R:$R, "&gt;="&amp;INT($BY$1),
  '[1]Hoja 1'!$R:$R, "&lt;"&amp;INT($BZ$1+1)
)</f>
        <v>0</v>
      </c>
      <c r="BX132" s="1">
        <f t="shared" ref="BX132:BX195" si="219">IF(
    OR(ISBLANK(BS132),ISBLANK(BW132)),
    "",
    ROUND(AVERAGE(BS132,BW132),0)
)</f>
        <v>0</v>
      </c>
      <c r="BY132" s="9">
        <f t="shared" ref="BY132:BY195" si="220">IF(
    OR(ISBLANK(BP132),ISBLANK(BK132),ISBLANK(BO132),ISBLANK(BG132)),
    "",
    BX132 - 1.96*_xlfn.STDEV.S(
    BK132-AVERAGE(BG132,BK132),
    BO132-AVERAGE(BK132,BO132),
    BS132-AVERAGE(BO132,BS132),
    BW132-AVERAGE(BS132,BW132),
  )
)</f>
        <v>0</v>
      </c>
      <c r="BZ132" s="10">
        <f t="shared" ref="BZ132:BZ195" si="221">IF(
    OR(ISBLANK(BP132),ISBLANK(BK132),ISBLANK(BO132),ISBLANK(BG132)),
    "",
    BX132 + 1.96*_xlfn.STDEV.S(
    BK132-AVERAGE(BG132,BK132),
    BO132-AVERAGE(BK132,BO132),
    BS132-AVERAGE(BO132,BS132),
    BW132-AVERAGE(BS132,BW132)
  )
)</f>
        <v>0</v>
      </c>
      <c r="CA132" s="1">
        <f>SUMIFS(
  '[1]Hoja 1'!$M:$M,
  '[1]Hoja 1'!$S:$S, $A132,
  '[1]Hoja 1'!$R:$R, "&gt;="&amp;INT($CC$1),
  '[1]Hoja 1'!$R:$R, "&lt;"&amp;INT($CD$1+1)
)</f>
        <v>0</v>
      </c>
      <c r="CB132" s="1">
        <f t="shared" ref="CB132:CB195" si="222">IF(
    OR(ISBLANK(BW132),ISBLANK(CA132)),
    "",
    ROUND(AVERAGE(BW132,CA132),0)
)</f>
        <v>0</v>
      </c>
      <c r="CC132" s="9">
        <f t="shared" ref="CC132:CC195" si="223">IF(
    OR(ISBLANK(BT132),ISBLANK(BO132),ISBLANK(BS132),ISBLANK(BK132)),
    "",
    CB132 - 1.96*_xlfn.STDEV.S(
    BO132-AVERAGE(BK132,BO132),
    BS132-AVERAGE(BO132,BS132),
    BW132-AVERAGE(BS132,BW132),
    CA132-AVERAGE(BW132,CA132),
  )
)</f>
        <v>0</v>
      </c>
      <c r="CD132" s="10">
        <f t="shared" ref="CD132:CD195" si="224">IF(
    OR(ISBLANK(BT132),ISBLANK(BO132),ISBLANK(BS132),ISBLANK(BK132)),
    "",
    CB132 + 1.96*_xlfn.STDEV.S(
    BO132-AVERAGE(BK132,BO132),
    BS132-AVERAGE(BO132,BS132),
    BW132-AVERAGE(BS132,BW132),
    CA132-AVERAGE(BW132,CA132)
  )
)</f>
        <v>0</v>
      </c>
      <c r="CE132" s="1">
        <f>SUMIFS(
  '[1]Hoja 1'!$M:$M,
  '[1]Hoja 1'!$S:$S, $A132,
  '[1]Hoja 1'!$R:$R, "&gt;="&amp;INT($CG$1),
  '[1]Hoja 1'!$R:$R, "&lt;"&amp;INT($CH$1+1)
)</f>
        <v>0</v>
      </c>
      <c r="CF132" s="1">
        <f t="shared" ref="CF132:CF195" si="225">IF(
    OR(ISBLANK(CA132),ISBLANK(CE132)),
    "",
    ROUND(AVERAGE(CA132,CE132),0)
)</f>
        <v>0</v>
      </c>
      <c r="CG132" s="9">
        <f t="shared" ref="CG132:CG195" si="226">IF(
    OR(ISBLANK(BX132),ISBLANK(BS132),ISBLANK(BW132),ISBLANK(BO132)),
    "",
    CF132 - 1.96*_xlfn.STDEV.S(
    BS132-AVERAGE(BO132,BS132),
    BW132-AVERAGE(BS132,BW132),
    CA132-AVERAGE(BW132,CA132),
    CE132-AVERAGE(CA132,CE132),
  )
)</f>
        <v>0</v>
      </c>
      <c r="CH132" s="10">
        <f t="shared" ref="CH132:CH195" si="227">IF(
    OR(ISBLANK(BX132),ISBLANK(BS132),ISBLANK(BW132),ISBLANK(BO132)),
    "",
    CF132 + 1.96*_xlfn.STDEV.S(
    BS132-AVERAGE(BO132,BS132),
    BW132-AVERAGE(BS132,BW132),
    CA132-AVERAGE(BW132,CA132),
    CE132-AVERAGE(CA132,CE132)
  )
)</f>
        <v>0</v>
      </c>
      <c r="CI132" s="1">
        <f>SUMIFS(
  '[1]Hoja 1'!$M:$M,
  '[1]Hoja 1'!$S:$S, $A132,
  '[1]Hoja 1'!$R:$R, "&gt;="&amp;INT($CK$1),
  '[1]Hoja 1'!$R:$R, "&lt;"&amp;INT($CL$1+1)
)</f>
        <v>0</v>
      </c>
      <c r="CJ132" s="1">
        <f t="shared" ref="CJ132:CJ195" si="228">IF(
    OR(ISBLANK(CE132),ISBLANK(CI132)),
    "",
    ROUND(AVERAGE(CE132,CI132),0)
)</f>
        <v>0</v>
      </c>
      <c r="CK132" s="9">
        <f t="shared" ref="CK132:CK195" si="229">IF(
    OR(ISBLANK(CB132),ISBLANK(BW132),ISBLANK(CA132),ISBLANK(BS132)),
    "",
    CJ132 - 1.96*_xlfn.STDEV.S(
    BW132-AVERAGE(BS132,BW132),
    CA132-AVERAGE(BW132,CA132),
    CE132-AVERAGE(CA132,CE132),
    CI132-AVERAGE(CE132,CI132),
  )
)</f>
        <v>0</v>
      </c>
      <c r="CL132" s="10">
        <f t="shared" ref="CL132:CL195" si="230">IF(
    OR(ISBLANK(CB132),ISBLANK(BW132),ISBLANK(CA132),ISBLANK(BS132)),
    "",
    CJ132 + 1.96*_xlfn.STDEV.S(
    BW132-AVERAGE(BS132,BW132),
    CA132-AVERAGE(BW132,CA132),
    CE132-AVERAGE(CA132,CE132),
    CI132-AVERAGE(CE132,CI132)
  )
)</f>
        <v>0</v>
      </c>
      <c r="CM132" s="1">
        <f>SUMIFS(
  '[1]Hoja 1'!$M:$M,
  '[1]Hoja 1'!$S:$S, $A132,
  '[1]Hoja 1'!$R:$R, "&gt;="&amp;INT($CO$1),
  '[1]Hoja 1'!$R:$R, "&lt;"&amp;INT($CP$1+1)
)</f>
        <v>0</v>
      </c>
      <c r="CN132" s="1">
        <f t="shared" ref="CN132:CN195" si="231">IF(
    OR(ISBLANK(CI132),ISBLANK(CM132)),
    "",
    ROUND(AVERAGE(CI132,CM132),0)
)</f>
        <v>0</v>
      </c>
      <c r="CO132" s="9">
        <f t="shared" ref="CO132:CO195" si="232">IF(
    OR(ISBLANK(CF132),ISBLANK(CA132),ISBLANK(CE132),ISBLANK(BW132)),
    "",
    CN132 - 1.96*_xlfn.STDEV.S(
    CA132-AVERAGE(BW132,CA132),
    CE132-AVERAGE(CA132,CE132),
    CI132-AVERAGE(CE132,CI132),
    CM132-AVERAGE(CI132,CM132),
  )
)</f>
        <v>0</v>
      </c>
      <c r="CP132" s="10">
        <f t="shared" ref="CP132:CP195" si="233">IF(
    OR(ISBLANK(CF132),ISBLANK(CA132),ISBLANK(CE132),ISBLANK(BW132)),
    "",
    CN132 + 1.96*_xlfn.STDEV.S(
    CA132-AVERAGE(BW132,CA132),
    CE132-AVERAGE(CA132,CE132),
    CI132-AVERAGE(CE132,CI132),
    CM132-AVERAGE(CI132,CM132)
  )
)</f>
        <v>0</v>
      </c>
      <c r="CQ132" s="1">
        <f>SUMIFS(
  '[1]Hoja 1'!$M:$M,
  '[1]Hoja 1'!$S:$S, $A132,
  '[1]Hoja 1'!$R:$R, "&gt;="&amp;INT($CS$1),
  '[1]Hoja 1'!$R:$R, "&lt;"&amp;INT($CT$1+1)
)</f>
        <v>0</v>
      </c>
      <c r="CR132" s="1">
        <f t="shared" ref="CR132:CR195" si="234">IF(
    OR(ISBLANK(CM132),ISBLANK(CQ132)),
    "",
    ROUND(AVERAGE(CM132,CQ132),0)
)</f>
        <v>0</v>
      </c>
      <c r="CS132" s="9">
        <f t="shared" ref="CS132:CS195" si="235">IF(
    OR(ISBLANK(CJ132),ISBLANK(CE132),ISBLANK(CI132),ISBLANK(CA132)),
    "",
    CR132 - 1.96*_xlfn.STDEV.S(
    CE132-AVERAGE(CA132,CE132),
    CI132-AVERAGE(CE132,CI132),
    CM132-AVERAGE(CI132,CM132),
    CQ132-AVERAGE(CM132,CQ132),
  )
)</f>
        <v>0</v>
      </c>
      <c r="CT132" s="10">
        <f t="shared" ref="CT132:CT195" si="236">IF(
    OR(ISBLANK(CJ132),ISBLANK(CE132),ISBLANK(CI132),ISBLANK(CA132)),
    "",
    CR132 + 1.96*_xlfn.STDEV.S(
    CE132-AVERAGE(CA132,CE132),
    CI132-AVERAGE(CE132,CI132),
    CM132-AVERAGE(CI132,CM132),
    CQ132-AVERAGE(CM132,CQ132)
  )
)</f>
        <v>0</v>
      </c>
      <c r="CU132" s="1">
        <f>SUMIFS(
  '[1]Hoja 1'!$M:$M,
  '[1]Hoja 1'!$S:$S, $A132,
  '[1]Hoja 1'!$R:$R, "&gt;="&amp;INT($CW$1),
  '[1]Hoja 1'!$R:$R, "&lt;"&amp;INT($CX$1+1)
)</f>
        <v>0</v>
      </c>
      <c r="CV132" s="1">
        <f t="shared" ref="CV132:CV195" si="237">IF(
    OR(ISBLANK(CQ132),ISBLANK(CU132)),
    "",
    ROUND(AVERAGE(CQ132,CU132),0)
)</f>
        <v>0</v>
      </c>
      <c r="CW132" s="9">
        <f t="shared" ref="CW132:CW195" si="238">IF(
    OR(ISBLANK(CN132),ISBLANK(CI132),ISBLANK(CM132),ISBLANK(CE132)),
    "",
    CV132 - 1.96*_xlfn.STDEV.S(
    CI132-AVERAGE(CE132,CI132),
    CM132-AVERAGE(CI132,CM132),
    CQ132-AVERAGE(CM132,CQ132),
    CU132-AVERAGE(CQ132,CU132),
  )
)</f>
        <v>0</v>
      </c>
      <c r="CX132" s="10">
        <f t="shared" ref="CX132:CX195" si="239">IF(
    OR(ISBLANK(CN132),ISBLANK(CI132),ISBLANK(CM132),ISBLANK(CE132)),
    "",
    CV132 + 1.96*_xlfn.STDEV.S(
    CI132-AVERAGE(CE132,CI132),
    CM132-AVERAGE(CI132,CM132),
    CQ132-AVERAGE(CM132,CQ132),
    CU132-AVERAGE(CQ132,CU132)
  )
)</f>
        <v>0</v>
      </c>
      <c r="CY132" s="1">
        <f>SUMIFS(
  '[1]Hoja 1'!$M:$M,
  '[1]Hoja 1'!$S:$S, $A132,
  '[1]Hoja 1'!$R:$R, "&gt;="&amp;INT($DA$1),
  '[1]Hoja 1'!$R:$R, "&lt;"&amp;INT($DB$1+1)
)</f>
        <v>0</v>
      </c>
      <c r="CZ132" s="1">
        <f t="shared" ref="CZ132:CZ195" si="240">IF(
    OR(ISBLANK(CU132),ISBLANK(CY132)),
    "",
    ROUND(AVERAGE(CU132,CY132),0)
)</f>
        <v>0</v>
      </c>
      <c r="DA132" s="9">
        <f t="shared" ref="DA132:DA195" si="241">IF(
    OR(ISBLANK(CR132),ISBLANK(CM132),ISBLANK(CQ132),ISBLANK(CI132)),
    "",
    CZ132 - 1.96*_xlfn.STDEV.S(
    CM132-AVERAGE(CI132,CM132),
    CQ132-AVERAGE(CM132,CQ132),
    CU132-AVERAGE(CQ132,CU132),
    CY132-AVERAGE(CU132,CY132),
  )
)</f>
        <v>0</v>
      </c>
      <c r="DB132" s="10">
        <f t="shared" ref="DB132:DB195" si="242">IF(
    OR(ISBLANK(CR132),ISBLANK(CM132),ISBLANK(CQ132),ISBLANK(CI132)),
    "",
    CZ132 + 1.96*_xlfn.STDEV.S(
    CM132-AVERAGE(CI132,CM132),
    CQ132-AVERAGE(CM132,CQ132),
    CU132-AVERAGE(CQ132,CU132),
    CY132-AVERAGE(CU132,CY132)
  )
)</f>
        <v>0</v>
      </c>
      <c r="DC132" s="1">
        <f>SUMIFS(
  '[1]Hoja 1'!$M:$M,
  '[1]Hoja 1'!$S:$S, $A132,
  '[1]Hoja 1'!$R:$R, "&gt;="&amp;INT($DE$1),
  '[1]Hoja 1'!$R:$R, "&lt;"&amp;INT($DF$1+1)
)</f>
        <v>0</v>
      </c>
      <c r="DD132" s="1">
        <f t="shared" ref="DD132:DD195" si="243">IF(
    OR(ISBLANK(CY132),ISBLANK(DC132)),
    "",
    ROUND(AVERAGE(CY132,DC132),0)
)</f>
        <v>0</v>
      </c>
      <c r="DE132" s="9">
        <f t="shared" ref="DE132:DE195" si="244">IF(
    OR(ISBLANK(CV132),ISBLANK(CQ132),ISBLANK(CU132),ISBLANK(CM132)),
    "",
    DD132 - 1.96*_xlfn.STDEV.S(
    CQ132-AVERAGE(CM132,CQ132),
    CU132-AVERAGE(CQ132,CU132),
    CY132-AVERAGE(CU132,CY132),
    DC132-AVERAGE(CY132,DC132),
  )
)</f>
        <v>0</v>
      </c>
      <c r="DF132" s="10">
        <f t="shared" ref="DF132:DF195" si="245">IF(
    OR(ISBLANK(CV132),ISBLANK(CQ132),ISBLANK(CU132),ISBLANK(CM132)),
    "",
    DD132 + 1.96*_xlfn.STDEV.S(
    CQ132-AVERAGE(CM132,CQ132),
    CU132-AVERAGE(CQ132,CU132),
    CY132-AVERAGE(CU132,CY132),
    DC132-AVERAGE(CY132,DC132)
  )
)</f>
        <v>0</v>
      </c>
      <c r="DG132" s="1">
        <f>SUMIFS(
  '[1]Hoja 1'!$M:$M,
  '[1]Hoja 1'!$S:$S, $A132,
  '[1]Hoja 1'!$R:$R, "&gt;="&amp;INT($DI$1),
  '[1]Hoja 1'!$R:$R, "&lt;"&amp;INT($DJ$1+1)
)</f>
        <v>0</v>
      </c>
      <c r="DH132" s="1">
        <f t="shared" ref="DH132:DH195" si="246">IF(
    OR(ISBLANK(DC132),ISBLANK(DG132)),
    "",
    ROUND(AVERAGE(DC132,DG132),0)
)</f>
        <v>0</v>
      </c>
      <c r="DI132" s="9">
        <f t="shared" ref="DI132:DI195" si="247">IF(
    OR(ISBLANK(CZ132),ISBLANK(CU132),ISBLANK(CY132),ISBLANK(CQ132)),
    "",
    DH132 - 1.96*_xlfn.STDEV.S(
    CU132-AVERAGE(CQ132,CU132),
    CY132-AVERAGE(CU132,CY132),
    DC132-AVERAGE(CY132,DC132),
    DG132-AVERAGE(DC132,DG132),
  )
)</f>
        <v>0</v>
      </c>
      <c r="DJ132" s="10">
        <f t="shared" ref="DJ132:DJ195" si="248">IF(
    OR(ISBLANK(CZ132),ISBLANK(CU132),ISBLANK(CY132),ISBLANK(CQ132)),
    "",
    DH132 + 1.96*_xlfn.STDEV.S(
    CU132-AVERAGE(CQ132,CU132),
    CY132-AVERAGE(CU132,CY132),
    DC132-AVERAGE(CY132,DC132),
    DG132-AVERAGE(DC132,DG132)
  )
)</f>
        <v>0</v>
      </c>
      <c r="DK132" s="1">
        <f>SUMIFS(
  '[1]Hoja 1'!$M:$M,
  '[1]Hoja 1'!$S:$S, $A132,
  '[1]Hoja 1'!$R:$R, "&gt;="&amp;INT($DM$1),
  '[1]Hoja 1'!$R:$R, "&lt;"&amp;INT($DN$1+1)
)</f>
        <v>0</v>
      </c>
      <c r="DL132" s="1">
        <f t="shared" ref="DL132:DL195" si="249">IF(
    OR(ISBLANK(DG132),ISBLANK(DK132)),
    "",
    ROUND(AVERAGE(DG132,DK132),0)
)</f>
        <v>0</v>
      </c>
      <c r="DM132" s="9">
        <f t="shared" ref="DM132:DM195" si="250">IF(
    OR(ISBLANK(DD132),ISBLANK(CY132),ISBLANK(DC132),ISBLANK(CU132)),
    "",
    DL132 - 1.96*_xlfn.STDEV.S(
    CY132-AVERAGE(CU132,CY132),
    DC132-AVERAGE(CY132,DC132),
    DG132-AVERAGE(DC132,DG132),
    DK132-AVERAGE(DG132,DK132),
  )
)</f>
        <v>0</v>
      </c>
      <c r="DN132" s="10">
        <f t="shared" ref="DN132:DN195" si="251">IF(
    OR(ISBLANK(DD132),ISBLANK(CY132),ISBLANK(DC132),ISBLANK(CU132)),
    "",
    DL132 + 1.96*_xlfn.STDEV.S(
    CY132-AVERAGE(CU132,CY132),
    DC132-AVERAGE(CY132,DC132),
    DG132-AVERAGE(DC132,DG132),
    DK132-AVERAGE(DG132,DK132)
  )
)</f>
        <v>0</v>
      </c>
      <c r="DO132" s="1">
        <f>SUMIFS(
  '[1]Hoja 1'!$M:$M,
  '[1]Hoja 1'!$S:$S, $A132,
  '[1]Hoja 1'!$R:$R, "&gt;="&amp;INT($DQ$1),
  '[1]Hoja 1'!$R:$R, "&lt;"&amp;INT($DR$1+1)
)</f>
        <v>0</v>
      </c>
      <c r="DP132" s="1">
        <f t="shared" ref="DP132:DP195" si="252">IF(
    OR(ISBLANK(DK132),ISBLANK(DO132)),
    "",
    ROUND(AVERAGE(DK132,DO132),0)
)</f>
        <v>0</v>
      </c>
      <c r="DQ132" s="9">
        <f t="shared" ref="DQ132:DQ195" si="253">IF(
    OR(ISBLANK(DH132),ISBLANK(DC132),ISBLANK(DG132),ISBLANK(CY132)),
    "",
    DP132 - 1.96*_xlfn.STDEV.S(
    DC132-AVERAGE(CY132,DC132),
    DG132-AVERAGE(DC132,DG132),
    DK132-AVERAGE(DG132,DK132),
    DO132-AVERAGE(DK132,DO132),
  )
)</f>
        <v>0</v>
      </c>
      <c r="DR132" s="10">
        <f t="shared" ref="DR132:DR195" si="254">IF(
    OR(ISBLANK(DH132),ISBLANK(DC132),ISBLANK(DG132),ISBLANK(CY132)),
    "",
    DP132 + 1.96*_xlfn.STDEV.S(
    DC132-AVERAGE(CY132,DC132),
    DG132-AVERAGE(DC132,DG132),
    DK132-AVERAGE(DG132,DK132),
    DO132-AVERAGE(DK132,DO132)
  )
)</f>
        <v>0</v>
      </c>
    </row>
    <row r="133" spans="1:122" x14ac:dyDescent="0.25">
      <c r="A133" s="5">
        <v>223002</v>
      </c>
      <c r="B133" s="6" t="s">
        <v>131</v>
      </c>
      <c r="C133" s="1">
        <f>SUMIFS(
  '[1]Hoja 1'!$M:$M,
  '[1]Hoja 1'!$S:$S, $A133,
  '[1]Hoja 1'!$R:$R, "&gt;="&amp;INT($E$1),
  '[1]Hoja 1'!$R:$R, "&lt;"&amp;INT($F$1+1)
)</f>
        <v>43</v>
      </c>
      <c r="D133" s="1" t="str">
        <f>""</f>
        <v/>
      </c>
      <c r="F133" s="2"/>
      <c r="G133" s="1">
        <f>SUMIFS(
  '[1]Hoja 1'!$M:$M,
  '[1]Hoja 1'!$S:$S, $A133,
  '[1]Hoja 1'!$R:$R, "&gt;="&amp;INT($I$1),
  '[1]Hoja 1'!$R:$R, "&lt;"&amp;INT($J$1+1)
)</f>
        <v>65</v>
      </c>
      <c r="H133" s="1">
        <f t="shared" si="170"/>
        <v>54</v>
      </c>
      <c r="I133" s="1"/>
      <c r="J133" s="2"/>
      <c r="K133" s="1">
        <f>SUMIFS(
  '[1]Hoja 1'!$M:$M,
  '[1]Hoja 1'!$S:$S, $A133,
  '[1]Hoja 1'!$R:$R, "&gt;="&amp;INT($M$1),
  '[1]Hoja 1'!$R:$R, "&lt;"&amp;INT($N$1+1)
)</f>
        <v>48</v>
      </c>
      <c r="L133" s="1">
        <f t="shared" si="171"/>
        <v>56.5</v>
      </c>
      <c r="M133" s="9">
        <f t="shared" si="172"/>
        <v>29.474378823050156</v>
      </c>
      <c r="N133" s="10">
        <f t="shared" si="173"/>
        <v>83.525621176949841</v>
      </c>
      <c r="O133" s="1">
        <f>SUMIFS(
  '[1]Hoja 1'!$M:$M,
  '[1]Hoja 1'!$S:$S, $A133,
  '[1]Hoja 1'!$R:$R, "&gt;="&amp;INT($Q$1),
  '[1]Hoja 1'!$R:$R, "&lt;"&amp;INT($R$1+1)
)</f>
        <v>54</v>
      </c>
      <c r="P133" s="1">
        <f t="shared" si="174"/>
        <v>51</v>
      </c>
      <c r="Q133" s="9">
        <f t="shared" si="175"/>
        <v>37.28766715535739</v>
      </c>
      <c r="R133" s="10">
        <f t="shared" si="176"/>
        <v>75.712332844642617</v>
      </c>
      <c r="S133" s="1">
        <f>SUMIFS(
  '[1]Hoja 1'!$M:$M,
  '[1]Hoja 1'!$S:$S, $A133,
  '[1]Hoja 1'!$R:$R, "&gt;="&amp;INT($U$1),
  '[1]Hoja 1'!$R:$R, "&lt;"&amp;INT($V$1+1)
)</f>
        <v>57</v>
      </c>
      <c r="T133" s="1">
        <f t="shared" si="177"/>
        <v>56</v>
      </c>
      <c r="U133" s="9">
        <f t="shared" si="178"/>
        <v>40.309794987530168</v>
      </c>
      <c r="V133" s="10">
        <f t="shared" si="179"/>
        <v>71.690205012469832</v>
      </c>
      <c r="W133" s="1">
        <f>SUMIFS(
  '[1]Hoja 1'!$M:$M,
  '[1]Hoja 1'!$S:$S, $A133,
  '[1]Hoja 1'!$R:$R, "&gt;="&amp;INT($Y$1),
  '[1]Hoja 1'!$R:$R, "&lt;"&amp;INT($Z$1+1)
)</f>
        <v>72</v>
      </c>
      <c r="X133" s="1">
        <f t="shared" si="180"/>
        <v>65</v>
      </c>
      <c r="Y133" s="9">
        <f t="shared" si="181"/>
        <v>51.769999999999996</v>
      </c>
      <c r="Z133" s="10">
        <f t="shared" si="182"/>
        <v>78.23</v>
      </c>
      <c r="AA133" s="1">
        <f>SUMIFS(
  '[1]Hoja 1'!$M:$M,
  '[1]Hoja 1'!$S:$S, $A133,
  '[1]Hoja 1'!$R:$R, "&gt;="&amp;INT($AC$1),
  '[1]Hoja 1'!$R:$R, "&lt;"&amp;INT($AD$1+1)
)</f>
        <v>47</v>
      </c>
      <c r="AB133" s="1">
        <f t="shared" si="183"/>
        <v>60</v>
      </c>
      <c r="AC133" s="9">
        <f t="shared" si="184"/>
        <v>45.342528185256505</v>
      </c>
      <c r="AD133" s="10">
        <f t="shared" si="185"/>
        <v>76.924517718387136</v>
      </c>
      <c r="AE133" s="1">
        <f>SUMIFS(
  '[1]Hoja 1'!$M:$M,
  '[1]Hoja 1'!$S:$S, $A133,
  '[1]Hoja 1'!$R:$R, "&gt;="&amp;INT($AG$1),
  '[1]Hoja 1'!$R:$R, "&lt;"&amp;INT($AH$1+1)
)</f>
        <v>0</v>
      </c>
      <c r="AF133" s="1">
        <f t="shared" si="186"/>
        <v>24</v>
      </c>
      <c r="AG133" s="9">
        <f t="shared" si="187"/>
        <v>-0.42540644492942903</v>
      </c>
      <c r="AH133" s="10">
        <f t="shared" si="188"/>
        <v>51.364061589366926</v>
      </c>
      <c r="AI133" s="1">
        <f>SUMIFS(
  '[1]Hoja 1'!$M:$M,
  '[1]Hoja 1'!$S:$S, $A133,
  '[1]Hoja 1'!$R:$R, "&gt;="&amp;INT($AK$1),
  '[1]Hoja 1'!$R:$R, "&lt;"&amp;INT($AL$1+1)
)</f>
        <v>0</v>
      </c>
      <c r="AJ133" s="1">
        <f t="shared" si="189"/>
        <v>0</v>
      </c>
      <c r="AK133" s="9">
        <f t="shared" si="190"/>
        <v>-24.050965053402741</v>
      </c>
      <c r="AL133" s="10">
        <f t="shared" si="191"/>
        <v>26.819015020441498</v>
      </c>
      <c r="AM133" s="1">
        <f>SUMIFS(
  '[1]Hoja 1'!$M:$M,
  '[1]Hoja 1'!$S:$S, $A133,
  '[1]Hoja 1'!$R:$R, "&gt;="&amp;INT($AO$1),
  '[1]Hoja 1'!$R:$R, "&lt;"&amp;INT($AP$1+1)
)</f>
        <v>0</v>
      </c>
      <c r="AN133" s="1">
        <f t="shared" si="192"/>
        <v>0</v>
      </c>
      <c r="AO133" s="9">
        <f t="shared" si="193"/>
        <v>-20.772763898913404</v>
      </c>
      <c r="AP133" s="10">
        <f t="shared" si="194"/>
        <v>22.189300725049147</v>
      </c>
      <c r="AQ133" s="1">
        <f>SUMIFS(
  '[1]Hoja 1'!$M:$M,
  '[1]Hoja 1'!$S:$S, $A133,
  '[1]Hoja 1'!$R:$R, "&gt;="&amp;INT($AS$1),
  '[1]Hoja 1'!$R:$R, "&lt;"&amp;INT($AT$1+1)
)</f>
        <v>0</v>
      </c>
      <c r="AR133" s="1">
        <f t="shared" si="195"/>
        <v>0</v>
      </c>
      <c r="AS133" s="9">
        <f t="shared" si="196"/>
        <v>-20.598658208728065</v>
      </c>
      <c r="AT133" s="10">
        <f t="shared" si="197"/>
        <v>23.03</v>
      </c>
      <c r="AU133" s="1">
        <f>SUMIFS(
  '[1]Hoja 1'!$M:$M,
  '[1]Hoja 1'!$S:$S, $A133,
  '[1]Hoja 1'!$R:$R, "&gt;="&amp;INT($AW$1),
  '[1]Hoja 1'!$R:$R, "&lt;"&amp;INT($AX$1+1)
)</f>
        <v>0</v>
      </c>
      <c r="AV133" s="1">
        <f t="shared" si="198"/>
        <v>0</v>
      </c>
      <c r="AW133" s="9">
        <f t="shared" si="199"/>
        <v>0</v>
      </c>
      <c r="AX133" s="10">
        <f t="shared" si="200"/>
        <v>0</v>
      </c>
      <c r="AY133" s="1">
        <f>SUMIFS(
  '[1]Hoja 1'!$M:$M,
  '[1]Hoja 1'!$S:$S, $A133,
  '[1]Hoja 1'!$R:$R, "&gt;="&amp;INT($BA$1),
  '[1]Hoja 1'!$R:$R, "&lt;"&amp;INT($BB$1+1)
)</f>
        <v>0</v>
      </c>
      <c r="AZ133" s="1">
        <f t="shared" si="201"/>
        <v>0</v>
      </c>
      <c r="BA133" s="9">
        <f t="shared" si="202"/>
        <v>0</v>
      </c>
      <c r="BB133" s="10">
        <f t="shared" si="203"/>
        <v>0</v>
      </c>
      <c r="BC133" s="1">
        <f>SUMIFS(
  '[1]Hoja 1'!$M:$M,
  '[1]Hoja 1'!$S:$S, $A133,
  '[1]Hoja 1'!$R:$R, "&gt;="&amp;INT($BE$1),
  '[1]Hoja 1'!$R:$R, "&lt;"&amp;INT($BF$1+1)
)</f>
        <v>0</v>
      </c>
      <c r="BD133" s="1">
        <f t="shared" si="204"/>
        <v>0</v>
      </c>
      <c r="BE133" s="9">
        <f t="shared" si="205"/>
        <v>0</v>
      </c>
      <c r="BF133" s="10">
        <f t="shared" si="206"/>
        <v>0</v>
      </c>
      <c r="BG133" s="1">
        <f>SUMIFS(
  '[1]Hoja 1'!$M:$M,
  '[1]Hoja 1'!$S:$S, $A133,
  '[1]Hoja 1'!$R:$R, "&gt;="&amp;INT($BI$1),
  '[1]Hoja 1'!$R:$R, "&lt;"&amp;INT($BJ$1+1)
)</f>
        <v>0</v>
      </c>
      <c r="BH133" s="1">
        <f t="shared" si="207"/>
        <v>0</v>
      </c>
      <c r="BI133" s="9">
        <f t="shared" si="208"/>
        <v>0</v>
      </c>
      <c r="BJ133" s="10">
        <f t="shared" si="209"/>
        <v>0</v>
      </c>
      <c r="BK133" s="1">
        <f>SUMIFS(
  '[1]Hoja 1'!$M:$M,
  '[1]Hoja 1'!$S:$S, $A133,
  '[1]Hoja 1'!$R:$R, "&gt;="&amp;INT($BM$1),
  '[1]Hoja 1'!$R:$R, "&lt;"&amp;INT($BN$1+1)
)</f>
        <v>0</v>
      </c>
      <c r="BL133" s="1">
        <f t="shared" si="210"/>
        <v>0</v>
      </c>
      <c r="BM133" s="9">
        <f t="shared" si="211"/>
        <v>0</v>
      </c>
      <c r="BN133" s="10">
        <f t="shared" si="212"/>
        <v>0</v>
      </c>
      <c r="BO133" s="1">
        <f>SUMIFS(
  '[1]Hoja 1'!$M:$M,
  '[1]Hoja 1'!$S:$S, $A133,
  '[1]Hoja 1'!$R:$R, "&gt;="&amp;INT($BQ$1),
  '[1]Hoja 1'!$R:$R, "&lt;"&amp;INT($BR$1+1)
)</f>
        <v>0</v>
      </c>
      <c r="BP133" s="1">
        <f t="shared" si="213"/>
        <v>0</v>
      </c>
      <c r="BQ133" s="9">
        <f t="shared" si="214"/>
        <v>0</v>
      </c>
      <c r="BR133" s="10">
        <f t="shared" si="215"/>
        <v>0</v>
      </c>
      <c r="BS133" s="1">
        <f>SUMIFS(
  '[1]Hoja 1'!$M:$M,
  '[1]Hoja 1'!$S:$S, $A133,
  '[1]Hoja 1'!$R:$R, "&gt;="&amp;INT($BU$1),
  '[1]Hoja 1'!$R:$R, "&lt;"&amp;INT($BV$1+1)
)</f>
        <v>0</v>
      </c>
      <c r="BT133" s="1">
        <f t="shared" si="216"/>
        <v>0</v>
      </c>
      <c r="BU133" s="9">
        <f t="shared" si="217"/>
        <v>0</v>
      </c>
      <c r="BV133" s="10">
        <f t="shared" si="218"/>
        <v>0</v>
      </c>
      <c r="BW133" s="1">
        <f>SUMIFS(
  '[1]Hoja 1'!$M:$M,
  '[1]Hoja 1'!$S:$S, $A133,
  '[1]Hoja 1'!$R:$R, "&gt;="&amp;INT($BY$1),
  '[1]Hoja 1'!$R:$R, "&lt;"&amp;INT($BZ$1+1)
)</f>
        <v>0</v>
      </c>
      <c r="BX133" s="1">
        <f t="shared" si="219"/>
        <v>0</v>
      </c>
      <c r="BY133" s="9">
        <f t="shared" si="220"/>
        <v>0</v>
      </c>
      <c r="BZ133" s="10">
        <f t="shared" si="221"/>
        <v>0</v>
      </c>
      <c r="CA133" s="1">
        <f>SUMIFS(
  '[1]Hoja 1'!$M:$M,
  '[1]Hoja 1'!$S:$S, $A133,
  '[1]Hoja 1'!$R:$R, "&gt;="&amp;INT($CC$1),
  '[1]Hoja 1'!$R:$R, "&lt;"&amp;INT($CD$1+1)
)</f>
        <v>0</v>
      </c>
      <c r="CB133" s="1">
        <f t="shared" si="222"/>
        <v>0</v>
      </c>
      <c r="CC133" s="9">
        <f t="shared" si="223"/>
        <v>0</v>
      </c>
      <c r="CD133" s="10">
        <f t="shared" si="224"/>
        <v>0</v>
      </c>
      <c r="CE133" s="1">
        <f>SUMIFS(
  '[1]Hoja 1'!$M:$M,
  '[1]Hoja 1'!$S:$S, $A133,
  '[1]Hoja 1'!$R:$R, "&gt;="&amp;INT($CG$1),
  '[1]Hoja 1'!$R:$R, "&lt;"&amp;INT($CH$1+1)
)</f>
        <v>0</v>
      </c>
      <c r="CF133" s="1">
        <f t="shared" si="225"/>
        <v>0</v>
      </c>
      <c r="CG133" s="9">
        <f t="shared" si="226"/>
        <v>0</v>
      </c>
      <c r="CH133" s="10">
        <f t="shared" si="227"/>
        <v>0</v>
      </c>
      <c r="CI133" s="1">
        <f>SUMIFS(
  '[1]Hoja 1'!$M:$M,
  '[1]Hoja 1'!$S:$S, $A133,
  '[1]Hoja 1'!$R:$R, "&gt;="&amp;INT($CK$1),
  '[1]Hoja 1'!$R:$R, "&lt;"&amp;INT($CL$1+1)
)</f>
        <v>0</v>
      </c>
      <c r="CJ133" s="1">
        <f t="shared" si="228"/>
        <v>0</v>
      </c>
      <c r="CK133" s="9">
        <f t="shared" si="229"/>
        <v>0</v>
      </c>
      <c r="CL133" s="10">
        <f t="shared" si="230"/>
        <v>0</v>
      </c>
      <c r="CM133" s="1">
        <f>SUMIFS(
  '[1]Hoja 1'!$M:$M,
  '[1]Hoja 1'!$S:$S, $A133,
  '[1]Hoja 1'!$R:$R, "&gt;="&amp;INT($CO$1),
  '[1]Hoja 1'!$R:$R, "&lt;"&amp;INT($CP$1+1)
)</f>
        <v>0</v>
      </c>
      <c r="CN133" s="1">
        <f t="shared" si="231"/>
        <v>0</v>
      </c>
      <c r="CO133" s="9">
        <f t="shared" si="232"/>
        <v>0</v>
      </c>
      <c r="CP133" s="10">
        <f t="shared" si="233"/>
        <v>0</v>
      </c>
      <c r="CQ133" s="1">
        <f>SUMIFS(
  '[1]Hoja 1'!$M:$M,
  '[1]Hoja 1'!$S:$S, $A133,
  '[1]Hoja 1'!$R:$R, "&gt;="&amp;INT($CS$1),
  '[1]Hoja 1'!$R:$R, "&lt;"&amp;INT($CT$1+1)
)</f>
        <v>0</v>
      </c>
      <c r="CR133" s="1">
        <f t="shared" si="234"/>
        <v>0</v>
      </c>
      <c r="CS133" s="9">
        <f t="shared" si="235"/>
        <v>0</v>
      </c>
      <c r="CT133" s="10">
        <f t="shared" si="236"/>
        <v>0</v>
      </c>
      <c r="CU133" s="1">
        <f>SUMIFS(
  '[1]Hoja 1'!$M:$M,
  '[1]Hoja 1'!$S:$S, $A133,
  '[1]Hoja 1'!$R:$R, "&gt;="&amp;INT($CW$1),
  '[1]Hoja 1'!$R:$R, "&lt;"&amp;INT($CX$1+1)
)</f>
        <v>0</v>
      </c>
      <c r="CV133" s="1">
        <f t="shared" si="237"/>
        <v>0</v>
      </c>
      <c r="CW133" s="9">
        <f t="shared" si="238"/>
        <v>0</v>
      </c>
      <c r="CX133" s="10">
        <f t="shared" si="239"/>
        <v>0</v>
      </c>
      <c r="CY133" s="1">
        <f>SUMIFS(
  '[1]Hoja 1'!$M:$M,
  '[1]Hoja 1'!$S:$S, $A133,
  '[1]Hoja 1'!$R:$R, "&gt;="&amp;INT($DA$1),
  '[1]Hoja 1'!$R:$R, "&lt;"&amp;INT($DB$1+1)
)</f>
        <v>0</v>
      </c>
      <c r="CZ133" s="1">
        <f t="shared" si="240"/>
        <v>0</v>
      </c>
      <c r="DA133" s="9">
        <f t="shared" si="241"/>
        <v>0</v>
      </c>
      <c r="DB133" s="10">
        <f t="shared" si="242"/>
        <v>0</v>
      </c>
      <c r="DC133" s="1">
        <f>SUMIFS(
  '[1]Hoja 1'!$M:$M,
  '[1]Hoja 1'!$S:$S, $A133,
  '[1]Hoja 1'!$R:$R, "&gt;="&amp;INT($DE$1),
  '[1]Hoja 1'!$R:$R, "&lt;"&amp;INT($DF$1+1)
)</f>
        <v>0</v>
      </c>
      <c r="DD133" s="1">
        <f t="shared" si="243"/>
        <v>0</v>
      </c>
      <c r="DE133" s="9">
        <f t="shared" si="244"/>
        <v>0</v>
      </c>
      <c r="DF133" s="10">
        <f t="shared" si="245"/>
        <v>0</v>
      </c>
      <c r="DG133" s="1">
        <f>SUMIFS(
  '[1]Hoja 1'!$M:$M,
  '[1]Hoja 1'!$S:$S, $A133,
  '[1]Hoja 1'!$R:$R, "&gt;="&amp;INT($DI$1),
  '[1]Hoja 1'!$R:$R, "&lt;"&amp;INT($DJ$1+1)
)</f>
        <v>0</v>
      </c>
      <c r="DH133" s="1">
        <f t="shared" si="246"/>
        <v>0</v>
      </c>
      <c r="DI133" s="9">
        <f t="shared" si="247"/>
        <v>0</v>
      </c>
      <c r="DJ133" s="10">
        <f t="shared" si="248"/>
        <v>0</v>
      </c>
      <c r="DK133" s="1">
        <f>SUMIFS(
  '[1]Hoja 1'!$M:$M,
  '[1]Hoja 1'!$S:$S, $A133,
  '[1]Hoja 1'!$R:$R, "&gt;="&amp;INT($DM$1),
  '[1]Hoja 1'!$R:$R, "&lt;"&amp;INT($DN$1+1)
)</f>
        <v>0</v>
      </c>
      <c r="DL133" s="1">
        <f t="shared" si="249"/>
        <v>0</v>
      </c>
      <c r="DM133" s="9">
        <f t="shared" si="250"/>
        <v>0</v>
      </c>
      <c r="DN133" s="10">
        <f t="shared" si="251"/>
        <v>0</v>
      </c>
      <c r="DO133" s="1">
        <f>SUMIFS(
  '[1]Hoja 1'!$M:$M,
  '[1]Hoja 1'!$S:$S, $A133,
  '[1]Hoja 1'!$R:$R, "&gt;="&amp;INT($DQ$1),
  '[1]Hoja 1'!$R:$R, "&lt;"&amp;INT($DR$1+1)
)</f>
        <v>0</v>
      </c>
      <c r="DP133" s="1">
        <f t="shared" si="252"/>
        <v>0</v>
      </c>
      <c r="DQ133" s="9">
        <f t="shared" si="253"/>
        <v>0</v>
      </c>
      <c r="DR133" s="10">
        <f t="shared" si="254"/>
        <v>0</v>
      </c>
    </row>
    <row r="134" spans="1:122" x14ac:dyDescent="0.25">
      <c r="A134" s="5">
        <v>223003</v>
      </c>
      <c r="B134" s="6" t="s">
        <v>132</v>
      </c>
      <c r="C134" s="1">
        <f>SUMIFS(
  '[1]Hoja 1'!$M:$M,
  '[1]Hoja 1'!$S:$S, $A134,
  '[1]Hoja 1'!$R:$R, "&gt;="&amp;INT($E$1),
  '[1]Hoja 1'!$R:$R, "&lt;"&amp;INT($F$1+1)
)</f>
        <v>6</v>
      </c>
      <c r="D134" s="1" t="str">
        <f>""</f>
        <v/>
      </c>
      <c r="F134" s="2"/>
      <c r="G134" s="1">
        <f>SUMIFS(
  '[1]Hoja 1'!$M:$M,
  '[1]Hoja 1'!$S:$S, $A134,
  '[1]Hoja 1'!$R:$R, "&gt;="&amp;INT($I$1),
  '[1]Hoja 1'!$R:$R, "&lt;"&amp;INT($J$1+1)
)</f>
        <v>14</v>
      </c>
      <c r="H134" s="1">
        <f t="shared" si="170"/>
        <v>10</v>
      </c>
      <c r="I134" s="1"/>
      <c r="J134" s="2"/>
      <c r="K134" s="1">
        <f>SUMIFS(
  '[1]Hoja 1'!$M:$M,
  '[1]Hoja 1'!$S:$S, $A134,
  '[1]Hoja 1'!$R:$R, "&gt;="&amp;INT($M$1),
  '[1]Hoja 1'!$R:$R, "&lt;"&amp;INT($N$1+1)
)</f>
        <v>0</v>
      </c>
      <c r="L134" s="1">
        <f t="shared" si="171"/>
        <v>7</v>
      </c>
      <c r="M134" s="9">
        <f t="shared" si="172"/>
        <v>-8.2452222023819637</v>
      </c>
      <c r="N134" s="10">
        <f t="shared" si="173"/>
        <v>22.245222202381964</v>
      </c>
      <c r="O134" s="1">
        <f>SUMIFS(
  '[1]Hoja 1'!$M:$M,
  '[1]Hoja 1'!$S:$S, $A134,
  '[1]Hoja 1'!$R:$R, "&gt;="&amp;INT($Q$1),
  '[1]Hoja 1'!$R:$R, "&lt;"&amp;INT($R$1+1)
)</f>
        <v>16</v>
      </c>
      <c r="P134" s="1">
        <f t="shared" si="174"/>
        <v>8</v>
      </c>
      <c r="Q134" s="9">
        <f t="shared" si="175"/>
        <v>-8.224208791701896</v>
      </c>
      <c r="R134" s="10">
        <f t="shared" si="176"/>
        <v>22.224208791701898</v>
      </c>
      <c r="S134" s="1">
        <f>SUMIFS(
  '[1]Hoja 1'!$M:$M,
  '[1]Hoja 1'!$S:$S, $A134,
  '[1]Hoja 1'!$R:$R, "&gt;="&amp;INT($U$1),
  '[1]Hoja 1'!$R:$R, "&lt;"&amp;INT($V$1+1)
)</f>
        <v>18</v>
      </c>
      <c r="T134" s="1">
        <f t="shared" si="177"/>
        <v>17</v>
      </c>
      <c r="U134" s="9">
        <f t="shared" si="178"/>
        <v>4.5523281962716684</v>
      </c>
      <c r="V134" s="10">
        <f t="shared" si="179"/>
        <v>29.447671803728333</v>
      </c>
      <c r="W134" s="1">
        <f>SUMIFS(
  '[1]Hoja 1'!$M:$M,
  '[1]Hoja 1'!$S:$S, $A134,
  '[1]Hoja 1'!$R:$R, "&gt;="&amp;INT($Y$1),
  '[1]Hoja 1'!$R:$R, "&lt;"&amp;INT($Z$1+1)
)</f>
        <v>2</v>
      </c>
      <c r="X134" s="1">
        <f t="shared" si="180"/>
        <v>10</v>
      </c>
      <c r="Y134" s="9">
        <f t="shared" si="181"/>
        <v>-4.7108848589516636</v>
      </c>
      <c r="Z134" s="10">
        <f t="shared" si="182"/>
        <v>24.710884858951665</v>
      </c>
      <c r="AA134" s="1">
        <f>SUMIFS(
  '[1]Hoja 1'!$M:$M,
  '[1]Hoja 1'!$S:$S, $A134,
  '[1]Hoja 1'!$R:$R, "&gt;="&amp;INT($AC$1),
  '[1]Hoja 1'!$R:$R, "&lt;"&amp;INT($AD$1+1)
)</f>
        <v>19</v>
      </c>
      <c r="AB134" s="1">
        <f t="shared" si="183"/>
        <v>11</v>
      </c>
      <c r="AC134" s="9">
        <f t="shared" si="184"/>
        <v>-2.264436663499886</v>
      </c>
      <c r="AD134" s="10">
        <f t="shared" si="185"/>
        <v>26.126642059624466</v>
      </c>
      <c r="AE134" s="1">
        <f>SUMIFS(
  '[1]Hoja 1'!$M:$M,
  '[1]Hoja 1'!$S:$S, $A134,
  '[1]Hoja 1'!$R:$R, "&gt;="&amp;INT($AG$1),
  '[1]Hoja 1'!$R:$R, "&lt;"&amp;INT($AH$1+1)
)</f>
        <v>0</v>
      </c>
      <c r="AF134" s="1">
        <f t="shared" si="186"/>
        <v>10</v>
      </c>
      <c r="AG134" s="9">
        <f t="shared" si="187"/>
        <v>-4.3595919162070889</v>
      </c>
      <c r="AH134" s="10">
        <f t="shared" si="188"/>
        <v>26.456998511271731</v>
      </c>
      <c r="AI134" s="1">
        <f>SUMIFS(
  '[1]Hoja 1'!$M:$M,
  '[1]Hoja 1'!$S:$S, $A134,
  '[1]Hoja 1'!$R:$R, "&gt;="&amp;INT($AK$1),
  '[1]Hoja 1'!$R:$R, "&lt;"&amp;INT($AL$1+1)
)</f>
        <v>0</v>
      </c>
      <c r="AJ134" s="1">
        <f t="shared" si="189"/>
        <v>0</v>
      </c>
      <c r="AK134" s="9">
        <f t="shared" si="190"/>
        <v>-14.211689554729233</v>
      </c>
      <c r="AL134" s="10">
        <f t="shared" si="191"/>
        <v>16.251461472741461</v>
      </c>
      <c r="AM134" s="1">
        <f>SUMIFS(
  '[1]Hoja 1'!$M:$M,
  '[1]Hoja 1'!$S:$S, $A134,
  '[1]Hoja 1'!$R:$R, "&gt;="&amp;INT($AO$1),
  '[1]Hoja 1'!$R:$R, "&lt;"&amp;INT($AP$1+1)
)</f>
        <v>0</v>
      </c>
      <c r="AN134" s="1">
        <f t="shared" si="192"/>
        <v>0</v>
      </c>
      <c r="AO134" s="9">
        <f t="shared" si="193"/>
        <v>-12.48490768888581</v>
      </c>
      <c r="AP134" s="10">
        <f t="shared" si="194"/>
        <v>14.414108828968002</v>
      </c>
      <c r="AQ134" s="1">
        <f>SUMIFS(
  '[1]Hoja 1'!$M:$M,
  '[1]Hoja 1'!$S:$S, $A134,
  '[1]Hoja 1'!$R:$R, "&gt;="&amp;INT($AS$1),
  '[1]Hoja 1'!$R:$R, "&lt;"&amp;INT($AT$1+1)
)</f>
        <v>0</v>
      </c>
      <c r="AR134" s="1">
        <f t="shared" si="195"/>
        <v>0</v>
      </c>
      <c r="AS134" s="9">
        <f t="shared" si="196"/>
        <v>-8.3271171482092168</v>
      </c>
      <c r="AT134" s="10">
        <f t="shared" si="197"/>
        <v>9.31</v>
      </c>
      <c r="AU134" s="1">
        <f>SUMIFS(
  '[1]Hoja 1'!$M:$M,
  '[1]Hoja 1'!$S:$S, $A134,
  '[1]Hoja 1'!$R:$R, "&gt;="&amp;INT($AW$1),
  '[1]Hoja 1'!$R:$R, "&lt;"&amp;INT($AX$1+1)
)</f>
        <v>0</v>
      </c>
      <c r="AV134" s="1">
        <f t="shared" si="198"/>
        <v>0</v>
      </c>
      <c r="AW134" s="9">
        <f t="shared" si="199"/>
        <v>0</v>
      </c>
      <c r="AX134" s="10">
        <f t="shared" si="200"/>
        <v>0</v>
      </c>
      <c r="AY134" s="1">
        <f>SUMIFS(
  '[1]Hoja 1'!$M:$M,
  '[1]Hoja 1'!$S:$S, $A134,
  '[1]Hoja 1'!$R:$R, "&gt;="&amp;INT($BA$1),
  '[1]Hoja 1'!$R:$R, "&lt;"&amp;INT($BB$1+1)
)</f>
        <v>0</v>
      </c>
      <c r="AZ134" s="1">
        <f t="shared" si="201"/>
        <v>0</v>
      </c>
      <c r="BA134" s="9">
        <f t="shared" si="202"/>
        <v>0</v>
      </c>
      <c r="BB134" s="10">
        <f t="shared" si="203"/>
        <v>0</v>
      </c>
      <c r="BC134" s="1">
        <f>SUMIFS(
  '[1]Hoja 1'!$M:$M,
  '[1]Hoja 1'!$S:$S, $A134,
  '[1]Hoja 1'!$R:$R, "&gt;="&amp;INT($BE$1),
  '[1]Hoja 1'!$R:$R, "&lt;"&amp;INT($BF$1+1)
)</f>
        <v>0</v>
      </c>
      <c r="BD134" s="1">
        <f t="shared" si="204"/>
        <v>0</v>
      </c>
      <c r="BE134" s="9">
        <f t="shared" si="205"/>
        <v>0</v>
      </c>
      <c r="BF134" s="10">
        <f t="shared" si="206"/>
        <v>0</v>
      </c>
      <c r="BG134" s="1">
        <f>SUMIFS(
  '[1]Hoja 1'!$M:$M,
  '[1]Hoja 1'!$S:$S, $A134,
  '[1]Hoja 1'!$R:$R, "&gt;="&amp;INT($BI$1),
  '[1]Hoja 1'!$R:$R, "&lt;"&amp;INT($BJ$1+1)
)</f>
        <v>0</v>
      </c>
      <c r="BH134" s="1">
        <f t="shared" si="207"/>
        <v>0</v>
      </c>
      <c r="BI134" s="9">
        <f t="shared" si="208"/>
        <v>0</v>
      </c>
      <c r="BJ134" s="10">
        <f t="shared" si="209"/>
        <v>0</v>
      </c>
      <c r="BK134" s="1">
        <f>SUMIFS(
  '[1]Hoja 1'!$M:$M,
  '[1]Hoja 1'!$S:$S, $A134,
  '[1]Hoja 1'!$R:$R, "&gt;="&amp;INT($BM$1),
  '[1]Hoja 1'!$R:$R, "&lt;"&amp;INT($BN$1+1)
)</f>
        <v>0</v>
      </c>
      <c r="BL134" s="1">
        <f t="shared" si="210"/>
        <v>0</v>
      </c>
      <c r="BM134" s="9">
        <f t="shared" si="211"/>
        <v>0</v>
      </c>
      <c r="BN134" s="10">
        <f t="shared" si="212"/>
        <v>0</v>
      </c>
      <c r="BO134" s="1">
        <f>SUMIFS(
  '[1]Hoja 1'!$M:$M,
  '[1]Hoja 1'!$S:$S, $A134,
  '[1]Hoja 1'!$R:$R, "&gt;="&amp;INT($BQ$1),
  '[1]Hoja 1'!$R:$R, "&lt;"&amp;INT($BR$1+1)
)</f>
        <v>0</v>
      </c>
      <c r="BP134" s="1">
        <f t="shared" si="213"/>
        <v>0</v>
      </c>
      <c r="BQ134" s="9">
        <f t="shared" si="214"/>
        <v>0</v>
      </c>
      <c r="BR134" s="10">
        <f t="shared" si="215"/>
        <v>0</v>
      </c>
      <c r="BS134" s="1">
        <f>SUMIFS(
  '[1]Hoja 1'!$M:$M,
  '[1]Hoja 1'!$S:$S, $A134,
  '[1]Hoja 1'!$R:$R, "&gt;="&amp;INT($BU$1),
  '[1]Hoja 1'!$R:$R, "&lt;"&amp;INT($BV$1+1)
)</f>
        <v>0</v>
      </c>
      <c r="BT134" s="1">
        <f t="shared" si="216"/>
        <v>0</v>
      </c>
      <c r="BU134" s="9">
        <f t="shared" si="217"/>
        <v>0</v>
      </c>
      <c r="BV134" s="10">
        <f t="shared" si="218"/>
        <v>0</v>
      </c>
      <c r="BW134" s="1">
        <f>SUMIFS(
  '[1]Hoja 1'!$M:$M,
  '[1]Hoja 1'!$S:$S, $A134,
  '[1]Hoja 1'!$R:$R, "&gt;="&amp;INT($BY$1),
  '[1]Hoja 1'!$R:$R, "&lt;"&amp;INT($BZ$1+1)
)</f>
        <v>0</v>
      </c>
      <c r="BX134" s="1">
        <f t="shared" si="219"/>
        <v>0</v>
      </c>
      <c r="BY134" s="9">
        <f t="shared" si="220"/>
        <v>0</v>
      </c>
      <c r="BZ134" s="10">
        <f t="shared" si="221"/>
        <v>0</v>
      </c>
      <c r="CA134" s="1">
        <f>SUMIFS(
  '[1]Hoja 1'!$M:$M,
  '[1]Hoja 1'!$S:$S, $A134,
  '[1]Hoja 1'!$R:$R, "&gt;="&amp;INT($CC$1),
  '[1]Hoja 1'!$R:$R, "&lt;"&amp;INT($CD$1+1)
)</f>
        <v>0</v>
      </c>
      <c r="CB134" s="1">
        <f t="shared" si="222"/>
        <v>0</v>
      </c>
      <c r="CC134" s="9">
        <f t="shared" si="223"/>
        <v>0</v>
      </c>
      <c r="CD134" s="10">
        <f t="shared" si="224"/>
        <v>0</v>
      </c>
      <c r="CE134" s="1">
        <f>SUMIFS(
  '[1]Hoja 1'!$M:$M,
  '[1]Hoja 1'!$S:$S, $A134,
  '[1]Hoja 1'!$R:$R, "&gt;="&amp;INT($CG$1),
  '[1]Hoja 1'!$R:$R, "&lt;"&amp;INT($CH$1+1)
)</f>
        <v>0</v>
      </c>
      <c r="CF134" s="1">
        <f t="shared" si="225"/>
        <v>0</v>
      </c>
      <c r="CG134" s="9">
        <f t="shared" si="226"/>
        <v>0</v>
      </c>
      <c r="CH134" s="10">
        <f t="shared" si="227"/>
        <v>0</v>
      </c>
      <c r="CI134" s="1">
        <f>SUMIFS(
  '[1]Hoja 1'!$M:$M,
  '[1]Hoja 1'!$S:$S, $A134,
  '[1]Hoja 1'!$R:$R, "&gt;="&amp;INT($CK$1),
  '[1]Hoja 1'!$R:$R, "&lt;"&amp;INT($CL$1+1)
)</f>
        <v>0</v>
      </c>
      <c r="CJ134" s="1">
        <f t="shared" si="228"/>
        <v>0</v>
      </c>
      <c r="CK134" s="9">
        <f t="shared" si="229"/>
        <v>0</v>
      </c>
      <c r="CL134" s="10">
        <f t="shared" si="230"/>
        <v>0</v>
      </c>
      <c r="CM134" s="1">
        <f>SUMIFS(
  '[1]Hoja 1'!$M:$M,
  '[1]Hoja 1'!$S:$S, $A134,
  '[1]Hoja 1'!$R:$R, "&gt;="&amp;INT($CO$1),
  '[1]Hoja 1'!$R:$R, "&lt;"&amp;INT($CP$1+1)
)</f>
        <v>0</v>
      </c>
      <c r="CN134" s="1">
        <f t="shared" si="231"/>
        <v>0</v>
      </c>
      <c r="CO134" s="9">
        <f t="shared" si="232"/>
        <v>0</v>
      </c>
      <c r="CP134" s="10">
        <f t="shared" si="233"/>
        <v>0</v>
      </c>
      <c r="CQ134" s="1">
        <f>SUMIFS(
  '[1]Hoja 1'!$M:$M,
  '[1]Hoja 1'!$S:$S, $A134,
  '[1]Hoja 1'!$R:$R, "&gt;="&amp;INT($CS$1),
  '[1]Hoja 1'!$R:$R, "&lt;"&amp;INT($CT$1+1)
)</f>
        <v>0</v>
      </c>
      <c r="CR134" s="1">
        <f t="shared" si="234"/>
        <v>0</v>
      </c>
      <c r="CS134" s="9">
        <f t="shared" si="235"/>
        <v>0</v>
      </c>
      <c r="CT134" s="10">
        <f t="shared" si="236"/>
        <v>0</v>
      </c>
      <c r="CU134" s="1">
        <f>SUMIFS(
  '[1]Hoja 1'!$M:$M,
  '[1]Hoja 1'!$S:$S, $A134,
  '[1]Hoja 1'!$R:$R, "&gt;="&amp;INT($CW$1),
  '[1]Hoja 1'!$R:$R, "&lt;"&amp;INT($CX$1+1)
)</f>
        <v>0</v>
      </c>
      <c r="CV134" s="1">
        <f t="shared" si="237"/>
        <v>0</v>
      </c>
      <c r="CW134" s="9">
        <f t="shared" si="238"/>
        <v>0</v>
      </c>
      <c r="CX134" s="10">
        <f t="shared" si="239"/>
        <v>0</v>
      </c>
      <c r="CY134" s="1">
        <f>SUMIFS(
  '[1]Hoja 1'!$M:$M,
  '[1]Hoja 1'!$S:$S, $A134,
  '[1]Hoja 1'!$R:$R, "&gt;="&amp;INT($DA$1),
  '[1]Hoja 1'!$R:$R, "&lt;"&amp;INT($DB$1+1)
)</f>
        <v>0</v>
      </c>
      <c r="CZ134" s="1">
        <f t="shared" si="240"/>
        <v>0</v>
      </c>
      <c r="DA134" s="9">
        <f t="shared" si="241"/>
        <v>0</v>
      </c>
      <c r="DB134" s="10">
        <f t="shared" si="242"/>
        <v>0</v>
      </c>
      <c r="DC134" s="1">
        <f>SUMIFS(
  '[1]Hoja 1'!$M:$M,
  '[1]Hoja 1'!$S:$S, $A134,
  '[1]Hoja 1'!$R:$R, "&gt;="&amp;INT($DE$1),
  '[1]Hoja 1'!$R:$R, "&lt;"&amp;INT($DF$1+1)
)</f>
        <v>0</v>
      </c>
      <c r="DD134" s="1">
        <f t="shared" si="243"/>
        <v>0</v>
      </c>
      <c r="DE134" s="9">
        <f t="shared" si="244"/>
        <v>0</v>
      </c>
      <c r="DF134" s="10">
        <f t="shared" si="245"/>
        <v>0</v>
      </c>
      <c r="DG134" s="1">
        <f>SUMIFS(
  '[1]Hoja 1'!$M:$M,
  '[1]Hoja 1'!$S:$S, $A134,
  '[1]Hoja 1'!$R:$R, "&gt;="&amp;INT($DI$1),
  '[1]Hoja 1'!$R:$R, "&lt;"&amp;INT($DJ$1+1)
)</f>
        <v>0</v>
      </c>
      <c r="DH134" s="1">
        <f t="shared" si="246"/>
        <v>0</v>
      </c>
      <c r="DI134" s="9">
        <f t="shared" si="247"/>
        <v>0</v>
      </c>
      <c r="DJ134" s="10">
        <f t="shared" si="248"/>
        <v>0</v>
      </c>
      <c r="DK134" s="1">
        <f>SUMIFS(
  '[1]Hoja 1'!$M:$M,
  '[1]Hoja 1'!$S:$S, $A134,
  '[1]Hoja 1'!$R:$R, "&gt;="&amp;INT($DM$1),
  '[1]Hoja 1'!$R:$R, "&lt;"&amp;INT($DN$1+1)
)</f>
        <v>0</v>
      </c>
      <c r="DL134" s="1">
        <f t="shared" si="249"/>
        <v>0</v>
      </c>
      <c r="DM134" s="9">
        <f t="shared" si="250"/>
        <v>0</v>
      </c>
      <c r="DN134" s="10">
        <f t="shared" si="251"/>
        <v>0</v>
      </c>
      <c r="DO134" s="1">
        <f>SUMIFS(
  '[1]Hoja 1'!$M:$M,
  '[1]Hoja 1'!$S:$S, $A134,
  '[1]Hoja 1'!$R:$R, "&gt;="&amp;INT($DQ$1),
  '[1]Hoja 1'!$R:$R, "&lt;"&amp;INT($DR$1+1)
)</f>
        <v>0</v>
      </c>
      <c r="DP134" s="1">
        <f t="shared" si="252"/>
        <v>0</v>
      </c>
      <c r="DQ134" s="9">
        <f t="shared" si="253"/>
        <v>0</v>
      </c>
      <c r="DR134" s="10">
        <f t="shared" si="254"/>
        <v>0</v>
      </c>
    </row>
    <row r="135" spans="1:122" x14ac:dyDescent="0.25">
      <c r="A135" s="5">
        <v>223004</v>
      </c>
      <c r="B135" s="6" t="s">
        <v>133</v>
      </c>
      <c r="C135" s="1">
        <f>SUMIFS(
  '[1]Hoja 1'!$M:$M,
  '[1]Hoja 1'!$S:$S, $A135,
  '[1]Hoja 1'!$R:$R, "&gt;="&amp;INT($E$1),
  '[1]Hoja 1'!$R:$R, "&lt;"&amp;INT($F$1+1)
)</f>
        <v>3</v>
      </c>
      <c r="D135" s="1" t="str">
        <f>""</f>
        <v/>
      </c>
      <c r="F135" s="2"/>
      <c r="G135" s="1">
        <f>SUMIFS(
  '[1]Hoja 1'!$M:$M,
  '[1]Hoja 1'!$S:$S, $A135,
  '[1]Hoja 1'!$R:$R, "&gt;="&amp;INT($I$1),
  '[1]Hoja 1'!$R:$R, "&lt;"&amp;INT($J$1+1)
)</f>
        <v>8</v>
      </c>
      <c r="H135" s="1">
        <f t="shared" si="170"/>
        <v>5.5</v>
      </c>
      <c r="I135" s="1"/>
      <c r="J135" s="2"/>
      <c r="K135" s="1">
        <f>SUMIFS(
  '[1]Hoja 1'!$M:$M,
  '[1]Hoja 1'!$S:$S, $A135,
  '[1]Hoja 1'!$R:$R, "&gt;="&amp;INT($M$1),
  '[1]Hoja 1'!$R:$R, "&lt;"&amp;INT($N$1+1)
)</f>
        <v>2</v>
      </c>
      <c r="L135" s="1">
        <f t="shared" si="171"/>
        <v>5</v>
      </c>
      <c r="M135" s="9">
        <f t="shared" si="172"/>
        <v>-2.6226111011909818</v>
      </c>
      <c r="N135" s="10">
        <f t="shared" si="173"/>
        <v>12.622611101190982</v>
      </c>
      <c r="O135" s="1">
        <f>SUMIFS(
  '[1]Hoja 1'!$M:$M,
  '[1]Hoja 1'!$S:$S, $A135,
  '[1]Hoja 1'!$R:$R, "&gt;="&amp;INT($Q$1),
  '[1]Hoja 1'!$R:$R, "&lt;"&amp;INT($R$1+1)
)</f>
        <v>20</v>
      </c>
      <c r="P135" s="1">
        <f t="shared" si="174"/>
        <v>11</v>
      </c>
      <c r="Q135" s="9">
        <f t="shared" si="175"/>
        <v>-6.7736032434141986</v>
      </c>
      <c r="R135" s="10">
        <f t="shared" si="176"/>
        <v>16.7736032434142</v>
      </c>
      <c r="S135" s="1">
        <f>SUMIFS(
  '[1]Hoja 1'!$M:$M,
  '[1]Hoja 1'!$S:$S, $A135,
  '[1]Hoja 1'!$R:$R, "&gt;="&amp;INT($U$1),
  '[1]Hoja 1'!$R:$R, "&lt;"&amp;INT($V$1+1)
)</f>
        <v>3</v>
      </c>
      <c r="T135" s="1">
        <f t="shared" si="177"/>
        <v>12</v>
      </c>
      <c r="U135" s="9">
        <f t="shared" si="178"/>
        <v>-2.6891070751991819</v>
      </c>
      <c r="V135" s="10">
        <f t="shared" si="179"/>
        <v>26.689107075199182</v>
      </c>
      <c r="W135" s="1">
        <f>SUMIFS(
  '[1]Hoja 1'!$M:$M,
  '[1]Hoja 1'!$S:$S, $A135,
  '[1]Hoja 1'!$R:$R, "&gt;="&amp;INT($Y$1),
  '[1]Hoja 1'!$R:$R, "&lt;"&amp;INT($Z$1+1)
)</f>
        <v>8</v>
      </c>
      <c r="X135" s="1">
        <f t="shared" si="180"/>
        <v>6</v>
      </c>
      <c r="Y135" s="9">
        <f t="shared" si="181"/>
        <v>-8.6891070751991819</v>
      </c>
      <c r="Z135" s="10">
        <f t="shared" si="182"/>
        <v>20.689107075199182</v>
      </c>
      <c r="AA135" s="1">
        <f>SUMIFS(
  '[1]Hoja 1'!$M:$M,
  '[1]Hoja 1'!$S:$S, $A135,
  '[1]Hoja 1'!$R:$R, "&gt;="&amp;INT($AC$1),
  '[1]Hoja 1'!$R:$R, "&lt;"&amp;INT($AD$1+1)
)</f>
        <v>10</v>
      </c>
      <c r="AB135" s="1">
        <f t="shared" si="183"/>
        <v>9</v>
      </c>
      <c r="AC135" s="9">
        <f t="shared" si="184"/>
        <v>-3.2910910825687072</v>
      </c>
      <c r="AD135" s="10">
        <f t="shared" si="185"/>
        <v>23.15639313761336</v>
      </c>
      <c r="AE135" s="1">
        <f>SUMIFS(
  '[1]Hoja 1'!$M:$M,
  '[1]Hoja 1'!$S:$S, $A135,
  '[1]Hoja 1'!$R:$R, "&gt;="&amp;INT($AG$1),
  '[1]Hoja 1'!$R:$R, "&lt;"&amp;INT($AH$1+1)
)</f>
        <v>0</v>
      </c>
      <c r="AF135" s="1">
        <f t="shared" si="186"/>
        <v>5</v>
      </c>
      <c r="AG135" s="9">
        <f t="shared" si="187"/>
        <v>-4.0085403923166147</v>
      </c>
      <c r="AH135" s="10">
        <f t="shared" si="188"/>
        <v>15.08971753816726</v>
      </c>
      <c r="AI135" s="1">
        <f>SUMIFS(
  '[1]Hoja 1'!$M:$M,
  '[1]Hoja 1'!$S:$S, $A135,
  '[1]Hoja 1'!$R:$R, "&gt;="&amp;INT($AK$1),
  '[1]Hoja 1'!$R:$R, "&lt;"&amp;INT($AL$1+1)
)</f>
        <v>0</v>
      </c>
      <c r="AJ135" s="1">
        <f t="shared" si="189"/>
        <v>0</v>
      </c>
      <c r="AK135" s="9">
        <f t="shared" si="190"/>
        <v>-5.5263658945097003</v>
      </c>
      <c r="AL135" s="10">
        <f t="shared" si="191"/>
        <v>6.37</v>
      </c>
      <c r="AM135" s="1">
        <f>SUMIFS(
  '[1]Hoja 1'!$M:$M,
  '[1]Hoja 1'!$S:$S, $A135,
  '[1]Hoja 1'!$R:$R, "&gt;="&amp;INT($AO$1),
  '[1]Hoja 1'!$R:$R, "&lt;"&amp;INT($AP$1+1)
)</f>
        <v>0</v>
      </c>
      <c r="AN135" s="1">
        <f t="shared" si="192"/>
        <v>0</v>
      </c>
      <c r="AO135" s="9">
        <f t="shared" si="193"/>
        <v>-4.6794358634348221</v>
      </c>
      <c r="AP135" s="10">
        <f t="shared" si="194"/>
        <v>5.3077050910288275</v>
      </c>
      <c r="AQ135" s="1">
        <f>SUMIFS(
  '[1]Hoja 1'!$M:$M,
  '[1]Hoja 1'!$S:$S, $A135,
  '[1]Hoja 1'!$R:$R, "&gt;="&amp;INT($AS$1),
  '[1]Hoja 1'!$R:$R, "&lt;"&amp;INT($AT$1+1)
)</f>
        <v>0</v>
      </c>
      <c r="AR135" s="1">
        <f t="shared" si="195"/>
        <v>0</v>
      </c>
      <c r="AS135" s="9">
        <f t="shared" si="196"/>
        <v>-4.3826932358995876</v>
      </c>
      <c r="AT135" s="10">
        <f t="shared" si="197"/>
        <v>4.9000000000000004</v>
      </c>
      <c r="AU135" s="1">
        <f>SUMIFS(
  '[1]Hoja 1'!$M:$M,
  '[1]Hoja 1'!$S:$S, $A135,
  '[1]Hoja 1'!$R:$R, "&gt;="&amp;INT($AW$1),
  '[1]Hoja 1'!$R:$R, "&lt;"&amp;INT($AX$1+1)
)</f>
        <v>0</v>
      </c>
      <c r="AV135" s="1">
        <f t="shared" si="198"/>
        <v>0</v>
      </c>
      <c r="AW135" s="9">
        <f t="shared" si="199"/>
        <v>0</v>
      </c>
      <c r="AX135" s="10">
        <f t="shared" si="200"/>
        <v>0</v>
      </c>
      <c r="AY135" s="1">
        <f>SUMIFS(
  '[1]Hoja 1'!$M:$M,
  '[1]Hoja 1'!$S:$S, $A135,
  '[1]Hoja 1'!$R:$R, "&gt;="&amp;INT($BA$1),
  '[1]Hoja 1'!$R:$R, "&lt;"&amp;INT($BB$1+1)
)</f>
        <v>0</v>
      </c>
      <c r="AZ135" s="1">
        <f t="shared" si="201"/>
        <v>0</v>
      </c>
      <c r="BA135" s="9">
        <f t="shared" si="202"/>
        <v>0</v>
      </c>
      <c r="BB135" s="10">
        <f t="shared" si="203"/>
        <v>0</v>
      </c>
      <c r="BC135" s="1">
        <f>SUMIFS(
  '[1]Hoja 1'!$M:$M,
  '[1]Hoja 1'!$S:$S, $A135,
  '[1]Hoja 1'!$R:$R, "&gt;="&amp;INT($BE$1),
  '[1]Hoja 1'!$R:$R, "&lt;"&amp;INT($BF$1+1)
)</f>
        <v>0</v>
      </c>
      <c r="BD135" s="1">
        <f t="shared" si="204"/>
        <v>0</v>
      </c>
      <c r="BE135" s="9">
        <f t="shared" si="205"/>
        <v>0</v>
      </c>
      <c r="BF135" s="10">
        <f t="shared" si="206"/>
        <v>0</v>
      </c>
      <c r="BG135" s="1">
        <f>SUMIFS(
  '[1]Hoja 1'!$M:$M,
  '[1]Hoja 1'!$S:$S, $A135,
  '[1]Hoja 1'!$R:$R, "&gt;="&amp;INT($BI$1),
  '[1]Hoja 1'!$R:$R, "&lt;"&amp;INT($BJ$1+1)
)</f>
        <v>0</v>
      </c>
      <c r="BH135" s="1">
        <f t="shared" si="207"/>
        <v>0</v>
      </c>
      <c r="BI135" s="9">
        <f t="shared" si="208"/>
        <v>0</v>
      </c>
      <c r="BJ135" s="10">
        <f t="shared" si="209"/>
        <v>0</v>
      </c>
      <c r="BK135" s="1">
        <f>SUMIFS(
  '[1]Hoja 1'!$M:$M,
  '[1]Hoja 1'!$S:$S, $A135,
  '[1]Hoja 1'!$R:$R, "&gt;="&amp;INT($BM$1),
  '[1]Hoja 1'!$R:$R, "&lt;"&amp;INT($BN$1+1)
)</f>
        <v>0</v>
      </c>
      <c r="BL135" s="1">
        <f t="shared" si="210"/>
        <v>0</v>
      </c>
      <c r="BM135" s="9">
        <f t="shared" si="211"/>
        <v>0</v>
      </c>
      <c r="BN135" s="10">
        <f t="shared" si="212"/>
        <v>0</v>
      </c>
      <c r="BO135" s="1">
        <f>SUMIFS(
  '[1]Hoja 1'!$M:$M,
  '[1]Hoja 1'!$S:$S, $A135,
  '[1]Hoja 1'!$R:$R, "&gt;="&amp;INT($BQ$1),
  '[1]Hoja 1'!$R:$R, "&lt;"&amp;INT($BR$1+1)
)</f>
        <v>0</v>
      </c>
      <c r="BP135" s="1">
        <f t="shared" si="213"/>
        <v>0</v>
      </c>
      <c r="BQ135" s="9">
        <f t="shared" si="214"/>
        <v>0</v>
      </c>
      <c r="BR135" s="10">
        <f t="shared" si="215"/>
        <v>0</v>
      </c>
      <c r="BS135" s="1">
        <f>SUMIFS(
  '[1]Hoja 1'!$M:$M,
  '[1]Hoja 1'!$S:$S, $A135,
  '[1]Hoja 1'!$R:$R, "&gt;="&amp;INT($BU$1),
  '[1]Hoja 1'!$R:$R, "&lt;"&amp;INT($BV$1+1)
)</f>
        <v>0</v>
      </c>
      <c r="BT135" s="1">
        <f t="shared" si="216"/>
        <v>0</v>
      </c>
      <c r="BU135" s="9">
        <f t="shared" si="217"/>
        <v>0</v>
      </c>
      <c r="BV135" s="10">
        <f t="shared" si="218"/>
        <v>0</v>
      </c>
      <c r="BW135" s="1">
        <f>SUMIFS(
  '[1]Hoja 1'!$M:$M,
  '[1]Hoja 1'!$S:$S, $A135,
  '[1]Hoja 1'!$R:$R, "&gt;="&amp;INT($BY$1),
  '[1]Hoja 1'!$R:$R, "&lt;"&amp;INT($BZ$1+1)
)</f>
        <v>0</v>
      </c>
      <c r="BX135" s="1">
        <f t="shared" si="219"/>
        <v>0</v>
      </c>
      <c r="BY135" s="9">
        <f t="shared" si="220"/>
        <v>0</v>
      </c>
      <c r="BZ135" s="10">
        <f t="shared" si="221"/>
        <v>0</v>
      </c>
      <c r="CA135" s="1">
        <f>SUMIFS(
  '[1]Hoja 1'!$M:$M,
  '[1]Hoja 1'!$S:$S, $A135,
  '[1]Hoja 1'!$R:$R, "&gt;="&amp;INT($CC$1),
  '[1]Hoja 1'!$R:$R, "&lt;"&amp;INT($CD$1+1)
)</f>
        <v>0</v>
      </c>
      <c r="CB135" s="1">
        <f t="shared" si="222"/>
        <v>0</v>
      </c>
      <c r="CC135" s="9">
        <f t="shared" si="223"/>
        <v>0</v>
      </c>
      <c r="CD135" s="10">
        <f t="shared" si="224"/>
        <v>0</v>
      </c>
      <c r="CE135" s="1">
        <f>SUMIFS(
  '[1]Hoja 1'!$M:$M,
  '[1]Hoja 1'!$S:$S, $A135,
  '[1]Hoja 1'!$R:$R, "&gt;="&amp;INT($CG$1),
  '[1]Hoja 1'!$R:$R, "&lt;"&amp;INT($CH$1+1)
)</f>
        <v>0</v>
      </c>
      <c r="CF135" s="1">
        <f t="shared" si="225"/>
        <v>0</v>
      </c>
      <c r="CG135" s="9">
        <f t="shared" si="226"/>
        <v>0</v>
      </c>
      <c r="CH135" s="10">
        <f t="shared" si="227"/>
        <v>0</v>
      </c>
      <c r="CI135" s="1">
        <f>SUMIFS(
  '[1]Hoja 1'!$M:$M,
  '[1]Hoja 1'!$S:$S, $A135,
  '[1]Hoja 1'!$R:$R, "&gt;="&amp;INT($CK$1),
  '[1]Hoja 1'!$R:$R, "&lt;"&amp;INT($CL$1+1)
)</f>
        <v>0</v>
      </c>
      <c r="CJ135" s="1">
        <f t="shared" si="228"/>
        <v>0</v>
      </c>
      <c r="CK135" s="9">
        <f t="shared" si="229"/>
        <v>0</v>
      </c>
      <c r="CL135" s="10">
        <f t="shared" si="230"/>
        <v>0</v>
      </c>
      <c r="CM135" s="1">
        <f>SUMIFS(
  '[1]Hoja 1'!$M:$M,
  '[1]Hoja 1'!$S:$S, $A135,
  '[1]Hoja 1'!$R:$R, "&gt;="&amp;INT($CO$1),
  '[1]Hoja 1'!$R:$R, "&lt;"&amp;INT($CP$1+1)
)</f>
        <v>0</v>
      </c>
      <c r="CN135" s="1">
        <f t="shared" si="231"/>
        <v>0</v>
      </c>
      <c r="CO135" s="9">
        <f t="shared" si="232"/>
        <v>0</v>
      </c>
      <c r="CP135" s="10">
        <f t="shared" si="233"/>
        <v>0</v>
      </c>
      <c r="CQ135" s="1">
        <f>SUMIFS(
  '[1]Hoja 1'!$M:$M,
  '[1]Hoja 1'!$S:$S, $A135,
  '[1]Hoja 1'!$R:$R, "&gt;="&amp;INT($CS$1),
  '[1]Hoja 1'!$R:$R, "&lt;"&amp;INT($CT$1+1)
)</f>
        <v>0</v>
      </c>
      <c r="CR135" s="1">
        <f t="shared" si="234"/>
        <v>0</v>
      </c>
      <c r="CS135" s="9">
        <f t="shared" si="235"/>
        <v>0</v>
      </c>
      <c r="CT135" s="10">
        <f t="shared" si="236"/>
        <v>0</v>
      </c>
      <c r="CU135" s="1">
        <f>SUMIFS(
  '[1]Hoja 1'!$M:$M,
  '[1]Hoja 1'!$S:$S, $A135,
  '[1]Hoja 1'!$R:$R, "&gt;="&amp;INT($CW$1),
  '[1]Hoja 1'!$R:$R, "&lt;"&amp;INT($CX$1+1)
)</f>
        <v>0</v>
      </c>
      <c r="CV135" s="1">
        <f t="shared" si="237"/>
        <v>0</v>
      </c>
      <c r="CW135" s="9">
        <f t="shared" si="238"/>
        <v>0</v>
      </c>
      <c r="CX135" s="10">
        <f t="shared" si="239"/>
        <v>0</v>
      </c>
      <c r="CY135" s="1">
        <f>SUMIFS(
  '[1]Hoja 1'!$M:$M,
  '[1]Hoja 1'!$S:$S, $A135,
  '[1]Hoja 1'!$R:$R, "&gt;="&amp;INT($DA$1),
  '[1]Hoja 1'!$R:$R, "&lt;"&amp;INT($DB$1+1)
)</f>
        <v>0</v>
      </c>
      <c r="CZ135" s="1">
        <f t="shared" si="240"/>
        <v>0</v>
      </c>
      <c r="DA135" s="9">
        <f t="shared" si="241"/>
        <v>0</v>
      </c>
      <c r="DB135" s="10">
        <f t="shared" si="242"/>
        <v>0</v>
      </c>
      <c r="DC135" s="1">
        <f>SUMIFS(
  '[1]Hoja 1'!$M:$M,
  '[1]Hoja 1'!$S:$S, $A135,
  '[1]Hoja 1'!$R:$R, "&gt;="&amp;INT($DE$1),
  '[1]Hoja 1'!$R:$R, "&lt;"&amp;INT($DF$1+1)
)</f>
        <v>0</v>
      </c>
      <c r="DD135" s="1">
        <f t="shared" si="243"/>
        <v>0</v>
      </c>
      <c r="DE135" s="9">
        <f t="shared" si="244"/>
        <v>0</v>
      </c>
      <c r="DF135" s="10">
        <f t="shared" si="245"/>
        <v>0</v>
      </c>
      <c r="DG135" s="1">
        <f>SUMIFS(
  '[1]Hoja 1'!$M:$M,
  '[1]Hoja 1'!$S:$S, $A135,
  '[1]Hoja 1'!$R:$R, "&gt;="&amp;INT($DI$1),
  '[1]Hoja 1'!$R:$R, "&lt;"&amp;INT($DJ$1+1)
)</f>
        <v>0</v>
      </c>
      <c r="DH135" s="1">
        <f t="shared" si="246"/>
        <v>0</v>
      </c>
      <c r="DI135" s="9">
        <f t="shared" si="247"/>
        <v>0</v>
      </c>
      <c r="DJ135" s="10">
        <f t="shared" si="248"/>
        <v>0</v>
      </c>
      <c r="DK135" s="1">
        <f>SUMIFS(
  '[1]Hoja 1'!$M:$M,
  '[1]Hoja 1'!$S:$S, $A135,
  '[1]Hoja 1'!$R:$R, "&gt;="&amp;INT($DM$1),
  '[1]Hoja 1'!$R:$R, "&lt;"&amp;INT($DN$1+1)
)</f>
        <v>0</v>
      </c>
      <c r="DL135" s="1">
        <f t="shared" si="249"/>
        <v>0</v>
      </c>
      <c r="DM135" s="9">
        <f t="shared" si="250"/>
        <v>0</v>
      </c>
      <c r="DN135" s="10">
        <f t="shared" si="251"/>
        <v>0</v>
      </c>
      <c r="DO135" s="1">
        <f>SUMIFS(
  '[1]Hoja 1'!$M:$M,
  '[1]Hoja 1'!$S:$S, $A135,
  '[1]Hoja 1'!$R:$R, "&gt;="&amp;INT($DQ$1),
  '[1]Hoja 1'!$R:$R, "&lt;"&amp;INT($DR$1+1)
)</f>
        <v>0</v>
      </c>
      <c r="DP135" s="1">
        <f t="shared" si="252"/>
        <v>0</v>
      </c>
      <c r="DQ135" s="9">
        <f t="shared" si="253"/>
        <v>0</v>
      </c>
      <c r="DR135" s="10">
        <f t="shared" si="254"/>
        <v>0</v>
      </c>
    </row>
    <row r="136" spans="1:122" x14ac:dyDescent="0.25">
      <c r="A136" s="5">
        <v>223005</v>
      </c>
      <c r="B136" s="6" t="s">
        <v>134</v>
      </c>
      <c r="C136" s="1">
        <f>SUMIFS(
  '[1]Hoja 1'!$M:$M,
  '[1]Hoja 1'!$S:$S, $A136,
  '[1]Hoja 1'!$R:$R, "&gt;="&amp;INT($E$1),
  '[1]Hoja 1'!$R:$R, "&lt;"&amp;INT($F$1+1)
)</f>
        <v>1</v>
      </c>
      <c r="D136" s="1" t="str">
        <f>""</f>
        <v/>
      </c>
      <c r="F136" s="2"/>
      <c r="G136" s="1">
        <f>SUMIFS(
  '[1]Hoja 1'!$M:$M,
  '[1]Hoja 1'!$S:$S, $A136,
  '[1]Hoja 1'!$R:$R, "&gt;="&amp;INT($I$1),
  '[1]Hoja 1'!$R:$R, "&lt;"&amp;INT($J$1+1)
)</f>
        <v>3</v>
      </c>
      <c r="H136" s="1">
        <f t="shared" si="170"/>
        <v>2</v>
      </c>
      <c r="I136" s="1"/>
      <c r="J136" s="2"/>
      <c r="K136" s="1">
        <f>SUMIFS(
  '[1]Hoja 1'!$M:$M,
  '[1]Hoja 1'!$S:$S, $A136,
  '[1]Hoja 1'!$R:$R, "&gt;="&amp;INT($M$1),
  '[1]Hoja 1'!$R:$R, "&lt;"&amp;INT($N$1+1)
)</f>
        <v>9</v>
      </c>
      <c r="L136" s="1">
        <f t="shared" si="171"/>
        <v>6</v>
      </c>
      <c r="M136" s="9">
        <f t="shared" si="172"/>
        <v>3.2281414177487338</v>
      </c>
      <c r="N136" s="10">
        <f t="shared" si="173"/>
        <v>8.7718585822512658</v>
      </c>
      <c r="O136" s="1">
        <f>SUMIFS(
  '[1]Hoja 1'!$M:$M,
  '[1]Hoja 1'!$S:$S, $A136,
  '[1]Hoja 1'!$R:$R, "&gt;="&amp;INT($Q$1),
  '[1]Hoja 1'!$R:$R, "&lt;"&amp;INT($R$1+1)
)</f>
        <v>0</v>
      </c>
      <c r="P136" s="1">
        <f t="shared" si="174"/>
        <v>4.5</v>
      </c>
      <c r="Q136" s="9">
        <f t="shared" si="175"/>
        <v>-1.612104395850948</v>
      </c>
      <c r="R136" s="10">
        <f t="shared" si="176"/>
        <v>13.612104395850949</v>
      </c>
      <c r="S136" s="1">
        <f>SUMIFS(
  '[1]Hoja 1'!$M:$M,
  '[1]Hoja 1'!$S:$S, $A136,
  '[1]Hoja 1'!$R:$R, "&gt;="&amp;INT($U$1),
  '[1]Hoja 1'!$R:$R, "&lt;"&amp;INT($V$1+1)
)</f>
        <v>0</v>
      </c>
      <c r="T136" s="1">
        <f t="shared" si="177"/>
        <v>0</v>
      </c>
      <c r="U136" s="9">
        <f t="shared" si="178"/>
        <v>-6.2174029948202651</v>
      </c>
      <c r="V136" s="10">
        <f t="shared" si="179"/>
        <v>6.2174029948202651</v>
      </c>
      <c r="W136" s="1">
        <f>SUMIFS(
  '[1]Hoja 1'!$M:$M,
  '[1]Hoja 1'!$S:$S, $A136,
  '[1]Hoja 1'!$R:$R, "&gt;="&amp;INT($Y$1),
  '[1]Hoja 1'!$R:$R, "&lt;"&amp;INT($Z$1+1)
)</f>
        <v>0</v>
      </c>
      <c r="X136" s="1">
        <f t="shared" si="180"/>
        <v>0</v>
      </c>
      <c r="Y136" s="9">
        <f t="shared" si="181"/>
        <v>-6.0609652696579603</v>
      </c>
      <c r="Z136" s="10">
        <f t="shared" si="182"/>
        <v>6.0609652696579603</v>
      </c>
      <c r="AA136" s="1">
        <f>SUMIFS(
  '[1]Hoja 1'!$M:$M,
  '[1]Hoja 1'!$S:$S, $A136,
  '[1]Hoja 1'!$R:$R, "&gt;="&amp;INT($AC$1),
  '[1]Hoja 1'!$R:$R, "&lt;"&amp;INT($AD$1+1)
)</f>
        <v>0</v>
      </c>
      <c r="AB136" s="1">
        <f t="shared" si="183"/>
        <v>0</v>
      </c>
      <c r="AC136" s="9">
        <f t="shared" si="184"/>
        <v>-3.9444239123096287</v>
      </c>
      <c r="AD136" s="10">
        <f t="shared" si="185"/>
        <v>4.41</v>
      </c>
      <c r="AE136" s="1">
        <f>SUMIFS(
  '[1]Hoja 1'!$M:$M,
  '[1]Hoja 1'!$S:$S, $A136,
  '[1]Hoja 1'!$R:$R, "&gt;="&amp;INT($AG$1),
  '[1]Hoja 1'!$R:$R, "&lt;"&amp;INT($AH$1+1)
)</f>
        <v>0</v>
      </c>
      <c r="AF136" s="1">
        <f t="shared" si="186"/>
        <v>0</v>
      </c>
      <c r="AG136" s="9">
        <f t="shared" si="187"/>
        <v>0</v>
      </c>
      <c r="AH136" s="10">
        <f t="shared" si="188"/>
        <v>0</v>
      </c>
      <c r="AI136" s="1">
        <f>SUMIFS(
  '[1]Hoja 1'!$M:$M,
  '[1]Hoja 1'!$S:$S, $A136,
  '[1]Hoja 1'!$R:$R, "&gt;="&amp;INT($AK$1),
  '[1]Hoja 1'!$R:$R, "&lt;"&amp;INT($AL$1+1)
)</f>
        <v>0</v>
      </c>
      <c r="AJ136" s="1">
        <f t="shared" si="189"/>
        <v>0</v>
      </c>
      <c r="AK136" s="9">
        <f t="shared" si="190"/>
        <v>0</v>
      </c>
      <c r="AL136" s="10">
        <f t="shared" si="191"/>
        <v>0</v>
      </c>
      <c r="AM136" s="1">
        <f>SUMIFS(
  '[1]Hoja 1'!$M:$M,
  '[1]Hoja 1'!$S:$S, $A136,
  '[1]Hoja 1'!$R:$R, "&gt;="&amp;INT($AO$1),
  '[1]Hoja 1'!$R:$R, "&lt;"&amp;INT($AP$1+1)
)</f>
        <v>0</v>
      </c>
      <c r="AN136" s="1">
        <f t="shared" si="192"/>
        <v>0</v>
      </c>
      <c r="AO136" s="9">
        <f t="shared" si="193"/>
        <v>0</v>
      </c>
      <c r="AP136" s="10">
        <f t="shared" si="194"/>
        <v>0</v>
      </c>
      <c r="AQ136" s="1">
        <f>SUMIFS(
  '[1]Hoja 1'!$M:$M,
  '[1]Hoja 1'!$S:$S, $A136,
  '[1]Hoja 1'!$R:$R, "&gt;="&amp;INT($AS$1),
  '[1]Hoja 1'!$R:$R, "&lt;"&amp;INT($AT$1+1)
)</f>
        <v>0</v>
      </c>
      <c r="AR136" s="1">
        <f t="shared" si="195"/>
        <v>0</v>
      </c>
      <c r="AS136" s="9">
        <f t="shared" si="196"/>
        <v>0</v>
      </c>
      <c r="AT136" s="10">
        <f t="shared" si="197"/>
        <v>0</v>
      </c>
      <c r="AU136" s="1">
        <f>SUMIFS(
  '[1]Hoja 1'!$M:$M,
  '[1]Hoja 1'!$S:$S, $A136,
  '[1]Hoja 1'!$R:$R, "&gt;="&amp;INT($AW$1),
  '[1]Hoja 1'!$R:$R, "&lt;"&amp;INT($AX$1+1)
)</f>
        <v>0</v>
      </c>
      <c r="AV136" s="1">
        <f t="shared" si="198"/>
        <v>0</v>
      </c>
      <c r="AW136" s="9">
        <f t="shared" si="199"/>
        <v>0</v>
      </c>
      <c r="AX136" s="10">
        <f t="shared" si="200"/>
        <v>0</v>
      </c>
      <c r="AY136" s="1">
        <f>SUMIFS(
  '[1]Hoja 1'!$M:$M,
  '[1]Hoja 1'!$S:$S, $A136,
  '[1]Hoja 1'!$R:$R, "&gt;="&amp;INT($BA$1),
  '[1]Hoja 1'!$R:$R, "&lt;"&amp;INT($BB$1+1)
)</f>
        <v>0</v>
      </c>
      <c r="AZ136" s="1">
        <f t="shared" si="201"/>
        <v>0</v>
      </c>
      <c r="BA136" s="9">
        <f t="shared" si="202"/>
        <v>0</v>
      </c>
      <c r="BB136" s="10">
        <f t="shared" si="203"/>
        <v>0</v>
      </c>
      <c r="BC136" s="1">
        <f>SUMIFS(
  '[1]Hoja 1'!$M:$M,
  '[1]Hoja 1'!$S:$S, $A136,
  '[1]Hoja 1'!$R:$R, "&gt;="&amp;INT($BE$1),
  '[1]Hoja 1'!$R:$R, "&lt;"&amp;INT($BF$1+1)
)</f>
        <v>0</v>
      </c>
      <c r="BD136" s="1">
        <f t="shared" si="204"/>
        <v>0</v>
      </c>
      <c r="BE136" s="9">
        <f t="shared" si="205"/>
        <v>0</v>
      </c>
      <c r="BF136" s="10">
        <f t="shared" si="206"/>
        <v>0</v>
      </c>
      <c r="BG136" s="1">
        <f>SUMIFS(
  '[1]Hoja 1'!$M:$M,
  '[1]Hoja 1'!$S:$S, $A136,
  '[1]Hoja 1'!$R:$R, "&gt;="&amp;INT($BI$1),
  '[1]Hoja 1'!$R:$R, "&lt;"&amp;INT($BJ$1+1)
)</f>
        <v>0</v>
      </c>
      <c r="BH136" s="1">
        <f t="shared" si="207"/>
        <v>0</v>
      </c>
      <c r="BI136" s="9">
        <f t="shared" si="208"/>
        <v>0</v>
      </c>
      <c r="BJ136" s="10">
        <f t="shared" si="209"/>
        <v>0</v>
      </c>
      <c r="BK136" s="1">
        <f>SUMIFS(
  '[1]Hoja 1'!$M:$M,
  '[1]Hoja 1'!$S:$S, $A136,
  '[1]Hoja 1'!$R:$R, "&gt;="&amp;INT($BM$1),
  '[1]Hoja 1'!$R:$R, "&lt;"&amp;INT($BN$1+1)
)</f>
        <v>0</v>
      </c>
      <c r="BL136" s="1">
        <f t="shared" si="210"/>
        <v>0</v>
      </c>
      <c r="BM136" s="9">
        <f t="shared" si="211"/>
        <v>0</v>
      </c>
      <c r="BN136" s="10">
        <f t="shared" si="212"/>
        <v>0</v>
      </c>
      <c r="BO136" s="1">
        <f>SUMIFS(
  '[1]Hoja 1'!$M:$M,
  '[1]Hoja 1'!$S:$S, $A136,
  '[1]Hoja 1'!$R:$R, "&gt;="&amp;INT($BQ$1),
  '[1]Hoja 1'!$R:$R, "&lt;"&amp;INT($BR$1+1)
)</f>
        <v>0</v>
      </c>
      <c r="BP136" s="1">
        <f t="shared" si="213"/>
        <v>0</v>
      </c>
      <c r="BQ136" s="9">
        <f t="shared" si="214"/>
        <v>0</v>
      </c>
      <c r="BR136" s="10">
        <f t="shared" si="215"/>
        <v>0</v>
      </c>
      <c r="BS136" s="1">
        <f>SUMIFS(
  '[1]Hoja 1'!$M:$M,
  '[1]Hoja 1'!$S:$S, $A136,
  '[1]Hoja 1'!$R:$R, "&gt;="&amp;INT($BU$1),
  '[1]Hoja 1'!$R:$R, "&lt;"&amp;INT($BV$1+1)
)</f>
        <v>0</v>
      </c>
      <c r="BT136" s="1">
        <f t="shared" si="216"/>
        <v>0</v>
      </c>
      <c r="BU136" s="9">
        <f t="shared" si="217"/>
        <v>0</v>
      </c>
      <c r="BV136" s="10">
        <f t="shared" si="218"/>
        <v>0</v>
      </c>
      <c r="BW136" s="1">
        <f>SUMIFS(
  '[1]Hoja 1'!$M:$M,
  '[1]Hoja 1'!$S:$S, $A136,
  '[1]Hoja 1'!$R:$R, "&gt;="&amp;INT($BY$1),
  '[1]Hoja 1'!$R:$R, "&lt;"&amp;INT($BZ$1+1)
)</f>
        <v>0</v>
      </c>
      <c r="BX136" s="1">
        <f t="shared" si="219"/>
        <v>0</v>
      </c>
      <c r="BY136" s="9">
        <f t="shared" si="220"/>
        <v>0</v>
      </c>
      <c r="BZ136" s="10">
        <f t="shared" si="221"/>
        <v>0</v>
      </c>
      <c r="CA136" s="1">
        <f>SUMIFS(
  '[1]Hoja 1'!$M:$M,
  '[1]Hoja 1'!$S:$S, $A136,
  '[1]Hoja 1'!$R:$R, "&gt;="&amp;INT($CC$1),
  '[1]Hoja 1'!$R:$R, "&lt;"&amp;INT($CD$1+1)
)</f>
        <v>0</v>
      </c>
      <c r="CB136" s="1">
        <f t="shared" si="222"/>
        <v>0</v>
      </c>
      <c r="CC136" s="9">
        <f t="shared" si="223"/>
        <v>0</v>
      </c>
      <c r="CD136" s="10">
        <f t="shared" si="224"/>
        <v>0</v>
      </c>
      <c r="CE136" s="1">
        <f>SUMIFS(
  '[1]Hoja 1'!$M:$M,
  '[1]Hoja 1'!$S:$S, $A136,
  '[1]Hoja 1'!$R:$R, "&gt;="&amp;INT($CG$1),
  '[1]Hoja 1'!$R:$R, "&lt;"&amp;INT($CH$1+1)
)</f>
        <v>0</v>
      </c>
      <c r="CF136" s="1">
        <f t="shared" si="225"/>
        <v>0</v>
      </c>
      <c r="CG136" s="9">
        <f t="shared" si="226"/>
        <v>0</v>
      </c>
      <c r="CH136" s="10">
        <f t="shared" si="227"/>
        <v>0</v>
      </c>
      <c r="CI136" s="1">
        <f>SUMIFS(
  '[1]Hoja 1'!$M:$M,
  '[1]Hoja 1'!$S:$S, $A136,
  '[1]Hoja 1'!$R:$R, "&gt;="&amp;INT($CK$1),
  '[1]Hoja 1'!$R:$R, "&lt;"&amp;INT($CL$1+1)
)</f>
        <v>0</v>
      </c>
      <c r="CJ136" s="1">
        <f t="shared" si="228"/>
        <v>0</v>
      </c>
      <c r="CK136" s="9">
        <f t="shared" si="229"/>
        <v>0</v>
      </c>
      <c r="CL136" s="10">
        <f t="shared" si="230"/>
        <v>0</v>
      </c>
      <c r="CM136" s="1">
        <f>SUMIFS(
  '[1]Hoja 1'!$M:$M,
  '[1]Hoja 1'!$S:$S, $A136,
  '[1]Hoja 1'!$R:$R, "&gt;="&amp;INT($CO$1),
  '[1]Hoja 1'!$R:$R, "&lt;"&amp;INT($CP$1+1)
)</f>
        <v>0</v>
      </c>
      <c r="CN136" s="1">
        <f t="shared" si="231"/>
        <v>0</v>
      </c>
      <c r="CO136" s="9">
        <f t="shared" si="232"/>
        <v>0</v>
      </c>
      <c r="CP136" s="10">
        <f t="shared" si="233"/>
        <v>0</v>
      </c>
      <c r="CQ136" s="1">
        <f>SUMIFS(
  '[1]Hoja 1'!$M:$M,
  '[1]Hoja 1'!$S:$S, $A136,
  '[1]Hoja 1'!$R:$R, "&gt;="&amp;INT($CS$1),
  '[1]Hoja 1'!$R:$R, "&lt;"&amp;INT($CT$1+1)
)</f>
        <v>0</v>
      </c>
      <c r="CR136" s="1">
        <f t="shared" si="234"/>
        <v>0</v>
      </c>
      <c r="CS136" s="9">
        <f t="shared" si="235"/>
        <v>0</v>
      </c>
      <c r="CT136" s="10">
        <f t="shared" si="236"/>
        <v>0</v>
      </c>
      <c r="CU136" s="1">
        <f>SUMIFS(
  '[1]Hoja 1'!$M:$M,
  '[1]Hoja 1'!$S:$S, $A136,
  '[1]Hoja 1'!$R:$R, "&gt;="&amp;INT($CW$1),
  '[1]Hoja 1'!$R:$R, "&lt;"&amp;INT($CX$1+1)
)</f>
        <v>0</v>
      </c>
      <c r="CV136" s="1">
        <f t="shared" si="237"/>
        <v>0</v>
      </c>
      <c r="CW136" s="9">
        <f t="shared" si="238"/>
        <v>0</v>
      </c>
      <c r="CX136" s="10">
        <f t="shared" si="239"/>
        <v>0</v>
      </c>
      <c r="CY136" s="1">
        <f>SUMIFS(
  '[1]Hoja 1'!$M:$M,
  '[1]Hoja 1'!$S:$S, $A136,
  '[1]Hoja 1'!$R:$R, "&gt;="&amp;INT($DA$1),
  '[1]Hoja 1'!$R:$R, "&lt;"&amp;INT($DB$1+1)
)</f>
        <v>0</v>
      </c>
      <c r="CZ136" s="1">
        <f t="shared" si="240"/>
        <v>0</v>
      </c>
      <c r="DA136" s="9">
        <f t="shared" si="241"/>
        <v>0</v>
      </c>
      <c r="DB136" s="10">
        <f t="shared" si="242"/>
        <v>0</v>
      </c>
      <c r="DC136" s="1">
        <f>SUMIFS(
  '[1]Hoja 1'!$M:$M,
  '[1]Hoja 1'!$S:$S, $A136,
  '[1]Hoja 1'!$R:$R, "&gt;="&amp;INT($DE$1),
  '[1]Hoja 1'!$R:$R, "&lt;"&amp;INT($DF$1+1)
)</f>
        <v>0</v>
      </c>
      <c r="DD136" s="1">
        <f t="shared" si="243"/>
        <v>0</v>
      </c>
      <c r="DE136" s="9">
        <f t="shared" si="244"/>
        <v>0</v>
      </c>
      <c r="DF136" s="10">
        <f t="shared" si="245"/>
        <v>0</v>
      </c>
      <c r="DG136" s="1">
        <f>SUMIFS(
  '[1]Hoja 1'!$M:$M,
  '[1]Hoja 1'!$S:$S, $A136,
  '[1]Hoja 1'!$R:$R, "&gt;="&amp;INT($DI$1),
  '[1]Hoja 1'!$R:$R, "&lt;"&amp;INT($DJ$1+1)
)</f>
        <v>0</v>
      </c>
      <c r="DH136" s="1">
        <f t="shared" si="246"/>
        <v>0</v>
      </c>
      <c r="DI136" s="9">
        <f t="shared" si="247"/>
        <v>0</v>
      </c>
      <c r="DJ136" s="10">
        <f t="shared" si="248"/>
        <v>0</v>
      </c>
      <c r="DK136" s="1">
        <f>SUMIFS(
  '[1]Hoja 1'!$M:$M,
  '[1]Hoja 1'!$S:$S, $A136,
  '[1]Hoja 1'!$R:$R, "&gt;="&amp;INT($DM$1),
  '[1]Hoja 1'!$R:$R, "&lt;"&amp;INT($DN$1+1)
)</f>
        <v>0</v>
      </c>
      <c r="DL136" s="1">
        <f t="shared" si="249"/>
        <v>0</v>
      </c>
      <c r="DM136" s="9">
        <f t="shared" si="250"/>
        <v>0</v>
      </c>
      <c r="DN136" s="10">
        <f t="shared" si="251"/>
        <v>0</v>
      </c>
      <c r="DO136" s="1">
        <f>SUMIFS(
  '[1]Hoja 1'!$M:$M,
  '[1]Hoja 1'!$S:$S, $A136,
  '[1]Hoja 1'!$R:$R, "&gt;="&amp;INT($DQ$1),
  '[1]Hoja 1'!$R:$R, "&lt;"&amp;INT($DR$1+1)
)</f>
        <v>0</v>
      </c>
      <c r="DP136" s="1">
        <f t="shared" si="252"/>
        <v>0</v>
      </c>
      <c r="DQ136" s="9">
        <f t="shared" si="253"/>
        <v>0</v>
      </c>
      <c r="DR136" s="10">
        <f t="shared" si="254"/>
        <v>0</v>
      </c>
    </row>
    <row r="137" spans="1:122" x14ac:dyDescent="0.25">
      <c r="A137" s="5">
        <v>223006</v>
      </c>
      <c r="B137" s="6" t="s">
        <v>135</v>
      </c>
      <c r="C137" s="1">
        <f>SUMIFS(
  '[1]Hoja 1'!$M:$M,
  '[1]Hoja 1'!$S:$S, $A137,
  '[1]Hoja 1'!$R:$R, "&gt;="&amp;INT($E$1),
  '[1]Hoja 1'!$R:$R, "&lt;"&amp;INT($F$1+1)
)</f>
        <v>0</v>
      </c>
      <c r="D137" s="1" t="str">
        <f>""</f>
        <v/>
      </c>
      <c r="F137" s="2"/>
      <c r="G137" s="1">
        <f>SUMIFS(
  '[1]Hoja 1'!$M:$M,
  '[1]Hoja 1'!$S:$S, $A137,
  '[1]Hoja 1'!$R:$R, "&gt;="&amp;INT($I$1),
  '[1]Hoja 1'!$R:$R, "&lt;"&amp;INT($J$1+1)
)</f>
        <v>6</v>
      </c>
      <c r="H137" s="1">
        <f t="shared" si="170"/>
        <v>3</v>
      </c>
      <c r="I137" s="1"/>
      <c r="J137" s="2"/>
      <c r="K137" s="1">
        <f>SUMIFS(
  '[1]Hoja 1'!$M:$M,
  '[1]Hoja 1'!$S:$S, $A137,
  '[1]Hoja 1'!$R:$R, "&gt;="&amp;INT($M$1),
  '[1]Hoja 1'!$R:$R, "&lt;"&amp;INT($N$1+1)
)</f>
        <v>4</v>
      </c>
      <c r="L137" s="1">
        <f t="shared" si="171"/>
        <v>5</v>
      </c>
      <c r="M137" s="9">
        <f t="shared" si="172"/>
        <v>-0.54371716450253249</v>
      </c>
      <c r="N137" s="10">
        <f t="shared" si="173"/>
        <v>10.543717164502532</v>
      </c>
      <c r="O137" s="1">
        <f>SUMIFS(
  '[1]Hoja 1'!$M:$M,
  '[1]Hoja 1'!$S:$S, $A137,
  '[1]Hoja 1'!$R:$R, "&gt;="&amp;INT($Q$1),
  '[1]Hoja 1'!$R:$R, "&lt;"&amp;INT($R$1+1)
)</f>
        <v>6</v>
      </c>
      <c r="P137" s="1">
        <f t="shared" si="174"/>
        <v>5</v>
      </c>
      <c r="Q137" s="9">
        <f t="shared" si="175"/>
        <v>1.08</v>
      </c>
      <c r="R137" s="10">
        <f t="shared" si="176"/>
        <v>8.92</v>
      </c>
      <c r="S137" s="1">
        <f>SUMIFS(
  '[1]Hoja 1'!$M:$M,
  '[1]Hoja 1'!$S:$S, $A137,
  '[1]Hoja 1'!$R:$R, "&gt;="&amp;INT($U$1),
  '[1]Hoja 1'!$R:$R, "&lt;"&amp;INT($V$1+1)
)</f>
        <v>3</v>
      </c>
      <c r="T137" s="1">
        <f t="shared" si="177"/>
        <v>5</v>
      </c>
      <c r="U137" s="9">
        <f t="shared" si="178"/>
        <v>0.96927219144399857</v>
      </c>
      <c r="V137" s="10">
        <f t="shared" si="179"/>
        <v>9.0307278085560014</v>
      </c>
      <c r="W137" s="1">
        <f>SUMIFS(
  '[1]Hoja 1'!$M:$M,
  '[1]Hoja 1'!$S:$S, $A137,
  '[1]Hoja 1'!$R:$R, "&gt;="&amp;INT($Y$1),
  '[1]Hoja 1'!$R:$R, "&lt;"&amp;INT($Z$1+1)
)</f>
        <v>0</v>
      </c>
      <c r="X137" s="1">
        <f t="shared" si="180"/>
        <v>2</v>
      </c>
      <c r="Y137" s="9">
        <f t="shared" si="181"/>
        <v>-0.33286661999066425</v>
      </c>
      <c r="Z137" s="10">
        <f t="shared" si="182"/>
        <v>4.3328666199906642</v>
      </c>
      <c r="AA137" s="1">
        <f>SUMIFS(
  '[1]Hoja 1'!$M:$M,
  '[1]Hoja 1'!$S:$S, $A137,
  '[1]Hoja 1'!$R:$R, "&gt;="&amp;INT($AC$1),
  '[1]Hoja 1'!$R:$R, "&lt;"&amp;INT($AD$1+1)
)</f>
        <v>6</v>
      </c>
      <c r="AB137" s="1">
        <f t="shared" si="183"/>
        <v>3</v>
      </c>
      <c r="AC137" s="9">
        <f t="shared" si="184"/>
        <v>-0.70590339863305163</v>
      </c>
      <c r="AD137" s="10">
        <f t="shared" si="185"/>
        <v>7.2717209646698606</v>
      </c>
      <c r="AE137" s="1">
        <f>SUMIFS(
  '[1]Hoja 1'!$M:$M,
  '[1]Hoja 1'!$S:$S, $A137,
  '[1]Hoja 1'!$R:$R, "&gt;="&amp;INT($AG$1),
  '[1]Hoja 1'!$R:$R, "&lt;"&amp;INT($AH$1+1)
)</f>
        <v>0</v>
      </c>
      <c r="AF137" s="1">
        <f t="shared" si="186"/>
        <v>3</v>
      </c>
      <c r="AG137" s="9">
        <f t="shared" si="187"/>
        <v>-1.4587307611023119</v>
      </c>
      <c r="AH137" s="10">
        <f t="shared" si="188"/>
        <v>8.0922293742524989</v>
      </c>
      <c r="AI137" s="1">
        <f>SUMIFS(
  '[1]Hoja 1'!$M:$M,
  '[1]Hoja 1'!$S:$S, $A137,
  '[1]Hoja 1'!$R:$R, "&gt;="&amp;INT($AK$1),
  '[1]Hoja 1'!$R:$R, "&lt;"&amp;INT($AL$1+1)
)</f>
        <v>0</v>
      </c>
      <c r="AJ137" s="1">
        <f t="shared" si="189"/>
        <v>0</v>
      </c>
      <c r="AK137" s="9">
        <f t="shared" si="190"/>
        <v>-4.3607247104122502</v>
      </c>
      <c r="AL137" s="10">
        <f t="shared" si="191"/>
        <v>5.0210058753202027</v>
      </c>
      <c r="AM137" s="1">
        <f>SUMIFS(
  '[1]Hoja 1'!$M:$M,
  '[1]Hoja 1'!$S:$S, $A137,
  '[1]Hoja 1'!$R:$R, "&gt;="&amp;INT($AO$1),
  '[1]Hoja 1'!$R:$R, "&lt;"&amp;INT($AP$1+1)
)</f>
        <v>0</v>
      </c>
      <c r="AN137" s="1">
        <f t="shared" si="192"/>
        <v>0</v>
      </c>
      <c r="AO137" s="9">
        <f t="shared" si="193"/>
        <v>-4.1577878733768987</v>
      </c>
      <c r="AP137" s="10">
        <f t="shared" si="194"/>
        <v>4.8009998958550284</v>
      </c>
      <c r="AQ137" s="1">
        <f>SUMIFS(
  '[1]Hoja 1'!$M:$M,
  '[1]Hoja 1'!$S:$S, $A137,
  '[1]Hoja 1'!$R:$R, "&gt;="&amp;INT($AS$1),
  '[1]Hoja 1'!$R:$R, "&lt;"&amp;INT($AT$1+1)
)</f>
        <v>0</v>
      </c>
      <c r="AR137" s="1">
        <f t="shared" si="195"/>
        <v>0</v>
      </c>
      <c r="AS137" s="9">
        <f t="shared" si="196"/>
        <v>-2.6296159415397526</v>
      </c>
      <c r="AT137" s="10">
        <f t="shared" si="197"/>
        <v>2.94</v>
      </c>
      <c r="AU137" s="1">
        <f>SUMIFS(
  '[1]Hoja 1'!$M:$M,
  '[1]Hoja 1'!$S:$S, $A137,
  '[1]Hoja 1'!$R:$R, "&gt;="&amp;INT($AW$1),
  '[1]Hoja 1'!$R:$R, "&lt;"&amp;INT($AX$1+1)
)</f>
        <v>0</v>
      </c>
      <c r="AV137" s="1">
        <f t="shared" si="198"/>
        <v>0</v>
      </c>
      <c r="AW137" s="9">
        <f t="shared" si="199"/>
        <v>0</v>
      </c>
      <c r="AX137" s="10">
        <f t="shared" si="200"/>
        <v>0</v>
      </c>
      <c r="AY137" s="1">
        <f>SUMIFS(
  '[1]Hoja 1'!$M:$M,
  '[1]Hoja 1'!$S:$S, $A137,
  '[1]Hoja 1'!$R:$R, "&gt;="&amp;INT($BA$1),
  '[1]Hoja 1'!$R:$R, "&lt;"&amp;INT($BB$1+1)
)</f>
        <v>0</v>
      </c>
      <c r="AZ137" s="1">
        <f t="shared" si="201"/>
        <v>0</v>
      </c>
      <c r="BA137" s="9">
        <f t="shared" si="202"/>
        <v>0</v>
      </c>
      <c r="BB137" s="10">
        <f t="shared" si="203"/>
        <v>0</v>
      </c>
      <c r="BC137" s="1">
        <f>SUMIFS(
  '[1]Hoja 1'!$M:$M,
  '[1]Hoja 1'!$S:$S, $A137,
  '[1]Hoja 1'!$R:$R, "&gt;="&amp;INT($BE$1),
  '[1]Hoja 1'!$R:$R, "&lt;"&amp;INT($BF$1+1)
)</f>
        <v>0</v>
      </c>
      <c r="BD137" s="1">
        <f t="shared" si="204"/>
        <v>0</v>
      </c>
      <c r="BE137" s="9">
        <f t="shared" si="205"/>
        <v>0</v>
      </c>
      <c r="BF137" s="10">
        <f t="shared" si="206"/>
        <v>0</v>
      </c>
      <c r="BG137" s="1">
        <f>SUMIFS(
  '[1]Hoja 1'!$M:$M,
  '[1]Hoja 1'!$S:$S, $A137,
  '[1]Hoja 1'!$R:$R, "&gt;="&amp;INT($BI$1),
  '[1]Hoja 1'!$R:$R, "&lt;"&amp;INT($BJ$1+1)
)</f>
        <v>0</v>
      </c>
      <c r="BH137" s="1">
        <f t="shared" si="207"/>
        <v>0</v>
      </c>
      <c r="BI137" s="9">
        <f t="shared" si="208"/>
        <v>0</v>
      </c>
      <c r="BJ137" s="10">
        <f t="shared" si="209"/>
        <v>0</v>
      </c>
      <c r="BK137" s="1">
        <f>SUMIFS(
  '[1]Hoja 1'!$M:$M,
  '[1]Hoja 1'!$S:$S, $A137,
  '[1]Hoja 1'!$R:$R, "&gt;="&amp;INT($BM$1),
  '[1]Hoja 1'!$R:$R, "&lt;"&amp;INT($BN$1+1)
)</f>
        <v>0</v>
      </c>
      <c r="BL137" s="1">
        <f t="shared" si="210"/>
        <v>0</v>
      </c>
      <c r="BM137" s="9">
        <f t="shared" si="211"/>
        <v>0</v>
      </c>
      <c r="BN137" s="10">
        <f t="shared" si="212"/>
        <v>0</v>
      </c>
      <c r="BO137" s="1">
        <f>SUMIFS(
  '[1]Hoja 1'!$M:$M,
  '[1]Hoja 1'!$S:$S, $A137,
  '[1]Hoja 1'!$R:$R, "&gt;="&amp;INT($BQ$1),
  '[1]Hoja 1'!$R:$R, "&lt;"&amp;INT($BR$1+1)
)</f>
        <v>0</v>
      </c>
      <c r="BP137" s="1">
        <f t="shared" si="213"/>
        <v>0</v>
      </c>
      <c r="BQ137" s="9">
        <f t="shared" si="214"/>
        <v>0</v>
      </c>
      <c r="BR137" s="10">
        <f t="shared" si="215"/>
        <v>0</v>
      </c>
      <c r="BS137" s="1">
        <f>SUMIFS(
  '[1]Hoja 1'!$M:$M,
  '[1]Hoja 1'!$S:$S, $A137,
  '[1]Hoja 1'!$R:$R, "&gt;="&amp;INT($BU$1),
  '[1]Hoja 1'!$R:$R, "&lt;"&amp;INT($BV$1+1)
)</f>
        <v>0</v>
      </c>
      <c r="BT137" s="1">
        <f t="shared" si="216"/>
        <v>0</v>
      </c>
      <c r="BU137" s="9">
        <f t="shared" si="217"/>
        <v>0</v>
      </c>
      <c r="BV137" s="10">
        <f t="shared" si="218"/>
        <v>0</v>
      </c>
      <c r="BW137" s="1">
        <f>SUMIFS(
  '[1]Hoja 1'!$M:$M,
  '[1]Hoja 1'!$S:$S, $A137,
  '[1]Hoja 1'!$R:$R, "&gt;="&amp;INT($BY$1),
  '[1]Hoja 1'!$R:$R, "&lt;"&amp;INT($BZ$1+1)
)</f>
        <v>0</v>
      </c>
      <c r="BX137" s="1">
        <f t="shared" si="219"/>
        <v>0</v>
      </c>
      <c r="BY137" s="9">
        <f t="shared" si="220"/>
        <v>0</v>
      </c>
      <c r="BZ137" s="10">
        <f t="shared" si="221"/>
        <v>0</v>
      </c>
      <c r="CA137" s="1">
        <f>SUMIFS(
  '[1]Hoja 1'!$M:$M,
  '[1]Hoja 1'!$S:$S, $A137,
  '[1]Hoja 1'!$R:$R, "&gt;="&amp;INT($CC$1),
  '[1]Hoja 1'!$R:$R, "&lt;"&amp;INT($CD$1+1)
)</f>
        <v>0</v>
      </c>
      <c r="CB137" s="1">
        <f t="shared" si="222"/>
        <v>0</v>
      </c>
      <c r="CC137" s="9">
        <f t="shared" si="223"/>
        <v>0</v>
      </c>
      <c r="CD137" s="10">
        <f t="shared" si="224"/>
        <v>0</v>
      </c>
      <c r="CE137" s="1">
        <f>SUMIFS(
  '[1]Hoja 1'!$M:$M,
  '[1]Hoja 1'!$S:$S, $A137,
  '[1]Hoja 1'!$R:$R, "&gt;="&amp;INT($CG$1),
  '[1]Hoja 1'!$R:$R, "&lt;"&amp;INT($CH$1+1)
)</f>
        <v>0</v>
      </c>
      <c r="CF137" s="1">
        <f t="shared" si="225"/>
        <v>0</v>
      </c>
      <c r="CG137" s="9">
        <f t="shared" si="226"/>
        <v>0</v>
      </c>
      <c r="CH137" s="10">
        <f t="shared" si="227"/>
        <v>0</v>
      </c>
      <c r="CI137" s="1">
        <f>SUMIFS(
  '[1]Hoja 1'!$M:$M,
  '[1]Hoja 1'!$S:$S, $A137,
  '[1]Hoja 1'!$R:$R, "&gt;="&amp;INT($CK$1),
  '[1]Hoja 1'!$R:$R, "&lt;"&amp;INT($CL$1+1)
)</f>
        <v>0</v>
      </c>
      <c r="CJ137" s="1">
        <f t="shared" si="228"/>
        <v>0</v>
      </c>
      <c r="CK137" s="9">
        <f t="shared" si="229"/>
        <v>0</v>
      </c>
      <c r="CL137" s="10">
        <f t="shared" si="230"/>
        <v>0</v>
      </c>
      <c r="CM137" s="1">
        <f>SUMIFS(
  '[1]Hoja 1'!$M:$M,
  '[1]Hoja 1'!$S:$S, $A137,
  '[1]Hoja 1'!$R:$R, "&gt;="&amp;INT($CO$1),
  '[1]Hoja 1'!$R:$R, "&lt;"&amp;INT($CP$1+1)
)</f>
        <v>0</v>
      </c>
      <c r="CN137" s="1">
        <f t="shared" si="231"/>
        <v>0</v>
      </c>
      <c r="CO137" s="9">
        <f t="shared" si="232"/>
        <v>0</v>
      </c>
      <c r="CP137" s="10">
        <f t="shared" si="233"/>
        <v>0</v>
      </c>
      <c r="CQ137" s="1">
        <f>SUMIFS(
  '[1]Hoja 1'!$M:$M,
  '[1]Hoja 1'!$S:$S, $A137,
  '[1]Hoja 1'!$R:$R, "&gt;="&amp;INT($CS$1),
  '[1]Hoja 1'!$R:$R, "&lt;"&amp;INT($CT$1+1)
)</f>
        <v>0</v>
      </c>
      <c r="CR137" s="1">
        <f t="shared" si="234"/>
        <v>0</v>
      </c>
      <c r="CS137" s="9">
        <f t="shared" si="235"/>
        <v>0</v>
      </c>
      <c r="CT137" s="10">
        <f t="shared" si="236"/>
        <v>0</v>
      </c>
      <c r="CU137" s="1">
        <f>SUMIFS(
  '[1]Hoja 1'!$M:$M,
  '[1]Hoja 1'!$S:$S, $A137,
  '[1]Hoja 1'!$R:$R, "&gt;="&amp;INT($CW$1),
  '[1]Hoja 1'!$R:$R, "&lt;"&amp;INT($CX$1+1)
)</f>
        <v>0</v>
      </c>
      <c r="CV137" s="1">
        <f t="shared" si="237"/>
        <v>0</v>
      </c>
      <c r="CW137" s="9">
        <f t="shared" si="238"/>
        <v>0</v>
      </c>
      <c r="CX137" s="10">
        <f t="shared" si="239"/>
        <v>0</v>
      </c>
      <c r="CY137" s="1">
        <f>SUMIFS(
  '[1]Hoja 1'!$M:$M,
  '[1]Hoja 1'!$S:$S, $A137,
  '[1]Hoja 1'!$R:$R, "&gt;="&amp;INT($DA$1),
  '[1]Hoja 1'!$R:$R, "&lt;"&amp;INT($DB$1+1)
)</f>
        <v>0</v>
      </c>
      <c r="CZ137" s="1">
        <f t="shared" si="240"/>
        <v>0</v>
      </c>
      <c r="DA137" s="9">
        <f t="shared" si="241"/>
        <v>0</v>
      </c>
      <c r="DB137" s="10">
        <f t="shared" si="242"/>
        <v>0</v>
      </c>
      <c r="DC137" s="1">
        <f>SUMIFS(
  '[1]Hoja 1'!$M:$M,
  '[1]Hoja 1'!$S:$S, $A137,
  '[1]Hoja 1'!$R:$R, "&gt;="&amp;INT($DE$1),
  '[1]Hoja 1'!$R:$R, "&lt;"&amp;INT($DF$1+1)
)</f>
        <v>0</v>
      </c>
      <c r="DD137" s="1">
        <f t="shared" si="243"/>
        <v>0</v>
      </c>
      <c r="DE137" s="9">
        <f t="shared" si="244"/>
        <v>0</v>
      </c>
      <c r="DF137" s="10">
        <f t="shared" si="245"/>
        <v>0</v>
      </c>
      <c r="DG137" s="1">
        <f>SUMIFS(
  '[1]Hoja 1'!$M:$M,
  '[1]Hoja 1'!$S:$S, $A137,
  '[1]Hoja 1'!$R:$R, "&gt;="&amp;INT($DI$1),
  '[1]Hoja 1'!$R:$R, "&lt;"&amp;INT($DJ$1+1)
)</f>
        <v>0</v>
      </c>
      <c r="DH137" s="1">
        <f t="shared" si="246"/>
        <v>0</v>
      </c>
      <c r="DI137" s="9">
        <f t="shared" si="247"/>
        <v>0</v>
      </c>
      <c r="DJ137" s="10">
        <f t="shared" si="248"/>
        <v>0</v>
      </c>
      <c r="DK137" s="1">
        <f>SUMIFS(
  '[1]Hoja 1'!$M:$M,
  '[1]Hoja 1'!$S:$S, $A137,
  '[1]Hoja 1'!$R:$R, "&gt;="&amp;INT($DM$1),
  '[1]Hoja 1'!$R:$R, "&lt;"&amp;INT($DN$1+1)
)</f>
        <v>0</v>
      </c>
      <c r="DL137" s="1">
        <f t="shared" si="249"/>
        <v>0</v>
      </c>
      <c r="DM137" s="9">
        <f t="shared" si="250"/>
        <v>0</v>
      </c>
      <c r="DN137" s="10">
        <f t="shared" si="251"/>
        <v>0</v>
      </c>
      <c r="DO137" s="1">
        <f>SUMIFS(
  '[1]Hoja 1'!$M:$M,
  '[1]Hoja 1'!$S:$S, $A137,
  '[1]Hoja 1'!$R:$R, "&gt;="&amp;INT($DQ$1),
  '[1]Hoja 1'!$R:$R, "&lt;"&amp;INT($DR$1+1)
)</f>
        <v>0</v>
      </c>
      <c r="DP137" s="1">
        <f t="shared" si="252"/>
        <v>0</v>
      </c>
      <c r="DQ137" s="9">
        <f t="shared" si="253"/>
        <v>0</v>
      </c>
      <c r="DR137" s="10">
        <f t="shared" si="254"/>
        <v>0</v>
      </c>
    </row>
    <row r="138" spans="1:122" x14ac:dyDescent="0.25">
      <c r="A138" s="5">
        <v>223007</v>
      </c>
      <c r="B138" s="6" t="s">
        <v>136</v>
      </c>
      <c r="C138" s="1">
        <f>SUMIFS(
  '[1]Hoja 1'!$M:$M,
  '[1]Hoja 1'!$S:$S, $A138,
  '[1]Hoja 1'!$R:$R, "&gt;="&amp;INT($E$1),
  '[1]Hoja 1'!$R:$R, "&lt;"&amp;INT($F$1+1)
)</f>
        <v>4</v>
      </c>
      <c r="D138" s="1" t="str">
        <f>""</f>
        <v/>
      </c>
      <c r="F138" s="2"/>
      <c r="G138" s="1">
        <f>SUMIFS(
  '[1]Hoja 1'!$M:$M,
  '[1]Hoja 1'!$S:$S, $A138,
  '[1]Hoja 1'!$R:$R, "&gt;="&amp;INT($I$1),
  '[1]Hoja 1'!$R:$R, "&lt;"&amp;INT($J$1+1)
)</f>
        <v>14</v>
      </c>
      <c r="H138" s="1">
        <f t="shared" si="170"/>
        <v>9</v>
      </c>
      <c r="I138" s="1"/>
      <c r="J138" s="2"/>
      <c r="K138" s="1">
        <f>SUMIFS(
  '[1]Hoja 1'!$M:$M,
  '[1]Hoja 1'!$S:$S, $A138,
  '[1]Hoja 1'!$R:$R, "&gt;="&amp;INT($M$1),
  '[1]Hoja 1'!$R:$R, "&lt;"&amp;INT($N$1+1)
)</f>
        <v>0</v>
      </c>
      <c r="L138" s="1">
        <f t="shared" si="171"/>
        <v>7</v>
      </c>
      <c r="M138" s="9">
        <f t="shared" si="172"/>
        <v>-9.6311514935075948</v>
      </c>
      <c r="N138" s="10">
        <f t="shared" si="173"/>
        <v>23.631151493507595</v>
      </c>
      <c r="O138" s="1">
        <f>SUMIFS(
  '[1]Hoja 1'!$M:$M,
  '[1]Hoja 1'!$S:$S, $A138,
  '[1]Hoja 1'!$R:$R, "&gt;="&amp;INT($Q$1),
  '[1]Hoja 1'!$R:$R, "&lt;"&amp;INT($R$1+1)
)</f>
        <v>0</v>
      </c>
      <c r="P138" s="1">
        <f t="shared" si="174"/>
        <v>0</v>
      </c>
      <c r="Q138" s="9">
        <f t="shared" si="175"/>
        <v>-4.8143189957497476</v>
      </c>
      <c r="R138" s="10">
        <f t="shared" si="176"/>
        <v>18.814318995749748</v>
      </c>
      <c r="S138" s="1">
        <f>SUMIFS(
  '[1]Hoja 1'!$M:$M,
  '[1]Hoja 1'!$S:$S, $A138,
  '[1]Hoja 1'!$R:$R, "&gt;="&amp;INT($U$1),
  '[1]Hoja 1'!$R:$R, "&lt;"&amp;INT($V$1+1)
)</f>
        <v>0</v>
      </c>
      <c r="T138" s="1">
        <f t="shared" si="177"/>
        <v>0</v>
      </c>
      <c r="U138" s="9">
        <f t="shared" si="178"/>
        <v>-9.6684504101398439</v>
      </c>
      <c r="V138" s="10">
        <f t="shared" si="179"/>
        <v>9.6684504101398439</v>
      </c>
      <c r="W138" s="1">
        <f>SUMIFS(
  '[1]Hoja 1'!$M:$M,
  '[1]Hoja 1'!$S:$S, $A138,
  '[1]Hoja 1'!$R:$R, "&gt;="&amp;INT($Y$1),
  '[1]Hoja 1'!$R:$R, "&lt;"&amp;INT($Z$1+1)
)</f>
        <v>0</v>
      </c>
      <c r="X138" s="1">
        <f t="shared" si="180"/>
        <v>0</v>
      </c>
      <c r="Y138" s="9">
        <f t="shared" si="181"/>
        <v>-6.8599999999999994</v>
      </c>
      <c r="Z138" s="10">
        <f t="shared" si="182"/>
        <v>6.8599999999999994</v>
      </c>
      <c r="AA138" s="1">
        <f>SUMIFS(
  '[1]Hoja 1'!$M:$M,
  '[1]Hoja 1'!$S:$S, $A138,
  '[1]Hoja 1'!$R:$R, "&gt;="&amp;INT($AC$1),
  '[1]Hoja 1'!$R:$R, "&lt;"&amp;INT($AD$1+1)
)</f>
        <v>4</v>
      </c>
      <c r="AB138" s="1">
        <f t="shared" si="183"/>
        <v>2</v>
      </c>
      <c r="AC138" s="9">
        <f t="shared" si="184"/>
        <v>0.24692270564016505</v>
      </c>
      <c r="AD138" s="10">
        <f t="shared" si="185"/>
        <v>3.96</v>
      </c>
      <c r="AE138" s="1">
        <f>SUMIFS(
  '[1]Hoja 1'!$M:$M,
  '[1]Hoja 1'!$S:$S, $A138,
  '[1]Hoja 1'!$R:$R, "&gt;="&amp;INT($AG$1),
  '[1]Hoja 1'!$R:$R, "&lt;"&amp;INT($AH$1+1)
)</f>
        <v>0</v>
      </c>
      <c r="AF138" s="1">
        <f t="shared" si="186"/>
        <v>2</v>
      </c>
      <c r="AG138" s="9">
        <f t="shared" si="187"/>
        <v>-0.77185858225126625</v>
      </c>
      <c r="AH138" s="10">
        <f t="shared" si="188"/>
        <v>5.2006665972366859</v>
      </c>
      <c r="AI138" s="1">
        <f>SUMIFS(
  '[1]Hoja 1'!$M:$M,
  '[1]Hoja 1'!$S:$S, $A138,
  '[1]Hoja 1'!$R:$R, "&gt;="&amp;INT($AK$1),
  '[1]Hoja 1'!$R:$R, "&lt;"&amp;INT($AL$1+1)
)</f>
        <v>0</v>
      </c>
      <c r="AJ138" s="1">
        <f t="shared" si="189"/>
        <v>0</v>
      </c>
      <c r="AK138" s="9">
        <f t="shared" si="190"/>
        <v>-2.7718585822512662</v>
      </c>
      <c r="AL138" s="10">
        <f t="shared" si="191"/>
        <v>3.2006665972366859</v>
      </c>
      <c r="AM138" s="1">
        <f>SUMIFS(
  '[1]Hoja 1'!$M:$M,
  '[1]Hoja 1'!$S:$S, $A138,
  '[1]Hoja 1'!$R:$R, "&gt;="&amp;INT($AO$1),
  '[1]Hoja 1'!$R:$R, "&lt;"&amp;INT($AP$1+1)
)</f>
        <v>0</v>
      </c>
      <c r="AN138" s="1">
        <f t="shared" si="192"/>
        <v>0</v>
      </c>
      <c r="AO138" s="9">
        <f t="shared" si="193"/>
        <v>-2.7718585822512662</v>
      </c>
      <c r="AP138" s="10">
        <f t="shared" si="194"/>
        <v>3.2006665972366859</v>
      </c>
      <c r="AQ138" s="1">
        <f>SUMIFS(
  '[1]Hoja 1'!$M:$M,
  '[1]Hoja 1'!$S:$S, $A138,
  '[1]Hoja 1'!$R:$R, "&gt;="&amp;INT($AS$1),
  '[1]Hoja 1'!$R:$R, "&lt;"&amp;INT($AT$1+1)
)</f>
        <v>0</v>
      </c>
      <c r="AR138" s="1">
        <f t="shared" si="195"/>
        <v>0</v>
      </c>
      <c r="AS138" s="9">
        <f t="shared" si="196"/>
        <v>-1.7530772943598349</v>
      </c>
      <c r="AT138" s="10">
        <f t="shared" si="197"/>
        <v>1.96</v>
      </c>
      <c r="AU138" s="1">
        <f>SUMIFS(
  '[1]Hoja 1'!$M:$M,
  '[1]Hoja 1'!$S:$S, $A138,
  '[1]Hoja 1'!$R:$R, "&gt;="&amp;INT($AW$1),
  '[1]Hoja 1'!$R:$R, "&lt;"&amp;INT($AX$1+1)
)</f>
        <v>0</v>
      </c>
      <c r="AV138" s="1">
        <f t="shared" si="198"/>
        <v>0</v>
      </c>
      <c r="AW138" s="9">
        <f t="shared" si="199"/>
        <v>0</v>
      </c>
      <c r="AX138" s="10">
        <f t="shared" si="200"/>
        <v>0</v>
      </c>
      <c r="AY138" s="1">
        <f>SUMIFS(
  '[1]Hoja 1'!$M:$M,
  '[1]Hoja 1'!$S:$S, $A138,
  '[1]Hoja 1'!$R:$R, "&gt;="&amp;INT($BA$1),
  '[1]Hoja 1'!$R:$R, "&lt;"&amp;INT($BB$1+1)
)</f>
        <v>0</v>
      </c>
      <c r="AZ138" s="1">
        <f t="shared" si="201"/>
        <v>0</v>
      </c>
      <c r="BA138" s="9">
        <f t="shared" si="202"/>
        <v>0</v>
      </c>
      <c r="BB138" s="10">
        <f t="shared" si="203"/>
        <v>0</v>
      </c>
      <c r="BC138" s="1">
        <f>SUMIFS(
  '[1]Hoja 1'!$M:$M,
  '[1]Hoja 1'!$S:$S, $A138,
  '[1]Hoja 1'!$R:$R, "&gt;="&amp;INT($BE$1),
  '[1]Hoja 1'!$R:$R, "&lt;"&amp;INT($BF$1+1)
)</f>
        <v>0</v>
      </c>
      <c r="BD138" s="1">
        <f t="shared" si="204"/>
        <v>0</v>
      </c>
      <c r="BE138" s="9">
        <f t="shared" si="205"/>
        <v>0</v>
      </c>
      <c r="BF138" s="10">
        <f t="shared" si="206"/>
        <v>0</v>
      </c>
      <c r="BG138" s="1">
        <f>SUMIFS(
  '[1]Hoja 1'!$M:$M,
  '[1]Hoja 1'!$S:$S, $A138,
  '[1]Hoja 1'!$R:$R, "&gt;="&amp;INT($BI$1),
  '[1]Hoja 1'!$R:$R, "&lt;"&amp;INT($BJ$1+1)
)</f>
        <v>0</v>
      </c>
      <c r="BH138" s="1">
        <f t="shared" si="207"/>
        <v>0</v>
      </c>
      <c r="BI138" s="9">
        <f t="shared" si="208"/>
        <v>0</v>
      </c>
      <c r="BJ138" s="10">
        <f t="shared" si="209"/>
        <v>0</v>
      </c>
      <c r="BK138" s="1">
        <f>SUMIFS(
  '[1]Hoja 1'!$M:$M,
  '[1]Hoja 1'!$S:$S, $A138,
  '[1]Hoja 1'!$R:$R, "&gt;="&amp;INT($BM$1),
  '[1]Hoja 1'!$R:$R, "&lt;"&amp;INT($BN$1+1)
)</f>
        <v>0</v>
      </c>
      <c r="BL138" s="1">
        <f t="shared" si="210"/>
        <v>0</v>
      </c>
      <c r="BM138" s="9">
        <f t="shared" si="211"/>
        <v>0</v>
      </c>
      <c r="BN138" s="10">
        <f t="shared" si="212"/>
        <v>0</v>
      </c>
      <c r="BO138" s="1">
        <f>SUMIFS(
  '[1]Hoja 1'!$M:$M,
  '[1]Hoja 1'!$S:$S, $A138,
  '[1]Hoja 1'!$R:$R, "&gt;="&amp;INT($BQ$1),
  '[1]Hoja 1'!$R:$R, "&lt;"&amp;INT($BR$1+1)
)</f>
        <v>0</v>
      </c>
      <c r="BP138" s="1">
        <f t="shared" si="213"/>
        <v>0</v>
      </c>
      <c r="BQ138" s="9">
        <f t="shared" si="214"/>
        <v>0</v>
      </c>
      <c r="BR138" s="10">
        <f t="shared" si="215"/>
        <v>0</v>
      </c>
      <c r="BS138" s="1">
        <f>SUMIFS(
  '[1]Hoja 1'!$M:$M,
  '[1]Hoja 1'!$S:$S, $A138,
  '[1]Hoja 1'!$R:$R, "&gt;="&amp;INT($BU$1),
  '[1]Hoja 1'!$R:$R, "&lt;"&amp;INT($BV$1+1)
)</f>
        <v>0</v>
      </c>
      <c r="BT138" s="1">
        <f t="shared" si="216"/>
        <v>0</v>
      </c>
      <c r="BU138" s="9">
        <f t="shared" si="217"/>
        <v>0</v>
      </c>
      <c r="BV138" s="10">
        <f t="shared" si="218"/>
        <v>0</v>
      </c>
      <c r="BW138" s="1">
        <f>SUMIFS(
  '[1]Hoja 1'!$M:$M,
  '[1]Hoja 1'!$S:$S, $A138,
  '[1]Hoja 1'!$R:$R, "&gt;="&amp;INT($BY$1),
  '[1]Hoja 1'!$R:$R, "&lt;"&amp;INT($BZ$1+1)
)</f>
        <v>0</v>
      </c>
      <c r="BX138" s="1">
        <f t="shared" si="219"/>
        <v>0</v>
      </c>
      <c r="BY138" s="9">
        <f t="shared" si="220"/>
        <v>0</v>
      </c>
      <c r="BZ138" s="10">
        <f t="shared" si="221"/>
        <v>0</v>
      </c>
      <c r="CA138" s="1">
        <f>SUMIFS(
  '[1]Hoja 1'!$M:$M,
  '[1]Hoja 1'!$S:$S, $A138,
  '[1]Hoja 1'!$R:$R, "&gt;="&amp;INT($CC$1),
  '[1]Hoja 1'!$R:$R, "&lt;"&amp;INT($CD$1+1)
)</f>
        <v>0</v>
      </c>
      <c r="CB138" s="1">
        <f t="shared" si="222"/>
        <v>0</v>
      </c>
      <c r="CC138" s="9">
        <f t="shared" si="223"/>
        <v>0</v>
      </c>
      <c r="CD138" s="10">
        <f t="shared" si="224"/>
        <v>0</v>
      </c>
      <c r="CE138" s="1">
        <f>SUMIFS(
  '[1]Hoja 1'!$M:$M,
  '[1]Hoja 1'!$S:$S, $A138,
  '[1]Hoja 1'!$R:$R, "&gt;="&amp;INT($CG$1),
  '[1]Hoja 1'!$R:$R, "&lt;"&amp;INT($CH$1+1)
)</f>
        <v>0</v>
      </c>
      <c r="CF138" s="1">
        <f t="shared" si="225"/>
        <v>0</v>
      </c>
      <c r="CG138" s="9">
        <f t="shared" si="226"/>
        <v>0</v>
      </c>
      <c r="CH138" s="10">
        <f t="shared" si="227"/>
        <v>0</v>
      </c>
      <c r="CI138" s="1">
        <f>SUMIFS(
  '[1]Hoja 1'!$M:$M,
  '[1]Hoja 1'!$S:$S, $A138,
  '[1]Hoja 1'!$R:$R, "&gt;="&amp;INT($CK$1),
  '[1]Hoja 1'!$R:$R, "&lt;"&amp;INT($CL$1+1)
)</f>
        <v>0</v>
      </c>
      <c r="CJ138" s="1">
        <f t="shared" si="228"/>
        <v>0</v>
      </c>
      <c r="CK138" s="9">
        <f t="shared" si="229"/>
        <v>0</v>
      </c>
      <c r="CL138" s="10">
        <f t="shared" si="230"/>
        <v>0</v>
      </c>
      <c r="CM138" s="1">
        <f>SUMIFS(
  '[1]Hoja 1'!$M:$M,
  '[1]Hoja 1'!$S:$S, $A138,
  '[1]Hoja 1'!$R:$R, "&gt;="&amp;INT($CO$1),
  '[1]Hoja 1'!$R:$R, "&lt;"&amp;INT($CP$1+1)
)</f>
        <v>0</v>
      </c>
      <c r="CN138" s="1">
        <f t="shared" si="231"/>
        <v>0</v>
      </c>
      <c r="CO138" s="9">
        <f t="shared" si="232"/>
        <v>0</v>
      </c>
      <c r="CP138" s="10">
        <f t="shared" si="233"/>
        <v>0</v>
      </c>
      <c r="CQ138" s="1">
        <f>SUMIFS(
  '[1]Hoja 1'!$M:$M,
  '[1]Hoja 1'!$S:$S, $A138,
  '[1]Hoja 1'!$R:$R, "&gt;="&amp;INT($CS$1),
  '[1]Hoja 1'!$R:$R, "&lt;"&amp;INT($CT$1+1)
)</f>
        <v>0</v>
      </c>
      <c r="CR138" s="1">
        <f t="shared" si="234"/>
        <v>0</v>
      </c>
      <c r="CS138" s="9">
        <f t="shared" si="235"/>
        <v>0</v>
      </c>
      <c r="CT138" s="10">
        <f t="shared" si="236"/>
        <v>0</v>
      </c>
      <c r="CU138" s="1">
        <f>SUMIFS(
  '[1]Hoja 1'!$M:$M,
  '[1]Hoja 1'!$S:$S, $A138,
  '[1]Hoja 1'!$R:$R, "&gt;="&amp;INT($CW$1),
  '[1]Hoja 1'!$R:$R, "&lt;"&amp;INT($CX$1+1)
)</f>
        <v>0</v>
      </c>
      <c r="CV138" s="1">
        <f t="shared" si="237"/>
        <v>0</v>
      </c>
      <c r="CW138" s="9">
        <f t="shared" si="238"/>
        <v>0</v>
      </c>
      <c r="CX138" s="10">
        <f t="shared" si="239"/>
        <v>0</v>
      </c>
      <c r="CY138" s="1">
        <f>SUMIFS(
  '[1]Hoja 1'!$M:$M,
  '[1]Hoja 1'!$S:$S, $A138,
  '[1]Hoja 1'!$R:$R, "&gt;="&amp;INT($DA$1),
  '[1]Hoja 1'!$R:$R, "&lt;"&amp;INT($DB$1+1)
)</f>
        <v>0</v>
      </c>
      <c r="CZ138" s="1">
        <f t="shared" si="240"/>
        <v>0</v>
      </c>
      <c r="DA138" s="9">
        <f t="shared" si="241"/>
        <v>0</v>
      </c>
      <c r="DB138" s="10">
        <f t="shared" si="242"/>
        <v>0</v>
      </c>
      <c r="DC138" s="1">
        <f>SUMIFS(
  '[1]Hoja 1'!$M:$M,
  '[1]Hoja 1'!$S:$S, $A138,
  '[1]Hoja 1'!$R:$R, "&gt;="&amp;INT($DE$1),
  '[1]Hoja 1'!$R:$R, "&lt;"&amp;INT($DF$1+1)
)</f>
        <v>0</v>
      </c>
      <c r="DD138" s="1">
        <f t="shared" si="243"/>
        <v>0</v>
      </c>
      <c r="DE138" s="9">
        <f t="shared" si="244"/>
        <v>0</v>
      </c>
      <c r="DF138" s="10">
        <f t="shared" si="245"/>
        <v>0</v>
      </c>
      <c r="DG138" s="1">
        <f>SUMIFS(
  '[1]Hoja 1'!$M:$M,
  '[1]Hoja 1'!$S:$S, $A138,
  '[1]Hoja 1'!$R:$R, "&gt;="&amp;INT($DI$1),
  '[1]Hoja 1'!$R:$R, "&lt;"&amp;INT($DJ$1+1)
)</f>
        <v>0</v>
      </c>
      <c r="DH138" s="1">
        <f t="shared" si="246"/>
        <v>0</v>
      </c>
      <c r="DI138" s="9">
        <f t="shared" si="247"/>
        <v>0</v>
      </c>
      <c r="DJ138" s="10">
        <f t="shared" si="248"/>
        <v>0</v>
      </c>
      <c r="DK138" s="1">
        <f>SUMIFS(
  '[1]Hoja 1'!$M:$M,
  '[1]Hoja 1'!$S:$S, $A138,
  '[1]Hoja 1'!$R:$R, "&gt;="&amp;INT($DM$1),
  '[1]Hoja 1'!$R:$R, "&lt;"&amp;INT($DN$1+1)
)</f>
        <v>0</v>
      </c>
      <c r="DL138" s="1">
        <f t="shared" si="249"/>
        <v>0</v>
      </c>
      <c r="DM138" s="9">
        <f t="shared" si="250"/>
        <v>0</v>
      </c>
      <c r="DN138" s="10">
        <f t="shared" si="251"/>
        <v>0</v>
      </c>
      <c r="DO138" s="1">
        <f>SUMIFS(
  '[1]Hoja 1'!$M:$M,
  '[1]Hoja 1'!$S:$S, $A138,
  '[1]Hoja 1'!$R:$R, "&gt;="&amp;INT($DQ$1),
  '[1]Hoja 1'!$R:$R, "&lt;"&amp;INT($DR$1+1)
)</f>
        <v>0</v>
      </c>
      <c r="DP138" s="1">
        <f t="shared" si="252"/>
        <v>0</v>
      </c>
      <c r="DQ138" s="9">
        <f t="shared" si="253"/>
        <v>0</v>
      </c>
      <c r="DR138" s="10">
        <f t="shared" si="254"/>
        <v>0</v>
      </c>
    </row>
    <row r="139" spans="1:122" x14ac:dyDescent="0.25">
      <c r="A139" s="5">
        <v>223015</v>
      </c>
      <c r="B139" s="6" t="s">
        <v>137</v>
      </c>
      <c r="C139" s="1">
        <f>SUMIFS(
  '[1]Hoja 1'!$M:$M,
  '[1]Hoja 1'!$S:$S, $A139,
  '[1]Hoja 1'!$R:$R, "&gt;="&amp;INT($E$1),
  '[1]Hoja 1'!$R:$R, "&lt;"&amp;INT($F$1+1)
)</f>
        <v>0</v>
      </c>
      <c r="D139" s="1" t="str">
        <f>""</f>
        <v/>
      </c>
      <c r="F139" s="2"/>
      <c r="G139" s="1">
        <f>SUMIFS(
  '[1]Hoja 1'!$M:$M,
  '[1]Hoja 1'!$S:$S, $A139,
  '[1]Hoja 1'!$R:$R, "&gt;="&amp;INT($I$1),
  '[1]Hoja 1'!$R:$R, "&lt;"&amp;INT($J$1+1)
)</f>
        <v>0</v>
      </c>
      <c r="H139" s="1">
        <f t="shared" si="170"/>
        <v>0</v>
      </c>
      <c r="I139" s="1"/>
      <c r="J139" s="2"/>
      <c r="K139" s="1">
        <f>SUMIFS(
  '[1]Hoja 1'!$M:$M,
  '[1]Hoja 1'!$S:$S, $A139,
  '[1]Hoja 1'!$R:$R, "&gt;="&amp;INT($M$1),
  '[1]Hoja 1'!$R:$R, "&lt;"&amp;INT($N$1+1)
)</f>
        <v>0</v>
      </c>
      <c r="L139" s="1">
        <f t="shared" si="171"/>
        <v>0</v>
      </c>
      <c r="M139" s="9">
        <f t="shared" si="172"/>
        <v>0</v>
      </c>
      <c r="N139" s="10">
        <f t="shared" si="173"/>
        <v>0</v>
      </c>
      <c r="O139" s="1">
        <f>SUMIFS(
  '[1]Hoja 1'!$M:$M,
  '[1]Hoja 1'!$S:$S, $A139,
  '[1]Hoja 1'!$R:$R, "&gt;="&amp;INT($Q$1),
  '[1]Hoja 1'!$R:$R, "&lt;"&amp;INT($R$1+1)
)</f>
        <v>0</v>
      </c>
      <c r="P139" s="1">
        <f t="shared" si="174"/>
        <v>0</v>
      </c>
      <c r="Q139" s="9">
        <f t="shared" si="175"/>
        <v>0</v>
      </c>
      <c r="R139" s="10">
        <f t="shared" si="176"/>
        <v>0</v>
      </c>
      <c r="S139" s="1">
        <f>SUMIFS(
  '[1]Hoja 1'!$M:$M,
  '[1]Hoja 1'!$S:$S, $A139,
  '[1]Hoja 1'!$R:$R, "&gt;="&amp;INT($U$1),
  '[1]Hoja 1'!$R:$R, "&lt;"&amp;INT($V$1+1)
)</f>
        <v>0</v>
      </c>
      <c r="T139" s="1">
        <f t="shared" si="177"/>
        <v>0</v>
      </c>
      <c r="U139" s="9">
        <f t="shared" si="178"/>
        <v>0</v>
      </c>
      <c r="V139" s="10">
        <f t="shared" si="179"/>
        <v>0</v>
      </c>
      <c r="W139" s="1">
        <f>SUMIFS(
  '[1]Hoja 1'!$M:$M,
  '[1]Hoja 1'!$S:$S, $A139,
  '[1]Hoja 1'!$R:$R, "&gt;="&amp;INT($Y$1),
  '[1]Hoja 1'!$R:$R, "&lt;"&amp;INT($Z$1+1)
)</f>
        <v>0</v>
      </c>
      <c r="X139" s="1">
        <f t="shared" si="180"/>
        <v>0</v>
      </c>
      <c r="Y139" s="9">
        <f t="shared" si="181"/>
        <v>0</v>
      </c>
      <c r="Z139" s="10">
        <f t="shared" si="182"/>
        <v>0</v>
      </c>
      <c r="AA139" s="1">
        <f>SUMIFS(
  '[1]Hoja 1'!$M:$M,
  '[1]Hoja 1'!$S:$S, $A139,
  '[1]Hoja 1'!$R:$R, "&gt;="&amp;INT($AC$1),
  '[1]Hoja 1'!$R:$R, "&lt;"&amp;INT($AD$1+1)
)</f>
        <v>0</v>
      </c>
      <c r="AB139" s="1">
        <f t="shared" si="183"/>
        <v>0</v>
      </c>
      <c r="AC139" s="9">
        <f t="shared" si="184"/>
        <v>0</v>
      </c>
      <c r="AD139" s="10">
        <f t="shared" si="185"/>
        <v>0</v>
      </c>
      <c r="AE139" s="1">
        <f>SUMIFS(
  '[1]Hoja 1'!$M:$M,
  '[1]Hoja 1'!$S:$S, $A139,
  '[1]Hoja 1'!$R:$R, "&gt;="&amp;INT($AG$1),
  '[1]Hoja 1'!$R:$R, "&lt;"&amp;INT($AH$1+1)
)</f>
        <v>0</v>
      </c>
      <c r="AF139" s="1">
        <f t="shared" si="186"/>
        <v>0</v>
      </c>
      <c r="AG139" s="9">
        <f t="shared" si="187"/>
        <v>0</v>
      </c>
      <c r="AH139" s="10">
        <f t="shared" si="188"/>
        <v>0</v>
      </c>
      <c r="AI139" s="1">
        <f>SUMIFS(
  '[1]Hoja 1'!$M:$M,
  '[1]Hoja 1'!$S:$S, $A139,
  '[1]Hoja 1'!$R:$R, "&gt;="&amp;INT($AK$1),
  '[1]Hoja 1'!$R:$R, "&lt;"&amp;INT($AL$1+1)
)</f>
        <v>0</v>
      </c>
      <c r="AJ139" s="1">
        <f t="shared" si="189"/>
        <v>0</v>
      </c>
      <c r="AK139" s="9">
        <f t="shared" si="190"/>
        <v>0</v>
      </c>
      <c r="AL139" s="10">
        <f t="shared" si="191"/>
        <v>0</v>
      </c>
      <c r="AM139" s="1">
        <f>SUMIFS(
  '[1]Hoja 1'!$M:$M,
  '[1]Hoja 1'!$S:$S, $A139,
  '[1]Hoja 1'!$R:$R, "&gt;="&amp;INT($AO$1),
  '[1]Hoja 1'!$R:$R, "&lt;"&amp;INT($AP$1+1)
)</f>
        <v>0</v>
      </c>
      <c r="AN139" s="1">
        <f t="shared" si="192"/>
        <v>0</v>
      </c>
      <c r="AO139" s="9">
        <f t="shared" si="193"/>
        <v>0</v>
      </c>
      <c r="AP139" s="10">
        <f t="shared" si="194"/>
        <v>0</v>
      </c>
      <c r="AQ139" s="1">
        <f>SUMIFS(
  '[1]Hoja 1'!$M:$M,
  '[1]Hoja 1'!$S:$S, $A139,
  '[1]Hoja 1'!$R:$R, "&gt;="&amp;INT($AS$1),
  '[1]Hoja 1'!$R:$R, "&lt;"&amp;INT($AT$1+1)
)</f>
        <v>0</v>
      </c>
      <c r="AR139" s="1">
        <f t="shared" si="195"/>
        <v>0</v>
      </c>
      <c r="AS139" s="9">
        <f t="shared" si="196"/>
        <v>0</v>
      </c>
      <c r="AT139" s="10">
        <f t="shared" si="197"/>
        <v>0</v>
      </c>
      <c r="AU139" s="1">
        <f>SUMIFS(
  '[1]Hoja 1'!$M:$M,
  '[1]Hoja 1'!$S:$S, $A139,
  '[1]Hoja 1'!$R:$R, "&gt;="&amp;INT($AW$1),
  '[1]Hoja 1'!$R:$R, "&lt;"&amp;INT($AX$1+1)
)</f>
        <v>0</v>
      </c>
      <c r="AV139" s="1">
        <f t="shared" si="198"/>
        <v>0</v>
      </c>
      <c r="AW139" s="9">
        <f t="shared" si="199"/>
        <v>0</v>
      </c>
      <c r="AX139" s="10">
        <f t="shared" si="200"/>
        <v>0</v>
      </c>
      <c r="AY139" s="1">
        <f>SUMIFS(
  '[1]Hoja 1'!$M:$M,
  '[1]Hoja 1'!$S:$S, $A139,
  '[1]Hoja 1'!$R:$R, "&gt;="&amp;INT($BA$1),
  '[1]Hoja 1'!$R:$R, "&lt;"&amp;INT($BB$1+1)
)</f>
        <v>0</v>
      </c>
      <c r="AZ139" s="1">
        <f t="shared" si="201"/>
        <v>0</v>
      </c>
      <c r="BA139" s="9">
        <f t="shared" si="202"/>
        <v>0</v>
      </c>
      <c r="BB139" s="10">
        <f t="shared" si="203"/>
        <v>0</v>
      </c>
      <c r="BC139" s="1">
        <f>SUMIFS(
  '[1]Hoja 1'!$M:$M,
  '[1]Hoja 1'!$S:$S, $A139,
  '[1]Hoja 1'!$R:$R, "&gt;="&amp;INT($BE$1),
  '[1]Hoja 1'!$R:$R, "&lt;"&amp;INT($BF$1+1)
)</f>
        <v>0</v>
      </c>
      <c r="BD139" s="1">
        <f t="shared" si="204"/>
        <v>0</v>
      </c>
      <c r="BE139" s="9">
        <f t="shared" si="205"/>
        <v>0</v>
      </c>
      <c r="BF139" s="10">
        <f t="shared" si="206"/>
        <v>0</v>
      </c>
      <c r="BG139" s="1">
        <f>SUMIFS(
  '[1]Hoja 1'!$M:$M,
  '[1]Hoja 1'!$S:$S, $A139,
  '[1]Hoja 1'!$R:$R, "&gt;="&amp;INT($BI$1),
  '[1]Hoja 1'!$R:$R, "&lt;"&amp;INT($BJ$1+1)
)</f>
        <v>0</v>
      </c>
      <c r="BH139" s="1">
        <f t="shared" si="207"/>
        <v>0</v>
      </c>
      <c r="BI139" s="9">
        <f t="shared" si="208"/>
        <v>0</v>
      </c>
      <c r="BJ139" s="10">
        <f t="shared" si="209"/>
        <v>0</v>
      </c>
      <c r="BK139" s="1">
        <f>SUMIFS(
  '[1]Hoja 1'!$M:$M,
  '[1]Hoja 1'!$S:$S, $A139,
  '[1]Hoja 1'!$R:$R, "&gt;="&amp;INT($BM$1),
  '[1]Hoja 1'!$R:$R, "&lt;"&amp;INT($BN$1+1)
)</f>
        <v>0</v>
      </c>
      <c r="BL139" s="1">
        <f t="shared" si="210"/>
        <v>0</v>
      </c>
      <c r="BM139" s="9">
        <f t="shared" si="211"/>
        <v>0</v>
      </c>
      <c r="BN139" s="10">
        <f t="shared" si="212"/>
        <v>0</v>
      </c>
      <c r="BO139" s="1">
        <f>SUMIFS(
  '[1]Hoja 1'!$M:$M,
  '[1]Hoja 1'!$S:$S, $A139,
  '[1]Hoja 1'!$R:$R, "&gt;="&amp;INT($BQ$1),
  '[1]Hoja 1'!$R:$R, "&lt;"&amp;INT($BR$1+1)
)</f>
        <v>0</v>
      </c>
      <c r="BP139" s="1">
        <f t="shared" si="213"/>
        <v>0</v>
      </c>
      <c r="BQ139" s="9">
        <f t="shared" si="214"/>
        <v>0</v>
      </c>
      <c r="BR139" s="10">
        <f t="shared" si="215"/>
        <v>0</v>
      </c>
      <c r="BS139" s="1">
        <f>SUMIFS(
  '[1]Hoja 1'!$M:$M,
  '[1]Hoja 1'!$S:$S, $A139,
  '[1]Hoja 1'!$R:$R, "&gt;="&amp;INT($BU$1),
  '[1]Hoja 1'!$R:$R, "&lt;"&amp;INT($BV$1+1)
)</f>
        <v>0</v>
      </c>
      <c r="BT139" s="1">
        <f t="shared" si="216"/>
        <v>0</v>
      </c>
      <c r="BU139" s="9">
        <f t="shared" si="217"/>
        <v>0</v>
      </c>
      <c r="BV139" s="10">
        <f t="shared" si="218"/>
        <v>0</v>
      </c>
      <c r="BW139" s="1">
        <f>SUMIFS(
  '[1]Hoja 1'!$M:$M,
  '[1]Hoja 1'!$S:$S, $A139,
  '[1]Hoja 1'!$R:$R, "&gt;="&amp;INT($BY$1),
  '[1]Hoja 1'!$R:$R, "&lt;"&amp;INT($BZ$1+1)
)</f>
        <v>0</v>
      </c>
      <c r="BX139" s="1">
        <f t="shared" si="219"/>
        <v>0</v>
      </c>
      <c r="BY139" s="9">
        <f t="shared" si="220"/>
        <v>0</v>
      </c>
      <c r="BZ139" s="10">
        <f t="shared" si="221"/>
        <v>0</v>
      </c>
      <c r="CA139" s="1">
        <f>SUMIFS(
  '[1]Hoja 1'!$M:$M,
  '[1]Hoja 1'!$S:$S, $A139,
  '[1]Hoja 1'!$R:$R, "&gt;="&amp;INT($CC$1),
  '[1]Hoja 1'!$R:$R, "&lt;"&amp;INT($CD$1+1)
)</f>
        <v>0</v>
      </c>
      <c r="CB139" s="1">
        <f t="shared" si="222"/>
        <v>0</v>
      </c>
      <c r="CC139" s="9">
        <f t="shared" si="223"/>
        <v>0</v>
      </c>
      <c r="CD139" s="10">
        <f t="shared" si="224"/>
        <v>0</v>
      </c>
      <c r="CE139" s="1">
        <f>SUMIFS(
  '[1]Hoja 1'!$M:$M,
  '[1]Hoja 1'!$S:$S, $A139,
  '[1]Hoja 1'!$R:$R, "&gt;="&amp;INT($CG$1),
  '[1]Hoja 1'!$R:$R, "&lt;"&amp;INT($CH$1+1)
)</f>
        <v>0</v>
      </c>
      <c r="CF139" s="1">
        <f t="shared" si="225"/>
        <v>0</v>
      </c>
      <c r="CG139" s="9">
        <f t="shared" si="226"/>
        <v>0</v>
      </c>
      <c r="CH139" s="10">
        <f t="shared" si="227"/>
        <v>0</v>
      </c>
      <c r="CI139" s="1">
        <f>SUMIFS(
  '[1]Hoja 1'!$M:$M,
  '[1]Hoja 1'!$S:$S, $A139,
  '[1]Hoja 1'!$R:$R, "&gt;="&amp;INT($CK$1),
  '[1]Hoja 1'!$R:$R, "&lt;"&amp;INT($CL$1+1)
)</f>
        <v>0</v>
      </c>
      <c r="CJ139" s="1">
        <f t="shared" si="228"/>
        <v>0</v>
      </c>
      <c r="CK139" s="9">
        <f t="shared" si="229"/>
        <v>0</v>
      </c>
      <c r="CL139" s="10">
        <f t="shared" si="230"/>
        <v>0</v>
      </c>
      <c r="CM139" s="1">
        <f>SUMIFS(
  '[1]Hoja 1'!$M:$M,
  '[1]Hoja 1'!$S:$S, $A139,
  '[1]Hoja 1'!$R:$R, "&gt;="&amp;INT($CO$1),
  '[1]Hoja 1'!$R:$R, "&lt;"&amp;INT($CP$1+1)
)</f>
        <v>0</v>
      </c>
      <c r="CN139" s="1">
        <f t="shared" si="231"/>
        <v>0</v>
      </c>
      <c r="CO139" s="9">
        <f t="shared" si="232"/>
        <v>0</v>
      </c>
      <c r="CP139" s="10">
        <f t="shared" si="233"/>
        <v>0</v>
      </c>
      <c r="CQ139" s="1">
        <f>SUMIFS(
  '[1]Hoja 1'!$M:$M,
  '[1]Hoja 1'!$S:$S, $A139,
  '[1]Hoja 1'!$R:$R, "&gt;="&amp;INT($CS$1),
  '[1]Hoja 1'!$R:$R, "&lt;"&amp;INT($CT$1+1)
)</f>
        <v>0</v>
      </c>
      <c r="CR139" s="1">
        <f t="shared" si="234"/>
        <v>0</v>
      </c>
      <c r="CS139" s="9">
        <f t="shared" si="235"/>
        <v>0</v>
      </c>
      <c r="CT139" s="10">
        <f t="shared" si="236"/>
        <v>0</v>
      </c>
      <c r="CU139" s="1">
        <f>SUMIFS(
  '[1]Hoja 1'!$M:$M,
  '[1]Hoja 1'!$S:$S, $A139,
  '[1]Hoja 1'!$R:$R, "&gt;="&amp;INT($CW$1),
  '[1]Hoja 1'!$R:$R, "&lt;"&amp;INT($CX$1+1)
)</f>
        <v>0</v>
      </c>
      <c r="CV139" s="1">
        <f t="shared" si="237"/>
        <v>0</v>
      </c>
      <c r="CW139" s="9">
        <f t="shared" si="238"/>
        <v>0</v>
      </c>
      <c r="CX139" s="10">
        <f t="shared" si="239"/>
        <v>0</v>
      </c>
      <c r="CY139" s="1">
        <f>SUMIFS(
  '[1]Hoja 1'!$M:$M,
  '[1]Hoja 1'!$S:$S, $A139,
  '[1]Hoja 1'!$R:$R, "&gt;="&amp;INT($DA$1),
  '[1]Hoja 1'!$R:$R, "&lt;"&amp;INT($DB$1+1)
)</f>
        <v>0</v>
      </c>
      <c r="CZ139" s="1">
        <f t="shared" si="240"/>
        <v>0</v>
      </c>
      <c r="DA139" s="9">
        <f t="shared" si="241"/>
        <v>0</v>
      </c>
      <c r="DB139" s="10">
        <f t="shared" si="242"/>
        <v>0</v>
      </c>
      <c r="DC139" s="1">
        <f>SUMIFS(
  '[1]Hoja 1'!$M:$M,
  '[1]Hoja 1'!$S:$S, $A139,
  '[1]Hoja 1'!$R:$R, "&gt;="&amp;INT($DE$1),
  '[1]Hoja 1'!$R:$R, "&lt;"&amp;INT($DF$1+1)
)</f>
        <v>0</v>
      </c>
      <c r="DD139" s="1">
        <f t="shared" si="243"/>
        <v>0</v>
      </c>
      <c r="DE139" s="9">
        <f t="shared" si="244"/>
        <v>0</v>
      </c>
      <c r="DF139" s="10">
        <f t="shared" si="245"/>
        <v>0</v>
      </c>
      <c r="DG139" s="1">
        <f>SUMIFS(
  '[1]Hoja 1'!$M:$M,
  '[1]Hoja 1'!$S:$S, $A139,
  '[1]Hoja 1'!$R:$R, "&gt;="&amp;INT($DI$1),
  '[1]Hoja 1'!$R:$R, "&lt;"&amp;INT($DJ$1+1)
)</f>
        <v>0</v>
      </c>
      <c r="DH139" s="1">
        <f t="shared" si="246"/>
        <v>0</v>
      </c>
      <c r="DI139" s="9">
        <f t="shared" si="247"/>
        <v>0</v>
      </c>
      <c r="DJ139" s="10">
        <f t="shared" si="248"/>
        <v>0</v>
      </c>
      <c r="DK139" s="1">
        <f>SUMIFS(
  '[1]Hoja 1'!$M:$M,
  '[1]Hoja 1'!$S:$S, $A139,
  '[1]Hoja 1'!$R:$R, "&gt;="&amp;INT($DM$1),
  '[1]Hoja 1'!$R:$R, "&lt;"&amp;INT($DN$1+1)
)</f>
        <v>0</v>
      </c>
      <c r="DL139" s="1">
        <f t="shared" si="249"/>
        <v>0</v>
      </c>
      <c r="DM139" s="9">
        <f t="shared" si="250"/>
        <v>0</v>
      </c>
      <c r="DN139" s="10">
        <f t="shared" si="251"/>
        <v>0</v>
      </c>
      <c r="DO139" s="1">
        <f>SUMIFS(
  '[1]Hoja 1'!$M:$M,
  '[1]Hoja 1'!$S:$S, $A139,
  '[1]Hoja 1'!$R:$R, "&gt;="&amp;INT($DQ$1),
  '[1]Hoja 1'!$R:$R, "&lt;"&amp;INT($DR$1+1)
)</f>
        <v>0</v>
      </c>
      <c r="DP139" s="1">
        <f t="shared" si="252"/>
        <v>0</v>
      </c>
      <c r="DQ139" s="9">
        <f t="shared" si="253"/>
        <v>0</v>
      </c>
      <c r="DR139" s="10">
        <f t="shared" si="254"/>
        <v>0</v>
      </c>
    </row>
    <row r="140" spans="1:122" x14ac:dyDescent="0.25">
      <c r="A140" s="5">
        <v>223016</v>
      </c>
      <c r="B140" s="6" t="s">
        <v>138</v>
      </c>
      <c r="C140" s="1">
        <f>SUMIFS(
  '[1]Hoja 1'!$M:$M,
  '[1]Hoja 1'!$S:$S, $A140,
  '[1]Hoja 1'!$R:$R, "&gt;="&amp;INT($E$1),
  '[1]Hoja 1'!$R:$R, "&lt;"&amp;INT($F$1+1)
)</f>
        <v>0</v>
      </c>
      <c r="D140" s="1" t="str">
        <f>""</f>
        <v/>
      </c>
      <c r="F140" s="2"/>
      <c r="G140" s="1">
        <f>SUMIFS(
  '[1]Hoja 1'!$M:$M,
  '[1]Hoja 1'!$S:$S, $A140,
  '[1]Hoja 1'!$R:$R, "&gt;="&amp;INT($I$1),
  '[1]Hoja 1'!$R:$R, "&lt;"&amp;INT($J$1+1)
)</f>
        <v>0</v>
      </c>
      <c r="H140" s="1">
        <f t="shared" si="170"/>
        <v>0</v>
      </c>
      <c r="I140" s="1"/>
      <c r="J140" s="2"/>
      <c r="K140" s="1">
        <f>SUMIFS(
  '[1]Hoja 1'!$M:$M,
  '[1]Hoja 1'!$S:$S, $A140,
  '[1]Hoja 1'!$R:$R, "&gt;="&amp;INT($M$1),
  '[1]Hoja 1'!$R:$R, "&lt;"&amp;INT($N$1+1)
)</f>
        <v>0</v>
      </c>
      <c r="L140" s="1">
        <f t="shared" si="171"/>
        <v>0</v>
      </c>
      <c r="M140" s="9">
        <f t="shared" si="172"/>
        <v>0</v>
      </c>
      <c r="N140" s="10">
        <f t="shared" si="173"/>
        <v>0</v>
      </c>
      <c r="O140" s="1">
        <f>SUMIFS(
  '[1]Hoja 1'!$M:$M,
  '[1]Hoja 1'!$S:$S, $A140,
  '[1]Hoja 1'!$R:$R, "&gt;="&amp;INT($Q$1),
  '[1]Hoja 1'!$R:$R, "&lt;"&amp;INT($R$1+1)
)</f>
        <v>0</v>
      </c>
      <c r="P140" s="1">
        <f t="shared" si="174"/>
        <v>0</v>
      </c>
      <c r="Q140" s="9">
        <f t="shared" si="175"/>
        <v>0</v>
      </c>
      <c r="R140" s="10">
        <f t="shared" si="176"/>
        <v>0</v>
      </c>
      <c r="S140" s="1">
        <f>SUMIFS(
  '[1]Hoja 1'!$M:$M,
  '[1]Hoja 1'!$S:$S, $A140,
  '[1]Hoja 1'!$R:$R, "&gt;="&amp;INT($U$1),
  '[1]Hoja 1'!$R:$R, "&lt;"&amp;INT($V$1+1)
)</f>
        <v>0</v>
      </c>
      <c r="T140" s="1">
        <f t="shared" si="177"/>
        <v>0</v>
      </c>
      <c r="U140" s="9">
        <f t="shared" si="178"/>
        <v>0</v>
      </c>
      <c r="V140" s="10">
        <f t="shared" si="179"/>
        <v>0</v>
      </c>
      <c r="W140" s="1">
        <f>SUMIFS(
  '[1]Hoja 1'!$M:$M,
  '[1]Hoja 1'!$S:$S, $A140,
  '[1]Hoja 1'!$R:$R, "&gt;="&amp;INT($Y$1),
  '[1]Hoja 1'!$R:$R, "&lt;"&amp;INT($Z$1+1)
)</f>
        <v>0</v>
      </c>
      <c r="X140" s="1">
        <f t="shared" si="180"/>
        <v>0</v>
      </c>
      <c r="Y140" s="9">
        <f t="shared" si="181"/>
        <v>0</v>
      </c>
      <c r="Z140" s="10">
        <f t="shared" si="182"/>
        <v>0</v>
      </c>
      <c r="AA140" s="1">
        <f>SUMIFS(
  '[1]Hoja 1'!$M:$M,
  '[1]Hoja 1'!$S:$S, $A140,
  '[1]Hoja 1'!$R:$R, "&gt;="&amp;INT($AC$1),
  '[1]Hoja 1'!$R:$R, "&lt;"&amp;INT($AD$1+1)
)</f>
        <v>0</v>
      </c>
      <c r="AB140" s="1">
        <f t="shared" si="183"/>
        <v>0</v>
      </c>
      <c r="AC140" s="9">
        <f t="shared" si="184"/>
        <v>0</v>
      </c>
      <c r="AD140" s="10">
        <f t="shared" si="185"/>
        <v>0</v>
      </c>
      <c r="AE140" s="1">
        <f>SUMIFS(
  '[1]Hoja 1'!$M:$M,
  '[1]Hoja 1'!$S:$S, $A140,
  '[1]Hoja 1'!$R:$R, "&gt;="&amp;INT($AG$1),
  '[1]Hoja 1'!$R:$R, "&lt;"&amp;INT($AH$1+1)
)</f>
        <v>0</v>
      </c>
      <c r="AF140" s="1">
        <f t="shared" si="186"/>
        <v>0</v>
      </c>
      <c r="AG140" s="9">
        <f t="shared" si="187"/>
        <v>0</v>
      </c>
      <c r="AH140" s="10">
        <f t="shared" si="188"/>
        <v>0</v>
      </c>
      <c r="AI140" s="1">
        <f>SUMIFS(
  '[1]Hoja 1'!$M:$M,
  '[1]Hoja 1'!$S:$S, $A140,
  '[1]Hoja 1'!$R:$R, "&gt;="&amp;INT($AK$1),
  '[1]Hoja 1'!$R:$R, "&lt;"&amp;INT($AL$1+1)
)</f>
        <v>0</v>
      </c>
      <c r="AJ140" s="1">
        <f t="shared" si="189"/>
        <v>0</v>
      </c>
      <c r="AK140" s="9">
        <f t="shared" si="190"/>
        <v>0</v>
      </c>
      <c r="AL140" s="10">
        <f t="shared" si="191"/>
        <v>0</v>
      </c>
      <c r="AM140" s="1">
        <f>SUMIFS(
  '[1]Hoja 1'!$M:$M,
  '[1]Hoja 1'!$S:$S, $A140,
  '[1]Hoja 1'!$R:$R, "&gt;="&amp;INT($AO$1),
  '[1]Hoja 1'!$R:$R, "&lt;"&amp;INT($AP$1+1)
)</f>
        <v>0</v>
      </c>
      <c r="AN140" s="1">
        <f t="shared" si="192"/>
        <v>0</v>
      </c>
      <c r="AO140" s="9">
        <f t="shared" si="193"/>
        <v>0</v>
      </c>
      <c r="AP140" s="10">
        <f t="shared" si="194"/>
        <v>0</v>
      </c>
      <c r="AQ140" s="1">
        <f>SUMIFS(
  '[1]Hoja 1'!$M:$M,
  '[1]Hoja 1'!$S:$S, $A140,
  '[1]Hoja 1'!$R:$R, "&gt;="&amp;INT($AS$1),
  '[1]Hoja 1'!$R:$R, "&lt;"&amp;INT($AT$1+1)
)</f>
        <v>0</v>
      </c>
      <c r="AR140" s="1">
        <f t="shared" si="195"/>
        <v>0</v>
      </c>
      <c r="AS140" s="9">
        <f t="shared" si="196"/>
        <v>0</v>
      </c>
      <c r="AT140" s="10">
        <f t="shared" si="197"/>
        <v>0</v>
      </c>
      <c r="AU140" s="1">
        <f>SUMIFS(
  '[1]Hoja 1'!$M:$M,
  '[1]Hoja 1'!$S:$S, $A140,
  '[1]Hoja 1'!$R:$R, "&gt;="&amp;INT($AW$1),
  '[1]Hoja 1'!$R:$R, "&lt;"&amp;INT($AX$1+1)
)</f>
        <v>0</v>
      </c>
      <c r="AV140" s="1">
        <f t="shared" si="198"/>
        <v>0</v>
      </c>
      <c r="AW140" s="9">
        <f t="shared" si="199"/>
        <v>0</v>
      </c>
      <c r="AX140" s="10">
        <f t="shared" si="200"/>
        <v>0</v>
      </c>
      <c r="AY140" s="1">
        <f>SUMIFS(
  '[1]Hoja 1'!$M:$M,
  '[1]Hoja 1'!$S:$S, $A140,
  '[1]Hoja 1'!$R:$R, "&gt;="&amp;INT($BA$1),
  '[1]Hoja 1'!$R:$R, "&lt;"&amp;INT($BB$1+1)
)</f>
        <v>0</v>
      </c>
      <c r="AZ140" s="1">
        <f t="shared" si="201"/>
        <v>0</v>
      </c>
      <c r="BA140" s="9">
        <f t="shared" si="202"/>
        <v>0</v>
      </c>
      <c r="BB140" s="10">
        <f t="shared" si="203"/>
        <v>0</v>
      </c>
      <c r="BC140" s="1">
        <f>SUMIFS(
  '[1]Hoja 1'!$M:$M,
  '[1]Hoja 1'!$S:$S, $A140,
  '[1]Hoja 1'!$R:$R, "&gt;="&amp;INT($BE$1),
  '[1]Hoja 1'!$R:$R, "&lt;"&amp;INT($BF$1+1)
)</f>
        <v>0</v>
      </c>
      <c r="BD140" s="1">
        <f t="shared" si="204"/>
        <v>0</v>
      </c>
      <c r="BE140" s="9">
        <f t="shared" si="205"/>
        <v>0</v>
      </c>
      <c r="BF140" s="10">
        <f t="shared" si="206"/>
        <v>0</v>
      </c>
      <c r="BG140" s="1">
        <f>SUMIFS(
  '[1]Hoja 1'!$M:$M,
  '[1]Hoja 1'!$S:$S, $A140,
  '[1]Hoja 1'!$R:$R, "&gt;="&amp;INT($BI$1),
  '[1]Hoja 1'!$R:$R, "&lt;"&amp;INT($BJ$1+1)
)</f>
        <v>0</v>
      </c>
      <c r="BH140" s="1">
        <f t="shared" si="207"/>
        <v>0</v>
      </c>
      <c r="BI140" s="9">
        <f t="shared" si="208"/>
        <v>0</v>
      </c>
      <c r="BJ140" s="10">
        <f t="shared" si="209"/>
        <v>0</v>
      </c>
      <c r="BK140" s="1">
        <f>SUMIFS(
  '[1]Hoja 1'!$M:$M,
  '[1]Hoja 1'!$S:$S, $A140,
  '[1]Hoja 1'!$R:$R, "&gt;="&amp;INT($BM$1),
  '[1]Hoja 1'!$R:$R, "&lt;"&amp;INT($BN$1+1)
)</f>
        <v>0</v>
      </c>
      <c r="BL140" s="1">
        <f t="shared" si="210"/>
        <v>0</v>
      </c>
      <c r="BM140" s="9">
        <f t="shared" si="211"/>
        <v>0</v>
      </c>
      <c r="BN140" s="10">
        <f t="shared" si="212"/>
        <v>0</v>
      </c>
      <c r="BO140" s="1">
        <f>SUMIFS(
  '[1]Hoja 1'!$M:$M,
  '[1]Hoja 1'!$S:$S, $A140,
  '[1]Hoja 1'!$R:$R, "&gt;="&amp;INT($BQ$1),
  '[1]Hoja 1'!$R:$R, "&lt;"&amp;INT($BR$1+1)
)</f>
        <v>0</v>
      </c>
      <c r="BP140" s="1">
        <f t="shared" si="213"/>
        <v>0</v>
      </c>
      <c r="BQ140" s="9">
        <f t="shared" si="214"/>
        <v>0</v>
      </c>
      <c r="BR140" s="10">
        <f t="shared" si="215"/>
        <v>0</v>
      </c>
      <c r="BS140" s="1">
        <f>SUMIFS(
  '[1]Hoja 1'!$M:$M,
  '[1]Hoja 1'!$S:$S, $A140,
  '[1]Hoja 1'!$R:$R, "&gt;="&amp;INT($BU$1),
  '[1]Hoja 1'!$R:$R, "&lt;"&amp;INT($BV$1+1)
)</f>
        <v>0</v>
      </c>
      <c r="BT140" s="1">
        <f t="shared" si="216"/>
        <v>0</v>
      </c>
      <c r="BU140" s="9">
        <f t="shared" si="217"/>
        <v>0</v>
      </c>
      <c r="BV140" s="10">
        <f t="shared" si="218"/>
        <v>0</v>
      </c>
      <c r="BW140" s="1">
        <f>SUMIFS(
  '[1]Hoja 1'!$M:$M,
  '[1]Hoja 1'!$S:$S, $A140,
  '[1]Hoja 1'!$R:$R, "&gt;="&amp;INT($BY$1),
  '[1]Hoja 1'!$R:$R, "&lt;"&amp;INT($BZ$1+1)
)</f>
        <v>0</v>
      </c>
      <c r="BX140" s="1">
        <f t="shared" si="219"/>
        <v>0</v>
      </c>
      <c r="BY140" s="9">
        <f t="shared" si="220"/>
        <v>0</v>
      </c>
      <c r="BZ140" s="10">
        <f t="shared" si="221"/>
        <v>0</v>
      </c>
      <c r="CA140" s="1">
        <f>SUMIFS(
  '[1]Hoja 1'!$M:$M,
  '[1]Hoja 1'!$S:$S, $A140,
  '[1]Hoja 1'!$R:$R, "&gt;="&amp;INT($CC$1),
  '[1]Hoja 1'!$R:$R, "&lt;"&amp;INT($CD$1+1)
)</f>
        <v>0</v>
      </c>
      <c r="CB140" s="1">
        <f t="shared" si="222"/>
        <v>0</v>
      </c>
      <c r="CC140" s="9">
        <f t="shared" si="223"/>
        <v>0</v>
      </c>
      <c r="CD140" s="10">
        <f t="shared" si="224"/>
        <v>0</v>
      </c>
      <c r="CE140" s="1">
        <f>SUMIFS(
  '[1]Hoja 1'!$M:$M,
  '[1]Hoja 1'!$S:$S, $A140,
  '[1]Hoja 1'!$R:$R, "&gt;="&amp;INT($CG$1),
  '[1]Hoja 1'!$R:$R, "&lt;"&amp;INT($CH$1+1)
)</f>
        <v>0</v>
      </c>
      <c r="CF140" s="1">
        <f t="shared" si="225"/>
        <v>0</v>
      </c>
      <c r="CG140" s="9">
        <f t="shared" si="226"/>
        <v>0</v>
      </c>
      <c r="CH140" s="10">
        <f t="shared" si="227"/>
        <v>0</v>
      </c>
      <c r="CI140" s="1">
        <f>SUMIFS(
  '[1]Hoja 1'!$M:$M,
  '[1]Hoja 1'!$S:$S, $A140,
  '[1]Hoja 1'!$R:$R, "&gt;="&amp;INT($CK$1),
  '[1]Hoja 1'!$R:$R, "&lt;"&amp;INT($CL$1+1)
)</f>
        <v>0</v>
      </c>
      <c r="CJ140" s="1">
        <f t="shared" si="228"/>
        <v>0</v>
      </c>
      <c r="CK140" s="9">
        <f t="shared" si="229"/>
        <v>0</v>
      </c>
      <c r="CL140" s="10">
        <f t="shared" si="230"/>
        <v>0</v>
      </c>
      <c r="CM140" s="1">
        <f>SUMIFS(
  '[1]Hoja 1'!$M:$M,
  '[1]Hoja 1'!$S:$S, $A140,
  '[1]Hoja 1'!$R:$R, "&gt;="&amp;INT($CO$1),
  '[1]Hoja 1'!$R:$R, "&lt;"&amp;INT($CP$1+1)
)</f>
        <v>0</v>
      </c>
      <c r="CN140" s="1">
        <f t="shared" si="231"/>
        <v>0</v>
      </c>
      <c r="CO140" s="9">
        <f t="shared" si="232"/>
        <v>0</v>
      </c>
      <c r="CP140" s="10">
        <f t="shared" si="233"/>
        <v>0</v>
      </c>
      <c r="CQ140" s="1">
        <f>SUMIFS(
  '[1]Hoja 1'!$M:$M,
  '[1]Hoja 1'!$S:$S, $A140,
  '[1]Hoja 1'!$R:$R, "&gt;="&amp;INT($CS$1),
  '[1]Hoja 1'!$R:$R, "&lt;"&amp;INT($CT$1+1)
)</f>
        <v>0</v>
      </c>
      <c r="CR140" s="1">
        <f t="shared" si="234"/>
        <v>0</v>
      </c>
      <c r="CS140" s="9">
        <f t="shared" si="235"/>
        <v>0</v>
      </c>
      <c r="CT140" s="10">
        <f t="shared" si="236"/>
        <v>0</v>
      </c>
      <c r="CU140" s="1">
        <f>SUMIFS(
  '[1]Hoja 1'!$M:$M,
  '[1]Hoja 1'!$S:$S, $A140,
  '[1]Hoja 1'!$R:$R, "&gt;="&amp;INT($CW$1),
  '[1]Hoja 1'!$R:$R, "&lt;"&amp;INT($CX$1+1)
)</f>
        <v>0</v>
      </c>
      <c r="CV140" s="1">
        <f t="shared" si="237"/>
        <v>0</v>
      </c>
      <c r="CW140" s="9">
        <f t="shared" si="238"/>
        <v>0</v>
      </c>
      <c r="CX140" s="10">
        <f t="shared" si="239"/>
        <v>0</v>
      </c>
      <c r="CY140" s="1">
        <f>SUMIFS(
  '[1]Hoja 1'!$M:$M,
  '[1]Hoja 1'!$S:$S, $A140,
  '[1]Hoja 1'!$R:$R, "&gt;="&amp;INT($DA$1),
  '[1]Hoja 1'!$R:$R, "&lt;"&amp;INT($DB$1+1)
)</f>
        <v>0</v>
      </c>
      <c r="CZ140" s="1">
        <f t="shared" si="240"/>
        <v>0</v>
      </c>
      <c r="DA140" s="9">
        <f t="shared" si="241"/>
        <v>0</v>
      </c>
      <c r="DB140" s="10">
        <f t="shared" si="242"/>
        <v>0</v>
      </c>
      <c r="DC140" s="1">
        <f>SUMIFS(
  '[1]Hoja 1'!$M:$M,
  '[1]Hoja 1'!$S:$S, $A140,
  '[1]Hoja 1'!$R:$R, "&gt;="&amp;INT($DE$1),
  '[1]Hoja 1'!$R:$R, "&lt;"&amp;INT($DF$1+1)
)</f>
        <v>0</v>
      </c>
      <c r="DD140" s="1">
        <f t="shared" si="243"/>
        <v>0</v>
      </c>
      <c r="DE140" s="9">
        <f t="shared" si="244"/>
        <v>0</v>
      </c>
      <c r="DF140" s="10">
        <f t="shared" si="245"/>
        <v>0</v>
      </c>
      <c r="DG140" s="1">
        <f>SUMIFS(
  '[1]Hoja 1'!$M:$M,
  '[1]Hoja 1'!$S:$S, $A140,
  '[1]Hoja 1'!$R:$R, "&gt;="&amp;INT($DI$1),
  '[1]Hoja 1'!$R:$R, "&lt;"&amp;INT($DJ$1+1)
)</f>
        <v>0</v>
      </c>
      <c r="DH140" s="1">
        <f t="shared" si="246"/>
        <v>0</v>
      </c>
      <c r="DI140" s="9">
        <f t="shared" si="247"/>
        <v>0</v>
      </c>
      <c r="DJ140" s="10">
        <f t="shared" si="248"/>
        <v>0</v>
      </c>
      <c r="DK140" s="1">
        <f>SUMIFS(
  '[1]Hoja 1'!$M:$M,
  '[1]Hoja 1'!$S:$S, $A140,
  '[1]Hoja 1'!$R:$R, "&gt;="&amp;INT($DM$1),
  '[1]Hoja 1'!$R:$R, "&lt;"&amp;INT($DN$1+1)
)</f>
        <v>0</v>
      </c>
      <c r="DL140" s="1">
        <f t="shared" si="249"/>
        <v>0</v>
      </c>
      <c r="DM140" s="9">
        <f t="shared" si="250"/>
        <v>0</v>
      </c>
      <c r="DN140" s="10">
        <f t="shared" si="251"/>
        <v>0</v>
      </c>
      <c r="DO140" s="1">
        <f>SUMIFS(
  '[1]Hoja 1'!$M:$M,
  '[1]Hoja 1'!$S:$S, $A140,
  '[1]Hoja 1'!$R:$R, "&gt;="&amp;INT($DQ$1),
  '[1]Hoja 1'!$R:$R, "&lt;"&amp;INT($DR$1+1)
)</f>
        <v>0</v>
      </c>
      <c r="DP140" s="1">
        <f t="shared" si="252"/>
        <v>0</v>
      </c>
      <c r="DQ140" s="9">
        <f t="shared" si="253"/>
        <v>0</v>
      </c>
      <c r="DR140" s="10">
        <f t="shared" si="254"/>
        <v>0</v>
      </c>
    </row>
    <row r="141" spans="1:122" x14ac:dyDescent="0.25">
      <c r="A141" s="5">
        <v>223017</v>
      </c>
      <c r="B141" s="6" t="s">
        <v>139</v>
      </c>
      <c r="C141" s="1">
        <f>SUMIFS(
  '[1]Hoja 1'!$M:$M,
  '[1]Hoja 1'!$S:$S, $A141,
  '[1]Hoja 1'!$R:$R, "&gt;="&amp;INT($E$1),
  '[1]Hoja 1'!$R:$R, "&lt;"&amp;INT($F$1+1)
)</f>
        <v>0</v>
      </c>
      <c r="D141" s="1" t="str">
        <f>""</f>
        <v/>
      </c>
      <c r="F141" s="2"/>
      <c r="G141" s="1">
        <f>SUMIFS(
  '[1]Hoja 1'!$M:$M,
  '[1]Hoja 1'!$S:$S, $A141,
  '[1]Hoja 1'!$R:$R, "&gt;="&amp;INT($I$1),
  '[1]Hoja 1'!$R:$R, "&lt;"&amp;INT($J$1+1)
)</f>
        <v>0</v>
      </c>
      <c r="H141" s="1">
        <f t="shared" si="170"/>
        <v>0</v>
      </c>
      <c r="I141" s="1"/>
      <c r="J141" s="2"/>
      <c r="K141" s="1">
        <f>SUMIFS(
  '[1]Hoja 1'!$M:$M,
  '[1]Hoja 1'!$S:$S, $A141,
  '[1]Hoja 1'!$R:$R, "&gt;="&amp;INT($M$1),
  '[1]Hoja 1'!$R:$R, "&lt;"&amp;INT($N$1+1)
)</f>
        <v>0</v>
      </c>
      <c r="L141" s="1">
        <f t="shared" si="171"/>
        <v>0</v>
      </c>
      <c r="M141" s="9">
        <f t="shared" si="172"/>
        <v>0</v>
      </c>
      <c r="N141" s="10">
        <f t="shared" si="173"/>
        <v>0</v>
      </c>
      <c r="O141" s="1">
        <f>SUMIFS(
  '[1]Hoja 1'!$M:$M,
  '[1]Hoja 1'!$S:$S, $A141,
  '[1]Hoja 1'!$R:$R, "&gt;="&amp;INT($Q$1),
  '[1]Hoja 1'!$R:$R, "&lt;"&amp;INT($R$1+1)
)</f>
        <v>0</v>
      </c>
      <c r="P141" s="1">
        <f t="shared" si="174"/>
        <v>0</v>
      </c>
      <c r="Q141" s="9">
        <f t="shared" si="175"/>
        <v>0</v>
      </c>
      <c r="R141" s="10">
        <f t="shared" si="176"/>
        <v>0</v>
      </c>
      <c r="S141" s="1">
        <f>SUMIFS(
  '[1]Hoja 1'!$M:$M,
  '[1]Hoja 1'!$S:$S, $A141,
  '[1]Hoja 1'!$R:$R, "&gt;="&amp;INT($U$1),
  '[1]Hoja 1'!$R:$R, "&lt;"&amp;INT($V$1+1)
)</f>
        <v>0</v>
      </c>
      <c r="T141" s="1">
        <f t="shared" si="177"/>
        <v>0</v>
      </c>
      <c r="U141" s="9">
        <f t="shared" si="178"/>
        <v>0</v>
      </c>
      <c r="V141" s="10">
        <f t="shared" si="179"/>
        <v>0</v>
      </c>
      <c r="W141" s="1">
        <f>SUMIFS(
  '[1]Hoja 1'!$M:$M,
  '[1]Hoja 1'!$S:$S, $A141,
  '[1]Hoja 1'!$R:$R, "&gt;="&amp;INT($Y$1),
  '[1]Hoja 1'!$R:$R, "&lt;"&amp;INT($Z$1+1)
)</f>
        <v>0</v>
      </c>
      <c r="X141" s="1">
        <f t="shared" si="180"/>
        <v>0</v>
      </c>
      <c r="Y141" s="9">
        <f t="shared" si="181"/>
        <v>0</v>
      </c>
      <c r="Z141" s="10">
        <f t="shared" si="182"/>
        <v>0</v>
      </c>
      <c r="AA141" s="1">
        <f>SUMIFS(
  '[1]Hoja 1'!$M:$M,
  '[1]Hoja 1'!$S:$S, $A141,
  '[1]Hoja 1'!$R:$R, "&gt;="&amp;INT($AC$1),
  '[1]Hoja 1'!$R:$R, "&lt;"&amp;INT($AD$1+1)
)</f>
        <v>0</v>
      </c>
      <c r="AB141" s="1">
        <f t="shared" si="183"/>
        <v>0</v>
      </c>
      <c r="AC141" s="9">
        <f t="shared" si="184"/>
        <v>0</v>
      </c>
      <c r="AD141" s="10">
        <f t="shared" si="185"/>
        <v>0</v>
      </c>
      <c r="AE141" s="1">
        <f>SUMIFS(
  '[1]Hoja 1'!$M:$M,
  '[1]Hoja 1'!$S:$S, $A141,
  '[1]Hoja 1'!$R:$R, "&gt;="&amp;INT($AG$1),
  '[1]Hoja 1'!$R:$R, "&lt;"&amp;INT($AH$1+1)
)</f>
        <v>0</v>
      </c>
      <c r="AF141" s="1">
        <f t="shared" si="186"/>
        <v>0</v>
      </c>
      <c r="AG141" s="9">
        <f t="shared" si="187"/>
        <v>0</v>
      </c>
      <c r="AH141" s="10">
        <f t="shared" si="188"/>
        <v>0</v>
      </c>
      <c r="AI141" s="1">
        <f>SUMIFS(
  '[1]Hoja 1'!$M:$M,
  '[1]Hoja 1'!$S:$S, $A141,
  '[1]Hoja 1'!$R:$R, "&gt;="&amp;INT($AK$1),
  '[1]Hoja 1'!$R:$R, "&lt;"&amp;INT($AL$1+1)
)</f>
        <v>0</v>
      </c>
      <c r="AJ141" s="1">
        <f t="shared" si="189"/>
        <v>0</v>
      </c>
      <c r="AK141" s="9">
        <f t="shared" si="190"/>
        <v>0</v>
      </c>
      <c r="AL141" s="10">
        <f t="shared" si="191"/>
        <v>0</v>
      </c>
      <c r="AM141" s="1">
        <f>SUMIFS(
  '[1]Hoja 1'!$M:$M,
  '[1]Hoja 1'!$S:$S, $A141,
  '[1]Hoja 1'!$R:$R, "&gt;="&amp;INT($AO$1),
  '[1]Hoja 1'!$R:$R, "&lt;"&amp;INT($AP$1+1)
)</f>
        <v>0</v>
      </c>
      <c r="AN141" s="1">
        <f t="shared" si="192"/>
        <v>0</v>
      </c>
      <c r="AO141" s="9">
        <f t="shared" si="193"/>
        <v>0</v>
      </c>
      <c r="AP141" s="10">
        <f t="shared" si="194"/>
        <v>0</v>
      </c>
      <c r="AQ141" s="1">
        <f>SUMIFS(
  '[1]Hoja 1'!$M:$M,
  '[1]Hoja 1'!$S:$S, $A141,
  '[1]Hoja 1'!$R:$R, "&gt;="&amp;INT($AS$1),
  '[1]Hoja 1'!$R:$R, "&lt;"&amp;INT($AT$1+1)
)</f>
        <v>0</v>
      </c>
      <c r="AR141" s="1">
        <f t="shared" si="195"/>
        <v>0</v>
      </c>
      <c r="AS141" s="9">
        <f t="shared" si="196"/>
        <v>0</v>
      </c>
      <c r="AT141" s="10">
        <f t="shared" si="197"/>
        <v>0</v>
      </c>
      <c r="AU141" s="1">
        <f>SUMIFS(
  '[1]Hoja 1'!$M:$M,
  '[1]Hoja 1'!$S:$S, $A141,
  '[1]Hoja 1'!$R:$R, "&gt;="&amp;INT($AW$1),
  '[1]Hoja 1'!$R:$R, "&lt;"&amp;INT($AX$1+1)
)</f>
        <v>0</v>
      </c>
      <c r="AV141" s="1">
        <f t="shared" si="198"/>
        <v>0</v>
      </c>
      <c r="AW141" s="9">
        <f t="shared" si="199"/>
        <v>0</v>
      </c>
      <c r="AX141" s="10">
        <f t="shared" si="200"/>
        <v>0</v>
      </c>
      <c r="AY141" s="1">
        <f>SUMIFS(
  '[1]Hoja 1'!$M:$M,
  '[1]Hoja 1'!$S:$S, $A141,
  '[1]Hoja 1'!$R:$R, "&gt;="&amp;INT($BA$1),
  '[1]Hoja 1'!$R:$R, "&lt;"&amp;INT($BB$1+1)
)</f>
        <v>0</v>
      </c>
      <c r="AZ141" s="1">
        <f t="shared" si="201"/>
        <v>0</v>
      </c>
      <c r="BA141" s="9">
        <f t="shared" si="202"/>
        <v>0</v>
      </c>
      <c r="BB141" s="10">
        <f t="shared" si="203"/>
        <v>0</v>
      </c>
      <c r="BC141" s="1">
        <f>SUMIFS(
  '[1]Hoja 1'!$M:$M,
  '[1]Hoja 1'!$S:$S, $A141,
  '[1]Hoja 1'!$R:$R, "&gt;="&amp;INT($BE$1),
  '[1]Hoja 1'!$R:$R, "&lt;"&amp;INT($BF$1+1)
)</f>
        <v>0</v>
      </c>
      <c r="BD141" s="1">
        <f t="shared" si="204"/>
        <v>0</v>
      </c>
      <c r="BE141" s="9">
        <f t="shared" si="205"/>
        <v>0</v>
      </c>
      <c r="BF141" s="10">
        <f t="shared" si="206"/>
        <v>0</v>
      </c>
      <c r="BG141" s="1">
        <f>SUMIFS(
  '[1]Hoja 1'!$M:$M,
  '[1]Hoja 1'!$S:$S, $A141,
  '[1]Hoja 1'!$R:$R, "&gt;="&amp;INT($BI$1),
  '[1]Hoja 1'!$R:$R, "&lt;"&amp;INT($BJ$1+1)
)</f>
        <v>0</v>
      </c>
      <c r="BH141" s="1">
        <f t="shared" si="207"/>
        <v>0</v>
      </c>
      <c r="BI141" s="9">
        <f t="shared" si="208"/>
        <v>0</v>
      </c>
      <c r="BJ141" s="10">
        <f t="shared" si="209"/>
        <v>0</v>
      </c>
      <c r="BK141" s="1">
        <f>SUMIFS(
  '[1]Hoja 1'!$M:$M,
  '[1]Hoja 1'!$S:$S, $A141,
  '[1]Hoja 1'!$R:$R, "&gt;="&amp;INT($BM$1),
  '[1]Hoja 1'!$R:$R, "&lt;"&amp;INT($BN$1+1)
)</f>
        <v>0</v>
      </c>
      <c r="BL141" s="1">
        <f t="shared" si="210"/>
        <v>0</v>
      </c>
      <c r="BM141" s="9">
        <f t="shared" si="211"/>
        <v>0</v>
      </c>
      <c r="BN141" s="10">
        <f t="shared" si="212"/>
        <v>0</v>
      </c>
      <c r="BO141" s="1">
        <f>SUMIFS(
  '[1]Hoja 1'!$M:$M,
  '[1]Hoja 1'!$S:$S, $A141,
  '[1]Hoja 1'!$R:$R, "&gt;="&amp;INT($BQ$1),
  '[1]Hoja 1'!$R:$R, "&lt;"&amp;INT($BR$1+1)
)</f>
        <v>0</v>
      </c>
      <c r="BP141" s="1">
        <f t="shared" si="213"/>
        <v>0</v>
      </c>
      <c r="BQ141" s="9">
        <f t="shared" si="214"/>
        <v>0</v>
      </c>
      <c r="BR141" s="10">
        <f t="shared" si="215"/>
        <v>0</v>
      </c>
      <c r="BS141" s="1">
        <f>SUMIFS(
  '[1]Hoja 1'!$M:$M,
  '[1]Hoja 1'!$S:$S, $A141,
  '[1]Hoja 1'!$R:$R, "&gt;="&amp;INT($BU$1),
  '[1]Hoja 1'!$R:$R, "&lt;"&amp;INT($BV$1+1)
)</f>
        <v>0</v>
      </c>
      <c r="BT141" s="1">
        <f t="shared" si="216"/>
        <v>0</v>
      </c>
      <c r="BU141" s="9">
        <f t="shared" si="217"/>
        <v>0</v>
      </c>
      <c r="BV141" s="10">
        <f t="shared" si="218"/>
        <v>0</v>
      </c>
      <c r="BW141" s="1">
        <f>SUMIFS(
  '[1]Hoja 1'!$M:$M,
  '[1]Hoja 1'!$S:$S, $A141,
  '[1]Hoja 1'!$R:$R, "&gt;="&amp;INT($BY$1),
  '[1]Hoja 1'!$R:$R, "&lt;"&amp;INT($BZ$1+1)
)</f>
        <v>0</v>
      </c>
      <c r="BX141" s="1">
        <f t="shared" si="219"/>
        <v>0</v>
      </c>
      <c r="BY141" s="9">
        <f t="shared" si="220"/>
        <v>0</v>
      </c>
      <c r="BZ141" s="10">
        <f t="shared" si="221"/>
        <v>0</v>
      </c>
      <c r="CA141" s="1">
        <f>SUMIFS(
  '[1]Hoja 1'!$M:$M,
  '[1]Hoja 1'!$S:$S, $A141,
  '[1]Hoja 1'!$R:$R, "&gt;="&amp;INT($CC$1),
  '[1]Hoja 1'!$R:$R, "&lt;"&amp;INT($CD$1+1)
)</f>
        <v>0</v>
      </c>
      <c r="CB141" s="1">
        <f t="shared" si="222"/>
        <v>0</v>
      </c>
      <c r="CC141" s="9">
        <f t="shared" si="223"/>
        <v>0</v>
      </c>
      <c r="CD141" s="10">
        <f t="shared" si="224"/>
        <v>0</v>
      </c>
      <c r="CE141" s="1">
        <f>SUMIFS(
  '[1]Hoja 1'!$M:$M,
  '[1]Hoja 1'!$S:$S, $A141,
  '[1]Hoja 1'!$R:$R, "&gt;="&amp;INT($CG$1),
  '[1]Hoja 1'!$R:$R, "&lt;"&amp;INT($CH$1+1)
)</f>
        <v>0</v>
      </c>
      <c r="CF141" s="1">
        <f t="shared" si="225"/>
        <v>0</v>
      </c>
      <c r="CG141" s="9">
        <f t="shared" si="226"/>
        <v>0</v>
      </c>
      <c r="CH141" s="10">
        <f t="shared" si="227"/>
        <v>0</v>
      </c>
      <c r="CI141" s="1">
        <f>SUMIFS(
  '[1]Hoja 1'!$M:$M,
  '[1]Hoja 1'!$S:$S, $A141,
  '[1]Hoja 1'!$R:$R, "&gt;="&amp;INT($CK$1),
  '[1]Hoja 1'!$R:$R, "&lt;"&amp;INT($CL$1+1)
)</f>
        <v>0</v>
      </c>
      <c r="CJ141" s="1">
        <f t="shared" si="228"/>
        <v>0</v>
      </c>
      <c r="CK141" s="9">
        <f t="shared" si="229"/>
        <v>0</v>
      </c>
      <c r="CL141" s="10">
        <f t="shared" si="230"/>
        <v>0</v>
      </c>
      <c r="CM141" s="1">
        <f>SUMIFS(
  '[1]Hoja 1'!$M:$M,
  '[1]Hoja 1'!$S:$S, $A141,
  '[1]Hoja 1'!$R:$R, "&gt;="&amp;INT($CO$1),
  '[1]Hoja 1'!$R:$R, "&lt;"&amp;INT($CP$1+1)
)</f>
        <v>0</v>
      </c>
      <c r="CN141" s="1">
        <f t="shared" si="231"/>
        <v>0</v>
      </c>
      <c r="CO141" s="9">
        <f t="shared" si="232"/>
        <v>0</v>
      </c>
      <c r="CP141" s="10">
        <f t="shared" si="233"/>
        <v>0</v>
      </c>
      <c r="CQ141" s="1">
        <f>SUMIFS(
  '[1]Hoja 1'!$M:$M,
  '[1]Hoja 1'!$S:$S, $A141,
  '[1]Hoja 1'!$R:$R, "&gt;="&amp;INT($CS$1),
  '[1]Hoja 1'!$R:$R, "&lt;"&amp;INT($CT$1+1)
)</f>
        <v>0</v>
      </c>
      <c r="CR141" s="1">
        <f t="shared" si="234"/>
        <v>0</v>
      </c>
      <c r="CS141" s="9">
        <f t="shared" si="235"/>
        <v>0</v>
      </c>
      <c r="CT141" s="10">
        <f t="shared" si="236"/>
        <v>0</v>
      </c>
      <c r="CU141" s="1">
        <f>SUMIFS(
  '[1]Hoja 1'!$M:$M,
  '[1]Hoja 1'!$S:$S, $A141,
  '[1]Hoja 1'!$R:$R, "&gt;="&amp;INT($CW$1),
  '[1]Hoja 1'!$R:$R, "&lt;"&amp;INT($CX$1+1)
)</f>
        <v>0</v>
      </c>
      <c r="CV141" s="1">
        <f t="shared" si="237"/>
        <v>0</v>
      </c>
      <c r="CW141" s="9">
        <f t="shared" si="238"/>
        <v>0</v>
      </c>
      <c r="CX141" s="10">
        <f t="shared" si="239"/>
        <v>0</v>
      </c>
      <c r="CY141" s="1">
        <f>SUMIFS(
  '[1]Hoja 1'!$M:$M,
  '[1]Hoja 1'!$S:$S, $A141,
  '[1]Hoja 1'!$R:$R, "&gt;="&amp;INT($DA$1),
  '[1]Hoja 1'!$R:$R, "&lt;"&amp;INT($DB$1+1)
)</f>
        <v>0</v>
      </c>
      <c r="CZ141" s="1">
        <f t="shared" si="240"/>
        <v>0</v>
      </c>
      <c r="DA141" s="9">
        <f t="shared" si="241"/>
        <v>0</v>
      </c>
      <c r="DB141" s="10">
        <f t="shared" si="242"/>
        <v>0</v>
      </c>
      <c r="DC141" s="1">
        <f>SUMIFS(
  '[1]Hoja 1'!$M:$M,
  '[1]Hoja 1'!$S:$S, $A141,
  '[1]Hoja 1'!$R:$R, "&gt;="&amp;INT($DE$1),
  '[1]Hoja 1'!$R:$R, "&lt;"&amp;INT($DF$1+1)
)</f>
        <v>0</v>
      </c>
      <c r="DD141" s="1">
        <f t="shared" si="243"/>
        <v>0</v>
      </c>
      <c r="DE141" s="9">
        <f t="shared" si="244"/>
        <v>0</v>
      </c>
      <c r="DF141" s="10">
        <f t="shared" si="245"/>
        <v>0</v>
      </c>
      <c r="DG141" s="1">
        <f>SUMIFS(
  '[1]Hoja 1'!$M:$M,
  '[1]Hoja 1'!$S:$S, $A141,
  '[1]Hoja 1'!$R:$R, "&gt;="&amp;INT($DI$1),
  '[1]Hoja 1'!$R:$R, "&lt;"&amp;INT($DJ$1+1)
)</f>
        <v>0</v>
      </c>
      <c r="DH141" s="1">
        <f t="shared" si="246"/>
        <v>0</v>
      </c>
      <c r="DI141" s="9">
        <f t="shared" si="247"/>
        <v>0</v>
      </c>
      <c r="DJ141" s="10">
        <f t="shared" si="248"/>
        <v>0</v>
      </c>
      <c r="DK141" s="1">
        <f>SUMIFS(
  '[1]Hoja 1'!$M:$M,
  '[1]Hoja 1'!$S:$S, $A141,
  '[1]Hoja 1'!$R:$R, "&gt;="&amp;INT($DM$1),
  '[1]Hoja 1'!$R:$R, "&lt;"&amp;INT($DN$1+1)
)</f>
        <v>0</v>
      </c>
      <c r="DL141" s="1">
        <f t="shared" si="249"/>
        <v>0</v>
      </c>
      <c r="DM141" s="9">
        <f t="shared" si="250"/>
        <v>0</v>
      </c>
      <c r="DN141" s="10">
        <f t="shared" si="251"/>
        <v>0</v>
      </c>
      <c r="DO141" s="1">
        <f>SUMIFS(
  '[1]Hoja 1'!$M:$M,
  '[1]Hoja 1'!$S:$S, $A141,
  '[1]Hoja 1'!$R:$R, "&gt;="&amp;INT($DQ$1),
  '[1]Hoja 1'!$R:$R, "&lt;"&amp;INT($DR$1+1)
)</f>
        <v>0</v>
      </c>
      <c r="DP141" s="1">
        <f t="shared" si="252"/>
        <v>0</v>
      </c>
      <c r="DQ141" s="9">
        <f t="shared" si="253"/>
        <v>0</v>
      </c>
      <c r="DR141" s="10">
        <f t="shared" si="254"/>
        <v>0</v>
      </c>
    </row>
    <row r="142" spans="1:122" x14ac:dyDescent="0.25">
      <c r="A142" s="5">
        <v>223018</v>
      </c>
      <c r="B142" s="6" t="s">
        <v>140</v>
      </c>
      <c r="C142" s="1">
        <f>SUMIFS(
  '[1]Hoja 1'!$M:$M,
  '[1]Hoja 1'!$S:$S, $A142,
  '[1]Hoja 1'!$R:$R, "&gt;="&amp;INT($E$1),
  '[1]Hoja 1'!$R:$R, "&lt;"&amp;INT($F$1+1)
)</f>
        <v>0</v>
      </c>
      <c r="D142" s="1" t="str">
        <f>""</f>
        <v/>
      </c>
      <c r="F142" s="2"/>
      <c r="G142" s="1">
        <f>SUMIFS(
  '[1]Hoja 1'!$M:$M,
  '[1]Hoja 1'!$S:$S, $A142,
  '[1]Hoja 1'!$R:$R, "&gt;="&amp;INT($I$1),
  '[1]Hoja 1'!$R:$R, "&lt;"&amp;INT($J$1+1)
)</f>
        <v>0</v>
      </c>
      <c r="H142" s="1">
        <f t="shared" si="170"/>
        <v>0</v>
      </c>
      <c r="I142" s="1"/>
      <c r="J142" s="2"/>
      <c r="K142" s="1">
        <f>SUMIFS(
  '[1]Hoja 1'!$M:$M,
  '[1]Hoja 1'!$S:$S, $A142,
  '[1]Hoja 1'!$R:$R, "&gt;="&amp;INT($M$1),
  '[1]Hoja 1'!$R:$R, "&lt;"&amp;INT($N$1+1)
)</f>
        <v>0</v>
      </c>
      <c r="L142" s="1">
        <f t="shared" si="171"/>
        <v>0</v>
      </c>
      <c r="M142" s="9">
        <f t="shared" si="172"/>
        <v>0</v>
      </c>
      <c r="N142" s="10">
        <f t="shared" si="173"/>
        <v>0</v>
      </c>
      <c r="O142" s="1">
        <f>SUMIFS(
  '[1]Hoja 1'!$M:$M,
  '[1]Hoja 1'!$S:$S, $A142,
  '[1]Hoja 1'!$R:$R, "&gt;="&amp;INT($Q$1),
  '[1]Hoja 1'!$R:$R, "&lt;"&amp;INT($R$1+1)
)</f>
        <v>0</v>
      </c>
      <c r="P142" s="1">
        <f t="shared" si="174"/>
        <v>0</v>
      </c>
      <c r="Q142" s="9">
        <f t="shared" si="175"/>
        <v>0</v>
      </c>
      <c r="R142" s="10">
        <f t="shared" si="176"/>
        <v>0</v>
      </c>
      <c r="S142" s="1">
        <f>SUMIFS(
  '[1]Hoja 1'!$M:$M,
  '[1]Hoja 1'!$S:$S, $A142,
  '[1]Hoja 1'!$R:$R, "&gt;="&amp;INT($U$1),
  '[1]Hoja 1'!$R:$R, "&lt;"&amp;INT($V$1+1)
)</f>
        <v>0</v>
      </c>
      <c r="T142" s="1">
        <f t="shared" si="177"/>
        <v>0</v>
      </c>
      <c r="U142" s="9">
        <f t="shared" si="178"/>
        <v>0</v>
      </c>
      <c r="V142" s="10">
        <f t="shared" si="179"/>
        <v>0</v>
      </c>
      <c r="W142" s="1">
        <f>SUMIFS(
  '[1]Hoja 1'!$M:$M,
  '[1]Hoja 1'!$S:$S, $A142,
  '[1]Hoja 1'!$R:$R, "&gt;="&amp;INT($Y$1),
  '[1]Hoja 1'!$R:$R, "&lt;"&amp;INT($Z$1+1)
)</f>
        <v>0</v>
      </c>
      <c r="X142" s="1">
        <f t="shared" si="180"/>
        <v>0</v>
      </c>
      <c r="Y142" s="9">
        <f t="shared" si="181"/>
        <v>0</v>
      </c>
      <c r="Z142" s="10">
        <f t="shared" si="182"/>
        <v>0</v>
      </c>
      <c r="AA142" s="1">
        <f>SUMIFS(
  '[1]Hoja 1'!$M:$M,
  '[1]Hoja 1'!$S:$S, $A142,
  '[1]Hoja 1'!$R:$R, "&gt;="&amp;INT($AC$1),
  '[1]Hoja 1'!$R:$R, "&lt;"&amp;INT($AD$1+1)
)</f>
        <v>0</v>
      </c>
      <c r="AB142" s="1">
        <f t="shared" si="183"/>
        <v>0</v>
      </c>
      <c r="AC142" s="9">
        <f t="shared" si="184"/>
        <v>0</v>
      </c>
      <c r="AD142" s="10">
        <f t="shared" si="185"/>
        <v>0</v>
      </c>
      <c r="AE142" s="1">
        <f>SUMIFS(
  '[1]Hoja 1'!$M:$M,
  '[1]Hoja 1'!$S:$S, $A142,
  '[1]Hoja 1'!$R:$R, "&gt;="&amp;INT($AG$1),
  '[1]Hoja 1'!$R:$R, "&lt;"&amp;INT($AH$1+1)
)</f>
        <v>0</v>
      </c>
      <c r="AF142" s="1">
        <f t="shared" si="186"/>
        <v>0</v>
      </c>
      <c r="AG142" s="9">
        <f t="shared" si="187"/>
        <v>0</v>
      </c>
      <c r="AH142" s="10">
        <f t="shared" si="188"/>
        <v>0</v>
      </c>
      <c r="AI142" s="1">
        <f>SUMIFS(
  '[1]Hoja 1'!$M:$M,
  '[1]Hoja 1'!$S:$S, $A142,
  '[1]Hoja 1'!$R:$R, "&gt;="&amp;INT($AK$1),
  '[1]Hoja 1'!$R:$R, "&lt;"&amp;INT($AL$1+1)
)</f>
        <v>0</v>
      </c>
      <c r="AJ142" s="1">
        <f t="shared" si="189"/>
        <v>0</v>
      </c>
      <c r="AK142" s="9">
        <f t="shared" si="190"/>
        <v>0</v>
      </c>
      <c r="AL142" s="10">
        <f t="shared" si="191"/>
        <v>0</v>
      </c>
      <c r="AM142" s="1">
        <f>SUMIFS(
  '[1]Hoja 1'!$M:$M,
  '[1]Hoja 1'!$S:$S, $A142,
  '[1]Hoja 1'!$R:$R, "&gt;="&amp;INT($AO$1),
  '[1]Hoja 1'!$R:$R, "&lt;"&amp;INT($AP$1+1)
)</f>
        <v>0</v>
      </c>
      <c r="AN142" s="1">
        <f t="shared" si="192"/>
        <v>0</v>
      </c>
      <c r="AO142" s="9">
        <f t="shared" si="193"/>
        <v>0</v>
      </c>
      <c r="AP142" s="10">
        <f t="shared" si="194"/>
        <v>0</v>
      </c>
      <c r="AQ142" s="1">
        <f>SUMIFS(
  '[1]Hoja 1'!$M:$M,
  '[1]Hoja 1'!$S:$S, $A142,
  '[1]Hoja 1'!$R:$R, "&gt;="&amp;INT($AS$1),
  '[1]Hoja 1'!$R:$R, "&lt;"&amp;INT($AT$1+1)
)</f>
        <v>0</v>
      </c>
      <c r="AR142" s="1">
        <f t="shared" si="195"/>
        <v>0</v>
      </c>
      <c r="AS142" s="9">
        <f t="shared" si="196"/>
        <v>0</v>
      </c>
      <c r="AT142" s="10">
        <f t="shared" si="197"/>
        <v>0</v>
      </c>
      <c r="AU142" s="1">
        <f>SUMIFS(
  '[1]Hoja 1'!$M:$M,
  '[1]Hoja 1'!$S:$S, $A142,
  '[1]Hoja 1'!$R:$R, "&gt;="&amp;INT($AW$1),
  '[1]Hoja 1'!$R:$R, "&lt;"&amp;INT($AX$1+1)
)</f>
        <v>0</v>
      </c>
      <c r="AV142" s="1">
        <f t="shared" si="198"/>
        <v>0</v>
      </c>
      <c r="AW142" s="9">
        <f t="shared" si="199"/>
        <v>0</v>
      </c>
      <c r="AX142" s="10">
        <f t="shared" si="200"/>
        <v>0</v>
      </c>
      <c r="AY142" s="1">
        <f>SUMIFS(
  '[1]Hoja 1'!$M:$M,
  '[1]Hoja 1'!$S:$S, $A142,
  '[1]Hoja 1'!$R:$R, "&gt;="&amp;INT($BA$1),
  '[1]Hoja 1'!$R:$R, "&lt;"&amp;INT($BB$1+1)
)</f>
        <v>0</v>
      </c>
      <c r="AZ142" s="1">
        <f t="shared" si="201"/>
        <v>0</v>
      </c>
      <c r="BA142" s="9">
        <f t="shared" si="202"/>
        <v>0</v>
      </c>
      <c r="BB142" s="10">
        <f t="shared" si="203"/>
        <v>0</v>
      </c>
      <c r="BC142" s="1">
        <f>SUMIFS(
  '[1]Hoja 1'!$M:$M,
  '[1]Hoja 1'!$S:$S, $A142,
  '[1]Hoja 1'!$R:$R, "&gt;="&amp;INT($BE$1),
  '[1]Hoja 1'!$R:$R, "&lt;"&amp;INT($BF$1+1)
)</f>
        <v>0</v>
      </c>
      <c r="BD142" s="1">
        <f t="shared" si="204"/>
        <v>0</v>
      </c>
      <c r="BE142" s="9">
        <f t="shared" si="205"/>
        <v>0</v>
      </c>
      <c r="BF142" s="10">
        <f t="shared" si="206"/>
        <v>0</v>
      </c>
      <c r="BG142" s="1">
        <f>SUMIFS(
  '[1]Hoja 1'!$M:$M,
  '[1]Hoja 1'!$S:$S, $A142,
  '[1]Hoja 1'!$R:$R, "&gt;="&amp;INT($BI$1),
  '[1]Hoja 1'!$R:$R, "&lt;"&amp;INT($BJ$1+1)
)</f>
        <v>0</v>
      </c>
      <c r="BH142" s="1">
        <f t="shared" si="207"/>
        <v>0</v>
      </c>
      <c r="BI142" s="9">
        <f t="shared" si="208"/>
        <v>0</v>
      </c>
      <c r="BJ142" s="10">
        <f t="shared" si="209"/>
        <v>0</v>
      </c>
      <c r="BK142" s="1">
        <f>SUMIFS(
  '[1]Hoja 1'!$M:$M,
  '[1]Hoja 1'!$S:$S, $A142,
  '[1]Hoja 1'!$R:$R, "&gt;="&amp;INT($BM$1),
  '[1]Hoja 1'!$R:$R, "&lt;"&amp;INT($BN$1+1)
)</f>
        <v>0</v>
      </c>
      <c r="BL142" s="1">
        <f t="shared" si="210"/>
        <v>0</v>
      </c>
      <c r="BM142" s="9">
        <f t="shared" si="211"/>
        <v>0</v>
      </c>
      <c r="BN142" s="10">
        <f t="shared" si="212"/>
        <v>0</v>
      </c>
      <c r="BO142" s="1">
        <f>SUMIFS(
  '[1]Hoja 1'!$M:$M,
  '[1]Hoja 1'!$S:$S, $A142,
  '[1]Hoja 1'!$R:$R, "&gt;="&amp;INT($BQ$1),
  '[1]Hoja 1'!$R:$R, "&lt;"&amp;INT($BR$1+1)
)</f>
        <v>0</v>
      </c>
      <c r="BP142" s="1">
        <f t="shared" si="213"/>
        <v>0</v>
      </c>
      <c r="BQ142" s="9">
        <f t="shared" si="214"/>
        <v>0</v>
      </c>
      <c r="BR142" s="10">
        <f t="shared" si="215"/>
        <v>0</v>
      </c>
      <c r="BS142" s="1">
        <f>SUMIFS(
  '[1]Hoja 1'!$M:$M,
  '[1]Hoja 1'!$S:$S, $A142,
  '[1]Hoja 1'!$R:$R, "&gt;="&amp;INT($BU$1),
  '[1]Hoja 1'!$R:$R, "&lt;"&amp;INT($BV$1+1)
)</f>
        <v>0</v>
      </c>
      <c r="BT142" s="1">
        <f t="shared" si="216"/>
        <v>0</v>
      </c>
      <c r="BU142" s="9">
        <f t="shared" si="217"/>
        <v>0</v>
      </c>
      <c r="BV142" s="10">
        <f t="shared" si="218"/>
        <v>0</v>
      </c>
      <c r="BW142" s="1">
        <f>SUMIFS(
  '[1]Hoja 1'!$M:$M,
  '[1]Hoja 1'!$S:$S, $A142,
  '[1]Hoja 1'!$R:$R, "&gt;="&amp;INT($BY$1),
  '[1]Hoja 1'!$R:$R, "&lt;"&amp;INT($BZ$1+1)
)</f>
        <v>0</v>
      </c>
      <c r="BX142" s="1">
        <f t="shared" si="219"/>
        <v>0</v>
      </c>
      <c r="BY142" s="9">
        <f t="shared" si="220"/>
        <v>0</v>
      </c>
      <c r="BZ142" s="10">
        <f t="shared" si="221"/>
        <v>0</v>
      </c>
      <c r="CA142" s="1">
        <f>SUMIFS(
  '[1]Hoja 1'!$M:$M,
  '[1]Hoja 1'!$S:$S, $A142,
  '[1]Hoja 1'!$R:$R, "&gt;="&amp;INT($CC$1),
  '[1]Hoja 1'!$R:$R, "&lt;"&amp;INT($CD$1+1)
)</f>
        <v>0</v>
      </c>
      <c r="CB142" s="1">
        <f t="shared" si="222"/>
        <v>0</v>
      </c>
      <c r="CC142" s="9">
        <f t="shared" si="223"/>
        <v>0</v>
      </c>
      <c r="CD142" s="10">
        <f t="shared" si="224"/>
        <v>0</v>
      </c>
      <c r="CE142" s="1">
        <f>SUMIFS(
  '[1]Hoja 1'!$M:$M,
  '[1]Hoja 1'!$S:$S, $A142,
  '[1]Hoja 1'!$R:$R, "&gt;="&amp;INT($CG$1),
  '[1]Hoja 1'!$R:$R, "&lt;"&amp;INT($CH$1+1)
)</f>
        <v>0</v>
      </c>
      <c r="CF142" s="1">
        <f t="shared" si="225"/>
        <v>0</v>
      </c>
      <c r="CG142" s="9">
        <f t="shared" si="226"/>
        <v>0</v>
      </c>
      <c r="CH142" s="10">
        <f t="shared" si="227"/>
        <v>0</v>
      </c>
      <c r="CI142" s="1">
        <f>SUMIFS(
  '[1]Hoja 1'!$M:$M,
  '[1]Hoja 1'!$S:$S, $A142,
  '[1]Hoja 1'!$R:$R, "&gt;="&amp;INT($CK$1),
  '[1]Hoja 1'!$R:$R, "&lt;"&amp;INT($CL$1+1)
)</f>
        <v>0</v>
      </c>
      <c r="CJ142" s="1">
        <f t="shared" si="228"/>
        <v>0</v>
      </c>
      <c r="CK142" s="9">
        <f t="shared" si="229"/>
        <v>0</v>
      </c>
      <c r="CL142" s="10">
        <f t="shared" si="230"/>
        <v>0</v>
      </c>
      <c r="CM142" s="1">
        <f>SUMIFS(
  '[1]Hoja 1'!$M:$M,
  '[1]Hoja 1'!$S:$S, $A142,
  '[1]Hoja 1'!$R:$R, "&gt;="&amp;INT($CO$1),
  '[1]Hoja 1'!$R:$R, "&lt;"&amp;INT($CP$1+1)
)</f>
        <v>0</v>
      </c>
      <c r="CN142" s="1">
        <f t="shared" si="231"/>
        <v>0</v>
      </c>
      <c r="CO142" s="9">
        <f t="shared" si="232"/>
        <v>0</v>
      </c>
      <c r="CP142" s="10">
        <f t="shared" si="233"/>
        <v>0</v>
      </c>
      <c r="CQ142" s="1">
        <f>SUMIFS(
  '[1]Hoja 1'!$M:$M,
  '[1]Hoja 1'!$S:$S, $A142,
  '[1]Hoja 1'!$R:$R, "&gt;="&amp;INT($CS$1),
  '[1]Hoja 1'!$R:$R, "&lt;"&amp;INT($CT$1+1)
)</f>
        <v>0</v>
      </c>
      <c r="CR142" s="1">
        <f t="shared" si="234"/>
        <v>0</v>
      </c>
      <c r="CS142" s="9">
        <f t="shared" si="235"/>
        <v>0</v>
      </c>
      <c r="CT142" s="10">
        <f t="shared" si="236"/>
        <v>0</v>
      </c>
      <c r="CU142" s="1">
        <f>SUMIFS(
  '[1]Hoja 1'!$M:$M,
  '[1]Hoja 1'!$S:$S, $A142,
  '[1]Hoja 1'!$R:$R, "&gt;="&amp;INT($CW$1),
  '[1]Hoja 1'!$R:$R, "&lt;"&amp;INT($CX$1+1)
)</f>
        <v>0</v>
      </c>
      <c r="CV142" s="1">
        <f t="shared" si="237"/>
        <v>0</v>
      </c>
      <c r="CW142" s="9">
        <f t="shared" si="238"/>
        <v>0</v>
      </c>
      <c r="CX142" s="10">
        <f t="shared" si="239"/>
        <v>0</v>
      </c>
      <c r="CY142" s="1">
        <f>SUMIFS(
  '[1]Hoja 1'!$M:$M,
  '[1]Hoja 1'!$S:$S, $A142,
  '[1]Hoja 1'!$R:$R, "&gt;="&amp;INT($DA$1),
  '[1]Hoja 1'!$R:$R, "&lt;"&amp;INT($DB$1+1)
)</f>
        <v>0</v>
      </c>
      <c r="CZ142" s="1">
        <f t="shared" si="240"/>
        <v>0</v>
      </c>
      <c r="DA142" s="9">
        <f t="shared" si="241"/>
        <v>0</v>
      </c>
      <c r="DB142" s="10">
        <f t="shared" si="242"/>
        <v>0</v>
      </c>
      <c r="DC142" s="1">
        <f>SUMIFS(
  '[1]Hoja 1'!$M:$M,
  '[1]Hoja 1'!$S:$S, $A142,
  '[1]Hoja 1'!$R:$R, "&gt;="&amp;INT($DE$1),
  '[1]Hoja 1'!$R:$R, "&lt;"&amp;INT($DF$1+1)
)</f>
        <v>0</v>
      </c>
      <c r="DD142" s="1">
        <f t="shared" si="243"/>
        <v>0</v>
      </c>
      <c r="DE142" s="9">
        <f t="shared" si="244"/>
        <v>0</v>
      </c>
      <c r="DF142" s="10">
        <f t="shared" si="245"/>
        <v>0</v>
      </c>
      <c r="DG142" s="1">
        <f>SUMIFS(
  '[1]Hoja 1'!$M:$M,
  '[1]Hoja 1'!$S:$S, $A142,
  '[1]Hoja 1'!$R:$R, "&gt;="&amp;INT($DI$1),
  '[1]Hoja 1'!$R:$R, "&lt;"&amp;INT($DJ$1+1)
)</f>
        <v>0</v>
      </c>
      <c r="DH142" s="1">
        <f t="shared" si="246"/>
        <v>0</v>
      </c>
      <c r="DI142" s="9">
        <f t="shared" si="247"/>
        <v>0</v>
      </c>
      <c r="DJ142" s="10">
        <f t="shared" si="248"/>
        <v>0</v>
      </c>
      <c r="DK142" s="1">
        <f>SUMIFS(
  '[1]Hoja 1'!$M:$M,
  '[1]Hoja 1'!$S:$S, $A142,
  '[1]Hoja 1'!$R:$R, "&gt;="&amp;INT($DM$1),
  '[1]Hoja 1'!$R:$R, "&lt;"&amp;INT($DN$1+1)
)</f>
        <v>0</v>
      </c>
      <c r="DL142" s="1">
        <f t="shared" si="249"/>
        <v>0</v>
      </c>
      <c r="DM142" s="9">
        <f t="shared" si="250"/>
        <v>0</v>
      </c>
      <c r="DN142" s="10">
        <f t="shared" si="251"/>
        <v>0</v>
      </c>
      <c r="DO142" s="1">
        <f>SUMIFS(
  '[1]Hoja 1'!$M:$M,
  '[1]Hoja 1'!$S:$S, $A142,
  '[1]Hoja 1'!$R:$R, "&gt;="&amp;INT($DQ$1),
  '[1]Hoja 1'!$R:$R, "&lt;"&amp;INT($DR$1+1)
)</f>
        <v>0</v>
      </c>
      <c r="DP142" s="1">
        <f t="shared" si="252"/>
        <v>0</v>
      </c>
      <c r="DQ142" s="9">
        <f t="shared" si="253"/>
        <v>0</v>
      </c>
      <c r="DR142" s="10">
        <f t="shared" si="254"/>
        <v>0</v>
      </c>
    </row>
    <row r="143" spans="1:122" x14ac:dyDescent="0.25">
      <c r="A143" s="5">
        <v>224001</v>
      </c>
      <c r="B143" s="6" t="s">
        <v>141</v>
      </c>
      <c r="C143" s="1">
        <f>SUMIFS(
  '[1]Hoja 1'!$M:$M,
  '[1]Hoja 1'!$S:$S, $A143,
  '[1]Hoja 1'!$R:$R, "&gt;="&amp;INT($E$1),
  '[1]Hoja 1'!$R:$R, "&lt;"&amp;INT($F$1+1)
)</f>
        <v>1</v>
      </c>
      <c r="D143" s="1" t="str">
        <f>""</f>
        <v/>
      </c>
      <c r="F143" s="2"/>
      <c r="G143" s="1">
        <f>SUMIFS(
  '[1]Hoja 1'!$M:$M,
  '[1]Hoja 1'!$S:$S, $A143,
  '[1]Hoja 1'!$R:$R, "&gt;="&amp;INT($I$1),
  '[1]Hoja 1'!$R:$R, "&lt;"&amp;INT($J$1+1)
)</f>
        <v>0</v>
      </c>
      <c r="H143" s="1">
        <f t="shared" si="170"/>
        <v>0.5</v>
      </c>
      <c r="I143" s="1"/>
      <c r="J143" s="2"/>
      <c r="K143" s="1">
        <f>SUMIFS(
  '[1]Hoja 1'!$M:$M,
  '[1]Hoja 1'!$S:$S, $A143,
  '[1]Hoja 1'!$R:$R, "&gt;="&amp;INT($M$1),
  '[1]Hoja 1'!$R:$R, "&lt;"&amp;INT($N$1+1)
)</f>
        <v>1</v>
      </c>
      <c r="L143" s="1">
        <f t="shared" si="171"/>
        <v>0.5</v>
      </c>
      <c r="M143" s="9">
        <f t="shared" si="172"/>
        <v>-0.88592929112563312</v>
      </c>
      <c r="N143" s="10">
        <f t="shared" si="173"/>
        <v>1.8859292911256331</v>
      </c>
      <c r="O143" s="1">
        <f>SUMIFS(
  '[1]Hoja 1'!$M:$M,
  '[1]Hoja 1'!$S:$S, $A143,
  '[1]Hoja 1'!$R:$R, "&gt;="&amp;INT($Q$1),
  '[1]Hoja 1'!$R:$R, "&lt;"&amp;INT($R$1+1)
)</f>
        <v>1</v>
      </c>
      <c r="P143" s="1">
        <f t="shared" si="174"/>
        <v>1</v>
      </c>
      <c r="Q143" s="9">
        <f t="shared" si="175"/>
        <v>-0.48</v>
      </c>
      <c r="R143" s="10">
        <f t="shared" si="176"/>
        <v>1.48</v>
      </c>
      <c r="S143" s="1">
        <f>SUMIFS(
  '[1]Hoja 1'!$M:$M,
  '[1]Hoja 1'!$S:$S, $A143,
  '[1]Hoja 1'!$R:$R, "&gt;="&amp;INT($U$1),
  '[1]Hoja 1'!$R:$R, "&lt;"&amp;INT($V$1+1)
)</f>
        <v>1</v>
      </c>
      <c r="T143" s="1">
        <f t="shared" si="177"/>
        <v>1</v>
      </c>
      <c r="U143" s="9">
        <f t="shared" si="178"/>
        <v>0.19983335069082853</v>
      </c>
      <c r="V143" s="10">
        <f t="shared" si="179"/>
        <v>1.8001666493091715</v>
      </c>
      <c r="W143" s="1">
        <f>SUMIFS(
  '[1]Hoja 1'!$M:$M,
  '[1]Hoja 1'!$S:$S, $A143,
  '[1]Hoja 1'!$R:$R, "&gt;="&amp;INT($Y$1),
  '[1]Hoja 1'!$R:$R, "&lt;"&amp;INT($Z$1+1)
)</f>
        <v>0</v>
      </c>
      <c r="X143" s="1">
        <f t="shared" si="180"/>
        <v>1</v>
      </c>
      <c r="Y143" s="9">
        <f t="shared" si="181"/>
        <v>0.19983335069082853</v>
      </c>
      <c r="Z143" s="10">
        <f t="shared" si="182"/>
        <v>1.8001666493091715</v>
      </c>
      <c r="AA143" s="1">
        <f>SUMIFS(
  '[1]Hoja 1'!$M:$M,
  '[1]Hoja 1'!$S:$S, $A143,
  '[1]Hoja 1'!$R:$R, "&gt;="&amp;INT($AC$1),
  '[1]Hoja 1'!$R:$R, "&lt;"&amp;INT($AD$1+1)
)</f>
        <v>0</v>
      </c>
      <c r="AB143" s="1">
        <f t="shared" si="183"/>
        <v>0</v>
      </c>
      <c r="AC143" s="9">
        <f t="shared" si="184"/>
        <v>-0.43826932358995874</v>
      </c>
      <c r="AD143" s="10">
        <f t="shared" si="185"/>
        <v>0.49</v>
      </c>
      <c r="AE143" s="1">
        <f>SUMIFS(
  '[1]Hoja 1'!$M:$M,
  '[1]Hoja 1'!$S:$S, $A143,
  '[1]Hoja 1'!$R:$R, "&gt;="&amp;INT($AG$1),
  '[1]Hoja 1'!$R:$R, "&lt;"&amp;INT($AH$1+1)
)</f>
        <v>0</v>
      </c>
      <c r="AF143" s="1">
        <f t="shared" si="186"/>
        <v>0</v>
      </c>
      <c r="AG143" s="9">
        <f t="shared" si="187"/>
        <v>-0.43826932358995874</v>
      </c>
      <c r="AH143" s="10">
        <f t="shared" si="188"/>
        <v>0.49</v>
      </c>
      <c r="AI143" s="1">
        <f>SUMIFS(
  '[1]Hoja 1'!$M:$M,
  '[1]Hoja 1'!$S:$S, $A143,
  '[1]Hoja 1'!$R:$R, "&gt;="&amp;INT($AK$1),
  '[1]Hoja 1'!$R:$R, "&lt;"&amp;INT($AL$1+1)
)</f>
        <v>0</v>
      </c>
      <c r="AJ143" s="1">
        <f t="shared" si="189"/>
        <v>0</v>
      </c>
      <c r="AK143" s="9">
        <f t="shared" si="190"/>
        <v>-0.43826932358995874</v>
      </c>
      <c r="AL143" s="10">
        <f t="shared" si="191"/>
        <v>0.49</v>
      </c>
      <c r="AM143" s="1">
        <f>SUMIFS(
  '[1]Hoja 1'!$M:$M,
  '[1]Hoja 1'!$S:$S, $A143,
  '[1]Hoja 1'!$R:$R, "&gt;="&amp;INT($AO$1),
  '[1]Hoja 1'!$R:$R, "&lt;"&amp;INT($AP$1+1)
)</f>
        <v>0</v>
      </c>
      <c r="AN143" s="1">
        <f t="shared" si="192"/>
        <v>0</v>
      </c>
      <c r="AO143" s="9">
        <f t="shared" si="193"/>
        <v>0</v>
      </c>
      <c r="AP143" s="10">
        <f t="shared" si="194"/>
        <v>0</v>
      </c>
      <c r="AQ143" s="1">
        <f>SUMIFS(
  '[1]Hoja 1'!$M:$M,
  '[1]Hoja 1'!$S:$S, $A143,
  '[1]Hoja 1'!$R:$R, "&gt;="&amp;INT($AS$1),
  '[1]Hoja 1'!$R:$R, "&lt;"&amp;INT($AT$1+1)
)</f>
        <v>0</v>
      </c>
      <c r="AR143" s="1">
        <f t="shared" si="195"/>
        <v>0</v>
      </c>
      <c r="AS143" s="9">
        <f t="shared" si="196"/>
        <v>0</v>
      </c>
      <c r="AT143" s="10">
        <f t="shared" si="197"/>
        <v>0</v>
      </c>
      <c r="AU143" s="1">
        <f>SUMIFS(
  '[1]Hoja 1'!$M:$M,
  '[1]Hoja 1'!$S:$S, $A143,
  '[1]Hoja 1'!$R:$R, "&gt;="&amp;INT($AW$1),
  '[1]Hoja 1'!$R:$R, "&lt;"&amp;INT($AX$1+1)
)</f>
        <v>0</v>
      </c>
      <c r="AV143" s="1">
        <f t="shared" si="198"/>
        <v>0</v>
      </c>
      <c r="AW143" s="9">
        <f t="shared" si="199"/>
        <v>0</v>
      </c>
      <c r="AX143" s="10">
        <f t="shared" si="200"/>
        <v>0</v>
      </c>
      <c r="AY143" s="1">
        <f>SUMIFS(
  '[1]Hoja 1'!$M:$M,
  '[1]Hoja 1'!$S:$S, $A143,
  '[1]Hoja 1'!$R:$R, "&gt;="&amp;INT($BA$1),
  '[1]Hoja 1'!$R:$R, "&lt;"&amp;INT($BB$1+1)
)</f>
        <v>0</v>
      </c>
      <c r="AZ143" s="1">
        <f t="shared" si="201"/>
        <v>0</v>
      </c>
      <c r="BA143" s="9">
        <f t="shared" si="202"/>
        <v>0</v>
      </c>
      <c r="BB143" s="10">
        <f t="shared" si="203"/>
        <v>0</v>
      </c>
      <c r="BC143" s="1">
        <f>SUMIFS(
  '[1]Hoja 1'!$M:$M,
  '[1]Hoja 1'!$S:$S, $A143,
  '[1]Hoja 1'!$R:$R, "&gt;="&amp;INT($BE$1),
  '[1]Hoja 1'!$R:$R, "&lt;"&amp;INT($BF$1+1)
)</f>
        <v>0</v>
      </c>
      <c r="BD143" s="1">
        <f t="shared" si="204"/>
        <v>0</v>
      </c>
      <c r="BE143" s="9">
        <f t="shared" si="205"/>
        <v>0</v>
      </c>
      <c r="BF143" s="10">
        <f t="shared" si="206"/>
        <v>0</v>
      </c>
      <c r="BG143" s="1">
        <f>SUMIFS(
  '[1]Hoja 1'!$M:$M,
  '[1]Hoja 1'!$S:$S, $A143,
  '[1]Hoja 1'!$R:$R, "&gt;="&amp;INT($BI$1),
  '[1]Hoja 1'!$R:$R, "&lt;"&amp;INT($BJ$1+1)
)</f>
        <v>0</v>
      </c>
      <c r="BH143" s="1">
        <f t="shared" si="207"/>
        <v>0</v>
      </c>
      <c r="BI143" s="9">
        <f t="shared" si="208"/>
        <v>0</v>
      </c>
      <c r="BJ143" s="10">
        <f t="shared" si="209"/>
        <v>0</v>
      </c>
      <c r="BK143" s="1">
        <f>SUMIFS(
  '[1]Hoja 1'!$M:$M,
  '[1]Hoja 1'!$S:$S, $A143,
  '[1]Hoja 1'!$R:$R, "&gt;="&amp;INT($BM$1),
  '[1]Hoja 1'!$R:$R, "&lt;"&amp;INT($BN$1+1)
)</f>
        <v>0</v>
      </c>
      <c r="BL143" s="1">
        <f t="shared" si="210"/>
        <v>0</v>
      </c>
      <c r="BM143" s="9">
        <f t="shared" si="211"/>
        <v>0</v>
      </c>
      <c r="BN143" s="10">
        <f t="shared" si="212"/>
        <v>0</v>
      </c>
      <c r="BO143" s="1">
        <f>SUMIFS(
  '[1]Hoja 1'!$M:$M,
  '[1]Hoja 1'!$S:$S, $A143,
  '[1]Hoja 1'!$R:$R, "&gt;="&amp;INT($BQ$1),
  '[1]Hoja 1'!$R:$R, "&lt;"&amp;INT($BR$1+1)
)</f>
        <v>0</v>
      </c>
      <c r="BP143" s="1">
        <f t="shared" si="213"/>
        <v>0</v>
      </c>
      <c r="BQ143" s="9">
        <f t="shared" si="214"/>
        <v>0</v>
      </c>
      <c r="BR143" s="10">
        <f t="shared" si="215"/>
        <v>0</v>
      </c>
      <c r="BS143" s="1">
        <f>SUMIFS(
  '[1]Hoja 1'!$M:$M,
  '[1]Hoja 1'!$S:$S, $A143,
  '[1]Hoja 1'!$R:$R, "&gt;="&amp;INT($BU$1),
  '[1]Hoja 1'!$R:$R, "&lt;"&amp;INT($BV$1+1)
)</f>
        <v>0</v>
      </c>
      <c r="BT143" s="1">
        <f t="shared" si="216"/>
        <v>0</v>
      </c>
      <c r="BU143" s="9">
        <f t="shared" si="217"/>
        <v>0</v>
      </c>
      <c r="BV143" s="10">
        <f t="shared" si="218"/>
        <v>0</v>
      </c>
      <c r="BW143" s="1">
        <f>SUMIFS(
  '[1]Hoja 1'!$M:$M,
  '[1]Hoja 1'!$S:$S, $A143,
  '[1]Hoja 1'!$R:$R, "&gt;="&amp;INT($BY$1),
  '[1]Hoja 1'!$R:$R, "&lt;"&amp;INT($BZ$1+1)
)</f>
        <v>0</v>
      </c>
      <c r="BX143" s="1">
        <f t="shared" si="219"/>
        <v>0</v>
      </c>
      <c r="BY143" s="9">
        <f t="shared" si="220"/>
        <v>0</v>
      </c>
      <c r="BZ143" s="10">
        <f t="shared" si="221"/>
        <v>0</v>
      </c>
      <c r="CA143" s="1">
        <f>SUMIFS(
  '[1]Hoja 1'!$M:$M,
  '[1]Hoja 1'!$S:$S, $A143,
  '[1]Hoja 1'!$R:$R, "&gt;="&amp;INT($CC$1),
  '[1]Hoja 1'!$R:$R, "&lt;"&amp;INT($CD$1+1)
)</f>
        <v>0</v>
      </c>
      <c r="CB143" s="1">
        <f t="shared" si="222"/>
        <v>0</v>
      </c>
      <c r="CC143" s="9">
        <f t="shared" si="223"/>
        <v>0</v>
      </c>
      <c r="CD143" s="10">
        <f t="shared" si="224"/>
        <v>0</v>
      </c>
      <c r="CE143" s="1">
        <f>SUMIFS(
  '[1]Hoja 1'!$M:$M,
  '[1]Hoja 1'!$S:$S, $A143,
  '[1]Hoja 1'!$R:$R, "&gt;="&amp;INT($CG$1),
  '[1]Hoja 1'!$R:$R, "&lt;"&amp;INT($CH$1+1)
)</f>
        <v>0</v>
      </c>
      <c r="CF143" s="1">
        <f t="shared" si="225"/>
        <v>0</v>
      </c>
      <c r="CG143" s="9">
        <f t="shared" si="226"/>
        <v>0</v>
      </c>
      <c r="CH143" s="10">
        <f t="shared" si="227"/>
        <v>0</v>
      </c>
      <c r="CI143" s="1">
        <f>SUMIFS(
  '[1]Hoja 1'!$M:$M,
  '[1]Hoja 1'!$S:$S, $A143,
  '[1]Hoja 1'!$R:$R, "&gt;="&amp;INT($CK$1),
  '[1]Hoja 1'!$R:$R, "&lt;"&amp;INT($CL$1+1)
)</f>
        <v>0</v>
      </c>
      <c r="CJ143" s="1">
        <f t="shared" si="228"/>
        <v>0</v>
      </c>
      <c r="CK143" s="9">
        <f t="shared" si="229"/>
        <v>0</v>
      </c>
      <c r="CL143" s="10">
        <f t="shared" si="230"/>
        <v>0</v>
      </c>
      <c r="CM143" s="1">
        <f>SUMIFS(
  '[1]Hoja 1'!$M:$M,
  '[1]Hoja 1'!$S:$S, $A143,
  '[1]Hoja 1'!$R:$R, "&gt;="&amp;INT($CO$1),
  '[1]Hoja 1'!$R:$R, "&lt;"&amp;INT($CP$1+1)
)</f>
        <v>0</v>
      </c>
      <c r="CN143" s="1">
        <f t="shared" si="231"/>
        <v>0</v>
      </c>
      <c r="CO143" s="9">
        <f t="shared" si="232"/>
        <v>0</v>
      </c>
      <c r="CP143" s="10">
        <f t="shared" si="233"/>
        <v>0</v>
      </c>
      <c r="CQ143" s="1">
        <f>SUMIFS(
  '[1]Hoja 1'!$M:$M,
  '[1]Hoja 1'!$S:$S, $A143,
  '[1]Hoja 1'!$R:$R, "&gt;="&amp;INT($CS$1),
  '[1]Hoja 1'!$R:$R, "&lt;"&amp;INT($CT$1+1)
)</f>
        <v>0</v>
      </c>
      <c r="CR143" s="1">
        <f t="shared" si="234"/>
        <v>0</v>
      </c>
      <c r="CS143" s="9">
        <f t="shared" si="235"/>
        <v>0</v>
      </c>
      <c r="CT143" s="10">
        <f t="shared" si="236"/>
        <v>0</v>
      </c>
      <c r="CU143" s="1">
        <f>SUMIFS(
  '[1]Hoja 1'!$M:$M,
  '[1]Hoja 1'!$S:$S, $A143,
  '[1]Hoja 1'!$R:$R, "&gt;="&amp;INT($CW$1),
  '[1]Hoja 1'!$R:$R, "&lt;"&amp;INT($CX$1+1)
)</f>
        <v>0</v>
      </c>
      <c r="CV143" s="1">
        <f t="shared" si="237"/>
        <v>0</v>
      </c>
      <c r="CW143" s="9">
        <f t="shared" si="238"/>
        <v>0</v>
      </c>
      <c r="CX143" s="10">
        <f t="shared" si="239"/>
        <v>0</v>
      </c>
      <c r="CY143" s="1">
        <f>SUMIFS(
  '[1]Hoja 1'!$M:$M,
  '[1]Hoja 1'!$S:$S, $A143,
  '[1]Hoja 1'!$R:$R, "&gt;="&amp;INT($DA$1),
  '[1]Hoja 1'!$R:$R, "&lt;"&amp;INT($DB$1+1)
)</f>
        <v>0</v>
      </c>
      <c r="CZ143" s="1">
        <f t="shared" si="240"/>
        <v>0</v>
      </c>
      <c r="DA143" s="9">
        <f t="shared" si="241"/>
        <v>0</v>
      </c>
      <c r="DB143" s="10">
        <f t="shared" si="242"/>
        <v>0</v>
      </c>
      <c r="DC143" s="1">
        <f>SUMIFS(
  '[1]Hoja 1'!$M:$M,
  '[1]Hoja 1'!$S:$S, $A143,
  '[1]Hoja 1'!$R:$R, "&gt;="&amp;INT($DE$1),
  '[1]Hoja 1'!$R:$R, "&lt;"&amp;INT($DF$1+1)
)</f>
        <v>0</v>
      </c>
      <c r="DD143" s="1">
        <f t="shared" si="243"/>
        <v>0</v>
      </c>
      <c r="DE143" s="9">
        <f t="shared" si="244"/>
        <v>0</v>
      </c>
      <c r="DF143" s="10">
        <f t="shared" si="245"/>
        <v>0</v>
      </c>
      <c r="DG143" s="1">
        <f>SUMIFS(
  '[1]Hoja 1'!$M:$M,
  '[1]Hoja 1'!$S:$S, $A143,
  '[1]Hoja 1'!$R:$R, "&gt;="&amp;INT($DI$1),
  '[1]Hoja 1'!$R:$R, "&lt;"&amp;INT($DJ$1+1)
)</f>
        <v>0</v>
      </c>
      <c r="DH143" s="1">
        <f t="shared" si="246"/>
        <v>0</v>
      </c>
      <c r="DI143" s="9">
        <f t="shared" si="247"/>
        <v>0</v>
      </c>
      <c r="DJ143" s="10">
        <f t="shared" si="248"/>
        <v>0</v>
      </c>
      <c r="DK143" s="1">
        <f>SUMIFS(
  '[1]Hoja 1'!$M:$M,
  '[1]Hoja 1'!$S:$S, $A143,
  '[1]Hoja 1'!$R:$R, "&gt;="&amp;INT($DM$1),
  '[1]Hoja 1'!$R:$R, "&lt;"&amp;INT($DN$1+1)
)</f>
        <v>0</v>
      </c>
      <c r="DL143" s="1">
        <f t="shared" si="249"/>
        <v>0</v>
      </c>
      <c r="DM143" s="9">
        <f t="shared" si="250"/>
        <v>0</v>
      </c>
      <c r="DN143" s="10">
        <f t="shared" si="251"/>
        <v>0</v>
      </c>
      <c r="DO143" s="1">
        <f>SUMIFS(
  '[1]Hoja 1'!$M:$M,
  '[1]Hoja 1'!$S:$S, $A143,
  '[1]Hoja 1'!$R:$R, "&gt;="&amp;INT($DQ$1),
  '[1]Hoja 1'!$R:$R, "&lt;"&amp;INT($DR$1+1)
)</f>
        <v>0</v>
      </c>
      <c r="DP143" s="1">
        <f t="shared" si="252"/>
        <v>0</v>
      </c>
      <c r="DQ143" s="9">
        <f t="shared" si="253"/>
        <v>0</v>
      </c>
      <c r="DR143" s="10">
        <f t="shared" si="254"/>
        <v>0</v>
      </c>
    </row>
    <row r="144" spans="1:122" x14ac:dyDescent="0.25">
      <c r="A144" s="5">
        <v>224002</v>
      </c>
      <c r="B144" s="6" t="s">
        <v>142</v>
      </c>
      <c r="C144" s="1">
        <f>SUMIFS(
  '[1]Hoja 1'!$M:$M,
  '[1]Hoja 1'!$S:$S, $A144,
  '[1]Hoja 1'!$R:$R, "&gt;="&amp;INT($E$1),
  '[1]Hoja 1'!$R:$R, "&lt;"&amp;INT($F$1+1)
)</f>
        <v>0</v>
      </c>
      <c r="D144" s="1" t="str">
        <f>""</f>
        <v/>
      </c>
      <c r="F144" s="2"/>
      <c r="G144" s="1">
        <f>SUMIFS(
  '[1]Hoja 1'!$M:$M,
  '[1]Hoja 1'!$S:$S, $A144,
  '[1]Hoja 1'!$R:$R, "&gt;="&amp;INT($I$1),
  '[1]Hoja 1'!$R:$R, "&lt;"&amp;INT($J$1+1)
)</f>
        <v>0</v>
      </c>
      <c r="H144" s="1">
        <f t="shared" si="170"/>
        <v>0</v>
      </c>
      <c r="I144" s="1"/>
      <c r="J144" s="2"/>
      <c r="K144" s="1">
        <f>SUMIFS(
  '[1]Hoja 1'!$M:$M,
  '[1]Hoja 1'!$S:$S, $A144,
  '[1]Hoja 1'!$R:$R, "&gt;="&amp;INT($M$1),
  '[1]Hoja 1'!$R:$R, "&lt;"&amp;INT($N$1+1)
)</f>
        <v>0</v>
      </c>
      <c r="L144" s="1">
        <f t="shared" si="171"/>
        <v>0</v>
      </c>
      <c r="M144" s="9">
        <f t="shared" si="172"/>
        <v>0</v>
      </c>
      <c r="N144" s="10">
        <f t="shared" si="173"/>
        <v>0</v>
      </c>
      <c r="O144" s="1">
        <f>SUMIFS(
  '[1]Hoja 1'!$M:$M,
  '[1]Hoja 1'!$S:$S, $A144,
  '[1]Hoja 1'!$R:$R, "&gt;="&amp;INT($Q$1),
  '[1]Hoja 1'!$R:$R, "&lt;"&amp;INT($R$1+1)
)</f>
        <v>0</v>
      </c>
      <c r="P144" s="1">
        <f t="shared" si="174"/>
        <v>0</v>
      </c>
      <c r="Q144" s="9">
        <f t="shared" si="175"/>
        <v>0</v>
      </c>
      <c r="R144" s="10">
        <f t="shared" si="176"/>
        <v>0</v>
      </c>
      <c r="S144" s="1">
        <f>SUMIFS(
  '[1]Hoja 1'!$M:$M,
  '[1]Hoja 1'!$S:$S, $A144,
  '[1]Hoja 1'!$R:$R, "&gt;="&amp;INT($U$1),
  '[1]Hoja 1'!$R:$R, "&lt;"&amp;INT($V$1+1)
)</f>
        <v>0</v>
      </c>
      <c r="T144" s="1">
        <f t="shared" si="177"/>
        <v>0</v>
      </c>
      <c r="U144" s="9">
        <f t="shared" si="178"/>
        <v>0</v>
      </c>
      <c r="V144" s="10">
        <f t="shared" si="179"/>
        <v>0</v>
      </c>
      <c r="W144" s="1">
        <f>SUMIFS(
  '[1]Hoja 1'!$M:$M,
  '[1]Hoja 1'!$S:$S, $A144,
  '[1]Hoja 1'!$R:$R, "&gt;="&amp;INT($Y$1),
  '[1]Hoja 1'!$R:$R, "&lt;"&amp;INT($Z$1+1)
)</f>
        <v>0</v>
      </c>
      <c r="X144" s="1">
        <f t="shared" si="180"/>
        <v>0</v>
      </c>
      <c r="Y144" s="9">
        <f t="shared" si="181"/>
        <v>0</v>
      </c>
      <c r="Z144" s="10">
        <f t="shared" si="182"/>
        <v>0</v>
      </c>
      <c r="AA144" s="1">
        <f>SUMIFS(
  '[1]Hoja 1'!$M:$M,
  '[1]Hoja 1'!$S:$S, $A144,
  '[1]Hoja 1'!$R:$R, "&gt;="&amp;INT($AC$1),
  '[1]Hoja 1'!$R:$R, "&lt;"&amp;INT($AD$1+1)
)</f>
        <v>0</v>
      </c>
      <c r="AB144" s="1">
        <f t="shared" si="183"/>
        <v>0</v>
      </c>
      <c r="AC144" s="9">
        <f t="shared" si="184"/>
        <v>0</v>
      </c>
      <c r="AD144" s="10">
        <f t="shared" si="185"/>
        <v>0</v>
      </c>
      <c r="AE144" s="1">
        <f>SUMIFS(
  '[1]Hoja 1'!$M:$M,
  '[1]Hoja 1'!$S:$S, $A144,
  '[1]Hoja 1'!$R:$R, "&gt;="&amp;INT($AG$1),
  '[1]Hoja 1'!$R:$R, "&lt;"&amp;INT($AH$1+1)
)</f>
        <v>0</v>
      </c>
      <c r="AF144" s="1">
        <f t="shared" si="186"/>
        <v>0</v>
      </c>
      <c r="AG144" s="9">
        <f t="shared" si="187"/>
        <v>0</v>
      </c>
      <c r="AH144" s="10">
        <f t="shared" si="188"/>
        <v>0</v>
      </c>
      <c r="AI144" s="1">
        <f>SUMIFS(
  '[1]Hoja 1'!$M:$M,
  '[1]Hoja 1'!$S:$S, $A144,
  '[1]Hoja 1'!$R:$R, "&gt;="&amp;INT($AK$1),
  '[1]Hoja 1'!$R:$R, "&lt;"&amp;INT($AL$1+1)
)</f>
        <v>0</v>
      </c>
      <c r="AJ144" s="1">
        <f t="shared" si="189"/>
        <v>0</v>
      </c>
      <c r="AK144" s="9">
        <f t="shared" si="190"/>
        <v>0</v>
      </c>
      <c r="AL144" s="10">
        <f t="shared" si="191"/>
        <v>0</v>
      </c>
      <c r="AM144" s="1">
        <f>SUMIFS(
  '[1]Hoja 1'!$M:$M,
  '[1]Hoja 1'!$S:$S, $A144,
  '[1]Hoja 1'!$R:$R, "&gt;="&amp;INT($AO$1),
  '[1]Hoja 1'!$R:$R, "&lt;"&amp;INT($AP$1+1)
)</f>
        <v>0</v>
      </c>
      <c r="AN144" s="1">
        <f t="shared" si="192"/>
        <v>0</v>
      </c>
      <c r="AO144" s="9">
        <f t="shared" si="193"/>
        <v>0</v>
      </c>
      <c r="AP144" s="10">
        <f t="shared" si="194"/>
        <v>0</v>
      </c>
      <c r="AQ144" s="1">
        <f>SUMIFS(
  '[1]Hoja 1'!$M:$M,
  '[1]Hoja 1'!$S:$S, $A144,
  '[1]Hoja 1'!$R:$R, "&gt;="&amp;INT($AS$1),
  '[1]Hoja 1'!$R:$R, "&lt;"&amp;INT($AT$1+1)
)</f>
        <v>0</v>
      </c>
      <c r="AR144" s="1">
        <f t="shared" si="195"/>
        <v>0</v>
      </c>
      <c r="AS144" s="9">
        <f t="shared" si="196"/>
        <v>0</v>
      </c>
      <c r="AT144" s="10">
        <f t="shared" si="197"/>
        <v>0</v>
      </c>
      <c r="AU144" s="1">
        <f>SUMIFS(
  '[1]Hoja 1'!$M:$M,
  '[1]Hoja 1'!$S:$S, $A144,
  '[1]Hoja 1'!$R:$R, "&gt;="&amp;INT($AW$1),
  '[1]Hoja 1'!$R:$R, "&lt;"&amp;INT($AX$1+1)
)</f>
        <v>0</v>
      </c>
      <c r="AV144" s="1">
        <f t="shared" si="198"/>
        <v>0</v>
      </c>
      <c r="AW144" s="9">
        <f t="shared" si="199"/>
        <v>0</v>
      </c>
      <c r="AX144" s="10">
        <f t="shared" si="200"/>
        <v>0</v>
      </c>
      <c r="AY144" s="1">
        <f>SUMIFS(
  '[1]Hoja 1'!$M:$M,
  '[1]Hoja 1'!$S:$S, $A144,
  '[1]Hoja 1'!$R:$R, "&gt;="&amp;INT($BA$1),
  '[1]Hoja 1'!$R:$R, "&lt;"&amp;INT($BB$1+1)
)</f>
        <v>0</v>
      </c>
      <c r="AZ144" s="1">
        <f t="shared" si="201"/>
        <v>0</v>
      </c>
      <c r="BA144" s="9">
        <f t="shared" si="202"/>
        <v>0</v>
      </c>
      <c r="BB144" s="10">
        <f t="shared" si="203"/>
        <v>0</v>
      </c>
      <c r="BC144" s="1">
        <f>SUMIFS(
  '[1]Hoja 1'!$M:$M,
  '[1]Hoja 1'!$S:$S, $A144,
  '[1]Hoja 1'!$R:$R, "&gt;="&amp;INT($BE$1),
  '[1]Hoja 1'!$R:$R, "&lt;"&amp;INT($BF$1+1)
)</f>
        <v>0</v>
      </c>
      <c r="BD144" s="1">
        <f t="shared" si="204"/>
        <v>0</v>
      </c>
      <c r="BE144" s="9">
        <f t="shared" si="205"/>
        <v>0</v>
      </c>
      <c r="BF144" s="10">
        <f t="shared" si="206"/>
        <v>0</v>
      </c>
      <c r="BG144" s="1">
        <f>SUMIFS(
  '[1]Hoja 1'!$M:$M,
  '[1]Hoja 1'!$S:$S, $A144,
  '[1]Hoja 1'!$R:$R, "&gt;="&amp;INT($BI$1),
  '[1]Hoja 1'!$R:$R, "&lt;"&amp;INT($BJ$1+1)
)</f>
        <v>0</v>
      </c>
      <c r="BH144" s="1">
        <f t="shared" si="207"/>
        <v>0</v>
      </c>
      <c r="BI144" s="9">
        <f t="shared" si="208"/>
        <v>0</v>
      </c>
      <c r="BJ144" s="10">
        <f t="shared" si="209"/>
        <v>0</v>
      </c>
      <c r="BK144" s="1">
        <f>SUMIFS(
  '[1]Hoja 1'!$M:$M,
  '[1]Hoja 1'!$S:$S, $A144,
  '[1]Hoja 1'!$R:$R, "&gt;="&amp;INT($BM$1),
  '[1]Hoja 1'!$R:$R, "&lt;"&amp;INT($BN$1+1)
)</f>
        <v>0</v>
      </c>
      <c r="BL144" s="1">
        <f t="shared" si="210"/>
        <v>0</v>
      </c>
      <c r="BM144" s="9">
        <f t="shared" si="211"/>
        <v>0</v>
      </c>
      <c r="BN144" s="10">
        <f t="shared" si="212"/>
        <v>0</v>
      </c>
      <c r="BO144" s="1">
        <f>SUMIFS(
  '[1]Hoja 1'!$M:$M,
  '[1]Hoja 1'!$S:$S, $A144,
  '[1]Hoja 1'!$R:$R, "&gt;="&amp;INT($BQ$1),
  '[1]Hoja 1'!$R:$R, "&lt;"&amp;INT($BR$1+1)
)</f>
        <v>0</v>
      </c>
      <c r="BP144" s="1">
        <f t="shared" si="213"/>
        <v>0</v>
      </c>
      <c r="BQ144" s="9">
        <f t="shared" si="214"/>
        <v>0</v>
      </c>
      <c r="BR144" s="10">
        <f t="shared" si="215"/>
        <v>0</v>
      </c>
      <c r="BS144" s="1">
        <f>SUMIFS(
  '[1]Hoja 1'!$M:$M,
  '[1]Hoja 1'!$S:$S, $A144,
  '[1]Hoja 1'!$R:$R, "&gt;="&amp;INT($BU$1),
  '[1]Hoja 1'!$R:$R, "&lt;"&amp;INT($BV$1+1)
)</f>
        <v>0</v>
      </c>
      <c r="BT144" s="1">
        <f t="shared" si="216"/>
        <v>0</v>
      </c>
      <c r="BU144" s="9">
        <f t="shared" si="217"/>
        <v>0</v>
      </c>
      <c r="BV144" s="10">
        <f t="shared" si="218"/>
        <v>0</v>
      </c>
      <c r="BW144" s="1">
        <f>SUMIFS(
  '[1]Hoja 1'!$M:$M,
  '[1]Hoja 1'!$S:$S, $A144,
  '[1]Hoja 1'!$R:$R, "&gt;="&amp;INT($BY$1),
  '[1]Hoja 1'!$R:$R, "&lt;"&amp;INT($BZ$1+1)
)</f>
        <v>0</v>
      </c>
      <c r="BX144" s="1">
        <f t="shared" si="219"/>
        <v>0</v>
      </c>
      <c r="BY144" s="9">
        <f t="shared" si="220"/>
        <v>0</v>
      </c>
      <c r="BZ144" s="10">
        <f t="shared" si="221"/>
        <v>0</v>
      </c>
      <c r="CA144" s="1">
        <f>SUMIFS(
  '[1]Hoja 1'!$M:$M,
  '[1]Hoja 1'!$S:$S, $A144,
  '[1]Hoja 1'!$R:$R, "&gt;="&amp;INT($CC$1),
  '[1]Hoja 1'!$R:$R, "&lt;"&amp;INT($CD$1+1)
)</f>
        <v>0</v>
      </c>
      <c r="CB144" s="1">
        <f t="shared" si="222"/>
        <v>0</v>
      </c>
      <c r="CC144" s="9">
        <f t="shared" si="223"/>
        <v>0</v>
      </c>
      <c r="CD144" s="10">
        <f t="shared" si="224"/>
        <v>0</v>
      </c>
      <c r="CE144" s="1">
        <f>SUMIFS(
  '[1]Hoja 1'!$M:$M,
  '[1]Hoja 1'!$S:$S, $A144,
  '[1]Hoja 1'!$R:$R, "&gt;="&amp;INT($CG$1),
  '[1]Hoja 1'!$R:$R, "&lt;"&amp;INT($CH$1+1)
)</f>
        <v>0</v>
      </c>
      <c r="CF144" s="1">
        <f t="shared" si="225"/>
        <v>0</v>
      </c>
      <c r="CG144" s="9">
        <f t="shared" si="226"/>
        <v>0</v>
      </c>
      <c r="CH144" s="10">
        <f t="shared" si="227"/>
        <v>0</v>
      </c>
      <c r="CI144" s="1">
        <f>SUMIFS(
  '[1]Hoja 1'!$M:$M,
  '[1]Hoja 1'!$S:$S, $A144,
  '[1]Hoja 1'!$R:$R, "&gt;="&amp;INT($CK$1),
  '[1]Hoja 1'!$R:$R, "&lt;"&amp;INT($CL$1+1)
)</f>
        <v>0</v>
      </c>
      <c r="CJ144" s="1">
        <f t="shared" si="228"/>
        <v>0</v>
      </c>
      <c r="CK144" s="9">
        <f t="shared" si="229"/>
        <v>0</v>
      </c>
      <c r="CL144" s="10">
        <f t="shared" si="230"/>
        <v>0</v>
      </c>
      <c r="CM144" s="1">
        <f>SUMIFS(
  '[1]Hoja 1'!$M:$M,
  '[1]Hoja 1'!$S:$S, $A144,
  '[1]Hoja 1'!$R:$R, "&gt;="&amp;INT($CO$1),
  '[1]Hoja 1'!$R:$R, "&lt;"&amp;INT($CP$1+1)
)</f>
        <v>0</v>
      </c>
      <c r="CN144" s="1">
        <f t="shared" si="231"/>
        <v>0</v>
      </c>
      <c r="CO144" s="9">
        <f t="shared" si="232"/>
        <v>0</v>
      </c>
      <c r="CP144" s="10">
        <f t="shared" si="233"/>
        <v>0</v>
      </c>
      <c r="CQ144" s="1">
        <f>SUMIFS(
  '[1]Hoja 1'!$M:$M,
  '[1]Hoja 1'!$S:$S, $A144,
  '[1]Hoja 1'!$R:$R, "&gt;="&amp;INT($CS$1),
  '[1]Hoja 1'!$R:$R, "&lt;"&amp;INT($CT$1+1)
)</f>
        <v>0</v>
      </c>
      <c r="CR144" s="1">
        <f t="shared" si="234"/>
        <v>0</v>
      </c>
      <c r="CS144" s="9">
        <f t="shared" si="235"/>
        <v>0</v>
      </c>
      <c r="CT144" s="10">
        <f t="shared" si="236"/>
        <v>0</v>
      </c>
      <c r="CU144" s="1">
        <f>SUMIFS(
  '[1]Hoja 1'!$M:$M,
  '[1]Hoja 1'!$S:$S, $A144,
  '[1]Hoja 1'!$R:$R, "&gt;="&amp;INT($CW$1),
  '[1]Hoja 1'!$R:$R, "&lt;"&amp;INT($CX$1+1)
)</f>
        <v>0</v>
      </c>
      <c r="CV144" s="1">
        <f t="shared" si="237"/>
        <v>0</v>
      </c>
      <c r="CW144" s="9">
        <f t="shared" si="238"/>
        <v>0</v>
      </c>
      <c r="CX144" s="10">
        <f t="shared" si="239"/>
        <v>0</v>
      </c>
      <c r="CY144" s="1">
        <f>SUMIFS(
  '[1]Hoja 1'!$M:$M,
  '[1]Hoja 1'!$S:$S, $A144,
  '[1]Hoja 1'!$R:$R, "&gt;="&amp;INT($DA$1),
  '[1]Hoja 1'!$R:$R, "&lt;"&amp;INT($DB$1+1)
)</f>
        <v>0</v>
      </c>
      <c r="CZ144" s="1">
        <f t="shared" si="240"/>
        <v>0</v>
      </c>
      <c r="DA144" s="9">
        <f t="shared" si="241"/>
        <v>0</v>
      </c>
      <c r="DB144" s="10">
        <f t="shared" si="242"/>
        <v>0</v>
      </c>
      <c r="DC144" s="1">
        <f>SUMIFS(
  '[1]Hoja 1'!$M:$M,
  '[1]Hoja 1'!$S:$S, $A144,
  '[1]Hoja 1'!$R:$R, "&gt;="&amp;INT($DE$1),
  '[1]Hoja 1'!$R:$R, "&lt;"&amp;INT($DF$1+1)
)</f>
        <v>0</v>
      </c>
      <c r="DD144" s="1">
        <f t="shared" si="243"/>
        <v>0</v>
      </c>
      <c r="DE144" s="9">
        <f t="shared" si="244"/>
        <v>0</v>
      </c>
      <c r="DF144" s="10">
        <f t="shared" si="245"/>
        <v>0</v>
      </c>
      <c r="DG144" s="1">
        <f>SUMIFS(
  '[1]Hoja 1'!$M:$M,
  '[1]Hoja 1'!$S:$S, $A144,
  '[1]Hoja 1'!$R:$R, "&gt;="&amp;INT($DI$1),
  '[1]Hoja 1'!$R:$R, "&lt;"&amp;INT($DJ$1+1)
)</f>
        <v>0</v>
      </c>
      <c r="DH144" s="1">
        <f t="shared" si="246"/>
        <v>0</v>
      </c>
      <c r="DI144" s="9">
        <f t="shared" si="247"/>
        <v>0</v>
      </c>
      <c r="DJ144" s="10">
        <f t="shared" si="248"/>
        <v>0</v>
      </c>
      <c r="DK144" s="1">
        <f>SUMIFS(
  '[1]Hoja 1'!$M:$M,
  '[1]Hoja 1'!$S:$S, $A144,
  '[1]Hoja 1'!$R:$R, "&gt;="&amp;INT($DM$1),
  '[1]Hoja 1'!$R:$R, "&lt;"&amp;INT($DN$1+1)
)</f>
        <v>0</v>
      </c>
      <c r="DL144" s="1">
        <f t="shared" si="249"/>
        <v>0</v>
      </c>
      <c r="DM144" s="9">
        <f t="shared" si="250"/>
        <v>0</v>
      </c>
      <c r="DN144" s="10">
        <f t="shared" si="251"/>
        <v>0</v>
      </c>
      <c r="DO144" s="1">
        <f>SUMIFS(
  '[1]Hoja 1'!$M:$M,
  '[1]Hoja 1'!$S:$S, $A144,
  '[1]Hoja 1'!$R:$R, "&gt;="&amp;INT($DQ$1),
  '[1]Hoja 1'!$R:$R, "&lt;"&amp;INT($DR$1+1)
)</f>
        <v>0</v>
      </c>
      <c r="DP144" s="1">
        <f t="shared" si="252"/>
        <v>0</v>
      </c>
      <c r="DQ144" s="9">
        <f t="shared" si="253"/>
        <v>0</v>
      </c>
      <c r="DR144" s="10">
        <f t="shared" si="254"/>
        <v>0</v>
      </c>
    </row>
    <row r="145" spans="1:122" x14ac:dyDescent="0.25">
      <c r="A145" s="5">
        <v>224003</v>
      </c>
      <c r="B145" s="6" t="s">
        <v>143</v>
      </c>
      <c r="C145" s="1">
        <f>SUMIFS(
  '[1]Hoja 1'!$M:$M,
  '[1]Hoja 1'!$S:$S, $A145,
  '[1]Hoja 1'!$R:$R, "&gt;="&amp;INT($E$1),
  '[1]Hoja 1'!$R:$R, "&lt;"&amp;INT($F$1+1)
)</f>
        <v>0</v>
      </c>
      <c r="D145" s="1" t="str">
        <f>""</f>
        <v/>
      </c>
      <c r="F145" s="2"/>
      <c r="G145" s="1">
        <f>SUMIFS(
  '[1]Hoja 1'!$M:$M,
  '[1]Hoja 1'!$S:$S, $A145,
  '[1]Hoja 1'!$R:$R, "&gt;="&amp;INT($I$1),
  '[1]Hoja 1'!$R:$R, "&lt;"&amp;INT($J$1+1)
)</f>
        <v>0</v>
      </c>
      <c r="H145" s="1">
        <f t="shared" si="170"/>
        <v>0</v>
      </c>
      <c r="I145" s="1"/>
      <c r="J145" s="2"/>
      <c r="K145" s="1">
        <f>SUMIFS(
  '[1]Hoja 1'!$M:$M,
  '[1]Hoja 1'!$S:$S, $A145,
  '[1]Hoja 1'!$R:$R, "&gt;="&amp;INT($M$1),
  '[1]Hoja 1'!$R:$R, "&lt;"&amp;INT($N$1+1)
)</f>
        <v>0</v>
      </c>
      <c r="L145" s="1">
        <f t="shared" si="171"/>
        <v>0</v>
      </c>
      <c r="M145" s="9">
        <f t="shared" si="172"/>
        <v>0</v>
      </c>
      <c r="N145" s="10">
        <f t="shared" si="173"/>
        <v>0</v>
      </c>
      <c r="O145" s="1">
        <f>SUMIFS(
  '[1]Hoja 1'!$M:$M,
  '[1]Hoja 1'!$S:$S, $A145,
  '[1]Hoja 1'!$R:$R, "&gt;="&amp;INT($Q$1),
  '[1]Hoja 1'!$R:$R, "&lt;"&amp;INT($R$1+1)
)</f>
        <v>0</v>
      </c>
      <c r="P145" s="1">
        <f t="shared" si="174"/>
        <v>0</v>
      </c>
      <c r="Q145" s="9">
        <f t="shared" si="175"/>
        <v>0</v>
      </c>
      <c r="R145" s="10">
        <f t="shared" si="176"/>
        <v>0</v>
      </c>
      <c r="S145" s="1">
        <f>SUMIFS(
  '[1]Hoja 1'!$M:$M,
  '[1]Hoja 1'!$S:$S, $A145,
  '[1]Hoja 1'!$R:$R, "&gt;="&amp;INT($U$1),
  '[1]Hoja 1'!$R:$R, "&lt;"&amp;INT($V$1+1)
)</f>
        <v>0</v>
      </c>
      <c r="T145" s="1">
        <f t="shared" si="177"/>
        <v>0</v>
      </c>
      <c r="U145" s="9">
        <f t="shared" si="178"/>
        <v>0</v>
      </c>
      <c r="V145" s="10">
        <f t="shared" si="179"/>
        <v>0</v>
      </c>
      <c r="W145" s="1">
        <f>SUMIFS(
  '[1]Hoja 1'!$M:$M,
  '[1]Hoja 1'!$S:$S, $A145,
  '[1]Hoja 1'!$R:$R, "&gt;="&amp;INT($Y$1),
  '[1]Hoja 1'!$R:$R, "&lt;"&amp;INT($Z$1+1)
)</f>
        <v>0</v>
      </c>
      <c r="X145" s="1">
        <f t="shared" si="180"/>
        <v>0</v>
      </c>
      <c r="Y145" s="9">
        <f t="shared" si="181"/>
        <v>0</v>
      </c>
      <c r="Z145" s="10">
        <f t="shared" si="182"/>
        <v>0</v>
      </c>
      <c r="AA145" s="1">
        <f>SUMIFS(
  '[1]Hoja 1'!$M:$M,
  '[1]Hoja 1'!$S:$S, $A145,
  '[1]Hoja 1'!$R:$R, "&gt;="&amp;INT($AC$1),
  '[1]Hoja 1'!$R:$R, "&lt;"&amp;INT($AD$1+1)
)</f>
        <v>0</v>
      </c>
      <c r="AB145" s="1">
        <f t="shared" si="183"/>
        <v>0</v>
      </c>
      <c r="AC145" s="9">
        <f t="shared" si="184"/>
        <v>0</v>
      </c>
      <c r="AD145" s="10">
        <f t="shared" si="185"/>
        <v>0</v>
      </c>
      <c r="AE145" s="1">
        <f>SUMIFS(
  '[1]Hoja 1'!$M:$M,
  '[1]Hoja 1'!$S:$S, $A145,
  '[1]Hoja 1'!$R:$R, "&gt;="&amp;INT($AG$1),
  '[1]Hoja 1'!$R:$R, "&lt;"&amp;INT($AH$1+1)
)</f>
        <v>0</v>
      </c>
      <c r="AF145" s="1">
        <f t="shared" si="186"/>
        <v>0</v>
      </c>
      <c r="AG145" s="9">
        <f t="shared" si="187"/>
        <v>0</v>
      </c>
      <c r="AH145" s="10">
        <f t="shared" si="188"/>
        <v>0</v>
      </c>
      <c r="AI145" s="1">
        <f>SUMIFS(
  '[1]Hoja 1'!$M:$M,
  '[1]Hoja 1'!$S:$S, $A145,
  '[1]Hoja 1'!$R:$R, "&gt;="&amp;INT($AK$1),
  '[1]Hoja 1'!$R:$R, "&lt;"&amp;INT($AL$1+1)
)</f>
        <v>0</v>
      </c>
      <c r="AJ145" s="1">
        <f t="shared" si="189"/>
        <v>0</v>
      </c>
      <c r="AK145" s="9">
        <f t="shared" si="190"/>
        <v>0</v>
      </c>
      <c r="AL145" s="10">
        <f t="shared" si="191"/>
        <v>0</v>
      </c>
      <c r="AM145" s="1">
        <f>SUMIFS(
  '[1]Hoja 1'!$M:$M,
  '[1]Hoja 1'!$S:$S, $A145,
  '[1]Hoja 1'!$R:$R, "&gt;="&amp;INT($AO$1),
  '[1]Hoja 1'!$R:$R, "&lt;"&amp;INT($AP$1+1)
)</f>
        <v>0</v>
      </c>
      <c r="AN145" s="1">
        <f t="shared" si="192"/>
        <v>0</v>
      </c>
      <c r="AO145" s="9">
        <f t="shared" si="193"/>
        <v>0</v>
      </c>
      <c r="AP145" s="10">
        <f t="shared" si="194"/>
        <v>0</v>
      </c>
      <c r="AQ145" s="1">
        <f>SUMIFS(
  '[1]Hoja 1'!$M:$M,
  '[1]Hoja 1'!$S:$S, $A145,
  '[1]Hoja 1'!$R:$R, "&gt;="&amp;INT($AS$1),
  '[1]Hoja 1'!$R:$R, "&lt;"&amp;INT($AT$1+1)
)</f>
        <v>0</v>
      </c>
      <c r="AR145" s="1">
        <f t="shared" si="195"/>
        <v>0</v>
      </c>
      <c r="AS145" s="9">
        <f t="shared" si="196"/>
        <v>0</v>
      </c>
      <c r="AT145" s="10">
        <f t="shared" si="197"/>
        <v>0</v>
      </c>
      <c r="AU145" s="1">
        <f>SUMIFS(
  '[1]Hoja 1'!$M:$M,
  '[1]Hoja 1'!$S:$S, $A145,
  '[1]Hoja 1'!$R:$R, "&gt;="&amp;INT($AW$1),
  '[1]Hoja 1'!$R:$R, "&lt;"&amp;INT($AX$1+1)
)</f>
        <v>0</v>
      </c>
      <c r="AV145" s="1">
        <f t="shared" si="198"/>
        <v>0</v>
      </c>
      <c r="AW145" s="9">
        <f t="shared" si="199"/>
        <v>0</v>
      </c>
      <c r="AX145" s="10">
        <f t="shared" si="200"/>
        <v>0</v>
      </c>
      <c r="AY145" s="1">
        <f>SUMIFS(
  '[1]Hoja 1'!$M:$M,
  '[1]Hoja 1'!$S:$S, $A145,
  '[1]Hoja 1'!$R:$R, "&gt;="&amp;INT($BA$1),
  '[1]Hoja 1'!$R:$R, "&lt;"&amp;INT($BB$1+1)
)</f>
        <v>0</v>
      </c>
      <c r="AZ145" s="1">
        <f t="shared" si="201"/>
        <v>0</v>
      </c>
      <c r="BA145" s="9">
        <f t="shared" si="202"/>
        <v>0</v>
      </c>
      <c r="BB145" s="10">
        <f t="shared" si="203"/>
        <v>0</v>
      </c>
      <c r="BC145" s="1">
        <f>SUMIFS(
  '[1]Hoja 1'!$M:$M,
  '[1]Hoja 1'!$S:$S, $A145,
  '[1]Hoja 1'!$R:$R, "&gt;="&amp;INT($BE$1),
  '[1]Hoja 1'!$R:$R, "&lt;"&amp;INT($BF$1+1)
)</f>
        <v>0</v>
      </c>
      <c r="BD145" s="1">
        <f t="shared" si="204"/>
        <v>0</v>
      </c>
      <c r="BE145" s="9">
        <f t="shared" si="205"/>
        <v>0</v>
      </c>
      <c r="BF145" s="10">
        <f t="shared" si="206"/>
        <v>0</v>
      </c>
      <c r="BG145" s="1">
        <f>SUMIFS(
  '[1]Hoja 1'!$M:$M,
  '[1]Hoja 1'!$S:$S, $A145,
  '[1]Hoja 1'!$R:$R, "&gt;="&amp;INT($BI$1),
  '[1]Hoja 1'!$R:$R, "&lt;"&amp;INT($BJ$1+1)
)</f>
        <v>0</v>
      </c>
      <c r="BH145" s="1">
        <f t="shared" si="207"/>
        <v>0</v>
      </c>
      <c r="BI145" s="9">
        <f t="shared" si="208"/>
        <v>0</v>
      </c>
      <c r="BJ145" s="10">
        <f t="shared" si="209"/>
        <v>0</v>
      </c>
      <c r="BK145" s="1">
        <f>SUMIFS(
  '[1]Hoja 1'!$M:$M,
  '[1]Hoja 1'!$S:$S, $A145,
  '[1]Hoja 1'!$R:$R, "&gt;="&amp;INT($BM$1),
  '[1]Hoja 1'!$R:$R, "&lt;"&amp;INT($BN$1+1)
)</f>
        <v>0</v>
      </c>
      <c r="BL145" s="1">
        <f t="shared" si="210"/>
        <v>0</v>
      </c>
      <c r="BM145" s="9">
        <f t="shared" si="211"/>
        <v>0</v>
      </c>
      <c r="BN145" s="10">
        <f t="shared" si="212"/>
        <v>0</v>
      </c>
      <c r="BO145" s="1">
        <f>SUMIFS(
  '[1]Hoja 1'!$M:$M,
  '[1]Hoja 1'!$S:$S, $A145,
  '[1]Hoja 1'!$R:$R, "&gt;="&amp;INT($BQ$1),
  '[1]Hoja 1'!$R:$R, "&lt;"&amp;INT($BR$1+1)
)</f>
        <v>0</v>
      </c>
      <c r="BP145" s="1">
        <f t="shared" si="213"/>
        <v>0</v>
      </c>
      <c r="BQ145" s="9">
        <f t="shared" si="214"/>
        <v>0</v>
      </c>
      <c r="BR145" s="10">
        <f t="shared" si="215"/>
        <v>0</v>
      </c>
      <c r="BS145" s="1">
        <f>SUMIFS(
  '[1]Hoja 1'!$M:$M,
  '[1]Hoja 1'!$S:$S, $A145,
  '[1]Hoja 1'!$R:$R, "&gt;="&amp;INT($BU$1),
  '[1]Hoja 1'!$R:$R, "&lt;"&amp;INT($BV$1+1)
)</f>
        <v>0</v>
      </c>
      <c r="BT145" s="1">
        <f t="shared" si="216"/>
        <v>0</v>
      </c>
      <c r="BU145" s="9">
        <f t="shared" si="217"/>
        <v>0</v>
      </c>
      <c r="BV145" s="10">
        <f t="shared" si="218"/>
        <v>0</v>
      </c>
      <c r="BW145" s="1">
        <f>SUMIFS(
  '[1]Hoja 1'!$M:$M,
  '[1]Hoja 1'!$S:$S, $A145,
  '[1]Hoja 1'!$R:$R, "&gt;="&amp;INT($BY$1),
  '[1]Hoja 1'!$R:$R, "&lt;"&amp;INT($BZ$1+1)
)</f>
        <v>0</v>
      </c>
      <c r="BX145" s="1">
        <f t="shared" si="219"/>
        <v>0</v>
      </c>
      <c r="BY145" s="9">
        <f t="shared" si="220"/>
        <v>0</v>
      </c>
      <c r="BZ145" s="10">
        <f t="shared" si="221"/>
        <v>0</v>
      </c>
      <c r="CA145" s="1">
        <f>SUMIFS(
  '[1]Hoja 1'!$M:$M,
  '[1]Hoja 1'!$S:$S, $A145,
  '[1]Hoja 1'!$R:$R, "&gt;="&amp;INT($CC$1),
  '[1]Hoja 1'!$R:$R, "&lt;"&amp;INT($CD$1+1)
)</f>
        <v>0</v>
      </c>
      <c r="CB145" s="1">
        <f t="shared" si="222"/>
        <v>0</v>
      </c>
      <c r="CC145" s="9">
        <f t="shared" si="223"/>
        <v>0</v>
      </c>
      <c r="CD145" s="10">
        <f t="shared" si="224"/>
        <v>0</v>
      </c>
      <c r="CE145" s="1">
        <f>SUMIFS(
  '[1]Hoja 1'!$M:$M,
  '[1]Hoja 1'!$S:$S, $A145,
  '[1]Hoja 1'!$R:$R, "&gt;="&amp;INT($CG$1),
  '[1]Hoja 1'!$R:$R, "&lt;"&amp;INT($CH$1+1)
)</f>
        <v>0</v>
      </c>
      <c r="CF145" s="1">
        <f t="shared" si="225"/>
        <v>0</v>
      </c>
      <c r="CG145" s="9">
        <f t="shared" si="226"/>
        <v>0</v>
      </c>
      <c r="CH145" s="10">
        <f t="shared" si="227"/>
        <v>0</v>
      </c>
      <c r="CI145" s="1">
        <f>SUMIFS(
  '[1]Hoja 1'!$M:$M,
  '[1]Hoja 1'!$S:$S, $A145,
  '[1]Hoja 1'!$R:$R, "&gt;="&amp;INT($CK$1),
  '[1]Hoja 1'!$R:$R, "&lt;"&amp;INT($CL$1+1)
)</f>
        <v>0</v>
      </c>
      <c r="CJ145" s="1">
        <f t="shared" si="228"/>
        <v>0</v>
      </c>
      <c r="CK145" s="9">
        <f t="shared" si="229"/>
        <v>0</v>
      </c>
      <c r="CL145" s="10">
        <f t="shared" si="230"/>
        <v>0</v>
      </c>
      <c r="CM145" s="1">
        <f>SUMIFS(
  '[1]Hoja 1'!$M:$M,
  '[1]Hoja 1'!$S:$S, $A145,
  '[1]Hoja 1'!$R:$R, "&gt;="&amp;INT($CO$1),
  '[1]Hoja 1'!$R:$R, "&lt;"&amp;INT($CP$1+1)
)</f>
        <v>0</v>
      </c>
      <c r="CN145" s="1">
        <f t="shared" si="231"/>
        <v>0</v>
      </c>
      <c r="CO145" s="9">
        <f t="shared" si="232"/>
        <v>0</v>
      </c>
      <c r="CP145" s="10">
        <f t="shared" si="233"/>
        <v>0</v>
      </c>
      <c r="CQ145" s="1">
        <f>SUMIFS(
  '[1]Hoja 1'!$M:$M,
  '[1]Hoja 1'!$S:$S, $A145,
  '[1]Hoja 1'!$R:$R, "&gt;="&amp;INT($CS$1),
  '[1]Hoja 1'!$R:$R, "&lt;"&amp;INT($CT$1+1)
)</f>
        <v>0</v>
      </c>
      <c r="CR145" s="1">
        <f t="shared" si="234"/>
        <v>0</v>
      </c>
      <c r="CS145" s="9">
        <f t="shared" si="235"/>
        <v>0</v>
      </c>
      <c r="CT145" s="10">
        <f t="shared" si="236"/>
        <v>0</v>
      </c>
      <c r="CU145" s="1">
        <f>SUMIFS(
  '[1]Hoja 1'!$M:$M,
  '[1]Hoja 1'!$S:$S, $A145,
  '[1]Hoja 1'!$R:$R, "&gt;="&amp;INT($CW$1),
  '[1]Hoja 1'!$R:$R, "&lt;"&amp;INT($CX$1+1)
)</f>
        <v>0</v>
      </c>
      <c r="CV145" s="1">
        <f t="shared" si="237"/>
        <v>0</v>
      </c>
      <c r="CW145" s="9">
        <f t="shared" si="238"/>
        <v>0</v>
      </c>
      <c r="CX145" s="10">
        <f t="shared" si="239"/>
        <v>0</v>
      </c>
      <c r="CY145" s="1">
        <f>SUMIFS(
  '[1]Hoja 1'!$M:$M,
  '[1]Hoja 1'!$S:$S, $A145,
  '[1]Hoja 1'!$R:$R, "&gt;="&amp;INT($DA$1),
  '[1]Hoja 1'!$R:$R, "&lt;"&amp;INT($DB$1+1)
)</f>
        <v>0</v>
      </c>
      <c r="CZ145" s="1">
        <f t="shared" si="240"/>
        <v>0</v>
      </c>
      <c r="DA145" s="9">
        <f t="shared" si="241"/>
        <v>0</v>
      </c>
      <c r="DB145" s="10">
        <f t="shared" si="242"/>
        <v>0</v>
      </c>
      <c r="DC145" s="1">
        <f>SUMIFS(
  '[1]Hoja 1'!$M:$M,
  '[1]Hoja 1'!$S:$S, $A145,
  '[1]Hoja 1'!$R:$R, "&gt;="&amp;INT($DE$1),
  '[1]Hoja 1'!$R:$R, "&lt;"&amp;INT($DF$1+1)
)</f>
        <v>0</v>
      </c>
      <c r="DD145" s="1">
        <f t="shared" si="243"/>
        <v>0</v>
      </c>
      <c r="DE145" s="9">
        <f t="shared" si="244"/>
        <v>0</v>
      </c>
      <c r="DF145" s="10">
        <f t="shared" si="245"/>
        <v>0</v>
      </c>
      <c r="DG145" s="1">
        <f>SUMIFS(
  '[1]Hoja 1'!$M:$M,
  '[1]Hoja 1'!$S:$S, $A145,
  '[1]Hoja 1'!$R:$R, "&gt;="&amp;INT($DI$1),
  '[1]Hoja 1'!$R:$R, "&lt;"&amp;INT($DJ$1+1)
)</f>
        <v>0</v>
      </c>
      <c r="DH145" s="1">
        <f t="shared" si="246"/>
        <v>0</v>
      </c>
      <c r="DI145" s="9">
        <f t="shared" si="247"/>
        <v>0</v>
      </c>
      <c r="DJ145" s="10">
        <f t="shared" si="248"/>
        <v>0</v>
      </c>
      <c r="DK145" s="1">
        <f>SUMIFS(
  '[1]Hoja 1'!$M:$M,
  '[1]Hoja 1'!$S:$S, $A145,
  '[1]Hoja 1'!$R:$R, "&gt;="&amp;INT($DM$1),
  '[1]Hoja 1'!$R:$R, "&lt;"&amp;INT($DN$1+1)
)</f>
        <v>0</v>
      </c>
      <c r="DL145" s="1">
        <f t="shared" si="249"/>
        <v>0</v>
      </c>
      <c r="DM145" s="9">
        <f t="shared" si="250"/>
        <v>0</v>
      </c>
      <c r="DN145" s="10">
        <f t="shared" si="251"/>
        <v>0</v>
      </c>
      <c r="DO145" s="1">
        <f>SUMIFS(
  '[1]Hoja 1'!$M:$M,
  '[1]Hoja 1'!$S:$S, $A145,
  '[1]Hoja 1'!$R:$R, "&gt;="&amp;INT($DQ$1),
  '[1]Hoja 1'!$R:$R, "&lt;"&amp;INT($DR$1+1)
)</f>
        <v>0</v>
      </c>
      <c r="DP145" s="1">
        <f t="shared" si="252"/>
        <v>0</v>
      </c>
      <c r="DQ145" s="9">
        <f t="shared" si="253"/>
        <v>0</v>
      </c>
      <c r="DR145" s="10">
        <f t="shared" si="254"/>
        <v>0</v>
      </c>
    </row>
    <row r="146" spans="1:122" x14ac:dyDescent="0.25">
      <c r="A146" s="5">
        <v>225001</v>
      </c>
      <c r="B146" s="6" t="s">
        <v>144</v>
      </c>
      <c r="C146" s="1">
        <f>SUMIFS(
  '[1]Hoja 1'!$M:$M,
  '[1]Hoja 1'!$S:$S, $A146,
  '[1]Hoja 1'!$R:$R, "&gt;="&amp;INT($E$1),
  '[1]Hoja 1'!$R:$R, "&lt;"&amp;INT($F$1+1)
)</f>
        <v>0</v>
      </c>
      <c r="D146" s="1" t="str">
        <f>""</f>
        <v/>
      </c>
      <c r="F146" s="2"/>
      <c r="G146" s="1">
        <f>SUMIFS(
  '[1]Hoja 1'!$M:$M,
  '[1]Hoja 1'!$S:$S, $A146,
  '[1]Hoja 1'!$R:$R, "&gt;="&amp;INT($I$1),
  '[1]Hoja 1'!$R:$R, "&lt;"&amp;INT($J$1+1)
)</f>
        <v>0</v>
      </c>
      <c r="H146" s="1">
        <f t="shared" si="170"/>
        <v>0</v>
      </c>
      <c r="I146" s="1"/>
      <c r="J146" s="2"/>
      <c r="K146" s="1">
        <f>SUMIFS(
  '[1]Hoja 1'!$M:$M,
  '[1]Hoja 1'!$S:$S, $A146,
  '[1]Hoja 1'!$R:$R, "&gt;="&amp;INT($M$1),
  '[1]Hoja 1'!$R:$R, "&lt;"&amp;INT($N$1+1)
)</f>
        <v>0</v>
      </c>
      <c r="L146" s="1">
        <f t="shared" si="171"/>
        <v>0</v>
      </c>
      <c r="M146" s="9">
        <f t="shared" si="172"/>
        <v>0</v>
      </c>
      <c r="N146" s="10">
        <f t="shared" si="173"/>
        <v>0</v>
      </c>
      <c r="O146" s="1">
        <f>SUMIFS(
  '[1]Hoja 1'!$M:$M,
  '[1]Hoja 1'!$S:$S, $A146,
  '[1]Hoja 1'!$R:$R, "&gt;="&amp;INT($Q$1),
  '[1]Hoja 1'!$R:$R, "&lt;"&amp;INT($R$1+1)
)</f>
        <v>0</v>
      </c>
      <c r="P146" s="1">
        <f t="shared" si="174"/>
        <v>0</v>
      </c>
      <c r="Q146" s="9">
        <f t="shared" si="175"/>
        <v>0</v>
      </c>
      <c r="R146" s="10">
        <f t="shared" si="176"/>
        <v>0</v>
      </c>
      <c r="S146" s="1">
        <f>SUMIFS(
  '[1]Hoja 1'!$M:$M,
  '[1]Hoja 1'!$S:$S, $A146,
  '[1]Hoja 1'!$R:$R, "&gt;="&amp;INT($U$1),
  '[1]Hoja 1'!$R:$R, "&lt;"&amp;INT($V$1+1)
)</f>
        <v>0</v>
      </c>
      <c r="T146" s="1">
        <f t="shared" si="177"/>
        <v>0</v>
      </c>
      <c r="U146" s="9">
        <f t="shared" si="178"/>
        <v>0</v>
      </c>
      <c r="V146" s="10">
        <f t="shared" si="179"/>
        <v>0</v>
      </c>
      <c r="W146" s="1">
        <f>SUMIFS(
  '[1]Hoja 1'!$M:$M,
  '[1]Hoja 1'!$S:$S, $A146,
  '[1]Hoja 1'!$R:$R, "&gt;="&amp;INT($Y$1),
  '[1]Hoja 1'!$R:$R, "&lt;"&amp;INT($Z$1+1)
)</f>
        <v>0</v>
      </c>
      <c r="X146" s="1">
        <f t="shared" si="180"/>
        <v>0</v>
      </c>
      <c r="Y146" s="9">
        <f t="shared" si="181"/>
        <v>0</v>
      </c>
      <c r="Z146" s="10">
        <f t="shared" si="182"/>
        <v>0</v>
      </c>
      <c r="AA146" s="1">
        <f>SUMIFS(
  '[1]Hoja 1'!$M:$M,
  '[1]Hoja 1'!$S:$S, $A146,
  '[1]Hoja 1'!$R:$R, "&gt;="&amp;INT($AC$1),
  '[1]Hoja 1'!$R:$R, "&lt;"&amp;INT($AD$1+1)
)</f>
        <v>0</v>
      </c>
      <c r="AB146" s="1">
        <f t="shared" si="183"/>
        <v>0</v>
      </c>
      <c r="AC146" s="9">
        <f t="shared" si="184"/>
        <v>0</v>
      </c>
      <c r="AD146" s="10">
        <f t="shared" si="185"/>
        <v>0</v>
      </c>
      <c r="AE146" s="1">
        <f>SUMIFS(
  '[1]Hoja 1'!$M:$M,
  '[1]Hoja 1'!$S:$S, $A146,
  '[1]Hoja 1'!$R:$R, "&gt;="&amp;INT($AG$1),
  '[1]Hoja 1'!$R:$R, "&lt;"&amp;INT($AH$1+1)
)</f>
        <v>0</v>
      </c>
      <c r="AF146" s="1">
        <f t="shared" si="186"/>
        <v>0</v>
      </c>
      <c r="AG146" s="9">
        <f t="shared" si="187"/>
        <v>0</v>
      </c>
      <c r="AH146" s="10">
        <f t="shared" si="188"/>
        <v>0</v>
      </c>
      <c r="AI146" s="1">
        <f>SUMIFS(
  '[1]Hoja 1'!$M:$M,
  '[1]Hoja 1'!$S:$S, $A146,
  '[1]Hoja 1'!$R:$R, "&gt;="&amp;INT($AK$1),
  '[1]Hoja 1'!$R:$R, "&lt;"&amp;INT($AL$1+1)
)</f>
        <v>0</v>
      </c>
      <c r="AJ146" s="1">
        <f t="shared" si="189"/>
        <v>0</v>
      </c>
      <c r="AK146" s="9">
        <f t="shared" si="190"/>
        <v>0</v>
      </c>
      <c r="AL146" s="10">
        <f t="shared" si="191"/>
        <v>0</v>
      </c>
      <c r="AM146" s="1">
        <f>SUMIFS(
  '[1]Hoja 1'!$M:$M,
  '[1]Hoja 1'!$S:$S, $A146,
  '[1]Hoja 1'!$R:$R, "&gt;="&amp;INT($AO$1),
  '[1]Hoja 1'!$R:$R, "&lt;"&amp;INT($AP$1+1)
)</f>
        <v>0</v>
      </c>
      <c r="AN146" s="1">
        <f t="shared" si="192"/>
        <v>0</v>
      </c>
      <c r="AO146" s="9">
        <f t="shared" si="193"/>
        <v>0</v>
      </c>
      <c r="AP146" s="10">
        <f t="shared" si="194"/>
        <v>0</v>
      </c>
      <c r="AQ146" s="1">
        <f>SUMIFS(
  '[1]Hoja 1'!$M:$M,
  '[1]Hoja 1'!$S:$S, $A146,
  '[1]Hoja 1'!$R:$R, "&gt;="&amp;INT($AS$1),
  '[1]Hoja 1'!$R:$R, "&lt;"&amp;INT($AT$1+1)
)</f>
        <v>0</v>
      </c>
      <c r="AR146" s="1">
        <f t="shared" si="195"/>
        <v>0</v>
      </c>
      <c r="AS146" s="9">
        <f t="shared" si="196"/>
        <v>0</v>
      </c>
      <c r="AT146" s="10">
        <f t="shared" si="197"/>
        <v>0</v>
      </c>
      <c r="AU146" s="1">
        <f>SUMIFS(
  '[1]Hoja 1'!$M:$M,
  '[1]Hoja 1'!$S:$S, $A146,
  '[1]Hoja 1'!$R:$R, "&gt;="&amp;INT($AW$1),
  '[1]Hoja 1'!$R:$R, "&lt;"&amp;INT($AX$1+1)
)</f>
        <v>0</v>
      </c>
      <c r="AV146" s="1">
        <f t="shared" si="198"/>
        <v>0</v>
      </c>
      <c r="AW146" s="9">
        <f t="shared" si="199"/>
        <v>0</v>
      </c>
      <c r="AX146" s="10">
        <f t="shared" si="200"/>
        <v>0</v>
      </c>
      <c r="AY146" s="1">
        <f>SUMIFS(
  '[1]Hoja 1'!$M:$M,
  '[1]Hoja 1'!$S:$S, $A146,
  '[1]Hoja 1'!$R:$R, "&gt;="&amp;INT($BA$1),
  '[1]Hoja 1'!$R:$R, "&lt;"&amp;INT($BB$1+1)
)</f>
        <v>0</v>
      </c>
      <c r="AZ146" s="1">
        <f t="shared" si="201"/>
        <v>0</v>
      </c>
      <c r="BA146" s="9">
        <f t="shared" si="202"/>
        <v>0</v>
      </c>
      <c r="BB146" s="10">
        <f t="shared" si="203"/>
        <v>0</v>
      </c>
      <c r="BC146" s="1">
        <f>SUMIFS(
  '[1]Hoja 1'!$M:$M,
  '[1]Hoja 1'!$S:$S, $A146,
  '[1]Hoja 1'!$R:$R, "&gt;="&amp;INT($BE$1),
  '[1]Hoja 1'!$R:$R, "&lt;"&amp;INT($BF$1+1)
)</f>
        <v>0</v>
      </c>
      <c r="BD146" s="1">
        <f t="shared" si="204"/>
        <v>0</v>
      </c>
      <c r="BE146" s="9">
        <f t="shared" si="205"/>
        <v>0</v>
      </c>
      <c r="BF146" s="10">
        <f t="shared" si="206"/>
        <v>0</v>
      </c>
      <c r="BG146" s="1">
        <f>SUMIFS(
  '[1]Hoja 1'!$M:$M,
  '[1]Hoja 1'!$S:$S, $A146,
  '[1]Hoja 1'!$R:$R, "&gt;="&amp;INT($BI$1),
  '[1]Hoja 1'!$R:$R, "&lt;"&amp;INT($BJ$1+1)
)</f>
        <v>0</v>
      </c>
      <c r="BH146" s="1">
        <f t="shared" si="207"/>
        <v>0</v>
      </c>
      <c r="BI146" s="9">
        <f t="shared" si="208"/>
        <v>0</v>
      </c>
      <c r="BJ146" s="10">
        <f t="shared" si="209"/>
        <v>0</v>
      </c>
      <c r="BK146" s="1">
        <f>SUMIFS(
  '[1]Hoja 1'!$M:$M,
  '[1]Hoja 1'!$S:$S, $A146,
  '[1]Hoja 1'!$R:$R, "&gt;="&amp;INT($BM$1),
  '[1]Hoja 1'!$R:$R, "&lt;"&amp;INT($BN$1+1)
)</f>
        <v>0</v>
      </c>
      <c r="BL146" s="1">
        <f t="shared" si="210"/>
        <v>0</v>
      </c>
      <c r="BM146" s="9">
        <f t="shared" si="211"/>
        <v>0</v>
      </c>
      <c r="BN146" s="10">
        <f t="shared" si="212"/>
        <v>0</v>
      </c>
      <c r="BO146" s="1">
        <f>SUMIFS(
  '[1]Hoja 1'!$M:$M,
  '[1]Hoja 1'!$S:$S, $A146,
  '[1]Hoja 1'!$R:$R, "&gt;="&amp;INT($BQ$1),
  '[1]Hoja 1'!$R:$R, "&lt;"&amp;INT($BR$1+1)
)</f>
        <v>0</v>
      </c>
      <c r="BP146" s="1">
        <f t="shared" si="213"/>
        <v>0</v>
      </c>
      <c r="BQ146" s="9">
        <f t="shared" si="214"/>
        <v>0</v>
      </c>
      <c r="BR146" s="10">
        <f t="shared" si="215"/>
        <v>0</v>
      </c>
      <c r="BS146" s="1">
        <f>SUMIFS(
  '[1]Hoja 1'!$M:$M,
  '[1]Hoja 1'!$S:$S, $A146,
  '[1]Hoja 1'!$R:$R, "&gt;="&amp;INT($BU$1),
  '[1]Hoja 1'!$R:$R, "&lt;"&amp;INT($BV$1+1)
)</f>
        <v>0</v>
      </c>
      <c r="BT146" s="1">
        <f t="shared" si="216"/>
        <v>0</v>
      </c>
      <c r="BU146" s="9">
        <f t="shared" si="217"/>
        <v>0</v>
      </c>
      <c r="BV146" s="10">
        <f t="shared" si="218"/>
        <v>0</v>
      </c>
      <c r="BW146" s="1">
        <f>SUMIFS(
  '[1]Hoja 1'!$M:$M,
  '[1]Hoja 1'!$S:$S, $A146,
  '[1]Hoja 1'!$R:$R, "&gt;="&amp;INT($BY$1),
  '[1]Hoja 1'!$R:$R, "&lt;"&amp;INT($BZ$1+1)
)</f>
        <v>0</v>
      </c>
      <c r="BX146" s="1">
        <f t="shared" si="219"/>
        <v>0</v>
      </c>
      <c r="BY146" s="9">
        <f t="shared" si="220"/>
        <v>0</v>
      </c>
      <c r="BZ146" s="10">
        <f t="shared" si="221"/>
        <v>0</v>
      </c>
      <c r="CA146" s="1">
        <f>SUMIFS(
  '[1]Hoja 1'!$M:$M,
  '[1]Hoja 1'!$S:$S, $A146,
  '[1]Hoja 1'!$R:$R, "&gt;="&amp;INT($CC$1),
  '[1]Hoja 1'!$R:$R, "&lt;"&amp;INT($CD$1+1)
)</f>
        <v>0</v>
      </c>
      <c r="CB146" s="1">
        <f t="shared" si="222"/>
        <v>0</v>
      </c>
      <c r="CC146" s="9">
        <f t="shared" si="223"/>
        <v>0</v>
      </c>
      <c r="CD146" s="10">
        <f t="shared" si="224"/>
        <v>0</v>
      </c>
      <c r="CE146" s="1">
        <f>SUMIFS(
  '[1]Hoja 1'!$M:$M,
  '[1]Hoja 1'!$S:$S, $A146,
  '[1]Hoja 1'!$R:$R, "&gt;="&amp;INT($CG$1),
  '[1]Hoja 1'!$R:$R, "&lt;"&amp;INT($CH$1+1)
)</f>
        <v>0</v>
      </c>
      <c r="CF146" s="1">
        <f t="shared" si="225"/>
        <v>0</v>
      </c>
      <c r="CG146" s="9">
        <f t="shared" si="226"/>
        <v>0</v>
      </c>
      <c r="CH146" s="10">
        <f t="shared" si="227"/>
        <v>0</v>
      </c>
      <c r="CI146" s="1">
        <f>SUMIFS(
  '[1]Hoja 1'!$M:$M,
  '[1]Hoja 1'!$S:$S, $A146,
  '[1]Hoja 1'!$R:$R, "&gt;="&amp;INT($CK$1),
  '[1]Hoja 1'!$R:$R, "&lt;"&amp;INT($CL$1+1)
)</f>
        <v>0</v>
      </c>
      <c r="CJ146" s="1">
        <f t="shared" si="228"/>
        <v>0</v>
      </c>
      <c r="CK146" s="9">
        <f t="shared" si="229"/>
        <v>0</v>
      </c>
      <c r="CL146" s="10">
        <f t="shared" si="230"/>
        <v>0</v>
      </c>
      <c r="CM146" s="1">
        <f>SUMIFS(
  '[1]Hoja 1'!$M:$M,
  '[1]Hoja 1'!$S:$S, $A146,
  '[1]Hoja 1'!$R:$R, "&gt;="&amp;INT($CO$1),
  '[1]Hoja 1'!$R:$R, "&lt;"&amp;INT($CP$1+1)
)</f>
        <v>0</v>
      </c>
      <c r="CN146" s="1">
        <f t="shared" si="231"/>
        <v>0</v>
      </c>
      <c r="CO146" s="9">
        <f t="shared" si="232"/>
        <v>0</v>
      </c>
      <c r="CP146" s="10">
        <f t="shared" si="233"/>
        <v>0</v>
      </c>
      <c r="CQ146" s="1">
        <f>SUMIFS(
  '[1]Hoja 1'!$M:$M,
  '[1]Hoja 1'!$S:$S, $A146,
  '[1]Hoja 1'!$R:$R, "&gt;="&amp;INT($CS$1),
  '[1]Hoja 1'!$R:$R, "&lt;"&amp;INT($CT$1+1)
)</f>
        <v>0</v>
      </c>
      <c r="CR146" s="1">
        <f t="shared" si="234"/>
        <v>0</v>
      </c>
      <c r="CS146" s="9">
        <f t="shared" si="235"/>
        <v>0</v>
      </c>
      <c r="CT146" s="10">
        <f t="shared" si="236"/>
        <v>0</v>
      </c>
      <c r="CU146" s="1">
        <f>SUMIFS(
  '[1]Hoja 1'!$M:$M,
  '[1]Hoja 1'!$S:$S, $A146,
  '[1]Hoja 1'!$R:$R, "&gt;="&amp;INT($CW$1),
  '[1]Hoja 1'!$R:$R, "&lt;"&amp;INT($CX$1+1)
)</f>
        <v>0</v>
      </c>
      <c r="CV146" s="1">
        <f t="shared" si="237"/>
        <v>0</v>
      </c>
      <c r="CW146" s="9">
        <f t="shared" si="238"/>
        <v>0</v>
      </c>
      <c r="CX146" s="10">
        <f t="shared" si="239"/>
        <v>0</v>
      </c>
      <c r="CY146" s="1">
        <f>SUMIFS(
  '[1]Hoja 1'!$M:$M,
  '[1]Hoja 1'!$S:$S, $A146,
  '[1]Hoja 1'!$R:$R, "&gt;="&amp;INT($DA$1),
  '[1]Hoja 1'!$R:$R, "&lt;"&amp;INT($DB$1+1)
)</f>
        <v>0</v>
      </c>
      <c r="CZ146" s="1">
        <f t="shared" si="240"/>
        <v>0</v>
      </c>
      <c r="DA146" s="9">
        <f t="shared" si="241"/>
        <v>0</v>
      </c>
      <c r="DB146" s="10">
        <f t="shared" si="242"/>
        <v>0</v>
      </c>
      <c r="DC146" s="1">
        <f>SUMIFS(
  '[1]Hoja 1'!$M:$M,
  '[1]Hoja 1'!$S:$S, $A146,
  '[1]Hoja 1'!$R:$R, "&gt;="&amp;INT($DE$1),
  '[1]Hoja 1'!$R:$R, "&lt;"&amp;INT($DF$1+1)
)</f>
        <v>0</v>
      </c>
      <c r="DD146" s="1">
        <f t="shared" si="243"/>
        <v>0</v>
      </c>
      <c r="DE146" s="9">
        <f t="shared" si="244"/>
        <v>0</v>
      </c>
      <c r="DF146" s="10">
        <f t="shared" si="245"/>
        <v>0</v>
      </c>
      <c r="DG146" s="1">
        <f>SUMIFS(
  '[1]Hoja 1'!$M:$M,
  '[1]Hoja 1'!$S:$S, $A146,
  '[1]Hoja 1'!$R:$R, "&gt;="&amp;INT($DI$1),
  '[1]Hoja 1'!$R:$R, "&lt;"&amp;INT($DJ$1+1)
)</f>
        <v>0</v>
      </c>
      <c r="DH146" s="1">
        <f t="shared" si="246"/>
        <v>0</v>
      </c>
      <c r="DI146" s="9">
        <f t="shared" si="247"/>
        <v>0</v>
      </c>
      <c r="DJ146" s="10">
        <f t="shared" si="248"/>
        <v>0</v>
      </c>
      <c r="DK146" s="1">
        <f>SUMIFS(
  '[1]Hoja 1'!$M:$M,
  '[1]Hoja 1'!$S:$S, $A146,
  '[1]Hoja 1'!$R:$R, "&gt;="&amp;INT($DM$1),
  '[1]Hoja 1'!$R:$R, "&lt;"&amp;INT($DN$1+1)
)</f>
        <v>0</v>
      </c>
      <c r="DL146" s="1">
        <f t="shared" si="249"/>
        <v>0</v>
      </c>
      <c r="DM146" s="9">
        <f t="shared" si="250"/>
        <v>0</v>
      </c>
      <c r="DN146" s="10">
        <f t="shared" si="251"/>
        <v>0</v>
      </c>
      <c r="DO146" s="1">
        <f>SUMIFS(
  '[1]Hoja 1'!$M:$M,
  '[1]Hoja 1'!$S:$S, $A146,
  '[1]Hoja 1'!$R:$R, "&gt;="&amp;INT($DQ$1),
  '[1]Hoja 1'!$R:$R, "&lt;"&amp;INT($DR$1+1)
)</f>
        <v>0</v>
      </c>
      <c r="DP146" s="1">
        <f t="shared" si="252"/>
        <v>0</v>
      </c>
      <c r="DQ146" s="9">
        <f t="shared" si="253"/>
        <v>0</v>
      </c>
      <c r="DR146" s="10">
        <f t="shared" si="254"/>
        <v>0</v>
      </c>
    </row>
    <row r="147" spans="1:122" x14ac:dyDescent="0.25">
      <c r="A147" s="5">
        <v>226001</v>
      </c>
      <c r="B147" s="6" t="s">
        <v>145</v>
      </c>
      <c r="C147" s="1">
        <f>SUMIFS(
  '[1]Hoja 1'!$M:$M,
  '[1]Hoja 1'!$S:$S, $A147,
  '[1]Hoja 1'!$R:$R, "&gt;="&amp;INT($E$1),
  '[1]Hoja 1'!$R:$R, "&lt;"&amp;INT($F$1+1)
)</f>
        <v>27</v>
      </c>
      <c r="D147" s="1" t="str">
        <f>""</f>
        <v/>
      </c>
      <c r="F147" s="2"/>
      <c r="G147" s="1">
        <f>SUMIFS(
  '[1]Hoja 1'!$M:$M,
  '[1]Hoja 1'!$S:$S, $A147,
  '[1]Hoja 1'!$R:$R, "&gt;="&amp;INT($I$1),
  '[1]Hoja 1'!$R:$R, "&lt;"&amp;INT($J$1+1)
)</f>
        <v>34</v>
      </c>
      <c r="H147" s="1">
        <f t="shared" si="170"/>
        <v>30.5</v>
      </c>
      <c r="I147" s="1"/>
      <c r="J147" s="2"/>
      <c r="K147" s="1">
        <f>SUMIFS(
  '[1]Hoja 1'!$M:$M,
  '[1]Hoja 1'!$S:$S, $A147,
  '[1]Hoja 1'!$R:$R, "&gt;="&amp;INT($M$1),
  '[1]Hoja 1'!$R:$R, "&lt;"&amp;INT($N$1+1)
)</f>
        <v>29</v>
      </c>
      <c r="L147" s="1">
        <f t="shared" si="171"/>
        <v>31.5</v>
      </c>
      <c r="M147" s="9">
        <f t="shared" si="172"/>
        <v>23.184424253246203</v>
      </c>
      <c r="N147" s="10">
        <f t="shared" si="173"/>
        <v>39.815575746753794</v>
      </c>
      <c r="O147" s="1">
        <f>SUMIFS(
  '[1]Hoja 1'!$M:$M,
  '[1]Hoja 1'!$S:$S, $A147,
  '[1]Hoja 1'!$R:$R, "&gt;="&amp;INT($Q$1),
  '[1]Hoja 1'!$R:$R, "&lt;"&amp;INT($R$1+1)
)</f>
        <v>36</v>
      </c>
      <c r="P147" s="1">
        <f t="shared" si="174"/>
        <v>32.5</v>
      </c>
      <c r="Q147" s="9">
        <f t="shared" si="175"/>
        <v>24.71036083433</v>
      </c>
      <c r="R147" s="10">
        <f t="shared" si="176"/>
        <v>38.289639165669996</v>
      </c>
      <c r="S147" s="1">
        <f>SUMIFS(
  '[1]Hoja 1'!$M:$M,
  '[1]Hoja 1'!$S:$S, $A147,
  '[1]Hoja 1'!$R:$R, "&gt;="&amp;INT($U$1),
  '[1]Hoja 1'!$R:$R, "&lt;"&amp;INT($V$1+1)
)</f>
        <v>25</v>
      </c>
      <c r="T147" s="1">
        <f t="shared" si="177"/>
        <v>31</v>
      </c>
      <c r="U147" s="9">
        <f t="shared" si="178"/>
        <v>22.18</v>
      </c>
      <c r="V147" s="10">
        <f t="shared" si="179"/>
        <v>39.82</v>
      </c>
      <c r="W147" s="1">
        <f>SUMIFS(
  '[1]Hoja 1'!$M:$M,
  '[1]Hoja 1'!$S:$S, $A147,
  '[1]Hoja 1'!$R:$R, "&gt;="&amp;INT($Y$1),
  '[1]Hoja 1'!$R:$R, "&lt;"&amp;INT($Z$1+1)
)</f>
        <v>32</v>
      </c>
      <c r="X147" s="1">
        <f t="shared" si="180"/>
        <v>29</v>
      </c>
      <c r="Y147" s="9">
        <f t="shared" si="181"/>
        <v>20.18</v>
      </c>
      <c r="Z147" s="10">
        <f t="shared" si="182"/>
        <v>37.82</v>
      </c>
      <c r="AA147" s="1">
        <f>SUMIFS(
  '[1]Hoja 1'!$M:$M,
  '[1]Hoja 1'!$S:$S, $A147,
  '[1]Hoja 1'!$R:$R, "&gt;="&amp;INT($AC$1),
  '[1]Hoja 1'!$R:$R, "&lt;"&amp;INT($AD$1+1)
)</f>
        <v>12</v>
      </c>
      <c r="AB147" s="1">
        <f t="shared" si="183"/>
        <v>22</v>
      </c>
      <c r="AC147" s="9">
        <f t="shared" si="184"/>
        <v>10.392066506048545</v>
      </c>
      <c r="AD147" s="10">
        <f t="shared" si="185"/>
        <v>35.230000000000004</v>
      </c>
      <c r="AE147" s="1">
        <f>SUMIFS(
  '[1]Hoja 1'!$M:$M,
  '[1]Hoja 1'!$S:$S, $A147,
  '[1]Hoja 1'!$R:$R, "&gt;="&amp;INT($AG$1),
  '[1]Hoja 1'!$R:$R, "&lt;"&amp;INT($AH$1+1)
)</f>
        <v>0</v>
      </c>
      <c r="AF147" s="1">
        <f t="shared" si="186"/>
        <v>6</v>
      </c>
      <c r="AG147" s="9">
        <f t="shared" si="187"/>
        <v>-4.4497598058519987</v>
      </c>
      <c r="AH147" s="10">
        <f t="shared" si="188"/>
        <v>17.173719165971551</v>
      </c>
      <c r="AI147" s="1">
        <f>SUMIFS(
  '[1]Hoja 1'!$M:$M,
  '[1]Hoja 1'!$S:$S, $A147,
  '[1]Hoja 1'!$R:$R, "&gt;="&amp;INT($AK$1),
  '[1]Hoja 1'!$R:$R, "&lt;"&amp;INT($AL$1+1)
)</f>
        <v>0</v>
      </c>
      <c r="AJ147" s="1">
        <f t="shared" si="189"/>
        <v>0</v>
      </c>
      <c r="AK147" s="9">
        <f t="shared" si="190"/>
        <v>-10.60032074986413</v>
      </c>
      <c r="AL147" s="10">
        <f t="shared" si="191"/>
        <v>11.824476027855669</v>
      </c>
      <c r="AM147" s="1">
        <f>SUMIFS(
  '[1]Hoja 1'!$M:$M,
  '[1]Hoja 1'!$S:$S, $A147,
  '[1]Hoja 1'!$R:$R, "&gt;="&amp;INT($AO$1),
  '[1]Hoja 1'!$R:$R, "&lt;"&amp;INT($AP$1+1)
)</f>
        <v>0</v>
      </c>
      <c r="AN147" s="1">
        <f t="shared" si="192"/>
        <v>0</v>
      </c>
      <c r="AO147" s="9">
        <f t="shared" si="193"/>
        <v>-9.0245177156455281</v>
      </c>
      <c r="AP147" s="10">
        <f t="shared" si="194"/>
        <v>9.6019997917100568</v>
      </c>
      <c r="AQ147" s="1">
        <f>SUMIFS(
  '[1]Hoja 1'!$M:$M,
  '[1]Hoja 1'!$S:$S, $A147,
  '[1]Hoja 1'!$R:$R, "&gt;="&amp;INT($AS$1),
  '[1]Hoja 1'!$R:$R, "&lt;"&amp;INT($AT$1+1)
)</f>
        <v>0</v>
      </c>
      <c r="AR147" s="1">
        <f t="shared" si="195"/>
        <v>0</v>
      </c>
      <c r="AS147" s="9">
        <f t="shared" si="196"/>
        <v>-5.2592318830795053</v>
      </c>
      <c r="AT147" s="10">
        <f t="shared" si="197"/>
        <v>5.88</v>
      </c>
      <c r="AU147" s="1">
        <f>SUMIFS(
  '[1]Hoja 1'!$M:$M,
  '[1]Hoja 1'!$S:$S, $A147,
  '[1]Hoja 1'!$R:$R, "&gt;="&amp;INT($AW$1),
  '[1]Hoja 1'!$R:$R, "&lt;"&amp;INT($AX$1+1)
)</f>
        <v>0</v>
      </c>
      <c r="AV147" s="1">
        <f t="shared" si="198"/>
        <v>0</v>
      </c>
      <c r="AW147" s="9">
        <f t="shared" si="199"/>
        <v>0</v>
      </c>
      <c r="AX147" s="10">
        <f t="shared" si="200"/>
        <v>0</v>
      </c>
      <c r="AY147" s="1">
        <f>SUMIFS(
  '[1]Hoja 1'!$M:$M,
  '[1]Hoja 1'!$S:$S, $A147,
  '[1]Hoja 1'!$R:$R, "&gt;="&amp;INT($BA$1),
  '[1]Hoja 1'!$R:$R, "&lt;"&amp;INT($BB$1+1)
)</f>
        <v>0</v>
      </c>
      <c r="AZ147" s="1">
        <f t="shared" si="201"/>
        <v>0</v>
      </c>
      <c r="BA147" s="9">
        <f t="shared" si="202"/>
        <v>0</v>
      </c>
      <c r="BB147" s="10">
        <f t="shared" si="203"/>
        <v>0</v>
      </c>
      <c r="BC147" s="1">
        <f>SUMIFS(
  '[1]Hoja 1'!$M:$M,
  '[1]Hoja 1'!$S:$S, $A147,
  '[1]Hoja 1'!$R:$R, "&gt;="&amp;INT($BE$1),
  '[1]Hoja 1'!$R:$R, "&lt;"&amp;INT($BF$1+1)
)</f>
        <v>0</v>
      </c>
      <c r="BD147" s="1">
        <f t="shared" si="204"/>
        <v>0</v>
      </c>
      <c r="BE147" s="9">
        <f t="shared" si="205"/>
        <v>0</v>
      </c>
      <c r="BF147" s="10">
        <f t="shared" si="206"/>
        <v>0</v>
      </c>
      <c r="BG147" s="1">
        <f>SUMIFS(
  '[1]Hoja 1'!$M:$M,
  '[1]Hoja 1'!$S:$S, $A147,
  '[1]Hoja 1'!$R:$R, "&gt;="&amp;INT($BI$1),
  '[1]Hoja 1'!$R:$R, "&lt;"&amp;INT($BJ$1+1)
)</f>
        <v>0</v>
      </c>
      <c r="BH147" s="1">
        <f t="shared" si="207"/>
        <v>0</v>
      </c>
      <c r="BI147" s="9">
        <f t="shared" si="208"/>
        <v>0</v>
      </c>
      <c r="BJ147" s="10">
        <f t="shared" si="209"/>
        <v>0</v>
      </c>
      <c r="BK147" s="1">
        <f>SUMIFS(
  '[1]Hoja 1'!$M:$M,
  '[1]Hoja 1'!$S:$S, $A147,
  '[1]Hoja 1'!$R:$R, "&gt;="&amp;INT($BM$1),
  '[1]Hoja 1'!$R:$R, "&lt;"&amp;INT($BN$1+1)
)</f>
        <v>0</v>
      </c>
      <c r="BL147" s="1">
        <f t="shared" si="210"/>
        <v>0</v>
      </c>
      <c r="BM147" s="9">
        <f t="shared" si="211"/>
        <v>0</v>
      </c>
      <c r="BN147" s="10">
        <f t="shared" si="212"/>
        <v>0</v>
      </c>
      <c r="BO147" s="1">
        <f>SUMIFS(
  '[1]Hoja 1'!$M:$M,
  '[1]Hoja 1'!$S:$S, $A147,
  '[1]Hoja 1'!$R:$R, "&gt;="&amp;INT($BQ$1),
  '[1]Hoja 1'!$R:$R, "&lt;"&amp;INT($BR$1+1)
)</f>
        <v>0</v>
      </c>
      <c r="BP147" s="1">
        <f t="shared" si="213"/>
        <v>0</v>
      </c>
      <c r="BQ147" s="9">
        <f t="shared" si="214"/>
        <v>0</v>
      </c>
      <c r="BR147" s="10">
        <f t="shared" si="215"/>
        <v>0</v>
      </c>
      <c r="BS147" s="1">
        <f>SUMIFS(
  '[1]Hoja 1'!$M:$M,
  '[1]Hoja 1'!$S:$S, $A147,
  '[1]Hoja 1'!$R:$R, "&gt;="&amp;INT($BU$1),
  '[1]Hoja 1'!$R:$R, "&lt;"&amp;INT($BV$1+1)
)</f>
        <v>0</v>
      </c>
      <c r="BT147" s="1">
        <f t="shared" si="216"/>
        <v>0</v>
      </c>
      <c r="BU147" s="9">
        <f t="shared" si="217"/>
        <v>0</v>
      </c>
      <c r="BV147" s="10">
        <f t="shared" si="218"/>
        <v>0</v>
      </c>
      <c r="BW147" s="1">
        <f>SUMIFS(
  '[1]Hoja 1'!$M:$M,
  '[1]Hoja 1'!$S:$S, $A147,
  '[1]Hoja 1'!$R:$R, "&gt;="&amp;INT($BY$1),
  '[1]Hoja 1'!$R:$R, "&lt;"&amp;INT($BZ$1+1)
)</f>
        <v>0</v>
      </c>
      <c r="BX147" s="1">
        <f t="shared" si="219"/>
        <v>0</v>
      </c>
      <c r="BY147" s="9">
        <f t="shared" si="220"/>
        <v>0</v>
      </c>
      <c r="BZ147" s="10">
        <f t="shared" si="221"/>
        <v>0</v>
      </c>
      <c r="CA147" s="1">
        <f>SUMIFS(
  '[1]Hoja 1'!$M:$M,
  '[1]Hoja 1'!$S:$S, $A147,
  '[1]Hoja 1'!$R:$R, "&gt;="&amp;INT($CC$1),
  '[1]Hoja 1'!$R:$R, "&lt;"&amp;INT($CD$1+1)
)</f>
        <v>0</v>
      </c>
      <c r="CB147" s="1">
        <f t="shared" si="222"/>
        <v>0</v>
      </c>
      <c r="CC147" s="9">
        <f t="shared" si="223"/>
        <v>0</v>
      </c>
      <c r="CD147" s="10">
        <f t="shared" si="224"/>
        <v>0</v>
      </c>
      <c r="CE147" s="1">
        <f>SUMIFS(
  '[1]Hoja 1'!$M:$M,
  '[1]Hoja 1'!$S:$S, $A147,
  '[1]Hoja 1'!$R:$R, "&gt;="&amp;INT($CG$1),
  '[1]Hoja 1'!$R:$R, "&lt;"&amp;INT($CH$1+1)
)</f>
        <v>0</v>
      </c>
      <c r="CF147" s="1">
        <f t="shared" si="225"/>
        <v>0</v>
      </c>
      <c r="CG147" s="9">
        <f t="shared" si="226"/>
        <v>0</v>
      </c>
      <c r="CH147" s="10">
        <f t="shared" si="227"/>
        <v>0</v>
      </c>
      <c r="CI147" s="1">
        <f>SUMIFS(
  '[1]Hoja 1'!$M:$M,
  '[1]Hoja 1'!$S:$S, $A147,
  '[1]Hoja 1'!$R:$R, "&gt;="&amp;INT($CK$1),
  '[1]Hoja 1'!$R:$R, "&lt;"&amp;INT($CL$1+1)
)</f>
        <v>0</v>
      </c>
      <c r="CJ147" s="1">
        <f t="shared" si="228"/>
        <v>0</v>
      </c>
      <c r="CK147" s="9">
        <f t="shared" si="229"/>
        <v>0</v>
      </c>
      <c r="CL147" s="10">
        <f t="shared" si="230"/>
        <v>0</v>
      </c>
      <c r="CM147" s="1">
        <f>SUMIFS(
  '[1]Hoja 1'!$M:$M,
  '[1]Hoja 1'!$S:$S, $A147,
  '[1]Hoja 1'!$R:$R, "&gt;="&amp;INT($CO$1),
  '[1]Hoja 1'!$R:$R, "&lt;"&amp;INT($CP$1+1)
)</f>
        <v>0</v>
      </c>
      <c r="CN147" s="1">
        <f t="shared" si="231"/>
        <v>0</v>
      </c>
      <c r="CO147" s="9">
        <f t="shared" si="232"/>
        <v>0</v>
      </c>
      <c r="CP147" s="10">
        <f t="shared" si="233"/>
        <v>0</v>
      </c>
      <c r="CQ147" s="1">
        <f>SUMIFS(
  '[1]Hoja 1'!$M:$M,
  '[1]Hoja 1'!$S:$S, $A147,
  '[1]Hoja 1'!$R:$R, "&gt;="&amp;INT($CS$1),
  '[1]Hoja 1'!$R:$R, "&lt;"&amp;INT($CT$1+1)
)</f>
        <v>0</v>
      </c>
      <c r="CR147" s="1">
        <f t="shared" si="234"/>
        <v>0</v>
      </c>
      <c r="CS147" s="9">
        <f t="shared" si="235"/>
        <v>0</v>
      </c>
      <c r="CT147" s="10">
        <f t="shared" si="236"/>
        <v>0</v>
      </c>
      <c r="CU147" s="1">
        <f>SUMIFS(
  '[1]Hoja 1'!$M:$M,
  '[1]Hoja 1'!$S:$S, $A147,
  '[1]Hoja 1'!$R:$R, "&gt;="&amp;INT($CW$1),
  '[1]Hoja 1'!$R:$R, "&lt;"&amp;INT($CX$1+1)
)</f>
        <v>0</v>
      </c>
      <c r="CV147" s="1">
        <f t="shared" si="237"/>
        <v>0</v>
      </c>
      <c r="CW147" s="9">
        <f t="shared" si="238"/>
        <v>0</v>
      </c>
      <c r="CX147" s="10">
        <f t="shared" si="239"/>
        <v>0</v>
      </c>
      <c r="CY147" s="1">
        <f>SUMIFS(
  '[1]Hoja 1'!$M:$M,
  '[1]Hoja 1'!$S:$S, $A147,
  '[1]Hoja 1'!$R:$R, "&gt;="&amp;INT($DA$1),
  '[1]Hoja 1'!$R:$R, "&lt;"&amp;INT($DB$1+1)
)</f>
        <v>0</v>
      </c>
      <c r="CZ147" s="1">
        <f t="shared" si="240"/>
        <v>0</v>
      </c>
      <c r="DA147" s="9">
        <f t="shared" si="241"/>
        <v>0</v>
      </c>
      <c r="DB147" s="10">
        <f t="shared" si="242"/>
        <v>0</v>
      </c>
      <c r="DC147" s="1">
        <f>SUMIFS(
  '[1]Hoja 1'!$M:$M,
  '[1]Hoja 1'!$S:$S, $A147,
  '[1]Hoja 1'!$R:$R, "&gt;="&amp;INT($DE$1),
  '[1]Hoja 1'!$R:$R, "&lt;"&amp;INT($DF$1+1)
)</f>
        <v>0</v>
      </c>
      <c r="DD147" s="1">
        <f t="shared" si="243"/>
        <v>0</v>
      </c>
      <c r="DE147" s="9">
        <f t="shared" si="244"/>
        <v>0</v>
      </c>
      <c r="DF147" s="10">
        <f t="shared" si="245"/>
        <v>0</v>
      </c>
      <c r="DG147" s="1">
        <f>SUMIFS(
  '[1]Hoja 1'!$M:$M,
  '[1]Hoja 1'!$S:$S, $A147,
  '[1]Hoja 1'!$R:$R, "&gt;="&amp;INT($DI$1),
  '[1]Hoja 1'!$R:$R, "&lt;"&amp;INT($DJ$1+1)
)</f>
        <v>0</v>
      </c>
      <c r="DH147" s="1">
        <f t="shared" si="246"/>
        <v>0</v>
      </c>
      <c r="DI147" s="9">
        <f t="shared" si="247"/>
        <v>0</v>
      </c>
      <c r="DJ147" s="10">
        <f t="shared" si="248"/>
        <v>0</v>
      </c>
      <c r="DK147" s="1">
        <f>SUMIFS(
  '[1]Hoja 1'!$M:$M,
  '[1]Hoja 1'!$S:$S, $A147,
  '[1]Hoja 1'!$R:$R, "&gt;="&amp;INT($DM$1),
  '[1]Hoja 1'!$R:$R, "&lt;"&amp;INT($DN$1+1)
)</f>
        <v>0</v>
      </c>
      <c r="DL147" s="1">
        <f t="shared" si="249"/>
        <v>0</v>
      </c>
      <c r="DM147" s="9">
        <f t="shared" si="250"/>
        <v>0</v>
      </c>
      <c r="DN147" s="10">
        <f t="shared" si="251"/>
        <v>0</v>
      </c>
      <c r="DO147" s="1">
        <f>SUMIFS(
  '[1]Hoja 1'!$M:$M,
  '[1]Hoja 1'!$S:$S, $A147,
  '[1]Hoja 1'!$R:$R, "&gt;="&amp;INT($DQ$1),
  '[1]Hoja 1'!$R:$R, "&lt;"&amp;INT($DR$1+1)
)</f>
        <v>0</v>
      </c>
      <c r="DP147" s="1">
        <f t="shared" si="252"/>
        <v>0</v>
      </c>
      <c r="DQ147" s="9">
        <f t="shared" si="253"/>
        <v>0</v>
      </c>
      <c r="DR147" s="10">
        <f t="shared" si="254"/>
        <v>0</v>
      </c>
    </row>
    <row r="148" spans="1:122" x14ac:dyDescent="0.25">
      <c r="A148" s="5">
        <v>226003</v>
      </c>
      <c r="B148" s="6" t="s">
        <v>146</v>
      </c>
      <c r="C148" s="1">
        <f>SUMIFS(
  '[1]Hoja 1'!$M:$M,
  '[1]Hoja 1'!$S:$S, $A148,
  '[1]Hoja 1'!$R:$R, "&gt;="&amp;INT($E$1),
  '[1]Hoja 1'!$R:$R, "&lt;"&amp;INT($F$1+1)
)</f>
        <v>0</v>
      </c>
      <c r="D148" s="1" t="str">
        <f>""</f>
        <v/>
      </c>
      <c r="F148" s="2"/>
      <c r="G148" s="1">
        <f>SUMIFS(
  '[1]Hoja 1'!$M:$M,
  '[1]Hoja 1'!$S:$S, $A148,
  '[1]Hoja 1'!$R:$R, "&gt;="&amp;INT($I$1),
  '[1]Hoja 1'!$R:$R, "&lt;"&amp;INT($J$1+1)
)</f>
        <v>0</v>
      </c>
      <c r="H148" s="1">
        <f t="shared" si="170"/>
        <v>0</v>
      </c>
      <c r="I148" s="1"/>
      <c r="J148" s="2"/>
      <c r="K148" s="1">
        <f>SUMIFS(
  '[1]Hoja 1'!$M:$M,
  '[1]Hoja 1'!$S:$S, $A148,
  '[1]Hoja 1'!$R:$R, "&gt;="&amp;INT($M$1),
  '[1]Hoja 1'!$R:$R, "&lt;"&amp;INT($N$1+1)
)</f>
        <v>0</v>
      </c>
      <c r="L148" s="1">
        <f t="shared" si="171"/>
        <v>0</v>
      </c>
      <c r="M148" s="9">
        <f t="shared" si="172"/>
        <v>0</v>
      </c>
      <c r="N148" s="10">
        <f t="shared" si="173"/>
        <v>0</v>
      </c>
      <c r="O148" s="1">
        <f>SUMIFS(
  '[1]Hoja 1'!$M:$M,
  '[1]Hoja 1'!$S:$S, $A148,
  '[1]Hoja 1'!$R:$R, "&gt;="&amp;INT($Q$1),
  '[1]Hoja 1'!$R:$R, "&lt;"&amp;INT($R$1+1)
)</f>
        <v>0</v>
      </c>
      <c r="P148" s="1">
        <f t="shared" si="174"/>
        <v>0</v>
      </c>
      <c r="Q148" s="9">
        <f t="shared" si="175"/>
        <v>0</v>
      </c>
      <c r="R148" s="10">
        <f t="shared" si="176"/>
        <v>0</v>
      </c>
      <c r="S148" s="1">
        <f>SUMIFS(
  '[1]Hoja 1'!$M:$M,
  '[1]Hoja 1'!$S:$S, $A148,
  '[1]Hoja 1'!$R:$R, "&gt;="&amp;INT($U$1),
  '[1]Hoja 1'!$R:$R, "&lt;"&amp;INT($V$1+1)
)</f>
        <v>0</v>
      </c>
      <c r="T148" s="1">
        <f t="shared" si="177"/>
        <v>0</v>
      </c>
      <c r="U148" s="9">
        <f t="shared" si="178"/>
        <v>0</v>
      </c>
      <c r="V148" s="10">
        <f t="shared" si="179"/>
        <v>0</v>
      </c>
      <c r="W148" s="1">
        <f>SUMIFS(
  '[1]Hoja 1'!$M:$M,
  '[1]Hoja 1'!$S:$S, $A148,
  '[1]Hoja 1'!$R:$R, "&gt;="&amp;INT($Y$1),
  '[1]Hoja 1'!$R:$R, "&lt;"&amp;INT($Z$1+1)
)</f>
        <v>1</v>
      </c>
      <c r="X148" s="1">
        <f t="shared" si="180"/>
        <v>1</v>
      </c>
      <c r="Y148" s="9">
        <f t="shared" si="181"/>
        <v>0.51</v>
      </c>
      <c r="Z148" s="10">
        <f t="shared" si="182"/>
        <v>1.49</v>
      </c>
      <c r="AA148" s="1">
        <f>SUMIFS(
  '[1]Hoja 1'!$M:$M,
  '[1]Hoja 1'!$S:$S, $A148,
  '[1]Hoja 1'!$R:$R, "&gt;="&amp;INT($AC$1),
  '[1]Hoja 1'!$R:$R, "&lt;"&amp;INT($AD$1+1)
)</f>
        <v>0</v>
      </c>
      <c r="AB148" s="1">
        <f t="shared" si="183"/>
        <v>1</v>
      </c>
      <c r="AC148" s="9">
        <f t="shared" si="184"/>
        <v>0.30703535443718344</v>
      </c>
      <c r="AD148" s="10">
        <f t="shared" si="185"/>
        <v>1.8001666493091715</v>
      </c>
      <c r="AE148" s="1">
        <f>SUMIFS(
  '[1]Hoja 1'!$M:$M,
  '[1]Hoja 1'!$S:$S, $A148,
  '[1]Hoja 1'!$R:$R, "&gt;="&amp;INT($AG$1),
  '[1]Hoja 1'!$R:$R, "&lt;"&amp;INT($AH$1+1)
)</f>
        <v>0</v>
      </c>
      <c r="AF148" s="1">
        <f t="shared" si="186"/>
        <v>0</v>
      </c>
      <c r="AG148" s="9">
        <f t="shared" si="187"/>
        <v>-0.69296464556281656</v>
      </c>
      <c r="AH148" s="10">
        <f t="shared" si="188"/>
        <v>0.80016664930917147</v>
      </c>
      <c r="AI148" s="1">
        <f>SUMIFS(
  '[1]Hoja 1'!$M:$M,
  '[1]Hoja 1'!$S:$S, $A148,
  '[1]Hoja 1'!$R:$R, "&gt;="&amp;INT($AK$1),
  '[1]Hoja 1'!$R:$R, "&lt;"&amp;INT($AL$1+1)
)</f>
        <v>0</v>
      </c>
      <c r="AJ148" s="1">
        <f t="shared" si="189"/>
        <v>0</v>
      </c>
      <c r="AK148" s="9">
        <f t="shared" si="190"/>
        <v>-0.69296464556281656</v>
      </c>
      <c r="AL148" s="10">
        <f t="shared" si="191"/>
        <v>0.80016664930917147</v>
      </c>
      <c r="AM148" s="1">
        <f>SUMIFS(
  '[1]Hoja 1'!$M:$M,
  '[1]Hoja 1'!$S:$S, $A148,
  '[1]Hoja 1'!$R:$R, "&gt;="&amp;INT($AO$1),
  '[1]Hoja 1'!$R:$R, "&lt;"&amp;INT($AP$1+1)
)</f>
        <v>0</v>
      </c>
      <c r="AN148" s="1">
        <f t="shared" si="192"/>
        <v>0</v>
      </c>
      <c r="AO148" s="9">
        <f t="shared" si="193"/>
        <v>-0.43826932358995874</v>
      </c>
      <c r="AP148" s="10">
        <f t="shared" si="194"/>
        <v>0.49</v>
      </c>
      <c r="AQ148" s="1">
        <f>SUMIFS(
  '[1]Hoja 1'!$M:$M,
  '[1]Hoja 1'!$S:$S, $A148,
  '[1]Hoja 1'!$R:$R, "&gt;="&amp;INT($AS$1),
  '[1]Hoja 1'!$R:$R, "&lt;"&amp;INT($AT$1+1)
)</f>
        <v>0</v>
      </c>
      <c r="AR148" s="1">
        <f t="shared" si="195"/>
        <v>0</v>
      </c>
      <c r="AS148" s="9">
        <f t="shared" si="196"/>
        <v>0</v>
      </c>
      <c r="AT148" s="10">
        <f t="shared" si="197"/>
        <v>0</v>
      </c>
      <c r="AU148" s="1">
        <f>SUMIFS(
  '[1]Hoja 1'!$M:$M,
  '[1]Hoja 1'!$S:$S, $A148,
  '[1]Hoja 1'!$R:$R, "&gt;="&amp;INT($AW$1),
  '[1]Hoja 1'!$R:$R, "&lt;"&amp;INT($AX$1+1)
)</f>
        <v>0</v>
      </c>
      <c r="AV148" s="1">
        <f t="shared" si="198"/>
        <v>0</v>
      </c>
      <c r="AW148" s="9">
        <f t="shared" si="199"/>
        <v>0</v>
      </c>
      <c r="AX148" s="10">
        <f t="shared" si="200"/>
        <v>0</v>
      </c>
      <c r="AY148" s="1">
        <f>SUMIFS(
  '[1]Hoja 1'!$M:$M,
  '[1]Hoja 1'!$S:$S, $A148,
  '[1]Hoja 1'!$R:$R, "&gt;="&amp;INT($BA$1),
  '[1]Hoja 1'!$R:$R, "&lt;"&amp;INT($BB$1+1)
)</f>
        <v>0</v>
      </c>
      <c r="AZ148" s="1">
        <f t="shared" si="201"/>
        <v>0</v>
      </c>
      <c r="BA148" s="9">
        <f t="shared" si="202"/>
        <v>0</v>
      </c>
      <c r="BB148" s="10">
        <f t="shared" si="203"/>
        <v>0</v>
      </c>
      <c r="BC148" s="1">
        <f>SUMIFS(
  '[1]Hoja 1'!$M:$M,
  '[1]Hoja 1'!$S:$S, $A148,
  '[1]Hoja 1'!$R:$R, "&gt;="&amp;INT($BE$1),
  '[1]Hoja 1'!$R:$R, "&lt;"&amp;INT($BF$1+1)
)</f>
        <v>0</v>
      </c>
      <c r="BD148" s="1">
        <f t="shared" si="204"/>
        <v>0</v>
      </c>
      <c r="BE148" s="9">
        <f t="shared" si="205"/>
        <v>0</v>
      </c>
      <c r="BF148" s="10">
        <f t="shared" si="206"/>
        <v>0</v>
      </c>
      <c r="BG148" s="1">
        <f>SUMIFS(
  '[1]Hoja 1'!$M:$M,
  '[1]Hoja 1'!$S:$S, $A148,
  '[1]Hoja 1'!$R:$R, "&gt;="&amp;INT($BI$1),
  '[1]Hoja 1'!$R:$R, "&lt;"&amp;INT($BJ$1+1)
)</f>
        <v>0</v>
      </c>
      <c r="BH148" s="1">
        <f t="shared" si="207"/>
        <v>0</v>
      </c>
      <c r="BI148" s="9">
        <f t="shared" si="208"/>
        <v>0</v>
      </c>
      <c r="BJ148" s="10">
        <f t="shared" si="209"/>
        <v>0</v>
      </c>
      <c r="BK148" s="1">
        <f>SUMIFS(
  '[1]Hoja 1'!$M:$M,
  '[1]Hoja 1'!$S:$S, $A148,
  '[1]Hoja 1'!$R:$R, "&gt;="&amp;INT($BM$1),
  '[1]Hoja 1'!$R:$R, "&lt;"&amp;INT($BN$1+1)
)</f>
        <v>0</v>
      </c>
      <c r="BL148" s="1">
        <f t="shared" si="210"/>
        <v>0</v>
      </c>
      <c r="BM148" s="9">
        <f t="shared" si="211"/>
        <v>0</v>
      </c>
      <c r="BN148" s="10">
        <f t="shared" si="212"/>
        <v>0</v>
      </c>
      <c r="BO148" s="1">
        <f>SUMIFS(
  '[1]Hoja 1'!$M:$M,
  '[1]Hoja 1'!$S:$S, $A148,
  '[1]Hoja 1'!$R:$R, "&gt;="&amp;INT($BQ$1),
  '[1]Hoja 1'!$R:$R, "&lt;"&amp;INT($BR$1+1)
)</f>
        <v>0</v>
      </c>
      <c r="BP148" s="1">
        <f t="shared" si="213"/>
        <v>0</v>
      </c>
      <c r="BQ148" s="9">
        <f t="shared" si="214"/>
        <v>0</v>
      </c>
      <c r="BR148" s="10">
        <f t="shared" si="215"/>
        <v>0</v>
      </c>
      <c r="BS148" s="1">
        <f>SUMIFS(
  '[1]Hoja 1'!$M:$M,
  '[1]Hoja 1'!$S:$S, $A148,
  '[1]Hoja 1'!$R:$R, "&gt;="&amp;INT($BU$1),
  '[1]Hoja 1'!$R:$R, "&lt;"&amp;INT($BV$1+1)
)</f>
        <v>0</v>
      </c>
      <c r="BT148" s="1">
        <f t="shared" si="216"/>
        <v>0</v>
      </c>
      <c r="BU148" s="9">
        <f t="shared" si="217"/>
        <v>0</v>
      </c>
      <c r="BV148" s="10">
        <f t="shared" si="218"/>
        <v>0</v>
      </c>
      <c r="BW148" s="1">
        <f>SUMIFS(
  '[1]Hoja 1'!$M:$M,
  '[1]Hoja 1'!$S:$S, $A148,
  '[1]Hoja 1'!$R:$R, "&gt;="&amp;INT($BY$1),
  '[1]Hoja 1'!$R:$R, "&lt;"&amp;INT($BZ$1+1)
)</f>
        <v>0</v>
      </c>
      <c r="BX148" s="1">
        <f t="shared" si="219"/>
        <v>0</v>
      </c>
      <c r="BY148" s="9">
        <f t="shared" si="220"/>
        <v>0</v>
      </c>
      <c r="BZ148" s="10">
        <f t="shared" si="221"/>
        <v>0</v>
      </c>
      <c r="CA148" s="1">
        <f>SUMIFS(
  '[1]Hoja 1'!$M:$M,
  '[1]Hoja 1'!$S:$S, $A148,
  '[1]Hoja 1'!$R:$R, "&gt;="&amp;INT($CC$1),
  '[1]Hoja 1'!$R:$R, "&lt;"&amp;INT($CD$1+1)
)</f>
        <v>0</v>
      </c>
      <c r="CB148" s="1">
        <f t="shared" si="222"/>
        <v>0</v>
      </c>
      <c r="CC148" s="9">
        <f t="shared" si="223"/>
        <v>0</v>
      </c>
      <c r="CD148" s="10">
        <f t="shared" si="224"/>
        <v>0</v>
      </c>
      <c r="CE148" s="1">
        <f>SUMIFS(
  '[1]Hoja 1'!$M:$M,
  '[1]Hoja 1'!$S:$S, $A148,
  '[1]Hoja 1'!$R:$R, "&gt;="&amp;INT($CG$1),
  '[1]Hoja 1'!$R:$R, "&lt;"&amp;INT($CH$1+1)
)</f>
        <v>0</v>
      </c>
      <c r="CF148" s="1">
        <f t="shared" si="225"/>
        <v>0</v>
      </c>
      <c r="CG148" s="9">
        <f t="shared" si="226"/>
        <v>0</v>
      </c>
      <c r="CH148" s="10">
        <f t="shared" si="227"/>
        <v>0</v>
      </c>
      <c r="CI148" s="1">
        <f>SUMIFS(
  '[1]Hoja 1'!$M:$M,
  '[1]Hoja 1'!$S:$S, $A148,
  '[1]Hoja 1'!$R:$R, "&gt;="&amp;INT($CK$1),
  '[1]Hoja 1'!$R:$R, "&lt;"&amp;INT($CL$1+1)
)</f>
        <v>0</v>
      </c>
      <c r="CJ148" s="1">
        <f t="shared" si="228"/>
        <v>0</v>
      </c>
      <c r="CK148" s="9">
        <f t="shared" si="229"/>
        <v>0</v>
      </c>
      <c r="CL148" s="10">
        <f t="shared" si="230"/>
        <v>0</v>
      </c>
      <c r="CM148" s="1">
        <f>SUMIFS(
  '[1]Hoja 1'!$M:$M,
  '[1]Hoja 1'!$S:$S, $A148,
  '[1]Hoja 1'!$R:$R, "&gt;="&amp;INT($CO$1),
  '[1]Hoja 1'!$R:$R, "&lt;"&amp;INT($CP$1+1)
)</f>
        <v>0</v>
      </c>
      <c r="CN148" s="1">
        <f t="shared" si="231"/>
        <v>0</v>
      </c>
      <c r="CO148" s="9">
        <f t="shared" si="232"/>
        <v>0</v>
      </c>
      <c r="CP148" s="10">
        <f t="shared" si="233"/>
        <v>0</v>
      </c>
      <c r="CQ148" s="1">
        <f>SUMIFS(
  '[1]Hoja 1'!$M:$M,
  '[1]Hoja 1'!$S:$S, $A148,
  '[1]Hoja 1'!$R:$R, "&gt;="&amp;INT($CS$1),
  '[1]Hoja 1'!$R:$R, "&lt;"&amp;INT($CT$1+1)
)</f>
        <v>0</v>
      </c>
      <c r="CR148" s="1">
        <f t="shared" si="234"/>
        <v>0</v>
      </c>
      <c r="CS148" s="9">
        <f t="shared" si="235"/>
        <v>0</v>
      </c>
      <c r="CT148" s="10">
        <f t="shared" si="236"/>
        <v>0</v>
      </c>
      <c r="CU148" s="1">
        <f>SUMIFS(
  '[1]Hoja 1'!$M:$M,
  '[1]Hoja 1'!$S:$S, $A148,
  '[1]Hoja 1'!$R:$R, "&gt;="&amp;INT($CW$1),
  '[1]Hoja 1'!$R:$R, "&lt;"&amp;INT($CX$1+1)
)</f>
        <v>0</v>
      </c>
      <c r="CV148" s="1">
        <f t="shared" si="237"/>
        <v>0</v>
      </c>
      <c r="CW148" s="9">
        <f t="shared" si="238"/>
        <v>0</v>
      </c>
      <c r="CX148" s="10">
        <f t="shared" si="239"/>
        <v>0</v>
      </c>
      <c r="CY148" s="1">
        <f>SUMIFS(
  '[1]Hoja 1'!$M:$M,
  '[1]Hoja 1'!$S:$S, $A148,
  '[1]Hoja 1'!$R:$R, "&gt;="&amp;INT($DA$1),
  '[1]Hoja 1'!$R:$R, "&lt;"&amp;INT($DB$1+1)
)</f>
        <v>0</v>
      </c>
      <c r="CZ148" s="1">
        <f t="shared" si="240"/>
        <v>0</v>
      </c>
      <c r="DA148" s="9">
        <f t="shared" si="241"/>
        <v>0</v>
      </c>
      <c r="DB148" s="10">
        <f t="shared" si="242"/>
        <v>0</v>
      </c>
      <c r="DC148" s="1">
        <f>SUMIFS(
  '[1]Hoja 1'!$M:$M,
  '[1]Hoja 1'!$S:$S, $A148,
  '[1]Hoja 1'!$R:$R, "&gt;="&amp;INT($DE$1),
  '[1]Hoja 1'!$R:$R, "&lt;"&amp;INT($DF$1+1)
)</f>
        <v>0</v>
      </c>
      <c r="DD148" s="1">
        <f t="shared" si="243"/>
        <v>0</v>
      </c>
      <c r="DE148" s="9">
        <f t="shared" si="244"/>
        <v>0</v>
      </c>
      <c r="DF148" s="10">
        <f t="shared" si="245"/>
        <v>0</v>
      </c>
      <c r="DG148" s="1">
        <f>SUMIFS(
  '[1]Hoja 1'!$M:$M,
  '[1]Hoja 1'!$S:$S, $A148,
  '[1]Hoja 1'!$R:$R, "&gt;="&amp;INT($DI$1),
  '[1]Hoja 1'!$R:$R, "&lt;"&amp;INT($DJ$1+1)
)</f>
        <v>0</v>
      </c>
      <c r="DH148" s="1">
        <f t="shared" si="246"/>
        <v>0</v>
      </c>
      <c r="DI148" s="9">
        <f t="shared" si="247"/>
        <v>0</v>
      </c>
      <c r="DJ148" s="10">
        <f t="shared" si="248"/>
        <v>0</v>
      </c>
      <c r="DK148" s="1">
        <f>SUMIFS(
  '[1]Hoja 1'!$M:$M,
  '[1]Hoja 1'!$S:$S, $A148,
  '[1]Hoja 1'!$R:$R, "&gt;="&amp;INT($DM$1),
  '[1]Hoja 1'!$R:$R, "&lt;"&amp;INT($DN$1+1)
)</f>
        <v>0</v>
      </c>
      <c r="DL148" s="1">
        <f t="shared" si="249"/>
        <v>0</v>
      </c>
      <c r="DM148" s="9">
        <f t="shared" si="250"/>
        <v>0</v>
      </c>
      <c r="DN148" s="10">
        <f t="shared" si="251"/>
        <v>0</v>
      </c>
      <c r="DO148" s="1">
        <f>SUMIFS(
  '[1]Hoja 1'!$M:$M,
  '[1]Hoja 1'!$S:$S, $A148,
  '[1]Hoja 1'!$R:$R, "&gt;="&amp;INT($DQ$1),
  '[1]Hoja 1'!$R:$R, "&lt;"&amp;INT($DR$1+1)
)</f>
        <v>0</v>
      </c>
      <c r="DP148" s="1">
        <f t="shared" si="252"/>
        <v>0</v>
      </c>
      <c r="DQ148" s="9">
        <f t="shared" si="253"/>
        <v>0</v>
      </c>
      <c r="DR148" s="10">
        <f t="shared" si="254"/>
        <v>0</v>
      </c>
    </row>
    <row r="149" spans="1:122" x14ac:dyDescent="0.25">
      <c r="A149" s="5">
        <v>226004</v>
      </c>
      <c r="B149" s="6" t="s">
        <v>147</v>
      </c>
      <c r="C149" s="1">
        <f>SUMIFS(
  '[1]Hoja 1'!$M:$M,
  '[1]Hoja 1'!$S:$S, $A149,
  '[1]Hoja 1'!$R:$R, "&gt;="&amp;INT($E$1),
  '[1]Hoja 1'!$R:$R, "&lt;"&amp;INT($F$1+1)
)</f>
        <v>0</v>
      </c>
      <c r="D149" s="1" t="str">
        <f>""</f>
        <v/>
      </c>
      <c r="F149" s="2"/>
      <c r="G149" s="1">
        <f>SUMIFS(
  '[1]Hoja 1'!$M:$M,
  '[1]Hoja 1'!$S:$S, $A149,
  '[1]Hoja 1'!$R:$R, "&gt;="&amp;INT($I$1),
  '[1]Hoja 1'!$R:$R, "&lt;"&amp;INT($J$1+1)
)</f>
        <v>1</v>
      </c>
      <c r="H149" s="1">
        <f t="shared" si="170"/>
        <v>0.5</v>
      </c>
      <c r="I149" s="1"/>
      <c r="J149" s="2"/>
      <c r="K149" s="1">
        <f>SUMIFS(
  '[1]Hoja 1'!$M:$M,
  '[1]Hoja 1'!$S:$S, $A149,
  '[1]Hoja 1'!$R:$R, "&gt;="&amp;INT($M$1),
  '[1]Hoja 1'!$R:$R, "&lt;"&amp;INT($N$1+1)
)</f>
        <v>0</v>
      </c>
      <c r="L149" s="1">
        <f t="shared" si="171"/>
        <v>0.5</v>
      </c>
      <c r="M149" s="9">
        <f t="shared" si="172"/>
        <v>-0.88592929112563312</v>
      </c>
      <c r="N149" s="10">
        <f t="shared" si="173"/>
        <v>1.8859292911256331</v>
      </c>
      <c r="O149" s="1">
        <f>SUMIFS(
  '[1]Hoja 1'!$M:$M,
  '[1]Hoja 1'!$S:$S, $A149,
  '[1]Hoja 1'!$R:$R, "&gt;="&amp;INT($Q$1),
  '[1]Hoja 1'!$R:$R, "&lt;"&amp;INT($R$1+1)
)</f>
        <v>0</v>
      </c>
      <c r="P149" s="1">
        <f t="shared" si="174"/>
        <v>0</v>
      </c>
      <c r="Q149" s="9">
        <f t="shared" si="175"/>
        <v>-0.48</v>
      </c>
      <c r="R149" s="10">
        <f t="shared" si="176"/>
        <v>1.48</v>
      </c>
      <c r="S149" s="1">
        <f>SUMIFS(
  '[1]Hoja 1'!$M:$M,
  '[1]Hoja 1'!$S:$S, $A149,
  '[1]Hoja 1'!$R:$R, "&gt;="&amp;INT($U$1),
  '[1]Hoja 1'!$R:$R, "&lt;"&amp;INT($V$1+1)
)</f>
        <v>0</v>
      </c>
      <c r="T149" s="1">
        <f t="shared" si="177"/>
        <v>0</v>
      </c>
      <c r="U149" s="9">
        <f t="shared" si="178"/>
        <v>-0.80016664930917147</v>
      </c>
      <c r="V149" s="10">
        <f t="shared" si="179"/>
        <v>0.80016664930917147</v>
      </c>
      <c r="W149" s="1">
        <f>SUMIFS(
  '[1]Hoja 1'!$M:$M,
  '[1]Hoja 1'!$S:$S, $A149,
  '[1]Hoja 1'!$R:$R, "&gt;="&amp;INT($Y$1),
  '[1]Hoja 1'!$R:$R, "&lt;"&amp;INT($Z$1+1)
)</f>
        <v>2</v>
      </c>
      <c r="X149" s="1">
        <f t="shared" si="180"/>
        <v>1</v>
      </c>
      <c r="Y149" s="9">
        <f t="shared" si="181"/>
        <v>-0.23313962442755565</v>
      </c>
      <c r="Z149" s="10">
        <f t="shared" si="182"/>
        <v>2.2331396244275554</v>
      </c>
      <c r="AA149" s="1">
        <f>SUMIFS(
  '[1]Hoja 1'!$M:$M,
  '[1]Hoja 1'!$S:$S, $A149,
  '[1]Hoja 1'!$R:$R, "&gt;="&amp;INT($AC$1),
  '[1]Hoja 1'!$R:$R, "&lt;"&amp;INT($AD$1+1)
)</f>
        <v>1</v>
      </c>
      <c r="AB149" s="1">
        <f t="shared" si="183"/>
        <v>2</v>
      </c>
      <c r="AC149" s="9">
        <f t="shared" si="184"/>
        <v>0.92646378728987444</v>
      </c>
      <c r="AD149" s="10">
        <f t="shared" si="185"/>
        <v>3.2331396244275554</v>
      </c>
      <c r="AE149" s="1">
        <f>SUMIFS(
  '[1]Hoja 1'!$M:$M,
  '[1]Hoja 1'!$S:$S, $A149,
  '[1]Hoja 1'!$R:$R, "&gt;="&amp;INT($AG$1),
  '[1]Hoja 1'!$R:$R, "&lt;"&amp;INT($AH$1+1)
)</f>
        <v>0</v>
      </c>
      <c r="AF149" s="1">
        <f t="shared" si="186"/>
        <v>1</v>
      </c>
      <c r="AG149" s="9">
        <f t="shared" si="187"/>
        <v>-0.2002499739637571</v>
      </c>
      <c r="AH149" s="10">
        <f t="shared" si="188"/>
        <v>2.3859292911256329</v>
      </c>
      <c r="AI149" s="1">
        <f>SUMIFS(
  '[1]Hoja 1'!$M:$M,
  '[1]Hoja 1'!$S:$S, $A149,
  '[1]Hoja 1'!$R:$R, "&gt;="&amp;INT($AK$1),
  '[1]Hoja 1'!$R:$R, "&lt;"&amp;INT($AL$1+1)
)</f>
        <v>0</v>
      </c>
      <c r="AJ149" s="1">
        <f t="shared" si="189"/>
        <v>0</v>
      </c>
      <c r="AK149" s="9">
        <f t="shared" si="190"/>
        <v>-1.2002499739637571</v>
      </c>
      <c r="AL149" s="10">
        <f t="shared" si="191"/>
        <v>1.3859292911256331</v>
      </c>
      <c r="AM149" s="1">
        <f>SUMIFS(
  '[1]Hoja 1'!$M:$M,
  '[1]Hoja 1'!$S:$S, $A149,
  '[1]Hoja 1'!$R:$R, "&gt;="&amp;INT($AO$1),
  '[1]Hoja 1'!$R:$R, "&lt;"&amp;INT($AP$1+1)
)</f>
        <v>0</v>
      </c>
      <c r="AN149" s="1">
        <f t="shared" si="192"/>
        <v>0</v>
      </c>
      <c r="AO149" s="9">
        <f t="shared" si="193"/>
        <v>-0.53676810635506278</v>
      </c>
      <c r="AP149" s="10">
        <f t="shared" si="194"/>
        <v>0.56580326380583323</v>
      </c>
      <c r="AQ149" s="1">
        <f>SUMIFS(
  '[1]Hoja 1'!$M:$M,
  '[1]Hoja 1'!$S:$S, $A149,
  '[1]Hoja 1'!$R:$R, "&gt;="&amp;INT($AS$1),
  '[1]Hoja 1'!$R:$R, "&lt;"&amp;INT($AT$1+1)
)</f>
        <v>0</v>
      </c>
      <c r="AR149" s="1">
        <f t="shared" si="195"/>
        <v>0</v>
      </c>
      <c r="AS149" s="9">
        <f t="shared" si="196"/>
        <v>-0.43826932358995874</v>
      </c>
      <c r="AT149" s="10">
        <f t="shared" si="197"/>
        <v>0.49</v>
      </c>
      <c r="AU149" s="1">
        <f>SUMIFS(
  '[1]Hoja 1'!$M:$M,
  '[1]Hoja 1'!$S:$S, $A149,
  '[1]Hoja 1'!$R:$R, "&gt;="&amp;INT($AW$1),
  '[1]Hoja 1'!$R:$R, "&lt;"&amp;INT($AX$1+1)
)</f>
        <v>0</v>
      </c>
      <c r="AV149" s="1">
        <f t="shared" si="198"/>
        <v>0</v>
      </c>
      <c r="AW149" s="9">
        <f t="shared" si="199"/>
        <v>0</v>
      </c>
      <c r="AX149" s="10">
        <f t="shared" si="200"/>
        <v>0</v>
      </c>
      <c r="AY149" s="1">
        <f>SUMIFS(
  '[1]Hoja 1'!$M:$M,
  '[1]Hoja 1'!$S:$S, $A149,
  '[1]Hoja 1'!$R:$R, "&gt;="&amp;INT($BA$1),
  '[1]Hoja 1'!$R:$R, "&lt;"&amp;INT($BB$1+1)
)</f>
        <v>0</v>
      </c>
      <c r="AZ149" s="1">
        <f t="shared" si="201"/>
        <v>0</v>
      </c>
      <c r="BA149" s="9">
        <f t="shared" si="202"/>
        <v>0</v>
      </c>
      <c r="BB149" s="10">
        <f t="shared" si="203"/>
        <v>0</v>
      </c>
      <c r="BC149" s="1">
        <f>SUMIFS(
  '[1]Hoja 1'!$M:$M,
  '[1]Hoja 1'!$S:$S, $A149,
  '[1]Hoja 1'!$R:$R, "&gt;="&amp;INT($BE$1),
  '[1]Hoja 1'!$R:$R, "&lt;"&amp;INT($BF$1+1)
)</f>
        <v>0</v>
      </c>
      <c r="BD149" s="1">
        <f t="shared" si="204"/>
        <v>0</v>
      </c>
      <c r="BE149" s="9">
        <f t="shared" si="205"/>
        <v>0</v>
      </c>
      <c r="BF149" s="10">
        <f t="shared" si="206"/>
        <v>0</v>
      </c>
      <c r="BG149" s="1">
        <f>SUMIFS(
  '[1]Hoja 1'!$M:$M,
  '[1]Hoja 1'!$S:$S, $A149,
  '[1]Hoja 1'!$R:$R, "&gt;="&amp;INT($BI$1),
  '[1]Hoja 1'!$R:$R, "&lt;"&amp;INT($BJ$1+1)
)</f>
        <v>0</v>
      </c>
      <c r="BH149" s="1">
        <f t="shared" si="207"/>
        <v>0</v>
      </c>
      <c r="BI149" s="9">
        <f t="shared" si="208"/>
        <v>0</v>
      </c>
      <c r="BJ149" s="10">
        <f t="shared" si="209"/>
        <v>0</v>
      </c>
      <c r="BK149" s="1">
        <f>SUMIFS(
  '[1]Hoja 1'!$M:$M,
  '[1]Hoja 1'!$S:$S, $A149,
  '[1]Hoja 1'!$R:$R, "&gt;="&amp;INT($BM$1),
  '[1]Hoja 1'!$R:$R, "&lt;"&amp;INT($BN$1+1)
)</f>
        <v>0</v>
      </c>
      <c r="BL149" s="1">
        <f t="shared" si="210"/>
        <v>0</v>
      </c>
      <c r="BM149" s="9">
        <f t="shared" si="211"/>
        <v>0</v>
      </c>
      <c r="BN149" s="10">
        <f t="shared" si="212"/>
        <v>0</v>
      </c>
      <c r="BO149" s="1">
        <f>SUMIFS(
  '[1]Hoja 1'!$M:$M,
  '[1]Hoja 1'!$S:$S, $A149,
  '[1]Hoja 1'!$R:$R, "&gt;="&amp;INT($BQ$1),
  '[1]Hoja 1'!$R:$R, "&lt;"&amp;INT($BR$1+1)
)</f>
        <v>0</v>
      </c>
      <c r="BP149" s="1">
        <f t="shared" si="213"/>
        <v>0</v>
      </c>
      <c r="BQ149" s="9">
        <f t="shared" si="214"/>
        <v>0</v>
      </c>
      <c r="BR149" s="10">
        <f t="shared" si="215"/>
        <v>0</v>
      </c>
      <c r="BS149" s="1">
        <f>SUMIFS(
  '[1]Hoja 1'!$M:$M,
  '[1]Hoja 1'!$S:$S, $A149,
  '[1]Hoja 1'!$R:$R, "&gt;="&amp;INT($BU$1),
  '[1]Hoja 1'!$R:$R, "&lt;"&amp;INT($BV$1+1)
)</f>
        <v>0</v>
      </c>
      <c r="BT149" s="1">
        <f t="shared" si="216"/>
        <v>0</v>
      </c>
      <c r="BU149" s="9">
        <f t="shared" si="217"/>
        <v>0</v>
      </c>
      <c r="BV149" s="10">
        <f t="shared" si="218"/>
        <v>0</v>
      </c>
      <c r="BW149" s="1">
        <f>SUMIFS(
  '[1]Hoja 1'!$M:$M,
  '[1]Hoja 1'!$S:$S, $A149,
  '[1]Hoja 1'!$R:$R, "&gt;="&amp;INT($BY$1),
  '[1]Hoja 1'!$R:$R, "&lt;"&amp;INT($BZ$1+1)
)</f>
        <v>0</v>
      </c>
      <c r="BX149" s="1">
        <f t="shared" si="219"/>
        <v>0</v>
      </c>
      <c r="BY149" s="9">
        <f t="shared" si="220"/>
        <v>0</v>
      </c>
      <c r="BZ149" s="10">
        <f t="shared" si="221"/>
        <v>0</v>
      </c>
      <c r="CA149" s="1">
        <f>SUMIFS(
  '[1]Hoja 1'!$M:$M,
  '[1]Hoja 1'!$S:$S, $A149,
  '[1]Hoja 1'!$R:$R, "&gt;="&amp;INT($CC$1),
  '[1]Hoja 1'!$R:$R, "&lt;"&amp;INT($CD$1+1)
)</f>
        <v>0</v>
      </c>
      <c r="CB149" s="1">
        <f t="shared" si="222"/>
        <v>0</v>
      </c>
      <c r="CC149" s="9">
        <f t="shared" si="223"/>
        <v>0</v>
      </c>
      <c r="CD149" s="10">
        <f t="shared" si="224"/>
        <v>0</v>
      </c>
      <c r="CE149" s="1">
        <f>SUMIFS(
  '[1]Hoja 1'!$M:$M,
  '[1]Hoja 1'!$S:$S, $A149,
  '[1]Hoja 1'!$R:$R, "&gt;="&amp;INT($CG$1),
  '[1]Hoja 1'!$R:$R, "&lt;"&amp;INT($CH$1+1)
)</f>
        <v>0</v>
      </c>
      <c r="CF149" s="1">
        <f t="shared" si="225"/>
        <v>0</v>
      </c>
      <c r="CG149" s="9">
        <f t="shared" si="226"/>
        <v>0</v>
      </c>
      <c r="CH149" s="10">
        <f t="shared" si="227"/>
        <v>0</v>
      </c>
      <c r="CI149" s="1">
        <f>SUMIFS(
  '[1]Hoja 1'!$M:$M,
  '[1]Hoja 1'!$S:$S, $A149,
  '[1]Hoja 1'!$R:$R, "&gt;="&amp;INT($CK$1),
  '[1]Hoja 1'!$R:$R, "&lt;"&amp;INT($CL$1+1)
)</f>
        <v>0</v>
      </c>
      <c r="CJ149" s="1">
        <f t="shared" si="228"/>
        <v>0</v>
      </c>
      <c r="CK149" s="9">
        <f t="shared" si="229"/>
        <v>0</v>
      </c>
      <c r="CL149" s="10">
        <f t="shared" si="230"/>
        <v>0</v>
      </c>
      <c r="CM149" s="1">
        <f>SUMIFS(
  '[1]Hoja 1'!$M:$M,
  '[1]Hoja 1'!$S:$S, $A149,
  '[1]Hoja 1'!$R:$R, "&gt;="&amp;INT($CO$1),
  '[1]Hoja 1'!$R:$R, "&lt;"&amp;INT($CP$1+1)
)</f>
        <v>0</v>
      </c>
      <c r="CN149" s="1">
        <f t="shared" si="231"/>
        <v>0</v>
      </c>
      <c r="CO149" s="9">
        <f t="shared" si="232"/>
        <v>0</v>
      </c>
      <c r="CP149" s="10">
        <f t="shared" si="233"/>
        <v>0</v>
      </c>
      <c r="CQ149" s="1">
        <f>SUMIFS(
  '[1]Hoja 1'!$M:$M,
  '[1]Hoja 1'!$S:$S, $A149,
  '[1]Hoja 1'!$R:$R, "&gt;="&amp;INT($CS$1),
  '[1]Hoja 1'!$R:$R, "&lt;"&amp;INT($CT$1+1)
)</f>
        <v>0</v>
      </c>
      <c r="CR149" s="1">
        <f t="shared" si="234"/>
        <v>0</v>
      </c>
      <c r="CS149" s="9">
        <f t="shared" si="235"/>
        <v>0</v>
      </c>
      <c r="CT149" s="10">
        <f t="shared" si="236"/>
        <v>0</v>
      </c>
      <c r="CU149" s="1">
        <f>SUMIFS(
  '[1]Hoja 1'!$M:$M,
  '[1]Hoja 1'!$S:$S, $A149,
  '[1]Hoja 1'!$R:$R, "&gt;="&amp;INT($CW$1),
  '[1]Hoja 1'!$R:$R, "&lt;"&amp;INT($CX$1+1)
)</f>
        <v>0</v>
      </c>
      <c r="CV149" s="1">
        <f t="shared" si="237"/>
        <v>0</v>
      </c>
      <c r="CW149" s="9">
        <f t="shared" si="238"/>
        <v>0</v>
      </c>
      <c r="CX149" s="10">
        <f t="shared" si="239"/>
        <v>0</v>
      </c>
      <c r="CY149" s="1">
        <f>SUMIFS(
  '[1]Hoja 1'!$M:$M,
  '[1]Hoja 1'!$S:$S, $A149,
  '[1]Hoja 1'!$R:$R, "&gt;="&amp;INT($DA$1),
  '[1]Hoja 1'!$R:$R, "&lt;"&amp;INT($DB$1+1)
)</f>
        <v>0</v>
      </c>
      <c r="CZ149" s="1">
        <f t="shared" si="240"/>
        <v>0</v>
      </c>
      <c r="DA149" s="9">
        <f t="shared" si="241"/>
        <v>0</v>
      </c>
      <c r="DB149" s="10">
        <f t="shared" si="242"/>
        <v>0</v>
      </c>
      <c r="DC149" s="1">
        <f>SUMIFS(
  '[1]Hoja 1'!$M:$M,
  '[1]Hoja 1'!$S:$S, $A149,
  '[1]Hoja 1'!$R:$R, "&gt;="&amp;INT($DE$1),
  '[1]Hoja 1'!$R:$R, "&lt;"&amp;INT($DF$1+1)
)</f>
        <v>0</v>
      </c>
      <c r="DD149" s="1">
        <f t="shared" si="243"/>
        <v>0</v>
      </c>
      <c r="DE149" s="9">
        <f t="shared" si="244"/>
        <v>0</v>
      </c>
      <c r="DF149" s="10">
        <f t="shared" si="245"/>
        <v>0</v>
      </c>
      <c r="DG149" s="1">
        <f>SUMIFS(
  '[1]Hoja 1'!$M:$M,
  '[1]Hoja 1'!$S:$S, $A149,
  '[1]Hoja 1'!$R:$R, "&gt;="&amp;INT($DI$1),
  '[1]Hoja 1'!$R:$R, "&lt;"&amp;INT($DJ$1+1)
)</f>
        <v>0</v>
      </c>
      <c r="DH149" s="1">
        <f t="shared" si="246"/>
        <v>0</v>
      </c>
      <c r="DI149" s="9">
        <f t="shared" si="247"/>
        <v>0</v>
      </c>
      <c r="DJ149" s="10">
        <f t="shared" si="248"/>
        <v>0</v>
      </c>
      <c r="DK149" s="1">
        <f>SUMIFS(
  '[1]Hoja 1'!$M:$M,
  '[1]Hoja 1'!$S:$S, $A149,
  '[1]Hoja 1'!$R:$R, "&gt;="&amp;INT($DM$1),
  '[1]Hoja 1'!$R:$R, "&lt;"&amp;INT($DN$1+1)
)</f>
        <v>0</v>
      </c>
      <c r="DL149" s="1">
        <f t="shared" si="249"/>
        <v>0</v>
      </c>
      <c r="DM149" s="9">
        <f t="shared" si="250"/>
        <v>0</v>
      </c>
      <c r="DN149" s="10">
        <f t="shared" si="251"/>
        <v>0</v>
      </c>
      <c r="DO149" s="1">
        <f>SUMIFS(
  '[1]Hoja 1'!$M:$M,
  '[1]Hoja 1'!$S:$S, $A149,
  '[1]Hoja 1'!$R:$R, "&gt;="&amp;INT($DQ$1),
  '[1]Hoja 1'!$R:$R, "&lt;"&amp;INT($DR$1+1)
)</f>
        <v>0</v>
      </c>
      <c r="DP149" s="1">
        <f t="shared" si="252"/>
        <v>0</v>
      </c>
      <c r="DQ149" s="9">
        <f t="shared" si="253"/>
        <v>0</v>
      </c>
      <c r="DR149" s="10">
        <f t="shared" si="254"/>
        <v>0</v>
      </c>
    </row>
    <row r="150" spans="1:122" x14ac:dyDescent="0.25">
      <c r="A150" s="5">
        <v>226005</v>
      </c>
      <c r="B150" s="6" t="s">
        <v>148</v>
      </c>
      <c r="C150" s="1">
        <f>SUMIFS(
  '[1]Hoja 1'!$M:$M,
  '[1]Hoja 1'!$S:$S, $A150,
  '[1]Hoja 1'!$R:$R, "&gt;="&amp;INT($E$1),
  '[1]Hoja 1'!$R:$R, "&lt;"&amp;INT($F$1+1)
)</f>
        <v>0</v>
      </c>
      <c r="D150" s="1" t="str">
        <f>""</f>
        <v/>
      </c>
      <c r="F150" s="2"/>
      <c r="G150" s="1">
        <f>SUMIFS(
  '[1]Hoja 1'!$M:$M,
  '[1]Hoja 1'!$S:$S, $A150,
  '[1]Hoja 1'!$R:$R, "&gt;="&amp;INT($I$1),
  '[1]Hoja 1'!$R:$R, "&lt;"&amp;INT($J$1+1)
)</f>
        <v>0</v>
      </c>
      <c r="H150" s="1">
        <f t="shared" si="170"/>
        <v>0</v>
      </c>
      <c r="I150" s="1"/>
      <c r="J150" s="2"/>
      <c r="K150" s="1">
        <f>SUMIFS(
  '[1]Hoja 1'!$M:$M,
  '[1]Hoja 1'!$S:$S, $A150,
  '[1]Hoja 1'!$R:$R, "&gt;="&amp;INT($M$1),
  '[1]Hoja 1'!$R:$R, "&lt;"&amp;INT($N$1+1)
)</f>
        <v>0</v>
      </c>
      <c r="L150" s="1">
        <f t="shared" si="171"/>
        <v>0</v>
      </c>
      <c r="M150" s="9">
        <f t="shared" si="172"/>
        <v>0</v>
      </c>
      <c r="N150" s="10">
        <f t="shared" si="173"/>
        <v>0</v>
      </c>
      <c r="O150" s="1">
        <f>SUMIFS(
  '[1]Hoja 1'!$M:$M,
  '[1]Hoja 1'!$S:$S, $A150,
  '[1]Hoja 1'!$R:$R, "&gt;="&amp;INT($Q$1),
  '[1]Hoja 1'!$R:$R, "&lt;"&amp;INT($R$1+1)
)</f>
        <v>0</v>
      </c>
      <c r="P150" s="1">
        <f t="shared" si="174"/>
        <v>0</v>
      </c>
      <c r="Q150" s="9">
        <f t="shared" si="175"/>
        <v>0</v>
      </c>
      <c r="R150" s="10">
        <f t="shared" si="176"/>
        <v>0</v>
      </c>
      <c r="S150" s="1">
        <f>SUMIFS(
  '[1]Hoja 1'!$M:$M,
  '[1]Hoja 1'!$S:$S, $A150,
  '[1]Hoja 1'!$R:$R, "&gt;="&amp;INT($U$1),
  '[1]Hoja 1'!$R:$R, "&lt;"&amp;INT($V$1+1)
)</f>
        <v>0</v>
      </c>
      <c r="T150" s="1">
        <f t="shared" si="177"/>
        <v>0</v>
      </c>
      <c r="U150" s="9">
        <f t="shared" si="178"/>
        <v>0</v>
      </c>
      <c r="V150" s="10">
        <f t="shared" si="179"/>
        <v>0</v>
      </c>
      <c r="W150" s="1">
        <f>SUMIFS(
  '[1]Hoja 1'!$M:$M,
  '[1]Hoja 1'!$S:$S, $A150,
  '[1]Hoja 1'!$R:$R, "&gt;="&amp;INT($Y$1),
  '[1]Hoja 1'!$R:$R, "&lt;"&amp;INT($Z$1+1)
)</f>
        <v>0</v>
      </c>
      <c r="X150" s="1">
        <f t="shared" si="180"/>
        <v>0</v>
      </c>
      <c r="Y150" s="9">
        <f t="shared" si="181"/>
        <v>0</v>
      </c>
      <c r="Z150" s="10">
        <f t="shared" si="182"/>
        <v>0</v>
      </c>
      <c r="AA150" s="1">
        <f>SUMIFS(
  '[1]Hoja 1'!$M:$M,
  '[1]Hoja 1'!$S:$S, $A150,
  '[1]Hoja 1'!$R:$R, "&gt;="&amp;INT($AC$1),
  '[1]Hoja 1'!$R:$R, "&lt;"&amp;INT($AD$1+1)
)</f>
        <v>0</v>
      </c>
      <c r="AB150" s="1">
        <f t="shared" si="183"/>
        <v>0</v>
      </c>
      <c r="AC150" s="9">
        <f t="shared" si="184"/>
        <v>0</v>
      </c>
      <c r="AD150" s="10">
        <f t="shared" si="185"/>
        <v>0</v>
      </c>
      <c r="AE150" s="1">
        <f>SUMIFS(
  '[1]Hoja 1'!$M:$M,
  '[1]Hoja 1'!$S:$S, $A150,
  '[1]Hoja 1'!$R:$R, "&gt;="&amp;INT($AG$1),
  '[1]Hoja 1'!$R:$R, "&lt;"&amp;INT($AH$1+1)
)</f>
        <v>0</v>
      </c>
      <c r="AF150" s="1">
        <f t="shared" si="186"/>
        <v>0</v>
      </c>
      <c r="AG150" s="9">
        <f t="shared" si="187"/>
        <v>0</v>
      </c>
      <c r="AH150" s="10">
        <f t="shared" si="188"/>
        <v>0</v>
      </c>
      <c r="AI150" s="1">
        <f>SUMIFS(
  '[1]Hoja 1'!$M:$M,
  '[1]Hoja 1'!$S:$S, $A150,
  '[1]Hoja 1'!$R:$R, "&gt;="&amp;INT($AK$1),
  '[1]Hoja 1'!$R:$R, "&lt;"&amp;INT($AL$1+1)
)</f>
        <v>0</v>
      </c>
      <c r="AJ150" s="1">
        <f t="shared" si="189"/>
        <v>0</v>
      </c>
      <c r="AK150" s="9">
        <f t="shared" si="190"/>
        <v>0</v>
      </c>
      <c r="AL150" s="10">
        <f t="shared" si="191"/>
        <v>0</v>
      </c>
      <c r="AM150" s="1">
        <f>SUMIFS(
  '[1]Hoja 1'!$M:$M,
  '[1]Hoja 1'!$S:$S, $A150,
  '[1]Hoja 1'!$R:$R, "&gt;="&amp;INT($AO$1),
  '[1]Hoja 1'!$R:$R, "&lt;"&amp;INT($AP$1+1)
)</f>
        <v>0</v>
      </c>
      <c r="AN150" s="1">
        <f t="shared" si="192"/>
        <v>0</v>
      </c>
      <c r="AO150" s="9">
        <f t="shared" si="193"/>
        <v>0</v>
      </c>
      <c r="AP150" s="10">
        <f t="shared" si="194"/>
        <v>0</v>
      </c>
      <c r="AQ150" s="1">
        <f>SUMIFS(
  '[1]Hoja 1'!$M:$M,
  '[1]Hoja 1'!$S:$S, $A150,
  '[1]Hoja 1'!$R:$R, "&gt;="&amp;INT($AS$1),
  '[1]Hoja 1'!$R:$R, "&lt;"&amp;INT($AT$1+1)
)</f>
        <v>0</v>
      </c>
      <c r="AR150" s="1">
        <f t="shared" si="195"/>
        <v>0</v>
      </c>
      <c r="AS150" s="9">
        <f t="shared" si="196"/>
        <v>0</v>
      </c>
      <c r="AT150" s="10">
        <f t="shared" si="197"/>
        <v>0</v>
      </c>
      <c r="AU150" s="1">
        <f>SUMIFS(
  '[1]Hoja 1'!$M:$M,
  '[1]Hoja 1'!$S:$S, $A150,
  '[1]Hoja 1'!$R:$R, "&gt;="&amp;INT($AW$1),
  '[1]Hoja 1'!$R:$R, "&lt;"&amp;INT($AX$1+1)
)</f>
        <v>0</v>
      </c>
      <c r="AV150" s="1">
        <f t="shared" si="198"/>
        <v>0</v>
      </c>
      <c r="AW150" s="9">
        <f t="shared" si="199"/>
        <v>0</v>
      </c>
      <c r="AX150" s="10">
        <f t="shared" si="200"/>
        <v>0</v>
      </c>
      <c r="AY150" s="1">
        <f>SUMIFS(
  '[1]Hoja 1'!$M:$M,
  '[1]Hoja 1'!$S:$S, $A150,
  '[1]Hoja 1'!$R:$R, "&gt;="&amp;INT($BA$1),
  '[1]Hoja 1'!$R:$R, "&lt;"&amp;INT($BB$1+1)
)</f>
        <v>0</v>
      </c>
      <c r="AZ150" s="1">
        <f t="shared" si="201"/>
        <v>0</v>
      </c>
      <c r="BA150" s="9">
        <f t="shared" si="202"/>
        <v>0</v>
      </c>
      <c r="BB150" s="10">
        <f t="shared" si="203"/>
        <v>0</v>
      </c>
      <c r="BC150" s="1">
        <f>SUMIFS(
  '[1]Hoja 1'!$M:$M,
  '[1]Hoja 1'!$S:$S, $A150,
  '[1]Hoja 1'!$R:$R, "&gt;="&amp;INT($BE$1),
  '[1]Hoja 1'!$R:$R, "&lt;"&amp;INT($BF$1+1)
)</f>
        <v>0</v>
      </c>
      <c r="BD150" s="1">
        <f t="shared" si="204"/>
        <v>0</v>
      </c>
      <c r="BE150" s="9">
        <f t="shared" si="205"/>
        <v>0</v>
      </c>
      <c r="BF150" s="10">
        <f t="shared" si="206"/>
        <v>0</v>
      </c>
      <c r="BG150" s="1">
        <f>SUMIFS(
  '[1]Hoja 1'!$M:$M,
  '[1]Hoja 1'!$S:$S, $A150,
  '[1]Hoja 1'!$R:$R, "&gt;="&amp;INT($BI$1),
  '[1]Hoja 1'!$R:$R, "&lt;"&amp;INT($BJ$1+1)
)</f>
        <v>0</v>
      </c>
      <c r="BH150" s="1">
        <f t="shared" si="207"/>
        <v>0</v>
      </c>
      <c r="BI150" s="9">
        <f t="shared" si="208"/>
        <v>0</v>
      </c>
      <c r="BJ150" s="10">
        <f t="shared" si="209"/>
        <v>0</v>
      </c>
      <c r="BK150" s="1">
        <f>SUMIFS(
  '[1]Hoja 1'!$M:$M,
  '[1]Hoja 1'!$S:$S, $A150,
  '[1]Hoja 1'!$R:$R, "&gt;="&amp;INT($BM$1),
  '[1]Hoja 1'!$R:$R, "&lt;"&amp;INT($BN$1+1)
)</f>
        <v>0</v>
      </c>
      <c r="BL150" s="1">
        <f t="shared" si="210"/>
        <v>0</v>
      </c>
      <c r="BM150" s="9">
        <f t="shared" si="211"/>
        <v>0</v>
      </c>
      <c r="BN150" s="10">
        <f t="shared" si="212"/>
        <v>0</v>
      </c>
      <c r="BO150" s="1">
        <f>SUMIFS(
  '[1]Hoja 1'!$M:$M,
  '[1]Hoja 1'!$S:$S, $A150,
  '[1]Hoja 1'!$R:$R, "&gt;="&amp;INT($BQ$1),
  '[1]Hoja 1'!$R:$R, "&lt;"&amp;INT($BR$1+1)
)</f>
        <v>0</v>
      </c>
      <c r="BP150" s="1">
        <f t="shared" si="213"/>
        <v>0</v>
      </c>
      <c r="BQ150" s="9">
        <f t="shared" si="214"/>
        <v>0</v>
      </c>
      <c r="BR150" s="10">
        <f t="shared" si="215"/>
        <v>0</v>
      </c>
      <c r="BS150" s="1">
        <f>SUMIFS(
  '[1]Hoja 1'!$M:$M,
  '[1]Hoja 1'!$S:$S, $A150,
  '[1]Hoja 1'!$R:$R, "&gt;="&amp;INT($BU$1),
  '[1]Hoja 1'!$R:$R, "&lt;"&amp;INT($BV$1+1)
)</f>
        <v>0</v>
      </c>
      <c r="BT150" s="1">
        <f t="shared" si="216"/>
        <v>0</v>
      </c>
      <c r="BU150" s="9">
        <f t="shared" si="217"/>
        <v>0</v>
      </c>
      <c r="BV150" s="10">
        <f t="shared" si="218"/>
        <v>0</v>
      </c>
      <c r="BW150" s="1">
        <f>SUMIFS(
  '[1]Hoja 1'!$M:$M,
  '[1]Hoja 1'!$S:$S, $A150,
  '[1]Hoja 1'!$R:$R, "&gt;="&amp;INT($BY$1),
  '[1]Hoja 1'!$R:$R, "&lt;"&amp;INT($BZ$1+1)
)</f>
        <v>0</v>
      </c>
      <c r="BX150" s="1">
        <f t="shared" si="219"/>
        <v>0</v>
      </c>
      <c r="BY150" s="9">
        <f t="shared" si="220"/>
        <v>0</v>
      </c>
      <c r="BZ150" s="10">
        <f t="shared" si="221"/>
        <v>0</v>
      </c>
      <c r="CA150" s="1">
        <f>SUMIFS(
  '[1]Hoja 1'!$M:$M,
  '[1]Hoja 1'!$S:$S, $A150,
  '[1]Hoja 1'!$R:$R, "&gt;="&amp;INT($CC$1),
  '[1]Hoja 1'!$R:$R, "&lt;"&amp;INT($CD$1+1)
)</f>
        <v>0</v>
      </c>
      <c r="CB150" s="1">
        <f t="shared" si="222"/>
        <v>0</v>
      </c>
      <c r="CC150" s="9">
        <f t="shared" si="223"/>
        <v>0</v>
      </c>
      <c r="CD150" s="10">
        <f t="shared" si="224"/>
        <v>0</v>
      </c>
      <c r="CE150" s="1">
        <f>SUMIFS(
  '[1]Hoja 1'!$M:$M,
  '[1]Hoja 1'!$S:$S, $A150,
  '[1]Hoja 1'!$R:$R, "&gt;="&amp;INT($CG$1),
  '[1]Hoja 1'!$R:$R, "&lt;"&amp;INT($CH$1+1)
)</f>
        <v>0</v>
      </c>
      <c r="CF150" s="1">
        <f t="shared" si="225"/>
        <v>0</v>
      </c>
      <c r="CG150" s="9">
        <f t="shared" si="226"/>
        <v>0</v>
      </c>
      <c r="CH150" s="10">
        <f t="shared" si="227"/>
        <v>0</v>
      </c>
      <c r="CI150" s="1">
        <f>SUMIFS(
  '[1]Hoja 1'!$M:$M,
  '[1]Hoja 1'!$S:$S, $A150,
  '[1]Hoja 1'!$R:$R, "&gt;="&amp;INT($CK$1),
  '[1]Hoja 1'!$R:$R, "&lt;"&amp;INT($CL$1+1)
)</f>
        <v>0</v>
      </c>
      <c r="CJ150" s="1">
        <f t="shared" si="228"/>
        <v>0</v>
      </c>
      <c r="CK150" s="9">
        <f t="shared" si="229"/>
        <v>0</v>
      </c>
      <c r="CL150" s="10">
        <f t="shared" si="230"/>
        <v>0</v>
      </c>
      <c r="CM150" s="1">
        <f>SUMIFS(
  '[1]Hoja 1'!$M:$M,
  '[1]Hoja 1'!$S:$S, $A150,
  '[1]Hoja 1'!$R:$R, "&gt;="&amp;INT($CO$1),
  '[1]Hoja 1'!$R:$R, "&lt;"&amp;INT($CP$1+1)
)</f>
        <v>0</v>
      </c>
      <c r="CN150" s="1">
        <f t="shared" si="231"/>
        <v>0</v>
      </c>
      <c r="CO150" s="9">
        <f t="shared" si="232"/>
        <v>0</v>
      </c>
      <c r="CP150" s="10">
        <f t="shared" si="233"/>
        <v>0</v>
      </c>
      <c r="CQ150" s="1">
        <f>SUMIFS(
  '[1]Hoja 1'!$M:$M,
  '[1]Hoja 1'!$S:$S, $A150,
  '[1]Hoja 1'!$R:$R, "&gt;="&amp;INT($CS$1),
  '[1]Hoja 1'!$R:$R, "&lt;"&amp;INT($CT$1+1)
)</f>
        <v>0</v>
      </c>
      <c r="CR150" s="1">
        <f t="shared" si="234"/>
        <v>0</v>
      </c>
      <c r="CS150" s="9">
        <f t="shared" si="235"/>
        <v>0</v>
      </c>
      <c r="CT150" s="10">
        <f t="shared" si="236"/>
        <v>0</v>
      </c>
      <c r="CU150" s="1">
        <f>SUMIFS(
  '[1]Hoja 1'!$M:$M,
  '[1]Hoja 1'!$S:$S, $A150,
  '[1]Hoja 1'!$R:$R, "&gt;="&amp;INT($CW$1),
  '[1]Hoja 1'!$R:$R, "&lt;"&amp;INT($CX$1+1)
)</f>
        <v>0</v>
      </c>
      <c r="CV150" s="1">
        <f t="shared" si="237"/>
        <v>0</v>
      </c>
      <c r="CW150" s="9">
        <f t="shared" si="238"/>
        <v>0</v>
      </c>
      <c r="CX150" s="10">
        <f t="shared" si="239"/>
        <v>0</v>
      </c>
      <c r="CY150" s="1">
        <f>SUMIFS(
  '[1]Hoja 1'!$M:$M,
  '[1]Hoja 1'!$S:$S, $A150,
  '[1]Hoja 1'!$R:$R, "&gt;="&amp;INT($DA$1),
  '[1]Hoja 1'!$R:$R, "&lt;"&amp;INT($DB$1+1)
)</f>
        <v>0</v>
      </c>
      <c r="CZ150" s="1">
        <f t="shared" si="240"/>
        <v>0</v>
      </c>
      <c r="DA150" s="9">
        <f t="shared" si="241"/>
        <v>0</v>
      </c>
      <c r="DB150" s="10">
        <f t="shared" si="242"/>
        <v>0</v>
      </c>
      <c r="DC150" s="1">
        <f>SUMIFS(
  '[1]Hoja 1'!$M:$M,
  '[1]Hoja 1'!$S:$S, $A150,
  '[1]Hoja 1'!$R:$R, "&gt;="&amp;INT($DE$1),
  '[1]Hoja 1'!$R:$R, "&lt;"&amp;INT($DF$1+1)
)</f>
        <v>0</v>
      </c>
      <c r="DD150" s="1">
        <f t="shared" si="243"/>
        <v>0</v>
      </c>
      <c r="DE150" s="9">
        <f t="shared" si="244"/>
        <v>0</v>
      </c>
      <c r="DF150" s="10">
        <f t="shared" si="245"/>
        <v>0</v>
      </c>
      <c r="DG150" s="1">
        <f>SUMIFS(
  '[1]Hoja 1'!$M:$M,
  '[1]Hoja 1'!$S:$S, $A150,
  '[1]Hoja 1'!$R:$R, "&gt;="&amp;INT($DI$1),
  '[1]Hoja 1'!$R:$R, "&lt;"&amp;INT($DJ$1+1)
)</f>
        <v>0</v>
      </c>
      <c r="DH150" s="1">
        <f t="shared" si="246"/>
        <v>0</v>
      </c>
      <c r="DI150" s="9">
        <f t="shared" si="247"/>
        <v>0</v>
      </c>
      <c r="DJ150" s="10">
        <f t="shared" si="248"/>
        <v>0</v>
      </c>
      <c r="DK150" s="1">
        <f>SUMIFS(
  '[1]Hoja 1'!$M:$M,
  '[1]Hoja 1'!$S:$S, $A150,
  '[1]Hoja 1'!$R:$R, "&gt;="&amp;INT($DM$1),
  '[1]Hoja 1'!$R:$R, "&lt;"&amp;INT($DN$1+1)
)</f>
        <v>0</v>
      </c>
      <c r="DL150" s="1">
        <f t="shared" si="249"/>
        <v>0</v>
      </c>
      <c r="DM150" s="9">
        <f t="shared" si="250"/>
        <v>0</v>
      </c>
      <c r="DN150" s="10">
        <f t="shared" si="251"/>
        <v>0</v>
      </c>
      <c r="DO150" s="1">
        <f>SUMIFS(
  '[1]Hoja 1'!$M:$M,
  '[1]Hoja 1'!$S:$S, $A150,
  '[1]Hoja 1'!$R:$R, "&gt;="&amp;INT($DQ$1),
  '[1]Hoja 1'!$R:$R, "&lt;"&amp;INT($DR$1+1)
)</f>
        <v>0</v>
      </c>
      <c r="DP150" s="1">
        <f t="shared" si="252"/>
        <v>0</v>
      </c>
      <c r="DQ150" s="9">
        <f t="shared" si="253"/>
        <v>0</v>
      </c>
      <c r="DR150" s="10">
        <f t="shared" si="254"/>
        <v>0</v>
      </c>
    </row>
    <row r="151" spans="1:122" x14ac:dyDescent="0.25">
      <c r="A151" s="5">
        <v>226009</v>
      </c>
      <c r="B151" s="6" t="s">
        <v>149</v>
      </c>
      <c r="C151" s="1">
        <f>SUMIFS(
  '[1]Hoja 1'!$M:$M,
  '[1]Hoja 1'!$S:$S, $A151,
  '[1]Hoja 1'!$R:$R, "&gt;="&amp;INT($E$1),
  '[1]Hoja 1'!$R:$R, "&lt;"&amp;INT($F$1+1)
)</f>
        <v>1</v>
      </c>
      <c r="D151" s="1" t="str">
        <f>""</f>
        <v/>
      </c>
      <c r="F151" s="2"/>
      <c r="G151" s="1">
        <f>SUMIFS(
  '[1]Hoja 1'!$M:$M,
  '[1]Hoja 1'!$S:$S, $A151,
  '[1]Hoja 1'!$R:$R, "&gt;="&amp;INT($I$1),
  '[1]Hoja 1'!$R:$R, "&lt;"&amp;INT($J$1+1)
)</f>
        <v>0</v>
      </c>
      <c r="H151" s="1">
        <f t="shared" si="170"/>
        <v>0.5</v>
      </c>
      <c r="I151" s="1"/>
      <c r="J151" s="2"/>
      <c r="K151" s="1">
        <f>SUMIFS(
  '[1]Hoja 1'!$M:$M,
  '[1]Hoja 1'!$S:$S, $A151,
  '[1]Hoja 1'!$R:$R, "&gt;="&amp;INT($M$1),
  '[1]Hoja 1'!$R:$R, "&lt;"&amp;INT($N$1+1)
)</f>
        <v>0</v>
      </c>
      <c r="L151" s="1">
        <f t="shared" si="171"/>
        <v>0</v>
      </c>
      <c r="M151" s="9">
        <f t="shared" si="172"/>
        <v>-0.69296464556281656</v>
      </c>
      <c r="N151" s="10">
        <f t="shared" si="173"/>
        <v>0.69296464556281656</v>
      </c>
      <c r="O151" s="1">
        <f>SUMIFS(
  '[1]Hoja 1'!$M:$M,
  '[1]Hoja 1'!$S:$S, $A151,
  '[1]Hoja 1'!$R:$R, "&gt;="&amp;INT($Q$1),
  '[1]Hoja 1'!$R:$R, "&lt;"&amp;INT($R$1+1)
)</f>
        <v>0</v>
      </c>
      <c r="P151" s="1">
        <f t="shared" si="174"/>
        <v>0</v>
      </c>
      <c r="Q151" s="9">
        <f t="shared" si="175"/>
        <v>-0.56580326380583335</v>
      </c>
      <c r="R151" s="10">
        <f t="shared" si="176"/>
        <v>0.56580326380583335</v>
      </c>
      <c r="S151" s="1">
        <f>SUMIFS(
  '[1]Hoja 1'!$M:$M,
  '[1]Hoja 1'!$S:$S, $A151,
  '[1]Hoja 1'!$R:$R, "&gt;="&amp;INT($U$1),
  '[1]Hoja 1'!$R:$R, "&lt;"&amp;INT($V$1+1)
)</f>
        <v>0</v>
      </c>
      <c r="T151" s="1">
        <f t="shared" si="177"/>
        <v>0</v>
      </c>
      <c r="U151" s="9">
        <f t="shared" si="178"/>
        <v>-0.49</v>
      </c>
      <c r="V151" s="10">
        <f t="shared" si="179"/>
        <v>0.49</v>
      </c>
      <c r="W151" s="1">
        <f>SUMIFS(
  '[1]Hoja 1'!$M:$M,
  '[1]Hoja 1'!$S:$S, $A151,
  '[1]Hoja 1'!$R:$R, "&gt;="&amp;INT($Y$1),
  '[1]Hoja 1'!$R:$R, "&lt;"&amp;INT($Z$1+1)
)</f>
        <v>1</v>
      </c>
      <c r="X151" s="1">
        <f t="shared" si="180"/>
        <v>1</v>
      </c>
      <c r="Y151" s="9">
        <f t="shared" si="181"/>
        <v>0.51</v>
      </c>
      <c r="Z151" s="10">
        <f t="shared" si="182"/>
        <v>1.49</v>
      </c>
      <c r="AA151" s="1">
        <f>SUMIFS(
  '[1]Hoja 1'!$M:$M,
  '[1]Hoja 1'!$S:$S, $A151,
  '[1]Hoja 1'!$R:$R, "&gt;="&amp;INT($AC$1),
  '[1]Hoja 1'!$R:$R, "&lt;"&amp;INT($AD$1+1)
)</f>
        <v>0</v>
      </c>
      <c r="AB151" s="1">
        <f t="shared" si="183"/>
        <v>1</v>
      </c>
      <c r="AC151" s="9">
        <f t="shared" si="184"/>
        <v>0.30703535443718344</v>
      </c>
      <c r="AD151" s="10">
        <f t="shared" si="185"/>
        <v>1.8001666493091715</v>
      </c>
      <c r="AE151" s="1">
        <f>SUMIFS(
  '[1]Hoja 1'!$M:$M,
  '[1]Hoja 1'!$S:$S, $A151,
  '[1]Hoja 1'!$R:$R, "&gt;="&amp;INT($AG$1),
  '[1]Hoja 1'!$R:$R, "&lt;"&amp;INT($AH$1+1)
)</f>
        <v>0</v>
      </c>
      <c r="AF151" s="1">
        <f t="shared" si="186"/>
        <v>0</v>
      </c>
      <c r="AG151" s="9">
        <f t="shared" si="187"/>
        <v>-0.69296464556281656</v>
      </c>
      <c r="AH151" s="10">
        <f t="shared" si="188"/>
        <v>0.80016664930917147</v>
      </c>
      <c r="AI151" s="1">
        <f>SUMIFS(
  '[1]Hoja 1'!$M:$M,
  '[1]Hoja 1'!$S:$S, $A151,
  '[1]Hoja 1'!$R:$R, "&gt;="&amp;INT($AK$1),
  '[1]Hoja 1'!$R:$R, "&lt;"&amp;INT($AL$1+1)
)</f>
        <v>0</v>
      </c>
      <c r="AJ151" s="1">
        <f t="shared" si="189"/>
        <v>0</v>
      </c>
      <c r="AK151" s="9">
        <f t="shared" si="190"/>
        <v>-0.69296464556281656</v>
      </c>
      <c r="AL151" s="10">
        <f t="shared" si="191"/>
        <v>0.80016664930917147</v>
      </c>
      <c r="AM151" s="1">
        <f>SUMIFS(
  '[1]Hoja 1'!$M:$M,
  '[1]Hoja 1'!$S:$S, $A151,
  '[1]Hoja 1'!$R:$R, "&gt;="&amp;INT($AO$1),
  '[1]Hoja 1'!$R:$R, "&lt;"&amp;INT($AP$1+1)
)</f>
        <v>0</v>
      </c>
      <c r="AN151" s="1">
        <f t="shared" si="192"/>
        <v>0</v>
      </c>
      <c r="AO151" s="9">
        <f t="shared" si="193"/>
        <v>-0.43826932358995874</v>
      </c>
      <c r="AP151" s="10">
        <f t="shared" si="194"/>
        <v>0.49</v>
      </c>
      <c r="AQ151" s="1">
        <f>SUMIFS(
  '[1]Hoja 1'!$M:$M,
  '[1]Hoja 1'!$S:$S, $A151,
  '[1]Hoja 1'!$R:$R, "&gt;="&amp;INT($AS$1),
  '[1]Hoja 1'!$R:$R, "&lt;"&amp;INT($AT$1+1)
)</f>
        <v>0</v>
      </c>
      <c r="AR151" s="1">
        <f t="shared" si="195"/>
        <v>0</v>
      </c>
      <c r="AS151" s="9">
        <f t="shared" si="196"/>
        <v>0</v>
      </c>
      <c r="AT151" s="10">
        <f t="shared" si="197"/>
        <v>0</v>
      </c>
      <c r="AU151" s="1">
        <f>SUMIFS(
  '[1]Hoja 1'!$M:$M,
  '[1]Hoja 1'!$S:$S, $A151,
  '[1]Hoja 1'!$R:$R, "&gt;="&amp;INT($AW$1),
  '[1]Hoja 1'!$R:$R, "&lt;"&amp;INT($AX$1+1)
)</f>
        <v>0</v>
      </c>
      <c r="AV151" s="1">
        <f t="shared" si="198"/>
        <v>0</v>
      </c>
      <c r="AW151" s="9">
        <f t="shared" si="199"/>
        <v>0</v>
      </c>
      <c r="AX151" s="10">
        <f t="shared" si="200"/>
        <v>0</v>
      </c>
      <c r="AY151" s="1">
        <f>SUMIFS(
  '[1]Hoja 1'!$M:$M,
  '[1]Hoja 1'!$S:$S, $A151,
  '[1]Hoja 1'!$R:$R, "&gt;="&amp;INT($BA$1),
  '[1]Hoja 1'!$R:$R, "&lt;"&amp;INT($BB$1+1)
)</f>
        <v>0</v>
      </c>
      <c r="AZ151" s="1">
        <f t="shared" si="201"/>
        <v>0</v>
      </c>
      <c r="BA151" s="9">
        <f t="shared" si="202"/>
        <v>0</v>
      </c>
      <c r="BB151" s="10">
        <f t="shared" si="203"/>
        <v>0</v>
      </c>
      <c r="BC151" s="1">
        <f>SUMIFS(
  '[1]Hoja 1'!$M:$M,
  '[1]Hoja 1'!$S:$S, $A151,
  '[1]Hoja 1'!$R:$R, "&gt;="&amp;INT($BE$1),
  '[1]Hoja 1'!$R:$R, "&lt;"&amp;INT($BF$1+1)
)</f>
        <v>0</v>
      </c>
      <c r="BD151" s="1">
        <f t="shared" si="204"/>
        <v>0</v>
      </c>
      <c r="BE151" s="9">
        <f t="shared" si="205"/>
        <v>0</v>
      </c>
      <c r="BF151" s="10">
        <f t="shared" si="206"/>
        <v>0</v>
      </c>
      <c r="BG151" s="1">
        <f>SUMIFS(
  '[1]Hoja 1'!$M:$M,
  '[1]Hoja 1'!$S:$S, $A151,
  '[1]Hoja 1'!$R:$R, "&gt;="&amp;INT($BI$1),
  '[1]Hoja 1'!$R:$R, "&lt;"&amp;INT($BJ$1+1)
)</f>
        <v>0</v>
      </c>
      <c r="BH151" s="1">
        <f t="shared" si="207"/>
        <v>0</v>
      </c>
      <c r="BI151" s="9">
        <f t="shared" si="208"/>
        <v>0</v>
      </c>
      <c r="BJ151" s="10">
        <f t="shared" si="209"/>
        <v>0</v>
      </c>
      <c r="BK151" s="1">
        <f>SUMIFS(
  '[1]Hoja 1'!$M:$M,
  '[1]Hoja 1'!$S:$S, $A151,
  '[1]Hoja 1'!$R:$R, "&gt;="&amp;INT($BM$1),
  '[1]Hoja 1'!$R:$R, "&lt;"&amp;INT($BN$1+1)
)</f>
        <v>0</v>
      </c>
      <c r="BL151" s="1">
        <f t="shared" si="210"/>
        <v>0</v>
      </c>
      <c r="BM151" s="9">
        <f t="shared" si="211"/>
        <v>0</v>
      </c>
      <c r="BN151" s="10">
        <f t="shared" si="212"/>
        <v>0</v>
      </c>
      <c r="BO151" s="1">
        <f>SUMIFS(
  '[1]Hoja 1'!$M:$M,
  '[1]Hoja 1'!$S:$S, $A151,
  '[1]Hoja 1'!$R:$R, "&gt;="&amp;INT($BQ$1),
  '[1]Hoja 1'!$R:$R, "&lt;"&amp;INT($BR$1+1)
)</f>
        <v>0</v>
      </c>
      <c r="BP151" s="1">
        <f t="shared" si="213"/>
        <v>0</v>
      </c>
      <c r="BQ151" s="9">
        <f t="shared" si="214"/>
        <v>0</v>
      </c>
      <c r="BR151" s="10">
        <f t="shared" si="215"/>
        <v>0</v>
      </c>
      <c r="BS151" s="1">
        <f>SUMIFS(
  '[1]Hoja 1'!$M:$M,
  '[1]Hoja 1'!$S:$S, $A151,
  '[1]Hoja 1'!$R:$R, "&gt;="&amp;INT($BU$1),
  '[1]Hoja 1'!$R:$R, "&lt;"&amp;INT($BV$1+1)
)</f>
        <v>0</v>
      </c>
      <c r="BT151" s="1">
        <f t="shared" si="216"/>
        <v>0</v>
      </c>
      <c r="BU151" s="9">
        <f t="shared" si="217"/>
        <v>0</v>
      </c>
      <c r="BV151" s="10">
        <f t="shared" si="218"/>
        <v>0</v>
      </c>
      <c r="BW151" s="1">
        <f>SUMIFS(
  '[1]Hoja 1'!$M:$M,
  '[1]Hoja 1'!$S:$S, $A151,
  '[1]Hoja 1'!$R:$R, "&gt;="&amp;INT($BY$1),
  '[1]Hoja 1'!$R:$R, "&lt;"&amp;INT($BZ$1+1)
)</f>
        <v>0</v>
      </c>
      <c r="BX151" s="1">
        <f t="shared" si="219"/>
        <v>0</v>
      </c>
      <c r="BY151" s="9">
        <f t="shared" si="220"/>
        <v>0</v>
      </c>
      <c r="BZ151" s="10">
        <f t="shared" si="221"/>
        <v>0</v>
      </c>
      <c r="CA151" s="1">
        <f>SUMIFS(
  '[1]Hoja 1'!$M:$M,
  '[1]Hoja 1'!$S:$S, $A151,
  '[1]Hoja 1'!$R:$R, "&gt;="&amp;INT($CC$1),
  '[1]Hoja 1'!$R:$R, "&lt;"&amp;INT($CD$1+1)
)</f>
        <v>0</v>
      </c>
      <c r="CB151" s="1">
        <f t="shared" si="222"/>
        <v>0</v>
      </c>
      <c r="CC151" s="9">
        <f t="shared" si="223"/>
        <v>0</v>
      </c>
      <c r="CD151" s="10">
        <f t="shared" si="224"/>
        <v>0</v>
      </c>
      <c r="CE151" s="1">
        <f>SUMIFS(
  '[1]Hoja 1'!$M:$M,
  '[1]Hoja 1'!$S:$S, $A151,
  '[1]Hoja 1'!$R:$R, "&gt;="&amp;INT($CG$1),
  '[1]Hoja 1'!$R:$R, "&lt;"&amp;INT($CH$1+1)
)</f>
        <v>0</v>
      </c>
      <c r="CF151" s="1">
        <f t="shared" si="225"/>
        <v>0</v>
      </c>
      <c r="CG151" s="9">
        <f t="shared" si="226"/>
        <v>0</v>
      </c>
      <c r="CH151" s="10">
        <f t="shared" si="227"/>
        <v>0</v>
      </c>
      <c r="CI151" s="1">
        <f>SUMIFS(
  '[1]Hoja 1'!$M:$M,
  '[1]Hoja 1'!$S:$S, $A151,
  '[1]Hoja 1'!$R:$R, "&gt;="&amp;INT($CK$1),
  '[1]Hoja 1'!$R:$R, "&lt;"&amp;INT($CL$1+1)
)</f>
        <v>0</v>
      </c>
      <c r="CJ151" s="1">
        <f t="shared" si="228"/>
        <v>0</v>
      </c>
      <c r="CK151" s="9">
        <f t="shared" si="229"/>
        <v>0</v>
      </c>
      <c r="CL151" s="10">
        <f t="shared" si="230"/>
        <v>0</v>
      </c>
      <c r="CM151" s="1">
        <f>SUMIFS(
  '[1]Hoja 1'!$M:$M,
  '[1]Hoja 1'!$S:$S, $A151,
  '[1]Hoja 1'!$R:$R, "&gt;="&amp;INT($CO$1),
  '[1]Hoja 1'!$R:$R, "&lt;"&amp;INT($CP$1+1)
)</f>
        <v>0</v>
      </c>
      <c r="CN151" s="1">
        <f t="shared" si="231"/>
        <v>0</v>
      </c>
      <c r="CO151" s="9">
        <f t="shared" si="232"/>
        <v>0</v>
      </c>
      <c r="CP151" s="10">
        <f t="shared" si="233"/>
        <v>0</v>
      </c>
      <c r="CQ151" s="1">
        <f>SUMIFS(
  '[1]Hoja 1'!$M:$M,
  '[1]Hoja 1'!$S:$S, $A151,
  '[1]Hoja 1'!$R:$R, "&gt;="&amp;INT($CS$1),
  '[1]Hoja 1'!$R:$R, "&lt;"&amp;INT($CT$1+1)
)</f>
        <v>0</v>
      </c>
      <c r="CR151" s="1">
        <f t="shared" si="234"/>
        <v>0</v>
      </c>
      <c r="CS151" s="9">
        <f t="shared" si="235"/>
        <v>0</v>
      </c>
      <c r="CT151" s="10">
        <f t="shared" si="236"/>
        <v>0</v>
      </c>
      <c r="CU151" s="1">
        <f>SUMIFS(
  '[1]Hoja 1'!$M:$M,
  '[1]Hoja 1'!$S:$S, $A151,
  '[1]Hoja 1'!$R:$R, "&gt;="&amp;INT($CW$1),
  '[1]Hoja 1'!$R:$R, "&lt;"&amp;INT($CX$1+1)
)</f>
        <v>0</v>
      </c>
      <c r="CV151" s="1">
        <f t="shared" si="237"/>
        <v>0</v>
      </c>
      <c r="CW151" s="9">
        <f t="shared" si="238"/>
        <v>0</v>
      </c>
      <c r="CX151" s="10">
        <f t="shared" si="239"/>
        <v>0</v>
      </c>
      <c r="CY151" s="1">
        <f>SUMIFS(
  '[1]Hoja 1'!$M:$M,
  '[1]Hoja 1'!$S:$S, $A151,
  '[1]Hoja 1'!$R:$R, "&gt;="&amp;INT($DA$1),
  '[1]Hoja 1'!$R:$R, "&lt;"&amp;INT($DB$1+1)
)</f>
        <v>0</v>
      </c>
      <c r="CZ151" s="1">
        <f t="shared" si="240"/>
        <v>0</v>
      </c>
      <c r="DA151" s="9">
        <f t="shared" si="241"/>
        <v>0</v>
      </c>
      <c r="DB151" s="10">
        <f t="shared" si="242"/>
        <v>0</v>
      </c>
      <c r="DC151" s="1">
        <f>SUMIFS(
  '[1]Hoja 1'!$M:$M,
  '[1]Hoja 1'!$S:$S, $A151,
  '[1]Hoja 1'!$R:$R, "&gt;="&amp;INT($DE$1),
  '[1]Hoja 1'!$R:$R, "&lt;"&amp;INT($DF$1+1)
)</f>
        <v>0</v>
      </c>
      <c r="DD151" s="1">
        <f t="shared" si="243"/>
        <v>0</v>
      </c>
      <c r="DE151" s="9">
        <f t="shared" si="244"/>
        <v>0</v>
      </c>
      <c r="DF151" s="10">
        <f t="shared" si="245"/>
        <v>0</v>
      </c>
      <c r="DG151" s="1">
        <f>SUMIFS(
  '[1]Hoja 1'!$M:$M,
  '[1]Hoja 1'!$S:$S, $A151,
  '[1]Hoja 1'!$R:$R, "&gt;="&amp;INT($DI$1),
  '[1]Hoja 1'!$R:$R, "&lt;"&amp;INT($DJ$1+1)
)</f>
        <v>0</v>
      </c>
      <c r="DH151" s="1">
        <f t="shared" si="246"/>
        <v>0</v>
      </c>
      <c r="DI151" s="9">
        <f t="shared" si="247"/>
        <v>0</v>
      </c>
      <c r="DJ151" s="10">
        <f t="shared" si="248"/>
        <v>0</v>
      </c>
      <c r="DK151" s="1">
        <f>SUMIFS(
  '[1]Hoja 1'!$M:$M,
  '[1]Hoja 1'!$S:$S, $A151,
  '[1]Hoja 1'!$R:$R, "&gt;="&amp;INT($DM$1),
  '[1]Hoja 1'!$R:$R, "&lt;"&amp;INT($DN$1+1)
)</f>
        <v>0</v>
      </c>
      <c r="DL151" s="1">
        <f t="shared" si="249"/>
        <v>0</v>
      </c>
      <c r="DM151" s="9">
        <f t="shared" si="250"/>
        <v>0</v>
      </c>
      <c r="DN151" s="10">
        <f t="shared" si="251"/>
        <v>0</v>
      </c>
      <c r="DO151" s="1">
        <f>SUMIFS(
  '[1]Hoja 1'!$M:$M,
  '[1]Hoja 1'!$S:$S, $A151,
  '[1]Hoja 1'!$R:$R, "&gt;="&amp;INT($DQ$1),
  '[1]Hoja 1'!$R:$R, "&lt;"&amp;INT($DR$1+1)
)</f>
        <v>0</v>
      </c>
      <c r="DP151" s="1">
        <f t="shared" si="252"/>
        <v>0</v>
      </c>
      <c r="DQ151" s="9">
        <f t="shared" si="253"/>
        <v>0</v>
      </c>
      <c r="DR151" s="10">
        <f t="shared" si="254"/>
        <v>0</v>
      </c>
    </row>
    <row r="152" spans="1:122" x14ac:dyDescent="0.25">
      <c r="A152" s="5">
        <v>226022</v>
      </c>
      <c r="B152" s="6" t="s">
        <v>150</v>
      </c>
      <c r="C152" s="1">
        <f>SUMIFS(
  '[1]Hoja 1'!$M:$M,
  '[1]Hoja 1'!$S:$S, $A152,
  '[1]Hoja 1'!$R:$R, "&gt;="&amp;INT($E$1),
  '[1]Hoja 1'!$R:$R, "&lt;"&amp;INT($F$1+1)
)</f>
        <v>1</v>
      </c>
      <c r="D152" s="1" t="str">
        <f>""</f>
        <v/>
      </c>
      <c r="F152" s="2"/>
      <c r="G152" s="1">
        <f>SUMIFS(
  '[1]Hoja 1'!$M:$M,
  '[1]Hoja 1'!$S:$S, $A152,
  '[1]Hoja 1'!$R:$R, "&gt;="&amp;INT($I$1),
  '[1]Hoja 1'!$R:$R, "&lt;"&amp;INT($J$1+1)
)</f>
        <v>5</v>
      </c>
      <c r="H152" s="1">
        <f t="shared" si="170"/>
        <v>3</v>
      </c>
      <c r="I152" s="1"/>
      <c r="J152" s="2"/>
      <c r="K152" s="1">
        <f>SUMIFS(
  '[1]Hoja 1'!$M:$M,
  '[1]Hoja 1'!$S:$S, $A152,
  '[1]Hoja 1'!$R:$R, "&gt;="&amp;INT($M$1),
  '[1]Hoja 1'!$R:$R, "&lt;"&amp;INT($N$1+1)
)</f>
        <v>1</v>
      </c>
      <c r="L152" s="1">
        <f t="shared" si="171"/>
        <v>3</v>
      </c>
      <c r="M152" s="9">
        <f t="shared" si="172"/>
        <v>-2.5437171645025325</v>
      </c>
      <c r="N152" s="10">
        <f t="shared" si="173"/>
        <v>8.5437171645025316</v>
      </c>
      <c r="O152" s="1">
        <f>SUMIFS(
  '[1]Hoja 1'!$M:$M,
  '[1]Hoja 1'!$S:$S, $A152,
  '[1]Hoja 1'!$R:$R, "&gt;="&amp;INT($Q$1),
  '[1]Hoja 1'!$R:$R, "&lt;"&amp;INT($R$1+1)
)</f>
        <v>1</v>
      </c>
      <c r="P152" s="1">
        <f t="shared" si="174"/>
        <v>1</v>
      </c>
      <c r="Q152" s="9">
        <f t="shared" si="175"/>
        <v>-0.91999999999999993</v>
      </c>
      <c r="R152" s="10">
        <f t="shared" si="176"/>
        <v>6.92</v>
      </c>
      <c r="S152" s="1">
        <f>SUMIFS(
  '[1]Hoja 1'!$M:$M,
  '[1]Hoja 1'!$S:$S, $A152,
  '[1]Hoja 1'!$R:$R, "&gt;="&amp;INT($U$1),
  '[1]Hoja 1'!$R:$R, "&lt;"&amp;INT($V$1+1)
)</f>
        <v>2</v>
      </c>
      <c r="T152" s="1">
        <f t="shared" si="177"/>
        <v>2</v>
      </c>
      <c r="U152" s="9">
        <f t="shared" si="178"/>
        <v>-1.2379571749278382</v>
      </c>
      <c r="V152" s="10">
        <f t="shared" si="179"/>
        <v>5.2379571749278382</v>
      </c>
      <c r="W152" s="1">
        <f>SUMIFS(
  '[1]Hoja 1'!$M:$M,
  '[1]Hoja 1'!$S:$S, $A152,
  '[1]Hoja 1'!$R:$R, "&gt;="&amp;INT($Y$1),
  '[1]Hoja 1'!$R:$R, "&lt;"&amp;INT($Z$1+1)
)</f>
        <v>1</v>
      </c>
      <c r="X152" s="1">
        <f t="shared" si="180"/>
        <v>2</v>
      </c>
      <c r="Y152" s="9">
        <f t="shared" si="181"/>
        <v>-0.11704196147990098</v>
      </c>
      <c r="Z152" s="10">
        <f t="shared" si="182"/>
        <v>4.1170419614799005</v>
      </c>
      <c r="AA152" s="1">
        <f>SUMIFS(
  '[1]Hoja 1'!$M:$M,
  '[1]Hoja 1'!$S:$S, $A152,
  '[1]Hoja 1'!$R:$R, "&gt;="&amp;INT($AC$1),
  '[1]Hoja 1'!$R:$R, "&lt;"&amp;INT($AD$1+1)
)</f>
        <v>2</v>
      </c>
      <c r="AB152" s="1">
        <f t="shared" si="183"/>
        <v>2</v>
      </c>
      <c r="AC152" s="9">
        <f t="shared" si="184"/>
        <v>1.1800731739966059</v>
      </c>
      <c r="AD152" s="10">
        <f t="shared" si="185"/>
        <v>2.9382785656012116</v>
      </c>
      <c r="AE152" s="1">
        <f>SUMIFS(
  '[1]Hoja 1'!$M:$M,
  '[1]Hoja 1'!$S:$S, $A152,
  '[1]Hoja 1'!$R:$R, "&gt;="&amp;INT($AG$1),
  '[1]Hoja 1'!$R:$R, "&lt;"&amp;INT($AH$1+1)
)</f>
        <v>0</v>
      </c>
      <c r="AF152" s="1">
        <f t="shared" si="186"/>
        <v>1</v>
      </c>
      <c r="AG152" s="9">
        <f t="shared" si="187"/>
        <v>-0.27776367141971914</v>
      </c>
      <c r="AH152" s="10">
        <f t="shared" si="188"/>
        <v>2.4699999999999998</v>
      </c>
      <c r="AI152" s="1">
        <f>SUMIFS(
  '[1]Hoja 1'!$M:$M,
  '[1]Hoja 1'!$S:$S, $A152,
  '[1]Hoja 1'!$R:$R, "&gt;="&amp;INT($AK$1),
  '[1]Hoja 1'!$R:$R, "&lt;"&amp;INT($AL$1+1)
)</f>
        <v>0</v>
      </c>
      <c r="AJ152" s="1">
        <f t="shared" si="189"/>
        <v>0</v>
      </c>
      <c r="AK152" s="9">
        <f t="shared" si="190"/>
        <v>-1.1173719165971552</v>
      </c>
      <c r="AL152" s="10">
        <f t="shared" si="191"/>
        <v>1.2651745597610895</v>
      </c>
      <c r="AM152" s="1">
        <f>SUMIFS(
  '[1]Hoja 1'!$M:$M,
  '[1]Hoja 1'!$S:$S, $A152,
  '[1]Hoja 1'!$R:$R, "&gt;="&amp;INT($AO$1),
  '[1]Hoja 1'!$R:$R, "&lt;"&amp;INT($AP$1+1)
)</f>
        <v>0</v>
      </c>
      <c r="AN152" s="1">
        <f t="shared" si="192"/>
        <v>0</v>
      </c>
      <c r="AO152" s="9">
        <f t="shared" si="193"/>
        <v>-1.0735362127101256</v>
      </c>
      <c r="AP152" s="10">
        <f t="shared" si="194"/>
        <v>1.2331396244275556</v>
      </c>
      <c r="AQ152" s="1">
        <f>SUMIFS(
  '[1]Hoja 1'!$M:$M,
  '[1]Hoja 1'!$S:$S, $A152,
  '[1]Hoja 1'!$R:$R, "&gt;="&amp;INT($AS$1),
  '[1]Hoja 1'!$R:$R, "&lt;"&amp;INT($AT$1+1)
)</f>
        <v>0</v>
      </c>
      <c r="AR152" s="1">
        <f t="shared" si="195"/>
        <v>0</v>
      </c>
      <c r="AS152" s="9">
        <f t="shared" si="196"/>
        <v>-0.87653864717991747</v>
      </c>
      <c r="AT152" s="10">
        <f t="shared" si="197"/>
        <v>0.98</v>
      </c>
      <c r="AU152" s="1">
        <f>SUMIFS(
  '[1]Hoja 1'!$M:$M,
  '[1]Hoja 1'!$S:$S, $A152,
  '[1]Hoja 1'!$R:$R, "&gt;="&amp;INT($AW$1),
  '[1]Hoja 1'!$R:$R, "&lt;"&amp;INT($AX$1+1)
)</f>
        <v>0</v>
      </c>
      <c r="AV152" s="1">
        <f t="shared" si="198"/>
        <v>0</v>
      </c>
      <c r="AW152" s="9">
        <f t="shared" si="199"/>
        <v>0</v>
      </c>
      <c r="AX152" s="10">
        <f t="shared" si="200"/>
        <v>0</v>
      </c>
      <c r="AY152" s="1">
        <f>SUMIFS(
  '[1]Hoja 1'!$M:$M,
  '[1]Hoja 1'!$S:$S, $A152,
  '[1]Hoja 1'!$R:$R, "&gt;="&amp;INT($BA$1),
  '[1]Hoja 1'!$R:$R, "&lt;"&amp;INT($BB$1+1)
)</f>
        <v>0</v>
      </c>
      <c r="AZ152" s="1">
        <f t="shared" si="201"/>
        <v>0</v>
      </c>
      <c r="BA152" s="9">
        <f t="shared" si="202"/>
        <v>0</v>
      </c>
      <c r="BB152" s="10">
        <f t="shared" si="203"/>
        <v>0</v>
      </c>
      <c r="BC152" s="1">
        <f>SUMIFS(
  '[1]Hoja 1'!$M:$M,
  '[1]Hoja 1'!$S:$S, $A152,
  '[1]Hoja 1'!$R:$R, "&gt;="&amp;INT($BE$1),
  '[1]Hoja 1'!$R:$R, "&lt;"&amp;INT($BF$1+1)
)</f>
        <v>0</v>
      </c>
      <c r="BD152" s="1">
        <f t="shared" si="204"/>
        <v>0</v>
      </c>
      <c r="BE152" s="9">
        <f t="shared" si="205"/>
        <v>0</v>
      </c>
      <c r="BF152" s="10">
        <f t="shared" si="206"/>
        <v>0</v>
      </c>
      <c r="BG152" s="1">
        <f>SUMIFS(
  '[1]Hoja 1'!$M:$M,
  '[1]Hoja 1'!$S:$S, $A152,
  '[1]Hoja 1'!$R:$R, "&gt;="&amp;INT($BI$1),
  '[1]Hoja 1'!$R:$R, "&lt;"&amp;INT($BJ$1+1)
)</f>
        <v>0</v>
      </c>
      <c r="BH152" s="1">
        <f t="shared" si="207"/>
        <v>0</v>
      </c>
      <c r="BI152" s="9">
        <f t="shared" si="208"/>
        <v>0</v>
      </c>
      <c r="BJ152" s="10">
        <f t="shared" si="209"/>
        <v>0</v>
      </c>
      <c r="BK152" s="1">
        <f>SUMIFS(
  '[1]Hoja 1'!$M:$M,
  '[1]Hoja 1'!$S:$S, $A152,
  '[1]Hoja 1'!$R:$R, "&gt;="&amp;INT($BM$1),
  '[1]Hoja 1'!$R:$R, "&lt;"&amp;INT($BN$1+1)
)</f>
        <v>0</v>
      </c>
      <c r="BL152" s="1">
        <f t="shared" si="210"/>
        <v>0</v>
      </c>
      <c r="BM152" s="9">
        <f t="shared" si="211"/>
        <v>0</v>
      </c>
      <c r="BN152" s="10">
        <f t="shared" si="212"/>
        <v>0</v>
      </c>
      <c r="BO152" s="1">
        <f>SUMIFS(
  '[1]Hoja 1'!$M:$M,
  '[1]Hoja 1'!$S:$S, $A152,
  '[1]Hoja 1'!$R:$R, "&gt;="&amp;INT($BQ$1),
  '[1]Hoja 1'!$R:$R, "&lt;"&amp;INT($BR$1+1)
)</f>
        <v>0</v>
      </c>
      <c r="BP152" s="1">
        <f t="shared" si="213"/>
        <v>0</v>
      </c>
      <c r="BQ152" s="9">
        <f t="shared" si="214"/>
        <v>0</v>
      </c>
      <c r="BR152" s="10">
        <f t="shared" si="215"/>
        <v>0</v>
      </c>
      <c r="BS152" s="1">
        <f>SUMIFS(
  '[1]Hoja 1'!$M:$M,
  '[1]Hoja 1'!$S:$S, $A152,
  '[1]Hoja 1'!$R:$R, "&gt;="&amp;INT($BU$1),
  '[1]Hoja 1'!$R:$R, "&lt;"&amp;INT($BV$1+1)
)</f>
        <v>0</v>
      </c>
      <c r="BT152" s="1">
        <f t="shared" si="216"/>
        <v>0</v>
      </c>
      <c r="BU152" s="9">
        <f t="shared" si="217"/>
        <v>0</v>
      </c>
      <c r="BV152" s="10">
        <f t="shared" si="218"/>
        <v>0</v>
      </c>
      <c r="BW152" s="1">
        <f>SUMIFS(
  '[1]Hoja 1'!$M:$M,
  '[1]Hoja 1'!$S:$S, $A152,
  '[1]Hoja 1'!$R:$R, "&gt;="&amp;INT($BY$1),
  '[1]Hoja 1'!$R:$R, "&lt;"&amp;INT($BZ$1+1)
)</f>
        <v>0</v>
      </c>
      <c r="BX152" s="1">
        <f t="shared" si="219"/>
        <v>0</v>
      </c>
      <c r="BY152" s="9">
        <f t="shared" si="220"/>
        <v>0</v>
      </c>
      <c r="BZ152" s="10">
        <f t="shared" si="221"/>
        <v>0</v>
      </c>
      <c r="CA152" s="1">
        <f>SUMIFS(
  '[1]Hoja 1'!$M:$M,
  '[1]Hoja 1'!$S:$S, $A152,
  '[1]Hoja 1'!$R:$R, "&gt;="&amp;INT($CC$1),
  '[1]Hoja 1'!$R:$R, "&lt;"&amp;INT($CD$1+1)
)</f>
        <v>0</v>
      </c>
      <c r="CB152" s="1">
        <f t="shared" si="222"/>
        <v>0</v>
      </c>
      <c r="CC152" s="9">
        <f t="shared" si="223"/>
        <v>0</v>
      </c>
      <c r="CD152" s="10">
        <f t="shared" si="224"/>
        <v>0</v>
      </c>
      <c r="CE152" s="1">
        <f>SUMIFS(
  '[1]Hoja 1'!$M:$M,
  '[1]Hoja 1'!$S:$S, $A152,
  '[1]Hoja 1'!$R:$R, "&gt;="&amp;INT($CG$1),
  '[1]Hoja 1'!$R:$R, "&lt;"&amp;INT($CH$1+1)
)</f>
        <v>0</v>
      </c>
      <c r="CF152" s="1">
        <f t="shared" si="225"/>
        <v>0</v>
      </c>
      <c r="CG152" s="9">
        <f t="shared" si="226"/>
        <v>0</v>
      </c>
      <c r="CH152" s="10">
        <f t="shared" si="227"/>
        <v>0</v>
      </c>
      <c r="CI152" s="1">
        <f>SUMIFS(
  '[1]Hoja 1'!$M:$M,
  '[1]Hoja 1'!$S:$S, $A152,
  '[1]Hoja 1'!$R:$R, "&gt;="&amp;INT($CK$1),
  '[1]Hoja 1'!$R:$R, "&lt;"&amp;INT($CL$1+1)
)</f>
        <v>0</v>
      </c>
      <c r="CJ152" s="1">
        <f t="shared" si="228"/>
        <v>0</v>
      </c>
      <c r="CK152" s="9">
        <f t="shared" si="229"/>
        <v>0</v>
      </c>
      <c r="CL152" s="10">
        <f t="shared" si="230"/>
        <v>0</v>
      </c>
      <c r="CM152" s="1">
        <f>SUMIFS(
  '[1]Hoja 1'!$M:$M,
  '[1]Hoja 1'!$S:$S, $A152,
  '[1]Hoja 1'!$R:$R, "&gt;="&amp;INT($CO$1),
  '[1]Hoja 1'!$R:$R, "&lt;"&amp;INT($CP$1+1)
)</f>
        <v>0</v>
      </c>
      <c r="CN152" s="1">
        <f t="shared" si="231"/>
        <v>0</v>
      </c>
      <c r="CO152" s="9">
        <f t="shared" si="232"/>
        <v>0</v>
      </c>
      <c r="CP152" s="10">
        <f t="shared" si="233"/>
        <v>0</v>
      </c>
      <c r="CQ152" s="1">
        <f>SUMIFS(
  '[1]Hoja 1'!$M:$M,
  '[1]Hoja 1'!$S:$S, $A152,
  '[1]Hoja 1'!$R:$R, "&gt;="&amp;INT($CS$1),
  '[1]Hoja 1'!$R:$R, "&lt;"&amp;INT($CT$1+1)
)</f>
        <v>0</v>
      </c>
      <c r="CR152" s="1">
        <f t="shared" si="234"/>
        <v>0</v>
      </c>
      <c r="CS152" s="9">
        <f t="shared" si="235"/>
        <v>0</v>
      </c>
      <c r="CT152" s="10">
        <f t="shared" si="236"/>
        <v>0</v>
      </c>
      <c r="CU152" s="1">
        <f>SUMIFS(
  '[1]Hoja 1'!$M:$M,
  '[1]Hoja 1'!$S:$S, $A152,
  '[1]Hoja 1'!$R:$R, "&gt;="&amp;INT($CW$1),
  '[1]Hoja 1'!$R:$R, "&lt;"&amp;INT($CX$1+1)
)</f>
        <v>0</v>
      </c>
      <c r="CV152" s="1">
        <f t="shared" si="237"/>
        <v>0</v>
      </c>
      <c r="CW152" s="9">
        <f t="shared" si="238"/>
        <v>0</v>
      </c>
      <c r="CX152" s="10">
        <f t="shared" si="239"/>
        <v>0</v>
      </c>
      <c r="CY152" s="1">
        <f>SUMIFS(
  '[1]Hoja 1'!$M:$M,
  '[1]Hoja 1'!$S:$S, $A152,
  '[1]Hoja 1'!$R:$R, "&gt;="&amp;INT($DA$1),
  '[1]Hoja 1'!$R:$R, "&lt;"&amp;INT($DB$1+1)
)</f>
        <v>0</v>
      </c>
      <c r="CZ152" s="1">
        <f t="shared" si="240"/>
        <v>0</v>
      </c>
      <c r="DA152" s="9">
        <f t="shared" si="241"/>
        <v>0</v>
      </c>
      <c r="DB152" s="10">
        <f t="shared" si="242"/>
        <v>0</v>
      </c>
      <c r="DC152" s="1">
        <f>SUMIFS(
  '[1]Hoja 1'!$M:$M,
  '[1]Hoja 1'!$S:$S, $A152,
  '[1]Hoja 1'!$R:$R, "&gt;="&amp;INT($DE$1),
  '[1]Hoja 1'!$R:$R, "&lt;"&amp;INT($DF$1+1)
)</f>
        <v>0</v>
      </c>
      <c r="DD152" s="1">
        <f t="shared" si="243"/>
        <v>0</v>
      </c>
      <c r="DE152" s="9">
        <f t="shared" si="244"/>
        <v>0</v>
      </c>
      <c r="DF152" s="10">
        <f t="shared" si="245"/>
        <v>0</v>
      </c>
      <c r="DG152" s="1">
        <f>SUMIFS(
  '[1]Hoja 1'!$M:$M,
  '[1]Hoja 1'!$S:$S, $A152,
  '[1]Hoja 1'!$R:$R, "&gt;="&amp;INT($DI$1),
  '[1]Hoja 1'!$R:$R, "&lt;"&amp;INT($DJ$1+1)
)</f>
        <v>0</v>
      </c>
      <c r="DH152" s="1">
        <f t="shared" si="246"/>
        <v>0</v>
      </c>
      <c r="DI152" s="9">
        <f t="shared" si="247"/>
        <v>0</v>
      </c>
      <c r="DJ152" s="10">
        <f t="shared" si="248"/>
        <v>0</v>
      </c>
      <c r="DK152" s="1">
        <f>SUMIFS(
  '[1]Hoja 1'!$M:$M,
  '[1]Hoja 1'!$S:$S, $A152,
  '[1]Hoja 1'!$R:$R, "&gt;="&amp;INT($DM$1),
  '[1]Hoja 1'!$R:$R, "&lt;"&amp;INT($DN$1+1)
)</f>
        <v>0</v>
      </c>
      <c r="DL152" s="1">
        <f t="shared" si="249"/>
        <v>0</v>
      </c>
      <c r="DM152" s="9">
        <f t="shared" si="250"/>
        <v>0</v>
      </c>
      <c r="DN152" s="10">
        <f t="shared" si="251"/>
        <v>0</v>
      </c>
      <c r="DO152" s="1">
        <f>SUMIFS(
  '[1]Hoja 1'!$M:$M,
  '[1]Hoja 1'!$S:$S, $A152,
  '[1]Hoja 1'!$R:$R, "&gt;="&amp;INT($DQ$1),
  '[1]Hoja 1'!$R:$R, "&lt;"&amp;INT($DR$1+1)
)</f>
        <v>0</v>
      </c>
      <c r="DP152" s="1">
        <f t="shared" si="252"/>
        <v>0</v>
      </c>
      <c r="DQ152" s="9">
        <f t="shared" si="253"/>
        <v>0</v>
      </c>
      <c r="DR152" s="10">
        <f t="shared" si="254"/>
        <v>0</v>
      </c>
    </row>
    <row r="153" spans="1:122" x14ac:dyDescent="0.25">
      <c r="A153" s="5">
        <v>226023</v>
      </c>
      <c r="B153" s="6" t="s">
        <v>151</v>
      </c>
      <c r="C153" s="1">
        <f>SUMIFS(
  '[1]Hoja 1'!$M:$M,
  '[1]Hoja 1'!$S:$S, $A153,
  '[1]Hoja 1'!$R:$R, "&gt;="&amp;INT($E$1),
  '[1]Hoja 1'!$R:$R, "&lt;"&amp;INT($F$1+1)
)</f>
        <v>1</v>
      </c>
      <c r="D153" s="1" t="str">
        <f>""</f>
        <v/>
      </c>
      <c r="F153" s="2"/>
      <c r="G153" s="1">
        <f>SUMIFS(
  '[1]Hoja 1'!$M:$M,
  '[1]Hoja 1'!$S:$S, $A153,
  '[1]Hoja 1'!$R:$R, "&gt;="&amp;INT($I$1),
  '[1]Hoja 1'!$R:$R, "&lt;"&amp;INT($J$1+1)
)</f>
        <v>4</v>
      </c>
      <c r="H153" s="1">
        <f t="shared" si="170"/>
        <v>2.5</v>
      </c>
      <c r="I153" s="1"/>
      <c r="J153" s="2"/>
      <c r="K153" s="1">
        <f>SUMIFS(
  '[1]Hoja 1'!$M:$M,
  '[1]Hoja 1'!$S:$S, $A153,
  '[1]Hoja 1'!$R:$R, "&gt;="&amp;INT($M$1),
  '[1]Hoja 1'!$R:$R, "&lt;"&amp;INT($N$1+1)
)</f>
        <v>1</v>
      </c>
      <c r="L153" s="1">
        <f t="shared" si="171"/>
        <v>2.5</v>
      </c>
      <c r="M153" s="9">
        <f t="shared" si="172"/>
        <v>-1.6577878733768987</v>
      </c>
      <c r="N153" s="10">
        <f t="shared" si="173"/>
        <v>6.6577878733768987</v>
      </c>
      <c r="O153" s="1">
        <f>SUMIFS(
  '[1]Hoja 1'!$M:$M,
  '[1]Hoja 1'!$S:$S, $A153,
  '[1]Hoja 1'!$R:$R, "&gt;="&amp;INT($Q$1),
  '[1]Hoja 1'!$R:$R, "&lt;"&amp;INT($R$1+1)
)</f>
        <v>0</v>
      </c>
      <c r="P153" s="1">
        <f t="shared" si="174"/>
        <v>0.5</v>
      </c>
      <c r="Q153" s="9">
        <f t="shared" si="175"/>
        <v>-0.49394945403781554</v>
      </c>
      <c r="R153" s="10">
        <f t="shared" si="176"/>
        <v>5.493949454037816</v>
      </c>
      <c r="S153" s="1">
        <f>SUMIFS(
  '[1]Hoja 1'!$M:$M,
  '[1]Hoja 1'!$S:$S, $A153,
  '[1]Hoja 1'!$R:$R, "&gt;="&amp;INT($U$1),
  '[1]Hoja 1'!$R:$R, "&lt;"&amp;INT($V$1+1)
)</f>
        <v>1</v>
      </c>
      <c r="T153" s="1">
        <f t="shared" si="177"/>
        <v>1</v>
      </c>
      <c r="U153" s="9">
        <f t="shared" si="178"/>
        <v>-1.530349119522179</v>
      </c>
      <c r="V153" s="10">
        <f t="shared" si="179"/>
        <v>3.530349119522179</v>
      </c>
      <c r="W153" s="1">
        <f>SUMIFS(
  '[1]Hoja 1'!$M:$M,
  '[1]Hoja 1'!$S:$S, $A153,
  '[1]Hoja 1'!$R:$R, "&gt;="&amp;INT($Y$1),
  '[1]Hoja 1'!$R:$R, "&lt;"&amp;INT($Z$1+1)
)</f>
        <v>2</v>
      </c>
      <c r="X153" s="1">
        <f t="shared" si="180"/>
        <v>2</v>
      </c>
      <c r="Y153" s="9">
        <f t="shared" si="181"/>
        <v>0.12344286879757727</v>
      </c>
      <c r="Z153" s="10">
        <f t="shared" si="182"/>
        <v>3.8765571312024227</v>
      </c>
      <c r="AA153" s="1">
        <f>SUMIFS(
  '[1]Hoja 1'!$M:$M,
  '[1]Hoja 1'!$S:$S, $A153,
  '[1]Hoja 1'!$R:$R, "&gt;="&amp;INT($AC$1),
  '[1]Hoja 1'!$R:$R, "&lt;"&amp;INT($AD$1+1)
)</f>
        <v>1</v>
      </c>
      <c r="AB153" s="1">
        <f t="shared" si="183"/>
        <v>2</v>
      </c>
      <c r="AC153" s="9">
        <f t="shared" si="184"/>
        <v>1.02</v>
      </c>
      <c r="AD153" s="10">
        <f t="shared" si="185"/>
        <v>3.1316065276116665</v>
      </c>
      <c r="AE153" s="1">
        <f>SUMIFS(
  '[1]Hoja 1'!$M:$M,
  '[1]Hoja 1'!$S:$S, $A153,
  '[1]Hoja 1'!$R:$R, "&gt;="&amp;INT($AG$1),
  '[1]Hoja 1'!$R:$R, "&lt;"&amp;INT($AH$1+1)
)</f>
        <v>0</v>
      </c>
      <c r="AF153" s="1">
        <f t="shared" si="186"/>
        <v>1</v>
      </c>
      <c r="AG153" s="9">
        <f t="shared" si="187"/>
        <v>2.0000000000000018E-2</v>
      </c>
      <c r="AH153" s="10">
        <f t="shared" si="188"/>
        <v>2.1316065276116665</v>
      </c>
      <c r="AI153" s="1">
        <f>SUMIFS(
  '[1]Hoja 1'!$M:$M,
  '[1]Hoja 1'!$S:$S, $A153,
  '[1]Hoja 1'!$R:$R, "&gt;="&amp;INT($AK$1),
  '[1]Hoja 1'!$R:$R, "&lt;"&amp;INT($AL$1+1)
)</f>
        <v>0</v>
      </c>
      <c r="AJ153" s="1">
        <f t="shared" si="189"/>
        <v>0</v>
      </c>
      <c r="AK153" s="9">
        <f t="shared" si="190"/>
        <v>-0.81992682600339406</v>
      </c>
      <c r="AL153" s="10">
        <f t="shared" si="191"/>
        <v>0.93827856560121137</v>
      </c>
      <c r="AM153" s="1">
        <f>SUMIFS(
  '[1]Hoja 1'!$M:$M,
  '[1]Hoja 1'!$S:$S, $A153,
  '[1]Hoja 1'!$R:$R, "&gt;="&amp;INT($AO$1),
  '[1]Hoja 1'!$R:$R, "&lt;"&amp;INT($AP$1+1)
)</f>
        <v>0</v>
      </c>
      <c r="AN153" s="1">
        <f t="shared" si="192"/>
        <v>0</v>
      </c>
      <c r="AO153" s="9">
        <f t="shared" si="193"/>
        <v>-0.53676810635506278</v>
      </c>
      <c r="AP153" s="10">
        <f t="shared" si="194"/>
        <v>0.56580326380583323</v>
      </c>
      <c r="AQ153" s="1">
        <f>SUMIFS(
  '[1]Hoja 1'!$M:$M,
  '[1]Hoja 1'!$S:$S, $A153,
  '[1]Hoja 1'!$R:$R, "&gt;="&amp;INT($AS$1),
  '[1]Hoja 1'!$R:$R, "&lt;"&amp;INT($AT$1+1)
)</f>
        <v>0</v>
      </c>
      <c r="AR153" s="1">
        <f t="shared" si="195"/>
        <v>0</v>
      </c>
      <c r="AS153" s="9">
        <f t="shared" si="196"/>
        <v>-0.43826932358995874</v>
      </c>
      <c r="AT153" s="10">
        <f t="shared" si="197"/>
        <v>0.49</v>
      </c>
      <c r="AU153" s="1">
        <f>SUMIFS(
  '[1]Hoja 1'!$M:$M,
  '[1]Hoja 1'!$S:$S, $A153,
  '[1]Hoja 1'!$R:$R, "&gt;="&amp;INT($AW$1),
  '[1]Hoja 1'!$R:$R, "&lt;"&amp;INT($AX$1+1)
)</f>
        <v>0</v>
      </c>
      <c r="AV153" s="1">
        <f t="shared" si="198"/>
        <v>0</v>
      </c>
      <c r="AW153" s="9">
        <f t="shared" si="199"/>
        <v>0</v>
      </c>
      <c r="AX153" s="10">
        <f t="shared" si="200"/>
        <v>0</v>
      </c>
      <c r="AY153" s="1">
        <f>SUMIFS(
  '[1]Hoja 1'!$M:$M,
  '[1]Hoja 1'!$S:$S, $A153,
  '[1]Hoja 1'!$R:$R, "&gt;="&amp;INT($BA$1),
  '[1]Hoja 1'!$R:$R, "&lt;"&amp;INT($BB$1+1)
)</f>
        <v>0</v>
      </c>
      <c r="AZ153" s="1">
        <f t="shared" si="201"/>
        <v>0</v>
      </c>
      <c r="BA153" s="9">
        <f t="shared" si="202"/>
        <v>0</v>
      </c>
      <c r="BB153" s="10">
        <f t="shared" si="203"/>
        <v>0</v>
      </c>
      <c r="BC153" s="1">
        <f>SUMIFS(
  '[1]Hoja 1'!$M:$M,
  '[1]Hoja 1'!$S:$S, $A153,
  '[1]Hoja 1'!$R:$R, "&gt;="&amp;INT($BE$1),
  '[1]Hoja 1'!$R:$R, "&lt;"&amp;INT($BF$1+1)
)</f>
        <v>0</v>
      </c>
      <c r="BD153" s="1">
        <f t="shared" si="204"/>
        <v>0</v>
      </c>
      <c r="BE153" s="9">
        <f t="shared" si="205"/>
        <v>0</v>
      </c>
      <c r="BF153" s="10">
        <f t="shared" si="206"/>
        <v>0</v>
      </c>
      <c r="BG153" s="1">
        <f>SUMIFS(
  '[1]Hoja 1'!$M:$M,
  '[1]Hoja 1'!$S:$S, $A153,
  '[1]Hoja 1'!$R:$R, "&gt;="&amp;INT($BI$1),
  '[1]Hoja 1'!$R:$R, "&lt;"&amp;INT($BJ$1+1)
)</f>
        <v>0</v>
      </c>
      <c r="BH153" s="1">
        <f t="shared" si="207"/>
        <v>0</v>
      </c>
      <c r="BI153" s="9">
        <f t="shared" si="208"/>
        <v>0</v>
      </c>
      <c r="BJ153" s="10">
        <f t="shared" si="209"/>
        <v>0</v>
      </c>
      <c r="BK153" s="1">
        <f>SUMIFS(
  '[1]Hoja 1'!$M:$M,
  '[1]Hoja 1'!$S:$S, $A153,
  '[1]Hoja 1'!$R:$R, "&gt;="&amp;INT($BM$1),
  '[1]Hoja 1'!$R:$R, "&lt;"&amp;INT($BN$1+1)
)</f>
        <v>0</v>
      </c>
      <c r="BL153" s="1">
        <f t="shared" si="210"/>
        <v>0</v>
      </c>
      <c r="BM153" s="9">
        <f t="shared" si="211"/>
        <v>0</v>
      </c>
      <c r="BN153" s="10">
        <f t="shared" si="212"/>
        <v>0</v>
      </c>
      <c r="BO153" s="1">
        <f>SUMIFS(
  '[1]Hoja 1'!$M:$M,
  '[1]Hoja 1'!$S:$S, $A153,
  '[1]Hoja 1'!$R:$R, "&gt;="&amp;INT($BQ$1),
  '[1]Hoja 1'!$R:$R, "&lt;"&amp;INT($BR$1+1)
)</f>
        <v>0</v>
      </c>
      <c r="BP153" s="1">
        <f t="shared" si="213"/>
        <v>0</v>
      </c>
      <c r="BQ153" s="9">
        <f t="shared" si="214"/>
        <v>0</v>
      </c>
      <c r="BR153" s="10">
        <f t="shared" si="215"/>
        <v>0</v>
      </c>
      <c r="BS153" s="1">
        <f>SUMIFS(
  '[1]Hoja 1'!$M:$M,
  '[1]Hoja 1'!$S:$S, $A153,
  '[1]Hoja 1'!$R:$R, "&gt;="&amp;INT($BU$1),
  '[1]Hoja 1'!$R:$R, "&lt;"&amp;INT($BV$1+1)
)</f>
        <v>0</v>
      </c>
      <c r="BT153" s="1">
        <f t="shared" si="216"/>
        <v>0</v>
      </c>
      <c r="BU153" s="9">
        <f t="shared" si="217"/>
        <v>0</v>
      </c>
      <c r="BV153" s="10">
        <f t="shared" si="218"/>
        <v>0</v>
      </c>
      <c r="BW153" s="1">
        <f>SUMIFS(
  '[1]Hoja 1'!$M:$M,
  '[1]Hoja 1'!$S:$S, $A153,
  '[1]Hoja 1'!$R:$R, "&gt;="&amp;INT($BY$1),
  '[1]Hoja 1'!$R:$R, "&lt;"&amp;INT($BZ$1+1)
)</f>
        <v>0</v>
      </c>
      <c r="BX153" s="1">
        <f t="shared" si="219"/>
        <v>0</v>
      </c>
      <c r="BY153" s="9">
        <f t="shared" si="220"/>
        <v>0</v>
      </c>
      <c r="BZ153" s="10">
        <f t="shared" si="221"/>
        <v>0</v>
      </c>
      <c r="CA153" s="1">
        <f>SUMIFS(
  '[1]Hoja 1'!$M:$M,
  '[1]Hoja 1'!$S:$S, $A153,
  '[1]Hoja 1'!$R:$R, "&gt;="&amp;INT($CC$1),
  '[1]Hoja 1'!$R:$R, "&lt;"&amp;INT($CD$1+1)
)</f>
        <v>0</v>
      </c>
      <c r="CB153" s="1">
        <f t="shared" si="222"/>
        <v>0</v>
      </c>
      <c r="CC153" s="9">
        <f t="shared" si="223"/>
        <v>0</v>
      </c>
      <c r="CD153" s="10">
        <f t="shared" si="224"/>
        <v>0</v>
      </c>
      <c r="CE153" s="1">
        <f>SUMIFS(
  '[1]Hoja 1'!$M:$M,
  '[1]Hoja 1'!$S:$S, $A153,
  '[1]Hoja 1'!$R:$R, "&gt;="&amp;INT($CG$1),
  '[1]Hoja 1'!$R:$R, "&lt;"&amp;INT($CH$1+1)
)</f>
        <v>0</v>
      </c>
      <c r="CF153" s="1">
        <f t="shared" si="225"/>
        <v>0</v>
      </c>
      <c r="CG153" s="9">
        <f t="shared" si="226"/>
        <v>0</v>
      </c>
      <c r="CH153" s="10">
        <f t="shared" si="227"/>
        <v>0</v>
      </c>
      <c r="CI153" s="1">
        <f>SUMIFS(
  '[1]Hoja 1'!$M:$M,
  '[1]Hoja 1'!$S:$S, $A153,
  '[1]Hoja 1'!$R:$R, "&gt;="&amp;INT($CK$1),
  '[1]Hoja 1'!$R:$R, "&lt;"&amp;INT($CL$1+1)
)</f>
        <v>0</v>
      </c>
      <c r="CJ153" s="1">
        <f t="shared" si="228"/>
        <v>0</v>
      </c>
      <c r="CK153" s="9">
        <f t="shared" si="229"/>
        <v>0</v>
      </c>
      <c r="CL153" s="10">
        <f t="shared" si="230"/>
        <v>0</v>
      </c>
      <c r="CM153" s="1">
        <f>SUMIFS(
  '[1]Hoja 1'!$M:$M,
  '[1]Hoja 1'!$S:$S, $A153,
  '[1]Hoja 1'!$R:$R, "&gt;="&amp;INT($CO$1),
  '[1]Hoja 1'!$R:$R, "&lt;"&amp;INT($CP$1+1)
)</f>
        <v>0</v>
      </c>
      <c r="CN153" s="1">
        <f t="shared" si="231"/>
        <v>0</v>
      </c>
      <c r="CO153" s="9">
        <f t="shared" si="232"/>
        <v>0</v>
      </c>
      <c r="CP153" s="10">
        <f t="shared" si="233"/>
        <v>0</v>
      </c>
      <c r="CQ153" s="1">
        <f>SUMIFS(
  '[1]Hoja 1'!$M:$M,
  '[1]Hoja 1'!$S:$S, $A153,
  '[1]Hoja 1'!$R:$R, "&gt;="&amp;INT($CS$1),
  '[1]Hoja 1'!$R:$R, "&lt;"&amp;INT($CT$1+1)
)</f>
        <v>0</v>
      </c>
      <c r="CR153" s="1">
        <f t="shared" si="234"/>
        <v>0</v>
      </c>
      <c r="CS153" s="9">
        <f t="shared" si="235"/>
        <v>0</v>
      </c>
      <c r="CT153" s="10">
        <f t="shared" si="236"/>
        <v>0</v>
      </c>
      <c r="CU153" s="1">
        <f>SUMIFS(
  '[1]Hoja 1'!$M:$M,
  '[1]Hoja 1'!$S:$S, $A153,
  '[1]Hoja 1'!$R:$R, "&gt;="&amp;INT($CW$1),
  '[1]Hoja 1'!$R:$R, "&lt;"&amp;INT($CX$1+1)
)</f>
        <v>0</v>
      </c>
      <c r="CV153" s="1">
        <f t="shared" si="237"/>
        <v>0</v>
      </c>
      <c r="CW153" s="9">
        <f t="shared" si="238"/>
        <v>0</v>
      </c>
      <c r="CX153" s="10">
        <f t="shared" si="239"/>
        <v>0</v>
      </c>
      <c r="CY153" s="1">
        <f>SUMIFS(
  '[1]Hoja 1'!$M:$M,
  '[1]Hoja 1'!$S:$S, $A153,
  '[1]Hoja 1'!$R:$R, "&gt;="&amp;INT($DA$1),
  '[1]Hoja 1'!$R:$R, "&lt;"&amp;INT($DB$1+1)
)</f>
        <v>0</v>
      </c>
      <c r="CZ153" s="1">
        <f t="shared" si="240"/>
        <v>0</v>
      </c>
      <c r="DA153" s="9">
        <f t="shared" si="241"/>
        <v>0</v>
      </c>
      <c r="DB153" s="10">
        <f t="shared" si="242"/>
        <v>0</v>
      </c>
      <c r="DC153" s="1">
        <f>SUMIFS(
  '[1]Hoja 1'!$M:$M,
  '[1]Hoja 1'!$S:$S, $A153,
  '[1]Hoja 1'!$R:$R, "&gt;="&amp;INT($DE$1),
  '[1]Hoja 1'!$R:$R, "&lt;"&amp;INT($DF$1+1)
)</f>
        <v>0</v>
      </c>
      <c r="DD153" s="1">
        <f t="shared" si="243"/>
        <v>0</v>
      </c>
      <c r="DE153" s="9">
        <f t="shared" si="244"/>
        <v>0</v>
      </c>
      <c r="DF153" s="10">
        <f t="shared" si="245"/>
        <v>0</v>
      </c>
      <c r="DG153" s="1">
        <f>SUMIFS(
  '[1]Hoja 1'!$M:$M,
  '[1]Hoja 1'!$S:$S, $A153,
  '[1]Hoja 1'!$R:$R, "&gt;="&amp;INT($DI$1),
  '[1]Hoja 1'!$R:$R, "&lt;"&amp;INT($DJ$1+1)
)</f>
        <v>0</v>
      </c>
      <c r="DH153" s="1">
        <f t="shared" si="246"/>
        <v>0</v>
      </c>
      <c r="DI153" s="9">
        <f t="shared" si="247"/>
        <v>0</v>
      </c>
      <c r="DJ153" s="10">
        <f t="shared" si="248"/>
        <v>0</v>
      </c>
      <c r="DK153" s="1">
        <f>SUMIFS(
  '[1]Hoja 1'!$M:$M,
  '[1]Hoja 1'!$S:$S, $A153,
  '[1]Hoja 1'!$R:$R, "&gt;="&amp;INT($DM$1),
  '[1]Hoja 1'!$R:$R, "&lt;"&amp;INT($DN$1+1)
)</f>
        <v>0</v>
      </c>
      <c r="DL153" s="1">
        <f t="shared" si="249"/>
        <v>0</v>
      </c>
      <c r="DM153" s="9">
        <f t="shared" si="250"/>
        <v>0</v>
      </c>
      <c r="DN153" s="10">
        <f t="shared" si="251"/>
        <v>0</v>
      </c>
      <c r="DO153" s="1">
        <f>SUMIFS(
  '[1]Hoja 1'!$M:$M,
  '[1]Hoja 1'!$S:$S, $A153,
  '[1]Hoja 1'!$R:$R, "&gt;="&amp;INT($DQ$1),
  '[1]Hoja 1'!$R:$R, "&lt;"&amp;INT($DR$1+1)
)</f>
        <v>0</v>
      </c>
      <c r="DP153" s="1">
        <f t="shared" si="252"/>
        <v>0</v>
      </c>
      <c r="DQ153" s="9">
        <f t="shared" si="253"/>
        <v>0</v>
      </c>
      <c r="DR153" s="10">
        <f t="shared" si="254"/>
        <v>0</v>
      </c>
    </row>
    <row r="154" spans="1:122" x14ac:dyDescent="0.25">
      <c r="A154" s="5">
        <v>226024</v>
      </c>
      <c r="B154" s="6" t="s">
        <v>152</v>
      </c>
      <c r="C154" s="1">
        <f>SUMIFS(
  '[1]Hoja 1'!$M:$M,
  '[1]Hoja 1'!$S:$S, $A154,
  '[1]Hoja 1'!$R:$R, "&gt;="&amp;INT($E$1),
  '[1]Hoja 1'!$R:$R, "&lt;"&amp;INT($F$1+1)
)</f>
        <v>2</v>
      </c>
      <c r="D154" s="1" t="str">
        <f>""</f>
        <v/>
      </c>
      <c r="F154" s="2"/>
      <c r="G154" s="1">
        <f>SUMIFS(
  '[1]Hoja 1'!$M:$M,
  '[1]Hoja 1'!$S:$S, $A154,
  '[1]Hoja 1'!$R:$R, "&gt;="&amp;INT($I$1),
  '[1]Hoja 1'!$R:$R, "&lt;"&amp;INT($J$1+1)
)</f>
        <v>2</v>
      </c>
      <c r="H154" s="1">
        <f t="shared" si="170"/>
        <v>2</v>
      </c>
      <c r="I154" s="1"/>
      <c r="J154" s="2"/>
      <c r="K154" s="1">
        <f>SUMIFS(
  '[1]Hoja 1'!$M:$M,
  '[1]Hoja 1'!$S:$S, $A154,
  '[1]Hoja 1'!$R:$R, "&gt;="&amp;INT($M$1),
  '[1]Hoja 1'!$R:$R, "&lt;"&amp;INT($N$1+1)
)</f>
        <v>1</v>
      </c>
      <c r="L154" s="1">
        <f t="shared" si="171"/>
        <v>1.5</v>
      </c>
      <c r="M154" s="9">
        <f t="shared" si="172"/>
        <v>0.80703535443718344</v>
      </c>
      <c r="N154" s="10">
        <f t="shared" si="173"/>
        <v>2.1929646455628165</v>
      </c>
      <c r="O154" s="1">
        <f>SUMIFS(
  '[1]Hoja 1'!$M:$M,
  '[1]Hoja 1'!$S:$S, $A154,
  '[1]Hoja 1'!$R:$R, "&gt;="&amp;INT($Q$1),
  '[1]Hoja 1'!$R:$R, "&lt;"&amp;INT($R$1+1)
)</f>
        <v>2</v>
      </c>
      <c r="P154" s="1">
        <f t="shared" si="174"/>
        <v>1.5</v>
      </c>
      <c r="Q154" s="9">
        <f t="shared" si="175"/>
        <v>0.52</v>
      </c>
      <c r="R154" s="10">
        <f t="shared" si="176"/>
        <v>2.48</v>
      </c>
      <c r="S154" s="1">
        <f>SUMIFS(
  '[1]Hoja 1'!$M:$M,
  '[1]Hoja 1'!$S:$S, $A154,
  '[1]Hoja 1'!$R:$R, "&gt;="&amp;INT($U$1),
  '[1]Hoja 1'!$R:$R, "&lt;"&amp;INT($V$1+1)
)</f>
        <v>0</v>
      </c>
      <c r="T154" s="1">
        <f t="shared" si="177"/>
        <v>1</v>
      </c>
      <c r="U154" s="9">
        <f t="shared" si="178"/>
        <v>-0.2651745597610895</v>
      </c>
      <c r="V154" s="10">
        <f t="shared" si="179"/>
        <v>2.2651745597610895</v>
      </c>
      <c r="W154" s="1">
        <f>SUMIFS(
  '[1]Hoja 1'!$M:$M,
  '[1]Hoja 1'!$S:$S, $A154,
  '[1]Hoja 1'!$R:$R, "&gt;="&amp;INT($Y$1),
  '[1]Hoja 1'!$R:$R, "&lt;"&amp;INT($Z$1+1)
)</f>
        <v>2</v>
      </c>
      <c r="X154" s="1">
        <f t="shared" si="180"/>
        <v>1</v>
      </c>
      <c r="Y154" s="9">
        <f t="shared" si="181"/>
        <v>-0.7892270211835426</v>
      </c>
      <c r="Z154" s="10">
        <f t="shared" si="182"/>
        <v>2.7892270211835424</v>
      </c>
      <c r="AA154" s="1">
        <f>SUMIFS(
  '[1]Hoja 1'!$M:$M,
  '[1]Hoja 1'!$S:$S, $A154,
  '[1]Hoja 1'!$R:$R, "&gt;="&amp;INT($AC$1),
  '[1]Hoja 1'!$R:$R, "&lt;"&amp;INT($AD$1+1)
)</f>
        <v>0</v>
      </c>
      <c r="AB154" s="1">
        <f t="shared" si="183"/>
        <v>1</v>
      </c>
      <c r="AC154" s="9">
        <f t="shared" si="184"/>
        <v>-0.75307729435983495</v>
      </c>
      <c r="AD154" s="10">
        <f t="shared" si="185"/>
        <v>3.0203217565526534</v>
      </c>
      <c r="AE154" s="1">
        <f>SUMIFS(
  '[1]Hoja 1'!$M:$M,
  '[1]Hoja 1'!$S:$S, $A154,
  '[1]Hoja 1'!$R:$R, "&gt;="&amp;INT($AG$1),
  '[1]Hoja 1'!$R:$R, "&lt;"&amp;INT($AH$1+1)
)</f>
        <v>0</v>
      </c>
      <c r="AF154" s="1">
        <f t="shared" si="186"/>
        <v>0</v>
      </c>
      <c r="AG154" s="9">
        <f t="shared" si="187"/>
        <v>-1.6398536520067881</v>
      </c>
      <c r="AH154" s="10">
        <f t="shared" si="188"/>
        <v>1.8765571312024227</v>
      </c>
      <c r="AI154" s="1">
        <f>SUMIFS(
  '[1]Hoja 1'!$M:$M,
  '[1]Hoja 1'!$S:$S, $A154,
  '[1]Hoja 1'!$R:$R, "&gt;="&amp;INT($AK$1),
  '[1]Hoja 1'!$R:$R, "&lt;"&amp;INT($AL$1+1)
)</f>
        <v>0</v>
      </c>
      <c r="AJ154" s="1">
        <f t="shared" si="189"/>
        <v>0</v>
      </c>
      <c r="AK154" s="9">
        <f t="shared" si="190"/>
        <v>-1.3859292911256331</v>
      </c>
      <c r="AL154" s="10">
        <f t="shared" si="191"/>
        <v>1.6003332986183429</v>
      </c>
      <c r="AM154" s="1">
        <f>SUMIFS(
  '[1]Hoja 1'!$M:$M,
  '[1]Hoja 1'!$S:$S, $A154,
  '[1]Hoja 1'!$R:$R, "&gt;="&amp;INT($AO$1),
  '[1]Hoja 1'!$R:$R, "&lt;"&amp;INT($AP$1+1)
)</f>
        <v>0</v>
      </c>
      <c r="AN154" s="1">
        <f t="shared" si="192"/>
        <v>0</v>
      </c>
      <c r="AO154" s="9">
        <f t="shared" si="193"/>
        <v>-0.87653864717991747</v>
      </c>
      <c r="AP154" s="10">
        <f t="shared" si="194"/>
        <v>0.98</v>
      </c>
      <c r="AQ154" s="1">
        <f>SUMIFS(
  '[1]Hoja 1'!$M:$M,
  '[1]Hoja 1'!$S:$S, $A154,
  '[1]Hoja 1'!$R:$R, "&gt;="&amp;INT($AS$1),
  '[1]Hoja 1'!$R:$R, "&lt;"&amp;INT($AT$1+1)
)</f>
        <v>0</v>
      </c>
      <c r="AR154" s="1">
        <f t="shared" si="195"/>
        <v>0</v>
      </c>
      <c r="AS154" s="9">
        <f t="shared" si="196"/>
        <v>0</v>
      </c>
      <c r="AT154" s="10">
        <f t="shared" si="197"/>
        <v>0</v>
      </c>
      <c r="AU154" s="1">
        <f>SUMIFS(
  '[1]Hoja 1'!$M:$M,
  '[1]Hoja 1'!$S:$S, $A154,
  '[1]Hoja 1'!$R:$R, "&gt;="&amp;INT($AW$1),
  '[1]Hoja 1'!$R:$R, "&lt;"&amp;INT($AX$1+1)
)</f>
        <v>0</v>
      </c>
      <c r="AV154" s="1">
        <f t="shared" si="198"/>
        <v>0</v>
      </c>
      <c r="AW154" s="9">
        <f t="shared" si="199"/>
        <v>0</v>
      </c>
      <c r="AX154" s="10">
        <f t="shared" si="200"/>
        <v>0</v>
      </c>
      <c r="AY154" s="1">
        <f>SUMIFS(
  '[1]Hoja 1'!$M:$M,
  '[1]Hoja 1'!$S:$S, $A154,
  '[1]Hoja 1'!$R:$R, "&gt;="&amp;INT($BA$1),
  '[1]Hoja 1'!$R:$R, "&lt;"&amp;INT($BB$1+1)
)</f>
        <v>0</v>
      </c>
      <c r="AZ154" s="1">
        <f t="shared" si="201"/>
        <v>0</v>
      </c>
      <c r="BA154" s="9">
        <f t="shared" si="202"/>
        <v>0</v>
      </c>
      <c r="BB154" s="10">
        <f t="shared" si="203"/>
        <v>0</v>
      </c>
      <c r="BC154" s="1">
        <f>SUMIFS(
  '[1]Hoja 1'!$M:$M,
  '[1]Hoja 1'!$S:$S, $A154,
  '[1]Hoja 1'!$R:$R, "&gt;="&amp;INT($BE$1),
  '[1]Hoja 1'!$R:$R, "&lt;"&amp;INT($BF$1+1)
)</f>
        <v>0</v>
      </c>
      <c r="BD154" s="1">
        <f t="shared" si="204"/>
        <v>0</v>
      </c>
      <c r="BE154" s="9">
        <f t="shared" si="205"/>
        <v>0</v>
      </c>
      <c r="BF154" s="10">
        <f t="shared" si="206"/>
        <v>0</v>
      </c>
      <c r="BG154" s="1">
        <f>SUMIFS(
  '[1]Hoja 1'!$M:$M,
  '[1]Hoja 1'!$S:$S, $A154,
  '[1]Hoja 1'!$R:$R, "&gt;="&amp;INT($BI$1),
  '[1]Hoja 1'!$R:$R, "&lt;"&amp;INT($BJ$1+1)
)</f>
        <v>0</v>
      </c>
      <c r="BH154" s="1">
        <f t="shared" si="207"/>
        <v>0</v>
      </c>
      <c r="BI154" s="9">
        <f t="shared" si="208"/>
        <v>0</v>
      </c>
      <c r="BJ154" s="10">
        <f t="shared" si="209"/>
        <v>0</v>
      </c>
      <c r="BK154" s="1">
        <f>SUMIFS(
  '[1]Hoja 1'!$M:$M,
  '[1]Hoja 1'!$S:$S, $A154,
  '[1]Hoja 1'!$R:$R, "&gt;="&amp;INT($BM$1),
  '[1]Hoja 1'!$R:$R, "&lt;"&amp;INT($BN$1+1)
)</f>
        <v>0</v>
      </c>
      <c r="BL154" s="1">
        <f t="shared" si="210"/>
        <v>0</v>
      </c>
      <c r="BM154" s="9">
        <f t="shared" si="211"/>
        <v>0</v>
      </c>
      <c r="BN154" s="10">
        <f t="shared" si="212"/>
        <v>0</v>
      </c>
      <c r="BO154" s="1">
        <f>SUMIFS(
  '[1]Hoja 1'!$M:$M,
  '[1]Hoja 1'!$S:$S, $A154,
  '[1]Hoja 1'!$R:$R, "&gt;="&amp;INT($BQ$1),
  '[1]Hoja 1'!$R:$R, "&lt;"&amp;INT($BR$1+1)
)</f>
        <v>0</v>
      </c>
      <c r="BP154" s="1">
        <f t="shared" si="213"/>
        <v>0</v>
      </c>
      <c r="BQ154" s="9">
        <f t="shared" si="214"/>
        <v>0</v>
      </c>
      <c r="BR154" s="10">
        <f t="shared" si="215"/>
        <v>0</v>
      </c>
      <c r="BS154" s="1">
        <f>SUMIFS(
  '[1]Hoja 1'!$M:$M,
  '[1]Hoja 1'!$S:$S, $A154,
  '[1]Hoja 1'!$R:$R, "&gt;="&amp;INT($BU$1),
  '[1]Hoja 1'!$R:$R, "&lt;"&amp;INT($BV$1+1)
)</f>
        <v>0</v>
      </c>
      <c r="BT154" s="1">
        <f t="shared" si="216"/>
        <v>0</v>
      </c>
      <c r="BU154" s="9">
        <f t="shared" si="217"/>
        <v>0</v>
      </c>
      <c r="BV154" s="10">
        <f t="shared" si="218"/>
        <v>0</v>
      </c>
      <c r="BW154" s="1">
        <f>SUMIFS(
  '[1]Hoja 1'!$M:$M,
  '[1]Hoja 1'!$S:$S, $A154,
  '[1]Hoja 1'!$R:$R, "&gt;="&amp;INT($BY$1),
  '[1]Hoja 1'!$R:$R, "&lt;"&amp;INT($BZ$1+1)
)</f>
        <v>0</v>
      </c>
      <c r="BX154" s="1">
        <f t="shared" si="219"/>
        <v>0</v>
      </c>
      <c r="BY154" s="9">
        <f t="shared" si="220"/>
        <v>0</v>
      </c>
      <c r="BZ154" s="10">
        <f t="shared" si="221"/>
        <v>0</v>
      </c>
      <c r="CA154" s="1">
        <f>SUMIFS(
  '[1]Hoja 1'!$M:$M,
  '[1]Hoja 1'!$S:$S, $A154,
  '[1]Hoja 1'!$R:$R, "&gt;="&amp;INT($CC$1),
  '[1]Hoja 1'!$R:$R, "&lt;"&amp;INT($CD$1+1)
)</f>
        <v>0</v>
      </c>
      <c r="CB154" s="1">
        <f t="shared" si="222"/>
        <v>0</v>
      </c>
      <c r="CC154" s="9">
        <f t="shared" si="223"/>
        <v>0</v>
      </c>
      <c r="CD154" s="10">
        <f t="shared" si="224"/>
        <v>0</v>
      </c>
      <c r="CE154" s="1">
        <f>SUMIFS(
  '[1]Hoja 1'!$M:$M,
  '[1]Hoja 1'!$S:$S, $A154,
  '[1]Hoja 1'!$R:$R, "&gt;="&amp;INT($CG$1),
  '[1]Hoja 1'!$R:$R, "&lt;"&amp;INT($CH$1+1)
)</f>
        <v>0</v>
      </c>
      <c r="CF154" s="1">
        <f t="shared" si="225"/>
        <v>0</v>
      </c>
      <c r="CG154" s="9">
        <f t="shared" si="226"/>
        <v>0</v>
      </c>
      <c r="CH154" s="10">
        <f t="shared" si="227"/>
        <v>0</v>
      </c>
      <c r="CI154" s="1">
        <f>SUMIFS(
  '[1]Hoja 1'!$M:$M,
  '[1]Hoja 1'!$S:$S, $A154,
  '[1]Hoja 1'!$R:$R, "&gt;="&amp;INT($CK$1),
  '[1]Hoja 1'!$R:$R, "&lt;"&amp;INT($CL$1+1)
)</f>
        <v>0</v>
      </c>
      <c r="CJ154" s="1">
        <f t="shared" si="228"/>
        <v>0</v>
      </c>
      <c r="CK154" s="9">
        <f t="shared" si="229"/>
        <v>0</v>
      </c>
      <c r="CL154" s="10">
        <f t="shared" si="230"/>
        <v>0</v>
      </c>
      <c r="CM154" s="1">
        <f>SUMIFS(
  '[1]Hoja 1'!$M:$M,
  '[1]Hoja 1'!$S:$S, $A154,
  '[1]Hoja 1'!$R:$R, "&gt;="&amp;INT($CO$1),
  '[1]Hoja 1'!$R:$R, "&lt;"&amp;INT($CP$1+1)
)</f>
        <v>0</v>
      </c>
      <c r="CN154" s="1">
        <f t="shared" si="231"/>
        <v>0</v>
      </c>
      <c r="CO154" s="9">
        <f t="shared" si="232"/>
        <v>0</v>
      </c>
      <c r="CP154" s="10">
        <f t="shared" si="233"/>
        <v>0</v>
      </c>
      <c r="CQ154" s="1">
        <f>SUMIFS(
  '[1]Hoja 1'!$M:$M,
  '[1]Hoja 1'!$S:$S, $A154,
  '[1]Hoja 1'!$R:$R, "&gt;="&amp;INT($CS$1),
  '[1]Hoja 1'!$R:$R, "&lt;"&amp;INT($CT$1+1)
)</f>
        <v>0</v>
      </c>
      <c r="CR154" s="1">
        <f t="shared" si="234"/>
        <v>0</v>
      </c>
      <c r="CS154" s="9">
        <f t="shared" si="235"/>
        <v>0</v>
      </c>
      <c r="CT154" s="10">
        <f t="shared" si="236"/>
        <v>0</v>
      </c>
      <c r="CU154" s="1">
        <f>SUMIFS(
  '[1]Hoja 1'!$M:$M,
  '[1]Hoja 1'!$S:$S, $A154,
  '[1]Hoja 1'!$R:$R, "&gt;="&amp;INT($CW$1),
  '[1]Hoja 1'!$R:$R, "&lt;"&amp;INT($CX$1+1)
)</f>
        <v>0</v>
      </c>
      <c r="CV154" s="1">
        <f t="shared" si="237"/>
        <v>0</v>
      </c>
      <c r="CW154" s="9">
        <f t="shared" si="238"/>
        <v>0</v>
      </c>
      <c r="CX154" s="10">
        <f t="shared" si="239"/>
        <v>0</v>
      </c>
      <c r="CY154" s="1">
        <f>SUMIFS(
  '[1]Hoja 1'!$M:$M,
  '[1]Hoja 1'!$S:$S, $A154,
  '[1]Hoja 1'!$R:$R, "&gt;="&amp;INT($DA$1),
  '[1]Hoja 1'!$R:$R, "&lt;"&amp;INT($DB$1+1)
)</f>
        <v>0</v>
      </c>
      <c r="CZ154" s="1">
        <f t="shared" si="240"/>
        <v>0</v>
      </c>
      <c r="DA154" s="9">
        <f t="shared" si="241"/>
        <v>0</v>
      </c>
      <c r="DB154" s="10">
        <f t="shared" si="242"/>
        <v>0</v>
      </c>
      <c r="DC154" s="1">
        <f>SUMIFS(
  '[1]Hoja 1'!$M:$M,
  '[1]Hoja 1'!$S:$S, $A154,
  '[1]Hoja 1'!$R:$R, "&gt;="&amp;INT($DE$1),
  '[1]Hoja 1'!$R:$R, "&lt;"&amp;INT($DF$1+1)
)</f>
        <v>0</v>
      </c>
      <c r="DD154" s="1">
        <f t="shared" si="243"/>
        <v>0</v>
      </c>
      <c r="DE154" s="9">
        <f t="shared" si="244"/>
        <v>0</v>
      </c>
      <c r="DF154" s="10">
        <f t="shared" si="245"/>
        <v>0</v>
      </c>
      <c r="DG154" s="1">
        <f>SUMIFS(
  '[1]Hoja 1'!$M:$M,
  '[1]Hoja 1'!$S:$S, $A154,
  '[1]Hoja 1'!$R:$R, "&gt;="&amp;INT($DI$1),
  '[1]Hoja 1'!$R:$R, "&lt;"&amp;INT($DJ$1+1)
)</f>
        <v>0</v>
      </c>
      <c r="DH154" s="1">
        <f t="shared" si="246"/>
        <v>0</v>
      </c>
      <c r="DI154" s="9">
        <f t="shared" si="247"/>
        <v>0</v>
      </c>
      <c r="DJ154" s="10">
        <f t="shared" si="248"/>
        <v>0</v>
      </c>
      <c r="DK154" s="1">
        <f>SUMIFS(
  '[1]Hoja 1'!$M:$M,
  '[1]Hoja 1'!$S:$S, $A154,
  '[1]Hoja 1'!$R:$R, "&gt;="&amp;INT($DM$1),
  '[1]Hoja 1'!$R:$R, "&lt;"&amp;INT($DN$1+1)
)</f>
        <v>0</v>
      </c>
      <c r="DL154" s="1">
        <f t="shared" si="249"/>
        <v>0</v>
      </c>
      <c r="DM154" s="9">
        <f t="shared" si="250"/>
        <v>0</v>
      </c>
      <c r="DN154" s="10">
        <f t="shared" si="251"/>
        <v>0</v>
      </c>
      <c r="DO154" s="1">
        <f>SUMIFS(
  '[1]Hoja 1'!$M:$M,
  '[1]Hoja 1'!$S:$S, $A154,
  '[1]Hoja 1'!$R:$R, "&gt;="&amp;INT($DQ$1),
  '[1]Hoja 1'!$R:$R, "&lt;"&amp;INT($DR$1+1)
)</f>
        <v>0</v>
      </c>
      <c r="DP154" s="1">
        <f t="shared" si="252"/>
        <v>0</v>
      </c>
      <c r="DQ154" s="9">
        <f t="shared" si="253"/>
        <v>0</v>
      </c>
      <c r="DR154" s="10">
        <f t="shared" si="254"/>
        <v>0</v>
      </c>
    </row>
    <row r="155" spans="1:122" x14ac:dyDescent="0.25">
      <c r="A155" s="5">
        <v>226025</v>
      </c>
      <c r="B155" s="6" t="s">
        <v>153</v>
      </c>
      <c r="C155" s="1">
        <f>SUMIFS(
  '[1]Hoja 1'!$M:$M,
  '[1]Hoja 1'!$S:$S, $A155,
  '[1]Hoja 1'!$R:$R, "&gt;="&amp;INT($E$1),
  '[1]Hoja 1'!$R:$R, "&lt;"&amp;INT($F$1+1)
)</f>
        <v>7</v>
      </c>
      <c r="D155" s="1" t="str">
        <f>""</f>
        <v/>
      </c>
      <c r="F155" s="2"/>
      <c r="G155" s="1">
        <f>SUMIFS(
  '[1]Hoja 1'!$M:$M,
  '[1]Hoja 1'!$S:$S, $A155,
  '[1]Hoja 1'!$R:$R, "&gt;="&amp;INT($I$1),
  '[1]Hoja 1'!$R:$R, "&lt;"&amp;INT($J$1+1)
)</f>
        <v>9</v>
      </c>
      <c r="H155" s="1">
        <f t="shared" si="170"/>
        <v>8</v>
      </c>
      <c r="I155" s="1"/>
      <c r="J155" s="2"/>
      <c r="K155" s="1">
        <f>SUMIFS(
  '[1]Hoja 1'!$M:$M,
  '[1]Hoja 1'!$S:$S, $A155,
  '[1]Hoja 1'!$R:$R, "&gt;="&amp;INT($M$1),
  '[1]Hoja 1'!$R:$R, "&lt;"&amp;INT($N$1+1)
)</f>
        <v>2</v>
      </c>
      <c r="L155" s="1">
        <f t="shared" si="171"/>
        <v>5.5</v>
      </c>
      <c r="M155" s="9">
        <f t="shared" si="172"/>
        <v>-0.73668181006534894</v>
      </c>
      <c r="N155" s="10">
        <f t="shared" si="173"/>
        <v>11.736681810065349</v>
      </c>
      <c r="O155" s="1">
        <f>SUMIFS(
  '[1]Hoja 1'!$M:$M,
  '[1]Hoja 1'!$S:$S, $A155,
  '[1]Hoja 1'!$R:$R, "&gt;="&amp;INT($Q$1),
  '[1]Hoja 1'!$R:$R, "&lt;"&amp;INT($R$1+1)
)</f>
        <v>5</v>
      </c>
      <c r="P155" s="1">
        <f t="shared" si="174"/>
        <v>3.5</v>
      </c>
      <c r="Q155" s="9">
        <f t="shared" si="175"/>
        <v>0.10258086365961994</v>
      </c>
      <c r="R155" s="10">
        <f t="shared" si="176"/>
        <v>10.89741913634038</v>
      </c>
      <c r="S155" s="1">
        <f>SUMIFS(
  '[1]Hoja 1'!$M:$M,
  '[1]Hoja 1'!$S:$S, $A155,
  '[1]Hoja 1'!$R:$R, "&gt;="&amp;INT($U$1),
  '[1]Hoja 1'!$R:$R, "&lt;"&amp;INT($V$1+1)
)</f>
        <v>10</v>
      </c>
      <c r="T155" s="1">
        <f t="shared" si="177"/>
        <v>8</v>
      </c>
      <c r="U155" s="9">
        <f t="shared" si="178"/>
        <v>2.7912285517600219</v>
      </c>
      <c r="V155" s="10">
        <f t="shared" si="179"/>
        <v>13.208771448239979</v>
      </c>
      <c r="W155" s="1">
        <f>SUMIFS(
  '[1]Hoja 1'!$M:$M,
  '[1]Hoja 1'!$S:$S, $A155,
  '[1]Hoja 1'!$R:$R, "&gt;="&amp;INT($Y$1),
  '[1]Hoja 1'!$R:$R, "&lt;"&amp;INT($Z$1+1)
)</f>
        <v>5</v>
      </c>
      <c r="X155" s="1">
        <f t="shared" si="180"/>
        <v>8</v>
      </c>
      <c r="Y155" s="9">
        <f t="shared" si="181"/>
        <v>2.2299162339991403</v>
      </c>
      <c r="Z155" s="10">
        <f t="shared" si="182"/>
        <v>13.770083766000859</v>
      </c>
      <c r="AA155" s="1">
        <f>SUMIFS(
  '[1]Hoja 1'!$M:$M,
  '[1]Hoja 1'!$S:$S, $A155,
  '[1]Hoja 1'!$R:$R, "&gt;="&amp;INT($AC$1),
  '[1]Hoja 1'!$R:$R, "&lt;"&amp;INT($AD$1+1)
)</f>
        <v>2</v>
      </c>
      <c r="AB155" s="1">
        <f t="shared" si="183"/>
        <v>4</v>
      </c>
      <c r="AC155" s="9">
        <f t="shared" si="184"/>
        <v>-4.0643513105306894E-2</v>
      </c>
      <c r="AD155" s="10">
        <f t="shared" si="185"/>
        <v>8.6657332399813285</v>
      </c>
      <c r="AE155" s="1">
        <f>SUMIFS(
  '[1]Hoja 1'!$M:$M,
  '[1]Hoja 1'!$S:$S, $A155,
  '[1]Hoja 1'!$R:$R, "&gt;="&amp;INT($AG$1),
  '[1]Hoja 1'!$R:$R, "&lt;"&amp;INT($AH$1+1)
)</f>
        <v>0</v>
      </c>
      <c r="AF155" s="1">
        <f t="shared" si="186"/>
        <v>1</v>
      </c>
      <c r="AG155" s="9">
        <f t="shared" si="187"/>
        <v>-2.7317288218733151</v>
      </c>
      <c r="AH155" s="10">
        <f t="shared" si="188"/>
        <v>5.26234286122863</v>
      </c>
      <c r="AI155" s="1">
        <f>SUMIFS(
  '[1]Hoja 1'!$M:$M,
  '[1]Hoja 1'!$S:$S, $A155,
  '[1]Hoja 1'!$R:$R, "&gt;="&amp;INT($AK$1),
  '[1]Hoja 1'!$R:$R, "&lt;"&amp;INT($AL$1+1)
)</f>
        <v>0</v>
      </c>
      <c r="AJ155" s="1">
        <f t="shared" si="189"/>
        <v>0</v>
      </c>
      <c r="AK155" s="9">
        <f t="shared" si="190"/>
        <v>-2.0788939366884494</v>
      </c>
      <c r="AL155" s="10">
        <f t="shared" si="191"/>
        <v>2.04003267947681</v>
      </c>
      <c r="AM155" s="1">
        <f>SUMIFS(
  '[1]Hoja 1'!$M:$M,
  '[1]Hoja 1'!$S:$S, $A155,
  '[1]Hoja 1'!$R:$R, "&gt;="&amp;INT($AO$1),
  '[1]Hoja 1'!$R:$R, "&lt;"&amp;INT($AP$1+1)
)</f>
        <v>0</v>
      </c>
      <c r="AN155" s="1">
        <f t="shared" si="192"/>
        <v>0</v>
      </c>
      <c r="AO155" s="9">
        <f t="shared" si="193"/>
        <v>-1.3859292911256331</v>
      </c>
      <c r="AP155" s="10">
        <f t="shared" si="194"/>
        <v>1.47</v>
      </c>
      <c r="AQ155" s="1">
        <f>SUMIFS(
  '[1]Hoja 1'!$M:$M,
  '[1]Hoja 1'!$S:$S, $A155,
  '[1]Hoja 1'!$R:$R, "&gt;="&amp;INT($AS$1),
  '[1]Hoja 1'!$R:$R, "&lt;"&amp;INT($AT$1+1)
)</f>
        <v>0</v>
      </c>
      <c r="AR155" s="1">
        <f t="shared" si="195"/>
        <v>0</v>
      </c>
      <c r="AS155" s="9">
        <f t="shared" si="196"/>
        <v>-0.87653864717991747</v>
      </c>
      <c r="AT155" s="10">
        <f t="shared" si="197"/>
        <v>0.98</v>
      </c>
      <c r="AU155" s="1">
        <f>SUMIFS(
  '[1]Hoja 1'!$M:$M,
  '[1]Hoja 1'!$S:$S, $A155,
  '[1]Hoja 1'!$R:$R, "&gt;="&amp;INT($AW$1),
  '[1]Hoja 1'!$R:$R, "&lt;"&amp;INT($AX$1+1)
)</f>
        <v>0</v>
      </c>
      <c r="AV155" s="1">
        <f t="shared" si="198"/>
        <v>0</v>
      </c>
      <c r="AW155" s="9">
        <f t="shared" si="199"/>
        <v>0</v>
      </c>
      <c r="AX155" s="10">
        <f t="shared" si="200"/>
        <v>0</v>
      </c>
      <c r="AY155" s="1">
        <f>SUMIFS(
  '[1]Hoja 1'!$M:$M,
  '[1]Hoja 1'!$S:$S, $A155,
  '[1]Hoja 1'!$R:$R, "&gt;="&amp;INT($BA$1),
  '[1]Hoja 1'!$R:$R, "&lt;"&amp;INT($BB$1+1)
)</f>
        <v>0</v>
      </c>
      <c r="AZ155" s="1">
        <f t="shared" si="201"/>
        <v>0</v>
      </c>
      <c r="BA155" s="9">
        <f t="shared" si="202"/>
        <v>0</v>
      </c>
      <c r="BB155" s="10">
        <f t="shared" si="203"/>
        <v>0</v>
      </c>
      <c r="BC155" s="1">
        <f>SUMIFS(
  '[1]Hoja 1'!$M:$M,
  '[1]Hoja 1'!$S:$S, $A155,
  '[1]Hoja 1'!$R:$R, "&gt;="&amp;INT($BE$1),
  '[1]Hoja 1'!$R:$R, "&lt;"&amp;INT($BF$1+1)
)</f>
        <v>0</v>
      </c>
      <c r="BD155" s="1">
        <f t="shared" si="204"/>
        <v>0</v>
      </c>
      <c r="BE155" s="9">
        <f t="shared" si="205"/>
        <v>0</v>
      </c>
      <c r="BF155" s="10">
        <f t="shared" si="206"/>
        <v>0</v>
      </c>
      <c r="BG155" s="1">
        <f>SUMIFS(
  '[1]Hoja 1'!$M:$M,
  '[1]Hoja 1'!$S:$S, $A155,
  '[1]Hoja 1'!$R:$R, "&gt;="&amp;INT($BI$1),
  '[1]Hoja 1'!$R:$R, "&lt;"&amp;INT($BJ$1+1)
)</f>
        <v>0</v>
      </c>
      <c r="BH155" s="1">
        <f t="shared" si="207"/>
        <v>0</v>
      </c>
      <c r="BI155" s="9">
        <f t="shared" si="208"/>
        <v>0</v>
      </c>
      <c r="BJ155" s="10">
        <f t="shared" si="209"/>
        <v>0</v>
      </c>
      <c r="BK155" s="1">
        <f>SUMIFS(
  '[1]Hoja 1'!$M:$M,
  '[1]Hoja 1'!$S:$S, $A155,
  '[1]Hoja 1'!$R:$R, "&gt;="&amp;INT($BM$1),
  '[1]Hoja 1'!$R:$R, "&lt;"&amp;INT($BN$1+1)
)</f>
        <v>0</v>
      </c>
      <c r="BL155" s="1">
        <f t="shared" si="210"/>
        <v>0</v>
      </c>
      <c r="BM155" s="9">
        <f t="shared" si="211"/>
        <v>0</v>
      </c>
      <c r="BN155" s="10">
        <f t="shared" si="212"/>
        <v>0</v>
      </c>
      <c r="BO155" s="1">
        <f>SUMIFS(
  '[1]Hoja 1'!$M:$M,
  '[1]Hoja 1'!$S:$S, $A155,
  '[1]Hoja 1'!$R:$R, "&gt;="&amp;INT($BQ$1),
  '[1]Hoja 1'!$R:$R, "&lt;"&amp;INT($BR$1+1)
)</f>
        <v>0</v>
      </c>
      <c r="BP155" s="1">
        <f t="shared" si="213"/>
        <v>0</v>
      </c>
      <c r="BQ155" s="9">
        <f t="shared" si="214"/>
        <v>0</v>
      </c>
      <c r="BR155" s="10">
        <f t="shared" si="215"/>
        <v>0</v>
      </c>
      <c r="BS155" s="1">
        <f>SUMIFS(
  '[1]Hoja 1'!$M:$M,
  '[1]Hoja 1'!$S:$S, $A155,
  '[1]Hoja 1'!$R:$R, "&gt;="&amp;INT($BU$1),
  '[1]Hoja 1'!$R:$R, "&lt;"&amp;INT($BV$1+1)
)</f>
        <v>0</v>
      </c>
      <c r="BT155" s="1">
        <f t="shared" si="216"/>
        <v>0</v>
      </c>
      <c r="BU155" s="9">
        <f t="shared" si="217"/>
        <v>0</v>
      </c>
      <c r="BV155" s="10">
        <f t="shared" si="218"/>
        <v>0</v>
      </c>
      <c r="BW155" s="1">
        <f>SUMIFS(
  '[1]Hoja 1'!$M:$M,
  '[1]Hoja 1'!$S:$S, $A155,
  '[1]Hoja 1'!$R:$R, "&gt;="&amp;INT($BY$1),
  '[1]Hoja 1'!$R:$R, "&lt;"&amp;INT($BZ$1+1)
)</f>
        <v>0</v>
      </c>
      <c r="BX155" s="1">
        <f t="shared" si="219"/>
        <v>0</v>
      </c>
      <c r="BY155" s="9">
        <f t="shared" si="220"/>
        <v>0</v>
      </c>
      <c r="BZ155" s="10">
        <f t="shared" si="221"/>
        <v>0</v>
      </c>
      <c r="CA155" s="1">
        <f>SUMIFS(
  '[1]Hoja 1'!$M:$M,
  '[1]Hoja 1'!$S:$S, $A155,
  '[1]Hoja 1'!$R:$R, "&gt;="&amp;INT($CC$1),
  '[1]Hoja 1'!$R:$R, "&lt;"&amp;INT($CD$1+1)
)</f>
        <v>0</v>
      </c>
      <c r="CB155" s="1">
        <f t="shared" si="222"/>
        <v>0</v>
      </c>
      <c r="CC155" s="9">
        <f t="shared" si="223"/>
        <v>0</v>
      </c>
      <c r="CD155" s="10">
        <f t="shared" si="224"/>
        <v>0</v>
      </c>
      <c r="CE155" s="1">
        <f>SUMIFS(
  '[1]Hoja 1'!$M:$M,
  '[1]Hoja 1'!$S:$S, $A155,
  '[1]Hoja 1'!$R:$R, "&gt;="&amp;INT($CG$1),
  '[1]Hoja 1'!$R:$R, "&lt;"&amp;INT($CH$1+1)
)</f>
        <v>0</v>
      </c>
      <c r="CF155" s="1">
        <f t="shared" si="225"/>
        <v>0</v>
      </c>
      <c r="CG155" s="9">
        <f t="shared" si="226"/>
        <v>0</v>
      </c>
      <c r="CH155" s="10">
        <f t="shared" si="227"/>
        <v>0</v>
      </c>
      <c r="CI155" s="1">
        <f>SUMIFS(
  '[1]Hoja 1'!$M:$M,
  '[1]Hoja 1'!$S:$S, $A155,
  '[1]Hoja 1'!$R:$R, "&gt;="&amp;INT($CK$1),
  '[1]Hoja 1'!$R:$R, "&lt;"&amp;INT($CL$1+1)
)</f>
        <v>0</v>
      </c>
      <c r="CJ155" s="1">
        <f t="shared" si="228"/>
        <v>0</v>
      </c>
      <c r="CK155" s="9">
        <f t="shared" si="229"/>
        <v>0</v>
      </c>
      <c r="CL155" s="10">
        <f t="shared" si="230"/>
        <v>0</v>
      </c>
      <c r="CM155" s="1">
        <f>SUMIFS(
  '[1]Hoja 1'!$M:$M,
  '[1]Hoja 1'!$S:$S, $A155,
  '[1]Hoja 1'!$R:$R, "&gt;="&amp;INT($CO$1),
  '[1]Hoja 1'!$R:$R, "&lt;"&amp;INT($CP$1+1)
)</f>
        <v>0</v>
      </c>
      <c r="CN155" s="1">
        <f t="shared" si="231"/>
        <v>0</v>
      </c>
      <c r="CO155" s="9">
        <f t="shared" si="232"/>
        <v>0</v>
      </c>
      <c r="CP155" s="10">
        <f t="shared" si="233"/>
        <v>0</v>
      </c>
      <c r="CQ155" s="1">
        <f>SUMIFS(
  '[1]Hoja 1'!$M:$M,
  '[1]Hoja 1'!$S:$S, $A155,
  '[1]Hoja 1'!$R:$R, "&gt;="&amp;INT($CS$1),
  '[1]Hoja 1'!$R:$R, "&lt;"&amp;INT($CT$1+1)
)</f>
        <v>0</v>
      </c>
      <c r="CR155" s="1">
        <f t="shared" si="234"/>
        <v>0</v>
      </c>
      <c r="CS155" s="9">
        <f t="shared" si="235"/>
        <v>0</v>
      </c>
      <c r="CT155" s="10">
        <f t="shared" si="236"/>
        <v>0</v>
      </c>
      <c r="CU155" s="1">
        <f>SUMIFS(
  '[1]Hoja 1'!$M:$M,
  '[1]Hoja 1'!$S:$S, $A155,
  '[1]Hoja 1'!$R:$R, "&gt;="&amp;INT($CW$1),
  '[1]Hoja 1'!$R:$R, "&lt;"&amp;INT($CX$1+1)
)</f>
        <v>0</v>
      </c>
      <c r="CV155" s="1">
        <f t="shared" si="237"/>
        <v>0</v>
      </c>
      <c r="CW155" s="9">
        <f t="shared" si="238"/>
        <v>0</v>
      </c>
      <c r="CX155" s="10">
        <f t="shared" si="239"/>
        <v>0</v>
      </c>
      <c r="CY155" s="1">
        <f>SUMIFS(
  '[1]Hoja 1'!$M:$M,
  '[1]Hoja 1'!$S:$S, $A155,
  '[1]Hoja 1'!$R:$R, "&gt;="&amp;INT($DA$1),
  '[1]Hoja 1'!$R:$R, "&lt;"&amp;INT($DB$1+1)
)</f>
        <v>0</v>
      </c>
      <c r="CZ155" s="1">
        <f t="shared" si="240"/>
        <v>0</v>
      </c>
      <c r="DA155" s="9">
        <f t="shared" si="241"/>
        <v>0</v>
      </c>
      <c r="DB155" s="10">
        <f t="shared" si="242"/>
        <v>0</v>
      </c>
      <c r="DC155" s="1">
        <f>SUMIFS(
  '[1]Hoja 1'!$M:$M,
  '[1]Hoja 1'!$S:$S, $A155,
  '[1]Hoja 1'!$R:$R, "&gt;="&amp;INT($DE$1),
  '[1]Hoja 1'!$R:$R, "&lt;"&amp;INT($DF$1+1)
)</f>
        <v>0</v>
      </c>
      <c r="DD155" s="1">
        <f t="shared" si="243"/>
        <v>0</v>
      </c>
      <c r="DE155" s="9">
        <f t="shared" si="244"/>
        <v>0</v>
      </c>
      <c r="DF155" s="10">
        <f t="shared" si="245"/>
        <v>0</v>
      </c>
      <c r="DG155" s="1">
        <f>SUMIFS(
  '[1]Hoja 1'!$M:$M,
  '[1]Hoja 1'!$S:$S, $A155,
  '[1]Hoja 1'!$R:$R, "&gt;="&amp;INT($DI$1),
  '[1]Hoja 1'!$R:$R, "&lt;"&amp;INT($DJ$1+1)
)</f>
        <v>0</v>
      </c>
      <c r="DH155" s="1">
        <f t="shared" si="246"/>
        <v>0</v>
      </c>
      <c r="DI155" s="9">
        <f t="shared" si="247"/>
        <v>0</v>
      </c>
      <c r="DJ155" s="10">
        <f t="shared" si="248"/>
        <v>0</v>
      </c>
      <c r="DK155" s="1">
        <f>SUMIFS(
  '[1]Hoja 1'!$M:$M,
  '[1]Hoja 1'!$S:$S, $A155,
  '[1]Hoja 1'!$R:$R, "&gt;="&amp;INT($DM$1),
  '[1]Hoja 1'!$R:$R, "&lt;"&amp;INT($DN$1+1)
)</f>
        <v>0</v>
      </c>
      <c r="DL155" s="1">
        <f t="shared" si="249"/>
        <v>0</v>
      </c>
      <c r="DM155" s="9">
        <f t="shared" si="250"/>
        <v>0</v>
      </c>
      <c r="DN155" s="10">
        <f t="shared" si="251"/>
        <v>0</v>
      </c>
      <c r="DO155" s="1">
        <f>SUMIFS(
  '[1]Hoja 1'!$M:$M,
  '[1]Hoja 1'!$S:$S, $A155,
  '[1]Hoja 1'!$R:$R, "&gt;="&amp;INT($DQ$1),
  '[1]Hoja 1'!$R:$R, "&lt;"&amp;INT($DR$1+1)
)</f>
        <v>0</v>
      </c>
      <c r="DP155" s="1">
        <f t="shared" si="252"/>
        <v>0</v>
      </c>
      <c r="DQ155" s="9">
        <f t="shared" si="253"/>
        <v>0</v>
      </c>
      <c r="DR155" s="10">
        <f t="shared" si="254"/>
        <v>0</v>
      </c>
    </row>
    <row r="156" spans="1:122" x14ac:dyDescent="0.25">
      <c r="A156" s="5">
        <v>226026</v>
      </c>
      <c r="B156" s="6" t="s">
        <v>258</v>
      </c>
      <c r="C156" s="1">
        <f>SUMIFS(
  '[1]Hoja 1'!$M:$M,
  '[1]Hoja 1'!$S:$S, $A156,
  '[1]Hoja 1'!$R:$R, "&gt;="&amp;INT($E$1),
  '[1]Hoja 1'!$R:$R, "&lt;"&amp;INT($F$1+1)
)</f>
        <v>0</v>
      </c>
      <c r="D156" s="1" t="str">
        <f>""</f>
        <v/>
      </c>
      <c r="F156" s="2"/>
      <c r="G156" s="1">
        <f>SUMIFS(
  '[1]Hoja 1'!$M:$M,
  '[1]Hoja 1'!$S:$S, $A156,
  '[1]Hoja 1'!$R:$R, "&gt;="&amp;INT($I$1),
  '[1]Hoja 1'!$R:$R, "&lt;"&amp;INT($J$1+1)
)</f>
        <v>4</v>
      </c>
      <c r="H156" s="1">
        <f t="shared" si="170"/>
        <v>2</v>
      </c>
      <c r="I156" s="1"/>
      <c r="J156" s="2"/>
      <c r="K156" s="1">
        <f>SUMIFS(
  '[1]Hoja 1'!$M:$M,
  '[1]Hoja 1'!$S:$S, $A156,
  '[1]Hoja 1'!$R:$R, "&gt;="&amp;INT($M$1),
  '[1]Hoja 1'!$R:$R, "&lt;"&amp;INT($N$1+1)
)</f>
        <v>1</v>
      </c>
      <c r="L156" s="1">
        <f t="shared" si="171"/>
        <v>2.5</v>
      </c>
      <c r="M156" s="9">
        <f t="shared" si="172"/>
        <v>-2.350752518939716</v>
      </c>
      <c r="N156" s="10">
        <f t="shared" si="173"/>
        <v>7.350752518939716</v>
      </c>
      <c r="O156" s="1">
        <f>SUMIFS(
  '[1]Hoja 1'!$M:$M,
  '[1]Hoja 1'!$S:$S, $A156,
  '[1]Hoja 1'!$R:$R, "&gt;="&amp;INT($Q$1),
  '[1]Hoja 1'!$R:$R, "&lt;"&amp;INT($R$1+1)
)</f>
        <v>39</v>
      </c>
      <c r="P156" s="1">
        <f t="shared" si="174"/>
        <v>20</v>
      </c>
      <c r="Q156" s="9">
        <f t="shared" si="175"/>
        <v>-18.993077955472081</v>
      </c>
      <c r="R156" s="10">
        <f t="shared" si="176"/>
        <v>23.993077955472081</v>
      </c>
      <c r="S156" s="1">
        <f>SUMIFS(
  '[1]Hoja 1'!$M:$M,
  '[1]Hoja 1'!$S:$S, $A156,
  '[1]Hoja 1'!$R:$R, "&gt;="&amp;INT($U$1),
  '[1]Hoja 1'!$R:$R, "&lt;"&amp;INT($V$1+1)
)</f>
        <v>0</v>
      </c>
      <c r="T156" s="1">
        <f t="shared" si="177"/>
        <v>20</v>
      </c>
      <c r="U156" s="9">
        <f t="shared" si="178"/>
        <v>-10.938627420534779</v>
      </c>
      <c r="V156" s="10">
        <f t="shared" si="179"/>
        <v>50.938627420534779</v>
      </c>
      <c r="W156" s="1">
        <f>SUMIFS(
  '[1]Hoja 1'!$M:$M,
  '[1]Hoja 1'!$S:$S, $A156,
  '[1]Hoja 1'!$R:$R, "&gt;="&amp;INT($Y$1),
  '[1]Hoja 1'!$R:$R, "&lt;"&amp;INT($Z$1+1)
)</f>
        <v>0</v>
      </c>
      <c r="X156" s="1">
        <f t="shared" si="180"/>
        <v>0</v>
      </c>
      <c r="Y156" s="9">
        <f t="shared" si="181"/>
        <v>-30.834980136202457</v>
      </c>
      <c r="Z156" s="10">
        <f t="shared" si="182"/>
        <v>30.834980136202457</v>
      </c>
      <c r="AA156" s="1">
        <f>SUMIFS(
  '[1]Hoja 1'!$M:$M,
  '[1]Hoja 1'!$S:$S, $A156,
  '[1]Hoja 1'!$R:$R, "&gt;="&amp;INT($AC$1),
  '[1]Hoja 1'!$R:$R, "&lt;"&amp;INT($AD$1+1)
)</f>
        <v>0</v>
      </c>
      <c r="AB156" s="1">
        <f t="shared" si="183"/>
        <v>0</v>
      </c>
      <c r="AC156" s="9">
        <f t="shared" si="184"/>
        <v>-26.680488751145472</v>
      </c>
      <c r="AD156" s="10">
        <f t="shared" si="185"/>
        <v>30.807714942851572</v>
      </c>
      <c r="AE156" s="1">
        <f>SUMIFS(
  '[1]Hoja 1'!$M:$M,
  '[1]Hoja 1'!$S:$S, $A156,
  '[1]Hoja 1'!$R:$R, "&gt;="&amp;INT($AG$1),
  '[1]Hoja 1'!$R:$R, "&lt;"&amp;INT($AH$1+1)
)</f>
        <v>0</v>
      </c>
      <c r="AF156" s="1">
        <f t="shared" si="186"/>
        <v>0</v>
      </c>
      <c r="AG156" s="9">
        <f t="shared" si="187"/>
        <v>-17.09250362000839</v>
      </c>
      <c r="AH156" s="10">
        <f t="shared" si="188"/>
        <v>19.11</v>
      </c>
      <c r="AI156" s="1">
        <f>SUMIFS(
  '[1]Hoja 1'!$M:$M,
  '[1]Hoja 1'!$S:$S, $A156,
  '[1]Hoja 1'!$R:$R, "&gt;="&amp;INT($AK$1),
  '[1]Hoja 1'!$R:$R, "&lt;"&amp;INT($AL$1+1)
)</f>
        <v>0</v>
      </c>
      <c r="AJ156" s="1">
        <f t="shared" si="189"/>
        <v>0</v>
      </c>
      <c r="AK156" s="9">
        <f t="shared" si="190"/>
        <v>0</v>
      </c>
      <c r="AL156" s="10">
        <f t="shared" si="191"/>
        <v>0</v>
      </c>
      <c r="AM156" s="1">
        <f>SUMIFS(
  '[1]Hoja 1'!$M:$M,
  '[1]Hoja 1'!$S:$S, $A156,
  '[1]Hoja 1'!$R:$R, "&gt;="&amp;INT($AO$1),
  '[1]Hoja 1'!$R:$R, "&lt;"&amp;INT($AP$1+1)
)</f>
        <v>0</v>
      </c>
      <c r="AN156" s="1">
        <f t="shared" si="192"/>
        <v>0</v>
      </c>
      <c r="AO156" s="9">
        <f t="shared" si="193"/>
        <v>0</v>
      </c>
      <c r="AP156" s="10">
        <f t="shared" si="194"/>
        <v>0</v>
      </c>
      <c r="AQ156" s="1">
        <f>SUMIFS(
  '[1]Hoja 1'!$M:$M,
  '[1]Hoja 1'!$S:$S, $A156,
  '[1]Hoja 1'!$R:$R, "&gt;="&amp;INT($AS$1),
  '[1]Hoja 1'!$R:$R, "&lt;"&amp;INT($AT$1+1)
)</f>
        <v>0</v>
      </c>
      <c r="AR156" s="1">
        <f t="shared" si="195"/>
        <v>0</v>
      </c>
      <c r="AS156" s="9">
        <f t="shared" si="196"/>
        <v>0</v>
      </c>
      <c r="AT156" s="10">
        <f t="shared" si="197"/>
        <v>0</v>
      </c>
      <c r="AU156" s="1">
        <f>SUMIFS(
  '[1]Hoja 1'!$M:$M,
  '[1]Hoja 1'!$S:$S, $A156,
  '[1]Hoja 1'!$R:$R, "&gt;="&amp;INT($AW$1),
  '[1]Hoja 1'!$R:$R, "&lt;"&amp;INT($AX$1+1)
)</f>
        <v>0</v>
      </c>
      <c r="AV156" s="1">
        <f t="shared" si="198"/>
        <v>0</v>
      </c>
      <c r="AW156" s="9">
        <f t="shared" si="199"/>
        <v>0</v>
      </c>
      <c r="AX156" s="10">
        <f t="shared" si="200"/>
        <v>0</v>
      </c>
      <c r="AY156" s="1">
        <f>SUMIFS(
  '[1]Hoja 1'!$M:$M,
  '[1]Hoja 1'!$S:$S, $A156,
  '[1]Hoja 1'!$R:$R, "&gt;="&amp;INT($BA$1),
  '[1]Hoja 1'!$R:$R, "&lt;"&amp;INT($BB$1+1)
)</f>
        <v>0</v>
      </c>
      <c r="AZ156" s="1">
        <f t="shared" si="201"/>
        <v>0</v>
      </c>
      <c r="BA156" s="9">
        <f t="shared" si="202"/>
        <v>0</v>
      </c>
      <c r="BB156" s="10">
        <f t="shared" si="203"/>
        <v>0</v>
      </c>
      <c r="BC156" s="1">
        <f>SUMIFS(
  '[1]Hoja 1'!$M:$M,
  '[1]Hoja 1'!$S:$S, $A156,
  '[1]Hoja 1'!$R:$R, "&gt;="&amp;INT($BE$1),
  '[1]Hoja 1'!$R:$R, "&lt;"&amp;INT($BF$1+1)
)</f>
        <v>0</v>
      </c>
      <c r="BD156" s="1">
        <f t="shared" si="204"/>
        <v>0</v>
      </c>
      <c r="BE156" s="9">
        <f t="shared" si="205"/>
        <v>0</v>
      </c>
      <c r="BF156" s="10">
        <f t="shared" si="206"/>
        <v>0</v>
      </c>
      <c r="BG156" s="1">
        <f>SUMIFS(
  '[1]Hoja 1'!$M:$M,
  '[1]Hoja 1'!$S:$S, $A156,
  '[1]Hoja 1'!$R:$R, "&gt;="&amp;INT($BI$1),
  '[1]Hoja 1'!$R:$R, "&lt;"&amp;INT($BJ$1+1)
)</f>
        <v>0</v>
      </c>
      <c r="BH156" s="1">
        <f t="shared" si="207"/>
        <v>0</v>
      </c>
      <c r="BI156" s="9">
        <f t="shared" si="208"/>
        <v>0</v>
      </c>
      <c r="BJ156" s="10">
        <f t="shared" si="209"/>
        <v>0</v>
      </c>
      <c r="BK156" s="1">
        <f>SUMIFS(
  '[1]Hoja 1'!$M:$M,
  '[1]Hoja 1'!$S:$S, $A156,
  '[1]Hoja 1'!$R:$R, "&gt;="&amp;INT($BM$1),
  '[1]Hoja 1'!$R:$R, "&lt;"&amp;INT($BN$1+1)
)</f>
        <v>0</v>
      </c>
      <c r="BL156" s="1">
        <f t="shared" si="210"/>
        <v>0</v>
      </c>
      <c r="BM156" s="9">
        <f t="shared" si="211"/>
        <v>0</v>
      </c>
      <c r="BN156" s="10">
        <f t="shared" si="212"/>
        <v>0</v>
      </c>
      <c r="BO156" s="1">
        <f>SUMIFS(
  '[1]Hoja 1'!$M:$M,
  '[1]Hoja 1'!$S:$S, $A156,
  '[1]Hoja 1'!$R:$R, "&gt;="&amp;INT($BQ$1),
  '[1]Hoja 1'!$R:$R, "&lt;"&amp;INT($BR$1+1)
)</f>
        <v>0</v>
      </c>
      <c r="BP156" s="1">
        <f t="shared" si="213"/>
        <v>0</v>
      </c>
      <c r="BQ156" s="9">
        <f t="shared" si="214"/>
        <v>0</v>
      </c>
      <c r="BR156" s="10">
        <f t="shared" si="215"/>
        <v>0</v>
      </c>
      <c r="BS156" s="1">
        <f>SUMIFS(
  '[1]Hoja 1'!$M:$M,
  '[1]Hoja 1'!$S:$S, $A156,
  '[1]Hoja 1'!$R:$R, "&gt;="&amp;INT($BU$1),
  '[1]Hoja 1'!$R:$R, "&lt;"&amp;INT($BV$1+1)
)</f>
        <v>0</v>
      </c>
      <c r="BT156" s="1">
        <f t="shared" si="216"/>
        <v>0</v>
      </c>
      <c r="BU156" s="9">
        <f t="shared" si="217"/>
        <v>0</v>
      </c>
      <c r="BV156" s="10">
        <f t="shared" si="218"/>
        <v>0</v>
      </c>
      <c r="BW156" s="1">
        <f>SUMIFS(
  '[1]Hoja 1'!$M:$M,
  '[1]Hoja 1'!$S:$S, $A156,
  '[1]Hoja 1'!$R:$R, "&gt;="&amp;INT($BY$1),
  '[1]Hoja 1'!$R:$R, "&lt;"&amp;INT($BZ$1+1)
)</f>
        <v>0</v>
      </c>
      <c r="BX156" s="1">
        <f t="shared" si="219"/>
        <v>0</v>
      </c>
      <c r="BY156" s="9">
        <f t="shared" si="220"/>
        <v>0</v>
      </c>
      <c r="BZ156" s="10">
        <f t="shared" si="221"/>
        <v>0</v>
      </c>
      <c r="CA156" s="1">
        <f>SUMIFS(
  '[1]Hoja 1'!$M:$M,
  '[1]Hoja 1'!$S:$S, $A156,
  '[1]Hoja 1'!$R:$R, "&gt;="&amp;INT($CC$1),
  '[1]Hoja 1'!$R:$R, "&lt;"&amp;INT($CD$1+1)
)</f>
        <v>0</v>
      </c>
      <c r="CB156" s="1">
        <f t="shared" si="222"/>
        <v>0</v>
      </c>
      <c r="CC156" s="9">
        <f t="shared" si="223"/>
        <v>0</v>
      </c>
      <c r="CD156" s="10">
        <f t="shared" si="224"/>
        <v>0</v>
      </c>
      <c r="CE156" s="1">
        <f>SUMIFS(
  '[1]Hoja 1'!$M:$M,
  '[1]Hoja 1'!$S:$S, $A156,
  '[1]Hoja 1'!$R:$R, "&gt;="&amp;INT($CG$1),
  '[1]Hoja 1'!$R:$R, "&lt;"&amp;INT($CH$1+1)
)</f>
        <v>0</v>
      </c>
      <c r="CF156" s="1">
        <f t="shared" si="225"/>
        <v>0</v>
      </c>
      <c r="CG156" s="9">
        <f t="shared" si="226"/>
        <v>0</v>
      </c>
      <c r="CH156" s="10">
        <f t="shared" si="227"/>
        <v>0</v>
      </c>
      <c r="CI156" s="1">
        <f>SUMIFS(
  '[1]Hoja 1'!$M:$M,
  '[1]Hoja 1'!$S:$S, $A156,
  '[1]Hoja 1'!$R:$R, "&gt;="&amp;INT($CK$1),
  '[1]Hoja 1'!$R:$R, "&lt;"&amp;INT($CL$1+1)
)</f>
        <v>0</v>
      </c>
      <c r="CJ156" s="1">
        <f t="shared" si="228"/>
        <v>0</v>
      </c>
      <c r="CK156" s="9">
        <f t="shared" si="229"/>
        <v>0</v>
      </c>
      <c r="CL156" s="10">
        <f t="shared" si="230"/>
        <v>0</v>
      </c>
      <c r="CM156" s="1">
        <f>SUMIFS(
  '[1]Hoja 1'!$M:$M,
  '[1]Hoja 1'!$S:$S, $A156,
  '[1]Hoja 1'!$R:$R, "&gt;="&amp;INT($CO$1),
  '[1]Hoja 1'!$R:$R, "&lt;"&amp;INT($CP$1+1)
)</f>
        <v>0</v>
      </c>
      <c r="CN156" s="1">
        <f t="shared" si="231"/>
        <v>0</v>
      </c>
      <c r="CO156" s="9">
        <f t="shared" si="232"/>
        <v>0</v>
      </c>
      <c r="CP156" s="10">
        <f t="shared" si="233"/>
        <v>0</v>
      </c>
      <c r="CQ156" s="1">
        <f>SUMIFS(
  '[1]Hoja 1'!$M:$M,
  '[1]Hoja 1'!$S:$S, $A156,
  '[1]Hoja 1'!$R:$R, "&gt;="&amp;INT($CS$1),
  '[1]Hoja 1'!$R:$R, "&lt;"&amp;INT($CT$1+1)
)</f>
        <v>0</v>
      </c>
      <c r="CR156" s="1">
        <f t="shared" si="234"/>
        <v>0</v>
      </c>
      <c r="CS156" s="9">
        <f t="shared" si="235"/>
        <v>0</v>
      </c>
      <c r="CT156" s="10">
        <f t="shared" si="236"/>
        <v>0</v>
      </c>
      <c r="CU156" s="1">
        <f>SUMIFS(
  '[1]Hoja 1'!$M:$M,
  '[1]Hoja 1'!$S:$S, $A156,
  '[1]Hoja 1'!$R:$R, "&gt;="&amp;INT($CW$1),
  '[1]Hoja 1'!$R:$R, "&lt;"&amp;INT($CX$1+1)
)</f>
        <v>0</v>
      </c>
      <c r="CV156" s="1">
        <f t="shared" si="237"/>
        <v>0</v>
      </c>
      <c r="CW156" s="9">
        <f t="shared" si="238"/>
        <v>0</v>
      </c>
      <c r="CX156" s="10">
        <f t="shared" si="239"/>
        <v>0</v>
      </c>
      <c r="CY156" s="1">
        <f>SUMIFS(
  '[1]Hoja 1'!$M:$M,
  '[1]Hoja 1'!$S:$S, $A156,
  '[1]Hoja 1'!$R:$R, "&gt;="&amp;INT($DA$1),
  '[1]Hoja 1'!$R:$R, "&lt;"&amp;INT($DB$1+1)
)</f>
        <v>0</v>
      </c>
      <c r="CZ156" s="1">
        <f t="shared" si="240"/>
        <v>0</v>
      </c>
      <c r="DA156" s="9">
        <f t="shared" si="241"/>
        <v>0</v>
      </c>
      <c r="DB156" s="10">
        <f t="shared" si="242"/>
        <v>0</v>
      </c>
      <c r="DC156" s="1">
        <f>SUMIFS(
  '[1]Hoja 1'!$M:$M,
  '[1]Hoja 1'!$S:$S, $A156,
  '[1]Hoja 1'!$R:$R, "&gt;="&amp;INT($DE$1),
  '[1]Hoja 1'!$R:$R, "&lt;"&amp;INT($DF$1+1)
)</f>
        <v>0</v>
      </c>
      <c r="DD156" s="1">
        <f t="shared" si="243"/>
        <v>0</v>
      </c>
      <c r="DE156" s="9">
        <f t="shared" si="244"/>
        <v>0</v>
      </c>
      <c r="DF156" s="10">
        <f t="shared" si="245"/>
        <v>0</v>
      </c>
      <c r="DG156" s="1">
        <f>SUMIFS(
  '[1]Hoja 1'!$M:$M,
  '[1]Hoja 1'!$S:$S, $A156,
  '[1]Hoja 1'!$R:$R, "&gt;="&amp;INT($DI$1),
  '[1]Hoja 1'!$R:$R, "&lt;"&amp;INT($DJ$1+1)
)</f>
        <v>0</v>
      </c>
      <c r="DH156" s="1">
        <f t="shared" si="246"/>
        <v>0</v>
      </c>
      <c r="DI156" s="9">
        <f t="shared" si="247"/>
        <v>0</v>
      </c>
      <c r="DJ156" s="10">
        <f t="shared" si="248"/>
        <v>0</v>
      </c>
      <c r="DK156" s="1">
        <f>SUMIFS(
  '[1]Hoja 1'!$M:$M,
  '[1]Hoja 1'!$S:$S, $A156,
  '[1]Hoja 1'!$R:$R, "&gt;="&amp;INT($DM$1),
  '[1]Hoja 1'!$R:$R, "&lt;"&amp;INT($DN$1+1)
)</f>
        <v>0</v>
      </c>
      <c r="DL156" s="1">
        <f t="shared" si="249"/>
        <v>0</v>
      </c>
      <c r="DM156" s="9">
        <f t="shared" si="250"/>
        <v>0</v>
      </c>
      <c r="DN156" s="10">
        <f t="shared" si="251"/>
        <v>0</v>
      </c>
      <c r="DO156" s="1">
        <f>SUMIFS(
  '[1]Hoja 1'!$M:$M,
  '[1]Hoja 1'!$S:$S, $A156,
  '[1]Hoja 1'!$R:$R, "&gt;="&amp;INT($DQ$1),
  '[1]Hoja 1'!$R:$R, "&lt;"&amp;INT($DR$1+1)
)</f>
        <v>0</v>
      </c>
      <c r="DP156" s="1">
        <f t="shared" si="252"/>
        <v>0</v>
      </c>
      <c r="DQ156" s="9">
        <f t="shared" si="253"/>
        <v>0</v>
      </c>
      <c r="DR156" s="10">
        <f t="shared" si="254"/>
        <v>0</v>
      </c>
    </row>
    <row r="157" spans="1:122" x14ac:dyDescent="0.25">
      <c r="A157" s="5">
        <v>226027</v>
      </c>
      <c r="B157" s="6" t="s">
        <v>155</v>
      </c>
      <c r="C157" s="1">
        <f>SUMIFS(
  '[1]Hoja 1'!$M:$M,
  '[1]Hoja 1'!$S:$S, $A157,
  '[1]Hoja 1'!$R:$R, "&gt;="&amp;INT($E$1),
  '[1]Hoja 1'!$R:$R, "&lt;"&amp;INT($F$1+1)
)</f>
        <v>1</v>
      </c>
      <c r="D157" s="1" t="str">
        <f>""</f>
        <v/>
      </c>
      <c r="F157" s="2"/>
      <c r="G157" s="1">
        <f>SUMIFS(
  '[1]Hoja 1'!$M:$M,
  '[1]Hoja 1'!$S:$S, $A157,
  '[1]Hoja 1'!$R:$R, "&gt;="&amp;INT($I$1),
  '[1]Hoja 1'!$R:$R, "&lt;"&amp;INT($J$1+1)
)</f>
        <v>2</v>
      </c>
      <c r="H157" s="1">
        <f t="shared" si="170"/>
        <v>1.5</v>
      </c>
      <c r="I157" s="1"/>
      <c r="J157" s="2"/>
      <c r="K157" s="1">
        <f>SUMIFS(
  '[1]Hoja 1'!$M:$M,
  '[1]Hoja 1'!$S:$S, $A157,
  '[1]Hoja 1'!$R:$R, "&gt;="&amp;INT($M$1),
  '[1]Hoja 1'!$R:$R, "&lt;"&amp;INT($N$1+1)
)</f>
        <v>0</v>
      </c>
      <c r="L157" s="1">
        <f t="shared" si="171"/>
        <v>1</v>
      </c>
      <c r="M157" s="9">
        <f t="shared" si="172"/>
        <v>-1.0788939366884494</v>
      </c>
      <c r="N157" s="10">
        <f t="shared" si="173"/>
        <v>3.0788939366884494</v>
      </c>
      <c r="O157" s="1">
        <f>SUMIFS(
  '[1]Hoja 1'!$M:$M,
  '[1]Hoja 1'!$S:$S, $A157,
  '[1]Hoja 1'!$R:$R, "&gt;="&amp;INT($Q$1),
  '[1]Hoja 1'!$R:$R, "&lt;"&amp;INT($R$1+1)
)</f>
        <v>0</v>
      </c>
      <c r="P157" s="1">
        <f t="shared" si="174"/>
        <v>0</v>
      </c>
      <c r="Q157" s="9">
        <f t="shared" si="175"/>
        <v>-0.49697472701890777</v>
      </c>
      <c r="R157" s="10">
        <f t="shared" si="176"/>
        <v>2.496974727018908</v>
      </c>
      <c r="S157" s="1">
        <f>SUMIFS(
  '[1]Hoja 1'!$M:$M,
  '[1]Hoja 1'!$S:$S, $A157,
  '[1]Hoja 1'!$R:$R, "&gt;="&amp;INT($U$1),
  '[1]Hoja 1'!$R:$R, "&lt;"&amp;INT($V$1+1)
)</f>
        <v>1</v>
      </c>
      <c r="T157" s="1">
        <f t="shared" si="177"/>
        <v>1</v>
      </c>
      <c r="U157" s="9">
        <f t="shared" si="178"/>
        <v>-0.38592929112563312</v>
      </c>
      <c r="V157" s="10">
        <f t="shared" si="179"/>
        <v>2.3859292911256329</v>
      </c>
      <c r="W157" s="1">
        <f>SUMIFS(
  '[1]Hoja 1'!$M:$M,
  '[1]Hoja 1'!$S:$S, $A157,
  '[1]Hoja 1'!$R:$R, "&gt;="&amp;INT($Y$1),
  '[1]Hoja 1'!$R:$R, "&lt;"&amp;INT($Z$1+1)
)</f>
        <v>1</v>
      </c>
      <c r="X157" s="1">
        <f t="shared" si="180"/>
        <v>1</v>
      </c>
      <c r="Y157" s="9">
        <f t="shared" si="181"/>
        <v>-0.23313962442755565</v>
      </c>
      <c r="Z157" s="10">
        <f t="shared" si="182"/>
        <v>2.2331396244275554</v>
      </c>
      <c r="AA157" s="1">
        <f>SUMIFS(
  '[1]Hoja 1'!$M:$M,
  '[1]Hoja 1'!$S:$S, $A157,
  '[1]Hoja 1'!$R:$R, "&gt;="&amp;INT($AC$1),
  '[1]Hoja 1'!$R:$R, "&lt;"&amp;INT($AD$1+1)
)</f>
        <v>1</v>
      </c>
      <c r="AB157" s="1">
        <f t="shared" si="183"/>
        <v>1</v>
      </c>
      <c r="AC157" s="9">
        <f t="shared" si="184"/>
        <v>0.56173067641004126</v>
      </c>
      <c r="AD157" s="10">
        <f t="shared" si="185"/>
        <v>1.49</v>
      </c>
      <c r="AE157" s="1">
        <f>SUMIFS(
  '[1]Hoja 1'!$M:$M,
  '[1]Hoja 1'!$S:$S, $A157,
  '[1]Hoja 1'!$R:$R, "&gt;="&amp;INT($AG$1),
  '[1]Hoja 1'!$R:$R, "&lt;"&amp;INT($AH$1+1)
)</f>
        <v>0</v>
      </c>
      <c r="AF157" s="1">
        <f t="shared" si="186"/>
        <v>1</v>
      </c>
      <c r="AG157" s="9">
        <f t="shared" si="187"/>
        <v>0.30703535443718344</v>
      </c>
      <c r="AH157" s="10">
        <f t="shared" si="188"/>
        <v>1.8001666493091715</v>
      </c>
      <c r="AI157" s="1">
        <f>SUMIFS(
  '[1]Hoja 1'!$M:$M,
  '[1]Hoja 1'!$S:$S, $A157,
  '[1]Hoja 1'!$R:$R, "&gt;="&amp;INT($AK$1),
  '[1]Hoja 1'!$R:$R, "&lt;"&amp;INT($AL$1+1)
)</f>
        <v>0</v>
      </c>
      <c r="AJ157" s="1">
        <f t="shared" si="189"/>
        <v>0</v>
      </c>
      <c r="AK157" s="9">
        <f t="shared" si="190"/>
        <v>-0.43826932358995874</v>
      </c>
      <c r="AL157" s="10">
        <f t="shared" si="191"/>
        <v>0.49</v>
      </c>
      <c r="AM157" s="1">
        <f>SUMIFS(
  '[1]Hoja 1'!$M:$M,
  '[1]Hoja 1'!$S:$S, $A157,
  '[1]Hoja 1'!$R:$R, "&gt;="&amp;INT($AO$1),
  '[1]Hoja 1'!$R:$R, "&lt;"&amp;INT($AP$1+1)
)</f>
        <v>0</v>
      </c>
      <c r="AN157" s="1">
        <f t="shared" si="192"/>
        <v>0</v>
      </c>
      <c r="AO157" s="9">
        <f t="shared" si="193"/>
        <v>-0.43826932358995874</v>
      </c>
      <c r="AP157" s="10">
        <f t="shared" si="194"/>
        <v>0.49</v>
      </c>
      <c r="AQ157" s="1">
        <f>SUMIFS(
  '[1]Hoja 1'!$M:$M,
  '[1]Hoja 1'!$S:$S, $A157,
  '[1]Hoja 1'!$R:$R, "&gt;="&amp;INT($AS$1),
  '[1]Hoja 1'!$R:$R, "&lt;"&amp;INT($AT$1+1)
)</f>
        <v>0</v>
      </c>
      <c r="AR157" s="1">
        <f t="shared" si="195"/>
        <v>0</v>
      </c>
      <c r="AS157" s="9">
        <f t="shared" si="196"/>
        <v>-0.43826932358995874</v>
      </c>
      <c r="AT157" s="10">
        <f t="shared" si="197"/>
        <v>0.49</v>
      </c>
      <c r="AU157" s="1">
        <f>SUMIFS(
  '[1]Hoja 1'!$M:$M,
  '[1]Hoja 1'!$S:$S, $A157,
  '[1]Hoja 1'!$R:$R, "&gt;="&amp;INT($AW$1),
  '[1]Hoja 1'!$R:$R, "&lt;"&amp;INT($AX$1+1)
)</f>
        <v>0</v>
      </c>
      <c r="AV157" s="1">
        <f t="shared" si="198"/>
        <v>0</v>
      </c>
      <c r="AW157" s="9">
        <f t="shared" si="199"/>
        <v>0</v>
      </c>
      <c r="AX157" s="10">
        <f t="shared" si="200"/>
        <v>0</v>
      </c>
      <c r="AY157" s="1">
        <f>SUMIFS(
  '[1]Hoja 1'!$M:$M,
  '[1]Hoja 1'!$S:$S, $A157,
  '[1]Hoja 1'!$R:$R, "&gt;="&amp;INT($BA$1),
  '[1]Hoja 1'!$R:$R, "&lt;"&amp;INT($BB$1+1)
)</f>
        <v>0</v>
      </c>
      <c r="AZ157" s="1">
        <f t="shared" si="201"/>
        <v>0</v>
      </c>
      <c r="BA157" s="9">
        <f t="shared" si="202"/>
        <v>0</v>
      </c>
      <c r="BB157" s="10">
        <f t="shared" si="203"/>
        <v>0</v>
      </c>
      <c r="BC157" s="1">
        <f>SUMIFS(
  '[1]Hoja 1'!$M:$M,
  '[1]Hoja 1'!$S:$S, $A157,
  '[1]Hoja 1'!$R:$R, "&gt;="&amp;INT($BE$1),
  '[1]Hoja 1'!$R:$R, "&lt;"&amp;INT($BF$1+1)
)</f>
        <v>0</v>
      </c>
      <c r="BD157" s="1">
        <f t="shared" si="204"/>
        <v>0</v>
      </c>
      <c r="BE157" s="9">
        <f t="shared" si="205"/>
        <v>0</v>
      </c>
      <c r="BF157" s="10">
        <f t="shared" si="206"/>
        <v>0</v>
      </c>
      <c r="BG157" s="1">
        <f>SUMIFS(
  '[1]Hoja 1'!$M:$M,
  '[1]Hoja 1'!$S:$S, $A157,
  '[1]Hoja 1'!$R:$R, "&gt;="&amp;INT($BI$1),
  '[1]Hoja 1'!$R:$R, "&lt;"&amp;INT($BJ$1+1)
)</f>
        <v>0</v>
      </c>
      <c r="BH157" s="1">
        <f t="shared" si="207"/>
        <v>0</v>
      </c>
      <c r="BI157" s="9">
        <f t="shared" si="208"/>
        <v>0</v>
      </c>
      <c r="BJ157" s="10">
        <f t="shared" si="209"/>
        <v>0</v>
      </c>
      <c r="BK157" s="1">
        <f>SUMIFS(
  '[1]Hoja 1'!$M:$M,
  '[1]Hoja 1'!$S:$S, $A157,
  '[1]Hoja 1'!$R:$R, "&gt;="&amp;INT($BM$1),
  '[1]Hoja 1'!$R:$R, "&lt;"&amp;INT($BN$1+1)
)</f>
        <v>0</v>
      </c>
      <c r="BL157" s="1">
        <f t="shared" si="210"/>
        <v>0</v>
      </c>
      <c r="BM157" s="9">
        <f t="shared" si="211"/>
        <v>0</v>
      </c>
      <c r="BN157" s="10">
        <f t="shared" si="212"/>
        <v>0</v>
      </c>
      <c r="BO157" s="1">
        <f>SUMIFS(
  '[1]Hoja 1'!$M:$M,
  '[1]Hoja 1'!$S:$S, $A157,
  '[1]Hoja 1'!$R:$R, "&gt;="&amp;INT($BQ$1),
  '[1]Hoja 1'!$R:$R, "&lt;"&amp;INT($BR$1+1)
)</f>
        <v>0</v>
      </c>
      <c r="BP157" s="1">
        <f t="shared" si="213"/>
        <v>0</v>
      </c>
      <c r="BQ157" s="9">
        <f t="shared" si="214"/>
        <v>0</v>
      </c>
      <c r="BR157" s="10">
        <f t="shared" si="215"/>
        <v>0</v>
      </c>
      <c r="BS157" s="1">
        <f>SUMIFS(
  '[1]Hoja 1'!$M:$M,
  '[1]Hoja 1'!$S:$S, $A157,
  '[1]Hoja 1'!$R:$R, "&gt;="&amp;INT($BU$1),
  '[1]Hoja 1'!$R:$R, "&lt;"&amp;INT($BV$1+1)
)</f>
        <v>0</v>
      </c>
      <c r="BT157" s="1">
        <f t="shared" si="216"/>
        <v>0</v>
      </c>
      <c r="BU157" s="9">
        <f t="shared" si="217"/>
        <v>0</v>
      </c>
      <c r="BV157" s="10">
        <f t="shared" si="218"/>
        <v>0</v>
      </c>
      <c r="BW157" s="1">
        <f>SUMIFS(
  '[1]Hoja 1'!$M:$M,
  '[1]Hoja 1'!$S:$S, $A157,
  '[1]Hoja 1'!$R:$R, "&gt;="&amp;INT($BY$1),
  '[1]Hoja 1'!$R:$R, "&lt;"&amp;INT($BZ$1+1)
)</f>
        <v>0</v>
      </c>
      <c r="BX157" s="1">
        <f t="shared" si="219"/>
        <v>0</v>
      </c>
      <c r="BY157" s="9">
        <f t="shared" si="220"/>
        <v>0</v>
      </c>
      <c r="BZ157" s="10">
        <f t="shared" si="221"/>
        <v>0</v>
      </c>
      <c r="CA157" s="1">
        <f>SUMIFS(
  '[1]Hoja 1'!$M:$M,
  '[1]Hoja 1'!$S:$S, $A157,
  '[1]Hoja 1'!$R:$R, "&gt;="&amp;INT($CC$1),
  '[1]Hoja 1'!$R:$R, "&lt;"&amp;INT($CD$1+1)
)</f>
        <v>0</v>
      </c>
      <c r="CB157" s="1">
        <f t="shared" si="222"/>
        <v>0</v>
      </c>
      <c r="CC157" s="9">
        <f t="shared" si="223"/>
        <v>0</v>
      </c>
      <c r="CD157" s="10">
        <f t="shared" si="224"/>
        <v>0</v>
      </c>
      <c r="CE157" s="1">
        <f>SUMIFS(
  '[1]Hoja 1'!$M:$M,
  '[1]Hoja 1'!$S:$S, $A157,
  '[1]Hoja 1'!$R:$R, "&gt;="&amp;INT($CG$1),
  '[1]Hoja 1'!$R:$R, "&lt;"&amp;INT($CH$1+1)
)</f>
        <v>0</v>
      </c>
      <c r="CF157" s="1">
        <f t="shared" si="225"/>
        <v>0</v>
      </c>
      <c r="CG157" s="9">
        <f t="shared" si="226"/>
        <v>0</v>
      </c>
      <c r="CH157" s="10">
        <f t="shared" si="227"/>
        <v>0</v>
      </c>
      <c r="CI157" s="1">
        <f>SUMIFS(
  '[1]Hoja 1'!$M:$M,
  '[1]Hoja 1'!$S:$S, $A157,
  '[1]Hoja 1'!$R:$R, "&gt;="&amp;INT($CK$1),
  '[1]Hoja 1'!$R:$R, "&lt;"&amp;INT($CL$1+1)
)</f>
        <v>0</v>
      </c>
      <c r="CJ157" s="1">
        <f t="shared" si="228"/>
        <v>0</v>
      </c>
      <c r="CK157" s="9">
        <f t="shared" si="229"/>
        <v>0</v>
      </c>
      <c r="CL157" s="10">
        <f t="shared" si="230"/>
        <v>0</v>
      </c>
      <c r="CM157" s="1">
        <f>SUMIFS(
  '[1]Hoja 1'!$M:$M,
  '[1]Hoja 1'!$S:$S, $A157,
  '[1]Hoja 1'!$R:$R, "&gt;="&amp;INT($CO$1),
  '[1]Hoja 1'!$R:$R, "&lt;"&amp;INT($CP$1+1)
)</f>
        <v>0</v>
      </c>
      <c r="CN157" s="1">
        <f t="shared" si="231"/>
        <v>0</v>
      </c>
      <c r="CO157" s="9">
        <f t="shared" si="232"/>
        <v>0</v>
      </c>
      <c r="CP157" s="10">
        <f t="shared" si="233"/>
        <v>0</v>
      </c>
      <c r="CQ157" s="1">
        <f>SUMIFS(
  '[1]Hoja 1'!$M:$M,
  '[1]Hoja 1'!$S:$S, $A157,
  '[1]Hoja 1'!$R:$R, "&gt;="&amp;INT($CS$1),
  '[1]Hoja 1'!$R:$R, "&lt;"&amp;INT($CT$1+1)
)</f>
        <v>0</v>
      </c>
      <c r="CR157" s="1">
        <f t="shared" si="234"/>
        <v>0</v>
      </c>
      <c r="CS157" s="9">
        <f t="shared" si="235"/>
        <v>0</v>
      </c>
      <c r="CT157" s="10">
        <f t="shared" si="236"/>
        <v>0</v>
      </c>
      <c r="CU157" s="1">
        <f>SUMIFS(
  '[1]Hoja 1'!$M:$M,
  '[1]Hoja 1'!$S:$S, $A157,
  '[1]Hoja 1'!$R:$R, "&gt;="&amp;INT($CW$1),
  '[1]Hoja 1'!$R:$R, "&lt;"&amp;INT($CX$1+1)
)</f>
        <v>0</v>
      </c>
      <c r="CV157" s="1">
        <f t="shared" si="237"/>
        <v>0</v>
      </c>
      <c r="CW157" s="9">
        <f t="shared" si="238"/>
        <v>0</v>
      </c>
      <c r="CX157" s="10">
        <f t="shared" si="239"/>
        <v>0</v>
      </c>
      <c r="CY157" s="1">
        <f>SUMIFS(
  '[1]Hoja 1'!$M:$M,
  '[1]Hoja 1'!$S:$S, $A157,
  '[1]Hoja 1'!$R:$R, "&gt;="&amp;INT($DA$1),
  '[1]Hoja 1'!$R:$R, "&lt;"&amp;INT($DB$1+1)
)</f>
        <v>0</v>
      </c>
      <c r="CZ157" s="1">
        <f t="shared" si="240"/>
        <v>0</v>
      </c>
      <c r="DA157" s="9">
        <f t="shared" si="241"/>
        <v>0</v>
      </c>
      <c r="DB157" s="10">
        <f t="shared" si="242"/>
        <v>0</v>
      </c>
      <c r="DC157" s="1">
        <f>SUMIFS(
  '[1]Hoja 1'!$M:$M,
  '[1]Hoja 1'!$S:$S, $A157,
  '[1]Hoja 1'!$R:$R, "&gt;="&amp;INT($DE$1),
  '[1]Hoja 1'!$R:$R, "&lt;"&amp;INT($DF$1+1)
)</f>
        <v>0</v>
      </c>
      <c r="DD157" s="1">
        <f t="shared" si="243"/>
        <v>0</v>
      </c>
      <c r="DE157" s="9">
        <f t="shared" si="244"/>
        <v>0</v>
      </c>
      <c r="DF157" s="10">
        <f t="shared" si="245"/>
        <v>0</v>
      </c>
      <c r="DG157" s="1">
        <f>SUMIFS(
  '[1]Hoja 1'!$M:$M,
  '[1]Hoja 1'!$S:$S, $A157,
  '[1]Hoja 1'!$R:$R, "&gt;="&amp;INT($DI$1),
  '[1]Hoja 1'!$R:$R, "&lt;"&amp;INT($DJ$1+1)
)</f>
        <v>0</v>
      </c>
      <c r="DH157" s="1">
        <f t="shared" si="246"/>
        <v>0</v>
      </c>
      <c r="DI157" s="9">
        <f t="shared" si="247"/>
        <v>0</v>
      </c>
      <c r="DJ157" s="10">
        <f t="shared" si="248"/>
        <v>0</v>
      </c>
      <c r="DK157" s="1">
        <f>SUMIFS(
  '[1]Hoja 1'!$M:$M,
  '[1]Hoja 1'!$S:$S, $A157,
  '[1]Hoja 1'!$R:$R, "&gt;="&amp;INT($DM$1),
  '[1]Hoja 1'!$R:$R, "&lt;"&amp;INT($DN$1+1)
)</f>
        <v>0</v>
      </c>
      <c r="DL157" s="1">
        <f t="shared" si="249"/>
        <v>0</v>
      </c>
      <c r="DM157" s="9">
        <f t="shared" si="250"/>
        <v>0</v>
      </c>
      <c r="DN157" s="10">
        <f t="shared" si="251"/>
        <v>0</v>
      </c>
      <c r="DO157" s="1">
        <f>SUMIFS(
  '[1]Hoja 1'!$M:$M,
  '[1]Hoja 1'!$S:$S, $A157,
  '[1]Hoja 1'!$R:$R, "&gt;="&amp;INT($DQ$1),
  '[1]Hoja 1'!$R:$R, "&lt;"&amp;INT($DR$1+1)
)</f>
        <v>0</v>
      </c>
      <c r="DP157" s="1">
        <f t="shared" si="252"/>
        <v>0</v>
      </c>
      <c r="DQ157" s="9">
        <f t="shared" si="253"/>
        <v>0</v>
      </c>
      <c r="DR157" s="10">
        <f t="shared" si="254"/>
        <v>0</v>
      </c>
    </row>
    <row r="158" spans="1:122" x14ac:dyDescent="0.25">
      <c r="A158" s="5">
        <v>226028</v>
      </c>
      <c r="B158" s="6" t="s">
        <v>156</v>
      </c>
      <c r="C158" s="1">
        <f>SUMIFS(
  '[1]Hoja 1'!$M:$M,
  '[1]Hoja 1'!$S:$S, $A158,
  '[1]Hoja 1'!$R:$R, "&gt;="&amp;INT($E$1),
  '[1]Hoja 1'!$R:$R, "&lt;"&amp;INT($F$1+1)
)</f>
        <v>0</v>
      </c>
      <c r="D158" s="1" t="str">
        <f>""</f>
        <v/>
      </c>
      <c r="F158" s="2"/>
      <c r="G158" s="1">
        <f>SUMIFS(
  '[1]Hoja 1'!$M:$M,
  '[1]Hoja 1'!$S:$S, $A158,
  '[1]Hoja 1'!$R:$R, "&gt;="&amp;INT($I$1),
  '[1]Hoja 1'!$R:$R, "&lt;"&amp;INT($J$1+1)
)</f>
        <v>0</v>
      </c>
      <c r="H158" s="1">
        <f t="shared" si="170"/>
        <v>0</v>
      </c>
      <c r="I158" s="1"/>
      <c r="J158" s="2"/>
      <c r="K158" s="1">
        <f>SUMIFS(
  '[1]Hoja 1'!$M:$M,
  '[1]Hoja 1'!$S:$S, $A158,
  '[1]Hoja 1'!$R:$R, "&gt;="&amp;INT($M$1),
  '[1]Hoja 1'!$R:$R, "&lt;"&amp;INT($N$1+1)
)</f>
        <v>0</v>
      </c>
      <c r="L158" s="1">
        <f t="shared" si="171"/>
        <v>0</v>
      </c>
      <c r="M158" s="9">
        <f t="shared" si="172"/>
        <v>0</v>
      </c>
      <c r="N158" s="10">
        <f t="shared" si="173"/>
        <v>0</v>
      </c>
      <c r="O158" s="1">
        <f>SUMIFS(
  '[1]Hoja 1'!$M:$M,
  '[1]Hoja 1'!$S:$S, $A158,
  '[1]Hoja 1'!$R:$R, "&gt;="&amp;INT($Q$1),
  '[1]Hoja 1'!$R:$R, "&lt;"&amp;INT($R$1+1)
)</f>
        <v>0</v>
      </c>
      <c r="P158" s="1">
        <f t="shared" si="174"/>
        <v>0</v>
      </c>
      <c r="Q158" s="9">
        <f t="shared" si="175"/>
        <v>0</v>
      </c>
      <c r="R158" s="10">
        <f t="shared" si="176"/>
        <v>0</v>
      </c>
      <c r="S158" s="1">
        <f>SUMIFS(
  '[1]Hoja 1'!$M:$M,
  '[1]Hoja 1'!$S:$S, $A158,
  '[1]Hoja 1'!$R:$R, "&gt;="&amp;INT($U$1),
  '[1]Hoja 1'!$R:$R, "&lt;"&amp;INT($V$1+1)
)</f>
        <v>0</v>
      </c>
      <c r="T158" s="1">
        <f t="shared" si="177"/>
        <v>0</v>
      </c>
      <c r="U158" s="9">
        <f t="shared" si="178"/>
        <v>0</v>
      </c>
      <c r="V158" s="10">
        <f t="shared" si="179"/>
        <v>0</v>
      </c>
      <c r="W158" s="1">
        <f>SUMIFS(
  '[1]Hoja 1'!$M:$M,
  '[1]Hoja 1'!$S:$S, $A158,
  '[1]Hoja 1'!$R:$R, "&gt;="&amp;INT($Y$1),
  '[1]Hoja 1'!$R:$R, "&lt;"&amp;INT($Z$1+1)
)</f>
        <v>0</v>
      </c>
      <c r="X158" s="1">
        <f t="shared" si="180"/>
        <v>0</v>
      </c>
      <c r="Y158" s="9">
        <f t="shared" si="181"/>
        <v>0</v>
      </c>
      <c r="Z158" s="10">
        <f t="shared" si="182"/>
        <v>0</v>
      </c>
      <c r="AA158" s="1">
        <f>SUMIFS(
  '[1]Hoja 1'!$M:$M,
  '[1]Hoja 1'!$S:$S, $A158,
  '[1]Hoja 1'!$R:$R, "&gt;="&amp;INT($AC$1),
  '[1]Hoja 1'!$R:$R, "&lt;"&amp;INT($AD$1+1)
)</f>
        <v>0</v>
      </c>
      <c r="AB158" s="1">
        <f t="shared" si="183"/>
        <v>0</v>
      </c>
      <c r="AC158" s="9">
        <f t="shared" si="184"/>
        <v>0</v>
      </c>
      <c r="AD158" s="10">
        <f t="shared" si="185"/>
        <v>0</v>
      </c>
      <c r="AE158" s="1">
        <f>SUMIFS(
  '[1]Hoja 1'!$M:$M,
  '[1]Hoja 1'!$S:$S, $A158,
  '[1]Hoja 1'!$R:$R, "&gt;="&amp;INT($AG$1),
  '[1]Hoja 1'!$R:$R, "&lt;"&amp;INT($AH$1+1)
)</f>
        <v>0</v>
      </c>
      <c r="AF158" s="1">
        <f t="shared" si="186"/>
        <v>0</v>
      </c>
      <c r="AG158" s="9">
        <f t="shared" si="187"/>
        <v>0</v>
      </c>
      <c r="AH158" s="10">
        <f t="shared" si="188"/>
        <v>0</v>
      </c>
      <c r="AI158" s="1">
        <f>SUMIFS(
  '[1]Hoja 1'!$M:$M,
  '[1]Hoja 1'!$S:$S, $A158,
  '[1]Hoja 1'!$R:$R, "&gt;="&amp;INT($AK$1),
  '[1]Hoja 1'!$R:$R, "&lt;"&amp;INT($AL$1+1)
)</f>
        <v>0</v>
      </c>
      <c r="AJ158" s="1">
        <f t="shared" si="189"/>
        <v>0</v>
      </c>
      <c r="AK158" s="9">
        <f t="shared" si="190"/>
        <v>0</v>
      </c>
      <c r="AL158" s="10">
        <f t="shared" si="191"/>
        <v>0</v>
      </c>
      <c r="AM158" s="1">
        <f>SUMIFS(
  '[1]Hoja 1'!$M:$M,
  '[1]Hoja 1'!$S:$S, $A158,
  '[1]Hoja 1'!$R:$R, "&gt;="&amp;INT($AO$1),
  '[1]Hoja 1'!$R:$R, "&lt;"&amp;INT($AP$1+1)
)</f>
        <v>0</v>
      </c>
      <c r="AN158" s="1">
        <f t="shared" si="192"/>
        <v>0</v>
      </c>
      <c r="AO158" s="9">
        <f t="shared" si="193"/>
        <v>0</v>
      </c>
      <c r="AP158" s="10">
        <f t="shared" si="194"/>
        <v>0</v>
      </c>
      <c r="AQ158" s="1">
        <f>SUMIFS(
  '[1]Hoja 1'!$M:$M,
  '[1]Hoja 1'!$S:$S, $A158,
  '[1]Hoja 1'!$R:$R, "&gt;="&amp;INT($AS$1),
  '[1]Hoja 1'!$R:$R, "&lt;"&amp;INT($AT$1+1)
)</f>
        <v>0</v>
      </c>
      <c r="AR158" s="1">
        <f t="shared" si="195"/>
        <v>0</v>
      </c>
      <c r="AS158" s="9">
        <f t="shared" si="196"/>
        <v>0</v>
      </c>
      <c r="AT158" s="10">
        <f t="shared" si="197"/>
        <v>0</v>
      </c>
      <c r="AU158" s="1">
        <f>SUMIFS(
  '[1]Hoja 1'!$M:$M,
  '[1]Hoja 1'!$S:$S, $A158,
  '[1]Hoja 1'!$R:$R, "&gt;="&amp;INT($AW$1),
  '[1]Hoja 1'!$R:$R, "&lt;"&amp;INT($AX$1+1)
)</f>
        <v>0</v>
      </c>
      <c r="AV158" s="1">
        <f t="shared" si="198"/>
        <v>0</v>
      </c>
      <c r="AW158" s="9">
        <f t="shared" si="199"/>
        <v>0</v>
      </c>
      <c r="AX158" s="10">
        <f t="shared" si="200"/>
        <v>0</v>
      </c>
      <c r="AY158" s="1">
        <f>SUMIFS(
  '[1]Hoja 1'!$M:$M,
  '[1]Hoja 1'!$S:$S, $A158,
  '[1]Hoja 1'!$R:$R, "&gt;="&amp;INT($BA$1),
  '[1]Hoja 1'!$R:$R, "&lt;"&amp;INT($BB$1+1)
)</f>
        <v>0</v>
      </c>
      <c r="AZ158" s="1">
        <f t="shared" si="201"/>
        <v>0</v>
      </c>
      <c r="BA158" s="9">
        <f t="shared" si="202"/>
        <v>0</v>
      </c>
      <c r="BB158" s="10">
        <f t="shared" si="203"/>
        <v>0</v>
      </c>
      <c r="BC158" s="1">
        <f>SUMIFS(
  '[1]Hoja 1'!$M:$M,
  '[1]Hoja 1'!$S:$S, $A158,
  '[1]Hoja 1'!$R:$R, "&gt;="&amp;INT($BE$1),
  '[1]Hoja 1'!$R:$R, "&lt;"&amp;INT($BF$1+1)
)</f>
        <v>0</v>
      </c>
      <c r="BD158" s="1">
        <f t="shared" si="204"/>
        <v>0</v>
      </c>
      <c r="BE158" s="9">
        <f t="shared" si="205"/>
        <v>0</v>
      </c>
      <c r="BF158" s="10">
        <f t="shared" si="206"/>
        <v>0</v>
      </c>
      <c r="BG158" s="1">
        <f>SUMIFS(
  '[1]Hoja 1'!$M:$M,
  '[1]Hoja 1'!$S:$S, $A158,
  '[1]Hoja 1'!$R:$R, "&gt;="&amp;INT($BI$1),
  '[1]Hoja 1'!$R:$R, "&lt;"&amp;INT($BJ$1+1)
)</f>
        <v>0</v>
      </c>
      <c r="BH158" s="1">
        <f t="shared" si="207"/>
        <v>0</v>
      </c>
      <c r="BI158" s="9">
        <f t="shared" si="208"/>
        <v>0</v>
      </c>
      <c r="BJ158" s="10">
        <f t="shared" si="209"/>
        <v>0</v>
      </c>
      <c r="BK158" s="1">
        <f>SUMIFS(
  '[1]Hoja 1'!$M:$M,
  '[1]Hoja 1'!$S:$S, $A158,
  '[1]Hoja 1'!$R:$R, "&gt;="&amp;INT($BM$1),
  '[1]Hoja 1'!$R:$R, "&lt;"&amp;INT($BN$1+1)
)</f>
        <v>0</v>
      </c>
      <c r="BL158" s="1">
        <f t="shared" si="210"/>
        <v>0</v>
      </c>
      <c r="BM158" s="9">
        <f t="shared" si="211"/>
        <v>0</v>
      </c>
      <c r="BN158" s="10">
        <f t="shared" si="212"/>
        <v>0</v>
      </c>
      <c r="BO158" s="1">
        <f>SUMIFS(
  '[1]Hoja 1'!$M:$M,
  '[1]Hoja 1'!$S:$S, $A158,
  '[1]Hoja 1'!$R:$R, "&gt;="&amp;INT($BQ$1),
  '[1]Hoja 1'!$R:$R, "&lt;"&amp;INT($BR$1+1)
)</f>
        <v>0</v>
      </c>
      <c r="BP158" s="1">
        <f t="shared" si="213"/>
        <v>0</v>
      </c>
      <c r="BQ158" s="9">
        <f t="shared" si="214"/>
        <v>0</v>
      </c>
      <c r="BR158" s="10">
        <f t="shared" si="215"/>
        <v>0</v>
      </c>
      <c r="BS158" s="1">
        <f>SUMIFS(
  '[1]Hoja 1'!$M:$M,
  '[1]Hoja 1'!$S:$S, $A158,
  '[1]Hoja 1'!$R:$R, "&gt;="&amp;INT($BU$1),
  '[1]Hoja 1'!$R:$R, "&lt;"&amp;INT($BV$1+1)
)</f>
        <v>0</v>
      </c>
      <c r="BT158" s="1">
        <f t="shared" si="216"/>
        <v>0</v>
      </c>
      <c r="BU158" s="9">
        <f t="shared" si="217"/>
        <v>0</v>
      </c>
      <c r="BV158" s="10">
        <f t="shared" si="218"/>
        <v>0</v>
      </c>
      <c r="BW158" s="1">
        <f>SUMIFS(
  '[1]Hoja 1'!$M:$M,
  '[1]Hoja 1'!$S:$S, $A158,
  '[1]Hoja 1'!$R:$R, "&gt;="&amp;INT($BY$1),
  '[1]Hoja 1'!$R:$R, "&lt;"&amp;INT($BZ$1+1)
)</f>
        <v>0</v>
      </c>
      <c r="BX158" s="1">
        <f t="shared" si="219"/>
        <v>0</v>
      </c>
      <c r="BY158" s="9">
        <f t="shared" si="220"/>
        <v>0</v>
      </c>
      <c r="BZ158" s="10">
        <f t="shared" si="221"/>
        <v>0</v>
      </c>
      <c r="CA158" s="1">
        <f>SUMIFS(
  '[1]Hoja 1'!$M:$M,
  '[1]Hoja 1'!$S:$S, $A158,
  '[1]Hoja 1'!$R:$R, "&gt;="&amp;INT($CC$1),
  '[1]Hoja 1'!$R:$R, "&lt;"&amp;INT($CD$1+1)
)</f>
        <v>0</v>
      </c>
      <c r="CB158" s="1">
        <f t="shared" si="222"/>
        <v>0</v>
      </c>
      <c r="CC158" s="9">
        <f t="shared" si="223"/>
        <v>0</v>
      </c>
      <c r="CD158" s="10">
        <f t="shared" si="224"/>
        <v>0</v>
      </c>
      <c r="CE158" s="1">
        <f>SUMIFS(
  '[1]Hoja 1'!$M:$M,
  '[1]Hoja 1'!$S:$S, $A158,
  '[1]Hoja 1'!$R:$R, "&gt;="&amp;INT($CG$1),
  '[1]Hoja 1'!$R:$R, "&lt;"&amp;INT($CH$1+1)
)</f>
        <v>0</v>
      </c>
      <c r="CF158" s="1">
        <f t="shared" si="225"/>
        <v>0</v>
      </c>
      <c r="CG158" s="9">
        <f t="shared" si="226"/>
        <v>0</v>
      </c>
      <c r="CH158" s="10">
        <f t="shared" si="227"/>
        <v>0</v>
      </c>
      <c r="CI158" s="1">
        <f>SUMIFS(
  '[1]Hoja 1'!$M:$M,
  '[1]Hoja 1'!$S:$S, $A158,
  '[1]Hoja 1'!$R:$R, "&gt;="&amp;INT($CK$1),
  '[1]Hoja 1'!$R:$R, "&lt;"&amp;INT($CL$1+1)
)</f>
        <v>0</v>
      </c>
      <c r="CJ158" s="1">
        <f t="shared" si="228"/>
        <v>0</v>
      </c>
      <c r="CK158" s="9">
        <f t="shared" si="229"/>
        <v>0</v>
      </c>
      <c r="CL158" s="10">
        <f t="shared" si="230"/>
        <v>0</v>
      </c>
      <c r="CM158" s="1">
        <f>SUMIFS(
  '[1]Hoja 1'!$M:$M,
  '[1]Hoja 1'!$S:$S, $A158,
  '[1]Hoja 1'!$R:$R, "&gt;="&amp;INT($CO$1),
  '[1]Hoja 1'!$R:$R, "&lt;"&amp;INT($CP$1+1)
)</f>
        <v>0</v>
      </c>
      <c r="CN158" s="1">
        <f t="shared" si="231"/>
        <v>0</v>
      </c>
      <c r="CO158" s="9">
        <f t="shared" si="232"/>
        <v>0</v>
      </c>
      <c r="CP158" s="10">
        <f t="shared" si="233"/>
        <v>0</v>
      </c>
      <c r="CQ158" s="1">
        <f>SUMIFS(
  '[1]Hoja 1'!$M:$M,
  '[1]Hoja 1'!$S:$S, $A158,
  '[1]Hoja 1'!$R:$R, "&gt;="&amp;INT($CS$1),
  '[1]Hoja 1'!$R:$R, "&lt;"&amp;INT($CT$1+1)
)</f>
        <v>0</v>
      </c>
      <c r="CR158" s="1">
        <f t="shared" si="234"/>
        <v>0</v>
      </c>
      <c r="CS158" s="9">
        <f t="shared" si="235"/>
        <v>0</v>
      </c>
      <c r="CT158" s="10">
        <f t="shared" si="236"/>
        <v>0</v>
      </c>
      <c r="CU158" s="1">
        <f>SUMIFS(
  '[1]Hoja 1'!$M:$M,
  '[1]Hoja 1'!$S:$S, $A158,
  '[1]Hoja 1'!$R:$R, "&gt;="&amp;INT($CW$1),
  '[1]Hoja 1'!$R:$R, "&lt;"&amp;INT($CX$1+1)
)</f>
        <v>0</v>
      </c>
      <c r="CV158" s="1">
        <f t="shared" si="237"/>
        <v>0</v>
      </c>
      <c r="CW158" s="9">
        <f t="shared" si="238"/>
        <v>0</v>
      </c>
      <c r="CX158" s="10">
        <f t="shared" si="239"/>
        <v>0</v>
      </c>
      <c r="CY158" s="1">
        <f>SUMIFS(
  '[1]Hoja 1'!$M:$M,
  '[1]Hoja 1'!$S:$S, $A158,
  '[1]Hoja 1'!$R:$R, "&gt;="&amp;INT($DA$1),
  '[1]Hoja 1'!$R:$R, "&lt;"&amp;INT($DB$1+1)
)</f>
        <v>0</v>
      </c>
      <c r="CZ158" s="1">
        <f t="shared" si="240"/>
        <v>0</v>
      </c>
      <c r="DA158" s="9">
        <f t="shared" si="241"/>
        <v>0</v>
      </c>
      <c r="DB158" s="10">
        <f t="shared" si="242"/>
        <v>0</v>
      </c>
      <c r="DC158" s="1">
        <f>SUMIFS(
  '[1]Hoja 1'!$M:$M,
  '[1]Hoja 1'!$S:$S, $A158,
  '[1]Hoja 1'!$R:$R, "&gt;="&amp;INT($DE$1),
  '[1]Hoja 1'!$R:$R, "&lt;"&amp;INT($DF$1+1)
)</f>
        <v>0</v>
      </c>
      <c r="DD158" s="1">
        <f t="shared" si="243"/>
        <v>0</v>
      </c>
      <c r="DE158" s="9">
        <f t="shared" si="244"/>
        <v>0</v>
      </c>
      <c r="DF158" s="10">
        <f t="shared" si="245"/>
        <v>0</v>
      </c>
      <c r="DG158" s="1">
        <f>SUMIFS(
  '[1]Hoja 1'!$M:$M,
  '[1]Hoja 1'!$S:$S, $A158,
  '[1]Hoja 1'!$R:$R, "&gt;="&amp;INT($DI$1),
  '[1]Hoja 1'!$R:$R, "&lt;"&amp;INT($DJ$1+1)
)</f>
        <v>0</v>
      </c>
      <c r="DH158" s="1">
        <f t="shared" si="246"/>
        <v>0</v>
      </c>
      <c r="DI158" s="9">
        <f t="shared" si="247"/>
        <v>0</v>
      </c>
      <c r="DJ158" s="10">
        <f t="shared" si="248"/>
        <v>0</v>
      </c>
      <c r="DK158" s="1">
        <f>SUMIFS(
  '[1]Hoja 1'!$M:$M,
  '[1]Hoja 1'!$S:$S, $A158,
  '[1]Hoja 1'!$R:$R, "&gt;="&amp;INT($DM$1),
  '[1]Hoja 1'!$R:$R, "&lt;"&amp;INT($DN$1+1)
)</f>
        <v>0</v>
      </c>
      <c r="DL158" s="1">
        <f t="shared" si="249"/>
        <v>0</v>
      </c>
      <c r="DM158" s="9">
        <f t="shared" si="250"/>
        <v>0</v>
      </c>
      <c r="DN158" s="10">
        <f t="shared" si="251"/>
        <v>0</v>
      </c>
      <c r="DO158" s="1">
        <f>SUMIFS(
  '[1]Hoja 1'!$M:$M,
  '[1]Hoja 1'!$S:$S, $A158,
  '[1]Hoja 1'!$R:$R, "&gt;="&amp;INT($DQ$1),
  '[1]Hoja 1'!$R:$R, "&lt;"&amp;INT($DR$1+1)
)</f>
        <v>0</v>
      </c>
      <c r="DP158" s="1">
        <f t="shared" si="252"/>
        <v>0</v>
      </c>
      <c r="DQ158" s="9">
        <f t="shared" si="253"/>
        <v>0</v>
      </c>
      <c r="DR158" s="10">
        <f t="shared" si="254"/>
        <v>0</v>
      </c>
    </row>
    <row r="159" spans="1:122" x14ac:dyDescent="0.25">
      <c r="A159" s="5">
        <v>226029</v>
      </c>
      <c r="B159" s="6" t="s">
        <v>157</v>
      </c>
      <c r="C159" s="1">
        <f>SUMIFS(
  '[1]Hoja 1'!$M:$M,
  '[1]Hoja 1'!$S:$S, $A159,
  '[1]Hoja 1'!$R:$R, "&gt;="&amp;INT($E$1),
  '[1]Hoja 1'!$R:$R, "&lt;"&amp;INT($F$1+1)
)</f>
        <v>0</v>
      </c>
      <c r="D159" s="1" t="str">
        <f>""</f>
        <v/>
      </c>
      <c r="F159" s="2"/>
      <c r="G159" s="1">
        <f>SUMIFS(
  '[1]Hoja 1'!$M:$M,
  '[1]Hoja 1'!$S:$S, $A159,
  '[1]Hoja 1'!$R:$R, "&gt;="&amp;INT($I$1),
  '[1]Hoja 1'!$R:$R, "&lt;"&amp;INT($J$1+1)
)</f>
        <v>0</v>
      </c>
      <c r="H159" s="1">
        <f t="shared" si="170"/>
        <v>0</v>
      </c>
      <c r="I159" s="1"/>
      <c r="J159" s="2"/>
      <c r="K159" s="1">
        <f>SUMIFS(
  '[1]Hoja 1'!$M:$M,
  '[1]Hoja 1'!$S:$S, $A159,
  '[1]Hoja 1'!$R:$R, "&gt;="&amp;INT($M$1),
  '[1]Hoja 1'!$R:$R, "&lt;"&amp;INT($N$1+1)
)</f>
        <v>5</v>
      </c>
      <c r="L159" s="1">
        <f t="shared" si="171"/>
        <v>2.5</v>
      </c>
      <c r="M159" s="9">
        <f t="shared" si="172"/>
        <v>-0.96482322781408314</v>
      </c>
      <c r="N159" s="10">
        <f t="shared" si="173"/>
        <v>5.9648232278140831</v>
      </c>
      <c r="O159" s="1">
        <f>SUMIFS(
  '[1]Hoja 1'!$M:$M,
  '[1]Hoja 1'!$S:$S, $A159,
  '[1]Hoja 1'!$R:$R, "&gt;="&amp;INT($Q$1),
  '[1]Hoja 1'!$R:$R, "&lt;"&amp;INT($R$1+1)
)</f>
        <v>0</v>
      </c>
      <c r="P159" s="1">
        <f t="shared" si="174"/>
        <v>2.5</v>
      </c>
      <c r="Q159" s="9">
        <f t="shared" si="175"/>
        <v>-2.4000000000000004</v>
      </c>
      <c r="R159" s="10">
        <f t="shared" si="176"/>
        <v>7.4</v>
      </c>
      <c r="S159" s="1">
        <f>SUMIFS(
  '[1]Hoja 1'!$M:$M,
  '[1]Hoja 1'!$S:$S, $A159,
  '[1]Hoja 1'!$R:$R, "&gt;="&amp;INT($U$1),
  '[1]Hoja 1'!$R:$R, "&lt;"&amp;INT($V$1+1)
)</f>
        <v>1</v>
      </c>
      <c r="T159" s="1">
        <f t="shared" si="177"/>
        <v>1</v>
      </c>
      <c r="U159" s="9">
        <f t="shared" si="178"/>
        <v>-3.0307278085560014</v>
      </c>
      <c r="V159" s="10">
        <f t="shared" si="179"/>
        <v>5.0307278085560014</v>
      </c>
      <c r="W159" s="1">
        <f>SUMIFS(
  '[1]Hoja 1'!$M:$M,
  '[1]Hoja 1'!$S:$S, $A159,
  '[1]Hoja 1'!$R:$R, "&gt;="&amp;INT($Y$1),
  '[1]Hoja 1'!$R:$R, "&lt;"&amp;INT($Z$1+1)
)</f>
        <v>0</v>
      </c>
      <c r="X159" s="1">
        <f t="shared" si="180"/>
        <v>1</v>
      </c>
      <c r="Y159" s="9">
        <f t="shared" si="181"/>
        <v>-3.08006535895362</v>
      </c>
      <c r="Z159" s="10">
        <f t="shared" si="182"/>
        <v>5.08006535895362</v>
      </c>
      <c r="AA159" s="1">
        <f>SUMIFS(
  '[1]Hoja 1'!$M:$M,
  '[1]Hoja 1'!$S:$S, $A159,
  '[1]Hoja 1'!$R:$R, "&gt;="&amp;INT($AC$1),
  '[1]Hoja 1'!$R:$R, "&lt;"&amp;INT($AD$1+1)
)</f>
        <v>1</v>
      </c>
      <c r="AB159" s="1">
        <f t="shared" si="183"/>
        <v>1</v>
      </c>
      <c r="AC159" s="9">
        <f t="shared" si="184"/>
        <v>-1.4401803212057915</v>
      </c>
      <c r="AD159" s="10">
        <f t="shared" si="185"/>
        <v>3.7718585822512662</v>
      </c>
      <c r="AE159" s="1">
        <f>SUMIFS(
  '[1]Hoja 1'!$M:$M,
  '[1]Hoja 1'!$S:$S, $A159,
  '[1]Hoja 1'!$R:$R, "&gt;="&amp;INT($AG$1),
  '[1]Hoja 1'!$R:$R, "&lt;"&amp;INT($AH$1+1)
)</f>
        <v>0</v>
      </c>
      <c r="AF159" s="1">
        <f t="shared" si="186"/>
        <v>1</v>
      </c>
      <c r="AG159" s="9">
        <f t="shared" si="187"/>
        <v>2.0000000000000018E-2</v>
      </c>
      <c r="AH159" s="10">
        <f t="shared" si="188"/>
        <v>2.1316065276116665</v>
      </c>
      <c r="AI159" s="1">
        <f>SUMIFS(
  '[1]Hoja 1'!$M:$M,
  '[1]Hoja 1'!$S:$S, $A159,
  '[1]Hoja 1'!$R:$R, "&gt;="&amp;INT($AK$1),
  '[1]Hoja 1'!$R:$R, "&lt;"&amp;INT($AL$1+1)
)</f>
        <v>0</v>
      </c>
      <c r="AJ159" s="1">
        <f t="shared" si="189"/>
        <v>0</v>
      </c>
      <c r="AK159" s="9">
        <f t="shared" si="190"/>
        <v>-0.81992682600339406</v>
      </c>
      <c r="AL159" s="10">
        <f t="shared" si="191"/>
        <v>0.93827856560121137</v>
      </c>
      <c r="AM159" s="1">
        <f>SUMIFS(
  '[1]Hoja 1'!$M:$M,
  '[1]Hoja 1'!$S:$S, $A159,
  '[1]Hoja 1'!$R:$R, "&gt;="&amp;INT($AO$1),
  '[1]Hoja 1'!$R:$R, "&lt;"&amp;INT($AP$1+1)
)</f>
        <v>0</v>
      </c>
      <c r="AN159" s="1">
        <f t="shared" si="192"/>
        <v>0</v>
      </c>
      <c r="AO159" s="9">
        <f t="shared" si="193"/>
        <v>-0.69296464556281656</v>
      </c>
      <c r="AP159" s="10">
        <f t="shared" si="194"/>
        <v>0.80016664930917147</v>
      </c>
      <c r="AQ159" s="1">
        <f>SUMIFS(
  '[1]Hoja 1'!$M:$M,
  '[1]Hoja 1'!$S:$S, $A159,
  '[1]Hoja 1'!$R:$R, "&gt;="&amp;INT($AS$1),
  '[1]Hoja 1'!$R:$R, "&lt;"&amp;INT($AT$1+1)
)</f>
        <v>0</v>
      </c>
      <c r="AR159" s="1">
        <f t="shared" si="195"/>
        <v>0</v>
      </c>
      <c r="AS159" s="9">
        <f t="shared" si="196"/>
        <v>-0.43826932358995874</v>
      </c>
      <c r="AT159" s="10">
        <f t="shared" si="197"/>
        <v>0.49</v>
      </c>
      <c r="AU159" s="1">
        <f>SUMIFS(
  '[1]Hoja 1'!$M:$M,
  '[1]Hoja 1'!$S:$S, $A159,
  '[1]Hoja 1'!$R:$R, "&gt;="&amp;INT($AW$1),
  '[1]Hoja 1'!$R:$R, "&lt;"&amp;INT($AX$1+1)
)</f>
        <v>0</v>
      </c>
      <c r="AV159" s="1">
        <f t="shared" si="198"/>
        <v>0</v>
      </c>
      <c r="AW159" s="9">
        <f t="shared" si="199"/>
        <v>0</v>
      </c>
      <c r="AX159" s="10">
        <f t="shared" si="200"/>
        <v>0</v>
      </c>
      <c r="AY159" s="1">
        <f>SUMIFS(
  '[1]Hoja 1'!$M:$M,
  '[1]Hoja 1'!$S:$S, $A159,
  '[1]Hoja 1'!$R:$R, "&gt;="&amp;INT($BA$1),
  '[1]Hoja 1'!$R:$R, "&lt;"&amp;INT($BB$1+1)
)</f>
        <v>0</v>
      </c>
      <c r="AZ159" s="1">
        <f t="shared" si="201"/>
        <v>0</v>
      </c>
      <c r="BA159" s="9">
        <f t="shared" si="202"/>
        <v>0</v>
      </c>
      <c r="BB159" s="10">
        <f t="shared" si="203"/>
        <v>0</v>
      </c>
      <c r="BC159" s="1">
        <f>SUMIFS(
  '[1]Hoja 1'!$M:$M,
  '[1]Hoja 1'!$S:$S, $A159,
  '[1]Hoja 1'!$R:$R, "&gt;="&amp;INT($BE$1),
  '[1]Hoja 1'!$R:$R, "&lt;"&amp;INT($BF$1+1)
)</f>
        <v>0</v>
      </c>
      <c r="BD159" s="1">
        <f t="shared" si="204"/>
        <v>0</v>
      </c>
      <c r="BE159" s="9">
        <f t="shared" si="205"/>
        <v>0</v>
      </c>
      <c r="BF159" s="10">
        <f t="shared" si="206"/>
        <v>0</v>
      </c>
      <c r="BG159" s="1">
        <f>SUMIFS(
  '[1]Hoja 1'!$M:$M,
  '[1]Hoja 1'!$S:$S, $A159,
  '[1]Hoja 1'!$R:$R, "&gt;="&amp;INT($BI$1),
  '[1]Hoja 1'!$R:$R, "&lt;"&amp;INT($BJ$1+1)
)</f>
        <v>0</v>
      </c>
      <c r="BH159" s="1">
        <f t="shared" si="207"/>
        <v>0</v>
      </c>
      <c r="BI159" s="9">
        <f t="shared" si="208"/>
        <v>0</v>
      </c>
      <c r="BJ159" s="10">
        <f t="shared" si="209"/>
        <v>0</v>
      </c>
      <c r="BK159" s="1">
        <f>SUMIFS(
  '[1]Hoja 1'!$M:$M,
  '[1]Hoja 1'!$S:$S, $A159,
  '[1]Hoja 1'!$R:$R, "&gt;="&amp;INT($BM$1),
  '[1]Hoja 1'!$R:$R, "&lt;"&amp;INT($BN$1+1)
)</f>
        <v>0</v>
      </c>
      <c r="BL159" s="1">
        <f t="shared" si="210"/>
        <v>0</v>
      </c>
      <c r="BM159" s="9">
        <f t="shared" si="211"/>
        <v>0</v>
      </c>
      <c r="BN159" s="10">
        <f t="shared" si="212"/>
        <v>0</v>
      </c>
      <c r="BO159" s="1">
        <f>SUMIFS(
  '[1]Hoja 1'!$M:$M,
  '[1]Hoja 1'!$S:$S, $A159,
  '[1]Hoja 1'!$R:$R, "&gt;="&amp;INT($BQ$1),
  '[1]Hoja 1'!$R:$R, "&lt;"&amp;INT($BR$1+1)
)</f>
        <v>0</v>
      </c>
      <c r="BP159" s="1">
        <f t="shared" si="213"/>
        <v>0</v>
      </c>
      <c r="BQ159" s="9">
        <f t="shared" si="214"/>
        <v>0</v>
      </c>
      <c r="BR159" s="10">
        <f t="shared" si="215"/>
        <v>0</v>
      </c>
      <c r="BS159" s="1">
        <f>SUMIFS(
  '[1]Hoja 1'!$M:$M,
  '[1]Hoja 1'!$S:$S, $A159,
  '[1]Hoja 1'!$R:$R, "&gt;="&amp;INT($BU$1),
  '[1]Hoja 1'!$R:$R, "&lt;"&amp;INT($BV$1+1)
)</f>
        <v>0</v>
      </c>
      <c r="BT159" s="1">
        <f t="shared" si="216"/>
        <v>0</v>
      </c>
      <c r="BU159" s="9">
        <f t="shared" si="217"/>
        <v>0</v>
      </c>
      <c r="BV159" s="10">
        <f t="shared" si="218"/>
        <v>0</v>
      </c>
      <c r="BW159" s="1">
        <f>SUMIFS(
  '[1]Hoja 1'!$M:$M,
  '[1]Hoja 1'!$S:$S, $A159,
  '[1]Hoja 1'!$R:$R, "&gt;="&amp;INT($BY$1),
  '[1]Hoja 1'!$R:$R, "&lt;"&amp;INT($BZ$1+1)
)</f>
        <v>0</v>
      </c>
      <c r="BX159" s="1">
        <f t="shared" si="219"/>
        <v>0</v>
      </c>
      <c r="BY159" s="9">
        <f t="shared" si="220"/>
        <v>0</v>
      </c>
      <c r="BZ159" s="10">
        <f t="shared" si="221"/>
        <v>0</v>
      </c>
      <c r="CA159" s="1">
        <f>SUMIFS(
  '[1]Hoja 1'!$M:$M,
  '[1]Hoja 1'!$S:$S, $A159,
  '[1]Hoja 1'!$R:$R, "&gt;="&amp;INT($CC$1),
  '[1]Hoja 1'!$R:$R, "&lt;"&amp;INT($CD$1+1)
)</f>
        <v>0</v>
      </c>
      <c r="CB159" s="1">
        <f t="shared" si="222"/>
        <v>0</v>
      </c>
      <c r="CC159" s="9">
        <f t="shared" si="223"/>
        <v>0</v>
      </c>
      <c r="CD159" s="10">
        <f t="shared" si="224"/>
        <v>0</v>
      </c>
      <c r="CE159" s="1">
        <f>SUMIFS(
  '[1]Hoja 1'!$M:$M,
  '[1]Hoja 1'!$S:$S, $A159,
  '[1]Hoja 1'!$R:$R, "&gt;="&amp;INT($CG$1),
  '[1]Hoja 1'!$R:$R, "&lt;"&amp;INT($CH$1+1)
)</f>
        <v>0</v>
      </c>
      <c r="CF159" s="1">
        <f t="shared" si="225"/>
        <v>0</v>
      </c>
      <c r="CG159" s="9">
        <f t="shared" si="226"/>
        <v>0</v>
      </c>
      <c r="CH159" s="10">
        <f t="shared" si="227"/>
        <v>0</v>
      </c>
      <c r="CI159" s="1">
        <f>SUMIFS(
  '[1]Hoja 1'!$M:$M,
  '[1]Hoja 1'!$S:$S, $A159,
  '[1]Hoja 1'!$R:$R, "&gt;="&amp;INT($CK$1),
  '[1]Hoja 1'!$R:$R, "&lt;"&amp;INT($CL$1+1)
)</f>
        <v>0</v>
      </c>
      <c r="CJ159" s="1">
        <f t="shared" si="228"/>
        <v>0</v>
      </c>
      <c r="CK159" s="9">
        <f t="shared" si="229"/>
        <v>0</v>
      </c>
      <c r="CL159" s="10">
        <f t="shared" si="230"/>
        <v>0</v>
      </c>
      <c r="CM159" s="1">
        <f>SUMIFS(
  '[1]Hoja 1'!$M:$M,
  '[1]Hoja 1'!$S:$S, $A159,
  '[1]Hoja 1'!$R:$R, "&gt;="&amp;INT($CO$1),
  '[1]Hoja 1'!$R:$R, "&lt;"&amp;INT($CP$1+1)
)</f>
        <v>0</v>
      </c>
      <c r="CN159" s="1">
        <f t="shared" si="231"/>
        <v>0</v>
      </c>
      <c r="CO159" s="9">
        <f t="shared" si="232"/>
        <v>0</v>
      </c>
      <c r="CP159" s="10">
        <f t="shared" si="233"/>
        <v>0</v>
      </c>
      <c r="CQ159" s="1">
        <f>SUMIFS(
  '[1]Hoja 1'!$M:$M,
  '[1]Hoja 1'!$S:$S, $A159,
  '[1]Hoja 1'!$R:$R, "&gt;="&amp;INT($CS$1),
  '[1]Hoja 1'!$R:$R, "&lt;"&amp;INT($CT$1+1)
)</f>
        <v>0</v>
      </c>
      <c r="CR159" s="1">
        <f t="shared" si="234"/>
        <v>0</v>
      </c>
      <c r="CS159" s="9">
        <f t="shared" si="235"/>
        <v>0</v>
      </c>
      <c r="CT159" s="10">
        <f t="shared" si="236"/>
        <v>0</v>
      </c>
      <c r="CU159" s="1">
        <f>SUMIFS(
  '[1]Hoja 1'!$M:$M,
  '[1]Hoja 1'!$S:$S, $A159,
  '[1]Hoja 1'!$R:$R, "&gt;="&amp;INT($CW$1),
  '[1]Hoja 1'!$R:$R, "&lt;"&amp;INT($CX$1+1)
)</f>
        <v>0</v>
      </c>
      <c r="CV159" s="1">
        <f t="shared" si="237"/>
        <v>0</v>
      </c>
      <c r="CW159" s="9">
        <f t="shared" si="238"/>
        <v>0</v>
      </c>
      <c r="CX159" s="10">
        <f t="shared" si="239"/>
        <v>0</v>
      </c>
      <c r="CY159" s="1">
        <f>SUMIFS(
  '[1]Hoja 1'!$M:$M,
  '[1]Hoja 1'!$S:$S, $A159,
  '[1]Hoja 1'!$R:$R, "&gt;="&amp;INT($DA$1),
  '[1]Hoja 1'!$R:$R, "&lt;"&amp;INT($DB$1+1)
)</f>
        <v>0</v>
      </c>
      <c r="CZ159" s="1">
        <f t="shared" si="240"/>
        <v>0</v>
      </c>
      <c r="DA159" s="9">
        <f t="shared" si="241"/>
        <v>0</v>
      </c>
      <c r="DB159" s="10">
        <f t="shared" si="242"/>
        <v>0</v>
      </c>
      <c r="DC159" s="1">
        <f>SUMIFS(
  '[1]Hoja 1'!$M:$M,
  '[1]Hoja 1'!$S:$S, $A159,
  '[1]Hoja 1'!$R:$R, "&gt;="&amp;INT($DE$1),
  '[1]Hoja 1'!$R:$R, "&lt;"&amp;INT($DF$1+1)
)</f>
        <v>0</v>
      </c>
      <c r="DD159" s="1">
        <f t="shared" si="243"/>
        <v>0</v>
      </c>
      <c r="DE159" s="9">
        <f t="shared" si="244"/>
        <v>0</v>
      </c>
      <c r="DF159" s="10">
        <f t="shared" si="245"/>
        <v>0</v>
      </c>
      <c r="DG159" s="1">
        <f>SUMIFS(
  '[1]Hoja 1'!$M:$M,
  '[1]Hoja 1'!$S:$S, $A159,
  '[1]Hoja 1'!$R:$R, "&gt;="&amp;INT($DI$1),
  '[1]Hoja 1'!$R:$R, "&lt;"&amp;INT($DJ$1+1)
)</f>
        <v>0</v>
      </c>
      <c r="DH159" s="1">
        <f t="shared" si="246"/>
        <v>0</v>
      </c>
      <c r="DI159" s="9">
        <f t="shared" si="247"/>
        <v>0</v>
      </c>
      <c r="DJ159" s="10">
        <f t="shared" si="248"/>
        <v>0</v>
      </c>
      <c r="DK159" s="1">
        <f>SUMIFS(
  '[1]Hoja 1'!$M:$M,
  '[1]Hoja 1'!$S:$S, $A159,
  '[1]Hoja 1'!$R:$R, "&gt;="&amp;INT($DM$1),
  '[1]Hoja 1'!$R:$R, "&lt;"&amp;INT($DN$1+1)
)</f>
        <v>0</v>
      </c>
      <c r="DL159" s="1">
        <f t="shared" si="249"/>
        <v>0</v>
      </c>
      <c r="DM159" s="9">
        <f t="shared" si="250"/>
        <v>0</v>
      </c>
      <c r="DN159" s="10">
        <f t="shared" si="251"/>
        <v>0</v>
      </c>
      <c r="DO159" s="1">
        <f>SUMIFS(
  '[1]Hoja 1'!$M:$M,
  '[1]Hoja 1'!$S:$S, $A159,
  '[1]Hoja 1'!$R:$R, "&gt;="&amp;INT($DQ$1),
  '[1]Hoja 1'!$R:$R, "&lt;"&amp;INT($DR$1+1)
)</f>
        <v>0</v>
      </c>
      <c r="DP159" s="1">
        <f t="shared" si="252"/>
        <v>0</v>
      </c>
      <c r="DQ159" s="9">
        <f t="shared" si="253"/>
        <v>0</v>
      </c>
      <c r="DR159" s="10">
        <f t="shared" si="254"/>
        <v>0</v>
      </c>
    </row>
    <row r="160" spans="1:122" x14ac:dyDescent="0.25">
      <c r="A160" s="5">
        <v>226030</v>
      </c>
      <c r="B160" s="6" t="s">
        <v>158</v>
      </c>
      <c r="C160" s="1">
        <f>SUMIFS(
  '[1]Hoja 1'!$M:$M,
  '[1]Hoja 1'!$S:$S, $A160,
  '[1]Hoja 1'!$R:$R, "&gt;="&amp;INT($E$1),
  '[1]Hoja 1'!$R:$R, "&lt;"&amp;INT($F$1+1)
)</f>
        <v>2</v>
      </c>
      <c r="D160" s="1" t="str">
        <f>""</f>
        <v/>
      </c>
      <c r="F160" s="2"/>
      <c r="G160" s="1">
        <f>SUMIFS(
  '[1]Hoja 1'!$M:$M,
  '[1]Hoja 1'!$S:$S, $A160,
  '[1]Hoja 1'!$R:$R, "&gt;="&amp;INT($I$1),
  '[1]Hoja 1'!$R:$R, "&lt;"&amp;INT($J$1+1)
)</f>
        <v>2</v>
      </c>
      <c r="H160" s="1">
        <f t="shared" si="170"/>
        <v>2</v>
      </c>
      <c r="I160" s="1"/>
      <c r="J160" s="2"/>
      <c r="K160" s="1">
        <f>SUMIFS(
  '[1]Hoja 1'!$M:$M,
  '[1]Hoja 1'!$S:$S, $A160,
  '[1]Hoja 1'!$R:$R, "&gt;="&amp;INT($M$1),
  '[1]Hoja 1'!$R:$R, "&lt;"&amp;INT($N$1+1)
)</f>
        <v>4</v>
      </c>
      <c r="L160" s="1">
        <f t="shared" si="171"/>
        <v>3</v>
      </c>
      <c r="M160" s="9">
        <f t="shared" si="172"/>
        <v>1.6140707088743669</v>
      </c>
      <c r="N160" s="10">
        <f t="shared" si="173"/>
        <v>4.3859292911256329</v>
      </c>
      <c r="O160" s="1">
        <f>SUMIFS(
  '[1]Hoja 1'!$M:$M,
  '[1]Hoja 1'!$S:$S, $A160,
  '[1]Hoja 1'!$R:$R, "&gt;="&amp;INT($Q$1),
  '[1]Hoja 1'!$R:$R, "&lt;"&amp;INT($R$1+1)
)</f>
        <v>3</v>
      </c>
      <c r="P160" s="1">
        <f t="shared" si="174"/>
        <v>3.5</v>
      </c>
      <c r="Q160" s="9">
        <f t="shared" si="175"/>
        <v>1.5030252729810922</v>
      </c>
      <c r="R160" s="10">
        <f t="shared" si="176"/>
        <v>4.496974727018908</v>
      </c>
      <c r="S160" s="1">
        <f>SUMIFS(
  '[1]Hoja 1'!$M:$M,
  '[1]Hoja 1'!$S:$S, $A160,
  '[1]Hoja 1'!$R:$R, "&gt;="&amp;INT($U$1),
  '[1]Hoja 1'!$R:$R, "&lt;"&amp;INT($V$1+1)
)</f>
        <v>3</v>
      </c>
      <c r="T160" s="1">
        <f t="shared" si="177"/>
        <v>3</v>
      </c>
      <c r="U160" s="9">
        <f t="shared" si="178"/>
        <v>1.7668603755724444</v>
      </c>
      <c r="V160" s="10">
        <f t="shared" si="179"/>
        <v>4.2331396244275554</v>
      </c>
      <c r="W160" s="1">
        <f>SUMIFS(
  '[1]Hoja 1'!$M:$M,
  '[1]Hoja 1'!$S:$S, $A160,
  '[1]Hoja 1'!$R:$R, "&gt;="&amp;INT($Y$1),
  '[1]Hoja 1'!$R:$R, "&lt;"&amp;INT($Z$1+1)
)</f>
        <v>3</v>
      </c>
      <c r="X160" s="1">
        <f t="shared" si="180"/>
        <v>3</v>
      </c>
      <c r="Y160" s="9">
        <f t="shared" si="181"/>
        <v>1.7668603755724444</v>
      </c>
      <c r="Z160" s="10">
        <f t="shared" si="182"/>
        <v>4.2331396244275554</v>
      </c>
      <c r="AA160" s="1">
        <f>SUMIFS(
  '[1]Hoja 1'!$M:$M,
  '[1]Hoja 1'!$S:$S, $A160,
  '[1]Hoja 1'!$R:$R, "&gt;="&amp;INT($AC$1),
  '[1]Hoja 1'!$R:$R, "&lt;"&amp;INT($AD$1+1)
)</f>
        <v>2</v>
      </c>
      <c r="AB160" s="1">
        <f t="shared" si="183"/>
        <v>3</v>
      </c>
      <c r="AC160" s="9">
        <f t="shared" si="184"/>
        <v>2.4632318936449371</v>
      </c>
      <c r="AD160" s="10">
        <f t="shared" si="185"/>
        <v>3.565803263805833</v>
      </c>
      <c r="AE160" s="1">
        <f>SUMIFS(
  '[1]Hoja 1'!$M:$M,
  '[1]Hoja 1'!$S:$S, $A160,
  '[1]Hoja 1'!$R:$R, "&gt;="&amp;INT($AG$1),
  '[1]Hoja 1'!$R:$R, "&lt;"&amp;INT($AH$1+1)
)</f>
        <v>0</v>
      </c>
      <c r="AF160" s="1">
        <f t="shared" si="186"/>
        <v>1</v>
      </c>
      <c r="AG160" s="9">
        <f t="shared" si="187"/>
        <v>0.12346135282008253</v>
      </c>
      <c r="AH160" s="10">
        <f t="shared" si="188"/>
        <v>1.9382785656012114</v>
      </c>
      <c r="AI160" s="1">
        <f>SUMIFS(
  '[1]Hoja 1'!$M:$M,
  '[1]Hoja 1'!$S:$S, $A160,
  '[1]Hoja 1'!$R:$R, "&gt;="&amp;INT($AK$1),
  '[1]Hoja 1'!$R:$R, "&lt;"&amp;INT($AL$1+1)
)</f>
        <v>0</v>
      </c>
      <c r="AJ160" s="1">
        <f t="shared" si="189"/>
        <v>0</v>
      </c>
      <c r="AK160" s="9">
        <f t="shared" si="190"/>
        <v>-0.87653864717991747</v>
      </c>
      <c r="AL160" s="10">
        <f t="shared" si="191"/>
        <v>0.93827856560121137</v>
      </c>
      <c r="AM160" s="1">
        <f>SUMIFS(
  '[1]Hoja 1'!$M:$M,
  '[1]Hoja 1'!$S:$S, $A160,
  '[1]Hoja 1'!$R:$R, "&gt;="&amp;INT($AO$1),
  '[1]Hoja 1'!$R:$R, "&lt;"&amp;INT($AP$1+1)
)</f>
        <v>0</v>
      </c>
      <c r="AN160" s="1">
        <f t="shared" si="192"/>
        <v>0</v>
      </c>
      <c r="AO160" s="9">
        <f t="shared" si="193"/>
        <v>-0.87653864717991747</v>
      </c>
      <c r="AP160" s="10">
        <f t="shared" si="194"/>
        <v>0.93827856560121137</v>
      </c>
      <c r="AQ160" s="1">
        <f>SUMIFS(
  '[1]Hoja 1'!$M:$M,
  '[1]Hoja 1'!$S:$S, $A160,
  '[1]Hoja 1'!$R:$R, "&gt;="&amp;INT($AS$1),
  '[1]Hoja 1'!$R:$R, "&lt;"&amp;INT($AT$1+1)
)</f>
        <v>0</v>
      </c>
      <c r="AR160" s="1">
        <f t="shared" si="195"/>
        <v>0</v>
      </c>
      <c r="AS160" s="9">
        <f t="shared" si="196"/>
        <v>-0.87653864717991747</v>
      </c>
      <c r="AT160" s="10">
        <f t="shared" si="197"/>
        <v>0.98</v>
      </c>
      <c r="AU160" s="1">
        <f>SUMIFS(
  '[1]Hoja 1'!$M:$M,
  '[1]Hoja 1'!$S:$S, $A160,
  '[1]Hoja 1'!$R:$R, "&gt;="&amp;INT($AW$1),
  '[1]Hoja 1'!$R:$R, "&lt;"&amp;INT($AX$1+1)
)</f>
        <v>0</v>
      </c>
      <c r="AV160" s="1">
        <f t="shared" si="198"/>
        <v>0</v>
      </c>
      <c r="AW160" s="9">
        <f t="shared" si="199"/>
        <v>0</v>
      </c>
      <c r="AX160" s="10">
        <f t="shared" si="200"/>
        <v>0</v>
      </c>
      <c r="AY160" s="1">
        <f>SUMIFS(
  '[1]Hoja 1'!$M:$M,
  '[1]Hoja 1'!$S:$S, $A160,
  '[1]Hoja 1'!$R:$R, "&gt;="&amp;INT($BA$1),
  '[1]Hoja 1'!$R:$R, "&lt;"&amp;INT($BB$1+1)
)</f>
        <v>0</v>
      </c>
      <c r="AZ160" s="1">
        <f t="shared" si="201"/>
        <v>0</v>
      </c>
      <c r="BA160" s="9">
        <f t="shared" si="202"/>
        <v>0</v>
      </c>
      <c r="BB160" s="10">
        <f t="shared" si="203"/>
        <v>0</v>
      </c>
      <c r="BC160" s="1">
        <f>SUMIFS(
  '[1]Hoja 1'!$M:$M,
  '[1]Hoja 1'!$S:$S, $A160,
  '[1]Hoja 1'!$R:$R, "&gt;="&amp;INT($BE$1),
  '[1]Hoja 1'!$R:$R, "&lt;"&amp;INT($BF$1+1)
)</f>
        <v>0</v>
      </c>
      <c r="BD160" s="1">
        <f t="shared" si="204"/>
        <v>0</v>
      </c>
      <c r="BE160" s="9">
        <f t="shared" si="205"/>
        <v>0</v>
      </c>
      <c r="BF160" s="10">
        <f t="shared" si="206"/>
        <v>0</v>
      </c>
      <c r="BG160" s="1">
        <f>SUMIFS(
  '[1]Hoja 1'!$M:$M,
  '[1]Hoja 1'!$S:$S, $A160,
  '[1]Hoja 1'!$R:$R, "&gt;="&amp;INT($BI$1),
  '[1]Hoja 1'!$R:$R, "&lt;"&amp;INT($BJ$1+1)
)</f>
        <v>0</v>
      </c>
      <c r="BH160" s="1">
        <f t="shared" si="207"/>
        <v>0</v>
      </c>
      <c r="BI160" s="9">
        <f t="shared" si="208"/>
        <v>0</v>
      </c>
      <c r="BJ160" s="10">
        <f t="shared" si="209"/>
        <v>0</v>
      </c>
      <c r="BK160" s="1">
        <f>SUMIFS(
  '[1]Hoja 1'!$M:$M,
  '[1]Hoja 1'!$S:$S, $A160,
  '[1]Hoja 1'!$R:$R, "&gt;="&amp;INT($BM$1),
  '[1]Hoja 1'!$R:$R, "&lt;"&amp;INT($BN$1+1)
)</f>
        <v>0</v>
      </c>
      <c r="BL160" s="1">
        <f t="shared" si="210"/>
        <v>0</v>
      </c>
      <c r="BM160" s="9">
        <f t="shared" si="211"/>
        <v>0</v>
      </c>
      <c r="BN160" s="10">
        <f t="shared" si="212"/>
        <v>0</v>
      </c>
      <c r="BO160" s="1">
        <f>SUMIFS(
  '[1]Hoja 1'!$M:$M,
  '[1]Hoja 1'!$S:$S, $A160,
  '[1]Hoja 1'!$R:$R, "&gt;="&amp;INT($BQ$1),
  '[1]Hoja 1'!$R:$R, "&lt;"&amp;INT($BR$1+1)
)</f>
        <v>0</v>
      </c>
      <c r="BP160" s="1">
        <f t="shared" si="213"/>
        <v>0</v>
      </c>
      <c r="BQ160" s="9">
        <f t="shared" si="214"/>
        <v>0</v>
      </c>
      <c r="BR160" s="10">
        <f t="shared" si="215"/>
        <v>0</v>
      </c>
      <c r="BS160" s="1">
        <f>SUMIFS(
  '[1]Hoja 1'!$M:$M,
  '[1]Hoja 1'!$S:$S, $A160,
  '[1]Hoja 1'!$R:$R, "&gt;="&amp;INT($BU$1),
  '[1]Hoja 1'!$R:$R, "&lt;"&amp;INT($BV$1+1)
)</f>
        <v>0</v>
      </c>
      <c r="BT160" s="1">
        <f t="shared" si="216"/>
        <v>0</v>
      </c>
      <c r="BU160" s="9">
        <f t="shared" si="217"/>
        <v>0</v>
      </c>
      <c r="BV160" s="10">
        <f t="shared" si="218"/>
        <v>0</v>
      </c>
      <c r="BW160" s="1">
        <f>SUMIFS(
  '[1]Hoja 1'!$M:$M,
  '[1]Hoja 1'!$S:$S, $A160,
  '[1]Hoja 1'!$R:$R, "&gt;="&amp;INT($BY$1),
  '[1]Hoja 1'!$R:$R, "&lt;"&amp;INT($BZ$1+1)
)</f>
        <v>0</v>
      </c>
      <c r="BX160" s="1">
        <f t="shared" si="219"/>
        <v>0</v>
      </c>
      <c r="BY160" s="9">
        <f t="shared" si="220"/>
        <v>0</v>
      </c>
      <c r="BZ160" s="10">
        <f t="shared" si="221"/>
        <v>0</v>
      </c>
      <c r="CA160" s="1">
        <f>SUMIFS(
  '[1]Hoja 1'!$M:$M,
  '[1]Hoja 1'!$S:$S, $A160,
  '[1]Hoja 1'!$R:$R, "&gt;="&amp;INT($CC$1),
  '[1]Hoja 1'!$R:$R, "&lt;"&amp;INT($CD$1+1)
)</f>
        <v>0</v>
      </c>
      <c r="CB160" s="1">
        <f t="shared" si="222"/>
        <v>0</v>
      </c>
      <c r="CC160" s="9">
        <f t="shared" si="223"/>
        <v>0</v>
      </c>
      <c r="CD160" s="10">
        <f t="shared" si="224"/>
        <v>0</v>
      </c>
      <c r="CE160" s="1">
        <f>SUMIFS(
  '[1]Hoja 1'!$M:$M,
  '[1]Hoja 1'!$S:$S, $A160,
  '[1]Hoja 1'!$R:$R, "&gt;="&amp;INT($CG$1),
  '[1]Hoja 1'!$R:$R, "&lt;"&amp;INT($CH$1+1)
)</f>
        <v>0</v>
      </c>
      <c r="CF160" s="1">
        <f t="shared" si="225"/>
        <v>0</v>
      </c>
      <c r="CG160" s="9">
        <f t="shared" si="226"/>
        <v>0</v>
      </c>
      <c r="CH160" s="10">
        <f t="shared" si="227"/>
        <v>0</v>
      </c>
      <c r="CI160" s="1">
        <f>SUMIFS(
  '[1]Hoja 1'!$M:$M,
  '[1]Hoja 1'!$S:$S, $A160,
  '[1]Hoja 1'!$R:$R, "&gt;="&amp;INT($CK$1),
  '[1]Hoja 1'!$R:$R, "&lt;"&amp;INT($CL$1+1)
)</f>
        <v>0</v>
      </c>
      <c r="CJ160" s="1">
        <f t="shared" si="228"/>
        <v>0</v>
      </c>
      <c r="CK160" s="9">
        <f t="shared" si="229"/>
        <v>0</v>
      </c>
      <c r="CL160" s="10">
        <f t="shared" si="230"/>
        <v>0</v>
      </c>
      <c r="CM160" s="1">
        <f>SUMIFS(
  '[1]Hoja 1'!$M:$M,
  '[1]Hoja 1'!$S:$S, $A160,
  '[1]Hoja 1'!$R:$R, "&gt;="&amp;INT($CO$1),
  '[1]Hoja 1'!$R:$R, "&lt;"&amp;INT($CP$1+1)
)</f>
        <v>0</v>
      </c>
      <c r="CN160" s="1">
        <f t="shared" si="231"/>
        <v>0</v>
      </c>
      <c r="CO160" s="9">
        <f t="shared" si="232"/>
        <v>0</v>
      </c>
      <c r="CP160" s="10">
        <f t="shared" si="233"/>
        <v>0</v>
      </c>
      <c r="CQ160" s="1">
        <f>SUMIFS(
  '[1]Hoja 1'!$M:$M,
  '[1]Hoja 1'!$S:$S, $A160,
  '[1]Hoja 1'!$R:$R, "&gt;="&amp;INT($CS$1),
  '[1]Hoja 1'!$R:$R, "&lt;"&amp;INT($CT$1+1)
)</f>
        <v>0</v>
      </c>
      <c r="CR160" s="1">
        <f t="shared" si="234"/>
        <v>0</v>
      </c>
      <c r="CS160" s="9">
        <f t="shared" si="235"/>
        <v>0</v>
      </c>
      <c r="CT160" s="10">
        <f t="shared" si="236"/>
        <v>0</v>
      </c>
      <c r="CU160" s="1">
        <f>SUMIFS(
  '[1]Hoja 1'!$M:$M,
  '[1]Hoja 1'!$S:$S, $A160,
  '[1]Hoja 1'!$R:$R, "&gt;="&amp;INT($CW$1),
  '[1]Hoja 1'!$R:$R, "&lt;"&amp;INT($CX$1+1)
)</f>
        <v>0</v>
      </c>
      <c r="CV160" s="1">
        <f t="shared" si="237"/>
        <v>0</v>
      </c>
      <c r="CW160" s="9">
        <f t="shared" si="238"/>
        <v>0</v>
      </c>
      <c r="CX160" s="10">
        <f t="shared" si="239"/>
        <v>0</v>
      </c>
      <c r="CY160" s="1">
        <f>SUMIFS(
  '[1]Hoja 1'!$M:$M,
  '[1]Hoja 1'!$S:$S, $A160,
  '[1]Hoja 1'!$R:$R, "&gt;="&amp;INT($DA$1),
  '[1]Hoja 1'!$R:$R, "&lt;"&amp;INT($DB$1+1)
)</f>
        <v>0</v>
      </c>
      <c r="CZ160" s="1">
        <f t="shared" si="240"/>
        <v>0</v>
      </c>
      <c r="DA160" s="9">
        <f t="shared" si="241"/>
        <v>0</v>
      </c>
      <c r="DB160" s="10">
        <f t="shared" si="242"/>
        <v>0</v>
      </c>
      <c r="DC160" s="1">
        <f>SUMIFS(
  '[1]Hoja 1'!$M:$M,
  '[1]Hoja 1'!$S:$S, $A160,
  '[1]Hoja 1'!$R:$R, "&gt;="&amp;INT($DE$1),
  '[1]Hoja 1'!$R:$R, "&lt;"&amp;INT($DF$1+1)
)</f>
        <v>0</v>
      </c>
      <c r="DD160" s="1">
        <f t="shared" si="243"/>
        <v>0</v>
      </c>
      <c r="DE160" s="9">
        <f t="shared" si="244"/>
        <v>0</v>
      </c>
      <c r="DF160" s="10">
        <f t="shared" si="245"/>
        <v>0</v>
      </c>
      <c r="DG160" s="1">
        <f>SUMIFS(
  '[1]Hoja 1'!$M:$M,
  '[1]Hoja 1'!$S:$S, $A160,
  '[1]Hoja 1'!$R:$R, "&gt;="&amp;INT($DI$1),
  '[1]Hoja 1'!$R:$R, "&lt;"&amp;INT($DJ$1+1)
)</f>
        <v>0</v>
      </c>
      <c r="DH160" s="1">
        <f t="shared" si="246"/>
        <v>0</v>
      </c>
      <c r="DI160" s="9">
        <f t="shared" si="247"/>
        <v>0</v>
      </c>
      <c r="DJ160" s="10">
        <f t="shared" si="248"/>
        <v>0</v>
      </c>
      <c r="DK160" s="1">
        <f>SUMIFS(
  '[1]Hoja 1'!$M:$M,
  '[1]Hoja 1'!$S:$S, $A160,
  '[1]Hoja 1'!$R:$R, "&gt;="&amp;INT($DM$1),
  '[1]Hoja 1'!$R:$R, "&lt;"&amp;INT($DN$1+1)
)</f>
        <v>0</v>
      </c>
      <c r="DL160" s="1">
        <f t="shared" si="249"/>
        <v>0</v>
      </c>
      <c r="DM160" s="9">
        <f t="shared" si="250"/>
        <v>0</v>
      </c>
      <c r="DN160" s="10">
        <f t="shared" si="251"/>
        <v>0</v>
      </c>
      <c r="DO160" s="1">
        <f>SUMIFS(
  '[1]Hoja 1'!$M:$M,
  '[1]Hoja 1'!$S:$S, $A160,
  '[1]Hoja 1'!$R:$R, "&gt;="&amp;INT($DQ$1),
  '[1]Hoja 1'!$R:$R, "&lt;"&amp;INT($DR$1+1)
)</f>
        <v>0</v>
      </c>
      <c r="DP160" s="1">
        <f t="shared" si="252"/>
        <v>0</v>
      </c>
      <c r="DQ160" s="9">
        <f t="shared" si="253"/>
        <v>0</v>
      </c>
      <c r="DR160" s="10">
        <f t="shared" si="254"/>
        <v>0</v>
      </c>
    </row>
    <row r="161" spans="1:122" x14ac:dyDescent="0.25">
      <c r="A161" s="5">
        <v>226031</v>
      </c>
      <c r="B161" s="6" t="s">
        <v>159</v>
      </c>
      <c r="C161" s="1">
        <f>SUMIFS(
  '[1]Hoja 1'!$M:$M,
  '[1]Hoja 1'!$S:$S, $A161,
  '[1]Hoja 1'!$R:$R, "&gt;="&amp;INT($E$1),
  '[1]Hoja 1'!$R:$R, "&lt;"&amp;INT($F$1+1)
)</f>
        <v>0</v>
      </c>
      <c r="D161" s="1" t="str">
        <f>""</f>
        <v/>
      </c>
      <c r="F161" s="2"/>
      <c r="G161" s="1">
        <f>SUMIFS(
  '[1]Hoja 1'!$M:$M,
  '[1]Hoja 1'!$S:$S, $A161,
  '[1]Hoja 1'!$R:$R, "&gt;="&amp;INT($I$1),
  '[1]Hoja 1'!$R:$R, "&lt;"&amp;INT($J$1+1)
)</f>
        <v>0</v>
      </c>
      <c r="H161" s="1">
        <f t="shared" si="170"/>
        <v>0</v>
      </c>
      <c r="I161" s="1"/>
      <c r="J161" s="2"/>
      <c r="K161" s="1">
        <f>SUMIFS(
  '[1]Hoja 1'!$M:$M,
  '[1]Hoja 1'!$S:$S, $A161,
  '[1]Hoja 1'!$R:$R, "&gt;="&amp;INT($M$1),
  '[1]Hoja 1'!$R:$R, "&lt;"&amp;INT($N$1+1)
)</f>
        <v>0</v>
      </c>
      <c r="L161" s="1">
        <f t="shared" si="171"/>
        <v>0</v>
      </c>
      <c r="M161" s="9">
        <f t="shared" si="172"/>
        <v>0</v>
      </c>
      <c r="N161" s="10">
        <f t="shared" si="173"/>
        <v>0</v>
      </c>
      <c r="O161" s="1">
        <f>SUMIFS(
  '[1]Hoja 1'!$M:$M,
  '[1]Hoja 1'!$S:$S, $A161,
  '[1]Hoja 1'!$R:$R, "&gt;="&amp;INT($Q$1),
  '[1]Hoja 1'!$R:$R, "&lt;"&amp;INT($R$1+1)
)</f>
        <v>0</v>
      </c>
      <c r="P161" s="1">
        <f t="shared" si="174"/>
        <v>0</v>
      </c>
      <c r="Q161" s="9">
        <f t="shared" si="175"/>
        <v>0</v>
      </c>
      <c r="R161" s="10">
        <f t="shared" si="176"/>
        <v>0</v>
      </c>
      <c r="S161" s="1">
        <f>SUMIFS(
  '[1]Hoja 1'!$M:$M,
  '[1]Hoja 1'!$S:$S, $A161,
  '[1]Hoja 1'!$R:$R, "&gt;="&amp;INT($U$1),
  '[1]Hoja 1'!$R:$R, "&lt;"&amp;INT($V$1+1)
)</f>
        <v>0</v>
      </c>
      <c r="T161" s="1">
        <f t="shared" si="177"/>
        <v>0</v>
      </c>
      <c r="U161" s="9">
        <f t="shared" si="178"/>
        <v>0</v>
      </c>
      <c r="V161" s="10">
        <f t="shared" si="179"/>
        <v>0</v>
      </c>
      <c r="W161" s="1">
        <f>SUMIFS(
  '[1]Hoja 1'!$M:$M,
  '[1]Hoja 1'!$S:$S, $A161,
  '[1]Hoja 1'!$R:$R, "&gt;="&amp;INT($Y$1),
  '[1]Hoja 1'!$R:$R, "&lt;"&amp;INT($Z$1+1)
)</f>
        <v>0</v>
      </c>
      <c r="X161" s="1">
        <f t="shared" si="180"/>
        <v>0</v>
      </c>
      <c r="Y161" s="9">
        <f t="shared" si="181"/>
        <v>0</v>
      </c>
      <c r="Z161" s="10">
        <f t="shared" si="182"/>
        <v>0</v>
      </c>
      <c r="AA161" s="1">
        <f>SUMIFS(
  '[1]Hoja 1'!$M:$M,
  '[1]Hoja 1'!$S:$S, $A161,
  '[1]Hoja 1'!$R:$R, "&gt;="&amp;INT($AC$1),
  '[1]Hoja 1'!$R:$R, "&lt;"&amp;INT($AD$1+1)
)</f>
        <v>0</v>
      </c>
      <c r="AB161" s="1">
        <f t="shared" si="183"/>
        <v>0</v>
      </c>
      <c r="AC161" s="9">
        <f t="shared" si="184"/>
        <v>0</v>
      </c>
      <c r="AD161" s="10">
        <f t="shared" si="185"/>
        <v>0</v>
      </c>
      <c r="AE161" s="1">
        <f>SUMIFS(
  '[1]Hoja 1'!$M:$M,
  '[1]Hoja 1'!$S:$S, $A161,
  '[1]Hoja 1'!$R:$R, "&gt;="&amp;INT($AG$1),
  '[1]Hoja 1'!$R:$R, "&lt;"&amp;INT($AH$1+1)
)</f>
        <v>0</v>
      </c>
      <c r="AF161" s="1">
        <f t="shared" si="186"/>
        <v>0</v>
      </c>
      <c r="AG161" s="9">
        <f t="shared" si="187"/>
        <v>0</v>
      </c>
      <c r="AH161" s="10">
        <f t="shared" si="188"/>
        <v>0</v>
      </c>
      <c r="AI161" s="1">
        <f>SUMIFS(
  '[1]Hoja 1'!$M:$M,
  '[1]Hoja 1'!$S:$S, $A161,
  '[1]Hoja 1'!$R:$R, "&gt;="&amp;INT($AK$1),
  '[1]Hoja 1'!$R:$R, "&lt;"&amp;INT($AL$1+1)
)</f>
        <v>0</v>
      </c>
      <c r="AJ161" s="1">
        <f t="shared" si="189"/>
        <v>0</v>
      </c>
      <c r="AK161" s="9">
        <f t="shared" si="190"/>
        <v>0</v>
      </c>
      <c r="AL161" s="10">
        <f t="shared" si="191"/>
        <v>0</v>
      </c>
      <c r="AM161" s="1">
        <f>SUMIFS(
  '[1]Hoja 1'!$M:$M,
  '[1]Hoja 1'!$S:$S, $A161,
  '[1]Hoja 1'!$R:$R, "&gt;="&amp;INT($AO$1),
  '[1]Hoja 1'!$R:$R, "&lt;"&amp;INT($AP$1+1)
)</f>
        <v>0</v>
      </c>
      <c r="AN161" s="1">
        <f t="shared" si="192"/>
        <v>0</v>
      </c>
      <c r="AO161" s="9">
        <f t="shared" si="193"/>
        <v>0</v>
      </c>
      <c r="AP161" s="10">
        <f t="shared" si="194"/>
        <v>0</v>
      </c>
      <c r="AQ161" s="1">
        <f>SUMIFS(
  '[1]Hoja 1'!$M:$M,
  '[1]Hoja 1'!$S:$S, $A161,
  '[1]Hoja 1'!$R:$R, "&gt;="&amp;INT($AS$1),
  '[1]Hoja 1'!$R:$R, "&lt;"&amp;INT($AT$1+1)
)</f>
        <v>0</v>
      </c>
      <c r="AR161" s="1">
        <f t="shared" si="195"/>
        <v>0</v>
      </c>
      <c r="AS161" s="9">
        <f t="shared" si="196"/>
        <v>0</v>
      </c>
      <c r="AT161" s="10">
        <f t="shared" si="197"/>
        <v>0</v>
      </c>
      <c r="AU161" s="1">
        <f>SUMIFS(
  '[1]Hoja 1'!$M:$M,
  '[1]Hoja 1'!$S:$S, $A161,
  '[1]Hoja 1'!$R:$R, "&gt;="&amp;INT($AW$1),
  '[1]Hoja 1'!$R:$R, "&lt;"&amp;INT($AX$1+1)
)</f>
        <v>0</v>
      </c>
      <c r="AV161" s="1">
        <f t="shared" si="198"/>
        <v>0</v>
      </c>
      <c r="AW161" s="9">
        <f t="shared" si="199"/>
        <v>0</v>
      </c>
      <c r="AX161" s="10">
        <f t="shared" si="200"/>
        <v>0</v>
      </c>
      <c r="AY161" s="1">
        <f>SUMIFS(
  '[1]Hoja 1'!$M:$M,
  '[1]Hoja 1'!$S:$S, $A161,
  '[1]Hoja 1'!$R:$R, "&gt;="&amp;INT($BA$1),
  '[1]Hoja 1'!$R:$R, "&lt;"&amp;INT($BB$1+1)
)</f>
        <v>0</v>
      </c>
      <c r="AZ161" s="1">
        <f t="shared" si="201"/>
        <v>0</v>
      </c>
      <c r="BA161" s="9">
        <f t="shared" si="202"/>
        <v>0</v>
      </c>
      <c r="BB161" s="10">
        <f t="shared" si="203"/>
        <v>0</v>
      </c>
      <c r="BC161" s="1">
        <f>SUMIFS(
  '[1]Hoja 1'!$M:$M,
  '[1]Hoja 1'!$S:$S, $A161,
  '[1]Hoja 1'!$R:$R, "&gt;="&amp;INT($BE$1),
  '[1]Hoja 1'!$R:$R, "&lt;"&amp;INT($BF$1+1)
)</f>
        <v>0</v>
      </c>
      <c r="BD161" s="1">
        <f t="shared" si="204"/>
        <v>0</v>
      </c>
      <c r="BE161" s="9">
        <f t="shared" si="205"/>
        <v>0</v>
      </c>
      <c r="BF161" s="10">
        <f t="shared" si="206"/>
        <v>0</v>
      </c>
      <c r="BG161" s="1">
        <f>SUMIFS(
  '[1]Hoja 1'!$M:$M,
  '[1]Hoja 1'!$S:$S, $A161,
  '[1]Hoja 1'!$R:$R, "&gt;="&amp;INT($BI$1),
  '[1]Hoja 1'!$R:$R, "&lt;"&amp;INT($BJ$1+1)
)</f>
        <v>0</v>
      </c>
      <c r="BH161" s="1">
        <f t="shared" si="207"/>
        <v>0</v>
      </c>
      <c r="BI161" s="9">
        <f t="shared" si="208"/>
        <v>0</v>
      </c>
      <c r="BJ161" s="10">
        <f t="shared" si="209"/>
        <v>0</v>
      </c>
      <c r="BK161" s="1">
        <f>SUMIFS(
  '[1]Hoja 1'!$M:$M,
  '[1]Hoja 1'!$S:$S, $A161,
  '[1]Hoja 1'!$R:$R, "&gt;="&amp;INT($BM$1),
  '[1]Hoja 1'!$R:$R, "&lt;"&amp;INT($BN$1+1)
)</f>
        <v>0</v>
      </c>
      <c r="BL161" s="1">
        <f t="shared" si="210"/>
        <v>0</v>
      </c>
      <c r="BM161" s="9">
        <f t="shared" si="211"/>
        <v>0</v>
      </c>
      <c r="BN161" s="10">
        <f t="shared" si="212"/>
        <v>0</v>
      </c>
      <c r="BO161" s="1">
        <f>SUMIFS(
  '[1]Hoja 1'!$M:$M,
  '[1]Hoja 1'!$S:$S, $A161,
  '[1]Hoja 1'!$R:$R, "&gt;="&amp;INT($BQ$1),
  '[1]Hoja 1'!$R:$R, "&lt;"&amp;INT($BR$1+1)
)</f>
        <v>0</v>
      </c>
      <c r="BP161" s="1">
        <f t="shared" si="213"/>
        <v>0</v>
      </c>
      <c r="BQ161" s="9">
        <f t="shared" si="214"/>
        <v>0</v>
      </c>
      <c r="BR161" s="10">
        <f t="shared" si="215"/>
        <v>0</v>
      </c>
      <c r="BS161" s="1">
        <f>SUMIFS(
  '[1]Hoja 1'!$M:$M,
  '[1]Hoja 1'!$S:$S, $A161,
  '[1]Hoja 1'!$R:$R, "&gt;="&amp;INT($BU$1),
  '[1]Hoja 1'!$R:$R, "&lt;"&amp;INT($BV$1+1)
)</f>
        <v>0</v>
      </c>
      <c r="BT161" s="1">
        <f t="shared" si="216"/>
        <v>0</v>
      </c>
      <c r="BU161" s="9">
        <f t="shared" si="217"/>
        <v>0</v>
      </c>
      <c r="BV161" s="10">
        <f t="shared" si="218"/>
        <v>0</v>
      </c>
      <c r="BW161" s="1">
        <f>SUMIFS(
  '[1]Hoja 1'!$M:$M,
  '[1]Hoja 1'!$S:$S, $A161,
  '[1]Hoja 1'!$R:$R, "&gt;="&amp;INT($BY$1),
  '[1]Hoja 1'!$R:$R, "&lt;"&amp;INT($BZ$1+1)
)</f>
        <v>0</v>
      </c>
      <c r="BX161" s="1">
        <f t="shared" si="219"/>
        <v>0</v>
      </c>
      <c r="BY161" s="9">
        <f t="shared" si="220"/>
        <v>0</v>
      </c>
      <c r="BZ161" s="10">
        <f t="shared" si="221"/>
        <v>0</v>
      </c>
      <c r="CA161" s="1">
        <f>SUMIFS(
  '[1]Hoja 1'!$M:$M,
  '[1]Hoja 1'!$S:$S, $A161,
  '[1]Hoja 1'!$R:$R, "&gt;="&amp;INT($CC$1),
  '[1]Hoja 1'!$R:$R, "&lt;"&amp;INT($CD$1+1)
)</f>
        <v>0</v>
      </c>
      <c r="CB161" s="1">
        <f t="shared" si="222"/>
        <v>0</v>
      </c>
      <c r="CC161" s="9">
        <f t="shared" si="223"/>
        <v>0</v>
      </c>
      <c r="CD161" s="10">
        <f t="shared" si="224"/>
        <v>0</v>
      </c>
      <c r="CE161" s="1">
        <f>SUMIFS(
  '[1]Hoja 1'!$M:$M,
  '[1]Hoja 1'!$S:$S, $A161,
  '[1]Hoja 1'!$R:$R, "&gt;="&amp;INT($CG$1),
  '[1]Hoja 1'!$R:$R, "&lt;"&amp;INT($CH$1+1)
)</f>
        <v>0</v>
      </c>
      <c r="CF161" s="1">
        <f t="shared" si="225"/>
        <v>0</v>
      </c>
      <c r="CG161" s="9">
        <f t="shared" si="226"/>
        <v>0</v>
      </c>
      <c r="CH161" s="10">
        <f t="shared" si="227"/>
        <v>0</v>
      </c>
      <c r="CI161" s="1">
        <f>SUMIFS(
  '[1]Hoja 1'!$M:$M,
  '[1]Hoja 1'!$S:$S, $A161,
  '[1]Hoja 1'!$R:$R, "&gt;="&amp;INT($CK$1),
  '[1]Hoja 1'!$R:$R, "&lt;"&amp;INT($CL$1+1)
)</f>
        <v>0</v>
      </c>
      <c r="CJ161" s="1">
        <f t="shared" si="228"/>
        <v>0</v>
      </c>
      <c r="CK161" s="9">
        <f t="shared" si="229"/>
        <v>0</v>
      </c>
      <c r="CL161" s="10">
        <f t="shared" si="230"/>
        <v>0</v>
      </c>
      <c r="CM161" s="1">
        <f>SUMIFS(
  '[1]Hoja 1'!$M:$M,
  '[1]Hoja 1'!$S:$S, $A161,
  '[1]Hoja 1'!$R:$R, "&gt;="&amp;INT($CO$1),
  '[1]Hoja 1'!$R:$R, "&lt;"&amp;INT($CP$1+1)
)</f>
        <v>0</v>
      </c>
      <c r="CN161" s="1">
        <f t="shared" si="231"/>
        <v>0</v>
      </c>
      <c r="CO161" s="9">
        <f t="shared" si="232"/>
        <v>0</v>
      </c>
      <c r="CP161" s="10">
        <f t="shared" si="233"/>
        <v>0</v>
      </c>
      <c r="CQ161" s="1">
        <f>SUMIFS(
  '[1]Hoja 1'!$M:$M,
  '[1]Hoja 1'!$S:$S, $A161,
  '[1]Hoja 1'!$R:$R, "&gt;="&amp;INT($CS$1),
  '[1]Hoja 1'!$R:$R, "&lt;"&amp;INT($CT$1+1)
)</f>
        <v>0</v>
      </c>
      <c r="CR161" s="1">
        <f t="shared" si="234"/>
        <v>0</v>
      </c>
      <c r="CS161" s="9">
        <f t="shared" si="235"/>
        <v>0</v>
      </c>
      <c r="CT161" s="10">
        <f t="shared" si="236"/>
        <v>0</v>
      </c>
      <c r="CU161" s="1">
        <f>SUMIFS(
  '[1]Hoja 1'!$M:$M,
  '[1]Hoja 1'!$S:$S, $A161,
  '[1]Hoja 1'!$R:$R, "&gt;="&amp;INT($CW$1),
  '[1]Hoja 1'!$R:$R, "&lt;"&amp;INT($CX$1+1)
)</f>
        <v>0</v>
      </c>
      <c r="CV161" s="1">
        <f t="shared" si="237"/>
        <v>0</v>
      </c>
      <c r="CW161" s="9">
        <f t="shared" si="238"/>
        <v>0</v>
      </c>
      <c r="CX161" s="10">
        <f t="shared" si="239"/>
        <v>0</v>
      </c>
      <c r="CY161" s="1">
        <f>SUMIFS(
  '[1]Hoja 1'!$M:$M,
  '[1]Hoja 1'!$S:$S, $A161,
  '[1]Hoja 1'!$R:$R, "&gt;="&amp;INT($DA$1),
  '[1]Hoja 1'!$R:$R, "&lt;"&amp;INT($DB$1+1)
)</f>
        <v>0</v>
      </c>
      <c r="CZ161" s="1">
        <f t="shared" si="240"/>
        <v>0</v>
      </c>
      <c r="DA161" s="9">
        <f t="shared" si="241"/>
        <v>0</v>
      </c>
      <c r="DB161" s="10">
        <f t="shared" si="242"/>
        <v>0</v>
      </c>
      <c r="DC161" s="1">
        <f>SUMIFS(
  '[1]Hoja 1'!$M:$M,
  '[1]Hoja 1'!$S:$S, $A161,
  '[1]Hoja 1'!$R:$R, "&gt;="&amp;INT($DE$1),
  '[1]Hoja 1'!$R:$R, "&lt;"&amp;INT($DF$1+1)
)</f>
        <v>0</v>
      </c>
      <c r="DD161" s="1">
        <f t="shared" si="243"/>
        <v>0</v>
      </c>
      <c r="DE161" s="9">
        <f t="shared" si="244"/>
        <v>0</v>
      </c>
      <c r="DF161" s="10">
        <f t="shared" si="245"/>
        <v>0</v>
      </c>
      <c r="DG161" s="1">
        <f>SUMIFS(
  '[1]Hoja 1'!$M:$M,
  '[1]Hoja 1'!$S:$S, $A161,
  '[1]Hoja 1'!$R:$R, "&gt;="&amp;INT($DI$1),
  '[1]Hoja 1'!$R:$R, "&lt;"&amp;INT($DJ$1+1)
)</f>
        <v>0</v>
      </c>
      <c r="DH161" s="1">
        <f t="shared" si="246"/>
        <v>0</v>
      </c>
      <c r="DI161" s="9">
        <f t="shared" si="247"/>
        <v>0</v>
      </c>
      <c r="DJ161" s="10">
        <f t="shared" si="248"/>
        <v>0</v>
      </c>
      <c r="DK161" s="1">
        <f>SUMIFS(
  '[1]Hoja 1'!$M:$M,
  '[1]Hoja 1'!$S:$S, $A161,
  '[1]Hoja 1'!$R:$R, "&gt;="&amp;INT($DM$1),
  '[1]Hoja 1'!$R:$R, "&lt;"&amp;INT($DN$1+1)
)</f>
        <v>0</v>
      </c>
      <c r="DL161" s="1">
        <f t="shared" si="249"/>
        <v>0</v>
      </c>
      <c r="DM161" s="9">
        <f t="shared" si="250"/>
        <v>0</v>
      </c>
      <c r="DN161" s="10">
        <f t="shared" si="251"/>
        <v>0</v>
      </c>
      <c r="DO161" s="1">
        <f>SUMIFS(
  '[1]Hoja 1'!$M:$M,
  '[1]Hoja 1'!$S:$S, $A161,
  '[1]Hoja 1'!$R:$R, "&gt;="&amp;INT($DQ$1),
  '[1]Hoja 1'!$R:$R, "&lt;"&amp;INT($DR$1+1)
)</f>
        <v>0</v>
      </c>
      <c r="DP161" s="1">
        <f t="shared" si="252"/>
        <v>0</v>
      </c>
      <c r="DQ161" s="9">
        <f t="shared" si="253"/>
        <v>0</v>
      </c>
      <c r="DR161" s="10">
        <f t="shared" si="254"/>
        <v>0</v>
      </c>
    </row>
    <row r="162" spans="1:122" x14ac:dyDescent="0.25">
      <c r="A162" s="5">
        <v>226032</v>
      </c>
      <c r="B162" s="6" t="s">
        <v>160</v>
      </c>
      <c r="C162" s="1">
        <f>SUMIFS(
  '[1]Hoja 1'!$M:$M,
  '[1]Hoja 1'!$S:$S, $A162,
  '[1]Hoja 1'!$R:$R, "&gt;="&amp;INT($E$1),
  '[1]Hoja 1'!$R:$R, "&lt;"&amp;INT($F$1+1)
)</f>
        <v>0</v>
      </c>
      <c r="D162" s="1" t="str">
        <f>""</f>
        <v/>
      </c>
      <c r="F162" s="2"/>
      <c r="G162" s="1">
        <f>SUMIFS(
  '[1]Hoja 1'!$M:$M,
  '[1]Hoja 1'!$S:$S, $A162,
  '[1]Hoja 1'!$R:$R, "&gt;="&amp;INT($I$1),
  '[1]Hoja 1'!$R:$R, "&lt;"&amp;INT($J$1+1)
)</f>
        <v>0</v>
      </c>
      <c r="H162" s="1">
        <f t="shared" si="170"/>
        <v>0</v>
      </c>
      <c r="I162" s="1"/>
      <c r="J162" s="2"/>
      <c r="K162" s="1">
        <f>SUMIFS(
  '[1]Hoja 1'!$M:$M,
  '[1]Hoja 1'!$S:$S, $A162,
  '[1]Hoja 1'!$R:$R, "&gt;="&amp;INT($M$1),
  '[1]Hoja 1'!$R:$R, "&lt;"&amp;INT($N$1+1)
)</f>
        <v>0</v>
      </c>
      <c r="L162" s="1">
        <f t="shared" si="171"/>
        <v>0</v>
      </c>
      <c r="M162" s="9">
        <f t="shared" si="172"/>
        <v>0</v>
      </c>
      <c r="N162" s="10">
        <f t="shared" si="173"/>
        <v>0</v>
      </c>
      <c r="O162" s="1">
        <f>SUMIFS(
  '[1]Hoja 1'!$M:$M,
  '[1]Hoja 1'!$S:$S, $A162,
  '[1]Hoja 1'!$R:$R, "&gt;="&amp;INT($Q$1),
  '[1]Hoja 1'!$R:$R, "&lt;"&amp;INT($R$1+1)
)</f>
        <v>0</v>
      </c>
      <c r="P162" s="1">
        <f t="shared" si="174"/>
        <v>0</v>
      </c>
      <c r="Q162" s="9">
        <f t="shared" si="175"/>
        <v>0</v>
      </c>
      <c r="R162" s="10">
        <f t="shared" si="176"/>
        <v>0</v>
      </c>
      <c r="S162" s="1">
        <f>SUMIFS(
  '[1]Hoja 1'!$M:$M,
  '[1]Hoja 1'!$S:$S, $A162,
  '[1]Hoja 1'!$R:$R, "&gt;="&amp;INT($U$1),
  '[1]Hoja 1'!$R:$R, "&lt;"&amp;INT($V$1+1)
)</f>
        <v>0</v>
      </c>
      <c r="T162" s="1">
        <f t="shared" si="177"/>
        <v>0</v>
      </c>
      <c r="U162" s="9">
        <f t="shared" si="178"/>
        <v>0</v>
      </c>
      <c r="V162" s="10">
        <f t="shared" si="179"/>
        <v>0</v>
      </c>
      <c r="W162" s="1">
        <f>SUMIFS(
  '[1]Hoja 1'!$M:$M,
  '[1]Hoja 1'!$S:$S, $A162,
  '[1]Hoja 1'!$R:$R, "&gt;="&amp;INT($Y$1),
  '[1]Hoja 1'!$R:$R, "&lt;"&amp;INT($Z$1+1)
)</f>
        <v>0</v>
      </c>
      <c r="X162" s="1">
        <f t="shared" si="180"/>
        <v>0</v>
      </c>
      <c r="Y162" s="9">
        <f t="shared" si="181"/>
        <v>0</v>
      </c>
      <c r="Z162" s="10">
        <f t="shared" si="182"/>
        <v>0</v>
      </c>
      <c r="AA162" s="1">
        <f>SUMIFS(
  '[1]Hoja 1'!$M:$M,
  '[1]Hoja 1'!$S:$S, $A162,
  '[1]Hoja 1'!$R:$R, "&gt;="&amp;INT($AC$1),
  '[1]Hoja 1'!$R:$R, "&lt;"&amp;INT($AD$1+1)
)</f>
        <v>0</v>
      </c>
      <c r="AB162" s="1">
        <f t="shared" si="183"/>
        <v>0</v>
      </c>
      <c r="AC162" s="9">
        <f t="shared" si="184"/>
        <v>0</v>
      </c>
      <c r="AD162" s="10">
        <f t="shared" si="185"/>
        <v>0</v>
      </c>
      <c r="AE162" s="1">
        <f>SUMIFS(
  '[1]Hoja 1'!$M:$M,
  '[1]Hoja 1'!$S:$S, $A162,
  '[1]Hoja 1'!$R:$R, "&gt;="&amp;INT($AG$1),
  '[1]Hoja 1'!$R:$R, "&lt;"&amp;INT($AH$1+1)
)</f>
        <v>0</v>
      </c>
      <c r="AF162" s="1">
        <f t="shared" si="186"/>
        <v>0</v>
      </c>
      <c r="AG162" s="9">
        <f t="shared" si="187"/>
        <v>0</v>
      </c>
      <c r="AH162" s="10">
        <f t="shared" si="188"/>
        <v>0</v>
      </c>
      <c r="AI162" s="1">
        <f>SUMIFS(
  '[1]Hoja 1'!$M:$M,
  '[1]Hoja 1'!$S:$S, $A162,
  '[1]Hoja 1'!$R:$R, "&gt;="&amp;INT($AK$1),
  '[1]Hoja 1'!$R:$R, "&lt;"&amp;INT($AL$1+1)
)</f>
        <v>0</v>
      </c>
      <c r="AJ162" s="1">
        <f t="shared" si="189"/>
        <v>0</v>
      </c>
      <c r="AK162" s="9">
        <f t="shared" si="190"/>
        <v>0</v>
      </c>
      <c r="AL162" s="10">
        <f t="shared" si="191"/>
        <v>0</v>
      </c>
      <c r="AM162" s="1">
        <f>SUMIFS(
  '[1]Hoja 1'!$M:$M,
  '[1]Hoja 1'!$S:$S, $A162,
  '[1]Hoja 1'!$R:$R, "&gt;="&amp;INT($AO$1),
  '[1]Hoja 1'!$R:$R, "&lt;"&amp;INT($AP$1+1)
)</f>
        <v>0</v>
      </c>
      <c r="AN162" s="1">
        <f t="shared" si="192"/>
        <v>0</v>
      </c>
      <c r="AO162" s="9">
        <f t="shared" si="193"/>
        <v>0</v>
      </c>
      <c r="AP162" s="10">
        <f t="shared" si="194"/>
        <v>0</v>
      </c>
      <c r="AQ162" s="1">
        <f>SUMIFS(
  '[1]Hoja 1'!$M:$M,
  '[1]Hoja 1'!$S:$S, $A162,
  '[1]Hoja 1'!$R:$R, "&gt;="&amp;INT($AS$1),
  '[1]Hoja 1'!$R:$R, "&lt;"&amp;INT($AT$1+1)
)</f>
        <v>0</v>
      </c>
      <c r="AR162" s="1">
        <f t="shared" si="195"/>
        <v>0</v>
      </c>
      <c r="AS162" s="9">
        <f t="shared" si="196"/>
        <v>0</v>
      </c>
      <c r="AT162" s="10">
        <f t="shared" si="197"/>
        <v>0</v>
      </c>
      <c r="AU162" s="1">
        <f>SUMIFS(
  '[1]Hoja 1'!$M:$M,
  '[1]Hoja 1'!$S:$S, $A162,
  '[1]Hoja 1'!$R:$R, "&gt;="&amp;INT($AW$1),
  '[1]Hoja 1'!$R:$R, "&lt;"&amp;INT($AX$1+1)
)</f>
        <v>0</v>
      </c>
      <c r="AV162" s="1">
        <f t="shared" si="198"/>
        <v>0</v>
      </c>
      <c r="AW162" s="9">
        <f t="shared" si="199"/>
        <v>0</v>
      </c>
      <c r="AX162" s="10">
        <f t="shared" si="200"/>
        <v>0</v>
      </c>
      <c r="AY162" s="1">
        <f>SUMIFS(
  '[1]Hoja 1'!$M:$M,
  '[1]Hoja 1'!$S:$S, $A162,
  '[1]Hoja 1'!$R:$R, "&gt;="&amp;INT($BA$1),
  '[1]Hoja 1'!$R:$R, "&lt;"&amp;INT($BB$1+1)
)</f>
        <v>0</v>
      </c>
      <c r="AZ162" s="1">
        <f t="shared" si="201"/>
        <v>0</v>
      </c>
      <c r="BA162" s="9">
        <f t="shared" si="202"/>
        <v>0</v>
      </c>
      <c r="BB162" s="10">
        <f t="shared" si="203"/>
        <v>0</v>
      </c>
      <c r="BC162" s="1">
        <f>SUMIFS(
  '[1]Hoja 1'!$M:$M,
  '[1]Hoja 1'!$S:$S, $A162,
  '[1]Hoja 1'!$R:$R, "&gt;="&amp;INT($BE$1),
  '[1]Hoja 1'!$R:$R, "&lt;"&amp;INT($BF$1+1)
)</f>
        <v>0</v>
      </c>
      <c r="BD162" s="1">
        <f t="shared" si="204"/>
        <v>0</v>
      </c>
      <c r="BE162" s="9">
        <f t="shared" si="205"/>
        <v>0</v>
      </c>
      <c r="BF162" s="10">
        <f t="shared" si="206"/>
        <v>0</v>
      </c>
      <c r="BG162" s="1">
        <f>SUMIFS(
  '[1]Hoja 1'!$M:$M,
  '[1]Hoja 1'!$S:$S, $A162,
  '[1]Hoja 1'!$R:$R, "&gt;="&amp;INT($BI$1),
  '[1]Hoja 1'!$R:$R, "&lt;"&amp;INT($BJ$1+1)
)</f>
        <v>0</v>
      </c>
      <c r="BH162" s="1">
        <f t="shared" si="207"/>
        <v>0</v>
      </c>
      <c r="BI162" s="9">
        <f t="shared" si="208"/>
        <v>0</v>
      </c>
      <c r="BJ162" s="10">
        <f t="shared" si="209"/>
        <v>0</v>
      </c>
      <c r="BK162" s="1">
        <f>SUMIFS(
  '[1]Hoja 1'!$M:$M,
  '[1]Hoja 1'!$S:$S, $A162,
  '[1]Hoja 1'!$R:$R, "&gt;="&amp;INT($BM$1),
  '[1]Hoja 1'!$R:$R, "&lt;"&amp;INT($BN$1+1)
)</f>
        <v>0</v>
      </c>
      <c r="BL162" s="1">
        <f t="shared" si="210"/>
        <v>0</v>
      </c>
      <c r="BM162" s="9">
        <f t="shared" si="211"/>
        <v>0</v>
      </c>
      <c r="BN162" s="10">
        <f t="shared" si="212"/>
        <v>0</v>
      </c>
      <c r="BO162" s="1">
        <f>SUMIFS(
  '[1]Hoja 1'!$M:$M,
  '[1]Hoja 1'!$S:$S, $A162,
  '[1]Hoja 1'!$R:$R, "&gt;="&amp;INT($BQ$1),
  '[1]Hoja 1'!$R:$R, "&lt;"&amp;INT($BR$1+1)
)</f>
        <v>0</v>
      </c>
      <c r="BP162" s="1">
        <f t="shared" si="213"/>
        <v>0</v>
      </c>
      <c r="BQ162" s="9">
        <f t="shared" si="214"/>
        <v>0</v>
      </c>
      <c r="BR162" s="10">
        <f t="shared" si="215"/>
        <v>0</v>
      </c>
      <c r="BS162" s="1">
        <f>SUMIFS(
  '[1]Hoja 1'!$M:$M,
  '[1]Hoja 1'!$S:$S, $A162,
  '[1]Hoja 1'!$R:$R, "&gt;="&amp;INT($BU$1),
  '[1]Hoja 1'!$R:$R, "&lt;"&amp;INT($BV$1+1)
)</f>
        <v>0</v>
      </c>
      <c r="BT162" s="1">
        <f t="shared" si="216"/>
        <v>0</v>
      </c>
      <c r="BU162" s="9">
        <f t="shared" si="217"/>
        <v>0</v>
      </c>
      <c r="BV162" s="10">
        <f t="shared" si="218"/>
        <v>0</v>
      </c>
      <c r="BW162" s="1">
        <f>SUMIFS(
  '[1]Hoja 1'!$M:$M,
  '[1]Hoja 1'!$S:$S, $A162,
  '[1]Hoja 1'!$R:$R, "&gt;="&amp;INT($BY$1),
  '[1]Hoja 1'!$R:$R, "&lt;"&amp;INT($BZ$1+1)
)</f>
        <v>0</v>
      </c>
      <c r="BX162" s="1">
        <f t="shared" si="219"/>
        <v>0</v>
      </c>
      <c r="BY162" s="9">
        <f t="shared" si="220"/>
        <v>0</v>
      </c>
      <c r="BZ162" s="10">
        <f t="shared" si="221"/>
        <v>0</v>
      </c>
      <c r="CA162" s="1">
        <f>SUMIFS(
  '[1]Hoja 1'!$M:$M,
  '[1]Hoja 1'!$S:$S, $A162,
  '[1]Hoja 1'!$R:$R, "&gt;="&amp;INT($CC$1),
  '[1]Hoja 1'!$R:$R, "&lt;"&amp;INT($CD$1+1)
)</f>
        <v>0</v>
      </c>
      <c r="CB162" s="1">
        <f t="shared" si="222"/>
        <v>0</v>
      </c>
      <c r="CC162" s="9">
        <f t="shared" si="223"/>
        <v>0</v>
      </c>
      <c r="CD162" s="10">
        <f t="shared" si="224"/>
        <v>0</v>
      </c>
      <c r="CE162" s="1">
        <f>SUMIFS(
  '[1]Hoja 1'!$M:$M,
  '[1]Hoja 1'!$S:$S, $A162,
  '[1]Hoja 1'!$R:$R, "&gt;="&amp;INT($CG$1),
  '[1]Hoja 1'!$R:$R, "&lt;"&amp;INT($CH$1+1)
)</f>
        <v>0</v>
      </c>
      <c r="CF162" s="1">
        <f t="shared" si="225"/>
        <v>0</v>
      </c>
      <c r="CG162" s="9">
        <f t="shared" si="226"/>
        <v>0</v>
      </c>
      <c r="CH162" s="10">
        <f t="shared" si="227"/>
        <v>0</v>
      </c>
      <c r="CI162" s="1">
        <f>SUMIFS(
  '[1]Hoja 1'!$M:$M,
  '[1]Hoja 1'!$S:$S, $A162,
  '[1]Hoja 1'!$R:$R, "&gt;="&amp;INT($CK$1),
  '[1]Hoja 1'!$R:$R, "&lt;"&amp;INT($CL$1+1)
)</f>
        <v>0</v>
      </c>
      <c r="CJ162" s="1">
        <f t="shared" si="228"/>
        <v>0</v>
      </c>
      <c r="CK162" s="9">
        <f t="shared" si="229"/>
        <v>0</v>
      </c>
      <c r="CL162" s="10">
        <f t="shared" si="230"/>
        <v>0</v>
      </c>
      <c r="CM162" s="1">
        <f>SUMIFS(
  '[1]Hoja 1'!$M:$M,
  '[1]Hoja 1'!$S:$S, $A162,
  '[1]Hoja 1'!$R:$R, "&gt;="&amp;INT($CO$1),
  '[1]Hoja 1'!$R:$R, "&lt;"&amp;INT($CP$1+1)
)</f>
        <v>0</v>
      </c>
      <c r="CN162" s="1">
        <f t="shared" si="231"/>
        <v>0</v>
      </c>
      <c r="CO162" s="9">
        <f t="shared" si="232"/>
        <v>0</v>
      </c>
      <c r="CP162" s="10">
        <f t="shared" si="233"/>
        <v>0</v>
      </c>
      <c r="CQ162" s="1">
        <f>SUMIFS(
  '[1]Hoja 1'!$M:$M,
  '[1]Hoja 1'!$S:$S, $A162,
  '[1]Hoja 1'!$R:$R, "&gt;="&amp;INT($CS$1),
  '[1]Hoja 1'!$R:$R, "&lt;"&amp;INT($CT$1+1)
)</f>
        <v>0</v>
      </c>
      <c r="CR162" s="1">
        <f t="shared" si="234"/>
        <v>0</v>
      </c>
      <c r="CS162" s="9">
        <f t="shared" si="235"/>
        <v>0</v>
      </c>
      <c r="CT162" s="10">
        <f t="shared" si="236"/>
        <v>0</v>
      </c>
      <c r="CU162" s="1">
        <f>SUMIFS(
  '[1]Hoja 1'!$M:$M,
  '[1]Hoja 1'!$S:$S, $A162,
  '[1]Hoja 1'!$R:$R, "&gt;="&amp;INT($CW$1),
  '[1]Hoja 1'!$R:$R, "&lt;"&amp;INT($CX$1+1)
)</f>
        <v>0</v>
      </c>
      <c r="CV162" s="1">
        <f t="shared" si="237"/>
        <v>0</v>
      </c>
      <c r="CW162" s="9">
        <f t="shared" si="238"/>
        <v>0</v>
      </c>
      <c r="CX162" s="10">
        <f t="shared" si="239"/>
        <v>0</v>
      </c>
      <c r="CY162" s="1">
        <f>SUMIFS(
  '[1]Hoja 1'!$M:$M,
  '[1]Hoja 1'!$S:$S, $A162,
  '[1]Hoja 1'!$R:$R, "&gt;="&amp;INT($DA$1),
  '[1]Hoja 1'!$R:$R, "&lt;"&amp;INT($DB$1+1)
)</f>
        <v>0</v>
      </c>
      <c r="CZ162" s="1">
        <f t="shared" si="240"/>
        <v>0</v>
      </c>
      <c r="DA162" s="9">
        <f t="shared" si="241"/>
        <v>0</v>
      </c>
      <c r="DB162" s="10">
        <f t="shared" si="242"/>
        <v>0</v>
      </c>
      <c r="DC162" s="1">
        <f>SUMIFS(
  '[1]Hoja 1'!$M:$M,
  '[1]Hoja 1'!$S:$S, $A162,
  '[1]Hoja 1'!$R:$R, "&gt;="&amp;INT($DE$1),
  '[1]Hoja 1'!$R:$R, "&lt;"&amp;INT($DF$1+1)
)</f>
        <v>0</v>
      </c>
      <c r="DD162" s="1">
        <f t="shared" si="243"/>
        <v>0</v>
      </c>
      <c r="DE162" s="9">
        <f t="shared" si="244"/>
        <v>0</v>
      </c>
      <c r="DF162" s="10">
        <f t="shared" si="245"/>
        <v>0</v>
      </c>
      <c r="DG162" s="1">
        <f>SUMIFS(
  '[1]Hoja 1'!$M:$M,
  '[1]Hoja 1'!$S:$S, $A162,
  '[1]Hoja 1'!$R:$R, "&gt;="&amp;INT($DI$1),
  '[1]Hoja 1'!$R:$R, "&lt;"&amp;INT($DJ$1+1)
)</f>
        <v>0</v>
      </c>
      <c r="DH162" s="1">
        <f t="shared" si="246"/>
        <v>0</v>
      </c>
      <c r="DI162" s="9">
        <f t="shared" si="247"/>
        <v>0</v>
      </c>
      <c r="DJ162" s="10">
        <f t="shared" si="248"/>
        <v>0</v>
      </c>
      <c r="DK162" s="1">
        <f>SUMIFS(
  '[1]Hoja 1'!$M:$M,
  '[1]Hoja 1'!$S:$S, $A162,
  '[1]Hoja 1'!$R:$R, "&gt;="&amp;INT($DM$1),
  '[1]Hoja 1'!$R:$R, "&lt;"&amp;INT($DN$1+1)
)</f>
        <v>0</v>
      </c>
      <c r="DL162" s="1">
        <f t="shared" si="249"/>
        <v>0</v>
      </c>
      <c r="DM162" s="9">
        <f t="shared" si="250"/>
        <v>0</v>
      </c>
      <c r="DN162" s="10">
        <f t="shared" si="251"/>
        <v>0</v>
      </c>
      <c r="DO162" s="1">
        <f>SUMIFS(
  '[1]Hoja 1'!$M:$M,
  '[1]Hoja 1'!$S:$S, $A162,
  '[1]Hoja 1'!$R:$R, "&gt;="&amp;INT($DQ$1),
  '[1]Hoja 1'!$R:$R, "&lt;"&amp;INT($DR$1+1)
)</f>
        <v>0</v>
      </c>
      <c r="DP162" s="1">
        <f t="shared" si="252"/>
        <v>0</v>
      </c>
      <c r="DQ162" s="9">
        <f t="shared" si="253"/>
        <v>0</v>
      </c>
      <c r="DR162" s="10">
        <f t="shared" si="254"/>
        <v>0</v>
      </c>
    </row>
    <row r="163" spans="1:122" x14ac:dyDescent="0.25">
      <c r="A163" s="5">
        <v>226033</v>
      </c>
      <c r="B163" s="6" t="s">
        <v>161</v>
      </c>
      <c r="C163" s="1">
        <f>SUMIFS(
  '[1]Hoja 1'!$M:$M,
  '[1]Hoja 1'!$S:$S, $A163,
  '[1]Hoja 1'!$R:$R, "&gt;="&amp;INT($E$1),
  '[1]Hoja 1'!$R:$R, "&lt;"&amp;INT($F$1+1)
)</f>
        <v>0</v>
      </c>
      <c r="D163" s="1" t="str">
        <f>""</f>
        <v/>
      </c>
      <c r="F163" s="2"/>
      <c r="G163" s="1">
        <f>SUMIFS(
  '[1]Hoja 1'!$M:$M,
  '[1]Hoja 1'!$S:$S, $A163,
  '[1]Hoja 1'!$R:$R, "&gt;="&amp;INT($I$1),
  '[1]Hoja 1'!$R:$R, "&lt;"&amp;INT($J$1+1)
)</f>
        <v>14</v>
      </c>
      <c r="H163" s="1">
        <f t="shared" si="170"/>
        <v>7</v>
      </c>
      <c r="I163" s="1"/>
      <c r="J163" s="2"/>
      <c r="K163" s="1">
        <f>SUMIFS(
  '[1]Hoja 1'!$M:$M,
  '[1]Hoja 1'!$S:$S, $A163,
  '[1]Hoja 1'!$R:$R, "&gt;="&amp;INT($M$1),
  '[1]Hoja 1'!$R:$R, "&lt;"&amp;INT($N$1+1)
)</f>
        <v>0</v>
      </c>
      <c r="L163" s="1">
        <f t="shared" si="171"/>
        <v>7</v>
      </c>
      <c r="M163" s="9">
        <f t="shared" si="172"/>
        <v>-12.403010075758864</v>
      </c>
      <c r="N163" s="10">
        <f t="shared" si="173"/>
        <v>26.403010075758864</v>
      </c>
      <c r="O163" s="1">
        <f>SUMIFS(
  '[1]Hoja 1'!$M:$M,
  '[1]Hoja 1'!$S:$S, $A163,
  '[1]Hoja 1'!$R:$R, "&gt;="&amp;INT($Q$1),
  '[1]Hoja 1'!$R:$R, "&lt;"&amp;INT($R$1+1)
)</f>
        <v>0</v>
      </c>
      <c r="P163" s="1">
        <f t="shared" si="174"/>
        <v>0</v>
      </c>
      <c r="Q163" s="9">
        <f t="shared" si="175"/>
        <v>-6.7199999999999989</v>
      </c>
      <c r="R163" s="10">
        <f t="shared" si="176"/>
        <v>20.72</v>
      </c>
      <c r="S163" s="1">
        <f>SUMIFS(
  '[1]Hoja 1'!$M:$M,
  '[1]Hoja 1'!$S:$S, $A163,
  '[1]Hoja 1'!$R:$R, "&gt;="&amp;INT($U$1),
  '[1]Hoja 1'!$R:$R, "&lt;"&amp;INT($V$1+1)
)</f>
        <v>0</v>
      </c>
      <c r="T163" s="1">
        <f t="shared" si="177"/>
        <v>0</v>
      </c>
      <c r="U163" s="9">
        <f t="shared" si="178"/>
        <v>-11.2023330903284</v>
      </c>
      <c r="V163" s="10">
        <f t="shared" si="179"/>
        <v>11.2023330903284</v>
      </c>
      <c r="W163" s="1">
        <f>SUMIFS(
  '[1]Hoja 1'!$M:$M,
  '[1]Hoja 1'!$S:$S, $A163,
  '[1]Hoja 1'!$R:$R, "&gt;="&amp;INT($Y$1),
  '[1]Hoja 1'!$R:$R, "&lt;"&amp;INT($Z$1+1)
)</f>
        <v>0</v>
      </c>
      <c r="X163" s="1">
        <f t="shared" si="180"/>
        <v>0</v>
      </c>
      <c r="Y163" s="9">
        <f t="shared" si="181"/>
        <v>-6.8599999999999994</v>
      </c>
      <c r="Z163" s="10">
        <f t="shared" si="182"/>
        <v>6.8599999999999994</v>
      </c>
      <c r="AA163" s="1">
        <f>SUMIFS(
  '[1]Hoja 1'!$M:$M,
  '[1]Hoja 1'!$S:$S, $A163,
  '[1]Hoja 1'!$R:$R, "&gt;="&amp;INT($AC$1),
  '[1]Hoja 1'!$R:$R, "&lt;"&amp;INT($AD$1+1)
)</f>
        <v>61</v>
      </c>
      <c r="AB163" s="1">
        <f t="shared" si="183"/>
        <v>31</v>
      </c>
      <c r="AC163" s="9">
        <f t="shared" si="184"/>
        <v>4.2655712610125143</v>
      </c>
      <c r="AD163" s="10">
        <f t="shared" si="185"/>
        <v>60.89</v>
      </c>
      <c r="AE163" s="1">
        <f>SUMIFS(
  '[1]Hoja 1'!$M:$M,
  '[1]Hoja 1'!$S:$S, $A163,
  '[1]Hoja 1'!$R:$R, "&gt;="&amp;INT($AG$1),
  '[1]Hoja 1'!$R:$R, "&lt;"&amp;INT($AH$1+1)
)</f>
        <v>0</v>
      </c>
      <c r="AF163" s="1">
        <f t="shared" si="186"/>
        <v>31</v>
      </c>
      <c r="AG163" s="9">
        <f t="shared" si="187"/>
        <v>-11.270843379331808</v>
      </c>
      <c r="AH163" s="10">
        <f t="shared" si="188"/>
        <v>79.81016560785946</v>
      </c>
      <c r="AI163" s="1">
        <f>SUMIFS(
  '[1]Hoja 1'!$M:$M,
  '[1]Hoja 1'!$S:$S, $A163,
  '[1]Hoja 1'!$R:$R, "&gt;="&amp;INT($AK$1),
  '[1]Hoja 1'!$R:$R, "&lt;"&amp;INT($AL$1+1)
)</f>
        <v>0</v>
      </c>
      <c r="AJ163" s="1">
        <f t="shared" si="189"/>
        <v>0</v>
      </c>
      <c r="AK163" s="9">
        <f t="shared" si="190"/>
        <v>-42.270843379331808</v>
      </c>
      <c r="AL163" s="10">
        <f t="shared" si="191"/>
        <v>48.81016560785946</v>
      </c>
      <c r="AM163" s="1">
        <f>SUMIFS(
  '[1]Hoja 1'!$M:$M,
  '[1]Hoja 1'!$S:$S, $A163,
  '[1]Hoja 1'!$R:$R, "&gt;="&amp;INT($AO$1),
  '[1]Hoja 1'!$R:$R, "&lt;"&amp;INT($AP$1+1)
)</f>
        <v>0</v>
      </c>
      <c r="AN163" s="1">
        <f t="shared" si="192"/>
        <v>0</v>
      </c>
      <c r="AO163" s="9">
        <f t="shared" si="193"/>
        <v>-42.270843379331808</v>
      </c>
      <c r="AP163" s="10">
        <f t="shared" si="194"/>
        <v>48.81016560785946</v>
      </c>
      <c r="AQ163" s="1">
        <f>SUMIFS(
  '[1]Hoja 1'!$M:$M,
  '[1]Hoja 1'!$S:$S, $A163,
  '[1]Hoja 1'!$R:$R, "&gt;="&amp;INT($AS$1),
  '[1]Hoja 1'!$R:$R, "&lt;"&amp;INT($AT$1+1)
)</f>
        <v>0</v>
      </c>
      <c r="AR163" s="1">
        <f t="shared" si="195"/>
        <v>0</v>
      </c>
      <c r="AS163" s="9">
        <f t="shared" si="196"/>
        <v>-26.734428738987486</v>
      </c>
      <c r="AT163" s="10">
        <f t="shared" si="197"/>
        <v>29.89</v>
      </c>
      <c r="AU163" s="1">
        <f>SUMIFS(
  '[1]Hoja 1'!$M:$M,
  '[1]Hoja 1'!$S:$S, $A163,
  '[1]Hoja 1'!$R:$R, "&gt;="&amp;INT($AW$1),
  '[1]Hoja 1'!$R:$R, "&lt;"&amp;INT($AX$1+1)
)</f>
        <v>0</v>
      </c>
      <c r="AV163" s="1">
        <f t="shared" si="198"/>
        <v>0</v>
      </c>
      <c r="AW163" s="9">
        <f t="shared" si="199"/>
        <v>0</v>
      </c>
      <c r="AX163" s="10">
        <f t="shared" si="200"/>
        <v>0</v>
      </c>
      <c r="AY163" s="1">
        <f>SUMIFS(
  '[1]Hoja 1'!$M:$M,
  '[1]Hoja 1'!$S:$S, $A163,
  '[1]Hoja 1'!$R:$R, "&gt;="&amp;INT($BA$1),
  '[1]Hoja 1'!$R:$R, "&lt;"&amp;INT($BB$1+1)
)</f>
        <v>0</v>
      </c>
      <c r="AZ163" s="1">
        <f t="shared" si="201"/>
        <v>0</v>
      </c>
      <c r="BA163" s="9">
        <f t="shared" si="202"/>
        <v>0</v>
      </c>
      <c r="BB163" s="10">
        <f t="shared" si="203"/>
        <v>0</v>
      </c>
      <c r="BC163" s="1">
        <f>SUMIFS(
  '[1]Hoja 1'!$M:$M,
  '[1]Hoja 1'!$S:$S, $A163,
  '[1]Hoja 1'!$R:$R, "&gt;="&amp;INT($BE$1),
  '[1]Hoja 1'!$R:$R, "&lt;"&amp;INT($BF$1+1)
)</f>
        <v>0</v>
      </c>
      <c r="BD163" s="1">
        <f t="shared" si="204"/>
        <v>0</v>
      </c>
      <c r="BE163" s="9">
        <f t="shared" si="205"/>
        <v>0</v>
      </c>
      <c r="BF163" s="10">
        <f t="shared" si="206"/>
        <v>0</v>
      </c>
      <c r="BG163" s="1">
        <f>SUMIFS(
  '[1]Hoja 1'!$M:$M,
  '[1]Hoja 1'!$S:$S, $A163,
  '[1]Hoja 1'!$R:$R, "&gt;="&amp;INT($BI$1),
  '[1]Hoja 1'!$R:$R, "&lt;"&amp;INT($BJ$1+1)
)</f>
        <v>0</v>
      </c>
      <c r="BH163" s="1">
        <f t="shared" si="207"/>
        <v>0</v>
      </c>
      <c r="BI163" s="9">
        <f t="shared" si="208"/>
        <v>0</v>
      </c>
      <c r="BJ163" s="10">
        <f t="shared" si="209"/>
        <v>0</v>
      </c>
      <c r="BK163" s="1">
        <f>SUMIFS(
  '[1]Hoja 1'!$M:$M,
  '[1]Hoja 1'!$S:$S, $A163,
  '[1]Hoja 1'!$R:$R, "&gt;="&amp;INT($BM$1),
  '[1]Hoja 1'!$R:$R, "&lt;"&amp;INT($BN$1+1)
)</f>
        <v>0</v>
      </c>
      <c r="BL163" s="1">
        <f t="shared" si="210"/>
        <v>0</v>
      </c>
      <c r="BM163" s="9">
        <f t="shared" si="211"/>
        <v>0</v>
      </c>
      <c r="BN163" s="10">
        <f t="shared" si="212"/>
        <v>0</v>
      </c>
      <c r="BO163" s="1">
        <f>SUMIFS(
  '[1]Hoja 1'!$M:$M,
  '[1]Hoja 1'!$S:$S, $A163,
  '[1]Hoja 1'!$R:$R, "&gt;="&amp;INT($BQ$1),
  '[1]Hoja 1'!$R:$R, "&lt;"&amp;INT($BR$1+1)
)</f>
        <v>0</v>
      </c>
      <c r="BP163" s="1">
        <f t="shared" si="213"/>
        <v>0</v>
      </c>
      <c r="BQ163" s="9">
        <f t="shared" si="214"/>
        <v>0</v>
      </c>
      <c r="BR163" s="10">
        <f t="shared" si="215"/>
        <v>0</v>
      </c>
      <c r="BS163" s="1">
        <f>SUMIFS(
  '[1]Hoja 1'!$M:$M,
  '[1]Hoja 1'!$S:$S, $A163,
  '[1]Hoja 1'!$R:$R, "&gt;="&amp;INT($BU$1),
  '[1]Hoja 1'!$R:$R, "&lt;"&amp;INT($BV$1+1)
)</f>
        <v>0</v>
      </c>
      <c r="BT163" s="1">
        <f t="shared" si="216"/>
        <v>0</v>
      </c>
      <c r="BU163" s="9">
        <f t="shared" si="217"/>
        <v>0</v>
      </c>
      <c r="BV163" s="10">
        <f t="shared" si="218"/>
        <v>0</v>
      </c>
      <c r="BW163" s="1">
        <f>SUMIFS(
  '[1]Hoja 1'!$M:$M,
  '[1]Hoja 1'!$S:$S, $A163,
  '[1]Hoja 1'!$R:$R, "&gt;="&amp;INT($BY$1),
  '[1]Hoja 1'!$R:$R, "&lt;"&amp;INT($BZ$1+1)
)</f>
        <v>0</v>
      </c>
      <c r="BX163" s="1">
        <f t="shared" si="219"/>
        <v>0</v>
      </c>
      <c r="BY163" s="9">
        <f t="shared" si="220"/>
        <v>0</v>
      </c>
      <c r="BZ163" s="10">
        <f t="shared" si="221"/>
        <v>0</v>
      </c>
      <c r="CA163" s="1">
        <f>SUMIFS(
  '[1]Hoja 1'!$M:$M,
  '[1]Hoja 1'!$S:$S, $A163,
  '[1]Hoja 1'!$R:$R, "&gt;="&amp;INT($CC$1),
  '[1]Hoja 1'!$R:$R, "&lt;"&amp;INT($CD$1+1)
)</f>
        <v>0</v>
      </c>
      <c r="CB163" s="1">
        <f t="shared" si="222"/>
        <v>0</v>
      </c>
      <c r="CC163" s="9">
        <f t="shared" si="223"/>
        <v>0</v>
      </c>
      <c r="CD163" s="10">
        <f t="shared" si="224"/>
        <v>0</v>
      </c>
      <c r="CE163" s="1">
        <f>SUMIFS(
  '[1]Hoja 1'!$M:$M,
  '[1]Hoja 1'!$S:$S, $A163,
  '[1]Hoja 1'!$R:$R, "&gt;="&amp;INT($CG$1),
  '[1]Hoja 1'!$R:$R, "&lt;"&amp;INT($CH$1+1)
)</f>
        <v>0</v>
      </c>
      <c r="CF163" s="1">
        <f t="shared" si="225"/>
        <v>0</v>
      </c>
      <c r="CG163" s="9">
        <f t="shared" si="226"/>
        <v>0</v>
      </c>
      <c r="CH163" s="10">
        <f t="shared" si="227"/>
        <v>0</v>
      </c>
      <c r="CI163" s="1">
        <f>SUMIFS(
  '[1]Hoja 1'!$M:$M,
  '[1]Hoja 1'!$S:$S, $A163,
  '[1]Hoja 1'!$R:$R, "&gt;="&amp;INT($CK$1),
  '[1]Hoja 1'!$R:$R, "&lt;"&amp;INT($CL$1+1)
)</f>
        <v>0</v>
      </c>
      <c r="CJ163" s="1">
        <f t="shared" si="228"/>
        <v>0</v>
      </c>
      <c r="CK163" s="9">
        <f t="shared" si="229"/>
        <v>0</v>
      </c>
      <c r="CL163" s="10">
        <f t="shared" si="230"/>
        <v>0</v>
      </c>
      <c r="CM163" s="1">
        <f>SUMIFS(
  '[1]Hoja 1'!$M:$M,
  '[1]Hoja 1'!$S:$S, $A163,
  '[1]Hoja 1'!$R:$R, "&gt;="&amp;INT($CO$1),
  '[1]Hoja 1'!$R:$R, "&lt;"&amp;INT($CP$1+1)
)</f>
        <v>0</v>
      </c>
      <c r="CN163" s="1">
        <f t="shared" si="231"/>
        <v>0</v>
      </c>
      <c r="CO163" s="9">
        <f t="shared" si="232"/>
        <v>0</v>
      </c>
      <c r="CP163" s="10">
        <f t="shared" si="233"/>
        <v>0</v>
      </c>
      <c r="CQ163" s="1">
        <f>SUMIFS(
  '[1]Hoja 1'!$M:$M,
  '[1]Hoja 1'!$S:$S, $A163,
  '[1]Hoja 1'!$R:$R, "&gt;="&amp;INT($CS$1),
  '[1]Hoja 1'!$R:$R, "&lt;"&amp;INT($CT$1+1)
)</f>
        <v>0</v>
      </c>
      <c r="CR163" s="1">
        <f t="shared" si="234"/>
        <v>0</v>
      </c>
      <c r="CS163" s="9">
        <f t="shared" si="235"/>
        <v>0</v>
      </c>
      <c r="CT163" s="10">
        <f t="shared" si="236"/>
        <v>0</v>
      </c>
      <c r="CU163" s="1">
        <f>SUMIFS(
  '[1]Hoja 1'!$M:$M,
  '[1]Hoja 1'!$S:$S, $A163,
  '[1]Hoja 1'!$R:$R, "&gt;="&amp;INT($CW$1),
  '[1]Hoja 1'!$R:$R, "&lt;"&amp;INT($CX$1+1)
)</f>
        <v>0</v>
      </c>
      <c r="CV163" s="1">
        <f t="shared" si="237"/>
        <v>0</v>
      </c>
      <c r="CW163" s="9">
        <f t="shared" si="238"/>
        <v>0</v>
      </c>
      <c r="CX163" s="10">
        <f t="shared" si="239"/>
        <v>0</v>
      </c>
      <c r="CY163" s="1">
        <f>SUMIFS(
  '[1]Hoja 1'!$M:$M,
  '[1]Hoja 1'!$S:$S, $A163,
  '[1]Hoja 1'!$R:$R, "&gt;="&amp;INT($DA$1),
  '[1]Hoja 1'!$R:$R, "&lt;"&amp;INT($DB$1+1)
)</f>
        <v>0</v>
      </c>
      <c r="CZ163" s="1">
        <f t="shared" si="240"/>
        <v>0</v>
      </c>
      <c r="DA163" s="9">
        <f t="shared" si="241"/>
        <v>0</v>
      </c>
      <c r="DB163" s="10">
        <f t="shared" si="242"/>
        <v>0</v>
      </c>
      <c r="DC163" s="1">
        <f>SUMIFS(
  '[1]Hoja 1'!$M:$M,
  '[1]Hoja 1'!$S:$S, $A163,
  '[1]Hoja 1'!$R:$R, "&gt;="&amp;INT($DE$1),
  '[1]Hoja 1'!$R:$R, "&lt;"&amp;INT($DF$1+1)
)</f>
        <v>0</v>
      </c>
      <c r="DD163" s="1">
        <f t="shared" si="243"/>
        <v>0</v>
      </c>
      <c r="DE163" s="9">
        <f t="shared" si="244"/>
        <v>0</v>
      </c>
      <c r="DF163" s="10">
        <f t="shared" si="245"/>
        <v>0</v>
      </c>
      <c r="DG163" s="1">
        <f>SUMIFS(
  '[1]Hoja 1'!$M:$M,
  '[1]Hoja 1'!$S:$S, $A163,
  '[1]Hoja 1'!$R:$R, "&gt;="&amp;INT($DI$1),
  '[1]Hoja 1'!$R:$R, "&lt;"&amp;INT($DJ$1+1)
)</f>
        <v>0</v>
      </c>
      <c r="DH163" s="1">
        <f t="shared" si="246"/>
        <v>0</v>
      </c>
      <c r="DI163" s="9">
        <f t="shared" si="247"/>
        <v>0</v>
      </c>
      <c r="DJ163" s="10">
        <f t="shared" si="248"/>
        <v>0</v>
      </c>
      <c r="DK163" s="1">
        <f>SUMIFS(
  '[1]Hoja 1'!$M:$M,
  '[1]Hoja 1'!$S:$S, $A163,
  '[1]Hoja 1'!$R:$R, "&gt;="&amp;INT($DM$1),
  '[1]Hoja 1'!$R:$R, "&lt;"&amp;INT($DN$1+1)
)</f>
        <v>0</v>
      </c>
      <c r="DL163" s="1">
        <f t="shared" si="249"/>
        <v>0</v>
      </c>
      <c r="DM163" s="9">
        <f t="shared" si="250"/>
        <v>0</v>
      </c>
      <c r="DN163" s="10">
        <f t="shared" si="251"/>
        <v>0</v>
      </c>
      <c r="DO163" s="1">
        <f>SUMIFS(
  '[1]Hoja 1'!$M:$M,
  '[1]Hoja 1'!$S:$S, $A163,
  '[1]Hoja 1'!$R:$R, "&gt;="&amp;INT($DQ$1),
  '[1]Hoja 1'!$R:$R, "&lt;"&amp;INT($DR$1+1)
)</f>
        <v>0</v>
      </c>
      <c r="DP163" s="1">
        <f t="shared" si="252"/>
        <v>0</v>
      </c>
      <c r="DQ163" s="9">
        <f t="shared" si="253"/>
        <v>0</v>
      </c>
      <c r="DR163" s="10">
        <f t="shared" si="254"/>
        <v>0</v>
      </c>
    </row>
    <row r="164" spans="1:122" x14ac:dyDescent="0.25">
      <c r="A164" s="5">
        <v>227001</v>
      </c>
      <c r="B164" s="6" t="s">
        <v>162</v>
      </c>
      <c r="C164" s="1">
        <f>SUMIFS(
  '[1]Hoja 1'!$M:$M,
  '[1]Hoja 1'!$S:$S, $A164,
  '[1]Hoja 1'!$R:$R, "&gt;="&amp;INT($E$1),
  '[1]Hoja 1'!$R:$R, "&lt;"&amp;INT($F$1+1)
)</f>
        <v>0</v>
      </c>
      <c r="D164" s="1" t="str">
        <f>""</f>
        <v/>
      </c>
      <c r="F164" s="2"/>
      <c r="G164" s="1">
        <f>SUMIFS(
  '[1]Hoja 1'!$M:$M,
  '[1]Hoja 1'!$S:$S, $A164,
  '[1]Hoja 1'!$R:$R, "&gt;="&amp;INT($I$1),
  '[1]Hoja 1'!$R:$R, "&lt;"&amp;INT($J$1+1)
)</f>
        <v>4</v>
      </c>
      <c r="H164" s="1">
        <f t="shared" si="170"/>
        <v>2</v>
      </c>
      <c r="I164" s="1"/>
      <c r="J164" s="2"/>
      <c r="K164" s="1">
        <f>SUMIFS(
  '[1]Hoja 1'!$M:$M,
  '[1]Hoja 1'!$S:$S, $A164,
  '[1]Hoja 1'!$R:$R, "&gt;="&amp;INT($M$1),
  '[1]Hoja 1'!$R:$R, "&lt;"&amp;INT($N$1+1)
)</f>
        <v>3</v>
      </c>
      <c r="L164" s="1">
        <f t="shared" si="171"/>
        <v>3.5</v>
      </c>
      <c r="M164" s="9">
        <f t="shared" si="172"/>
        <v>3.517677218591686E-2</v>
      </c>
      <c r="N164" s="10">
        <f t="shared" si="173"/>
        <v>6.9648232278140831</v>
      </c>
      <c r="O164" s="1">
        <f>SUMIFS(
  '[1]Hoja 1'!$M:$M,
  '[1]Hoja 1'!$S:$S, $A164,
  '[1]Hoja 1'!$R:$R, "&gt;="&amp;INT($Q$1),
  '[1]Hoja 1'!$R:$R, "&lt;"&amp;INT($R$1+1)
)</f>
        <v>7</v>
      </c>
      <c r="P164" s="1">
        <f t="shared" si="174"/>
        <v>5</v>
      </c>
      <c r="Q164" s="9">
        <f t="shared" si="175"/>
        <v>0.67098368097083361</v>
      </c>
      <c r="R164" s="10">
        <f t="shared" si="176"/>
        <v>6.3290163190291668</v>
      </c>
      <c r="S164" s="1">
        <f>SUMIFS(
  '[1]Hoja 1'!$M:$M,
  '[1]Hoja 1'!$S:$S, $A164,
  '[1]Hoja 1'!$R:$R, "&gt;="&amp;INT($U$1),
  '[1]Hoja 1'!$R:$R, "&lt;"&amp;INT($V$1+1)
)</f>
        <v>4</v>
      </c>
      <c r="T164" s="1">
        <f t="shared" si="177"/>
        <v>6</v>
      </c>
      <c r="U164" s="9">
        <f t="shared" si="178"/>
        <v>2.5121544376697718</v>
      </c>
      <c r="V164" s="10">
        <f t="shared" si="179"/>
        <v>9.4878455623302287</v>
      </c>
      <c r="W164" s="1">
        <f>SUMIFS(
  '[1]Hoja 1'!$M:$M,
  '[1]Hoja 1'!$S:$S, $A164,
  '[1]Hoja 1'!$R:$R, "&gt;="&amp;INT($Y$1),
  '[1]Hoja 1'!$R:$R, "&lt;"&amp;INT($Z$1+1)
)</f>
        <v>16</v>
      </c>
      <c r="X164" s="1">
        <f t="shared" si="180"/>
        <v>10</v>
      </c>
      <c r="Y164" s="9">
        <f t="shared" si="181"/>
        <v>3.4503536991172821</v>
      </c>
      <c r="Z164" s="10">
        <f t="shared" si="182"/>
        <v>16.549646300882717</v>
      </c>
      <c r="AA164" s="1">
        <f>SUMIFS(
  '[1]Hoja 1'!$M:$M,
  '[1]Hoja 1'!$S:$S, $A164,
  '[1]Hoja 1'!$R:$R, "&gt;="&amp;INT($AC$1),
  '[1]Hoja 1'!$R:$R, "&lt;"&amp;INT($AD$1+1)
)</f>
        <v>3</v>
      </c>
      <c r="AB164" s="1">
        <f t="shared" si="183"/>
        <v>10</v>
      </c>
      <c r="AC164" s="9">
        <f t="shared" si="184"/>
        <v>0.99145960768338526</v>
      </c>
      <c r="AD164" s="10">
        <f t="shared" si="185"/>
        <v>20.402166441019229</v>
      </c>
      <c r="AE164" s="1">
        <f>SUMIFS(
  '[1]Hoja 1'!$M:$M,
  '[1]Hoja 1'!$S:$S, $A164,
  '[1]Hoja 1'!$R:$R, "&gt;="&amp;INT($AG$1),
  '[1]Hoja 1'!$R:$R, "&lt;"&amp;INT($AH$1+1)
)</f>
        <v>0</v>
      </c>
      <c r="AF164" s="1">
        <f t="shared" si="186"/>
        <v>2</v>
      </c>
      <c r="AG164" s="9">
        <f t="shared" si="187"/>
        <v>-6.7818061923501816</v>
      </c>
      <c r="AH164" s="10">
        <f t="shared" si="188"/>
        <v>12.101608782763268</v>
      </c>
      <c r="AI164" s="1">
        <f>SUMIFS(
  '[1]Hoja 1'!$M:$M,
  '[1]Hoja 1'!$S:$S, $A164,
  '[1]Hoja 1'!$R:$R, "&gt;="&amp;INT($AK$1),
  '[1]Hoja 1'!$R:$R, "&lt;"&amp;INT($AL$1+1)
)</f>
        <v>0</v>
      </c>
      <c r="AJ164" s="1">
        <f t="shared" si="189"/>
        <v>0</v>
      </c>
      <c r="AK164" s="9">
        <f t="shared" si="190"/>
        <v>-8.7489359353009313</v>
      </c>
      <c r="AL164" s="10">
        <f t="shared" si="191"/>
        <v>10.08971753816726</v>
      </c>
      <c r="AM164" s="1">
        <f>SUMIFS(
  '[1]Hoja 1'!$M:$M,
  '[1]Hoja 1'!$S:$S, $A164,
  '[1]Hoja 1'!$R:$R, "&gt;="&amp;INT($AO$1),
  '[1]Hoja 1'!$R:$R, "&lt;"&amp;INT($AP$1+1)
)</f>
        <v>0</v>
      </c>
      <c r="AN164" s="1">
        <f t="shared" si="192"/>
        <v>0</v>
      </c>
      <c r="AO164" s="9">
        <f t="shared" si="193"/>
        <v>-5.5176697980216245</v>
      </c>
      <c r="AP164" s="10">
        <f t="shared" si="194"/>
        <v>6.0411257229095963</v>
      </c>
      <c r="AQ164" s="1">
        <f>SUMIFS(
  '[1]Hoja 1'!$M:$M,
  '[1]Hoja 1'!$S:$S, $A164,
  '[1]Hoja 1'!$R:$R, "&gt;="&amp;INT($AS$1),
  '[1]Hoja 1'!$R:$R, "&lt;"&amp;INT($AT$1+1)
)</f>
        <v>0</v>
      </c>
      <c r="AR164" s="1">
        <f t="shared" si="195"/>
        <v>0</v>
      </c>
      <c r="AS164" s="9">
        <f t="shared" si="196"/>
        <v>-1.3148079707698763</v>
      </c>
      <c r="AT164" s="10">
        <f t="shared" si="197"/>
        <v>1.47</v>
      </c>
      <c r="AU164" s="1">
        <f>SUMIFS(
  '[1]Hoja 1'!$M:$M,
  '[1]Hoja 1'!$S:$S, $A164,
  '[1]Hoja 1'!$R:$R, "&gt;="&amp;INT($AW$1),
  '[1]Hoja 1'!$R:$R, "&lt;"&amp;INT($AX$1+1)
)</f>
        <v>0</v>
      </c>
      <c r="AV164" s="1">
        <f t="shared" si="198"/>
        <v>0</v>
      </c>
      <c r="AW164" s="9">
        <f t="shared" si="199"/>
        <v>0</v>
      </c>
      <c r="AX164" s="10">
        <f t="shared" si="200"/>
        <v>0</v>
      </c>
      <c r="AY164" s="1">
        <f>SUMIFS(
  '[1]Hoja 1'!$M:$M,
  '[1]Hoja 1'!$S:$S, $A164,
  '[1]Hoja 1'!$R:$R, "&gt;="&amp;INT($BA$1),
  '[1]Hoja 1'!$R:$R, "&lt;"&amp;INT($BB$1+1)
)</f>
        <v>0</v>
      </c>
      <c r="AZ164" s="1">
        <f t="shared" si="201"/>
        <v>0</v>
      </c>
      <c r="BA164" s="9">
        <f t="shared" si="202"/>
        <v>0</v>
      </c>
      <c r="BB164" s="10">
        <f t="shared" si="203"/>
        <v>0</v>
      </c>
      <c r="BC164" s="1">
        <f>SUMIFS(
  '[1]Hoja 1'!$M:$M,
  '[1]Hoja 1'!$S:$S, $A164,
  '[1]Hoja 1'!$R:$R, "&gt;="&amp;INT($BE$1),
  '[1]Hoja 1'!$R:$R, "&lt;"&amp;INT($BF$1+1)
)</f>
        <v>0</v>
      </c>
      <c r="BD164" s="1">
        <f t="shared" si="204"/>
        <v>0</v>
      </c>
      <c r="BE164" s="9">
        <f t="shared" si="205"/>
        <v>0</v>
      </c>
      <c r="BF164" s="10">
        <f t="shared" si="206"/>
        <v>0</v>
      </c>
      <c r="BG164" s="1">
        <f>SUMIFS(
  '[1]Hoja 1'!$M:$M,
  '[1]Hoja 1'!$S:$S, $A164,
  '[1]Hoja 1'!$R:$R, "&gt;="&amp;INT($BI$1),
  '[1]Hoja 1'!$R:$R, "&lt;"&amp;INT($BJ$1+1)
)</f>
        <v>0</v>
      </c>
      <c r="BH164" s="1">
        <f t="shared" si="207"/>
        <v>0</v>
      </c>
      <c r="BI164" s="9">
        <f t="shared" si="208"/>
        <v>0</v>
      </c>
      <c r="BJ164" s="10">
        <f t="shared" si="209"/>
        <v>0</v>
      </c>
      <c r="BK164" s="1">
        <f>SUMIFS(
  '[1]Hoja 1'!$M:$M,
  '[1]Hoja 1'!$S:$S, $A164,
  '[1]Hoja 1'!$R:$R, "&gt;="&amp;INT($BM$1),
  '[1]Hoja 1'!$R:$R, "&lt;"&amp;INT($BN$1+1)
)</f>
        <v>0</v>
      </c>
      <c r="BL164" s="1">
        <f t="shared" si="210"/>
        <v>0</v>
      </c>
      <c r="BM164" s="9">
        <f t="shared" si="211"/>
        <v>0</v>
      </c>
      <c r="BN164" s="10">
        <f t="shared" si="212"/>
        <v>0</v>
      </c>
      <c r="BO164" s="1">
        <f>SUMIFS(
  '[1]Hoja 1'!$M:$M,
  '[1]Hoja 1'!$S:$S, $A164,
  '[1]Hoja 1'!$R:$R, "&gt;="&amp;INT($BQ$1),
  '[1]Hoja 1'!$R:$R, "&lt;"&amp;INT($BR$1+1)
)</f>
        <v>0</v>
      </c>
      <c r="BP164" s="1">
        <f t="shared" si="213"/>
        <v>0</v>
      </c>
      <c r="BQ164" s="9">
        <f t="shared" si="214"/>
        <v>0</v>
      </c>
      <c r="BR164" s="10">
        <f t="shared" si="215"/>
        <v>0</v>
      </c>
      <c r="BS164" s="1">
        <f>SUMIFS(
  '[1]Hoja 1'!$M:$M,
  '[1]Hoja 1'!$S:$S, $A164,
  '[1]Hoja 1'!$R:$R, "&gt;="&amp;INT($BU$1),
  '[1]Hoja 1'!$R:$R, "&lt;"&amp;INT($BV$1+1)
)</f>
        <v>0</v>
      </c>
      <c r="BT164" s="1">
        <f t="shared" si="216"/>
        <v>0</v>
      </c>
      <c r="BU164" s="9">
        <f t="shared" si="217"/>
        <v>0</v>
      </c>
      <c r="BV164" s="10">
        <f t="shared" si="218"/>
        <v>0</v>
      </c>
      <c r="BW164" s="1">
        <f>SUMIFS(
  '[1]Hoja 1'!$M:$M,
  '[1]Hoja 1'!$S:$S, $A164,
  '[1]Hoja 1'!$R:$R, "&gt;="&amp;INT($BY$1),
  '[1]Hoja 1'!$R:$R, "&lt;"&amp;INT($BZ$1+1)
)</f>
        <v>0</v>
      </c>
      <c r="BX164" s="1">
        <f t="shared" si="219"/>
        <v>0</v>
      </c>
      <c r="BY164" s="9">
        <f t="shared" si="220"/>
        <v>0</v>
      </c>
      <c r="BZ164" s="10">
        <f t="shared" si="221"/>
        <v>0</v>
      </c>
      <c r="CA164" s="1">
        <f>SUMIFS(
  '[1]Hoja 1'!$M:$M,
  '[1]Hoja 1'!$S:$S, $A164,
  '[1]Hoja 1'!$R:$R, "&gt;="&amp;INT($CC$1),
  '[1]Hoja 1'!$R:$R, "&lt;"&amp;INT($CD$1+1)
)</f>
        <v>0</v>
      </c>
      <c r="CB164" s="1">
        <f t="shared" si="222"/>
        <v>0</v>
      </c>
      <c r="CC164" s="9">
        <f t="shared" si="223"/>
        <v>0</v>
      </c>
      <c r="CD164" s="10">
        <f t="shared" si="224"/>
        <v>0</v>
      </c>
      <c r="CE164" s="1">
        <f>SUMIFS(
  '[1]Hoja 1'!$M:$M,
  '[1]Hoja 1'!$S:$S, $A164,
  '[1]Hoja 1'!$R:$R, "&gt;="&amp;INT($CG$1),
  '[1]Hoja 1'!$R:$R, "&lt;"&amp;INT($CH$1+1)
)</f>
        <v>0</v>
      </c>
      <c r="CF164" s="1">
        <f t="shared" si="225"/>
        <v>0</v>
      </c>
      <c r="CG164" s="9">
        <f t="shared" si="226"/>
        <v>0</v>
      </c>
      <c r="CH164" s="10">
        <f t="shared" si="227"/>
        <v>0</v>
      </c>
      <c r="CI164" s="1">
        <f>SUMIFS(
  '[1]Hoja 1'!$M:$M,
  '[1]Hoja 1'!$S:$S, $A164,
  '[1]Hoja 1'!$R:$R, "&gt;="&amp;INT($CK$1),
  '[1]Hoja 1'!$R:$R, "&lt;"&amp;INT($CL$1+1)
)</f>
        <v>0</v>
      </c>
      <c r="CJ164" s="1">
        <f t="shared" si="228"/>
        <v>0</v>
      </c>
      <c r="CK164" s="9">
        <f t="shared" si="229"/>
        <v>0</v>
      </c>
      <c r="CL164" s="10">
        <f t="shared" si="230"/>
        <v>0</v>
      </c>
      <c r="CM164" s="1">
        <f>SUMIFS(
  '[1]Hoja 1'!$M:$M,
  '[1]Hoja 1'!$S:$S, $A164,
  '[1]Hoja 1'!$R:$R, "&gt;="&amp;INT($CO$1),
  '[1]Hoja 1'!$R:$R, "&lt;"&amp;INT($CP$1+1)
)</f>
        <v>0</v>
      </c>
      <c r="CN164" s="1">
        <f t="shared" si="231"/>
        <v>0</v>
      </c>
      <c r="CO164" s="9">
        <f t="shared" si="232"/>
        <v>0</v>
      </c>
      <c r="CP164" s="10">
        <f t="shared" si="233"/>
        <v>0</v>
      </c>
      <c r="CQ164" s="1">
        <f>SUMIFS(
  '[1]Hoja 1'!$M:$M,
  '[1]Hoja 1'!$S:$S, $A164,
  '[1]Hoja 1'!$R:$R, "&gt;="&amp;INT($CS$1),
  '[1]Hoja 1'!$R:$R, "&lt;"&amp;INT($CT$1+1)
)</f>
        <v>0</v>
      </c>
      <c r="CR164" s="1">
        <f t="shared" si="234"/>
        <v>0</v>
      </c>
      <c r="CS164" s="9">
        <f t="shared" si="235"/>
        <v>0</v>
      </c>
      <c r="CT164" s="10">
        <f t="shared" si="236"/>
        <v>0</v>
      </c>
      <c r="CU164" s="1">
        <f>SUMIFS(
  '[1]Hoja 1'!$M:$M,
  '[1]Hoja 1'!$S:$S, $A164,
  '[1]Hoja 1'!$R:$R, "&gt;="&amp;INT($CW$1),
  '[1]Hoja 1'!$R:$R, "&lt;"&amp;INT($CX$1+1)
)</f>
        <v>0</v>
      </c>
      <c r="CV164" s="1">
        <f t="shared" si="237"/>
        <v>0</v>
      </c>
      <c r="CW164" s="9">
        <f t="shared" si="238"/>
        <v>0</v>
      </c>
      <c r="CX164" s="10">
        <f t="shared" si="239"/>
        <v>0</v>
      </c>
      <c r="CY164" s="1">
        <f>SUMIFS(
  '[1]Hoja 1'!$M:$M,
  '[1]Hoja 1'!$S:$S, $A164,
  '[1]Hoja 1'!$R:$R, "&gt;="&amp;INT($DA$1),
  '[1]Hoja 1'!$R:$R, "&lt;"&amp;INT($DB$1+1)
)</f>
        <v>0</v>
      </c>
      <c r="CZ164" s="1">
        <f t="shared" si="240"/>
        <v>0</v>
      </c>
      <c r="DA164" s="9">
        <f t="shared" si="241"/>
        <v>0</v>
      </c>
      <c r="DB164" s="10">
        <f t="shared" si="242"/>
        <v>0</v>
      </c>
      <c r="DC164" s="1">
        <f>SUMIFS(
  '[1]Hoja 1'!$M:$M,
  '[1]Hoja 1'!$S:$S, $A164,
  '[1]Hoja 1'!$R:$R, "&gt;="&amp;INT($DE$1),
  '[1]Hoja 1'!$R:$R, "&lt;"&amp;INT($DF$1+1)
)</f>
        <v>0</v>
      </c>
      <c r="DD164" s="1">
        <f t="shared" si="243"/>
        <v>0</v>
      </c>
      <c r="DE164" s="9">
        <f t="shared" si="244"/>
        <v>0</v>
      </c>
      <c r="DF164" s="10">
        <f t="shared" si="245"/>
        <v>0</v>
      </c>
      <c r="DG164" s="1">
        <f>SUMIFS(
  '[1]Hoja 1'!$M:$M,
  '[1]Hoja 1'!$S:$S, $A164,
  '[1]Hoja 1'!$R:$R, "&gt;="&amp;INT($DI$1),
  '[1]Hoja 1'!$R:$R, "&lt;"&amp;INT($DJ$1+1)
)</f>
        <v>0</v>
      </c>
      <c r="DH164" s="1">
        <f t="shared" si="246"/>
        <v>0</v>
      </c>
      <c r="DI164" s="9">
        <f t="shared" si="247"/>
        <v>0</v>
      </c>
      <c r="DJ164" s="10">
        <f t="shared" si="248"/>
        <v>0</v>
      </c>
      <c r="DK164" s="1">
        <f>SUMIFS(
  '[1]Hoja 1'!$M:$M,
  '[1]Hoja 1'!$S:$S, $A164,
  '[1]Hoja 1'!$R:$R, "&gt;="&amp;INT($DM$1),
  '[1]Hoja 1'!$R:$R, "&lt;"&amp;INT($DN$1+1)
)</f>
        <v>0</v>
      </c>
      <c r="DL164" s="1">
        <f t="shared" si="249"/>
        <v>0</v>
      </c>
      <c r="DM164" s="9">
        <f t="shared" si="250"/>
        <v>0</v>
      </c>
      <c r="DN164" s="10">
        <f t="shared" si="251"/>
        <v>0</v>
      </c>
      <c r="DO164" s="1">
        <f>SUMIFS(
  '[1]Hoja 1'!$M:$M,
  '[1]Hoja 1'!$S:$S, $A164,
  '[1]Hoja 1'!$R:$R, "&gt;="&amp;INT($DQ$1),
  '[1]Hoja 1'!$R:$R, "&lt;"&amp;INT($DR$1+1)
)</f>
        <v>0</v>
      </c>
      <c r="DP164" s="1">
        <f t="shared" si="252"/>
        <v>0</v>
      </c>
      <c r="DQ164" s="9">
        <f t="shared" si="253"/>
        <v>0</v>
      </c>
      <c r="DR164" s="10">
        <f t="shared" si="254"/>
        <v>0</v>
      </c>
    </row>
    <row r="165" spans="1:122" x14ac:dyDescent="0.25">
      <c r="A165" s="5">
        <v>227002</v>
      </c>
      <c r="B165" s="6" t="s">
        <v>163</v>
      </c>
      <c r="C165" s="1">
        <f>SUMIFS(
  '[1]Hoja 1'!$M:$M,
  '[1]Hoja 1'!$S:$S, $A165,
  '[1]Hoja 1'!$R:$R, "&gt;="&amp;INT($E$1),
  '[1]Hoja 1'!$R:$R, "&lt;"&amp;INT($F$1+1)
)</f>
        <v>6</v>
      </c>
      <c r="D165" s="1" t="str">
        <f>""</f>
        <v/>
      </c>
      <c r="F165" s="2"/>
      <c r="G165" s="1">
        <f>SUMIFS(
  '[1]Hoja 1'!$M:$M,
  '[1]Hoja 1'!$S:$S, $A165,
  '[1]Hoja 1'!$R:$R, "&gt;="&amp;INT($I$1),
  '[1]Hoja 1'!$R:$R, "&lt;"&amp;INT($J$1+1)
)</f>
        <v>19</v>
      </c>
      <c r="H165" s="1">
        <f t="shared" si="170"/>
        <v>12.5</v>
      </c>
      <c r="I165" s="1"/>
      <c r="J165" s="2"/>
      <c r="K165" s="1">
        <f>SUMIFS(
  '[1]Hoja 1'!$M:$M,
  '[1]Hoja 1'!$S:$S, $A165,
  '[1]Hoja 1'!$R:$R, "&gt;="&amp;INT($M$1),
  '[1]Hoja 1'!$R:$R, "&lt;"&amp;INT($N$1+1)
)</f>
        <v>9</v>
      </c>
      <c r="L165" s="1">
        <f t="shared" si="171"/>
        <v>14</v>
      </c>
      <c r="M165" s="9">
        <f t="shared" si="172"/>
        <v>-1.938186847944781</v>
      </c>
      <c r="N165" s="10">
        <f t="shared" si="173"/>
        <v>29.938186847944781</v>
      </c>
      <c r="O165" s="1">
        <f>SUMIFS(
  '[1]Hoja 1'!$M:$M,
  '[1]Hoja 1'!$S:$S, $A165,
  '[1]Hoja 1'!$R:$R, "&gt;="&amp;INT($Q$1),
  '[1]Hoja 1'!$R:$R, "&lt;"&amp;INT($R$1+1)
)</f>
        <v>2</v>
      </c>
      <c r="P165" s="1">
        <f t="shared" si="174"/>
        <v>5.5</v>
      </c>
      <c r="Q165" s="9">
        <f t="shared" si="175"/>
        <v>1.7467337687727795</v>
      </c>
      <c r="R165" s="10">
        <f t="shared" si="176"/>
        <v>26.253266231227222</v>
      </c>
      <c r="S165" s="1">
        <f>SUMIFS(
  '[1]Hoja 1'!$M:$M,
  '[1]Hoja 1'!$S:$S, $A165,
  '[1]Hoja 1'!$R:$R, "&gt;="&amp;INT($U$1),
  '[1]Hoja 1'!$R:$R, "&lt;"&amp;INT($V$1+1)
)</f>
        <v>7</v>
      </c>
      <c r="T165" s="1">
        <f t="shared" si="177"/>
        <v>5</v>
      </c>
      <c r="U165" s="9">
        <f t="shared" si="178"/>
        <v>-5.4750035799516539</v>
      </c>
      <c r="V165" s="10">
        <f t="shared" si="179"/>
        <v>15.475003579951654</v>
      </c>
      <c r="W165" s="1">
        <f>SUMIFS(
  '[1]Hoja 1'!$M:$M,
  '[1]Hoja 1'!$S:$S, $A165,
  '[1]Hoja 1'!$R:$R, "&gt;="&amp;INT($Y$1),
  '[1]Hoja 1'!$R:$R, "&lt;"&amp;INT($Z$1+1)
)</f>
        <v>6</v>
      </c>
      <c r="X165" s="1">
        <f t="shared" si="180"/>
        <v>7</v>
      </c>
      <c r="Y165" s="9">
        <f t="shared" si="181"/>
        <v>0.48097399913146521</v>
      </c>
      <c r="Z165" s="10">
        <f t="shared" si="182"/>
        <v>13.519026000868536</v>
      </c>
      <c r="AA165" s="1">
        <f>SUMIFS(
  '[1]Hoja 1'!$M:$M,
  '[1]Hoja 1'!$S:$S, $A165,
  '[1]Hoja 1'!$R:$R, "&gt;="&amp;INT($AC$1),
  '[1]Hoja 1'!$R:$R, "&lt;"&amp;INT($AD$1+1)
)</f>
        <v>3</v>
      </c>
      <c r="AB165" s="1">
        <f t="shared" si="183"/>
        <v>5</v>
      </c>
      <c r="AC165" s="9">
        <f t="shared" si="184"/>
        <v>0.70585514915949776</v>
      </c>
      <c r="AD165" s="10">
        <f t="shared" si="185"/>
        <v>9.9</v>
      </c>
      <c r="AE165" s="1">
        <f>SUMIFS(
  '[1]Hoja 1'!$M:$M,
  '[1]Hoja 1'!$S:$S, $A165,
  '[1]Hoja 1'!$R:$R, "&gt;="&amp;INT($AG$1),
  '[1]Hoja 1'!$R:$R, "&lt;"&amp;INT($AH$1+1)
)</f>
        <v>0</v>
      </c>
      <c r="AF165" s="1">
        <f t="shared" si="186"/>
        <v>2</v>
      </c>
      <c r="AG165" s="9">
        <f t="shared" si="187"/>
        <v>-1.2206086381303769</v>
      </c>
      <c r="AH165" s="10">
        <f t="shared" si="188"/>
        <v>5.7102201192561788</v>
      </c>
      <c r="AI165" s="1">
        <f>SUMIFS(
  '[1]Hoja 1'!$M:$M,
  '[1]Hoja 1'!$S:$S, $A165,
  '[1]Hoja 1'!$R:$R, "&gt;="&amp;INT($AK$1),
  '[1]Hoja 1'!$R:$R, "&lt;"&amp;INT($AL$1+1)
)</f>
        <v>0</v>
      </c>
      <c r="AJ165" s="1">
        <f t="shared" si="189"/>
        <v>0</v>
      </c>
      <c r="AK165" s="9">
        <f t="shared" si="190"/>
        <v>-1.4862435870341038</v>
      </c>
      <c r="AL165" s="10">
        <f t="shared" si="191"/>
        <v>1.47</v>
      </c>
      <c r="AM165" s="1">
        <f>SUMIFS(
  '[1]Hoja 1'!$M:$M,
  '[1]Hoja 1'!$S:$S, $A165,
  '[1]Hoja 1'!$R:$R, "&gt;="&amp;INT($AO$1),
  '[1]Hoja 1'!$R:$R, "&lt;"&amp;INT($AP$1+1)
)</f>
        <v>0</v>
      </c>
      <c r="AN165" s="1">
        <f t="shared" si="192"/>
        <v>0</v>
      </c>
      <c r="AO165" s="9">
        <f t="shared" si="193"/>
        <v>-1.6103043190651884</v>
      </c>
      <c r="AP165" s="10">
        <f t="shared" si="194"/>
        <v>1.6974097914174997</v>
      </c>
      <c r="AQ165" s="1">
        <f>SUMIFS(
  '[1]Hoja 1'!$M:$M,
  '[1]Hoja 1'!$S:$S, $A165,
  '[1]Hoja 1'!$R:$R, "&gt;="&amp;INT($AS$1),
  '[1]Hoja 1'!$R:$R, "&lt;"&amp;INT($AT$1+1)
)</f>
        <v>0</v>
      </c>
      <c r="AR165" s="1">
        <f t="shared" si="195"/>
        <v>0</v>
      </c>
      <c r="AS165" s="9">
        <f t="shared" si="196"/>
        <v>-1.3148079707698763</v>
      </c>
      <c r="AT165" s="10">
        <f t="shared" si="197"/>
        <v>1.47</v>
      </c>
      <c r="AU165" s="1">
        <f>SUMIFS(
  '[1]Hoja 1'!$M:$M,
  '[1]Hoja 1'!$S:$S, $A165,
  '[1]Hoja 1'!$R:$R, "&gt;="&amp;INT($AW$1),
  '[1]Hoja 1'!$R:$R, "&lt;"&amp;INT($AX$1+1)
)</f>
        <v>0</v>
      </c>
      <c r="AV165" s="1">
        <f t="shared" si="198"/>
        <v>0</v>
      </c>
      <c r="AW165" s="9">
        <f t="shared" si="199"/>
        <v>0</v>
      </c>
      <c r="AX165" s="10">
        <f t="shared" si="200"/>
        <v>0</v>
      </c>
      <c r="AY165" s="1">
        <f>SUMIFS(
  '[1]Hoja 1'!$M:$M,
  '[1]Hoja 1'!$S:$S, $A165,
  '[1]Hoja 1'!$R:$R, "&gt;="&amp;INT($BA$1),
  '[1]Hoja 1'!$R:$R, "&lt;"&amp;INT($BB$1+1)
)</f>
        <v>0</v>
      </c>
      <c r="AZ165" s="1">
        <f t="shared" si="201"/>
        <v>0</v>
      </c>
      <c r="BA165" s="9">
        <f t="shared" si="202"/>
        <v>0</v>
      </c>
      <c r="BB165" s="10">
        <f t="shared" si="203"/>
        <v>0</v>
      </c>
      <c r="BC165" s="1">
        <f>SUMIFS(
  '[1]Hoja 1'!$M:$M,
  '[1]Hoja 1'!$S:$S, $A165,
  '[1]Hoja 1'!$R:$R, "&gt;="&amp;INT($BE$1),
  '[1]Hoja 1'!$R:$R, "&lt;"&amp;INT($BF$1+1)
)</f>
        <v>0</v>
      </c>
      <c r="BD165" s="1">
        <f t="shared" si="204"/>
        <v>0</v>
      </c>
      <c r="BE165" s="9">
        <f t="shared" si="205"/>
        <v>0</v>
      </c>
      <c r="BF165" s="10">
        <f t="shared" si="206"/>
        <v>0</v>
      </c>
      <c r="BG165" s="1">
        <f>SUMIFS(
  '[1]Hoja 1'!$M:$M,
  '[1]Hoja 1'!$S:$S, $A165,
  '[1]Hoja 1'!$R:$R, "&gt;="&amp;INT($BI$1),
  '[1]Hoja 1'!$R:$R, "&lt;"&amp;INT($BJ$1+1)
)</f>
        <v>0</v>
      </c>
      <c r="BH165" s="1">
        <f t="shared" si="207"/>
        <v>0</v>
      </c>
      <c r="BI165" s="9">
        <f t="shared" si="208"/>
        <v>0</v>
      </c>
      <c r="BJ165" s="10">
        <f t="shared" si="209"/>
        <v>0</v>
      </c>
      <c r="BK165" s="1">
        <f>SUMIFS(
  '[1]Hoja 1'!$M:$M,
  '[1]Hoja 1'!$S:$S, $A165,
  '[1]Hoja 1'!$R:$R, "&gt;="&amp;INT($BM$1),
  '[1]Hoja 1'!$R:$R, "&lt;"&amp;INT($BN$1+1)
)</f>
        <v>0</v>
      </c>
      <c r="BL165" s="1">
        <f t="shared" si="210"/>
        <v>0</v>
      </c>
      <c r="BM165" s="9">
        <f t="shared" si="211"/>
        <v>0</v>
      </c>
      <c r="BN165" s="10">
        <f t="shared" si="212"/>
        <v>0</v>
      </c>
      <c r="BO165" s="1">
        <f>SUMIFS(
  '[1]Hoja 1'!$M:$M,
  '[1]Hoja 1'!$S:$S, $A165,
  '[1]Hoja 1'!$R:$R, "&gt;="&amp;INT($BQ$1),
  '[1]Hoja 1'!$R:$R, "&lt;"&amp;INT($BR$1+1)
)</f>
        <v>0</v>
      </c>
      <c r="BP165" s="1">
        <f t="shared" si="213"/>
        <v>0</v>
      </c>
      <c r="BQ165" s="9">
        <f t="shared" si="214"/>
        <v>0</v>
      </c>
      <c r="BR165" s="10">
        <f t="shared" si="215"/>
        <v>0</v>
      </c>
      <c r="BS165" s="1">
        <f>SUMIFS(
  '[1]Hoja 1'!$M:$M,
  '[1]Hoja 1'!$S:$S, $A165,
  '[1]Hoja 1'!$R:$R, "&gt;="&amp;INT($BU$1),
  '[1]Hoja 1'!$R:$R, "&lt;"&amp;INT($BV$1+1)
)</f>
        <v>0</v>
      </c>
      <c r="BT165" s="1">
        <f t="shared" si="216"/>
        <v>0</v>
      </c>
      <c r="BU165" s="9">
        <f t="shared" si="217"/>
        <v>0</v>
      </c>
      <c r="BV165" s="10">
        <f t="shared" si="218"/>
        <v>0</v>
      </c>
      <c r="BW165" s="1">
        <f>SUMIFS(
  '[1]Hoja 1'!$M:$M,
  '[1]Hoja 1'!$S:$S, $A165,
  '[1]Hoja 1'!$R:$R, "&gt;="&amp;INT($BY$1),
  '[1]Hoja 1'!$R:$R, "&lt;"&amp;INT($BZ$1+1)
)</f>
        <v>0</v>
      </c>
      <c r="BX165" s="1">
        <f t="shared" si="219"/>
        <v>0</v>
      </c>
      <c r="BY165" s="9">
        <f t="shared" si="220"/>
        <v>0</v>
      </c>
      <c r="BZ165" s="10">
        <f t="shared" si="221"/>
        <v>0</v>
      </c>
      <c r="CA165" s="1">
        <f>SUMIFS(
  '[1]Hoja 1'!$M:$M,
  '[1]Hoja 1'!$S:$S, $A165,
  '[1]Hoja 1'!$R:$R, "&gt;="&amp;INT($CC$1),
  '[1]Hoja 1'!$R:$R, "&lt;"&amp;INT($CD$1+1)
)</f>
        <v>0</v>
      </c>
      <c r="CB165" s="1">
        <f t="shared" si="222"/>
        <v>0</v>
      </c>
      <c r="CC165" s="9">
        <f t="shared" si="223"/>
        <v>0</v>
      </c>
      <c r="CD165" s="10">
        <f t="shared" si="224"/>
        <v>0</v>
      </c>
      <c r="CE165" s="1">
        <f>SUMIFS(
  '[1]Hoja 1'!$M:$M,
  '[1]Hoja 1'!$S:$S, $A165,
  '[1]Hoja 1'!$R:$R, "&gt;="&amp;INT($CG$1),
  '[1]Hoja 1'!$R:$R, "&lt;"&amp;INT($CH$1+1)
)</f>
        <v>0</v>
      </c>
      <c r="CF165" s="1">
        <f t="shared" si="225"/>
        <v>0</v>
      </c>
      <c r="CG165" s="9">
        <f t="shared" si="226"/>
        <v>0</v>
      </c>
      <c r="CH165" s="10">
        <f t="shared" si="227"/>
        <v>0</v>
      </c>
      <c r="CI165" s="1">
        <f>SUMIFS(
  '[1]Hoja 1'!$M:$M,
  '[1]Hoja 1'!$S:$S, $A165,
  '[1]Hoja 1'!$R:$R, "&gt;="&amp;INT($CK$1),
  '[1]Hoja 1'!$R:$R, "&lt;"&amp;INT($CL$1+1)
)</f>
        <v>0</v>
      </c>
      <c r="CJ165" s="1">
        <f t="shared" si="228"/>
        <v>0</v>
      </c>
      <c r="CK165" s="9">
        <f t="shared" si="229"/>
        <v>0</v>
      </c>
      <c r="CL165" s="10">
        <f t="shared" si="230"/>
        <v>0</v>
      </c>
      <c r="CM165" s="1">
        <f>SUMIFS(
  '[1]Hoja 1'!$M:$M,
  '[1]Hoja 1'!$S:$S, $A165,
  '[1]Hoja 1'!$R:$R, "&gt;="&amp;INT($CO$1),
  '[1]Hoja 1'!$R:$R, "&lt;"&amp;INT($CP$1+1)
)</f>
        <v>0</v>
      </c>
      <c r="CN165" s="1">
        <f t="shared" si="231"/>
        <v>0</v>
      </c>
      <c r="CO165" s="9">
        <f t="shared" si="232"/>
        <v>0</v>
      </c>
      <c r="CP165" s="10">
        <f t="shared" si="233"/>
        <v>0</v>
      </c>
      <c r="CQ165" s="1">
        <f>SUMIFS(
  '[1]Hoja 1'!$M:$M,
  '[1]Hoja 1'!$S:$S, $A165,
  '[1]Hoja 1'!$R:$R, "&gt;="&amp;INT($CS$1),
  '[1]Hoja 1'!$R:$R, "&lt;"&amp;INT($CT$1+1)
)</f>
        <v>0</v>
      </c>
      <c r="CR165" s="1">
        <f t="shared" si="234"/>
        <v>0</v>
      </c>
      <c r="CS165" s="9">
        <f t="shared" si="235"/>
        <v>0</v>
      </c>
      <c r="CT165" s="10">
        <f t="shared" si="236"/>
        <v>0</v>
      </c>
      <c r="CU165" s="1">
        <f>SUMIFS(
  '[1]Hoja 1'!$M:$M,
  '[1]Hoja 1'!$S:$S, $A165,
  '[1]Hoja 1'!$R:$R, "&gt;="&amp;INT($CW$1),
  '[1]Hoja 1'!$R:$R, "&lt;"&amp;INT($CX$1+1)
)</f>
        <v>0</v>
      </c>
      <c r="CV165" s="1">
        <f t="shared" si="237"/>
        <v>0</v>
      </c>
      <c r="CW165" s="9">
        <f t="shared" si="238"/>
        <v>0</v>
      </c>
      <c r="CX165" s="10">
        <f t="shared" si="239"/>
        <v>0</v>
      </c>
      <c r="CY165" s="1">
        <f>SUMIFS(
  '[1]Hoja 1'!$M:$M,
  '[1]Hoja 1'!$S:$S, $A165,
  '[1]Hoja 1'!$R:$R, "&gt;="&amp;INT($DA$1),
  '[1]Hoja 1'!$R:$R, "&lt;"&amp;INT($DB$1+1)
)</f>
        <v>0</v>
      </c>
      <c r="CZ165" s="1">
        <f t="shared" si="240"/>
        <v>0</v>
      </c>
      <c r="DA165" s="9">
        <f t="shared" si="241"/>
        <v>0</v>
      </c>
      <c r="DB165" s="10">
        <f t="shared" si="242"/>
        <v>0</v>
      </c>
      <c r="DC165" s="1">
        <f>SUMIFS(
  '[1]Hoja 1'!$M:$M,
  '[1]Hoja 1'!$S:$S, $A165,
  '[1]Hoja 1'!$R:$R, "&gt;="&amp;INT($DE$1),
  '[1]Hoja 1'!$R:$R, "&lt;"&amp;INT($DF$1+1)
)</f>
        <v>0</v>
      </c>
      <c r="DD165" s="1">
        <f t="shared" si="243"/>
        <v>0</v>
      </c>
      <c r="DE165" s="9">
        <f t="shared" si="244"/>
        <v>0</v>
      </c>
      <c r="DF165" s="10">
        <f t="shared" si="245"/>
        <v>0</v>
      </c>
      <c r="DG165" s="1">
        <f>SUMIFS(
  '[1]Hoja 1'!$M:$M,
  '[1]Hoja 1'!$S:$S, $A165,
  '[1]Hoja 1'!$R:$R, "&gt;="&amp;INT($DI$1),
  '[1]Hoja 1'!$R:$R, "&lt;"&amp;INT($DJ$1+1)
)</f>
        <v>0</v>
      </c>
      <c r="DH165" s="1">
        <f t="shared" si="246"/>
        <v>0</v>
      </c>
      <c r="DI165" s="9">
        <f t="shared" si="247"/>
        <v>0</v>
      </c>
      <c r="DJ165" s="10">
        <f t="shared" si="248"/>
        <v>0</v>
      </c>
      <c r="DK165" s="1">
        <f>SUMIFS(
  '[1]Hoja 1'!$M:$M,
  '[1]Hoja 1'!$S:$S, $A165,
  '[1]Hoja 1'!$R:$R, "&gt;="&amp;INT($DM$1),
  '[1]Hoja 1'!$R:$R, "&lt;"&amp;INT($DN$1+1)
)</f>
        <v>0</v>
      </c>
      <c r="DL165" s="1">
        <f t="shared" si="249"/>
        <v>0</v>
      </c>
      <c r="DM165" s="9">
        <f t="shared" si="250"/>
        <v>0</v>
      </c>
      <c r="DN165" s="10">
        <f t="shared" si="251"/>
        <v>0</v>
      </c>
      <c r="DO165" s="1">
        <f>SUMIFS(
  '[1]Hoja 1'!$M:$M,
  '[1]Hoja 1'!$S:$S, $A165,
  '[1]Hoja 1'!$R:$R, "&gt;="&amp;INT($DQ$1),
  '[1]Hoja 1'!$R:$R, "&lt;"&amp;INT($DR$1+1)
)</f>
        <v>0</v>
      </c>
      <c r="DP165" s="1">
        <f t="shared" si="252"/>
        <v>0</v>
      </c>
      <c r="DQ165" s="9">
        <f t="shared" si="253"/>
        <v>0</v>
      </c>
      <c r="DR165" s="10">
        <f t="shared" si="254"/>
        <v>0</v>
      </c>
    </row>
    <row r="166" spans="1:122" x14ac:dyDescent="0.25">
      <c r="A166" s="5">
        <v>227008</v>
      </c>
      <c r="B166" s="6" t="s">
        <v>164</v>
      </c>
      <c r="C166" s="1">
        <f>SUMIFS(
  '[1]Hoja 1'!$M:$M,
  '[1]Hoja 1'!$S:$S, $A166,
  '[1]Hoja 1'!$R:$R, "&gt;="&amp;INT($E$1),
  '[1]Hoja 1'!$R:$R, "&lt;"&amp;INT($F$1+1)
)</f>
        <v>0</v>
      </c>
      <c r="D166" s="1" t="str">
        <f>""</f>
        <v/>
      </c>
      <c r="F166" s="2"/>
      <c r="G166" s="1">
        <f>SUMIFS(
  '[1]Hoja 1'!$M:$M,
  '[1]Hoja 1'!$S:$S, $A166,
  '[1]Hoja 1'!$R:$R, "&gt;="&amp;INT($I$1),
  '[1]Hoja 1'!$R:$R, "&lt;"&amp;INT($J$1+1)
)</f>
        <v>2</v>
      </c>
      <c r="H166" s="1">
        <f t="shared" si="170"/>
        <v>1</v>
      </c>
      <c r="I166" s="1"/>
      <c r="J166" s="2"/>
      <c r="K166" s="1">
        <f>SUMIFS(
  '[1]Hoja 1'!$M:$M,
  '[1]Hoja 1'!$S:$S, $A166,
  '[1]Hoja 1'!$R:$R, "&gt;="&amp;INT($M$1),
  '[1]Hoja 1'!$R:$R, "&lt;"&amp;INT($N$1+1)
)</f>
        <v>0</v>
      </c>
      <c r="L166" s="1">
        <f t="shared" si="171"/>
        <v>1</v>
      </c>
      <c r="M166" s="9">
        <f t="shared" si="172"/>
        <v>-1.7718585822512662</v>
      </c>
      <c r="N166" s="10">
        <f t="shared" si="173"/>
        <v>3.7718585822512662</v>
      </c>
      <c r="O166" s="1">
        <f>SUMIFS(
  '[1]Hoja 1'!$M:$M,
  '[1]Hoja 1'!$S:$S, $A166,
  '[1]Hoja 1'!$R:$R, "&gt;="&amp;INT($Q$1),
  '[1]Hoja 1'!$R:$R, "&lt;"&amp;INT($R$1+1)
)</f>
        <v>0</v>
      </c>
      <c r="P166" s="1">
        <f t="shared" si="174"/>
        <v>0</v>
      </c>
      <c r="Q166" s="9">
        <f t="shared" si="175"/>
        <v>-0.96</v>
      </c>
      <c r="R166" s="10">
        <f t="shared" si="176"/>
        <v>2.96</v>
      </c>
      <c r="S166" s="1">
        <f>SUMIFS(
  '[1]Hoja 1'!$M:$M,
  '[1]Hoja 1'!$S:$S, $A166,
  '[1]Hoja 1'!$R:$R, "&gt;="&amp;INT($U$1),
  '[1]Hoja 1'!$R:$R, "&lt;"&amp;INT($V$1+1)
)</f>
        <v>0</v>
      </c>
      <c r="T166" s="1">
        <f t="shared" si="177"/>
        <v>0</v>
      </c>
      <c r="U166" s="9">
        <f t="shared" si="178"/>
        <v>-1.6003332986183429</v>
      </c>
      <c r="V166" s="10">
        <f t="shared" si="179"/>
        <v>1.6003332986183429</v>
      </c>
      <c r="W166" s="1">
        <f>SUMIFS(
  '[1]Hoja 1'!$M:$M,
  '[1]Hoja 1'!$S:$S, $A166,
  '[1]Hoja 1'!$R:$R, "&gt;="&amp;INT($Y$1),
  '[1]Hoja 1'!$R:$R, "&lt;"&amp;INT($Z$1+1)
)</f>
        <v>0</v>
      </c>
      <c r="X166" s="1">
        <f t="shared" si="180"/>
        <v>0</v>
      </c>
      <c r="Y166" s="9">
        <f t="shared" si="181"/>
        <v>-0.98</v>
      </c>
      <c r="Z166" s="10">
        <f t="shared" si="182"/>
        <v>0.98</v>
      </c>
      <c r="AA166" s="1">
        <f>SUMIFS(
  '[1]Hoja 1'!$M:$M,
  '[1]Hoja 1'!$S:$S, $A166,
  '[1]Hoja 1'!$R:$R, "&gt;="&amp;INT($AC$1),
  '[1]Hoja 1'!$R:$R, "&lt;"&amp;INT($AD$1+1)
)</f>
        <v>0</v>
      </c>
      <c r="AB166" s="1">
        <f t="shared" si="183"/>
        <v>0</v>
      </c>
      <c r="AC166" s="9">
        <f t="shared" si="184"/>
        <v>0</v>
      </c>
      <c r="AD166" s="10">
        <f t="shared" si="185"/>
        <v>0</v>
      </c>
      <c r="AE166" s="1">
        <f>SUMIFS(
  '[1]Hoja 1'!$M:$M,
  '[1]Hoja 1'!$S:$S, $A166,
  '[1]Hoja 1'!$R:$R, "&gt;="&amp;INT($AG$1),
  '[1]Hoja 1'!$R:$R, "&lt;"&amp;INT($AH$1+1)
)</f>
        <v>0</v>
      </c>
      <c r="AF166" s="1">
        <f t="shared" si="186"/>
        <v>0</v>
      </c>
      <c r="AG166" s="9">
        <f t="shared" si="187"/>
        <v>0</v>
      </c>
      <c r="AH166" s="10">
        <f t="shared" si="188"/>
        <v>0</v>
      </c>
      <c r="AI166" s="1">
        <f>SUMIFS(
  '[1]Hoja 1'!$M:$M,
  '[1]Hoja 1'!$S:$S, $A166,
  '[1]Hoja 1'!$R:$R, "&gt;="&amp;INT($AK$1),
  '[1]Hoja 1'!$R:$R, "&lt;"&amp;INT($AL$1+1)
)</f>
        <v>0</v>
      </c>
      <c r="AJ166" s="1">
        <f t="shared" si="189"/>
        <v>0</v>
      </c>
      <c r="AK166" s="9">
        <f t="shared" si="190"/>
        <v>0</v>
      </c>
      <c r="AL166" s="10">
        <f t="shared" si="191"/>
        <v>0</v>
      </c>
      <c r="AM166" s="1">
        <f>SUMIFS(
  '[1]Hoja 1'!$M:$M,
  '[1]Hoja 1'!$S:$S, $A166,
  '[1]Hoja 1'!$R:$R, "&gt;="&amp;INT($AO$1),
  '[1]Hoja 1'!$R:$R, "&lt;"&amp;INT($AP$1+1)
)</f>
        <v>0</v>
      </c>
      <c r="AN166" s="1">
        <f t="shared" si="192"/>
        <v>0</v>
      </c>
      <c r="AO166" s="9">
        <f t="shared" si="193"/>
        <v>0</v>
      </c>
      <c r="AP166" s="10">
        <f t="shared" si="194"/>
        <v>0</v>
      </c>
      <c r="AQ166" s="1">
        <f>SUMIFS(
  '[1]Hoja 1'!$M:$M,
  '[1]Hoja 1'!$S:$S, $A166,
  '[1]Hoja 1'!$R:$R, "&gt;="&amp;INT($AS$1),
  '[1]Hoja 1'!$R:$R, "&lt;"&amp;INT($AT$1+1)
)</f>
        <v>0</v>
      </c>
      <c r="AR166" s="1">
        <f t="shared" si="195"/>
        <v>0</v>
      </c>
      <c r="AS166" s="9">
        <f t="shared" si="196"/>
        <v>0</v>
      </c>
      <c r="AT166" s="10">
        <f t="shared" si="197"/>
        <v>0</v>
      </c>
      <c r="AU166" s="1">
        <f>SUMIFS(
  '[1]Hoja 1'!$M:$M,
  '[1]Hoja 1'!$S:$S, $A166,
  '[1]Hoja 1'!$R:$R, "&gt;="&amp;INT($AW$1),
  '[1]Hoja 1'!$R:$R, "&lt;"&amp;INT($AX$1+1)
)</f>
        <v>0</v>
      </c>
      <c r="AV166" s="1">
        <f t="shared" si="198"/>
        <v>0</v>
      </c>
      <c r="AW166" s="9">
        <f t="shared" si="199"/>
        <v>0</v>
      </c>
      <c r="AX166" s="10">
        <f t="shared" si="200"/>
        <v>0</v>
      </c>
      <c r="AY166" s="1">
        <f>SUMIFS(
  '[1]Hoja 1'!$M:$M,
  '[1]Hoja 1'!$S:$S, $A166,
  '[1]Hoja 1'!$R:$R, "&gt;="&amp;INT($BA$1),
  '[1]Hoja 1'!$R:$R, "&lt;"&amp;INT($BB$1+1)
)</f>
        <v>0</v>
      </c>
      <c r="AZ166" s="1">
        <f t="shared" si="201"/>
        <v>0</v>
      </c>
      <c r="BA166" s="9">
        <f t="shared" si="202"/>
        <v>0</v>
      </c>
      <c r="BB166" s="10">
        <f t="shared" si="203"/>
        <v>0</v>
      </c>
      <c r="BC166" s="1">
        <f>SUMIFS(
  '[1]Hoja 1'!$M:$M,
  '[1]Hoja 1'!$S:$S, $A166,
  '[1]Hoja 1'!$R:$R, "&gt;="&amp;INT($BE$1),
  '[1]Hoja 1'!$R:$R, "&lt;"&amp;INT($BF$1+1)
)</f>
        <v>0</v>
      </c>
      <c r="BD166" s="1">
        <f t="shared" si="204"/>
        <v>0</v>
      </c>
      <c r="BE166" s="9">
        <f t="shared" si="205"/>
        <v>0</v>
      </c>
      <c r="BF166" s="10">
        <f t="shared" si="206"/>
        <v>0</v>
      </c>
      <c r="BG166" s="1">
        <f>SUMIFS(
  '[1]Hoja 1'!$M:$M,
  '[1]Hoja 1'!$S:$S, $A166,
  '[1]Hoja 1'!$R:$R, "&gt;="&amp;INT($BI$1),
  '[1]Hoja 1'!$R:$R, "&lt;"&amp;INT($BJ$1+1)
)</f>
        <v>0</v>
      </c>
      <c r="BH166" s="1">
        <f t="shared" si="207"/>
        <v>0</v>
      </c>
      <c r="BI166" s="9">
        <f t="shared" si="208"/>
        <v>0</v>
      </c>
      <c r="BJ166" s="10">
        <f t="shared" si="209"/>
        <v>0</v>
      </c>
      <c r="BK166" s="1">
        <f>SUMIFS(
  '[1]Hoja 1'!$M:$M,
  '[1]Hoja 1'!$S:$S, $A166,
  '[1]Hoja 1'!$R:$R, "&gt;="&amp;INT($BM$1),
  '[1]Hoja 1'!$R:$R, "&lt;"&amp;INT($BN$1+1)
)</f>
        <v>0</v>
      </c>
      <c r="BL166" s="1">
        <f t="shared" si="210"/>
        <v>0</v>
      </c>
      <c r="BM166" s="9">
        <f t="shared" si="211"/>
        <v>0</v>
      </c>
      <c r="BN166" s="10">
        <f t="shared" si="212"/>
        <v>0</v>
      </c>
      <c r="BO166" s="1">
        <f>SUMIFS(
  '[1]Hoja 1'!$M:$M,
  '[1]Hoja 1'!$S:$S, $A166,
  '[1]Hoja 1'!$R:$R, "&gt;="&amp;INT($BQ$1),
  '[1]Hoja 1'!$R:$R, "&lt;"&amp;INT($BR$1+1)
)</f>
        <v>0</v>
      </c>
      <c r="BP166" s="1">
        <f t="shared" si="213"/>
        <v>0</v>
      </c>
      <c r="BQ166" s="9">
        <f t="shared" si="214"/>
        <v>0</v>
      </c>
      <c r="BR166" s="10">
        <f t="shared" si="215"/>
        <v>0</v>
      </c>
      <c r="BS166" s="1">
        <f>SUMIFS(
  '[1]Hoja 1'!$M:$M,
  '[1]Hoja 1'!$S:$S, $A166,
  '[1]Hoja 1'!$R:$R, "&gt;="&amp;INT($BU$1),
  '[1]Hoja 1'!$R:$R, "&lt;"&amp;INT($BV$1+1)
)</f>
        <v>0</v>
      </c>
      <c r="BT166" s="1">
        <f t="shared" si="216"/>
        <v>0</v>
      </c>
      <c r="BU166" s="9">
        <f t="shared" si="217"/>
        <v>0</v>
      </c>
      <c r="BV166" s="10">
        <f t="shared" si="218"/>
        <v>0</v>
      </c>
      <c r="BW166" s="1">
        <f>SUMIFS(
  '[1]Hoja 1'!$M:$M,
  '[1]Hoja 1'!$S:$S, $A166,
  '[1]Hoja 1'!$R:$R, "&gt;="&amp;INT($BY$1),
  '[1]Hoja 1'!$R:$R, "&lt;"&amp;INT($BZ$1+1)
)</f>
        <v>0</v>
      </c>
      <c r="BX166" s="1">
        <f t="shared" si="219"/>
        <v>0</v>
      </c>
      <c r="BY166" s="9">
        <f t="shared" si="220"/>
        <v>0</v>
      </c>
      <c r="BZ166" s="10">
        <f t="shared" si="221"/>
        <v>0</v>
      </c>
      <c r="CA166" s="1">
        <f>SUMIFS(
  '[1]Hoja 1'!$M:$M,
  '[1]Hoja 1'!$S:$S, $A166,
  '[1]Hoja 1'!$R:$R, "&gt;="&amp;INT($CC$1),
  '[1]Hoja 1'!$R:$R, "&lt;"&amp;INT($CD$1+1)
)</f>
        <v>0</v>
      </c>
      <c r="CB166" s="1">
        <f t="shared" si="222"/>
        <v>0</v>
      </c>
      <c r="CC166" s="9">
        <f t="shared" si="223"/>
        <v>0</v>
      </c>
      <c r="CD166" s="10">
        <f t="shared" si="224"/>
        <v>0</v>
      </c>
      <c r="CE166" s="1">
        <f>SUMIFS(
  '[1]Hoja 1'!$M:$M,
  '[1]Hoja 1'!$S:$S, $A166,
  '[1]Hoja 1'!$R:$R, "&gt;="&amp;INT($CG$1),
  '[1]Hoja 1'!$R:$R, "&lt;"&amp;INT($CH$1+1)
)</f>
        <v>0</v>
      </c>
      <c r="CF166" s="1">
        <f t="shared" si="225"/>
        <v>0</v>
      </c>
      <c r="CG166" s="9">
        <f t="shared" si="226"/>
        <v>0</v>
      </c>
      <c r="CH166" s="10">
        <f t="shared" si="227"/>
        <v>0</v>
      </c>
      <c r="CI166" s="1">
        <f>SUMIFS(
  '[1]Hoja 1'!$M:$M,
  '[1]Hoja 1'!$S:$S, $A166,
  '[1]Hoja 1'!$R:$R, "&gt;="&amp;INT($CK$1),
  '[1]Hoja 1'!$R:$R, "&lt;"&amp;INT($CL$1+1)
)</f>
        <v>0</v>
      </c>
      <c r="CJ166" s="1">
        <f t="shared" si="228"/>
        <v>0</v>
      </c>
      <c r="CK166" s="9">
        <f t="shared" si="229"/>
        <v>0</v>
      </c>
      <c r="CL166" s="10">
        <f t="shared" si="230"/>
        <v>0</v>
      </c>
      <c r="CM166" s="1">
        <f>SUMIFS(
  '[1]Hoja 1'!$M:$M,
  '[1]Hoja 1'!$S:$S, $A166,
  '[1]Hoja 1'!$R:$R, "&gt;="&amp;INT($CO$1),
  '[1]Hoja 1'!$R:$R, "&lt;"&amp;INT($CP$1+1)
)</f>
        <v>0</v>
      </c>
      <c r="CN166" s="1">
        <f t="shared" si="231"/>
        <v>0</v>
      </c>
      <c r="CO166" s="9">
        <f t="shared" si="232"/>
        <v>0</v>
      </c>
      <c r="CP166" s="10">
        <f t="shared" si="233"/>
        <v>0</v>
      </c>
      <c r="CQ166" s="1">
        <f>SUMIFS(
  '[1]Hoja 1'!$M:$M,
  '[1]Hoja 1'!$S:$S, $A166,
  '[1]Hoja 1'!$R:$R, "&gt;="&amp;INT($CS$1),
  '[1]Hoja 1'!$R:$R, "&lt;"&amp;INT($CT$1+1)
)</f>
        <v>0</v>
      </c>
      <c r="CR166" s="1">
        <f t="shared" si="234"/>
        <v>0</v>
      </c>
      <c r="CS166" s="9">
        <f t="shared" si="235"/>
        <v>0</v>
      </c>
      <c r="CT166" s="10">
        <f t="shared" si="236"/>
        <v>0</v>
      </c>
      <c r="CU166" s="1">
        <f>SUMIFS(
  '[1]Hoja 1'!$M:$M,
  '[1]Hoja 1'!$S:$S, $A166,
  '[1]Hoja 1'!$R:$R, "&gt;="&amp;INT($CW$1),
  '[1]Hoja 1'!$R:$R, "&lt;"&amp;INT($CX$1+1)
)</f>
        <v>0</v>
      </c>
      <c r="CV166" s="1">
        <f t="shared" si="237"/>
        <v>0</v>
      </c>
      <c r="CW166" s="9">
        <f t="shared" si="238"/>
        <v>0</v>
      </c>
      <c r="CX166" s="10">
        <f t="shared" si="239"/>
        <v>0</v>
      </c>
      <c r="CY166" s="1">
        <f>SUMIFS(
  '[1]Hoja 1'!$M:$M,
  '[1]Hoja 1'!$S:$S, $A166,
  '[1]Hoja 1'!$R:$R, "&gt;="&amp;INT($DA$1),
  '[1]Hoja 1'!$R:$R, "&lt;"&amp;INT($DB$1+1)
)</f>
        <v>0</v>
      </c>
      <c r="CZ166" s="1">
        <f t="shared" si="240"/>
        <v>0</v>
      </c>
      <c r="DA166" s="9">
        <f t="shared" si="241"/>
        <v>0</v>
      </c>
      <c r="DB166" s="10">
        <f t="shared" si="242"/>
        <v>0</v>
      </c>
      <c r="DC166" s="1">
        <f>SUMIFS(
  '[1]Hoja 1'!$M:$M,
  '[1]Hoja 1'!$S:$S, $A166,
  '[1]Hoja 1'!$R:$R, "&gt;="&amp;INT($DE$1),
  '[1]Hoja 1'!$R:$R, "&lt;"&amp;INT($DF$1+1)
)</f>
        <v>0</v>
      </c>
      <c r="DD166" s="1">
        <f t="shared" si="243"/>
        <v>0</v>
      </c>
      <c r="DE166" s="9">
        <f t="shared" si="244"/>
        <v>0</v>
      </c>
      <c r="DF166" s="10">
        <f t="shared" si="245"/>
        <v>0</v>
      </c>
      <c r="DG166" s="1">
        <f>SUMIFS(
  '[1]Hoja 1'!$M:$M,
  '[1]Hoja 1'!$S:$S, $A166,
  '[1]Hoja 1'!$R:$R, "&gt;="&amp;INT($DI$1),
  '[1]Hoja 1'!$R:$R, "&lt;"&amp;INT($DJ$1+1)
)</f>
        <v>0</v>
      </c>
      <c r="DH166" s="1">
        <f t="shared" si="246"/>
        <v>0</v>
      </c>
      <c r="DI166" s="9">
        <f t="shared" si="247"/>
        <v>0</v>
      </c>
      <c r="DJ166" s="10">
        <f t="shared" si="248"/>
        <v>0</v>
      </c>
      <c r="DK166" s="1">
        <f>SUMIFS(
  '[1]Hoja 1'!$M:$M,
  '[1]Hoja 1'!$S:$S, $A166,
  '[1]Hoja 1'!$R:$R, "&gt;="&amp;INT($DM$1),
  '[1]Hoja 1'!$R:$R, "&lt;"&amp;INT($DN$1+1)
)</f>
        <v>0</v>
      </c>
      <c r="DL166" s="1">
        <f t="shared" si="249"/>
        <v>0</v>
      </c>
      <c r="DM166" s="9">
        <f t="shared" si="250"/>
        <v>0</v>
      </c>
      <c r="DN166" s="10">
        <f t="shared" si="251"/>
        <v>0</v>
      </c>
      <c r="DO166" s="1">
        <f>SUMIFS(
  '[1]Hoja 1'!$M:$M,
  '[1]Hoja 1'!$S:$S, $A166,
  '[1]Hoja 1'!$R:$R, "&gt;="&amp;INT($DQ$1),
  '[1]Hoja 1'!$R:$R, "&lt;"&amp;INT($DR$1+1)
)</f>
        <v>0</v>
      </c>
      <c r="DP166" s="1">
        <f t="shared" si="252"/>
        <v>0</v>
      </c>
      <c r="DQ166" s="9">
        <f t="shared" si="253"/>
        <v>0</v>
      </c>
      <c r="DR166" s="10">
        <f t="shared" si="254"/>
        <v>0</v>
      </c>
    </row>
    <row r="167" spans="1:122" x14ac:dyDescent="0.25">
      <c r="A167" s="5">
        <v>227010</v>
      </c>
      <c r="B167" s="6" t="s">
        <v>165</v>
      </c>
      <c r="C167" s="1">
        <f>SUMIFS(
  '[1]Hoja 1'!$M:$M,
  '[1]Hoja 1'!$S:$S, $A167,
  '[1]Hoja 1'!$R:$R, "&gt;="&amp;INT($E$1),
  '[1]Hoja 1'!$R:$R, "&lt;"&amp;INT($F$1+1)
)</f>
        <v>0</v>
      </c>
      <c r="D167" s="1" t="str">
        <f>""</f>
        <v/>
      </c>
      <c r="F167" s="2"/>
      <c r="G167" s="1">
        <f>SUMIFS(
  '[1]Hoja 1'!$M:$M,
  '[1]Hoja 1'!$S:$S, $A167,
  '[1]Hoja 1'!$R:$R, "&gt;="&amp;INT($I$1),
  '[1]Hoja 1'!$R:$R, "&lt;"&amp;INT($J$1+1)
)</f>
        <v>0</v>
      </c>
      <c r="H167" s="1">
        <f t="shared" si="170"/>
        <v>0</v>
      </c>
      <c r="I167" s="1"/>
      <c r="J167" s="2"/>
      <c r="K167" s="1">
        <f>SUMIFS(
  '[1]Hoja 1'!$M:$M,
  '[1]Hoja 1'!$S:$S, $A167,
  '[1]Hoja 1'!$R:$R, "&gt;="&amp;INT($M$1),
  '[1]Hoja 1'!$R:$R, "&lt;"&amp;INT($N$1+1)
)</f>
        <v>0</v>
      </c>
      <c r="L167" s="1">
        <f t="shared" si="171"/>
        <v>0</v>
      </c>
      <c r="M167" s="9">
        <f t="shared" si="172"/>
        <v>0</v>
      </c>
      <c r="N167" s="10">
        <f t="shared" si="173"/>
        <v>0</v>
      </c>
      <c r="O167" s="1">
        <f>SUMIFS(
  '[1]Hoja 1'!$M:$M,
  '[1]Hoja 1'!$S:$S, $A167,
  '[1]Hoja 1'!$R:$R, "&gt;="&amp;INT($Q$1),
  '[1]Hoja 1'!$R:$R, "&lt;"&amp;INT($R$1+1)
)</f>
        <v>0</v>
      </c>
      <c r="P167" s="1">
        <f t="shared" si="174"/>
        <v>0</v>
      </c>
      <c r="Q167" s="9">
        <f t="shared" si="175"/>
        <v>0</v>
      </c>
      <c r="R167" s="10">
        <f t="shared" si="176"/>
        <v>0</v>
      </c>
      <c r="S167" s="1">
        <f>SUMIFS(
  '[1]Hoja 1'!$M:$M,
  '[1]Hoja 1'!$S:$S, $A167,
  '[1]Hoja 1'!$R:$R, "&gt;="&amp;INT($U$1),
  '[1]Hoja 1'!$R:$R, "&lt;"&amp;INT($V$1+1)
)</f>
        <v>2</v>
      </c>
      <c r="T167" s="1">
        <f t="shared" si="177"/>
        <v>1</v>
      </c>
      <c r="U167" s="9">
        <f t="shared" si="178"/>
        <v>2.0000000000000018E-2</v>
      </c>
      <c r="V167" s="10">
        <f t="shared" si="179"/>
        <v>1.98</v>
      </c>
      <c r="W167" s="1">
        <f>SUMIFS(
  '[1]Hoja 1'!$M:$M,
  '[1]Hoja 1'!$S:$S, $A167,
  '[1]Hoja 1'!$R:$R, "&gt;="&amp;INT($Y$1),
  '[1]Hoja 1'!$R:$R, "&lt;"&amp;INT($Z$1+1)
)</f>
        <v>2</v>
      </c>
      <c r="X167" s="1">
        <f t="shared" si="180"/>
        <v>2</v>
      </c>
      <c r="Y167" s="9">
        <f t="shared" si="181"/>
        <v>1.02</v>
      </c>
      <c r="Z167" s="10">
        <f t="shared" si="182"/>
        <v>2.98</v>
      </c>
      <c r="AA167" s="1">
        <f>SUMIFS(
  '[1]Hoja 1'!$M:$M,
  '[1]Hoja 1'!$S:$S, $A167,
  '[1]Hoja 1'!$R:$R, "&gt;="&amp;INT($AC$1),
  '[1]Hoja 1'!$R:$R, "&lt;"&amp;INT($AD$1+1)
)</f>
        <v>0</v>
      </c>
      <c r="AB167" s="1">
        <f t="shared" si="183"/>
        <v>1</v>
      </c>
      <c r="AC167" s="9">
        <f t="shared" si="184"/>
        <v>-0.38592929112563312</v>
      </c>
      <c r="AD167" s="10">
        <f t="shared" si="185"/>
        <v>2.6003332986183429</v>
      </c>
      <c r="AE167" s="1">
        <f>SUMIFS(
  '[1]Hoja 1'!$M:$M,
  '[1]Hoja 1'!$S:$S, $A167,
  '[1]Hoja 1'!$R:$R, "&gt;="&amp;INT($AG$1),
  '[1]Hoja 1'!$R:$R, "&lt;"&amp;INT($AH$1+1)
)</f>
        <v>0</v>
      </c>
      <c r="AF167" s="1">
        <f t="shared" si="186"/>
        <v>0</v>
      </c>
      <c r="AG167" s="9">
        <f t="shared" si="187"/>
        <v>-1.3859292911256331</v>
      </c>
      <c r="AH167" s="10">
        <f t="shared" si="188"/>
        <v>1.6003332986183429</v>
      </c>
      <c r="AI167" s="1">
        <f>SUMIFS(
  '[1]Hoja 1'!$M:$M,
  '[1]Hoja 1'!$S:$S, $A167,
  '[1]Hoja 1'!$R:$R, "&gt;="&amp;INT($AK$1),
  '[1]Hoja 1'!$R:$R, "&lt;"&amp;INT($AL$1+1)
)</f>
        <v>0</v>
      </c>
      <c r="AJ167" s="1">
        <f t="shared" si="189"/>
        <v>0</v>
      </c>
      <c r="AK167" s="9">
        <f t="shared" si="190"/>
        <v>-0.87653864717991747</v>
      </c>
      <c r="AL167" s="10">
        <f t="shared" si="191"/>
        <v>0.98</v>
      </c>
      <c r="AM167" s="1">
        <f>SUMIFS(
  '[1]Hoja 1'!$M:$M,
  '[1]Hoja 1'!$S:$S, $A167,
  '[1]Hoja 1'!$R:$R, "&gt;="&amp;INT($AO$1),
  '[1]Hoja 1'!$R:$R, "&lt;"&amp;INT($AP$1+1)
)</f>
        <v>0</v>
      </c>
      <c r="AN167" s="1">
        <f t="shared" si="192"/>
        <v>0</v>
      </c>
      <c r="AO167" s="9">
        <f t="shared" si="193"/>
        <v>-0.87653864717991747</v>
      </c>
      <c r="AP167" s="10">
        <f t="shared" si="194"/>
        <v>0.98</v>
      </c>
      <c r="AQ167" s="1">
        <f>SUMIFS(
  '[1]Hoja 1'!$M:$M,
  '[1]Hoja 1'!$S:$S, $A167,
  '[1]Hoja 1'!$R:$R, "&gt;="&amp;INT($AS$1),
  '[1]Hoja 1'!$R:$R, "&lt;"&amp;INT($AT$1+1)
)</f>
        <v>0</v>
      </c>
      <c r="AR167" s="1">
        <f t="shared" si="195"/>
        <v>0</v>
      </c>
      <c r="AS167" s="9">
        <f t="shared" si="196"/>
        <v>0</v>
      </c>
      <c r="AT167" s="10">
        <f t="shared" si="197"/>
        <v>0</v>
      </c>
      <c r="AU167" s="1">
        <f>SUMIFS(
  '[1]Hoja 1'!$M:$M,
  '[1]Hoja 1'!$S:$S, $A167,
  '[1]Hoja 1'!$R:$R, "&gt;="&amp;INT($AW$1),
  '[1]Hoja 1'!$R:$R, "&lt;"&amp;INT($AX$1+1)
)</f>
        <v>0</v>
      </c>
      <c r="AV167" s="1">
        <f t="shared" si="198"/>
        <v>0</v>
      </c>
      <c r="AW167" s="9">
        <f t="shared" si="199"/>
        <v>0</v>
      </c>
      <c r="AX167" s="10">
        <f t="shared" si="200"/>
        <v>0</v>
      </c>
      <c r="AY167" s="1">
        <f>SUMIFS(
  '[1]Hoja 1'!$M:$M,
  '[1]Hoja 1'!$S:$S, $A167,
  '[1]Hoja 1'!$R:$R, "&gt;="&amp;INT($BA$1),
  '[1]Hoja 1'!$R:$R, "&lt;"&amp;INT($BB$1+1)
)</f>
        <v>0</v>
      </c>
      <c r="AZ167" s="1">
        <f t="shared" si="201"/>
        <v>0</v>
      </c>
      <c r="BA167" s="9">
        <f t="shared" si="202"/>
        <v>0</v>
      </c>
      <c r="BB167" s="10">
        <f t="shared" si="203"/>
        <v>0</v>
      </c>
      <c r="BC167" s="1">
        <f>SUMIFS(
  '[1]Hoja 1'!$M:$M,
  '[1]Hoja 1'!$S:$S, $A167,
  '[1]Hoja 1'!$R:$R, "&gt;="&amp;INT($BE$1),
  '[1]Hoja 1'!$R:$R, "&lt;"&amp;INT($BF$1+1)
)</f>
        <v>0</v>
      </c>
      <c r="BD167" s="1">
        <f t="shared" si="204"/>
        <v>0</v>
      </c>
      <c r="BE167" s="9">
        <f t="shared" si="205"/>
        <v>0</v>
      </c>
      <c r="BF167" s="10">
        <f t="shared" si="206"/>
        <v>0</v>
      </c>
      <c r="BG167" s="1">
        <f>SUMIFS(
  '[1]Hoja 1'!$M:$M,
  '[1]Hoja 1'!$S:$S, $A167,
  '[1]Hoja 1'!$R:$R, "&gt;="&amp;INT($BI$1),
  '[1]Hoja 1'!$R:$R, "&lt;"&amp;INT($BJ$1+1)
)</f>
        <v>0</v>
      </c>
      <c r="BH167" s="1">
        <f t="shared" si="207"/>
        <v>0</v>
      </c>
      <c r="BI167" s="9">
        <f t="shared" si="208"/>
        <v>0</v>
      </c>
      <c r="BJ167" s="10">
        <f t="shared" si="209"/>
        <v>0</v>
      </c>
      <c r="BK167" s="1">
        <f>SUMIFS(
  '[1]Hoja 1'!$M:$M,
  '[1]Hoja 1'!$S:$S, $A167,
  '[1]Hoja 1'!$R:$R, "&gt;="&amp;INT($BM$1),
  '[1]Hoja 1'!$R:$R, "&lt;"&amp;INT($BN$1+1)
)</f>
        <v>0</v>
      </c>
      <c r="BL167" s="1">
        <f t="shared" si="210"/>
        <v>0</v>
      </c>
      <c r="BM167" s="9">
        <f t="shared" si="211"/>
        <v>0</v>
      </c>
      <c r="BN167" s="10">
        <f t="shared" si="212"/>
        <v>0</v>
      </c>
      <c r="BO167" s="1">
        <f>SUMIFS(
  '[1]Hoja 1'!$M:$M,
  '[1]Hoja 1'!$S:$S, $A167,
  '[1]Hoja 1'!$R:$R, "&gt;="&amp;INT($BQ$1),
  '[1]Hoja 1'!$R:$R, "&lt;"&amp;INT($BR$1+1)
)</f>
        <v>0</v>
      </c>
      <c r="BP167" s="1">
        <f t="shared" si="213"/>
        <v>0</v>
      </c>
      <c r="BQ167" s="9">
        <f t="shared" si="214"/>
        <v>0</v>
      </c>
      <c r="BR167" s="10">
        <f t="shared" si="215"/>
        <v>0</v>
      </c>
      <c r="BS167" s="1">
        <f>SUMIFS(
  '[1]Hoja 1'!$M:$M,
  '[1]Hoja 1'!$S:$S, $A167,
  '[1]Hoja 1'!$R:$R, "&gt;="&amp;INT($BU$1),
  '[1]Hoja 1'!$R:$R, "&lt;"&amp;INT($BV$1+1)
)</f>
        <v>0</v>
      </c>
      <c r="BT167" s="1">
        <f t="shared" si="216"/>
        <v>0</v>
      </c>
      <c r="BU167" s="9">
        <f t="shared" si="217"/>
        <v>0</v>
      </c>
      <c r="BV167" s="10">
        <f t="shared" si="218"/>
        <v>0</v>
      </c>
      <c r="BW167" s="1">
        <f>SUMIFS(
  '[1]Hoja 1'!$M:$M,
  '[1]Hoja 1'!$S:$S, $A167,
  '[1]Hoja 1'!$R:$R, "&gt;="&amp;INT($BY$1),
  '[1]Hoja 1'!$R:$R, "&lt;"&amp;INT($BZ$1+1)
)</f>
        <v>0</v>
      </c>
      <c r="BX167" s="1">
        <f t="shared" si="219"/>
        <v>0</v>
      </c>
      <c r="BY167" s="9">
        <f t="shared" si="220"/>
        <v>0</v>
      </c>
      <c r="BZ167" s="10">
        <f t="shared" si="221"/>
        <v>0</v>
      </c>
      <c r="CA167" s="1">
        <f>SUMIFS(
  '[1]Hoja 1'!$M:$M,
  '[1]Hoja 1'!$S:$S, $A167,
  '[1]Hoja 1'!$R:$R, "&gt;="&amp;INT($CC$1),
  '[1]Hoja 1'!$R:$R, "&lt;"&amp;INT($CD$1+1)
)</f>
        <v>0</v>
      </c>
      <c r="CB167" s="1">
        <f t="shared" si="222"/>
        <v>0</v>
      </c>
      <c r="CC167" s="9">
        <f t="shared" si="223"/>
        <v>0</v>
      </c>
      <c r="CD167" s="10">
        <f t="shared" si="224"/>
        <v>0</v>
      </c>
      <c r="CE167" s="1">
        <f>SUMIFS(
  '[1]Hoja 1'!$M:$M,
  '[1]Hoja 1'!$S:$S, $A167,
  '[1]Hoja 1'!$R:$R, "&gt;="&amp;INT($CG$1),
  '[1]Hoja 1'!$R:$R, "&lt;"&amp;INT($CH$1+1)
)</f>
        <v>0</v>
      </c>
      <c r="CF167" s="1">
        <f t="shared" si="225"/>
        <v>0</v>
      </c>
      <c r="CG167" s="9">
        <f t="shared" si="226"/>
        <v>0</v>
      </c>
      <c r="CH167" s="10">
        <f t="shared" si="227"/>
        <v>0</v>
      </c>
      <c r="CI167" s="1">
        <f>SUMIFS(
  '[1]Hoja 1'!$M:$M,
  '[1]Hoja 1'!$S:$S, $A167,
  '[1]Hoja 1'!$R:$R, "&gt;="&amp;INT($CK$1),
  '[1]Hoja 1'!$R:$R, "&lt;"&amp;INT($CL$1+1)
)</f>
        <v>0</v>
      </c>
      <c r="CJ167" s="1">
        <f t="shared" si="228"/>
        <v>0</v>
      </c>
      <c r="CK167" s="9">
        <f t="shared" si="229"/>
        <v>0</v>
      </c>
      <c r="CL167" s="10">
        <f t="shared" si="230"/>
        <v>0</v>
      </c>
      <c r="CM167" s="1">
        <f>SUMIFS(
  '[1]Hoja 1'!$M:$M,
  '[1]Hoja 1'!$S:$S, $A167,
  '[1]Hoja 1'!$R:$R, "&gt;="&amp;INT($CO$1),
  '[1]Hoja 1'!$R:$R, "&lt;"&amp;INT($CP$1+1)
)</f>
        <v>0</v>
      </c>
      <c r="CN167" s="1">
        <f t="shared" si="231"/>
        <v>0</v>
      </c>
      <c r="CO167" s="9">
        <f t="shared" si="232"/>
        <v>0</v>
      </c>
      <c r="CP167" s="10">
        <f t="shared" si="233"/>
        <v>0</v>
      </c>
      <c r="CQ167" s="1">
        <f>SUMIFS(
  '[1]Hoja 1'!$M:$M,
  '[1]Hoja 1'!$S:$S, $A167,
  '[1]Hoja 1'!$R:$R, "&gt;="&amp;INT($CS$1),
  '[1]Hoja 1'!$R:$R, "&lt;"&amp;INT($CT$1+1)
)</f>
        <v>0</v>
      </c>
      <c r="CR167" s="1">
        <f t="shared" si="234"/>
        <v>0</v>
      </c>
      <c r="CS167" s="9">
        <f t="shared" si="235"/>
        <v>0</v>
      </c>
      <c r="CT167" s="10">
        <f t="shared" si="236"/>
        <v>0</v>
      </c>
      <c r="CU167" s="1">
        <f>SUMIFS(
  '[1]Hoja 1'!$M:$M,
  '[1]Hoja 1'!$S:$S, $A167,
  '[1]Hoja 1'!$R:$R, "&gt;="&amp;INT($CW$1),
  '[1]Hoja 1'!$R:$R, "&lt;"&amp;INT($CX$1+1)
)</f>
        <v>0</v>
      </c>
      <c r="CV167" s="1">
        <f t="shared" si="237"/>
        <v>0</v>
      </c>
      <c r="CW167" s="9">
        <f t="shared" si="238"/>
        <v>0</v>
      </c>
      <c r="CX167" s="10">
        <f t="shared" si="239"/>
        <v>0</v>
      </c>
      <c r="CY167" s="1">
        <f>SUMIFS(
  '[1]Hoja 1'!$M:$M,
  '[1]Hoja 1'!$S:$S, $A167,
  '[1]Hoja 1'!$R:$R, "&gt;="&amp;INT($DA$1),
  '[1]Hoja 1'!$R:$R, "&lt;"&amp;INT($DB$1+1)
)</f>
        <v>0</v>
      </c>
      <c r="CZ167" s="1">
        <f t="shared" si="240"/>
        <v>0</v>
      </c>
      <c r="DA167" s="9">
        <f t="shared" si="241"/>
        <v>0</v>
      </c>
      <c r="DB167" s="10">
        <f t="shared" si="242"/>
        <v>0</v>
      </c>
      <c r="DC167" s="1">
        <f>SUMIFS(
  '[1]Hoja 1'!$M:$M,
  '[1]Hoja 1'!$S:$S, $A167,
  '[1]Hoja 1'!$R:$R, "&gt;="&amp;INT($DE$1),
  '[1]Hoja 1'!$R:$R, "&lt;"&amp;INT($DF$1+1)
)</f>
        <v>0</v>
      </c>
      <c r="DD167" s="1">
        <f t="shared" si="243"/>
        <v>0</v>
      </c>
      <c r="DE167" s="9">
        <f t="shared" si="244"/>
        <v>0</v>
      </c>
      <c r="DF167" s="10">
        <f t="shared" si="245"/>
        <v>0</v>
      </c>
      <c r="DG167" s="1">
        <f>SUMIFS(
  '[1]Hoja 1'!$M:$M,
  '[1]Hoja 1'!$S:$S, $A167,
  '[1]Hoja 1'!$R:$R, "&gt;="&amp;INT($DI$1),
  '[1]Hoja 1'!$R:$R, "&lt;"&amp;INT($DJ$1+1)
)</f>
        <v>0</v>
      </c>
      <c r="DH167" s="1">
        <f t="shared" si="246"/>
        <v>0</v>
      </c>
      <c r="DI167" s="9">
        <f t="shared" si="247"/>
        <v>0</v>
      </c>
      <c r="DJ167" s="10">
        <f t="shared" si="248"/>
        <v>0</v>
      </c>
      <c r="DK167" s="1">
        <f>SUMIFS(
  '[1]Hoja 1'!$M:$M,
  '[1]Hoja 1'!$S:$S, $A167,
  '[1]Hoja 1'!$R:$R, "&gt;="&amp;INT($DM$1),
  '[1]Hoja 1'!$R:$R, "&lt;"&amp;INT($DN$1+1)
)</f>
        <v>0</v>
      </c>
      <c r="DL167" s="1">
        <f t="shared" si="249"/>
        <v>0</v>
      </c>
      <c r="DM167" s="9">
        <f t="shared" si="250"/>
        <v>0</v>
      </c>
      <c r="DN167" s="10">
        <f t="shared" si="251"/>
        <v>0</v>
      </c>
      <c r="DO167" s="1">
        <f>SUMIFS(
  '[1]Hoja 1'!$M:$M,
  '[1]Hoja 1'!$S:$S, $A167,
  '[1]Hoja 1'!$R:$R, "&gt;="&amp;INT($DQ$1),
  '[1]Hoja 1'!$R:$R, "&lt;"&amp;INT($DR$1+1)
)</f>
        <v>0</v>
      </c>
      <c r="DP167" s="1">
        <f t="shared" si="252"/>
        <v>0</v>
      </c>
      <c r="DQ167" s="9">
        <f t="shared" si="253"/>
        <v>0</v>
      </c>
      <c r="DR167" s="10">
        <f t="shared" si="254"/>
        <v>0</v>
      </c>
    </row>
    <row r="168" spans="1:122" x14ac:dyDescent="0.25">
      <c r="A168" s="5">
        <v>227012</v>
      </c>
      <c r="B168" s="6" t="s">
        <v>166</v>
      </c>
      <c r="C168" s="1">
        <f>SUMIFS(
  '[1]Hoja 1'!$M:$M,
  '[1]Hoja 1'!$S:$S, $A168,
  '[1]Hoja 1'!$R:$R, "&gt;="&amp;INT($E$1),
  '[1]Hoja 1'!$R:$R, "&lt;"&amp;INT($F$1+1)
)</f>
        <v>19</v>
      </c>
      <c r="D168" s="1" t="str">
        <f>""</f>
        <v/>
      </c>
      <c r="F168" s="2"/>
      <c r="G168" s="1">
        <f>SUMIFS(
  '[1]Hoja 1'!$M:$M,
  '[1]Hoja 1'!$S:$S, $A168,
  '[1]Hoja 1'!$R:$R, "&gt;="&amp;INT($I$1),
  '[1]Hoja 1'!$R:$R, "&lt;"&amp;INT($J$1+1)
)</f>
        <v>18</v>
      </c>
      <c r="H168" s="1">
        <f t="shared" si="170"/>
        <v>18.5</v>
      </c>
      <c r="I168" s="1"/>
      <c r="J168" s="2"/>
      <c r="K168" s="1">
        <f>SUMIFS(
  '[1]Hoja 1'!$M:$M,
  '[1]Hoja 1'!$S:$S, $A168,
  '[1]Hoja 1'!$R:$R, "&gt;="&amp;INT($M$1),
  '[1]Hoja 1'!$R:$R, "&lt;"&amp;INT($N$1+1)
)</f>
        <v>19</v>
      </c>
      <c r="L168" s="1">
        <f t="shared" si="171"/>
        <v>18.5</v>
      </c>
      <c r="M168" s="9">
        <f t="shared" si="172"/>
        <v>17.114070708874365</v>
      </c>
      <c r="N168" s="10">
        <f t="shared" si="173"/>
        <v>19.885929291125635</v>
      </c>
      <c r="O168" s="1">
        <f>SUMIFS(
  '[1]Hoja 1'!$M:$M,
  '[1]Hoja 1'!$S:$S, $A168,
  '[1]Hoja 1'!$R:$R, "&gt;="&amp;INT($Q$1),
  '[1]Hoja 1'!$R:$R, "&lt;"&amp;INT($R$1+1)
)</f>
        <v>25</v>
      </c>
      <c r="P168" s="1">
        <f t="shared" si="174"/>
        <v>22</v>
      </c>
      <c r="Q168" s="9">
        <f t="shared" si="175"/>
        <v>14.966559750045292</v>
      </c>
      <c r="R168" s="10">
        <f t="shared" si="176"/>
        <v>22.033440249954708</v>
      </c>
      <c r="S168" s="1">
        <f>SUMIFS(
  '[1]Hoja 1'!$M:$M,
  '[1]Hoja 1'!$S:$S, $A168,
  '[1]Hoja 1'!$R:$R, "&gt;="&amp;INT($U$1),
  '[1]Hoja 1'!$R:$R, "&lt;"&amp;INT($V$1+1)
)</f>
        <v>20</v>
      </c>
      <c r="T168" s="1">
        <f t="shared" si="177"/>
        <v>23</v>
      </c>
      <c r="U168" s="9">
        <f t="shared" si="178"/>
        <v>18.517995240222668</v>
      </c>
      <c r="V168" s="10">
        <f t="shared" si="179"/>
        <v>27.482004759777332</v>
      </c>
      <c r="W168" s="1">
        <f>SUMIFS(
  '[1]Hoja 1'!$M:$M,
  '[1]Hoja 1'!$S:$S, $A168,
  '[1]Hoja 1'!$R:$R, "&gt;="&amp;INT($Y$1),
  '[1]Hoja 1'!$R:$R, "&lt;"&amp;INT($Z$1+1)
)</f>
        <v>13</v>
      </c>
      <c r="X168" s="1">
        <f t="shared" si="180"/>
        <v>17</v>
      </c>
      <c r="Y168" s="9">
        <f t="shared" si="181"/>
        <v>11.209148018929628</v>
      </c>
      <c r="Z168" s="10">
        <f t="shared" si="182"/>
        <v>22.790851981070372</v>
      </c>
      <c r="AA168" s="1">
        <f>SUMIFS(
  '[1]Hoja 1'!$M:$M,
  '[1]Hoja 1'!$S:$S, $A168,
  '[1]Hoja 1'!$R:$R, "&gt;="&amp;INT($AC$1),
  '[1]Hoja 1'!$R:$R, "&lt;"&amp;INT($AD$1+1)
)</f>
        <v>22</v>
      </c>
      <c r="AB168" s="1">
        <f t="shared" si="183"/>
        <v>18</v>
      </c>
      <c r="AC168" s="9">
        <f t="shared" si="184"/>
        <v>11.260050445292636</v>
      </c>
      <c r="AD168" s="10">
        <f t="shared" si="185"/>
        <v>25.773362635736653</v>
      </c>
      <c r="AE168" s="1">
        <f>SUMIFS(
  '[1]Hoja 1'!$M:$M,
  '[1]Hoja 1'!$S:$S, $A168,
  '[1]Hoja 1'!$R:$R, "&gt;="&amp;INT($AG$1),
  '[1]Hoja 1'!$R:$R, "&lt;"&amp;INT($AH$1+1)
)</f>
        <v>0</v>
      </c>
      <c r="AF168" s="1">
        <f t="shared" si="186"/>
        <v>11</v>
      </c>
      <c r="AG168" s="9">
        <f t="shared" si="187"/>
        <v>-0.10906836777954076</v>
      </c>
      <c r="AH168" s="10">
        <f t="shared" si="188"/>
        <v>23.43158745561751</v>
      </c>
      <c r="AI168" s="1">
        <f>SUMIFS(
  '[1]Hoja 1'!$M:$M,
  '[1]Hoja 1'!$S:$S, $A168,
  '[1]Hoja 1'!$R:$R, "&gt;="&amp;INT($AK$1),
  '[1]Hoja 1'!$R:$R, "&lt;"&amp;INT($AL$1+1)
)</f>
        <v>0</v>
      </c>
      <c r="AJ168" s="1">
        <f t="shared" si="189"/>
        <v>0</v>
      </c>
      <c r="AK168" s="9">
        <f t="shared" si="190"/>
        <v>-11.323135608125517</v>
      </c>
      <c r="AL168" s="10">
        <f t="shared" si="191"/>
        <v>12.827647225166951</v>
      </c>
      <c r="AM168" s="1">
        <f>SUMIFS(
  '[1]Hoja 1'!$M:$M,
  '[1]Hoja 1'!$S:$S, $A168,
  '[1]Hoja 1'!$R:$R, "&gt;="&amp;INT($AO$1),
  '[1]Hoja 1'!$R:$R, "&lt;"&amp;INT($AP$1+1)
)</f>
        <v>0</v>
      </c>
      <c r="AN168" s="1">
        <f t="shared" si="192"/>
        <v>0</v>
      </c>
      <c r="AO168" s="9">
        <f t="shared" si="193"/>
        <v>-11.293410468056139</v>
      </c>
      <c r="AP168" s="10">
        <f t="shared" si="194"/>
        <v>12.936371206795203</v>
      </c>
      <c r="AQ168" s="1">
        <f>SUMIFS(
  '[1]Hoja 1'!$M:$M,
  '[1]Hoja 1'!$S:$S, $A168,
  '[1]Hoja 1'!$R:$R, "&gt;="&amp;INT($AS$1),
  '[1]Hoja 1'!$R:$R, "&lt;"&amp;INT($AT$1+1)
)</f>
        <v>0</v>
      </c>
      <c r="AR168" s="1">
        <f t="shared" si="195"/>
        <v>0</v>
      </c>
      <c r="AS168" s="9">
        <f t="shared" si="196"/>
        <v>-9.641925118979092</v>
      </c>
      <c r="AT168" s="10">
        <f t="shared" si="197"/>
        <v>10.78</v>
      </c>
      <c r="AU168" s="1">
        <f>SUMIFS(
  '[1]Hoja 1'!$M:$M,
  '[1]Hoja 1'!$S:$S, $A168,
  '[1]Hoja 1'!$R:$R, "&gt;="&amp;INT($AW$1),
  '[1]Hoja 1'!$R:$R, "&lt;"&amp;INT($AX$1+1)
)</f>
        <v>0</v>
      </c>
      <c r="AV168" s="1">
        <f t="shared" si="198"/>
        <v>0</v>
      </c>
      <c r="AW168" s="9">
        <f t="shared" si="199"/>
        <v>0</v>
      </c>
      <c r="AX168" s="10">
        <f t="shared" si="200"/>
        <v>0</v>
      </c>
      <c r="AY168" s="1">
        <f>SUMIFS(
  '[1]Hoja 1'!$M:$M,
  '[1]Hoja 1'!$S:$S, $A168,
  '[1]Hoja 1'!$R:$R, "&gt;="&amp;INT($BA$1),
  '[1]Hoja 1'!$R:$R, "&lt;"&amp;INT($BB$1+1)
)</f>
        <v>0</v>
      </c>
      <c r="AZ168" s="1">
        <f t="shared" si="201"/>
        <v>0</v>
      </c>
      <c r="BA168" s="9">
        <f t="shared" si="202"/>
        <v>0</v>
      </c>
      <c r="BB168" s="10">
        <f t="shared" si="203"/>
        <v>0</v>
      </c>
      <c r="BC168" s="1">
        <f>SUMIFS(
  '[1]Hoja 1'!$M:$M,
  '[1]Hoja 1'!$S:$S, $A168,
  '[1]Hoja 1'!$R:$R, "&gt;="&amp;INT($BE$1),
  '[1]Hoja 1'!$R:$R, "&lt;"&amp;INT($BF$1+1)
)</f>
        <v>0</v>
      </c>
      <c r="BD168" s="1">
        <f t="shared" si="204"/>
        <v>0</v>
      </c>
      <c r="BE168" s="9">
        <f t="shared" si="205"/>
        <v>0</v>
      </c>
      <c r="BF168" s="10">
        <f t="shared" si="206"/>
        <v>0</v>
      </c>
      <c r="BG168" s="1">
        <f>SUMIFS(
  '[1]Hoja 1'!$M:$M,
  '[1]Hoja 1'!$S:$S, $A168,
  '[1]Hoja 1'!$R:$R, "&gt;="&amp;INT($BI$1),
  '[1]Hoja 1'!$R:$R, "&lt;"&amp;INT($BJ$1+1)
)</f>
        <v>0</v>
      </c>
      <c r="BH168" s="1">
        <f t="shared" si="207"/>
        <v>0</v>
      </c>
      <c r="BI168" s="9">
        <f t="shared" si="208"/>
        <v>0</v>
      </c>
      <c r="BJ168" s="10">
        <f t="shared" si="209"/>
        <v>0</v>
      </c>
      <c r="BK168" s="1">
        <f>SUMIFS(
  '[1]Hoja 1'!$M:$M,
  '[1]Hoja 1'!$S:$S, $A168,
  '[1]Hoja 1'!$R:$R, "&gt;="&amp;INT($BM$1),
  '[1]Hoja 1'!$R:$R, "&lt;"&amp;INT($BN$1+1)
)</f>
        <v>0</v>
      </c>
      <c r="BL168" s="1">
        <f t="shared" si="210"/>
        <v>0</v>
      </c>
      <c r="BM168" s="9">
        <f t="shared" si="211"/>
        <v>0</v>
      </c>
      <c r="BN168" s="10">
        <f t="shared" si="212"/>
        <v>0</v>
      </c>
      <c r="BO168" s="1">
        <f>SUMIFS(
  '[1]Hoja 1'!$M:$M,
  '[1]Hoja 1'!$S:$S, $A168,
  '[1]Hoja 1'!$R:$R, "&gt;="&amp;INT($BQ$1),
  '[1]Hoja 1'!$R:$R, "&lt;"&amp;INT($BR$1+1)
)</f>
        <v>0</v>
      </c>
      <c r="BP168" s="1">
        <f t="shared" si="213"/>
        <v>0</v>
      </c>
      <c r="BQ168" s="9">
        <f t="shared" si="214"/>
        <v>0</v>
      </c>
      <c r="BR168" s="10">
        <f t="shared" si="215"/>
        <v>0</v>
      </c>
      <c r="BS168" s="1">
        <f>SUMIFS(
  '[1]Hoja 1'!$M:$M,
  '[1]Hoja 1'!$S:$S, $A168,
  '[1]Hoja 1'!$R:$R, "&gt;="&amp;INT($BU$1),
  '[1]Hoja 1'!$R:$R, "&lt;"&amp;INT($BV$1+1)
)</f>
        <v>0</v>
      </c>
      <c r="BT168" s="1">
        <f t="shared" si="216"/>
        <v>0</v>
      </c>
      <c r="BU168" s="9">
        <f t="shared" si="217"/>
        <v>0</v>
      </c>
      <c r="BV168" s="10">
        <f t="shared" si="218"/>
        <v>0</v>
      </c>
      <c r="BW168" s="1">
        <f>SUMIFS(
  '[1]Hoja 1'!$M:$M,
  '[1]Hoja 1'!$S:$S, $A168,
  '[1]Hoja 1'!$R:$R, "&gt;="&amp;INT($BY$1),
  '[1]Hoja 1'!$R:$R, "&lt;"&amp;INT($BZ$1+1)
)</f>
        <v>0</v>
      </c>
      <c r="BX168" s="1">
        <f t="shared" si="219"/>
        <v>0</v>
      </c>
      <c r="BY168" s="9">
        <f t="shared" si="220"/>
        <v>0</v>
      </c>
      <c r="BZ168" s="10">
        <f t="shared" si="221"/>
        <v>0</v>
      </c>
      <c r="CA168" s="1">
        <f>SUMIFS(
  '[1]Hoja 1'!$M:$M,
  '[1]Hoja 1'!$S:$S, $A168,
  '[1]Hoja 1'!$R:$R, "&gt;="&amp;INT($CC$1),
  '[1]Hoja 1'!$R:$R, "&lt;"&amp;INT($CD$1+1)
)</f>
        <v>0</v>
      </c>
      <c r="CB168" s="1">
        <f t="shared" si="222"/>
        <v>0</v>
      </c>
      <c r="CC168" s="9">
        <f t="shared" si="223"/>
        <v>0</v>
      </c>
      <c r="CD168" s="10">
        <f t="shared" si="224"/>
        <v>0</v>
      </c>
      <c r="CE168" s="1">
        <f>SUMIFS(
  '[1]Hoja 1'!$M:$M,
  '[1]Hoja 1'!$S:$S, $A168,
  '[1]Hoja 1'!$R:$R, "&gt;="&amp;INT($CG$1),
  '[1]Hoja 1'!$R:$R, "&lt;"&amp;INT($CH$1+1)
)</f>
        <v>0</v>
      </c>
      <c r="CF168" s="1">
        <f t="shared" si="225"/>
        <v>0</v>
      </c>
      <c r="CG168" s="9">
        <f t="shared" si="226"/>
        <v>0</v>
      </c>
      <c r="CH168" s="10">
        <f t="shared" si="227"/>
        <v>0</v>
      </c>
      <c r="CI168" s="1">
        <f>SUMIFS(
  '[1]Hoja 1'!$M:$M,
  '[1]Hoja 1'!$S:$S, $A168,
  '[1]Hoja 1'!$R:$R, "&gt;="&amp;INT($CK$1),
  '[1]Hoja 1'!$R:$R, "&lt;"&amp;INT($CL$1+1)
)</f>
        <v>0</v>
      </c>
      <c r="CJ168" s="1">
        <f t="shared" si="228"/>
        <v>0</v>
      </c>
      <c r="CK168" s="9">
        <f t="shared" si="229"/>
        <v>0</v>
      </c>
      <c r="CL168" s="10">
        <f t="shared" si="230"/>
        <v>0</v>
      </c>
      <c r="CM168" s="1">
        <f>SUMIFS(
  '[1]Hoja 1'!$M:$M,
  '[1]Hoja 1'!$S:$S, $A168,
  '[1]Hoja 1'!$R:$R, "&gt;="&amp;INT($CO$1),
  '[1]Hoja 1'!$R:$R, "&lt;"&amp;INT($CP$1+1)
)</f>
        <v>0</v>
      </c>
      <c r="CN168" s="1">
        <f t="shared" si="231"/>
        <v>0</v>
      </c>
      <c r="CO168" s="9">
        <f t="shared" si="232"/>
        <v>0</v>
      </c>
      <c r="CP168" s="10">
        <f t="shared" si="233"/>
        <v>0</v>
      </c>
      <c r="CQ168" s="1">
        <f>SUMIFS(
  '[1]Hoja 1'!$M:$M,
  '[1]Hoja 1'!$S:$S, $A168,
  '[1]Hoja 1'!$R:$R, "&gt;="&amp;INT($CS$1),
  '[1]Hoja 1'!$R:$R, "&lt;"&amp;INT($CT$1+1)
)</f>
        <v>0</v>
      </c>
      <c r="CR168" s="1">
        <f t="shared" si="234"/>
        <v>0</v>
      </c>
      <c r="CS168" s="9">
        <f t="shared" si="235"/>
        <v>0</v>
      </c>
      <c r="CT168" s="10">
        <f t="shared" si="236"/>
        <v>0</v>
      </c>
      <c r="CU168" s="1">
        <f>SUMIFS(
  '[1]Hoja 1'!$M:$M,
  '[1]Hoja 1'!$S:$S, $A168,
  '[1]Hoja 1'!$R:$R, "&gt;="&amp;INT($CW$1),
  '[1]Hoja 1'!$R:$R, "&lt;"&amp;INT($CX$1+1)
)</f>
        <v>0</v>
      </c>
      <c r="CV168" s="1">
        <f t="shared" si="237"/>
        <v>0</v>
      </c>
      <c r="CW168" s="9">
        <f t="shared" si="238"/>
        <v>0</v>
      </c>
      <c r="CX168" s="10">
        <f t="shared" si="239"/>
        <v>0</v>
      </c>
      <c r="CY168" s="1">
        <f>SUMIFS(
  '[1]Hoja 1'!$M:$M,
  '[1]Hoja 1'!$S:$S, $A168,
  '[1]Hoja 1'!$R:$R, "&gt;="&amp;INT($DA$1),
  '[1]Hoja 1'!$R:$R, "&lt;"&amp;INT($DB$1+1)
)</f>
        <v>0</v>
      </c>
      <c r="CZ168" s="1">
        <f t="shared" si="240"/>
        <v>0</v>
      </c>
      <c r="DA168" s="9">
        <f t="shared" si="241"/>
        <v>0</v>
      </c>
      <c r="DB168" s="10">
        <f t="shared" si="242"/>
        <v>0</v>
      </c>
      <c r="DC168" s="1">
        <f>SUMIFS(
  '[1]Hoja 1'!$M:$M,
  '[1]Hoja 1'!$S:$S, $A168,
  '[1]Hoja 1'!$R:$R, "&gt;="&amp;INT($DE$1),
  '[1]Hoja 1'!$R:$R, "&lt;"&amp;INT($DF$1+1)
)</f>
        <v>0</v>
      </c>
      <c r="DD168" s="1">
        <f t="shared" si="243"/>
        <v>0</v>
      </c>
      <c r="DE168" s="9">
        <f t="shared" si="244"/>
        <v>0</v>
      </c>
      <c r="DF168" s="10">
        <f t="shared" si="245"/>
        <v>0</v>
      </c>
      <c r="DG168" s="1">
        <f>SUMIFS(
  '[1]Hoja 1'!$M:$M,
  '[1]Hoja 1'!$S:$S, $A168,
  '[1]Hoja 1'!$R:$R, "&gt;="&amp;INT($DI$1),
  '[1]Hoja 1'!$R:$R, "&lt;"&amp;INT($DJ$1+1)
)</f>
        <v>0</v>
      </c>
      <c r="DH168" s="1">
        <f t="shared" si="246"/>
        <v>0</v>
      </c>
      <c r="DI168" s="9">
        <f t="shared" si="247"/>
        <v>0</v>
      </c>
      <c r="DJ168" s="10">
        <f t="shared" si="248"/>
        <v>0</v>
      </c>
      <c r="DK168" s="1">
        <f>SUMIFS(
  '[1]Hoja 1'!$M:$M,
  '[1]Hoja 1'!$S:$S, $A168,
  '[1]Hoja 1'!$R:$R, "&gt;="&amp;INT($DM$1),
  '[1]Hoja 1'!$R:$R, "&lt;"&amp;INT($DN$1+1)
)</f>
        <v>0</v>
      </c>
      <c r="DL168" s="1">
        <f t="shared" si="249"/>
        <v>0</v>
      </c>
      <c r="DM168" s="9">
        <f t="shared" si="250"/>
        <v>0</v>
      </c>
      <c r="DN168" s="10">
        <f t="shared" si="251"/>
        <v>0</v>
      </c>
      <c r="DO168" s="1">
        <f>SUMIFS(
  '[1]Hoja 1'!$M:$M,
  '[1]Hoja 1'!$S:$S, $A168,
  '[1]Hoja 1'!$R:$R, "&gt;="&amp;INT($DQ$1),
  '[1]Hoja 1'!$R:$R, "&lt;"&amp;INT($DR$1+1)
)</f>
        <v>0</v>
      </c>
      <c r="DP168" s="1">
        <f t="shared" si="252"/>
        <v>0</v>
      </c>
      <c r="DQ168" s="9">
        <f t="shared" si="253"/>
        <v>0</v>
      </c>
      <c r="DR168" s="10">
        <f t="shared" si="254"/>
        <v>0</v>
      </c>
    </row>
    <row r="169" spans="1:122" x14ac:dyDescent="0.25">
      <c r="A169" s="5">
        <v>227013</v>
      </c>
      <c r="B169" s="6" t="s">
        <v>167</v>
      </c>
      <c r="C169" s="1">
        <f>SUMIFS(
  '[1]Hoja 1'!$M:$M,
  '[1]Hoja 1'!$S:$S, $A169,
  '[1]Hoja 1'!$R:$R, "&gt;="&amp;INT($E$1),
  '[1]Hoja 1'!$R:$R, "&lt;"&amp;INT($F$1+1)
)</f>
        <v>0</v>
      </c>
      <c r="D169" s="1" t="str">
        <f>""</f>
        <v/>
      </c>
      <c r="F169" s="2"/>
      <c r="G169" s="1">
        <f>SUMIFS(
  '[1]Hoja 1'!$M:$M,
  '[1]Hoja 1'!$S:$S, $A169,
  '[1]Hoja 1'!$R:$R, "&gt;="&amp;INT($I$1),
  '[1]Hoja 1'!$R:$R, "&lt;"&amp;INT($J$1+1)
)</f>
        <v>0</v>
      </c>
      <c r="H169" s="1">
        <f t="shared" si="170"/>
        <v>0</v>
      </c>
      <c r="I169" s="1"/>
      <c r="J169" s="2"/>
      <c r="K169" s="1">
        <f>SUMIFS(
  '[1]Hoja 1'!$M:$M,
  '[1]Hoja 1'!$S:$S, $A169,
  '[1]Hoja 1'!$R:$R, "&gt;="&amp;INT($M$1),
  '[1]Hoja 1'!$R:$R, "&lt;"&amp;INT($N$1+1)
)</f>
        <v>0</v>
      </c>
      <c r="L169" s="1">
        <f t="shared" si="171"/>
        <v>0</v>
      </c>
      <c r="M169" s="9">
        <f t="shared" si="172"/>
        <v>0</v>
      </c>
      <c r="N169" s="10">
        <f t="shared" si="173"/>
        <v>0</v>
      </c>
      <c r="O169" s="1">
        <f>SUMIFS(
  '[1]Hoja 1'!$M:$M,
  '[1]Hoja 1'!$S:$S, $A169,
  '[1]Hoja 1'!$R:$R, "&gt;="&amp;INT($Q$1),
  '[1]Hoja 1'!$R:$R, "&lt;"&amp;INT($R$1+1)
)</f>
        <v>0</v>
      </c>
      <c r="P169" s="1">
        <f t="shared" si="174"/>
        <v>0</v>
      </c>
      <c r="Q169" s="9">
        <f t="shared" si="175"/>
        <v>0</v>
      </c>
      <c r="R169" s="10">
        <f t="shared" si="176"/>
        <v>0</v>
      </c>
      <c r="S169" s="1">
        <f>SUMIFS(
  '[1]Hoja 1'!$M:$M,
  '[1]Hoja 1'!$S:$S, $A169,
  '[1]Hoja 1'!$R:$R, "&gt;="&amp;INT($U$1),
  '[1]Hoja 1'!$R:$R, "&lt;"&amp;INT($V$1+1)
)</f>
        <v>0</v>
      </c>
      <c r="T169" s="1">
        <f t="shared" si="177"/>
        <v>0</v>
      </c>
      <c r="U169" s="9">
        <f t="shared" si="178"/>
        <v>0</v>
      </c>
      <c r="V169" s="10">
        <f t="shared" si="179"/>
        <v>0</v>
      </c>
      <c r="W169" s="1">
        <f>SUMIFS(
  '[1]Hoja 1'!$M:$M,
  '[1]Hoja 1'!$S:$S, $A169,
  '[1]Hoja 1'!$R:$R, "&gt;="&amp;INT($Y$1),
  '[1]Hoja 1'!$R:$R, "&lt;"&amp;INT($Z$1+1)
)</f>
        <v>0</v>
      </c>
      <c r="X169" s="1">
        <f t="shared" si="180"/>
        <v>0</v>
      </c>
      <c r="Y169" s="9">
        <f t="shared" si="181"/>
        <v>0</v>
      </c>
      <c r="Z169" s="10">
        <f t="shared" si="182"/>
        <v>0</v>
      </c>
      <c r="AA169" s="1">
        <f>SUMIFS(
  '[1]Hoja 1'!$M:$M,
  '[1]Hoja 1'!$S:$S, $A169,
  '[1]Hoja 1'!$R:$R, "&gt;="&amp;INT($AC$1),
  '[1]Hoja 1'!$R:$R, "&lt;"&amp;INT($AD$1+1)
)</f>
        <v>0</v>
      </c>
      <c r="AB169" s="1">
        <f t="shared" si="183"/>
        <v>0</v>
      </c>
      <c r="AC169" s="9">
        <f t="shared" si="184"/>
        <v>0</v>
      </c>
      <c r="AD169" s="10">
        <f t="shared" si="185"/>
        <v>0</v>
      </c>
      <c r="AE169" s="1">
        <f>SUMIFS(
  '[1]Hoja 1'!$M:$M,
  '[1]Hoja 1'!$S:$S, $A169,
  '[1]Hoja 1'!$R:$R, "&gt;="&amp;INT($AG$1),
  '[1]Hoja 1'!$R:$R, "&lt;"&amp;INT($AH$1+1)
)</f>
        <v>0</v>
      </c>
      <c r="AF169" s="1">
        <f t="shared" si="186"/>
        <v>0</v>
      </c>
      <c r="AG169" s="9">
        <f t="shared" si="187"/>
        <v>0</v>
      </c>
      <c r="AH169" s="10">
        <f t="shared" si="188"/>
        <v>0</v>
      </c>
      <c r="AI169" s="1">
        <f>SUMIFS(
  '[1]Hoja 1'!$M:$M,
  '[1]Hoja 1'!$S:$S, $A169,
  '[1]Hoja 1'!$R:$R, "&gt;="&amp;INT($AK$1),
  '[1]Hoja 1'!$R:$R, "&lt;"&amp;INT($AL$1+1)
)</f>
        <v>0</v>
      </c>
      <c r="AJ169" s="1">
        <f t="shared" si="189"/>
        <v>0</v>
      </c>
      <c r="AK169" s="9">
        <f t="shared" si="190"/>
        <v>0</v>
      </c>
      <c r="AL169" s="10">
        <f t="shared" si="191"/>
        <v>0</v>
      </c>
      <c r="AM169" s="1">
        <f>SUMIFS(
  '[1]Hoja 1'!$M:$M,
  '[1]Hoja 1'!$S:$S, $A169,
  '[1]Hoja 1'!$R:$R, "&gt;="&amp;INT($AO$1),
  '[1]Hoja 1'!$R:$R, "&lt;"&amp;INT($AP$1+1)
)</f>
        <v>0</v>
      </c>
      <c r="AN169" s="1">
        <f t="shared" si="192"/>
        <v>0</v>
      </c>
      <c r="AO169" s="9">
        <f t="shared" si="193"/>
        <v>0</v>
      </c>
      <c r="AP169" s="10">
        <f t="shared" si="194"/>
        <v>0</v>
      </c>
      <c r="AQ169" s="1">
        <f>SUMIFS(
  '[1]Hoja 1'!$M:$M,
  '[1]Hoja 1'!$S:$S, $A169,
  '[1]Hoja 1'!$R:$R, "&gt;="&amp;INT($AS$1),
  '[1]Hoja 1'!$R:$R, "&lt;"&amp;INT($AT$1+1)
)</f>
        <v>0</v>
      </c>
      <c r="AR169" s="1">
        <f t="shared" si="195"/>
        <v>0</v>
      </c>
      <c r="AS169" s="9">
        <f t="shared" si="196"/>
        <v>0</v>
      </c>
      <c r="AT169" s="10">
        <f t="shared" si="197"/>
        <v>0</v>
      </c>
      <c r="AU169" s="1">
        <f>SUMIFS(
  '[1]Hoja 1'!$M:$M,
  '[1]Hoja 1'!$S:$S, $A169,
  '[1]Hoja 1'!$R:$R, "&gt;="&amp;INT($AW$1),
  '[1]Hoja 1'!$R:$R, "&lt;"&amp;INT($AX$1+1)
)</f>
        <v>0</v>
      </c>
      <c r="AV169" s="1">
        <f t="shared" si="198"/>
        <v>0</v>
      </c>
      <c r="AW169" s="9">
        <f t="shared" si="199"/>
        <v>0</v>
      </c>
      <c r="AX169" s="10">
        <f t="shared" si="200"/>
        <v>0</v>
      </c>
      <c r="AY169" s="1">
        <f>SUMIFS(
  '[1]Hoja 1'!$M:$M,
  '[1]Hoja 1'!$S:$S, $A169,
  '[1]Hoja 1'!$R:$R, "&gt;="&amp;INT($BA$1),
  '[1]Hoja 1'!$R:$R, "&lt;"&amp;INT($BB$1+1)
)</f>
        <v>0</v>
      </c>
      <c r="AZ169" s="1">
        <f t="shared" si="201"/>
        <v>0</v>
      </c>
      <c r="BA169" s="9">
        <f t="shared" si="202"/>
        <v>0</v>
      </c>
      <c r="BB169" s="10">
        <f t="shared" si="203"/>
        <v>0</v>
      </c>
      <c r="BC169" s="1">
        <f>SUMIFS(
  '[1]Hoja 1'!$M:$M,
  '[1]Hoja 1'!$S:$S, $A169,
  '[1]Hoja 1'!$R:$R, "&gt;="&amp;INT($BE$1),
  '[1]Hoja 1'!$R:$R, "&lt;"&amp;INT($BF$1+1)
)</f>
        <v>0</v>
      </c>
      <c r="BD169" s="1">
        <f t="shared" si="204"/>
        <v>0</v>
      </c>
      <c r="BE169" s="9">
        <f t="shared" si="205"/>
        <v>0</v>
      </c>
      <c r="BF169" s="10">
        <f t="shared" si="206"/>
        <v>0</v>
      </c>
      <c r="BG169" s="1">
        <f>SUMIFS(
  '[1]Hoja 1'!$M:$M,
  '[1]Hoja 1'!$S:$S, $A169,
  '[1]Hoja 1'!$R:$R, "&gt;="&amp;INT($BI$1),
  '[1]Hoja 1'!$R:$R, "&lt;"&amp;INT($BJ$1+1)
)</f>
        <v>0</v>
      </c>
      <c r="BH169" s="1">
        <f t="shared" si="207"/>
        <v>0</v>
      </c>
      <c r="BI169" s="9">
        <f t="shared" si="208"/>
        <v>0</v>
      </c>
      <c r="BJ169" s="10">
        <f t="shared" si="209"/>
        <v>0</v>
      </c>
      <c r="BK169" s="1">
        <f>SUMIFS(
  '[1]Hoja 1'!$M:$M,
  '[1]Hoja 1'!$S:$S, $A169,
  '[1]Hoja 1'!$R:$R, "&gt;="&amp;INT($BM$1),
  '[1]Hoja 1'!$R:$R, "&lt;"&amp;INT($BN$1+1)
)</f>
        <v>0</v>
      </c>
      <c r="BL169" s="1">
        <f t="shared" si="210"/>
        <v>0</v>
      </c>
      <c r="BM169" s="9">
        <f t="shared" si="211"/>
        <v>0</v>
      </c>
      <c r="BN169" s="10">
        <f t="shared" si="212"/>
        <v>0</v>
      </c>
      <c r="BO169" s="1">
        <f>SUMIFS(
  '[1]Hoja 1'!$M:$M,
  '[1]Hoja 1'!$S:$S, $A169,
  '[1]Hoja 1'!$R:$R, "&gt;="&amp;INT($BQ$1),
  '[1]Hoja 1'!$R:$R, "&lt;"&amp;INT($BR$1+1)
)</f>
        <v>0</v>
      </c>
      <c r="BP169" s="1">
        <f t="shared" si="213"/>
        <v>0</v>
      </c>
      <c r="BQ169" s="9">
        <f t="shared" si="214"/>
        <v>0</v>
      </c>
      <c r="BR169" s="10">
        <f t="shared" si="215"/>
        <v>0</v>
      </c>
      <c r="BS169" s="1">
        <f>SUMIFS(
  '[1]Hoja 1'!$M:$M,
  '[1]Hoja 1'!$S:$S, $A169,
  '[1]Hoja 1'!$R:$R, "&gt;="&amp;INT($BU$1),
  '[1]Hoja 1'!$R:$R, "&lt;"&amp;INT($BV$1+1)
)</f>
        <v>0</v>
      </c>
      <c r="BT169" s="1">
        <f t="shared" si="216"/>
        <v>0</v>
      </c>
      <c r="BU169" s="9">
        <f t="shared" si="217"/>
        <v>0</v>
      </c>
      <c r="BV169" s="10">
        <f t="shared" si="218"/>
        <v>0</v>
      </c>
      <c r="BW169" s="1">
        <f>SUMIFS(
  '[1]Hoja 1'!$M:$M,
  '[1]Hoja 1'!$S:$S, $A169,
  '[1]Hoja 1'!$R:$R, "&gt;="&amp;INT($BY$1),
  '[1]Hoja 1'!$R:$R, "&lt;"&amp;INT($BZ$1+1)
)</f>
        <v>0</v>
      </c>
      <c r="BX169" s="1">
        <f t="shared" si="219"/>
        <v>0</v>
      </c>
      <c r="BY169" s="9">
        <f t="shared" si="220"/>
        <v>0</v>
      </c>
      <c r="BZ169" s="10">
        <f t="shared" si="221"/>
        <v>0</v>
      </c>
      <c r="CA169" s="1">
        <f>SUMIFS(
  '[1]Hoja 1'!$M:$M,
  '[1]Hoja 1'!$S:$S, $A169,
  '[1]Hoja 1'!$R:$R, "&gt;="&amp;INT($CC$1),
  '[1]Hoja 1'!$R:$R, "&lt;"&amp;INT($CD$1+1)
)</f>
        <v>0</v>
      </c>
      <c r="CB169" s="1">
        <f t="shared" si="222"/>
        <v>0</v>
      </c>
      <c r="CC169" s="9">
        <f t="shared" si="223"/>
        <v>0</v>
      </c>
      <c r="CD169" s="10">
        <f t="shared" si="224"/>
        <v>0</v>
      </c>
      <c r="CE169" s="1">
        <f>SUMIFS(
  '[1]Hoja 1'!$M:$M,
  '[1]Hoja 1'!$S:$S, $A169,
  '[1]Hoja 1'!$R:$R, "&gt;="&amp;INT($CG$1),
  '[1]Hoja 1'!$R:$R, "&lt;"&amp;INT($CH$1+1)
)</f>
        <v>0</v>
      </c>
      <c r="CF169" s="1">
        <f t="shared" si="225"/>
        <v>0</v>
      </c>
      <c r="CG169" s="9">
        <f t="shared" si="226"/>
        <v>0</v>
      </c>
      <c r="CH169" s="10">
        <f t="shared" si="227"/>
        <v>0</v>
      </c>
      <c r="CI169" s="1">
        <f>SUMIFS(
  '[1]Hoja 1'!$M:$M,
  '[1]Hoja 1'!$S:$S, $A169,
  '[1]Hoja 1'!$R:$R, "&gt;="&amp;INT($CK$1),
  '[1]Hoja 1'!$R:$R, "&lt;"&amp;INT($CL$1+1)
)</f>
        <v>0</v>
      </c>
      <c r="CJ169" s="1">
        <f t="shared" si="228"/>
        <v>0</v>
      </c>
      <c r="CK169" s="9">
        <f t="shared" si="229"/>
        <v>0</v>
      </c>
      <c r="CL169" s="10">
        <f t="shared" si="230"/>
        <v>0</v>
      </c>
      <c r="CM169" s="1">
        <f>SUMIFS(
  '[1]Hoja 1'!$M:$M,
  '[1]Hoja 1'!$S:$S, $A169,
  '[1]Hoja 1'!$R:$R, "&gt;="&amp;INT($CO$1),
  '[1]Hoja 1'!$R:$R, "&lt;"&amp;INT($CP$1+1)
)</f>
        <v>0</v>
      </c>
      <c r="CN169" s="1">
        <f t="shared" si="231"/>
        <v>0</v>
      </c>
      <c r="CO169" s="9">
        <f t="shared" si="232"/>
        <v>0</v>
      </c>
      <c r="CP169" s="10">
        <f t="shared" si="233"/>
        <v>0</v>
      </c>
      <c r="CQ169" s="1">
        <f>SUMIFS(
  '[1]Hoja 1'!$M:$M,
  '[1]Hoja 1'!$S:$S, $A169,
  '[1]Hoja 1'!$R:$R, "&gt;="&amp;INT($CS$1),
  '[1]Hoja 1'!$R:$R, "&lt;"&amp;INT($CT$1+1)
)</f>
        <v>0</v>
      </c>
      <c r="CR169" s="1">
        <f t="shared" si="234"/>
        <v>0</v>
      </c>
      <c r="CS169" s="9">
        <f t="shared" si="235"/>
        <v>0</v>
      </c>
      <c r="CT169" s="10">
        <f t="shared" si="236"/>
        <v>0</v>
      </c>
      <c r="CU169" s="1">
        <f>SUMIFS(
  '[1]Hoja 1'!$M:$M,
  '[1]Hoja 1'!$S:$S, $A169,
  '[1]Hoja 1'!$R:$R, "&gt;="&amp;INT($CW$1),
  '[1]Hoja 1'!$R:$R, "&lt;"&amp;INT($CX$1+1)
)</f>
        <v>0</v>
      </c>
      <c r="CV169" s="1">
        <f t="shared" si="237"/>
        <v>0</v>
      </c>
      <c r="CW169" s="9">
        <f t="shared" si="238"/>
        <v>0</v>
      </c>
      <c r="CX169" s="10">
        <f t="shared" si="239"/>
        <v>0</v>
      </c>
      <c r="CY169" s="1">
        <f>SUMIFS(
  '[1]Hoja 1'!$M:$M,
  '[1]Hoja 1'!$S:$S, $A169,
  '[1]Hoja 1'!$R:$R, "&gt;="&amp;INT($DA$1),
  '[1]Hoja 1'!$R:$R, "&lt;"&amp;INT($DB$1+1)
)</f>
        <v>0</v>
      </c>
      <c r="CZ169" s="1">
        <f t="shared" si="240"/>
        <v>0</v>
      </c>
      <c r="DA169" s="9">
        <f t="shared" si="241"/>
        <v>0</v>
      </c>
      <c r="DB169" s="10">
        <f t="shared" si="242"/>
        <v>0</v>
      </c>
      <c r="DC169" s="1">
        <f>SUMIFS(
  '[1]Hoja 1'!$M:$M,
  '[1]Hoja 1'!$S:$S, $A169,
  '[1]Hoja 1'!$R:$R, "&gt;="&amp;INT($DE$1),
  '[1]Hoja 1'!$R:$R, "&lt;"&amp;INT($DF$1+1)
)</f>
        <v>0</v>
      </c>
      <c r="DD169" s="1">
        <f t="shared" si="243"/>
        <v>0</v>
      </c>
      <c r="DE169" s="9">
        <f t="shared" si="244"/>
        <v>0</v>
      </c>
      <c r="DF169" s="10">
        <f t="shared" si="245"/>
        <v>0</v>
      </c>
      <c r="DG169" s="1">
        <f>SUMIFS(
  '[1]Hoja 1'!$M:$M,
  '[1]Hoja 1'!$S:$S, $A169,
  '[1]Hoja 1'!$R:$R, "&gt;="&amp;INT($DI$1),
  '[1]Hoja 1'!$R:$R, "&lt;"&amp;INT($DJ$1+1)
)</f>
        <v>0</v>
      </c>
      <c r="DH169" s="1">
        <f t="shared" si="246"/>
        <v>0</v>
      </c>
      <c r="DI169" s="9">
        <f t="shared" si="247"/>
        <v>0</v>
      </c>
      <c r="DJ169" s="10">
        <f t="shared" si="248"/>
        <v>0</v>
      </c>
      <c r="DK169" s="1">
        <f>SUMIFS(
  '[1]Hoja 1'!$M:$M,
  '[1]Hoja 1'!$S:$S, $A169,
  '[1]Hoja 1'!$R:$R, "&gt;="&amp;INT($DM$1),
  '[1]Hoja 1'!$R:$R, "&lt;"&amp;INT($DN$1+1)
)</f>
        <v>0</v>
      </c>
      <c r="DL169" s="1">
        <f t="shared" si="249"/>
        <v>0</v>
      </c>
      <c r="DM169" s="9">
        <f t="shared" si="250"/>
        <v>0</v>
      </c>
      <c r="DN169" s="10">
        <f t="shared" si="251"/>
        <v>0</v>
      </c>
      <c r="DO169" s="1">
        <f>SUMIFS(
  '[1]Hoja 1'!$M:$M,
  '[1]Hoja 1'!$S:$S, $A169,
  '[1]Hoja 1'!$R:$R, "&gt;="&amp;INT($DQ$1),
  '[1]Hoja 1'!$R:$R, "&lt;"&amp;INT($DR$1+1)
)</f>
        <v>0</v>
      </c>
      <c r="DP169" s="1">
        <f t="shared" si="252"/>
        <v>0</v>
      </c>
      <c r="DQ169" s="9">
        <f t="shared" si="253"/>
        <v>0</v>
      </c>
      <c r="DR169" s="10">
        <f t="shared" si="254"/>
        <v>0</v>
      </c>
    </row>
    <row r="170" spans="1:122" x14ac:dyDescent="0.25">
      <c r="A170" s="5">
        <v>227014</v>
      </c>
      <c r="B170" s="6" t="s">
        <v>168</v>
      </c>
      <c r="C170" s="1">
        <f>SUMIFS(
  '[1]Hoja 1'!$M:$M,
  '[1]Hoja 1'!$S:$S, $A170,
  '[1]Hoja 1'!$R:$R, "&gt;="&amp;INT($E$1),
  '[1]Hoja 1'!$R:$R, "&lt;"&amp;INT($F$1+1)
)</f>
        <v>2</v>
      </c>
      <c r="D170" s="1" t="str">
        <f>""</f>
        <v/>
      </c>
      <c r="F170" s="2"/>
      <c r="G170" s="1">
        <f>SUMIFS(
  '[1]Hoja 1'!$M:$M,
  '[1]Hoja 1'!$S:$S, $A170,
  '[1]Hoja 1'!$R:$R, "&gt;="&amp;INT($I$1),
  '[1]Hoja 1'!$R:$R, "&lt;"&amp;INT($J$1+1)
)</f>
        <v>4</v>
      </c>
      <c r="H170" s="1">
        <f t="shared" si="170"/>
        <v>3</v>
      </c>
      <c r="I170" s="1"/>
      <c r="J170" s="2"/>
      <c r="K170" s="1">
        <f>SUMIFS(
  '[1]Hoja 1'!$M:$M,
  '[1]Hoja 1'!$S:$S, $A170,
  '[1]Hoja 1'!$R:$R, "&gt;="&amp;INT($M$1),
  '[1]Hoja 1'!$R:$R, "&lt;"&amp;INT($N$1+1)
)</f>
        <v>2</v>
      </c>
      <c r="L170" s="1">
        <f t="shared" si="171"/>
        <v>3</v>
      </c>
      <c r="M170" s="9">
        <f t="shared" si="172"/>
        <v>0.22814141774873375</v>
      </c>
      <c r="N170" s="10">
        <f t="shared" si="173"/>
        <v>5.7718585822512658</v>
      </c>
      <c r="O170" s="1">
        <f>SUMIFS(
  '[1]Hoja 1'!$M:$M,
  '[1]Hoja 1'!$S:$S, $A170,
  '[1]Hoja 1'!$R:$R, "&gt;="&amp;INT($Q$1),
  '[1]Hoja 1'!$R:$R, "&lt;"&amp;INT($R$1+1)
)</f>
        <v>4</v>
      </c>
      <c r="P170" s="1">
        <f t="shared" si="174"/>
        <v>3</v>
      </c>
      <c r="Q170" s="9">
        <f t="shared" si="175"/>
        <v>0.73678694477666706</v>
      </c>
      <c r="R170" s="10">
        <f t="shared" si="176"/>
        <v>5.2632130552233329</v>
      </c>
      <c r="S170" s="1">
        <f>SUMIFS(
  '[1]Hoja 1'!$M:$M,
  '[1]Hoja 1'!$S:$S, $A170,
  '[1]Hoja 1'!$R:$R, "&gt;="&amp;INT($U$1),
  '[1]Hoja 1'!$R:$R, "&lt;"&amp;INT($V$1+1)
)</f>
        <v>6</v>
      </c>
      <c r="T170" s="1">
        <f t="shared" si="177"/>
        <v>5</v>
      </c>
      <c r="U170" s="9">
        <f t="shared" si="178"/>
        <v>3.04</v>
      </c>
      <c r="V170" s="10">
        <f t="shared" si="179"/>
        <v>6.96</v>
      </c>
      <c r="W170" s="1">
        <f>SUMIFS(
  '[1]Hoja 1'!$M:$M,
  '[1]Hoja 1'!$S:$S, $A170,
  '[1]Hoja 1'!$R:$R, "&gt;="&amp;INT($Y$1),
  '[1]Hoja 1'!$R:$R, "&lt;"&amp;INT($Z$1+1)
)</f>
        <v>0</v>
      </c>
      <c r="X170" s="1">
        <f t="shared" si="180"/>
        <v>3</v>
      </c>
      <c r="Y170" s="9">
        <f t="shared" si="181"/>
        <v>-0.75311426240484547</v>
      </c>
      <c r="Z170" s="10">
        <f t="shared" si="182"/>
        <v>6.7531142624048455</v>
      </c>
      <c r="AA170" s="1">
        <f>SUMIFS(
  '[1]Hoja 1'!$M:$M,
  '[1]Hoja 1'!$S:$S, $A170,
  '[1]Hoja 1'!$R:$R, "&gt;="&amp;INT($AC$1),
  '[1]Hoja 1'!$R:$R, "&lt;"&amp;INT($AD$1+1)
)</f>
        <v>8</v>
      </c>
      <c r="AB170" s="1">
        <f t="shared" si="183"/>
        <v>4</v>
      </c>
      <c r="AC170" s="9">
        <f t="shared" si="184"/>
        <v>-0.91956095602036392</v>
      </c>
      <c r="AD170" s="10">
        <f t="shared" si="185"/>
        <v>9.6296713936072678</v>
      </c>
      <c r="AE170" s="1">
        <f>SUMIFS(
  '[1]Hoja 1'!$M:$M,
  '[1]Hoja 1'!$S:$S, $A170,
  '[1]Hoja 1'!$R:$R, "&gt;="&amp;INT($AG$1),
  '[1]Hoja 1'!$R:$R, "&lt;"&amp;INT($AH$1+1)
)</f>
        <v>0</v>
      </c>
      <c r="AF170" s="1">
        <f t="shared" si="186"/>
        <v>4</v>
      </c>
      <c r="AG170" s="9">
        <f t="shared" si="187"/>
        <v>-2.2903481620654356</v>
      </c>
      <c r="AH170" s="10">
        <f t="shared" si="188"/>
        <v>11.245817184187485</v>
      </c>
      <c r="AI170" s="1">
        <f>SUMIFS(
  '[1]Hoja 1'!$M:$M,
  '[1]Hoja 1'!$S:$S, $A170,
  '[1]Hoja 1'!$R:$R, "&gt;="&amp;INT($AK$1),
  '[1]Hoja 1'!$R:$R, "&lt;"&amp;INT($AL$1+1)
)</f>
        <v>0</v>
      </c>
      <c r="AJ170" s="1">
        <f t="shared" si="189"/>
        <v>0</v>
      </c>
      <c r="AK170" s="9">
        <f t="shared" si="190"/>
        <v>-6.135770530259423</v>
      </c>
      <c r="AL170" s="10">
        <f t="shared" si="191"/>
        <v>7.0441938265969561</v>
      </c>
      <c r="AM170" s="1">
        <f>SUMIFS(
  '[1]Hoja 1'!$M:$M,
  '[1]Hoja 1'!$S:$S, $A170,
  '[1]Hoja 1'!$R:$R, "&gt;="&amp;INT($AO$1),
  '[1]Hoja 1'!$R:$R, "&lt;"&amp;INT($AP$1+1)
)</f>
        <v>0</v>
      </c>
      <c r="AN170" s="1">
        <f t="shared" si="192"/>
        <v>0</v>
      </c>
      <c r="AO170" s="9">
        <f t="shared" si="193"/>
        <v>-5.5437171645025325</v>
      </c>
      <c r="AP170" s="10">
        <f t="shared" si="194"/>
        <v>6.4013331944733718</v>
      </c>
      <c r="AQ170" s="1">
        <f>SUMIFS(
  '[1]Hoja 1'!$M:$M,
  '[1]Hoja 1'!$S:$S, $A170,
  '[1]Hoja 1'!$R:$R, "&gt;="&amp;INT($AS$1),
  '[1]Hoja 1'!$R:$R, "&lt;"&amp;INT($AT$1+1)
)</f>
        <v>0</v>
      </c>
      <c r="AR170" s="1">
        <f t="shared" si="195"/>
        <v>0</v>
      </c>
      <c r="AS170" s="9">
        <f t="shared" si="196"/>
        <v>-3.5061545887196699</v>
      </c>
      <c r="AT170" s="10">
        <f t="shared" si="197"/>
        <v>3.92</v>
      </c>
      <c r="AU170" s="1">
        <f>SUMIFS(
  '[1]Hoja 1'!$M:$M,
  '[1]Hoja 1'!$S:$S, $A170,
  '[1]Hoja 1'!$R:$R, "&gt;="&amp;INT($AW$1),
  '[1]Hoja 1'!$R:$R, "&lt;"&amp;INT($AX$1+1)
)</f>
        <v>0</v>
      </c>
      <c r="AV170" s="1">
        <f t="shared" si="198"/>
        <v>0</v>
      </c>
      <c r="AW170" s="9">
        <f t="shared" si="199"/>
        <v>0</v>
      </c>
      <c r="AX170" s="10">
        <f t="shared" si="200"/>
        <v>0</v>
      </c>
      <c r="AY170" s="1">
        <f>SUMIFS(
  '[1]Hoja 1'!$M:$M,
  '[1]Hoja 1'!$S:$S, $A170,
  '[1]Hoja 1'!$R:$R, "&gt;="&amp;INT($BA$1),
  '[1]Hoja 1'!$R:$R, "&lt;"&amp;INT($BB$1+1)
)</f>
        <v>0</v>
      </c>
      <c r="AZ170" s="1">
        <f t="shared" si="201"/>
        <v>0</v>
      </c>
      <c r="BA170" s="9">
        <f t="shared" si="202"/>
        <v>0</v>
      </c>
      <c r="BB170" s="10">
        <f t="shared" si="203"/>
        <v>0</v>
      </c>
      <c r="BC170" s="1">
        <f>SUMIFS(
  '[1]Hoja 1'!$M:$M,
  '[1]Hoja 1'!$S:$S, $A170,
  '[1]Hoja 1'!$R:$R, "&gt;="&amp;INT($BE$1),
  '[1]Hoja 1'!$R:$R, "&lt;"&amp;INT($BF$1+1)
)</f>
        <v>0</v>
      </c>
      <c r="BD170" s="1">
        <f t="shared" si="204"/>
        <v>0</v>
      </c>
      <c r="BE170" s="9">
        <f t="shared" si="205"/>
        <v>0</v>
      </c>
      <c r="BF170" s="10">
        <f t="shared" si="206"/>
        <v>0</v>
      </c>
      <c r="BG170" s="1">
        <f>SUMIFS(
  '[1]Hoja 1'!$M:$M,
  '[1]Hoja 1'!$S:$S, $A170,
  '[1]Hoja 1'!$R:$R, "&gt;="&amp;INT($BI$1),
  '[1]Hoja 1'!$R:$R, "&lt;"&amp;INT($BJ$1+1)
)</f>
        <v>0</v>
      </c>
      <c r="BH170" s="1">
        <f t="shared" si="207"/>
        <v>0</v>
      </c>
      <c r="BI170" s="9">
        <f t="shared" si="208"/>
        <v>0</v>
      </c>
      <c r="BJ170" s="10">
        <f t="shared" si="209"/>
        <v>0</v>
      </c>
      <c r="BK170" s="1">
        <f>SUMIFS(
  '[1]Hoja 1'!$M:$M,
  '[1]Hoja 1'!$S:$S, $A170,
  '[1]Hoja 1'!$R:$R, "&gt;="&amp;INT($BM$1),
  '[1]Hoja 1'!$R:$R, "&lt;"&amp;INT($BN$1+1)
)</f>
        <v>0</v>
      </c>
      <c r="BL170" s="1">
        <f t="shared" si="210"/>
        <v>0</v>
      </c>
      <c r="BM170" s="9">
        <f t="shared" si="211"/>
        <v>0</v>
      </c>
      <c r="BN170" s="10">
        <f t="shared" si="212"/>
        <v>0</v>
      </c>
      <c r="BO170" s="1">
        <f>SUMIFS(
  '[1]Hoja 1'!$M:$M,
  '[1]Hoja 1'!$S:$S, $A170,
  '[1]Hoja 1'!$R:$R, "&gt;="&amp;INT($BQ$1),
  '[1]Hoja 1'!$R:$R, "&lt;"&amp;INT($BR$1+1)
)</f>
        <v>0</v>
      </c>
      <c r="BP170" s="1">
        <f t="shared" si="213"/>
        <v>0</v>
      </c>
      <c r="BQ170" s="9">
        <f t="shared" si="214"/>
        <v>0</v>
      </c>
      <c r="BR170" s="10">
        <f t="shared" si="215"/>
        <v>0</v>
      </c>
      <c r="BS170" s="1">
        <f>SUMIFS(
  '[1]Hoja 1'!$M:$M,
  '[1]Hoja 1'!$S:$S, $A170,
  '[1]Hoja 1'!$R:$R, "&gt;="&amp;INT($BU$1),
  '[1]Hoja 1'!$R:$R, "&lt;"&amp;INT($BV$1+1)
)</f>
        <v>0</v>
      </c>
      <c r="BT170" s="1">
        <f t="shared" si="216"/>
        <v>0</v>
      </c>
      <c r="BU170" s="9">
        <f t="shared" si="217"/>
        <v>0</v>
      </c>
      <c r="BV170" s="10">
        <f t="shared" si="218"/>
        <v>0</v>
      </c>
      <c r="BW170" s="1">
        <f>SUMIFS(
  '[1]Hoja 1'!$M:$M,
  '[1]Hoja 1'!$S:$S, $A170,
  '[1]Hoja 1'!$R:$R, "&gt;="&amp;INT($BY$1),
  '[1]Hoja 1'!$R:$R, "&lt;"&amp;INT($BZ$1+1)
)</f>
        <v>0</v>
      </c>
      <c r="BX170" s="1">
        <f t="shared" si="219"/>
        <v>0</v>
      </c>
      <c r="BY170" s="9">
        <f t="shared" si="220"/>
        <v>0</v>
      </c>
      <c r="BZ170" s="10">
        <f t="shared" si="221"/>
        <v>0</v>
      </c>
      <c r="CA170" s="1">
        <f>SUMIFS(
  '[1]Hoja 1'!$M:$M,
  '[1]Hoja 1'!$S:$S, $A170,
  '[1]Hoja 1'!$R:$R, "&gt;="&amp;INT($CC$1),
  '[1]Hoja 1'!$R:$R, "&lt;"&amp;INT($CD$1+1)
)</f>
        <v>0</v>
      </c>
      <c r="CB170" s="1">
        <f t="shared" si="222"/>
        <v>0</v>
      </c>
      <c r="CC170" s="9">
        <f t="shared" si="223"/>
        <v>0</v>
      </c>
      <c r="CD170" s="10">
        <f t="shared" si="224"/>
        <v>0</v>
      </c>
      <c r="CE170" s="1">
        <f>SUMIFS(
  '[1]Hoja 1'!$M:$M,
  '[1]Hoja 1'!$S:$S, $A170,
  '[1]Hoja 1'!$R:$R, "&gt;="&amp;INT($CG$1),
  '[1]Hoja 1'!$R:$R, "&lt;"&amp;INT($CH$1+1)
)</f>
        <v>0</v>
      </c>
      <c r="CF170" s="1">
        <f t="shared" si="225"/>
        <v>0</v>
      </c>
      <c r="CG170" s="9">
        <f t="shared" si="226"/>
        <v>0</v>
      </c>
      <c r="CH170" s="10">
        <f t="shared" si="227"/>
        <v>0</v>
      </c>
      <c r="CI170" s="1">
        <f>SUMIFS(
  '[1]Hoja 1'!$M:$M,
  '[1]Hoja 1'!$S:$S, $A170,
  '[1]Hoja 1'!$R:$R, "&gt;="&amp;INT($CK$1),
  '[1]Hoja 1'!$R:$R, "&lt;"&amp;INT($CL$1+1)
)</f>
        <v>0</v>
      </c>
      <c r="CJ170" s="1">
        <f t="shared" si="228"/>
        <v>0</v>
      </c>
      <c r="CK170" s="9">
        <f t="shared" si="229"/>
        <v>0</v>
      </c>
      <c r="CL170" s="10">
        <f t="shared" si="230"/>
        <v>0</v>
      </c>
      <c r="CM170" s="1">
        <f>SUMIFS(
  '[1]Hoja 1'!$M:$M,
  '[1]Hoja 1'!$S:$S, $A170,
  '[1]Hoja 1'!$R:$R, "&gt;="&amp;INT($CO$1),
  '[1]Hoja 1'!$R:$R, "&lt;"&amp;INT($CP$1+1)
)</f>
        <v>0</v>
      </c>
      <c r="CN170" s="1">
        <f t="shared" si="231"/>
        <v>0</v>
      </c>
      <c r="CO170" s="9">
        <f t="shared" si="232"/>
        <v>0</v>
      </c>
      <c r="CP170" s="10">
        <f t="shared" si="233"/>
        <v>0</v>
      </c>
      <c r="CQ170" s="1">
        <f>SUMIFS(
  '[1]Hoja 1'!$M:$M,
  '[1]Hoja 1'!$S:$S, $A170,
  '[1]Hoja 1'!$R:$R, "&gt;="&amp;INT($CS$1),
  '[1]Hoja 1'!$R:$R, "&lt;"&amp;INT($CT$1+1)
)</f>
        <v>0</v>
      </c>
      <c r="CR170" s="1">
        <f t="shared" si="234"/>
        <v>0</v>
      </c>
      <c r="CS170" s="9">
        <f t="shared" si="235"/>
        <v>0</v>
      </c>
      <c r="CT170" s="10">
        <f t="shared" si="236"/>
        <v>0</v>
      </c>
      <c r="CU170" s="1">
        <f>SUMIFS(
  '[1]Hoja 1'!$M:$M,
  '[1]Hoja 1'!$S:$S, $A170,
  '[1]Hoja 1'!$R:$R, "&gt;="&amp;INT($CW$1),
  '[1]Hoja 1'!$R:$R, "&lt;"&amp;INT($CX$1+1)
)</f>
        <v>0</v>
      </c>
      <c r="CV170" s="1">
        <f t="shared" si="237"/>
        <v>0</v>
      </c>
      <c r="CW170" s="9">
        <f t="shared" si="238"/>
        <v>0</v>
      </c>
      <c r="CX170" s="10">
        <f t="shared" si="239"/>
        <v>0</v>
      </c>
      <c r="CY170" s="1">
        <f>SUMIFS(
  '[1]Hoja 1'!$M:$M,
  '[1]Hoja 1'!$S:$S, $A170,
  '[1]Hoja 1'!$R:$R, "&gt;="&amp;INT($DA$1),
  '[1]Hoja 1'!$R:$R, "&lt;"&amp;INT($DB$1+1)
)</f>
        <v>0</v>
      </c>
      <c r="CZ170" s="1">
        <f t="shared" si="240"/>
        <v>0</v>
      </c>
      <c r="DA170" s="9">
        <f t="shared" si="241"/>
        <v>0</v>
      </c>
      <c r="DB170" s="10">
        <f t="shared" si="242"/>
        <v>0</v>
      </c>
      <c r="DC170" s="1">
        <f>SUMIFS(
  '[1]Hoja 1'!$M:$M,
  '[1]Hoja 1'!$S:$S, $A170,
  '[1]Hoja 1'!$R:$R, "&gt;="&amp;INT($DE$1),
  '[1]Hoja 1'!$R:$R, "&lt;"&amp;INT($DF$1+1)
)</f>
        <v>0</v>
      </c>
      <c r="DD170" s="1">
        <f t="shared" si="243"/>
        <v>0</v>
      </c>
      <c r="DE170" s="9">
        <f t="shared" si="244"/>
        <v>0</v>
      </c>
      <c r="DF170" s="10">
        <f t="shared" si="245"/>
        <v>0</v>
      </c>
      <c r="DG170" s="1">
        <f>SUMIFS(
  '[1]Hoja 1'!$M:$M,
  '[1]Hoja 1'!$S:$S, $A170,
  '[1]Hoja 1'!$R:$R, "&gt;="&amp;INT($DI$1),
  '[1]Hoja 1'!$R:$R, "&lt;"&amp;INT($DJ$1+1)
)</f>
        <v>0</v>
      </c>
      <c r="DH170" s="1">
        <f t="shared" si="246"/>
        <v>0</v>
      </c>
      <c r="DI170" s="9">
        <f t="shared" si="247"/>
        <v>0</v>
      </c>
      <c r="DJ170" s="10">
        <f t="shared" si="248"/>
        <v>0</v>
      </c>
      <c r="DK170" s="1">
        <f>SUMIFS(
  '[1]Hoja 1'!$M:$M,
  '[1]Hoja 1'!$S:$S, $A170,
  '[1]Hoja 1'!$R:$R, "&gt;="&amp;INT($DM$1),
  '[1]Hoja 1'!$R:$R, "&lt;"&amp;INT($DN$1+1)
)</f>
        <v>0</v>
      </c>
      <c r="DL170" s="1">
        <f t="shared" si="249"/>
        <v>0</v>
      </c>
      <c r="DM170" s="9">
        <f t="shared" si="250"/>
        <v>0</v>
      </c>
      <c r="DN170" s="10">
        <f t="shared" si="251"/>
        <v>0</v>
      </c>
      <c r="DO170" s="1">
        <f>SUMIFS(
  '[1]Hoja 1'!$M:$M,
  '[1]Hoja 1'!$S:$S, $A170,
  '[1]Hoja 1'!$R:$R, "&gt;="&amp;INT($DQ$1),
  '[1]Hoja 1'!$R:$R, "&lt;"&amp;INT($DR$1+1)
)</f>
        <v>0</v>
      </c>
      <c r="DP170" s="1">
        <f t="shared" si="252"/>
        <v>0</v>
      </c>
      <c r="DQ170" s="9">
        <f t="shared" si="253"/>
        <v>0</v>
      </c>
      <c r="DR170" s="10">
        <f t="shared" si="254"/>
        <v>0</v>
      </c>
    </row>
    <row r="171" spans="1:122" x14ac:dyDescent="0.25">
      <c r="A171" s="5">
        <v>227015</v>
      </c>
      <c r="B171" s="6" t="s">
        <v>8</v>
      </c>
      <c r="C171" s="1">
        <f>SUMIFS(
  '[1]Hoja 1'!$M:$M,
  '[1]Hoja 1'!$S:$S, $A171,
  '[1]Hoja 1'!$R:$R, "&gt;="&amp;INT($E$1),
  '[1]Hoja 1'!$R:$R, "&lt;"&amp;INT($F$1+1)
)</f>
        <v>0</v>
      </c>
      <c r="D171" s="1" t="str">
        <f>""</f>
        <v/>
      </c>
      <c r="F171" s="2"/>
      <c r="G171" s="1">
        <f>SUMIFS(
  '[1]Hoja 1'!$M:$M,
  '[1]Hoja 1'!$S:$S, $A171,
  '[1]Hoja 1'!$R:$R, "&gt;="&amp;INT($I$1),
  '[1]Hoja 1'!$R:$R, "&lt;"&amp;INT($J$1+1)
)</f>
        <v>0</v>
      </c>
      <c r="H171" s="1">
        <f t="shared" si="170"/>
        <v>0</v>
      </c>
      <c r="I171" s="1"/>
      <c r="J171" s="2"/>
      <c r="K171" s="1">
        <f>SUMIFS(
  '[1]Hoja 1'!$M:$M,
  '[1]Hoja 1'!$S:$S, $A171,
  '[1]Hoja 1'!$R:$R, "&gt;="&amp;INT($M$1),
  '[1]Hoja 1'!$R:$R, "&lt;"&amp;INT($N$1+1)
)</f>
        <v>0</v>
      </c>
      <c r="L171" s="1">
        <f t="shared" si="171"/>
        <v>0</v>
      </c>
      <c r="M171" s="9">
        <f t="shared" si="172"/>
        <v>0</v>
      </c>
      <c r="N171" s="10">
        <f t="shared" si="173"/>
        <v>0</v>
      </c>
      <c r="O171" s="1">
        <f>SUMIFS(
  '[1]Hoja 1'!$M:$M,
  '[1]Hoja 1'!$S:$S, $A171,
  '[1]Hoja 1'!$R:$R, "&gt;="&amp;INT($Q$1),
  '[1]Hoja 1'!$R:$R, "&lt;"&amp;INT($R$1+1)
)</f>
        <v>0</v>
      </c>
      <c r="P171" s="1">
        <f t="shared" si="174"/>
        <v>0</v>
      </c>
      <c r="Q171" s="9">
        <f t="shared" si="175"/>
        <v>0</v>
      </c>
      <c r="R171" s="10">
        <f t="shared" si="176"/>
        <v>0</v>
      </c>
      <c r="S171" s="1">
        <f>SUMIFS(
  '[1]Hoja 1'!$M:$M,
  '[1]Hoja 1'!$S:$S, $A171,
  '[1]Hoja 1'!$R:$R, "&gt;="&amp;INT($U$1),
  '[1]Hoja 1'!$R:$R, "&lt;"&amp;INT($V$1+1)
)</f>
        <v>0</v>
      </c>
      <c r="T171" s="1">
        <f t="shared" si="177"/>
        <v>0</v>
      </c>
      <c r="U171" s="9">
        <f t="shared" si="178"/>
        <v>0</v>
      </c>
      <c r="V171" s="10">
        <f t="shared" si="179"/>
        <v>0</v>
      </c>
      <c r="W171" s="1">
        <f>SUMIFS(
  '[1]Hoja 1'!$M:$M,
  '[1]Hoja 1'!$S:$S, $A171,
  '[1]Hoja 1'!$R:$R, "&gt;="&amp;INT($Y$1),
  '[1]Hoja 1'!$R:$R, "&lt;"&amp;INT($Z$1+1)
)</f>
        <v>0</v>
      </c>
      <c r="X171" s="1">
        <f t="shared" si="180"/>
        <v>0</v>
      </c>
      <c r="Y171" s="9">
        <f t="shared" si="181"/>
        <v>0</v>
      </c>
      <c r="Z171" s="10">
        <f t="shared" si="182"/>
        <v>0</v>
      </c>
      <c r="AA171" s="1">
        <f>SUMIFS(
  '[1]Hoja 1'!$M:$M,
  '[1]Hoja 1'!$S:$S, $A171,
  '[1]Hoja 1'!$R:$R, "&gt;="&amp;INT($AC$1),
  '[1]Hoja 1'!$R:$R, "&lt;"&amp;INT($AD$1+1)
)</f>
        <v>0</v>
      </c>
      <c r="AB171" s="1">
        <f t="shared" si="183"/>
        <v>0</v>
      </c>
      <c r="AC171" s="9">
        <f t="shared" si="184"/>
        <v>0</v>
      </c>
      <c r="AD171" s="10">
        <f t="shared" si="185"/>
        <v>0</v>
      </c>
      <c r="AE171" s="1">
        <f>SUMIFS(
  '[1]Hoja 1'!$M:$M,
  '[1]Hoja 1'!$S:$S, $A171,
  '[1]Hoja 1'!$R:$R, "&gt;="&amp;INT($AG$1),
  '[1]Hoja 1'!$R:$R, "&lt;"&amp;INT($AH$1+1)
)</f>
        <v>0</v>
      </c>
      <c r="AF171" s="1">
        <f t="shared" si="186"/>
        <v>0</v>
      </c>
      <c r="AG171" s="9">
        <f t="shared" si="187"/>
        <v>0</v>
      </c>
      <c r="AH171" s="10">
        <f t="shared" si="188"/>
        <v>0</v>
      </c>
      <c r="AI171" s="1">
        <f>SUMIFS(
  '[1]Hoja 1'!$M:$M,
  '[1]Hoja 1'!$S:$S, $A171,
  '[1]Hoja 1'!$R:$R, "&gt;="&amp;INT($AK$1),
  '[1]Hoja 1'!$R:$R, "&lt;"&amp;INT($AL$1+1)
)</f>
        <v>0</v>
      </c>
      <c r="AJ171" s="1">
        <f t="shared" si="189"/>
        <v>0</v>
      </c>
      <c r="AK171" s="9">
        <f t="shared" si="190"/>
        <v>0</v>
      </c>
      <c r="AL171" s="10">
        <f t="shared" si="191"/>
        <v>0</v>
      </c>
      <c r="AM171" s="1">
        <f>SUMIFS(
  '[1]Hoja 1'!$M:$M,
  '[1]Hoja 1'!$S:$S, $A171,
  '[1]Hoja 1'!$R:$R, "&gt;="&amp;INT($AO$1),
  '[1]Hoja 1'!$R:$R, "&lt;"&amp;INT($AP$1+1)
)</f>
        <v>0</v>
      </c>
      <c r="AN171" s="1">
        <f t="shared" si="192"/>
        <v>0</v>
      </c>
      <c r="AO171" s="9">
        <f t="shared" si="193"/>
        <v>0</v>
      </c>
      <c r="AP171" s="10">
        <f t="shared" si="194"/>
        <v>0</v>
      </c>
      <c r="AQ171" s="1">
        <f>SUMIFS(
  '[1]Hoja 1'!$M:$M,
  '[1]Hoja 1'!$S:$S, $A171,
  '[1]Hoja 1'!$R:$R, "&gt;="&amp;INT($AS$1),
  '[1]Hoja 1'!$R:$R, "&lt;"&amp;INT($AT$1+1)
)</f>
        <v>0</v>
      </c>
      <c r="AR171" s="1">
        <f t="shared" si="195"/>
        <v>0</v>
      </c>
      <c r="AS171" s="9">
        <f t="shared" si="196"/>
        <v>0</v>
      </c>
      <c r="AT171" s="10">
        <f t="shared" si="197"/>
        <v>0</v>
      </c>
      <c r="AU171" s="1">
        <f>SUMIFS(
  '[1]Hoja 1'!$M:$M,
  '[1]Hoja 1'!$S:$S, $A171,
  '[1]Hoja 1'!$R:$R, "&gt;="&amp;INT($AW$1),
  '[1]Hoja 1'!$R:$R, "&lt;"&amp;INT($AX$1+1)
)</f>
        <v>0</v>
      </c>
      <c r="AV171" s="1">
        <f t="shared" si="198"/>
        <v>0</v>
      </c>
      <c r="AW171" s="9">
        <f t="shared" si="199"/>
        <v>0</v>
      </c>
      <c r="AX171" s="10">
        <f t="shared" si="200"/>
        <v>0</v>
      </c>
      <c r="AY171" s="1">
        <f>SUMIFS(
  '[1]Hoja 1'!$M:$M,
  '[1]Hoja 1'!$S:$S, $A171,
  '[1]Hoja 1'!$R:$R, "&gt;="&amp;INT($BA$1),
  '[1]Hoja 1'!$R:$R, "&lt;"&amp;INT($BB$1+1)
)</f>
        <v>0</v>
      </c>
      <c r="AZ171" s="1">
        <f t="shared" si="201"/>
        <v>0</v>
      </c>
      <c r="BA171" s="9">
        <f t="shared" si="202"/>
        <v>0</v>
      </c>
      <c r="BB171" s="10">
        <f t="shared" si="203"/>
        <v>0</v>
      </c>
      <c r="BC171" s="1">
        <f>SUMIFS(
  '[1]Hoja 1'!$M:$M,
  '[1]Hoja 1'!$S:$S, $A171,
  '[1]Hoja 1'!$R:$R, "&gt;="&amp;INT($BE$1),
  '[1]Hoja 1'!$R:$R, "&lt;"&amp;INT($BF$1+1)
)</f>
        <v>0</v>
      </c>
      <c r="BD171" s="1">
        <f t="shared" si="204"/>
        <v>0</v>
      </c>
      <c r="BE171" s="9">
        <f t="shared" si="205"/>
        <v>0</v>
      </c>
      <c r="BF171" s="10">
        <f t="shared" si="206"/>
        <v>0</v>
      </c>
      <c r="BG171" s="1">
        <f>SUMIFS(
  '[1]Hoja 1'!$M:$M,
  '[1]Hoja 1'!$S:$S, $A171,
  '[1]Hoja 1'!$R:$R, "&gt;="&amp;INT($BI$1),
  '[1]Hoja 1'!$R:$R, "&lt;"&amp;INT($BJ$1+1)
)</f>
        <v>0</v>
      </c>
      <c r="BH171" s="1">
        <f t="shared" si="207"/>
        <v>0</v>
      </c>
      <c r="BI171" s="9">
        <f t="shared" si="208"/>
        <v>0</v>
      </c>
      <c r="BJ171" s="10">
        <f t="shared" si="209"/>
        <v>0</v>
      </c>
      <c r="BK171" s="1">
        <f>SUMIFS(
  '[1]Hoja 1'!$M:$M,
  '[1]Hoja 1'!$S:$S, $A171,
  '[1]Hoja 1'!$R:$R, "&gt;="&amp;INT($BM$1),
  '[1]Hoja 1'!$R:$R, "&lt;"&amp;INT($BN$1+1)
)</f>
        <v>0</v>
      </c>
      <c r="BL171" s="1">
        <f t="shared" si="210"/>
        <v>0</v>
      </c>
      <c r="BM171" s="9">
        <f t="shared" si="211"/>
        <v>0</v>
      </c>
      <c r="BN171" s="10">
        <f t="shared" si="212"/>
        <v>0</v>
      </c>
      <c r="BO171" s="1">
        <f>SUMIFS(
  '[1]Hoja 1'!$M:$M,
  '[1]Hoja 1'!$S:$S, $A171,
  '[1]Hoja 1'!$R:$R, "&gt;="&amp;INT($BQ$1),
  '[1]Hoja 1'!$R:$R, "&lt;"&amp;INT($BR$1+1)
)</f>
        <v>0</v>
      </c>
      <c r="BP171" s="1">
        <f t="shared" si="213"/>
        <v>0</v>
      </c>
      <c r="BQ171" s="9">
        <f t="shared" si="214"/>
        <v>0</v>
      </c>
      <c r="BR171" s="10">
        <f t="shared" si="215"/>
        <v>0</v>
      </c>
      <c r="BS171" s="1">
        <f>SUMIFS(
  '[1]Hoja 1'!$M:$M,
  '[1]Hoja 1'!$S:$S, $A171,
  '[1]Hoja 1'!$R:$R, "&gt;="&amp;INT($BU$1),
  '[1]Hoja 1'!$R:$R, "&lt;"&amp;INT($BV$1+1)
)</f>
        <v>0</v>
      </c>
      <c r="BT171" s="1">
        <f t="shared" si="216"/>
        <v>0</v>
      </c>
      <c r="BU171" s="9">
        <f t="shared" si="217"/>
        <v>0</v>
      </c>
      <c r="BV171" s="10">
        <f t="shared" si="218"/>
        <v>0</v>
      </c>
      <c r="BW171" s="1">
        <f>SUMIFS(
  '[1]Hoja 1'!$M:$M,
  '[1]Hoja 1'!$S:$S, $A171,
  '[1]Hoja 1'!$R:$R, "&gt;="&amp;INT($BY$1),
  '[1]Hoja 1'!$R:$R, "&lt;"&amp;INT($BZ$1+1)
)</f>
        <v>0</v>
      </c>
      <c r="BX171" s="1">
        <f t="shared" si="219"/>
        <v>0</v>
      </c>
      <c r="BY171" s="9">
        <f t="shared" si="220"/>
        <v>0</v>
      </c>
      <c r="BZ171" s="10">
        <f t="shared" si="221"/>
        <v>0</v>
      </c>
      <c r="CA171" s="1">
        <f>SUMIFS(
  '[1]Hoja 1'!$M:$M,
  '[1]Hoja 1'!$S:$S, $A171,
  '[1]Hoja 1'!$R:$R, "&gt;="&amp;INT($CC$1),
  '[1]Hoja 1'!$R:$R, "&lt;"&amp;INT($CD$1+1)
)</f>
        <v>0</v>
      </c>
      <c r="CB171" s="1">
        <f t="shared" si="222"/>
        <v>0</v>
      </c>
      <c r="CC171" s="9">
        <f t="shared" si="223"/>
        <v>0</v>
      </c>
      <c r="CD171" s="10">
        <f t="shared" si="224"/>
        <v>0</v>
      </c>
      <c r="CE171" s="1">
        <f>SUMIFS(
  '[1]Hoja 1'!$M:$M,
  '[1]Hoja 1'!$S:$S, $A171,
  '[1]Hoja 1'!$R:$R, "&gt;="&amp;INT($CG$1),
  '[1]Hoja 1'!$R:$R, "&lt;"&amp;INT($CH$1+1)
)</f>
        <v>0</v>
      </c>
      <c r="CF171" s="1">
        <f t="shared" si="225"/>
        <v>0</v>
      </c>
      <c r="CG171" s="9">
        <f t="shared" si="226"/>
        <v>0</v>
      </c>
      <c r="CH171" s="10">
        <f t="shared" si="227"/>
        <v>0</v>
      </c>
      <c r="CI171" s="1">
        <f>SUMIFS(
  '[1]Hoja 1'!$M:$M,
  '[1]Hoja 1'!$S:$S, $A171,
  '[1]Hoja 1'!$R:$R, "&gt;="&amp;INT($CK$1),
  '[1]Hoja 1'!$R:$R, "&lt;"&amp;INT($CL$1+1)
)</f>
        <v>0</v>
      </c>
      <c r="CJ171" s="1">
        <f t="shared" si="228"/>
        <v>0</v>
      </c>
      <c r="CK171" s="9">
        <f t="shared" si="229"/>
        <v>0</v>
      </c>
      <c r="CL171" s="10">
        <f t="shared" si="230"/>
        <v>0</v>
      </c>
      <c r="CM171" s="1">
        <f>SUMIFS(
  '[1]Hoja 1'!$M:$M,
  '[1]Hoja 1'!$S:$S, $A171,
  '[1]Hoja 1'!$R:$R, "&gt;="&amp;INT($CO$1),
  '[1]Hoja 1'!$R:$R, "&lt;"&amp;INT($CP$1+1)
)</f>
        <v>0</v>
      </c>
      <c r="CN171" s="1">
        <f t="shared" si="231"/>
        <v>0</v>
      </c>
      <c r="CO171" s="9">
        <f t="shared" si="232"/>
        <v>0</v>
      </c>
      <c r="CP171" s="10">
        <f t="shared" si="233"/>
        <v>0</v>
      </c>
      <c r="CQ171" s="1">
        <f>SUMIFS(
  '[1]Hoja 1'!$M:$M,
  '[1]Hoja 1'!$S:$S, $A171,
  '[1]Hoja 1'!$R:$R, "&gt;="&amp;INT($CS$1),
  '[1]Hoja 1'!$R:$R, "&lt;"&amp;INT($CT$1+1)
)</f>
        <v>0</v>
      </c>
      <c r="CR171" s="1">
        <f t="shared" si="234"/>
        <v>0</v>
      </c>
      <c r="CS171" s="9">
        <f t="shared" si="235"/>
        <v>0</v>
      </c>
      <c r="CT171" s="10">
        <f t="shared" si="236"/>
        <v>0</v>
      </c>
      <c r="CU171" s="1">
        <f>SUMIFS(
  '[1]Hoja 1'!$M:$M,
  '[1]Hoja 1'!$S:$S, $A171,
  '[1]Hoja 1'!$R:$R, "&gt;="&amp;INT($CW$1),
  '[1]Hoja 1'!$R:$R, "&lt;"&amp;INT($CX$1+1)
)</f>
        <v>0</v>
      </c>
      <c r="CV171" s="1">
        <f t="shared" si="237"/>
        <v>0</v>
      </c>
      <c r="CW171" s="9">
        <f t="shared" si="238"/>
        <v>0</v>
      </c>
      <c r="CX171" s="10">
        <f t="shared" si="239"/>
        <v>0</v>
      </c>
      <c r="CY171" s="1">
        <f>SUMIFS(
  '[1]Hoja 1'!$M:$M,
  '[1]Hoja 1'!$S:$S, $A171,
  '[1]Hoja 1'!$R:$R, "&gt;="&amp;INT($DA$1),
  '[1]Hoja 1'!$R:$R, "&lt;"&amp;INT($DB$1+1)
)</f>
        <v>0</v>
      </c>
      <c r="CZ171" s="1">
        <f t="shared" si="240"/>
        <v>0</v>
      </c>
      <c r="DA171" s="9">
        <f t="shared" si="241"/>
        <v>0</v>
      </c>
      <c r="DB171" s="10">
        <f t="shared" si="242"/>
        <v>0</v>
      </c>
      <c r="DC171" s="1">
        <f>SUMIFS(
  '[1]Hoja 1'!$M:$M,
  '[1]Hoja 1'!$S:$S, $A171,
  '[1]Hoja 1'!$R:$R, "&gt;="&amp;INT($DE$1),
  '[1]Hoja 1'!$R:$R, "&lt;"&amp;INT($DF$1+1)
)</f>
        <v>0</v>
      </c>
      <c r="DD171" s="1">
        <f t="shared" si="243"/>
        <v>0</v>
      </c>
      <c r="DE171" s="9">
        <f t="shared" si="244"/>
        <v>0</v>
      </c>
      <c r="DF171" s="10">
        <f t="shared" si="245"/>
        <v>0</v>
      </c>
      <c r="DG171" s="1">
        <f>SUMIFS(
  '[1]Hoja 1'!$M:$M,
  '[1]Hoja 1'!$S:$S, $A171,
  '[1]Hoja 1'!$R:$R, "&gt;="&amp;INT($DI$1),
  '[1]Hoja 1'!$R:$R, "&lt;"&amp;INT($DJ$1+1)
)</f>
        <v>0</v>
      </c>
      <c r="DH171" s="1">
        <f t="shared" si="246"/>
        <v>0</v>
      </c>
      <c r="DI171" s="9">
        <f t="shared" si="247"/>
        <v>0</v>
      </c>
      <c r="DJ171" s="10">
        <f t="shared" si="248"/>
        <v>0</v>
      </c>
      <c r="DK171" s="1">
        <f>SUMIFS(
  '[1]Hoja 1'!$M:$M,
  '[1]Hoja 1'!$S:$S, $A171,
  '[1]Hoja 1'!$R:$R, "&gt;="&amp;INT($DM$1),
  '[1]Hoja 1'!$R:$R, "&lt;"&amp;INT($DN$1+1)
)</f>
        <v>0</v>
      </c>
      <c r="DL171" s="1">
        <f t="shared" si="249"/>
        <v>0</v>
      </c>
      <c r="DM171" s="9">
        <f t="shared" si="250"/>
        <v>0</v>
      </c>
      <c r="DN171" s="10">
        <f t="shared" si="251"/>
        <v>0</v>
      </c>
      <c r="DO171" s="1">
        <f>SUMIFS(
  '[1]Hoja 1'!$M:$M,
  '[1]Hoja 1'!$S:$S, $A171,
  '[1]Hoja 1'!$R:$R, "&gt;="&amp;INT($DQ$1),
  '[1]Hoja 1'!$R:$R, "&lt;"&amp;INT($DR$1+1)
)</f>
        <v>0</v>
      </c>
      <c r="DP171" s="1">
        <f t="shared" si="252"/>
        <v>0</v>
      </c>
      <c r="DQ171" s="9">
        <f t="shared" si="253"/>
        <v>0</v>
      </c>
      <c r="DR171" s="10">
        <f t="shared" si="254"/>
        <v>0</v>
      </c>
    </row>
    <row r="172" spans="1:122" x14ac:dyDescent="0.25">
      <c r="A172" s="5">
        <v>228001</v>
      </c>
      <c r="B172" s="6" t="s">
        <v>9</v>
      </c>
      <c r="C172" s="1">
        <f>SUMIFS(
  '[1]Hoja 1'!$M:$M,
  '[1]Hoja 1'!$S:$S, $A172,
  '[1]Hoja 1'!$R:$R, "&gt;="&amp;INT($E$1),
  '[1]Hoja 1'!$R:$R, "&lt;"&amp;INT($F$1+1)
)</f>
        <v>213</v>
      </c>
      <c r="D172" s="1" t="str">
        <f>""</f>
        <v/>
      </c>
      <c r="F172" s="2"/>
      <c r="G172" s="1">
        <f>SUMIFS(
  '[1]Hoja 1'!$M:$M,
  '[1]Hoja 1'!$S:$S, $A172,
  '[1]Hoja 1'!$R:$R, "&gt;="&amp;INT($I$1),
  '[1]Hoja 1'!$R:$R, "&lt;"&amp;INT($J$1+1)
)</f>
        <v>297</v>
      </c>
      <c r="H172" s="1">
        <f t="shared" si="170"/>
        <v>255</v>
      </c>
      <c r="I172" s="1"/>
      <c r="J172" s="2"/>
      <c r="K172" s="1">
        <f>SUMIFS(
  '[1]Hoja 1'!$M:$M,
  '[1]Hoja 1'!$S:$S, $A172,
  '[1]Hoja 1'!$R:$R, "&gt;="&amp;INT($M$1),
  '[1]Hoja 1'!$R:$R, "&lt;"&amp;INT($N$1+1)
)</f>
        <v>271</v>
      </c>
      <c r="L172" s="1">
        <f t="shared" si="171"/>
        <v>284</v>
      </c>
      <c r="M172" s="9">
        <f t="shared" si="172"/>
        <v>207.77388898809016</v>
      </c>
      <c r="N172" s="10">
        <f t="shared" si="173"/>
        <v>360.22611101190984</v>
      </c>
      <c r="O172" s="1">
        <f>SUMIFS(
  '[1]Hoja 1'!$M:$M,
  '[1]Hoja 1'!$S:$S, $A172,
  '[1]Hoja 1'!$R:$R, "&gt;="&amp;INT($Q$1),
  '[1]Hoja 1'!$R:$R, "&lt;"&amp;INT($R$1+1)
)</f>
        <v>173</v>
      </c>
      <c r="P172" s="1">
        <f t="shared" si="174"/>
        <v>222</v>
      </c>
      <c r="Q172" s="9">
        <f t="shared" si="175"/>
        <v>194.17438821063706</v>
      </c>
      <c r="R172" s="10">
        <f t="shared" si="176"/>
        <v>373.82561178936294</v>
      </c>
      <c r="S172" s="1">
        <f>SUMIFS(
  '[1]Hoja 1'!$M:$M,
  '[1]Hoja 1'!$S:$S, $A172,
  '[1]Hoja 1'!$R:$R, "&gt;="&amp;INT($U$1),
  '[1]Hoja 1'!$R:$R, "&lt;"&amp;INT($V$1+1)
)</f>
        <v>265</v>
      </c>
      <c r="T172" s="1">
        <f t="shared" si="177"/>
        <v>219</v>
      </c>
      <c r="U172" s="9">
        <f t="shared" si="178"/>
        <v>129.317059221574</v>
      </c>
      <c r="V172" s="10">
        <f t="shared" si="179"/>
        <v>308.68294077842597</v>
      </c>
      <c r="W172" s="1">
        <f>SUMIFS(
  '[1]Hoja 1'!$M:$M,
  '[1]Hoja 1'!$S:$S, $A172,
  '[1]Hoja 1'!$R:$R, "&gt;="&amp;INT($Y$1),
  '[1]Hoja 1'!$R:$R, "&lt;"&amp;INT($Z$1+1)
)</f>
        <v>187</v>
      </c>
      <c r="X172" s="1">
        <f t="shared" si="180"/>
        <v>226</v>
      </c>
      <c r="Y172" s="9">
        <f t="shared" si="181"/>
        <v>142.45440127291764</v>
      </c>
      <c r="Z172" s="10">
        <f t="shared" si="182"/>
        <v>309.54559872708239</v>
      </c>
      <c r="AA172" s="1">
        <f>SUMIFS(
  '[1]Hoja 1'!$M:$M,
  '[1]Hoja 1'!$S:$S, $A172,
  '[1]Hoja 1'!$R:$R, "&gt;="&amp;INT($AC$1),
  '[1]Hoja 1'!$R:$R, "&lt;"&amp;INT($AD$1+1)
)</f>
        <v>286</v>
      </c>
      <c r="AB172" s="1">
        <f t="shared" si="183"/>
        <v>237</v>
      </c>
      <c r="AC172" s="9">
        <f t="shared" si="184"/>
        <v>146.7707874355539</v>
      </c>
      <c r="AD172" s="10">
        <f t="shared" si="185"/>
        <v>341.17043518516499</v>
      </c>
      <c r="AE172" s="1">
        <f>SUMIFS(
  '[1]Hoja 1'!$M:$M,
  '[1]Hoja 1'!$S:$S, $A172,
  '[1]Hoja 1'!$R:$R, "&gt;="&amp;INT($AG$1),
  '[1]Hoja 1'!$R:$R, "&lt;"&amp;INT($AH$1+1)
)</f>
        <v>0</v>
      </c>
      <c r="AF172" s="1">
        <f t="shared" si="186"/>
        <v>143</v>
      </c>
      <c r="AG172" s="9">
        <f t="shared" si="187"/>
        <v>-12.074897775236309</v>
      </c>
      <c r="AH172" s="10">
        <f t="shared" si="188"/>
        <v>320.72235378064664</v>
      </c>
      <c r="AI172" s="1">
        <f>SUMIFS(
  '[1]Hoja 1'!$M:$M,
  '[1]Hoja 1'!$S:$S, $A172,
  '[1]Hoja 1'!$R:$R, "&gt;="&amp;INT($AK$1),
  '[1]Hoja 1'!$R:$R, "&lt;"&amp;INT($AL$1+1)
)</f>
        <v>0</v>
      </c>
      <c r="AJ172" s="1">
        <f t="shared" si="189"/>
        <v>0</v>
      </c>
      <c r="AK172" s="9">
        <f t="shared" si="190"/>
        <v>-141.7074578136239</v>
      </c>
      <c r="AL172" s="10">
        <f t="shared" si="191"/>
        <v>160.15805724346185</v>
      </c>
      <c r="AM172" s="1">
        <f>SUMIFS(
  '[1]Hoja 1'!$M:$M,
  '[1]Hoja 1'!$S:$S, $A172,
  '[1]Hoja 1'!$R:$R, "&gt;="&amp;INT($AO$1),
  '[1]Hoja 1'!$R:$R, "&lt;"&amp;INT($AP$1+1)
)</f>
        <v>0</v>
      </c>
      <c r="AN172" s="1">
        <f t="shared" si="192"/>
        <v>0</v>
      </c>
      <c r="AO172" s="9">
        <f t="shared" si="193"/>
        <v>-142.52448323007525</v>
      </c>
      <c r="AP172" s="10">
        <f t="shared" si="194"/>
        <v>162.863646342577</v>
      </c>
      <c r="AQ172" s="1">
        <f>SUMIFS(
  '[1]Hoja 1'!$M:$M,
  '[1]Hoja 1'!$S:$S, $A172,
  '[1]Hoja 1'!$R:$R, "&gt;="&amp;INT($AS$1),
  '[1]Hoja 1'!$R:$R, "&lt;"&amp;INT($AT$1+1)
)</f>
        <v>0</v>
      </c>
      <c r="AR172" s="1">
        <f t="shared" si="195"/>
        <v>0</v>
      </c>
      <c r="AS172" s="9">
        <f t="shared" si="196"/>
        <v>-125.34502654672821</v>
      </c>
      <c r="AT172" s="10">
        <f t="shared" si="197"/>
        <v>140.13999999999999</v>
      </c>
      <c r="AU172" s="1">
        <f>SUMIFS(
  '[1]Hoja 1'!$M:$M,
  '[1]Hoja 1'!$S:$S, $A172,
  '[1]Hoja 1'!$R:$R, "&gt;="&amp;INT($AW$1),
  '[1]Hoja 1'!$R:$R, "&lt;"&amp;INT($AX$1+1)
)</f>
        <v>0</v>
      </c>
      <c r="AV172" s="1">
        <f t="shared" si="198"/>
        <v>0</v>
      </c>
      <c r="AW172" s="9">
        <f t="shared" si="199"/>
        <v>0</v>
      </c>
      <c r="AX172" s="10">
        <f t="shared" si="200"/>
        <v>0</v>
      </c>
      <c r="AY172" s="1">
        <f>SUMIFS(
  '[1]Hoja 1'!$M:$M,
  '[1]Hoja 1'!$S:$S, $A172,
  '[1]Hoja 1'!$R:$R, "&gt;="&amp;INT($BA$1),
  '[1]Hoja 1'!$R:$R, "&lt;"&amp;INT($BB$1+1)
)</f>
        <v>0</v>
      </c>
      <c r="AZ172" s="1">
        <f t="shared" si="201"/>
        <v>0</v>
      </c>
      <c r="BA172" s="9">
        <f t="shared" si="202"/>
        <v>0</v>
      </c>
      <c r="BB172" s="10">
        <f t="shared" si="203"/>
        <v>0</v>
      </c>
      <c r="BC172" s="1">
        <f>SUMIFS(
  '[1]Hoja 1'!$M:$M,
  '[1]Hoja 1'!$S:$S, $A172,
  '[1]Hoja 1'!$R:$R, "&gt;="&amp;INT($BE$1),
  '[1]Hoja 1'!$R:$R, "&lt;"&amp;INT($BF$1+1)
)</f>
        <v>0</v>
      </c>
      <c r="BD172" s="1">
        <f t="shared" si="204"/>
        <v>0</v>
      </c>
      <c r="BE172" s="9">
        <f t="shared" si="205"/>
        <v>0</v>
      </c>
      <c r="BF172" s="10">
        <f t="shared" si="206"/>
        <v>0</v>
      </c>
      <c r="BG172" s="1">
        <f>SUMIFS(
  '[1]Hoja 1'!$M:$M,
  '[1]Hoja 1'!$S:$S, $A172,
  '[1]Hoja 1'!$R:$R, "&gt;="&amp;INT($BI$1),
  '[1]Hoja 1'!$R:$R, "&lt;"&amp;INT($BJ$1+1)
)</f>
        <v>0</v>
      </c>
      <c r="BH172" s="1">
        <f t="shared" si="207"/>
        <v>0</v>
      </c>
      <c r="BI172" s="9">
        <f t="shared" si="208"/>
        <v>0</v>
      </c>
      <c r="BJ172" s="10">
        <f t="shared" si="209"/>
        <v>0</v>
      </c>
      <c r="BK172" s="1">
        <f>SUMIFS(
  '[1]Hoja 1'!$M:$M,
  '[1]Hoja 1'!$S:$S, $A172,
  '[1]Hoja 1'!$R:$R, "&gt;="&amp;INT($BM$1),
  '[1]Hoja 1'!$R:$R, "&lt;"&amp;INT($BN$1+1)
)</f>
        <v>0</v>
      </c>
      <c r="BL172" s="1">
        <f t="shared" si="210"/>
        <v>0</v>
      </c>
      <c r="BM172" s="9">
        <f t="shared" si="211"/>
        <v>0</v>
      </c>
      <c r="BN172" s="10">
        <f t="shared" si="212"/>
        <v>0</v>
      </c>
      <c r="BO172" s="1">
        <f>SUMIFS(
  '[1]Hoja 1'!$M:$M,
  '[1]Hoja 1'!$S:$S, $A172,
  '[1]Hoja 1'!$R:$R, "&gt;="&amp;INT($BQ$1),
  '[1]Hoja 1'!$R:$R, "&lt;"&amp;INT($BR$1+1)
)</f>
        <v>0</v>
      </c>
      <c r="BP172" s="1">
        <f t="shared" si="213"/>
        <v>0</v>
      </c>
      <c r="BQ172" s="9">
        <f t="shared" si="214"/>
        <v>0</v>
      </c>
      <c r="BR172" s="10">
        <f t="shared" si="215"/>
        <v>0</v>
      </c>
      <c r="BS172" s="1">
        <f>SUMIFS(
  '[1]Hoja 1'!$M:$M,
  '[1]Hoja 1'!$S:$S, $A172,
  '[1]Hoja 1'!$R:$R, "&gt;="&amp;INT($BU$1),
  '[1]Hoja 1'!$R:$R, "&lt;"&amp;INT($BV$1+1)
)</f>
        <v>0</v>
      </c>
      <c r="BT172" s="1">
        <f t="shared" si="216"/>
        <v>0</v>
      </c>
      <c r="BU172" s="9">
        <f t="shared" si="217"/>
        <v>0</v>
      </c>
      <c r="BV172" s="10">
        <f t="shared" si="218"/>
        <v>0</v>
      </c>
      <c r="BW172" s="1">
        <f>SUMIFS(
  '[1]Hoja 1'!$M:$M,
  '[1]Hoja 1'!$S:$S, $A172,
  '[1]Hoja 1'!$R:$R, "&gt;="&amp;INT($BY$1),
  '[1]Hoja 1'!$R:$R, "&lt;"&amp;INT($BZ$1+1)
)</f>
        <v>0</v>
      </c>
      <c r="BX172" s="1">
        <f t="shared" si="219"/>
        <v>0</v>
      </c>
      <c r="BY172" s="9">
        <f t="shared" si="220"/>
        <v>0</v>
      </c>
      <c r="BZ172" s="10">
        <f t="shared" si="221"/>
        <v>0</v>
      </c>
      <c r="CA172" s="1">
        <f>SUMIFS(
  '[1]Hoja 1'!$M:$M,
  '[1]Hoja 1'!$S:$S, $A172,
  '[1]Hoja 1'!$R:$R, "&gt;="&amp;INT($CC$1),
  '[1]Hoja 1'!$R:$R, "&lt;"&amp;INT($CD$1+1)
)</f>
        <v>0</v>
      </c>
      <c r="CB172" s="1">
        <f t="shared" si="222"/>
        <v>0</v>
      </c>
      <c r="CC172" s="9">
        <f t="shared" si="223"/>
        <v>0</v>
      </c>
      <c r="CD172" s="10">
        <f t="shared" si="224"/>
        <v>0</v>
      </c>
      <c r="CE172" s="1">
        <f>SUMIFS(
  '[1]Hoja 1'!$M:$M,
  '[1]Hoja 1'!$S:$S, $A172,
  '[1]Hoja 1'!$R:$R, "&gt;="&amp;INT($CG$1),
  '[1]Hoja 1'!$R:$R, "&lt;"&amp;INT($CH$1+1)
)</f>
        <v>0</v>
      </c>
      <c r="CF172" s="1">
        <f t="shared" si="225"/>
        <v>0</v>
      </c>
      <c r="CG172" s="9">
        <f t="shared" si="226"/>
        <v>0</v>
      </c>
      <c r="CH172" s="10">
        <f t="shared" si="227"/>
        <v>0</v>
      </c>
      <c r="CI172" s="1">
        <f>SUMIFS(
  '[1]Hoja 1'!$M:$M,
  '[1]Hoja 1'!$S:$S, $A172,
  '[1]Hoja 1'!$R:$R, "&gt;="&amp;INT($CK$1),
  '[1]Hoja 1'!$R:$R, "&lt;"&amp;INT($CL$1+1)
)</f>
        <v>0</v>
      </c>
      <c r="CJ172" s="1">
        <f t="shared" si="228"/>
        <v>0</v>
      </c>
      <c r="CK172" s="9">
        <f t="shared" si="229"/>
        <v>0</v>
      </c>
      <c r="CL172" s="10">
        <f t="shared" si="230"/>
        <v>0</v>
      </c>
      <c r="CM172" s="1">
        <f>SUMIFS(
  '[1]Hoja 1'!$M:$M,
  '[1]Hoja 1'!$S:$S, $A172,
  '[1]Hoja 1'!$R:$R, "&gt;="&amp;INT($CO$1),
  '[1]Hoja 1'!$R:$R, "&lt;"&amp;INT($CP$1+1)
)</f>
        <v>0</v>
      </c>
      <c r="CN172" s="1">
        <f t="shared" si="231"/>
        <v>0</v>
      </c>
      <c r="CO172" s="9">
        <f t="shared" si="232"/>
        <v>0</v>
      </c>
      <c r="CP172" s="10">
        <f t="shared" si="233"/>
        <v>0</v>
      </c>
      <c r="CQ172" s="1">
        <f>SUMIFS(
  '[1]Hoja 1'!$M:$M,
  '[1]Hoja 1'!$S:$S, $A172,
  '[1]Hoja 1'!$R:$R, "&gt;="&amp;INT($CS$1),
  '[1]Hoja 1'!$R:$R, "&lt;"&amp;INT($CT$1+1)
)</f>
        <v>0</v>
      </c>
      <c r="CR172" s="1">
        <f t="shared" si="234"/>
        <v>0</v>
      </c>
      <c r="CS172" s="9">
        <f t="shared" si="235"/>
        <v>0</v>
      </c>
      <c r="CT172" s="10">
        <f t="shared" si="236"/>
        <v>0</v>
      </c>
      <c r="CU172" s="1">
        <f>SUMIFS(
  '[1]Hoja 1'!$M:$M,
  '[1]Hoja 1'!$S:$S, $A172,
  '[1]Hoja 1'!$R:$R, "&gt;="&amp;INT($CW$1),
  '[1]Hoja 1'!$R:$R, "&lt;"&amp;INT($CX$1+1)
)</f>
        <v>0</v>
      </c>
      <c r="CV172" s="1">
        <f t="shared" si="237"/>
        <v>0</v>
      </c>
      <c r="CW172" s="9">
        <f t="shared" si="238"/>
        <v>0</v>
      </c>
      <c r="CX172" s="10">
        <f t="shared" si="239"/>
        <v>0</v>
      </c>
      <c r="CY172" s="1">
        <f>SUMIFS(
  '[1]Hoja 1'!$M:$M,
  '[1]Hoja 1'!$S:$S, $A172,
  '[1]Hoja 1'!$R:$R, "&gt;="&amp;INT($DA$1),
  '[1]Hoja 1'!$R:$R, "&lt;"&amp;INT($DB$1+1)
)</f>
        <v>0</v>
      </c>
      <c r="CZ172" s="1">
        <f t="shared" si="240"/>
        <v>0</v>
      </c>
      <c r="DA172" s="9">
        <f t="shared" si="241"/>
        <v>0</v>
      </c>
      <c r="DB172" s="10">
        <f t="shared" si="242"/>
        <v>0</v>
      </c>
      <c r="DC172" s="1">
        <f>SUMIFS(
  '[1]Hoja 1'!$M:$M,
  '[1]Hoja 1'!$S:$S, $A172,
  '[1]Hoja 1'!$R:$R, "&gt;="&amp;INT($DE$1),
  '[1]Hoja 1'!$R:$R, "&lt;"&amp;INT($DF$1+1)
)</f>
        <v>0</v>
      </c>
      <c r="DD172" s="1">
        <f t="shared" si="243"/>
        <v>0</v>
      </c>
      <c r="DE172" s="9">
        <f t="shared" si="244"/>
        <v>0</v>
      </c>
      <c r="DF172" s="10">
        <f t="shared" si="245"/>
        <v>0</v>
      </c>
      <c r="DG172" s="1">
        <f>SUMIFS(
  '[1]Hoja 1'!$M:$M,
  '[1]Hoja 1'!$S:$S, $A172,
  '[1]Hoja 1'!$R:$R, "&gt;="&amp;INT($DI$1),
  '[1]Hoja 1'!$R:$R, "&lt;"&amp;INT($DJ$1+1)
)</f>
        <v>0</v>
      </c>
      <c r="DH172" s="1">
        <f t="shared" si="246"/>
        <v>0</v>
      </c>
      <c r="DI172" s="9">
        <f t="shared" si="247"/>
        <v>0</v>
      </c>
      <c r="DJ172" s="10">
        <f t="shared" si="248"/>
        <v>0</v>
      </c>
      <c r="DK172" s="1">
        <f>SUMIFS(
  '[1]Hoja 1'!$M:$M,
  '[1]Hoja 1'!$S:$S, $A172,
  '[1]Hoja 1'!$R:$R, "&gt;="&amp;INT($DM$1),
  '[1]Hoja 1'!$R:$R, "&lt;"&amp;INT($DN$1+1)
)</f>
        <v>0</v>
      </c>
      <c r="DL172" s="1">
        <f t="shared" si="249"/>
        <v>0</v>
      </c>
      <c r="DM172" s="9">
        <f t="shared" si="250"/>
        <v>0</v>
      </c>
      <c r="DN172" s="10">
        <f t="shared" si="251"/>
        <v>0</v>
      </c>
      <c r="DO172" s="1">
        <f>SUMIFS(
  '[1]Hoja 1'!$M:$M,
  '[1]Hoja 1'!$S:$S, $A172,
  '[1]Hoja 1'!$R:$R, "&gt;="&amp;INT($DQ$1),
  '[1]Hoja 1'!$R:$R, "&lt;"&amp;INT($DR$1+1)
)</f>
        <v>0</v>
      </c>
      <c r="DP172" s="1">
        <f t="shared" si="252"/>
        <v>0</v>
      </c>
      <c r="DQ172" s="9">
        <f t="shared" si="253"/>
        <v>0</v>
      </c>
      <c r="DR172" s="10">
        <f t="shared" si="254"/>
        <v>0</v>
      </c>
    </row>
    <row r="173" spans="1:122" x14ac:dyDescent="0.25">
      <c r="A173" s="5">
        <v>228020</v>
      </c>
      <c r="B173" s="6" t="s">
        <v>169</v>
      </c>
      <c r="C173" s="1">
        <f>SUMIFS(
  '[1]Hoja 1'!$M:$M,
  '[1]Hoja 1'!$S:$S, $A173,
  '[1]Hoja 1'!$R:$R, "&gt;="&amp;INT($E$1),
  '[1]Hoja 1'!$R:$R, "&lt;"&amp;INT($F$1+1)
)</f>
        <v>0</v>
      </c>
      <c r="D173" s="1" t="str">
        <f>""</f>
        <v/>
      </c>
      <c r="F173" s="2"/>
      <c r="G173" s="1">
        <f>SUMIFS(
  '[1]Hoja 1'!$M:$M,
  '[1]Hoja 1'!$S:$S, $A173,
  '[1]Hoja 1'!$R:$R, "&gt;="&amp;INT($I$1),
  '[1]Hoja 1'!$R:$R, "&lt;"&amp;INT($J$1+1)
)</f>
        <v>0</v>
      </c>
      <c r="H173" s="1">
        <f t="shared" si="170"/>
        <v>0</v>
      </c>
      <c r="I173" s="1"/>
      <c r="J173" s="2"/>
      <c r="K173" s="1">
        <f>SUMIFS(
  '[1]Hoja 1'!$M:$M,
  '[1]Hoja 1'!$S:$S, $A173,
  '[1]Hoja 1'!$R:$R, "&gt;="&amp;INT($M$1),
  '[1]Hoja 1'!$R:$R, "&lt;"&amp;INT($N$1+1)
)</f>
        <v>0</v>
      </c>
      <c r="L173" s="1">
        <f t="shared" si="171"/>
        <v>0</v>
      </c>
      <c r="M173" s="9">
        <f t="shared" si="172"/>
        <v>0</v>
      </c>
      <c r="N173" s="10">
        <f t="shared" si="173"/>
        <v>0</v>
      </c>
      <c r="O173" s="1">
        <f>SUMIFS(
  '[1]Hoja 1'!$M:$M,
  '[1]Hoja 1'!$S:$S, $A173,
  '[1]Hoja 1'!$R:$R, "&gt;="&amp;INT($Q$1),
  '[1]Hoja 1'!$R:$R, "&lt;"&amp;INT($R$1+1)
)</f>
        <v>0</v>
      </c>
      <c r="P173" s="1">
        <f t="shared" si="174"/>
        <v>0</v>
      </c>
      <c r="Q173" s="9">
        <f t="shared" si="175"/>
        <v>0</v>
      </c>
      <c r="R173" s="10">
        <f t="shared" si="176"/>
        <v>0</v>
      </c>
      <c r="S173" s="1">
        <f>SUMIFS(
  '[1]Hoja 1'!$M:$M,
  '[1]Hoja 1'!$S:$S, $A173,
  '[1]Hoja 1'!$R:$R, "&gt;="&amp;INT($U$1),
  '[1]Hoja 1'!$R:$R, "&lt;"&amp;INT($V$1+1)
)</f>
        <v>0</v>
      </c>
      <c r="T173" s="1">
        <f t="shared" si="177"/>
        <v>0</v>
      </c>
      <c r="U173" s="9">
        <f t="shared" si="178"/>
        <v>0</v>
      </c>
      <c r="V173" s="10">
        <f t="shared" si="179"/>
        <v>0</v>
      </c>
      <c r="W173" s="1">
        <f>SUMIFS(
  '[1]Hoja 1'!$M:$M,
  '[1]Hoja 1'!$S:$S, $A173,
  '[1]Hoja 1'!$R:$R, "&gt;="&amp;INT($Y$1),
  '[1]Hoja 1'!$R:$R, "&lt;"&amp;INT($Z$1+1)
)</f>
        <v>0</v>
      </c>
      <c r="X173" s="1">
        <f t="shared" si="180"/>
        <v>0</v>
      </c>
      <c r="Y173" s="9">
        <f t="shared" si="181"/>
        <v>0</v>
      </c>
      <c r="Z173" s="10">
        <f t="shared" si="182"/>
        <v>0</v>
      </c>
      <c r="AA173" s="1">
        <f>SUMIFS(
  '[1]Hoja 1'!$M:$M,
  '[1]Hoja 1'!$S:$S, $A173,
  '[1]Hoja 1'!$R:$R, "&gt;="&amp;INT($AC$1),
  '[1]Hoja 1'!$R:$R, "&lt;"&amp;INT($AD$1+1)
)</f>
        <v>0</v>
      </c>
      <c r="AB173" s="1">
        <f t="shared" si="183"/>
        <v>0</v>
      </c>
      <c r="AC173" s="9">
        <f t="shared" si="184"/>
        <v>0</v>
      </c>
      <c r="AD173" s="10">
        <f t="shared" si="185"/>
        <v>0</v>
      </c>
      <c r="AE173" s="1">
        <f>SUMIFS(
  '[1]Hoja 1'!$M:$M,
  '[1]Hoja 1'!$S:$S, $A173,
  '[1]Hoja 1'!$R:$R, "&gt;="&amp;INT($AG$1),
  '[1]Hoja 1'!$R:$R, "&lt;"&amp;INT($AH$1+1)
)</f>
        <v>0</v>
      </c>
      <c r="AF173" s="1">
        <f t="shared" si="186"/>
        <v>0</v>
      </c>
      <c r="AG173" s="9">
        <f t="shared" si="187"/>
        <v>0</v>
      </c>
      <c r="AH173" s="10">
        <f t="shared" si="188"/>
        <v>0</v>
      </c>
      <c r="AI173" s="1">
        <f>SUMIFS(
  '[1]Hoja 1'!$M:$M,
  '[1]Hoja 1'!$S:$S, $A173,
  '[1]Hoja 1'!$R:$R, "&gt;="&amp;INT($AK$1),
  '[1]Hoja 1'!$R:$R, "&lt;"&amp;INT($AL$1+1)
)</f>
        <v>0</v>
      </c>
      <c r="AJ173" s="1">
        <f t="shared" si="189"/>
        <v>0</v>
      </c>
      <c r="AK173" s="9">
        <f t="shared" si="190"/>
        <v>0</v>
      </c>
      <c r="AL173" s="10">
        <f t="shared" si="191"/>
        <v>0</v>
      </c>
      <c r="AM173" s="1">
        <f>SUMIFS(
  '[1]Hoja 1'!$M:$M,
  '[1]Hoja 1'!$S:$S, $A173,
  '[1]Hoja 1'!$R:$R, "&gt;="&amp;INT($AO$1),
  '[1]Hoja 1'!$R:$R, "&lt;"&amp;INT($AP$1+1)
)</f>
        <v>0</v>
      </c>
      <c r="AN173" s="1">
        <f t="shared" si="192"/>
        <v>0</v>
      </c>
      <c r="AO173" s="9">
        <f t="shared" si="193"/>
        <v>0</v>
      </c>
      <c r="AP173" s="10">
        <f t="shared" si="194"/>
        <v>0</v>
      </c>
      <c r="AQ173" s="1">
        <f>SUMIFS(
  '[1]Hoja 1'!$M:$M,
  '[1]Hoja 1'!$S:$S, $A173,
  '[1]Hoja 1'!$R:$R, "&gt;="&amp;INT($AS$1),
  '[1]Hoja 1'!$R:$R, "&lt;"&amp;INT($AT$1+1)
)</f>
        <v>0</v>
      </c>
      <c r="AR173" s="1">
        <f t="shared" si="195"/>
        <v>0</v>
      </c>
      <c r="AS173" s="9">
        <f t="shared" si="196"/>
        <v>0</v>
      </c>
      <c r="AT173" s="10">
        <f t="shared" si="197"/>
        <v>0</v>
      </c>
      <c r="AU173" s="1">
        <f>SUMIFS(
  '[1]Hoja 1'!$M:$M,
  '[1]Hoja 1'!$S:$S, $A173,
  '[1]Hoja 1'!$R:$R, "&gt;="&amp;INT($AW$1),
  '[1]Hoja 1'!$R:$R, "&lt;"&amp;INT($AX$1+1)
)</f>
        <v>0</v>
      </c>
      <c r="AV173" s="1">
        <f t="shared" si="198"/>
        <v>0</v>
      </c>
      <c r="AW173" s="9">
        <f t="shared" si="199"/>
        <v>0</v>
      </c>
      <c r="AX173" s="10">
        <f t="shared" si="200"/>
        <v>0</v>
      </c>
      <c r="AY173" s="1">
        <f>SUMIFS(
  '[1]Hoja 1'!$M:$M,
  '[1]Hoja 1'!$S:$S, $A173,
  '[1]Hoja 1'!$R:$R, "&gt;="&amp;INT($BA$1),
  '[1]Hoja 1'!$R:$R, "&lt;"&amp;INT($BB$1+1)
)</f>
        <v>0</v>
      </c>
      <c r="AZ173" s="1">
        <f t="shared" si="201"/>
        <v>0</v>
      </c>
      <c r="BA173" s="9">
        <f t="shared" si="202"/>
        <v>0</v>
      </c>
      <c r="BB173" s="10">
        <f t="shared" si="203"/>
        <v>0</v>
      </c>
      <c r="BC173" s="1">
        <f>SUMIFS(
  '[1]Hoja 1'!$M:$M,
  '[1]Hoja 1'!$S:$S, $A173,
  '[1]Hoja 1'!$R:$R, "&gt;="&amp;INT($BE$1),
  '[1]Hoja 1'!$R:$R, "&lt;"&amp;INT($BF$1+1)
)</f>
        <v>0</v>
      </c>
      <c r="BD173" s="1">
        <f t="shared" si="204"/>
        <v>0</v>
      </c>
      <c r="BE173" s="9">
        <f t="shared" si="205"/>
        <v>0</v>
      </c>
      <c r="BF173" s="10">
        <f t="shared" si="206"/>
        <v>0</v>
      </c>
      <c r="BG173" s="1">
        <f>SUMIFS(
  '[1]Hoja 1'!$M:$M,
  '[1]Hoja 1'!$S:$S, $A173,
  '[1]Hoja 1'!$R:$R, "&gt;="&amp;INT($BI$1),
  '[1]Hoja 1'!$R:$R, "&lt;"&amp;INT($BJ$1+1)
)</f>
        <v>0</v>
      </c>
      <c r="BH173" s="1">
        <f t="shared" si="207"/>
        <v>0</v>
      </c>
      <c r="BI173" s="9">
        <f t="shared" si="208"/>
        <v>0</v>
      </c>
      <c r="BJ173" s="10">
        <f t="shared" si="209"/>
        <v>0</v>
      </c>
      <c r="BK173" s="1">
        <f>SUMIFS(
  '[1]Hoja 1'!$M:$M,
  '[1]Hoja 1'!$S:$S, $A173,
  '[1]Hoja 1'!$R:$R, "&gt;="&amp;INT($BM$1),
  '[1]Hoja 1'!$R:$R, "&lt;"&amp;INT($BN$1+1)
)</f>
        <v>0</v>
      </c>
      <c r="BL173" s="1">
        <f t="shared" si="210"/>
        <v>0</v>
      </c>
      <c r="BM173" s="9">
        <f t="shared" si="211"/>
        <v>0</v>
      </c>
      <c r="BN173" s="10">
        <f t="shared" si="212"/>
        <v>0</v>
      </c>
      <c r="BO173" s="1">
        <f>SUMIFS(
  '[1]Hoja 1'!$M:$M,
  '[1]Hoja 1'!$S:$S, $A173,
  '[1]Hoja 1'!$R:$R, "&gt;="&amp;INT($BQ$1),
  '[1]Hoja 1'!$R:$R, "&lt;"&amp;INT($BR$1+1)
)</f>
        <v>0</v>
      </c>
      <c r="BP173" s="1">
        <f t="shared" si="213"/>
        <v>0</v>
      </c>
      <c r="BQ173" s="9">
        <f t="shared" si="214"/>
        <v>0</v>
      </c>
      <c r="BR173" s="10">
        <f t="shared" si="215"/>
        <v>0</v>
      </c>
      <c r="BS173" s="1">
        <f>SUMIFS(
  '[1]Hoja 1'!$M:$M,
  '[1]Hoja 1'!$S:$S, $A173,
  '[1]Hoja 1'!$R:$R, "&gt;="&amp;INT($BU$1),
  '[1]Hoja 1'!$R:$R, "&lt;"&amp;INT($BV$1+1)
)</f>
        <v>0</v>
      </c>
      <c r="BT173" s="1">
        <f t="shared" si="216"/>
        <v>0</v>
      </c>
      <c r="BU173" s="9">
        <f t="shared" si="217"/>
        <v>0</v>
      </c>
      <c r="BV173" s="10">
        <f t="shared" si="218"/>
        <v>0</v>
      </c>
      <c r="BW173" s="1">
        <f>SUMIFS(
  '[1]Hoja 1'!$M:$M,
  '[1]Hoja 1'!$S:$S, $A173,
  '[1]Hoja 1'!$R:$R, "&gt;="&amp;INT($BY$1),
  '[1]Hoja 1'!$R:$R, "&lt;"&amp;INT($BZ$1+1)
)</f>
        <v>0</v>
      </c>
      <c r="BX173" s="1">
        <f t="shared" si="219"/>
        <v>0</v>
      </c>
      <c r="BY173" s="9">
        <f t="shared" si="220"/>
        <v>0</v>
      </c>
      <c r="BZ173" s="10">
        <f t="shared" si="221"/>
        <v>0</v>
      </c>
      <c r="CA173" s="1">
        <f>SUMIFS(
  '[1]Hoja 1'!$M:$M,
  '[1]Hoja 1'!$S:$S, $A173,
  '[1]Hoja 1'!$R:$R, "&gt;="&amp;INT($CC$1),
  '[1]Hoja 1'!$R:$R, "&lt;"&amp;INT($CD$1+1)
)</f>
        <v>0</v>
      </c>
      <c r="CB173" s="1">
        <f t="shared" si="222"/>
        <v>0</v>
      </c>
      <c r="CC173" s="9">
        <f t="shared" si="223"/>
        <v>0</v>
      </c>
      <c r="CD173" s="10">
        <f t="shared" si="224"/>
        <v>0</v>
      </c>
      <c r="CE173" s="1">
        <f>SUMIFS(
  '[1]Hoja 1'!$M:$M,
  '[1]Hoja 1'!$S:$S, $A173,
  '[1]Hoja 1'!$R:$R, "&gt;="&amp;INT($CG$1),
  '[1]Hoja 1'!$R:$R, "&lt;"&amp;INT($CH$1+1)
)</f>
        <v>0</v>
      </c>
      <c r="CF173" s="1">
        <f t="shared" si="225"/>
        <v>0</v>
      </c>
      <c r="CG173" s="9">
        <f t="shared" si="226"/>
        <v>0</v>
      </c>
      <c r="CH173" s="10">
        <f t="shared" si="227"/>
        <v>0</v>
      </c>
      <c r="CI173" s="1">
        <f>SUMIFS(
  '[1]Hoja 1'!$M:$M,
  '[1]Hoja 1'!$S:$S, $A173,
  '[1]Hoja 1'!$R:$R, "&gt;="&amp;INT($CK$1),
  '[1]Hoja 1'!$R:$R, "&lt;"&amp;INT($CL$1+1)
)</f>
        <v>0</v>
      </c>
      <c r="CJ173" s="1">
        <f t="shared" si="228"/>
        <v>0</v>
      </c>
      <c r="CK173" s="9">
        <f t="shared" si="229"/>
        <v>0</v>
      </c>
      <c r="CL173" s="10">
        <f t="shared" si="230"/>
        <v>0</v>
      </c>
      <c r="CM173" s="1">
        <f>SUMIFS(
  '[1]Hoja 1'!$M:$M,
  '[1]Hoja 1'!$S:$S, $A173,
  '[1]Hoja 1'!$R:$R, "&gt;="&amp;INT($CO$1),
  '[1]Hoja 1'!$R:$R, "&lt;"&amp;INT($CP$1+1)
)</f>
        <v>0</v>
      </c>
      <c r="CN173" s="1">
        <f t="shared" si="231"/>
        <v>0</v>
      </c>
      <c r="CO173" s="9">
        <f t="shared" si="232"/>
        <v>0</v>
      </c>
      <c r="CP173" s="10">
        <f t="shared" si="233"/>
        <v>0</v>
      </c>
      <c r="CQ173" s="1">
        <f>SUMIFS(
  '[1]Hoja 1'!$M:$M,
  '[1]Hoja 1'!$S:$S, $A173,
  '[1]Hoja 1'!$R:$R, "&gt;="&amp;INT($CS$1),
  '[1]Hoja 1'!$R:$R, "&lt;"&amp;INT($CT$1+1)
)</f>
        <v>0</v>
      </c>
      <c r="CR173" s="1">
        <f t="shared" si="234"/>
        <v>0</v>
      </c>
      <c r="CS173" s="9">
        <f t="shared" si="235"/>
        <v>0</v>
      </c>
      <c r="CT173" s="10">
        <f t="shared" si="236"/>
        <v>0</v>
      </c>
      <c r="CU173" s="1">
        <f>SUMIFS(
  '[1]Hoja 1'!$M:$M,
  '[1]Hoja 1'!$S:$S, $A173,
  '[1]Hoja 1'!$R:$R, "&gt;="&amp;INT($CW$1),
  '[1]Hoja 1'!$R:$R, "&lt;"&amp;INT($CX$1+1)
)</f>
        <v>0</v>
      </c>
      <c r="CV173" s="1">
        <f t="shared" si="237"/>
        <v>0</v>
      </c>
      <c r="CW173" s="9">
        <f t="shared" si="238"/>
        <v>0</v>
      </c>
      <c r="CX173" s="10">
        <f t="shared" si="239"/>
        <v>0</v>
      </c>
      <c r="CY173" s="1">
        <f>SUMIFS(
  '[1]Hoja 1'!$M:$M,
  '[1]Hoja 1'!$S:$S, $A173,
  '[1]Hoja 1'!$R:$R, "&gt;="&amp;INT($DA$1),
  '[1]Hoja 1'!$R:$R, "&lt;"&amp;INT($DB$1+1)
)</f>
        <v>0</v>
      </c>
      <c r="CZ173" s="1">
        <f t="shared" si="240"/>
        <v>0</v>
      </c>
      <c r="DA173" s="9">
        <f t="shared" si="241"/>
        <v>0</v>
      </c>
      <c r="DB173" s="10">
        <f t="shared" si="242"/>
        <v>0</v>
      </c>
      <c r="DC173" s="1">
        <f>SUMIFS(
  '[1]Hoja 1'!$M:$M,
  '[1]Hoja 1'!$S:$S, $A173,
  '[1]Hoja 1'!$R:$R, "&gt;="&amp;INT($DE$1),
  '[1]Hoja 1'!$R:$R, "&lt;"&amp;INT($DF$1+1)
)</f>
        <v>0</v>
      </c>
      <c r="DD173" s="1">
        <f t="shared" si="243"/>
        <v>0</v>
      </c>
      <c r="DE173" s="9">
        <f t="shared" si="244"/>
        <v>0</v>
      </c>
      <c r="DF173" s="10">
        <f t="shared" si="245"/>
        <v>0</v>
      </c>
      <c r="DG173" s="1">
        <f>SUMIFS(
  '[1]Hoja 1'!$M:$M,
  '[1]Hoja 1'!$S:$S, $A173,
  '[1]Hoja 1'!$R:$R, "&gt;="&amp;INT($DI$1),
  '[1]Hoja 1'!$R:$R, "&lt;"&amp;INT($DJ$1+1)
)</f>
        <v>0</v>
      </c>
      <c r="DH173" s="1">
        <f t="shared" si="246"/>
        <v>0</v>
      </c>
      <c r="DI173" s="9">
        <f t="shared" si="247"/>
        <v>0</v>
      </c>
      <c r="DJ173" s="10">
        <f t="shared" si="248"/>
        <v>0</v>
      </c>
      <c r="DK173" s="1">
        <f>SUMIFS(
  '[1]Hoja 1'!$M:$M,
  '[1]Hoja 1'!$S:$S, $A173,
  '[1]Hoja 1'!$R:$R, "&gt;="&amp;INT($DM$1),
  '[1]Hoja 1'!$R:$R, "&lt;"&amp;INT($DN$1+1)
)</f>
        <v>0</v>
      </c>
      <c r="DL173" s="1">
        <f t="shared" si="249"/>
        <v>0</v>
      </c>
      <c r="DM173" s="9">
        <f t="shared" si="250"/>
        <v>0</v>
      </c>
      <c r="DN173" s="10">
        <f t="shared" si="251"/>
        <v>0</v>
      </c>
      <c r="DO173" s="1">
        <f>SUMIFS(
  '[1]Hoja 1'!$M:$M,
  '[1]Hoja 1'!$S:$S, $A173,
  '[1]Hoja 1'!$R:$R, "&gt;="&amp;INT($DQ$1),
  '[1]Hoja 1'!$R:$R, "&lt;"&amp;INT($DR$1+1)
)</f>
        <v>0</v>
      </c>
      <c r="DP173" s="1">
        <f t="shared" si="252"/>
        <v>0</v>
      </c>
      <c r="DQ173" s="9">
        <f t="shared" si="253"/>
        <v>0</v>
      </c>
      <c r="DR173" s="10">
        <f t="shared" si="254"/>
        <v>0</v>
      </c>
    </row>
    <row r="174" spans="1:122" x14ac:dyDescent="0.25">
      <c r="A174" s="5">
        <v>229001</v>
      </c>
      <c r="B174" s="6" t="s">
        <v>170</v>
      </c>
      <c r="C174" s="1">
        <f>SUMIFS(
  '[1]Hoja 1'!$M:$M,
  '[1]Hoja 1'!$S:$S, $A174,
  '[1]Hoja 1'!$R:$R, "&gt;="&amp;INT($E$1),
  '[1]Hoja 1'!$R:$R, "&lt;"&amp;INT($F$1+1)
)</f>
        <v>1</v>
      </c>
      <c r="D174" s="1" t="str">
        <f>""</f>
        <v/>
      </c>
      <c r="F174" s="2"/>
      <c r="G174" s="1">
        <f>SUMIFS(
  '[1]Hoja 1'!$M:$M,
  '[1]Hoja 1'!$S:$S, $A174,
  '[1]Hoja 1'!$R:$R, "&gt;="&amp;INT($I$1),
  '[1]Hoja 1'!$R:$R, "&lt;"&amp;INT($J$1+1)
)</f>
        <v>12</v>
      </c>
      <c r="H174" s="1">
        <f t="shared" si="170"/>
        <v>6.5</v>
      </c>
      <c r="I174" s="1"/>
      <c r="J174" s="2"/>
      <c r="K174" s="1">
        <f>SUMIFS(
  '[1]Hoja 1'!$M:$M,
  '[1]Hoja 1'!$S:$S, $A174,
  '[1]Hoja 1'!$R:$R, "&gt;="&amp;INT($M$1),
  '[1]Hoja 1'!$R:$R, "&lt;"&amp;INT($N$1+1)
)</f>
        <v>11</v>
      </c>
      <c r="L174" s="1">
        <f t="shared" si="171"/>
        <v>11.5</v>
      </c>
      <c r="M174" s="9">
        <f t="shared" si="172"/>
        <v>3.1844242532462026</v>
      </c>
      <c r="N174" s="10">
        <f t="shared" si="173"/>
        <v>19.815575746753797</v>
      </c>
      <c r="O174" s="1">
        <f>SUMIFS(
  '[1]Hoja 1'!$M:$M,
  '[1]Hoja 1'!$S:$S, $A174,
  '[1]Hoja 1'!$R:$R, "&gt;="&amp;INT($Q$1),
  '[1]Hoja 1'!$R:$R, "&lt;"&amp;INT($R$1+1)
)</f>
        <v>13</v>
      </c>
      <c r="P174" s="1">
        <f t="shared" si="174"/>
        <v>12</v>
      </c>
      <c r="Q174" s="9">
        <f t="shared" si="175"/>
        <v>5.37990196156957</v>
      </c>
      <c r="R174" s="10">
        <f t="shared" si="176"/>
        <v>17.620098038430431</v>
      </c>
      <c r="S174" s="1">
        <f>SUMIFS(
  '[1]Hoja 1'!$M:$M,
  '[1]Hoja 1'!$S:$S, $A174,
  '[1]Hoja 1'!$R:$R, "&gt;="&amp;INT($U$1),
  '[1]Hoja 1'!$R:$R, "&lt;"&amp;INT($V$1+1)
)</f>
        <v>12</v>
      </c>
      <c r="T174" s="1">
        <f t="shared" si="177"/>
        <v>13</v>
      </c>
      <c r="U174" s="9">
        <f t="shared" si="178"/>
        <v>7.4346698211157323</v>
      </c>
      <c r="V174" s="10">
        <f t="shared" si="179"/>
        <v>18.565330178884267</v>
      </c>
      <c r="W174" s="1">
        <f>SUMIFS(
  '[1]Hoja 1'!$M:$M,
  '[1]Hoja 1'!$S:$S, $A174,
  '[1]Hoja 1'!$R:$R, "&gt;="&amp;INT($Y$1),
  '[1]Hoja 1'!$R:$R, "&lt;"&amp;INT($Z$1+1)
)</f>
        <v>13</v>
      </c>
      <c r="X174" s="1">
        <f t="shared" si="180"/>
        <v>13</v>
      </c>
      <c r="Y174" s="9">
        <f t="shared" si="181"/>
        <v>11.53</v>
      </c>
      <c r="Z174" s="10">
        <f t="shared" si="182"/>
        <v>14.47</v>
      </c>
      <c r="AA174" s="1">
        <f>SUMIFS(
  '[1]Hoja 1'!$M:$M,
  '[1]Hoja 1'!$S:$S, $A174,
  '[1]Hoja 1'!$R:$R, "&gt;="&amp;INT($AC$1),
  '[1]Hoja 1'!$R:$R, "&lt;"&amp;INT($AD$1+1)
)</f>
        <v>12</v>
      </c>
      <c r="AB174" s="1">
        <f t="shared" si="183"/>
        <v>13</v>
      </c>
      <c r="AC174" s="9">
        <f t="shared" si="184"/>
        <v>11.72223632858028</v>
      </c>
      <c r="AD174" s="10">
        <f t="shared" si="185"/>
        <v>14.47</v>
      </c>
      <c r="AE174" s="1">
        <f>SUMIFS(
  '[1]Hoja 1'!$M:$M,
  '[1]Hoja 1'!$S:$S, $A174,
  '[1]Hoja 1'!$R:$R, "&gt;="&amp;INT($AG$1),
  '[1]Hoja 1'!$R:$R, "&lt;"&amp;INT($AH$1+1)
)</f>
        <v>0</v>
      </c>
      <c r="AF174" s="1">
        <f t="shared" si="186"/>
        <v>6</v>
      </c>
      <c r="AG174" s="9">
        <f t="shared" si="187"/>
        <v>0.78662105731800924</v>
      </c>
      <c r="AH174" s="10">
        <f t="shared" si="188"/>
        <v>11.790851981070372</v>
      </c>
      <c r="AI174" s="1">
        <f>SUMIFS(
  '[1]Hoja 1'!$M:$M,
  '[1]Hoja 1'!$S:$S, $A174,
  '[1]Hoja 1'!$R:$R, "&gt;="&amp;INT($AK$1),
  '[1]Hoja 1'!$R:$R, "&lt;"&amp;INT($AL$1+1)
)</f>
        <v>0</v>
      </c>
      <c r="AJ174" s="1">
        <f t="shared" si="189"/>
        <v>0</v>
      </c>
      <c r="AK174" s="9">
        <f t="shared" si="190"/>
        <v>-5.3046884922679487</v>
      </c>
      <c r="AL174" s="10">
        <f t="shared" si="191"/>
        <v>5.9341946940310839</v>
      </c>
      <c r="AM174" s="1">
        <f>SUMIFS(
  '[1]Hoja 1'!$M:$M,
  '[1]Hoja 1'!$S:$S, $A174,
  '[1]Hoja 1'!$R:$R, "&gt;="&amp;INT($AO$1),
  '[1]Hoja 1'!$R:$R, "&lt;"&amp;INT($AP$1+1)
)</f>
        <v>0</v>
      </c>
      <c r="AN174" s="1">
        <f t="shared" si="192"/>
        <v>0</v>
      </c>
      <c r="AO174" s="9">
        <f t="shared" si="193"/>
        <v>-5.1671191199739139</v>
      </c>
      <c r="AP174" s="10">
        <f t="shared" si="194"/>
        <v>5.7353029562526165</v>
      </c>
      <c r="AQ174" s="1">
        <f>SUMIFS(
  '[1]Hoja 1'!$M:$M,
  '[1]Hoja 1'!$S:$S, $A174,
  '[1]Hoja 1'!$R:$R, "&gt;="&amp;INT($AS$1),
  '[1]Hoja 1'!$R:$R, "&lt;"&amp;INT($AT$1+1)
)</f>
        <v>0</v>
      </c>
      <c r="AR174" s="1">
        <f t="shared" si="195"/>
        <v>0</v>
      </c>
      <c r="AS174" s="9">
        <f t="shared" si="196"/>
        <v>-5.2592318830795053</v>
      </c>
      <c r="AT174" s="10">
        <f t="shared" si="197"/>
        <v>5.88</v>
      </c>
      <c r="AU174" s="1">
        <f>SUMIFS(
  '[1]Hoja 1'!$M:$M,
  '[1]Hoja 1'!$S:$S, $A174,
  '[1]Hoja 1'!$R:$R, "&gt;="&amp;INT($AW$1),
  '[1]Hoja 1'!$R:$R, "&lt;"&amp;INT($AX$1+1)
)</f>
        <v>0</v>
      </c>
      <c r="AV174" s="1">
        <f t="shared" si="198"/>
        <v>0</v>
      </c>
      <c r="AW174" s="9">
        <f t="shared" si="199"/>
        <v>0</v>
      </c>
      <c r="AX174" s="10">
        <f t="shared" si="200"/>
        <v>0</v>
      </c>
      <c r="AY174" s="1">
        <f>SUMIFS(
  '[1]Hoja 1'!$M:$M,
  '[1]Hoja 1'!$S:$S, $A174,
  '[1]Hoja 1'!$R:$R, "&gt;="&amp;INT($BA$1),
  '[1]Hoja 1'!$R:$R, "&lt;"&amp;INT($BB$1+1)
)</f>
        <v>0</v>
      </c>
      <c r="AZ174" s="1">
        <f t="shared" si="201"/>
        <v>0</v>
      </c>
      <c r="BA174" s="9">
        <f t="shared" si="202"/>
        <v>0</v>
      </c>
      <c r="BB174" s="10">
        <f t="shared" si="203"/>
        <v>0</v>
      </c>
      <c r="BC174" s="1">
        <f>SUMIFS(
  '[1]Hoja 1'!$M:$M,
  '[1]Hoja 1'!$S:$S, $A174,
  '[1]Hoja 1'!$R:$R, "&gt;="&amp;INT($BE$1),
  '[1]Hoja 1'!$R:$R, "&lt;"&amp;INT($BF$1+1)
)</f>
        <v>0</v>
      </c>
      <c r="BD174" s="1">
        <f t="shared" si="204"/>
        <v>0</v>
      </c>
      <c r="BE174" s="9">
        <f t="shared" si="205"/>
        <v>0</v>
      </c>
      <c r="BF174" s="10">
        <f t="shared" si="206"/>
        <v>0</v>
      </c>
      <c r="BG174" s="1">
        <f>SUMIFS(
  '[1]Hoja 1'!$M:$M,
  '[1]Hoja 1'!$S:$S, $A174,
  '[1]Hoja 1'!$R:$R, "&gt;="&amp;INT($BI$1),
  '[1]Hoja 1'!$R:$R, "&lt;"&amp;INT($BJ$1+1)
)</f>
        <v>0</v>
      </c>
      <c r="BH174" s="1">
        <f t="shared" si="207"/>
        <v>0</v>
      </c>
      <c r="BI174" s="9">
        <f t="shared" si="208"/>
        <v>0</v>
      </c>
      <c r="BJ174" s="10">
        <f t="shared" si="209"/>
        <v>0</v>
      </c>
      <c r="BK174" s="1">
        <f>SUMIFS(
  '[1]Hoja 1'!$M:$M,
  '[1]Hoja 1'!$S:$S, $A174,
  '[1]Hoja 1'!$R:$R, "&gt;="&amp;INT($BM$1),
  '[1]Hoja 1'!$R:$R, "&lt;"&amp;INT($BN$1+1)
)</f>
        <v>0</v>
      </c>
      <c r="BL174" s="1">
        <f t="shared" si="210"/>
        <v>0</v>
      </c>
      <c r="BM174" s="9">
        <f t="shared" si="211"/>
        <v>0</v>
      </c>
      <c r="BN174" s="10">
        <f t="shared" si="212"/>
        <v>0</v>
      </c>
      <c r="BO174" s="1">
        <f>SUMIFS(
  '[1]Hoja 1'!$M:$M,
  '[1]Hoja 1'!$S:$S, $A174,
  '[1]Hoja 1'!$R:$R, "&gt;="&amp;INT($BQ$1),
  '[1]Hoja 1'!$R:$R, "&lt;"&amp;INT($BR$1+1)
)</f>
        <v>0</v>
      </c>
      <c r="BP174" s="1">
        <f t="shared" si="213"/>
        <v>0</v>
      </c>
      <c r="BQ174" s="9">
        <f t="shared" si="214"/>
        <v>0</v>
      </c>
      <c r="BR174" s="10">
        <f t="shared" si="215"/>
        <v>0</v>
      </c>
      <c r="BS174" s="1">
        <f>SUMIFS(
  '[1]Hoja 1'!$M:$M,
  '[1]Hoja 1'!$S:$S, $A174,
  '[1]Hoja 1'!$R:$R, "&gt;="&amp;INT($BU$1),
  '[1]Hoja 1'!$R:$R, "&lt;"&amp;INT($BV$1+1)
)</f>
        <v>0</v>
      </c>
      <c r="BT174" s="1">
        <f t="shared" si="216"/>
        <v>0</v>
      </c>
      <c r="BU174" s="9">
        <f t="shared" si="217"/>
        <v>0</v>
      </c>
      <c r="BV174" s="10">
        <f t="shared" si="218"/>
        <v>0</v>
      </c>
      <c r="BW174" s="1">
        <f>SUMIFS(
  '[1]Hoja 1'!$M:$M,
  '[1]Hoja 1'!$S:$S, $A174,
  '[1]Hoja 1'!$R:$R, "&gt;="&amp;INT($BY$1),
  '[1]Hoja 1'!$R:$R, "&lt;"&amp;INT($BZ$1+1)
)</f>
        <v>0</v>
      </c>
      <c r="BX174" s="1">
        <f t="shared" si="219"/>
        <v>0</v>
      </c>
      <c r="BY174" s="9">
        <f t="shared" si="220"/>
        <v>0</v>
      </c>
      <c r="BZ174" s="10">
        <f t="shared" si="221"/>
        <v>0</v>
      </c>
      <c r="CA174" s="1">
        <f>SUMIFS(
  '[1]Hoja 1'!$M:$M,
  '[1]Hoja 1'!$S:$S, $A174,
  '[1]Hoja 1'!$R:$R, "&gt;="&amp;INT($CC$1),
  '[1]Hoja 1'!$R:$R, "&lt;"&amp;INT($CD$1+1)
)</f>
        <v>0</v>
      </c>
      <c r="CB174" s="1">
        <f t="shared" si="222"/>
        <v>0</v>
      </c>
      <c r="CC174" s="9">
        <f t="shared" si="223"/>
        <v>0</v>
      </c>
      <c r="CD174" s="10">
        <f t="shared" si="224"/>
        <v>0</v>
      </c>
      <c r="CE174" s="1">
        <f>SUMIFS(
  '[1]Hoja 1'!$M:$M,
  '[1]Hoja 1'!$S:$S, $A174,
  '[1]Hoja 1'!$R:$R, "&gt;="&amp;INT($CG$1),
  '[1]Hoja 1'!$R:$R, "&lt;"&amp;INT($CH$1+1)
)</f>
        <v>0</v>
      </c>
      <c r="CF174" s="1">
        <f t="shared" si="225"/>
        <v>0</v>
      </c>
      <c r="CG174" s="9">
        <f t="shared" si="226"/>
        <v>0</v>
      </c>
      <c r="CH174" s="10">
        <f t="shared" si="227"/>
        <v>0</v>
      </c>
      <c r="CI174" s="1">
        <f>SUMIFS(
  '[1]Hoja 1'!$M:$M,
  '[1]Hoja 1'!$S:$S, $A174,
  '[1]Hoja 1'!$R:$R, "&gt;="&amp;INT($CK$1),
  '[1]Hoja 1'!$R:$R, "&lt;"&amp;INT($CL$1+1)
)</f>
        <v>0</v>
      </c>
      <c r="CJ174" s="1">
        <f t="shared" si="228"/>
        <v>0</v>
      </c>
      <c r="CK174" s="9">
        <f t="shared" si="229"/>
        <v>0</v>
      </c>
      <c r="CL174" s="10">
        <f t="shared" si="230"/>
        <v>0</v>
      </c>
      <c r="CM174" s="1">
        <f>SUMIFS(
  '[1]Hoja 1'!$M:$M,
  '[1]Hoja 1'!$S:$S, $A174,
  '[1]Hoja 1'!$R:$R, "&gt;="&amp;INT($CO$1),
  '[1]Hoja 1'!$R:$R, "&lt;"&amp;INT($CP$1+1)
)</f>
        <v>0</v>
      </c>
      <c r="CN174" s="1">
        <f t="shared" si="231"/>
        <v>0</v>
      </c>
      <c r="CO174" s="9">
        <f t="shared" si="232"/>
        <v>0</v>
      </c>
      <c r="CP174" s="10">
        <f t="shared" si="233"/>
        <v>0</v>
      </c>
      <c r="CQ174" s="1">
        <f>SUMIFS(
  '[1]Hoja 1'!$M:$M,
  '[1]Hoja 1'!$S:$S, $A174,
  '[1]Hoja 1'!$R:$R, "&gt;="&amp;INT($CS$1),
  '[1]Hoja 1'!$R:$R, "&lt;"&amp;INT($CT$1+1)
)</f>
        <v>0</v>
      </c>
      <c r="CR174" s="1">
        <f t="shared" si="234"/>
        <v>0</v>
      </c>
      <c r="CS174" s="9">
        <f t="shared" si="235"/>
        <v>0</v>
      </c>
      <c r="CT174" s="10">
        <f t="shared" si="236"/>
        <v>0</v>
      </c>
      <c r="CU174" s="1">
        <f>SUMIFS(
  '[1]Hoja 1'!$M:$M,
  '[1]Hoja 1'!$S:$S, $A174,
  '[1]Hoja 1'!$R:$R, "&gt;="&amp;INT($CW$1),
  '[1]Hoja 1'!$R:$R, "&lt;"&amp;INT($CX$1+1)
)</f>
        <v>0</v>
      </c>
      <c r="CV174" s="1">
        <f t="shared" si="237"/>
        <v>0</v>
      </c>
      <c r="CW174" s="9">
        <f t="shared" si="238"/>
        <v>0</v>
      </c>
      <c r="CX174" s="10">
        <f t="shared" si="239"/>
        <v>0</v>
      </c>
      <c r="CY174" s="1">
        <f>SUMIFS(
  '[1]Hoja 1'!$M:$M,
  '[1]Hoja 1'!$S:$S, $A174,
  '[1]Hoja 1'!$R:$R, "&gt;="&amp;INT($DA$1),
  '[1]Hoja 1'!$R:$R, "&lt;"&amp;INT($DB$1+1)
)</f>
        <v>0</v>
      </c>
      <c r="CZ174" s="1">
        <f t="shared" si="240"/>
        <v>0</v>
      </c>
      <c r="DA174" s="9">
        <f t="shared" si="241"/>
        <v>0</v>
      </c>
      <c r="DB174" s="10">
        <f t="shared" si="242"/>
        <v>0</v>
      </c>
      <c r="DC174" s="1">
        <f>SUMIFS(
  '[1]Hoja 1'!$M:$M,
  '[1]Hoja 1'!$S:$S, $A174,
  '[1]Hoja 1'!$R:$R, "&gt;="&amp;INT($DE$1),
  '[1]Hoja 1'!$R:$R, "&lt;"&amp;INT($DF$1+1)
)</f>
        <v>0</v>
      </c>
      <c r="DD174" s="1">
        <f t="shared" si="243"/>
        <v>0</v>
      </c>
      <c r="DE174" s="9">
        <f t="shared" si="244"/>
        <v>0</v>
      </c>
      <c r="DF174" s="10">
        <f t="shared" si="245"/>
        <v>0</v>
      </c>
      <c r="DG174" s="1">
        <f>SUMIFS(
  '[1]Hoja 1'!$M:$M,
  '[1]Hoja 1'!$S:$S, $A174,
  '[1]Hoja 1'!$R:$R, "&gt;="&amp;INT($DI$1),
  '[1]Hoja 1'!$R:$R, "&lt;"&amp;INT($DJ$1+1)
)</f>
        <v>0</v>
      </c>
      <c r="DH174" s="1">
        <f t="shared" si="246"/>
        <v>0</v>
      </c>
      <c r="DI174" s="9">
        <f t="shared" si="247"/>
        <v>0</v>
      </c>
      <c r="DJ174" s="10">
        <f t="shared" si="248"/>
        <v>0</v>
      </c>
      <c r="DK174" s="1">
        <f>SUMIFS(
  '[1]Hoja 1'!$M:$M,
  '[1]Hoja 1'!$S:$S, $A174,
  '[1]Hoja 1'!$R:$R, "&gt;="&amp;INT($DM$1),
  '[1]Hoja 1'!$R:$R, "&lt;"&amp;INT($DN$1+1)
)</f>
        <v>0</v>
      </c>
      <c r="DL174" s="1">
        <f t="shared" si="249"/>
        <v>0</v>
      </c>
      <c r="DM174" s="9">
        <f t="shared" si="250"/>
        <v>0</v>
      </c>
      <c r="DN174" s="10">
        <f t="shared" si="251"/>
        <v>0</v>
      </c>
      <c r="DO174" s="1">
        <f>SUMIFS(
  '[1]Hoja 1'!$M:$M,
  '[1]Hoja 1'!$S:$S, $A174,
  '[1]Hoja 1'!$R:$R, "&gt;="&amp;INT($DQ$1),
  '[1]Hoja 1'!$R:$R, "&lt;"&amp;INT($DR$1+1)
)</f>
        <v>0</v>
      </c>
      <c r="DP174" s="1">
        <f t="shared" si="252"/>
        <v>0</v>
      </c>
      <c r="DQ174" s="9">
        <f t="shared" si="253"/>
        <v>0</v>
      </c>
      <c r="DR174" s="10">
        <f t="shared" si="254"/>
        <v>0</v>
      </c>
    </row>
    <row r="175" spans="1:122" x14ac:dyDescent="0.25">
      <c r="A175" s="5">
        <v>229002</v>
      </c>
      <c r="B175" s="6" t="s">
        <v>171</v>
      </c>
      <c r="C175" s="1">
        <f>SUMIFS(
  '[1]Hoja 1'!$M:$M,
  '[1]Hoja 1'!$S:$S, $A175,
  '[1]Hoja 1'!$R:$R, "&gt;="&amp;INT($E$1),
  '[1]Hoja 1'!$R:$R, "&lt;"&amp;INT($F$1+1)
)</f>
        <v>0</v>
      </c>
      <c r="D175" s="1" t="str">
        <f>""</f>
        <v/>
      </c>
      <c r="F175" s="2"/>
      <c r="G175" s="1">
        <f>SUMIFS(
  '[1]Hoja 1'!$M:$M,
  '[1]Hoja 1'!$S:$S, $A175,
  '[1]Hoja 1'!$R:$R, "&gt;="&amp;INT($I$1),
  '[1]Hoja 1'!$R:$R, "&lt;"&amp;INT($J$1+1)
)</f>
        <v>0</v>
      </c>
      <c r="H175" s="1">
        <f t="shared" si="170"/>
        <v>0</v>
      </c>
      <c r="I175" s="1"/>
      <c r="J175" s="2"/>
      <c r="K175" s="1">
        <f>SUMIFS(
  '[1]Hoja 1'!$M:$M,
  '[1]Hoja 1'!$S:$S, $A175,
  '[1]Hoja 1'!$R:$R, "&gt;="&amp;INT($M$1),
  '[1]Hoja 1'!$R:$R, "&lt;"&amp;INT($N$1+1)
)</f>
        <v>0</v>
      </c>
      <c r="L175" s="1">
        <f t="shared" si="171"/>
        <v>0</v>
      </c>
      <c r="M175" s="9">
        <f t="shared" si="172"/>
        <v>0</v>
      </c>
      <c r="N175" s="10">
        <f t="shared" si="173"/>
        <v>0</v>
      </c>
      <c r="O175" s="1">
        <f>SUMIFS(
  '[1]Hoja 1'!$M:$M,
  '[1]Hoja 1'!$S:$S, $A175,
  '[1]Hoja 1'!$R:$R, "&gt;="&amp;INT($Q$1),
  '[1]Hoja 1'!$R:$R, "&lt;"&amp;INT($R$1+1)
)</f>
        <v>0</v>
      </c>
      <c r="P175" s="1">
        <f t="shared" si="174"/>
        <v>0</v>
      </c>
      <c r="Q175" s="9">
        <f t="shared" si="175"/>
        <v>0</v>
      </c>
      <c r="R175" s="10">
        <f t="shared" si="176"/>
        <v>0</v>
      </c>
      <c r="S175" s="1">
        <f>SUMIFS(
  '[1]Hoja 1'!$M:$M,
  '[1]Hoja 1'!$S:$S, $A175,
  '[1]Hoja 1'!$R:$R, "&gt;="&amp;INT($U$1),
  '[1]Hoja 1'!$R:$R, "&lt;"&amp;INT($V$1+1)
)</f>
        <v>0</v>
      </c>
      <c r="T175" s="1">
        <f t="shared" si="177"/>
        <v>0</v>
      </c>
      <c r="U175" s="9">
        <f t="shared" si="178"/>
        <v>0</v>
      </c>
      <c r="V175" s="10">
        <f t="shared" si="179"/>
        <v>0</v>
      </c>
      <c r="W175" s="1">
        <f>SUMIFS(
  '[1]Hoja 1'!$M:$M,
  '[1]Hoja 1'!$S:$S, $A175,
  '[1]Hoja 1'!$R:$R, "&gt;="&amp;INT($Y$1),
  '[1]Hoja 1'!$R:$R, "&lt;"&amp;INT($Z$1+1)
)</f>
        <v>0</v>
      </c>
      <c r="X175" s="1">
        <f t="shared" si="180"/>
        <v>0</v>
      </c>
      <c r="Y175" s="9">
        <f t="shared" si="181"/>
        <v>0</v>
      </c>
      <c r="Z175" s="10">
        <f t="shared" si="182"/>
        <v>0</v>
      </c>
      <c r="AA175" s="1">
        <f>SUMIFS(
  '[1]Hoja 1'!$M:$M,
  '[1]Hoja 1'!$S:$S, $A175,
  '[1]Hoja 1'!$R:$R, "&gt;="&amp;INT($AC$1),
  '[1]Hoja 1'!$R:$R, "&lt;"&amp;INT($AD$1+1)
)</f>
        <v>0</v>
      </c>
      <c r="AB175" s="1">
        <f t="shared" si="183"/>
        <v>0</v>
      </c>
      <c r="AC175" s="9">
        <f t="shared" si="184"/>
        <v>0</v>
      </c>
      <c r="AD175" s="10">
        <f t="shared" si="185"/>
        <v>0</v>
      </c>
      <c r="AE175" s="1">
        <f>SUMIFS(
  '[1]Hoja 1'!$M:$M,
  '[1]Hoja 1'!$S:$S, $A175,
  '[1]Hoja 1'!$R:$R, "&gt;="&amp;INT($AG$1),
  '[1]Hoja 1'!$R:$R, "&lt;"&amp;INT($AH$1+1)
)</f>
        <v>0</v>
      </c>
      <c r="AF175" s="1">
        <f t="shared" si="186"/>
        <v>0</v>
      </c>
      <c r="AG175" s="9">
        <f t="shared" si="187"/>
        <v>0</v>
      </c>
      <c r="AH175" s="10">
        <f t="shared" si="188"/>
        <v>0</v>
      </c>
      <c r="AI175" s="1">
        <f>SUMIFS(
  '[1]Hoja 1'!$M:$M,
  '[1]Hoja 1'!$S:$S, $A175,
  '[1]Hoja 1'!$R:$R, "&gt;="&amp;INT($AK$1),
  '[1]Hoja 1'!$R:$R, "&lt;"&amp;INT($AL$1+1)
)</f>
        <v>0</v>
      </c>
      <c r="AJ175" s="1">
        <f t="shared" si="189"/>
        <v>0</v>
      </c>
      <c r="AK175" s="9">
        <f t="shared" si="190"/>
        <v>0</v>
      </c>
      <c r="AL175" s="10">
        <f t="shared" si="191"/>
        <v>0</v>
      </c>
      <c r="AM175" s="1">
        <f>SUMIFS(
  '[1]Hoja 1'!$M:$M,
  '[1]Hoja 1'!$S:$S, $A175,
  '[1]Hoja 1'!$R:$R, "&gt;="&amp;INT($AO$1),
  '[1]Hoja 1'!$R:$R, "&lt;"&amp;INT($AP$1+1)
)</f>
        <v>0</v>
      </c>
      <c r="AN175" s="1">
        <f t="shared" si="192"/>
        <v>0</v>
      </c>
      <c r="AO175" s="9">
        <f t="shared" si="193"/>
        <v>0</v>
      </c>
      <c r="AP175" s="10">
        <f t="shared" si="194"/>
        <v>0</v>
      </c>
      <c r="AQ175" s="1">
        <f>SUMIFS(
  '[1]Hoja 1'!$M:$M,
  '[1]Hoja 1'!$S:$S, $A175,
  '[1]Hoja 1'!$R:$R, "&gt;="&amp;INT($AS$1),
  '[1]Hoja 1'!$R:$R, "&lt;"&amp;INT($AT$1+1)
)</f>
        <v>0</v>
      </c>
      <c r="AR175" s="1">
        <f t="shared" si="195"/>
        <v>0</v>
      </c>
      <c r="AS175" s="9">
        <f t="shared" si="196"/>
        <v>0</v>
      </c>
      <c r="AT175" s="10">
        <f t="shared" si="197"/>
        <v>0</v>
      </c>
      <c r="AU175" s="1">
        <f>SUMIFS(
  '[1]Hoja 1'!$M:$M,
  '[1]Hoja 1'!$S:$S, $A175,
  '[1]Hoja 1'!$R:$R, "&gt;="&amp;INT($AW$1),
  '[1]Hoja 1'!$R:$R, "&lt;"&amp;INT($AX$1+1)
)</f>
        <v>0</v>
      </c>
      <c r="AV175" s="1">
        <f t="shared" si="198"/>
        <v>0</v>
      </c>
      <c r="AW175" s="9">
        <f t="shared" si="199"/>
        <v>0</v>
      </c>
      <c r="AX175" s="10">
        <f t="shared" si="200"/>
        <v>0</v>
      </c>
      <c r="AY175" s="1">
        <f>SUMIFS(
  '[1]Hoja 1'!$M:$M,
  '[1]Hoja 1'!$S:$S, $A175,
  '[1]Hoja 1'!$R:$R, "&gt;="&amp;INT($BA$1),
  '[1]Hoja 1'!$R:$R, "&lt;"&amp;INT($BB$1+1)
)</f>
        <v>0</v>
      </c>
      <c r="AZ175" s="1">
        <f t="shared" si="201"/>
        <v>0</v>
      </c>
      <c r="BA175" s="9">
        <f t="shared" si="202"/>
        <v>0</v>
      </c>
      <c r="BB175" s="10">
        <f t="shared" si="203"/>
        <v>0</v>
      </c>
      <c r="BC175" s="1">
        <f>SUMIFS(
  '[1]Hoja 1'!$M:$M,
  '[1]Hoja 1'!$S:$S, $A175,
  '[1]Hoja 1'!$R:$R, "&gt;="&amp;INT($BE$1),
  '[1]Hoja 1'!$R:$R, "&lt;"&amp;INT($BF$1+1)
)</f>
        <v>0</v>
      </c>
      <c r="BD175" s="1">
        <f t="shared" si="204"/>
        <v>0</v>
      </c>
      <c r="BE175" s="9">
        <f t="shared" si="205"/>
        <v>0</v>
      </c>
      <c r="BF175" s="10">
        <f t="shared" si="206"/>
        <v>0</v>
      </c>
      <c r="BG175" s="1">
        <f>SUMIFS(
  '[1]Hoja 1'!$M:$M,
  '[1]Hoja 1'!$S:$S, $A175,
  '[1]Hoja 1'!$R:$R, "&gt;="&amp;INT($BI$1),
  '[1]Hoja 1'!$R:$R, "&lt;"&amp;INT($BJ$1+1)
)</f>
        <v>0</v>
      </c>
      <c r="BH175" s="1">
        <f t="shared" si="207"/>
        <v>0</v>
      </c>
      <c r="BI175" s="9">
        <f t="shared" si="208"/>
        <v>0</v>
      </c>
      <c r="BJ175" s="10">
        <f t="shared" si="209"/>
        <v>0</v>
      </c>
      <c r="BK175" s="1">
        <f>SUMIFS(
  '[1]Hoja 1'!$M:$M,
  '[1]Hoja 1'!$S:$S, $A175,
  '[1]Hoja 1'!$R:$R, "&gt;="&amp;INT($BM$1),
  '[1]Hoja 1'!$R:$R, "&lt;"&amp;INT($BN$1+1)
)</f>
        <v>0</v>
      </c>
      <c r="BL175" s="1">
        <f t="shared" si="210"/>
        <v>0</v>
      </c>
      <c r="BM175" s="9">
        <f t="shared" si="211"/>
        <v>0</v>
      </c>
      <c r="BN175" s="10">
        <f t="shared" si="212"/>
        <v>0</v>
      </c>
      <c r="BO175" s="1">
        <f>SUMIFS(
  '[1]Hoja 1'!$M:$M,
  '[1]Hoja 1'!$S:$S, $A175,
  '[1]Hoja 1'!$R:$R, "&gt;="&amp;INT($BQ$1),
  '[1]Hoja 1'!$R:$R, "&lt;"&amp;INT($BR$1+1)
)</f>
        <v>0</v>
      </c>
      <c r="BP175" s="1">
        <f t="shared" si="213"/>
        <v>0</v>
      </c>
      <c r="BQ175" s="9">
        <f t="shared" si="214"/>
        <v>0</v>
      </c>
      <c r="BR175" s="10">
        <f t="shared" si="215"/>
        <v>0</v>
      </c>
      <c r="BS175" s="1">
        <f>SUMIFS(
  '[1]Hoja 1'!$M:$M,
  '[1]Hoja 1'!$S:$S, $A175,
  '[1]Hoja 1'!$R:$R, "&gt;="&amp;INT($BU$1),
  '[1]Hoja 1'!$R:$R, "&lt;"&amp;INT($BV$1+1)
)</f>
        <v>0</v>
      </c>
      <c r="BT175" s="1">
        <f t="shared" si="216"/>
        <v>0</v>
      </c>
      <c r="BU175" s="9">
        <f t="shared" si="217"/>
        <v>0</v>
      </c>
      <c r="BV175" s="10">
        <f t="shared" si="218"/>
        <v>0</v>
      </c>
      <c r="BW175" s="1">
        <f>SUMIFS(
  '[1]Hoja 1'!$M:$M,
  '[1]Hoja 1'!$S:$S, $A175,
  '[1]Hoja 1'!$R:$R, "&gt;="&amp;INT($BY$1),
  '[1]Hoja 1'!$R:$R, "&lt;"&amp;INT($BZ$1+1)
)</f>
        <v>0</v>
      </c>
      <c r="BX175" s="1">
        <f t="shared" si="219"/>
        <v>0</v>
      </c>
      <c r="BY175" s="9">
        <f t="shared" si="220"/>
        <v>0</v>
      </c>
      <c r="BZ175" s="10">
        <f t="shared" si="221"/>
        <v>0</v>
      </c>
      <c r="CA175" s="1">
        <f>SUMIFS(
  '[1]Hoja 1'!$M:$M,
  '[1]Hoja 1'!$S:$S, $A175,
  '[1]Hoja 1'!$R:$R, "&gt;="&amp;INT($CC$1),
  '[1]Hoja 1'!$R:$R, "&lt;"&amp;INT($CD$1+1)
)</f>
        <v>0</v>
      </c>
      <c r="CB175" s="1">
        <f t="shared" si="222"/>
        <v>0</v>
      </c>
      <c r="CC175" s="9">
        <f t="shared" si="223"/>
        <v>0</v>
      </c>
      <c r="CD175" s="10">
        <f t="shared" si="224"/>
        <v>0</v>
      </c>
      <c r="CE175" s="1">
        <f>SUMIFS(
  '[1]Hoja 1'!$M:$M,
  '[1]Hoja 1'!$S:$S, $A175,
  '[1]Hoja 1'!$R:$R, "&gt;="&amp;INT($CG$1),
  '[1]Hoja 1'!$R:$R, "&lt;"&amp;INT($CH$1+1)
)</f>
        <v>0</v>
      </c>
      <c r="CF175" s="1">
        <f t="shared" si="225"/>
        <v>0</v>
      </c>
      <c r="CG175" s="9">
        <f t="shared" si="226"/>
        <v>0</v>
      </c>
      <c r="CH175" s="10">
        <f t="shared" si="227"/>
        <v>0</v>
      </c>
      <c r="CI175" s="1">
        <f>SUMIFS(
  '[1]Hoja 1'!$M:$M,
  '[1]Hoja 1'!$S:$S, $A175,
  '[1]Hoja 1'!$R:$R, "&gt;="&amp;INT($CK$1),
  '[1]Hoja 1'!$R:$R, "&lt;"&amp;INT($CL$1+1)
)</f>
        <v>0</v>
      </c>
      <c r="CJ175" s="1">
        <f t="shared" si="228"/>
        <v>0</v>
      </c>
      <c r="CK175" s="9">
        <f t="shared" si="229"/>
        <v>0</v>
      </c>
      <c r="CL175" s="10">
        <f t="shared" si="230"/>
        <v>0</v>
      </c>
      <c r="CM175" s="1">
        <f>SUMIFS(
  '[1]Hoja 1'!$M:$M,
  '[1]Hoja 1'!$S:$S, $A175,
  '[1]Hoja 1'!$R:$R, "&gt;="&amp;INT($CO$1),
  '[1]Hoja 1'!$R:$R, "&lt;"&amp;INT($CP$1+1)
)</f>
        <v>0</v>
      </c>
      <c r="CN175" s="1">
        <f t="shared" si="231"/>
        <v>0</v>
      </c>
      <c r="CO175" s="9">
        <f t="shared" si="232"/>
        <v>0</v>
      </c>
      <c r="CP175" s="10">
        <f t="shared" si="233"/>
        <v>0</v>
      </c>
      <c r="CQ175" s="1">
        <f>SUMIFS(
  '[1]Hoja 1'!$M:$M,
  '[1]Hoja 1'!$S:$S, $A175,
  '[1]Hoja 1'!$R:$R, "&gt;="&amp;INT($CS$1),
  '[1]Hoja 1'!$R:$R, "&lt;"&amp;INT($CT$1+1)
)</f>
        <v>0</v>
      </c>
      <c r="CR175" s="1">
        <f t="shared" si="234"/>
        <v>0</v>
      </c>
      <c r="CS175" s="9">
        <f t="shared" si="235"/>
        <v>0</v>
      </c>
      <c r="CT175" s="10">
        <f t="shared" si="236"/>
        <v>0</v>
      </c>
      <c r="CU175" s="1">
        <f>SUMIFS(
  '[1]Hoja 1'!$M:$M,
  '[1]Hoja 1'!$S:$S, $A175,
  '[1]Hoja 1'!$R:$R, "&gt;="&amp;INT($CW$1),
  '[1]Hoja 1'!$R:$R, "&lt;"&amp;INT($CX$1+1)
)</f>
        <v>0</v>
      </c>
      <c r="CV175" s="1">
        <f t="shared" si="237"/>
        <v>0</v>
      </c>
      <c r="CW175" s="9">
        <f t="shared" si="238"/>
        <v>0</v>
      </c>
      <c r="CX175" s="10">
        <f t="shared" si="239"/>
        <v>0</v>
      </c>
      <c r="CY175" s="1">
        <f>SUMIFS(
  '[1]Hoja 1'!$M:$M,
  '[1]Hoja 1'!$S:$S, $A175,
  '[1]Hoja 1'!$R:$R, "&gt;="&amp;INT($DA$1),
  '[1]Hoja 1'!$R:$R, "&lt;"&amp;INT($DB$1+1)
)</f>
        <v>0</v>
      </c>
      <c r="CZ175" s="1">
        <f t="shared" si="240"/>
        <v>0</v>
      </c>
      <c r="DA175" s="9">
        <f t="shared" si="241"/>
        <v>0</v>
      </c>
      <c r="DB175" s="10">
        <f t="shared" si="242"/>
        <v>0</v>
      </c>
      <c r="DC175" s="1">
        <f>SUMIFS(
  '[1]Hoja 1'!$M:$M,
  '[1]Hoja 1'!$S:$S, $A175,
  '[1]Hoja 1'!$R:$R, "&gt;="&amp;INT($DE$1),
  '[1]Hoja 1'!$R:$R, "&lt;"&amp;INT($DF$1+1)
)</f>
        <v>0</v>
      </c>
      <c r="DD175" s="1">
        <f t="shared" si="243"/>
        <v>0</v>
      </c>
      <c r="DE175" s="9">
        <f t="shared" si="244"/>
        <v>0</v>
      </c>
      <c r="DF175" s="10">
        <f t="shared" si="245"/>
        <v>0</v>
      </c>
      <c r="DG175" s="1">
        <f>SUMIFS(
  '[1]Hoja 1'!$M:$M,
  '[1]Hoja 1'!$S:$S, $A175,
  '[1]Hoja 1'!$R:$R, "&gt;="&amp;INT($DI$1),
  '[1]Hoja 1'!$R:$R, "&lt;"&amp;INT($DJ$1+1)
)</f>
        <v>0</v>
      </c>
      <c r="DH175" s="1">
        <f t="shared" si="246"/>
        <v>0</v>
      </c>
      <c r="DI175" s="9">
        <f t="shared" si="247"/>
        <v>0</v>
      </c>
      <c r="DJ175" s="10">
        <f t="shared" si="248"/>
        <v>0</v>
      </c>
      <c r="DK175" s="1">
        <f>SUMIFS(
  '[1]Hoja 1'!$M:$M,
  '[1]Hoja 1'!$S:$S, $A175,
  '[1]Hoja 1'!$R:$R, "&gt;="&amp;INT($DM$1),
  '[1]Hoja 1'!$R:$R, "&lt;"&amp;INT($DN$1+1)
)</f>
        <v>0</v>
      </c>
      <c r="DL175" s="1">
        <f t="shared" si="249"/>
        <v>0</v>
      </c>
      <c r="DM175" s="9">
        <f t="shared" si="250"/>
        <v>0</v>
      </c>
      <c r="DN175" s="10">
        <f t="shared" si="251"/>
        <v>0</v>
      </c>
      <c r="DO175" s="1">
        <f>SUMIFS(
  '[1]Hoja 1'!$M:$M,
  '[1]Hoja 1'!$S:$S, $A175,
  '[1]Hoja 1'!$R:$R, "&gt;="&amp;INT($DQ$1),
  '[1]Hoja 1'!$R:$R, "&lt;"&amp;INT($DR$1+1)
)</f>
        <v>0</v>
      </c>
      <c r="DP175" s="1">
        <f t="shared" si="252"/>
        <v>0</v>
      </c>
      <c r="DQ175" s="9">
        <f t="shared" si="253"/>
        <v>0</v>
      </c>
      <c r="DR175" s="10">
        <f t="shared" si="254"/>
        <v>0</v>
      </c>
    </row>
    <row r="176" spans="1:122" x14ac:dyDescent="0.25">
      <c r="A176" s="5">
        <v>229003</v>
      </c>
      <c r="B176" s="6" t="s">
        <v>172</v>
      </c>
      <c r="C176" s="1">
        <f>SUMIFS(
  '[1]Hoja 1'!$M:$M,
  '[1]Hoja 1'!$S:$S, $A176,
  '[1]Hoja 1'!$R:$R, "&gt;="&amp;INT($E$1),
  '[1]Hoja 1'!$R:$R, "&lt;"&amp;INT($F$1+1)
)</f>
        <v>3</v>
      </c>
      <c r="D176" s="1" t="str">
        <f>""</f>
        <v/>
      </c>
      <c r="F176" s="2"/>
      <c r="G176" s="1">
        <f>SUMIFS(
  '[1]Hoja 1'!$M:$M,
  '[1]Hoja 1'!$S:$S, $A176,
  '[1]Hoja 1'!$R:$R, "&gt;="&amp;INT($I$1),
  '[1]Hoja 1'!$R:$R, "&lt;"&amp;INT($J$1+1)
)</f>
        <v>0</v>
      </c>
      <c r="H176" s="1">
        <f t="shared" si="170"/>
        <v>1.5</v>
      </c>
      <c r="I176" s="1"/>
      <c r="J176" s="2"/>
      <c r="K176" s="1">
        <f>SUMIFS(
  '[1]Hoja 1'!$M:$M,
  '[1]Hoja 1'!$S:$S, $A176,
  '[1]Hoja 1'!$R:$R, "&gt;="&amp;INT($M$1),
  '[1]Hoja 1'!$R:$R, "&lt;"&amp;INT($N$1+1)
)</f>
        <v>6</v>
      </c>
      <c r="L176" s="1">
        <f t="shared" si="171"/>
        <v>3</v>
      </c>
      <c r="M176" s="9">
        <f t="shared" si="172"/>
        <v>-3.2366818100653489</v>
      </c>
      <c r="N176" s="10">
        <f t="shared" si="173"/>
        <v>9.2366818100653489</v>
      </c>
      <c r="O176" s="1">
        <f>SUMIFS(
  '[1]Hoja 1'!$M:$M,
  '[1]Hoja 1'!$S:$S, $A176,
  '[1]Hoja 1'!$R:$R, "&gt;="&amp;INT($Q$1),
  '[1]Hoja 1'!$R:$R, "&lt;"&amp;INT($R$1+1)
)</f>
        <v>1</v>
      </c>
      <c r="P176" s="1">
        <f t="shared" si="174"/>
        <v>3.5</v>
      </c>
      <c r="Q176" s="9">
        <f t="shared" si="175"/>
        <v>-2.7422759715406695</v>
      </c>
      <c r="R176" s="10">
        <f t="shared" si="176"/>
        <v>8.7422759715406695</v>
      </c>
      <c r="S176" s="1">
        <f>SUMIFS(
  '[1]Hoja 1'!$M:$M,
  '[1]Hoja 1'!$S:$S, $A176,
  '[1]Hoja 1'!$R:$R, "&gt;="&amp;INT($U$1),
  '[1]Hoja 1'!$R:$R, "&lt;"&amp;INT($V$1+1)
)</f>
        <v>1</v>
      </c>
      <c r="T176" s="1">
        <f t="shared" si="177"/>
        <v>1</v>
      </c>
      <c r="U176" s="9">
        <f t="shared" si="178"/>
        <v>-3.6999148928464649</v>
      </c>
      <c r="V176" s="10">
        <f t="shared" si="179"/>
        <v>5.6999148928464649</v>
      </c>
      <c r="W176" s="1">
        <f>SUMIFS(
  '[1]Hoja 1'!$M:$M,
  '[1]Hoja 1'!$S:$S, $A176,
  '[1]Hoja 1'!$R:$R, "&gt;="&amp;INT($Y$1),
  '[1]Hoja 1'!$R:$R, "&lt;"&amp;INT($Z$1+1)
)</f>
        <v>0</v>
      </c>
      <c r="X176" s="1">
        <f t="shared" si="180"/>
        <v>1</v>
      </c>
      <c r="Y176" s="9">
        <f t="shared" si="181"/>
        <v>-3.455139354348713</v>
      </c>
      <c r="Z176" s="10">
        <f t="shared" si="182"/>
        <v>5.455139354348713</v>
      </c>
      <c r="AA176" s="1">
        <f>SUMIFS(
  '[1]Hoja 1'!$M:$M,
  '[1]Hoja 1'!$S:$S, $A176,
  '[1]Hoja 1'!$R:$R, "&gt;="&amp;INT($AC$1),
  '[1]Hoja 1'!$R:$R, "&lt;"&amp;INT($AD$1+1)
)</f>
        <v>3</v>
      </c>
      <c r="AB176" s="1">
        <f t="shared" si="183"/>
        <v>2</v>
      </c>
      <c r="AC176" s="9">
        <f t="shared" si="184"/>
        <v>-0.82335261701403484</v>
      </c>
      <c r="AD176" s="10">
        <f t="shared" si="185"/>
        <v>5.2379571749278382</v>
      </c>
      <c r="AE176" s="1">
        <f>SUMIFS(
  '[1]Hoja 1'!$M:$M,
  '[1]Hoja 1'!$S:$S, $A176,
  '[1]Hoja 1'!$R:$R, "&gt;="&amp;INT($AG$1),
  '[1]Hoja 1'!$R:$R, "&lt;"&amp;INT($AH$1+1)
)</f>
        <v>0</v>
      </c>
      <c r="AF176" s="1">
        <f t="shared" si="186"/>
        <v>2</v>
      </c>
      <c r="AG176" s="9">
        <f t="shared" si="187"/>
        <v>-0.12458937209052223</v>
      </c>
      <c r="AH176" s="10">
        <f t="shared" si="188"/>
        <v>4.45</v>
      </c>
      <c r="AI176" s="1">
        <f>SUMIFS(
  '[1]Hoja 1'!$M:$M,
  '[1]Hoja 1'!$S:$S, $A176,
  '[1]Hoja 1'!$R:$R, "&gt;="&amp;INT($AK$1),
  '[1]Hoja 1'!$R:$R, "&lt;"&amp;INT($AL$1+1)
)</f>
        <v>0</v>
      </c>
      <c r="AJ176" s="1">
        <f t="shared" si="189"/>
        <v>0</v>
      </c>
      <c r="AK176" s="9">
        <f t="shared" si="190"/>
        <v>-2.1245893720905222</v>
      </c>
      <c r="AL176" s="10">
        <f t="shared" si="191"/>
        <v>2.4500000000000002</v>
      </c>
      <c r="AM176" s="1">
        <f>SUMIFS(
  '[1]Hoja 1'!$M:$M,
  '[1]Hoja 1'!$S:$S, $A176,
  '[1]Hoja 1'!$R:$R, "&gt;="&amp;INT($AO$1),
  '[1]Hoja 1'!$R:$R, "&lt;"&amp;INT($AP$1+1)
)</f>
        <v>0</v>
      </c>
      <c r="AN176" s="1">
        <f t="shared" si="192"/>
        <v>0</v>
      </c>
      <c r="AO176" s="9">
        <f t="shared" si="193"/>
        <v>-2.0788939366884494</v>
      </c>
      <c r="AP176" s="10">
        <f t="shared" si="194"/>
        <v>2.4004999479275142</v>
      </c>
      <c r="AQ176" s="1">
        <f>SUMIFS(
  '[1]Hoja 1'!$M:$M,
  '[1]Hoja 1'!$S:$S, $A176,
  '[1]Hoja 1'!$R:$R, "&gt;="&amp;INT($AS$1),
  '[1]Hoja 1'!$R:$R, "&lt;"&amp;INT($AT$1+1)
)</f>
        <v>0</v>
      </c>
      <c r="AR176" s="1">
        <f t="shared" si="195"/>
        <v>0</v>
      </c>
      <c r="AS176" s="9">
        <f t="shared" si="196"/>
        <v>-1.3148079707698763</v>
      </c>
      <c r="AT176" s="10">
        <f t="shared" si="197"/>
        <v>1.47</v>
      </c>
      <c r="AU176" s="1">
        <f>SUMIFS(
  '[1]Hoja 1'!$M:$M,
  '[1]Hoja 1'!$S:$S, $A176,
  '[1]Hoja 1'!$R:$R, "&gt;="&amp;INT($AW$1),
  '[1]Hoja 1'!$R:$R, "&lt;"&amp;INT($AX$1+1)
)</f>
        <v>0</v>
      </c>
      <c r="AV176" s="1">
        <f t="shared" si="198"/>
        <v>0</v>
      </c>
      <c r="AW176" s="9">
        <f t="shared" si="199"/>
        <v>0</v>
      </c>
      <c r="AX176" s="10">
        <f t="shared" si="200"/>
        <v>0</v>
      </c>
      <c r="AY176" s="1">
        <f>SUMIFS(
  '[1]Hoja 1'!$M:$M,
  '[1]Hoja 1'!$S:$S, $A176,
  '[1]Hoja 1'!$R:$R, "&gt;="&amp;INT($BA$1),
  '[1]Hoja 1'!$R:$R, "&lt;"&amp;INT($BB$1+1)
)</f>
        <v>0</v>
      </c>
      <c r="AZ176" s="1">
        <f t="shared" si="201"/>
        <v>0</v>
      </c>
      <c r="BA176" s="9">
        <f t="shared" si="202"/>
        <v>0</v>
      </c>
      <c r="BB176" s="10">
        <f t="shared" si="203"/>
        <v>0</v>
      </c>
      <c r="BC176" s="1">
        <f>SUMIFS(
  '[1]Hoja 1'!$M:$M,
  '[1]Hoja 1'!$S:$S, $A176,
  '[1]Hoja 1'!$R:$R, "&gt;="&amp;INT($BE$1),
  '[1]Hoja 1'!$R:$R, "&lt;"&amp;INT($BF$1+1)
)</f>
        <v>0</v>
      </c>
      <c r="BD176" s="1">
        <f t="shared" si="204"/>
        <v>0</v>
      </c>
      <c r="BE176" s="9">
        <f t="shared" si="205"/>
        <v>0</v>
      </c>
      <c r="BF176" s="10">
        <f t="shared" si="206"/>
        <v>0</v>
      </c>
      <c r="BG176" s="1">
        <f>SUMIFS(
  '[1]Hoja 1'!$M:$M,
  '[1]Hoja 1'!$S:$S, $A176,
  '[1]Hoja 1'!$R:$R, "&gt;="&amp;INT($BI$1),
  '[1]Hoja 1'!$R:$R, "&lt;"&amp;INT($BJ$1+1)
)</f>
        <v>0</v>
      </c>
      <c r="BH176" s="1">
        <f t="shared" si="207"/>
        <v>0</v>
      </c>
      <c r="BI176" s="9">
        <f t="shared" si="208"/>
        <v>0</v>
      </c>
      <c r="BJ176" s="10">
        <f t="shared" si="209"/>
        <v>0</v>
      </c>
      <c r="BK176" s="1">
        <f>SUMIFS(
  '[1]Hoja 1'!$M:$M,
  '[1]Hoja 1'!$S:$S, $A176,
  '[1]Hoja 1'!$R:$R, "&gt;="&amp;INT($BM$1),
  '[1]Hoja 1'!$R:$R, "&lt;"&amp;INT($BN$1+1)
)</f>
        <v>0</v>
      </c>
      <c r="BL176" s="1">
        <f t="shared" si="210"/>
        <v>0</v>
      </c>
      <c r="BM176" s="9">
        <f t="shared" si="211"/>
        <v>0</v>
      </c>
      <c r="BN176" s="10">
        <f t="shared" si="212"/>
        <v>0</v>
      </c>
      <c r="BO176" s="1">
        <f>SUMIFS(
  '[1]Hoja 1'!$M:$M,
  '[1]Hoja 1'!$S:$S, $A176,
  '[1]Hoja 1'!$R:$R, "&gt;="&amp;INT($BQ$1),
  '[1]Hoja 1'!$R:$R, "&lt;"&amp;INT($BR$1+1)
)</f>
        <v>0</v>
      </c>
      <c r="BP176" s="1">
        <f t="shared" si="213"/>
        <v>0</v>
      </c>
      <c r="BQ176" s="9">
        <f t="shared" si="214"/>
        <v>0</v>
      </c>
      <c r="BR176" s="10">
        <f t="shared" si="215"/>
        <v>0</v>
      </c>
      <c r="BS176" s="1">
        <f>SUMIFS(
  '[1]Hoja 1'!$M:$M,
  '[1]Hoja 1'!$S:$S, $A176,
  '[1]Hoja 1'!$R:$R, "&gt;="&amp;INT($BU$1),
  '[1]Hoja 1'!$R:$R, "&lt;"&amp;INT($BV$1+1)
)</f>
        <v>0</v>
      </c>
      <c r="BT176" s="1">
        <f t="shared" si="216"/>
        <v>0</v>
      </c>
      <c r="BU176" s="9">
        <f t="shared" si="217"/>
        <v>0</v>
      </c>
      <c r="BV176" s="10">
        <f t="shared" si="218"/>
        <v>0</v>
      </c>
      <c r="BW176" s="1">
        <f>SUMIFS(
  '[1]Hoja 1'!$M:$M,
  '[1]Hoja 1'!$S:$S, $A176,
  '[1]Hoja 1'!$R:$R, "&gt;="&amp;INT($BY$1),
  '[1]Hoja 1'!$R:$R, "&lt;"&amp;INT($BZ$1+1)
)</f>
        <v>0</v>
      </c>
      <c r="BX176" s="1">
        <f t="shared" si="219"/>
        <v>0</v>
      </c>
      <c r="BY176" s="9">
        <f t="shared" si="220"/>
        <v>0</v>
      </c>
      <c r="BZ176" s="10">
        <f t="shared" si="221"/>
        <v>0</v>
      </c>
      <c r="CA176" s="1">
        <f>SUMIFS(
  '[1]Hoja 1'!$M:$M,
  '[1]Hoja 1'!$S:$S, $A176,
  '[1]Hoja 1'!$R:$R, "&gt;="&amp;INT($CC$1),
  '[1]Hoja 1'!$R:$R, "&lt;"&amp;INT($CD$1+1)
)</f>
        <v>0</v>
      </c>
      <c r="CB176" s="1">
        <f t="shared" si="222"/>
        <v>0</v>
      </c>
      <c r="CC176" s="9">
        <f t="shared" si="223"/>
        <v>0</v>
      </c>
      <c r="CD176" s="10">
        <f t="shared" si="224"/>
        <v>0</v>
      </c>
      <c r="CE176" s="1">
        <f>SUMIFS(
  '[1]Hoja 1'!$M:$M,
  '[1]Hoja 1'!$S:$S, $A176,
  '[1]Hoja 1'!$R:$R, "&gt;="&amp;INT($CG$1),
  '[1]Hoja 1'!$R:$R, "&lt;"&amp;INT($CH$1+1)
)</f>
        <v>0</v>
      </c>
      <c r="CF176" s="1">
        <f t="shared" si="225"/>
        <v>0</v>
      </c>
      <c r="CG176" s="9">
        <f t="shared" si="226"/>
        <v>0</v>
      </c>
      <c r="CH176" s="10">
        <f t="shared" si="227"/>
        <v>0</v>
      </c>
      <c r="CI176" s="1">
        <f>SUMIFS(
  '[1]Hoja 1'!$M:$M,
  '[1]Hoja 1'!$S:$S, $A176,
  '[1]Hoja 1'!$R:$R, "&gt;="&amp;INT($CK$1),
  '[1]Hoja 1'!$R:$R, "&lt;"&amp;INT($CL$1+1)
)</f>
        <v>0</v>
      </c>
      <c r="CJ176" s="1">
        <f t="shared" si="228"/>
        <v>0</v>
      </c>
      <c r="CK176" s="9">
        <f t="shared" si="229"/>
        <v>0</v>
      </c>
      <c r="CL176" s="10">
        <f t="shared" si="230"/>
        <v>0</v>
      </c>
      <c r="CM176" s="1">
        <f>SUMIFS(
  '[1]Hoja 1'!$M:$M,
  '[1]Hoja 1'!$S:$S, $A176,
  '[1]Hoja 1'!$R:$R, "&gt;="&amp;INT($CO$1),
  '[1]Hoja 1'!$R:$R, "&lt;"&amp;INT($CP$1+1)
)</f>
        <v>0</v>
      </c>
      <c r="CN176" s="1">
        <f t="shared" si="231"/>
        <v>0</v>
      </c>
      <c r="CO176" s="9">
        <f t="shared" si="232"/>
        <v>0</v>
      </c>
      <c r="CP176" s="10">
        <f t="shared" si="233"/>
        <v>0</v>
      </c>
      <c r="CQ176" s="1">
        <f>SUMIFS(
  '[1]Hoja 1'!$M:$M,
  '[1]Hoja 1'!$S:$S, $A176,
  '[1]Hoja 1'!$R:$R, "&gt;="&amp;INT($CS$1),
  '[1]Hoja 1'!$R:$R, "&lt;"&amp;INT($CT$1+1)
)</f>
        <v>0</v>
      </c>
      <c r="CR176" s="1">
        <f t="shared" si="234"/>
        <v>0</v>
      </c>
      <c r="CS176" s="9">
        <f t="shared" si="235"/>
        <v>0</v>
      </c>
      <c r="CT176" s="10">
        <f t="shared" si="236"/>
        <v>0</v>
      </c>
      <c r="CU176" s="1">
        <f>SUMIFS(
  '[1]Hoja 1'!$M:$M,
  '[1]Hoja 1'!$S:$S, $A176,
  '[1]Hoja 1'!$R:$R, "&gt;="&amp;INT($CW$1),
  '[1]Hoja 1'!$R:$R, "&lt;"&amp;INT($CX$1+1)
)</f>
        <v>0</v>
      </c>
      <c r="CV176" s="1">
        <f t="shared" si="237"/>
        <v>0</v>
      </c>
      <c r="CW176" s="9">
        <f t="shared" si="238"/>
        <v>0</v>
      </c>
      <c r="CX176" s="10">
        <f t="shared" si="239"/>
        <v>0</v>
      </c>
      <c r="CY176" s="1">
        <f>SUMIFS(
  '[1]Hoja 1'!$M:$M,
  '[1]Hoja 1'!$S:$S, $A176,
  '[1]Hoja 1'!$R:$R, "&gt;="&amp;INT($DA$1),
  '[1]Hoja 1'!$R:$R, "&lt;"&amp;INT($DB$1+1)
)</f>
        <v>0</v>
      </c>
      <c r="CZ176" s="1">
        <f t="shared" si="240"/>
        <v>0</v>
      </c>
      <c r="DA176" s="9">
        <f t="shared" si="241"/>
        <v>0</v>
      </c>
      <c r="DB176" s="10">
        <f t="shared" si="242"/>
        <v>0</v>
      </c>
      <c r="DC176" s="1">
        <f>SUMIFS(
  '[1]Hoja 1'!$M:$M,
  '[1]Hoja 1'!$S:$S, $A176,
  '[1]Hoja 1'!$R:$R, "&gt;="&amp;INT($DE$1),
  '[1]Hoja 1'!$R:$R, "&lt;"&amp;INT($DF$1+1)
)</f>
        <v>0</v>
      </c>
      <c r="DD176" s="1">
        <f t="shared" si="243"/>
        <v>0</v>
      </c>
      <c r="DE176" s="9">
        <f t="shared" si="244"/>
        <v>0</v>
      </c>
      <c r="DF176" s="10">
        <f t="shared" si="245"/>
        <v>0</v>
      </c>
      <c r="DG176" s="1">
        <f>SUMIFS(
  '[1]Hoja 1'!$M:$M,
  '[1]Hoja 1'!$S:$S, $A176,
  '[1]Hoja 1'!$R:$R, "&gt;="&amp;INT($DI$1),
  '[1]Hoja 1'!$R:$R, "&lt;"&amp;INT($DJ$1+1)
)</f>
        <v>0</v>
      </c>
      <c r="DH176" s="1">
        <f t="shared" si="246"/>
        <v>0</v>
      </c>
      <c r="DI176" s="9">
        <f t="shared" si="247"/>
        <v>0</v>
      </c>
      <c r="DJ176" s="10">
        <f t="shared" si="248"/>
        <v>0</v>
      </c>
      <c r="DK176" s="1">
        <f>SUMIFS(
  '[1]Hoja 1'!$M:$M,
  '[1]Hoja 1'!$S:$S, $A176,
  '[1]Hoja 1'!$R:$R, "&gt;="&amp;INT($DM$1),
  '[1]Hoja 1'!$R:$R, "&lt;"&amp;INT($DN$1+1)
)</f>
        <v>0</v>
      </c>
      <c r="DL176" s="1">
        <f t="shared" si="249"/>
        <v>0</v>
      </c>
      <c r="DM176" s="9">
        <f t="shared" si="250"/>
        <v>0</v>
      </c>
      <c r="DN176" s="10">
        <f t="shared" si="251"/>
        <v>0</v>
      </c>
      <c r="DO176" s="1">
        <f>SUMIFS(
  '[1]Hoja 1'!$M:$M,
  '[1]Hoja 1'!$S:$S, $A176,
  '[1]Hoja 1'!$R:$R, "&gt;="&amp;INT($DQ$1),
  '[1]Hoja 1'!$R:$R, "&lt;"&amp;INT($DR$1+1)
)</f>
        <v>0</v>
      </c>
      <c r="DP176" s="1">
        <f t="shared" si="252"/>
        <v>0</v>
      </c>
      <c r="DQ176" s="9">
        <f t="shared" si="253"/>
        <v>0</v>
      </c>
      <c r="DR176" s="10">
        <f t="shared" si="254"/>
        <v>0</v>
      </c>
    </row>
    <row r="177" spans="1:122" x14ac:dyDescent="0.25">
      <c r="A177" s="5">
        <v>229004</v>
      </c>
      <c r="B177" s="6" t="s">
        <v>173</v>
      </c>
      <c r="C177" s="1">
        <f>SUMIFS(
  '[1]Hoja 1'!$M:$M,
  '[1]Hoja 1'!$S:$S, $A177,
  '[1]Hoja 1'!$R:$R, "&gt;="&amp;INT($E$1),
  '[1]Hoja 1'!$R:$R, "&lt;"&amp;INT($F$1+1)
)</f>
        <v>2</v>
      </c>
      <c r="D177" s="1" t="str">
        <f>""</f>
        <v/>
      </c>
      <c r="F177" s="2"/>
      <c r="G177" s="1">
        <f>SUMIFS(
  '[1]Hoja 1'!$M:$M,
  '[1]Hoja 1'!$S:$S, $A177,
  '[1]Hoja 1'!$R:$R, "&gt;="&amp;INT($I$1),
  '[1]Hoja 1'!$R:$R, "&lt;"&amp;INT($J$1+1)
)</f>
        <v>7</v>
      </c>
      <c r="H177" s="1">
        <f t="shared" si="170"/>
        <v>4.5</v>
      </c>
      <c r="I177" s="1"/>
      <c r="J177" s="2"/>
      <c r="K177" s="1">
        <f>SUMIFS(
  '[1]Hoja 1'!$M:$M,
  '[1]Hoja 1'!$S:$S, $A177,
  '[1]Hoja 1'!$R:$R, "&gt;="&amp;INT($M$1),
  '[1]Hoja 1'!$R:$R, "&lt;"&amp;INT($N$1+1)
)</f>
        <v>5</v>
      </c>
      <c r="L177" s="1">
        <f t="shared" si="171"/>
        <v>6</v>
      </c>
      <c r="M177" s="9">
        <f t="shared" si="172"/>
        <v>1.149247481060284</v>
      </c>
      <c r="N177" s="10">
        <f t="shared" si="173"/>
        <v>10.850752518939716</v>
      </c>
      <c r="O177" s="1">
        <f>SUMIFS(
  '[1]Hoja 1'!$M:$M,
  '[1]Hoja 1'!$S:$S, $A177,
  '[1]Hoja 1'!$R:$R, "&gt;="&amp;INT($Q$1),
  '[1]Hoja 1'!$R:$R, "&lt;"&amp;INT($R$1+1)
)</f>
        <v>3</v>
      </c>
      <c r="P177" s="1">
        <f t="shared" si="174"/>
        <v>4</v>
      </c>
      <c r="Q177" s="9">
        <f t="shared" si="175"/>
        <v>2.0393771533591671</v>
      </c>
      <c r="R177" s="10">
        <f t="shared" si="176"/>
        <v>9.9606228466408329</v>
      </c>
      <c r="S177" s="1">
        <f>SUMIFS(
  '[1]Hoja 1'!$M:$M,
  '[1]Hoja 1'!$S:$S, $A177,
  '[1]Hoja 1'!$R:$R, "&gt;="&amp;INT($U$1),
  '[1]Hoja 1'!$R:$R, "&lt;"&amp;INT($V$1+1)
)</f>
        <v>2</v>
      </c>
      <c r="T177" s="1">
        <f t="shared" si="177"/>
        <v>3</v>
      </c>
      <c r="U177" s="9">
        <f t="shared" si="178"/>
        <v>-0.29917161319827912</v>
      </c>
      <c r="V177" s="10">
        <f t="shared" si="179"/>
        <v>6.2991716131982791</v>
      </c>
      <c r="W177" s="1">
        <f>SUMIFS(
  '[1]Hoja 1'!$M:$M,
  '[1]Hoja 1'!$S:$S, $A177,
  '[1]Hoja 1'!$R:$R, "&gt;="&amp;INT($Y$1),
  '[1]Hoja 1'!$R:$R, "&lt;"&amp;INT($Z$1+1)
)</f>
        <v>6</v>
      </c>
      <c r="X177" s="1">
        <f t="shared" si="180"/>
        <v>4</v>
      </c>
      <c r="Y177" s="9">
        <f t="shared" si="181"/>
        <v>1.1851643031963661</v>
      </c>
      <c r="Z177" s="10">
        <f t="shared" si="182"/>
        <v>6.8148356968036339</v>
      </c>
      <c r="AA177" s="1">
        <f>SUMIFS(
  '[1]Hoja 1'!$M:$M,
  '[1]Hoja 1'!$S:$S, $A177,
  '[1]Hoja 1'!$R:$R, "&gt;="&amp;INT($AC$1),
  '[1]Hoja 1'!$R:$R, "&lt;"&amp;INT($AD$1+1)
)</f>
        <v>4</v>
      </c>
      <c r="AB177" s="1">
        <f t="shared" si="183"/>
        <v>5</v>
      </c>
      <c r="AC177" s="9">
        <f t="shared" si="184"/>
        <v>2.5598196787942085</v>
      </c>
      <c r="AD177" s="10">
        <f t="shared" si="185"/>
        <v>7.8148356968036339</v>
      </c>
      <c r="AE177" s="1">
        <f>SUMIFS(
  '[1]Hoja 1'!$M:$M,
  '[1]Hoja 1'!$S:$S, $A177,
  '[1]Hoja 1'!$R:$R, "&gt;="&amp;INT($AG$1),
  '[1]Hoja 1'!$R:$R, "&lt;"&amp;INT($AH$1+1)
)</f>
        <v>0</v>
      </c>
      <c r="AF177" s="1">
        <f t="shared" si="186"/>
        <v>2</v>
      </c>
      <c r="AG177" s="9">
        <f t="shared" si="187"/>
        <v>-0.90714980694149983</v>
      </c>
      <c r="AH177" s="10">
        <f t="shared" si="188"/>
        <v>5.3353610499214827</v>
      </c>
      <c r="AI177" s="1">
        <f>SUMIFS(
  '[1]Hoja 1'!$M:$M,
  '[1]Hoja 1'!$S:$S, $A177,
  '[1]Hoja 1'!$R:$R, "&gt;="&amp;INT($AK$1),
  '[1]Hoja 1'!$R:$R, "&lt;"&amp;INT($AL$1+1)
)</f>
        <v>0</v>
      </c>
      <c r="AJ177" s="1">
        <f t="shared" si="189"/>
        <v>0</v>
      </c>
      <c r="AK177" s="9">
        <f t="shared" si="190"/>
        <v>-2.9071498069414998</v>
      </c>
      <c r="AL177" s="10">
        <f t="shared" si="191"/>
        <v>3.3473372502134686</v>
      </c>
      <c r="AM177" s="1">
        <f>SUMIFS(
  '[1]Hoja 1'!$M:$M,
  '[1]Hoja 1'!$S:$S, $A177,
  '[1]Hoja 1'!$R:$R, "&gt;="&amp;INT($AO$1),
  '[1]Hoja 1'!$R:$R, "&lt;"&amp;INT($AP$1+1)
)</f>
        <v>0</v>
      </c>
      <c r="AN177" s="1">
        <f t="shared" si="192"/>
        <v>0</v>
      </c>
      <c r="AO177" s="9">
        <f t="shared" si="193"/>
        <v>-1.7530772943598349</v>
      </c>
      <c r="AP177" s="10">
        <f t="shared" si="194"/>
        <v>1.8765571312024227</v>
      </c>
      <c r="AQ177" s="1">
        <f>SUMIFS(
  '[1]Hoja 1'!$M:$M,
  '[1]Hoja 1'!$S:$S, $A177,
  '[1]Hoja 1'!$R:$R, "&gt;="&amp;INT($AS$1),
  '[1]Hoja 1'!$R:$R, "&lt;"&amp;INT($AT$1+1)
)</f>
        <v>0</v>
      </c>
      <c r="AR177" s="1">
        <f t="shared" si="195"/>
        <v>0</v>
      </c>
      <c r="AS177" s="9">
        <f t="shared" si="196"/>
        <v>-1.7530772943598349</v>
      </c>
      <c r="AT177" s="10">
        <f t="shared" si="197"/>
        <v>1.96</v>
      </c>
      <c r="AU177" s="1">
        <f>SUMIFS(
  '[1]Hoja 1'!$M:$M,
  '[1]Hoja 1'!$S:$S, $A177,
  '[1]Hoja 1'!$R:$R, "&gt;="&amp;INT($AW$1),
  '[1]Hoja 1'!$R:$R, "&lt;"&amp;INT($AX$1+1)
)</f>
        <v>0</v>
      </c>
      <c r="AV177" s="1">
        <f t="shared" si="198"/>
        <v>0</v>
      </c>
      <c r="AW177" s="9">
        <f t="shared" si="199"/>
        <v>0</v>
      </c>
      <c r="AX177" s="10">
        <f t="shared" si="200"/>
        <v>0</v>
      </c>
      <c r="AY177" s="1">
        <f>SUMIFS(
  '[1]Hoja 1'!$M:$M,
  '[1]Hoja 1'!$S:$S, $A177,
  '[1]Hoja 1'!$R:$R, "&gt;="&amp;INT($BA$1),
  '[1]Hoja 1'!$R:$R, "&lt;"&amp;INT($BB$1+1)
)</f>
        <v>0</v>
      </c>
      <c r="AZ177" s="1">
        <f t="shared" si="201"/>
        <v>0</v>
      </c>
      <c r="BA177" s="9">
        <f t="shared" si="202"/>
        <v>0</v>
      </c>
      <c r="BB177" s="10">
        <f t="shared" si="203"/>
        <v>0</v>
      </c>
      <c r="BC177" s="1">
        <f>SUMIFS(
  '[1]Hoja 1'!$M:$M,
  '[1]Hoja 1'!$S:$S, $A177,
  '[1]Hoja 1'!$R:$R, "&gt;="&amp;INT($BE$1),
  '[1]Hoja 1'!$R:$R, "&lt;"&amp;INT($BF$1+1)
)</f>
        <v>0</v>
      </c>
      <c r="BD177" s="1">
        <f t="shared" si="204"/>
        <v>0</v>
      </c>
      <c r="BE177" s="9">
        <f t="shared" si="205"/>
        <v>0</v>
      </c>
      <c r="BF177" s="10">
        <f t="shared" si="206"/>
        <v>0</v>
      </c>
      <c r="BG177" s="1">
        <f>SUMIFS(
  '[1]Hoja 1'!$M:$M,
  '[1]Hoja 1'!$S:$S, $A177,
  '[1]Hoja 1'!$R:$R, "&gt;="&amp;INT($BI$1),
  '[1]Hoja 1'!$R:$R, "&lt;"&amp;INT($BJ$1+1)
)</f>
        <v>0</v>
      </c>
      <c r="BH177" s="1">
        <f t="shared" si="207"/>
        <v>0</v>
      </c>
      <c r="BI177" s="9">
        <f t="shared" si="208"/>
        <v>0</v>
      </c>
      <c r="BJ177" s="10">
        <f t="shared" si="209"/>
        <v>0</v>
      </c>
      <c r="BK177" s="1">
        <f>SUMIFS(
  '[1]Hoja 1'!$M:$M,
  '[1]Hoja 1'!$S:$S, $A177,
  '[1]Hoja 1'!$R:$R, "&gt;="&amp;INT($BM$1),
  '[1]Hoja 1'!$R:$R, "&lt;"&amp;INT($BN$1+1)
)</f>
        <v>0</v>
      </c>
      <c r="BL177" s="1">
        <f t="shared" si="210"/>
        <v>0</v>
      </c>
      <c r="BM177" s="9">
        <f t="shared" si="211"/>
        <v>0</v>
      </c>
      <c r="BN177" s="10">
        <f t="shared" si="212"/>
        <v>0</v>
      </c>
      <c r="BO177" s="1">
        <f>SUMIFS(
  '[1]Hoja 1'!$M:$M,
  '[1]Hoja 1'!$S:$S, $A177,
  '[1]Hoja 1'!$R:$R, "&gt;="&amp;INT($BQ$1),
  '[1]Hoja 1'!$R:$R, "&lt;"&amp;INT($BR$1+1)
)</f>
        <v>0</v>
      </c>
      <c r="BP177" s="1">
        <f t="shared" si="213"/>
        <v>0</v>
      </c>
      <c r="BQ177" s="9">
        <f t="shared" si="214"/>
        <v>0</v>
      </c>
      <c r="BR177" s="10">
        <f t="shared" si="215"/>
        <v>0</v>
      </c>
      <c r="BS177" s="1">
        <f>SUMIFS(
  '[1]Hoja 1'!$M:$M,
  '[1]Hoja 1'!$S:$S, $A177,
  '[1]Hoja 1'!$R:$R, "&gt;="&amp;INT($BU$1),
  '[1]Hoja 1'!$R:$R, "&lt;"&amp;INT($BV$1+1)
)</f>
        <v>0</v>
      </c>
      <c r="BT177" s="1">
        <f t="shared" si="216"/>
        <v>0</v>
      </c>
      <c r="BU177" s="9">
        <f t="shared" si="217"/>
        <v>0</v>
      </c>
      <c r="BV177" s="10">
        <f t="shared" si="218"/>
        <v>0</v>
      </c>
      <c r="BW177" s="1">
        <f>SUMIFS(
  '[1]Hoja 1'!$M:$M,
  '[1]Hoja 1'!$S:$S, $A177,
  '[1]Hoja 1'!$R:$R, "&gt;="&amp;INT($BY$1),
  '[1]Hoja 1'!$R:$R, "&lt;"&amp;INT($BZ$1+1)
)</f>
        <v>0</v>
      </c>
      <c r="BX177" s="1">
        <f t="shared" si="219"/>
        <v>0</v>
      </c>
      <c r="BY177" s="9">
        <f t="shared" si="220"/>
        <v>0</v>
      </c>
      <c r="BZ177" s="10">
        <f t="shared" si="221"/>
        <v>0</v>
      </c>
      <c r="CA177" s="1">
        <f>SUMIFS(
  '[1]Hoja 1'!$M:$M,
  '[1]Hoja 1'!$S:$S, $A177,
  '[1]Hoja 1'!$R:$R, "&gt;="&amp;INT($CC$1),
  '[1]Hoja 1'!$R:$R, "&lt;"&amp;INT($CD$1+1)
)</f>
        <v>0</v>
      </c>
      <c r="CB177" s="1">
        <f t="shared" si="222"/>
        <v>0</v>
      </c>
      <c r="CC177" s="9">
        <f t="shared" si="223"/>
        <v>0</v>
      </c>
      <c r="CD177" s="10">
        <f t="shared" si="224"/>
        <v>0</v>
      </c>
      <c r="CE177" s="1">
        <f>SUMIFS(
  '[1]Hoja 1'!$M:$M,
  '[1]Hoja 1'!$S:$S, $A177,
  '[1]Hoja 1'!$R:$R, "&gt;="&amp;INT($CG$1),
  '[1]Hoja 1'!$R:$R, "&lt;"&amp;INT($CH$1+1)
)</f>
        <v>0</v>
      </c>
      <c r="CF177" s="1">
        <f t="shared" si="225"/>
        <v>0</v>
      </c>
      <c r="CG177" s="9">
        <f t="shared" si="226"/>
        <v>0</v>
      </c>
      <c r="CH177" s="10">
        <f t="shared" si="227"/>
        <v>0</v>
      </c>
      <c r="CI177" s="1">
        <f>SUMIFS(
  '[1]Hoja 1'!$M:$M,
  '[1]Hoja 1'!$S:$S, $A177,
  '[1]Hoja 1'!$R:$R, "&gt;="&amp;INT($CK$1),
  '[1]Hoja 1'!$R:$R, "&lt;"&amp;INT($CL$1+1)
)</f>
        <v>0</v>
      </c>
      <c r="CJ177" s="1">
        <f t="shared" si="228"/>
        <v>0</v>
      </c>
      <c r="CK177" s="9">
        <f t="shared" si="229"/>
        <v>0</v>
      </c>
      <c r="CL177" s="10">
        <f t="shared" si="230"/>
        <v>0</v>
      </c>
      <c r="CM177" s="1">
        <f>SUMIFS(
  '[1]Hoja 1'!$M:$M,
  '[1]Hoja 1'!$S:$S, $A177,
  '[1]Hoja 1'!$R:$R, "&gt;="&amp;INT($CO$1),
  '[1]Hoja 1'!$R:$R, "&lt;"&amp;INT($CP$1+1)
)</f>
        <v>0</v>
      </c>
      <c r="CN177" s="1">
        <f t="shared" si="231"/>
        <v>0</v>
      </c>
      <c r="CO177" s="9">
        <f t="shared" si="232"/>
        <v>0</v>
      </c>
      <c r="CP177" s="10">
        <f t="shared" si="233"/>
        <v>0</v>
      </c>
      <c r="CQ177" s="1">
        <f>SUMIFS(
  '[1]Hoja 1'!$M:$M,
  '[1]Hoja 1'!$S:$S, $A177,
  '[1]Hoja 1'!$R:$R, "&gt;="&amp;INT($CS$1),
  '[1]Hoja 1'!$R:$R, "&lt;"&amp;INT($CT$1+1)
)</f>
        <v>0</v>
      </c>
      <c r="CR177" s="1">
        <f t="shared" si="234"/>
        <v>0</v>
      </c>
      <c r="CS177" s="9">
        <f t="shared" si="235"/>
        <v>0</v>
      </c>
      <c r="CT177" s="10">
        <f t="shared" si="236"/>
        <v>0</v>
      </c>
      <c r="CU177" s="1">
        <f>SUMIFS(
  '[1]Hoja 1'!$M:$M,
  '[1]Hoja 1'!$S:$S, $A177,
  '[1]Hoja 1'!$R:$R, "&gt;="&amp;INT($CW$1),
  '[1]Hoja 1'!$R:$R, "&lt;"&amp;INT($CX$1+1)
)</f>
        <v>0</v>
      </c>
      <c r="CV177" s="1">
        <f t="shared" si="237"/>
        <v>0</v>
      </c>
      <c r="CW177" s="9">
        <f t="shared" si="238"/>
        <v>0</v>
      </c>
      <c r="CX177" s="10">
        <f t="shared" si="239"/>
        <v>0</v>
      </c>
      <c r="CY177" s="1">
        <f>SUMIFS(
  '[1]Hoja 1'!$M:$M,
  '[1]Hoja 1'!$S:$S, $A177,
  '[1]Hoja 1'!$R:$R, "&gt;="&amp;INT($DA$1),
  '[1]Hoja 1'!$R:$R, "&lt;"&amp;INT($DB$1+1)
)</f>
        <v>0</v>
      </c>
      <c r="CZ177" s="1">
        <f t="shared" si="240"/>
        <v>0</v>
      </c>
      <c r="DA177" s="9">
        <f t="shared" si="241"/>
        <v>0</v>
      </c>
      <c r="DB177" s="10">
        <f t="shared" si="242"/>
        <v>0</v>
      </c>
      <c r="DC177" s="1">
        <f>SUMIFS(
  '[1]Hoja 1'!$M:$M,
  '[1]Hoja 1'!$S:$S, $A177,
  '[1]Hoja 1'!$R:$R, "&gt;="&amp;INT($DE$1),
  '[1]Hoja 1'!$R:$R, "&lt;"&amp;INT($DF$1+1)
)</f>
        <v>0</v>
      </c>
      <c r="DD177" s="1">
        <f t="shared" si="243"/>
        <v>0</v>
      </c>
      <c r="DE177" s="9">
        <f t="shared" si="244"/>
        <v>0</v>
      </c>
      <c r="DF177" s="10">
        <f t="shared" si="245"/>
        <v>0</v>
      </c>
      <c r="DG177" s="1">
        <f>SUMIFS(
  '[1]Hoja 1'!$M:$M,
  '[1]Hoja 1'!$S:$S, $A177,
  '[1]Hoja 1'!$R:$R, "&gt;="&amp;INT($DI$1),
  '[1]Hoja 1'!$R:$R, "&lt;"&amp;INT($DJ$1+1)
)</f>
        <v>0</v>
      </c>
      <c r="DH177" s="1">
        <f t="shared" si="246"/>
        <v>0</v>
      </c>
      <c r="DI177" s="9">
        <f t="shared" si="247"/>
        <v>0</v>
      </c>
      <c r="DJ177" s="10">
        <f t="shared" si="248"/>
        <v>0</v>
      </c>
      <c r="DK177" s="1">
        <f>SUMIFS(
  '[1]Hoja 1'!$M:$M,
  '[1]Hoja 1'!$S:$S, $A177,
  '[1]Hoja 1'!$R:$R, "&gt;="&amp;INT($DM$1),
  '[1]Hoja 1'!$R:$R, "&lt;"&amp;INT($DN$1+1)
)</f>
        <v>0</v>
      </c>
      <c r="DL177" s="1">
        <f t="shared" si="249"/>
        <v>0</v>
      </c>
      <c r="DM177" s="9">
        <f t="shared" si="250"/>
        <v>0</v>
      </c>
      <c r="DN177" s="10">
        <f t="shared" si="251"/>
        <v>0</v>
      </c>
      <c r="DO177" s="1">
        <f>SUMIFS(
  '[1]Hoja 1'!$M:$M,
  '[1]Hoja 1'!$S:$S, $A177,
  '[1]Hoja 1'!$R:$R, "&gt;="&amp;INT($DQ$1),
  '[1]Hoja 1'!$R:$R, "&lt;"&amp;INT($DR$1+1)
)</f>
        <v>0</v>
      </c>
      <c r="DP177" s="1">
        <f t="shared" si="252"/>
        <v>0</v>
      </c>
      <c r="DQ177" s="9">
        <f t="shared" si="253"/>
        <v>0</v>
      </c>
      <c r="DR177" s="10">
        <f t="shared" si="254"/>
        <v>0</v>
      </c>
    </row>
    <row r="178" spans="1:122" x14ac:dyDescent="0.25">
      <c r="A178" s="5">
        <v>231001</v>
      </c>
      <c r="B178" s="6" t="s">
        <v>174</v>
      </c>
      <c r="C178" s="1">
        <f>SUMIFS(
  '[1]Hoja 1'!$M:$M,
  '[1]Hoja 1'!$S:$S, $A178,
  '[1]Hoja 1'!$R:$R, "&gt;="&amp;INT($E$1),
  '[1]Hoja 1'!$R:$R, "&lt;"&amp;INT($F$1+1)
)</f>
        <v>0</v>
      </c>
      <c r="D178" s="1" t="str">
        <f>""</f>
        <v/>
      </c>
      <c r="F178" s="2"/>
      <c r="G178" s="1">
        <f>SUMIFS(
  '[1]Hoja 1'!$M:$M,
  '[1]Hoja 1'!$S:$S, $A178,
  '[1]Hoja 1'!$R:$R, "&gt;="&amp;INT($I$1),
  '[1]Hoja 1'!$R:$R, "&lt;"&amp;INT($J$1+1)
)</f>
        <v>0</v>
      </c>
      <c r="H178" s="1">
        <f t="shared" si="170"/>
        <v>0</v>
      </c>
      <c r="I178" s="1"/>
      <c r="J178" s="2"/>
      <c r="K178" s="1">
        <f>SUMIFS(
  '[1]Hoja 1'!$M:$M,
  '[1]Hoja 1'!$S:$S, $A178,
  '[1]Hoja 1'!$R:$R, "&gt;="&amp;INT($M$1),
  '[1]Hoja 1'!$R:$R, "&lt;"&amp;INT($N$1+1)
)</f>
        <v>0</v>
      </c>
      <c r="L178" s="1">
        <f t="shared" si="171"/>
        <v>0</v>
      </c>
      <c r="M178" s="9">
        <f t="shared" si="172"/>
        <v>0</v>
      </c>
      <c r="N178" s="10">
        <f t="shared" si="173"/>
        <v>0</v>
      </c>
      <c r="O178" s="1">
        <f>SUMIFS(
  '[1]Hoja 1'!$M:$M,
  '[1]Hoja 1'!$S:$S, $A178,
  '[1]Hoja 1'!$R:$R, "&gt;="&amp;INT($Q$1),
  '[1]Hoja 1'!$R:$R, "&lt;"&amp;INT($R$1+1)
)</f>
        <v>0</v>
      </c>
      <c r="P178" s="1">
        <f t="shared" si="174"/>
        <v>0</v>
      </c>
      <c r="Q178" s="9">
        <f t="shared" si="175"/>
        <v>0</v>
      </c>
      <c r="R178" s="10">
        <f t="shared" si="176"/>
        <v>0</v>
      </c>
      <c r="S178" s="1">
        <f>SUMIFS(
  '[1]Hoja 1'!$M:$M,
  '[1]Hoja 1'!$S:$S, $A178,
  '[1]Hoja 1'!$R:$R, "&gt;="&amp;INT($U$1),
  '[1]Hoja 1'!$R:$R, "&lt;"&amp;INT($V$1+1)
)</f>
        <v>0</v>
      </c>
      <c r="T178" s="1">
        <f t="shared" si="177"/>
        <v>0</v>
      </c>
      <c r="U178" s="9">
        <f t="shared" si="178"/>
        <v>0</v>
      </c>
      <c r="V178" s="10">
        <f t="shared" si="179"/>
        <v>0</v>
      </c>
      <c r="W178" s="1">
        <f>SUMIFS(
  '[1]Hoja 1'!$M:$M,
  '[1]Hoja 1'!$S:$S, $A178,
  '[1]Hoja 1'!$R:$R, "&gt;="&amp;INT($Y$1),
  '[1]Hoja 1'!$R:$R, "&lt;"&amp;INT($Z$1+1)
)</f>
        <v>0</v>
      </c>
      <c r="X178" s="1">
        <f t="shared" si="180"/>
        <v>0</v>
      </c>
      <c r="Y178" s="9">
        <f t="shared" si="181"/>
        <v>0</v>
      </c>
      <c r="Z178" s="10">
        <f t="shared" si="182"/>
        <v>0</v>
      </c>
      <c r="AA178" s="1">
        <f>SUMIFS(
  '[1]Hoja 1'!$M:$M,
  '[1]Hoja 1'!$S:$S, $A178,
  '[1]Hoja 1'!$R:$R, "&gt;="&amp;INT($AC$1),
  '[1]Hoja 1'!$R:$R, "&lt;"&amp;INT($AD$1+1)
)</f>
        <v>0</v>
      </c>
      <c r="AB178" s="1">
        <f t="shared" si="183"/>
        <v>0</v>
      </c>
      <c r="AC178" s="9">
        <f t="shared" si="184"/>
        <v>0</v>
      </c>
      <c r="AD178" s="10">
        <f t="shared" si="185"/>
        <v>0</v>
      </c>
      <c r="AE178" s="1">
        <f>SUMIFS(
  '[1]Hoja 1'!$M:$M,
  '[1]Hoja 1'!$S:$S, $A178,
  '[1]Hoja 1'!$R:$R, "&gt;="&amp;INT($AG$1),
  '[1]Hoja 1'!$R:$R, "&lt;"&amp;INT($AH$1+1)
)</f>
        <v>0</v>
      </c>
      <c r="AF178" s="1">
        <f t="shared" si="186"/>
        <v>0</v>
      </c>
      <c r="AG178" s="9">
        <f t="shared" si="187"/>
        <v>0</v>
      </c>
      <c r="AH178" s="10">
        <f t="shared" si="188"/>
        <v>0</v>
      </c>
      <c r="AI178" s="1">
        <f>SUMIFS(
  '[1]Hoja 1'!$M:$M,
  '[1]Hoja 1'!$S:$S, $A178,
  '[1]Hoja 1'!$R:$R, "&gt;="&amp;INT($AK$1),
  '[1]Hoja 1'!$R:$R, "&lt;"&amp;INT($AL$1+1)
)</f>
        <v>0</v>
      </c>
      <c r="AJ178" s="1">
        <f t="shared" si="189"/>
        <v>0</v>
      </c>
      <c r="AK178" s="9">
        <f t="shared" si="190"/>
        <v>0</v>
      </c>
      <c r="AL178" s="10">
        <f t="shared" si="191"/>
        <v>0</v>
      </c>
      <c r="AM178" s="1">
        <f>SUMIFS(
  '[1]Hoja 1'!$M:$M,
  '[1]Hoja 1'!$S:$S, $A178,
  '[1]Hoja 1'!$R:$R, "&gt;="&amp;INT($AO$1),
  '[1]Hoja 1'!$R:$R, "&lt;"&amp;INT($AP$1+1)
)</f>
        <v>0</v>
      </c>
      <c r="AN178" s="1">
        <f t="shared" si="192"/>
        <v>0</v>
      </c>
      <c r="AO178" s="9">
        <f t="shared" si="193"/>
        <v>0</v>
      </c>
      <c r="AP178" s="10">
        <f t="shared" si="194"/>
        <v>0</v>
      </c>
      <c r="AQ178" s="1">
        <f>SUMIFS(
  '[1]Hoja 1'!$M:$M,
  '[1]Hoja 1'!$S:$S, $A178,
  '[1]Hoja 1'!$R:$R, "&gt;="&amp;INT($AS$1),
  '[1]Hoja 1'!$R:$R, "&lt;"&amp;INT($AT$1+1)
)</f>
        <v>0</v>
      </c>
      <c r="AR178" s="1">
        <f t="shared" si="195"/>
        <v>0</v>
      </c>
      <c r="AS178" s="9">
        <f t="shared" si="196"/>
        <v>0</v>
      </c>
      <c r="AT178" s="10">
        <f t="shared" si="197"/>
        <v>0</v>
      </c>
      <c r="AU178" s="1">
        <f>SUMIFS(
  '[1]Hoja 1'!$M:$M,
  '[1]Hoja 1'!$S:$S, $A178,
  '[1]Hoja 1'!$R:$R, "&gt;="&amp;INT($AW$1),
  '[1]Hoja 1'!$R:$R, "&lt;"&amp;INT($AX$1+1)
)</f>
        <v>0</v>
      </c>
      <c r="AV178" s="1">
        <f t="shared" si="198"/>
        <v>0</v>
      </c>
      <c r="AW178" s="9">
        <f t="shared" si="199"/>
        <v>0</v>
      </c>
      <c r="AX178" s="10">
        <f t="shared" si="200"/>
        <v>0</v>
      </c>
      <c r="AY178" s="1">
        <f>SUMIFS(
  '[1]Hoja 1'!$M:$M,
  '[1]Hoja 1'!$S:$S, $A178,
  '[1]Hoja 1'!$R:$R, "&gt;="&amp;INT($BA$1),
  '[1]Hoja 1'!$R:$R, "&lt;"&amp;INT($BB$1+1)
)</f>
        <v>0</v>
      </c>
      <c r="AZ178" s="1">
        <f t="shared" si="201"/>
        <v>0</v>
      </c>
      <c r="BA178" s="9">
        <f t="shared" si="202"/>
        <v>0</v>
      </c>
      <c r="BB178" s="10">
        <f t="shared" si="203"/>
        <v>0</v>
      </c>
      <c r="BC178" s="1">
        <f>SUMIFS(
  '[1]Hoja 1'!$M:$M,
  '[1]Hoja 1'!$S:$S, $A178,
  '[1]Hoja 1'!$R:$R, "&gt;="&amp;INT($BE$1),
  '[1]Hoja 1'!$R:$R, "&lt;"&amp;INT($BF$1+1)
)</f>
        <v>0</v>
      </c>
      <c r="BD178" s="1">
        <f t="shared" si="204"/>
        <v>0</v>
      </c>
      <c r="BE178" s="9">
        <f t="shared" si="205"/>
        <v>0</v>
      </c>
      <c r="BF178" s="10">
        <f t="shared" si="206"/>
        <v>0</v>
      </c>
      <c r="BG178" s="1">
        <f>SUMIFS(
  '[1]Hoja 1'!$M:$M,
  '[1]Hoja 1'!$S:$S, $A178,
  '[1]Hoja 1'!$R:$R, "&gt;="&amp;INT($BI$1),
  '[1]Hoja 1'!$R:$R, "&lt;"&amp;INT($BJ$1+1)
)</f>
        <v>0</v>
      </c>
      <c r="BH178" s="1">
        <f t="shared" si="207"/>
        <v>0</v>
      </c>
      <c r="BI178" s="9">
        <f t="shared" si="208"/>
        <v>0</v>
      </c>
      <c r="BJ178" s="10">
        <f t="shared" si="209"/>
        <v>0</v>
      </c>
      <c r="BK178" s="1">
        <f>SUMIFS(
  '[1]Hoja 1'!$M:$M,
  '[1]Hoja 1'!$S:$S, $A178,
  '[1]Hoja 1'!$R:$R, "&gt;="&amp;INT($BM$1),
  '[1]Hoja 1'!$R:$R, "&lt;"&amp;INT($BN$1+1)
)</f>
        <v>0</v>
      </c>
      <c r="BL178" s="1">
        <f t="shared" si="210"/>
        <v>0</v>
      </c>
      <c r="BM178" s="9">
        <f t="shared" si="211"/>
        <v>0</v>
      </c>
      <c r="BN178" s="10">
        <f t="shared" si="212"/>
        <v>0</v>
      </c>
      <c r="BO178" s="1">
        <f>SUMIFS(
  '[1]Hoja 1'!$M:$M,
  '[1]Hoja 1'!$S:$S, $A178,
  '[1]Hoja 1'!$R:$R, "&gt;="&amp;INT($BQ$1),
  '[1]Hoja 1'!$R:$R, "&lt;"&amp;INT($BR$1+1)
)</f>
        <v>0</v>
      </c>
      <c r="BP178" s="1">
        <f t="shared" si="213"/>
        <v>0</v>
      </c>
      <c r="BQ178" s="9">
        <f t="shared" si="214"/>
        <v>0</v>
      </c>
      <c r="BR178" s="10">
        <f t="shared" si="215"/>
        <v>0</v>
      </c>
      <c r="BS178" s="1">
        <f>SUMIFS(
  '[1]Hoja 1'!$M:$M,
  '[1]Hoja 1'!$S:$S, $A178,
  '[1]Hoja 1'!$R:$R, "&gt;="&amp;INT($BU$1),
  '[1]Hoja 1'!$R:$R, "&lt;"&amp;INT($BV$1+1)
)</f>
        <v>0</v>
      </c>
      <c r="BT178" s="1">
        <f t="shared" si="216"/>
        <v>0</v>
      </c>
      <c r="BU178" s="9">
        <f t="shared" si="217"/>
        <v>0</v>
      </c>
      <c r="BV178" s="10">
        <f t="shared" si="218"/>
        <v>0</v>
      </c>
      <c r="BW178" s="1">
        <f>SUMIFS(
  '[1]Hoja 1'!$M:$M,
  '[1]Hoja 1'!$S:$S, $A178,
  '[1]Hoja 1'!$R:$R, "&gt;="&amp;INT($BY$1),
  '[1]Hoja 1'!$R:$R, "&lt;"&amp;INT($BZ$1+1)
)</f>
        <v>0</v>
      </c>
      <c r="BX178" s="1">
        <f t="shared" si="219"/>
        <v>0</v>
      </c>
      <c r="BY178" s="9">
        <f t="shared" si="220"/>
        <v>0</v>
      </c>
      <c r="BZ178" s="10">
        <f t="shared" si="221"/>
        <v>0</v>
      </c>
      <c r="CA178" s="1">
        <f>SUMIFS(
  '[1]Hoja 1'!$M:$M,
  '[1]Hoja 1'!$S:$S, $A178,
  '[1]Hoja 1'!$R:$R, "&gt;="&amp;INT($CC$1),
  '[1]Hoja 1'!$R:$R, "&lt;"&amp;INT($CD$1+1)
)</f>
        <v>0</v>
      </c>
      <c r="CB178" s="1">
        <f t="shared" si="222"/>
        <v>0</v>
      </c>
      <c r="CC178" s="9">
        <f t="shared" si="223"/>
        <v>0</v>
      </c>
      <c r="CD178" s="10">
        <f t="shared" si="224"/>
        <v>0</v>
      </c>
      <c r="CE178" s="1">
        <f>SUMIFS(
  '[1]Hoja 1'!$M:$M,
  '[1]Hoja 1'!$S:$S, $A178,
  '[1]Hoja 1'!$R:$R, "&gt;="&amp;INT($CG$1),
  '[1]Hoja 1'!$R:$R, "&lt;"&amp;INT($CH$1+1)
)</f>
        <v>0</v>
      </c>
      <c r="CF178" s="1">
        <f t="shared" si="225"/>
        <v>0</v>
      </c>
      <c r="CG178" s="9">
        <f t="shared" si="226"/>
        <v>0</v>
      </c>
      <c r="CH178" s="10">
        <f t="shared" si="227"/>
        <v>0</v>
      </c>
      <c r="CI178" s="1">
        <f>SUMIFS(
  '[1]Hoja 1'!$M:$M,
  '[1]Hoja 1'!$S:$S, $A178,
  '[1]Hoja 1'!$R:$R, "&gt;="&amp;INT($CK$1),
  '[1]Hoja 1'!$R:$R, "&lt;"&amp;INT($CL$1+1)
)</f>
        <v>0</v>
      </c>
      <c r="CJ178" s="1">
        <f t="shared" si="228"/>
        <v>0</v>
      </c>
      <c r="CK178" s="9">
        <f t="shared" si="229"/>
        <v>0</v>
      </c>
      <c r="CL178" s="10">
        <f t="shared" si="230"/>
        <v>0</v>
      </c>
      <c r="CM178" s="1">
        <f>SUMIFS(
  '[1]Hoja 1'!$M:$M,
  '[1]Hoja 1'!$S:$S, $A178,
  '[1]Hoja 1'!$R:$R, "&gt;="&amp;INT($CO$1),
  '[1]Hoja 1'!$R:$R, "&lt;"&amp;INT($CP$1+1)
)</f>
        <v>0</v>
      </c>
      <c r="CN178" s="1">
        <f t="shared" si="231"/>
        <v>0</v>
      </c>
      <c r="CO178" s="9">
        <f t="shared" si="232"/>
        <v>0</v>
      </c>
      <c r="CP178" s="10">
        <f t="shared" si="233"/>
        <v>0</v>
      </c>
      <c r="CQ178" s="1">
        <f>SUMIFS(
  '[1]Hoja 1'!$M:$M,
  '[1]Hoja 1'!$S:$S, $A178,
  '[1]Hoja 1'!$R:$R, "&gt;="&amp;INT($CS$1),
  '[1]Hoja 1'!$R:$R, "&lt;"&amp;INT($CT$1+1)
)</f>
        <v>0</v>
      </c>
      <c r="CR178" s="1">
        <f t="shared" si="234"/>
        <v>0</v>
      </c>
      <c r="CS178" s="9">
        <f t="shared" si="235"/>
        <v>0</v>
      </c>
      <c r="CT178" s="10">
        <f t="shared" si="236"/>
        <v>0</v>
      </c>
      <c r="CU178" s="1">
        <f>SUMIFS(
  '[1]Hoja 1'!$M:$M,
  '[1]Hoja 1'!$S:$S, $A178,
  '[1]Hoja 1'!$R:$R, "&gt;="&amp;INT($CW$1),
  '[1]Hoja 1'!$R:$R, "&lt;"&amp;INT($CX$1+1)
)</f>
        <v>0</v>
      </c>
      <c r="CV178" s="1">
        <f t="shared" si="237"/>
        <v>0</v>
      </c>
      <c r="CW178" s="9">
        <f t="shared" si="238"/>
        <v>0</v>
      </c>
      <c r="CX178" s="10">
        <f t="shared" si="239"/>
        <v>0</v>
      </c>
      <c r="CY178" s="1">
        <f>SUMIFS(
  '[1]Hoja 1'!$M:$M,
  '[1]Hoja 1'!$S:$S, $A178,
  '[1]Hoja 1'!$R:$R, "&gt;="&amp;INT($DA$1),
  '[1]Hoja 1'!$R:$R, "&lt;"&amp;INT($DB$1+1)
)</f>
        <v>0</v>
      </c>
      <c r="CZ178" s="1">
        <f t="shared" si="240"/>
        <v>0</v>
      </c>
      <c r="DA178" s="9">
        <f t="shared" si="241"/>
        <v>0</v>
      </c>
      <c r="DB178" s="10">
        <f t="shared" si="242"/>
        <v>0</v>
      </c>
      <c r="DC178" s="1">
        <f>SUMIFS(
  '[1]Hoja 1'!$M:$M,
  '[1]Hoja 1'!$S:$S, $A178,
  '[1]Hoja 1'!$R:$R, "&gt;="&amp;INT($DE$1),
  '[1]Hoja 1'!$R:$R, "&lt;"&amp;INT($DF$1+1)
)</f>
        <v>0</v>
      </c>
      <c r="DD178" s="1">
        <f t="shared" si="243"/>
        <v>0</v>
      </c>
      <c r="DE178" s="9">
        <f t="shared" si="244"/>
        <v>0</v>
      </c>
      <c r="DF178" s="10">
        <f t="shared" si="245"/>
        <v>0</v>
      </c>
      <c r="DG178" s="1">
        <f>SUMIFS(
  '[1]Hoja 1'!$M:$M,
  '[1]Hoja 1'!$S:$S, $A178,
  '[1]Hoja 1'!$R:$R, "&gt;="&amp;INT($DI$1),
  '[1]Hoja 1'!$R:$R, "&lt;"&amp;INT($DJ$1+1)
)</f>
        <v>0</v>
      </c>
      <c r="DH178" s="1">
        <f t="shared" si="246"/>
        <v>0</v>
      </c>
      <c r="DI178" s="9">
        <f t="shared" si="247"/>
        <v>0</v>
      </c>
      <c r="DJ178" s="10">
        <f t="shared" si="248"/>
        <v>0</v>
      </c>
      <c r="DK178" s="1">
        <f>SUMIFS(
  '[1]Hoja 1'!$M:$M,
  '[1]Hoja 1'!$S:$S, $A178,
  '[1]Hoja 1'!$R:$R, "&gt;="&amp;INT($DM$1),
  '[1]Hoja 1'!$R:$R, "&lt;"&amp;INT($DN$1+1)
)</f>
        <v>0</v>
      </c>
      <c r="DL178" s="1">
        <f t="shared" si="249"/>
        <v>0</v>
      </c>
      <c r="DM178" s="9">
        <f t="shared" si="250"/>
        <v>0</v>
      </c>
      <c r="DN178" s="10">
        <f t="shared" si="251"/>
        <v>0</v>
      </c>
      <c r="DO178" s="1">
        <f>SUMIFS(
  '[1]Hoja 1'!$M:$M,
  '[1]Hoja 1'!$S:$S, $A178,
  '[1]Hoja 1'!$R:$R, "&gt;="&amp;INT($DQ$1),
  '[1]Hoja 1'!$R:$R, "&lt;"&amp;INT($DR$1+1)
)</f>
        <v>0</v>
      </c>
      <c r="DP178" s="1">
        <f t="shared" si="252"/>
        <v>0</v>
      </c>
      <c r="DQ178" s="9">
        <f t="shared" si="253"/>
        <v>0</v>
      </c>
      <c r="DR178" s="10">
        <f t="shared" si="254"/>
        <v>0</v>
      </c>
    </row>
    <row r="179" spans="1:122" x14ac:dyDescent="0.25">
      <c r="A179" s="5">
        <v>231002</v>
      </c>
      <c r="B179" s="6" t="s">
        <v>175</v>
      </c>
      <c r="C179" s="1">
        <f>SUMIFS(
  '[1]Hoja 1'!$M:$M,
  '[1]Hoja 1'!$S:$S, $A179,
  '[1]Hoja 1'!$R:$R, "&gt;="&amp;INT($E$1),
  '[1]Hoja 1'!$R:$R, "&lt;"&amp;INT($F$1+1)
)</f>
        <v>0</v>
      </c>
      <c r="D179" s="1" t="str">
        <f>""</f>
        <v/>
      </c>
      <c r="F179" s="2"/>
      <c r="G179" s="1">
        <f>SUMIFS(
  '[1]Hoja 1'!$M:$M,
  '[1]Hoja 1'!$S:$S, $A179,
  '[1]Hoja 1'!$R:$R, "&gt;="&amp;INT($I$1),
  '[1]Hoja 1'!$R:$R, "&lt;"&amp;INT($J$1+1)
)</f>
        <v>0</v>
      </c>
      <c r="H179" s="1">
        <f t="shared" si="170"/>
        <v>0</v>
      </c>
      <c r="I179" s="1"/>
      <c r="J179" s="2"/>
      <c r="K179" s="1">
        <f>SUMIFS(
  '[1]Hoja 1'!$M:$M,
  '[1]Hoja 1'!$S:$S, $A179,
  '[1]Hoja 1'!$R:$R, "&gt;="&amp;INT($M$1),
  '[1]Hoja 1'!$R:$R, "&lt;"&amp;INT($N$1+1)
)</f>
        <v>0</v>
      </c>
      <c r="L179" s="1">
        <f t="shared" si="171"/>
        <v>0</v>
      </c>
      <c r="M179" s="9">
        <f t="shared" si="172"/>
        <v>0</v>
      </c>
      <c r="N179" s="10">
        <f t="shared" si="173"/>
        <v>0</v>
      </c>
      <c r="O179" s="1">
        <f>SUMIFS(
  '[1]Hoja 1'!$M:$M,
  '[1]Hoja 1'!$S:$S, $A179,
  '[1]Hoja 1'!$R:$R, "&gt;="&amp;INT($Q$1),
  '[1]Hoja 1'!$R:$R, "&lt;"&amp;INT($R$1+1)
)</f>
        <v>0</v>
      </c>
      <c r="P179" s="1">
        <f t="shared" si="174"/>
        <v>0</v>
      </c>
      <c r="Q179" s="9">
        <f t="shared" si="175"/>
        <v>0</v>
      </c>
      <c r="R179" s="10">
        <f t="shared" si="176"/>
        <v>0</v>
      </c>
      <c r="S179" s="1">
        <f>SUMIFS(
  '[1]Hoja 1'!$M:$M,
  '[1]Hoja 1'!$S:$S, $A179,
  '[1]Hoja 1'!$R:$R, "&gt;="&amp;INT($U$1),
  '[1]Hoja 1'!$R:$R, "&lt;"&amp;INT($V$1+1)
)</f>
        <v>0</v>
      </c>
      <c r="T179" s="1">
        <f t="shared" si="177"/>
        <v>0</v>
      </c>
      <c r="U179" s="9">
        <f t="shared" si="178"/>
        <v>0</v>
      </c>
      <c r="V179" s="10">
        <f t="shared" si="179"/>
        <v>0</v>
      </c>
      <c r="W179" s="1">
        <f>SUMIFS(
  '[1]Hoja 1'!$M:$M,
  '[1]Hoja 1'!$S:$S, $A179,
  '[1]Hoja 1'!$R:$R, "&gt;="&amp;INT($Y$1),
  '[1]Hoja 1'!$R:$R, "&lt;"&amp;INT($Z$1+1)
)</f>
        <v>0</v>
      </c>
      <c r="X179" s="1">
        <f t="shared" si="180"/>
        <v>0</v>
      </c>
      <c r="Y179" s="9">
        <f t="shared" si="181"/>
        <v>0</v>
      </c>
      <c r="Z179" s="10">
        <f t="shared" si="182"/>
        <v>0</v>
      </c>
      <c r="AA179" s="1">
        <f>SUMIFS(
  '[1]Hoja 1'!$M:$M,
  '[1]Hoja 1'!$S:$S, $A179,
  '[1]Hoja 1'!$R:$R, "&gt;="&amp;INT($AC$1),
  '[1]Hoja 1'!$R:$R, "&lt;"&amp;INT($AD$1+1)
)</f>
        <v>0</v>
      </c>
      <c r="AB179" s="1">
        <f t="shared" si="183"/>
        <v>0</v>
      </c>
      <c r="AC179" s="9">
        <f t="shared" si="184"/>
        <v>0</v>
      </c>
      <c r="AD179" s="10">
        <f t="shared" si="185"/>
        <v>0</v>
      </c>
      <c r="AE179" s="1">
        <f>SUMIFS(
  '[1]Hoja 1'!$M:$M,
  '[1]Hoja 1'!$S:$S, $A179,
  '[1]Hoja 1'!$R:$R, "&gt;="&amp;INT($AG$1),
  '[1]Hoja 1'!$R:$R, "&lt;"&amp;INT($AH$1+1)
)</f>
        <v>0</v>
      </c>
      <c r="AF179" s="1">
        <f t="shared" si="186"/>
        <v>0</v>
      </c>
      <c r="AG179" s="9">
        <f t="shared" si="187"/>
        <v>0</v>
      </c>
      <c r="AH179" s="10">
        <f t="shared" si="188"/>
        <v>0</v>
      </c>
      <c r="AI179" s="1">
        <f>SUMIFS(
  '[1]Hoja 1'!$M:$M,
  '[1]Hoja 1'!$S:$S, $A179,
  '[1]Hoja 1'!$R:$R, "&gt;="&amp;INT($AK$1),
  '[1]Hoja 1'!$R:$R, "&lt;"&amp;INT($AL$1+1)
)</f>
        <v>0</v>
      </c>
      <c r="AJ179" s="1">
        <f t="shared" si="189"/>
        <v>0</v>
      </c>
      <c r="AK179" s="9">
        <f t="shared" si="190"/>
        <v>0</v>
      </c>
      <c r="AL179" s="10">
        <f t="shared" si="191"/>
        <v>0</v>
      </c>
      <c r="AM179" s="1">
        <f>SUMIFS(
  '[1]Hoja 1'!$M:$M,
  '[1]Hoja 1'!$S:$S, $A179,
  '[1]Hoja 1'!$R:$R, "&gt;="&amp;INT($AO$1),
  '[1]Hoja 1'!$R:$R, "&lt;"&amp;INT($AP$1+1)
)</f>
        <v>0</v>
      </c>
      <c r="AN179" s="1">
        <f t="shared" si="192"/>
        <v>0</v>
      </c>
      <c r="AO179" s="9">
        <f t="shared" si="193"/>
        <v>0</v>
      </c>
      <c r="AP179" s="10">
        <f t="shared" si="194"/>
        <v>0</v>
      </c>
      <c r="AQ179" s="1">
        <f>SUMIFS(
  '[1]Hoja 1'!$M:$M,
  '[1]Hoja 1'!$S:$S, $A179,
  '[1]Hoja 1'!$R:$R, "&gt;="&amp;INT($AS$1),
  '[1]Hoja 1'!$R:$R, "&lt;"&amp;INT($AT$1+1)
)</f>
        <v>0</v>
      </c>
      <c r="AR179" s="1">
        <f t="shared" si="195"/>
        <v>0</v>
      </c>
      <c r="AS179" s="9">
        <f t="shared" si="196"/>
        <v>0</v>
      </c>
      <c r="AT179" s="10">
        <f t="shared" si="197"/>
        <v>0</v>
      </c>
      <c r="AU179" s="1">
        <f>SUMIFS(
  '[1]Hoja 1'!$M:$M,
  '[1]Hoja 1'!$S:$S, $A179,
  '[1]Hoja 1'!$R:$R, "&gt;="&amp;INT($AW$1),
  '[1]Hoja 1'!$R:$R, "&lt;"&amp;INT($AX$1+1)
)</f>
        <v>0</v>
      </c>
      <c r="AV179" s="1">
        <f t="shared" si="198"/>
        <v>0</v>
      </c>
      <c r="AW179" s="9">
        <f t="shared" si="199"/>
        <v>0</v>
      </c>
      <c r="AX179" s="10">
        <f t="shared" si="200"/>
        <v>0</v>
      </c>
      <c r="AY179" s="1">
        <f>SUMIFS(
  '[1]Hoja 1'!$M:$M,
  '[1]Hoja 1'!$S:$S, $A179,
  '[1]Hoja 1'!$R:$R, "&gt;="&amp;INT($BA$1),
  '[1]Hoja 1'!$R:$R, "&lt;"&amp;INT($BB$1+1)
)</f>
        <v>0</v>
      </c>
      <c r="AZ179" s="1">
        <f t="shared" si="201"/>
        <v>0</v>
      </c>
      <c r="BA179" s="9">
        <f t="shared" si="202"/>
        <v>0</v>
      </c>
      <c r="BB179" s="10">
        <f t="shared" si="203"/>
        <v>0</v>
      </c>
      <c r="BC179" s="1">
        <f>SUMIFS(
  '[1]Hoja 1'!$M:$M,
  '[1]Hoja 1'!$S:$S, $A179,
  '[1]Hoja 1'!$R:$R, "&gt;="&amp;INT($BE$1),
  '[1]Hoja 1'!$R:$R, "&lt;"&amp;INT($BF$1+1)
)</f>
        <v>0</v>
      </c>
      <c r="BD179" s="1">
        <f t="shared" si="204"/>
        <v>0</v>
      </c>
      <c r="BE179" s="9">
        <f t="shared" si="205"/>
        <v>0</v>
      </c>
      <c r="BF179" s="10">
        <f t="shared" si="206"/>
        <v>0</v>
      </c>
      <c r="BG179" s="1">
        <f>SUMIFS(
  '[1]Hoja 1'!$M:$M,
  '[1]Hoja 1'!$S:$S, $A179,
  '[1]Hoja 1'!$R:$R, "&gt;="&amp;INT($BI$1),
  '[1]Hoja 1'!$R:$R, "&lt;"&amp;INT($BJ$1+1)
)</f>
        <v>0</v>
      </c>
      <c r="BH179" s="1">
        <f t="shared" si="207"/>
        <v>0</v>
      </c>
      <c r="BI179" s="9">
        <f t="shared" si="208"/>
        <v>0</v>
      </c>
      <c r="BJ179" s="10">
        <f t="shared" si="209"/>
        <v>0</v>
      </c>
      <c r="BK179" s="1">
        <f>SUMIFS(
  '[1]Hoja 1'!$M:$M,
  '[1]Hoja 1'!$S:$S, $A179,
  '[1]Hoja 1'!$R:$R, "&gt;="&amp;INT($BM$1),
  '[1]Hoja 1'!$R:$R, "&lt;"&amp;INT($BN$1+1)
)</f>
        <v>0</v>
      </c>
      <c r="BL179" s="1">
        <f t="shared" si="210"/>
        <v>0</v>
      </c>
      <c r="BM179" s="9">
        <f t="shared" si="211"/>
        <v>0</v>
      </c>
      <c r="BN179" s="10">
        <f t="shared" si="212"/>
        <v>0</v>
      </c>
      <c r="BO179" s="1">
        <f>SUMIFS(
  '[1]Hoja 1'!$M:$M,
  '[1]Hoja 1'!$S:$S, $A179,
  '[1]Hoja 1'!$R:$R, "&gt;="&amp;INT($BQ$1),
  '[1]Hoja 1'!$R:$R, "&lt;"&amp;INT($BR$1+1)
)</f>
        <v>0</v>
      </c>
      <c r="BP179" s="1">
        <f t="shared" si="213"/>
        <v>0</v>
      </c>
      <c r="BQ179" s="9">
        <f t="shared" si="214"/>
        <v>0</v>
      </c>
      <c r="BR179" s="10">
        <f t="shared" si="215"/>
        <v>0</v>
      </c>
      <c r="BS179" s="1">
        <f>SUMIFS(
  '[1]Hoja 1'!$M:$M,
  '[1]Hoja 1'!$S:$S, $A179,
  '[1]Hoja 1'!$R:$R, "&gt;="&amp;INT($BU$1),
  '[1]Hoja 1'!$R:$R, "&lt;"&amp;INT($BV$1+1)
)</f>
        <v>0</v>
      </c>
      <c r="BT179" s="1">
        <f t="shared" si="216"/>
        <v>0</v>
      </c>
      <c r="BU179" s="9">
        <f t="shared" si="217"/>
        <v>0</v>
      </c>
      <c r="BV179" s="10">
        <f t="shared" si="218"/>
        <v>0</v>
      </c>
      <c r="BW179" s="1">
        <f>SUMIFS(
  '[1]Hoja 1'!$M:$M,
  '[1]Hoja 1'!$S:$S, $A179,
  '[1]Hoja 1'!$R:$R, "&gt;="&amp;INT($BY$1),
  '[1]Hoja 1'!$R:$R, "&lt;"&amp;INT($BZ$1+1)
)</f>
        <v>0</v>
      </c>
      <c r="BX179" s="1">
        <f t="shared" si="219"/>
        <v>0</v>
      </c>
      <c r="BY179" s="9">
        <f t="shared" si="220"/>
        <v>0</v>
      </c>
      <c r="BZ179" s="10">
        <f t="shared" si="221"/>
        <v>0</v>
      </c>
      <c r="CA179" s="1">
        <f>SUMIFS(
  '[1]Hoja 1'!$M:$M,
  '[1]Hoja 1'!$S:$S, $A179,
  '[1]Hoja 1'!$R:$R, "&gt;="&amp;INT($CC$1),
  '[1]Hoja 1'!$R:$R, "&lt;"&amp;INT($CD$1+1)
)</f>
        <v>0</v>
      </c>
      <c r="CB179" s="1">
        <f t="shared" si="222"/>
        <v>0</v>
      </c>
      <c r="CC179" s="9">
        <f t="shared" si="223"/>
        <v>0</v>
      </c>
      <c r="CD179" s="10">
        <f t="shared" si="224"/>
        <v>0</v>
      </c>
      <c r="CE179" s="1">
        <f>SUMIFS(
  '[1]Hoja 1'!$M:$M,
  '[1]Hoja 1'!$S:$S, $A179,
  '[1]Hoja 1'!$R:$R, "&gt;="&amp;INT($CG$1),
  '[1]Hoja 1'!$R:$R, "&lt;"&amp;INT($CH$1+1)
)</f>
        <v>0</v>
      </c>
      <c r="CF179" s="1">
        <f t="shared" si="225"/>
        <v>0</v>
      </c>
      <c r="CG179" s="9">
        <f t="shared" si="226"/>
        <v>0</v>
      </c>
      <c r="CH179" s="10">
        <f t="shared" si="227"/>
        <v>0</v>
      </c>
      <c r="CI179" s="1">
        <f>SUMIFS(
  '[1]Hoja 1'!$M:$M,
  '[1]Hoja 1'!$S:$S, $A179,
  '[1]Hoja 1'!$R:$R, "&gt;="&amp;INT($CK$1),
  '[1]Hoja 1'!$R:$R, "&lt;"&amp;INT($CL$1+1)
)</f>
        <v>0</v>
      </c>
      <c r="CJ179" s="1">
        <f t="shared" si="228"/>
        <v>0</v>
      </c>
      <c r="CK179" s="9">
        <f t="shared" si="229"/>
        <v>0</v>
      </c>
      <c r="CL179" s="10">
        <f t="shared" si="230"/>
        <v>0</v>
      </c>
      <c r="CM179" s="1">
        <f>SUMIFS(
  '[1]Hoja 1'!$M:$M,
  '[1]Hoja 1'!$S:$S, $A179,
  '[1]Hoja 1'!$R:$R, "&gt;="&amp;INT($CO$1),
  '[1]Hoja 1'!$R:$R, "&lt;"&amp;INT($CP$1+1)
)</f>
        <v>0</v>
      </c>
      <c r="CN179" s="1">
        <f t="shared" si="231"/>
        <v>0</v>
      </c>
      <c r="CO179" s="9">
        <f t="shared" si="232"/>
        <v>0</v>
      </c>
      <c r="CP179" s="10">
        <f t="shared" si="233"/>
        <v>0</v>
      </c>
      <c r="CQ179" s="1">
        <f>SUMIFS(
  '[1]Hoja 1'!$M:$M,
  '[1]Hoja 1'!$S:$S, $A179,
  '[1]Hoja 1'!$R:$R, "&gt;="&amp;INT($CS$1),
  '[1]Hoja 1'!$R:$R, "&lt;"&amp;INT($CT$1+1)
)</f>
        <v>0</v>
      </c>
      <c r="CR179" s="1">
        <f t="shared" si="234"/>
        <v>0</v>
      </c>
      <c r="CS179" s="9">
        <f t="shared" si="235"/>
        <v>0</v>
      </c>
      <c r="CT179" s="10">
        <f t="shared" si="236"/>
        <v>0</v>
      </c>
      <c r="CU179" s="1">
        <f>SUMIFS(
  '[1]Hoja 1'!$M:$M,
  '[1]Hoja 1'!$S:$S, $A179,
  '[1]Hoja 1'!$R:$R, "&gt;="&amp;INT($CW$1),
  '[1]Hoja 1'!$R:$R, "&lt;"&amp;INT($CX$1+1)
)</f>
        <v>0</v>
      </c>
      <c r="CV179" s="1">
        <f t="shared" si="237"/>
        <v>0</v>
      </c>
      <c r="CW179" s="9">
        <f t="shared" si="238"/>
        <v>0</v>
      </c>
      <c r="CX179" s="10">
        <f t="shared" si="239"/>
        <v>0</v>
      </c>
      <c r="CY179" s="1">
        <f>SUMIFS(
  '[1]Hoja 1'!$M:$M,
  '[1]Hoja 1'!$S:$S, $A179,
  '[1]Hoja 1'!$R:$R, "&gt;="&amp;INT($DA$1),
  '[1]Hoja 1'!$R:$R, "&lt;"&amp;INT($DB$1+1)
)</f>
        <v>0</v>
      </c>
      <c r="CZ179" s="1">
        <f t="shared" si="240"/>
        <v>0</v>
      </c>
      <c r="DA179" s="9">
        <f t="shared" si="241"/>
        <v>0</v>
      </c>
      <c r="DB179" s="10">
        <f t="shared" si="242"/>
        <v>0</v>
      </c>
      <c r="DC179" s="1">
        <f>SUMIFS(
  '[1]Hoja 1'!$M:$M,
  '[1]Hoja 1'!$S:$S, $A179,
  '[1]Hoja 1'!$R:$R, "&gt;="&amp;INT($DE$1),
  '[1]Hoja 1'!$R:$R, "&lt;"&amp;INT($DF$1+1)
)</f>
        <v>0</v>
      </c>
      <c r="DD179" s="1">
        <f t="shared" si="243"/>
        <v>0</v>
      </c>
      <c r="DE179" s="9">
        <f t="shared" si="244"/>
        <v>0</v>
      </c>
      <c r="DF179" s="10">
        <f t="shared" si="245"/>
        <v>0</v>
      </c>
      <c r="DG179" s="1">
        <f>SUMIFS(
  '[1]Hoja 1'!$M:$M,
  '[1]Hoja 1'!$S:$S, $A179,
  '[1]Hoja 1'!$R:$R, "&gt;="&amp;INT($DI$1),
  '[1]Hoja 1'!$R:$R, "&lt;"&amp;INT($DJ$1+1)
)</f>
        <v>0</v>
      </c>
      <c r="DH179" s="1">
        <f t="shared" si="246"/>
        <v>0</v>
      </c>
      <c r="DI179" s="9">
        <f t="shared" si="247"/>
        <v>0</v>
      </c>
      <c r="DJ179" s="10">
        <f t="shared" si="248"/>
        <v>0</v>
      </c>
      <c r="DK179" s="1">
        <f>SUMIFS(
  '[1]Hoja 1'!$M:$M,
  '[1]Hoja 1'!$S:$S, $A179,
  '[1]Hoja 1'!$R:$R, "&gt;="&amp;INT($DM$1),
  '[1]Hoja 1'!$R:$R, "&lt;"&amp;INT($DN$1+1)
)</f>
        <v>0</v>
      </c>
      <c r="DL179" s="1">
        <f t="shared" si="249"/>
        <v>0</v>
      </c>
      <c r="DM179" s="9">
        <f t="shared" si="250"/>
        <v>0</v>
      </c>
      <c r="DN179" s="10">
        <f t="shared" si="251"/>
        <v>0</v>
      </c>
      <c r="DO179" s="1">
        <f>SUMIFS(
  '[1]Hoja 1'!$M:$M,
  '[1]Hoja 1'!$S:$S, $A179,
  '[1]Hoja 1'!$R:$R, "&gt;="&amp;INT($DQ$1),
  '[1]Hoja 1'!$R:$R, "&lt;"&amp;INT($DR$1+1)
)</f>
        <v>0</v>
      </c>
      <c r="DP179" s="1">
        <f t="shared" si="252"/>
        <v>0</v>
      </c>
      <c r="DQ179" s="9">
        <f t="shared" si="253"/>
        <v>0</v>
      </c>
      <c r="DR179" s="10">
        <f t="shared" si="254"/>
        <v>0</v>
      </c>
    </row>
    <row r="180" spans="1:122" x14ac:dyDescent="0.25">
      <c r="A180" s="5">
        <v>231003</v>
      </c>
      <c r="B180" s="6" t="s">
        <v>176</v>
      </c>
      <c r="C180" s="1">
        <f>SUMIFS(
  '[1]Hoja 1'!$M:$M,
  '[1]Hoja 1'!$S:$S, $A180,
  '[1]Hoja 1'!$R:$R, "&gt;="&amp;INT($E$1),
  '[1]Hoja 1'!$R:$R, "&lt;"&amp;INT($F$1+1)
)</f>
        <v>0</v>
      </c>
      <c r="D180" s="1" t="str">
        <f>""</f>
        <v/>
      </c>
      <c r="F180" s="2"/>
      <c r="G180" s="1">
        <f>SUMIFS(
  '[1]Hoja 1'!$M:$M,
  '[1]Hoja 1'!$S:$S, $A180,
  '[1]Hoja 1'!$R:$R, "&gt;="&amp;INT($I$1),
  '[1]Hoja 1'!$R:$R, "&lt;"&amp;INT($J$1+1)
)</f>
        <v>0</v>
      </c>
      <c r="H180" s="1">
        <f t="shared" si="170"/>
        <v>0</v>
      </c>
      <c r="I180" s="1"/>
      <c r="J180" s="2"/>
      <c r="K180" s="1">
        <f>SUMIFS(
  '[1]Hoja 1'!$M:$M,
  '[1]Hoja 1'!$S:$S, $A180,
  '[1]Hoja 1'!$R:$R, "&gt;="&amp;INT($M$1),
  '[1]Hoja 1'!$R:$R, "&lt;"&amp;INT($N$1+1)
)</f>
        <v>0</v>
      </c>
      <c r="L180" s="1">
        <f t="shared" si="171"/>
        <v>0</v>
      </c>
      <c r="M180" s="9">
        <f t="shared" si="172"/>
        <v>0</v>
      </c>
      <c r="N180" s="10">
        <f t="shared" si="173"/>
        <v>0</v>
      </c>
      <c r="O180" s="1">
        <f>SUMIFS(
  '[1]Hoja 1'!$M:$M,
  '[1]Hoja 1'!$S:$S, $A180,
  '[1]Hoja 1'!$R:$R, "&gt;="&amp;INT($Q$1),
  '[1]Hoja 1'!$R:$R, "&lt;"&amp;INT($R$1+1)
)</f>
        <v>0</v>
      </c>
      <c r="P180" s="1">
        <f t="shared" si="174"/>
        <v>0</v>
      </c>
      <c r="Q180" s="9">
        <f t="shared" si="175"/>
        <v>0</v>
      </c>
      <c r="R180" s="10">
        <f t="shared" si="176"/>
        <v>0</v>
      </c>
      <c r="S180" s="1">
        <f>SUMIFS(
  '[1]Hoja 1'!$M:$M,
  '[1]Hoja 1'!$S:$S, $A180,
  '[1]Hoja 1'!$R:$R, "&gt;="&amp;INT($U$1),
  '[1]Hoja 1'!$R:$R, "&lt;"&amp;INT($V$1+1)
)</f>
        <v>0</v>
      </c>
      <c r="T180" s="1">
        <f t="shared" si="177"/>
        <v>0</v>
      </c>
      <c r="U180" s="9">
        <f t="shared" si="178"/>
        <v>0</v>
      </c>
      <c r="V180" s="10">
        <f t="shared" si="179"/>
        <v>0</v>
      </c>
      <c r="W180" s="1">
        <f>SUMIFS(
  '[1]Hoja 1'!$M:$M,
  '[1]Hoja 1'!$S:$S, $A180,
  '[1]Hoja 1'!$R:$R, "&gt;="&amp;INT($Y$1),
  '[1]Hoja 1'!$R:$R, "&lt;"&amp;INT($Z$1+1)
)</f>
        <v>0</v>
      </c>
      <c r="X180" s="1">
        <f t="shared" si="180"/>
        <v>0</v>
      </c>
      <c r="Y180" s="9">
        <f t="shared" si="181"/>
        <v>0</v>
      </c>
      <c r="Z180" s="10">
        <f t="shared" si="182"/>
        <v>0</v>
      </c>
      <c r="AA180" s="1">
        <f>SUMIFS(
  '[1]Hoja 1'!$M:$M,
  '[1]Hoja 1'!$S:$S, $A180,
  '[1]Hoja 1'!$R:$R, "&gt;="&amp;INT($AC$1),
  '[1]Hoja 1'!$R:$R, "&lt;"&amp;INT($AD$1+1)
)</f>
        <v>0</v>
      </c>
      <c r="AB180" s="1">
        <f t="shared" si="183"/>
        <v>0</v>
      </c>
      <c r="AC180" s="9">
        <f t="shared" si="184"/>
        <v>0</v>
      </c>
      <c r="AD180" s="10">
        <f t="shared" si="185"/>
        <v>0</v>
      </c>
      <c r="AE180" s="1">
        <f>SUMIFS(
  '[1]Hoja 1'!$M:$M,
  '[1]Hoja 1'!$S:$S, $A180,
  '[1]Hoja 1'!$R:$R, "&gt;="&amp;INT($AG$1),
  '[1]Hoja 1'!$R:$R, "&lt;"&amp;INT($AH$1+1)
)</f>
        <v>0</v>
      </c>
      <c r="AF180" s="1">
        <f t="shared" si="186"/>
        <v>0</v>
      </c>
      <c r="AG180" s="9">
        <f t="shared" si="187"/>
        <v>0</v>
      </c>
      <c r="AH180" s="10">
        <f t="shared" si="188"/>
        <v>0</v>
      </c>
      <c r="AI180" s="1">
        <f>SUMIFS(
  '[1]Hoja 1'!$M:$M,
  '[1]Hoja 1'!$S:$S, $A180,
  '[1]Hoja 1'!$R:$R, "&gt;="&amp;INT($AK$1),
  '[1]Hoja 1'!$R:$R, "&lt;"&amp;INT($AL$1+1)
)</f>
        <v>0</v>
      </c>
      <c r="AJ180" s="1">
        <f t="shared" si="189"/>
        <v>0</v>
      </c>
      <c r="AK180" s="9">
        <f t="shared" si="190"/>
        <v>0</v>
      </c>
      <c r="AL180" s="10">
        <f t="shared" si="191"/>
        <v>0</v>
      </c>
      <c r="AM180" s="1">
        <f>SUMIFS(
  '[1]Hoja 1'!$M:$M,
  '[1]Hoja 1'!$S:$S, $A180,
  '[1]Hoja 1'!$R:$R, "&gt;="&amp;INT($AO$1),
  '[1]Hoja 1'!$R:$R, "&lt;"&amp;INT($AP$1+1)
)</f>
        <v>0</v>
      </c>
      <c r="AN180" s="1">
        <f t="shared" si="192"/>
        <v>0</v>
      </c>
      <c r="AO180" s="9">
        <f t="shared" si="193"/>
        <v>0</v>
      </c>
      <c r="AP180" s="10">
        <f t="shared" si="194"/>
        <v>0</v>
      </c>
      <c r="AQ180" s="1">
        <f>SUMIFS(
  '[1]Hoja 1'!$M:$M,
  '[1]Hoja 1'!$S:$S, $A180,
  '[1]Hoja 1'!$R:$R, "&gt;="&amp;INT($AS$1),
  '[1]Hoja 1'!$R:$R, "&lt;"&amp;INT($AT$1+1)
)</f>
        <v>0</v>
      </c>
      <c r="AR180" s="1">
        <f t="shared" si="195"/>
        <v>0</v>
      </c>
      <c r="AS180" s="9">
        <f t="shared" si="196"/>
        <v>0</v>
      </c>
      <c r="AT180" s="10">
        <f t="shared" si="197"/>
        <v>0</v>
      </c>
      <c r="AU180" s="1">
        <f>SUMIFS(
  '[1]Hoja 1'!$M:$M,
  '[1]Hoja 1'!$S:$S, $A180,
  '[1]Hoja 1'!$R:$R, "&gt;="&amp;INT($AW$1),
  '[1]Hoja 1'!$R:$R, "&lt;"&amp;INT($AX$1+1)
)</f>
        <v>0</v>
      </c>
      <c r="AV180" s="1">
        <f t="shared" si="198"/>
        <v>0</v>
      </c>
      <c r="AW180" s="9">
        <f t="shared" si="199"/>
        <v>0</v>
      </c>
      <c r="AX180" s="10">
        <f t="shared" si="200"/>
        <v>0</v>
      </c>
      <c r="AY180" s="1">
        <f>SUMIFS(
  '[1]Hoja 1'!$M:$M,
  '[1]Hoja 1'!$S:$S, $A180,
  '[1]Hoja 1'!$R:$R, "&gt;="&amp;INT($BA$1),
  '[1]Hoja 1'!$R:$R, "&lt;"&amp;INT($BB$1+1)
)</f>
        <v>0</v>
      </c>
      <c r="AZ180" s="1">
        <f t="shared" si="201"/>
        <v>0</v>
      </c>
      <c r="BA180" s="9">
        <f t="shared" si="202"/>
        <v>0</v>
      </c>
      <c r="BB180" s="10">
        <f t="shared" si="203"/>
        <v>0</v>
      </c>
      <c r="BC180" s="1">
        <f>SUMIFS(
  '[1]Hoja 1'!$M:$M,
  '[1]Hoja 1'!$S:$S, $A180,
  '[1]Hoja 1'!$R:$R, "&gt;="&amp;INT($BE$1),
  '[1]Hoja 1'!$R:$R, "&lt;"&amp;INT($BF$1+1)
)</f>
        <v>0</v>
      </c>
      <c r="BD180" s="1">
        <f t="shared" si="204"/>
        <v>0</v>
      </c>
      <c r="BE180" s="9">
        <f t="shared" si="205"/>
        <v>0</v>
      </c>
      <c r="BF180" s="10">
        <f t="shared" si="206"/>
        <v>0</v>
      </c>
      <c r="BG180" s="1">
        <f>SUMIFS(
  '[1]Hoja 1'!$M:$M,
  '[1]Hoja 1'!$S:$S, $A180,
  '[1]Hoja 1'!$R:$R, "&gt;="&amp;INT($BI$1),
  '[1]Hoja 1'!$R:$R, "&lt;"&amp;INT($BJ$1+1)
)</f>
        <v>0</v>
      </c>
      <c r="BH180" s="1">
        <f t="shared" si="207"/>
        <v>0</v>
      </c>
      <c r="BI180" s="9">
        <f t="shared" si="208"/>
        <v>0</v>
      </c>
      <c r="BJ180" s="10">
        <f t="shared" si="209"/>
        <v>0</v>
      </c>
      <c r="BK180" s="1">
        <f>SUMIFS(
  '[1]Hoja 1'!$M:$M,
  '[1]Hoja 1'!$S:$S, $A180,
  '[1]Hoja 1'!$R:$R, "&gt;="&amp;INT($BM$1),
  '[1]Hoja 1'!$R:$R, "&lt;"&amp;INT($BN$1+1)
)</f>
        <v>0</v>
      </c>
      <c r="BL180" s="1">
        <f t="shared" si="210"/>
        <v>0</v>
      </c>
      <c r="BM180" s="9">
        <f t="shared" si="211"/>
        <v>0</v>
      </c>
      <c r="BN180" s="10">
        <f t="shared" si="212"/>
        <v>0</v>
      </c>
      <c r="BO180" s="1">
        <f>SUMIFS(
  '[1]Hoja 1'!$M:$M,
  '[1]Hoja 1'!$S:$S, $A180,
  '[1]Hoja 1'!$R:$R, "&gt;="&amp;INT($BQ$1),
  '[1]Hoja 1'!$R:$R, "&lt;"&amp;INT($BR$1+1)
)</f>
        <v>0</v>
      </c>
      <c r="BP180" s="1">
        <f t="shared" si="213"/>
        <v>0</v>
      </c>
      <c r="BQ180" s="9">
        <f t="shared" si="214"/>
        <v>0</v>
      </c>
      <c r="BR180" s="10">
        <f t="shared" si="215"/>
        <v>0</v>
      </c>
      <c r="BS180" s="1">
        <f>SUMIFS(
  '[1]Hoja 1'!$M:$M,
  '[1]Hoja 1'!$S:$S, $A180,
  '[1]Hoja 1'!$R:$R, "&gt;="&amp;INT($BU$1),
  '[1]Hoja 1'!$R:$R, "&lt;"&amp;INT($BV$1+1)
)</f>
        <v>0</v>
      </c>
      <c r="BT180" s="1">
        <f t="shared" si="216"/>
        <v>0</v>
      </c>
      <c r="BU180" s="9">
        <f t="shared" si="217"/>
        <v>0</v>
      </c>
      <c r="BV180" s="10">
        <f t="shared" si="218"/>
        <v>0</v>
      </c>
      <c r="BW180" s="1">
        <f>SUMIFS(
  '[1]Hoja 1'!$M:$M,
  '[1]Hoja 1'!$S:$S, $A180,
  '[1]Hoja 1'!$R:$R, "&gt;="&amp;INT($BY$1),
  '[1]Hoja 1'!$R:$R, "&lt;"&amp;INT($BZ$1+1)
)</f>
        <v>0</v>
      </c>
      <c r="BX180" s="1">
        <f t="shared" si="219"/>
        <v>0</v>
      </c>
      <c r="BY180" s="9">
        <f t="shared" si="220"/>
        <v>0</v>
      </c>
      <c r="BZ180" s="10">
        <f t="shared" si="221"/>
        <v>0</v>
      </c>
      <c r="CA180" s="1">
        <f>SUMIFS(
  '[1]Hoja 1'!$M:$M,
  '[1]Hoja 1'!$S:$S, $A180,
  '[1]Hoja 1'!$R:$R, "&gt;="&amp;INT($CC$1),
  '[1]Hoja 1'!$R:$R, "&lt;"&amp;INT($CD$1+1)
)</f>
        <v>0</v>
      </c>
      <c r="CB180" s="1">
        <f t="shared" si="222"/>
        <v>0</v>
      </c>
      <c r="CC180" s="9">
        <f t="shared" si="223"/>
        <v>0</v>
      </c>
      <c r="CD180" s="10">
        <f t="shared" si="224"/>
        <v>0</v>
      </c>
      <c r="CE180" s="1">
        <f>SUMIFS(
  '[1]Hoja 1'!$M:$M,
  '[1]Hoja 1'!$S:$S, $A180,
  '[1]Hoja 1'!$R:$R, "&gt;="&amp;INT($CG$1),
  '[1]Hoja 1'!$R:$R, "&lt;"&amp;INT($CH$1+1)
)</f>
        <v>0</v>
      </c>
      <c r="CF180" s="1">
        <f t="shared" si="225"/>
        <v>0</v>
      </c>
      <c r="CG180" s="9">
        <f t="shared" si="226"/>
        <v>0</v>
      </c>
      <c r="CH180" s="10">
        <f t="shared" si="227"/>
        <v>0</v>
      </c>
      <c r="CI180" s="1">
        <f>SUMIFS(
  '[1]Hoja 1'!$M:$M,
  '[1]Hoja 1'!$S:$S, $A180,
  '[1]Hoja 1'!$R:$R, "&gt;="&amp;INT($CK$1),
  '[1]Hoja 1'!$R:$R, "&lt;"&amp;INT($CL$1+1)
)</f>
        <v>0</v>
      </c>
      <c r="CJ180" s="1">
        <f t="shared" si="228"/>
        <v>0</v>
      </c>
      <c r="CK180" s="9">
        <f t="shared" si="229"/>
        <v>0</v>
      </c>
      <c r="CL180" s="10">
        <f t="shared" si="230"/>
        <v>0</v>
      </c>
      <c r="CM180" s="1">
        <f>SUMIFS(
  '[1]Hoja 1'!$M:$M,
  '[1]Hoja 1'!$S:$S, $A180,
  '[1]Hoja 1'!$R:$R, "&gt;="&amp;INT($CO$1),
  '[1]Hoja 1'!$R:$R, "&lt;"&amp;INT($CP$1+1)
)</f>
        <v>0</v>
      </c>
      <c r="CN180" s="1">
        <f t="shared" si="231"/>
        <v>0</v>
      </c>
      <c r="CO180" s="9">
        <f t="shared" si="232"/>
        <v>0</v>
      </c>
      <c r="CP180" s="10">
        <f t="shared" si="233"/>
        <v>0</v>
      </c>
      <c r="CQ180" s="1">
        <f>SUMIFS(
  '[1]Hoja 1'!$M:$M,
  '[1]Hoja 1'!$S:$S, $A180,
  '[1]Hoja 1'!$R:$R, "&gt;="&amp;INT($CS$1),
  '[1]Hoja 1'!$R:$R, "&lt;"&amp;INT($CT$1+1)
)</f>
        <v>0</v>
      </c>
      <c r="CR180" s="1">
        <f t="shared" si="234"/>
        <v>0</v>
      </c>
      <c r="CS180" s="9">
        <f t="shared" si="235"/>
        <v>0</v>
      </c>
      <c r="CT180" s="10">
        <f t="shared" si="236"/>
        <v>0</v>
      </c>
      <c r="CU180" s="1">
        <f>SUMIFS(
  '[1]Hoja 1'!$M:$M,
  '[1]Hoja 1'!$S:$S, $A180,
  '[1]Hoja 1'!$R:$R, "&gt;="&amp;INT($CW$1),
  '[1]Hoja 1'!$R:$R, "&lt;"&amp;INT($CX$1+1)
)</f>
        <v>0</v>
      </c>
      <c r="CV180" s="1">
        <f t="shared" si="237"/>
        <v>0</v>
      </c>
      <c r="CW180" s="9">
        <f t="shared" si="238"/>
        <v>0</v>
      </c>
      <c r="CX180" s="10">
        <f t="shared" si="239"/>
        <v>0</v>
      </c>
      <c r="CY180" s="1">
        <f>SUMIFS(
  '[1]Hoja 1'!$M:$M,
  '[1]Hoja 1'!$S:$S, $A180,
  '[1]Hoja 1'!$R:$R, "&gt;="&amp;INT($DA$1),
  '[1]Hoja 1'!$R:$R, "&lt;"&amp;INT($DB$1+1)
)</f>
        <v>0</v>
      </c>
      <c r="CZ180" s="1">
        <f t="shared" si="240"/>
        <v>0</v>
      </c>
      <c r="DA180" s="9">
        <f t="shared" si="241"/>
        <v>0</v>
      </c>
      <c r="DB180" s="10">
        <f t="shared" si="242"/>
        <v>0</v>
      </c>
      <c r="DC180" s="1">
        <f>SUMIFS(
  '[1]Hoja 1'!$M:$M,
  '[1]Hoja 1'!$S:$S, $A180,
  '[1]Hoja 1'!$R:$R, "&gt;="&amp;INT($DE$1),
  '[1]Hoja 1'!$R:$R, "&lt;"&amp;INT($DF$1+1)
)</f>
        <v>0</v>
      </c>
      <c r="DD180" s="1">
        <f t="shared" si="243"/>
        <v>0</v>
      </c>
      <c r="DE180" s="9">
        <f t="shared" si="244"/>
        <v>0</v>
      </c>
      <c r="DF180" s="10">
        <f t="shared" si="245"/>
        <v>0</v>
      </c>
      <c r="DG180" s="1">
        <f>SUMIFS(
  '[1]Hoja 1'!$M:$M,
  '[1]Hoja 1'!$S:$S, $A180,
  '[1]Hoja 1'!$R:$R, "&gt;="&amp;INT($DI$1),
  '[1]Hoja 1'!$R:$R, "&lt;"&amp;INT($DJ$1+1)
)</f>
        <v>0</v>
      </c>
      <c r="DH180" s="1">
        <f t="shared" si="246"/>
        <v>0</v>
      </c>
      <c r="DI180" s="9">
        <f t="shared" si="247"/>
        <v>0</v>
      </c>
      <c r="DJ180" s="10">
        <f t="shared" si="248"/>
        <v>0</v>
      </c>
      <c r="DK180" s="1">
        <f>SUMIFS(
  '[1]Hoja 1'!$M:$M,
  '[1]Hoja 1'!$S:$S, $A180,
  '[1]Hoja 1'!$R:$R, "&gt;="&amp;INT($DM$1),
  '[1]Hoja 1'!$R:$R, "&lt;"&amp;INT($DN$1+1)
)</f>
        <v>0</v>
      </c>
      <c r="DL180" s="1">
        <f t="shared" si="249"/>
        <v>0</v>
      </c>
      <c r="DM180" s="9">
        <f t="shared" si="250"/>
        <v>0</v>
      </c>
      <c r="DN180" s="10">
        <f t="shared" si="251"/>
        <v>0</v>
      </c>
      <c r="DO180" s="1">
        <f>SUMIFS(
  '[1]Hoja 1'!$M:$M,
  '[1]Hoja 1'!$S:$S, $A180,
  '[1]Hoja 1'!$R:$R, "&gt;="&amp;INT($DQ$1),
  '[1]Hoja 1'!$R:$R, "&lt;"&amp;INT($DR$1+1)
)</f>
        <v>0</v>
      </c>
      <c r="DP180" s="1">
        <f t="shared" si="252"/>
        <v>0</v>
      </c>
      <c r="DQ180" s="9">
        <f t="shared" si="253"/>
        <v>0</v>
      </c>
      <c r="DR180" s="10">
        <f t="shared" si="254"/>
        <v>0</v>
      </c>
    </row>
    <row r="181" spans="1:122" x14ac:dyDescent="0.25">
      <c r="A181" s="5">
        <v>231004</v>
      </c>
      <c r="B181" s="6" t="s">
        <v>177</v>
      </c>
      <c r="C181" s="1">
        <f>SUMIFS(
  '[1]Hoja 1'!$M:$M,
  '[1]Hoja 1'!$S:$S, $A181,
  '[1]Hoja 1'!$R:$R, "&gt;="&amp;INT($E$1),
  '[1]Hoja 1'!$R:$R, "&lt;"&amp;INT($F$1+1)
)</f>
        <v>3</v>
      </c>
      <c r="D181" s="1" t="str">
        <f>""</f>
        <v/>
      </c>
      <c r="F181" s="2"/>
      <c r="G181" s="1">
        <f>SUMIFS(
  '[1]Hoja 1'!$M:$M,
  '[1]Hoja 1'!$S:$S, $A181,
  '[1]Hoja 1'!$R:$R, "&gt;="&amp;INT($I$1),
  '[1]Hoja 1'!$R:$R, "&lt;"&amp;INT($J$1+1)
)</f>
        <v>1</v>
      </c>
      <c r="H181" s="1">
        <f t="shared" si="170"/>
        <v>2</v>
      </c>
      <c r="I181" s="1"/>
      <c r="J181" s="2"/>
      <c r="K181" s="1">
        <f>SUMIFS(
  '[1]Hoja 1'!$M:$M,
  '[1]Hoja 1'!$S:$S, $A181,
  '[1]Hoja 1'!$R:$R, "&gt;="&amp;INT($M$1),
  '[1]Hoja 1'!$R:$R, "&lt;"&amp;INT($N$1+1)
)</f>
        <v>2</v>
      </c>
      <c r="L181" s="1">
        <f t="shared" si="171"/>
        <v>1.5</v>
      </c>
      <c r="M181" s="9">
        <f t="shared" si="172"/>
        <v>-0.57889393668844935</v>
      </c>
      <c r="N181" s="10">
        <f t="shared" si="173"/>
        <v>3.5788939366884494</v>
      </c>
      <c r="O181" s="1">
        <f>SUMIFS(
  '[1]Hoja 1'!$M:$M,
  '[1]Hoja 1'!$S:$S, $A181,
  '[1]Hoja 1'!$R:$R, "&gt;="&amp;INT($Q$1),
  '[1]Hoja 1'!$R:$R, "&lt;"&amp;INT($R$1+1)
)</f>
        <v>3</v>
      </c>
      <c r="P181" s="1">
        <f t="shared" si="174"/>
        <v>2.5</v>
      </c>
      <c r="Q181" s="9">
        <f t="shared" si="175"/>
        <v>-0.1974097914174997</v>
      </c>
      <c r="R181" s="10">
        <f t="shared" si="176"/>
        <v>3.1974097914174999</v>
      </c>
      <c r="S181" s="1">
        <f>SUMIFS(
  '[1]Hoja 1'!$M:$M,
  '[1]Hoja 1'!$S:$S, $A181,
  '[1]Hoja 1'!$R:$R, "&gt;="&amp;INT($U$1),
  '[1]Hoja 1'!$R:$R, "&lt;"&amp;INT($V$1+1)
)</f>
        <v>5</v>
      </c>
      <c r="T181" s="1">
        <f t="shared" si="177"/>
        <v>4</v>
      </c>
      <c r="U181" s="9">
        <f t="shared" si="178"/>
        <v>2.3025902085825001</v>
      </c>
      <c r="V181" s="10">
        <f t="shared" si="179"/>
        <v>5.6974097914174999</v>
      </c>
      <c r="W181" s="1">
        <f>SUMIFS(
  '[1]Hoja 1'!$M:$M,
  '[1]Hoja 1'!$S:$S, $A181,
  '[1]Hoja 1'!$R:$R, "&gt;="&amp;INT($Y$1),
  '[1]Hoja 1'!$R:$R, "&lt;"&amp;INT($Z$1+1)
)</f>
        <v>5</v>
      </c>
      <c r="X181" s="1">
        <f t="shared" si="180"/>
        <v>5</v>
      </c>
      <c r="Y181" s="9">
        <f t="shared" si="181"/>
        <v>4.1998333506908283</v>
      </c>
      <c r="Z181" s="10">
        <f t="shared" si="182"/>
        <v>5.8001666493091717</v>
      </c>
      <c r="AA181" s="1">
        <f>SUMIFS(
  '[1]Hoja 1'!$M:$M,
  '[1]Hoja 1'!$S:$S, $A181,
  '[1]Hoja 1'!$R:$R, "&gt;="&amp;INT($AC$1),
  '[1]Hoja 1'!$R:$R, "&lt;"&amp;INT($AD$1+1)
)</f>
        <v>0</v>
      </c>
      <c r="AB181" s="1">
        <f t="shared" si="183"/>
        <v>3</v>
      </c>
      <c r="AC181" s="9">
        <f t="shared" si="184"/>
        <v>0.35218580712316605</v>
      </c>
      <c r="AD181" s="10">
        <f t="shared" si="185"/>
        <v>6.0469438240090128</v>
      </c>
      <c r="AE181" s="1">
        <f>SUMIFS(
  '[1]Hoja 1'!$M:$M,
  '[1]Hoja 1'!$S:$S, $A181,
  '[1]Hoja 1'!$R:$R, "&gt;="&amp;INT($AG$1),
  '[1]Hoja 1'!$R:$R, "&lt;"&amp;INT($AH$1+1)
)</f>
        <v>0</v>
      </c>
      <c r="AF181" s="1">
        <f t="shared" si="186"/>
        <v>0</v>
      </c>
      <c r="AG181" s="9">
        <f t="shared" si="187"/>
        <v>-2.5555273428394383</v>
      </c>
      <c r="AH181" s="10">
        <f t="shared" si="188"/>
        <v>2.926357234970923</v>
      </c>
      <c r="AI181" s="1">
        <f>SUMIFS(
  '[1]Hoja 1'!$M:$M,
  '[1]Hoja 1'!$S:$S, $A181,
  '[1]Hoja 1'!$R:$R, "&gt;="&amp;INT($AK$1),
  '[1]Hoja 1'!$R:$R, "&lt;"&amp;INT($AL$1+1)
)</f>
        <v>0</v>
      </c>
      <c r="AJ181" s="1">
        <f t="shared" si="189"/>
        <v>0</v>
      </c>
      <c r="AK181" s="9">
        <f t="shared" si="190"/>
        <v>-2.1913466179497938</v>
      </c>
      <c r="AL181" s="10">
        <f t="shared" si="191"/>
        <v>2.4500000000000002</v>
      </c>
      <c r="AM181" s="1">
        <f>SUMIFS(
  '[1]Hoja 1'!$M:$M,
  '[1]Hoja 1'!$S:$S, $A181,
  '[1]Hoja 1'!$R:$R, "&gt;="&amp;INT($AO$1),
  '[1]Hoja 1'!$R:$R, "&lt;"&amp;INT($AP$1+1)
)</f>
        <v>0</v>
      </c>
      <c r="AN181" s="1">
        <f t="shared" si="192"/>
        <v>0</v>
      </c>
      <c r="AO181" s="9">
        <f t="shared" si="193"/>
        <v>-2.1913466179497938</v>
      </c>
      <c r="AP181" s="10">
        <f t="shared" si="194"/>
        <v>2.4500000000000002</v>
      </c>
      <c r="AQ181" s="1">
        <f>SUMIFS(
  '[1]Hoja 1'!$M:$M,
  '[1]Hoja 1'!$S:$S, $A181,
  '[1]Hoja 1'!$R:$R, "&gt;="&amp;INT($AS$1),
  '[1]Hoja 1'!$R:$R, "&lt;"&amp;INT($AT$1+1)
)</f>
        <v>0</v>
      </c>
      <c r="AR181" s="1">
        <f t="shared" si="195"/>
        <v>0</v>
      </c>
      <c r="AS181" s="9">
        <f t="shared" si="196"/>
        <v>0</v>
      </c>
      <c r="AT181" s="10">
        <f t="shared" si="197"/>
        <v>0</v>
      </c>
      <c r="AU181" s="1">
        <f>SUMIFS(
  '[1]Hoja 1'!$M:$M,
  '[1]Hoja 1'!$S:$S, $A181,
  '[1]Hoja 1'!$R:$R, "&gt;="&amp;INT($AW$1),
  '[1]Hoja 1'!$R:$R, "&lt;"&amp;INT($AX$1+1)
)</f>
        <v>0</v>
      </c>
      <c r="AV181" s="1">
        <f t="shared" si="198"/>
        <v>0</v>
      </c>
      <c r="AW181" s="9">
        <f t="shared" si="199"/>
        <v>0</v>
      </c>
      <c r="AX181" s="10">
        <f t="shared" si="200"/>
        <v>0</v>
      </c>
      <c r="AY181" s="1">
        <f>SUMIFS(
  '[1]Hoja 1'!$M:$M,
  '[1]Hoja 1'!$S:$S, $A181,
  '[1]Hoja 1'!$R:$R, "&gt;="&amp;INT($BA$1),
  '[1]Hoja 1'!$R:$R, "&lt;"&amp;INT($BB$1+1)
)</f>
        <v>0</v>
      </c>
      <c r="AZ181" s="1">
        <f t="shared" si="201"/>
        <v>0</v>
      </c>
      <c r="BA181" s="9">
        <f t="shared" si="202"/>
        <v>0</v>
      </c>
      <c r="BB181" s="10">
        <f t="shared" si="203"/>
        <v>0</v>
      </c>
      <c r="BC181" s="1">
        <f>SUMIFS(
  '[1]Hoja 1'!$M:$M,
  '[1]Hoja 1'!$S:$S, $A181,
  '[1]Hoja 1'!$R:$R, "&gt;="&amp;INT($BE$1),
  '[1]Hoja 1'!$R:$R, "&lt;"&amp;INT($BF$1+1)
)</f>
        <v>0</v>
      </c>
      <c r="BD181" s="1">
        <f t="shared" si="204"/>
        <v>0</v>
      </c>
      <c r="BE181" s="9">
        <f t="shared" si="205"/>
        <v>0</v>
      </c>
      <c r="BF181" s="10">
        <f t="shared" si="206"/>
        <v>0</v>
      </c>
      <c r="BG181" s="1">
        <f>SUMIFS(
  '[1]Hoja 1'!$M:$M,
  '[1]Hoja 1'!$S:$S, $A181,
  '[1]Hoja 1'!$R:$R, "&gt;="&amp;INT($BI$1),
  '[1]Hoja 1'!$R:$R, "&lt;"&amp;INT($BJ$1+1)
)</f>
        <v>0</v>
      </c>
      <c r="BH181" s="1">
        <f t="shared" si="207"/>
        <v>0</v>
      </c>
      <c r="BI181" s="9">
        <f t="shared" si="208"/>
        <v>0</v>
      </c>
      <c r="BJ181" s="10">
        <f t="shared" si="209"/>
        <v>0</v>
      </c>
      <c r="BK181" s="1">
        <f>SUMIFS(
  '[1]Hoja 1'!$M:$M,
  '[1]Hoja 1'!$S:$S, $A181,
  '[1]Hoja 1'!$R:$R, "&gt;="&amp;INT($BM$1),
  '[1]Hoja 1'!$R:$R, "&lt;"&amp;INT($BN$1+1)
)</f>
        <v>0</v>
      </c>
      <c r="BL181" s="1">
        <f t="shared" si="210"/>
        <v>0</v>
      </c>
      <c r="BM181" s="9">
        <f t="shared" si="211"/>
        <v>0</v>
      </c>
      <c r="BN181" s="10">
        <f t="shared" si="212"/>
        <v>0</v>
      </c>
      <c r="BO181" s="1">
        <f>SUMIFS(
  '[1]Hoja 1'!$M:$M,
  '[1]Hoja 1'!$S:$S, $A181,
  '[1]Hoja 1'!$R:$R, "&gt;="&amp;INT($BQ$1),
  '[1]Hoja 1'!$R:$R, "&lt;"&amp;INT($BR$1+1)
)</f>
        <v>0</v>
      </c>
      <c r="BP181" s="1">
        <f t="shared" si="213"/>
        <v>0</v>
      </c>
      <c r="BQ181" s="9">
        <f t="shared" si="214"/>
        <v>0</v>
      </c>
      <c r="BR181" s="10">
        <f t="shared" si="215"/>
        <v>0</v>
      </c>
      <c r="BS181" s="1">
        <f>SUMIFS(
  '[1]Hoja 1'!$M:$M,
  '[1]Hoja 1'!$S:$S, $A181,
  '[1]Hoja 1'!$R:$R, "&gt;="&amp;INT($BU$1),
  '[1]Hoja 1'!$R:$R, "&lt;"&amp;INT($BV$1+1)
)</f>
        <v>0</v>
      </c>
      <c r="BT181" s="1">
        <f t="shared" si="216"/>
        <v>0</v>
      </c>
      <c r="BU181" s="9">
        <f t="shared" si="217"/>
        <v>0</v>
      </c>
      <c r="BV181" s="10">
        <f t="shared" si="218"/>
        <v>0</v>
      </c>
      <c r="BW181" s="1">
        <f>SUMIFS(
  '[1]Hoja 1'!$M:$M,
  '[1]Hoja 1'!$S:$S, $A181,
  '[1]Hoja 1'!$R:$R, "&gt;="&amp;INT($BY$1),
  '[1]Hoja 1'!$R:$R, "&lt;"&amp;INT($BZ$1+1)
)</f>
        <v>0</v>
      </c>
      <c r="BX181" s="1">
        <f t="shared" si="219"/>
        <v>0</v>
      </c>
      <c r="BY181" s="9">
        <f t="shared" si="220"/>
        <v>0</v>
      </c>
      <c r="BZ181" s="10">
        <f t="shared" si="221"/>
        <v>0</v>
      </c>
      <c r="CA181" s="1">
        <f>SUMIFS(
  '[1]Hoja 1'!$M:$M,
  '[1]Hoja 1'!$S:$S, $A181,
  '[1]Hoja 1'!$R:$R, "&gt;="&amp;INT($CC$1),
  '[1]Hoja 1'!$R:$R, "&lt;"&amp;INT($CD$1+1)
)</f>
        <v>0</v>
      </c>
      <c r="CB181" s="1">
        <f t="shared" si="222"/>
        <v>0</v>
      </c>
      <c r="CC181" s="9">
        <f t="shared" si="223"/>
        <v>0</v>
      </c>
      <c r="CD181" s="10">
        <f t="shared" si="224"/>
        <v>0</v>
      </c>
      <c r="CE181" s="1">
        <f>SUMIFS(
  '[1]Hoja 1'!$M:$M,
  '[1]Hoja 1'!$S:$S, $A181,
  '[1]Hoja 1'!$R:$R, "&gt;="&amp;INT($CG$1),
  '[1]Hoja 1'!$R:$R, "&lt;"&amp;INT($CH$1+1)
)</f>
        <v>0</v>
      </c>
      <c r="CF181" s="1">
        <f t="shared" si="225"/>
        <v>0</v>
      </c>
      <c r="CG181" s="9">
        <f t="shared" si="226"/>
        <v>0</v>
      </c>
      <c r="CH181" s="10">
        <f t="shared" si="227"/>
        <v>0</v>
      </c>
      <c r="CI181" s="1">
        <f>SUMIFS(
  '[1]Hoja 1'!$M:$M,
  '[1]Hoja 1'!$S:$S, $A181,
  '[1]Hoja 1'!$R:$R, "&gt;="&amp;INT($CK$1),
  '[1]Hoja 1'!$R:$R, "&lt;"&amp;INT($CL$1+1)
)</f>
        <v>0</v>
      </c>
      <c r="CJ181" s="1">
        <f t="shared" si="228"/>
        <v>0</v>
      </c>
      <c r="CK181" s="9">
        <f t="shared" si="229"/>
        <v>0</v>
      </c>
      <c r="CL181" s="10">
        <f t="shared" si="230"/>
        <v>0</v>
      </c>
      <c r="CM181" s="1">
        <f>SUMIFS(
  '[1]Hoja 1'!$M:$M,
  '[1]Hoja 1'!$S:$S, $A181,
  '[1]Hoja 1'!$R:$R, "&gt;="&amp;INT($CO$1),
  '[1]Hoja 1'!$R:$R, "&lt;"&amp;INT($CP$1+1)
)</f>
        <v>0</v>
      </c>
      <c r="CN181" s="1">
        <f t="shared" si="231"/>
        <v>0</v>
      </c>
      <c r="CO181" s="9">
        <f t="shared" si="232"/>
        <v>0</v>
      </c>
      <c r="CP181" s="10">
        <f t="shared" si="233"/>
        <v>0</v>
      </c>
      <c r="CQ181" s="1">
        <f>SUMIFS(
  '[1]Hoja 1'!$M:$M,
  '[1]Hoja 1'!$S:$S, $A181,
  '[1]Hoja 1'!$R:$R, "&gt;="&amp;INT($CS$1),
  '[1]Hoja 1'!$R:$R, "&lt;"&amp;INT($CT$1+1)
)</f>
        <v>0</v>
      </c>
      <c r="CR181" s="1">
        <f t="shared" si="234"/>
        <v>0</v>
      </c>
      <c r="CS181" s="9">
        <f t="shared" si="235"/>
        <v>0</v>
      </c>
      <c r="CT181" s="10">
        <f t="shared" si="236"/>
        <v>0</v>
      </c>
      <c r="CU181" s="1">
        <f>SUMIFS(
  '[1]Hoja 1'!$M:$M,
  '[1]Hoja 1'!$S:$S, $A181,
  '[1]Hoja 1'!$R:$R, "&gt;="&amp;INT($CW$1),
  '[1]Hoja 1'!$R:$R, "&lt;"&amp;INT($CX$1+1)
)</f>
        <v>0</v>
      </c>
      <c r="CV181" s="1">
        <f t="shared" si="237"/>
        <v>0</v>
      </c>
      <c r="CW181" s="9">
        <f t="shared" si="238"/>
        <v>0</v>
      </c>
      <c r="CX181" s="10">
        <f t="shared" si="239"/>
        <v>0</v>
      </c>
      <c r="CY181" s="1">
        <f>SUMIFS(
  '[1]Hoja 1'!$M:$M,
  '[1]Hoja 1'!$S:$S, $A181,
  '[1]Hoja 1'!$R:$R, "&gt;="&amp;INT($DA$1),
  '[1]Hoja 1'!$R:$R, "&lt;"&amp;INT($DB$1+1)
)</f>
        <v>0</v>
      </c>
      <c r="CZ181" s="1">
        <f t="shared" si="240"/>
        <v>0</v>
      </c>
      <c r="DA181" s="9">
        <f t="shared" si="241"/>
        <v>0</v>
      </c>
      <c r="DB181" s="10">
        <f t="shared" si="242"/>
        <v>0</v>
      </c>
      <c r="DC181" s="1">
        <f>SUMIFS(
  '[1]Hoja 1'!$M:$M,
  '[1]Hoja 1'!$S:$S, $A181,
  '[1]Hoja 1'!$R:$R, "&gt;="&amp;INT($DE$1),
  '[1]Hoja 1'!$R:$R, "&lt;"&amp;INT($DF$1+1)
)</f>
        <v>0</v>
      </c>
      <c r="DD181" s="1">
        <f t="shared" si="243"/>
        <v>0</v>
      </c>
      <c r="DE181" s="9">
        <f t="shared" si="244"/>
        <v>0</v>
      </c>
      <c r="DF181" s="10">
        <f t="shared" si="245"/>
        <v>0</v>
      </c>
      <c r="DG181" s="1">
        <f>SUMIFS(
  '[1]Hoja 1'!$M:$M,
  '[1]Hoja 1'!$S:$S, $A181,
  '[1]Hoja 1'!$R:$R, "&gt;="&amp;INT($DI$1),
  '[1]Hoja 1'!$R:$R, "&lt;"&amp;INT($DJ$1+1)
)</f>
        <v>0</v>
      </c>
      <c r="DH181" s="1">
        <f t="shared" si="246"/>
        <v>0</v>
      </c>
      <c r="DI181" s="9">
        <f t="shared" si="247"/>
        <v>0</v>
      </c>
      <c r="DJ181" s="10">
        <f t="shared" si="248"/>
        <v>0</v>
      </c>
      <c r="DK181" s="1">
        <f>SUMIFS(
  '[1]Hoja 1'!$M:$M,
  '[1]Hoja 1'!$S:$S, $A181,
  '[1]Hoja 1'!$R:$R, "&gt;="&amp;INT($DM$1),
  '[1]Hoja 1'!$R:$R, "&lt;"&amp;INT($DN$1+1)
)</f>
        <v>0</v>
      </c>
      <c r="DL181" s="1">
        <f t="shared" si="249"/>
        <v>0</v>
      </c>
      <c r="DM181" s="9">
        <f t="shared" si="250"/>
        <v>0</v>
      </c>
      <c r="DN181" s="10">
        <f t="shared" si="251"/>
        <v>0</v>
      </c>
      <c r="DO181" s="1">
        <f>SUMIFS(
  '[1]Hoja 1'!$M:$M,
  '[1]Hoja 1'!$S:$S, $A181,
  '[1]Hoja 1'!$R:$R, "&gt;="&amp;INT($DQ$1),
  '[1]Hoja 1'!$R:$R, "&lt;"&amp;INT($DR$1+1)
)</f>
        <v>0</v>
      </c>
      <c r="DP181" s="1">
        <f t="shared" si="252"/>
        <v>0</v>
      </c>
      <c r="DQ181" s="9">
        <f t="shared" si="253"/>
        <v>0</v>
      </c>
      <c r="DR181" s="10">
        <f t="shared" si="254"/>
        <v>0</v>
      </c>
    </row>
    <row r="182" spans="1:122" x14ac:dyDescent="0.25">
      <c r="A182" s="5">
        <v>231005</v>
      </c>
      <c r="B182" s="6" t="s">
        <v>178</v>
      </c>
      <c r="C182" s="1">
        <f>SUMIFS(
  '[1]Hoja 1'!$M:$M,
  '[1]Hoja 1'!$S:$S, $A182,
  '[1]Hoja 1'!$R:$R, "&gt;="&amp;INT($E$1),
  '[1]Hoja 1'!$R:$R, "&lt;"&amp;INT($F$1+1)
)</f>
        <v>0</v>
      </c>
      <c r="D182" s="1" t="str">
        <f>""</f>
        <v/>
      </c>
      <c r="F182" s="2"/>
      <c r="G182" s="1">
        <f>SUMIFS(
  '[1]Hoja 1'!$M:$M,
  '[1]Hoja 1'!$S:$S, $A182,
  '[1]Hoja 1'!$R:$R, "&gt;="&amp;INT($I$1),
  '[1]Hoja 1'!$R:$R, "&lt;"&amp;INT($J$1+1)
)</f>
        <v>0</v>
      </c>
      <c r="H182" s="1">
        <f t="shared" si="170"/>
        <v>0</v>
      </c>
      <c r="I182" s="1"/>
      <c r="J182" s="2"/>
      <c r="K182" s="1">
        <f>SUMIFS(
  '[1]Hoja 1'!$M:$M,
  '[1]Hoja 1'!$S:$S, $A182,
  '[1]Hoja 1'!$R:$R, "&gt;="&amp;INT($M$1),
  '[1]Hoja 1'!$R:$R, "&lt;"&amp;INT($N$1+1)
)</f>
        <v>0</v>
      </c>
      <c r="L182" s="1">
        <f t="shared" si="171"/>
        <v>0</v>
      </c>
      <c r="M182" s="9">
        <f t="shared" si="172"/>
        <v>0</v>
      </c>
      <c r="N182" s="10">
        <f t="shared" si="173"/>
        <v>0</v>
      </c>
      <c r="O182" s="1">
        <f>SUMIFS(
  '[1]Hoja 1'!$M:$M,
  '[1]Hoja 1'!$S:$S, $A182,
  '[1]Hoja 1'!$R:$R, "&gt;="&amp;INT($Q$1),
  '[1]Hoja 1'!$R:$R, "&lt;"&amp;INT($R$1+1)
)</f>
        <v>0</v>
      </c>
      <c r="P182" s="1">
        <f t="shared" si="174"/>
        <v>0</v>
      </c>
      <c r="Q182" s="9">
        <f t="shared" si="175"/>
        <v>0</v>
      </c>
      <c r="R182" s="10">
        <f t="shared" si="176"/>
        <v>0</v>
      </c>
      <c r="S182" s="1">
        <f>SUMIFS(
  '[1]Hoja 1'!$M:$M,
  '[1]Hoja 1'!$S:$S, $A182,
  '[1]Hoja 1'!$R:$R, "&gt;="&amp;INT($U$1),
  '[1]Hoja 1'!$R:$R, "&lt;"&amp;INT($V$1+1)
)</f>
        <v>0</v>
      </c>
      <c r="T182" s="1">
        <f t="shared" si="177"/>
        <v>0</v>
      </c>
      <c r="U182" s="9">
        <f t="shared" si="178"/>
        <v>0</v>
      </c>
      <c r="V182" s="10">
        <f t="shared" si="179"/>
        <v>0</v>
      </c>
      <c r="W182" s="1">
        <f>SUMIFS(
  '[1]Hoja 1'!$M:$M,
  '[1]Hoja 1'!$S:$S, $A182,
  '[1]Hoja 1'!$R:$R, "&gt;="&amp;INT($Y$1),
  '[1]Hoja 1'!$R:$R, "&lt;"&amp;INT($Z$1+1)
)</f>
        <v>0</v>
      </c>
      <c r="X182" s="1">
        <f t="shared" si="180"/>
        <v>0</v>
      </c>
      <c r="Y182" s="9">
        <f t="shared" si="181"/>
        <v>0</v>
      </c>
      <c r="Z182" s="10">
        <f t="shared" si="182"/>
        <v>0</v>
      </c>
      <c r="AA182" s="1">
        <f>SUMIFS(
  '[1]Hoja 1'!$M:$M,
  '[1]Hoja 1'!$S:$S, $A182,
  '[1]Hoja 1'!$R:$R, "&gt;="&amp;INT($AC$1),
  '[1]Hoja 1'!$R:$R, "&lt;"&amp;INT($AD$1+1)
)</f>
        <v>0</v>
      </c>
      <c r="AB182" s="1">
        <f t="shared" si="183"/>
        <v>0</v>
      </c>
      <c r="AC182" s="9">
        <f t="shared" si="184"/>
        <v>0</v>
      </c>
      <c r="AD182" s="10">
        <f t="shared" si="185"/>
        <v>0</v>
      </c>
      <c r="AE182" s="1">
        <f>SUMIFS(
  '[1]Hoja 1'!$M:$M,
  '[1]Hoja 1'!$S:$S, $A182,
  '[1]Hoja 1'!$R:$R, "&gt;="&amp;INT($AG$1),
  '[1]Hoja 1'!$R:$R, "&lt;"&amp;INT($AH$1+1)
)</f>
        <v>0</v>
      </c>
      <c r="AF182" s="1">
        <f t="shared" si="186"/>
        <v>0</v>
      </c>
      <c r="AG182" s="9">
        <f t="shared" si="187"/>
        <v>0</v>
      </c>
      <c r="AH182" s="10">
        <f t="shared" si="188"/>
        <v>0</v>
      </c>
      <c r="AI182" s="1">
        <f>SUMIFS(
  '[1]Hoja 1'!$M:$M,
  '[1]Hoja 1'!$S:$S, $A182,
  '[1]Hoja 1'!$R:$R, "&gt;="&amp;INT($AK$1),
  '[1]Hoja 1'!$R:$R, "&lt;"&amp;INT($AL$1+1)
)</f>
        <v>0</v>
      </c>
      <c r="AJ182" s="1">
        <f t="shared" si="189"/>
        <v>0</v>
      </c>
      <c r="AK182" s="9">
        <f t="shared" si="190"/>
        <v>0</v>
      </c>
      <c r="AL182" s="10">
        <f t="shared" si="191"/>
        <v>0</v>
      </c>
      <c r="AM182" s="1">
        <f>SUMIFS(
  '[1]Hoja 1'!$M:$M,
  '[1]Hoja 1'!$S:$S, $A182,
  '[1]Hoja 1'!$R:$R, "&gt;="&amp;INT($AO$1),
  '[1]Hoja 1'!$R:$R, "&lt;"&amp;INT($AP$1+1)
)</f>
        <v>0</v>
      </c>
      <c r="AN182" s="1">
        <f t="shared" si="192"/>
        <v>0</v>
      </c>
      <c r="AO182" s="9">
        <f t="shared" si="193"/>
        <v>0</v>
      </c>
      <c r="AP182" s="10">
        <f t="shared" si="194"/>
        <v>0</v>
      </c>
      <c r="AQ182" s="1">
        <f>SUMIFS(
  '[1]Hoja 1'!$M:$M,
  '[1]Hoja 1'!$S:$S, $A182,
  '[1]Hoja 1'!$R:$R, "&gt;="&amp;INT($AS$1),
  '[1]Hoja 1'!$R:$R, "&lt;"&amp;INT($AT$1+1)
)</f>
        <v>0</v>
      </c>
      <c r="AR182" s="1">
        <f t="shared" si="195"/>
        <v>0</v>
      </c>
      <c r="AS182" s="9">
        <f t="shared" si="196"/>
        <v>0</v>
      </c>
      <c r="AT182" s="10">
        <f t="shared" si="197"/>
        <v>0</v>
      </c>
      <c r="AU182" s="1">
        <f>SUMIFS(
  '[1]Hoja 1'!$M:$M,
  '[1]Hoja 1'!$S:$S, $A182,
  '[1]Hoja 1'!$R:$R, "&gt;="&amp;INT($AW$1),
  '[1]Hoja 1'!$R:$R, "&lt;"&amp;INT($AX$1+1)
)</f>
        <v>0</v>
      </c>
      <c r="AV182" s="1">
        <f t="shared" si="198"/>
        <v>0</v>
      </c>
      <c r="AW182" s="9">
        <f t="shared" si="199"/>
        <v>0</v>
      </c>
      <c r="AX182" s="10">
        <f t="shared" si="200"/>
        <v>0</v>
      </c>
      <c r="AY182" s="1">
        <f>SUMIFS(
  '[1]Hoja 1'!$M:$M,
  '[1]Hoja 1'!$S:$S, $A182,
  '[1]Hoja 1'!$R:$R, "&gt;="&amp;INT($BA$1),
  '[1]Hoja 1'!$R:$R, "&lt;"&amp;INT($BB$1+1)
)</f>
        <v>0</v>
      </c>
      <c r="AZ182" s="1">
        <f t="shared" si="201"/>
        <v>0</v>
      </c>
      <c r="BA182" s="9">
        <f t="shared" si="202"/>
        <v>0</v>
      </c>
      <c r="BB182" s="10">
        <f t="shared" si="203"/>
        <v>0</v>
      </c>
      <c r="BC182" s="1">
        <f>SUMIFS(
  '[1]Hoja 1'!$M:$M,
  '[1]Hoja 1'!$S:$S, $A182,
  '[1]Hoja 1'!$R:$R, "&gt;="&amp;INT($BE$1),
  '[1]Hoja 1'!$R:$R, "&lt;"&amp;INT($BF$1+1)
)</f>
        <v>0</v>
      </c>
      <c r="BD182" s="1">
        <f t="shared" si="204"/>
        <v>0</v>
      </c>
      <c r="BE182" s="9">
        <f t="shared" si="205"/>
        <v>0</v>
      </c>
      <c r="BF182" s="10">
        <f t="shared" si="206"/>
        <v>0</v>
      </c>
      <c r="BG182" s="1">
        <f>SUMIFS(
  '[1]Hoja 1'!$M:$M,
  '[1]Hoja 1'!$S:$S, $A182,
  '[1]Hoja 1'!$R:$R, "&gt;="&amp;INT($BI$1),
  '[1]Hoja 1'!$R:$R, "&lt;"&amp;INT($BJ$1+1)
)</f>
        <v>0</v>
      </c>
      <c r="BH182" s="1">
        <f t="shared" si="207"/>
        <v>0</v>
      </c>
      <c r="BI182" s="9">
        <f t="shared" si="208"/>
        <v>0</v>
      </c>
      <c r="BJ182" s="10">
        <f t="shared" si="209"/>
        <v>0</v>
      </c>
      <c r="BK182" s="1">
        <f>SUMIFS(
  '[1]Hoja 1'!$M:$M,
  '[1]Hoja 1'!$S:$S, $A182,
  '[1]Hoja 1'!$R:$R, "&gt;="&amp;INT($BM$1),
  '[1]Hoja 1'!$R:$R, "&lt;"&amp;INT($BN$1+1)
)</f>
        <v>0</v>
      </c>
      <c r="BL182" s="1">
        <f t="shared" si="210"/>
        <v>0</v>
      </c>
      <c r="BM182" s="9">
        <f t="shared" si="211"/>
        <v>0</v>
      </c>
      <c r="BN182" s="10">
        <f t="shared" si="212"/>
        <v>0</v>
      </c>
      <c r="BO182" s="1">
        <f>SUMIFS(
  '[1]Hoja 1'!$M:$M,
  '[1]Hoja 1'!$S:$S, $A182,
  '[1]Hoja 1'!$R:$R, "&gt;="&amp;INT($BQ$1),
  '[1]Hoja 1'!$R:$R, "&lt;"&amp;INT($BR$1+1)
)</f>
        <v>0</v>
      </c>
      <c r="BP182" s="1">
        <f t="shared" si="213"/>
        <v>0</v>
      </c>
      <c r="BQ182" s="9">
        <f t="shared" si="214"/>
        <v>0</v>
      </c>
      <c r="BR182" s="10">
        <f t="shared" si="215"/>
        <v>0</v>
      </c>
      <c r="BS182" s="1">
        <f>SUMIFS(
  '[1]Hoja 1'!$M:$M,
  '[1]Hoja 1'!$S:$S, $A182,
  '[1]Hoja 1'!$R:$R, "&gt;="&amp;INT($BU$1),
  '[1]Hoja 1'!$R:$R, "&lt;"&amp;INT($BV$1+1)
)</f>
        <v>0</v>
      </c>
      <c r="BT182" s="1">
        <f t="shared" si="216"/>
        <v>0</v>
      </c>
      <c r="BU182" s="9">
        <f t="shared" si="217"/>
        <v>0</v>
      </c>
      <c r="BV182" s="10">
        <f t="shared" si="218"/>
        <v>0</v>
      </c>
      <c r="BW182" s="1">
        <f>SUMIFS(
  '[1]Hoja 1'!$M:$M,
  '[1]Hoja 1'!$S:$S, $A182,
  '[1]Hoja 1'!$R:$R, "&gt;="&amp;INT($BY$1),
  '[1]Hoja 1'!$R:$R, "&lt;"&amp;INT($BZ$1+1)
)</f>
        <v>0</v>
      </c>
      <c r="BX182" s="1">
        <f t="shared" si="219"/>
        <v>0</v>
      </c>
      <c r="BY182" s="9">
        <f t="shared" si="220"/>
        <v>0</v>
      </c>
      <c r="BZ182" s="10">
        <f t="shared" si="221"/>
        <v>0</v>
      </c>
      <c r="CA182" s="1">
        <f>SUMIFS(
  '[1]Hoja 1'!$M:$M,
  '[1]Hoja 1'!$S:$S, $A182,
  '[1]Hoja 1'!$R:$R, "&gt;="&amp;INT($CC$1),
  '[1]Hoja 1'!$R:$R, "&lt;"&amp;INT($CD$1+1)
)</f>
        <v>0</v>
      </c>
      <c r="CB182" s="1">
        <f t="shared" si="222"/>
        <v>0</v>
      </c>
      <c r="CC182" s="9">
        <f t="shared" si="223"/>
        <v>0</v>
      </c>
      <c r="CD182" s="10">
        <f t="shared" si="224"/>
        <v>0</v>
      </c>
      <c r="CE182" s="1">
        <f>SUMIFS(
  '[1]Hoja 1'!$M:$M,
  '[1]Hoja 1'!$S:$S, $A182,
  '[1]Hoja 1'!$R:$R, "&gt;="&amp;INT($CG$1),
  '[1]Hoja 1'!$R:$R, "&lt;"&amp;INT($CH$1+1)
)</f>
        <v>0</v>
      </c>
      <c r="CF182" s="1">
        <f t="shared" si="225"/>
        <v>0</v>
      </c>
      <c r="CG182" s="9">
        <f t="shared" si="226"/>
        <v>0</v>
      </c>
      <c r="CH182" s="10">
        <f t="shared" si="227"/>
        <v>0</v>
      </c>
      <c r="CI182" s="1">
        <f>SUMIFS(
  '[1]Hoja 1'!$M:$M,
  '[1]Hoja 1'!$S:$S, $A182,
  '[1]Hoja 1'!$R:$R, "&gt;="&amp;INT($CK$1),
  '[1]Hoja 1'!$R:$R, "&lt;"&amp;INT($CL$1+1)
)</f>
        <v>0</v>
      </c>
      <c r="CJ182" s="1">
        <f t="shared" si="228"/>
        <v>0</v>
      </c>
      <c r="CK182" s="9">
        <f t="shared" si="229"/>
        <v>0</v>
      </c>
      <c r="CL182" s="10">
        <f t="shared" si="230"/>
        <v>0</v>
      </c>
      <c r="CM182" s="1">
        <f>SUMIFS(
  '[1]Hoja 1'!$M:$M,
  '[1]Hoja 1'!$S:$S, $A182,
  '[1]Hoja 1'!$R:$R, "&gt;="&amp;INT($CO$1),
  '[1]Hoja 1'!$R:$R, "&lt;"&amp;INT($CP$1+1)
)</f>
        <v>0</v>
      </c>
      <c r="CN182" s="1">
        <f t="shared" si="231"/>
        <v>0</v>
      </c>
      <c r="CO182" s="9">
        <f t="shared" si="232"/>
        <v>0</v>
      </c>
      <c r="CP182" s="10">
        <f t="shared" si="233"/>
        <v>0</v>
      </c>
      <c r="CQ182" s="1">
        <f>SUMIFS(
  '[1]Hoja 1'!$M:$M,
  '[1]Hoja 1'!$S:$S, $A182,
  '[1]Hoja 1'!$R:$R, "&gt;="&amp;INT($CS$1),
  '[1]Hoja 1'!$R:$R, "&lt;"&amp;INT($CT$1+1)
)</f>
        <v>0</v>
      </c>
      <c r="CR182" s="1">
        <f t="shared" si="234"/>
        <v>0</v>
      </c>
      <c r="CS182" s="9">
        <f t="shared" si="235"/>
        <v>0</v>
      </c>
      <c r="CT182" s="10">
        <f t="shared" si="236"/>
        <v>0</v>
      </c>
      <c r="CU182" s="1">
        <f>SUMIFS(
  '[1]Hoja 1'!$M:$M,
  '[1]Hoja 1'!$S:$S, $A182,
  '[1]Hoja 1'!$R:$R, "&gt;="&amp;INT($CW$1),
  '[1]Hoja 1'!$R:$R, "&lt;"&amp;INT($CX$1+1)
)</f>
        <v>0</v>
      </c>
      <c r="CV182" s="1">
        <f t="shared" si="237"/>
        <v>0</v>
      </c>
      <c r="CW182" s="9">
        <f t="shared" si="238"/>
        <v>0</v>
      </c>
      <c r="CX182" s="10">
        <f t="shared" si="239"/>
        <v>0</v>
      </c>
      <c r="CY182" s="1">
        <f>SUMIFS(
  '[1]Hoja 1'!$M:$M,
  '[1]Hoja 1'!$S:$S, $A182,
  '[1]Hoja 1'!$R:$R, "&gt;="&amp;INT($DA$1),
  '[1]Hoja 1'!$R:$R, "&lt;"&amp;INT($DB$1+1)
)</f>
        <v>0</v>
      </c>
      <c r="CZ182" s="1">
        <f t="shared" si="240"/>
        <v>0</v>
      </c>
      <c r="DA182" s="9">
        <f t="shared" si="241"/>
        <v>0</v>
      </c>
      <c r="DB182" s="10">
        <f t="shared" si="242"/>
        <v>0</v>
      </c>
      <c r="DC182" s="1">
        <f>SUMIFS(
  '[1]Hoja 1'!$M:$M,
  '[1]Hoja 1'!$S:$S, $A182,
  '[1]Hoja 1'!$R:$R, "&gt;="&amp;INT($DE$1),
  '[1]Hoja 1'!$R:$R, "&lt;"&amp;INT($DF$1+1)
)</f>
        <v>0</v>
      </c>
      <c r="DD182" s="1">
        <f t="shared" si="243"/>
        <v>0</v>
      </c>
      <c r="DE182" s="9">
        <f t="shared" si="244"/>
        <v>0</v>
      </c>
      <c r="DF182" s="10">
        <f t="shared" si="245"/>
        <v>0</v>
      </c>
      <c r="DG182" s="1">
        <f>SUMIFS(
  '[1]Hoja 1'!$M:$M,
  '[1]Hoja 1'!$S:$S, $A182,
  '[1]Hoja 1'!$R:$R, "&gt;="&amp;INT($DI$1),
  '[1]Hoja 1'!$R:$R, "&lt;"&amp;INT($DJ$1+1)
)</f>
        <v>0</v>
      </c>
      <c r="DH182" s="1">
        <f t="shared" si="246"/>
        <v>0</v>
      </c>
      <c r="DI182" s="9">
        <f t="shared" si="247"/>
        <v>0</v>
      </c>
      <c r="DJ182" s="10">
        <f t="shared" si="248"/>
        <v>0</v>
      </c>
      <c r="DK182" s="1">
        <f>SUMIFS(
  '[1]Hoja 1'!$M:$M,
  '[1]Hoja 1'!$S:$S, $A182,
  '[1]Hoja 1'!$R:$R, "&gt;="&amp;INT($DM$1),
  '[1]Hoja 1'!$R:$R, "&lt;"&amp;INT($DN$1+1)
)</f>
        <v>0</v>
      </c>
      <c r="DL182" s="1">
        <f t="shared" si="249"/>
        <v>0</v>
      </c>
      <c r="DM182" s="9">
        <f t="shared" si="250"/>
        <v>0</v>
      </c>
      <c r="DN182" s="10">
        <f t="shared" si="251"/>
        <v>0</v>
      </c>
      <c r="DO182" s="1">
        <f>SUMIFS(
  '[1]Hoja 1'!$M:$M,
  '[1]Hoja 1'!$S:$S, $A182,
  '[1]Hoja 1'!$R:$R, "&gt;="&amp;INT($DQ$1),
  '[1]Hoja 1'!$R:$R, "&lt;"&amp;INT($DR$1+1)
)</f>
        <v>0</v>
      </c>
      <c r="DP182" s="1">
        <f t="shared" si="252"/>
        <v>0</v>
      </c>
      <c r="DQ182" s="9">
        <f t="shared" si="253"/>
        <v>0</v>
      </c>
      <c r="DR182" s="10">
        <f t="shared" si="254"/>
        <v>0</v>
      </c>
    </row>
    <row r="183" spans="1:122" x14ac:dyDescent="0.25">
      <c r="A183" s="5">
        <v>231006</v>
      </c>
      <c r="B183" s="6" t="s">
        <v>179</v>
      </c>
      <c r="C183" s="1">
        <f>SUMIFS(
  '[1]Hoja 1'!$M:$M,
  '[1]Hoja 1'!$S:$S, $A183,
  '[1]Hoja 1'!$R:$R, "&gt;="&amp;INT($E$1),
  '[1]Hoja 1'!$R:$R, "&lt;"&amp;INT($F$1+1)
)</f>
        <v>0</v>
      </c>
      <c r="D183" s="1" t="str">
        <f>""</f>
        <v/>
      </c>
      <c r="F183" s="2"/>
      <c r="G183" s="1">
        <f>SUMIFS(
  '[1]Hoja 1'!$M:$M,
  '[1]Hoja 1'!$S:$S, $A183,
  '[1]Hoja 1'!$R:$R, "&gt;="&amp;INT($I$1),
  '[1]Hoja 1'!$R:$R, "&lt;"&amp;INT($J$1+1)
)</f>
        <v>2</v>
      </c>
      <c r="H183" s="1">
        <f t="shared" si="170"/>
        <v>1</v>
      </c>
      <c r="I183" s="1"/>
      <c r="J183" s="2"/>
      <c r="K183" s="1">
        <f>SUMIFS(
  '[1]Hoja 1'!$M:$M,
  '[1]Hoja 1'!$S:$S, $A183,
  '[1]Hoja 1'!$R:$R, "&gt;="&amp;INT($M$1),
  '[1]Hoja 1'!$R:$R, "&lt;"&amp;INT($N$1+1)
)</f>
        <v>3</v>
      </c>
      <c r="L183" s="1">
        <f t="shared" si="171"/>
        <v>2.5</v>
      </c>
      <c r="M183" s="9">
        <f t="shared" si="172"/>
        <v>1.8070353544371835</v>
      </c>
      <c r="N183" s="10">
        <f t="shared" si="173"/>
        <v>3.1929646455628165</v>
      </c>
      <c r="O183" s="1">
        <f>SUMIFS(
  '[1]Hoja 1'!$M:$M,
  '[1]Hoja 1'!$S:$S, $A183,
  '[1]Hoja 1'!$R:$R, "&gt;="&amp;INT($Q$1),
  '[1]Hoja 1'!$R:$R, "&lt;"&amp;INT($R$1+1)
)</f>
        <v>0</v>
      </c>
      <c r="P183" s="1">
        <f t="shared" si="174"/>
        <v>1.5</v>
      </c>
      <c r="Q183" s="9">
        <f t="shared" si="175"/>
        <v>-9.2836284843298866E-2</v>
      </c>
      <c r="R183" s="10">
        <f t="shared" si="176"/>
        <v>5.0928362848432993</v>
      </c>
      <c r="S183" s="1">
        <f>SUMIFS(
  '[1]Hoja 1'!$M:$M,
  '[1]Hoja 1'!$S:$S, $A183,
  '[1]Hoja 1'!$R:$R, "&gt;="&amp;INT($U$1),
  '[1]Hoja 1'!$R:$R, "&lt;"&amp;INT($V$1+1)
)</f>
        <v>2</v>
      </c>
      <c r="T183" s="1">
        <f t="shared" si="177"/>
        <v>1</v>
      </c>
      <c r="U183" s="9">
        <f t="shared" si="178"/>
        <v>-1.3328666199906642</v>
      </c>
      <c r="V183" s="10">
        <f t="shared" si="179"/>
        <v>3.3328666199906642</v>
      </c>
      <c r="W183" s="1">
        <f>SUMIFS(
  '[1]Hoja 1'!$M:$M,
  '[1]Hoja 1'!$S:$S, $A183,
  '[1]Hoja 1'!$R:$R, "&gt;="&amp;INT($Y$1),
  '[1]Hoja 1'!$R:$R, "&lt;"&amp;INT($Z$1+1)
)</f>
        <v>0</v>
      </c>
      <c r="X183" s="1">
        <f t="shared" si="180"/>
        <v>1</v>
      </c>
      <c r="Y183" s="9">
        <f t="shared" si="181"/>
        <v>-1.3328666199906642</v>
      </c>
      <c r="Z183" s="10">
        <f t="shared" si="182"/>
        <v>3.3328666199906642</v>
      </c>
      <c r="AA183" s="1">
        <f>SUMIFS(
  '[1]Hoja 1'!$M:$M,
  '[1]Hoja 1'!$S:$S, $A183,
  '[1]Hoja 1'!$R:$R, "&gt;="&amp;INT($AC$1),
  '[1]Hoja 1'!$R:$R, "&lt;"&amp;INT($AD$1+1)
)</f>
        <v>0</v>
      </c>
      <c r="AB183" s="1">
        <f t="shared" si="183"/>
        <v>0</v>
      </c>
      <c r="AC183" s="9">
        <f t="shared" si="184"/>
        <v>-1.9103716915825568</v>
      </c>
      <c r="AD183" s="10">
        <f t="shared" si="185"/>
        <v>2.1730086669561781</v>
      </c>
      <c r="AE183" s="1">
        <f>SUMIFS(
  '[1]Hoja 1'!$M:$M,
  '[1]Hoja 1'!$S:$S, $A183,
  '[1]Hoja 1'!$R:$R, "&gt;="&amp;INT($AG$1),
  '[1]Hoja 1'!$R:$R, "&lt;"&amp;INT($AH$1+1)
)</f>
        <v>0</v>
      </c>
      <c r="AF183" s="1">
        <f t="shared" si="186"/>
        <v>0</v>
      </c>
      <c r="AG183" s="9">
        <f t="shared" si="187"/>
        <v>-1.3859292911256331</v>
      </c>
      <c r="AH183" s="10">
        <f t="shared" si="188"/>
        <v>1.6003332986183429</v>
      </c>
      <c r="AI183" s="1">
        <f>SUMIFS(
  '[1]Hoja 1'!$M:$M,
  '[1]Hoja 1'!$S:$S, $A183,
  '[1]Hoja 1'!$R:$R, "&gt;="&amp;INT($AK$1),
  '[1]Hoja 1'!$R:$R, "&lt;"&amp;INT($AL$1+1)
)</f>
        <v>0</v>
      </c>
      <c r="AJ183" s="1">
        <f t="shared" si="189"/>
        <v>0</v>
      </c>
      <c r="AK183" s="9">
        <f t="shared" si="190"/>
        <v>-0.87653864717991747</v>
      </c>
      <c r="AL183" s="10">
        <f t="shared" si="191"/>
        <v>0.98</v>
      </c>
      <c r="AM183" s="1">
        <f>SUMIFS(
  '[1]Hoja 1'!$M:$M,
  '[1]Hoja 1'!$S:$S, $A183,
  '[1]Hoja 1'!$R:$R, "&gt;="&amp;INT($AO$1),
  '[1]Hoja 1'!$R:$R, "&lt;"&amp;INT($AP$1+1)
)</f>
        <v>0</v>
      </c>
      <c r="AN183" s="1">
        <f t="shared" si="192"/>
        <v>0</v>
      </c>
      <c r="AO183" s="9">
        <f t="shared" si="193"/>
        <v>0</v>
      </c>
      <c r="AP183" s="10">
        <f t="shared" si="194"/>
        <v>0</v>
      </c>
      <c r="AQ183" s="1">
        <f>SUMIFS(
  '[1]Hoja 1'!$M:$M,
  '[1]Hoja 1'!$S:$S, $A183,
  '[1]Hoja 1'!$R:$R, "&gt;="&amp;INT($AS$1),
  '[1]Hoja 1'!$R:$R, "&lt;"&amp;INT($AT$1+1)
)</f>
        <v>0</v>
      </c>
      <c r="AR183" s="1">
        <f t="shared" si="195"/>
        <v>0</v>
      </c>
      <c r="AS183" s="9">
        <f t="shared" si="196"/>
        <v>0</v>
      </c>
      <c r="AT183" s="10">
        <f t="shared" si="197"/>
        <v>0</v>
      </c>
      <c r="AU183" s="1">
        <f>SUMIFS(
  '[1]Hoja 1'!$M:$M,
  '[1]Hoja 1'!$S:$S, $A183,
  '[1]Hoja 1'!$R:$R, "&gt;="&amp;INT($AW$1),
  '[1]Hoja 1'!$R:$R, "&lt;"&amp;INT($AX$1+1)
)</f>
        <v>0</v>
      </c>
      <c r="AV183" s="1">
        <f t="shared" si="198"/>
        <v>0</v>
      </c>
      <c r="AW183" s="9">
        <f t="shared" si="199"/>
        <v>0</v>
      </c>
      <c r="AX183" s="10">
        <f t="shared" si="200"/>
        <v>0</v>
      </c>
      <c r="AY183" s="1">
        <f>SUMIFS(
  '[1]Hoja 1'!$M:$M,
  '[1]Hoja 1'!$S:$S, $A183,
  '[1]Hoja 1'!$R:$R, "&gt;="&amp;INT($BA$1),
  '[1]Hoja 1'!$R:$R, "&lt;"&amp;INT($BB$1+1)
)</f>
        <v>0</v>
      </c>
      <c r="AZ183" s="1">
        <f t="shared" si="201"/>
        <v>0</v>
      </c>
      <c r="BA183" s="9">
        <f t="shared" si="202"/>
        <v>0</v>
      </c>
      <c r="BB183" s="10">
        <f t="shared" si="203"/>
        <v>0</v>
      </c>
      <c r="BC183" s="1">
        <f>SUMIFS(
  '[1]Hoja 1'!$M:$M,
  '[1]Hoja 1'!$S:$S, $A183,
  '[1]Hoja 1'!$R:$R, "&gt;="&amp;INT($BE$1),
  '[1]Hoja 1'!$R:$R, "&lt;"&amp;INT($BF$1+1)
)</f>
        <v>0</v>
      </c>
      <c r="BD183" s="1">
        <f t="shared" si="204"/>
        <v>0</v>
      </c>
      <c r="BE183" s="9">
        <f t="shared" si="205"/>
        <v>0</v>
      </c>
      <c r="BF183" s="10">
        <f t="shared" si="206"/>
        <v>0</v>
      </c>
      <c r="BG183" s="1">
        <f>SUMIFS(
  '[1]Hoja 1'!$M:$M,
  '[1]Hoja 1'!$S:$S, $A183,
  '[1]Hoja 1'!$R:$R, "&gt;="&amp;INT($BI$1),
  '[1]Hoja 1'!$R:$R, "&lt;"&amp;INT($BJ$1+1)
)</f>
        <v>0</v>
      </c>
      <c r="BH183" s="1">
        <f t="shared" si="207"/>
        <v>0</v>
      </c>
      <c r="BI183" s="9">
        <f t="shared" si="208"/>
        <v>0</v>
      </c>
      <c r="BJ183" s="10">
        <f t="shared" si="209"/>
        <v>0</v>
      </c>
      <c r="BK183" s="1">
        <f>SUMIFS(
  '[1]Hoja 1'!$M:$M,
  '[1]Hoja 1'!$S:$S, $A183,
  '[1]Hoja 1'!$R:$R, "&gt;="&amp;INT($BM$1),
  '[1]Hoja 1'!$R:$R, "&lt;"&amp;INT($BN$1+1)
)</f>
        <v>0</v>
      </c>
      <c r="BL183" s="1">
        <f t="shared" si="210"/>
        <v>0</v>
      </c>
      <c r="BM183" s="9">
        <f t="shared" si="211"/>
        <v>0</v>
      </c>
      <c r="BN183" s="10">
        <f t="shared" si="212"/>
        <v>0</v>
      </c>
      <c r="BO183" s="1">
        <f>SUMIFS(
  '[1]Hoja 1'!$M:$M,
  '[1]Hoja 1'!$S:$S, $A183,
  '[1]Hoja 1'!$R:$R, "&gt;="&amp;INT($BQ$1),
  '[1]Hoja 1'!$R:$R, "&lt;"&amp;INT($BR$1+1)
)</f>
        <v>0</v>
      </c>
      <c r="BP183" s="1">
        <f t="shared" si="213"/>
        <v>0</v>
      </c>
      <c r="BQ183" s="9">
        <f t="shared" si="214"/>
        <v>0</v>
      </c>
      <c r="BR183" s="10">
        <f t="shared" si="215"/>
        <v>0</v>
      </c>
      <c r="BS183" s="1">
        <f>SUMIFS(
  '[1]Hoja 1'!$M:$M,
  '[1]Hoja 1'!$S:$S, $A183,
  '[1]Hoja 1'!$R:$R, "&gt;="&amp;INT($BU$1),
  '[1]Hoja 1'!$R:$R, "&lt;"&amp;INT($BV$1+1)
)</f>
        <v>0</v>
      </c>
      <c r="BT183" s="1">
        <f t="shared" si="216"/>
        <v>0</v>
      </c>
      <c r="BU183" s="9">
        <f t="shared" si="217"/>
        <v>0</v>
      </c>
      <c r="BV183" s="10">
        <f t="shared" si="218"/>
        <v>0</v>
      </c>
      <c r="BW183" s="1">
        <f>SUMIFS(
  '[1]Hoja 1'!$M:$M,
  '[1]Hoja 1'!$S:$S, $A183,
  '[1]Hoja 1'!$R:$R, "&gt;="&amp;INT($BY$1),
  '[1]Hoja 1'!$R:$R, "&lt;"&amp;INT($BZ$1+1)
)</f>
        <v>0</v>
      </c>
      <c r="BX183" s="1">
        <f t="shared" si="219"/>
        <v>0</v>
      </c>
      <c r="BY183" s="9">
        <f t="shared" si="220"/>
        <v>0</v>
      </c>
      <c r="BZ183" s="10">
        <f t="shared" si="221"/>
        <v>0</v>
      </c>
      <c r="CA183" s="1">
        <f>SUMIFS(
  '[1]Hoja 1'!$M:$M,
  '[1]Hoja 1'!$S:$S, $A183,
  '[1]Hoja 1'!$R:$R, "&gt;="&amp;INT($CC$1),
  '[1]Hoja 1'!$R:$R, "&lt;"&amp;INT($CD$1+1)
)</f>
        <v>0</v>
      </c>
      <c r="CB183" s="1">
        <f t="shared" si="222"/>
        <v>0</v>
      </c>
      <c r="CC183" s="9">
        <f t="shared" si="223"/>
        <v>0</v>
      </c>
      <c r="CD183" s="10">
        <f t="shared" si="224"/>
        <v>0</v>
      </c>
      <c r="CE183" s="1">
        <f>SUMIFS(
  '[1]Hoja 1'!$M:$M,
  '[1]Hoja 1'!$S:$S, $A183,
  '[1]Hoja 1'!$R:$R, "&gt;="&amp;INT($CG$1),
  '[1]Hoja 1'!$R:$R, "&lt;"&amp;INT($CH$1+1)
)</f>
        <v>0</v>
      </c>
      <c r="CF183" s="1">
        <f t="shared" si="225"/>
        <v>0</v>
      </c>
      <c r="CG183" s="9">
        <f t="shared" si="226"/>
        <v>0</v>
      </c>
      <c r="CH183" s="10">
        <f t="shared" si="227"/>
        <v>0</v>
      </c>
      <c r="CI183" s="1">
        <f>SUMIFS(
  '[1]Hoja 1'!$M:$M,
  '[1]Hoja 1'!$S:$S, $A183,
  '[1]Hoja 1'!$R:$R, "&gt;="&amp;INT($CK$1),
  '[1]Hoja 1'!$R:$R, "&lt;"&amp;INT($CL$1+1)
)</f>
        <v>0</v>
      </c>
      <c r="CJ183" s="1">
        <f t="shared" si="228"/>
        <v>0</v>
      </c>
      <c r="CK183" s="9">
        <f t="shared" si="229"/>
        <v>0</v>
      </c>
      <c r="CL183" s="10">
        <f t="shared" si="230"/>
        <v>0</v>
      </c>
      <c r="CM183" s="1">
        <f>SUMIFS(
  '[1]Hoja 1'!$M:$M,
  '[1]Hoja 1'!$S:$S, $A183,
  '[1]Hoja 1'!$R:$R, "&gt;="&amp;INT($CO$1),
  '[1]Hoja 1'!$R:$R, "&lt;"&amp;INT($CP$1+1)
)</f>
        <v>0</v>
      </c>
      <c r="CN183" s="1">
        <f t="shared" si="231"/>
        <v>0</v>
      </c>
      <c r="CO183" s="9">
        <f t="shared" si="232"/>
        <v>0</v>
      </c>
      <c r="CP183" s="10">
        <f t="shared" si="233"/>
        <v>0</v>
      </c>
      <c r="CQ183" s="1">
        <f>SUMIFS(
  '[1]Hoja 1'!$M:$M,
  '[1]Hoja 1'!$S:$S, $A183,
  '[1]Hoja 1'!$R:$R, "&gt;="&amp;INT($CS$1),
  '[1]Hoja 1'!$R:$R, "&lt;"&amp;INT($CT$1+1)
)</f>
        <v>0</v>
      </c>
      <c r="CR183" s="1">
        <f t="shared" si="234"/>
        <v>0</v>
      </c>
      <c r="CS183" s="9">
        <f t="shared" si="235"/>
        <v>0</v>
      </c>
      <c r="CT183" s="10">
        <f t="shared" si="236"/>
        <v>0</v>
      </c>
      <c r="CU183" s="1">
        <f>SUMIFS(
  '[1]Hoja 1'!$M:$M,
  '[1]Hoja 1'!$S:$S, $A183,
  '[1]Hoja 1'!$R:$R, "&gt;="&amp;INT($CW$1),
  '[1]Hoja 1'!$R:$R, "&lt;"&amp;INT($CX$1+1)
)</f>
        <v>0</v>
      </c>
      <c r="CV183" s="1">
        <f t="shared" si="237"/>
        <v>0</v>
      </c>
      <c r="CW183" s="9">
        <f t="shared" si="238"/>
        <v>0</v>
      </c>
      <c r="CX183" s="10">
        <f t="shared" si="239"/>
        <v>0</v>
      </c>
      <c r="CY183" s="1">
        <f>SUMIFS(
  '[1]Hoja 1'!$M:$M,
  '[1]Hoja 1'!$S:$S, $A183,
  '[1]Hoja 1'!$R:$R, "&gt;="&amp;INT($DA$1),
  '[1]Hoja 1'!$R:$R, "&lt;"&amp;INT($DB$1+1)
)</f>
        <v>0</v>
      </c>
      <c r="CZ183" s="1">
        <f t="shared" si="240"/>
        <v>0</v>
      </c>
      <c r="DA183" s="9">
        <f t="shared" si="241"/>
        <v>0</v>
      </c>
      <c r="DB183" s="10">
        <f t="shared" si="242"/>
        <v>0</v>
      </c>
      <c r="DC183" s="1">
        <f>SUMIFS(
  '[1]Hoja 1'!$M:$M,
  '[1]Hoja 1'!$S:$S, $A183,
  '[1]Hoja 1'!$R:$R, "&gt;="&amp;INT($DE$1),
  '[1]Hoja 1'!$R:$R, "&lt;"&amp;INT($DF$1+1)
)</f>
        <v>0</v>
      </c>
      <c r="DD183" s="1">
        <f t="shared" si="243"/>
        <v>0</v>
      </c>
      <c r="DE183" s="9">
        <f t="shared" si="244"/>
        <v>0</v>
      </c>
      <c r="DF183" s="10">
        <f t="shared" si="245"/>
        <v>0</v>
      </c>
      <c r="DG183" s="1">
        <f>SUMIFS(
  '[1]Hoja 1'!$M:$M,
  '[1]Hoja 1'!$S:$S, $A183,
  '[1]Hoja 1'!$R:$R, "&gt;="&amp;INT($DI$1),
  '[1]Hoja 1'!$R:$R, "&lt;"&amp;INT($DJ$1+1)
)</f>
        <v>0</v>
      </c>
      <c r="DH183" s="1">
        <f t="shared" si="246"/>
        <v>0</v>
      </c>
      <c r="DI183" s="9">
        <f t="shared" si="247"/>
        <v>0</v>
      </c>
      <c r="DJ183" s="10">
        <f t="shared" si="248"/>
        <v>0</v>
      </c>
      <c r="DK183" s="1">
        <f>SUMIFS(
  '[1]Hoja 1'!$M:$M,
  '[1]Hoja 1'!$S:$S, $A183,
  '[1]Hoja 1'!$R:$R, "&gt;="&amp;INT($DM$1),
  '[1]Hoja 1'!$R:$R, "&lt;"&amp;INT($DN$1+1)
)</f>
        <v>0</v>
      </c>
      <c r="DL183" s="1">
        <f t="shared" si="249"/>
        <v>0</v>
      </c>
      <c r="DM183" s="9">
        <f t="shared" si="250"/>
        <v>0</v>
      </c>
      <c r="DN183" s="10">
        <f t="shared" si="251"/>
        <v>0</v>
      </c>
      <c r="DO183" s="1">
        <f>SUMIFS(
  '[1]Hoja 1'!$M:$M,
  '[1]Hoja 1'!$S:$S, $A183,
  '[1]Hoja 1'!$R:$R, "&gt;="&amp;INT($DQ$1),
  '[1]Hoja 1'!$R:$R, "&lt;"&amp;INT($DR$1+1)
)</f>
        <v>0</v>
      </c>
      <c r="DP183" s="1">
        <f t="shared" si="252"/>
        <v>0</v>
      </c>
      <c r="DQ183" s="9">
        <f t="shared" si="253"/>
        <v>0</v>
      </c>
      <c r="DR183" s="10">
        <f t="shared" si="254"/>
        <v>0</v>
      </c>
    </row>
    <row r="184" spans="1:122" x14ac:dyDescent="0.25">
      <c r="A184" s="5">
        <v>231007</v>
      </c>
      <c r="B184" s="6" t="s">
        <v>180</v>
      </c>
      <c r="C184" s="1">
        <f>SUMIFS(
  '[1]Hoja 1'!$M:$M,
  '[1]Hoja 1'!$S:$S, $A184,
  '[1]Hoja 1'!$R:$R, "&gt;="&amp;INT($E$1),
  '[1]Hoja 1'!$R:$R, "&lt;"&amp;INT($F$1+1)
)</f>
        <v>0</v>
      </c>
      <c r="D184" s="1" t="str">
        <f>""</f>
        <v/>
      </c>
      <c r="F184" s="2"/>
      <c r="G184" s="1">
        <f>SUMIFS(
  '[1]Hoja 1'!$M:$M,
  '[1]Hoja 1'!$S:$S, $A184,
  '[1]Hoja 1'!$R:$R, "&gt;="&amp;INT($I$1),
  '[1]Hoja 1'!$R:$R, "&lt;"&amp;INT($J$1+1)
)</f>
        <v>0</v>
      </c>
      <c r="H184" s="1">
        <f t="shared" si="170"/>
        <v>0</v>
      </c>
      <c r="I184" s="1"/>
      <c r="J184" s="2"/>
      <c r="K184" s="1">
        <f>SUMIFS(
  '[1]Hoja 1'!$M:$M,
  '[1]Hoja 1'!$S:$S, $A184,
  '[1]Hoja 1'!$R:$R, "&gt;="&amp;INT($M$1),
  '[1]Hoja 1'!$R:$R, "&lt;"&amp;INT($N$1+1)
)</f>
        <v>0</v>
      </c>
      <c r="L184" s="1">
        <f t="shared" si="171"/>
        <v>0</v>
      </c>
      <c r="M184" s="9">
        <f t="shared" si="172"/>
        <v>0</v>
      </c>
      <c r="N184" s="10">
        <f t="shared" si="173"/>
        <v>0</v>
      </c>
      <c r="O184" s="1">
        <f>SUMIFS(
  '[1]Hoja 1'!$M:$M,
  '[1]Hoja 1'!$S:$S, $A184,
  '[1]Hoja 1'!$R:$R, "&gt;="&amp;INT($Q$1),
  '[1]Hoja 1'!$R:$R, "&lt;"&amp;INT($R$1+1)
)</f>
        <v>0</v>
      </c>
      <c r="P184" s="1">
        <f t="shared" si="174"/>
        <v>0</v>
      </c>
      <c r="Q184" s="9">
        <f t="shared" si="175"/>
        <v>0</v>
      </c>
      <c r="R184" s="10">
        <f t="shared" si="176"/>
        <v>0</v>
      </c>
      <c r="S184" s="1">
        <f>SUMIFS(
  '[1]Hoja 1'!$M:$M,
  '[1]Hoja 1'!$S:$S, $A184,
  '[1]Hoja 1'!$R:$R, "&gt;="&amp;INT($U$1),
  '[1]Hoja 1'!$R:$R, "&lt;"&amp;INT($V$1+1)
)</f>
        <v>0</v>
      </c>
      <c r="T184" s="1">
        <f t="shared" si="177"/>
        <v>0</v>
      </c>
      <c r="U184" s="9">
        <f t="shared" si="178"/>
        <v>0</v>
      </c>
      <c r="V184" s="10">
        <f t="shared" si="179"/>
        <v>0</v>
      </c>
      <c r="W184" s="1">
        <f>SUMIFS(
  '[1]Hoja 1'!$M:$M,
  '[1]Hoja 1'!$S:$S, $A184,
  '[1]Hoja 1'!$R:$R, "&gt;="&amp;INT($Y$1),
  '[1]Hoja 1'!$R:$R, "&lt;"&amp;INT($Z$1+1)
)</f>
        <v>0</v>
      </c>
      <c r="X184" s="1">
        <f t="shared" si="180"/>
        <v>0</v>
      </c>
      <c r="Y184" s="9">
        <f t="shared" si="181"/>
        <v>0</v>
      </c>
      <c r="Z184" s="10">
        <f t="shared" si="182"/>
        <v>0</v>
      </c>
      <c r="AA184" s="1">
        <f>SUMIFS(
  '[1]Hoja 1'!$M:$M,
  '[1]Hoja 1'!$S:$S, $A184,
  '[1]Hoja 1'!$R:$R, "&gt;="&amp;INT($AC$1),
  '[1]Hoja 1'!$R:$R, "&lt;"&amp;INT($AD$1+1)
)</f>
        <v>0</v>
      </c>
      <c r="AB184" s="1">
        <f t="shared" si="183"/>
        <v>0</v>
      </c>
      <c r="AC184" s="9">
        <f t="shared" si="184"/>
        <v>0</v>
      </c>
      <c r="AD184" s="10">
        <f t="shared" si="185"/>
        <v>0</v>
      </c>
      <c r="AE184" s="1">
        <f>SUMIFS(
  '[1]Hoja 1'!$M:$M,
  '[1]Hoja 1'!$S:$S, $A184,
  '[1]Hoja 1'!$R:$R, "&gt;="&amp;INT($AG$1),
  '[1]Hoja 1'!$R:$R, "&lt;"&amp;INT($AH$1+1)
)</f>
        <v>0</v>
      </c>
      <c r="AF184" s="1">
        <f t="shared" si="186"/>
        <v>0</v>
      </c>
      <c r="AG184" s="9">
        <f t="shared" si="187"/>
        <v>0</v>
      </c>
      <c r="AH184" s="10">
        <f t="shared" si="188"/>
        <v>0</v>
      </c>
      <c r="AI184" s="1">
        <f>SUMIFS(
  '[1]Hoja 1'!$M:$M,
  '[1]Hoja 1'!$S:$S, $A184,
  '[1]Hoja 1'!$R:$R, "&gt;="&amp;INT($AK$1),
  '[1]Hoja 1'!$R:$R, "&lt;"&amp;INT($AL$1+1)
)</f>
        <v>0</v>
      </c>
      <c r="AJ184" s="1">
        <f t="shared" si="189"/>
        <v>0</v>
      </c>
      <c r="AK184" s="9">
        <f t="shared" si="190"/>
        <v>0</v>
      </c>
      <c r="AL184" s="10">
        <f t="shared" si="191"/>
        <v>0</v>
      </c>
      <c r="AM184" s="1">
        <f>SUMIFS(
  '[1]Hoja 1'!$M:$M,
  '[1]Hoja 1'!$S:$S, $A184,
  '[1]Hoja 1'!$R:$R, "&gt;="&amp;INT($AO$1),
  '[1]Hoja 1'!$R:$R, "&lt;"&amp;INT($AP$1+1)
)</f>
        <v>0</v>
      </c>
      <c r="AN184" s="1">
        <f t="shared" si="192"/>
        <v>0</v>
      </c>
      <c r="AO184" s="9">
        <f t="shared" si="193"/>
        <v>0</v>
      </c>
      <c r="AP184" s="10">
        <f t="shared" si="194"/>
        <v>0</v>
      </c>
      <c r="AQ184" s="1">
        <f>SUMIFS(
  '[1]Hoja 1'!$M:$M,
  '[1]Hoja 1'!$S:$S, $A184,
  '[1]Hoja 1'!$R:$R, "&gt;="&amp;INT($AS$1),
  '[1]Hoja 1'!$R:$R, "&lt;"&amp;INT($AT$1+1)
)</f>
        <v>0</v>
      </c>
      <c r="AR184" s="1">
        <f t="shared" si="195"/>
        <v>0</v>
      </c>
      <c r="AS184" s="9">
        <f t="shared" si="196"/>
        <v>0</v>
      </c>
      <c r="AT184" s="10">
        <f t="shared" si="197"/>
        <v>0</v>
      </c>
      <c r="AU184" s="1">
        <f>SUMIFS(
  '[1]Hoja 1'!$M:$M,
  '[1]Hoja 1'!$S:$S, $A184,
  '[1]Hoja 1'!$R:$R, "&gt;="&amp;INT($AW$1),
  '[1]Hoja 1'!$R:$R, "&lt;"&amp;INT($AX$1+1)
)</f>
        <v>0</v>
      </c>
      <c r="AV184" s="1">
        <f t="shared" si="198"/>
        <v>0</v>
      </c>
      <c r="AW184" s="9">
        <f t="shared" si="199"/>
        <v>0</v>
      </c>
      <c r="AX184" s="10">
        <f t="shared" si="200"/>
        <v>0</v>
      </c>
      <c r="AY184" s="1">
        <f>SUMIFS(
  '[1]Hoja 1'!$M:$M,
  '[1]Hoja 1'!$S:$S, $A184,
  '[1]Hoja 1'!$R:$R, "&gt;="&amp;INT($BA$1),
  '[1]Hoja 1'!$R:$R, "&lt;"&amp;INT($BB$1+1)
)</f>
        <v>0</v>
      </c>
      <c r="AZ184" s="1">
        <f t="shared" si="201"/>
        <v>0</v>
      </c>
      <c r="BA184" s="9">
        <f t="shared" si="202"/>
        <v>0</v>
      </c>
      <c r="BB184" s="10">
        <f t="shared" si="203"/>
        <v>0</v>
      </c>
      <c r="BC184" s="1">
        <f>SUMIFS(
  '[1]Hoja 1'!$M:$M,
  '[1]Hoja 1'!$S:$S, $A184,
  '[1]Hoja 1'!$R:$R, "&gt;="&amp;INT($BE$1),
  '[1]Hoja 1'!$R:$R, "&lt;"&amp;INT($BF$1+1)
)</f>
        <v>0</v>
      </c>
      <c r="BD184" s="1">
        <f t="shared" si="204"/>
        <v>0</v>
      </c>
      <c r="BE184" s="9">
        <f t="shared" si="205"/>
        <v>0</v>
      </c>
      <c r="BF184" s="10">
        <f t="shared" si="206"/>
        <v>0</v>
      </c>
      <c r="BG184" s="1">
        <f>SUMIFS(
  '[1]Hoja 1'!$M:$M,
  '[1]Hoja 1'!$S:$S, $A184,
  '[1]Hoja 1'!$R:$R, "&gt;="&amp;INT($BI$1),
  '[1]Hoja 1'!$R:$R, "&lt;"&amp;INT($BJ$1+1)
)</f>
        <v>0</v>
      </c>
      <c r="BH184" s="1">
        <f t="shared" si="207"/>
        <v>0</v>
      </c>
      <c r="BI184" s="9">
        <f t="shared" si="208"/>
        <v>0</v>
      </c>
      <c r="BJ184" s="10">
        <f t="shared" si="209"/>
        <v>0</v>
      </c>
      <c r="BK184" s="1">
        <f>SUMIFS(
  '[1]Hoja 1'!$M:$M,
  '[1]Hoja 1'!$S:$S, $A184,
  '[1]Hoja 1'!$R:$R, "&gt;="&amp;INT($BM$1),
  '[1]Hoja 1'!$R:$R, "&lt;"&amp;INT($BN$1+1)
)</f>
        <v>0</v>
      </c>
      <c r="BL184" s="1">
        <f t="shared" si="210"/>
        <v>0</v>
      </c>
      <c r="BM184" s="9">
        <f t="shared" si="211"/>
        <v>0</v>
      </c>
      <c r="BN184" s="10">
        <f t="shared" si="212"/>
        <v>0</v>
      </c>
      <c r="BO184" s="1">
        <f>SUMIFS(
  '[1]Hoja 1'!$M:$M,
  '[1]Hoja 1'!$S:$S, $A184,
  '[1]Hoja 1'!$R:$R, "&gt;="&amp;INT($BQ$1),
  '[1]Hoja 1'!$R:$R, "&lt;"&amp;INT($BR$1+1)
)</f>
        <v>0</v>
      </c>
      <c r="BP184" s="1">
        <f t="shared" si="213"/>
        <v>0</v>
      </c>
      <c r="BQ184" s="9">
        <f t="shared" si="214"/>
        <v>0</v>
      </c>
      <c r="BR184" s="10">
        <f t="shared" si="215"/>
        <v>0</v>
      </c>
      <c r="BS184" s="1">
        <f>SUMIFS(
  '[1]Hoja 1'!$M:$M,
  '[1]Hoja 1'!$S:$S, $A184,
  '[1]Hoja 1'!$R:$R, "&gt;="&amp;INT($BU$1),
  '[1]Hoja 1'!$R:$R, "&lt;"&amp;INT($BV$1+1)
)</f>
        <v>0</v>
      </c>
      <c r="BT184" s="1">
        <f t="shared" si="216"/>
        <v>0</v>
      </c>
      <c r="BU184" s="9">
        <f t="shared" si="217"/>
        <v>0</v>
      </c>
      <c r="BV184" s="10">
        <f t="shared" si="218"/>
        <v>0</v>
      </c>
      <c r="BW184" s="1">
        <f>SUMIFS(
  '[1]Hoja 1'!$M:$M,
  '[1]Hoja 1'!$S:$S, $A184,
  '[1]Hoja 1'!$R:$R, "&gt;="&amp;INT($BY$1),
  '[1]Hoja 1'!$R:$R, "&lt;"&amp;INT($BZ$1+1)
)</f>
        <v>0</v>
      </c>
      <c r="BX184" s="1">
        <f t="shared" si="219"/>
        <v>0</v>
      </c>
      <c r="BY184" s="9">
        <f t="shared" si="220"/>
        <v>0</v>
      </c>
      <c r="BZ184" s="10">
        <f t="shared" si="221"/>
        <v>0</v>
      </c>
      <c r="CA184" s="1">
        <f>SUMIFS(
  '[1]Hoja 1'!$M:$M,
  '[1]Hoja 1'!$S:$S, $A184,
  '[1]Hoja 1'!$R:$R, "&gt;="&amp;INT($CC$1),
  '[1]Hoja 1'!$R:$R, "&lt;"&amp;INT($CD$1+1)
)</f>
        <v>0</v>
      </c>
      <c r="CB184" s="1">
        <f t="shared" si="222"/>
        <v>0</v>
      </c>
      <c r="CC184" s="9">
        <f t="shared" si="223"/>
        <v>0</v>
      </c>
      <c r="CD184" s="10">
        <f t="shared" si="224"/>
        <v>0</v>
      </c>
      <c r="CE184" s="1">
        <f>SUMIFS(
  '[1]Hoja 1'!$M:$M,
  '[1]Hoja 1'!$S:$S, $A184,
  '[1]Hoja 1'!$R:$R, "&gt;="&amp;INT($CG$1),
  '[1]Hoja 1'!$R:$R, "&lt;"&amp;INT($CH$1+1)
)</f>
        <v>0</v>
      </c>
      <c r="CF184" s="1">
        <f t="shared" si="225"/>
        <v>0</v>
      </c>
      <c r="CG184" s="9">
        <f t="shared" si="226"/>
        <v>0</v>
      </c>
      <c r="CH184" s="10">
        <f t="shared" si="227"/>
        <v>0</v>
      </c>
      <c r="CI184" s="1">
        <f>SUMIFS(
  '[1]Hoja 1'!$M:$M,
  '[1]Hoja 1'!$S:$S, $A184,
  '[1]Hoja 1'!$R:$R, "&gt;="&amp;INT($CK$1),
  '[1]Hoja 1'!$R:$R, "&lt;"&amp;INT($CL$1+1)
)</f>
        <v>0</v>
      </c>
      <c r="CJ184" s="1">
        <f t="shared" si="228"/>
        <v>0</v>
      </c>
      <c r="CK184" s="9">
        <f t="shared" si="229"/>
        <v>0</v>
      </c>
      <c r="CL184" s="10">
        <f t="shared" si="230"/>
        <v>0</v>
      </c>
      <c r="CM184" s="1">
        <f>SUMIFS(
  '[1]Hoja 1'!$M:$M,
  '[1]Hoja 1'!$S:$S, $A184,
  '[1]Hoja 1'!$R:$R, "&gt;="&amp;INT($CO$1),
  '[1]Hoja 1'!$R:$R, "&lt;"&amp;INT($CP$1+1)
)</f>
        <v>0</v>
      </c>
      <c r="CN184" s="1">
        <f t="shared" si="231"/>
        <v>0</v>
      </c>
      <c r="CO184" s="9">
        <f t="shared" si="232"/>
        <v>0</v>
      </c>
      <c r="CP184" s="10">
        <f t="shared" si="233"/>
        <v>0</v>
      </c>
      <c r="CQ184" s="1">
        <f>SUMIFS(
  '[1]Hoja 1'!$M:$M,
  '[1]Hoja 1'!$S:$S, $A184,
  '[1]Hoja 1'!$R:$R, "&gt;="&amp;INT($CS$1),
  '[1]Hoja 1'!$R:$R, "&lt;"&amp;INT($CT$1+1)
)</f>
        <v>0</v>
      </c>
      <c r="CR184" s="1">
        <f t="shared" si="234"/>
        <v>0</v>
      </c>
      <c r="CS184" s="9">
        <f t="shared" si="235"/>
        <v>0</v>
      </c>
      <c r="CT184" s="10">
        <f t="shared" si="236"/>
        <v>0</v>
      </c>
      <c r="CU184" s="1">
        <f>SUMIFS(
  '[1]Hoja 1'!$M:$M,
  '[1]Hoja 1'!$S:$S, $A184,
  '[1]Hoja 1'!$R:$R, "&gt;="&amp;INT($CW$1),
  '[1]Hoja 1'!$R:$R, "&lt;"&amp;INT($CX$1+1)
)</f>
        <v>0</v>
      </c>
      <c r="CV184" s="1">
        <f t="shared" si="237"/>
        <v>0</v>
      </c>
      <c r="CW184" s="9">
        <f t="shared" si="238"/>
        <v>0</v>
      </c>
      <c r="CX184" s="10">
        <f t="shared" si="239"/>
        <v>0</v>
      </c>
      <c r="CY184" s="1">
        <f>SUMIFS(
  '[1]Hoja 1'!$M:$M,
  '[1]Hoja 1'!$S:$S, $A184,
  '[1]Hoja 1'!$R:$R, "&gt;="&amp;INT($DA$1),
  '[1]Hoja 1'!$R:$R, "&lt;"&amp;INT($DB$1+1)
)</f>
        <v>0</v>
      </c>
      <c r="CZ184" s="1">
        <f t="shared" si="240"/>
        <v>0</v>
      </c>
      <c r="DA184" s="9">
        <f t="shared" si="241"/>
        <v>0</v>
      </c>
      <c r="DB184" s="10">
        <f t="shared" si="242"/>
        <v>0</v>
      </c>
      <c r="DC184" s="1">
        <f>SUMIFS(
  '[1]Hoja 1'!$M:$M,
  '[1]Hoja 1'!$S:$S, $A184,
  '[1]Hoja 1'!$R:$R, "&gt;="&amp;INT($DE$1),
  '[1]Hoja 1'!$R:$R, "&lt;"&amp;INT($DF$1+1)
)</f>
        <v>0</v>
      </c>
      <c r="DD184" s="1">
        <f t="shared" si="243"/>
        <v>0</v>
      </c>
      <c r="DE184" s="9">
        <f t="shared" si="244"/>
        <v>0</v>
      </c>
      <c r="DF184" s="10">
        <f t="shared" si="245"/>
        <v>0</v>
      </c>
      <c r="DG184" s="1">
        <f>SUMIFS(
  '[1]Hoja 1'!$M:$M,
  '[1]Hoja 1'!$S:$S, $A184,
  '[1]Hoja 1'!$R:$R, "&gt;="&amp;INT($DI$1),
  '[1]Hoja 1'!$R:$R, "&lt;"&amp;INT($DJ$1+1)
)</f>
        <v>0</v>
      </c>
      <c r="DH184" s="1">
        <f t="shared" si="246"/>
        <v>0</v>
      </c>
      <c r="DI184" s="9">
        <f t="shared" si="247"/>
        <v>0</v>
      </c>
      <c r="DJ184" s="10">
        <f t="shared" si="248"/>
        <v>0</v>
      </c>
      <c r="DK184" s="1">
        <f>SUMIFS(
  '[1]Hoja 1'!$M:$M,
  '[1]Hoja 1'!$S:$S, $A184,
  '[1]Hoja 1'!$R:$R, "&gt;="&amp;INT($DM$1),
  '[1]Hoja 1'!$R:$R, "&lt;"&amp;INT($DN$1+1)
)</f>
        <v>0</v>
      </c>
      <c r="DL184" s="1">
        <f t="shared" si="249"/>
        <v>0</v>
      </c>
      <c r="DM184" s="9">
        <f t="shared" si="250"/>
        <v>0</v>
      </c>
      <c r="DN184" s="10">
        <f t="shared" si="251"/>
        <v>0</v>
      </c>
      <c r="DO184" s="1">
        <f>SUMIFS(
  '[1]Hoja 1'!$M:$M,
  '[1]Hoja 1'!$S:$S, $A184,
  '[1]Hoja 1'!$R:$R, "&gt;="&amp;INT($DQ$1),
  '[1]Hoja 1'!$R:$R, "&lt;"&amp;INT($DR$1+1)
)</f>
        <v>0</v>
      </c>
      <c r="DP184" s="1">
        <f t="shared" si="252"/>
        <v>0</v>
      </c>
      <c r="DQ184" s="9">
        <f t="shared" si="253"/>
        <v>0</v>
      </c>
      <c r="DR184" s="10">
        <f t="shared" si="254"/>
        <v>0</v>
      </c>
    </row>
    <row r="185" spans="1:122" x14ac:dyDescent="0.25">
      <c r="A185" s="5">
        <v>231008</v>
      </c>
      <c r="B185" s="6" t="s">
        <v>181</v>
      </c>
      <c r="C185" s="1">
        <f>SUMIFS(
  '[1]Hoja 1'!$M:$M,
  '[1]Hoja 1'!$S:$S, $A185,
  '[1]Hoja 1'!$R:$R, "&gt;="&amp;INT($E$1),
  '[1]Hoja 1'!$R:$R, "&lt;"&amp;INT($F$1+1)
)</f>
        <v>0</v>
      </c>
      <c r="D185" s="1" t="str">
        <f>""</f>
        <v/>
      </c>
      <c r="F185" s="2"/>
      <c r="G185" s="1">
        <f>SUMIFS(
  '[1]Hoja 1'!$M:$M,
  '[1]Hoja 1'!$S:$S, $A185,
  '[1]Hoja 1'!$R:$R, "&gt;="&amp;INT($I$1),
  '[1]Hoja 1'!$R:$R, "&lt;"&amp;INT($J$1+1)
)</f>
        <v>1</v>
      </c>
      <c r="H185" s="1">
        <f t="shared" si="170"/>
        <v>0.5</v>
      </c>
      <c r="I185" s="1"/>
      <c r="J185" s="2"/>
      <c r="K185" s="1">
        <f>SUMIFS(
  '[1]Hoja 1'!$M:$M,
  '[1]Hoja 1'!$S:$S, $A185,
  '[1]Hoja 1'!$R:$R, "&gt;="&amp;INT($M$1),
  '[1]Hoja 1'!$R:$R, "&lt;"&amp;INT($N$1+1)
)</f>
        <v>1</v>
      </c>
      <c r="L185" s="1">
        <f t="shared" si="171"/>
        <v>1</v>
      </c>
      <c r="M185" s="9">
        <f t="shared" si="172"/>
        <v>0.30703535443718344</v>
      </c>
      <c r="N185" s="10">
        <f t="shared" si="173"/>
        <v>1.6929646455628165</v>
      </c>
      <c r="O185" s="1">
        <f>SUMIFS(
  '[1]Hoja 1'!$M:$M,
  '[1]Hoja 1'!$S:$S, $A185,
  '[1]Hoja 1'!$R:$R, "&gt;="&amp;INT($Q$1),
  '[1]Hoja 1'!$R:$R, "&lt;"&amp;INT($R$1+1)
)</f>
        <v>0</v>
      </c>
      <c r="P185" s="1">
        <f t="shared" si="174"/>
        <v>0.5</v>
      </c>
      <c r="Q185" s="9">
        <f t="shared" si="175"/>
        <v>2.0000000000000018E-2</v>
      </c>
      <c r="R185" s="10">
        <f t="shared" si="176"/>
        <v>1.98</v>
      </c>
      <c r="S185" s="1">
        <f>SUMIFS(
  '[1]Hoja 1'!$M:$M,
  '[1]Hoja 1'!$S:$S, $A185,
  '[1]Hoja 1'!$R:$R, "&gt;="&amp;INT($U$1),
  '[1]Hoja 1'!$R:$R, "&lt;"&amp;INT($V$1+1)
)</f>
        <v>1</v>
      </c>
      <c r="T185" s="1">
        <f t="shared" si="177"/>
        <v>1</v>
      </c>
      <c r="U185" s="9">
        <f t="shared" si="178"/>
        <v>6.1721434398788633E-2</v>
      </c>
      <c r="V185" s="10">
        <f t="shared" si="179"/>
        <v>1.9382785656012114</v>
      </c>
      <c r="W185" s="1">
        <f>SUMIFS(
  '[1]Hoja 1'!$M:$M,
  '[1]Hoja 1'!$S:$S, $A185,
  '[1]Hoja 1'!$R:$R, "&gt;="&amp;INT($Y$1),
  '[1]Hoja 1'!$R:$R, "&lt;"&amp;INT($Z$1+1)
)</f>
        <v>1</v>
      </c>
      <c r="X185" s="1">
        <f t="shared" si="180"/>
        <v>1</v>
      </c>
      <c r="Y185" s="9">
        <f t="shared" si="181"/>
        <v>0.19983335069082853</v>
      </c>
      <c r="Z185" s="10">
        <f t="shared" si="182"/>
        <v>1.8001666493091715</v>
      </c>
      <c r="AA185" s="1">
        <f>SUMIFS(
  '[1]Hoja 1'!$M:$M,
  '[1]Hoja 1'!$S:$S, $A185,
  '[1]Hoja 1'!$R:$R, "&gt;="&amp;INT($AC$1),
  '[1]Hoja 1'!$R:$R, "&lt;"&amp;INT($AD$1+1)
)</f>
        <v>0</v>
      </c>
      <c r="AB185" s="1">
        <f t="shared" si="183"/>
        <v>1</v>
      </c>
      <c r="AC185" s="9">
        <f t="shared" si="184"/>
        <v>0.18007317399660594</v>
      </c>
      <c r="AD185" s="10">
        <f t="shared" si="185"/>
        <v>1.9382785656012114</v>
      </c>
      <c r="AE185" s="1">
        <f>SUMIFS(
  '[1]Hoja 1'!$M:$M,
  '[1]Hoja 1'!$S:$S, $A185,
  '[1]Hoja 1'!$R:$R, "&gt;="&amp;INT($AG$1),
  '[1]Hoja 1'!$R:$R, "&lt;"&amp;INT($AH$1+1)
)</f>
        <v>0</v>
      </c>
      <c r="AF185" s="1">
        <f t="shared" si="186"/>
        <v>0</v>
      </c>
      <c r="AG185" s="9">
        <f t="shared" si="187"/>
        <v>-0.69296464556281656</v>
      </c>
      <c r="AH185" s="10">
        <f t="shared" si="188"/>
        <v>0.80016664930917147</v>
      </c>
      <c r="AI185" s="1">
        <f>SUMIFS(
  '[1]Hoja 1'!$M:$M,
  '[1]Hoja 1'!$S:$S, $A185,
  '[1]Hoja 1'!$R:$R, "&gt;="&amp;INT($AK$1),
  '[1]Hoja 1'!$R:$R, "&lt;"&amp;INT($AL$1+1)
)</f>
        <v>0</v>
      </c>
      <c r="AJ185" s="1">
        <f t="shared" si="189"/>
        <v>0</v>
      </c>
      <c r="AK185" s="9">
        <f t="shared" si="190"/>
        <v>-0.43826932358995874</v>
      </c>
      <c r="AL185" s="10">
        <f t="shared" si="191"/>
        <v>0.49</v>
      </c>
      <c r="AM185" s="1">
        <f>SUMIFS(
  '[1]Hoja 1'!$M:$M,
  '[1]Hoja 1'!$S:$S, $A185,
  '[1]Hoja 1'!$R:$R, "&gt;="&amp;INT($AO$1),
  '[1]Hoja 1'!$R:$R, "&lt;"&amp;INT($AP$1+1)
)</f>
        <v>0</v>
      </c>
      <c r="AN185" s="1">
        <f t="shared" si="192"/>
        <v>0</v>
      </c>
      <c r="AO185" s="9">
        <f t="shared" si="193"/>
        <v>-0.43826932358995874</v>
      </c>
      <c r="AP185" s="10">
        <f t="shared" si="194"/>
        <v>0.49</v>
      </c>
      <c r="AQ185" s="1">
        <f>SUMIFS(
  '[1]Hoja 1'!$M:$M,
  '[1]Hoja 1'!$S:$S, $A185,
  '[1]Hoja 1'!$R:$R, "&gt;="&amp;INT($AS$1),
  '[1]Hoja 1'!$R:$R, "&lt;"&amp;INT($AT$1+1)
)</f>
        <v>0</v>
      </c>
      <c r="AR185" s="1">
        <f t="shared" si="195"/>
        <v>0</v>
      </c>
      <c r="AS185" s="9">
        <f t="shared" si="196"/>
        <v>0</v>
      </c>
      <c r="AT185" s="10">
        <f t="shared" si="197"/>
        <v>0</v>
      </c>
      <c r="AU185" s="1">
        <f>SUMIFS(
  '[1]Hoja 1'!$M:$M,
  '[1]Hoja 1'!$S:$S, $A185,
  '[1]Hoja 1'!$R:$R, "&gt;="&amp;INT($AW$1),
  '[1]Hoja 1'!$R:$R, "&lt;"&amp;INT($AX$1+1)
)</f>
        <v>0</v>
      </c>
      <c r="AV185" s="1">
        <f t="shared" si="198"/>
        <v>0</v>
      </c>
      <c r="AW185" s="9">
        <f t="shared" si="199"/>
        <v>0</v>
      </c>
      <c r="AX185" s="10">
        <f t="shared" si="200"/>
        <v>0</v>
      </c>
      <c r="AY185" s="1">
        <f>SUMIFS(
  '[1]Hoja 1'!$M:$M,
  '[1]Hoja 1'!$S:$S, $A185,
  '[1]Hoja 1'!$R:$R, "&gt;="&amp;INT($BA$1),
  '[1]Hoja 1'!$R:$R, "&lt;"&amp;INT($BB$1+1)
)</f>
        <v>0</v>
      </c>
      <c r="AZ185" s="1">
        <f t="shared" si="201"/>
        <v>0</v>
      </c>
      <c r="BA185" s="9">
        <f t="shared" si="202"/>
        <v>0</v>
      </c>
      <c r="BB185" s="10">
        <f t="shared" si="203"/>
        <v>0</v>
      </c>
      <c r="BC185" s="1">
        <f>SUMIFS(
  '[1]Hoja 1'!$M:$M,
  '[1]Hoja 1'!$S:$S, $A185,
  '[1]Hoja 1'!$R:$R, "&gt;="&amp;INT($BE$1),
  '[1]Hoja 1'!$R:$R, "&lt;"&amp;INT($BF$1+1)
)</f>
        <v>0</v>
      </c>
      <c r="BD185" s="1">
        <f t="shared" si="204"/>
        <v>0</v>
      </c>
      <c r="BE185" s="9">
        <f t="shared" si="205"/>
        <v>0</v>
      </c>
      <c r="BF185" s="10">
        <f t="shared" si="206"/>
        <v>0</v>
      </c>
      <c r="BG185" s="1">
        <f>SUMIFS(
  '[1]Hoja 1'!$M:$M,
  '[1]Hoja 1'!$S:$S, $A185,
  '[1]Hoja 1'!$R:$R, "&gt;="&amp;INT($BI$1),
  '[1]Hoja 1'!$R:$R, "&lt;"&amp;INT($BJ$1+1)
)</f>
        <v>0</v>
      </c>
      <c r="BH185" s="1">
        <f t="shared" si="207"/>
        <v>0</v>
      </c>
      <c r="BI185" s="9">
        <f t="shared" si="208"/>
        <v>0</v>
      </c>
      <c r="BJ185" s="10">
        <f t="shared" si="209"/>
        <v>0</v>
      </c>
      <c r="BK185" s="1">
        <f>SUMIFS(
  '[1]Hoja 1'!$M:$M,
  '[1]Hoja 1'!$S:$S, $A185,
  '[1]Hoja 1'!$R:$R, "&gt;="&amp;INT($BM$1),
  '[1]Hoja 1'!$R:$R, "&lt;"&amp;INT($BN$1+1)
)</f>
        <v>0</v>
      </c>
      <c r="BL185" s="1">
        <f t="shared" si="210"/>
        <v>0</v>
      </c>
      <c r="BM185" s="9">
        <f t="shared" si="211"/>
        <v>0</v>
      </c>
      <c r="BN185" s="10">
        <f t="shared" si="212"/>
        <v>0</v>
      </c>
      <c r="BO185" s="1">
        <f>SUMIFS(
  '[1]Hoja 1'!$M:$M,
  '[1]Hoja 1'!$S:$S, $A185,
  '[1]Hoja 1'!$R:$R, "&gt;="&amp;INT($BQ$1),
  '[1]Hoja 1'!$R:$R, "&lt;"&amp;INT($BR$1+1)
)</f>
        <v>0</v>
      </c>
      <c r="BP185" s="1">
        <f t="shared" si="213"/>
        <v>0</v>
      </c>
      <c r="BQ185" s="9">
        <f t="shared" si="214"/>
        <v>0</v>
      </c>
      <c r="BR185" s="10">
        <f t="shared" si="215"/>
        <v>0</v>
      </c>
      <c r="BS185" s="1">
        <f>SUMIFS(
  '[1]Hoja 1'!$M:$M,
  '[1]Hoja 1'!$S:$S, $A185,
  '[1]Hoja 1'!$R:$R, "&gt;="&amp;INT($BU$1),
  '[1]Hoja 1'!$R:$R, "&lt;"&amp;INT($BV$1+1)
)</f>
        <v>0</v>
      </c>
      <c r="BT185" s="1">
        <f t="shared" si="216"/>
        <v>0</v>
      </c>
      <c r="BU185" s="9">
        <f t="shared" si="217"/>
        <v>0</v>
      </c>
      <c r="BV185" s="10">
        <f t="shared" si="218"/>
        <v>0</v>
      </c>
      <c r="BW185" s="1">
        <f>SUMIFS(
  '[1]Hoja 1'!$M:$M,
  '[1]Hoja 1'!$S:$S, $A185,
  '[1]Hoja 1'!$R:$R, "&gt;="&amp;INT($BY$1),
  '[1]Hoja 1'!$R:$R, "&lt;"&amp;INT($BZ$1+1)
)</f>
        <v>0</v>
      </c>
      <c r="BX185" s="1">
        <f t="shared" si="219"/>
        <v>0</v>
      </c>
      <c r="BY185" s="9">
        <f t="shared" si="220"/>
        <v>0</v>
      </c>
      <c r="BZ185" s="10">
        <f t="shared" si="221"/>
        <v>0</v>
      </c>
      <c r="CA185" s="1">
        <f>SUMIFS(
  '[1]Hoja 1'!$M:$M,
  '[1]Hoja 1'!$S:$S, $A185,
  '[1]Hoja 1'!$R:$R, "&gt;="&amp;INT($CC$1),
  '[1]Hoja 1'!$R:$R, "&lt;"&amp;INT($CD$1+1)
)</f>
        <v>0</v>
      </c>
      <c r="CB185" s="1">
        <f t="shared" si="222"/>
        <v>0</v>
      </c>
      <c r="CC185" s="9">
        <f t="shared" si="223"/>
        <v>0</v>
      </c>
      <c r="CD185" s="10">
        <f t="shared" si="224"/>
        <v>0</v>
      </c>
      <c r="CE185" s="1">
        <f>SUMIFS(
  '[1]Hoja 1'!$M:$M,
  '[1]Hoja 1'!$S:$S, $A185,
  '[1]Hoja 1'!$R:$R, "&gt;="&amp;INT($CG$1),
  '[1]Hoja 1'!$R:$R, "&lt;"&amp;INT($CH$1+1)
)</f>
        <v>0</v>
      </c>
      <c r="CF185" s="1">
        <f t="shared" si="225"/>
        <v>0</v>
      </c>
      <c r="CG185" s="9">
        <f t="shared" si="226"/>
        <v>0</v>
      </c>
      <c r="CH185" s="10">
        <f t="shared" si="227"/>
        <v>0</v>
      </c>
      <c r="CI185" s="1">
        <f>SUMIFS(
  '[1]Hoja 1'!$M:$M,
  '[1]Hoja 1'!$S:$S, $A185,
  '[1]Hoja 1'!$R:$R, "&gt;="&amp;INT($CK$1),
  '[1]Hoja 1'!$R:$R, "&lt;"&amp;INT($CL$1+1)
)</f>
        <v>0</v>
      </c>
      <c r="CJ185" s="1">
        <f t="shared" si="228"/>
        <v>0</v>
      </c>
      <c r="CK185" s="9">
        <f t="shared" si="229"/>
        <v>0</v>
      </c>
      <c r="CL185" s="10">
        <f t="shared" si="230"/>
        <v>0</v>
      </c>
      <c r="CM185" s="1">
        <f>SUMIFS(
  '[1]Hoja 1'!$M:$M,
  '[1]Hoja 1'!$S:$S, $A185,
  '[1]Hoja 1'!$R:$R, "&gt;="&amp;INT($CO$1),
  '[1]Hoja 1'!$R:$R, "&lt;"&amp;INT($CP$1+1)
)</f>
        <v>0</v>
      </c>
      <c r="CN185" s="1">
        <f t="shared" si="231"/>
        <v>0</v>
      </c>
      <c r="CO185" s="9">
        <f t="shared" si="232"/>
        <v>0</v>
      </c>
      <c r="CP185" s="10">
        <f t="shared" si="233"/>
        <v>0</v>
      </c>
      <c r="CQ185" s="1">
        <f>SUMIFS(
  '[1]Hoja 1'!$M:$M,
  '[1]Hoja 1'!$S:$S, $A185,
  '[1]Hoja 1'!$R:$R, "&gt;="&amp;INT($CS$1),
  '[1]Hoja 1'!$R:$R, "&lt;"&amp;INT($CT$1+1)
)</f>
        <v>0</v>
      </c>
      <c r="CR185" s="1">
        <f t="shared" si="234"/>
        <v>0</v>
      </c>
      <c r="CS185" s="9">
        <f t="shared" si="235"/>
        <v>0</v>
      </c>
      <c r="CT185" s="10">
        <f t="shared" si="236"/>
        <v>0</v>
      </c>
      <c r="CU185" s="1">
        <f>SUMIFS(
  '[1]Hoja 1'!$M:$M,
  '[1]Hoja 1'!$S:$S, $A185,
  '[1]Hoja 1'!$R:$R, "&gt;="&amp;INT($CW$1),
  '[1]Hoja 1'!$R:$R, "&lt;"&amp;INT($CX$1+1)
)</f>
        <v>0</v>
      </c>
      <c r="CV185" s="1">
        <f t="shared" si="237"/>
        <v>0</v>
      </c>
      <c r="CW185" s="9">
        <f t="shared" si="238"/>
        <v>0</v>
      </c>
      <c r="CX185" s="10">
        <f t="shared" si="239"/>
        <v>0</v>
      </c>
      <c r="CY185" s="1">
        <f>SUMIFS(
  '[1]Hoja 1'!$M:$M,
  '[1]Hoja 1'!$S:$S, $A185,
  '[1]Hoja 1'!$R:$R, "&gt;="&amp;INT($DA$1),
  '[1]Hoja 1'!$R:$R, "&lt;"&amp;INT($DB$1+1)
)</f>
        <v>0</v>
      </c>
      <c r="CZ185" s="1">
        <f t="shared" si="240"/>
        <v>0</v>
      </c>
      <c r="DA185" s="9">
        <f t="shared" si="241"/>
        <v>0</v>
      </c>
      <c r="DB185" s="10">
        <f t="shared" si="242"/>
        <v>0</v>
      </c>
      <c r="DC185" s="1">
        <f>SUMIFS(
  '[1]Hoja 1'!$M:$M,
  '[1]Hoja 1'!$S:$S, $A185,
  '[1]Hoja 1'!$R:$R, "&gt;="&amp;INT($DE$1),
  '[1]Hoja 1'!$R:$R, "&lt;"&amp;INT($DF$1+1)
)</f>
        <v>0</v>
      </c>
      <c r="DD185" s="1">
        <f t="shared" si="243"/>
        <v>0</v>
      </c>
      <c r="DE185" s="9">
        <f t="shared" si="244"/>
        <v>0</v>
      </c>
      <c r="DF185" s="10">
        <f t="shared" si="245"/>
        <v>0</v>
      </c>
      <c r="DG185" s="1">
        <f>SUMIFS(
  '[1]Hoja 1'!$M:$M,
  '[1]Hoja 1'!$S:$S, $A185,
  '[1]Hoja 1'!$R:$R, "&gt;="&amp;INT($DI$1),
  '[1]Hoja 1'!$R:$R, "&lt;"&amp;INT($DJ$1+1)
)</f>
        <v>0</v>
      </c>
      <c r="DH185" s="1">
        <f t="shared" si="246"/>
        <v>0</v>
      </c>
      <c r="DI185" s="9">
        <f t="shared" si="247"/>
        <v>0</v>
      </c>
      <c r="DJ185" s="10">
        <f t="shared" si="248"/>
        <v>0</v>
      </c>
      <c r="DK185" s="1">
        <f>SUMIFS(
  '[1]Hoja 1'!$M:$M,
  '[1]Hoja 1'!$S:$S, $A185,
  '[1]Hoja 1'!$R:$R, "&gt;="&amp;INT($DM$1),
  '[1]Hoja 1'!$R:$R, "&lt;"&amp;INT($DN$1+1)
)</f>
        <v>0</v>
      </c>
      <c r="DL185" s="1">
        <f t="shared" si="249"/>
        <v>0</v>
      </c>
      <c r="DM185" s="9">
        <f t="shared" si="250"/>
        <v>0</v>
      </c>
      <c r="DN185" s="10">
        <f t="shared" si="251"/>
        <v>0</v>
      </c>
      <c r="DO185" s="1">
        <f>SUMIFS(
  '[1]Hoja 1'!$M:$M,
  '[1]Hoja 1'!$S:$S, $A185,
  '[1]Hoja 1'!$R:$R, "&gt;="&amp;INT($DQ$1),
  '[1]Hoja 1'!$R:$R, "&lt;"&amp;INT($DR$1+1)
)</f>
        <v>0</v>
      </c>
      <c r="DP185" s="1">
        <f t="shared" si="252"/>
        <v>0</v>
      </c>
      <c r="DQ185" s="9">
        <f t="shared" si="253"/>
        <v>0</v>
      </c>
      <c r="DR185" s="10">
        <f t="shared" si="254"/>
        <v>0</v>
      </c>
    </row>
    <row r="186" spans="1:122" x14ac:dyDescent="0.25">
      <c r="A186" s="5">
        <v>231009</v>
      </c>
      <c r="B186" s="6" t="s">
        <v>182</v>
      </c>
      <c r="C186" s="1">
        <f>SUMIFS(
  '[1]Hoja 1'!$M:$M,
  '[1]Hoja 1'!$S:$S, $A186,
  '[1]Hoja 1'!$R:$R, "&gt;="&amp;INT($E$1),
  '[1]Hoja 1'!$R:$R, "&lt;"&amp;INT($F$1+1)
)</f>
        <v>0</v>
      </c>
      <c r="D186" s="1" t="str">
        <f>""</f>
        <v/>
      </c>
      <c r="F186" s="2"/>
      <c r="G186" s="1">
        <f>SUMIFS(
  '[1]Hoja 1'!$M:$M,
  '[1]Hoja 1'!$S:$S, $A186,
  '[1]Hoja 1'!$R:$R, "&gt;="&amp;INT($I$1),
  '[1]Hoja 1'!$R:$R, "&lt;"&amp;INT($J$1+1)
)</f>
        <v>0</v>
      </c>
      <c r="H186" s="1">
        <f t="shared" si="170"/>
        <v>0</v>
      </c>
      <c r="I186" s="1"/>
      <c r="J186" s="2"/>
      <c r="K186" s="1">
        <f>SUMIFS(
  '[1]Hoja 1'!$M:$M,
  '[1]Hoja 1'!$S:$S, $A186,
  '[1]Hoja 1'!$R:$R, "&gt;="&amp;INT($M$1),
  '[1]Hoja 1'!$R:$R, "&lt;"&amp;INT($N$1+1)
)</f>
        <v>0</v>
      </c>
      <c r="L186" s="1">
        <f t="shared" si="171"/>
        <v>0</v>
      </c>
      <c r="M186" s="9">
        <f t="shared" si="172"/>
        <v>0</v>
      </c>
      <c r="N186" s="10">
        <f t="shared" si="173"/>
        <v>0</v>
      </c>
      <c r="O186" s="1">
        <f>SUMIFS(
  '[1]Hoja 1'!$M:$M,
  '[1]Hoja 1'!$S:$S, $A186,
  '[1]Hoja 1'!$R:$R, "&gt;="&amp;INT($Q$1),
  '[1]Hoja 1'!$R:$R, "&lt;"&amp;INT($R$1+1)
)</f>
        <v>0</v>
      </c>
      <c r="P186" s="1">
        <f t="shared" si="174"/>
        <v>0</v>
      </c>
      <c r="Q186" s="9">
        <f t="shared" si="175"/>
        <v>0</v>
      </c>
      <c r="R186" s="10">
        <f t="shared" si="176"/>
        <v>0</v>
      </c>
      <c r="S186" s="1">
        <f>SUMIFS(
  '[1]Hoja 1'!$M:$M,
  '[1]Hoja 1'!$S:$S, $A186,
  '[1]Hoja 1'!$R:$R, "&gt;="&amp;INT($U$1),
  '[1]Hoja 1'!$R:$R, "&lt;"&amp;INT($V$1+1)
)</f>
        <v>0</v>
      </c>
      <c r="T186" s="1">
        <f t="shared" si="177"/>
        <v>0</v>
      </c>
      <c r="U186" s="9">
        <f t="shared" si="178"/>
        <v>0</v>
      </c>
      <c r="V186" s="10">
        <f t="shared" si="179"/>
        <v>0</v>
      </c>
      <c r="W186" s="1">
        <f>SUMIFS(
  '[1]Hoja 1'!$M:$M,
  '[1]Hoja 1'!$S:$S, $A186,
  '[1]Hoja 1'!$R:$R, "&gt;="&amp;INT($Y$1),
  '[1]Hoja 1'!$R:$R, "&lt;"&amp;INT($Z$1+1)
)</f>
        <v>0</v>
      </c>
      <c r="X186" s="1">
        <f t="shared" si="180"/>
        <v>0</v>
      </c>
      <c r="Y186" s="9">
        <f t="shared" si="181"/>
        <v>0</v>
      </c>
      <c r="Z186" s="10">
        <f t="shared" si="182"/>
        <v>0</v>
      </c>
      <c r="AA186" s="1">
        <f>SUMIFS(
  '[1]Hoja 1'!$M:$M,
  '[1]Hoja 1'!$S:$S, $A186,
  '[1]Hoja 1'!$R:$R, "&gt;="&amp;INT($AC$1),
  '[1]Hoja 1'!$R:$R, "&lt;"&amp;INT($AD$1+1)
)</f>
        <v>0</v>
      </c>
      <c r="AB186" s="1">
        <f t="shared" si="183"/>
        <v>0</v>
      </c>
      <c r="AC186" s="9">
        <f t="shared" si="184"/>
        <v>0</v>
      </c>
      <c r="AD186" s="10">
        <f t="shared" si="185"/>
        <v>0</v>
      </c>
      <c r="AE186" s="1">
        <f>SUMIFS(
  '[1]Hoja 1'!$M:$M,
  '[1]Hoja 1'!$S:$S, $A186,
  '[1]Hoja 1'!$R:$R, "&gt;="&amp;INT($AG$1),
  '[1]Hoja 1'!$R:$R, "&lt;"&amp;INT($AH$1+1)
)</f>
        <v>0</v>
      </c>
      <c r="AF186" s="1">
        <f t="shared" si="186"/>
        <v>0</v>
      </c>
      <c r="AG186" s="9">
        <f t="shared" si="187"/>
        <v>0</v>
      </c>
      <c r="AH186" s="10">
        <f t="shared" si="188"/>
        <v>0</v>
      </c>
      <c r="AI186" s="1">
        <f>SUMIFS(
  '[1]Hoja 1'!$M:$M,
  '[1]Hoja 1'!$S:$S, $A186,
  '[1]Hoja 1'!$R:$R, "&gt;="&amp;INT($AK$1),
  '[1]Hoja 1'!$R:$R, "&lt;"&amp;INT($AL$1+1)
)</f>
        <v>0</v>
      </c>
      <c r="AJ186" s="1">
        <f t="shared" si="189"/>
        <v>0</v>
      </c>
      <c r="AK186" s="9">
        <f t="shared" si="190"/>
        <v>0</v>
      </c>
      <c r="AL186" s="10">
        <f t="shared" si="191"/>
        <v>0</v>
      </c>
      <c r="AM186" s="1">
        <f>SUMIFS(
  '[1]Hoja 1'!$M:$M,
  '[1]Hoja 1'!$S:$S, $A186,
  '[1]Hoja 1'!$R:$R, "&gt;="&amp;INT($AO$1),
  '[1]Hoja 1'!$R:$R, "&lt;"&amp;INT($AP$1+1)
)</f>
        <v>0</v>
      </c>
      <c r="AN186" s="1">
        <f t="shared" si="192"/>
        <v>0</v>
      </c>
      <c r="AO186" s="9">
        <f t="shared" si="193"/>
        <v>0</v>
      </c>
      <c r="AP186" s="10">
        <f t="shared" si="194"/>
        <v>0</v>
      </c>
      <c r="AQ186" s="1">
        <f>SUMIFS(
  '[1]Hoja 1'!$M:$M,
  '[1]Hoja 1'!$S:$S, $A186,
  '[1]Hoja 1'!$R:$R, "&gt;="&amp;INT($AS$1),
  '[1]Hoja 1'!$R:$R, "&lt;"&amp;INT($AT$1+1)
)</f>
        <v>0</v>
      </c>
      <c r="AR186" s="1">
        <f t="shared" si="195"/>
        <v>0</v>
      </c>
      <c r="AS186" s="9">
        <f t="shared" si="196"/>
        <v>0</v>
      </c>
      <c r="AT186" s="10">
        <f t="shared" si="197"/>
        <v>0</v>
      </c>
      <c r="AU186" s="1">
        <f>SUMIFS(
  '[1]Hoja 1'!$M:$M,
  '[1]Hoja 1'!$S:$S, $A186,
  '[1]Hoja 1'!$R:$R, "&gt;="&amp;INT($AW$1),
  '[1]Hoja 1'!$R:$R, "&lt;"&amp;INT($AX$1+1)
)</f>
        <v>0</v>
      </c>
      <c r="AV186" s="1">
        <f t="shared" si="198"/>
        <v>0</v>
      </c>
      <c r="AW186" s="9">
        <f t="shared" si="199"/>
        <v>0</v>
      </c>
      <c r="AX186" s="10">
        <f t="shared" si="200"/>
        <v>0</v>
      </c>
      <c r="AY186" s="1">
        <f>SUMIFS(
  '[1]Hoja 1'!$M:$M,
  '[1]Hoja 1'!$S:$S, $A186,
  '[1]Hoja 1'!$R:$R, "&gt;="&amp;INT($BA$1),
  '[1]Hoja 1'!$R:$R, "&lt;"&amp;INT($BB$1+1)
)</f>
        <v>0</v>
      </c>
      <c r="AZ186" s="1">
        <f t="shared" si="201"/>
        <v>0</v>
      </c>
      <c r="BA186" s="9">
        <f t="shared" si="202"/>
        <v>0</v>
      </c>
      <c r="BB186" s="10">
        <f t="shared" si="203"/>
        <v>0</v>
      </c>
      <c r="BC186" s="1">
        <f>SUMIFS(
  '[1]Hoja 1'!$M:$M,
  '[1]Hoja 1'!$S:$S, $A186,
  '[1]Hoja 1'!$R:$R, "&gt;="&amp;INT($BE$1),
  '[1]Hoja 1'!$R:$R, "&lt;"&amp;INT($BF$1+1)
)</f>
        <v>0</v>
      </c>
      <c r="BD186" s="1">
        <f t="shared" si="204"/>
        <v>0</v>
      </c>
      <c r="BE186" s="9">
        <f t="shared" si="205"/>
        <v>0</v>
      </c>
      <c r="BF186" s="10">
        <f t="shared" si="206"/>
        <v>0</v>
      </c>
      <c r="BG186" s="1">
        <f>SUMIFS(
  '[1]Hoja 1'!$M:$M,
  '[1]Hoja 1'!$S:$S, $A186,
  '[1]Hoja 1'!$R:$R, "&gt;="&amp;INT($BI$1),
  '[1]Hoja 1'!$R:$R, "&lt;"&amp;INT($BJ$1+1)
)</f>
        <v>0</v>
      </c>
      <c r="BH186" s="1">
        <f t="shared" si="207"/>
        <v>0</v>
      </c>
      <c r="BI186" s="9">
        <f t="shared" si="208"/>
        <v>0</v>
      </c>
      <c r="BJ186" s="10">
        <f t="shared" si="209"/>
        <v>0</v>
      </c>
      <c r="BK186" s="1">
        <f>SUMIFS(
  '[1]Hoja 1'!$M:$M,
  '[1]Hoja 1'!$S:$S, $A186,
  '[1]Hoja 1'!$R:$R, "&gt;="&amp;INT($BM$1),
  '[1]Hoja 1'!$R:$R, "&lt;"&amp;INT($BN$1+1)
)</f>
        <v>0</v>
      </c>
      <c r="BL186" s="1">
        <f t="shared" si="210"/>
        <v>0</v>
      </c>
      <c r="BM186" s="9">
        <f t="shared" si="211"/>
        <v>0</v>
      </c>
      <c r="BN186" s="10">
        <f t="shared" si="212"/>
        <v>0</v>
      </c>
      <c r="BO186" s="1">
        <f>SUMIFS(
  '[1]Hoja 1'!$M:$M,
  '[1]Hoja 1'!$S:$S, $A186,
  '[1]Hoja 1'!$R:$R, "&gt;="&amp;INT($BQ$1),
  '[1]Hoja 1'!$R:$R, "&lt;"&amp;INT($BR$1+1)
)</f>
        <v>0</v>
      </c>
      <c r="BP186" s="1">
        <f t="shared" si="213"/>
        <v>0</v>
      </c>
      <c r="BQ186" s="9">
        <f t="shared" si="214"/>
        <v>0</v>
      </c>
      <c r="BR186" s="10">
        <f t="shared" si="215"/>
        <v>0</v>
      </c>
      <c r="BS186" s="1">
        <f>SUMIFS(
  '[1]Hoja 1'!$M:$M,
  '[1]Hoja 1'!$S:$S, $A186,
  '[1]Hoja 1'!$R:$R, "&gt;="&amp;INT($BU$1),
  '[1]Hoja 1'!$R:$R, "&lt;"&amp;INT($BV$1+1)
)</f>
        <v>0</v>
      </c>
      <c r="BT186" s="1">
        <f t="shared" si="216"/>
        <v>0</v>
      </c>
      <c r="BU186" s="9">
        <f t="shared" si="217"/>
        <v>0</v>
      </c>
      <c r="BV186" s="10">
        <f t="shared" si="218"/>
        <v>0</v>
      </c>
      <c r="BW186" s="1">
        <f>SUMIFS(
  '[1]Hoja 1'!$M:$M,
  '[1]Hoja 1'!$S:$S, $A186,
  '[1]Hoja 1'!$R:$R, "&gt;="&amp;INT($BY$1),
  '[1]Hoja 1'!$R:$R, "&lt;"&amp;INT($BZ$1+1)
)</f>
        <v>0</v>
      </c>
      <c r="BX186" s="1">
        <f t="shared" si="219"/>
        <v>0</v>
      </c>
      <c r="BY186" s="9">
        <f t="shared" si="220"/>
        <v>0</v>
      </c>
      <c r="BZ186" s="10">
        <f t="shared" si="221"/>
        <v>0</v>
      </c>
      <c r="CA186" s="1">
        <f>SUMIFS(
  '[1]Hoja 1'!$M:$M,
  '[1]Hoja 1'!$S:$S, $A186,
  '[1]Hoja 1'!$R:$R, "&gt;="&amp;INT($CC$1),
  '[1]Hoja 1'!$R:$R, "&lt;"&amp;INT($CD$1+1)
)</f>
        <v>0</v>
      </c>
      <c r="CB186" s="1">
        <f t="shared" si="222"/>
        <v>0</v>
      </c>
      <c r="CC186" s="9">
        <f t="shared" si="223"/>
        <v>0</v>
      </c>
      <c r="CD186" s="10">
        <f t="shared" si="224"/>
        <v>0</v>
      </c>
      <c r="CE186" s="1">
        <f>SUMIFS(
  '[1]Hoja 1'!$M:$M,
  '[1]Hoja 1'!$S:$S, $A186,
  '[1]Hoja 1'!$R:$R, "&gt;="&amp;INT($CG$1),
  '[1]Hoja 1'!$R:$R, "&lt;"&amp;INT($CH$1+1)
)</f>
        <v>0</v>
      </c>
      <c r="CF186" s="1">
        <f t="shared" si="225"/>
        <v>0</v>
      </c>
      <c r="CG186" s="9">
        <f t="shared" si="226"/>
        <v>0</v>
      </c>
      <c r="CH186" s="10">
        <f t="shared" si="227"/>
        <v>0</v>
      </c>
      <c r="CI186" s="1">
        <f>SUMIFS(
  '[1]Hoja 1'!$M:$M,
  '[1]Hoja 1'!$S:$S, $A186,
  '[1]Hoja 1'!$R:$R, "&gt;="&amp;INT($CK$1),
  '[1]Hoja 1'!$R:$R, "&lt;"&amp;INT($CL$1+1)
)</f>
        <v>0</v>
      </c>
      <c r="CJ186" s="1">
        <f t="shared" si="228"/>
        <v>0</v>
      </c>
      <c r="CK186" s="9">
        <f t="shared" si="229"/>
        <v>0</v>
      </c>
      <c r="CL186" s="10">
        <f t="shared" si="230"/>
        <v>0</v>
      </c>
      <c r="CM186" s="1">
        <f>SUMIFS(
  '[1]Hoja 1'!$M:$M,
  '[1]Hoja 1'!$S:$S, $A186,
  '[1]Hoja 1'!$R:$R, "&gt;="&amp;INT($CO$1),
  '[1]Hoja 1'!$R:$R, "&lt;"&amp;INT($CP$1+1)
)</f>
        <v>0</v>
      </c>
      <c r="CN186" s="1">
        <f t="shared" si="231"/>
        <v>0</v>
      </c>
      <c r="CO186" s="9">
        <f t="shared" si="232"/>
        <v>0</v>
      </c>
      <c r="CP186" s="10">
        <f t="shared" si="233"/>
        <v>0</v>
      </c>
      <c r="CQ186" s="1">
        <f>SUMIFS(
  '[1]Hoja 1'!$M:$M,
  '[1]Hoja 1'!$S:$S, $A186,
  '[1]Hoja 1'!$R:$R, "&gt;="&amp;INT($CS$1),
  '[1]Hoja 1'!$R:$R, "&lt;"&amp;INT($CT$1+1)
)</f>
        <v>0</v>
      </c>
      <c r="CR186" s="1">
        <f t="shared" si="234"/>
        <v>0</v>
      </c>
      <c r="CS186" s="9">
        <f t="shared" si="235"/>
        <v>0</v>
      </c>
      <c r="CT186" s="10">
        <f t="shared" si="236"/>
        <v>0</v>
      </c>
      <c r="CU186" s="1">
        <f>SUMIFS(
  '[1]Hoja 1'!$M:$M,
  '[1]Hoja 1'!$S:$S, $A186,
  '[1]Hoja 1'!$R:$R, "&gt;="&amp;INT($CW$1),
  '[1]Hoja 1'!$R:$R, "&lt;"&amp;INT($CX$1+1)
)</f>
        <v>0</v>
      </c>
      <c r="CV186" s="1">
        <f t="shared" si="237"/>
        <v>0</v>
      </c>
      <c r="CW186" s="9">
        <f t="shared" si="238"/>
        <v>0</v>
      </c>
      <c r="CX186" s="10">
        <f t="shared" si="239"/>
        <v>0</v>
      </c>
      <c r="CY186" s="1">
        <f>SUMIFS(
  '[1]Hoja 1'!$M:$M,
  '[1]Hoja 1'!$S:$S, $A186,
  '[1]Hoja 1'!$R:$R, "&gt;="&amp;INT($DA$1),
  '[1]Hoja 1'!$R:$R, "&lt;"&amp;INT($DB$1+1)
)</f>
        <v>0</v>
      </c>
      <c r="CZ186" s="1">
        <f t="shared" si="240"/>
        <v>0</v>
      </c>
      <c r="DA186" s="9">
        <f t="shared" si="241"/>
        <v>0</v>
      </c>
      <c r="DB186" s="10">
        <f t="shared" si="242"/>
        <v>0</v>
      </c>
      <c r="DC186" s="1">
        <f>SUMIFS(
  '[1]Hoja 1'!$M:$M,
  '[1]Hoja 1'!$S:$S, $A186,
  '[1]Hoja 1'!$R:$R, "&gt;="&amp;INT($DE$1),
  '[1]Hoja 1'!$R:$R, "&lt;"&amp;INT($DF$1+1)
)</f>
        <v>0</v>
      </c>
      <c r="DD186" s="1">
        <f t="shared" si="243"/>
        <v>0</v>
      </c>
      <c r="DE186" s="9">
        <f t="shared" si="244"/>
        <v>0</v>
      </c>
      <c r="DF186" s="10">
        <f t="shared" si="245"/>
        <v>0</v>
      </c>
      <c r="DG186" s="1">
        <f>SUMIFS(
  '[1]Hoja 1'!$M:$M,
  '[1]Hoja 1'!$S:$S, $A186,
  '[1]Hoja 1'!$R:$R, "&gt;="&amp;INT($DI$1),
  '[1]Hoja 1'!$R:$R, "&lt;"&amp;INT($DJ$1+1)
)</f>
        <v>0</v>
      </c>
      <c r="DH186" s="1">
        <f t="shared" si="246"/>
        <v>0</v>
      </c>
      <c r="DI186" s="9">
        <f t="shared" si="247"/>
        <v>0</v>
      </c>
      <c r="DJ186" s="10">
        <f t="shared" si="248"/>
        <v>0</v>
      </c>
      <c r="DK186" s="1">
        <f>SUMIFS(
  '[1]Hoja 1'!$M:$M,
  '[1]Hoja 1'!$S:$S, $A186,
  '[1]Hoja 1'!$R:$R, "&gt;="&amp;INT($DM$1),
  '[1]Hoja 1'!$R:$R, "&lt;"&amp;INT($DN$1+1)
)</f>
        <v>0</v>
      </c>
      <c r="DL186" s="1">
        <f t="shared" si="249"/>
        <v>0</v>
      </c>
      <c r="DM186" s="9">
        <f t="shared" si="250"/>
        <v>0</v>
      </c>
      <c r="DN186" s="10">
        <f t="shared" si="251"/>
        <v>0</v>
      </c>
      <c r="DO186" s="1">
        <f>SUMIFS(
  '[1]Hoja 1'!$M:$M,
  '[1]Hoja 1'!$S:$S, $A186,
  '[1]Hoja 1'!$R:$R, "&gt;="&amp;INT($DQ$1),
  '[1]Hoja 1'!$R:$R, "&lt;"&amp;INT($DR$1+1)
)</f>
        <v>0</v>
      </c>
      <c r="DP186" s="1">
        <f t="shared" si="252"/>
        <v>0</v>
      </c>
      <c r="DQ186" s="9">
        <f t="shared" si="253"/>
        <v>0</v>
      </c>
      <c r="DR186" s="10">
        <f t="shared" si="254"/>
        <v>0</v>
      </c>
    </row>
    <row r="187" spans="1:122" x14ac:dyDescent="0.25">
      <c r="A187" s="5">
        <v>231010</v>
      </c>
      <c r="B187" s="6" t="s">
        <v>183</v>
      </c>
      <c r="C187" s="1">
        <f>SUMIFS(
  '[1]Hoja 1'!$M:$M,
  '[1]Hoja 1'!$S:$S, $A187,
  '[1]Hoja 1'!$R:$R, "&gt;="&amp;INT($E$1),
  '[1]Hoja 1'!$R:$R, "&lt;"&amp;INT($F$1+1)
)</f>
        <v>11</v>
      </c>
      <c r="D187" s="1" t="str">
        <f>""</f>
        <v/>
      </c>
      <c r="F187" s="2"/>
      <c r="G187" s="1">
        <f>SUMIFS(
  '[1]Hoja 1'!$M:$M,
  '[1]Hoja 1'!$S:$S, $A187,
  '[1]Hoja 1'!$R:$R, "&gt;="&amp;INT($I$1),
  '[1]Hoja 1'!$R:$R, "&lt;"&amp;INT($J$1+1)
)</f>
        <v>21</v>
      </c>
      <c r="H187" s="1">
        <f t="shared" si="170"/>
        <v>16</v>
      </c>
      <c r="I187" s="1"/>
      <c r="J187" s="2"/>
      <c r="K187" s="1">
        <f>SUMIFS(
  '[1]Hoja 1'!$M:$M,
  '[1]Hoja 1'!$S:$S, $A187,
  '[1]Hoja 1'!$R:$R, "&gt;="&amp;INT($M$1),
  '[1]Hoja 1'!$R:$R, "&lt;"&amp;INT($N$1+1)
)</f>
        <v>27</v>
      </c>
      <c r="L187" s="1">
        <f t="shared" si="171"/>
        <v>24</v>
      </c>
      <c r="M187" s="9">
        <f t="shared" si="172"/>
        <v>21.228141417748734</v>
      </c>
      <c r="N187" s="10">
        <f t="shared" si="173"/>
        <v>26.771858582251266</v>
      </c>
      <c r="O187" s="1">
        <f>SUMIFS(
  '[1]Hoja 1'!$M:$M,
  '[1]Hoja 1'!$S:$S, $A187,
  '[1]Hoja 1'!$R:$R, "&gt;="&amp;INT($Q$1),
  '[1]Hoja 1'!$R:$R, "&lt;"&amp;INT($R$1+1)
)</f>
        <v>10</v>
      </c>
      <c r="P187" s="1">
        <f t="shared" si="174"/>
        <v>18.5</v>
      </c>
      <c r="Q187" s="9">
        <f t="shared" si="175"/>
        <v>9.7197712436623309</v>
      </c>
      <c r="R187" s="10">
        <f t="shared" si="176"/>
        <v>38.280228756337671</v>
      </c>
      <c r="S187" s="1">
        <f>SUMIFS(
  '[1]Hoja 1'!$M:$M,
  '[1]Hoja 1'!$S:$S, $A187,
  '[1]Hoja 1'!$R:$R, "&gt;="&amp;INT($U$1),
  '[1]Hoja 1'!$R:$R, "&lt;"&amp;INT($V$1+1)
)</f>
        <v>9</v>
      </c>
      <c r="T187" s="1">
        <f t="shared" si="177"/>
        <v>10</v>
      </c>
      <c r="U187" s="9">
        <f t="shared" si="178"/>
        <v>-1.6643330999533212</v>
      </c>
      <c r="V187" s="10">
        <f t="shared" si="179"/>
        <v>21.664333099953321</v>
      </c>
      <c r="W187" s="1">
        <f>SUMIFS(
  '[1]Hoja 1'!$M:$M,
  '[1]Hoja 1'!$S:$S, $A187,
  '[1]Hoja 1'!$R:$R, "&gt;="&amp;INT($Y$1),
  '[1]Hoja 1'!$R:$R, "&lt;"&amp;INT($Z$1+1)
)</f>
        <v>11</v>
      </c>
      <c r="X187" s="1">
        <f t="shared" si="180"/>
        <v>10</v>
      </c>
      <c r="Y187" s="9">
        <f t="shared" si="181"/>
        <v>0.11867080466060642</v>
      </c>
      <c r="Z187" s="10">
        <f t="shared" si="182"/>
        <v>19.881329195339394</v>
      </c>
      <c r="AA187" s="1">
        <f>SUMIFS(
  '[1]Hoja 1'!$M:$M,
  '[1]Hoja 1'!$S:$S, $A187,
  '[1]Hoja 1'!$R:$R, "&gt;="&amp;INT($AC$1),
  '[1]Hoja 1'!$R:$R, "&lt;"&amp;INT($AD$1+1)
)</f>
        <v>14</v>
      </c>
      <c r="AB187" s="1">
        <f t="shared" si="183"/>
        <v>13</v>
      </c>
      <c r="AC187" s="9">
        <f t="shared" si="184"/>
        <v>4.9604154336184774</v>
      </c>
      <c r="AD187" s="10">
        <f t="shared" si="185"/>
        <v>22.136452630352039</v>
      </c>
      <c r="AE187" s="1">
        <f>SUMIFS(
  '[1]Hoja 1'!$M:$M,
  '[1]Hoja 1'!$S:$S, $A187,
  '[1]Hoja 1'!$R:$R, "&gt;="&amp;INT($AG$1),
  '[1]Hoja 1'!$R:$R, "&lt;"&amp;INT($AH$1+1)
)</f>
        <v>0</v>
      </c>
      <c r="AF187" s="1">
        <f t="shared" si="186"/>
        <v>7</v>
      </c>
      <c r="AG187" s="9">
        <f t="shared" si="187"/>
        <v>0.24581611147579174</v>
      </c>
      <c r="AH187" s="10">
        <f t="shared" si="188"/>
        <v>14.695756406401301</v>
      </c>
      <c r="AI187" s="1">
        <f>SUMIFS(
  '[1]Hoja 1'!$M:$M,
  '[1]Hoja 1'!$S:$S, $A187,
  '[1]Hoja 1'!$R:$R, "&gt;="&amp;INT($AK$1),
  '[1]Hoja 1'!$R:$R, "&lt;"&amp;INT($AL$1+1)
)</f>
        <v>0</v>
      </c>
      <c r="AJ187" s="1">
        <f t="shared" si="189"/>
        <v>0</v>
      </c>
      <c r="AK187" s="9">
        <f t="shared" si="190"/>
        <v>-6.8037695434222343</v>
      </c>
      <c r="AL187" s="10">
        <f t="shared" si="191"/>
        <v>7.7733626357366523</v>
      </c>
      <c r="AM187" s="1">
        <f>SUMIFS(
  '[1]Hoja 1'!$M:$M,
  '[1]Hoja 1'!$S:$S, $A187,
  '[1]Hoja 1'!$R:$R, "&gt;="&amp;INT($AO$1),
  '[1]Hoja 1'!$R:$R, "&lt;"&amp;INT($AP$1+1)
)</f>
        <v>0</v>
      </c>
      <c r="AN187" s="1">
        <f t="shared" si="192"/>
        <v>0</v>
      </c>
      <c r="AO187" s="9">
        <f t="shared" si="193"/>
        <v>-6.5886326350768716</v>
      </c>
      <c r="AP187" s="10">
        <f t="shared" si="194"/>
        <v>7.4795253860121358</v>
      </c>
      <c r="AQ187" s="1">
        <f>SUMIFS(
  '[1]Hoja 1'!$M:$M,
  '[1]Hoja 1'!$S:$S, $A187,
  '[1]Hoja 1'!$R:$R, "&gt;="&amp;INT($AS$1),
  '[1]Hoja 1'!$R:$R, "&lt;"&amp;INT($AT$1+1)
)</f>
        <v>0</v>
      </c>
      <c r="AR187" s="1">
        <f t="shared" si="195"/>
        <v>0</v>
      </c>
      <c r="AS187" s="9">
        <f t="shared" si="196"/>
        <v>-6.135770530259423</v>
      </c>
      <c r="AT187" s="10">
        <f t="shared" si="197"/>
        <v>6.8599999999999994</v>
      </c>
      <c r="AU187" s="1">
        <f>SUMIFS(
  '[1]Hoja 1'!$M:$M,
  '[1]Hoja 1'!$S:$S, $A187,
  '[1]Hoja 1'!$R:$R, "&gt;="&amp;INT($AW$1),
  '[1]Hoja 1'!$R:$R, "&lt;"&amp;INT($AX$1+1)
)</f>
        <v>0</v>
      </c>
      <c r="AV187" s="1">
        <f t="shared" si="198"/>
        <v>0</v>
      </c>
      <c r="AW187" s="9">
        <f t="shared" si="199"/>
        <v>0</v>
      </c>
      <c r="AX187" s="10">
        <f t="shared" si="200"/>
        <v>0</v>
      </c>
      <c r="AY187" s="1">
        <f>SUMIFS(
  '[1]Hoja 1'!$M:$M,
  '[1]Hoja 1'!$S:$S, $A187,
  '[1]Hoja 1'!$R:$R, "&gt;="&amp;INT($BA$1),
  '[1]Hoja 1'!$R:$R, "&lt;"&amp;INT($BB$1+1)
)</f>
        <v>0</v>
      </c>
      <c r="AZ187" s="1">
        <f t="shared" si="201"/>
        <v>0</v>
      </c>
      <c r="BA187" s="9">
        <f t="shared" si="202"/>
        <v>0</v>
      </c>
      <c r="BB187" s="10">
        <f t="shared" si="203"/>
        <v>0</v>
      </c>
      <c r="BC187" s="1">
        <f>SUMIFS(
  '[1]Hoja 1'!$M:$M,
  '[1]Hoja 1'!$S:$S, $A187,
  '[1]Hoja 1'!$R:$R, "&gt;="&amp;INT($BE$1),
  '[1]Hoja 1'!$R:$R, "&lt;"&amp;INT($BF$1+1)
)</f>
        <v>0</v>
      </c>
      <c r="BD187" s="1">
        <f t="shared" si="204"/>
        <v>0</v>
      </c>
      <c r="BE187" s="9">
        <f t="shared" si="205"/>
        <v>0</v>
      </c>
      <c r="BF187" s="10">
        <f t="shared" si="206"/>
        <v>0</v>
      </c>
      <c r="BG187" s="1">
        <f>SUMIFS(
  '[1]Hoja 1'!$M:$M,
  '[1]Hoja 1'!$S:$S, $A187,
  '[1]Hoja 1'!$R:$R, "&gt;="&amp;INT($BI$1),
  '[1]Hoja 1'!$R:$R, "&lt;"&amp;INT($BJ$1+1)
)</f>
        <v>0</v>
      </c>
      <c r="BH187" s="1">
        <f t="shared" si="207"/>
        <v>0</v>
      </c>
      <c r="BI187" s="9">
        <f t="shared" si="208"/>
        <v>0</v>
      </c>
      <c r="BJ187" s="10">
        <f t="shared" si="209"/>
        <v>0</v>
      </c>
      <c r="BK187" s="1">
        <f>SUMIFS(
  '[1]Hoja 1'!$M:$M,
  '[1]Hoja 1'!$S:$S, $A187,
  '[1]Hoja 1'!$R:$R, "&gt;="&amp;INT($BM$1),
  '[1]Hoja 1'!$R:$R, "&lt;"&amp;INT($BN$1+1)
)</f>
        <v>0</v>
      </c>
      <c r="BL187" s="1">
        <f t="shared" si="210"/>
        <v>0</v>
      </c>
      <c r="BM187" s="9">
        <f t="shared" si="211"/>
        <v>0</v>
      </c>
      <c r="BN187" s="10">
        <f t="shared" si="212"/>
        <v>0</v>
      </c>
      <c r="BO187" s="1">
        <f>SUMIFS(
  '[1]Hoja 1'!$M:$M,
  '[1]Hoja 1'!$S:$S, $A187,
  '[1]Hoja 1'!$R:$R, "&gt;="&amp;INT($BQ$1),
  '[1]Hoja 1'!$R:$R, "&lt;"&amp;INT($BR$1+1)
)</f>
        <v>0</v>
      </c>
      <c r="BP187" s="1">
        <f t="shared" si="213"/>
        <v>0</v>
      </c>
      <c r="BQ187" s="9">
        <f t="shared" si="214"/>
        <v>0</v>
      </c>
      <c r="BR187" s="10">
        <f t="shared" si="215"/>
        <v>0</v>
      </c>
      <c r="BS187" s="1">
        <f>SUMIFS(
  '[1]Hoja 1'!$M:$M,
  '[1]Hoja 1'!$S:$S, $A187,
  '[1]Hoja 1'!$R:$R, "&gt;="&amp;INT($BU$1),
  '[1]Hoja 1'!$R:$R, "&lt;"&amp;INT($BV$1+1)
)</f>
        <v>0</v>
      </c>
      <c r="BT187" s="1">
        <f t="shared" si="216"/>
        <v>0</v>
      </c>
      <c r="BU187" s="9">
        <f t="shared" si="217"/>
        <v>0</v>
      </c>
      <c r="BV187" s="10">
        <f t="shared" si="218"/>
        <v>0</v>
      </c>
      <c r="BW187" s="1">
        <f>SUMIFS(
  '[1]Hoja 1'!$M:$M,
  '[1]Hoja 1'!$S:$S, $A187,
  '[1]Hoja 1'!$R:$R, "&gt;="&amp;INT($BY$1),
  '[1]Hoja 1'!$R:$R, "&lt;"&amp;INT($BZ$1+1)
)</f>
        <v>0</v>
      </c>
      <c r="BX187" s="1">
        <f t="shared" si="219"/>
        <v>0</v>
      </c>
      <c r="BY187" s="9">
        <f t="shared" si="220"/>
        <v>0</v>
      </c>
      <c r="BZ187" s="10">
        <f t="shared" si="221"/>
        <v>0</v>
      </c>
      <c r="CA187" s="1">
        <f>SUMIFS(
  '[1]Hoja 1'!$M:$M,
  '[1]Hoja 1'!$S:$S, $A187,
  '[1]Hoja 1'!$R:$R, "&gt;="&amp;INT($CC$1),
  '[1]Hoja 1'!$R:$R, "&lt;"&amp;INT($CD$1+1)
)</f>
        <v>0</v>
      </c>
      <c r="CB187" s="1">
        <f t="shared" si="222"/>
        <v>0</v>
      </c>
      <c r="CC187" s="9">
        <f t="shared" si="223"/>
        <v>0</v>
      </c>
      <c r="CD187" s="10">
        <f t="shared" si="224"/>
        <v>0</v>
      </c>
      <c r="CE187" s="1">
        <f>SUMIFS(
  '[1]Hoja 1'!$M:$M,
  '[1]Hoja 1'!$S:$S, $A187,
  '[1]Hoja 1'!$R:$R, "&gt;="&amp;INT($CG$1),
  '[1]Hoja 1'!$R:$R, "&lt;"&amp;INT($CH$1+1)
)</f>
        <v>0</v>
      </c>
      <c r="CF187" s="1">
        <f t="shared" si="225"/>
        <v>0</v>
      </c>
      <c r="CG187" s="9">
        <f t="shared" si="226"/>
        <v>0</v>
      </c>
      <c r="CH187" s="10">
        <f t="shared" si="227"/>
        <v>0</v>
      </c>
      <c r="CI187" s="1">
        <f>SUMIFS(
  '[1]Hoja 1'!$M:$M,
  '[1]Hoja 1'!$S:$S, $A187,
  '[1]Hoja 1'!$R:$R, "&gt;="&amp;INT($CK$1),
  '[1]Hoja 1'!$R:$R, "&lt;"&amp;INT($CL$1+1)
)</f>
        <v>0</v>
      </c>
      <c r="CJ187" s="1">
        <f t="shared" si="228"/>
        <v>0</v>
      </c>
      <c r="CK187" s="9">
        <f t="shared" si="229"/>
        <v>0</v>
      </c>
      <c r="CL187" s="10">
        <f t="shared" si="230"/>
        <v>0</v>
      </c>
      <c r="CM187" s="1">
        <f>SUMIFS(
  '[1]Hoja 1'!$M:$M,
  '[1]Hoja 1'!$S:$S, $A187,
  '[1]Hoja 1'!$R:$R, "&gt;="&amp;INT($CO$1),
  '[1]Hoja 1'!$R:$R, "&lt;"&amp;INT($CP$1+1)
)</f>
        <v>0</v>
      </c>
      <c r="CN187" s="1">
        <f t="shared" si="231"/>
        <v>0</v>
      </c>
      <c r="CO187" s="9">
        <f t="shared" si="232"/>
        <v>0</v>
      </c>
      <c r="CP187" s="10">
        <f t="shared" si="233"/>
        <v>0</v>
      </c>
      <c r="CQ187" s="1">
        <f>SUMIFS(
  '[1]Hoja 1'!$M:$M,
  '[1]Hoja 1'!$S:$S, $A187,
  '[1]Hoja 1'!$R:$R, "&gt;="&amp;INT($CS$1),
  '[1]Hoja 1'!$R:$R, "&lt;"&amp;INT($CT$1+1)
)</f>
        <v>0</v>
      </c>
      <c r="CR187" s="1">
        <f t="shared" si="234"/>
        <v>0</v>
      </c>
      <c r="CS187" s="9">
        <f t="shared" si="235"/>
        <v>0</v>
      </c>
      <c r="CT187" s="10">
        <f t="shared" si="236"/>
        <v>0</v>
      </c>
      <c r="CU187" s="1">
        <f>SUMIFS(
  '[1]Hoja 1'!$M:$M,
  '[1]Hoja 1'!$S:$S, $A187,
  '[1]Hoja 1'!$R:$R, "&gt;="&amp;INT($CW$1),
  '[1]Hoja 1'!$R:$R, "&lt;"&amp;INT($CX$1+1)
)</f>
        <v>0</v>
      </c>
      <c r="CV187" s="1">
        <f t="shared" si="237"/>
        <v>0</v>
      </c>
      <c r="CW187" s="9">
        <f t="shared" si="238"/>
        <v>0</v>
      </c>
      <c r="CX187" s="10">
        <f t="shared" si="239"/>
        <v>0</v>
      </c>
      <c r="CY187" s="1">
        <f>SUMIFS(
  '[1]Hoja 1'!$M:$M,
  '[1]Hoja 1'!$S:$S, $A187,
  '[1]Hoja 1'!$R:$R, "&gt;="&amp;INT($DA$1),
  '[1]Hoja 1'!$R:$R, "&lt;"&amp;INT($DB$1+1)
)</f>
        <v>0</v>
      </c>
      <c r="CZ187" s="1">
        <f t="shared" si="240"/>
        <v>0</v>
      </c>
      <c r="DA187" s="9">
        <f t="shared" si="241"/>
        <v>0</v>
      </c>
      <c r="DB187" s="10">
        <f t="shared" si="242"/>
        <v>0</v>
      </c>
      <c r="DC187" s="1">
        <f>SUMIFS(
  '[1]Hoja 1'!$M:$M,
  '[1]Hoja 1'!$S:$S, $A187,
  '[1]Hoja 1'!$R:$R, "&gt;="&amp;INT($DE$1),
  '[1]Hoja 1'!$R:$R, "&lt;"&amp;INT($DF$1+1)
)</f>
        <v>0</v>
      </c>
      <c r="DD187" s="1">
        <f t="shared" si="243"/>
        <v>0</v>
      </c>
      <c r="DE187" s="9">
        <f t="shared" si="244"/>
        <v>0</v>
      </c>
      <c r="DF187" s="10">
        <f t="shared" si="245"/>
        <v>0</v>
      </c>
      <c r="DG187" s="1">
        <f>SUMIFS(
  '[1]Hoja 1'!$M:$M,
  '[1]Hoja 1'!$S:$S, $A187,
  '[1]Hoja 1'!$R:$R, "&gt;="&amp;INT($DI$1),
  '[1]Hoja 1'!$R:$R, "&lt;"&amp;INT($DJ$1+1)
)</f>
        <v>0</v>
      </c>
      <c r="DH187" s="1">
        <f t="shared" si="246"/>
        <v>0</v>
      </c>
      <c r="DI187" s="9">
        <f t="shared" si="247"/>
        <v>0</v>
      </c>
      <c r="DJ187" s="10">
        <f t="shared" si="248"/>
        <v>0</v>
      </c>
      <c r="DK187" s="1">
        <f>SUMIFS(
  '[1]Hoja 1'!$M:$M,
  '[1]Hoja 1'!$S:$S, $A187,
  '[1]Hoja 1'!$R:$R, "&gt;="&amp;INT($DM$1),
  '[1]Hoja 1'!$R:$R, "&lt;"&amp;INT($DN$1+1)
)</f>
        <v>0</v>
      </c>
      <c r="DL187" s="1">
        <f t="shared" si="249"/>
        <v>0</v>
      </c>
      <c r="DM187" s="9">
        <f t="shared" si="250"/>
        <v>0</v>
      </c>
      <c r="DN187" s="10">
        <f t="shared" si="251"/>
        <v>0</v>
      </c>
      <c r="DO187" s="1">
        <f>SUMIFS(
  '[1]Hoja 1'!$M:$M,
  '[1]Hoja 1'!$S:$S, $A187,
  '[1]Hoja 1'!$R:$R, "&gt;="&amp;INT($DQ$1),
  '[1]Hoja 1'!$R:$R, "&lt;"&amp;INT($DR$1+1)
)</f>
        <v>0</v>
      </c>
      <c r="DP187" s="1">
        <f t="shared" si="252"/>
        <v>0</v>
      </c>
      <c r="DQ187" s="9">
        <f t="shared" si="253"/>
        <v>0</v>
      </c>
      <c r="DR187" s="10">
        <f t="shared" si="254"/>
        <v>0</v>
      </c>
    </row>
    <row r="188" spans="1:122" x14ac:dyDescent="0.25">
      <c r="A188" s="5">
        <v>231012</v>
      </c>
      <c r="B188" s="6" t="s">
        <v>184</v>
      </c>
      <c r="C188" s="1">
        <f>SUMIFS(
  '[1]Hoja 1'!$M:$M,
  '[1]Hoja 1'!$S:$S, $A188,
  '[1]Hoja 1'!$R:$R, "&gt;="&amp;INT($E$1),
  '[1]Hoja 1'!$R:$R, "&lt;"&amp;INT($F$1+1)
)</f>
        <v>26</v>
      </c>
      <c r="D188" s="1" t="str">
        <f>""</f>
        <v/>
      </c>
      <c r="F188" s="2"/>
      <c r="G188" s="1">
        <f>SUMIFS(
  '[1]Hoja 1'!$M:$M,
  '[1]Hoja 1'!$S:$S, $A188,
  '[1]Hoja 1'!$R:$R, "&gt;="&amp;INT($I$1),
  '[1]Hoja 1'!$R:$R, "&lt;"&amp;INT($J$1+1)
)</f>
        <v>69</v>
      </c>
      <c r="H188" s="1">
        <f t="shared" si="170"/>
        <v>47.5</v>
      </c>
      <c r="I188" s="1"/>
      <c r="J188" s="2"/>
      <c r="K188" s="1">
        <f>SUMIFS(
  '[1]Hoja 1'!$M:$M,
  '[1]Hoja 1'!$S:$S, $A188,
  '[1]Hoja 1'!$R:$R, "&gt;="&amp;INT($M$1),
  '[1]Hoja 1'!$R:$R, "&lt;"&amp;INT($N$1+1)
)</f>
        <v>76</v>
      </c>
      <c r="L188" s="1">
        <f t="shared" si="171"/>
        <v>72.5</v>
      </c>
      <c r="M188" s="9">
        <f t="shared" si="172"/>
        <v>47.553272759738604</v>
      </c>
      <c r="N188" s="10">
        <f t="shared" si="173"/>
        <v>97.446727240261396</v>
      </c>
      <c r="O188" s="1">
        <f>SUMIFS(
  '[1]Hoja 1'!$M:$M,
  '[1]Hoja 1'!$S:$S, $A188,
  '[1]Hoja 1'!$R:$R, "&gt;="&amp;INT($Q$1),
  '[1]Hoja 1'!$R:$R, "&lt;"&amp;INT($R$1+1)
)</f>
        <v>47</v>
      </c>
      <c r="P188" s="1">
        <f t="shared" si="174"/>
        <v>61.5</v>
      </c>
      <c r="Q188" s="9">
        <f t="shared" si="175"/>
        <v>37.22</v>
      </c>
      <c r="R188" s="10">
        <f t="shared" si="176"/>
        <v>107.78</v>
      </c>
      <c r="S188" s="1">
        <f>SUMIFS(
  '[1]Hoja 1'!$M:$M,
  '[1]Hoja 1'!$S:$S, $A188,
  '[1]Hoja 1'!$R:$R, "&gt;="&amp;INT($U$1),
  '[1]Hoja 1'!$R:$R, "&lt;"&amp;INT($V$1+1)
)</f>
        <v>60</v>
      </c>
      <c r="T188" s="1">
        <f t="shared" si="177"/>
        <v>54</v>
      </c>
      <c r="U188" s="9">
        <f t="shared" si="178"/>
        <v>25.04435806271945</v>
      </c>
      <c r="V188" s="10">
        <f t="shared" si="179"/>
        <v>82.955641937280546</v>
      </c>
      <c r="W188" s="1">
        <f>SUMIFS(
  '[1]Hoja 1'!$M:$M,
  '[1]Hoja 1'!$S:$S, $A188,
  '[1]Hoja 1'!$R:$R, "&gt;="&amp;INT($Y$1),
  '[1]Hoja 1'!$R:$R, "&lt;"&amp;INT($Z$1+1)
)</f>
        <v>58</v>
      </c>
      <c r="X188" s="1">
        <f t="shared" si="180"/>
        <v>59</v>
      </c>
      <c r="Y188" s="9">
        <f t="shared" si="181"/>
        <v>40.817104191026118</v>
      </c>
      <c r="Z188" s="10">
        <f t="shared" si="182"/>
        <v>77.182895808973882</v>
      </c>
      <c r="AA188" s="1">
        <f>SUMIFS(
  '[1]Hoja 1'!$M:$M,
  '[1]Hoja 1'!$S:$S, $A188,
  '[1]Hoja 1'!$R:$R, "&gt;="&amp;INT($AC$1),
  '[1]Hoja 1'!$R:$R, "&lt;"&amp;INT($AD$1+1)
)</f>
        <v>31</v>
      </c>
      <c r="AB188" s="1">
        <f t="shared" si="183"/>
        <v>45</v>
      </c>
      <c r="AC188" s="9">
        <f t="shared" si="184"/>
        <v>27.076445664991557</v>
      </c>
      <c r="AD188" s="10">
        <f t="shared" si="185"/>
        <v>64.897861694162017</v>
      </c>
      <c r="AE188" s="1">
        <f>SUMIFS(
  '[1]Hoja 1'!$M:$M,
  '[1]Hoja 1'!$S:$S, $A188,
  '[1]Hoja 1'!$R:$R, "&gt;="&amp;INT($AG$1),
  '[1]Hoja 1'!$R:$R, "&lt;"&amp;INT($AH$1+1)
)</f>
        <v>0</v>
      </c>
      <c r="AF188" s="1">
        <f t="shared" si="186"/>
        <v>16</v>
      </c>
      <c r="AG188" s="9">
        <f t="shared" si="187"/>
        <v>-2.4724151101040377</v>
      </c>
      <c r="AH188" s="10">
        <f t="shared" si="188"/>
        <v>36.484500644796462</v>
      </c>
      <c r="AI188" s="1">
        <f>SUMIFS(
  '[1]Hoja 1'!$M:$M,
  '[1]Hoja 1'!$S:$S, $A188,
  '[1]Hoja 1'!$R:$R, "&gt;="&amp;INT($AK$1),
  '[1]Hoja 1'!$R:$R, "&lt;"&amp;INT($AL$1+1)
)</f>
        <v>0</v>
      </c>
      <c r="AJ188" s="1">
        <f t="shared" si="189"/>
        <v>0</v>
      </c>
      <c r="AK188" s="9">
        <f t="shared" si="190"/>
        <v>-15.29239680364069</v>
      </c>
      <c r="AL188" s="10">
        <f t="shared" si="191"/>
        <v>15.943207540098907</v>
      </c>
      <c r="AM188" s="1">
        <f>SUMIFS(
  '[1]Hoja 1'!$M:$M,
  '[1]Hoja 1'!$S:$S, $A188,
  '[1]Hoja 1'!$R:$R, "&gt;="&amp;INT($AO$1),
  '[1]Hoja 1'!$R:$R, "&lt;"&amp;INT($AP$1+1)
)</f>
        <v>0</v>
      </c>
      <c r="AN188" s="1">
        <f t="shared" si="192"/>
        <v>0</v>
      </c>
      <c r="AO188" s="9">
        <f t="shared" si="193"/>
        <v>-15.627850779937718</v>
      </c>
      <c r="AP188" s="10">
        <f t="shared" si="194"/>
        <v>16.486151764435508</v>
      </c>
      <c r="AQ188" s="1">
        <f>SUMIFS(
  '[1]Hoja 1'!$M:$M,
  '[1]Hoja 1'!$S:$S, $A188,
  '[1]Hoja 1'!$R:$R, "&gt;="&amp;INT($AS$1),
  '[1]Hoja 1'!$R:$R, "&lt;"&amp;INT($AT$1+1)
)</f>
        <v>0</v>
      </c>
      <c r="AR188" s="1">
        <f t="shared" si="195"/>
        <v>0</v>
      </c>
      <c r="AS188" s="9">
        <f t="shared" si="196"/>
        <v>-13.586349031288721</v>
      </c>
      <c r="AT188" s="10">
        <f t="shared" si="197"/>
        <v>15.19</v>
      </c>
      <c r="AU188" s="1">
        <f>SUMIFS(
  '[1]Hoja 1'!$M:$M,
  '[1]Hoja 1'!$S:$S, $A188,
  '[1]Hoja 1'!$R:$R, "&gt;="&amp;INT($AW$1),
  '[1]Hoja 1'!$R:$R, "&lt;"&amp;INT($AX$1+1)
)</f>
        <v>0</v>
      </c>
      <c r="AV188" s="1">
        <f t="shared" si="198"/>
        <v>0</v>
      </c>
      <c r="AW188" s="9">
        <f t="shared" si="199"/>
        <v>0</v>
      </c>
      <c r="AX188" s="10">
        <f t="shared" si="200"/>
        <v>0</v>
      </c>
      <c r="AY188" s="1">
        <f>SUMIFS(
  '[1]Hoja 1'!$M:$M,
  '[1]Hoja 1'!$S:$S, $A188,
  '[1]Hoja 1'!$R:$R, "&gt;="&amp;INT($BA$1),
  '[1]Hoja 1'!$R:$R, "&lt;"&amp;INT($BB$1+1)
)</f>
        <v>0</v>
      </c>
      <c r="AZ188" s="1">
        <f t="shared" si="201"/>
        <v>0</v>
      </c>
      <c r="BA188" s="9">
        <f t="shared" si="202"/>
        <v>0</v>
      </c>
      <c r="BB188" s="10">
        <f t="shared" si="203"/>
        <v>0</v>
      </c>
      <c r="BC188" s="1">
        <f>SUMIFS(
  '[1]Hoja 1'!$M:$M,
  '[1]Hoja 1'!$S:$S, $A188,
  '[1]Hoja 1'!$R:$R, "&gt;="&amp;INT($BE$1),
  '[1]Hoja 1'!$R:$R, "&lt;"&amp;INT($BF$1+1)
)</f>
        <v>0</v>
      </c>
      <c r="BD188" s="1">
        <f t="shared" si="204"/>
        <v>0</v>
      </c>
      <c r="BE188" s="9">
        <f t="shared" si="205"/>
        <v>0</v>
      </c>
      <c r="BF188" s="10">
        <f t="shared" si="206"/>
        <v>0</v>
      </c>
      <c r="BG188" s="1">
        <f>SUMIFS(
  '[1]Hoja 1'!$M:$M,
  '[1]Hoja 1'!$S:$S, $A188,
  '[1]Hoja 1'!$R:$R, "&gt;="&amp;INT($BI$1),
  '[1]Hoja 1'!$R:$R, "&lt;"&amp;INT($BJ$1+1)
)</f>
        <v>0</v>
      </c>
      <c r="BH188" s="1">
        <f t="shared" si="207"/>
        <v>0</v>
      </c>
      <c r="BI188" s="9">
        <f t="shared" si="208"/>
        <v>0</v>
      </c>
      <c r="BJ188" s="10">
        <f t="shared" si="209"/>
        <v>0</v>
      </c>
      <c r="BK188" s="1">
        <f>SUMIFS(
  '[1]Hoja 1'!$M:$M,
  '[1]Hoja 1'!$S:$S, $A188,
  '[1]Hoja 1'!$R:$R, "&gt;="&amp;INT($BM$1),
  '[1]Hoja 1'!$R:$R, "&lt;"&amp;INT($BN$1+1)
)</f>
        <v>0</v>
      </c>
      <c r="BL188" s="1">
        <f t="shared" si="210"/>
        <v>0</v>
      </c>
      <c r="BM188" s="9">
        <f t="shared" si="211"/>
        <v>0</v>
      </c>
      <c r="BN188" s="10">
        <f t="shared" si="212"/>
        <v>0</v>
      </c>
      <c r="BO188" s="1">
        <f>SUMIFS(
  '[1]Hoja 1'!$M:$M,
  '[1]Hoja 1'!$S:$S, $A188,
  '[1]Hoja 1'!$R:$R, "&gt;="&amp;INT($BQ$1),
  '[1]Hoja 1'!$R:$R, "&lt;"&amp;INT($BR$1+1)
)</f>
        <v>0</v>
      </c>
      <c r="BP188" s="1">
        <f t="shared" si="213"/>
        <v>0</v>
      </c>
      <c r="BQ188" s="9">
        <f t="shared" si="214"/>
        <v>0</v>
      </c>
      <c r="BR188" s="10">
        <f t="shared" si="215"/>
        <v>0</v>
      </c>
      <c r="BS188" s="1">
        <f>SUMIFS(
  '[1]Hoja 1'!$M:$M,
  '[1]Hoja 1'!$S:$S, $A188,
  '[1]Hoja 1'!$R:$R, "&gt;="&amp;INT($BU$1),
  '[1]Hoja 1'!$R:$R, "&lt;"&amp;INT($BV$1+1)
)</f>
        <v>0</v>
      </c>
      <c r="BT188" s="1">
        <f t="shared" si="216"/>
        <v>0</v>
      </c>
      <c r="BU188" s="9">
        <f t="shared" si="217"/>
        <v>0</v>
      </c>
      <c r="BV188" s="10">
        <f t="shared" si="218"/>
        <v>0</v>
      </c>
      <c r="BW188" s="1">
        <f>SUMIFS(
  '[1]Hoja 1'!$M:$M,
  '[1]Hoja 1'!$S:$S, $A188,
  '[1]Hoja 1'!$R:$R, "&gt;="&amp;INT($BY$1),
  '[1]Hoja 1'!$R:$R, "&lt;"&amp;INT($BZ$1+1)
)</f>
        <v>0</v>
      </c>
      <c r="BX188" s="1">
        <f t="shared" si="219"/>
        <v>0</v>
      </c>
      <c r="BY188" s="9">
        <f t="shared" si="220"/>
        <v>0</v>
      </c>
      <c r="BZ188" s="10">
        <f t="shared" si="221"/>
        <v>0</v>
      </c>
      <c r="CA188" s="1">
        <f>SUMIFS(
  '[1]Hoja 1'!$M:$M,
  '[1]Hoja 1'!$S:$S, $A188,
  '[1]Hoja 1'!$R:$R, "&gt;="&amp;INT($CC$1),
  '[1]Hoja 1'!$R:$R, "&lt;"&amp;INT($CD$1+1)
)</f>
        <v>0</v>
      </c>
      <c r="CB188" s="1">
        <f t="shared" si="222"/>
        <v>0</v>
      </c>
      <c r="CC188" s="9">
        <f t="shared" si="223"/>
        <v>0</v>
      </c>
      <c r="CD188" s="10">
        <f t="shared" si="224"/>
        <v>0</v>
      </c>
      <c r="CE188" s="1">
        <f>SUMIFS(
  '[1]Hoja 1'!$M:$M,
  '[1]Hoja 1'!$S:$S, $A188,
  '[1]Hoja 1'!$R:$R, "&gt;="&amp;INT($CG$1),
  '[1]Hoja 1'!$R:$R, "&lt;"&amp;INT($CH$1+1)
)</f>
        <v>0</v>
      </c>
      <c r="CF188" s="1">
        <f t="shared" si="225"/>
        <v>0</v>
      </c>
      <c r="CG188" s="9">
        <f t="shared" si="226"/>
        <v>0</v>
      </c>
      <c r="CH188" s="10">
        <f t="shared" si="227"/>
        <v>0</v>
      </c>
      <c r="CI188" s="1">
        <f>SUMIFS(
  '[1]Hoja 1'!$M:$M,
  '[1]Hoja 1'!$S:$S, $A188,
  '[1]Hoja 1'!$R:$R, "&gt;="&amp;INT($CK$1),
  '[1]Hoja 1'!$R:$R, "&lt;"&amp;INT($CL$1+1)
)</f>
        <v>0</v>
      </c>
      <c r="CJ188" s="1">
        <f t="shared" si="228"/>
        <v>0</v>
      </c>
      <c r="CK188" s="9">
        <f t="shared" si="229"/>
        <v>0</v>
      </c>
      <c r="CL188" s="10">
        <f t="shared" si="230"/>
        <v>0</v>
      </c>
      <c r="CM188" s="1">
        <f>SUMIFS(
  '[1]Hoja 1'!$M:$M,
  '[1]Hoja 1'!$S:$S, $A188,
  '[1]Hoja 1'!$R:$R, "&gt;="&amp;INT($CO$1),
  '[1]Hoja 1'!$R:$R, "&lt;"&amp;INT($CP$1+1)
)</f>
        <v>0</v>
      </c>
      <c r="CN188" s="1">
        <f t="shared" si="231"/>
        <v>0</v>
      </c>
      <c r="CO188" s="9">
        <f t="shared" si="232"/>
        <v>0</v>
      </c>
      <c r="CP188" s="10">
        <f t="shared" si="233"/>
        <v>0</v>
      </c>
      <c r="CQ188" s="1">
        <f>SUMIFS(
  '[1]Hoja 1'!$M:$M,
  '[1]Hoja 1'!$S:$S, $A188,
  '[1]Hoja 1'!$R:$R, "&gt;="&amp;INT($CS$1),
  '[1]Hoja 1'!$R:$R, "&lt;"&amp;INT($CT$1+1)
)</f>
        <v>0</v>
      </c>
      <c r="CR188" s="1">
        <f t="shared" si="234"/>
        <v>0</v>
      </c>
      <c r="CS188" s="9">
        <f t="shared" si="235"/>
        <v>0</v>
      </c>
      <c r="CT188" s="10">
        <f t="shared" si="236"/>
        <v>0</v>
      </c>
      <c r="CU188" s="1">
        <f>SUMIFS(
  '[1]Hoja 1'!$M:$M,
  '[1]Hoja 1'!$S:$S, $A188,
  '[1]Hoja 1'!$R:$R, "&gt;="&amp;INT($CW$1),
  '[1]Hoja 1'!$R:$R, "&lt;"&amp;INT($CX$1+1)
)</f>
        <v>0</v>
      </c>
      <c r="CV188" s="1">
        <f t="shared" si="237"/>
        <v>0</v>
      </c>
      <c r="CW188" s="9">
        <f t="shared" si="238"/>
        <v>0</v>
      </c>
      <c r="CX188" s="10">
        <f t="shared" si="239"/>
        <v>0</v>
      </c>
      <c r="CY188" s="1">
        <f>SUMIFS(
  '[1]Hoja 1'!$M:$M,
  '[1]Hoja 1'!$S:$S, $A188,
  '[1]Hoja 1'!$R:$R, "&gt;="&amp;INT($DA$1),
  '[1]Hoja 1'!$R:$R, "&lt;"&amp;INT($DB$1+1)
)</f>
        <v>0</v>
      </c>
      <c r="CZ188" s="1">
        <f t="shared" si="240"/>
        <v>0</v>
      </c>
      <c r="DA188" s="9">
        <f t="shared" si="241"/>
        <v>0</v>
      </c>
      <c r="DB188" s="10">
        <f t="shared" si="242"/>
        <v>0</v>
      </c>
      <c r="DC188" s="1">
        <f>SUMIFS(
  '[1]Hoja 1'!$M:$M,
  '[1]Hoja 1'!$S:$S, $A188,
  '[1]Hoja 1'!$R:$R, "&gt;="&amp;INT($DE$1),
  '[1]Hoja 1'!$R:$R, "&lt;"&amp;INT($DF$1+1)
)</f>
        <v>0</v>
      </c>
      <c r="DD188" s="1">
        <f t="shared" si="243"/>
        <v>0</v>
      </c>
      <c r="DE188" s="9">
        <f t="shared" si="244"/>
        <v>0</v>
      </c>
      <c r="DF188" s="10">
        <f t="shared" si="245"/>
        <v>0</v>
      </c>
      <c r="DG188" s="1">
        <f>SUMIFS(
  '[1]Hoja 1'!$M:$M,
  '[1]Hoja 1'!$S:$S, $A188,
  '[1]Hoja 1'!$R:$R, "&gt;="&amp;INT($DI$1),
  '[1]Hoja 1'!$R:$R, "&lt;"&amp;INT($DJ$1+1)
)</f>
        <v>0</v>
      </c>
      <c r="DH188" s="1">
        <f t="shared" si="246"/>
        <v>0</v>
      </c>
      <c r="DI188" s="9">
        <f t="shared" si="247"/>
        <v>0</v>
      </c>
      <c r="DJ188" s="10">
        <f t="shared" si="248"/>
        <v>0</v>
      </c>
      <c r="DK188" s="1">
        <f>SUMIFS(
  '[1]Hoja 1'!$M:$M,
  '[1]Hoja 1'!$S:$S, $A188,
  '[1]Hoja 1'!$R:$R, "&gt;="&amp;INT($DM$1),
  '[1]Hoja 1'!$R:$R, "&lt;"&amp;INT($DN$1+1)
)</f>
        <v>0</v>
      </c>
      <c r="DL188" s="1">
        <f t="shared" si="249"/>
        <v>0</v>
      </c>
      <c r="DM188" s="9">
        <f t="shared" si="250"/>
        <v>0</v>
      </c>
      <c r="DN188" s="10">
        <f t="shared" si="251"/>
        <v>0</v>
      </c>
      <c r="DO188" s="1">
        <f>SUMIFS(
  '[1]Hoja 1'!$M:$M,
  '[1]Hoja 1'!$S:$S, $A188,
  '[1]Hoja 1'!$R:$R, "&gt;="&amp;INT($DQ$1),
  '[1]Hoja 1'!$R:$R, "&lt;"&amp;INT($DR$1+1)
)</f>
        <v>0</v>
      </c>
      <c r="DP188" s="1">
        <f t="shared" si="252"/>
        <v>0</v>
      </c>
      <c r="DQ188" s="9">
        <f t="shared" si="253"/>
        <v>0</v>
      </c>
      <c r="DR188" s="10">
        <f t="shared" si="254"/>
        <v>0</v>
      </c>
    </row>
    <row r="189" spans="1:122" x14ac:dyDescent="0.25">
      <c r="A189" s="5">
        <v>232001</v>
      </c>
      <c r="B189" s="6" t="s">
        <v>185</v>
      </c>
      <c r="C189" s="1">
        <f>SUMIFS(
  '[1]Hoja 1'!$M:$M,
  '[1]Hoja 1'!$S:$S, $A189,
  '[1]Hoja 1'!$R:$R, "&gt;="&amp;INT($E$1),
  '[1]Hoja 1'!$R:$R, "&lt;"&amp;INT($F$1+1)
)</f>
        <v>0</v>
      </c>
      <c r="D189" s="1" t="str">
        <f>""</f>
        <v/>
      </c>
      <c r="F189" s="2"/>
      <c r="G189" s="1">
        <f>SUMIFS(
  '[1]Hoja 1'!$M:$M,
  '[1]Hoja 1'!$S:$S, $A189,
  '[1]Hoja 1'!$R:$R, "&gt;="&amp;INT($I$1),
  '[1]Hoja 1'!$R:$R, "&lt;"&amp;INT($J$1+1)
)</f>
        <v>0</v>
      </c>
      <c r="H189" s="1">
        <f t="shared" si="170"/>
        <v>0</v>
      </c>
      <c r="I189" s="1"/>
      <c r="J189" s="2"/>
      <c r="K189" s="1">
        <f>SUMIFS(
  '[1]Hoja 1'!$M:$M,
  '[1]Hoja 1'!$S:$S, $A189,
  '[1]Hoja 1'!$R:$R, "&gt;="&amp;INT($M$1),
  '[1]Hoja 1'!$R:$R, "&lt;"&amp;INT($N$1+1)
)</f>
        <v>0</v>
      </c>
      <c r="L189" s="1">
        <f t="shared" si="171"/>
        <v>0</v>
      </c>
      <c r="M189" s="9">
        <f t="shared" si="172"/>
        <v>0</v>
      </c>
      <c r="N189" s="10">
        <f t="shared" si="173"/>
        <v>0</v>
      </c>
      <c r="O189" s="1">
        <f>SUMIFS(
  '[1]Hoja 1'!$M:$M,
  '[1]Hoja 1'!$S:$S, $A189,
  '[1]Hoja 1'!$R:$R, "&gt;="&amp;INT($Q$1),
  '[1]Hoja 1'!$R:$R, "&lt;"&amp;INT($R$1+1)
)</f>
        <v>0</v>
      </c>
      <c r="P189" s="1">
        <f t="shared" si="174"/>
        <v>0</v>
      </c>
      <c r="Q189" s="9">
        <f t="shared" si="175"/>
        <v>0</v>
      </c>
      <c r="R189" s="10">
        <f t="shared" si="176"/>
        <v>0</v>
      </c>
      <c r="S189" s="1">
        <f>SUMIFS(
  '[1]Hoja 1'!$M:$M,
  '[1]Hoja 1'!$S:$S, $A189,
  '[1]Hoja 1'!$R:$R, "&gt;="&amp;INT($U$1),
  '[1]Hoja 1'!$R:$R, "&lt;"&amp;INT($V$1+1)
)</f>
        <v>0</v>
      </c>
      <c r="T189" s="1">
        <f t="shared" si="177"/>
        <v>0</v>
      </c>
      <c r="U189" s="9">
        <f t="shared" si="178"/>
        <v>0</v>
      </c>
      <c r="V189" s="10">
        <f t="shared" si="179"/>
        <v>0</v>
      </c>
      <c r="W189" s="1">
        <f>SUMIFS(
  '[1]Hoja 1'!$M:$M,
  '[1]Hoja 1'!$S:$S, $A189,
  '[1]Hoja 1'!$R:$R, "&gt;="&amp;INT($Y$1),
  '[1]Hoja 1'!$R:$R, "&lt;"&amp;INT($Z$1+1)
)</f>
        <v>0</v>
      </c>
      <c r="X189" s="1">
        <f t="shared" si="180"/>
        <v>0</v>
      </c>
      <c r="Y189" s="9">
        <f t="shared" si="181"/>
        <v>0</v>
      </c>
      <c r="Z189" s="10">
        <f t="shared" si="182"/>
        <v>0</v>
      </c>
      <c r="AA189" s="1">
        <f>SUMIFS(
  '[1]Hoja 1'!$M:$M,
  '[1]Hoja 1'!$S:$S, $A189,
  '[1]Hoja 1'!$R:$R, "&gt;="&amp;INT($AC$1),
  '[1]Hoja 1'!$R:$R, "&lt;"&amp;INT($AD$1+1)
)</f>
        <v>0</v>
      </c>
      <c r="AB189" s="1">
        <f t="shared" si="183"/>
        <v>0</v>
      </c>
      <c r="AC189" s="9">
        <f t="shared" si="184"/>
        <v>0</v>
      </c>
      <c r="AD189" s="10">
        <f t="shared" si="185"/>
        <v>0</v>
      </c>
      <c r="AE189" s="1">
        <f>SUMIFS(
  '[1]Hoja 1'!$M:$M,
  '[1]Hoja 1'!$S:$S, $A189,
  '[1]Hoja 1'!$R:$R, "&gt;="&amp;INT($AG$1),
  '[1]Hoja 1'!$R:$R, "&lt;"&amp;INT($AH$1+1)
)</f>
        <v>0</v>
      </c>
      <c r="AF189" s="1">
        <f t="shared" si="186"/>
        <v>0</v>
      </c>
      <c r="AG189" s="9">
        <f t="shared" si="187"/>
        <v>0</v>
      </c>
      <c r="AH189" s="10">
        <f t="shared" si="188"/>
        <v>0</v>
      </c>
      <c r="AI189" s="1">
        <f>SUMIFS(
  '[1]Hoja 1'!$M:$M,
  '[1]Hoja 1'!$S:$S, $A189,
  '[1]Hoja 1'!$R:$R, "&gt;="&amp;INT($AK$1),
  '[1]Hoja 1'!$R:$R, "&lt;"&amp;INT($AL$1+1)
)</f>
        <v>0</v>
      </c>
      <c r="AJ189" s="1">
        <f t="shared" si="189"/>
        <v>0</v>
      </c>
      <c r="AK189" s="9">
        <f t="shared" si="190"/>
        <v>0</v>
      </c>
      <c r="AL189" s="10">
        <f t="shared" si="191"/>
        <v>0</v>
      </c>
      <c r="AM189" s="1">
        <f>SUMIFS(
  '[1]Hoja 1'!$M:$M,
  '[1]Hoja 1'!$S:$S, $A189,
  '[1]Hoja 1'!$R:$R, "&gt;="&amp;INT($AO$1),
  '[1]Hoja 1'!$R:$R, "&lt;"&amp;INT($AP$1+1)
)</f>
        <v>0</v>
      </c>
      <c r="AN189" s="1">
        <f t="shared" si="192"/>
        <v>0</v>
      </c>
      <c r="AO189" s="9">
        <f t="shared" si="193"/>
        <v>0</v>
      </c>
      <c r="AP189" s="10">
        <f t="shared" si="194"/>
        <v>0</v>
      </c>
      <c r="AQ189" s="1">
        <f>SUMIFS(
  '[1]Hoja 1'!$M:$M,
  '[1]Hoja 1'!$S:$S, $A189,
  '[1]Hoja 1'!$R:$R, "&gt;="&amp;INT($AS$1),
  '[1]Hoja 1'!$R:$R, "&lt;"&amp;INT($AT$1+1)
)</f>
        <v>0</v>
      </c>
      <c r="AR189" s="1">
        <f t="shared" si="195"/>
        <v>0</v>
      </c>
      <c r="AS189" s="9">
        <f t="shared" si="196"/>
        <v>0</v>
      </c>
      <c r="AT189" s="10">
        <f t="shared" si="197"/>
        <v>0</v>
      </c>
      <c r="AU189" s="1">
        <f>SUMIFS(
  '[1]Hoja 1'!$M:$M,
  '[1]Hoja 1'!$S:$S, $A189,
  '[1]Hoja 1'!$R:$R, "&gt;="&amp;INT($AW$1),
  '[1]Hoja 1'!$R:$R, "&lt;"&amp;INT($AX$1+1)
)</f>
        <v>0</v>
      </c>
      <c r="AV189" s="1">
        <f t="shared" si="198"/>
        <v>0</v>
      </c>
      <c r="AW189" s="9">
        <f t="shared" si="199"/>
        <v>0</v>
      </c>
      <c r="AX189" s="10">
        <f t="shared" si="200"/>
        <v>0</v>
      </c>
      <c r="AY189" s="1">
        <f>SUMIFS(
  '[1]Hoja 1'!$M:$M,
  '[1]Hoja 1'!$S:$S, $A189,
  '[1]Hoja 1'!$R:$R, "&gt;="&amp;INT($BA$1),
  '[1]Hoja 1'!$R:$R, "&lt;"&amp;INT($BB$1+1)
)</f>
        <v>0</v>
      </c>
      <c r="AZ189" s="1">
        <f t="shared" si="201"/>
        <v>0</v>
      </c>
      <c r="BA189" s="9">
        <f t="shared" si="202"/>
        <v>0</v>
      </c>
      <c r="BB189" s="10">
        <f t="shared" si="203"/>
        <v>0</v>
      </c>
      <c r="BC189" s="1">
        <f>SUMIFS(
  '[1]Hoja 1'!$M:$M,
  '[1]Hoja 1'!$S:$S, $A189,
  '[1]Hoja 1'!$R:$R, "&gt;="&amp;INT($BE$1),
  '[1]Hoja 1'!$R:$R, "&lt;"&amp;INT($BF$1+1)
)</f>
        <v>0</v>
      </c>
      <c r="BD189" s="1">
        <f t="shared" si="204"/>
        <v>0</v>
      </c>
      <c r="BE189" s="9">
        <f t="shared" si="205"/>
        <v>0</v>
      </c>
      <c r="BF189" s="10">
        <f t="shared" si="206"/>
        <v>0</v>
      </c>
      <c r="BG189" s="1">
        <f>SUMIFS(
  '[1]Hoja 1'!$M:$M,
  '[1]Hoja 1'!$S:$S, $A189,
  '[1]Hoja 1'!$R:$R, "&gt;="&amp;INT($BI$1),
  '[1]Hoja 1'!$R:$R, "&lt;"&amp;INT($BJ$1+1)
)</f>
        <v>0</v>
      </c>
      <c r="BH189" s="1">
        <f t="shared" si="207"/>
        <v>0</v>
      </c>
      <c r="BI189" s="9">
        <f t="shared" si="208"/>
        <v>0</v>
      </c>
      <c r="BJ189" s="10">
        <f t="shared" si="209"/>
        <v>0</v>
      </c>
      <c r="BK189" s="1">
        <f>SUMIFS(
  '[1]Hoja 1'!$M:$M,
  '[1]Hoja 1'!$S:$S, $A189,
  '[1]Hoja 1'!$R:$R, "&gt;="&amp;INT($BM$1),
  '[1]Hoja 1'!$R:$R, "&lt;"&amp;INT($BN$1+1)
)</f>
        <v>0</v>
      </c>
      <c r="BL189" s="1">
        <f t="shared" si="210"/>
        <v>0</v>
      </c>
      <c r="BM189" s="9">
        <f t="shared" si="211"/>
        <v>0</v>
      </c>
      <c r="BN189" s="10">
        <f t="shared" si="212"/>
        <v>0</v>
      </c>
      <c r="BO189" s="1">
        <f>SUMIFS(
  '[1]Hoja 1'!$M:$M,
  '[1]Hoja 1'!$S:$S, $A189,
  '[1]Hoja 1'!$R:$R, "&gt;="&amp;INT($BQ$1),
  '[1]Hoja 1'!$R:$R, "&lt;"&amp;INT($BR$1+1)
)</f>
        <v>0</v>
      </c>
      <c r="BP189" s="1">
        <f t="shared" si="213"/>
        <v>0</v>
      </c>
      <c r="BQ189" s="9">
        <f t="shared" si="214"/>
        <v>0</v>
      </c>
      <c r="BR189" s="10">
        <f t="shared" si="215"/>
        <v>0</v>
      </c>
      <c r="BS189" s="1">
        <f>SUMIFS(
  '[1]Hoja 1'!$M:$M,
  '[1]Hoja 1'!$S:$S, $A189,
  '[1]Hoja 1'!$R:$R, "&gt;="&amp;INT($BU$1),
  '[1]Hoja 1'!$R:$R, "&lt;"&amp;INT($BV$1+1)
)</f>
        <v>0</v>
      </c>
      <c r="BT189" s="1">
        <f t="shared" si="216"/>
        <v>0</v>
      </c>
      <c r="BU189" s="9">
        <f t="shared" si="217"/>
        <v>0</v>
      </c>
      <c r="BV189" s="10">
        <f t="shared" si="218"/>
        <v>0</v>
      </c>
      <c r="BW189" s="1">
        <f>SUMIFS(
  '[1]Hoja 1'!$M:$M,
  '[1]Hoja 1'!$S:$S, $A189,
  '[1]Hoja 1'!$R:$R, "&gt;="&amp;INT($BY$1),
  '[1]Hoja 1'!$R:$R, "&lt;"&amp;INT($BZ$1+1)
)</f>
        <v>0</v>
      </c>
      <c r="BX189" s="1">
        <f t="shared" si="219"/>
        <v>0</v>
      </c>
      <c r="BY189" s="9">
        <f t="shared" si="220"/>
        <v>0</v>
      </c>
      <c r="BZ189" s="10">
        <f t="shared" si="221"/>
        <v>0</v>
      </c>
      <c r="CA189" s="1">
        <f>SUMIFS(
  '[1]Hoja 1'!$M:$M,
  '[1]Hoja 1'!$S:$S, $A189,
  '[1]Hoja 1'!$R:$R, "&gt;="&amp;INT($CC$1),
  '[1]Hoja 1'!$R:$R, "&lt;"&amp;INT($CD$1+1)
)</f>
        <v>0</v>
      </c>
      <c r="CB189" s="1">
        <f t="shared" si="222"/>
        <v>0</v>
      </c>
      <c r="CC189" s="9">
        <f t="shared" si="223"/>
        <v>0</v>
      </c>
      <c r="CD189" s="10">
        <f t="shared" si="224"/>
        <v>0</v>
      </c>
      <c r="CE189" s="1">
        <f>SUMIFS(
  '[1]Hoja 1'!$M:$M,
  '[1]Hoja 1'!$S:$S, $A189,
  '[1]Hoja 1'!$R:$R, "&gt;="&amp;INT($CG$1),
  '[1]Hoja 1'!$R:$R, "&lt;"&amp;INT($CH$1+1)
)</f>
        <v>0</v>
      </c>
      <c r="CF189" s="1">
        <f t="shared" si="225"/>
        <v>0</v>
      </c>
      <c r="CG189" s="9">
        <f t="shared" si="226"/>
        <v>0</v>
      </c>
      <c r="CH189" s="10">
        <f t="shared" si="227"/>
        <v>0</v>
      </c>
      <c r="CI189" s="1">
        <f>SUMIFS(
  '[1]Hoja 1'!$M:$M,
  '[1]Hoja 1'!$S:$S, $A189,
  '[1]Hoja 1'!$R:$R, "&gt;="&amp;INT($CK$1),
  '[1]Hoja 1'!$R:$R, "&lt;"&amp;INT($CL$1+1)
)</f>
        <v>0</v>
      </c>
      <c r="CJ189" s="1">
        <f t="shared" si="228"/>
        <v>0</v>
      </c>
      <c r="CK189" s="9">
        <f t="shared" si="229"/>
        <v>0</v>
      </c>
      <c r="CL189" s="10">
        <f t="shared" si="230"/>
        <v>0</v>
      </c>
      <c r="CM189" s="1">
        <f>SUMIFS(
  '[1]Hoja 1'!$M:$M,
  '[1]Hoja 1'!$S:$S, $A189,
  '[1]Hoja 1'!$R:$R, "&gt;="&amp;INT($CO$1),
  '[1]Hoja 1'!$R:$R, "&lt;"&amp;INT($CP$1+1)
)</f>
        <v>0</v>
      </c>
      <c r="CN189" s="1">
        <f t="shared" si="231"/>
        <v>0</v>
      </c>
      <c r="CO189" s="9">
        <f t="shared" si="232"/>
        <v>0</v>
      </c>
      <c r="CP189" s="10">
        <f t="shared" si="233"/>
        <v>0</v>
      </c>
      <c r="CQ189" s="1">
        <f>SUMIFS(
  '[1]Hoja 1'!$M:$M,
  '[1]Hoja 1'!$S:$S, $A189,
  '[1]Hoja 1'!$R:$R, "&gt;="&amp;INT($CS$1),
  '[1]Hoja 1'!$R:$R, "&lt;"&amp;INT($CT$1+1)
)</f>
        <v>0</v>
      </c>
      <c r="CR189" s="1">
        <f t="shared" si="234"/>
        <v>0</v>
      </c>
      <c r="CS189" s="9">
        <f t="shared" si="235"/>
        <v>0</v>
      </c>
      <c r="CT189" s="10">
        <f t="shared" si="236"/>
        <v>0</v>
      </c>
      <c r="CU189" s="1">
        <f>SUMIFS(
  '[1]Hoja 1'!$M:$M,
  '[1]Hoja 1'!$S:$S, $A189,
  '[1]Hoja 1'!$R:$R, "&gt;="&amp;INT($CW$1),
  '[1]Hoja 1'!$R:$R, "&lt;"&amp;INT($CX$1+1)
)</f>
        <v>0</v>
      </c>
      <c r="CV189" s="1">
        <f t="shared" si="237"/>
        <v>0</v>
      </c>
      <c r="CW189" s="9">
        <f t="shared" si="238"/>
        <v>0</v>
      </c>
      <c r="CX189" s="10">
        <f t="shared" si="239"/>
        <v>0</v>
      </c>
      <c r="CY189" s="1">
        <f>SUMIFS(
  '[1]Hoja 1'!$M:$M,
  '[1]Hoja 1'!$S:$S, $A189,
  '[1]Hoja 1'!$R:$R, "&gt;="&amp;INT($DA$1),
  '[1]Hoja 1'!$R:$R, "&lt;"&amp;INT($DB$1+1)
)</f>
        <v>0</v>
      </c>
      <c r="CZ189" s="1">
        <f t="shared" si="240"/>
        <v>0</v>
      </c>
      <c r="DA189" s="9">
        <f t="shared" si="241"/>
        <v>0</v>
      </c>
      <c r="DB189" s="10">
        <f t="shared" si="242"/>
        <v>0</v>
      </c>
      <c r="DC189" s="1">
        <f>SUMIFS(
  '[1]Hoja 1'!$M:$M,
  '[1]Hoja 1'!$S:$S, $A189,
  '[1]Hoja 1'!$R:$R, "&gt;="&amp;INT($DE$1),
  '[1]Hoja 1'!$R:$R, "&lt;"&amp;INT($DF$1+1)
)</f>
        <v>0</v>
      </c>
      <c r="DD189" s="1">
        <f t="shared" si="243"/>
        <v>0</v>
      </c>
      <c r="DE189" s="9">
        <f t="shared" si="244"/>
        <v>0</v>
      </c>
      <c r="DF189" s="10">
        <f t="shared" si="245"/>
        <v>0</v>
      </c>
      <c r="DG189" s="1">
        <f>SUMIFS(
  '[1]Hoja 1'!$M:$M,
  '[1]Hoja 1'!$S:$S, $A189,
  '[1]Hoja 1'!$R:$R, "&gt;="&amp;INT($DI$1),
  '[1]Hoja 1'!$R:$R, "&lt;"&amp;INT($DJ$1+1)
)</f>
        <v>0</v>
      </c>
      <c r="DH189" s="1">
        <f t="shared" si="246"/>
        <v>0</v>
      </c>
      <c r="DI189" s="9">
        <f t="shared" si="247"/>
        <v>0</v>
      </c>
      <c r="DJ189" s="10">
        <f t="shared" si="248"/>
        <v>0</v>
      </c>
      <c r="DK189" s="1">
        <f>SUMIFS(
  '[1]Hoja 1'!$M:$M,
  '[1]Hoja 1'!$S:$S, $A189,
  '[1]Hoja 1'!$R:$R, "&gt;="&amp;INT($DM$1),
  '[1]Hoja 1'!$R:$R, "&lt;"&amp;INT($DN$1+1)
)</f>
        <v>0</v>
      </c>
      <c r="DL189" s="1">
        <f t="shared" si="249"/>
        <v>0</v>
      </c>
      <c r="DM189" s="9">
        <f t="shared" si="250"/>
        <v>0</v>
      </c>
      <c r="DN189" s="10">
        <f t="shared" si="251"/>
        <v>0</v>
      </c>
      <c r="DO189" s="1">
        <f>SUMIFS(
  '[1]Hoja 1'!$M:$M,
  '[1]Hoja 1'!$S:$S, $A189,
  '[1]Hoja 1'!$R:$R, "&gt;="&amp;INT($DQ$1),
  '[1]Hoja 1'!$R:$R, "&lt;"&amp;INT($DR$1+1)
)</f>
        <v>0</v>
      </c>
      <c r="DP189" s="1">
        <f t="shared" si="252"/>
        <v>0</v>
      </c>
      <c r="DQ189" s="9">
        <f t="shared" si="253"/>
        <v>0</v>
      </c>
      <c r="DR189" s="10">
        <f t="shared" si="254"/>
        <v>0</v>
      </c>
    </row>
    <row r="190" spans="1:122" x14ac:dyDescent="0.25">
      <c r="A190" s="5">
        <v>233001</v>
      </c>
      <c r="B190" s="6" t="s">
        <v>186</v>
      </c>
      <c r="C190" s="1">
        <f>SUMIFS(
  '[1]Hoja 1'!$M:$M,
  '[1]Hoja 1'!$S:$S, $A190,
  '[1]Hoja 1'!$R:$R, "&gt;="&amp;INT($E$1),
  '[1]Hoja 1'!$R:$R, "&lt;"&amp;INT($F$1+1)
)</f>
        <v>0</v>
      </c>
      <c r="D190" s="1" t="str">
        <f>""</f>
        <v/>
      </c>
      <c r="F190" s="2"/>
      <c r="G190" s="1">
        <f>SUMIFS(
  '[1]Hoja 1'!$M:$M,
  '[1]Hoja 1'!$S:$S, $A190,
  '[1]Hoja 1'!$R:$R, "&gt;="&amp;INT($I$1),
  '[1]Hoja 1'!$R:$R, "&lt;"&amp;INT($J$1+1)
)</f>
        <v>0</v>
      </c>
      <c r="H190" s="1">
        <f t="shared" si="170"/>
        <v>0</v>
      </c>
      <c r="I190" s="1"/>
      <c r="J190" s="2"/>
      <c r="K190" s="1">
        <f>SUMIFS(
  '[1]Hoja 1'!$M:$M,
  '[1]Hoja 1'!$S:$S, $A190,
  '[1]Hoja 1'!$R:$R, "&gt;="&amp;INT($M$1),
  '[1]Hoja 1'!$R:$R, "&lt;"&amp;INT($N$1+1)
)</f>
        <v>0</v>
      </c>
      <c r="L190" s="1">
        <f t="shared" si="171"/>
        <v>0</v>
      </c>
      <c r="M190" s="9">
        <f t="shared" si="172"/>
        <v>0</v>
      </c>
      <c r="N190" s="10">
        <f t="shared" si="173"/>
        <v>0</v>
      </c>
      <c r="O190" s="1">
        <f>SUMIFS(
  '[1]Hoja 1'!$M:$M,
  '[1]Hoja 1'!$S:$S, $A190,
  '[1]Hoja 1'!$R:$R, "&gt;="&amp;INT($Q$1),
  '[1]Hoja 1'!$R:$R, "&lt;"&amp;INT($R$1+1)
)</f>
        <v>0</v>
      </c>
      <c r="P190" s="1">
        <f t="shared" si="174"/>
        <v>0</v>
      </c>
      <c r="Q190" s="9">
        <f t="shared" si="175"/>
        <v>0</v>
      </c>
      <c r="R190" s="10">
        <f t="shared" si="176"/>
        <v>0</v>
      </c>
      <c r="S190" s="1">
        <f>SUMIFS(
  '[1]Hoja 1'!$M:$M,
  '[1]Hoja 1'!$S:$S, $A190,
  '[1]Hoja 1'!$R:$R, "&gt;="&amp;INT($U$1),
  '[1]Hoja 1'!$R:$R, "&lt;"&amp;INT($V$1+1)
)</f>
        <v>0</v>
      </c>
      <c r="T190" s="1">
        <f t="shared" si="177"/>
        <v>0</v>
      </c>
      <c r="U190" s="9">
        <f t="shared" si="178"/>
        <v>0</v>
      </c>
      <c r="V190" s="10">
        <f t="shared" si="179"/>
        <v>0</v>
      </c>
      <c r="W190" s="1">
        <f>SUMIFS(
  '[1]Hoja 1'!$M:$M,
  '[1]Hoja 1'!$S:$S, $A190,
  '[1]Hoja 1'!$R:$R, "&gt;="&amp;INT($Y$1),
  '[1]Hoja 1'!$R:$R, "&lt;"&amp;INT($Z$1+1)
)</f>
        <v>0</v>
      </c>
      <c r="X190" s="1">
        <f t="shared" si="180"/>
        <v>0</v>
      </c>
      <c r="Y190" s="9">
        <f t="shared" si="181"/>
        <v>0</v>
      </c>
      <c r="Z190" s="10">
        <f t="shared" si="182"/>
        <v>0</v>
      </c>
      <c r="AA190" s="1">
        <f>SUMIFS(
  '[1]Hoja 1'!$M:$M,
  '[1]Hoja 1'!$S:$S, $A190,
  '[1]Hoja 1'!$R:$R, "&gt;="&amp;INT($AC$1),
  '[1]Hoja 1'!$R:$R, "&lt;"&amp;INT($AD$1+1)
)</f>
        <v>0</v>
      </c>
      <c r="AB190" s="1">
        <f t="shared" si="183"/>
        <v>0</v>
      </c>
      <c r="AC190" s="9">
        <f t="shared" si="184"/>
        <v>0</v>
      </c>
      <c r="AD190" s="10">
        <f t="shared" si="185"/>
        <v>0</v>
      </c>
      <c r="AE190" s="1">
        <f>SUMIFS(
  '[1]Hoja 1'!$M:$M,
  '[1]Hoja 1'!$S:$S, $A190,
  '[1]Hoja 1'!$R:$R, "&gt;="&amp;INT($AG$1),
  '[1]Hoja 1'!$R:$R, "&lt;"&amp;INT($AH$1+1)
)</f>
        <v>0</v>
      </c>
      <c r="AF190" s="1">
        <f t="shared" si="186"/>
        <v>0</v>
      </c>
      <c r="AG190" s="9">
        <f t="shared" si="187"/>
        <v>0</v>
      </c>
      <c r="AH190" s="10">
        <f t="shared" si="188"/>
        <v>0</v>
      </c>
      <c r="AI190" s="1">
        <f>SUMIFS(
  '[1]Hoja 1'!$M:$M,
  '[1]Hoja 1'!$S:$S, $A190,
  '[1]Hoja 1'!$R:$R, "&gt;="&amp;INT($AK$1),
  '[1]Hoja 1'!$R:$R, "&lt;"&amp;INT($AL$1+1)
)</f>
        <v>0</v>
      </c>
      <c r="AJ190" s="1">
        <f t="shared" si="189"/>
        <v>0</v>
      </c>
      <c r="AK190" s="9">
        <f t="shared" si="190"/>
        <v>0</v>
      </c>
      <c r="AL190" s="10">
        <f t="shared" si="191"/>
        <v>0</v>
      </c>
      <c r="AM190" s="1">
        <f>SUMIFS(
  '[1]Hoja 1'!$M:$M,
  '[1]Hoja 1'!$S:$S, $A190,
  '[1]Hoja 1'!$R:$R, "&gt;="&amp;INT($AO$1),
  '[1]Hoja 1'!$R:$R, "&lt;"&amp;INT($AP$1+1)
)</f>
        <v>0</v>
      </c>
      <c r="AN190" s="1">
        <f t="shared" si="192"/>
        <v>0</v>
      </c>
      <c r="AO190" s="9">
        <f t="shared" si="193"/>
        <v>0</v>
      </c>
      <c r="AP190" s="10">
        <f t="shared" si="194"/>
        <v>0</v>
      </c>
      <c r="AQ190" s="1">
        <f>SUMIFS(
  '[1]Hoja 1'!$M:$M,
  '[1]Hoja 1'!$S:$S, $A190,
  '[1]Hoja 1'!$R:$R, "&gt;="&amp;INT($AS$1),
  '[1]Hoja 1'!$R:$R, "&lt;"&amp;INT($AT$1+1)
)</f>
        <v>0</v>
      </c>
      <c r="AR190" s="1">
        <f t="shared" si="195"/>
        <v>0</v>
      </c>
      <c r="AS190" s="9">
        <f t="shared" si="196"/>
        <v>0</v>
      </c>
      <c r="AT190" s="10">
        <f t="shared" si="197"/>
        <v>0</v>
      </c>
      <c r="AU190" s="1">
        <f>SUMIFS(
  '[1]Hoja 1'!$M:$M,
  '[1]Hoja 1'!$S:$S, $A190,
  '[1]Hoja 1'!$R:$R, "&gt;="&amp;INT($AW$1),
  '[1]Hoja 1'!$R:$R, "&lt;"&amp;INT($AX$1+1)
)</f>
        <v>0</v>
      </c>
      <c r="AV190" s="1">
        <f t="shared" si="198"/>
        <v>0</v>
      </c>
      <c r="AW190" s="9">
        <f t="shared" si="199"/>
        <v>0</v>
      </c>
      <c r="AX190" s="10">
        <f t="shared" si="200"/>
        <v>0</v>
      </c>
      <c r="AY190" s="1">
        <f>SUMIFS(
  '[1]Hoja 1'!$M:$M,
  '[1]Hoja 1'!$S:$S, $A190,
  '[1]Hoja 1'!$R:$R, "&gt;="&amp;INT($BA$1),
  '[1]Hoja 1'!$R:$R, "&lt;"&amp;INT($BB$1+1)
)</f>
        <v>0</v>
      </c>
      <c r="AZ190" s="1">
        <f t="shared" si="201"/>
        <v>0</v>
      </c>
      <c r="BA190" s="9">
        <f t="shared" si="202"/>
        <v>0</v>
      </c>
      <c r="BB190" s="10">
        <f t="shared" si="203"/>
        <v>0</v>
      </c>
      <c r="BC190" s="1">
        <f>SUMIFS(
  '[1]Hoja 1'!$M:$M,
  '[1]Hoja 1'!$S:$S, $A190,
  '[1]Hoja 1'!$R:$R, "&gt;="&amp;INT($BE$1),
  '[1]Hoja 1'!$R:$R, "&lt;"&amp;INT($BF$1+1)
)</f>
        <v>0</v>
      </c>
      <c r="BD190" s="1">
        <f t="shared" si="204"/>
        <v>0</v>
      </c>
      <c r="BE190" s="9">
        <f t="shared" si="205"/>
        <v>0</v>
      </c>
      <c r="BF190" s="10">
        <f t="shared" si="206"/>
        <v>0</v>
      </c>
      <c r="BG190" s="1">
        <f>SUMIFS(
  '[1]Hoja 1'!$M:$M,
  '[1]Hoja 1'!$S:$S, $A190,
  '[1]Hoja 1'!$R:$R, "&gt;="&amp;INT($BI$1),
  '[1]Hoja 1'!$R:$R, "&lt;"&amp;INT($BJ$1+1)
)</f>
        <v>0</v>
      </c>
      <c r="BH190" s="1">
        <f t="shared" si="207"/>
        <v>0</v>
      </c>
      <c r="BI190" s="9">
        <f t="shared" si="208"/>
        <v>0</v>
      </c>
      <c r="BJ190" s="10">
        <f t="shared" si="209"/>
        <v>0</v>
      </c>
      <c r="BK190" s="1">
        <f>SUMIFS(
  '[1]Hoja 1'!$M:$M,
  '[1]Hoja 1'!$S:$S, $A190,
  '[1]Hoja 1'!$R:$R, "&gt;="&amp;INT($BM$1),
  '[1]Hoja 1'!$R:$R, "&lt;"&amp;INT($BN$1+1)
)</f>
        <v>0</v>
      </c>
      <c r="BL190" s="1">
        <f t="shared" si="210"/>
        <v>0</v>
      </c>
      <c r="BM190" s="9">
        <f t="shared" si="211"/>
        <v>0</v>
      </c>
      <c r="BN190" s="10">
        <f t="shared" si="212"/>
        <v>0</v>
      </c>
      <c r="BO190" s="1">
        <f>SUMIFS(
  '[1]Hoja 1'!$M:$M,
  '[1]Hoja 1'!$S:$S, $A190,
  '[1]Hoja 1'!$R:$R, "&gt;="&amp;INT($BQ$1),
  '[1]Hoja 1'!$R:$R, "&lt;"&amp;INT($BR$1+1)
)</f>
        <v>0</v>
      </c>
      <c r="BP190" s="1">
        <f t="shared" si="213"/>
        <v>0</v>
      </c>
      <c r="BQ190" s="9">
        <f t="shared" si="214"/>
        <v>0</v>
      </c>
      <c r="BR190" s="10">
        <f t="shared" si="215"/>
        <v>0</v>
      </c>
      <c r="BS190" s="1">
        <f>SUMIFS(
  '[1]Hoja 1'!$M:$M,
  '[1]Hoja 1'!$S:$S, $A190,
  '[1]Hoja 1'!$R:$R, "&gt;="&amp;INT($BU$1),
  '[1]Hoja 1'!$R:$R, "&lt;"&amp;INT($BV$1+1)
)</f>
        <v>0</v>
      </c>
      <c r="BT190" s="1">
        <f t="shared" si="216"/>
        <v>0</v>
      </c>
      <c r="BU190" s="9">
        <f t="shared" si="217"/>
        <v>0</v>
      </c>
      <c r="BV190" s="10">
        <f t="shared" si="218"/>
        <v>0</v>
      </c>
      <c r="BW190" s="1">
        <f>SUMIFS(
  '[1]Hoja 1'!$M:$M,
  '[1]Hoja 1'!$S:$S, $A190,
  '[1]Hoja 1'!$R:$R, "&gt;="&amp;INT($BY$1),
  '[1]Hoja 1'!$R:$R, "&lt;"&amp;INT($BZ$1+1)
)</f>
        <v>0</v>
      </c>
      <c r="BX190" s="1">
        <f t="shared" si="219"/>
        <v>0</v>
      </c>
      <c r="BY190" s="9">
        <f t="shared" si="220"/>
        <v>0</v>
      </c>
      <c r="BZ190" s="10">
        <f t="shared" si="221"/>
        <v>0</v>
      </c>
      <c r="CA190" s="1">
        <f>SUMIFS(
  '[1]Hoja 1'!$M:$M,
  '[1]Hoja 1'!$S:$S, $A190,
  '[1]Hoja 1'!$R:$R, "&gt;="&amp;INT($CC$1),
  '[1]Hoja 1'!$R:$R, "&lt;"&amp;INT($CD$1+1)
)</f>
        <v>0</v>
      </c>
      <c r="CB190" s="1">
        <f t="shared" si="222"/>
        <v>0</v>
      </c>
      <c r="CC190" s="9">
        <f t="shared" si="223"/>
        <v>0</v>
      </c>
      <c r="CD190" s="10">
        <f t="shared" si="224"/>
        <v>0</v>
      </c>
      <c r="CE190" s="1">
        <f>SUMIFS(
  '[1]Hoja 1'!$M:$M,
  '[1]Hoja 1'!$S:$S, $A190,
  '[1]Hoja 1'!$R:$R, "&gt;="&amp;INT($CG$1),
  '[1]Hoja 1'!$R:$R, "&lt;"&amp;INT($CH$1+1)
)</f>
        <v>0</v>
      </c>
      <c r="CF190" s="1">
        <f t="shared" si="225"/>
        <v>0</v>
      </c>
      <c r="CG190" s="9">
        <f t="shared" si="226"/>
        <v>0</v>
      </c>
      <c r="CH190" s="10">
        <f t="shared" si="227"/>
        <v>0</v>
      </c>
      <c r="CI190" s="1">
        <f>SUMIFS(
  '[1]Hoja 1'!$M:$M,
  '[1]Hoja 1'!$S:$S, $A190,
  '[1]Hoja 1'!$R:$R, "&gt;="&amp;INT($CK$1),
  '[1]Hoja 1'!$R:$R, "&lt;"&amp;INT($CL$1+1)
)</f>
        <v>0</v>
      </c>
      <c r="CJ190" s="1">
        <f t="shared" si="228"/>
        <v>0</v>
      </c>
      <c r="CK190" s="9">
        <f t="shared" si="229"/>
        <v>0</v>
      </c>
      <c r="CL190" s="10">
        <f t="shared" si="230"/>
        <v>0</v>
      </c>
      <c r="CM190" s="1">
        <f>SUMIFS(
  '[1]Hoja 1'!$M:$M,
  '[1]Hoja 1'!$S:$S, $A190,
  '[1]Hoja 1'!$R:$R, "&gt;="&amp;INT($CO$1),
  '[1]Hoja 1'!$R:$R, "&lt;"&amp;INT($CP$1+1)
)</f>
        <v>0</v>
      </c>
      <c r="CN190" s="1">
        <f t="shared" si="231"/>
        <v>0</v>
      </c>
      <c r="CO190" s="9">
        <f t="shared" si="232"/>
        <v>0</v>
      </c>
      <c r="CP190" s="10">
        <f t="shared" si="233"/>
        <v>0</v>
      </c>
      <c r="CQ190" s="1">
        <f>SUMIFS(
  '[1]Hoja 1'!$M:$M,
  '[1]Hoja 1'!$S:$S, $A190,
  '[1]Hoja 1'!$R:$R, "&gt;="&amp;INT($CS$1),
  '[1]Hoja 1'!$R:$R, "&lt;"&amp;INT($CT$1+1)
)</f>
        <v>0</v>
      </c>
      <c r="CR190" s="1">
        <f t="shared" si="234"/>
        <v>0</v>
      </c>
      <c r="CS190" s="9">
        <f t="shared" si="235"/>
        <v>0</v>
      </c>
      <c r="CT190" s="10">
        <f t="shared" si="236"/>
        <v>0</v>
      </c>
      <c r="CU190" s="1">
        <f>SUMIFS(
  '[1]Hoja 1'!$M:$M,
  '[1]Hoja 1'!$S:$S, $A190,
  '[1]Hoja 1'!$R:$R, "&gt;="&amp;INT($CW$1),
  '[1]Hoja 1'!$R:$R, "&lt;"&amp;INT($CX$1+1)
)</f>
        <v>0</v>
      </c>
      <c r="CV190" s="1">
        <f t="shared" si="237"/>
        <v>0</v>
      </c>
      <c r="CW190" s="9">
        <f t="shared" si="238"/>
        <v>0</v>
      </c>
      <c r="CX190" s="10">
        <f t="shared" si="239"/>
        <v>0</v>
      </c>
      <c r="CY190" s="1">
        <f>SUMIFS(
  '[1]Hoja 1'!$M:$M,
  '[1]Hoja 1'!$S:$S, $A190,
  '[1]Hoja 1'!$R:$R, "&gt;="&amp;INT($DA$1),
  '[1]Hoja 1'!$R:$R, "&lt;"&amp;INT($DB$1+1)
)</f>
        <v>0</v>
      </c>
      <c r="CZ190" s="1">
        <f t="shared" si="240"/>
        <v>0</v>
      </c>
      <c r="DA190" s="9">
        <f t="shared" si="241"/>
        <v>0</v>
      </c>
      <c r="DB190" s="10">
        <f t="shared" si="242"/>
        <v>0</v>
      </c>
      <c r="DC190" s="1">
        <f>SUMIFS(
  '[1]Hoja 1'!$M:$M,
  '[1]Hoja 1'!$S:$S, $A190,
  '[1]Hoja 1'!$R:$R, "&gt;="&amp;INT($DE$1),
  '[1]Hoja 1'!$R:$R, "&lt;"&amp;INT($DF$1+1)
)</f>
        <v>0</v>
      </c>
      <c r="DD190" s="1">
        <f t="shared" si="243"/>
        <v>0</v>
      </c>
      <c r="DE190" s="9">
        <f t="shared" si="244"/>
        <v>0</v>
      </c>
      <c r="DF190" s="10">
        <f t="shared" si="245"/>
        <v>0</v>
      </c>
      <c r="DG190" s="1">
        <f>SUMIFS(
  '[1]Hoja 1'!$M:$M,
  '[1]Hoja 1'!$S:$S, $A190,
  '[1]Hoja 1'!$R:$R, "&gt;="&amp;INT($DI$1),
  '[1]Hoja 1'!$R:$R, "&lt;"&amp;INT($DJ$1+1)
)</f>
        <v>0</v>
      </c>
      <c r="DH190" s="1">
        <f t="shared" si="246"/>
        <v>0</v>
      </c>
      <c r="DI190" s="9">
        <f t="shared" si="247"/>
        <v>0</v>
      </c>
      <c r="DJ190" s="10">
        <f t="shared" si="248"/>
        <v>0</v>
      </c>
      <c r="DK190" s="1">
        <f>SUMIFS(
  '[1]Hoja 1'!$M:$M,
  '[1]Hoja 1'!$S:$S, $A190,
  '[1]Hoja 1'!$R:$R, "&gt;="&amp;INT($DM$1),
  '[1]Hoja 1'!$R:$R, "&lt;"&amp;INT($DN$1+1)
)</f>
        <v>0</v>
      </c>
      <c r="DL190" s="1">
        <f t="shared" si="249"/>
        <v>0</v>
      </c>
      <c r="DM190" s="9">
        <f t="shared" si="250"/>
        <v>0</v>
      </c>
      <c r="DN190" s="10">
        <f t="shared" si="251"/>
        <v>0</v>
      </c>
      <c r="DO190" s="1">
        <f>SUMIFS(
  '[1]Hoja 1'!$M:$M,
  '[1]Hoja 1'!$S:$S, $A190,
  '[1]Hoja 1'!$R:$R, "&gt;="&amp;INT($DQ$1),
  '[1]Hoja 1'!$R:$R, "&lt;"&amp;INT($DR$1+1)
)</f>
        <v>0</v>
      </c>
      <c r="DP190" s="1">
        <f t="shared" si="252"/>
        <v>0</v>
      </c>
      <c r="DQ190" s="9">
        <f t="shared" si="253"/>
        <v>0</v>
      </c>
      <c r="DR190" s="10">
        <f t="shared" si="254"/>
        <v>0</v>
      </c>
    </row>
    <row r="191" spans="1:122" x14ac:dyDescent="0.25">
      <c r="A191" s="5">
        <v>233002</v>
      </c>
      <c r="B191" s="6" t="s">
        <v>187</v>
      </c>
      <c r="C191" s="1">
        <f>SUMIFS(
  '[1]Hoja 1'!$M:$M,
  '[1]Hoja 1'!$S:$S, $A191,
  '[1]Hoja 1'!$R:$R, "&gt;="&amp;INT($E$1),
  '[1]Hoja 1'!$R:$R, "&lt;"&amp;INT($F$1+1)
)</f>
        <v>0</v>
      </c>
      <c r="D191" s="1" t="str">
        <f>""</f>
        <v/>
      </c>
      <c r="F191" s="2"/>
      <c r="G191" s="1">
        <f>SUMIFS(
  '[1]Hoja 1'!$M:$M,
  '[1]Hoja 1'!$S:$S, $A191,
  '[1]Hoja 1'!$R:$R, "&gt;="&amp;INT($I$1),
  '[1]Hoja 1'!$R:$R, "&lt;"&amp;INT($J$1+1)
)</f>
        <v>0</v>
      </c>
      <c r="H191" s="1">
        <f t="shared" si="170"/>
        <v>0</v>
      </c>
      <c r="I191" s="1"/>
      <c r="J191" s="2"/>
      <c r="K191" s="1">
        <f>SUMIFS(
  '[1]Hoja 1'!$M:$M,
  '[1]Hoja 1'!$S:$S, $A191,
  '[1]Hoja 1'!$R:$R, "&gt;="&amp;INT($M$1),
  '[1]Hoja 1'!$R:$R, "&lt;"&amp;INT($N$1+1)
)</f>
        <v>0</v>
      </c>
      <c r="L191" s="1">
        <f t="shared" si="171"/>
        <v>0</v>
      </c>
      <c r="M191" s="9">
        <f t="shared" si="172"/>
        <v>0</v>
      </c>
      <c r="N191" s="10">
        <f t="shared" si="173"/>
        <v>0</v>
      </c>
      <c r="O191" s="1">
        <f>SUMIFS(
  '[1]Hoja 1'!$M:$M,
  '[1]Hoja 1'!$S:$S, $A191,
  '[1]Hoja 1'!$R:$R, "&gt;="&amp;INT($Q$1),
  '[1]Hoja 1'!$R:$R, "&lt;"&amp;INT($R$1+1)
)</f>
        <v>0</v>
      </c>
      <c r="P191" s="1">
        <f t="shared" si="174"/>
        <v>0</v>
      </c>
      <c r="Q191" s="9">
        <f t="shared" si="175"/>
        <v>0</v>
      </c>
      <c r="R191" s="10">
        <f t="shared" si="176"/>
        <v>0</v>
      </c>
      <c r="S191" s="1">
        <f>SUMIFS(
  '[1]Hoja 1'!$M:$M,
  '[1]Hoja 1'!$S:$S, $A191,
  '[1]Hoja 1'!$R:$R, "&gt;="&amp;INT($U$1),
  '[1]Hoja 1'!$R:$R, "&lt;"&amp;INT($V$1+1)
)</f>
        <v>0</v>
      </c>
      <c r="T191" s="1">
        <f t="shared" si="177"/>
        <v>0</v>
      </c>
      <c r="U191" s="9">
        <f t="shared" si="178"/>
        <v>0</v>
      </c>
      <c r="V191" s="10">
        <f t="shared" si="179"/>
        <v>0</v>
      </c>
      <c r="W191" s="1">
        <f>SUMIFS(
  '[1]Hoja 1'!$M:$M,
  '[1]Hoja 1'!$S:$S, $A191,
  '[1]Hoja 1'!$R:$R, "&gt;="&amp;INT($Y$1),
  '[1]Hoja 1'!$R:$R, "&lt;"&amp;INT($Z$1+1)
)</f>
        <v>0</v>
      </c>
      <c r="X191" s="1">
        <f t="shared" si="180"/>
        <v>0</v>
      </c>
      <c r="Y191" s="9">
        <f t="shared" si="181"/>
        <v>0</v>
      </c>
      <c r="Z191" s="10">
        <f t="shared" si="182"/>
        <v>0</v>
      </c>
      <c r="AA191" s="1">
        <f>SUMIFS(
  '[1]Hoja 1'!$M:$M,
  '[1]Hoja 1'!$S:$S, $A191,
  '[1]Hoja 1'!$R:$R, "&gt;="&amp;INT($AC$1),
  '[1]Hoja 1'!$R:$R, "&lt;"&amp;INT($AD$1+1)
)</f>
        <v>0</v>
      </c>
      <c r="AB191" s="1">
        <f t="shared" si="183"/>
        <v>0</v>
      </c>
      <c r="AC191" s="9">
        <f t="shared" si="184"/>
        <v>0</v>
      </c>
      <c r="AD191" s="10">
        <f t="shared" si="185"/>
        <v>0</v>
      </c>
      <c r="AE191" s="1">
        <f>SUMIFS(
  '[1]Hoja 1'!$M:$M,
  '[1]Hoja 1'!$S:$S, $A191,
  '[1]Hoja 1'!$R:$R, "&gt;="&amp;INT($AG$1),
  '[1]Hoja 1'!$R:$R, "&lt;"&amp;INT($AH$1+1)
)</f>
        <v>0</v>
      </c>
      <c r="AF191" s="1">
        <f t="shared" si="186"/>
        <v>0</v>
      </c>
      <c r="AG191" s="9">
        <f t="shared" si="187"/>
        <v>0</v>
      </c>
      <c r="AH191" s="10">
        <f t="shared" si="188"/>
        <v>0</v>
      </c>
      <c r="AI191" s="1">
        <f>SUMIFS(
  '[1]Hoja 1'!$M:$M,
  '[1]Hoja 1'!$S:$S, $A191,
  '[1]Hoja 1'!$R:$R, "&gt;="&amp;INT($AK$1),
  '[1]Hoja 1'!$R:$R, "&lt;"&amp;INT($AL$1+1)
)</f>
        <v>0</v>
      </c>
      <c r="AJ191" s="1">
        <f t="shared" si="189"/>
        <v>0</v>
      </c>
      <c r="AK191" s="9">
        <f t="shared" si="190"/>
        <v>0</v>
      </c>
      <c r="AL191" s="10">
        <f t="shared" si="191"/>
        <v>0</v>
      </c>
      <c r="AM191" s="1">
        <f>SUMIFS(
  '[1]Hoja 1'!$M:$M,
  '[1]Hoja 1'!$S:$S, $A191,
  '[1]Hoja 1'!$R:$R, "&gt;="&amp;INT($AO$1),
  '[1]Hoja 1'!$R:$R, "&lt;"&amp;INT($AP$1+1)
)</f>
        <v>0</v>
      </c>
      <c r="AN191" s="1">
        <f t="shared" si="192"/>
        <v>0</v>
      </c>
      <c r="AO191" s="9">
        <f t="shared" si="193"/>
        <v>0</v>
      </c>
      <c r="AP191" s="10">
        <f t="shared" si="194"/>
        <v>0</v>
      </c>
      <c r="AQ191" s="1">
        <f>SUMIFS(
  '[1]Hoja 1'!$M:$M,
  '[1]Hoja 1'!$S:$S, $A191,
  '[1]Hoja 1'!$R:$R, "&gt;="&amp;INT($AS$1),
  '[1]Hoja 1'!$R:$R, "&lt;"&amp;INT($AT$1+1)
)</f>
        <v>0</v>
      </c>
      <c r="AR191" s="1">
        <f t="shared" si="195"/>
        <v>0</v>
      </c>
      <c r="AS191" s="9">
        <f t="shared" si="196"/>
        <v>0</v>
      </c>
      <c r="AT191" s="10">
        <f t="shared" si="197"/>
        <v>0</v>
      </c>
      <c r="AU191" s="1">
        <f>SUMIFS(
  '[1]Hoja 1'!$M:$M,
  '[1]Hoja 1'!$S:$S, $A191,
  '[1]Hoja 1'!$R:$R, "&gt;="&amp;INT($AW$1),
  '[1]Hoja 1'!$R:$R, "&lt;"&amp;INT($AX$1+1)
)</f>
        <v>0</v>
      </c>
      <c r="AV191" s="1">
        <f t="shared" si="198"/>
        <v>0</v>
      </c>
      <c r="AW191" s="9">
        <f t="shared" si="199"/>
        <v>0</v>
      </c>
      <c r="AX191" s="10">
        <f t="shared" si="200"/>
        <v>0</v>
      </c>
      <c r="AY191" s="1">
        <f>SUMIFS(
  '[1]Hoja 1'!$M:$M,
  '[1]Hoja 1'!$S:$S, $A191,
  '[1]Hoja 1'!$R:$R, "&gt;="&amp;INT($BA$1),
  '[1]Hoja 1'!$R:$R, "&lt;"&amp;INT($BB$1+1)
)</f>
        <v>0</v>
      </c>
      <c r="AZ191" s="1">
        <f t="shared" si="201"/>
        <v>0</v>
      </c>
      <c r="BA191" s="9">
        <f t="shared" si="202"/>
        <v>0</v>
      </c>
      <c r="BB191" s="10">
        <f t="shared" si="203"/>
        <v>0</v>
      </c>
      <c r="BC191" s="1">
        <f>SUMIFS(
  '[1]Hoja 1'!$M:$M,
  '[1]Hoja 1'!$S:$S, $A191,
  '[1]Hoja 1'!$R:$R, "&gt;="&amp;INT($BE$1),
  '[1]Hoja 1'!$R:$R, "&lt;"&amp;INT($BF$1+1)
)</f>
        <v>0</v>
      </c>
      <c r="BD191" s="1">
        <f t="shared" si="204"/>
        <v>0</v>
      </c>
      <c r="BE191" s="9">
        <f t="shared" si="205"/>
        <v>0</v>
      </c>
      <c r="BF191" s="10">
        <f t="shared" si="206"/>
        <v>0</v>
      </c>
      <c r="BG191" s="1">
        <f>SUMIFS(
  '[1]Hoja 1'!$M:$M,
  '[1]Hoja 1'!$S:$S, $A191,
  '[1]Hoja 1'!$R:$R, "&gt;="&amp;INT($BI$1),
  '[1]Hoja 1'!$R:$R, "&lt;"&amp;INT($BJ$1+1)
)</f>
        <v>0</v>
      </c>
      <c r="BH191" s="1">
        <f t="shared" si="207"/>
        <v>0</v>
      </c>
      <c r="BI191" s="9">
        <f t="shared" si="208"/>
        <v>0</v>
      </c>
      <c r="BJ191" s="10">
        <f t="shared" si="209"/>
        <v>0</v>
      </c>
      <c r="BK191" s="1">
        <f>SUMIFS(
  '[1]Hoja 1'!$M:$M,
  '[1]Hoja 1'!$S:$S, $A191,
  '[1]Hoja 1'!$R:$R, "&gt;="&amp;INT($BM$1),
  '[1]Hoja 1'!$R:$R, "&lt;"&amp;INT($BN$1+1)
)</f>
        <v>0</v>
      </c>
      <c r="BL191" s="1">
        <f t="shared" si="210"/>
        <v>0</v>
      </c>
      <c r="BM191" s="9">
        <f t="shared" si="211"/>
        <v>0</v>
      </c>
      <c r="BN191" s="10">
        <f t="shared" si="212"/>
        <v>0</v>
      </c>
      <c r="BO191" s="1">
        <f>SUMIFS(
  '[1]Hoja 1'!$M:$M,
  '[1]Hoja 1'!$S:$S, $A191,
  '[1]Hoja 1'!$R:$R, "&gt;="&amp;INT($BQ$1),
  '[1]Hoja 1'!$R:$R, "&lt;"&amp;INT($BR$1+1)
)</f>
        <v>0</v>
      </c>
      <c r="BP191" s="1">
        <f t="shared" si="213"/>
        <v>0</v>
      </c>
      <c r="BQ191" s="9">
        <f t="shared" si="214"/>
        <v>0</v>
      </c>
      <c r="BR191" s="10">
        <f t="shared" si="215"/>
        <v>0</v>
      </c>
      <c r="BS191" s="1">
        <f>SUMIFS(
  '[1]Hoja 1'!$M:$M,
  '[1]Hoja 1'!$S:$S, $A191,
  '[1]Hoja 1'!$R:$R, "&gt;="&amp;INT($BU$1),
  '[1]Hoja 1'!$R:$R, "&lt;"&amp;INT($BV$1+1)
)</f>
        <v>0</v>
      </c>
      <c r="BT191" s="1">
        <f t="shared" si="216"/>
        <v>0</v>
      </c>
      <c r="BU191" s="9">
        <f t="shared" si="217"/>
        <v>0</v>
      </c>
      <c r="BV191" s="10">
        <f t="shared" si="218"/>
        <v>0</v>
      </c>
      <c r="BW191" s="1">
        <f>SUMIFS(
  '[1]Hoja 1'!$M:$M,
  '[1]Hoja 1'!$S:$S, $A191,
  '[1]Hoja 1'!$R:$R, "&gt;="&amp;INT($BY$1),
  '[1]Hoja 1'!$R:$R, "&lt;"&amp;INT($BZ$1+1)
)</f>
        <v>0</v>
      </c>
      <c r="BX191" s="1">
        <f t="shared" si="219"/>
        <v>0</v>
      </c>
      <c r="BY191" s="9">
        <f t="shared" si="220"/>
        <v>0</v>
      </c>
      <c r="BZ191" s="10">
        <f t="shared" si="221"/>
        <v>0</v>
      </c>
      <c r="CA191" s="1">
        <f>SUMIFS(
  '[1]Hoja 1'!$M:$M,
  '[1]Hoja 1'!$S:$S, $A191,
  '[1]Hoja 1'!$R:$R, "&gt;="&amp;INT($CC$1),
  '[1]Hoja 1'!$R:$R, "&lt;"&amp;INT($CD$1+1)
)</f>
        <v>0</v>
      </c>
      <c r="CB191" s="1">
        <f t="shared" si="222"/>
        <v>0</v>
      </c>
      <c r="CC191" s="9">
        <f t="shared" si="223"/>
        <v>0</v>
      </c>
      <c r="CD191" s="10">
        <f t="shared" si="224"/>
        <v>0</v>
      </c>
      <c r="CE191" s="1">
        <f>SUMIFS(
  '[1]Hoja 1'!$M:$M,
  '[1]Hoja 1'!$S:$S, $A191,
  '[1]Hoja 1'!$R:$R, "&gt;="&amp;INT($CG$1),
  '[1]Hoja 1'!$R:$R, "&lt;"&amp;INT($CH$1+1)
)</f>
        <v>0</v>
      </c>
      <c r="CF191" s="1">
        <f t="shared" si="225"/>
        <v>0</v>
      </c>
      <c r="CG191" s="9">
        <f t="shared" si="226"/>
        <v>0</v>
      </c>
      <c r="CH191" s="10">
        <f t="shared" si="227"/>
        <v>0</v>
      </c>
      <c r="CI191" s="1">
        <f>SUMIFS(
  '[1]Hoja 1'!$M:$M,
  '[1]Hoja 1'!$S:$S, $A191,
  '[1]Hoja 1'!$R:$R, "&gt;="&amp;INT($CK$1),
  '[1]Hoja 1'!$R:$R, "&lt;"&amp;INT($CL$1+1)
)</f>
        <v>0</v>
      </c>
      <c r="CJ191" s="1">
        <f t="shared" si="228"/>
        <v>0</v>
      </c>
      <c r="CK191" s="9">
        <f t="shared" si="229"/>
        <v>0</v>
      </c>
      <c r="CL191" s="10">
        <f t="shared" si="230"/>
        <v>0</v>
      </c>
      <c r="CM191" s="1">
        <f>SUMIFS(
  '[1]Hoja 1'!$M:$M,
  '[1]Hoja 1'!$S:$S, $A191,
  '[1]Hoja 1'!$R:$R, "&gt;="&amp;INT($CO$1),
  '[1]Hoja 1'!$R:$R, "&lt;"&amp;INT($CP$1+1)
)</f>
        <v>0</v>
      </c>
      <c r="CN191" s="1">
        <f t="shared" si="231"/>
        <v>0</v>
      </c>
      <c r="CO191" s="9">
        <f t="shared" si="232"/>
        <v>0</v>
      </c>
      <c r="CP191" s="10">
        <f t="shared" si="233"/>
        <v>0</v>
      </c>
      <c r="CQ191" s="1">
        <f>SUMIFS(
  '[1]Hoja 1'!$M:$M,
  '[1]Hoja 1'!$S:$S, $A191,
  '[1]Hoja 1'!$R:$R, "&gt;="&amp;INT($CS$1),
  '[1]Hoja 1'!$R:$R, "&lt;"&amp;INT($CT$1+1)
)</f>
        <v>0</v>
      </c>
      <c r="CR191" s="1">
        <f t="shared" si="234"/>
        <v>0</v>
      </c>
      <c r="CS191" s="9">
        <f t="shared" si="235"/>
        <v>0</v>
      </c>
      <c r="CT191" s="10">
        <f t="shared" si="236"/>
        <v>0</v>
      </c>
      <c r="CU191" s="1">
        <f>SUMIFS(
  '[1]Hoja 1'!$M:$M,
  '[1]Hoja 1'!$S:$S, $A191,
  '[1]Hoja 1'!$R:$R, "&gt;="&amp;INT($CW$1),
  '[1]Hoja 1'!$R:$R, "&lt;"&amp;INT($CX$1+1)
)</f>
        <v>0</v>
      </c>
      <c r="CV191" s="1">
        <f t="shared" si="237"/>
        <v>0</v>
      </c>
      <c r="CW191" s="9">
        <f t="shared" si="238"/>
        <v>0</v>
      </c>
      <c r="CX191" s="10">
        <f t="shared" si="239"/>
        <v>0</v>
      </c>
      <c r="CY191" s="1">
        <f>SUMIFS(
  '[1]Hoja 1'!$M:$M,
  '[1]Hoja 1'!$S:$S, $A191,
  '[1]Hoja 1'!$R:$R, "&gt;="&amp;INT($DA$1),
  '[1]Hoja 1'!$R:$R, "&lt;"&amp;INT($DB$1+1)
)</f>
        <v>0</v>
      </c>
      <c r="CZ191" s="1">
        <f t="shared" si="240"/>
        <v>0</v>
      </c>
      <c r="DA191" s="9">
        <f t="shared" si="241"/>
        <v>0</v>
      </c>
      <c r="DB191" s="10">
        <f t="shared" si="242"/>
        <v>0</v>
      </c>
      <c r="DC191" s="1">
        <f>SUMIFS(
  '[1]Hoja 1'!$M:$M,
  '[1]Hoja 1'!$S:$S, $A191,
  '[1]Hoja 1'!$R:$R, "&gt;="&amp;INT($DE$1),
  '[1]Hoja 1'!$R:$R, "&lt;"&amp;INT($DF$1+1)
)</f>
        <v>0</v>
      </c>
      <c r="DD191" s="1">
        <f t="shared" si="243"/>
        <v>0</v>
      </c>
      <c r="DE191" s="9">
        <f t="shared" si="244"/>
        <v>0</v>
      </c>
      <c r="DF191" s="10">
        <f t="shared" si="245"/>
        <v>0</v>
      </c>
      <c r="DG191" s="1">
        <f>SUMIFS(
  '[1]Hoja 1'!$M:$M,
  '[1]Hoja 1'!$S:$S, $A191,
  '[1]Hoja 1'!$R:$R, "&gt;="&amp;INT($DI$1),
  '[1]Hoja 1'!$R:$R, "&lt;"&amp;INT($DJ$1+1)
)</f>
        <v>0</v>
      </c>
      <c r="DH191" s="1">
        <f t="shared" si="246"/>
        <v>0</v>
      </c>
      <c r="DI191" s="9">
        <f t="shared" si="247"/>
        <v>0</v>
      </c>
      <c r="DJ191" s="10">
        <f t="shared" si="248"/>
        <v>0</v>
      </c>
      <c r="DK191" s="1">
        <f>SUMIFS(
  '[1]Hoja 1'!$M:$M,
  '[1]Hoja 1'!$S:$S, $A191,
  '[1]Hoja 1'!$R:$R, "&gt;="&amp;INT($DM$1),
  '[1]Hoja 1'!$R:$R, "&lt;"&amp;INT($DN$1+1)
)</f>
        <v>0</v>
      </c>
      <c r="DL191" s="1">
        <f t="shared" si="249"/>
        <v>0</v>
      </c>
      <c r="DM191" s="9">
        <f t="shared" si="250"/>
        <v>0</v>
      </c>
      <c r="DN191" s="10">
        <f t="shared" si="251"/>
        <v>0</v>
      </c>
      <c r="DO191" s="1">
        <f>SUMIFS(
  '[1]Hoja 1'!$M:$M,
  '[1]Hoja 1'!$S:$S, $A191,
  '[1]Hoja 1'!$R:$R, "&gt;="&amp;INT($DQ$1),
  '[1]Hoja 1'!$R:$R, "&lt;"&amp;INT($DR$1+1)
)</f>
        <v>0</v>
      </c>
      <c r="DP191" s="1">
        <f t="shared" si="252"/>
        <v>0</v>
      </c>
      <c r="DQ191" s="9">
        <f t="shared" si="253"/>
        <v>0</v>
      </c>
      <c r="DR191" s="10">
        <f t="shared" si="254"/>
        <v>0</v>
      </c>
    </row>
    <row r="192" spans="1:122" x14ac:dyDescent="0.25">
      <c r="A192" s="5">
        <v>233003</v>
      </c>
      <c r="B192" s="6" t="s">
        <v>188</v>
      </c>
      <c r="C192" s="1">
        <f>SUMIFS(
  '[1]Hoja 1'!$M:$M,
  '[1]Hoja 1'!$S:$S, $A192,
  '[1]Hoja 1'!$R:$R, "&gt;="&amp;INT($E$1),
  '[1]Hoja 1'!$R:$R, "&lt;"&amp;INT($F$1+1)
)</f>
        <v>0</v>
      </c>
      <c r="D192" s="1" t="str">
        <f>""</f>
        <v/>
      </c>
      <c r="F192" s="2"/>
      <c r="G192" s="1">
        <f>SUMIFS(
  '[1]Hoja 1'!$M:$M,
  '[1]Hoja 1'!$S:$S, $A192,
  '[1]Hoja 1'!$R:$R, "&gt;="&amp;INT($I$1),
  '[1]Hoja 1'!$R:$R, "&lt;"&amp;INT($J$1+1)
)</f>
        <v>0</v>
      </c>
      <c r="H192" s="1">
        <f t="shared" si="170"/>
        <v>0</v>
      </c>
      <c r="I192" s="1"/>
      <c r="J192" s="2"/>
      <c r="K192" s="1">
        <f>SUMIFS(
  '[1]Hoja 1'!$M:$M,
  '[1]Hoja 1'!$S:$S, $A192,
  '[1]Hoja 1'!$R:$R, "&gt;="&amp;INT($M$1),
  '[1]Hoja 1'!$R:$R, "&lt;"&amp;INT($N$1+1)
)</f>
        <v>0</v>
      </c>
      <c r="L192" s="1">
        <f t="shared" si="171"/>
        <v>0</v>
      </c>
      <c r="M192" s="9">
        <f t="shared" si="172"/>
        <v>0</v>
      </c>
      <c r="N192" s="10">
        <f t="shared" si="173"/>
        <v>0</v>
      </c>
      <c r="O192" s="1">
        <f>SUMIFS(
  '[1]Hoja 1'!$M:$M,
  '[1]Hoja 1'!$S:$S, $A192,
  '[1]Hoja 1'!$R:$R, "&gt;="&amp;INT($Q$1),
  '[1]Hoja 1'!$R:$R, "&lt;"&amp;INT($R$1+1)
)</f>
        <v>0</v>
      </c>
      <c r="P192" s="1">
        <f t="shared" si="174"/>
        <v>0</v>
      </c>
      <c r="Q192" s="9">
        <f t="shared" si="175"/>
        <v>0</v>
      </c>
      <c r="R192" s="10">
        <f t="shared" si="176"/>
        <v>0</v>
      </c>
      <c r="S192" s="1">
        <f>SUMIFS(
  '[1]Hoja 1'!$M:$M,
  '[1]Hoja 1'!$S:$S, $A192,
  '[1]Hoja 1'!$R:$R, "&gt;="&amp;INT($U$1),
  '[1]Hoja 1'!$R:$R, "&lt;"&amp;INT($V$1+1)
)</f>
        <v>0</v>
      </c>
      <c r="T192" s="1">
        <f t="shared" si="177"/>
        <v>0</v>
      </c>
      <c r="U192" s="9">
        <f t="shared" si="178"/>
        <v>0</v>
      </c>
      <c r="V192" s="10">
        <f t="shared" si="179"/>
        <v>0</v>
      </c>
      <c r="W192" s="1">
        <f>SUMIFS(
  '[1]Hoja 1'!$M:$M,
  '[1]Hoja 1'!$S:$S, $A192,
  '[1]Hoja 1'!$R:$R, "&gt;="&amp;INT($Y$1),
  '[1]Hoja 1'!$R:$R, "&lt;"&amp;INT($Z$1+1)
)</f>
        <v>0</v>
      </c>
      <c r="X192" s="1">
        <f t="shared" si="180"/>
        <v>0</v>
      </c>
      <c r="Y192" s="9">
        <f t="shared" si="181"/>
        <v>0</v>
      </c>
      <c r="Z192" s="10">
        <f t="shared" si="182"/>
        <v>0</v>
      </c>
      <c r="AA192" s="1">
        <f>SUMIFS(
  '[1]Hoja 1'!$M:$M,
  '[1]Hoja 1'!$S:$S, $A192,
  '[1]Hoja 1'!$R:$R, "&gt;="&amp;INT($AC$1),
  '[1]Hoja 1'!$R:$R, "&lt;"&amp;INT($AD$1+1)
)</f>
        <v>0</v>
      </c>
      <c r="AB192" s="1">
        <f t="shared" si="183"/>
        <v>0</v>
      </c>
      <c r="AC192" s="9">
        <f t="shared" si="184"/>
        <v>0</v>
      </c>
      <c r="AD192" s="10">
        <f t="shared" si="185"/>
        <v>0</v>
      </c>
      <c r="AE192" s="1">
        <f>SUMIFS(
  '[1]Hoja 1'!$M:$M,
  '[1]Hoja 1'!$S:$S, $A192,
  '[1]Hoja 1'!$R:$R, "&gt;="&amp;INT($AG$1),
  '[1]Hoja 1'!$R:$R, "&lt;"&amp;INT($AH$1+1)
)</f>
        <v>0</v>
      </c>
      <c r="AF192" s="1">
        <f t="shared" si="186"/>
        <v>0</v>
      </c>
      <c r="AG192" s="9">
        <f t="shared" si="187"/>
        <v>0</v>
      </c>
      <c r="AH192" s="10">
        <f t="shared" si="188"/>
        <v>0</v>
      </c>
      <c r="AI192" s="1">
        <f>SUMIFS(
  '[1]Hoja 1'!$M:$M,
  '[1]Hoja 1'!$S:$S, $A192,
  '[1]Hoja 1'!$R:$R, "&gt;="&amp;INT($AK$1),
  '[1]Hoja 1'!$R:$R, "&lt;"&amp;INT($AL$1+1)
)</f>
        <v>0</v>
      </c>
      <c r="AJ192" s="1">
        <f t="shared" si="189"/>
        <v>0</v>
      </c>
      <c r="AK192" s="9">
        <f t="shared" si="190"/>
        <v>0</v>
      </c>
      <c r="AL192" s="10">
        <f t="shared" si="191"/>
        <v>0</v>
      </c>
      <c r="AM192" s="1">
        <f>SUMIFS(
  '[1]Hoja 1'!$M:$M,
  '[1]Hoja 1'!$S:$S, $A192,
  '[1]Hoja 1'!$R:$R, "&gt;="&amp;INT($AO$1),
  '[1]Hoja 1'!$R:$R, "&lt;"&amp;INT($AP$1+1)
)</f>
        <v>0</v>
      </c>
      <c r="AN192" s="1">
        <f t="shared" si="192"/>
        <v>0</v>
      </c>
      <c r="AO192" s="9">
        <f t="shared" si="193"/>
        <v>0</v>
      </c>
      <c r="AP192" s="10">
        <f t="shared" si="194"/>
        <v>0</v>
      </c>
      <c r="AQ192" s="1">
        <f>SUMIFS(
  '[1]Hoja 1'!$M:$M,
  '[1]Hoja 1'!$S:$S, $A192,
  '[1]Hoja 1'!$R:$R, "&gt;="&amp;INT($AS$1),
  '[1]Hoja 1'!$R:$R, "&lt;"&amp;INT($AT$1+1)
)</f>
        <v>0</v>
      </c>
      <c r="AR192" s="1">
        <f t="shared" si="195"/>
        <v>0</v>
      </c>
      <c r="AS192" s="9">
        <f t="shared" si="196"/>
        <v>0</v>
      </c>
      <c r="AT192" s="10">
        <f t="shared" si="197"/>
        <v>0</v>
      </c>
      <c r="AU192" s="1">
        <f>SUMIFS(
  '[1]Hoja 1'!$M:$M,
  '[1]Hoja 1'!$S:$S, $A192,
  '[1]Hoja 1'!$R:$R, "&gt;="&amp;INT($AW$1),
  '[1]Hoja 1'!$R:$R, "&lt;"&amp;INT($AX$1+1)
)</f>
        <v>0</v>
      </c>
      <c r="AV192" s="1">
        <f t="shared" si="198"/>
        <v>0</v>
      </c>
      <c r="AW192" s="9">
        <f t="shared" si="199"/>
        <v>0</v>
      </c>
      <c r="AX192" s="10">
        <f t="shared" si="200"/>
        <v>0</v>
      </c>
      <c r="AY192" s="1">
        <f>SUMIFS(
  '[1]Hoja 1'!$M:$M,
  '[1]Hoja 1'!$S:$S, $A192,
  '[1]Hoja 1'!$R:$R, "&gt;="&amp;INT($BA$1),
  '[1]Hoja 1'!$R:$R, "&lt;"&amp;INT($BB$1+1)
)</f>
        <v>0</v>
      </c>
      <c r="AZ192" s="1">
        <f t="shared" si="201"/>
        <v>0</v>
      </c>
      <c r="BA192" s="9">
        <f t="shared" si="202"/>
        <v>0</v>
      </c>
      <c r="BB192" s="10">
        <f t="shared" si="203"/>
        <v>0</v>
      </c>
      <c r="BC192" s="1">
        <f>SUMIFS(
  '[1]Hoja 1'!$M:$M,
  '[1]Hoja 1'!$S:$S, $A192,
  '[1]Hoja 1'!$R:$R, "&gt;="&amp;INT($BE$1),
  '[1]Hoja 1'!$R:$R, "&lt;"&amp;INT($BF$1+1)
)</f>
        <v>0</v>
      </c>
      <c r="BD192" s="1">
        <f t="shared" si="204"/>
        <v>0</v>
      </c>
      <c r="BE192" s="9">
        <f t="shared" si="205"/>
        <v>0</v>
      </c>
      <c r="BF192" s="10">
        <f t="shared" si="206"/>
        <v>0</v>
      </c>
      <c r="BG192" s="1">
        <f>SUMIFS(
  '[1]Hoja 1'!$M:$M,
  '[1]Hoja 1'!$S:$S, $A192,
  '[1]Hoja 1'!$R:$R, "&gt;="&amp;INT($BI$1),
  '[1]Hoja 1'!$R:$R, "&lt;"&amp;INT($BJ$1+1)
)</f>
        <v>0</v>
      </c>
      <c r="BH192" s="1">
        <f t="shared" si="207"/>
        <v>0</v>
      </c>
      <c r="BI192" s="9">
        <f t="shared" si="208"/>
        <v>0</v>
      </c>
      <c r="BJ192" s="10">
        <f t="shared" si="209"/>
        <v>0</v>
      </c>
      <c r="BK192" s="1">
        <f>SUMIFS(
  '[1]Hoja 1'!$M:$M,
  '[1]Hoja 1'!$S:$S, $A192,
  '[1]Hoja 1'!$R:$R, "&gt;="&amp;INT($BM$1),
  '[1]Hoja 1'!$R:$R, "&lt;"&amp;INT($BN$1+1)
)</f>
        <v>0</v>
      </c>
      <c r="BL192" s="1">
        <f t="shared" si="210"/>
        <v>0</v>
      </c>
      <c r="BM192" s="9">
        <f t="shared" si="211"/>
        <v>0</v>
      </c>
      <c r="BN192" s="10">
        <f t="shared" si="212"/>
        <v>0</v>
      </c>
      <c r="BO192" s="1">
        <f>SUMIFS(
  '[1]Hoja 1'!$M:$M,
  '[1]Hoja 1'!$S:$S, $A192,
  '[1]Hoja 1'!$R:$R, "&gt;="&amp;INT($BQ$1),
  '[1]Hoja 1'!$R:$R, "&lt;"&amp;INT($BR$1+1)
)</f>
        <v>0</v>
      </c>
      <c r="BP192" s="1">
        <f t="shared" si="213"/>
        <v>0</v>
      </c>
      <c r="BQ192" s="9">
        <f t="shared" si="214"/>
        <v>0</v>
      </c>
      <c r="BR192" s="10">
        <f t="shared" si="215"/>
        <v>0</v>
      </c>
      <c r="BS192" s="1">
        <f>SUMIFS(
  '[1]Hoja 1'!$M:$M,
  '[1]Hoja 1'!$S:$S, $A192,
  '[1]Hoja 1'!$R:$R, "&gt;="&amp;INT($BU$1),
  '[1]Hoja 1'!$R:$R, "&lt;"&amp;INT($BV$1+1)
)</f>
        <v>0</v>
      </c>
      <c r="BT192" s="1">
        <f t="shared" si="216"/>
        <v>0</v>
      </c>
      <c r="BU192" s="9">
        <f t="shared" si="217"/>
        <v>0</v>
      </c>
      <c r="BV192" s="10">
        <f t="shared" si="218"/>
        <v>0</v>
      </c>
      <c r="BW192" s="1">
        <f>SUMIFS(
  '[1]Hoja 1'!$M:$M,
  '[1]Hoja 1'!$S:$S, $A192,
  '[1]Hoja 1'!$R:$R, "&gt;="&amp;INT($BY$1),
  '[1]Hoja 1'!$R:$R, "&lt;"&amp;INT($BZ$1+1)
)</f>
        <v>0</v>
      </c>
      <c r="BX192" s="1">
        <f t="shared" si="219"/>
        <v>0</v>
      </c>
      <c r="BY192" s="9">
        <f t="shared" si="220"/>
        <v>0</v>
      </c>
      <c r="BZ192" s="10">
        <f t="shared" si="221"/>
        <v>0</v>
      </c>
      <c r="CA192" s="1">
        <f>SUMIFS(
  '[1]Hoja 1'!$M:$M,
  '[1]Hoja 1'!$S:$S, $A192,
  '[1]Hoja 1'!$R:$R, "&gt;="&amp;INT($CC$1),
  '[1]Hoja 1'!$R:$R, "&lt;"&amp;INT($CD$1+1)
)</f>
        <v>0</v>
      </c>
      <c r="CB192" s="1">
        <f t="shared" si="222"/>
        <v>0</v>
      </c>
      <c r="CC192" s="9">
        <f t="shared" si="223"/>
        <v>0</v>
      </c>
      <c r="CD192" s="10">
        <f t="shared" si="224"/>
        <v>0</v>
      </c>
      <c r="CE192" s="1">
        <f>SUMIFS(
  '[1]Hoja 1'!$M:$M,
  '[1]Hoja 1'!$S:$S, $A192,
  '[1]Hoja 1'!$R:$R, "&gt;="&amp;INT($CG$1),
  '[1]Hoja 1'!$R:$R, "&lt;"&amp;INT($CH$1+1)
)</f>
        <v>0</v>
      </c>
      <c r="CF192" s="1">
        <f t="shared" si="225"/>
        <v>0</v>
      </c>
      <c r="CG192" s="9">
        <f t="shared" si="226"/>
        <v>0</v>
      </c>
      <c r="CH192" s="10">
        <f t="shared" si="227"/>
        <v>0</v>
      </c>
      <c r="CI192" s="1">
        <f>SUMIFS(
  '[1]Hoja 1'!$M:$M,
  '[1]Hoja 1'!$S:$S, $A192,
  '[1]Hoja 1'!$R:$R, "&gt;="&amp;INT($CK$1),
  '[1]Hoja 1'!$R:$R, "&lt;"&amp;INT($CL$1+1)
)</f>
        <v>0</v>
      </c>
      <c r="CJ192" s="1">
        <f t="shared" si="228"/>
        <v>0</v>
      </c>
      <c r="CK192" s="9">
        <f t="shared" si="229"/>
        <v>0</v>
      </c>
      <c r="CL192" s="10">
        <f t="shared" si="230"/>
        <v>0</v>
      </c>
      <c r="CM192" s="1">
        <f>SUMIFS(
  '[1]Hoja 1'!$M:$M,
  '[1]Hoja 1'!$S:$S, $A192,
  '[1]Hoja 1'!$R:$R, "&gt;="&amp;INT($CO$1),
  '[1]Hoja 1'!$R:$R, "&lt;"&amp;INT($CP$1+1)
)</f>
        <v>0</v>
      </c>
      <c r="CN192" s="1">
        <f t="shared" si="231"/>
        <v>0</v>
      </c>
      <c r="CO192" s="9">
        <f t="shared" si="232"/>
        <v>0</v>
      </c>
      <c r="CP192" s="10">
        <f t="shared" si="233"/>
        <v>0</v>
      </c>
      <c r="CQ192" s="1">
        <f>SUMIFS(
  '[1]Hoja 1'!$M:$M,
  '[1]Hoja 1'!$S:$S, $A192,
  '[1]Hoja 1'!$R:$R, "&gt;="&amp;INT($CS$1),
  '[1]Hoja 1'!$R:$R, "&lt;"&amp;INT($CT$1+1)
)</f>
        <v>0</v>
      </c>
      <c r="CR192" s="1">
        <f t="shared" si="234"/>
        <v>0</v>
      </c>
      <c r="CS192" s="9">
        <f t="shared" si="235"/>
        <v>0</v>
      </c>
      <c r="CT192" s="10">
        <f t="shared" si="236"/>
        <v>0</v>
      </c>
      <c r="CU192" s="1">
        <f>SUMIFS(
  '[1]Hoja 1'!$M:$M,
  '[1]Hoja 1'!$S:$S, $A192,
  '[1]Hoja 1'!$R:$R, "&gt;="&amp;INT($CW$1),
  '[1]Hoja 1'!$R:$R, "&lt;"&amp;INT($CX$1+1)
)</f>
        <v>0</v>
      </c>
      <c r="CV192" s="1">
        <f t="shared" si="237"/>
        <v>0</v>
      </c>
      <c r="CW192" s="9">
        <f t="shared" si="238"/>
        <v>0</v>
      </c>
      <c r="CX192" s="10">
        <f t="shared" si="239"/>
        <v>0</v>
      </c>
      <c r="CY192" s="1">
        <f>SUMIFS(
  '[1]Hoja 1'!$M:$M,
  '[1]Hoja 1'!$S:$S, $A192,
  '[1]Hoja 1'!$R:$R, "&gt;="&amp;INT($DA$1),
  '[1]Hoja 1'!$R:$R, "&lt;"&amp;INT($DB$1+1)
)</f>
        <v>0</v>
      </c>
      <c r="CZ192" s="1">
        <f t="shared" si="240"/>
        <v>0</v>
      </c>
      <c r="DA192" s="9">
        <f t="shared" si="241"/>
        <v>0</v>
      </c>
      <c r="DB192" s="10">
        <f t="shared" si="242"/>
        <v>0</v>
      </c>
      <c r="DC192" s="1">
        <f>SUMIFS(
  '[1]Hoja 1'!$M:$M,
  '[1]Hoja 1'!$S:$S, $A192,
  '[1]Hoja 1'!$R:$R, "&gt;="&amp;INT($DE$1),
  '[1]Hoja 1'!$R:$R, "&lt;"&amp;INT($DF$1+1)
)</f>
        <v>0</v>
      </c>
      <c r="DD192" s="1">
        <f t="shared" si="243"/>
        <v>0</v>
      </c>
      <c r="DE192" s="9">
        <f t="shared" si="244"/>
        <v>0</v>
      </c>
      <c r="DF192" s="10">
        <f t="shared" si="245"/>
        <v>0</v>
      </c>
      <c r="DG192" s="1">
        <f>SUMIFS(
  '[1]Hoja 1'!$M:$M,
  '[1]Hoja 1'!$S:$S, $A192,
  '[1]Hoja 1'!$R:$R, "&gt;="&amp;INT($DI$1),
  '[1]Hoja 1'!$R:$R, "&lt;"&amp;INT($DJ$1+1)
)</f>
        <v>0</v>
      </c>
      <c r="DH192" s="1">
        <f t="shared" si="246"/>
        <v>0</v>
      </c>
      <c r="DI192" s="9">
        <f t="shared" si="247"/>
        <v>0</v>
      </c>
      <c r="DJ192" s="10">
        <f t="shared" si="248"/>
        <v>0</v>
      </c>
      <c r="DK192" s="1">
        <f>SUMIFS(
  '[1]Hoja 1'!$M:$M,
  '[1]Hoja 1'!$S:$S, $A192,
  '[1]Hoja 1'!$R:$R, "&gt;="&amp;INT($DM$1),
  '[1]Hoja 1'!$R:$R, "&lt;"&amp;INT($DN$1+1)
)</f>
        <v>0</v>
      </c>
      <c r="DL192" s="1">
        <f t="shared" si="249"/>
        <v>0</v>
      </c>
      <c r="DM192" s="9">
        <f t="shared" si="250"/>
        <v>0</v>
      </c>
      <c r="DN192" s="10">
        <f t="shared" si="251"/>
        <v>0</v>
      </c>
      <c r="DO192" s="1">
        <f>SUMIFS(
  '[1]Hoja 1'!$M:$M,
  '[1]Hoja 1'!$S:$S, $A192,
  '[1]Hoja 1'!$R:$R, "&gt;="&amp;INT($DQ$1),
  '[1]Hoja 1'!$R:$R, "&lt;"&amp;INT($DR$1+1)
)</f>
        <v>0</v>
      </c>
      <c r="DP192" s="1">
        <f t="shared" si="252"/>
        <v>0</v>
      </c>
      <c r="DQ192" s="9">
        <f t="shared" si="253"/>
        <v>0</v>
      </c>
      <c r="DR192" s="10">
        <f t="shared" si="254"/>
        <v>0</v>
      </c>
    </row>
    <row r="193" spans="1:122" x14ac:dyDescent="0.25">
      <c r="A193" s="5">
        <v>233004</v>
      </c>
      <c r="B193" s="6" t="s">
        <v>189</v>
      </c>
      <c r="C193" s="1">
        <f>SUMIFS(
  '[1]Hoja 1'!$M:$M,
  '[1]Hoja 1'!$S:$S, $A193,
  '[1]Hoja 1'!$R:$R, "&gt;="&amp;INT($E$1),
  '[1]Hoja 1'!$R:$R, "&lt;"&amp;INT($F$1+1)
)</f>
        <v>0</v>
      </c>
      <c r="D193" s="1" t="str">
        <f>""</f>
        <v/>
      </c>
      <c r="F193" s="2"/>
      <c r="G193" s="1">
        <f>SUMIFS(
  '[1]Hoja 1'!$M:$M,
  '[1]Hoja 1'!$S:$S, $A193,
  '[1]Hoja 1'!$R:$R, "&gt;="&amp;INT($I$1),
  '[1]Hoja 1'!$R:$R, "&lt;"&amp;INT($J$1+1)
)</f>
        <v>0</v>
      </c>
      <c r="H193" s="1">
        <f t="shared" si="170"/>
        <v>0</v>
      </c>
      <c r="I193" s="1"/>
      <c r="J193" s="2"/>
      <c r="K193" s="1">
        <f>SUMIFS(
  '[1]Hoja 1'!$M:$M,
  '[1]Hoja 1'!$S:$S, $A193,
  '[1]Hoja 1'!$R:$R, "&gt;="&amp;INT($M$1),
  '[1]Hoja 1'!$R:$R, "&lt;"&amp;INT($N$1+1)
)</f>
        <v>0</v>
      </c>
      <c r="L193" s="1">
        <f t="shared" si="171"/>
        <v>0</v>
      </c>
      <c r="M193" s="9">
        <f t="shared" si="172"/>
        <v>0</v>
      </c>
      <c r="N193" s="10">
        <f t="shared" si="173"/>
        <v>0</v>
      </c>
      <c r="O193" s="1">
        <f>SUMIFS(
  '[1]Hoja 1'!$M:$M,
  '[1]Hoja 1'!$S:$S, $A193,
  '[1]Hoja 1'!$R:$R, "&gt;="&amp;INT($Q$1),
  '[1]Hoja 1'!$R:$R, "&lt;"&amp;INT($R$1+1)
)</f>
        <v>0</v>
      </c>
      <c r="P193" s="1">
        <f t="shared" si="174"/>
        <v>0</v>
      </c>
      <c r="Q193" s="9">
        <f t="shared" si="175"/>
        <v>0</v>
      </c>
      <c r="R193" s="10">
        <f t="shared" si="176"/>
        <v>0</v>
      </c>
      <c r="S193" s="1">
        <f>SUMIFS(
  '[1]Hoja 1'!$M:$M,
  '[1]Hoja 1'!$S:$S, $A193,
  '[1]Hoja 1'!$R:$R, "&gt;="&amp;INT($U$1),
  '[1]Hoja 1'!$R:$R, "&lt;"&amp;INT($V$1+1)
)</f>
        <v>0</v>
      </c>
      <c r="T193" s="1">
        <f t="shared" si="177"/>
        <v>0</v>
      </c>
      <c r="U193" s="9">
        <f t="shared" si="178"/>
        <v>0</v>
      </c>
      <c r="V193" s="10">
        <f t="shared" si="179"/>
        <v>0</v>
      </c>
      <c r="W193" s="1">
        <f>SUMIFS(
  '[1]Hoja 1'!$M:$M,
  '[1]Hoja 1'!$S:$S, $A193,
  '[1]Hoja 1'!$R:$R, "&gt;="&amp;INT($Y$1),
  '[1]Hoja 1'!$R:$R, "&lt;"&amp;INT($Z$1+1)
)</f>
        <v>0</v>
      </c>
      <c r="X193" s="1">
        <f t="shared" si="180"/>
        <v>0</v>
      </c>
      <c r="Y193" s="9">
        <f t="shared" si="181"/>
        <v>0</v>
      </c>
      <c r="Z193" s="10">
        <f t="shared" si="182"/>
        <v>0</v>
      </c>
      <c r="AA193" s="1">
        <f>SUMIFS(
  '[1]Hoja 1'!$M:$M,
  '[1]Hoja 1'!$S:$S, $A193,
  '[1]Hoja 1'!$R:$R, "&gt;="&amp;INT($AC$1),
  '[1]Hoja 1'!$R:$R, "&lt;"&amp;INT($AD$1+1)
)</f>
        <v>0</v>
      </c>
      <c r="AB193" s="1">
        <f t="shared" si="183"/>
        <v>0</v>
      </c>
      <c r="AC193" s="9">
        <f t="shared" si="184"/>
        <v>0</v>
      </c>
      <c r="AD193" s="10">
        <f t="shared" si="185"/>
        <v>0</v>
      </c>
      <c r="AE193" s="1">
        <f>SUMIFS(
  '[1]Hoja 1'!$M:$M,
  '[1]Hoja 1'!$S:$S, $A193,
  '[1]Hoja 1'!$R:$R, "&gt;="&amp;INT($AG$1),
  '[1]Hoja 1'!$R:$R, "&lt;"&amp;INT($AH$1+1)
)</f>
        <v>0</v>
      </c>
      <c r="AF193" s="1">
        <f t="shared" si="186"/>
        <v>0</v>
      </c>
      <c r="AG193" s="9">
        <f t="shared" si="187"/>
        <v>0</v>
      </c>
      <c r="AH193" s="10">
        <f t="shared" si="188"/>
        <v>0</v>
      </c>
      <c r="AI193" s="1">
        <f>SUMIFS(
  '[1]Hoja 1'!$M:$M,
  '[1]Hoja 1'!$S:$S, $A193,
  '[1]Hoja 1'!$R:$R, "&gt;="&amp;INT($AK$1),
  '[1]Hoja 1'!$R:$R, "&lt;"&amp;INT($AL$1+1)
)</f>
        <v>0</v>
      </c>
      <c r="AJ193" s="1">
        <f t="shared" si="189"/>
        <v>0</v>
      </c>
      <c r="AK193" s="9">
        <f t="shared" si="190"/>
        <v>0</v>
      </c>
      <c r="AL193" s="10">
        <f t="shared" si="191"/>
        <v>0</v>
      </c>
      <c r="AM193" s="1">
        <f>SUMIFS(
  '[1]Hoja 1'!$M:$M,
  '[1]Hoja 1'!$S:$S, $A193,
  '[1]Hoja 1'!$R:$R, "&gt;="&amp;INT($AO$1),
  '[1]Hoja 1'!$R:$R, "&lt;"&amp;INT($AP$1+1)
)</f>
        <v>0</v>
      </c>
      <c r="AN193" s="1">
        <f t="shared" si="192"/>
        <v>0</v>
      </c>
      <c r="AO193" s="9">
        <f t="shared" si="193"/>
        <v>0</v>
      </c>
      <c r="AP193" s="10">
        <f t="shared" si="194"/>
        <v>0</v>
      </c>
      <c r="AQ193" s="1">
        <f>SUMIFS(
  '[1]Hoja 1'!$M:$M,
  '[1]Hoja 1'!$S:$S, $A193,
  '[1]Hoja 1'!$R:$R, "&gt;="&amp;INT($AS$1),
  '[1]Hoja 1'!$R:$R, "&lt;"&amp;INT($AT$1+1)
)</f>
        <v>0</v>
      </c>
      <c r="AR193" s="1">
        <f t="shared" si="195"/>
        <v>0</v>
      </c>
      <c r="AS193" s="9">
        <f t="shared" si="196"/>
        <v>0</v>
      </c>
      <c r="AT193" s="10">
        <f t="shared" si="197"/>
        <v>0</v>
      </c>
      <c r="AU193" s="1">
        <f>SUMIFS(
  '[1]Hoja 1'!$M:$M,
  '[1]Hoja 1'!$S:$S, $A193,
  '[1]Hoja 1'!$R:$R, "&gt;="&amp;INT($AW$1),
  '[1]Hoja 1'!$R:$R, "&lt;"&amp;INT($AX$1+1)
)</f>
        <v>0</v>
      </c>
      <c r="AV193" s="1">
        <f t="shared" si="198"/>
        <v>0</v>
      </c>
      <c r="AW193" s="9">
        <f t="shared" si="199"/>
        <v>0</v>
      </c>
      <c r="AX193" s="10">
        <f t="shared" si="200"/>
        <v>0</v>
      </c>
      <c r="AY193" s="1">
        <f>SUMIFS(
  '[1]Hoja 1'!$M:$M,
  '[1]Hoja 1'!$S:$S, $A193,
  '[1]Hoja 1'!$R:$R, "&gt;="&amp;INT($BA$1),
  '[1]Hoja 1'!$R:$R, "&lt;"&amp;INT($BB$1+1)
)</f>
        <v>0</v>
      </c>
      <c r="AZ193" s="1">
        <f t="shared" si="201"/>
        <v>0</v>
      </c>
      <c r="BA193" s="9">
        <f t="shared" si="202"/>
        <v>0</v>
      </c>
      <c r="BB193" s="10">
        <f t="shared" si="203"/>
        <v>0</v>
      </c>
      <c r="BC193" s="1">
        <f>SUMIFS(
  '[1]Hoja 1'!$M:$M,
  '[1]Hoja 1'!$S:$S, $A193,
  '[1]Hoja 1'!$R:$R, "&gt;="&amp;INT($BE$1),
  '[1]Hoja 1'!$R:$R, "&lt;"&amp;INT($BF$1+1)
)</f>
        <v>0</v>
      </c>
      <c r="BD193" s="1">
        <f t="shared" si="204"/>
        <v>0</v>
      </c>
      <c r="BE193" s="9">
        <f t="shared" si="205"/>
        <v>0</v>
      </c>
      <c r="BF193" s="10">
        <f t="shared" si="206"/>
        <v>0</v>
      </c>
      <c r="BG193" s="1">
        <f>SUMIFS(
  '[1]Hoja 1'!$M:$M,
  '[1]Hoja 1'!$S:$S, $A193,
  '[1]Hoja 1'!$R:$R, "&gt;="&amp;INT($BI$1),
  '[1]Hoja 1'!$R:$R, "&lt;"&amp;INT($BJ$1+1)
)</f>
        <v>0</v>
      </c>
      <c r="BH193" s="1">
        <f t="shared" si="207"/>
        <v>0</v>
      </c>
      <c r="BI193" s="9">
        <f t="shared" si="208"/>
        <v>0</v>
      </c>
      <c r="BJ193" s="10">
        <f t="shared" si="209"/>
        <v>0</v>
      </c>
      <c r="BK193" s="1">
        <f>SUMIFS(
  '[1]Hoja 1'!$M:$M,
  '[1]Hoja 1'!$S:$S, $A193,
  '[1]Hoja 1'!$R:$R, "&gt;="&amp;INT($BM$1),
  '[1]Hoja 1'!$R:$R, "&lt;"&amp;INT($BN$1+1)
)</f>
        <v>0</v>
      </c>
      <c r="BL193" s="1">
        <f t="shared" si="210"/>
        <v>0</v>
      </c>
      <c r="BM193" s="9">
        <f t="shared" si="211"/>
        <v>0</v>
      </c>
      <c r="BN193" s="10">
        <f t="shared" si="212"/>
        <v>0</v>
      </c>
      <c r="BO193" s="1">
        <f>SUMIFS(
  '[1]Hoja 1'!$M:$M,
  '[1]Hoja 1'!$S:$S, $A193,
  '[1]Hoja 1'!$R:$R, "&gt;="&amp;INT($BQ$1),
  '[1]Hoja 1'!$R:$R, "&lt;"&amp;INT($BR$1+1)
)</f>
        <v>0</v>
      </c>
      <c r="BP193" s="1">
        <f t="shared" si="213"/>
        <v>0</v>
      </c>
      <c r="BQ193" s="9">
        <f t="shared" si="214"/>
        <v>0</v>
      </c>
      <c r="BR193" s="10">
        <f t="shared" si="215"/>
        <v>0</v>
      </c>
      <c r="BS193" s="1">
        <f>SUMIFS(
  '[1]Hoja 1'!$M:$M,
  '[1]Hoja 1'!$S:$S, $A193,
  '[1]Hoja 1'!$R:$R, "&gt;="&amp;INT($BU$1),
  '[1]Hoja 1'!$R:$R, "&lt;"&amp;INT($BV$1+1)
)</f>
        <v>0</v>
      </c>
      <c r="BT193" s="1">
        <f t="shared" si="216"/>
        <v>0</v>
      </c>
      <c r="BU193" s="9">
        <f t="shared" si="217"/>
        <v>0</v>
      </c>
      <c r="BV193" s="10">
        <f t="shared" si="218"/>
        <v>0</v>
      </c>
      <c r="BW193" s="1">
        <f>SUMIFS(
  '[1]Hoja 1'!$M:$M,
  '[1]Hoja 1'!$S:$S, $A193,
  '[1]Hoja 1'!$R:$R, "&gt;="&amp;INT($BY$1),
  '[1]Hoja 1'!$R:$R, "&lt;"&amp;INT($BZ$1+1)
)</f>
        <v>0</v>
      </c>
      <c r="BX193" s="1">
        <f t="shared" si="219"/>
        <v>0</v>
      </c>
      <c r="BY193" s="9">
        <f t="shared" si="220"/>
        <v>0</v>
      </c>
      <c r="BZ193" s="10">
        <f t="shared" si="221"/>
        <v>0</v>
      </c>
      <c r="CA193" s="1">
        <f>SUMIFS(
  '[1]Hoja 1'!$M:$M,
  '[1]Hoja 1'!$S:$S, $A193,
  '[1]Hoja 1'!$R:$R, "&gt;="&amp;INT($CC$1),
  '[1]Hoja 1'!$R:$R, "&lt;"&amp;INT($CD$1+1)
)</f>
        <v>0</v>
      </c>
      <c r="CB193" s="1">
        <f t="shared" si="222"/>
        <v>0</v>
      </c>
      <c r="CC193" s="9">
        <f t="shared" si="223"/>
        <v>0</v>
      </c>
      <c r="CD193" s="10">
        <f t="shared" si="224"/>
        <v>0</v>
      </c>
      <c r="CE193" s="1">
        <f>SUMIFS(
  '[1]Hoja 1'!$M:$M,
  '[1]Hoja 1'!$S:$S, $A193,
  '[1]Hoja 1'!$R:$R, "&gt;="&amp;INT($CG$1),
  '[1]Hoja 1'!$R:$R, "&lt;"&amp;INT($CH$1+1)
)</f>
        <v>0</v>
      </c>
      <c r="CF193" s="1">
        <f t="shared" si="225"/>
        <v>0</v>
      </c>
      <c r="CG193" s="9">
        <f t="shared" si="226"/>
        <v>0</v>
      </c>
      <c r="CH193" s="10">
        <f t="shared" si="227"/>
        <v>0</v>
      </c>
      <c r="CI193" s="1">
        <f>SUMIFS(
  '[1]Hoja 1'!$M:$M,
  '[1]Hoja 1'!$S:$S, $A193,
  '[1]Hoja 1'!$R:$R, "&gt;="&amp;INT($CK$1),
  '[1]Hoja 1'!$R:$R, "&lt;"&amp;INT($CL$1+1)
)</f>
        <v>0</v>
      </c>
      <c r="CJ193" s="1">
        <f t="shared" si="228"/>
        <v>0</v>
      </c>
      <c r="CK193" s="9">
        <f t="shared" si="229"/>
        <v>0</v>
      </c>
      <c r="CL193" s="10">
        <f t="shared" si="230"/>
        <v>0</v>
      </c>
      <c r="CM193" s="1">
        <f>SUMIFS(
  '[1]Hoja 1'!$M:$M,
  '[1]Hoja 1'!$S:$S, $A193,
  '[1]Hoja 1'!$R:$R, "&gt;="&amp;INT($CO$1),
  '[1]Hoja 1'!$R:$R, "&lt;"&amp;INT($CP$1+1)
)</f>
        <v>0</v>
      </c>
      <c r="CN193" s="1">
        <f t="shared" si="231"/>
        <v>0</v>
      </c>
      <c r="CO193" s="9">
        <f t="shared" si="232"/>
        <v>0</v>
      </c>
      <c r="CP193" s="10">
        <f t="shared" si="233"/>
        <v>0</v>
      </c>
      <c r="CQ193" s="1">
        <f>SUMIFS(
  '[1]Hoja 1'!$M:$M,
  '[1]Hoja 1'!$S:$S, $A193,
  '[1]Hoja 1'!$R:$R, "&gt;="&amp;INT($CS$1),
  '[1]Hoja 1'!$R:$R, "&lt;"&amp;INT($CT$1+1)
)</f>
        <v>0</v>
      </c>
      <c r="CR193" s="1">
        <f t="shared" si="234"/>
        <v>0</v>
      </c>
      <c r="CS193" s="9">
        <f t="shared" si="235"/>
        <v>0</v>
      </c>
      <c r="CT193" s="10">
        <f t="shared" si="236"/>
        <v>0</v>
      </c>
      <c r="CU193" s="1">
        <f>SUMIFS(
  '[1]Hoja 1'!$M:$M,
  '[1]Hoja 1'!$S:$S, $A193,
  '[1]Hoja 1'!$R:$R, "&gt;="&amp;INT($CW$1),
  '[1]Hoja 1'!$R:$R, "&lt;"&amp;INT($CX$1+1)
)</f>
        <v>0</v>
      </c>
      <c r="CV193" s="1">
        <f t="shared" si="237"/>
        <v>0</v>
      </c>
      <c r="CW193" s="9">
        <f t="shared" si="238"/>
        <v>0</v>
      </c>
      <c r="CX193" s="10">
        <f t="shared" si="239"/>
        <v>0</v>
      </c>
      <c r="CY193" s="1">
        <f>SUMIFS(
  '[1]Hoja 1'!$M:$M,
  '[1]Hoja 1'!$S:$S, $A193,
  '[1]Hoja 1'!$R:$R, "&gt;="&amp;INT($DA$1),
  '[1]Hoja 1'!$R:$R, "&lt;"&amp;INT($DB$1+1)
)</f>
        <v>0</v>
      </c>
      <c r="CZ193" s="1">
        <f t="shared" si="240"/>
        <v>0</v>
      </c>
      <c r="DA193" s="9">
        <f t="shared" si="241"/>
        <v>0</v>
      </c>
      <c r="DB193" s="10">
        <f t="shared" si="242"/>
        <v>0</v>
      </c>
      <c r="DC193" s="1">
        <f>SUMIFS(
  '[1]Hoja 1'!$M:$M,
  '[1]Hoja 1'!$S:$S, $A193,
  '[1]Hoja 1'!$R:$R, "&gt;="&amp;INT($DE$1),
  '[1]Hoja 1'!$R:$R, "&lt;"&amp;INT($DF$1+1)
)</f>
        <v>0</v>
      </c>
      <c r="DD193" s="1">
        <f t="shared" si="243"/>
        <v>0</v>
      </c>
      <c r="DE193" s="9">
        <f t="shared" si="244"/>
        <v>0</v>
      </c>
      <c r="DF193" s="10">
        <f t="shared" si="245"/>
        <v>0</v>
      </c>
      <c r="DG193" s="1">
        <f>SUMIFS(
  '[1]Hoja 1'!$M:$M,
  '[1]Hoja 1'!$S:$S, $A193,
  '[1]Hoja 1'!$R:$R, "&gt;="&amp;INT($DI$1),
  '[1]Hoja 1'!$R:$R, "&lt;"&amp;INT($DJ$1+1)
)</f>
        <v>0</v>
      </c>
      <c r="DH193" s="1">
        <f t="shared" si="246"/>
        <v>0</v>
      </c>
      <c r="DI193" s="9">
        <f t="shared" si="247"/>
        <v>0</v>
      </c>
      <c r="DJ193" s="10">
        <f t="shared" si="248"/>
        <v>0</v>
      </c>
      <c r="DK193" s="1">
        <f>SUMIFS(
  '[1]Hoja 1'!$M:$M,
  '[1]Hoja 1'!$S:$S, $A193,
  '[1]Hoja 1'!$R:$R, "&gt;="&amp;INT($DM$1),
  '[1]Hoja 1'!$R:$R, "&lt;"&amp;INT($DN$1+1)
)</f>
        <v>0</v>
      </c>
      <c r="DL193" s="1">
        <f t="shared" si="249"/>
        <v>0</v>
      </c>
      <c r="DM193" s="9">
        <f t="shared" si="250"/>
        <v>0</v>
      </c>
      <c r="DN193" s="10">
        <f t="shared" si="251"/>
        <v>0</v>
      </c>
      <c r="DO193" s="1">
        <f>SUMIFS(
  '[1]Hoja 1'!$M:$M,
  '[1]Hoja 1'!$S:$S, $A193,
  '[1]Hoja 1'!$R:$R, "&gt;="&amp;INT($DQ$1),
  '[1]Hoja 1'!$R:$R, "&lt;"&amp;INT($DR$1+1)
)</f>
        <v>0</v>
      </c>
      <c r="DP193" s="1">
        <f t="shared" si="252"/>
        <v>0</v>
      </c>
      <c r="DQ193" s="9">
        <f t="shared" si="253"/>
        <v>0</v>
      </c>
      <c r="DR193" s="10">
        <f t="shared" si="254"/>
        <v>0</v>
      </c>
    </row>
    <row r="194" spans="1:122" x14ac:dyDescent="0.25">
      <c r="A194" s="5">
        <v>234001</v>
      </c>
      <c r="B194" s="6" t="s">
        <v>190</v>
      </c>
      <c r="C194" s="1">
        <f>SUMIFS(
  '[1]Hoja 1'!$M:$M,
  '[1]Hoja 1'!$S:$S, $A194,
  '[1]Hoja 1'!$R:$R, "&gt;="&amp;INT($E$1),
  '[1]Hoja 1'!$R:$R, "&lt;"&amp;INT($F$1+1)
)</f>
        <v>2</v>
      </c>
      <c r="D194" s="1" t="str">
        <f>""</f>
        <v/>
      </c>
      <c r="F194" s="2"/>
      <c r="G194" s="1">
        <f>SUMIFS(
  '[1]Hoja 1'!$M:$M,
  '[1]Hoja 1'!$S:$S, $A194,
  '[1]Hoja 1'!$R:$R, "&gt;="&amp;INT($I$1),
  '[1]Hoja 1'!$R:$R, "&lt;"&amp;INT($J$1+1)
)</f>
        <v>9</v>
      </c>
      <c r="H194" s="1">
        <f t="shared" si="170"/>
        <v>5.5</v>
      </c>
      <c r="I194" s="1"/>
      <c r="J194" s="2"/>
      <c r="K194" s="1">
        <f>SUMIFS(
  '[1]Hoja 1'!$M:$M,
  '[1]Hoja 1'!$S:$S, $A194,
  '[1]Hoja 1'!$R:$R, "&gt;="&amp;INT($M$1),
  '[1]Hoja 1'!$R:$R, "&lt;"&amp;INT($N$1+1)
)</f>
        <v>13</v>
      </c>
      <c r="L194" s="1">
        <f t="shared" si="171"/>
        <v>11</v>
      </c>
      <c r="M194" s="9">
        <f t="shared" si="172"/>
        <v>8.9211060633115515</v>
      </c>
      <c r="N194" s="10">
        <f t="shared" si="173"/>
        <v>13.078893936688448</v>
      </c>
      <c r="O194" s="1">
        <f>SUMIFS(
  '[1]Hoja 1'!$M:$M,
  '[1]Hoja 1'!$S:$S, $A194,
  '[1]Hoja 1'!$R:$R, "&gt;="&amp;INT($Q$1),
  '[1]Hoja 1'!$R:$R, "&lt;"&amp;INT($R$1+1)
)</f>
        <v>15</v>
      </c>
      <c r="P194" s="1">
        <f t="shared" si="174"/>
        <v>14</v>
      </c>
      <c r="Q194" s="9">
        <f t="shared" si="175"/>
        <v>8.5337207511448891</v>
      </c>
      <c r="R194" s="10">
        <f t="shared" si="176"/>
        <v>13.466279248855111</v>
      </c>
      <c r="S194" s="1">
        <f>SUMIFS(
  '[1]Hoja 1'!$M:$M,
  '[1]Hoja 1'!$S:$S, $A194,
  '[1]Hoja 1'!$R:$R, "&gt;="&amp;INT($U$1),
  '[1]Hoja 1'!$R:$R, "&lt;"&amp;INT($V$1+1)
)</f>
        <v>5</v>
      </c>
      <c r="T194" s="1">
        <f t="shared" si="177"/>
        <v>10</v>
      </c>
      <c r="U194" s="9">
        <f t="shared" si="178"/>
        <v>2.6936853795272864</v>
      </c>
      <c r="V194" s="10">
        <f t="shared" si="179"/>
        <v>17.306314620472712</v>
      </c>
      <c r="W194" s="1">
        <f>SUMIFS(
  '[1]Hoja 1'!$M:$M,
  '[1]Hoja 1'!$S:$S, $A194,
  '[1]Hoja 1'!$R:$R, "&gt;="&amp;INT($Y$1),
  '[1]Hoja 1'!$R:$R, "&lt;"&amp;INT($Z$1+1)
)</f>
        <v>15</v>
      </c>
      <c r="X194" s="1">
        <f t="shared" si="180"/>
        <v>10</v>
      </c>
      <c r="Y194" s="9">
        <f t="shared" si="181"/>
        <v>1.7812328580660388</v>
      </c>
      <c r="Z194" s="10">
        <f t="shared" si="182"/>
        <v>18.218767141933959</v>
      </c>
      <c r="AA194" s="1">
        <f>SUMIFS(
  '[1]Hoja 1'!$M:$M,
  '[1]Hoja 1'!$S:$S, $A194,
  '[1]Hoja 1'!$R:$R, "&gt;="&amp;INT($AC$1),
  '[1]Hoja 1'!$R:$R, "&lt;"&amp;INT($AD$1+1)
)</f>
        <v>7</v>
      </c>
      <c r="AB194" s="1">
        <f t="shared" si="183"/>
        <v>11</v>
      </c>
      <c r="AC194" s="9">
        <f t="shared" si="184"/>
        <v>3.0868413386309514</v>
      </c>
      <c r="AD194" s="10">
        <f t="shared" si="185"/>
        <v>20.105741778314016</v>
      </c>
      <c r="AE194" s="1">
        <f>SUMIFS(
  '[1]Hoja 1'!$M:$M,
  '[1]Hoja 1'!$S:$S, $A194,
  '[1]Hoja 1'!$R:$R, "&gt;="&amp;INT($AG$1),
  '[1]Hoja 1'!$R:$R, "&lt;"&amp;INT($AH$1+1)
)</f>
        <v>0</v>
      </c>
      <c r="AF194" s="1">
        <f t="shared" si="186"/>
        <v>4</v>
      </c>
      <c r="AG194" s="9">
        <f t="shared" si="187"/>
        <v>-4.0216457164350015</v>
      </c>
      <c r="AH194" s="10">
        <f t="shared" si="188"/>
        <v>13.066103536433573</v>
      </c>
      <c r="AI194" s="1">
        <f>SUMIFS(
  '[1]Hoja 1'!$M:$M,
  '[1]Hoja 1'!$S:$S, $A194,
  '[1]Hoja 1'!$R:$R, "&gt;="&amp;INT($AK$1),
  '[1]Hoja 1'!$R:$R, "&lt;"&amp;INT($AL$1+1)
)</f>
        <v>0</v>
      </c>
      <c r="AJ194" s="1">
        <f t="shared" si="189"/>
        <v>0</v>
      </c>
      <c r="AK194" s="9">
        <f t="shared" si="190"/>
        <v>-7.0668804999094181</v>
      </c>
      <c r="AL194" s="10">
        <f t="shared" si="191"/>
        <v>8.1355741448693504</v>
      </c>
      <c r="AM194" s="1">
        <f>SUMIFS(
  '[1]Hoja 1'!$M:$M,
  '[1]Hoja 1'!$S:$S, $A194,
  '[1]Hoja 1'!$R:$R, "&gt;="&amp;INT($AO$1),
  '[1]Hoja 1'!$R:$R, "&lt;"&amp;INT($AP$1+1)
)</f>
        <v>0</v>
      </c>
      <c r="AN194" s="1">
        <f t="shared" si="192"/>
        <v>0</v>
      </c>
      <c r="AO194" s="9">
        <f t="shared" si="193"/>
        <v>-4.0406435131053069</v>
      </c>
      <c r="AP194" s="10">
        <f t="shared" si="194"/>
        <v>4.26234286122863</v>
      </c>
      <c r="AQ194" s="1">
        <f>SUMIFS(
  '[1]Hoja 1'!$M:$M,
  '[1]Hoja 1'!$S:$S, $A194,
  '[1]Hoja 1'!$R:$R, "&gt;="&amp;INT($AS$1),
  '[1]Hoja 1'!$R:$R, "&lt;"&amp;INT($AT$1+1)
)</f>
        <v>0</v>
      </c>
      <c r="AR194" s="1">
        <f t="shared" si="195"/>
        <v>0</v>
      </c>
      <c r="AS194" s="9">
        <f t="shared" si="196"/>
        <v>-3.0678852651297115</v>
      </c>
      <c r="AT194" s="10">
        <f t="shared" si="197"/>
        <v>3.4299999999999997</v>
      </c>
      <c r="AU194" s="1">
        <f>SUMIFS(
  '[1]Hoja 1'!$M:$M,
  '[1]Hoja 1'!$S:$S, $A194,
  '[1]Hoja 1'!$R:$R, "&gt;="&amp;INT($AW$1),
  '[1]Hoja 1'!$R:$R, "&lt;"&amp;INT($AX$1+1)
)</f>
        <v>0</v>
      </c>
      <c r="AV194" s="1">
        <f t="shared" si="198"/>
        <v>0</v>
      </c>
      <c r="AW194" s="9">
        <f t="shared" si="199"/>
        <v>0</v>
      </c>
      <c r="AX194" s="10">
        <f t="shared" si="200"/>
        <v>0</v>
      </c>
      <c r="AY194" s="1">
        <f>SUMIFS(
  '[1]Hoja 1'!$M:$M,
  '[1]Hoja 1'!$S:$S, $A194,
  '[1]Hoja 1'!$R:$R, "&gt;="&amp;INT($BA$1),
  '[1]Hoja 1'!$R:$R, "&lt;"&amp;INT($BB$1+1)
)</f>
        <v>0</v>
      </c>
      <c r="AZ194" s="1">
        <f t="shared" si="201"/>
        <v>0</v>
      </c>
      <c r="BA194" s="9">
        <f t="shared" si="202"/>
        <v>0</v>
      </c>
      <c r="BB194" s="10">
        <f t="shared" si="203"/>
        <v>0</v>
      </c>
      <c r="BC194" s="1">
        <f>SUMIFS(
  '[1]Hoja 1'!$M:$M,
  '[1]Hoja 1'!$S:$S, $A194,
  '[1]Hoja 1'!$R:$R, "&gt;="&amp;INT($BE$1),
  '[1]Hoja 1'!$R:$R, "&lt;"&amp;INT($BF$1+1)
)</f>
        <v>0</v>
      </c>
      <c r="BD194" s="1">
        <f t="shared" si="204"/>
        <v>0</v>
      </c>
      <c r="BE194" s="9">
        <f t="shared" si="205"/>
        <v>0</v>
      </c>
      <c r="BF194" s="10">
        <f t="shared" si="206"/>
        <v>0</v>
      </c>
      <c r="BG194" s="1">
        <f>SUMIFS(
  '[1]Hoja 1'!$M:$M,
  '[1]Hoja 1'!$S:$S, $A194,
  '[1]Hoja 1'!$R:$R, "&gt;="&amp;INT($BI$1),
  '[1]Hoja 1'!$R:$R, "&lt;"&amp;INT($BJ$1+1)
)</f>
        <v>0</v>
      </c>
      <c r="BH194" s="1">
        <f t="shared" si="207"/>
        <v>0</v>
      </c>
      <c r="BI194" s="9">
        <f t="shared" si="208"/>
        <v>0</v>
      </c>
      <c r="BJ194" s="10">
        <f t="shared" si="209"/>
        <v>0</v>
      </c>
      <c r="BK194" s="1">
        <f>SUMIFS(
  '[1]Hoja 1'!$M:$M,
  '[1]Hoja 1'!$S:$S, $A194,
  '[1]Hoja 1'!$R:$R, "&gt;="&amp;INT($BM$1),
  '[1]Hoja 1'!$R:$R, "&lt;"&amp;INT($BN$1+1)
)</f>
        <v>0</v>
      </c>
      <c r="BL194" s="1">
        <f t="shared" si="210"/>
        <v>0</v>
      </c>
      <c r="BM194" s="9">
        <f t="shared" si="211"/>
        <v>0</v>
      </c>
      <c r="BN194" s="10">
        <f t="shared" si="212"/>
        <v>0</v>
      </c>
      <c r="BO194" s="1">
        <f>SUMIFS(
  '[1]Hoja 1'!$M:$M,
  '[1]Hoja 1'!$S:$S, $A194,
  '[1]Hoja 1'!$R:$R, "&gt;="&amp;INT($BQ$1),
  '[1]Hoja 1'!$R:$R, "&lt;"&amp;INT($BR$1+1)
)</f>
        <v>0</v>
      </c>
      <c r="BP194" s="1">
        <f t="shared" si="213"/>
        <v>0</v>
      </c>
      <c r="BQ194" s="9">
        <f t="shared" si="214"/>
        <v>0</v>
      </c>
      <c r="BR194" s="10">
        <f t="shared" si="215"/>
        <v>0</v>
      </c>
      <c r="BS194" s="1">
        <f>SUMIFS(
  '[1]Hoja 1'!$M:$M,
  '[1]Hoja 1'!$S:$S, $A194,
  '[1]Hoja 1'!$R:$R, "&gt;="&amp;INT($BU$1),
  '[1]Hoja 1'!$R:$R, "&lt;"&amp;INT($BV$1+1)
)</f>
        <v>0</v>
      </c>
      <c r="BT194" s="1">
        <f t="shared" si="216"/>
        <v>0</v>
      </c>
      <c r="BU194" s="9">
        <f t="shared" si="217"/>
        <v>0</v>
      </c>
      <c r="BV194" s="10">
        <f t="shared" si="218"/>
        <v>0</v>
      </c>
      <c r="BW194" s="1">
        <f>SUMIFS(
  '[1]Hoja 1'!$M:$M,
  '[1]Hoja 1'!$S:$S, $A194,
  '[1]Hoja 1'!$R:$R, "&gt;="&amp;INT($BY$1),
  '[1]Hoja 1'!$R:$R, "&lt;"&amp;INT($BZ$1+1)
)</f>
        <v>0</v>
      </c>
      <c r="BX194" s="1">
        <f t="shared" si="219"/>
        <v>0</v>
      </c>
      <c r="BY194" s="9">
        <f t="shared" si="220"/>
        <v>0</v>
      </c>
      <c r="BZ194" s="10">
        <f t="shared" si="221"/>
        <v>0</v>
      </c>
      <c r="CA194" s="1">
        <f>SUMIFS(
  '[1]Hoja 1'!$M:$M,
  '[1]Hoja 1'!$S:$S, $A194,
  '[1]Hoja 1'!$R:$R, "&gt;="&amp;INT($CC$1),
  '[1]Hoja 1'!$R:$R, "&lt;"&amp;INT($CD$1+1)
)</f>
        <v>0</v>
      </c>
      <c r="CB194" s="1">
        <f t="shared" si="222"/>
        <v>0</v>
      </c>
      <c r="CC194" s="9">
        <f t="shared" si="223"/>
        <v>0</v>
      </c>
      <c r="CD194" s="10">
        <f t="shared" si="224"/>
        <v>0</v>
      </c>
      <c r="CE194" s="1">
        <f>SUMIFS(
  '[1]Hoja 1'!$M:$M,
  '[1]Hoja 1'!$S:$S, $A194,
  '[1]Hoja 1'!$R:$R, "&gt;="&amp;INT($CG$1),
  '[1]Hoja 1'!$R:$R, "&lt;"&amp;INT($CH$1+1)
)</f>
        <v>0</v>
      </c>
      <c r="CF194" s="1">
        <f t="shared" si="225"/>
        <v>0</v>
      </c>
      <c r="CG194" s="9">
        <f t="shared" si="226"/>
        <v>0</v>
      </c>
      <c r="CH194" s="10">
        <f t="shared" si="227"/>
        <v>0</v>
      </c>
      <c r="CI194" s="1">
        <f>SUMIFS(
  '[1]Hoja 1'!$M:$M,
  '[1]Hoja 1'!$S:$S, $A194,
  '[1]Hoja 1'!$R:$R, "&gt;="&amp;INT($CK$1),
  '[1]Hoja 1'!$R:$R, "&lt;"&amp;INT($CL$1+1)
)</f>
        <v>0</v>
      </c>
      <c r="CJ194" s="1">
        <f t="shared" si="228"/>
        <v>0</v>
      </c>
      <c r="CK194" s="9">
        <f t="shared" si="229"/>
        <v>0</v>
      </c>
      <c r="CL194" s="10">
        <f t="shared" si="230"/>
        <v>0</v>
      </c>
      <c r="CM194" s="1">
        <f>SUMIFS(
  '[1]Hoja 1'!$M:$M,
  '[1]Hoja 1'!$S:$S, $A194,
  '[1]Hoja 1'!$R:$R, "&gt;="&amp;INT($CO$1),
  '[1]Hoja 1'!$R:$R, "&lt;"&amp;INT($CP$1+1)
)</f>
        <v>0</v>
      </c>
      <c r="CN194" s="1">
        <f t="shared" si="231"/>
        <v>0</v>
      </c>
      <c r="CO194" s="9">
        <f t="shared" si="232"/>
        <v>0</v>
      </c>
      <c r="CP194" s="10">
        <f t="shared" si="233"/>
        <v>0</v>
      </c>
      <c r="CQ194" s="1">
        <f>SUMIFS(
  '[1]Hoja 1'!$M:$M,
  '[1]Hoja 1'!$S:$S, $A194,
  '[1]Hoja 1'!$R:$R, "&gt;="&amp;INT($CS$1),
  '[1]Hoja 1'!$R:$R, "&lt;"&amp;INT($CT$1+1)
)</f>
        <v>0</v>
      </c>
      <c r="CR194" s="1">
        <f t="shared" si="234"/>
        <v>0</v>
      </c>
      <c r="CS194" s="9">
        <f t="shared" si="235"/>
        <v>0</v>
      </c>
      <c r="CT194" s="10">
        <f t="shared" si="236"/>
        <v>0</v>
      </c>
      <c r="CU194" s="1">
        <f>SUMIFS(
  '[1]Hoja 1'!$M:$M,
  '[1]Hoja 1'!$S:$S, $A194,
  '[1]Hoja 1'!$R:$R, "&gt;="&amp;INT($CW$1),
  '[1]Hoja 1'!$R:$R, "&lt;"&amp;INT($CX$1+1)
)</f>
        <v>0</v>
      </c>
      <c r="CV194" s="1">
        <f t="shared" si="237"/>
        <v>0</v>
      </c>
      <c r="CW194" s="9">
        <f t="shared" si="238"/>
        <v>0</v>
      </c>
      <c r="CX194" s="10">
        <f t="shared" si="239"/>
        <v>0</v>
      </c>
      <c r="CY194" s="1">
        <f>SUMIFS(
  '[1]Hoja 1'!$M:$M,
  '[1]Hoja 1'!$S:$S, $A194,
  '[1]Hoja 1'!$R:$R, "&gt;="&amp;INT($DA$1),
  '[1]Hoja 1'!$R:$R, "&lt;"&amp;INT($DB$1+1)
)</f>
        <v>0</v>
      </c>
      <c r="CZ194" s="1">
        <f t="shared" si="240"/>
        <v>0</v>
      </c>
      <c r="DA194" s="9">
        <f t="shared" si="241"/>
        <v>0</v>
      </c>
      <c r="DB194" s="10">
        <f t="shared" si="242"/>
        <v>0</v>
      </c>
      <c r="DC194" s="1">
        <f>SUMIFS(
  '[1]Hoja 1'!$M:$M,
  '[1]Hoja 1'!$S:$S, $A194,
  '[1]Hoja 1'!$R:$R, "&gt;="&amp;INT($DE$1),
  '[1]Hoja 1'!$R:$R, "&lt;"&amp;INT($DF$1+1)
)</f>
        <v>0</v>
      </c>
      <c r="DD194" s="1">
        <f t="shared" si="243"/>
        <v>0</v>
      </c>
      <c r="DE194" s="9">
        <f t="shared" si="244"/>
        <v>0</v>
      </c>
      <c r="DF194" s="10">
        <f t="shared" si="245"/>
        <v>0</v>
      </c>
      <c r="DG194" s="1">
        <f>SUMIFS(
  '[1]Hoja 1'!$M:$M,
  '[1]Hoja 1'!$S:$S, $A194,
  '[1]Hoja 1'!$R:$R, "&gt;="&amp;INT($DI$1),
  '[1]Hoja 1'!$R:$R, "&lt;"&amp;INT($DJ$1+1)
)</f>
        <v>0</v>
      </c>
      <c r="DH194" s="1">
        <f t="shared" si="246"/>
        <v>0</v>
      </c>
      <c r="DI194" s="9">
        <f t="shared" si="247"/>
        <v>0</v>
      </c>
      <c r="DJ194" s="10">
        <f t="shared" si="248"/>
        <v>0</v>
      </c>
      <c r="DK194" s="1">
        <f>SUMIFS(
  '[1]Hoja 1'!$M:$M,
  '[1]Hoja 1'!$S:$S, $A194,
  '[1]Hoja 1'!$R:$R, "&gt;="&amp;INT($DM$1),
  '[1]Hoja 1'!$R:$R, "&lt;"&amp;INT($DN$1+1)
)</f>
        <v>0</v>
      </c>
      <c r="DL194" s="1">
        <f t="shared" si="249"/>
        <v>0</v>
      </c>
      <c r="DM194" s="9">
        <f t="shared" si="250"/>
        <v>0</v>
      </c>
      <c r="DN194" s="10">
        <f t="shared" si="251"/>
        <v>0</v>
      </c>
      <c r="DO194" s="1">
        <f>SUMIFS(
  '[1]Hoja 1'!$M:$M,
  '[1]Hoja 1'!$S:$S, $A194,
  '[1]Hoja 1'!$R:$R, "&gt;="&amp;INT($DQ$1),
  '[1]Hoja 1'!$R:$R, "&lt;"&amp;INT($DR$1+1)
)</f>
        <v>0</v>
      </c>
      <c r="DP194" s="1">
        <f t="shared" si="252"/>
        <v>0</v>
      </c>
      <c r="DQ194" s="9">
        <f t="shared" si="253"/>
        <v>0</v>
      </c>
      <c r="DR194" s="10">
        <f t="shared" si="254"/>
        <v>0</v>
      </c>
    </row>
    <row r="195" spans="1:122" x14ac:dyDescent="0.25">
      <c r="A195" s="5">
        <v>234011</v>
      </c>
      <c r="B195" s="6" t="s">
        <v>191</v>
      </c>
      <c r="C195" s="1">
        <f>SUMIFS(
  '[1]Hoja 1'!$M:$M,
  '[1]Hoja 1'!$S:$S, $A195,
  '[1]Hoja 1'!$R:$R, "&gt;="&amp;INT($E$1),
  '[1]Hoja 1'!$R:$R, "&lt;"&amp;INT($F$1+1)
)</f>
        <v>3</v>
      </c>
      <c r="D195" s="1" t="str">
        <f>""</f>
        <v/>
      </c>
      <c r="F195" s="2"/>
      <c r="G195" s="1">
        <f>SUMIFS(
  '[1]Hoja 1'!$M:$M,
  '[1]Hoja 1'!$S:$S, $A195,
  '[1]Hoja 1'!$R:$R, "&gt;="&amp;INT($I$1),
  '[1]Hoja 1'!$R:$R, "&lt;"&amp;INT($J$1+1)
)</f>
        <v>6</v>
      </c>
      <c r="H195" s="1">
        <f t="shared" si="170"/>
        <v>4.5</v>
      </c>
      <c r="I195" s="1"/>
      <c r="J195" s="2"/>
      <c r="K195" s="1">
        <f>SUMIFS(
  '[1]Hoja 1'!$M:$M,
  '[1]Hoja 1'!$S:$S, $A195,
  '[1]Hoja 1'!$R:$R, "&gt;="&amp;INT($M$1),
  '[1]Hoja 1'!$R:$R, "&lt;"&amp;INT($N$1+1)
)</f>
        <v>1</v>
      </c>
      <c r="L195" s="1">
        <f t="shared" si="171"/>
        <v>3.5</v>
      </c>
      <c r="M195" s="9">
        <f t="shared" si="172"/>
        <v>-2.0437171645025325</v>
      </c>
      <c r="N195" s="10">
        <f t="shared" si="173"/>
        <v>9.0437171645025316</v>
      </c>
      <c r="O195" s="1">
        <f>SUMIFS(
  '[1]Hoja 1'!$M:$M,
  '[1]Hoja 1'!$S:$S, $A195,
  '[1]Hoja 1'!$R:$R, "&gt;="&amp;INT($Q$1),
  '[1]Hoja 1'!$R:$R, "&lt;"&amp;INT($R$1+1)
)</f>
        <v>2</v>
      </c>
      <c r="P195" s="1">
        <f t="shared" si="174"/>
        <v>1.5</v>
      </c>
      <c r="Q195" s="9">
        <f t="shared" si="175"/>
        <v>-0.58006535895361999</v>
      </c>
      <c r="R195" s="10">
        <f t="shared" si="176"/>
        <v>7.58006535895362</v>
      </c>
      <c r="S195" s="1">
        <f>SUMIFS(
  '[1]Hoja 1'!$M:$M,
  '[1]Hoja 1'!$S:$S, $A195,
  '[1]Hoja 1'!$R:$R, "&gt;="&amp;INT($U$1),
  '[1]Hoja 1'!$R:$R, "&lt;"&amp;INT($V$1+1)
)</f>
        <v>3</v>
      </c>
      <c r="T195" s="1">
        <f t="shared" si="177"/>
        <v>3</v>
      </c>
      <c r="U195" s="9">
        <f t="shared" si="178"/>
        <v>-0.39481958283499941</v>
      </c>
      <c r="V195" s="10">
        <f t="shared" si="179"/>
        <v>6.3948195828349998</v>
      </c>
      <c r="W195" s="1">
        <f>SUMIFS(
  '[1]Hoja 1'!$M:$M,
  '[1]Hoja 1'!$S:$S, $A195,
  '[1]Hoja 1'!$R:$R, "&gt;="&amp;INT($Y$1),
  '[1]Hoja 1'!$R:$R, "&lt;"&amp;INT($Z$1+1)
)</f>
        <v>4</v>
      </c>
      <c r="X195" s="1">
        <f t="shared" si="180"/>
        <v>4</v>
      </c>
      <c r="Y195" s="9">
        <f t="shared" si="181"/>
        <v>1.06</v>
      </c>
      <c r="Z195" s="10">
        <f t="shared" si="182"/>
        <v>6.9399999999999995</v>
      </c>
      <c r="AA195" s="1">
        <f>SUMIFS(
  '[1]Hoja 1'!$M:$M,
  '[1]Hoja 1'!$S:$S, $A195,
  '[1]Hoja 1'!$R:$R, "&gt;="&amp;INT($AC$1),
  '[1]Hoja 1'!$R:$R, "&lt;"&amp;INT($AD$1+1)
)</f>
        <v>8</v>
      </c>
      <c r="AB195" s="1">
        <f t="shared" si="183"/>
        <v>6</v>
      </c>
      <c r="AC195" s="9">
        <f t="shared" si="184"/>
        <v>4.513756412965896</v>
      </c>
      <c r="AD195" s="10">
        <f t="shared" si="185"/>
        <v>7.47</v>
      </c>
      <c r="AE195" s="1">
        <f>SUMIFS(
  '[1]Hoja 1'!$M:$M,
  '[1]Hoja 1'!$S:$S, $A195,
  '[1]Hoja 1'!$R:$R, "&gt;="&amp;INT($AG$1),
  '[1]Hoja 1'!$R:$R, "&lt;"&amp;INT($AH$1+1)
)</f>
        <v>0</v>
      </c>
      <c r="AF195" s="1">
        <f t="shared" si="186"/>
        <v>4</v>
      </c>
      <c r="AG195" s="9">
        <f t="shared" si="187"/>
        <v>-0.41544108781897293</v>
      </c>
      <c r="AH195" s="10">
        <f t="shared" si="188"/>
        <v>9.0922293742524989</v>
      </c>
      <c r="AI195" s="1">
        <f>SUMIFS(
  '[1]Hoja 1'!$M:$M,
  '[1]Hoja 1'!$S:$S, $A195,
  '[1]Hoja 1'!$R:$R, "&gt;="&amp;INT($AK$1),
  '[1]Hoja 1'!$R:$R, "&lt;"&amp;INT($AL$1+1)
)</f>
        <v>0</v>
      </c>
      <c r="AJ195" s="1">
        <f t="shared" si="189"/>
        <v>0</v>
      </c>
      <c r="AK195" s="9">
        <f t="shared" si="190"/>
        <v>-4.3607247104122502</v>
      </c>
      <c r="AL195" s="10">
        <f t="shared" si="191"/>
        <v>5.0210058753202027</v>
      </c>
      <c r="AM195" s="1">
        <f>SUMIFS(
  '[1]Hoja 1'!$M:$M,
  '[1]Hoja 1'!$S:$S, $A195,
  '[1]Hoja 1'!$R:$R, "&gt;="&amp;INT($AO$1),
  '[1]Hoja 1'!$R:$R, "&lt;"&amp;INT($AP$1+1)
)</f>
        <v>0</v>
      </c>
      <c r="AN195" s="1">
        <f t="shared" si="192"/>
        <v>0</v>
      </c>
      <c r="AO195" s="9">
        <f t="shared" si="193"/>
        <v>-4.2941448508405022</v>
      </c>
      <c r="AP195" s="10">
        <f t="shared" si="194"/>
        <v>4.9325584977102226</v>
      </c>
      <c r="AQ195" s="1">
        <f>SUMIFS(
  '[1]Hoja 1'!$M:$M,
  '[1]Hoja 1'!$S:$S, $A195,
  '[1]Hoja 1'!$R:$R, "&gt;="&amp;INT($AS$1),
  '[1]Hoja 1'!$R:$R, "&lt;"&amp;INT($AT$1+1)
)</f>
        <v>0</v>
      </c>
      <c r="AR195" s="1">
        <f t="shared" si="195"/>
        <v>0</v>
      </c>
      <c r="AS195" s="9">
        <f t="shared" si="196"/>
        <v>-3.5061545887196699</v>
      </c>
      <c r="AT195" s="10">
        <f t="shared" si="197"/>
        <v>3.92</v>
      </c>
      <c r="AU195" s="1">
        <f>SUMIFS(
  '[1]Hoja 1'!$M:$M,
  '[1]Hoja 1'!$S:$S, $A195,
  '[1]Hoja 1'!$R:$R, "&gt;="&amp;INT($AW$1),
  '[1]Hoja 1'!$R:$R, "&lt;"&amp;INT($AX$1+1)
)</f>
        <v>0</v>
      </c>
      <c r="AV195" s="1">
        <f t="shared" si="198"/>
        <v>0</v>
      </c>
      <c r="AW195" s="9">
        <f t="shared" si="199"/>
        <v>0</v>
      </c>
      <c r="AX195" s="10">
        <f t="shared" si="200"/>
        <v>0</v>
      </c>
      <c r="AY195" s="1">
        <f>SUMIFS(
  '[1]Hoja 1'!$M:$M,
  '[1]Hoja 1'!$S:$S, $A195,
  '[1]Hoja 1'!$R:$R, "&gt;="&amp;INT($BA$1),
  '[1]Hoja 1'!$R:$R, "&lt;"&amp;INT($BB$1+1)
)</f>
        <v>0</v>
      </c>
      <c r="AZ195" s="1">
        <f t="shared" si="201"/>
        <v>0</v>
      </c>
      <c r="BA195" s="9">
        <f t="shared" si="202"/>
        <v>0</v>
      </c>
      <c r="BB195" s="10">
        <f t="shared" si="203"/>
        <v>0</v>
      </c>
      <c r="BC195" s="1">
        <f>SUMIFS(
  '[1]Hoja 1'!$M:$M,
  '[1]Hoja 1'!$S:$S, $A195,
  '[1]Hoja 1'!$R:$R, "&gt;="&amp;INT($BE$1),
  '[1]Hoja 1'!$R:$R, "&lt;"&amp;INT($BF$1+1)
)</f>
        <v>0</v>
      </c>
      <c r="BD195" s="1">
        <f t="shared" si="204"/>
        <v>0</v>
      </c>
      <c r="BE195" s="9">
        <f t="shared" si="205"/>
        <v>0</v>
      </c>
      <c r="BF195" s="10">
        <f t="shared" si="206"/>
        <v>0</v>
      </c>
      <c r="BG195" s="1">
        <f>SUMIFS(
  '[1]Hoja 1'!$M:$M,
  '[1]Hoja 1'!$S:$S, $A195,
  '[1]Hoja 1'!$R:$R, "&gt;="&amp;INT($BI$1),
  '[1]Hoja 1'!$R:$R, "&lt;"&amp;INT($BJ$1+1)
)</f>
        <v>0</v>
      </c>
      <c r="BH195" s="1">
        <f t="shared" si="207"/>
        <v>0</v>
      </c>
      <c r="BI195" s="9">
        <f t="shared" si="208"/>
        <v>0</v>
      </c>
      <c r="BJ195" s="10">
        <f t="shared" si="209"/>
        <v>0</v>
      </c>
      <c r="BK195" s="1">
        <f>SUMIFS(
  '[1]Hoja 1'!$M:$M,
  '[1]Hoja 1'!$S:$S, $A195,
  '[1]Hoja 1'!$R:$R, "&gt;="&amp;INT($BM$1),
  '[1]Hoja 1'!$R:$R, "&lt;"&amp;INT($BN$1+1)
)</f>
        <v>0</v>
      </c>
      <c r="BL195" s="1">
        <f t="shared" si="210"/>
        <v>0</v>
      </c>
      <c r="BM195" s="9">
        <f t="shared" si="211"/>
        <v>0</v>
      </c>
      <c r="BN195" s="10">
        <f t="shared" si="212"/>
        <v>0</v>
      </c>
      <c r="BO195" s="1">
        <f>SUMIFS(
  '[1]Hoja 1'!$M:$M,
  '[1]Hoja 1'!$S:$S, $A195,
  '[1]Hoja 1'!$R:$R, "&gt;="&amp;INT($BQ$1),
  '[1]Hoja 1'!$R:$R, "&lt;"&amp;INT($BR$1+1)
)</f>
        <v>0</v>
      </c>
      <c r="BP195" s="1">
        <f t="shared" si="213"/>
        <v>0</v>
      </c>
      <c r="BQ195" s="9">
        <f t="shared" si="214"/>
        <v>0</v>
      </c>
      <c r="BR195" s="10">
        <f t="shared" si="215"/>
        <v>0</v>
      </c>
      <c r="BS195" s="1">
        <f>SUMIFS(
  '[1]Hoja 1'!$M:$M,
  '[1]Hoja 1'!$S:$S, $A195,
  '[1]Hoja 1'!$R:$R, "&gt;="&amp;INT($BU$1),
  '[1]Hoja 1'!$R:$R, "&lt;"&amp;INT($BV$1+1)
)</f>
        <v>0</v>
      </c>
      <c r="BT195" s="1">
        <f t="shared" si="216"/>
        <v>0</v>
      </c>
      <c r="BU195" s="9">
        <f t="shared" si="217"/>
        <v>0</v>
      </c>
      <c r="BV195" s="10">
        <f t="shared" si="218"/>
        <v>0</v>
      </c>
      <c r="BW195" s="1">
        <f>SUMIFS(
  '[1]Hoja 1'!$M:$M,
  '[1]Hoja 1'!$S:$S, $A195,
  '[1]Hoja 1'!$R:$R, "&gt;="&amp;INT($BY$1),
  '[1]Hoja 1'!$R:$R, "&lt;"&amp;INT($BZ$1+1)
)</f>
        <v>0</v>
      </c>
      <c r="BX195" s="1">
        <f t="shared" si="219"/>
        <v>0</v>
      </c>
      <c r="BY195" s="9">
        <f t="shared" si="220"/>
        <v>0</v>
      </c>
      <c r="BZ195" s="10">
        <f t="shared" si="221"/>
        <v>0</v>
      </c>
      <c r="CA195" s="1">
        <f>SUMIFS(
  '[1]Hoja 1'!$M:$M,
  '[1]Hoja 1'!$S:$S, $A195,
  '[1]Hoja 1'!$R:$R, "&gt;="&amp;INT($CC$1),
  '[1]Hoja 1'!$R:$R, "&lt;"&amp;INT($CD$1+1)
)</f>
        <v>0</v>
      </c>
      <c r="CB195" s="1">
        <f t="shared" si="222"/>
        <v>0</v>
      </c>
      <c r="CC195" s="9">
        <f t="shared" si="223"/>
        <v>0</v>
      </c>
      <c r="CD195" s="10">
        <f t="shared" si="224"/>
        <v>0</v>
      </c>
      <c r="CE195" s="1">
        <f>SUMIFS(
  '[1]Hoja 1'!$M:$M,
  '[1]Hoja 1'!$S:$S, $A195,
  '[1]Hoja 1'!$R:$R, "&gt;="&amp;INT($CG$1),
  '[1]Hoja 1'!$R:$R, "&lt;"&amp;INT($CH$1+1)
)</f>
        <v>0</v>
      </c>
      <c r="CF195" s="1">
        <f t="shared" si="225"/>
        <v>0</v>
      </c>
      <c r="CG195" s="9">
        <f t="shared" si="226"/>
        <v>0</v>
      </c>
      <c r="CH195" s="10">
        <f t="shared" si="227"/>
        <v>0</v>
      </c>
      <c r="CI195" s="1">
        <f>SUMIFS(
  '[1]Hoja 1'!$M:$M,
  '[1]Hoja 1'!$S:$S, $A195,
  '[1]Hoja 1'!$R:$R, "&gt;="&amp;INT($CK$1),
  '[1]Hoja 1'!$R:$R, "&lt;"&amp;INT($CL$1+1)
)</f>
        <v>0</v>
      </c>
      <c r="CJ195" s="1">
        <f t="shared" si="228"/>
        <v>0</v>
      </c>
      <c r="CK195" s="9">
        <f t="shared" si="229"/>
        <v>0</v>
      </c>
      <c r="CL195" s="10">
        <f t="shared" si="230"/>
        <v>0</v>
      </c>
      <c r="CM195" s="1">
        <f>SUMIFS(
  '[1]Hoja 1'!$M:$M,
  '[1]Hoja 1'!$S:$S, $A195,
  '[1]Hoja 1'!$R:$R, "&gt;="&amp;INT($CO$1),
  '[1]Hoja 1'!$R:$R, "&lt;"&amp;INT($CP$1+1)
)</f>
        <v>0</v>
      </c>
      <c r="CN195" s="1">
        <f t="shared" si="231"/>
        <v>0</v>
      </c>
      <c r="CO195" s="9">
        <f t="shared" si="232"/>
        <v>0</v>
      </c>
      <c r="CP195" s="10">
        <f t="shared" si="233"/>
        <v>0</v>
      </c>
      <c r="CQ195" s="1">
        <f>SUMIFS(
  '[1]Hoja 1'!$M:$M,
  '[1]Hoja 1'!$S:$S, $A195,
  '[1]Hoja 1'!$R:$R, "&gt;="&amp;INT($CS$1),
  '[1]Hoja 1'!$R:$R, "&lt;"&amp;INT($CT$1+1)
)</f>
        <v>0</v>
      </c>
      <c r="CR195" s="1">
        <f t="shared" si="234"/>
        <v>0</v>
      </c>
      <c r="CS195" s="9">
        <f t="shared" si="235"/>
        <v>0</v>
      </c>
      <c r="CT195" s="10">
        <f t="shared" si="236"/>
        <v>0</v>
      </c>
      <c r="CU195" s="1">
        <f>SUMIFS(
  '[1]Hoja 1'!$M:$M,
  '[1]Hoja 1'!$S:$S, $A195,
  '[1]Hoja 1'!$R:$R, "&gt;="&amp;INT($CW$1),
  '[1]Hoja 1'!$R:$R, "&lt;"&amp;INT($CX$1+1)
)</f>
        <v>0</v>
      </c>
      <c r="CV195" s="1">
        <f t="shared" si="237"/>
        <v>0</v>
      </c>
      <c r="CW195" s="9">
        <f t="shared" si="238"/>
        <v>0</v>
      </c>
      <c r="CX195" s="10">
        <f t="shared" si="239"/>
        <v>0</v>
      </c>
      <c r="CY195" s="1">
        <f>SUMIFS(
  '[1]Hoja 1'!$M:$M,
  '[1]Hoja 1'!$S:$S, $A195,
  '[1]Hoja 1'!$R:$R, "&gt;="&amp;INT($DA$1),
  '[1]Hoja 1'!$R:$R, "&lt;"&amp;INT($DB$1+1)
)</f>
        <v>0</v>
      </c>
      <c r="CZ195" s="1">
        <f t="shared" si="240"/>
        <v>0</v>
      </c>
      <c r="DA195" s="9">
        <f t="shared" si="241"/>
        <v>0</v>
      </c>
      <c r="DB195" s="10">
        <f t="shared" si="242"/>
        <v>0</v>
      </c>
      <c r="DC195" s="1">
        <f>SUMIFS(
  '[1]Hoja 1'!$M:$M,
  '[1]Hoja 1'!$S:$S, $A195,
  '[1]Hoja 1'!$R:$R, "&gt;="&amp;INT($DE$1),
  '[1]Hoja 1'!$R:$R, "&lt;"&amp;INT($DF$1+1)
)</f>
        <v>0</v>
      </c>
      <c r="DD195" s="1">
        <f t="shared" si="243"/>
        <v>0</v>
      </c>
      <c r="DE195" s="9">
        <f t="shared" si="244"/>
        <v>0</v>
      </c>
      <c r="DF195" s="10">
        <f t="shared" si="245"/>
        <v>0</v>
      </c>
      <c r="DG195" s="1">
        <f>SUMIFS(
  '[1]Hoja 1'!$M:$M,
  '[1]Hoja 1'!$S:$S, $A195,
  '[1]Hoja 1'!$R:$R, "&gt;="&amp;INT($DI$1),
  '[1]Hoja 1'!$R:$R, "&lt;"&amp;INT($DJ$1+1)
)</f>
        <v>0</v>
      </c>
      <c r="DH195" s="1">
        <f t="shared" si="246"/>
        <v>0</v>
      </c>
      <c r="DI195" s="9">
        <f t="shared" si="247"/>
        <v>0</v>
      </c>
      <c r="DJ195" s="10">
        <f t="shared" si="248"/>
        <v>0</v>
      </c>
      <c r="DK195" s="1">
        <f>SUMIFS(
  '[1]Hoja 1'!$M:$M,
  '[1]Hoja 1'!$S:$S, $A195,
  '[1]Hoja 1'!$R:$R, "&gt;="&amp;INT($DM$1),
  '[1]Hoja 1'!$R:$R, "&lt;"&amp;INT($DN$1+1)
)</f>
        <v>0</v>
      </c>
      <c r="DL195" s="1">
        <f t="shared" si="249"/>
        <v>0</v>
      </c>
      <c r="DM195" s="9">
        <f t="shared" si="250"/>
        <v>0</v>
      </c>
      <c r="DN195" s="10">
        <f t="shared" si="251"/>
        <v>0</v>
      </c>
      <c r="DO195" s="1">
        <f>SUMIFS(
  '[1]Hoja 1'!$M:$M,
  '[1]Hoja 1'!$S:$S, $A195,
  '[1]Hoja 1'!$R:$R, "&gt;="&amp;INT($DQ$1),
  '[1]Hoja 1'!$R:$R, "&lt;"&amp;INT($DR$1+1)
)</f>
        <v>0</v>
      </c>
      <c r="DP195" s="1">
        <f t="shared" si="252"/>
        <v>0</v>
      </c>
      <c r="DQ195" s="9">
        <f t="shared" si="253"/>
        <v>0</v>
      </c>
      <c r="DR195" s="10">
        <f t="shared" si="254"/>
        <v>0</v>
      </c>
    </row>
    <row r="196" spans="1:122" x14ac:dyDescent="0.25">
      <c r="A196" s="5">
        <v>235001</v>
      </c>
      <c r="B196" s="6" t="s">
        <v>192</v>
      </c>
      <c r="C196" s="1">
        <f>SUMIFS(
  '[1]Hoja 1'!$M:$M,
  '[1]Hoja 1'!$S:$S, $A196,
  '[1]Hoja 1'!$R:$R, "&gt;="&amp;INT($E$1),
  '[1]Hoja 1'!$R:$R, "&lt;"&amp;INT($F$1+1)
)</f>
        <v>0</v>
      </c>
      <c r="D196" s="1" t="str">
        <f>""</f>
        <v/>
      </c>
      <c r="F196" s="2"/>
      <c r="G196" s="1">
        <f>SUMIFS(
  '[1]Hoja 1'!$M:$M,
  '[1]Hoja 1'!$S:$S, $A196,
  '[1]Hoja 1'!$R:$R, "&gt;="&amp;INT($I$1),
  '[1]Hoja 1'!$R:$R, "&lt;"&amp;INT($J$1+1)
)</f>
        <v>0</v>
      </c>
      <c r="H196" s="1">
        <f t="shared" ref="H196:H233" si="255">IF(OR(ISBLANK(C196),ISBLANK(G196)),"",AVERAGE(C196,G196))</f>
        <v>0</v>
      </c>
      <c r="I196" s="1"/>
      <c r="J196" s="2"/>
      <c r="K196" s="1">
        <f>SUMIFS(
  '[1]Hoja 1'!$M:$M,
  '[1]Hoja 1'!$S:$S, $A196,
  '[1]Hoja 1'!$R:$R, "&gt;="&amp;INT($M$1),
  '[1]Hoja 1'!$R:$R, "&lt;"&amp;INT($N$1+1)
)</f>
        <v>0</v>
      </c>
      <c r="L196" s="1">
        <f t="shared" ref="L196:L232" si="256">IF(
    OR(ISBLANK(G196),ISBLANK(K196)),
    "",
    AVERAGE(G196,K196)
)</f>
        <v>0</v>
      </c>
      <c r="M196" s="9">
        <f t="shared" ref="M196:M232" si="257">IF(
  OR(ISBLANK(L196),ISBLANK(G196),ISBLANK(K196),ISBLANK(C196)),
  "",
  L196 - 1.96*_xlfn.STDEV.S(
    G196-AVERAGE(C196,G196),
    K196-AVERAGE(G196,K196)
  )
)</f>
        <v>0</v>
      </c>
      <c r="N196" s="10">
        <f t="shared" ref="N196:N232" si="258">IF(
  OR(ISBLANK(L196),ISBLANK(G196),ISBLANK(K196),ISBLANK(C196)),
  "",
  L196 + 1.96*_xlfn.STDEV.S(
    G196-AVERAGE(C196,G196),
    K196-AVERAGE(G196,K196)
  )
)</f>
        <v>0</v>
      </c>
      <c r="O196" s="1">
        <f>SUMIFS(
  '[1]Hoja 1'!$M:$M,
  '[1]Hoja 1'!$S:$S, $A196,
  '[1]Hoja 1'!$R:$R, "&gt;="&amp;INT($Q$1),
  '[1]Hoja 1'!$R:$R, "&lt;"&amp;INT($R$1+1)
)</f>
        <v>0</v>
      </c>
      <c r="P196" s="1">
        <f t="shared" ref="P196:P232" si="259">IF(
    OR(ISBLANK(K196),ISBLANK(O196)),
    "",
    AVERAGE(K196,O196)
)</f>
        <v>0</v>
      </c>
      <c r="Q196" s="9">
        <f t="shared" ref="Q196:Q232" si="260">IF(
    OR(ISBLANK(P196),ISBLANK(G196),ISBLANK(K196),ISBLANK(C196)),
    "",
    L196 - 1.96*_xlfn.STDEV.S(
    G196-AVERAGE(C196,G196),
    K196-AVERAGE(G196,K196),
    O196-AVERAGE(K196,O196)
  )
)</f>
        <v>0</v>
      </c>
      <c r="R196" s="10">
        <f t="shared" ref="R196:R232" si="261">IF(
    OR(ISBLANK(P196),ISBLANK(G196),ISBLANK(K196),ISBLANK(C196)),
    "",
    L196 + 1.96*_xlfn.STDEV.S(
    G196-AVERAGE(C196,G196),
    K196-AVERAGE(G196,K196),
    O196-AVERAGE(K196,O196)
  )
)</f>
        <v>0</v>
      </c>
      <c r="S196" s="1">
        <f>SUMIFS(
  '[1]Hoja 1'!$M:$M,
  '[1]Hoja 1'!$S:$S, $A196,
  '[1]Hoja 1'!$R:$R, "&gt;="&amp;INT($U$1),
  '[1]Hoja 1'!$R:$R, "&lt;"&amp;INT($V$1+1)
)</f>
        <v>0</v>
      </c>
      <c r="T196" s="1">
        <f t="shared" ref="T196:T232" si="262">IF(
    OR(ISBLANK(O196),ISBLANK(S196)),
    "",
    ROUND(AVERAGE(O196,S196),0)
)</f>
        <v>0</v>
      </c>
      <c r="U196" s="9">
        <f t="shared" ref="U196:U232" si="263">IF(
    OR(ISBLANK(L196),ISBLANK(G196),ISBLANK(K196),ISBLANK(C196)),
    "",
    T196 - 1.96*_xlfn.STDEV.S(
    G196-AVERAGE(C196,G196),
    K196-AVERAGE(G196,K196),
    O196-AVERAGE(K196,O196),
    S196-AVERAGE(O196,S196)
  )
)</f>
        <v>0</v>
      </c>
      <c r="V196" s="10">
        <f t="shared" ref="V196:V232" si="264">IF(
    OR(ISBLANK(L196),ISBLANK(G196),ISBLANK(K196),ISBLANK(C196)),
    "",
    T196 + 1.96*_xlfn.STDEV.S(
    G196-AVERAGE(C196,G196),
    K196-AVERAGE(G196,K196),
    O196-AVERAGE(K196,O196),
    S196-AVERAGE(O196,S196)
  )
)</f>
        <v>0</v>
      </c>
      <c r="W196" s="1">
        <f>SUMIFS(
  '[1]Hoja 1'!$M:$M,
  '[1]Hoja 1'!$S:$S, $A196,
  '[1]Hoja 1'!$R:$R, "&gt;="&amp;INT($Y$1),
  '[1]Hoja 1'!$R:$R, "&lt;"&amp;INT($Z$1+1)
)</f>
        <v>0</v>
      </c>
      <c r="X196" s="1">
        <f t="shared" ref="X196:X232" si="265">IF(
    OR(ISBLANK(S196),ISBLANK(W196)),
    "",
    ROUND(AVERAGE(S196,W196),0)
)</f>
        <v>0</v>
      </c>
      <c r="Y196" s="9">
        <f t="shared" ref="Y196:Y232" si="266">IF(
    OR(ISBLANK(P196),ISBLANK(K196),ISBLANK(O196),ISBLANK(G196)),
    "",
    X196 - 1.96*_xlfn.STDEV.S(
    K196-AVERAGE(G196,K196),
    O196-AVERAGE(K196,O196),
    S196-AVERAGE(O196,S196),
    W196-AVERAGE(S196,W196)
  )
)</f>
        <v>0</v>
      </c>
      <c r="Z196" s="10">
        <f t="shared" ref="Z196:Z232" si="267">IF(
    OR(ISBLANK(P196),ISBLANK(K196),ISBLANK(O196),ISBLANK(G196)),
    "",
    X196 + 1.96*_xlfn.STDEV.S(
    K196-AVERAGE(G196,K196),
    O196-AVERAGE(K196,O196),
    S196-AVERAGE(O196,S196),
    W196-AVERAGE(S196,W196)
  )
)</f>
        <v>0</v>
      </c>
      <c r="AA196" s="1">
        <f>SUMIFS(
  '[1]Hoja 1'!$M:$M,
  '[1]Hoja 1'!$S:$S, $A196,
  '[1]Hoja 1'!$R:$R, "&gt;="&amp;INT($AC$1),
  '[1]Hoja 1'!$R:$R, "&lt;"&amp;INT($AD$1+1)
)</f>
        <v>0</v>
      </c>
      <c r="AB196" s="1">
        <f t="shared" ref="AB196:AB232" si="268">IF(
    OR(ISBLANK(W196),ISBLANK(AA196)),
    "",
    ROUND(AVERAGE(W196,AA196),0)
)</f>
        <v>0</v>
      </c>
      <c r="AC196" s="9">
        <f t="shared" ref="AC196:AC232" si="269">IF(
    OR(ISBLANK(T196),ISBLANK(O196),ISBLANK(S196),ISBLANK(K196)),
    "",
    AB196 - 1.96*_xlfn.STDEV.S(
    O196-AVERAGE(K196,O196),
    S196-AVERAGE(O196,S196),
    W196-AVERAGE(S196,W196),
    AA196-AVERAGE(W196,AA196),
  )
)</f>
        <v>0</v>
      </c>
      <c r="AD196" s="10">
        <f t="shared" ref="AD196:AD232" si="270">IF(
    OR(ISBLANK(T196),ISBLANK(O196),ISBLANK(S196),ISBLANK(K196)),
    "",
    AB196 + 1.96*_xlfn.STDEV.S(
    O196-AVERAGE(K196,O196),
    S196-AVERAGE(O196,S196),
    W196-AVERAGE(S196,W196),
    AA196-AVERAGE(W196,AA196)
  )
)</f>
        <v>0</v>
      </c>
      <c r="AE196" s="1">
        <f>SUMIFS(
  '[1]Hoja 1'!$M:$M,
  '[1]Hoja 1'!$S:$S, $A196,
  '[1]Hoja 1'!$R:$R, "&gt;="&amp;INT($AG$1),
  '[1]Hoja 1'!$R:$R, "&lt;"&amp;INT($AH$1+1)
)</f>
        <v>0</v>
      </c>
      <c r="AF196" s="1">
        <f t="shared" ref="AF196:AF232" si="271">IF(
    OR(ISBLANK(AA196),ISBLANK(AE196)),
    "",
    ROUND(AVERAGE(AA196,AE196),0)
)</f>
        <v>0</v>
      </c>
      <c r="AG196" s="9">
        <f t="shared" ref="AG196:AG232" si="272">IF(
    OR(ISBLANK(X196),ISBLANK(S196),ISBLANK(W196),ISBLANK(O196)),
    "",
    AF196 - 1.96*_xlfn.STDEV.S(
    S196-AVERAGE(O196,S196),
    W196-AVERAGE(S196,W196),
    AA196-AVERAGE(W196,AA196),
    AE196-AVERAGE(AA196,AE196),
  )
)</f>
        <v>0</v>
      </c>
      <c r="AH196" s="10">
        <f t="shared" ref="AH196:AH232" si="273">IF(
    OR(ISBLANK(X196),ISBLANK(S196),ISBLANK(W196),ISBLANK(O196)),
    "",
    AF196 + 1.96*_xlfn.STDEV.S(
    S196-AVERAGE(O196,S196),
    W196-AVERAGE(S196,W196),
    AA196-AVERAGE(W196,AA196),
    AE196-AVERAGE(AA196,AE196)
  )
)</f>
        <v>0</v>
      </c>
      <c r="AI196" s="1">
        <f>SUMIFS(
  '[1]Hoja 1'!$M:$M,
  '[1]Hoja 1'!$S:$S, $A196,
  '[1]Hoja 1'!$R:$R, "&gt;="&amp;INT($AK$1),
  '[1]Hoja 1'!$R:$R, "&lt;"&amp;INT($AL$1+1)
)</f>
        <v>0</v>
      </c>
      <c r="AJ196" s="1">
        <f t="shared" ref="AJ196:AJ232" si="274">IF(
    OR(ISBLANK(AE196),ISBLANK(AI196)),
    "",
    ROUND(AVERAGE(AE196,AI196),0)
)</f>
        <v>0</v>
      </c>
      <c r="AK196" s="9">
        <f t="shared" ref="AK196:AK232" si="275">IF(
    OR(ISBLANK(AB196),ISBLANK(W196),ISBLANK(AA196),ISBLANK(S196)),
    "",
    AJ196 - 1.96*_xlfn.STDEV.S(
    W196-AVERAGE(S196,W196),
    AA196-AVERAGE(W196,AA196),
    AE196-AVERAGE(AA196,AE196),
    AI196-AVERAGE(AE196,AI196),
  )
)</f>
        <v>0</v>
      </c>
      <c r="AL196" s="10">
        <f t="shared" ref="AL196:AL232" si="276">IF(
    OR(ISBLANK(AB196),ISBLANK(W196),ISBLANK(AA196),ISBLANK(S196)),
    "",
    AJ196 + 1.96*_xlfn.STDEV.S(
    W196-AVERAGE(S196,W196),
    AA196-AVERAGE(W196,AA196),
    AE196-AVERAGE(AA196,AE196),
    AI196-AVERAGE(AE196,AI196)
  )
)</f>
        <v>0</v>
      </c>
      <c r="AM196" s="1">
        <f>SUMIFS(
  '[1]Hoja 1'!$M:$M,
  '[1]Hoja 1'!$S:$S, $A196,
  '[1]Hoja 1'!$R:$R, "&gt;="&amp;INT($AO$1),
  '[1]Hoja 1'!$R:$R, "&lt;"&amp;INT($AP$1+1)
)</f>
        <v>0</v>
      </c>
      <c r="AN196" s="1">
        <f t="shared" ref="AN196:AN232" si="277">IF(
    OR(ISBLANK(AI196),ISBLANK(AM196)),
    "",
    ROUND(AVERAGE(AI196,AM196),0)
)</f>
        <v>0</v>
      </c>
      <c r="AO196" s="9">
        <f t="shared" ref="AO196:AO232" si="278">IF(
    OR(ISBLANK(AF196),ISBLANK(AA196),ISBLANK(AE196),ISBLANK(W196)),
    "",
    AN196 - 1.96*_xlfn.STDEV.S(
    AA196-AVERAGE(W196,AA196),
    AE196-AVERAGE(AA196,AE196),
    AI196-AVERAGE(AE196,AI196),
    AM196-AVERAGE(AI196,AM196),
  )
)</f>
        <v>0</v>
      </c>
      <c r="AP196" s="10">
        <f t="shared" ref="AP196:AP232" si="279">IF(
    OR(ISBLANK(AF196),ISBLANK(AA196),ISBLANK(AE196),ISBLANK(W196)),
    "",
    AN196 + 1.96*_xlfn.STDEV.S(
    AA196-AVERAGE(W196,AA196),
    AE196-AVERAGE(AA196,AE196),
    AI196-AVERAGE(AE196,AI196),
    AM196-AVERAGE(AI196,AM196)
  )
)</f>
        <v>0</v>
      </c>
      <c r="AQ196" s="1">
        <f>SUMIFS(
  '[1]Hoja 1'!$M:$M,
  '[1]Hoja 1'!$S:$S, $A196,
  '[1]Hoja 1'!$R:$R, "&gt;="&amp;INT($AS$1),
  '[1]Hoja 1'!$R:$R, "&lt;"&amp;INT($AT$1+1)
)</f>
        <v>0</v>
      </c>
      <c r="AR196" s="1">
        <f t="shared" ref="AR196:AR232" si="280">IF(
    OR(ISBLANK(AM196),ISBLANK(AQ196)),
    "",
    ROUND(AVERAGE(AM196,AQ196),0)
)</f>
        <v>0</v>
      </c>
      <c r="AS196" s="9">
        <f t="shared" ref="AS196:AS232" si="281">IF(
    OR(ISBLANK(AJ196),ISBLANK(AE196),ISBLANK(AI196),ISBLANK(AA196)),
    "",
    AR196 - 1.96*_xlfn.STDEV.S(
    AE196-AVERAGE(AA196,AE196),
    AI196-AVERAGE(AE196,AI196),
    AM196-AVERAGE(AI196,AM196),
    AQ196-AVERAGE(AM196,AQ196),
  )
)</f>
        <v>0</v>
      </c>
      <c r="AT196" s="10">
        <f t="shared" ref="AT196:AT232" si="282">IF(
    OR(ISBLANK(AJ196),ISBLANK(AE196),ISBLANK(AI196),ISBLANK(AA196)),
    "",
    AR196 + 1.96*_xlfn.STDEV.S(
    AE196-AVERAGE(AA196,AE196),
    AI196-AVERAGE(AE196,AI196),
    AM196-AVERAGE(AI196,AM196),
    AQ196-AVERAGE(AM196,AQ196)
  )
)</f>
        <v>0</v>
      </c>
      <c r="AU196" s="1">
        <f>SUMIFS(
  '[1]Hoja 1'!$M:$M,
  '[1]Hoja 1'!$S:$S, $A196,
  '[1]Hoja 1'!$R:$R, "&gt;="&amp;INT($AW$1),
  '[1]Hoja 1'!$R:$R, "&lt;"&amp;INT($AX$1+1)
)</f>
        <v>0</v>
      </c>
      <c r="AV196" s="1">
        <f t="shared" ref="AV196:AV232" si="283">IF(
    OR(ISBLANK(AQ196),ISBLANK(AU196)),
    "",
    ROUND(AVERAGE(AQ196,AU196),0)
)</f>
        <v>0</v>
      </c>
      <c r="AW196" s="9">
        <f t="shared" ref="AW196:AW232" si="284">IF(
    OR(ISBLANK(AN196),ISBLANK(AI196),ISBLANK(AM196),ISBLANK(AE196)),
    "",
    AV196 - 1.96*_xlfn.STDEV.S(
    AI196-AVERAGE(AE196,AI196),
    AM196-AVERAGE(AI196,AM196),
    AQ196-AVERAGE(AM196,AQ196),
    AU196-AVERAGE(AQ196,AU196),
  )
)</f>
        <v>0</v>
      </c>
      <c r="AX196" s="10">
        <f t="shared" ref="AX196:AX232" si="285">IF(
    OR(ISBLANK(AN196),ISBLANK(AI196),ISBLANK(AM196),ISBLANK(AE196)),
    "",
    AV196 + 1.96*_xlfn.STDEV.S(
    AI196-AVERAGE(AE196,AI196),
    AM196-AVERAGE(AI196,AM196),
    AQ196-AVERAGE(AM196,AQ196),
    AU196-AVERAGE(AQ196,AU196)
  )
)</f>
        <v>0</v>
      </c>
      <c r="AY196" s="1">
        <f>SUMIFS(
  '[1]Hoja 1'!$M:$M,
  '[1]Hoja 1'!$S:$S, $A196,
  '[1]Hoja 1'!$R:$R, "&gt;="&amp;INT($BA$1),
  '[1]Hoja 1'!$R:$R, "&lt;"&amp;INT($BB$1+1)
)</f>
        <v>0</v>
      </c>
      <c r="AZ196" s="1">
        <f t="shared" ref="AZ196:AZ232" si="286">IF(
    OR(ISBLANK(AU196),ISBLANK(AY196)),
    "",
    ROUND(AVERAGE(AU196,AY196),0)
)</f>
        <v>0</v>
      </c>
      <c r="BA196" s="9">
        <f t="shared" ref="BA196:BA232" si="287">IF(
    OR(ISBLANK(AR196),ISBLANK(AM196),ISBLANK(AQ196),ISBLANK(AI196)),
    "",
    AZ196 - 1.96*_xlfn.STDEV.S(
    AM196-AVERAGE(AI196,AM196),
    AQ196-AVERAGE(AM196,AQ196),
    AU196-AVERAGE(AQ196,AU196),
    AY196-AVERAGE(AU196,AY196),
  )
)</f>
        <v>0</v>
      </c>
      <c r="BB196" s="10">
        <f t="shared" ref="BB196:BB232" si="288">IF(
    OR(ISBLANK(AR196),ISBLANK(AM196),ISBLANK(AQ196),ISBLANK(AI196)),
    "",
    AZ196 + 1.96*_xlfn.STDEV.S(
    AM196-AVERAGE(AI196,AM196),
    AQ196-AVERAGE(AM196,AQ196),
    AU196-AVERAGE(AQ196,AU196),
    AY196-AVERAGE(AU196,AY196)
  )
)</f>
        <v>0</v>
      </c>
      <c r="BC196" s="1">
        <f>SUMIFS(
  '[1]Hoja 1'!$M:$M,
  '[1]Hoja 1'!$S:$S, $A196,
  '[1]Hoja 1'!$R:$R, "&gt;="&amp;INT($BE$1),
  '[1]Hoja 1'!$R:$R, "&lt;"&amp;INT($BF$1+1)
)</f>
        <v>0</v>
      </c>
      <c r="BD196" s="1">
        <f t="shared" ref="BD196:BD232" si="289">IF(
    OR(ISBLANK(AY196),ISBLANK(BC196)),
    "",
    ROUND(AVERAGE(AY196,BC196),0)
)</f>
        <v>0</v>
      </c>
      <c r="BE196" s="9">
        <f t="shared" ref="BE196:BE232" si="290">IF(
    OR(ISBLANK(AV196),ISBLANK(AQ196),ISBLANK(AU196),ISBLANK(AM196)),
    "",
    BD196 - 1.96*_xlfn.STDEV.S(
    AQ196-AVERAGE(AM196,AQ196),
    AU196-AVERAGE(AQ196,AU196),
    AY196-AVERAGE(AU196,AY196),
    BC196-AVERAGE(AY196,BC196),
  )
)</f>
        <v>0</v>
      </c>
      <c r="BF196" s="10">
        <f t="shared" ref="BF196:BF232" si="291">IF(
    OR(ISBLANK(AV196),ISBLANK(AQ196),ISBLANK(AU196),ISBLANK(AM196)),
    "",
    BD196 + 1.96*_xlfn.STDEV.S(
    AQ196-AVERAGE(AM196,AQ196),
    AU196-AVERAGE(AQ196,AU196),
    AY196-AVERAGE(AU196,AY196),
    BC196-AVERAGE(AY196,BC196)
  )
)</f>
        <v>0</v>
      </c>
      <c r="BG196" s="1">
        <f>SUMIFS(
  '[1]Hoja 1'!$M:$M,
  '[1]Hoja 1'!$S:$S, $A196,
  '[1]Hoja 1'!$R:$R, "&gt;="&amp;INT($BI$1),
  '[1]Hoja 1'!$R:$R, "&lt;"&amp;INT($BJ$1+1)
)</f>
        <v>0</v>
      </c>
      <c r="BH196" s="1">
        <f t="shared" ref="BH196:BH232" si="292">IF(
    OR(ISBLANK(BC196),ISBLANK(BG196)),
    "",
    ROUND(AVERAGE(BC196,BG196),0)
)</f>
        <v>0</v>
      </c>
      <c r="BI196" s="9">
        <f t="shared" ref="BI196:BI232" si="293">IF(
    OR(ISBLANK(AZ196),ISBLANK(AU196),ISBLANK(AY196),ISBLANK(AQ196)),
    "",
    BH196 - 1.96*_xlfn.STDEV.S(
    AU196-AVERAGE(AQ196,AU196),
    AY196-AVERAGE(AU196,AY196),
    BC196-AVERAGE(AY196,BC196),
    BG196-AVERAGE(BC196,BG196),
  )
)</f>
        <v>0</v>
      </c>
      <c r="BJ196" s="10">
        <f t="shared" ref="BJ196:BJ232" si="294">IF(
    OR(ISBLANK(AZ196),ISBLANK(AU196),ISBLANK(AY196),ISBLANK(AQ196)),
    "",
    BH196 + 1.96*_xlfn.STDEV.S(
    AU196-AVERAGE(AQ196,AU196),
    AY196-AVERAGE(AU196,AY196),
    BC196-AVERAGE(AY196,BC196),
    BG196-AVERAGE(BC196,BG196)
  )
)</f>
        <v>0</v>
      </c>
      <c r="BK196" s="1">
        <f>SUMIFS(
  '[1]Hoja 1'!$M:$M,
  '[1]Hoja 1'!$S:$S, $A196,
  '[1]Hoja 1'!$R:$R, "&gt;="&amp;INT($BM$1),
  '[1]Hoja 1'!$R:$R, "&lt;"&amp;INT($BN$1+1)
)</f>
        <v>0</v>
      </c>
      <c r="BL196" s="1">
        <f t="shared" ref="BL196:BL232" si="295">IF(
    OR(ISBLANK(BG196),ISBLANK(BK196)),
    "",
    ROUND(AVERAGE(BG196,BK196),0)
)</f>
        <v>0</v>
      </c>
      <c r="BM196" s="9">
        <f t="shared" ref="BM196:BM232" si="296">IF(
    OR(ISBLANK(BD196),ISBLANK(AY196),ISBLANK(BC196),ISBLANK(AU196)),
    "",
    BL196 - 1.96*_xlfn.STDEV.S(
    AY196-AVERAGE(AU196,AY196),
    BC196-AVERAGE(AY196,BC196),
    BG196-AVERAGE(BC196,BG196),
    BK196-AVERAGE(BG196,BK196),
  )
)</f>
        <v>0</v>
      </c>
      <c r="BN196" s="10">
        <f t="shared" ref="BN196:BN232" si="297">IF(
    OR(ISBLANK(BD196),ISBLANK(AY196),ISBLANK(BC196),ISBLANK(AU196)),
    "",
    BL196 + 1.96*_xlfn.STDEV.S(
    AY196-AVERAGE(AU196,AY196),
    BC196-AVERAGE(AY196,BC196),
    BG196-AVERAGE(BC196,BG196),
    BK196-AVERAGE(BG196,BK196)
  )
)</f>
        <v>0</v>
      </c>
      <c r="BO196" s="1">
        <f>SUMIFS(
  '[1]Hoja 1'!$M:$M,
  '[1]Hoja 1'!$S:$S, $A196,
  '[1]Hoja 1'!$R:$R, "&gt;="&amp;INT($BQ$1),
  '[1]Hoja 1'!$R:$R, "&lt;"&amp;INT($BR$1+1)
)</f>
        <v>0</v>
      </c>
      <c r="BP196" s="1">
        <f t="shared" ref="BP196:BP232" si="298">IF(
    OR(ISBLANK(BK196),ISBLANK(BO196)),
    "",
    ROUND(AVERAGE(BK196,BO196),0)
)</f>
        <v>0</v>
      </c>
      <c r="BQ196" s="9">
        <f t="shared" ref="BQ196:BQ232" si="299">IF(
    OR(ISBLANK(BH196),ISBLANK(BC196),ISBLANK(BG196),ISBLANK(AY196)),
    "",
    BP196 - 1.96*_xlfn.STDEV.S(
    BC196-AVERAGE(AY196,BC196),
    BG196-AVERAGE(BC196,BG196),
    BK196-AVERAGE(BG196,BK196),
    BO196-AVERAGE(BK196,BO196),
  )
)</f>
        <v>0</v>
      </c>
      <c r="BR196" s="10">
        <f t="shared" ref="BR196:BR232" si="300">IF(
    OR(ISBLANK(BH196),ISBLANK(BC196),ISBLANK(BG196),ISBLANK(AY196)),
    "",
    BP196 + 1.96*_xlfn.STDEV.S(
    BC196-AVERAGE(AY196,BC196),
    BG196-AVERAGE(BC196,BG196),
    BK196-AVERAGE(BG196,BK196),
    BO196-AVERAGE(BK196,BO196)
  )
)</f>
        <v>0</v>
      </c>
      <c r="BS196" s="1">
        <f>SUMIFS(
  '[1]Hoja 1'!$M:$M,
  '[1]Hoja 1'!$S:$S, $A196,
  '[1]Hoja 1'!$R:$R, "&gt;="&amp;INT($BU$1),
  '[1]Hoja 1'!$R:$R, "&lt;"&amp;INT($BV$1+1)
)</f>
        <v>0</v>
      </c>
      <c r="BT196" s="1">
        <f t="shared" ref="BT196:BT232" si="301">IF(
    OR(ISBLANK(BO196),ISBLANK(BS196)),
    "",
    ROUND(AVERAGE(BO196,BS196),0)
)</f>
        <v>0</v>
      </c>
      <c r="BU196" s="9">
        <f t="shared" ref="BU196:BU232" si="302">IF(
    OR(ISBLANK(BL196),ISBLANK(BG196),ISBLANK(BK196),ISBLANK(BC196)),
    "",
    BT196 - 1.96*_xlfn.STDEV.S(
    BG196-AVERAGE(BC196,BG196),
    BK196-AVERAGE(BG196,BK196),
    BO196-AVERAGE(BK196,BO196),
    BS196-AVERAGE(BO196,BS196),
  )
)</f>
        <v>0</v>
      </c>
      <c r="BV196" s="10">
        <f t="shared" ref="BV196:BV232" si="303">IF(
    OR(ISBLANK(BL196),ISBLANK(BG196),ISBLANK(BK196),ISBLANK(BC196)),
    "",
    BT196 + 1.96*_xlfn.STDEV.S(
    BG196-AVERAGE(BC196,BG196),
    BK196-AVERAGE(BG196,BK196),
    BO196-AVERAGE(BK196,BO196),
    BS196-AVERAGE(BO196,BS196)
  )
)</f>
        <v>0</v>
      </c>
      <c r="BW196" s="1">
        <f>SUMIFS(
  '[1]Hoja 1'!$M:$M,
  '[1]Hoja 1'!$S:$S, $A196,
  '[1]Hoja 1'!$R:$R, "&gt;="&amp;INT($BY$1),
  '[1]Hoja 1'!$R:$R, "&lt;"&amp;INT($BZ$1+1)
)</f>
        <v>0</v>
      </c>
      <c r="BX196" s="1">
        <f t="shared" ref="BX196:BX232" si="304">IF(
    OR(ISBLANK(BS196),ISBLANK(BW196)),
    "",
    ROUND(AVERAGE(BS196,BW196),0)
)</f>
        <v>0</v>
      </c>
      <c r="BY196" s="9">
        <f t="shared" ref="BY196:BY232" si="305">IF(
    OR(ISBLANK(BP196),ISBLANK(BK196),ISBLANK(BO196),ISBLANK(BG196)),
    "",
    BX196 - 1.96*_xlfn.STDEV.S(
    BK196-AVERAGE(BG196,BK196),
    BO196-AVERAGE(BK196,BO196),
    BS196-AVERAGE(BO196,BS196),
    BW196-AVERAGE(BS196,BW196),
  )
)</f>
        <v>0</v>
      </c>
      <c r="BZ196" s="10">
        <f t="shared" ref="BZ196:BZ232" si="306">IF(
    OR(ISBLANK(BP196),ISBLANK(BK196),ISBLANK(BO196),ISBLANK(BG196)),
    "",
    BX196 + 1.96*_xlfn.STDEV.S(
    BK196-AVERAGE(BG196,BK196),
    BO196-AVERAGE(BK196,BO196),
    BS196-AVERAGE(BO196,BS196),
    BW196-AVERAGE(BS196,BW196)
  )
)</f>
        <v>0</v>
      </c>
      <c r="CA196" s="1">
        <f>SUMIFS(
  '[1]Hoja 1'!$M:$M,
  '[1]Hoja 1'!$S:$S, $A196,
  '[1]Hoja 1'!$R:$R, "&gt;="&amp;INT($CC$1),
  '[1]Hoja 1'!$R:$R, "&lt;"&amp;INT($CD$1+1)
)</f>
        <v>0</v>
      </c>
      <c r="CB196" s="1">
        <f t="shared" ref="CB196:CB232" si="307">IF(
    OR(ISBLANK(BW196),ISBLANK(CA196)),
    "",
    ROUND(AVERAGE(BW196,CA196),0)
)</f>
        <v>0</v>
      </c>
      <c r="CC196" s="9">
        <f t="shared" ref="CC196:CC232" si="308">IF(
    OR(ISBLANK(BT196),ISBLANK(BO196),ISBLANK(BS196),ISBLANK(BK196)),
    "",
    CB196 - 1.96*_xlfn.STDEV.S(
    BO196-AVERAGE(BK196,BO196),
    BS196-AVERAGE(BO196,BS196),
    BW196-AVERAGE(BS196,BW196),
    CA196-AVERAGE(BW196,CA196),
  )
)</f>
        <v>0</v>
      </c>
      <c r="CD196" s="10">
        <f t="shared" ref="CD196:CD232" si="309">IF(
    OR(ISBLANK(BT196),ISBLANK(BO196),ISBLANK(BS196),ISBLANK(BK196)),
    "",
    CB196 + 1.96*_xlfn.STDEV.S(
    BO196-AVERAGE(BK196,BO196),
    BS196-AVERAGE(BO196,BS196),
    BW196-AVERAGE(BS196,BW196),
    CA196-AVERAGE(BW196,CA196)
  )
)</f>
        <v>0</v>
      </c>
      <c r="CE196" s="1">
        <f>SUMIFS(
  '[1]Hoja 1'!$M:$M,
  '[1]Hoja 1'!$S:$S, $A196,
  '[1]Hoja 1'!$R:$R, "&gt;="&amp;INT($CG$1),
  '[1]Hoja 1'!$R:$R, "&lt;"&amp;INT($CH$1+1)
)</f>
        <v>0</v>
      </c>
      <c r="CF196" s="1">
        <f t="shared" ref="CF196:CF232" si="310">IF(
    OR(ISBLANK(CA196),ISBLANK(CE196)),
    "",
    ROUND(AVERAGE(CA196,CE196),0)
)</f>
        <v>0</v>
      </c>
      <c r="CG196" s="9">
        <f t="shared" ref="CG196:CG232" si="311">IF(
    OR(ISBLANK(BX196),ISBLANK(BS196),ISBLANK(BW196),ISBLANK(BO196)),
    "",
    CF196 - 1.96*_xlfn.STDEV.S(
    BS196-AVERAGE(BO196,BS196),
    BW196-AVERAGE(BS196,BW196),
    CA196-AVERAGE(BW196,CA196),
    CE196-AVERAGE(CA196,CE196),
  )
)</f>
        <v>0</v>
      </c>
      <c r="CH196" s="10">
        <f t="shared" ref="CH196:CH232" si="312">IF(
    OR(ISBLANK(BX196),ISBLANK(BS196),ISBLANK(BW196),ISBLANK(BO196)),
    "",
    CF196 + 1.96*_xlfn.STDEV.S(
    BS196-AVERAGE(BO196,BS196),
    BW196-AVERAGE(BS196,BW196),
    CA196-AVERAGE(BW196,CA196),
    CE196-AVERAGE(CA196,CE196)
  )
)</f>
        <v>0</v>
      </c>
      <c r="CI196" s="1">
        <f>SUMIFS(
  '[1]Hoja 1'!$M:$M,
  '[1]Hoja 1'!$S:$S, $A196,
  '[1]Hoja 1'!$R:$R, "&gt;="&amp;INT($CK$1),
  '[1]Hoja 1'!$R:$R, "&lt;"&amp;INT($CL$1+1)
)</f>
        <v>0</v>
      </c>
      <c r="CJ196" s="1">
        <f t="shared" ref="CJ196:CJ232" si="313">IF(
    OR(ISBLANK(CE196),ISBLANK(CI196)),
    "",
    ROUND(AVERAGE(CE196,CI196),0)
)</f>
        <v>0</v>
      </c>
      <c r="CK196" s="9">
        <f t="shared" ref="CK196:CK232" si="314">IF(
    OR(ISBLANK(CB196),ISBLANK(BW196),ISBLANK(CA196),ISBLANK(BS196)),
    "",
    CJ196 - 1.96*_xlfn.STDEV.S(
    BW196-AVERAGE(BS196,BW196),
    CA196-AVERAGE(BW196,CA196),
    CE196-AVERAGE(CA196,CE196),
    CI196-AVERAGE(CE196,CI196),
  )
)</f>
        <v>0</v>
      </c>
      <c r="CL196" s="10">
        <f t="shared" ref="CL196:CL232" si="315">IF(
    OR(ISBLANK(CB196),ISBLANK(BW196),ISBLANK(CA196),ISBLANK(BS196)),
    "",
    CJ196 + 1.96*_xlfn.STDEV.S(
    BW196-AVERAGE(BS196,BW196),
    CA196-AVERAGE(BW196,CA196),
    CE196-AVERAGE(CA196,CE196),
    CI196-AVERAGE(CE196,CI196)
  )
)</f>
        <v>0</v>
      </c>
      <c r="CM196" s="1">
        <f>SUMIFS(
  '[1]Hoja 1'!$M:$M,
  '[1]Hoja 1'!$S:$S, $A196,
  '[1]Hoja 1'!$R:$R, "&gt;="&amp;INT($CO$1),
  '[1]Hoja 1'!$R:$R, "&lt;"&amp;INT($CP$1+1)
)</f>
        <v>0</v>
      </c>
      <c r="CN196" s="1">
        <f t="shared" ref="CN196:CN232" si="316">IF(
    OR(ISBLANK(CI196),ISBLANK(CM196)),
    "",
    ROUND(AVERAGE(CI196,CM196),0)
)</f>
        <v>0</v>
      </c>
      <c r="CO196" s="9">
        <f t="shared" ref="CO196:CO232" si="317">IF(
    OR(ISBLANK(CF196),ISBLANK(CA196),ISBLANK(CE196),ISBLANK(BW196)),
    "",
    CN196 - 1.96*_xlfn.STDEV.S(
    CA196-AVERAGE(BW196,CA196),
    CE196-AVERAGE(CA196,CE196),
    CI196-AVERAGE(CE196,CI196),
    CM196-AVERAGE(CI196,CM196),
  )
)</f>
        <v>0</v>
      </c>
      <c r="CP196" s="10">
        <f t="shared" ref="CP196:CP232" si="318">IF(
    OR(ISBLANK(CF196),ISBLANK(CA196),ISBLANK(CE196),ISBLANK(BW196)),
    "",
    CN196 + 1.96*_xlfn.STDEV.S(
    CA196-AVERAGE(BW196,CA196),
    CE196-AVERAGE(CA196,CE196),
    CI196-AVERAGE(CE196,CI196),
    CM196-AVERAGE(CI196,CM196)
  )
)</f>
        <v>0</v>
      </c>
      <c r="CQ196" s="1">
        <f>SUMIFS(
  '[1]Hoja 1'!$M:$M,
  '[1]Hoja 1'!$S:$S, $A196,
  '[1]Hoja 1'!$R:$R, "&gt;="&amp;INT($CS$1),
  '[1]Hoja 1'!$R:$R, "&lt;"&amp;INT($CT$1+1)
)</f>
        <v>0</v>
      </c>
      <c r="CR196" s="1">
        <f t="shared" ref="CR196:CR232" si="319">IF(
    OR(ISBLANK(CM196),ISBLANK(CQ196)),
    "",
    ROUND(AVERAGE(CM196,CQ196),0)
)</f>
        <v>0</v>
      </c>
      <c r="CS196" s="9">
        <f t="shared" ref="CS196:CS232" si="320">IF(
    OR(ISBLANK(CJ196),ISBLANK(CE196),ISBLANK(CI196),ISBLANK(CA196)),
    "",
    CR196 - 1.96*_xlfn.STDEV.S(
    CE196-AVERAGE(CA196,CE196),
    CI196-AVERAGE(CE196,CI196),
    CM196-AVERAGE(CI196,CM196),
    CQ196-AVERAGE(CM196,CQ196),
  )
)</f>
        <v>0</v>
      </c>
      <c r="CT196" s="10">
        <f t="shared" ref="CT196:CT232" si="321">IF(
    OR(ISBLANK(CJ196),ISBLANK(CE196),ISBLANK(CI196),ISBLANK(CA196)),
    "",
    CR196 + 1.96*_xlfn.STDEV.S(
    CE196-AVERAGE(CA196,CE196),
    CI196-AVERAGE(CE196,CI196),
    CM196-AVERAGE(CI196,CM196),
    CQ196-AVERAGE(CM196,CQ196)
  )
)</f>
        <v>0</v>
      </c>
      <c r="CU196" s="1">
        <f>SUMIFS(
  '[1]Hoja 1'!$M:$M,
  '[1]Hoja 1'!$S:$S, $A196,
  '[1]Hoja 1'!$R:$R, "&gt;="&amp;INT($CW$1),
  '[1]Hoja 1'!$R:$R, "&lt;"&amp;INT($CX$1+1)
)</f>
        <v>0</v>
      </c>
      <c r="CV196" s="1">
        <f t="shared" ref="CV196:CV232" si="322">IF(
    OR(ISBLANK(CQ196),ISBLANK(CU196)),
    "",
    ROUND(AVERAGE(CQ196,CU196),0)
)</f>
        <v>0</v>
      </c>
      <c r="CW196" s="9">
        <f t="shared" ref="CW196:CW232" si="323">IF(
    OR(ISBLANK(CN196),ISBLANK(CI196),ISBLANK(CM196),ISBLANK(CE196)),
    "",
    CV196 - 1.96*_xlfn.STDEV.S(
    CI196-AVERAGE(CE196,CI196),
    CM196-AVERAGE(CI196,CM196),
    CQ196-AVERAGE(CM196,CQ196),
    CU196-AVERAGE(CQ196,CU196),
  )
)</f>
        <v>0</v>
      </c>
      <c r="CX196" s="10">
        <f t="shared" ref="CX196:CX232" si="324">IF(
    OR(ISBLANK(CN196),ISBLANK(CI196),ISBLANK(CM196),ISBLANK(CE196)),
    "",
    CV196 + 1.96*_xlfn.STDEV.S(
    CI196-AVERAGE(CE196,CI196),
    CM196-AVERAGE(CI196,CM196),
    CQ196-AVERAGE(CM196,CQ196),
    CU196-AVERAGE(CQ196,CU196)
  )
)</f>
        <v>0</v>
      </c>
      <c r="CY196" s="1">
        <f>SUMIFS(
  '[1]Hoja 1'!$M:$M,
  '[1]Hoja 1'!$S:$S, $A196,
  '[1]Hoja 1'!$R:$R, "&gt;="&amp;INT($DA$1),
  '[1]Hoja 1'!$R:$R, "&lt;"&amp;INT($DB$1+1)
)</f>
        <v>0</v>
      </c>
      <c r="CZ196" s="1">
        <f t="shared" ref="CZ196:CZ232" si="325">IF(
    OR(ISBLANK(CU196),ISBLANK(CY196)),
    "",
    ROUND(AVERAGE(CU196,CY196),0)
)</f>
        <v>0</v>
      </c>
      <c r="DA196" s="9">
        <f t="shared" ref="DA196:DA232" si="326">IF(
    OR(ISBLANK(CR196),ISBLANK(CM196),ISBLANK(CQ196),ISBLANK(CI196)),
    "",
    CZ196 - 1.96*_xlfn.STDEV.S(
    CM196-AVERAGE(CI196,CM196),
    CQ196-AVERAGE(CM196,CQ196),
    CU196-AVERAGE(CQ196,CU196),
    CY196-AVERAGE(CU196,CY196),
  )
)</f>
        <v>0</v>
      </c>
      <c r="DB196" s="10">
        <f t="shared" ref="DB196:DB232" si="327">IF(
    OR(ISBLANK(CR196),ISBLANK(CM196),ISBLANK(CQ196),ISBLANK(CI196)),
    "",
    CZ196 + 1.96*_xlfn.STDEV.S(
    CM196-AVERAGE(CI196,CM196),
    CQ196-AVERAGE(CM196,CQ196),
    CU196-AVERAGE(CQ196,CU196),
    CY196-AVERAGE(CU196,CY196)
  )
)</f>
        <v>0</v>
      </c>
      <c r="DC196" s="1">
        <f>SUMIFS(
  '[1]Hoja 1'!$M:$M,
  '[1]Hoja 1'!$S:$S, $A196,
  '[1]Hoja 1'!$R:$R, "&gt;="&amp;INT($DE$1),
  '[1]Hoja 1'!$R:$R, "&lt;"&amp;INT($DF$1+1)
)</f>
        <v>0</v>
      </c>
      <c r="DD196" s="1">
        <f t="shared" ref="DD196:DD232" si="328">IF(
    OR(ISBLANK(CY196),ISBLANK(DC196)),
    "",
    ROUND(AVERAGE(CY196,DC196),0)
)</f>
        <v>0</v>
      </c>
      <c r="DE196" s="9">
        <f t="shared" ref="DE196:DE232" si="329">IF(
    OR(ISBLANK(CV196),ISBLANK(CQ196),ISBLANK(CU196),ISBLANK(CM196)),
    "",
    DD196 - 1.96*_xlfn.STDEV.S(
    CQ196-AVERAGE(CM196,CQ196),
    CU196-AVERAGE(CQ196,CU196),
    CY196-AVERAGE(CU196,CY196),
    DC196-AVERAGE(CY196,DC196),
  )
)</f>
        <v>0</v>
      </c>
      <c r="DF196" s="10">
        <f t="shared" ref="DF196:DF232" si="330">IF(
    OR(ISBLANK(CV196),ISBLANK(CQ196),ISBLANK(CU196),ISBLANK(CM196)),
    "",
    DD196 + 1.96*_xlfn.STDEV.S(
    CQ196-AVERAGE(CM196,CQ196),
    CU196-AVERAGE(CQ196,CU196),
    CY196-AVERAGE(CU196,CY196),
    DC196-AVERAGE(CY196,DC196)
  )
)</f>
        <v>0</v>
      </c>
      <c r="DG196" s="1">
        <f>SUMIFS(
  '[1]Hoja 1'!$M:$M,
  '[1]Hoja 1'!$S:$S, $A196,
  '[1]Hoja 1'!$R:$R, "&gt;="&amp;INT($DI$1),
  '[1]Hoja 1'!$R:$R, "&lt;"&amp;INT($DJ$1+1)
)</f>
        <v>0</v>
      </c>
      <c r="DH196" s="1">
        <f t="shared" ref="DH196:DH232" si="331">IF(
    OR(ISBLANK(DC196),ISBLANK(DG196)),
    "",
    ROUND(AVERAGE(DC196,DG196),0)
)</f>
        <v>0</v>
      </c>
      <c r="DI196" s="9">
        <f t="shared" ref="DI196:DI232" si="332">IF(
    OR(ISBLANK(CZ196),ISBLANK(CU196),ISBLANK(CY196),ISBLANK(CQ196)),
    "",
    DH196 - 1.96*_xlfn.STDEV.S(
    CU196-AVERAGE(CQ196,CU196),
    CY196-AVERAGE(CU196,CY196),
    DC196-AVERAGE(CY196,DC196),
    DG196-AVERAGE(DC196,DG196),
  )
)</f>
        <v>0</v>
      </c>
      <c r="DJ196" s="10">
        <f t="shared" ref="DJ196:DJ232" si="333">IF(
    OR(ISBLANK(CZ196),ISBLANK(CU196),ISBLANK(CY196),ISBLANK(CQ196)),
    "",
    DH196 + 1.96*_xlfn.STDEV.S(
    CU196-AVERAGE(CQ196,CU196),
    CY196-AVERAGE(CU196,CY196),
    DC196-AVERAGE(CY196,DC196),
    DG196-AVERAGE(DC196,DG196)
  )
)</f>
        <v>0</v>
      </c>
      <c r="DK196" s="1">
        <f>SUMIFS(
  '[1]Hoja 1'!$M:$M,
  '[1]Hoja 1'!$S:$S, $A196,
  '[1]Hoja 1'!$R:$R, "&gt;="&amp;INT($DM$1),
  '[1]Hoja 1'!$R:$R, "&lt;"&amp;INT($DN$1+1)
)</f>
        <v>0</v>
      </c>
      <c r="DL196" s="1">
        <f t="shared" ref="DL196:DL232" si="334">IF(
    OR(ISBLANK(DG196),ISBLANK(DK196)),
    "",
    ROUND(AVERAGE(DG196,DK196),0)
)</f>
        <v>0</v>
      </c>
      <c r="DM196" s="9">
        <f t="shared" ref="DM196:DM232" si="335">IF(
    OR(ISBLANK(DD196),ISBLANK(CY196),ISBLANK(DC196),ISBLANK(CU196)),
    "",
    DL196 - 1.96*_xlfn.STDEV.S(
    CY196-AVERAGE(CU196,CY196),
    DC196-AVERAGE(CY196,DC196),
    DG196-AVERAGE(DC196,DG196),
    DK196-AVERAGE(DG196,DK196),
  )
)</f>
        <v>0</v>
      </c>
      <c r="DN196" s="10">
        <f t="shared" ref="DN196:DN232" si="336">IF(
    OR(ISBLANK(DD196),ISBLANK(CY196),ISBLANK(DC196),ISBLANK(CU196)),
    "",
    DL196 + 1.96*_xlfn.STDEV.S(
    CY196-AVERAGE(CU196,CY196),
    DC196-AVERAGE(CY196,DC196),
    DG196-AVERAGE(DC196,DG196),
    DK196-AVERAGE(DG196,DK196)
  )
)</f>
        <v>0</v>
      </c>
      <c r="DO196" s="1">
        <f>SUMIFS(
  '[1]Hoja 1'!$M:$M,
  '[1]Hoja 1'!$S:$S, $A196,
  '[1]Hoja 1'!$R:$R, "&gt;="&amp;INT($DQ$1),
  '[1]Hoja 1'!$R:$R, "&lt;"&amp;INT($DR$1+1)
)</f>
        <v>0</v>
      </c>
      <c r="DP196" s="1">
        <f t="shared" ref="DP196:DP232" si="337">IF(
    OR(ISBLANK(DK196),ISBLANK(DO196)),
    "",
    ROUND(AVERAGE(DK196,DO196),0)
)</f>
        <v>0</v>
      </c>
      <c r="DQ196" s="9">
        <f t="shared" ref="DQ196:DQ232" si="338">IF(
    OR(ISBLANK(DH196),ISBLANK(DC196),ISBLANK(DG196),ISBLANK(CY196)),
    "",
    DP196 - 1.96*_xlfn.STDEV.S(
    DC196-AVERAGE(CY196,DC196),
    DG196-AVERAGE(DC196,DG196),
    DK196-AVERAGE(DG196,DK196),
    DO196-AVERAGE(DK196,DO196),
  )
)</f>
        <v>0</v>
      </c>
      <c r="DR196" s="10">
        <f t="shared" ref="DR196:DR232" si="339">IF(
    OR(ISBLANK(DH196),ISBLANK(DC196),ISBLANK(DG196),ISBLANK(CY196)),
    "",
    DP196 + 1.96*_xlfn.STDEV.S(
    DC196-AVERAGE(CY196,DC196),
    DG196-AVERAGE(DC196,DG196),
    DK196-AVERAGE(DG196,DK196),
    DO196-AVERAGE(DK196,DO196)
  )
)</f>
        <v>0</v>
      </c>
    </row>
    <row r="197" spans="1:122" x14ac:dyDescent="0.25">
      <c r="A197" s="5">
        <v>235002</v>
      </c>
      <c r="B197" s="6" t="s">
        <v>193</v>
      </c>
      <c r="C197" s="1">
        <f>SUMIFS(
  '[1]Hoja 1'!$M:$M,
  '[1]Hoja 1'!$S:$S, $A197,
  '[1]Hoja 1'!$R:$R, "&gt;="&amp;INT($E$1),
  '[1]Hoja 1'!$R:$R, "&lt;"&amp;INT($F$1+1)
)</f>
        <v>0</v>
      </c>
      <c r="D197" s="1" t="str">
        <f>""</f>
        <v/>
      </c>
      <c r="F197" s="2"/>
      <c r="G197" s="1">
        <f>SUMIFS(
  '[1]Hoja 1'!$M:$M,
  '[1]Hoja 1'!$S:$S, $A197,
  '[1]Hoja 1'!$R:$R, "&gt;="&amp;INT($I$1),
  '[1]Hoja 1'!$R:$R, "&lt;"&amp;INT($J$1+1)
)</f>
        <v>0</v>
      </c>
      <c r="H197" s="1">
        <f t="shared" si="255"/>
        <v>0</v>
      </c>
      <c r="I197" s="1"/>
      <c r="J197" s="2"/>
      <c r="K197" s="1">
        <f>SUMIFS(
  '[1]Hoja 1'!$M:$M,
  '[1]Hoja 1'!$S:$S, $A197,
  '[1]Hoja 1'!$R:$R, "&gt;="&amp;INT($M$1),
  '[1]Hoja 1'!$R:$R, "&lt;"&amp;INT($N$1+1)
)</f>
        <v>0</v>
      </c>
      <c r="L197" s="1">
        <f t="shared" si="256"/>
        <v>0</v>
      </c>
      <c r="M197" s="9">
        <f t="shared" si="257"/>
        <v>0</v>
      </c>
      <c r="N197" s="10">
        <f t="shared" si="258"/>
        <v>0</v>
      </c>
      <c r="O197" s="1">
        <f>SUMIFS(
  '[1]Hoja 1'!$M:$M,
  '[1]Hoja 1'!$S:$S, $A197,
  '[1]Hoja 1'!$R:$R, "&gt;="&amp;INT($Q$1),
  '[1]Hoja 1'!$R:$R, "&lt;"&amp;INT($R$1+1)
)</f>
        <v>0</v>
      </c>
      <c r="P197" s="1">
        <f t="shared" si="259"/>
        <v>0</v>
      </c>
      <c r="Q197" s="9">
        <f t="shared" si="260"/>
        <v>0</v>
      </c>
      <c r="R197" s="10">
        <f t="shared" si="261"/>
        <v>0</v>
      </c>
      <c r="S197" s="1">
        <f>SUMIFS(
  '[1]Hoja 1'!$M:$M,
  '[1]Hoja 1'!$S:$S, $A197,
  '[1]Hoja 1'!$R:$R, "&gt;="&amp;INT($U$1),
  '[1]Hoja 1'!$R:$R, "&lt;"&amp;INT($V$1+1)
)</f>
        <v>0</v>
      </c>
      <c r="T197" s="1">
        <f t="shared" si="262"/>
        <v>0</v>
      </c>
      <c r="U197" s="9">
        <f t="shared" si="263"/>
        <v>0</v>
      </c>
      <c r="V197" s="10">
        <f t="shared" si="264"/>
        <v>0</v>
      </c>
      <c r="W197" s="1">
        <f>SUMIFS(
  '[1]Hoja 1'!$M:$M,
  '[1]Hoja 1'!$S:$S, $A197,
  '[1]Hoja 1'!$R:$R, "&gt;="&amp;INT($Y$1),
  '[1]Hoja 1'!$R:$R, "&lt;"&amp;INT($Z$1+1)
)</f>
        <v>0</v>
      </c>
      <c r="X197" s="1">
        <f t="shared" si="265"/>
        <v>0</v>
      </c>
      <c r="Y197" s="9">
        <f t="shared" si="266"/>
        <v>0</v>
      </c>
      <c r="Z197" s="10">
        <f t="shared" si="267"/>
        <v>0</v>
      </c>
      <c r="AA197" s="1">
        <f>SUMIFS(
  '[1]Hoja 1'!$M:$M,
  '[1]Hoja 1'!$S:$S, $A197,
  '[1]Hoja 1'!$R:$R, "&gt;="&amp;INT($AC$1),
  '[1]Hoja 1'!$R:$R, "&lt;"&amp;INT($AD$1+1)
)</f>
        <v>0</v>
      </c>
      <c r="AB197" s="1">
        <f t="shared" si="268"/>
        <v>0</v>
      </c>
      <c r="AC197" s="9">
        <f t="shared" si="269"/>
        <v>0</v>
      </c>
      <c r="AD197" s="10">
        <f t="shared" si="270"/>
        <v>0</v>
      </c>
      <c r="AE197" s="1">
        <f>SUMIFS(
  '[1]Hoja 1'!$M:$M,
  '[1]Hoja 1'!$S:$S, $A197,
  '[1]Hoja 1'!$R:$R, "&gt;="&amp;INT($AG$1),
  '[1]Hoja 1'!$R:$R, "&lt;"&amp;INT($AH$1+1)
)</f>
        <v>0</v>
      </c>
      <c r="AF197" s="1">
        <f t="shared" si="271"/>
        <v>0</v>
      </c>
      <c r="AG197" s="9">
        <f t="shared" si="272"/>
        <v>0</v>
      </c>
      <c r="AH197" s="10">
        <f t="shared" si="273"/>
        <v>0</v>
      </c>
      <c r="AI197" s="1">
        <f>SUMIFS(
  '[1]Hoja 1'!$M:$M,
  '[1]Hoja 1'!$S:$S, $A197,
  '[1]Hoja 1'!$R:$R, "&gt;="&amp;INT($AK$1),
  '[1]Hoja 1'!$R:$R, "&lt;"&amp;INT($AL$1+1)
)</f>
        <v>0</v>
      </c>
      <c r="AJ197" s="1">
        <f t="shared" si="274"/>
        <v>0</v>
      </c>
      <c r="AK197" s="9">
        <f t="shared" si="275"/>
        <v>0</v>
      </c>
      <c r="AL197" s="10">
        <f t="shared" si="276"/>
        <v>0</v>
      </c>
      <c r="AM197" s="1">
        <f>SUMIFS(
  '[1]Hoja 1'!$M:$M,
  '[1]Hoja 1'!$S:$S, $A197,
  '[1]Hoja 1'!$R:$R, "&gt;="&amp;INT($AO$1),
  '[1]Hoja 1'!$R:$R, "&lt;"&amp;INT($AP$1+1)
)</f>
        <v>0</v>
      </c>
      <c r="AN197" s="1">
        <f t="shared" si="277"/>
        <v>0</v>
      </c>
      <c r="AO197" s="9">
        <f t="shared" si="278"/>
        <v>0</v>
      </c>
      <c r="AP197" s="10">
        <f t="shared" si="279"/>
        <v>0</v>
      </c>
      <c r="AQ197" s="1">
        <f>SUMIFS(
  '[1]Hoja 1'!$M:$M,
  '[1]Hoja 1'!$S:$S, $A197,
  '[1]Hoja 1'!$R:$R, "&gt;="&amp;INT($AS$1),
  '[1]Hoja 1'!$R:$R, "&lt;"&amp;INT($AT$1+1)
)</f>
        <v>0</v>
      </c>
      <c r="AR197" s="1">
        <f t="shared" si="280"/>
        <v>0</v>
      </c>
      <c r="AS197" s="9">
        <f t="shared" si="281"/>
        <v>0</v>
      </c>
      <c r="AT197" s="10">
        <f t="shared" si="282"/>
        <v>0</v>
      </c>
      <c r="AU197" s="1">
        <f>SUMIFS(
  '[1]Hoja 1'!$M:$M,
  '[1]Hoja 1'!$S:$S, $A197,
  '[1]Hoja 1'!$R:$R, "&gt;="&amp;INT($AW$1),
  '[1]Hoja 1'!$R:$R, "&lt;"&amp;INT($AX$1+1)
)</f>
        <v>0</v>
      </c>
      <c r="AV197" s="1">
        <f t="shared" si="283"/>
        <v>0</v>
      </c>
      <c r="AW197" s="9">
        <f t="shared" si="284"/>
        <v>0</v>
      </c>
      <c r="AX197" s="10">
        <f t="shared" si="285"/>
        <v>0</v>
      </c>
      <c r="AY197" s="1">
        <f>SUMIFS(
  '[1]Hoja 1'!$M:$M,
  '[1]Hoja 1'!$S:$S, $A197,
  '[1]Hoja 1'!$R:$R, "&gt;="&amp;INT($BA$1),
  '[1]Hoja 1'!$R:$R, "&lt;"&amp;INT($BB$1+1)
)</f>
        <v>0</v>
      </c>
      <c r="AZ197" s="1">
        <f t="shared" si="286"/>
        <v>0</v>
      </c>
      <c r="BA197" s="9">
        <f t="shared" si="287"/>
        <v>0</v>
      </c>
      <c r="BB197" s="10">
        <f t="shared" si="288"/>
        <v>0</v>
      </c>
      <c r="BC197" s="1">
        <f>SUMIFS(
  '[1]Hoja 1'!$M:$M,
  '[1]Hoja 1'!$S:$S, $A197,
  '[1]Hoja 1'!$R:$R, "&gt;="&amp;INT($BE$1),
  '[1]Hoja 1'!$R:$R, "&lt;"&amp;INT($BF$1+1)
)</f>
        <v>0</v>
      </c>
      <c r="BD197" s="1">
        <f t="shared" si="289"/>
        <v>0</v>
      </c>
      <c r="BE197" s="9">
        <f t="shared" si="290"/>
        <v>0</v>
      </c>
      <c r="BF197" s="10">
        <f t="shared" si="291"/>
        <v>0</v>
      </c>
      <c r="BG197" s="1">
        <f>SUMIFS(
  '[1]Hoja 1'!$M:$M,
  '[1]Hoja 1'!$S:$S, $A197,
  '[1]Hoja 1'!$R:$R, "&gt;="&amp;INT($BI$1),
  '[1]Hoja 1'!$R:$R, "&lt;"&amp;INT($BJ$1+1)
)</f>
        <v>0</v>
      </c>
      <c r="BH197" s="1">
        <f t="shared" si="292"/>
        <v>0</v>
      </c>
      <c r="BI197" s="9">
        <f t="shared" si="293"/>
        <v>0</v>
      </c>
      <c r="BJ197" s="10">
        <f t="shared" si="294"/>
        <v>0</v>
      </c>
      <c r="BK197" s="1">
        <f>SUMIFS(
  '[1]Hoja 1'!$M:$M,
  '[1]Hoja 1'!$S:$S, $A197,
  '[1]Hoja 1'!$R:$R, "&gt;="&amp;INT($BM$1),
  '[1]Hoja 1'!$R:$R, "&lt;"&amp;INT($BN$1+1)
)</f>
        <v>0</v>
      </c>
      <c r="BL197" s="1">
        <f t="shared" si="295"/>
        <v>0</v>
      </c>
      <c r="BM197" s="9">
        <f t="shared" si="296"/>
        <v>0</v>
      </c>
      <c r="BN197" s="10">
        <f t="shared" si="297"/>
        <v>0</v>
      </c>
      <c r="BO197" s="1">
        <f>SUMIFS(
  '[1]Hoja 1'!$M:$M,
  '[1]Hoja 1'!$S:$S, $A197,
  '[1]Hoja 1'!$R:$R, "&gt;="&amp;INT($BQ$1),
  '[1]Hoja 1'!$R:$R, "&lt;"&amp;INT($BR$1+1)
)</f>
        <v>0</v>
      </c>
      <c r="BP197" s="1">
        <f t="shared" si="298"/>
        <v>0</v>
      </c>
      <c r="BQ197" s="9">
        <f t="shared" si="299"/>
        <v>0</v>
      </c>
      <c r="BR197" s="10">
        <f t="shared" si="300"/>
        <v>0</v>
      </c>
      <c r="BS197" s="1">
        <f>SUMIFS(
  '[1]Hoja 1'!$M:$M,
  '[1]Hoja 1'!$S:$S, $A197,
  '[1]Hoja 1'!$R:$R, "&gt;="&amp;INT($BU$1),
  '[1]Hoja 1'!$R:$R, "&lt;"&amp;INT($BV$1+1)
)</f>
        <v>0</v>
      </c>
      <c r="BT197" s="1">
        <f t="shared" si="301"/>
        <v>0</v>
      </c>
      <c r="BU197" s="9">
        <f t="shared" si="302"/>
        <v>0</v>
      </c>
      <c r="BV197" s="10">
        <f t="shared" si="303"/>
        <v>0</v>
      </c>
      <c r="BW197" s="1">
        <f>SUMIFS(
  '[1]Hoja 1'!$M:$M,
  '[1]Hoja 1'!$S:$S, $A197,
  '[1]Hoja 1'!$R:$R, "&gt;="&amp;INT($BY$1),
  '[1]Hoja 1'!$R:$R, "&lt;"&amp;INT($BZ$1+1)
)</f>
        <v>0</v>
      </c>
      <c r="BX197" s="1">
        <f t="shared" si="304"/>
        <v>0</v>
      </c>
      <c r="BY197" s="9">
        <f t="shared" si="305"/>
        <v>0</v>
      </c>
      <c r="BZ197" s="10">
        <f t="shared" si="306"/>
        <v>0</v>
      </c>
      <c r="CA197" s="1">
        <f>SUMIFS(
  '[1]Hoja 1'!$M:$M,
  '[1]Hoja 1'!$S:$S, $A197,
  '[1]Hoja 1'!$R:$R, "&gt;="&amp;INT($CC$1),
  '[1]Hoja 1'!$R:$R, "&lt;"&amp;INT($CD$1+1)
)</f>
        <v>0</v>
      </c>
      <c r="CB197" s="1">
        <f t="shared" si="307"/>
        <v>0</v>
      </c>
      <c r="CC197" s="9">
        <f t="shared" si="308"/>
        <v>0</v>
      </c>
      <c r="CD197" s="10">
        <f t="shared" si="309"/>
        <v>0</v>
      </c>
      <c r="CE197" s="1">
        <f>SUMIFS(
  '[1]Hoja 1'!$M:$M,
  '[1]Hoja 1'!$S:$S, $A197,
  '[1]Hoja 1'!$R:$R, "&gt;="&amp;INT($CG$1),
  '[1]Hoja 1'!$R:$R, "&lt;"&amp;INT($CH$1+1)
)</f>
        <v>0</v>
      </c>
      <c r="CF197" s="1">
        <f t="shared" si="310"/>
        <v>0</v>
      </c>
      <c r="CG197" s="9">
        <f t="shared" si="311"/>
        <v>0</v>
      </c>
      <c r="CH197" s="10">
        <f t="shared" si="312"/>
        <v>0</v>
      </c>
      <c r="CI197" s="1">
        <f>SUMIFS(
  '[1]Hoja 1'!$M:$M,
  '[1]Hoja 1'!$S:$S, $A197,
  '[1]Hoja 1'!$R:$R, "&gt;="&amp;INT($CK$1),
  '[1]Hoja 1'!$R:$R, "&lt;"&amp;INT($CL$1+1)
)</f>
        <v>0</v>
      </c>
      <c r="CJ197" s="1">
        <f t="shared" si="313"/>
        <v>0</v>
      </c>
      <c r="CK197" s="9">
        <f t="shared" si="314"/>
        <v>0</v>
      </c>
      <c r="CL197" s="10">
        <f t="shared" si="315"/>
        <v>0</v>
      </c>
      <c r="CM197" s="1">
        <f>SUMIFS(
  '[1]Hoja 1'!$M:$M,
  '[1]Hoja 1'!$S:$S, $A197,
  '[1]Hoja 1'!$R:$R, "&gt;="&amp;INT($CO$1),
  '[1]Hoja 1'!$R:$R, "&lt;"&amp;INT($CP$1+1)
)</f>
        <v>0</v>
      </c>
      <c r="CN197" s="1">
        <f t="shared" si="316"/>
        <v>0</v>
      </c>
      <c r="CO197" s="9">
        <f t="shared" si="317"/>
        <v>0</v>
      </c>
      <c r="CP197" s="10">
        <f t="shared" si="318"/>
        <v>0</v>
      </c>
      <c r="CQ197" s="1">
        <f>SUMIFS(
  '[1]Hoja 1'!$M:$M,
  '[1]Hoja 1'!$S:$S, $A197,
  '[1]Hoja 1'!$R:$R, "&gt;="&amp;INT($CS$1),
  '[1]Hoja 1'!$R:$R, "&lt;"&amp;INT($CT$1+1)
)</f>
        <v>0</v>
      </c>
      <c r="CR197" s="1">
        <f t="shared" si="319"/>
        <v>0</v>
      </c>
      <c r="CS197" s="9">
        <f t="shared" si="320"/>
        <v>0</v>
      </c>
      <c r="CT197" s="10">
        <f t="shared" si="321"/>
        <v>0</v>
      </c>
      <c r="CU197" s="1">
        <f>SUMIFS(
  '[1]Hoja 1'!$M:$M,
  '[1]Hoja 1'!$S:$S, $A197,
  '[1]Hoja 1'!$R:$R, "&gt;="&amp;INT($CW$1),
  '[1]Hoja 1'!$R:$R, "&lt;"&amp;INT($CX$1+1)
)</f>
        <v>0</v>
      </c>
      <c r="CV197" s="1">
        <f t="shared" si="322"/>
        <v>0</v>
      </c>
      <c r="CW197" s="9">
        <f t="shared" si="323"/>
        <v>0</v>
      </c>
      <c r="CX197" s="10">
        <f t="shared" si="324"/>
        <v>0</v>
      </c>
      <c r="CY197" s="1">
        <f>SUMIFS(
  '[1]Hoja 1'!$M:$M,
  '[1]Hoja 1'!$S:$S, $A197,
  '[1]Hoja 1'!$R:$R, "&gt;="&amp;INT($DA$1),
  '[1]Hoja 1'!$R:$R, "&lt;"&amp;INT($DB$1+1)
)</f>
        <v>0</v>
      </c>
      <c r="CZ197" s="1">
        <f t="shared" si="325"/>
        <v>0</v>
      </c>
      <c r="DA197" s="9">
        <f t="shared" si="326"/>
        <v>0</v>
      </c>
      <c r="DB197" s="10">
        <f t="shared" si="327"/>
        <v>0</v>
      </c>
      <c r="DC197" s="1">
        <f>SUMIFS(
  '[1]Hoja 1'!$M:$M,
  '[1]Hoja 1'!$S:$S, $A197,
  '[1]Hoja 1'!$R:$R, "&gt;="&amp;INT($DE$1),
  '[1]Hoja 1'!$R:$R, "&lt;"&amp;INT($DF$1+1)
)</f>
        <v>0</v>
      </c>
      <c r="DD197" s="1">
        <f t="shared" si="328"/>
        <v>0</v>
      </c>
      <c r="DE197" s="9">
        <f t="shared" si="329"/>
        <v>0</v>
      </c>
      <c r="DF197" s="10">
        <f t="shared" si="330"/>
        <v>0</v>
      </c>
      <c r="DG197" s="1">
        <f>SUMIFS(
  '[1]Hoja 1'!$M:$M,
  '[1]Hoja 1'!$S:$S, $A197,
  '[1]Hoja 1'!$R:$R, "&gt;="&amp;INT($DI$1),
  '[1]Hoja 1'!$R:$R, "&lt;"&amp;INT($DJ$1+1)
)</f>
        <v>0</v>
      </c>
      <c r="DH197" s="1">
        <f t="shared" si="331"/>
        <v>0</v>
      </c>
      <c r="DI197" s="9">
        <f t="shared" si="332"/>
        <v>0</v>
      </c>
      <c r="DJ197" s="10">
        <f t="shared" si="333"/>
        <v>0</v>
      </c>
      <c r="DK197" s="1">
        <f>SUMIFS(
  '[1]Hoja 1'!$M:$M,
  '[1]Hoja 1'!$S:$S, $A197,
  '[1]Hoja 1'!$R:$R, "&gt;="&amp;INT($DM$1),
  '[1]Hoja 1'!$R:$R, "&lt;"&amp;INT($DN$1+1)
)</f>
        <v>0</v>
      </c>
      <c r="DL197" s="1">
        <f t="shared" si="334"/>
        <v>0</v>
      </c>
      <c r="DM197" s="9">
        <f t="shared" si="335"/>
        <v>0</v>
      </c>
      <c r="DN197" s="10">
        <f t="shared" si="336"/>
        <v>0</v>
      </c>
      <c r="DO197" s="1">
        <f>SUMIFS(
  '[1]Hoja 1'!$M:$M,
  '[1]Hoja 1'!$S:$S, $A197,
  '[1]Hoja 1'!$R:$R, "&gt;="&amp;INT($DQ$1),
  '[1]Hoja 1'!$R:$R, "&lt;"&amp;INT($DR$1+1)
)</f>
        <v>0</v>
      </c>
      <c r="DP197" s="1">
        <f t="shared" si="337"/>
        <v>0</v>
      </c>
      <c r="DQ197" s="9">
        <f t="shared" si="338"/>
        <v>0</v>
      </c>
      <c r="DR197" s="10">
        <f t="shared" si="339"/>
        <v>0</v>
      </c>
    </row>
    <row r="198" spans="1:122" x14ac:dyDescent="0.25">
      <c r="A198" s="5">
        <v>235003</v>
      </c>
      <c r="B198" s="6" t="s">
        <v>194</v>
      </c>
      <c r="C198" s="1">
        <f>SUMIFS(
  '[1]Hoja 1'!$M:$M,
  '[1]Hoja 1'!$S:$S, $A198,
  '[1]Hoja 1'!$R:$R, "&gt;="&amp;INT($E$1),
  '[1]Hoja 1'!$R:$R, "&lt;"&amp;INT($F$1+1)
)</f>
        <v>0</v>
      </c>
      <c r="D198" s="1" t="str">
        <f>""</f>
        <v/>
      </c>
      <c r="F198" s="2"/>
      <c r="G198" s="1">
        <f>SUMIFS(
  '[1]Hoja 1'!$M:$M,
  '[1]Hoja 1'!$S:$S, $A198,
  '[1]Hoja 1'!$R:$R, "&gt;="&amp;INT($I$1),
  '[1]Hoja 1'!$R:$R, "&lt;"&amp;INT($J$1+1)
)</f>
        <v>0</v>
      </c>
      <c r="H198" s="1">
        <f t="shared" si="255"/>
        <v>0</v>
      </c>
      <c r="I198" s="1"/>
      <c r="J198" s="2"/>
      <c r="K198" s="1">
        <f>SUMIFS(
  '[1]Hoja 1'!$M:$M,
  '[1]Hoja 1'!$S:$S, $A198,
  '[1]Hoja 1'!$R:$R, "&gt;="&amp;INT($M$1),
  '[1]Hoja 1'!$R:$R, "&lt;"&amp;INT($N$1+1)
)</f>
        <v>0</v>
      </c>
      <c r="L198" s="1">
        <f t="shared" si="256"/>
        <v>0</v>
      </c>
      <c r="M198" s="9">
        <f t="shared" si="257"/>
        <v>0</v>
      </c>
      <c r="N198" s="10">
        <f t="shared" si="258"/>
        <v>0</v>
      </c>
      <c r="O198" s="1">
        <f>SUMIFS(
  '[1]Hoja 1'!$M:$M,
  '[1]Hoja 1'!$S:$S, $A198,
  '[1]Hoja 1'!$R:$R, "&gt;="&amp;INT($Q$1),
  '[1]Hoja 1'!$R:$R, "&lt;"&amp;INT($R$1+1)
)</f>
        <v>0</v>
      </c>
      <c r="P198" s="1">
        <f t="shared" si="259"/>
        <v>0</v>
      </c>
      <c r="Q198" s="9">
        <f t="shared" si="260"/>
        <v>0</v>
      </c>
      <c r="R198" s="10">
        <f t="shared" si="261"/>
        <v>0</v>
      </c>
      <c r="S198" s="1">
        <f>SUMIFS(
  '[1]Hoja 1'!$M:$M,
  '[1]Hoja 1'!$S:$S, $A198,
  '[1]Hoja 1'!$R:$R, "&gt;="&amp;INT($U$1),
  '[1]Hoja 1'!$R:$R, "&lt;"&amp;INT($V$1+1)
)</f>
        <v>0</v>
      </c>
      <c r="T198" s="1">
        <f t="shared" si="262"/>
        <v>0</v>
      </c>
      <c r="U198" s="9">
        <f t="shared" si="263"/>
        <v>0</v>
      </c>
      <c r="V198" s="10">
        <f t="shared" si="264"/>
        <v>0</v>
      </c>
      <c r="W198" s="1">
        <f>SUMIFS(
  '[1]Hoja 1'!$M:$M,
  '[1]Hoja 1'!$S:$S, $A198,
  '[1]Hoja 1'!$R:$R, "&gt;="&amp;INT($Y$1),
  '[1]Hoja 1'!$R:$R, "&lt;"&amp;INT($Z$1+1)
)</f>
        <v>0</v>
      </c>
      <c r="X198" s="1">
        <f t="shared" si="265"/>
        <v>0</v>
      </c>
      <c r="Y198" s="9">
        <f t="shared" si="266"/>
        <v>0</v>
      </c>
      <c r="Z198" s="10">
        <f t="shared" si="267"/>
        <v>0</v>
      </c>
      <c r="AA198" s="1">
        <f>SUMIFS(
  '[1]Hoja 1'!$M:$M,
  '[1]Hoja 1'!$S:$S, $A198,
  '[1]Hoja 1'!$R:$R, "&gt;="&amp;INT($AC$1),
  '[1]Hoja 1'!$R:$R, "&lt;"&amp;INT($AD$1+1)
)</f>
        <v>0</v>
      </c>
      <c r="AB198" s="1">
        <f t="shared" si="268"/>
        <v>0</v>
      </c>
      <c r="AC198" s="9">
        <f t="shared" si="269"/>
        <v>0</v>
      </c>
      <c r="AD198" s="10">
        <f t="shared" si="270"/>
        <v>0</v>
      </c>
      <c r="AE198" s="1">
        <f>SUMIFS(
  '[1]Hoja 1'!$M:$M,
  '[1]Hoja 1'!$S:$S, $A198,
  '[1]Hoja 1'!$R:$R, "&gt;="&amp;INT($AG$1),
  '[1]Hoja 1'!$R:$R, "&lt;"&amp;INT($AH$1+1)
)</f>
        <v>0</v>
      </c>
      <c r="AF198" s="1">
        <f t="shared" si="271"/>
        <v>0</v>
      </c>
      <c r="AG198" s="9">
        <f t="shared" si="272"/>
        <v>0</v>
      </c>
      <c r="AH198" s="10">
        <f t="shared" si="273"/>
        <v>0</v>
      </c>
      <c r="AI198" s="1">
        <f>SUMIFS(
  '[1]Hoja 1'!$M:$M,
  '[1]Hoja 1'!$S:$S, $A198,
  '[1]Hoja 1'!$R:$R, "&gt;="&amp;INT($AK$1),
  '[1]Hoja 1'!$R:$R, "&lt;"&amp;INT($AL$1+1)
)</f>
        <v>0</v>
      </c>
      <c r="AJ198" s="1">
        <f t="shared" si="274"/>
        <v>0</v>
      </c>
      <c r="AK198" s="9">
        <f t="shared" si="275"/>
        <v>0</v>
      </c>
      <c r="AL198" s="10">
        <f t="shared" si="276"/>
        <v>0</v>
      </c>
      <c r="AM198" s="1">
        <f>SUMIFS(
  '[1]Hoja 1'!$M:$M,
  '[1]Hoja 1'!$S:$S, $A198,
  '[1]Hoja 1'!$R:$R, "&gt;="&amp;INT($AO$1),
  '[1]Hoja 1'!$R:$R, "&lt;"&amp;INT($AP$1+1)
)</f>
        <v>0</v>
      </c>
      <c r="AN198" s="1">
        <f t="shared" si="277"/>
        <v>0</v>
      </c>
      <c r="AO198" s="9">
        <f t="shared" si="278"/>
        <v>0</v>
      </c>
      <c r="AP198" s="10">
        <f t="shared" si="279"/>
        <v>0</v>
      </c>
      <c r="AQ198" s="1">
        <f>SUMIFS(
  '[1]Hoja 1'!$M:$M,
  '[1]Hoja 1'!$S:$S, $A198,
  '[1]Hoja 1'!$R:$R, "&gt;="&amp;INT($AS$1),
  '[1]Hoja 1'!$R:$R, "&lt;"&amp;INT($AT$1+1)
)</f>
        <v>0</v>
      </c>
      <c r="AR198" s="1">
        <f t="shared" si="280"/>
        <v>0</v>
      </c>
      <c r="AS198" s="9">
        <f t="shared" si="281"/>
        <v>0</v>
      </c>
      <c r="AT198" s="10">
        <f t="shared" si="282"/>
        <v>0</v>
      </c>
      <c r="AU198" s="1">
        <f>SUMIFS(
  '[1]Hoja 1'!$M:$M,
  '[1]Hoja 1'!$S:$S, $A198,
  '[1]Hoja 1'!$R:$R, "&gt;="&amp;INT($AW$1),
  '[1]Hoja 1'!$R:$R, "&lt;"&amp;INT($AX$1+1)
)</f>
        <v>0</v>
      </c>
      <c r="AV198" s="1">
        <f t="shared" si="283"/>
        <v>0</v>
      </c>
      <c r="AW198" s="9">
        <f t="shared" si="284"/>
        <v>0</v>
      </c>
      <c r="AX198" s="10">
        <f t="shared" si="285"/>
        <v>0</v>
      </c>
      <c r="AY198" s="1">
        <f>SUMIFS(
  '[1]Hoja 1'!$M:$M,
  '[1]Hoja 1'!$S:$S, $A198,
  '[1]Hoja 1'!$R:$R, "&gt;="&amp;INT($BA$1),
  '[1]Hoja 1'!$R:$R, "&lt;"&amp;INT($BB$1+1)
)</f>
        <v>0</v>
      </c>
      <c r="AZ198" s="1">
        <f t="shared" si="286"/>
        <v>0</v>
      </c>
      <c r="BA198" s="9">
        <f t="shared" si="287"/>
        <v>0</v>
      </c>
      <c r="BB198" s="10">
        <f t="shared" si="288"/>
        <v>0</v>
      </c>
      <c r="BC198" s="1">
        <f>SUMIFS(
  '[1]Hoja 1'!$M:$M,
  '[1]Hoja 1'!$S:$S, $A198,
  '[1]Hoja 1'!$R:$R, "&gt;="&amp;INT($BE$1),
  '[1]Hoja 1'!$R:$R, "&lt;"&amp;INT($BF$1+1)
)</f>
        <v>0</v>
      </c>
      <c r="BD198" s="1">
        <f t="shared" si="289"/>
        <v>0</v>
      </c>
      <c r="BE198" s="9">
        <f t="shared" si="290"/>
        <v>0</v>
      </c>
      <c r="BF198" s="10">
        <f t="shared" si="291"/>
        <v>0</v>
      </c>
      <c r="BG198" s="1">
        <f>SUMIFS(
  '[1]Hoja 1'!$M:$M,
  '[1]Hoja 1'!$S:$S, $A198,
  '[1]Hoja 1'!$R:$R, "&gt;="&amp;INT($BI$1),
  '[1]Hoja 1'!$R:$R, "&lt;"&amp;INT($BJ$1+1)
)</f>
        <v>0</v>
      </c>
      <c r="BH198" s="1">
        <f t="shared" si="292"/>
        <v>0</v>
      </c>
      <c r="BI198" s="9">
        <f t="shared" si="293"/>
        <v>0</v>
      </c>
      <c r="BJ198" s="10">
        <f t="shared" si="294"/>
        <v>0</v>
      </c>
      <c r="BK198" s="1">
        <f>SUMIFS(
  '[1]Hoja 1'!$M:$M,
  '[1]Hoja 1'!$S:$S, $A198,
  '[1]Hoja 1'!$R:$R, "&gt;="&amp;INT($BM$1),
  '[1]Hoja 1'!$R:$R, "&lt;"&amp;INT($BN$1+1)
)</f>
        <v>0</v>
      </c>
      <c r="BL198" s="1">
        <f t="shared" si="295"/>
        <v>0</v>
      </c>
      <c r="BM198" s="9">
        <f t="shared" si="296"/>
        <v>0</v>
      </c>
      <c r="BN198" s="10">
        <f t="shared" si="297"/>
        <v>0</v>
      </c>
      <c r="BO198" s="1">
        <f>SUMIFS(
  '[1]Hoja 1'!$M:$M,
  '[1]Hoja 1'!$S:$S, $A198,
  '[1]Hoja 1'!$R:$R, "&gt;="&amp;INT($BQ$1),
  '[1]Hoja 1'!$R:$R, "&lt;"&amp;INT($BR$1+1)
)</f>
        <v>0</v>
      </c>
      <c r="BP198" s="1">
        <f t="shared" si="298"/>
        <v>0</v>
      </c>
      <c r="BQ198" s="9">
        <f t="shared" si="299"/>
        <v>0</v>
      </c>
      <c r="BR198" s="10">
        <f t="shared" si="300"/>
        <v>0</v>
      </c>
      <c r="BS198" s="1">
        <f>SUMIFS(
  '[1]Hoja 1'!$M:$M,
  '[1]Hoja 1'!$S:$S, $A198,
  '[1]Hoja 1'!$R:$R, "&gt;="&amp;INT($BU$1),
  '[1]Hoja 1'!$R:$R, "&lt;"&amp;INT($BV$1+1)
)</f>
        <v>0</v>
      </c>
      <c r="BT198" s="1">
        <f t="shared" si="301"/>
        <v>0</v>
      </c>
      <c r="BU198" s="9">
        <f t="shared" si="302"/>
        <v>0</v>
      </c>
      <c r="BV198" s="10">
        <f t="shared" si="303"/>
        <v>0</v>
      </c>
      <c r="BW198" s="1">
        <f>SUMIFS(
  '[1]Hoja 1'!$M:$M,
  '[1]Hoja 1'!$S:$S, $A198,
  '[1]Hoja 1'!$R:$R, "&gt;="&amp;INT($BY$1),
  '[1]Hoja 1'!$R:$R, "&lt;"&amp;INT($BZ$1+1)
)</f>
        <v>0</v>
      </c>
      <c r="BX198" s="1">
        <f t="shared" si="304"/>
        <v>0</v>
      </c>
      <c r="BY198" s="9">
        <f t="shared" si="305"/>
        <v>0</v>
      </c>
      <c r="BZ198" s="10">
        <f t="shared" si="306"/>
        <v>0</v>
      </c>
      <c r="CA198" s="1">
        <f>SUMIFS(
  '[1]Hoja 1'!$M:$M,
  '[1]Hoja 1'!$S:$S, $A198,
  '[1]Hoja 1'!$R:$R, "&gt;="&amp;INT($CC$1),
  '[1]Hoja 1'!$R:$R, "&lt;"&amp;INT($CD$1+1)
)</f>
        <v>0</v>
      </c>
      <c r="CB198" s="1">
        <f t="shared" si="307"/>
        <v>0</v>
      </c>
      <c r="CC198" s="9">
        <f t="shared" si="308"/>
        <v>0</v>
      </c>
      <c r="CD198" s="10">
        <f t="shared" si="309"/>
        <v>0</v>
      </c>
      <c r="CE198" s="1">
        <f>SUMIFS(
  '[1]Hoja 1'!$M:$M,
  '[1]Hoja 1'!$S:$S, $A198,
  '[1]Hoja 1'!$R:$R, "&gt;="&amp;INT($CG$1),
  '[1]Hoja 1'!$R:$R, "&lt;"&amp;INT($CH$1+1)
)</f>
        <v>0</v>
      </c>
      <c r="CF198" s="1">
        <f t="shared" si="310"/>
        <v>0</v>
      </c>
      <c r="CG198" s="9">
        <f t="shared" si="311"/>
        <v>0</v>
      </c>
      <c r="CH198" s="10">
        <f t="shared" si="312"/>
        <v>0</v>
      </c>
      <c r="CI198" s="1">
        <f>SUMIFS(
  '[1]Hoja 1'!$M:$M,
  '[1]Hoja 1'!$S:$S, $A198,
  '[1]Hoja 1'!$R:$R, "&gt;="&amp;INT($CK$1),
  '[1]Hoja 1'!$R:$R, "&lt;"&amp;INT($CL$1+1)
)</f>
        <v>0</v>
      </c>
      <c r="CJ198" s="1">
        <f t="shared" si="313"/>
        <v>0</v>
      </c>
      <c r="CK198" s="9">
        <f t="shared" si="314"/>
        <v>0</v>
      </c>
      <c r="CL198" s="10">
        <f t="shared" si="315"/>
        <v>0</v>
      </c>
      <c r="CM198" s="1">
        <f>SUMIFS(
  '[1]Hoja 1'!$M:$M,
  '[1]Hoja 1'!$S:$S, $A198,
  '[1]Hoja 1'!$R:$R, "&gt;="&amp;INT($CO$1),
  '[1]Hoja 1'!$R:$R, "&lt;"&amp;INT($CP$1+1)
)</f>
        <v>0</v>
      </c>
      <c r="CN198" s="1">
        <f t="shared" si="316"/>
        <v>0</v>
      </c>
      <c r="CO198" s="9">
        <f t="shared" si="317"/>
        <v>0</v>
      </c>
      <c r="CP198" s="10">
        <f t="shared" si="318"/>
        <v>0</v>
      </c>
      <c r="CQ198" s="1">
        <f>SUMIFS(
  '[1]Hoja 1'!$M:$M,
  '[1]Hoja 1'!$S:$S, $A198,
  '[1]Hoja 1'!$R:$R, "&gt;="&amp;INT($CS$1),
  '[1]Hoja 1'!$R:$R, "&lt;"&amp;INT($CT$1+1)
)</f>
        <v>0</v>
      </c>
      <c r="CR198" s="1">
        <f t="shared" si="319"/>
        <v>0</v>
      </c>
      <c r="CS198" s="9">
        <f t="shared" si="320"/>
        <v>0</v>
      </c>
      <c r="CT198" s="10">
        <f t="shared" si="321"/>
        <v>0</v>
      </c>
      <c r="CU198" s="1">
        <f>SUMIFS(
  '[1]Hoja 1'!$M:$M,
  '[1]Hoja 1'!$S:$S, $A198,
  '[1]Hoja 1'!$R:$R, "&gt;="&amp;INT($CW$1),
  '[1]Hoja 1'!$R:$R, "&lt;"&amp;INT($CX$1+1)
)</f>
        <v>0</v>
      </c>
      <c r="CV198" s="1">
        <f t="shared" si="322"/>
        <v>0</v>
      </c>
      <c r="CW198" s="9">
        <f t="shared" si="323"/>
        <v>0</v>
      </c>
      <c r="CX198" s="10">
        <f t="shared" si="324"/>
        <v>0</v>
      </c>
      <c r="CY198" s="1">
        <f>SUMIFS(
  '[1]Hoja 1'!$M:$M,
  '[1]Hoja 1'!$S:$S, $A198,
  '[1]Hoja 1'!$R:$R, "&gt;="&amp;INT($DA$1),
  '[1]Hoja 1'!$R:$R, "&lt;"&amp;INT($DB$1+1)
)</f>
        <v>0</v>
      </c>
      <c r="CZ198" s="1">
        <f t="shared" si="325"/>
        <v>0</v>
      </c>
      <c r="DA198" s="9">
        <f t="shared" si="326"/>
        <v>0</v>
      </c>
      <c r="DB198" s="10">
        <f t="shared" si="327"/>
        <v>0</v>
      </c>
      <c r="DC198" s="1">
        <f>SUMIFS(
  '[1]Hoja 1'!$M:$M,
  '[1]Hoja 1'!$S:$S, $A198,
  '[1]Hoja 1'!$R:$R, "&gt;="&amp;INT($DE$1),
  '[1]Hoja 1'!$R:$R, "&lt;"&amp;INT($DF$1+1)
)</f>
        <v>0</v>
      </c>
      <c r="DD198" s="1">
        <f t="shared" si="328"/>
        <v>0</v>
      </c>
      <c r="DE198" s="9">
        <f t="shared" si="329"/>
        <v>0</v>
      </c>
      <c r="DF198" s="10">
        <f t="shared" si="330"/>
        <v>0</v>
      </c>
      <c r="DG198" s="1">
        <f>SUMIFS(
  '[1]Hoja 1'!$M:$M,
  '[1]Hoja 1'!$S:$S, $A198,
  '[1]Hoja 1'!$R:$R, "&gt;="&amp;INT($DI$1),
  '[1]Hoja 1'!$R:$R, "&lt;"&amp;INT($DJ$1+1)
)</f>
        <v>0</v>
      </c>
      <c r="DH198" s="1">
        <f t="shared" si="331"/>
        <v>0</v>
      </c>
      <c r="DI198" s="9">
        <f t="shared" si="332"/>
        <v>0</v>
      </c>
      <c r="DJ198" s="10">
        <f t="shared" si="333"/>
        <v>0</v>
      </c>
      <c r="DK198" s="1">
        <f>SUMIFS(
  '[1]Hoja 1'!$M:$M,
  '[1]Hoja 1'!$S:$S, $A198,
  '[1]Hoja 1'!$R:$R, "&gt;="&amp;INT($DM$1),
  '[1]Hoja 1'!$R:$R, "&lt;"&amp;INT($DN$1+1)
)</f>
        <v>0</v>
      </c>
      <c r="DL198" s="1">
        <f t="shared" si="334"/>
        <v>0</v>
      </c>
      <c r="DM198" s="9">
        <f t="shared" si="335"/>
        <v>0</v>
      </c>
      <c r="DN198" s="10">
        <f t="shared" si="336"/>
        <v>0</v>
      </c>
      <c r="DO198" s="1">
        <f>SUMIFS(
  '[1]Hoja 1'!$M:$M,
  '[1]Hoja 1'!$S:$S, $A198,
  '[1]Hoja 1'!$R:$R, "&gt;="&amp;INT($DQ$1),
  '[1]Hoja 1'!$R:$R, "&lt;"&amp;INT($DR$1+1)
)</f>
        <v>0</v>
      </c>
      <c r="DP198" s="1">
        <f t="shared" si="337"/>
        <v>0</v>
      </c>
      <c r="DQ198" s="9">
        <f t="shared" si="338"/>
        <v>0</v>
      </c>
      <c r="DR198" s="10">
        <f t="shared" si="339"/>
        <v>0</v>
      </c>
    </row>
    <row r="199" spans="1:122" x14ac:dyDescent="0.25">
      <c r="A199" s="5">
        <v>235004</v>
      </c>
      <c r="B199" s="6" t="s">
        <v>195</v>
      </c>
      <c r="C199" s="1">
        <f>SUMIFS(
  '[1]Hoja 1'!$M:$M,
  '[1]Hoja 1'!$S:$S, $A199,
  '[1]Hoja 1'!$R:$R, "&gt;="&amp;INT($E$1),
  '[1]Hoja 1'!$R:$R, "&lt;"&amp;INT($F$1+1)
)</f>
        <v>0</v>
      </c>
      <c r="D199" s="1" t="str">
        <f>""</f>
        <v/>
      </c>
      <c r="F199" s="2"/>
      <c r="G199" s="1">
        <f>SUMIFS(
  '[1]Hoja 1'!$M:$M,
  '[1]Hoja 1'!$S:$S, $A199,
  '[1]Hoja 1'!$R:$R, "&gt;="&amp;INT($I$1),
  '[1]Hoja 1'!$R:$R, "&lt;"&amp;INT($J$1+1)
)</f>
        <v>0</v>
      </c>
      <c r="H199" s="1">
        <f t="shared" si="255"/>
        <v>0</v>
      </c>
      <c r="I199" s="1"/>
      <c r="J199" s="2"/>
      <c r="K199" s="1">
        <f>SUMIFS(
  '[1]Hoja 1'!$M:$M,
  '[1]Hoja 1'!$S:$S, $A199,
  '[1]Hoja 1'!$R:$R, "&gt;="&amp;INT($M$1),
  '[1]Hoja 1'!$R:$R, "&lt;"&amp;INT($N$1+1)
)</f>
        <v>0</v>
      </c>
      <c r="L199" s="1">
        <f t="shared" si="256"/>
        <v>0</v>
      </c>
      <c r="M199" s="9">
        <f t="shared" si="257"/>
        <v>0</v>
      </c>
      <c r="N199" s="10">
        <f t="shared" si="258"/>
        <v>0</v>
      </c>
      <c r="O199" s="1">
        <f>SUMIFS(
  '[1]Hoja 1'!$M:$M,
  '[1]Hoja 1'!$S:$S, $A199,
  '[1]Hoja 1'!$R:$R, "&gt;="&amp;INT($Q$1),
  '[1]Hoja 1'!$R:$R, "&lt;"&amp;INT($R$1+1)
)</f>
        <v>0</v>
      </c>
      <c r="P199" s="1">
        <f t="shared" si="259"/>
        <v>0</v>
      </c>
      <c r="Q199" s="9">
        <f t="shared" si="260"/>
        <v>0</v>
      </c>
      <c r="R199" s="10">
        <f t="shared" si="261"/>
        <v>0</v>
      </c>
      <c r="S199" s="1">
        <f>SUMIFS(
  '[1]Hoja 1'!$M:$M,
  '[1]Hoja 1'!$S:$S, $A199,
  '[1]Hoja 1'!$R:$R, "&gt;="&amp;INT($U$1),
  '[1]Hoja 1'!$R:$R, "&lt;"&amp;INT($V$1+1)
)</f>
        <v>0</v>
      </c>
      <c r="T199" s="1">
        <f t="shared" si="262"/>
        <v>0</v>
      </c>
      <c r="U199" s="9">
        <f t="shared" si="263"/>
        <v>0</v>
      </c>
      <c r="V199" s="10">
        <f t="shared" si="264"/>
        <v>0</v>
      </c>
      <c r="W199" s="1">
        <f>SUMIFS(
  '[1]Hoja 1'!$M:$M,
  '[1]Hoja 1'!$S:$S, $A199,
  '[1]Hoja 1'!$R:$R, "&gt;="&amp;INT($Y$1),
  '[1]Hoja 1'!$R:$R, "&lt;"&amp;INT($Z$1+1)
)</f>
        <v>0</v>
      </c>
      <c r="X199" s="1">
        <f t="shared" si="265"/>
        <v>0</v>
      </c>
      <c r="Y199" s="9">
        <f t="shared" si="266"/>
        <v>0</v>
      </c>
      <c r="Z199" s="10">
        <f t="shared" si="267"/>
        <v>0</v>
      </c>
      <c r="AA199" s="1">
        <f>SUMIFS(
  '[1]Hoja 1'!$M:$M,
  '[1]Hoja 1'!$S:$S, $A199,
  '[1]Hoja 1'!$R:$R, "&gt;="&amp;INT($AC$1),
  '[1]Hoja 1'!$R:$R, "&lt;"&amp;INT($AD$1+1)
)</f>
        <v>0</v>
      </c>
      <c r="AB199" s="1">
        <f t="shared" si="268"/>
        <v>0</v>
      </c>
      <c r="AC199" s="9">
        <f t="shared" si="269"/>
        <v>0</v>
      </c>
      <c r="AD199" s="10">
        <f t="shared" si="270"/>
        <v>0</v>
      </c>
      <c r="AE199" s="1">
        <f>SUMIFS(
  '[1]Hoja 1'!$M:$M,
  '[1]Hoja 1'!$S:$S, $A199,
  '[1]Hoja 1'!$R:$R, "&gt;="&amp;INT($AG$1),
  '[1]Hoja 1'!$R:$R, "&lt;"&amp;INT($AH$1+1)
)</f>
        <v>0</v>
      </c>
      <c r="AF199" s="1">
        <f t="shared" si="271"/>
        <v>0</v>
      </c>
      <c r="AG199" s="9">
        <f t="shared" si="272"/>
        <v>0</v>
      </c>
      <c r="AH199" s="10">
        <f t="shared" si="273"/>
        <v>0</v>
      </c>
      <c r="AI199" s="1">
        <f>SUMIFS(
  '[1]Hoja 1'!$M:$M,
  '[1]Hoja 1'!$S:$S, $A199,
  '[1]Hoja 1'!$R:$R, "&gt;="&amp;INT($AK$1),
  '[1]Hoja 1'!$R:$R, "&lt;"&amp;INT($AL$1+1)
)</f>
        <v>0</v>
      </c>
      <c r="AJ199" s="1">
        <f t="shared" si="274"/>
        <v>0</v>
      </c>
      <c r="AK199" s="9">
        <f t="shared" si="275"/>
        <v>0</v>
      </c>
      <c r="AL199" s="10">
        <f t="shared" si="276"/>
        <v>0</v>
      </c>
      <c r="AM199" s="1">
        <f>SUMIFS(
  '[1]Hoja 1'!$M:$M,
  '[1]Hoja 1'!$S:$S, $A199,
  '[1]Hoja 1'!$R:$R, "&gt;="&amp;INT($AO$1),
  '[1]Hoja 1'!$R:$R, "&lt;"&amp;INT($AP$1+1)
)</f>
        <v>0</v>
      </c>
      <c r="AN199" s="1">
        <f t="shared" si="277"/>
        <v>0</v>
      </c>
      <c r="AO199" s="9">
        <f t="shared" si="278"/>
        <v>0</v>
      </c>
      <c r="AP199" s="10">
        <f t="shared" si="279"/>
        <v>0</v>
      </c>
      <c r="AQ199" s="1">
        <f>SUMIFS(
  '[1]Hoja 1'!$M:$M,
  '[1]Hoja 1'!$S:$S, $A199,
  '[1]Hoja 1'!$R:$R, "&gt;="&amp;INT($AS$1),
  '[1]Hoja 1'!$R:$R, "&lt;"&amp;INT($AT$1+1)
)</f>
        <v>0</v>
      </c>
      <c r="AR199" s="1">
        <f t="shared" si="280"/>
        <v>0</v>
      </c>
      <c r="AS199" s="9">
        <f t="shared" si="281"/>
        <v>0</v>
      </c>
      <c r="AT199" s="10">
        <f t="shared" si="282"/>
        <v>0</v>
      </c>
      <c r="AU199" s="1">
        <f>SUMIFS(
  '[1]Hoja 1'!$M:$M,
  '[1]Hoja 1'!$S:$S, $A199,
  '[1]Hoja 1'!$R:$R, "&gt;="&amp;INT($AW$1),
  '[1]Hoja 1'!$R:$R, "&lt;"&amp;INT($AX$1+1)
)</f>
        <v>0</v>
      </c>
      <c r="AV199" s="1">
        <f t="shared" si="283"/>
        <v>0</v>
      </c>
      <c r="AW199" s="9">
        <f t="shared" si="284"/>
        <v>0</v>
      </c>
      <c r="AX199" s="10">
        <f t="shared" si="285"/>
        <v>0</v>
      </c>
      <c r="AY199" s="1">
        <f>SUMIFS(
  '[1]Hoja 1'!$M:$M,
  '[1]Hoja 1'!$S:$S, $A199,
  '[1]Hoja 1'!$R:$R, "&gt;="&amp;INT($BA$1),
  '[1]Hoja 1'!$R:$R, "&lt;"&amp;INT($BB$1+1)
)</f>
        <v>0</v>
      </c>
      <c r="AZ199" s="1">
        <f t="shared" si="286"/>
        <v>0</v>
      </c>
      <c r="BA199" s="9">
        <f t="shared" si="287"/>
        <v>0</v>
      </c>
      <c r="BB199" s="10">
        <f t="shared" si="288"/>
        <v>0</v>
      </c>
      <c r="BC199" s="1">
        <f>SUMIFS(
  '[1]Hoja 1'!$M:$M,
  '[1]Hoja 1'!$S:$S, $A199,
  '[1]Hoja 1'!$R:$R, "&gt;="&amp;INT($BE$1),
  '[1]Hoja 1'!$R:$R, "&lt;"&amp;INT($BF$1+1)
)</f>
        <v>0</v>
      </c>
      <c r="BD199" s="1">
        <f t="shared" si="289"/>
        <v>0</v>
      </c>
      <c r="BE199" s="9">
        <f t="shared" si="290"/>
        <v>0</v>
      </c>
      <c r="BF199" s="10">
        <f t="shared" si="291"/>
        <v>0</v>
      </c>
      <c r="BG199" s="1">
        <f>SUMIFS(
  '[1]Hoja 1'!$M:$M,
  '[1]Hoja 1'!$S:$S, $A199,
  '[1]Hoja 1'!$R:$R, "&gt;="&amp;INT($BI$1),
  '[1]Hoja 1'!$R:$R, "&lt;"&amp;INT($BJ$1+1)
)</f>
        <v>0</v>
      </c>
      <c r="BH199" s="1">
        <f t="shared" si="292"/>
        <v>0</v>
      </c>
      <c r="BI199" s="9">
        <f t="shared" si="293"/>
        <v>0</v>
      </c>
      <c r="BJ199" s="10">
        <f t="shared" si="294"/>
        <v>0</v>
      </c>
      <c r="BK199" s="1">
        <f>SUMIFS(
  '[1]Hoja 1'!$M:$M,
  '[1]Hoja 1'!$S:$S, $A199,
  '[1]Hoja 1'!$R:$R, "&gt;="&amp;INT($BM$1),
  '[1]Hoja 1'!$R:$R, "&lt;"&amp;INT($BN$1+1)
)</f>
        <v>0</v>
      </c>
      <c r="BL199" s="1">
        <f t="shared" si="295"/>
        <v>0</v>
      </c>
      <c r="BM199" s="9">
        <f t="shared" si="296"/>
        <v>0</v>
      </c>
      <c r="BN199" s="10">
        <f t="shared" si="297"/>
        <v>0</v>
      </c>
      <c r="BO199" s="1">
        <f>SUMIFS(
  '[1]Hoja 1'!$M:$M,
  '[1]Hoja 1'!$S:$S, $A199,
  '[1]Hoja 1'!$R:$R, "&gt;="&amp;INT($BQ$1),
  '[1]Hoja 1'!$R:$R, "&lt;"&amp;INT($BR$1+1)
)</f>
        <v>0</v>
      </c>
      <c r="BP199" s="1">
        <f t="shared" si="298"/>
        <v>0</v>
      </c>
      <c r="BQ199" s="9">
        <f t="shared" si="299"/>
        <v>0</v>
      </c>
      <c r="BR199" s="10">
        <f t="shared" si="300"/>
        <v>0</v>
      </c>
      <c r="BS199" s="1">
        <f>SUMIFS(
  '[1]Hoja 1'!$M:$M,
  '[1]Hoja 1'!$S:$S, $A199,
  '[1]Hoja 1'!$R:$R, "&gt;="&amp;INT($BU$1),
  '[1]Hoja 1'!$R:$R, "&lt;"&amp;INT($BV$1+1)
)</f>
        <v>0</v>
      </c>
      <c r="BT199" s="1">
        <f t="shared" si="301"/>
        <v>0</v>
      </c>
      <c r="BU199" s="9">
        <f t="shared" si="302"/>
        <v>0</v>
      </c>
      <c r="BV199" s="10">
        <f t="shared" si="303"/>
        <v>0</v>
      </c>
      <c r="BW199" s="1">
        <f>SUMIFS(
  '[1]Hoja 1'!$M:$M,
  '[1]Hoja 1'!$S:$S, $A199,
  '[1]Hoja 1'!$R:$R, "&gt;="&amp;INT($BY$1),
  '[1]Hoja 1'!$R:$R, "&lt;"&amp;INT($BZ$1+1)
)</f>
        <v>0</v>
      </c>
      <c r="BX199" s="1">
        <f t="shared" si="304"/>
        <v>0</v>
      </c>
      <c r="BY199" s="9">
        <f t="shared" si="305"/>
        <v>0</v>
      </c>
      <c r="BZ199" s="10">
        <f t="shared" si="306"/>
        <v>0</v>
      </c>
      <c r="CA199" s="1">
        <f>SUMIFS(
  '[1]Hoja 1'!$M:$M,
  '[1]Hoja 1'!$S:$S, $A199,
  '[1]Hoja 1'!$R:$R, "&gt;="&amp;INT($CC$1),
  '[1]Hoja 1'!$R:$R, "&lt;"&amp;INT($CD$1+1)
)</f>
        <v>0</v>
      </c>
      <c r="CB199" s="1">
        <f t="shared" si="307"/>
        <v>0</v>
      </c>
      <c r="CC199" s="9">
        <f t="shared" si="308"/>
        <v>0</v>
      </c>
      <c r="CD199" s="10">
        <f t="shared" si="309"/>
        <v>0</v>
      </c>
      <c r="CE199" s="1">
        <f>SUMIFS(
  '[1]Hoja 1'!$M:$M,
  '[1]Hoja 1'!$S:$S, $A199,
  '[1]Hoja 1'!$R:$R, "&gt;="&amp;INT($CG$1),
  '[1]Hoja 1'!$R:$R, "&lt;"&amp;INT($CH$1+1)
)</f>
        <v>0</v>
      </c>
      <c r="CF199" s="1">
        <f t="shared" si="310"/>
        <v>0</v>
      </c>
      <c r="CG199" s="9">
        <f t="shared" si="311"/>
        <v>0</v>
      </c>
      <c r="CH199" s="10">
        <f t="shared" si="312"/>
        <v>0</v>
      </c>
      <c r="CI199" s="1">
        <f>SUMIFS(
  '[1]Hoja 1'!$M:$M,
  '[1]Hoja 1'!$S:$S, $A199,
  '[1]Hoja 1'!$R:$R, "&gt;="&amp;INT($CK$1),
  '[1]Hoja 1'!$R:$R, "&lt;"&amp;INT($CL$1+1)
)</f>
        <v>0</v>
      </c>
      <c r="CJ199" s="1">
        <f t="shared" si="313"/>
        <v>0</v>
      </c>
      <c r="CK199" s="9">
        <f t="shared" si="314"/>
        <v>0</v>
      </c>
      <c r="CL199" s="10">
        <f t="shared" si="315"/>
        <v>0</v>
      </c>
      <c r="CM199" s="1">
        <f>SUMIFS(
  '[1]Hoja 1'!$M:$M,
  '[1]Hoja 1'!$S:$S, $A199,
  '[1]Hoja 1'!$R:$R, "&gt;="&amp;INT($CO$1),
  '[1]Hoja 1'!$R:$R, "&lt;"&amp;INT($CP$1+1)
)</f>
        <v>0</v>
      </c>
      <c r="CN199" s="1">
        <f t="shared" si="316"/>
        <v>0</v>
      </c>
      <c r="CO199" s="9">
        <f t="shared" si="317"/>
        <v>0</v>
      </c>
      <c r="CP199" s="10">
        <f t="shared" si="318"/>
        <v>0</v>
      </c>
      <c r="CQ199" s="1">
        <f>SUMIFS(
  '[1]Hoja 1'!$M:$M,
  '[1]Hoja 1'!$S:$S, $A199,
  '[1]Hoja 1'!$R:$R, "&gt;="&amp;INT($CS$1),
  '[1]Hoja 1'!$R:$R, "&lt;"&amp;INT($CT$1+1)
)</f>
        <v>0</v>
      </c>
      <c r="CR199" s="1">
        <f t="shared" si="319"/>
        <v>0</v>
      </c>
      <c r="CS199" s="9">
        <f t="shared" si="320"/>
        <v>0</v>
      </c>
      <c r="CT199" s="10">
        <f t="shared" si="321"/>
        <v>0</v>
      </c>
      <c r="CU199" s="1">
        <f>SUMIFS(
  '[1]Hoja 1'!$M:$M,
  '[1]Hoja 1'!$S:$S, $A199,
  '[1]Hoja 1'!$R:$R, "&gt;="&amp;INT($CW$1),
  '[1]Hoja 1'!$R:$R, "&lt;"&amp;INT($CX$1+1)
)</f>
        <v>0</v>
      </c>
      <c r="CV199" s="1">
        <f t="shared" si="322"/>
        <v>0</v>
      </c>
      <c r="CW199" s="9">
        <f t="shared" si="323"/>
        <v>0</v>
      </c>
      <c r="CX199" s="10">
        <f t="shared" si="324"/>
        <v>0</v>
      </c>
      <c r="CY199" s="1">
        <f>SUMIFS(
  '[1]Hoja 1'!$M:$M,
  '[1]Hoja 1'!$S:$S, $A199,
  '[1]Hoja 1'!$R:$R, "&gt;="&amp;INT($DA$1),
  '[1]Hoja 1'!$R:$R, "&lt;"&amp;INT($DB$1+1)
)</f>
        <v>0</v>
      </c>
      <c r="CZ199" s="1">
        <f t="shared" si="325"/>
        <v>0</v>
      </c>
      <c r="DA199" s="9">
        <f t="shared" si="326"/>
        <v>0</v>
      </c>
      <c r="DB199" s="10">
        <f t="shared" si="327"/>
        <v>0</v>
      </c>
      <c r="DC199" s="1">
        <f>SUMIFS(
  '[1]Hoja 1'!$M:$M,
  '[1]Hoja 1'!$S:$S, $A199,
  '[1]Hoja 1'!$R:$R, "&gt;="&amp;INT($DE$1),
  '[1]Hoja 1'!$R:$R, "&lt;"&amp;INT($DF$1+1)
)</f>
        <v>0</v>
      </c>
      <c r="DD199" s="1">
        <f t="shared" si="328"/>
        <v>0</v>
      </c>
      <c r="DE199" s="9">
        <f t="shared" si="329"/>
        <v>0</v>
      </c>
      <c r="DF199" s="10">
        <f t="shared" si="330"/>
        <v>0</v>
      </c>
      <c r="DG199" s="1">
        <f>SUMIFS(
  '[1]Hoja 1'!$M:$M,
  '[1]Hoja 1'!$S:$S, $A199,
  '[1]Hoja 1'!$R:$R, "&gt;="&amp;INT($DI$1),
  '[1]Hoja 1'!$R:$R, "&lt;"&amp;INT($DJ$1+1)
)</f>
        <v>0</v>
      </c>
      <c r="DH199" s="1">
        <f t="shared" si="331"/>
        <v>0</v>
      </c>
      <c r="DI199" s="9">
        <f t="shared" si="332"/>
        <v>0</v>
      </c>
      <c r="DJ199" s="10">
        <f t="shared" si="333"/>
        <v>0</v>
      </c>
      <c r="DK199" s="1">
        <f>SUMIFS(
  '[1]Hoja 1'!$M:$M,
  '[1]Hoja 1'!$S:$S, $A199,
  '[1]Hoja 1'!$R:$R, "&gt;="&amp;INT($DM$1),
  '[1]Hoja 1'!$R:$R, "&lt;"&amp;INT($DN$1+1)
)</f>
        <v>0</v>
      </c>
      <c r="DL199" s="1">
        <f t="shared" si="334"/>
        <v>0</v>
      </c>
      <c r="DM199" s="9">
        <f t="shared" si="335"/>
        <v>0</v>
      </c>
      <c r="DN199" s="10">
        <f t="shared" si="336"/>
        <v>0</v>
      </c>
      <c r="DO199" s="1">
        <f>SUMIFS(
  '[1]Hoja 1'!$M:$M,
  '[1]Hoja 1'!$S:$S, $A199,
  '[1]Hoja 1'!$R:$R, "&gt;="&amp;INT($DQ$1),
  '[1]Hoja 1'!$R:$R, "&lt;"&amp;INT($DR$1+1)
)</f>
        <v>0</v>
      </c>
      <c r="DP199" s="1">
        <f t="shared" si="337"/>
        <v>0</v>
      </c>
      <c r="DQ199" s="9">
        <f t="shared" si="338"/>
        <v>0</v>
      </c>
      <c r="DR199" s="10">
        <f t="shared" si="339"/>
        <v>0</v>
      </c>
    </row>
    <row r="200" spans="1:122" x14ac:dyDescent="0.25">
      <c r="A200" s="5">
        <v>235005</v>
      </c>
      <c r="B200" s="6" t="s">
        <v>196</v>
      </c>
      <c r="C200" s="1">
        <f>SUMIFS(
  '[1]Hoja 1'!$M:$M,
  '[1]Hoja 1'!$S:$S, $A200,
  '[1]Hoja 1'!$R:$R, "&gt;="&amp;INT($E$1),
  '[1]Hoja 1'!$R:$R, "&lt;"&amp;INT($F$1+1)
)</f>
        <v>1</v>
      </c>
      <c r="D200" s="1" t="str">
        <f>""</f>
        <v/>
      </c>
      <c r="F200" s="2"/>
      <c r="G200" s="1">
        <f>SUMIFS(
  '[1]Hoja 1'!$M:$M,
  '[1]Hoja 1'!$S:$S, $A200,
  '[1]Hoja 1'!$R:$R, "&gt;="&amp;INT($I$1),
  '[1]Hoja 1'!$R:$R, "&lt;"&amp;INT($J$1+1)
)</f>
        <v>0</v>
      </c>
      <c r="H200" s="1">
        <f t="shared" si="255"/>
        <v>0.5</v>
      </c>
      <c r="I200" s="1"/>
      <c r="J200" s="2"/>
      <c r="K200" s="1">
        <f>SUMIFS(
  '[1]Hoja 1'!$M:$M,
  '[1]Hoja 1'!$S:$S, $A200,
  '[1]Hoja 1'!$R:$R, "&gt;="&amp;INT($M$1),
  '[1]Hoja 1'!$R:$R, "&lt;"&amp;INT($N$1+1)
)</f>
        <v>0</v>
      </c>
      <c r="L200" s="1">
        <f t="shared" si="256"/>
        <v>0</v>
      </c>
      <c r="M200" s="9">
        <f t="shared" si="257"/>
        <v>-0.69296464556281656</v>
      </c>
      <c r="N200" s="10">
        <f t="shared" si="258"/>
        <v>0.69296464556281656</v>
      </c>
      <c r="O200" s="1">
        <f>SUMIFS(
  '[1]Hoja 1'!$M:$M,
  '[1]Hoja 1'!$S:$S, $A200,
  '[1]Hoja 1'!$R:$R, "&gt;="&amp;INT($Q$1),
  '[1]Hoja 1'!$R:$R, "&lt;"&amp;INT($R$1+1)
)</f>
        <v>0</v>
      </c>
      <c r="P200" s="1">
        <f t="shared" si="259"/>
        <v>0</v>
      </c>
      <c r="Q200" s="9">
        <f t="shared" si="260"/>
        <v>-0.56580326380583335</v>
      </c>
      <c r="R200" s="10">
        <f t="shared" si="261"/>
        <v>0.56580326380583335</v>
      </c>
      <c r="S200" s="1">
        <f>SUMIFS(
  '[1]Hoja 1'!$M:$M,
  '[1]Hoja 1'!$S:$S, $A200,
  '[1]Hoja 1'!$R:$R, "&gt;="&amp;INT($U$1),
  '[1]Hoja 1'!$R:$R, "&lt;"&amp;INT($V$1+1)
)</f>
        <v>0</v>
      </c>
      <c r="T200" s="1">
        <f t="shared" si="262"/>
        <v>0</v>
      </c>
      <c r="U200" s="9">
        <f t="shared" si="263"/>
        <v>-0.49</v>
      </c>
      <c r="V200" s="10">
        <f t="shared" si="264"/>
        <v>0.49</v>
      </c>
      <c r="W200" s="1">
        <f>SUMIFS(
  '[1]Hoja 1'!$M:$M,
  '[1]Hoja 1'!$S:$S, $A200,
  '[1]Hoja 1'!$R:$R, "&gt;="&amp;INT($Y$1),
  '[1]Hoja 1'!$R:$R, "&lt;"&amp;INT($Z$1+1)
)</f>
        <v>0</v>
      </c>
      <c r="X200" s="1">
        <f t="shared" si="265"/>
        <v>0</v>
      </c>
      <c r="Y200" s="9">
        <f t="shared" si="266"/>
        <v>0</v>
      </c>
      <c r="Z200" s="10">
        <f t="shared" si="267"/>
        <v>0</v>
      </c>
      <c r="AA200" s="1">
        <f>SUMIFS(
  '[1]Hoja 1'!$M:$M,
  '[1]Hoja 1'!$S:$S, $A200,
  '[1]Hoja 1'!$R:$R, "&gt;="&amp;INT($AC$1),
  '[1]Hoja 1'!$R:$R, "&lt;"&amp;INT($AD$1+1)
)</f>
        <v>0</v>
      </c>
      <c r="AB200" s="1">
        <f t="shared" si="268"/>
        <v>0</v>
      </c>
      <c r="AC200" s="9">
        <f t="shared" si="269"/>
        <v>0</v>
      </c>
      <c r="AD200" s="10">
        <f t="shared" si="270"/>
        <v>0</v>
      </c>
      <c r="AE200" s="1">
        <f>SUMIFS(
  '[1]Hoja 1'!$M:$M,
  '[1]Hoja 1'!$S:$S, $A200,
  '[1]Hoja 1'!$R:$R, "&gt;="&amp;INT($AG$1),
  '[1]Hoja 1'!$R:$R, "&lt;"&amp;INT($AH$1+1)
)</f>
        <v>0</v>
      </c>
      <c r="AF200" s="1">
        <f t="shared" si="271"/>
        <v>0</v>
      </c>
      <c r="AG200" s="9">
        <f t="shared" si="272"/>
        <v>0</v>
      </c>
      <c r="AH200" s="10">
        <f t="shared" si="273"/>
        <v>0</v>
      </c>
      <c r="AI200" s="1">
        <f>SUMIFS(
  '[1]Hoja 1'!$M:$M,
  '[1]Hoja 1'!$S:$S, $A200,
  '[1]Hoja 1'!$R:$R, "&gt;="&amp;INT($AK$1),
  '[1]Hoja 1'!$R:$R, "&lt;"&amp;INT($AL$1+1)
)</f>
        <v>0</v>
      </c>
      <c r="AJ200" s="1">
        <f t="shared" si="274"/>
        <v>0</v>
      </c>
      <c r="AK200" s="9">
        <f t="shared" si="275"/>
        <v>0</v>
      </c>
      <c r="AL200" s="10">
        <f t="shared" si="276"/>
        <v>0</v>
      </c>
      <c r="AM200" s="1">
        <f>SUMIFS(
  '[1]Hoja 1'!$M:$M,
  '[1]Hoja 1'!$S:$S, $A200,
  '[1]Hoja 1'!$R:$R, "&gt;="&amp;INT($AO$1),
  '[1]Hoja 1'!$R:$R, "&lt;"&amp;INT($AP$1+1)
)</f>
        <v>0</v>
      </c>
      <c r="AN200" s="1">
        <f t="shared" si="277"/>
        <v>0</v>
      </c>
      <c r="AO200" s="9">
        <f t="shared" si="278"/>
        <v>0</v>
      </c>
      <c r="AP200" s="10">
        <f t="shared" si="279"/>
        <v>0</v>
      </c>
      <c r="AQ200" s="1">
        <f>SUMIFS(
  '[1]Hoja 1'!$M:$M,
  '[1]Hoja 1'!$S:$S, $A200,
  '[1]Hoja 1'!$R:$R, "&gt;="&amp;INT($AS$1),
  '[1]Hoja 1'!$R:$R, "&lt;"&amp;INT($AT$1+1)
)</f>
        <v>0</v>
      </c>
      <c r="AR200" s="1">
        <f t="shared" si="280"/>
        <v>0</v>
      </c>
      <c r="AS200" s="9">
        <f t="shared" si="281"/>
        <v>0</v>
      </c>
      <c r="AT200" s="10">
        <f t="shared" si="282"/>
        <v>0</v>
      </c>
      <c r="AU200" s="1">
        <f>SUMIFS(
  '[1]Hoja 1'!$M:$M,
  '[1]Hoja 1'!$S:$S, $A200,
  '[1]Hoja 1'!$R:$R, "&gt;="&amp;INT($AW$1),
  '[1]Hoja 1'!$R:$R, "&lt;"&amp;INT($AX$1+1)
)</f>
        <v>0</v>
      </c>
      <c r="AV200" s="1">
        <f t="shared" si="283"/>
        <v>0</v>
      </c>
      <c r="AW200" s="9">
        <f t="shared" si="284"/>
        <v>0</v>
      </c>
      <c r="AX200" s="10">
        <f t="shared" si="285"/>
        <v>0</v>
      </c>
      <c r="AY200" s="1">
        <f>SUMIFS(
  '[1]Hoja 1'!$M:$M,
  '[1]Hoja 1'!$S:$S, $A200,
  '[1]Hoja 1'!$R:$R, "&gt;="&amp;INT($BA$1),
  '[1]Hoja 1'!$R:$R, "&lt;"&amp;INT($BB$1+1)
)</f>
        <v>0</v>
      </c>
      <c r="AZ200" s="1">
        <f t="shared" si="286"/>
        <v>0</v>
      </c>
      <c r="BA200" s="9">
        <f t="shared" si="287"/>
        <v>0</v>
      </c>
      <c r="BB200" s="10">
        <f t="shared" si="288"/>
        <v>0</v>
      </c>
      <c r="BC200" s="1">
        <f>SUMIFS(
  '[1]Hoja 1'!$M:$M,
  '[1]Hoja 1'!$S:$S, $A200,
  '[1]Hoja 1'!$R:$R, "&gt;="&amp;INT($BE$1),
  '[1]Hoja 1'!$R:$R, "&lt;"&amp;INT($BF$1+1)
)</f>
        <v>0</v>
      </c>
      <c r="BD200" s="1">
        <f t="shared" si="289"/>
        <v>0</v>
      </c>
      <c r="BE200" s="9">
        <f t="shared" si="290"/>
        <v>0</v>
      </c>
      <c r="BF200" s="10">
        <f t="shared" si="291"/>
        <v>0</v>
      </c>
      <c r="BG200" s="1">
        <f>SUMIFS(
  '[1]Hoja 1'!$M:$M,
  '[1]Hoja 1'!$S:$S, $A200,
  '[1]Hoja 1'!$R:$R, "&gt;="&amp;INT($BI$1),
  '[1]Hoja 1'!$R:$R, "&lt;"&amp;INT($BJ$1+1)
)</f>
        <v>0</v>
      </c>
      <c r="BH200" s="1">
        <f t="shared" si="292"/>
        <v>0</v>
      </c>
      <c r="BI200" s="9">
        <f t="shared" si="293"/>
        <v>0</v>
      </c>
      <c r="BJ200" s="10">
        <f t="shared" si="294"/>
        <v>0</v>
      </c>
      <c r="BK200" s="1">
        <f>SUMIFS(
  '[1]Hoja 1'!$M:$M,
  '[1]Hoja 1'!$S:$S, $A200,
  '[1]Hoja 1'!$R:$R, "&gt;="&amp;INT($BM$1),
  '[1]Hoja 1'!$R:$R, "&lt;"&amp;INT($BN$1+1)
)</f>
        <v>0</v>
      </c>
      <c r="BL200" s="1">
        <f t="shared" si="295"/>
        <v>0</v>
      </c>
      <c r="BM200" s="9">
        <f t="shared" si="296"/>
        <v>0</v>
      </c>
      <c r="BN200" s="10">
        <f t="shared" si="297"/>
        <v>0</v>
      </c>
      <c r="BO200" s="1">
        <f>SUMIFS(
  '[1]Hoja 1'!$M:$M,
  '[1]Hoja 1'!$S:$S, $A200,
  '[1]Hoja 1'!$R:$R, "&gt;="&amp;INT($BQ$1),
  '[1]Hoja 1'!$R:$R, "&lt;"&amp;INT($BR$1+1)
)</f>
        <v>0</v>
      </c>
      <c r="BP200" s="1">
        <f t="shared" si="298"/>
        <v>0</v>
      </c>
      <c r="BQ200" s="9">
        <f t="shared" si="299"/>
        <v>0</v>
      </c>
      <c r="BR200" s="10">
        <f t="shared" si="300"/>
        <v>0</v>
      </c>
      <c r="BS200" s="1">
        <f>SUMIFS(
  '[1]Hoja 1'!$M:$M,
  '[1]Hoja 1'!$S:$S, $A200,
  '[1]Hoja 1'!$R:$R, "&gt;="&amp;INT($BU$1),
  '[1]Hoja 1'!$R:$R, "&lt;"&amp;INT($BV$1+1)
)</f>
        <v>0</v>
      </c>
      <c r="BT200" s="1">
        <f t="shared" si="301"/>
        <v>0</v>
      </c>
      <c r="BU200" s="9">
        <f t="shared" si="302"/>
        <v>0</v>
      </c>
      <c r="BV200" s="10">
        <f t="shared" si="303"/>
        <v>0</v>
      </c>
      <c r="BW200" s="1">
        <f>SUMIFS(
  '[1]Hoja 1'!$M:$M,
  '[1]Hoja 1'!$S:$S, $A200,
  '[1]Hoja 1'!$R:$R, "&gt;="&amp;INT($BY$1),
  '[1]Hoja 1'!$R:$R, "&lt;"&amp;INT($BZ$1+1)
)</f>
        <v>0</v>
      </c>
      <c r="BX200" s="1">
        <f t="shared" si="304"/>
        <v>0</v>
      </c>
      <c r="BY200" s="9">
        <f t="shared" si="305"/>
        <v>0</v>
      </c>
      <c r="BZ200" s="10">
        <f t="shared" si="306"/>
        <v>0</v>
      </c>
      <c r="CA200" s="1">
        <f>SUMIFS(
  '[1]Hoja 1'!$M:$M,
  '[1]Hoja 1'!$S:$S, $A200,
  '[1]Hoja 1'!$R:$R, "&gt;="&amp;INT($CC$1),
  '[1]Hoja 1'!$R:$R, "&lt;"&amp;INT($CD$1+1)
)</f>
        <v>0</v>
      </c>
      <c r="CB200" s="1">
        <f t="shared" si="307"/>
        <v>0</v>
      </c>
      <c r="CC200" s="9">
        <f t="shared" si="308"/>
        <v>0</v>
      </c>
      <c r="CD200" s="10">
        <f t="shared" si="309"/>
        <v>0</v>
      </c>
      <c r="CE200" s="1">
        <f>SUMIFS(
  '[1]Hoja 1'!$M:$M,
  '[1]Hoja 1'!$S:$S, $A200,
  '[1]Hoja 1'!$R:$R, "&gt;="&amp;INT($CG$1),
  '[1]Hoja 1'!$R:$R, "&lt;"&amp;INT($CH$1+1)
)</f>
        <v>0</v>
      </c>
      <c r="CF200" s="1">
        <f t="shared" si="310"/>
        <v>0</v>
      </c>
      <c r="CG200" s="9">
        <f t="shared" si="311"/>
        <v>0</v>
      </c>
      <c r="CH200" s="10">
        <f t="shared" si="312"/>
        <v>0</v>
      </c>
      <c r="CI200" s="1">
        <f>SUMIFS(
  '[1]Hoja 1'!$M:$M,
  '[1]Hoja 1'!$S:$S, $A200,
  '[1]Hoja 1'!$R:$R, "&gt;="&amp;INT($CK$1),
  '[1]Hoja 1'!$R:$R, "&lt;"&amp;INT($CL$1+1)
)</f>
        <v>0</v>
      </c>
      <c r="CJ200" s="1">
        <f t="shared" si="313"/>
        <v>0</v>
      </c>
      <c r="CK200" s="9">
        <f t="shared" si="314"/>
        <v>0</v>
      </c>
      <c r="CL200" s="10">
        <f t="shared" si="315"/>
        <v>0</v>
      </c>
      <c r="CM200" s="1">
        <f>SUMIFS(
  '[1]Hoja 1'!$M:$M,
  '[1]Hoja 1'!$S:$S, $A200,
  '[1]Hoja 1'!$R:$R, "&gt;="&amp;INT($CO$1),
  '[1]Hoja 1'!$R:$R, "&lt;"&amp;INT($CP$1+1)
)</f>
        <v>0</v>
      </c>
      <c r="CN200" s="1">
        <f t="shared" si="316"/>
        <v>0</v>
      </c>
      <c r="CO200" s="9">
        <f t="shared" si="317"/>
        <v>0</v>
      </c>
      <c r="CP200" s="10">
        <f t="shared" si="318"/>
        <v>0</v>
      </c>
      <c r="CQ200" s="1">
        <f>SUMIFS(
  '[1]Hoja 1'!$M:$M,
  '[1]Hoja 1'!$S:$S, $A200,
  '[1]Hoja 1'!$R:$R, "&gt;="&amp;INT($CS$1),
  '[1]Hoja 1'!$R:$R, "&lt;"&amp;INT($CT$1+1)
)</f>
        <v>0</v>
      </c>
      <c r="CR200" s="1">
        <f t="shared" si="319"/>
        <v>0</v>
      </c>
      <c r="CS200" s="9">
        <f t="shared" si="320"/>
        <v>0</v>
      </c>
      <c r="CT200" s="10">
        <f t="shared" si="321"/>
        <v>0</v>
      </c>
      <c r="CU200" s="1">
        <f>SUMIFS(
  '[1]Hoja 1'!$M:$M,
  '[1]Hoja 1'!$S:$S, $A200,
  '[1]Hoja 1'!$R:$R, "&gt;="&amp;INT($CW$1),
  '[1]Hoja 1'!$R:$R, "&lt;"&amp;INT($CX$1+1)
)</f>
        <v>0</v>
      </c>
      <c r="CV200" s="1">
        <f t="shared" si="322"/>
        <v>0</v>
      </c>
      <c r="CW200" s="9">
        <f t="shared" si="323"/>
        <v>0</v>
      </c>
      <c r="CX200" s="10">
        <f t="shared" si="324"/>
        <v>0</v>
      </c>
      <c r="CY200" s="1">
        <f>SUMIFS(
  '[1]Hoja 1'!$M:$M,
  '[1]Hoja 1'!$S:$S, $A200,
  '[1]Hoja 1'!$R:$R, "&gt;="&amp;INT($DA$1),
  '[1]Hoja 1'!$R:$R, "&lt;"&amp;INT($DB$1+1)
)</f>
        <v>0</v>
      </c>
      <c r="CZ200" s="1">
        <f t="shared" si="325"/>
        <v>0</v>
      </c>
      <c r="DA200" s="9">
        <f t="shared" si="326"/>
        <v>0</v>
      </c>
      <c r="DB200" s="10">
        <f t="shared" si="327"/>
        <v>0</v>
      </c>
      <c r="DC200" s="1">
        <f>SUMIFS(
  '[1]Hoja 1'!$M:$M,
  '[1]Hoja 1'!$S:$S, $A200,
  '[1]Hoja 1'!$R:$R, "&gt;="&amp;INT($DE$1),
  '[1]Hoja 1'!$R:$R, "&lt;"&amp;INT($DF$1+1)
)</f>
        <v>0</v>
      </c>
      <c r="DD200" s="1">
        <f t="shared" si="328"/>
        <v>0</v>
      </c>
      <c r="DE200" s="9">
        <f t="shared" si="329"/>
        <v>0</v>
      </c>
      <c r="DF200" s="10">
        <f t="shared" si="330"/>
        <v>0</v>
      </c>
      <c r="DG200" s="1">
        <f>SUMIFS(
  '[1]Hoja 1'!$M:$M,
  '[1]Hoja 1'!$S:$S, $A200,
  '[1]Hoja 1'!$R:$R, "&gt;="&amp;INT($DI$1),
  '[1]Hoja 1'!$R:$R, "&lt;"&amp;INT($DJ$1+1)
)</f>
        <v>0</v>
      </c>
      <c r="DH200" s="1">
        <f t="shared" si="331"/>
        <v>0</v>
      </c>
      <c r="DI200" s="9">
        <f t="shared" si="332"/>
        <v>0</v>
      </c>
      <c r="DJ200" s="10">
        <f t="shared" si="333"/>
        <v>0</v>
      </c>
      <c r="DK200" s="1">
        <f>SUMIFS(
  '[1]Hoja 1'!$M:$M,
  '[1]Hoja 1'!$S:$S, $A200,
  '[1]Hoja 1'!$R:$R, "&gt;="&amp;INT($DM$1),
  '[1]Hoja 1'!$R:$R, "&lt;"&amp;INT($DN$1+1)
)</f>
        <v>0</v>
      </c>
      <c r="DL200" s="1">
        <f t="shared" si="334"/>
        <v>0</v>
      </c>
      <c r="DM200" s="9">
        <f t="shared" si="335"/>
        <v>0</v>
      </c>
      <c r="DN200" s="10">
        <f t="shared" si="336"/>
        <v>0</v>
      </c>
      <c r="DO200" s="1">
        <f>SUMIFS(
  '[1]Hoja 1'!$M:$M,
  '[1]Hoja 1'!$S:$S, $A200,
  '[1]Hoja 1'!$R:$R, "&gt;="&amp;INT($DQ$1),
  '[1]Hoja 1'!$R:$R, "&lt;"&amp;INT($DR$1+1)
)</f>
        <v>0</v>
      </c>
      <c r="DP200" s="1">
        <f t="shared" si="337"/>
        <v>0</v>
      </c>
      <c r="DQ200" s="9">
        <f t="shared" si="338"/>
        <v>0</v>
      </c>
      <c r="DR200" s="10">
        <f t="shared" si="339"/>
        <v>0</v>
      </c>
    </row>
    <row r="201" spans="1:122" x14ac:dyDescent="0.25">
      <c r="A201" s="5">
        <v>235006</v>
      </c>
      <c r="B201" s="6" t="s">
        <v>197</v>
      </c>
      <c r="C201" s="1">
        <f>SUMIFS(
  '[1]Hoja 1'!$M:$M,
  '[1]Hoja 1'!$S:$S, $A201,
  '[1]Hoja 1'!$R:$R, "&gt;="&amp;INT($E$1),
  '[1]Hoja 1'!$R:$R, "&lt;"&amp;INT($F$1+1)
)</f>
        <v>0</v>
      </c>
      <c r="D201" s="1" t="str">
        <f>""</f>
        <v/>
      </c>
      <c r="F201" s="2"/>
      <c r="G201" s="1">
        <f>SUMIFS(
  '[1]Hoja 1'!$M:$M,
  '[1]Hoja 1'!$S:$S, $A201,
  '[1]Hoja 1'!$R:$R, "&gt;="&amp;INT($I$1),
  '[1]Hoja 1'!$R:$R, "&lt;"&amp;INT($J$1+1)
)</f>
        <v>0</v>
      </c>
      <c r="H201" s="1">
        <f t="shared" si="255"/>
        <v>0</v>
      </c>
      <c r="I201" s="1"/>
      <c r="J201" s="2"/>
      <c r="K201" s="1">
        <f>SUMIFS(
  '[1]Hoja 1'!$M:$M,
  '[1]Hoja 1'!$S:$S, $A201,
  '[1]Hoja 1'!$R:$R, "&gt;="&amp;INT($M$1),
  '[1]Hoja 1'!$R:$R, "&lt;"&amp;INT($N$1+1)
)</f>
        <v>0</v>
      </c>
      <c r="L201" s="1">
        <f t="shared" si="256"/>
        <v>0</v>
      </c>
      <c r="M201" s="9">
        <f t="shared" si="257"/>
        <v>0</v>
      </c>
      <c r="N201" s="10">
        <f t="shared" si="258"/>
        <v>0</v>
      </c>
      <c r="O201" s="1">
        <f>SUMIFS(
  '[1]Hoja 1'!$M:$M,
  '[1]Hoja 1'!$S:$S, $A201,
  '[1]Hoja 1'!$R:$R, "&gt;="&amp;INT($Q$1),
  '[1]Hoja 1'!$R:$R, "&lt;"&amp;INT($R$1+1)
)</f>
        <v>0</v>
      </c>
      <c r="P201" s="1">
        <f t="shared" si="259"/>
        <v>0</v>
      </c>
      <c r="Q201" s="9">
        <f t="shared" si="260"/>
        <v>0</v>
      </c>
      <c r="R201" s="10">
        <f t="shared" si="261"/>
        <v>0</v>
      </c>
      <c r="S201" s="1">
        <f>SUMIFS(
  '[1]Hoja 1'!$M:$M,
  '[1]Hoja 1'!$S:$S, $A201,
  '[1]Hoja 1'!$R:$R, "&gt;="&amp;INT($U$1),
  '[1]Hoja 1'!$R:$R, "&lt;"&amp;INT($V$1+1)
)</f>
        <v>0</v>
      </c>
      <c r="T201" s="1">
        <f t="shared" si="262"/>
        <v>0</v>
      </c>
      <c r="U201" s="9">
        <f t="shared" si="263"/>
        <v>0</v>
      </c>
      <c r="V201" s="10">
        <f t="shared" si="264"/>
        <v>0</v>
      </c>
      <c r="W201" s="1">
        <f>SUMIFS(
  '[1]Hoja 1'!$M:$M,
  '[1]Hoja 1'!$S:$S, $A201,
  '[1]Hoja 1'!$R:$R, "&gt;="&amp;INT($Y$1),
  '[1]Hoja 1'!$R:$R, "&lt;"&amp;INT($Z$1+1)
)</f>
        <v>0</v>
      </c>
      <c r="X201" s="1">
        <f t="shared" si="265"/>
        <v>0</v>
      </c>
      <c r="Y201" s="9">
        <f t="shared" si="266"/>
        <v>0</v>
      </c>
      <c r="Z201" s="10">
        <f t="shared" si="267"/>
        <v>0</v>
      </c>
      <c r="AA201" s="1">
        <f>SUMIFS(
  '[1]Hoja 1'!$M:$M,
  '[1]Hoja 1'!$S:$S, $A201,
  '[1]Hoja 1'!$R:$R, "&gt;="&amp;INT($AC$1),
  '[1]Hoja 1'!$R:$R, "&lt;"&amp;INT($AD$1+1)
)</f>
        <v>0</v>
      </c>
      <c r="AB201" s="1">
        <f t="shared" si="268"/>
        <v>0</v>
      </c>
      <c r="AC201" s="9">
        <f t="shared" si="269"/>
        <v>0</v>
      </c>
      <c r="AD201" s="10">
        <f t="shared" si="270"/>
        <v>0</v>
      </c>
      <c r="AE201" s="1">
        <f>SUMIFS(
  '[1]Hoja 1'!$M:$M,
  '[1]Hoja 1'!$S:$S, $A201,
  '[1]Hoja 1'!$R:$R, "&gt;="&amp;INT($AG$1),
  '[1]Hoja 1'!$R:$R, "&lt;"&amp;INT($AH$1+1)
)</f>
        <v>0</v>
      </c>
      <c r="AF201" s="1">
        <f t="shared" si="271"/>
        <v>0</v>
      </c>
      <c r="AG201" s="9">
        <f t="shared" si="272"/>
        <v>0</v>
      </c>
      <c r="AH201" s="10">
        <f t="shared" si="273"/>
        <v>0</v>
      </c>
      <c r="AI201" s="1">
        <f>SUMIFS(
  '[1]Hoja 1'!$M:$M,
  '[1]Hoja 1'!$S:$S, $A201,
  '[1]Hoja 1'!$R:$R, "&gt;="&amp;INT($AK$1),
  '[1]Hoja 1'!$R:$R, "&lt;"&amp;INT($AL$1+1)
)</f>
        <v>0</v>
      </c>
      <c r="AJ201" s="1">
        <f t="shared" si="274"/>
        <v>0</v>
      </c>
      <c r="AK201" s="9">
        <f t="shared" si="275"/>
        <v>0</v>
      </c>
      <c r="AL201" s="10">
        <f t="shared" si="276"/>
        <v>0</v>
      </c>
      <c r="AM201" s="1">
        <f>SUMIFS(
  '[1]Hoja 1'!$M:$M,
  '[1]Hoja 1'!$S:$S, $A201,
  '[1]Hoja 1'!$R:$R, "&gt;="&amp;INT($AO$1),
  '[1]Hoja 1'!$R:$R, "&lt;"&amp;INT($AP$1+1)
)</f>
        <v>0</v>
      </c>
      <c r="AN201" s="1">
        <f t="shared" si="277"/>
        <v>0</v>
      </c>
      <c r="AO201" s="9">
        <f t="shared" si="278"/>
        <v>0</v>
      </c>
      <c r="AP201" s="10">
        <f t="shared" si="279"/>
        <v>0</v>
      </c>
      <c r="AQ201" s="1">
        <f>SUMIFS(
  '[1]Hoja 1'!$M:$M,
  '[1]Hoja 1'!$S:$S, $A201,
  '[1]Hoja 1'!$R:$R, "&gt;="&amp;INT($AS$1),
  '[1]Hoja 1'!$R:$R, "&lt;"&amp;INT($AT$1+1)
)</f>
        <v>0</v>
      </c>
      <c r="AR201" s="1">
        <f t="shared" si="280"/>
        <v>0</v>
      </c>
      <c r="AS201" s="9">
        <f t="shared" si="281"/>
        <v>0</v>
      </c>
      <c r="AT201" s="10">
        <f t="shared" si="282"/>
        <v>0</v>
      </c>
      <c r="AU201" s="1">
        <f>SUMIFS(
  '[1]Hoja 1'!$M:$M,
  '[1]Hoja 1'!$S:$S, $A201,
  '[1]Hoja 1'!$R:$R, "&gt;="&amp;INT($AW$1),
  '[1]Hoja 1'!$R:$R, "&lt;"&amp;INT($AX$1+1)
)</f>
        <v>0</v>
      </c>
      <c r="AV201" s="1">
        <f t="shared" si="283"/>
        <v>0</v>
      </c>
      <c r="AW201" s="9">
        <f t="shared" si="284"/>
        <v>0</v>
      </c>
      <c r="AX201" s="10">
        <f t="shared" si="285"/>
        <v>0</v>
      </c>
      <c r="AY201" s="1">
        <f>SUMIFS(
  '[1]Hoja 1'!$M:$M,
  '[1]Hoja 1'!$S:$S, $A201,
  '[1]Hoja 1'!$R:$R, "&gt;="&amp;INT($BA$1),
  '[1]Hoja 1'!$R:$R, "&lt;"&amp;INT($BB$1+1)
)</f>
        <v>0</v>
      </c>
      <c r="AZ201" s="1">
        <f t="shared" si="286"/>
        <v>0</v>
      </c>
      <c r="BA201" s="9">
        <f t="shared" si="287"/>
        <v>0</v>
      </c>
      <c r="BB201" s="10">
        <f t="shared" si="288"/>
        <v>0</v>
      </c>
      <c r="BC201" s="1">
        <f>SUMIFS(
  '[1]Hoja 1'!$M:$M,
  '[1]Hoja 1'!$S:$S, $A201,
  '[1]Hoja 1'!$R:$R, "&gt;="&amp;INT($BE$1),
  '[1]Hoja 1'!$R:$R, "&lt;"&amp;INT($BF$1+1)
)</f>
        <v>0</v>
      </c>
      <c r="BD201" s="1">
        <f t="shared" si="289"/>
        <v>0</v>
      </c>
      <c r="BE201" s="9">
        <f t="shared" si="290"/>
        <v>0</v>
      </c>
      <c r="BF201" s="10">
        <f t="shared" si="291"/>
        <v>0</v>
      </c>
      <c r="BG201" s="1">
        <f>SUMIFS(
  '[1]Hoja 1'!$M:$M,
  '[1]Hoja 1'!$S:$S, $A201,
  '[1]Hoja 1'!$R:$R, "&gt;="&amp;INT($BI$1),
  '[1]Hoja 1'!$R:$R, "&lt;"&amp;INT($BJ$1+1)
)</f>
        <v>0</v>
      </c>
      <c r="BH201" s="1">
        <f t="shared" si="292"/>
        <v>0</v>
      </c>
      <c r="BI201" s="9">
        <f t="shared" si="293"/>
        <v>0</v>
      </c>
      <c r="BJ201" s="10">
        <f t="shared" si="294"/>
        <v>0</v>
      </c>
      <c r="BK201" s="1">
        <f>SUMIFS(
  '[1]Hoja 1'!$M:$M,
  '[1]Hoja 1'!$S:$S, $A201,
  '[1]Hoja 1'!$R:$R, "&gt;="&amp;INT($BM$1),
  '[1]Hoja 1'!$R:$R, "&lt;"&amp;INT($BN$1+1)
)</f>
        <v>0</v>
      </c>
      <c r="BL201" s="1">
        <f t="shared" si="295"/>
        <v>0</v>
      </c>
      <c r="BM201" s="9">
        <f t="shared" si="296"/>
        <v>0</v>
      </c>
      <c r="BN201" s="10">
        <f t="shared" si="297"/>
        <v>0</v>
      </c>
      <c r="BO201" s="1">
        <f>SUMIFS(
  '[1]Hoja 1'!$M:$M,
  '[1]Hoja 1'!$S:$S, $A201,
  '[1]Hoja 1'!$R:$R, "&gt;="&amp;INT($BQ$1),
  '[1]Hoja 1'!$R:$R, "&lt;"&amp;INT($BR$1+1)
)</f>
        <v>0</v>
      </c>
      <c r="BP201" s="1">
        <f t="shared" si="298"/>
        <v>0</v>
      </c>
      <c r="BQ201" s="9">
        <f t="shared" si="299"/>
        <v>0</v>
      </c>
      <c r="BR201" s="10">
        <f t="shared" si="300"/>
        <v>0</v>
      </c>
      <c r="BS201" s="1">
        <f>SUMIFS(
  '[1]Hoja 1'!$M:$M,
  '[1]Hoja 1'!$S:$S, $A201,
  '[1]Hoja 1'!$R:$R, "&gt;="&amp;INT($BU$1),
  '[1]Hoja 1'!$R:$R, "&lt;"&amp;INT($BV$1+1)
)</f>
        <v>0</v>
      </c>
      <c r="BT201" s="1">
        <f t="shared" si="301"/>
        <v>0</v>
      </c>
      <c r="BU201" s="9">
        <f t="shared" si="302"/>
        <v>0</v>
      </c>
      <c r="BV201" s="10">
        <f t="shared" si="303"/>
        <v>0</v>
      </c>
      <c r="BW201" s="1">
        <f>SUMIFS(
  '[1]Hoja 1'!$M:$M,
  '[1]Hoja 1'!$S:$S, $A201,
  '[1]Hoja 1'!$R:$R, "&gt;="&amp;INT($BY$1),
  '[1]Hoja 1'!$R:$R, "&lt;"&amp;INT($BZ$1+1)
)</f>
        <v>0</v>
      </c>
      <c r="BX201" s="1">
        <f t="shared" si="304"/>
        <v>0</v>
      </c>
      <c r="BY201" s="9">
        <f t="shared" si="305"/>
        <v>0</v>
      </c>
      <c r="BZ201" s="10">
        <f t="shared" si="306"/>
        <v>0</v>
      </c>
      <c r="CA201" s="1">
        <f>SUMIFS(
  '[1]Hoja 1'!$M:$M,
  '[1]Hoja 1'!$S:$S, $A201,
  '[1]Hoja 1'!$R:$R, "&gt;="&amp;INT($CC$1),
  '[1]Hoja 1'!$R:$R, "&lt;"&amp;INT($CD$1+1)
)</f>
        <v>0</v>
      </c>
      <c r="CB201" s="1">
        <f t="shared" si="307"/>
        <v>0</v>
      </c>
      <c r="CC201" s="9">
        <f t="shared" si="308"/>
        <v>0</v>
      </c>
      <c r="CD201" s="10">
        <f t="shared" si="309"/>
        <v>0</v>
      </c>
      <c r="CE201" s="1">
        <f>SUMIFS(
  '[1]Hoja 1'!$M:$M,
  '[1]Hoja 1'!$S:$S, $A201,
  '[1]Hoja 1'!$R:$R, "&gt;="&amp;INT($CG$1),
  '[1]Hoja 1'!$R:$R, "&lt;"&amp;INT($CH$1+1)
)</f>
        <v>0</v>
      </c>
      <c r="CF201" s="1">
        <f t="shared" si="310"/>
        <v>0</v>
      </c>
      <c r="CG201" s="9">
        <f t="shared" si="311"/>
        <v>0</v>
      </c>
      <c r="CH201" s="10">
        <f t="shared" si="312"/>
        <v>0</v>
      </c>
      <c r="CI201" s="1">
        <f>SUMIFS(
  '[1]Hoja 1'!$M:$M,
  '[1]Hoja 1'!$S:$S, $A201,
  '[1]Hoja 1'!$R:$R, "&gt;="&amp;INT($CK$1),
  '[1]Hoja 1'!$R:$R, "&lt;"&amp;INT($CL$1+1)
)</f>
        <v>0</v>
      </c>
      <c r="CJ201" s="1">
        <f t="shared" si="313"/>
        <v>0</v>
      </c>
      <c r="CK201" s="9">
        <f t="shared" si="314"/>
        <v>0</v>
      </c>
      <c r="CL201" s="10">
        <f t="shared" si="315"/>
        <v>0</v>
      </c>
      <c r="CM201" s="1">
        <f>SUMIFS(
  '[1]Hoja 1'!$M:$M,
  '[1]Hoja 1'!$S:$S, $A201,
  '[1]Hoja 1'!$R:$R, "&gt;="&amp;INT($CO$1),
  '[1]Hoja 1'!$R:$R, "&lt;"&amp;INT($CP$1+1)
)</f>
        <v>0</v>
      </c>
      <c r="CN201" s="1">
        <f t="shared" si="316"/>
        <v>0</v>
      </c>
      <c r="CO201" s="9">
        <f t="shared" si="317"/>
        <v>0</v>
      </c>
      <c r="CP201" s="10">
        <f t="shared" si="318"/>
        <v>0</v>
      </c>
      <c r="CQ201" s="1">
        <f>SUMIFS(
  '[1]Hoja 1'!$M:$M,
  '[1]Hoja 1'!$S:$S, $A201,
  '[1]Hoja 1'!$R:$R, "&gt;="&amp;INT($CS$1),
  '[1]Hoja 1'!$R:$R, "&lt;"&amp;INT($CT$1+1)
)</f>
        <v>0</v>
      </c>
      <c r="CR201" s="1">
        <f t="shared" si="319"/>
        <v>0</v>
      </c>
      <c r="CS201" s="9">
        <f t="shared" si="320"/>
        <v>0</v>
      </c>
      <c r="CT201" s="10">
        <f t="shared" si="321"/>
        <v>0</v>
      </c>
      <c r="CU201" s="1">
        <f>SUMIFS(
  '[1]Hoja 1'!$M:$M,
  '[1]Hoja 1'!$S:$S, $A201,
  '[1]Hoja 1'!$R:$R, "&gt;="&amp;INT($CW$1),
  '[1]Hoja 1'!$R:$R, "&lt;"&amp;INT($CX$1+1)
)</f>
        <v>0</v>
      </c>
      <c r="CV201" s="1">
        <f t="shared" si="322"/>
        <v>0</v>
      </c>
      <c r="CW201" s="9">
        <f t="shared" si="323"/>
        <v>0</v>
      </c>
      <c r="CX201" s="10">
        <f t="shared" si="324"/>
        <v>0</v>
      </c>
      <c r="CY201" s="1">
        <f>SUMIFS(
  '[1]Hoja 1'!$M:$M,
  '[1]Hoja 1'!$S:$S, $A201,
  '[1]Hoja 1'!$R:$R, "&gt;="&amp;INT($DA$1),
  '[1]Hoja 1'!$R:$R, "&lt;"&amp;INT($DB$1+1)
)</f>
        <v>0</v>
      </c>
      <c r="CZ201" s="1">
        <f t="shared" si="325"/>
        <v>0</v>
      </c>
      <c r="DA201" s="9">
        <f t="shared" si="326"/>
        <v>0</v>
      </c>
      <c r="DB201" s="10">
        <f t="shared" si="327"/>
        <v>0</v>
      </c>
      <c r="DC201" s="1">
        <f>SUMIFS(
  '[1]Hoja 1'!$M:$M,
  '[1]Hoja 1'!$S:$S, $A201,
  '[1]Hoja 1'!$R:$R, "&gt;="&amp;INT($DE$1),
  '[1]Hoja 1'!$R:$R, "&lt;"&amp;INT($DF$1+1)
)</f>
        <v>0</v>
      </c>
      <c r="DD201" s="1">
        <f t="shared" si="328"/>
        <v>0</v>
      </c>
      <c r="DE201" s="9">
        <f t="shared" si="329"/>
        <v>0</v>
      </c>
      <c r="DF201" s="10">
        <f t="shared" si="330"/>
        <v>0</v>
      </c>
      <c r="DG201" s="1">
        <f>SUMIFS(
  '[1]Hoja 1'!$M:$M,
  '[1]Hoja 1'!$S:$S, $A201,
  '[1]Hoja 1'!$R:$R, "&gt;="&amp;INT($DI$1),
  '[1]Hoja 1'!$R:$R, "&lt;"&amp;INT($DJ$1+1)
)</f>
        <v>0</v>
      </c>
      <c r="DH201" s="1">
        <f t="shared" si="331"/>
        <v>0</v>
      </c>
      <c r="DI201" s="9">
        <f t="shared" si="332"/>
        <v>0</v>
      </c>
      <c r="DJ201" s="10">
        <f t="shared" si="333"/>
        <v>0</v>
      </c>
      <c r="DK201" s="1">
        <f>SUMIFS(
  '[1]Hoja 1'!$M:$M,
  '[1]Hoja 1'!$S:$S, $A201,
  '[1]Hoja 1'!$R:$R, "&gt;="&amp;INT($DM$1),
  '[1]Hoja 1'!$R:$R, "&lt;"&amp;INT($DN$1+1)
)</f>
        <v>0</v>
      </c>
      <c r="DL201" s="1">
        <f t="shared" si="334"/>
        <v>0</v>
      </c>
      <c r="DM201" s="9">
        <f t="shared" si="335"/>
        <v>0</v>
      </c>
      <c r="DN201" s="10">
        <f t="shared" si="336"/>
        <v>0</v>
      </c>
      <c r="DO201" s="1">
        <f>SUMIFS(
  '[1]Hoja 1'!$M:$M,
  '[1]Hoja 1'!$S:$S, $A201,
  '[1]Hoja 1'!$R:$R, "&gt;="&amp;INT($DQ$1),
  '[1]Hoja 1'!$R:$R, "&lt;"&amp;INT($DR$1+1)
)</f>
        <v>0</v>
      </c>
      <c r="DP201" s="1">
        <f t="shared" si="337"/>
        <v>0</v>
      </c>
      <c r="DQ201" s="9">
        <f t="shared" si="338"/>
        <v>0</v>
      </c>
      <c r="DR201" s="10">
        <f t="shared" si="339"/>
        <v>0</v>
      </c>
    </row>
    <row r="202" spans="1:122" x14ac:dyDescent="0.25">
      <c r="A202" s="5">
        <v>235007</v>
      </c>
      <c r="B202" s="6" t="s">
        <v>198</v>
      </c>
      <c r="C202" s="1">
        <f>SUMIFS(
  '[1]Hoja 1'!$M:$M,
  '[1]Hoja 1'!$S:$S, $A202,
  '[1]Hoja 1'!$R:$R, "&gt;="&amp;INT($E$1),
  '[1]Hoja 1'!$R:$R, "&lt;"&amp;INT($F$1+1)
)</f>
        <v>0</v>
      </c>
      <c r="D202" s="1" t="str">
        <f>""</f>
        <v/>
      </c>
      <c r="F202" s="2"/>
      <c r="G202" s="1">
        <f>SUMIFS(
  '[1]Hoja 1'!$M:$M,
  '[1]Hoja 1'!$S:$S, $A202,
  '[1]Hoja 1'!$R:$R, "&gt;="&amp;INT($I$1),
  '[1]Hoja 1'!$R:$R, "&lt;"&amp;INT($J$1+1)
)</f>
        <v>0</v>
      </c>
      <c r="H202" s="1">
        <f t="shared" si="255"/>
        <v>0</v>
      </c>
      <c r="I202" s="1"/>
      <c r="J202" s="2"/>
      <c r="K202" s="1">
        <f>SUMIFS(
  '[1]Hoja 1'!$M:$M,
  '[1]Hoja 1'!$S:$S, $A202,
  '[1]Hoja 1'!$R:$R, "&gt;="&amp;INT($M$1),
  '[1]Hoja 1'!$R:$R, "&lt;"&amp;INT($N$1+1)
)</f>
        <v>0</v>
      </c>
      <c r="L202" s="1">
        <f t="shared" si="256"/>
        <v>0</v>
      </c>
      <c r="M202" s="9">
        <f t="shared" si="257"/>
        <v>0</v>
      </c>
      <c r="N202" s="10">
        <f t="shared" si="258"/>
        <v>0</v>
      </c>
      <c r="O202" s="1">
        <f>SUMIFS(
  '[1]Hoja 1'!$M:$M,
  '[1]Hoja 1'!$S:$S, $A202,
  '[1]Hoja 1'!$R:$R, "&gt;="&amp;INT($Q$1),
  '[1]Hoja 1'!$R:$R, "&lt;"&amp;INT($R$1+1)
)</f>
        <v>0</v>
      </c>
      <c r="P202" s="1">
        <f t="shared" si="259"/>
        <v>0</v>
      </c>
      <c r="Q202" s="9">
        <f t="shared" si="260"/>
        <v>0</v>
      </c>
      <c r="R202" s="10">
        <f t="shared" si="261"/>
        <v>0</v>
      </c>
      <c r="S202" s="1">
        <f>SUMIFS(
  '[1]Hoja 1'!$M:$M,
  '[1]Hoja 1'!$S:$S, $A202,
  '[1]Hoja 1'!$R:$R, "&gt;="&amp;INT($U$1),
  '[1]Hoja 1'!$R:$R, "&lt;"&amp;INT($V$1+1)
)</f>
        <v>0</v>
      </c>
      <c r="T202" s="1">
        <f t="shared" si="262"/>
        <v>0</v>
      </c>
      <c r="U202" s="9">
        <f t="shared" si="263"/>
        <v>0</v>
      </c>
      <c r="V202" s="10">
        <f t="shared" si="264"/>
        <v>0</v>
      </c>
      <c r="W202" s="1">
        <f>SUMIFS(
  '[1]Hoja 1'!$M:$M,
  '[1]Hoja 1'!$S:$S, $A202,
  '[1]Hoja 1'!$R:$R, "&gt;="&amp;INT($Y$1),
  '[1]Hoja 1'!$R:$R, "&lt;"&amp;INT($Z$1+1)
)</f>
        <v>0</v>
      </c>
      <c r="X202" s="1">
        <f t="shared" si="265"/>
        <v>0</v>
      </c>
      <c r="Y202" s="9">
        <f t="shared" si="266"/>
        <v>0</v>
      </c>
      <c r="Z202" s="10">
        <f t="shared" si="267"/>
        <v>0</v>
      </c>
      <c r="AA202" s="1">
        <f>SUMIFS(
  '[1]Hoja 1'!$M:$M,
  '[1]Hoja 1'!$S:$S, $A202,
  '[1]Hoja 1'!$R:$R, "&gt;="&amp;INT($AC$1),
  '[1]Hoja 1'!$R:$R, "&lt;"&amp;INT($AD$1+1)
)</f>
        <v>0</v>
      </c>
      <c r="AB202" s="1">
        <f t="shared" si="268"/>
        <v>0</v>
      </c>
      <c r="AC202" s="9">
        <f t="shared" si="269"/>
        <v>0</v>
      </c>
      <c r="AD202" s="10">
        <f t="shared" si="270"/>
        <v>0</v>
      </c>
      <c r="AE202" s="1">
        <f>SUMIFS(
  '[1]Hoja 1'!$M:$M,
  '[1]Hoja 1'!$S:$S, $A202,
  '[1]Hoja 1'!$R:$R, "&gt;="&amp;INT($AG$1),
  '[1]Hoja 1'!$R:$R, "&lt;"&amp;INT($AH$1+1)
)</f>
        <v>0</v>
      </c>
      <c r="AF202" s="1">
        <f t="shared" si="271"/>
        <v>0</v>
      </c>
      <c r="AG202" s="9">
        <f t="shared" si="272"/>
        <v>0</v>
      </c>
      <c r="AH202" s="10">
        <f t="shared" si="273"/>
        <v>0</v>
      </c>
      <c r="AI202" s="1">
        <f>SUMIFS(
  '[1]Hoja 1'!$M:$M,
  '[1]Hoja 1'!$S:$S, $A202,
  '[1]Hoja 1'!$R:$R, "&gt;="&amp;INT($AK$1),
  '[1]Hoja 1'!$R:$R, "&lt;"&amp;INT($AL$1+1)
)</f>
        <v>0</v>
      </c>
      <c r="AJ202" s="1">
        <f t="shared" si="274"/>
        <v>0</v>
      </c>
      <c r="AK202" s="9">
        <f t="shared" si="275"/>
        <v>0</v>
      </c>
      <c r="AL202" s="10">
        <f t="shared" si="276"/>
        <v>0</v>
      </c>
      <c r="AM202" s="1">
        <f>SUMIFS(
  '[1]Hoja 1'!$M:$M,
  '[1]Hoja 1'!$S:$S, $A202,
  '[1]Hoja 1'!$R:$R, "&gt;="&amp;INT($AO$1),
  '[1]Hoja 1'!$R:$R, "&lt;"&amp;INT($AP$1+1)
)</f>
        <v>0</v>
      </c>
      <c r="AN202" s="1">
        <f t="shared" si="277"/>
        <v>0</v>
      </c>
      <c r="AO202" s="9">
        <f t="shared" si="278"/>
        <v>0</v>
      </c>
      <c r="AP202" s="10">
        <f t="shared" si="279"/>
        <v>0</v>
      </c>
      <c r="AQ202" s="1">
        <f>SUMIFS(
  '[1]Hoja 1'!$M:$M,
  '[1]Hoja 1'!$S:$S, $A202,
  '[1]Hoja 1'!$R:$R, "&gt;="&amp;INT($AS$1),
  '[1]Hoja 1'!$R:$R, "&lt;"&amp;INT($AT$1+1)
)</f>
        <v>0</v>
      </c>
      <c r="AR202" s="1">
        <f t="shared" si="280"/>
        <v>0</v>
      </c>
      <c r="AS202" s="9">
        <f t="shared" si="281"/>
        <v>0</v>
      </c>
      <c r="AT202" s="10">
        <f t="shared" si="282"/>
        <v>0</v>
      </c>
      <c r="AU202" s="1">
        <f>SUMIFS(
  '[1]Hoja 1'!$M:$M,
  '[1]Hoja 1'!$S:$S, $A202,
  '[1]Hoja 1'!$R:$R, "&gt;="&amp;INT($AW$1),
  '[1]Hoja 1'!$R:$R, "&lt;"&amp;INT($AX$1+1)
)</f>
        <v>0</v>
      </c>
      <c r="AV202" s="1">
        <f t="shared" si="283"/>
        <v>0</v>
      </c>
      <c r="AW202" s="9">
        <f t="shared" si="284"/>
        <v>0</v>
      </c>
      <c r="AX202" s="10">
        <f t="shared" si="285"/>
        <v>0</v>
      </c>
      <c r="AY202" s="1">
        <f>SUMIFS(
  '[1]Hoja 1'!$M:$M,
  '[1]Hoja 1'!$S:$S, $A202,
  '[1]Hoja 1'!$R:$R, "&gt;="&amp;INT($BA$1),
  '[1]Hoja 1'!$R:$R, "&lt;"&amp;INT($BB$1+1)
)</f>
        <v>0</v>
      </c>
      <c r="AZ202" s="1">
        <f t="shared" si="286"/>
        <v>0</v>
      </c>
      <c r="BA202" s="9">
        <f t="shared" si="287"/>
        <v>0</v>
      </c>
      <c r="BB202" s="10">
        <f t="shared" si="288"/>
        <v>0</v>
      </c>
      <c r="BC202" s="1">
        <f>SUMIFS(
  '[1]Hoja 1'!$M:$M,
  '[1]Hoja 1'!$S:$S, $A202,
  '[1]Hoja 1'!$R:$R, "&gt;="&amp;INT($BE$1),
  '[1]Hoja 1'!$R:$R, "&lt;"&amp;INT($BF$1+1)
)</f>
        <v>0</v>
      </c>
      <c r="BD202" s="1">
        <f t="shared" si="289"/>
        <v>0</v>
      </c>
      <c r="BE202" s="9">
        <f t="shared" si="290"/>
        <v>0</v>
      </c>
      <c r="BF202" s="10">
        <f t="shared" si="291"/>
        <v>0</v>
      </c>
      <c r="BG202" s="1">
        <f>SUMIFS(
  '[1]Hoja 1'!$M:$M,
  '[1]Hoja 1'!$S:$S, $A202,
  '[1]Hoja 1'!$R:$R, "&gt;="&amp;INT($BI$1),
  '[1]Hoja 1'!$R:$R, "&lt;"&amp;INT($BJ$1+1)
)</f>
        <v>0</v>
      </c>
      <c r="BH202" s="1">
        <f t="shared" si="292"/>
        <v>0</v>
      </c>
      <c r="BI202" s="9">
        <f t="shared" si="293"/>
        <v>0</v>
      </c>
      <c r="BJ202" s="10">
        <f t="shared" si="294"/>
        <v>0</v>
      </c>
      <c r="BK202" s="1">
        <f>SUMIFS(
  '[1]Hoja 1'!$M:$M,
  '[1]Hoja 1'!$S:$S, $A202,
  '[1]Hoja 1'!$R:$R, "&gt;="&amp;INT($BM$1),
  '[1]Hoja 1'!$R:$R, "&lt;"&amp;INT($BN$1+1)
)</f>
        <v>0</v>
      </c>
      <c r="BL202" s="1">
        <f t="shared" si="295"/>
        <v>0</v>
      </c>
      <c r="BM202" s="9">
        <f t="shared" si="296"/>
        <v>0</v>
      </c>
      <c r="BN202" s="10">
        <f t="shared" si="297"/>
        <v>0</v>
      </c>
      <c r="BO202" s="1">
        <f>SUMIFS(
  '[1]Hoja 1'!$M:$M,
  '[1]Hoja 1'!$S:$S, $A202,
  '[1]Hoja 1'!$R:$R, "&gt;="&amp;INT($BQ$1),
  '[1]Hoja 1'!$R:$R, "&lt;"&amp;INT($BR$1+1)
)</f>
        <v>0</v>
      </c>
      <c r="BP202" s="1">
        <f t="shared" si="298"/>
        <v>0</v>
      </c>
      <c r="BQ202" s="9">
        <f t="shared" si="299"/>
        <v>0</v>
      </c>
      <c r="BR202" s="10">
        <f t="shared" si="300"/>
        <v>0</v>
      </c>
      <c r="BS202" s="1">
        <f>SUMIFS(
  '[1]Hoja 1'!$M:$M,
  '[1]Hoja 1'!$S:$S, $A202,
  '[1]Hoja 1'!$R:$R, "&gt;="&amp;INT($BU$1),
  '[1]Hoja 1'!$R:$R, "&lt;"&amp;INT($BV$1+1)
)</f>
        <v>0</v>
      </c>
      <c r="BT202" s="1">
        <f t="shared" si="301"/>
        <v>0</v>
      </c>
      <c r="BU202" s="9">
        <f t="shared" si="302"/>
        <v>0</v>
      </c>
      <c r="BV202" s="10">
        <f t="shared" si="303"/>
        <v>0</v>
      </c>
      <c r="BW202" s="1">
        <f>SUMIFS(
  '[1]Hoja 1'!$M:$M,
  '[1]Hoja 1'!$S:$S, $A202,
  '[1]Hoja 1'!$R:$R, "&gt;="&amp;INT($BY$1),
  '[1]Hoja 1'!$R:$R, "&lt;"&amp;INT($BZ$1+1)
)</f>
        <v>0</v>
      </c>
      <c r="BX202" s="1">
        <f t="shared" si="304"/>
        <v>0</v>
      </c>
      <c r="BY202" s="9">
        <f t="shared" si="305"/>
        <v>0</v>
      </c>
      <c r="BZ202" s="10">
        <f t="shared" si="306"/>
        <v>0</v>
      </c>
      <c r="CA202" s="1">
        <f>SUMIFS(
  '[1]Hoja 1'!$M:$M,
  '[1]Hoja 1'!$S:$S, $A202,
  '[1]Hoja 1'!$R:$R, "&gt;="&amp;INT($CC$1),
  '[1]Hoja 1'!$R:$R, "&lt;"&amp;INT($CD$1+1)
)</f>
        <v>0</v>
      </c>
      <c r="CB202" s="1">
        <f t="shared" si="307"/>
        <v>0</v>
      </c>
      <c r="CC202" s="9">
        <f t="shared" si="308"/>
        <v>0</v>
      </c>
      <c r="CD202" s="10">
        <f t="shared" si="309"/>
        <v>0</v>
      </c>
      <c r="CE202" s="1">
        <f>SUMIFS(
  '[1]Hoja 1'!$M:$M,
  '[1]Hoja 1'!$S:$S, $A202,
  '[1]Hoja 1'!$R:$R, "&gt;="&amp;INT($CG$1),
  '[1]Hoja 1'!$R:$R, "&lt;"&amp;INT($CH$1+1)
)</f>
        <v>0</v>
      </c>
      <c r="CF202" s="1">
        <f t="shared" si="310"/>
        <v>0</v>
      </c>
      <c r="CG202" s="9">
        <f t="shared" si="311"/>
        <v>0</v>
      </c>
      <c r="CH202" s="10">
        <f t="shared" si="312"/>
        <v>0</v>
      </c>
      <c r="CI202" s="1">
        <f>SUMIFS(
  '[1]Hoja 1'!$M:$M,
  '[1]Hoja 1'!$S:$S, $A202,
  '[1]Hoja 1'!$R:$R, "&gt;="&amp;INT($CK$1),
  '[1]Hoja 1'!$R:$R, "&lt;"&amp;INT($CL$1+1)
)</f>
        <v>0</v>
      </c>
      <c r="CJ202" s="1">
        <f t="shared" si="313"/>
        <v>0</v>
      </c>
      <c r="CK202" s="9">
        <f t="shared" si="314"/>
        <v>0</v>
      </c>
      <c r="CL202" s="10">
        <f t="shared" si="315"/>
        <v>0</v>
      </c>
      <c r="CM202" s="1">
        <f>SUMIFS(
  '[1]Hoja 1'!$M:$M,
  '[1]Hoja 1'!$S:$S, $A202,
  '[1]Hoja 1'!$R:$R, "&gt;="&amp;INT($CO$1),
  '[1]Hoja 1'!$R:$R, "&lt;"&amp;INT($CP$1+1)
)</f>
        <v>0</v>
      </c>
      <c r="CN202" s="1">
        <f t="shared" si="316"/>
        <v>0</v>
      </c>
      <c r="CO202" s="9">
        <f t="shared" si="317"/>
        <v>0</v>
      </c>
      <c r="CP202" s="10">
        <f t="shared" si="318"/>
        <v>0</v>
      </c>
      <c r="CQ202" s="1">
        <f>SUMIFS(
  '[1]Hoja 1'!$M:$M,
  '[1]Hoja 1'!$S:$S, $A202,
  '[1]Hoja 1'!$R:$R, "&gt;="&amp;INT($CS$1),
  '[1]Hoja 1'!$R:$R, "&lt;"&amp;INT($CT$1+1)
)</f>
        <v>0</v>
      </c>
      <c r="CR202" s="1">
        <f t="shared" si="319"/>
        <v>0</v>
      </c>
      <c r="CS202" s="9">
        <f t="shared" si="320"/>
        <v>0</v>
      </c>
      <c r="CT202" s="10">
        <f t="shared" si="321"/>
        <v>0</v>
      </c>
      <c r="CU202" s="1">
        <f>SUMIFS(
  '[1]Hoja 1'!$M:$M,
  '[1]Hoja 1'!$S:$S, $A202,
  '[1]Hoja 1'!$R:$R, "&gt;="&amp;INT($CW$1),
  '[1]Hoja 1'!$R:$R, "&lt;"&amp;INT($CX$1+1)
)</f>
        <v>0</v>
      </c>
      <c r="CV202" s="1">
        <f t="shared" si="322"/>
        <v>0</v>
      </c>
      <c r="CW202" s="9">
        <f t="shared" si="323"/>
        <v>0</v>
      </c>
      <c r="CX202" s="10">
        <f t="shared" si="324"/>
        <v>0</v>
      </c>
      <c r="CY202" s="1">
        <f>SUMIFS(
  '[1]Hoja 1'!$M:$M,
  '[1]Hoja 1'!$S:$S, $A202,
  '[1]Hoja 1'!$R:$R, "&gt;="&amp;INT($DA$1),
  '[1]Hoja 1'!$R:$R, "&lt;"&amp;INT($DB$1+1)
)</f>
        <v>0</v>
      </c>
      <c r="CZ202" s="1">
        <f t="shared" si="325"/>
        <v>0</v>
      </c>
      <c r="DA202" s="9">
        <f t="shared" si="326"/>
        <v>0</v>
      </c>
      <c r="DB202" s="10">
        <f t="shared" si="327"/>
        <v>0</v>
      </c>
      <c r="DC202" s="1">
        <f>SUMIFS(
  '[1]Hoja 1'!$M:$M,
  '[1]Hoja 1'!$S:$S, $A202,
  '[1]Hoja 1'!$R:$R, "&gt;="&amp;INT($DE$1),
  '[1]Hoja 1'!$R:$R, "&lt;"&amp;INT($DF$1+1)
)</f>
        <v>0</v>
      </c>
      <c r="DD202" s="1">
        <f t="shared" si="328"/>
        <v>0</v>
      </c>
      <c r="DE202" s="9">
        <f t="shared" si="329"/>
        <v>0</v>
      </c>
      <c r="DF202" s="10">
        <f t="shared" si="330"/>
        <v>0</v>
      </c>
      <c r="DG202" s="1">
        <f>SUMIFS(
  '[1]Hoja 1'!$M:$M,
  '[1]Hoja 1'!$S:$S, $A202,
  '[1]Hoja 1'!$R:$R, "&gt;="&amp;INT($DI$1),
  '[1]Hoja 1'!$R:$R, "&lt;"&amp;INT($DJ$1+1)
)</f>
        <v>0</v>
      </c>
      <c r="DH202" s="1">
        <f t="shared" si="331"/>
        <v>0</v>
      </c>
      <c r="DI202" s="9">
        <f t="shared" si="332"/>
        <v>0</v>
      </c>
      <c r="DJ202" s="10">
        <f t="shared" si="333"/>
        <v>0</v>
      </c>
      <c r="DK202" s="1">
        <f>SUMIFS(
  '[1]Hoja 1'!$M:$M,
  '[1]Hoja 1'!$S:$S, $A202,
  '[1]Hoja 1'!$R:$R, "&gt;="&amp;INT($DM$1),
  '[1]Hoja 1'!$R:$R, "&lt;"&amp;INT($DN$1+1)
)</f>
        <v>0</v>
      </c>
      <c r="DL202" s="1">
        <f t="shared" si="334"/>
        <v>0</v>
      </c>
      <c r="DM202" s="9">
        <f t="shared" si="335"/>
        <v>0</v>
      </c>
      <c r="DN202" s="10">
        <f t="shared" si="336"/>
        <v>0</v>
      </c>
      <c r="DO202" s="1">
        <f>SUMIFS(
  '[1]Hoja 1'!$M:$M,
  '[1]Hoja 1'!$S:$S, $A202,
  '[1]Hoja 1'!$R:$R, "&gt;="&amp;INT($DQ$1),
  '[1]Hoja 1'!$R:$R, "&lt;"&amp;INT($DR$1+1)
)</f>
        <v>0</v>
      </c>
      <c r="DP202" s="1">
        <f t="shared" si="337"/>
        <v>0</v>
      </c>
      <c r="DQ202" s="9">
        <f t="shared" si="338"/>
        <v>0</v>
      </c>
      <c r="DR202" s="10">
        <f t="shared" si="339"/>
        <v>0</v>
      </c>
    </row>
    <row r="203" spans="1:122" x14ac:dyDescent="0.25">
      <c r="A203" s="5">
        <v>235008</v>
      </c>
      <c r="B203" s="6" t="s">
        <v>199</v>
      </c>
      <c r="C203" s="1">
        <f>SUMIFS(
  '[1]Hoja 1'!$M:$M,
  '[1]Hoja 1'!$S:$S, $A203,
  '[1]Hoja 1'!$R:$R, "&gt;="&amp;INT($E$1),
  '[1]Hoja 1'!$R:$R, "&lt;"&amp;INT($F$1+1)
)</f>
        <v>0</v>
      </c>
      <c r="D203" s="1" t="str">
        <f>""</f>
        <v/>
      </c>
      <c r="F203" s="2"/>
      <c r="G203" s="1">
        <f>SUMIFS(
  '[1]Hoja 1'!$M:$M,
  '[1]Hoja 1'!$S:$S, $A203,
  '[1]Hoja 1'!$R:$R, "&gt;="&amp;INT($I$1),
  '[1]Hoja 1'!$R:$R, "&lt;"&amp;INT($J$1+1)
)</f>
        <v>1</v>
      </c>
      <c r="H203" s="1">
        <f t="shared" si="255"/>
        <v>0.5</v>
      </c>
      <c r="I203" s="1"/>
      <c r="J203" s="2"/>
      <c r="K203" s="1">
        <f>SUMIFS(
  '[1]Hoja 1'!$M:$M,
  '[1]Hoja 1'!$S:$S, $A203,
  '[1]Hoja 1'!$R:$R, "&gt;="&amp;INT($M$1),
  '[1]Hoja 1'!$R:$R, "&lt;"&amp;INT($N$1+1)
)</f>
        <v>2</v>
      </c>
      <c r="L203" s="1">
        <f t="shared" si="256"/>
        <v>1.5</v>
      </c>
      <c r="M203" s="9">
        <f t="shared" si="257"/>
        <v>1.5</v>
      </c>
      <c r="N203" s="10">
        <f t="shared" si="258"/>
        <v>1.5</v>
      </c>
      <c r="O203" s="1">
        <f>SUMIFS(
  '[1]Hoja 1'!$M:$M,
  '[1]Hoja 1'!$S:$S, $A203,
  '[1]Hoja 1'!$R:$R, "&gt;="&amp;INT($Q$1),
  '[1]Hoja 1'!$R:$R, "&lt;"&amp;INT($R$1+1)
)</f>
        <v>0</v>
      </c>
      <c r="P203" s="1">
        <f t="shared" si="259"/>
        <v>1</v>
      </c>
      <c r="Q203" s="9">
        <f t="shared" si="260"/>
        <v>-0.1974097914174997</v>
      </c>
      <c r="R203" s="10">
        <f t="shared" si="261"/>
        <v>3.1974097914174999</v>
      </c>
      <c r="S203" s="1">
        <f>SUMIFS(
  '[1]Hoja 1'!$M:$M,
  '[1]Hoja 1'!$S:$S, $A203,
  '[1]Hoja 1'!$R:$R, "&gt;="&amp;INT($U$1),
  '[1]Hoja 1'!$R:$R, "&lt;"&amp;INT($V$1+1)
)</f>
        <v>0</v>
      </c>
      <c r="T203" s="1">
        <f t="shared" si="262"/>
        <v>0</v>
      </c>
      <c r="U203" s="9">
        <f t="shared" si="263"/>
        <v>-1.3859292911256331</v>
      </c>
      <c r="V203" s="10">
        <f t="shared" si="264"/>
        <v>1.3859292911256331</v>
      </c>
      <c r="W203" s="1">
        <f>SUMIFS(
  '[1]Hoja 1'!$M:$M,
  '[1]Hoja 1'!$S:$S, $A203,
  '[1]Hoja 1'!$R:$R, "&gt;="&amp;INT($Y$1),
  '[1]Hoja 1'!$R:$R, "&lt;"&amp;INT($Z$1+1)
)</f>
        <v>1</v>
      </c>
      <c r="X203" s="1">
        <f t="shared" si="265"/>
        <v>1</v>
      </c>
      <c r="Y203" s="9">
        <f t="shared" si="266"/>
        <v>-0.38592929112563312</v>
      </c>
      <c r="Z203" s="10">
        <f t="shared" si="267"/>
        <v>2.3859292911256329</v>
      </c>
      <c r="AA203" s="1">
        <f>SUMIFS(
  '[1]Hoja 1'!$M:$M,
  '[1]Hoja 1'!$S:$S, $A203,
  '[1]Hoja 1'!$R:$R, "&gt;="&amp;INT($AC$1),
  '[1]Hoja 1'!$R:$R, "&lt;"&amp;INT($AD$1+1)
)</f>
        <v>0</v>
      </c>
      <c r="AB203" s="1">
        <f t="shared" si="268"/>
        <v>1</v>
      </c>
      <c r="AC203" s="9">
        <f t="shared" si="269"/>
        <v>-0.11737191659715518</v>
      </c>
      <c r="AD203" s="10">
        <f t="shared" si="270"/>
        <v>2.2651745597610895</v>
      </c>
      <c r="AE203" s="1">
        <f>SUMIFS(
  '[1]Hoja 1'!$M:$M,
  '[1]Hoja 1'!$S:$S, $A203,
  '[1]Hoja 1'!$R:$R, "&gt;="&amp;INT($AG$1),
  '[1]Hoja 1'!$R:$R, "&lt;"&amp;INT($AH$1+1)
)</f>
        <v>0</v>
      </c>
      <c r="AF203" s="1">
        <f t="shared" si="271"/>
        <v>0</v>
      </c>
      <c r="AG203" s="9">
        <f t="shared" si="272"/>
        <v>-0.69296464556281656</v>
      </c>
      <c r="AH203" s="10">
        <f t="shared" si="273"/>
        <v>0.80016664930917147</v>
      </c>
      <c r="AI203" s="1">
        <f>SUMIFS(
  '[1]Hoja 1'!$M:$M,
  '[1]Hoja 1'!$S:$S, $A203,
  '[1]Hoja 1'!$R:$R, "&gt;="&amp;INT($AK$1),
  '[1]Hoja 1'!$R:$R, "&lt;"&amp;INT($AL$1+1)
)</f>
        <v>0</v>
      </c>
      <c r="AJ203" s="1">
        <f t="shared" si="274"/>
        <v>0</v>
      </c>
      <c r="AK203" s="9">
        <f t="shared" si="275"/>
        <v>-0.69296464556281656</v>
      </c>
      <c r="AL203" s="10">
        <f t="shared" si="276"/>
        <v>0.80016664930917147</v>
      </c>
      <c r="AM203" s="1">
        <f>SUMIFS(
  '[1]Hoja 1'!$M:$M,
  '[1]Hoja 1'!$S:$S, $A203,
  '[1]Hoja 1'!$R:$R, "&gt;="&amp;INT($AO$1),
  '[1]Hoja 1'!$R:$R, "&lt;"&amp;INT($AP$1+1)
)</f>
        <v>0</v>
      </c>
      <c r="AN203" s="1">
        <f t="shared" si="277"/>
        <v>0</v>
      </c>
      <c r="AO203" s="9">
        <f t="shared" si="278"/>
        <v>-0.43826932358995874</v>
      </c>
      <c r="AP203" s="10">
        <f t="shared" si="279"/>
        <v>0.49</v>
      </c>
      <c r="AQ203" s="1">
        <f>SUMIFS(
  '[1]Hoja 1'!$M:$M,
  '[1]Hoja 1'!$S:$S, $A203,
  '[1]Hoja 1'!$R:$R, "&gt;="&amp;INT($AS$1),
  '[1]Hoja 1'!$R:$R, "&lt;"&amp;INT($AT$1+1)
)</f>
        <v>0</v>
      </c>
      <c r="AR203" s="1">
        <f t="shared" si="280"/>
        <v>0</v>
      </c>
      <c r="AS203" s="9">
        <f t="shared" si="281"/>
        <v>0</v>
      </c>
      <c r="AT203" s="10">
        <f t="shared" si="282"/>
        <v>0</v>
      </c>
      <c r="AU203" s="1">
        <f>SUMIFS(
  '[1]Hoja 1'!$M:$M,
  '[1]Hoja 1'!$S:$S, $A203,
  '[1]Hoja 1'!$R:$R, "&gt;="&amp;INT($AW$1),
  '[1]Hoja 1'!$R:$R, "&lt;"&amp;INT($AX$1+1)
)</f>
        <v>0</v>
      </c>
      <c r="AV203" s="1">
        <f t="shared" si="283"/>
        <v>0</v>
      </c>
      <c r="AW203" s="9">
        <f t="shared" si="284"/>
        <v>0</v>
      </c>
      <c r="AX203" s="10">
        <f t="shared" si="285"/>
        <v>0</v>
      </c>
      <c r="AY203" s="1">
        <f>SUMIFS(
  '[1]Hoja 1'!$M:$M,
  '[1]Hoja 1'!$S:$S, $A203,
  '[1]Hoja 1'!$R:$R, "&gt;="&amp;INT($BA$1),
  '[1]Hoja 1'!$R:$R, "&lt;"&amp;INT($BB$1+1)
)</f>
        <v>0</v>
      </c>
      <c r="AZ203" s="1">
        <f t="shared" si="286"/>
        <v>0</v>
      </c>
      <c r="BA203" s="9">
        <f t="shared" si="287"/>
        <v>0</v>
      </c>
      <c r="BB203" s="10">
        <f t="shared" si="288"/>
        <v>0</v>
      </c>
      <c r="BC203" s="1">
        <f>SUMIFS(
  '[1]Hoja 1'!$M:$M,
  '[1]Hoja 1'!$S:$S, $A203,
  '[1]Hoja 1'!$R:$R, "&gt;="&amp;INT($BE$1),
  '[1]Hoja 1'!$R:$R, "&lt;"&amp;INT($BF$1+1)
)</f>
        <v>0</v>
      </c>
      <c r="BD203" s="1">
        <f t="shared" si="289"/>
        <v>0</v>
      </c>
      <c r="BE203" s="9">
        <f t="shared" si="290"/>
        <v>0</v>
      </c>
      <c r="BF203" s="10">
        <f t="shared" si="291"/>
        <v>0</v>
      </c>
      <c r="BG203" s="1">
        <f>SUMIFS(
  '[1]Hoja 1'!$M:$M,
  '[1]Hoja 1'!$S:$S, $A203,
  '[1]Hoja 1'!$R:$R, "&gt;="&amp;INT($BI$1),
  '[1]Hoja 1'!$R:$R, "&lt;"&amp;INT($BJ$1+1)
)</f>
        <v>0</v>
      </c>
      <c r="BH203" s="1">
        <f t="shared" si="292"/>
        <v>0</v>
      </c>
      <c r="BI203" s="9">
        <f t="shared" si="293"/>
        <v>0</v>
      </c>
      <c r="BJ203" s="10">
        <f t="shared" si="294"/>
        <v>0</v>
      </c>
      <c r="BK203" s="1">
        <f>SUMIFS(
  '[1]Hoja 1'!$M:$M,
  '[1]Hoja 1'!$S:$S, $A203,
  '[1]Hoja 1'!$R:$R, "&gt;="&amp;INT($BM$1),
  '[1]Hoja 1'!$R:$R, "&lt;"&amp;INT($BN$1+1)
)</f>
        <v>0</v>
      </c>
      <c r="BL203" s="1">
        <f t="shared" si="295"/>
        <v>0</v>
      </c>
      <c r="BM203" s="9">
        <f t="shared" si="296"/>
        <v>0</v>
      </c>
      <c r="BN203" s="10">
        <f t="shared" si="297"/>
        <v>0</v>
      </c>
      <c r="BO203" s="1">
        <f>SUMIFS(
  '[1]Hoja 1'!$M:$M,
  '[1]Hoja 1'!$S:$S, $A203,
  '[1]Hoja 1'!$R:$R, "&gt;="&amp;INT($BQ$1),
  '[1]Hoja 1'!$R:$R, "&lt;"&amp;INT($BR$1+1)
)</f>
        <v>0</v>
      </c>
      <c r="BP203" s="1">
        <f t="shared" si="298"/>
        <v>0</v>
      </c>
      <c r="BQ203" s="9">
        <f t="shared" si="299"/>
        <v>0</v>
      </c>
      <c r="BR203" s="10">
        <f t="shared" si="300"/>
        <v>0</v>
      </c>
      <c r="BS203" s="1">
        <f>SUMIFS(
  '[1]Hoja 1'!$M:$M,
  '[1]Hoja 1'!$S:$S, $A203,
  '[1]Hoja 1'!$R:$R, "&gt;="&amp;INT($BU$1),
  '[1]Hoja 1'!$R:$R, "&lt;"&amp;INT($BV$1+1)
)</f>
        <v>0</v>
      </c>
      <c r="BT203" s="1">
        <f t="shared" si="301"/>
        <v>0</v>
      </c>
      <c r="BU203" s="9">
        <f t="shared" si="302"/>
        <v>0</v>
      </c>
      <c r="BV203" s="10">
        <f t="shared" si="303"/>
        <v>0</v>
      </c>
      <c r="BW203" s="1">
        <f>SUMIFS(
  '[1]Hoja 1'!$M:$M,
  '[1]Hoja 1'!$S:$S, $A203,
  '[1]Hoja 1'!$R:$R, "&gt;="&amp;INT($BY$1),
  '[1]Hoja 1'!$R:$R, "&lt;"&amp;INT($BZ$1+1)
)</f>
        <v>0</v>
      </c>
      <c r="BX203" s="1">
        <f t="shared" si="304"/>
        <v>0</v>
      </c>
      <c r="BY203" s="9">
        <f t="shared" si="305"/>
        <v>0</v>
      </c>
      <c r="BZ203" s="10">
        <f t="shared" si="306"/>
        <v>0</v>
      </c>
      <c r="CA203" s="1">
        <f>SUMIFS(
  '[1]Hoja 1'!$M:$M,
  '[1]Hoja 1'!$S:$S, $A203,
  '[1]Hoja 1'!$R:$R, "&gt;="&amp;INT($CC$1),
  '[1]Hoja 1'!$R:$R, "&lt;"&amp;INT($CD$1+1)
)</f>
        <v>0</v>
      </c>
      <c r="CB203" s="1">
        <f t="shared" si="307"/>
        <v>0</v>
      </c>
      <c r="CC203" s="9">
        <f t="shared" si="308"/>
        <v>0</v>
      </c>
      <c r="CD203" s="10">
        <f t="shared" si="309"/>
        <v>0</v>
      </c>
      <c r="CE203" s="1">
        <f>SUMIFS(
  '[1]Hoja 1'!$M:$M,
  '[1]Hoja 1'!$S:$S, $A203,
  '[1]Hoja 1'!$R:$R, "&gt;="&amp;INT($CG$1),
  '[1]Hoja 1'!$R:$R, "&lt;"&amp;INT($CH$1+1)
)</f>
        <v>0</v>
      </c>
      <c r="CF203" s="1">
        <f t="shared" si="310"/>
        <v>0</v>
      </c>
      <c r="CG203" s="9">
        <f t="shared" si="311"/>
        <v>0</v>
      </c>
      <c r="CH203" s="10">
        <f t="shared" si="312"/>
        <v>0</v>
      </c>
      <c r="CI203" s="1">
        <f>SUMIFS(
  '[1]Hoja 1'!$M:$M,
  '[1]Hoja 1'!$S:$S, $A203,
  '[1]Hoja 1'!$R:$R, "&gt;="&amp;INT($CK$1),
  '[1]Hoja 1'!$R:$R, "&lt;"&amp;INT($CL$1+1)
)</f>
        <v>0</v>
      </c>
      <c r="CJ203" s="1">
        <f t="shared" si="313"/>
        <v>0</v>
      </c>
      <c r="CK203" s="9">
        <f t="shared" si="314"/>
        <v>0</v>
      </c>
      <c r="CL203" s="10">
        <f t="shared" si="315"/>
        <v>0</v>
      </c>
      <c r="CM203" s="1">
        <f>SUMIFS(
  '[1]Hoja 1'!$M:$M,
  '[1]Hoja 1'!$S:$S, $A203,
  '[1]Hoja 1'!$R:$R, "&gt;="&amp;INT($CO$1),
  '[1]Hoja 1'!$R:$R, "&lt;"&amp;INT($CP$1+1)
)</f>
        <v>0</v>
      </c>
      <c r="CN203" s="1">
        <f t="shared" si="316"/>
        <v>0</v>
      </c>
      <c r="CO203" s="9">
        <f t="shared" si="317"/>
        <v>0</v>
      </c>
      <c r="CP203" s="10">
        <f t="shared" si="318"/>
        <v>0</v>
      </c>
      <c r="CQ203" s="1">
        <f>SUMIFS(
  '[1]Hoja 1'!$M:$M,
  '[1]Hoja 1'!$S:$S, $A203,
  '[1]Hoja 1'!$R:$R, "&gt;="&amp;INT($CS$1),
  '[1]Hoja 1'!$R:$R, "&lt;"&amp;INT($CT$1+1)
)</f>
        <v>0</v>
      </c>
      <c r="CR203" s="1">
        <f t="shared" si="319"/>
        <v>0</v>
      </c>
      <c r="CS203" s="9">
        <f t="shared" si="320"/>
        <v>0</v>
      </c>
      <c r="CT203" s="10">
        <f t="shared" si="321"/>
        <v>0</v>
      </c>
      <c r="CU203" s="1">
        <f>SUMIFS(
  '[1]Hoja 1'!$M:$M,
  '[1]Hoja 1'!$S:$S, $A203,
  '[1]Hoja 1'!$R:$R, "&gt;="&amp;INT($CW$1),
  '[1]Hoja 1'!$R:$R, "&lt;"&amp;INT($CX$1+1)
)</f>
        <v>0</v>
      </c>
      <c r="CV203" s="1">
        <f t="shared" si="322"/>
        <v>0</v>
      </c>
      <c r="CW203" s="9">
        <f t="shared" si="323"/>
        <v>0</v>
      </c>
      <c r="CX203" s="10">
        <f t="shared" si="324"/>
        <v>0</v>
      </c>
      <c r="CY203" s="1">
        <f>SUMIFS(
  '[1]Hoja 1'!$M:$M,
  '[1]Hoja 1'!$S:$S, $A203,
  '[1]Hoja 1'!$R:$R, "&gt;="&amp;INT($DA$1),
  '[1]Hoja 1'!$R:$R, "&lt;"&amp;INT($DB$1+1)
)</f>
        <v>0</v>
      </c>
      <c r="CZ203" s="1">
        <f t="shared" si="325"/>
        <v>0</v>
      </c>
      <c r="DA203" s="9">
        <f t="shared" si="326"/>
        <v>0</v>
      </c>
      <c r="DB203" s="10">
        <f t="shared" si="327"/>
        <v>0</v>
      </c>
      <c r="DC203" s="1">
        <f>SUMIFS(
  '[1]Hoja 1'!$M:$M,
  '[1]Hoja 1'!$S:$S, $A203,
  '[1]Hoja 1'!$R:$R, "&gt;="&amp;INT($DE$1),
  '[1]Hoja 1'!$R:$R, "&lt;"&amp;INT($DF$1+1)
)</f>
        <v>0</v>
      </c>
      <c r="DD203" s="1">
        <f t="shared" si="328"/>
        <v>0</v>
      </c>
      <c r="DE203" s="9">
        <f t="shared" si="329"/>
        <v>0</v>
      </c>
      <c r="DF203" s="10">
        <f t="shared" si="330"/>
        <v>0</v>
      </c>
      <c r="DG203" s="1">
        <f>SUMIFS(
  '[1]Hoja 1'!$M:$M,
  '[1]Hoja 1'!$S:$S, $A203,
  '[1]Hoja 1'!$R:$R, "&gt;="&amp;INT($DI$1),
  '[1]Hoja 1'!$R:$R, "&lt;"&amp;INT($DJ$1+1)
)</f>
        <v>0</v>
      </c>
      <c r="DH203" s="1">
        <f t="shared" si="331"/>
        <v>0</v>
      </c>
      <c r="DI203" s="9">
        <f t="shared" si="332"/>
        <v>0</v>
      </c>
      <c r="DJ203" s="10">
        <f t="shared" si="333"/>
        <v>0</v>
      </c>
      <c r="DK203" s="1">
        <f>SUMIFS(
  '[1]Hoja 1'!$M:$M,
  '[1]Hoja 1'!$S:$S, $A203,
  '[1]Hoja 1'!$R:$R, "&gt;="&amp;INT($DM$1),
  '[1]Hoja 1'!$R:$R, "&lt;"&amp;INT($DN$1+1)
)</f>
        <v>0</v>
      </c>
      <c r="DL203" s="1">
        <f t="shared" si="334"/>
        <v>0</v>
      </c>
      <c r="DM203" s="9">
        <f t="shared" si="335"/>
        <v>0</v>
      </c>
      <c r="DN203" s="10">
        <f t="shared" si="336"/>
        <v>0</v>
      </c>
      <c r="DO203" s="1">
        <f>SUMIFS(
  '[1]Hoja 1'!$M:$M,
  '[1]Hoja 1'!$S:$S, $A203,
  '[1]Hoja 1'!$R:$R, "&gt;="&amp;INT($DQ$1),
  '[1]Hoja 1'!$R:$R, "&lt;"&amp;INT($DR$1+1)
)</f>
        <v>0</v>
      </c>
      <c r="DP203" s="1">
        <f t="shared" si="337"/>
        <v>0</v>
      </c>
      <c r="DQ203" s="9">
        <f t="shared" si="338"/>
        <v>0</v>
      </c>
      <c r="DR203" s="10">
        <f t="shared" si="339"/>
        <v>0</v>
      </c>
    </row>
    <row r="204" spans="1:122" x14ac:dyDescent="0.25">
      <c r="A204" s="5">
        <v>236001</v>
      </c>
      <c r="B204" s="6" t="s">
        <v>200</v>
      </c>
      <c r="C204" s="1">
        <f>SUMIFS(
  '[1]Hoja 1'!$M:$M,
  '[1]Hoja 1'!$S:$S, $A204,
  '[1]Hoja 1'!$R:$R, "&gt;="&amp;INT($E$1),
  '[1]Hoja 1'!$R:$R, "&lt;"&amp;INT($F$1+1)
)</f>
        <v>0</v>
      </c>
      <c r="D204" s="1" t="str">
        <f>""</f>
        <v/>
      </c>
      <c r="F204" s="2"/>
      <c r="G204" s="1">
        <f>SUMIFS(
  '[1]Hoja 1'!$M:$M,
  '[1]Hoja 1'!$S:$S, $A204,
  '[1]Hoja 1'!$R:$R, "&gt;="&amp;INT($I$1),
  '[1]Hoja 1'!$R:$R, "&lt;"&amp;INT($J$1+1)
)</f>
        <v>0</v>
      </c>
      <c r="H204" s="1">
        <f t="shared" si="255"/>
        <v>0</v>
      </c>
      <c r="I204" s="1"/>
      <c r="J204" s="2"/>
      <c r="K204" s="1">
        <f>SUMIFS(
  '[1]Hoja 1'!$M:$M,
  '[1]Hoja 1'!$S:$S, $A204,
  '[1]Hoja 1'!$R:$R, "&gt;="&amp;INT($M$1),
  '[1]Hoja 1'!$R:$R, "&lt;"&amp;INT($N$1+1)
)</f>
        <v>0</v>
      </c>
      <c r="L204" s="1">
        <f t="shared" si="256"/>
        <v>0</v>
      </c>
      <c r="M204" s="9">
        <f t="shared" si="257"/>
        <v>0</v>
      </c>
      <c r="N204" s="10">
        <f t="shared" si="258"/>
        <v>0</v>
      </c>
      <c r="O204" s="1">
        <f>SUMIFS(
  '[1]Hoja 1'!$M:$M,
  '[1]Hoja 1'!$S:$S, $A204,
  '[1]Hoja 1'!$R:$R, "&gt;="&amp;INT($Q$1),
  '[1]Hoja 1'!$R:$R, "&lt;"&amp;INT($R$1+1)
)</f>
        <v>0</v>
      </c>
      <c r="P204" s="1">
        <f t="shared" si="259"/>
        <v>0</v>
      </c>
      <c r="Q204" s="9">
        <f t="shared" si="260"/>
        <v>0</v>
      </c>
      <c r="R204" s="10">
        <f t="shared" si="261"/>
        <v>0</v>
      </c>
      <c r="S204" s="1">
        <f>SUMIFS(
  '[1]Hoja 1'!$M:$M,
  '[1]Hoja 1'!$S:$S, $A204,
  '[1]Hoja 1'!$R:$R, "&gt;="&amp;INT($U$1),
  '[1]Hoja 1'!$R:$R, "&lt;"&amp;INT($V$1+1)
)</f>
        <v>0</v>
      </c>
      <c r="T204" s="1">
        <f t="shared" si="262"/>
        <v>0</v>
      </c>
      <c r="U204" s="9">
        <f t="shared" si="263"/>
        <v>0</v>
      </c>
      <c r="V204" s="10">
        <f t="shared" si="264"/>
        <v>0</v>
      </c>
      <c r="W204" s="1">
        <f>SUMIFS(
  '[1]Hoja 1'!$M:$M,
  '[1]Hoja 1'!$S:$S, $A204,
  '[1]Hoja 1'!$R:$R, "&gt;="&amp;INT($Y$1),
  '[1]Hoja 1'!$R:$R, "&lt;"&amp;INT($Z$1+1)
)</f>
        <v>0</v>
      </c>
      <c r="X204" s="1">
        <f t="shared" si="265"/>
        <v>0</v>
      </c>
      <c r="Y204" s="9">
        <f t="shared" si="266"/>
        <v>0</v>
      </c>
      <c r="Z204" s="10">
        <f t="shared" si="267"/>
        <v>0</v>
      </c>
      <c r="AA204" s="1">
        <f>SUMIFS(
  '[1]Hoja 1'!$M:$M,
  '[1]Hoja 1'!$S:$S, $A204,
  '[1]Hoja 1'!$R:$R, "&gt;="&amp;INT($AC$1),
  '[1]Hoja 1'!$R:$R, "&lt;"&amp;INT($AD$1+1)
)</f>
        <v>0</v>
      </c>
      <c r="AB204" s="1">
        <f t="shared" si="268"/>
        <v>0</v>
      </c>
      <c r="AC204" s="9">
        <f t="shared" si="269"/>
        <v>0</v>
      </c>
      <c r="AD204" s="10">
        <f t="shared" si="270"/>
        <v>0</v>
      </c>
      <c r="AE204" s="1">
        <f>SUMIFS(
  '[1]Hoja 1'!$M:$M,
  '[1]Hoja 1'!$S:$S, $A204,
  '[1]Hoja 1'!$R:$R, "&gt;="&amp;INT($AG$1),
  '[1]Hoja 1'!$R:$R, "&lt;"&amp;INT($AH$1+1)
)</f>
        <v>0</v>
      </c>
      <c r="AF204" s="1">
        <f t="shared" si="271"/>
        <v>0</v>
      </c>
      <c r="AG204" s="9">
        <f t="shared" si="272"/>
        <v>0</v>
      </c>
      <c r="AH204" s="10">
        <f t="shared" si="273"/>
        <v>0</v>
      </c>
      <c r="AI204" s="1">
        <f>SUMIFS(
  '[1]Hoja 1'!$M:$M,
  '[1]Hoja 1'!$S:$S, $A204,
  '[1]Hoja 1'!$R:$R, "&gt;="&amp;INT($AK$1),
  '[1]Hoja 1'!$R:$R, "&lt;"&amp;INT($AL$1+1)
)</f>
        <v>0</v>
      </c>
      <c r="AJ204" s="1">
        <f t="shared" si="274"/>
        <v>0</v>
      </c>
      <c r="AK204" s="9">
        <f t="shared" si="275"/>
        <v>0</v>
      </c>
      <c r="AL204" s="10">
        <f t="shared" si="276"/>
        <v>0</v>
      </c>
      <c r="AM204" s="1">
        <f>SUMIFS(
  '[1]Hoja 1'!$M:$M,
  '[1]Hoja 1'!$S:$S, $A204,
  '[1]Hoja 1'!$R:$R, "&gt;="&amp;INT($AO$1),
  '[1]Hoja 1'!$R:$R, "&lt;"&amp;INT($AP$1+1)
)</f>
        <v>0</v>
      </c>
      <c r="AN204" s="1">
        <f t="shared" si="277"/>
        <v>0</v>
      </c>
      <c r="AO204" s="9">
        <f t="shared" si="278"/>
        <v>0</v>
      </c>
      <c r="AP204" s="10">
        <f t="shared" si="279"/>
        <v>0</v>
      </c>
      <c r="AQ204" s="1">
        <f>SUMIFS(
  '[1]Hoja 1'!$M:$M,
  '[1]Hoja 1'!$S:$S, $A204,
  '[1]Hoja 1'!$R:$R, "&gt;="&amp;INT($AS$1),
  '[1]Hoja 1'!$R:$R, "&lt;"&amp;INT($AT$1+1)
)</f>
        <v>0</v>
      </c>
      <c r="AR204" s="1">
        <f t="shared" si="280"/>
        <v>0</v>
      </c>
      <c r="AS204" s="9">
        <f t="shared" si="281"/>
        <v>0</v>
      </c>
      <c r="AT204" s="10">
        <f t="shared" si="282"/>
        <v>0</v>
      </c>
      <c r="AU204" s="1">
        <f>SUMIFS(
  '[1]Hoja 1'!$M:$M,
  '[1]Hoja 1'!$S:$S, $A204,
  '[1]Hoja 1'!$R:$R, "&gt;="&amp;INT($AW$1),
  '[1]Hoja 1'!$R:$R, "&lt;"&amp;INT($AX$1+1)
)</f>
        <v>0</v>
      </c>
      <c r="AV204" s="1">
        <f t="shared" si="283"/>
        <v>0</v>
      </c>
      <c r="AW204" s="9">
        <f t="shared" si="284"/>
        <v>0</v>
      </c>
      <c r="AX204" s="10">
        <f t="shared" si="285"/>
        <v>0</v>
      </c>
      <c r="AY204" s="1">
        <f>SUMIFS(
  '[1]Hoja 1'!$M:$M,
  '[1]Hoja 1'!$S:$S, $A204,
  '[1]Hoja 1'!$R:$R, "&gt;="&amp;INT($BA$1),
  '[1]Hoja 1'!$R:$R, "&lt;"&amp;INT($BB$1+1)
)</f>
        <v>0</v>
      </c>
      <c r="AZ204" s="1">
        <f t="shared" si="286"/>
        <v>0</v>
      </c>
      <c r="BA204" s="9">
        <f t="shared" si="287"/>
        <v>0</v>
      </c>
      <c r="BB204" s="10">
        <f t="shared" si="288"/>
        <v>0</v>
      </c>
      <c r="BC204" s="1">
        <f>SUMIFS(
  '[1]Hoja 1'!$M:$M,
  '[1]Hoja 1'!$S:$S, $A204,
  '[1]Hoja 1'!$R:$R, "&gt;="&amp;INT($BE$1),
  '[1]Hoja 1'!$R:$R, "&lt;"&amp;INT($BF$1+1)
)</f>
        <v>0</v>
      </c>
      <c r="BD204" s="1">
        <f t="shared" si="289"/>
        <v>0</v>
      </c>
      <c r="BE204" s="9">
        <f t="shared" si="290"/>
        <v>0</v>
      </c>
      <c r="BF204" s="10">
        <f t="shared" si="291"/>
        <v>0</v>
      </c>
      <c r="BG204" s="1">
        <f>SUMIFS(
  '[1]Hoja 1'!$M:$M,
  '[1]Hoja 1'!$S:$S, $A204,
  '[1]Hoja 1'!$R:$R, "&gt;="&amp;INT($BI$1),
  '[1]Hoja 1'!$R:$R, "&lt;"&amp;INT($BJ$1+1)
)</f>
        <v>0</v>
      </c>
      <c r="BH204" s="1">
        <f t="shared" si="292"/>
        <v>0</v>
      </c>
      <c r="BI204" s="9">
        <f t="shared" si="293"/>
        <v>0</v>
      </c>
      <c r="BJ204" s="10">
        <f t="shared" si="294"/>
        <v>0</v>
      </c>
      <c r="BK204" s="1">
        <f>SUMIFS(
  '[1]Hoja 1'!$M:$M,
  '[1]Hoja 1'!$S:$S, $A204,
  '[1]Hoja 1'!$R:$R, "&gt;="&amp;INT($BM$1),
  '[1]Hoja 1'!$R:$R, "&lt;"&amp;INT($BN$1+1)
)</f>
        <v>0</v>
      </c>
      <c r="BL204" s="1">
        <f t="shared" si="295"/>
        <v>0</v>
      </c>
      <c r="BM204" s="9">
        <f t="shared" si="296"/>
        <v>0</v>
      </c>
      <c r="BN204" s="10">
        <f t="shared" si="297"/>
        <v>0</v>
      </c>
      <c r="BO204" s="1">
        <f>SUMIFS(
  '[1]Hoja 1'!$M:$M,
  '[1]Hoja 1'!$S:$S, $A204,
  '[1]Hoja 1'!$R:$R, "&gt;="&amp;INT($BQ$1),
  '[1]Hoja 1'!$R:$R, "&lt;"&amp;INT($BR$1+1)
)</f>
        <v>0</v>
      </c>
      <c r="BP204" s="1">
        <f t="shared" si="298"/>
        <v>0</v>
      </c>
      <c r="BQ204" s="9">
        <f t="shared" si="299"/>
        <v>0</v>
      </c>
      <c r="BR204" s="10">
        <f t="shared" si="300"/>
        <v>0</v>
      </c>
      <c r="BS204" s="1">
        <f>SUMIFS(
  '[1]Hoja 1'!$M:$M,
  '[1]Hoja 1'!$S:$S, $A204,
  '[1]Hoja 1'!$R:$R, "&gt;="&amp;INT($BU$1),
  '[1]Hoja 1'!$R:$R, "&lt;"&amp;INT($BV$1+1)
)</f>
        <v>0</v>
      </c>
      <c r="BT204" s="1">
        <f t="shared" si="301"/>
        <v>0</v>
      </c>
      <c r="BU204" s="9">
        <f t="shared" si="302"/>
        <v>0</v>
      </c>
      <c r="BV204" s="10">
        <f t="shared" si="303"/>
        <v>0</v>
      </c>
      <c r="BW204" s="1">
        <f>SUMIFS(
  '[1]Hoja 1'!$M:$M,
  '[1]Hoja 1'!$S:$S, $A204,
  '[1]Hoja 1'!$R:$R, "&gt;="&amp;INT($BY$1),
  '[1]Hoja 1'!$R:$R, "&lt;"&amp;INT($BZ$1+1)
)</f>
        <v>0</v>
      </c>
      <c r="BX204" s="1">
        <f t="shared" si="304"/>
        <v>0</v>
      </c>
      <c r="BY204" s="9">
        <f t="shared" si="305"/>
        <v>0</v>
      </c>
      <c r="BZ204" s="10">
        <f t="shared" si="306"/>
        <v>0</v>
      </c>
      <c r="CA204" s="1">
        <f>SUMIFS(
  '[1]Hoja 1'!$M:$M,
  '[1]Hoja 1'!$S:$S, $A204,
  '[1]Hoja 1'!$R:$R, "&gt;="&amp;INT($CC$1),
  '[1]Hoja 1'!$R:$R, "&lt;"&amp;INT($CD$1+1)
)</f>
        <v>0</v>
      </c>
      <c r="CB204" s="1">
        <f t="shared" si="307"/>
        <v>0</v>
      </c>
      <c r="CC204" s="9">
        <f t="shared" si="308"/>
        <v>0</v>
      </c>
      <c r="CD204" s="10">
        <f t="shared" si="309"/>
        <v>0</v>
      </c>
      <c r="CE204" s="1">
        <f>SUMIFS(
  '[1]Hoja 1'!$M:$M,
  '[1]Hoja 1'!$S:$S, $A204,
  '[1]Hoja 1'!$R:$R, "&gt;="&amp;INT($CG$1),
  '[1]Hoja 1'!$R:$R, "&lt;"&amp;INT($CH$1+1)
)</f>
        <v>0</v>
      </c>
      <c r="CF204" s="1">
        <f t="shared" si="310"/>
        <v>0</v>
      </c>
      <c r="CG204" s="9">
        <f t="shared" si="311"/>
        <v>0</v>
      </c>
      <c r="CH204" s="10">
        <f t="shared" si="312"/>
        <v>0</v>
      </c>
      <c r="CI204" s="1">
        <f>SUMIFS(
  '[1]Hoja 1'!$M:$M,
  '[1]Hoja 1'!$S:$S, $A204,
  '[1]Hoja 1'!$R:$R, "&gt;="&amp;INT($CK$1),
  '[1]Hoja 1'!$R:$R, "&lt;"&amp;INT($CL$1+1)
)</f>
        <v>0</v>
      </c>
      <c r="CJ204" s="1">
        <f t="shared" si="313"/>
        <v>0</v>
      </c>
      <c r="CK204" s="9">
        <f t="shared" si="314"/>
        <v>0</v>
      </c>
      <c r="CL204" s="10">
        <f t="shared" si="315"/>
        <v>0</v>
      </c>
      <c r="CM204" s="1">
        <f>SUMIFS(
  '[1]Hoja 1'!$M:$M,
  '[1]Hoja 1'!$S:$S, $A204,
  '[1]Hoja 1'!$R:$R, "&gt;="&amp;INT($CO$1),
  '[1]Hoja 1'!$R:$R, "&lt;"&amp;INT($CP$1+1)
)</f>
        <v>0</v>
      </c>
      <c r="CN204" s="1">
        <f t="shared" si="316"/>
        <v>0</v>
      </c>
      <c r="CO204" s="9">
        <f t="shared" si="317"/>
        <v>0</v>
      </c>
      <c r="CP204" s="10">
        <f t="shared" si="318"/>
        <v>0</v>
      </c>
      <c r="CQ204" s="1">
        <f>SUMIFS(
  '[1]Hoja 1'!$M:$M,
  '[1]Hoja 1'!$S:$S, $A204,
  '[1]Hoja 1'!$R:$R, "&gt;="&amp;INT($CS$1),
  '[1]Hoja 1'!$R:$R, "&lt;"&amp;INT($CT$1+1)
)</f>
        <v>0</v>
      </c>
      <c r="CR204" s="1">
        <f t="shared" si="319"/>
        <v>0</v>
      </c>
      <c r="CS204" s="9">
        <f t="shared" si="320"/>
        <v>0</v>
      </c>
      <c r="CT204" s="10">
        <f t="shared" si="321"/>
        <v>0</v>
      </c>
      <c r="CU204" s="1">
        <f>SUMIFS(
  '[1]Hoja 1'!$M:$M,
  '[1]Hoja 1'!$S:$S, $A204,
  '[1]Hoja 1'!$R:$R, "&gt;="&amp;INT($CW$1),
  '[1]Hoja 1'!$R:$R, "&lt;"&amp;INT($CX$1+1)
)</f>
        <v>0</v>
      </c>
      <c r="CV204" s="1">
        <f t="shared" si="322"/>
        <v>0</v>
      </c>
      <c r="CW204" s="9">
        <f t="shared" si="323"/>
        <v>0</v>
      </c>
      <c r="CX204" s="10">
        <f t="shared" si="324"/>
        <v>0</v>
      </c>
      <c r="CY204" s="1">
        <f>SUMIFS(
  '[1]Hoja 1'!$M:$M,
  '[1]Hoja 1'!$S:$S, $A204,
  '[1]Hoja 1'!$R:$R, "&gt;="&amp;INT($DA$1),
  '[1]Hoja 1'!$R:$R, "&lt;"&amp;INT($DB$1+1)
)</f>
        <v>0</v>
      </c>
      <c r="CZ204" s="1">
        <f t="shared" si="325"/>
        <v>0</v>
      </c>
      <c r="DA204" s="9">
        <f t="shared" si="326"/>
        <v>0</v>
      </c>
      <c r="DB204" s="10">
        <f t="shared" si="327"/>
        <v>0</v>
      </c>
      <c r="DC204" s="1">
        <f>SUMIFS(
  '[1]Hoja 1'!$M:$M,
  '[1]Hoja 1'!$S:$S, $A204,
  '[1]Hoja 1'!$R:$R, "&gt;="&amp;INT($DE$1),
  '[1]Hoja 1'!$R:$R, "&lt;"&amp;INT($DF$1+1)
)</f>
        <v>0</v>
      </c>
      <c r="DD204" s="1">
        <f t="shared" si="328"/>
        <v>0</v>
      </c>
      <c r="DE204" s="9">
        <f t="shared" si="329"/>
        <v>0</v>
      </c>
      <c r="DF204" s="10">
        <f t="shared" si="330"/>
        <v>0</v>
      </c>
      <c r="DG204" s="1">
        <f>SUMIFS(
  '[1]Hoja 1'!$M:$M,
  '[1]Hoja 1'!$S:$S, $A204,
  '[1]Hoja 1'!$R:$R, "&gt;="&amp;INT($DI$1),
  '[1]Hoja 1'!$R:$R, "&lt;"&amp;INT($DJ$1+1)
)</f>
        <v>0</v>
      </c>
      <c r="DH204" s="1">
        <f t="shared" si="331"/>
        <v>0</v>
      </c>
      <c r="DI204" s="9">
        <f t="shared" si="332"/>
        <v>0</v>
      </c>
      <c r="DJ204" s="10">
        <f t="shared" si="333"/>
        <v>0</v>
      </c>
      <c r="DK204" s="1">
        <f>SUMIFS(
  '[1]Hoja 1'!$M:$M,
  '[1]Hoja 1'!$S:$S, $A204,
  '[1]Hoja 1'!$R:$R, "&gt;="&amp;INT($DM$1),
  '[1]Hoja 1'!$R:$R, "&lt;"&amp;INT($DN$1+1)
)</f>
        <v>0</v>
      </c>
      <c r="DL204" s="1">
        <f t="shared" si="334"/>
        <v>0</v>
      </c>
      <c r="DM204" s="9">
        <f t="shared" si="335"/>
        <v>0</v>
      </c>
      <c r="DN204" s="10">
        <f t="shared" si="336"/>
        <v>0</v>
      </c>
      <c r="DO204" s="1">
        <f>SUMIFS(
  '[1]Hoja 1'!$M:$M,
  '[1]Hoja 1'!$S:$S, $A204,
  '[1]Hoja 1'!$R:$R, "&gt;="&amp;INT($DQ$1),
  '[1]Hoja 1'!$R:$R, "&lt;"&amp;INT($DR$1+1)
)</f>
        <v>0</v>
      </c>
      <c r="DP204" s="1">
        <f t="shared" si="337"/>
        <v>0</v>
      </c>
      <c r="DQ204" s="9">
        <f t="shared" si="338"/>
        <v>0</v>
      </c>
      <c r="DR204" s="10">
        <f t="shared" si="339"/>
        <v>0</v>
      </c>
    </row>
    <row r="205" spans="1:122" x14ac:dyDescent="0.25">
      <c r="A205" s="5">
        <v>236002</v>
      </c>
      <c r="B205" s="6" t="s">
        <v>201</v>
      </c>
      <c r="C205" s="1">
        <f>SUMIFS(
  '[1]Hoja 1'!$M:$M,
  '[1]Hoja 1'!$S:$S, $A205,
  '[1]Hoja 1'!$R:$R, "&gt;="&amp;INT($E$1),
  '[1]Hoja 1'!$R:$R, "&lt;"&amp;INT($F$1+1)
)</f>
        <v>0</v>
      </c>
      <c r="D205" s="1" t="str">
        <f>""</f>
        <v/>
      </c>
      <c r="F205" s="2"/>
      <c r="G205" s="1">
        <f>SUMIFS(
  '[1]Hoja 1'!$M:$M,
  '[1]Hoja 1'!$S:$S, $A205,
  '[1]Hoja 1'!$R:$R, "&gt;="&amp;INT($I$1),
  '[1]Hoja 1'!$R:$R, "&lt;"&amp;INT($J$1+1)
)</f>
        <v>0</v>
      </c>
      <c r="H205" s="1">
        <f t="shared" si="255"/>
        <v>0</v>
      </c>
      <c r="I205" s="1"/>
      <c r="J205" s="2"/>
      <c r="K205" s="1">
        <f>SUMIFS(
  '[1]Hoja 1'!$M:$M,
  '[1]Hoja 1'!$S:$S, $A205,
  '[1]Hoja 1'!$R:$R, "&gt;="&amp;INT($M$1),
  '[1]Hoja 1'!$R:$R, "&lt;"&amp;INT($N$1+1)
)</f>
        <v>0</v>
      </c>
      <c r="L205" s="1">
        <f t="shared" si="256"/>
        <v>0</v>
      </c>
      <c r="M205" s="9">
        <f t="shared" si="257"/>
        <v>0</v>
      </c>
      <c r="N205" s="10">
        <f t="shared" si="258"/>
        <v>0</v>
      </c>
      <c r="O205" s="1">
        <f>SUMIFS(
  '[1]Hoja 1'!$M:$M,
  '[1]Hoja 1'!$S:$S, $A205,
  '[1]Hoja 1'!$R:$R, "&gt;="&amp;INT($Q$1),
  '[1]Hoja 1'!$R:$R, "&lt;"&amp;INT($R$1+1)
)</f>
        <v>0</v>
      </c>
      <c r="P205" s="1">
        <f t="shared" si="259"/>
        <v>0</v>
      </c>
      <c r="Q205" s="9">
        <f t="shared" si="260"/>
        <v>0</v>
      </c>
      <c r="R205" s="10">
        <f t="shared" si="261"/>
        <v>0</v>
      </c>
      <c r="S205" s="1">
        <f>SUMIFS(
  '[1]Hoja 1'!$M:$M,
  '[1]Hoja 1'!$S:$S, $A205,
  '[1]Hoja 1'!$R:$R, "&gt;="&amp;INT($U$1),
  '[1]Hoja 1'!$R:$R, "&lt;"&amp;INT($V$1+1)
)</f>
        <v>0</v>
      </c>
      <c r="T205" s="1">
        <f t="shared" si="262"/>
        <v>0</v>
      </c>
      <c r="U205" s="9">
        <f t="shared" si="263"/>
        <v>0</v>
      </c>
      <c r="V205" s="10">
        <f t="shared" si="264"/>
        <v>0</v>
      </c>
      <c r="W205" s="1">
        <f>SUMIFS(
  '[1]Hoja 1'!$M:$M,
  '[1]Hoja 1'!$S:$S, $A205,
  '[1]Hoja 1'!$R:$R, "&gt;="&amp;INT($Y$1),
  '[1]Hoja 1'!$R:$R, "&lt;"&amp;INT($Z$1+1)
)</f>
        <v>0</v>
      </c>
      <c r="X205" s="1">
        <f t="shared" si="265"/>
        <v>0</v>
      </c>
      <c r="Y205" s="9">
        <f t="shared" si="266"/>
        <v>0</v>
      </c>
      <c r="Z205" s="10">
        <f t="shared" si="267"/>
        <v>0</v>
      </c>
      <c r="AA205" s="1">
        <f>SUMIFS(
  '[1]Hoja 1'!$M:$M,
  '[1]Hoja 1'!$S:$S, $A205,
  '[1]Hoja 1'!$R:$R, "&gt;="&amp;INT($AC$1),
  '[1]Hoja 1'!$R:$R, "&lt;"&amp;INT($AD$1+1)
)</f>
        <v>0</v>
      </c>
      <c r="AB205" s="1">
        <f t="shared" si="268"/>
        <v>0</v>
      </c>
      <c r="AC205" s="9">
        <f t="shared" si="269"/>
        <v>0</v>
      </c>
      <c r="AD205" s="10">
        <f t="shared" si="270"/>
        <v>0</v>
      </c>
      <c r="AE205" s="1">
        <f>SUMIFS(
  '[1]Hoja 1'!$M:$M,
  '[1]Hoja 1'!$S:$S, $A205,
  '[1]Hoja 1'!$R:$R, "&gt;="&amp;INT($AG$1),
  '[1]Hoja 1'!$R:$R, "&lt;"&amp;INT($AH$1+1)
)</f>
        <v>0</v>
      </c>
      <c r="AF205" s="1">
        <f t="shared" si="271"/>
        <v>0</v>
      </c>
      <c r="AG205" s="9">
        <f t="shared" si="272"/>
        <v>0</v>
      </c>
      <c r="AH205" s="10">
        <f t="shared" si="273"/>
        <v>0</v>
      </c>
      <c r="AI205" s="1">
        <f>SUMIFS(
  '[1]Hoja 1'!$M:$M,
  '[1]Hoja 1'!$S:$S, $A205,
  '[1]Hoja 1'!$R:$R, "&gt;="&amp;INT($AK$1),
  '[1]Hoja 1'!$R:$R, "&lt;"&amp;INT($AL$1+1)
)</f>
        <v>0</v>
      </c>
      <c r="AJ205" s="1">
        <f t="shared" si="274"/>
        <v>0</v>
      </c>
      <c r="AK205" s="9">
        <f t="shared" si="275"/>
        <v>0</v>
      </c>
      <c r="AL205" s="10">
        <f t="shared" si="276"/>
        <v>0</v>
      </c>
      <c r="AM205" s="1">
        <f>SUMIFS(
  '[1]Hoja 1'!$M:$M,
  '[1]Hoja 1'!$S:$S, $A205,
  '[1]Hoja 1'!$R:$R, "&gt;="&amp;INT($AO$1),
  '[1]Hoja 1'!$R:$R, "&lt;"&amp;INT($AP$1+1)
)</f>
        <v>0</v>
      </c>
      <c r="AN205" s="1">
        <f t="shared" si="277"/>
        <v>0</v>
      </c>
      <c r="AO205" s="9">
        <f t="shared" si="278"/>
        <v>0</v>
      </c>
      <c r="AP205" s="10">
        <f t="shared" si="279"/>
        <v>0</v>
      </c>
      <c r="AQ205" s="1">
        <f>SUMIFS(
  '[1]Hoja 1'!$M:$M,
  '[1]Hoja 1'!$S:$S, $A205,
  '[1]Hoja 1'!$R:$R, "&gt;="&amp;INT($AS$1),
  '[1]Hoja 1'!$R:$R, "&lt;"&amp;INT($AT$1+1)
)</f>
        <v>0</v>
      </c>
      <c r="AR205" s="1">
        <f t="shared" si="280"/>
        <v>0</v>
      </c>
      <c r="AS205" s="9">
        <f t="shared" si="281"/>
        <v>0</v>
      </c>
      <c r="AT205" s="10">
        <f t="shared" si="282"/>
        <v>0</v>
      </c>
      <c r="AU205" s="1">
        <f>SUMIFS(
  '[1]Hoja 1'!$M:$M,
  '[1]Hoja 1'!$S:$S, $A205,
  '[1]Hoja 1'!$R:$R, "&gt;="&amp;INT($AW$1),
  '[1]Hoja 1'!$R:$R, "&lt;"&amp;INT($AX$1+1)
)</f>
        <v>0</v>
      </c>
      <c r="AV205" s="1">
        <f t="shared" si="283"/>
        <v>0</v>
      </c>
      <c r="AW205" s="9">
        <f t="shared" si="284"/>
        <v>0</v>
      </c>
      <c r="AX205" s="10">
        <f t="shared" si="285"/>
        <v>0</v>
      </c>
      <c r="AY205" s="1">
        <f>SUMIFS(
  '[1]Hoja 1'!$M:$M,
  '[1]Hoja 1'!$S:$S, $A205,
  '[1]Hoja 1'!$R:$R, "&gt;="&amp;INT($BA$1),
  '[1]Hoja 1'!$R:$R, "&lt;"&amp;INT($BB$1+1)
)</f>
        <v>0</v>
      </c>
      <c r="AZ205" s="1">
        <f t="shared" si="286"/>
        <v>0</v>
      </c>
      <c r="BA205" s="9">
        <f t="shared" si="287"/>
        <v>0</v>
      </c>
      <c r="BB205" s="10">
        <f t="shared" si="288"/>
        <v>0</v>
      </c>
      <c r="BC205" s="1">
        <f>SUMIFS(
  '[1]Hoja 1'!$M:$M,
  '[1]Hoja 1'!$S:$S, $A205,
  '[1]Hoja 1'!$R:$R, "&gt;="&amp;INT($BE$1),
  '[1]Hoja 1'!$R:$R, "&lt;"&amp;INT($BF$1+1)
)</f>
        <v>0</v>
      </c>
      <c r="BD205" s="1">
        <f t="shared" si="289"/>
        <v>0</v>
      </c>
      <c r="BE205" s="9">
        <f t="shared" si="290"/>
        <v>0</v>
      </c>
      <c r="BF205" s="10">
        <f t="shared" si="291"/>
        <v>0</v>
      </c>
      <c r="BG205" s="1">
        <f>SUMIFS(
  '[1]Hoja 1'!$M:$M,
  '[1]Hoja 1'!$S:$S, $A205,
  '[1]Hoja 1'!$R:$R, "&gt;="&amp;INT($BI$1),
  '[1]Hoja 1'!$R:$R, "&lt;"&amp;INT($BJ$1+1)
)</f>
        <v>0</v>
      </c>
      <c r="BH205" s="1">
        <f t="shared" si="292"/>
        <v>0</v>
      </c>
      <c r="BI205" s="9">
        <f t="shared" si="293"/>
        <v>0</v>
      </c>
      <c r="BJ205" s="10">
        <f t="shared" si="294"/>
        <v>0</v>
      </c>
      <c r="BK205" s="1">
        <f>SUMIFS(
  '[1]Hoja 1'!$M:$M,
  '[1]Hoja 1'!$S:$S, $A205,
  '[1]Hoja 1'!$R:$R, "&gt;="&amp;INT($BM$1),
  '[1]Hoja 1'!$R:$R, "&lt;"&amp;INT($BN$1+1)
)</f>
        <v>0</v>
      </c>
      <c r="BL205" s="1">
        <f t="shared" si="295"/>
        <v>0</v>
      </c>
      <c r="BM205" s="9">
        <f t="shared" si="296"/>
        <v>0</v>
      </c>
      <c r="BN205" s="10">
        <f t="shared" si="297"/>
        <v>0</v>
      </c>
      <c r="BO205" s="1">
        <f>SUMIFS(
  '[1]Hoja 1'!$M:$M,
  '[1]Hoja 1'!$S:$S, $A205,
  '[1]Hoja 1'!$R:$R, "&gt;="&amp;INT($BQ$1),
  '[1]Hoja 1'!$R:$R, "&lt;"&amp;INT($BR$1+1)
)</f>
        <v>0</v>
      </c>
      <c r="BP205" s="1">
        <f t="shared" si="298"/>
        <v>0</v>
      </c>
      <c r="BQ205" s="9">
        <f t="shared" si="299"/>
        <v>0</v>
      </c>
      <c r="BR205" s="10">
        <f t="shared" si="300"/>
        <v>0</v>
      </c>
      <c r="BS205" s="1">
        <f>SUMIFS(
  '[1]Hoja 1'!$M:$M,
  '[1]Hoja 1'!$S:$S, $A205,
  '[1]Hoja 1'!$R:$R, "&gt;="&amp;INT($BU$1),
  '[1]Hoja 1'!$R:$R, "&lt;"&amp;INT($BV$1+1)
)</f>
        <v>0</v>
      </c>
      <c r="BT205" s="1">
        <f t="shared" si="301"/>
        <v>0</v>
      </c>
      <c r="BU205" s="9">
        <f t="shared" si="302"/>
        <v>0</v>
      </c>
      <c r="BV205" s="10">
        <f t="shared" si="303"/>
        <v>0</v>
      </c>
      <c r="BW205" s="1">
        <f>SUMIFS(
  '[1]Hoja 1'!$M:$M,
  '[1]Hoja 1'!$S:$S, $A205,
  '[1]Hoja 1'!$R:$R, "&gt;="&amp;INT($BY$1),
  '[1]Hoja 1'!$R:$R, "&lt;"&amp;INT($BZ$1+1)
)</f>
        <v>0</v>
      </c>
      <c r="BX205" s="1">
        <f t="shared" si="304"/>
        <v>0</v>
      </c>
      <c r="BY205" s="9">
        <f t="shared" si="305"/>
        <v>0</v>
      </c>
      <c r="BZ205" s="10">
        <f t="shared" si="306"/>
        <v>0</v>
      </c>
      <c r="CA205" s="1">
        <f>SUMIFS(
  '[1]Hoja 1'!$M:$M,
  '[1]Hoja 1'!$S:$S, $A205,
  '[1]Hoja 1'!$R:$R, "&gt;="&amp;INT($CC$1),
  '[1]Hoja 1'!$R:$R, "&lt;"&amp;INT($CD$1+1)
)</f>
        <v>0</v>
      </c>
      <c r="CB205" s="1">
        <f t="shared" si="307"/>
        <v>0</v>
      </c>
      <c r="CC205" s="9">
        <f t="shared" si="308"/>
        <v>0</v>
      </c>
      <c r="CD205" s="10">
        <f t="shared" si="309"/>
        <v>0</v>
      </c>
      <c r="CE205" s="1">
        <f>SUMIFS(
  '[1]Hoja 1'!$M:$M,
  '[1]Hoja 1'!$S:$S, $A205,
  '[1]Hoja 1'!$R:$R, "&gt;="&amp;INT($CG$1),
  '[1]Hoja 1'!$R:$R, "&lt;"&amp;INT($CH$1+1)
)</f>
        <v>0</v>
      </c>
      <c r="CF205" s="1">
        <f t="shared" si="310"/>
        <v>0</v>
      </c>
      <c r="CG205" s="9">
        <f t="shared" si="311"/>
        <v>0</v>
      </c>
      <c r="CH205" s="10">
        <f t="shared" si="312"/>
        <v>0</v>
      </c>
      <c r="CI205" s="1">
        <f>SUMIFS(
  '[1]Hoja 1'!$M:$M,
  '[1]Hoja 1'!$S:$S, $A205,
  '[1]Hoja 1'!$R:$R, "&gt;="&amp;INT($CK$1),
  '[1]Hoja 1'!$R:$R, "&lt;"&amp;INT($CL$1+1)
)</f>
        <v>0</v>
      </c>
      <c r="CJ205" s="1">
        <f t="shared" si="313"/>
        <v>0</v>
      </c>
      <c r="CK205" s="9">
        <f t="shared" si="314"/>
        <v>0</v>
      </c>
      <c r="CL205" s="10">
        <f t="shared" si="315"/>
        <v>0</v>
      </c>
      <c r="CM205" s="1">
        <f>SUMIFS(
  '[1]Hoja 1'!$M:$M,
  '[1]Hoja 1'!$S:$S, $A205,
  '[1]Hoja 1'!$R:$R, "&gt;="&amp;INT($CO$1),
  '[1]Hoja 1'!$R:$R, "&lt;"&amp;INT($CP$1+1)
)</f>
        <v>0</v>
      </c>
      <c r="CN205" s="1">
        <f t="shared" si="316"/>
        <v>0</v>
      </c>
      <c r="CO205" s="9">
        <f t="shared" si="317"/>
        <v>0</v>
      </c>
      <c r="CP205" s="10">
        <f t="shared" si="318"/>
        <v>0</v>
      </c>
      <c r="CQ205" s="1">
        <f>SUMIFS(
  '[1]Hoja 1'!$M:$M,
  '[1]Hoja 1'!$S:$S, $A205,
  '[1]Hoja 1'!$R:$R, "&gt;="&amp;INT($CS$1),
  '[1]Hoja 1'!$R:$R, "&lt;"&amp;INT($CT$1+1)
)</f>
        <v>0</v>
      </c>
      <c r="CR205" s="1">
        <f t="shared" si="319"/>
        <v>0</v>
      </c>
      <c r="CS205" s="9">
        <f t="shared" si="320"/>
        <v>0</v>
      </c>
      <c r="CT205" s="10">
        <f t="shared" si="321"/>
        <v>0</v>
      </c>
      <c r="CU205" s="1">
        <f>SUMIFS(
  '[1]Hoja 1'!$M:$M,
  '[1]Hoja 1'!$S:$S, $A205,
  '[1]Hoja 1'!$R:$R, "&gt;="&amp;INT($CW$1),
  '[1]Hoja 1'!$R:$R, "&lt;"&amp;INT($CX$1+1)
)</f>
        <v>0</v>
      </c>
      <c r="CV205" s="1">
        <f t="shared" si="322"/>
        <v>0</v>
      </c>
      <c r="CW205" s="9">
        <f t="shared" si="323"/>
        <v>0</v>
      </c>
      <c r="CX205" s="10">
        <f t="shared" si="324"/>
        <v>0</v>
      </c>
      <c r="CY205" s="1">
        <f>SUMIFS(
  '[1]Hoja 1'!$M:$M,
  '[1]Hoja 1'!$S:$S, $A205,
  '[1]Hoja 1'!$R:$R, "&gt;="&amp;INT($DA$1),
  '[1]Hoja 1'!$R:$R, "&lt;"&amp;INT($DB$1+1)
)</f>
        <v>0</v>
      </c>
      <c r="CZ205" s="1">
        <f t="shared" si="325"/>
        <v>0</v>
      </c>
      <c r="DA205" s="9">
        <f t="shared" si="326"/>
        <v>0</v>
      </c>
      <c r="DB205" s="10">
        <f t="shared" si="327"/>
        <v>0</v>
      </c>
      <c r="DC205" s="1">
        <f>SUMIFS(
  '[1]Hoja 1'!$M:$M,
  '[1]Hoja 1'!$S:$S, $A205,
  '[1]Hoja 1'!$R:$R, "&gt;="&amp;INT($DE$1),
  '[1]Hoja 1'!$R:$R, "&lt;"&amp;INT($DF$1+1)
)</f>
        <v>0</v>
      </c>
      <c r="DD205" s="1">
        <f t="shared" si="328"/>
        <v>0</v>
      </c>
      <c r="DE205" s="9">
        <f t="shared" si="329"/>
        <v>0</v>
      </c>
      <c r="DF205" s="10">
        <f t="shared" si="330"/>
        <v>0</v>
      </c>
      <c r="DG205" s="1">
        <f>SUMIFS(
  '[1]Hoja 1'!$M:$M,
  '[1]Hoja 1'!$S:$S, $A205,
  '[1]Hoja 1'!$R:$R, "&gt;="&amp;INT($DI$1),
  '[1]Hoja 1'!$R:$R, "&lt;"&amp;INT($DJ$1+1)
)</f>
        <v>0</v>
      </c>
      <c r="DH205" s="1">
        <f t="shared" si="331"/>
        <v>0</v>
      </c>
      <c r="DI205" s="9">
        <f t="shared" si="332"/>
        <v>0</v>
      </c>
      <c r="DJ205" s="10">
        <f t="shared" si="333"/>
        <v>0</v>
      </c>
      <c r="DK205" s="1">
        <f>SUMIFS(
  '[1]Hoja 1'!$M:$M,
  '[1]Hoja 1'!$S:$S, $A205,
  '[1]Hoja 1'!$R:$R, "&gt;="&amp;INT($DM$1),
  '[1]Hoja 1'!$R:$R, "&lt;"&amp;INT($DN$1+1)
)</f>
        <v>0</v>
      </c>
      <c r="DL205" s="1">
        <f t="shared" si="334"/>
        <v>0</v>
      </c>
      <c r="DM205" s="9">
        <f t="shared" si="335"/>
        <v>0</v>
      </c>
      <c r="DN205" s="10">
        <f t="shared" si="336"/>
        <v>0</v>
      </c>
      <c r="DO205" s="1">
        <f>SUMIFS(
  '[1]Hoja 1'!$M:$M,
  '[1]Hoja 1'!$S:$S, $A205,
  '[1]Hoja 1'!$R:$R, "&gt;="&amp;INT($DQ$1),
  '[1]Hoja 1'!$R:$R, "&lt;"&amp;INT($DR$1+1)
)</f>
        <v>0</v>
      </c>
      <c r="DP205" s="1">
        <f t="shared" si="337"/>
        <v>0</v>
      </c>
      <c r="DQ205" s="9">
        <f t="shared" si="338"/>
        <v>0</v>
      </c>
      <c r="DR205" s="10">
        <f t="shared" si="339"/>
        <v>0</v>
      </c>
    </row>
    <row r="206" spans="1:122" x14ac:dyDescent="0.25">
      <c r="A206" s="5">
        <v>236003</v>
      </c>
      <c r="B206" s="6" t="s">
        <v>202</v>
      </c>
      <c r="C206" s="1">
        <f>SUMIFS(
  '[1]Hoja 1'!$M:$M,
  '[1]Hoja 1'!$S:$S, $A206,
  '[1]Hoja 1'!$R:$R, "&gt;="&amp;INT($E$1),
  '[1]Hoja 1'!$R:$R, "&lt;"&amp;INT($F$1+1)
)</f>
        <v>0</v>
      </c>
      <c r="D206" s="1" t="str">
        <f>""</f>
        <v/>
      </c>
      <c r="F206" s="2"/>
      <c r="G206" s="1">
        <f>SUMIFS(
  '[1]Hoja 1'!$M:$M,
  '[1]Hoja 1'!$S:$S, $A206,
  '[1]Hoja 1'!$R:$R, "&gt;="&amp;INT($I$1),
  '[1]Hoja 1'!$R:$R, "&lt;"&amp;INT($J$1+1)
)</f>
        <v>0</v>
      </c>
      <c r="H206" s="1">
        <f t="shared" si="255"/>
        <v>0</v>
      </c>
      <c r="I206" s="1"/>
      <c r="J206" s="2"/>
      <c r="K206" s="1">
        <f>SUMIFS(
  '[1]Hoja 1'!$M:$M,
  '[1]Hoja 1'!$S:$S, $A206,
  '[1]Hoja 1'!$R:$R, "&gt;="&amp;INT($M$1),
  '[1]Hoja 1'!$R:$R, "&lt;"&amp;INT($N$1+1)
)</f>
        <v>0</v>
      </c>
      <c r="L206" s="1">
        <f t="shared" si="256"/>
        <v>0</v>
      </c>
      <c r="M206" s="9">
        <f t="shared" si="257"/>
        <v>0</v>
      </c>
      <c r="N206" s="10">
        <f t="shared" si="258"/>
        <v>0</v>
      </c>
      <c r="O206" s="1">
        <f>SUMIFS(
  '[1]Hoja 1'!$M:$M,
  '[1]Hoja 1'!$S:$S, $A206,
  '[1]Hoja 1'!$R:$R, "&gt;="&amp;INT($Q$1),
  '[1]Hoja 1'!$R:$R, "&lt;"&amp;INT($R$1+1)
)</f>
        <v>0</v>
      </c>
      <c r="P206" s="1">
        <f t="shared" si="259"/>
        <v>0</v>
      </c>
      <c r="Q206" s="9">
        <f t="shared" si="260"/>
        <v>0</v>
      </c>
      <c r="R206" s="10">
        <f t="shared" si="261"/>
        <v>0</v>
      </c>
      <c r="S206" s="1">
        <f>SUMIFS(
  '[1]Hoja 1'!$M:$M,
  '[1]Hoja 1'!$S:$S, $A206,
  '[1]Hoja 1'!$R:$R, "&gt;="&amp;INT($U$1),
  '[1]Hoja 1'!$R:$R, "&lt;"&amp;INT($V$1+1)
)</f>
        <v>0</v>
      </c>
      <c r="T206" s="1">
        <f t="shared" si="262"/>
        <v>0</v>
      </c>
      <c r="U206" s="9">
        <f t="shared" si="263"/>
        <v>0</v>
      </c>
      <c r="V206" s="10">
        <f t="shared" si="264"/>
        <v>0</v>
      </c>
      <c r="W206" s="1">
        <f>SUMIFS(
  '[1]Hoja 1'!$M:$M,
  '[1]Hoja 1'!$S:$S, $A206,
  '[1]Hoja 1'!$R:$R, "&gt;="&amp;INT($Y$1),
  '[1]Hoja 1'!$R:$R, "&lt;"&amp;INT($Z$1+1)
)</f>
        <v>0</v>
      </c>
      <c r="X206" s="1">
        <f t="shared" si="265"/>
        <v>0</v>
      </c>
      <c r="Y206" s="9">
        <f t="shared" si="266"/>
        <v>0</v>
      </c>
      <c r="Z206" s="10">
        <f t="shared" si="267"/>
        <v>0</v>
      </c>
      <c r="AA206" s="1">
        <f>SUMIFS(
  '[1]Hoja 1'!$M:$M,
  '[1]Hoja 1'!$S:$S, $A206,
  '[1]Hoja 1'!$R:$R, "&gt;="&amp;INT($AC$1),
  '[1]Hoja 1'!$R:$R, "&lt;"&amp;INT($AD$1+1)
)</f>
        <v>0</v>
      </c>
      <c r="AB206" s="1">
        <f t="shared" si="268"/>
        <v>0</v>
      </c>
      <c r="AC206" s="9">
        <f t="shared" si="269"/>
        <v>0</v>
      </c>
      <c r="AD206" s="10">
        <f t="shared" si="270"/>
        <v>0</v>
      </c>
      <c r="AE206" s="1">
        <f>SUMIFS(
  '[1]Hoja 1'!$M:$M,
  '[1]Hoja 1'!$S:$S, $A206,
  '[1]Hoja 1'!$R:$R, "&gt;="&amp;INT($AG$1),
  '[1]Hoja 1'!$R:$R, "&lt;"&amp;INT($AH$1+1)
)</f>
        <v>0</v>
      </c>
      <c r="AF206" s="1">
        <f t="shared" si="271"/>
        <v>0</v>
      </c>
      <c r="AG206" s="9">
        <f t="shared" si="272"/>
        <v>0</v>
      </c>
      <c r="AH206" s="10">
        <f t="shared" si="273"/>
        <v>0</v>
      </c>
      <c r="AI206" s="1">
        <f>SUMIFS(
  '[1]Hoja 1'!$M:$M,
  '[1]Hoja 1'!$S:$S, $A206,
  '[1]Hoja 1'!$R:$R, "&gt;="&amp;INT($AK$1),
  '[1]Hoja 1'!$R:$R, "&lt;"&amp;INT($AL$1+1)
)</f>
        <v>0</v>
      </c>
      <c r="AJ206" s="1">
        <f t="shared" si="274"/>
        <v>0</v>
      </c>
      <c r="AK206" s="9">
        <f t="shared" si="275"/>
        <v>0</v>
      </c>
      <c r="AL206" s="10">
        <f t="shared" si="276"/>
        <v>0</v>
      </c>
      <c r="AM206" s="1">
        <f>SUMIFS(
  '[1]Hoja 1'!$M:$M,
  '[1]Hoja 1'!$S:$S, $A206,
  '[1]Hoja 1'!$R:$R, "&gt;="&amp;INT($AO$1),
  '[1]Hoja 1'!$R:$R, "&lt;"&amp;INT($AP$1+1)
)</f>
        <v>0</v>
      </c>
      <c r="AN206" s="1">
        <f t="shared" si="277"/>
        <v>0</v>
      </c>
      <c r="AO206" s="9">
        <f t="shared" si="278"/>
        <v>0</v>
      </c>
      <c r="AP206" s="10">
        <f t="shared" si="279"/>
        <v>0</v>
      </c>
      <c r="AQ206" s="1">
        <f>SUMIFS(
  '[1]Hoja 1'!$M:$M,
  '[1]Hoja 1'!$S:$S, $A206,
  '[1]Hoja 1'!$R:$R, "&gt;="&amp;INT($AS$1),
  '[1]Hoja 1'!$R:$R, "&lt;"&amp;INT($AT$1+1)
)</f>
        <v>0</v>
      </c>
      <c r="AR206" s="1">
        <f t="shared" si="280"/>
        <v>0</v>
      </c>
      <c r="AS206" s="9">
        <f t="shared" si="281"/>
        <v>0</v>
      </c>
      <c r="AT206" s="10">
        <f t="shared" si="282"/>
        <v>0</v>
      </c>
      <c r="AU206" s="1">
        <f>SUMIFS(
  '[1]Hoja 1'!$M:$M,
  '[1]Hoja 1'!$S:$S, $A206,
  '[1]Hoja 1'!$R:$R, "&gt;="&amp;INT($AW$1),
  '[1]Hoja 1'!$R:$R, "&lt;"&amp;INT($AX$1+1)
)</f>
        <v>0</v>
      </c>
      <c r="AV206" s="1">
        <f t="shared" si="283"/>
        <v>0</v>
      </c>
      <c r="AW206" s="9">
        <f t="shared" si="284"/>
        <v>0</v>
      </c>
      <c r="AX206" s="10">
        <f t="shared" si="285"/>
        <v>0</v>
      </c>
      <c r="AY206" s="1">
        <f>SUMIFS(
  '[1]Hoja 1'!$M:$M,
  '[1]Hoja 1'!$S:$S, $A206,
  '[1]Hoja 1'!$R:$R, "&gt;="&amp;INT($BA$1),
  '[1]Hoja 1'!$R:$R, "&lt;"&amp;INT($BB$1+1)
)</f>
        <v>0</v>
      </c>
      <c r="AZ206" s="1">
        <f t="shared" si="286"/>
        <v>0</v>
      </c>
      <c r="BA206" s="9">
        <f t="shared" si="287"/>
        <v>0</v>
      </c>
      <c r="BB206" s="10">
        <f t="shared" si="288"/>
        <v>0</v>
      </c>
      <c r="BC206" s="1">
        <f>SUMIFS(
  '[1]Hoja 1'!$M:$M,
  '[1]Hoja 1'!$S:$S, $A206,
  '[1]Hoja 1'!$R:$R, "&gt;="&amp;INT($BE$1),
  '[1]Hoja 1'!$R:$R, "&lt;"&amp;INT($BF$1+1)
)</f>
        <v>0</v>
      </c>
      <c r="BD206" s="1">
        <f t="shared" si="289"/>
        <v>0</v>
      </c>
      <c r="BE206" s="9">
        <f t="shared" si="290"/>
        <v>0</v>
      </c>
      <c r="BF206" s="10">
        <f t="shared" si="291"/>
        <v>0</v>
      </c>
      <c r="BG206" s="1">
        <f>SUMIFS(
  '[1]Hoja 1'!$M:$M,
  '[1]Hoja 1'!$S:$S, $A206,
  '[1]Hoja 1'!$R:$R, "&gt;="&amp;INT($BI$1),
  '[1]Hoja 1'!$R:$R, "&lt;"&amp;INT($BJ$1+1)
)</f>
        <v>0</v>
      </c>
      <c r="BH206" s="1">
        <f t="shared" si="292"/>
        <v>0</v>
      </c>
      <c r="BI206" s="9">
        <f t="shared" si="293"/>
        <v>0</v>
      </c>
      <c r="BJ206" s="10">
        <f t="shared" si="294"/>
        <v>0</v>
      </c>
      <c r="BK206" s="1">
        <f>SUMIFS(
  '[1]Hoja 1'!$M:$M,
  '[1]Hoja 1'!$S:$S, $A206,
  '[1]Hoja 1'!$R:$R, "&gt;="&amp;INT($BM$1),
  '[1]Hoja 1'!$R:$R, "&lt;"&amp;INT($BN$1+1)
)</f>
        <v>0</v>
      </c>
      <c r="BL206" s="1">
        <f t="shared" si="295"/>
        <v>0</v>
      </c>
      <c r="BM206" s="9">
        <f t="shared" si="296"/>
        <v>0</v>
      </c>
      <c r="BN206" s="10">
        <f t="shared" si="297"/>
        <v>0</v>
      </c>
      <c r="BO206" s="1">
        <f>SUMIFS(
  '[1]Hoja 1'!$M:$M,
  '[1]Hoja 1'!$S:$S, $A206,
  '[1]Hoja 1'!$R:$R, "&gt;="&amp;INT($BQ$1),
  '[1]Hoja 1'!$R:$R, "&lt;"&amp;INT($BR$1+1)
)</f>
        <v>0</v>
      </c>
      <c r="BP206" s="1">
        <f t="shared" si="298"/>
        <v>0</v>
      </c>
      <c r="BQ206" s="9">
        <f t="shared" si="299"/>
        <v>0</v>
      </c>
      <c r="BR206" s="10">
        <f t="shared" si="300"/>
        <v>0</v>
      </c>
      <c r="BS206" s="1">
        <f>SUMIFS(
  '[1]Hoja 1'!$M:$M,
  '[1]Hoja 1'!$S:$S, $A206,
  '[1]Hoja 1'!$R:$R, "&gt;="&amp;INT($BU$1),
  '[1]Hoja 1'!$R:$R, "&lt;"&amp;INT($BV$1+1)
)</f>
        <v>0</v>
      </c>
      <c r="BT206" s="1">
        <f t="shared" si="301"/>
        <v>0</v>
      </c>
      <c r="BU206" s="9">
        <f t="shared" si="302"/>
        <v>0</v>
      </c>
      <c r="BV206" s="10">
        <f t="shared" si="303"/>
        <v>0</v>
      </c>
      <c r="BW206" s="1">
        <f>SUMIFS(
  '[1]Hoja 1'!$M:$M,
  '[1]Hoja 1'!$S:$S, $A206,
  '[1]Hoja 1'!$R:$R, "&gt;="&amp;INT($BY$1),
  '[1]Hoja 1'!$R:$R, "&lt;"&amp;INT($BZ$1+1)
)</f>
        <v>0</v>
      </c>
      <c r="BX206" s="1">
        <f t="shared" si="304"/>
        <v>0</v>
      </c>
      <c r="BY206" s="9">
        <f t="shared" si="305"/>
        <v>0</v>
      </c>
      <c r="BZ206" s="10">
        <f t="shared" si="306"/>
        <v>0</v>
      </c>
      <c r="CA206" s="1">
        <f>SUMIFS(
  '[1]Hoja 1'!$M:$M,
  '[1]Hoja 1'!$S:$S, $A206,
  '[1]Hoja 1'!$R:$R, "&gt;="&amp;INT($CC$1),
  '[1]Hoja 1'!$R:$R, "&lt;"&amp;INT($CD$1+1)
)</f>
        <v>0</v>
      </c>
      <c r="CB206" s="1">
        <f t="shared" si="307"/>
        <v>0</v>
      </c>
      <c r="CC206" s="9">
        <f t="shared" si="308"/>
        <v>0</v>
      </c>
      <c r="CD206" s="10">
        <f t="shared" si="309"/>
        <v>0</v>
      </c>
      <c r="CE206" s="1">
        <f>SUMIFS(
  '[1]Hoja 1'!$M:$M,
  '[1]Hoja 1'!$S:$S, $A206,
  '[1]Hoja 1'!$R:$R, "&gt;="&amp;INT($CG$1),
  '[1]Hoja 1'!$R:$R, "&lt;"&amp;INT($CH$1+1)
)</f>
        <v>0</v>
      </c>
      <c r="CF206" s="1">
        <f t="shared" si="310"/>
        <v>0</v>
      </c>
      <c r="CG206" s="9">
        <f t="shared" si="311"/>
        <v>0</v>
      </c>
      <c r="CH206" s="10">
        <f t="shared" si="312"/>
        <v>0</v>
      </c>
      <c r="CI206" s="1">
        <f>SUMIFS(
  '[1]Hoja 1'!$M:$M,
  '[1]Hoja 1'!$S:$S, $A206,
  '[1]Hoja 1'!$R:$R, "&gt;="&amp;INT($CK$1),
  '[1]Hoja 1'!$R:$R, "&lt;"&amp;INT($CL$1+1)
)</f>
        <v>0</v>
      </c>
      <c r="CJ206" s="1">
        <f t="shared" si="313"/>
        <v>0</v>
      </c>
      <c r="CK206" s="9">
        <f t="shared" si="314"/>
        <v>0</v>
      </c>
      <c r="CL206" s="10">
        <f t="shared" si="315"/>
        <v>0</v>
      </c>
      <c r="CM206" s="1">
        <f>SUMIFS(
  '[1]Hoja 1'!$M:$M,
  '[1]Hoja 1'!$S:$S, $A206,
  '[1]Hoja 1'!$R:$R, "&gt;="&amp;INT($CO$1),
  '[1]Hoja 1'!$R:$R, "&lt;"&amp;INT($CP$1+1)
)</f>
        <v>0</v>
      </c>
      <c r="CN206" s="1">
        <f t="shared" si="316"/>
        <v>0</v>
      </c>
      <c r="CO206" s="9">
        <f t="shared" si="317"/>
        <v>0</v>
      </c>
      <c r="CP206" s="10">
        <f t="shared" si="318"/>
        <v>0</v>
      </c>
      <c r="CQ206" s="1">
        <f>SUMIFS(
  '[1]Hoja 1'!$M:$M,
  '[1]Hoja 1'!$S:$S, $A206,
  '[1]Hoja 1'!$R:$R, "&gt;="&amp;INT($CS$1),
  '[1]Hoja 1'!$R:$R, "&lt;"&amp;INT($CT$1+1)
)</f>
        <v>0</v>
      </c>
      <c r="CR206" s="1">
        <f t="shared" si="319"/>
        <v>0</v>
      </c>
      <c r="CS206" s="9">
        <f t="shared" si="320"/>
        <v>0</v>
      </c>
      <c r="CT206" s="10">
        <f t="shared" si="321"/>
        <v>0</v>
      </c>
      <c r="CU206" s="1">
        <f>SUMIFS(
  '[1]Hoja 1'!$M:$M,
  '[1]Hoja 1'!$S:$S, $A206,
  '[1]Hoja 1'!$R:$R, "&gt;="&amp;INT($CW$1),
  '[1]Hoja 1'!$R:$R, "&lt;"&amp;INT($CX$1+1)
)</f>
        <v>0</v>
      </c>
      <c r="CV206" s="1">
        <f t="shared" si="322"/>
        <v>0</v>
      </c>
      <c r="CW206" s="9">
        <f t="shared" si="323"/>
        <v>0</v>
      </c>
      <c r="CX206" s="10">
        <f t="shared" si="324"/>
        <v>0</v>
      </c>
      <c r="CY206" s="1">
        <f>SUMIFS(
  '[1]Hoja 1'!$M:$M,
  '[1]Hoja 1'!$S:$S, $A206,
  '[1]Hoja 1'!$R:$R, "&gt;="&amp;INT($DA$1),
  '[1]Hoja 1'!$R:$R, "&lt;"&amp;INT($DB$1+1)
)</f>
        <v>0</v>
      </c>
      <c r="CZ206" s="1">
        <f t="shared" si="325"/>
        <v>0</v>
      </c>
      <c r="DA206" s="9">
        <f t="shared" si="326"/>
        <v>0</v>
      </c>
      <c r="DB206" s="10">
        <f t="shared" si="327"/>
        <v>0</v>
      </c>
      <c r="DC206" s="1">
        <f>SUMIFS(
  '[1]Hoja 1'!$M:$M,
  '[1]Hoja 1'!$S:$S, $A206,
  '[1]Hoja 1'!$R:$R, "&gt;="&amp;INT($DE$1),
  '[1]Hoja 1'!$R:$R, "&lt;"&amp;INT($DF$1+1)
)</f>
        <v>0</v>
      </c>
      <c r="DD206" s="1">
        <f t="shared" si="328"/>
        <v>0</v>
      </c>
      <c r="DE206" s="9">
        <f t="shared" si="329"/>
        <v>0</v>
      </c>
      <c r="DF206" s="10">
        <f t="shared" si="330"/>
        <v>0</v>
      </c>
      <c r="DG206" s="1">
        <f>SUMIFS(
  '[1]Hoja 1'!$M:$M,
  '[1]Hoja 1'!$S:$S, $A206,
  '[1]Hoja 1'!$R:$R, "&gt;="&amp;INT($DI$1),
  '[1]Hoja 1'!$R:$R, "&lt;"&amp;INT($DJ$1+1)
)</f>
        <v>0</v>
      </c>
      <c r="DH206" s="1">
        <f t="shared" si="331"/>
        <v>0</v>
      </c>
      <c r="DI206" s="9">
        <f t="shared" si="332"/>
        <v>0</v>
      </c>
      <c r="DJ206" s="10">
        <f t="shared" si="333"/>
        <v>0</v>
      </c>
      <c r="DK206" s="1">
        <f>SUMIFS(
  '[1]Hoja 1'!$M:$M,
  '[1]Hoja 1'!$S:$S, $A206,
  '[1]Hoja 1'!$R:$R, "&gt;="&amp;INT($DM$1),
  '[1]Hoja 1'!$R:$R, "&lt;"&amp;INT($DN$1+1)
)</f>
        <v>0</v>
      </c>
      <c r="DL206" s="1">
        <f t="shared" si="334"/>
        <v>0</v>
      </c>
      <c r="DM206" s="9">
        <f t="shared" si="335"/>
        <v>0</v>
      </c>
      <c r="DN206" s="10">
        <f t="shared" si="336"/>
        <v>0</v>
      </c>
      <c r="DO206" s="1">
        <f>SUMIFS(
  '[1]Hoja 1'!$M:$M,
  '[1]Hoja 1'!$S:$S, $A206,
  '[1]Hoja 1'!$R:$R, "&gt;="&amp;INT($DQ$1),
  '[1]Hoja 1'!$R:$R, "&lt;"&amp;INT($DR$1+1)
)</f>
        <v>0</v>
      </c>
      <c r="DP206" s="1">
        <f t="shared" si="337"/>
        <v>0</v>
      </c>
      <c r="DQ206" s="9">
        <f t="shared" si="338"/>
        <v>0</v>
      </c>
      <c r="DR206" s="10">
        <f t="shared" si="339"/>
        <v>0</v>
      </c>
    </row>
    <row r="207" spans="1:122" x14ac:dyDescent="0.25">
      <c r="A207" s="5">
        <v>236004</v>
      </c>
      <c r="B207" s="6" t="s">
        <v>203</v>
      </c>
      <c r="C207" s="1">
        <f>SUMIFS(
  '[1]Hoja 1'!$M:$M,
  '[1]Hoja 1'!$S:$S, $A207,
  '[1]Hoja 1'!$R:$R, "&gt;="&amp;INT($E$1),
  '[1]Hoja 1'!$R:$R, "&lt;"&amp;INT($F$1+1)
)</f>
        <v>0</v>
      </c>
      <c r="D207" s="1" t="str">
        <f>""</f>
        <v/>
      </c>
      <c r="F207" s="2"/>
      <c r="G207" s="1">
        <f>SUMIFS(
  '[1]Hoja 1'!$M:$M,
  '[1]Hoja 1'!$S:$S, $A207,
  '[1]Hoja 1'!$R:$R, "&gt;="&amp;INT($I$1),
  '[1]Hoja 1'!$R:$R, "&lt;"&amp;INT($J$1+1)
)</f>
        <v>0</v>
      </c>
      <c r="H207" s="1">
        <f t="shared" si="255"/>
        <v>0</v>
      </c>
      <c r="I207" s="1"/>
      <c r="J207" s="2"/>
      <c r="K207" s="1">
        <f>SUMIFS(
  '[1]Hoja 1'!$M:$M,
  '[1]Hoja 1'!$S:$S, $A207,
  '[1]Hoja 1'!$R:$R, "&gt;="&amp;INT($M$1),
  '[1]Hoja 1'!$R:$R, "&lt;"&amp;INT($N$1+1)
)</f>
        <v>0</v>
      </c>
      <c r="L207" s="1">
        <f t="shared" si="256"/>
        <v>0</v>
      </c>
      <c r="M207" s="9">
        <f t="shared" si="257"/>
        <v>0</v>
      </c>
      <c r="N207" s="10">
        <f t="shared" si="258"/>
        <v>0</v>
      </c>
      <c r="O207" s="1">
        <f>SUMIFS(
  '[1]Hoja 1'!$M:$M,
  '[1]Hoja 1'!$S:$S, $A207,
  '[1]Hoja 1'!$R:$R, "&gt;="&amp;INT($Q$1),
  '[1]Hoja 1'!$R:$R, "&lt;"&amp;INT($R$1+1)
)</f>
        <v>0</v>
      </c>
      <c r="P207" s="1">
        <f t="shared" si="259"/>
        <v>0</v>
      </c>
      <c r="Q207" s="9">
        <f t="shared" si="260"/>
        <v>0</v>
      </c>
      <c r="R207" s="10">
        <f t="shared" si="261"/>
        <v>0</v>
      </c>
      <c r="S207" s="1">
        <f>SUMIFS(
  '[1]Hoja 1'!$M:$M,
  '[1]Hoja 1'!$S:$S, $A207,
  '[1]Hoja 1'!$R:$R, "&gt;="&amp;INT($U$1),
  '[1]Hoja 1'!$R:$R, "&lt;"&amp;INT($V$1+1)
)</f>
        <v>0</v>
      </c>
      <c r="T207" s="1">
        <f t="shared" si="262"/>
        <v>0</v>
      </c>
      <c r="U207" s="9">
        <f t="shared" si="263"/>
        <v>0</v>
      </c>
      <c r="V207" s="10">
        <f t="shared" si="264"/>
        <v>0</v>
      </c>
      <c r="W207" s="1">
        <f>SUMIFS(
  '[1]Hoja 1'!$M:$M,
  '[1]Hoja 1'!$S:$S, $A207,
  '[1]Hoja 1'!$R:$R, "&gt;="&amp;INT($Y$1),
  '[1]Hoja 1'!$R:$R, "&lt;"&amp;INT($Z$1+1)
)</f>
        <v>0</v>
      </c>
      <c r="X207" s="1">
        <f t="shared" si="265"/>
        <v>0</v>
      </c>
      <c r="Y207" s="9">
        <f t="shared" si="266"/>
        <v>0</v>
      </c>
      <c r="Z207" s="10">
        <f t="shared" si="267"/>
        <v>0</v>
      </c>
      <c r="AA207" s="1">
        <f>SUMIFS(
  '[1]Hoja 1'!$M:$M,
  '[1]Hoja 1'!$S:$S, $A207,
  '[1]Hoja 1'!$R:$R, "&gt;="&amp;INT($AC$1),
  '[1]Hoja 1'!$R:$R, "&lt;"&amp;INT($AD$1+1)
)</f>
        <v>0</v>
      </c>
      <c r="AB207" s="1">
        <f t="shared" si="268"/>
        <v>0</v>
      </c>
      <c r="AC207" s="9">
        <f t="shared" si="269"/>
        <v>0</v>
      </c>
      <c r="AD207" s="10">
        <f t="shared" si="270"/>
        <v>0</v>
      </c>
      <c r="AE207" s="1">
        <f>SUMIFS(
  '[1]Hoja 1'!$M:$M,
  '[1]Hoja 1'!$S:$S, $A207,
  '[1]Hoja 1'!$R:$R, "&gt;="&amp;INT($AG$1),
  '[1]Hoja 1'!$R:$R, "&lt;"&amp;INT($AH$1+1)
)</f>
        <v>0</v>
      </c>
      <c r="AF207" s="1">
        <f t="shared" si="271"/>
        <v>0</v>
      </c>
      <c r="AG207" s="9">
        <f t="shared" si="272"/>
        <v>0</v>
      </c>
      <c r="AH207" s="10">
        <f t="shared" si="273"/>
        <v>0</v>
      </c>
      <c r="AI207" s="1">
        <f>SUMIFS(
  '[1]Hoja 1'!$M:$M,
  '[1]Hoja 1'!$S:$S, $A207,
  '[1]Hoja 1'!$R:$R, "&gt;="&amp;INT($AK$1),
  '[1]Hoja 1'!$R:$R, "&lt;"&amp;INT($AL$1+1)
)</f>
        <v>0</v>
      </c>
      <c r="AJ207" s="1">
        <f t="shared" si="274"/>
        <v>0</v>
      </c>
      <c r="AK207" s="9">
        <f t="shared" si="275"/>
        <v>0</v>
      </c>
      <c r="AL207" s="10">
        <f t="shared" si="276"/>
        <v>0</v>
      </c>
      <c r="AM207" s="1">
        <f>SUMIFS(
  '[1]Hoja 1'!$M:$M,
  '[1]Hoja 1'!$S:$S, $A207,
  '[1]Hoja 1'!$R:$R, "&gt;="&amp;INT($AO$1),
  '[1]Hoja 1'!$R:$R, "&lt;"&amp;INT($AP$1+1)
)</f>
        <v>0</v>
      </c>
      <c r="AN207" s="1">
        <f t="shared" si="277"/>
        <v>0</v>
      </c>
      <c r="AO207" s="9">
        <f t="shared" si="278"/>
        <v>0</v>
      </c>
      <c r="AP207" s="10">
        <f t="shared" si="279"/>
        <v>0</v>
      </c>
      <c r="AQ207" s="1">
        <f>SUMIFS(
  '[1]Hoja 1'!$M:$M,
  '[1]Hoja 1'!$S:$S, $A207,
  '[1]Hoja 1'!$R:$R, "&gt;="&amp;INT($AS$1),
  '[1]Hoja 1'!$R:$R, "&lt;"&amp;INT($AT$1+1)
)</f>
        <v>0</v>
      </c>
      <c r="AR207" s="1">
        <f t="shared" si="280"/>
        <v>0</v>
      </c>
      <c r="AS207" s="9">
        <f t="shared" si="281"/>
        <v>0</v>
      </c>
      <c r="AT207" s="10">
        <f t="shared" si="282"/>
        <v>0</v>
      </c>
      <c r="AU207" s="1">
        <f>SUMIFS(
  '[1]Hoja 1'!$M:$M,
  '[1]Hoja 1'!$S:$S, $A207,
  '[1]Hoja 1'!$R:$R, "&gt;="&amp;INT($AW$1),
  '[1]Hoja 1'!$R:$R, "&lt;"&amp;INT($AX$1+1)
)</f>
        <v>0</v>
      </c>
      <c r="AV207" s="1">
        <f t="shared" si="283"/>
        <v>0</v>
      </c>
      <c r="AW207" s="9">
        <f t="shared" si="284"/>
        <v>0</v>
      </c>
      <c r="AX207" s="10">
        <f t="shared" si="285"/>
        <v>0</v>
      </c>
      <c r="AY207" s="1">
        <f>SUMIFS(
  '[1]Hoja 1'!$M:$M,
  '[1]Hoja 1'!$S:$S, $A207,
  '[1]Hoja 1'!$R:$R, "&gt;="&amp;INT($BA$1),
  '[1]Hoja 1'!$R:$R, "&lt;"&amp;INT($BB$1+1)
)</f>
        <v>0</v>
      </c>
      <c r="AZ207" s="1">
        <f t="shared" si="286"/>
        <v>0</v>
      </c>
      <c r="BA207" s="9">
        <f t="shared" si="287"/>
        <v>0</v>
      </c>
      <c r="BB207" s="10">
        <f t="shared" si="288"/>
        <v>0</v>
      </c>
      <c r="BC207" s="1">
        <f>SUMIFS(
  '[1]Hoja 1'!$M:$M,
  '[1]Hoja 1'!$S:$S, $A207,
  '[1]Hoja 1'!$R:$R, "&gt;="&amp;INT($BE$1),
  '[1]Hoja 1'!$R:$R, "&lt;"&amp;INT($BF$1+1)
)</f>
        <v>0</v>
      </c>
      <c r="BD207" s="1">
        <f t="shared" si="289"/>
        <v>0</v>
      </c>
      <c r="BE207" s="9">
        <f t="shared" si="290"/>
        <v>0</v>
      </c>
      <c r="BF207" s="10">
        <f t="shared" si="291"/>
        <v>0</v>
      </c>
      <c r="BG207" s="1">
        <f>SUMIFS(
  '[1]Hoja 1'!$M:$M,
  '[1]Hoja 1'!$S:$S, $A207,
  '[1]Hoja 1'!$R:$R, "&gt;="&amp;INT($BI$1),
  '[1]Hoja 1'!$R:$R, "&lt;"&amp;INT($BJ$1+1)
)</f>
        <v>0</v>
      </c>
      <c r="BH207" s="1">
        <f t="shared" si="292"/>
        <v>0</v>
      </c>
      <c r="BI207" s="9">
        <f t="shared" si="293"/>
        <v>0</v>
      </c>
      <c r="BJ207" s="10">
        <f t="shared" si="294"/>
        <v>0</v>
      </c>
      <c r="BK207" s="1">
        <f>SUMIFS(
  '[1]Hoja 1'!$M:$M,
  '[1]Hoja 1'!$S:$S, $A207,
  '[1]Hoja 1'!$R:$R, "&gt;="&amp;INT($BM$1),
  '[1]Hoja 1'!$R:$R, "&lt;"&amp;INT($BN$1+1)
)</f>
        <v>0</v>
      </c>
      <c r="BL207" s="1">
        <f t="shared" si="295"/>
        <v>0</v>
      </c>
      <c r="BM207" s="9">
        <f t="shared" si="296"/>
        <v>0</v>
      </c>
      <c r="BN207" s="10">
        <f t="shared" si="297"/>
        <v>0</v>
      </c>
      <c r="BO207" s="1">
        <f>SUMIFS(
  '[1]Hoja 1'!$M:$M,
  '[1]Hoja 1'!$S:$S, $A207,
  '[1]Hoja 1'!$R:$R, "&gt;="&amp;INT($BQ$1),
  '[1]Hoja 1'!$R:$R, "&lt;"&amp;INT($BR$1+1)
)</f>
        <v>0</v>
      </c>
      <c r="BP207" s="1">
        <f t="shared" si="298"/>
        <v>0</v>
      </c>
      <c r="BQ207" s="9">
        <f t="shared" si="299"/>
        <v>0</v>
      </c>
      <c r="BR207" s="10">
        <f t="shared" si="300"/>
        <v>0</v>
      </c>
      <c r="BS207" s="1">
        <f>SUMIFS(
  '[1]Hoja 1'!$M:$M,
  '[1]Hoja 1'!$S:$S, $A207,
  '[1]Hoja 1'!$R:$R, "&gt;="&amp;INT($BU$1),
  '[1]Hoja 1'!$R:$R, "&lt;"&amp;INT($BV$1+1)
)</f>
        <v>0</v>
      </c>
      <c r="BT207" s="1">
        <f t="shared" si="301"/>
        <v>0</v>
      </c>
      <c r="BU207" s="9">
        <f t="shared" si="302"/>
        <v>0</v>
      </c>
      <c r="BV207" s="10">
        <f t="shared" si="303"/>
        <v>0</v>
      </c>
      <c r="BW207" s="1">
        <f>SUMIFS(
  '[1]Hoja 1'!$M:$M,
  '[1]Hoja 1'!$S:$S, $A207,
  '[1]Hoja 1'!$R:$R, "&gt;="&amp;INT($BY$1),
  '[1]Hoja 1'!$R:$R, "&lt;"&amp;INT($BZ$1+1)
)</f>
        <v>0</v>
      </c>
      <c r="BX207" s="1">
        <f t="shared" si="304"/>
        <v>0</v>
      </c>
      <c r="BY207" s="9">
        <f t="shared" si="305"/>
        <v>0</v>
      </c>
      <c r="BZ207" s="10">
        <f t="shared" si="306"/>
        <v>0</v>
      </c>
      <c r="CA207" s="1">
        <f>SUMIFS(
  '[1]Hoja 1'!$M:$M,
  '[1]Hoja 1'!$S:$S, $A207,
  '[1]Hoja 1'!$R:$R, "&gt;="&amp;INT($CC$1),
  '[1]Hoja 1'!$R:$R, "&lt;"&amp;INT($CD$1+1)
)</f>
        <v>0</v>
      </c>
      <c r="CB207" s="1">
        <f t="shared" si="307"/>
        <v>0</v>
      </c>
      <c r="CC207" s="9">
        <f t="shared" si="308"/>
        <v>0</v>
      </c>
      <c r="CD207" s="10">
        <f t="shared" si="309"/>
        <v>0</v>
      </c>
      <c r="CE207" s="1">
        <f>SUMIFS(
  '[1]Hoja 1'!$M:$M,
  '[1]Hoja 1'!$S:$S, $A207,
  '[1]Hoja 1'!$R:$R, "&gt;="&amp;INT($CG$1),
  '[1]Hoja 1'!$R:$R, "&lt;"&amp;INT($CH$1+1)
)</f>
        <v>0</v>
      </c>
      <c r="CF207" s="1">
        <f t="shared" si="310"/>
        <v>0</v>
      </c>
      <c r="CG207" s="9">
        <f t="shared" si="311"/>
        <v>0</v>
      </c>
      <c r="CH207" s="10">
        <f t="shared" si="312"/>
        <v>0</v>
      </c>
      <c r="CI207" s="1">
        <f>SUMIFS(
  '[1]Hoja 1'!$M:$M,
  '[1]Hoja 1'!$S:$S, $A207,
  '[1]Hoja 1'!$R:$R, "&gt;="&amp;INT($CK$1),
  '[1]Hoja 1'!$R:$R, "&lt;"&amp;INT($CL$1+1)
)</f>
        <v>0</v>
      </c>
      <c r="CJ207" s="1">
        <f t="shared" si="313"/>
        <v>0</v>
      </c>
      <c r="CK207" s="9">
        <f t="shared" si="314"/>
        <v>0</v>
      </c>
      <c r="CL207" s="10">
        <f t="shared" si="315"/>
        <v>0</v>
      </c>
      <c r="CM207" s="1">
        <f>SUMIFS(
  '[1]Hoja 1'!$M:$M,
  '[1]Hoja 1'!$S:$S, $A207,
  '[1]Hoja 1'!$R:$R, "&gt;="&amp;INT($CO$1),
  '[1]Hoja 1'!$R:$R, "&lt;"&amp;INT($CP$1+1)
)</f>
        <v>0</v>
      </c>
      <c r="CN207" s="1">
        <f t="shared" si="316"/>
        <v>0</v>
      </c>
      <c r="CO207" s="9">
        <f t="shared" si="317"/>
        <v>0</v>
      </c>
      <c r="CP207" s="10">
        <f t="shared" si="318"/>
        <v>0</v>
      </c>
      <c r="CQ207" s="1">
        <f>SUMIFS(
  '[1]Hoja 1'!$M:$M,
  '[1]Hoja 1'!$S:$S, $A207,
  '[1]Hoja 1'!$R:$R, "&gt;="&amp;INT($CS$1),
  '[1]Hoja 1'!$R:$R, "&lt;"&amp;INT($CT$1+1)
)</f>
        <v>0</v>
      </c>
      <c r="CR207" s="1">
        <f t="shared" si="319"/>
        <v>0</v>
      </c>
      <c r="CS207" s="9">
        <f t="shared" si="320"/>
        <v>0</v>
      </c>
      <c r="CT207" s="10">
        <f t="shared" si="321"/>
        <v>0</v>
      </c>
      <c r="CU207" s="1">
        <f>SUMIFS(
  '[1]Hoja 1'!$M:$M,
  '[1]Hoja 1'!$S:$S, $A207,
  '[1]Hoja 1'!$R:$R, "&gt;="&amp;INT($CW$1),
  '[1]Hoja 1'!$R:$R, "&lt;"&amp;INT($CX$1+1)
)</f>
        <v>0</v>
      </c>
      <c r="CV207" s="1">
        <f t="shared" si="322"/>
        <v>0</v>
      </c>
      <c r="CW207" s="9">
        <f t="shared" si="323"/>
        <v>0</v>
      </c>
      <c r="CX207" s="10">
        <f t="shared" si="324"/>
        <v>0</v>
      </c>
      <c r="CY207" s="1">
        <f>SUMIFS(
  '[1]Hoja 1'!$M:$M,
  '[1]Hoja 1'!$S:$S, $A207,
  '[1]Hoja 1'!$R:$R, "&gt;="&amp;INT($DA$1),
  '[1]Hoja 1'!$R:$R, "&lt;"&amp;INT($DB$1+1)
)</f>
        <v>0</v>
      </c>
      <c r="CZ207" s="1">
        <f t="shared" si="325"/>
        <v>0</v>
      </c>
      <c r="DA207" s="9">
        <f t="shared" si="326"/>
        <v>0</v>
      </c>
      <c r="DB207" s="10">
        <f t="shared" si="327"/>
        <v>0</v>
      </c>
      <c r="DC207" s="1">
        <f>SUMIFS(
  '[1]Hoja 1'!$M:$M,
  '[1]Hoja 1'!$S:$S, $A207,
  '[1]Hoja 1'!$R:$R, "&gt;="&amp;INT($DE$1),
  '[1]Hoja 1'!$R:$R, "&lt;"&amp;INT($DF$1+1)
)</f>
        <v>0</v>
      </c>
      <c r="DD207" s="1">
        <f t="shared" si="328"/>
        <v>0</v>
      </c>
      <c r="DE207" s="9">
        <f t="shared" si="329"/>
        <v>0</v>
      </c>
      <c r="DF207" s="10">
        <f t="shared" si="330"/>
        <v>0</v>
      </c>
      <c r="DG207" s="1">
        <f>SUMIFS(
  '[1]Hoja 1'!$M:$M,
  '[1]Hoja 1'!$S:$S, $A207,
  '[1]Hoja 1'!$R:$R, "&gt;="&amp;INT($DI$1),
  '[1]Hoja 1'!$R:$R, "&lt;"&amp;INT($DJ$1+1)
)</f>
        <v>0</v>
      </c>
      <c r="DH207" s="1">
        <f t="shared" si="331"/>
        <v>0</v>
      </c>
      <c r="DI207" s="9">
        <f t="shared" si="332"/>
        <v>0</v>
      </c>
      <c r="DJ207" s="10">
        <f t="shared" si="333"/>
        <v>0</v>
      </c>
      <c r="DK207" s="1">
        <f>SUMIFS(
  '[1]Hoja 1'!$M:$M,
  '[1]Hoja 1'!$S:$S, $A207,
  '[1]Hoja 1'!$R:$R, "&gt;="&amp;INT($DM$1),
  '[1]Hoja 1'!$R:$R, "&lt;"&amp;INT($DN$1+1)
)</f>
        <v>0</v>
      </c>
      <c r="DL207" s="1">
        <f t="shared" si="334"/>
        <v>0</v>
      </c>
      <c r="DM207" s="9">
        <f t="shared" si="335"/>
        <v>0</v>
      </c>
      <c r="DN207" s="10">
        <f t="shared" si="336"/>
        <v>0</v>
      </c>
      <c r="DO207" s="1">
        <f>SUMIFS(
  '[1]Hoja 1'!$M:$M,
  '[1]Hoja 1'!$S:$S, $A207,
  '[1]Hoja 1'!$R:$R, "&gt;="&amp;INT($DQ$1),
  '[1]Hoja 1'!$R:$R, "&lt;"&amp;INT($DR$1+1)
)</f>
        <v>0</v>
      </c>
      <c r="DP207" s="1">
        <f t="shared" si="337"/>
        <v>0</v>
      </c>
      <c r="DQ207" s="9">
        <f t="shared" si="338"/>
        <v>0</v>
      </c>
      <c r="DR207" s="10">
        <f t="shared" si="339"/>
        <v>0</v>
      </c>
    </row>
    <row r="208" spans="1:122" x14ac:dyDescent="0.25">
      <c r="A208" s="5">
        <v>236005</v>
      </c>
      <c r="B208" s="6" t="s">
        <v>204</v>
      </c>
      <c r="C208" s="1">
        <f>SUMIFS(
  '[1]Hoja 1'!$M:$M,
  '[1]Hoja 1'!$S:$S, $A208,
  '[1]Hoja 1'!$R:$R, "&gt;="&amp;INT($E$1),
  '[1]Hoja 1'!$R:$R, "&lt;"&amp;INT($F$1+1)
)</f>
        <v>1</v>
      </c>
      <c r="D208" s="1" t="str">
        <f>""</f>
        <v/>
      </c>
      <c r="F208" s="2"/>
      <c r="G208" s="1">
        <f>SUMIFS(
  '[1]Hoja 1'!$M:$M,
  '[1]Hoja 1'!$S:$S, $A208,
  '[1]Hoja 1'!$R:$R, "&gt;="&amp;INT($I$1),
  '[1]Hoja 1'!$R:$R, "&lt;"&amp;INT($J$1+1)
)</f>
        <v>0</v>
      </c>
      <c r="H208" s="1">
        <f t="shared" si="255"/>
        <v>0.5</v>
      </c>
      <c r="I208" s="1"/>
      <c r="J208" s="2"/>
      <c r="K208" s="1">
        <f>SUMIFS(
  '[1]Hoja 1'!$M:$M,
  '[1]Hoja 1'!$S:$S, $A208,
  '[1]Hoja 1'!$R:$R, "&gt;="&amp;INT($M$1),
  '[1]Hoja 1'!$R:$R, "&lt;"&amp;INT($N$1+1)
)</f>
        <v>0</v>
      </c>
      <c r="L208" s="1">
        <f t="shared" si="256"/>
        <v>0</v>
      </c>
      <c r="M208" s="9">
        <f t="shared" si="257"/>
        <v>-0.69296464556281656</v>
      </c>
      <c r="N208" s="10">
        <f t="shared" si="258"/>
        <v>0.69296464556281656</v>
      </c>
      <c r="O208" s="1">
        <f>SUMIFS(
  '[1]Hoja 1'!$M:$M,
  '[1]Hoja 1'!$S:$S, $A208,
  '[1]Hoja 1'!$R:$R, "&gt;="&amp;INT($Q$1),
  '[1]Hoja 1'!$R:$R, "&lt;"&amp;INT($R$1+1)
)</f>
        <v>0</v>
      </c>
      <c r="P208" s="1">
        <f t="shared" si="259"/>
        <v>0</v>
      </c>
      <c r="Q208" s="9">
        <f t="shared" si="260"/>
        <v>-0.56580326380583335</v>
      </c>
      <c r="R208" s="10">
        <f t="shared" si="261"/>
        <v>0.56580326380583335</v>
      </c>
      <c r="S208" s="1">
        <f>SUMIFS(
  '[1]Hoja 1'!$M:$M,
  '[1]Hoja 1'!$S:$S, $A208,
  '[1]Hoja 1'!$R:$R, "&gt;="&amp;INT($U$1),
  '[1]Hoja 1'!$R:$R, "&lt;"&amp;INT($V$1+1)
)</f>
        <v>0</v>
      </c>
      <c r="T208" s="1">
        <f t="shared" si="262"/>
        <v>0</v>
      </c>
      <c r="U208" s="9">
        <f t="shared" si="263"/>
        <v>-0.49</v>
      </c>
      <c r="V208" s="10">
        <f t="shared" si="264"/>
        <v>0.49</v>
      </c>
      <c r="W208" s="1">
        <f>SUMIFS(
  '[1]Hoja 1'!$M:$M,
  '[1]Hoja 1'!$S:$S, $A208,
  '[1]Hoja 1'!$R:$R, "&gt;="&amp;INT($Y$1),
  '[1]Hoja 1'!$R:$R, "&lt;"&amp;INT($Z$1+1)
)</f>
        <v>0</v>
      </c>
      <c r="X208" s="1">
        <f t="shared" si="265"/>
        <v>0</v>
      </c>
      <c r="Y208" s="9">
        <f t="shared" si="266"/>
        <v>0</v>
      </c>
      <c r="Z208" s="10">
        <f t="shared" si="267"/>
        <v>0</v>
      </c>
      <c r="AA208" s="1">
        <f>SUMIFS(
  '[1]Hoja 1'!$M:$M,
  '[1]Hoja 1'!$S:$S, $A208,
  '[1]Hoja 1'!$R:$R, "&gt;="&amp;INT($AC$1),
  '[1]Hoja 1'!$R:$R, "&lt;"&amp;INT($AD$1+1)
)</f>
        <v>0</v>
      </c>
      <c r="AB208" s="1">
        <f t="shared" si="268"/>
        <v>0</v>
      </c>
      <c r="AC208" s="9">
        <f t="shared" si="269"/>
        <v>0</v>
      </c>
      <c r="AD208" s="10">
        <f t="shared" si="270"/>
        <v>0</v>
      </c>
      <c r="AE208" s="1">
        <f>SUMIFS(
  '[1]Hoja 1'!$M:$M,
  '[1]Hoja 1'!$S:$S, $A208,
  '[1]Hoja 1'!$R:$R, "&gt;="&amp;INT($AG$1),
  '[1]Hoja 1'!$R:$R, "&lt;"&amp;INT($AH$1+1)
)</f>
        <v>0</v>
      </c>
      <c r="AF208" s="1">
        <f t="shared" si="271"/>
        <v>0</v>
      </c>
      <c r="AG208" s="9">
        <f t="shared" si="272"/>
        <v>0</v>
      </c>
      <c r="AH208" s="10">
        <f t="shared" si="273"/>
        <v>0</v>
      </c>
      <c r="AI208" s="1">
        <f>SUMIFS(
  '[1]Hoja 1'!$M:$M,
  '[1]Hoja 1'!$S:$S, $A208,
  '[1]Hoja 1'!$R:$R, "&gt;="&amp;INT($AK$1),
  '[1]Hoja 1'!$R:$R, "&lt;"&amp;INT($AL$1+1)
)</f>
        <v>0</v>
      </c>
      <c r="AJ208" s="1">
        <f t="shared" si="274"/>
        <v>0</v>
      </c>
      <c r="AK208" s="9">
        <f t="shared" si="275"/>
        <v>0</v>
      </c>
      <c r="AL208" s="10">
        <f t="shared" si="276"/>
        <v>0</v>
      </c>
      <c r="AM208" s="1">
        <f>SUMIFS(
  '[1]Hoja 1'!$M:$M,
  '[1]Hoja 1'!$S:$S, $A208,
  '[1]Hoja 1'!$R:$R, "&gt;="&amp;INT($AO$1),
  '[1]Hoja 1'!$R:$R, "&lt;"&amp;INT($AP$1+1)
)</f>
        <v>0</v>
      </c>
      <c r="AN208" s="1">
        <f t="shared" si="277"/>
        <v>0</v>
      </c>
      <c r="AO208" s="9">
        <f t="shared" si="278"/>
        <v>0</v>
      </c>
      <c r="AP208" s="10">
        <f t="shared" si="279"/>
        <v>0</v>
      </c>
      <c r="AQ208" s="1">
        <f>SUMIFS(
  '[1]Hoja 1'!$M:$M,
  '[1]Hoja 1'!$S:$S, $A208,
  '[1]Hoja 1'!$R:$R, "&gt;="&amp;INT($AS$1),
  '[1]Hoja 1'!$R:$R, "&lt;"&amp;INT($AT$1+1)
)</f>
        <v>0</v>
      </c>
      <c r="AR208" s="1">
        <f t="shared" si="280"/>
        <v>0</v>
      </c>
      <c r="AS208" s="9">
        <f t="shared" si="281"/>
        <v>0</v>
      </c>
      <c r="AT208" s="10">
        <f t="shared" si="282"/>
        <v>0</v>
      </c>
      <c r="AU208" s="1">
        <f>SUMIFS(
  '[1]Hoja 1'!$M:$M,
  '[1]Hoja 1'!$S:$S, $A208,
  '[1]Hoja 1'!$R:$R, "&gt;="&amp;INT($AW$1),
  '[1]Hoja 1'!$R:$R, "&lt;"&amp;INT($AX$1+1)
)</f>
        <v>0</v>
      </c>
      <c r="AV208" s="1">
        <f t="shared" si="283"/>
        <v>0</v>
      </c>
      <c r="AW208" s="9">
        <f t="shared" si="284"/>
        <v>0</v>
      </c>
      <c r="AX208" s="10">
        <f t="shared" si="285"/>
        <v>0</v>
      </c>
      <c r="AY208" s="1">
        <f>SUMIFS(
  '[1]Hoja 1'!$M:$M,
  '[1]Hoja 1'!$S:$S, $A208,
  '[1]Hoja 1'!$R:$R, "&gt;="&amp;INT($BA$1),
  '[1]Hoja 1'!$R:$R, "&lt;"&amp;INT($BB$1+1)
)</f>
        <v>0</v>
      </c>
      <c r="AZ208" s="1">
        <f t="shared" si="286"/>
        <v>0</v>
      </c>
      <c r="BA208" s="9">
        <f t="shared" si="287"/>
        <v>0</v>
      </c>
      <c r="BB208" s="10">
        <f t="shared" si="288"/>
        <v>0</v>
      </c>
      <c r="BC208" s="1">
        <f>SUMIFS(
  '[1]Hoja 1'!$M:$M,
  '[1]Hoja 1'!$S:$S, $A208,
  '[1]Hoja 1'!$R:$R, "&gt;="&amp;INT($BE$1),
  '[1]Hoja 1'!$R:$R, "&lt;"&amp;INT($BF$1+1)
)</f>
        <v>0</v>
      </c>
      <c r="BD208" s="1">
        <f t="shared" si="289"/>
        <v>0</v>
      </c>
      <c r="BE208" s="9">
        <f t="shared" si="290"/>
        <v>0</v>
      </c>
      <c r="BF208" s="10">
        <f t="shared" si="291"/>
        <v>0</v>
      </c>
      <c r="BG208" s="1">
        <f>SUMIFS(
  '[1]Hoja 1'!$M:$M,
  '[1]Hoja 1'!$S:$S, $A208,
  '[1]Hoja 1'!$R:$R, "&gt;="&amp;INT($BI$1),
  '[1]Hoja 1'!$R:$R, "&lt;"&amp;INT($BJ$1+1)
)</f>
        <v>0</v>
      </c>
      <c r="BH208" s="1">
        <f t="shared" si="292"/>
        <v>0</v>
      </c>
      <c r="BI208" s="9">
        <f t="shared" si="293"/>
        <v>0</v>
      </c>
      <c r="BJ208" s="10">
        <f t="shared" si="294"/>
        <v>0</v>
      </c>
      <c r="BK208" s="1">
        <f>SUMIFS(
  '[1]Hoja 1'!$M:$M,
  '[1]Hoja 1'!$S:$S, $A208,
  '[1]Hoja 1'!$R:$R, "&gt;="&amp;INT($BM$1),
  '[1]Hoja 1'!$R:$R, "&lt;"&amp;INT($BN$1+1)
)</f>
        <v>0</v>
      </c>
      <c r="BL208" s="1">
        <f t="shared" si="295"/>
        <v>0</v>
      </c>
      <c r="BM208" s="9">
        <f t="shared" si="296"/>
        <v>0</v>
      </c>
      <c r="BN208" s="10">
        <f t="shared" si="297"/>
        <v>0</v>
      </c>
      <c r="BO208" s="1">
        <f>SUMIFS(
  '[1]Hoja 1'!$M:$M,
  '[1]Hoja 1'!$S:$S, $A208,
  '[1]Hoja 1'!$R:$R, "&gt;="&amp;INT($BQ$1),
  '[1]Hoja 1'!$R:$R, "&lt;"&amp;INT($BR$1+1)
)</f>
        <v>0</v>
      </c>
      <c r="BP208" s="1">
        <f t="shared" si="298"/>
        <v>0</v>
      </c>
      <c r="BQ208" s="9">
        <f t="shared" si="299"/>
        <v>0</v>
      </c>
      <c r="BR208" s="10">
        <f t="shared" si="300"/>
        <v>0</v>
      </c>
      <c r="BS208" s="1">
        <f>SUMIFS(
  '[1]Hoja 1'!$M:$M,
  '[1]Hoja 1'!$S:$S, $A208,
  '[1]Hoja 1'!$R:$R, "&gt;="&amp;INT($BU$1),
  '[1]Hoja 1'!$R:$R, "&lt;"&amp;INT($BV$1+1)
)</f>
        <v>0</v>
      </c>
      <c r="BT208" s="1">
        <f t="shared" si="301"/>
        <v>0</v>
      </c>
      <c r="BU208" s="9">
        <f t="shared" si="302"/>
        <v>0</v>
      </c>
      <c r="BV208" s="10">
        <f t="shared" si="303"/>
        <v>0</v>
      </c>
      <c r="BW208" s="1">
        <f>SUMIFS(
  '[1]Hoja 1'!$M:$M,
  '[1]Hoja 1'!$S:$S, $A208,
  '[1]Hoja 1'!$R:$R, "&gt;="&amp;INT($BY$1),
  '[1]Hoja 1'!$R:$R, "&lt;"&amp;INT($BZ$1+1)
)</f>
        <v>0</v>
      </c>
      <c r="BX208" s="1">
        <f t="shared" si="304"/>
        <v>0</v>
      </c>
      <c r="BY208" s="9">
        <f t="shared" si="305"/>
        <v>0</v>
      </c>
      <c r="BZ208" s="10">
        <f t="shared" si="306"/>
        <v>0</v>
      </c>
      <c r="CA208" s="1">
        <f>SUMIFS(
  '[1]Hoja 1'!$M:$M,
  '[1]Hoja 1'!$S:$S, $A208,
  '[1]Hoja 1'!$R:$R, "&gt;="&amp;INT($CC$1),
  '[1]Hoja 1'!$R:$R, "&lt;"&amp;INT($CD$1+1)
)</f>
        <v>0</v>
      </c>
      <c r="CB208" s="1">
        <f t="shared" si="307"/>
        <v>0</v>
      </c>
      <c r="CC208" s="9">
        <f t="shared" si="308"/>
        <v>0</v>
      </c>
      <c r="CD208" s="10">
        <f t="shared" si="309"/>
        <v>0</v>
      </c>
      <c r="CE208" s="1">
        <f>SUMIFS(
  '[1]Hoja 1'!$M:$M,
  '[1]Hoja 1'!$S:$S, $A208,
  '[1]Hoja 1'!$R:$R, "&gt;="&amp;INT($CG$1),
  '[1]Hoja 1'!$R:$R, "&lt;"&amp;INT($CH$1+1)
)</f>
        <v>0</v>
      </c>
      <c r="CF208" s="1">
        <f t="shared" si="310"/>
        <v>0</v>
      </c>
      <c r="CG208" s="9">
        <f t="shared" si="311"/>
        <v>0</v>
      </c>
      <c r="CH208" s="10">
        <f t="shared" si="312"/>
        <v>0</v>
      </c>
      <c r="CI208" s="1">
        <f>SUMIFS(
  '[1]Hoja 1'!$M:$M,
  '[1]Hoja 1'!$S:$S, $A208,
  '[1]Hoja 1'!$R:$R, "&gt;="&amp;INT($CK$1),
  '[1]Hoja 1'!$R:$R, "&lt;"&amp;INT($CL$1+1)
)</f>
        <v>0</v>
      </c>
      <c r="CJ208" s="1">
        <f t="shared" si="313"/>
        <v>0</v>
      </c>
      <c r="CK208" s="9">
        <f t="shared" si="314"/>
        <v>0</v>
      </c>
      <c r="CL208" s="10">
        <f t="shared" si="315"/>
        <v>0</v>
      </c>
      <c r="CM208" s="1">
        <f>SUMIFS(
  '[1]Hoja 1'!$M:$M,
  '[1]Hoja 1'!$S:$S, $A208,
  '[1]Hoja 1'!$R:$R, "&gt;="&amp;INT($CO$1),
  '[1]Hoja 1'!$R:$R, "&lt;"&amp;INT($CP$1+1)
)</f>
        <v>0</v>
      </c>
      <c r="CN208" s="1">
        <f t="shared" si="316"/>
        <v>0</v>
      </c>
      <c r="CO208" s="9">
        <f t="shared" si="317"/>
        <v>0</v>
      </c>
      <c r="CP208" s="10">
        <f t="shared" si="318"/>
        <v>0</v>
      </c>
      <c r="CQ208" s="1">
        <f>SUMIFS(
  '[1]Hoja 1'!$M:$M,
  '[1]Hoja 1'!$S:$S, $A208,
  '[1]Hoja 1'!$R:$R, "&gt;="&amp;INT($CS$1),
  '[1]Hoja 1'!$R:$R, "&lt;"&amp;INT($CT$1+1)
)</f>
        <v>0</v>
      </c>
      <c r="CR208" s="1">
        <f t="shared" si="319"/>
        <v>0</v>
      </c>
      <c r="CS208" s="9">
        <f t="shared" si="320"/>
        <v>0</v>
      </c>
      <c r="CT208" s="10">
        <f t="shared" si="321"/>
        <v>0</v>
      </c>
      <c r="CU208" s="1">
        <f>SUMIFS(
  '[1]Hoja 1'!$M:$M,
  '[1]Hoja 1'!$S:$S, $A208,
  '[1]Hoja 1'!$R:$R, "&gt;="&amp;INT($CW$1),
  '[1]Hoja 1'!$R:$R, "&lt;"&amp;INT($CX$1+1)
)</f>
        <v>0</v>
      </c>
      <c r="CV208" s="1">
        <f t="shared" si="322"/>
        <v>0</v>
      </c>
      <c r="CW208" s="9">
        <f t="shared" si="323"/>
        <v>0</v>
      </c>
      <c r="CX208" s="10">
        <f t="shared" si="324"/>
        <v>0</v>
      </c>
      <c r="CY208" s="1">
        <f>SUMIFS(
  '[1]Hoja 1'!$M:$M,
  '[1]Hoja 1'!$S:$S, $A208,
  '[1]Hoja 1'!$R:$R, "&gt;="&amp;INT($DA$1),
  '[1]Hoja 1'!$R:$R, "&lt;"&amp;INT($DB$1+1)
)</f>
        <v>0</v>
      </c>
      <c r="CZ208" s="1">
        <f t="shared" si="325"/>
        <v>0</v>
      </c>
      <c r="DA208" s="9">
        <f t="shared" si="326"/>
        <v>0</v>
      </c>
      <c r="DB208" s="10">
        <f t="shared" si="327"/>
        <v>0</v>
      </c>
      <c r="DC208" s="1">
        <f>SUMIFS(
  '[1]Hoja 1'!$M:$M,
  '[1]Hoja 1'!$S:$S, $A208,
  '[1]Hoja 1'!$R:$R, "&gt;="&amp;INT($DE$1),
  '[1]Hoja 1'!$R:$R, "&lt;"&amp;INT($DF$1+1)
)</f>
        <v>0</v>
      </c>
      <c r="DD208" s="1">
        <f t="shared" si="328"/>
        <v>0</v>
      </c>
      <c r="DE208" s="9">
        <f t="shared" si="329"/>
        <v>0</v>
      </c>
      <c r="DF208" s="10">
        <f t="shared" si="330"/>
        <v>0</v>
      </c>
      <c r="DG208" s="1">
        <f>SUMIFS(
  '[1]Hoja 1'!$M:$M,
  '[1]Hoja 1'!$S:$S, $A208,
  '[1]Hoja 1'!$R:$R, "&gt;="&amp;INT($DI$1),
  '[1]Hoja 1'!$R:$R, "&lt;"&amp;INT($DJ$1+1)
)</f>
        <v>0</v>
      </c>
      <c r="DH208" s="1">
        <f t="shared" si="331"/>
        <v>0</v>
      </c>
      <c r="DI208" s="9">
        <f t="shared" si="332"/>
        <v>0</v>
      </c>
      <c r="DJ208" s="10">
        <f t="shared" si="333"/>
        <v>0</v>
      </c>
      <c r="DK208" s="1">
        <f>SUMIFS(
  '[1]Hoja 1'!$M:$M,
  '[1]Hoja 1'!$S:$S, $A208,
  '[1]Hoja 1'!$R:$R, "&gt;="&amp;INT($DM$1),
  '[1]Hoja 1'!$R:$R, "&lt;"&amp;INT($DN$1+1)
)</f>
        <v>0</v>
      </c>
      <c r="DL208" s="1">
        <f t="shared" si="334"/>
        <v>0</v>
      </c>
      <c r="DM208" s="9">
        <f t="shared" si="335"/>
        <v>0</v>
      </c>
      <c r="DN208" s="10">
        <f t="shared" si="336"/>
        <v>0</v>
      </c>
      <c r="DO208" s="1">
        <f>SUMIFS(
  '[1]Hoja 1'!$M:$M,
  '[1]Hoja 1'!$S:$S, $A208,
  '[1]Hoja 1'!$R:$R, "&gt;="&amp;INT($DQ$1),
  '[1]Hoja 1'!$R:$R, "&lt;"&amp;INT($DR$1+1)
)</f>
        <v>0</v>
      </c>
      <c r="DP208" s="1">
        <f t="shared" si="337"/>
        <v>0</v>
      </c>
      <c r="DQ208" s="9">
        <f t="shared" si="338"/>
        <v>0</v>
      </c>
      <c r="DR208" s="10">
        <f t="shared" si="339"/>
        <v>0</v>
      </c>
    </row>
    <row r="209" spans="1:122" x14ac:dyDescent="0.25">
      <c r="A209" s="5">
        <v>236006</v>
      </c>
      <c r="B209" s="6" t="s">
        <v>205</v>
      </c>
      <c r="C209" s="1">
        <f>SUMIFS(
  '[1]Hoja 1'!$M:$M,
  '[1]Hoja 1'!$S:$S, $A209,
  '[1]Hoja 1'!$R:$R, "&gt;="&amp;INT($E$1),
  '[1]Hoja 1'!$R:$R, "&lt;"&amp;INT($F$1+1)
)</f>
        <v>0</v>
      </c>
      <c r="D209" s="1" t="str">
        <f>""</f>
        <v/>
      </c>
      <c r="F209" s="2"/>
      <c r="G209" s="1">
        <f>SUMIFS(
  '[1]Hoja 1'!$M:$M,
  '[1]Hoja 1'!$S:$S, $A209,
  '[1]Hoja 1'!$R:$R, "&gt;="&amp;INT($I$1),
  '[1]Hoja 1'!$R:$R, "&lt;"&amp;INT($J$1+1)
)</f>
        <v>0</v>
      </c>
      <c r="H209" s="1">
        <f t="shared" si="255"/>
        <v>0</v>
      </c>
      <c r="I209" s="1"/>
      <c r="J209" s="2"/>
      <c r="K209" s="1">
        <f>SUMIFS(
  '[1]Hoja 1'!$M:$M,
  '[1]Hoja 1'!$S:$S, $A209,
  '[1]Hoja 1'!$R:$R, "&gt;="&amp;INT($M$1),
  '[1]Hoja 1'!$R:$R, "&lt;"&amp;INT($N$1+1)
)</f>
        <v>0</v>
      </c>
      <c r="L209" s="1">
        <f t="shared" si="256"/>
        <v>0</v>
      </c>
      <c r="M209" s="9">
        <f t="shared" si="257"/>
        <v>0</v>
      </c>
      <c r="N209" s="10">
        <f t="shared" si="258"/>
        <v>0</v>
      </c>
      <c r="O209" s="1">
        <f>SUMIFS(
  '[1]Hoja 1'!$M:$M,
  '[1]Hoja 1'!$S:$S, $A209,
  '[1]Hoja 1'!$R:$R, "&gt;="&amp;INT($Q$1),
  '[1]Hoja 1'!$R:$R, "&lt;"&amp;INT($R$1+1)
)</f>
        <v>0</v>
      </c>
      <c r="P209" s="1">
        <f t="shared" si="259"/>
        <v>0</v>
      </c>
      <c r="Q209" s="9">
        <f t="shared" si="260"/>
        <v>0</v>
      </c>
      <c r="R209" s="10">
        <f t="shared" si="261"/>
        <v>0</v>
      </c>
      <c r="S209" s="1">
        <f>SUMIFS(
  '[1]Hoja 1'!$M:$M,
  '[1]Hoja 1'!$S:$S, $A209,
  '[1]Hoja 1'!$R:$R, "&gt;="&amp;INT($U$1),
  '[1]Hoja 1'!$R:$R, "&lt;"&amp;INT($V$1+1)
)</f>
        <v>0</v>
      </c>
      <c r="T209" s="1">
        <f t="shared" si="262"/>
        <v>0</v>
      </c>
      <c r="U209" s="9">
        <f t="shared" si="263"/>
        <v>0</v>
      </c>
      <c r="V209" s="10">
        <f t="shared" si="264"/>
        <v>0</v>
      </c>
      <c r="W209" s="1">
        <f>SUMIFS(
  '[1]Hoja 1'!$M:$M,
  '[1]Hoja 1'!$S:$S, $A209,
  '[1]Hoja 1'!$R:$R, "&gt;="&amp;INT($Y$1),
  '[1]Hoja 1'!$R:$R, "&lt;"&amp;INT($Z$1+1)
)</f>
        <v>0</v>
      </c>
      <c r="X209" s="1">
        <f t="shared" si="265"/>
        <v>0</v>
      </c>
      <c r="Y209" s="9">
        <f t="shared" si="266"/>
        <v>0</v>
      </c>
      <c r="Z209" s="10">
        <f t="shared" si="267"/>
        <v>0</v>
      </c>
      <c r="AA209" s="1">
        <f>SUMIFS(
  '[1]Hoja 1'!$M:$M,
  '[1]Hoja 1'!$S:$S, $A209,
  '[1]Hoja 1'!$R:$R, "&gt;="&amp;INT($AC$1),
  '[1]Hoja 1'!$R:$R, "&lt;"&amp;INT($AD$1+1)
)</f>
        <v>0</v>
      </c>
      <c r="AB209" s="1">
        <f t="shared" si="268"/>
        <v>0</v>
      </c>
      <c r="AC209" s="9">
        <f t="shared" si="269"/>
        <v>0</v>
      </c>
      <c r="AD209" s="10">
        <f t="shared" si="270"/>
        <v>0</v>
      </c>
      <c r="AE209" s="1">
        <f>SUMIFS(
  '[1]Hoja 1'!$M:$M,
  '[1]Hoja 1'!$S:$S, $A209,
  '[1]Hoja 1'!$R:$R, "&gt;="&amp;INT($AG$1),
  '[1]Hoja 1'!$R:$R, "&lt;"&amp;INT($AH$1+1)
)</f>
        <v>0</v>
      </c>
      <c r="AF209" s="1">
        <f t="shared" si="271"/>
        <v>0</v>
      </c>
      <c r="AG209" s="9">
        <f t="shared" si="272"/>
        <v>0</v>
      </c>
      <c r="AH209" s="10">
        <f t="shared" si="273"/>
        <v>0</v>
      </c>
      <c r="AI209" s="1">
        <f>SUMIFS(
  '[1]Hoja 1'!$M:$M,
  '[1]Hoja 1'!$S:$S, $A209,
  '[1]Hoja 1'!$R:$R, "&gt;="&amp;INT($AK$1),
  '[1]Hoja 1'!$R:$R, "&lt;"&amp;INT($AL$1+1)
)</f>
        <v>0</v>
      </c>
      <c r="AJ209" s="1">
        <f t="shared" si="274"/>
        <v>0</v>
      </c>
      <c r="AK209" s="9">
        <f t="shared" si="275"/>
        <v>0</v>
      </c>
      <c r="AL209" s="10">
        <f t="shared" si="276"/>
        <v>0</v>
      </c>
      <c r="AM209" s="1">
        <f>SUMIFS(
  '[1]Hoja 1'!$M:$M,
  '[1]Hoja 1'!$S:$S, $A209,
  '[1]Hoja 1'!$R:$R, "&gt;="&amp;INT($AO$1),
  '[1]Hoja 1'!$R:$R, "&lt;"&amp;INT($AP$1+1)
)</f>
        <v>0</v>
      </c>
      <c r="AN209" s="1">
        <f t="shared" si="277"/>
        <v>0</v>
      </c>
      <c r="AO209" s="9">
        <f t="shared" si="278"/>
        <v>0</v>
      </c>
      <c r="AP209" s="10">
        <f t="shared" si="279"/>
        <v>0</v>
      </c>
      <c r="AQ209" s="1">
        <f>SUMIFS(
  '[1]Hoja 1'!$M:$M,
  '[1]Hoja 1'!$S:$S, $A209,
  '[1]Hoja 1'!$R:$R, "&gt;="&amp;INT($AS$1),
  '[1]Hoja 1'!$R:$R, "&lt;"&amp;INT($AT$1+1)
)</f>
        <v>0</v>
      </c>
      <c r="AR209" s="1">
        <f t="shared" si="280"/>
        <v>0</v>
      </c>
      <c r="AS209" s="9">
        <f t="shared" si="281"/>
        <v>0</v>
      </c>
      <c r="AT209" s="10">
        <f t="shared" si="282"/>
        <v>0</v>
      </c>
      <c r="AU209" s="1">
        <f>SUMIFS(
  '[1]Hoja 1'!$M:$M,
  '[1]Hoja 1'!$S:$S, $A209,
  '[1]Hoja 1'!$R:$R, "&gt;="&amp;INT($AW$1),
  '[1]Hoja 1'!$R:$R, "&lt;"&amp;INT($AX$1+1)
)</f>
        <v>0</v>
      </c>
      <c r="AV209" s="1">
        <f t="shared" si="283"/>
        <v>0</v>
      </c>
      <c r="AW209" s="9">
        <f t="shared" si="284"/>
        <v>0</v>
      </c>
      <c r="AX209" s="10">
        <f t="shared" si="285"/>
        <v>0</v>
      </c>
      <c r="AY209" s="1">
        <f>SUMIFS(
  '[1]Hoja 1'!$M:$M,
  '[1]Hoja 1'!$S:$S, $A209,
  '[1]Hoja 1'!$R:$R, "&gt;="&amp;INT($BA$1),
  '[1]Hoja 1'!$R:$R, "&lt;"&amp;INT($BB$1+1)
)</f>
        <v>0</v>
      </c>
      <c r="AZ209" s="1">
        <f t="shared" si="286"/>
        <v>0</v>
      </c>
      <c r="BA209" s="9">
        <f t="shared" si="287"/>
        <v>0</v>
      </c>
      <c r="BB209" s="10">
        <f t="shared" si="288"/>
        <v>0</v>
      </c>
      <c r="BC209" s="1">
        <f>SUMIFS(
  '[1]Hoja 1'!$M:$M,
  '[1]Hoja 1'!$S:$S, $A209,
  '[1]Hoja 1'!$R:$R, "&gt;="&amp;INT($BE$1),
  '[1]Hoja 1'!$R:$R, "&lt;"&amp;INT($BF$1+1)
)</f>
        <v>0</v>
      </c>
      <c r="BD209" s="1">
        <f t="shared" si="289"/>
        <v>0</v>
      </c>
      <c r="BE209" s="9">
        <f t="shared" si="290"/>
        <v>0</v>
      </c>
      <c r="BF209" s="10">
        <f t="shared" si="291"/>
        <v>0</v>
      </c>
      <c r="BG209" s="1">
        <f>SUMIFS(
  '[1]Hoja 1'!$M:$M,
  '[1]Hoja 1'!$S:$S, $A209,
  '[1]Hoja 1'!$R:$R, "&gt;="&amp;INT($BI$1),
  '[1]Hoja 1'!$R:$R, "&lt;"&amp;INT($BJ$1+1)
)</f>
        <v>0</v>
      </c>
      <c r="BH209" s="1">
        <f t="shared" si="292"/>
        <v>0</v>
      </c>
      <c r="BI209" s="9">
        <f t="shared" si="293"/>
        <v>0</v>
      </c>
      <c r="BJ209" s="10">
        <f t="shared" si="294"/>
        <v>0</v>
      </c>
      <c r="BK209" s="1">
        <f>SUMIFS(
  '[1]Hoja 1'!$M:$M,
  '[1]Hoja 1'!$S:$S, $A209,
  '[1]Hoja 1'!$R:$R, "&gt;="&amp;INT($BM$1),
  '[1]Hoja 1'!$R:$R, "&lt;"&amp;INT($BN$1+1)
)</f>
        <v>0</v>
      </c>
      <c r="BL209" s="1">
        <f t="shared" si="295"/>
        <v>0</v>
      </c>
      <c r="BM209" s="9">
        <f t="shared" si="296"/>
        <v>0</v>
      </c>
      <c r="BN209" s="10">
        <f t="shared" si="297"/>
        <v>0</v>
      </c>
      <c r="BO209" s="1">
        <f>SUMIFS(
  '[1]Hoja 1'!$M:$M,
  '[1]Hoja 1'!$S:$S, $A209,
  '[1]Hoja 1'!$R:$R, "&gt;="&amp;INT($BQ$1),
  '[1]Hoja 1'!$R:$R, "&lt;"&amp;INT($BR$1+1)
)</f>
        <v>0</v>
      </c>
      <c r="BP209" s="1">
        <f t="shared" si="298"/>
        <v>0</v>
      </c>
      <c r="BQ209" s="9">
        <f t="shared" si="299"/>
        <v>0</v>
      </c>
      <c r="BR209" s="10">
        <f t="shared" si="300"/>
        <v>0</v>
      </c>
      <c r="BS209" s="1">
        <f>SUMIFS(
  '[1]Hoja 1'!$M:$M,
  '[1]Hoja 1'!$S:$S, $A209,
  '[1]Hoja 1'!$R:$R, "&gt;="&amp;INT($BU$1),
  '[1]Hoja 1'!$R:$R, "&lt;"&amp;INT($BV$1+1)
)</f>
        <v>0</v>
      </c>
      <c r="BT209" s="1">
        <f t="shared" si="301"/>
        <v>0</v>
      </c>
      <c r="BU209" s="9">
        <f t="shared" si="302"/>
        <v>0</v>
      </c>
      <c r="BV209" s="10">
        <f t="shared" si="303"/>
        <v>0</v>
      </c>
      <c r="BW209" s="1">
        <f>SUMIFS(
  '[1]Hoja 1'!$M:$M,
  '[1]Hoja 1'!$S:$S, $A209,
  '[1]Hoja 1'!$R:$R, "&gt;="&amp;INT($BY$1),
  '[1]Hoja 1'!$R:$R, "&lt;"&amp;INT($BZ$1+1)
)</f>
        <v>0</v>
      </c>
      <c r="BX209" s="1">
        <f t="shared" si="304"/>
        <v>0</v>
      </c>
      <c r="BY209" s="9">
        <f t="shared" si="305"/>
        <v>0</v>
      </c>
      <c r="BZ209" s="10">
        <f t="shared" si="306"/>
        <v>0</v>
      </c>
      <c r="CA209" s="1">
        <f>SUMIFS(
  '[1]Hoja 1'!$M:$M,
  '[1]Hoja 1'!$S:$S, $A209,
  '[1]Hoja 1'!$R:$R, "&gt;="&amp;INT($CC$1),
  '[1]Hoja 1'!$R:$R, "&lt;"&amp;INT($CD$1+1)
)</f>
        <v>0</v>
      </c>
      <c r="CB209" s="1">
        <f t="shared" si="307"/>
        <v>0</v>
      </c>
      <c r="CC209" s="9">
        <f t="shared" si="308"/>
        <v>0</v>
      </c>
      <c r="CD209" s="10">
        <f t="shared" si="309"/>
        <v>0</v>
      </c>
      <c r="CE209" s="1">
        <f>SUMIFS(
  '[1]Hoja 1'!$M:$M,
  '[1]Hoja 1'!$S:$S, $A209,
  '[1]Hoja 1'!$R:$R, "&gt;="&amp;INT($CG$1),
  '[1]Hoja 1'!$R:$R, "&lt;"&amp;INT($CH$1+1)
)</f>
        <v>0</v>
      </c>
      <c r="CF209" s="1">
        <f t="shared" si="310"/>
        <v>0</v>
      </c>
      <c r="CG209" s="9">
        <f t="shared" si="311"/>
        <v>0</v>
      </c>
      <c r="CH209" s="10">
        <f t="shared" si="312"/>
        <v>0</v>
      </c>
      <c r="CI209" s="1">
        <f>SUMIFS(
  '[1]Hoja 1'!$M:$M,
  '[1]Hoja 1'!$S:$S, $A209,
  '[1]Hoja 1'!$R:$R, "&gt;="&amp;INT($CK$1),
  '[1]Hoja 1'!$R:$R, "&lt;"&amp;INT($CL$1+1)
)</f>
        <v>0</v>
      </c>
      <c r="CJ209" s="1">
        <f t="shared" si="313"/>
        <v>0</v>
      </c>
      <c r="CK209" s="9">
        <f t="shared" si="314"/>
        <v>0</v>
      </c>
      <c r="CL209" s="10">
        <f t="shared" si="315"/>
        <v>0</v>
      </c>
      <c r="CM209" s="1">
        <f>SUMIFS(
  '[1]Hoja 1'!$M:$M,
  '[1]Hoja 1'!$S:$S, $A209,
  '[1]Hoja 1'!$R:$R, "&gt;="&amp;INT($CO$1),
  '[1]Hoja 1'!$R:$R, "&lt;"&amp;INT($CP$1+1)
)</f>
        <v>0</v>
      </c>
      <c r="CN209" s="1">
        <f t="shared" si="316"/>
        <v>0</v>
      </c>
      <c r="CO209" s="9">
        <f t="shared" si="317"/>
        <v>0</v>
      </c>
      <c r="CP209" s="10">
        <f t="shared" si="318"/>
        <v>0</v>
      </c>
      <c r="CQ209" s="1">
        <f>SUMIFS(
  '[1]Hoja 1'!$M:$M,
  '[1]Hoja 1'!$S:$S, $A209,
  '[1]Hoja 1'!$R:$R, "&gt;="&amp;INT($CS$1),
  '[1]Hoja 1'!$R:$R, "&lt;"&amp;INT($CT$1+1)
)</f>
        <v>0</v>
      </c>
      <c r="CR209" s="1">
        <f t="shared" si="319"/>
        <v>0</v>
      </c>
      <c r="CS209" s="9">
        <f t="shared" si="320"/>
        <v>0</v>
      </c>
      <c r="CT209" s="10">
        <f t="shared" si="321"/>
        <v>0</v>
      </c>
      <c r="CU209" s="1">
        <f>SUMIFS(
  '[1]Hoja 1'!$M:$M,
  '[1]Hoja 1'!$S:$S, $A209,
  '[1]Hoja 1'!$R:$R, "&gt;="&amp;INT($CW$1),
  '[1]Hoja 1'!$R:$R, "&lt;"&amp;INT($CX$1+1)
)</f>
        <v>0</v>
      </c>
      <c r="CV209" s="1">
        <f t="shared" si="322"/>
        <v>0</v>
      </c>
      <c r="CW209" s="9">
        <f t="shared" si="323"/>
        <v>0</v>
      </c>
      <c r="CX209" s="10">
        <f t="shared" si="324"/>
        <v>0</v>
      </c>
      <c r="CY209" s="1">
        <f>SUMIFS(
  '[1]Hoja 1'!$M:$M,
  '[1]Hoja 1'!$S:$S, $A209,
  '[1]Hoja 1'!$R:$R, "&gt;="&amp;INT($DA$1),
  '[1]Hoja 1'!$R:$R, "&lt;"&amp;INT($DB$1+1)
)</f>
        <v>0</v>
      </c>
      <c r="CZ209" s="1">
        <f t="shared" si="325"/>
        <v>0</v>
      </c>
      <c r="DA209" s="9">
        <f t="shared" si="326"/>
        <v>0</v>
      </c>
      <c r="DB209" s="10">
        <f t="shared" si="327"/>
        <v>0</v>
      </c>
      <c r="DC209" s="1">
        <f>SUMIFS(
  '[1]Hoja 1'!$M:$M,
  '[1]Hoja 1'!$S:$S, $A209,
  '[1]Hoja 1'!$R:$R, "&gt;="&amp;INT($DE$1),
  '[1]Hoja 1'!$R:$R, "&lt;"&amp;INT($DF$1+1)
)</f>
        <v>0</v>
      </c>
      <c r="DD209" s="1">
        <f t="shared" si="328"/>
        <v>0</v>
      </c>
      <c r="DE209" s="9">
        <f t="shared" si="329"/>
        <v>0</v>
      </c>
      <c r="DF209" s="10">
        <f t="shared" si="330"/>
        <v>0</v>
      </c>
      <c r="DG209" s="1">
        <f>SUMIFS(
  '[1]Hoja 1'!$M:$M,
  '[1]Hoja 1'!$S:$S, $A209,
  '[1]Hoja 1'!$R:$R, "&gt;="&amp;INT($DI$1),
  '[1]Hoja 1'!$R:$R, "&lt;"&amp;INT($DJ$1+1)
)</f>
        <v>0</v>
      </c>
      <c r="DH209" s="1">
        <f t="shared" si="331"/>
        <v>0</v>
      </c>
      <c r="DI209" s="9">
        <f t="shared" si="332"/>
        <v>0</v>
      </c>
      <c r="DJ209" s="10">
        <f t="shared" si="333"/>
        <v>0</v>
      </c>
      <c r="DK209" s="1">
        <f>SUMIFS(
  '[1]Hoja 1'!$M:$M,
  '[1]Hoja 1'!$S:$S, $A209,
  '[1]Hoja 1'!$R:$R, "&gt;="&amp;INT($DM$1),
  '[1]Hoja 1'!$R:$R, "&lt;"&amp;INT($DN$1+1)
)</f>
        <v>0</v>
      </c>
      <c r="DL209" s="1">
        <f t="shared" si="334"/>
        <v>0</v>
      </c>
      <c r="DM209" s="9">
        <f t="shared" si="335"/>
        <v>0</v>
      </c>
      <c r="DN209" s="10">
        <f t="shared" si="336"/>
        <v>0</v>
      </c>
      <c r="DO209" s="1">
        <f>SUMIFS(
  '[1]Hoja 1'!$M:$M,
  '[1]Hoja 1'!$S:$S, $A209,
  '[1]Hoja 1'!$R:$R, "&gt;="&amp;INT($DQ$1),
  '[1]Hoja 1'!$R:$R, "&lt;"&amp;INT($DR$1+1)
)</f>
        <v>0</v>
      </c>
      <c r="DP209" s="1">
        <f t="shared" si="337"/>
        <v>0</v>
      </c>
      <c r="DQ209" s="9">
        <f t="shared" si="338"/>
        <v>0</v>
      </c>
      <c r="DR209" s="10">
        <f t="shared" si="339"/>
        <v>0</v>
      </c>
    </row>
    <row r="210" spans="1:122" x14ac:dyDescent="0.25">
      <c r="A210" s="5">
        <v>236007</v>
      </c>
      <c r="B210" s="6" t="s">
        <v>206</v>
      </c>
      <c r="C210" s="1">
        <f>SUMIFS(
  '[1]Hoja 1'!$M:$M,
  '[1]Hoja 1'!$S:$S, $A210,
  '[1]Hoja 1'!$R:$R, "&gt;="&amp;INT($E$1),
  '[1]Hoja 1'!$R:$R, "&lt;"&amp;INT($F$1+1)
)</f>
        <v>0</v>
      </c>
      <c r="D210" s="1" t="str">
        <f>""</f>
        <v/>
      </c>
      <c r="F210" s="2"/>
      <c r="G210" s="1">
        <f>SUMIFS(
  '[1]Hoja 1'!$M:$M,
  '[1]Hoja 1'!$S:$S, $A210,
  '[1]Hoja 1'!$R:$R, "&gt;="&amp;INT($I$1),
  '[1]Hoja 1'!$R:$R, "&lt;"&amp;INT($J$1+1)
)</f>
        <v>0</v>
      </c>
      <c r="H210" s="1">
        <f t="shared" si="255"/>
        <v>0</v>
      </c>
      <c r="I210" s="1"/>
      <c r="J210" s="2"/>
      <c r="K210" s="1">
        <f>SUMIFS(
  '[1]Hoja 1'!$M:$M,
  '[1]Hoja 1'!$S:$S, $A210,
  '[1]Hoja 1'!$R:$R, "&gt;="&amp;INT($M$1),
  '[1]Hoja 1'!$R:$R, "&lt;"&amp;INT($N$1+1)
)</f>
        <v>0</v>
      </c>
      <c r="L210" s="1">
        <f t="shared" si="256"/>
        <v>0</v>
      </c>
      <c r="M210" s="9">
        <f t="shared" si="257"/>
        <v>0</v>
      </c>
      <c r="N210" s="10">
        <f t="shared" si="258"/>
        <v>0</v>
      </c>
      <c r="O210" s="1">
        <f>SUMIFS(
  '[1]Hoja 1'!$M:$M,
  '[1]Hoja 1'!$S:$S, $A210,
  '[1]Hoja 1'!$R:$R, "&gt;="&amp;INT($Q$1),
  '[1]Hoja 1'!$R:$R, "&lt;"&amp;INT($R$1+1)
)</f>
        <v>0</v>
      </c>
      <c r="P210" s="1">
        <f t="shared" si="259"/>
        <v>0</v>
      </c>
      <c r="Q210" s="9">
        <f t="shared" si="260"/>
        <v>0</v>
      </c>
      <c r="R210" s="10">
        <f t="shared" si="261"/>
        <v>0</v>
      </c>
      <c r="S210" s="1">
        <f>SUMIFS(
  '[1]Hoja 1'!$M:$M,
  '[1]Hoja 1'!$S:$S, $A210,
  '[1]Hoja 1'!$R:$R, "&gt;="&amp;INT($U$1),
  '[1]Hoja 1'!$R:$R, "&lt;"&amp;INT($V$1+1)
)</f>
        <v>0</v>
      </c>
      <c r="T210" s="1">
        <f t="shared" si="262"/>
        <v>0</v>
      </c>
      <c r="U210" s="9">
        <f t="shared" si="263"/>
        <v>0</v>
      </c>
      <c r="V210" s="10">
        <f t="shared" si="264"/>
        <v>0</v>
      </c>
      <c r="W210" s="1">
        <f>SUMIFS(
  '[1]Hoja 1'!$M:$M,
  '[1]Hoja 1'!$S:$S, $A210,
  '[1]Hoja 1'!$R:$R, "&gt;="&amp;INT($Y$1),
  '[1]Hoja 1'!$R:$R, "&lt;"&amp;INT($Z$1+1)
)</f>
        <v>0</v>
      </c>
      <c r="X210" s="1">
        <f t="shared" si="265"/>
        <v>0</v>
      </c>
      <c r="Y210" s="9">
        <f t="shared" si="266"/>
        <v>0</v>
      </c>
      <c r="Z210" s="10">
        <f t="shared" si="267"/>
        <v>0</v>
      </c>
      <c r="AA210" s="1">
        <f>SUMIFS(
  '[1]Hoja 1'!$M:$M,
  '[1]Hoja 1'!$S:$S, $A210,
  '[1]Hoja 1'!$R:$R, "&gt;="&amp;INT($AC$1),
  '[1]Hoja 1'!$R:$R, "&lt;"&amp;INT($AD$1+1)
)</f>
        <v>0</v>
      </c>
      <c r="AB210" s="1">
        <f t="shared" si="268"/>
        <v>0</v>
      </c>
      <c r="AC210" s="9">
        <f t="shared" si="269"/>
        <v>0</v>
      </c>
      <c r="AD210" s="10">
        <f t="shared" si="270"/>
        <v>0</v>
      </c>
      <c r="AE210" s="1">
        <f>SUMIFS(
  '[1]Hoja 1'!$M:$M,
  '[1]Hoja 1'!$S:$S, $A210,
  '[1]Hoja 1'!$R:$R, "&gt;="&amp;INT($AG$1),
  '[1]Hoja 1'!$R:$R, "&lt;"&amp;INT($AH$1+1)
)</f>
        <v>0</v>
      </c>
      <c r="AF210" s="1">
        <f t="shared" si="271"/>
        <v>0</v>
      </c>
      <c r="AG210" s="9">
        <f t="shared" si="272"/>
        <v>0</v>
      </c>
      <c r="AH210" s="10">
        <f t="shared" si="273"/>
        <v>0</v>
      </c>
      <c r="AI210" s="1">
        <f>SUMIFS(
  '[1]Hoja 1'!$M:$M,
  '[1]Hoja 1'!$S:$S, $A210,
  '[1]Hoja 1'!$R:$R, "&gt;="&amp;INT($AK$1),
  '[1]Hoja 1'!$R:$R, "&lt;"&amp;INT($AL$1+1)
)</f>
        <v>0</v>
      </c>
      <c r="AJ210" s="1">
        <f t="shared" si="274"/>
        <v>0</v>
      </c>
      <c r="AK210" s="9">
        <f t="shared" si="275"/>
        <v>0</v>
      </c>
      <c r="AL210" s="10">
        <f t="shared" si="276"/>
        <v>0</v>
      </c>
      <c r="AM210" s="1">
        <f>SUMIFS(
  '[1]Hoja 1'!$M:$M,
  '[1]Hoja 1'!$S:$S, $A210,
  '[1]Hoja 1'!$R:$R, "&gt;="&amp;INT($AO$1),
  '[1]Hoja 1'!$R:$R, "&lt;"&amp;INT($AP$1+1)
)</f>
        <v>0</v>
      </c>
      <c r="AN210" s="1">
        <f t="shared" si="277"/>
        <v>0</v>
      </c>
      <c r="AO210" s="9">
        <f t="shared" si="278"/>
        <v>0</v>
      </c>
      <c r="AP210" s="10">
        <f t="shared" si="279"/>
        <v>0</v>
      </c>
      <c r="AQ210" s="1">
        <f>SUMIFS(
  '[1]Hoja 1'!$M:$M,
  '[1]Hoja 1'!$S:$S, $A210,
  '[1]Hoja 1'!$R:$R, "&gt;="&amp;INT($AS$1),
  '[1]Hoja 1'!$R:$R, "&lt;"&amp;INT($AT$1+1)
)</f>
        <v>0</v>
      </c>
      <c r="AR210" s="1">
        <f t="shared" si="280"/>
        <v>0</v>
      </c>
      <c r="AS210" s="9">
        <f t="shared" si="281"/>
        <v>0</v>
      </c>
      <c r="AT210" s="10">
        <f t="shared" si="282"/>
        <v>0</v>
      </c>
      <c r="AU210" s="1">
        <f>SUMIFS(
  '[1]Hoja 1'!$M:$M,
  '[1]Hoja 1'!$S:$S, $A210,
  '[1]Hoja 1'!$R:$R, "&gt;="&amp;INT($AW$1),
  '[1]Hoja 1'!$R:$R, "&lt;"&amp;INT($AX$1+1)
)</f>
        <v>0</v>
      </c>
      <c r="AV210" s="1">
        <f t="shared" si="283"/>
        <v>0</v>
      </c>
      <c r="AW210" s="9">
        <f t="shared" si="284"/>
        <v>0</v>
      </c>
      <c r="AX210" s="10">
        <f t="shared" si="285"/>
        <v>0</v>
      </c>
      <c r="AY210" s="1">
        <f>SUMIFS(
  '[1]Hoja 1'!$M:$M,
  '[1]Hoja 1'!$S:$S, $A210,
  '[1]Hoja 1'!$R:$R, "&gt;="&amp;INT($BA$1),
  '[1]Hoja 1'!$R:$R, "&lt;"&amp;INT($BB$1+1)
)</f>
        <v>0</v>
      </c>
      <c r="AZ210" s="1">
        <f t="shared" si="286"/>
        <v>0</v>
      </c>
      <c r="BA210" s="9">
        <f t="shared" si="287"/>
        <v>0</v>
      </c>
      <c r="BB210" s="10">
        <f t="shared" si="288"/>
        <v>0</v>
      </c>
      <c r="BC210" s="1">
        <f>SUMIFS(
  '[1]Hoja 1'!$M:$M,
  '[1]Hoja 1'!$S:$S, $A210,
  '[1]Hoja 1'!$R:$R, "&gt;="&amp;INT($BE$1),
  '[1]Hoja 1'!$R:$R, "&lt;"&amp;INT($BF$1+1)
)</f>
        <v>0</v>
      </c>
      <c r="BD210" s="1">
        <f t="shared" si="289"/>
        <v>0</v>
      </c>
      <c r="BE210" s="9">
        <f t="shared" si="290"/>
        <v>0</v>
      </c>
      <c r="BF210" s="10">
        <f t="shared" si="291"/>
        <v>0</v>
      </c>
      <c r="BG210" s="1">
        <f>SUMIFS(
  '[1]Hoja 1'!$M:$M,
  '[1]Hoja 1'!$S:$S, $A210,
  '[1]Hoja 1'!$R:$R, "&gt;="&amp;INT($BI$1),
  '[1]Hoja 1'!$R:$R, "&lt;"&amp;INT($BJ$1+1)
)</f>
        <v>0</v>
      </c>
      <c r="BH210" s="1">
        <f t="shared" si="292"/>
        <v>0</v>
      </c>
      <c r="BI210" s="9">
        <f t="shared" si="293"/>
        <v>0</v>
      </c>
      <c r="BJ210" s="10">
        <f t="shared" si="294"/>
        <v>0</v>
      </c>
      <c r="BK210" s="1">
        <f>SUMIFS(
  '[1]Hoja 1'!$M:$M,
  '[1]Hoja 1'!$S:$S, $A210,
  '[1]Hoja 1'!$R:$R, "&gt;="&amp;INT($BM$1),
  '[1]Hoja 1'!$R:$R, "&lt;"&amp;INT($BN$1+1)
)</f>
        <v>0</v>
      </c>
      <c r="BL210" s="1">
        <f t="shared" si="295"/>
        <v>0</v>
      </c>
      <c r="BM210" s="9">
        <f t="shared" si="296"/>
        <v>0</v>
      </c>
      <c r="BN210" s="10">
        <f t="shared" si="297"/>
        <v>0</v>
      </c>
      <c r="BO210" s="1">
        <f>SUMIFS(
  '[1]Hoja 1'!$M:$M,
  '[1]Hoja 1'!$S:$S, $A210,
  '[1]Hoja 1'!$R:$R, "&gt;="&amp;INT($BQ$1),
  '[1]Hoja 1'!$R:$R, "&lt;"&amp;INT($BR$1+1)
)</f>
        <v>0</v>
      </c>
      <c r="BP210" s="1">
        <f t="shared" si="298"/>
        <v>0</v>
      </c>
      <c r="BQ210" s="9">
        <f t="shared" si="299"/>
        <v>0</v>
      </c>
      <c r="BR210" s="10">
        <f t="shared" si="300"/>
        <v>0</v>
      </c>
      <c r="BS210" s="1">
        <f>SUMIFS(
  '[1]Hoja 1'!$M:$M,
  '[1]Hoja 1'!$S:$S, $A210,
  '[1]Hoja 1'!$R:$R, "&gt;="&amp;INT($BU$1),
  '[1]Hoja 1'!$R:$R, "&lt;"&amp;INT($BV$1+1)
)</f>
        <v>0</v>
      </c>
      <c r="BT210" s="1">
        <f t="shared" si="301"/>
        <v>0</v>
      </c>
      <c r="BU210" s="9">
        <f t="shared" si="302"/>
        <v>0</v>
      </c>
      <c r="BV210" s="10">
        <f t="shared" si="303"/>
        <v>0</v>
      </c>
      <c r="BW210" s="1">
        <f>SUMIFS(
  '[1]Hoja 1'!$M:$M,
  '[1]Hoja 1'!$S:$S, $A210,
  '[1]Hoja 1'!$R:$R, "&gt;="&amp;INT($BY$1),
  '[1]Hoja 1'!$R:$R, "&lt;"&amp;INT($BZ$1+1)
)</f>
        <v>0</v>
      </c>
      <c r="BX210" s="1">
        <f t="shared" si="304"/>
        <v>0</v>
      </c>
      <c r="BY210" s="9">
        <f t="shared" si="305"/>
        <v>0</v>
      </c>
      <c r="BZ210" s="10">
        <f t="shared" si="306"/>
        <v>0</v>
      </c>
      <c r="CA210" s="1">
        <f>SUMIFS(
  '[1]Hoja 1'!$M:$M,
  '[1]Hoja 1'!$S:$S, $A210,
  '[1]Hoja 1'!$R:$R, "&gt;="&amp;INT($CC$1),
  '[1]Hoja 1'!$R:$R, "&lt;"&amp;INT($CD$1+1)
)</f>
        <v>0</v>
      </c>
      <c r="CB210" s="1">
        <f t="shared" si="307"/>
        <v>0</v>
      </c>
      <c r="CC210" s="9">
        <f t="shared" si="308"/>
        <v>0</v>
      </c>
      <c r="CD210" s="10">
        <f t="shared" si="309"/>
        <v>0</v>
      </c>
      <c r="CE210" s="1">
        <f>SUMIFS(
  '[1]Hoja 1'!$M:$M,
  '[1]Hoja 1'!$S:$S, $A210,
  '[1]Hoja 1'!$R:$R, "&gt;="&amp;INT($CG$1),
  '[1]Hoja 1'!$R:$R, "&lt;"&amp;INT($CH$1+1)
)</f>
        <v>0</v>
      </c>
      <c r="CF210" s="1">
        <f t="shared" si="310"/>
        <v>0</v>
      </c>
      <c r="CG210" s="9">
        <f t="shared" si="311"/>
        <v>0</v>
      </c>
      <c r="CH210" s="10">
        <f t="shared" si="312"/>
        <v>0</v>
      </c>
      <c r="CI210" s="1">
        <f>SUMIFS(
  '[1]Hoja 1'!$M:$M,
  '[1]Hoja 1'!$S:$S, $A210,
  '[1]Hoja 1'!$R:$R, "&gt;="&amp;INT($CK$1),
  '[1]Hoja 1'!$R:$R, "&lt;"&amp;INT($CL$1+1)
)</f>
        <v>0</v>
      </c>
      <c r="CJ210" s="1">
        <f t="shared" si="313"/>
        <v>0</v>
      </c>
      <c r="CK210" s="9">
        <f t="shared" si="314"/>
        <v>0</v>
      </c>
      <c r="CL210" s="10">
        <f t="shared" si="315"/>
        <v>0</v>
      </c>
      <c r="CM210" s="1">
        <f>SUMIFS(
  '[1]Hoja 1'!$M:$M,
  '[1]Hoja 1'!$S:$S, $A210,
  '[1]Hoja 1'!$R:$R, "&gt;="&amp;INT($CO$1),
  '[1]Hoja 1'!$R:$R, "&lt;"&amp;INT($CP$1+1)
)</f>
        <v>0</v>
      </c>
      <c r="CN210" s="1">
        <f t="shared" si="316"/>
        <v>0</v>
      </c>
      <c r="CO210" s="9">
        <f t="shared" si="317"/>
        <v>0</v>
      </c>
      <c r="CP210" s="10">
        <f t="shared" si="318"/>
        <v>0</v>
      </c>
      <c r="CQ210" s="1">
        <f>SUMIFS(
  '[1]Hoja 1'!$M:$M,
  '[1]Hoja 1'!$S:$S, $A210,
  '[1]Hoja 1'!$R:$R, "&gt;="&amp;INT($CS$1),
  '[1]Hoja 1'!$R:$R, "&lt;"&amp;INT($CT$1+1)
)</f>
        <v>0</v>
      </c>
      <c r="CR210" s="1">
        <f t="shared" si="319"/>
        <v>0</v>
      </c>
      <c r="CS210" s="9">
        <f t="shared" si="320"/>
        <v>0</v>
      </c>
      <c r="CT210" s="10">
        <f t="shared" si="321"/>
        <v>0</v>
      </c>
      <c r="CU210" s="1">
        <f>SUMIFS(
  '[1]Hoja 1'!$M:$M,
  '[1]Hoja 1'!$S:$S, $A210,
  '[1]Hoja 1'!$R:$R, "&gt;="&amp;INT($CW$1),
  '[1]Hoja 1'!$R:$R, "&lt;"&amp;INT($CX$1+1)
)</f>
        <v>0</v>
      </c>
      <c r="CV210" s="1">
        <f t="shared" si="322"/>
        <v>0</v>
      </c>
      <c r="CW210" s="9">
        <f t="shared" si="323"/>
        <v>0</v>
      </c>
      <c r="CX210" s="10">
        <f t="shared" si="324"/>
        <v>0</v>
      </c>
      <c r="CY210" s="1">
        <f>SUMIFS(
  '[1]Hoja 1'!$M:$M,
  '[1]Hoja 1'!$S:$S, $A210,
  '[1]Hoja 1'!$R:$R, "&gt;="&amp;INT($DA$1),
  '[1]Hoja 1'!$R:$R, "&lt;"&amp;INT($DB$1+1)
)</f>
        <v>0</v>
      </c>
      <c r="CZ210" s="1">
        <f t="shared" si="325"/>
        <v>0</v>
      </c>
      <c r="DA210" s="9">
        <f t="shared" si="326"/>
        <v>0</v>
      </c>
      <c r="DB210" s="10">
        <f t="shared" si="327"/>
        <v>0</v>
      </c>
      <c r="DC210" s="1">
        <f>SUMIFS(
  '[1]Hoja 1'!$M:$M,
  '[1]Hoja 1'!$S:$S, $A210,
  '[1]Hoja 1'!$R:$R, "&gt;="&amp;INT($DE$1),
  '[1]Hoja 1'!$R:$R, "&lt;"&amp;INT($DF$1+1)
)</f>
        <v>0</v>
      </c>
      <c r="DD210" s="1">
        <f t="shared" si="328"/>
        <v>0</v>
      </c>
      <c r="DE210" s="9">
        <f t="shared" si="329"/>
        <v>0</v>
      </c>
      <c r="DF210" s="10">
        <f t="shared" si="330"/>
        <v>0</v>
      </c>
      <c r="DG210" s="1">
        <f>SUMIFS(
  '[1]Hoja 1'!$M:$M,
  '[1]Hoja 1'!$S:$S, $A210,
  '[1]Hoja 1'!$R:$R, "&gt;="&amp;INT($DI$1),
  '[1]Hoja 1'!$R:$R, "&lt;"&amp;INT($DJ$1+1)
)</f>
        <v>0</v>
      </c>
      <c r="DH210" s="1">
        <f t="shared" si="331"/>
        <v>0</v>
      </c>
      <c r="DI210" s="9">
        <f t="shared" si="332"/>
        <v>0</v>
      </c>
      <c r="DJ210" s="10">
        <f t="shared" si="333"/>
        <v>0</v>
      </c>
      <c r="DK210" s="1">
        <f>SUMIFS(
  '[1]Hoja 1'!$M:$M,
  '[1]Hoja 1'!$S:$S, $A210,
  '[1]Hoja 1'!$R:$R, "&gt;="&amp;INT($DM$1),
  '[1]Hoja 1'!$R:$R, "&lt;"&amp;INT($DN$1+1)
)</f>
        <v>0</v>
      </c>
      <c r="DL210" s="1">
        <f t="shared" si="334"/>
        <v>0</v>
      </c>
      <c r="DM210" s="9">
        <f t="shared" si="335"/>
        <v>0</v>
      </c>
      <c r="DN210" s="10">
        <f t="shared" si="336"/>
        <v>0</v>
      </c>
      <c r="DO210" s="1">
        <f>SUMIFS(
  '[1]Hoja 1'!$M:$M,
  '[1]Hoja 1'!$S:$S, $A210,
  '[1]Hoja 1'!$R:$R, "&gt;="&amp;INT($DQ$1),
  '[1]Hoja 1'!$R:$R, "&lt;"&amp;INT($DR$1+1)
)</f>
        <v>0</v>
      </c>
      <c r="DP210" s="1">
        <f t="shared" si="337"/>
        <v>0</v>
      </c>
      <c r="DQ210" s="9">
        <f t="shared" si="338"/>
        <v>0</v>
      </c>
      <c r="DR210" s="10">
        <f t="shared" si="339"/>
        <v>0</v>
      </c>
    </row>
    <row r="211" spans="1:122" x14ac:dyDescent="0.25">
      <c r="A211" s="5">
        <v>236008</v>
      </c>
      <c r="B211" s="6" t="s">
        <v>207</v>
      </c>
      <c r="C211" s="1">
        <f>SUMIFS(
  '[1]Hoja 1'!$M:$M,
  '[1]Hoja 1'!$S:$S, $A211,
  '[1]Hoja 1'!$R:$R, "&gt;="&amp;INT($E$1),
  '[1]Hoja 1'!$R:$R, "&lt;"&amp;INT($F$1+1)
)</f>
        <v>0</v>
      </c>
      <c r="D211" s="1" t="str">
        <f>""</f>
        <v/>
      </c>
      <c r="F211" s="2"/>
      <c r="G211" s="1">
        <f>SUMIFS(
  '[1]Hoja 1'!$M:$M,
  '[1]Hoja 1'!$S:$S, $A211,
  '[1]Hoja 1'!$R:$R, "&gt;="&amp;INT($I$1),
  '[1]Hoja 1'!$R:$R, "&lt;"&amp;INT($J$1+1)
)</f>
        <v>0</v>
      </c>
      <c r="H211" s="1">
        <f t="shared" si="255"/>
        <v>0</v>
      </c>
      <c r="I211" s="1"/>
      <c r="J211" s="2"/>
      <c r="K211" s="1">
        <f>SUMIFS(
  '[1]Hoja 1'!$M:$M,
  '[1]Hoja 1'!$S:$S, $A211,
  '[1]Hoja 1'!$R:$R, "&gt;="&amp;INT($M$1),
  '[1]Hoja 1'!$R:$R, "&lt;"&amp;INT($N$1+1)
)</f>
        <v>0</v>
      </c>
      <c r="L211" s="1">
        <f t="shared" si="256"/>
        <v>0</v>
      </c>
      <c r="M211" s="9">
        <f t="shared" si="257"/>
        <v>0</v>
      </c>
      <c r="N211" s="10">
        <f t="shared" si="258"/>
        <v>0</v>
      </c>
      <c r="O211" s="1">
        <f>SUMIFS(
  '[1]Hoja 1'!$M:$M,
  '[1]Hoja 1'!$S:$S, $A211,
  '[1]Hoja 1'!$R:$R, "&gt;="&amp;INT($Q$1),
  '[1]Hoja 1'!$R:$R, "&lt;"&amp;INT($R$1+1)
)</f>
        <v>0</v>
      </c>
      <c r="P211" s="1">
        <f t="shared" si="259"/>
        <v>0</v>
      </c>
      <c r="Q211" s="9">
        <f t="shared" si="260"/>
        <v>0</v>
      </c>
      <c r="R211" s="10">
        <f t="shared" si="261"/>
        <v>0</v>
      </c>
      <c r="S211" s="1">
        <f>SUMIFS(
  '[1]Hoja 1'!$M:$M,
  '[1]Hoja 1'!$S:$S, $A211,
  '[1]Hoja 1'!$R:$R, "&gt;="&amp;INT($U$1),
  '[1]Hoja 1'!$R:$R, "&lt;"&amp;INT($V$1+1)
)</f>
        <v>0</v>
      </c>
      <c r="T211" s="1">
        <f t="shared" si="262"/>
        <v>0</v>
      </c>
      <c r="U211" s="9">
        <f t="shared" si="263"/>
        <v>0</v>
      </c>
      <c r="V211" s="10">
        <f t="shared" si="264"/>
        <v>0</v>
      </c>
      <c r="W211" s="1">
        <f>SUMIFS(
  '[1]Hoja 1'!$M:$M,
  '[1]Hoja 1'!$S:$S, $A211,
  '[1]Hoja 1'!$R:$R, "&gt;="&amp;INT($Y$1),
  '[1]Hoja 1'!$R:$R, "&lt;"&amp;INT($Z$1+1)
)</f>
        <v>0</v>
      </c>
      <c r="X211" s="1">
        <f t="shared" si="265"/>
        <v>0</v>
      </c>
      <c r="Y211" s="9">
        <f t="shared" si="266"/>
        <v>0</v>
      </c>
      <c r="Z211" s="10">
        <f t="shared" si="267"/>
        <v>0</v>
      </c>
      <c r="AA211" s="1">
        <f>SUMIFS(
  '[1]Hoja 1'!$M:$M,
  '[1]Hoja 1'!$S:$S, $A211,
  '[1]Hoja 1'!$R:$R, "&gt;="&amp;INT($AC$1),
  '[1]Hoja 1'!$R:$R, "&lt;"&amp;INT($AD$1+1)
)</f>
        <v>0</v>
      </c>
      <c r="AB211" s="1">
        <f t="shared" si="268"/>
        <v>0</v>
      </c>
      <c r="AC211" s="9">
        <f t="shared" si="269"/>
        <v>0</v>
      </c>
      <c r="AD211" s="10">
        <f t="shared" si="270"/>
        <v>0</v>
      </c>
      <c r="AE211" s="1">
        <f>SUMIFS(
  '[1]Hoja 1'!$M:$M,
  '[1]Hoja 1'!$S:$S, $A211,
  '[1]Hoja 1'!$R:$R, "&gt;="&amp;INT($AG$1),
  '[1]Hoja 1'!$R:$R, "&lt;"&amp;INT($AH$1+1)
)</f>
        <v>0</v>
      </c>
      <c r="AF211" s="1">
        <f t="shared" si="271"/>
        <v>0</v>
      </c>
      <c r="AG211" s="9">
        <f t="shared" si="272"/>
        <v>0</v>
      </c>
      <c r="AH211" s="10">
        <f t="shared" si="273"/>
        <v>0</v>
      </c>
      <c r="AI211" s="1">
        <f>SUMIFS(
  '[1]Hoja 1'!$M:$M,
  '[1]Hoja 1'!$S:$S, $A211,
  '[1]Hoja 1'!$R:$R, "&gt;="&amp;INT($AK$1),
  '[1]Hoja 1'!$R:$R, "&lt;"&amp;INT($AL$1+1)
)</f>
        <v>0</v>
      </c>
      <c r="AJ211" s="1">
        <f t="shared" si="274"/>
        <v>0</v>
      </c>
      <c r="AK211" s="9">
        <f t="shared" si="275"/>
        <v>0</v>
      </c>
      <c r="AL211" s="10">
        <f t="shared" si="276"/>
        <v>0</v>
      </c>
      <c r="AM211" s="1">
        <f>SUMIFS(
  '[1]Hoja 1'!$M:$M,
  '[1]Hoja 1'!$S:$S, $A211,
  '[1]Hoja 1'!$R:$R, "&gt;="&amp;INT($AO$1),
  '[1]Hoja 1'!$R:$R, "&lt;"&amp;INT($AP$1+1)
)</f>
        <v>0</v>
      </c>
      <c r="AN211" s="1">
        <f t="shared" si="277"/>
        <v>0</v>
      </c>
      <c r="AO211" s="9">
        <f t="shared" si="278"/>
        <v>0</v>
      </c>
      <c r="AP211" s="10">
        <f t="shared" si="279"/>
        <v>0</v>
      </c>
      <c r="AQ211" s="1">
        <f>SUMIFS(
  '[1]Hoja 1'!$M:$M,
  '[1]Hoja 1'!$S:$S, $A211,
  '[1]Hoja 1'!$R:$R, "&gt;="&amp;INT($AS$1),
  '[1]Hoja 1'!$R:$R, "&lt;"&amp;INT($AT$1+1)
)</f>
        <v>0</v>
      </c>
      <c r="AR211" s="1">
        <f t="shared" si="280"/>
        <v>0</v>
      </c>
      <c r="AS211" s="9">
        <f t="shared" si="281"/>
        <v>0</v>
      </c>
      <c r="AT211" s="10">
        <f t="shared" si="282"/>
        <v>0</v>
      </c>
      <c r="AU211" s="1">
        <f>SUMIFS(
  '[1]Hoja 1'!$M:$M,
  '[1]Hoja 1'!$S:$S, $A211,
  '[1]Hoja 1'!$R:$R, "&gt;="&amp;INT($AW$1),
  '[1]Hoja 1'!$R:$R, "&lt;"&amp;INT($AX$1+1)
)</f>
        <v>0</v>
      </c>
      <c r="AV211" s="1">
        <f t="shared" si="283"/>
        <v>0</v>
      </c>
      <c r="AW211" s="9">
        <f t="shared" si="284"/>
        <v>0</v>
      </c>
      <c r="AX211" s="10">
        <f t="shared" si="285"/>
        <v>0</v>
      </c>
      <c r="AY211" s="1">
        <f>SUMIFS(
  '[1]Hoja 1'!$M:$M,
  '[1]Hoja 1'!$S:$S, $A211,
  '[1]Hoja 1'!$R:$R, "&gt;="&amp;INT($BA$1),
  '[1]Hoja 1'!$R:$R, "&lt;"&amp;INT($BB$1+1)
)</f>
        <v>0</v>
      </c>
      <c r="AZ211" s="1">
        <f t="shared" si="286"/>
        <v>0</v>
      </c>
      <c r="BA211" s="9">
        <f t="shared" si="287"/>
        <v>0</v>
      </c>
      <c r="BB211" s="10">
        <f t="shared" si="288"/>
        <v>0</v>
      </c>
      <c r="BC211" s="1">
        <f>SUMIFS(
  '[1]Hoja 1'!$M:$M,
  '[1]Hoja 1'!$S:$S, $A211,
  '[1]Hoja 1'!$R:$R, "&gt;="&amp;INT($BE$1),
  '[1]Hoja 1'!$R:$R, "&lt;"&amp;INT($BF$1+1)
)</f>
        <v>0</v>
      </c>
      <c r="BD211" s="1">
        <f t="shared" si="289"/>
        <v>0</v>
      </c>
      <c r="BE211" s="9">
        <f t="shared" si="290"/>
        <v>0</v>
      </c>
      <c r="BF211" s="10">
        <f t="shared" si="291"/>
        <v>0</v>
      </c>
      <c r="BG211" s="1">
        <f>SUMIFS(
  '[1]Hoja 1'!$M:$M,
  '[1]Hoja 1'!$S:$S, $A211,
  '[1]Hoja 1'!$R:$R, "&gt;="&amp;INT($BI$1),
  '[1]Hoja 1'!$R:$R, "&lt;"&amp;INT($BJ$1+1)
)</f>
        <v>0</v>
      </c>
      <c r="BH211" s="1">
        <f t="shared" si="292"/>
        <v>0</v>
      </c>
      <c r="BI211" s="9">
        <f t="shared" si="293"/>
        <v>0</v>
      </c>
      <c r="BJ211" s="10">
        <f t="shared" si="294"/>
        <v>0</v>
      </c>
      <c r="BK211" s="1">
        <f>SUMIFS(
  '[1]Hoja 1'!$M:$M,
  '[1]Hoja 1'!$S:$S, $A211,
  '[1]Hoja 1'!$R:$R, "&gt;="&amp;INT($BM$1),
  '[1]Hoja 1'!$R:$R, "&lt;"&amp;INT($BN$1+1)
)</f>
        <v>0</v>
      </c>
      <c r="BL211" s="1">
        <f t="shared" si="295"/>
        <v>0</v>
      </c>
      <c r="BM211" s="9">
        <f t="shared" si="296"/>
        <v>0</v>
      </c>
      <c r="BN211" s="10">
        <f t="shared" si="297"/>
        <v>0</v>
      </c>
      <c r="BO211" s="1">
        <f>SUMIFS(
  '[1]Hoja 1'!$M:$M,
  '[1]Hoja 1'!$S:$S, $A211,
  '[1]Hoja 1'!$R:$R, "&gt;="&amp;INT($BQ$1),
  '[1]Hoja 1'!$R:$R, "&lt;"&amp;INT($BR$1+1)
)</f>
        <v>0</v>
      </c>
      <c r="BP211" s="1">
        <f t="shared" si="298"/>
        <v>0</v>
      </c>
      <c r="BQ211" s="9">
        <f t="shared" si="299"/>
        <v>0</v>
      </c>
      <c r="BR211" s="10">
        <f t="shared" si="300"/>
        <v>0</v>
      </c>
      <c r="BS211" s="1">
        <f>SUMIFS(
  '[1]Hoja 1'!$M:$M,
  '[1]Hoja 1'!$S:$S, $A211,
  '[1]Hoja 1'!$R:$R, "&gt;="&amp;INT($BU$1),
  '[1]Hoja 1'!$R:$R, "&lt;"&amp;INT($BV$1+1)
)</f>
        <v>0</v>
      </c>
      <c r="BT211" s="1">
        <f t="shared" si="301"/>
        <v>0</v>
      </c>
      <c r="BU211" s="9">
        <f t="shared" si="302"/>
        <v>0</v>
      </c>
      <c r="BV211" s="10">
        <f t="shared" si="303"/>
        <v>0</v>
      </c>
      <c r="BW211" s="1">
        <f>SUMIFS(
  '[1]Hoja 1'!$M:$M,
  '[1]Hoja 1'!$S:$S, $A211,
  '[1]Hoja 1'!$R:$R, "&gt;="&amp;INT($BY$1),
  '[1]Hoja 1'!$R:$R, "&lt;"&amp;INT($BZ$1+1)
)</f>
        <v>0</v>
      </c>
      <c r="BX211" s="1">
        <f t="shared" si="304"/>
        <v>0</v>
      </c>
      <c r="BY211" s="9">
        <f t="shared" si="305"/>
        <v>0</v>
      </c>
      <c r="BZ211" s="10">
        <f t="shared" si="306"/>
        <v>0</v>
      </c>
      <c r="CA211" s="1">
        <f>SUMIFS(
  '[1]Hoja 1'!$M:$M,
  '[1]Hoja 1'!$S:$S, $A211,
  '[1]Hoja 1'!$R:$R, "&gt;="&amp;INT($CC$1),
  '[1]Hoja 1'!$R:$R, "&lt;"&amp;INT($CD$1+1)
)</f>
        <v>0</v>
      </c>
      <c r="CB211" s="1">
        <f t="shared" si="307"/>
        <v>0</v>
      </c>
      <c r="CC211" s="9">
        <f t="shared" si="308"/>
        <v>0</v>
      </c>
      <c r="CD211" s="10">
        <f t="shared" si="309"/>
        <v>0</v>
      </c>
      <c r="CE211" s="1">
        <f>SUMIFS(
  '[1]Hoja 1'!$M:$M,
  '[1]Hoja 1'!$S:$S, $A211,
  '[1]Hoja 1'!$R:$R, "&gt;="&amp;INT($CG$1),
  '[1]Hoja 1'!$R:$R, "&lt;"&amp;INT($CH$1+1)
)</f>
        <v>0</v>
      </c>
      <c r="CF211" s="1">
        <f t="shared" si="310"/>
        <v>0</v>
      </c>
      <c r="CG211" s="9">
        <f t="shared" si="311"/>
        <v>0</v>
      </c>
      <c r="CH211" s="10">
        <f t="shared" si="312"/>
        <v>0</v>
      </c>
      <c r="CI211" s="1">
        <f>SUMIFS(
  '[1]Hoja 1'!$M:$M,
  '[1]Hoja 1'!$S:$S, $A211,
  '[1]Hoja 1'!$R:$R, "&gt;="&amp;INT($CK$1),
  '[1]Hoja 1'!$R:$R, "&lt;"&amp;INT($CL$1+1)
)</f>
        <v>0</v>
      </c>
      <c r="CJ211" s="1">
        <f t="shared" si="313"/>
        <v>0</v>
      </c>
      <c r="CK211" s="9">
        <f t="shared" si="314"/>
        <v>0</v>
      </c>
      <c r="CL211" s="10">
        <f t="shared" si="315"/>
        <v>0</v>
      </c>
      <c r="CM211" s="1">
        <f>SUMIFS(
  '[1]Hoja 1'!$M:$M,
  '[1]Hoja 1'!$S:$S, $A211,
  '[1]Hoja 1'!$R:$R, "&gt;="&amp;INT($CO$1),
  '[1]Hoja 1'!$R:$R, "&lt;"&amp;INT($CP$1+1)
)</f>
        <v>0</v>
      </c>
      <c r="CN211" s="1">
        <f t="shared" si="316"/>
        <v>0</v>
      </c>
      <c r="CO211" s="9">
        <f t="shared" si="317"/>
        <v>0</v>
      </c>
      <c r="CP211" s="10">
        <f t="shared" si="318"/>
        <v>0</v>
      </c>
      <c r="CQ211" s="1">
        <f>SUMIFS(
  '[1]Hoja 1'!$M:$M,
  '[1]Hoja 1'!$S:$S, $A211,
  '[1]Hoja 1'!$R:$R, "&gt;="&amp;INT($CS$1),
  '[1]Hoja 1'!$R:$R, "&lt;"&amp;INT($CT$1+1)
)</f>
        <v>0</v>
      </c>
      <c r="CR211" s="1">
        <f t="shared" si="319"/>
        <v>0</v>
      </c>
      <c r="CS211" s="9">
        <f t="shared" si="320"/>
        <v>0</v>
      </c>
      <c r="CT211" s="10">
        <f t="shared" si="321"/>
        <v>0</v>
      </c>
      <c r="CU211" s="1">
        <f>SUMIFS(
  '[1]Hoja 1'!$M:$M,
  '[1]Hoja 1'!$S:$S, $A211,
  '[1]Hoja 1'!$R:$R, "&gt;="&amp;INT($CW$1),
  '[1]Hoja 1'!$R:$R, "&lt;"&amp;INT($CX$1+1)
)</f>
        <v>0</v>
      </c>
      <c r="CV211" s="1">
        <f t="shared" si="322"/>
        <v>0</v>
      </c>
      <c r="CW211" s="9">
        <f t="shared" si="323"/>
        <v>0</v>
      </c>
      <c r="CX211" s="10">
        <f t="shared" si="324"/>
        <v>0</v>
      </c>
      <c r="CY211" s="1">
        <f>SUMIFS(
  '[1]Hoja 1'!$M:$M,
  '[1]Hoja 1'!$S:$S, $A211,
  '[1]Hoja 1'!$R:$R, "&gt;="&amp;INT($DA$1),
  '[1]Hoja 1'!$R:$R, "&lt;"&amp;INT($DB$1+1)
)</f>
        <v>0</v>
      </c>
      <c r="CZ211" s="1">
        <f t="shared" si="325"/>
        <v>0</v>
      </c>
      <c r="DA211" s="9">
        <f t="shared" si="326"/>
        <v>0</v>
      </c>
      <c r="DB211" s="10">
        <f t="shared" si="327"/>
        <v>0</v>
      </c>
      <c r="DC211" s="1">
        <f>SUMIFS(
  '[1]Hoja 1'!$M:$M,
  '[1]Hoja 1'!$S:$S, $A211,
  '[1]Hoja 1'!$R:$R, "&gt;="&amp;INT($DE$1),
  '[1]Hoja 1'!$R:$R, "&lt;"&amp;INT($DF$1+1)
)</f>
        <v>0</v>
      </c>
      <c r="DD211" s="1">
        <f t="shared" si="328"/>
        <v>0</v>
      </c>
      <c r="DE211" s="9">
        <f t="shared" si="329"/>
        <v>0</v>
      </c>
      <c r="DF211" s="10">
        <f t="shared" si="330"/>
        <v>0</v>
      </c>
      <c r="DG211" s="1">
        <f>SUMIFS(
  '[1]Hoja 1'!$M:$M,
  '[1]Hoja 1'!$S:$S, $A211,
  '[1]Hoja 1'!$R:$R, "&gt;="&amp;INT($DI$1),
  '[1]Hoja 1'!$R:$R, "&lt;"&amp;INT($DJ$1+1)
)</f>
        <v>0</v>
      </c>
      <c r="DH211" s="1">
        <f t="shared" si="331"/>
        <v>0</v>
      </c>
      <c r="DI211" s="9">
        <f t="shared" si="332"/>
        <v>0</v>
      </c>
      <c r="DJ211" s="10">
        <f t="shared" si="333"/>
        <v>0</v>
      </c>
      <c r="DK211" s="1">
        <f>SUMIFS(
  '[1]Hoja 1'!$M:$M,
  '[1]Hoja 1'!$S:$S, $A211,
  '[1]Hoja 1'!$R:$R, "&gt;="&amp;INT($DM$1),
  '[1]Hoja 1'!$R:$R, "&lt;"&amp;INT($DN$1+1)
)</f>
        <v>0</v>
      </c>
      <c r="DL211" s="1">
        <f t="shared" si="334"/>
        <v>0</v>
      </c>
      <c r="DM211" s="9">
        <f t="shared" si="335"/>
        <v>0</v>
      </c>
      <c r="DN211" s="10">
        <f t="shared" si="336"/>
        <v>0</v>
      </c>
      <c r="DO211" s="1">
        <f>SUMIFS(
  '[1]Hoja 1'!$M:$M,
  '[1]Hoja 1'!$S:$S, $A211,
  '[1]Hoja 1'!$R:$R, "&gt;="&amp;INT($DQ$1),
  '[1]Hoja 1'!$R:$R, "&lt;"&amp;INT($DR$1+1)
)</f>
        <v>0</v>
      </c>
      <c r="DP211" s="1">
        <f t="shared" si="337"/>
        <v>0</v>
      </c>
      <c r="DQ211" s="9">
        <f t="shared" si="338"/>
        <v>0</v>
      </c>
      <c r="DR211" s="10">
        <f t="shared" si="339"/>
        <v>0</v>
      </c>
    </row>
    <row r="212" spans="1:122" x14ac:dyDescent="0.25">
      <c r="A212" s="5">
        <v>236009</v>
      </c>
      <c r="B212" s="6" t="s">
        <v>208</v>
      </c>
      <c r="C212" s="1">
        <f>SUMIFS(
  '[1]Hoja 1'!$M:$M,
  '[1]Hoja 1'!$S:$S, $A212,
  '[1]Hoja 1'!$R:$R, "&gt;="&amp;INT($E$1),
  '[1]Hoja 1'!$R:$R, "&lt;"&amp;INT($F$1+1)
)</f>
        <v>0</v>
      </c>
      <c r="D212" s="1" t="str">
        <f>""</f>
        <v/>
      </c>
      <c r="F212" s="2"/>
      <c r="G212" s="1">
        <f>SUMIFS(
  '[1]Hoja 1'!$M:$M,
  '[1]Hoja 1'!$S:$S, $A212,
  '[1]Hoja 1'!$R:$R, "&gt;="&amp;INT($I$1),
  '[1]Hoja 1'!$R:$R, "&lt;"&amp;INT($J$1+1)
)</f>
        <v>0</v>
      </c>
      <c r="H212" s="1">
        <f t="shared" si="255"/>
        <v>0</v>
      </c>
      <c r="I212" s="1"/>
      <c r="J212" s="2"/>
      <c r="K212" s="1">
        <f>SUMIFS(
  '[1]Hoja 1'!$M:$M,
  '[1]Hoja 1'!$S:$S, $A212,
  '[1]Hoja 1'!$R:$R, "&gt;="&amp;INT($M$1),
  '[1]Hoja 1'!$R:$R, "&lt;"&amp;INT($N$1+1)
)</f>
        <v>0</v>
      </c>
      <c r="L212" s="1">
        <f t="shared" si="256"/>
        <v>0</v>
      </c>
      <c r="M212" s="9">
        <f t="shared" si="257"/>
        <v>0</v>
      </c>
      <c r="N212" s="10">
        <f t="shared" si="258"/>
        <v>0</v>
      </c>
      <c r="O212" s="1">
        <f>SUMIFS(
  '[1]Hoja 1'!$M:$M,
  '[1]Hoja 1'!$S:$S, $A212,
  '[1]Hoja 1'!$R:$R, "&gt;="&amp;INT($Q$1),
  '[1]Hoja 1'!$R:$R, "&lt;"&amp;INT($R$1+1)
)</f>
        <v>0</v>
      </c>
      <c r="P212" s="1">
        <f t="shared" si="259"/>
        <v>0</v>
      </c>
      <c r="Q212" s="9">
        <f t="shared" si="260"/>
        <v>0</v>
      </c>
      <c r="R212" s="10">
        <f t="shared" si="261"/>
        <v>0</v>
      </c>
      <c r="S212" s="1">
        <f>SUMIFS(
  '[1]Hoja 1'!$M:$M,
  '[1]Hoja 1'!$S:$S, $A212,
  '[1]Hoja 1'!$R:$R, "&gt;="&amp;INT($U$1),
  '[1]Hoja 1'!$R:$R, "&lt;"&amp;INT($V$1+1)
)</f>
        <v>0</v>
      </c>
      <c r="T212" s="1">
        <f t="shared" si="262"/>
        <v>0</v>
      </c>
      <c r="U212" s="9">
        <f t="shared" si="263"/>
        <v>0</v>
      </c>
      <c r="V212" s="10">
        <f t="shared" si="264"/>
        <v>0</v>
      </c>
      <c r="W212" s="1">
        <f>SUMIFS(
  '[1]Hoja 1'!$M:$M,
  '[1]Hoja 1'!$S:$S, $A212,
  '[1]Hoja 1'!$R:$R, "&gt;="&amp;INT($Y$1),
  '[1]Hoja 1'!$R:$R, "&lt;"&amp;INT($Z$1+1)
)</f>
        <v>0</v>
      </c>
      <c r="X212" s="1">
        <f t="shared" si="265"/>
        <v>0</v>
      </c>
      <c r="Y212" s="9">
        <f t="shared" si="266"/>
        <v>0</v>
      </c>
      <c r="Z212" s="10">
        <f t="shared" si="267"/>
        <v>0</v>
      </c>
      <c r="AA212" s="1">
        <f>SUMIFS(
  '[1]Hoja 1'!$M:$M,
  '[1]Hoja 1'!$S:$S, $A212,
  '[1]Hoja 1'!$R:$R, "&gt;="&amp;INT($AC$1),
  '[1]Hoja 1'!$R:$R, "&lt;"&amp;INT($AD$1+1)
)</f>
        <v>0</v>
      </c>
      <c r="AB212" s="1">
        <f t="shared" si="268"/>
        <v>0</v>
      </c>
      <c r="AC212" s="9">
        <f t="shared" si="269"/>
        <v>0</v>
      </c>
      <c r="AD212" s="10">
        <f t="shared" si="270"/>
        <v>0</v>
      </c>
      <c r="AE212" s="1">
        <f>SUMIFS(
  '[1]Hoja 1'!$M:$M,
  '[1]Hoja 1'!$S:$S, $A212,
  '[1]Hoja 1'!$R:$R, "&gt;="&amp;INT($AG$1),
  '[1]Hoja 1'!$R:$R, "&lt;"&amp;INT($AH$1+1)
)</f>
        <v>0</v>
      </c>
      <c r="AF212" s="1">
        <f t="shared" si="271"/>
        <v>0</v>
      </c>
      <c r="AG212" s="9">
        <f t="shared" si="272"/>
        <v>0</v>
      </c>
      <c r="AH212" s="10">
        <f t="shared" si="273"/>
        <v>0</v>
      </c>
      <c r="AI212" s="1">
        <f>SUMIFS(
  '[1]Hoja 1'!$M:$M,
  '[1]Hoja 1'!$S:$S, $A212,
  '[1]Hoja 1'!$R:$R, "&gt;="&amp;INT($AK$1),
  '[1]Hoja 1'!$R:$R, "&lt;"&amp;INT($AL$1+1)
)</f>
        <v>0</v>
      </c>
      <c r="AJ212" s="1">
        <f t="shared" si="274"/>
        <v>0</v>
      </c>
      <c r="AK212" s="9">
        <f t="shared" si="275"/>
        <v>0</v>
      </c>
      <c r="AL212" s="10">
        <f t="shared" si="276"/>
        <v>0</v>
      </c>
      <c r="AM212" s="1">
        <f>SUMIFS(
  '[1]Hoja 1'!$M:$M,
  '[1]Hoja 1'!$S:$S, $A212,
  '[1]Hoja 1'!$R:$R, "&gt;="&amp;INT($AO$1),
  '[1]Hoja 1'!$R:$R, "&lt;"&amp;INT($AP$1+1)
)</f>
        <v>0</v>
      </c>
      <c r="AN212" s="1">
        <f t="shared" si="277"/>
        <v>0</v>
      </c>
      <c r="AO212" s="9">
        <f t="shared" si="278"/>
        <v>0</v>
      </c>
      <c r="AP212" s="10">
        <f t="shared" si="279"/>
        <v>0</v>
      </c>
      <c r="AQ212" s="1">
        <f>SUMIFS(
  '[1]Hoja 1'!$M:$M,
  '[1]Hoja 1'!$S:$S, $A212,
  '[1]Hoja 1'!$R:$R, "&gt;="&amp;INT($AS$1),
  '[1]Hoja 1'!$R:$R, "&lt;"&amp;INT($AT$1+1)
)</f>
        <v>0</v>
      </c>
      <c r="AR212" s="1">
        <f t="shared" si="280"/>
        <v>0</v>
      </c>
      <c r="AS212" s="9">
        <f t="shared" si="281"/>
        <v>0</v>
      </c>
      <c r="AT212" s="10">
        <f t="shared" si="282"/>
        <v>0</v>
      </c>
      <c r="AU212" s="1">
        <f>SUMIFS(
  '[1]Hoja 1'!$M:$M,
  '[1]Hoja 1'!$S:$S, $A212,
  '[1]Hoja 1'!$R:$R, "&gt;="&amp;INT($AW$1),
  '[1]Hoja 1'!$R:$R, "&lt;"&amp;INT($AX$1+1)
)</f>
        <v>0</v>
      </c>
      <c r="AV212" s="1">
        <f t="shared" si="283"/>
        <v>0</v>
      </c>
      <c r="AW212" s="9">
        <f t="shared" si="284"/>
        <v>0</v>
      </c>
      <c r="AX212" s="10">
        <f t="shared" si="285"/>
        <v>0</v>
      </c>
      <c r="AY212" s="1">
        <f>SUMIFS(
  '[1]Hoja 1'!$M:$M,
  '[1]Hoja 1'!$S:$S, $A212,
  '[1]Hoja 1'!$R:$R, "&gt;="&amp;INT($BA$1),
  '[1]Hoja 1'!$R:$R, "&lt;"&amp;INT($BB$1+1)
)</f>
        <v>0</v>
      </c>
      <c r="AZ212" s="1">
        <f t="shared" si="286"/>
        <v>0</v>
      </c>
      <c r="BA212" s="9">
        <f t="shared" si="287"/>
        <v>0</v>
      </c>
      <c r="BB212" s="10">
        <f t="shared" si="288"/>
        <v>0</v>
      </c>
      <c r="BC212" s="1">
        <f>SUMIFS(
  '[1]Hoja 1'!$M:$M,
  '[1]Hoja 1'!$S:$S, $A212,
  '[1]Hoja 1'!$R:$R, "&gt;="&amp;INT($BE$1),
  '[1]Hoja 1'!$R:$R, "&lt;"&amp;INT($BF$1+1)
)</f>
        <v>0</v>
      </c>
      <c r="BD212" s="1">
        <f t="shared" si="289"/>
        <v>0</v>
      </c>
      <c r="BE212" s="9">
        <f t="shared" si="290"/>
        <v>0</v>
      </c>
      <c r="BF212" s="10">
        <f t="shared" si="291"/>
        <v>0</v>
      </c>
      <c r="BG212" s="1">
        <f>SUMIFS(
  '[1]Hoja 1'!$M:$M,
  '[1]Hoja 1'!$S:$S, $A212,
  '[1]Hoja 1'!$R:$R, "&gt;="&amp;INT($BI$1),
  '[1]Hoja 1'!$R:$R, "&lt;"&amp;INT($BJ$1+1)
)</f>
        <v>0</v>
      </c>
      <c r="BH212" s="1">
        <f t="shared" si="292"/>
        <v>0</v>
      </c>
      <c r="BI212" s="9">
        <f t="shared" si="293"/>
        <v>0</v>
      </c>
      <c r="BJ212" s="10">
        <f t="shared" si="294"/>
        <v>0</v>
      </c>
      <c r="BK212" s="1">
        <f>SUMIFS(
  '[1]Hoja 1'!$M:$M,
  '[1]Hoja 1'!$S:$S, $A212,
  '[1]Hoja 1'!$R:$R, "&gt;="&amp;INT($BM$1),
  '[1]Hoja 1'!$R:$R, "&lt;"&amp;INT($BN$1+1)
)</f>
        <v>0</v>
      </c>
      <c r="BL212" s="1">
        <f t="shared" si="295"/>
        <v>0</v>
      </c>
      <c r="BM212" s="9">
        <f t="shared" si="296"/>
        <v>0</v>
      </c>
      <c r="BN212" s="10">
        <f t="shared" si="297"/>
        <v>0</v>
      </c>
      <c r="BO212" s="1">
        <f>SUMIFS(
  '[1]Hoja 1'!$M:$M,
  '[1]Hoja 1'!$S:$S, $A212,
  '[1]Hoja 1'!$R:$R, "&gt;="&amp;INT($BQ$1),
  '[1]Hoja 1'!$R:$R, "&lt;"&amp;INT($BR$1+1)
)</f>
        <v>0</v>
      </c>
      <c r="BP212" s="1">
        <f t="shared" si="298"/>
        <v>0</v>
      </c>
      <c r="BQ212" s="9">
        <f t="shared" si="299"/>
        <v>0</v>
      </c>
      <c r="BR212" s="10">
        <f t="shared" si="300"/>
        <v>0</v>
      </c>
      <c r="BS212" s="1">
        <f>SUMIFS(
  '[1]Hoja 1'!$M:$M,
  '[1]Hoja 1'!$S:$S, $A212,
  '[1]Hoja 1'!$R:$R, "&gt;="&amp;INT($BU$1),
  '[1]Hoja 1'!$R:$R, "&lt;"&amp;INT($BV$1+1)
)</f>
        <v>0</v>
      </c>
      <c r="BT212" s="1">
        <f t="shared" si="301"/>
        <v>0</v>
      </c>
      <c r="BU212" s="9">
        <f t="shared" si="302"/>
        <v>0</v>
      </c>
      <c r="BV212" s="10">
        <f t="shared" si="303"/>
        <v>0</v>
      </c>
      <c r="BW212" s="1">
        <f>SUMIFS(
  '[1]Hoja 1'!$M:$M,
  '[1]Hoja 1'!$S:$S, $A212,
  '[1]Hoja 1'!$R:$R, "&gt;="&amp;INT($BY$1),
  '[1]Hoja 1'!$R:$R, "&lt;"&amp;INT($BZ$1+1)
)</f>
        <v>0</v>
      </c>
      <c r="BX212" s="1">
        <f t="shared" si="304"/>
        <v>0</v>
      </c>
      <c r="BY212" s="9">
        <f t="shared" si="305"/>
        <v>0</v>
      </c>
      <c r="BZ212" s="10">
        <f t="shared" si="306"/>
        <v>0</v>
      </c>
      <c r="CA212" s="1">
        <f>SUMIFS(
  '[1]Hoja 1'!$M:$M,
  '[1]Hoja 1'!$S:$S, $A212,
  '[1]Hoja 1'!$R:$R, "&gt;="&amp;INT($CC$1),
  '[1]Hoja 1'!$R:$R, "&lt;"&amp;INT($CD$1+1)
)</f>
        <v>0</v>
      </c>
      <c r="CB212" s="1">
        <f t="shared" si="307"/>
        <v>0</v>
      </c>
      <c r="CC212" s="9">
        <f t="shared" si="308"/>
        <v>0</v>
      </c>
      <c r="CD212" s="10">
        <f t="shared" si="309"/>
        <v>0</v>
      </c>
      <c r="CE212" s="1">
        <f>SUMIFS(
  '[1]Hoja 1'!$M:$M,
  '[1]Hoja 1'!$S:$S, $A212,
  '[1]Hoja 1'!$R:$R, "&gt;="&amp;INT($CG$1),
  '[1]Hoja 1'!$R:$R, "&lt;"&amp;INT($CH$1+1)
)</f>
        <v>0</v>
      </c>
      <c r="CF212" s="1">
        <f t="shared" si="310"/>
        <v>0</v>
      </c>
      <c r="CG212" s="9">
        <f t="shared" si="311"/>
        <v>0</v>
      </c>
      <c r="CH212" s="10">
        <f t="shared" si="312"/>
        <v>0</v>
      </c>
      <c r="CI212" s="1">
        <f>SUMIFS(
  '[1]Hoja 1'!$M:$M,
  '[1]Hoja 1'!$S:$S, $A212,
  '[1]Hoja 1'!$R:$R, "&gt;="&amp;INT($CK$1),
  '[1]Hoja 1'!$R:$R, "&lt;"&amp;INT($CL$1+1)
)</f>
        <v>0</v>
      </c>
      <c r="CJ212" s="1">
        <f t="shared" si="313"/>
        <v>0</v>
      </c>
      <c r="CK212" s="9">
        <f t="shared" si="314"/>
        <v>0</v>
      </c>
      <c r="CL212" s="10">
        <f t="shared" si="315"/>
        <v>0</v>
      </c>
      <c r="CM212" s="1">
        <f>SUMIFS(
  '[1]Hoja 1'!$M:$M,
  '[1]Hoja 1'!$S:$S, $A212,
  '[1]Hoja 1'!$R:$R, "&gt;="&amp;INT($CO$1),
  '[1]Hoja 1'!$R:$R, "&lt;"&amp;INT($CP$1+1)
)</f>
        <v>0</v>
      </c>
      <c r="CN212" s="1">
        <f t="shared" si="316"/>
        <v>0</v>
      </c>
      <c r="CO212" s="9">
        <f t="shared" si="317"/>
        <v>0</v>
      </c>
      <c r="CP212" s="10">
        <f t="shared" si="318"/>
        <v>0</v>
      </c>
      <c r="CQ212" s="1">
        <f>SUMIFS(
  '[1]Hoja 1'!$M:$M,
  '[1]Hoja 1'!$S:$S, $A212,
  '[1]Hoja 1'!$R:$R, "&gt;="&amp;INT($CS$1),
  '[1]Hoja 1'!$R:$R, "&lt;"&amp;INT($CT$1+1)
)</f>
        <v>0</v>
      </c>
      <c r="CR212" s="1">
        <f t="shared" si="319"/>
        <v>0</v>
      </c>
      <c r="CS212" s="9">
        <f t="shared" si="320"/>
        <v>0</v>
      </c>
      <c r="CT212" s="10">
        <f t="shared" si="321"/>
        <v>0</v>
      </c>
      <c r="CU212" s="1">
        <f>SUMIFS(
  '[1]Hoja 1'!$M:$M,
  '[1]Hoja 1'!$S:$S, $A212,
  '[1]Hoja 1'!$R:$R, "&gt;="&amp;INT($CW$1),
  '[1]Hoja 1'!$R:$R, "&lt;"&amp;INT($CX$1+1)
)</f>
        <v>0</v>
      </c>
      <c r="CV212" s="1">
        <f t="shared" si="322"/>
        <v>0</v>
      </c>
      <c r="CW212" s="9">
        <f t="shared" si="323"/>
        <v>0</v>
      </c>
      <c r="CX212" s="10">
        <f t="shared" si="324"/>
        <v>0</v>
      </c>
      <c r="CY212" s="1">
        <f>SUMIFS(
  '[1]Hoja 1'!$M:$M,
  '[1]Hoja 1'!$S:$S, $A212,
  '[1]Hoja 1'!$R:$R, "&gt;="&amp;INT($DA$1),
  '[1]Hoja 1'!$R:$R, "&lt;"&amp;INT($DB$1+1)
)</f>
        <v>0</v>
      </c>
      <c r="CZ212" s="1">
        <f t="shared" si="325"/>
        <v>0</v>
      </c>
      <c r="DA212" s="9">
        <f t="shared" si="326"/>
        <v>0</v>
      </c>
      <c r="DB212" s="10">
        <f t="shared" si="327"/>
        <v>0</v>
      </c>
      <c r="DC212" s="1">
        <f>SUMIFS(
  '[1]Hoja 1'!$M:$M,
  '[1]Hoja 1'!$S:$S, $A212,
  '[1]Hoja 1'!$R:$R, "&gt;="&amp;INT($DE$1),
  '[1]Hoja 1'!$R:$R, "&lt;"&amp;INT($DF$1+1)
)</f>
        <v>0</v>
      </c>
      <c r="DD212" s="1">
        <f t="shared" si="328"/>
        <v>0</v>
      </c>
      <c r="DE212" s="9">
        <f t="shared" si="329"/>
        <v>0</v>
      </c>
      <c r="DF212" s="10">
        <f t="shared" si="330"/>
        <v>0</v>
      </c>
      <c r="DG212" s="1">
        <f>SUMIFS(
  '[1]Hoja 1'!$M:$M,
  '[1]Hoja 1'!$S:$S, $A212,
  '[1]Hoja 1'!$R:$R, "&gt;="&amp;INT($DI$1),
  '[1]Hoja 1'!$R:$R, "&lt;"&amp;INT($DJ$1+1)
)</f>
        <v>0</v>
      </c>
      <c r="DH212" s="1">
        <f t="shared" si="331"/>
        <v>0</v>
      </c>
      <c r="DI212" s="9">
        <f t="shared" si="332"/>
        <v>0</v>
      </c>
      <c r="DJ212" s="10">
        <f t="shared" si="333"/>
        <v>0</v>
      </c>
      <c r="DK212" s="1">
        <f>SUMIFS(
  '[1]Hoja 1'!$M:$M,
  '[1]Hoja 1'!$S:$S, $A212,
  '[1]Hoja 1'!$R:$R, "&gt;="&amp;INT($DM$1),
  '[1]Hoja 1'!$R:$R, "&lt;"&amp;INT($DN$1+1)
)</f>
        <v>0</v>
      </c>
      <c r="DL212" s="1">
        <f t="shared" si="334"/>
        <v>0</v>
      </c>
      <c r="DM212" s="9">
        <f t="shared" si="335"/>
        <v>0</v>
      </c>
      <c r="DN212" s="10">
        <f t="shared" si="336"/>
        <v>0</v>
      </c>
      <c r="DO212" s="1">
        <f>SUMIFS(
  '[1]Hoja 1'!$M:$M,
  '[1]Hoja 1'!$S:$S, $A212,
  '[1]Hoja 1'!$R:$R, "&gt;="&amp;INT($DQ$1),
  '[1]Hoja 1'!$R:$R, "&lt;"&amp;INT($DR$1+1)
)</f>
        <v>0</v>
      </c>
      <c r="DP212" s="1">
        <f t="shared" si="337"/>
        <v>0</v>
      </c>
      <c r="DQ212" s="9">
        <f t="shared" si="338"/>
        <v>0</v>
      </c>
      <c r="DR212" s="10">
        <f t="shared" si="339"/>
        <v>0</v>
      </c>
    </row>
    <row r="213" spans="1:122" x14ac:dyDescent="0.25">
      <c r="A213" s="5">
        <v>236010</v>
      </c>
      <c r="B213" s="6" t="s">
        <v>209</v>
      </c>
      <c r="C213" s="1">
        <f>SUMIFS(
  '[1]Hoja 1'!$M:$M,
  '[1]Hoja 1'!$S:$S, $A213,
  '[1]Hoja 1'!$R:$R, "&gt;="&amp;INT($E$1),
  '[1]Hoja 1'!$R:$R, "&lt;"&amp;INT($F$1+1)
)</f>
        <v>0</v>
      </c>
      <c r="D213" s="1" t="str">
        <f>""</f>
        <v/>
      </c>
      <c r="F213" s="2"/>
      <c r="G213" s="1">
        <f>SUMIFS(
  '[1]Hoja 1'!$M:$M,
  '[1]Hoja 1'!$S:$S, $A213,
  '[1]Hoja 1'!$R:$R, "&gt;="&amp;INT($I$1),
  '[1]Hoja 1'!$R:$R, "&lt;"&amp;INT($J$1+1)
)</f>
        <v>0</v>
      </c>
      <c r="H213" s="1">
        <f t="shared" si="255"/>
        <v>0</v>
      </c>
      <c r="I213" s="1"/>
      <c r="J213" s="2"/>
      <c r="K213" s="1">
        <f>SUMIFS(
  '[1]Hoja 1'!$M:$M,
  '[1]Hoja 1'!$S:$S, $A213,
  '[1]Hoja 1'!$R:$R, "&gt;="&amp;INT($M$1),
  '[1]Hoja 1'!$R:$R, "&lt;"&amp;INT($N$1+1)
)</f>
        <v>0</v>
      </c>
      <c r="L213" s="1">
        <f t="shared" si="256"/>
        <v>0</v>
      </c>
      <c r="M213" s="9">
        <f t="shared" si="257"/>
        <v>0</v>
      </c>
      <c r="N213" s="10">
        <f t="shared" si="258"/>
        <v>0</v>
      </c>
      <c r="O213" s="1">
        <f>SUMIFS(
  '[1]Hoja 1'!$M:$M,
  '[1]Hoja 1'!$S:$S, $A213,
  '[1]Hoja 1'!$R:$R, "&gt;="&amp;INT($Q$1),
  '[1]Hoja 1'!$R:$R, "&lt;"&amp;INT($R$1+1)
)</f>
        <v>0</v>
      </c>
      <c r="P213" s="1">
        <f t="shared" si="259"/>
        <v>0</v>
      </c>
      <c r="Q213" s="9">
        <f t="shared" si="260"/>
        <v>0</v>
      </c>
      <c r="R213" s="10">
        <f t="shared" si="261"/>
        <v>0</v>
      </c>
      <c r="S213" s="1">
        <f>SUMIFS(
  '[1]Hoja 1'!$M:$M,
  '[1]Hoja 1'!$S:$S, $A213,
  '[1]Hoja 1'!$R:$R, "&gt;="&amp;INT($U$1),
  '[1]Hoja 1'!$R:$R, "&lt;"&amp;INT($V$1+1)
)</f>
        <v>0</v>
      </c>
      <c r="T213" s="1">
        <f t="shared" si="262"/>
        <v>0</v>
      </c>
      <c r="U213" s="9">
        <f t="shared" si="263"/>
        <v>0</v>
      </c>
      <c r="V213" s="10">
        <f t="shared" si="264"/>
        <v>0</v>
      </c>
      <c r="W213" s="1">
        <f>SUMIFS(
  '[1]Hoja 1'!$M:$M,
  '[1]Hoja 1'!$S:$S, $A213,
  '[1]Hoja 1'!$R:$R, "&gt;="&amp;INT($Y$1),
  '[1]Hoja 1'!$R:$R, "&lt;"&amp;INT($Z$1+1)
)</f>
        <v>0</v>
      </c>
      <c r="X213" s="1">
        <f t="shared" si="265"/>
        <v>0</v>
      </c>
      <c r="Y213" s="9">
        <f t="shared" si="266"/>
        <v>0</v>
      </c>
      <c r="Z213" s="10">
        <f t="shared" si="267"/>
        <v>0</v>
      </c>
      <c r="AA213" s="1">
        <f>SUMIFS(
  '[1]Hoja 1'!$M:$M,
  '[1]Hoja 1'!$S:$S, $A213,
  '[1]Hoja 1'!$R:$R, "&gt;="&amp;INT($AC$1),
  '[1]Hoja 1'!$R:$R, "&lt;"&amp;INT($AD$1+1)
)</f>
        <v>0</v>
      </c>
      <c r="AB213" s="1">
        <f t="shared" si="268"/>
        <v>0</v>
      </c>
      <c r="AC213" s="9">
        <f t="shared" si="269"/>
        <v>0</v>
      </c>
      <c r="AD213" s="10">
        <f t="shared" si="270"/>
        <v>0</v>
      </c>
      <c r="AE213" s="1">
        <f>SUMIFS(
  '[1]Hoja 1'!$M:$M,
  '[1]Hoja 1'!$S:$S, $A213,
  '[1]Hoja 1'!$R:$R, "&gt;="&amp;INT($AG$1),
  '[1]Hoja 1'!$R:$R, "&lt;"&amp;INT($AH$1+1)
)</f>
        <v>0</v>
      </c>
      <c r="AF213" s="1">
        <f t="shared" si="271"/>
        <v>0</v>
      </c>
      <c r="AG213" s="9">
        <f t="shared" si="272"/>
        <v>0</v>
      </c>
      <c r="AH213" s="10">
        <f t="shared" si="273"/>
        <v>0</v>
      </c>
      <c r="AI213" s="1">
        <f>SUMIFS(
  '[1]Hoja 1'!$M:$M,
  '[1]Hoja 1'!$S:$S, $A213,
  '[1]Hoja 1'!$R:$R, "&gt;="&amp;INT($AK$1),
  '[1]Hoja 1'!$R:$R, "&lt;"&amp;INT($AL$1+1)
)</f>
        <v>0</v>
      </c>
      <c r="AJ213" s="1">
        <f t="shared" si="274"/>
        <v>0</v>
      </c>
      <c r="AK213" s="9">
        <f t="shared" si="275"/>
        <v>0</v>
      </c>
      <c r="AL213" s="10">
        <f t="shared" si="276"/>
        <v>0</v>
      </c>
      <c r="AM213" s="1">
        <f>SUMIFS(
  '[1]Hoja 1'!$M:$M,
  '[1]Hoja 1'!$S:$S, $A213,
  '[1]Hoja 1'!$R:$R, "&gt;="&amp;INT($AO$1),
  '[1]Hoja 1'!$R:$R, "&lt;"&amp;INT($AP$1+1)
)</f>
        <v>0</v>
      </c>
      <c r="AN213" s="1">
        <f t="shared" si="277"/>
        <v>0</v>
      </c>
      <c r="AO213" s="9">
        <f t="shared" si="278"/>
        <v>0</v>
      </c>
      <c r="AP213" s="10">
        <f t="shared" si="279"/>
        <v>0</v>
      </c>
      <c r="AQ213" s="1">
        <f>SUMIFS(
  '[1]Hoja 1'!$M:$M,
  '[1]Hoja 1'!$S:$S, $A213,
  '[1]Hoja 1'!$R:$R, "&gt;="&amp;INT($AS$1),
  '[1]Hoja 1'!$R:$R, "&lt;"&amp;INT($AT$1+1)
)</f>
        <v>0</v>
      </c>
      <c r="AR213" s="1">
        <f t="shared" si="280"/>
        <v>0</v>
      </c>
      <c r="AS213" s="9">
        <f t="shared" si="281"/>
        <v>0</v>
      </c>
      <c r="AT213" s="10">
        <f t="shared" si="282"/>
        <v>0</v>
      </c>
      <c r="AU213" s="1">
        <f>SUMIFS(
  '[1]Hoja 1'!$M:$M,
  '[1]Hoja 1'!$S:$S, $A213,
  '[1]Hoja 1'!$R:$R, "&gt;="&amp;INT($AW$1),
  '[1]Hoja 1'!$R:$R, "&lt;"&amp;INT($AX$1+1)
)</f>
        <v>0</v>
      </c>
      <c r="AV213" s="1">
        <f t="shared" si="283"/>
        <v>0</v>
      </c>
      <c r="AW213" s="9">
        <f t="shared" si="284"/>
        <v>0</v>
      </c>
      <c r="AX213" s="10">
        <f t="shared" si="285"/>
        <v>0</v>
      </c>
      <c r="AY213" s="1">
        <f>SUMIFS(
  '[1]Hoja 1'!$M:$M,
  '[1]Hoja 1'!$S:$S, $A213,
  '[1]Hoja 1'!$R:$R, "&gt;="&amp;INT($BA$1),
  '[1]Hoja 1'!$R:$R, "&lt;"&amp;INT($BB$1+1)
)</f>
        <v>0</v>
      </c>
      <c r="AZ213" s="1">
        <f t="shared" si="286"/>
        <v>0</v>
      </c>
      <c r="BA213" s="9">
        <f t="shared" si="287"/>
        <v>0</v>
      </c>
      <c r="BB213" s="10">
        <f t="shared" si="288"/>
        <v>0</v>
      </c>
      <c r="BC213" s="1">
        <f>SUMIFS(
  '[1]Hoja 1'!$M:$M,
  '[1]Hoja 1'!$S:$S, $A213,
  '[1]Hoja 1'!$R:$R, "&gt;="&amp;INT($BE$1),
  '[1]Hoja 1'!$R:$R, "&lt;"&amp;INT($BF$1+1)
)</f>
        <v>0</v>
      </c>
      <c r="BD213" s="1">
        <f t="shared" si="289"/>
        <v>0</v>
      </c>
      <c r="BE213" s="9">
        <f t="shared" si="290"/>
        <v>0</v>
      </c>
      <c r="BF213" s="10">
        <f t="shared" si="291"/>
        <v>0</v>
      </c>
      <c r="BG213" s="1">
        <f>SUMIFS(
  '[1]Hoja 1'!$M:$M,
  '[1]Hoja 1'!$S:$S, $A213,
  '[1]Hoja 1'!$R:$R, "&gt;="&amp;INT($BI$1),
  '[1]Hoja 1'!$R:$R, "&lt;"&amp;INT($BJ$1+1)
)</f>
        <v>0</v>
      </c>
      <c r="BH213" s="1">
        <f t="shared" si="292"/>
        <v>0</v>
      </c>
      <c r="BI213" s="9">
        <f t="shared" si="293"/>
        <v>0</v>
      </c>
      <c r="BJ213" s="10">
        <f t="shared" si="294"/>
        <v>0</v>
      </c>
      <c r="BK213" s="1">
        <f>SUMIFS(
  '[1]Hoja 1'!$M:$M,
  '[1]Hoja 1'!$S:$S, $A213,
  '[1]Hoja 1'!$R:$R, "&gt;="&amp;INT($BM$1),
  '[1]Hoja 1'!$R:$R, "&lt;"&amp;INT($BN$1+1)
)</f>
        <v>0</v>
      </c>
      <c r="BL213" s="1">
        <f t="shared" si="295"/>
        <v>0</v>
      </c>
      <c r="BM213" s="9">
        <f t="shared" si="296"/>
        <v>0</v>
      </c>
      <c r="BN213" s="10">
        <f t="shared" si="297"/>
        <v>0</v>
      </c>
      <c r="BO213" s="1">
        <f>SUMIFS(
  '[1]Hoja 1'!$M:$M,
  '[1]Hoja 1'!$S:$S, $A213,
  '[1]Hoja 1'!$R:$R, "&gt;="&amp;INT($BQ$1),
  '[1]Hoja 1'!$R:$R, "&lt;"&amp;INT($BR$1+1)
)</f>
        <v>0</v>
      </c>
      <c r="BP213" s="1">
        <f t="shared" si="298"/>
        <v>0</v>
      </c>
      <c r="BQ213" s="9">
        <f t="shared" si="299"/>
        <v>0</v>
      </c>
      <c r="BR213" s="10">
        <f t="shared" si="300"/>
        <v>0</v>
      </c>
      <c r="BS213" s="1">
        <f>SUMIFS(
  '[1]Hoja 1'!$M:$M,
  '[1]Hoja 1'!$S:$S, $A213,
  '[1]Hoja 1'!$R:$R, "&gt;="&amp;INT($BU$1),
  '[1]Hoja 1'!$R:$R, "&lt;"&amp;INT($BV$1+1)
)</f>
        <v>0</v>
      </c>
      <c r="BT213" s="1">
        <f t="shared" si="301"/>
        <v>0</v>
      </c>
      <c r="BU213" s="9">
        <f t="shared" si="302"/>
        <v>0</v>
      </c>
      <c r="BV213" s="10">
        <f t="shared" si="303"/>
        <v>0</v>
      </c>
      <c r="BW213" s="1">
        <f>SUMIFS(
  '[1]Hoja 1'!$M:$M,
  '[1]Hoja 1'!$S:$S, $A213,
  '[1]Hoja 1'!$R:$R, "&gt;="&amp;INT($BY$1),
  '[1]Hoja 1'!$R:$R, "&lt;"&amp;INT($BZ$1+1)
)</f>
        <v>0</v>
      </c>
      <c r="BX213" s="1">
        <f t="shared" si="304"/>
        <v>0</v>
      </c>
      <c r="BY213" s="9">
        <f t="shared" si="305"/>
        <v>0</v>
      </c>
      <c r="BZ213" s="10">
        <f t="shared" si="306"/>
        <v>0</v>
      </c>
      <c r="CA213" s="1">
        <f>SUMIFS(
  '[1]Hoja 1'!$M:$M,
  '[1]Hoja 1'!$S:$S, $A213,
  '[1]Hoja 1'!$R:$R, "&gt;="&amp;INT($CC$1),
  '[1]Hoja 1'!$R:$R, "&lt;"&amp;INT($CD$1+1)
)</f>
        <v>0</v>
      </c>
      <c r="CB213" s="1">
        <f t="shared" si="307"/>
        <v>0</v>
      </c>
      <c r="CC213" s="9">
        <f t="shared" si="308"/>
        <v>0</v>
      </c>
      <c r="CD213" s="10">
        <f t="shared" si="309"/>
        <v>0</v>
      </c>
      <c r="CE213" s="1">
        <f>SUMIFS(
  '[1]Hoja 1'!$M:$M,
  '[1]Hoja 1'!$S:$S, $A213,
  '[1]Hoja 1'!$R:$R, "&gt;="&amp;INT($CG$1),
  '[1]Hoja 1'!$R:$R, "&lt;"&amp;INT($CH$1+1)
)</f>
        <v>0</v>
      </c>
      <c r="CF213" s="1">
        <f t="shared" si="310"/>
        <v>0</v>
      </c>
      <c r="CG213" s="9">
        <f t="shared" si="311"/>
        <v>0</v>
      </c>
      <c r="CH213" s="10">
        <f t="shared" si="312"/>
        <v>0</v>
      </c>
      <c r="CI213" s="1">
        <f>SUMIFS(
  '[1]Hoja 1'!$M:$M,
  '[1]Hoja 1'!$S:$S, $A213,
  '[1]Hoja 1'!$R:$R, "&gt;="&amp;INT($CK$1),
  '[1]Hoja 1'!$R:$R, "&lt;"&amp;INT($CL$1+1)
)</f>
        <v>0</v>
      </c>
      <c r="CJ213" s="1">
        <f t="shared" si="313"/>
        <v>0</v>
      </c>
      <c r="CK213" s="9">
        <f t="shared" si="314"/>
        <v>0</v>
      </c>
      <c r="CL213" s="10">
        <f t="shared" si="315"/>
        <v>0</v>
      </c>
      <c r="CM213" s="1">
        <f>SUMIFS(
  '[1]Hoja 1'!$M:$M,
  '[1]Hoja 1'!$S:$S, $A213,
  '[1]Hoja 1'!$R:$R, "&gt;="&amp;INT($CO$1),
  '[1]Hoja 1'!$R:$R, "&lt;"&amp;INT($CP$1+1)
)</f>
        <v>0</v>
      </c>
      <c r="CN213" s="1">
        <f t="shared" si="316"/>
        <v>0</v>
      </c>
      <c r="CO213" s="9">
        <f t="shared" si="317"/>
        <v>0</v>
      </c>
      <c r="CP213" s="10">
        <f t="shared" si="318"/>
        <v>0</v>
      </c>
      <c r="CQ213" s="1">
        <f>SUMIFS(
  '[1]Hoja 1'!$M:$M,
  '[1]Hoja 1'!$S:$S, $A213,
  '[1]Hoja 1'!$R:$R, "&gt;="&amp;INT($CS$1),
  '[1]Hoja 1'!$R:$R, "&lt;"&amp;INT($CT$1+1)
)</f>
        <v>0</v>
      </c>
      <c r="CR213" s="1">
        <f t="shared" si="319"/>
        <v>0</v>
      </c>
      <c r="CS213" s="9">
        <f t="shared" si="320"/>
        <v>0</v>
      </c>
      <c r="CT213" s="10">
        <f t="shared" si="321"/>
        <v>0</v>
      </c>
      <c r="CU213" s="1">
        <f>SUMIFS(
  '[1]Hoja 1'!$M:$M,
  '[1]Hoja 1'!$S:$S, $A213,
  '[1]Hoja 1'!$R:$R, "&gt;="&amp;INT($CW$1),
  '[1]Hoja 1'!$R:$R, "&lt;"&amp;INT($CX$1+1)
)</f>
        <v>0</v>
      </c>
      <c r="CV213" s="1">
        <f t="shared" si="322"/>
        <v>0</v>
      </c>
      <c r="CW213" s="9">
        <f t="shared" si="323"/>
        <v>0</v>
      </c>
      <c r="CX213" s="10">
        <f t="shared" si="324"/>
        <v>0</v>
      </c>
      <c r="CY213" s="1">
        <f>SUMIFS(
  '[1]Hoja 1'!$M:$M,
  '[1]Hoja 1'!$S:$S, $A213,
  '[1]Hoja 1'!$R:$R, "&gt;="&amp;INT($DA$1),
  '[1]Hoja 1'!$R:$R, "&lt;"&amp;INT($DB$1+1)
)</f>
        <v>0</v>
      </c>
      <c r="CZ213" s="1">
        <f t="shared" si="325"/>
        <v>0</v>
      </c>
      <c r="DA213" s="9">
        <f t="shared" si="326"/>
        <v>0</v>
      </c>
      <c r="DB213" s="10">
        <f t="shared" si="327"/>
        <v>0</v>
      </c>
      <c r="DC213" s="1">
        <f>SUMIFS(
  '[1]Hoja 1'!$M:$M,
  '[1]Hoja 1'!$S:$S, $A213,
  '[1]Hoja 1'!$R:$R, "&gt;="&amp;INT($DE$1),
  '[1]Hoja 1'!$R:$R, "&lt;"&amp;INT($DF$1+1)
)</f>
        <v>0</v>
      </c>
      <c r="DD213" s="1">
        <f t="shared" si="328"/>
        <v>0</v>
      </c>
      <c r="DE213" s="9">
        <f t="shared" si="329"/>
        <v>0</v>
      </c>
      <c r="DF213" s="10">
        <f t="shared" si="330"/>
        <v>0</v>
      </c>
      <c r="DG213" s="1">
        <f>SUMIFS(
  '[1]Hoja 1'!$M:$M,
  '[1]Hoja 1'!$S:$S, $A213,
  '[1]Hoja 1'!$R:$R, "&gt;="&amp;INT($DI$1),
  '[1]Hoja 1'!$R:$R, "&lt;"&amp;INT($DJ$1+1)
)</f>
        <v>0</v>
      </c>
      <c r="DH213" s="1">
        <f t="shared" si="331"/>
        <v>0</v>
      </c>
      <c r="DI213" s="9">
        <f t="shared" si="332"/>
        <v>0</v>
      </c>
      <c r="DJ213" s="10">
        <f t="shared" si="333"/>
        <v>0</v>
      </c>
      <c r="DK213" s="1">
        <f>SUMIFS(
  '[1]Hoja 1'!$M:$M,
  '[1]Hoja 1'!$S:$S, $A213,
  '[1]Hoja 1'!$R:$R, "&gt;="&amp;INT($DM$1),
  '[1]Hoja 1'!$R:$R, "&lt;"&amp;INT($DN$1+1)
)</f>
        <v>0</v>
      </c>
      <c r="DL213" s="1">
        <f t="shared" si="334"/>
        <v>0</v>
      </c>
      <c r="DM213" s="9">
        <f t="shared" si="335"/>
        <v>0</v>
      </c>
      <c r="DN213" s="10">
        <f t="shared" si="336"/>
        <v>0</v>
      </c>
      <c r="DO213" s="1">
        <f>SUMIFS(
  '[1]Hoja 1'!$M:$M,
  '[1]Hoja 1'!$S:$S, $A213,
  '[1]Hoja 1'!$R:$R, "&gt;="&amp;INT($DQ$1),
  '[1]Hoja 1'!$R:$R, "&lt;"&amp;INT($DR$1+1)
)</f>
        <v>0</v>
      </c>
      <c r="DP213" s="1">
        <f t="shared" si="337"/>
        <v>0</v>
      </c>
      <c r="DQ213" s="9">
        <f t="shared" si="338"/>
        <v>0</v>
      </c>
      <c r="DR213" s="10">
        <f t="shared" si="339"/>
        <v>0</v>
      </c>
    </row>
    <row r="214" spans="1:122" x14ac:dyDescent="0.25">
      <c r="A214" s="5">
        <v>236011</v>
      </c>
      <c r="B214" s="6" t="s">
        <v>210</v>
      </c>
      <c r="C214" s="1">
        <f>SUMIFS(
  '[1]Hoja 1'!$M:$M,
  '[1]Hoja 1'!$S:$S, $A214,
  '[1]Hoja 1'!$R:$R, "&gt;="&amp;INT($E$1),
  '[1]Hoja 1'!$R:$R, "&lt;"&amp;INT($F$1+1)
)</f>
        <v>1</v>
      </c>
      <c r="D214" s="1" t="str">
        <f>""</f>
        <v/>
      </c>
      <c r="F214" s="2"/>
      <c r="G214" s="1">
        <f>SUMIFS(
  '[1]Hoja 1'!$M:$M,
  '[1]Hoja 1'!$S:$S, $A214,
  '[1]Hoja 1'!$R:$R, "&gt;="&amp;INT($I$1),
  '[1]Hoja 1'!$R:$R, "&lt;"&amp;INT($J$1+1)
)</f>
        <v>0</v>
      </c>
      <c r="H214" s="1">
        <f t="shared" si="255"/>
        <v>0.5</v>
      </c>
      <c r="I214" s="1"/>
      <c r="J214" s="2"/>
      <c r="K214" s="1">
        <f>SUMIFS(
  '[1]Hoja 1'!$M:$M,
  '[1]Hoja 1'!$S:$S, $A214,
  '[1]Hoja 1'!$R:$R, "&gt;="&amp;INT($M$1),
  '[1]Hoja 1'!$R:$R, "&lt;"&amp;INT($N$1+1)
)</f>
        <v>0</v>
      </c>
      <c r="L214" s="1">
        <f t="shared" si="256"/>
        <v>0</v>
      </c>
      <c r="M214" s="9">
        <f t="shared" si="257"/>
        <v>-0.69296464556281656</v>
      </c>
      <c r="N214" s="10">
        <f t="shared" si="258"/>
        <v>0.69296464556281656</v>
      </c>
      <c r="O214" s="1">
        <f>SUMIFS(
  '[1]Hoja 1'!$M:$M,
  '[1]Hoja 1'!$S:$S, $A214,
  '[1]Hoja 1'!$R:$R, "&gt;="&amp;INT($Q$1),
  '[1]Hoja 1'!$R:$R, "&lt;"&amp;INT($R$1+1)
)</f>
        <v>0</v>
      </c>
      <c r="P214" s="1">
        <f t="shared" si="259"/>
        <v>0</v>
      </c>
      <c r="Q214" s="9">
        <f t="shared" si="260"/>
        <v>-0.56580326380583335</v>
      </c>
      <c r="R214" s="10">
        <f t="shared" si="261"/>
        <v>0.56580326380583335</v>
      </c>
      <c r="S214" s="1">
        <f>SUMIFS(
  '[1]Hoja 1'!$M:$M,
  '[1]Hoja 1'!$S:$S, $A214,
  '[1]Hoja 1'!$R:$R, "&gt;="&amp;INT($U$1),
  '[1]Hoja 1'!$R:$R, "&lt;"&amp;INT($V$1+1)
)</f>
        <v>0</v>
      </c>
      <c r="T214" s="1">
        <f t="shared" si="262"/>
        <v>0</v>
      </c>
      <c r="U214" s="9">
        <f t="shared" si="263"/>
        <v>-0.49</v>
      </c>
      <c r="V214" s="10">
        <f t="shared" si="264"/>
        <v>0.49</v>
      </c>
      <c r="W214" s="1">
        <f>SUMIFS(
  '[1]Hoja 1'!$M:$M,
  '[1]Hoja 1'!$S:$S, $A214,
  '[1]Hoja 1'!$R:$R, "&gt;="&amp;INT($Y$1),
  '[1]Hoja 1'!$R:$R, "&lt;"&amp;INT($Z$1+1)
)</f>
        <v>0</v>
      </c>
      <c r="X214" s="1">
        <f t="shared" si="265"/>
        <v>0</v>
      </c>
      <c r="Y214" s="9">
        <f t="shared" si="266"/>
        <v>0</v>
      </c>
      <c r="Z214" s="10">
        <f t="shared" si="267"/>
        <v>0</v>
      </c>
      <c r="AA214" s="1">
        <f>SUMIFS(
  '[1]Hoja 1'!$M:$M,
  '[1]Hoja 1'!$S:$S, $A214,
  '[1]Hoja 1'!$R:$R, "&gt;="&amp;INT($AC$1),
  '[1]Hoja 1'!$R:$R, "&lt;"&amp;INT($AD$1+1)
)</f>
        <v>0</v>
      </c>
      <c r="AB214" s="1">
        <f t="shared" si="268"/>
        <v>0</v>
      </c>
      <c r="AC214" s="9">
        <f t="shared" si="269"/>
        <v>0</v>
      </c>
      <c r="AD214" s="10">
        <f t="shared" si="270"/>
        <v>0</v>
      </c>
      <c r="AE214" s="1">
        <f>SUMIFS(
  '[1]Hoja 1'!$M:$M,
  '[1]Hoja 1'!$S:$S, $A214,
  '[1]Hoja 1'!$R:$R, "&gt;="&amp;INT($AG$1),
  '[1]Hoja 1'!$R:$R, "&lt;"&amp;INT($AH$1+1)
)</f>
        <v>0</v>
      </c>
      <c r="AF214" s="1">
        <f t="shared" si="271"/>
        <v>0</v>
      </c>
      <c r="AG214" s="9">
        <f t="shared" si="272"/>
        <v>0</v>
      </c>
      <c r="AH214" s="10">
        <f t="shared" si="273"/>
        <v>0</v>
      </c>
      <c r="AI214" s="1">
        <f>SUMIFS(
  '[1]Hoja 1'!$M:$M,
  '[1]Hoja 1'!$S:$S, $A214,
  '[1]Hoja 1'!$R:$R, "&gt;="&amp;INT($AK$1),
  '[1]Hoja 1'!$R:$R, "&lt;"&amp;INT($AL$1+1)
)</f>
        <v>0</v>
      </c>
      <c r="AJ214" s="1">
        <f t="shared" si="274"/>
        <v>0</v>
      </c>
      <c r="AK214" s="9">
        <f t="shared" si="275"/>
        <v>0</v>
      </c>
      <c r="AL214" s="10">
        <f t="shared" si="276"/>
        <v>0</v>
      </c>
      <c r="AM214" s="1">
        <f>SUMIFS(
  '[1]Hoja 1'!$M:$M,
  '[1]Hoja 1'!$S:$S, $A214,
  '[1]Hoja 1'!$R:$R, "&gt;="&amp;INT($AO$1),
  '[1]Hoja 1'!$R:$R, "&lt;"&amp;INT($AP$1+1)
)</f>
        <v>0</v>
      </c>
      <c r="AN214" s="1">
        <f t="shared" si="277"/>
        <v>0</v>
      </c>
      <c r="AO214" s="9">
        <f t="shared" si="278"/>
        <v>0</v>
      </c>
      <c r="AP214" s="10">
        <f t="shared" si="279"/>
        <v>0</v>
      </c>
      <c r="AQ214" s="1">
        <f>SUMIFS(
  '[1]Hoja 1'!$M:$M,
  '[1]Hoja 1'!$S:$S, $A214,
  '[1]Hoja 1'!$R:$R, "&gt;="&amp;INT($AS$1),
  '[1]Hoja 1'!$R:$R, "&lt;"&amp;INT($AT$1+1)
)</f>
        <v>0</v>
      </c>
      <c r="AR214" s="1">
        <f t="shared" si="280"/>
        <v>0</v>
      </c>
      <c r="AS214" s="9">
        <f t="shared" si="281"/>
        <v>0</v>
      </c>
      <c r="AT214" s="10">
        <f t="shared" si="282"/>
        <v>0</v>
      </c>
      <c r="AU214" s="1">
        <f>SUMIFS(
  '[1]Hoja 1'!$M:$M,
  '[1]Hoja 1'!$S:$S, $A214,
  '[1]Hoja 1'!$R:$R, "&gt;="&amp;INT($AW$1),
  '[1]Hoja 1'!$R:$R, "&lt;"&amp;INT($AX$1+1)
)</f>
        <v>0</v>
      </c>
      <c r="AV214" s="1">
        <f t="shared" si="283"/>
        <v>0</v>
      </c>
      <c r="AW214" s="9">
        <f t="shared" si="284"/>
        <v>0</v>
      </c>
      <c r="AX214" s="10">
        <f t="shared" si="285"/>
        <v>0</v>
      </c>
      <c r="AY214" s="1">
        <f>SUMIFS(
  '[1]Hoja 1'!$M:$M,
  '[1]Hoja 1'!$S:$S, $A214,
  '[1]Hoja 1'!$R:$R, "&gt;="&amp;INT($BA$1),
  '[1]Hoja 1'!$R:$R, "&lt;"&amp;INT($BB$1+1)
)</f>
        <v>0</v>
      </c>
      <c r="AZ214" s="1">
        <f t="shared" si="286"/>
        <v>0</v>
      </c>
      <c r="BA214" s="9">
        <f t="shared" si="287"/>
        <v>0</v>
      </c>
      <c r="BB214" s="10">
        <f t="shared" si="288"/>
        <v>0</v>
      </c>
      <c r="BC214" s="1">
        <f>SUMIFS(
  '[1]Hoja 1'!$M:$M,
  '[1]Hoja 1'!$S:$S, $A214,
  '[1]Hoja 1'!$R:$R, "&gt;="&amp;INT($BE$1),
  '[1]Hoja 1'!$R:$R, "&lt;"&amp;INT($BF$1+1)
)</f>
        <v>0</v>
      </c>
      <c r="BD214" s="1">
        <f t="shared" si="289"/>
        <v>0</v>
      </c>
      <c r="BE214" s="9">
        <f t="shared" si="290"/>
        <v>0</v>
      </c>
      <c r="BF214" s="10">
        <f t="shared" si="291"/>
        <v>0</v>
      </c>
      <c r="BG214" s="1">
        <f>SUMIFS(
  '[1]Hoja 1'!$M:$M,
  '[1]Hoja 1'!$S:$S, $A214,
  '[1]Hoja 1'!$R:$R, "&gt;="&amp;INT($BI$1),
  '[1]Hoja 1'!$R:$R, "&lt;"&amp;INT($BJ$1+1)
)</f>
        <v>0</v>
      </c>
      <c r="BH214" s="1">
        <f t="shared" si="292"/>
        <v>0</v>
      </c>
      <c r="BI214" s="9">
        <f t="shared" si="293"/>
        <v>0</v>
      </c>
      <c r="BJ214" s="10">
        <f t="shared" si="294"/>
        <v>0</v>
      </c>
      <c r="BK214" s="1">
        <f>SUMIFS(
  '[1]Hoja 1'!$M:$M,
  '[1]Hoja 1'!$S:$S, $A214,
  '[1]Hoja 1'!$R:$R, "&gt;="&amp;INT($BM$1),
  '[1]Hoja 1'!$R:$R, "&lt;"&amp;INT($BN$1+1)
)</f>
        <v>0</v>
      </c>
      <c r="BL214" s="1">
        <f t="shared" si="295"/>
        <v>0</v>
      </c>
      <c r="BM214" s="9">
        <f t="shared" si="296"/>
        <v>0</v>
      </c>
      <c r="BN214" s="10">
        <f t="shared" si="297"/>
        <v>0</v>
      </c>
      <c r="BO214" s="1">
        <f>SUMIFS(
  '[1]Hoja 1'!$M:$M,
  '[1]Hoja 1'!$S:$S, $A214,
  '[1]Hoja 1'!$R:$R, "&gt;="&amp;INT($BQ$1),
  '[1]Hoja 1'!$R:$R, "&lt;"&amp;INT($BR$1+1)
)</f>
        <v>0</v>
      </c>
      <c r="BP214" s="1">
        <f t="shared" si="298"/>
        <v>0</v>
      </c>
      <c r="BQ214" s="9">
        <f t="shared" si="299"/>
        <v>0</v>
      </c>
      <c r="BR214" s="10">
        <f t="shared" si="300"/>
        <v>0</v>
      </c>
      <c r="BS214" s="1">
        <f>SUMIFS(
  '[1]Hoja 1'!$M:$M,
  '[1]Hoja 1'!$S:$S, $A214,
  '[1]Hoja 1'!$R:$R, "&gt;="&amp;INT($BU$1),
  '[1]Hoja 1'!$R:$R, "&lt;"&amp;INT($BV$1+1)
)</f>
        <v>0</v>
      </c>
      <c r="BT214" s="1">
        <f t="shared" si="301"/>
        <v>0</v>
      </c>
      <c r="BU214" s="9">
        <f t="shared" si="302"/>
        <v>0</v>
      </c>
      <c r="BV214" s="10">
        <f t="shared" si="303"/>
        <v>0</v>
      </c>
      <c r="BW214" s="1">
        <f>SUMIFS(
  '[1]Hoja 1'!$M:$M,
  '[1]Hoja 1'!$S:$S, $A214,
  '[1]Hoja 1'!$R:$R, "&gt;="&amp;INT($BY$1),
  '[1]Hoja 1'!$R:$R, "&lt;"&amp;INT($BZ$1+1)
)</f>
        <v>0</v>
      </c>
      <c r="BX214" s="1">
        <f t="shared" si="304"/>
        <v>0</v>
      </c>
      <c r="BY214" s="9">
        <f t="shared" si="305"/>
        <v>0</v>
      </c>
      <c r="BZ214" s="10">
        <f t="shared" si="306"/>
        <v>0</v>
      </c>
      <c r="CA214" s="1">
        <f>SUMIFS(
  '[1]Hoja 1'!$M:$M,
  '[1]Hoja 1'!$S:$S, $A214,
  '[1]Hoja 1'!$R:$R, "&gt;="&amp;INT($CC$1),
  '[1]Hoja 1'!$R:$R, "&lt;"&amp;INT($CD$1+1)
)</f>
        <v>0</v>
      </c>
      <c r="CB214" s="1">
        <f t="shared" si="307"/>
        <v>0</v>
      </c>
      <c r="CC214" s="9">
        <f t="shared" si="308"/>
        <v>0</v>
      </c>
      <c r="CD214" s="10">
        <f t="shared" si="309"/>
        <v>0</v>
      </c>
      <c r="CE214" s="1">
        <f>SUMIFS(
  '[1]Hoja 1'!$M:$M,
  '[1]Hoja 1'!$S:$S, $A214,
  '[1]Hoja 1'!$R:$R, "&gt;="&amp;INT($CG$1),
  '[1]Hoja 1'!$R:$R, "&lt;"&amp;INT($CH$1+1)
)</f>
        <v>0</v>
      </c>
      <c r="CF214" s="1">
        <f t="shared" si="310"/>
        <v>0</v>
      </c>
      <c r="CG214" s="9">
        <f t="shared" si="311"/>
        <v>0</v>
      </c>
      <c r="CH214" s="10">
        <f t="shared" si="312"/>
        <v>0</v>
      </c>
      <c r="CI214" s="1">
        <f>SUMIFS(
  '[1]Hoja 1'!$M:$M,
  '[1]Hoja 1'!$S:$S, $A214,
  '[1]Hoja 1'!$R:$R, "&gt;="&amp;INT($CK$1),
  '[1]Hoja 1'!$R:$R, "&lt;"&amp;INT($CL$1+1)
)</f>
        <v>0</v>
      </c>
      <c r="CJ214" s="1">
        <f t="shared" si="313"/>
        <v>0</v>
      </c>
      <c r="CK214" s="9">
        <f t="shared" si="314"/>
        <v>0</v>
      </c>
      <c r="CL214" s="10">
        <f t="shared" si="315"/>
        <v>0</v>
      </c>
      <c r="CM214" s="1">
        <f>SUMIFS(
  '[1]Hoja 1'!$M:$M,
  '[1]Hoja 1'!$S:$S, $A214,
  '[1]Hoja 1'!$R:$R, "&gt;="&amp;INT($CO$1),
  '[1]Hoja 1'!$R:$R, "&lt;"&amp;INT($CP$1+1)
)</f>
        <v>0</v>
      </c>
      <c r="CN214" s="1">
        <f t="shared" si="316"/>
        <v>0</v>
      </c>
      <c r="CO214" s="9">
        <f t="shared" si="317"/>
        <v>0</v>
      </c>
      <c r="CP214" s="10">
        <f t="shared" si="318"/>
        <v>0</v>
      </c>
      <c r="CQ214" s="1">
        <f>SUMIFS(
  '[1]Hoja 1'!$M:$M,
  '[1]Hoja 1'!$S:$S, $A214,
  '[1]Hoja 1'!$R:$R, "&gt;="&amp;INT($CS$1),
  '[1]Hoja 1'!$R:$R, "&lt;"&amp;INT($CT$1+1)
)</f>
        <v>0</v>
      </c>
      <c r="CR214" s="1">
        <f t="shared" si="319"/>
        <v>0</v>
      </c>
      <c r="CS214" s="9">
        <f t="shared" si="320"/>
        <v>0</v>
      </c>
      <c r="CT214" s="10">
        <f t="shared" si="321"/>
        <v>0</v>
      </c>
      <c r="CU214" s="1">
        <f>SUMIFS(
  '[1]Hoja 1'!$M:$M,
  '[1]Hoja 1'!$S:$S, $A214,
  '[1]Hoja 1'!$R:$R, "&gt;="&amp;INT($CW$1),
  '[1]Hoja 1'!$R:$R, "&lt;"&amp;INT($CX$1+1)
)</f>
        <v>0</v>
      </c>
      <c r="CV214" s="1">
        <f t="shared" si="322"/>
        <v>0</v>
      </c>
      <c r="CW214" s="9">
        <f t="shared" si="323"/>
        <v>0</v>
      </c>
      <c r="CX214" s="10">
        <f t="shared" si="324"/>
        <v>0</v>
      </c>
      <c r="CY214" s="1">
        <f>SUMIFS(
  '[1]Hoja 1'!$M:$M,
  '[1]Hoja 1'!$S:$S, $A214,
  '[1]Hoja 1'!$R:$R, "&gt;="&amp;INT($DA$1),
  '[1]Hoja 1'!$R:$R, "&lt;"&amp;INT($DB$1+1)
)</f>
        <v>0</v>
      </c>
      <c r="CZ214" s="1">
        <f t="shared" si="325"/>
        <v>0</v>
      </c>
      <c r="DA214" s="9">
        <f t="shared" si="326"/>
        <v>0</v>
      </c>
      <c r="DB214" s="10">
        <f t="shared" si="327"/>
        <v>0</v>
      </c>
      <c r="DC214" s="1">
        <f>SUMIFS(
  '[1]Hoja 1'!$M:$M,
  '[1]Hoja 1'!$S:$S, $A214,
  '[1]Hoja 1'!$R:$R, "&gt;="&amp;INT($DE$1),
  '[1]Hoja 1'!$R:$R, "&lt;"&amp;INT($DF$1+1)
)</f>
        <v>0</v>
      </c>
      <c r="DD214" s="1">
        <f t="shared" si="328"/>
        <v>0</v>
      </c>
      <c r="DE214" s="9">
        <f t="shared" si="329"/>
        <v>0</v>
      </c>
      <c r="DF214" s="10">
        <f t="shared" si="330"/>
        <v>0</v>
      </c>
      <c r="DG214" s="1">
        <f>SUMIFS(
  '[1]Hoja 1'!$M:$M,
  '[1]Hoja 1'!$S:$S, $A214,
  '[1]Hoja 1'!$R:$R, "&gt;="&amp;INT($DI$1),
  '[1]Hoja 1'!$R:$R, "&lt;"&amp;INT($DJ$1+1)
)</f>
        <v>0</v>
      </c>
      <c r="DH214" s="1">
        <f t="shared" si="331"/>
        <v>0</v>
      </c>
      <c r="DI214" s="9">
        <f t="shared" si="332"/>
        <v>0</v>
      </c>
      <c r="DJ214" s="10">
        <f t="shared" si="333"/>
        <v>0</v>
      </c>
      <c r="DK214" s="1">
        <f>SUMIFS(
  '[1]Hoja 1'!$M:$M,
  '[1]Hoja 1'!$S:$S, $A214,
  '[1]Hoja 1'!$R:$R, "&gt;="&amp;INT($DM$1),
  '[1]Hoja 1'!$R:$R, "&lt;"&amp;INT($DN$1+1)
)</f>
        <v>0</v>
      </c>
      <c r="DL214" s="1">
        <f t="shared" si="334"/>
        <v>0</v>
      </c>
      <c r="DM214" s="9">
        <f t="shared" si="335"/>
        <v>0</v>
      </c>
      <c r="DN214" s="10">
        <f t="shared" si="336"/>
        <v>0</v>
      </c>
      <c r="DO214" s="1">
        <f>SUMIFS(
  '[1]Hoja 1'!$M:$M,
  '[1]Hoja 1'!$S:$S, $A214,
  '[1]Hoja 1'!$R:$R, "&gt;="&amp;INT($DQ$1),
  '[1]Hoja 1'!$R:$R, "&lt;"&amp;INT($DR$1+1)
)</f>
        <v>0</v>
      </c>
      <c r="DP214" s="1">
        <f t="shared" si="337"/>
        <v>0</v>
      </c>
      <c r="DQ214" s="9">
        <f t="shared" si="338"/>
        <v>0</v>
      </c>
      <c r="DR214" s="10">
        <f t="shared" si="339"/>
        <v>0</v>
      </c>
    </row>
    <row r="215" spans="1:122" x14ac:dyDescent="0.25">
      <c r="A215" s="5">
        <v>237001</v>
      </c>
      <c r="B215" s="6" t="s">
        <v>211</v>
      </c>
      <c r="C215" s="1">
        <f>SUMIFS(
  '[1]Hoja 1'!$M:$M,
  '[1]Hoja 1'!$S:$S, $A215,
  '[1]Hoja 1'!$R:$R, "&gt;="&amp;INT($E$1),
  '[1]Hoja 1'!$R:$R, "&lt;"&amp;INT($F$1+1)
)</f>
        <v>8</v>
      </c>
      <c r="D215" s="1" t="str">
        <f>""</f>
        <v/>
      </c>
      <c r="F215" s="2"/>
      <c r="G215" s="1">
        <f>SUMIFS(
  '[1]Hoja 1'!$M:$M,
  '[1]Hoja 1'!$S:$S, $A215,
  '[1]Hoja 1'!$R:$R, "&gt;="&amp;INT($I$1),
  '[1]Hoja 1'!$R:$R, "&lt;"&amp;INT($J$1+1)
)</f>
        <v>3</v>
      </c>
      <c r="H215" s="1">
        <f t="shared" si="255"/>
        <v>5.5</v>
      </c>
      <c r="I215" s="1"/>
      <c r="J215" s="2"/>
      <c r="K215" s="1">
        <f>SUMIFS(
  '[1]Hoja 1'!$M:$M,
  '[1]Hoja 1'!$S:$S, $A215,
  '[1]Hoja 1'!$R:$R, "&gt;="&amp;INT($M$1),
  '[1]Hoja 1'!$R:$R, "&lt;"&amp;INT($N$1+1)
)</f>
        <v>3</v>
      </c>
      <c r="L215" s="1">
        <f t="shared" si="256"/>
        <v>3</v>
      </c>
      <c r="M215" s="9">
        <f t="shared" si="257"/>
        <v>-0.46482322781408314</v>
      </c>
      <c r="N215" s="10">
        <f t="shared" si="258"/>
        <v>6.4648232278140831</v>
      </c>
      <c r="O215" s="1">
        <f>SUMIFS(
  '[1]Hoja 1'!$M:$M,
  '[1]Hoja 1'!$S:$S, $A215,
  '[1]Hoja 1'!$R:$R, "&gt;="&amp;INT($Q$1),
  '[1]Hoja 1'!$R:$R, "&lt;"&amp;INT($R$1+1)
)</f>
        <v>4</v>
      </c>
      <c r="P215" s="1">
        <f t="shared" si="259"/>
        <v>3.5</v>
      </c>
      <c r="Q215" s="9">
        <f t="shared" si="260"/>
        <v>-0.1502592485910319</v>
      </c>
      <c r="R215" s="10">
        <f t="shared" si="261"/>
        <v>6.1502592485910323</v>
      </c>
      <c r="S215" s="1">
        <f>SUMIFS(
  '[1]Hoja 1'!$M:$M,
  '[1]Hoja 1'!$S:$S, $A215,
  '[1]Hoja 1'!$R:$R, "&gt;="&amp;INT($U$1),
  '[1]Hoja 1'!$R:$R, "&lt;"&amp;INT($V$1+1)
)</f>
        <v>1</v>
      </c>
      <c r="T215" s="1">
        <f t="shared" si="262"/>
        <v>3</v>
      </c>
      <c r="U215" s="9">
        <f t="shared" si="263"/>
        <v>0.30129043182980997</v>
      </c>
      <c r="V215" s="10">
        <f t="shared" si="264"/>
        <v>5.69870956817019</v>
      </c>
      <c r="W215" s="1">
        <f>SUMIFS(
  '[1]Hoja 1'!$M:$M,
  '[1]Hoja 1'!$S:$S, $A215,
  '[1]Hoja 1'!$R:$R, "&gt;="&amp;INT($Y$1),
  '[1]Hoja 1'!$R:$R, "&lt;"&amp;INT($Z$1+1)
)</f>
        <v>4</v>
      </c>
      <c r="X215" s="1">
        <f t="shared" si="265"/>
        <v>3</v>
      </c>
      <c r="Y215" s="9">
        <f t="shared" si="266"/>
        <v>0.54999999999999982</v>
      </c>
      <c r="Z215" s="10">
        <f t="shared" si="267"/>
        <v>5.45</v>
      </c>
      <c r="AA215" s="1">
        <f>SUMIFS(
  '[1]Hoja 1'!$M:$M,
  '[1]Hoja 1'!$S:$S, $A215,
  '[1]Hoja 1'!$R:$R, "&gt;="&amp;INT($AC$1),
  '[1]Hoja 1'!$R:$R, "&lt;"&amp;INT($AD$1+1)
)</f>
        <v>3</v>
      </c>
      <c r="AB215" s="1">
        <f t="shared" si="268"/>
        <v>4</v>
      </c>
      <c r="AC215" s="9">
        <f t="shared" si="269"/>
        <v>1.8086533820502062</v>
      </c>
      <c r="AD215" s="10">
        <f t="shared" si="270"/>
        <v>6.530349119522179</v>
      </c>
      <c r="AE215" s="1">
        <f>SUMIFS(
  '[1]Hoja 1'!$M:$M,
  '[1]Hoja 1'!$S:$S, $A215,
  '[1]Hoja 1'!$R:$R, "&gt;="&amp;INT($AG$1),
  '[1]Hoja 1'!$R:$R, "&lt;"&amp;INT($AH$1+1)
)</f>
        <v>0</v>
      </c>
      <c r="AF215" s="1">
        <f t="shared" si="271"/>
        <v>2</v>
      </c>
      <c r="AG215" s="9">
        <f t="shared" si="272"/>
        <v>-0.44018032120579154</v>
      </c>
      <c r="AH215" s="10">
        <f t="shared" si="273"/>
        <v>4.7718585822512658</v>
      </c>
      <c r="AI215" s="1">
        <f>SUMIFS(
  '[1]Hoja 1'!$M:$M,
  '[1]Hoja 1'!$S:$S, $A215,
  '[1]Hoja 1'!$R:$R, "&gt;="&amp;INT($AK$1),
  '[1]Hoja 1'!$R:$R, "&lt;"&amp;INT($AL$1+1)
)</f>
        <v>0</v>
      </c>
      <c r="AJ215" s="1">
        <f t="shared" si="274"/>
        <v>0</v>
      </c>
      <c r="AK215" s="9">
        <f t="shared" si="275"/>
        <v>-2.1245893720905222</v>
      </c>
      <c r="AL215" s="10">
        <f t="shared" si="276"/>
        <v>2.4500000000000002</v>
      </c>
      <c r="AM215" s="1">
        <f>SUMIFS(
  '[1]Hoja 1'!$M:$M,
  '[1]Hoja 1'!$S:$S, $A215,
  '[1]Hoja 1'!$R:$R, "&gt;="&amp;INT($AO$1),
  '[1]Hoja 1'!$R:$R, "&lt;"&amp;INT($AP$1+1)
)</f>
        <v>0</v>
      </c>
      <c r="AN215" s="1">
        <f t="shared" si="277"/>
        <v>0</v>
      </c>
      <c r="AO215" s="9">
        <f t="shared" si="278"/>
        <v>-1.2777636714197191</v>
      </c>
      <c r="AP215" s="10">
        <f t="shared" si="279"/>
        <v>1.3859292911256331</v>
      </c>
      <c r="AQ215" s="1">
        <f>SUMIFS(
  '[1]Hoja 1'!$M:$M,
  '[1]Hoja 1'!$S:$S, $A215,
  '[1]Hoja 1'!$R:$R, "&gt;="&amp;INT($AS$1),
  '[1]Hoja 1'!$R:$R, "&lt;"&amp;INT($AT$1+1)
)</f>
        <v>0</v>
      </c>
      <c r="AR215" s="1">
        <f t="shared" si="280"/>
        <v>0</v>
      </c>
      <c r="AS215" s="9">
        <f t="shared" si="281"/>
        <v>-1.3148079707698763</v>
      </c>
      <c r="AT215" s="10">
        <f t="shared" si="282"/>
        <v>1.47</v>
      </c>
      <c r="AU215" s="1">
        <f>SUMIFS(
  '[1]Hoja 1'!$M:$M,
  '[1]Hoja 1'!$S:$S, $A215,
  '[1]Hoja 1'!$R:$R, "&gt;="&amp;INT($AW$1),
  '[1]Hoja 1'!$R:$R, "&lt;"&amp;INT($AX$1+1)
)</f>
        <v>0</v>
      </c>
      <c r="AV215" s="1">
        <f t="shared" si="283"/>
        <v>0</v>
      </c>
      <c r="AW215" s="9">
        <f t="shared" si="284"/>
        <v>0</v>
      </c>
      <c r="AX215" s="10">
        <f t="shared" si="285"/>
        <v>0</v>
      </c>
      <c r="AY215" s="1">
        <f>SUMIFS(
  '[1]Hoja 1'!$M:$M,
  '[1]Hoja 1'!$S:$S, $A215,
  '[1]Hoja 1'!$R:$R, "&gt;="&amp;INT($BA$1),
  '[1]Hoja 1'!$R:$R, "&lt;"&amp;INT($BB$1+1)
)</f>
        <v>0</v>
      </c>
      <c r="AZ215" s="1">
        <f t="shared" si="286"/>
        <v>0</v>
      </c>
      <c r="BA215" s="9">
        <f t="shared" si="287"/>
        <v>0</v>
      </c>
      <c r="BB215" s="10">
        <f t="shared" si="288"/>
        <v>0</v>
      </c>
      <c r="BC215" s="1">
        <f>SUMIFS(
  '[1]Hoja 1'!$M:$M,
  '[1]Hoja 1'!$S:$S, $A215,
  '[1]Hoja 1'!$R:$R, "&gt;="&amp;INT($BE$1),
  '[1]Hoja 1'!$R:$R, "&lt;"&amp;INT($BF$1+1)
)</f>
        <v>0</v>
      </c>
      <c r="BD215" s="1">
        <f t="shared" si="289"/>
        <v>0</v>
      </c>
      <c r="BE215" s="9">
        <f t="shared" si="290"/>
        <v>0</v>
      </c>
      <c r="BF215" s="10">
        <f t="shared" si="291"/>
        <v>0</v>
      </c>
      <c r="BG215" s="1">
        <f>SUMIFS(
  '[1]Hoja 1'!$M:$M,
  '[1]Hoja 1'!$S:$S, $A215,
  '[1]Hoja 1'!$R:$R, "&gt;="&amp;INT($BI$1),
  '[1]Hoja 1'!$R:$R, "&lt;"&amp;INT($BJ$1+1)
)</f>
        <v>0</v>
      </c>
      <c r="BH215" s="1">
        <f t="shared" si="292"/>
        <v>0</v>
      </c>
      <c r="BI215" s="9">
        <f t="shared" si="293"/>
        <v>0</v>
      </c>
      <c r="BJ215" s="10">
        <f t="shared" si="294"/>
        <v>0</v>
      </c>
      <c r="BK215" s="1">
        <f>SUMIFS(
  '[1]Hoja 1'!$M:$M,
  '[1]Hoja 1'!$S:$S, $A215,
  '[1]Hoja 1'!$R:$R, "&gt;="&amp;INT($BM$1),
  '[1]Hoja 1'!$R:$R, "&lt;"&amp;INT($BN$1+1)
)</f>
        <v>0</v>
      </c>
      <c r="BL215" s="1">
        <f t="shared" si="295"/>
        <v>0</v>
      </c>
      <c r="BM215" s="9">
        <f t="shared" si="296"/>
        <v>0</v>
      </c>
      <c r="BN215" s="10">
        <f t="shared" si="297"/>
        <v>0</v>
      </c>
      <c r="BO215" s="1">
        <f>SUMIFS(
  '[1]Hoja 1'!$M:$M,
  '[1]Hoja 1'!$S:$S, $A215,
  '[1]Hoja 1'!$R:$R, "&gt;="&amp;INT($BQ$1),
  '[1]Hoja 1'!$R:$R, "&lt;"&amp;INT($BR$1+1)
)</f>
        <v>0</v>
      </c>
      <c r="BP215" s="1">
        <f t="shared" si="298"/>
        <v>0</v>
      </c>
      <c r="BQ215" s="9">
        <f t="shared" si="299"/>
        <v>0</v>
      </c>
      <c r="BR215" s="10">
        <f t="shared" si="300"/>
        <v>0</v>
      </c>
      <c r="BS215" s="1">
        <f>SUMIFS(
  '[1]Hoja 1'!$M:$M,
  '[1]Hoja 1'!$S:$S, $A215,
  '[1]Hoja 1'!$R:$R, "&gt;="&amp;INT($BU$1),
  '[1]Hoja 1'!$R:$R, "&lt;"&amp;INT($BV$1+1)
)</f>
        <v>0</v>
      </c>
      <c r="BT215" s="1">
        <f t="shared" si="301"/>
        <v>0</v>
      </c>
      <c r="BU215" s="9">
        <f t="shared" si="302"/>
        <v>0</v>
      </c>
      <c r="BV215" s="10">
        <f t="shared" si="303"/>
        <v>0</v>
      </c>
      <c r="BW215" s="1">
        <f>SUMIFS(
  '[1]Hoja 1'!$M:$M,
  '[1]Hoja 1'!$S:$S, $A215,
  '[1]Hoja 1'!$R:$R, "&gt;="&amp;INT($BY$1),
  '[1]Hoja 1'!$R:$R, "&lt;"&amp;INT($BZ$1+1)
)</f>
        <v>0</v>
      </c>
      <c r="BX215" s="1">
        <f t="shared" si="304"/>
        <v>0</v>
      </c>
      <c r="BY215" s="9">
        <f t="shared" si="305"/>
        <v>0</v>
      </c>
      <c r="BZ215" s="10">
        <f t="shared" si="306"/>
        <v>0</v>
      </c>
      <c r="CA215" s="1">
        <f>SUMIFS(
  '[1]Hoja 1'!$M:$M,
  '[1]Hoja 1'!$S:$S, $A215,
  '[1]Hoja 1'!$R:$R, "&gt;="&amp;INT($CC$1),
  '[1]Hoja 1'!$R:$R, "&lt;"&amp;INT($CD$1+1)
)</f>
        <v>0</v>
      </c>
      <c r="CB215" s="1">
        <f t="shared" si="307"/>
        <v>0</v>
      </c>
      <c r="CC215" s="9">
        <f t="shared" si="308"/>
        <v>0</v>
      </c>
      <c r="CD215" s="10">
        <f t="shared" si="309"/>
        <v>0</v>
      </c>
      <c r="CE215" s="1">
        <f>SUMIFS(
  '[1]Hoja 1'!$M:$M,
  '[1]Hoja 1'!$S:$S, $A215,
  '[1]Hoja 1'!$R:$R, "&gt;="&amp;INT($CG$1),
  '[1]Hoja 1'!$R:$R, "&lt;"&amp;INT($CH$1+1)
)</f>
        <v>0</v>
      </c>
      <c r="CF215" s="1">
        <f t="shared" si="310"/>
        <v>0</v>
      </c>
      <c r="CG215" s="9">
        <f t="shared" si="311"/>
        <v>0</v>
      </c>
      <c r="CH215" s="10">
        <f t="shared" si="312"/>
        <v>0</v>
      </c>
      <c r="CI215" s="1">
        <f>SUMIFS(
  '[1]Hoja 1'!$M:$M,
  '[1]Hoja 1'!$S:$S, $A215,
  '[1]Hoja 1'!$R:$R, "&gt;="&amp;INT($CK$1),
  '[1]Hoja 1'!$R:$R, "&lt;"&amp;INT($CL$1+1)
)</f>
        <v>0</v>
      </c>
      <c r="CJ215" s="1">
        <f t="shared" si="313"/>
        <v>0</v>
      </c>
      <c r="CK215" s="9">
        <f t="shared" si="314"/>
        <v>0</v>
      </c>
      <c r="CL215" s="10">
        <f t="shared" si="315"/>
        <v>0</v>
      </c>
      <c r="CM215" s="1">
        <f>SUMIFS(
  '[1]Hoja 1'!$M:$M,
  '[1]Hoja 1'!$S:$S, $A215,
  '[1]Hoja 1'!$R:$R, "&gt;="&amp;INT($CO$1),
  '[1]Hoja 1'!$R:$R, "&lt;"&amp;INT($CP$1+1)
)</f>
        <v>0</v>
      </c>
      <c r="CN215" s="1">
        <f t="shared" si="316"/>
        <v>0</v>
      </c>
      <c r="CO215" s="9">
        <f t="shared" si="317"/>
        <v>0</v>
      </c>
      <c r="CP215" s="10">
        <f t="shared" si="318"/>
        <v>0</v>
      </c>
      <c r="CQ215" s="1">
        <f>SUMIFS(
  '[1]Hoja 1'!$M:$M,
  '[1]Hoja 1'!$S:$S, $A215,
  '[1]Hoja 1'!$R:$R, "&gt;="&amp;INT($CS$1),
  '[1]Hoja 1'!$R:$R, "&lt;"&amp;INT($CT$1+1)
)</f>
        <v>0</v>
      </c>
      <c r="CR215" s="1">
        <f t="shared" si="319"/>
        <v>0</v>
      </c>
      <c r="CS215" s="9">
        <f t="shared" si="320"/>
        <v>0</v>
      </c>
      <c r="CT215" s="10">
        <f t="shared" si="321"/>
        <v>0</v>
      </c>
      <c r="CU215" s="1">
        <f>SUMIFS(
  '[1]Hoja 1'!$M:$M,
  '[1]Hoja 1'!$S:$S, $A215,
  '[1]Hoja 1'!$R:$R, "&gt;="&amp;INT($CW$1),
  '[1]Hoja 1'!$R:$R, "&lt;"&amp;INT($CX$1+1)
)</f>
        <v>0</v>
      </c>
      <c r="CV215" s="1">
        <f t="shared" si="322"/>
        <v>0</v>
      </c>
      <c r="CW215" s="9">
        <f t="shared" si="323"/>
        <v>0</v>
      </c>
      <c r="CX215" s="10">
        <f t="shared" si="324"/>
        <v>0</v>
      </c>
      <c r="CY215" s="1">
        <f>SUMIFS(
  '[1]Hoja 1'!$M:$M,
  '[1]Hoja 1'!$S:$S, $A215,
  '[1]Hoja 1'!$R:$R, "&gt;="&amp;INT($DA$1),
  '[1]Hoja 1'!$R:$R, "&lt;"&amp;INT($DB$1+1)
)</f>
        <v>0</v>
      </c>
      <c r="CZ215" s="1">
        <f t="shared" si="325"/>
        <v>0</v>
      </c>
      <c r="DA215" s="9">
        <f t="shared" si="326"/>
        <v>0</v>
      </c>
      <c r="DB215" s="10">
        <f t="shared" si="327"/>
        <v>0</v>
      </c>
      <c r="DC215" s="1">
        <f>SUMIFS(
  '[1]Hoja 1'!$M:$M,
  '[1]Hoja 1'!$S:$S, $A215,
  '[1]Hoja 1'!$R:$R, "&gt;="&amp;INT($DE$1),
  '[1]Hoja 1'!$R:$R, "&lt;"&amp;INT($DF$1+1)
)</f>
        <v>0</v>
      </c>
      <c r="DD215" s="1">
        <f t="shared" si="328"/>
        <v>0</v>
      </c>
      <c r="DE215" s="9">
        <f t="shared" si="329"/>
        <v>0</v>
      </c>
      <c r="DF215" s="10">
        <f t="shared" si="330"/>
        <v>0</v>
      </c>
      <c r="DG215" s="1">
        <f>SUMIFS(
  '[1]Hoja 1'!$M:$M,
  '[1]Hoja 1'!$S:$S, $A215,
  '[1]Hoja 1'!$R:$R, "&gt;="&amp;INT($DI$1),
  '[1]Hoja 1'!$R:$R, "&lt;"&amp;INT($DJ$1+1)
)</f>
        <v>0</v>
      </c>
      <c r="DH215" s="1">
        <f t="shared" si="331"/>
        <v>0</v>
      </c>
      <c r="DI215" s="9">
        <f t="shared" si="332"/>
        <v>0</v>
      </c>
      <c r="DJ215" s="10">
        <f t="shared" si="333"/>
        <v>0</v>
      </c>
      <c r="DK215" s="1">
        <f>SUMIFS(
  '[1]Hoja 1'!$M:$M,
  '[1]Hoja 1'!$S:$S, $A215,
  '[1]Hoja 1'!$R:$R, "&gt;="&amp;INT($DM$1),
  '[1]Hoja 1'!$R:$R, "&lt;"&amp;INT($DN$1+1)
)</f>
        <v>0</v>
      </c>
      <c r="DL215" s="1">
        <f t="shared" si="334"/>
        <v>0</v>
      </c>
      <c r="DM215" s="9">
        <f t="shared" si="335"/>
        <v>0</v>
      </c>
      <c r="DN215" s="10">
        <f t="shared" si="336"/>
        <v>0</v>
      </c>
      <c r="DO215" s="1">
        <f>SUMIFS(
  '[1]Hoja 1'!$M:$M,
  '[1]Hoja 1'!$S:$S, $A215,
  '[1]Hoja 1'!$R:$R, "&gt;="&amp;INT($DQ$1),
  '[1]Hoja 1'!$R:$R, "&lt;"&amp;INT($DR$1+1)
)</f>
        <v>0</v>
      </c>
      <c r="DP215" s="1">
        <f t="shared" si="337"/>
        <v>0</v>
      </c>
      <c r="DQ215" s="9">
        <f t="shared" si="338"/>
        <v>0</v>
      </c>
      <c r="DR215" s="10">
        <f t="shared" si="339"/>
        <v>0</v>
      </c>
    </row>
    <row r="216" spans="1:122" x14ac:dyDescent="0.25">
      <c r="A216" s="5">
        <v>237002</v>
      </c>
      <c r="B216" s="6" t="s">
        <v>212</v>
      </c>
      <c r="C216" s="1">
        <f>SUMIFS(
  '[1]Hoja 1'!$M:$M,
  '[1]Hoja 1'!$S:$S, $A216,
  '[1]Hoja 1'!$R:$R, "&gt;="&amp;INT($E$1),
  '[1]Hoja 1'!$R:$R, "&lt;"&amp;INT($F$1+1)
)</f>
        <v>0</v>
      </c>
      <c r="D216" s="1" t="str">
        <f>""</f>
        <v/>
      </c>
      <c r="F216" s="2"/>
      <c r="G216" s="1">
        <f>SUMIFS(
  '[1]Hoja 1'!$M:$M,
  '[1]Hoja 1'!$S:$S, $A216,
  '[1]Hoja 1'!$R:$R, "&gt;="&amp;INT($I$1),
  '[1]Hoja 1'!$R:$R, "&lt;"&amp;INT($J$1+1)
)</f>
        <v>0</v>
      </c>
      <c r="H216" s="1">
        <f t="shared" si="255"/>
        <v>0</v>
      </c>
      <c r="I216" s="1"/>
      <c r="J216" s="2"/>
      <c r="K216" s="1">
        <f>SUMIFS(
  '[1]Hoja 1'!$M:$M,
  '[1]Hoja 1'!$S:$S, $A216,
  '[1]Hoja 1'!$R:$R, "&gt;="&amp;INT($M$1),
  '[1]Hoja 1'!$R:$R, "&lt;"&amp;INT($N$1+1)
)</f>
        <v>0</v>
      </c>
      <c r="L216" s="1">
        <f t="shared" si="256"/>
        <v>0</v>
      </c>
      <c r="M216" s="9">
        <f t="shared" si="257"/>
        <v>0</v>
      </c>
      <c r="N216" s="10">
        <f t="shared" si="258"/>
        <v>0</v>
      </c>
      <c r="O216" s="1">
        <f>SUMIFS(
  '[1]Hoja 1'!$M:$M,
  '[1]Hoja 1'!$S:$S, $A216,
  '[1]Hoja 1'!$R:$R, "&gt;="&amp;INT($Q$1),
  '[1]Hoja 1'!$R:$R, "&lt;"&amp;INT($R$1+1)
)</f>
        <v>0</v>
      </c>
      <c r="P216" s="1">
        <f t="shared" si="259"/>
        <v>0</v>
      </c>
      <c r="Q216" s="9">
        <f t="shared" si="260"/>
        <v>0</v>
      </c>
      <c r="R216" s="10">
        <f t="shared" si="261"/>
        <v>0</v>
      </c>
      <c r="S216" s="1">
        <f>SUMIFS(
  '[1]Hoja 1'!$M:$M,
  '[1]Hoja 1'!$S:$S, $A216,
  '[1]Hoja 1'!$R:$R, "&gt;="&amp;INT($U$1),
  '[1]Hoja 1'!$R:$R, "&lt;"&amp;INT($V$1+1)
)</f>
        <v>0</v>
      </c>
      <c r="T216" s="1">
        <f t="shared" si="262"/>
        <v>0</v>
      </c>
      <c r="U216" s="9">
        <f t="shared" si="263"/>
        <v>0</v>
      </c>
      <c r="V216" s="10">
        <f t="shared" si="264"/>
        <v>0</v>
      </c>
      <c r="W216" s="1">
        <f>SUMIFS(
  '[1]Hoja 1'!$M:$M,
  '[1]Hoja 1'!$S:$S, $A216,
  '[1]Hoja 1'!$R:$R, "&gt;="&amp;INT($Y$1),
  '[1]Hoja 1'!$R:$R, "&lt;"&amp;INT($Z$1+1)
)</f>
        <v>0</v>
      </c>
      <c r="X216" s="1">
        <f t="shared" si="265"/>
        <v>0</v>
      </c>
      <c r="Y216" s="9">
        <f t="shared" si="266"/>
        <v>0</v>
      </c>
      <c r="Z216" s="10">
        <f t="shared" si="267"/>
        <v>0</v>
      </c>
      <c r="AA216" s="1">
        <f>SUMIFS(
  '[1]Hoja 1'!$M:$M,
  '[1]Hoja 1'!$S:$S, $A216,
  '[1]Hoja 1'!$R:$R, "&gt;="&amp;INT($AC$1),
  '[1]Hoja 1'!$R:$R, "&lt;"&amp;INT($AD$1+1)
)</f>
        <v>0</v>
      </c>
      <c r="AB216" s="1">
        <f t="shared" si="268"/>
        <v>0</v>
      </c>
      <c r="AC216" s="9">
        <f t="shared" si="269"/>
        <v>0</v>
      </c>
      <c r="AD216" s="10">
        <f t="shared" si="270"/>
        <v>0</v>
      </c>
      <c r="AE216" s="1">
        <f>SUMIFS(
  '[1]Hoja 1'!$M:$M,
  '[1]Hoja 1'!$S:$S, $A216,
  '[1]Hoja 1'!$R:$R, "&gt;="&amp;INT($AG$1),
  '[1]Hoja 1'!$R:$R, "&lt;"&amp;INT($AH$1+1)
)</f>
        <v>0</v>
      </c>
      <c r="AF216" s="1">
        <f t="shared" si="271"/>
        <v>0</v>
      </c>
      <c r="AG216" s="9">
        <f t="shared" si="272"/>
        <v>0</v>
      </c>
      <c r="AH216" s="10">
        <f t="shared" si="273"/>
        <v>0</v>
      </c>
      <c r="AI216" s="1">
        <f>SUMIFS(
  '[1]Hoja 1'!$M:$M,
  '[1]Hoja 1'!$S:$S, $A216,
  '[1]Hoja 1'!$R:$R, "&gt;="&amp;INT($AK$1),
  '[1]Hoja 1'!$R:$R, "&lt;"&amp;INT($AL$1+1)
)</f>
        <v>0</v>
      </c>
      <c r="AJ216" s="1">
        <f t="shared" si="274"/>
        <v>0</v>
      </c>
      <c r="AK216" s="9">
        <f t="shared" si="275"/>
        <v>0</v>
      </c>
      <c r="AL216" s="10">
        <f t="shared" si="276"/>
        <v>0</v>
      </c>
      <c r="AM216" s="1">
        <f>SUMIFS(
  '[1]Hoja 1'!$M:$M,
  '[1]Hoja 1'!$S:$S, $A216,
  '[1]Hoja 1'!$R:$R, "&gt;="&amp;INT($AO$1),
  '[1]Hoja 1'!$R:$R, "&lt;"&amp;INT($AP$1+1)
)</f>
        <v>0</v>
      </c>
      <c r="AN216" s="1">
        <f t="shared" si="277"/>
        <v>0</v>
      </c>
      <c r="AO216" s="9">
        <f t="shared" si="278"/>
        <v>0</v>
      </c>
      <c r="AP216" s="10">
        <f t="shared" si="279"/>
        <v>0</v>
      </c>
      <c r="AQ216" s="1">
        <f>SUMIFS(
  '[1]Hoja 1'!$M:$M,
  '[1]Hoja 1'!$S:$S, $A216,
  '[1]Hoja 1'!$R:$R, "&gt;="&amp;INT($AS$1),
  '[1]Hoja 1'!$R:$R, "&lt;"&amp;INT($AT$1+1)
)</f>
        <v>0</v>
      </c>
      <c r="AR216" s="1">
        <f t="shared" si="280"/>
        <v>0</v>
      </c>
      <c r="AS216" s="9">
        <f t="shared" si="281"/>
        <v>0</v>
      </c>
      <c r="AT216" s="10">
        <f t="shared" si="282"/>
        <v>0</v>
      </c>
      <c r="AU216" s="1">
        <f>SUMIFS(
  '[1]Hoja 1'!$M:$M,
  '[1]Hoja 1'!$S:$S, $A216,
  '[1]Hoja 1'!$R:$R, "&gt;="&amp;INT($AW$1),
  '[1]Hoja 1'!$R:$R, "&lt;"&amp;INT($AX$1+1)
)</f>
        <v>0</v>
      </c>
      <c r="AV216" s="1">
        <f t="shared" si="283"/>
        <v>0</v>
      </c>
      <c r="AW216" s="9">
        <f t="shared" si="284"/>
        <v>0</v>
      </c>
      <c r="AX216" s="10">
        <f t="shared" si="285"/>
        <v>0</v>
      </c>
      <c r="AY216" s="1">
        <f>SUMIFS(
  '[1]Hoja 1'!$M:$M,
  '[1]Hoja 1'!$S:$S, $A216,
  '[1]Hoja 1'!$R:$R, "&gt;="&amp;INT($BA$1),
  '[1]Hoja 1'!$R:$R, "&lt;"&amp;INT($BB$1+1)
)</f>
        <v>0</v>
      </c>
      <c r="AZ216" s="1">
        <f t="shared" si="286"/>
        <v>0</v>
      </c>
      <c r="BA216" s="9">
        <f t="shared" si="287"/>
        <v>0</v>
      </c>
      <c r="BB216" s="10">
        <f t="shared" si="288"/>
        <v>0</v>
      </c>
      <c r="BC216" s="1">
        <f>SUMIFS(
  '[1]Hoja 1'!$M:$M,
  '[1]Hoja 1'!$S:$S, $A216,
  '[1]Hoja 1'!$R:$R, "&gt;="&amp;INT($BE$1),
  '[1]Hoja 1'!$R:$R, "&lt;"&amp;INT($BF$1+1)
)</f>
        <v>0</v>
      </c>
      <c r="BD216" s="1">
        <f t="shared" si="289"/>
        <v>0</v>
      </c>
      <c r="BE216" s="9">
        <f t="shared" si="290"/>
        <v>0</v>
      </c>
      <c r="BF216" s="10">
        <f t="shared" si="291"/>
        <v>0</v>
      </c>
      <c r="BG216" s="1">
        <f>SUMIFS(
  '[1]Hoja 1'!$M:$M,
  '[1]Hoja 1'!$S:$S, $A216,
  '[1]Hoja 1'!$R:$R, "&gt;="&amp;INT($BI$1),
  '[1]Hoja 1'!$R:$R, "&lt;"&amp;INT($BJ$1+1)
)</f>
        <v>0</v>
      </c>
      <c r="BH216" s="1">
        <f t="shared" si="292"/>
        <v>0</v>
      </c>
      <c r="BI216" s="9">
        <f t="shared" si="293"/>
        <v>0</v>
      </c>
      <c r="BJ216" s="10">
        <f t="shared" si="294"/>
        <v>0</v>
      </c>
      <c r="BK216" s="1">
        <f>SUMIFS(
  '[1]Hoja 1'!$M:$M,
  '[1]Hoja 1'!$S:$S, $A216,
  '[1]Hoja 1'!$R:$R, "&gt;="&amp;INT($BM$1),
  '[1]Hoja 1'!$R:$R, "&lt;"&amp;INT($BN$1+1)
)</f>
        <v>0</v>
      </c>
      <c r="BL216" s="1">
        <f t="shared" si="295"/>
        <v>0</v>
      </c>
      <c r="BM216" s="9">
        <f t="shared" si="296"/>
        <v>0</v>
      </c>
      <c r="BN216" s="10">
        <f t="shared" si="297"/>
        <v>0</v>
      </c>
      <c r="BO216" s="1">
        <f>SUMIFS(
  '[1]Hoja 1'!$M:$M,
  '[1]Hoja 1'!$S:$S, $A216,
  '[1]Hoja 1'!$R:$R, "&gt;="&amp;INT($BQ$1),
  '[1]Hoja 1'!$R:$R, "&lt;"&amp;INT($BR$1+1)
)</f>
        <v>0</v>
      </c>
      <c r="BP216" s="1">
        <f t="shared" si="298"/>
        <v>0</v>
      </c>
      <c r="BQ216" s="9">
        <f t="shared" si="299"/>
        <v>0</v>
      </c>
      <c r="BR216" s="10">
        <f t="shared" si="300"/>
        <v>0</v>
      </c>
      <c r="BS216" s="1">
        <f>SUMIFS(
  '[1]Hoja 1'!$M:$M,
  '[1]Hoja 1'!$S:$S, $A216,
  '[1]Hoja 1'!$R:$R, "&gt;="&amp;INT($BU$1),
  '[1]Hoja 1'!$R:$R, "&lt;"&amp;INT($BV$1+1)
)</f>
        <v>0</v>
      </c>
      <c r="BT216" s="1">
        <f t="shared" si="301"/>
        <v>0</v>
      </c>
      <c r="BU216" s="9">
        <f t="shared" si="302"/>
        <v>0</v>
      </c>
      <c r="BV216" s="10">
        <f t="shared" si="303"/>
        <v>0</v>
      </c>
      <c r="BW216" s="1">
        <f>SUMIFS(
  '[1]Hoja 1'!$M:$M,
  '[1]Hoja 1'!$S:$S, $A216,
  '[1]Hoja 1'!$R:$R, "&gt;="&amp;INT($BY$1),
  '[1]Hoja 1'!$R:$R, "&lt;"&amp;INT($BZ$1+1)
)</f>
        <v>0</v>
      </c>
      <c r="BX216" s="1">
        <f t="shared" si="304"/>
        <v>0</v>
      </c>
      <c r="BY216" s="9">
        <f t="shared" si="305"/>
        <v>0</v>
      </c>
      <c r="BZ216" s="10">
        <f t="shared" si="306"/>
        <v>0</v>
      </c>
      <c r="CA216" s="1">
        <f>SUMIFS(
  '[1]Hoja 1'!$M:$M,
  '[1]Hoja 1'!$S:$S, $A216,
  '[1]Hoja 1'!$R:$R, "&gt;="&amp;INT($CC$1),
  '[1]Hoja 1'!$R:$R, "&lt;"&amp;INT($CD$1+1)
)</f>
        <v>0</v>
      </c>
      <c r="CB216" s="1">
        <f t="shared" si="307"/>
        <v>0</v>
      </c>
      <c r="CC216" s="9">
        <f t="shared" si="308"/>
        <v>0</v>
      </c>
      <c r="CD216" s="10">
        <f t="shared" si="309"/>
        <v>0</v>
      </c>
      <c r="CE216" s="1">
        <f>SUMIFS(
  '[1]Hoja 1'!$M:$M,
  '[1]Hoja 1'!$S:$S, $A216,
  '[1]Hoja 1'!$R:$R, "&gt;="&amp;INT($CG$1),
  '[1]Hoja 1'!$R:$R, "&lt;"&amp;INT($CH$1+1)
)</f>
        <v>0</v>
      </c>
      <c r="CF216" s="1">
        <f t="shared" si="310"/>
        <v>0</v>
      </c>
      <c r="CG216" s="9">
        <f t="shared" si="311"/>
        <v>0</v>
      </c>
      <c r="CH216" s="10">
        <f t="shared" si="312"/>
        <v>0</v>
      </c>
      <c r="CI216" s="1">
        <f>SUMIFS(
  '[1]Hoja 1'!$M:$M,
  '[1]Hoja 1'!$S:$S, $A216,
  '[1]Hoja 1'!$R:$R, "&gt;="&amp;INT($CK$1),
  '[1]Hoja 1'!$R:$R, "&lt;"&amp;INT($CL$1+1)
)</f>
        <v>0</v>
      </c>
      <c r="CJ216" s="1">
        <f t="shared" si="313"/>
        <v>0</v>
      </c>
      <c r="CK216" s="9">
        <f t="shared" si="314"/>
        <v>0</v>
      </c>
      <c r="CL216" s="10">
        <f t="shared" si="315"/>
        <v>0</v>
      </c>
      <c r="CM216" s="1">
        <f>SUMIFS(
  '[1]Hoja 1'!$M:$M,
  '[1]Hoja 1'!$S:$S, $A216,
  '[1]Hoja 1'!$R:$R, "&gt;="&amp;INT($CO$1),
  '[1]Hoja 1'!$R:$R, "&lt;"&amp;INT($CP$1+1)
)</f>
        <v>0</v>
      </c>
      <c r="CN216" s="1">
        <f t="shared" si="316"/>
        <v>0</v>
      </c>
      <c r="CO216" s="9">
        <f t="shared" si="317"/>
        <v>0</v>
      </c>
      <c r="CP216" s="10">
        <f t="shared" si="318"/>
        <v>0</v>
      </c>
      <c r="CQ216" s="1">
        <f>SUMIFS(
  '[1]Hoja 1'!$M:$M,
  '[1]Hoja 1'!$S:$S, $A216,
  '[1]Hoja 1'!$R:$R, "&gt;="&amp;INT($CS$1),
  '[1]Hoja 1'!$R:$R, "&lt;"&amp;INT($CT$1+1)
)</f>
        <v>0</v>
      </c>
      <c r="CR216" s="1">
        <f t="shared" si="319"/>
        <v>0</v>
      </c>
      <c r="CS216" s="9">
        <f t="shared" si="320"/>
        <v>0</v>
      </c>
      <c r="CT216" s="10">
        <f t="shared" si="321"/>
        <v>0</v>
      </c>
      <c r="CU216" s="1">
        <f>SUMIFS(
  '[1]Hoja 1'!$M:$M,
  '[1]Hoja 1'!$S:$S, $A216,
  '[1]Hoja 1'!$R:$R, "&gt;="&amp;INT($CW$1),
  '[1]Hoja 1'!$R:$R, "&lt;"&amp;INT($CX$1+1)
)</f>
        <v>0</v>
      </c>
      <c r="CV216" s="1">
        <f t="shared" si="322"/>
        <v>0</v>
      </c>
      <c r="CW216" s="9">
        <f t="shared" si="323"/>
        <v>0</v>
      </c>
      <c r="CX216" s="10">
        <f t="shared" si="324"/>
        <v>0</v>
      </c>
      <c r="CY216" s="1">
        <f>SUMIFS(
  '[1]Hoja 1'!$M:$M,
  '[1]Hoja 1'!$S:$S, $A216,
  '[1]Hoja 1'!$R:$R, "&gt;="&amp;INT($DA$1),
  '[1]Hoja 1'!$R:$R, "&lt;"&amp;INT($DB$1+1)
)</f>
        <v>0</v>
      </c>
      <c r="CZ216" s="1">
        <f t="shared" si="325"/>
        <v>0</v>
      </c>
      <c r="DA216" s="9">
        <f t="shared" si="326"/>
        <v>0</v>
      </c>
      <c r="DB216" s="10">
        <f t="shared" si="327"/>
        <v>0</v>
      </c>
      <c r="DC216" s="1">
        <f>SUMIFS(
  '[1]Hoja 1'!$M:$M,
  '[1]Hoja 1'!$S:$S, $A216,
  '[1]Hoja 1'!$R:$R, "&gt;="&amp;INT($DE$1),
  '[1]Hoja 1'!$R:$R, "&lt;"&amp;INT($DF$1+1)
)</f>
        <v>0</v>
      </c>
      <c r="DD216" s="1">
        <f t="shared" si="328"/>
        <v>0</v>
      </c>
      <c r="DE216" s="9">
        <f t="shared" si="329"/>
        <v>0</v>
      </c>
      <c r="DF216" s="10">
        <f t="shared" si="330"/>
        <v>0</v>
      </c>
      <c r="DG216" s="1">
        <f>SUMIFS(
  '[1]Hoja 1'!$M:$M,
  '[1]Hoja 1'!$S:$S, $A216,
  '[1]Hoja 1'!$R:$R, "&gt;="&amp;INT($DI$1),
  '[1]Hoja 1'!$R:$R, "&lt;"&amp;INT($DJ$1+1)
)</f>
        <v>0</v>
      </c>
      <c r="DH216" s="1">
        <f t="shared" si="331"/>
        <v>0</v>
      </c>
      <c r="DI216" s="9">
        <f t="shared" si="332"/>
        <v>0</v>
      </c>
      <c r="DJ216" s="10">
        <f t="shared" si="333"/>
        <v>0</v>
      </c>
      <c r="DK216" s="1">
        <f>SUMIFS(
  '[1]Hoja 1'!$M:$M,
  '[1]Hoja 1'!$S:$S, $A216,
  '[1]Hoja 1'!$R:$R, "&gt;="&amp;INT($DM$1),
  '[1]Hoja 1'!$R:$R, "&lt;"&amp;INT($DN$1+1)
)</f>
        <v>0</v>
      </c>
      <c r="DL216" s="1">
        <f t="shared" si="334"/>
        <v>0</v>
      </c>
      <c r="DM216" s="9">
        <f t="shared" si="335"/>
        <v>0</v>
      </c>
      <c r="DN216" s="10">
        <f t="shared" si="336"/>
        <v>0</v>
      </c>
      <c r="DO216" s="1">
        <f>SUMIFS(
  '[1]Hoja 1'!$M:$M,
  '[1]Hoja 1'!$S:$S, $A216,
  '[1]Hoja 1'!$R:$R, "&gt;="&amp;INT($DQ$1),
  '[1]Hoja 1'!$R:$R, "&lt;"&amp;INT($DR$1+1)
)</f>
        <v>0</v>
      </c>
      <c r="DP216" s="1">
        <f t="shared" si="337"/>
        <v>0</v>
      </c>
      <c r="DQ216" s="9">
        <f t="shared" si="338"/>
        <v>0</v>
      </c>
      <c r="DR216" s="10">
        <f t="shared" si="339"/>
        <v>0</v>
      </c>
    </row>
    <row r="217" spans="1:122" x14ac:dyDescent="0.25">
      <c r="A217" s="5">
        <v>237003</v>
      </c>
      <c r="B217" s="6" t="s">
        <v>213</v>
      </c>
      <c r="C217" s="1">
        <f>SUMIFS(
  '[1]Hoja 1'!$M:$M,
  '[1]Hoja 1'!$S:$S, $A217,
  '[1]Hoja 1'!$R:$R, "&gt;="&amp;INT($E$1),
  '[1]Hoja 1'!$R:$R, "&lt;"&amp;INT($F$1+1)
)</f>
        <v>0</v>
      </c>
      <c r="D217" s="1" t="str">
        <f>""</f>
        <v/>
      </c>
      <c r="F217" s="2"/>
      <c r="G217" s="1">
        <f>SUMIFS(
  '[1]Hoja 1'!$M:$M,
  '[1]Hoja 1'!$S:$S, $A217,
  '[1]Hoja 1'!$R:$R, "&gt;="&amp;INT($I$1),
  '[1]Hoja 1'!$R:$R, "&lt;"&amp;INT($J$1+1)
)</f>
        <v>0</v>
      </c>
      <c r="H217" s="1">
        <f t="shared" si="255"/>
        <v>0</v>
      </c>
      <c r="I217" s="1"/>
      <c r="J217" s="2"/>
      <c r="K217" s="1">
        <f>SUMIFS(
  '[1]Hoja 1'!$M:$M,
  '[1]Hoja 1'!$S:$S, $A217,
  '[1]Hoja 1'!$R:$R, "&gt;="&amp;INT($M$1),
  '[1]Hoja 1'!$R:$R, "&lt;"&amp;INT($N$1+1)
)</f>
        <v>0</v>
      </c>
      <c r="L217" s="1">
        <f t="shared" si="256"/>
        <v>0</v>
      </c>
      <c r="M217" s="9">
        <f t="shared" si="257"/>
        <v>0</v>
      </c>
      <c r="N217" s="10">
        <f t="shared" si="258"/>
        <v>0</v>
      </c>
      <c r="O217" s="1">
        <f>SUMIFS(
  '[1]Hoja 1'!$M:$M,
  '[1]Hoja 1'!$S:$S, $A217,
  '[1]Hoja 1'!$R:$R, "&gt;="&amp;INT($Q$1),
  '[1]Hoja 1'!$R:$R, "&lt;"&amp;INT($R$1+1)
)</f>
        <v>0</v>
      </c>
      <c r="P217" s="1">
        <f t="shared" si="259"/>
        <v>0</v>
      </c>
      <c r="Q217" s="9">
        <f t="shared" si="260"/>
        <v>0</v>
      </c>
      <c r="R217" s="10">
        <f t="shared" si="261"/>
        <v>0</v>
      </c>
      <c r="S217" s="1">
        <f>SUMIFS(
  '[1]Hoja 1'!$M:$M,
  '[1]Hoja 1'!$S:$S, $A217,
  '[1]Hoja 1'!$R:$R, "&gt;="&amp;INT($U$1),
  '[1]Hoja 1'!$R:$R, "&lt;"&amp;INT($V$1+1)
)</f>
        <v>0</v>
      </c>
      <c r="T217" s="1">
        <f t="shared" si="262"/>
        <v>0</v>
      </c>
      <c r="U217" s="9">
        <f t="shared" si="263"/>
        <v>0</v>
      </c>
      <c r="V217" s="10">
        <f t="shared" si="264"/>
        <v>0</v>
      </c>
      <c r="W217" s="1">
        <f>SUMIFS(
  '[1]Hoja 1'!$M:$M,
  '[1]Hoja 1'!$S:$S, $A217,
  '[1]Hoja 1'!$R:$R, "&gt;="&amp;INT($Y$1),
  '[1]Hoja 1'!$R:$R, "&lt;"&amp;INT($Z$1+1)
)</f>
        <v>0</v>
      </c>
      <c r="X217" s="1">
        <f t="shared" si="265"/>
        <v>0</v>
      </c>
      <c r="Y217" s="9">
        <f t="shared" si="266"/>
        <v>0</v>
      </c>
      <c r="Z217" s="10">
        <f t="shared" si="267"/>
        <v>0</v>
      </c>
      <c r="AA217" s="1">
        <f>SUMIFS(
  '[1]Hoja 1'!$M:$M,
  '[1]Hoja 1'!$S:$S, $A217,
  '[1]Hoja 1'!$R:$R, "&gt;="&amp;INT($AC$1),
  '[1]Hoja 1'!$R:$R, "&lt;"&amp;INT($AD$1+1)
)</f>
        <v>0</v>
      </c>
      <c r="AB217" s="1">
        <f t="shared" si="268"/>
        <v>0</v>
      </c>
      <c r="AC217" s="9">
        <f t="shared" si="269"/>
        <v>0</v>
      </c>
      <c r="AD217" s="10">
        <f t="shared" si="270"/>
        <v>0</v>
      </c>
      <c r="AE217" s="1">
        <f>SUMIFS(
  '[1]Hoja 1'!$M:$M,
  '[1]Hoja 1'!$S:$S, $A217,
  '[1]Hoja 1'!$R:$R, "&gt;="&amp;INT($AG$1),
  '[1]Hoja 1'!$R:$R, "&lt;"&amp;INT($AH$1+1)
)</f>
        <v>0</v>
      </c>
      <c r="AF217" s="1">
        <f t="shared" si="271"/>
        <v>0</v>
      </c>
      <c r="AG217" s="9">
        <f t="shared" si="272"/>
        <v>0</v>
      </c>
      <c r="AH217" s="10">
        <f t="shared" si="273"/>
        <v>0</v>
      </c>
      <c r="AI217" s="1">
        <f>SUMIFS(
  '[1]Hoja 1'!$M:$M,
  '[1]Hoja 1'!$S:$S, $A217,
  '[1]Hoja 1'!$R:$R, "&gt;="&amp;INT($AK$1),
  '[1]Hoja 1'!$R:$R, "&lt;"&amp;INT($AL$1+1)
)</f>
        <v>0</v>
      </c>
      <c r="AJ217" s="1">
        <f t="shared" si="274"/>
        <v>0</v>
      </c>
      <c r="AK217" s="9">
        <f t="shared" si="275"/>
        <v>0</v>
      </c>
      <c r="AL217" s="10">
        <f t="shared" si="276"/>
        <v>0</v>
      </c>
      <c r="AM217" s="1">
        <f>SUMIFS(
  '[1]Hoja 1'!$M:$M,
  '[1]Hoja 1'!$S:$S, $A217,
  '[1]Hoja 1'!$R:$R, "&gt;="&amp;INT($AO$1),
  '[1]Hoja 1'!$R:$R, "&lt;"&amp;INT($AP$1+1)
)</f>
        <v>0</v>
      </c>
      <c r="AN217" s="1">
        <f t="shared" si="277"/>
        <v>0</v>
      </c>
      <c r="AO217" s="9">
        <f t="shared" si="278"/>
        <v>0</v>
      </c>
      <c r="AP217" s="10">
        <f t="shared" si="279"/>
        <v>0</v>
      </c>
      <c r="AQ217" s="1">
        <f>SUMIFS(
  '[1]Hoja 1'!$M:$M,
  '[1]Hoja 1'!$S:$S, $A217,
  '[1]Hoja 1'!$R:$R, "&gt;="&amp;INT($AS$1),
  '[1]Hoja 1'!$R:$R, "&lt;"&amp;INT($AT$1+1)
)</f>
        <v>0</v>
      </c>
      <c r="AR217" s="1">
        <f t="shared" si="280"/>
        <v>0</v>
      </c>
      <c r="AS217" s="9">
        <f t="shared" si="281"/>
        <v>0</v>
      </c>
      <c r="AT217" s="10">
        <f t="shared" si="282"/>
        <v>0</v>
      </c>
      <c r="AU217" s="1">
        <f>SUMIFS(
  '[1]Hoja 1'!$M:$M,
  '[1]Hoja 1'!$S:$S, $A217,
  '[1]Hoja 1'!$R:$R, "&gt;="&amp;INT($AW$1),
  '[1]Hoja 1'!$R:$R, "&lt;"&amp;INT($AX$1+1)
)</f>
        <v>0</v>
      </c>
      <c r="AV217" s="1">
        <f t="shared" si="283"/>
        <v>0</v>
      </c>
      <c r="AW217" s="9">
        <f t="shared" si="284"/>
        <v>0</v>
      </c>
      <c r="AX217" s="10">
        <f t="shared" si="285"/>
        <v>0</v>
      </c>
      <c r="AY217" s="1">
        <f>SUMIFS(
  '[1]Hoja 1'!$M:$M,
  '[1]Hoja 1'!$S:$S, $A217,
  '[1]Hoja 1'!$R:$R, "&gt;="&amp;INT($BA$1),
  '[1]Hoja 1'!$R:$R, "&lt;"&amp;INT($BB$1+1)
)</f>
        <v>0</v>
      </c>
      <c r="AZ217" s="1">
        <f t="shared" si="286"/>
        <v>0</v>
      </c>
      <c r="BA217" s="9">
        <f t="shared" si="287"/>
        <v>0</v>
      </c>
      <c r="BB217" s="10">
        <f t="shared" si="288"/>
        <v>0</v>
      </c>
      <c r="BC217" s="1">
        <f>SUMIFS(
  '[1]Hoja 1'!$M:$M,
  '[1]Hoja 1'!$S:$S, $A217,
  '[1]Hoja 1'!$R:$R, "&gt;="&amp;INT($BE$1),
  '[1]Hoja 1'!$R:$R, "&lt;"&amp;INT($BF$1+1)
)</f>
        <v>0</v>
      </c>
      <c r="BD217" s="1">
        <f t="shared" si="289"/>
        <v>0</v>
      </c>
      <c r="BE217" s="9">
        <f t="shared" si="290"/>
        <v>0</v>
      </c>
      <c r="BF217" s="10">
        <f t="shared" si="291"/>
        <v>0</v>
      </c>
      <c r="BG217" s="1">
        <f>SUMIFS(
  '[1]Hoja 1'!$M:$M,
  '[1]Hoja 1'!$S:$S, $A217,
  '[1]Hoja 1'!$R:$R, "&gt;="&amp;INT($BI$1),
  '[1]Hoja 1'!$R:$R, "&lt;"&amp;INT($BJ$1+1)
)</f>
        <v>0</v>
      </c>
      <c r="BH217" s="1">
        <f t="shared" si="292"/>
        <v>0</v>
      </c>
      <c r="BI217" s="9">
        <f t="shared" si="293"/>
        <v>0</v>
      </c>
      <c r="BJ217" s="10">
        <f t="shared" si="294"/>
        <v>0</v>
      </c>
      <c r="BK217" s="1">
        <f>SUMIFS(
  '[1]Hoja 1'!$M:$M,
  '[1]Hoja 1'!$S:$S, $A217,
  '[1]Hoja 1'!$R:$R, "&gt;="&amp;INT($BM$1),
  '[1]Hoja 1'!$R:$R, "&lt;"&amp;INT($BN$1+1)
)</f>
        <v>0</v>
      </c>
      <c r="BL217" s="1">
        <f t="shared" si="295"/>
        <v>0</v>
      </c>
      <c r="BM217" s="9">
        <f t="shared" si="296"/>
        <v>0</v>
      </c>
      <c r="BN217" s="10">
        <f t="shared" si="297"/>
        <v>0</v>
      </c>
      <c r="BO217" s="1">
        <f>SUMIFS(
  '[1]Hoja 1'!$M:$M,
  '[1]Hoja 1'!$S:$S, $A217,
  '[1]Hoja 1'!$R:$R, "&gt;="&amp;INT($BQ$1),
  '[1]Hoja 1'!$R:$R, "&lt;"&amp;INT($BR$1+1)
)</f>
        <v>0</v>
      </c>
      <c r="BP217" s="1">
        <f t="shared" si="298"/>
        <v>0</v>
      </c>
      <c r="BQ217" s="9">
        <f t="shared" si="299"/>
        <v>0</v>
      </c>
      <c r="BR217" s="10">
        <f t="shared" si="300"/>
        <v>0</v>
      </c>
      <c r="BS217" s="1">
        <f>SUMIFS(
  '[1]Hoja 1'!$M:$M,
  '[1]Hoja 1'!$S:$S, $A217,
  '[1]Hoja 1'!$R:$R, "&gt;="&amp;INT($BU$1),
  '[1]Hoja 1'!$R:$R, "&lt;"&amp;INT($BV$1+1)
)</f>
        <v>0</v>
      </c>
      <c r="BT217" s="1">
        <f t="shared" si="301"/>
        <v>0</v>
      </c>
      <c r="BU217" s="9">
        <f t="shared" si="302"/>
        <v>0</v>
      </c>
      <c r="BV217" s="10">
        <f t="shared" si="303"/>
        <v>0</v>
      </c>
      <c r="BW217" s="1">
        <f>SUMIFS(
  '[1]Hoja 1'!$M:$M,
  '[1]Hoja 1'!$S:$S, $A217,
  '[1]Hoja 1'!$R:$R, "&gt;="&amp;INT($BY$1),
  '[1]Hoja 1'!$R:$R, "&lt;"&amp;INT($BZ$1+1)
)</f>
        <v>0</v>
      </c>
      <c r="BX217" s="1">
        <f t="shared" si="304"/>
        <v>0</v>
      </c>
      <c r="BY217" s="9">
        <f t="shared" si="305"/>
        <v>0</v>
      </c>
      <c r="BZ217" s="10">
        <f t="shared" si="306"/>
        <v>0</v>
      </c>
      <c r="CA217" s="1">
        <f>SUMIFS(
  '[1]Hoja 1'!$M:$M,
  '[1]Hoja 1'!$S:$S, $A217,
  '[1]Hoja 1'!$R:$R, "&gt;="&amp;INT($CC$1),
  '[1]Hoja 1'!$R:$R, "&lt;"&amp;INT($CD$1+1)
)</f>
        <v>0</v>
      </c>
      <c r="CB217" s="1">
        <f t="shared" si="307"/>
        <v>0</v>
      </c>
      <c r="CC217" s="9">
        <f t="shared" si="308"/>
        <v>0</v>
      </c>
      <c r="CD217" s="10">
        <f t="shared" si="309"/>
        <v>0</v>
      </c>
      <c r="CE217" s="1">
        <f>SUMIFS(
  '[1]Hoja 1'!$M:$M,
  '[1]Hoja 1'!$S:$S, $A217,
  '[1]Hoja 1'!$R:$R, "&gt;="&amp;INT($CG$1),
  '[1]Hoja 1'!$R:$R, "&lt;"&amp;INT($CH$1+1)
)</f>
        <v>0</v>
      </c>
      <c r="CF217" s="1">
        <f t="shared" si="310"/>
        <v>0</v>
      </c>
      <c r="CG217" s="9">
        <f t="shared" si="311"/>
        <v>0</v>
      </c>
      <c r="CH217" s="10">
        <f t="shared" si="312"/>
        <v>0</v>
      </c>
      <c r="CI217" s="1">
        <f>SUMIFS(
  '[1]Hoja 1'!$M:$M,
  '[1]Hoja 1'!$S:$S, $A217,
  '[1]Hoja 1'!$R:$R, "&gt;="&amp;INT($CK$1),
  '[1]Hoja 1'!$R:$R, "&lt;"&amp;INT($CL$1+1)
)</f>
        <v>0</v>
      </c>
      <c r="CJ217" s="1">
        <f t="shared" si="313"/>
        <v>0</v>
      </c>
      <c r="CK217" s="9">
        <f t="shared" si="314"/>
        <v>0</v>
      </c>
      <c r="CL217" s="10">
        <f t="shared" si="315"/>
        <v>0</v>
      </c>
      <c r="CM217" s="1">
        <f>SUMIFS(
  '[1]Hoja 1'!$M:$M,
  '[1]Hoja 1'!$S:$S, $A217,
  '[1]Hoja 1'!$R:$R, "&gt;="&amp;INT($CO$1),
  '[1]Hoja 1'!$R:$R, "&lt;"&amp;INT($CP$1+1)
)</f>
        <v>0</v>
      </c>
      <c r="CN217" s="1">
        <f t="shared" si="316"/>
        <v>0</v>
      </c>
      <c r="CO217" s="9">
        <f t="shared" si="317"/>
        <v>0</v>
      </c>
      <c r="CP217" s="10">
        <f t="shared" si="318"/>
        <v>0</v>
      </c>
      <c r="CQ217" s="1">
        <f>SUMIFS(
  '[1]Hoja 1'!$M:$M,
  '[1]Hoja 1'!$S:$S, $A217,
  '[1]Hoja 1'!$R:$R, "&gt;="&amp;INT($CS$1),
  '[1]Hoja 1'!$R:$R, "&lt;"&amp;INT($CT$1+1)
)</f>
        <v>0</v>
      </c>
      <c r="CR217" s="1">
        <f t="shared" si="319"/>
        <v>0</v>
      </c>
      <c r="CS217" s="9">
        <f t="shared" si="320"/>
        <v>0</v>
      </c>
      <c r="CT217" s="10">
        <f t="shared" si="321"/>
        <v>0</v>
      </c>
      <c r="CU217" s="1">
        <f>SUMIFS(
  '[1]Hoja 1'!$M:$M,
  '[1]Hoja 1'!$S:$S, $A217,
  '[1]Hoja 1'!$R:$R, "&gt;="&amp;INT($CW$1),
  '[1]Hoja 1'!$R:$R, "&lt;"&amp;INT($CX$1+1)
)</f>
        <v>0</v>
      </c>
      <c r="CV217" s="1">
        <f t="shared" si="322"/>
        <v>0</v>
      </c>
      <c r="CW217" s="9">
        <f t="shared" si="323"/>
        <v>0</v>
      </c>
      <c r="CX217" s="10">
        <f t="shared" si="324"/>
        <v>0</v>
      </c>
      <c r="CY217" s="1">
        <f>SUMIFS(
  '[1]Hoja 1'!$M:$M,
  '[1]Hoja 1'!$S:$S, $A217,
  '[1]Hoja 1'!$R:$R, "&gt;="&amp;INT($DA$1),
  '[1]Hoja 1'!$R:$R, "&lt;"&amp;INT($DB$1+1)
)</f>
        <v>0</v>
      </c>
      <c r="CZ217" s="1">
        <f t="shared" si="325"/>
        <v>0</v>
      </c>
      <c r="DA217" s="9">
        <f t="shared" si="326"/>
        <v>0</v>
      </c>
      <c r="DB217" s="10">
        <f t="shared" si="327"/>
        <v>0</v>
      </c>
      <c r="DC217" s="1">
        <f>SUMIFS(
  '[1]Hoja 1'!$M:$M,
  '[1]Hoja 1'!$S:$S, $A217,
  '[1]Hoja 1'!$R:$R, "&gt;="&amp;INT($DE$1),
  '[1]Hoja 1'!$R:$R, "&lt;"&amp;INT($DF$1+1)
)</f>
        <v>0</v>
      </c>
      <c r="DD217" s="1">
        <f t="shared" si="328"/>
        <v>0</v>
      </c>
      <c r="DE217" s="9">
        <f t="shared" si="329"/>
        <v>0</v>
      </c>
      <c r="DF217" s="10">
        <f t="shared" si="330"/>
        <v>0</v>
      </c>
      <c r="DG217" s="1">
        <f>SUMIFS(
  '[1]Hoja 1'!$M:$M,
  '[1]Hoja 1'!$S:$S, $A217,
  '[1]Hoja 1'!$R:$R, "&gt;="&amp;INT($DI$1),
  '[1]Hoja 1'!$R:$R, "&lt;"&amp;INT($DJ$1+1)
)</f>
        <v>0</v>
      </c>
      <c r="DH217" s="1">
        <f t="shared" si="331"/>
        <v>0</v>
      </c>
      <c r="DI217" s="9">
        <f t="shared" si="332"/>
        <v>0</v>
      </c>
      <c r="DJ217" s="10">
        <f t="shared" si="333"/>
        <v>0</v>
      </c>
      <c r="DK217" s="1">
        <f>SUMIFS(
  '[1]Hoja 1'!$M:$M,
  '[1]Hoja 1'!$S:$S, $A217,
  '[1]Hoja 1'!$R:$R, "&gt;="&amp;INT($DM$1),
  '[1]Hoja 1'!$R:$R, "&lt;"&amp;INT($DN$1+1)
)</f>
        <v>0</v>
      </c>
      <c r="DL217" s="1">
        <f t="shared" si="334"/>
        <v>0</v>
      </c>
      <c r="DM217" s="9">
        <f t="shared" si="335"/>
        <v>0</v>
      </c>
      <c r="DN217" s="10">
        <f t="shared" si="336"/>
        <v>0</v>
      </c>
      <c r="DO217" s="1">
        <f>SUMIFS(
  '[1]Hoja 1'!$M:$M,
  '[1]Hoja 1'!$S:$S, $A217,
  '[1]Hoja 1'!$R:$R, "&gt;="&amp;INT($DQ$1),
  '[1]Hoja 1'!$R:$R, "&lt;"&amp;INT($DR$1+1)
)</f>
        <v>0</v>
      </c>
      <c r="DP217" s="1">
        <f t="shared" si="337"/>
        <v>0</v>
      </c>
      <c r="DQ217" s="9">
        <f t="shared" si="338"/>
        <v>0</v>
      </c>
      <c r="DR217" s="10">
        <f t="shared" si="339"/>
        <v>0</v>
      </c>
    </row>
    <row r="218" spans="1:122" x14ac:dyDescent="0.25">
      <c r="A218" s="5">
        <v>237004</v>
      </c>
      <c r="B218" s="6" t="s">
        <v>10</v>
      </c>
      <c r="C218" s="1">
        <f>SUMIFS(
  '[1]Hoja 1'!$M:$M,
  '[1]Hoja 1'!$S:$S, $A218,
  '[1]Hoja 1'!$R:$R, "&gt;="&amp;INT($E$1),
  '[1]Hoja 1'!$R:$R, "&lt;"&amp;INT($F$1+1)
)</f>
        <v>0</v>
      </c>
      <c r="D218" s="1" t="str">
        <f>""</f>
        <v/>
      </c>
      <c r="F218" s="2"/>
      <c r="G218" s="1">
        <f>SUMIFS(
  '[1]Hoja 1'!$M:$M,
  '[1]Hoja 1'!$S:$S, $A218,
  '[1]Hoja 1'!$R:$R, "&gt;="&amp;INT($I$1),
  '[1]Hoja 1'!$R:$R, "&lt;"&amp;INT($J$1+1)
)</f>
        <v>0</v>
      </c>
      <c r="H218" s="1">
        <f t="shared" si="255"/>
        <v>0</v>
      </c>
      <c r="I218" s="1"/>
      <c r="J218" s="2"/>
      <c r="K218" s="1">
        <f>SUMIFS(
  '[1]Hoja 1'!$M:$M,
  '[1]Hoja 1'!$S:$S, $A218,
  '[1]Hoja 1'!$R:$R, "&gt;="&amp;INT($M$1),
  '[1]Hoja 1'!$R:$R, "&lt;"&amp;INT($N$1+1)
)</f>
        <v>0</v>
      </c>
      <c r="L218" s="1">
        <f t="shared" si="256"/>
        <v>0</v>
      </c>
      <c r="M218" s="9">
        <f t="shared" si="257"/>
        <v>0</v>
      </c>
      <c r="N218" s="10">
        <f t="shared" si="258"/>
        <v>0</v>
      </c>
      <c r="O218" s="1">
        <f>SUMIFS(
  '[1]Hoja 1'!$M:$M,
  '[1]Hoja 1'!$S:$S, $A218,
  '[1]Hoja 1'!$R:$R, "&gt;="&amp;INT($Q$1),
  '[1]Hoja 1'!$R:$R, "&lt;"&amp;INT($R$1+1)
)</f>
        <v>0</v>
      </c>
      <c r="P218" s="1">
        <f t="shared" si="259"/>
        <v>0</v>
      </c>
      <c r="Q218" s="9">
        <f t="shared" si="260"/>
        <v>0</v>
      </c>
      <c r="R218" s="10">
        <f t="shared" si="261"/>
        <v>0</v>
      </c>
      <c r="S218" s="1">
        <f>SUMIFS(
  '[1]Hoja 1'!$M:$M,
  '[1]Hoja 1'!$S:$S, $A218,
  '[1]Hoja 1'!$R:$R, "&gt;="&amp;INT($U$1),
  '[1]Hoja 1'!$R:$R, "&lt;"&amp;INT($V$1+1)
)</f>
        <v>0</v>
      </c>
      <c r="T218" s="1">
        <f t="shared" si="262"/>
        <v>0</v>
      </c>
      <c r="U218" s="9">
        <f t="shared" si="263"/>
        <v>0</v>
      </c>
      <c r="V218" s="10">
        <f t="shared" si="264"/>
        <v>0</v>
      </c>
      <c r="W218" s="1">
        <f>SUMIFS(
  '[1]Hoja 1'!$M:$M,
  '[1]Hoja 1'!$S:$S, $A218,
  '[1]Hoja 1'!$R:$R, "&gt;="&amp;INT($Y$1),
  '[1]Hoja 1'!$R:$R, "&lt;"&amp;INT($Z$1+1)
)</f>
        <v>0</v>
      </c>
      <c r="X218" s="1">
        <f t="shared" si="265"/>
        <v>0</v>
      </c>
      <c r="Y218" s="9">
        <f t="shared" si="266"/>
        <v>0</v>
      </c>
      <c r="Z218" s="10">
        <f t="shared" si="267"/>
        <v>0</v>
      </c>
      <c r="AA218" s="1">
        <f>SUMIFS(
  '[1]Hoja 1'!$M:$M,
  '[1]Hoja 1'!$S:$S, $A218,
  '[1]Hoja 1'!$R:$R, "&gt;="&amp;INT($AC$1),
  '[1]Hoja 1'!$R:$R, "&lt;"&amp;INT($AD$1+1)
)</f>
        <v>0</v>
      </c>
      <c r="AB218" s="1">
        <f t="shared" si="268"/>
        <v>0</v>
      </c>
      <c r="AC218" s="9">
        <f t="shared" si="269"/>
        <v>0</v>
      </c>
      <c r="AD218" s="10">
        <f t="shared" si="270"/>
        <v>0</v>
      </c>
      <c r="AE218" s="1">
        <f>SUMIFS(
  '[1]Hoja 1'!$M:$M,
  '[1]Hoja 1'!$S:$S, $A218,
  '[1]Hoja 1'!$R:$R, "&gt;="&amp;INT($AG$1),
  '[1]Hoja 1'!$R:$R, "&lt;"&amp;INT($AH$1+1)
)</f>
        <v>0</v>
      </c>
      <c r="AF218" s="1">
        <f t="shared" si="271"/>
        <v>0</v>
      </c>
      <c r="AG218" s="9">
        <f t="shared" si="272"/>
        <v>0</v>
      </c>
      <c r="AH218" s="10">
        <f t="shared" si="273"/>
        <v>0</v>
      </c>
      <c r="AI218" s="1">
        <f>SUMIFS(
  '[1]Hoja 1'!$M:$M,
  '[1]Hoja 1'!$S:$S, $A218,
  '[1]Hoja 1'!$R:$R, "&gt;="&amp;INT($AK$1),
  '[1]Hoja 1'!$R:$R, "&lt;"&amp;INT($AL$1+1)
)</f>
        <v>0</v>
      </c>
      <c r="AJ218" s="1">
        <f t="shared" si="274"/>
        <v>0</v>
      </c>
      <c r="AK218" s="9">
        <f t="shared" si="275"/>
        <v>0</v>
      </c>
      <c r="AL218" s="10">
        <f t="shared" si="276"/>
        <v>0</v>
      </c>
      <c r="AM218" s="1">
        <f>SUMIFS(
  '[1]Hoja 1'!$M:$M,
  '[1]Hoja 1'!$S:$S, $A218,
  '[1]Hoja 1'!$R:$R, "&gt;="&amp;INT($AO$1),
  '[1]Hoja 1'!$R:$R, "&lt;"&amp;INT($AP$1+1)
)</f>
        <v>0</v>
      </c>
      <c r="AN218" s="1">
        <f t="shared" si="277"/>
        <v>0</v>
      </c>
      <c r="AO218" s="9">
        <f t="shared" si="278"/>
        <v>0</v>
      </c>
      <c r="AP218" s="10">
        <f t="shared" si="279"/>
        <v>0</v>
      </c>
      <c r="AQ218" s="1">
        <f>SUMIFS(
  '[1]Hoja 1'!$M:$M,
  '[1]Hoja 1'!$S:$S, $A218,
  '[1]Hoja 1'!$R:$R, "&gt;="&amp;INT($AS$1),
  '[1]Hoja 1'!$R:$R, "&lt;"&amp;INT($AT$1+1)
)</f>
        <v>0</v>
      </c>
      <c r="AR218" s="1">
        <f t="shared" si="280"/>
        <v>0</v>
      </c>
      <c r="AS218" s="9">
        <f t="shared" si="281"/>
        <v>0</v>
      </c>
      <c r="AT218" s="10">
        <f t="shared" si="282"/>
        <v>0</v>
      </c>
      <c r="AU218" s="1">
        <f>SUMIFS(
  '[1]Hoja 1'!$M:$M,
  '[1]Hoja 1'!$S:$S, $A218,
  '[1]Hoja 1'!$R:$R, "&gt;="&amp;INT($AW$1),
  '[1]Hoja 1'!$R:$R, "&lt;"&amp;INT($AX$1+1)
)</f>
        <v>0</v>
      </c>
      <c r="AV218" s="1">
        <f t="shared" si="283"/>
        <v>0</v>
      </c>
      <c r="AW218" s="9">
        <f t="shared" si="284"/>
        <v>0</v>
      </c>
      <c r="AX218" s="10">
        <f t="shared" si="285"/>
        <v>0</v>
      </c>
      <c r="AY218" s="1">
        <f>SUMIFS(
  '[1]Hoja 1'!$M:$M,
  '[1]Hoja 1'!$S:$S, $A218,
  '[1]Hoja 1'!$R:$R, "&gt;="&amp;INT($BA$1),
  '[1]Hoja 1'!$R:$R, "&lt;"&amp;INT($BB$1+1)
)</f>
        <v>0</v>
      </c>
      <c r="AZ218" s="1">
        <f t="shared" si="286"/>
        <v>0</v>
      </c>
      <c r="BA218" s="9">
        <f t="shared" si="287"/>
        <v>0</v>
      </c>
      <c r="BB218" s="10">
        <f t="shared" si="288"/>
        <v>0</v>
      </c>
      <c r="BC218" s="1">
        <f>SUMIFS(
  '[1]Hoja 1'!$M:$M,
  '[1]Hoja 1'!$S:$S, $A218,
  '[1]Hoja 1'!$R:$R, "&gt;="&amp;INT($BE$1),
  '[1]Hoja 1'!$R:$R, "&lt;"&amp;INT($BF$1+1)
)</f>
        <v>0</v>
      </c>
      <c r="BD218" s="1">
        <f t="shared" si="289"/>
        <v>0</v>
      </c>
      <c r="BE218" s="9">
        <f t="shared" si="290"/>
        <v>0</v>
      </c>
      <c r="BF218" s="10">
        <f t="shared" si="291"/>
        <v>0</v>
      </c>
      <c r="BG218" s="1">
        <f>SUMIFS(
  '[1]Hoja 1'!$M:$M,
  '[1]Hoja 1'!$S:$S, $A218,
  '[1]Hoja 1'!$R:$R, "&gt;="&amp;INT($BI$1),
  '[1]Hoja 1'!$R:$R, "&lt;"&amp;INT($BJ$1+1)
)</f>
        <v>0</v>
      </c>
      <c r="BH218" s="1">
        <f t="shared" si="292"/>
        <v>0</v>
      </c>
      <c r="BI218" s="9">
        <f t="shared" si="293"/>
        <v>0</v>
      </c>
      <c r="BJ218" s="10">
        <f t="shared" si="294"/>
        <v>0</v>
      </c>
      <c r="BK218" s="1">
        <f>SUMIFS(
  '[1]Hoja 1'!$M:$M,
  '[1]Hoja 1'!$S:$S, $A218,
  '[1]Hoja 1'!$R:$R, "&gt;="&amp;INT($BM$1),
  '[1]Hoja 1'!$R:$R, "&lt;"&amp;INT($BN$1+1)
)</f>
        <v>0</v>
      </c>
      <c r="BL218" s="1">
        <f t="shared" si="295"/>
        <v>0</v>
      </c>
      <c r="BM218" s="9">
        <f t="shared" si="296"/>
        <v>0</v>
      </c>
      <c r="BN218" s="10">
        <f t="shared" si="297"/>
        <v>0</v>
      </c>
      <c r="BO218" s="1">
        <f>SUMIFS(
  '[1]Hoja 1'!$M:$M,
  '[1]Hoja 1'!$S:$S, $A218,
  '[1]Hoja 1'!$R:$R, "&gt;="&amp;INT($BQ$1),
  '[1]Hoja 1'!$R:$R, "&lt;"&amp;INT($BR$1+1)
)</f>
        <v>0</v>
      </c>
      <c r="BP218" s="1">
        <f t="shared" si="298"/>
        <v>0</v>
      </c>
      <c r="BQ218" s="9">
        <f t="shared" si="299"/>
        <v>0</v>
      </c>
      <c r="BR218" s="10">
        <f t="shared" si="300"/>
        <v>0</v>
      </c>
      <c r="BS218" s="1">
        <f>SUMIFS(
  '[1]Hoja 1'!$M:$M,
  '[1]Hoja 1'!$S:$S, $A218,
  '[1]Hoja 1'!$R:$R, "&gt;="&amp;INT($BU$1),
  '[1]Hoja 1'!$R:$R, "&lt;"&amp;INT($BV$1+1)
)</f>
        <v>0</v>
      </c>
      <c r="BT218" s="1">
        <f t="shared" si="301"/>
        <v>0</v>
      </c>
      <c r="BU218" s="9">
        <f t="shared" si="302"/>
        <v>0</v>
      </c>
      <c r="BV218" s="10">
        <f t="shared" si="303"/>
        <v>0</v>
      </c>
      <c r="BW218" s="1">
        <f>SUMIFS(
  '[1]Hoja 1'!$M:$M,
  '[1]Hoja 1'!$S:$S, $A218,
  '[1]Hoja 1'!$R:$R, "&gt;="&amp;INT($BY$1),
  '[1]Hoja 1'!$R:$R, "&lt;"&amp;INT($BZ$1+1)
)</f>
        <v>0</v>
      </c>
      <c r="BX218" s="1">
        <f t="shared" si="304"/>
        <v>0</v>
      </c>
      <c r="BY218" s="9">
        <f t="shared" si="305"/>
        <v>0</v>
      </c>
      <c r="BZ218" s="10">
        <f t="shared" si="306"/>
        <v>0</v>
      </c>
      <c r="CA218" s="1">
        <f>SUMIFS(
  '[1]Hoja 1'!$M:$M,
  '[1]Hoja 1'!$S:$S, $A218,
  '[1]Hoja 1'!$R:$R, "&gt;="&amp;INT($CC$1),
  '[1]Hoja 1'!$R:$R, "&lt;"&amp;INT($CD$1+1)
)</f>
        <v>0</v>
      </c>
      <c r="CB218" s="1">
        <f t="shared" si="307"/>
        <v>0</v>
      </c>
      <c r="CC218" s="9">
        <f t="shared" si="308"/>
        <v>0</v>
      </c>
      <c r="CD218" s="10">
        <f t="shared" si="309"/>
        <v>0</v>
      </c>
      <c r="CE218" s="1">
        <f>SUMIFS(
  '[1]Hoja 1'!$M:$M,
  '[1]Hoja 1'!$S:$S, $A218,
  '[1]Hoja 1'!$R:$R, "&gt;="&amp;INT($CG$1),
  '[1]Hoja 1'!$R:$R, "&lt;"&amp;INT($CH$1+1)
)</f>
        <v>0</v>
      </c>
      <c r="CF218" s="1">
        <f t="shared" si="310"/>
        <v>0</v>
      </c>
      <c r="CG218" s="9">
        <f t="shared" si="311"/>
        <v>0</v>
      </c>
      <c r="CH218" s="10">
        <f t="shared" si="312"/>
        <v>0</v>
      </c>
      <c r="CI218" s="1">
        <f>SUMIFS(
  '[1]Hoja 1'!$M:$M,
  '[1]Hoja 1'!$S:$S, $A218,
  '[1]Hoja 1'!$R:$R, "&gt;="&amp;INT($CK$1),
  '[1]Hoja 1'!$R:$R, "&lt;"&amp;INT($CL$1+1)
)</f>
        <v>0</v>
      </c>
      <c r="CJ218" s="1">
        <f t="shared" si="313"/>
        <v>0</v>
      </c>
      <c r="CK218" s="9">
        <f t="shared" si="314"/>
        <v>0</v>
      </c>
      <c r="CL218" s="10">
        <f t="shared" si="315"/>
        <v>0</v>
      </c>
      <c r="CM218" s="1">
        <f>SUMIFS(
  '[1]Hoja 1'!$M:$M,
  '[1]Hoja 1'!$S:$S, $A218,
  '[1]Hoja 1'!$R:$R, "&gt;="&amp;INT($CO$1),
  '[1]Hoja 1'!$R:$R, "&lt;"&amp;INT($CP$1+1)
)</f>
        <v>0</v>
      </c>
      <c r="CN218" s="1">
        <f t="shared" si="316"/>
        <v>0</v>
      </c>
      <c r="CO218" s="9">
        <f t="shared" si="317"/>
        <v>0</v>
      </c>
      <c r="CP218" s="10">
        <f t="shared" si="318"/>
        <v>0</v>
      </c>
      <c r="CQ218" s="1">
        <f>SUMIFS(
  '[1]Hoja 1'!$M:$M,
  '[1]Hoja 1'!$S:$S, $A218,
  '[1]Hoja 1'!$R:$R, "&gt;="&amp;INT($CS$1),
  '[1]Hoja 1'!$R:$R, "&lt;"&amp;INT($CT$1+1)
)</f>
        <v>0</v>
      </c>
      <c r="CR218" s="1">
        <f t="shared" si="319"/>
        <v>0</v>
      </c>
      <c r="CS218" s="9">
        <f t="shared" si="320"/>
        <v>0</v>
      </c>
      <c r="CT218" s="10">
        <f t="shared" si="321"/>
        <v>0</v>
      </c>
      <c r="CU218" s="1">
        <f>SUMIFS(
  '[1]Hoja 1'!$M:$M,
  '[1]Hoja 1'!$S:$S, $A218,
  '[1]Hoja 1'!$R:$R, "&gt;="&amp;INT($CW$1),
  '[1]Hoja 1'!$R:$R, "&lt;"&amp;INT($CX$1+1)
)</f>
        <v>0</v>
      </c>
      <c r="CV218" s="1">
        <f t="shared" si="322"/>
        <v>0</v>
      </c>
      <c r="CW218" s="9">
        <f t="shared" si="323"/>
        <v>0</v>
      </c>
      <c r="CX218" s="10">
        <f t="shared" si="324"/>
        <v>0</v>
      </c>
      <c r="CY218" s="1">
        <f>SUMIFS(
  '[1]Hoja 1'!$M:$M,
  '[1]Hoja 1'!$S:$S, $A218,
  '[1]Hoja 1'!$R:$R, "&gt;="&amp;INT($DA$1),
  '[1]Hoja 1'!$R:$R, "&lt;"&amp;INT($DB$1+1)
)</f>
        <v>0</v>
      </c>
      <c r="CZ218" s="1">
        <f t="shared" si="325"/>
        <v>0</v>
      </c>
      <c r="DA218" s="9">
        <f t="shared" si="326"/>
        <v>0</v>
      </c>
      <c r="DB218" s="10">
        <f t="shared" si="327"/>
        <v>0</v>
      </c>
      <c r="DC218" s="1">
        <f>SUMIFS(
  '[1]Hoja 1'!$M:$M,
  '[1]Hoja 1'!$S:$S, $A218,
  '[1]Hoja 1'!$R:$R, "&gt;="&amp;INT($DE$1),
  '[1]Hoja 1'!$R:$R, "&lt;"&amp;INT($DF$1+1)
)</f>
        <v>0</v>
      </c>
      <c r="DD218" s="1">
        <f t="shared" si="328"/>
        <v>0</v>
      </c>
      <c r="DE218" s="9">
        <f t="shared" si="329"/>
        <v>0</v>
      </c>
      <c r="DF218" s="10">
        <f t="shared" si="330"/>
        <v>0</v>
      </c>
      <c r="DG218" s="1">
        <f>SUMIFS(
  '[1]Hoja 1'!$M:$M,
  '[1]Hoja 1'!$S:$S, $A218,
  '[1]Hoja 1'!$R:$R, "&gt;="&amp;INT($DI$1),
  '[1]Hoja 1'!$R:$R, "&lt;"&amp;INT($DJ$1+1)
)</f>
        <v>0</v>
      </c>
      <c r="DH218" s="1">
        <f t="shared" si="331"/>
        <v>0</v>
      </c>
      <c r="DI218" s="9">
        <f t="shared" si="332"/>
        <v>0</v>
      </c>
      <c r="DJ218" s="10">
        <f t="shared" si="333"/>
        <v>0</v>
      </c>
      <c r="DK218" s="1">
        <f>SUMIFS(
  '[1]Hoja 1'!$M:$M,
  '[1]Hoja 1'!$S:$S, $A218,
  '[1]Hoja 1'!$R:$R, "&gt;="&amp;INT($DM$1),
  '[1]Hoja 1'!$R:$R, "&lt;"&amp;INT($DN$1+1)
)</f>
        <v>0</v>
      </c>
      <c r="DL218" s="1">
        <f t="shared" si="334"/>
        <v>0</v>
      </c>
      <c r="DM218" s="9">
        <f t="shared" si="335"/>
        <v>0</v>
      </c>
      <c r="DN218" s="10">
        <f t="shared" si="336"/>
        <v>0</v>
      </c>
      <c r="DO218" s="1">
        <f>SUMIFS(
  '[1]Hoja 1'!$M:$M,
  '[1]Hoja 1'!$S:$S, $A218,
  '[1]Hoja 1'!$R:$R, "&gt;="&amp;INT($DQ$1),
  '[1]Hoja 1'!$R:$R, "&lt;"&amp;INT($DR$1+1)
)</f>
        <v>0</v>
      </c>
      <c r="DP218" s="1">
        <f t="shared" si="337"/>
        <v>0</v>
      </c>
      <c r="DQ218" s="9">
        <f t="shared" si="338"/>
        <v>0</v>
      </c>
      <c r="DR218" s="10">
        <f t="shared" si="339"/>
        <v>0</v>
      </c>
    </row>
    <row r="219" spans="1:122" x14ac:dyDescent="0.25">
      <c r="A219" s="5">
        <v>241001</v>
      </c>
      <c r="B219" s="6" t="s">
        <v>250</v>
      </c>
      <c r="C219" s="1">
        <f>SUMIFS(
  '[1]Hoja 1'!$M:$M,
  '[1]Hoja 1'!$S:$S, $A219,
  '[1]Hoja 1'!$R:$R, "&gt;="&amp;INT($E$1),
  '[1]Hoja 1'!$R:$R, "&lt;"&amp;INT($F$1+1)
)</f>
        <v>137</v>
      </c>
      <c r="D219" s="1" t="str">
        <f>""</f>
        <v/>
      </c>
      <c r="F219" s="2"/>
      <c r="G219" s="1">
        <f>SUMIFS(
  '[1]Hoja 1'!$M:$M,
  '[1]Hoja 1'!$S:$S, $A219,
  '[1]Hoja 1'!$R:$R, "&gt;="&amp;INT($I$1),
  '[1]Hoja 1'!$R:$R, "&lt;"&amp;INT($J$1+1)
)</f>
        <v>41</v>
      </c>
      <c r="H219" s="1">
        <f t="shared" si="255"/>
        <v>89</v>
      </c>
      <c r="I219" s="1"/>
      <c r="J219" s="2"/>
      <c r="K219" s="1">
        <f>SUMIFS(
  '[1]Hoja 1'!$M:$M,
  '[1]Hoja 1'!$S:$S, $A219,
  '[1]Hoja 1'!$R:$R, "&gt;="&amp;INT($M$1),
  '[1]Hoja 1'!$R:$R, "&lt;"&amp;INT($N$1+1)
)</f>
        <v>60</v>
      </c>
      <c r="L219" s="1">
        <f t="shared" si="256"/>
        <v>50.5</v>
      </c>
      <c r="M219" s="9">
        <f t="shared" si="257"/>
        <v>-29.190934239723902</v>
      </c>
      <c r="N219" s="10">
        <f t="shared" si="258"/>
        <v>130.1909342397239</v>
      </c>
      <c r="O219" s="1">
        <f>SUMIFS(
  '[1]Hoja 1'!$M:$M,
  '[1]Hoja 1'!$S:$S, $A219,
  '[1]Hoja 1'!$R:$R, "&gt;="&amp;INT($Q$1),
  '[1]Hoja 1'!$R:$R, "&lt;"&amp;INT($R$1+1)
)</f>
        <v>47</v>
      </c>
      <c r="P219" s="1">
        <f t="shared" si="259"/>
        <v>53.5</v>
      </c>
      <c r="Q219" s="9">
        <f t="shared" si="260"/>
        <v>-7.6677677068666625</v>
      </c>
      <c r="R219" s="10">
        <f t="shared" si="261"/>
        <v>108.66776770686667</v>
      </c>
      <c r="S219" s="1">
        <f>SUMIFS(
  '[1]Hoja 1'!$M:$M,
  '[1]Hoja 1'!$S:$S, $A219,
  '[1]Hoja 1'!$R:$R, "&gt;="&amp;INT($U$1),
  '[1]Hoja 1'!$R:$R, "&lt;"&amp;INT($V$1+1)
)</f>
        <v>32</v>
      </c>
      <c r="T219" s="1">
        <f t="shared" si="262"/>
        <v>40</v>
      </c>
      <c r="U219" s="9">
        <f t="shared" si="263"/>
        <v>-8.0591507068806436</v>
      </c>
      <c r="V219" s="10">
        <f t="shared" si="264"/>
        <v>88.059150706880644</v>
      </c>
      <c r="W219" s="1">
        <f>SUMIFS(
  '[1]Hoja 1'!$M:$M,
  '[1]Hoja 1'!$S:$S, $A219,
  '[1]Hoja 1'!$R:$R, "&gt;="&amp;INT($Y$1),
  '[1]Hoja 1'!$R:$R, "&lt;"&amp;INT($Z$1+1)
)</f>
        <v>46</v>
      </c>
      <c r="X219" s="1">
        <f t="shared" si="265"/>
        <v>39</v>
      </c>
      <c r="Y219" s="9">
        <f t="shared" si="266"/>
        <v>21.609026287563232</v>
      </c>
      <c r="Z219" s="10">
        <f t="shared" si="267"/>
        <v>56.390973712436768</v>
      </c>
      <c r="AA219" s="1">
        <f>SUMIFS(
  '[1]Hoja 1'!$M:$M,
  '[1]Hoja 1'!$S:$S, $A219,
  '[1]Hoja 1'!$R:$R, "&gt;="&amp;INT($AC$1),
  '[1]Hoja 1'!$R:$R, "&lt;"&amp;INT($AD$1+1)
)</f>
        <v>173</v>
      </c>
      <c r="AB219" s="1">
        <f t="shared" si="268"/>
        <v>110</v>
      </c>
      <c r="AC219" s="9">
        <f t="shared" si="269"/>
        <v>51.681353582237527</v>
      </c>
      <c r="AD219" s="10">
        <f t="shared" si="270"/>
        <v>175.80549799725452</v>
      </c>
      <c r="AE219" s="1">
        <f>SUMIFS(
  '[1]Hoja 1'!$M:$M,
  '[1]Hoja 1'!$S:$S, $A219,
  '[1]Hoja 1'!$R:$R, "&gt;="&amp;INT($AG$1),
  '[1]Hoja 1'!$R:$R, "&lt;"&amp;INT($AH$1+1)
)</f>
        <v>0</v>
      </c>
      <c r="AF219" s="1">
        <f t="shared" si="271"/>
        <v>87</v>
      </c>
      <c r="AG219" s="9">
        <f t="shared" si="272"/>
        <v>-18.135777545039346</v>
      </c>
      <c r="AH219" s="10">
        <f t="shared" si="273"/>
        <v>208.25462286719903</v>
      </c>
      <c r="AI219" s="1">
        <f>SUMIFS(
  '[1]Hoja 1'!$M:$M,
  '[1]Hoja 1'!$S:$S, $A219,
  '[1]Hoja 1'!$R:$R, "&gt;="&amp;INT($AK$1),
  '[1]Hoja 1'!$R:$R, "&lt;"&amp;INT($AL$1+1)
)</f>
        <v>0</v>
      </c>
      <c r="AJ219" s="1">
        <f t="shared" si="274"/>
        <v>0</v>
      </c>
      <c r="AK219" s="9">
        <f t="shared" si="275"/>
        <v>-105.14947893356391</v>
      </c>
      <c r="AL219" s="10">
        <f t="shared" si="276"/>
        <v>121.3486426239151</v>
      </c>
      <c r="AM219" s="1">
        <f>SUMIFS(
  '[1]Hoja 1'!$M:$M,
  '[1]Hoja 1'!$S:$S, $A219,
  '[1]Hoja 1'!$R:$R, "&gt;="&amp;INT($AO$1),
  '[1]Hoja 1'!$R:$R, "&lt;"&amp;INT($AP$1+1)
)</f>
        <v>0</v>
      </c>
      <c r="AN219" s="1">
        <f t="shared" si="277"/>
        <v>0</v>
      </c>
      <c r="AO219" s="9">
        <f t="shared" si="278"/>
        <v>-104.67528590837476</v>
      </c>
      <c r="AP219" s="10">
        <f t="shared" si="279"/>
        <v>120.72841642850011</v>
      </c>
      <c r="AQ219" s="1">
        <f>SUMIFS(
  '[1]Hoja 1'!$M:$M,
  '[1]Hoja 1'!$S:$S, $A219,
  '[1]Hoja 1'!$R:$R, "&gt;="&amp;INT($AS$1),
  '[1]Hoja 1'!$R:$R, "&lt;"&amp;INT($AT$1+1)
)</f>
        <v>0</v>
      </c>
      <c r="AR219" s="1">
        <f t="shared" si="280"/>
        <v>0</v>
      </c>
      <c r="AS219" s="9">
        <f t="shared" si="281"/>
        <v>-75.820592981062873</v>
      </c>
      <c r="AT219" s="10">
        <f t="shared" si="282"/>
        <v>84.77</v>
      </c>
      <c r="AU219" s="1">
        <f>SUMIFS(
  '[1]Hoja 1'!$M:$M,
  '[1]Hoja 1'!$S:$S, $A219,
  '[1]Hoja 1'!$R:$R, "&gt;="&amp;INT($AW$1),
  '[1]Hoja 1'!$R:$R, "&lt;"&amp;INT($AX$1+1)
)</f>
        <v>0</v>
      </c>
      <c r="AV219" s="1">
        <f t="shared" si="283"/>
        <v>0</v>
      </c>
      <c r="AW219" s="9">
        <f t="shared" si="284"/>
        <v>0</v>
      </c>
      <c r="AX219" s="10">
        <f t="shared" si="285"/>
        <v>0</v>
      </c>
      <c r="AY219" s="1">
        <f>SUMIFS(
  '[1]Hoja 1'!$M:$M,
  '[1]Hoja 1'!$S:$S, $A219,
  '[1]Hoja 1'!$R:$R, "&gt;="&amp;INT($BA$1),
  '[1]Hoja 1'!$R:$R, "&lt;"&amp;INT($BB$1+1)
)</f>
        <v>0</v>
      </c>
      <c r="AZ219" s="1">
        <f t="shared" si="286"/>
        <v>0</v>
      </c>
      <c r="BA219" s="9">
        <f t="shared" si="287"/>
        <v>0</v>
      </c>
      <c r="BB219" s="10">
        <f t="shared" si="288"/>
        <v>0</v>
      </c>
      <c r="BC219" s="1">
        <f>SUMIFS(
  '[1]Hoja 1'!$M:$M,
  '[1]Hoja 1'!$S:$S, $A219,
  '[1]Hoja 1'!$R:$R, "&gt;="&amp;INT($BE$1),
  '[1]Hoja 1'!$R:$R, "&lt;"&amp;INT($BF$1+1)
)</f>
        <v>0</v>
      </c>
      <c r="BD219" s="1">
        <f t="shared" si="289"/>
        <v>0</v>
      </c>
      <c r="BE219" s="9">
        <f t="shared" si="290"/>
        <v>0</v>
      </c>
      <c r="BF219" s="10">
        <f t="shared" si="291"/>
        <v>0</v>
      </c>
      <c r="BG219" s="1">
        <f>SUMIFS(
  '[1]Hoja 1'!$M:$M,
  '[1]Hoja 1'!$S:$S, $A219,
  '[1]Hoja 1'!$R:$R, "&gt;="&amp;INT($BI$1),
  '[1]Hoja 1'!$R:$R, "&lt;"&amp;INT($BJ$1+1)
)</f>
        <v>0</v>
      </c>
      <c r="BH219" s="1">
        <f t="shared" si="292"/>
        <v>0</v>
      </c>
      <c r="BI219" s="9">
        <f t="shared" si="293"/>
        <v>0</v>
      </c>
      <c r="BJ219" s="10">
        <f t="shared" si="294"/>
        <v>0</v>
      </c>
      <c r="BK219" s="1">
        <f>SUMIFS(
  '[1]Hoja 1'!$M:$M,
  '[1]Hoja 1'!$S:$S, $A219,
  '[1]Hoja 1'!$R:$R, "&gt;="&amp;INT($BM$1),
  '[1]Hoja 1'!$R:$R, "&lt;"&amp;INT($BN$1+1)
)</f>
        <v>0</v>
      </c>
      <c r="BL219" s="1">
        <f t="shared" si="295"/>
        <v>0</v>
      </c>
      <c r="BM219" s="9">
        <f t="shared" si="296"/>
        <v>0</v>
      </c>
      <c r="BN219" s="10">
        <f t="shared" si="297"/>
        <v>0</v>
      </c>
      <c r="BO219" s="1">
        <f>SUMIFS(
  '[1]Hoja 1'!$M:$M,
  '[1]Hoja 1'!$S:$S, $A219,
  '[1]Hoja 1'!$R:$R, "&gt;="&amp;INT($BQ$1),
  '[1]Hoja 1'!$R:$R, "&lt;"&amp;INT($BR$1+1)
)</f>
        <v>0</v>
      </c>
      <c r="BP219" s="1">
        <f t="shared" si="298"/>
        <v>0</v>
      </c>
      <c r="BQ219" s="9">
        <f t="shared" si="299"/>
        <v>0</v>
      </c>
      <c r="BR219" s="10">
        <f t="shared" si="300"/>
        <v>0</v>
      </c>
      <c r="BS219" s="1">
        <f>SUMIFS(
  '[1]Hoja 1'!$M:$M,
  '[1]Hoja 1'!$S:$S, $A219,
  '[1]Hoja 1'!$R:$R, "&gt;="&amp;INT($BU$1),
  '[1]Hoja 1'!$R:$R, "&lt;"&amp;INT($BV$1+1)
)</f>
        <v>0</v>
      </c>
      <c r="BT219" s="1">
        <f t="shared" si="301"/>
        <v>0</v>
      </c>
      <c r="BU219" s="9">
        <f t="shared" si="302"/>
        <v>0</v>
      </c>
      <c r="BV219" s="10">
        <f t="shared" si="303"/>
        <v>0</v>
      </c>
      <c r="BW219" s="1">
        <f>SUMIFS(
  '[1]Hoja 1'!$M:$M,
  '[1]Hoja 1'!$S:$S, $A219,
  '[1]Hoja 1'!$R:$R, "&gt;="&amp;INT($BY$1),
  '[1]Hoja 1'!$R:$R, "&lt;"&amp;INT($BZ$1+1)
)</f>
        <v>0</v>
      </c>
      <c r="BX219" s="1">
        <f t="shared" si="304"/>
        <v>0</v>
      </c>
      <c r="BY219" s="9">
        <f t="shared" si="305"/>
        <v>0</v>
      </c>
      <c r="BZ219" s="10">
        <f t="shared" si="306"/>
        <v>0</v>
      </c>
      <c r="CA219" s="1">
        <f>SUMIFS(
  '[1]Hoja 1'!$M:$M,
  '[1]Hoja 1'!$S:$S, $A219,
  '[1]Hoja 1'!$R:$R, "&gt;="&amp;INT($CC$1),
  '[1]Hoja 1'!$R:$R, "&lt;"&amp;INT($CD$1+1)
)</f>
        <v>0</v>
      </c>
      <c r="CB219" s="1">
        <f t="shared" si="307"/>
        <v>0</v>
      </c>
      <c r="CC219" s="9">
        <f t="shared" si="308"/>
        <v>0</v>
      </c>
      <c r="CD219" s="10">
        <f t="shared" si="309"/>
        <v>0</v>
      </c>
      <c r="CE219" s="1">
        <f>SUMIFS(
  '[1]Hoja 1'!$M:$M,
  '[1]Hoja 1'!$S:$S, $A219,
  '[1]Hoja 1'!$R:$R, "&gt;="&amp;INT($CG$1),
  '[1]Hoja 1'!$R:$R, "&lt;"&amp;INT($CH$1+1)
)</f>
        <v>0</v>
      </c>
      <c r="CF219" s="1">
        <f t="shared" si="310"/>
        <v>0</v>
      </c>
      <c r="CG219" s="9">
        <f t="shared" si="311"/>
        <v>0</v>
      </c>
      <c r="CH219" s="10">
        <f t="shared" si="312"/>
        <v>0</v>
      </c>
      <c r="CI219" s="1">
        <f>SUMIFS(
  '[1]Hoja 1'!$M:$M,
  '[1]Hoja 1'!$S:$S, $A219,
  '[1]Hoja 1'!$R:$R, "&gt;="&amp;INT($CK$1),
  '[1]Hoja 1'!$R:$R, "&lt;"&amp;INT($CL$1+1)
)</f>
        <v>0</v>
      </c>
      <c r="CJ219" s="1">
        <f t="shared" si="313"/>
        <v>0</v>
      </c>
      <c r="CK219" s="9">
        <f t="shared" si="314"/>
        <v>0</v>
      </c>
      <c r="CL219" s="10">
        <f t="shared" si="315"/>
        <v>0</v>
      </c>
      <c r="CM219" s="1">
        <f>SUMIFS(
  '[1]Hoja 1'!$M:$M,
  '[1]Hoja 1'!$S:$S, $A219,
  '[1]Hoja 1'!$R:$R, "&gt;="&amp;INT($CO$1),
  '[1]Hoja 1'!$R:$R, "&lt;"&amp;INT($CP$1+1)
)</f>
        <v>0</v>
      </c>
      <c r="CN219" s="1">
        <f t="shared" si="316"/>
        <v>0</v>
      </c>
      <c r="CO219" s="9">
        <f t="shared" si="317"/>
        <v>0</v>
      </c>
      <c r="CP219" s="10">
        <f t="shared" si="318"/>
        <v>0</v>
      </c>
      <c r="CQ219" s="1">
        <f>SUMIFS(
  '[1]Hoja 1'!$M:$M,
  '[1]Hoja 1'!$S:$S, $A219,
  '[1]Hoja 1'!$R:$R, "&gt;="&amp;INT($CS$1),
  '[1]Hoja 1'!$R:$R, "&lt;"&amp;INT($CT$1+1)
)</f>
        <v>0</v>
      </c>
      <c r="CR219" s="1">
        <f t="shared" si="319"/>
        <v>0</v>
      </c>
      <c r="CS219" s="9">
        <f t="shared" si="320"/>
        <v>0</v>
      </c>
      <c r="CT219" s="10">
        <f t="shared" si="321"/>
        <v>0</v>
      </c>
      <c r="CU219" s="1">
        <f>SUMIFS(
  '[1]Hoja 1'!$M:$M,
  '[1]Hoja 1'!$S:$S, $A219,
  '[1]Hoja 1'!$R:$R, "&gt;="&amp;INT($CW$1),
  '[1]Hoja 1'!$R:$R, "&lt;"&amp;INT($CX$1+1)
)</f>
        <v>0</v>
      </c>
      <c r="CV219" s="1">
        <f t="shared" si="322"/>
        <v>0</v>
      </c>
      <c r="CW219" s="9">
        <f t="shared" si="323"/>
        <v>0</v>
      </c>
      <c r="CX219" s="10">
        <f t="shared" si="324"/>
        <v>0</v>
      </c>
      <c r="CY219" s="1">
        <f>SUMIFS(
  '[1]Hoja 1'!$M:$M,
  '[1]Hoja 1'!$S:$S, $A219,
  '[1]Hoja 1'!$R:$R, "&gt;="&amp;INT($DA$1),
  '[1]Hoja 1'!$R:$R, "&lt;"&amp;INT($DB$1+1)
)</f>
        <v>0</v>
      </c>
      <c r="CZ219" s="1">
        <f t="shared" si="325"/>
        <v>0</v>
      </c>
      <c r="DA219" s="9">
        <f t="shared" si="326"/>
        <v>0</v>
      </c>
      <c r="DB219" s="10">
        <f t="shared" si="327"/>
        <v>0</v>
      </c>
      <c r="DC219" s="1">
        <f>SUMIFS(
  '[1]Hoja 1'!$M:$M,
  '[1]Hoja 1'!$S:$S, $A219,
  '[1]Hoja 1'!$R:$R, "&gt;="&amp;INT($DE$1),
  '[1]Hoja 1'!$R:$R, "&lt;"&amp;INT($DF$1+1)
)</f>
        <v>0</v>
      </c>
      <c r="DD219" s="1">
        <f t="shared" si="328"/>
        <v>0</v>
      </c>
      <c r="DE219" s="9">
        <f t="shared" si="329"/>
        <v>0</v>
      </c>
      <c r="DF219" s="10">
        <f t="shared" si="330"/>
        <v>0</v>
      </c>
      <c r="DG219" s="1">
        <f>SUMIFS(
  '[1]Hoja 1'!$M:$M,
  '[1]Hoja 1'!$S:$S, $A219,
  '[1]Hoja 1'!$R:$R, "&gt;="&amp;INT($DI$1),
  '[1]Hoja 1'!$R:$R, "&lt;"&amp;INT($DJ$1+1)
)</f>
        <v>0</v>
      </c>
      <c r="DH219" s="1">
        <f t="shared" si="331"/>
        <v>0</v>
      </c>
      <c r="DI219" s="9">
        <f t="shared" si="332"/>
        <v>0</v>
      </c>
      <c r="DJ219" s="10">
        <f t="shared" si="333"/>
        <v>0</v>
      </c>
      <c r="DK219" s="1">
        <f>SUMIFS(
  '[1]Hoja 1'!$M:$M,
  '[1]Hoja 1'!$S:$S, $A219,
  '[1]Hoja 1'!$R:$R, "&gt;="&amp;INT($DM$1),
  '[1]Hoja 1'!$R:$R, "&lt;"&amp;INT($DN$1+1)
)</f>
        <v>0</v>
      </c>
      <c r="DL219" s="1">
        <f t="shared" si="334"/>
        <v>0</v>
      </c>
      <c r="DM219" s="9">
        <f t="shared" si="335"/>
        <v>0</v>
      </c>
      <c r="DN219" s="10">
        <f t="shared" si="336"/>
        <v>0</v>
      </c>
      <c r="DO219" s="1">
        <f>SUMIFS(
  '[1]Hoja 1'!$M:$M,
  '[1]Hoja 1'!$S:$S, $A219,
  '[1]Hoja 1'!$R:$R, "&gt;="&amp;INT($DQ$1),
  '[1]Hoja 1'!$R:$R, "&lt;"&amp;INT($DR$1+1)
)</f>
        <v>0</v>
      </c>
      <c r="DP219" s="1">
        <f t="shared" si="337"/>
        <v>0</v>
      </c>
      <c r="DQ219" s="9">
        <f t="shared" si="338"/>
        <v>0</v>
      </c>
      <c r="DR219" s="10">
        <f t="shared" si="339"/>
        <v>0</v>
      </c>
    </row>
    <row r="220" spans="1:122" x14ac:dyDescent="0.25">
      <c r="A220" s="5">
        <v>259001</v>
      </c>
      <c r="B220" s="6" t="s">
        <v>214</v>
      </c>
      <c r="C220" s="1">
        <f>SUMIFS(
  '[1]Hoja 1'!$M:$M,
  '[1]Hoja 1'!$S:$S, $A220,
  '[1]Hoja 1'!$R:$R, "&gt;="&amp;INT($E$1),
  '[1]Hoja 1'!$R:$R, "&lt;"&amp;INT($F$1+1)
)</f>
        <v>0</v>
      </c>
      <c r="D220" s="1" t="str">
        <f>""</f>
        <v/>
      </c>
      <c r="F220" s="2"/>
      <c r="G220" s="1">
        <f>SUMIFS(
  '[1]Hoja 1'!$M:$M,
  '[1]Hoja 1'!$S:$S, $A220,
  '[1]Hoja 1'!$R:$R, "&gt;="&amp;INT($I$1),
  '[1]Hoja 1'!$R:$R, "&lt;"&amp;INT($J$1+1)
)</f>
        <v>0</v>
      </c>
      <c r="H220" s="1">
        <f t="shared" si="255"/>
        <v>0</v>
      </c>
      <c r="I220" s="1"/>
      <c r="J220" s="2"/>
      <c r="K220" s="1">
        <f>SUMIFS(
  '[1]Hoja 1'!$M:$M,
  '[1]Hoja 1'!$S:$S, $A220,
  '[1]Hoja 1'!$R:$R, "&gt;="&amp;INT($M$1),
  '[1]Hoja 1'!$R:$R, "&lt;"&amp;INT($N$1+1)
)</f>
        <v>0</v>
      </c>
      <c r="L220" s="1">
        <f t="shared" si="256"/>
        <v>0</v>
      </c>
      <c r="M220" s="9">
        <f t="shared" si="257"/>
        <v>0</v>
      </c>
      <c r="N220" s="10">
        <f t="shared" si="258"/>
        <v>0</v>
      </c>
      <c r="O220" s="1">
        <f>SUMIFS(
  '[1]Hoja 1'!$M:$M,
  '[1]Hoja 1'!$S:$S, $A220,
  '[1]Hoja 1'!$R:$R, "&gt;="&amp;INT($Q$1),
  '[1]Hoja 1'!$R:$R, "&lt;"&amp;INT($R$1+1)
)</f>
        <v>0</v>
      </c>
      <c r="P220" s="1">
        <f t="shared" si="259"/>
        <v>0</v>
      </c>
      <c r="Q220" s="9">
        <f t="shared" si="260"/>
        <v>0</v>
      </c>
      <c r="R220" s="10">
        <f t="shared" si="261"/>
        <v>0</v>
      </c>
      <c r="S220" s="1">
        <f>SUMIFS(
  '[1]Hoja 1'!$M:$M,
  '[1]Hoja 1'!$S:$S, $A220,
  '[1]Hoja 1'!$R:$R, "&gt;="&amp;INT($U$1),
  '[1]Hoja 1'!$R:$R, "&lt;"&amp;INT($V$1+1)
)</f>
        <v>0</v>
      </c>
      <c r="T220" s="1">
        <f t="shared" si="262"/>
        <v>0</v>
      </c>
      <c r="U220" s="9">
        <f t="shared" si="263"/>
        <v>0</v>
      </c>
      <c r="V220" s="10">
        <f t="shared" si="264"/>
        <v>0</v>
      </c>
      <c r="W220" s="1">
        <f>SUMIFS(
  '[1]Hoja 1'!$M:$M,
  '[1]Hoja 1'!$S:$S, $A220,
  '[1]Hoja 1'!$R:$R, "&gt;="&amp;INT($Y$1),
  '[1]Hoja 1'!$R:$R, "&lt;"&amp;INT($Z$1+1)
)</f>
        <v>0</v>
      </c>
      <c r="X220" s="1">
        <f t="shared" si="265"/>
        <v>0</v>
      </c>
      <c r="Y220" s="9">
        <f t="shared" si="266"/>
        <v>0</v>
      </c>
      <c r="Z220" s="10">
        <f t="shared" si="267"/>
        <v>0</v>
      </c>
      <c r="AA220" s="1">
        <f>SUMIFS(
  '[1]Hoja 1'!$M:$M,
  '[1]Hoja 1'!$S:$S, $A220,
  '[1]Hoja 1'!$R:$R, "&gt;="&amp;INT($AC$1),
  '[1]Hoja 1'!$R:$R, "&lt;"&amp;INT($AD$1+1)
)</f>
        <v>0</v>
      </c>
      <c r="AB220" s="1">
        <f t="shared" si="268"/>
        <v>0</v>
      </c>
      <c r="AC220" s="9">
        <f t="shared" si="269"/>
        <v>0</v>
      </c>
      <c r="AD220" s="10">
        <f t="shared" si="270"/>
        <v>0</v>
      </c>
      <c r="AE220" s="1">
        <f>SUMIFS(
  '[1]Hoja 1'!$M:$M,
  '[1]Hoja 1'!$S:$S, $A220,
  '[1]Hoja 1'!$R:$R, "&gt;="&amp;INT($AG$1),
  '[1]Hoja 1'!$R:$R, "&lt;"&amp;INT($AH$1+1)
)</f>
        <v>0</v>
      </c>
      <c r="AF220" s="1">
        <f t="shared" si="271"/>
        <v>0</v>
      </c>
      <c r="AG220" s="9">
        <f t="shared" si="272"/>
        <v>0</v>
      </c>
      <c r="AH220" s="10">
        <f t="shared" si="273"/>
        <v>0</v>
      </c>
      <c r="AI220" s="1">
        <f>SUMIFS(
  '[1]Hoja 1'!$M:$M,
  '[1]Hoja 1'!$S:$S, $A220,
  '[1]Hoja 1'!$R:$R, "&gt;="&amp;INT($AK$1),
  '[1]Hoja 1'!$R:$R, "&lt;"&amp;INT($AL$1+1)
)</f>
        <v>0</v>
      </c>
      <c r="AJ220" s="1">
        <f t="shared" si="274"/>
        <v>0</v>
      </c>
      <c r="AK220" s="9">
        <f t="shared" si="275"/>
        <v>0</v>
      </c>
      <c r="AL220" s="10">
        <f t="shared" si="276"/>
        <v>0</v>
      </c>
      <c r="AM220" s="1">
        <f>SUMIFS(
  '[1]Hoja 1'!$M:$M,
  '[1]Hoja 1'!$S:$S, $A220,
  '[1]Hoja 1'!$R:$R, "&gt;="&amp;INT($AO$1),
  '[1]Hoja 1'!$R:$R, "&lt;"&amp;INT($AP$1+1)
)</f>
        <v>0</v>
      </c>
      <c r="AN220" s="1">
        <f t="shared" si="277"/>
        <v>0</v>
      </c>
      <c r="AO220" s="9">
        <f t="shared" si="278"/>
        <v>0</v>
      </c>
      <c r="AP220" s="10">
        <f t="shared" si="279"/>
        <v>0</v>
      </c>
      <c r="AQ220" s="1">
        <f>SUMIFS(
  '[1]Hoja 1'!$M:$M,
  '[1]Hoja 1'!$S:$S, $A220,
  '[1]Hoja 1'!$R:$R, "&gt;="&amp;INT($AS$1),
  '[1]Hoja 1'!$R:$R, "&lt;"&amp;INT($AT$1+1)
)</f>
        <v>0</v>
      </c>
      <c r="AR220" s="1">
        <f t="shared" si="280"/>
        <v>0</v>
      </c>
      <c r="AS220" s="9">
        <f t="shared" si="281"/>
        <v>0</v>
      </c>
      <c r="AT220" s="10">
        <f t="shared" si="282"/>
        <v>0</v>
      </c>
      <c r="AU220" s="1">
        <f>SUMIFS(
  '[1]Hoja 1'!$M:$M,
  '[1]Hoja 1'!$S:$S, $A220,
  '[1]Hoja 1'!$R:$R, "&gt;="&amp;INT($AW$1),
  '[1]Hoja 1'!$R:$R, "&lt;"&amp;INT($AX$1+1)
)</f>
        <v>0</v>
      </c>
      <c r="AV220" s="1">
        <f t="shared" si="283"/>
        <v>0</v>
      </c>
      <c r="AW220" s="9">
        <f t="shared" si="284"/>
        <v>0</v>
      </c>
      <c r="AX220" s="10">
        <f t="shared" si="285"/>
        <v>0</v>
      </c>
      <c r="AY220" s="1">
        <f>SUMIFS(
  '[1]Hoja 1'!$M:$M,
  '[1]Hoja 1'!$S:$S, $A220,
  '[1]Hoja 1'!$R:$R, "&gt;="&amp;INT($BA$1),
  '[1]Hoja 1'!$R:$R, "&lt;"&amp;INT($BB$1+1)
)</f>
        <v>0</v>
      </c>
      <c r="AZ220" s="1">
        <f t="shared" si="286"/>
        <v>0</v>
      </c>
      <c r="BA220" s="9">
        <f t="shared" si="287"/>
        <v>0</v>
      </c>
      <c r="BB220" s="10">
        <f t="shared" si="288"/>
        <v>0</v>
      </c>
      <c r="BC220" s="1">
        <f>SUMIFS(
  '[1]Hoja 1'!$M:$M,
  '[1]Hoja 1'!$S:$S, $A220,
  '[1]Hoja 1'!$R:$R, "&gt;="&amp;INT($BE$1),
  '[1]Hoja 1'!$R:$R, "&lt;"&amp;INT($BF$1+1)
)</f>
        <v>0</v>
      </c>
      <c r="BD220" s="1">
        <f t="shared" si="289"/>
        <v>0</v>
      </c>
      <c r="BE220" s="9">
        <f t="shared" si="290"/>
        <v>0</v>
      </c>
      <c r="BF220" s="10">
        <f t="shared" si="291"/>
        <v>0</v>
      </c>
      <c r="BG220" s="1">
        <f>SUMIFS(
  '[1]Hoja 1'!$M:$M,
  '[1]Hoja 1'!$S:$S, $A220,
  '[1]Hoja 1'!$R:$R, "&gt;="&amp;INT($BI$1),
  '[1]Hoja 1'!$R:$R, "&lt;"&amp;INT($BJ$1+1)
)</f>
        <v>0</v>
      </c>
      <c r="BH220" s="1">
        <f t="shared" si="292"/>
        <v>0</v>
      </c>
      <c r="BI220" s="9">
        <f t="shared" si="293"/>
        <v>0</v>
      </c>
      <c r="BJ220" s="10">
        <f t="shared" si="294"/>
        <v>0</v>
      </c>
      <c r="BK220" s="1">
        <f>SUMIFS(
  '[1]Hoja 1'!$M:$M,
  '[1]Hoja 1'!$S:$S, $A220,
  '[1]Hoja 1'!$R:$R, "&gt;="&amp;INT($BM$1),
  '[1]Hoja 1'!$R:$R, "&lt;"&amp;INT($BN$1+1)
)</f>
        <v>0</v>
      </c>
      <c r="BL220" s="1">
        <f t="shared" si="295"/>
        <v>0</v>
      </c>
      <c r="BM220" s="9">
        <f t="shared" si="296"/>
        <v>0</v>
      </c>
      <c r="BN220" s="10">
        <f t="shared" si="297"/>
        <v>0</v>
      </c>
      <c r="BO220" s="1">
        <f>SUMIFS(
  '[1]Hoja 1'!$M:$M,
  '[1]Hoja 1'!$S:$S, $A220,
  '[1]Hoja 1'!$R:$R, "&gt;="&amp;INT($BQ$1),
  '[1]Hoja 1'!$R:$R, "&lt;"&amp;INT($BR$1+1)
)</f>
        <v>0</v>
      </c>
      <c r="BP220" s="1">
        <f t="shared" si="298"/>
        <v>0</v>
      </c>
      <c r="BQ220" s="9">
        <f t="shared" si="299"/>
        <v>0</v>
      </c>
      <c r="BR220" s="10">
        <f t="shared" si="300"/>
        <v>0</v>
      </c>
      <c r="BS220" s="1">
        <f>SUMIFS(
  '[1]Hoja 1'!$M:$M,
  '[1]Hoja 1'!$S:$S, $A220,
  '[1]Hoja 1'!$R:$R, "&gt;="&amp;INT($BU$1),
  '[1]Hoja 1'!$R:$R, "&lt;"&amp;INT($BV$1+1)
)</f>
        <v>0</v>
      </c>
      <c r="BT220" s="1">
        <f t="shared" si="301"/>
        <v>0</v>
      </c>
      <c r="BU220" s="9">
        <f t="shared" si="302"/>
        <v>0</v>
      </c>
      <c r="BV220" s="10">
        <f t="shared" si="303"/>
        <v>0</v>
      </c>
      <c r="BW220" s="1">
        <f>SUMIFS(
  '[1]Hoja 1'!$M:$M,
  '[1]Hoja 1'!$S:$S, $A220,
  '[1]Hoja 1'!$R:$R, "&gt;="&amp;INT($BY$1),
  '[1]Hoja 1'!$R:$R, "&lt;"&amp;INT($BZ$1+1)
)</f>
        <v>0</v>
      </c>
      <c r="BX220" s="1">
        <f t="shared" si="304"/>
        <v>0</v>
      </c>
      <c r="BY220" s="9">
        <f t="shared" si="305"/>
        <v>0</v>
      </c>
      <c r="BZ220" s="10">
        <f t="shared" si="306"/>
        <v>0</v>
      </c>
      <c r="CA220" s="1">
        <f>SUMIFS(
  '[1]Hoja 1'!$M:$M,
  '[1]Hoja 1'!$S:$S, $A220,
  '[1]Hoja 1'!$R:$R, "&gt;="&amp;INT($CC$1),
  '[1]Hoja 1'!$R:$R, "&lt;"&amp;INT($CD$1+1)
)</f>
        <v>0</v>
      </c>
      <c r="CB220" s="1">
        <f t="shared" si="307"/>
        <v>0</v>
      </c>
      <c r="CC220" s="9">
        <f t="shared" si="308"/>
        <v>0</v>
      </c>
      <c r="CD220" s="10">
        <f t="shared" si="309"/>
        <v>0</v>
      </c>
      <c r="CE220" s="1">
        <f>SUMIFS(
  '[1]Hoja 1'!$M:$M,
  '[1]Hoja 1'!$S:$S, $A220,
  '[1]Hoja 1'!$R:$R, "&gt;="&amp;INT($CG$1),
  '[1]Hoja 1'!$R:$R, "&lt;"&amp;INT($CH$1+1)
)</f>
        <v>0</v>
      </c>
      <c r="CF220" s="1">
        <f t="shared" si="310"/>
        <v>0</v>
      </c>
      <c r="CG220" s="9">
        <f t="shared" si="311"/>
        <v>0</v>
      </c>
      <c r="CH220" s="10">
        <f t="shared" si="312"/>
        <v>0</v>
      </c>
      <c r="CI220" s="1">
        <f>SUMIFS(
  '[1]Hoja 1'!$M:$M,
  '[1]Hoja 1'!$S:$S, $A220,
  '[1]Hoja 1'!$R:$R, "&gt;="&amp;INT($CK$1),
  '[1]Hoja 1'!$R:$R, "&lt;"&amp;INT($CL$1+1)
)</f>
        <v>0</v>
      </c>
      <c r="CJ220" s="1">
        <f t="shared" si="313"/>
        <v>0</v>
      </c>
      <c r="CK220" s="9">
        <f t="shared" si="314"/>
        <v>0</v>
      </c>
      <c r="CL220" s="10">
        <f t="shared" si="315"/>
        <v>0</v>
      </c>
      <c r="CM220" s="1">
        <f>SUMIFS(
  '[1]Hoja 1'!$M:$M,
  '[1]Hoja 1'!$S:$S, $A220,
  '[1]Hoja 1'!$R:$R, "&gt;="&amp;INT($CO$1),
  '[1]Hoja 1'!$R:$R, "&lt;"&amp;INT($CP$1+1)
)</f>
        <v>0</v>
      </c>
      <c r="CN220" s="1">
        <f t="shared" si="316"/>
        <v>0</v>
      </c>
      <c r="CO220" s="9">
        <f t="shared" si="317"/>
        <v>0</v>
      </c>
      <c r="CP220" s="10">
        <f t="shared" si="318"/>
        <v>0</v>
      </c>
      <c r="CQ220" s="1">
        <f>SUMIFS(
  '[1]Hoja 1'!$M:$M,
  '[1]Hoja 1'!$S:$S, $A220,
  '[1]Hoja 1'!$R:$R, "&gt;="&amp;INT($CS$1),
  '[1]Hoja 1'!$R:$R, "&lt;"&amp;INT($CT$1+1)
)</f>
        <v>0</v>
      </c>
      <c r="CR220" s="1">
        <f t="shared" si="319"/>
        <v>0</v>
      </c>
      <c r="CS220" s="9">
        <f t="shared" si="320"/>
        <v>0</v>
      </c>
      <c r="CT220" s="10">
        <f t="shared" si="321"/>
        <v>0</v>
      </c>
      <c r="CU220" s="1">
        <f>SUMIFS(
  '[1]Hoja 1'!$M:$M,
  '[1]Hoja 1'!$S:$S, $A220,
  '[1]Hoja 1'!$R:$R, "&gt;="&amp;INT($CW$1),
  '[1]Hoja 1'!$R:$R, "&lt;"&amp;INT($CX$1+1)
)</f>
        <v>0</v>
      </c>
      <c r="CV220" s="1">
        <f t="shared" si="322"/>
        <v>0</v>
      </c>
      <c r="CW220" s="9">
        <f t="shared" si="323"/>
        <v>0</v>
      </c>
      <c r="CX220" s="10">
        <f t="shared" si="324"/>
        <v>0</v>
      </c>
      <c r="CY220" s="1">
        <f>SUMIFS(
  '[1]Hoja 1'!$M:$M,
  '[1]Hoja 1'!$S:$S, $A220,
  '[1]Hoja 1'!$R:$R, "&gt;="&amp;INT($DA$1),
  '[1]Hoja 1'!$R:$R, "&lt;"&amp;INT($DB$1+1)
)</f>
        <v>0</v>
      </c>
      <c r="CZ220" s="1">
        <f t="shared" si="325"/>
        <v>0</v>
      </c>
      <c r="DA220" s="9">
        <f t="shared" si="326"/>
        <v>0</v>
      </c>
      <c r="DB220" s="10">
        <f t="shared" si="327"/>
        <v>0</v>
      </c>
      <c r="DC220" s="1">
        <f>SUMIFS(
  '[1]Hoja 1'!$M:$M,
  '[1]Hoja 1'!$S:$S, $A220,
  '[1]Hoja 1'!$R:$R, "&gt;="&amp;INT($DE$1),
  '[1]Hoja 1'!$R:$R, "&lt;"&amp;INT($DF$1+1)
)</f>
        <v>0</v>
      </c>
      <c r="DD220" s="1">
        <f t="shared" si="328"/>
        <v>0</v>
      </c>
      <c r="DE220" s="9">
        <f t="shared" si="329"/>
        <v>0</v>
      </c>
      <c r="DF220" s="10">
        <f t="shared" si="330"/>
        <v>0</v>
      </c>
      <c r="DG220" s="1">
        <f>SUMIFS(
  '[1]Hoja 1'!$M:$M,
  '[1]Hoja 1'!$S:$S, $A220,
  '[1]Hoja 1'!$R:$R, "&gt;="&amp;INT($DI$1),
  '[1]Hoja 1'!$R:$R, "&lt;"&amp;INT($DJ$1+1)
)</f>
        <v>0</v>
      </c>
      <c r="DH220" s="1">
        <f t="shared" si="331"/>
        <v>0</v>
      </c>
      <c r="DI220" s="9">
        <f t="shared" si="332"/>
        <v>0</v>
      </c>
      <c r="DJ220" s="10">
        <f t="shared" si="333"/>
        <v>0</v>
      </c>
      <c r="DK220" s="1">
        <f>SUMIFS(
  '[1]Hoja 1'!$M:$M,
  '[1]Hoja 1'!$S:$S, $A220,
  '[1]Hoja 1'!$R:$R, "&gt;="&amp;INT($DM$1),
  '[1]Hoja 1'!$R:$R, "&lt;"&amp;INT($DN$1+1)
)</f>
        <v>0</v>
      </c>
      <c r="DL220" s="1">
        <f t="shared" si="334"/>
        <v>0</v>
      </c>
      <c r="DM220" s="9">
        <f t="shared" si="335"/>
        <v>0</v>
      </c>
      <c r="DN220" s="10">
        <f t="shared" si="336"/>
        <v>0</v>
      </c>
      <c r="DO220" s="1">
        <f>SUMIFS(
  '[1]Hoja 1'!$M:$M,
  '[1]Hoja 1'!$S:$S, $A220,
  '[1]Hoja 1'!$R:$R, "&gt;="&amp;INT($DQ$1),
  '[1]Hoja 1'!$R:$R, "&lt;"&amp;INT($DR$1+1)
)</f>
        <v>0</v>
      </c>
      <c r="DP220" s="1">
        <f t="shared" si="337"/>
        <v>0</v>
      </c>
      <c r="DQ220" s="9">
        <f t="shared" si="338"/>
        <v>0</v>
      </c>
      <c r="DR220" s="10">
        <f t="shared" si="339"/>
        <v>0</v>
      </c>
    </row>
    <row r="221" spans="1:122" x14ac:dyDescent="0.25">
      <c r="A221" s="5">
        <v>259002</v>
      </c>
      <c r="B221" s="6" t="s">
        <v>215</v>
      </c>
      <c r="C221" s="1">
        <f>SUMIFS(
  '[1]Hoja 1'!$M:$M,
  '[1]Hoja 1'!$S:$S, $A221,
  '[1]Hoja 1'!$R:$R, "&gt;="&amp;INT($E$1),
  '[1]Hoja 1'!$R:$R, "&lt;"&amp;INT($F$1+1)
)</f>
        <v>0</v>
      </c>
      <c r="D221" s="1" t="str">
        <f>""</f>
        <v/>
      </c>
      <c r="F221" s="2"/>
      <c r="G221" s="1">
        <f>SUMIFS(
  '[1]Hoja 1'!$M:$M,
  '[1]Hoja 1'!$S:$S, $A221,
  '[1]Hoja 1'!$R:$R, "&gt;="&amp;INT($I$1),
  '[1]Hoja 1'!$R:$R, "&lt;"&amp;INT($J$1+1)
)</f>
        <v>0</v>
      </c>
      <c r="H221" s="1">
        <f t="shared" si="255"/>
        <v>0</v>
      </c>
      <c r="I221" s="1"/>
      <c r="J221" s="2"/>
      <c r="K221" s="1">
        <f>SUMIFS(
  '[1]Hoja 1'!$M:$M,
  '[1]Hoja 1'!$S:$S, $A221,
  '[1]Hoja 1'!$R:$R, "&gt;="&amp;INT($M$1),
  '[1]Hoja 1'!$R:$R, "&lt;"&amp;INT($N$1+1)
)</f>
        <v>0</v>
      </c>
      <c r="L221" s="1">
        <f t="shared" si="256"/>
        <v>0</v>
      </c>
      <c r="M221" s="9">
        <f t="shared" si="257"/>
        <v>0</v>
      </c>
      <c r="N221" s="10">
        <f t="shared" si="258"/>
        <v>0</v>
      </c>
      <c r="O221" s="1">
        <f>SUMIFS(
  '[1]Hoja 1'!$M:$M,
  '[1]Hoja 1'!$S:$S, $A221,
  '[1]Hoja 1'!$R:$R, "&gt;="&amp;INT($Q$1),
  '[1]Hoja 1'!$R:$R, "&lt;"&amp;INT($R$1+1)
)</f>
        <v>0</v>
      </c>
      <c r="P221" s="1">
        <f t="shared" si="259"/>
        <v>0</v>
      </c>
      <c r="Q221" s="9">
        <f t="shared" si="260"/>
        <v>0</v>
      </c>
      <c r="R221" s="10">
        <f t="shared" si="261"/>
        <v>0</v>
      </c>
      <c r="S221" s="1">
        <f>SUMIFS(
  '[1]Hoja 1'!$M:$M,
  '[1]Hoja 1'!$S:$S, $A221,
  '[1]Hoja 1'!$R:$R, "&gt;="&amp;INT($U$1),
  '[1]Hoja 1'!$R:$R, "&lt;"&amp;INT($V$1+1)
)</f>
        <v>0</v>
      </c>
      <c r="T221" s="1">
        <f t="shared" si="262"/>
        <v>0</v>
      </c>
      <c r="U221" s="9">
        <f t="shared" si="263"/>
        <v>0</v>
      </c>
      <c r="V221" s="10">
        <f t="shared" si="264"/>
        <v>0</v>
      </c>
      <c r="W221" s="1">
        <f>SUMIFS(
  '[1]Hoja 1'!$M:$M,
  '[1]Hoja 1'!$S:$S, $A221,
  '[1]Hoja 1'!$R:$R, "&gt;="&amp;INT($Y$1),
  '[1]Hoja 1'!$R:$R, "&lt;"&amp;INT($Z$1+1)
)</f>
        <v>0</v>
      </c>
      <c r="X221" s="1">
        <f t="shared" si="265"/>
        <v>0</v>
      </c>
      <c r="Y221" s="9">
        <f t="shared" si="266"/>
        <v>0</v>
      </c>
      <c r="Z221" s="10">
        <f t="shared" si="267"/>
        <v>0</v>
      </c>
      <c r="AA221" s="1">
        <f>SUMIFS(
  '[1]Hoja 1'!$M:$M,
  '[1]Hoja 1'!$S:$S, $A221,
  '[1]Hoja 1'!$R:$R, "&gt;="&amp;INT($AC$1),
  '[1]Hoja 1'!$R:$R, "&lt;"&amp;INT($AD$1+1)
)</f>
        <v>0</v>
      </c>
      <c r="AB221" s="1">
        <f t="shared" si="268"/>
        <v>0</v>
      </c>
      <c r="AC221" s="9">
        <f t="shared" si="269"/>
        <v>0</v>
      </c>
      <c r="AD221" s="10">
        <f t="shared" si="270"/>
        <v>0</v>
      </c>
      <c r="AE221" s="1">
        <f>SUMIFS(
  '[1]Hoja 1'!$M:$M,
  '[1]Hoja 1'!$S:$S, $A221,
  '[1]Hoja 1'!$R:$R, "&gt;="&amp;INT($AG$1),
  '[1]Hoja 1'!$R:$R, "&lt;"&amp;INT($AH$1+1)
)</f>
        <v>0</v>
      </c>
      <c r="AF221" s="1">
        <f t="shared" si="271"/>
        <v>0</v>
      </c>
      <c r="AG221" s="9">
        <f t="shared" si="272"/>
        <v>0</v>
      </c>
      <c r="AH221" s="10">
        <f t="shared" si="273"/>
        <v>0</v>
      </c>
      <c r="AI221" s="1">
        <f>SUMIFS(
  '[1]Hoja 1'!$M:$M,
  '[1]Hoja 1'!$S:$S, $A221,
  '[1]Hoja 1'!$R:$R, "&gt;="&amp;INT($AK$1),
  '[1]Hoja 1'!$R:$R, "&lt;"&amp;INT($AL$1+1)
)</f>
        <v>0</v>
      </c>
      <c r="AJ221" s="1">
        <f t="shared" si="274"/>
        <v>0</v>
      </c>
      <c r="AK221" s="9">
        <f t="shared" si="275"/>
        <v>0</v>
      </c>
      <c r="AL221" s="10">
        <f t="shared" si="276"/>
        <v>0</v>
      </c>
      <c r="AM221" s="1">
        <f>SUMIFS(
  '[1]Hoja 1'!$M:$M,
  '[1]Hoja 1'!$S:$S, $A221,
  '[1]Hoja 1'!$R:$R, "&gt;="&amp;INT($AO$1),
  '[1]Hoja 1'!$R:$R, "&lt;"&amp;INT($AP$1+1)
)</f>
        <v>0</v>
      </c>
      <c r="AN221" s="1">
        <f t="shared" si="277"/>
        <v>0</v>
      </c>
      <c r="AO221" s="9">
        <f t="shared" si="278"/>
        <v>0</v>
      </c>
      <c r="AP221" s="10">
        <f t="shared" si="279"/>
        <v>0</v>
      </c>
      <c r="AQ221" s="1">
        <f>SUMIFS(
  '[1]Hoja 1'!$M:$M,
  '[1]Hoja 1'!$S:$S, $A221,
  '[1]Hoja 1'!$R:$R, "&gt;="&amp;INT($AS$1),
  '[1]Hoja 1'!$R:$R, "&lt;"&amp;INT($AT$1+1)
)</f>
        <v>0</v>
      </c>
      <c r="AR221" s="1">
        <f t="shared" si="280"/>
        <v>0</v>
      </c>
      <c r="AS221" s="9">
        <f t="shared" si="281"/>
        <v>0</v>
      </c>
      <c r="AT221" s="10">
        <f t="shared" si="282"/>
        <v>0</v>
      </c>
      <c r="AU221" s="1">
        <f>SUMIFS(
  '[1]Hoja 1'!$M:$M,
  '[1]Hoja 1'!$S:$S, $A221,
  '[1]Hoja 1'!$R:$R, "&gt;="&amp;INT($AW$1),
  '[1]Hoja 1'!$R:$R, "&lt;"&amp;INT($AX$1+1)
)</f>
        <v>0</v>
      </c>
      <c r="AV221" s="1">
        <f t="shared" si="283"/>
        <v>0</v>
      </c>
      <c r="AW221" s="9">
        <f t="shared" si="284"/>
        <v>0</v>
      </c>
      <c r="AX221" s="10">
        <f t="shared" si="285"/>
        <v>0</v>
      </c>
      <c r="AY221" s="1">
        <f>SUMIFS(
  '[1]Hoja 1'!$M:$M,
  '[1]Hoja 1'!$S:$S, $A221,
  '[1]Hoja 1'!$R:$R, "&gt;="&amp;INT($BA$1),
  '[1]Hoja 1'!$R:$R, "&lt;"&amp;INT($BB$1+1)
)</f>
        <v>0</v>
      </c>
      <c r="AZ221" s="1">
        <f t="shared" si="286"/>
        <v>0</v>
      </c>
      <c r="BA221" s="9">
        <f t="shared" si="287"/>
        <v>0</v>
      </c>
      <c r="BB221" s="10">
        <f t="shared" si="288"/>
        <v>0</v>
      </c>
      <c r="BC221" s="1">
        <f>SUMIFS(
  '[1]Hoja 1'!$M:$M,
  '[1]Hoja 1'!$S:$S, $A221,
  '[1]Hoja 1'!$R:$R, "&gt;="&amp;INT($BE$1),
  '[1]Hoja 1'!$R:$R, "&lt;"&amp;INT($BF$1+1)
)</f>
        <v>0</v>
      </c>
      <c r="BD221" s="1">
        <f t="shared" si="289"/>
        <v>0</v>
      </c>
      <c r="BE221" s="9">
        <f t="shared" si="290"/>
        <v>0</v>
      </c>
      <c r="BF221" s="10">
        <f t="shared" si="291"/>
        <v>0</v>
      </c>
      <c r="BG221" s="1">
        <f>SUMIFS(
  '[1]Hoja 1'!$M:$M,
  '[1]Hoja 1'!$S:$S, $A221,
  '[1]Hoja 1'!$R:$R, "&gt;="&amp;INT($BI$1),
  '[1]Hoja 1'!$R:$R, "&lt;"&amp;INT($BJ$1+1)
)</f>
        <v>0</v>
      </c>
      <c r="BH221" s="1">
        <f t="shared" si="292"/>
        <v>0</v>
      </c>
      <c r="BI221" s="9">
        <f t="shared" si="293"/>
        <v>0</v>
      </c>
      <c r="BJ221" s="10">
        <f t="shared" si="294"/>
        <v>0</v>
      </c>
      <c r="BK221" s="1">
        <f>SUMIFS(
  '[1]Hoja 1'!$M:$M,
  '[1]Hoja 1'!$S:$S, $A221,
  '[1]Hoja 1'!$R:$R, "&gt;="&amp;INT($BM$1),
  '[1]Hoja 1'!$R:$R, "&lt;"&amp;INT($BN$1+1)
)</f>
        <v>0</v>
      </c>
      <c r="BL221" s="1">
        <f t="shared" si="295"/>
        <v>0</v>
      </c>
      <c r="BM221" s="9">
        <f t="shared" si="296"/>
        <v>0</v>
      </c>
      <c r="BN221" s="10">
        <f t="shared" si="297"/>
        <v>0</v>
      </c>
      <c r="BO221" s="1">
        <f>SUMIFS(
  '[1]Hoja 1'!$M:$M,
  '[1]Hoja 1'!$S:$S, $A221,
  '[1]Hoja 1'!$R:$R, "&gt;="&amp;INT($BQ$1),
  '[1]Hoja 1'!$R:$R, "&lt;"&amp;INT($BR$1+1)
)</f>
        <v>0</v>
      </c>
      <c r="BP221" s="1">
        <f t="shared" si="298"/>
        <v>0</v>
      </c>
      <c r="BQ221" s="9">
        <f t="shared" si="299"/>
        <v>0</v>
      </c>
      <c r="BR221" s="10">
        <f t="shared" si="300"/>
        <v>0</v>
      </c>
      <c r="BS221" s="1">
        <f>SUMIFS(
  '[1]Hoja 1'!$M:$M,
  '[1]Hoja 1'!$S:$S, $A221,
  '[1]Hoja 1'!$R:$R, "&gt;="&amp;INT($BU$1),
  '[1]Hoja 1'!$R:$R, "&lt;"&amp;INT($BV$1+1)
)</f>
        <v>0</v>
      </c>
      <c r="BT221" s="1">
        <f t="shared" si="301"/>
        <v>0</v>
      </c>
      <c r="BU221" s="9">
        <f t="shared" si="302"/>
        <v>0</v>
      </c>
      <c r="BV221" s="10">
        <f t="shared" si="303"/>
        <v>0</v>
      </c>
      <c r="BW221" s="1">
        <f>SUMIFS(
  '[1]Hoja 1'!$M:$M,
  '[1]Hoja 1'!$S:$S, $A221,
  '[1]Hoja 1'!$R:$R, "&gt;="&amp;INT($BY$1),
  '[1]Hoja 1'!$R:$R, "&lt;"&amp;INT($BZ$1+1)
)</f>
        <v>0</v>
      </c>
      <c r="BX221" s="1">
        <f t="shared" si="304"/>
        <v>0</v>
      </c>
      <c r="BY221" s="9">
        <f t="shared" si="305"/>
        <v>0</v>
      </c>
      <c r="BZ221" s="10">
        <f t="shared" si="306"/>
        <v>0</v>
      </c>
      <c r="CA221" s="1">
        <f>SUMIFS(
  '[1]Hoja 1'!$M:$M,
  '[1]Hoja 1'!$S:$S, $A221,
  '[1]Hoja 1'!$R:$R, "&gt;="&amp;INT($CC$1),
  '[1]Hoja 1'!$R:$R, "&lt;"&amp;INT($CD$1+1)
)</f>
        <v>0</v>
      </c>
      <c r="CB221" s="1">
        <f t="shared" si="307"/>
        <v>0</v>
      </c>
      <c r="CC221" s="9">
        <f t="shared" si="308"/>
        <v>0</v>
      </c>
      <c r="CD221" s="10">
        <f t="shared" si="309"/>
        <v>0</v>
      </c>
      <c r="CE221" s="1">
        <f>SUMIFS(
  '[1]Hoja 1'!$M:$M,
  '[1]Hoja 1'!$S:$S, $A221,
  '[1]Hoja 1'!$R:$R, "&gt;="&amp;INT($CG$1),
  '[1]Hoja 1'!$R:$R, "&lt;"&amp;INT($CH$1+1)
)</f>
        <v>0</v>
      </c>
      <c r="CF221" s="1">
        <f t="shared" si="310"/>
        <v>0</v>
      </c>
      <c r="CG221" s="9">
        <f t="shared" si="311"/>
        <v>0</v>
      </c>
      <c r="CH221" s="10">
        <f t="shared" si="312"/>
        <v>0</v>
      </c>
      <c r="CI221" s="1">
        <f>SUMIFS(
  '[1]Hoja 1'!$M:$M,
  '[1]Hoja 1'!$S:$S, $A221,
  '[1]Hoja 1'!$R:$R, "&gt;="&amp;INT($CK$1),
  '[1]Hoja 1'!$R:$R, "&lt;"&amp;INT($CL$1+1)
)</f>
        <v>0</v>
      </c>
      <c r="CJ221" s="1">
        <f t="shared" si="313"/>
        <v>0</v>
      </c>
      <c r="CK221" s="9">
        <f t="shared" si="314"/>
        <v>0</v>
      </c>
      <c r="CL221" s="10">
        <f t="shared" si="315"/>
        <v>0</v>
      </c>
      <c r="CM221" s="1">
        <f>SUMIFS(
  '[1]Hoja 1'!$M:$M,
  '[1]Hoja 1'!$S:$S, $A221,
  '[1]Hoja 1'!$R:$R, "&gt;="&amp;INT($CO$1),
  '[1]Hoja 1'!$R:$R, "&lt;"&amp;INT($CP$1+1)
)</f>
        <v>0</v>
      </c>
      <c r="CN221" s="1">
        <f t="shared" si="316"/>
        <v>0</v>
      </c>
      <c r="CO221" s="9">
        <f t="shared" si="317"/>
        <v>0</v>
      </c>
      <c r="CP221" s="10">
        <f t="shared" si="318"/>
        <v>0</v>
      </c>
      <c r="CQ221" s="1">
        <f>SUMIFS(
  '[1]Hoja 1'!$M:$M,
  '[1]Hoja 1'!$S:$S, $A221,
  '[1]Hoja 1'!$R:$R, "&gt;="&amp;INT($CS$1),
  '[1]Hoja 1'!$R:$R, "&lt;"&amp;INT($CT$1+1)
)</f>
        <v>0</v>
      </c>
      <c r="CR221" s="1">
        <f t="shared" si="319"/>
        <v>0</v>
      </c>
      <c r="CS221" s="9">
        <f t="shared" si="320"/>
        <v>0</v>
      </c>
      <c r="CT221" s="10">
        <f t="shared" si="321"/>
        <v>0</v>
      </c>
      <c r="CU221" s="1">
        <f>SUMIFS(
  '[1]Hoja 1'!$M:$M,
  '[1]Hoja 1'!$S:$S, $A221,
  '[1]Hoja 1'!$R:$R, "&gt;="&amp;INT($CW$1),
  '[1]Hoja 1'!$R:$R, "&lt;"&amp;INT($CX$1+1)
)</f>
        <v>0</v>
      </c>
      <c r="CV221" s="1">
        <f t="shared" si="322"/>
        <v>0</v>
      </c>
      <c r="CW221" s="9">
        <f t="shared" si="323"/>
        <v>0</v>
      </c>
      <c r="CX221" s="10">
        <f t="shared" si="324"/>
        <v>0</v>
      </c>
      <c r="CY221" s="1">
        <f>SUMIFS(
  '[1]Hoja 1'!$M:$M,
  '[1]Hoja 1'!$S:$S, $A221,
  '[1]Hoja 1'!$R:$R, "&gt;="&amp;INT($DA$1),
  '[1]Hoja 1'!$R:$R, "&lt;"&amp;INT($DB$1+1)
)</f>
        <v>0</v>
      </c>
      <c r="CZ221" s="1">
        <f t="shared" si="325"/>
        <v>0</v>
      </c>
      <c r="DA221" s="9">
        <f t="shared" si="326"/>
        <v>0</v>
      </c>
      <c r="DB221" s="10">
        <f t="shared" si="327"/>
        <v>0</v>
      </c>
      <c r="DC221" s="1">
        <f>SUMIFS(
  '[1]Hoja 1'!$M:$M,
  '[1]Hoja 1'!$S:$S, $A221,
  '[1]Hoja 1'!$R:$R, "&gt;="&amp;INT($DE$1),
  '[1]Hoja 1'!$R:$R, "&lt;"&amp;INT($DF$1+1)
)</f>
        <v>0</v>
      </c>
      <c r="DD221" s="1">
        <f t="shared" si="328"/>
        <v>0</v>
      </c>
      <c r="DE221" s="9">
        <f t="shared" si="329"/>
        <v>0</v>
      </c>
      <c r="DF221" s="10">
        <f t="shared" si="330"/>
        <v>0</v>
      </c>
      <c r="DG221" s="1">
        <f>SUMIFS(
  '[1]Hoja 1'!$M:$M,
  '[1]Hoja 1'!$S:$S, $A221,
  '[1]Hoja 1'!$R:$R, "&gt;="&amp;INT($DI$1),
  '[1]Hoja 1'!$R:$R, "&lt;"&amp;INT($DJ$1+1)
)</f>
        <v>0</v>
      </c>
      <c r="DH221" s="1">
        <f t="shared" si="331"/>
        <v>0</v>
      </c>
      <c r="DI221" s="9">
        <f t="shared" si="332"/>
        <v>0</v>
      </c>
      <c r="DJ221" s="10">
        <f t="shared" si="333"/>
        <v>0</v>
      </c>
      <c r="DK221" s="1">
        <f>SUMIFS(
  '[1]Hoja 1'!$M:$M,
  '[1]Hoja 1'!$S:$S, $A221,
  '[1]Hoja 1'!$R:$R, "&gt;="&amp;INT($DM$1),
  '[1]Hoja 1'!$R:$R, "&lt;"&amp;INT($DN$1+1)
)</f>
        <v>0</v>
      </c>
      <c r="DL221" s="1">
        <f t="shared" si="334"/>
        <v>0</v>
      </c>
      <c r="DM221" s="9">
        <f t="shared" si="335"/>
        <v>0</v>
      </c>
      <c r="DN221" s="10">
        <f t="shared" si="336"/>
        <v>0</v>
      </c>
      <c r="DO221" s="1">
        <f>SUMIFS(
  '[1]Hoja 1'!$M:$M,
  '[1]Hoja 1'!$S:$S, $A221,
  '[1]Hoja 1'!$R:$R, "&gt;="&amp;INT($DQ$1),
  '[1]Hoja 1'!$R:$R, "&lt;"&amp;INT($DR$1+1)
)</f>
        <v>0</v>
      </c>
      <c r="DP221" s="1">
        <f t="shared" si="337"/>
        <v>0</v>
      </c>
      <c r="DQ221" s="9">
        <f t="shared" si="338"/>
        <v>0</v>
      </c>
      <c r="DR221" s="10">
        <f t="shared" si="339"/>
        <v>0</v>
      </c>
    </row>
    <row r="222" spans="1:122" x14ac:dyDescent="0.25">
      <c r="A222" s="5">
        <v>261004</v>
      </c>
      <c r="B222" s="6" t="s">
        <v>216</v>
      </c>
      <c r="C222" s="1">
        <f>SUMIFS(
  '[1]Hoja 1'!$M:$M,
  '[1]Hoja 1'!$S:$S, $A222,
  '[1]Hoja 1'!$R:$R, "&gt;="&amp;INT($E$1),
  '[1]Hoja 1'!$R:$R, "&lt;"&amp;INT($F$1+1)
)</f>
        <v>44</v>
      </c>
      <c r="D222" s="1" t="str">
        <f>""</f>
        <v/>
      </c>
      <c r="F222" s="2"/>
      <c r="G222" s="1">
        <f>SUMIFS(
  '[1]Hoja 1'!$M:$M,
  '[1]Hoja 1'!$S:$S, $A222,
  '[1]Hoja 1'!$R:$R, "&gt;="&amp;INT($I$1),
  '[1]Hoja 1'!$R:$R, "&lt;"&amp;INT($J$1+1)
)</f>
        <v>53</v>
      </c>
      <c r="H222" s="1">
        <f t="shared" si="255"/>
        <v>48.5</v>
      </c>
      <c r="I222" s="1"/>
      <c r="J222" s="2"/>
      <c r="K222" s="1">
        <f>SUMIFS(
  '[1]Hoja 1'!$M:$M,
  '[1]Hoja 1'!$S:$S, $A222,
  '[1]Hoja 1'!$R:$R, "&gt;="&amp;INT($M$1),
  '[1]Hoja 1'!$R:$R, "&lt;"&amp;INT($N$1+1)
)</f>
        <v>34</v>
      </c>
      <c r="L222" s="1">
        <f t="shared" si="256"/>
        <v>43.5</v>
      </c>
      <c r="M222" s="9">
        <f t="shared" si="257"/>
        <v>24.096989924241136</v>
      </c>
      <c r="N222" s="10">
        <f t="shared" si="258"/>
        <v>62.903010075758864</v>
      </c>
      <c r="O222" s="1">
        <f>SUMIFS(
  '[1]Hoja 1'!$M:$M,
  '[1]Hoja 1'!$S:$S, $A222,
  '[1]Hoja 1'!$R:$R, "&gt;="&amp;INT($Q$1),
  '[1]Hoja 1'!$R:$R, "&lt;"&amp;INT($R$1+1)
)</f>
        <v>65</v>
      </c>
      <c r="P222" s="1">
        <f t="shared" si="259"/>
        <v>49.5</v>
      </c>
      <c r="Q222" s="9">
        <f t="shared" si="260"/>
        <v>18.94127039116233</v>
      </c>
      <c r="R222" s="10">
        <f t="shared" si="261"/>
        <v>68.058729608837666</v>
      </c>
      <c r="S222" s="1">
        <f>SUMIFS(
  '[1]Hoja 1'!$M:$M,
  '[1]Hoja 1'!$S:$S, $A222,
  '[1]Hoja 1'!$R:$R, "&gt;="&amp;INT($U$1),
  '[1]Hoja 1'!$R:$R, "&lt;"&amp;INT($V$1+1)
)</f>
        <v>190</v>
      </c>
      <c r="T222" s="1">
        <f t="shared" si="262"/>
        <v>128</v>
      </c>
      <c r="U222" s="9">
        <f t="shared" si="263"/>
        <v>66.801635098095431</v>
      </c>
      <c r="V222" s="10">
        <f t="shared" si="264"/>
        <v>189.19836490190457</v>
      </c>
      <c r="W222" s="1">
        <f>SUMIFS(
  '[1]Hoja 1'!$M:$M,
  '[1]Hoja 1'!$S:$S, $A222,
  '[1]Hoja 1'!$R:$R, "&gt;="&amp;INT($Y$1),
  '[1]Hoja 1'!$R:$R, "&lt;"&amp;INT($Z$1+1)
)</f>
        <v>90</v>
      </c>
      <c r="X222" s="1">
        <f t="shared" si="265"/>
        <v>140</v>
      </c>
      <c r="Y222" s="9">
        <f t="shared" si="266"/>
        <v>47.712041413844233</v>
      </c>
      <c r="Z222" s="10">
        <f t="shared" si="267"/>
        <v>232.28795858615575</v>
      </c>
      <c r="AA222" s="1">
        <f>SUMIFS(
  '[1]Hoja 1'!$M:$M,
  '[1]Hoja 1'!$S:$S, $A222,
  '[1]Hoja 1'!$R:$R, "&gt;="&amp;INT($AC$1),
  '[1]Hoja 1'!$R:$R, "&lt;"&amp;INT($AD$1+1)
)</f>
        <v>142</v>
      </c>
      <c r="AB222" s="1">
        <f t="shared" si="268"/>
        <v>116</v>
      </c>
      <c r="AC222" s="9">
        <f t="shared" si="269"/>
        <v>35.54862512051146</v>
      </c>
      <c r="AD222" s="10">
        <f t="shared" si="270"/>
        <v>207.88686812234562</v>
      </c>
      <c r="AE222" s="1">
        <f>SUMIFS(
  '[1]Hoja 1'!$M:$M,
  '[1]Hoja 1'!$S:$S, $A222,
  '[1]Hoja 1'!$R:$R, "&gt;="&amp;INT($AG$1),
  '[1]Hoja 1'!$R:$R, "&lt;"&amp;INT($AH$1+1)
)</f>
        <v>0</v>
      </c>
      <c r="AF222" s="1">
        <f t="shared" si="271"/>
        <v>71</v>
      </c>
      <c r="AG222" s="9">
        <f t="shared" si="272"/>
        <v>-35.959267013195259</v>
      </c>
      <c r="AH222" s="10">
        <f t="shared" si="273"/>
        <v>194.23183395535423</v>
      </c>
      <c r="AI222" s="1">
        <f>SUMIFS(
  '[1]Hoja 1'!$M:$M,
  '[1]Hoja 1'!$S:$S, $A222,
  '[1]Hoja 1'!$R:$R, "&gt;="&amp;INT($AK$1),
  '[1]Hoja 1'!$R:$R, "&lt;"&amp;INT($AL$1+1)
)</f>
        <v>0</v>
      </c>
      <c r="AJ222" s="1">
        <f t="shared" si="274"/>
        <v>0</v>
      </c>
      <c r="AK222" s="9">
        <f t="shared" si="275"/>
        <v>-78.473465579136999</v>
      </c>
      <c r="AL222" s="10">
        <f t="shared" si="276"/>
        <v>87.366693119670416</v>
      </c>
      <c r="AM222" s="1">
        <f>SUMIFS(
  '[1]Hoja 1'!$M:$M,
  '[1]Hoja 1'!$S:$S, $A222,
  '[1]Hoja 1'!$R:$R, "&gt;="&amp;INT($AO$1),
  '[1]Hoja 1'!$R:$R, "&lt;"&amp;INT($AP$1+1)
)</f>
        <v>0</v>
      </c>
      <c r="AN222" s="1">
        <f t="shared" si="277"/>
        <v>0</v>
      </c>
      <c r="AO222" s="9">
        <f t="shared" si="278"/>
        <v>-71.425799260491303</v>
      </c>
      <c r="AP222" s="10">
        <f t="shared" si="279"/>
        <v>81.685611136029749</v>
      </c>
      <c r="AQ222" s="1">
        <f>SUMIFS(
  '[1]Hoja 1'!$M:$M,
  '[1]Hoja 1'!$S:$S, $A222,
  '[1]Hoja 1'!$R:$R, "&gt;="&amp;INT($AS$1),
  '[1]Hoja 1'!$R:$R, "&lt;"&amp;INT($AT$1+1)
)</f>
        <v>0</v>
      </c>
      <c r="AR222" s="1">
        <f t="shared" si="280"/>
        <v>0</v>
      </c>
      <c r="AS222" s="9">
        <f t="shared" si="281"/>
        <v>-62.234243949774147</v>
      </c>
      <c r="AT222" s="10">
        <f t="shared" si="282"/>
        <v>69.58</v>
      </c>
      <c r="AU222" s="1">
        <f>SUMIFS(
  '[1]Hoja 1'!$M:$M,
  '[1]Hoja 1'!$S:$S, $A222,
  '[1]Hoja 1'!$R:$R, "&gt;="&amp;INT($AW$1),
  '[1]Hoja 1'!$R:$R, "&lt;"&amp;INT($AX$1+1)
)</f>
        <v>0</v>
      </c>
      <c r="AV222" s="1">
        <f t="shared" si="283"/>
        <v>0</v>
      </c>
      <c r="AW222" s="9">
        <f t="shared" si="284"/>
        <v>0</v>
      </c>
      <c r="AX222" s="10">
        <f t="shared" si="285"/>
        <v>0</v>
      </c>
      <c r="AY222" s="1">
        <f>SUMIFS(
  '[1]Hoja 1'!$M:$M,
  '[1]Hoja 1'!$S:$S, $A222,
  '[1]Hoja 1'!$R:$R, "&gt;="&amp;INT($BA$1),
  '[1]Hoja 1'!$R:$R, "&lt;"&amp;INT($BB$1+1)
)</f>
        <v>0</v>
      </c>
      <c r="AZ222" s="1">
        <f t="shared" si="286"/>
        <v>0</v>
      </c>
      <c r="BA222" s="9">
        <f t="shared" si="287"/>
        <v>0</v>
      </c>
      <c r="BB222" s="10">
        <f t="shared" si="288"/>
        <v>0</v>
      </c>
      <c r="BC222" s="1">
        <f>SUMIFS(
  '[1]Hoja 1'!$M:$M,
  '[1]Hoja 1'!$S:$S, $A222,
  '[1]Hoja 1'!$R:$R, "&gt;="&amp;INT($BE$1),
  '[1]Hoja 1'!$R:$R, "&lt;"&amp;INT($BF$1+1)
)</f>
        <v>0</v>
      </c>
      <c r="BD222" s="1">
        <f t="shared" si="289"/>
        <v>0</v>
      </c>
      <c r="BE222" s="9">
        <f t="shared" si="290"/>
        <v>0</v>
      </c>
      <c r="BF222" s="10">
        <f t="shared" si="291"/>
        <v>0</v>
      </c>
      <c r="BG222" s="1">
        <f>SUMIFS(
  '[1]Hoja 1'!$M:$M,
  '[1]Hoja 1'!$S:$S, $A222,
  '[1]Hoja 1'!$R:$R, "&gt;="&amp;INT($BI$1),
  '[1]Hoja 1'!$R:$R, "&lt;"&amp;INT($BJ$1+1)
)</f>
        <v>0</v>
      </c>
      <c r="BH222" s="1">
        <f t="shared" si="292"/>
        <v>0</v>
      </c>
      <c r="BI222" s="9">
        <f t="shared" si="293"/>
        <v>0</v>
      </c>
      <c r="BJ222" s="10">
        <f t="shared" si="294"/>
        <v>0</v>
      </c>
      <c r="BK222" s="1">
        <f>SUMIFS(
  '[1]Hoja 1'!$M:$M,
  '[1]Hoja 1'!$S:$S, $A222,
  '[1]Hoja 1'!$R:$R, "&gt;="&amp;INT($BM$1),
  '[1]Hoja 1'!$R:$R, "&lt;"&amp;INT($BN$1+1)
)</f>
        <v>0</v>
      </c>
      <c r="BL222" s="1">
        <f t="shared" si="295"/>
        <v>0</v>
      </c>
      <c r="BM222" s="9">
        <f t="shared" si="296"/>
        <v>0</v>
      </c>
      <c r="BN222" s="10">
        <f t="shared" si="297"/>
        <v>0</v>
      </c>
      <c r="BO222" s="1">
        <f>SUMIFS(
  '[1]Hoja 1'!$M:$M,
  '[1]Hoja 1'!$S:$S, $A222,
  '[1]Hoja 1'!$R:$R, "&gt;="&amp;INT($BQ$1),
  '[1]Hoja 1'!$R:$R, "&lt;"&amp;INT($BR$1+1)
)</f>
        <v>0</v>
      </c>
      <c r="BP222" s="1">
        <f t="shared" si="298"/>
        <v>0</v>
      </c>
      <c r="BQ222" s="9">
        <f t="shared" si="299"/>
        <v>0</v>
      </c>
      <c r="BR222" s="10">
        <f t="shared" si="300"/>
        <v>0</v>
      </c>
      <c r="BS222" s="1">
        <f>SUMIFS(
  '[1]Hoja 1'!$M:$M,
  '[1]Hoja 1'!$S:$S, $A222,
  '[1]Hoja 1'!$R:$R, "&gt;="&amp;INT($BU$1),
  '[1]Hoja 1'!$R:$R, "&lt;"&amp;INT($BV$1+1)
)</f>
        <v>0</v>
      </c>
      <c r="BT222" s="1">
        <f t="shared" si="301"/>
        <v>0</v>
      </c>
      <c r="BU222" s="9">
        <f t="shared" si="302"/>
        <v>0</v>
      </c>
      <c r="BV222" s="10">
        <f t="shared" si="303"/>
        <v>0</v>
      </c>
      <c r="BW222" s="1">
        <f>SUMIFS(
  '[1]Hoja 1'!$M:$M,
  '[1]Hoja 1'!$S:$S, $A222,
  '[1]Hoja 1'!$R:$R, "&gt;="&amp;INT($BY$1),
  '[1]Hoja 1'!$R:$R, "&lt;"&amp;INT($BZ$1+1)
)</f>
        <v>0</v>
      </c>
      <c r="BX222" s="1">
        <f t="shared" si="304"/>
        <v>0</v>
      </c>
      <c r="BY222" s="9">
        <f t="shared" si="305"/>
        <v>0</v>
      </c>
      <c r="BZ222" s="10">
        <f t="shared" si="306"/>
        <v>0</v>
      </c>
      <c r="CA222" s="1">
        <f>SUMIFS(
  '[1]Hoja 1'!$M:$M,
  '[1]Hoja 1'!$S:$S, $A222,
  '[1]Hoja 1'!$R:$R, "&gt;="&amp;INT($CC$1),
  '[1]Hoja 1'!$R:$R, "&lt;"&amp;INT($CD$1+1)
)</f>
        <v>0</v>
      </c>
      <c r="CB222" s="1">
        <f t="shared" si="307"/>
        <v>0</v>
      </c>
      <c r="CC222" s="9">
        <f t="shared" si="308"/>
        <v>0</v>
      </c>
      <c r="CD222" s="10">
        <f t="shared" si="309"/>
        <v>0</v>
      </c>
      <c r="CE222" s="1">
        <f>SUMIFS(
  '[1]Hoja 1'!$M:$M,
  '[1]Hoja 1'!$S:$S, $A222,
  '[1]Hoja 1'!$R:$R, "&gt;="&amp;INT($CG$1),
  '[1]Hoja 1'!$R:$R, "&lt;"&amp;INT($CH$1+1)
)</f>
        <v>0</v>
      </c>
      <c r="CF222" s="1">
        <f t="shared" si="310"/>
        <v>0</v>
      </c>
      <c r="CG222" s="9">
        <f t="shared" si="311"/>
        <v>0</v>
      </c>
      <c r="CH222" s="10">
        <f t="shared" si="312"/>
        <v>0</v>
      </c>
      <c r="CI222" s="1">
        <f>SUMIFS(
  '[1]Hoja 1'!$M:$M,
  '[1]Hoja 1'!$S:$S, $A222,
  '[1]Hoja 1'!$R:$R, "&gt;="&amp;INT($CK$1),
  '[1]Hoja 1'!$R:$R, "&lt;"&amp;INT($CL$1+1)
)</f>
        <v>0</v>
      </c>
      <c r="CJ222" s="1">
        <f t="shared" si="313"/>
        <v>0</v>
      </c>
      <c r="CK222" s="9">
        <f t="shared" si="314"/>
        <v>0</v>
      </c>
      <c r="CL222" s="10">
        <f t="shared" si="315"/>
        <v>0</v>
      </c>
      <c r="CM222" s="1">
        <f>SUMIFS(
  '[1]Hoja 1'!$M:$M,
  '[1]Hoja 1'!$S:$S, $A222,
  '[1]Hoja 1'!$R:$R, "&gt;="&amp;INT($CO$1),
  '[1]Hoja 1'!$R:$R, "&lt;"&amp;INT($CP$1+1)
)</f>
        <v>0</v>
      </c>
      <c r="CN222" s="1">
        <f t="shared" si="316"/>
        <v>0</v>
      </c>
      <c r="CO222" s="9">
        <f t="shared" si="317"/>
        <v>0</v>
      </c>
      <c r="CP222" s="10">
        <f t="shared" si="318"/>
        <v>0</v>
      </c>
      <c r="CQ222" s="1">
        <f>SUMIFS(
  '[1]Hoja 1'!$M:$M,
  '[1]Hoja 1'!$S:$S, $A222,
  '[1]Hoja 1'!$R:$R, "&gt;="&amp;INT($CS$1),
  '[1]Hoja 1'!$R:$R, "&lt;"&amp;INT($CT$1+1)
)</f>
        <v>0</v>
      </c>
      <c r="CR222" s="1">
        <f t="shared" si="319"/>
        <v>0</v>
      </c>
      <c r="CS222" s="9">
        <f t="shared" si="320"/>
        <v>0</v>
      </c>
      <c r="CT222" s="10">
        <f t="shared" si="321"/>
        <v>0</v>
      </c>
      <c r="CU222" s="1">
        <f>SUMIFS(
  '[1]Hoja 1'!$M:$M,
  '[1]Hoja 1'!$S:$S, $A222,
  '[1]Hoja 1'!$R:$R, "&gt;="&amp;INT($CW$1),
  '[1]Hoja 1'!$R:$R, "&lt;"&amp;INT($CX$1+1)
)</f>
        <v>0</v>
      </c>
      <c r="CV222" s="1">
        <f t="shared" si="322"/>
        <v>0</v>
      </c>
      <c r="CW222" s="9">
        <f t="shared" si="323"/>
        <v>0</v>
      </c>
      <c r="CX222" s="10">
        <f t="shared" si="324"/>
        <v>0</v>
      </c>
      <c r="CY222" s="1">
        <f>SUMIFS(
  '[1]Hoja 1'!$M:$M,
  '[1]Hoja 1'!$S:$S, $A222,
  '[1]Hoja 1'!$R:$R, "&gt;="&amp;INT($DA$1),
  '[1]Hoja 1'!$R:$R, "&lt;"&amp;INT($DB$1+1)
)</f>
        <v>0</v>
      </c>
      <c r="CZ222" s="1">
        <f t="shared" si="325"/>
        <v>0</v>
      </c>
      <c r="DA222" s="9">
        <f t="shared" si="326"/>
        <v>0</v>
      </c>
      <c r="DB222" s="10">
        <f t="shared" si="327"/>
        <v>0</v>
      </c>
      <c r="DC222" s="1">
        <f>SUMIFS(
  '[1]Hoja 1'!$M:$M,
  '[1]Hoja 1'!$S:$S, $A222,
  '[1]Hoja 1'!$R:$R, "&gt;="&amp;INT($DE$1),
  '[1]Hoja 1'!$R:$R, "&lt;"&amp;INT($DF$1+1)
)</f>
        <v>0</v>
      </c>
      <c r="DD222" s="1">
        <f t="shared" si="328"/>
        <v>0</v>
      </c>
      <c r="DE222" s="9">
        <f t="shared" si="329"/>
        <v>0</v>
      </c>
      <c r="DF222" s="10">
        <f t="shared" si="330"/>
        <v>0</v>
      </c>
      <c r="DG222" s="1">
        <f>SUMIFS(
  '[1]Hoja 1'!$M:$M,
  '[1]Hoja 1'!$S:$S, $A222,
  '[1]Hoja 1'!$R:$R, "&gt;="&amp;INT($DI$1),
  '[1]Hoja 1'!$R:$R, "&lt;"&amp;INT($DJ$1+1)
)</f>
        <v>0</v>
      </c>
      <c r="DH222" s="1">
        <f t="shared" si="331"/>
        <v>0</v>
      </c>
      <c r="DI222" s="9">
        <f t="shared" si="332"/>
        <v>0</v>
      </c>
      <c r="DJ222" s="10">
        <f t="shared" si="333"/>
        <v>0</v>
      </c>
      <c r="DK222" s="1">
        <f>SUMIFS(
  '[1]Hoja 1'!$M:$M,
  '[1]Hoja 1'!$S:$S, $A222,
  '[1]Hoja 1'!$R:$R, "&gt;="&amp;INT($DM$1),
  '[1]Hoja 1'!$R:$R, "&lt;"&amp;INT($DN$1+1)
)</f>
        <v>0</v>
      </c>
      <c r="DL222" s="1">
        <f t="shared" si="334"/>
        <v>0</v>
      </c>
      <c r="DM222" s="9">
        <f t="shared" si="335"/>
        <v>0</v>
      </c>
      <c r="DN222" s="10">
        <f t="shared" si="336"/>
        <v>0</v>
      </c>
      <c r="DO222" s="1">
        <f>SUMIFS(
  '[1]Hoja 1'!$M:$M,
  '[1]Hoja 1'!$S:$S, $A222,
  '[1]Hoja 1'!$R:$R, "&gt;="&amp;INT($DQ$1),
  '[1]Hoja 1'!$R:$R, "&lt;"&amp;INT($DR$1+1)
)</f>
        <v>0</v>
      </c>
      <c r="DP222" s="1">
        <f t="shared" si="337"/>
        <v>0</v>
      </c>
      <c r="DQ222" s="9">
        <f t="shared" si="338"/>
        <v>0</v>
      </c>
      <c r="DR222" s="10">
        <f t="shared" si="339"/>
        <v>0</v>
      </c>
    </row>
    <row r="223" spans="1:122" x14ac:dyDescent="0.25">
      <c r="A223" s="5">
        <v>261005</v>
      </c>
      <c r="B223" s="6" t="s">
        <v>217</v>
      </c>
      <c r="C223" s="1">
        <f>SUMIFS(
  '[1]Hoja 1'!$M:$M,
  '[1]Hoja 1'!$S:$S, $A223,
  '[1]Hoja 1'!$R:$R, "&gt;="&amp;INT($E$1),
  '[1]Hoja 1'!$R:$R, "&lt;"&amp;INT($F$1+1)
)</f>
        <v>0</v>
      </c>
      <c r="D223" s="1" t="str">
        <f>""</f>
        <v/>
      </c>
      <c r="F223" s="2"/>
      <c r="G223" s="1">
        <f>SUMIFS(
  '[1]Hoja 1'!$M:$M,
  '[1]Hoja 1'!$S:$S, $A223,
  '[1]Hoja 1'!$R:$R, "&gt;="&amp;INT($I$1),
  '[1]Hoja 1'!$R:$R, "&lt;"&amp;INT($J$1+1)
)</f>
        <v>0</v>
      </c>
      <c r="H223" s="1">
        <f t="shared" si="255"/>
        <v>0</v>
      </c>
      <c r="I223" s="1"/>
      <c r="J223" s="2"/>
      <c r="K223" s="1">
        <f>SUMIFS(
  '[1]Hoja 1'!$M:$M,
  '[1]Hoja 1'!$S:$S, $A223,
  '[1]Hoja 1'!$R:$R, "&gt;="&amp;INT($M$1),
  '[1]Hoja 1'!$R:$R, "&lt;"&amp;INT($N$1+1)
)</f>
        <v>2</v>
      </c>
      <c r="L223" s="1">
        <f t="shared" si="256"/>
        <v>1</v>
      </c>
      <c r="M223" s="9">
        <f t="shared" si="257"/>
        <v>-0.38592929112563312</v>
      </c>
      <c r="N223" s="10">
        <f t="shared" si="258"/>
        <v>2.3859292911256329</v>
      </c>
      <c r="O223" s="1">
        <f>SUMIFS(
  '[1]Hoja 1'!$M:$M,
  '[1]Hoja 1'!$S:$S, $A223,
  '[1]Hoja 1'!$R:$R, "&gt;="&amp;INT($Q$1),
  '[1]Hoja 1'!$R:$R, "&lt;"&amp;INT($R$1+1)
)</f>
        <v>1</v>
      </c>
      <c r="P223" s="1">
        <f t="shared" si="259"/>
        <v>1.5</v>
      </c>
      <c r="Q223" s="9">
        <f t="shared" si="260"/>
        <v>-0.49697472701890777</v>
      </c>
      <c r="R223" s="10">
        <f t="shared" si="261"/>
        <v>2.496974727018908</v>
      </c>
      <c r="S223" s="1">
        <f>SUMIFS(
  '[1]Hoja 1'!$M:$M,
  '[1]Hoja 1'!$S:$S, $A223,
  '[1]Hoja 1'!$R:$R, "&gt;="&amp;INT($U$1),
  '[1]Hoja 1'!$R:$R, "&lt;"&amp;INT($V$1+1)
)</f>
        <v>0</v>
      </c>
      <c r="T223" s="1">
        <f t="shared" si="262"/>
        <v>1</v>
      </c>
      <c r="U223" s="9">
        <f t="shared" si="263"/>
        <v>-0.38592929112563312</v>
      </c>
      <c r="V223" s="10">
        <f t="shared" si="264"/>
        <v>2.3859292911256329</v>
      </c>
      <c r="W223" s="1">
        <f>SUMIFS(
  '[1]Hoja 1'!$M:$M,
  '[1]Hoja 1'!$S:$S, $A223,
  '[1]Hoja 1'!$R:$R, "&gt;="&amp;INT($Y$1),
  '[1]Hoja 1'!$R:$R, "&lt;"&amp;INT($Z$1+1)
)</f>
        <v>0</v>
      </c>
      <c r="X223" s="1">
        <f t="shared" si="265"/>
        <v>0</v>
      </c>
      <c r="Y223" s="9">
        <f t="shared" si="266"/>
        <v>-1.3859292911256331</v>
      </c>
      <c r="Z223" s="10">
        <f t="shared" si="267"/>
        <v>1.3859292911256331</v>
      </c>
      <c r="AA223" s="1">
        <f>SUMIFS(
  '[1]Hoja 1'!$M:$M,
  '[1]Hoja 1'!$S:$S, $A223,
  '[1]Hoja 1'!$R:$R, "&gt;="&amp;INT($AC$1),
  '[1]Hoja 1'!$R:$R, "&lt;"&amp;INT($AD$1+1)
)</f>
        <v>0</v>
      </c>
      <c r="AB223" s="1">
        <f t="shared" si="268"/>
        <v>0</v>
      </c>
      <c r="AC223" s="9">
        <f t="shared" si="269"/>
        <v>-0.53676810635506278</v>
      </c>
      <c r="AD223" s="10">
        <f t="shared" si="270"/>
        <v>0.56580326380583323</v>
      </c>
      <c r="AE223" s="1">
        <f>SUMIFS(
  '[1]Hoja 1'!$M:$M,
  '[1]Hoja 1'!$S:$S, $A223,
  '[1]Hoja 1'!$R:$R, "&gt;="&amp;INT($AG$1),
  '[1]Hoja 1'!$R:$R, "&lt;"&amp;INT($AH$1+1)
)</f>
        <v>0</v>
      </c>
      <c r="AF223" s="1">
        <f t="shared" si="271"/>
        <v>0</v>
      </c>
      <c r="AG223" s="9">
        <f t="shared" si="272"/>
        <v>-0.43826932358995874</v>
      </c>
      <c r="AH223" s="10">
        <f t="shared" si="273"/>
        <v>0.49</v>
      </c>
      <c r="AI223" s="1">
        <f>SUMIFS(
  '[1]Hoja 1'!$M:$M,
  '[1]Hoja 1'!$S:$S, $A223,
  '[1]Hoja 1'!$R:$R, "&gt;="&amp;INT($AK$1),
  '[1]Hoja 1'!$R:$R, "&lt;"&amp;INT($AL$1+1)
)</f>
        <v>0</v>
      </c>
      <c r="AJ223" s="1">
        <f t="shared" si="274"/>
        <v>0</v>
      </c>
      <c r="AK223" s="9">
        <f t="shared" si="275"/>
        <v>0</v>
      </c>
      <c r="AL223" s="10">
        <f t="shared" si="276"/>
        <v>0</v>
      </c>
      <c r="AM223" s="1">
        <f>SUMIFS(
  '[1]Hoja 1'!$M:$M,
  '[1]Hoja 1'!$S:$S, $A223,
  '[1]Hoja 1'!$R:$R, "&gt;="&amp;INT($AO$1),
  '[1]Hoja 1'!$R:$R, "&lt;"&amp;INT($AP$1+1)
)</f>
        <v>0</v>
      </c>
      <c r="AN223" s="1">
        <f t="shared" si="277"/>
        <v>0</v>
      </c>
      <c r="AO223" s="9">
        <f t="shared" si="278"/>
        <v>0</v>
      </c>
      <c r="AP223" s="10">
        <f t="shared" si="279"/>
        <v>0</v>
      </c>
      <c r="AQ223" s="1">
        <f>SUMIFS(
  '[1]Hoja 1'!$M:$M,
  '[1]Hoja 1'!$S:$S, $A223,
  '[1]Hoja 1'!$R:$R, "&gt;="&amp;INT($AS$1),
  '[1]Hoja 1'!$R:$R, "&lt;"&amp;INT($AT$1+1)
)</f>
        <v>0</v>
      </c>
      <c r="AR223" s="1">
        <f t="shared" si="280"/>
        <v>0</v>
      </c>
      <c r="AS223" s="9">
        <f t="shared" si="281"/>
        <v>0</v>
      </c>
      <c r="AT223" s="10">
        <f t="shared" si="282"/>
        <v>0</v>
      </c>
      <c r="AU223" s="1">
        <f>SUMIFS(
  '[1]Hoja 1'!$M:$M,
  '[1]Hoja 1'!$S:$S, $A223,
  '[1]Hoja 1'!$R:$R, "&gt;="&amp;INT($AW$1),
  '[1]Hoja 1'!$R:$R, "&lt;"&amp;INT($AX$1+1)
)</f>
        <v>0</v>
      </c>
      <c r="AV223" s="1">
        <f t="shared" si="283"/>
        <v>0</v>
      </c>
      <c r="AW223" s="9">
        <f t="shared" si="284"/>
        <v>0</v>
      </c>
      <c r="AX223" s="10">
        <f t="shared" si="285"/>
        <v>0</v>
      </c>
      <c r="AY223" s="1">
        <f>SUMIFS(
  '[1]Hoja 1'!$M:$M,
  '[1]Hoja 1'!$S:$S, $A223,
  '[1]Hoja 1'!$R:$R, "&gt;="&amp;INT($BA$1),
  '[1]Hoja 1'!$R:$R, "&lt;"&amp;INT($BB$1+1)
)</f>
        <v>0</v>
      </c>
      <c r="AZ223" s="1">
        <f t="shared" si="286"/>
        <v>0</v>
      </c>
      <c r="BA223" s="9">
        <f t="shared" si="287"/>
        <v>0</v>
      </c>
      <c r="BB223" s="10">
        <f t="shared" si="288"/>
        <v>0</v>
      </c>
      <c r="BC223" s="1">
        <f>SUMIFS(
  '[1]Hoja 1'!$M:$M,
  '[1]Hoja 1'!$S:$S, $A223,
  '[1]Hoja 1'!$R:$R, "&gt;="&amp;INT($BE$1),
  '[1]Hoja 1'!$R:$R, "&lt;"&amp;INT($BF$1+1)
)</f>
        <v>0</v>
      </c>
      <c r="BD223" s="1">
        <f t="shared" si="289"/>
        <v>0</v>
      </c>
      <c r="BE223" s="9">
        <f t="shared" si="290"/>
        <v>0</v>
      </c>
      <c r="BF223" s="10">
        <f t="shared" si="291"/>
        <v>0</v>
      </c>
      <c r="BG223" s="1">
        <f>SUMIFS(
  '[1]Hoja 1'!$M:$M,
  '[1]Hoja 1'!$S:$S, $A223,
  '[1]Hoja 1'!$R:$R, "&gt;="&amp;INT($BI$1),
  '[1]Hoja 1'!$R:$R, "&lt;"&amp;INT($BJ$1+1)
)</f>
        <v>0</v>
      </c>
      <c r="BH223" s="1">
        <f t="shared" si="292"/>
        <v>0</v>
      </c>
      <c r="BI223" s="9">
        <f t="shared" si="293"/>
        <v>0</v>
      </c>
      <c r="BJ223" s="10">
        <f t="shared" si="294"/>
        <v>0</v>
      </c>
      <c r="BK223" s="1">
        <f>SUMIFS(
  '[1]Hoja 1'!$M:$M,
  '[1]Hoja 1'!$S:$S, $A223,
  '[1]Hoja 1'!$R:$R, "&gt;="&amp;INT($BM$1),
  '[1]Hoja 1'!$R:$R, "&lt;"&amp;INT($BN$1+1)
)</f>
        <v>0</v>
      </c>
      <c r="BL223" s="1">
        <f t="shared" si="295"/>
        <v>0</v>
      </c>
      <c r="BM223" s="9">
        <f t="shared" si="296"/>
        <v>0</v>
      </c>
      <c r="BN223" s="10">
        <f t="shared" si="297"/>
        <v>0</v>
      </c>
      <c r="BO223" s="1">
        <f>SUMIFS(
  '[1]Hoja 1'!$M:$M,
  '[1]Hoja 1'!$S:$S, $A223,
  '[1]Hoja 1'!$R:$R, "&gt;="&amp;INT($BQ$1),
  '[1]Hoja 1'!$R:$R, "&lt;"&amp;INT($BR$1+1)
)</f>
        <v>0</v>
      </c>
      <c r="BP223" s="1">
        <f t="shared" si="298"/>
        <v>0</v>
      </c>
      <c r="BQ223" s="9">
        <f t="shared" si="299"/>
        <v>0</v>
      </c>
      <c r="BR223" s="10">
        <f t="shared" si="300"/>
        <v>0</v>
      </c>
      <c r="BS223" s="1">
        <f>SUMIFS(
  '[1]Hoja 1'!$M:$M,
  '[1]Hoja 1'!$S:$S, $A223,
  '[1]Hoja 1'!$R:$R, "&gt;="&amp;INT($BU$1),
  '[1]Hoja 1'!$R:$R, "&lt;"&amp;INT($BV$1+1)
)</f>
        <v>0</v>
      </c>
      <c r="BT223" s="1">
        <f t="shared" si="301"/>
        <v>0</v>
      </c>
      <c r="BU223" s="9">
        <f t="shared" si="302"/>
        <v>0</v>
      </c>
      <c r="BV223" s="10">
        <f t="shared" si="303"/>
        <v>0</v>
      </c>
      <c r="BW223" s="1">
        <f>SUMIFS(
  '[1]Hoja 1'!$M:$M,
  '[1]Hoja 1'!$S:$S, $A223,
  '[1]Hoja 1'!$R:$R, "&gt;="&amp;INT($BY$1),
  '[1]Hoja 1'!$R:$R, "&lt;"&amp;INT($BZ$1+1)
)</f>
        <v>0</v>
      </c>
      <c r="BX223" s="1">
        <f t="shared" si="304"/>
        <v>0</v>
      </c>
      <c r="BY223" s="9">
        <f t="shared" si="305"/>
        <v>0</v>
      </c>
      <c r="BZ223" s="10">
        <f t="shared" si="306"/>
        <v>0</v>
      </c>
      <c r="CA223" s="1">
        <f>SUMIFS(
  '[1]Hoja 1'!$M:$M,
  '[1]Hoja 1'!$S:$S, $A223,
  '[1]Hoja 1'!$R:$R, "&gt;="&amp;INT($CC$1),
  '[1]Hoja 1'!$R:$R, "&lt;"&amp;INT($CD$1+1)
)</f>
        <v>0</v>
      </c>
      <c r="CB223" s="1">
        <f t="shared" si="307"/>
        <v>0</v>
      </c>
      <c r="CC223" s="9">
        <f t="shared" si="308"/>
        <v>0</v>
      </c>
      <c r="CD223" s="10">
        <f t="shared" si="309"/>
        <v>0</v>
      </c>
      <c r="CE223" s="1">
        <f>SUMIFS(
  '[1]Hoja 1'!$M:$M,
  '[1]Hoja 1'!$S:$S, $A223,
  '[1]Hoja 1'!$R:$R, "&gt;="&amp;INT($CG$1),
  '[1]Hoja 1'!$R:$R, "&lt;"&amp;INT($CH$1+1)
)</f>
        <v>0</v>
      </c>
      <c r="CF223" s="1">
        <f t="shared" si="310"/>
        <v>0</v>
      </c>
      <c r="CG223" s="9">
        <f t="shared" si="311"/>
        <v>0</v>
      </c>
      <c r="CH223" s="10">
        <f t="shared" si="312"/>
        <v>0</v>
      </c>
      <c r="CI223" s="1">
        <f>SUMIFS(
  '[1]Hoja 1'!$M:$M,
  '[1]Hoja 1'!$S:$S, $A223,
  '[1]Hoja 1'!$R:$R, "&gt;="&amp;INT($CK$1),
  '[1]Hoja 1'!$R:$R, "&lt;"&amp;INT($CL$1+1)
)</f>
        <v>0</v>
      </c>
      <c r="CJ223" s="1">
        <f t="shared" si="313"/>
        <v>0</v>
      </c>
      <c r="CK223" s="9">
        <f t="shared" si="314"/>
        <v>0</v>
      </c>
      <c r="CL223" s="10">
        <f t="shared" si="315"/>
        <v>0</v>
      </c>
      <c r="CM223" s="1">
        <f>SUMIFS(
  '[1]Hoja 1'!$M:$M,
  '[1]Hoja 1'!$S:$S, $A223,
  '[1]Hoja 1'!$R:$R, "&gt;="&amp;INT($CO$1),
  '[1]Hoja 1'!$R:$R, "&lt;"&amp;INT($CP$1+1)
)</f>
        <v>0</v>
      </c>
      <c r="CN223" s="1">
        <f t="shared" si="316"/>
        <v>0</v>
      </c>
      <c r="CO223" s="9">
        <f t="shared" si="317"/>
        <v>0</v>
      </c>
      <c r="CP223" s="10">
        <f t="shared" si="318"/>
        <v>0</v>
      </c>
      <c r="CQ223" s="1">
        <f>SUMIFS(
  '[1]Hoja 1'!$M:$M,
  '[1]Hoja 1'!$S:$S, $A223,
  '[1]Hoja 1'!$R:$R, "&gt;="&amp;INT($CS$1),
  '[1]Hoja 1'!$R:$R, "&lt;"&amp;INT($CT$1+1)
)</f>
        <v>0</v>
      </c>
      <c r="CR223" s="1">
        <f t="shared" si="319"/>
        <v>0</v>
      </c>
      <c r="CS223" s="9">
        <f t="shared" si="320"/>
        <v>0</v>
      </c>
      <c r="CT223" s="10">
        <f t="shared" si="321"/>
        <v>0</v>
      </c>
      <c r="CU223" s="1">
        <f>SUMIFS(
  '[1]Hoja 1'!$M:$M,
  '[1]Hoja 1'!$S:$S, $A223,
  '[1]Hoja 1'!$R:$R, "&gt;="&amp;INT($CW$1),
  '[1]Hoja 1'!$R:$R, "&lt;"&amp;INT($CX$1+1)
)</f>
        <v>0</v>
      </c>
      <c r="CV223" s="1">
        <f t="shared" si="322"/>
        <v>0</v>
      </c>
      <c r="CW223" s="9">
        <f t="shared" si="323"/>
        <v>0</v>
      </c>
      <c r="CX223" s="10">
        <f t="shared" si="324"/>
        <v>0</v>
      </c>
      <c r="CY223" s="1">
        <f>SUMIFS(
  '[1]Hoja 1'!$M:$M,
  '[1]Hoja 1'!$S:$S, $A223,
  '[1]Hoja 1'!$R:$R, "&gt;="&amp;INT($DA$1),
  '[1]Hoja 1'!$R:$R, "&lt;"&amp;INT($DB$1+1)
)</f>
        <v>0</v>
      </c>
      <c r="CZ223" s="1">
        <f t="shared" si="325"/>
        <v>0</v>
      </c>
      <c r="DA223" s="9">
        <f t="shared" si="326"/>
        <v>0</v>
      </c>
      <c r="DB223" s="10">
        <f t="shared" si="327"/>
        <v>0</v>
      </c>
      <c r="DC223" s="1">
        <f>SUMIFS(
  '[1]Hoja 1'!$M:$M,
  '[1]Hoja 1'!$S:$S, $A223,
  '[1]Hoja 1'!$R:$R, "&gt;="&amp;INT($DE$1),
  '[1]Hoja 1'!$R:$R, "&lt;"&amp;INT($DF$1+1)
)</f>
        <v>0</v>
      </c>
      <c r="DD223" s="1">
        <f t="shared" si="328"/>
        <v>0</v>
      </c>
      <c r="DE223" s="9">
        <f t="shared" si="329"/>
        <v>0</v>
      </c>
      <c r="DF223" s="10">
        <f t="shared" si="330"/>
        <v>0</v>
      </c>
      <c r="DG223" s="1">
        <f>SUMIFS(
  '[1]Hoja 1'!$M:$M,
  '[1]Hoja 1'!$S:$S, $A223,
  '[1]Hoja 1'!$R:$R, "&gt;="&amp;INT($DI$1),
  '[1]Hoja 1'!$R:$R, "&lt;"&amp;INT($DJ$1+1)
)</f>
        <v>0</v>
      </c>
      <c r="DH223" s="1">
        <f t="shared" si="331"/>
        <v>0</v>
      </c>
      <c r="DI223" s="9">
        <f t="shared" si="332"/>
        <v>0</v>
      </c>
      <c r="DJ223" s="10">
        <f t="shared" si="333"/>
        <v>0</v>
      </c>
      <c r="DK223" s="1">
        <f>SUMIFS(
  '[1]Hoja 1'!$M:$M,
  '[1]Hoja 1'!$S:$S, $A223,
  '[1]Hoja 1'!$R:$R, "&gt;="&amp;INT($DM$1),
  '[1]Hoja 1'!$R:$R, "&lt;"&amp;INT($DN$1+1)
)</f>
        <v>0</v>
      </c>
      <c r="DL223" s="1">
        <f t="shared" si="334"/>
        <v>0</v>
      </c>
      <c r="DM223" s="9">
        <f t="shared" si="335"/>
        <v>0</v>
      </c>
      <c r="DN223" s="10">
        <f t="shared" si="336"/>
        <v>0</v>
      </c>
      <c r="DO223" s="1">
        <f>SUMIFS(
  '[1]Hoja 1'!$M:$M,
  '[1]Hoja 1'!$S:$S, $A223,
  '[1]Hoja 1'!$R:$R, "&gt;="&amp;INT($DQ$1),
  '[1]Hoja 1'!$R:$R, "&lt;"&amp;INT($DR$1+1)
)</f>
        <v>0</v>
      </c>
      <c r="DP223" s="1">
        <f t="shared" si="337"/>
        <v>0</v>
      </c>
      <c r="DQ223" s="9">
        <f t="shared" si="338"/>
        <v>0</v>
      </c>
      <c r="DR223" s="10">
        <f t="shared" si="339"/>
        <v>0</v>
      </c>
    </row>
    <row r="224" spans="1:122" x14ac:dyDescent="0.25">
      <c r="A224" s="5">
        <v>261006</v>
      </c>
      <c r="B224" s="6" t="s">
        <v>259</v>
      </c>
      <c r="C224" s="1">
        <f>SUMIFS(
  '[1]Hoja 1'!$M:$M,
  '[1]Hoja 1'!$S:$S, $A224,
  '[1]Hoja 1'!$R:$R, "&gt;="&amp;INT($E$1),
  '[1]Hoja 1'!$R:$R, "&lt;"&amp;INT($F$1+1)
)</f>
        <v>0</v>
      </c>
      <c r="D224" s="1" t="str">
        <f>""</f>
        <v/>
      </c>
      <c r="F224" s="2"/>
      <c r="G224" s="1">
        <f>SUMIFS(
  '[1]Hoja 1'!$M:$M,
  '[1]Hoja 1'!$S:$S, $A224,
  '[1]Hoja 1'!$R:$R, "&gt;="&amp;INT($I$1),
  '[1]Hoja 1'!$R:$R, "&lt;"&amp;INT($J$1+1)
)</f>
        <v>0</v>
      </c>
      <c r="H224" s="1">
        <f t="shared" si="255"/>
        <v>0</v>
      </c>
      <c r="I224" s="1"/>
      <c r="J224" s="2"/>
      <c r="K224" s="1">
        <f>SUMIFS(
  '[1]Hoja 1'!$M:$M,
  '[1]Hoja 1'!$S:$S, $A224,
  '[1]Hoja 1'!$R:$R, "&gt;="&amp;INT($M$1),
  '[1]Hoja 1'!$R:$R, "&lt;"&amp;INT($N$1+1)
)</f>
        <v>0</v>
      </c>
      <c r="L224" s="1">
        <f t="shared" si="256"/>
        <v>0</v>
      </c>
      <c r="M224" s="9">
        <f t="shared" si="257"/>
        <v>0</v>
      </c>
      <c r="N224" s="10">
        <f t="shared" si="258"/>
        <v>0</v>
      </c>
      <c r="O224" s="1">
        <f>SUMIFS(
  '[1]Hoja 1'!$M:$M,
  '[1]Hoja 1'!$S:$S, $A224,
  '[1]Hoja 1'!$R:$R, "&gt;="&amp;INT($Q$1),
  '[1]Hoja 1'!$R:$R, "&lt;"&amp;INT($R$1+1)
)</f>
        <v>0</v>
      </c>
      <c r="P224" s="1">
        <f t="shared" si="259"/>
        <v>0</v>
      </c>
      <c r="Q224" s="9">
        <f t="shared" si="260"/>
        <v>0</v>
      </c>
      <c r="R224" s="10">
        <f t="shared" si="261"/>
        <v>0</v>
      </c>
      <c r="S224" s="1">
        <f>SUMIFS(
  '[1]Hoja 1'!$M:$M,
  '[1]Hoja 1'!$S:$S, $A224,
  '[1]Hoja 1'!$R:$R, "&gt;="&amp;INT($U$1),
  '[1]Hoja 1'!$R:$R, "&lt;"&amp;INT($V$1+1)
)</f>
        <v>0</v>
      </c>
      <c r="T224" s="1">
        <f t="shared" si="262"/>
        <v>0</v>
      </c>
      <c r="U224" s="9">
        <f t="shared" si="263"/>
        <v>0</v>
      </c>
      <c r="V224" s="10">
        <f t="shared" si="264"/>
        <v>0</v>
      </c>
      <c r="W224" s="1">
        <f>SUMIFS(
  '[1]Hoja 1'!$M:$M,
  '[1]Hoja 1'!$S:$S, $A224,
  '[1]Hoja 1'!$R:$R, "&gt;="&amp;INT($Y$1),
  '[1]Hoja 1'!$R:$R, "&lt;"&amp;INT($Z$1+1)
)</f>
        <v>24</v>
      </c>
      <c r="X224" s="1">
        <f t="shared" si="265"/>
        <v>12</v>
      </c>
      <c r="Y224" s="9">
        <f t="shared" si="266"/>
        <v>0.24000000000000021</v>
      </c>
      <c r="Z224" s="10">
        <f t="shared" si="267"/>
        <v>23.759999999999998</v>
      </c>
      <c r="AA224" s="1">
        <f>SUMIFS(
  '[1]Hoja 1'!$M:$M,
  '[1]Hoja 1'!$S:$S, $A224,
  '[1]Hoja 1'!$R:$R, "&gt;="&amp;INT($AC$1),
  '[1]Hoja 1'!$R:$R, "&lt;"&amp;INT($AD$1+1)
)</f>
        <v>16</v>
      </c>
      <c r="AB224" s="1">
        <f t="shared" si="268"/>
        <v>20</v>
      </c>
      <c r="AC224" s="9">
        <f t="shared" si="269"/>
        <v>8.11005130372717</v>
      </c>
      <c r="AD224" s="10">
        <f t="shared" si="270"/>
        <v>33.579278331339999</v>
      </c>
      <c r="AE224" s="1">
        <f>SUMIFS(
  '[1]Hoja 1'!$M:$M,
  '[1]Hoja 1'!$S:$S, $A224,
  '[1]Hoja 1'!$R:$R, "&gt;="&amp;INT($AG$1),
  '[1]Hoja 1'!$R:$R, "&lt;"&amp;INT($AH$1+1)
)</f>
        <v>0</v>
      </c>
      <c r="AF224" s="1">
        <f t="shared" si="271"/>
        <v>8</v>
      </c>
      <c r="AG224" s="9">
        <f t="shared" si="272"/>
        <v>-6.6672969561538498</v>
      </c>
      <c r="AH224" s="10">
        <f t="shared" si="273"/>
        <v>24.936335691839208</v>
      </c>
      <c r="AI224" s="1">
        <f>SUMIFS(
  '[1]Hoja 1'!$M:$M,
  '[1]Hoja 1'!$S:$S, $A224,
  '[1]Hoja 1'!$R:$R, "&gt;="&amp;INT($AK$1),
  '[1]Hoja 1'!$R:$R, "&lt;"&amp;INT($AL$1+1)
)</f>
        <v>0</v>
      </c>
      <c r="AJ224" s="1">
        <f t="shared" si="274"/>
        <v>0</v>
      </c>
      <c r="AK224" s="9">
        <f t="shared" si="275"/>
        <v>-14.66729695615385</v>
      </c>
      <c r="AL224" s="10">
        <f t="shared" si="276"/>
        <v>16.936335691839208</v>
      </c>
      <c r="AM224" s="1">
        <f>SUMIFS(
  '[1]Hoja 1'!$M:$M,
  '[1]Hoja 1'!$S:$S, $A224,
  '[1]Hoja 1'!$R:$R, "&gt;="&amp;INT($AO$1),
  '[1]Hoja 1'!$R:$R, "&lt;"&amp;INT($AP$1+1)
)</f>
        <v>0</v>
      </c>
      <c r="AN224" s="1">
        <f t="shared" si="277"/>
        <v>0</v>
      </c>
      <c r="AO224" s="9">
        <f t="shared" si="278"/>
        <v>-7.0123091774393398</v>
      </c>
      <c r="AP224" s="10">
        <f t="shared" si="279"/>
        <v>7.5062285248096909</v>
      </c>
      <c r="AQ224" s="1">
        <f>SUMIFS(
  '[1]Hoja 1'!$M:$M,
  '[1]Hoja 1'!$S:$S, $A224,
  '[1]Hoja 1'!$R:$R, "&gt;="&amp;INT($AS$1),
  '[1]Hoja 1'!$R:$R, "&lt;"&amp;INT($AT$1+1)
)</f>
        <v>0</v>
      </c>
      <c r="AR224" s="1">
        <f t="shared" si="280"/>
        <v>0</v>
      </c>
      <c r="AS224" s="9">
        <f t="shared" si="281"/>
        <v>-7.0123091774393398</v>
      </c>
      <c r="AT224" s="10">
        <f t="shared" si="282"/>
        <v>7.84</v>
      </c>
      <c r="AU224" s="1">
        <f>SUMIFS(
  '[1]Hoja 1'!$M:$M,
  '[1]Hoja 1'!$S:$S, $A224,
  '[1]Hoja 1'!$R:$R, "&gt;="&amp;INT($AW$1),
  '[1]Hoja 1'!$R:$R, "&lt;"&amp;INT($AX$1+1)
)</f>
        <v>0</v>
      </c>
      <c r="AV224" s="1">
        <f t="shared" si="283"/>
        <v>0</v>
      </c>
      <c r="AW224" s="9">
        <f t="shared" si="284"/>
        <v>0</v>
      </c>
      <c r="AX224" s="10">
        <f t="shared" si="285"/>
        <v>0</v>
      </c>
      <c r="AY224" s="1">
        <f>SUMIFS(
  '[1]Hoja 1'!$M:$M,
  '[1]Hoja 1'!$S:$S, $A224,
  '[1]Hoja 1'!$R:$R, "&gt;="&amp;INT($BA$1),
  '[1]Hoja 1'!$R:$R, "&lt;"&amp;INT($BB$1+1)
)</f>
        <v>0</v>
      </c>
      <c r="AZ224" s="1">
        <f t="shared" si="286"/>
        <v>0</v>
      </c>
      <c r="BA224" s="9">
        <f t="shared" si="287"/>
        <v>0</v>
      </c>
      <c r="BB224" s="10">
        <f t="shared" si="288"/>
        <v>0</v>
      </c>
      <c r="BC224" s="1">
        <f>SUMIFS(
  '[1]Hoja 1'!$M:$M,
  '[1]Hoja 1'!$S:$S, $A224,
  '[1]Hoja 1'!$R:$R, "&gt;="&amp;INT($BE$1),
  '[1]Hoja 1'!$R:$R, "&lt;"&amp;INT($BF$1+1)
)</f>
        <v>0</v>
      </c>
      <c r="BD224" s="1">
        <f t="shared" si="289"/>
        <v>0</v>
      </c>
      <c r="BE224" s="9">
        <f t="shared" si="290"/>
        <v>0</v>
      </c>
      <c r="BF224" s="10">
        <f t="shared" si="291"/>
        <v>0</v>
      </c>
      <c r="BG224" s="1">
        <f>SUMIFS(
  '[1]Hoja 1'!$M:$M,
  '[1]Hoja 1'!$S:$S, $A224,
  '[1]Hoja 1'!$R:$R, "&gt;="&amp;INT($BI$1),
  '[1]Hoja 1'!$R:$R, "&lt;"&amp;INT($BJ$1+1)
)</f>
        <v>0</v>
      </c>
      <c r="BH224" s="1">
        <f t="shared" si="292"/>
        <v>0</v>
      </c>
      <c r="BI224" s="9">
        <f t="shared" si="293"/>
        <v>0</v>
      </c>
      <c r="BJ224" s="10">
        <f t="shared" si="294"/>
        <v>0</v>
      </c>
      <c r="BK224" s="1">
        <f>SUMIFS(
  '[1]Hoja 1'!$M:$M,
  '[1]Hoja 1'!$S:$S, $A224,
  '[1]Hoja 1'!$R:$R, "&gt;="&amp;INT($BM$1),
  '[1]Hoja 1'!$R:$R, "&lt;"&amp;INT($BN$1+1)
)</f>
        <v>0</v>
      </c>
      <c r="BL224" s="1">
        <f t="shared" si="295"/>
        <v>0</v>
      </c>
      <c r="BM224" s="9">
        <f t="shared" si="296"/>
        <v>0</v>
      </c>
      <c r="BN224" s="10">
        <f t="shared" si="297"/>
        <v>0</v>
      </c>
      <c r="BO224" s="1">
        <f>SUMIFS(
  '[1]Hoja 1'!$M:$M,
  '[1]Hoja 1'!$S:$S, $A224,
  '[1]Hoja 1'!$R:$R, "&gt;="&amp;INT($BQ$1),
  '[1]Hoja 1'!$R:$R, "&lt;"&amp;INT($BR$1+1)
)</f>
        <v>0</v>
      </c>
      <c r="BP224" s="1">
        <f t="shared" si="298"/>
        <v>0</v>
      </c>
      <c r="BQ224" s="9">
        <f t="shared" si="299"/>
        <v>0</v>
      </c>
      <c r="BR224" s="10">
        <f t="shared" si="300"/>
        <v>0</v>
      </c>
      <c r="BS224" s="1">
        <f>SUMIFS(
  '[1]Hoja 1'!$M:$M,
  '[1]Hoja 1'!$S:$S, $A224,
  '[1]Hoja 1'!$R:$R, "&gt;="&amp;INT($BU$1),
  '[1]Hoja 1'!$R:$R, "&lt;"&amp;INT($BV$1+1)
)</f>
        <v>0</v>
      </c>
      <c r="BT224" s="1">
        <f t="shared" si="301"/>
        <v>0</v>
      </c>
      <c r="BU224" s="9">
        <f t="shared" si="302"/>
        <v>0</v>
      </c>
      <c r="BV224" s="10">
        <f t="shared" si="303"/>
        <v>0</v>
      </c>
      <c r="BW224" s="1">
        <f>SUMIFS(
  '[1]Hoja 1'!$M:$M,
  '[1]Hoja 1'!$S:$S, $A224,
  '[1]Hoja 1'!$R:$R, "&gt;="&amp;INT($BY$1),
  '[1]Hoja 1'!$R:$R, "&lt;"&amp;INT($BZ$1+1)
)</f>
        <v>0</v>
      </c>
      <c r="BX224" s="1">
        <f t="shared" si="304"/>
        <v>0</v>
      </c>
      <c r="BY224" s="9">
        <f t="shared" si="305"/>
        <v>0</v>
      </c>
      <c r="BZ224" s="10">
        <f t="shared" si="306"/>
        <v>0</v>
      </c>
      <c r="CA224" s="1">
        <f>SUMIFS(
  '[1]Hoja 1'!$M:$M,
  '[1]Hoja 1'!$S:$S, $A224,
  '[1]Hoja 1'!$R:$R, "&gt;="&amp;INT($CC$1),
  '[1]Hoja 1'!$R:$R, "&lt;"&amp;INT($CD$1+1)
)</f>
        <v>0</v>
      </c>
      <c r="CB224" s="1">
        <f t="shared" si="307"/>
        <v>0</v>
      </c>
      <c r="CC224" s="9">
        <f t="shared" si="308"/>
        <v>0</v>
      </c>
      <c r="CD224" s="10">
        <f t="shared" si="309"/>
        <v>0</v>
      </c>
      <c r="CE224" s="1">
        <f>SUMIFS(
  '[1]Hoja 1'!$M:$M,
  '[1]Hoja 1'!$S:$S, $A224,
  '[1]Hoja 1'!$R:$R, "&gt;="&amp;INT($CG$1),
  '[1]Hoja 1'!$R:$R, "&lt;"&amp;INT($CH$1+1)
)</f>
        <v>0</v>
      </c>
      <c r="CF224" s="1">
        <f t="shared" si="310"/>
        <v>0</v>
      </c>
      <c r="CG224" s="9">
        <f t="shared" si="311"/>
        <v>0</v>
      </c>
      <c r="CH224" s="10">
        <f t="shared" si="312"/>
        <v>0</v>
      </c>
      <c r="CI224" s="1">
        <f>SUMIFS(
  '[1]Hoja 1'!$M:$M,
  '[1]Hoja 1'!$S:$S, $A224,
  '[1]Hoja 1'!$R:$R, "&gt;="&amp;INT($CK$1),
  '[1]Hoja 1'!$R:$R, "&lt;"&amp;INT($CL$1+1)
)</f>
        <v>0</v>
      </c>
      <c r="CJ224" s="1">
        <f t="shared" si="313"/>
        <v>0</v>
      </c>
      <c r="CK224" s="9">
        <f t="shared" si="314"/>
        <v>0</v>
      </c>
      <c r="CL224" s="10">
        <f t="shared" si="315"/>
        <v>0</v>
      </c>
      <c r="CM224" s="1">
        <f>SUMIFS(
  '[1]Hoja 1'!$M:$M,
  '[1]Hoja 1'!$S:$S, $A224,
  '[1]Hoja 1'!$R:$R, "&gt;="&amp;INT($CO$1),
  '[1]Hoja 1'!$R:$R, "&lt;"&amp;INT($CP$1+1)
)</f>
        <v>0</v>
      </c>
      <c r="CN224" s="1">
        <f t="shared" si="316"/>
        <v>0</v>
      </c>
      <c r="CO224" s="9">
        <f t="shared" si="317"/>
        <v>0</v>
      </c>
      <c r="CP224" s="10">
        <f t="shared" si="318"/>
        <v>0</v>
      </c>
      <c r="CQ224" s="1">
        <f>SUMIFS(
  '[1]Hoja 1'!$M:$M,
  '[1]Hoja 1'!$S:$S, $A224,
  '[1]Hoja 1'!$R:$R, "&gt;="&amp;INT($CS$1),
  '[1]Hoja 1'!$R:$R, "&lt;"&amp;INT($CT$1+1)
)</f>
        <v>0</v>
      </c>
      <c r="CR224" s="1">
        <f t="shared" si="319"/>
        <v>0</v>
      </c>
      <c r="CS224" s="9">
        <f t="shared" si="320"/>
        <v>0</v>
      </c>
      <c r="CT224" s="10">
        <f t="shared" si="321"/>
        <v>0</v>
      </c>
      <c r="CU224" s="1">
        <f>SUMIFS(
  '[1]Hoja 1'!$M:$M,
  '[1]Hoja 1'!$S:$S, $A224,
  '[1]Hoja 1'!$R:$R, "&gt;="&amp;INT($CW$1),
  '[1]Hoja 1'!$R:$R, "&lt;"&amp;INT($CX$1+1)
)</f>
        <v>0</v>
      </c>
      <c r="CV224" s="1">
        <f t="shared" si="322"/>
        <v>0</v>
      </c>
      <c r="CW224" s="9">
        <f t="shared" si="323"/>
        <v>0</v>
      </c>
      <c r="CX224" s="10">
        <f t="shared" si="324"/>
        <v>0</v>
      </c>
      <c r="CY224" s="1">
        <f>SUMIFS(
  '[1]Hoja 1'!$M:$M,
  '[1]Hoja 1'!$S:$S, $A224,
  '[1]Hoja 1'!$R:$R, "&gt;="&amp;INT($DA$1),
  '[1]Hoja 1'!$R:$R, "&lt;"&amp;INT($DB$1+1)
)</f>
        <v>0</v>
      </c>
      <c r="CZ224" s="1">
        <f t="shared" si="325"/>
        <v>0</v>
      </c>
      <c r="DA224" s="9">
        <f t="shared" si="326"/>
        <v>0</v>
      </c>
      <c r="DB224" s="10">
        <f t="shared" si="327"/>
        <v>0</v>
      </c>
      <c r="DC224" s="1">
        <f>SUMIFS(
  '[1]Hoja 1'!$M:$M,
  '[1]Hoja 1'!$S:$S, $A224,
  '[1]Hoja 1'!$R:$R, "&gt;="&amp;INT($DE$1),
  '[1]Hoja 1'!$R:$R, "&lt;"&amp;INT($DF$1+1)
)</f>
        <v>0</v>
      </c>
      <c r="DD224" s="1">
        <f t="shared" si="328"/>
        <v>0</v>
      </c>
      <c r="DE224" s="9">
        <f t="shared" si="329"/>
        <v>0</v>
      </c>
      <c r="DF224" s="10">
        <f t="shared" si="330"/>
        <v>0</v>
      </c>
      <c r="DG224" s="1">
        <f>SUMIFS(
  '[1]Hoja 1'!$M:$M,
  '[1]Hoja 1'!$S:$S, $A224,
  '[1]Hoja 1'!$R:$R, "&gt;="&amp;INT($DI$1),
  '[1]Hoja 1'!$R:$R, "&lt;"&amp;INT($DJ$1+1)
)</f>
        <v>0</v>
      </c>
      <c r="DH224" s="1">
        <f t="shared" si="331"/>
        <v>0</v>
      </c>
      <c r="DI224" s="9">
        <f t="shared" si="332"/>
        <v>0</v>
      </c>
      <c r="DJ224" s="10">
        <f t="shared" si="333"/>
        <v>0</v>
      </c>
      <c r="DK224" s="1">
        <f>SUMIFS(
  '[1]Hoja 1'!$M:$M,
  '[1]Hoja 1'!$S:$S, $A224,
  '[1]Hoja 1'!$R:$R, "&gt;="&amp;INT($DM$1),
  '[1]Hoja 1'!$R:$R, "&lt;"&amp;INT($DN$1+1)
)</f>
        <v>0</v>
      </c>
      <c r="DL224" s="1">
        <f t="shared" si="334"/>
        <v>0</v>
      </c>
      <c r="DM224" s="9">
        <f t="shared" si="335"/>
        <v>0</v>
      </c>
      <c r="DN224" s="10">
        <f t="shared" si="336"/>
        <v>0</v>
      </c>
      <c r="DO224" s="1">
        <f>SUMIFS(
  '[1]Hoja 1'!$M:$M,
  '[1]Hoja 1'!$S:$S, $A224,
  '[1]Hoja 1'!$R:$R, "&gt;="&amp;INT($DQ$1),
  '[1]Hoja 1'!$R:$R, "&lt;"&amp;INT($DR$1+1)
)</f>
        <v>0</v>
      </c>
      <c r="DP224" s="1">
        <f t="shared" si="337"/>
        <v>0</v>
      </c>
      <c r="DQ224" s="9">
        <f t="shared" si="338"/>
        <v>0</v>
      </c>
      <c r="DR224" s="10">
        <f t="shared" si="339"/>
        <v>0</v>
      </c>
    </row>
    <row r="225" spans="1:122" x14ac:dyDescent="0.25">
      <c r="A225" s="5">
        <v>265001</v>
      </c>
      <c r="B225" s="6" t="s">
        <v>218</v>
      </c>
      <c r="C225" s="1">
        <f>SUMIFS(
  '[1]Hoja 1'!$M:$M,
  '[1]Hoja 1'!$S:$S, $A225,
  '[1]Hoja 1'!$R:$R, "&gt;="&amp;INT($E$1),
  '[1]Hoja 1'!$R:$R, "&lt;"&amp;INT($F$1+1)
)</f>
        <v>0</v>
      </c>
      <c r="D225" s="1" t="str">
        <f>""</f>
        <v/>
      </c>
      <c r="F225" s="2"/>
      <c r="G225" s="1">
        <f>SUMIFS(
  '[1]Hoja 1'!$M:$M,
  '[1]Hoja 1'!$S:$S, $A225,
  '[1]Hoja 1'!$R:$R, "&gt;="&amp;INT($I$1),
  '[1]Hoja 1'!$R:$R, "&lt;"&amp;INT($J$1+1)
)</f>
        <v>0</v>
      </c>
      <c r="H225" s="1">
        <f t="shared" si="255"/>
        <v>0</v>
      </c>
      <c r="I225" s="1"/>
      <c r="J225" s="2"/>
      <c r="K225" s="1">
        <f>SUMIFS(
  '[1]Hoja 1'!$M:$M,
  '[1]Hoja 1'!$S:$S, $A225,
  '[1]Hoja 1'!$R:$R, "&gt;="&amp;INT($M$1),
  '[1]Hoja 1'!$R:$R, "&lt;"&amp;INT($N$1+1)
)</f>
        <v>1</v>
      </c>
      <c r="L225" s="1">
        <f t="shared" si="256"/>
        <v>0.5</v>
      </c>
      <c r="M225" s="9">
        <f t="shared" si="257"/>
        <v>-0.19296464556281656</v>
      </c>
      <c r="N225" s="10">
        <f t="shared" si="258"/>
        <v>1.1929646455628165</v>
      </c>
      <c r="O225" s="1">
        <f>SUMIFS(
  '[1]Hoja 1'!$M:$M,
  '[1]Hoja 1'!$S:$S, $A225,
  '[1]Hoja 1'!$R:$R, "&gt;="&amp;INT($Q$1),
  '[1]Hoja 1'!$R:$R, "&lt;"&amp;INT($R$1+1)
)</f>
        <v>1</v>
      </c>
      <c r="P225" s="1">
        <f t="shared" si="259"/>
        <v>1</v>
      </c>
      <c r="Q225" s="9">
        <f t="shared" si="260"/>
        <v>-6.5803263805833345E-2</v>
      </c>
      <c r="R225" s="10">
        <f t="shared" si="261"/>
        <v>1.0658032638058335</v>
      </c>
      <c r="S225" s="1">
        <f>SUMIFS(
  '[1]Hoja 1'!$M:$M,
  '[1]Hoja 1'!$S:$S, $A225,
  '[1]Hoja 1'!$R:$R, "&gt;="&amp;INT($U$1),
  '[1]Hoja 1'!$R:$R, "&lt;"&amp;INT($V$1+1)
)</f>
        <v>0</v>
      </c>
      <c r="T225" s="1">
        <f t="shared" si="262"/>
        <v>1</v>
      </c>
      <c r="U225" s="9">
        <f t="shared" si="263"/>
        <v>0.19983335069082853</v>
      </c>
      <c r="V225" s="10">
        <f t="shared" si="264"/>
        <v>1.8001666493091715</v>
      </c>
      <c r="W225" s="1">
        <f>SUMIFS(
  '[1]Hoja 1'!$M:$M,
  '[1]Hoja 1'!$S:$S, $A225,
  '[1]Hoja 1'!$R:$R, "&gt;="&amp;INT($Y$1),
  '[1]Hoja 1'!$R:$R, "&lt;"&amp;INT($Z$1+1)
)</f>
        <v>0</v>
      </c>
      <c r="X225" s="1">
        <f t="shared" si="265"/>
        <v>0</v>
      </c>
      <c r="Y225" s="9">
        <f t="shared" si="266"/>
        <v>-0.80016664930917147</v>
      </c>
      <c r="Z225" s="10">
        <f t="shared" si="267"/>
        <v>0.80016664930917147</v>
      </c>
      <c r="AA225" s="1">
        <f>SUMIFS(
  '[1]Hoja 1'!$M:$M,
  '[1]Hoja 1'!$S:$S, $A225,
  '[1]Hoja 1'!$R:$R, "&gt;="&amp;INT($AC$1),
  '[1]Hoja 1'!$R:$R, "&lt;"&amp;INT($AD$1+1)
)</f>
        <v>2</v>
      </c>
      <c r="AB225" s="1">
        <f t="shared" si="268"/>
        <v>1</v>
      </c>
      <c r="AC225" s="9">
        <f t="shared" si="269"/>
        <v>-7.3536212710125559E-2</v>
      </c>
      <c r="AD225" s="10">
        <f t="shared" si="270"/>
        <v>2.2331396244275554</v>
      </c>
      <c r="AE225" s="1">
        <f>SUMIFS(
  '[1]Hoja 1'!$M:$M,
  '[1]Hoja 1'!$S:$S, $A225,
  '[1]Hoja 1'!$R:$R, "&gt;="&amp;INT($AG$1),
  '[1]Hoja 1'!$R:$R, "&lt;"&amp;INT($AH$1+1)
)</f>
        <v>0</v>
      </c>
      <c r="AF225" s="1">
        <f t="shared" si="271"/>
        <v>1</v>
      </c>
      <c r="AG225" s="9">
        <f t="shared" si="272"/>
        <v>-0.45357490347074991</v>
      </c>
      <c r="AH225" s="10">
        <f t="shared" si="273"/>
        <v>2.6736686251067345</v>
      </c>
      <c r="AI225" s="1">
        <f>SUMIFS(
  '[1]Hoja 1'!$M:$M,
  '[1]Hoja 1'!$S:$S, $A225,
  '[1]Hoja 1'!$R:$R, "&gt;="&amp;INT($AK$1),
  '[1]Hoja 1'!$R:$R, "&lt;"&amp;INT($AL$1+1)
)</f>
        <v>0</v>
      </c>
      <c r="AJ225" s="1">
        <f t="shared" si="274"/>
        <v>0</v>
      </c>
      <c r="AK225" s="9">
        <f t="shared" si="275"/>
        <v>-1.3859292911256331</v>
      </c>
      <c r="AL225" s="10">
        <f t="shared" si="276"/>
        <v>1.6003332986183429</v>
      </c>
      <c r="AM225" s="1">
        <f>SUMIFS(
  '[1]Hoja 1'!$M:$M,
  '[1]Hoja 1'!$S:$S, $A225,
  '[1]Hoja 1'!$R:$R, "&gt;="&amp;INT($AO$1),
  '[1]Hoja 1'!$R:$R, "&lt;"&amp;INT($AP$1+1)
)</f>
        <v>0</v>
      </c>
      <c r="AN225" s="1">
        <f t="shared" si="277"/>
        <v>0</v>
      </c>
      <c r="AO225" s="9">
        <f t="shared" si="278"/>
        <v>-1.3859292911256331</v>
      </c>
      <c r="AP225" s="10">
        <f t="shared" si="279"/>
        <v>1.6003332986183429</v>
      </c>
      <c r="AQ225" s="1">
        <f>SUMIFS(
  '[1]Hoja 1'!$M:$M,
  '[1]Hoja 1'!$S:$S, $A225,
  '[1]Hoja 1'!$R:$R, "&gt;="&amp;INT($AS$1),
  '[1]Hoja 1'!$R:$R, "&lt;"&amp;INT($AT$1+1)
)</f>
        <v>0</v>
      </c>
      <c r="AR225" s="1">
        <f t="shared" si="280"/>
        <v>0</v>
      </c>
      <c r="AS225" s="9">
        <f t="shared" si="281"/>
        <v>-0.87653864717991747</v>
      </c>
      <c r="AT225" s="10">
        <f t="shared" si="282"/>
        <v>0.98</v>
      </c>
      <c r="AU225" s="1">
        <f>SUMIFS(
  '[1]Hoja 1'!$M:$M,
  '[1]Hoja 1'!$S:$S, $A225,
  '[1]Hoja 1'!$R:$R, "&gt;="&amp;INT($AW$1),
  '[1]Hoja 1'!$R:$R, "&lt;"&amp;INT($AX$1+1)
)</f>
        <v>0</v>
      </c>
      <c r="AV225" s="1">
        <f t="shared" si="283"/>
        <v>0</v>
      </c>
      <c r="AW225" s="9">
        <f t="shared" si="284"/>
        <v>0</v>
      </c>
      <c r="AX225" s="10">
        <f t="shared" si="285"/>
        <v>0</v>
      </c>
      <c r="AY225" s="1">
        <f>SUMIFS(
  '[1]Hoja 1'!$M:$M,
  '[1]Hoja 1'!$S:$S, $A225,
  '[1]Hoja 1'!$R:$R, "&gt;="&amp;INT($BA$1),
  '[1]Hoja 1'!$R:$R, "&lt;"&amp;INT($BB$1+1)
)</f>
        <v>0</v>
      </c>
      <c r="AZ225" s="1">
        <f t="shared" si="286"/>
        <v>0</v>
      </c>
      <c r="BA225" s="9">
        <f t="shared" si="287"/>
        <v>0</v>
      </c>
      <c r="BB225" s="10">
        <f t="shared" si="288"/>
        <v>0</v>
      </c>
      <c r="BC225" s="1">
        <f>SUMIFS(
  '[1]Hoja 1'!$M:$M,
  '[1]Hoja 1'!$S:$S, $A225,
  '[1]Hoja 1'!$R:$R, "&gt;="&amp;INT($BE$1),
  '[1]Hoja 1'!$R:$R, "&lt;"&amp;INT($BF$1+1)
)</f>
        <v>0</v>
      </c>
      <c r="BD225" s="1">
        <f t="shared" si="289"/>
        <v>0</v>
      </c>
      <c r="BE225" s="9">
        <f t="shared" si="290"/>
        <v>0</v>
      </c>
      <c r="BF225" s="10">
        <f t="shared" si="291"/>
        <v>0</v>
      </c>
      <c r="BG225" s="1">
        <f>SUMIFS(
  '[1]Hoja 1'!$M:$M,
  '[1]Hoja 1'!$S:$S, $A225,
  '[1]Hoja 1'!$R:$R, "&gt;="&amp;INT($BI$1),
  '[1]Hoja 1'!$R:$R, "&lt;"&amp;INT($BJ$1+1)
)</f>
        <v>0</v>
      </c>
      <c r="BH225" s="1">
        <f t="shared" si="292"/>
        <v>0</v>
      </c>
      <c r="BI225" s="9">
        <f t="shared" si="293"/>
        <v>0</v>
      </c>
      <c r="BJ225" s="10">
        <f t="shared" si="294"/>
        <v>0</v>
      </c>
      <c r="BK225" s="1">
        <f>SUMIFS(
  '[1]Hoja 1'!$M:$M,
  '[1]Hoja 1'!$S:$S, $A225,
  '[1]Hoja 1'!$R:$R, "&gt;="&amp;INT($BM$1),
  '[1]Hoja 1'!$R:$R, "&lt;"&amp;INT($BN$1+1)
)</f>
        <v>0</v>
      </c>
      <c r="BL225" s="1">
        <f t="shared" si="295"/>
        <v>0</v>
      </c>
      <c r="BM225" s="9">
        <f t="shared" si="296"/>
        <v>0</v>
      </c>
      <c r="BN225" s="10">
        <f t="shared" si="297"/>
        <v>0</v>
      </c>
      <c r="BO225" s="1">
        <f>SUMIFS(
  '[1]Hoja 1'!$M:$M,
  '[1]Hoja 1'!$S:$S, $A225,
  '[1]Hoja 1'!$R:$R, "&gt;="&amp;INT($BQ$1),
  '[1]Hoja 1'!$R:$R, "&lt;"&amp;INT($BR$1+1)
)</f>
        <v>0</v>
      </c>
      <c r="BP225" s="1">
        <f t="shared" si="298"/>
        <v>0</v>
      </c>
      <c r="BQ225" s="9">
        <f t="shared" si="299"/>
        <v>0</v>
      </c>
      <c r="BR225" s="10">
        <f t="shared" si="300"/>
        <v>0</v>
      </c>
      <c r="BS225" s="1">
        <f>SUMIFS(
  '[1]Hoja 1'!$M:$M,
  '[1]Hoja 1'!$S:$S, $A225,
  '[1]Hoja 1'!$R:$R, "&gt;="&amp;INT($BU$1),
  '[1]Hoja 1'!$R:$R, "&lt;"&amp;INT($BV$1+1)
)</f>
        <v>0</v>
      </c>
      <c r="BT225" s="1">
        <f t="shared" si="301"/>
        <v>0</v>
      </c>
      <c r="BU225" s="9">
        <f t="shared" si="302"/>
        <v>0</v>
      </c>
      <c r="BV225" s="10">
        <f t="shared" si="303"/>
        <v>0</v>
      </c>
      <c r="BW225" s="1">
        <f>SUMIFS(
  '[1]Hoja 1'!$M:$M,
  '[1]Hoja 1'!$S:$S, $A225,
  '[1]Hoja 1'!$R:$R, "&gt;="&amp;INT($BY$1),
  '[1]Hoja 1'!$R:$R, "&lt;"&amp;INT($BZ$1+1)
)</f>
        <v>0</v>
      </c>
      <c r="BX225" s="1">
        <f t="shared" si="304"/>
        <v>0</v>
      </c>
      <c r="BY225" s="9">
        <f t="shared" si="305"/>
        <v>0</v>
      </c>
      <c r="BZ225" s="10">
        <f t="shared" si="306"/>
        <v>0</v>
      </c>
      <c r="CA225" s="1">
        <f>SUMIFS(
  '[1]Hoja 1'!$M:$M,
  '[1]Hoja 1'!$S:$S, $A225,
  '[1]Hoja 1'!$R:$R, "&gt;="&amp;INT($CC$1),
  '[1]Hoja 1'!$R:$R, "&lt;"&amp;INT($CD$1+1)
)</f>
        <v>0</v>
      </c>
      <c r="CB225" s="1">
        <f t="shared" si="307"/>
        <v>0</v>
      </c>
      <c r="CC225" s="9">
        <f t="shared" si="308"/>
        <v>0</v>
      </c>
      <c r="CD225" s="10">
        <f t="shared" si="309"/>
        <v>0</v>
      </c>
      <c r="CE225" s="1">
        <f>SUMIFS(
  '[1]Hoja 1'!$M:$M,
  '[1]Hoja 1'!$S:$S, $A225,
  '[1]Hoja 1'!$R:$R, "&gt;="&amp;INT($CG$1),
  '[1]Hoja 1'!$R:$R, "&lt;"&amp;INT($CH$1+1)
)</f>
        <v>0</v>
      </c>
      <c r="CF225" s="1">
        <f t="shared" si="310"/>
        <v>0</v>
      </c>
      <c r="CG225" s="9">
        <f t="shared" si="311"/>
        <v>0</v>
      </c>
      <c r="CH225" s="10">
        <f t="shared" si="312"/>
        <v>0</v>
      </c>
      <c r="CI225" s="1">
        <f>SUMIFS(
  '[1]Hoja 1'!$M:$M,
  '[1]Hoja 1'!$S:$S, $A225,
  '[1]Hoja 1'!$R:$R, "&gt;="&amp;INT($CK$1),
  '[1]Hoja 1'!$R:$R, "&lt;"&amp;INT($CL$1+1)
)</f>
        <v>0</v>
      </c>
      <c r="CJ225" s="1">
        <f t="shared" si="313"/>
        <v>0</v>
      </c>
      <c r="CK225" s="9">
        <f t="shared" si="314"/>
        <v>0</v>
      </c>
      <c r="CL225" s="10">
        <f t="shared" si="315"/>
        <v>0</v>
      </c>
      <c r="CM225" s="1">
        <f>SUMIFS(
  '[1]Hoja 1'!$M:$M,
  '[1]Hoja 1'!$S:$S, $A225,
  '[1]Hoja 1'!$R:$R, "&gt;="&amp;INT($CO$1),
  '[1]Hoja 1'!$R:$R, "&lt;"&amp;INT($CP$1+1)
)</f>
        <v>0</v>
      </c>
      <c r="CN225" s="1">
        <f t="shared" si="316"/>
        <v>0</v>
      </c>
      <c r="CO225" s="9">
        <f t="shared" si="317"/>
        <v>0</v>
      </c>
      <c r="CP225" s="10">
        <f t="shared" si="318"/>
        <v>0</v>
      </c>
      <c r="CQ225" s="1">
        <f>SUMIFS(
  '[1]Hoja 1'!$M:$M,
  '[1]Hoja 1'!$S:$S, $A225,
  '[1]Hoja 1'!$R:$R, "&gt;="&amp;INT($CS$1),
  '[1]Hoja 1'!$R:$R, "&lt;"&amp;INT($CT$1+1)
)</f>
        <v>0</v>
      </c>
      <c r="CR225" s="1">
        <f t="shared" si="319"/>
        <v>0</v>
      </c>
      <c r="CS225" s="9">
        <f t="shared" si="320"/>
        <v>0</v>
      </c>
      <c r="CT225" s="10">
        <f t="shared" si="321"/>
        <v>0</v>
      </c>
      <c r="CU225" s="1">
        <f>SUMIFS(
  '[1]Hoja 1'!$M:$M,
  '[1]Hoja 1'!$S:$S, $A225,
  '[1]Hoja 1'!$R:$R, "&gt;="&amp;INT($CW$1),
  '[1]Hoja 1'!$R:$R, "&lt;"&amp;INT($CX$1+1)
)</f>
        <v>0</v>
      </c>
      <c r="CV225" s="1">
        <f t="shared" si="322"/>
        <v>0</v>
      </c>
      <c r="CW225" s="9">
        <f t="shared" si="323"/>
        <v>0</v>
      </c>
      <c r="CX225" s="10">
        <f t="shared" si="324"/>
        <v>0</v>
      </c>
      <c r="CY225" s="1">
        <f>SUMIFS(
  '[1]Hoja 1'!$M:$M,
  '[1]Hoja 1'!$S:$S, $A225,
  '[1]Hoja 1'!$R:$R, "&gt;="&amp;INT($DA$1),
  '[1]Hoja 1'!$R:$R, "&lt;"&amp;INT($DB$1+1)
)</f>
        <v>0</v>
      </c>
      <c r="CZ225" s="1">
        <f t="shared" si="325"/>
        <v>0</v>
      </c>
      <c r="DA225" s="9">
        <f t="shared" si="326"/>
        <v>0</v>
      </c>
      <c r="DB225" s="10">
        <f t="shared" si="327"/>
        <v>0</v>
      </c>
      <c r="DC225" s="1">
        <f>SUMIFS(
  '[1]Hoja 1'!$M:$M,
  '[1]Hoja 1'!$S:$S, $A225,
  '[1]Hoja 1'!$R:$R, "&gt;="&amp;INT($DE$1),
  '[1]Hoja 1'!$R:$R, "&lt;"&amp;INT($DF$1+1)
)</f>
        <v>0</v>
      </c>
      <c r="DD225" s="1">
        <f t="shared" si="328"/>
        <v>0</v>
      </c>
      <c r="DE225" s="9">
        <f t="shared" si="329"/>
        <v>0</v>
      </c>
      <c r="DF225" s="10">
        <f t="shared" si="330"/>
        <v>0</v>
      </c>
      <c r="DG225" s="1">
        <f>SUMIFS(
  '[1]Hoja 1'!$M:$M,
  '[1]Hoja 1'!$S:$S, $A225,
  '[1]Hoja 1'!$R:$R, "&gt;="&amp;INT($DI$1),
  '[1]Hoja 1'!$R:$R, "&lt;"&amp;INT($DJ$1+1)
)</f>
        <v>0</v>
      </c>
      <c r="DH225" s="1">
        <f t="shared" si="331"/>
        <v>0</v>
      </c>
      <c r="DI225" s="9">
        <f t="shared" si="332"/>
        <v>0</v>
      </c>
      <c r="DJ225" s="10">
        <f t="shared" si="333"/>
        <v>0</v>
      </c>
      <c r="DK225" s="1">
        <f>SUMIFS(
  '[1]Hoja 1'!$M:$M,
  '[1]Hoja 1'!$S:$S, $A225,
  '[1]Hoja 1'!$R:$R, "&gt;="&amp;INT($DM$1),
  '[1]Hoja 1'!$R:$R, "&lt;"&amp;INT($DN$1+1)
)</f>
        <v>0</v>
      </c>
      <c r="DL225" s="1">
        <f t="shared" si="334"/>
        <v>0</v>
      </c>
      <c r="DM225" s="9">
        <f t="shared" si="335"/>
        <v>0</v>
      </c>
      <c r="DN225" s="10">
        <f t="shared" si="336"/>
        <v>0</v>
      </c>
      <c r="DO225" s="1">
        <f>SUMIFS(
  '[1]Hoja 1'!$M:$M,
  '[1]Hoja 1'!$S:$S, $A225,
  '[1]Hoja 1'!$R:$R, "&gt;="&amp;INT($DQ$1),
  '[1]Hoja 1'!$R:$R, "&lt;"&amp;INT($DR$1+1)
)</f>
        <v>0</v>
      </c>
      <c r="DP225" s="1">
        <f t="shared" si="337"/>
        <v>0</v>
      </c>
      <c r="DQ225" s="9">
        <f t="shared" si="338"/>
        <v>0</v>
      </c>
      <c r="DR225" s="10">
        <f t="shared" si="339"/>
        <v>0</v>
      </c>
    </row>
    <row r="226" spans="1:122" x14ac:dyDescent="0.25">
      <c r="A226" s="5">
        <v>271002</v>
      </c>
      <c r="B226" s="6" t="s">
        <v>219</v>
      </c>
      <c r="C226" s="1">
        <f>SUMIFS(
  '[1]Hoja 1'!$M:$M,
  '[1]Hoja 1'!$S:$S, $A226,
  '[1]Hoja 1'!$R:$R, "&gt;="&amp;INT($E$1),
  '[1]Hoja 1'!$R:$R, "&lt;"&amp;INT($F$1+1)
)</f>
        <v>0</v>
      </c>
      <c r="D226" s="1" t="str">
        <f>""</f>
        <v/>
      </c>
      <c r="F226" s="2"/>
      <c r="G226" s="1">
        <f>SUMIFS(
  '[1]Hoja 1'!$M:$M,
  '[1]Hoja 1'!$S:$S, $A226,
  '[1]Hoja 1'!$R:$R, "&gt;="&amp;INT($I$1),
  '[1]Hoja 1'!$R:$R, "&lt;"&amp;INT($J$1+1)
)</f>
        <v>0</v>
      </c>
      <c r="H226" s="1">
        <f t="shared" si="255"/>
        <v>0</v>
      </c>
      <c r="I226" s="1"/>
      <c r="J226" s="2"/>
      <c r="K226" s="1">
        <f>SUMIFS(
  '[1]Hoja 1'!$M:$M,
  '[1]Hoja 1'!$S:$S, $A226,
  '[1]Hoja 1'!$R:$R, "&gt;="&amp;INT($M$1),
  '[1]Hoja 1'!$R:$R, "&lt;"&amp;INT($N$1+1)
)</f>
        <v>2</v>
      </c>
      <c r="L226" s="1">
        <f t="shared" si="256"/>
        <v>1</v>
      </c>
      <c r="M226" s="9">
        <f t="shared" si="257"/>
        <v>-0.38592929112563312</v>
      </c>
      <c r="N226" s="10">
        <f t="shared" si="258"/>
        <v>2.3859292911256329</v>
      </c>
      <c r="O226" s="1">
        <f>SUMIFS(
  '[1]Hoja 1'!$M:$M,
  '[1]Hoja 1'!$S:$S, $A226,
  '[1]Hoja 1'!$R:$R, "&gt;="&amp;INT($Q$1),
  '[1]Hoja 1'!$R:$R, "&lt;"&amp;INT($R$1+1)
)</f>
        <v>0</v>
      </c>
      <c r="P226" s="1">
        <f t="shared" si="259"/>
        <v>1</v>
      </c>
      <c r="Q226" s="9">
        <f t="shared" si="260"/>
        <v>-0.96</v>
      </c>
      <c r="R226" s="10">
        <f t="shared" si="261"/>
        <v>2.96</v>
      </c>
      <c r="S226" s="1">
        <f>SUMIFS(
  '[1]Hoja 1'!$M:$M,
  '[1]Hoja 1'!$S:$S, $A226,
  '[1]Hoja 1'!$R:$R, "&gt;="&amp;INT($U$1),
  '[1]Hoja 1'!$R:$R, "&lt;"&amp;INT($V$1+1)
)</f>
        <v>1</v>
      </c>
      <c r="T226" s="1">
        <f t="shared" si="262"/>
        <v>1</v>
      </c>
      <c r="U226" s="9">
        <f t="shared" si="263"/>
        <v>-0.67366862510673431</v>
      </c>
      <c r="V226" s="10">
        <f t="shared" si="264"/>
        <v>2.6736686251067345</v>
      </c>
      <c r="W226" s="1">
        <f>SUMIFS(
  '[1]Hoja 1'!$M:$M,
  '[1]Hoja 1'!$S:$S, $A226,
  '[1]Hoja 1'!$R:$R, "&gt;="&amp;INT($Y$1),
  '[1]Hoja 1'!$R:$R, "&lt;"&amp;INT($Z$1+1)
)</f>
        <v>1</v>
      </c>
      <c r="X226" s="1">
        <f t="shared" si="265"/>
        <v>1</v>
      </c>
      <c r="Y226" s="9">
        <f t="shared" si="266"/>
        <v>-0.67366862510673431</v>
      </c>
      <c r="Z226" s="10">
        <f t="shared" si="267"/>
        <v>2.6736686251067345</v>
      </c>
      <c r="AA226" s="1">
        <f>SUMIFS(
  '[1]Hoja 1'!$M:$M,
  '[1]Hoja 1'!$S:$S, $A226,
  '[1]Hoja 1'!$R:$R, "&gt;="&amp;INT($AC$1),
  '[1]Hoja 1'!$R:$R, "&lt;"&amp;INT($AD$1+1)
)</f>
        <v>0</v>
      </c>
      <c r="AB226" s="1">
        <f t="shared" si="268"/>
        <v>1</v>
      </c>
      <c r="AC226" s="9">
        <f t="shared" si="269"/>
        <v>-0.11737191659715518</v>
      </c>
      <c r="AD226" s="10">
        <f t="shared" si="270"/>
        <v>2.2651745597610895</v>
      </c>
      <c r="AE226" s="1">
        <f>SUMIFS(
  '[1]Hoja 1'!$M:$M,
  '[1]Hoja 1'!$S:$S, $A226,
  '[1]Hoja 1'!$R:$R, "&gt;="&amp;INT($AG$1),
  '[1]Hoja 1'!$R:$R, "&lt;"&amp;INT($AH$1+1)
)</f>
        <v>0</v>
      </c>
      <c r="AF226" s="1">
        <f t="shared" si="271"/>
        <v>0</v>
      </c>
      <c r="AG226" s="9">
        <f t="shared" si="272"/>
        <v>-0.69296464556281656</v>
      </c>
      <c r="AH226" s="10">
        <f t="shared" si="273"/>
        <v>0.80016664930917147</v>
      </c>
      <c r="AI226" s="1">
        <f>SUMIFS(
  '[1]Hoja 1'!$M:$M,
  '[1]Hoja 1'!$S:$S, $A226,
  '[1]Hoja 1'!$R:$R, "&gt;="&amp;INT($AK$1),
  '[1]Hoja 1'!$R:$R, "&lt;"&amp;INT($AL$1+1)
)</f>
        <v>0</v>
      </c>
      <c r="AJ226" s="1">
        <f t="shared" si="274"/>
        <v>0</v>
      </c>
      <c r="AK226" s="9">
        <f t="shared" si="275"/>
        <v>-0.43826932358995874</v>
      </c>
      <c r="AL226" s="10">
        <f t="shared" si="276"/>
        <v>0.49</v>
      </c>
      <c r="AM226" s="1">
        <f>SUMIFS(
  '[1]Hoja 1'!$M:$M,
  '[1]Hoja 1'!$S:$S, $A226,
  '[1]Hoja 1'!$R:$R, "&gt;="&amp;INT($AO$1),
  '[1]Hoja 1'!$R:$R, "&lt;"&amp;INT($AP$1+1)
)</f>
        <v>0</v>
      </c>
      <c r="AN226" s="1">
        <f t="shared" si="277"/>
        <v>0</v>
      </c>
      <c r="AO226" s="9">
        <f t="shared" si="278"/>
        <v>-0.43826932358995874</v>
      </c>
      <c r="AP226" s="10">
        <f t="shared" si="279"/>
        <v>0.49</v>
      </c>
      <c r="AQ226" s="1">
        <f>SUMIFS(
  '[1]Hoja 1'!$M:$M,
  '[1]Hoja 1'!$S:$S, $A226,
  '[1]Hoja 1'!$R:$R, "&gt;="&amp;INT($AS$1),
  '[1]Hoja 1'!$R:$R, "&lt;"&amp;INT($AT$1+1)
)</f>
        <v>0</v>
      </c>
      <c r="AR226" s="1">
        <f t="shared" si="280"/>
        <v>0</v>
      </c>
      <c r="AS226" s="9">
        <f t="shared" si="281"/>
        <v>0</v>
      </c>
      <c r="AT226" s="10">
        <f t="shared" si="282"/>
        <v>0</v>
      </c>
      <c r="AU226" s="1">
        <f>SUMIFS(
  '[1]Hoja 1'!$M:$M,
  '[1]Hoja 1'!$S:$S, $A226,
  '[1]Hoja 1'!$R:$R, "&gt;="&amp;INT($AW$1),
  '[1]Hoja 1'!$R:$R, "&lt;"&amp;INT($AX$1+1)
)</f>
        <v>0</v>
      </c>
      <c r="AV226" s="1">
        <f t="shared" si="283"/>
        <v>0</v>
      </c>
      <c r="AW226" s="9">
        <f t="shared" si="284"/>
        <v>0</v>
      </c>
      <c r="AX226" s="10">
        <f t="shared" si="285"/>
        <v>0</v>
      </c>
      <c r="AY226" s="1">
        <f>SUMIFS(
  '[1]Hoja 1'!$M:$M,
  '[1]Hoja 1'!$S:$S, $A226,
  '[1]Hoja 1'!$R:$R, "&gt;="&amp;INT($BA$1),
  '[1]Hoja 1'!$R:$R, "&lt;"&amp;INT($BB$1+1)
)</f>
        <v>0</v>
      </c>
      <c r="AZ226" s="1">
        <f t="shared" si="286"/>
        <v>0</v>
      </c>
      <c r="BA226" s="9">
        <f t="shared" si="287"/>
        <v>0</v>
      </c>
      <c r="BB226" s="10">
        <f t="shared" si="288"/>
        <v>0</v>
      </c>
      <c r="BC226" s="1">
        <f>SUMIFS(
  '[1]Hoja 1'!$M:$M,
  '[1]Hoja 1'!$S:$S, $A226,
  '[1]Hoja 1'!$R:$R, "&gt;="&amp;INT($BE$1),
  '[1]Hoja 1'!$R:$R, "&lt;"&amp;INT($BF$1+1)
)</f>
        <v>0</v>
      </c>
      <c r="BD226" s="1">
        <f t="shared" si="289"/>
        <v>0</v>
      </c>
      <c r="BE226" s="9">
        <f t="shared" si="290"/>
        <v>0</v>
      </c>
      <c r="BF226" s="10">
        <f t="shared" si="291"/>
        <v>0</v>
      </c>
      <c r="BG226" s="1">
        <f>SUMIFS(
  '[1]Hoja 1'!$M:$M,
  '[1]Hoja 1'!$S:$S, $A226,
  '[1]Hoja 1'!$R:$R, "&gt;="&amp;INT($BI$1),
  '[1]Hoja 1'!$R:$R, "&lt;"&amp;INT($BJ$1+1)
)</f>
        <v>0</v>
      </c>
      <c r="BH226" s="1">
        <f t="shared" si="292"/>
        <v>0</v>
      </c>
      <c r="BI226" s="9">
        <f t="shared" si="293"/>
        <v>0</v>
      </c>
      <c r="BJ226" s="10">
        <f t="shared" si="294"/>
        <v>0</v>
      </c>
      <c r="BK226" s="1">
        <f>SUMIFS(
  '[1]Hoja 1'!$M:$M,
  '[1]Hoja 1'!$S:$S, $A226,
  '[1]Hoja 1'!$R:$R, "&gt;="&amp;INT($BM$1),
  '[1]Hoja 1'!$R:$R, "&lt;"&amp;INT($BN$1+1)
)</f>
        <v>0</v>
      </c>
      <c r="BL226" s="1">
        <f t="shared" si="295"/>
        <v>0</v>
      </c>
      <c r="BM226" s="9">
        <f t="shared" si="296"/>
        <v>0</v>
      </c>
      <c r="BN226" s="10">
        <f t="shared" si="297"/>
        <v>0</v>
      </c>
      <c r="BO226" s="1">
        <f>SUMIFS(
  '[1]Hoja 1'!$M:$M,
  '[1]Hoja 1'!$S:$S, $A226,
  '[1]Hoja 1'!$R:$R, "&gt;="&amp;INT($BQ$1),
  '[1]Hoja 1'!$R:$R, "&lt;"&amp;INT($BR$1+1)
)</f>
        <v>0</v>
      </c>
      <c r="BP226" s="1">
        <f t="shared" si="298"/>
        <v>0</v>
      </c>
      <c r="BQ226" s="9">
        <f t="shared" si="299"/>
        <v>0</v>
      </c>
      <c r="BR226" s="10">
        <f t="shared" si="300"/>
        <v>0</v>
      </c>
      <c r="BS226" s="1">
        <f>SUMIFS(
  '[1]Hoja 1'!$M:$M,
  '[1]Hoja 1'!$S:$S, $A226,
  '[1]Hoja 1'!$R:$R, "&gt;="&amp;INT($BU$1),
  '[1]Hoja 1'!$R:$R, "&lt;"&amp;INT($BV$1+1)
)</f>
        <v>0</v>
      </c>
      <c r="BT226" s="1">
        <f t="shared" si="301"/>
        <v>0</v>
      </c>
      <c r="BU226" s="9">
        <f t="shared" si="302"/>
        <v>0</v>
      </c>
      <c r="BV226" s="10">
        <f t="shared" si="303"/>
        <v>0</v>
      </c>
      <c r="BW226" s="1">
        <f>SUMIFS(
  '[1]Hoja 1'!$M:$M,
  '[1]Hoja 1'!$S:$S, $A226,
  '[1]Hoja 1'!$R:$R, "&gt;="&amp;INT($BY$1),
  '[1]Hoja 1'!$R:$R, "&lt;"&amp;INT($BZ$1+1)
)</f>
        <v>0</v>
      </c>
      <c r="BX226" s="1">
        <f t="shared" si="304"/>
        <v>0</v>
      </c>
      <c r="BY226" s="9">
        <f t="shared" si="305"/>
        <v>0</v>
      </c>
      <c r="BZ226" s="10">
        <f t="shared" si="306"/>
        <v>0</v>
      </c>
      <c r="CA226" s="1">
        <f>SUMIFS(
  '[1]Hoja 1'!$M:$M,
  '[1]Hoja 1'!$S:$S, $A226,
  '[1]Hoja 1'!$R:$R, "&gt;="&amp;INT($CC$1),
  '[1]Hoja 1'!$R:$R, "&lt;"&amp;INT($CD$1+1)
)</f>
        <v>0</v>
      </c>
      <c r="CB226" s="1">
        <f t="shared" si="307"/>
        <v>0</v>
      </c>
      <c r="CC226" s="9">
        <f t="shared" si="308"/>
        <v>0</v>
      </c>
      <c r="CD226" s="10">
        <f t="shared" si="309"/>
        <v>0</v>
      </c>
      <c r="CE226" s="1">
        <f>SUMIFS(
  '[1]Hoja 1'!$M:$M,
  '[1]Hoja 1'!$S:$S, $A226,
  '[1]Hoja 1'!$R:$R, "&gt;="&amp;INT($CG$1),
  '[1]Hoja 1'!$R:$R, "&lt;"&amp;INT($CH$1+1)
)</f>
        <v>0</v>
      </c>
      <c r="CF226" s="1">
        <f t="shared" si="310"/>
        <v>0</v>
      </c>
      <c r="CG226" s="9">
        <f t="shared" si="311"/>
        <v>0</v>
      </c>
      <c r="CH226" s="10">
        <f t="shared" si="312"/>
        <v>0</v>
      </c>
      <c r="CI226" s="1">
        <f>SUMIFS(
  '[1]Hoja 1'!$M:$M,
  '[1]Hoja 1'!$S:$S, $A226,
  '[1]Hoja 1'!$R:$R, "&gt;="&amp;INT($CK$1),
  '[1]Hoja 1'!$R:$R, "&lt;"&amp;INT($CL$1+1)
)</f>
        <v>0</v>
      </c>
      <c r="CJ226" s="1">
        <f t="shared" si="313"/>
        <v>0</v>
      </c>
      <c r="CK226" s="9">
        <f t="shared" si="314"/>
        <v>0</v>
      </c>
      <c r="CL226" s="10">
        <f t="shared" si="315"/>
        <v>0</v>
      </c>
      <c r="CM226" s="1">
        <f>SUMIFS(
  '[1]Hoja 1'!$M:$M,
  '[1]Hoja 1'!$S:$S, $A226,
  '[1]Hoja 1'!$R:$R, "&gt;="&amp;INT($CO$1),
  '[1]Hoja 1'!$R:$R, "&lt;"&amp;INT($CP$1+1)
)</f>
        <v>0</v>
      </c>
      <c r="CN226" s="1">
        <f t="shared" si="316"/>
        <v>0</v>
      </c>
      <c r="CO226" s="9">
        <f t="shared" si="317"/>
        <v>0</v>
      </c>
      <c r="CP226" s="10">
        <f t="shared" si="318"/>
        <v>0</v>
      </c>
      <c r="CQ226" s="1">
        <f>SUMIFS(
  '[1]Hoja 1'!$M:$M,
  '[1]Hoja 1'!$S:$S, $A226,
  '[1]Hoja 1'!$R:$R, "&gt;="&amp;INT($CS$1),
  '[1]Hoja 1'!$R:$R, "&lt;"&amp;INT($CT$1+1)
)</f>
        <v>0</v>
      </c>
      <c r="CR226" s="1">
        <f t="shared" si="319"/>
        <v>0</v>
      </c>
      <c r="CS226" s="9">
        <f t="shared" si="320"/>
        <v>0</v>
      </c>
      <c r="CT226" s="10">
        <f t="shared" si="321"/>
        <v>0</v>
      </c>
      <c r="CU226" s="1">
        <f>SUMIFS(
  '[1]Hoja 1'!$M:$M,
  '[1]Hoja 1'!$S:$S, $A226,
  '[1]Hoja 1'!$R:$R, "&gt;="&amp;INT($CW$1),
  '[1]Hoja 1'!$R:$R, "&lt;"&amp;INT($CX$1+1)
)</f>
        <v>0</v>
      </c>
      <c r="CV226" s="1">
        <f t="shared" si="322"/>
        <v>0</v>
      </c>
      <c r="CW226" s="9">
        <f t="shared" si="323"/>
        <v>0</v>
      </c>
      <c r="CX226" s="10">
        <f t="shared" si="324"/>
        <v>0</v>
      </c>
      <c r="CY226" s="1">
        <f>SUMIFS(
  '[1]Hoja 1'!$M:$M,
  '[1]Hoja 1'!$S:$S, $A226,
  '[1]Hoja 1'!$R:$R, "&gt;="&amp;INT($DA$1),
  '[1]Hoja 1'!$R:$R, "&lt;"&amp;INT($DB$1+1)
)</f>
        <v>0</v>
      </c>
      <c r="CZ226" s="1">
        <f t="shared" si="325"/>
        <v>0</v>
      </c>
      <c r="DA226" s="9">
        <f t="shared" si="326"/>
        <v>0</v>
      </c>
      <c r="DB226" s="10">
        <f t="shared" si="327"/>
        <v>0</v>
      </c>
      <c r="DC226" s="1">
        <f>SUMIFS(
  '[1]Hoja 1'!$M:$M,
  '[1]Hoja 1'!$S:$S, $A226,
  '[1]Hoja 1'!$R:$R, "&gt;="&amp;INT($DE$1),
  '[1]Hoja 1'!$R:$R, "&lt;"&amp;INT($DF$1+1)
)</f>
        <v>0</v>
      </c>
      <c r="DD226" s="1">
        <f t="shared" si="328"/>
        <v>0</v>
      </c>
      <c r="DE226" s="9">
        <f t="shared" si="329"/>
        <v>0</v>
      </c>
      <c r="DF226" s="10">
        <f t="shared" si="330"/>
        <v>0</v>
      </c>
      <c r="DG226" s="1">
        <f>SUMIFS(
  '[1]Hoja 1'!$M:$M,
  '[1]Hoja 1'!$S:$S, $A226,
  '[1]Hoja 1'!$R:$R, "&gt;="&amp;INT($DI$1),
  '[1]Hoja 1'!$R:$R, "&lt;"&amp;INT($DJ$1+1)
)</f>
        <v>0</v>
      </c>
      <c r="DH226" s="1">
        <f t="shared" si="331"/>
        <v>0</v>
      </c>
      <c r="DI226" s="9">
        <f t="shared" si="332"/>
        <v>0</v>
      </c>
      <c r="DJ226" s="10">
        <f t="shared" si="333"/>
        <v>0</v>
      </c>
      <c r="DK226" s="1">
        <f>SUMIFS(
  '[1]Hoja 1'!$M:$M,
  '[1]Hoja 1'!$S:$S, $A226,
  '[1]Hoja 1'!$R:$R, "&gt;="&amp;INT($DM$1),
  '[1]Hoja 1'!$R:$R, "&lt;"&amp;INT($DN$1+1)
)</f>
        <v>0</v>
      </c>
      <c r="DL226" s="1">
        <f t="shared" si="334"/>
        <v>0</v>
      </c>
      <c r="DM226" s="9">
        <f t="shared" si="335"/>
        <v>0</v>
      </c>
      <c r="DN226" s="10">
        <f t="shared" si="336"/>
        <v>0</v>
      </c>
      <c r="DO226" s="1">
        <f>SUMIFS(
  '[1]Hoja 1'!$M:$M,
  '[1]Hoja 1'!$S:$S, $A226,
  '[1]Hoja 1'!$R:$R, "&gt;="&amp;INT($DQ$1),
  '[1]Hoja 1'!$R:$R, "&lt;"&amp;INT($DR$1+1)
)</f>
        <v>0</v>
      </c>
      <c r="DP226" s="1">
        <f t="shared" si="337"/>
        <v>0</v>
      </c>
      <c r="DQ226" s="9">
        <f t="shared" si="338"/>
        <v>0</v>
      </c>
      <c r="DR226" s="10">
        <f t="shared" si="339"/>
        <v>0</v>
      </c>
    </row>
    <row r="227" spans="1:122" x14ac:dyDescent="0.25">
      <c r="A227" s="5">
        <v>276001</v>
      </c>
      <c r="B227" s="6" t="s">
        <v>220</v>
      </c>
      <c r="C227" s="1">
        <f>SUMIFS(
  '[1]Hoja 1'!$M:$M,
  '[1]Hoja 1'!$S:$S, $A227,
  '[1]Hoja 1'!$R:$R, "&gt;="&amp;INT($E$1),
  '[1]Hoja 1'!$R:$R, "&lt;"&amp;INT($F$1+1)
)</f>
        <v>0</v>
      </c>
      <c r="D227" s="1" t="str">
        <f>""</f>
        <v/>
      </c>
      <c r="F227" s="2"/>
      <c r="G227" s="1">
        <f>SUMIFS(
  '[1]Hoja 1'!$M:$M,
  '[1]Hoja 1'!$S:$S, $A227,
  '[1]Hoja 1'!$R:$R, "&gt;="&amp;INT($I$1),
  '[1]Hoja 1'!$R:$R, "&lt;"&amp;INT($J$1+1)
)</f>
        <v>0</v>
      </c>
      <c r="H227" s="1">
        <f t="shared" si="255"/>
        <v>0</v>
      </c>
      <c r="I227" s="1"/>
      <c r="J227" s="2"/>
      <c r="K227" s="1">
        <f>SUMIFS(
  '[1]Hoja 1'!$M:$M,
  '[1]Hoja 1'!$S:$S, $A227,
  '[1]Hoja 1'!$R:$R, "&gt;="&amp;INT($M$1),
  '[1]Hoja 1'!$R:$R, "&lt;"&amp;INT($N$1+1)
)</f>
        <v>0</v>
      </c>
      <c r="L227" s="1">
        <f t="shared" si="256"/>
        <v>0</v>
      </c>
      <c r="M227" s="9">
        <f t="shared" si="257"/>
        <v>0</v>
      </c>
      <c r="N227" s="10">
        <f t="shared" si="258"/>
        <v>0</v>
      </c>
      <c r="O227" s="1">
        <f>SUMIFS(
  '[1]Hoja 1'!$M:$M,
  '[1]Hoja 1'!$S:$S, $A227,
  '[1]Hoja 1'!$R:$R, "&gt;="&amp;INT($Q$1),
  '[1]Hoja 1'!$R:$R, "&lt;"&amp;INT($R$1+1)
)</f>
        <v>0</v>
      </c>
      <c r="P227" s="1">
        <f t="shared" si="259"/>
        <v>0</v>
      </c>
      <c r="Q227" s="9">
        <f t="shared" si="260"/>
        <v>0</v>
      </c>
      <c r="R227" s="10">
        <f t="shared" si="261"/>
        <v>0</v>
      </c>
      <c r="S227" s="1">
        <f>SUMIFS(
  '[1]Hoja 1'!$M:$M,
  '[1]Hoja 1'!$S:$S, $A227,
  '[1]Hoja 1'!$R:$R, "&gt;="&amp;INT($U$1),
  '[1]Hoja 1'!$R:$R, "&lt;"&amp;INT($V$1+1)
)</f>
        <v>0</v>
      </c>
      <c r="T227" s="1">
        <f t="shared" si="262"/>
        <v>0</v>
      </c>
      <c r="U227" s="9">
        <f t="shared" si="263"/>
        <v>0</v>
      </c>
      <c r="V227" s="10">
        <f t="shared" si="264"/>
        <v>0</v>
      </c>
      <c r="W227" s="1">
        <f>SUMIFS(
  '[1]Hoja 1'!$M:$M,
  '[1]Hoja 1'!$S:$S, $A227,
  '[1]Hoja 1'!$R:$R, "&gt;="&amp;INT($Y$1),
  '[1]Hoja 1'!$R:$R, "&lt;"&amp;INT($Z$1+1)
)</f>
        <v>0</v>
      </c>
      <c r="X227" s="1">
        <f t="shared" si="265"/>
        <v>0</v>
      </c>
      <c r="Y227" s="9">
        <f t="shared" si="266"/>
        <v>0</v>
      </c>
      <c r="Z227" s="10">
        <f t="shared" si="267"/>
        <v>0</v>
      </c>
      <c r="AA227" s="1">
        <f>SUMIFS(
  '[1]Hoja 1'!$M:$M,
  '[1]Hoja 1'!$S:$S, $A227,
  '[1]Hoja 1'!$R:$R, "&gt;="&amp;INT($AC$1),
  '[1]Hoja 1'!$R:$R, "&lt;"&amp;INT($AD$1+1)
)</f>
        <v>0</v>
      </c>
      <c r="AB227" s="1">
        <f t="shared" si="268"/>
        <v>0</v>
      </c>
      <c r="AC227" s="9">
        <f t="shared" si="269"/>
        <v>0</v>
      </c>
      <c r="AD227" s="10">
        <f t="shared" si="270"/>
        <v>0</v>
      </c>
      <c r="AE227" s="1">
        <f>SUMIFS(
  '[1]Hoja 1'!$M:$M,
  '[1]Hoja 1'!$S:$S, $A227,
  '[1]Hoja 1'!$R:$R, "&gt;="&amp;INT($AG$1),
  '[1]Hoja 1'!$R:$R, "&lt;"&amp;INT($AH$1+1)
)</f>
        <v>0</v>
      </c>
      <c r="AF227" s="1">
        <f t="shared" si="271"/>
        <v>0</v>
      </c>
      <c r="AG227" s="9">
        <f t="shared" si="272"/>
        <v>0</v>
      </c>
      <c r="AH227" s="10">
        <f t="shared" si="273"/>
        <v>0</v>
      </c>
      <c r="AI227" s="1">
        <f>SUMIFS(
  '[1]Hoja 1'!$M:$M,
  '[1]Hoja 1'!$S:$S, $A227,
  '[1]Hoja 1'!$R:$R, "&gt;="&amp;INT($AK$1),
  '[1]Hoja 1'!$R:$R, "&lt;"&amp;INT($AL$1+1)
)</f>
        <v>0</v>
      </c>
      <c r="AJ227" s="1">
        <f t="shared" si="274"/>
        <v>0</v>
      </c>
      <c r="AK227" s="9">
        <f t="shared" si="275"/>
        <v>0</v>
      </c>
      <c r="AL227" s="10">
        <f t="shared" si="276"/>
        <v>0</v>
      </c>
      <c r="AM227" s="1">
        <f>SUMIFS(
  '[1]Hoja 1'!$M:$M,
  '[1]Hoja 1'!$S:$S, $A227,
  '[1]Hoja 1'!$R:$R, "&gt;="&amp;INT($AO$1),
  '[1]Hoja 1'!$R:$R, "&lt;"&amp;INT($AP$1+1)
)</f>
        <v>0</v>
      </c>
      <c r="AN227" s="1">
        <f t="shared" si="277"/>
        <v>0</v>
      </c>
      <c r="AO227" s="9">
        <f t="shared" si="278"/>
        <v>0</v>
      </c>
      <c r="AP227" s="10">
        <f t="shared" si="279"/>
        <v>0</v>
      </c>
      <c r="AQ227" s="1">
        <f>SUMIFS(
  '[1]Hoja 1'!$M:$M,
  '[1]Hoja 1'!$S:$S, $A227,
  '[1]Hoja 1'!$R:$R, "&gt;="&amp;INT($AS$1),
  '[1]Hoja 1'!$R:$R, "&lt;"&amp;INT($AT$1+1)
)</f>
        <v>0</v>
      </c>
      <c r="AR227" s="1">
        <f t="shared" si="280"/>
        <v>0</v>
      </c>
      <c r="AS227" s="9">
        <f t="shared" si="281"/>
        <v>0</v>
      </c>
      <c r="AT227" s="10">
        <f t="shared" si="282"/>
        <v>0</v>
      </c>
      <c r="AU227" s="1">
        <f>SUMIFS(
  '[1]Hoja 1'!$M:$M,
  '[1]Hoja 1'!$S:$S, $A227,
  '[1]Hoja 1'!$R:$R, "&gt;="&amp;INT($AW$1),
  '[1]Hoja 1'!$R:$R, "&lt;"&amp;INT($AX$1+1)
)</f>
        <v>0</v>
      </c>
      <c r="AV227" s="1">
        <f t="shared" si="283"/>
        <v>0</v>
      </c>
      <c r="AW227" s="9">
        <f t="shared" si="284"/>
        <v>0</v>
      </c>
      <c r="AX227" s="10">
        <f t="shared" si="285"/>
        <v>0</v>
      </c>
      <c r="AY227" s="1">
        <f>SUMIFS(
  '[1]Hoja 1'!$M:$M,
  '[1]Hoja 1'!$S:$S, $A227,
  '[1]Hoja 1'!$R:$R, "&gt;="&amp;INT($BA$1),
  '[1]Hoja 1'!$R:$R, "&lt;"&amp;INT($BB$1+1)
)</f>
        <v>0</v>
      </c>
      <c r="AZ227" s="1">
        <f t="shared" si="286"/>
        <v>0</v>
      </c>
      <c r="BA227" s="9">
        <f t="shared" si="287"/>
        <v>0</v>
      </c>
      <c r="BB227" s="10">
        <f t="shared" si="288"/>
        <v>0</v>
      </c>
      <c r="BC227" s="1">
        <f>SUMIFS(
  '[1]Hoja 1'!$M:$M,
  '[1]Hoja 1'!$S:$S, $A227,
  '[1]Hoja 1'!$R:$R, "&gt;="&amp;INT($BE$1),
  '[1]Hoja 1'!$R:$R, "&lt;"&amp;INT($BF$1+1)
)</f>
        <v>0</v>
      </c>
      <c r="BD227" s="1">
        <f t="shared" si="289"/>
        <v>0</v>
      </c>
      <c r="BE227" s="9">
        <f t="shared" si="290"/>
        <v>0</v>
      </c>
      <c r="BF227" s="10">
        <f t="shared" si="291"/>
        <v>0</v>
      </c>
      <c r="BG227" s="1">
        <f>SUMIFS(
  '[1]Hoja 1'!$M:$M,
  '[1]Hoja 1'!$S:$S, $A227,
  '[1]Hoja 1'!$R:$R, "&gt;="&amp;INT($BI$1),
  '[1]Hoja 1'!$R:$R, "&lt;"&amp;INT($BJ$1+1)
)</f>
        <v>0</v>
      </c>
      <c r="BH227" s="1">
        <f t="shared" si="292"/>
        <v>0</v>
      </c>
      <c r="BI227" s="9">
        <f t="shared" si="293"/>
        <v>0</v>
      </c>
      <c r="BJ227" s="10">
        <f t="shared" si="294"/>
        <v>0</v>
      </c>
      <c r="BK227" s="1">
        <f>SUMIFS(
  '[1]Hoja 1'!$M:$M,
  '[1]Hoja 1'!$S:$S, $A227,
  '[1]Hoja 1'!$R:$R, "&gt;="&amp;INT($BM$1),
  '[1]Hoja 1'!$R:$R, "&lt;"&amp;INT($BN$1+1)
)</f>
        <v>0</v>
      </c>
      <c r="BL227" s="1">
        <f t="shared" si="295"/>
        <v>0</v>
      </c>
      <c r="BM227" s="9">
        <f t="shared" si="296"/>
        <v>0</v>
      </c>
      <c r="BN227" s="10">
        <f t="shared" si="297"/>
        <v>0</v>
      </c>
      <c r="BO227" s="1">
        <f>SUMIFS(
  '[1]Hoja 1'!$M:$M,
  '[1]Hoja 1'!$S:$S, $A227,
  '[1]Hoja 1'!$R:$R, "&gt;="&amp;INT($BQ$1),
  '[1]Hoja 1'!$R:$R, "&lt;"&amp;INT($BR$1+1)
)</f>
        <v>0</v>
      </c>
      <c r="BP227" s="1">
        <f t="shared" si="298"/>
        <v>0</v>
      </c>
      <c r="BQ227" s="9">
        <f t="shared" si="299"/>
        <v>0</v>
      </c>
      <c r="BR227" s="10">
        <f t="shared" si="300"/>
        <v>0</v>
      </c>
      <c r="BS227" s="1">
        <f>SUMIFS(
  '[1]Hoja 1'!$M:$M,
  '[1]Hoja 1'!$S:$S, $A227,
  '[1]Hoja 1'!$R:$R, "&gt;="&amp;INT($BU$1),
  '[1]Hoja 1'!$R:$R, "&lt;"&amp;INT($BV$1+1)
)</f>
        <v>0</v>
      </c>
      <c r="BT227" s="1">
        <f t="shared" si="301"/>
        <v>0</v>
      </c>
      <c r="BU227" s="9">
        <f t="shared" si="302"/>
        <v>0</v>
      </c>
      <c r="BV227" s="10">
        <f t="shared" si="303"/>
        <v>0</v>
      </c>
      <c r="BW227" s="1">
        <f>SUMIFS(
  '[1]Hoja 1'!$M:$M,
  '[1]Hoja 1'!$S:$S, $A227,
  '[1]Hoja 1'!$R:$R, "&gt;="&amp;INT($BY$1),
  '[1]Hoja 1'!$R:$R, "&lt;"&amp;INT($BZ$1+1)
)</f>
        <v>0</v>
      </c>
      <c r="BX227" s="1">
        <f t="shared" si="304"/>
        <v>0</v>
      </c>
      <c r="BY227" s="9">
        <f t="shared" si="305"/>
        <v>0</v>
      </c>
      <c r="BZ227" s="10">
        <f t="shared" si="306"/>
        <v>0</v>
      </c>
      <c r="CA227" s="1">
        <f>SUMIFS(
  '[1]Hoja 1'!$M:$M,
  '[1]Hoja 1'!$S:$S, $A227,
  '[1]Hoja 1'!$R:$R, "&gt;="&amp;INT($CC$1),
  '[1]Hoja 1'!$R:$R, "&lt;"&amp;INT($CD$1+1)
)</f>
        <v>0</v>
      </c>
      <c r="CB227" s="1">
        <f t="shared" si="307"/>
        <v>0</v>
      </c>
      <c r="CC227" s="9">
        <f t="shared" si="308"/>
        <v>0</v>
      </c>
      <c r="CD227" s="10">
        <f t="shared" si="309"/>
        <v>0</v>
      </c>
      <c r="CE227" s="1">
        <f>SUMIFS(
  '[1]Hoja 1'!$M:$M,
  '[1]Hoja 1'!$S:$S, $A227,
  '[1]Hoja 1'!$R:$R, "&gt;="&amp;INT($CG$1),
  '[1]Hoja 1'!$R:$R, "&lt;"&amp;INT($CH$1+1)
)</f>
        <v>0</v>
      </c>
      <c r="CF227" s="1">
        <f t="shared" si="310"/>
        <v>0</v>
      </c>
      <c r="CG227" s="9">
        <f t="shared" si="311"/>
        <v>0</v>
      </c>
      <c r="CH227" s="10">
        <f t="shared" si="312"/>
        <v>0</v>
      </c>
      <c r="CI227" s="1">
        <f>SUMIFS(
  '[1]Hoja 1'!$M:$M,
  '[1]Hoja 1'!$S:$S, $A227,
  '[1]Hoja 1'!$R:$R, "&gt;="&amp;INT($CK$1),
  '[1]Hoja 1'!$R:$R, "&lt;"&amp;INT($CL$1+1)
)</f>
        <v>0</v>
      </c>
      <c r="CJ227" s="1">
        <f t="shared" si="313"/>
        <v>0</v>
      </c>
      <c r="CK227" s="9">
        <f t="shared" si="314"/>
        <v>0</v>
      </c>
      <c r="CL227" s="10">
        <f t="shared" si="315"/>
        <v>0</v>
      </c>
      <c r="CM227" s="1">
        <f>SUMIFS(
  '[1]Hoja 1'!$M:$M,
  '[1]Hoja 1'!$S:$S, $A227,
  '[1]Hoja 1'!$R:$R, "&gt;="&amp;INT($CO$1),
  '[1]Hoja 1'!$R:$R, "&lt;"&amp;INT($CP$1+1)
)</f>
        <v>0</v>
      </c>
      <c r="CN227" s="1">
        <f t="shared" si="316"/>
        <v>0</v>
      </c>
      <c r="CO227" s="9">
        <f t="shared" si="317"/>
        <v>0</v>
      </c>
      <c r="CP227" s="10">
        <f t="shared" si="318"/>
        <v>0</v>
      </c>
      <c r="CQ227" s="1">
        <f>SUMIFS(
  '[1]Hoja 1'!$M:$M,
  '[1]Hoja 1'!$S:$S, $A227,
  '[1]Hoja 1'!$R:$R, "&gt;="&amp;INT($CS$1),
  '[1]Hoja 1'!$R:$R, "&lt;"&amp;INT($CT$1+1)
)</f>
        <v>0</v>
      </c>
      <c r="CR227" s="1">
        <f t="shared" si="319"/>
        <v>0</v>
      </c>
      <c r="CS227" s="9">
        <f t="shared" si="320"/>
        <v>0</v>
      </c>
      <c r="CT227" s="10">
        <f t="shared" si="321"/>
        <v>0</v>
      </c>
      <c r="CU227" s="1">
        <f>SUMIFS(
  '[1]Hoja 1'!$M:$M,
  '[1]Hoja 1'!$S:$S, $A227,
  '[1]Hoja 1'!$R:$R, "&gt;="&amp;INT($CW$1),
  '[1]Hoja 1'!$R:$R, "&lt;"&amp;INT($CX$1+1)
)</f>
        <v>0</v>
      </c>
      <c r="CV227" s="1">
        <f t="shared" si="322"/>
        <v>0</v>
      </c>
      <c r="CW227" s="9">
        <f t="shared" si="323"/>
        <v>0</v>
      </c>
      <c r="CX227" s="10">
        <f t="shared" si="324"/>
        <v>0</v>
      </c>
      <c r="CY227" s="1">
        <f>SUMIFS(
  '[1]Hoja 1'!$M:$M,
  '[1]Hoja 1'!$S:$S, $A227,
  '[1]Hoja 1'!$R:$R, "&gt;="&amp;INT($DA$1),
  '[1]Hoja 1'!$R:$R, "&lt;"&amp;INT($DB$1+1)
)</f>
        <v>0</v>
      </c>
      <c r="CZ227" s="1">
        <f t="shared" si="325"/>
        <v>0</v>
      </c>
      <c r="DA227" s="9">
        <f t="shared" si="326"/>
        <v>0</v>
      </c>
      <c r="DB227" s="10">
        <f t="shared" si="327"/>
        <v>0</v>
      </c>
      <c r="DC227" s="1">
        <f>SUMIFS(
  '[1]Hoja 1'!$M:$M,
  '[1]Hoja 1'!$S:$S, $A227,
  '[1]Hoja 1'!$R:$R, "&gt;="&amp;INT($DE$1),
  '[1]Hoja 1'!$R:$R, "&lt;"&amp;INT($DF$1+1)
)</f>
        <v>0</v>
      </c>
      <c r="DD227" s="1">
        <f t="shared" si="328"/>
        <v>0</v>
      </c>
      <c r="DE227" s="9">
        <f t="shared" si="329"/>
        <v>0</v>
      </c>
      <c r="DF227" s="10">
        <f t="shared" si="330"/>
        <v>0</v>
      </c>
      <c r="DG227" s="1">
        <f>SUMIFS(
  '[1]Hoja 1'!$M:$M,
  '[1]Hoja 1'!$S:$S, $A227,
  '[1]Hoja 1'!$R:$R, "&gt;="&amp;INT($DI$1),
  '[1]Hoja 1'!$R:$R, "&lt;"&amp;INT($DJ$1+1)
)</f>
        <v>0</v>
      </c>
      <c r="DH227" s="1">
        <f t="shared" si="331"/>
        <v>0</v>
      </c>
      <c r="DI227" s="9">
        <f t="shared" si="332"/>
        <v>0</v>
      </c>
      <c r="DJ227" s="10">
        <f t="shared" si="333"/>
        <v>0</v>
      </c>
      <c r="DK227" s="1">
        <f>SUMIFS(
  '[1]Hoja 1'!$M:$M,
  '[1]Hoja 1'!$S:$S, $A227,
  '[1]Hoja 1'!$R:$R, "&gt;="&amp;INT($DM$1),
  '[1]Hoja 1'!$R:$R, "&lt;"&amp;INT($DN$1+1)
)</f>
        <v>0</v>
      </c>
      <c r="DL227" s="1">
        <f t="shared" si="334"/>
        <v>0</v>
      </c>
      <c r="DM227" s="9">
        <f t="shared" si="335"/>
        <v>0</v>
      </c>
      <c r="DN227" s="10">
        <f t="shared" si="336"/>
        <v>0</v>
      </c>
      <c r="DO227" s="1">
        <f>SUMIFS(
  '[1]Hoja 1'!$M:$M,
  '[1]Hoja 1'!$S:$S, $A227,
  '[1]Hoja 1'!$R:$R, "&gt;="&amp;INT($DQ$1),
  '[1]Hoja 1'!$R:$R, "&lt;"&amp;INT($DR$1+1)
)</f>
        <v>0</v>
      </c>
      <c r="DP227" s="1">
        <f t="shared" si="337"/>
        <v>0</v>
      </c>
      <c r="DQ227" s="9">
        <f t="shared" si="338"/>
        <v>0</v>
      </c>
      <c r="DR227" s="10">
        <f t="shared" si="339"/>
        <v>0</v>
      </c>
    </row>
    <row r="228" spans="1:122" x14ac:dyDescent="0.25">
      <c r="A228" s="5">
        <v>301001</v>
      </c>
      <c r="B228" s="6" t="s">
        <v>221</v>
      </c>
      <c r="C228" s="1">
        <f>SUMIFS(
  '[1]Hoja 1'!$M:$M,
  '[1]Hoja 1'!$S:$S, $A228,
  '[1]Hoja 1'!$R:$R, "&gt;="&amp;INT($E$1),
  '[1]Hoja 1'!$R:$R, "&lt;"&amp;INT($F$1+1)
)</f>
        <v>0</v>
      </c>
      <c r="D228" s="1" t="str">
        <f>""</f>
        <v/>
      </c>
      <c r="F228" s="2"/>
      <c r="G228" s="1">
        <f>SUMIFS(
  '[1]Hoja 1'!$M:$M,
  '[1]Hoja 1'!$S:$S, $A228,
  '[1]Hoja 1'!$R:$R, "&gt;="&amp;INT($I$1),
  '[1]Hoja 1'!$R:$R, "&lt;"&amp;INT($J$1+1)
)</f>
        <v>0</v>
      </c>
      <c r="H228" s="1">
        <f t="shared" si="255"/>
        <v>0</v>
      </c>
      <c r="I228" s="1"/>
      <c r="J228" s="2"/>
      <c r="K228" s="1">
        <f>SUMIFS(
  '[1]Hoja 1'!$M:$M,
  '[1]Hoja 1'!$S:$S, $A228,
  '[1]Hoja 1'!$R:$R, "&gt;="&amp;INT($M$1),
  '[1]Hoja 1'!$R:$R, "&lt;"&amp;INT($N$1+1)
)</f>
        <v>0</v>
      </c>
      <c r="L228" s="1">
        <f t="shared" si="256"/>
        <v>0</v>
      </c>
      <c r="M228" s="9">
        <f t="shared" si="257"/>
        <v>0</v>
      </c>
      <c r="N228" s="10">
        <f t="shared" si="258"/>
        <v>0</v>
      </c>
      <c r="O228" s="1">
        <f>SUMIFS(
  '[1]Hoja 1'!$M:$M,
  '[1]Hoja 1'!$S:$S, $A228,
  '[1]Hoja 1'!$R:$R, "&gt;="&amp;INT($Q$1),
  '[1]Hoja 1'!$R:$R, "&lt;"&amp;INT($R$1+1)
)</f>
        <v>0</v>
      </c>
      <c r="P228" s="1">
        <f t="shared" si="259"/>
        <v>0</v>
      </c>
      <c r="Q228" s="9">
        <f t="shared" si="260"/>
        <v>0</v>
      </c>
      <c r="R228" s="10">
        <f t="shared" si="261"/>
        <v>0</v>
      </c>
      <c r="S228" s="1">
        <f>SUMIFS(
  '[1]Hoja 1'!$M:$M,
  '[1]Hoja 1'!$S:$S, $A228,
  '[1]Hoja 1'!$R:$R, "&gt;="&amp;INT($U$1),
  '[1]Hoja 1'!$R:$R, "&lt;"&amp;INT($V$1+1)
)</f>
        <v>0</v>
      </c>
      <c r="T228" s="1">
        <f t="shared" si="262"/>
        <v>0</v>
      </c>
      <c r="U228" s="9">
        <f t="shared" si="263"/>
        <v>0</v>
      </c>
      <c r="V228" s="10">
        <f t="shared" si="264"/>
        <v>0</v>
      </c>
      <c r="W228" s="1">
        <f>SUMIFS(
  '[1]Hoja 1'!$M:$M,
  '[1]Hoja 1'!$S:$S, $A228,
  '[1]Hoja 1'!$R:$R, "&gt;="&amp;INT($Y$1),
  '[1]Hoja 1'!$R:$R, "&lt;"&amp;INT($Z$1+1)
)</f>
        <v>0</v>
      </c>
      <c r="X228" s="1">
        <f t="shared" si="265"/>
        <v>0</v>
      </c>
      <c r="Y228" s="9">
        <f t="shared" si="266"/>
        <v>0</v>
      </c>
      <c r="Z228" s="10">
        <f t="shared" si="267"/>
        <v>0</v>
      </c>
      <c r="AA228" s="1">
        <f>SUMIFS(
  '[1]Hoja 1'!$M:$M,
  '[1]Hoja 1'!$S:$S, $A228,
  '[1]Hoja 1'!$R:$R, "&gt;="&amp;INT($AC$1),
  '[1]Hoja 1'!$R:$R, "&lt;"&amp;INT($AD$1+1)
)</f>
        <v>0</v>
      </c>
      <c r="AB228" s="1">
        <f t="shared" si="268"/>
        <v>0</v>
      </c>
      <c r="AC228" s="9">
        <f t="shared" si="269"/>
        <v>0</v>
      </c>
      <c r="AD228" s="10">
        <f t="shared" si="270"/>
        <v>0</v>
      </c>
      <c r="AE228" s="1">
        <f>SUMIFS(
  '[1]Hoja 1'!$M:$M,
  '[1]Hoja 1'!$S:$S, $A228,
  '[1]Hoja 1'!$R:$R, "&gt;="&amp;INT($AG$1),
  '[1]Hoja 1'!$R:$R, "&lt;"&amp;INT($AH$1+1)
)</f>
        <v>0</v>
      </c>
      <c r="AF228" s="1">
        <f t="shared" si="271"/>
        <v>0</v>
      </c>
      <c r="AG228" s="9">
        <f t="shared" si="272"/>
        <v>0</v>
      </c>
      <c r="AH228" s="10">
        <f t="shared" si="273"/>
        <v>0</v>
      </c>
      <c r="AI228" s="1">
        <f>SUMIFS(
  '[1]Hoja 1'!$M:$M,
  '[1]Hoja 1'!$S:$S, $A228,
  '[1]Hoja 1'!$R:$R, "&gt;="&amp;INT($AK$1),
  '[1]Hoja 1'!$R:$R, "&lt;"&amp;INT($AL$1+1)
)</f>
        <v>0</v>
      </c>
      <c r="AJ228" s="1">
        <f t="shared" si="274"/>
        <v>0</v>
      </c>
      <c r="AK228" s="9">
        <f t="shared" si="275"/>
        <v>0</v>
      </c>
      <c r="AL228" s="10">
        <f t="shared" si="276"/>
        <v>0</v>
      </c>
      <c r="AM228" s="1">
        <f>SUMIFS(
  '[1]Hoja 1'!$M:$M,
  '[1]Hoja 1'!$S:$S, $A228,
  '[1]Hoja 1'!$R:$R, "&gt;="&amp;INT($AO$1),
  '[1]Hoja 1'!$R:$R, "&lt;"&amp;INT($AP$1+1)
)</f>
        <v>0</v>
      </c>
      <c r="AN228" s="1">
        <f t="shared" si="277"/>
        <v>0</v>
      </c>
      <c r="AO228" s="9">
        <f t="shared" si="278"/>
        <v>0</v>
      </c>
      <c r="AP228" s="10">
        <f t="shared" si="279"/>
        <v>0</v>
      </c>
      <c r="AQ228" s="1">
        <f>SUMIFS(
  '[1]Hoja 1'!$M:$M,
  '[1]Hoja 1'!$S:$S, $A228,
  '[1]Hoja 1'!$R:$R, "&gt;="&amp;INT($AS$1),
  '[1]Hoja 1'!$R:$R, "&lt;"&amp;INT($AT$1+1)
)</f>
        <v>0</v>
      </c>
      <c r="AR228" s="1">
        <f t="shared" si="280"/>
        <v>0</v>
      </c>
      <c r="AS228" s="9">
        <f t="shared" si="281"/>
        <v>0</v>
      </c>
      <c r="AT228" s="10">
        <f t="shared" si="282"/>
        <v>0</v>
      </c>
      <c r="AU228" s="1">
        <f>SUMIFS(
  '[1]Hoja 1'!$M:$M,
  '[1]Hoja 1'!$S:$S, $A228,
  '[1]Hoja 1'!$R:$R, "&gt;="&amp;INT($AW$1),
  '[1]Hoja 1'!$R:$R, "&lt;"&amp;INT($AX$1+1)
)</f>
        <v>0</v>
      </c>
      <c r="AV228" s="1">
        <f t="shared" si="283"/>
        <v>0</v>
      </c>
      <c r="AW228" s="9">
        <f t="shared" si="284"/>
        <v>0</v>
      </c>
      <c r="AX228" s="10">
        <f t="shared" si="285"/>
        <v>0</v>
      </c>
      <c r="AY228" s="1">
        <f>SUMIFS(
  '[1]Hoja 1'!$M:$M,
  '[1]Hoja 1'!$S:$S, $A228,
  '[1]Hoja 1'!$R:$R, "&gt;="&amp;INT($BA$1),
  '[1]Hoja 1'!$R:$R, "&lt;"&amp;INT($BB$1+1)
)</f>
        <v>0</v>
      </c>
      <c r="AZ228" s="1">
        <f t="shared" si="286"/>
        <v>0</v>
      </c>
      <c r="BA228" s="9">
        <f t="shared" si="287"/>
        <v>0</v>
      </c>
      <c r="BB228" s="10">
        <f t="shared" si="288"/>
        <v>0</v>
      </c>
      <c r="BC228" s="1">
        <f>SUMIFS(
  '[1]Hoja 1'!$M:$M,
  '[1]Hoja 1'!$S:$S, $A228,
  '[1]Hoja 1'!$R:$R, "&gt;="&amp;INT($BE$1),
  '[1]Hoja 1'!$R:$R, "&lt;"&amp;INT($BF$1+1)
)</f>
        <v>0</v>
      </c>
      <c r="BD228" s="1">
        <f t="shared" si="289"/>
        <v>0</v>
      </c>
      <c r="BE228" s="9">
        <f t="shared" si="290"/>
        <v>0</v>
      </c>
      <c r="BF228" s="10">
        <f t="shared" si="291"/>
        <v>0</v>
      </c>
      <c r="BG228" s="1">
        <f>SUMIFS(
  '[1]Hoja 1'!$M:$M,
  '[1]Hoja 1'!$S:$S, $A228,
  '[1]Hoja 1'!$R:$R, "&gt;="&amp;INT($BI$1),
  '[1]Hoja 1'!$R:$R, "&lt;"&amp;INT($BJ$1+1)
)</f>
        <v>0</v>
      </c>
      <c r="BH228" s="1">
        <f t="shared" si="292"/>
        <v>0</v>
      </c>
      <c r="BI228" s="9">
        <f t="shared" si="293"/>
        <v>0</v>
      </c>
      <c r="BJ228" s="10">
        <f t="shared" si="294"/>
        <v>0</v>
      </c>
      <c r="BK228" s="1">
        <f>SUMIFS(
  '[1]Hoja 1'!$M:$M,
  '[1]Hoja 1'!$S:$S, $A228,
  '[1]Hoja 1'!$R:$R, "&gt;="&amp;INT($BM$1),
  '[1]Hoja 1'!$R:$R, "&lt;"&amp;INT($BN$1+1)
)</f>
        <v>0</v>
      </c>
      <c r="BL228" s="1">
        <f t="shared" si="295"/>
        <v>0</v>
      </c>
      <c r="BM228" s="9">
        <f t="shared" si="296"/>
        <v>0</v>
      </c>
      <c r="BN228" s="10">
        <f t="shared" si="297"/>
        <v>0</v>
      </c>
      <c r="BO228" s="1">
        <f>SUMIFS(
  '[1]Hoja 1'!$M:$M,
  '[1]Hoja 1'!$S:$S, $A228,
  '[1]Hoja 1'!$R:$R, "&gt;="&amp;INT($BQ$1),
  '[1]Hoja 1'!$R:$R, "&lt;"&amp;INT($BR$1+1)
)</f>
        <v>0</v>
      </c>
      <c r="BP228" s="1">
        <f t="shared" si="298"/>
        <v>0</v>
      </c>
      <c r="BQ228" s="9">
        <f t="shared" si="299"/>
        <v>0</v>
      </c>
      <c r="BR228" s="10">
        <f t="shared" si="300"/>
        <v>0</v>
      </c>
      <c r="BS228" s="1">
        <f>SUMIFS(
  '[1]Hoja 1'!$M:$M,
  '[1]Hoja 1'!$S:$S, $A228,
  '[1]Hoja 1'!$R:$R, "&gt;="&amp;INT($BU$1),
  '[1]Hoja 1'!$R:$R, "&lt;"&amp;INT($BV$1+1)
)</f>
        <v>0</v>
      </c>
      <c r="BT228" s="1">
        <f t="shared" si="301"/>
        <v>0</v>
      </c>
      <c r="BU228" s="9">
        <f t="shared" si="302"/>
        <v>0</v>
      </c>
      <c r="BV228" s="10">
        <f t="shared" si="303"/>
        <v>0</v>
      </c>
      <c r="BW228" s="1">
        <f>SUMIFS(
  '[1]Hoja 1'!$M:$M,
  '[1]Hoja 1'!$S:$S, $A228,
  '[1]Hoja 1'!$R:$R, "&gt;="&amp;INT($BY$1),
  '[1]Hoja 1'!$R:$R, "&lt;"&amp;INT($BZ$1+1)
)</f>
        <v>0</v>
      </c>
      <c r="BX228" s="1">
        <f t="shared" si="304"/>
        <v>0</v>
      </c>
      <c r="BY228" s="9">
        <f t="shared" si="305"/>
        <v>0</v>
      </c>
      <c r="BZ228" s="10">
        <f t="shared" si="306"/>
        <v>0</v>
      </c>
      <c r="CA228" s="1">
        <f>SUMIFS(
  '[1]Hoja 1'!$M:$M,
  '[1]Hoja 1'!$S:$S, $A228,
  '[1]Hoja 1'!$R:$R, "&gt;="&amp;INT($CC$1),
  '[1]Hoja 1'!$R:$R, "&lt;"&amp;INT($CD$1+1)
)</f>
        <v>0</v>
      </c>
      <c r="CB228" s="1">
        <f t="shared" si="307"/>
        <v>0</v>
      </c>
      <c r="CC228" s="9">
        <f t="shared" si="308"/>
        <v>0</v>
      </c>
      <c r="CD228" s="10">
        <f t="shared" si="309"/>
        <v>0</v>
      </c>
      <c r="CE228" s="1">
        <f>SUMIFS(
  '[1]Hoja 1'!$M:$M,
  '[1]Hoja 1'!$S:$S, $A228,
  '[1]Hoja 1'!$R:$R, "&gt;="&amp;INT($CG$1),
  '[1]Hoja 1'!$R:$R, "&lt;"&amp;INT($CH$1+1)
)</f>
        <v>0</v>
      </c>
      <c r="CF228" s="1">
        <f t="shared" si="310"/>
        <v>0</v>
      </c>
      <c r="CG228" s="9">
        <f t="shared" si="311"/>
        <v>0</v>
      </c>
      <c r="CH228" s="10">
        <f t="shared" si="312"/>
        <v>0</v>
      </c>
      <c r="CI228" s="1">
        <f>SUMIFS(
  '[1]Hoja 1'!$M:$M,
  '[1]Hoja 1'!$S:$S, $A228,
  '[1]Hoja 1'!$R:$R, "&gt;="&amp;INT($CK$1),
  '[1]Hoja 1'!$R:$R, "&lt;"&amp;INT($CL$1+1)
)</f>
        <v>0</v>
      </c>
      <c r="CJ228" s="1">
        <f t="shared" si="313"/>
        <v>0</v>
      </c>
      <c r="CK228" s="9">
        <f t="shared" si="314"/>
        <v>0</v>
      </c>
      <c r="CL228" s="10">
        <f t="shared" si="315"/>
        <v>0</v>
      </c>
      <c r="CM228" s="1">
        <f>SUMIFS(
  '[1]Hoja 1'!$M:$M,
  '[1]Hoja 1'!$S:$S, $A228,
  '[1]Hoja 1'!$R:$R, "&gt;="&amp;INT($CO$1),
  '[1]Hoja 1'!$R:$R, "&lt;"&amp;INT($CP$1+1)
)</f>
        <v>0</v>
      </c>
      <c r="CN228" s="1">
        <f t="shared" si="316"/>
        <v>0</v>
      </c>
      <c r="CO228" s="9">
        <f t="shared" si="317"/>
        <v>0</v>
      </c>
      <c r="CP228" s="10">
        <f t="shared" si="318"/>
        <v>0</v>
      </c>
      <c r="CQ228" s="1">
        <f>SUMIFS(
  '[1]Hoja 1'!$M:$M,
  '[1]Hoja 1'!$S:$S, $A228,
  '[1]Hoja 1'!$R:$R, "&gt;="&amp;INT($CS$1),
  '[1]Hoja 1'!$R:$R, "&lt;"&amp;INT($CT$1+1)
)</f>
        <v>0</v>
      </c>
      <c r="CR228" s="1">
        <f t="shared" si="319"/>
        <v>0</v>
      </c>
      <c r="CS228" s="9">
        <f t="shared" si="320"/>
        <v>0</v>
      </c>
      <c r="CT228" s="10">
        <f t="shared" si="321"/>
        <v>0</v>
      </c>
      <c r="CU228" s="1">
        <f>SUMIFS(
  '[1]Hoja 1'!$M:$M,
  '[1]Hoja 1'!$S:$S, $A228,
  '[1]Hoja 1'!$R:$R, "&gt;="&amp;INT($CW$1),
  '[1]Hoja 1'!$R:$R, "&lt;"&amp;INT($CX$1+1)
)</f>
        <v>0</v>
      </c>
      <c r="CV228" s="1">
        <f t="shared" si="322"/>
        <v>0</v>
      </c>
      <c r="CW228" s="9">
        <f t="shared" si="323"/>
        <v>0</v>
      </c>
      <c r="CX228" s="10">
        <f t="shared" si="324"/>
        <v>0</v>
      </c>
      <c r="CY228" s="1">
        <f>SUMIFS(
  '[1]Hoja 1'!$M:$M,
  '[1]Hoja 1'!$S:$S, $A228,
  '[1]Hoja 1'!$R:$R, "&gt;="&amp;INT($DA$1),
  '[1]Hoja 1'!$R:$R, "&lt;"&amp;INT($DB$1+1)
)</f>
        <v>0</v>
      </c>
      <c r="CZ228" s="1">
        <f t="shared" si="325"/>
        <v>0</v>
      </c>
      <c r="DA228" s="9">
        <f t="shared" si="326"/>
        <v>0</v>
      </c>
      <c r="DB228" s="10">
        <f t="shared" si="327"/>
        <v>0</v>
      </c>
      <c r="DC228" s="1">
        <f>SUMIFS(
  '[1]Hoja 1'!$M:$M,
  '[1]Hoja 1'!$S:$S, $A228,
  '[1]Hoja 1'!$R:$R, "&gt;="&amp;INT($DE$1),
  '[1]Hoja 1'!$R:$R, "&lt;"&amp;INT($DF$1+1)
)</f>
        <v>0</v>
      </c>
      <c r="DD228" s="1">
        <f t="shared" si="328"/>
        <v>0</v>
      </c>
      <c r="DE228" s="9">
        <f t="shared" si="329"/>
        <v>0</v>
      </c>
      <c r="DF228" s="10">
        <f t="shared" si="330"/>
        <v>0</v>
      </c>
      <c r="DG228" s="1">
        <f>SUMIFS(
  '[1]Hoja 1'!$M:$M,
  '[1]Hoja 1'!$S:$S, $A228,
  '[1]Hoja 1'!$R:$R, "&gt;="&amp;INT($DI$1),
  '[1]Hoja 1'!$R:$R, "&lt;"&amp;INT($DJ$1+1)
)</f>
        <v>0</v>
      </c>
      <c r="DH228" s="1">
        <f t="shared" si="331"/>
        <v>0</v>
      </c>
      <c r="DI228" s="9">
        <f t="shared" si="332"/>
        <v>0</v>
      </c>
      <c r="DJ228" s="10">
        <f t="shared" si="333"/>
        <v>0</v>
      </c>
      <c r="DK228" s="1">
        <f>SUMIFS(
  '[1]Hoja 1'!$M:$M,
  '[1]Hoja 1'!$S:$S, $A228,
  '[1]Hoja 1'!$R:$R, "&gt;="&amp;INT($DM$1),
  '[1]Hoja 1'!$R:$R, "&lt;"&amp;INT($DN$1+1)
)</f>
        <v>0</v>
      </c>
      <c r="DL228" s="1">
        <f t="shared" si="334"/>
        <v>0</v>
      </c>
      <c r="DM228" s="9">
        <f t="shared" si="335"/>
        <v>0</v>
      </c>
      <c r="DN228" s="10">
        <f t="shared" si="336"/>
        <v>0</v>
      </c>
      <c r="DO228" s="1">
        <f>SUMIFS(
  '[1]Hoja 1'!$M:$M,
  '[1]Hoja 1'!$S:$S, $A228,
  '[1]Hoja 1'!$R:$R, "&gt;="&amp;INT($DQ$1),
  '[1]Hoja 1'!$R:$R, "&lt;"&amp;INT($DR$1+1)
)</f>
        <v>0</v>
      </c>
      <c r="DP228" s="1">
        <f t="shared" si="337"/>
        <v>0</v>
      </c>
      <c r="DQ228" s="9">
        <f t="shared" si="338"/>
        <v>0</v>
      </c>
      <c r="DR228" s="10">
        <f t="shared" si="339"/>
        <v>0</v>
      </c>
    </row>
    <row r="229" spans="1:122" x14ac:dyDescent="0.25">
      <c r="A229" s="5">
        <v>312001</v>
      </c>
      <c r="B229" s="13" t="s">
        <v>222</v>
      </c>
      <c r="C229" s="1">
        <f>SUMIFS(
  '[1]Hoja 1'!$M:$M,
  '[1]Hoja 1'!$S:$S, $A229,
  '[1]Hoja 1'!$R:$R, "&gt;="&amp;INT($E$1),
  '[1]Hoja 1'!$R:$R, "&lt;"&amp;INT($F$1+1)
)</f>
        <v>0</v>
      </c>
      <c r="D229" s="1" t="str">
        <f>""</f>
        <v/>
      </c>
      <c r="F229" s="2"/>
      <c r="G229" s="1">
        <f>SUMIFS(
  '[1]Hoja 1'!$M:$M,
  '[1]Hoja 1'!$S:$S, $A229,
  '[1]Hoja 1'!$R:$R, "&gt;="&amp;INT($I$1),
  '[1]Hoja 1'!$R:$R, "&lt;"&amp;INT($J$1+1)
)</f>
        <v>0</v>
      </c>
      <c r="H229" s="1">
        <f t="shared" si="255"/>
        <v>0</v>
      </c>
      <c r="I229" s="1"/>
      <c r="J229" s="2"/>
      <c r="K229" s="1">
        <f>SUMIFS(
  '[1]Hoja 1'!$M:$M,
  '[1]Hoja 1'!$S:$S, $A229,
  '[1]Hoja 1'!$R:$R, "&gt;="&amp;INT($M$1),
  '[1]Hoja 1'!$R:$R, "&lt;"&amp;INT($N$1+1)
)</f>
        <v>0</v>
      </c>
      <c r="L229" s="1">
        <f t="shared" si="256"/>
        <v>0</v>
      </c>
      <c r="M229" s="9">
        <f t="shared" si="257"/>
        <v>0</v>
      </c>
      <c r="N229" s="10">
        <f t="shared" si="258"/>
        <v>0</v>
      </c>
      <c r="O229" s="1">
        <f>SUMIFS(
  '[1]Hoja 1'!$M:$M,
  '[1]Hoja 1'!$S:$S, $A229,
  '[1]Hoja 1'!$R:$R, "&gt;="&amp;INT($Q$1),
  '[1]Hoja 1'!$R:$R, "&lt;"&amp;INT($R$1+1)
)</f>
        <v>0</v>
      </c>
      <c r="P229" s="1">
        <f t="shared" si="259"/>
        <v>0</v>
      </c>
      <c r="Q229" s="9">
        <f t="shared" si="260"/>
        <v>0</v>
      </c>
      <c r="R229" s="10">
        <f t="shared" si="261"/>
        <v>0</v>
      </c>
      <c r="S229" s="1">
        <f>SUMIFS(
  '[1]Hoja 1'!$M:$M,
  '[1]Hoja 1'!$S:$S, $A229,
  '[1]Hoja 1'!$R:$R, "&gt;="&amp;INT($U$1),
  '[1]Hoja 1'!$R:$R, "&lt;"&amp;INT($V$1+1)
)</f>
        <v>0</v>
      </c>
      <c r="T229" s="1">
        <f t="shared" si="262"/>
        <v>0</v>
      </c>
      <c r="U229" s="9">
        <f t="shared" si="263"/>
        <v>0</v>
      </c>
      <c r="V229" s="10">
        <f t="shared" si="264"/>
        <v>0</v>
      </c>
      <c r="W229" s="1">
        <f>SUMIFS(
  '[1]Hoja 1'!$M:$M,
  '[1]Hoja 1'!$S:$S, $A229,
  '[1]Hoja 1'!$R:$R, "&gt;="&amp;INT($Y$1),
  '[1]Hoja 1'!$R:$R, "&lt;"&amp;INT($Z$1+1)
)</f>
        <v>0</v>
      </c>
      <c r="X229" s="1">
        <f t="shared" si="265"/>
        <v>0</v>
      </c>
      <c r="Y229" s="9">
        <f t="shared" si="266"/>
        <v>0</v>
      </c>
      <c r="Z229" s="10">
        <f t="shared" si="267"/>
        <v>0</v>
      </c>
      <c r="AA229" s="1">
        <f>SUMIFS(
  '[1]Hoja 1'!$M:$M,
  '[1]Hoja 1'!$S:$S, $A229,
  '[1]Hoja 1'!$R:$R, "&gt;="&amp;INT($AC$1),
  '[1]Hoja 1'!$R:$R, "&lt;"&amp;INT($AD$1+1)
)</f>
        <v>0</v>
      </c>
      <c r="AB229" s="1">
        <f t="shared" si="268"/>
        <v>0</v>
      </c>
      <c r="AC229" s="9">
        <f t="shared" si="269"/>
        <v>0</v>
      </c>
      <c r="AD229" s="10">
        <f t="shared" si="270"/>
        <v>0</v>
      </c>
      <c r="AE229" s="1">
        <f>SUMIFS(
  '[1]Hoja 1'!$M:$M,
  '[1]Hoja 1'!$S:$S, $A229,
  '[1]Hoja 1'!$R:$R, "&gt;="&amp;INT($AG$1),
  '[1]Hoja 1'!$R:$R, "&lt;"&amp;INT($AH$1+1)
)</f>
        <v>0</v>
      </c>
      <c r="AF229" s="1">
        <f t="shared" si="271"/>
        <v>0</v>
      </c>
      <c r="AG229" s="9">
        <f t="shared" si="272"/>
        <v>0</v>
      </c>
      <c r="AH229" s="10">
        <f t="shared" si="273"/>
        <v>0</v>
      </c>
      <c r="AI229" s="1">
        <f>SUMIFS(
  '[1]Hoja 1'!$M:$M,
  '[1]Hoja 1'!$S:$S, $A229,
  '[1]Hoja 1'!$R:$R, "&gt;="&amp;INT($AK$1),
  '[1]Hoja 1'!$R:$R, "&lt;"&amp;INT($AL$1+1)
)</f>
        <v>0</v>
      </c>
      <c r="AJ229" s="1">
        <f t="shared" si="274"/>
        <v>0</v>
      </c>
      <c r="AK229" s="9">
        <f t="shared" si="275"/>
        <v>0</v>
      </c>
      <c r="AL229" s="10">
        <f t="shared" si="276"/>
        <v>0</v>
      </c>
      <c r="AM229" s="1">
        <f>SUMIFS(
  '[1]Hoja 1'!$M:$M,
  '[1]Hoja 1'!$S:$S, $A229,
  '[1]Hoja 1'!$R:$R, "&gt;="&amp;INT($AO$1),
  '[1]Hoja 1'!$R:$R, "&lt;"&amp;INT($AP$1+1)
)</f>
        <v>0</v>
      </c>
      <c r="AN229" s="1">
        <f t="shared" si="277"/>
        <v>0</v>
      </c>
      <c r="AO229" s="9">
        <f t="shared" si="278"/>
        <v>0</v>
      </c>
      <c r="AP229" s="10">
        <f t="shared" si="279"/>
        <v>0</v>
      </c>
      <c r="AQ229" s="1">
        <f>SUMIFS(
  '[1]Hoja 1'!$M:$M,
  '[1]Hoja 1'!$S:$S, $A229,
  '[1]Hoja 1'!$R:$R, "&gt;="&amp;INT($AS$1),
  '[1]Hoja 1'!$R:$R, "&lt;"&amp;INT($AT$1+1)
)</f>
        <v>0</v>
      </c>
      <c r="AR229" s="1">
        <f t="shared" si="280"/>
        <v>0</v>
      </c>
      <c r="AS229" s="9">
        <f t="shared" si="281"/>
        <v>0</v>
      </c>
      <c r="AT229" s="10">
        <f t="shared" si="282"/>
        <v>0</v>
      </c>
      <c r="AU229" s="1">
        <f>SUMIFS(
  '[1]Hoja 1'!$M:$M,
  '[1]Hoja 1'!$S:$S, $A229,
  '[1]Hoja 1'!$R:$R, "&gt;="&amp;INT($AW$1),
  '[1]Hoja 1'!$R:$R, "&lt;"&amp;INT($AX$1+1)
)</f>
        <v>0</v>
      </c>
      <c r="AV229" s="1">
        <f t="shared" si="283"/>
        <v>0</v>
      </c>
      <c r="AW229" s="9">
        <f t="shared" si="284"/>
        <v>0</v>
      </c>
      <c r="AX229" s="10">
        <f t="shared" si="285"/>
        <v>0</v>
      </c>
      <c r="AY229" s="1">
        <f>SUMIFS(
  '[1]Hoja 1'!$M:$M,
  '[1]Hoja 1'!$S:$S, $A229,
  '[1]Hoja 1'!$R:$R, "&gt;="&amp;INT($BA$1),
  '[1]Hoja 1'!$R:$R, "&lt;"&amp;INT($BB$1+1)
)</f>
        <v>0</v>
      </c>
      <c r="AZ229" s="1">
        <f t="shared" si="286"/>
        <v>0</v>
      </c>
      <c r="BA229" s="9">
        <f t="shared" si="287"/>
        <v>0</v>
      </c>
      <c r="BB229" s="10">
        <f t="shared" si="288"/>
        <v>0</v>
      </c>
      <c r="BC229" s="1">
        <f>SUMIFS(
  '[1]Hoja 1'!$M:$M,
  '[1]Hoja 1'!$S:$S, $A229,
  '[1]Hoja 1'!$R:$R, "&gt;="&amp;INT($BE$1),
  '[1]Hoja 1'!$R:$R, "&lt;"&amp;INT($BF$1+1)
)</f>
        <v>0</v>
      </c>
      <c r="BD229" s="1">
        <f t="shared" si="289"/>
        <v>0</v>
      </c>
      <c r="BE229" s="9">
        <f t="shared" si="290"/>
        <v>0</v>
      </c>
      <c r="BF229" s="10">
        <f t="shared" si="291"/>
        <v>0</v>
      </c>
      <c r="BG229" s="1">
        <f>SUMIFS(
  '[1]Hoja 1'!$M:$M,
  '[1]Hoja 1'!$S:$S, $A229,
  '[1]Hoja 1'!$R:$R, "&gt;="&amp;INT($BI$1),
  '[1]Hoja 1'!$R:$R, "&lt;"&amp;INT($BJ$1+1)
)</f>
        <v>0</v>
      </c>
      <c r="BH229" s="1">
        <f t="shared" si="292"/>
        <v>0</v>
      </c>
      <c r="BI229" s="9">
        <f t="shared" si="293"/>
        <v>0</v>
      </c>
      <c r="BJ229" s="10">
        <f t="shared" si="294"/>
        <v>0</v>
      </c>
      <c r="BK229" s="1">
        <f>SUMIFS(
  '[1]Hoja 1'!$M:$M,
  '[1]Hoja 1'!$S:$S, $A229,
  '[1]Hoja 1'!$R:$R, "&gt;="&amp;INT($BM$1),
  '[1]Hoja 1'!$R:$R, "&lt;"&amp;INT($BN$1+1)
)</f>
        <v>0</v>
      </c>
      <c r="BL229" s="1">
        <f t="shared" si="295"/>
        <v>0</v>
      </c>
      <c r="BM229" s="9">
        <f t="shared" si="296"/>
        <v>0</v>
      </c>
      <c r="BN229" s="10">
        <f t="shared" si="297"/>
        <v>0</v>
      </c>
      <c r="BO229" s="1">
        <f>SUMIFS(
  '[1]Hoja 1'!$M:$M,
  '[1]Hoja 1'!$S:$S, $A229,
  '[1]Hoja 1'!$R:$R, "&gt;="&amp;INT($BQ$1),
  '[1]Hoja 1'!$R:$R, "&lt;"&amp;INT($BR$1+1)
)</f>
        <v>0</v>
      </c>
      <c r="BP229" s="1">
        <f t="shared" si="298"/>
        <v>0</v>
      </c>
      <c r="BQ229" s="9">
        <f t="shared" si="299"/>
        <v>0</v>
      </c>
      <c r="BR229" s="10">
        <f t="shared" si="300"/>
        <v>0</v>
      </c>
      <c r="BS229" s="1">
        <f>SUMIFS(
  '[1]Hoja 1'!$M:$M,
  '[1]Hoja 1'!$S:$S, $A229,
  '[1]Hoja 1'!$R:$R, "&gt;="&amp;INT($BU$1),
  '[1]Hoja 1'!$R:$R, "&lt;"&amp;INT($BV$1+1)
)</f>
        <v>0</v>
      </c>
      <c r="BT229" s="1">
        <f t="shared" si="301"/>
        <v>0</v>
      </c>
      <c r="BU229" s="9">
        <f t="shared" si="302"/>
        <v>0</v>
      </c>
      <c r="BV229" s="10">
        <f t="shared" si="303"/>
        <v>0</v>
      </c>
      <c r="BW229" s="1">
        <f>SUMIFS(
  '[1]Hoja 1'!$M:$M,
  '[1]Hoja 1'!$S:$S, $A229,
  '[1]Hoja 1'!$R:$R, "&gt;="&amp;INT($BY$1),
  '[1]Hoja 1'!$R:$R, "&lt;"&amp;INT($BZ$1+1)
)</f>
        <v>0</v>
      </c>
      <c r="BX229" s="1">
        <f t="shared" si="304"/>
        <v>0</v>
      </c>
      <c r="BY229" s="9">
        <f t="shared" si="305"/>
        <v>0</v>
      </c>
      <c r="BZ229" s="10">
        <f t="shared" si="306"/>
        <v>0</v>
      </c>
      <c r="CA229" s="1">
        <f>SUMIFS(
  '[1]Hoja 1'!$M:$M,
  '[1]Hoja 1'!$S:$S, $A229,
  '[1]Hoja 1'!$R:$R, "&gt;="&amp;INT($CC$1),
  '[1]Hoja 1'!$R:$R, "&lt;"&amp;INT($CD$1+1)
)</f>
        <v>0</v>
      </c>
      <c r="CB229" s="1">
        <f t="shared" si="307"/>
        <v>0</v>
      </c>
      <c r="CC229" s="9">
        <f t="shared" si="308"/>
        <v>0</v>
      </c>
      <c r="CD229" s="10">
        <f t="shared" si="309"/>
        <v>0</v>
      </c>
      <c r="CE229" s="1">
        <f>SUMIFS(
  '[1]Hoja 1'!$M:$M,
  '[1]Hoja 1'!$S:$S, $A229,
  '[1]Hoja 1'!$R:$R, "&gt;="&amp;INT($CG$1),
  '[1]Hoja 1'!$R:$R, "&lt;"&amp;INT($CH$1+1)
)</f>
        <v>0</v>
      </c>
      <c r="CF229" s="1">
        <f t="shared" si="310"/>
        <v>0</v>
      </c>
      <c r="CG229" s="9">
        <f t="shared" si="311"/>
        <v>0</v>
      </c>
      <c r="CH229" s="10">
        <f t="shared" si="312"/>
        <v>0</v>
      </c>
      <c r="CI229" s="1">
        <f>SUMIFS(
  '[1]Hoja 1'!$M:$M,
  '[1]Hoja 1'!$S:$S, $A229,
  '[1]Hoja 1'!$R:$R, "&gt;="&amp;INT($CK$1),
  '[1]Hoja 1'!$R:$R, "&lt;"&amp;INT($CL$1+1)
)</f>
        <v>0</v>
      </c>
      <c r="CJ229" s="1">
        <f t="shared" si="313"/>
        <v>0</v>
      </c>
      <c r="CK229" s="9">
        <f t="shared" si="314"/>
        <v>0</v>
      </c>
      <c r="CL229" s="10">
        <f t="shared" si="315"/>
        <v>0</v>
      </c>
      <c r="CM229" s="1">
        <f>SUMIFS(
  '[1]Hoja 1'!$M:$M,
  '[1]Hoja 1'!$S:$S, $A229,
  '[1]Hoja 1'!$R:$R, "&gt;="&amp;INT($CO$1),
  '[1]Hoja 1'!$R:$R, "&lt;"&amp;INT($CP$1+1)
)</f>
        <v>0</v>
      </c>
      <c r="CN229" s="1">
        <f t="shared" si="316"/>
        <v>0</v>
      </c>
      <c r="CO229" s="9">
        <f t="shared" si="317"/>
        <v>0</v>
      </c>
      <c r="CP229" s="10">
        <f t="shared" si="318"/>
        <v>0</v>
      </c>
      <c r="CQ229" s="1">
        <f>SUMIFS(
  '[1]Hoja 1'!$M:$M,
  '[1]Hoja 1'!$S:$S, $A229,
  '[1]Hoja 1'!$R:$R, "&gt;="&amp;INT($CS$1),
  '[1]Hoja 1'!$R:$R, "&lt;"&amp;INT($CT$1+1)
)</f>
        <v>0</v>
      </c>
      <c r="CR229" s="1">
        <f t="shared" si="319"/>
        <v>0</v>
      </c>
      <c r="CS229" s="9">
        <f t="shared" si="320"/>
        <v>0</v>
      </c>
      <c r="CT229" s="10">
        <f t="shared" si="321"/>
        <v>0</v>
      </c>
      <c r="CU229" s="1">
        <f>SUMIFS(
  '[1]Hoja 1'!$M:$M,
  '[1]Hoja 1'!$S:$S, $A229,
  '[1]Hoja 1'!$R:$R, "&gt;="&amp;INT($CW$1),
  '[1]Hoja 1'!$R:$R, "&lt;"&amp;INT($CX$1+1)
)</f>
        <v>0</v>
      </c>
      <c r="CV229" s="1">
        <f t="shared" si="322"/>
        <v>0</v>
      </c>
      <c r="CW229" s="9">
        <f t="shared" si="323"/>
        <v>0</v>
      </c>
      <c r="CX229" s="10">
        <f t="shared" si="324"/>
        <v>0</v>
      </c>
      <c r="CY229" s="1">
        <f>SUMIFS(
  '[1]Hoja 1'!$M:$M,
  '[1]Hoja 1'!$S:$S, $A229,
  '[1]Hoja 1'!$R:$R, "&gt;="&amp;INT($DA$1),
  '[1]Hoja 1'!$R:$R, "&lt;"&amp;INT($DB$1+1)
)</f>
        <v>0</v>
      </c>
      <c r="CZ229" s="1">
        <f t="shared" si="325"/>
        <v>0</v>
      </c>
      <c r="DA229" s="9">
        <f t="shared" si="326"/>
        <v>0</v>
      </c>
      <c r="DB229" s="10">
        <f t="shared" si="327"/>
        <v>0</v>
      </c>
      <c r="DC229" s="1">
        <f>SUMIFS(
  '[1]Hoja 1'!$M:$M,
  '[1]Hoja 1'!$S:$S, $A229,
  '[1]Hoja 1'!$R:$R, "&gt;="&amp;INT($DE$1),
  '[1]Hoja 1'!$R:$R, "&lt;"&amp;INT($DF$1+1)
)</f>
        <v>0</v>
      </c>
      <c r="DD229" s="1">
        <f t="shared" si="328"/>
        <v>0</v>
      </c>
      <c r="DE229" s="9">
        <f t="shared" si="329"/>
        <v>0</v>
      </c>
      <c r="DF229" s="10">
        <f t="shared" si="330"/>
        <v>0</v>
      </c>
      <c r="DG229" s="1">
        <f>SUMIFS(
  '[1]Hoja 1'!$M:$M,
  '[1]Hoja 1'!$S:$S, $A229,
  '[1]Hoja 1'!$R:$R, "&gt;="&amp;INT($DI$1),
  '[1]Hoja 1'!$R:$R, "&lt;"&amp;INT($DJ$1+1)
)</f>
        <v>0</v>
      </c>
      <c r="DH229" s="1">
        <f t="shared" si="331"/>
        <v>0</v>
      </c>
      <c r="DI229" s="9">
        <f t="shared" si="332"/>
        <v>0</v>
      </c>
      <c r="DJ229" s="10">
        <f t="shared" si="333"/>
        <v>0</v>
      </c>
      <c r="DK229" s="1">
        <f>SUMIFS(
  '[1]Hoja 1'!$M:$M,
  '[1]Hoja 1'!$S:$S, $A229,
  '[1]Hoja 1'!$R:$R, "&gt;="&amp;INT($DM$1),
  '[1]Hoja 1'!$R:$R, "&lt;"&amp;INT($DN$1+1)
)</f>
        <v>0</v>
      </c>
      <c r="DL229" s="1">
        <f t="shared" si="334"/>
        <v>0</v>
      </c>
      <c r="DM229" s="9">
        <f t="shared" si="335"/>
        <v>0</v>
      </c>
      <c r="DN229" s="10">
        <f t="shared" si="336"/>
        <v>0</v>
      </c>
      <c r="DO229" s="1">
        <f>SUMIFS(
  '[1]Hoja 1'!$M:$M,
  '[1]Hoja 1'!$S:$S, $A229,
  '[1]Hoja 1'!$R:$R, "&gt;="&amp;INT($DQ$1),
  '[1]Hoja 1'!$R:$R, "&lt;"&amp;INT($DR$1+1)
)</f>
        <v>0</v>
      </c>
      <c r="DP229" s="1">
        <f t="shared" si="337"/>
        <v>0</v>
      </c>
      <c r="DQ229" s="9">
        <f t="shared" si="338"/>
        <v>0</v>
      </c>
      <c r="DR229" s="10">
        <f t="shared" si="339"/>
        <v>0</v>
      </c>
    </row>
    <row r="230" spans="1:122" x14ac:dyDescent="0.25">
      <c r="A230" s="5">
        <v>313001</v>
      </c>
      <c r="B230" s="6" t="s">
        <v>223</v>
      </c>
      <c r="C230" s="1">
        <f>SUMIFS(
  '[1]Hoja 1'!$M:$M,
  '[1]Hoja 1'!$S:$S, $A230,
  '[1]Hoja 1'!$R:$R, "&gt;="&amp;INT($E$1),
  '[1]Hoja 1'!$R:$R, "&lt;"&amp;INT($F$1+1)
)</f>
        <v>0</v>
      </c>
      <c r="F230" s="12"/>
      <c r="G230" s="1">
        <f>SUMIFS(
  '[1]Hoja 1'!$M:$M,
  '[1]Hoja 1'!$S:$S, $A230,
  '[1]Hoja 1'!$R:$R, "&gt;="&amp;INT($I$1),
  '[1]Hoja 1'!$R:$R, "&lt;"&amp;INT($J$1+1)
)</f>
        <v>0</v>
      </c>
      <c r="H230" s="1">
        <f t="shared" si="255"/>
        <v>0</v>
      </c>
      <c r="J230" s="12"/>
      <c r="K230" s="1">
        <f>SUMIFS(
  '[1]Hoja 1'!$M:$M,
  '[1]Hoja 1'!$S:$S, $A230,
  '[1]Hoja 1'!$R:$R, "&gt;="&amp;INT($M$1),
  '[1]Hoja 1'!$R:$R, "&lt;"&amp;INT($N$1+1)
)</f>
        <v>0</v>
      </c>
      <c r="L230" s="1">
        <f t="shared" si="256"/>
        <v>0</v>
      </c>
      <c r="M230" s="9">
        <f t="shared" si="257"/>
        <v>0</v>
      </c>
      <c r="N230" s="10">
        <f t="shared" si="258"/>
        <v>0</v>
      </c>
      <c r="O230" s="1">
        <f>SUMIFS(
  '[1]Hoja 1'!$M:$M,
  '[1]Hoja 1'!$S:$S, $A230,
  '[1]Hoja 1'!$R:$R, "&gt;="&amp;INT($Q$1),
  '[1]Hoja 1'!$R:$R, "&lt;"&amp;INT($R$1+1)
)</f>
        <v>0</v>
      </c>
      <c r="P230" s="1">
        <f t="shared" si="259"/>
        <v>0</v>
      </c>
      <c r="Q230" s="9">
        <f t="shared" si="260"/>
        <v>0</v>
      </c>
      <c r="R230" s="10">
        <f t="shared" si="261"/>
        <v>0</v>
      </c>
      <c r="S230" s="1">
        <f>SUMIFS(
  '[1]Hoja 1'!$M:$M,
  '[1]Hoja 1'!$S:$S, $A230,
  '[1]Hoja 1'!$R:$R, "&gt;="&amp;INT($U$1),
  '[1]Hoja 1'!$R:$R, "&lt;"&amp;INT($V$1+1)
)</f>
        <v>0</v>
      </c>
      <c r="T230" s="1">
        <f t="shared" si="262"/>
        <v>0</v>
      </c>
      <c r="U230" s="9">
        <f t="shared" si="263"/>
        <v>0</v>
      </c>
      <c r="V230" s="10">
        <f t="shared" si="264"/>
        <v>0</v>
      </c>
      <c r="W230" s="1">
        <f>SUMIFS(
  '[1]Hoja 1'!$M:$M,
  '[1]Hoja 1'!$S:$S, $A230,
  '[1]Hoja 1'!$R:$R, "&gt;="&amp;INT($Y$1),
  '[1]Hoja 1'!$R:$R, "&lt;"&amp;INT($Z$1+1)
)</f>
        <v>0</v>
      </c>
      <c r="X230" s="1">
        <f t="shared" si="265"/>
        <v>0</v>
      </c>
      <c r="Y230" s="9">
        <f t="shared" si="266"/>
        <v>0</v>
      </c>
      <c r="Z230" s="10">
        <f t="shared" si="267"/>
        <v>0</v>
      </c>
      <c r="AA230" s="1">
        <f>SUMIFS(
  '[1]Hoja 1'!$M:$M,
  '[1]Hoja 1'!$S:$S, $A230,
  '[1]Hoja 1'!$R:$R, "&gt;="&amp;INT($AC$1),
  '[1]Hoja 1'!$R:$R, "&lt;"&amp;INT($AD$1+1)
)</f>
        <v>0</v>
      </c>
      <c r="AB230" s="1">
        <f t="shared" si="268"/>
        <v>0</v>
      </c>
      <c r="AC230" s="9">
        <f t="shared" si="269"/>
        <v>0</v>
      </c>
      <c r="AD230" s="10">
        <f t="shared" si="270"/>
        <v>0</v>
      </c>
      <c r="AE230" s="1">
        <f>SUMIFS(
  '[1]Hoja 1'!$M:$M,
  '[1]Hoja 1'!$S:$S, $A230,
  '[1]Hoja 1'!$R:$R, "&gt;="&amp;INT($AG$1),
  '[1]Hoja 1'!$R:$R, "&lt;"&amp;INT($AH$1+1)
)</f>
        <v>0</v>
      </c>
      <c r="AF230" s="1">
        <f t="shared" si="271"/>
        <v>0</v>
      </c>
      <c r="AG230" s="9">
        <f t="shared" si="272"/>
        <v>0</v>
      </c>
      <c r="AH230" s="10">
        <f t="shared" si="273"/>
        <v>0</v>
      </c>
      <c r="AI230" s="1">
        <f>SUMIFS(
  '[1]Hoja 1'!$M:$M,
  '[1]Hoja 1'!$S:$S, $A230,
  '[1]Hoja 1'!$R:$R, "&gt;="&amp;INT($AK$1),
  '[1]Hoja 1'!$R:$R, "&lt;"&amp;INT($AL$1+1)
)</f>
        <v>0</v>
      </c>
      <c r="AJ230" s="1">
        <f t="shared" si="274"/>
        <v>0</v>
      </c>
      <c r="AK230" s="9">
        <f t="shared" si="275"/>
        <v>0</v>
      </c>
      <c r="AL230" s="10">
        <f t="shared" si="276"/>
        <v>0</v>
      </c>
      <c r="AM230" s="1">
        <f>SUMIFS(
  '[1]Hoja 1'!$M:$M,
  '[1]Hoja 1'!$S:$S, $A230,
  '[1]Hoja 1'!$R:$R, "&gt;="&amp;INT($AO$1),
  '[1]Hoja 1'!$R:$R, "&lt;"&amp;INT($AP$1+1)
)</f>
        <v>0</v>
      </c>
      <c r="AN230" s="1">
        <f t="shared" si="277"/>
        <v>0</v>
      </c>
      <c r="AO230" s="9">
        <f t="shared" si="278"/>
        <v>0</v>
      </c>
      <c r="AP230" s="10">
        <f t="shared" si="279"/>
        <v>0</v>
      </c>
      <c r="AQ230" s="1">
        <f>SUMIFS(
  '[1]Hoja 1'!$M:$M,
  '[1]Hoja 1'!$S:$S, $A230,
  '[1]Hoja 1'!$R:$R, "&gt;="&amp;INT($AS$1),
  '[1]Hoja 1'!$R:$R, "&lt;"&amp;INT($AT$1+1)
)</f>
        <v>0</v>
      </c>
      <c r="AR230" s="1">
        <f t="shared" si="280"/>
        <v>0</v>
      </c>
      <c r="AS230" s="9">
        <f t="shared" si="281"/>
        <v>0</v>
      </c>
      <c r="AT230" s="10">
        <f t="shared" si="282"/>
        <v>0</v>
      </c>
      <c r="AU230" s="1">
        <f>SUMIFS(
  '[1]Hoja 1'!$M:$M,
  '[1]Hoja 1'!$S:$S, $A230,
  '[1]Hoja 1'!$R:$R, "&gt;="&amp;INT($AW$1),
  '[1]Hoja 1'!$R:$R, "&lt;"&amp;INT($AX$1+1)
)</f>
        <v>0</v>
      </c>
      <c r="AV230" s="1">
        <f t="shared" si="283"/>
        <v>0</v>
      </c>
      <c r="AW230" s="9">
        <f t="shared" si="284"/>
        <v>0</v>
      </c>
      <c r="AX230" s="10">
        <f t="shared" si="285"/>
        <v>0</v>
      </c>
      <c r="AY230" s="1">
        <f>SUMIFS(
  '[1]Hoja 1'!$M:$M,
  '[1]Hoja 1'!$S:$S, $A230,
  '[1]Hoja 1'!$R:$R, "&gt;="&amp;INT($BA$1),
  '[1]Hoja 1'!$R:$R, "&lt;"&amp;INT($BB$1+1)
)</f>
        <v>0</v>
      </c>
      <c r="AZ230" s="1">
        <f t="shared" si="286"/>
        <v>0</v>
      </c>
      <c r="BA230" s="9">
        <f t="shared" si="287"/>
        <v>0</v>
      </c>
      <c r="BB230" s="10">
        <f t="shared" si="288"/>
        <v>0</v>
      </c>
      <c r="BC230" s="1">
        <f>SUMIFS(
  '[1]Hoja 1'!$M:$M,
  '[1]Hoja 1'!$S:$S, $A230,
  '[1]Hoja 1'!$R:$R, "&gt;="&amp;INT($BE$1),
  '[1]Hoja 1'!$R:$R, "&lt;"&amp;INT($BF$1+1)
)</f>
        <v>0</v>
      </c>
      <c r="BD230" s="1">
        <f t="shared" si="289"/>
        <v>0</v>
      </c>
      <c r="BE230" s="9">
        <f t="shared" si="290"/>
        <v>0</v>
      </c>
      <c r="BF230" s="10">
        <f t="shared" si="291"/>
        <v>0</v>
      </c>
      <c r="BG230" s="1">
        <f>SUMIFS(
  '[1]Hoja 1'!$M:$M,
  '[1]Hoja 1'!$S:$S, $A230,
  '[1]Hoja 1'!$R:$R, "&gt;="&amp;INT($BI$1),
  '[1]Hoja 1'!$R:$R, "&lt;"&amp;INT($BJ$1+1)
)</f>
        <v>0</v>
      </c>
      <c r="BH230" s="1">
        <f t="shared" si="292"/>
        <v>0</v>
      </c>
      <c r="BI230" s="9">
        <f t="shared" si="293"/>
        <v>0</v>
      </c>
      <c r="BJ230" s="10">
        <f t="shared" si="294"/>
        <v>0</v>
      </c>
      <c r="BK230" s="1">
        <f>SUMIFS(
  '[1]Hoja 1'!$M:$M,
  '[1]Hoja 1'!$S:$S, $A230,
  '[1]Hoja 1'!$R:$R, "&gt;="&amp;INT($BM$1),
  '[1]Hoja 1'!$R:$R, "&lt;"&amp;INT($BN$1+1)
)</f>
        <v>0</v>
      </c>
      <c r="BL230" s="1">
        <f t="shared" si="295"/>
        <v>0</v>
      </c>
      <c r="BM230" s="9">
        <f t="shared" si="296"/>
        <v>0</v>
      </c>
      <c r="BN230" s="10">
        <f t="shared" si="297"/>
        <v>0</v>
      </c>
      <c r="BO230" s="1">
        <f>SUMIFS(
  '[1]Hoja 1'!$M:$M,
  '[1]Hoja 1'!$S:$S, $A230,
  '[1]Hoja 1'!$R:$R, "&gt;="&amp;INT($BQ$1),
  '[1]Hoja 1'!$R:$R, "&lt;"&amp;INT($BR$1+1)
)</f>
        <v>0</v>
      </c>
      <c r="BP230" s="1">
        <f t="shared" si="298"/>
        <v>0</v>
      </c>
      <c r="BQ230" s="9">
        <f t="shared" si="299"/>
        <v>0</v>
      </c>
      <c r="BR230" s="10">
        <f t="shared" si="300"/>
        <v>0</v>
      </c>
      <c r="BS230" s="1">
        <f>SUMIFS(
  '[1]Hoja 1'!$M:$M,
  '[1]Hoja 1'!$S:$S, $A230,
  '[1]Hoja 1'!$R:$R, "&gt;="&amp;INT($BU$1),
  '[1]Hoja 1'!$R:$R, "&lt;"&amp;INT($BV$1+1)
)</f>
        <v>0</v>
      </c>
      <c r="BT230" s="1">
        <f t="shared" si="301"/>
        <v>0</v>
      </c>
      <c r="BU230" s="9">
        <f t="shared" si="302"/>
        <v>0</v>
      </c>
      <c r="BV230" s="10">
        <f t="shared" si="303"/>
        <v>0</v>
      </c>
      <c r="BW230" s="1">
        <f>SUMIFS(
  '[1]Hoja 1'!$M:$M,
  '[1]Hoja 1'!$S:$S, $A230,
  '[1]Hoja 1'!$R:$R, "&gt;="&amp;INT($BY$1),
  '[1]Hoja 1'!$R:$R, "&lt;"&amp;INT($BZ$1+1)
)</f>
        <v>0</v>
      </c>
      <c r="BX230" s="1">
        <f t="shared" si="304"/>
        <v>0</v>
      </c>
      <c r="BY230" s="9">
        <f t="shared" si="305"/>
        <v>0</v>
      </c>
      <c r="BZ230" s="10">
        <f t="shared" si="306"/>
        <v>0</v>
      </c>
      <c r="CA230" s="1">
        <f>SUMIFS(
  '[1]Hoja 1'!$M:$M,
  '[1]Hoja 1'!$S:$S, $A230,
  '[1]Hoja 1'!$R:$R, "&gt;="&amp;INT($CC$1),
  '[1]Hoja 1'!$R:$R, "&lt;"&amp;INT($CD$1+1)
)</f>
        <v>0</v>
      </c>
      <c r="CB230" s="1">
        <f t="shared" si="307"/>
        <v>0</v>
      </c>
      <c r="CC230" s="9">
        <f t="shared" si="308"/>
        <v>0</v>
      </c>
      <c r="CD230" s="10">
        <f t="shared" si="309"/>
        <v>0</v>
      </c>
      <c r="CE230" s="1">
        <f>SUMIFS(
  '[1]Hoja 1'!$M:$M,
  '[1]Hoja 1'!$S:$S, $A230,
  '[1]Hoja 1'!$R:$R, "&gt;="&amp;INT($CG$1),
  '[1]Hoja 1'!$R:$R, "&lt;"&amp;INT($CH$1+1)
)</f>
        <v>0</v>
      </c>
      <c r="CF230" s="1">
        <f t="shared" si="310"/>
        <v>0</v>
      </c>
      <c r="CG230" s="9">
        <f t="shared" si="311"/>
        <v>0</v>
      </c>
      <c r="CH230" s="10">
        <f t="shared" si="312"/>
        <v>0</v>
      </c>
      <c r="CI230" s="1">
        <f>SUMIFS(
  '[1]Hoja 1'!$M:$M,
  '[1]Hoja 1'!$S:$S, $A230,
  '[1]Hoja 1'!$R:$R, "&gt;="&amp;INT($CK$1),
  '[1]Hoja 1'!$R:$R, "&lt;"&amp;INT($CL$1+1)
)</f>
        <v>0</v>
      </c>
      <c r="CJ230" s="1">
        <f t="shared" si="313"/>
        <v>0</v>
      </c>
      <c r="CK230" s="9">
        <f t="shared" si="314"/>
        <v>0</v>
      </c>
      <c r="CL230" s="10">
        <f t="shared" si="315"/>
        <v>0</v>
      </c>
      <c r="CM230" s="1">
        <f>SUMIFS(
  '[1]Hoja 1'!$M:$M,
  '[1]Hoja 1'!$S:$S, $A230,
  '[1]Hoja 1'!$R:$R, "&gt;="&amp;INT($CO$1),
  '[1]Hoja 1'!$R:$R, "&lt;"&amp;INT($CP$1+1)
)</f>
        <v>0</v>
      </c>
      <c r="CN230" s="1">
        <f t="shared" si="316"/>
        <v>0</v>
      </c>
      <c r="CO230" s="9">
        <f t="shared" si="317"/>
        <v>0</v>
      </c>
      <c r="CP230" s="10">
        <f t="shared" si="318"/>
        <v>0</v>
      </c>
      <c r="CQ230" s="1">
        <f>SUMIFS(
  '[1]Hoja 1'!$M:$M,
  '[1]Hoja 1'!$S:$S, $A230,
  '[1]Hoja 1'!$R:$R, "&gt;="&amp;INT($CS$1),
  '[1]Hoja 1'!$R:$R, "&lt;"&amp;INT($CT$1+1)
)</f>
        <v>0</v>
      </c>
      <c r="CR230" s="1">
        <f t="shared" si="319"/>
        <v>0</v>
      </c>
      <c r="CS230" s="9">
        <f t="shared" si="320"/>
        <v>0</v>
      </c>
      <c r="CT230" s="10">
        <f t="shared" si="321"/>
        <v>0</v>
      </c>
      <c r="CU230" s="1">
        <f>SUMIFS(
  '[1]Hoja 1'!$M:$M,
  '[1]Hoja 1'!$S:$S, $A230,
  '[1]Hoja 1'!$R:$R, "&gt;="&amp;INT($CW$1),
  '[1]Hoja 1'!$R:$R, "&lt;"&amp;INT($CX$1+1)
)</f>
        <v>0</v>
      </c>
      <c r="CV230" s="1">
        <f t="shared" si="322"/>
        <v>0</v>
      </c>
      <c r="CW230" s="9">
        <f t="shared" si="323"/>
        <v>0</v>
      </c>
      <c r="CX230" s="10">
        <f t="shared" si="324"/>
        <v>0</v>
      </c>
      <c r="CY230" s="1">
        <f>SUMIFS(
  '[1]Hoja 1'!$M:$M,
  '[1]Hoja 1'!$S:$S, $A230,
  '[1]Hoja 1'!$R:$R, "&gt;="&amp;INT($DA$1),
  '[1]Hoja 1'!$R:$R, "&lt;"&amp;INT($DB$1+1)
)</f>
        <v>0</v>
      </c>
      <c r="CZ230" s="1">
        <f t="shared" si="325"/>
        <v>0</v>
      </c>
      <c r="DA230" s="9">
        <f t="shared" si="326"/>
        <v>0</v>
      </c>
      <c r="DB230" s="10">
        <f t="shared" si="327"/>
        <v>0</v>
      </c>
      <c r="DC230" s="1">
        <f>SUMIFS(
  '[1]Hoja 1'!$M:$M,
  '[1]Hoja 1'!$S:$S, $A230,
  '[1]Hoja 1'!$R:$R, "&gt;="&amp;INT($DE$1),
  '[1]Hoja 1'!$R:$R, "&lt;"&amp;INT($DF$1+1)
)</f>
        <v>0</v>
      </c>
      <c r="DD230" s="1">
        <f t="shared" si="328"/>
        <v>0</v>
      </c>
      <c r="DE230" s="9">
        <f t="shared" si="329"/>
        <v>0</v>
      </c>
      <c r="DF230" s="10">
        <f t="shared" si="330"/>
        <v>0</v>
      </c>
      <c r="DG230" s="1">
        <f>SUMIFS(
  '[1]Hoja 1'!$M:$M,
  '[1]Hoja 1'!$S:$S, $A230,
  '[1]Hoja 1'!$R:$R, "&gt;="&amp;INT($DI$1),
  '[1]Hoja 1'!$R:$R, "&lt;"&amp;INT($DJ$1+1)
)</f>
        <v>0</v>
      </c>
      <c r="DH230" s="1">
        <f t="shared" si="331"/>
        <v>0</v>
      </c>
      <c r="DI230" s="9">
        <f t="shared" si="332"/>
        <v>0</v>
      </c>
      <c r="DJ230" s="10">
        <f t="shared" si="333"/>
        <v>0</v>
      </c>
      <c r="DK230" s="1">
        <f>SUMIFS(
  '[1]Hoja 1'!$M:$M,
  '[1]Hoja 1'!$S:$S, $A230,
  '[1]Hoja 1'!$R:$R, "&gt;="&amp;INT($DM$1),
  '[1]Hoja 1'!$R:$R, "&lt;"&amp;INT($DN$1+1)
)</f>
        <v>0</v>
      </c>
      <c r="DL230" s="1">
        <f t="shared" si="334"/>
        <v>0</v>
      </c>
      <c r="DM230" s="9">
        <f t="shared" si="335"/>
        <v>0</v>
      </c>
      <c r="DN230" s="10">
        <f t="shared" si="336"/>
        <v>0</v>
      </c>
      <c r="DO230" s="1">
        <f>SUMIFS(
  '[1]Hoja 1'!$M:$M,
  '[1]Hoja 1'!$S:$S, $A230,
  '[1]Hoja 1'!$R:$R, "&gt;="&amp;INT($DQ$1),
  '[1]Hoja 1'!$R:$R, "&lt;"&amp;INT($DR$1+1)
)</f>
        <v>0</v>
      </c>
      <c r="DP230" s="1">
        <f t="shared" si="337"/>
        <v>0</v>
      </c>
      <c r="DQ230" s="9">
        <f t="shared" si="338"/>
        <v>0</v>
      </c>
      <c r="DR230" s="10">
        <f t="shared" si="339"/>
        <v>0</v>
      </c>
    </row>
    <row r="231" spans="1:122" x14ac:dyDescent="0.25">
      <c r="A231" s="5">
        <v>323001</v>
      </c>
      <c r="B231" s="6" t="s">
        <v>224</v>
      </c>
      <c r="C231" s="1">
        <f>SUMIFS(
  '[1]Hoja 1'!$M:$M,
  '[1]Hoja 1'!$S:$S, $A231,
  '[1]Hoja 1'!$R:$R, "&gt;="&amp;INT($E$1),
  '[1]Hoja 1'!$R:$R, "&lt;"&amp;INT($F$1+1)
)</f>
        <v>0</v>
      </c>
      <c r="F231" s="12"/>
      <c r="G231" s="1">
        <f>SUMIFS(
  '[1]Hoja 1'!$M:$M,
  '[1]Hoja 1'!$S:$S, $A231,
  '[1]Hoja 1'!$R:$R, "&gt;="&amp;INT($I$1),
  '[1]Hoja 1'!$R:$R, "&lt;"&amp;INT($J$1+1)
)</f>
        <v>0</v>
      </c>
      <c r="H231" s="1">
        <f t="shared" si="255"/>
        <v>0</v>
      </c>
      <c r="J231" s="12"/>
      <c r="K231" s="1">
        <f>SUMIFS(
  '[1]Hoja 1'!$M:$M,
  '[1]Hoja 1'!$S:$S, $A231,
  '[1]Hoja 1'!$R:$R, "&gt;="&amp;INT($M$1),
  '[1]Hoja 1'!$R:$R, "&lt;"&amp;INT($N$1+1)
)</f>
        <v>0</v>
      </c>
      <c r="L231" s="1">
        <f t="shared" si="256"/>
        <v>0</v>
      </c>
      <c r="M231" s="9">
        <f t="shared" si="257"/>
        <v>0</v>
      </c>
      <c r="N231" s="10">
        <f t="shared" si="258"/>
        <v>0</v>
      </c>
      <c r="O231" s="1">
        <f>SUMIFS(
  '[1]Hoja 1'!$M:$M,
  '[1]Hoja 1'!$S:$S, $A231,
  '[1]Hoja 1'!$R:$R, "&gt;="&amp;INT($Q$1),
  '[1]Hoja 1'!$R:$R, "&lt;"&amp;INT($R$1+1)
)</f>
        <v>0</v>
      </c>
      <c r="P231" s="1">
        <f t="shared" si="259"/>
        <v>0</v>
      </c>
      <c r="Q231" s="9">
        <f t="shared" si="260"/>
        <v>0</v>
      </c>
      <c r="R231" s="10">
        <f t="shared" si="261"/>
        <v>0</v>
      </c>
      <c r="S231" s="1">
        <f>SUMIFS(
  '[1]Hoja 1'!$M:$M,
  '[1]Hoja 1'!$S:$S, $A231,
  '[1]Hoja 1'!$R:$R, "&gt;="&amp;INT($U$1),
  '[1]Hoja 1'!$R:$R, "&lt;"&amp;INT($V$1+1)
)</f>
        <v>0</v>
      </c>
      <c r="T231" s="1">
        <f t="shared" si="262"/>
        <v>0</v>
      </c>
      <c r="U231" s="9">
        <f t="shared" si="263"/>
        <v>0</v>
      </c>
      <c r="V231" s="10">
        <f t="shared" si="264"/>
        <v>0</v>
      </c>
      <c r="W231" s="1">
        <f>SUMIFS(
  '[1]Hoja 1'!$M:$M,
  '[1]Hoja 1'!$S:$S, $A231,
  '[1]Hoja 1'!$R:$R, "&gt;="&amp;INT($Y$1),
  '[1]Hoja 1'!$R:$R, "&lt;"&amp;INT($Z$1+1)
)</f>
        <v>0</v>
      </c>
      <c r="X231" s="1">
        <f t="shared" si="265"/>
        <v>0</v>
      </c>
      <c r="Y231" s="9">
        <f t="shared" si="266"/>
        <v>0</v>
      </c>
      <c r="Z231" s="10">
        <f t="shared" si="267"/>
        <v>0</v>
      </c>
      <c r="AA231" s="1">
        <f>SUMIFS(
  '[1]Hoja 1'!$M:$M,
  '[1]Hoja 1'!$S:$S, $A231,
  '[1]Hoja 1'!$R:$R, "&gt;="&amp;INT($AC$1),
  '[1]Hoja 1'!$R:$R, "&lt;"&amp;INT($AD$1+1)
)</f>
        <v>0</v>
      </c>
      <c r="AB231" s="1">
        <f t="shared" si="268"/>
        <v>0</v>
      </c>
      <c r="AC231" s="9">
        <f t="shared" si="269"/>
        <v>0</v>
      </c>
      <c r="AD231" s="10">
        <f t="shared" si="270"/>
        <v>0</v>
      </c>
      <c r="AE231" s="1">
        <f>SUMIFS(
  '[1]Hoja 1'!$M:$M,
  '[1]Hoja 1'!$S:$S, $A231,
  '[1]Hoja 1'!$R:$R, "&gt;="&amp;INT($AG$1),
  '[1]Hoja 1'!$R:$R, "&lt;"&amp;INT($AH$1+1)
)</f>
        <v>0</v>
      </c>
      <c r="AF231" s="1">
        <f t="shared" si="271"/>
        <v>0</v>
      </c>
      <c r="AG231" s="9">
        <f t="shared" si="272"/>
        <v>0</v>
      </c>
      <c r="AH231" s="10">
        <f t="shared" si="273"/>
        <v>0</v>
      </c>
      <c r="AI231" s="1">
        <f>SUMIFS(
  '[1]Hoja 1'!$M:$M,
  '[1]Hoja 1'!$S:$S, $A231,
  '[1]Hoja 1'!$R:$R, "&gt;="&amp;INT($AK$1),
  '[1]Hoja 1'!$R:$R, "&lt;"&amp;INT($AL$1+1)
)</f>
        <v>0</v>
      </c>
      <c r="AJ231" s="1">
        <f t="shared" si="274"/>
        <v>0</v>
      </c>
      <c r="AK231" s="9">
        <f t="shared" si="275"/>
        <v>0</v>
      </c>
      <c r="AL231" s="10">
        <f t="shared" si="276"/>
        <v>0</v>
      </c>
      <c r="AM231" s="1">
        <f>SUMIFS(
  '[1]Hoja 1'!$M:$M,
  '[1]Hoja 1'!$S:$S, $A231,
  '[1]Hoja 1'!$R:$R, "&gt;="&amp;INT($AO$1),
  '[1]Hoja 1'!$R:$R, "&lt;"&amp;INT($AP$1+1)
)</f>
        <v>0</v>
      </c>
      <c r="AN231" s="1">
        <f t="shared" si="277"/>
        <v>0</v>
      </c>
      <c r="AO231" s="9">
        <f t="shared" si="278"/>
        <v>0</v>
      </c>
      <c r="AP231" s="10">
        <f t="shared" si="279"/>
        <v>0</v>
      </c>
      <c r="AQ231" s="1">
        <f>SUMIFS(
  '[1]Hoja 1'!$M:$M,
  '[1]Hoja 1'!$S:$S, $A231,
  '[1]Hoja 1'!$R:$R, "&gt;="&amp;INT($AS$1),
  '[1]Hoja 1'!$R:$R, "&lt;"&amp;INT($AT$1+1)
)</f>
        <v>0</v>
      </c>
      <c r="AR231" s="1">
        <f t="shared" si="280"/>
        <v>0</v>
      </c>
      <c r="AS231" s="9">
        <f t="shared" si="281"/>
        <v>0</v>
      </c>
      <c r="AT231" s="10">
        <f t="shared" si="282"/>
        <v>0</v>
      </c>
      <c r="AU231" s="1">
        <f>SUMIFS(
  '[1]Hoja 1'!$M:$M,
  '[1]Hoja 1'!$S:$S, $A231,
  '[1]Hoja 1'!$R:$R, "&gt;="&amp;INT($AW$1),
  '[1]Hoja 1'!$R:$R, "&lt;"&amp;INT($AX$1+1)
)</f>
        <v>0</v>
      </c>
      <c r="AV231" s="1">
        <f t="shared" si="283"/>
        <v>0</v>
      </c>
      <c r="AW231" s="9">
        <f t="shared" si="284"/>
        <v>0</v>
      </c>
      <c r="AX231" s="10">
        <f t="shared" si="285"/>
        <v>0</v>
      </c>
      <c r="AY231" s="1">
        <f>SUMIFS(
  '[1]Hoja 1'!$M:$M,
  '[1]Hoja 1'!$S:$S, $A231,
  '[1]Hoja 1'!$R:$R, "&gt;="&amp;INT($BA$1),
  '[1]Hoja 1'!$R:$R, "&lt;"&amp;INT($BB$1+1)
)</f>
        <v>0</v>
      </c>
      <c r="AZ231" s="1">
        <f t="shared" si="286"/>
        <v>0</v>
      </c>
      <c r="BA231" s="9">
        <f t="shared" si="287"/>
        <v>0</v>
      </c>
      <c r="BB231" s="10">
        <f t="shared" si="288"/>
        <v>0</v>
      </c>
      <c r="BC231" s="1">
        <f>SUMIFS(
  '[1]Hoja 1'!$M:$M,
  '[1]Hoja 1'!$S:$S, $A231,
  '[1]Hoja 1'!$R:$R, "&gt;="&amp;INT($BE$1),
  '[1]Hoja 1'!$R:$R, "&lt;"&amp;INT($BF$1+1)
)</f>
        <v>0</v>
      </c>
      <c r="BD231" s="1">
        <f t="shared" si="289"/>
        <v>0</v>
      </c>
      <c r="BE231" s="9">
        <f t="shared" si="290"/>
        <v>0</v>
      </c>
      <c r="BF231" s="10">
        <f t="shared" si="291"/>
        <v>0</v>
      </c>
      <c r="BG231" s="1">
        <f>SUMIFS(
  '[1]Hoja 1'!$M:$M,
  '[1]Hoja 1'!$S:$S, $A231,
  '[1]Hoja 1'!$R:$R, "&gt;="&amp;INT($BI$1),
  '[1]Hoja 1'!$R:$R, "&lt;"&amp;INT($BJ$1+1)
)</f>
        <v>0</v>
      </c>
      <c r="BH231" s="1">
        <f t="shared" si="292"/>
        <v>0</v>
      </c>
      <c r="BI231" s="9">
        <f t="shared" si="293"/>
        <v>0</v>
      </c>
      <c r="BJ231" s="10">
        <f t="shared" si="294"/>
        <v>0</v>
      </c>
      <c r="BK231" s="1">
        <f>SUMIFS(
  '[1]Hoja 1'!$M:$M,
  '[1]Hoja 1'!$S:$S, $A231,
  '[1]Hoja 1'!$R:$R, "&gt;="&amp;INT($BM$1),
  '[1]Hoja 1'!$R:$R, "&lt;"&amp;INT($BN$1+1)
)</f>
        <v>0</v>
      </c>
      <c r="BL231" s="1">
        <f t="shared" si="295"/>
        <v>0</v>
      </c>
      <c r="BM231" s="9">
        <f t="shared" si="296"/>
        <v>0</v>
      </c>
      <c r="BN231" s="10">
        <f t="shared" si="297"/>
        <v>0</v>
      </c>
      <c r="BO231" s="1">
        <f>SUMIFS(
  '[1]Hoja 1'!$M:$M,
  '[1]Hoja 1'!$S:$S, $A231,
  '[1]Hoja 1'!$R:$R, "&gt;="&amp;INT($BQ$1),
  '[1]Hoja 1'!$R:$R, "&lt;"&amp;INT($BR$1+1)
)</f>
        <v>0</v>
      </c>
      <c r="BP231" s="1">
        <f t="shared" si="298"/>
        <v>0</v>
      </c>
      <c r="BQ231" s="9">
        <f t="shared" si="299"/>
        <v>0</v>
      </c>
      <c r="BR231" s="10">
        <f t="shared" si="300"/>
        <v>0</v>
      </c>
      <c r="BS231" s="1">
        <f>SUMIFS(
  '[1]Hoja 1'!$M:$M,
  '[1]Hoja 1'!$S:$S, $A231,
  '[1]Hoja 1'!$R:$R, "&gt;="&amp;INT($BU$1),
  '[1]Hoja 1'!$R:$R, "&lt;"&amp;INT($BV$1+1)
)</f>
        <v>0</v>
      </c>
      <c r="BT231" s="1">
        <f t="shared" si="301"/>
        <v>0</v>
      </c>
      <c r="BU231" s="9">
        <f t="shared" si="302"/>
        <v>0</v>
      </c>
      <c r="BV231" s="10">
        <f t="shared" si="303"/>
        <v>0</v>
      </c>
      <c r="BW231" s="1">
        <f>SUMIFS(
  '[1]Hoja 1'!$M:$M,
  '[1]Hoja 1'!$S:$S, $A231,
  '[1]Hoja 1'!$R:$R, "&gt;="&amp;INT($BY$1),
  '[1]Hoja 1'!$R:$R, "&lt;"&amp;INT($BZ$1+1)
)</f>
        <v>0</v>
      </c>
      <c r="BX231" s="1">
        <f t="shared" si="304"/>
        <v>0</v>
      </c>
      <c r="BY231" s="9">
        <f t="shared" si="305"/>
        <v>0</v>
      </c>
      <c r="BZ231" s="10">
        <f t="shared" si="306"/>
        <v>0</v>
      </c>
      <c r="CA231" s="1">
        <f>SUMIFS(
  '[1]Hoja 1'!$M:$M,
  '[1]Hoja 1'!$S:$S, $A231,
  '[1]Hoja 1'!$R:$R, "&gt;="&amp;INT($CC$1),
  '[1]Hoja 1'!$R:$R, "&lt;"&amp;INT($CD$1+1)
)</f>
        <v>0</v>
      </c>
      <c r="CB231" s="1">
        <f t="shared" si="307"/>
        <v>0</v>
      </c>
      <c r="CC231" s="9">
        <f t="shared" si="308"/>
        <v>0</v>
      </c>
      <c r="CD231" s="10">
        <f t="shared" si="309"/>
        <v>0</v>
      </c>
      <c r="CE231" s="1">
        <f>SUMIFS(
  '[1]Hoja 1'!$M:$M,
  '[1]Hoja 1'!$S:$S, $A231,
  '[1]Hoja 1'!$R:$R, "&gt;="&amp;INT($CG$1),
  '[1]Hoja 1'!$R:$R, "&lt;"&amp;INT($CH$1+1)
)</f>
        <v>0</v>
      </c>
      <c r="CF231" s="1">
        <f t="shared" si="310"/>
        <v>0</v>
      </c>
      <c r="CG231" s="9">
        <f t="shared" si="311"/>
        <v>0</v>
      </c>
      <c r="CH231" s="10">
        <f t="shared" si="312"/>
        <v>0</v>
      </c>
      <c r="CI231" s="1">
        <f>SUMIFS(
  '[1]Hoja 1'!$M:$M,
  '[1]Hoja 1'!$S:$S, $A231,
  '[1]Hoja 1'!$R:$R, "&gt;="&amp;INT($CK$1),
  '[1]Hoja 1'!$R:$R, "&lt;"&amp;INT($CL$1+1)
)</f>
        <v>0</v>
      </c>
      <c r="CJ231" s="1">
        <f t="shared" si="313"/>
        <v>0</v>
      </c>
      <c r="CK231" s="9">
        <f t="shared" si="314"/>
        <v>0</v>
      </c>
      <c r="CL231" s="10">
        <f t="shared" si="315"/>
        <v>0</v>
      </c>
      <c r="CM231" s="1">
        <f>SUMIFS(
  '[1]Hoja 1'!$M:$M,
  '[1]Hoja 1'!$S:$S, $A231,
  '[1]Hoja 1'!$R:$R, "&gt;="&amp;INT($CO$1),
  '[1]Hoja 1'!$R:$R, "&lt;"&amp;INT($CP$1+1)
)</f>
        <v>0</v>
      </c>
      <c r="CN231" s="1">
        <f t="shared" si="316"/>
        <v>0</v>
      </c>
      <c r="CO231" s="9">
        <f t="shared" si="317"/>
        <v>0</v>
      </c>
      <c r="CP231" s="10">
        <f t="shared" si="318"/>
        <v>0</v>
      </c>
      <c r="CQ231" s="1">
        <f>SUMIFS(
  '[1]Hoja 1'!$M:$M,
  '[1]Hoja 1'!$S:$S, $A231,
  '[1]Hoja 1'!$R:$R, "&gt;="&amp;INT($CS$1),
  '[1]Hoja 1'!$R:$R, "&lt;"&amp;INT($CT$1+1)
)</f>
        <v>0</v>
      </c>
      <c r="CR231" s="1">
        <f t="shared" si="319"/>
        <v>0</v>
      </c>
      <c r="CS231" s="9">
        <f t="shared" si="320"/>
        <v>0</v>
      </c>
      <c r="CT231" s="10">
        <f t="shared" si="321"/>
        <v>0</v>
      </c>
      <c r="CU231" s="1">
        <f>SUMIFS(
  '[1]Hoja 1'!$M:$M,
  '[1]Hoja 1'!$S:$S, $A231,
  '[1]Hoja 1'!$R:$R, "&gt;="&amp;INT($CW$1),
  '[1]Hoja 1'!$R:$R, "&lt;"&amp;INT($CX$1+1)
)</f>
        <v>0</v>
      </c>
      <c r="CV231" s="1">
        <f t="shared" si="322"/>
        <v>0</v>
      </c>
      <c r="CW231" s="9">
        <f t="shared" si="323"/>
        <v>0</v>
      </c>
      <c r="CX231" s="10">
        <f t="shared" si="324"/>
        <v>0</v>
      </c>
      <c r="CY231" s="1">
        <f>SUMIFS(
  '[1]Hoja 1'!$M:$M,
  '[1]Hoja 1'!$S:$S, $A231,
  '[1]Hoja 1'!$R:$R, "&gt;="&amp;INT($DA$1),
  '[1]Hoja 1'!$R:$R, "&lt;"&amp;INT($DB$1+1)
)</f>
        <v>0</v>
      </c>
      <c r="CZ231" s="1">
        <f t="shared" si="325"/>
        <v>0</v>
      </c>
      <c r="DA231" s="9">
        <f t="shared" si="326"/>
        <v>0</v>
      </c>
      <c r="DB231" s="10">
        <f t="shared" si="327"/>
        <v>0</v>
      </c>
      <c r="DC231" s="1">
        <f>SUMIFS(
  '[1]Hoja 1'!$M:$M,
  '[1]Hoja 1'!$S:$S, $A231,
  '[1]Hoja 1'!$R:$R, "&gt;="&amp;INT($DE$1),
  '[1]Hoja 1'!$R:$R, "&lt;"&amp;INT($DF$1+1)
)</f>
        <v>0</v>
      </c>
      <c r="DD231" s="1">
        <f t="shared" si="328"/>
        <v>0</v>
      </c>
      <c r="DE231" s="9">
        <f t="shared" si="329"/>
        <v>0</v>
      </c>
      <c r="DF231" s="10">
        <f t="shared" si="330"/>
        <v>0</v>
      </c>
      <c r="DG231" s="1">
        <f>SUMIFS(
  '[1]Hoja 1'!$M:$M,
  '[1]Hoja 1'!$S:$S, $A231,
  '[1]Hoja 1'!$R:$R, "&gt;="&amp;INT($DI$1),
  '[1]Hoja 1'!$R:$R, "&lt;"&amp;INT($DJ$1+1)
)</f>
        <v>0</v>
      </c>
      <c r="DH231" s="1">
        <f t="shared" si="331"/>
        <v>0</v>
      </c>
      <c r="DI231" s="9">
        <f t="shared" si="332"/>
        <v>0</v>
      </c>
      <c r="DJ231" s="10">
        <f t="shared" si="333"/>
        <v>0</v>
      </c>
      <c r="DK231" s="1">
        <f>SUMIFS(
  '[1]Hoja 1'!$M:$M,
  '[1]Hoja 1'!$S:$S, $A231,
  '[1]Hoja 1'!$R:$R, "&gt;="&amp;INT($DM$1),
  '[1]Hoja 1'!$R:$R, "&lt;"&amp;INT($DN$1+1)
)</f>
        <v>0</v>
      </c>
      <c r="DL231" s="1">
        <f t="shared" si="334"/>
        <v>0</v>
      </c>
      <c r="DM231" s="9">
        <f t="shared" si="335"/>
        <v>0</v>
      </c>
      <c r="DN231" s="10">
        <f t="shared" si="336"/>
        <v>0</v>
      </c>
      <c r="DO231" s="1">
        <f>SUMIFS(
  '[1]Hoja 1'!$M:$M,
  '[1]Hoja 1'!$S:$S, $A231,
  '[1]Hoja 1'!$R:$R, "&gt;="&amp;INT($DQ$1),
  '[1]Hoja 1'!$R:$R, "&lt;"&amp;INT($DR$1+1)
)</f>
        <v>0</v>
      </c>
      <c r="DP231" s="1">
        <f t="shared" si="337"/>
        <v>0</v>
      </c>
      <c r="DQ231" s="9">
        <f t="shared" si="338"/>
        <v>0</v>
      </c>
      <c r="DR231" s="10">
        <f t="shared" si="339"/>
        <v>0</v>
      </c>
    </row>
    <row r="232" spans="1:122" x14ac:dyDescent="0.25">
      <c r="A232" s="5">
        <v>328001</v>
      </c>
      <c r="B232" s="6" t="s">
        <v>225</v>
      </c>
      <c r="C232" s="1">
        <f>SUMIFS(
  '[1]Hoja 1'!$M:$M,
  '[1]Hoja 1'!$S:$S, $A232,
  '[1]Hoja 1'!$R:$R, "&gt;="&amp;INT($E$1),
  '[1]Hoja 1'!$R:$R, "&lt;"&amp;INT($F$1+1)
)</f>
        <v>0</v>
      </c>
      <c r="F232" s="12"/>
      <c r="G232" s="1">
        <f>SUMIFS(
  '[1]Hoja 1'!$M:$M,
  '[1]Hoja 1'!$S:$S, $A232,
  '[1]Hoja 1'!$R:$R, "&gt;="&amp;INT($I$1),
  '[1]Hoja 1'!$R:$R, "&lt;"&amp;INT($J$1+1)
)</f>
        <v>0</v>
      </c>
      <c r="H232" s="1">
        <f t="shared" si="255"/>
        <v>0</v>
      </c>
      <c r="J232" s="12"/>
      <c r="K232" s="1">
        <f>SUMIFS(
  '[1]Hoja 1'!$M:$M,
  '[1]Hoja 1'!$S:$S, $A232,
  '[1]Hoja 1'!$R:$R, "&gt;="&amp;INT($M$1),
  '[1]Hoja 1'!$R:$R, "&lt;"&amp;INT($N$1+1)
)</f>
        <v>0</v>
      </c>
      <c r="L232" s="1">
        <f t="shared" si="256"/>
        <v>0</v>
      </c>
      <c r="M232" s="9">
        <f t="shared" si="257"/>
        <v>0</v>
      </c>
      <c r="N232" s="10">
        <f t="shared" si="258"/>
        <v>0</v>
      </c>
      <c r="O232" s="1">
        <f>SUMIFS(
  '[1]Hoja 1'!$M:$M,
  '[1]Hoja 1'!$S:$S, $A232,
  '[1]Hoja 1'!$R:$R, "&gt;="&amp;INT($Q$1),
  '[1]Hoja 1'!$R:$R, "&lt;"&amp;INT($R$1+1)
)</f>
        <v>0</v>
      </c>
      <c r="P232" s="1">
        <f t="shared" si="259"/>
        <v>0</v>
      </c>
      <c r="Q232" s="9">
        <f t="shared" si="260"/>
        <v>0</v>
      </c>
      <c r="R232" s="10">
        <f t="shared" si="261"/>
        <v>0</v>
      </c>
      <c r="S232" s="1">
        <f>SUMIFS(
  '[1]Hoja 1'!$M:$M,
  '[1]Hoja 1'!$S:$S, $A232,
  '[1]Hoja 1'!$R:$R, "&gt;="&amp;INT($U$1),
  '[1]Hoja 1'!$R:$R, "&lt;"&amp;INT($V$1+1)
)</f>
        <v>0</v>
      </c>
      <c r="T232" s="1">
        <f t="shared" si="262"/>
        <v>0</v>
      </c>
      <c r="U232" s="9">
        <f t="shared" si="263"/>
        <v>0</v>
      </c>
      <c r="V232" s="10">
        <f t="shared" si="264"/>
        <v>0</v>
      </c>
      <c r="W232" s="1">
        <f>SUMIFS(
  '[1]Hoja 1'!$M:$M,
  '[1]Hoja 1'!$S:$S, $A232,
  '[1]Hoja 1'!$R:$R, "&gt;="&amp;INT($Y$1),
  '[1]Hoja 1'!$R:$R, "&lt;"&amp;INT($Z$1+1)
)</f>
        <v>0</v>
      </c>
      <c r="X232" s="1">
        <f t="shared" si="265"/>
        <v>0</v>
      </c>
      <c r="Y232" s="9">
        <f t="shared" si="266"/>
        <v>0</v>
      </c>
      <c r="Z232" s="10">
        <f t="shared" si="267"/>
        <v>0</v>
      </c>
      <c r="AA232" s="1">
        <f>SUMIFS(
  '[1]Hoja 1'!$M:$M,
  '[1]Hoja 1'!$S:$S, $A232,
  '[1]Hoja 1'!$R:$R, "&gt;="&amp;INT($AC$1),
  '[1]Hoja 1'!$R:$R, "&lt;"&amp;INT($AD$1+1)
)</f>
        <v>0</v>
      </c>
      <c r="AB232" s="1">
        <f t="shared" si="268"/>
        <v>0</v>
      </c>
      <c r="AC232" s="9">
        <f t="shared" si="269"/>
        <v>0</v>
      </c>
      <c r="AD232" s="10">
        <f t="shared" si="270"/>
        <v>0</v>
      </c>
      <c r="AE232" s="1">
        <f>SUMIFS(
  '[1]Hoja 1'!$M:$M,
  '[1]Hoja 1'!$S:$S, $A232,
  '[1]Hoja 1'!$R:$R, "&gt;="&amp;INT($AG$1),
  '[1]Hoja 1'!$R:$R, "&lt;"&amp;INT($AH$1+1)
)</f>
        <v>0</v>
      </c>
      <c r="AF232" s="1">
        <f t="shared" si="271"/>
        <v>0</v>
      </c>
      <c r="AG232" s="9">
        <f t="shared" si="272"/>
        <v>0</v>
      </c>
      <c r="AH232" s="10">
        <f t="shared" si="273"/>
        <v>0</v>
      </c>
      <c r="AI232" s="1">
        <f>SUMIFS(
  '[1]Hoja 1'!$M:$M,
  '[1]Hoja 1'!$S:$S, $A232,
  '[1]Hoja 1'!$R:$R, "&gt;="&amp;INT($AK$1),
  '[1]Hoja 1'!$R:$R, "&lt;"&amp;INT($AL$1+1)
)</f>
        <v>0</v>
      </c>
      <c r="AJ232" s="1">
        <f t="shared" si="274"/>
        <v>0</v>
      </c>
      <c r="AK232" s="9">
        <f t="shared" si="275"/>
        <v>0</v>
      </c>
      <c r="AL232" s="10">
        <f t="shared" si="276"/>
        <v>0</v>
      </c>
      <c r="AM232" s="1">
        <f>SUMIFS(
  '[1]Hoja 1'!$M:$M,
  '[1]Hoja 1'!$S:$S, $A232,
  '[1]Hoja 1'!$R:$R, "&gt;="&amp;INT($AO$1),
  '[1]Hoja 1'!$R:$R, "&lt;"&amp;INT($AP$1+1)
)</f>
        <v>0</v>
      </c>
      <c r="AN232" s="1">
        <f t="shared" si="277"/>
        <v>0</v>
      </c>
      <c r="AO232" s="9">
        <f t="shared" si="278"/>
        <v>0</v>
      </c>
      <c r="AP232" s="10">
        <f t="shared" si="279"/>
        <v>0</v>
      </c>
      <c r="AQ232" s="1">
        <f>SUMIFS(
  '[1]Hoja 1'!$M:$M,
  '[1]Hoja 1'!$S:$S, $A232,
  '[1]Hoja 1'!$R:$R, "&gt;="&amp;INT($AS$1),
  '[1]Hoja 1'!$R:$R, "&lt;"&amp;INT($AT$1+1)
)</f>
        <v>0</v>
      </c>
      <c r="AR232" s="1">
        <f t="shared" si="280"/>
        <v>0</v>
      </c>
      <c r="AS232" s="9">
        <f t="shared" si="281"/>
        <v>0</v>
      </c>
      <c r="AT232" s="10">
        <f t="shared" si="282"/>
        <v>0</v>
      </c>
      <c r="AU232" s="1">
        <f>SUMIFS(
  '[1]Hoja 1'!$M:$M,
  '[1]Hoja 1'!$S:$S, $A232,
  '[1]Hoja 1'!$R:$R, "&gt;="&amp;INT($AW$1),
  '[1]Hoja 1'!$R:$R, "&lt;"&amp;INT($AX$1+1)
)</f>
        <v>0</v>
      </c>
      <c r="AV232" s="1">
        <f t="shared" si="283"/>
        <v>0</v>
      </c>
      <c r="AW232" s="9">
        <f t="shared" si="284"/>
        <v>0</v>
      </c>
      <c r="AX232" s="10">
        <f t="shared" si="285"/>
        <v>0</v>
      </c>
      <c r="AY232" s="1">
        <f>SUMIFS(
  '[1]Hoja 1'!$M:$M,
  '[1]Hoja 1'!$S:$S, $A232,
  '[1]Hoja 1'!$R:$R, "&gt;="&amp;INT($BA$1),
  '[1]Hoja 1'!$R:$R, "&lt;"&amp;INT($BB$1+1)
)</f>
        <v>0</v>
      </c>
      <c r="AZ232" s="1">
        <f t="shared" si="286"/>
        <v>0</v>
      </c>
      <c r="BA232" s="9">
        <f t="shared" si="287"/>
        <v>0</v>
      </c>
      <c r="BB232" s="10">
        <f t="shared" si="288"/>
        <v>0</v>
      </c>
      <c r="BC232" s="1">
        <f>SUMIFS(
  '[1]Hoja 1'!$M:$M,
  '[1]Hoja 1'!$S:$S, $A232,
  '[1]Hoja 1'!$R:$R, "&gt;="&amp;INT($BE$1),
  '[1]Hoja 1'!$R:$R, "&lt;"&amp;INT($BF$1+1)
)</f>
        <v>0</v>
      </c>
      <c r="BD232" s="1">
        <f t="shared" si="289"/>
        <v>0</v>
      </c>
      <c r="BE232" s="9">
        <f t="shared" si="290"/>
        <v>0</v>
      </c>
      <c r="BF232" s="10">
        <f t="shared" si="291"/>
        <v>0</v>
      </c>
      <c r="BG232" s="1">
        <f>SUMIFS(
  '[1]Hoja 1'!$M:$M,
  '[1]Hoja 1'!$S:$S, $A232,
  '[1]Hoja 1'!$R:$R, "&gt;="&amp;INT($BI$1),
  '[1]Hoja 1'!$R:$R, "&lt;"&amp;INT($BJ$1+1)
)</f>
        <v>0</v>
      </c>
      <c r="BH232" s="1">
        <f t="shared" si="292"/>
        <v>0</v>
      </c>
      <c r="BI232" s="9">
        <f t="shared" si="293"/>
        <v>0</v>
      </c>
      <c r="BJ232" s="10">
        <f t="shared" si="294"/>
        <v>0</v>
      </c>
      <c r="BK232" s="1">
        <f>SUMIFS(
  '[1]Hoja 1'!$M:$M,
  '[1]Hoja 1'!$S:$S, $A232,
  '[1]Hoja 1'!$R:$R, "&gt;="&amp;INT($BM$1),
  '[1]Hoja 1'!$R:$R, "&lt;"&amp;INT($BN$1+1)
)</f>
        <v>0</v>
      </c>
      <c r="BL232" s="1">
        <f t="shared" si="295"/>
        <v>0</v>
      </c>
      <c r="BM232" s="9">
        <f t="shared" si="296"/>
        <v>0</v>
      </c>
      <c r="BN232" s="10">
        <f t="shared" si="297"/>
        <v>0</v>
      </c>
      <c r="BO232" s="1">
        <f>SUMIFS(
  '[1]Hoja 1'!$M:$M,
  '[1]Hoja 1'!$S:$S, $A232,
  '[1]Hoja 1'!$R:$R, "&gt;="&amp;INT($BQ$1),
  '[1]Hoja 1'!$R:$R, "&lt;"&amp;INT($BR$1+1)
)</f>
        <v>0</v>
      </c>
      <c r="BP232" s="1">
        <f t="shared" si="298"/>
        <v>0</v>
      </c>
      <c r="BQ232" s="9">
        <f t="shared" si="299"/>
        <v>0</v>
      </c>
      <c r="BR232" s="10">
        <f t="shared" si="300"/>
        <v>0</v>
      </c>
      <c r="BS232" s="1">
        <f>SUMIFS(
  '[1]Hoja 1'!$M:$M,
  '[1]Hoja 1'!$S:$S, $A232,
  '[1]Hoja 1'!$R:$R, "&gt;="&amp;INT($BU$1),
  '[1]Hoja 1'!$R:$R, "&lt;"&amp;INT($BV$1+1)
)</f>
        <v>0</v>
      </c>
      <c r="BT232" s="1">
        <f t="shared" si="301"/>
        <v>0</v>
      </c>
      <c r="BU232" s="9">
        <f t="shared" si="302"/>
        <v>0</v>
      </c>
      <c r="BV232" s="10">
        <f t="shared" si="303"/>
        <v>0</v>
      </c>
      <c r="BW232" s="1">
        <f>SUMIFS(
  '[1]Hoja 1'!$M:$M,
  '[1]Hoja 1'!$S:$S, $A232,
  '[1]Hoja 1'!$R:$R, "&gt;="&amp;INT($BY$1),
  '[1]Hoja 1'!$R:$R, "&lt;"&amp;INT($BZ$1+1)
)</f>
        <v>0</v>
      </c>
      <c r="BX232" s="1">
        <f t="shared" si="304"/>
        <v>0</v>
      </c>
      <c r="BY232" s="9">
        <f t="shared" si="305"/>
        <v>0</v>
      </c>
      <c r="BZ232" s="10">
        <f t="shared" si="306"/>
        <v>0</v>
      </c>
      <c r="CA232" s="1">
        <f>SUMIFS(
  '[1]Hoja 1'!$M:$M,
  '[1]Hoja 1'!$S:$S, $A232,
  '[1]Hoja 1'!$R:$R, "&gt;="&amp;INT($CC$1),
  '[1]Hoja 1'!$R:$R, "&lt;"&amp;INT($CD$1+1)
)</f>
        <v>0</v>
      </c>
      <c r="CB232" s="1">
        <f t="shared" si="307"/>
        <v>0</v>
      </c>
      <c r="CC232" s="9">
        <f t="shared" si="308"/>
        <v>0</v>
      </c>
      <c r="CD232" s="10">
        <f t="shared" si="309"/>
        <v>0</v>
      </c>
      <c r="CE232" s="1">
        <f>SUMIFS(
  '[1]Hoja 1'!$M:$M,
  '[1]Hoja 1'!$S:$S, $A232,
  '[1]Hoja 1'!$R:$R, "&gt;="&amp;INT($CG$1),
  '[1]Hoja 1'!$R:$R, "&lt;"&amp;INT($CH$1+1)
)</f>
        <v>0</v>
      </c>
      <c r="CF232" s="1">
        <f t="shared" si="310"/>
        <v>0</v>
      </c>
      <c r="CG232" s="9">
        <f t="shared" si="311"/>
        <v>0</v>
      </c>
      <c r="CH232" s="10">
        <f t="shared" si="312"/>
        <v>0</v>
      </c>
      <c r="CI232" s="1">
        <f>SUMIFS(
  '[1]Hoja 1'!$M:$M,
  '[1]Hoja 1'!$S:$S, $A232,
  '[1]Hoja 1'!$R:$R, "&gt;="&amp;INT($CK$1),
  '[1]Hoja 1'!$R:$R, "&lt;"&amp;INT($CL$1+1)
)</f>
        <v>0</v>
      </c>
      <c r="CJ232" s="1">
        <f t="shared" si="313"/>
        <v>0</v>
      </c>
      <c r="CK232" s="9">
        <f t="shared" si="314"/>
        <v>0</v>
      </c>
      <c r="CL232" s="10">
        <f t="shared" si="315"/>
        <v>0</v>
      </c>
      <c r="CM232" s="1">
        <f>SUMIFS(
  '[1]Hoja 1'!$M:$M,
  '[1]Hoja 1'!$S:$S, $A232,
  '[1]Hoja 1'!$R:$R, "&gt;="&amp;INT($CO$1),
  '[1]Hoja 1'!$R:$R, "&lt;"&amp;INT($CP$1+1)
)</f>
        <v>0</v>
      </c>
      <c r="CN232" s="1">
        <f t="shared" si="316"/>
        <v>0</v>
      </c>
      <c r="CO232" s="9">
        <f t="shared" si="317"/>
        <v>0</v>
      </c>
      <c r="CP232" s="10">
        <f t="shared" si="318"/>
        <v>0</v>
      </c>
      <c r="CQ232" s="1">
        <f>SUMIFS(
  '[1]Hoja 1'!$M:$M,
  '[1]Hoja 1'!$S:$S, $A232,
  '[1]Hoja 1'!$R:$R, "&gt;="&amp;INT($CS$1),
  '[1]Hoja 1'!$R:$R, "&lt;"&amp;INT($CT$1+1)
)</f>
        <v>0</v>
      </c>
      <c r="CR232" s="1">
        <f t="shared" si="319"/>
        <v>0</v>
      </c>
      <c r="CS232" s="9">
        <f t="shared" si="320"/>
        <v>0</v>
      </c>
      <c r="CT232" s="10">
        <f t="shared" si="321"/>
        <v>0</v>
      </c>
      <c r="CU232" s="1">
        <f>SUMIFS(
  '[1]Hoja 1'!$M:$M,
  '[1]Hoja 1'!$S:$S, $A232,
  '[1]Hoja 1'!$R:$R, "&gt;="&amp;INT($CW$1),
  '[1]Hoja 1'!$R:$R, "&lt;"&amp;INT($CX$1+1)
)</f>
        <v>0</v>
      </c>
      <c r="CV232" s="1">
        <f t="shared" si="322"/>
        <v>0</v>
      </c>
      <c r="CW232" s="9">
        <f t="shared" si="323"/>
        <v>0</v>
      </c>
      <c r="CX232" s="10">
        <f t="shared" si="324"/>
        <v>0</v>
      </c>
      <c r="CY232" s="1">
        <f>SUMIFS(
  '[1]Hoja 1'!$M:$M,
  '[1]Hoja 1'!$S:$S, $A232,
  '[1]Hoja 1'!$R:$R, "&gt;="&amp;INT($DA$1),
  '[1]Hoja 1'!$R:$R, "&lt;"&amp;INT($DB$1+1)
)</f>
        <v>0</v>
      </c>
      <c r="CZ232" s="1">
        <f t="shared" si="325"/>
        <v>0</v>
      </c>
      <c r="DA232" s="9">
        <f t="shared" si="326"/>
        <v>0</v>
      </c>
      <c r="DB232" s="10">
        <f t="shared" si="327"/>
        <v>0</v>
      </c>
      <c r="DC232" s="1">
        <f>SUMIFS(
  '[1]Hoja 1'!$M:$M,
  '[1]Hoja 1'!$S:$S, $A232,
  '[1]Hoja 1'!$R:$R, "&gt;="&amp;INT($DE$1),
  '[1]Hoja 1'!$R:$R, "&lt;"&amp;INT($DF$1+1)
)</f>
        <v>0</v>
      </c>
      <c r="DD232" s="1">
        <f t="shared" si="328"/>
        <v>0</v>
      </c>
      <c r="DE232" s="9">
        <f t="shared" si="329"/>
        <v>0</v>
      </c>
      <c r="DF232" s="10">
        <f t="shared" si="330"/>
        <v>0</v>
      </c>
      <c r="DG232" s="1">
        <f>SUMIFS(
  '[1]Hoja 1'!$M:$M,
  '[1]Hoja 1'!$S:$S, $A232,
  '[1]Hoja 1'!$R:$R, "&gt;="&amp;INT($DI$1),
  '[1]Hoja 1'!$R:$R, "&lt;"&amp;INT($DJ$1+1)
)</f>
        <v>0</v>
      </c>
      <c r="DH232" s="1">
        <f t="shared" si="331"/>
        <v>0</v>
      </c>
      <c r="DI232" s="9">
        <f t="shared" si="332"/>
        <v>0</v>
      </c>
      <c r="DJ232" s="10">
        <f t="shared" si="333"/>
        <v>0</v>
      </c>
      <c r="DK232" s="1">
        <f>SUMIFS(
  '[1]Hoja 1'!$M:$M,
  '[1]Hoja 1'!$S:$S, $A232,
  '[1]Hoja 1'!$R:$R, "&gt;="&amp;INT($DM$1),
  '[1]Hoja 1'!$R:$R, "&lt;"&amp;INT($DN$1+1)
)</f>
        <v>0</v>
      </c>
      <c r="DL232" s="1">
        <f t="shared" si="334"/>
        <v>0</v>
      </c>
      <c r="DM232" s="9">
        <f t="shared" si="335"/>
        <v>0</v>
      </c>
      <c r="DN232" s="10">
        <f t="shared" si="336"/>
        <v>0</v>
      </c>
      <c r="DO232" s="1">
        <f>SUMIFS(
  '[1]Hoja 1'!$M:$M,
  '[1]Hoja 1'!$S:$S, $A232,
  '[1]Hoja 1'!$R:$R, "&gt;="&amp;INT($DQ$1),
  '[1]Hoja 1'!$R:$R, "&lt;"&amp;INT($DR$1+1)
)</f>
        <v>0</v>
      </c>
      <c r="DP232" s="1">
        <f t="shared" si="337"/>
        <v>0</v>
      </c>
      <c r="DQ232" s="9">
        <f t="shared" si="338"/>
        <v>0</v>
      </c>
      <c r="DR232" s="10">
        <f t="shared" si="339"/>
        <v>0</v>
      </c>
    </row>
    <row r="233" spans="1:122" x14ac:dyDescent="0.25">
      <c r="A233" s="5">
        <v>265003</v>
      </c>
      <c r="B233" s="6" t="s">
        <v>260</v>
      </c>
      <c r="C233" s="1">
        <f>SUMIFS(
  '[1]Hoja 1'!$M:$M,
  '[1]Hoja 1'!$S:$S, $A233,
  '[1]Hoja 1'!$R:$R, "&gt;="&amp;INT($E$1),
  '[1]Hoja 1'!$R:$R, "&lt;"&amp;INT($F$1+1)
)</f>
        <v>0</v>
      </c>
      <c r="G233" s="1">
        <f>SUMIFS(
  '[1]Hoja 1'!$M:$M,
  '[1]Hoja 1'!$S:$S, $A233,
  '[1]Hoja 1'!$R:$R, "&gt;="&amp;INT($I$1),
  '[1]Hoja 1'!$R:$R, "&lt;"&amp;INT($J$1+1)
)</f>
        <v>0</v>
      </c>
      <c r="H233" s="1">
        <f t="shared" si="255"/>
        <v>0</v>
      </c>
    </row>
  </sheetData>
  <autoFilter ref="A2:B232" xr:uid="{7CE4A76D-6B9E-4597-8A80-E9DEC77CA54A}"/>
  <mergeCells count="30">
    <mergeCell ref="DG1:DH1"/>
    <mergeCell ref="DK1:DL1"/>
    <mergeCell ref="DO1:DP1"/>
    <mergeCell ref="CM1:CN1"/>
    <mergeCell ref="CQ1:CR1"/>
    <mergeCell ref="CU1:CV1"/>
    <mergeCell ref="CY1:CZ1"/>
    <mergeCell ref="DC1:DD1"/>
    <mergeCell ref="BS1:BT1"/>
    <mergeCell ref="BW1:BX1"/>
    <mergeCell ref="CA1:CB1"/>
    <mergeCell ref="CE1:CF1"/>
    <mergeCell ref="CI1:CJ1"/>
    <mergeCell ref="AY1:AZ1"/>
    <mergeCell ref="BC1:BD1"/>
    <mergeCell ref="BG1:BH1"/>
    <mergeCell ref="BK1:BL1"/>
    <mergeCell ref="BO1:BP1"/>
    <mergeCell ref="AE1:AF1"/>
    <mergeCell ref="AI1:AJ1"/>
    <mergeCell ref="AM1:AN1"/>
    <mergeCell ref="AQ1:AR1"/>
    <mergeCell ref="AU1:AV1"/>
    <mergeCell ref="AA1:AB1"/>
    <mergeCell ref="W1:X1"/>
    <mergeCell ref="C1:D1"/>
    <mergeCell ref="G1:H1"/>
    <mergeCell ref="K1:L1"/>
    <mergeCell ref="O1:P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2025-Mensual</vt:lpstr>
      <vt:lpstr>2026-Mensual</vt:lpstr>
      <vt:lpstr>2026-Semanal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Hernández</dc:creator>
  <cp:lastModifiedBy>Roberto Hernández</cp:lastModifiedBy>
  <dcterms:created xsi:type="dcterms:W3CDTF">2026-01-24T15:16:16Z</dcterms:created>
  <dcterms:modified xsi:type="dcterms:W3CDTF">2026-02-13T13:49:22Z</dcterms:modified>
</cp:coreProperties>
</file>